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G:\sql\datasets\excel portfolio\"/>
    </mc:Choice>
  </mc:AlternateContent>
  <xr:revisionPtr revIDLastSave="0" documentId="13_ncr:1_{F9BFBA28-3FC2-4B42-8171-8A3DDDBAABE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" sheetId="1" r:id="rId1"/>
    <sheet name="EFF. CHART" sheetId="3" r:id="rId2"/>
    <sheet name="Sheet1" sheetId="2" r:id="rId3"/>
  </sheets>
  <externalReferences>
    <externalReference r:id="rId4"/>
    <externalReference r:id="rId5"/>
    <externalReference r:id="rId6"/>
  </externalReferences>
  <definedNames>
    <definedName name="_xlnm._FilterDatabase" localSheetId="0" hidden="1">PL!$AK$11:$AK$91</definedName>
    <definedName name="HEAT_BOX" comment="UNIQUE COMBINATION OF HEAT# AND BOX #">PL!$BA$2:$BA$80</definedName>
    <definedName name="PCS" comment="PCS PER UNIQUE HEAT AND BOX">PL!$BB$2:$BB$80</definedName>
    <definedName name="_xlnm.Print_Area" localSheetId="0">PL!$AM$6:$AY$91</definedName>
    <definedName name="_xlnm.Print_Titles" localSheetId="0">PL!$5:$11</definedName>
    <definedName name="TOTAL_FT_HEAT" comment="FT PER HEAT">PL!$BC$2:$BC$80</definedName>
    <definedName name="WEIGHT_PER_HEAT" comment="WEIGHT PER HEAT">PL!$BD$2:$BD$80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9" i="1" l="1"/>
  <c r="AT9" i="1"/>
  <c r="AS9" i="1"/>
  <c r="F9" i="1" l="1"/>
  <c r="G9" i="1" s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13" i="1"/>
  <c r="AG13" i="1" l="1" a="1"/>
  <c r="AG13" i="1" s="1"/>
  <c r="AH13" i="1" s="1"/>
  <c r="BR14" i="1" a="1"/>
  <c r="BR14" i="1" s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S41" i="1" s="1"/>
  <c r="AT41" i="1" s="1"/>
  <c r="AR42" i="1"/>
  <c r="AS42" i="1" s="1"/>
  <c r="AT42" i="1" s="1"/>
  <c r="AR43" i="1"/>
  <c r="AS43" i="1" s="1"/>
  <c r="AT43" i="1" s="1"/>
  <c r="AR44" i="1"/>
  <c r="AS44" i="1" s="1"/>
  <c r="AT44" i="1" s="1"/>
  <c r="AR45" i="1"/>
  <c r="AS45" i="1" s="1"/>
  <c r="AR46" i="1"/>
  <c r="AS46" i="1" s="1"/>
  <c r="AT46" i="1" s="1"/>
  <c r="AR47" i="1"/>
  <c r="AS47" i="1" s="1"/>
  <c r="AT47" i="1" s="1"/>
  <c r="AR48" i="1"/>
  <c r="AS48" i="1" s="1"/>
  <c r="AT48" i="1" s="1"/>
  <c r="AR49" i="1"/>
  <c r="AS49" i="1" s="1"/>
  <c r="AT49" i="1" s="1"/>
  <c r="AR50" i="1"/>
  <c r="AS50" i="1" s="1"/>
  <c r="AT50" i="1" s="1"/>
  <c r="AR51" i="1"/>
  <c r="AS51" i="1" s="1"/>
  <c r="AT51" i="1" s="1"/>
  <c r="AR52" i="1"/>
  <c r="AS52" i="1" s="1"/>
  <c r="AT52" i="1" s="1"/>
  <c r="AR53" i="1"/>
  <c r="AS53" i="1" s="1"/>
  <c r="AR54" i="1"/>
  <c r="AS54" i="1" s="1"/>
  <c r="AT54" i="1" s="1"/>
  <c r="AR55" i="1"/>
  <c r="AS55" i="1" s="1"/>
  <c r="AT55" i="1" s="1"/>
  <c r="AR56" i="1"/>
  <c r="AS56" i="1" s="1"/>
  <c r="AT56" i="1" s="1"/>
  <c r="AR57" i="1"/>
  <c r="AS57" i="1" s="1"/>
  <c r="AT57" i="1" s="1"/>
  <c r="AR58" i="1"/>
  <c r="AS58" i="1" s="1"/>
  <c r="AT58" i="1" s="1"/>
  <c r="AR59" i="1"/>
  <c r="AS59" i="1" s="1"/>
  <c r="AT59" i="1" s="1"/>
  <c r="AR60" i="1"/>
  <c r="AS60" i="1" s="1"/>
  <c r="AT60" i="1" s="1"/>
  <c r="AR61" i="1"/>
  <c r="AS61" i="1" s="1"/>
  <c r="AR62" i="1"/>
  <c r="AS62" i="1" s="1"/>
  <c r="AT62" i="1" s="1"/>
  <c r="AR63" i="1"/>
  <c r="AS63" i="1" s="1"/>
  <c r="AT63" i="1" s="1"/>
  <c r="AR64" i="1"/>
  <c r="AS64" i="1" s="1"/>
  <c r="AT64" i="1" s="1"/>
  <c r="AR65" i="1"/>
  <c r="AS65" i="1" s="1"/>
  <c r="AT65" i="1" s="1"/>
  <c r="AR66" i="1"/>
  <c r="AS66" i="1" s="1"/>
  <c r="AT66" i="1" s="1"/>
  <c r="AR67" i="1"/>
  <c r="AS67" i="1" s="1"/>
  <c r="AT67" i="1" s="1"/>
  <c r="AR68" i="1"/>
  <c r="AS68" i="1" s="1"/>
  <c r="AT68" i="1" s="1"/>
  <c r="AR69" i="1"/>
  <c r="AS69" i="1" s="1"/>
  <c r="AR70" i="1"/>
  <c r="AS70" i="1" s="1"/>
  <c r="AT70" i="1" s="1"/>
  <c r="AR71" i="1"/>
  <c r="AS71" i="1" s="1"/>
  <c r="AT71" i="1" s="1"/>
  <c r="AR72" i="1"/>
  <c r="AS72" i="1" s="1"/>
  <c r="AT72" i="1" s="1"/>
  <c r="AR73" i="1"/>
  <c r="AS73" i="1" s="1"/>
  <c r="AT73" i="1" s="1"/>
  <c r="AR74" i="1"/>
  <c r="AS74" i="1" s="1"/>
  <c r="AT74" i="1" s="1"/>
  <c r="AR75" i="1"/>
  <c r="AS75" i="1" s="1"/>
  <c r="AT75" i="1" s="1"/>
  <c r="AR76" i="1"/>
  <c r="AS76" i="1" s="1"/>
  <c r="AT76" i="1" s="1"/>
  <c r="AR77" i="1"/>
  <c r="AS77" i="1" s="1"/>
  <c r="AR78" i="1"/>
  <c r="AS78" i="1" s="1"/>
  <c r="AT78" i="1" s="1"/>
  <c r="AR79" i="1"/>
  <c r="AS79" i="1" s="1"/>
  <c r="AT79" i="1" s="1"/>
  <c r="AR80" i="1"/>
  <c r="AS80" i="1" s="1"/>
  <c r="AT80" i="1" s="1"/>
  <c r="AR81" i="1"/>
  <c r="AS81" i="1" s="1"/>
  <c r="AT81" i="1" s="1"/>
  <c r="AR13" i="1"/>
  <c r="AR14" i="1"/>
  <c r="AR15" i="1"/>
  <c r="AR16" i="1"/>
  <c r="AS16" i="1" s="1"/>
  <c r="AR17" i="1"/>
  <c r="AR18" i="1"/>
  <c r="AR19" i="1"/>
  <c r="AR20" i="1"/>
  <c r="X13" i="1" a="1"/>
  <c r="X13" i="1" s="1"/>
  <c r="AG14" i="1" l="1" a="1"/>
  <c r="AG14" i="1" s="1"/>
  <c r="AG15" i="1" s="1" a="1"/>
  <c r="AG15" i="1" s="1"/>
  <c r="CC14" i="1"/>
  <c r="AI13" i="1"/>
  <c r="CB14" i="1"/>
  <c r="BT14" i="1"/>
  <c r="BU14" i="1" s="1"/>
  <c r="BS14" i="1"/>
  <c r="BR15" i="1" a="1"/>
  <c r="BR15" i="1" s="1"/>
  <c r="X14" i="1" a="1"/>
  <c r="X14" i="1" s="1"/>
  <c r="AT77" i="1"/>
  <c r="AT69" i="1"/>
  <c r="AT61" i="1"/>
  <c r="AT53" i="1"/>
  <c r="AT45" i="1"/>
  <c r="AG16" i="1" l="1" a="1"/>
  <c r="AG16" i="1" s="1"/>
  <c r="AG17" i="1" s="1" a="1"/>
  <c r="AG17" i="1" s="1"/>
  <c r="AG18" i="1" s="1" a="1"/>
  <c r="AG18" i="1" s="1"/>
  <c r="CD14" i="1"/>
  <c r="CC15" i="1"/>
  <c r="CG14" i="1"/>
  <c r="CF14" i="1"/>
  <c r="CB15" i="1"/>
  <c r="BT15" i="1"/>
  <c r="BU15" i="1" s="1"/>
  <c r="BS15" i="1"/>
  <c r="BR16" i="1" a="1"/>
  <c r="BR16" i="1" s="1"/>
  <c r="X15" i="1" a="1"/>
  <c r="X15" i="1" s="1"/>
  <c r="AG19" i="1" l="1" a="1"/>
  <c r="AG19" i="1" s="1"/>
  <c r="CC16" i="1"/>
  <c r="CD15" i="1"/>
  <c r="CG15" i="1"/>
  <c r="CF15" i="1"/>
  <c r="CB16" i="1"/>
  <c r="BT16" i="1"/>
  <c r="BU16" i="1" s="1"/>
  <c r="BS16" i="1"/>
  <c r="BR17" i="1" a="1"/>
  <c r="BR17" i="1" s="1"/>
  <c r="X16" i="1" a="1"/>
  <c r="X16" i="1" s="1"/>
  <c r="AG20" i="1" l="1" a="1"/>
  <c r="AG20" i="1" s="1"/>
  <c r="CD16" i="1"/>
  <c r="CG16" i="1"/>
  <c r="CF16" i="1"/>
  <c r="BR18" i="1" a="1"/>
  <c r="BR18" i="1" s="1"/>
  <c r="CC17" i="1"/>
  <c r="CB17" i="1"/>
  <c r="BT17" i="1"/>
  <c r="BU17" i="1" s="1"/>
  <c r="BS17" i="1"/>
  <c r="X17" i="1" a="1"/>
  <c r="X17" i="1" s="1"/>
  <c r="AG21" i="1" l="1" a="1"/>
  <c r="AG21" i="1" s="1"/>
  <c r="CC18" i="1"/>
  <c r="CG17" i="1"/>
  <c r="CF17" i="1"/>
  <c r="CD17" i="1"/>
  <c r="BR19" i="1" a="1"/>
  <c r="BR19" i="1" s="1"/>
  <c r="BT18" i="1"/>
  <c r="BU18" i="1" s="1"/>
  <c r="CB18" i="1"/>
  <c r="BS18" i="1"/>
  <c r="X18" i="1" a="1"/>
  <c r="X18" i="1" s="1"/>
  <c r="AG22" i="1" l="1" a="1"/>
  <c r="AG22" i="1" s="1"/>
  <c r="AG23" i="1" s="1" a="1"/>
  <c r="AG23" i="1" s="1"/>
  <c r="AG24" i="1" s="1" a="1"/>
  <c r="AG24" i="1" s="1"/>
  <c r="AG25" i="1" s="1" a="1"/>
  <c r="AG25" i="1" s="1"/>
  <c r="AG26" i="1" s="1" a="1"/>
  <c r="AG26" i="1" s="1"/>
  <c r="AG27" i="1" s="1" a="1"/>
  <c r="AG27" i="1" s="1"/>
  <c r="AG28" i="1" s="1" a="1"/>
  <c r="AG28" i="1" s="1"/>
  <c r="AG29" i="1" s="1" a="1"/>
  <c r="AG29" i="1" s="1"/>
  <c r="AG30" i="1" s="1" a="1"/>
  <c r="AG30" i="1" s="1"/>
  <c r="AG31" i="1" s="1" a="1"/>
  <c r="AG31" i="1" s="1"/>
  <c r="AG32" i="1" s="1" a="1"/>
  <c r="AG32" i="1" s="1"/>
  <c r="AG33" i="1" s="1" a="1"/>
  <c r="AG33" i="1" s="1"/>
  <c r="AG34" i="1" s="1" a="1"/>
  <c r="AG34" i="1" s="1"/>
  <c r="AG35" i="1" s="1" a="1"/>
  <c r="AG35" i="1" s="1"/>
  <c r="AG36" i="1" s="1" a="1"/>
  <c r="AG36" i="1" s="1"/>
  <c r="AG37" i="1" s="1" a="1"/>
  <c r="AG37" i="1" s="1"/>
  <c r="AG38" i="1" s="1" a="1"/>
  <c r="AG38" i="1" s="1"/>
  <c r="AG39" i="1" s="1" a="1"/>
  <c r="AG39" i="1" s="1"/>
  <c r="AG40" i="1" s="1" a="1"/>
  <c r="AG40" i="1" s="1"/>
  <c r="AG41" i="1" s="1" a="1"/>
  <c r="AG41" i="1" s="1"/>
  <c r="AG42" i="1" s="1" a="1"/>
  <c r="AG42" i="1" s="1"/>
  <c r="AG43" i="1" s="1" a="1"/>
  <c r="AG43" i="1" s="1"/>
  <c r="AG44" i="1" s="1" a="1"/>
  <c r="AG44" i="1" s="1"/>
  <c r="AG45" i="1" s="1" a="1"/>
  <c r="AG45" i="1" s="1"/>
  <c r="AG46" i="1" s="1" a="1"/>
  <c r="AG46" i="1" s="1"/>
  <c r="AG47" i="1" s="1" a="1"/>
  <c r="AG47" i="1" s="1"/>
  <c r="AG48" i="1" s="1" a="1"/>
  <c r="AG48" i="1" s="1"/>
  <c r="AG49" i="1" s="1" a="1"/>
  <c r="AG49" i="1" s="1"/>
  <c r="AG50" i="1" s="1" a="1"/>
  <c r="AG50" i="1" s="1"/>
  <c r="AG51" i="1" s="1" a="1"/>
  <c r="AG51" i="1" s="1"/>
  <c r="AG52" i="1" s="1" a="1"/>
  <c r="AG52" i="1" s="1"/>
  <c r="AG53" i="1" s="1" a="1"/>
  <c r="AG53" i="1" s="1"/>
  <c r="AG54" i="1" s="1" a="1"/>
  <c r="AG54" i="1" s="1"/>
  <c r="AG55" i="1" s="1" a="1"/>
  <c r="AG55" i="1" s="1"/>
  <c r="AG56" i="1" s="1" a="1"/>
  <c r="AG56" i="1" s="1"/>
  <c r="AG57" i="1" s="1" a="1"/>
  <c r="AG57" i="1" s="1"/>
  <c r="AG58" i="1" s="1" a="1"/>
  <c r="AG58" i="1" s="1"/>
  <c r="AG59" i="1" s="1" a="1"/>
  <c r="AG59" i="1" s="1"/>
  <c r="AG60" i="1" s="1" a="1"/>
  <c r="AG60" i="1" s="1"/>
  <c r="AG61" i="1" s="1" a="1"/>
  <c r="AG61" i="1" s="1"/>
  <c r="AG62" i="1" s="1" a="1"/>
  <c r="AG62" i="1" s="1"/>
  <c r="AG63" i="1" s="1" a="1"/>
  <c r="AG63" i="1" s="1"/>
  <c r="AG64" i="1" s="1" a="1"/>
  <c r="AG64" i="1" s="1"/>
  <c r="AG65" i="1" s="1" a="1"/>
  <c r="AG65" i="1" s="1"/>
  <c r="AG66" i="1" s="1" a="1"/>
  <c r="AG66" i="1" s="1"/>
  <c r="AG67" i="1" s="1" a="1"/>
  <c r="AG67" i="1" s="1"/>
  <c r="AG68" i="1" s="1" a="1"/>
  <c r="AG68" i="1" s="1"/>
  <c r="AG69" i="1" s="1" a="1"/>
  <c r="AG69" i="1" s="1"/>
  <c r="AG70" i="1" s="1" a="1"/>
  <c r="AG70" i="1" s="1"/>
  <c r="AG71" i="1" s="1" a="1"/>
  <c r="AG71" i="1" s="1"/>
  <c r="AG72" i="1" s="1" a="1"/>
  <c r="AG72" i="1" s="1"/>
  <c r="AG73" i="1" s="1" a="1"/>
  <c r="AG73" i="1" s="1"/>
  <c r="AG74" i="1" s="1" a="1"/>
  <c r="AG74" i="1" s="1"/>
  <c r="AG75" i="1" s="1" a="1"/>
  <c r="AG75" i="1" s="1"/>
  <c r="AG76" i="1" s="1" a="1"/>
  <c r="AG76" i="1" s="1"/>
  <c r="AG77" i="1" s="1" a="1"/>
  <c r="AG77" i="1" s="1"/>
  <c r="AG78" i="1" s="1" a="1"/>
  <c r="AG78" i="1" s="1"/>
  <c r="AG79" i="1" s="1" a="1"/>
  <c r="AG79" i="1" s="1"/>
  <c r="AG80" i="1" s="1" a="1"/>
  <c r="AG80" i="1" s="1"/>
  <c r="AG81" i="1" s="1" a="1"/>
  <c r="AG81" i="1" s="1"/>
  <c r="CD18" i="1"/>
  <c r="CC19" i="1"/>
  <c r="CF18" i="1"/>
  <c r="CG18" i="1"/>
  <c r="BT19" i="1"/>
  <c r="BU19" i="1" s="1"/>
  <c r="BR20" i="1" a="1"/>
  <c r="BR20" i="1" s="1"/>
  <c r="CB19" i="1"/>
  <c r="BS19" i="1"/>
  <c r="X19" i="1" a="1"/>
  <c r="X19" i="1" s="1"/>
  <c r="CD19" i="1" l="1"/>
  <c r="CC20" i="1"/>
  <c r="X20" i="1" a="1"/>
  <c r="X20" i="1" s="1"/>
  <c r="Z20" i="1" s="1"/>
  <c r="CF19" i="1"/>
  <c r="CG19" i="1"/>
  <c r="BR21" i="1" a="1"/>
  <c r="BR21" i="1" s="1"/>
  <c r="BT20" i="1"/>
  <c r="BU20" i="1" s="1"/>
  <c r="CB20" i="1"/>
  <c r="BS20" i="1"/>
  <c r="CD20" i="1" l="1"/>
  <c r="CC21" i="1"/>
  <c r="BW21" i="1"/>
  <c r="AJ20" i="1"/>
  <c r="X21" i="1" a="1"/>
  <c r="X21" i="1" s="1"/>
  <c r="CF20" i="1"/>
  <c r="CG20" i="1"/>
  <c r="BR22" i="1" a="1"/>
  <c r="BR22" i="1" s="1"/>
  <c r="BT21" i="1"/>
  <c r="BU21" i="1" s="1"/>
  <c r="CB21" i="1"/>
  <c r="CD21" i="1" s="1"/>
  <c r="BS21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13" i="1"/>
  <c r="BT22" i="1" l="1"/>
  <c r="BU22" i="1" s="1"/>
  <c r="BW22" i="1"/>
  <c r="AJ21" i="1"/>
  <c r="X22" i="1" a="1"/>
  <c r="X22" i="1" s="1"/>
  <c r="Z22" i="1" s="1"/>
  <c r="Z21" i="1"/>
  <c r="CF21" i="1"/>
  <c r="CG21" i="1"/>
  <c r="BR23" i="1" a="1"/>
  <c r="BR23" i="1" s="1"/>
  <c r="BS22" i="1"/>
  <c r="CB22" i="1"/>
  <c r="BY22" i="1"/>
  <c r="CC22" i="1"/>
  <c r="BX23" i="1" l="1"/>
  <c r="BW23" i="1"/>
  <c r="AJ22" i="1"/>
  <c r="X23" i="1" a="1"/>
  <c r="X23" i="1" s="1"/>
  <c r="Z23" i="1" s="1"/>
  <c r="CG22" i="1"/>
  <c r="CF22" i="1"/>
  <c r="CD22" i="1"/>
  <c r="BT23" i="1"/>
  <c r="BU23" i="1" s="1"/>
  <c r="BR24" i="1" a="1"/>
  <c r="BR24" i="1" s="1"/>
  <c r="BW24" i="1" s="1"/>
  <c r="BS23" i="1"/>
  <c r="BV23" i="1"/>
  <c r="CC23" i="1"/>
  <c r="CE23" i="1"/>
  <c r="BZ23" i="1"/>
  <c r="CB23" i="1"/>
  <c r="CD23" i="1" s="1"/>
  <c r="BY23" i="1"/>
  <c r="CA2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13" i="1"/>
  <c r="AJ23" i="1" l="1"/>
  <c r="X24" i="1" a="1"/>
  <c r="X24" i="1" s="1"/>
  <c r="Z24" i="1" s="1"/>
  <c r="CG23" i="1"/>
  <c r="CF23" i="1"/>
  <c r="BX24" i="1"/>
  <c r="BR25" i="1" a="1"/>
  <c r="BR25" i="1" s="1"/>
  <c r="BW25" i="1" s="1"/>
  <c r="BZ24" i="1"/>
  <c r="BS24" i="1"/>
  <c r="CB24" i="1"/>
  <c r="CD24" i="1" s="1"/>
  <c r="BV24" i="1"/>
  <c r="CC24" i="1"/>
  <c r="CE24" i="1"/>
  <c r="BT24" i="1"/>
  <c r="BU24" i="1" s="1"/>
  <c r="BY24" i="1"/>
  <c r="CA24" i="1"/>
  <c r="Y13" i="1"/>
  <c r="Y15" i="1"/>
  <c r="Y16" i="1"/>
  <c r="Y14" i="1"/>
  <c r="AJ24" i="1" l="1"/>
  <c r="X25" i="1" a="1"/>
  <c r="X25" i="1" s="1"/>
  <c r="Z25" i="1" s="1"/>
  <c r="CG24" i="1"/>
  <c r="CF24" i="1"/>
  <c r="BT25" i="1"/>
  <c r="BU25" i="1" s="1"/>
  <c r="BR26" i="1" a="1"/>
  <c r="BR26" i="1" s="1"/>
  <c r="BZ25" i="1"/>
  <c r="BS25" i="1"/>
  <c r="CB25" i="1"/>
  <c r="CD25" i="1" s="1"/>
  <c r="CC25" i="1"/>
  <c r="CE25" i="1"/>
  <c r="BV25" i="1"/>
  <c r="BX25" i="1"/>
  <c r="BY25" i="1"/>
  <c r="CA25" i="1"/>
  <c r="BV26" i="1" l="1"/>
  <c r="BW26" i="1"/>
  <c r="X26" i="1" a="1"/>
  <c r="X26" i="1" s="1"/>
  <c r="Z26" i="1" s="1"/>
  <c r="CG25" i="1"/>
  <c r="CF25" i="1"/>
  <c r="AJ25" i="1"/>
  <c r="CB26" i="1"/>
  <c r="CD26" i="1" s="1"/>
  <c r="BS26" i="1"/>
  <c r="BR27" i="1" a="1"/>
  <c r="BR27" i="1" s="1"/>
  <c r="BY26" i="1"/>
  <c r="BT26" i="1"/>
  <c r="BU26" i="1" s="1"/>
  <c r="CA26" i="1"/>
  <c r="CC26" i="1"/>
  <c r="CE26" i="1"/>
  <c r="BX26" i="1"/>
  <c r="BZ26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13" i="1"/>
  <c r="BR28" i="1" l="1" a="1"/>
  <c r="BR28" i="1" s="1"/>
  <c r="BW28" i="1" s="1"/>
  <c r="BW27" i="1"/>
  <c r="AJ26" i="1"/>
  <c r="X27" i="1" a="1"/>
  <c r="X27" i="1" s="1"/>
  <c r="Z27" i="1" s="1"/>
  <c r="CF26" i="1"/>
  <c r="CG26" i="1"/>
  <c r="BY27" i="1"/>
  <c r="BT27" i="1"/>
  <c r="BU27" i="1" s="1"/>
  <c r="CA27" i="1"/>
  <c r="CE27" i="1"/>
  <c r="CC27" i="1"/>
  <c r="BS27" i="1"/>
  <c r="BV27" i="1"/>
  <c r="BX27" i="1"/>
  <c r="BZ27" i="1"/>
  <c r="CB27" i="1"/>
  <c r="CD27" i="1" s="1"/>
  <c r="AS15" i="1"/>
  <c r="AS17" i="1"/>
  <c r="AS18" i="1"/>
  <c r="AS19" i="1"/>
  <c r="AS20" i="1"/>
  <c r="AS21" i="1"/>
  <c r="AS22" i="1"/>
  <c r="Z18" i="1" s="1"/>
  <c r="AS23" i="1"/>
  <c r="AS24" i="1"/>
  <c r="AS25" i="1"/>
  <c r="AS26" i="1"/>
  <c r="BW20" i="1" s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CE22" i="1" s="1"/>
  <c r="AS13" i="1"/>
  <c r="AS14" i="1"/>
  <c r="Z17" i="1" l="1"/>
  <c r="Z19" i="1"/>
  <c r="AJ27" i="1"/>
  <c r="BW19" i="1"/>
  <c r="CE19" i="1" s="1"/>
  <c r="BW16" i="1"/>
  <c r="CE16" i="1" s="1"/>
  <c r="BW18" i="1"/>
  <c r="CE18" i="1" s="1"/>
  <c r="BW17" i="1"/>
  <c r="CE17" i="1" s="1"/>
  <c r="BW15" i="1"/>
  <c r="CE15" i="1" s="1"/>
  <c r="BW14" i="1"/>
  <c r="CE14" i="1" s="1"/>
  <c r="Z16" i="1"/>
  <c r="BX28" i="1"/>
  <c r="BZ28" i="1"/>
  <c r="CC28" i="1"/>
  <c r="CB28" i="1"/>
  <c r="CD28" i="1" s="1"/>
  <c r="BY28" i="1"/>
  <c r="BS28" i="1"/>
  <c r="CF28" i="1" s="1"/>
  <c r="CA28" i="1"/>
  <c r="CE28" i="1"/>
  <c r="BT28" i="1"/>
  <c r="BU28" i="1" s="1"/>
  <c r="BR29" i="1" a="1"/>
  <c r="BR29" i="1" s="1"/>
  <c r="BW29" i="1" s="1"/>
  <c r="BV28" i="1"/>
  <c r="Z14" i="1"/>
  <c r="X28" i="1" a="1"/>
  <c r="X28" i="1" s="1"/>
  <c r="Z28" i="1" s="1"/>
  <c r="Z15" i="1"/>
  <c r="Z13" i="1"/>
  <c r="CF27" i="1"/>
  <c r="CG27" i="1"/>
  <c r="CE21" i="1"/>
  <c r="CE20" i="1"/>
  <c r="AS82" i="1"/>
  <c r="AJ28" i="1" l="1"/>
  <c r="CG28" i="1"/>
  <c r="BX29" i="1"/>
  <c r="CB29" i="1"/>
  <c r="CD29" i="1" s="1"/>
  <c r="BZ29" i="1"/>
  <c r="BS29" i="1"/>
  <c r="CG29" i="1" s="1"/>
  <c r="BV29" i="1"/>
  <c r="BY29" i="1"/>
  <c r="BT29" i="1"/>
  <c r="BU29" i="1" s="1"/>
  <c r="CA29" i="1"/>
  <c r="CC29" i="1"/>
  <c r="BR30" i="1" a="1"/>
  <c r="BR30" i="1" s="1"/>
  <c r="BW30" i="1" s="1"/>
  <c r="CE29" i="1"/>
  <c r="X29" i="1" a="1"/>
  <c r="X29" i="1" s="1"/>
  <c r="AJ29" i="1" l="1"/>
  <c r="CF29" i="1"/>
  <c r="BR31" i="1" a="1"/>
  <c r="BR31" i="1" s="1"/>
  <c r="BW31" i="1" s="1"/>
  <c r="CC30" i="1"/>
  <c r="BX30" i="1"/>
  <c r="BZ30" i="1"/>
  <c r="CB30" i="1"/>
  <c r="CD30" i="1" s="1"/>
  <c r="BS30" i="1"/>
  <c r="CF30" i="1" s="1"/>
  <c r="BY30" i="1"/>
  <c r="CA30" i="1"/>
  <c r="CE30" i="1"/>
  <c r="BT30" i="1"/>
  <c r="BU30" i="1" s="1"/>
  <c r="BV30" i="1"/>
  <c r="X30" i="1" a="1"/>
  <c r="X30" i="1" s="1"/>
  <c r="Z29" i="1"/>
  <c r="Y29" i="1"/>
  <c r="AJ30" i="1" l="1"/>
  <c r="CG30" i="1"/>
  <c r="BR32" i="1" a="1"/>
  <c r="BR32" i="1" s="1"/>
  <c r="BW32" i="1" s="1"/>
  <c r="BY31" i="1"/>
  <c r="CE31" i="1"/>
  <c r="BS31" i="1"/>
  <c r="CG31" i="1" s="1"/>
  <c r="CA31" i="1"/>
  <c r="CC31" i="1"/>
  <c r="BZ31" i="1"/>
  <c r="CB31" i="1"/>
  <c r="CD31" i="1" s="1"/>
  <c r="BT31" i="1"/>
  <c r="BU31" i="1" s="1"/>
  <c r="BV31" i="1"/>
  <c r="BX31" i="1"/>
  <c r="Z30" i="1"/>
  <c r="Y30" i="1"/>
  <c r="X31" i="1" a="1"/>
  <c r="X31" i="1" s="1"/>
  <c r="AJ31" i="1" l="1"/>
  <c r="CF31" i="1"/>
  <c r="BX32" i="1"/>
  <c r="BZ32" i="1"/>
  <c r="CB32" i="1"/>
  <c r="CD32" i="1" s="1"/>
  <c r="BR33" i="1" a="1"/>
  <c r="BR33" i="1" s="1"/>
  <c r="BW33" i="1" s="1"/>
  <c r="BY32" i="1"/>
  <c r="CE32" i="1"/>
  <c r="CA32" i="1"/>
  <c r="CC32" i="1"/>
  <c r="BS32" i="1"/>
  <c r="CG32" i="1" s="1"/>
  <c r="BT32" i="1"/>
  <c r="BU32" i="1" s="1"/>
  <c r="BV32" i="1"/>
  <c r="Z31" i="1"/>
  <c r="Y31" i="1"/>
  <c r="X32" i="1" a="1"/>
  <c r="X32" i="1" s="1"/>
  <c r="AJ32" i="1" l="1"/>
  <c r="BR34" i="1" a="1"/>
  <c r="BR34" i="1" s="1"/>
  <c r="BW34" i="1" s="1"/>
  <c r="CA33" i="1"/>
  <c r="CE33" i="1"/>
  <c r="BT33" i="1"/>
  <c r="BU33" i="1" s="1"/>
  <c r="BZ33" i="1"/>
  <c r="CB33" i="1"/>
  <c r="CD33" i="1" s="1"/>
  <c r="BY33" i="1"/>
  <c r="BS33" i="1"/>
  <c r="CG33" i="1" s="1"/>
  <c r="CC33" i="1"/>
  <c r="BV33" i="1"/>
  <c r="CF32" i="1"/>
  <c r="BX33" i="1"/>
  <c r="Z32" i="1"/>
  <c r="Y32" i="1"/>
  <c r="X33" i="1" a="1"/>
  <c r="X33" i="1" s="1"/>
  <c r="X34" i="1" s="1" a="1"/>
  <c r="X34" i="1" s="1"/>
  <c r="AJ33" i="1" l="1"/>
  <c r="BR35" i="1" a="1"/>
  <c r="BR35" i="1" s="1"/>
  <c r="BW35" i="1" s="1"/>
  <c r="BV34" i="1"/>
  <c r="BX34" i="1"/>
  <c r="CC34" i="1"/>
  <c r="BY34" i="1"/>
  <c r="CA34" i="1"/>
  <c r="BT34" i="1"/>
  <c r="BU34" i="1" s="1"/>
  <c r="CE34" i="1"/>
  <c r="BZ34" i="1"/>
  <c r="CF33" i="1"/>
  <c r="CB34" i="1"/>
  <c r="CD34" i="1" s="1"/>
  <c r="BS34" i="1"/>
  <c r="CF34" i="1" s="1"/>
  <c r="Z34" i="1"/>
  <c r="Y34" i="1"/>
  <c r="Z33" i="1"/>
  <c r="Y33" i="1"/>
  <c r="X35" i="1" a="1"/>
  <c r="X35" i="1" s="1"/>
  <c r="Z35" i="1" s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O25" i="1" s="1"/>
  <c r="BE25" i="1" s="1"/>
  <c r="AP26" i="1"/>
  <c r="AP27" i="1"/>
  <c r="AP28" i="1"/>
  <c r="AP29" i="1"/>
  <c r="AP30" i="1"/>
  <c r="AP31" i="1"/>
  <c r="AP32" i="1"/>
  <c r="AP33" i="1"/>
  <c r="AO33" i="1" s="1"/>
  <c r="BE33" i="1" s="1"/>
  <c r="AP34" i="1"/>
  <c r="AP35" i="1"/>
  <c r="AP36" i="1"/>
  <c r="AP37" i="1"/>
  <c r="AP38" i="1"/>
  <c r="AP39" i="1"/>
  <c r="AO39" i="1" s="1"/>
  <c r="BE39" i="1" s="1"/>
  <c r="AP40" i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3" i="1"/>
  <c r="AO53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13" i="1"/>
  <c r="AN13" i="1"/>
  <c r="AU81" i="1" l="1"/>
  <c r="BE81" i="1"/>
  <c r="AU73" i="1"/>
  <c r="BE73" i="1"/>
  <c r="AU65" i="1"/>
  <c r="BE65" i="1"/>
  <c r="AU57" i="1"/>
  <c r="BE57" i="1"/>
  <c r="AU49" i="1"/>
  <c r="BE49" i="1"/>
  <c r="AU41" i="1"/>
  <c r="BE41" i="1"/>
  <c r="AU66" i="1"/>
  <c r="BE66" i="1"/>
  <c r="AU80" i="1"/>
  <c r="BE80" i="1"/>
  <c r="AU79" i="1"/>
  <c r="BE79" i="1"/>
  <c r="AU71" i="1"/>
  <c r="BE71" i="1"/>
  <c r="AU63" i="1"/>
  <c r="BE63" i="1"/>
  <c r="AU55" i="1"/>
  <c r="BE55" i="1"/>
  <c r="AU47" i="1"/>
  <c r="BE47" i="1"/>
  <c r="AU50" i="1"/>
  <c r="BE50" i="1"/>
  <c r="AU48" i="1"/>
  <c r="BE48" i="1"/>
  <c r="AU78" i="1"/>
  <c r="BE78" i="1"/>
  <c r="AU70" i="1"/>
  <c r="BE70" i="1"/>
  <c r="AU62" i="1"/>
  <c r="BE62" i="1"/>
  <c r="AU54" i="1"/>
  <c r="BE54" i="1"/>
  <c r="AU46" i="1"/>
  <c r="BE46" i="1"/>
  <c r="AU42" i="1"/>
  <c r="BE42" i="1"/>
  <c r="AU64" i="1"/>
  <c r="BE64" i="1"/>
  <c r="AU77" i="1"/>
  <c r="BE77" i="1"/>
  <c r="AU69" i="1"/>
  <c r="BE69" i="1"/>
  <c r="AU61" i="1"/>
  <c r="BE61" i="1"/>
  <c r="AU53" i="1"/>
  <c r="BE53" i="1"/>
  <c r="AU45" i="1"/>
  <c r="BE45" i="1"/>
  <c r="AU58" i="1"/>
  <c r="BE58" i="1"/>
  <c r="AU72" i="1"/>
  <c r="BE72" i="1"/>
  <c r="AU76" i="1"/>
  <c r="BE76" i="1"/>
  <c r="AU68" i="1"/>
  <c r="BE68" i="1"/>
  <c r="AU60" i="1"/>
  <c r="BE60" i="1"/>
  <c r="AU52" i="1"/>
  <c r="BE52" i="1"/>
  <c r="AU44" i="1"/>
  <c r="BE44" i="1"/>
  <c r="AU74" i="1"/>
  <c r="BE74" i="1"/>
  <c r="AU56" i="1"/>
  <c r="BE56" i="1"/>
  <c r="AU75" i="1"/>
  <c r="BE75" i="1"/>
  <c r="AU67" i="1"/>
  <c r="BE67" i="1"/>
  <c r="AU59" i="1"/>
  <c r="BE59" i="1"/>
  <c r="AU51" i="1"/>
  <c r="BE51" i="1"/>
  <c r="AU43" i="1"/>
  <c r="BE43" i="1"/>
  <c r="AJ34" i="1"/>
  <c r="CG34" i="1"/>
  <c r="CB35" i="1"/>
  <c r="CD35" i="1" s="1"/>
  <c r="BX35" i="1"/>
  <c r="CE35" i="1"/>
  <c r="BZ35" i="1"/>
  <c r="BS35" i="1"/>
  <c r="CG35" i="1" s="1"/>
  <c r="BY35" i="1"/>
  <c r="CA35" i="1"/>
  <c r="BR36" i="1" a="1"/>
  <c r="BR36" i="1" s="1"/>
  <c r="BW36" i="1" s="1"/>
  <c r="BT35" i="1"/>
  <c r="BU35" i="1" s="1"/>
  <c r="BV35" i="1"/>
  <c r="CC35" i="1"/>
  <c r="Y35" i="1"/>
  <c r="X36" i="1" a="1"/>
  <c r="X36" i="1" s="1"/>
  <c r="Z36" i="1" s="1"/>
  <c r="AO40" i="1"/>
  <c r="AO36" i="1"/>
  <c r="BE36" i="1" s="1"/>
  <c r="AO38" i="1"/>
  <c r="BE38" i="1" s="1"/>
  <c r="AO37" i="1"/>
  <c r="BE37" i="1" s="1"/>
  <c r="AO35" i="1"/>
  <c r="BE35" i="1" s="1"/>
  <c r="AO27" i="1"/>
  <c r="BE27" i="1" s="1"/>
  <c r="AO30" i="1"/>
  <c r="BE30" i="1" s="1"/>
  <c r="AO34" i="1"/>
  <c r="BE34" i="1" s="1"/>
  <c r="AO32" i="1"/>
  <c r="BE32" i="1" s="1"/>
  <c r="AO31" i="1"/>
  <c r="BE31" i="1" s="1"/>
  <c r="AO29" i="1"/>
  <c r="BE29" i="1" s="1"/>
  <c r="AO28" i="1"/>
  <c r="BE28" i="1" s="1"/>
  <c r="AO26" i="1"/>
  <c r="BE26" i="1" s="1"/>
  <c r="P13" i="1" a="1"/>
  <c r="P13" i="1" s="1"/>
  <c r="AU40" i="1" l="1"/>
  <c r="BE40" i="1"/>
  <c r="AJ35" i="1"/>
  <c r="CF35" i="1"/>
  <c r="BY36" i="1"/>
  <c r="CC36" i="1"/>
  <c r="BV36" i="1"/>
  <c r="BT36" i="1"/>
  <c r="BU36" i="1" s="1"/>
  <c r="BX36" i="1"/>
  <c r="BZ36" i="1"/>
  <c r="CB36" i="1"/>
  <c r="CD36" i="1" s="1"/>
  <c r="BS36" i="1"/>
  <c r="CG36" i="1" s="1"/>
  <c r="CA36" i="1"/>
  <c r="CE36" i="1"/>
  <c r="BR37" i="1" a="1"/>
  <c r="BR37" i="1" s="1"/>
  <c r="BW37" i="1" s="1"/>
  <c r="Y36" i="1"/>
  <c r="X37" i="1" a="1"/>
  <c r="X37" i="1" s="1"/>
  <c r="Z37" i="1" s="1"/>
  <c r="BX22" i="1"/>
  <c r="AT40" i="1"/>
  <c r="BV22" i="1" s="1"/>
  <c r="BZ22" i="1" s="1"/>
  <c r="CA22" i="1" s="1"/>
  <c r="R13" i="1"/>
  <c r="Q13" i="1"/>
  <c r="T13" i="1"/>
  <c r="S13" i="1"/>
  <c r="U13" i="1"/>
  <c r="V13" i="1"/>
  <c r="P14" i="1" a="1"/>
  <c r="P14" i="1" s="1"/>
  <c r="AJ36" i="1" l="1"/>
  <c r="CF36" i="1"/>
  <c r="BR38" i="1" a="1"/>
  <c r="BR38" i="1" s="1"/>
  <c r="BW38" i="1" s="1"/>
  <c r="BZ37" i="1"/>
  <c r="CE37" i="1"/>
  <c r="BS37" i="1"/>
  <c r="CF37" i="1" s="1"/>
  <c r="BY37" i="1"/>
  <c r="CA37" i="1"/>
  <c r="BV37" i="1"/>
  <c r="CB37" i="1"/>
  <c r="CD37" i="1" s="1"/>
  <c r="BX37" i="1"/>
  <c r="CC37" i="1"/>
  <c r="BT37" i="1"/>
  <c r="BU37" i="1" s="1"/>
  <c r="Y37" i="1"/>
  <c r="X38" i="1" a="1"/>
  <c r="X38" i="1" s="1"/>
  <c r="Z38" i="1" s="1"/>
  <c r="R14" i="1"/>
  <c r="Q14" i="1"/>
  <c r="T14" i="1"/>
  <c r="S14" i="1"/>
  <c r="U14" i="1"/>
  <c r="V14" i="1"/>
  <c r="P15" i="1" a="1"/>
  <c r="P15" i="1" s="1"/>
  <c r="AJ37" i="1" l="1"/>
  <c r="CG37" i="1"/>
  <c r="BR39" i="1" a="1"/>
  <c r="BR39" i="1" s="1"/>
  <c r="BW39" i="1" s="1"/>
  <c r="BY38" i="1"/>
  <c r="CC38" i="1"/>
  <c r="CB38" i="1"/>
  <c r="CD38" i="1" s="1"/>
  <c r="BS38" i="1"/>
  <c r="CF38" i="1" s="1"/>
  <c r="CA38" i="1"/>
  <c r="CE38" i="1"/>
  <c r="BZ38" i="1"/>
  <c r="BT38" i="1"/>
  <c r="BU38" i="1" s="1"/>
  <c r="BV38" i="1"/>
  <c r="BX38" i="1"/>
  <c r="Y38" i="1"/>
  <c r="X39" i="1" a="1"/>
  <c r="X39" i="1" s="1"/>
  <c r="Z39" i="1" s="1"/>
  <c r="Q15" i="1"/>
  <c r="T15" i="1"/>
  <c r="S15" i="1"/>
  <c r="R15" i="1"/>
  <c r="U15" i="1"/>
  <c r="V15" i="1"/>
  <c r="P16" i="1" a="1"/>
  <c r="P16" i="1" s="1"/>
  <c r="AJ38" i="1" l="1"/>
  <c r="CG38" i="1"/>
  <c r="BR40" i="1" a="1"/>
  <c r="BR40" i="1" s="1"/>
  <c r="BW40" i="1" s="1"/>
  <c r="BY39" i="1"/>
  <c r="CE39" i="1"/>
  <c r="CB39" i="1"/>
  <c r="CD39" i="1" s="1"/>
  <c r="BS39" i="1"/>
  <c r="CG39" i="1" s="1"/>
  <c r="CA39" i="1"/>
  <c r="CC39" i="1"/>
  <c r="BZ39" i="1"/>
  <c r="BV39" i="1"/>
  <c r="BT39" i="1"/>
  <c r="BU39" i="1" s="1"/>
  <c r="BX39" i="1"/>
  <c r="X40" i="1" a="1"/>
  <c r="X40" i="1" s="1"/>
  <c r="Z40" i="1" s="1"/>
  <c r="Y39" i="1"/>
  <c r="T16" i="1"/>
  <c r="S16" i="1"/>
  <c r="R16" i="1"/>
  <c r="Q16" i="1"/>
  <c r="U16" i="1"/>
  <c r="V16" i="1"/>
  <c r="P17" i="1" a="1"/>
  <c r="P17" i="1" s="1"/>
  <c r="AJ39" i="1" l="1"/>
  <c r="CF39" i="1"/>
  <c r="BR41" i="1" a="1"/>
  <c r="BR41" i="1" s="1"/>
  <c r="BW41" i="1" s="1"/>
  <c r="BY40" i="1"/>
  <c r="CE40" i="1"/>
  <c r="BS40" i="1"/>
  <c r="CG40" i="1" s="1"/>
  <c r="CA40" i="1"/>
  <c r="CC40" i="1"/>
  <c r="BT40" i="1"/>
  <c r="BU40" i="1" s="1"/>
  <c r="BV40" i="1"/>
  <c r="BZ40" i="1"/>
  <c r="CB40" i="1"/>
  <c r="CD40" i="1" s="1"/>
  <c r="BX40" i="1"/>
  <c r="Y40" i="1"/>
  <c r="X41" i="1" a="1"/>
  <c r="X41" i="1" s="1"/>
  <c r="Z41" i="1" s="1"/>
  <c r="R17" i="1"/>
  <c r="T17" i="1"/>
  <c r="S17" i="1"/>
  <c r="Q17" i="1"/>
  <c r="U17" i="1"/>
  <c r="P18" i="1" a="1"/>
  <c r="P18" i="1" s="1"/>
  <c r="V17" i="1"/>
  <c r="AJ40" i="1" l="1"/>
  <c r="CF40" i="1"/>
  <c r="BR42" i="1" a="1"/>
  <c r="BR42" i="1" s="1"/>
  <c r="BW42" i="1" s="1"/>
  <c r="CB41" i="1"/>
  <c r="CD41" i="1" s="1"/>
  <c r="BY41" i="1"/>
  <c r="CA41" i="1"/>
  <c r="CE41" i="1"/>
  <c r="BS41" i="1"/>
  <c r="CG41" i="1" s="1"/>
  <c r="CC41" i="1"/>
  <c r="BZ41" i="1"/>
  <c r="BT41" i="1"/>
  <c r="BU41" i="1" s="1"/>
  <c r="BV41" i="1"/>
  <c r="BX41" i="1"/>
  <c r="Y41" i="1"/>
  <c r="X42" i="1" a="1"/>
  <c r="X42" i="1" s="1"/>
  <c r="Z42" i="1" s="1"/>
  <c r="S18" i="1"/>
  <c r="Q18" i="1"/>
  <c r="R18" i="1"/>
  <c r="T18" i="1"/>
  <c r="P19" i="1" a="1"/>
  <c r="P19" i="1" s="1"/>
  <c r="U18" i="1"/>
  <c r="V18" i="1"/>
  <c r="AJ41" i="1" l="1"/>
  <c r="CF41" i="1"/>
  <c r="BR43" i="1" a="1"/>
  <c r="BR43" i="1" s="1"/>
  <c r="BW43" i="1" s="1"/>
  <c r="BV42" i="1"/>
  <c r="CE42" i="1"/>
  <c r="BS42" i="1"/>
  <c r="CF42" i="1" s="1"/>
  <c r="BY42" i="1"/>
  <c r="CA42" i="1"/>
  <c r="BT42" i="1"/>
  <c r="BU42" i="1" s="1"/>
  <c r="BX42" i="1"/>
  <c r="CC42" i="1"/>
  <c r="BZ42" i="1"/>
  <c r="CB42" i="1"/>
  <c r="CD42" i="1" s="1"/>
  <c r="X43" i="1" a="1"/>
  <c r="X43" i="1" s="1"/>
  <c r="Z43" i="1" s="1"/>
  <c r="Y42" i="1"/>
  <c r="S19" i="1"/>
  <c r="T19" i="1"/>
  <c r="R19" i="1"/>
  <c r="Q19" i="1"/>
  <c r="V19" i="1"/>
  <c r="P20" i="1" a="1"/>
  <c r="P20" i="1" s="1"/>
  <c r="U19" i="1"/>
  <c r="AJ42" i="1" l="1"/>
  <c r="CG42" i="1"/>
  <c r="BR44" i="1" a="1"/>
  <c r="BR44" i="1" s="1"/>
  <c r="BW44" i="1" s="1"/>
  <c r="BT43" i="1"/>
  <c r="BU43" i="1" s="1"/>
  <c r="BV43" i="1"/>
  <c r="CC43" i="1"/>
  <c r="BX43" i="1"/>
  <c r="CE43" i="1"/>
  <c r="BY43" i="1"/>
  <c r="CA43" i="1"/>
  <c r="BZ43" i="1"/>
  <c r="CB43" i="1"/>
  <c r="CD43" i="1" s="1"/>
  <c r="BS43" i="1"/>
  <c r="CF43" i="1" s="1"/>
  <c r="X44" i="1" a="1"/>
  <c r="X44" i="1" s="1"/>
  <c r="Z44" i="1" s="1"/>
  <c r="Y43" i="1"/>
  <c r="S20" i="1"/>
  <c r="R20" i="1"/>
  <c r="Q20" i="1"/>
  <c r="T20" i="1"/>
  <c r="U20" i="1"/>
  <c r="V20" i="1"/>
  <c r="P21" i="1" a="1"/>
  <c r="P21" i="1" s="1"/>
  <c r="AJ43" i="1" l="1"/>
  <c r="CG43" i="1"/>
  <c r="BR45" i="1" a="1"/>
  <c r="BR45" i="1" s="1"/>
  <c r="BW45" i="1" s="1"/>
  <c r="BV44" i="1"/>
  <c r="BT44" i="1"/>
  <c r="BU44" i="1" s="1"/>
  <c r="CC44" i="1"/>
  <c r="BX44" i="1"/>
  <c r="CE44" i="1"/>
  <c r="BY44" i="1"/>
  <c r="CA44" i="1"/>
  <c r="BZ44" i="1"/>
  <c r="CB44" i="1"/>
  <c r="CD44" i="1" s="1"/>
  <c r="BS44" i="1"/>
  <c r="CF44" i="1" s="1"/>
  <c r="X45" i="1" a="1"/>
  <c r="X45" i="1" s="1"/>
  <c r="Z45" i="1" s="1"/>
  <c r="Y44" i="1"/>
  <c r="R21" i="1"/>
  <c r="Q21" i="1"/>
  <c r="T21" i="1"/>
  <c r="S21" i="1"/>
  <c r="U21" i="1"/>
  <c r="P22" i="1" a="1"/>
  <c r="P22" i="1" s="1"/>
  <c r="V21" i="1"/>
  <c r="AJ44" i="1" l="1"/>
  <c r="CG44" i="1"/>
  <c r="BR46" i="1" a="1"/>
  <c r="BR46" i="1" s="1"/>
  <c r="BW46" i="1" s="1"/>
  <c r="BZ45" i="1"/>
  <c r="BX45" i="1"/>
  <c r="CC45" i="1"/>
  <c r="CB45" i="1"/>
  <c r="CD45" i="1" s="1"/>
  <c r="CE45" i="1"/>
  <c r="BY45" i="1"/>
  <c r="CA45" i="1"/>
  <c r="BT45" i="1"/>
  <c r="BU45" i="1" s="1"/>
  <c r="BV45" i="1"/>
  <c r="BS45" i="1"/>
  <c r="CF45" i="1" s="1"/>
  <c r="X46" i="1" a="1"/>
  <c r="X46" i="1" s="1"/>
  <c r="Z46" i="1" s="1"/>
  <c r="Y45" i="1"/>
  <c r="R22" i="1"/>
  <c r="Q22" i="1"/>
  <c r="T22" i="1"/>
  <c r="S22" i="1"/>
  <c r="P23" i="1" a="1"/>
  <c r="P23" i="1" s="1"/>
  <c r="U22" i="1"/>
  <c r="V22" i="1"/>
  <c r="AJ45" i="1" l="1"/>
  <c r="CG45" i="1"/>
  <c r="BR47" i="1" a="1"/>
  <c r="BR47" i="1" s="1"/>
  <c r="BW47" i="1" s="1"/>
  <c r="BT46" i="1"/>
  <c r="BU46" i="1" s="1"/>
  <c r="BV46" i="1"/>
  <c r="BX46" i="1"/>
  <c r="BZ46" i="1"/>
  <c r="CB46" i="1"/>
  <c r="CD46" i="1" s="1"/>
  <c r="BS46" i="1"/>
  <c r="CG46" i="1" s="1"/>
  <c r="BY46" i="1"/>
  <c r="CC46" i="1"/>
  <c r="CA46" i="1"/>
  <c r="CE46" i="1"/>
  <c r="X47" i="1" a="1"/>
  <c r="X47" i="1" s="1"/>
  <c r="Z47" i="1" s="1"/>
  <c r="Y46" i="1"/>
  <c r="Q23" i="1"/>
  <c r="T23" i="1"/>
  <c r="S23" i="1"/>
  <c r="R23" i="1"/>
  <c r="U23" i="1"/>
  <c r="P24" i="1" a="1"/>
  <c r="P24" i="1" s="1"/>
  <c r="V23" i="1"/>
  <c r="AJ46" i="1" l="1"/>
  <c r="CF46" i="1"/>
  <c r="BR48" i="1" a="1"/>
  <c r="BR48" i="1" s="1"/>
  <c r="BW48" i="1" s="1"/>
  <c r="BS47" i="1"/>
  <c r="CG47" i="1" s="1"/>
  <c r="BY47" i="1"/>
  <c r="CE47" i="1"/>
  <c r="CA47" i="1"/>
  <c r="CC47" i="1"/>
  <c r="CB47" i="1"/>
  <c r="CD47" i="1" s="1"/>
  <c r="BT47" i="1"/>
  <c r="BU47" i="1" s="1"/>
  <c r="BV47" i="1"/>
  <c r="BZ47" i="1"/>
  <c r="BX47" i="1"/>
  <c r="X48" i="1" a="1"/>
  <c r="X48" i="1" s="1"/>
  <c r="Z48" i="1" s="1"/>
  <c r="Y47" i="1"/>
  <c r="T24" i="1"/>
  <c r="S24" i="1"/>
  <c r="R24" i="1"/>
  <c r="Q24" i="1"/>
  <c r="U24" i="1"/>
  <c r="P25" i="1" a="1"/>
  <c r="P25" i="1" s="1"/>
  <c r="V24" i="1"/>
  <c r="AJ47" i="1" l="1"/>
  <c r="CF47" i="1"/>
  <c r="BR49" i="1" a="1"/>
  <c r="BR49" i="1" s="1"/>
  <c r="BW49" i="1" s="1"/>
  <c r="BS48" i="1"/>
  <c r="CG48" i="1" s="1"/>
  <c r="BY48" i="1"/>
  <c r="CE48" i="1"/>
  <c r="CA48" i="1"/>
  <c r="CC48" i="1"/>
  <c r="BZ48" i="1"/>
  <c r="CB48" i="1"/>
  <c r="CD48" i="1" s="1"/>
  <c r="BT48" i="1"/>
  <c r="BU48" i="1" s="1"/>
  <c r="BV48" i="1"/>
  <c r="BX48" i="1"/>
  <c r="X49" i="1" a="1"/>
  <c r="X49" i="1" s="1"/>
  <c r="Z49" i="1" s="1"/>
  <c r="Y48" i="1"/>
  <c r="R25" i="1"/>
  <c r="S25" i="1"/>
  <c r="T25" i="1"/>
  <c r="Q25" i="1"/>
  <c r="U25" i="1"/>
  <c r="V25" i="1"/>
  <c r="P26" i="1" a="1"/>
  <c r="P26" i="1" s="1"/>
  <c r="AJ48" i="1" l="1"/>
  <c r="CF48" i="1"/>
  <c r="BR50" i="1" a="1"/>
  <c r="BR50" i="1" s="1"/>
  <c r="BW50" i="1" s="1"/>
  <c r="BS49" i="1"/>
  <c r="CG49" i="1" s="1"/>
  <c r="CA49" i="1"/>
  <c r="CE49" i="1"/>
  <c r="BY49" i="1"/>
  <c r="CC49" i="1"/>
  <c r="BZ49" i="1"/>
  <c r="BV49" i="1"/>
  <c r="CB49" i="1"/>
  <c r="CD49" i="1" s="1"/>
  <c r="BT49" i="1"/>
  <c r="BU49" i="1" s="1"/>
  <c r="BX49" i="1"/>
  <c r="X50" i="1" a="1"/>
  <c r="X50" i="1" s="1"/>
  <c r="Z50" i="1" s="1"/>
  <c r="Y49" i="1"/>
  <c r="Q26" i="1"/>
  <c r="S26" i="1"/>
  <c r="R26" i="1"/>
  <c r="T26" i="1"/>
  <c r="P27" i="1" a="1"/>
  <c r="P27" i="1" s="1"/>
  <c r="U26" i="1"/>
  <c r="V26" i="1"/>
  <c r="AJ49" i="1" l="1"/>
  <c r="CF49" i="1"/>
  <c r="BR51" i="1" a="1"/>
  <c r="BR51" i="1" s="1"/>
  <c r="BW51" i="1" s="1"/>
  <c r="BZ50" i="1"/>
  <c r="CB50" i="1"/>
  <c r="CD50" i="1" s="1"/>
  <c r="BS50" i="1"/>
  <c r="CG50" i="1" s="1"/>
  <c r="BY50" i="1"/>
  <c r="CA50" i="1"/>
  <c r="BT50" i="1"/>
  <c r="BU50" i="1" s="1"/>
  <c r="BV50" i="1"/>
  <c r="CE50" i="1"/>
  <c r="BX50" i="1"/>
  <c r="CC50" i="1"/>
  <c r="X51" i="1" a="1"/>
  <c r="X51" i="1" s="1"/>
  <c r="Z51" i="1" s="1"/>
  <c r="Y50" i="1"/>
  <c r="V27" i="1"/>
  <c r="S27" i="1"/>
  <c r="R27" i="1"/>
  <c r="T27" i="1"/>
  <c r="Q27" i="1"/>
  <c r="P28" i="1" a="1"/>
  <c r="P28" i="1" s="1"/>
  <c r="U27" i="1"/>
  <c r="AJ50" i="1" l="1"/>
  <c r="CF50" i="1"/>
  <c r="BR52" i="1" a="1"/>
  <c r="BR52" i="1" s="1"/>
  <c r="BW52" i="1" s="1"/>
  <c r="BT51" i="1"/>
  <c r="BU51" i="1" s="1"/>
  <c r="BV51" i="1"/>
  <c r="CC51" i="1"/>
  <c r="BX51" i="1"/>
  <c r="CE51" i="1"/>
  <c r="CB51" i="1"/>
  <c r="CD51" i="1" s="1"/>
  <c r="BY51" i="1"/>
  <c r="CA51" i="1"/>
  <c r="BZ51" i="1"/>
  <c r="BS51" i="1"/>
  <c r="CF51" i="1" s="1"/>
  <c r="X52" i="1" a="1"/>
  <c r="X52" i="1" s="1"/>
  <c r="Z52" i="1" s="1"/>
  <c r="Y51" i="1"/>
  <c r="V28" i="1"/>
  <c r="S28" i="1"/>
  <c r="R28" i="1"/>
  <c r="Q28" i="1"/>
  <c r="T28" i="1"/>
  <c r="P29" i="1" a="1"/>
  <c r="P29" i="1" s="1"/>
  <c r="U28" i="1"/>
  <c r="AJ51" i="1" l="1"/>
  <c r="CG51" i="1"/>
  <c r="BR53" i="1" a="1"/>
  <c r="BR53" i="1" s="1"/>
  <c r="BW53" i="1" s="1"/>
  <c r="BT52" i="1"/>
  <c r="BU52" i="1" s="1"/>
  <c r="BV52" i="1"/>
  <c r="CC52" i="1"/>
  <c r="BX52" i="1"/>
  <c r="CE52" i="1"/>
  <c r="BZ52" i="1"/>
  <c r="CB52" i="1"/>
  <c r="CD52" i="1" s="1"/>
  <c r="BY52" i="1"/>
  <c r="CA52" i="1"/>
  <c r="BS52" i="1"/>
  <c r="CF52" i="1" s="1"/>
  <c r="X53" i="1" a="1"/>
  <c r="X53" i="1" s="1"/>
  <c r="Z53" i="1" s="1"/>
  <c r="Y52" i="1"/>
  <c r="P30" i="1" a="1"/>
  <c r="P30" i="1" s="1"/>
  <c r="P31" i="1" s="1" a="1"/>
  <c r="P31" i="1" s="1"/>
  <c r="R29" i="1"/>
  <c r="Q29" i="1"/>
  <c r="T29" i="1"/>
  <c r="S29" i="1"/>
  <c r="U29" i="1"/>
  <c r="V29" i="1"/>
  <c r="AJ52" i="1" l="1"/>
  <c r="CG52" i="1"/>
  <c r="BR54" i="1" a="1"/>
  <c r="BR54" i="1" s="1"/>
  <c r="BW54" i="1" s="1"/>
  <c r="CA53" i="1"/>
  <c r="BX53" i="1"/>
  <c r="BT53" i="1"/>
  <c r="BU53" i="1" s="1"/>
  <c r="CC53" i="1"/>
  <c r="CB53" i="1"/>
  <c r="CD53" i="1" s="1"/>
  <c r="CE53" i="1"/>
  <c r="BY53" i="1"/>
  <c r="BZ53" i="1"/>
  <c r="BV53" i="1"/>
  <c r="BS53" i="1"/>
  <c r="CF53" i="1" s="1"/>
  <c r="Y53" i="1"/>
  <c r="X54" i="1" a="1"/>
  <c r="X54" i="1" s="1"/>
  <c r="Z54" i="1" s="1"/>
  <c r="Q31" i="1"/>
  <c r="R31" i="1"/>
  <c r="T31" i="1"/>
  <c r="S31" i="1"/>
  <c r="V30" i="1"/>
  <c r="U30" i="1"/>
  <c r="R30" i="1"/>
  <c r="Q30" i="1"/>
  <c r="T30" i="1"/>
  <c r="S30" i="1"/>
  <c r="U31" i="1"/>
  <c r="V31" i="1"/>
  <c r="P32" i="1" a="1"/>
  <c r="P32" i="1" s="1"/>
  <c r="AJ53" i="1" l="1"/>
  <c r="CG53" i="1"/>
  <c r="BR55" i="1" a="1"/>
  <c r="BR55" i="1" s="1"/>
  <c r="BW55" i="1" s="1"/>
  <c r="CB54" i="1"/>
  <c r="CD54" i="1" s="1"/>
  <c r="BS54" i="1"/>
  <c r="CG54" i="1" s="1"/>
  <c r="BY54" i="1"/>
  <c r="CC54" i="1"/>
  <c r="CA54" i="1"/>
  <c r="CE54" i="1"/>
  <c r="BT54" i="1"/>
  <c r="BU54" i="1" s="1"/>
  <c r="BV54" i="1"/>
  <c r="BX54" i="1"/>
  <c r="BZ54" i="1"/>
  <c r="X55" i="1" a="1"/>
  <c r="X55" i="1" s="1"/>
  <c r="Z55" i="1" s="1"/>
  <c r="Y54" i="1"/>
  <c r="T32" i="1"/>
  <c r="S32" i="1"/>
  <c r="R32" i="1"/>
  <c r="Q32" i="1"/>
  <c r="U32" i="1"/>
  <c r="V32" i="1"/>
  <c r="P33" i="1" a="1"/>
  <c r="P33" i="1" s="1"/>
  <c r="AJ54" i="1" l="1"/>
  <c r="CF54" i="1"/>
  <c r="BR56" i="1" a="1"/>
  <c r="BR56" i="1" s="1"/>
  <c r="BW56" i="1" s="1"/>
  <c r="BY55" i="1"/>
  <c r="CE55" i="1"/>
  <c r="BS55" i="1"/>
  <c r="CG55" i="1" s="1"/>
  <c r="CA55" i="1"/>
  <c r="CC55" i="1"/>
  <c r="BZ55" i="1"/>
  <c r="BT55" i="1"/>
  <c r="BU55" i="1" s="1"/>
  <c r="BV55" i="1"/>
  <c r="CB55" i="1"/>
  <c r="CD55" i="1" s="1"/>
  <c r="BX55" i="1"/>
  <c r="X56" i="1" a="1"/>
  <c r="X56" i="1" s="1"/>
  <c r="Z56" i="1" s="1"/>
  <c r="Y55" i="1"/>
  <c r="R33" i="1"/>
  <c r="T33" i="1"/>
  <c r="S33" i="1"/>
  <c r="Q33" i="1"/>
  <c r="U33" i="1"/>
  <c r="V33" i="1"/>
  <c r="P34" i="1" a="1"/>
  <c r="P34" i="1" s="1"/>
  <c r="AJ55" i="1" l="1"/>
  <c r="CF55" i="1"/>
  <c r="BR57" i="1" a="1"/>
  <c r="BR57" i="1" s="1"/>
  <c r="BW57" i="1" s="1"/>
  <c r="BY56" i="1"/>
  <c r="CE56" i="1"/>
  <c r="BS56" i="1"/>
  <c r="CF56" i="1" s="1"/>
  <c r="CA56" i="1"/>
  <c r="CC56" i="1"/>
  <c r="CB56" i="1"/>
  <c r="CD56" i="1" s="1"/>
  <c r="BT56" i="1"/>
  <c r="BU56" i="1" s="1"/>
  <c r="BV56" i="1"/>
  <c r="BZ56" i="1"/>
  <c r="BX56" i="1"/>
  <c r="Y56" i="1"/>
  <c r="X57" i="1" a="1"/>
  <c r="X57" i="1" s="1"/>
  <c r="Z57" i="1" s="1"/>
  <c r="S34" i="1"/>
  <c r="Q34" i="1"/>
  <c r="R34" i="1"/>
  <c r="T34" i="1"/>
  <c r="U34" i="1"/>
  <c r="V34" i="1"/>
  <c r="P35" i="1" a="1"/>
  <c r="P35" i="1" s="1"/>
  <c r="AJ56" i="1" l="1"/>
  <c r="CG56" i="1"/>
  <c r="BR58" i="1" a="1"/>
  <c r="BR58" i="1" s="1"/>
  <c r="BW58" i="1" s="1"/>
  <c r="BY57" i="1"/>
  <c r="CE57" i="1"/>
  <c r="CB57" i="1"/>
  <c r="CD57" i="1" s="1"/>
  <c r="BS57" i="1"/>
  <c r="CG57" i="1" s="1"/>
  <c r="CA57" i="1"/>
  <c r="CC57" i="1"/>
  <c r="BZ57" i="1"/>
  <c r="BT57" i="1"/>
  <c r="BU57" i="1" s="1"/>
  <c r="BV57" i="1"/>
  <c r="BX57" i="1"/>
  <c r="X58" i="1" a="1"/>
  <c r="X58" i="1" s="1"/>
  <c r="Z58" i="1" s="1"/>
  <c r="Y57" i="1"/>
  <c r="S35" i="1"/>
  <c r="T35" i="1"/>
  <c r="R35" i="1"/>
  <c r="Q35" i="1"/>
  <c r="U35" i="1"/>
  <c r="V35" i="1"/>
  <c r="P36" i="1" a="1"/>
  <c r="P36" i="1" s="1"/>
  <c r="AJ57" i="1" l="1"/>
  <c r="CF57" i="1"/>
  <c r="BR59" i="1" a="1"/>
  <c r="BR59" i="1" s="1"/>
  <c r="BW59" i="1" s="1"/>
  <c r="BV58" i="1"/>
  <c r="CE58" i="1"/>
  <c r="BT58" i="1"/>
  <c r="BU58" i="1" s="1"/>
  <c r="BX58" i="1"/>
  <c r="CC58" i="1"/>
  <c r="BY58" i="1"/>
  <c r="CA58" i="1"/>
  <c r="BZ58" i="1"/>
  <c r="CB58" i="1"/>
  <c r="CD58" i="1" s="1"/>
  <c r="BS58" i="1"/>
  <c r="CF58" i="1" s="1"/>
  <c r="Y58" i="1"/>
  <c r="X59" i="1" a="1"/>
  <c r="X59" i="1" s="1"/>
  <c r="Z59" i="1" s="1"/>
  <c r="S36" i="1"/>
  <c r="R36" i="1"/>
  <c r="Q36" i="1"/>
  <c r="T36" i="1"/>
  <c r="U36" i="1"/>
  <c r="V36" i="1"/>
  <c r="P37" i="1" a="1"/>
  <c r="P37" i="1" s="1"/>
  <c r="AJ58" i="1" l="1"/>
  <c r="CG58" i="1"/>
  <c r="BR60" i="1" a="1"/>
  <c r="BR60" i="1" s="1"/>
  <c r="BW60" i="1" s="1"/>
  <c r="BV59" i="1"/>
  <c r="CC59" i="1"/>
  <c r="CA59" i="1"/>
  <c r="BT59" i="1"/>
  <c r="BU59" i="1" s="1"/>
  <c r="BX59" i="1"/>
  <c r="CE59" i="1"/>
  <c r="CB59" i="1"/>
  <c r="CD59" i="1" s="1"/>
  <c r="BY59" i="1"/>
  <c r="BZ59" i="1"/>
  <c r="BS59" i="1"/>
  <c r="CF59" i="1" s="1"/>
  <c r="X60" i="1" a="1"/>
  <c r="X60" i="1" s="1"/>
  <c r="Z60" i="1" s="1"/>
  <c r="Y59" i="1"/>
  <c r="R37" i="1"/>
  <c r="S37" i="1"/>
  <c r="Q37" i="1"/>
  <c r="T37" i="1"/>
  <c r="U37" i="1"/>
  <c r="V37" i="1"/>
  <c r="P38" i="1" a="1"/>
  <c r="P38" i="1" s="1"/>
  <c r="AJ59" i="1" l="1"/>
  <c r="CG59" i="1"/>
  <c r="BR61" i="1" a="1"/>
  <c r="BR61" i="1" s="1"/>
  <c r="BW61" i="1" s="1"/>
  <c r="BT60" i="1"/>
  <c r="BU60" i="1" s="1"/>
  <c r="CC60" i="1"/>
  <c r="BV60" i="1"/>
  <c r="BX60" i="1"/>
  <c r="CE60" i="1"/>
  <c r="BY60" i="1"/>
  <c r="CA60" i="1"/>
  <c r="BZ60" i="1"/>
  <c r="CB60" i="1"/>
  <c r="CD60" i="1" s="1"/>
  <c r="BS60" i="1"/>
  <c r="CF60" i="1" s="1"/>
  <c r="Y60" i="1"/>
  <c r="X61" i="1" a="1"/>
  <c r="X61" i="1" s="1"/>
  <c r="Z61" i="1" s="1"/>
  <c r="R38" i="1"/>
  <c r="Q38" i="1"/>
  <c r="T38" i="1"/>
  <c r="S38" i="1"/>
  <c r="U38" i="1"/>
  <c r="V38" i="1"/>
  <c r="P39" i="1" a="1"/>
  <c r="P39" i="1" s="1"/>
  <c r="AJ60" i="1" l="1"/>
  <c r="CG60" i="1"/>
  <c r="BR62" i="1" a="1"/>
  <c r="BR62" i="1" s="1"/>
  <c r="BW62" i="1" s="1"/>
  <c r="BT61" i="1"/>
  <c r="BU61" i="1" s="1"/>
  <c r="CC61" i="1"/>
  <c r="CA61" i="1"/>
  <c r="BX61" i="1"/>
  <c r="BZ61" i="1"/>
  <c r="CE61" i="1"/>
  <c r="BV61" i="1"/>
  <c r="CB61" i="1"/>
  <c r="CD61" i="1" s="1"/>
  <c r="BY61" i="1"/>
  <c r="BS61" i="1"/>
  <c r="CF61" i="1" s="1"/>
  <c r="X62" i="1" a="1"/>
  <c r="X62" i="1" s="1"/>
  <c r="Z62" i="1" s="1"/>
  <c r="Y61" i="1"/>
  <c r="Q39" i="1"/>
  <c r="S39" i="1"/>
  <c r="T39" i="1"/>
  <c r="R39" i="1"/>
  <c r="U39" i="1"/>
  <c r="V39" i="1"/>
  <c r="P40" i="1" a="1"/>
  <c r="P40" i="1" s="1"/>
  <c r="AJ61" i="1" l="1"/>
  <c r="CG61" i="1"/>
  <c r="BR63" i="1" a="1"/>
  <c r="BR63" i="1" s="1"/>
  <c r="BW63" i="1" s="1"/>
  <c r="BY62" i="1"/>
  <c r="CC62" i="1"/>
  <c r="BS62" i="1"/>
  <c r="CG62" i="1" s="1"/>
  <c r="CA62" i="1"/>
  <c r="CE62" i="1"/>
  <c r="BT62" i="1"/>
  <c r="BU62" i="1" s="1"/>
  <c r="BV62" i="1"/>
  <c r="BZ62" i="1"/>
  <c r="CB62" i="1"/>
  <c r="CD62" i="1" s="1"/>
  <c r="BX62" i="1"/>
  <c r="Y62" i="1"/>
  <c r="X63" i="1" a="1"/>
  <c r="X63" i="1" s="1"/>
  <c r="Z63" i="1" s="1"/>
  <c r="T40" i="1"/>
  <c r="S40" i="1"/>
  <c r="R40" i="1"/>
  <c r="Q40" i="1"/>
  <c r="U40" i="1"/>
  <c r="V40" i="1"/>
  <c r="P41" i="1" a="1"/>
  <c r="P41" i="1" s="1"/>
  <c r="AJ62" i="1" l="1"/>
  <c r="CF62" i="1"/>
  <c r="BR64" i="1" a="1"/>
  <c r="BR64" i="1" s="1"/>
  <c r="BW64" i="1" s="1"/>
  <c r="BY63" i="1"/>
  <c r="CE63" i="1"/>
  <c r="BZ63" i="1"/>
  <c r="CA63" i="1"/>
  <c r="CC63" i="1"/>
  <c r="CB63" i="1"/>
  <c r="CD63" i="1" s="1"/>
  <c r="BS63" i="1"/>
  <c r="CG63" i="1" s="1"/>
  <c r="BT63" i="1"/>
  <c r="BU63" i="1" s="1"/>
  <c r="BV63" i="1"/>
  <c r="BX63" i="1"/>
  <c r="X64" i="1" a="1"/>
  <c r="X64" i="1" s="1"/>
  <c r="Z64" i="1" s="1"/>
  <c r="Y63" i="1"/>
  <c r="S41" i="1"/>
  <c r="R41" i="1"/>
  <c r="Q41" i="1"/>
  <c r="T41" i="1"/>
  <c r="U41" i="1"/>
  <c r="V41" i="1"/>
  <c r="P42" i="1" a="1"/>
  <c r="P42" i="1" s="1"/>
  <c r="AJ63" i="1" l="1"/>
  <c r="BZ64" i="1"/>
  <c r="CB64" i="1"/>
  <c r="CD64" i="1" s="1"/>
  <c r="BY64" i="1"/>
  <c r="BR65" i="1" a="1"/>
  <c r="BR65" i="1" s="1"/>
  <c r="BW65" i="1" s="1"/>
  <c r="CE64" i="1"/>
  <c r="CA64" i="1"/>
  <c r="BV64" i="1"/>
  <c r="CF63" i="1"/>
  <c r="BS64" i="1"/>
  <c r="CG64" i="1" s="1"/>
  <c r="CC64" i="1"/>
  <c r="BT64" i="1"/>
  <c r="BU64" i="1" s="1"/>
  <c r="BX64" i="1"/>
  <c r="X65" i="1" a="1"/>
  <c r="X65" i="1" s="1"/>
  <c r="Z65" i="1" s="1"/>
  <c r="Y64" i="1"/>
  <c r="Q42" i="1"/>
  <c r="S42" i="1"/>
  <c r="R42" i="1"/>
  <c r="T42" i="1"/>
  <c r="U42" i="1"/>
  <c r="V42" i="1"/>
  <c r="P43" i="1" a="1"/>
  <c r="P43" i="1" s="1"/>
  <c r="AJ64" i="1" l="1"/>
  <c r="CF64" i="1"/>
  <c r="BR66" i="1" a="1"/>
  <c r="BR66" i="1" s="1"/>
  <c r="BW66" i="1" s="1"/>
  <c r="CE65" i="1"/>
  <c r="BY65" i="1"/>
  <c r="BS65" i="1"/>
  <c r="CF65" i="1" s="1"/>
  <c r="CC65" i="1"/>
  <c r="CB65" i="1"/>
  <c r="CD65" i="1" s="1"/>
  <c r="CA65" i="1"/>
  <c r="BT65" i="1"/>
  <c r="BU65" i="1" s="1"/>
  <c r="BV65" i="1"/>
  <c r="BX65" i="1"/>
  <c r="BZ65" i="1"/>
  <c r="X66" i="1" a="1"/>
  <c r="X66" i="1" s="1"/>
  <c r="Z66" i="1" s="1"/>
  <c r="Y65" i="1"/>
  <c r="S43" i="1"/>
  <c r="T43" i="1"/>
  <c r="R43" i="1"/>
  <c r="Q43" i="1"/>
  <c r="U43" i="1"/>
  <c r="V43" i="1"/>
  <c r="P44" i="1" a="1"/>
  <c r="P44" i="1" s="1"/>
  <c r="AJ65" i="1" l="1"/>
  <c r="CG65" i="1"/>
  <c r="BR67" i="1" a="1"/>
  <c r="BR67" i="1" s="1"/>
  <c r="BW67" i="1" s="1"/>
  <c r="BV66" i="1"/>
  <c r="CE66" i="1"/>
  <c r="CC66" i="1"/>
  <c r="BZ66" i="1"/>
  <c r="CB66" i="1"/>
  <c r="CD66" i="1" s="1"/>
  <c r="CA66" i="1"/>
  <c r="BT66" i="1"/>
  <c r="BU66" i="1" s="1"/>
  <c r="BX66" i="1"/>
  <c r="BS66" i="1"/>
  <c r="CF66" i="1" s="1"/>
  <c r="BY66" i="1"/>
  <c r="Y66" i="1"/>
  <c r="X67" i="1" a="1"/>
  <c r="X67" i="1" s="1"/>
  <c r="Z67" i="1" s="1"/>
  <c r="S44" i="1"/>
  <c r="R44" i="1"/>
  <c r="Q44" i="1"/>
  <c r="T44" i="1"/>
  <c r="U44" i="1"/>
  <c r="V44" i="1"/>
  <c r="P45" i="1" a="1"/>
  <c r="P45" i="1" s="1"/>
  <c r="AJ66" i="1" l="1"/>
  <c r="CG66" i="1"/>
  <c r="BY67" i="1"/>
  <c r="CA67" i="1"/>
  <c r="CC67" i="1"/>
  <c r="BR68" i="1" a="1"/>
  <c r="BR68" i="1" s="1"/>
  <c r="BW68" i="1" s="1"/>
  <c r="BX67" i="1"/>
  <c r="CB67" i="1"/>
  <c r="CD67" i="1" s="1"/>
  <c r="BT67" i="1"/>
  <c r="BU67" i="1" s="1"/>
  <c r="BV67" i="1"/>
  <c r="CE67" i="1"/>
  <c r="BZ67" i="1"/>
  <c r="BS67" i="1"/>
  <c r="CF67" i="1" s="1"/>
  <c r="X68" i="1" a="1"/>
  <c r="X68" i="1" s="1"/>
  <c r="Z68" i="1" s="1"/>
  <c r="Y67" i="1"/>
  <c r="R45" i="1"/>
  <c r="Q45" i="1"/>
  <c r="T45" i="1"/>
  <c r="S45" i="1"/>
  <c r="U45" i="1"/>
  <c r="V45" i="1"/>
  <c r="P46" i="1" a="1"/>
  <c r="P46" i="1" s="1"/>
  <c r="AJ67" i="1" l="1"/>
  <c r="CG67" i="1"/>
  <c r="CC68" i="1"/>
  <c r="CE68" i="1"/>
  <c r="CB68" i="1"/>
  <c r="CD68" i="1" s="1"/>
  <c r="BR69" i="1" a="1"/>
  <c r="BR69" i="1" s="1"/>
  <c r="BW69" i="1" s="1"/>
  <c r="BV68" i="1"/>
  <c r="BZ68" i="1"/>
  <c r="BS68" i="1"/>
  <c r="CF68" i="1" s="1"/>
  <c r="CA68" i="1"/>
  <c r="BT68" i="1"/>
  <c r="BU68" i="1" s="1"/>
  <c r="BX68" i="1"/>
  <c r="BY68" i="1"/>
  <c r="Y68" i="1"/>
  <c r="X69" i="1" a="1"/>
  <c r="X69" i="1" s="1"/>
  <c r="Z69" i="1" s="1"/>
  <c r="R46" i="1"/>
  <c r="Q46" i="1"/>
  <c r="T46" i="1"/>
  <c r="S46" i="1"/>
  <c r="U46" i="1"/>
  <c r="V46" i="1"/>
  <c r="P47" i="1" a="1"/>
  <c r="P47" i="1" s="1"/>
  <c r="AJ68" i="1" l="1"/>
  <c r="CB69" i="1"/>
  <c r="CD69" i="1" s="1"/>
  <c r="CC69" i="1"/>
  <c r="BR70" i="1" a="1"/>
  <c r="BR70" i="1" s="1"/>
  <c r="BW70" i="1" s="1"/>
  <c r="BZ69" i="1"/>
  <c r="CE69" i="1"/>
  <c r="BX69" i="1"/>
  <c r="CG68" i="1"/>
  <c r="BY69" i="1"/>
  <c r="CA69" i="1"/>
  <c r="BV69" i="1"/>
  <c r="BT69" i="1"/>
  <c r="BU69" i="1" s="1"/>
  <c r="BS69" i="1"/>
  <c r="CF69" i="1" s="1"/>
  <c r="X70" i="1" a="1"/>
  <c r="X70" i="1" s="1"/>
  <c r="Z70" i="1" s="1"/>
  <c r="Y69" i="1"/>
  <c r="Q47" i="1"/>
  <c r="T47" i="1"/>
  <c r="S47" i="1"/>
  <c r="R47" i="1"/>
  <c r="U47" i="1"/>
  <c r="V47" i="1"/>
  <c r="P48" i="1" a="1"/>
  <c r="P48" i="1" s="1"/>
  <c r="AJ69" i="1" l="1"/>
  <c r="CG69" i="1"/>
  <c r="BX70" i="1"/>
  <c r="CB70" i="1"/>
  <c r="CD70" i="1" s="1"/>
  <c r="BS70" i="1"/>
  <c r="CG70" i="1" s="1"/>
  <c r="CC70" i="1"/>
  <c r="BY70" i="1"/>
  <c r="CA70" i="1"/>
  <c r="CE70" i="1"/>
  <c r="BR71" i="1" a="1"/>
  <c r="BR71" i="1" s="1"/>
  <c r="BW71" i="1" s="1"/>
  <c r="BT70" i="1"/>
  <c r="BU70" i="1" s="1"/>
  <c r="BV70" i="1"/>
  <c r="BZ70" i="1"/>
  <c r="Y70" i="1"/>
  <c r="X71" i="1" a="1"/>
  <c r="X71" i="1" s="1"/>
  <c r="Z71" i="1" s="1"/>
  <c r="T48" i="1"/>
  <c r="Q48" i="1"/>
  <c r="S48" i="1"/>
  <c r="R48" i="1"/>
  <c r="U48" i="1"/>
  <c r="V48" i="1"/>
  <c r="P49" i="1" a="1"/>
  <c r="P49" i="1" s="1"/>
  <c r="AJ70" i="1" l="1"/>
  <c r="CF70" i="1"/>
  <c r="BZ71" i="1"/>
  <c r="CB71" i="1"/>
  <c r="CD71" i="1" s="1"/>
  <c r="BS71" i="1"/>
  <c r="CG71" i="1" s="1"/>
  <c r="BR72" i="1" a="1"/>
  <c r="BR72" i="1" s="1"/>
  <c r="BW72" i="1" s="1"/>
  <c r="BY71" i="1"/>
  <c r="CE71" i="1"/>
  <c r="CA71" i="1"/>
  <c r="BV71" i="1"/>
  <c r="CC71" i="1"/>
  <c r="BT71" i="1"/>
  <c r="BU71" i="1" s="1"/>
  <c r="BX71" i="1"/>
  <c r="X72" i="1" a="1"/>
  <c r="X72" i="1" s="1"/>
  <c r="Z72" i="1" s="1"/>
  <c r="Y71" i="1"/>
  <c r="T49" i="1"/>
  <c r="R49" i="1"/>
  <c r="S49" i="1"/>
  <c r="Q49" i="1"/>
  <c r="U49" i="1"/>
  <c r="V49" i="1"/>
  <c r="P50" i="1" a="1"/>
  <c r="P50" i="1" s="1"/>
  <c r="AJ71" i="1" l="1"/>
  <c r="CF71" i="1"/>
  <c r="CB72" i="1"/>
  <c r="CD72" i="1" s="1"/>
  <c r="BS72" i="1"/>
  <c r="CG72" i="1" s="1"/>
  <c r="BY72" i="1"/>
  <c r="CE72" i="1"/>
  <c r="CA72" i="1"/>
  <c r="BV72" i="1"/>
  <c r="CC72" i="1"/>
  <c r="BX72" i="1"/>
  <c r="BR73" i="1" a="1"/>
  <c r="BR73" i="1" s="1"/>
  <c r="BW73" i="1" s="1"/>
  <c r="BT72" i="1"/>
  <c r="BU72" i="1" s="1"/>
  <c r="BZ72" i="1"/>
  <c r="X73" i="1" a="1"/>
  <c r="X73" i="1" s="1"/>
  <c r="Z73" i="1" s="1"/>
  <c r="Y72" i="1"/>
  <c r="S50" i="1"/>
  <c r="Q50" i="1"/>
  <c r="R50" i="1"/>
  <c r="T50" i="1"/>
  <c r="U50" i="1"/>
  <c r="V50" i="1"/>
  <c r="P51" i="1" a="1"/>
  <c r="P51" i="1" s="1"/>
  <c r="AJ72" i="1" l="1"/>
  <c r="CF72" i="1"/>
  <c r="BZ73" i="1"/>
  <c r="CB73" i="1"/>
  <c r="CD73" i="1" s="1"/>
  <c r="BS73" i="1"/>
  <c r="CG73" i="1" s="1"/>
  <c r="CA73" i="1"/>
  <c r="CE73" i="1"/>
  <c r="BY73" i="1"/>
  <c r="BV73" i="1"/>
  <c r="BR74" i="1" a="1"/>
  <c r="BR74" i="1" s="1"/>
  <c r="BW74" i="1" s="1"/>
  <c r="CC73" i="1"/>
  <c r="BT73" i="1"/>
  <c r="BU73" i="1" s="1"/>
  <c r="BX73" i="1"/>
  <c r="Y73" i="1"/>
  <c r="X74" i="1" a="1"/>
  <c r="X74" i="1" s="1"/>
  <c r="Z74" i="1" s="1"/>
  <c r="T51" i="1"/>
  <c r="S51" i="1"/>
  <c r="R51" i="1"/>
  <c r="Q51" i="1"/>
  <c r="P52" i="1" a="1"/>
  <c r="P52" i="1" s="1"/>
  <c r="U51" i="1"/>
  <c r="V51" i="1"/>
  <c r="AJ73" i="1" l="1"/>
  <c r="CF73" i="1"/>
  <c r="BR75" i="1" a="1"/>
  <c r="BR75" i="1" s="1"/>
  <c r="BW75" i="1" s="1"/>
  <c r="BT74" i="1"/>
  <c r="BU74" i="1" s="1"/>
  <c r="BV74" i="1"/>
  <c r="CE74" i="1"/>
  <c r="BY74" i="1"/>
  <c r="CA74" i="1"/>
  <c r="BX74" i="1"/>
  <c r="CC74" i="1"/>
  <c r="BZ74" i="1"/>
  <c r="CB74" i="1"/>
  <c r="CD74" i="1" s="1"/>
  <c r="BS74" i="1"/>
  <c r="CG74" i="1" s="1"/>
  <c r="Y74" i="1"/>
  <c r="X75" i="1" a="1"/>
  <c r="X75" i="1" s="1"/>
  <c r="Z75" i="1" s="1"/>
  <c r="S52" i="1"/>
  <c r="R52" i="1"/>
  <c r="Q52" i="1"/>
  <c r="T52" i="1"/>
  <c r="P53" i="1" a="1"/>
  <c r="P53" i="1" s="1"/>
  <c r="V52" i="1"/>
  <c r="U52" i="1"/>
  <c r="AJ74" i="1" l="1"/>
  <c r="CF74" i="1"/>
  <c r="BY75" i="1"/>
  <c r="CA75" i="1"/>
  <c r="BR76" i="1" a="1"/>
  <c r="BR76" i="1" s="1"/>
  <c r="BW76" i="1" s="1"/>
  <c r="BV75" i="1"/>
  <c r="CC75" i="1"/>
  <c r="BT75" i="1"/>
  <c r="BU75" i="1" s="1"/>
  <c r="BX75" i="1"/>
  <c r="BZ75" i="1"/>
  <c r="CB75" i="1"/>
  <c r="CD75" i="1" s="1"/>
  <c r="CE75" i="1"/>
  <c r="BS75" i="1"/>
  <c r="CF75" i="1" s="1"/>
  <c r="Y75" i="1"/>
  <c r="X76" i="1" a="1"/>
  <c r="X76" i="1" s="1"/>
  <c r="Z76" i="1" s="1"/>
  <c r="P54" i="1" a="1"/>
  <c r="P54" i="1" s="1"/>
  <c r="P55" i="1" s="1" a="1"/>
  <c r="P55" i="1" s="1"/>
  <c r="R53" i="1"/>
  <c r="Q53" i="1"/>
  <c r="S53" i="1"/>
  <c r="T53" i="1"/>
  <c r="V53" i="1"/>
  <c r="U53" i="1"/>
  <c r="AJ75" i="1" l="1"/>
  <c r="CG75" i="1"/>
  <c r="BR77" i="1" a="1"/>
  <c r="BR77" i="1" s="1"/>
  <c r="BW77" i="1" s="1"/>
  <c r="BV76" i="1"/>
  <c r="BT76" i="1"/>
  <c r="BU76" i="1" s="1"/>
  <c r="CC76" i="1"/>
  <c r="BY76" i="1"/>
  <c r="CA76" i="1"/>
  <c r="BX76" i="1"/>
  <c r="CE76" i="1"/>
  <c r="BZ76" i="1"/>
  <c r="CB76" i="1"/>
  <c r="CD76" i="1" s="1"/>
  <c r="BS76" i="1"/>
  <c r="CF76" i="1" s="1"/>
  <c r="Y76" i="1"/>
  <c r="X77" i="1" a="1"/>
  <c r="X77" i="1" s="1"/>
  <c r="Z77" i="1" s="1"/>
  <c r="Q55" i="1"/>
  <c r="T55" i="1"/>
  <c r="R55" i="1"/>
  <c r="S55" i="1"/>
  <c r="V54" i="1"/>
  <c r="U54" i="1"/>
  <c r="R54" i="1"/>
  <c r="Q54" i="1"/>
  <c r="T54" i="1"/>
  <c r="S54" i="1"/>
  <c r="U55" i="1"/>
  <c r="P56" i="1" a="1"/>
  <c r="P56" i="1" s="1"/>
  <c r="V55" i="1"/>
  <c r="AJ76" i="1" l="1"/>
  <c r="CG76" i="1"/>
  <c r="BR78" i="1" a="1"/>
  <c r="BR78" i="1" s="1"/>
  <c r="BW78" i="1" s="1"/>
  <c r="BY77" i="1"/>
  <c r="CB77" i="1"/>
  <c r="CD77" i="1" s="1"/>
  <c r="BT77" i="1"/>
  <c r="BU77" i="1" s="1"/>
  <c r="CC77" i="1"/>
  <c r="CA77" i="1"/>
  <c r="BX77" i="1"/>
  <c r="CE77" i="1"/>
  <c r="BZ77" i="1"/>
  <c r="BV77" i="1"/>
  <c r="BS77" i="1"/>
  <c r="CF77" i="1" s="1"/>
  <c r="X78" i="1" a="1"/>
  <c r="X78" i="1" s="1"/>
  <c r="Z78" i="1" s="1"/>
  <c r="Y77" i="1"/>
  <c r="T56" i="1"/>
  <c r="Q56" i="1"/>
  <c r="S56" i="1"/>
  <c r="R56" i="1"/>
  <c r="U56" i="1"/>
  <c r="P57" i="1" a="1"/>
  <c r="P57" i="1" s="1"/>
  <c r="V56" i="1"/>
  <c r="AJ77" i="1" l="1"/>
  <c r="CG77" i="1"/>
  <c r="BR79" i="1" a="1"/>
  <c r="BR79" i="1" s="1"/>
  <c r="BW79" i="1" s="1"/>
  <c r="CB78" i="1"/>
  <c r="CD78" i="1" s="1"/>
  <c r="CC78" i="1"/>
  <c r="BZ78" i="1"/>
  <c r="BS78" i="1"/>
  <c r="CG78" i="1" s="1"/>
  <c r="CA78" i="1"/>
  <c r="BT78" i="1"/>
  <c r="BU78" i="1" s="1"/>
  <c r="BV78" i="1"/>
  <c r="BY78" i="1"/>
  <c r="CE78" i="1"/>
  <c r="BX78" i="1"/>
  <c r="Y78" i="1"/>
  <c r="X79" i="1" a="1"/>
  <c r="X79" i="1" s="1"/>
  <c r="Z79" i="1" s="1"/>
  <c r="R57" i="1"/>
  <c r="S57" i="1"/>
  <c r="T57" i="1"/>
  <c r="Q57" i="1"/>
  <c r="U57" i="1"/>
  <c r="P58" i="1" a="1"/>
  <c r="P58" i="1" s="1"/>
  <c r="V57" i="1"/>
  <c r="AJ78" i="1" l="1"/>
  <c r="BR80" i="1" a="1"/>
  <c r="BR80" i="1" s="1"/>
  <c r="BW80" i="1" s="1"/>
  <c r="CB79" i="1"/>
  <c r="CD79" i="1" s="1"/>
  <c r="BZ79" i="1"/>
  <c r="BS79" i="1"/>
  <c r="CG79" i="1" s="1"/>
  <c r="BY79" i="1"/>
  <c r="CE79" i="1"/>
  <c r="CA79" i="1"/>
  <c r="BV79" i="1"/>
  <c r="CF78" i="1"/>
  <c r="CC79" i="1"/>
  <c r="BT79" i="1"/>
  <c r="BU79" i="1" s="1"/>
  <c r="BX79" i="1"/>
  <c r="Y79" i="1"/>
  <c r="X80" i="1" a="1"/>
  <c r="X80" i="1" s="1"/>
  <c r="Z80" i="1" s="1"/>
  <c r="Q58" i="1"/>
  <c r="S58" i="1"/>
  <c r="R58" i="1"/>
  <c r="T58" i="1"/>
  <c r="P59" i="1" a="1"/>
  <c r="P59" i="1" s="1"/>
  <c r="U58" i="1"/>
  <c r="V58" i="1"/>
  <c r="AJ79" i="1" l="1"/>
  <c r="CF79" i="1"/>
  <c r="BR81" i="1" a="1"/>
  <c r="BR81" i="1" s="1"/>
  <c r="BW81" i="1" s="1"/>
  <c r="BY80" i="1"/>
  <c r="CE80" i="1"/>
  <c r="BZ80" i="1"/>
  <c r="CB80" i="1"/>
  <c r="CD80" i="1" s="1"/>
  <c r="BS80" i="1"/>
  <c r="CG80" i="1" s="1"/>
  <c r="CA80" i="1"/>
  <c r="CC80" i="1"/>
  <c r="BV80" i="1"/>
  <c r="BT80" i="1"/>
  <c r="BU80" i="1" s="1"/>
  <c r="BX80" i="1"/>
  <c r="X81" i="1" a="1"/>
  <c r="X81" i="1" s="1"/>
  <c r="Z81" i="1" s="1"/>
  <c r="Y80" i="1"/>
  <c r="S59" i="1"/>
  <c r="R59" i="1"/>
  <c r="Q59" i="1"/>
  <c r="T59" i="1"/>
  <c r="V59" i="1"/>
  <c r="P60" i="1" a="1"/>
  <c r="P60" i="1" s="1"/>
  <c r="U59" i="1"/>
  <c r="AJ80" i="1" l="1"/>
  <c r="BZ81" i="1"/>
  <c r="BS81" i="1"/>
  <c r="CG81" i="1" s="1"/>
  <c r="CE81" i="1"/>
  <c r="CB81" i="1"/>
  <c r="CD81" i="1" s="1"/>
  <c r="BY81" i="1"/>
  <c r="BX81" i="1"/>
  <c r="CC81" i="1"/>
  <c r="CA81" i="1"/>
  <c r="BT81" i="1"/>
  <c r="BU81" i="1" s="1"/>
  <c r="CF80" i="1"/>
  <c r="BV81" i="1"/>
  <c r="Y81" i="1"/>
  <c r="S60" i="1"/>
  <c r="R60" i="1"/>
  <c r="Q60" i="1"/>
  <c r="T60" i="1"/>
  <c r="P61" i="1" a="1"/>
  <c r="P61" i="1" s="1"/>
  <c r="U60" i="1"/>
  <c r="V60" i="1"/>
  <c r="AJ81" i="1" l="1"/>
  <c r="CF81" i="1"/>
  <c r="P62" i="1" a="1"/>
  <c r="P62" i="1" s="1"/>
  <c r="P63" i="1" s="1" a="1"/>
  <c r="P63" i="1" s="1"/>
  <c r="R61" i="1"/>
  <c r="Q61" i="1"/>
  <c r="T61" i="1"/>
  <c r="S61" i="1"/>
  <c r="V61" i="1"/>
  <c r="U61" i="1"/>
  <c r="Q63" i="1" l="1"/>
  <c r="T63" i="1"/>
  <c r="R63" i="1"/>
  <c r="S63" i="1"/>
  <c r="V62" i="1"/>
  <c r="U62" i="1"/>
  <c r="R62" i="1"/>
  <c r="Q62" i="1"/>
  <c r="T62" i="1"/>
  <c r="S62" i="1"/>
  <c r="U63" i="1"/>
  <c r="V63" i="1"/>
  <c r="P64" i="1" a="1"/>
  <c r="P64" i="1" s="1"/>
  <c r="T64" i="1" l="1"/>
  <c r="S64" i="1"/>
  <c r="Q64" i="1"/>
  <c r="R64" i="1"/>
  <c r="U64" i="1"/>
  <c r="V64" i="1"/>
  <c r="P65" i="1" a="1"/>
  <c r="P65" i="1" s="1"/>
  <c r="T65" i="1" l="1"/>
  <c r="S65" i="1"/>
  <c r="R65" i="1"/>
  <c r="Q65" i="1"/>
  <c r="U65" i="1"/>
  <c r="V65" i="1"/>
  <c r="P66" i="1" a="1"/>
  <c r="P66" i="1" s="1"/>
  <c r="S66" i="1" l="1"/>
  <c r="Q66" i="1"/>
  <c r="R66" i="1"/>
  <c r="T66" i="1"/>
  <c r="U66" i="1"/>
  <c r="V66" i="1"/>
  <c r="P67" i="1" a="1"/>
  <c r="P67" i="1" s="1"/>
  <c r="S67" i="1" l="1"/>
  <c r="T67" i="1"/>
  <c r="R67" i="1"/>
  <c r="Q67" i="1"/>
  <c r="U67" i="1"/>
  <c r="V67" i="1"/>
  <c r="P68" i="1" a="1"/>
  <c r="P68" i="1" s="1"/>
  <c r="S68" i="1" l="1"/>
  <c r="R68" i="1"/>
  <c r="Q68" i="1"/>
  <c r="T68" i="1"/>
  <c r="U68" i="1"/>
  <c r="V68" i="1"/>
  <c r="P69" i="1" a="1"/>
  <c r="P69" i="1" s="1"/>
  <c r="R69" i="1" l="1"/>
  <c r="Q69" i="1"/>
  <c r="T69" i="1"/>
  <c r="S69" i="1"/>
  <c r="U69" i="1"/>
  <c r="V69" i="1"/>
  <c r="P70" i="1" a="1"/>
  <c r="P70" i="1" s="1"/>
  <c r="R70" i="1" l="1"/>
  <c r="Q70" i="1"/>
  <c r="T70" i="1"/>
  <c r="S70" i="1"/>
  <c r="U70" i="1"/>
  <c r="V70" i="1"/>
  <c r="P71" i="1" a="1"/>
  <c r="P71" i="1" s="1"/>
  <c r="Q71" i="1" l="1"/>
  <c r="T71" i="1"/>
  <c r="S71" i="1"/>
  <c r="R71" i="1"/>
  <c r="U71" i="1"/>
  <c r="V71" i="1"/>
  <c r="P72" i="1" a="1"/>
  <c r="P72" i="1" s="1"/>
  <c r="T72" i="1" l="1"/>
  <c r="Q72" i="1"/>
  <c r="S72" i="1"/>
  <c r="R72" i="1"/>
  <c r="U72" i="1"/>
  <c r="V72" i="1"/>
  <c r="P73" i="1" a="1"/>
  <c r="P73" i="1" s="1"/>
  <c r="R73" i="1" l="1"/>
  <c r="T73" i="1"/>
  <c r="S73" i="1"/>
  <c r="Q73" i="1"/>
  <c r="U73" i="1"/>
  <c r="V73" i="1"/>
  <c r="P74" i="1" a="1"/>
  <c r="P74" i="1" s="1"/>
  <c r="S74" i="1" l="1"/>
  <c r="R74" i="1"/>
  <c r="Q74" i="1"/>
  <c r="T74" i="1"/>
  <c r="U74" i="1"/>
  <c r="V74" i="1"/>
  <c r="P75" i="1" a="1"/>
  <c r="P75" i="1" s="1"/>
  <c r="S75" i="1" l="1"/>
  <c r="T75" i="1"/>
  <c r="R75" i="1"/>
  <c r="Q75" i="1"/>
  <c r="U75" i="1"/>
  <c r="V75" i="1"/>
  <c r="P76" i="1" a="1"/>
  <c r="P76" i="1" s="1"/>
  <c r="S76" i="1" l="1"/>
  <c r="R76" i="1"/>
  <c r="Q76" i="1"/>
  <c r="T76" i="1"/>
  <c r="U76" i="1"/>
  <c r="V76" i="1"/>
  <c r="P77" i="1" a="1"/>
  <c r="P77" i="1" s="1"/>
  <c r="R77" i="1" l="1"/>
  <c r="Q77" i="1"/>
  <c r="T77" i="1"/>
  <c r="S77" i="1"/>
  <c r="U77" i="1"/>
  <c r="V77" i="1"/>
  <c r="P78" i="1" a="1"/>
  <c r="P78" i="1" s="1"/>
  <c r="R78" i="1" l="1"/>
  <c r="Q78" i="1"/>
  <c r="T78" i="1"/>
  <c r="S78" i="1"/>
  <c r="U78" i="1"/>
  <c r="V78" i="1"/>
  <c r="P79" i="1" a="1"/>
  <c r="P79" i="1" s="1"/>
  <c r="Q79" i="1" l="1"/>
  <c r="T79" i="1"/>
  <c r="S79" i="1"/>
  <c r="R79" i="1"/>
  <c r="U79" i="1"/>
  <c r="V79" i="1"/>
  <c r="P80" i="1" a="1"/>
  <c r="P80" i="1" s="1"/>
  <c r="T80" i="1" l="1"/>
  <c r="Q80" i="1"/>
  <c r="S80" i="1"/>
  <c r="R80" i="1"/>
  <c r="U80" i="1"/>
  <c r="V80" i="1"/>
  <c r="P81" i="1" a="1"/>
  <c r="P81" i="1" s="1"/>
  <c r="R81" i="1" l="1"/>
  <c r="S81" i="1"/>
  <c r="Q81" i="1"/>
  <c r="T81" i="1"/>
  <c r="U81" i="1"/>
  <c r="V81" i="1"/>
  <c r="AM91" i="1" l="1"/>
  <c r="AM89" i="1"/>
  <c r="AM87" i="1"/>
  <c r="AM85" i="1"/>
  <c r="Y26" i="1" l="1"/>
  <c r="Y27" i="1"/>
  <c r="Y28" i="1"/>
  <c r="AH14" i="1"/>
  <c r="AI14" i="1"/>
  <c r="Y24" i="1"/>
  <c r="Y25" i="1"/>
  <c r="Y17" i="1"/>
  <c r="Y23" i="1"/>
  <c r="Y22" i="1"/>
  <c r="Y18" i="1"/>
  <c r="Y21" i="1"/>
  <c r="Y20" i="1"/>
  <c r="Y19" i="1"/>
  <c r="AT3" i="1"/>
  <c r="AU39" i="1" l="1"/>
  <c r="AT39" i="1" s="1"/>
  <c r="AU36" i="1"/>
  <c r="AT36" i="1" s="1"/>
  <c r="AU35" i="1"/>
  <c r="AU37" i="1"/>
  <c r="AT37" i="1" s="1"/>
  <c r="AU38" i="1"/>
  <c r="AT38" i="1" s="1"/>
  <c r="AH15" i="1"/>
  <c r="AI15" i="1"/>
  <c r="AU33" i="1"/>
  <c r="AT33" i="1" s="1"/>
  <c r="AU32" i="1"/>
  <c r="AU34" i="1"/>
  <c r="AT34" i="1" s="1"/>
  <c r="AU30" i="1"/>
  <c r="AT30" i="1" s="1"/>
  <c r="AU27" i="1"/>
  <c r="AT27" i="1" s="1"/>
  <c r="AU25" i="1"/>
  <c r="AU31" i="1"/>
  <c r="AT31" i="1" s="1"/>
  <c r="AU28" i="1"/>
  <c r="AU26" i="1"/>
  <c r="AU29" i="1"/>
  <c r="AT29" i="1" s="1"/>
  <c r="L10" i="1"/>
  <c r="AR82" i="1" s="1"/>
  <c r="BX20" i="1" l="1"/>
  <c r="AT28" i="1"/>
  <c r="AT35" i="1"/>
  <c r="BV21" i="1" s="1"/>
  <c r="BX21" i="1"/>
  <c r="AT32" i="1"/>
  <c r="AH16" i="1"/>
  <c r="AI16" i="1"/>
  <c r="AW82" i="1"/>
  <c r="AU82" i="1"/>
  <c r="AI17" i="1" l="1"/>
  <c r="AH17" i="1"/>
  <c r="AI18" i="1" l="1"/>
  <c r="AH18" i="1"/>
  <c r="AH19" i="1" l="1"/>
  <c r="AI19" i="1"/>
  <c r="AH20" i="1" l="1"/>
  <c r="AI20" i="1"/>
  <c r="AH21" i="1" l="1"/>
  <c r="AI21" i="1"/>
  <c r="AH22" i="1" l="1"/>
  <c r="AI22" i="1"/>
  <c r="AI23" i="1" l="1"/>
  <c r="AH23" i="1"/>
  <c r="AI24" i="1" l="1"/>
  <c r="AH24" i="1"/>
  <c r="AI25" i="1" l="1"/>
  <c r="AH25" i="1"/>
  <c r="AH26" i="1" l="1"/>
  <c r="AI26" i="1"/>
  <c r="AH27" i="1" l="1"/>
  <c r="AI27" i="1"/>
  <c r="AH28" i="1" l="1"/>
  <c r="AI28" i="1"/>
  <c r="AH29" i="1" l="1"/>
  <c r="AI29" i="1"/>
  <c r="AH30" i="1" l="1"/>
  <c r="AI30" i="1"/>
  <c r="AI31" i="1" l="1"/>
  <c r="AH31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I32" i="1" l="1"/>
  <c r="AH32" i="1"/>
  <c r="AW81" i="1"/>
  <c r="AW67" i="1"/>
  <c r="AW75" i="1"/>
  <c r="AW72" i="1"/>
  <c r="AW73" i="1"/>
  <c r="AW80" i="1"/>
  <c r="AW77" i="1"/>
  <c r="AW71" i="1"/>
  <c r="AW69" i="1"/>
  <c r="AW79" i="1"/>
  <c r="AW78" i="1"/>
  <c r="AW70" i="1"/>
  <c r="AW76" i="1"/>
  <c r="AW68" i="1"/>
  <c r="AW74" i="1"/>
  <c r="AW66" i="1"/>
  <c r="AI33" i="1" l="1"/>
  <c r="AH33" i="1"/>
  <c r="AI34" i="1" l="1"/>
  <c r="AH34" i="1"/>
  <c r="AH35" i="1" l="1"/>
  <c r="AI35" i="1"/>
  <c r="AH36" i="1" l="1"/>
  <c r="AI36" i="1"/>
  <c r="AI37" i="1" l="1"/>
  <c r="AH37" i="1"/>
  <c r="AH38" i="1" l="1"/>
  <c r="AI38" i="1"/>
  <c r="AY15" i="1"/>
  <c r="AH39" i="1" l="1"/>
  <c r="AI39" i="1"/>
  <c r="AV7" i="1"/>
  <c r="AY14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13" i="1"/>
  <c r="AI40" i="1" l="1"/>
  <c r="AH40" i="1"/>
  <c r="AI41" i="1" l="1"/>
  <c r="AH41" i="1"/>
  <c r="AP90" i="1"/>
  <c r="AP86" i="1"/>
  <c r="AH42" i="1" l="1"/>
  <c r="AI42" i="1"/>
  <c r="AH43" i="1" l="1"/>
  <c r="AI43" i="1"/>
  <c r="AH44" i="1" l="1"/>
  <c r="AI44" i="1"/>
  <c r="AW59" i="1"/>
  <c r="AW51" i="1"/>
  <c r="AW43" i="1"/>
  <c r="AW65" i="1"/>
  <c r="AW57" i="1"/>
  <c r="AW49" i="1"/>
  <c r="AW41" i="1"/>
  <c r="AW62" i="1"/>
  <c r="AW54" i="1"/>
  <c r="AW46" i="1"/>
  <c r="AW58" i="1"/>
  <c r="AW50" i="1"/>
  <c r="AW64" i="1"/>
  <c r="AW56" i="1"/>
  <c r="AW48" i="1"/>
  <c r="AW40" i="1"/>
  <c r="AW42" i="1"/>
  <c r="AW63" i="1"/>
  <c r="AW55" i="1"/>
  <c r="AW47" i="1"/>
  <c r="AW39" i="1"/>
  <c r="AW37" i="1"/>
  <c r="AW61" i="1"/>
  <c r="AW53" i="1"/>
  <c r="AW45" i="1"/>
  <c r="AW36" i="1"/>
  <c r="AW60" i="1"/>
  <c r="AW52" i="1"/>
  <c r="AW44" i="1"/>
  <c r="AW38" i="1"/>
  <c r="AH45" i="1" l="1"/>
  <c r="AI45" i="1"/>
  <c r="AH46" i="1" l="1"/>
  <c r="AI46" i="1"/>
  <c r="AI47" i="1" l="1"/>
  <c r="AH47" i="1"/>
  <c r="T9" i="1"/>
  <c r="U9" i="1"/>
  <c r="AW32" i="1"/>
  <c r="AW21" i="1"/>
  <c r="AW35" i="1"/>
  <c r="AW18" i="1"/>
  <c r="AW25" i="1"/>
  <c r="AW17" i="1"/>
  <c r="AW31" i="1"/>
  <c r="AW22" i="1"/>
  <c r="AW24" i="1"/>
  <c r="AW30" i="1"/>
  <c r="AW14" i="1"/>
  <c r="AW28" i="1"/>
  <c r="AW13" i="1"/>
  <c r="AW16" i="1"/>
  <c r="AW27" i="1"/>
  <c r="AW23" i="1"/>
  <c r="AW19" i="1"/>
  <c r="AW15" i="1"/>
  <c r="AW33" i="1"/>
  <c r="AW29" i="1"/>
  <c r="AW26" i="1"/>
  <c r="AW20" i="1"/>
  <c r="AW34" i="1"/>
  <c r="AH48" i="1" l="1"/>
  <c r="AI48" i="1"/>
  <c r="AI49" i="1" l="1"/>
  <c r="AH49" i="1"/>
  <c r="AI50" i="1" l="1"/>
  <c r="AH50" i="1"/>
  <c r="AH51" i="1" l="1"/>
  <c r="AI51" i="1"/>
  <c r="AH52" i="1" l="1"/>
  <c r="AI52" i="1"/>
  <c r="AI53" i="1" l="1"/>
  <c r="AH53" i="1"/>
  <c r="AH54" i="1" l="1"/>
  <c r="AI54" i="1"/>
  <c r="AH55" i="1" l="1"/>
  <c r="AI55" i="1"/>
  <c r="AI56" i="1" l="1"/>
  <c r="AH56" i="1"/>
  <c r="AI57" i="1" l="1"/>
  <c r="AH57" i="1"/>
  <c r="AI58" i="1" l="1"/>
  <c r="AH58" i="1"/>
  <c r="AH59" i="1" l="1"/>
  <c r="AI59" i="1"/>
  <c r="AH60" i="1" l="1"/>
  <c r="AI60" i="1"/>
  <c r="AH61" i="1" l="1"/>
  <c r="AI61" i="1"/>
  <c r="AH62" i="1" l="1"/>
  <c r="AI62" i="1"/>
  <c r="AH63" i="1" l="1"/>
  <c r="AI63" i="1"/>
  <c r="AI64" i="1" l="1"/>
  <c r="AH64" i="1"/>
  <c r="AI65" i="1" l="1"/>
  <c r="AH65" i="1"/>
  <c r="AI66" i="1" l="1"/>
  <c r="AH66" i="1"/>
  <c r="AH67" i="1" l="1"/>
  <c r="AI67" i="1"/>
  <c r="AH68" i="1" l="1"/>
  <c r="AI68" i="1"/>
  <c r="AH69" i="1" l="1"/>
  <c r="AI69" i="1"/>
  <c r="AH70" i="1" l="1"/>
  <c r="AI70" i="1"/>
  <c r="AH71" i="1" l="1"/>
  <c r="AI71" i="1"/>
  <c r="AI72" i="1" l="1"/>
  <c r="AH72" i="1"/>
  <c r="AI73" i="1" l="1"/>
  <c r="AH73" i="1"/>
  <c r="AI74" i="1" l="1"/>
  <c r="AH74" i="1"/>
  <c r="AH75" i="1" l="1"/>
  <c r="AI75" i="1"/>
  <c r="AH76" i="1" l="1"/>
  <c r="AI76" i="1"/>
  <c r="AH77" i="1" l="1"/>
  <c r="AI77" i="1"/>
  <c r="AH78" i="1" l="1"/>
  <c r="AI78" i="1"/>
  <c r="AH79" i="1" l="1"/>
  <c r="AI79" i="1"/>
  <c r="AI80" i="1" l="1"/>
  <c r="AH80" i="1"/>
  <c r="AI81" i="1" l="1"/>
  <c r="AH81" i="1"/>
  <c r="AO14" i="1" l="1"/>
  <c r="BE14" i="1" s="1"/>
  <c r="AO17" i="1"/>
  <c r="BE17" i="1" s="1"/>
  <c r="AO16" i="1"/>
  <c r="BE16" i="1" s="1"/>
  <c r="AO15" i="1"/>
  <c r="BE15" i="1" s="1"/>
  <c r="AO19" i="1"/>
  <c r="BE19" i="1" s="1"/>
  <c r="AO24" i="1"/>
  <c r="BE24" i="1" s="1"/>
  <c r="AO22" i="1"/>
  <c r="BE22" i="1" s="1"/>
  <c r="AO21" i="1"/>
  <c r="BE21" i="1" s="1"/>
  <c r="AO18" i="1"/>
  <c r="BE18" i="1" s="1"/>
  <c r="AO20" i="1"/>
  <c r="BE20" i="1" s="1"/>
  <c r="AO23" i="1"/>
  <c r="BE23" i="1" s="1"/>
  <c r="AO13" i="1"/>
  <c r="BE13" i="1" s="1"/>
  <c r="BF13" i="1" l="1" a="1"/>
  <c r="AU13" i="1"/>
  <c r="AU23" i="1"/>
  <c r="AU20" i="1"/>
  <c r="AU18" i="1"/>
  <c r="AU21" i="1"/>
  <c r="AU22" i="1"/>
  <c r="AU24" i="1"/>
  <c r="AU19" i="1"/>
  <c r="AU15" i="1"/>
  <c r="AU16" i="1"/>
  <c r="AU17" i="1"/>
  <c r="AU14" i="1"/>
  <c r="AB22" i="1" l="1"/>
  <c r="AD22" i="1"/>
  <c r="AC22" i="1"/>
  <c r="AE22" i="1"/>
  <c r="AB21" i="1"/>
  <c r="AE21" i="1"/>
  <c r="AD21" i="1"/>
  <c r="AB18" i="1"/>
  <c r="AE20" i="1"/>
  <c r="AB20" i="1"/>
  <c r="AD20" i="1"/>
  <c r="AD18" i="1"/>
  <c r="AE18" i="1"/>
  <c r="AD19" i="1"/>
  <c r="AE19" i="1"/>
  <c r="AB19" i="1"/>
  <c r="AE17" i="1"/>
  <c r="AB17" i="1"/>
  <c r="AD17" i="1"/>
  <c r="BF13" i="1"/>
  <c r="AD13" i="1" s="1"/>
  <c r="AD16" i="1"/>
  <c r="AE16" i="1"/>
  <c r="AB16" i="1"/>
  <c r="AD15" i="1"/>
  <c r="AE15" i="1"/>
  <c r="AB15" i="1"/>
  <c r="AB14" i="1"/>
  <c r="AE14" i="1"/>
  <c r="AD14" i="1"/>
  <c r="BX19" i="1"/>
  <c r="BX18" i="1"/>
  <c r="BX17" i="1"/>
  <c r="BX15" i="1"/>
  <c r="BX16" i="1"/>
  <c r="BX14" i="1"/>
  <c r="AE13" i="1" l="1"/>
  <c r="AB13" i="1"/>
  <c r="BY21" i="1" l="1"/>
  <c r="BZ21" i="1" s="1"/>
  <c r="CA21" i="1" s="1"/>
  <c r="AO9" i="1" l="1"/>
  <c r="X4" i="1" l="1"/>
  <c r="V4" i="1"/>
  <c r="T4" i="1"/>
  <c r="A10" i="1"/>
  <c r="AT26" i="1" l="1"/>
  <c r="AT25" i="1"/>
  <c r="AT23" i="1"/>
  <c r="AT24" i="1"/>
  <c r="AT18" i="1"/>
  <c r="AC15" i="1" s="1"/>
  <c r="AT22" i="1"/>
  <c r="AT21" i="1"/>
  <c r="AC18" i="1" s="1"/>
  <c r="AT19" i="1"/>
  <c r="AC16" i="1" s="1"/>
  <c r="AT20" i="1"/>
  <c r="U4" i="1"/>
  <c r="AT15" i="1"/>
  <c r="AT17" i="1"/>
  <c r="AT14" i="1"/>
  <c r="AT16" i="1"/>
  <c r="BV16" i="1" s="1"/>
  <c r="AT13" i="1"/>
  <c r="AC19" i="1" l="1"/>
  <c r="BV18" i="1"/>
  <c r="AC20" i="1"/>
  <c r="BV19" i="1"/>
  <c r="BV20" i="1"/>
  <c r="AC21" i="1"/>
  <c r="BV17" i="1"/>
  <c r="AC17" i="1"/>
  <c r="AC14" i="1"/>
  <c r="BV15" i="1"/>
  <c r="AC13" i="1"/>
  <c r="AT82" i="1"/>
  <c r="BV14" i="1"/>
  <c r="AJ19" i="1" l="1"/>
  <c r="BY20" i="1" s="1"/>
  <c r="BZ20" i="1" s="1"/>
  <c r="CA20" i="1" s="1"/>
  <c r="AJ18" i="1" l="1"/>
  <c r="BY19" i="1" s="1"/>
  <c r="BZ19" i="1" s="1"/>
  <c r="CA19" i="1" s="1"/>
  <c r="AJ17" i="1" l="1"/>
  <c r="BY18" i="1" s="1"/>
  <c r="BZ18" i="1" s="1"/>
  <c r="CA18" i="1" s="1"/>
  <c r="AJ16" i="1" l="1"/>
  <c r="BY17" i="1" s="1"/>
  <c r="BZ17" i="1" s="1"/>
  <c r="CA17" i="1" s="1"/>
  <c r="AJ15" i="1" l="1"/>
  <c r="BY16" i="1" s="1"/>
  <c r="BZ16" i="1" s="1"/>
  <c r="CA16" i="1" s="1"/>
  <c r="AJ14" i="1" l="1"/>
  <c r="BY15" i="1" s="1"/>
  <c r="BZ15" i="1" s="1"/>
  <c r="CA15" i="1" s="1"/>
  <c r="AJ13" i="1" l="1"/>
  <c r="BY14" i="1" l="1"/>
  <c r="BZ14" i="1" s="1"/>
  <c r="CA14" i="1" s="1"/>
  <c r="AV82" i="1"/>
  <c r="X9" i="1" l="1"/>
  <c r="AX82" i="1"/>
  <c r="V9" i="1" s="1"/>
  <c r="AY82" i="1" l="1"/>
  <c r="Y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<sst xmlns="http://schemas.openxmlformats.org/spreadsheetml/2006/main" count="200" uniqueCount="161">
  <si>
    <t>INTERNAL PACKING LIST</t>
  </si>
  <si>
    <t>CUSTOMER NAME</t>
  </si>
  <si>
    <t>DIMENSIONS</t>
  </si>
  <si>
    <t>LINE</t>
  </si>
  <si>
    <t>MATERIAL</t>
  </si>
  <si>
    <t>Skid #</t>
  </si>
  <si>
    <t>Length</t>
  </si>
  <si>
    <t># of counted pieces</t>
  </si>
  <si>
    <t>Feet</t>
  </si>
  <si>
    <t>Weight [lbs]</t>
  </si>
  <si>
    <t>OP Code</t>
  </si>
  <si>
    <t>Date</t>
  </si>
  <si>
    <t>Rechecked tubes  reason</t>
  </si>
  <si>
    <t>SAGE Flag</t>
  </si>
  <si>
    <t>TOTAL</t>
  </si>
  <si>
    <t>PRODUCTION ORDER START - DATE AND TIME</t>
  </si>
  <si>
    <t>PRODUCTION ORDER END - DATE AND TIME</t>
  </si>
  <si>
    <t>WELDING MACHINE - START TIME</t>
  </si>
  <si>
    <t>WELDING MACHINE - END TIME</t>
  </si>
  <si>
    <t>PACKAGE</t>
  </si>
  <si>
    <t>WAREHOUSE READY TO SHIP</t>
  </si>
  <si>
    <t>WAREHOUSE ADDITIONAL PROCESSES</t>
  </si>
  <si>
    <t>NOTES</t>
  </si>
  <si>
    <t>BUNDLES</t>
  </si>
  <si>
    <t>CAGES</t>
  </si>
  <si>
    <t>BOXES</t>
  </si>
  <si>
    <t>#</t>
  </si>
  <si>
    <t>Dimensions</t>
  </si>
  <si>
    <t>Package#</t>
  </si>
  <si>
    <t>Work order #</t>
  </si>
  <si>
    <t>LOT#</t>
  </si>
  <si>
    <t>SKID #</t>
  </si>
  <si>
    <t>WORK ORDER#</t>
  </si>
  <si>
    <t># PIECES</t>
  </si>
  <si>
    <t>TOTAL PIECES</t>
  </si>
  <si>
    <t># OF BOXES/ BUNDLES</t>
  </si>
  <si>
    <t>PIECES PER BOX</t>
  </si>
  <si>
    <t>Heat # Marked</t>
  </si>
  <si>
    <t>Lot # in Use</t>
  </si>
  <si>
    <t>PACKAGE #</t>
  </si>
  <si>
    <t>DATE</t>
  </si>
  <si>
    <t>n° 047 (Rev. 5)</t>
  </si>
  <si>
    <t xml:space="preserve">WELD START </t>
  </si>
  <si>
    <t>PROD START</t>
  </si>
  <si>
    <t>PROD END</t>
  </si>
  <si>
    <t>WELD END</t>
  </si>
  <si>
    <t>SAGE FLAG</t>
  </si>
  <si>
    <t>SCRAP</t>
  </si>
  <si>
    <t>TOTAL WEIGHT</t>
  </si>
  <si>
    <t>WELD TIME</t>
  </si>
  <si>
    <t>FT PER LOT/BOX#</t>
  </si>
  <si>
    <t>BOX #</t>
  </si>
  <si>
    <t>PCS</t>
  </si>
  <si>
    <t>TOTAL FEET</t>
  </si>
  <si>
    <t>SC/WO %</t>
  </si>
  <si>
    <t>MATERIALE</t>
  </si>
  <si>
    <t>EN 1.4401 TP316</t>
  </si>
  <si>
    <t>EN 1.4401/1.4404 TP316/316L</t>
  </si>
  <si>
    <t>EN 1.4406 TP316LN</t>
  </si>
  <si>
    <t>EN 1.4432 TP316L</t>
  </si>
  <si>
    <t>EN 1.4435 TP316L</t>
  </si>
  <si>
    <t>EN 1.4541 TP321</t>
  </si>
  <si>
    <t>EN 1.4547 UNS S31254</t>
  </si>
  <si>
    <t>EN 1.4571 TP316Ti</t>
  </si>
  <si>
    <t>EN 1.4828 TP309</t>
  </si>
  <si>
    <t>EN 1.4833 TP309S</t>
  </si>
  <si>
    <t>EN 1.4845 TP310S</t>
  </si>
  <si>
    <t>EN 1.4438 TP317L</t>
  </si>
  <si>
    <t>TP316 C min. 0.04%</t>
  </si>
  <si>
    <t>EN 1.4847 UNS S33400 A840</t>
  </si>
  <si>
    <t>A840</t>
  </si>
  <si>
    <t>EN 1.4876 UNS N08800</t>
  </si>
  <si>
    <t>EN 2.4605 UNS N06059</t>
  </si>
  <si>
    <t>EN 2.4816 UNS N06600</t>
  </si>
  <si>
    <t>EN 2.4851 UNS N06601</t>
  </si>
  <si>
    <t>EN 2.4858 UNS N08825</t>
  </si>
  <si>
    <t>EN 2.4856 UNS N06625</t>
  </si>
  <si>
    <t>EN 2.4819 UNS N10276</t>
  </si>
  <si>
    <t>EN 2.4602 UNS N06022</t>
  </si>
  <si>
    <t>EN 2.4360 UNS N04400</t>
  </si>
  <si>
    <t>EN 2.4660 UNS N08020</t>
  </si>
  <si>
    <t>EN 1.4529 UNS N08926</t>
  </si>
  <si>
    <t>EN 1.4539 UNS N08904</t>
  </si>
  <si>
    <t>UNS N08367</t>
  </si>
  <si>
    <t>EN 1.4876 UNS N08810</t>
  </si>
  <si>
    <t>UNS N06200 - Alloy C2000</t>
  </si>
  <si>
    <t>UNS N08028</t>
  </si>
  <si>
    <t>EN 1.4016 TP430</t>
  </si>
  <si>
    <t>EN 1.4162 UNS S32101</t>
  </si>
  <si>
    <t>EN 1.4410 UNS S32750</t>
  </si>
  <si>
    <t>EN 1.4462 UNS S31803</t>
  </si>
  <si>
    <t>EN 1.4462 UNS S32205</t>
  </si>
  <si>
    <t>UNS S32003 AL2003</t>
  </si>
  <si>
    <t>EN 1.4512 TP409</t>
  </si>
  <si>
    <t>EN 1.4509 TP441</t>
  </si>
  <si>
    <t>UNS S44735 AL29-4 C</t>
  </si>
  <si>
    <t>EN 1.4521 TP444</t>
  </si>
  <si>
    <t>TP439 UNS S43035</t>
  </si>
  <si>
    <t>EN 1.4462 UNS S31803/S32205</t>
  </si>
  <si>
    <t>X2CrTi18</t>
  </si>
  <si>
    <t>TITANIUM GR. 1</t>
  </si>
  <si>
    <t>TITANIUM GR. 2</t>
  </si>
  <si>
    <t>TITANIUM GR. 7</t>
  </si>
  <si>
    <t>TITANIUM GR. 12</t>
  </si>
  <si>
    <t>A825</t>
  </si>
  <si>
    <t>MAT. COEFF</t>
  </si>
  <si>
    <t>QC</t>
  </si>
  <si>
    <t>A59</t>
  </si>
  <si>
    <t>EN 1.4301 TP304L</t>
  </si>
  <si>
    <t>304L</t>
  </si>
  <si>
    <t>EN 1.4306 TP304LL</t>
  </si>
  <si>
    <t>EN 1.4301/1.4307 TP304L/304LL</t>
  </si>
  <si>
    <t>EN 1.4311 TP304LN/TP304LLN</t>
  </si>
  <si>
    <t>EN 1.4301 TP304LPS</t>
  </si>
  <si>
    <t>EN 1.4948 TP304LH</t>
  </si>
  <si>
    <t>TP304LN UNS S304L51</t>
  </si>
  <si>
    <t>TP304L/304LL Co max. 0.05%</t>
  </si>
  <si>
    <t>TP304L/304LL Co max. 0.25%</t>
  </si>
  <si>
    <t>EN 1.4307 TP304LL</t>
  </si>
  <si>
    <t>EN 1.4362 UNS S32304L</t>
  </si>
  <si>
    <t>316L</t>
  </si>
  <si>
    <t>-</t>
  </si>
  <si>
    <t>FEET</t>
  </si>
  <si>
    <t>PCS PER BOX</t>
  </si>
  <si>
    <t>2ND RUN Y?</t>
  </si>
  <si>
    <t>Actual Thickness</t>
  </si>
  <si>
    <t>CUSTOMER</t>
  </si>
  <si>
    <t>DIAMETER</t>
  </si>
  <si>
    <t>THICKNESS</t>
  </si>
  <si>
    <t>TOTAL FT</t>
  </si>
  <si>
    <t>RW FT</t>
  </si>
  <si>
    <t>CROSS OUT</t>
  </si>
  <si>
    <t>SAGE#</t>
  </si>
  <si>
    <t>WEIGHT PER SAGE#</t>
  </si>
  <si>
    <t>TUBES PER SAGE #</t>
  </si>
  <si>
    <t>FEET PER SAGE#</t>
  </si>
  <si>
    <t>Lot#</t>
  </si>
  <si>
    <t>Box</t>
  </si>
  <si>
    <t>OP</t>
  </si>
  <si>
    <t>DATE-LOT#-BOX#-OP#</t>
  </si>
  <si>
    <t>OP#</t>
  </si>
  <si>
    <t>SCRAP LOOKUP (DATE-OP)</t>
  </si>
  <si>
    <t>SHIFT</t>
  </si>
  <si>
    <t>PRODUCED LBS</t>
  </si>
  <si>
    <t>PRODUCED FT</t>
  </si>
  <si>
    <t>TOTAL LBS</t>
  </si>
  <si>
    <t>SCRAP %</t>
  </si>
  <si>
    <t>EFFECTIVE SPEED</t>
  </si>
  <si>
    <t>AVAILABLE MINS</t>
  </si>
  <si>
    <t>PENT. PROD. CAP.</t>
  </si>
  <si>
    <t>EFFICIENCY %</t>
  </si>
  <si>
    <t>1st</t>
  </si>
  <si>
    <t>2nd</t>
  </si>
  <si>
    <t>LINE SPEED</t>
  </si>
  <si>
    <t>MIN OR</t>
  </si>
  <si>
    <t>EFFICIENCY BL</t>
  </si>
  <si>
    <t>SCRAP BL</t>
  </si>
  <si>
    <t>LINE 2</t>
  </si>
  <si>
    <t>DIA OR</t>
  </si>
  <si>
    <t>WT OR</t>
  </si>
  <si>
    <t>MAT 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</si>
</sst>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409]d\-mmm\-yy;@"/>
    <numFmt numFmtId="165" formatCode="[$-409]m/d/yy\ h:mm\ AM/PM;@"/>
    <numFmt numFmtId="166" formatCode="0.0000"/>
    <numFmt numFmtId="167" formatCode="#,##0.00000"/>
    <numFmt numFmtId="168" formatCode="0.000"/>
    <numFmt numFmtId="169" formatCode="m/d/yy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28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22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i/>
      <sz val="11"/>
      <name val="Calibri"/>
      <family val="2"/>
      <scheme val="minor"/>
    </font>
    <font>
      <sz val="14"/>
      <color theme="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dashDotDot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indexed="64"/>
      </bottom>
      <diagonal/>
    </border>
  </borders>
  <cellStyleXfs count="2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13" applyNumberFormat="0" applyAlignment="0" applyProtection="0"/>
    <xf numFmtId="0" fontId="11" fillId="4" borderId="13" applyNumberFormat="0" applyAlignment="0" applyProtection="0"/>
    <xf numFmtId="9" fontId="16" fillId="0" borderId="0" applyFont="0" applyFill="0" applyBorder="0" applyAlignment="0" applyProtection="0"/>
    <xf numFmtId="0" fontId="20" fillId="6" borderId="17" applyNumberFormat="0" applyAlignment="0" applyProtection="0"/>
    <xf numFmtId="0" fontId="21" fillId="4" borderId="19" applyNumberFormat="0" applyAlignment="0" applyProtection="0"/>
  </cellStyleXfs>
  <cellXfs count="195">
    <xf numFmtId="0" fontId="0" fillId="0" borderId="0" xfId="0"/>
    <xf numFmtId="0" fontId="5" fillId="0" borderId="0" xfId="0" applyFont="1"/>
    <xf numFmtId="0" fontId="5" fillId="0" borderId="3" xfId="0" applyFont="1" applyBorder="1"/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Border="1"/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2" borderId="13" xfId="23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5" fillId="0" borderId="3" xfId="0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5" fillId="0" borderId="4" xfId="0" applyFont="1" applyBorder="1"/>
    <xf numFmtId="0" fontId="5" fillId="0" borderId="15" xfId="0" applyFont="1" applyBorder="1"/>
    <xf numFmtId="0" fontId="5" fillId="0" borderId="0" xfId="0" applyFont="1" applyFill="1" applyBorder="1" applyAlignment="1">
      <alignment horizontal="center" vertic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/>
    <xf numFmtId="0" fontId="5" fillId="3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14" fillId="3" borderId="0" xfId="0" applyFont="1" applyFill="1" applyAlignment="1">
      <alignment wrapText="1"/>
    </xf>
    <xf numFmtId="1" fontId="11" fillId="4" borderId="3" xfId="24" applyNumberFormat="1" applyBorder="1" applyAlignment="1">
      <alignment horizontal="center" vertical="center"/>
    </xf>
    <xf numFmtId="0" fontId="4" fillId="2" borderId="16" xfId="23" applyBorder="1" applyAlignment="1">
      <alignment horizontal="center" vertical="center"/>
    </xf>
    <xf numFmtId="14" fontId="4" fillId="2" borderId="16" xfId="23" applyNumberFormat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" fontId="5" fillId="5" borderId="0" xfId="24" applyNumberFormat="1" applyFont="1" applyFill="1" applyBorder="1" applyAlignment="1">
      <alignment horizontal="center" vertical="center" wrapText="1"/>
    </xf>
    <xf numFmtId="1" fontId="5" fillId="0" borderId="0" xfId="0" applyNumberFormat="1" applyFont="1" applyFill="1" applyBorder="1" applyAlignment="1">
      <alignment horizontal="center" vertical="center"/>
    </xf>
    <xf numFmtId="165" fontId="5" fillId="0" borderId="3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 vertical="center"/>
    </xf>
    <xf numFmtId="0" fontId="4" fillId="3" borderId="0" xfId="23" applyFill="1" applyBorder="1" applyAlignment="1">
      <alignment horizontal="center" vertical="center"/>
    </xf>
    <xf numFmtId="0" fontId="0" fillId="3" borderId="0" xfId="0" applyFill="1"/>
    <xf numFmtId="1" fontId="5" fillId="3" borderId="0" xfId="24" applyNumberFormat="1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2" borderId="13" xfId="23" applyAlignment="1">
      <alignment horizontal="center"/>
    </xf>
    <xf numFmtId="14" fontId="4" fillId="2" borderId="13" xfId="23" applyNumberFormat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1" fontId="4" fillId="0" borderId="0" xfId="23" applyNumberFormat="1" applyFill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4" fillId="0" borderId="0" xfId="23" applyNumberFormat="1" applyFill="1" applyBorder="1" applyAlignment="1">
      <alignment horizontal="center" vertical="center"/>
    </xf>
    <xf numFmtId="0" fontId="11" fillId="5" borderId="3" xfId="24" applyNumberFormat="1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167" fontId="17" fillId="0" borderId="0" xfId="0" applyNumberFormat="1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1" fontId="5" fillId="5" borderId="15" xfId="24" applyNumberFormat="1" applyFont="1" applyFill="1" applyBorder="1" applyAlignment="1">
      <alignment horizontal="center" vertical="center" wrapText="1"/>
    </xf>
    <xf numFmtId="0" fontId="8" fillId="5" borderId="18" xfId="0" applyFont="1" applyFill="1" applyBorder="1" applyAlignment="1">
      <alignment horizontal="center" vertical="center" wrapText="1"/>
    </xf>
    <xf numFmtId="1" fontId="5" fillId="5" borderId="4" xfId="24" applyNumberFormat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1" fontId="5" fillId="5" borderId="3" xfId="24" applyNumberFormat="1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1" fontId="5" fillId="3" borderId="4" xfId="24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5" fillId="2" borderId="3" xfId="23" applyFont="1" applyBorder="1" applyAlignment="1">
      <alignment horizontal="center" vertical="center"/>
    </xf>
    <xf numFmtId="0" fontId="4" fillId="2" borderId="3" xfId="23" applyNumberFormat="1" applyBorder="1" applyAlignment="1">
      <alignment horizontal="center" vertical="center"/>
    </xf>
    <xf numFmtId="0" fontId="20" fillId="6" borderId="17" xfId="26"/>
    <xf numFmtId="0" fontId="20" fillId="6" borderId="17" xfId="26" applyAlignment="1">
      <alignment horizontal="center"/>
    </xf>
    <xf numFmtId="0" fontId="21" fillId="4" borderId="19" xfId="27"/>
    <xf numFmtId="0" fontId="21" fillId="4" borderId="19" xfId="27" applyAlignment="1">
      <alignment horizontal="center"/>
    </xf>
    <xf numFmtId="1" fontId="5" fillId="3" borderId="0" xfId="0" applyNumberFormat="1" applyFont="1" applyFill="1"/>
    <xf numFmtId="0" fontId="12" fillId="3" borderId="0" xfId="0" applyFont="1" applyFill="1" applyAlignment="1">
      <alignment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2" fontId="4" fillId="3" borderId="0" xfId="23" applyNumberFormat="1" applyFill="1" applyBorder="1" applyAlignment="1">
      <alignment horizontal="center" vertical="center"/>
    </xf>
    <xf numFmtId="1" fontId="4" fillId="3" borderId="0" xfId="23" applyNumberFormat="1" applyFill="1" applyBorder="1" applyAlignment="1">
      <alignment horizontal="center" vertical="center"/>
    </xf>
    <xf numFmtId="1" fontId="5" fillId="3" borderId="3" xfId="24" applyNumberFormat="1" applyFont="1" applyFill="1" applyBorder="1" applyAlignment="1">
      <alignment horizontal="center" vertical="center" wrapText="1"/>
    </xf>
    <xf numFmtId="1" fontId="20" fillId="6" borderId="3" xfId="26" applyNumberFormat="1" applyBorder="1" applyAlignment="1">
      <alignment horizontal="center" vertical="center" wrapText="1"/>
    </xf>
    <xf numFmtId="1" fontId="20" fillId="3" borderId="3" xfId="26" applyNumberFormat="1" applyFill="1" applyBorder="1" applyAlignment="1">
      <alignment horizontal="center" vertical="center" wrapText="1"/>
    </xf>
    <xf numFmtId="0" fontId="5" fillId="3" borderId="3" xfId="0" applyFont="1" applyFill="1" applyBorder="1"/>
    <xf numFmtId="0" fontId="0" fillId="0" borderId="3" xfId="0" applyBorder="1"/>
    <xf numFmtId="0" fontId="5" fillId="3" borderId="3" xfId="0" applyFont="1" applyFill="1" applyBorder="1" applyAlignment="1">
      <alignment horizontal="center" vertical="center"/>
    </xf>
    <xf numFmtId="0" fontId="11" fillId="4" borderId="3" xfId="24" applyBorder="1" applyAlignment="1">
      <alignment horizontal="center" vertical="center"/>
    </xf>
    <xf numFmtId="10" fontId="5" fillId="0" borderId="3" xfId="25" applyNumberFormat="1" applyFont="1" applyFill="1" applyBorder="1" applyAlignment="1">
      <alignment horizontal="center" vertical="center"/>
    </xf>
    <xf numFmtId="0" fontId="5" fillId="0" borderId="3" xfId="0" applyFont="1" applyFill="1" applyBorder="1"/>
    <xf numFmtId="14" fontId="4" fillId="0" borderId="0" xfId="23" applyNumberFormat="1" applyFill="1" applyBorder="1" applyAlignment="1">
      <alignment horizontal="center" vertical="center"/>
    </xf>
    <xf numFmtId="0" fontId="4" fillId="0" borderId="0" xfId="23" applyNumberFormat="1" applyFill="1" applyBorder="1" applyAlignment="1">
      <alignment horizontal="center" vertical="center"/>
    </xf>
    <xf numFmtId="168" fontId="5" fillId="0" borderId="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2" borderId="16" xfId="23" applyNumberFormat="1" applyBorder="1" applyAlignment="1">
      <alignment horizontal="center" vertical="center"/>
    </xf>
    <xf numFmtId="0" fontId="4" fillId="2" borderId="13" xfId="23" applyNumberForma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2" fontId="5" fillId="3" borderId="0" xfId="0" applyNumberFormat="1" applyFont="1" applyFill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4" fillId="0" borderId="22" xfId="0" applyFont="1" applyBorder="1" applyAlignment="1"/>
    <xf numFmtId="0" fontId="5" fillId="0" borderId="5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9" fontId="5" fillId="0" borderId="26" xfId="25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/>
    </xf>
    <xf numFmtId="169" fontId="5" fillId="0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27" fillId="0" borderId="0" xfId="0" applyFont="1"/>
    <xf numFmtId="166" fontId="5" fillId="0" borderId="0" xfId="0" applyNumberFormat="1" applyFont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top"/>
    </xf>
    <xf numFmtId="165" fontId="5" fillId="0" borderId="12" xfId="0" applyNumberFormat="1" applyFont="1" applyBorder="1" applyAlignment="1">
      <alignment horizontal="center" vertical="top"/>
    </xf>
    <xf numFmtId="165" fontId="5" fillId="0" borderId="10" xfId="0" applyNumberFormat="1" applyFont="1" applyBorder="1" applyAlignment="1">
      <alignment horizontal="center" vertical="top"/>
    </xf>
    <xf numFmtId="0" fontId="13" fillId="0" borderId="4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top"/>
    </xf>
    <xf numFmtId="0" fontId="10" fillId="0" borderId="11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  <xf numFmtId="0" fontId="10" fillId="0" borderId="12" xfId="0" applyFont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</cellXfs>
  <cellStyles count="28">
    <cellStyle name="Calculation" xfId="24" builtinId="22"/>
    <cellStyle name="Check Cell" xfId="26" builtinId="2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Input" xfId="23" builtinId="20"/>
    <cellStyle name="Normal" xfId="0" builtinId="0"/>
    <cellStyle name="Output" xfId="27" builtinId="21"/>
    <cellStyle name="Percent" xfId="25" builtinId="5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/>
      </font>
    </dxf>
    <dxf>
      <font>
        <b val="0"/>
        <i val="0"/>
        <strike/>
        <color auto="1"/>
      </font>
    </dxf>
    <dxf>
      <font>
        <strike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9" defaultPivotStyle="PivotStyleLight16">
    <tableStyle name="Invisible" pivot="0" table="0" count="0" xr9:uid="{C13634B5-88AC-4DB7-8CD5-6D72446573D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PL!$CE$13</c:f>
              <c:strCache>
                <c:ptCount val="1"/>
                <c:pt idx="0">
                  <c:v>EFFICIENCY %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PL!$BS$14:$BT$20</c15:sqref>
                  </c15:fullRef>
                </c:ext>
              </c:extLst>
              <c:f>PL!$BS$14:$BT$15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PL!$CE$14:$CE$81</c15:sqref>
                  </c15:fullRef>
                </c:ext>
              </c:extLst>
              <c:f>PL!$CE$14:$CE$15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CB-41CB-AB27-E3D0ACA98D64}"/>
            </c:ext>
          </c:extLst>
        </c:ser>
        <c:ser>
          <c:idx val="1"/>
          <c:order val="1"/>
          <c:tx>
            <c:strRef>
              <c:f>PL!$CA$13</c:f>
              <c:strCache>
                <c:ptCount val="1"/>
                <c:pt idx="0">
                  <c:v>SCRAP %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PL!$BS$14:$BT$20</c15:sqref>
                  </c15:fullRef>
                </c:ext>
              </c:extLst>
              <c:f>PL!$BS$14:$BT$15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PL!$CA$14:$CA$81</c15:sqref>
                  </c15:fullRef>
                </c:ext>
              </c:extLst>
              <c:f>PL!$CA$14:$CA$15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CB-41CB-AB27-E3D0ACA98D64}"/>
            </c:ext>
          </c:extLst>
        </c:ser>
        <c:ser>
          <c:idx val="2"/>
          <c:order val="2"/>
          <c:tx>
            <c:strRef>
              <c:f>PL!$CG$13</c:f>
              <c:strCache>
                <c:ptCount val="1"/>
                <c:pt idx="0">
                  <c:v>SCRAP BL</c:v>
                </c:pt>
              </c:strCache>
            </c:strRef>
          </c:tx>
          <c:spPr>
            <a:ln w="444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21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PL!$BS$14:$BT$20</c15:sqref>
                  </c15:fullRef>
                </c:ext>
              </c:extLst>
              <c:f>PL!$BS$14:$BT$15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PL!$CG$14:$CG$81</c15:sqref>
                  </c15:fullRef>
                </c:ext>
              </c:extLst>
              <c:f>PL!$CG$14:$CG$15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CB-41CB-AB27-E3D0ACA98D64}"/>
            </c:ext>
          </c:extLst>
        </c:ser>
        <c:ser>
          <c:idx val="3"/>
          <c:order val="3"/>
          <c:tx>
            <c:strRef>
              <c:f>PL!$CF$13</c:f>
              <c:strCache>
                <c:ptCount val="1"/>
                <c:pt idx="0">
                  <c:v>EFFICIENCY BL</c:v>
                </c:pt>
              </c:strCache>
            </c:strRef>
          </c:tx>
          <c:spPr>
            <a:ln w="444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21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PL!$BS$14:$BT$20</c15:sqref>
                  </c15:fullRef>
                </c:ext>
              </c:extLst>
              <c:f>PL!$BS$14:$BT$15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PL!$CF$14:$CF$81</c15:sqref>
                  </c15:fullRef>
                </c:ext>
              </c:extLst>
              <c:f>PL!$CF$14:$CF$15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CB-41CB-AB27-E3D0ACA98D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858207"/>
        <c:axId val="1656862367"/>
      </c:lineChart>
      <c:catAx>
        <c:axId val="165685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862367"/>
        <c:crosses val="autoZero"/>
        <c:auto val="1"/>
        <c:lblAlgn val="ctr"/>
        <c:lblOffset val="100"/>
        <c:noMultiLvlLbl val="0"/>
      </c:catAx>
      <c:valAx>
        <c:axId val="165686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858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71879</xdr:colOff>
      <xdr:row>88</xdr:row>
      <xdr:rowOff>48289</xdr:rowOff>
    </xdr:from>
    <xdr:to>
      <xdr:col>44</xdr:col>
      <xdr:colOff>319529</xdr:colOff>
      <xdr:row>88</xdr:row>
      <xdr:rowOff>191164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55231" y="6927625"/>
          <a:ext cx="247650" cy="1428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70122</xdr:colOff>
      <xdr:row>89</xdr:row>
      <xdr:rowOff>42862</xdr:rowOff>
    </xdr:from>
    <xdr:to>
      <xdr:col>44</xdr:col>
      <xdr:colOff>317772</xdr:colOff>
      <xdr:row>89</xdr:row>
      <xdr:rowOff>185737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550037" y="7137568"/>
          <a:ext cx="247650" cy="1428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68593</xdr:colOff>
      <xdr:row>90</xdr:row>
      <xdr:rowOff>38100</xdr:rowOff>
    </xdr:from>
    <xdr:to>
      <xdr:col>44</xdr:col>
      <xdr:colOff>316243</xdr:colOff>
      <xdr:row>90</xdr:row>
      <xdr:rowOff>180975</xdr:rowOff>
    </xdr:to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551945" y="7374636"/>
          <a:ext cx="247650" cy="1428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38</xdr:col>
      <xdr:colOff>166052</xdr:colOff>
      <xdr:row>5</xdr:row>
      <xdr:rowOff>8097</xdr:rowOff>
    </xdr:from>
    <xdr:to>
      <xdr:col>39</xdr:col>
      <xdr:colOff>1123318</xdr:colOff>
      <xdr:row>6</xdr:row>
      <xdr:rowOff>342087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14702" y="979647"/>
          <a:ext cx="1977391" cy="5816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895350</xdr:colOff>
          <xdr:row>2</xdr:row>
          <xdr:rowOff>38100</xdr:rowOff>
        </xdr:from>
        <xdr:to>
          <xdr:col>4</xdr:col>
          <xdr:colOff>209550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1</xdr:row>
          <xdr:rowOff>95250</xdr:rowOff>
        </xdr:from>
        <xdr:to>
          <xdr:col>7</xdr:col>
          <xdr:colOff>247650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 Order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</xdr:colOff>
      <xdr:row>0</xdr:row>
      <xdr:rowOff>11430</xdr:rowOff>
    </xdr:from>
    <xdr:to>
      <xdr:col>15</xdr:col>
      <xdr:colOff>36195</xdr:colOff>
      <xdr:row>34</xdr:row>
      <xdr:rowOff>36194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drives/USA-Logistics/Packing%20List/_TEMPLATE/MASTER%20DATA%20FIL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drives/USA-Operations/Production/USA%20FILES/Dashboard/Daily%20Line%20Scrap%20Cha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drives/USA-Logistics/Packing%20List/Receiving%20Inspection%20Log/2019/Mod.%20027%20(Rev.0)%20Receiving%20Inspection%20lo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 1"/>
      <sheetName val="LINE 2"/>
      <sheetName val="Sheet1"/>
      <sheetName val="TABLES"/>
      <sheetName val="MINS"/>
      <sheetName val="Sheet2"/>
      <sheetName val="SCHE"/>
      <sheetName val="MASTER DATA FIL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w/o#</v>
          </cell>
          <cell r="N1" t="str">
            <v>Length Ft.</v>
          </cell>
        </row>
        <row r="2">
          <cell r="A2" t="str">
            <v>D2019/00003</v>
          </cell>
          <cell r="F2" t="str">
            <v>DHT</v>
          </cell>
          <cell r="I2" t="str">
            <v>316L</v>
          </cell>
          <cell r="J2">
            <v>0.75</v>
          </cell>
          <cell r="K2">
            <v>4.9000000000000002E-2</v>
          </cell>
          <cell r="N2">
            <v>16.52</v>
          </cell>
        </row>
        <row r="3">
          <cell r="A3" t="str">
            <v>D2019/00005</v>
          </cell>
          <cell r="F3" t="str">
            <v>DHT</v>
          </cell>
          <cell r="I3" t="str">
            <v>316L</v>
          </cell>
          <cell r="J3">
            <v>0.75</v>
          </cell>
          <cell r="K3">
            <v>4.9000000000000002E-2</v>
          </cell>
          <cell r="N3">
            <v>7.0208300000000001</v>
          </cell>
        </row>
        <row r="4">
          <cell r="A4" t="str">
            <v>D2019/00007</v>
          </cell>
          <cell r="F4" t="str">
            <v>HTTP</v>
          </cell>
          <cell r="I4" t="str">
            <v>304L</v>
          </cell>
          <cell r="J4">
            <v>0.75</v>
          </cell>
          <cell r="K4">
            <v>6.5000000000000002E-2</v>
          </cell>
          <cell r="N4">
            <v>26.036000000000001</v>
          </cell>
        </row>
        <row r="5">
          <cell r="A5" t="str">
            <v>D2019/01644</v>
          </cell>
          <cell r="F5" t="str">
            <v>DHT</v>
          </cell>
          <cell r="I5" t="str">
            <v>316L</v>
          </cell>
          <cell r="J5">
            <v>0.75</v>
          </cell>
          <cell r="K5">
            <v>4.9000000000000002E-2</v>
          </cell>
          <cell r="N5">
            <v>16.52</v>
          </cell>
        </row>
        <row r="6">
          <cell r="A6" t="str">
            <v>D2019/01645</v>
          </cell>
          <cell r="F6" t="str">
            <v>DHT</v>
          </cell>
          <cell r="I6" t="str">
            <v>316L</v>
          </cell>
          <cell r="J6">
            <v>0.75</v>
          </cell>
          <cell r="K6">
            <v>4.9000000000000002E-2</v>
          </cell>
          <cell r="N6">
            <v>7.0208300000000001</v>
          </cell>
        </row>
        <row r="7">
          <cell r="A7" t="str">
            <v>D2019/01646</v>
          </cell>
          <cell r="F7" t="str">
            <v>HTTP</v>
          </cell>
          <cell r="I7" t="str">
            <v>304L</v>
          </cell>
          <cell r="J7">
            <v>0.75</v>
          </cell>
          <cell r="K7">
            <v>6.5000000000000002E-2</v>
          </cell>
          <cell r="N7">
            <v>26.036000000000001</v>
          </cell>
        </row>
        <row r="8">
          <cell r="A8" t="str">
            <v>D2019/02730</v>
          </cell>
          <cell r="F8" t="str">
            <v>HTTP</v>
          </cell>
          <cell r="I8" t="str">
            <v>304L</v>
          </cell>
          <cell r="J8" t="str">
            <v>0,75</v>
          </cell>
          <cell r="K8">
            <v>4.9000000000000002E-2</v>
          </cell>
          <cell r="N8">
            <v>21.786000000000001</v>
          </cell>
        </row>
        <row r="9">
          <cell r="A9" t="str">
            <v>D2019/02731</v>
          </cell>
          <cell r="F9" t="str">
            <v>HTTP</v>
          </cell>
          <cell r="I9" t="str">
            <v>304L</v>
          </cell>
          <cell r="J9" t="str">
            <v>0,75</v>
          </cell>
          <cell r="K9">
            <v>4.9000000000000002E-2</v>
          </cell>
          <cell r="N9">
            <v>22.853999999999999</v>
          </cell>
        </row>
        <row r="10">
          <cell r="A10" t="str">
            <v>D2019/02732</v>
          </cell>
          <cell r="F10" t="str">
            <v>HTTP</v>
          </cell>
          <cell r="I10" t="str">
            <v>304L</v>
          </cell>
          <cell r="J10" t="str">
            <v>0,75</v>
          </cell>
          <cell r="K10">
            <v>4.9000000000000002E-2</v>
          </cell>
          <cell r="N10">
            <v>31.77</v>
          </cell>
        </row>
        <row r="11">
          <cell r="A11" t="str">
            <v>D2020/00506</v>
          </cell>
          <cell r="F11" t="str">
            <v>HTTP</v>
          </cell>
          <cell r="I11" t="str">
            <v>316L</v>
          </cell>
          <cell r="J11">
            <v>0.625</v>
          </cell>
          <cell r="K11">
            <v>4.9000000000000002E-2</v>
          </cell>
          <cell r="N11">
            <v>64</v>
          </cell>
        </row>
        <row r="12">
          <cell r="A12" t="str">
            <v>D2020/00539</v>
          </cell>
          <cell r="F12" t="str">
            <v>HARRIS THERMAL</v>
          </cell>
          <cell r="I12" t="str">
            <v>316L</v>
          </cell>
          <cell r="J12">
            <v>0.5</v>
          </cell>
          <cell r="K12">
            <v>4.9000000000000002E-2</v>
          </cell>
          <cell r="N12">
            <v>10</v>
          </cell>
        </row>
        <row r="13">
          <cell r="A13" t="str">
            <v>D2020/00556</v>
          </cell>
          <cell r="F13" t="str">
            <v>TUBES INC TULSA</v>
          </cell>
          <cell r="I13" t="str">
            <v>304L</v>
          </cell>
          <cell r="J13">
            <v>1.5</v>
          </cell>
          <cell r="K13">
            <v>4.9000000000000002E-2</v>
          </cell>
          <cell r="N13">
            <v>39</v>
          </cell>
        </row>
        <row r="14">
          <cell r="A14" t="str">
            <v>D2020/00557</v>
          </cell>
          <cell r="F14" t="str">
            <v>HTTP</v>
          </cell>
          <cell r="I14" t="str">
            <v>304L</v>
          </cell>
          <cell r="J14">
            <v>1.5</v>
          </cell>
          <cell r="K14">
            <v>4.9000000000000002E-2</v>
          </cell>
          <cell r="N14">
            <v>44.165999999999997</v>
          </cell>
        </row>
        <row r="15">
          <cell r="A15" t="str">
            <v>D2019/00001</v>
          </cell>
          <cell r="F15" t="str">
            <v>H&amp;R TUBE</v>
          </cell>
          <cell r="I15" t="str">
            <v>304L</v>
          </cell>
          <cell r="J15">
            <v>0.56200000000000006</v>
          </cell>
          <cell r="K15">
            <v>3.5000000000000003E-2</v>
          </cell>
          <cell r="N15">
            <v>24</v>
          </cell>
        </row>
        <row r="16">
          <cell r="A16" t="str">
            <v>D2019/00002</v>
          </cell>
          <cell r="F16" t="str">
            <v>H&amp;R TUBE</v>
          </cell>
          <cell r="I16" t="str">
            <v>304L</v>
          </cell>
          <cell r="J16">
            <v>0.625</v>
          </cell>
          <cell r="K16">
            <v>3.5000000000000003E-2</v>
          </cell>
          <cell r="N16">
            <v>24</v>
          </cell>
        </row>
        <row r="17">
          <cell r="A17" t="str">
            <v>D2019/01716</v>
          </cell>
          <cell r="F17" t="str">
            <v>H&amp;R TUBE</v>
          </cell>
          <cell r="I17" t="str">
            <v>304L</v>
          </cell>
          <cell r="J17">
            <v>0.56200000000000006</v>
          </cell>
          <cell r="K17">
            <v>3.5000000000000003E-2</v>
          </cell>
          <cell r="N17">
            <v>24</v>
          </cell>
        </row>
        <row r="18">
          <cell r="A18" t="str">
            <v>D20219/01650</v>
          </cell>
          <cell r="F18" t="str">
            <v>H&amp;R TUBE</v>
          </cell>
          <cell r="I18" t="str">
            <v>304L</v>
          </cell>
          <cell r="J18">
            <v>0.625</v>
          </cell>
          <cell r="K18">
            <v>3.5000000000000003E-2</v>
          </cell>
          <cell r="N18">
            <v>24</v>
          </cell>
        </row>
        <row r="19">
          <cell r="A19" t="str">
            <v>D2019/00006</v>
          </cell>
          <cell r="F19" t="str">
            <v>RUBICON</v>
          </cell>
          <cell r="I19" t="str">
            <v>316L</v>
          </cell>
          <cell r="J19">
            <v>0.625</v>
          </cell>
          <cell r="K19">
            <v>4.9000000000000002E-2</v>
          </cell>
          <cell r="N19">
            <v>14</v>
          </cell>
        </row>
        <row r="20">
          <cell r="A20" t="str">
            <v>D2019/01648</v>
          </cell>
          <cell r="F20" t="str">
            <v>RUBICON</v>
          </cell>
          <cell r="I20" t="str">
            <v>316L</v>
          </cell>
          <cell r="J20">
            <v>0.625</v>
          </cell>
          <cell r="K20">
            <v>4.9000000000000002E-2</v>
          </cell>
          <cell r="N20">
            <v>14</v>
          </cell>
        </row>
        <row r="21">
          <cell r="A21" t="str">
            <v>D2019/00004</v>
          </cell>
          <cell r="F21" t="str">
            <v>H&amp;R TUBE</v>
          </cell>
          <cell r="I21" t="str">
            <v>304L</v>
          </cell>
          <cell r="J21">
            <v>0.625</v>
          </cell>
          <cell r="K21">
            <v>3.5000000000000003E-2</v>
          </cell>
          <cell r="N21">
            <v>20</v>
          </cell>
        </row>
        <row r="22">
          <cell r="A22" t="str">
            <v>D2019/01649</v>
          </cell>
          <cell r="F22" t="str">
            <v>H&amp;R TUBE</v>
          </cell>
          <cell r="I22" t="str">
            <v>304L</v>
          </cell>
          <cell r="J22">
            <v>0.625</v>
          </cell>
          <cell r="K22">
            <v>3.5000000000000003E-2</v>
          </cell>
          <cell r="N22">
            <v>20</v>
          </cell>
        </row>
        <row r="23">
          <cell r="A23" t="str">
            <v>D2019/00008</v>
          </cell>
          <cell r="F23" t="str">
            <v>HTTP</v>
          </cell>
          <cell r="I23" t="str">
            <v>316L</v>
          </cell>
          <cell r="J23">
            <v>0.625</v>
          </cell>
          <cell r="K23">
            <v>4.9000000000000002E-2</v>
          </cell>
          <cell r="N23">
            <v>52.082999999999998</v>
          </cell>
        </row>
        <row r="24">
          <cell r="A24" t="str">
            <v>D2019/01825</v>
          </cell>
          <cell r="F24" t="str">
            <v>HTTP</v>
          </cell>
          <cell r="I24" t="str">
            <v>316L</v>
          </cell>
          <cell r="J24">
            <v>0.625</v>
          </cell>
          <cell r="K24">
            <v>4.9000000000000002E-2</v>
          </cell>
          <cell r="N24">
            <v>52.082999999999998</v>
          </cell>
        </row>
        <row r="25">
          <cell r="A25" t="str">
            <v>D2019/00009</v>
          </cell>
          <cell r="F25" t="str">
            <v>HTTP</v>
          </cell>
          <cell r="I25" t="str">
            <v>304L</v>
          </cell>
          <cell r="J25">
            <v>0.75</v>
          </cell>
          <cell r="K25">
            <v>6.5000000000000002E-2</v>
          </cell>
          <cell r="N25">
            <v>27.015000000000001</v>
          </cell>
        </row>
        <row r="26">
          <cell r="A26" t="str">
            <v>D2019/00011</v>
          </cell>
          <cell r="F26" t="str">
            <v>HTTP</v>
          </cell>
          <cell r="I26">
            <v>2205</v>
          </cell>
          <cell r="J26">
            <v>0.75</v>
          </cell>
          <cell r="K26">
            <v>6.5000000000000002E-2</v>
          </cell>
          <cell r="N26">
            <v>39.593000000000004</v>
          </cell>
        </row>
        <row r="27">
          <cell r="A27" t="str">
            <v>D2019/00012</v>
          </cell>
          <cell r="F27" t="str">
            <v>H&amp;R TUBE</v>
          </cell>
          <cell r="I27" t="str">
            <v>304L</v>
          </cell>
          <cell r="J27">
            <v>0.625</v>
          </cell>
          <cell r="K27">
            <v>4.9000000000000002E-2</v>
          </cell>
          <cell r="N27">
            <v>24</v>
          </cell>
        </row>
        <row r="28">
          <cell r="A28" t="str">
            <v>D2019/01647</v>
          </cell>
          <cell r="F28" t="str">
            <v>HTTP</v>
          </cell>
          <cell r="I28" t="str">
            <v>304L</v>
          </cell>
          <cell r="J28">
            <v>0.75</v>
          </cell>
          <cell r="K28">
            <v>6.5000000000000002E-2</v>
          </cell>
          <cell r="N28">
            <v>27.015000000000001</v>
          </cell>
        </row>
        <row r="29">
          <cell r="A29" t="str">
            <v>D2019/01653</v>
          </cell>
          <cell r="F29" t="str">
            <v>H&amp;R TUBE</v>
          </cell>
          <cell r="I29" t="str">
            <v>304L</v>
          </cell>
          <cell r="J29">
            <v>0.625</v>
          </cell>
          <cell r="K29">
            <v>4.9000000000000002E-2</v>
          </cell>
          <cell r="N29">
            <v>24</v>
          </cell>
        </row>
        <row r="30">
          <cell r="A30" t="str">
            <v>D2019/01662</v>
          </cell>
          <cell r="F30" t="str">
            <v>HTTP</v>
          </cell>
          <cell r="I30">
            <v>2205</v>
          </cell>
          <cell r="J30">
            <v>0.75</v>
          </cell>
          <cell r="K30">
            <v>6.5000000000000002E-2</v>
          </cell>
          <cell r="N30">
            <v>39.593000000000004</v>
          </cell>
        </row>
        <row r="31">
          <cell r="A31" t="str">
            <v>D2019/00013</v>
          </cell>
          <cell r="F31" t="str">
            <v>HTTP</v>
          </cell>
          <cell r="I31">
            <v>2205</v>
          </cell>
          <cell r="J31">
            <v>0.75</v>
          </cell>
          <cell r="K31">
            <v>6.5000000000000002E-2</v>
          </cell>
          <cell r="N31">
            <v>38.738999999999997</v>
          </cell>
        </row>
        <row r="32">
          <cell r="A32" t="str">
            <v>D2019/00016</v>
          </cell>
          <cell r="F32" t="str">
            <v>H&amp;R TUBE</v>
          </cell>
          <cell r="I32" t="str">
            <v>304L</v>
          </cell>
          <cell r="J32">
            <v>0.625</v>
          </cell>
          <cell r="K32">
            <v>3.5000000000000003E-2</v>
          </cell>
          <cell r="N32">
            <v>27</v>
          </cell>
        </row>
        <row r="33">
          <cell r="A33" t="str">
            <v>D2019/01651</v>
          </cell>
          <cell r="F33" t="str">
            <v>H&amp;R TUBE</v>
          </cell>
          <cell r="I33" t="str">
            <v>304L</v>
          </cell>
          <cell r="J33">
            <v>0.625</v>
          </cell>
          <cell r="K33">
            <v>3.5000000000000003E-2</v>
          </cell>
          <cell r="N33">
            <v>27</v>
          </cell>
        </row>
        <row r="34">
          <cell r="A34" t="str">
            <v>D2019/01661</v>
          </cell>
          <cell r="F34" t="str">
            <v>HTTP</v>
          </cell>
          <cell r="I34">
            <v>2205</v>
          </cell>
          <cell r="J34">
            <v>0.75</v>
          </cell>
          <cell r="K34">
            <v>6.5000000000000002E-2</v>
          </cell>
          <cell r="N34">
            <v>38.738999999999997</v>
          </cell>
        </row>
        <row r="35">
          <cell r="A35" t="str">
            <v>D2019/01657</v>
          </cell>
          <cell r="F35" t="str">
            <v>H&amp;R TUBE</v>
          </cell>
          <cell r="I35" t="str">
            <v>304L</v>
          </cell>
          <cell r="J35">
            <v>0.625</v>
          </cell>
          <cell r="K35">
            <v>4.9000000000000002E-2</v>
          </cell>
          <cell r="N35">
            <v>25</v>
          </cell>
        </row>
        <row r="36">
          <cell r="A36" t="str">
            <v>D2019/01660</v>
          </cell>
          <cell r="F36" t="str">
            <v>HTTP</v>
          </cell>
          <cell r="I36">
            <v>2205</v>
          </cell>
          <cell r="J36">
            <v>0.75</v>
          </cell>
          <cell r="K36">
            <v>6.5000000000000002E-2</v>
          </cell>
          <cell r="N36">
            <v>38.098999999999997</v>
          </cell>
        </row>
        <row r="37">
          <cell r="A37" t="str">
            <v>D2019/01586</v>
          </cell>
          <cell r="F37" t="str">
            <v>H&amp;R TUBE</v>
          </cell>
          <cell r="I37" t="str">
            <v>304L</v>
          </cell>
          <cell r="J37">
            <v>0.625</v>
          </cell>
          <cell r="K37">
            <v>3.5000000000000003E-2</v>
          </cell>
          <cell r="N37">
            <v>20</v>
          </cell>
        </row>
        <row r="38">
          <cell r="A38" t="str">
            <v>D2019/01659</v>
          </cell>
          <cell r="F38" t="str">
            <v>HTTP</v>
          </cell>
          <cell r="I38">
            <v>2205</v>
          </cell>
          <cell r="J38">
            <v>0.75</v>
          </cell>
          <cell r="K38" t="str">
            <v>0,065</v>
          </cell>
          <cell r="N38">
            <v>37.463000000000001</v>
          </cell>
        </row>
        <row r="39">
          <cell r="A39" t="str">
            <v>D2019/01664</v>
          </cell>
          <cell r="F39" t="str">
            <v>CMS HEAT TRANSFER</v>
          </cell>
          <cell r="I39">
            <v>2205</v>
          </cell>
          <cell r="J39">
            <v>0.75</v>
          </cell>
          <cell r="K39">
            <v>6.5000000000000002E-2</v>
          </cell>
          <cell r="N39">
            <v>8</v>
          </cell>
        </row>
        <row r="40">
          <cell r="A40" t="str">
            <v>D2019/01658</v>
          </cell>
          <cell r="F40" t="str">
            <v>HTTP</v>
          </cell>
          <cell r="I40">
            <v>2205</v>
          </cell>
          <cell r="J40">
            <v>0.75</v>
          </cell>
          <cell r="K40">
            <v>6.5000000000000002E-2</v>
          </cell>
          <cell r="N40">
            <v>36.823</v>
          </cell>
        </row>
        <row r="41">
          <cell r="A41" t="str">
            <v>D2019/01663</v>
          </cell>
          <cell r="F41" t="str">
            <v>CMS HEAT TRANSFER</v>
          </cell>
          <cell r="I41">
            <v>2205</v>
          </cell>
          <cell r="J41">
            <v>1.25</v>
          </cell>
          <cell r="K41">
            <v>6.5000000000000002E-2</v>
          </cell>
          <cell r="N41">
            <v>24</v>
          </cell>
        </row>
        <row r="42">
          <cell r="A42" t="str">
            <v>D2019/01711</v>
          </cell>
          <cell r="F42" t="str">
            <v>H&amp;R TUBE</v>
          </cell>
          <cell r="I42">
            <v>321</v>
          </cell>
          <cell r="J42">
            <v>1.25</v>
          </cell>
          <cell r="K42">
            <v>0.02</v>
          </cell>
          <cell r="N42">
            <v>20</v>
          </cell>
        </row>
        <row r="43">
          <cell r="A43" t="str">
            <v>D2019/01707</v>
          </cell>
          <cell r="F43" t="str">
            <v>HTTP</v>
          </cell>
          <cell r="I43" t="str">
            <v>304L</v>
          </cell>
          <cell r="J43">
            <v>0.75</v>
          </cell>
          <cell r="K43">
            <v>6.5000000000000002E-2</v>
          </cell>
          <cell r="N43">
            <v>53.161000000000001</v>
          </cell>
        </row>
        <row r="44">
          <cell r="A44" t="str">
            <v>D2019/01708</v>
          </cell>
          <cell r="F44" t="str">
            <v>HTTP</v>
          </cell>
          <cell r="I44" t="str">
            <v>304L</v>
          </cell>
          <cell r="J44">
            <v>0.75</v>
          </cell>
          <cell r="K44">
            <v>6.5000000000000002E-2</v>
          </cell>
          <cell r="N44">
            <v>54.015000000000001</v>
          </cell>
        </row>
        <row r="45">
          <cell r="A45" t="str">
            <v>D2019/01709</v>
          </cell>
          <cell r="F45" t="str">
            <v>HTTP</v>
          </cell>
          <cell r="I45" t="str">
            <v>304L</v>
          </cell>
          <cell r="J45">
            <v>1</v>
          </cell>
          <cell r="K45">
            <v>4.9000000000000002E-2</v>
          </cell>
          <cell r="N45">
            <v>26</v>
          </cell>
        </row>
        <row r="46">
          <cell r="A46" t="str">
            <v>D2019/01727</v>
          </cell>
          <cell r="F46" t="str">
            <v>KOCH CANADA</v>
          </cell>
          <cell r="I46" t="str">
            <v>316L</v>
          </cell>
          <cell r="J46">
            <v>1</v>
          </cell>
          <cell r="K46">
            <v>8.3000000000000004E-2</v>
          </cell>
          <cell r="N46">
            <v>12</v>
          </cell>
        </row>
        <row r="47">
          <cell r="A47" t="str">
            <v>D2019/01726</v>
          </cell>
          <cell r="F47" t="str">
            <v>KOCH CANADA</v>
          </cell>
          <cell r="I47" t="str">
            <v>316L</v>
          </cell>
          <cell r="J47">
            <v>1</v>
          </cell>
          <cell r="K47">
            <v>8.3000000000000004E-2</v>
          </cell>
          <cell r="N47">
            <v>12</v>
          </cell>
        </row>
        <row r="48">
          <cell r="A48" t="str">
            <v>D2019/01706</v>
          </cell>
          <cell r="F48" t="str">
            <v>HTTP</v>
          </cell>
          <cell r="I48" t="str">
            <v>304L</v>
          </cell>
          <cell r="J48">
            <v>0.75</v>
          </cell>
          <cell r="K48">
            <v>6.5000000000000002E-2</v>
          </cell>
          <cell r="N48">
            <v>52.526000000000003</v>
          </cell>
        </row>
        <row r="49">
          <cell r="A49" t="str">
            <v>D2019/01705</v>
          </cell>
          <cell r="F49" t="str">
            <v>HTTP</v>
          </cell>
          <cell r="I49" t="str">
            <v>304L</v>
          </cell>
          <cell r="J49">
            <v>0.75</v>
          </cell>
          <cell r="K49">
            <v>6.5000000000000002E-2</v>
          </cell>
          <cell r="N49">
            <v>51.884999999999998</v>
          </cell>
        </row>
        <row r="50">
          <cell r="A50" t="str">
            <v>D2019/01704</v>
          </cell>
          <cell r="F50" t="str">
            <v>HTTP</v>
          </cell>
          <cell r="I50" t="str">
            <v>304L</v>
          </cell>
          <cell r="J50">
            <v>0.75</v>
          </cell>
          <cell r="K50">
            <v>6.5000000000000002E-2</v>
          </cell>
          <cell r="N50">
            <v>51.463000000000001</v>
          </cell>
        </row>
        <row r="51">
          <cell r="A51" t="str">
            <v>D2019/01702</v>
          </cell>
          <cell r="F51" t="str">
            <v>HTTP</v>
          </cell>
          <cell r="I51" t="str">
            <v>304L</v>
          </cell>
          <cell r="J51">
            <v>0.75</v>
          </cell>
          <cell r="K51">
            <v>6.5000000000000002E-2</v>
          </cell>
          <cell r="N51">
            <v>50.609000000000002</v>
          </cell>
        </row>
        <row r="52">
          <cell r="A52" t="str">
            <v>D2019/01703</v>
          </cell>
          <cell r="F52" t="str">
            <v>HTTP</v>
          </cell>
          <cell r="I52" t="str">
            <v>304L</v>
          </cell>
          <cell r="J52">
            <v>0.75</v>
          </cell>
          <cell r="K52">
            <v>6.5000000000000002E-2</v>
          </cell>
          <cell r="N52">
            <v>51.036000000000001</v>
          </cell>
        </row>
        <row r="53">
          <cell r="A53" t="str">
            <v>D2019/01728</v>
          </cell>
          <cell r="F53" t="str">
            <v>HTTP</v>
          </cell>
          <cell r="I53" t="str">
            <v>316L</v>
          </cell>
          <cell r="J53">
            <v>1</v>
          </cell>
          <cell r="K53">
            <v>0.109</v>
          </cell>
          <cell r="N53">
            <v>12</v>
          </cell>
        </row>
        <row r="54">
          <cell r="A54" t="str">
            <v>D2019/01873</v>
          </cell>
          <cell r="F54" t="str">
            <v>HTTP</v>
          </cell>
          <cell r="I54" t="str">
            <v>304L</v>
          </cell>
          <cell r="J54">
            <v>0.75</v>
          </cell>
          <cell r="K54">
            <v>6.5000000000000002E-2</v>
          </cell>
          <cell r="N54">
            <v>52.082999999999998</v>
          </cell>
        </row>
        <row r="55">
          <cell r="A55" t="str">
            <v>D2019/01849</v>
          </cell>
          <cell r="F55" t="str">
            <v>H&amp;R TUBE</v>
          </cell>
          <cell r="I55" t="str">
            <v>304L</v>
          </cell>
          <cell r="J55">
            <v>0.625</v>
          </cell>
          <cell r="K55">
            <v>3.5000000000000003E-2</v>
          </cell>
          <cell r="N55">
            <v>20</v>
          </cell>
        </row>
        <row r="56">
          <cell r="A56" t="str">
            <v>D2019/01874</v>
          </cell>
          <cell r="F56" t="str">
            <v>H&amp;R TUBE</v>
          </cell>
          <cell r="I56" t="str">
            <v>304L</v>
          </cell>
          <cell r="J56">
            <v>0.56200000000000006</v>
          </cell>
          <cell r="K56">
            <v>3.5000000000000003E-2</v>
          </cell>
          <cell r="N56">
            <v>24</v>
          </cell>
        </row>
        <row r="57">
          <cell r="A57" t="str">
            <v>D2019/01895</v>
          </cell>
          <cell r="F57" t="str">
            <v>UPMET</v>
          </cell>
          <cell r="I57" t="str">
            <v>A625</v>
          </cell>
          <cell r="J57">
            <v>1.25</v>
          </cell>
          <cell r="K57">
            <v>4.9000000000000002E-2</v>
          </cell>
          <cell r="N57">
            <v>10</v>
          </cell>
        </row>
        <row r="58">
          <cell r="A58" t="str">
            <v>D2019/01842</v>
          </cell>
          <cell r="F58" t="str">
            <v>HTTP</v>
          </cell>
          <cell r="I58" t="str">
            <v>304L</v>
          </cell>
          <cell r="J58">
            <v>0.625</v>
          </cell>
          <cell r="K58">
            <v>4.9000000000000002E-2</v>
          </cell>
          <cell r="N58">
            <v>16</v>
          </cell>
        </row>
        <row r="59">
          <cell r="A59" t="str">
            <v>D2019/01848</v>
          </cell>
          <cell r="F59" t="str">
            <v>H&amp;R TUBE</v>
          </cell>
          <cell r="I59" t="str">
            <v>304L</v>
          </cell>
          <cell r="J59">
            <v>0.625</v>
          </cell>
          <cell r="K59">
            <v>3.5000000000000003E-2</v>
          </cell>
          <cell r="N59">
            <v>24</v>
          </cell>
        </row>
        <row r="60">
          <cell r="A60" t="str">
            <v>D2019/01834</v>
          </cell>
          <cell r="F60" t="str">
            <v>HTTP</v>
          </cell>
          <cell r="I60" t="str">
            <v>316L</v>
          </cell>
          <cell r="J60">
            <v>0.75</v>
          </cell>
          <cell r="K60" t="str">
            <v>0,065</v>
          </cell>
          <cell r="N60">
            <v>52.082999999999998</v>
          </cell>
        </row>
        <row r="61">
          <cell r="A61" t="str">
            <v>D2019/01833</v>
          </cell>
          <cell r="F61" t="str">
            <v>HTTP</v>
          </cell>
          <cell r="I61" t="str">
            <v>316L</v>
          </cell>
          <cell r="J61">
            <v>0.75</v>
          </cell>
          <cell r="K61" t="str">
            <v>0,065</v>
          </cell>
          <cell r="N61">
            <v>48.082999999999998</v>
          </cell>
        </row>
        <row r="62">
          <cell r="A62" t="str">
            <v>D2019/01946</v>
          </cell>
          <cell r="F62" t="str">
            <v>HTTP</v>
          </cell>
          <cell r="I62" t="str">
            <v>316L</v>
          </cell>
          <cell r="J62" t="str">
            <v>0,75</v>
          </cell>
          <cell r="K62" t="str">
            <v>0,065</v>
          </cell>
          <cell r="N62">
            <v>12</v>
          </cell>
        </row>
        <row r="63">
          <cell r="A63" t="str">
            <v>D2019/01947</v>
          </cell>
          <cell r="F63" t="str">
            <v>HTTP</v>
          </cell>
          <cell r="I63" t="str">
            <v>316L</v>
          </cell>
          <cell r="J63" t="str">
            <v>0,75</v>
          </cell>
          <cell r="K63" t="str">
            <v>0,065</v>
          </cell>
          <cell r="N63">
            <v>2</v>
          </cell>
        </row>
        <row r="64">
          <cell r="A64" t="str">
            <v>D2019/01957</v>
          </cell>
          <cell r="F64" t="str">
            <v>HTTP</v>
          </cell>
          <cell r="I64" t="str">
            <v>304L</v>
          </cell>
          <cell r="J64" t="str">
            <v>0,75</v>
          </cell>
          <cell r="K64" t="str">
            <v>0,065</v>
          </cell>
          <cell r="N64">
            <v>52.082999999999998</v>
          </cell>
        </row>
        <row r="65">
          <cell r="A65" t="str">
            <v>D2019/01843</v>
          </cell>
          <cell r="F65" t="str">
            <v>HTTP</v>
          </cell>
          <cell r="I65" t="str">
            <v>304L</v>
          </cell>
          <cell r="J65">
            <v>0.625</v>
          </cell>
          <cell r="K65">
            <v>4.9000000000000002E-2</v>
          </cell>
          <cell r="N65">
            <v>16</v>
          </cell>
        </row>
        <row r="66">
          <cell r="A66" t="str">
            <v>D2019/01956</v>
          </cell>
          <cell r="F66" t="str">
            <v>HTTP</v>
          </cell>
          <cell r="I66" t="str">
            <v>304L</v>
          </cell>
          <cell r="J66" t="str">
            <v>0,75</v>
          </cell>
          <cell r="K66" t="str">
            <v>0,065</v>
          </cell>
          <cell r="N66">
            <v>48.082999999999998</v>
          </cell>
        </row>
        <row r="67">
          <cell r="A67" t="str">
            <v>D2019/01955</v>
          </cell>
          <cell r="F67" t="str">
            <v>HTTP</v>
          </cell>
          <cell r="I67" t="str">
            <v>304L</v>
          </cell>
          <cell r="J67" t="str">
            <v>0,75</v>
          </cell>
          <cell r="K67" t="str">
            <v>0,065</v>
          </cell>
          <cell r="N67">
            <v>46.082999999999998</v>
          </cell>
        </row>
        <row r="68">
          <cell r="A68" t="str">
            <v>D2019/01954</v>
          </cell>
          <cell r="F68" t="str">
            <v>HTTP</v>
          </cell>
          <cell r="I68" t="str">
            <v>304L</v>
          </cell>
          <cell r="J68" t="str">
            <v>0,75</v>
          </cell>
          <cell r="K68" t="str">
            <v>0,065</v>
          </cell>
          <cell r="N68">
            <v>44.082999999999998</v>
          </cell>
        </row>
        <row r="69">
          <cell r="A69" t="str">
            <v>D2019/01953</v>
          </cell>
          <cell r="F69" t="str">
            <v>HTTP</v>
          </cell>
          <cell r="I69" t="str">
            <v>304L</v>
          </cell>
          <cell r="J69" t="str">
            <v>0,75</v>
          </cell>
          <cell r="K69" t="str">
            <v>0,065</v>
          </cell>
          <cell r="N69">
            <v>41.082999999999998</v>
          </cell>
        </row>
        <row r="70">
          <cell r="A70" t="str">
            <v>D2019/01844</v>
          </cell>
          <cell r="F70" t="str">
            <v>HTTP</v>
          </cell>
          <cell r="I70" t="str">
            <v>304L</v>
          </cell>
          <cell r="J70">
            <v>0.625</v>
          </cell>
          <cell r="K70">
            <v>4.9000000000000002E-2</v>
          </cell>
          <cell r="N70">
            <v>16</v>
          </cell>
        </row>
        <row r="71">
          <cell r="A71" t="str">
            <v>D2019/01875</v>
          </cell>
          <cell r="F71" t="str">
            <v>H&amp;R TUBE</v>
          </cell>
          <cell r="I71" t="str">
            <v>304L</v>
          </cell>
          <cell r="J71">
            <v>0.56200000000000006</v>
          </cell>
          <cell r="K71">
            <v>3.5000000000000003E-2</v>
          </cell>
          <cell r="N71">
            <v>24</v>
          </cell>
        </row>
        <row r="72">
          <cell r="A72" t="str">
            <v>D2020/00949</v>
          </cell>
          <cell r="F72" t="str">
            <v>H&amp;R TUBE</v>
          </cell>
          <cell r="I72" t="str">
            <v>316L</v>
          </cell>
          <cell r="J72">
            <v>0.56200000000000006</v>
          </cell>
          <cell r="K72">
            <v>3.5000000000000003E-2</v>
          </cell>
          <cell r="N72">
            <v>24</v>
          </cell>
        </row>
        <row r="73">
          <cell r="A73" t="str">
            <v>D2019/01847</v>
          </cell>
          <cell r="F73" t="str">
            <v>H&amp;R TUBE</v>
          </cell>
          <cell r="I73" t="str">
            <v>304L</v>
          </cell>
          <cell r="J73">
            <v>0.625</v>
          </cell>
          <cell r="K73">
            <v>3.5000000000000003E-2</v>
          </cell>
          <cell r="N73">
            <v>27</v>
          </cell>
        </row>
        <row r="74">
          <cell r="A74" t="str">
            <v>D2019/01876</v>
          </cell>
          <cell r="F74" t="str">
            <v>H&amp;R TUBE</v>
          </cell>
          <cell r="I74" t="str">
            <v>304L</v>
          </cell>
          <cell r="J74">
            <v>0.56200000000000006</v>
          </cell>
          <cell r="K74">
            <v>3.5000000000000003E-2</v>
          </cell>
          <cell r="N74">
            <v>24</v>
          </cell>
        </row>
        <row r="75">
          <cell r="A75" t="str">
            <v>D2019/01945</v>
          </cell>
          <cell r="F75" t="str">
            <v>ANGUIL ENVIRONMENTAL</v>
          </cell>
          <cell r="I75" t="str">
            <v>304L</v>
          </cell>
          <cell r="J75">
            <v>0.625</v>
          </cell>
          <cell r="K75">
            <v>3.5000000000000003E-2</v>
          </cell>
          <cell r="N75">
            <v>7.5</v>
          </cell>
        </row>
        <row r="76">
          <cell r="A76" t="str">
            <v>D2019/01656</v>
          </cell>
          <cell r="F76" t="str">
            <v>H&amp;R TUBE</v>
          </cell>
          <cell r="I76" t="str">
            <v>304L</v>
          </cell>
          <cell r="J76">
            <v>0.5</v>
          </cell>
          <cell r="K76">
            <v>3.5000000000000003E-2</v>
          </cell>
          <cell r="N76">
            <v>20</v>
          </cell>
        </row>
        <row r="77">
          <cell r="A77" t="str">
            <v>D2019/01961</v>
          </cell>
          <cell r="F77" t="str">
            <v>H&amp;R TUBE</v>
          </cell>
          <cell r="I77" t="str">
            <v>304L</v>
          </cell>
          <cell r="J77">
            <v>0.625</v>
          </cell>
          <cell r="K77">
            <v>3.5000000000000003E-2</v>
          </cell>
          <cell r="N77">
            <v>27</v>
          </cell>
        </row>
        <row r="78">
          <cell r="A78" t="str">
            <v>D2019/01654</v>
          </cell>
          <cell r="F78" t="str">
            <v>H&amp;R TUBE</v>
          </cell>
          <cell r="I78" t="str">
            <v>304L</v>
          </cell>
          <cell r="J78">
            <v>0.875</v>
          </cell>
          <cell r="K78">
            <v>4.9000000000000002E-2</v>
          </cell>
          <cell r="N78">
            <v>20</v>
          </cell>
        </row>
        <row r="79">
          <cell r="A79" t="str">
            <v>D2019/02543</v>
          </cell>
          <cell r="F79" t="str">
            <v>ROFIN LLC</v>
          </cell>
          <cell r="I79" t="str">
            <v>316L</v>
          </cell>
          <cell r="J79">
            <v>0.875</v>
          </cell>
          <cell r="K79">
            <v>3.5000000000000003E-2</v>
          </cell>
          <cell r="N79">
            <v>14.6797</v>
          </cell>
        </row>
        <row r="80">
          <cell r="A80" t="str">
            <v>D2019/02550</v>
          </cell>
          <cell r="F80" t="str">
            <v>H&amp;R TUBE</v>
          </cell>
          <cell r="I80" t="str">
            <v>304L</v>
          </cell>
          <cell r="J80">
            <v>0.625</v>
          </cell>
          <cell r="K80">
            <v>3.5000000000000003E-2</v>
          </cell>
          <cell r="N80">
            <v>27</v>
          </cell>
        </row>
        <row r="81">
          <cell r="A81" t="str">
            <v>D2019/02694</v>
          </cell>
          <cell r="F81" t="str">
            <v>H&amp;R TUBE</v>
          </cell>
          <cell r="I81" t="str">
            <v>304L</v>
          </cell>
          <cell r="J81">
            <v>0.625</v>
          </cell>
          <cell r="K81">
            <v>3.5000000000000003E-2</v>
          </cell>
          <cell r="N81">
            <v>24</v>
          </cell>
        </row>
        <row r="82">
          <cell r="A82" t="str">
            <v>D2019/02435</v>
          </cell>
          <cell r="F82" t="str">
            <v>ALDRICH COMPANY</v>
          </cell>
          <cell r="I82">
            <v>2205</v>
          </cell>
          <cell r="J82">
            <v>1.25</v>
          </cell>
          <cell r="K82">
            <v>8.3000000000000004E-2</v>
          </cell>
          <cell r="N82">
            <v>24</v>
          </cell>
        </row>
        <row r="83">
          <cell r="A83" t="str">
            <v>D2019/02695</v>
          </cell>
          <cell r="F83" t="str">
            <v>H&amp;R TUBE</v>
          </cell>
          <cell r="I83" t="str">
            <v>304L</v>
          </cell>
          <cell r="J83">
            <v>0.625</v>
          </cell>
          <cell r="K83">
            <v>3.5000000000000003E-2</v>
          </cell>
          <cell r="N83">
            <v>20</v>
          </cell>
        </row>
        <row r="84">
          <cell r="A84" t="str">
            <v>D2019/01824</v>
          </cell>
          <cell r="F84" t="str">
            <v>HTTP</v>
          </cell>
          <cell r="I84" t="str">
            <v>316L</v>
          </cell>
          <cell r="J84">
            <v>0.625</v>
          </cell>
          <cell r="K84">
            <v>4.9000000000000002E-2</v>
          </cell>
          <cell r="N84">
            <v>42.082999999999998</v>
          </cell>
        </row>
        <row r="85">
          <cell r="A85" t="str">
            <v>D2019/02542</v>
          </cell>
          <cell r="F85" t="str">
            <v>H&amp;R TUBE</v>
          </cell>
          <cell r="I85">
            <v>321</v>
          </cell>
          <cell r="J85">
            <v>1.25</v>
          </cell>
          <cell r="K85">
            <v>0.02</v>
          </cell>
          <cell r="N85">
            <v>20</v>
          </cell>
        </row>
        <row r="86">
          <cell r="A86" t="str">
            <v>D02019/01948</v>
          </cell>
          <cell r="F86" t="str">
            <v>HTTP</v>
          </cell>
          <cell r="I86" t="str">
            <v>304L</v>
          </cell>
          <cell r="J86">
            <v>0.625</v>
          </cell>
          <cell r="K86">
            <v>4.9000000000000002E-2</v>
          </cell>
          <cell r="N86">
            <v>52.082999999999998</v>
          </cell>
        </row>
        <row r="87">
          <cell r="A87" t="str">
            <v>D02019/01958</v>
          </cell>
          <cell r="F87" t="str">
            <v>HTTP</v>
          </cell>
          <cell r="I87" t="str">
            <v>304L</v>
          </cell>
          <cell r="J87">
            <v>0.625</v>
          </cell>
          <cell r="K87">
            <v>4.9000000000000002E-2</v>
          </cell>
          <cell r="N87">
            <v>42.082999999999998</v>
          </cell>
        </row>
        <row r="88">
          <cell r="A88" t="str">
            <v>D2019/01948</v>
          </cell>
          <cell r="F88" t="str">
            <v>HTTP</v>
          </cell>
          <cell r="I88" t="str">
            <v>304L</v>
          </cell>
          <cell r="J88">
            <v>0.625</v>
          </cell>
          <cell r="K88">
            <v>4.9000000000000002E-2</v>
          </cell>
          <cell r="N88">
            <v>52.082999999999998</v>
          </cell>
        </row>
        <row r="89">
          <cell r="A89" t="str">
            <v>D2019/01958</v>
          </cell>
          <cell r="F89" t="str">
            <v>HTTP</v>
          </cell>
          <cell r="I89" t="str">
            <v>304L</v>
          </cell>
          <cell r="J89">
            <v>0.625</v>
          </cell>
          <cell r="K89">
            <v>4.9000000000000002E-2</v>
          </cell>
          <cell r="N89">
            <v>42.082999999999998</v>
          </cell>
        </row>
        <row r="90">
          <cell r="A90" t="str">
            <v>D2019/01960</v>
          </cell>
          <cell r="F90" t="str">
            <v>HTTP</v>
          </cell>
          <cell r="I90" t="str">
            <v>316L</v>
          </cell>
          <cell r="J90" t="str">
            <v>0,75</v>
          </cell>
          <cell r="K90">
            <v>4.9000000000000002E-2</v>
          </cell>
          <cell r="N90">
            <v>34.119</v>
          </cell>
        </row>
        <row r="91">
          <cell r="A91" t="str">
            <v>D2019/01959</v>
          </cell>
          <cell r="F91" t="str">
            <v>HTTP</v>
          </cell>
          <cell r="I91" t="str">
            <v>316L</v>
          </cell>
          <cell r="J91" t="str">
            <v>0,75</v>
          </cell>
          <cell r="K91">
            <v>4.9000000000000002E-2</v>
          </cell>
          <cell r="N91">
            <v>32.526000000000003</v>
          </cell>
        </row>
        <row r="92">
          <cell r="A92" t="str">
            <v>D2019/01832</v>
          </cell>
          <cell r="F92" t="str">
            <v>HTTP</v>
          </cell>
          <cell r="I92" t="str">
            <v>316L</v>
          </cell>
          <cell r="J92" t="str">
            <v>0,75</v>
          </cell>
          <cell r="K92" t="str">
            <v>0,065</v>
          </cell>
          <cell r="N92">
            <v>46.082999999999998</v>
          </cell>
        </row>
        <row r="93">
          <cell r="A93" t="str">
            <v>D2019/01830</v>
          </cell>
          <cell r="F93" t="str">
            <v>HTTP</v>
          </cell>
          <cell r="I93" t="str">
            <v>316L</v>
          </cell>
          <cell r="J93" t="str">
            <v>0,75</v>
          </cell>
          <cell r="K93" t="str">
            <v>0,065</v>
          </cell>
          <cell r="N93">
            <v>41.082999999999998</v>
          </cell>
        </row>
        <row r="94">
          <cell r="A94" t="str">
            <v>D2019/01831</v>
          </cell>
          <cell r="F94" t="str">
            <v>HTTP</v>
          </cell>
          <cell r="I94" t="str">
            <v>316L</v>
          </cell>
          <cell r="J94" t="str">
            <v>0,75</v>
          </cell>
          <cell r="K94" t="str">
            <v>0,065</v>
          </cell>
          <cell r="N94">
            <v>44.082999999999998</v>
          </cell>
        </row>
        <row r="95">
          <cell r="A95" t="str">
            <v>D2019/01845</v>
          </cell>
          <cell r="F95" t="str">
            <v>HTTP</v>
          </cell>
          <cell r="I95" t="str">
            <v>304L</v>
          </cell>
          <cell r="J95">
            <v>0.625</v>
          </cell>
          <cell r="K95">
            <v>4.9000000000000002E-2</v>
          </cell>
          <cell r="N95">
            <v>16</v>
          </cell>
        </row>
        <row r="96">
          <cell r="A96" t="str">
            <v>D2019/01828</v>
          </cell>
          <cell r="F96" t="str">
            <v>HTTP</v>
          </cell>
          <cell r="I96" t="str">
            <v>316L</v>
          </cell>
          <cell r="J96" t="str">
            <v>0,75</v>
          </cell>
          <cell r="K96" t="str">
            <v>0,065</v>
          </cell>
          <cell r="N96">
            <v>32.082999999999998</v>
          </cell>
        </row>
        <row r="97">
          <cell r="A97" t="str">
            <v>D2019/01829</v>
          </cell>
          <cell r="F97" t="str">
            <v>HTTP</v>
          </cell>
          <cell r="I97" t="str">
            <v>316L</v>
          </cell>
          <cell r="J97" t="str">
            <v>0,75</v>
          </cell>
          <cell r="K97" t="str">
            <v>0,065</v>
          </cell>
          <cell r="N97">
            <v>36.082999999999998</v>
          </cell>
        </row>
        <row r="98">
          <cell r="A98" t="str">
            <v>D2019/01846</v>
          </cell>
          <cell r="F98" t="str">
            <v>HTTP</v>
          </cell>
          <cell r="I98" t="str">
            <v>304L</v>
          </cell>
          <cell r="J98">
            <v>0.625</v>
          </cell>
          <cell r="K98">
            <v>4.9000000000000002E-2</v>
          </cell>
          <cell r="N98">
            <v>16</v>
          </cell>
        </row>
        <row r="99">
          <cell r="A99" t="str">
            <v>D2019/01952</v>
          </cell>
          <cell r="F99" t="str">
            <v>HTTP</v>
          </cell>
          <cell r="I99" t="str">
            <v>304L</v>
          </cell>
          <cell r="J99" t="str">
            <v>0,75</v>
          </cell>
          <cell r="K99" t="str">
            <v>0,065</v>
          </cell>
          <cell r="N99">
            <v>36.082999999999998</v>
          </cell>
        </row>
        <row r="100">
          <cell r="A100" t="str">
            <v>D2019/01652</v>
          </cell>
          <cell r="F100" t="str">
            <v>H&amp;R TUBE</v>
          </cell>
          <cell r="I100" t="str">
            <v>304L</v>
          </cell>
          <cell r="J100">
            <v>0.625</v>
          </cell>
          <cell r="K100">
            <v>4.9000000000000002E-2</v>
          </cell>
          <cell r="N100">
            <v>20</v>
          </cell>
        </row>
        <row r="101">
          <cell r="A101" t="str">
            <v>D2019/01951</v>
          </cell>
          <cell r="F101" t="str">
            <v>HTTP</v>
          </cell>
          <cell r="I101" t="str">
            <v>304L</v>
          </cell>
          <cell r="J101" t="str">
            <v>0,75</v>
          </cell>
          <cell r="K101" t="str">
            <v>0,065</v>
          </cell>
          <cell r="N101">
            <v>32.082999999999998</v>
          </cell>
        </row>
        <row r="102">
          <cell r="A102" t="str">
            <v>D2019/02557</v>
          </cell>
          <cell r="F102" t="str">
            <v>HTTP</v>
          </cell>
          <cell r="I102">
            <v>2205</v>
          </cell>
          <cell r="J102" t="str">
            <v>0,75</v>
          </cell>
          <cell r="K102" t="str">
            <v>0,065</v>
          </cell>
          <cell r="N102">
            <v>52.082999999999998</v>
          </cell>
        </row>
        <row r="103">
          <cell r="A103" t="str">
            <v>D2019/02556</v>
          </cell>
          <cell r="F103" t="str">
            <v>HTTP</v>
          </cell>
          <cell r="I103">
            <v>2205</v>
          </cell>
          <cell r="J103" t="str">
            <v>0,75</v>
          </cell>
          <cell r="K103" t="str">
            <v>0,065</v>
          </cell>
          <cell r="N103">
            <v>48.082999999999998</v>
          </cell>
        </row>
        <row r="104">
          <cell r="A104" t="str">
            <v>D2019/02555</v>
          </cell>
          <cell r="F104" t="str">
            <v>HTTP</v>
          </cell>
          <cell r="I104">
            <v>2205</v>
          </cell>
          <cell r="J104" t="str">
            <v>0,75</v>
          </cell>
          <cell r="K104" t="str">
            <v>0,065</v>
          </cell>
          <cell r="N104">
            <v>46.082999999999998</v>
          </cell>
        </row>
        <row r="105">
          <cell r="A105" t="str">
            <v>D2019/02554</v>
          </cell>
          <cell r="F105" t="str">
            <v>HTTP</v>
          </cell>
          <cell r="I105">
            <v>2205</v>
          </cell>
          <cell r="J105" t="str">
            <v>0,75</v>
          </cell>
          <cell r="K105" t="str">
            <v>0,065</v>
          </cell>
          <cell r="N105">
            <v>44.082999999999998</v>
          </cell>
        </row>
        <row r="106">
          <cell r="A106" t="str">
            <v>D2019/02553</v>
          </cell>
          <cell r="F106" t="str">
            <v>HTTP</v>
          </cell>
          <cell r="I106">
            <v>2205</v>
          </cell>
          <cell r="J106" t="str">
            <v>0,75</v>
          </cell>
          <cell r="K106" t="str">
            <v>0,065</v>
          </cell>
          <cell r="N106">
            <v>41.082999999999998</v>
          </cell>
        </row>
        <row r="107">
          <cell r="A107" t="str">
            <v>D2019/02547</v>
          </cell>
          <cell r="F107" t="str">
            <v>DEDERT</v>
          </cell>
          <cell r="I107" t="str">
            <v>316L</v>
          </cell>
          <cell r="J107">
            <v>1.5</v>
          </cell>
          <cell r="K107">
            <v>4.9000000000000002E-2</v>
          </cell>
          <cell r="N107">
            <v>50</v>
          </cell>
        </row>
        <row r="108">
          <cell r="A108" t="str">
            <v>D2019/02548</v>
          </cell>
          <cell r="F108" t="str">
            <v>DEDERT</v>
          </cell>
          <cell r="I108" t="str">
            <v>316L</v>
          </cell>
          <cell r="J108">
            <v>1.5</v>
          </cell>
          <cell r="K108">
            <v>4.9000000000000002E-2</v>
          </cell>
          <cell r="N108">
            <v>30</v>
          </cell>
        </row>
        <row r="109">
          <cell r="A109" t="str">
            <v>D2019/02549</v>
          </cell>
          <cell r="F109" t="str">
            <v>DEDERT</v>
          </cell>
          <cell r="I109" t="str">
            <v>316L</v>
          </cell>
          <cell r="J109">
            <v>1.5</v>
          </cell>
          <cell r="K109">
            <v>4.9000000000000002E-2</v>
          </cell>
          <cell r="N109">
            <v>30</v>
          </cell>
        </row>
        <row r="110">
          <cell r="A110" t="str">
            <v>D2019/02727</v>
          </cell>
          <cell r="F110" t="str">
            <v>HTTP</v>
          </cell>
          <cell r="I110" t="str">
            <v>304L</v>
          </cell>
          <cell r="J110" t="str">
            <v>0,75</v>
          </cell>
          <cell r="K110">
            <v>4.9000000000000002E-2</v>
          </cell>
          <cell r="N110">
            <v>20.51</v>
          </cell>
        </row>
        <row r="111">
          <cell r="A111" t="str">
            <v>D2019/02728</v>
          </cell>
          <cell r="F111" t="str">
            <v>HTTP</v>
          </cell>
          <cell r="I111" t="str">
            <v>304L</v>
          </cell>
          <cell r="J111" t="str">
            <v>0,75</v>
          </cell>
          <cell r="K111">
            <v>4.9000000000000002E-2</v>
          </cell>
          <cell r="N111">
            <v>20.9375</v>
          </cell>
        </row>
        <row r="112">
          <cell r="A112" t="str">
            <v>D2019/02729</v>
          </cell>
          <cell r="F112" t="str">
            <v>HTTP</v>
          </cell>
          <cell r="I112" t="str">
            <v>304L</v>
          </cell>
          <cell r="J112" t="str">
            <v>0,75</v>
          </cell>
          <cell r="K112">
            <v>4.9000000000000002E-2</v>
          </cell>
          <cell r="N112">
            <v>21.364000000000001</v>
          </cell>
        </row>
        <row r="113">
          <cell r="A113" t="str">
            <v>D2019/02582</v>
          </cell>
          <cell r="F113" t="str">
            <v>HTTP</v>
          </cell>
          <cell r="I113" t="str">
            <v>C-276</v>
          </cell>
          <cell r="J113">
            <v>1.5</v>
          </cell>
          <cell r="K113">
            <v>6.5000000000000002E-2</v>
          </cell>
          <cell r="N113">
            <v>32.363999999999997</v>
          </cell>
        </row>
        <row r="114">
          <cell r="A114" t="str">
            <v>D2019/01950</v>
          </cell>
          <cell r="F114" t="str">
            <v>HTTP</v>
          </cell>
          <cell r="I114" t="str">
            <v>304L</v>
          </cell>
          <cell r="J114">
            <v>0.625</v>
          </cell>
          <cell r="K114">
            <v>6.5000000000000002E-2</v>
          </cell>
          <cell r="N114">
            <v>52.082999999999998</v>
          </cell>
        </row>
        <row r="115">
          <cell r="A115" t="str">
            <v>D2019/01949</v>
          </cell>
          <cell r="F115" t="str">
            <v>HTTP</v>
          </cell>
          <cell r="I115" t="str">
            <v>304L</v>
          </cell>
          <cell r="J115">
            <v>0.625</v>
          </cell>
          <cell r="K115">
            <v>6.5000000000000002E-2</v>
          </cell>
          <cell r="N115">
            <v>42.082999999999998</v>
          </cell>
        </row>
        <row r="116">
          <cell r="A116" t="str">
            <v>D2019/01655</v>
          </cell>
          <cell r="F116" t="str">
            <v>H&amp;R TUBE</v>
          </cell>
          <cell r="I116" t="str">
            <v>304L</v>
          </cell>
          <cell r="J116">
            <v>0.625</v>
          </cell>
          <cell r="K116">
            <v>6.5000000000000002E-2</v>
          </cell>
          <cell r="N116">
            <v>24</v>
          </cell>
        </row>
        <row r="117">
          <cell r="A117" t="str">
            <v>D2019/02431</v>
          </cell>
          <cell r="F117" t="str">
            <v>H&amp;R TUBE</v>
          </cell>
          <cell r="I117" t="str">
            <v>304L</v>
          </cell>
          <cell r="J117">
            <v>0.56200000000000006</v>
          </cell>
          <cell r="K117">
            <v>3.5000000000000003E-2</v>
          </cell>
          <cell r="N117">
            <v>24</v>
          </cell>
        </row>
        <row r="118">
          <cell r="A118" t="str">
            <v>D2019/01827</v>
          </cell>
          <cell r="F118" t="str">
            <v>HTTP</v>
          </cell>
          <cell r="I118" t="str">
            <v>316L</v>
          </cell>
          <cell r="J118">
            <v>0.625</v>
          </cell>
          <cell r="K118">
            <v>6.5000000000000002E-2</v>
          </cell>
          <cell r="N118">
            <v>52.082999999999998</v>
          </cell>
        </row>
        <row r="119">
          <cell r="A119" t="str">
            <v>D2019/01826</v>
          </cell>
          <cell r="F119" t="str">
            <v>HTTP</v>
          </cell>
          <cell r="I119" t="str">
            <v>316L</v>
          </cell>
          <cell r="J119">
            <v>0.625</v>
          </cell>
          <cell r="K119">
            <v>6.5000000000000002E-2</v>
          </cell>
          <cell r="N119">
            <v>42.082999999999998</v>
          </cell>
        </row>
        <row r="120">
          <cell r="A120" t="str">
            <v>D2019/02432</v>
          </cell>
          <cell r="F120" t="str">
            <v>H&amp;R TUBE</v>
          </cell>
          <cell r="I120" t="str">
            <v>304L</v>
          </cell>
          <cell r="J120">
            <v>0.56200000000000006</v>
          </cell>
          <cell r="K120">
            <v>3.5000000000000003E-2</v>
          </cell>
          <cell r="N120">
            <v>24</v>
          </cell>
        </row>
        <row r="121">
          <cell r="A121" t="str">
            <v>D2019/02552</v>
          </cell>
          <cell r="F121" t="str">
            <v>HTTP</v>
          </cell>
          <cell r="I121">
            <v>2205</v>
          </cell>
          <cell r="J121" t="str">
            <v>0,75</v>
          </cell>
          <cell r="K121" t="str">
            <v>0,065</v>
          </cell>
          <cell r="N121">
            <v>36.082999999999998</v>
          </cell>
        </row>
        <row r="122">
          <cell r="A122" t="str">
            <v>D2020/00152</v>
          </cell>
          <cell r="F122" t="str">
            <v>H&amp;R TUBE</v>
          </cell>
          <cell r="I122" t="str">
            <v>304L</v>
          </cell>
          <cell r="J122">
            <v>0.56200000000000006</v>
          </cell>
          <cell r="K122">
            <v>3.5000000000000003E-2</v>
          </cell>
          <cell r="N122">
            <v>24</v>
          </cell>
        </row>
        <row r="123">
          <cell r="A123" t="str">
            <v>D2019/02551</v>
          </cell>
          <cell r="F123" t="str">
            <v>HTTP</v>
          </cell>
          <cell r="I123">
            <v>2205</v>
          </cell>
          <cell r="J123" t="str">
            <v>0,75</v>
          </cell>
          <cell r="K123" t="str">
            <v>0,065</v>
          </cell>
          <cell r="N123">
            <v>32.082999999999998</v>
          </cell>
        </row>
        <row r="124">
          <cell r="A124" t="str">
            <v>D2020/00153</v>
          </cell>
          <cell r="F124" t="str">
            <v>H&amp;R TUBE</v>
          </cell>
          <cell r="I124" t="str">
            <v>304L</v>
          </cell>
          <cell r="J124">
            <v>0.56200000000000006</v>
          </cell>
          <cell r="K124">
            <v>3.5000000000000003E-2</v>
          </cell>
          <cell r="N124">
            <v>24</v>
          </cell>
        </row>
        <row r="125">
          <cell r="A125" t="str">
            <v>D2020/00273</v>
          </cell>
          <cell r="F125" t="str">
            <v>H&amp;R TUBE</v>
          </cell>
          <cell r="I125">
            <v>2205</v>
          </cell>
          <cell r="J125" t="str">
            <v>0,75</v>
          </cell>
          <cell r="K125" t="str">
            <v>0,049</v>
          </cell>
          <cell r="N125">
            <v>20</v>
          </cell>
        </row>
        <row r="126">
          <cell r="A126" t="str">
            <v>D2020/00151</v>
          </cell>
          <cell r="F126" t="str">
            <v>H&amp;R TUBE</v>
          </cell>
          <cell r="I126" t="str">
            <v>304L</v>
          </cell>
          <cell r="J126">
            <v>0.625</v>
          </cell>
          <cell r="K126">
            <v>3.5000000000000003E-2</v>
          </cell>
          <cell r="N126">
            <v>24</v>
          </cell>
        </row>
        <row r="127">
          <cell r="A127" t="str">
            <v>D2020/00150</v>
          </cell>
          <cell r="F127" t="str">
            <v>H&amp;R TUBE</v>
          </cell>
          <cell r="I127" t="str">
            <v>304L</v>
          </cell>
          <cell r="J127">
            <v>0.625</v>
          </cell>
          <cell r="K127">
            <v>3.5000000000000003E-2</v>
          </cell>
          <cell r="N127">
            <v>20</v>
          </cell>
        </row>
        <row r="128">
          <cell r="A128" t="str">
            <v>D2020/00107</v>
          </cell>
          <cell r="F128" t="str">
            <v>AMERICAN EXCHANGER</v>
          </cell>
          <cell r="I128" t="str">
            <v>316L</v>
          </cell>
          <cell r="J128">
            <v>1</v>
          </cell>
          <cell r="K128">
            <v>4.9000000000000002E-2</v>
          </cell>
          <cell r="N128">
            <v>29</v>
          </cell>
        </row>
        <row r="129">
          <cell r="A129" t="str">
            <v>D2020/00267</v>
          </cell>
          <cell r="F129" t="str">
            <v>H&amp;R TUBE</v>
          </cell>
          <cell r="I129" t="str">
            <v>304L</v>
          </cell>
          <cell r="J129">
            <v>0.5</v>
          </cell>
          <cell r="K129">
            <v>3.5000000000000003E-2</v>
          </cell>
          <cell r="N129">
            <v>20</v>
          </cell>
        </row>
        <row r="130">
          <cell r="A130" t="str">
            <v>D2020/00268</v>
          </cell>
          <cell r="F130" t="str">
            <v>MEE INDUSTRIES</v>
          </cell>
          <cell r="I130" t="str">
            <v>316L</v>
          </cell>
          <cell r="J130">
            <v>0.5</v>
          </cell>
          <cell r="K130">
            <v>3.5000000000000003E-2</v>
          </cell>
          <cell r="N130">
            <v>20</v>
          </cell>
        </row>
        <row r="131">
          <cell r="A131" t="str">
            <v>D2020/00280</v>
          </cell>
          <cell r="F131" t="str">
            <v>PAC STAINLESS</v>
          </cell>
          <cell r="I131" t="str">
            <v>304L</v>
          </cell>
          <cell r="J131">
            <v>0.5</v>
          </cell>
          <cell r="K131">
            <v>3.5000000000000003E-2</v>
          </cell>
          <cell r="N131">
            <v>20</v>
          </cell>
        </row>
        <row r="132">
          <cell r="A132" t="str">
            <v>D2020/00272</v>
          </cell>
          <cell r="F132" t="str">
            <v>H&amp;R TUBE</v>
          </cell>
          <cell r="I132">
            <v>321</v>
          </cell>
          <cell r="J132">
            <v>1.25</v>
          </cell>
          <cell r="K132">
            <v>0.02</v>
          </cell>
          <cell r="N132">
            <v>20</v>
          </cell>
        </row>
        <row r="133">
          <cell r="A133" t="str">
            <v>D2020/00274</v>
          </cell>
          <cell r="F133" t="str">
            <v>ANDERSON SNOW CORP</v>
          </cell>
          <cell r="I133" t="str">
            <v>316L</v>
          </cell>
          <cell r="J133">
            <v>1</v>
          </cell>
          <cell r="K133">
            <v>4.9000000000000002E-2</v>
          </cell>
          <cell r="N133">
            <v>24</v>
          </cell>
        </row>
        <row r="134">
          <cell r="A134" t="str">
            <v>D2020/00532</v>
          </cell>
          <cell r="F134" t="str">
            <v>TUBES INC TULSA</v>
          </cell>
          <cell r="I134" t="str">
            <v>304L</v>
          </cell>
          <cell r="J134">
            <v>1</v>
          </cell>
          <cell r="K134">
            <v>4.9000000000000002E-2</v>
          </cell>
          <cell r="N134">
            <v>36</v>
          </cell>
        </row>
        <row r="135">
          <cell r="A135" t="str">
            <v>D2020/00271</v>
          </cell>
          <cell r="F135" t="str">
            <v>HTTP</v>
          </cell>
          <cell r="I135" t="str">
            <v>316L</v>
          </cell>
          <cell r="J135">
            <v>1.25</v>
          </cell>
          <cell r="K135">
            <v>4.9000000000000002E-2</v>
          </cell>
          <cell r="N135">
            <v>24</v>
          </cell>
        </row>
        <row r="136">
          <cell r="A136" t="str">
            <v>D2020/00269</v>
          </cell>
          <cell r="F136" t="str">
            <v>TUBES INC</v>
          </cell>
          <cell r="I136">
            <v>2205</v>
          </cell>
          <cell r="J136">
            <v>1</v>
          </cell>
          <cell r="K136">
            <v>4.9000000000000002E-2</v>
          </cell>
          <cell r="N136">
            <v>19.96875</v>
          </cell>
        </row>
        <row r="137">
          <cell r="A137" t="str">
            <v>D2020/00270</v>
          </cell>
          <cell r="F137" t="str">
            <v>HTTP</v>
          </cell>
          <cell r="I137" t="str">
            <v>304L</v>
          </cell>
          <cell r="J137">
            <v>1.25</v>
          </cell>
          <cell r="K137">
            <v>4.9000000000000002E-2</v>
          </cell>
          <cell r="N137">
            <v>58</v>
          </cell>
        </row>
        <row r="138">
          <cell r="A138" t="str">
            <v>D2020/00520</v>
          </cell>
          <cell r="F138" t="str">
            <v>TUBES INC TULSA</v>
          </cell>
          <cell r="I138" t="str">
            <v>304L</v>
          </cell>
          <cell r="J138">
            <v>1.25</v>
          </cell>
          <cell r="K138">
            <v>4.9000000000000002E-2</v>
          </cell>
          <cell r="N138">
            <v>39</v>
          </cell>
        </row>
        <row r="139">
          <cell r="A139" t="str">
            <v>D2020/00275</v>
          </cell>
          <cell r="F139" t="str">
            <v>HTTP</v>
          </cell>
          <cell r="I139">
            <v>2205</v>
          </cell>
          <cell r="J139">
            <v>1</v>
          </cell>
          <cell r="K139">
            <v>6.5000000000000002E-2</v>
          </cell>
          <cell r="N139">
            <v>20</v>
          </cell>
        </row>
        <row r="140">
          <cell r="A140" t="str">
            <v>D2020/00504</v>
          </cell>
          <cell r="F140" t="str">
            <v>PAGET EQUPMENT</v>
          </cell>
          <cell r="I140" t="str">
            <v>316L</v>
          </cell>
          <cell r="J140" t="str">
            <v>0,75</v>
          </cell>
          <cell r="K140">
            <v>4.9000000000000002E-2</v>
          </cell>
          <cell r="N140">
            <v>10</v>
          </cell>
        </row>
        <row r="141">
          <cell r="A141" t="str">
            <v>D2020/00276</v>
          </cell>
          <cell r="F141" t="str">
            <v>HTTP</v>
          </cell>
          <cell r="I141">
            <v>2205</v>
          </cell>
          <cell r="J141">
            <v>1</v>
          </cell>
          <cell r="K141">
            <v>6.5000000000000002E-2</v>
          </cell>
          <cell r="N141">
            <v>20</v>
          </cell>
        </row>
        <row r="142">
          <cell r="A142" t="str">
            <v>D2020/00517</v>
          </cell>
          <cell r="F142" t="str">
            <v>HTTP</v>
          </cell>
          <cell r="I142" t="str">
            <v>304L</v>
          </cell>
          <cell r="J142">
            <v>1</v>
          </cell>
          <cell r="K142">
            <v>4.9000000000000002E-2</v>
          </cell>
          <cell r="N142">
            <v>8</v>
          </cell>
        </row>
        <row r="143">
          <cell r="A143" t="str">
            <v>D2020/00521</v>
          </cell>
          <cell r="F143" t="str">
            <v>HARRIS THERMAL</v>
          </cell>
          <cell r="I143" t="str">
            <v>316L</v>
          </cell>
          <cell r="J143" t="str">
            <v>0,75</v>
          </cell>
          <cell r="K143">
            <v>4.9000000000000002E-2</v>
          </cell>
          <cell r="N143">
            <v>10</v>
          </cell>
        </row>
        <row r="144">
          <cell r="A144" t="str">
            <v>D2020/00522</v>
          </cell>
          <cell r="F144" t="str">
            <v>HARRIS THERMAL</v>
          </cell>
          <cell r="I144" t="str">
            <v>316L</v>
          </cell>
          <cell r="J144" t="str">
            <v>0,75</v>
          </cell>
          <cell r="K144">
            <v>4.9000000000000002E-2</v>
          </cell>
          <cell r="N144">
            <v>12</v>
          </cell>
        </row>
        <row r="145">
          <cell r="A145" t="str">
            <v>D2020/00523</v>
          </cell>
          <cell r="F145" t="str">
            <v>HARRIS THERMAL</v>
          </cell>
          <cell r="I145" t="str">
            <v>316L</v>
          </cell>
          <cell r="J145" t="str">
            <v>0,75</v>
          </cell>
          <cell r="K145">
            <v>4.9000000000000002E-2</v>
          </cell>
          <cell r="N145">
            <v>10</v>
          </cell>
        </row>
        <row r="146">
          <cell r="A146" t="str">
            <v>D2020/00518</v>
          </cell>
          <cell r="F146" t="str">
            <v>HTTP</v>
          </cell>
          <cell r="I146" t="str">
            <v>304L</v>
          </cell>
          <cell r="J146">
            <v>1</v>
          </cell>
          <cell r="K146">
            <v>4.9000000000000002E-2</v>
          </cell>
          <cell r="N146">
            <v>8</v>
          </cell>
        </row>
        <row r="147">
          <cell r="A147" t="str">
            <v>D2020/00519</v>
          </cell>
          <cell r="F147" t="str">
            <v>TUBES INC TULSA</v>
          </cell>
          <cell r="I147" t="str">
            <v>304L</v>
          </cell>
          <cell r="J147" t="str">
            <v>0,75</v>
          </cell>
          <cell r="K147">
            <v>4.9000000000000002E-2</v>
          </cell>
          <cell r="N147">
            <v>39</v>
          </cell>
        </row>
        <row r="148">
          <cell r="A148" t="str">
            <v>D2020/00605</v>
          </cell>
          <cell r="F148" t="str">
            <v>LUNDBERG LCC</v>
          </cell>
          <cell r="I148" t="str">
            <v>304L</v>
          </cell>
          <cell r="J148">
            <v>2</v>
          </cell>
          <cell r="K148">
            <v>4.9000000000000002E-2</v>
          </cell>
          <cell r="N148">
            <v>28</v>
          </cell>
        </row>
        <row r="149">
          <cell r="A149" t="str">
            <v>D2020/00609</v>
          </cell>
          <cell r="F149" t="str">
            <v>TUBES INC TULSA</v>
          </cell>
          <cell r="I149">
            <v>2205</v>
          </cell>
          <cell r="J149" t="str">
            <v>0,75</v>
          </cell>
          <cell r="K149">
            <v>4.9000000000000002E-2</v>
          </cell>
          <cell r="N149">
            <v>20</v>
          </cell>
        </row>
        <row r="150">
          <cell r="A150" t="str">
            <v>D2020/00507</v>
          </cell>
          <cell r="F150" t="str">
            <v>HTTP</v>
          </cell>
          <cell r="I150" t="str">
            <v>316L</v>
          </cell>
          <cell r="J150">
            <v>0.625</v>
          </cell>
          <cell r="K150">
            <v>4.9000000000000002E-2</v>
          </cell>
          <cell r="N150">
            <v>64</v>
          </cell>
        </row>
        <row r="151">
          <cell r="A151" t="str">
            <v>D2020/00508</v>
          </cell>
          <cell r="F151" t="str">
            <v>HTTP</v>
          </cell>
          <cell r="I151" t="str">
            <v>316L</v>
          </cell>
          <cell r="J151">
            <v>0.625</v>
          </cell>
          <cell r="K151">
            <v>4.9000000000000002E-2</v>
          </cell>
          <cell r="N151">
            <v>64</v>
          </cell>
        </row>
        <row r="152">
          <cell r="A152" t="str">
            <v>D2020/00509</v>
          </cell>
          <cell r="F152" t="str">
            <v>HTTP</v>
          </cell>
          <cell r="I152" t="str">
            <v>316L</v>
          </cell>
          <cell r="J152">
            <v>0.625</v>
          </cell>
          <cell r="K152">
            <v>4.9000000000000002E-2</v>
          </cell>
          <cell r="N152">
            <v>64</v>
          </cell>
        </row>
        <row r="153">
          <cell r="A153" t="str">
            <v>D2020/00510</v>
          </cell>
          <cell r="F153" t="str">
            <v>HTTP</v>
          </cell>
          <cell r="I153" t="str">
            <v>316L</v>
          </cell>
          <cell r="J153">
            <v>0.625</v>
          </cell>
          <cell r="K153">
            <v>4.9000000000000002E-2</v>
          </cell>
          <cell r="N153">
            <v>64</v>
          </cell>
        </row>
        <row r="154">
          <cell r="A154" t="str">
            <v>D2020/00505</v>
          </cell>
          <cell r="F154" t="str">
            <v>HTTP</v>
          </cell>
          <cell r="I154" t="str">
            <v>316L</v>
          </cell>
          <cell r="J154">
            <v>0.625</v>
          </cell>
          <cell r="K154">
            <v>4.9000000000000002E-2</v>
          </cell>
          <cell r="N154">
            <v>64</v>
          </cell>
        </row>
        <row r="155">
          <cell r="A155" t="str">
            <v>D2020/00555</v>
          </cell>
          <cell r="F155" t="str">
            <v>TUBES INC TULSA</v>
          </cell>
          <cell r="I155" t="str">
            <v>304L</v>
          </cell>
          <cell r="J155">
            <v>1.5</v>
          </cell>
          <cell r="K155">
            <v>4.9000000000000002E-2</v>
          </cell>
          <cell r="N155">
            <v>24</v>
          </cell>
        </row>
        <row r="156">
          <cell r="A156" t="str">
            <v>D2020/00516</v>
          </cell>
          <cell r="F156" t="str">
            <v>TUBES INC TULSA</v>
          </cell>
          <cell r="I156" t="str">
            <v>304L</v>
          </cell>
          <cell r="J156">
            <v>0.625</v>
          </cell>
          <cell r="K156">
            <v>4.9000000000000002E-2</v>
          </cell>
          <cell r="N156">
            <v>36</v>
          </cell>
        </row>
        <row r="157">
          <cell r="A157" t="str">
            <v>D2020/00533</v>
          </cell>
          <cell r="F157" t="str">
            <v>TUBES INC TULSA</v>
          </cell>
          <cell r="I157" t="str">
            <v>304L</v>
          </cell>
          <cell r="J157">
            <v>0.625</v>
          </cell>
          <cell r="K157">
            <v>4.9000000000000002E-2</v>
          </cell>
          <cell r="N157">
            <v>36</v>
          </cell>
        </row>
        <row r="158">
          <cell r="A158" t="str">
            <v>D2020/00105</v>
          </cell>
          <cell r="F158" t="str">
            <v>AMERICAN EXCHANGER</v>
          </cell>
          <cell r="I158" t="str">
            <v>316L</v>
          </cell>
          <cell r="J158">
            <v>1</v>
          </cell>
          <cell r="K158">
            <v>2.8000000000000001E-2</v>
          </cell>
          <cell r="N158">
            <v>33.75</v>
          </cell>
        </row>
        <row r="159">
          <cell r="A159" t="str">
            <v>D2020/00426</v>
          </cell>
          <cell r="F159" t="str">
            <v>TUBES INC TULSA</v>
          </cell>
          <cell r="I159">
            <v>2205</v>
          </cell>
          <cell r="J159" t="str">
            <v>0,75</v>
          </cell>
          <cell r="K159">
            <v>4.9000000000000002E-2</v>
          </cell>
          <cell r="N159">
            <v>36</v>
          </cell>
        </row>
        <row r="160">
          <cell r="A160" t="str">
            <v>D2020/00514</v>
          </cell>
          <cell r="F160" t="str">
            <v>TUBES INC TULSA</v>
          </cell>
          <cell r="I160" t="str">
            <v>316L</v>
          </cell>
          <cell r="J160">
            <v>1</v>
          </cell>
          <cell r="K160">
            <v>6.5000000000000002E-2</v>
          </cell>
          <cell r="N160">
            <v>32</v>
          </cell>
        </row>
        <row r="161">
          <cell r="A161" t="str">
            <v>D2020/00657</v>
          </cell>
          <cell r="F161" t="str">
            <v>HTTP</v>
          </cell>
          <cell r="I161" t="str">
            <v>316L</v>
          </cell>
          <cell r="J161">
            <v>1</v>
          </cell>
          <cell r="K161">
            <v>6.5000000000000002E-2</v>
          </cell>
          <cell r="N161">
            <v>42.5</v>
          </cell>
        </row>
        <row r="162">
          <cell r="A162" t="str">
            <v>D2020/00772</v>
          </cell>
          <cell r="F162" t="str">
            <v>TUBES INC TULSA</v>
          </cell>
          <cell r="I162" t="str">
            <v>304L</v>
          </cell>
          <cell r="J162">
            <v>1.5</v>
          </cell>
          <cell r="K162">
            <v>4.9000000000000002E-2</v>
          </cell>
          <cell r="N162">
            <v>36</v>
          </cell>
        </row>
        <row r="163">
          <cell r="A163" t="str">
            <v>D2020/00773</v>
          </cell>
          <cell r="F163" t="str">
            <v>TUBES INC TULSA</v>
          </cell>
          <cell r="I163" t="str">
            <v>304L</v>
          </cell>
          <cell r="J163">
            <v>1.5</v>
          </cell>
          <cell r="K163">
            <v>4.9000000000000002E-2</v>
          </cell>
          <cell r="N163">
            <v>39</v>
          </cell>
        </row>
        <row r="164">
          <cell r="A164" t="str">
            <v>D2020/00106</v>
          </cell>
          <cell r="F164" t="str">
            <v>AMERICAN EXCHANGER</v>
          </cell>
          <cell r="I164" t="str">
            <v>316L</v>
          </cell>
          <cell r="J164">
            <v>1</v>
          </cell>
          <cell r="K164">
            <v>3.5000000000000003E-2</v>
          </cell>
          <cell r="N164">
            <v>33.75</v>
          </cell>
        </row>
        <row r="165">
          <cell r="A165" t="str">
            <v>D2020/00427</v>
          </cell>
          <cell r="F165" t="str">
            <v>TUBES INC TULSA</v>
          </cell>
          <cell r="I165">
            <v>2205</v>
          </cell>
          <cell r="J165" t="str">
            <v>0,75</v>
          </cell>
          <cell r="K165">
            <v>4.9000000000000002E-2</v>
          </cell>
          <cell r="N165">
            <v>34</v>
          </cell>
        </row>
        <row r="166">
          <cell r="A166" t="str">
            <v>D2020/00768</v>
          </cell>
          <cell r="F166" t="str">
            <v>MEE INDUSTRIES</v>
          </cell>
          <cell r="I166" t="str">
            <v>316L</v>
          </cell>
          <cell r="J166">
            <v>1</v>
          </cell>
          <cell r="K166">
            <v>4.9000000000000002E-2</v>
          </cell>
          <cell r="N166">
            <v>20</v>
          </cell>
        </row>
        <row r="167">
          <cell r="A167" t="str">
            <v>D2020/00769</v>
          </cell>
          <cell r="F167" t="str">
            <v>MEE INDUSTRIES</v>
          </cell>
          <cell r="I167" t="str">
            <v>316L</v>
          </cell>
          <cell r="J167">
            <v>1</v>
          </cell>
          <cell r="K167">
            <v>4.9000000000000002E-2</v>
          </cell>
          <cell r="N167">
            <v>20</v>
          </cell>
        </row>
        <row r="168">
          <cell r="A168" t="str">
            <v>D2020/00428</v>
          </cell>
          <cell r="F168" t="str">
            <v>TUBES INC TULSA</v>
          </cell>
          <cell r="I168" t="str">
            <v>316L</v>
          </cell>
          <cell r="J168">
            <v>2</v>
          </cell>
          <cell r="K168">
            <v>6.5000000000000002E-2</v>
          </cell>
          <cell r="N168">
            <v>30</v>
          </cell>
        </row>
        <row r="169">
          <cell r="A169" t="str">
            <v>D2020/00542</v>
          </cell>
          <cell r="F169" t="str">
            <v>TUBES INC</v>
          </cell>
          <cell r="I169" t="str">
            <v>304L</v>
          </cell>
          <cell r="J169">
            <v>1.25</v>
          </cell>
          <cell r="K169">
            <v>6.5000000000000002E-2</v>
          </cell>
          <cell r="N169">
            <v>26</v>
          </cell>
        </row>
        <row r="170">
          <cell r="A170" t="str">
            <v>D2020/00791</v>
          </cell>
          <cell r="F170" t="str">
            <v>MEE INDUSTRIES</v>
          </cell>
          <cell r="I170" t="str">
            <v>316L</v>
          </cell>
          <cell r="J170">
            <v>0.5</v>
          </cell>
          <cell r="K170">
            <v>3.5000000000000003E-2</v>
          </cell>
          <cell r="N170">
            <v>20</v>
          </cell>
        </row>
        <row r="171">
          <cell r="A171" t="str">
            <v>D2020/00817</v>
          </cell>
          <cell r="F171" t="str">
            <v>HTTP</v>
          </cell>
          <cell r="I171" t="str">
            <v>316L</v>
          </cell>
          <cell r="J171">
            <v>1</v>
          </cell>
          <cell r="K171">
            <v>4.9000000000000002E-2</v>
          </cell>
          <cell r="N171">
            <v>44</v>
          </cell>
        </row>
        <row r="172">
          <cell r="A172" t="str">
            <v>D2020/00828</v>
          </cell>
          <cell r="F172" t="str">
            <v>ADVANCED COIL</v>
          </cell>
          <cell r="I172" t="str">
            <v>304L</v>
          </cell>
          <cell r="J172">
            <v>0.5</v>
          </cell>
          <cell r="K172">
            <v>3.5000000000000003E-2</v>
          </cell>
          <cell r="N172">
            <v>20</v>
          </cell>
        </row>
        <row r="173">
          <cell r="A173" t="str">
            <v>D2020/00503</v>
          </cell>
          <cell r="F173" t="str">
            <v>H&amp;R TUBE</v>
          </cell>
          <cell r="I173" t="str">
            <v>304L</v>
          </cell>
          <cell r="J173">
            <v>0.5</v>
          </cell>
          <cell r="K173">
            <v>3.5000000000000003E-2</v>
          </cell>
          <cell r="N173">
            <v>20</v>
          </cell>
        </row>
        <row r="174">
          <cell r="A174" t="str">
            <v>D2020/00886</v>
          </cell>
          <cell r="F174" t="str">
            <v>HARRIS THERMAL</v>
          </cell>
          <cell r="I174" t="str">
            <v>316L</v>
          </cell>
          <cell r="J174">
            <v>0.375</v>
          </cell>
          <cell r="K174">
            <v>2.8000000000000001E-2</v>
          </cell>
          <cell r="N174">
            <v>15</v>
          </cell>
        </row>
        <row r="175">
          <cell r="A175" t="str">
            <v>D2020/00659</v>
          </cell>
          <cell r="F175" t="str">
            <v>HTTP</v>
          </cell>
          <cell r="I175" t="str">
            <v>304L</v>
          </cell>
          <cell r="J175">
            <v>1</v>
          </cell>
          <cell r="K175">
            <v>8.3000000000000004E-2</v>
          </cell>
          <cell r="N175">
            <v>20</v>
          </cell>
        </row>
        <row r="176">
          <cell r="A176" t="str">
            <v>D2020/00660</v>
          </cell>
          <cell r="F176" t="str">
            <v>HTTP</v>
          </cell>
          <cell r="I176" t="str">
            <v>304L</v>
          </cell>
          <cell r="J176">
            <v>1</v>
          </cell>
          <cell r="K176">
            <v>8.3000000000000004E-2</v>
          </cell>
          <cell r="N176">
            <v>20</v>
          </cell>
        </row>
        <row r="177">
          <cell r="A177" t="str">
            <v>D2020/00661</v>
          </cell>
          <cell r="F177" t="str">
            <v>H&amp;R TUBE</v>
          </cell>
          <cell r="I177" t="str">
            <v>304L</v>
          </cell>
          <cell r="J177">
            <v>0.56200000000000006</v>
          </cell>
          <cell r="K177">
            <v>3.5000000000000003E-2</v>
          </cell>
          <cell r="N177">
            <v>24</v>
          </cell>
        </row>
        <row r="178">
          <cell r="A178" t="str">
            <v>D2020/00767</v>
          </cell>
          <cell r="F178" t="str">
            <v>HTTP</v>
          </cell>
          <cell r="I178" t="str">
            <v>304L</v>
          </cell>
          <cell r="J178">
            <v>0.625</v>
          </cell>
          <cell r="K178">
            <v>4.9000000000000002E-2</v>
          </cell>
          <cell r="N178">
            <v>16</v>
          </cell>
        </row>
        <row r="179">
          <cell r="A179" t="str">
            <v>D2020/00821</v>
          </cell>
          <cell r="F179" t="str">
            <v>HTTP</v>
          </cell>
          <cell r="I179" t="str">
            <v>304L</v>
          </cell>
          <cell r="J179">
            <v>0.75</v>
          </cell>
          <cell r="K179">
            <v>4.9000000000000002E-2</v>
          </cell>
          <cell r="N179">
            <v>10.7864</v>
          </cell>
        </row>
        <row r="180">
          <cell r="A180" t="str">
            <v>D2020/00822</v>
          </cell>
          <cell r="F180" t="str">
            <v>HTTP</v>
          </cell>
          <cell r="I180" t="str">
            <v>304L</v>
          </cell>
          <cell r="J180">
            <v>0.75</v>
          </cell>
          <cell r="K180">
            <v>4.9000000000000002E-2</v>
          </cell>
          <cell r="N180">
            <v>9.7707999999999995</v>
          </cell>
        </row>
        <row r="181">
          <cell r="A181" t="str">
            <v>D2020/00823</v>
          </cell>
          <cell r="F181" t="str">
            <v>HTTP</v>
          </cell>
          <cell r="I181" t="str">
            <v>304L</v>
          </cell>
          <cell r="J181">
            <v>0.75</v>
          </cell>
          <cell r="K181">
            <v>4.9000000000000002E-2</v>
          </cell>
          <cell r="N181">
            <v>16.7864</v>
          </cell>
        </row>
        <row r="182">
          <cell r="A182" t="str">
            <v>D2020/00824</v>
          </cell>
          <cell r="F182" t="str">
            <v>HTTP</v>
          </cell>
          <cell r="I182" t="str">
            <v>304L</v>
          </cell>
          <cell r="J182">
            <v>0.75</v>
          </cell>
          <cell r="K182">
            <v>4.9000000000000002E-2</v>
          </cell>
          <cell r="N182">
            <v>10.7864</v>
          </cell>
        </row>
        <row r="183">
          <cell r="A183" t="str">
            <v>D2020/00825</v>
          </cell>
          <cell r="F183" t="str">
            <v>HTTP</v>
          </cell>
          <cell r="I183" t="str">
            <v>304L</v>
          </cell>
          <cell r="J183">
            <v>0.75</v>
          </cell>
          <cell r="K183">
            <v>4.9000000000000002E-2</v>
          </cell>
          <cell r="N183">
            <v>8.7239000000000004</v>
          </cell>
        </row>
        <row r="184">
          <cell r="A184" t="str">
            <v>D2020/00827</v>
          </cell>
          <cell r="F184" t="str">
            <v>HTTP</v>
          </cell>
          <cell r="I184" t="str">
            <v>304L</v>
          </cell>
          <cell r="J184">
            <v>0.625</v>
          </cell>
          <cell r="K184">
            <v>3.5000000000000003E-2</v>
          </cell>
          <cell r="N184">
            <v>16</v>
          </cell>
        </row>
        <row r="185">
          <cell r="A185" t="str">
            <v>D2020/00911</v>
          </cell>
          <cell r="F185" t="str">
            <v>H&amp;R TUBE</v>
          </cell>
          <cell r="I185" t="str">
            <v>316L</v>
          </cell>
          <cell r="J185">
            <v>0.75</v>
          </cell>
          <cell r="K185">
            <v>4.9000000000000002E-2</v>
          </cell>
          <cell r="N185">
            <v>10.01041</v>
          </cell>
        </row>
        <row r="186">
          <cell r="A186" t="str">
            <v>D2020/00511</v>
          </cell>
          <cell r="F186" t="str">
            <v>HTTP</v>
          </cell>
          <cell r="I186" t="str">
            <v>A825</v>
          </cell>
          <cell r="J186" t="str">
            <v>0,75</v>
          </cell>
          <cell r="K186">
            <v>6.5000000000000002E-2</v>
          </cell>
          <cell r="N186">
            <v>33.609000000000002</v>
          </cell>
        </row>
        <row r="187">
          <cell r="A187" t="str">
            <v>D2020/00512</v>
          </cell>
          <cell r="F187" t="str">
            <v>HTTP</v>
          </cell>
          <cell r="I187" t="str">
            <v>A825</v>
          </cell>
          <cell r="J187" t="str">
            <v>0,75</v>
          </cell>
          <cell r="K187">
            <v>6.5000000000000002E-2</v>
          </cell>
          <cell r="N187">
            <v>35.177</v>
          </cell>
        </row>
        <row r="188">
          <cell r="A188" t="str">
            <v>D2020/00513</v>
          </cell>
          <cell r="F188" t="str">
            <v>HTTP</v>
          </cell>
          <cell r="I188" t="str">
            <v>A825</v>
          </cell>
          <cell r="J188" t="str">
            <v>0,75</v>
          </cell>
          <cell r="K188">
            <v>6.5000000000000002E-2</v>
          </cell>
          <cell r="N188">
            <v>36.75</v>
          </cell>
        </row>
        <row r="189">
          <cell r="A189" t="str">
            <v>D2020/00770</v>
          </cell>
          <cell r="F189" t="str">
            <v>HTTP</v>
          </cell>
          <cell r="I189" t="str">
            <v>A825</v>
          </cell>
          <cell r="J189" t="str">
            <v>0,75</v>
          </cell>
          <cell r="K189">
            <v>6.5000000000000002E-2</v>
          </cell>
          <cell r="N189">
            <v>20</v>
          </cell>
        </row>
        <row r="190">
          <cell r="A190" t="str">
            <v>D2020/00771</v>
          </cell>
          <cell r="F190" t="str">
            <v>HTTP</v>
          </cell>
          <cell r="I190" t="str">
            <v>A825</v>
          </cell>
          <cell r="J190" t="str">
            <v>0,75</v>
          </cell>
          <cell r="K190">
            <v>6.5000000000000002E-2</v>
          </cell>
          <cell r="N190">
            <v>14.322900000000001</v>
          </cell>
        </row>
        <row r="191">
          <cell r="A191" t="str">
            <v>D2020/00530</v>
          </cell>
          <cell r="F191" t="str">
            <v>HT INDUSTRIAL</v>
          </cell>
          <cell r="I191" t="str">
            <v>A59</v>
          </cell>
          <cell r="J191" t="str">
            <v>0,75</v>
          </cell>
          <cell r="K191">
            <v>5.8999999999999997E-2</v>
          </cell>
          <cell r="N191">
            <v>14</v>
          </cell>
        </row>
        <row r="192">
          <cell r="A192" t="str">
            <v>D2020/00826</v>
          </cell>
          <cell r="F192" t="str">
            <v>TEI</v>
          </cell>
          <cell r="I192" t="str">
            <v>304L</v>
          </cell>
          <cell r="J192">
            <v>1</v>
          </cell>
          <cell r="K192">
            <v>6.5000000000000002E-2</v>
          </cell>
          <cell r="N192">
            <v>26</v>
          </cell>
        </row>
        <row r="193">
          <cell r="A193" t="str">
            <v>D2020/00909</v>
          </cell>
          <cell r="F193" t="str">
            <v>HTTP</v>
          </cell>
          <cell r="I193" t="str">
            <v>316L</v>
          </cell>
          <cell r="J193">
            <v>1</v>
          </cell>
          <cell r="K193">
            <v>6.5000000000000002E-2</v>
          </cell>
          <cell r="N193">
            <v>14</v>
          </cell>
        </row>
        <row r="194">
          <cell r="A194" t="str">
            <v>D2020/00910</v>
          </cell>
          <cell r="F194" t="str">
            <v>HTTP</v>
          </cell>
          <cell r="I194" t="str">
            <v>316L</v>
          </cell>
          <cell r="J194">
            <v>1</v>
          </cell>
          <cell r="K194">
            <v>6.5000000000000002E-2</v>
          </cell>
          <cell r="N194">
            <v>14</v>
          </cell>
        </row>
        <row r="195">
          <cell r="A195" t="str">
            <v>D2020/00908</v>
          </cell>
          <cell r="F195" t="str">
            <v>MAARKY THERMAL</v>
          </cell>
          <cell r="I195" t="str">
            <v>316L</v>
          </cell>
          <cell r="J195" t="str">
            <v>0,75</v>
          </cell>
          <cell r="K195">
            <v>3.5000000000000003E-2</v>
          </cell>
          <cell r="N195">
            <v>12.95833</v>
          </cell>
        </row>
        <row r="196">
          <cell r="A196" t="str">
            <v>D2020/00940</v>
          </cell>
          <cell r="F196" t="str">
            <v>HTTP</v>
          </cell>
          <cell r="I196" t="str">
            <v>304L</v>
          </cell>
          <cell r="J196">
            <v>1.25</v>
          </cell>
          <cell r="K196">
            <v>6.5000000000000002E-2</v>
          </cell>
          <cell r="N196">
            <v>22</v>
          </cell>
        </row>
        <row r="197">
          <cell r="A197" t="str">
            <v>D2020/00658</v>
          </cell>
          <cell r="F197" t="str">
            <v>RETUBECO</v>
          </cell>
          <cell r="I197" t="str">
            <v>Tit.Gr.2</v>
          </cell>
          <cell r="J197">
            <v>0.625</v>
          </cell>
          <cell r="K197">
            <v>3.5000000000000003E-2</v>
          </cell>
          <cell r="N197">
            <v>28</v>
          </cell>
        </row>
        <row r="198">
          <cell r="A198" t="str">
            <v>D2020/00945</v>
          </cell>
          <cell r="F198" t="str">
            <v>H&amp;R TUBE</v>
          </cell>
          <cell r="I198" t="str">
            <v>304L</v>
          </cell>
          <cell r="J198">
            <v>0.625</v>
          </cell>
          <cell r="K198">
            <v>4.9000000000000002E-2</v>
          </cell>
          <cell r="N198">
            <v>20</v>
          </cell>
        </row>
        <row r="199">
          <cell r="A199" t="str">
            <v>D2020/01013</v>
          </cell>
          <cell r="F199" t="str">
            <v>HTTP</v>
          </cell>
          <cell r="I199" t="str">
            <v>304L</v>
          </cell>
          <cell r="J199">
            <v>0.625</v>
          </cell>
          <cell r="K199">
            <v>4.9000000000000002E-2</v>
          </cell>
          <cell r="N199">
            <v>22</v>
          </cell>
        </row>
        <row r="200">
          <cell r="A200" t="str">
            <v>D2020/00950</v>
          </cell>
          <cell r="F200" t="str">
            <v>H&amp;R TUBE</v>
          </cell>
          <cell r="I200">
            <v>321</v>
          </cell>
          <cell r="J200">
            <v>0.56200000000000006</v>
          </cell>
          <cell r="K200">
            <v>3.5000000000000003E-2</v>
          </cell>
          <cell r="N200">
            <v>24</v>
          </cell>
        </row>
        <row r="201">
          <cell r="A201" t="str">
            <v>D2020/00947</v>
          </cell>
          <cell r="F201" t="str">
            <v>H&amp;R TUBE</v>
          </cell>
          <cell r="I201" t="str">
            <v>316L</v>
          </cell>
          <cell r="J201">
            <v>0.56200000000000006</v>
          </cell>
          <cell r="K201">
            <v>3.5000000000000003E-2</v>
          </cell>
          <cell r="N201">
            <v>24</v>
          </cell>
        </row>
        <row r="202">
          <cell r="A202" t="str">
            <v>D2020/00951</v>
          </cell>
          <cell r="F202" t="str">
            <v>H&amp;R TUBE</v>
          </cell>
          <cell r="I202">
            <v>321</v>
          </cell>
          <cell r="J202">
            <v>0.56200000000000006</v>
          </cell>
          <cell r="K202">
            <v>3.5000000000000003E-2</v>
          </cell>
          <cell r="N202">
            <v>24</v>
          </cell>
        </row>
        <row r="203">
          <cell r="A203" t="str">
            <v>D2020/01007</v>
          </cell>
          <cell r="F203" t="str">
            <v>HTTP</v>
          </cell>
          <cell r="I203" t="str">
            <v>316L</v>
          </cell>
          <cell r="J203">
            <v>0.75</v>
          </cell>
          <cell r="K203">
            <v>4.9000000000000002E-2</v>
          </cell>
          <cell r="N203">
            <v>54.71875</v>
          </cell>
        </row>
        <row r="204">
          <cell r="A204" t="str">
            <v>D2020/01008</v>
          </cell>
          <cell r="F204" t="str">
            <v>HTTP</v>
          </cell>
          <cell r="I204" t="str">
            <v>316L</v>
          </cell>
          <cell r="J204">
            <v>0.75</v>
          </cell>
          <cell r="K204">
            <v>4.9000000000000002E-2</v>
          </cell>
          <cell r="N204">
            <v>56.03125</v>
          </cell>
        </row>
        <row r="205">
          <cell r="A205" t="str">
            <v>D2020/00948</v>
          </cell>
          <cell r="F205" t="str">
            <v>H&amp;R TUBE</v>
          </cell>
          <cell r="I205" t="str">
            <v>316L</v>
          </cell>
          <cell r="J205">
            <v>0.56200000000000006</v>
          </cell>
          <cell r="K205">
            <v>3.5000000000000003E-2</v>
          </cell>
          <cell r="N205">
            <v>24</v>
          </cell>
        </row>
        <row r="206">
          <cell r="A206" t="str">
            <v>D2020/01005</v>
          </cell>
          <cell r="F206" t="str">
            <v>HTTP</v>
          </cell>
          <cell r="I206" t="str">
            <v>316L</v>
          </cell>
          <cell r="J206">
            <v>0.75</v>
          </cell>
          <cell r="K206">
            <v>4.9000000000000002E-2</v>
          </cell>
          <cell r="N206">
            <v>52.625</v>
          </cell>
        </row>
        <row r="207">
          <cell r="A207" t="str">
            <v>D2020/01006</v>
          </cell>
          <cell r="F207" t="str">
            <v>HTTP</v>
          </cell>
          <cell r="I207" t="str">
            <v>316L</v>
          </cell>
          <cell r="J207">
            <v>0.75</v>
          </cell>
          <cell r="K207">
            <v>4.9000000000000002E-2</v>
          </cell>
          <cell r="N207">
            <v>53.677</v>
          </cell>
        </row>
        <row r="208">
          <cell r="A208" t="str">
            <v>D2020/01011</v>
          </cell>
          <cell r="F208" t="str">
            <v>HTTP</v>
          </cell>
          <cell r="I208" t="str">
            <v>316L</v>
          </cell>
          <cell r="J208">
            <v>0.75</v>
          </cell>
          <cell r="K208">
            <v>4.9000000000000002E-2</v>
          </cell>
          <cell r="N208">
            <v>38.65625</v>
          </cell>
        </row>
        <row r="209">
          <cell r="A209" t="str">
            <v>D2020/01009</v>
          </cell>
          <cell r="F209" t="str">
            <v>HTTP</v>
          </cell>
          <cell r="I209" t="str">
            <v>316L</v>
          </cell>
          <cell r="J209">
            <v>0.75</v>
          </cell>
          <cell r="K209">
            <v>4.9000000000000002E-2</v>
          </cell>
          <cell r="N209">
            <v>20</v>
          </cell>
        </row>
        <row r="210">
          <cell r="A210" t="str">
            <v>D2020/01010</v>
          </cell>
          <cell r="F210" t="str">
            <v>HTTP</v>
          </cell>
          <cell r="I210" t="str">
            <v>316L</v>
          </cell>
          <cell r="J210">
            <v>0.75</v>
          </cell>
          <cell r="K210">
            <v>4.9000000000000002E-2</v>
          </cell>
          <cell r="N210">
            <v>37.3489</v>
          </cell>
        </row>
        <row r="211">
          <cell r="A211" t="str">
            <v>D2020/00662</v>
          </cell>
          <cell r="F211" t="str">
            <v>H&amp;R TUBE</v>
          </cell>
          <cell r="I211" t="str">
            <v>304L</v>
          </cell>
          <cell r="J211">
            <v>0.56200000000000006</v>
          </cell>
          <cell r="K211">
            <v>3.5000000000000003E-2</v>
          </cell>
          <cell r="N211">
            <v>24</v>
          </cell>
        </row>
        <row r="212">
          <cell r="A212" t="str">
            <v>D2020/01026</v>
          </cell>
          <cell r="F212" t="str">
            <v>H&amp;R TUBE</v>
          </cell>
          <cell r="I212" t="str">
            <v>316L</v>
          </cell>
          <cell r="J212">
            <v>1.25</v>
          </cell>
          <cell r="K212">
            <v>6.5000000000000002E-2</v>
          </cell>
          <cell r="N212">
            <v>20</v>
          </cell>
        </row>
        <row r="213">
          <cell r="A213" t="str">
            <v>D2020/00946</v>
          </cell>
          <cell r="F213" t="str">
            <v>TUBES INC TULSA</v>
          </cell>
          <cell r="I213" t="str">
            <v>304L</v>
          </cell>
          <cell r="J213">
            <v>2</v>
          </cell>
          <cell r="K213">
            <v>8.3000000000000004E-2</v>
          </cell>
          <cell r="N213">
            <v>40.083300000000001</v>
          </cell>
        </row>
        <row r="214">
          <cell r="A214" t="str">
            <v>D2020/00941</v>
          </cell>
          <cell r="F214" t="str">
            <v>TEI</v>
          </cell>
          <cell r="I214" t="str">
            <v>304L</v>
          </cell>
          <cell r="J214">
            <v>0.625</v>
          </cell>
          <cell r="K214">
            <v>3.5000000000000003E-2</v>
          </cell>
          <cell r="N214">
            <v>20</v>
          </cell>
        </row>
        <row r="215">
          <cell r="A215" t="str">
            <v>D2020/00942</v>
          </cell>
          <cell r="F215" t="str">
            <v>TEI</v>
          </cell>
          <cell r="I215" t="str">
            <v>304L</v>
          </cell>
          <cell r="J215">
            <v>0.625</v>
          </cell>
          <cell r="K215">
            <v>3.5000000000000003E-2</v>
          </cell>
          <cell r="N215">
            <v>20</v>
          </cell>
        </row>
        <row r="216">
          <cell r="A216" t="str">
            <v>D2020/00943</v>
          </cell>
          <cell r="F216" t="str">
            <v>TEI</v>
          </cell>
          <cell r="I216" t="str">
            <v>304L</v>
          </cell>
          <cell r="J216">
            <v>0.625</v>
          </cell>
          <cell r="K216">
            <v>3.5000000000000003E-2</v>
          </cell>
          <cell r="N216">
            <v>20</v>
          </cell>
        </row>
        <row r="217">
          <cell r="A217" t="str">
            <v>D2020/00944</v>
          </cell>
          <cell r="F217" t="str">
            <v>TEI</v>
          </cell>
          <cell r="I217" t="str">
            <v>304L</v>
          </cell>
          <cell r="J217">
            <v>0.625</v>
          </cell>
          <cell r="K217">
            <v>3.5000000000000003E-2</v>
          </cell>
          <cell r="N217">
            <v>20</v>
          </cell>
        </row>
        <row r="218">
          <cell r="A218" t="str">
            <v>D2020/01012</v>
          </cell>
          <cell r="F218" t="str">
            <v>HTTP</v>
          </cell>
          <cell r="I218" t="str">
            <v>304L</v>
          </cell>
          <cell r="J218">
            <v>1</v>
          </cell>
          <cell r="K218">
            <v>4.9000000000000002E-2</v>
          </cell>
          <cell r="N218">
            <v>22</v>
          </cell>
        </row>
        <row r="219">
          <cell r="A219" t="str">
            <v>D2020/01054</v>
          </cell>
          <cell r="F219" t="str">
            <v>HTTP</v>
          </cell>
          <cell r="I219" t="str">
            <v>316L</v>
          </cell>
          <cell r="J219">
            <v>0.625</v>
          </cell>
          <cell r="K219">
            <v>3.5000000000000003E-2</v>
          </cell>
          <cell r="N219">
            <v>15</v>
          </cell>
        </row>
        <row r="220">
          <cell r="A220" t="str">
            <v>D2020/00766</v>
          </cell>
          <cell r="F220" t="str">
            <v>CMG PROCESS</v>
          </cell>
          <cell r="I220" t="str">
            <v>904L</v>
          </cell>
          <cell r="J220">
            <v>0.625</v>
          </cell>
          <cell r="K220">
            <v>4.9000000000000002E-2</v>
          </cell>
          <cell r="N220">
            <v>27</v>
          </cell>
        </row>
        <row r="221">
          <cell r="A221" t="str">
            <v>D2020/00818</v>
          </cell>
          <cell r="F221" t="str">
            <v>CMG PROCESS</v>
          </cell>
          <cell r="I221">
            <v>2205</v>
          </cell>
          <cell r="J221">
            <v>1</v>
          </cell>
          <cell r="K221">
            <v>6.5000000000000002E-2</v>
          </cell>
          <cell r="N221">
            <v>20</v>
          </cell>
        </row>
        <row r="222">
          <cell r="A222" t="str">
            <v>D2020/00765</v>
          </cell>
          <cell r="F222" t="str">
            <v>CMG PROCESS</v>
          </cell>
          <cell r="I222" t="str">
            <v>904L</v>
          </cell>
          <cell r="J222">
            <v>0.625</v>
          </cell>
          <cell r="K222">
            <v>4.9000000000000002E-2</v>
          </cell>
          <cell r="N222">
            <v>20</v>
          </cell>
        </row>
        <row r="223">
          <cell r="A223" t="str">
            <v>D2020/01024</v>
          </cell>
          <cell r="F223" t="str">
            <v>HTTP</v>
          </cell>
          <cell r="I223" t="str">
            <v>304L</v>
          </cell>
          <cell r="J223">
            <v>0.75</v>
          </cell>
          <cell r="K223">
            <v>4.9000000000000002E-2</v>
          </cell>
          <cell r="N223">
            <v>11</v>
          </cell>
        </row>
        <row r="224">
          <cell r="A224" t="str">
            <v>D2020/01025</v>
          </cell>
          <cell r="F224" t="str">
            <v>HTTP</v>
          </cell>
          <cell r="I224" t="str">
            <v>304L</v>
          </cell>
          <cell r="J224">
            <v>0.75</v>
          </cell>
          <cell r="K224">
            <v>4.9000000000000002E-2</v>
          </cell>
          <cell r="N224">
            <v>13</v>
          </cell>
        </row>
        <row r="225">
          <cell r="A225" t="str">
            <v>D2020/01112</v>
          </cell>
          <cell r="F225" t="str">
            <v>HTTP</v>
          </cell>
          <cell r="I225" t="str">
            <v>316L</v>
          </cell>
          <cell r="J225">
            <v>0.75</v>
          </cell>
          <cell r="K225">
            <v>4.9000000000000002E-2</v>
          </cell>
          <cell r="N225">
            <v>15.578099999999999</v>
          </cell>
        </row>
        <row r="226">
          <cell r="A226" t="str">
            <v>D2020/01111</v>
          </cell>
          <cell r="F226" t="str">
            <v>HTTP</v>
          </cell>
          <cell r="I226" t="str">
            <v>316L</v>
          </cell>
          <cell r="J226">
            <v>0.75</v>
          </cell>
          <cell r="K226">
            <v>4.9000000000000002E-2</v>
          </cell>
          <cell r="N226">
            <v>17.3645</v>
          </cell>
        </row>
        <row r="227">
          <cell r="A227" t="str">
            <v>D2020/01055</v>
          </cell>
          <cell r="F227" t="str">
            <v>HT INDUSTRIAL</v>
          </cell>
          <cell r="I227">
            <v>2205</v>
          </cell>
          <cell r="J227">
            <v>0.75</v>
          </cell>
          <cell r="K227">
            <v>4.9000000000000002E-2</v>
          </cell>
          <cell r="N227">
            <v>12</v>
          </cell>
        </row>
        <row r="228">
          <cell r="A228" t="str">
            <v>D2020/01056</v>
          </cell>
          <cell r="F228" t="str">
            <v>HT INDUSTRIAL</v>
          </cell>
          <cell r="I228">
            <v>2205</v>
          </cell>
          <cell r="J228">
            <v>0.75</v>
          </cell>
          <cell r="K228">
            <v>4.9000000000000002E-2</v>
          </cell>
          <cell r="N228">
            <v>20</v>
          </cell>
        </row>
        <row r="229">
          <cell r="A229" t="str">
            <v>D2020/00819</v>
          </cell>
          <cell r="F229" t="str">
            <v>CMG PROCESS</v>
          </cell>
          <cell r="I229">
            <v>2205</v>
          </cell>
          <cell r="J229">
            <v>1</v>
          </cell>
          <cell r="K229">
            <v>6.5000000000000002E-2</v>
          </cell>
          <cell r="N229">
            <v>40</v>
          </cell>
        </row>
        <row r="230">
          <cell r="A230" t="str">
            <v>D2020/01053</v>
          </cell>
          <cell r="F230" t="str">
            <v>TUBES INC TULSA</v>
          </cell>
          <cell r="I230" t="str">
            <v>316L</v>
          </cell>
          <cell r="J230">
            <v>1</v>
          </cell>
          <cell r="K230">
            <v>6.5000000000000002E-2</v>
          </cell>
          <cell r="N230">
            <v>10</v>
          </cell>
        </row>
        <row r="231">
          <cell r="A231" t="str">
            <v>D2020/01108</v>
          </cell>
          <cell r="F231" t="str">
            <v>HTTP</v>
          </cell>
          <cell r="I231" t="str">
            <v>304L</v>
          </cell>
          <cell r="J231">
            <v>1</v>
          </cell>
          <cell r="K231">
            <v>6.5000000000000002E-2</v>
          </cell>
          <cell r="N231">
            <v>30</v>
          </cell>
        </row>
        <row r="232">
          <cell r="A232" t="str">
            <v>D2020/01109</v>
          </cell>
          <cell r="F232" t="str">
            <v>HTTP</v>
          </cell>
          <cell r="I232" t="str">
            <v>304L</v>
          </cell>
          <cell r="J232">
            <v>1</v>
          </cell>
          <cell r="K232">
            <v>4.9000000000000002E-2</v>
          </cell>
          <cell r="N232">
            <v>20</v>
          </cell>
        </row>
        <row r="233">
          <cell r="A233" t="str">
            <v>D2020/01110</v>
          </cell>
          <cell r="F233" t="str">
            <v>HTTP</v>
          </cell>
          <cell r="I233" t="str">
            <v>304L</v>
          </cell>
          <cell r="J233">
            <v>1</v>
          </cell>
          <cell r="K233">
            <v>4.9000000000000002E-2</v>
          </cell>
          <cell r="N233">
            <v>10</v>
          </cell>
        </row>
        <row r="234">
          <cell r="A234" t="str">
            <v>D2020/01059</v>
          </cell>
          <cell r="F234" t="str">
            <v>HTTP</v>
          </cell>
          <cell r="I234" t="str">
            <v>N08367</v>
          </cell>
          <cell r="J234">
            <v>0.75</v>
          </cell>
          <cell r="K234">
            <v>6.5000000000000002E-2</v>
          </cell>
          <cell r="N234">
            <v>20</v>
          </cell>
        </row>
        <row r="235">
          <cell r="A235" t="str">
            <v>D2020/01300</v>
          </cell>
          <cell r="F235" t="str">
            <v>MEE INDUSTRIES</v>
          </cell>
          <cell r="I235" t="str">
            <v>316L</v>
          </cell>
          <cell r="J235">
            <v>0.75</v>
          </cell>
          <cell r="K235">
            <v>4.9000000000000002E-2</v>
          </cell>
          <cell r="N235">
            <v>20</v>
          </cell>
        </row>
        <row r="236">
          <cell r="A236" t="str">
            <v>D2020/01106</v>
          </cell>
          <cell r="F236" t="str">
            <v>PRIMARY METALS</v>
          </cell>
          <cell r="I236">
            <v>2205</v>
          </cell>
          <cell r="J236">
            <v>1</v>
          </cell>
          <cell r="K236">
            <v>4.9000000000000002E-2</v>
          </cell>
          <cell r="N236">
            <v>20</v>
          </cell>
        </row>
        <row r="237">
          <cell r="A237" t="str">
            <v>D2020/01320</v>
          </cell>
          <cell r="F237" t="str">
            <v>HTTP</v>
          </cell>
          <cell r="I237">
            <v>2205</v>
          </cell>
          <cell r="J237">
            <v>0.75</v>
          </cell>
          <cell r="K237">
            <v>4.4999999999999998E-2</v>
          </cell>
          <cell r="N237">
            <v>12</v>
          </cell>
        </row>
        <row r="238">
          <cell r="A238" t="str">
            <v>D2020/01107</v>
          </cell>
          <cell r="F238" t="str">
            <v>HTTP</v>
          </cell>
          <cell r="I238" t="str">
            <v>316L</v>
          </cell>
          <cell r="J238">
            <v>1.25</v>
          </cell>
          <cell r="K238">
            <v>6.5000000000000002E-2</v>
          </cell>
          <cell r="N238">
            <v>14</v>
          </cell>
        </row>
        <row r="239">
          <cell r="A239" t="str">
            <v>D2020/00932</v>
          </cell>
          <cell r="F239" t="str">
            <v>ALDRICH COMPANY</v>
          </cell>
          <cell r="I239">
            <v>4462</v>
          </cell>
          <cell r="J239">
            <v>1.25</v>
          </cell>
          <cell r="K239">
            <v>8.3000000000000004E-2</v>
          </cell>
          <cell r="N239">
            <v>24</v>
          </cell>
        </row>
        <row r="240">
          <cell r="A240" t="str">
            <v>D2020/01342</v>
          </cell>
          <cell r="F240" t="str">
            <v>HTTP</v>
          </cell>
          <cell r="I240" t="str">
            <v>316L</v>
          </cell>
          <cell r="J240">
            <v>0.625</v>
          </cell>
          <cell r="K240">
            <v>4.9000000000000002E-2</v>
          </cell>
          <cell r="N240">
            <v>64</v>
          </cell>
        </row>
        <row r="241">
          <cell r="A241" t="str">
            <v>D2020/01344</v>
          </cell>
          <cell r="F241" t="str">
            <v>HTTP</v>
          </cell>
          <cell r="I241" t="str">
            <v>304L</v>
          </cell>
          <cell r="J241">
            <v>0.625</v>
          </cell>
          <cell r="K241">
            <v>4.9000000000000002E-2</v>
          </cell>
          <cell r="N241">
            <v>26.942699999999999</v>
          </cell>
        </row>
        <row r="242">
          <cell r="A242" t="str">
            <v>D2020/01058</v>
          </cell>
          <cell r="F242" t="str">
            <v>H&amp;R TUBE</v>
          </cell>
          <cell r="I242" t="str">
            <v>304L</v>
          </cell>
          <cell r="J242">
            <v>1</v>
          </cell>
          <cell r="K242">
            <v>3.5000000000000003E-2</v>
          </cell>
          <cell r="N242">
            <v>20</v>
          </cell>
        </row>
        <row r="243">
          <cell r="A243" t="str">
            <v>D2020/01367</v>
          </cell>
          <cell r="F243" t="str">
            <v>H&amp;R TUBE</v>
          </cell>
          <cell r="I243" t="str">
            <v>304L</v>
          </cell>
          <cell r="J243">
            <v>1</v>
          </cell>
          <cell r="K243">
            <v>3.5000000000000003E-2</v>
          </cell>
          <cell r="N243">
            <v>16.25</v>
          </cell>
        </row>
        <row r="244">
          <cell r="A244" t="str">
            <v>D2020/00992</v>
          </cell>
          <cell r="F244" t="str">
            <v>MAARKY THERMAL</v>
          </cell>
          <cell r="I244" t="str">
            <v>316L</v>
          </cell>
          <cell r="J244">
            <v>0.75</v>
          </cell>
          <cell r="K244">
            <v>2.8000000000000001E-2</v>
          </cell>
          <cell r="N244">
            <v>31.416599999999999</v>
          </cell>
        </row>
        <row r="245">
          <cell r="A245" t="str">
            <v>D2020/01366</v>
          </cell>
          <cell r="F245" t="str">
            <v>H&amp;R TUBE</v>
          </cell>
          <cell r="I245" t="str">
            <v>304L</v>
          </cell>
          <cell r="J245">
            <v>1</v>
          </cell>
          <cell r="K245">
            <v>3.5000000000000003E-2</v>
          </cell>
          <cell r="N245">
            <v>12.25</v>
          </cell>
        </row>
        <row r="246">
          <cell r="A246" t="str">
            <v>D2020/01057</v>
          </cell>
          <cell r="F246" t="str">
            <v>H&amp;R TUBE</v>
          </cell>
          <cell r="I246" t="str">
            <v>304L</v>
          </cell>
          <cell r="J246">
            <v>1</v>
          </cell>
          <cell r="K246">
            <v>3.5000000000000003E-2</v>
          </cell>
          <cell r="N246">
            <v>16.25</v>
          </cell>
        </row>
        <row r="247">
          <cell r="A247" t="str">
            <v>D2020/01384</v>
          </cell>
          <cell r="F247" t="str">
            <v>HTTP</v>
          </cell>
          <cell r="I247" t="str">
            <v>304L</v>
          </cell>
          <cell r="J247">
            <v>1</v>
          </cell>
          <cell r="K247">
            <v>6.5000000000000002E-2</v>
          </cell>
          <cell r="N247">
            <v>40</v>
          </cell>
        </row>
        <row r="248">
          <cell r="A248" t="str">
            <v>D2020/00993</v>
          </cell>
          <cell r="F248" t="str">
            <v>MAARKY THERMAL</v>
          </cell>
          <cell r="I248" t="str">
            <v>316L</v>
          </cell>
          <cell r="J248">
            <v>0.75</v>
          </cell>
          <cell r="K248">
            <v>2.8000000000000001E-2</v>
          </cell>
          <cell r="N248">
            <v>31.416599999999999</v>
          </cell>
        </row>
        <row r="249">
          <cell r="A249" t="str">
            <v>D2020/01023</v>
          </cell>
          <cell r="F249" t="str">
            <v>HTTP</v>
          </cell>
          <cell r="I249">
            <v>347</v>
          </cell>
          <cell r="J249">
            <v>0.75</v>
          </cell>
          <cell r="K249">
            <v>8.3000000000000004E-2</v>
          </cell>
          <cell r="N249">
            <v>36</v>
          </cell>
        </row>
        <row r="250">
          <cell r="A250" t="str">
            <v>D2020/01470</v>
          </cell>
          <cell r="F250" t="str">
            <v>HT INDUSTRIAL</v>
          </cell>
          <cell r="I250">
            <v>2205</v>
          </cell>
          <cell r="J250">
            <v>0.75</v>
          </cell>
          <cell r="K250">
            <v>4.9000000000000002E-2</v>
          </cell>
          <cell r="N250">
            <v>20</v>
          </cell>
        </row>
        <row r="251">
          <cell r="A251" t="str">
            <v>D2020/00994</v>
          </cell>
          <cell r="F251" t="str">
            <v>MAARKY THERMAL</v>
          </cell>
          <cell r="I251" t="str">
            <v>316L</v>
          </cell>
          <cell r="J251">
            <v>0.75</v>
          </cell>
          <cell r="K251">
            <v>2.8000000000000001E-2</v>
          </cell>
          <cell r="N251">
            <v>31.416599999999999</v>
          </cell>
        </row>
        <row r="252">
          <cell r="A252" t="str">
            <v>D2020/01468</v>
          </cell>
          <cell r="F252" t="str">
            <v>HTTP</v>
          </cell>
          <cell r="I252" t="str">
            <v>304L</v>
          </cell>
          <cell r="J252">
            <v>0.75</v>
          </cell>
          <cell r="K252">
            <v>6.5000000000000002E-2</v>
          </cell>
          <cell r="N252">
            <v>43.703099999999999</v>
          </cell>
        </row>
        <row r="253">
          <cell r="A253" t="str">
            <v>D2020/01469</v>
          </cell>
          <cell r="F253" t="str">
            <v>HTTP</v>
          </cell>
          <cell r="I253" t="str">
            <v>304L</v>
          </cell>
          <cell r="J253">
            <v>0.75</v>
          </cell>
          <cell r="K253">
            <v>6.5000000000000002E-2</v>
          </cell>
          <cell r="N253">
            <v>44.932200000000002</v>
          </cell>
        </row>
        <row r="254">
          <cell r="A254" t="str">
            <v>D2020/01341</v>
          </cell>
          <cell r="F254" t="str">
            <v>TUBES INC TULSA</v>
          </cell>
          <cell r="I254" t="str">
            <v>304L</v>
          </cell>
          <cell r="J254">
            <v>2</v>
          </cell>
          <cell r="K254">
            <v>8.3000000000000004E-2</v>
          </cell>
          <cell r="N254">
            <v>40.083300000000001</v>
          </cell>
        </row>
        <row r="255">
          <cell r="A255" t="str">
            <v>D2020/01551</v>
          </cell>
          <cell r="F255" t="str">
            <v>BROOKFIELD STAINLESS</v>
          </cell>
          <cell r="I255" t="str">
            <v>304L</v>
          </cell>
          <cell r="J255">
            <v>1.25</v>
          </cell>
          <cell r="K255">
            <v>3.5000000000000003E-2</v>
          </cell>
          <cell r="N255">
            <v>20.166599999999999</v>
          </cell>
        </row>
        <row r="256">
          <cell r="A256" t="str">
            <v>D2020/01580</v>
          </cell>
          <cell r="F256" t="str">
            <v>RETUBECO</v>
          </cell>
          <cell r="I256" t="str">
            <v>Tit.Gr.2</v>
          </cell>
          <cell r="J256">
            <v>0.625</v>
          </cell>
          <cell r="K256">
            <v>3.5000000000000003E-2</v>
          </cell>
          <cell r="N256">
            <v>28</v>
          </cell>
        </row>
        <row r="257">
          <cell r="A257" t="str">
            <v>D2020/01392</v>
          </cell>
          <cell r="F257" t="str">
            <v>H&amp;R TUBE</v>
          </cell>
          <cell r="I257" t="str">
            <v>304L</v>
          </cell>
          <cell r="J257">
            <v>0.625</v>
          </cell>
          <cell r="K257">
            <v>3.5000000000000003E-2</v>
          </cell>
          <cell r="N257">
            <v>20</v>
          </cell>
        </row>
        <row r="258">
          <cell r="A258" t="str">
            <v>D2020/01393</v>
          </cell>
          <cell r="F258" t="str">
            <v>HTTP</v>
          </cell>
          <cell r="I258" t="str">
            <v>304L</v>
          </cell>
          <cell r="J258">
            <v>1.25</v>
          </cell>
          <cell r="K258">
            <v>4.9000000000000002E-2</v>
          </cell>
          <cell r="N258">
            <v>44</v>
          </cell>
        </row>
        <row r="259">
          <cell r="A259" t="str">
            <v>D2020/01444</v>
          </cell>
          <cell r="F259" t="str">
            <v>HTTP</v>
          </cell>
          <cell r="I259" t="str">
            <v>304L</v>
          </cell>
          <cell r="J259">
            <v>0.625</v>
          </cell>
          <cell r="K259">
            <v>4.9000000000000002E-2</v>
          </cell>
          <cell r="N259">
            <v>25.8125</v>
          </cell>
        </row>
        <row r="260">
          <cell r="A260" t="str">
            <v>D2020/01467</v>
          </cell>
          <cell r="F260" t="str">
            <v>HTTP</v>
          </cell>
          <cell r="I260" t="str">
            <v>304L</v>
          </cell>
          <cell r="J260">
            <v>0.75</v>
          </cell>
          <cell r="K260">
            <v>6.5000000000000002E-2</v>
          </cell>
          <cell r="N260">
            <v>42.854100000000003</v>
          </cell>
        </row>
        <row r="261">
          <cell r="A261" t="str">
            <v>D2020/01496</v>
          </cell>
          <cell r="F261" t="str">
            <v>AMERICAN EXCHANGER</v>
          </cell>
          <cell r="I261" t="str">
            <v>304L</v>
          </cell>
          <cell r="J261">
            <v>0.625</v>
          </cell>
          <cell r="K261">
            <v>4.9000000000000002E-2</v>
          </cell>
          <cell r="N261">
            <v>10.5</v>
          </cell>
        </row>
        <row r="262">
          <cell r="A262" t="str">
            <v>D2020/01552</v>
          </cell>
          <cell r="F262" t="str">
            <v>HTTP</v>
          </cell>
          <cell r="I262" t="str">
            <v>304L</v>
          </cell>
          <cell r="J262">
            <v>1.25</v>
          </cell>
          <cell r="K262">
            <v>4.9000000000000002E-2</v>
          </cell>
          <cell r="N262">
            <v>21</v>
          </cell>
        </row>
        <row r="263">
          <cell r="A263" t="str">
            <v>D2020/01113</v>
          </cell>
          <cell r="F263" t="str">
            <v>ALDRICH COMPANY</v>
          </cell>
          <cell r="I263">
            <v>4462</v>
          </cell>
          <cell r="J263">
            <v>1.25</v>
          </cell>
          <cell r="K263">
            <v>8.3000000000000004E-2</v>
          </cell>
          <cell r="N263">
            <v>24</v>
          </cell>
        </row>
        <row r="264">
          <cell r="A264" t="str">
            <v>D2020/01465</v>
          </cell>
          <cell r="F264" t="str">
            <v>HTTP</v>
          </cell>
          <cell r="I264" t="str">
            <v>304L</v>
          </cell>
          <cell r="J264">
            <v>0.75</v>
          </cell>
          <cell r="K264">
            <v>6.5000000000000002E-2</v>
          </cell>
          <cell r="N264">
            <v>41.13541</v>
          </cell>
        </row>
        <row r="265">
          <cell r="A265" t="str">
            <v>D2020/01466</v>
          </cell>
          <cell r="F265" t="str">
            <v>HTTP</v>
          </cell>
          <cell r="I265" t="str">
            <v>304L</v>
          </cell>
          <cell r="J265">
            <v>0.75</v>
          </cell>
          <cell r="K265">
            <v>6.5000000000000002E-2</v>
          </cell>
          <cell r="N265">
            <v>41.984299999999998</v>
          </cell>
        </row>
        <row r="266">
          <cell r="A266" t="str">
            <v>D2020/01595</v>
          </cell>
          <cell r="F266" t="str">
            <v>HTTP</v>
          </cell>
          <cell r="I266" t="str">
            <v>316L</v>
          </cell>
          <cell r="J266">
            <v>0.75</v>
          </cell>
          <cell r="K266">
            <v>6.5000000000000002E-2</v>
          </cell>
          <cell r="N266">
            <v>50.6875</v>
          </cell>
        </row>
        <row r="267">
          <cell r="A267" t="str">
            <v>D2020/01547</v>
          </cell>
          <cell r="F267" t="str">
            <v>HTTP</v>
          </cell>
          <cell r="I267" t="str">
            <v>316L</v>
          </cell>
          <cell r="J267">
            <v>0.75</v>
          </cell>
          <cell r="K267">
            <v>4.9000000000000002E-2</v>
          </cell>
          <cell r="N267">
            <v>34.604100000000003</v>
          </cell>
        </row>
        <row r="268">
          <cell r="A268" t="str">
            <v>D2020/01548</v>
          </cell>
          <cell r="F268" t="str">
            <v>HTTP</v>
          </cell>
          <cell r="I268" t="str">
            <v>316L</v>
          </cell>
          <cell r="J268">
            <v>0.75</v>
          </cell>
          <cell r="K268">
            <v>4.9000000000000002E-2</v>
          </cell>
          <cell r="N268">
            <v>35.453099999999999</v>
          </cell>
        </row>
        <row r="269">
          <cell r="A269" t="str">
            <v>D2020/01549</v>
          </cell>
          <cell r="F269" t="str">
            <v>HTTP</v>
          </cell>
          <cell r="I269" t="str">
            <v>316L</v>
          </cell>
          <cell r="J269">
            <v>0.75</v>
          </cell>
          <cell r="K269">
            <v>4.9000000000000002E-2</v>
          </cell>
          <cell r="N269">
            <v>36.520800000000001</v>
          </cell>
        </row>
        <row r="270">
          <cell r="A270" t="str">
            <v>D2020/01550</v>
          </cell>
          <cell r="F270" t="str">
            <v>HTTP</v>
          </cell>
          <cell r="I270" t="str">
            <v>316L</v>
          </cell>
          <cell r="J270">
            <v>0.75</v>
          </cell>
          <cell r="K270">
            <v>4.9000000000000002E-2</v>
          </cell>
          <cell r="N270">
            <v>37.796799999999998</v>
          </cell>
        </row>
        <row r="271">
          <cell r="A271" t="str">
            <v>D2020/01594</v>
          </cell>
          <cell r="F271" t="str">
            <v>HTTP</v>
          </cell>
          <cell r="I271" t="str">
            <v>316L</v>
          </cell>
          <cell r="J271">
            <v>0.75</v>
          </cell>
          <cell r="K271">
            <v>6.5000000000000002E-2</v>
          </cell>
          <cell r="N271">
            <v>49.0989</v>
          </cell>
        </row>
        <row r="272">
          <cell r="A272" t="str">
            <v>D2020/01394</v>
          </cell>
          <cell r="F272" t="str">
            <v>AMERICAN EXCHANGER</v>
          </cell>
          <cell r="I272">
            <v>2205</v>
          </cell>
          <cell r="J272">
            <v>1</v>
          </cell>
          <cell r="K272">
            <v>6.5000000000000002E-2</v>
          </cell>
          <cell r="N272">
            <v>16</v>
          </cell>
        </row>
        <row r="273">
          <cell r="A273" t="str">
            <v>D2020/01472</v>
          </cell>
          <cell r="F273" t="str">
            <v>H&amp;R TUBE</v>
          </cell>
          <cell r="I273" t="str">
            <v>304L</v>
          </cell>
          <cell r="J273">
            <v>1</v>
          </cell>
          <cell r="K273">
            <v>3.5000000000000003E-2</v>
          </cell>
          <cell r="N273">
            <v>20</v>
          </cell>
        </row>
        <row r="274">
          <cell r="A274" t="str">
            <v>D2020/01471</v>
          </cell>
          <cell r="F274" t="str">
            <v>H&amp;R TUBE</v>
          </cell>
          <cell r="I274" t="str">
            <v>304L</v>
          </cell>
          <cell r="J274">
            <v>1</v>
          </cell>
          <cell r="K274">
            <v>3.5000000000000003E-2</v>
          </cell>
          <cell r="N274">
            <v>16.25</v>
          </cell>
        </row>
        <row r="275">
          <cell r="A275" t="str">
            <v>D2020/01473</v>
          </cell>
          <cell r="F275" t="str">
            <v>H&amp;R TUBE</v>
          </cell>
          <cell r="I275" t="str">
            <v>304L</v>
          </cell>
          <cell r="J275">
            <v>1</v>
          </cell>
          <cell r="K275">
            <v>3.5000000000000003E-2</v>
          </cell>
          <cell r="N275">
            <v>12.25</v>
          </cell>
        </row>
        <row r="276">
          <cell r="A276" t="str">
            <v>D2020/01495</v>
          </cell>
          <cell r="F276" t="str">
            <v>HTTP</v>
          </cell>
          <cell r="I276" t="str">
            <v>304L</v>
          </cell>
          <cell r="J276">
            <v>1</v>
          </cell>
          <cell r="K276">
            <v>4.9000000000000002E-2</v>
          </cell>
          <cell r="N276">
            <v>14</v>
          </cell>
        </row>
        <row r="277">
          <cell r="A277" t="str">
            <v>D2020/01700</v>
          </cell>
          <cell r="F277" t="str">
            <v>TUBES INC</v>
          </cell>
          <cell r="I277" t="str">
            <v>304L</v>
          </cell>
          <cell r="J277">
            <v>1</v>
          </cell>
          <cell r="K277">
            <v>8.3000000000000004E-2</v>
          </cell>
          <cell r="N277">
            <v>16</v>
          </cell>
        </row>
        <row r="278">
          <cell r="A278" t="str">
            <v>D2020/00663</v>
          </cell>
          <cell r="F278" t="str">
            <v>H&amp;R TUBE</v>
          </cell>
          <cell r="I278" t="str">
            <v>304L</v>
          </cell>
          <cell r="J278">
            <v>0.56200000000000006</v>
          </cell>
          <cell r="K278">
            <v>3.5000000000000003E-2</v>
          </cell>
          <cell r="N278">
            <v>24</v>
          </cell>
        </row>
        <row r="279">
          <cell r="A279" t="str">
            <v>D2020/01511</v>
          </cell>
          <cell r="F279" t="str">
            <v>HTTP</v>
          </cell>
          <cell r="I279" t="str">
            <v>316L</v>
          </cell>
          <cell r="J279">
            <v>1</v>
          </cell>
          <cell r="K279">
            <v>8.3000000000000004E-2</v>
          </cell>
          <cell r="N279">
            <v>20</v>
          </cell>
        </row>
        <row r="280">
          <cell r="A280" t="str">
            <v>D2020/01701</v>
          </cell>
          <cell r="F280" t="str">
            <v>TUBES INC</v>
          </cell>
          <cell r="I280" t="str">
            <v>304L</v>
          </cell>
          <cell r="J280">
            <v>1</v>
          </cell>
          <cell r="K280">
            <v>8.3000000000000004E-2</v>
          </cell>
          <cell r="N280">
            <v>16</v>
          </cell>
        </row>
        <row r="281">
          <cell r="A281" t="str">
            <v>D2020/00664</v>
          </cell>
          <cell r="F281" t="str">
            <v>H&amp;R TUBE</v>
          </cell>
          <cell r="I281" t="str">
            <v>304L</v>
          </cell>
          <cell r="J281">
            <v>0.56200000000000006</v>
          </cell>
          <cell r="K281">
            <v>3.5000000000000003E-2</v>
          </cell>
          <cell r="N281">
            <v>24</v>
          </cell>
        </row>
        <row r="282">
          <cell r="A282" t="str">
            <v>D2020/01702</v>
          </cell>
          <cell r="F282" t="str">
            <v>TUBES INC</v>
          </cell>
          <cell r="I282" t="str">
            <v>304L</v>
          </cell>
          <cell r="J282">
            <v>1</v>
          </cell>
          <cell r="K282">
            <v>8.3000000000000004E-2</v>
          </cell>
          <cell r="N282">
            <v>16</v>
          </cell>
        </row>
        <row r="283">
          <cell r="A283" t="str">
            <v>D2020/01703</v>
          </cell>
          <cell r="F283" t="str">
            <v>TUBES INC</v>
          </cell>
          <cell r="I283" t="str">
            <v>304L</v>
          </cell>
          <cell r="J283">
            <v>1</v>
          </cell>
          <cell r="K283">
            <v>8.3000000000000004E-2</v>
          </cell>
          <cell r="N283">
            <v>16</v>
          </cell>
        </row>
        <row r="284">
          <cell r="A284" t="str">
            <v>D2020/01704</v>
          </cell>
          <cell r="F284" t="str">
            <v>TUBES INC</v>
          </cell>
          <cell r="I284" t="str">
            <v>304L</v>
          </cell>
          <cell r="J284">
            <v>1</v>
          </cell>
          <cell r="K284">
            <v>6.5000000000000002E-2</v>
          </cell>
          <cell r="N284">
            <v>16</v>
          </cell>
        </row>
        <row r="285">
          <cell r="A285" t="str">
            <v>D2020/01737</v>
          </cell>
          <cell r="F285" t="str">
            <v>RETUBECO</v>
          </cell>
          <cell r="I285" t="str">
            <v>Tit.Gr.2</v>
          </cell>
          <cell r="J285">
            <v>0.625</v>
          </cell>
          <cell r="K285">
            <v>3.5000000000000003E-2</v>
          </cell>
          <cell r="N285">
            <v>28.01</v>
          </cell>
        </row>
        <row r="286">
          <cell r="A286" t="str">
            <v>D2020/01696</v>
          </cell>
          <cell r="F286" t="str">
            <v>HTTP</v>
          </cell>
          <cell r="I286" t="str">
            <v>304L</v>
          </cell>
          <cell r="J286">
            <v>1.25</v>
          </cell>
          <cell r="K286">
            <v>8.3000000000000004E-2</v>
          </cell>
          <cell r="N286">
            <v>8</v>
          </cell>
        </row>
        <row r="287">
          <cell r="A287" t="str">
            <v>D2020/01697</v>
          </cell>
          <cell r="F287" t="str">
            <v>HTTP</v>
          </cell>
          <cell r="I287" t="str">
            <v>304L</v>
          </cell>
          <cell r="J287">
            <v>1.25</v>
          </cell>
          <cell r="K287">
            <v>8.3000000000000004E-2</v>
          </cell>
          <cell r="N287">
            <v>16</v>
          </cell>
        </row>
        <row r="288">
          <cell r="A288" t="str">
            <v>D2020/01699</v>
          </cell>
          <cell r="F288" t="str">
            <v>TUBES INC TULSA</v>
          </cell>
          <cell r="I288" t="str">
            <v>316L</v>
          </cell>
          <cell r="J288">
            <v>1</v>
          </cell>
          <cell r="K288">
            <v>6.5000000000000002E-2</v>
          </cell>
          <cell r="N288">
            <v>10</v>
          </cell>
        </row>
        <row r="289">
          <cell r="A289" t="str">
            <v>D2020/01668</v>
          </cell>
          <cell r="F289" t="str">
            <v>H&amp;R TUBE</v>
          </cell>
          <cell r="I289" t="str">
            <v>304L</v>
          </cell>
          <cell r="J289">
            <v>1</v>
          </cell>
          <cell r="K289">
            <v>3.5000000000000003E-2</v>
          </cell>
          <cell r="N289">
            <v>40</v>
          </cell>
        </row>
        <row r="290">
          <cell r="A290" t="str">
            <v>D2020/01698</v>
          </cell>
          <cell r="F290" t="str">
            <v>HTTP</v>
          </cell>
          <cell r="I290" t="str">
            <v>304L</v>
          </cell>
          <cell r="J290">
            <v>1.25</v>
          </cell>
          <cell r="K290">
            <v>8.3000000000000004E-2</v>
          </cell>
          <cell r="N290">
            <v>12</v>
          </cell>
        </row>
        <row r="291">
          <cell r="A291" t="str">
            <v>D2020/01633</v>
          </cell>
          <cell r="F291" t="str">
            <v>H&amp;R TUBE</v>
          </cell>
          <cell r="I291" t="str">
            <v>304L</v>
          </cell>
          <cell r="J291">
            <v>1</v>
          </cell>
          <cell r="K291">
            <v>3.5000000000000003E-2</v>
          </cell>
          <cell r="N291">
            <v>20</v>
          </cell>
        </row>
        <row r="292">
          <cell r="A292" t="str">
            <v>D2020/01748</v>
          </cell>
          <cell r="F292" t="str">
            <v>HTTP</v>
          </cell>
          <cell r="I292" t="str">
            <v>316L</v>
          </cell>
          <cell r="J292">
            <v>1.25</v>
          </cell>
          <cell r="K292">
            <v>8.3000000000000004E-2</v>
          </cell>
          <cell r="N292">
            <v>33</v>
          </cell>
        </row>
        <row r="293">
          <cell r="A293" t="str">
            <v>D2020/01474</v>
          </cell>
          <cell r="F293" t="str">
            <v>H&amp;R TUBE</v>
          </cell>
          <cell r="I293" t="str">
            <v>304L</v>
          </cell>
          <cell r="J293">
            <v>1</v>
          </cell>
          <cell r="K293">
            <v>3.5000000000000003E-2</v>
          </cell>
          <cell r="N293">
            <v>16.25</v>
          </cell>
        </row>
        <row r="294">
          <cell r="A294" t="str">
            <v>D2020/01632</v>
          </cell>
          <cell r="F294" t="str">
            <v>H&amp;R TUBE</v>
          </cell>
          <cell r="I294" t="str">
            <v>304L</v>
          </cell>
          <cell r="J294">
            <v>1</v>
          </cell>
          <cell r="K294">
            <v>3.5000000000000003E-2</v>
          </cell>
          <cell r="N294">
            <v>16.25</v>
          </cell>
        </row>
        <row r="295">
          <cell r="A295" t="str">
            <v>D2020/01740</v>
          </cell>
          <cell r="F295" t="str">
            <v>BROOKFIELD STAINLESS</v>
          </cell>
          <cell r="I295" t="str">
            <v>304L</v>
          </cell>
          <cell r="J295">
            <v>1.25</v>
          </cell>
          <cell r="K295">
            <v>3.5000000000000003E-2</v>
          </cell>
          <cell r="N295">
            <v>20.166599999999999</v>
          </cell>
        </row>
        <row r="296">
          <cell r="A296" t="str">
            <v>D2020/01618</v>
          </cell>
          <cell r="F296" t="str">
            <v>MEE INDUSTRIES</v>
          </cell>
          <cell r="I296" t="str">
            <v>316L</v>
          </cell>
          <cell r="J296">
            <v>0.5</v>
          </cell>
          <cell r="K296">
            <v>3.5000000000000003E-2</v>
          </cell>
          <cell r="N296">
            <v>20</v>
          </cell>
        </row>
        <row r="297">
          <cell r="A297" t="str">
            <v>D2020/01746</v>
          </cell>
          <cell r="F297" t="str">
            <v>JFD TUBE &amp; COIL</v>
          </cell>
          <cell r="I297" t="str">
            <v>304L</v>
          </cell>
          <cell r="J297">
            <v>0.5</v>
          </cell>
          <cell r="K297">
            <v>4.9000000000000002E-2</v>
          </cell>
          <cell r="N297">
            <v>16.541599999999999</v>
          </cell>
        </row>
        <row r="298">
          <cell r="A298" t="str">
            <v>D2020/01741</v>
          </cell>
          <cell r="F298" t="str">
            <v>TUBES INC TULSA</v>
          </cell>
          <cell r="I298" t="str">
            <v>304L</v>
          </cell>
          <cell r="J298">
            <v>1</v>
          </cell>
          <cell r="K298">
            <v>3.5000000000000003E-2</v>
          </cell>
          <cell r="N298">
            <v>17</v>
          </cell>
        </row>
        <row r="299">
          <cell r="A299" t="str">
            <v>D2020/01477</v>
          </cell>
          <cell r="F299" t="str">
            <v>H&amp;R TUBE</v>
          </cell>
          <cell r="I299" t="str">
            <v>304L</v>
          </cell>
          <cell r="J299">
            <v>1</v>
          </cell>
          <cell r="K299">
            <v>3.5000000000000003E-2</v>
          </cell>
          <cell r="N299">
            <v>16.25</v>
          </cell>
        </row>
        <row r="300">
          <cell r="A300" t="str">
            <v>D2020/01476</v>
          </cell>
          <cell r="F300" t="str">
            <v>H&amp;R TUBE</v>
          </cell>
          <cell r="I300" t="str">
            <v>304L</v>
          </cell>
          <cell r="J300">
            <v>1</v>
          </cell>
          <cell r="K300">
            <v>3.5000000000000003E-2</v>
          </cell>
          <cell r="N300">
            <v>12.25</v>
          </cell>
        </row>
        <row r="301">
          <cell r="A301" t="str">
            <v>D2020/01744</v>
          </cell>
          <cell r="F301" t="str">
            <v>TUBES INC TULSA</v>
          </cell>
          <cell r="I301" t="str">
            <v>304L</v>
          </cell>
          <cell r="J301">
            <v>1</v>
          </cell>
          <cell r="K301">
            <v>3.5000000000000003E-2</v>
          </cell>
          <cell r="N301">
            <v>10</v>
          </cell>
        </row>
        <row r="302">
          <cell r="A302" t="str">
            <v>D2020/00952</v>
          </cell>
          <cell r="F302" t="str">
            <v>H&amp;R TUBE</v>
          </cell>
          <cell r="I302">
            <v>321</v>
          </cell>
          <cell r="J302">
            <v>0.56200000000000006</v>
          </cell>
          <cell r="K302">
            <v>3.5000000000000003E-2</v>
          </cell>
          <cell r="N302">
            <v>24</v>
          </cell>
        </row>
        <row r="303">
          <cell r="A303" t="str">
            <v>D2020/00665</v>
          </cell>
          <cell r="F303" t="str">
            <v>H&amp;R TUBE</v>
          </cell>
          <cell r="I303" t="str">
            <v>304L</v>
          </cell>
          <cell r="J303">
            <v>0.56200000000000006</v>
          </cell>
          <cell r="K303">
            <v>3.5000000000000003E-2</v>
          </cell>
          <cell r="N303">
            <v>24</v>
          </cell>
        </row>
        <row r="304">
          <cell r="A304" t="str">
            <v>D2020/01742</v>
          </cell>
          <cell r="F304" t="str">
            <v>TUBES INC TULSA</v>
          </cell>
          <cell r="I304" t="str">
            <v>304L</v>
          </cell>
          <cell r="J304">
            <v>1</v>
          </cell>
          <cell r="K304">
            <v>3.5000000000000003E-2</v>
          </cell>
          <cell r="N304">
            <v>10</v>
          </cell>
        </row>
        <row r="305">
          <cell r="A305" t="str">
            <v>D2020/01743</v>
          </cell>
          <cell r="F305" t="str">
            <v>TUBES INC TULSA</v>
          </cell>
          <cell r="I305" t="str">
            <v>304L</v>
          </cell>
          <cell r="J305">
            <v>1</v>
          </cell>
          <cell r="K305">
            <v>3.5000000000000003E-2</v>
          </cell>
          <cell r="N305">
            <v>10</v>
          </cell>
        </row>
        <row r="306">
          <cell r="A306" t="str">
            <v>D2020/01957</v>
          </cell>
          <cell r="F306" t="str">
            <v>H&amp;R TUBE</v>
          </cell>
          <cell r="I306" t="str">
            <v>304L</v>
          </cell>
          <cell r="J306">
            <v>0.56200000000000006</v>
          </cell>
          <cell r="K306">
            <v>3.5000000000000003E-2</v>
          </cell>
          <cell r="N306">
            <v>24</v>
          </cell>
        </row>
        <row r="307">
          <cell r="A307" t="str">
            <v>D2020/01892</v>
          </cell>
          <cell r="F307" t="str">
            <v>H&amp;R TUBE</v>
          </cell>
          <cell r="I307" t="str">
            <v>304L</v>
          </cell>
          <cell r="J307">
            <v>1</v>
          </cell>
          <cell r="K307">
            <v>3.5000000000000003E-2</v>
          </cell>
          <cell r="N307">
            <v>16.25</v>
          </cell>
        </row>
        <row r="308">
          <cell r="A308" t="str">
            <v>D2020/01893</v>
          </cell>
          <cell r="F308" t="str">
            <v>H&amp;R TUBE</v>
          </cell>
          <cell r="I308" t="str">
            <v>304L</v>
          </cell>
          <cell r="J308">
            <v>1</v>
          </cell>
          <cell r="K308">
            <v>3.5000000000000003E-2</v>
          </cell>
          <cell r="N308">
            <v>20</v>
          </cell>
        </row>
        <row r="309">
          <cell r="A309" t="str">
            <v>D2020/01885</v>
          </cell>
          <cell r="F309" t="str">
            <v>HTTP</v>
          </cell>
          <cell r="I309" t="str">
            <v>316L</v>
          </cell>
          <cell r="J309">
            <v>1</v>
          </cell>
          <cell r="K309">
            <v>6.5000000000000002E-2</v>
          </cell>
          <cell r="N309">
            <v>14</v>
          </cell>
        </row>
        <row r="310">
          <cell r="A310" t="str">
            <v>D2020/01886</v>
          </cell>
          <cell r="F310" t="str">
            <v>KAM THERMAL</v>
          </cell>
          <cell r="I310" t="str">
            <v>316L</v>
          </cell>
          <cell r="J310">
            <v>0.625</v>
          </cell>
          <cell r="K310">
            <v>4.9000000000000002E-2</v>
          </cell>
          <cell r="N310">
            <v>3</v>
          </cell>
        </row>
        <row r="311">
          <cell r="A311" t="str">
            <v>D2020/01888</v>
          </cell>
          <cell r="F311" t="str">
            <v>HOLTEC</v>
          </cell>
          <cell r="I311" t="str">
            <v>304L</v>
          </cell>
          <cell r="J311">
            <v>1</v>
          </cell>
          <cell r="K311">
            <v>6.5000000000000002E-2</v>
          </cell>
          <cell r="N311">
            <v>10.208299999999999</v>
          </cell>
        </row>
        <row r="312">
          <cell r="A312" t="str">
            <v>D2020/01890</v>
          </cell>
          <cell r="F312" t="str">
            <v>H&amp;R TUBE</v>
          </cell>
          <cell r="I312" t="str">
            <v>304L</v>
          </cell>
          <cell r="J312">
            <v>0.625</v>
          </cell>
          <cell r="K312">
            <v>4.9000000000000002E-2</v>
          </cell>
          <cell r="N312">
            <v>24</v>
          </cell>
        </row>
        <row r="313">
          <cell r="A313" t="str">
            <v>D2020/01887</v>
          </cell>
          <cell r="F313" t="str">
            <v>HOLTEC</v>
          </cell>
          <cell r="I313" t="str">
            <v>304L</v>
          </cell>
          <cell r="J313">
            <v>1</v>
          </cell>
          <cell r="K313">
            <v>5.3999999999999999E-2</v>
          </cell>
          <cell r="N313">
            <v>10.208299999999999</v>
          </cell>
        </row>
        <row r="314">
          <cell r="A314" t="str">
            <v>D2020/01889</v>
          </cell>
          <cell r="F314" t="str">
            <v>H&amp;R TUBE</v>
          </cell>
          <cell r="I314" t="str">
            <v>304L</v>
          </cell>
          <cell r="J314">
            <v>0.625</v>
          </cell>
          <cell r="K314">
            <v>4.9000000000000002E-2</v>
          </cell>
          <cell r="N314">
            <v>20</v>
          </cell>
        </row>
        <row r="315">
          <cell r="A315" t="str">
            <v>D2020/01967</v>
          </cell>
          <cell r="F315" t="str">
            <v>HARRIS THERMAL</v>
          </cell>
          <cell r="I315">
            <v>2205</v>
          </cell>
          <cell r="J315">
            <v>1</v>
          </cell>
          <cell r="K315">
            <v>4.9000000000000002E-2</v>
          </cell>
          <cell r="N315">
            <v>20</v>
          </cell>
        </row>
        <row r="316">
          <cell r="A316" t="str">
            <v>D2020/01968</v>
          </cell>
          <cell r="F316" t="str">
            <v>HARRIS THERMAL</v>
          </cell>
          <cell r="I316">
            <v>2205</v>
          </cell>
          <cell r="J316">
            <v>1</v>
          </cell>
          <cell r="K316">
            <v>4.9000000000000002E-2</v>
          </cell>
          <cell r="N316">
            <v>12</v>
          </cell>
        </row>
        <row r="317">
          <cell r="A317" t="str">
            <v>D2020/01969</v>
          </cell>
          <cell r="F317" t="str">
            <v>HARRIS THERMAL</v>
          </cell>
          <cell r="I317">
            <v>2205</v>
          </cell>
          <cell r="J317">
            <v>1</v>
          </cell>
          <cell r="K317">
            <v>4.9000000000000002E-2</v>
          </cell>
          <cell r="N317">
            <v>14</v>
          </cell>
        </row>
        <row r="318">
          <cell r="A318" t="str">
            <v>D2020/02033</v>
          </cell>
          <cell r="F318" t="str">
            <v>HTTP</v>
          </cell>
          <cell r="I318" t="str">
            <v>304L</v>
          </cell>
          <cell r="J318">
            <v>0.625</v>
          </cell>
          <cell r="K318">
            <v>3.5000000000000003E-2</v>
          </cell>
          <cell r="N318">
            <v>13.5</v>
          </cell>
        </row>
        <row r="319">
          <cell r="A319" t="str">
            <v>D2020/01747</v>
          </cell>
          <cell r="F319" t="str">
            <v>HTTP</v>
          </cell>
          <cell r="I319" t="str">
            <v>304L</v>
          </cell>
          <cell r="J319">
            <v>0.75</v>
          </cell>
          <cell r="K319">
            <v>3.5000000000000003E-2</v>
          </cell>
          <cell r="N319">
            <v>18</v>
          </cell>
        </row>
        <row r="320">
          <cell r="A320" t="str">
            <v>D2020/02045</v>
          </cell>
          <cell r="F320" t="str">
            <v>AD TUBI USA</v>
          </cell>
          <cell r="I320" t="str">
            <v>304L</v>
          </cell>
          <cell r="J320">
            <v>0.625</v>
          </cell>
          <cell r="K320">
            <v>3.5000000000000003E-2</v>
          </cell>
          <cell r="N320">
            <v>20</v>
          </cell>
        </row>
        <row r="321">
          <cell r="A321" t="str">
            <v>D2020/02046</v>
          </cell>
          <cell r="F321" t="str">
            <v>HTTP</v>
          </cell>
          <cell r="I321" t="str">
            <v>316L</v>
          </cell>
          <cell r="J321">
            <v>0.75</v>
          </cell>
          <cell r="K321">
            <v>3.5000000000000003E-2</v>
          </cell>
          <cell r="N321">
            <v>15</v>
          </cell>
        </row>
        <row r="322">
          <cell r="A322" t="str">
            <v>D2020/01891</v>
          </cell>
          <cell r="F322" t="str">
            <v>TUBES INC TULSA</v>
          </cell>
          <cell r="I322" t="str">
            <v>304L</v>
          </cell>
          <cell r="J322">
            <v>0.75</v>
          </cell>
          <cell r="K322">
            <v>4.9000000000000002E-2</v>
          </cell>
          <cell r="N322">
            <v>20</v>
          </cell>
        </row>
        <row r="323">
          <cell r="A323" t="str">
            <v>D2020/02031</v>
          </cell>
          <cell r="F323" t="str">
            <v>HTTP</v>
          </cell>
          <cell r="I323" t="str">
            <v>304L</v>
          </cell>
          <cell r="J323">
            <v>0.75</v>
          </cell>
          <cell r="K323">
            <v>4.9000000000000002E-2</v>
          </cell>
          <cell r="N323">
            <v>45.322899999999997</v>
          </cell>
        </row>
        <row r="324">
          <cell r="A324" t="str">
            <v>D2020/02032</v>
          </cell>
          <cell r="F324" t="str">
            <v>HTTP</v>
          </cell>
          <cell r="I324" t="str">
            <v>304L</v>
          </cell>
          <cell r="J324">
            <v>0.75</v>
          </cell>
          <cell r="K324">
            <v>4.9000000000000002E-2</v>
          </cell>
          <cell r="N324">
            <v>46.854100000000003</v>
          </cell>
        </row>
        <row r="325">
          <cell r="A325" t="str">
            <v>D2020/02034</v>
          </cell>
          <cell r="F325" t="str">
            <v>MEE INDUSTRIES</v>
          </cell>
          <cell r="I325" t="str">
            <v>316L</v>
          </cell>
          <cell r="J325">
            <v>0.75</v>
          </cell>
          <cell r="K325">
            <v>4.9000000000000002E-2</v>
          </cell>
          <cell r="N325">
            <v>20</v>
          </cell>
        </row>
        <row r="326">
          <cell r="A326" t="str">
            <v>D2020/01745</v>
          </cell>
          <cell r="F326" t="str">
            <v>MAARKY THERMAL</v>
          </cell>
          <cell r="I326" t="str">
            <v>316L</v>
          </cell>
          <cell r="J326">
            <v>0.75</v>
          </cell>
          <cell r="K326">
            <v>2.8000000000000001E-2</v>
          </cell>
          <cell r="N326">
            <v>24.70833</v>
          </cell>
        </row>
        <row r="327">
          <cell r="A327" t="str">
            <v>D2020/02081</v>
          </cell>
          <cell r="F327" t="str">
            <v>H&amp;R TUBE</v>
          </cell>
          <cell r="I327" t="str">
            <v>304L</v>
          </cell>
          <cell r="J327">
            <v>1</v>
          </cell>
          <cell r="K327">
            <v>3.5000000000000003E-2</v>
          </cell>
          <cell r="N327">
            <v>20</v>
          </cell>
        </row>
        <row r="328">
          <cell r="A328" t="str">
            <v>D2020/01971</v>
          </cell>
          <cell r="F328" t="str">
            <v>H&amp;R TUBE</v>
          </cell>
          <cell r="I328" t="str">
            <v>304L</v>
          </cell>
          <cell r="J328">
            <v>1</v>
          </cell>
          <cell r="K328">
            <v>3.5000000000000003E-2</v>
          </cell>
          <cell r="N328">
            <v>12.25</v>
          </cell>
        </row>
        <row r="329">
          <cell r="A329" t="str">
            <v>D2020/02048</v>
          </cell>
          <cell r="F329" t="str">
            <v>HTTP</v>
          </cell>
          <cell r="I329" t="str">
            <v>316L</v>
          </cell>
          <cell r="J329">
            <v>0.75</v>
          </cell>
          <cell r="K329">
            <v>6.5000000000000002E-2</v>
          </cell>
          <cell r="N329">
            <v>41.442700000000002</v>
          </cell>
        </row>
        <row r="330">
          <cell r="A330" t="str">
            <v>D2020/02047</v>
          </cell>
          <cell r="F330" t="str">
            <v>HTTP</v>
          </cell>
          <cell r="I330" t="str">
            <v>316L</v>
          </cell>
          <cell r="J330">
            <v>0.75</v>
          </cell>
          <cell r="K330">
            <v>6.5000000000000002E-2</v>
          </cell>
          <cell r="N330">
            <v>39.609299999999998</v>
          </cell>
        </row>
        <row r="331">
          <cell r="A331" t="str">
            <v>D2020/02083</v>
          </cell>
          <cell r="F331" t="str">
            <v>HTTP</v>
          </cell>
          <cell r="I331" t="str">
            <v>N08367</v>
          </cell>
          <cell r="J331">
            <v>0.75</v>
          </cell>
          <cell r="K331">
            <v>6.5000000000000002E-2</v>
          </cell>
          <cell r="N331">
            <v>40.083300000000001</v>
          </cell>
        </row>
        <row r="332">
          <cell r="A332" t="str">
            <v>D2020/02082</v>
          </cell>
          <cell r="F332" t="str">
            <v>HTTP</v>
          </cell>
          <cell r="I332" t="str">
            <v>N08367</v>
          </cell>
          <cell r="J332">
            <v>0.75</v>
          </cell>
          <cell r="K332">
            <v>6.5000000000000002E-2</v>
          </cell>
          <cell r="N332">
            <v>12</v>
          </cell>
        </row>
        <row r="333">
          <cell r="A333" t="str">
            <v>D2020/02118</v>
          </cell>
          <cell r="F333" t="str">
            <v>JFD TUBE &amp; COIL</v>
          </cell>
          <cell r="I333" t="str">
            <v>304L</v>
          </cell>
          <cell r="J333">
            <v>0.75</v>
          </cell>
          <cell r="K333">
            <v>4.9000000000000002E-2</v>
          </cell>
          <cell r="N333">
            <v>24</v>
          </cell>
        </row>
        <row r="334">
          <cell r="A334" t="str">
            <v>D2020/02059</v>
          </cell>
          <cell r="F334" t="str">
            <v>H&amp;R TUBE</v>
          </cell>
          <cell r="I334" t="str">
            <v>304L</v>
          </cell>
          <cell r="J334">
            <v>1</v>
          </cell>
          <cell r="K334">
            <v>3.5000000000000003E-2</v>
          </cell>
          <cell r="N334">
            <v>16.25</v>
          </cell>
        </row>
        <row r="335">
          <cell r="A335" t="str">
            <v>D2020/02117</v>
          </cell>
          <cell r="F335" t="str">
            <v>UPMET</v>
          </cell>
          <cell r="I335" t="str">
            <v>A625</v>
          </cell>
          <cell r="J335">
            <v>1</v>
          </cell>
          <cell r="K335">
            <v>3.5999999999999997E-2</v>
          </cell>
          <cell r="N335">
            <v>10</v>
          </cell>
        </row>
        <row r="336">
          <cell r="A336" t="str">
            <v>D2021/00233</v>
          </cell>
          <cell r="F336" t="str">
            <v>HTTP</v>
          </cell>
          <cell r="I336" t="str">
            <v>304L</v>
          </cell>
          <cell r="J336">
            <v>0.75</v>
          </cell>
          <cell r="K336">
            <v>4.9000000000000002E-2</v>
          </cell>
          <cell r="N336">
            <v>15.5</v>
          </cell>
        </row>
        <row r="337">
          <cell r="A337" t="str">
            <v>D2020/01979</v>
          </cell>
          <cell r="F337" t="str">
            <v>TUBES INC TULSA</v>
          </cell>
          <cell r="I337">
            <v>2205</v>
          </cell>
          <cell r="J337">
            <v>1</v>
          </cell>
          <cell r="K337">
            <v>6.5000000000000002E-2</v>
          </cell>
          <cell r="N337">
            <v>43.9375</v>
          </cell>
        </row>
        <row r="338">
          <cell r="A338" t="str">
            <v>D2020/01978</v>
          </cell>
          <cell r="F338" t="str">
            <v>TUBES INC TULSA</v>
          </cell>
          <cell r="I338">
            <v>2205</v>
          </cell>
          <cell r="J338">
            <v>1</v>
          </cell>
          <cell r="K338">
            <v>6.5000000000000002E-2</v>
          </cell>
          <cell r="N338">
            <v>43.02</v>
          </cell>
        </row>
        <row r="339">
          <cell r="A339" t="str">
            <v>D2020/02084</v>
          </cell>
          <cell r="F339" t="str">
            <v>TUBES INC TULSA</v>
          </cell>
          <cell r="I339" t="str">
            <v>304L</v>
          </cell>
          <cell r="J339">
            <v>1.25</v>
          </cell>
          <cell r="K339">
            <v>6.5000000000000002E-2</v>
          </cell>
          <cell r="N339">
            <v>44</v>
          </cell>
        </row>
        <row r="340">
          <cell r="A340" t="str">
            <v>D2020/01977</v>
          </cell>
          <cell r="F340" t="str">
            <v>TUBES INC TULSA</v>
          </cell>
          <cell r="I340">
            <v>2205</v>
          </cell>
          <cell r="J340">
            <v>1</v>
          </cell>
          <cell r="K340">
            <v>6.5000000000000002E-2</v>
          </cell>
          <cell r="N340">
            <v>42.093000000000004</v>
          </cell>
        </row>
        <row r="341">
          <cell r="A341" t="str">
            <v>D2020/01976</v>
          </cell>
          <cell r="F341" t="str">
            <v>TUBES INC TULSA</v>
          </cell>
          <cell r="I341">
            <v>2205</v>
          </cell>
          <cell r="J341">
            <v>1</v>
          </cell>
          <cell r="K341">
            <v>6.5000000000000002E-2</v>
          </cell>
          <cell r="N341">
            <v>41.165999999999997</v>
          </cell>
        </row>
        <row r="342">
          <cell r="A342" t="str">
            <v>D2020/02156</v>
          </cell>
          <cell r="F342" t="str">
            <v>H&amp;R TUBE</v>
          </cell>
          <cell r="I342" t="str">
            <v>304L</v>
          </cell>
          <cell r="J342">
            <v>0.625</v>
          </cell>
          <cell r="K342">
            <v>3.5000000000000003E-2</v>
          </cell>
          <cell r="N342">
            <v>19.3125</v>
          </cell>
        </row>
        <row r="343">
          <cell r="A343" t="str">
            <v>D2020/02157</v>
          </cell>
          <cell r="F343" t="str">
            <v>H&amp;R TUBE</v>
          </cell>
          <cell r="I343" t="str">
            <v>304L</v>
          </cell>
          <cell r="J343">
            <v>0.625</v>
          </cell>
          <cell r="K343">
            <v>3.5000000000000003E-2</v>
          </cell>
          <cell r="N343">
            <v>19.724</v>
          </cell>
        </row>
        <row r="344">
          <cell r="A344" t="str">
            <v>D2021/00093</v>
          </cell>
          <cell r="F344" t="str">
            <v>TUBES INC TULSA</v>
          </cell>
          <cell r="I344">
            <v>347</v>
          </cell>
          <cell r="J344">
            <v>1</v>
          </cell>
          <cell r="K344">
            <v>6.5000000000000002E-2</v>
          </cell>
          <cell r="N344">
            <v>40</v>
          </cell>
        </row>
        <row r="345">
          <cell r="A345" t="str">
            <v>D2020/02158</v>
          </cell>
          <cell r="F345" t="str">
            <v>H&amp;R TUBE</v>
          </cell>
          <cell r="I345" t="str">
            <v>304L</v>
          </cell>
          <cell r="J345">
            <v>0.625</v>
          </cell>
          <cell r="K345">
            <v>3.5000000000000003E-2</v>
          </cell>
          <cell r="N345">
            <v>19.7865</v>
          </cell>
        </row>
        <row r="346">
          <cell r="A346" t="str">
            <v>D2020/01975</v>
          </cell>
          <cell r="F346" t="str">
            <v>TUBES INC TULSA</v>
          </cell>
          <cell r="I346">
            <v>2205</v>
          </cell>
          <cell r="J346">
            <v>1</v>
          </cell>
          <cell r="K346">
            <v>6.5000000000000002E-2</v>
          </cell>
          <cell r="N346">
            <v>40</v>
          </cell>
        </row>
        <row r="347">
          <cell r="A347" t="str">
            <v>D2021/00097</v>
          </cell>
          <cell r="F347" t="str">
            <v>TUBES INC TULSA</v>
          </cell>
          <cell r="I347">
            <v>347</v>
          </cell>
          <cell r="J347">
            <v>1</v>
          </cell>
          <cell r="K347">
            <v>6.5000000000000002E-2</v>
          </cell>
          <cell r="N347">
            <v>43.9375</v>
          </cell>
        </row>
        <row r="348">
          <cell r="A348" t="str">
            <v>D2021/00096</v>
          </cell>
          <cell r="F348" t="str">
            <v>TUBES INC TULSA</v>
          </cell>
          <cell r="I348">
            <v>347</v>
          </cell>
          <cell r="J348">
            <v>1</v>
          </cell>
          <cell r="K348">
            <v>6.5000000000000002E-2</v>
          </cell>
          <cell r="N348">
            <v>43.02</v>
          </cell>
        </row>
        <row r="349">
          <cell r="A349" t="str">
            <v>D2021/00095</v>
          </cell>
          <cell r="F349" t="str">
            <v>TUBES INC TULSA</v>
          </cell>
          <cell r="I349">
            <v>347</v>
          </cell>
          <cell r="J349">
            <v>1</v>
          </cell>
          <cell r="K349">
            <v>6.5000000000000002E-2</v>
          </cell>
          <cell r="N349">
            <v>42.093000000000004</v>
          </cell>
        </row>
        <row r="350">
          <cell r="A350" t="str">
            <v>D2021/00094</v>
          </cell>
          <cell r="F350" t="str">
            <v>TUBES INC TULSA</v>
          </cell>
          <cell r="I350">
            <v>347</v>
          </cell>
          <cell r="J350">
            <v>1</v>
          </cell>
          <cell r="K350">
            <v>6.5000000000000002E-2</v>
          </cell>
          <cell r="N350">
            <v>41.165999999999997</v>
          </cell>
        </row>
        <row r="351">
          <cell r="A351" t="str">
            <v>D2021/00250</v>
          </cell>
          <cell r="F351" t="str">
            <v>H&amp;R TUBE</v>
          </cell>
          <cell r="I351" t="str">
            <v>304L</v>
          </cell>
          <cell r="J351">
            <v>0.625</v>
          </cell>
          <cell r="K351">
            <v>3.5000000000000003E-2</v>
          </cell>
          <cell r="N351">
            <v>27</v>
          </cell>
        </row>
        <row r="352">
          <cell r="A352" t="str">
            <v>D2021/00340</v>
          </cell>
          <cell r="F352" t="str">
            <v>H&amp;R TUBE</v>
          </cell>
          <cell r="I352" t="str">
            <v>304L</v>
          </cell>
          <cell r="J352">
            <v>1</v>
          </cell>
          <cell r="K352">
            <v>3.5000000000000003E-2</v>
          </cell>
          <cell r="N352">
            <v>20</v>
          </cell>
        </row>
        <row r="353">
          <cell r="A353" t="str">
            <v>D2021/00335</v>
          </cell>
          <cell r="F353" t="str">
            <v>H&amp;R TUBE</v>
          </cell>
          <cell r="I353" t="str">
            <v>304L</v>
          </cell>
          <cell r="J353">
            <v>0.625</v>
          </cell>
          <cell r="K353">
            <v>3.5000000000000003E-2</v>
          </cell>
          <cell r="N353">
            <v>15.25</v>
          </cell>
        </row>
        <row r="354">
          <cell r="A354" t="str">
            <v>D2021/00339</v>
          </cell>
          <cell r="F354" t="str">
            <v>H&amp;R TUBE</v>
          </cell>
          <cell r="I354" t="str">
            <v>304L</v>
          </cell>
          <cell r="J354">
            <v>1</v>
          </cell>
          <cell r="K354">
            <v>3.5000000000000003E-2</v>
          </cell>
          <cell r="N354">
            <v>16.25</v>
          </cell>
        </row>
        <row r="355">
          <cell r="A355" t="str">
            <v>D2021/00341</v>
          </cell>
          <cell r="F355" t="str">
            <v>H&amp;R TUBE</v>
          </cell>
          <cell r="I355" t="str">
            <v>304L</v>
          </cell>
          <cell r="J355">
            <v>1</v>
          </cell>
          <cell r="K355">
            <v>3.5000000000000003E-2</v>
          </cell>
          <cell r="N355">
            <v>12.25</v>
          </cell>
        </row>
        <row r="356">
          <cell r="A356" t="str">
            <v>D2021/00342</v>
          </cell>
          <cell r="F356" t="str">
            <v>H&amp;R TUBE</v>
          </cell>
          <cell r="I356" t="str">
            <v>304L</v>
          </cell>
          <cell r="J356">
            <v>1</v>
          </cell>
          <cell r="K356">
            <v>3.5000000000000003E-2</v>
          </cell>
          <cell r="N356">
            <v>12.25</v>
          </cell>
        </row>
        <row r="357">
          <cell r="A357" t="str">
            <v>D2021/00336</v>
          </cell>
          <cell r="F357" t="str">
            <v>H&amp;R TUBE</v>
          </cell>
          <cell r="I357" t="str">
            <v>304L</v>
          </cell>
          <cell r="J357">
            <v>0.625</v>
          </cell>
          <cell r="K357">
            <v>3.5000000000000003E-2</v>
          </cell>
          <cell r="N357">
            <v>15.04166</v>
          </cell>
        </row>
        <row r="358">
          <cell r="A358" t="str">
            <v>D2021/00347</v>
          </cell>
          <cell r="F358" t="str">
            <v>TUBES INC TULSA</v>
          </cell>
          <cell r="I358" t="str">
            <v>304L</v>
          </cell>
          <cell r="J358">
            <v>1</v>
          </cell>
          <cell r="K358">
            <v>4.9000000000000002E-2</v>
          </cell>
          <cell r="N358">
            <v>8</v>
          </cell>
        </row>
        <row r="359">
          <cell r="A359" t="str">
            <v>D2021/00346</v>
          </cell>
          <cell r="F359" t="str">
            <v>HTTP</v>
          </cell>
          <cell r="I359" t="str">
            <v>304L</v>
          </cell>
          <cell r="J359">
            <v>1</v>
          </cell>
          <cell r="K359">
            <v>4.9000000000000002E-2</v>
          </cell>
          <cell r="N359">
            <v>12</v>
          </cell>
        </row>
        <row r="360">
          <cell r="A360" t="str">
            <v>D2020/02122</v>
          </cell>
          <cell r="F360" t="str">
            <v>H&amp;R TUBE</v>
          </cell>
          <cell r="I360" t="str">
            <v>304L</v>
          </cell>
          <cell r="J360">
            <v>0.625</v>
          </cell>
          <cell r="K360">
            <v>3.5000000000000003E-2</v>
          </cell>
          <cell r="N360">
            <v>24</v>
          </cell>
        </row>
        <row r="361">
          <cell r="A361" t="str">
            <v>D2020/02123</v>
          </cell>
          <cell r="F361" t="str">
            <v>H&amp;R TUBE</v>
          </cell>
          <cell r="I361" t="str">
            <v>304L</v>
          </cell>
          <cell r="J361">
            <v>0.625</v>
          </cell>
          <cell r="K361">
            <v>3.5000000000000003E-2</v>
          </cell>
          <cell r="N361">
            <v>20</v>
          </cell>
        </row>
        <row r="362">
          <cell r="A362" t="str">
            <v>D2021/00268</v>
          </cell>
          <cell r="F362" t="str">
            <v>HTTP</v>
          </cell>
          <cell r="I362" t="str">
            <v>304L</v>
          </cell>
          <cell r="J362">
            <v>0.625</v>
          </cell>
          <cell r="K362">
            <v>4.9000000000000002E-2</v>
          </cell>
          <cell r="N362">
            <v>23.166599999999999</v>
          </cell>
        </row>
        <row r="363">
          <cell r="A363" t="str">
            <v>D2021/00343</v>
          </cell>
          <cell r="F363" t="str">
            <v>H&amp;R TUBE</v>
          </cell>
          <cell r="I363" t="str">
            <v>304L</v>
          </cell>
          <cell r="J363">
            <v>1</v>
          </cell>
          <cell r="K363">
            <v>3.5000000000000003E-2</v>
          </cell>
          <cell r="N363">
            <v>20</v>
          </cell>
        </row>
        <row r="364">
          <cell r="A364" t="str">
            <v>D2021/00077</v>
          </cell>
          <cell r="F364" t="str">
            <v>PAC STAINLESS</v>
          </cell>
          <cell r="I364" t="str">
            <v>A800HT</v>
          </cell>
          <cell r="J364">
            <v>1.25</v>
          </cell>
          <cell r="K364">
            <v>2.8000000000000001E-2</v>
          </cell>
          <cell r="N364">
            <v>20</v>
          </cell>
        </row>
        <row r="365">
          <cell r="A365" t="str">
            <v>D2021/00344</v>
          </cell>
          <cell r="F365" t="str">
            <v>H&amp;R TUBE</v>
          </cell>
          <cell r="I365" t="str">
            <v>304L</v>
          </cell>
          <cell r="J365">
            <v>1</v>
          </cell>
          <cell r="K365">
            <v>3.5000000000000003E-2</v>
          </cell>
          <cell r="N365">
            <v>16.25</v>
          </cell>
        </row>
        <row r="366">
          <cell r="A366" t="str">
            <v>D2021/00345</v>
          </cell>
          <cell r="F366" t="str">
            <v>H&amp;R TUBE</v>
          </cell>
          <cell r="I366" t="str">
            <v>304L</v>
          </cell>
          <cell r="J366">
            <v>1</v>
          </cell>
          <cell r="K366">
            <v>3.5000000000000003E-2</v>
          </cell>
          <cell r="N366">
            <v>12.25</v>
          </cell>
        </row>
        <row r="367">
          <cell r="A367" t="str">
            <v>D2021/00552</v>
          </cell>
          <cell r="F367" t="str">
            <v>HTTP</v>
          </cell>
          <cell r="I367" t="str">
            <v>316L</v>
          </cell>
          <cell r="J367">
            <v>1.25</v>
          </cell>
          <cell r="K367">
            <v>6.5000000000000002E-2</v>
          </cell>
          <cell r="N367">
            <v>26</v>
          </cell>
        </row>
        <row r="368">
          <cell r="A368" t="str">
            <v>D2021/00553</v>
          </cell>
          <cell r="F368" t="str">
            <v>HTTP</v>
          </cell>
          <cell r="I368" t="str">
            <v>316L</v>
          </cell>
          <cell r="J368">
            <v>1.25</v>
          </cell>
          <cell r="K368">
            <v>6.5000000000000002E-2</v>
          </cell>
          <cell r="N368">
            <v>48.083300000000001</v>
          </cell>
        </row>
        <row r="369">
          <cell r="A369" t="str">
            <v>D2020/01695</v>
          </cell>
          <cell r="F369" t="str">
            <v>TUBES INC TULSA</v>
          </cell>
          <cell r="I369" t="str">
            <v>317L</v>
          </cell>
          <cell r="J369">
            <v>0.75</v>
          </cell>
          <cell r="K369">
            <v>6.5000000000000002E-2</v>
          </cell>
          <cell r="N369">
            <v>47</v>
          </cell>
        </row>
        <row r="370">
          <cell r="A370" t="str">
            <v>D2021/00585</v>
          </cell>
          <cell r="F370" t="str">
            <v>HTTP</v>
          </cell>
          <cell r="I370" t="str">
            <v>304L</v>
          </cell>
          <cell r="J370">
            <v>1.25</v>
          </cell>
          <cell r="K370">
            <v>4.9000000000000002E-2</v>
          </cell>
          <cell r="N370">
            <v>42</v>
          </cell>
        </row>
        <row r="371">
          <cell r="A371" t="str">
            <v>D2021/00617</v>
          </cell>
          <cell r="F371" t="str">
            <v>TUBES INC TULSA</v>
          </cell>
          <cell r="I371" t="str">
            <v>317L</v>
          </cell>
          <cell r="J371">
            <v>0.75</v>
          </cell>
          <cell r="K371">
            <v>6.5000000000000002E-2</v>
          </cell>
          <cell r="N371">
            <v>47</v>
          </cell>
        </row>
        <row r="372">
          <cell r="A372" t="str">
            <v>D2021/00234</v>
          </cell>
          <cell r="F372" t="str">
            <v>HTTP</v>
          </cell>
          <cell r="I372" t="str">
            <v>304L</v>
          </cell>
          <cell r="J372">
            <v>0.75</v>
          </cell>
          <cell r="K372">
            <v>4.9000000000000002E-2</v>
          </cell>
          <cell r="N372">
            <v>10.5</v>
          </cell>
        </row>
        <row r="373">
          <cell r="A373" t="str">
            <v>D2021/00235</v>
          </cell>
          <cell r="F373" t="str">
            <v>HTTP</v>
          </cell>
          <cell r="I373" t="str">
            <v>304L</v>
          </cell>
          <cell r="J373">
            <v>0.75</v>
          </cell>
          <cell r="K373">
            <v>4.9000000000000002E-2</v>
          </cell>
          <cell r="N373">
            <v>10.5</v>
          </cell>
        </row>
        <row r="374">
          <cell r="A374" t="str">
            <v>D2021/00382</v>
          </cell>
          <cell r="F374" t="str">
            <v>TUBES INC TULSA</v>
          </cell>
          <cell r="I374" t="str">
            <v>316L</v>
          </cell>
          <cell r="J374">
            <v>1</v>
          </cell>
          <cell r="K374">
            <v>6.5000000000000002E-2</v>
          </cell>
          <cell r="N374">
            <v>10</v>
          </cell>
        </row>
        <row r="375">
          <cell r="A375" t="str">
            <v>D2021/00236</v>
          </cell>
          <cell r="F375" t="str">
            <v>HTTP</v>
          </cell>
          <cell r="I375" t="str">
            <v>304L</v>
          </cell>
          <cell r="J375">
            <v>0.75</v>
          </cell>
          <cell r="K375">
            <v>4.9000000000000002E-2</v>
          </cell>
          <cell r="N375">
            <v>12</v>
          </cell>
        </row>
        <row r="376">
          <cell r="A376" t="str">
            <v>D2021/00237</v>
          </cell>
          <cell r="F376" t="str">
            <v>HTTP</v>
          </cell>
          <cell r="I376" t="str">
            <v>304L</v>
          </cell>
          <cell r="J376">
            <v>0.75</v>
          </cell>
          <cell r="K376">
            <v>4.9000000000000002E-2</v>
          </cell>
          <cell r="N376">
            <v>12.786</v>
          </cell>
        </row>
        <row r="377">
          <cell r="A377" t="str">
            <v>D2021/00548</v>
          </cell>
          <cell r="F377" t="str">
            <v>HTTP</v>
          </cell>
          <cell r="I377" t="str">
            <v>304L</v>
          </cell>
          <cell r="J377">
            <v>0.75</v>
          </cell>
          <cell r="K377">
            <v>4.9000000000000002E-2</v>
          </cell>
          <cell r="N377">
            <v>42.510399999999997</v>
          </cell>
        </row>
        <row r="378">
          <cell r="A378" t="str">
            <v>D2021/00554</v>
          </cell>
          <cell r="F378" t="str">
            <v>H&amp;R TUBE</v>
          </cell>
          <cell r="I378" t="str">
            <v>304L</v>
          </cell>
          <cell r="J378">
            <v>1</v>
          </cell>
          <cell r="K378">
            <v>3.5000000000000003E-2</v>
          </cell>
          <cell r="N378">
            <v>20</v>
          </cell>
        </row>
        <row r="379">
          <cell r="A379" t="str">
            <v>D2021/00387</v>
          </cell>
          <cell r="F379" t="str">
            <v>H&amp;R TUBE</v>
          </cell>
          <cell r="I379" t="str">
            <v>304L</v>
          </cell>
          <cell r="J379">
            <v>0.625</v>
          </cell>
          <cell r="K379">
            <v>3.5000000000000003E-2</v>
          </cell>
          <cell r="N379">
            <v>15.34375</v>
          </cell>
        </row>
        <row r="380">
          <cell r="A380" t="str">
            <v>D2021/00547</v>
          </cell>
          <cell r="F380" t="str">
            <v>HTTP</v>
          </cell>
          <cell r="I380" t="str">
            <v>304L</v>
          </cell>
          <cell r="J380">
            <v>0.75</v>
          </cell>
          <cell r="K380">
            <v>4.9000000000000002E-2</v>
          </cell>
          <cell r="N380">
            <v>41.036450000000002</v>
          </cell>
        </row>
        <row r="381">
          <cell r="A381" t="str">
            <v>D2021/00555</v>
          </cell>
          <cell r="F381" t="str">
            <v>H&amp;R TUBE</v>
          </cell>
          <cell r="I381" t="str">
            <v>304L</v>
          </cell>
          <cell r="J381">
            <v>1</v>
          </cell>
          <cell r="K381">
            <v>3.5000000000000003E-2</v>
          </cell>
          <cell r="N381">
            <v>16.25</v>
          </cell>
        </row>
        <row r="382">
          <cell r="A382" t="str">
            <v>D2021/00383</v>
          </cell>
          <cell r="F382" t="str">
            <v>KAM THERMAL</v>
          </cell>
          <cell r="I382" t="str">
            <v>304L</v>
          </cell>
          <cell r="J382">
            <v>0.75</v>
          </cell>
          <cell r="K382">
            <v>4.9000000000000002E-2</v>
          </cell>
          <cell r="N382">
            <v>20</v>
          </cell>
        </row>
        <row r="383">
          <cell r="A383" t="str">
            <v>D2021/00386</v>
          </cell>
          <cell r="F383" t="str">
            <v>H&amp;R TUBE</v>
          </cell>
          <cell r="I383" t="str">
            <v>304L</v>
          </cell>
          <cell r="J383">
            <v>0.625</v>
          </cell>
          <cell r="K383">
            <v>3.5000000000000003E-2</v>
          </cell>
          <cell r="N383">
            <v>15.24483</v>
          </cell>
        </row>
        <row r="384">
          <cell r="A384" t="str">
            <v>D2021/00586</v>
          </cell>
          <cell r="F384" t="str">
            <v>HTTP</v>
          </cell>
          <cell r="I384" t="str">
            <v>304L</v>
          </cell>
          <cell r="J384">
            <v>0.75</v>
          </cell>
          <cell r="K384">
            <v>4.9000000000000002E-2</v>
          </cell>
          <cell r="N384">
            <v>42</v>
          </cell>
        </row>
        <row r="385">
          <cell r="A385" t="str">
            <v>D2021/00589</v>
          </cell>
          <cell r="F385" t="str">
            <v>HT INDUSTRIAL</v>
          </cell>
          <cell r="I385" t="str">
            <v>304L</v>
          </cell>
          <cell r="J385">
            <v>0.75</v>
          </cell>
          <cell r="K385">
            <v>4.9000000000000002E-2</v>
          </cell>
          <cell r="N385">
            <v>14</v>
          </cell>
        </row>
        <row r="386">
          <cell r="A386" t="str">
            <v>D2021/00337</v>
          </cell>
          <cell r="F386" t="str">
            <v>H&amp;R TUBE</v>
          </cell>
          <cell r="I386" t="str">
            <v>N08367</v>
          </cell>
          <cell r="J386">
            <v>0.625</v>
          </cell>
          <cell r="K386">
            <v>3.5000000000000003E-2</v>
          </cell>
          <cell r="N386">
            <v>20</v>
          </cell>
        </row>
        <row r="387">
          <cell r="A387" t="str">
            <v>D2021/00338</v>
          </cell>
          <cell r="F387" t="str">
            <v>H&amp;R TUBE</v>
          </cell>
          <cell r="I387" t="str">
            <v>N08367</v>
          </cell>
          <cell r="J387">
            <v>0.625</v>
          </cell>
          <cell r="K387">
            <v>3.5000000000000003E-2</v>
          </cell>
          <cell r="N387">
            <v>24</v>
          </cell>
        </row>
        <row r="388">
          <cell r="A388" t="str">
            <v>D2021/00385</v>
          </cell>
          <cell r="F388" t="str">
            <v>H&amp;R TUBE</v>
          </cell>
          <cell r="I388" t="str">
            <v>304L</v>
          </cell>
          <cell r="J388">
            <v>0.625</v>
          </cell>
          <cell r="K388">
            <v>3.5000000000000003E-2</v>
          </cell>
          <cell r="N388">
            <v>14.96875</v>
          </cell>
        </row>
        <row r="389">
          <cell r="A389" t="str">
            <v>D2021/00551</v>
          </cell>
          <cell r="F389" t="str">
            <v>HTTP</v>
          </cell>
          <cell r="I389" t="str">
            <v>316L</v>
          </cell>
          <cell r="J389">
            <v>0.75</v>
          </cell>
          <cell r="K389">
            <v>6.5000000000000002E-2</v>
          </cell>
          <cell r="N389">
            <v>44.75</v>
          </cell>
        </row>
        <row r="390">
          <cell r="A390" t="str">
            <v>D2021/00550</v>
          </cell>
          <cell r="F390" t="str">
            <v>HTTP</v>
          </cell>
          <cell r="I390" t="str">
            <v>316L</v>
          </cell>
          <cell r="J390">
            <v>0.75</v>
          </cell>
          <cell r="K390">
            <v>6.5000000000000002E-2</v>
          </cell>
          <cell r="N390">
            <v>43.75</v>
          </cell>
        </row>
        <row r="391">
          <cell r="A391" t="str">
            <v>D2021/00584</v>
          </cell>
          <cell r="F391" t="str">
            <v>HTTP</v>
          </cell>
          <cell r="I391" t="str">
            <v>304L</v>
          </cell>
          <cell r="J391">
            <v>1.5</v>
          </cell>
          <cell r="K391">
            <v>4.9000000000000002E-2</v>
          </cell>
          <cell r="N391">
            <v>42</v>
          </cell>
        </row>
        <row r="392">
          <cell r="A392" t="str">
            <v>D2021/00744</v>
          </cell>
          <cell r="F392" t="str">
            <v>HT INDUSTRIAL</v>
          </cell>
          <cell r="I392" t="str">
            <v>304L</v>
          </cell>
          <cell r="J392">
            <v>0.75</v>
          </cell>
          <cell r="K392">
            <v>4.9000000000000002E-2</v>
          </cell>
          <cell r="N392">
            <v>14</v>
          </cell>
        </row>
        <row r="393">
          <cell r="A393" t="str">
            <v>D2021/00607</v>
          </cell>
          <cell r="F393" t="str">
            <v>INDUSTRIAS GUTIERREZ</v>
          </cell>
          <cell r="I393" t="str">
            <v>304L</v>
          </cell>
          <cell r="J393">
            <v>1</v>
          </cell>
          <cell r="K393">
            <v>6.5000000000000002E-2</v>
          </cell>
          <cell r="N393">
            <v>21</v>
          </cell>
        </row>
        <row r="394">
          <cell r="A394" t="str">
            <v>D2021/00384</v>
          </cell>
          <cell r="F394" t="str">
            <v>HTTP</v>
          </cell>
          <cell r="I394" t="str">
            <v>316L</v>
          </cell>
          <cell r="J394">
            <v>1.5</v>
          </cell>
          <cell r="K394">
            <v>4.9000000000000002E-2</v>
          </cell>
          <cell r="N394">
            <v>6.6666600000000003</v>
          </cell>
        </row>
        <row r="395">
          <cell r="A395" t="str">
            <v>D2021/00611</v>
          </cell>
          <cell r="F395" t="str">
            <v>INDUSTRIAS GUTIERREZ</v>
          </cell>
          <cell r="I395" t="str">
            <v>304L</v>
          </cell>
          <cell r="J395">
            <v>1</v>
          </cell>
          <cell r="K395">
            <v>6.5000000000000002E-2</v>
          </cell>
          <cell r="N395">
            <v>21</v>
          </cell>
        </row>
        <row r="396">
          <cell r="A396" t="str">
            <v>D2021/00698</v>
          </cell>
          <cell r="F396" t="str">
            <v>LUNDBERG, LCC</v>
          </cell>
          <cell r="I396" t="str">
            <v>304L</v>
          </cell>
          <cell r="J396">
            <v>1</v>
          </cell>
          <cell r="K396">
            <v>6.5000000000000002E-2</v>
          </cell>
          <cell r="N396">
            <v>20</v>
          </cell>
        </row>
        <row r="397">
          <cell r="A397" t="str">
            <v>D2021/00608</v>
          </cell>
          <cell r="F397" t="str">
            <v>HTTP</v>
          </cell>
          <cell r="I397" t="str">
            <v>316L</v>
          </cell>
          <cell r="J397">
            <v>1</v>
          </cell>
          <cell r="K397">
            <v>8.3000000000000004E-2</v>
          </cell>
          <cell r="N397">
            <v>32</v>
          </cell>
        </row>
        <row r="398">
          <cell r="A398" t="str">
            <v>D2021/00789</v>
          </cell>
          <cell r="F398" t="str">
            <v>MEE INDUSTRIES</v>
          </cell>
          <cell r="I398" t="str">
            <v>316L</v>
          </cell>
          <cell r="J398">
            <v>1</v>
          </cell>
          <cell r="K398">
            <v>8.3000000000000004E-2</v>
          </cell>
          <cell r="N398">
            <v>20</v>
          </cell>
        </row>
        <row r="399">
          <cell r="A399" t="str">
            <v>D2021/00609</v>
          </cell>
          <cell r="F399" t="str">
            <v>H&amp;R TUBE</v>
          </cell>
          <cell r="I399" t="str">
            <v>304L</v>
          </cell>
          <cell r="J399">
            <v>1</v>
          </cell>
          <cell r="K399">
            <v>3.5000000000000003E-2</v>
          </cell>
          <cell r="N399">
            <v>20</v>
          </cell>
        </row>
        <row r="400">
          <cell r="A400" t="str">
            <v>D2021/00610</v>
          </cell>
          <cell r="F400" t="str">
            <v>H&amp;R TUBE</v>
          </cell>
          <cell r="I400" t="str">
            <v>304L</v>
          </cell>
          <cell r="J400">
            <v>1</v>
          </cell>
          <cell r="K400">
            <v>3.5000000000000003E-2</v>
          </cell>
          <cell r="N400">
            <v>16.25</v>
          </cell>
        </row>
        <row r="401">
          <cell r="A401" t="str">
            <v>D2021/00388</v>
          </cell>
          <cell r="F401" t="str">
            <v>UPMET</v>
          </cell>
          <cell r="I401" t="str">
            <v>A625</v>
          </cell>
          <cell r="J401">
            <v>1</v>
          </cell>
          <cell r="K401">
            <v>4.9000000000000002E-2</v>
          </cell>
          <cell r="N401">
            <v>10</v>
          </cell>
        </row>
        <row r="402">
          <cell r="A402" t="str">
            <v>D2021/00962</v>
          </cell>
          <cell r="F402" t="str">
            <v>HTTP</v>
          </cell>
          <cell r="I402" t="str">
            <v>304L</v>
          </cell>
          <cell r="J402">
            <v>1</v>
          </cell>
          <cell r="K402">
            <v>6.5000000000000002E-2</v>
          </cell>
          <cell r="N402">
            <v>14</v>
          </cell>
        </row>
        <row r="403">
          <cell r="A403" t="str">
            <v>D2021/00549</v>
          </cell>
          <cell r="F403" t="str">
            <v>MEE INDUSTRIES</v>
          </cell>
          <cell r="I403" t="str">
            <v>316L</v>
          </cell>
          <cell r="J403">
            <v>0.5</v>
          </cell>
          <cell r="K403">
            <v>3.5000000000000003E-2</v>
          </cell>
          <cell r="N403">
            <v>20</v>
          </cell>
        </row>
        <row r="404">
          <cell r="A404" t="str">
            <v>D2021/00786</v>
          </cell>
          <cell r="F404" t="str">
            <v>ADVANCED COIL</v>
          </cell>
          <cell r="I404" t="str">
            <v>304L</v>
          </cell>
          <cell r="J404">
            <v>0.5</v>
          </cell>
          <cell r="K404">
            <v>3.5000000000000003E-2</v>
          </cell>
          <cell r="N404">
            <v>20</v>
          </cell>
        </row>
        <row r="405">
          <cell r="A405" t="str">
            <v>D2021/00970</v>
          </cell>
          <cell r="F405" t="str">
            <v>H&amp;R TUBE</v>
          </cell>
          <cell r="I405" t="str">
            <v>304L</v>
          </cell>
          <cell r="J405">
            <v>0.5</v>
          </cell>
          <cell r="K405">
            <v>3.5000000000000003E-2</v>
          </cell>
          <cell r="N405">
            <v>20</v>
          </cell>
        </row>
        <row r="406">
          <cell r="A406" t="str">
            <v>D2021/00788</v>
          </cell>
          <cell r="F406" t="str">
            <v>H&amp;R TUBE</v>
          </cell>
          <cell r="I406" t="str">
            <v>304L</v>
          </cell>
          <cell r="J406">
            <v>0.625</v>
          </cell>
          <cell r="K406">
            <v>3.5000000000000003E-2</v>
          </cell>
          <cell r="N406">
            <v>24</v>
          </cell>
        </row>
        <row r="407">
          <cell r="A407" t="str">
            <v>D2021/00877</v>
          </cell>
          <cell r="F407" t="str">
            <v>H&amp;R TUBE</v>
          </cell>
          <cell r="I407" t="str">
            <v>304L</v>
          </cell>
          <cell r="J407">
            <v>0.625</v>
          </cell>
          <cell r="K407">
            <v>3.5000000000000003E-2</v>
          </cell>
          <cell r="N407">
            <v>24</v>
          </cell>
        </row>
        <row r="408">
          <cell r="A408" t="str">
            <v>D2021/00969</v>
          </cell>
          <cell r="F408" t="str">
            <v>H&amp;R TUBE</v>
          </cell>
          <cell r="I408" t="str">
            <v>304L</v>
          </cell>
          <cell r="J408">
            <v>0.625</v>
          </cell>
          <cell r="K408">
            <v>3.5000000000000003E-2</v>
          </cell>
          <cell r="N408">
            <v>15.0885</v>
          </cell>
        </row>
        <row r="409">
          <cell r="A409" t="str">
            <v>D2021/01102</v>
          </cell>
          <cell r="F409" t="str">
            <v>H&amp;R TUBE</v>
          </cell>
          <cell r="I409" t="str">
            <v>304L</v>
          </cell>
          <cell r="J409">
            <v>0.625</v>
          </cell>
          <cell r="K409">
            <v>3.5000000000000003E-2</v>
          </cell>
          <cell r="N409">
            <v>24</v>
          </cell>
        </row>
        <row r="410">
          <cell r="A410" t="str">
            <v>D2021/00889</v>
          </cell>
          <cell r="F410" t="str">
            <v>HTTP</v>
          </cell>
          <cell r="I410" t="str">
            <v>304L</v>
          </cell>
          <cell r="J410">
            <v>0.625</v>
          </cell>
          <cell r="K410">
            <v>3.5000000000000003E-2</v>
          </cell>
          <cell r="N410">
            <v>13</v>
          </cell>
        </row>
        <row r="411">
          <cell r="A411" t="str">
            <v>D2021/00968</v>
          </cell>
          <cell r="F411" t="str">
            <v>H&amp;R TUBE</v>
          </cell>
          <cell r="I411" t="str">
            <v>304L</v>
          </cell>
          <cell r="J411">
            <v>0.625</v>
          </cell>
          <cell r="K411">
            <v>3.5000000000000003E-2</v>
          </cell>
          <cell r="N411">
            <v>14.3385</v>
          </cell>
        </row>
        <row r="412">
          <cell r="A412" t="str">
            <v>D2021/00717</v>
          </cell>
          <cell r="F412" t="str">
            <v>H&amp;R TUBE</v>
          </cell>
          <cell r="I412" t="str">
            <v>304L</v>
          </cell>
          <cell r="J412">
            <v>0.625</v>
          </cell>
          <cell r="K412">
            <v>3.5000000000000003E-2</v>
          </cell>
          <cell r="N412">
            <v>20</v>
          </cell>
        </row>
        <row r="413">
          <cell r="A413" t="str">
            <v>D2021/00878</v>
          </cell>
          <cell r="F413" t="str">
            <v>H&amp;R TUBE</v>
          </cell>
          <cell r="I413" t="str">
            <v>304L</v>
          </cell>
          <cell r="J413">
            <v>0.625</v>
          </cell>
          <cell r="K413">
            <v>3.5000000000000003E-2</v>
          </cell>
          <cell r="N413">
            <v>20</v>
          </cell>
        </row>
        <row r="414">
          <cell r="A414" t="str">
            <v>D2021/00872</v>
          </cell>
          <cell r="F414" t="str">
            <v>HTTP</v>
          </cell>
          <cell r="I414" t="str">
            <v>304L</v>
          </cell>
          <cell r="J414">
            <v>0.75</v>
          </cell>
          <cell r="K414">
            <v>4.9000000000000002E-2</v>
          </cell>
          <cell r="N414">
            <v>45.0625</v>
          </cell>
        </row>
        <row r="415">
          <cell r="A415" t="str">
            <v>D2021/00873</v>
          </cell>
          <cell r="F415" t="str">
            <v>HTTP</v>
          </cell>
          <cell r="I415" t="str">
            <v>304L</v>
          </cell>
          <cell r="J415">
            <v>0.75</v>
          </cell>
          <cell r="K415">
            <v>4.9000000000000002E-2</v>
          </cell>
          <cell r="N415">
            <v>46.854100000000003</v>
          </cell>
        </row>
        <row r="416">
          <cell r="A416" t="str">
            <v>D2021/00918</v>
          </cell>
          <cell r="F416" t="str">
            <v>KAM THERMAL</v>
          </cell>
          <cell r="I416" t="str">
            <v>316L</v>
          </cell>
          <cell r="J416">
            <v>0.625</v>
          </cell>
          <cell r="K416">
            <v>4.9000000000000002E-2</v>
          </cell>
          <cell r="N416">
            <v>10</v>
          </cell>
        </row>
        <row r="417">
          <cell r="A417" t="str">
            <v>D2021/01103</v>
          </cell>
          <cell r="F417" t="str">
            <v>RUBICON</v>
          </cell>
          <cell r="I417" t="str">
            <v>304L</v>
          </cell>
          <cell r="J417">
            <v>0.75</v>
          </cell>
          <cell r="K417">
            <v>4.9000000000000002E-2</v>
          </cell>
          <cell r="N417">
            <v>16</v>
          </cell>
        </row>
        <row r="418">
          <cell r="A418" t="str">
            <v>D2021/01219</v>
          </cell>
          <cell r="F418" t="str">
            <v>H&amp;R TUBE</v>
          </cell>
          <cell r="I418" t="str">
            <v>316L</v>
          </cell>
          <cell r="J418">
            <v>0.625</v>
          </cell>
          <cell r="K418">
            <v>4.9000000000000002E-2</v>
          </cell>
          <cell r="N418">
            <v>24</v>
          </cell>
        </row>
        <row r="419">
          <cell r="A419" t="str">
            <v>D2021/00915</v>
          </cell>
          <cell r="F419" t="str">
            <v>RUBICON</v>
          </cell>
          <cell r="I419" t="str">
            <v>316L</v>
          </cell>
          <cell r="J419">
            <v>0.75</v>
          </cell>
          <cell r="K419">
            <v>4.9000000000000002E-2</v>
          </cell>
          <cell r="N419">
            <v>8</v>
          </cell>
        </row>
        <row r="420">
          <cell r="A420" t="str">
            <v>D2021/00916</v>
          </cell>
          <cell r="F420" t="str">
            <v>RUBICON</v>
          </cell>
          <cell r="I420" t="str">
            <v>316L</v>
          </cell>
          <cell r="J420">
            <v>0.75</v>
          </cell>
          <cell r="K420">
            <v>4.9000000000000002E-2</v>
          </cell>
          <cell r="N420">
            <v>14</v>
          </cell>
        </row>
        <row r="421">
          <cell r="A421" t="str">
            <v>D2021/00917</v>
          </cell>
          <cell r="F421" t="str">
            <v>RUBICON</v>
          </cell>
          <cell r="I421" t="str">
            <v>304L</v>
          </cell>
          <cell r="J421">
            <v>0.75</v>
          </cell>
          <cell r="K421">
            <v>4.9000000000000002E-2</v>
          </cell>
          <cell r="N421">
            <v>12</v>
          </cell>
        </row>
        <row r="422">
          <cell r="A422" t="str">
            <v>D2021/00964</v>
          </cell>
          <cell r="F422" t="str">
            <v>GRAHAM</v>
          </cell>
          <cell r="I422" t="str">
            <v>316L</v>
          </cell>
          <cell r="J422">
            <v>0.75</v>
          </cell>
          <cell r="K422">
            <v>4.9000000000000002E-2</v>
          </cell>
          <cell r="N422">
            <v>12</v>
          </cell>
        </row>
        <row r="423">
          <cell r="A423" t="str">
            <v>D2021/01104</v>
          </cell>
          <cell r="F423" t="str">
            <v>RUBICON</v>
          </cell>
          <cell r="I423" t="str">
            <v>316L</v>
          </cell>
          <cell r="J423">
            <v>0.75</v>
          </cell>
          <cell r="K423">
            <v>4.9000000000000002E-2</v>
          </cell>
          <cell r="N423">
            <v>12</v>
          </cell>
        </row>
        <row r="424">
          <cell r="A424" t="str">
            <v>D2021/01290</v>
          </cell>
          <cell r="F424" t="str">
            <v>JFD TUBE &amp; COIL</v>
          </cell>
          <cell r="I424" t="str">
            <v>316L</v>
          </cell>
          <cell r="J424">
            <v>0.75</v>
          </cell>
          <cell r="K424">
            <v>4.9000000000000002E-2</v>
          </cell>
          <cell r="N424">
            <v>24</v>
          </cell>
        </row>
        <row r="425">
          <cell r="A425" t="str">
            <v>D2021/01291</v>
          </cell>
          <cell r="F425" t="str">
            <v>JFD TUBE &amp; COIL</v>
          </cell>
          <cell r="I425" t="str">
            <v>316L</v>
          </cell>
          <cell r="J425">
            <v>0.75</v>
          </cell>
          <cell r="K425">
            <v>4.9000000000000002E-2</v>
          </cell>
          <cell r="N425">
            <v>26</v>
          </cell>
        </row>
        <row r="426">
          <cell r="A426" t="str">
            <v>D2021/00876</v>
          </cell>
          <cell r="F426" t="str">
            <v>HTTP</v>
          </cell>
          <cell r="I426" t="str">
            <v>316L</v>
          </cell>
          <cell r="J426">
            <v>0.75</v>
          </cell>
          <cell r="K426">
            <v>6.5000000000000002E-2</v>
          </cell>
          <cell r="N426">
            <v>10</v>
          </cell>
        </row>
        <row r="427">
          <cell r="A427" t="str">
            <v>D2021/01135</v>
          </cell>
          <cell r="F427" t="str">
            <v>RUBICON</v>
          </cell>
          <cell r="I427" t="str">
            <v>316L</v>
          </cell>
          <cell r="J427">
            <v>0.75</v>
          </cell>
          <cell r="K427">
            <v>6.5000000000000002E-2</v>
          </cell>
          <cell r="N427">
            <v>16</v>
          </cell>
        </row>
        <row r="428">
          <cell r="A428" t="str">
            <v>D2021/00888</v>
          </cell>
          <cell r="F428" t="str">
            <v>PAGET EQUIPMENT</v>
          </cell>
          <cell r="I428" t="str">
            <v>304L</v>
          </cell>
          <cell r="J428">
            <v>1.5</v>
          </cell>
          <cell r="K428">
            <v>4.9000000000000002E-2</v>
          </cell>
          <cell r="N428">
            <v>40</v>
          </cell>
        </row>
        <row r="429">
          <cell r="A429" t="str">
            <v>D2021/01093</v>
          </cell>
          <cell r="F429" t="str">
            <v>PAGET EQUIPMENT</v>
          </cell>
          <cell r="I429" t="str">
            <v>304L</v>
          </cell>
          <cell r="J429">
            <v>1.5</v>
          </cell>
          <cell r="K429">
            <v>4.9000000000000002E-2</v>
          </cell>
          <cell r="N429">
            <v>40</v>
          </cell>
        </row>
        <row r="430">
          <cell r="A430" t="str">
            <v>D2021/00545</v>
          </cell>
          <cell r="F430" t="str">
            <v>HTTP</v>
          </cell>
          <cell r="I430" t="str">
            <v>304L</v>
          </cell>
          <cell r="J430">
            <v>0.75</v>
          </cell>
          <cell r="K430">
            <v>6.5000000000000002E-2</v>
          </cell>
          <cell r="N430">
            <v>12</v>
          </cell>
        </row>
        <row r="431">
          <cell r="A431" t="str">
            <v>D2021/00546</v>
          </cell>
          <cell r="F431" t="str">
            <v>HTTP</v>
          </cell>
          <cell r="I431" t="str">
            <v>304L</v>
          </cell>
          <cell r="J431">
            <v>0.75</v>
          </cell>
          <cell r="K431">
            <v>6.5000000000000002E-2</v>
          </cell>
          <cell r="N431">
            <v>12</v>
          </cell>
        </row>
        <row r="432">
          <cell r="A432" t="str">
            <v>D2021/00963</v>
          </cell>
          <cell r="F432" t="str">
            <v>PRIMARY METALS INT</v>
          </cell>
          <cell r="I432" t="str">
            <v>304L</v>
          </cell>
          <cell r="J432">
            <v>0.75</v>
          </cell>
          <cell r="K432">
            <v>3.5000000000000003E-2</v>
          </cell>
          <cell r="N432">
            <v>16</v>
          </cell>
        </row>
        <row r="433">
          <cell r="A433" t="str">
            <v>D2021/01288</v>
          </cell>
          <cell r="F433" t="str">
            <v>JFD TUBE &amp; COIL</v>
          </cell>
          <cell r="I433" t="str">
            <v>304L</v>
          </cell>
          <cell r="J433">
            <v>0.75</v>
          </cell>
          <cell r="K433">
            <v>4.9000000000000002E-2</v>
          </cell>
          <cell r="N433">
            <v>24</v>
          </cell>
        </row>
        <row r="434">
          <cell r="A434" t="str">
            <v>D2021/00785</v>
          </cell>
          <cell r="F434" t="str">
            <v>ALDRICH COMPANY</v>
          </cell>
          <cell r="I434">
            <v>2205</v>
          </cell>
          <cell r="J434">
            <v>1.25</v>
          </cell>
          <cell r="K434">
            <v>8.3000000000000004E-2</v>
          </cell>
          <cell r="N434">
            <v>24</v>
          </cell>
        </row>
        <row r="435">
          <cell r="A435" t="str">
            <v>D2021/01153</v>
          </cell>
          <cell r="F435" t="str">
            <v>PAGET EQUIPMENT</v>
          </cell>
          <cell r="I435" t="str">
            <v>304L</v>
          </cell>
          <cell r="J435">
            <v>1.25</v>
          </cell>
          <cell r="K435">
            <v>6.5000000000000002E-2</v>
          </cell>
          <cell r="N435">
            <v>5</v>
          </cell>
        </row>
        <row r="436">
          <cell r="A436" t="str">
            <v>D2021/00965</v>
          </cell>
          <cell r="F436" t="str">
            <v>TUBES INC</v>
          </cell>
          <cell r="I436" t="str">
            <v>304L</v>
          </cell>
          <cell r="J436">
            <v>1</v>
          </cell>
          <cell r="K436">
            <v>0.06</v>
          </cell>
          <cell r="N436">
            <v>37</v>
          </cell>
        </row>
        <row r="437">
          <cell r="A437" t="str">
            <v>D2021/01132</v>
          </cell>
          <cell r="F437" t="str">
            <v>TUBES INC</v>
          </cell>
          <cell r="I437" t="str">
            <v>316L</v>
          </cell>
          <cell r="J437">
            <v>1</v>
          </cell>
          <cell r="K437">
            <v>6.5000000000000002E-2</v>
          </cell>
          <cell r="N437">
            <v>17</v>
          </cell>
        </row>
        <row r="438">
          <cell r="A438" t="str">
            <v>D2021/01136</v>
          </cell>
          <cell r="F438" t="str">
            <v>BROOKFIELD STAINLESS</v>
          </cell>
          <cell r="I438" t="str">
            <v>316L</v>
          </cell>
          <cell r="J438">
            <v>1</v>
          </cell>
          <cell r="K438">
            <v>4.9000000000000002E-2</v>
          </cell>
          <cell r="N438">
            <v>24</v>
          </cell>
        </row>
        <row r="439">
          <cell r="A439" t="str">
            <v>D2021/01220</v>
          </cell>
          <cell r="F439" t="str">
            <v>HTTP</v>
          </cell>
          <cell r="I439" t="str">
            <v>304L</v>
          </cell>
          <cell r="J439">
            <v>1</v>
          </cell>
          <cell r="K439">
            <v>6.5000000000000002E-2</v>
          </cell>
          <cell r="N439">
            <v>15</v>
          </cell>
        </row>
        <row r="440">
          <cell r="A440" t="str">
            <v>D2021/01274</v>
          </cell>
          <cell r="F440" t="str">
            <v>HTTP</v>
          </cell>
          <cell r="I440" t="str">
            <v>304L</v>
          </cell>
          <cell r="J440">
            <v>1</v>
          </cell>
          <cell r="K440">
            <v>6.5000000000000002E-2</v>
          </cell>
          <cell r="N440">
            <v>20</v>
          </cell>
        </row>
        <row r="441">
          <cell r="A441" t="str">
            <v>D2021/01133</v>
          </cell>
          <cell r="F441" t="str">
            <v>PAGET EQUIPMENT</v>
          </cell>
          <cell r="I441" t="str">
            <v>304L</v>
          </cell>
          <cell r="J441">
            <v>0.75</v>
          </cell>
          <cell r="K441">
            <v>4.9000000000000002E-2</v>
          </cell>
          <cell r="N441">
            <v>16</v>
          </cell>
        </row>
        <row r="442">
          <cell r="A442" t="str">
            <v>D2021/01134</v>
          </cell>
          <cell r="F442" t="str">
            <v>PAGET EQUIPMENT</v>
          </cell>
          <cell r="I442" t="str">
            <v>304L</v>
          </cell>
          <cell r="J442">
            <v>0.75</v>
          </cell>
          <cell r="K442">
            <v>4.9000000000000002E-2</v>
          </cell>
          <cell r="N442">
            <v>12</v>
          </cell>
        </row>
        <row r="443">
          <cell r="A443" t="str">
            <v>D2021/01614</v>
          </cell>
          <cell r="F443" t="str">
            <v>H&amp;R TUBE</v>
          </cell>
          <cell r="I443" t="str">
            <v>N08367</v>
          </cell>
          <cell r="J443">
            <v>0.625</v>
          </cell>
          <cell r="K443">
            <v>3.5000000000000003E-2</v>
          </cell>
          <cell r="N443">
            <v>24</v>
          </cell>
        </row>
        <row r="444">
          <cell r="A444" t="str">
            <v>D2021/00389</v>
          </cell>
          <cell r="F444" t="str">
            <v>HTTP</v>
          </cell>
          <cell r="I444" t="str">
            <v>A825</v>
          </cell>
          <cell r="J444">
            <v>1</v>
          </cell>
          <cell r="K444">
            <v>6.5000000000000002E-2</v>
          </cell>
          <cell r="N444">
            <v>30</v>
          </cell>
        </row>
        <row r="445">
          <cell r="A445" t="str">
            <v>D2021/00390</v>
          </cell>
          <cell r="F445" t="str">
            <v>HTTP</v>
          </cell>
          <cell r="I445" t="str">
            <v>A825</v>
          </cell>
          <cell r="J445">
            <v>1</v>
          </cell>
          <cell r="K445">
            <v>6.5000000000000002E-2</v>
          </cell>
          <cell r="N445">
            <v>4</v>
          </cell>
        </row>
        <row r="446">
          <cell r="A446" t="str">
            <v>D2021/01137</v>
          </cell>
          <cell r="F446" t="str">
            <v>BROOKFIELD STAINLESS</v>
          </cell>
          <cell r="I446" t="str">
            <v>316L</v>
          </cell>
          <cell r="J446">
            <v>1</v>
          </cell>
          <cell r="K446">
            <v>4.9000000000000002E-2</v>
          </cell>
          <cell r="N446">
            <v>24</v>
          </cell>
        </row>
        <row r="447">
          <cell r="A447" t="str">
            <v>D2021/01272</v>
          </cell>
          <cell r="F447" t="str">
            <v>H&amp;R TUBE</v>
          </cell>
          <cell r="I447" t="str">
            <v>N08367</v>
          </cell>
          <cell r="J447">
            <v>0.625</v>
          </cell>
          <cell r="K447">
            <v>3.5000000000000003E-2</v>
          </cell>
          <cell r="N447">
            <v>20</v>
          </cell>
        </row>
        <row r="448">
          <cell r="A448" t="str">
            <v>D2021/01273</v>
          </cell>
          <cell r="F448" t="str">
            <v>H&amp;R TUBE</v>
          </cell>
          <cell r="I448" t="str">
            <v>N08367</v>
          </cell>
          <cell r="J448">
            <v>0.625</v>
          </cell>
          <cell r="K448">
            <v>3.5000000000000003E-2</v>
          </cell>
          <cell r="N448">
            <v>24</v>
          </cell>
        </row>
        <row r="449">
          <cell r="A449" t="str">
            <v>D2021/01613</v>
          </cell>
          <cell r="F449" t="str">
            <v>H&amp;R TUBE</v>
          </cell>
          <cell r="I449" t="str">
            <v>N08367</v>
          </cell>
          <cell r="J449">
            <v>0.625</v>
          </cell>
          <cell r="K449">
            <v>3.5000000000000003E-2</v>
          </cell>
          <cell r="N449">
            <v>20</v>
          </cell>
        </row>
        <row r="450">
          <cell r="A450" t="str">
            <v>D2021/00882</v>
          </cell>
          <cell r="F450" t="str">
            <v>TUBES INC</v>
          </cell>
          <cell r="I450" t="str">
            <v>304L</v>
          </cell>
          <cell r="J450">
            <v>1.5</v>
          </cell>
          <cell r="K450">
            <v>4.9000000000000002E-2</v>
          </cell>
          <cell r="N450">
            <v>14.9895</v>
          </cell>
        </row>
        <row r="451">
          <cell r="A451" t="str">
            <v>D2021/01361</v>
          </cell>
          <cell r="F451" t="str">
            <v>TUBES INC</v>
          </cell>
          <cell r="I451" t="str">
            <v>304L</v>
          </cell>
          <cell r="J451">
            <v>1.5</v>
          </cell>
          <cell r="K451">
            <v>4.9000000000000002E-2</v>
          </cell>
          <cell r="N451">
            <v>42</v>
          </cell>
        </row>
        <row r="452">
          <cell r="A452" t="str">
            <v>D2021/01607</v>
          </cell>
          <cell r="F452" t="str">
            <v>PAGET EQUIPMENT</v>
          </cell>
          <cell r="I452" t="str">
            <v>304L</v>
          </cell>
          <cell r="J452">
            <v>1.5</v>
          </cell>
          <cell r="K452">
            <v>6.5000000000000002E-2</v>
          </cell>
          <cell r="N452">
            <v>15</v>
          </cell>
        </row>
        <row r="453">
          <cell r="A453" t="str">
            <v>d2021/01131</v>
          </cell>
          <cell r="F453" t="str">
            <v>H&amp;R TUBE</v>
          </cell>
          <cell r="I453" t="str">
            <v>304L</v>
          </cell>
          <cell r="J453">
            <v>0.625</v>
          </cell>
          <cell r="K453">
            <v>3.5000000000000003E-2</v>
          </cell>
          <cell r="N453">
            <v>27</v>
          </cell>
        </row>
        <row r="454">
          <cell r="A454" t="str">
            <v>D2021/01608</v>
          </cell>
          <cell r="F454" t="str">
            <v>PAGET EQUIPMENT</v>
          </cell>
          <cell r="I454" t="str">
            <v>304L</v>
          </cell>
          <cell r="J454">
            <v>1.5</v>
          </cell>
          <cell r="K454">
            <v>6.5000000000000002E-2</v>
          </cell>
          <cell r="N454">
            <v>20</v>
          </cell>
        </row>
        <row r="455">
          <cell r="A455" t="str">
            <v>D2021/01730</v>
          </cell>
          <cell r="F455" t="str">
            <v>H&amp;R TUBE</v>
          </cell>
          <cell r="I455" t="str">
            <v>304L</v>
          </cell>
          <cell r="J455">
            <v>0.625</v>
          </cell>
          <cell r="K455">
            <v>3.5000000000000003E-2</v>
          </cell>
          <cell r="N455">
            <v>27</v>
          </cell>
        </row>
        <row r="456">
          <cell r="A456" t="str">
            <v>D2021/01612</v>
          </cell>
          <cell r="F456" t="str">
            <v>H&amp;R TUBE</v>
          </cell>
          <cell r="I456" t="str">
            <v>304L</v>
          </cell>
          <cell r="J456">
            <v>0.625</v>
          </cell>
          <cell r="K456">
            <v>3.5000000000000003E-2</v>
          </cell>
          <cell r="N456">
            <v>24</v>
          </cell>
        </row>
        <row r="457">
          <cell r="A457" t="str">
            <v>D2021/01611</v>
          </cell>
          <cell r="F457" t="str">
            <v>H&amp;R TUBE</v>
          </cell>
          <cell r="I457" t="str">
            <v>304L</v>
          </cell>
          <cell r="J457">
            <v>0.625</v>
          </cell>
          <cell r="K457">
            <v>3.5000000000000003E-2</v>
          </cell>
          <cell r="N457">
            <v>20</v>
          </cell>
        </row>
        <row r="458">
          <cell r="A458" t="str">
            <v>D2021/01139</v>
          </cell>
          <cell r="F458" t="str">
            <v>H&amp;R TUBE</v>
          </cell>
          <cell r="I458" t="str">
            <v>304L</v>
          </cell>
          <cell r="J458">
            <v>0.625</v>
          </cell>
          <cell r="K458">
            <v>4.9000000000000002E-2</v>
          </cell>
          <cell r="N458">
            <v>24</v>
          </cell>
        </row>
        <row r="459">
          <cell r="A459" t="str">
            <v>D2021/01276</v>
          </cell>
          <cell r="F459" t="str">
            <v>H&amp;R TUBE</v>
          </cell>
          <cell r="I459" t="str">
            <v>304L</v>
          </cell>
          <cell r="J459">
            <v>1</v>
          </cell>
          <cell r="K459">
            <v>3.5000000000000003E-2</v>
          </cell>
          <cell r="N459">
            <v>20</v>
          </cell>
        </row>
        <row r="460">
          <cell r="A460" t="str">
            <v>D2021/01287</v>
          </cell>
          <cell r="F460" t="str">
            <v>JFD TUBE &amp; COIL</v>
          </cell>
          <cell r="I460" t="str">
            <v>304L</v>
          </cell>
          <cell r="J460">
            <v>0.625</v>
          </cell>
          <cell r="K460">
            <v>4.9000000000000002E-2</v>
          </cell>
          <cell r="N460">
            <v>24</v>
          </cell>
        </row>
        <row r="461">
          <cell r="A461" t="str">
            <v>D2021/01351</v>
          </cell>
          <cell r="F461" t="str">
            <v>HTTP</v>
          </cell>
          <cell r="I461" t="str">
            <v>304L</v>
          </cell>
          <cell r="J461">
            <v>0.625</v>
          </cell>
          <cell r="K461">
            <v>4.9000000000000002E-2</v>
          </cell>
          <cell r="N461">
            <v>28</v>
          </cell>
        </row>
        <row r="462">
          <cell r="A462" t="str">
            <v>D2021/01138</v>
          </cell>
          <cell r="F462" t="str">
            <v>H&amp;R TUBE</v>
          </cell>
          <cell r="I462" t="str">
            <v>304L</v>
          </cell>
          <cell r="J462">
            <v>0.625</v>
          </cell>
          <cell r="K462">
            <v>4.9000000000000002E-2</v>
          </cell>
          <cell r="N462">
            <v>20</v>
          </cell>
        </row>
        <row r="463">
          <cell r="A463" t="str">
            <v>D2021/01289</v>
          </cell>
          <cell r="F463" t="str">
            <v>JFD TUBE &amp; COIL</v>
          </cell>
          <cell r="I463" t="str">
            <v>316L</v>
          </cell>
          <cell r="J463">
            <v>0.625</v>
          </cell>
          <cell r="K463">
            <v>4.9000000000000002E-2</v>
          </cell>
          <cell r="N463">
            <v>24</v>
          </cell>
        </row>
        <row r="464">
          <cell r="A464" t="str">
            <v>D2021/01827</v>
          </cell>
          <cell r="F464" t="str">
            <v>JFD TUBE &amp; COIL</v>
          </cell>
          <cell r="I464" t="str">
            <v>316L</v>
          </cell>
          <cell r="J464">
            <v>0.625</v>
          </cell>
          <cell r="K464">
            <v>4.9000000000000002E-2</v>
          </cell>
          <cell r="N464">
            <v>20</v>
          </cell>
        </row>
        <row r="465">
          <cell r="A465" t="str">
            <v>D2021/01275</v>
          </cell>
          <cell r="F465" t="str">
            <v>QUALITY TUBE</v>
          </cell>
          <cell r="I465">
            <v>2205</v>
          </cell>
          <cell r="J465">
            <v>0.75</v>
          </cell>
          <cell r="K465">
            <v>4.9000000000000002E-2</v>
          </cell>
          <cell r="N465">
            <v>20</v>
          </cell>
        </row>
        <row r="466">
          <cell r="A466" t="str">
            <v>D2021/01277</v>
          </cell>
          <cell r="F466" t="str">
            <v>H&amp;R TUBE</v>
          </cell>
          <cell r="I466" t="str">
            <v>304L</v>
          </cell>
          <cell r="J466">
            <v>1</v>
          </cell>
          <cell r="K466">
            <v>3.5000000000000003E-2</v>
          </cell>
          <cell r="N466">
            <v>16.25</v>
          </cell>
        </row>
        <row r="467">
          <cell r="A467" t="str">
            <v>D2021/01846</v>
          </cell>
          <cell r="F467" t="str">
            <v>HTTP</v>
          </cell>
          <cell r="I467" t="str">
            <v>304L</v>
          </cell>
          <cell r="J467">
            <v>0.75</v>
          </cell>
          <cell r="K467">
            <v>6.5000000000000002E-2</v>
          </cell>
          <cell r="N467">
            <v>20</v>
          </cell>
        </row>
        <row r="468">
          <cell r="A468" t="str">
            <v>D2021/01278</v>
          </cell>
          <cell r="F468" t="str">
            <v>H&amp;R TUBE</v>
          </cell>
          <cell r="I468" t="str">
            <v>304L</v>
          </cell>
          <cell r="J468">
            <v>1</v>
          </cell>
          <cell r="K468">
            <v>3.5000000000000003E-2</v>
          </cell>
          <cell r="N468">
            <v>12.25</v>
          </cell>
        </row>
        <row r="469">
          <cell r="A469" t="str">
            <v>D2021/01355</v>
          </cell>
          <cell r="F469" t="str">
            <v>HTTP</v>
          </cell>
          <cell r="I469" t="str">
            <v>304L</v>
          </cell>
          <cell r="J469">
            <v>0.75</v>
          </cell>
          <cell r="K469">
            <v>6.5000000000000002E-2</v>
          </cell>
          <cell r="N469">
            <v>16</v>
          </cell>
        </row>
        <row r="470">
          <cell r="A470" t="str">
            <v>D2021/01973</v>
          </cell>
          <cell r="F470" t="str">
            <v>HTTP</v>
          </cell>
          <cell r="I470" t="str">
            <v>304L</v>
          </cell>
          <cell r="J470">
            <v>1</v>
          </cell>
          <cell r="K470">
            <v>6.5000000000000002E-2</v>
          </cell>
          <cell r="N470">
            <v>16</v>
          </cell>
        </row>
        <row r="471">
          <cell r="A471" t="str">
            <v>D2021/01845</v>
          </cell>
          <cell r="F471" t="str">
            <v>HTTP</v>
          </cell>
          <cell r="I471" t="str">
            <v>316L</v>
          </cell>
          <cell r="J471">
            <v>0.75</v>
          </cell>
          <cell r="K471">
            <v>6.5000000000000002E-2</v>
          </cell>
          <cell r="N471">
            <v>12</v>
          </cell>
        </row>
        <row r="472">
          <cell r="A472" t="str">
            <v>D2021/01847</v>
          </cell>
          <cell r="F472" t="str">
            <v>HTTP</v>
          </cell>
          <cell r="I472" t="str">
            <v>304L</v>
          </cell>
          <cell r="J472">
            <v>0.75</v>
          </cell>
          <cell r="K472">
            <v>6.5000000000000002E-2</v>
          </cell>
          <cell r="N472">
            <v>12</v>
          </cell>
        </row>
        <row r="473">
          <cell r="A473" t="str">
            <v>D2021/01292</v>
          </cell>
          <cell r="F473" t="str">
            <v>EDISON TUBULAR PRODUCTS</v>
          </cell>
          <cell r="I473" t="str">
            <v>304L</v>
          </cell>
          <cell r="J473">
            <v>0.75</v>
          </cell>
          <cell r="K473">
            <v>4.9000000000000002E-2</v>
          </cell>
          <cell r="N473">
            <v>56.082999999999998</v>
          </cell>
        </row>
        <row r="474">
          <cell r="A474" t="str">
            <v>D2021/01574</v>
          </cell>
          <cell r="F474" t="str">
            <v>HTTP</v>
          </cell>
          <cell r="I474" t="str">
            <v>304L</v>
          </cell>
          <cell r="J474">
            <v>0.75</v>
          </cell>
          <cell r="K474">
            <v>4.9000000000000002E-2</v>
          </cell>
          <cell r="N474">
            <v>33.75</v>
          </cell>
        </row>
        <row r="475">
          <cell r="A475" t="str">
            <v>D2021/01580</v>
          </cell>
          <cell r="F475" t="str">
            <v>HTTP</v>
          </cell>
          <cell r="I475" t="str">
            <v>316L</v>
          </cell>
          <cell r="J475">
            <v>1</v>
          </cell>
          <cell r="K475">
            <v>6.5000000000000002E-2</v>
          </cell>
          <cell r="N475">
            <v>52</v>
          </cell>
        </row>
        <row r="476">
          <cell r="A476" t="str">
            <v>D2021/01581</v>
          </cell>
          <cell r="F476" t="str">
            <v>HTTP</v>
          </cell>
          <cell r="I476" t="str">
            <v>304L</v>
          </cell>
          <cell r="J476">
            <v>0.75</v>
          </cell>
          <cell r="K476">
            <v>4.9000000000000002E-2</v>
          </cell>
          <cell r="N476">
            <v>16</v>
          </cell>
        </row>
        <row r="477">
          <cell r="A477" t="str">
            <v>D2021/01844</v>
          </cell>
          <cell r="F477" t="str">
            <v>HTTP</v>
          </cell>
          <cell r="I477" t="str">
            <v>304L</v>
          </cell>
          <cell r="J477">
            <v>1</v>
          </cell>
          <cell r="K477">
            <v>6.5000000000000002E-2</v>
          </cell>
          <cell r="N477">
            <v>10</v>
          </cell>
        </row>
        <row r="478">
          <cell r="A478" t="str">
            <v>D2021/01347</v>
          </cell>
          <cell r="F478" t="str">
            <v>EDISON TUBULAR PRODUCTS</v>
          </cell>
          <cell r="I478" t="str">
            <v>304L</v>
          </cell>
          <cell r="J478">
            <v>0.75</v>
          </cell>
          <cell r="K478">
            <v>4.9000000000000002E-2</v>
          </cell>
          <cell r="N478">
            <v>20</v>
          </cell>
        </row>
        <row r="479">
          <cell r="A479" t="str">
            <v>D2021/01579</v>
          </cell>
          <cell r="F479" t="str">
            <v>HTTP</v>
          </cell>
          <cell r="I479" t="str">
            <v>316L</v>
          </cell>
          <cell r="J479">
            <v>1</v>
          </cell>
          <cell r="K479">
            <v>6.5000000000000002E-2</v>
          </cell>
          <cell r="N479">
            <v>24</v>
          </cell>
        </row>
        <row r="480">
          <cell r="A480" t="str">
            <v>D2021/01294</v>
          </cell>
          <cell r="F480" t="str">
            <v>EDISON TUBULAR PRODUCTS</v>
          </cell>
          <cell r="I480" t="str">
            <v>316L</v>
          </cell>
          <cell r="J480">
            <v>0.75</v>
          </cell>
          <cell r="K480">
            <v>4.9000000000000002E-2</v>
          </cell>
          <cell r="N480">
            <v>56.082999999999998</v>
          </cell>
        </row>
        <row r="481">
          <cell r="A481" t="str">
            <v>D2021/01286</v>
          </cell>
          <cell r="F481" t="str">
            <v>J.D. COUSINS</v>
          </cell>
          <cell r="I481" t="str">
            <v>304L</v>
          </cell>
          <cell r="J481">
            <v>1</v>
          </cell>
          <cell r="K481">
            <v>4.9000000000000002E-2</v>
          </cell>
          <cell r="N481">
            <v>16</v>
          </cell>
        </row>
        <row r="482">
          <cell r="A482" t="str">
            <v>D2021/01360</v>
          </cell>
          <cell r="F482" t="str">
            <v>TUBES INC</v>
          </cell>
          <cell r="I482" t="str">
            <v>316L</v>
          </cell>
          <cell r="J482">
            <v>0.75</v>
          </cell>
          <cell r="K482">
            <v>6.5000000000000002E-2</v>
          </cell>
          <cell r="N482">
            <v>44.583300000000001</v>
          </cell>
        </row>
        <row r="483">
          <cell r="A483" t="str">
            <v>D2021/01964</v>
          </cell>
          <cell r="F483" t="str">
            <v>HTTP</v>
          </cell>
          <cell r="I483" t="str">
            <v>316L</v>
          </cell>
          <cell r="J483">
            <v>0.75</v>
          </cell>
          <cell r="K483">
            <v>4.9000000000000002E-2</v>
          </cell>
          <cell r="N483">
            <v>46.082999999999998</v>
          </cell>
        </row>
        <row r="484">
          <cell r="A484" t="str">
            <v>D2021/01358</v>
          </cell>
          <cell r="F484" t="str">
            <v>TUBES INC</v>
          </cell>
          <cell r="I484" t="str">
            <v>316L</v>
          </cell>
          <cell r="J484">
            <v>0.75</v>
          </cell>
          <cell r="K484">
            <v>6.5000000000000002E-2</v>
          </cell>
          <cell r="N484">
            <v>41.916600000000003</v>
          </cell>
        </row>
        <row r="485">
          <cell r="A485" t="str">
            <v>D2021/01359</v>
          </cell>
          <cell r="F485" t="str">
            <v>TUBES INC</v>
          </cell>
          <cell r="I485" t="str">
            <v>316L</v>
          </cell>
          <cell r="J485">
            <v>0.75</v>
          </cell>
          <cell r="K485">
            <v>6.5000000000000002E-2</v>
          </cell>
          <cell r="N485">
            <v>43.166600000000003</v>
          </cell>
        </row>
        <row r="486">
          <cell r="A486" t="str">
            <v>D2021/01284</v>
          </cell>
          <cell r="F486" t="str">
            <v>J.D. COUSINS</v>
          </cell>
          <cell r="I486" t="str">
            <v>304L</v>
          </cell>
          <cell r="J486">
            <v>1</v>
          </cell>
          <cell r="K486">
            <v>4.9000000000000002E-2</v>
          </cell>
          <cell r="N486">
            <v>12</v>
          </cell>
        </row>
        <row r="487">
          <cell r="A487" t="str">
            <v>D2021/01356</v>
          </cell>
          <cell r="F487" t="str">
            <v>TUBES INC</v>
          </cell>
          <cell r="I487" t="str">
            <v>316L</v>
          </cell>
          <cell r="J487">
            <v>0.75</v>
          </cell>
          <cell r="K487">
            <v>6.5000000000000002E-2</v>
          </cell>
          <cell r="N487">
            <v>40.166600000000003</v>
          </cell>
        </row>
        <row r="488">
          <cell r="A488" t="str">
            <v>D2021/01357</v>
          </cell>
          <cell r="F488" t="str">
            <v>TUBES INC</v>
          </cell>
          <cell r="I488" t="str">
            <v>316L</v>
          </cell>
          <cell r="J488">
            <v>0.75</v>
          </cell>
          <cell r="K488">
            <v>6.5000000000000002E-2</v>
          </cell>
          <cell r="N488">
            <v>41.083329999999997</v>
          </cell>
        </row>
        <row r="489">
          <cell r="A489" t="str">
            <v>D2021/01285</v>
          </cell>
          <cell r="F489" t="str">
            <v>J.D. COUSINS</v>
          </cell>
          <cell r="I489" t="str">
            <v>304L</v>
          </cell>
          <cell r="J489">
            <v>1</v>
          </cell>
          <cell r="K489">
            <v>4.9000000000000002E-2</v>
          </cell>
          <cell r="N489">
            <v>12</v>
          </cell>
        </row>
        <row r="490">
          <cell r="A490" t="str">
            <v>D2021/01363</v>
          </cell>
          <cell r="F490" t="str">
            <v>TUBES INC</v>
          </cell>
          <cell r="I490" t="str">
            <v>304L</v>
          </cell>
          <cell r="J490">
            <v>0.75</v>
          </cell>
          <cell r="K490">
            <v>4.9000000000000002E-2</v>
          </cell>
          <cell r="N490">
            <v>42</v>
          </cell>
        </row>
        <row r="491">
          <cell r="A491" t="str">
            <v>D2021/01282</v>
          </cell>
          <cell r="F491" t="str">
            <v>J.D. COUSINS</v>
          </cell>
          <cell r="I491" t="str">
            <v>304L</v>
          </cell>
          <cell r="J491">
            <v>1</v>
          </cell>
          <cell r="K491">
            <v>4.9000000000000002E-2</v>
          </cell>
          <cell r="N491">
            <v>12</v>
          </cell>
        </row>
        <row r="492">
          <cell r="A492" t="str">
            <v>D2021/01283</v>
          </cell>
          <cell r="F492" t="str">
            <v>J.D. COUSINS</v>
          </cell>
          <cell r="I492" t="str">
            <v>304L</v>
          </cell>
          <cell r="J492">
            <v>1</v>
          </cell>
          <cell r="K492">
            <v>4.9000000000000002E-2</v>
          </cell>
          <cell r="N492">
            <v>8</v>
          </cell>
        </row>
        <row r="493">
          <cell r="A493" t="str">
            <v>D2021/01279</v>
          </cell>
          <cell r="F493" t="str">
            <v>H&amp;R TUBE</v>
          </cell>
          <cell r="I493" t="str">
            <v>304L</v>
          </cell>
          <cell r="J493">
            <v>1</v>
          </cell>
          <cell r="K493">
            <v>3.5000000000000003E-2</v>
          </cell>
          <cell r="N493">
            <v>20</v>
          </cell>
        </row>
        <row r="494">
          <cell r="A494" t="str">
            <v>D2021/01960</v>
          </cell>
          <cell r="F494" t="str">
            <v>HTTP</v>
          </cell>
          <cell r="I494" t="str">
            <v>304L</v>
          </cell>
          <cell r="J494">
            <v>0.75</v>
          </cell>
          <cell r="K494">
            <v>6.5000000000000002E-2</v>
          </cell>
          <cell r="N494">
            <v>48.083300000000001</v>
          </cell>
        </row>
        <row r="495">
          <cell r="A495" t="str">
            <v>D2021/01280</v>
          </cell>
          <cell r="F495" t="str">
            <v>H&amp;R TUBE</v>
          </cell>
          <cell r="I495" t="str">
            <v>304L</v>
          </cell>
          <cell r="J495">
            <v>1</v>
          </cell>
          <cell r="K495">
            <v>3.5000000000000003E-2</v>
          </cell>
          <cell r="N495">
            <v>16.25</v>
          </cell>
        </row>
        <row r="496">
          <cell r="A496" t="str">
            <v>D2021/01959</v>
          </cell>
          <cell r="F496" t="str">
            <v>HTTP</v>
          </cell>
          <cell r="I496" t="str">
            <v>304L</v>
          </cell>
          <cell r="J496">
            <v>0.75</v>
          </cell>
          <cell r="K496">
            <v>4.9000000000000002E-2</v>
          </cell>
          <cell r="N496">
            <v>48.083300000000001</v>
          </cell>
        </row>
        <row r="497">
          <cell r="A497" t="str">
            <v>D2021/00875</v>
          </cell>
          <cell r="F497" t="str">
            <v>HTTP</v>
          </cell>
          <cell r="I497" t="str">
            <v>N08367</v>
          </cell>
          <cell r="J497">
            <v>0.75</v>
          </cell>
          <cell r="K497">
            <v>6.5000000000000002E-2</v>
          </cell>
          <cell r="N497">
            <v>20</v>
          </cell>
        </row>
        <row r="498">
          <cell r="A498" t="str">
            <v>D2021/01965</v>
          </cell>
          <cell r="F498" t="str">
            <v>HTTP</v>
          </cell>
          <cell r="I498" t="str">
            <v>316L</v>
          </cell>
          <cell r="J498">
            <v>0.75</v>
          </cell>
          <cell r="K498">
            <v>6.5000000000000002E-2</v>
          </cell>
          <cell r="N498">
            <v>36.166600000000003</v>
          </cell>
        </row>
        <row r="499">
          <cell r="A499" t="str">
            <v>D2021/01967</v>
          </cell>
          <cell r="F499" t="str">
            <v>HTTP</v>
          </cell>
          <cell r="I499" t="str">
            <v>316L</v>
          </cell>
          <cell r="J499">
            <v>0.75</v>
          </cell>
          <cell r="K499">
            <v>4.9000000000000002E-2</v>
          </cell>
          <cell r="N499">
            <v>48.083300000000001</v>
          </cell>
        </row>
        <row r="500">
          <cell r="A500" t="str">
            <v>D2021/01968</v>
          </cell>
          <cell r="F500" t="str">
            <v>HTTP</v>
          </cell>
          <cell r="I500" t="str">
            <v>316L</v>
          </cell>
          <cell r="J500">
            <v>0.75</v>
          </cell>
          <cell r="K500">
            <v>6.5000000000000002E-2</v>
          </cell>
          <cell r="N500">
            <v>48.082999999999998</v>
          </cell>
        </row>
        <row r="501">
          <cell r="A501" t="str">
            <v>D2021/01143</v>
          </cell>
          <cell r="F501" t="str">
            <v>HTTP</v>
          </cell>
          <cell r="I501" t="str">
            <v>A22</v>
          </cell>
          <cell r="J501">
            <v>0.75</v>
          </cell>
          <cell r="K501">
            <v>8.3000000000000004E-2</v>
          </cell>
          <cell r="N501">
            <v>10</v>
          </cell>
        </row>
        <row r="502">
          <cell r="A502" t="str">
            <v>D2021/01281</v>
          </cell>
          <cell r="F502" t="str">
            <v>H&amp;R TUBE</v>
          </cell>
          <cell r="I502" t="str">
            <v>304L</v>
          </cell>
          <cell r="J502">
            <v>1</v>
          </cell>
          <cell r="K502">
            <v>3.5000000000000003E-2</v>
          </cell>
          <cell r="N502">
            <v>12.25</v>
          </cell>
        </row>
        <row r="503">
          <cell r="A503" t="str">
            <v>D2021/01848</v>
          </cell>
          <cell r="F503" t="str">
            <v>UPMET</v>
          </cell>
          <cell r="I503" t="str">
            <v>A625</v>
          </cell>
          <cell r="J503">
            <v>1</v>
          </cell>
          <cell r="K503">
            <v>3.5999999999999997E-2</v>
          </cell>
          <cell r="N503">
            <v>10</v>
          </cell>
        </row>
        <row r="504">
          <cell r="A504" t="str">
            <v>D2021/01293</v>
          </cell>
          <cell r="F504" t="str">
            <v>EDISON TUBULAR PRODUCTS</v>
          </cell>
          <cell r="I504" t="str">
            <v>304L</v>
          </cell>
          <cell r="J504">
            <v>1</v>
          </cell>
          <cell r="K504">
            <v>4.9000000000000002E-2</v>
          </cell>
          <cell r="N504">
            <v>56.082999999999998</v>
          </cell>
        </row>
        <row r="505">
          <cell r="A505" t="str">
            <v>D2021/01295</v>
          </cell>
          <cell r="F505" t="str">
            <v>EDISON TUBULAR PRODUCTS</v>
          </cell>
          <cell r="I505" t="str">
            <v>316L</v>
          </cell>
          <cell r="J505">
            <v>1</v>
          </cell>
          <cell r="K505">
            <v>4.9000000000000002E-2</v>
          </cell>
          <cell r="N505">
            <v>56.082999999999998</v>
          </cell>
        </row>
        <row r="506">
          <cell r="A506" t="str">
            <v>D2021/01983</v>
          </cell>
          <cell r="F506" t="str">
            <v>HTTP</v>
          </cell>
          <cell r="I506" t="str">
            <v>304L</v>
          </cell>
          <cell r="J506">
            <v>1</v>
          </cell>
          <cell r="K506">
            <v>4.9000000000000002E-2</v>
          </cell>
          <cell r="N506">
            <v>48</v>
          </cell>
        </row>
        <row r="507">
          <cell r="A507" t="str">
            <v>D2021/00590</v>
          </cell>
          <cell r="F507" t="str">
            <v>H&amp;R TUBE</v>
          </cell>
          <cell r="I507" t="str">
            <v>304L</v>
          </cell>
          <cell r="J507">
            <v>0.56200000000000006</v>
          </cell>
          <cell r="K507">
            <v>3.5000000000000003E-2</v>
          </cell>
          <cell r="N507">
            <v>24</v>
          </cell>
        </row>
        <row r="508">
          <cell r="A508" t="str">
            <v>Roll change</v>
          </cell>
          <cell r="F508">
            <v>0</v>
          </cell>
          <cell r="I508">
            <v>0</v>
          </cell>
          <cell r="J508">
            <v>0</v>
          </cell>
          <cell r="K508">
            <v>0</v>
          </cell>
          <cell r="N508">
            <v>0</v>
          </cell>
        </row>
        <row r="509">
          <cell r="A509" t="str">
            <v>D2021/01961</v>
          </cell>
          <cell r="F509" t="str">
            <v>HTTP</v>
          </cell>
          <cell r="I509" t="str">
            <v>304L</v>
          </cell>
          <cell r="J509">
            <v>1</v>
          </cell>
          <cell r="K509">
            <v>6.5000000000000002E-2</v>
          </cell>
          <cell r="N509">
            <v>41.083329999999997</v>
          </cell>
        </row>
        <row r="510">
          <cell r="A510" t="str">
            <v>D2021/01962</v>
          </cell>
          <cell r="F510" t="str">
            <v>HTTP</v>
          </cell>
          <cell r="I510" t="str">
            <v>304L</v>
          </cell>
          <cell r="J510">
            <v>1</v>
          </cell>
          <cell r="K510">
            <v>6.5000000000000002E-2</v>
          </cell>
          <cell r="N510">
            <v>48.083300000000001</v>
          </cell>
        </row>
        <row r="511">
          <cell r="A511" t="str">
            <v>D2021/01966</v>
          </cell>
          <cell r="F511" t="str">
            <v>HTTP</v>
          </cell>
          <cell r="I511" t="str">
            <v>316L</v>
          </cell>
          <cell r="J511">
            <v>1</v>
          </cell>
          <cell r="K511">
            <v>6.5000000000000002E-2</v>
          </cell>
          <cell r="N511">
            <v>20</v>
          </cell>
        </row>
        <row r="512">
          <cell r="A512" t="str">
            <v>D2021/01350</v>
          </cell>
          <cell r="F512" t="str">
            <v>EDISON TUBULAR PRODUCTS</v>
          </cell>
          <cell r="I512">
            <v>2205</v>
          </cell>
          <cell r="J512">
            <v>1</v>
          </cell>
          <cell r="K512">
            <v>6.5000000000000002E-2</v>
          </cell>
          <cell r="N512">
            <v>27</v>
          </cell>
        </row>
        <row r="513">
          <cell r="A513" t="str">
            <v>D2021/01984</v>
          </cell>
          <cell r="F513" t="str">
            <v>GEA SYSTEMS</v>
          </cell>
          <cell r="I513">
            <v>2205</v>
          </cell>
          <cell r="J513">
            <v>1</v>
          </cell>
          <cell r="K513">
            <v>4.9000000000000002E-2</v>
          </cell>
          <cell r="N513">
            <v>20</v>
          </cell>
        </row>
        <row r="514">
          <cell r="A514" t="str">
            <v>D2021/01969</v>
          </cell>
          <cell r="F514" t="str">
            <v>TUBES INC</v>
          </cell>
          <cell r="I514" t="str">
            <v>304L</v>
          </cell>
          <cell r="J514">
            <v>1.5</v>
          </cell>
          <cell r="K514">
            <v>6.5000000000000002E-2</v>
          </cell>
          <cell r="N514">
            <v>36</v>
          </cell>
        </row>
        <row r="515">
          <cell r="A515" t="str">
            <v>D2021/01991</v>
          </cell>
          <cell r="F515" t="str">
            <v>PAGET EQUIPMENT</v>
          </cell>
          <cell r="I515" t="str">
            <v>304L</v>
          </cell>
          <cell r="J515">
            <v>1.5</v>
          </cell>
          <cell r="K515">
            <v>6.5000000000000002E-2</v>
          </cell>
          <cell r="N515">
            <v>28</v>
          </cell>
        </row>
        <row r="516">
          <cell r="A516" t="str">
            <v>D2021/01578</v>
          </cell>
          <cell r="F516" t="str">
            <v>MASON MANUFACTURING</v>
          </cell>
          <cell r="I516" t="str">
            <v>N08367</v>
          </cell>
          <cell r="J516">
            <v>0.75</v>
          </cell>
          <cell r="K516">
            <v>6.5000000000000002E-2</v>
          </cell>
          <cell r="N516">
            <v>10</v>
          </cell>
        </row>
        <row r="517">
          <cell r="A517" t="str">
            <v>D2021/01582</v>
          </cell>
          <cell r="F517" t="str">
            <v>ALFA LAVAL NIAGARA</v>
          </cell>
          <cell r="I517" t="str">
            <v>316L</v>
          </cell>
          <cell r="J517">
            <v>1.25</v>
          </cell>
          <cell r="K517">
            <v>6.5000000000000002E-2</v>
          </cell>
          <cell r="N517">
            <v>40</v>
          </cell>
        </row>
        <row r="518">
          <cell r="A518" t="str">
            <v>D2021/01577</v>
          </cell>
          <cell r="F518" t="str">
            <v>TUBES INC</v>
          </cell>
          <cell r="I518" t="str">
            <v>N08367</v>
          </cell>
          <cell r="J518">
            <v>1</v>
          </cell>
          <cell r="K518">
            <v>8.3000000000000004E-2</v>
          </cell>
          <cell r="N518">
            <v>16</v>
          </cell>
        </row>
        <row r="519">
          <cell r="A519" t="str">
            <v>D2021/01576</v>
          </cell>
          <cell r="F519" t="str">
            <v>TUBES INC</v>
          </cell>
          <cell r="I519" t="str">
            <v>N08367</v>
          </cell>
          <cell r="J519">
            <v>1</v>
          </cell>
          <cell r="K519">
            <v>8.3000000000000004E-2</v>
          </cell>
          <cell r="N519">
            <v>12</v>
          </cell>
        </row>
        <row r="520">
          <cell r="A520" t="str">
            <v>D2020/00531</v>
          </cell>
          <cell r="F520" t="str">
            <v>AD TUBI USA</v>
          </cell>
          <cell r="I520" t="str">
            <v>Tit.Gr.2</v>
          </cell>
          <cell r="J520">
            <v>1</v>
          </cell>
          <cell r="K520">
            <v>2.8000000000000001E-2</v>
          </cell>
          <cell r="N520">
            <v>3.5</v>
          </cell>
        </row>
        <row r="521">
          <cell r="A521" t="str">
            <v>D2020/01988</v>
          </cell>
          <cell r="F521" t="str">
            <v>PAGET EQUIPMENT</v>
          </cell>
          <cell r="I521" t="str">
            <v>304L</v>
          </cell>
          <cell r="J521">
            <v>1</v>
          </cell>
          <cell r="K521">
            <v>4.9000000000000002E-2</v>
          </cell>
          <cell r="N521">
            <v>20</v>
          </cell>
        </row>
        <row r="522">
          <cell r="A522" t="str">
            <v>D2020/01990</v>
          </cell>
          <cell r="F522" t="str">
            <v>PAGET EQUIPMENT</v>
          </cell>
          <cell r="I522" t="str">
            <v>304L</v>
          </cell>
          <cell r="J522">
            <v>1</v>
          </cell>
          <cell r="K522">
            <v>4.9000000000000002E-2</v>
          </cell>
          <cell r="N522">
            <v>15</v>
          </cell>
        </row>
        <row r="523">
          <cell r="F523" t="str">
            <v/>
          </cell>
          <cell r="I523" t="str">
            <v/>
          </cell>
          <cell r="J523" t="str">
            <v/>
          </cell>
          <cell r="K523" t="str">
            <v/>
          </cell>
          <cell r="N523" t="str">
            <v/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TABLES"/>
      <sheetName val="MAIN TABLE"/>
    </sheetNames>
    <sheetDataSet>
      <sheetData sheetId="0">
        <row r="1">
          <cell r="E1" t="str">
            <v>Order#</v>
          </cell>
          <cell r="F1" t="str">
            <v>Amount</v>
          </cell>
          <cell r="L1" t="str">
            <v>date-OP-lookup</v>
          </cell>
        </row>
        <row r="2">
          <cell r="E2" t="str">
            <v>D2020/01026</v>
          </cell>
          <cell r="F2">
            <v>44</v>
          </cell>
          <cell r="L2" t="str">
            <v>43979-10</v>
          </cell>
        </row>
        <row r="3">
          <cell r="E3" t="str">
            <v>D2020/01026</v>
          </cell>
          <cell r="F3">
            <v>51</v>
          </cell>
          <cell r="L3" t="str">
            <v>43979-10</v>
          </cell>
        </row>
        <row r="4">
          <cell r="E4" t="str">
            <v>D2020/01026</v>
          </cell>
          <cell r="F4">
            <v>138</v>
          </cell>
          <cell r="L4" t="str">
            <v>43979-10</v>
          </cell>
        </row>
        <row r="5">
          <cell r="E5" t="str">
            <v>D2020/00941</v>
          </cell>
          <cell r="F5">
            <v>50</v>
          </cell>
          <cell r="L5" t="str">
            <v>43979-13</v>
          </cell>
        </row>
        <row r="6">
          <cell r="E6" t="str">
            <v>D2020/00941</v>
          </cell>
          <cell r="F6">
            <v>126</v>
          </cell>
          <cell r="L6" t="str">
            <v>43980-10</v>
          </cell>
        </row>
        <row r="7">
          <cell r="E7" t="str">
            <v>D2020/00941</v>
          </cell>
          <cell r="F7">
            <v>24</v>
          </cell>
          <cell r="L7" t="str">
            <v>43980-10</v>
          </cell>
        </row>
        <row r="8">
          <cell r="E8" t="str">
            <v>D2020/00941</v>
          </cell>
          <cell r="F8">
            <v>50</v>
          </cell>
          <cell r="L8" t="str">
            <v>43980-10</v>
          </cell>
        </row>
        <row r="9">
          <cell r="E9" t="str">
            <v>D2020/00941</v>
          </cell>
          <cell r="F9">
            <v>40</v>
          </cell>
          <cell r="L9" t="str">
            <v>43980-10</v>
          </cell>
        </row>
        <row r="10">
          <cell r="E10" t="str">
            <v>D2020/00941</v>
          </cell>
          <cell r="F10">
            <v>168</v>
          </cell>
          <cell r="L10" t="str">
            <v>43980-10</v>
          </cell>
        </row>
        <row r="11">
          <cell r="E11" t="str">
            <v>D2020/00941</v>
          </cell>
          <cell r="F11">
            <v>45</v>
          </cell>
          <cell r="L11" t="str">
            <v>43983-10</v>
          </cell>
        </row>
        <row r="12">
          <cell r="E12" t="str">
            <v>D2020/00941</v>
          </cell>
          <cell r="F12">
            <v>25</v>
          </cell>
          <cell r="L12" t="str">
            <v>43983-10</v>
          </cell>
        </row>
        <row r="13">
          <cell r="E13" t="str">
            <v>D2020/00941</v>
          </cell>
          <cell r="F13">
            <v>30</v>
          </cell>
          <cell r="L13" t="str">
            <v>43983-10</v>
          </cell>
        </row>
        <row r="14">
          <cell r="E14" t="str">
            <v>D2020/00942</v>
          </cell>
          <cell r="F14">
            <v>16</v>
          </cell>
          <cell r="L14" t="str">
            <v>43983-10</v>
          </cell>
        </row>
        <row r="15">
          <cell r="E15" t="str">
            <v>D2020/00943</v>
          </cell>
          <cell r="F15">
            <v>50</v>
          </cell>
          <cell r="L15" t="str">
            <v>43983-10</v>
          </cell>
        </row>
        <row r="16">
          <cell r="E16" t="str">
            <v>D2020/00943</v>
          </cell>
          <cell r="F16">
            <v>131</v>
          </cell>
          <cell r="L16" t="str">
            <v>43983-14</v>
          </cell>
        </row>
        <row r="17">
          <cell r="E17" t="str">
            <v>D2020/00943</v>
          </cell>
          <cell r="F17">
            <v>56</v>
          </cell>
          <cell r="L17" t="str">
            <v>43983-14</v>
          </cell>
        </row>
        <row r="18">
          <cell r="E18" t="str">
            <v>D2020/01054</v>
          </cell>
          <cell r="F18">
            <v>82</v>
          </cell>
          <cell r="L18" t="str">
            <v>43983-14</v>
          </cell>
        </row>
        <row r="19">
          <cell r="E19" t="str">
            <v>D2020/01054</v>
          </cell>
          <cell r="F19">
            <v>85</v>
          </cell>
          <cell r="L19" t="str">
            <v>43984-10</v>
          </cell>
        </row>
        <row r="20">
          <cell r="E20" t="str">
            <v>D2020/00766</v>
          </cell>
          <cell r="F20">
            <v>250</v>
          </cell>
          <cell r="L20" t="str">
            <v>43984-10</v>
          </cell>
        </row>
        <row r="21">
          <cell r="E21" t="str">
            <v>D2020/00766</v>
          </cell>
          <cell r="F21">
            <v>88</v>
          </cell>
          <cell r="L21" t="str">
            <v>43984-14</v>
          </cell>
        </row>
        <row r="22">
          <cell r="E22" t="str">
            <v>D2020/00766</v>
          </cell>
          <cell r="F22">
            <v>104</v>
          </cell>
          <cell r="L22" t="str">
            <v>43984-14</v>
          </cell>
        </row>
        <row r="23">
          <cell r="E23" t="str">
            <v>D2020/00766</v>
          </cell>
          <cell r="F23">
            <v>282</v>
          </cell>
          <cell r="L23" t="str">
            <v>43984-14</v>
          </cell>
        </row>
        <row r="24">
          <cell r="E24" t="str">
            <v>D2020/00766</v>
          </cell>
          <cell r="F24">
            <v>416</v>
          </cell>
          <cell r="L24" t="str">
            <v>43985-10</v>
          </cell>
        </row>
        <row r="25">
          <cell r="E25" t="str">
            <v>D2020/00766</v>
          </cell>
          <cell r="F25">
            <v>49</v>
          </cell>
          <cell r="L25" t="str">
            <v>43985-10</v>
          </cell>
        </row>
        <row r="26">
          <cell r="E26" t="str">
            <v>D2020/00766</v>
          </cell>
          <cell r="F26">
            <v>222</v>
          </cell>
          <cell r="L26" t="str">
            <v>43985-14</v>
          </cell>
        </row>
        <row r="27">
          <cell r="E27" t="str">
            <v>D2020/00766</v>
          </cell>
          <cell r="F27">
            <v>140</v>
          </cell>
          <cell r="L27" t="str">
            <v>43985-14</v>
          </cell>
        </row>
        <row r="28">
          <cell r="E28" t="str">
            <v>D2020/00766</v>
          </cell>
          <cell r="F28">
            <v>117</v>
          </cell>
          <cell r="L28" t="str">
            <v>43985-14</v>
          </cell>
        </row>
        <row r="29">
          <cell r="E29" t="str">
            <v>D2020/00766</v>
          </cell>
          <cell r="F29">
            <v>15</v>
          </cell>
          <cell r="L29" t="str">
            <v>43985-14</v>
          </cell>
        </row>
        <row r="30">
          <cell r="E30" t="str">
            <v>D2020/00766</v>
          </cell>
          <cell r="F30">
            <v>12</v>
          </cell>
          <cell r="L30" t="str">
            <v>43985-14</v>
          </cell>
        </row>
        <row r="31">
          <cell r="E31" t="str">
            <v>D2020/00766</v>
          </cell>
          <cell r="F31">
            <v>73</v>
          </cell>
          <cell r="L31" t="str">
            <v>43986-10</v>
          </cell>
        </row>
        <row r="32">
          <cell r="E32" t="str">
            <v>D2020/00766</v>
          </cell>
          <cell r="F32">
            <v>191</v>
          </cell>
          <cell r="L32" t="str">
            <v>43986-10</v>
          </cell>
        </row>
        <row r="33">
          <cell r="E33" t="str">
            <v>D2020/00766</v>
          </cell>
          <cell r="F33">
            <v>157</v>
          </cell>
          <cell r="L33" t="str">
            <v>43986-14</v>
          </cell>
        </row>
        <row r="34">
          <cell r="E34" t="str">
            <v>D2020/00766</v>
          </cell>
          <cell r="F34">
            <v>2</v>
          </cell>
          <cell r="L34" t="str">
            <v>43986-14</v>
          </cell>
        </row>
        <row r="35">
          <cell r="E35" t="str">
            <v>D2020/00766</v>
          </cell>
          <cell r="F35">
            <v>32</v>
          </cell>
          <cell r="L35" t="str">
            <v>43986-14</v>
          </cell>
        </row>
        <row r="36">
          <cell r="E36" t="str">
            <v>D2020/00766</v>
          </cell>
          <cell r="F36">
            <v>16</v>
          </cell>
          <cell r="L36" t="str">
            <v>43986-14</v>
          </cell>
        </row>
        <row r="37">
          <cell r="E37" t="str">
            <v>D2020/00766</v>
          </cell>
          <cell r="F37">
            <v>10</v>
          </cell>
          <cell r="L37" t="str">
            <v>43986-14</v>
          </cell>
        </row>
        <row r="38">
          <cell r="E38" t="str">
            <v>D2020/00765</v>
          </cell>
          <cell r="F38">
            <v>31</v>
          </cell>
          <cell r="L38" t="str">
            <v>43986-14</v>
          </cell>
        </row>
        <row r="39">
          <cell r="E39" t="str">
            <v>D2020/00765</v>
          </cell>
          <cell r="F39">
            <v>46</v>
          </cell>
          <cell r="L39" t="str">
            <v>43987-10</v>
          </cell>
        </row>
        <row r="40">
          <cell r="E40" t="str">
            <v>D2020/00765</v>
          </cell>
          <cell r="F40">
            <v>65</v>
          </cell>
          <cell r="L40" t="str">
            <v>43987-10</v>
          </cell>
        </row>
        <row r="41">
          <cell r="E41" t="str">
            <v>D2020/00765</v>
          </cell>
          <cell r="F41">
            <v>107</v>
          </cell>
          <cell r="L41" t="str">
            <v>43987-10</v>
          </cell>
        </row>
        <row r="42">
          <cell r="E42" t="str">
            <v>D2020/00765</v>
          </cell>
          <cell r="F42">
            <v>35</v>
          </cell>
          <cell r="L42" t="str">
            <v>43987-14</v>
          </cell>
        </row>
        <row r="43">
          <cell r="E43" t="str">
            <v>D2020/00765</v>
          </cell>
          <cell r="F43">
            <v>149</v>
          </cell>
          <cell r="L43" t="str">
            <v>43987-14</v>
          </cell>
        </row>
        <row r="44">
          <cell r="E44" t="str">
            <v>D2020/00765</v>
          </cell>
          <cell r="F44">
            <v>52</v>
          </cell>
          <cell r="L44" t="str">
            <v>43987-14</v>
          </cell>
        </row>
        <row r="45">
          <cell r="E45" t="str">
            <v>D2020/00765</v>
          </cell>
          <cell r="F45">
            <v>10</v>
          </cell>
          <cell r="L45" t="str">
            <v>43987-14</v>
          </cell>
        </row>
        <row r="46">
          <cell r="E46" t="str">
            <v>D2020/00765</v>
          </cell>
          <cell r="F46">
            <v>10</v>
          </cell>
          <cell r="L46" t="str">
            <v>43987-14</v>
          </cell>
        </row>
        <row r="47">
          <cell r="E47" t="str">
            <v>D2020/00765</v>
          </cell>
          <cell r="F47">
            <v>64</v>
          </cell>
          <cell r="L47" t="str">
            <v>43990-10</v>
          </cell>
        </row>
        <row r="48">
          <cell r="E48" t="str">
            <v>D2020/00765</v>
          </cell>
          <cell r="F48">
            <v>7</v>
          </cell>
          <cell r="L48" t="str">
            <v>43990-13</v>
          </cell>
        </row>
        <row r="49">
          <cell r="E49" t="str">
            <v>D2020/00765</v>
          </cell>
          <cell r="F49">
            <v>20</v>
          </cell>
          <cell r="L49" t="str">
            <v>43990-13</v>
          </cell>
        </row>
        <row r="50">
          <cell r="E50" t="str">
            <v>D2020/00765</v>
          </cell>
          <cell r="F50">
            <v>24</v>
          </cell>
          <cell r="L50" t="str">
            <v>43990-13</v>
          </cell>
        </row>
        <row r="51">
          <cell r="E51" t="str">
            <v>D2020/00765</v>
          </cell>
          <cell r="F51">
            <v>33</v>
          </cell>
          <cell r="L51" t="str">
            <v>43990-13</v>
          </cell>
        </row>
        <row r="52">
          <cell r="E52" t="str">
            <v>D2020/00765</v>
          </cell>
          <cell r="F52">
            <v>5</v>
          </cell>
          <cell r="L52" t="str">
            <v>43990-13</v>
          </cell>
        </row>
        <row r="53">
          <cell r="E53" t="str">
            <v>D2020/00765</v>
          </cell>
          <cell r="F53">
            <v>70</v>
          </cell>
          <cell r="L53" t="str">
            <v>43991-10</v>
          </cell>
        </row>
        <row r="54">
          <cell r="E54" t="str">
            <v>D2020/00765</v>
          </cell>
          <cell r="F54">
            <v>70</v>
          </cell>
          <cell r="L54" t="str">
            <v>43991-10</v>
          </cell>
        </row>
        <row r="55">
          <cell r="E55" t="str">
            <v>D2020/00765</v>
          </cell>
          <cell r="F55">
            <v>35</v>
          </cell>
          <cell r="L55" t="str">
            <v>43991-13</v>
          </cell>
        </row>
        <row r="56">
          <cell r="E56" t="str">
            <v>D2020/00765</v>
          </cell>
          <cell r="F56">
            <v>70</v>
          </cell>
          <cell r="L56" t="str">
            <v>43992-10</v>
          </cell>
        </row>
        <row r="57">
          <cell r="E57" t="str">
            <v>D2020/00765</v>
          </cell>
          <cell r="F57">
            <v>68</v>
          </cell>
          <cell r="L57" t="str">
            <v>43992-10</v>
          </cell>
        </row>
        <row r="58">
          <cell r="E58" t="str">
            <v>D2020/00765</v>
          </cell>
          <cell r="F58">
            <v>4</v>
          </cell>
          <cell r="L58" t="str">
            <v>43992-10</v>
          </cell>
        </row>
        <row r="59">
          <cell r="E59" t="str">
            <v>D2020/00765</v>
          </cell>
          <cell r="F59">
            <v>32</v>
          </cell>
          <cell r="L59" t="str">
            <v>43992-13</v>
          </cell>
        </row>
        <row r="60">
          <cell r="E60" t="str">
            <v>D2020/00765</v>
          </cell>
          <cell r="F60">
            <v>102</v>
          </cell>
          <cell r="L60" t="str">
            <v>43992-13</v>
          </cell>
        </row>
        <row r="61">
          <cell r="E61" t="str">
            <v>D2020/00765</v>
          </cell>
          <cell r="F61">
            <v>38</v>
          </cell>
          <cell r="L61" t="str">
            <v>43992-13</v>
          </cell>
        </row>
        <row r="62">
          <cell r="E62" t="str">
            <v>D2020/01025</v>
          </cell>
          <cell r="F62">
            <v>10</v>
          </cell>
          <cell r="L62" t="str">
            <v>43993-10</v>
          </cell>
        </row>
        <row r="63">
          <cell r="E63" t="str">
            <v>D2020/01025</v>
          </cell>
          <cell r="F63">
            <v>150</v>
          </cell>
          <cell r="L63" t="str">
            <v>43993-13</v>
          </cell>
        </row>
        <row r="64">
          <cell r="E64" t="str">
            <v>D2020/01025</v>
          </cell>
          <cell r="F64">
            <v>39</v>
          </cell>
          <cell r="L64" t="str">
            <v>43993-13</v>
          </cell>
        </row>
        <row r="65">
          <cell r="E65" t="str">
            <v>D2020/01025</v>
          </cell>
          <cell r="F65">
            <v>230</v>
          </cell>
          <cell r="L65" t="str">
            <v>43994-10</v>
          </cell>
        </row>
        <row r="66">
          <cell r="E66" t="str">
            <v>D2020/01024</v>
          </cell>
          <cell r="F66">
            <v>107</v>
          </cell>
          <cell r="L66" t="str">
            <v>43994-13</v>
          </cell>
        </row>
        <row r="67">
          <cell r="E67" t="str">
            <v>D2020/01024</v>
          </cell>
          <cell r="F67">
            <v>35</v>
          </cell>
          <cell r="L67" t="str">
            <v>43997-10</v>
          </cell>
        </row>
        <row r="68">
          <cell r="E68" t="str">
            <v>D2020/01024</v>
          </cell>
          <cell r="F68">
            <v>154</v>
          </cell>
          <cell r="L68" t="str">
            <v>43997-10</v>
          </cell>
        </row>
        <row r="69">
          <cell r="E69" t="str">
            <v>D2020/01111</v>
          </cell>
          <cell r="F69">
            <v>111</v>
          </cell>
          <cell r="L69" t="str">
            <v>43997-10</v>
          </cell>
        </row>
        <row r="70">
          <cell r="E70" t="str">
            <v>D2020/01111</v>
          </cell>
          <cell r="F70">
            <v>582</v>
          </cell>
          <cell r="L70" t="str">
            <v>43997-14</v>
          </cell>
        </row>
        <row r="71">
          <cell r="E71" t="str">
            <v>D2020/01056</v>
          </cell>
          <cell r="F71">
            <v>423</v>
          </cell>
          <cell r="L71" t="str">
            <v>43998-10</v>
          </cell>
        </row>
        <row r="72">
          <cell r="E72" t="str">
            <v>D2020/01056</v>
          </cell>
          <cell r="F72">
            <v>73</v>
          </cell>
          <cell r="L72" t="str">
            <v>43998-14</v>
          </cell>
        </row>
        <row r="73">
          <cell r="E73" t="str">
            <v>D2020/01056</v>
          </cell>
          <cell r="F73">
            <v>128</v>
          </cell>
          <cell r="L73" t="str">
            <v>43998-14</v>
          </cell>
        </row>
        <row r="74">
          <cell r="E74" t="str">
            <v>D2020/01056</v>
          </cell>
          <cell r="F74">
            <v>40</v>
          </cell>
          <cell r="L74" t="str">
            <v>43999-10</v>
          </cell>
        </row>
        <row r="75">
          <cell r="E75" t="str">
            <v>D2020/01055</v>
          </cell>
          <cell r="F75">
            <v>46</v>
          </cell>
          <cell r="L75" t="str">
            <v>43999-10</v>
          </cell>
        </row>
        <row r="76">
          <cell r="E76" t="str">
            <v>D2020/01059</v>
          </cell>
          <cell r="F76">
            <v>74</v>
          </cell>
          <cell r="L76" t="str">
            <v>43999-10</v>
          </cell>
        </row>
        <row r="77">
          <cell r="E77" t="str">
            <v>D2020/01059</v>
          </cell>
          <cell r="F77">
            <v>476</v>
          </cell>
          <cell r="L77" t="str">
            <v>43999-13</v>
          </cell>
        </row>
        <row r="78">
          <cell r="E78" t="str">
            <v>D2020/01059</v>
          </cell>
          <cell r="F78">
            <v>148</v>
          </cell>
          <cell r="L78" t="str">
            <v>44000-10</v>
          </cell>
        </row>
        <row r="79">
          <cell r="E79" t="str">
            <v>D2020/01059</v>
          </cell>
          <cell r="F79">
            <v>3</v>
          </cell>
          <cell r="L79" t="str">
            <v>44000-10</v>
          </cell>
        </row>
        <row r="80">
          <cell r="E80" t="str">
            <v>D2020/01059</v>
          </cell>
          <cell r="F80">
            <v>100</v>
          </cell>
          <cell r="L80" t="str">
            <v>44000-13</v>
          </cell>
        </row>
        <row r="81">
          <cell r="E81" t="str">
            <v>D2020/01059</v>
          </cell>
          <cell r="F81">
            <v>25</v>
          </cell>
          <cell r="L81" t="str">
            <v>44000-13</v>
          </cell>
        </row>
        <row r="82">
          <cell r="E82" t="str">
            <v>D2020/01059</v>
          </cell>
          <cell r="F82">
            <v>27</v>
          </cell>
          <cell r="L82" t="str">
            <v>44000-13</v>
          </cell>
        </row>
        <row r="83">
          <cell r="E83" t="str">
            <v>D2020/01059</v>
          </cell>
          <cell r="F83">
            <v>61</v>
          </cell>
          <cell r="L83" t="str">
            <v>44001-10</v>
          </cell>
        </row>
        <row r="84">
          <cell r="E84" t="str">
            <v>D2020/01059</v>
          </cell>
          <cell r="F84">
            <v>79</v>
          </cell>
          <cell r="L84" t="str">
            <v>44001-10</v>
          </cell>
        </row>
        <row r="85">
          <cell r="E85" t="str">
            <v>D2020/01059</v>
          </cell>
          <cell r="F85">
            <v>123</v>
          </cell>
          <cell r="L85" t="str">
            <v>44001-13</v>
          </cell>
        </row>
        <row r="86">
          <cell r="E86" t="str">
            <v>D2020/01059</v>
          </cell>
          <cell r="F86">
            <v>76</v>
          </cell>
          <cell r="L86" t="str">
            <v>44001-13</v>
          </cell>
        </row>
        <row r="87">
          <cell r="E87" t="str">
            <v>D2020/01059</v>
          </cell>
          <cell r="F87">
            <v>78</v>
          </cell>
          <cell r="L87" t="str">
            <v>44004-10</v>
          </cell>
        </row>
        <row r="88">
          <cell r="E88" t="str">
            <v>D2020/01059</v>
          </cell>
          <cell r="F88">
            <v>129</v>
          </cell>
          <cell r="L88" t="str">
            <v>44004-13</v>
          </cell>
        </row>
        <row r="89">
          <cell r="E89" t="str">
            <v>D2020/01059</v>
          </cell>
          <cell r="F89">
            <v>32</v>
          </cell>
          <cell r="L89" t="str">
            <v>44004-13</v>
          </cell>
        </row>
        <row r="90">
          <cell r="E90" t="str">
            <v>D2020/01059</v>
          </cell>
          <cell r="F90">
            <v>154</v>
          </cell>
          <cell r="L90" t="str">
            <v>44004-13</v>
          </cell>
        </row>
        <row r="91">
          <cell r="E91" t="str">
            <v>D2020/01059</v>
          </cell>
          <cell r="F91">
            <v>24</v>
          </cell>
          <cell r="L91" t="str">
            <v>44004-13</v>
          </cell>
        </row>
        <row r="92">
          <cell r="E92" t="str">
            <v>D2020/01059</v>
          </cell>
          <cell r="F92">
            <v>30</v>
          </cell>
          <cell r="L92" t="str">
            <v>44004-13</v>
          </cell>
        </row>
        <row r="93">
          <cell r="E93" t="str">
            <v>D2020/01059</v>
          </cell>
          <cell r="F93">
            <v>48</v>
          </cell>
          <cell r="L93" t="str">
            <v>44005-10</v>
          </cell>
        </row>
        <row r="94">
          <cell r="E94" t="str">
            <v>D2020/01059</v>
          </cell>
          <cell r="F94">
            <v>211</v>
          </cell>
          <cell r="L94" t="str">
            <v>44005-10</v>
          </cell>
        </row>
        <row r="95">
          <cell r="E95" t="str">
            <v>D2020/01059</v>
          </cell>
          <cell r="F95">
            <v>44</v>
          </cell>
          <cell r="L95" t="str">
            <v>44005-13</v>
          </cell>
        </row>
        <row r="96">
          <cell r="E96" t="str">
            <v>D2020/01059</v>
          </cell>
          <cell r="F96">
            <v>82</v>
          </cell>
          <cell r="L96" t="str">
            <v>44005-13</v>
          </cell>
        </row>
        <row r="97">
          <cell r="E97" t="str">
            <v>D2020/01059</v>
          </cell>
          <cell r="F97">
            <v>129</v>
          </cell>
          <cell r="L97" t="str">
            <v>44005-13</v>
          </cell>
        </row>
        <row r="98">
          <cell r="E98" t="str">
            <v>D2020/01059</v>
          </cell>
          <cell r="F98">
            <v>21</v>
          </cell>
          <cell r="L98" t="str">
            <v>44005-13</v>
          </cell>
        </row>
        <row r="99">
          <cell r="E99" t="str">
            <v>D2020/01059</v>
          </cell>
          <cell r="F99">
            <v>76</v>
          </cell>
          <cell r="L99" t="str">
            <v>44006-10</v>
          </cell>
        </row>
        <row r="100">
          <cell r="E100" t="str">
            <v>D2020/01059</v>
          </cell>
          <cell r="F100">
            <v>72</v>
          </cell>
          <cell r="L100" t="str">
            <v>44006-10</v>
          </cell>
        </row>
        <row r="101">
          <cell r="E101" t="str">
            <v>D2020/01059</v>
          </cell>
          <cell r="F101">
            <v>110</v>
          </cell>
          <cell r="L101" t="str">
            <v>44006-10</v>
          </cell>
        </row>
        <row r="102">
          <cell r="E102" t="str">
            <v>D2020/01059</v>
          </cell>
          <cell r="F102">
            <v>61</v>
          </cell>
          <cell r="L102" t="str">
            <v>44006-10</v>
          </cell>
        </row>
        <row r="103">
          <cell r="E103" t="str">
            <v>D2020/01059</v>
          </cell>
          <cell r="F103">
            <v>99</v>
          </cell>
          <cell r="L103" t="str">
            <v>44006-14</v>
          </cell>
        </row>
        <row r="104">
          <cell r="E104" t="str">
            <v>D2020/01059</v>
          </cell>
          <cell r="F104">
            <v>20</v>
          </cell>
          <cell r="L104" t="str">
            <v>44006-14</v>
          </cell>
        </row>
        <row r="105">
          <cell r="E105" t="str">
            <v>D2020/01059</v>
          </cell>
          <cell r="F105">
            <v>21</v>
          </cell>
          <cell r="L105" t="str">
            <v>44006-14</v>
          </cell>
        </row>
        <row r="106">
          <cell r="E106" t="str">
            <v>D2020/01059</v>
          </cell>
          <cell r="F106">
            <v>46</v>
          </cell>
          <cell r="L106" t="str">
            <v>44007-10</v>
          </cell>
        </row>
        <row r="107">
          <cell r="E107" t="str">
            <v>D2020/01059</v>
          </cell>
          <cell r="F107">
            <v>40</v>
          </cell>
          <cell r="L107" t="str">
            <v>44007-10</v>
          </cell>
        </row>
        <row r="108">
          <cell r="E108" t="str">
            <v>D2020/01059</v>
          </cell>
          <cell r="F108">
            <v>92</v>
          </cell>
          <cell r="L108" t="str">
            <v>44007-10</v>
          </cell>
        </row>
        <row r="109">
          <cell r="E109" t="str">
            <v>D2020/01059</v>
          </cell>
          <cell r="F109">
            <v>67</v>
          </cell>
          <cell r="L109" t="str">
            <v>44007-10</v>
          </cell>
        </row>
        <row r="110">
          <cell r="E110" t="str">
            <v>D2020/01059</v>
          </cell>
          <cell r="F110">
            <v>31</v>
          </cell>
          <cell r="L110" t="str">
            <v>44007-10</v>
          </cell>
        </row>
        <row r="111">
          <cell r="E111" t="str">
            <v>D2020/01059</v>
          </cell>
          <cell r="F111">
            <v>56</v>
          </cell>
          <cell r="L111" t="str">
            <v>44007-14</v>
          </cell>
        </row>
        <row r="112">
          <cell r="E112" t="str">
            <v>D2020/01059</v>
          </cell>
          <cell r="F112">
            <v>96</v>
          </cell>
          <cell r="L112" t="str">
            <v>44007-14</v>
          </cell>
        </row>
        <row r="113">
          <cell r="E113" t="str">
            <v>D2020/01059</v>
          </cell>
          <cell r="F113">
            <v>39</v>
          </cell>
          <cell r="L113" t="str">
            <v>44007-14</v>
          </cell>
        </row>
        <row r="114">
          <cell r="E114" t="str">
            <v>D2020/01059</v>
          </cell>
          <cell r="F114">
            <v>45</v>
          </cell>
          <cell r="L114" t="str">
            <v>44008-10</v>
          </cell>
        </row>
        <row r="115">
          <cell r="E115" t="str">
            <v>D2020/01059</v>
          </cell>
          <cell r="F115">
            <v>65</v>
          </cell>
          <cell r="L115" t="str">
            <v>44008-10</v>
          </cell>
        </row>
        <row r="116">
          <cell r="E116" t="str">
            <v>D2020/01059</v>
          </cell>
          <cell r="F116">
            <v>117</v>
          </cell>
          <cell r="L116" t="str">
            <v>44008-10</v>
          </cell>
        </row>
        <row r="117">
          <cell r="E117" t="str">
            <v>D2020/01300</v>
          </cell>
          <cell r="F117">
            <v>440</v>
          </cell>
          <cell r="L117" t="str">
            <v>44008-10</v>
          </cell>
        </row>
        <row r="118">
          <cell r="E118" t="str">
            <v>D2020/01300</v>
          </cell>
          <cell r="F118">
            <v>187</v>
          </cell>
          <cell r="L118" t="str">
            <v>44008-10</v>
          </cell>
        </row>
        <row r="119">
          <cell r="E119" t="str">
            <v>D2020/01300</v>
          </cell>
          <cell r="F119">
            <v>68</v>
          </cell>
          <cell r="L119" t="str">
            <v>44011-10</v>
          </cell>
        </row>
        <row r="120">
          <cell r="E120" t="str">
            <v>D2020/01300</v>
          </cell>
          <cell r="F120">
            <v>253</v>
          </cell>
          <cell r="L120" t="str">
            <v>44011-10</v>
          </cell>
        </row>
        <row r="121">
          <cell r="E121" t="str">
            <v>D2020/01300</v>
          </cell>
          <cell r="F121">
            <v>53</v>
          </cell>
          <cell r="L121" t="str">
            <v>44011-10</v>
          </cell>
        </row>
        <row r="122">
          <cell r="E122" t="str">
            <v>D2020/01300</v>
          </cell>
          <cell r="F122">
            <v>212</v>
          </cell>
          <cell r="L122" t="str">
            <v>44012-10</v>
          </cell>
        </row>
        <row r="123">
          <cell r="E123" t="str">
            <v>D2020/01320</v>
          </cell>
          <cell r="F123">
            <v>285</v>
          </cell>
          <cell r="L123" t="str">
            <v>44012-10</v>
          </cell>
        </row>
        <row r="124">
          <cell r="E124" t="str">
            <v>D2020/01320</v>
          </cell>
          <cell r="F124">
            <v>439</v>
          </cell>
          <cell r="L124" t="str">
            <v>44012-10</v>
          </cell>
        </row>
        <row r="125">
          <cell r="E125" t="str">
            <v>D2020/01320</v>
          </cell>
          <cell r="F125">
            <v>76</v>
          </cell>
          <cell r="L125" t="str">
            <v>44012-10</v>
          </cell>
        </row>
        <row r="126">
          <cell r="E126" t="str">
            <v>D2020/01320</v>
          </cell>
          <cell r="F126">
            <v>44</v>
          </cell>
          <cell r="L126" t="str">
            <v>44012-10</v>
          </cell>
        </row>
        <row r="127">
          <cell r="E127" t="str">
            <v>D2020/01320</v>
          </cell>
          <cell r="F127">
            <v>121</v>
          </cell>
          <cell r="L127" t="str">
            <v>44012-14</v>
          </cell>
        </row>
        <row r="128">
          <cell r="E128" t="str">
            <v>D2020/01320</v>
          </cell>
          <cell r="F128">
            <v>46</v>
          </cell>
          <cell r="L128" t="str">
            <v>44012-14</v>
          </cell>
        </row>
        <row r="129">
          <cell r="E129" t="str">
            <v>D2020/00992</v>
          </cell>
          <cell r="F129">
            <v>123</v>
          </cell>
          <cell r="L129" t="str">
            <v>44013-10</v>
          </cell>
        </row>
        <row r="130">
          <cell r="E130" t="str">
            <v>D2020/00992</v>
          </cell>
          <cell r="F130">
            <v>77</v>
          </cell>
          <cell r="L130" t="str">
            <v>44013-10</v>
          </cell>
        </row>
        <row r="131">
          <cell r="E131" t="str">
            <v>D2020/00992</v>
          </cell>
          <cell r="F131">
            <v>65</v>
          </cell>
          <cell r="L131" t="str">
            <v>44013-10</v>
          </cell>
        </row>
        <row r="132">
          <cell r="E132" t="str">
            <v>D2020/00992</v>
          </cell>
          <cell r="F132">
            <v>305</v>
          </cell>
          <cell r="L132" t="str">
            <v>44013-14</v>
          </cell>
        </row>
        <row r="133">
          <cell r="E133" t="str">
            <v>D2020/00992</v>
          </cell>
          <cell r="F133">
            <v>52</v>
          </cell>
          <cell r="L133" t="str">
            <v>44014-10</v>
          </cell>
        </row>
        <row r="134">
          <cell r="E134" t="str">
            <v>D2020/00992</v>
          </cell>
          <cell r="F134">
            <v>80</v>
          </cell>
          <cell r="L134" t="str">
            <v>44014-10</v>
          </cell>
        </row>
        <row r="135">
          <cell r="E135" t="str">
            <v>D2020/00992</v>
          </cell>
          <cell r="F135">
            <v>108</v>
          </cell>
          <cell r="L135" t="str">
            <v>44014-10</v>
          </cell>
        </row>
        <row r="136">
          <cell r="E136" t="str">
            <v>D2020/00992</v>
          </cell>
          <cell r="F136">
            <v>435</v>
          </cell>
          <cell r="L136" t="str">
            <v>44014-14</v>
          </cell>
        </row>
        <row r="137">
          <cell r="E137" t="str">
            <v>D2020/00992</v>
          </cell>
          <cell r="F137">
            <v>307</v>
          </cell>
          <cell r="L137" t="str">
            <v>44018-19</v>
          </cell>
        </row>
        <row r="138">
          <cell r="E138" t="str">
            <v>D2020/00992</v>
          </cell>
          <cell r="F138">
            <v>33</v>
          </cell>
          <cell r="L138" t="str">
            <v>44018-19</v>
          </cell>
        </row>
        <row r="139">
          <cell r="E139" t="str">
            <v>D2020/00992</v>
          </cell>
          <cell r="F139">
            <v>95</v>
          </cell>
          <cell r="L139" t="str">
            <v>44018-19</v>
          </cell>
        </row>
        <row r="140">
          <cell r="E140" t="str">
            <v>D2020/00992</v>
          </cell>
          <cell r="F140">
            <v>114</v>
          </cell>
          <cell r="L140" t="str">
            <v>44018-19</v>
          </cell>
        </row>
        <row r="141">
          <cell r="E141" t="str">
            <v>D2020/00992</v>
          </cell>
          <cell r="F141">
            <v>58</v>
          </cell>
          <cell r="L141" t="str">
            <v>44018-14</v>
          </cell>
        </row>
        <row r="142">
          <cell r="E142" t="str">
            <v>D2020/00992</v>
          </cell>
          <cell r="F142">
            <v>65</v>
          </cell>
          <cell r="L142" t="str">
            <v>44018-14</v>
          </cell>
        </row>
        <row r="143">
          <cell r="E143" t="str">
            <v>D2020/00992</v>
          </cell>
          <cell r="F143">
            <v>180</v>
          </cell>
          <cell r="L143" t="str">
            <v>44018-14</v>
          </cell>
        </row>
        <row r="144">
          <cell r="E144" t="str">
            <v>D2020/00992</v>
          </cell>
          <cell r="F144">
            <v>57</v>
          </cell>
          <cell r="L144" t="str">
            <v>44019-19</v>
          </cell>
        </row>
        <row r="145">
          <cell r="E145" t="str">
            <v>D2020/00992</v>
          </cell>
          <cell r="F145">
            <v>416</v>
          </cell>
          <cell r="L145" t="str">
            <v>44019-19</v>
          </cell>
        </row>
        <row r="146">
          <cell r="E146" t="str">
            <v>D2020/00992</v>
          </cell>
          <cell r="F146">
            <v>130</v>
          </cell>
          <cell r="L146" t="str">
            <v>44019-19</v>
          </cell>
        </row>
        <row r="147">
          <cell r="E147" t="str">
            <v>D2020/00992</v>
          </cell>
          <cell r="F147">
            <v>57</v>
          </cell>
          <cell r="L147" t="str">
            <v>44019-14</v>
          </cell>
        </row>
        <row r="148">
          <cell r="E148" t="str">
            <v>D2020/00992</v>
          </cell>
          <cell r="F148">
            <v>118</v>
          </cell>
          <cell r="L148" t="str">
            <v>44019-14</v>
          </cell>
        </row>
        <row r="149">
          <cell r="E149" t="str">
            <v>D2020/00992</v>
          </cell>
          <cell r="F149">
            <v>40</v>
          </cell>
          <cell r="L149" t="str">
            <v>44020-19</v>
          </cell>
        </row>
        <row r="150">
          <cell r="E150" t="str">
            <v>D2020/00992</v>
          </cell>
          <cell r="F150">
            <v>83</v>
          </cell>
          <cell r="L150" t="str">
            <v>44020-19</v>
          </cell>
        </row>
        <row r="151">
          <cell r="E151" t="str">
            <v>D2020/00992</v>
          </cell>
          <cell r="F151">
            <v>17</v>
          </cell>
          <cell r="L151" t="str">
            <v>44020-19</v>
          </cell>
        </row>
        <row r="152">
          <cell r="E152" t="str">
            <v>D2020/00992</v>
          </cell>
          <cell r="F152">
            <v>8</v>
          </cell>
          <cell r="L152" t="str">
            <v>44020-19</v>
          </cell>
        </row>
        <row r="153">
          <cell r="E153" t="str">
            <v>D2020/00992</v>
          </cell>
          <cell r="F153">
            <v>6</v>
          </cell>
          <cell r="L153" t="str">
            <v>44020-19</v>
          </cell>
        </row>
        <row r="154">
          <cell r="E154" t="str">
            <v>D2020/00992</v>
          </cell>
          <cell r="F154">
            <v>49</v>
          </cell>
          <cell r="L154" t="str">
            <v>44020-14</v>
          </cell>
        </row>
        <row r="155">
          <cell r="E155" t="str">
            <v>D2020/00992</v>
          </cell>
          <cell r="F155">
            <v>19</v>
          </cell>
          <cell r="L155" t="str">
            <v>44021-19</v>
          </cell>
        </row>
        <row r="156">
          <cell r="E156" t="str">
            <v>D2020/00992</v>
          </cell>
          <cell r="F156">
            <v>3</v>
          </cell>
          <cell r="L156" t="str">
            <v>44021-19</v>
          </cell>
        </row>
        <row r="157">
          <cell r="E157" t="str">
            <v>D2020/00992</v>
          </cell>
          <cell r="F157">
            <v>32</v>
          </cell>
          <cell r="L157" t="str">
            <v>44021-19</v>
          </cell>
        </row>
        <row r="158">
          <cell r="E158" t="str">
            <v>D2020/00992</v>
          </cell>
          <cell r="F158">
            <v>26</v>
          </cell>
          <cell r="L158" t="str">
            <v>44021-19</v>
          </cell>
        </row>
        <row r="159">
          <cell r="E159" t="str">
            <v>D2020/00992</v>
          </cell>
          <cell r="F159">
            <v>10</v>
          </cell>
          <cell r="L159" t="str">
            <v>44021-19</v>
          </cell>
        </row>
        <row r="160">
          <cell r="E160" t="str">
            <v>D2020/00992</v>
          </cell>
          <cell r="F160">
            <v>39</v>
          </cell>
          <cell r="L160" t="str">
            <v>44021-19</v>
          </cell>
        </row>
        <row r="161">
          <cell r="E161" t="str">
            <v>D2020/00992</v>
          </cell>
          <cell r="F161">
            <v>28</v>
          </cell>
          <cell r="L161" t="str">
            <v>44021-14</v>
          </cell>
        </row>
        <row r="162">
          <cell r="E162" t="str">
            <v>D2020/00992</v>
          </cell>
          <cell r="F162">
            <v>37</v>
          </cell>
          <cell r="L162" t="str">
            <v>44022-19</v>
          </cell>
        </row>
        <row r="163">
          <cell r="E163" t="str">
            <v>D2020/00992</v>
          </cell>
          <cell r="F163">
            <v>39</v>
          </cell>
          <cell r="L163" t="str">
            <v>44022-19</v>
          </cell>
        </row>
        <row r="164">
          <cell r="E164" t="str">
            <v>D2020/00992</v>
          </cell>
          <cell r="F164">
            <v>6</v>
          </cell>
          <cell r="L164" t="str">
            <v>44022-19</v>
          </cell>
        </row>
        <row r="165">
          <cell r="E165" t="str">
            <v>D2020/00992</v>
          </cell>
          <cell r="F165">
            <v>33</v>
          </cell>
          <cell r="L165" t="str">
            <v>44022-19</v>
          </cell>
        </row>
        <row r="166">
          <cell r="E166" t="str">
            <v>D2020/00992</v>
          </cell>
          <cell r="F166">
            <v>12</v>
          </cell>
          <cell r="L166" t="str">
            <v>44022-19</v>
          </cell>
        </row>
        <row r="167">
          <cell r="E167" t="str">
            <v>D2020/00992</v>
          </cell>
          <cell r="F167">
            <v>5</v>
          </cell>
          <cell r="L167" t="str">
            <v>44022-19</v>
          </cell>
        </row>
        <row r="168">
          <cell r="E168" t="str">
            <v>D2020/00992</v>
          </cell>
          <cell r="F168">
            <v>42</v>
          </cell>
          <cell r="L168" t="str">
            <v>44022-14</v>
          </cell>
        </row>
        <row r="169">
          <cell r="E169" t="str">
            <v>D2020/00992</v>
          </cell>
          <cell r="F169">
            <v>91</v>
          </cell>
          <cell r="L169" t="str">
            <v>44022-14</v>
          </cell>
        </row>
        <row r="170">
          <cell r="E170" t="str">
            <v>D2020/00992</v>
          </cell>
          <cell r="F170">
            <v>1</v>
          </cell>
          <cell r="L170" t="str">
            <v>44025-10</v>
          </cell>
        </row>
        <row r="171">
          <cell r="E171" t="str">
            <v>D2020/00992</v>
          </cell>
          <cell r="F171">
            <v>33</v>
          </cell>
          <cell r="L171" t="str">
            <v>44025-10</v>
          </cell>
        </row>
        <row r="172">
          <cell r="E172" t="str">
            <v>D2020/00992</v>
          </cell>
          <cell r="F172">
            <v>25</v>
          </cell>
          <cell r="L172" t="str">
            <v>44025-10</v>
          </cell>
        </row>
        <row r="173">
          <cell r="E173" t="str">
            <v>D2020/00992</v>
          </cell>
          <cell r="F173">
            <v>6</v>
          </cell>
          <cell r="L173" t="str">
            <v>44025-10</v>
          </cell>
        </row>
        <row r="174">
          <cell r="E174" t="str">
            <v>D2020/00992</v>
          </cell>
          <cell r="F174">
            <v>6</v>
          </cell>
          <cell r="L174" t="str">
            <v>44025-10</v>
          </cell>
        </row>
        <row r="175">
          <cell r="E175" t="str">
            <v>D2020/00992</v>
          </cell>
          <cell r="F175">
            <v>2</v>
          </cell>
          <cell r="L175" t="str">
            <v>44025-14</v>
          </cell>
        </row>
        <row r="176">
          <cell r="E176" t="str">
            <v>D2020/00992</v>
          </cell>
          <cell r="F176">
            <v>146</v>
          </cell>
          <cell r="L176" t="str">
            <v>44025-14</v>
          </cell>
        </row>
        <row r="177">
          <cell r="E177" t="str">
            <v>D2020/00992</v>
          </cell>
          <cell r="F177">
            <v>59</v>
          </cell>
          <cell r="L177" t="str">
            <v>44025-14</v>
          </cell>
        </row>
        <row r="178">
          <cell r="E178" t="str">
            <v>D2020/00992</v>
          </cell>
          <cell r="F178">
            <v>23</v>
          </cell>
          <cell r="L178" t="str">
            <v>44026-10</v>
          </cell>
        </row>
        <row r="179">
          <cell r="E179" t="str">
            <v>D2020/00992</v>
          </cell>
          <cell r="F179">
            <v>184</v>
          </cell>
          <cell r="L179" t="str">
            <v>44026-10</v>
          </cell>
        </row>
        <row r="180">
          <cell r="E180" t="str">
            <v>D2020/00992</v>
          </cell>
          <cell r="F180">
            <v>53</v>
          </cell>
          <cell r="L180" t="str">
            <v>44026-10</v>
          </cell>
        </row>
        <row r="181">
          <cell r="E181" t="str">
            <v>D2020/00992</v>
          </cell>
          <cell r="F181">
            <v>65</v>
          </cell>
          <cell r="L181" t="str">
            <v>44026-10</v>
          </cell>
        </row>
        <row r="182">
          <cell r="E182" t="str">
            <v>D2020/00992</v>
          </cell>
          <cell r="F182">
            <v>6</v>
          </cell>
          <cell r="L182" t="str">
            <v>44026-10</v>
          </cell>
        </row>
        <row r="183">
          <cell r="E183" t="str">
            <v>D2020/00992</v>
          </cell>
          <cell r="F183">
            <v>22</v>
          </cell>
          <cell r="L183" t="str">
            <v>44026-14</v>
          </cell>
        </row>
        <row r="184">
          <cell r="E184" t="str">
            <v>D2020/00992</v>
          </cell>
          <cell r="F184">
            <v>39</v>
          </cell>
          <cell r="L184" t="str">
            <v>44026-14</v>
          </cell>
        </row>
        <row r="185">
          <cell r="E185" t="str">
            <v>D2020/00992</v>
          </cell>
          <cell r="F185">
            <v>133</v>
          </cell>
          <cell r="L185" t="str">
            <v>44026-14</v>
          </cell>
        </row>
        <row r="186">
          <cell r="E186" t="str">
            <v>D2020/00992</v>
          </cell>
          <cell r="F186">
            <v>62</v>
          </cell>
          <cell r="L186" t="str">
            <v>44026-14</v>
          </cell>
        </row>
        <row r="187">
          <cell r="E187" t="str">
            <v>D2020/00992</v>
          </cell>
          <cell r="F187">
            <v>34</v>
          </cell>
          <cell r="L187" t="str">
            <v>44026-14</v>
          </cell>
        </row>
        <row r="188">
          <cell r="E188" t="str">
            <v>D2020/00992</v>
          </cell>
          <cell r="F188">
            <v>4</v>
          </cell>
          <cell r="L188" t="str">
            <v>44026-14</v>
          </cell>
        </row>
        <row r="189">
          <cell r="E189" t="str">
            <v>D2020/00992</v>
          </cell>
          <cell r="F189">
            <v>6</v>
          </cell>
          <cell r="L189" t="str">
            <v>44027-10</v>
          </cell>
        </row>
        <row r="190">
          <cell r="E190" t="str">
            <v>D2020/00992</v>
          </cell>
          <cell r="F190">
            <v>3</v>
          </cell>
          <cell r="L190" t="str">
            <v>44027-10</v>
          </cell>
        </row>
        <row r="191">
          <cell r="E191" t="str">
            <v>D2020/00992</v>
          </cell>
          <cell r="F191">
            <v>3</v>
          </cell>
          <cell r="L191" t="str">
            <v>44027-10</v>
          </cell>
        </row>
        <row r="192">
          <cell r="E192" t="str">
            <v>D2020/00992</v>
          </cell>
          <cell r="F192">
            <v>1</v>
          </cell>
          <cell r="L192" t="str">
            <v>44027-10</v>
          </cell>
        </row>
        <row r="193">
          <cell r="E193" t="str">
            <v>D2020/00992</v>
          </cell>
          <cell r="F193">
            <v>3</v>
          </cell>
          <cell r="L193" t="str">
            <v>44027-10</v>
          </cell>
        </row>
        <row r="194">
          <cell r="E194" t="str">
            <v>D2020/00992</v>
          </cell>
          <cell r="F194">
            <v>20</v>
          </cell>
          <cell r="L194" t="str">
            <v>44027-14</v>
          </cell>
        </row>
        <row r="195">
          <cell r="E195" t="str">
            <v>D2020/00992</v>
          </cell>
          <cell r="F195">
            <v>117</v>
          </cell>
          <cell r="L195" t="str">
            <v>44027-14</v>
          </cell>
        </row>
        <row r="196">
          <cell r="E196" t="str">
            <v>D2020/00992</v>
          </cell>
          <cell r="F196">
            <v>17</v>
          </cell>
          <cell r="L196" t="str">
            <v>44027-14</v>
          </cell>
        </row>
        <row r="197">
          <cell r="E197" t="str">
            <v>D2020/00992</v>
          </cell>
          <cell r="F197">
            <v>34</v>
          </cell>
          <cell r="L197" t="str">
            <v>44028-10</v>
          </cell>
        </row>
        <row r="198">
          <cell r="E198" t="str">
            <v>D2020/00992</v>
          </cell>
          <cell r="F198">
            <v>49</v>
          </cell>
          <cell r="L198" t="str">
            <v>44028-10</v>
          </cell>
        </row>
        <row r="199">
          <cell r="E199" t="str">
            <v>D2020/00992</v>
          </cell>
          <cell r="F199">
            <v>34</v>
          </cell>
          <cell r="L199" t="str">
            <v>44028-10</v>
          </cell>
        </row>
        <row r="200">
          <cell r="E200" t="str">
            <v>D2020/00992</v>
          </cell>
          <cell r="F200">
            <v>46</v>
          </cell>
          <cell r="L200" t="str">
            <v>44028-10</v>
          </cell>
        </row>
        <row r="201">
          <cell r="E201" t="str">
            <v>D2020/00992</v>
          </cell>
          <cell r="F201">
            <v>78</v>
          </cell>
          <cell r="L201" t="str">
            <v>44028-14</v>
          </cell>
        </row>
        <row r="202">
          <cell r="E202" t="str">
            <v>D2020/00992</v>
          </cell>
          <cell r="F202">
            <v>41</v>
          </cell>
          <cell r="L202" t="str">
            <v>44028-14</v>
          </cell>
        </row>
        <row r="203">
          <cell r="E203" t="str">
            <v>D2020/00992</v>
          </cell>
          <cell r="F203">
            <v>61</v>
          </cell>
          <cell r="L203" t="str">
            <v>44028-14</v>
          </cell>
        </row>
        <row r="204">
          <cell r="E204" t="str">
            <v>D2020/00992</v>
          </cell>
          <cell r="F204">
            <v>27</v>
          </cell>
          <cell r="L204" t="str">
            <v>44028-14</v>
          </cell>
        </row>
        <row r="205">
          <cell r="E205" t="str">
            <v>D2020/00992</v>
          </cell>
          <cell r="F205">
            <v>28</v>
          </cell>
          <cell r="L205" t="str">
            <v>44029-10</v>
          </cell>
        </row>
        <row r="206">
          <cell r="E206" t="str">
            <v>D2020/00992</v>
          </cell>
          <cell r="F206">
            <v>37</v>
          </cell>
          <cell r="L206" t="str">
            <v>44029-10</v>
          </cell>
        </row>
        <row r="207">
          <cell r="E207" t="str">
            <v>D2020/00992</v>
          </cell>
          <cell r="F207">
            <v>47</v>
          </cell>
          <cell r="L207" t="str">
            <v>44029-10</v>
          </cell>
        </row>
        <row r="208">
          <cell r="E208" t="str">
            <v>D2020/00992</v>
          </cell>
          <cell r="F208">
            <v>15</v>
          </cell>
          <cell r="L208" t="str">
            <v>44029-10</v>
          </cell>
        </row>
        <row r="209">
          <cell r="E209" t="str">
            <v>D2020/00992</v>
          </cell>
          <cell r="F209">
            <v>16</v>
          </cell>
          <cell r="L209" t="str">
            <v>44029-10</v>
          </cell>
        </row>
        <row r="210">
          <cell r="E210" t="str">
            <v>D2020/00992</v>
          </cell>
          <cell r="F210">
            <v>7</v>
          </cell>
          <cell r="L210" t="str">
            <v>44029-10</v>
          </cell>
        </row>
        <row r="211">
          <cell r="E211" t="str">
            <v>D2020/00992</v>
          </cell>
          <cell r="F211">
            <v>17</v>
          </cell>
          <cell r="L211" t="str">
            <v>44029-14</v>
          </cell>
        </row>
        <row r="212">
          <cell r="E212" t="str">
            <v>D2020/00992</v>
          </cell>
          <cell r="F212">
            <v>29</v>
          </cell>
          <cell r="L212" t="str">
            <v>44029-14</v>
          </cell>
        </row>
        <row r="213">
          <cell r="E213" t="str">
            <v>D2020/00992</v>
          </cell>
          <cell r="F213">
            <v>10</v>
          </cell>
          <cell r="L213" t="str">
            <v>44029-14</v>
          </cell>
        </row>
        <row r="214">
          <cell r="E214" t="str">
            <v>D2020/00993</v>
          </cell>
          <cell r="F214">
            <v>109</v>
          </cell>
          <cell r="L214" t="str">
            <v>44029-14</v>
          </cell>
        </row>
        <row r="215">
          <cell r="E215" t="str">
            <v>D2020/00993</v>
          </cell>
          <cell r="F215">
            <v>171</v>
          </cell>
          <cell r="L215" t="str">
            <v>44029-14</v>
          </cell>
        </row>
        <row r="216">
          <cell r="E216" t="str">
            <v>D2020/00993</v>
          </cell>
          <cell r="F216">
            <v>10</v>
          </cell>
          <cell r="L216" t="str">
            <v>44032-10</v>
          </cell>
        </row>
        <row r="217">
          <cell r="E217" t="str">
            <v>D2020/00993</v>
          </cell>
          <cell r="F217">
            <v>45</v>
          </cell>
          <cell r="L217" t="str">
            <v>44032-10</v>
          </cell>
        </row>
        <row r="218">
          <cell r="E218" t="str">
            <v>D2020/00993</v>
          </cell>
          <cell r="F218">
            <v>14</v>
          </cell>
          <cell r="L218" t="str">
            <v>44032-10</v>
          </cell>
        </row>
        <row r="219">
          <cell r="E219" t="str">
            <v>D2020/00993</v>
          </cell>
          <cell r="F219">
            <v>20</v>
          </cell>
          <cell r="L219" t="str">
            <v>44032-10</v>
          </cell>
        </row>
        <row r="220">
          <cell r="E220" t="str">
            <v>D2020/00993</v>
          </cell>
          <cell r="F220">
            <v>57</v>
          </cell>
          <cell r="L220" t="str">
            <v>44032-10</v>
          </cell>
        </row>
        <row r="221">
          <cell r="E221" t="str">
            <v>D2020/00993</v>
          </cell>
          <cell r="F221">
            <v>5</v>
          </cell>
          <cell r="L221" t="str">
            <v>44032-14</v>
          </cell>
        </row>
        <row r="222">
          <cell r="E222" t="str">
            <v>D2020/00993</v>
          </cell>
          <cell r="F222">
            <v>50</v>
          </cell>
          <cell r="L222" t="str">
            <v>44032-14</v>
          </cell>
        </row>
        <row r="223">
          <cell r="E223" t="str">
            <v>D2020/00993</v>
          </cell>
          <cell r="F223">
            <v>58</v>
          </cell>
          <cell r="L223" t="str">
            <v>44032-14</v>
          </cell>
        </row>
        <row r="224">
          <cell r="E224" t="str">
            <v>D2020/00993</v>
          </cell>
          <cell r="F224">
            <v>17</v>
          </cell>
          <cell r="L224" t="str">
            <v>44033-10</v>
          </cell>
        </row>
        <row r="225">
          <cell r="E225" t="str">
            <v>D2020/00993</v>
          </cell>
          <cell r="F225">
            <v>6</v>
          </cell>
          <cell r="L225" t="str">
            <v>44033-10</v>
          </cell>
        </row>
        <row r="226">
          <cell r="E226" t="str">
            <v>D2020/00993</v>
          </cell>
          <cell r="F226">
            <v>13</v>
          </cell>
          <cell r="L226" t="str">
            <v>44033-10</v>
          </cell>
        </row>
        <row r="227">
          <cell r="E227" t="str">
            <v>D2020/00993</v>
          </cell>
          <cell r="F227">
            <v>36</v>
          </cell>
          <cell r="L227" t="str">
            <v>44033-14</v>
          </cell>
        </row>
        <row r="228">
          <cell r="E228" t="str">
            <v>D2020/00993</v>
          </cell>
          <cell r="F228">
            <v>7</v>
          </cell>
          <cell r="L228" t="str">
            <v>44033-14</v>
          </cell>
        </row>
        <row r="229">
          <cell r="E229" t="str">
            <v>D2020/00993</v>
          </cell>
          <cell r="F229">
            <v>7</v>
          </cell>
          <cell r="L229" t="str">
            <v>44033-14</v>
          </cell>
        </row>
        <row r="230">
          <cell r="E230" t="str">
            <v>D2020/00993</v>
          </cell>
          <cell r="F230">
            <v>254</v>
          </cell>
          <cell r="L230" t="str">
            <v>44033-14</v>
          </cell>
        </row>
        <row r="231">
          <cell r="E231" t="str">
            <v>D2020/00993</v>
          </cell>
          <cell r="F231">
            <v>14</v>
          </cell>
          <cell r="L231" t="str">
            <v>44034-10</v>
          </cell>
        </row>
        <row r="232">
          <cell r="E232" t="str">
            <v>D2020/00993</v>
          </cell>
          <cell r="F232">
            <v>5</v>
          </cell>
          <cell r="L232" t="str">
            <v>44034-10</v>
          </cell>
        </row>
        <row r="233">
          <cell r="E233" t="str">
            <v>D2020/00993</v>
          </cell>
          <cell r="F233">
            <v>17</v>
          </cell>
          <cell r="L233" t="str">
            <v>44034-10</v>
          </cell>
        </row>
        <row r="234">
          <cell r="E234" t="str">
            <v>D2020/00993</v>
          </cell>
          <cell r="F234">
            <v>1</v>
          </cell>
          <cell r="L234" t="str">
            <v>44034-10</v>
          </cell>
        </row>
        <row r="235">
          <cell r="E235" t="str">
            <v>D2020/00993</v>
          </cell>
          <cell r="F235">
            <v>62</v>
          </cell>
          <cell r="L235" t="str">
            <v>44034-14</v>
          </cell>
        </row>
        <row r="236">
          <cell r="E236" t="str">
            <v>D2020/00993</v>
          </cell>
          <cell r="F236">
            <v>49</v>
          </cell>
          <cell r="L236" t="str">
            <v>44034-14</v>
          </cell>
        </row>
        <row r="237">
          <cell r="E237" t="str">
            <v>D2020/00993</v>
          </cell>
          <cell r="F237">
            <v>11</v>
          </cell>
          <cell r="L237" t="str">
            <v>44035-10</v>
          </cell>
        </row>
        <row r="238">
          <cell r="E238" t="str">
            <v>D2020/00993</v>
          </cell>
          <cell r="F238">
            <v>11</v>
          </cell>
          <cell r="L238" t="str">
            <v>44035-10</v>
          </cell>
        </row>
        <row r="239">
          <cell r="E239" t="str">
            <v>D2020/00993</v>
          </cell>
          <cell r="F239">
            <v>21</v>
          </cell>
          <cell r="L239" t="str">
            <v>44035-10</v>
          </cell>
        </row>
        <row r="240">
          <cell r="E240" t="str">
            <v>D2020/00993</v>
          </cell>
          <cell r="F240">
            <v>9</v>
          </cell>
          <cell r="L240" t="str">
            <v>44035-10</v>
          </cell>
        </row>
        <row r="241">
          <cell r="E241" t="str">
            <v>D2020/00993</v>
          </cell>
          <cell r="F241">
            <v>4</v>
          </cell>
          <cell r="L241" t="str">
            <v>44035-10</v>
          </cell>
        </row>
        <row r="242">
          <cell r="E242" t="str">
            <v>D2020/00993</v>
          </cell>
          <cell r="F242">
            <v>3</v>
          </cell>
          <cell r="L242" t="str">
            <v>44035-14</v>
          </cell>
        </row>
        <row r="243">
          <cell r="E243" t="str">
            <v>D2020/00993</v>
          </cell>
          <cell r="F243">
            <v>17</v>
          </cell>
          <cell r="L243" t="str">
            <v>44035-14</v>
          </cell>
        </row>
        <row r="244">
          <cell r="E244" t="str">
            <v>D2020/00993</v>
          </cell>
          <cell r="F244">
            <v>7</v>
          </cell>
          <cell r="L244" t="str">
            <v>44035-14</v>
          </cell>
        </row>
        <row r="245">
          <cell r="E245" t="str">
            <v>D2020/00993</v>
          </cell>
          <cell r="F245">
            <v>11</v>
          </cell>
          <cell r="L245" t="str">
            <v>44035-14</v>
          </cell>
        </row>
        <row r="246">
          <cell r="E246" t="str">
            <v>D2020/00993</v>
          </cell>
          <cell r="F246">
            <v>7</v>
          </cell>
          <cell r="L246" t="str">
            <v>44036-19</v>
          </cell>
        </row>
        <row r="247">
          <cell r="E247" t="str">
            <v>D2020/00993</v>
          </cell>
          <cell r="F247">
            <v>96</v>
          </cell>
          <cell r="L247" t="str">
            <v>44036-19</v>
          </cell>
        </row>
        <row r="248">
          <cell r="E248" t="str">
            <v>D2020/00993</v>
          </cell>
          <cell r="F248">
            <v>67</v>
          </cell>
          <cell r="L248" t="str">
            <v>44036-19</v>
          </cell>
        </row>
        <row r="249">
          <cell r="E249" t="str">
            <v>D2020/00993</v>
          </cell>
          <cell r="F249">
            <v>17</v>
          </cell>
          <cell r="L249" t="str">
            <v>44036-19</v>
          </cell>
        </row>
        <row r="250">
          <cell r="E250" t="str">
            <v>D2020/00993</v>
          </cell>
          <cell r="F250">
            <v>320</v>
          </cell>
          <cell r="L250" t="str">
            <v>44036-13</v>
          </cell>
        </row>
        <row r="251">
          <cell r="E251" t="str">
            <v>D2020/00993</v>
          </cell>
          <cell r="F251">
            <v>73</v>
          </cell>
          <cell r="L251" t="str">
            <v>44036-13</v>
          </cell>
        </row>
        <row r="252">
          <cell r="E252" t="str">
            <v>D2020/00993</v>
          </cell>
          <cell r="F252">
            <v>50</v>
          </cell>
          <cell r="L252" t="str">
            <v>44039-10</v>
          </cell>
        </row>
        <row r="253">
          <cell r="E253" t="str">
            <v>D2020/00993</v>
          </cell>
          <cell r="F253">
            <v>34</v>
          </cell>
          <cell r="L253" t="str">
            <v>44039-10</v>
          </cell>
        </row>
        <row r="254">
          <cell r="E254" t="str">
            <v>D2020/00993</v>
          </cell>
          <cell r="F254">
            <v>26</v>
          </cell>
          <cell r="L254" t="str">
            <v>44039-10</v>
          </cell>
        </row>
        <row r="255">
          <cell r="E255" t="str">
            <v>D2020/00993</v>
          </cell>
          <cell r="F255">
            <v>12</v>
          </cell>
          <cell r="L255" t="str">
            <v>44039-10</v>
          </cell>
        </row>
        <row r="256">
          <cell r="E256" t="str">
            <v>D2020/00993</v>
          </cell>
          <cell r="F256">
            <v>95</v>
          </cell>
          <cell r="L256" t="str">
            <v>44039-10</v>
          </cell>
        </row>
        <row r="257">
          <cell r="E257" t="str">
            <v>D2020/00993</v>
          </cell>
          <cell r="F257">
            <v>8</v>
          </cell>
          <cell r="L257" t="str">
            <v>44039-10</v>
          </cell>
        </row>
        <row r="258">
          <cell r="E258" t="str">
            <v>D2020/00993</v>
          </cell>
          <cell r="F258">
            <v>30</v>
          </cell>
          <cell r="L258" t="str">
            <v>44039-10</v>
          </cell>
        </row>
        <row r="259">
          <cell r="E259" t="str">
            <v>D2020/00993</v>
          </cell>
          <cell r="F259">
            <v>24</v>
          </cell>
          <cell r="L259" t="str">
            <v>44039-14</v>
          </cell>
        </row>
        <row r="260">
          <cell r="E260" t="str">
            <v>D2020/00993</v>
          </cell>
          <cell r="F260">
            <v>33</v>
          </cell>
          <cell r="L260" t="str">
            <v>44039-14</v>
          </cell>
        </row>
        <row r="261">
          <cell r="E261" t="str">
            <v>D2020/00993</v>
          </cell>
          <cell r="F261">
            <v>6</v>
          </cell>
          <cell r="L261" t="str">
            <v>44039-14</v>
          </cell>
        </row>
        <row r="262">
          <cell r="E262" t="str">
            <v>D2020/00993</v>
          </cell>
          <cell r="F262">
            <v>35</v>
          </cell>
          <cell r="L262" t="str">
            <v>44039-14</v>
          </cell>
        </row>
        <row r="263">
          <cell r="E263" t="str">
            <v>D2020/00993</v>
          </cell>
          <cell r="F263">
            <v>31</v>
          </cell>
          <cell r="L263" t="str">
            <v>44040-10</v>
          </cell>
        </row>
        <row r="264">
          <cell r="E264" t="str">
            <v>D2020/00993</v>
          </cell>
          <cell r="F264">
            <v>6</v>
          </cell>
          <cell r="L264" t="str">
            <v>44040-10</v>
          </cell>
        </row>
        <row r="265">
          <cell r="E265" t="str">
            <v>D2020/00993</v>
          </cell>
          <cell r="F265">
            <v>39</v>
          </cell>
          <cell r="L265" t="str">
            <v>44040-10</v>
          </cell>
        </row>
        <row r="266">
          <cell r="E266" t="str">
            <v>D2020/00993</v>
          </cell>
          <cell r="F266">
            <v>6</v>
          </cell>
          <cell r="L266" t="str">
            <v>44040-10</v>
          </cell>
        </row>
        <row r="267">
          <cell r="E267" t="str">
            <v>D2020/00993</v>
          </cell>
          <cell r="F267">
            <v>12</v>
          </cell>
          <cell r="L267" t="str">
            <v>44040-10</v>
          </cell>
        </row>
        <row r="268">
          <cell r="E268" t="str">
            <v>D2020/00993</v>
          </cell>
          <cell r="F268">
            <v>15</v>
          </cell>
          <cell r="L268" t="str">
            <v>44040-10</v>
          </cell>
        </row>
        <row r="269">
          <cell r="E269" t="str">
            <v>D2020/00993</v>
          </cell>
          <cell r="F269">
            <v>31</v>
          </cell>
          <cell r="L269" t="str">
            <v>44040-10</v>
          </cell>
        </row>
        <row r="270">
          <cell r="E270" t="str">
            <v>D2020/00993</v>
          </cell>
          <cell r="F270">
            <v>4</v>
          </cell>
          <cell r="L270" t="str">
            <v>44040-14</v>
          </cell>
        </row>
        <row r="271">
          <cell r="E271" t="str">
            <v>D2020/00993</v>
          </cell>
          <cell r="F271">
            <v>40</v>
          </cell>
          <cell r="L271" t="str">
            <v>44040-14</v>
          </cell>
        </row>
        <row r="272">
          <cell r="E272" t="str">
            <v>D2020/00993</v>
          </cell>
          <cell r="F272">
            <v>14</v>
          </cell>
          <cell r="L272" t="str">
            <v>44040-14</v>
          </cell>
        </row>
        <row r="273">
          <cell r="E273" t="str">
            <v>D2020/00993</v>
          </cell>
          <cell r="F273">
            <v>6</v>
          </cell>
          <cell r="L273" t="str">
            <v>44040-14</v>
          </cell>
        </row>
        <row r="274">
          <cell r="E274" t="str">
            <v>D2020/00993</v>
          </cell>
          <cell r="F274">
            <v>9</v>
          </cell>
          <cell r="L274" t="str">
            <v>44041-10</v>
          </cell>
        </row>
        <row r="275">
          <cell r="E275" t="str">
            <v>D2020/00993</v>
          </cell>
          <cell r="F275">
            <v>15</v>
          </cell>
          <cell r="L275" t="str">
            <v>44041-10</v>
          </cell>
        </row>
        <row r="276">
          <cell r="E276" t="str">
            <v>D2020/00993</v>
          </cell>
          <cell r="F276">
            <v>8</v>
          </cell>
          <cell r="L276" t="str">
            <v>44041-10</v>
          </cell>
        </row>
        <row r="277">
          <cell r="E277" t="str">
            <v>D2020/00993</v>
          </cell>
          <cell r="F277">
            <v>4</v>
          </cell>
          <cell r="L277" t="str">
            <v>44041-10</v>
          </cell>
        </row>
        <row r="278">
          <cell r="E278" t="str">
            <v>D2020/00993</v>
          </cell>
          <cell r="F278">
            <v>64</v>
          </cell>
          <cell r="L278" t="str">
            <v>44041-14</v>
          </cell>
        </row>
        <row r="279">
          <cell r="E279" t="str">
            <v>D2020/00993</v>
          </cell>
          <cell r="F279">
            <v>38</v>
          </cell>
          <cell r="L279" t="str">
            <v>44041-14</v>
          </cell>
        </row>
        <row r="280">
          <cell r="E280" t="str">
            <v>D2020/00993</v>
          </cell>
          <cell r="F280">
            <v>19</v>
          </cell>
          <cell r="L280" t="str">
            <v>44041-14</v>
          </cell>
        </row>
        <row r="281">
          <cell r="E281" t="str">
            <v>D2020/00993</v>
          </cell>
          <cell r="F281">
            <v>25</v>
          </cell>
          <cell r="L281" t="str">
            <v>44042-10</v>
          </cell>
        </row>
        <row r="282">
          <cell r="E282" t="str">
            <v>D2020/00993</v>
          </cell>
          <cell r="F282">
            <v>13</v>
          </cell>
          <cell r="L282" t="str">
            <v>44042-10</v>
          </cell>
        </row>
        <row r="283">
          <cell r="E283" t="str">
            <v>D2020/00993</v>
          </cell>
          <cell r="F283">
            <v>8</v>
          </cell>
          <cell r="L283" t="str">
            <v>44042-10</v>
          </cell>
        </row>
        <row r="284">
          <cell r="E284" t="str">
            <v>D2020/00993</v>
          </cell>
          <cell r="F284">
            <v>17</v>
          </cell>
          <cell r="L284" t="str">
            <v>44042-10</v>
          </cell>
        </row>
        <row r="285">
          <cell r="E285" t="str">
            <v>D2020/00993</v>
          </cell>
          <cell r="F285">
            <v>14</v>
          </cell>
          <cell r="L285" t="str">
            <v>44042-10</v>
          </cell>
        </row>
        <row r="286">
          <cell r="E286" t="str">
            <v>D2020/00993</v>
          </cell>
          <cell r="F286">
            <v>15</v>
          </cell>
          <cell r="L286" t="str">
            <v>44042-10</v>
          </cell>
        </row>
        <row r="287">
          <cell r="E287" t="str">
            <v>D2020/01470</v>
          </cell>
          <cell r="F287">
            <v>104</v>
          </cell>
          <cell r="L287" t="str">
            <v>44042-14</v>
          </cell>
        </row>
        <row r="288">
          <cell r="E288" t="str">
            <v>D2020/01470</v>
          </cell>
          <cell r="F288">
            <v>78</v>
          </cell>
          <cell r="L288" t="str">
            <v>44042-14</v>
          </cell>
        </row>
        <row r="289">
          <cell r="E289" t="str">
            <v>D2020/00994</v>
          </cell>
          <cell r="F289">
            <v>201</v>
          </cell>
          <cell r="L289" t="str">
            <v>44043-10</v>
          </cell>
        </row>
        <row r="290">
          <cell r="E290" t="str">
            <v>D2020/00994</v>
          </cell>
          <cell r="F290">
            <v>100</v>
          </cell>
          <cell r="L290" t="str">
            <v>44043-10</v>
          </cell>
        </row>
        <row r="291">
          <cell r="E291" t="str">
            <v>D2020/00994</v>
          </cell>
          <cell r="F291">
            <v>58</v>
          </cell>
          <cell r="L291" t="str">
            <v>44043-10</v>
          </cell>
        </row>
        <row r="292">
          <cell r="E292" t="str">
            <v>D2020/00994</v>
          </cell>
          <cell r="F292">
            <v>19</v>
          </cell>
          <cell r="L292" t="str">
            <v>44043-10</v>
          </cell>
        </row>
        <row r="293">
          <cell r="E293" t="str">
            <v>D2020/00994</v>
          </cell>
          <cell r="F293">
            <v>68</v>
          </cell>
          <cell r="L293" t="str">
            <v>44043-14</v>
          </cell>
        </row>
        <row r="294">
          <cell r="E294" t="str">
            <v>D2020/00994</v>
          </cell>
          <cell r="F294">
            <v>31</v>
          </cell>
          <cell r="L294" t="str">
            <v>44046-10</v>
          </cell>
        </row>
        <row r="295">
          <cell r="E295" t="str">
            <v>D2020/00994</v>
          </cell>
          <cell r="F295">
            <v>29</v>
          </cell>
          <cell r="L295" t="str">
            <v>44046-10</v>
          </cell>
        </row>
        <row r="296">
          <cell r="E296" t="str">
            <v>D2020/00994</v>
          </cell>
          <cell r="F296">
            <v>5</v>
          </cell>
          <cell r="L296" t="str">
            <v>44046-10</v>
          </cell>
        </row>
        <row r="297">
          <cell r="E297" t="str">
            <v>D2020/00994</v>
          </cell>
          <cell r="F297">
            <v>7</v>
          </cell>
          <cell r="L297" t="str">
            <v>44046-10</v>
          </cell>
        </row>
        <row r="298">
          <cell r="E298" t="str">
            <v>D2020/00994</v>
          </cell>
          <cell r="F298">
            <v>5</v>
          </cell>
          <cell r="L298" t="str">
            <v>44046-10</v>
          </cell>
        </row>
        <row r="299">
          <cell r="E299" t="str">
            <v>D2020/00994</v>
          </cell>
          <cell r="F299">
            <v>7</v>
          </cell>
          <cell r="L299" t="str">
            <v>44046-10</v>
          </cell>
        </row>
        <row r="300">
          <cell r="E300" t="str">
            <v>D2020/00994</v>
          </cell>
          <cell r="F300">
            <v>2</v>
          </cell>
          <cell r="L300" t="str">
            <v>44046-14</v>
          </cell>
        </row>
        <row r="301">
          <cell r="E301" t="str">
            <v>D2020/00994</v>
          </cell>
          <cell r="F301">
            <v>5</v>
          </cell>
          <cell r="L301" t="str">
            <v>44046-14</v>
          </cell>
        </row>
        <row r="302">
          <cell r="E302" t="str">
            <v>D2020/00994</v>
          </cell>
          <cell r="F302">
            <v>10</v>
          </cell>
          <cell r="L302" t="str">
            <v>44046-14</v>
          </cell>
        </row>
        <row r="303">
          <cell r="E303" t="str">
            <v>D2020/00994</v>
          </cell>
          <cell r="F303">
            <v>7</v>
          </cell>
          <cell r="L303" t="str">
            <v>44046-14</v>
          </cell>
        </row>
        <row r="304">
          <cell r="E304" t="str">
            <v>D2020/00994</v>
          </cell>
          <cell r="F304">
            <v>1</v>
          </cell>
          <cell r="L304" t="str">
            <v>44046-14</v>
          </cell>
        </row>
        <row r="305">
          <cell r="E305" t="str">
            <v>D2020/00994</v>
          </cell>
          <cell r="F305">
            <v>18</v>
          </cell>
          <cell r="L305" t="str">
            <v>44047-10</v>
          </cell>
        </row>
        <row r="306">
          <cell r="E306" t="str">
            <v>D2020/00994</v>
          </cell>
          <cell r="F306">
            <v>4</v>
          </cell>
          <cell r="L306" t="str">
            <v>44047-10</v>
          </cell>
        </row>
        <row r="307">
          <cell r="E307" t="str">
            <v>D2020/00994</v>
          </cell>
          <cell r="F307">
            <v>7</v>
          </cell>
          <cell r="L307" t="str">
            <v>44047-10</v>
          </cell>
        </row>
        <row r="308">
          <cell r="E308" t="str">
            <v>D2020/00994</v>
          </cell>
          <cell r="F308">
            <v>52</v>
          </cell>
          <cell r="L308" t="str">
            <v>44047-10</v>
          </cell>
        </row>
        <row r="309">
          <cell r="E309" t="str">
            <v>D2020/00994</v>
          </cell>
          <cell r="F309">
            <v>51</v>
          </cell>
          <cell r="L309" t="str">
            <v>44047-14</v>
          </cell>
        </row>
        <row r="310">
          <cell r="E310" t="str">
            <v>D2020/00994</v>
          </cell>
          <cell r="F310">
            <v>29</v>
          </cell>
          <cell r="L310" t="str">
            <v>44047-14</v>
          </cell>
        </row>
        <row r="311">
          <cell r="E311" t="str">
            <v>D2020/00994</v>
          </cell>
          <cell r="F311">
            <v>7</v>
          </cell>
          <cell r="L311" t="str">
            <v>44047-14</v>
          </cell>
        </row>
        <row r="312">
          <cell r="E312" t="str">
            <v>D2020/00994</v>
          </cell>
          <cell r="F312">
            <v>88</v>
          </cell>
          <cell r="L312" t="str">
            <v>44047-14</v>
          </cell>
        </row>
        <row r="313">
          <cell r="E313" t="str">
            <v>D2020/00994</v>
          </cell>
          <cell r="F313">
            <v>14</v>
          </cell>
          <cell r="L313" t="str">
            <v>44047-14</v>
          </cell>
        </row>
        <row r="314">
          <cell r="E314" t="str">
            <v>D2020/00994</v>
          </cell>
          <cell r="F314">
            <v>12</v>
          </cell>
          <cell r="L314" t="str">
            <v>44048-10</v>
          </cell>
        </row>
        <row r="315">
          <cell r="E315" t="str">
            <v>D2020/00994</v>
          </cell>
          <cell r="F315">
            <v>18</v>
          </cell>
          <cell r="L315" t="str">
            <v>44048-10</v>
          </cell>
        </row>
        <row r="316">
          <cell r="E316" t="str">
            <v>D2020/00994</v>
          </cell>
          <cell r="F316">
            <v>32</v>
          </cell>
          <cell r="L316" t="str">
            <v>44048-10</v>
          </cell>
        </row>
        <row r="317">
          <cell r="E317" t="str">
            <v>D2020/00994</v>
          </cell>
          <cell r="F317">
            <v>12</v>
          </cell>
          <cell r="L317" t="str">
            <v>44048-10</v>
          </cell>
        </row>
        <row r="318">
          <cell r="E318" t="str">
            <v>D2020/00994</v>
          </cell>
          <cell r="F318">
            <v>27</v>
          </cell>
          <cell r="L318" t="str">
            <v>44048-14</v>
          </cell>
        </row>
        <row r="319">
          <cell r="E319" t="str">
            <v>D2020/00994</v>
          </cell>
          <cell r="F319">
            <v>20</v>
          </cell>
          <cell r="L319" t="str">
            <v>44048-14</v>
          </cell>
        </row>
        <row r="320">
          <cell r="E320" t="str">
            <v>D2020/00994</v>
          </cell>
          <cell r="F320">
            <v>8</v>
          </cell>
          <cell r="L320" t="str">
            <v>44048-14</v>
          </cell>
        </row>
        <row r="321">
          <cell r="E321" t="str">
            <v>D2020/00994</v>
          </cell>
          <cell r="F321">
            <v>25</v>
          </cell>
          <cell r="L321" t="str">
            <v>44049-10</v>
          </cell>
        </row>
        <row r="322">
          <cell r="E322" t="str">
            <v>D2020/00994</v>
          </cell>
          <cell r="F322">
            <v>4</v>
          </cell>
          <cell r="L322" t="str">
            <v>44049-10</v>
          </cell>
        </row>
        <row r="323">
          <cell r="E323" t="str">
            <v>D2020/00994</v>
          </cell>
          <cell r="F323">
            <v>50</v>
          </cell>
          <cell r="L323" t="str">
            <v>44049-10</v>
          </cell>
        </row>
        <row r="324">
          <cell r="E324" t="str">
            <v>D2020/00994</v>
          </cell>
          <cell r="F324">
            <v>17</v>
          </cell>
          <cell r="L324" t="str">
            <v>44049-10</v>
          </cell>
        </row>
        <row r="325">
          <cell r="E325" t="str">
            <v>D2020/00994</v>
          </cell>
          <cell r="F325">
            <v>4</v>
          </cell>
          <cell r="L325" t="str">
            <v>44049-10</v>
          </cell>
        </row>
        <row r="326">
          <cell r="E326" t="str">
            <v>D2020/00994</v>
          </cell>
          <cell r="F326">
            <v>6</v>
          </cell>
          <cell r="L326" t="str">
            <v>44049-10</v>
          </cell>
        </row>
        <row r="327">
          <cell r="E327" t="str">
            <v>D2020/00994</v>
          </cell>
          <cell r="F327">
            <v>27</v>
          </cell>
          <cell r="L327" t="str">
            <v>44049-14</v>
          </cell>
        </row>
        <row r="328">
          <cell r="E328" t="str">
            <v>D2020/00994</v>
          </cell>
          <cell r="F328">
            <v>42</v>
          </cell>
          <cell r="L328" t="str">
            <v>44049-14</v>
          </cell>
        </row>
        <row r="329">
          <cell r="E329" t="str">
            <v>D2020/00994</v>
          </cell>
          <cell r="F329">
            <v>30</v>
          </cell>
          <cell r="L329" t="str">
            <v>44049-14</v>
          </cell>
        </row>
        <row r="330">
          <cell r="E330" t="str">
            <v>D2020/00994</v>
          </cell>
          <cell r="F330">
            <v>14</v>
          </cell>
          <cell r="L330" t="str">
            <v>44050-10</v>
          </cell>
        </row>
        <row r="331">
          <cell r="E331" t="str">
            <v>D2020/00994</v>
          </cell>
          <cell r="F331">
            <v>3</v>
          </cell>
          <cell r="L331" t="str">
            <v>44050-10</v>
          </cell>
        </row>
        <row r="332">
          <cell r="E332" t="str">
            <v>D2020/00994</v>
          </cell>
          <cell r="F332">
            <v>4</v>
          </cell>
          <cell r="L332" t="str">
            <v>44050-10</v>
          </cell>
        </row>
        <row r="333">
          <cell r="E333" t="str">
            <v>D2020/00994</v>
          </cell>
          <cell r="F333">
            <v>34</v>
          </cell>
          <cell r="L333" t="str">
            <v>44050-10</v>
          </cell>
        </row>
        <row r="334">
          <cell r="E334" t="str">
            <v>D2020/00994</v>
          </cell>
          <cell r="F334">
            <v>43</v>
          </cell>
          <cell r="L334" t="str">
            <v>44050-10</v>
          </cell>
        </row>
        <row r="335">
          <cell r="E335" t="str">
            <v>D2020/00994</v>
          </cell>
          <cell r="F335">
            <v>36</v>
          </cell>
          <cell r="L335" t="str">
            <v>44050-10</v>
          </cell>
        </row>
        <row r="336">
          <cell r="E336" t="str">
            <v>D2020/00994</v>
          </cell>
          <cell r="F336">
            <v>2</v>
          </cell>
          <cell r="L336" t="str">
            <v>44050-14</v>
          </cell>
        </row>
        <row r="337">
          <cell r="E337" t="str">
            <v>D2020/00994</v>
          </cell>
          <cell r="F337">
            <v>99</v>
          </cell>
          <cell r="L337" t="str">
            <v>44050-14</v>
          </cell>
        </row>
        <row r="338">
          <cell r="E338" t="str">
            <v>D2020/00994</v>
          </cell>
          <cell r="F338">
            <v>17</v>
          </cell>
          <cell r="L338" t="str">
            <v>44050-14</v>
          </cell>
        </row>
        <row r="339">
          <cell r="E339" t="str">
            <v>D2020/00994</v>
          </cell>
          <cell r="F339">
            <v>17</v>
          </cell>
          <cell r="L339" t="str">
            <v>44053-10</v>
          </cell>
        </row>
        <row r="340">
          <cell r="E340" t="str">
            <v>D2020/00994</v>
          </cell>
          <cell r="F340">
            <v>19</v>
          </cell>
          <cell r="L340" t="str">
            <v>44053-10</v>
          </cell>
        </row>
        <row r="341">
          <cell r="E341" t="str">
            <v>D2020/00994</v>
          </cell>
          <cell r="F341">
            <v>73</v>
          </cell>
          <cell r="L341" t="str">
            <v>44053-10</v>
          </cell>
        </row>
        <row r="342">
          <cell r="E342" t="str">
            <v>D2020/00994</v>
          </cell>
          <cell r="F342">
            <v>26</v>
          </cell>
          <cell r="L342" t="str">
            <v>44053-10</v>
          </cell>
        </row>
        <row r="343">
          <cell r="E343" t="str">
            <v>D2020/00994</v>
          </cell>
          <cell r="F343">
            <v>110</v>
          </cell>
          <cell r="L343" t="str">
            <v>44053-10</v>
          </cell>
        </row>
        <row r="344">
          <cell r="E344" t="str">
            <v>D2020/00994</v>
          </cell>
          <cell r="F344">
            <v>8</v>
          </cell>
          <cell r="L344" t="str">
            <v>44053-10</v>
          </cell>
        </row>
        <row r="345">
          <cell r="E345" t="str">
            <v>D2020/00994</v>
          </cell>
          <cell r="F345">
            <v>8</v>
          </cell>
          <cell r="L345" t="str">
            <v>44053-10</v>
          </cell>
        </row>
        <row r="346">
          <cell r="E346" t="str">
            <v>D2020/00994</v>
          </cell>
          <cell r="F346">
            <v>10</v>
          </cell>
          <cell r="L346" t="str">
            <v>44053-14</v>
          </cell>
        </row>
        <row r="347">
          <cell r="E347" t="str">
            <v>D2020/00994</v>
          </cell>
          <cell r="F347">
            <v>3</v>
          </cell>
          <cell r="L347" t="str">
            <v>44053-14</v>
          </cell>
        </row>
        <row r="348">
          <cell r="E348" t="str">
            <v>D2020/00994</v>
          </cell>
          <cell r="F348">
            <v>3</v>
          </cell>
          <cell r="L348" t="str">
            <v>44053-14</v>
          </cell>
        </row>
        <row r="349">
          <cell r="E349" t="str">
            <v>D2020/00994</v>
          </cell>
          <cell r="F349">
            <v>5</v>
          </cell>
          <cell r="L349" t="str">
            <v>44053-14</v>
          </cell>
        </row>
        <row r="350">
          <cell r="E350" t="str">
            <v>D2020/00994</v>
          </cell>
          <cell r="F350">
            <v>22</v>
          </cell>
          <cell r="L350" t="str">
            <v>44054-19</v>
          </cell>
        </row>
        <row r="351">
          <cell r="E351" t="str">
            <v>D2020/00994</v>
          </cell>
          <cell r="F351">
            <v>18</v>
          </cell>
          <cell r="L351" t="str">
            <v>44054-19</v>
          </cell>
        </row>
        <row r="352">
          <cell r="E352" t="str">
            <v>D2020/00994</v>
          </cell>
          <cell r="F352">
            <v>40</v>
          </cell>
          <cell r="L352" t="str">
            <v>44054-19</v>
          </cell>
        </row>
        <row r="353">
          <cell r="E353" t="str">
            <v>D2020/00994</v>
          </cell>
          <cell r="F353">
            <v>24</v>
          </cell>
          <cell r="L353" t="str">
            <v>44054-19</v>
          </cell>
        </row>
        <row r="354">
          <cell r="E354" t="str">
            <v>D2020/00994</v>
          </cell>
          <cell r="F354">
            <v>7</v>
          </cell>
          <cell r="L354" t="str">
            <v>44054-19</v>
          </cell>
        </row>
        <row r="355">
          <cell r="E355" t="str">
            <v>D2020/00994</v>
          </cell>
          <cell r="F355">
            <v>16</v>
          </cell>
          <cell r="L355" t="str">
            <v>44054-19</v>
          </cell>
        </row>
        <row r="356">
          <cell r="E356" t="str">
            <v>D2020/00994</v>
          </cell>
          <cell r="F356">
            <v>43</v>
          </cell>
          <cell r="L356" t="str">
            <v>44054-19</v>
          </cell>
        </row>
        <row r="357">
          <cell r="E357" t="str">
            <v>D2020/00994</v>
          </cell>
          <cell r="F357">
            <v>39</v>
          </cell>
          <cell r="L357" t="str">
            <v>44054-19</v>
          </cell>
        </row>
        <row r="358">
          <cell r="E358" t="str">
            <v>D2020/00994</v>
          </cell>
          <cell r="F358">
            <v>48</v>
          </cell>
          <cell r="L358" t="str">
            <v>44054-19</v>
          </cell>
        </row>
        <row r="359">
          <cell r="E359" t="str">
            <v>D2020/00994</v>
          </cell>
          <cell r="F359">
            <v>9</v>
          </cell>
          <cell r="L359" t="str">
            <v>44054-19</v>
          </cell>
        </row>
        <row r="360">
          <cell r="E360" t="str">
            <v>D2020/00994</v>
          </cell>
          <cell r="F360">
            <v>31</v>
          </cell>
          <cell r="L360" t="str">
            <v>44054-19</v>
          </cell>
        </row>
        <row r="361">
          <cell r="E361" t="str">
            <v>D2020/00994</v>
          </cell>
          <cell r="F361">
            <v>10</v>
          </cell>
          <cell r="L361" t="str">
            <v>44054-14</v>
          </cell>
        </row>
        <row r="362">
          <cell r="E362" t="str">
            <v>D2020/00994</v>
          </cell>
          <cell r="F362">
            <v>73</v>
          </cell>
          <cell r="L362" t="str">
            <v>44054-14</v>
          </cell>
        </row>
        <row r="363">
          <cell r="E363" t="str">
            <v>D2020/00994</v>
          </cell>
          <cell r="F363">
            <v>10</v>
          </cell>
          <cell r="L363" t="str">
            <v>44054-14</v>
          </cell>
        </row>
        <row r="364">
          <cell r="E364" t="str">
            <v>D2020/01469</v>
          </cell>
          <cell r="F364">
            <v>175</v>
          </cell>
          <cell r="L364" t="str">
            <v>44055-10</v>
          </cell>
        </row>
        <row r="365">
          <cell r="E365" t="str">
            <v>D2020/01469</v>
          </cell>
          <cell r="F365">
            <v>24</v>
          </cell>
          <cell r="L365" t="str">
            <v>44055-10</v>
          </cell>
        </row>
        <row r="366">
          <cell r="E366" t="str">
            <v>D2020/01469</v>
          </cell>
          <cell r="F366">
            <v>11</v>
          </cell>
          <cell r="L366" t="str">
            <v>44055-10</v>
          </cell>
        </row>
        <row r="367">
          <cell r="E367" t="str">
            <v>D2020/01468</v>
          </cell>
          <cell r="F367">
            <v>58</v>
          </cell>
          <cell r="L367" t="str">
            <v>44055-14</v>
          </cell>
        </row>
        <row r="368">
          <cell r="E368" t="str">
            <v>D2020/01468</v>
          </cell>
          <cell r="F368">
            <v>115</v>
          </cell>
          <cell r="L368" t="str">
            <v>44055-14</v>
          </cell>
        </row>
        <row r="369">
          <cell r="E369" t="str">
            <v>D2020/01468</v>
          </cell>
          <cell r="F369">
            <v>32</v>
          </cell>
          <cell r="L369" t="str">
            <v>44055-14</v>
          </cell>
        </row>
        <row r="370">
          <cell r="E370" t="str">
            <v>D2020/01468</v>
          </cell>
          <cell r="F370">
            <v>26</v>
          </cell>
          <cell r="L370" t="str">
            <v>44056-10</v>
          </cell>
        </row>
        <row r="371">
          <cell r="E371" t="str">
            <v>D2020/01468</v>
          </cell>
          <cell r="F371">
            <v>87</v>
          </cell>
          <cell r="L371" t="str">
            <v>44056-10</v>
          </cell>
        </row>
        <row r="372">
          <cell r="E372" t="str">
            <v>D2020/01580</v>
          </cell>
          <cell r="F372">
            <v>12</v>
          </cell>
          <cell r="L372" t="str">
            <v>44057-10</v>
          </cell>
        </row>
        <row r="373">
          <cell r="E373" t="str">
            <v>D2020/01580</v>
          </cell>
          <cell r="F373">
            <v>60</v>
          </cell>
          <cell r="L373" t="str">
            <v>44057-14</v>
          </cell>
        </row>
        <row r="374">
          <cell r="E374" t="str">
            <v>D2020/01580</v>
          </cell>
          <cell r="F374">
            <v>76</v>
          </cell>
          <cell r="L374" t="str">
            <v>44057-14</v>
          </cell>
        </row>
        <row r="375">
          <cell r="E375" t="str">
            <v>D2020/01551</v>
          </cell>
          <cell r="F375">
            <v>62</v>
          </cell>
          <cell r="L375" t="str">
            <v>44057-19</v>
          </cell>
        </row>
        <row r="376">
          <cell r="E376" t="str">
            <v>D2020/01551</v>
          </cell>
          <cell r="F376">
            <v>10</v>
          </cell>
          <cell r="L376" t="str">
            <v>44057-19</v>
          </cell>
        </row>
        <row r="377">
          <cell r="E377" t="str">
            <v>D2020/01551</v>
          </cell>
          <cell r="F377">
            <v>11</v>
          </cell>
          <cell r="L377" t="str">
            <v>44057-19</v>
          </cell>
        </row>
        <row r="378">
          <cell r="E378" t="str">
            <v>D2020/01551</v>
          </cell>
          <cell r="F378">
            <v>12</v>
          </cell>
          <cell r="L378" t="str">
            <v>44057-19</v>
          </cell>
        </row>
        <row r="379">
          <cell r="E379" t="str">
            <v>D2020/01551</v>
          </cell>
          <cell r="F379">
            <v>10</v>
          </cell>
          <cell r="L379" t="str">
            <v>44057-19</v>
          </cell>
        </row>
        <row r="380">
          <cell r="E380" t="str">
            <v>D2020/01551</v>
          </cell>
          <cell r="F380">
            <v>96</v>
          </cell>
          <cell r="L380" t="str">
            <v>44057-19</v>
          </cell>
        </row>
        <row r="381">
          <cell r="E381" t="str">
            <v>D2020/01551</v>
          </cell>
          <cell r="F381">
            <v>19</v>
          </cell>
          <cell r="L381" t="str">
            <v>44057-19</v>
          </cell>
        </row>
        <row r="382">
          <cell r="E382" t="str">
            <v>D2020/01551</v>
          </cell>
          <cell r="F382">
            <v>15</v>
          </cell>
          <cell r="L382" t="str">
            <v>44057-19</v>
          </cell>
        </row>
        <row r="383">
          <cell r="E383" t="str">
            <v>D2020/01551</v>
          </cell>
          <cell r="F383">
            <v>125</v>
          </cell>
          <cell r="L383" t="str">
            <v>44057-19</v>
          </cell>
        </row>
        <row r="384">
          <cell r="E384" t="str">
            <v>D2020/01551</v>
          </cell>
          <cell r="F384">
            <v>19</v>
          </cell>
          <cell r="L384" t="str">
            <v>44057-19</v>
          </cell>
        </row>
        <row r="385">
          <cell r="E385" t="str">
            <v>D2020/01551</v>
          </cell>
          <cell r="F385">
            <v>12</v>
          </cell>
          <cell r="L385" t="str">
            <v>44057-19</v>
          </cell>
        </row>
        <row r="386">
          <cell r="E386" t="str">
            <v>D2020/01551</v>
          </cell>
          <cell r="F386">
            <v>144</v>
          </cell>
          <cell r="L386" t="str">
            <v>44057-13</v>
          </cell>
        </row>
        <row r="387">
          <cell r="E387" t="str">
            <v>D2020/01393</v>
          </cell>
          <cell r="F387">
            <v>302</v>
          </cell>
          <cell r="L387" t="str">
            <v>44057-13</v>
          </cell>
        </row>
        <row r="388">
          <cell r="E388" t="str">
            <v>D2020/01392</v>
          </cell>
          <cell r="F388">
            <v>137</v>
          </cell>
          <cell r="L388" t="str">
            <v>44060-10</v>
          </cell>
        </row>
        <row r="389">
          <cell r="E389" t="str">
            <v>D2020/01392</v>
          </cell>
          <cell r="F389">
            <v>70</v>
          </cell>
          <cell r="L389" t="str">
            <v>44060-10</v>
          </cell>
        </row>
        <row r="390">
          <cell r="E390" t="str">
            <v>D2020/01392</v>
          </cell>
          <cell r="F390">
            <v>26</v>
          </cell>
          <cell r="L390" t="str">
            <v>44060-10</v>
          </cell>
        </row>
        <row r="391">
          <cell r="E391" t="str">
            <v>D2020/01392</v>
          </cell>
          <cell r="F391">
            <v>4</v>
          </cell>
          <cell r="L391" t="str">
            <v>44060-10</v>
          </cell>
        </row>
        <row r="392">
          <cell r="E392" t="str">
            <v>D2020/01392</v>
          </cell>
          <cell r="F392">
            <v>5</v>
          </cell>
          <cell r="L392" t="str">
            <v>44060-14</v>
          </cell>
        </row>
        <row r="393">
          <cell r="E393" t="str">
            <v>D2020/01392</v>
          </cell>
          <cell r="F393">
            <v>2</v>
          </cell>
          <cell r="L393" t="str">
            <v>44060-14</v>
          </cell>
        </row>
        <row r="394">
          <cell r="E394" t="str">
            <v>D2020/01392</v>
          </cell>
          <cell r="F394">
            <v>3</v>
          </cell>
          <cell r="L394" t="str">
            <v>44060-14</v>
          </cell>
        </row>
        <row r="395">
          <cell r="E395" t="str">
            <v>D2020/01392</v>
          </cell>
          <cell r="F395">
            <v>17</v>
          </cell>
          <cell r="L395" t="str">
            <v>44060-14</v>
          </cell>
        </row>
        <row r="396">
          <cell r="E396" t="str">
            <v>D2020/01393</v>
          </cell>
          <cell r="F396">
            <v>275</v>
          </cell>
          <cell r="L396" t="str">
            <v>44060-19</v>
          </cell>
        </row>
        <row r="397">
          <cell r="E397" t="str">
            <v>D2020/01393</v>
          </cell>
          <cell r="F397">
            <v>30</v>
          </cell>
          <cell r="L397" t="str">
            <v>44060-19</v>
          </cell>
        </row>
        <row r="398">
          <cell r="E398" t="str">
            <v>D2020/01393</v>
          </cell>
          <cell r="F398">
            <v>55</v>
          </cell>
          <cell r="L398" t="str">
            <v>44060-19</v>
          </cell>
        </row>
        <row r="399">
          <cell r="E399" t="str">
            <v>D2020/01393</v>
          </cell>
          <cell r="F399">
            <v>25</v>
          </cell>
          <cell r="L399" t="str">
            <v>44060-19</v>
          </cell>
        </row>
        <row r="400">
          <cell r="E400" t="str">
            <v>D2020/01393</v>
          </cell>
          <cell r="F400">
            <v>106</v>
          </cell>
          <cell r="L400" t="str">
            <v>44060-19</v>
          </cell>
        </row>
        <row r="401">
          <cell r="E401" t="str">
            <v>D2020/01393</v>
          </cell>
          <cell r="F401">
            <v>96</v>
          </cell>
          <cell r="L401" t="str">
            <v>44060-19</v>
          </cell>
        </row>
        <row r="402">
          <cell r="E402" t="str">
            <v>D2020/01393</v>
          </cell>
          <cell r="F402">
            <v>173</v>
          </cell>
          <cell r="L402" t="str">
            <v>44060-19</v>
          </cell>
        </row>
        <row r="403">
          <cell r="E403" t="str">
            <v>D2020/01393</v>
          </cell>
          <cell r="F403">
            <v>102</v>
          </cell>
          <cell r="L403" t="str">
            <v>44060-19</v>
          </cell>
        </row>
        <row r="404">
          <cell r="E404" t="str">
            <v>D2020/01393</v>
          </cell>
          <cell r="F404">
            <v>28</v>
          </cell>
          <cell r="L404" t="str">
            <v>44060-13</v>
          </cell>
        </row>
        <row r="405">
          <cell r="E405" t="str">
            <v>D2020/01393</v>
          </cell>
          <cell r="F405">
            <v>28</v>
          </cell>
          <cell r="L405" t="str">
            <v>44060-13</v>
          </cell>
        </row>
        <row r="406">
          <cell r="E406" t="str">
            <v>D2020/01393</v>
          </cell>
          <cell r="F406">
            <v>42</v>
          </cell>
          <cell r="L406" t="str">
            <v>44060-13</v>
          </cell>
        </row>
        <row r="407">
          <cell r="E407" t="str">
            <v>D2020/01392</v>
          </cell>
          <cell r="F407">
            <v>12</v>
          </cell>
          <cell r="L407" t="str">
            <v>44061-10</v>
          </cell>
        </row>
        <row r="408">
          <cell r="E408" t="str">
            <v>D2020/01392</v>
          </cell>
          <cell r="F408">
            <v>15</v>
          </cell>
          <cell r="L408" t="str">
            <v>44061-10</v>
          </cell>
        </row>
        <row r="409">
          <cell r="E409" t="str">
            <v>D2020/01392</v>
          </cell>
          <cell r="F409">
            <v>96</v>
          </cell>
          <cell r="L409" t="str">
            <v>44061-14</v>
          </cell>
        </row>
        <row r="410">
          <cell r="E410" t="str">
            <v>D2020/01392</v>
          </cell>
          <cell r="F410">
            <v>20</v>
          </cell>
          <cell r="L410" t="str">
            <v>44061-14</v>
          </cell>
        </row>
        <row r="411">
          <cell r="E411" t="str">
            <v>D2020/01392</v>
          </cell>
          <cell r="F411">
            <v>5</v>
          </cell>
          <cell r="L411" t="str">
            <v>44061-14</v>
          </cell>
        </row>
        <row r="412">
          <cell r="E412" t="str">
            <v>D2020/01393</v>
          </cell>
          <cell r="F412">
            <v>108</v>
          </cell>
          <cell r="L412" t="str">
            <v>44061-19</v>
          </cell>
        </row>
        <row r="413">
          <cell r="E413" t="str">
            <v>D2020/01393</v>
          </cell>
          <cell r="F413">
            <v>92</v>
          </cell>
          <cell r="L413" t="str">
            <v>44061-19</v>
          </cell>
        </row>
        <row r="414">
          <cell r="E414" t="str">
            <v>D2020/01393</v>
          </cell>
          <cell r="F414">
            <v>13</v>
          </cell>
          <cell r="L414" t="str">
            <v>44061-19</v>
          </cell>
        </row>
        <row r="415">
          <cell r="E415" t="str">
            <v>D2020/01393</v>
          </cell>
          <cell r="F415">
            <v>86</v>
          </cell>
          <cell r="L415" t="str">
            <v>44061-19</v>
          </cell>
        </row>
        <row r="416">
          <cell r="E416" t="str">
            <v>D2020/01393</v>
          </cell>
          <cell r="F416">
            <v>51</v>
          </cell>
          <cell r="L416" t="str">
            <v>44061-19</v>
          </cell>
        </row>
        <row r="417">
          <cell r="E417" t="str">
            <v>D2020/01393</v>
          </cell>
          <cell r="F417">
            <v>10</v>
          </cell>
          <cell r="L417" t="str">
            <v>44061-19</v>
          </cell>
        </row>
        <row r="418">
          <cell r="E418" t="str">
            <v>D2020/01393</v>
          </cell>
          <cell r="F418">
            <v>51</v>
          </cell>
          <cell r="L418" t="str">
            <v>44061-19</v>
          </cell>
        </row>
        <row r="419">
          <cell r="E419" t="str">
            <v>D2020/01393</v>
          </cell>
          <cell r="F419">
            <v>31</v>
          </cell>
          <cell r="L419" t="str">
            <v>44061-19</v>
          </cell>
        </row>
        <row r="420">
          <cell r="E420" t="str">
            <v>D2020/01393</v>
          </cell>
          <cell r="F420">
            <v>62</v>
          </cell>
          <cell r="L420" t="str">
            <v>44061-19</v>
          </cell>
        </row>
        <row r="421">
          <cell r="E421" t="str">
            <v>D2020/01393</v>
          </cell>
          <cell r="F421">
            <v>50</v>
          </cell>
          <cell r="L421" t="str">
            <v>44061-19</v>
          </cell>
        </row>
        <row r="422">
          <cell r="E422" t="str">
            <v>D2020/01393</v>
          </cell>
          <cell r="F422">
            <v>110</v>
          </cell>
          <cell r="L422" t="str">
            <v>44061-13</v>
          </cell>
        </row>
        <row r="423">
          <cell r="E423" t="str">
            <v>D2020/01113</v>
          </cell>
          <cell r="F423">
            <v>460</v>
          </cell>
          <cell r="L423" t="str">
            <v>44061-13</v>
          </cell>
        </row>
        <row r="424">
          <cell r="E424" t="str">
            <v>D2020/01113</v>
          </cell>
          <cell r="F424">
            <v>30</v>
          </cell>
          <cell r="L424" t="str">
            <v>44061-13</v>
          </cell>
        </row>
        <row r="425">
          <cell r="E425" t="str">
            <v>D2020/01392</v>
          </cell>
          <cell r="F425">
            <v>40</v>
          </cell>
          <cell r="L425" t="str">
            <v>44062-10</v>
          </cell>
        </row>
        <row r="426">
          <cell r="E426" t="str">
            <v>D2020/01392</v>
          </cell>
          <cell r="F426">
            <v>18</v>
          </cell>
          <cell r="L426" t="str">
            <v>44062-10</v>
          </cell>
        </row>
        <row r="427">
          <cell r="E427" t="str">
            <v>D2020/01392</v>
          </cell>
          <cell r="F427">
            <v>67</v>
          </cell>
          <cell r="L427" t="str">
            <v>44062-10</v>
          </cell>
        </row>
        <row r="428">
          <cell r="E428" t="str">
            <v>D2020/01392</v>
          </cell>
          <cell r="F428">
            <v>8</v>
          </cell>
          <cell r="L428" t="str">
            <v>44062-14</v>
          </cell>
        </row>
        <row r="429">
          <cell r="E429" t="str">
            <v>D2020/01444</v>
          </cell>
          <cell r="F429">
            <v>149</v>
          </cell>
          <cell r="L429" t="str">
            <v>44062-14</v>
          </cell>
        </row>
        <row r="430">
          <cell r="E430" t="str">
            <v>D2020/01444</v>
          </cell>
          <cell r="F430">
            <v>42</v>
          </cell>
          <cell r="L430" t="str">
            <v>44062-14</v>
          </cell>
        </row>
        <row r="431">
          <cell r="E431" t="str">
            <v>D2020/01496</v>
          </cell>
          <cell r="F431">
            <v>227</v>
          </cell>
          <cell r="L431" t="str">
            <v>44062-14</v>
          </cell>
        </row>
        <row r="432">
          <cell r="E432" t="str">
            <v>D2020/01113</v>
          </cell>
          <cell r="F432">
            <v>310</v>
          </cell>
          <cell r="L432" t="str">
            <v>44062-19</v>
          </cell>
        </row>
        <row r="433">
          <cell r="E433" t="str">
            <v>D2020/01113</v>
          </cell>
          <cell r="F433">
            <v>40</v>
          </cell>
          <cell r="L433" t="str">
            <v>44062-19</v>
          </cell>
        </row>
        <row r="434">
          <cell r="E434" t="str">
            <v>D2020/01113</v>
          </cell>
          <cell r="F434">
            <v>83</v>
          </cell>
          <cell r="L434" t="str">
            <v>44062-19</v>
          </cell>
        </row>
        <row r="435">
          <cell r="E435" t="str">
            <v>D2020/01113</v>
          </cell>
          <cell r="F435">
            <v>200</v>
          </cell>
          <cell r="L435" t="str">
            <v>44062-19</v>
          </cell>
        </row>
        <row r="436">
          <cell r="E436" t="str">
            <v>D2020/01113</v>
          </cell>
          <cell r="F436">
            <v>20</v>
          </cell>
          <cell r="L436" t="str">
            <v>44062-19</v>
          </cell>
        </row>
        <row r="437">
          <cell r="E437" t="str">
            <v>D2020/01113</v>
          </cell>
          <cell r="F437">
            <v>95</v>
          </cell>
          <cell r="L437" t="str">
            <v>44062-13</v>
          </cell>
        </row>
        <row r="438">
          <cell r="E438" t="str">
            <v>D2020/01113</v>
          </cell>
          <cell r="F438">
            <v>29</v>
          </cell>
          <cell r="L438" t="str">
            <v>44062-13</v>
          </cell>
        </row>
        <row r="439">
          <cell r="E439" t="str">
            <v>D2020/01496</v>
          </cell>
          <cell r="F439">
            <v>81</v>
          </cell>
          <cell r="L439" t="str">
            <v>44063-10</v>
          </cell>
        </row>
        <row r="440">
          <cell r="E440" t="str">
            <v>D2020/01496</v>
          </cell>
          <cell r="F440">
            <v>79</v>
          </cell>
          <cell r="L440" t="str">
            <v>44063-10</v>
          </cell>
        </row>
        <row r="441">
          <cell r="E441" t="str">
            <v>D2020/01496</v>
          </cell>
          <cell r="F441">
            <v>63</v>
          </cell>
          <cell r="L441" t="str">
            <v>44063-10</v>
          </cell>
        </row>
        <row r="442">
          <cell r="E442" t="str">
            <v>D2020/01496</v>
          </cell>
          <cell r="F442">
            <v>22</v>
          </cell>
          <cell r="L442" t="str">
            <v>44063-10</v>
          </cell>
        </row>
        <row r="443">
          <cell r="E443" t="str">
            <v>D2020/01496</v>
          </cell>
          <cell r="F443">
            <v>40</v>
          </cell>
          <cell r="L443" t="str">
            <v>44063-14</v>
          </cell>
        </row>
        <row r="444">
          <cell r="E444" t="str">
            <v>D2020/01496</v>
          </cell>
          <cell r="F444">
            <v>616</v>
          </cell>
          <cell r="L444" t="str">
            <v>44063-14</v>
          </cell>
        </row>
        <row r="445">
          <cell r="E445" t="str">
            <v>D2020/01496</v>
          </cell>
          <cell r="F445">
            <v>267</v>
          </cell>
          <cell r="L445" t="str">
            <v>44063-14</v>
          </cell>
        </row>
        <row r="446">
          <cell r="E446" t="str">
            <v>D2020/01113</v>
          </cell>
          <cell r="F446">
            <v>300</v>
          </cell>
          <cell r="L446" t="str">
            <v>44063-19</v>
          </cell>
        </row>
        <row r="447">
          <cell r="E447" t="str">
            <v>D2020/01113</v>
          </cell>
          <cell r="F447">
            <v>20</v>
          </cell>
          <cell r="L447" t="str">
            <v>44063-19</v>
          </cell>
        </row>
        <row r="448">
          <cell r="E448" t="str">
            <v>D2020/01113</v>
          </cell>
          <cell r="F448">
            <v>40</v>
          </cell>
          <cell r="L448" t="str">
            <v>44063-19</v>
          </cell>
        </row>
        <row r="449">
          <cell r="E449" t="str">
            <v>D2020/01113</v>
          </cell>
          <cell r="F449">
            <v>140</v>
          </cell>
          <cell r="L449" t="str">
            <v>44063-19</v>
          </cell>
        </row>
        <row r="450">
          <cell r="E450" t="str">
            <v>D2020/01113</v>
          </cell>
          <cell r="F450">
            <v>100</v>
          </cell>
          <cell r="L450" t="str">
            <v>44063-19</v>
          </cell>
        </row>
        <row r="451">
          <cell r="E451" t="str">
            <v>D2020/01113</v>
          </cell>
          <cell r="F451">
            <v>30</v>
          </cell>
          <cell r="L451" t="str">
            <v>44063-19</v>
          </cell>
        </row>
        <row r="452">
          <cell r="E452" t="str">
            <v>D2020/01113</v>
          </cell>
          <cell r="F452">
            <v>70</v>
          </cell>
          <cell r="L452" t="str">
            <v>44063-19</v>
          </cell>
        </row>
        <row r="453">
          <cell r="E453" t="str">
            <v>D2020/01113</v>
          </cell>
          <cell r="F453">
            <v>65</v>
          </cell>
          <cell r="L453" t="str">
            <v>44063-19</v>
          </cell>
        </row>
        <row r="454">
          <cell r="E454" t="str">
            <v>D2020/01113</v>
          </cell>
          <cell r="F454">
            <v>26</v>
          </cell>
          <cell r="L454" t="str">
            <v>44063-19</v>
          </cell>
        </row>
        <row r="455">
          <cell r="E455" t="str">
            <v>D2020/01113</v>
          </cell>
          <cell r="F455">
            <v>298</v>
          </cell>
          <cell r="L455" t="str">
            <v>44063-19</v>
          </cell>
        </row>
        <row r="456">
          <cell r="E456" t="str">
            <v>D2020/01113</v>
          </cell>
          <cell r="F456">
            <v>146</v>
          </cell>
          <cell r="L456" t="str">
            <v>44063-13</v>
          </cell>
        </row>
        <row r="457">
          <cell r="E457" t="str">
            <v>D2020/01113</v>
          </cell>
          <cell r="F457">
            <v>299</v>
          </cell>
          <cell r="L457" t="str">
            <v>44063-13</v>
          </cell>
        </row>
        <row r="458">
          <cell r="E458" t="str">
            <v>D2020/01113</v>
          </cell>
          <cell r="F458">
            <v>206</v>
          </cell>
          <cell r="L458" t="str">
            <v>44063-13</v>
          </cell>
        </row>
        <row r="459">
          <cell r="E459" t="str">
            <v>D2020/01467</v>
          </cell>
          <cell r="F459">
            <v>250</v>
          </cell>
          <cell r="L459" t="str">
            <v>44064-10</v>
          </cell>
        </row>
        <row r="460">
          <cell r="E460" t="str">
            <v>D2020/01467</v>
          </cell>
          <cell r="F460">
            <v>60</v>
          </cell>
          <cell r="L460" t="str">
            <v>44064-10</v>
          </cell>
        </row>
        <row r="461">
          <cell r="E461" t="str">
            <v>D2020/01467</v>
          </cell>
          <cell r="F461">
            <v>63</v>
          </cell>
          <cell r="L461" t="str">
            <v>44064-14</v>
          </cell>
        </row>
        <row r="462">
          <cell r="E462" t="str">
            <v>D2020/01467</v>
          </cell>
          <cell r="F462">
            <v>35</v>
          </cell>
          <cell r="L462" t="str">
            <v>44064-14</v>
          </cell>
        </row>
        <row r="463">
          <cell r="E463" t="str">
            <v>D2020/01466</v>
          </cell>
          <cell r="F463">
            <v>155</v>
          </cell>
          <cell r="L463" t="str">
            <v>44064-14</v>
          </cell>
        </row>
        <row r="464">
          <cell r="E464" t="str">
            <v>D2020/01466</v>
          </cell>
          <cell r="F464">
            <v>20</v>
          </cell>
          <cell r="L464" t="str">
            <v>44064-14</v>
          </cell>
        </row>
        <row r="465">
          <cell r="E465" t="str">
            <v>D2020/01113</v>
          </cell>
          <cell r="F465">
            <v>265</v>
          </cell>
          <cell r="L465" t="str">
            <v>44064-19</v>
          </cell>
        </row>
        <row r="466">
          <cell r="E466" t="str">
            <v>D2020/01113</v>
          </cell>
          <cell r="F466">
            <v>19</v>
          </cell>
          <cell r="L466" t="str">
            <v>44064-19</v>
          </cell>
        </row>
        <row r="467">
          <cell r="E467" t="str">
            <v>D2020/01113</v>
          </cell>
          <cell r="F467">
            <v>303</v>
          </cell>
          <cell r="L467" t="str">
            <v>44064-19</v>
          </cell>
        </row>
        <row r="468">
          <cell r="E468" t="str">
            <v>D2020/01466</v>
          </cell>
          <cell r="F468">
            <v>33</v>
          </cell>
          <cell r="L468" t="str">
            <v>44067-10</v>
          </cell>
        </row>
        <row r="469">
          <cell r="E469" t="str">
            <v>D2020/01466</v>
          </cell>
          <cell r="F469">
            <v>115</v>
          </cell>
          <cell r="L469" t="str">
            <v>44067-10</v>
          </cell>
        </row>
        <row r="470">
          <cell r="E470" t="str">
            <v>D2020/01466</v>
          </cell>
          <cell r="F470">
            <v>7</v>
          </cell>
          <cell r="L470" t="str">
            <v>44067-10</v>
          </cell>
        </row>
        <row r="471">
          <cell r="E471" t="str">
            <v>D2020/01465</v>
          </cell>
          <cell r="F471">
            <v>65</v>
          </cell>
          <cell r="L471" t="str">
            <v>44067-14</v>
          </cell>
        </row>
        <row r="472">
          <cell r="E472" t="str">
            <v>D2020/01465</v>
          </cell>
          <cell r="F472">
            <v>33</v>
          </cell>
          <cell r="L472" t="str">
            <v>44067-14</v>
          </cell>
        </row>
        <row r="473">
          <cell r="E473" t="str">
            <v>D2020/01465</v>
          </cell>
          <cell r="F473">
            <v>40</v>
          </cell>
          <cell r="L473" t="str">
            <v>44067-14</v>
          </cell>
        </row>
        <row r="474">
          <cell r="E474" t="str">
            <v>D2020/01113</v>
          </cell>
          <cell r="F474">
            <v>110</v>
          </cell>
          <cell r="L474" t="str">
            <v>44067-19</v>
          </cell>
        </row>
        <row r="475">
          <cell r="E475" t="str">
            <v>D2020/01113</v>
          </cell>
          <cell r="F475">
            <v>89</v>
          </cell>
          <cell r="L475" t="str">
            <v>44067-19</v>
          </cell>
        </row>
        <row r="476">
          <cell r="E476" t="str">
            <v>D2020/01113</v>
          </cell>
          <cell r="F476">
            <v>189</v>
          </cell>
          <cell r="L476" t="str">
            <v>44067-19</v>
          </cell>
        </row>
        <row r="477">
          <cell r="E477" t="str">
            <v>D2020/01113</v>
          </cell>
          <cell r="F477">
            <v>222</v>
          </cell>
          <cell r="L477" t="str">
            <v>44067-19</v>
          </cell>
        </row>
        <row r="478">
          <cell r="E478" t="str">
            <v>D2020/01113</v>
          </cell>
          <cell r="F478">
            <v>3</v>
          </cell>
          <cell r="L478" t="str">
            <v>44067-19</v>
          </cell>
        </row>
        <row r="479">
          <cell r="E479" t="str">
            <v>D2020/01113</v>
          </cell>
          <cell r="F479">
            <v>204</v>
          </cell>
          <cell r="L479" t="str">
            <v>44067-13</v>
          </cell>
        </row>
        <row r="480">
          <cell r="E480" t="str">
            <v>D2020/01113</v>
          </cell>
          <cell r="F480">
            <v>83</v>
          </cell>
          <cell r="L480" t="str">
            <v>44067-13</v>
          </cell>
        </row>
        <row r="481">
          <cell r="E481" t="str">
            <v>D2020/01113</v>
          </cell>
          <cell r="F481">
            <v>27</v>
          </cell>
          <cell r="L481" t="str">
            <v>44067-13</v>
          </cell>
        </row>
        <row r="482">
          <cell r="E482" t="str">
            <v>D2020/01465</v>
          </cell>
          <cell r="F482">
            <v>75</v>
          </cell>
          <cell r="L482" t="str">
            <v>44068-10</v>
          </cell>
        </row>
        <row r="483">
          <cell r="E483" t="str">
            <v>D2020/01465</v>
          </cell>
          <cell r="F483">
            <v>112</v>
          </cell>
          <cell r="L483" t="str">
            <v>44068-10</v>
          </cell>
        </row>
        <row r="484">
          <cell r="E484" t="str">
            <v>D2020/01595</v>
          </cell>
          <cell r="F484">
            <v>619</v>
          </cell>
          <cell r="L484" t="str">
            <v>44068-10</v>
          </cell>
        </row>
        <row r="485">
          <cell r="E485" t="str">
            <v>D2020/01595</v>
          </cell>
          <cell r="F485">
            <v>96</v>
          </cell>
          <cell r="L485" t="str">
            <v>44068-14</v>
          </cell>
        </row>
        <row r="486">
          <cell r="E486" t="str">
            <v>D2020/01595</v>
          </cell>
          <cell r="F486">
            <v>265</v>
          </cell>
          <cell r="L486" t="str">
            <v>44068-14</v>
          </cell>
        </row>
        <row r="487">
          <cell r="E487" t="str">
            <v>D2020/01595</v>
          </cell>
          <cell r="F487">
            <v>7</v>
          </cell>
          <cell r="L487" t="str">
            <v>44068-14</v>
          </cell>
        </row>
        <row r="488">
          <cell r="E488" t="str">
            <v>D2020/01113</v>
          </cell>
          <cell r="F488">
            <v>22</v>
          </cell>
          <cell r="L488" t="str">
            <v>44068-19</v>
          </cell>
        </row>
        <row r="489">
          <cell r="E489" t="str">
            <v>D2020/01113</v>
          </cell>
          <cell r="F489">
            <v>85</v>
          </cell>
          <cell r="L489" t="str">
            <v>44068-19</v>
          </cell>
        </row>
        <row r="490">
          <cell r="E490" t="str">
            <v>D2020/01113</v>
          </cell>
          <cell r="F490">
            <v>56</v>
          </cell>
          <cell r="L490" t="str">
            <v>44068-19</v>
          </cell>
        </row>
        <row r="491">
          <cell r="E491" t="str">
            <v>D2020/01113</v>
          </cell>
          <cell r="F491">
            <v>52</v>
          </cell>
          <cell r="L491" t="str">
            <v>44068-19</v>
          </cell>
        </row>
        <row r="492">
          <cell r="E492" t="str">
            <v>D2020/01113</v>
          </cell>
          <cell r="F492">
            <v>23</v>
          </cell>
          <cell r="L492" t="str">
            <v>44068-19</v>
          </cell>
        </row>
        <row r="493">
          <cell r="E493" t="str">
            <v>D2020/01113</v>
          </cell>
          <cell r="F493">
            <v>83</v>
          </cell>
          <cell r="L493" t="str">
            <v>44068-19</v>
          </cell>
        </row>
        <row r="494">
          <cell r="E494" t="str">
            <v>D2020/01113</v>
          </cell>
          <cell r="F494">
            <v>540</v>
          </cell>
          <cell r="L494" t="str">
            <v>44068-19</v>
          </cell>
        </row>
        <row r="495">
          <cell r="E495" t="str">
            <v>D2020/01113</v>
          </cell>
          <cell r="F495">
            <v>258</v>
          </cell>
          <cell r="L495" t="str">
            <v>44068-19</v>
          </cell>
        </row>
        <row r="496">
          <cell r="E496" t="str">
            <v>D2020/01113</v>
          </cell>
          <cell r="F496">
            <v>53</v>
          </cell>
          <cell r="L496" t="str">
            <v>44068-19</v>
          </cell>
        </row>
        <row r="497">
          <cell r="E497" t="str">
            <v>D2020/01113</v>
          </cell>
          <cell r="F497">
            <v>44</v>
          </cell>
          <cell r="L497" t="str">
            <v>44068-19</v>
          </cell>
        </row>
        <row r="498">
          <cell r="E498" t="str">
            <v>D2020/01113</v>
          </cell>
          <cell r="F498">
            <v>94</v>
          </cell>
          <cell r="L498" t="str">
            <v>44068-19</v>
          </cell>
        </row>
        <row r="499">
          <cell r="E499" t="str">
            <v>D2020/01113</v>
          </cell>
          <cell r="F499">
            <v>12</v>
          </cell>
          <cell r="L499" t="str">
            <v>44068-19</v>
          </cell>
        </row>
        <row r="500">
          <cell r="E500" t="str">
            <v>D2020/01113</v>
          </cell>
          <cell r="F500">
            <v>17</v>
          </cell>
          <cell r="L500" t="str">
            <v>44068-13</v>
          </cell>
        </row>
        <row r="501">
          <cell r="E501" t="str">
            <v>D2020/01113</v>
          </cell>
          <cell r="F501">
            <v>61</v>
          </cell>
          <cell r="L501" t="str">
            <v>44068-13</v>
          </cell>
        </row>
        <row r="502">
          <cell r="E502" t="str">
            <v>D2020/01113</v>
          </cell>
          <cell r="F502">
            <v>14</v>
          </cell>
          <cell r="L502" t="str">
            <v>44068-13</v>
          </cell>
        </row>
        <row r="503">
          <cell r="E503" t="str">
            <v>D2020/01595</v>
          </cell>
          <cell r="F503">
            <v>36</v>
          </cell>
          <cell r="L503" t="str">
            <v>44069-10</v>
          </cell>
        </row>
        <row r="504">
          <cell r="E504" t="str">
            <v>D2020/01595</v>
          </cell>
          <cell r="F504">
            <v>12</v>
          </cell>
          <cell r="L504" t="str">
            <v>44069-10</v>
          </cell>
        </row>
        <row r="505">
          <cell r="E505" t="str">
            <v>D2020/01595</v>
          </cell>
          <cell r="F505">
            <v>222</v>
          </cell>
          <cell r="L505" t="str">
            <v>44069-10</v>
          </cell>
        </row>
        <row r="506">
          <cell r="E506" t="str">
            <v>D2020/01595</v>
          </cell>
          <cell r="F506">
            <v>100</v>
          </cell>
          <cell r="L506" t="str">
            <v>44069-10</v>
          </cell>
        </row>
        <row r="507">
          <cell r="E507" t="str">
            <v>D2020/01594</v>
          </cell>
          <cell r="F507">
            <v>74</v>
          </cell>
          <cell r="L507" t="str">
            <v>44069-10</v>
          </cell>
        </row>
        <row r="508">
          <cell r="E508" t="str">
            <v>D2020/01594</v>
          </cell>
          <cell r="F508">
            <v>220</v>
          </cell>
          <cell r="L508" t="str">
            <v>44069-14</v>
          </cell>
        </row>
        <row r="509">
          <cell r="E509" t="str">
            <v>D2020/01594</v>
          </cell>
          <cell r="F509">
            <v>169</v>
          </cell>
          <cell r="L509" t="str">
            <v>44069-14</v>
          </cell>
        </row>
        <row r="510">
          <cell r="E510" t="str">
            <v>D2020/01113</v>
          </cell>
          <cell r="F510">
            <v>24</v>
          </cell>
          <cell r="L510" t="str">
            <v>44069-19</v>
          </cell>
        </row>
        <row r="511">
          <cell r="E511" t="str">
            <v>D2020/01113</v>
          </cell>
          <cell r="F511">
            <v>30</v>
          </cell>
          <cell r="L511" t="str">
            <v>44069-19</v>
          </cell>
        </row>
        <row r="512">
          <cell r="E512" t="str">
            <v>D2020/01113</v>
          </cell>
          <cell r="F512">
            <v>140</v>
          </cell>
          <cell r="L512" t="str">
            <v>44069-19</v>
          </cell>
        </row>
        <row r="513">
          <cell r="E513" t="str">
            <v>D2020/01113</v>
          </cell>
          <cell r="F513">
            <v>95</v>
          </cell>
          <cell r="L513" t="str">
            <v>44069-19</v>
          </cell>
        </row>
        <row r="514">
          <cell r="E514" t="str">
            <v>D2020/01113</v>
          </cell>
          <cell r="F514">
            <v>14</v>
          </cell>
          <cell r="L514" t="str">
            <v>44069-19</v>
          </cell>
        </row>
        <row r="515">
          <cell r="E515" t="str">
            <v>D2020/01394</v>
          </cell>
          <cell r="F515">
            <v>125</v>
          </cell>
          <cell r="L515" t="str">
            <v>44069-13</v>
          </cell>
        </row>
        <row r="516">
          <cell r="E516" t="str">
            <v>D2020/01594</v>
          </cell>
          <cell r="F516">
            <v>112</v>
          </cell>
          <cell r="L516" t="str">
            <v>44070-10</v>
          </cell>
        </row>
        <row r="517">
          <cell r="E517" t="str">
            <v>D2020/01594</v>
          </cell>
          <cell r="F517">
            <v>62</v>
          </cell>
          <cell r="L517" t="str">
            <v>44070-10</v>
          </cell>
        </row>
        <row r="518">
          <cell r="E518" t="str">
            <v>D2020/01594</v>
          </cell>
          <cell r="F518">
            <v>29</v>
          </cell>
          <cell r="L518" t="str">
            <v>44070-10</v>
          </cell>
        </row>
        <row r="519">
          <cell r="E519" t="str">
            <v>D2020/01594</v>
          </cell>
          <cell r="F519">
            <v>12</v>
          </cell>
          <cell r="L519" t="str">
            <v>44070-10</v>
          </cell>
        </row>
        <row r="520">
          <cell r="E520" t="str">
            <v>D2020/01594</v>
          </cell>
          <cell r="F520">
            <v>45</v>
          </cell>
          <cell r="L520" t="str">
            <v>44070-14</v>
          </cell>
        </row>
        <row r="521">
          <cell r="E521" t="str">
            <v>D2020/01594</v>
          </cell>
          <cell r="F521">
            <v>17</v>
          </cell>
          <cell r="L521" t="str">
            <v>44070-14</v>
          </cell>
        </row>
        <row r="522">
          <cell r="E522" t="str">
            <v>D2020/01548</v>
          </cell>
          <cell r="F522">
            <v>79</v>
          </cell>
          <cell r="L522" t="str">
            <v>44070-14</v>
          </cell>
        </row>
        <row r="523">
          <cell r="E523" t="str">
            <v>D2020/01394</v>
          </cell>
          <cell r="F523">
            <v>110</v>
          </cell>
          <cell r="L523" t="str">
            <v>44070-19</v>
          </cell>
        </row>
        <row r="524">
          <cell r="E524" t="str">
            <v>D2020/01394</v>
          </cell>
          <cell r="F524">
            <v>90</v>
          </cell>
          <cell r="L524" t="str">
            <v>44070-19</v>
          </cell>
        </row>
        <row r="525">
          <cell r="E525" t="str">
            <v>D2020/01394</v>
          </cell>
          <cell r="F525">
            <v>40</v>
          </cell>
          <cell r="L525" t="str">
            <v>44070-19</v>
          </cell>
        </row>
        <row r="526">
          <cell r="E526" t="str">
            <v>D2020/01394</v>
          </cell>
          <cell r="F526">
            <v>160</v>
          </cell>
          <cell r="L526" t="str">
            <v>44070-19</v>
          </cell>
        </row>
        <row r="527">
          <cell r="E527" t="str">
            <v>D2020/01394</v>
          </cell>
          <cell r="F527">
            <v>60</v>
          </cell>
          <cell r="L527" t="str">
            <v>44070-19</v>
          </cell>
        </row>
        <row r="528">
          <cell r="E528" t="str">
            <v>D2020/01394</v>
          </cell>
          <cell r="F528">
            <v>122</v>
          </cell>
          <cell r="L528" t="str">
            <v>44070-19</v>
          </cell>
        </row>
        <row r="529">
          <cell r="E529" t="str">
            <v>D2020/01394</v>
          </cell>
          <cell r="F529">
            <v>182</v>
          </cell>
          <cell r="L529" t="str">
            <v>44070-19</v>
          </cell>
        </row>
        <row r="530">
          <cell r="E530" t="str">
            <v>D2020/01548</v>
          </cell>
          <cell r="F530">
            <v>41</v>
          </cell>
          <cell r="L530" t="str">
            <v>44071-10</v>
          </cell>
        </row>
        <row r="531">
          <cell r="E531" t="str">
            <v>D2020/01548</v>
          </cell>
          <cell r="F531">
            <v>37</v>
          </cell>
          <cell r="L531" t="str">
            <v>44071-10</v>
          </cell>
        </row>
        <row r="532">
          <cell r="E532" t="str">
            <v>D2020/01548</v>
          </cell>
          <cell r="F532">
            <v>32</v>
          </cell>
          <cell r="L532" t="str">
            <v>44071-10</v>
          </cell>
        </row>
        <row r="533">
          <cell r="E533" t="str">
            <v>D2020/01548</v>
          </cell>
          <cell r="F533">
            <v>45</v>
          </cell>
          <cell r="L533" t="str">
            <v>44071-10</v>
          </cell>
        </row>
        <row r="534">
          <cell r="E534" t="str">
            <v>D2020/01547</v>
          </cell>
          <cell r="F534">
            <v>45</v>
          </cell>
          <cell r="L534" t="str">
            <v>44071-14</v>
          </cell>
        </row>
        <row r="535">
          <cell r="E535" t="str">
            <v>D2020/00663</v>
          </cell>
          <cell r="F535">
            <v>12</v>
          </cell>
          <cell r="L535" t="str">
            <v>44071-14</v>
          </cell>
        </row>
        <row r="536">
          <cell r="E536" t="str">
            <v>D2020/01394</v>
          </cell>
          <cell r="F536">
            <v>115</v>
          </cell>
          <cell r="L536" t="str">
            <v>44071-19</v>
          </cell>
        </row>
        <row r="537">
          <cell r="E537" t="str">
            <v>D2020/01394</v>
          </cell>
          <cell r="F537">
            <v>50</v>
          </cell>
          <cell r="L537" t="str">
            <v>44071-19</v>
          </cell>
        </row>
        <row r="538">
          <cell r="E538" t="str">
            <v>D2020/01394</v>
          </cell>
          <cell r="F538">
            <v>176</v>
          </cell>
          <cell r="L538" t="str">
            <v>44071-19</v>
          </cell>
        </row>
        <row r="539">
          <cell r="E539" t="str">
            <v>D2020/01394</v>
          </cell>
          <cell r="F539">
            <v>96</v>
          </cell>
          <cell r="L539" t="str">
            <v>44071-19</v>
          </cell>
        </row>
        <row r="540">
          <cell r="E540" t="str">
            <v>D2020/01394</v>
          </cell>
          <cell r="F540">
            <v>155</v>
          </cell>
          <cell r="L540" t="str">
            <v>44071-19</v>
          </cell>
        </row>
        <row r="541">
          <cell r="E541" t="str">
            <v>D2020/01394</v>
          </cell>
          <cell r="F541">
            <v>64</v>
          </cell>
          <cell r="L541" t="str">
            <v>44071-19</v>
          </cell>
        </row>
        <row r="542">
          <cell r="E542" t="str">
            <v>D2020/01394</v>
          </cell>
          <cell r="F542">
            <v>75</v>
          </cell>
          <cell r="L542" t="str">
            <v>44071-19</v>
          </cell>
        </row>
        <row r="543">
          <cell r="E543" t="str">
            <v>D2020/01394</v>
          </cell>
          <cell r="F543">
            <v>80</v>
          </cell>
          <cell r="L543" t="str">
            <v>44071-19</v>
          </cell>
        </row>
        <row r="544">
          <cell r="E544" t="str">
            <v>D2020/01394</v>
          </cell>
          <cell r="F544">
            <v>61</v>
          </cell>
          <cell r="L544" t="str">
            <v>44071-19</v>
          </cell>
        </row>
        <row r="545">
          <cell r="E545" t="str">
            <v>D2020/01394</v>
          </cell>
          <cell r="F545">
            <v>18</v>
          </cell>
          <cell r="L545" t="str">
            <v>44071-13</v>
          </cell>
        </row>
        <row r="546">
          <cell r="E546" t="str">
            <v>D2020/01394</v>
          </cell>
          <cell r="F546">
            <v>50</v>
          </cell>
          <cell r="L546" t="str">
            <v>44071-13</v>
          </cell>
        </row>
        <row r="547">
          <cell r="E547" t="str">
            <v>D2020/01394</v>
          </cell>
          <cell r="F547">
            <v>9</v>
          </cell>
          <cell r="L547" t="str">
            <v>44071-13</v>
          </cell>
        </row>
        <row r="548">
          <cell r="E548" t="str">
            <v>D2020/00663</v>
          </cell>
          <cell r="F548">
            <v>103</v>
          </cell>
          <cell r="L548" t="str">
            <v>44074-10</v>
          </cell>
        </row>
        <row r="549">
          <cell r="E549" t="str">
            <v>D2020/00663</v>
          </cell>
          <cell r="F549">
            <v>82</v>
          </cell>
          <cell r="L549" t="str">
            <v>44074-10</v>
          </cell>
        </row>
        <row r="550">
          <cell r="E550" t="str">
            <v>D2020/00663</v>
          </cell>
          <cell r="F550">
            <v>40</v>
          </cell>
          <cell r="L550" t="str">
            <v>44074-10</v>
          </cell>
        </row>
        <row r="551">
          <cell r="E551" t="str">
            <v>D2020/00663</v>
          </cell>
          <cell r="F551">
            <v>15</v>
          </cell>
          <cell r="L551" t="str">
            <v>44074-10</v>
          </cell>
        </row>
        <row r="552">
          <cell r="E552" t="str">
            <v>D2020/00663</v>
          </cell>
          <cell r="F552">
            <v>24</v>
          </cell>
          <cell r="L552" t="str">
            <v>44074-14</v>
          </cell>
        </row>
        <row r="553">
          <cell r="E553" t="str">
            <v>D2020/00663</v>
          </cell>
          <cell r="F553">
            <v>11</v>
          </cell>
          <cell r="L553" t="str">
            <v>44074-14</v>
          </cell>
        </row>
        <row r="554">
          <cell r="E554" t="str">
            <v>D2020/00663</v>
          </cell>
          <cell r="F554">
            <v>5</v>
          </cell>
          <cell r="L554" t="str">
            <v>44074-14</v>
          </cell>
        </row>
        <row r="555">
          <cell r="E555" t="str">
            <v>D2020/01394</v>
          </cell>
          <cell r="F555">
            <v>98</v>
          </cell>
          <cell r="L555" t="str">
            <v>44074-19</v>
          </cell>
        </row>
        <row r="556">
          <cell r="E556" t="str">
            <v>D2020/01394</v>
          </cell>
          <cell r="F556">
            <v>112</v>
          </cell>
          <cell r="L556" t="str">
            <v>44074-19</v>
          </cell>
        </row>
        <row r="557">
          <cell r="E557" t="str">
            <v>D2020/01394</v>
          </cell>
          <cell r="F557">
            <v>112</v>
          </cell>
          <cell r="L557" t="str">
            <v>44074-19</v>
          </cell>
        </row>
        <row r="558">
          <cell r="E558" t="str">
            <v>D2020/01394</v>
          </cell>
          <cell r="F558">
            <v>14</v>
          </cell>
          <cell r="L558" t="str">
            <v>44074-19</v>
          </cell>
        </row>
        <row r="559">
          <cell r="E559" t="str">
            <v>D2020/01394</v>
          </cell>
          <cell r="F559">
            <v>24</v>
          </cell>
          <cell r="L559" t="str">
            <v>44074-13</v>
          </cell>
        </row>
        <row r="560">
          <cell r="E560" t="str">
            <v>D2020/01394</v>
          </cell>
          <cell r="F560">
            <v>19</v>
          </cell>
          <cell r="L560" t="str">
            <v>44074-13</v>
          </cell>
        </row>
        <row r="561">
          <cell r="E561" t="str">
            <v>D2020/01394</v>
          </cell>
          <cell r="F561">
            <v>2</v>
          </cell>
          <cell r="L561" t="str">
            <v>44074-13</v>
          </cell>
        </row>
        <row r="562">
          <cell r="E562" t="str">
            <v>D2020/00663</v>
          </cell>
          <cell r="F562">
            <v>17</v>
          </cell>
          <cell r="L562" t="str">
            <v>44075-10</v>
          </cell>
        </row>
        <row r="563">
          <cell r="E563" t="str">
            <v>D2020/00663</v>
          </cell>
          <cell r="F563">
            <v>60</v>
          </cell>
          <cell r="L563" t="str">
            <v>44075-10</v>
          </cell>
        </row>
        <row r="564">
          <cell r="E564" t="str">
            <v>D2020/00663</v>
          </cell>
          <cell r="F564">
            <v>9</v>
          </cell>
          <cell r="L564" t="str">
            <v>44075-10</v>
          </cell>
        </row>
        <row r="565">
          <cell r="E565" t="str">
            <v>D2020/00663</v>
          </cell>
          <cell r="F565">
            <v>12</v>
          </cell>
          <cell r="L565" t="str">
            <v>44075-10</v>
          </cell>
        </row>
        <row r="566">
          <cell r="E566" t="str">
            <v>D2020/01394</v>
          </cell>
          <cell r="F566">
            <v>69</v>
          </cell>
          <cell r="L566" t="str">
            <v>44075-19</v>
          </cell>
        </row>
        <row r="567">
          <cell r="E567" t="str">
            <v>D2020/01394</v>
          </cell>
          <cell r="F567">
            <v>77</v>
          </cell>
          <cell r="L567" t="str">
            <v>44075-19</v>
          </cell>
        </row>
        <row r="568">
          <cell r="E568" t="str">
            <v>D2020/01471</v>
          </cell>
          <cell r="F568">
            <v>104</v>
          </cell>
          <cell r="L568" t="str">
            <v>44075-19</v>
          </cell>
        </row>
        <row r="569">
          <cell r="E569" t="str">
            <v>D2020/01471</v>
          </cell>
          <cell r="F569">
            <v>39</v>
          </cell>
          <cell r="L569" t="str">
            <v>44075-19</v>
          </cell>
        </row>
        <row r="570">
          <cell r="E570" t="str">
            <v>D2020/01471</v>
          </cell>
          <cell r="F570">
            <v>38</v>
          </cell>
          <cell r="L570" t="str">
            <v>44075-13</v>
          </cell>
        </row>
        <row r="571">
          <cell r="E571" t="str">
            <v>D2020/01471</v>
          </cell>
          <cell r="F571">
            <v>22</v>
          </cell>
          <cell r="L571" t="str">
            <v>44075-13</v>
          </cell>
        </row>
        <row r="572">
          <cell r="E572" t="str">
            <v>D2020/00663</v>
          </cell>
          <cell r="F572">
            <v>40</v>
          </cell>
          <cell r="L572" t="str">
            <v>44076-14</v>
          </cell>
        </row>
        <row r="573">
          <cell r="E573" t="str">
            <v>D2020/00663</v>
          </cell>
          <cell r="F573">
            <v>58</v>
          </cell>
          <cell r="L573" t="str">
            <v>44076-14</v>
          </cell>
        </row>
        <row r="574">
          <cell r="E574" t="str">
            <v>D2020/00663</v>
          </cell>
          <cell r="F574">
            <v>42</v>
          </cell>
          <cell r="L574" t="str">
            <v>44076-10</v>
          </cell>
        </row>
        <row r="575">
          <cell r="E575" t="str">
            <v>D2020/00663</v>
          </cell>
          <cell r="F575">
            <v>23</v>
          </cell>
          <cell r="L575" t="str">
            <v>44076-10</v>
          </cell>
        </row>
        <row r="576">
          <cell r="E576" t="str">
            <v>D2020/00663</v>
          </cell>
          <cell r="F576">
            <v>10</v>
          </cell>
          <cell r="L576" t="str">
            <v>44076-10</v>
          </cell>
        </row>
        <row r="577">
          <cell r="E577" t="str">
            <v>D2020/00663</v>
          </cell>
          <cell r="F577">
            <v>38</v>
          </cell>
          <cell r="L577" t="str">
            <v>44076-14</v>
          </cell>
        </row>
        <row r="578">
          <cell r="E578" t="str">
            <v>D2020/01471</v>
          </cell>
          <cell r="F578">
            <v>48</v>
          </cell>
          <cell r="L578" t="str">
            <v>44076-19</v>
          </cell>
        </row>
        <row r="579">
          <cell r="E579" t="str">
            <v>D2020/01471</v>
          </cell>
          <cell r="F579">
            <v>132</v>
          </cell>
          <cell r="L579" t="str">
            <v>44076-19</v>
          </cell>
        </row>
        <row r="580">
          <cell r="E580" t="str">
            <v>D2020/01471</v>
          </cell>
          <cell r="F580">
            <v>50</v>
          </cell>
          <cell r="L580" t="str">
            <v>44076-19</v>
          </cell>
        </row>
        <row r="581">
          <cell r="E581" t="str">
            <v>D2020/01471</v>
          </cell>
          <cell r="F581">
            <v>30</v>
          </cell>
          <cell r="L581" t="str">
            <v>44076-19</v>
          </cell>
        </row>
        <row r="582">
          <cell r="E582" t="str">
            <v>D2020/01471</v>
          </cell>
          <cell r="F582">
            <v>94</v>
          </cell>
          <cell r="L582" t="str">
            <v>44076-19</v>
          </cell>
        </row>
        <row r="583">
          <cell r="E583" t="str">
            <v>D2020/01471</v>
          </cell>
          <cell r="F583">
            <v>18</v>
          </cell>
          <cell r="L583" t="str">
            <v>44076-19</v>
          </cell>
        </row>
        <row r="584">
          <cell r="E584" t="str">
            <v>D2020/01471</v>
          </cell>
          <cell r="F584">
            <v>58</v>
          </cell>
          <cell r="L584" t="str">
            <v>44076-19</v>
          </cell>
        </row>
        <row r="585">
          <cell r="E585" t="str">
            <v>D2020/01471</v>
          </cell>
          <cell r="F585">
            <v>30</v>
          </cell>
          <cell r="L585" t="str">
            <v>44076-13</v>
          </cell>
        </row>
        <row r="586">
          <cell r="E586" t="str">
            <v>D2020/01471</v>
          </cell>
          <cell r="F586">
            <v>46</v>
          </cell>
          <cell r="L586" t="str">
            <v>44076-13</v>
          </cell>
        </row>
        <row r="587">
          <cell r="E587" t="str">
            <v>D2020/01471</v>
          </cell>
          <cell r="F587">
            <v>21</v>
          </cell>
          <cell r="L587" t="str">
            <v>44076-13</v>
          </cell>
        </row>
        <row r="588">
          <cell r="E588" t="str">
            <v>D2020/00663</v>
          </cell>
          <cell r="F588">
            <v>8</v>
          </cell>
          <cell r="L588" t="str">
            <v>44077-10</v>
          </cell>
        </row>
        <row r="589">
          <cell r="E589" t="str">
            <v>D2020/00663</v>
          </cell>
          <cell r="F589">
            <v>21</v>
          </cell>
          <cell r="L589" t="str">
            <v>44077-10</v>
          </cell>
        </row>
        <row r="590">
          <cell r="E590" t="str">
            <v>D2020/01471</v>
          </cell>
          <cell r="F590">
            <v>39</v>
          </cell>
          <cell r="L590" t="str">
            <v>44077-19</v>
          </cell>
        </row>
        <row r="591">
          <cell r="E591" t="str">
            <v>D2020/01471</v>
          </cell>
          <cell r="F591">
            <v>35</v>
          </cell>
          <cell r="L591" t="str">
            <v>44077-19</v>
          </cell>
        </row>
        <row r="592">
          <cell r="E592" t="str">
            <v>D2020/01471</v>
          </cell>
          <cell r="F592">
            <v>85</v>
          </cell>
          <cell r="L592" t="str">
            <v>44077-19</v>
          </cell>
        </row>
        <row r="593">
          <cell r="E593" t="str">
            <v>D2020/01472</v>
          </cell>
          <cell r="F593">
            <v>220</v>
          </cell>
          <cell r="L593" t="str">
            <v>44077-19</v>
          </cell>
        </row>
        <row r="594">
          <cell r="E594" t="str">
            <v>D2020/01472</v>
          </cell>
          <cell r="F594">
            <v>27</v>
          </cell>
          <cell r="L594" t="str">
            <v>44077-19</v>
          </cell>
        </row>
        <row r="595">
          <cell r="E595" t="str">
            <v>D2020/01472</v>
          </cell>
          <cell r="F595">
            <v>8</v>
          </cell>
          <cell r="L595" t="str">
            <v>44077-13</v>
          </cell>
        </row>
        <row r="596">
          <cell r="E596" t="str">
            <v>D2020/01472</v>
          </cell>
          <cell r="F596">
            <v>25</v>
          </cell>
          <cell r="L596" t="str">
            <v>44077-13</v>
          </cell>
        </row>
        <row r="597">
          <cell r="E597" t="str">
            <v>D2020/01472</v>
          </cell>
          <cell r="F597">
            <v>5</v>
          </cell>
          <cell r="L597" t="str">
            <v>44077-13</v>
          </cell>
        </row>
        <row r="598">
          <cell r="E598" t="str">
            <v>D2020/01495</v>
          </cell>
          <cell r="F598">
            <v>168</v>
          </cell>
          <cell r="L598" t="str">
            <v>44078-19</v>
          </cell>
        </row>
        <row r="599">
          <cell r="E599" t="str">
            <v>D2020/01495</v>
          </cell>
          <cell r="F599">
            <v>392</v>
          </cell>
          <cell r="L599" t="str">
            <v>44078-19</v>
          </cell>
        </row>
        <row r="600">
          <cell r="E600" t="str">
            <v>D2020/01495</v>
          </cell>
          <cell r="F600">
            <v>131</v>
          </cell>
          <cell r="L600" t="str">
            <v>44078-19</v>
          </cell>
        </row>
        <row r="601">
          <cell r="E601" t="str">
            <v>D2020/01495</v>
          </cell>
          <cell r="F601">
            <v>44</v>
          </cell>
          <cell r="L601" t="str">
            <v>44078-19</v>
          </cell>
        </row>
        <row r="602">
          <cell r="E602" t="str">
            <v>D2020/01495</v>
          </cell>
          <cell r="F602">
            <v>128</v>
          </cell>
          <cell r="L602" t="str">
            <v>44078-19</v>
          </cell>
        </row>
        <row r="603">
          <cell r="E603" t="str">
            <v>D2020/01511</v>
          </cell>
          <cell r="F603">
            <v>63</v>
          </cell>
          <cell r="L603" t="str">
            <v>44078-19</v>
          </cell>
        </row>
        <row r="604">
          <cell r="E604" t="str">
            <v>D2020/01511</v>
          </cell>
          <cell r="F604">
            <v>398</v>
          </cell>
          <cell r="L604" t="str">
            <v>44078-14</v>
          </cell>
        </row>
        <row r="605">
          <cell r="E605" t="str">
            <v>D2020/01511</v>
          </cell>
          <cell r="F605">
            <v>141</v>
          </cell>
          <cell r="L605" t="str">
            <v>44082-19</v>
          </cell>
        </row>
        <row r="606">
          <cell r="E606" t="str">
            <v>D2020/01511</v>
          </cell>
          <cell r="F606">
            <v>333</v>
          </cell>
          <cell r="L606" t="str">
            <v>44082-19</v>
          </cell>
        </row>
        <row r="607">
          <cell r="E607" t="str">
            <v>D2020/01511</v>
          </cell>
          <cell r="F607">
            <v>259</v>
          </cell>
          <cell r="L607" t="str">
            <v>44082-19</v>
          </cell>
        </row>
        <row r="608">
          <cell r="E608" t="str">
            <v>D2020/01511</v>
          </cell>
          <cell r="F608">
            <v>192</v>
          </cell>
          <cell r="L608" t="str">
            <v>44082-19</v>
          </cell>
        </row>
        <row r="609">
          <cell r="E609" t="str">
            <v>D2020/01511</v>
          </cell>
          <cell r="F609">
            <v>141</v>
          </cell>
          <cell r="L609" t="str">
            <v>44082-19</v>
          </cell>
        </row>
        <row r="610">
          <cell r="E610" t="str">
            <v>D2020/01511</v>
          </cell>
          <cell r="F610">
            <v>144</v>
          </cell>
          <cell r="L610" t="str">
            <v>44082-19</v>
          </cell>
        </row>
        <row r="611">
          <cell r="E611" t="str">
            <v>D2020/01511</v>
          </cell>
          <cell r="F611">
            <v>15</v>
          </cell>
          <cell r="L611" t="str">
            <v>44082-19</v>
          </cell>
        </row>
        <row r="612">
          <cell r="E612" t="str">
            <v>D2020/01511</v>
          </cell>
          <cell r="F612">
            <v>278</v>
          </cell>
          <cell r="L612" t="str">
            <v>44082-19</v>
          </cell>
        </row>
        <row r="613">
          <cell r="E613" t="str">
            <v>D2020/01511</v>
          </cell>
          <cell r="F613">
            <v>8</v>
          </cell>
          <cell r="L613" t="str">
            <v>44082-19</v>
          </cell>
        </row>
        <row r="614">
          <cell r="E614" t="str">
            <v>D2020/01511</v>
          </cell>
          <cell r="F614">
            <v>340</v>
          </cell>
          <cell r="L614" t="str">
            <v>44082-14</v>
          </cell>
        </row>
        <row r="615">
          <cell r="E615" t="str">
            <v>D2020/01511</v>
          </cell>
          <cell r="F615">
            <v>68</v>
          </cell>
          <cell r="L615" t="str">
            <v>44082-14</v>
          </cell>
        </row>
        <row r="616">
          <cell r="E616" t="str">
            <v>D2020/01511</v>
          </cell>
          <cell r="F616">
            <v>101</v>
          </cell>
          <cell r="L616" t="str">
            <v>44082-14</v>
          </cell>
        </row>
        <row r="617">
          <cell r="E617" t="str">
            <v>D2020/01511</v>
          </cell>
          <cell r="F617">
            <v>239</v>
          </cell>
          <cell r="L617" t="str">
            <v>44082-14</v>
          </cell>
        </row>
        <row r="618">
          <cell r="E618" t="str">
            <v>D2020/01511</v>
          </cell>
          <cell r="F618">
            <v>50</v>
          </cell>
          <cell r="L618" t="str">
            <v>44082-14</v>
          </cell>
        </row>
        <row r="619">
          <cell r="E619" t="str">
            <v>D2020/01511</v>
          </cell>
          <cell r="F619">
            <v>196</v>
          </cell>
          <cell r="L619" t="str">
            <v>44083-19</v>
          </cell>
        </row>
        <row r="620">
          <cell r="E620" t="str">
            <v>D2020/01511</v>
          </cell>
          <cell r="F620">
            <v>357</v>
          </cell>
          <cell r="L620" t="str">
            <v>44083-19</v>
          </cell>
        </row>
        <row r="621">
          <cell r="E621" t="str">
            <v>D2020/01511</v>
          </cell>
          <cell r="F621">
            <v>333</v>
          </cell>
          <cell r="L621" t="str">
            <v>44083-19</v>
          </cell>
        </row>
        <row r="622">
          <cell r="E622" t="str">
            <v>D2020/01511</v>
          </cell>
          <cell r="F622">
            <v>14</v>
          </cell>
          <cell r="L622" t="str">
            <v>44083-19</v>
          </cell>
        </row>
        <row r="623">
          <cell r="E623" t="str">
            <v>D2020/01511</v>
          </cell>
          <cell r="F623">
            <v>46</v>
          </cell>
          <cell r="L623" t="str">
            <v>44083-19</v>
          </cell>
        </row>
        <row r="624">
          <cell r="E624" t="str">
            <v>D2020/01511</v>
          </cell>
          <cell r="F624">
            <v>88</v>
          </cell>
          <cell r="L624" t="str">
            <v>44083-13</v>
          </cell>
        </row>
        <row r="625">
          <cell r="E625" t="str">
            <v>D2020/01511</v>
          </cell>
          <cell r="F625">
            <v>175</v>
          </cell>
          <cell r="L625" t="str">
            <v>44083-13</v>
          </cell>
        </row>
        <row r="626">
          <cell r="E626" t="str">
            <v>D2020/01511</v>
          </cell>
          <cell r="F626">
            <v>153</v>
          </cell>
          <cell r="L626" t="str">
            <v>44083-13</v>
          </cell>
        </row>
        <row r="627">
          <cell r="E627" t="str">
            <v>D2020/01511</v>
          </cell>
          <cell r="F627">
            <v>65</v>
          </cell>
          <cell r="L627" t="str">
            <v>44084-19</v>
          </cell>
        </row>
        <row r="628">
          <cell r="E628" t="str">
            <v>D2020/01511</v>
          </cell>
          <cell r="F628">
            <v>27</v>
          </cell>
          <cell r="L628" t="str">
            <v>44084-19</v>
          </cell>
        </row>
        <row r="629">
          <cell r="E629" t="str">
            <v>D2020/01511</v>
          </cell>
          <cell r="F629">
            <v>65</v>
          </cell>
          <cell r="L629" t="str">
            <v>44084-19</v>
          </cell>
        </row>
        <row r="630">
          <cell r="E630" t="str">
            <v>D2020/01511</v>
          </cell>
          <cell r="F630">
            <v>59</v>
          </cell>
          <cell r="L630" t="str">
            <v>44084-19</v>
          </cell>
        </row>
        <row r="631">
          <cell r="E631" t="str">
            <v>D2020/01511</v>
          </cell>
          <cell r="F631">
            <v>38</v>
          </cell>
          <cell r="L631" t="str">
            <v>44084-13</v>
          </cell>
        </row>
        <row r="632">
          <cell r="E632" t="str">
            <v>D2020/01511</v>
          </cell>
          <cell r="F632">
            <v>24</v>
          </cell>
          <cell r="L632" t="str">
            <v>44084-13</v>
          </cell>
        </row>
        <row r="633">
          <cell r="E633" t="str">
            <v>D2020/01511</v>
          </cell>
          <cell r="F633">
            <v>41</v>
          </cell>
          <cell r="L633" t="str">
            <v>44084-13</v>
          </cell>
        </row>
        <row r="634">
          <cell r="E634" t="str">
            <v>D2020/01511</v>
          </cell>
          <cell r="F634">
            <v>86</v>
          </cell>
          <cell r="L634" t="str">
            <v>44084-13</v>
          </cell>
        </row>
        <row r="635">
          <cell r="E635" t="str">
            <v>D2020/01511</v>
          </cell>
          <cell r="F635">
            <v>47</v>
          </cell>
          <cell r="L635" t="str">
            <v>44085-19</v>
          </cell>
        </row>
        <row r="636">
          <cell r="E636" t="str">
            <v>D2020/01511</v>
          </cell>
          <cell r="F636">
            <v>13</v>
          </cell>
          <cell r="L636" t="str">
            <v>44085-19</v>
          </cell>
        </row>
        <row r="637">
          <cell r="E637" t="str">
            <v>D2020/01511</v>
          </cell>
          <cell r="F637">
            <v>60</v>
          </cell>
          <cell r="L637" t="str">
            <v>44085-19</v>
          </cell>
        </row>
        <row r="638">
          <cell r="E638" t="str">
            <v>D2020/01511</v>
          </cell>
          <cell r="F638">
            <v>11</v>
          </cell>
          <cell r="L638" t="str">
            <v>44085-19</v>
          </cell>
        </row>
        <row r="639">
          <cell r="E639" t="str">
            <v>D2020/01511</v>
          </cell>
          <cell r="F639">
            <v>60</v>
          </cell>
          <cell r="L639" t="str">
            <v>44085-19</v>
          </cell>
        </row>
        <row r="640">
          <cell r="E640" t="str">
            <v>D2020/01511</v>
          </cell>
          <cell r="F640">
            <v>22</v>
          </cell>
          <cell r="L640" t="str">
            <v>44085-19</v>
          </cell>
        </row>
        <row r="641">
          <cell r="E641" t="str">
            <v>D2020/01511</v>
          </cell>
          <cell r="F641">
            <v>182</v>
          </cell>
          <cell r="L641" t="str">
            <v>44085-13</v>
          </cell>
        </row>
        <row r="642">
          <cell r="E642" t="str">
            <v>D2020/01511</v>
          </cell>
          <cell r="F642">
            <v>31</v>
          </cell>
          <cell r="L642" t="str">
            <v>44085-13</v>
          </cell>
        </row>
        <row r="643">
          <cell r="E643" t="str">
            <v>D2020/01700</v>
          </cell>
          <cell r="F643">
            <v>143</v>
          </cell>
          <cell r="L643" t="str">
            <v>44085-13</v>
          </cell>
        </row>
        <row r="644">
          <cell r="E644" t="str">
            <v>D2020/01700</v>
          </cell>
          <cell r="F644">
            <v>13</v>
          </cell>
          <cell r="L644" t="str">
            <v>44085-13</v>
          </cell>
        </row>
        <row r="645">
          <cell r="E645" t="str">
            <v>D2020/01700</v>
          </cell>
          <cell r="F645">
            <v>98</v>
          </cell>
          <cell r="L645" t="str">
            <v>44088-19</v>
          </cell>
        </row>
        <row r="646">
          <cell r="E646" t="str">
            <v>D2020/01700</v>
          </cell>
          <cell r="F646">
            <v>26</v>
          </cell>
          <cell r="L646" t="str">
            <v>44088-19</v>
          </cell>
        </row>
        <row r="647">
          <cell r="E647" t="str">
            <v>D2020/01700</v>
          </cell>
          <cell r="F647">
            <v>18</v>
          </cell>
          <cell r="L647" t="str">
            <v>44088-19</v>
          </cell>
        </row>
        <row r="648">
          <cell r="E648" t="str">
            <v>D2020/01700</v>
          </cell>
          <cell r="F648">
            <v>64</v>
          </cell>
          <cell r="L648" t="str">
            <v>44088-19</v>
          </cell>
        </row>
        <row r="649">
          <cell r="E649" t="str">
            <v>D2020/01700</v>
          </cell>
          <cell r="F649">
            <v>31</v>
          </cell>
          <cell r="L649" t="str">
            <v>44088-19</v>
          </cell>
        </row>
        <row r="650">
          <cell r="E650" t="str">
            <v>D2020/00664</v>
          </cell>
          <cell r="F650">
            <v>198</v>
          </cell>
          <cell r="L650" t="str">
            <v>44089-14</v>
          </cell>
        </row>
        <row r="651">
          <cell r="E651" t="str">
            <v>D2020/01701</v>
          </cell>
          <cell r="F651">
            <v>49</v>
          </cell>
          <cell r="L651" t="str">
            <v>44089-13</v>
          </cell>
        </row>
        <row r="652">
          <cell r="E652" t="str">
            <v>D2020/01701</v>
          </cell>
          <cell r="F652">
            <v>12</v>
          </cell>
          <cell r="L652" t="str">
            <v>44089-13</v>
          </cell>
        </row>
        <row r="653">
          <cell r="E653" t="str">
            <v>D2020/01701</v>
          </cell>
          <cell r="F653">
            <v>63</v>
          </cell>
          <cell r="L653" t="str">
            <v>44089-13</v>
          </cell>
        </row>
        <row r="654">
          <cell r="E654" t="str">
            <v>D2020/01701</v>
          </cell>
          <cell r="F654">
            <v>39</v>
          </cell>
          <cell r="L654" t="str">
            <v>44089-13</v>
          </cell>
        </row>
        <row r="655">
          <cell r="E655" t="str">
            <v>D2020/01701</v>
          </cell>
          <cell r="F655">
            <v>29</v>
          </cell>
          <cell r="L655" t="str">
            <v>44089-13</v>
          </cell>
        </row>
        <row r="656">
          <cell r="E656" t="str">
            <v>D2020/01701</v>
          </cell>
          <cell r="F656">
            <v>12</v>
          </cell>
          <cell r="L656" t="str">
            <v>44089-13</v>
          </cell>
        </row>
        <row r="657">
          <cell r="E657" t="str">
            <v>D2020/01701</v>
          </cell>
          <cell r="F657">
            <v>12</v>
          </cell>
          <cell r="L657" t="str">
            <v>44089-13</v>
          </cell>
        </row>
        <row r="658">
          <cell r="E658" t="str">
            <v>D2020/01701</v>
          </cell>
          <cell r="F658">
            <v>56</v>
          </cell>
          <cell r="L658" t="str">
            <v>44089-13</v>
          </cell>
        </row>
        <row r="659">
          <cell r="E659" t="str">
            <v>D2020/01701</v>
          </cell>
          <cell r="F659">
            <v>8</v>
          </cell>
          <cell r="L659" t="str">
            <v>44089-13</v>
          </cell>
        </row>
        <row r="660">
          <cell r="E660" t="str">
            <v>D2020/00664</v>
          </cell>
          <cell r="F660">
            <v>5</v>
          </cell>
          <cell r="L660" t="str">
            <v>44090-10</v>
          </cell>
        </row>
        <row r="661">
          <cell r="E661" t="str">
            <v>D2020/00664</v>
          </cell>
          <cell r="F661">
            <v>18</v>
          </cell>
          <cell r="L661" t="str">
            <v>44090-10</v>
          </cell>
        </row>
        <row r="662">
          <cell r="E662" t="str">
            <v>D2020/00664</v>
          </cell>
          <cell r="F662">
            <v>18</v>
          </cell>
          <cell r="L662" t="str">
            <v>44090-10</v>
          </cell>
        </row>
        <row r="663">
          <cell r="E663" t="str">
            <v>D2020/00664</v>
          </cell>
          <cell r="F663">
            <v>9</v>
          </cell>
          <cell r="L663" t="str">
            <v>44090-10</v>
          </cell>
        </row>
        <row r="664">
          <cell r="E664" t="str">
            <v>D2020/01701</v>
          </cell>
          <cell r="F664">
            <v>71</v>
          </cell>
          <cell r="L664" t="str">
            <v>44090-19</v>
          </cell>
        </row>
        <row r="665">
          <cell r="E665" t="str">
            <v>D2020/01701</v>
          </cell>
          <cell r="F665">
            <v>32</v>
          </cell>
          <cell r="L665" t="str">
            <v>44090-19</v>
          </cell>
        </row>
        <row r="666">
          <cell r="E666" t="str">
            <v>D2020/01701</v>
          </cell>
          <cell r="F666">
            <v>16</v>
          </cell>
          <cell r="L666" t="str">
            <v>44090-19</v>
          </cell>
        </row>
        <row r="667">
          <cell r="E667" t="str">
            <v>D2020/01702</v>
          </cell>
          <cell r="F667">
            <v>157</v>
          </cell>
          <cell r="L667" t="str">
            <v>44090-19</v>
          </cell>
        </row>
        <row r="668">
          <cell r="E668" t="str">
            <v>D2020/01702</v>
          </cell>
          <cell r="F668">
            <v>9</v>
          </cell>
          <cell r="L668" t="str">
            <v>44090-19</v>
          </cell>
        </row>
        <row r="669">
          <cell r="E669" t="str">
            <v>D2020/00664</v>
          </cell>
          <cell r="F669">
            <v>15</v>
          </cell>
          <cell r="L669" t="str">
            <v>44091-14</v>
          </cell>
        </row>
        <row r="670">
          <cell r="E670" t="str">
            <v>D2020/00664</v>
          </cell>
          <cell r="F670">
            <v>72</v>
          </cell>
          <cell r="L670" t="str">
            <v>44091-14</v>
          </cell>
        </row>
        <row r="671">
          <cell r="E671" t="str">
            <v>D2020/00664</v>
          </cell>
          <cell r="F671">
            <v>6</v>
          </cell>
          <cell r="L671" t="str">
            <v>44091-14</v>
          </cell>
        </row>
        <row r="672">
          <cell r="E672" t="str">
            <v>D2020/00664</v>
          </cell>
          <cell r="F672">
            <v>13</v>
          </cell>
          <cell r="L672" t="str">
            <v>44091-14</v>
          </cell>
        </row>
        <row r="673">
          <cell r="E673" t="str">
            <v>D2020/01702</v>
          </cell>
          <cell r="F673">
            <v>77</v>
          </cell>
          <cell r="L673" t="str">
            <v>44091-13</v>
          </cell>
        </row>
        <row r="674">
          <cell r="E674" t="str">
            <v>D2020/01511</v>
          </cell>
          <cell r="F674">
            <v>20</v>
          </cell>
          <cell r="L674" t="str">
            <v>44091-13</v>
          </cell>
        </row>
        <row r="675">
          <cell r="E675" t="str">
            <v>D2020/01511</v>
          </cell>
          <cell r="F675">
            <v>41</v>
          </cell>
          <cell r="L675" t="str">
            <v>44091-13</v>
          </cell>
        </row>
        <row r="676">
          <cell r="E676" t="str">
            <v>D2020/01511</v>
          </cell>
          <cell r="F676">
            <v>66</v>
          </cell>
          <cell r="L676" t="str">
            <v>44091-13</v>
          </cell>
        </row>
        <row r="677">
          <cell r="E677" t="str">
            <v>D2020/01511</v>
          </cell>
          <cell r="F677">
            <v>23</v>
          </cell>
          <cell r="L677" t="str">
            <v>44091-13</v>
          </cell>
        </row>
        <row r="678">
          <cell r="E678" t="str">
            <v>D2020/01511</v>
          </cell>
          <cell r="F678">
            <v>78</v>
          </cell>
          <cell r="L678" t="str">
            <v>44091-13</v>
          </cell>
        </row>
        <row r="679">
          <cell r="E679" t="str">
            <v>D2020/01511</v>
          </cell>
          <cell r="F679">
            <v>57</v>
          </cell>
          <cell r="L679" t="str">
            <v>44091-13</v>
          </cell>
        </row>
        <row r="680">
          <cell r="E680" t="str">
            <v>D2020/01511</v>
          </cell>
          <cell r="F680">
            <v>12</v>
          </cell>
          <cell r="L680" t="str">
            <v>44091-13</v>
          </cell>
        </row>
        <row r="681">
          <cell r="E681" t="str">
            <v>D2020/01511</v>
          </cell>
          <cell r="F681">
            <v>49</v>
          </cell>
          <cell r="L681" t="str">
            <v>44091-13</v>
          </cell>
        </row>
        <row r="682">
          <cell r="E682" t="str">
            <v>D2020/01511</v>
          </cell>
          <cell r="F682">
            <v>6</v>
          </cell>
          <cell r="L682" t="str">
            <v>44091-13</v>
          </cell>
        </row>
        <row r="683">
          <cell r="E683" t="str">
            <v>D2020/00664</v>
          </cell>
          <cell r="F683">
            <v>4</v>
          </cell>
          <cell r="L683" t="str">
            <v>44092-10</v>
          </cell>
        </row>
        <row r="684">
          <cell r="E684" t="str">
            <v>D2020/00664</v>
          </cell>
          <cell r="F684">
            <v>41</v>
          </cell>
          <cell r="L684" t="str">
            <v>44092-10</v>
          </cell>
        </row>
        <row r="685">
          <cell r="E685" t="str">
            <v>D2020/00664</v>
          </cell>
          <cell r="F685">
            <v>24</v>
          </cell>
          <cell r="L685" t="str">
            <v>44092-10</v>
          </cell>
        </row>
        <row r="686">
          <cell r="E686" t="str">
            <v>D2020/00664</v>
          </cell>
          <cell r="F686">
            <v>3</v>
          </cell>
          <cell r="L686" t="str">
            <v>44092-10</v>
          </cell>
        </row>
        <row r="687">
          <cell r="E687" t="str">
            <v>D2020/00664</v>
          </cell>
          <cell r="F687">
            <v>24</v>
          </cell>
          <cell r="L687" t="str">
            <v>44092-10</v>
          </cell>
        </row>
        <row r="688">
          <cell r="E688" t="str">
            <v>D2020/01511</v>
          </cell>
          <cell r="F688">
            <v>80</v>
          </cell>
          <cell r="L688" t="str">
            <v>44092-19</v>
          </cell>
        </row>
        <row r="689">
          <cell r="E689" t="str">
            <v>D2020/01511</v>
          </cell>
          <cell r="F689">
            <v>35</v>
          </cell>
          <cell r="L689" t="str">
            <v>44092-19</v>
          </cell>
        </row>
        <row r="690">
          <cell r="E690" t="str">
            <v>D2020/01511</v>
          </cell>
          <cell r="F690">
            <v>173</v>
          </cell>
          <cell r="L690" t="str">
            <v>44092-19</v>
          </cell>
        </row>
        <row r="691">
          <cell r="E691" t="str">
            <v>D2020/01511</v>
          </cell>
          <cell r="F691">
            <v>27</v>
          </cell>
          <cell r="L691" t="str">
            <v>44092-19</v>
          </cell>
        </row>
        <row r="692">
          <cell r="E692" t="str">
            <v>D2020/01511</v>
          </cell>
          <cell r="F692">
            <v>26</v>
          </cell>
          <cell r="L692" t="str">
            <v>44092-19</v>
          </cell>
        </row>
        <row r="693">
          <cell r="E693" t="str">
            <v>D2020/01702</v>
          </cell>
          <cell r="F693">
            <v>50</v>
          </cell>
          <cell r="L693" t="str">
            <v>44092-19</v>
          </cell>
        </row>
        <row r="694">
          <cell r="E694" t="str">
            <v>D2020/01702</v>
          </cell>
          <cell r="F694">
            <v>2</v>
          </cell>
          <cell r="L694" t="str">
            <v>44092-19</v>
          </cell>
        </row>
        <row r="695">
          <cell r="E695" t="str">
            <v>D2020/00664</v>
          </cell>
          <cell r="F695">
            <v>4</v>
          </cell>
          <cell r="L695" t="str">
            <v>44095-14</v>
          </cell>
        </row>
        <row r="696">
          <cell r="E696" t="str">
            <v>D2020/00664</v>
          </cell>
          <cell r="F696">
            <v>23</v>
          </cell>
          <cell r="L696" t="str">
            <v>44095-14</v>
          </cell>
        </row>
        <row r="697">
          <cell r="E697" t="str">
            <v>D2020/00664</v>
          </cell>
          <cell r="F697">
            <v>21</v>
          </cell>
          <cell r="L697" t="str">
            <v>44095-14</v>
          </cell>
        </row>
        <row r="698">
          <cell r="E698" t="str">
            <v>D2020/00664</v>
          </cell>
          <cell r="F698">
            <v>105</v>
          </cell>
          <cell r="L698" t="str">
            <v>44095-14</v>
          </cell>
        </row>
        <row r="699">
          <cell r="E699" t="str">
            <v>D2020/01702</v>
          </cell>
          <cell r="F699">
            <v>70</v>
          </cell>
          <cell r="L699" t="str">
            <v>44095-13</v>
          </cell>
        </row>
        <row r="700">
          <cell r="E700" t="str">
            <v>D2020/01702</v>
          </cell>
          <cell r="F700">
            <v>10</v>
          </cell>
          <cell r="L700" t="str">
            <v>44095-13</v>
          </cell>
        </row>
        <row r="701">
          <cell r="E701" t="str">
            <v>D2020/01702</v>
          </cell>
          <cell r="F701">
            <v>88</v>
          </cell>
          <cell r="L701" t="str">
            <v>44095-13</v>
          </cell>
        </row>
        <row r="702">
          <cell r="E702" t="str">
            <v>D2020/01702</v>
          </cell>
          <cell r="F702">
            <v>10</v>
          </cell>
          <cell r="L702" t="str">
            <v>44095-13</v>
          </cell>
        </row>
        <row r="703">
          <cell r="E703" t="str">
            <v>D2020/01702</v>
          </cell>
          <cell r="F703">
            <v>1072</v>
          </cell>
          <cell r="L703" t="str">
            <v>44095-13</v>
          </cell>
        </row>
        <row r="704">
          <cell r="E704" t="str">
            <v>D2020/01702</v>
          </cell>
          <cell r="F704">
            <v>48</v>
          </cell>
          <cell r="L704" t="str">
            <v>44095-13</v>
          </cell>
        </row>
        <row r="705">
          <cell r="E705" t="str">
            <v>D2020/01702</v>
          </cell>
          <cell r="F705">
            <v>12</v>
          </cell>
          <cell r="L705" t="str">
            <v>44095-13</v>
          </cell>
        </row>
        <row r="706">
          <cell r="E706" t="str">
            <v>D2020/01702</v>
          </cell>
          <cell r="F706">
            <v>54</v>
          </cell>
          <cell r="L706" t="str">
            <v>44095-13</v>
          </cell>
        </row>
        <row r="707">
          <cell r="E707" t="str">
            <v>D2020/01702</v>
          </cell>
          <cell r="F707">
            <v>12</v>
          </cell>
          <cell r="L707" t="str">
            <v>44095-13</v>
          </cell>
        </row>
        <row r="708">
          <cell r="E708" t="str">
            <v>D2020/00664</v>
          </cell>
          <cell r="F708">
            <v>10</v>
          </cell>
          <cell r="L708" t="str">
            <v>44096-10</v>
          </cell>
        </row>
        <row r="709">
          <cell r="E709" t="str">
            <v>D2020/00664</v>
          </cell>
          <cell r="F709">
            <v>23</v>
          </cell>
          <cell r="L709" t="str">
            <v>44096-10</v>
          </cell>
        </row>
        <row r="710">
          <cell r="E710" t="str">
            <v>D2020/00664</v>
          </cell>
          <cell r="F710">
            <v>18</v>
          </cell>
          <cell r="L710" t="str">
            <v>44096-10</v>
          </cell>
        </row>
        <row r="711">
          <cell r="E711" t="str">
            <v>D2020/00664</v>
          </cell>
          <cell r="F711">
            <v>6</v>
          </cell>
          <cell r="L711" t="str">
            <v>44096-10</v>
          </cell>
        </row>
        <row r="712">
          <cell r="E712" t="str">
            <v>D2020/00664</v>
          </cell>
          <cell r="F712">
            <v>33</v>
          </cell>
          <cell r="L712" t="str">
            <v>44096-10</v>
          </cell>
        </row>
        <row r="713">
          <cell r="E713" t="str">
            <v>D2020/00664</v>
          </cell>
          <cell r="F713">
            <v>9</v>
          </cell>
          <cell r="L713" t="str">
            <v>44096-10</v>
          </cell>
        </row>
        <row r="714">
          <cell r="E714" t="str">
            <v>D2020/00664</v>
          </cell>
          <cell r="F714">
            <v>2</v>
          </cell>
          <cell r="L714" t="str">
            <v>44096-10</v>
          </cell>
        </row>
        <row r="715">
          <cell r="E715" t="str">
            <v>D2020/00664</v>
          </cell>
          <cell r="F715">
            <v>10</v>
          </cell>
          <cell r="L715" t="str">
            <v>44096-10</v>
          </cell>
        </row>
        <row r="716">
          <cell r="E716" t="str">
            <v>D2020/01702</v>
          </cell>
          <cell r="F716">
            <v>105</v>
          </cell>
          <cell r="L716" t="str">
            <v>44096-19</v>
          </cell>
        </row>
        <row r="717">
          <cell r="E717" t="str">
            <v>D2020/01702</v>
          </cell>
          <cell r="F717">
            <v>350</v>
          </cell>
          <cell r="L717" t="str">
            <v>44096-19</v>
          </cell>
        </row>
        <row r="718">
          <cell r="E718" t="str">
            <v>D2020/01702</v>
          </cell>
          <cell r="F718">
            <v>258</v>
          </cell>
          <cell r="L718" t="str">
            <v>44096-19</v>
          </cell>
        </row>
        <row r="719">
          <cell r="E719" t="str">
            <v>D2020/01702</v>
          </cell>
          <cell r="F719">
            <v>73</v>
          </cell>
          <cell r="L719" t="str">
            <v>44096-19</v>
          </cell>
        </row>
        <row r="720">
          <cell r="E720" t="str">
            <v>D2020/01702</v>
          </cell>
          <cell r="F720">
            <v>25</v>
          </cell>
          <cell r="L720" t="str">
            <v>44096-19</v>
          </cell>
        </row>
        <row r="721">
          <cell r="E721" t="str">
            <v>D2020/01702</v>
          </cell>
          <cell r="F721">
            <v>356</v>
          </cell>
          <cell r="L721" t="str">
            <v>44096-19</v>
          </cell>
        </row>
        <row r="722">
          <cell r="E722" t="str">
            <v>D2020/01702</v>
          </cell>
          <cell r="F722">
            <v>48</v>
          </cell>
          <cell r="L722" t="str">
            <v>44096-19</v>
          </cell>
        </row>
        <row r="723">
          <cell r="E723" t="str">
            <v>D2020/01737</v>
          </cell>
          <cell r="F723">
            <v>46</v>
          </cell>
          <cell r="L723" t="str">
            <v>44097-10</v>
          </cell>
        </row>
        <row r="724">
          <cell r="E724" t="str">
            <v>D2020/01702</v>
          </cell>
          <cell r="F724">
            <v>92</v>
          </cell>
          <cell r="L724" t="str">
            <v>44097-13</v>
          </cell>
        </row>
        <row r="725">
          <cell r="E725" t="str">
            <v>D2020/01702</v>
          </cell>
          <cell r="F725">
            <v>108</v>
          </cell>
          <cell r="L725" t="str">
            <v>44097-13</v>
          </cell>
        </row>
        <row r="726">
          <cell r="E726" t="str">
            <v>D2020/01702</v>
          </cell>
          <cell r="F726">
            <v>17</v>
          </cell>
          <cell r="L726" t="str">
            <v>44097-13</v>
          </cell>
        </row>
        <row r="727">
          <cell r="E727" t="str">
            <v>D2020/01702</v>
          </cell>
          <cell r="F727">
            <v>13</v>
          </cell>
          <cell r="L727" t="str">
            <v>44097-13</v>
          </cell>
        </row>
        <row r="728">
          <cell r="E728" t="str">
            <v>D2020/01702</v>
          </cell>
          <cell r="F728">
            <v>35</v>
          </cell>
          <cell r="L728" t="str">
            <v>44097-13</v>
          </cell>
        </row>
        <row r="729">
          <cell r="E729" t="str">
            <v>D2020/01703</v>
          </cell>
          <cell r="F729">
            <v>271</v>
          </cell>
          <cell r="L729" t="str">
            <v>44097-13</v>
          </cell>
        </row>
        <row r="730">
          <cell r="E730" t="str">
            <v>D2020/01737</v>
          </cell>
          <cell r="F730">
            <v>35</v>
          </cell>
          <cell r="L730" t="str">
            <v>44098-14</v>
          </cell>
        </row>
        <row r="731">
          <cell r="E731" t="str">
            <v>D2020/01737</v>
          </cell>
          <cell r="F731">
            <v>37</v>
          </cell>
          <cell r="L731" t="str">
            <v>44098-14</v>
          </cell>
        </row>
        <row r="732">
          <cell r="E732" t="str">
            <v>D2020/01703</v>
          </cell>
          <cell r="F732">
            <v>39</v>
          </cell>
          <cell r="L732" t="str">
            <v>44098-19</v>
          </cell>
        </row>
        <row r="733">
          <cell r="E733" t="str">
            <v>D2020/01703</v>
          </cell>
          <cell r="F733">
            <v>36</v>
          </cell>
          <cell r="L733" t="str">
            <v>44098-19</v>
          </cell>
        </row>
        <row r="734">
          <cell r="E734" t="str">
            <v>D2020/01703</v>
          </cell>
          <cell r="F734">
            <v>29</v>
          </cell>
          <cell r="L734" t="str">
            <v>44098-19</v>
          </cell>
        </row>
        <row r="735">
          <cell r="E735" t="str">
            <v>D2020/01703</v>
          </cell>
          <cell r="F735">
            <v>34</v>
          </cell>
          <cell r="L735" t="str">
            <v>44098-19</v>
          </cell>
        </row>
        <row r="736">
          <cell r="E736" t="str">
            <v>D2020/01703</v>
          </cell>
          <cell r="F736">
            <v>36</v>
          </cell>
          <cell r="L736" t="str">
            <v>44098-19</v>
          </cell>
        </row>
        <row r="737">
          <cell r="E737" t="str">
            <v>D2020/01704</v>
          </cell>
          <cell r="F737">
            <v>55</v>
          </cell>
          <cell r="L737" t="str">
            <v>44098-19</v>
          </cell>
        </row>
        <row r="738">
          <cell r="E738" t="str">
            <v>D2020/01737</v>
          </cell>
          <cell r="F738">
            <v>64</v>
          </cell>
          <cell r="L738" t="str">
            <v>44099-14</v>
          </cell>
        </row>
        <row r="739">
          <cell r="E739" t="str">
            <v>D2020/01737</v>
          </cell>
          <cell r="F739">
            <v>26</v>
          </cell>
          <cell r="L739" t="str">
            <v>44099-14</v>
          </cell>
        </row>
        <row r="740">
          <cell r="E740" t="str">
            <v>D2020/01704</v>
          </cell>
          <cell r="F740">
            <v>230</v>
          </cell>
          <cell r="L740" t="str">
            <v>44099-13</v>
          </cell>
        </row>
        <row r="741">
          <cell r="E741" t="str">
            <v>D2020/01704</v>
          </cell>
          <cell r="F741">
            <v>18</v>
          </cell>
          <cell r="L741" t="str">
            <v>44099-13</v>
          </cell>
        </row>
        <row r="742">
          <cell r="E742" t="str">
            <v>D2020/01704</v>
          </cell>
          <cell r="F742">
            <v>25</v>
          </cell>
          <cell r="L742" t="str">
            <v>44099-13</v>
          </cell>
        </row>
        <row r="743">
          <cell r="E743" t="str">
            <v>D2020/01704</v>
          </cell>
          <cell r="F743">
            <v>124</v>
          </cell>
          <cell r="L743" t="str">
            <v>44099-13</v>
          </cell>
        </row>
        <row r="744">
          <cell r="E744" t="str">
            <v>D2020/01704</v>
          </cell>
          <cell r="F744">
            <v>227</v>
          </cell>
          <cell r="L744" t="str">
            <v>44099-13</v>
          </cell>
        </row>
        <row r="745">
          <cell r="E745" t="str">
            <v>D2020/01704</v>
          </cell>
          <cell r="F745">
            <v>17</v>
          </cell>
          <cell r="L745" t="str">
            <v>44099-13</v>
          </cell>
        </row>
        <row r="746">
          <cell r="E746" t="str">
            <v>D2020/01737</v>
          </cell>
          <cell r="F746">
            <v>63</v>
          </cell>
          <cell r="L746" t="str">
            <v>44102-10</v>
          </cell>
        </row>
        <row r="747">
          <cell r="E747" t="str">
            <v>D2020/01737</v>
          </cell>
          <cell r="F747">
            <v>25</v>
          </cell>
          <cell r="L747" t="str">
            <v>44102-10</v>
          </cell>
        </row>
        <row r="748">
          <cell r="E748" t="str">
            <v>D2020/01737</v>
          </cell>
          <cell r="F748">
            <v>18</v>
          </cell>
          <cell r="L748" t="str">
            <v>44102-10</v>
          </cell>
        </row>
        <row r="749">
          <cell r="E749" t="str">
            <v>D2020/01737</v>
          </cell>
          <cell r="F749">
            <v>28</v>
          </cell>
          <cell r="L749" t="str">
            <v>44102-10</v>
          </cell>
        </row>
        <row r="750">
          <cell r="E750" t="str">
            <v>D2020/01737</v>
          </cell>
          <cell r="F750">
            <v>24</v>
          </cell>
          <cell r="L750" t="str">
            <v>44102-10</v>
          </cell>
        </row>
        <row r="751">
          <cell r="E751" t="str">
            <v>D2020/01737</v>
          </cell>
          <cell r="F751">
            <v>17</v>
          </cell>
          <cell r="L751" t="str">
            <v>44102-10</v>
          </cell>
        </row>
        <row r="752">
          <cell r="E752" t="str">
            <v>D2020/01737</v>
          </cell>
          <cell r="F752">
            <v>6</v>
          </cell>
          <cell r="L752" t="str">
            <v>44102-10</v>
          </cell>
        </row>
        <row r="753">
          <cell r="E753" t="str">
            <v>D2020/01737</v>
          </cell>
          <cell r="F753">
            <v>14</v>
          </cell>
          <cell r="L753" t="str">
            <v>44103-10</v>
          </cell>
        </row>
        <row r="754">
          <cell r="E754" t="str">
            <v>D2020/01699</v>
          </cell>
          <cell r="F754">
            <v>120</v>
          </cell>
          <cell r="L754" t="str">
            <v>44103-19</v>
          </cell>
        </row>
        <row r="755">
          <cell r="E755" t="str">
            <v>D2020/01699</v>
          </cell>
          <cell r="F755">
            <v>154</v>
          </cell>
          <cell r="L755" t="str">
            <v>44103-19</v>
          </cell>
        </row>
        <row r="756">
          <cell r="E756" t="str">
            <v>D2020/01699</v>
          </cell>
          <cell r="F756">
            <v>19</v>
          </cell>
          <cell r="L756" t="str">
            <v>44103-19</v>
          </cell>
        </row>
        <row r="757">
          <cell r="E757" t="str">
            <v>D2020/01699</v>
          </cell>
          <cell r="F757">
            <v>758</v>
          </cell>
          <cell r="L757" t="str">
            <v>44103-19</v>
          </cell>
        </row>
        <row r="758">
          <cell r="E758" t="str">
            <v>D2020/01696</v>
          </cell>
          <cell r="F758">
            <v>144</v>
          </cell>
          <cell r="L758" t="str">
            <v>44104-10</v>
          </cell>
        </row>
        <row r="759">
          <cell r="E759" t="str">
            <v>D2020/01696</v>
          </cell>
          <cell r="F759">
            <v>594</v>
          </cell>
          <cell r="L759" t="str">
            <v>44104-10</v>
          </cell>
        </row>
        <row r="760">
          <cell r="E760" t="str">
            <v>D2020/01696</v>
          </cell>
          <cell r="F760">
            <v>58</v>
          </cell>
          <cell r="L760" t="str">
            <v>44104-10</v>
          </cell>
        </row>
        <row r="761">
          <cell r="E761" t="str">
            <v>D2020/01696</v>
          </cell>
          <cell r="F761">
            <v>36</v>
          </cell>
          <cell r="L761" t="str">
            <v>44104-10</v>
          </cell>
        </row>
        <row r="762">
          <cell r="E762" t="str">
            <v>D2020/01699</v>
          </cell>
          <cell r="F762">
            <v>145</v>
          </cell>
          <cell r="L762" t="str">
            <v>44104-13</v>
          </cell>
        </row>
        <row r="763">
          <cell r="E763" t="str">
            <v>D2020/01699</v>
          </cell>
          <cell r="F763">
            <v>55</v>
          </cell>
          <cell r="L763" t="str">
            <v>44104-13</v>
          </cell>
        </row>
        <row r="764">
          <cell r="E764" t="str">
            <v>D2020/01699</v>
          </cell>
          <cell r="F764">
            <v>20</v>
          </cell>
          <cell r="L764" t="str">
            <v>44104-13</v>
          </cell>
        </row>
        <row r="765">
          <cell r="E765" t="str">
            <v>D2020/01699</v>
          </cell>
          <cell r="F765">
            <v>40</v>
          </cell>
          <cell r="L765" t="str">
            <v>44104-13</v>
          </cell>
        </row>
        <row r="766">
          <cell r="E766" t="str">
            <v>D2020/01699</v>
          </cell>
          <cell r="F766">
            <v>91</v>
          </cell>
          <cell r="L766" t="str">
            <v>44104-13</v>
          </cell>
        </row>
        <row r="767">
          <cell r="E767" t="str">
            <v>D2020/01699</v>
          </cell>
          <cell r="F767">
            <v>39</v>
          </cell>
          <cell r="L767" t="str">
            <v>44104-13</v>
          </cell>
        </row>
        <row r="768">
          <cell r="E768" t="str">
            <v>D2020/01699</v>
          </cell>
          <cell r="F768">
            <v>92</v>
          </cell>
          <cell r="L768" t="str">
            <v>44104-13</v>
          </cell>
        </row>
        <row r="769">
          <cell r="E769" t="str">
            <v>D2020/01699</v>
          </cell>
          <cell r="F769">
            <v>37</v>
          </cell>
          <cell r="L769" t="str">
            <v>44104-13</v>
          </cell>
        </row>
        <row r="770">
          <cell r="E770" t="str">
            <v>D2020/01699</v>
          </cell>
          <cell r="F770">
            <v>31</v>
          </cell>
          <cell r="L770" t="str">
            <v>44104-13</v>
          </cell>
        </row>
        <row r="771">
          <cell r="E771" t="str">
            <v>D2020/01699</v>
          </cell>
          <cell r="F771">
            <v>313</v>
          </cell>
          <cell r="L771" t="str">
            <v>44104-13</v>
          </cell>
        </row>
        <row r="772">
          <cell r="E772" t="str">
            <v>D2020/01696</v>
          </cell>
          <cell r="F772">
            <v>43</v>
          </cell>
          <cell r="L772" t="str">
            <v>44105-14</v>
          </cell>
        </row>
        <row r="773">
          <cell r="E773" t="str">
            <v>D2020/01696</v>
          </cell>
          <cell r="F773">
            <v>69</v>
          </cell>
          <cell r="L773" t="str">
            <v>44105-14</v>
          </cell>
        </row>
        <row r="774">
          <cell r="E774" t="str">
            <v>D2020/01696</v>
          </cell>
          <cell r="F774">
            <v>135</v>
          </cell>
          <cell r="L774" t="str">
            <v>44105-14</v>
          </cell>
        </row>
        <row r="775">
          <cell r="E775" t="str">
            <v>D2020/01696</v>
          </cell>
          <cell r="F775">
            <v>73</v>
          </cell>
          <cell r="L775" t="str">
            <v>44105-14</v>
          </cell>
        </row>
        <row r="776">
          <cell r="E776" t="str">
            <v>D2020/01699</v>
          </cell>
          <cell r="F776">
            <v>75</v>
          </cell>
          <cell r="L776" t="str">
            <v>44105-19</v>
          </cell>
        </row>
        <row r="777">
          <cell r="E777" t="str">
            <v>D2020/01699</v>
          </cell>
          <cell r="F777">
            <v>24</v>
          </cell>
          <cell r="L777" t="str">
            <v>44105-19</v>
          </cell>
        </row>
        <row r="778">
          <cell r="E778" t="str">
            <v>D2020/01699</v>
          </cell>
          <cell r="F778">
            <v>9</v>
          </cell>
          <cell r="L778" t="str">
            <v>44105-19</v>
          </cell>
        </row>
        <row r="779">
          <cell r="E779" t="str">
            <v>D2020/01699</v>
          </cell>
          <cell r="F779">
            <v>131</v>
          </cell>
          <cell r="L779" t="str">
            <v>44105-19</v>
          </cell>
        </row>
        <row r="780">
          <cell r="E780" t="str">
            <v>D2020/01697</v>
          </cell>
          <cell r="F780">
            <v>16</v>
          </cell>
          <cell r="L780" t="str">
            <v>44106-10</v>
          </cell>
        </row>
        <row r="781">
          <cell r="E781" t="str">
            <v>D2020/01697</v>
          </cell>
          <cell r="F781">
            <v>5</v>
          </cell>
          <cell r="L781" t="str">
            <v>44106-10</v>
          </cell>
        </row>
        <row r="782">
          <cell r="E782" t="str">
            <v>D2020/01697</v>
          </cell>
          <cell r="F782">
            <v>21</v>
          </cell>
          <cell r="L782" t="str">
            <v>44106-10</v>
          </cell>
        </row>
        <row r="783">
          <cell r="E783" t="str">
            <v>D2020/01697</v>
          </cell>
          <cell r="F783">
            <v>13</v>
          </cell>
          <cell r="L783" t="str">
            <v>44106-10</v>
          </cell>
        </row>
        <row r="784">
          <cell r="E784" t="str">
            <v>D2020/01697</v>
          </cell>
          <cell r="F784">
            <v>12</v>
          </cell>
          <cell r="L784" t="str">
            <v>44106-10</v>
          </cell>
        </row>
        <row r="785">
          <cell r="E785" t="str">
            <v>D2020/01697</v>
          </cell>
          <cell r="F785">
            <v>13</v>
          </cell>
          <cell r="L785" t="str">
            <v>44106-10</v>
          </cell>
        </row>
        <row r="786">
          <cell r="E786" t="str">
            <v>D2020/01698</v>
          </cell>
          <cell r="F786">
            <v>73</v>
          </cell>
          <cell r="L786" t="str">
            <v>44106-10</v>
          </cell>
        </row>
        <row r="787">
          <cell r="E787" t="str">
            <v>D2020/01698</v>
          </cell>
          <cell r="F787">
            <v>29</v>
          </cell>
          <cell r="L787" t="str">
            <v>44106-10</v>
          </cell>
        </row>
        <row r="788">
          <cell r="E788" t="str">
            <v>D2020/01699</v>
          </cell>
          <cell r="F788">
            <v>46</v>
          </cell>
          <cell r="L788" t="str">
            <v>44106-13</v>
          </cell>
        </row>
        <row r="789">
          <cell r="E789" t="str">
            <v>D2020/01699</v>
          </cell>
          <cell r="F789">
            <v>6</v>
          </cell>
          <cell r="L789" t="str">
            <v>44106-13</v>
          </cell>
        </row>
        <row r="790">
          <cell r="E790" t="str">
            <v>D2020/01699</v>
          </cell>
          <cell r="F790">
            <v>95</v>
          </cell>
          <cell r="L790" t="str">
            <v>44106-13</v>
          </cell>
        </row>
        <row r="791">
          <cell r="E791" t="str">
            <v>D2020/01668</v>
          </cell>
          <cell r="F791">
            <v>88</v>
          </cell>
          <cell r="L791" t="str">
            <v>44106-13</v>
          </cell>
        </row>
        <row r="792">
          <cell r="E792" t="str">
            <v>D2020/01698</v>
          </cell>
          <cell r="F792">
            <v>38</v>
          </cell>
          <cell r="L792" t="str">
            <v>44109-14</v>
          </cell>
        </row>
        <row r="793">
          <cell r="E793" t="str">
            <v>D2020/01698</v>
          </cell>
          <cell r="F793">
            <v>60</v>
          </cell>
          <cell r="L793" t="str">
            <v>44109-14</v>
          </cell>
        </row>
        <row r="794">
          <cell r="E794" t="str">
            <v>D2020/01748</v>
          </cell>
          <cell r="F794">
            <v>22</v>
          </cell>
          <cell r="L794" t="str">
            <v>44109-14</v>
          </cell>
        </row>
        <row r="795">
          <cell r="E795" t="str">
            <v>D2020/01668</v>
          </cell>
          <cell r="F795">
            <v>65</v>
          </cell>
          <cell r="L795" t="str">
            <v>44109-19</v>
          </cell>
        </row>
        <row r="796">
          <cell r="E796" t="str">
            <v>D2020/01633</v>
          </cell>
          <cell r="F796">
            <v>20</v>
          </cell>
          <cell r="L796" t="str">
            <v>44109-19</v>
          </cell>
        </row>
        <row r="797">
          <cell r="E797" t="str">
            <v>D2020/01633</v>
          </cell>
          <cell r="F797">
            <v>35</v>
          </cell>
          <cell r="L797" t="str">
            <v>44109-19</v>
          </cell>
        </row>
        <row r="798">
          <cell r="E798" t="str">
            <v>D2020/01633</v>
          </cell>
          <cell r="F798">
            <v>27</v>
          </cell>
          <cell r="L798" t="str">
            <v>44109-19</v>
          </cell>
        </row>
        <row r="799">
          <cell r="E799" t="str">
            <v>D2020/01633</v>
          </cell>
          <cell r="F799">
            <v>8</v>
          </cell>
          <cell r="L799" t="str">
            <v>44109-19</v>
          </cell>
        </row>
        <row r="800">
          <cell r="E800" t="str">
            <v>D2020/01633</v>
          </cell>
          <cell r="F800">
            <v>54</v>
          </cell>
          <cell r="L800" t="str">
            <v>44109-19</v>
          </cell>
        </row>
        <row r="801">
          <cell r="E801" t="str">
            <v>D2020/01748</v>
          </cell>
          <cell r="F801">
            <v>45</v>
          </cell>
          <cell r="L801" t="str">
            <v>44110-10</v>
          </cell>
        </row>
        <row r="802">
          <cell r="E802" t="str">
            <v>D2020/01748</v>
          </cell>
          <cell r="F802">
            <v>51</v>
          </cell>
          <cell r="L802" t="str">
            <v>44110-10</v>
          </cell>
        </row>
        <row r="803">
          <cell r="E803" t="str">
            <v>D2020/01633</v>
          </cell>
          <cell r="F803">
            <v>42</v>
          </cell>
          <cell r="L803" t="str">
            <v>44110-13</v>
          </cell>
        </row>
        <row r="804">
          <cell r="E804" t="str">
            <v>D2020/01474</v>
          </cell>
          <cell r="F804">
            <v>73</v>
          </cell>
          <cell r="L804" t="str">
            <v>44110-13</v>
          </cell>
        </row>
        <row r="805">
          <cell r="E805" t="str">
            <v>D2020/01474</v>
          </cell>
          <cell r="F805">
            <v>14</v>
          </cell>
          <cell r="L805" t="str">
            <v>44110-13</v>
          </cell>
        </row>
        <row r="806">
          <cell r="E806" t="str">
            <v>D2020/01474</v>
          </cell>
          <cell r="F806">
            <v>27</v>
          </cell>
          <cell r="L806" t="str">
            <v>44110-13</v>
          </cell>
        </row>
        <row r="807">
          <cell r="E807" t="str">
            <v>D2020/01474</v>
          </cell>
          <cell r="F807">
            <v>8</v>
          </cell>
          <cell r="L807" t="str">
            <v>44110-13</v>
          </cell>
        </row>
        <row r="808">
          <cell r="E808" t="str">
            <v>D2020/01748</v>
          </cell>
          <cell r="F808">
            <v>70</v>
          </cell>
          <cell r="L808" t="str">
            <v>44111-14</v>
          </cell>
        </row>
        <row r="809">
          <cell r="E809" t="str">
            <v>D2020/01748</v>
          </cell>
          <cell r="F809">
            <v>125</v>
          </cell>
          <cell r="L809" t="str">
            <v>44111-14</v>
          </cell>
        </row>
        <row r="810">
          <cell r="E810" t="str">
            <v>D2020/01748</v>
          </cell>
          <cell r="F810">
            <v>125</v>
          </cell>
          <cell r="L810" t="str">
            <v>44111-14</v>
          </cell>
        </row>
        <row r="811">
          <cell r="E811" t="str">
            <v>D2020/01748</v>
          </cell>
          <cell r="F811">
            <v>153</v>
          </cell>
          <cell r="L811" t="str">
            <v>44111-14</v>
          </cell>
        </row>
        <row r="812">
          <cell r="E812" t="str">
            <v>D2020/01474</v>
          </cell>
          <cell r="F812">
            <v>60</v>
          </cell>
          <cell r="L812" t="str">
            <v>44111-13</v>
          </cell>
        </row>
        <row r="813">
          <cell r="E813" t="str">
            <v>D2020/01474</v>
          </cell>
          <cell r="F813">
            <v>48</v>
          </cell>
          <cell r="L813" t="str">
            <v>44111-13</v>
          </cell>
        </row>
        <row r="814">
          <cell r="E814" t="str">
            <v>D2020/01474</v>
          </cell>
          <cell r="F814">
            <v>63</v>
          </cell>
          <cell r="L814" t="str">
            <v>44111-13</v>
          </cell>
        </row>
        <row r="815">
          <cell r="E815" t="str">
            <v>D2020/01474</v>
          </cell>
          <cell r="F815">
            <v>41</v>
          </cell>
          <cell r="L815" t="str">
            <v>44111-13</v>
          </cell>
        </row>
        <row r="816">
          <cell r="E816" t="str">
            <v>D2020/01474</v>
          </cell>
          <cell r="F816">
            <v>72</v>
          </cell>
          <cell r="L816" t="str">
            <v>44111-13</v>
          </cell>
        </row>
        <row r="817">
          <cell r="E817" t="str">
            <v>D2020/01748</v>
          </cell>
          <cell r="F817">
            <v>147</v>
          </cell>
          <cell r="L817" t="str">
            <v>44112-10</v>
          </cell>
        </row>
        <row r="818">
          <cell r="E818" t="str">
            <v>D2020/01748</v>
          </cell>
          <cell r="F818">
            <v>193</v>
          </cell>
          <cell r="L818" t="str">
            <v>44112-10</v>
          </cell>
        </row>
        <row r="819">
          <cell r="E819" t="str">
            <v>D2020/01748</v>
          </cell>
          <cell r="F819">
            <v>240</v>
          </cell>
          <cell r="L819" t="str">
            <v>44112-10</v>
          </cell>
        </row>
        <row r="820">
          <cell r="E820" t="str">
            <v>D2020/01474</v>
          </cell>
          <cell r="F820">
            <v>23</v>
          </cell>
          <cell r="L820" t="str">
            <v>44112-13</v>
          </cell>
        </row>
        <row r="821">
          <cell r="E821" t="str">
            <v>D2020/01474</v>
          </cell>
          <cell r="F821">
            <v>17</v>
          </cell>
          <cell r="L821" t="str">
            <v>44112-13</v>
          </cell>
        </row>
        <row r="822">
          <cell r="E822" t="str">
            <v>D2020/01474</v>
          </cell>
          <cell r="F822">
            <v>42</v>
          </cell>
          <cell r="L822" t="str">
            <v>44112-13</v>
          </cell>
        </row>
        <row r="823">
          <cell r="E823" t="str">
            <v>D2020/01474</v>
          </cell>
          <cell r="F823">
            <v>55</v>
          </cell>
          <cell r="L823" t="str">
            <v>44112-13</v>
          </cell>
        </row>
        <row r="824">
          <cell r="E824" t="str">
            <v>D2020/01474</v>
          </cell>
          <cell r="F824">
            <v>44</v>
          </cell>
          <cell r="L824" t="str">
            <v>44112-13</v>
          </cell>
        </row>
        <row r="825">
          <cell r="E825" t="str">
            <v>D2020/01748</v>
          </cell>
          <cell r="F825">
            <v>126</v>
          </cell>
          <cell r="L825" t="str">
            <v>44113-14</v>
          </cell>
        </row>
        <row r="826">
          <cell r="E826" t="str">
            <v>D2020/01740</v>
          </cell>
          <cell r="F826">
            <v>268</v>
          </cell>
          <cell r="L826" t="str">
            <v>44113-14</v>
          </cell>
        </row>
        <row r="827">
          <cell r="E827" t="str">
            <v>D2020/01740</v>
          </cell>
          <cell r="F827">
            <v>110</v>
          </cell>
          <cell r="L827" t="str">
            <v>44113-14</v>
          </cell>
        </row>
        <row r="828">
          <cell r="E828" t="str">
            <v>D2020/01740</v>
          </cell>
          <cell r="F828">
            <v>336</v>
          </cell>
          <cell r="L828" t="str">
            <v>44113-14</v>
          </cell>
        </row>
        <row r="829">
          <cell r="E829" t="str">
            <v>D2020/01474</v>
          </cell>
          <cell r="F829">
            <v>41</v>
          </cell>
          <cell r="L829" t="str">
            <v>44113-13</v>
          </cell>
        </row>
        <row r="830">
          <cell r="E830" t="str">
            <v>D2020/01474</v>
          </cell>
          <cell r="F830">
            <v>70</v>
          </cell>
          <cell r="L830" t="str">
            <v>44113-13</v>
          </cell>
        </row>
        <row r="831">
          <cell r="E831" t="str">
            <v>D2020/01474</v>
          </cell>
          <cell r="F831">
            <v>44</v>
          </cell>
          <cell r="L831" t="str">
            <v>44113-13</v>
          </cell>
        </row>
        <row r="832">
          <cell r="E832" t="str">
            <v>D2020/01632</v>
          </cell>
          <cell r="F832">
            <v>203</v>
          </cell>
          <cell r="L832" t="str">
            <v>44113-13</v>
          </cell>
        </row>
        <row r="833">
          <cell r="E833" t="str">
            <v>D2020/01632</v>
          </cell>
          <cell r="F833">
            <v>38</v>
          </cell>
          <cell r="L833" t="str">
            <v>44113-13</v>
          </cell>
        </row>
        <row r="834">
          <cell r="E834" t="str">
            <v>D2020/01740</v>
          </cell>
          <cell r="F834">
            <v>43</v>
          </cell>
          <cell r="L834" t="str">
            <v>44116-14</v>
          </cell>
        </row>
        <row r="835">
          <cell r="E835" t="str">
            <v>D2020/01740</v>
          </cell>
          <cell r="F835">
            <v>33</v>
          </cell>
          <cell r="L835" t="str">
            <v>44116-14</v>
          </cell>
        </row>
        <row r="836">
          <cell r="E836" t="str">
            <v>D2020/01632</v>
          </cell>
          <cell r="F836">
            <v>58</v>
          </cell>
          <cell r="L836" t="str">
            <v>44116-13</v>
          </cell>
        </row>
        <row r="837">
          <cell r="E837" t="str">
            <v>D2020/01632</v>
          </cell>
          <cell r="F837">
            <v>58</v>
          </cell>
          <cell r="L837" t="str">
            <v>44116-13</v>
          </cell>
        </row>
        <row r="838">
          <cell r="E838" t="str">
            <v>D2020/01632</v>
          </cell>
          <cell r="F838">
            <v>37</v>
          </cell>
          <cell r="L838" t="str">
            <v>44116-13</v>
          </cell>
        </row>
        <row r="839">
          <cell r="E839" t="str">
            <v>D2020/01632</v>
          </cell>
          <cell r="F839">
            <v>30</v>
          </cell>
          <cell r="L839" t="str">
            <v>44116-13</v>
          </cell>
        </row>
        <row r="840">
          <cell r="E840" t="str">
            <v>D2020/01741</v>
          </cell>
          <cell r="F840">
            <v>267</v>
          </cell>
          <cell r="L840" t="str">
            <v>44116-13</v>
          </cell>
        </row>
        <row r="841">
          <cell r="E841" t="str">
            <v>D2020/01618</v>
          </cell>
          <cell r="F841">
            <v>320</v>
          </cell>
          <cell r="L841" t="str">
            <v>44117-14</v>
          </cell>
        </row>
        <row r="842">
          <cell r="E842" t="str">
            <v>D2020/01741</v>
          </cell>
          <cell r="F842">
            <v>92</v>
          </cell>
          <cell r="L842" t="str">
            <v>44117-13</v>
          </cell>
        </row>
        <row r="843">
          <cell r="E843" t="str">
            <v>D2020/01741</v>
          </cell>
          <cell r="F843">
            <v>116</v>
          </cell>
          <cell r="L843" t="str">
            <v>44117-13</v>
          </cell>
        </row>
        <row r="844">
          <cell r="E844" t="str">
            <v>D2020/01741</v>
          </cell>
          <cell r="F844">
            <v>43</v>
          </cell>
          <cell r="L844" t="str">
            <v>44117-13</v>
          </cell>
        </row>
        <row r="845">
          <cell r="E845" t="str">
            <v>D2020/01741</v>
          </cell>
          <cell r="F845">
            <v>3</v>
          </cell>
          <cell r="L845" t="str">
            <v>44117-13</v>
          </cell>
        </row>
        <row r="846">
          <cell r="E846" t="str">
            <v>D2020/01741</v>
          </cell>
          <cell r="F846">
            <v>7</v>
          </cell>
          <cell r="L846" t="str">
            <v>44117-13</v>
          </cell>
        </row>
        <row r="847">
          <cell r="E847" t="str">
            <v>D2020/01618</v>
          </cell>
          <cell r="F847">
            <v>19</v>
          </cell>
          <cell r="L847" t="str">
            <v>44118-14</v>
          </cell>
        </row>
        <row r="848">
          <cell r="E848" t="str">
            <v>D2020/01618</v>
          </cell>
          <cell r="F848">
            <v>3</v>
          </cell>
          <cell r="L848" t="str">
            <v>44118-14</v>
          </cell>
        </row>
        <row r="849">
          <cell r="E849" t="str">
            <v>D2020/01618</v>
          </cell>
          <cell r="F849">
            <v>6</v>
          </cell>
          <cell r="L849" t="str">
            <v>44118-14</v>
          </cell>
        </row>
        <row r="850">
          <cell r="E850" t="str">
            <v>D2020/01618</v>
          </cell>
          <cell r="F850">
            <v>18</v>
          </cell>
          <cell r="L850" t="str">
            <v>44118-14</v>
          </cell>
        </row>
        <row r="851">
          <cell r="E851" t="str">
            <v>D2020/01618</v>
          </cell>
          <cell r="F851">
            <v>27</v>
          </cell>
          <cell r="L851" t="str">
            <v>44118-14</v>
          </cell>
        </row>
        <row r="852">
          <cell r="E852" t="str">
            <v>D2020/01618</v>
          </cell>
          <cell r="F852">
            <v>6</v>
          </cell>
          <cell r="L852" t="str">
            <v>44118-14</v>
          </cell>
        </row>
        <row r="853">
          <cell r="E853" t="str">
            <v>D2020/01741</v>
          </cell>
          <cell r="F853">
            <v>28</v>
          </cell>
          <cell r="L853" t="str">
            <v>44118-13</v>
          </cell>
        </row>
        <row r="854">
          <cell r="E854" t="str">
            <v>D2020/01741</v>
          </cell>
          <cell r="F854">
            <v>13</v>
          </cell>
          <cell r="L854" t="str">
            <v>44118-13</v>
          </cell>
        </row>
        <row r="855">
          <cell r="E855" t="str">
            <v>D2020/01741</v>
          </cell>
          <cell r="F855">
            <v>20</v>
          </cell>
          <cell r="L855" t="str">
            <v>44118-13</v>
          </cell>
        </row>
        <row r="856">
          <cell r="E856" t="str">
            <v>D2020/01741</v>
          </cell>
          <cell r="F856">
            <v>2</v>
          </cell>
          <cell r="L856" t="str">
            <v>44118-13</v>
          </cell>
        </row>
        <row r="857">
          <cell r="E857" t="str">
            <v>D2020/01618</v>
          </cell>
          <cell r="F857">
            <v>76</v>
          </cell>
          <cell r="L857" t="str">
            <v>44119-10</v>
          </cell>
        </row>
        <row r="858">
          <cell r="E858" t="str">
            <v>D2020/01618</v>
          </cell>
          <cell r="F858">
            <v>46</v>
          </cell>
          <cell r="L858" t="str">
            <v>44119-10</v>
          </cell>
        </row>
        <row r="859">
          <cell r="E859" t="str">
            <v>D2020/01746</v>
          </cell>
          <cell r="F859">
            <v>69</v>
          </cell>
          <cell r="L859" t="str">
            <v>44119-10</v>
          </cell>
        </row>
        <row r="860">
          <cell r="E860" t="str">
            <v>D2020/01746</v>
          </cell>
          <cell r="F860">
            <v>24</v>
          </cell>
          <cell r="L860" t="str">
            <v>44119-10</v>
          </cell>
        </row>
        <row r="861">
          <cell r="E861" t="str">
            <v>D2020/01741</v>
          </cell>
          <cell r="F861">
            <v>21</v>
          </cell>
          <cell r="L861" t="str">
            <v>44119-13</v>
          </cell>
        </row>
        <row r="862">
          <cell r="E862" t="str">
            <v>D2020/01741</v>
          </cell>
          <cell r="F862">
            <v>20</v>
          </cell>
          <cell r="L862" t="str">
            <v>44119-13</v>
          </cell>
        </row>
        <row r="863">
          <cell r="E863" t="str">
            <v>D2020/01741</v>
          </cell>
          <cell r="F863">
            <v>18</v>
          </cell>
          <cell r="L863" t="str">
            <v>44119-13</v>
          </cell>
        </row>
        <row r="864">
          <cell r="E864" t="str">
            <v>D2020/01746</v>
          </cell>
          <cell r="F864">
            <v>12</v>
          </cell>
          <cell r="L864" t="str">
            <v>44120-10</v>
          </cell>
        </row>
        <row r="865">
          <cell r="E865" t="str">
            <v>D2020/01746</v>
          </cell>
          <cell r="F865">
            <v>52</v>
          </cell>
          <cell r="L865" t="str">
            <v>44120-10</v>
          </cell>
        </row>
        <row r="866">
          <cell r="E866" t="str">
            <v>D2020/01746</v>
          </cell>
          <cell r="F866">
            <v>47</v>
          </cell>
          <cell r="L866" t="str">
            <v>44120-10</v>
          </cell>
        </row>
        <row r="867">
          <cell r="E867" t="str">
            <v>D2020/01746</v>
          </cell>
          <cell r="F867">
            <v>76</v>
          </cell>
          <cell r="L867" t="str">
            <v>44120-10</v>
          </cell>
        </row>
        <row r="868">
          <cell r="E868" t="str">
            <v>D2020/01746</v>
          </cell>
          <cell r="F868">
            <v>57</v>
          </cell>
          <cell r="L868" t="str">
            <v>44120-10</v>
          </cell>
        </row>
        <row r="869">
          <cell r="E869" t="str">
            <v>D2020/01746</v>
          </cell>
          <cell r="F869">
            <v>39</v>
          </cell>
          <cell r="L869" t="str">
            <v>44120-10</v>
          </cell>
        </row>
        <row r="870">
          <cell r="E870" t="str">
            <v>D2020/01741</v>
          </cell>
          <cell r="F870">
            <v>29</v>
          </cell>
          <cell r="L870" t="str">
            <v>44120-13</v>
          </cell>
        </row>
        <row r="871">
          <cell r="E871" t="str">
            <v>D2020/01741</v>
          </cell>
          <cell r="F871">
            <v>18</v>
          </cell>
          <cell r="L871" t="str">
            <v>44120-13</v>
          </cell>
        </row>
        <row r="872">
          <cell r="E872" t="str">
            <v>D2020/01741</v>
          </cell>
          <cell r="F872">
            <v>17</v>
          </cell>
          <cell r="L872" t="str">
            <v>44120-13</v>
          </cell>
        </row>
        <row r="873">
          <cell r="E873" t="str">
            <v>D2020/01741</v>
          </cell>
          <cell r="F873">
            <v>4</v>
          </cell>
          <cell r="L873" t="str">
            <v>44120-13</v>
          </cell>
        </row>
        <row r="874">
          <cell r="E874" t="str">
            <v>D2020/01746</v>
          </cell>
          <cell r="F874">
            <v>0</v>
          </cell>
          <cell r="L874" t="str">
            <v>44123-10</v>
          </cell>
        </row>
        <row r="875">
          <cell r="E875" t="str">
            <v>D2020/00665</v>
          </cell>
          <cell r="F875">
            <v>16</v>
          </cell>
          <cell r="L875" t="str">
            <v>44123-14</v>
          </cell>
        </row>
        <row r="876">
          <cell r="E876" t="str">
            <v>D2020/01741</v>
          </cell>
          <cell r="F876">
            <v>39</v>
          </cell>
          <cell r="L876" t="str">
            <v>44123-13</v>
          </cell>
        </row>
        <row r="877">
          <cell r="E877" t="str">
            <v>D2020/01741</v>
          </cell>
          <cell r="F877">
            <v>9</v>
          </cell>
          <cell r="L877" t="str">
            <v>44123-13</v>
          </cell>
        </row>
        <row r="878">
          <cell r="E878" t="str">
            <v>D2020/01741</v>
          </cell>
          <cell r="F878">
            <v>31</v>
          </cell>
          <cell r="L878" t="str">
            <v>44123-13</v>
          </cell>
        </row>
        <row r="879">
          <cell r="E879" t="str">
            <v>D2020/01741</v>
          </cell>
          <cell r="F879">
            <v>5</v>
          </cell>
          <cell r="L879" t="str">
            <v>44123-13</v>
          </cell>
        </row>
        <row r="880">
          <cell r="E880" t="str">
            <v>D2020/00665</v>
          </cell>
          <cell r="F880">
            <v>64</v>
          </cell>
          <cell r="L880" t="str">
            <v>44124-10</v>
          </cell>
        </row>
        <row r="881">
          <cell r="E881" t="str">
            <v>D2020/00665</v>
          </cell>
          <cell r="F881">
            <v>32</v>
          </cell>
          <cell r="L881" t="str">
            <v>44124-10</v>
          </cell>
        </row>
        <row r="882">
          <cell r="E882" t="str">
            <v>D2020/00665</v>
          </cell>
          <cell r="F882">
            <v>59</v>
          </cell>
          <cell r="L882" t="str">
            <v>44124-10</v>
          </cell>
        </row>
        <row r="883">
          <cell r="E883" t="str">
            <v>D2020/00665</v>
          </cell>
          <cell r="F883">
            <v>10</v>
          </cell>
          <cell r="L883" t="str">
            <v>44124-10</v>
          </cell>
        </row>
        <row r="884">
          <cell r="E884" t="str">
            <v>D2020/00665</v>
          </cell>
          <cell r="F884">
            <v>46</v>
          </cell>
          <cell r="L884" t="str">
            <v>44124-10</v>
          </cell>
        </row>
        <row r="885">
          <cell r="E885" t="str">
            <v>D2020/01477</v>
          </cell>
          <cell r="F885">
            <v>164</v>
          </cell>
          <cell r="L885" t="str">
            <v>44124-13</v>
          </cell>
        </row>
        <row r="886">
          <cell r="E886" t="str">
            <v>D2020/01477</v>
          </cell>
          <cell r="F886">
            <v>14</v>
          </cell>
          <cell r="L886" t="str">
            <v>44124-13</v>
          </cell>
        </row>
        <row r="887">
          <cell r="E887" t="str">
            <v>D2020/01477</v>
          </cell>
          <cell r="F887">
            <v>29</v>
          </cell>
          <cell r="L887" t="str">
            <v>44124-13</v>
          </cell>
        </row>
        <row r="888">
          <cell r="E888" t="str">
            <v>D2020/01477</v>
          </cell>
          <cell r="F888">
            <v>17</v>
          </cell>
          <cell r="L888" t="str">
            <v>44124-13</v>
          </cell>
        </row>
        <row r="889">
          <cell r="E889" t="str">
            <v>D2020/01477</v>
          </cell>
          <cell r="F889">
            <v>10</v>
          </cell>
          <cell r="L889" t="str">
            <v>44124-13</v>
          </cell>
        </row>
        <row r="890">
          <cell r="E890" t="str">
            <v>D2020/00665</v>
          </cell>
          <cell r="F890">
            <v>42</v>
          </cell>
          <cell r="L890" t="str">
            <v>44125-14</v>
          </cell>
        </row>
        <row r="891">
          <cell r="E891" t="str">
            <v>D2020/00665</v>
          </cell>
          <cell r="F891">
            <v>15</v>
          </cell>
          <cell r="L891" t="str">
            <v>44125-14</v>
          </cell>
        </row>
        <row r="892">
          <cell r="E892" t="str">
            <v>D2020/00665</v>
          </cell>
          <cell r="F892">
            <v>23</v>
          </cell>
          <cell r="L892" t="str">
            <v>44125-14</v>
          </cell>
        </row>
        <row r="893">
          <cell r="E893" t="str">
            <v>D2020/00665</v>
          </cell>
          <cell r="F893">
            <v>26</v>
          </cell>
          <cell r="L893" t="str">
            <v>44125-14</v>
          </cell>
        </row>
        <row r="894">
          <cell r="E894" t="str">
            <v>D2020/00665</v>
          </cell>
          <cell r="F894">
            <v>1</v>
          </cell>
          <cell r="L894" t="str">
            <v>44125-14</v>
          </cell>
        </row>
        <row r="895">
          <cell r="E895" t="str">
            <v>D2020/00665</v>
          </cell>
          <cell r="F895">
            <v>22</v>
          </cell>
          <cell r="L895" t="str">
            <v>44125-14</v>
          </cell>
        </row>
        <row r="896">
          <cell r="E896" t="str">
            <v>D2020/00665</v>
          </cell>
          <cell r="F896">
            <v>7</v>
          </cell>
          <cell r="L896" t="str">
            <v>44125-14</v>
          </cell>
        </row>
        <row r="897">
          <cell r="E897" t="str">
            <v>D2020/00665</v>
          </cell>
          <cell r="F897">
            <v>10</v>
          </cell>
          <cell r="L897" t="str">
            <v>44125-14</v>
          </cell>
        </row>
        <row r="898">
          <cell r="E898" t="str">
            <v>D2020/01477</v>
          </cell>
          <cell r="F898">
            <v>13</v>
          </cell>
          <cell r="L898" t="str">
            <v>44125-13</v>
          </cell>
        </row>
        <row r="899">
          <cell r="E899" t="str">
            <v>D2020/01477</v>
          </cell>
          <cell r="F899">
            <v>15</v>
          </cell>
          <cell r="L899" t="str">
            <v>44125-13</v>
          </cell>
        </row>
        <row r="900">
          <cell r="E900" t="str">
            <v>D2020/01477</v>
          </cell>
          <cell r="F900">
            <v>19</v>
          </cell>
          <cell r="L900" t="str">
            <v>44125-13</v>
          </cell>
        </row>
        <row r="901">
          <cell r="E901" t="str">
            <v>D2020/01477</v>
          </cell>
          <cell r="F901">
            <v>52</v>
          </cell>
          <cell r="L901" t="str">
            <v>44125-13</v>
          </cell>
        </row>
        <row r="902">
          <cell r="E902" t="str">
            <v>D2020/01477</v>
          </cell>
          <cell r="F902">
            <v>23</v>
          </cell>
          <cell r="L902" t="str">
            <v>44125-13</v>
          </cell>
        </row>
        <row r="903">
          <cell r="E903" t="str">
            <v>D2020/01477</v>
          </cell>
          <cell r="F903">
            <v>11</v>
          </cell>
          <cell r="L903" t="str">
            <v>44125-13</v>
          </cell>
        </row>
        <row r="904">
          <cell r="E904" t="str">
            <v>D2020/01477</v>
          </cell>
          <cell r="F904">
            <v>5</v>
          </cell>
          <cell r="L904" t="str">
            <v>44125-13</v>
          </cell>
        </row>
        <row r="905">
          <cell r="E905" t="str">
            <v>D2020/01477</v>
          </cell>
          <cell r="F905">
            <v>4</v>
          </cell>
          <cell r="L905" t="str">
            <v>44125-13</v>
          </cell>
        </row>
        <row r="906">
          <cell r="E906" t="str">
            <v>D2020/00665</v>
          </cell>
          <cell r="F906">
            <v>9</v>
          </cell>
          <cell r="L906" t="str">
            <v>44126-10</v>
          </cell>
        </row>
        <row r="907">
          <cell r="E907" t="str">
            <v>D2020/00665</v>
          </cell>
          <cell r="F907">
            <v>54</v>
          </cell>
          <cell r="L907" t="str">
            <v>44126-10</v>
          </cell>
        </row>
        <row r="908">
          <cell r="E908" t="str">
            <v>D2020/00665</v>
          </cell>
          <cell r="F908">
            <v>14</v>
          </cell>
          <cell r="L908" t="str">
            <v>44126-10</v>
          </cell>
        </row>
        <row r="909">
          <cell r="E909" t="str">
            <v>D2020/00665</v>
          </cell>
          <cell r="F909">
            <v>39</v>
          </cell>
          <cell r="L909" t="str">
            <v>44126-10</v>
          </cell>
        </row>
        <row r="910">
          <cell r="E910" t="str">
            <v>D2020/01477</v>
          </cell>
          <cell r="F910">
            <v>24</v>
          </cell>
          <cell r="L910" t="str">
            <v>44126-13</v>
          </cell>
        </row>
        <row r="911">
          <cell r="E911" t="str">
            <v>D2020/01477</v>
          </cell>
          <cell r="F911">
            <v>17</v>
          </cell>
          <cell r="L911" t="str">
            <v>44126-13</v>
          </cell>
        </row>
        <row r="912">
          <cell r="E912" t="str">
            <v>D2020/01476</v>
          </cell>
          <cell r="F912">
            <v>54</v>
          </cell>
          <cell r="L912" t="str">
            <v>44126-13</v>
          </cell>
        </row>
        <row r="913">
          <cell r="E913" t="str">
            <v>D2020/01476</v>
          </cell>
          <cell r="F913">
            <v>47</v>
          </cell>
          <cell r="L913" t="str">
            <v>44126-13</v>
          </cell>
        </row>
        <row r="914">
          <cell r="E914" t="str">
            <v>D2020/01476</v>
          </cell>
          <cell r="F914">
            <v>40</v>
          </cell>
          <cell r="L914" t="str">
            <v>44126-13</v>
          </cell>
        </row>
        <row r="915">
          <cell r="E915" t="str">
            <v>D2020/01476</v>
          </cell>
          <cell r="F915">
            <v>49</v>
          </cell>
          <cell r="L915" t="str">
            <v>44126-13</v>
          </cell>
        </row>
        <row r="916">
          <cell r="E916" t="str">
            <v>D2020/01476</v>
          </cell>
          <cell r="F916">
            <v>64</v>
          </cell>
          <cell r="L916" t="str">
            <v>44126-13</v>
          </cell>
        </row>
        <row r="917">
          <cell r="E917" t="str">
            <v>D2020/01476</v>
          </cell>
          <cell r="F917">
            <v>23</v>
          </cell>
          <cell r="L917" t="str">
            <v>44126-13</v>
          </cell>
        </row>
        <row r="918">
          <cell r="E918" t="str">
            <v>D2020/00665</v>
          </cell>
          <cell r="F918">
            <v>15</v>
          </cell>
          <cell r="L918" t="str">
            <v>44127-14</v>
          </cell>
        </row>
        <row r="919">
          <cell r="E919" t="str">
            <v>D2020/00665</v>
          </cell>
          <cell r="F919">
            <v>9</v>
          </cell>
          <cell r="L919" t="str">
            <v>44127-14</v>
          </cell>
        </row>
        <row r="920">
          <cell r="E920" t="str">
            <v>D2020/00665</v>
          </cell>
          <cell r="F920">
            <v>5</v>
          </cell>
          <cell r="L920" t="str">
            <v>44127-14</v>
          </cell>
        </row>
        <row r="921">
          <cell r="E921" t="str">
            <v>D2020/00949</v>
          </cell>
          <cell r="F921">
            <v>6</v>
          </cell>
          <cell r="L921" t="str">
            <v>44127-14</v>
          </cell>
        </row>
        <row r="922">
          <cell r="E922" t="str">
            <v>D2020/00949</v>
          </cell>
          <cell r="F922">
            <v>4</v>
          </cell>
          <cell r="L922" t="str">
            <v>44127-14</v>
          </cell>
        </row>
        <row r="923">
          <cell r="E923" t="str">
            <v>D2020/00949</v>
          </cell>
          <cell r="F923">
            <v>14</v>
          </cell>
          <cell r="L923" t="str">
            <v>44127-14</v>
          </cell>
        </row>
        <row r="924">
          <cell r="E924" t="str">
            <v>D2020/01476</v>
          </cell>
          <cell r="F924">
            <v>22</v>
          </cell>
          <cell r="L924" t="str">
            <v>44127-13</v>
          </cell>
        </row>
        <row r="925">
          <cell r="E925" t="str">
            <v>D2020/01476</v>
          </cell>
          <cell r="F925">
            <v>3</v>
          </cell>
          <cell r="L925" t="str">
            <v>44127-13</v>
          </cell>
        </row>
        <row r="926">
          <cell r="E926" t="str">
            <v>D2020/01476</v>
          </cell>
          <cell r="F926">
            <v>31</v>
          </cell>
          <cell r="L926" t="str">
            <v>44127-13</v>
          </cell>
        </row>
        <row r="927">
          <cell r="E927" t="str">
            <v>D2020/01744</v>
          </cell>
          <cell r="F927">
            <v>12</v>
          </cell>
          <cell r="L927" t="str">
            <v>44127-13</v>
          </cell>
        </row>
        <row r="928">
          <cell r="E928" t="str">
            <v>D2020/01744</v>
          </cell>
          <cell r="F928">
            <v>33</v>
          </cell>
          <cell r="L928" t="str">
            <v>44127-13</v>
          </cell>
        </row>
        <row r="929">
          <cell r="E929" t="str">
            <v>D2020/01744</v>
          </cell>
          <cell r="F929">
            <v>81</v>
          </cell>
          <cell r="L929" t="str">
            <v>44127-13</v>
          </cell>
        </row>
        <row r="930">
          <cell r="E930" t="str">
            <v>D2020/01744</v>
          </cell>
          <cell r="F930">
            <v>2</v>
          </cell>
          <cell r="L930" t="str">
            <v>44127-13</v>
          </cell>
        </row>
        <row r="931">
          <cell r="E931" t="str">
            <v>D2020/01744</v>
          </cell>
          <cell r="F931">
            <v>24</v>
          </cell>
          <cell r="L931" t="str">
            <v>44127-13</v>
          </cell>
        </row>
        <row r="932">
          <cell r="E932" t="str">
            <v>D2020/01744</v>
          </cell>
          <cell r="F932">
            <v>28</v>
          </cell>
          <cell r="L932" t="str">
            <v>44127-13</v>
          </cell>
        </row>
        <row r="933">
          <cell r="E933" t="str">
            <v>D2020/01744</v>
          </cell>
          <cell r="F933">
            <v>30</v>
          </cell>
          <cell r="L933" t="str">
            <v>44127-13</v>
          </cell>
        </row>
        <row r="934">
          <cell r="E934" t="str">
            <v>D2020/01744</v>
          </cell>
          <cell r="F934">
            <v>34</v>
          </cell>
          <cell r="L934" t="str">
            <v>44127-13</v>
          </cell>
        </row>
        <row r="935">
          <cell r="E935" t="str">
            <v>D2020/01744</v>
          </cell>
          <cell r="F935">
            <v>21</v>
          </cell>
          <cell r="L935" t="str">
            <v>44127-13</v>
          </cell>
        </row>
        <row r="936">
          <cell r="E936" t="str">
            <v>D2020/01744</v>
          </cell>
          <cell r="F936">
            <v>88</v>
          </cell>
          <cell r="L936" t="str">
            <v>44127-13</v>
          </cell>
        </row>
        <row r="937">
          <cell r="E937" t="str">
            <v>D2020/01744</v>
          </cell>
          <cell r="F937">
            <v>17</v>
          </cell>
          <cell r="L937" t="str">
            <v>44127-13</v>
          </cell>
        </row>
        <row r="938">
          <cell r="E938" t="str">
            <v>D2020/01744</v>
          </cell>
          <cell r="F938">
            <v>4</v>
          </cell>
          <cell r="L938" t="str">
            <v>44127-13</v>
          </cell>
        </row>
        <row r="939">
          <cell r="E939" t="str">
            <v>D2020/00949</v>
          </cell>
          <cell r="F939">
            <v>5</v>
          </cell>
          <cell r="L939" t="str">
            <v>44130-14</v>
          </cell>
        </row>
        <row r="940">
          <cell r="E940" t="str">
            <v>D2020/00949</v>
          </cell>
          <cell r="F940">
            <v>2</v>
          </cell>
          <cell r="L940" t="str">
            <v>44130-14</v>
          </cell>
        </row>
        <row r="941">
          <cell r="E941" t="str">
            <v>D2020/00949</v>
          </cell>
          <cell r="F941">
            <v>37</v>
          </cell>
          <cell r="L941" t="str">
            <v>44130-14</v>
          </cell>
        </row>
        <row r="942">
          <cell r="E942" t="str">
            <v>D2020/00949</v>
          </cell>
          <cell r="F942">
            <v>4</v>
          </cell>
          <cell r="L942" t="str">
            <v>44130-14</v>
          </cell>
        </row>
        <row r="943">
          <cell r="E943" t="str">
            <v>D2020/00952</v>
          </cell>
          <cell r="F943">
            <v>9</v>
          </cell>
          <cell r="L943" t="str">
            <v>44130-14</v>
          </cell>
        </row>
        <row r="944">
          <cell r="E944" t="str">
            <v>D2020/00952</v>
          </cell>
          <cell r="F944">
            <v>10</v>
          </cell>
          <cell r="L944" t="str">
            <v>44130-14</v>
          </cell>
        </row>
        <row r="945">
          <cell r="E945" t="str">
            <v>D2020/00952</v>
          </cell>
          <cell r="F945">
            <v>2</v>
          </cell>
          <cell r="L945" t="str">
            <v>44130-14</v>
          </cell>
        </row>
        <row r="946">
          <cell r="E946" t="str">
            <v>D2020/00952</v>
          </cell>
          <cell r="F946">
            <v>50</v>
          </cell>
          <cell r="L946" t="str">
            <v>44130-14</v>
          </cell>
        </row>
        <row r="947">
          <cell r="E947" t="str">
            <v>D2020/01744</v>
          </cell>
          <cell r="F947">
            <v>32</v>
          </cell>
          <cell r="L947" t="str">
            <v>44130-10</v>
          </cell>
        </row>
        <row r="948">
          <cell r="E948" t="str">
            <v>D2020/01744</v>
          </cell>
          <cell r="F948">
            <v>96</v>
          </cell>
          <cell r="L948" t="str">
            <v>44130-10</v>
          </cell>
        </row>
        <row r="949">
          <cell r="E949" t="str">
            <v>D2020/01744</v>
          </cell>
          <cell r="F949">
            <v>41</v>
          </cell>
          <cell r="L949" t="str">
            <v>44130-10</v>
          </cell>
        </row>
        <row r="950">
          <cell r="E950" t="str">
            <v>D2020/01744</v>
          </cell>
          <cell r="F950">
            <v>29</v>
          </cell>
          <cell r="L950" t="str">
            <v>44130-10</v>
          </cell>
        </row>
        <row r="951">
          <cell r="E951" t="str">
            <v>D2020/01744</v>
          </cell>
          <cell r="F951">
            <v>10</v>
          </cell>
          <cell r="L951" t="str">
            <v>44130-10</v>
          </cell>
        </row>
        <row r="952">
          <cell r="E952" t="str">
            <v>D2020/01744</v>
          </cell>
          <cell r="F952">
            <v>21</v>
          </cell>
          <cell r="L952" t="str">
            <v>44130-10</v>
          </cell>
        </row>
        <row r="953">
          <cell r="E953" t="str">
            <v>D2020/01742</v>
          </cell>
          <cell r="F953">
            <v>3</v>
          </cell>
          <cell r="L953" t="str">
            <v>44130-10</v>
          </cell>
        </row>
        <row r="954">
          <cell r="E954" t="str">
            <v>D2020/01742</v>
          </cell>
          <cell r="F954">
            <v>10</v>
          </cell>
          <cell r="L954" t="str">
            <v>44130-10</v>
          </cell>
        </row>
        <row r="955">
          <cell r="E955" t="str">
            <v>D2020/01742</v>
          </cell>
          <cell r="F955">
            <v>5</v>
          </cell>
          <cell r="L955" t="str">
            <v>44130-10</v>
          </cell>
        </row>
        <row r="956">
          <cell r="E956" t="str">
            <v>D2020/00952</v>
          </cell>
          <cell r="F956">
            <v>5</v>
          </cell>
          <cell r="L956" t="str">
            <v>44131-14</v>
          </cell>
        </row>
        <row r="957">
          <cell r="E957" t="str">
            <v>D2020/00952</v>
          </cell>
          <cell r="F957">
            <v>112</v>
          </cell>
          <cell r="L957" t="str">
            <v>44131-14</v>
          </cell>
        </row>
        <row r="958">
          <cell r="E958" t="str">
            <v>D2020/00952</v>
          </cell>
          <cell r="F958">
            <v>7</v>
          </cell>
          <cell r="L958" t="str">
            <v>44131-14</v>
          </cell>
        </row>
        <row r="959">
          <cell r="E959" t="str">
            <v>D2020/00952</v>
          </cell>
          <cell r="F959">
            <v>24</v>
          </cell>
          <cell r="L959" t="str">
            <v>44131-14</v>
          </cell>
        </row>
        <row r="960">
          <cell r="E960" t="str">
            <v>D2020/00952</v>
          </cell>
          <cell r="F960">
            <v>50</v>
          </cell>
          <cell r="L960" t="str">
            <v>44131-14</v>
          </cell>
        </row>
        <row r="961">
          <cell r="E961" t="str">
            <v>D2020/00952</v>
          </cell>
          <cell r="F961">
            <v>30</v>
          </cell>
          <cell r="L961" t="str">
            <v>44131-14</v>
          </cell>
        </row>
        <row r="962">
          <cell r="E962" t="str">
            <v>D2020/00952</v>
          </cell>
          <cell r="F962">
            <v>15</v>
          </cell>
          <cell r="L962" t="str">
            <v>44131-14</v>
          </cell>
        </row>
        <row r="963">
          <cell r="E963" t="str">
            <v>D2020/01742</v>
          </cell>
          <cell r="F963">
            <v>20</v>
          </cell>
          <cell r="L963" t="str">
            <v>44131-10</v>
          </cell>
        </row>
        <row r="964">
          <cell r="E964" t="str">
            <v>D2020/01742</v>
          </cell>
          <cell r="F964">
            <v>17</v>
          </cell>
          <cell r="L964" t="str">
            <v>44131-10</v>
          </cell>
        </row>
        <row r="965">
          <cell r="E965" t="str">
            <v>D2020/01742</v>
          </cell>
          <cell r="F965">
            <v>7</v>
          </cell>
          <cell r="L965" t="str">
            <v>44131-10</v>
          </cell>
        </row>
        <row r="966">
          <cell r="E966" t="str">
            <v>D2020/01742</v>
          </cell>
          <cell r="F966">
            <v>5</v>
          </cell>
          <cell r="L966" t="str">
            <v>44131-10</v>
          </cell>
        </row>
        <row r="967">
          <cell r="E967" t="str">
            <v>D2020/01742</v>
          </cell>
          <cell r="F967">
            <v>111</v>
          </cell>
          <cell r="L967" t="str">
            <v>44131-10</v>
          </cell>
        </row>
        <row r="968">
          <cell r="E968" t="str">
            <v>D2020/01742</v>
          </cell>
          <cell r="F968">
            <v>42</v>
          </cell>
          <cell r="L968" t="str">
            <v>44131-10</v>
          </cell>
        </row>
        <row r="969">
          <cell r="E969" t="str">
            <v>D2020/01742</v>
          </cell>
          <cell r="F969">
            <v>31</v>
          </cell>
          <cell r="L969" t="str">
            <v>44131-10</v>
          </cell>
        </row>
        <row r="970">
          <cell r="E970" t="str">
            <v>D2020/01742</v>
          </cell>
          <cell r="F970">
            <v>93</v>
          </cell>
          <cell r="L970" t="str">
            <v>44131-10</v>
          </cell>
        </row>
        <row r="971">
          <cell r="E971" t="str">
            <v>D2020/01742</v>
          </cell>
          <cell r="F971">
            <v>4</v>
          </cell>
          <cell r="L971" t="str">
            <v>44131-10</v>
          </cell>
        </row>
        <row r="972">
          <cell r="E972" t="str">
            <v>D2020/01742</v>
          </cell>
          <cell r="F972">
            <v>38</v>
          </cell>
          <cell r="L972" t="str">
            <v>44131-10</v>
          </cell>
        </row>
        <row r="973">
          <cell r="E973" t="str">
            <v>D2020/01957</v>
          </cell>
          <cell r="F973">
            <v>18</v>
          </cell>
          <cell r="L973" t="str">
            <v>44132-14</v>
          </cell>
        </row>
        <row r="974">
          <cell r="E974" t="str">
            <v>D2020/01957</v>
          </cell>
          <cell r="F974">
            <v>19</v>
          </cell>
          <cell r="L974" t="str">
            <v>44132-14</v>
          </cell>
        </row>
        <row r="975">
          <cell r="E975" t="str">
            <v>D2020/01957</v>
          </cell>
          <cell r="F975">
            <v>33</v>
          </cell>
          <cell r="L975" t="str">
            <v>44132-14</v>
          </cell>
        </row>
        <row r="976">
          <cell r="E976" t="str">
            <v>D2020/01957</v>
          </cell>
          <cell r="F976">
            <v>13</v>
          </cell>
          <cell r="L976" t="str">
            <v>44132-14</v>
          </cell>
        </row>
        <row r="977">
          <cell r="E977" t="str">
            <v>D2020/01957</v>
          </cell>
          <cell r="F977">
            <v>15</v>
          </cell>
          <cell r="L977" t="str">
            <v>44132-14</v>
          </cell>
        </row>
        <row r="978">
          <cell r="E978" t="str">
            <v>D2020/01957</v>
          </cell>
          <cell r="F978">
            <v>14</v>
          </cell>
          <cell r="L978" t="str">
            <v>44132-14</v>
          </cell>
        </row>
        <row r="979">
          <cell r="E979" t="str">
            <v>D2020/01957</v>
          </cell>
          <cell r="F979">
            <v>48</v>
          </cell>
          <cell r="L979" t="str">
            <v>44132-14</v>
          </cell>
        </row>
        <row r="980">
          <cell r="E980" t="str">
            <v>D2020/01742</v>
          </cell>
          <cell r="F980">
            <v>33</v>
          </cell>
          <cell r="L980" t="str">
            <v>44132-10</v>
          </cell>
        </row>
        <row r="981">
          <cell r="E981" t="str">
            <v>D2020/01743</v>
          </cell>
          <cell r="F981">
            <v>80</v>
          </cell>
          <cell r="L981" t="str">
            <v>44132-10</v>
          </cell>
        </row>
        <row r="982">
          <cell r="E982" t="str">
            <v>D2020/01743</v>
          </cell>
          <cell r="F982">
            <v>67</v>
          </cell>
          <cell r="L982" t="str">
            <v>44132-10</v>
          </cell>
        </row>
        <row r="983">
          <cell r="E983" t="str">
            <v>D2020/01743</v>
          </cell>
          <cell r="F983">
            <v>101</v>
          </cell>
          <cell r="L983" t="str">
            <v>44132-10</v>
          </cell>
        </row>
        <row r="984">
          <cell r="E984" t="str">
            <v>D2020/01743</v>
          </cell>
          <cell r="F984">
            <v>93</v>
          </cell>
          <cell r="L984" t="str">
            <v>44132-10</v>
          </cell>
        </row>
        <row r="985">
          <cell r="E985" t="str">
            <v>D2020/01886</v>
          </cell>
          <cell r="F985">
            <v>95</v>
          </cell>
          <cell r="L985" t="str">
            <v>44133-14</v>
          </cell>
        </row>
        <row r="986">
          <cell r="E986" t="str">
            <v>D2020/01743</v>
          </cell>
          <cell r="F986">
            <v>52</v>
          </cell>
          <cell r="L986" t="str">
            <v>44133-10</v>
          </cell>
        </row>
        <row r="987">
          <cell r="E987" t="str">
            <v>D2020/01743</v>
          </cell>
          <cell r="F987">
            <v>36</v>
          </cell>
          <cell r="L987" t="str">
            <v>44133-10</v>
          </cell>
        </row>
        <row r="988">
          <cell r="E988" t="str">
            <v>D2020/01743</v>
          </cell>
          <cell r="F988">
            <v>50</v>
          </cell>
          <cell r="L988" t="str">
            <v>44133-10</v>
          </cell>
        </row>
        <row r="989">
          <cell r="E989" t="str">
            <v>D2020/01743</v>
          </cell>
          <cell r="F989">
            <v>107</v>
          </cell>
          <cell r="L989" t="str">
            <v>44133-10</v>
          </cell>
        </row>
        <row r="990">
          <cell r="E990" t="str">
            <v>D2020/01893</v>
          </cell>
          <cell r="F990">
            <v>310</v>
          </cell>
          <cell r="L990" t="str">
            <v>44133-10</v>
          </cell>
        </row>
        <row r="991">
          <cell r="E991" t="str">
            <v>D2020/01893</v>
          </cell>
          <cell r="F991">
            <v>12</v>
          </cell>
          <cell r="L991" t="str">
            <v>44133-10</v>
          </cell>
        </row>
        <row r="992">
          <cell r="E992" t="str">
            <v>D2020/01886</v>
          </cell>
          <cell r="F992">
            <v>125</v>
          </cell>
          <cell r="L992" t="str">
            <v>44134-14</v>
          </cell>
        </row>
        <row r="993">
          <cell r="E993" t="str">
            <v>D2020/01886</v>
          </cell>
          <cell r="F993">
            <v>145</v>
          </cell>
          <cell r="L993" t="str">
            <v>44134-14</v>
          </cell>
        </row>
        <row r="994">
          <cell r="E994" t="str">
            <v>D2020/01893</v>
          </cell>
          <cell r="F994">
            <v>14</v>
          </cell>
          <cell r="L994" t="str">
            <v>44134-10</v>
          </cell>
        </row>
        <row r="995">
          <cell r="E995" t="str">
            <v>D2020/01893</v>
          </cell>
          <cell r="F995">
            <v>64</v>
          </cell>
          <cell r="L995" t="str">
            <v>44134-10</v>
          </cell>
        </row>
        <row r="996">
          <cell r="E996" t="str">
            <v>D2020/01893</v>
          </cell>
          <cell r="F996">
            <v>35</v>
          </cell>
          <cell r="L996" t="str">
            <v>44134-10</v>
          </cell>
        </row>
        <row r="997">
          <cell r="E997" t="str">
            <v>D2020/01893</v>
          </cell>
          <cell r="F997">
            <v>49</v>
          </cell>
          <cell r="L997" t="str">
            <v>44134-10</v>
          </cell>
        </row>
        <row r="998">
          <cell r="E998" t="str">
            <v>D2020/01893</v>
          </cell>
          <cell r="F998">
            <v>11</v>
          </cell>
          <cell r="L998" t="str">
            <v>44134-10</v>
          </cell>
        </row>
        <row r="999">
          <cell r="E999" t="str">
            <v>D2020/01893</v>
          </cell>
          <cell r="F999">
            <v>12</v>
          </cell>
          <cell r="L999" t="str">
            <v>44134-10</v>
          </cell>
        </row>
        <row r="1000">
          <cell r="E1000" t="str">
            <v>D2020/01893</v>
          </cell>
          <cell r="F1000">
            <v>3</v>
          </cell>
          <cell r="L1000" t="str">
            <v>44134-10</v>
          </cell>
        </row>
        <row r="1001">
          <cell r="E1001" t="str">
            <v>D2020/01886</v>
          </cell>
          <cell r="F1001">
            <v>30</v>
          </cell>
          <cell r="L1001" t="str">
            <v>44137-13</v>
          </cell>
        </row>
        <row r="1002">
          <cell r="E1002" t="str">
            <v>D2020/01886</v>
          </cell>
          <cell r="F1002">
            <v>10</v>
          </cell>
          <cell r="L1002" t="str">
            <v>44137-13</v>
          </cell>
        </row>
        <row r="1003">
          <cell r="E1003" t="str">
            <v>D2020/01886</v>
          </cell>
          <cell r="F1003">
            <v>9</v>
          </cell>
          <cell r="L1003" t="str">
            <v>44137-13</v>
          </cell>
        </row>
        <row r="1004">
          <cell r="E1004" t="str">
            <v>D2020/01886</v>
          </cell>
          <cell r="F1004">
            <v>2</v>
          </cell>
          <cell r="L1004" t="str">
            <v>44137-13</v>
          </cell>
        </row>
        <row r="1005">
          <cell r="E1005" t="str">
            <v>D2020/01892</v>
          </cell>
          <cell r="F1005">
            <v>22</v>
          </cell>
          <cell r="L1005" t="str">
            <v>44137-14</v>
          </cell>
        </row>
        <row r="1006">
          <cell r="E1006" t="str">
            <v>D2020/01892</v>
          </cell>
          <cell r="F1006">
            <v>21</v>
          </cell>
          <cell r="L1006" t="str">
            <v>44137-14</v>
          </cell>
        </row>
        <row r="1007">
          <cell r="E1007" t="str">
            <v>D2020/01892</v>
          </cell>
          <cell r="F1007">
            <v>11</v>
          </cell>
          <cell r="L1007" t="str">
            <v>44137-14</v>
          </cell>
        </row>
        <row r="1008">
          <cell r="E1008" t="str">
            <v>D2020/01892</v>
          </cell>
          <cell r="F1008">
            <v>10</v>
          </cell>
          <cell r="L1008" t="str">
            <v>44137-14</v>
          </cell>
        </row>
        <row r="1009">
          <cell r="E1009" t="str">
            <v>D2020/01892</v>
          </cell>
          <cell r="F1009">
            <v>6</v>
          </cell>
          <cell r="L1009" t="str">
            <v>44137-14</v>
          </cell>
        </row>
        <row r="1010">
          <cell r="E1010" t="str">
            <v>D2020/01892</v>
          </cell>
          <cell r="F1010">
            <v>52</v>
          </cell>
          <cell r="L1010" t="str">
            <v>44137-14</v>
          </cell>
        </row>
        <row r="1011">
          <cell r="E1011" t="str">
            <v>D2020/01892</v>
          </cell>
          <cell r="F1011">
            <v>47</v>
          </cell>
          <cell r="L1011" t="str">
            <v>44137-14</v>
          </cell>
        </row>
        <row r="1012">
          <cell r="E1012" t="str">
            <v>D2020/01885</v>
          </cell>
          <cell r="F1012">
            <v>119</v>
          </cell>
          <cell r="L1012" t="str">
            <v>44137-14</v>
          </cell>
        </row>
        <row r="1013">
          <cell r="E1013" t="str">
            <v>D2020/01886</v>
          </cell>
          <cell r="F1013">
            <v>66</v>
          </cell>
          <cell r="L1013" t="str">
            <v>44138-13</v>
          </cell>
        </row>
        <row r="1014">
          <cell r="E1014" t="str">
            <v>D2020/01886</v>
          </cell>
          <cell r="F1014">
            <v>8</v>
          </cell>
          <cell r="L1014" t="str">
            <v>44138-13</v>
          </cell>
        </row>
        <row r="1015">
          <cell r="E1015" t="str">
            <v>D2020/01885</v>
          </cell>
          <cell r="F1015">
            <v>50</v>
          </cell>
          <cell r="L1015" t="str">
            <v>44138-14</v>
          </cell>
        </row>
        <row r="1016">
          <cell r="E1016" t="str">
            <v>D2020/01885</v>
          </cell>
          <cell r="F1016">
            <v>190</v>
          </cell>
          <cell r="L1016" t="str">
            <v>44138-14</v>
          </cell>
        </row>
        <row r="1017">
          <cell r="E1017" t="str">
            <v>D2020/01885</v>
          </cell>
          <cell r="F1017">
            <v>7</v>
          </cell>
          <cell r="L1017" t="str">
            <v>44138-14</v>
          </cell>
        </row>
        <row r="1018">
          <cell r="E1018" t="str">
            <v>D2020/01885</v>
          </cell>
          <cell r="F1018">
            <v>285</v>
          </cell>
          <cell r="L1018" t="str">
            <v>44138-14</v>
          </cell>
        </row>
        <row r="1019">
          <cell r="E1019" t="str">
            <v>D2020/01885</v>
          </cell>
          <cell r="F1019">
            <v>452</v>
          </cell>
          <cell r="L1019" t="str">
            <v>44138-14</v>
          </cell>
        </row>
        <row r="1020">
          <cell r="E1020" t="str">
            <v>D2020/01885</v>
          </cell>
          <cell r="F1020">
            <v>48</v>
          </cell>
          <cell r="L1020" t="str">
            <v>44138-14</v>
          </cell>
        </row>
        <row r="1021">
          <cell r="E1021" t="str">
            <v>D2020/01885</v>
          </cell>
          <cell r="F1021">
            <v>29</v>
          </cell>
          <cell r="L1021" t="str">
            <v>44138-14</v>
          </cell>
        </row>
        <row r="1022">
          <cell r="E1022" t="str">
            <v>D2020/01886</v>
          </cell>
          <cell r="F1022">
            <v>16</v>
          </cell>
          <cell r="L1022" t="str">
            <v>44139-13</v>
          </cell>
        </row>
        <row r="1023">
          <cell r="E1023" t="str">
            <v>D2020/01886</v>
          </cell>
          <cell r="F1023">
            <v>14</v>
          </cell>
          <cell r="L1023" t="str">
            <v>44139-13</v>
          </cell>
        </row>
        <row r="1024">
          <cell r="E1024" t="str">
            <v>D2020/01886</v>
          </cell>
          <cell r="F1024">
            <v>29</v>
          </cell>
          <cell r="L1024" t="str">
            <v>44139-13</v>
          </cell>
        </row>
        <row r="1025">
          <cell r="E1025" t="str">
            <v>D2020/01890</v>
          </cell>
          <cell r="F1025">
            <v>90</v>
          </cell>
          <cell r="L1025" t="str">
            <v>44139-13</v>
          </cell>
        </row>
        <row r="1026">
          <cell r="E1026" t="str">
            <v>D2020/01890</v>
          </cell>
          <cell r="F1026">
            <v>16</v>
          </cell>
          <cell r="L1026" t="str">
            <v>44139-13</v>
          </cell>
        </row>
        <row r="1027">
          <cell r="E1027" t="str">
            <v>D2020/01888</v>
          </cell>
          <cell r="F1027">
            <v>172</v>
          </cell>
          <cell r="L1027" t="str">
            <v>44139-14</v>
          </cell>
        </row>
        <row r="1028">
          <cell r="E1028" t="str">
            <v>D2020/01888</v>
          </cell>
          <cell r="F1028">
            <v>521</v>
          </cell>
          <cell r="L1028" t="str">
            <v>44139-14</v>
          </cell>
        </row>
        <row r="1029">
          <cell r="E1029" t="str">
            <v>D2020/01888</v>
          </cell>
          <cell r="F1029">
            <v>349</v>
          </cell>
          <cell r="L1029" t="str">
            <v>44139-14</v>
          </cell>
        </row>
        <row r="1030">
          <cell r="E1030" t="str">
            <v>D2020/01887</v>
          </cell>
          <cell r="F1030">
            <v>80</v>
          </cell>
          <cell r="L1030" t="str">
            <v>44139-14</v>
          </cell>
        </row>
        <row r="1031">
          <cell r="E1031" t="str">
            <v>D2020/01887</v>
          </cell>
          <cell r="F1031">
            <v>36</v>
          </cell>
          <cell r="L1031" t="str">
            <v>44139-14</v>
          </cell>
        </row>
        <row r="1032">
          <cell r="E1032" t="str">
            <v>D2020/01890</v>
          </cell>
          <cell r="F1032">
            <v>31</v>
          </cell>
          <cell r="L1032" t="str">
            <v>44140-13</v>
          </cell>
        </row>
        <row r="1033">
          <cell r="E1033" t="str">
            <v>D2020/01890</v>
          </cell>
          <cell r="F1033">
            <v>6</v>
          </cell>
          <cell r="L1033" t="str">
            <v>44140-13</v>
          </cell>
        </row>
        <row r="1034">
          <cell r="E1034" t="str">
            <v>D2020/01890</v>
          </cell>
          <cell r="F1034">
            <v>6</v>
          </cell>
          <cell r="L1034" t="str">
            <v>44140-13</v>
          </cell>
        </row>
        <row r="1035">
          <cell r="E1035" t="str">
            <v>D2020/01890</v>
          </cell>
          <cell r="F1035">
            <v>6</v>
          </cell>
          <cell r="L1035" t="str">
            <v>44140-13</v>
          </cell>
        </row>
        <row r="1036">
          <cell r="E1036" t="str">
            <v>D2020/01890</v>
          </cell>
          <cell r="F1036">
            <v>14</v>
          </cell>
          <cell r="L1036" t="str">
            <v>44140-13</v>
          </cell>
        </row>
        <row r="1037">
          <cell r="E1037" t="str">
            <v>D2020/01890</v>
          </cell>
          <cell r="F1037">
            <v>21</v>
          </cell>
          <cell r="L1037" t="str">
            <v>44140-13</v>
          </cell>
        </row>
        <row r="1038">
          <cell r="E1038" t="str">
            <v>D2020/01887</v>
          </cell>
          <cell r="F1038">
            <v>30</v>
          </cell>
          <cell r="L1038" t="str">
            <v>44140-14</v>
          </cell>
        </row>
        <row r="1039">
          <cell r="E1039" t="str">
            <v>D2020/01887</v>
          </cell>
          <cell r="F1039">
            <v>184</v>
          </cell>
          <cell r="L1039" t="str">
            <v>44140-14</v>
          </cell>
        </row>
        <row r="1040">
          <cell r="E1040" t="str">
            <v>D2020/01887</v>
          </cell>
          <cell r="F1040">
            <v>13</v>
          </cell>
          <cell r="L1040" t="str">
            <v>44140-14</v>
          </cell>
        </row>
        <row r="1041">
          <cell r="E1041" t="str">
            <v>D2020/01889</v>
          </cell>
          <cell r="F1041">
            <v>15</v>
          </cell>
          <cell r="L1041" t="str">
            <v>44141-13</v>
          </cell>
        </row>
        <row r="1042">
          <cell r="E1042" t="str">
            <v>D2020/01889</v>
          </cell>
          <cell r="F1042">
            <v>6</v>
          </cell>
          <cell r="L1042" t="str">
            <v>44141-13</v>
          </cell>
        </row>
        <row r="1043">
          <cell r="E1043" t="str">
            <v>D2020/01889</v>
          </cell>
          <cell r="F1043">
            <v>35</v>
          </cell>
          <cell r="L1043" t="str">
            <v>44141-13</v>
          </cell>
        </row>
        <row r="1044">
          <cell r="E1044" t="str">
            <v>D2020/01889</v>
          </cell>
          <cell r="F1044">
            <v>9</v>
          </cell>
          <cell r="L1044" t="str">
            <v>44141-13</v>
          </cell>
        </row>
        <row r="1045">
          <cell r="E1045" t="str">
            <v>D2020/01889</v>
          </cell>
          <cell r="F1045">
            <v>10</v>
          </cell>
          <cell r="L1045" t="str">
            <v>44141-13</v>
          </cell>
        </row>
        <row r="1046">
          <cell r="E1046" t="str">
            <v>D2020/01889</v>
          </cell>
          <cell r="F1046">
            <v>43</v>
          </cell>
          <cell r="L1046" t="str">
            <v>44141-13</v>
          </cell>
        </row>
        <row r="1047">
          <cell r="E1047" t="str">
            <v>D2020/01889</v>
          </cell>
          <cell r="F1047">
            <v>22</v>
          </cell>
          <cell r="L1047" t="str">
            <v>44141-13</v>
          </cell>
        </row>
        <row r="1048">
          <cell r="E1048" t="str">
            <v>D2020/01889</v>
          </cell>
          <cell r="F1048">
            <v>17</v>
          </cell>
          <cell r="L1048" t="str">
            <v>44141-13</v>
          </cell>
        </row>
        <row r="1049">
          <cell r="E1049" t="str">
            <v>D2020/01889</v>
          </cell>
          <cell r="F1049">
            <v>11</v>
          </cell>
          <cell r="L1049" t="str">
            <v>44141-13</v>
          </cell>
        </row>
        <row r="1050">
          <cell r="E1050" t="str">
            <v>D2020/01889</v>
          </cell>
          <cell r="F1050">
            <v>6</v>
          </cell>
          <cell r="L1050" t="str">
            <v>44141-13</v>
          </cell>
        </row>
        <row r="1051">
          <cell r="E1051" t="str">
            <v>D2020/01887</v>
          </cell>
          <cell r="F1051">
            <v>30</v>
          </cell>
          <cell r="L1051" t="str">
            <v>44141-14</v>
          </cell>
        </row>
        <row r="1052">
          <cell r="E1052" t="str">
            <v>D2020/01887</v>
          </cell>
          <cell r="F1052">
            <v>29</v>
          </cell>
          <cell r="L1052" t="str">
            <v>44141-14</v>
          </cell>
        </row>
        <row r="1053">
          <cell r="E1053" t="str">
            <v>D2020/01887</v>
          </cell>
          <cell r="F1053">
            <v>31</v>
          </cell>
          <cell r="L1053" t="str">
            <v>44141-14</v>
          </cell>
        </row>
        <row r="1054">
          <cell r="E1054" t="str">
            <v>D2020/01887</v>
          </cell>
          <cell r="F1054">
            <v>17</v>
          </cell>
          <cell r="L1054" t="str">
            <v>44141-14</v>
          </cell>
        </row>
        <row r="1055">
          <cell r="E1055" t="str">
            <v>D2020/01887</v>
          </cell>
          <cell r="F1055">
            <v>83</v>
          </cell>
          <cell r="L1055" t="str">
            <v>44141-14</v>
          </cell>
        </row>
        <row r="1056">
          <cell r="E1056" t="str">
            <v>D2020/01887</v>
          </cell>
          <cell r="F1056">
            <v>35</v>
          </cell>
          <cell r="L1056" t="str">
            <v>44144-13</v>
          </cell>
        </row>
        <row r="1057">
          <cell r="E1057" t="str">
            <v>D2020/01887</v>
          </cell>
          <cell r="F1057">
            <v>12</v>
          </cell>
          <cell r="L1057" t="str">
            <v>44144-13</v>
          </cell>
        </row>
        <row r="1058">
          <cell r="E1058" t="str">
            <v>D2020/01887</v>
          </cell>
          <cell r="F1058">
            <v>26</v>
          </cell>
          <cell r="L1058" t="str">
            <v>44144-13</v>
          </cell>
        </row>
        <row r="1059">
          <cell r="E1059" t="str">
            <v>D2020/01887</v>
          </cell>
          <cell r="F1059">
            <v>7</v>
          </cell>
          <cell r="L1059" t="str">
            <v>44144-13</v>
          </cell>
        </row>
        <row r="1060">
          <cell r="E1060" t="str">
            <v>D2020/01887</v>
          </cell>
          <cell r="F1060">
            <v>39</v>
          </cell>
          <cell r="L1060" t="str">
            <v>44144-13</v>
          </cell>
        </row>
        <row r="1061">
          <cell r="E1061" t="str">
            <v>D2020/01887</v>
          </cell>
          <cell r="F1061">
            <v>20</v>
          </cell>
          <cell r="L1061" t="str">
            <v>44144-13</v>
          </cell>
        </row>
        <row r="1062">
          <cell r="E1062" t="str">
            <v>D2020/01887</v>
          </cell>
          <cell r="F1062">
            <v>32</v>
          </cell>
          <cell r="L1062" t="str">
            <v>44144-13</v>
          </cell>
        </row>
        <row r="1063">
          <cell r="E1063" t="str">
            <v>D2020/01887</v>
          </cell>
          <cell r="F1063">
            <v>16</v>
          </cell>
          <cell r="L1063" t="str">
            <v>44144-13</v>
          </cell>
        </row>
        <row r="1064">
          <cell r="E1064" t="str">
            <v>D2020/01887</v>
          </cell>
          <cell r="F1064">
            <v>25</v>
          </cell>
          <cell r="L1064" t="str">
            <v>44144-13</v>
          </cell>
        </row>
        <row r="1065">
          <cell r="E1065" t="str">
            <v>D2020/01889</v>
          </cell>
          <cell r="F1065">
            <v>40</v>
          </cell>
          <cell r="L1065" t="str">
            <v>44144-10</v>
          </cell>
        </row>
        <row r="1066">
          <cell r="E1066" t="str">
            <v>D2020/01889</v>
          </cell>
          <cell r="F1066">
            <v>15</v>
          </cell>
          <cell r="L1066" t="str">
            <v>44144-10</v>
          </cell>
        </row>
        <row r="1067">
          <cell r="E1067" t="str">
            <v>D2020/01889</v>
          </cell>
          <cell r="F1067">
            <v>23</v>
          </cell>
          <cell r="L1067" t="str">
            <v>44144-10</v>
          </cell>
        </row>
        <row r="1068">
          <cell r="E1068" t="str">
            <v>D2020/01889</v>
          </cell>
          <cell r="F1068">
            <v>2</v>
          </cell>
          <cell r="L1068" t="str">
            <v>44144-10</v>
          </cell>
        </row>
        <row r="1069">
          <cell r="E1069" t="str">
            <v>D2020/01889</v>
          </cell>
          <cell r="F1069">
            <v>63</v>
          </cell>
          <cell r="L1069" t="str">
            <v>44144-10</v>
          </cell>
        </row>
        <row r="1070">
          <cell r="E1070" t="str">
            <v>D2020/01889</v>
          </cell>
          <cell r="F1070">
            <v>33</v>
          </cell>
          <cell r="L1070" t="str">
            <v>44144-10</v>
          </cell>
        </row>
        <row r="1071">
          <cell r="E1071" t="str">
            <v>D2020/01889</v>
          </cell>
          <cell r="F1071">
            <v>48</v>
          </cell>
          <cell r="L1071" t="str">
            <v>44144-10</v>
          </cell>
        </row>
        <row r="1072">
          <cell r="E1072" t="str">
            <v>D2020/01889</v>
          </cell>
          <cell r="F1072">
            <v>21</v>
          </cell>
          <cell r="L1072" t="str">
            <v>44144-10</v>
          </cell>
        </row>
        <row r="1073">
          <cell r="E1073" t="str">
            <v>D2020/01887</v>
          </cell>
          <cell r="F1073">
            <v>72</v>
          </cell>
          <cell r="L1073" t="str">
            <v>44145-13</v>
          </cell>
        </row>
        <row r="1074">
          <cell r="E1074" t="str">
            <v>D2020/01887</v>
          </cell>
          <cell r="F1074">
            <v>64</v>
          </cell>
          <cell r="L1074" t="str">
            <v>44145-13</v>
          </cell>
        </row>
        <row r="1075">
          <cell r="E1075" t="str">
            <v>D2020/01887</v>
          </cell>
          <cell r="F1075">
            <v>22</v>
          </cell>
          <cell r="L1075" t="str">
            <v>44145-13</v>
          </cell>
        </row>
        <row r="1076">
          <cell r="E1076" t="str">
            <v>D2020/01887</v>
          </cell>
          <cell r="F1076">
            <v>29</v>
          </cell>
          <cell r="L1076" t="str">
            <v>44145-13</v>
          </cell>
        </row>
        <row r="1077">
          <cell r="E1077" t="str">
            <v>D2020/01887</v>
          </cell>
          <cell r="F1077">
            <v>40</v>
          </cell>
          <cell r="L1077" t="str">
            <v>44145-13</v>
          </cell>
        </row>
        <row r="1078">
          <cell r="E1078" t="str">
            <v>D2020/01967</v>
          </cell>
          <cell r="F1078">
            <v>164</v>
          </cell>
          <cell r="L1078" t="str">
            <v>44145-13</v>
          </cell>
        </row>
        <row r="1079">
          <cell r="E1079" t="str">
            <v>D2020/01967</v>
          </cell>
          <cell r="F1079">
            <v>108</v>
          </cell>
          <cell r="L1079" t="str">
            <v>44145-13</v>
          </cell>
        </row>
        <row r="1080">
          <cell r="E1080" t="str">
            <v>D2020/01967</v>
          </cell>
          <cell r="F1080">
            <v>28</v>
          </cell>
          <cell r="L1080" t="str">
            <v>44145-13</v>
          </cell>
        </row>
        <row r="1081">
          <cell r="E1081" t="str">
            <v>D2020/01967</v>
          </cell>
          <cell r="F1081">
            <v>33</v>
          </cell>
          <cell r="L1081" t="str">
            <v>44145-13</v>
          </cell>
        </row>
        <row r="1082">
          <cell r="E1082" t="str">
            <v>D2020/01967</v>
          </cell>
          <cell r="F1082">
            <v>19</v>
          </cell>
          <cell r="L1082" t="str">
            <v>44145-13</v>
          </cell>
        </row>
        <row r="1083">
          <cell r="E1083" t="str">
            <v>D2020/01889</v>
          </cell>
          <cell r="F1083">
            <v>20</v>
          </cell>
          <cell r="L1083" t="str">
            <v>44145-10</v>
          </cell>
        </row>
        <row r="1084">
          <cell r="E1084" t="str">
            <v>D2020/01889</v>
          </cell>
          <cell r="F1084">
            <v>20</v>
          </cell>
          <cell r="L1084" t="str">
            <v>44145-10</v>
          </cell>
        </row>
        <row r="1085">
          <cell r="E1085" t="str">
            <v>D2020/01889</v>
          </cell>
          <cell r="F1085">
            <v>32</v>
          </cell>
          <cell r="L1085" t="str">
            <v>44145-10</v>
          </cell>
        </row>
        <row r="1086">
          <cell r="E1086" t="str">
            <v>D2020/01889</v>
          </cell>
          <cell r="F1086">
            <v>6</v>
          </cell>
          <cell r="L1086" t="str">
            <v>44145-10</v>
          </cell>
        </row>
        <row r="1087">
          <cell r="E1087" t="str">
            <v>D2020/01889</v>
          </cell>
          <cell r="F1087">
            <v>30</v>
          </cell>
          <cell r="L1087" t="str">
            <v>44145-10</v>
          </cell>
        </row>
        <row r="1088">
          <cell r="E1088" t="str">
            <v>D2020/01889</v>
          </cell>
          <cell r="F1088">
            <v>5</v>
          </cell>
          <cell r="L1088" t="str">
            <v>44145-10</v>
          </cell>
        </row>
        <row r="1089">
          <cell r="E1089" t="str">
            <v>D2020/01889</v>
          </cell>
          <cell r="F1089">
            <v>30</v>
          </cell>
          <cell r="L1089" t="str">
            <v>44146-10</v>
          </cell>
        </row>
        <row r="1090">
          <cell r="E1090" t="str">
            <v>D2020/01889</v>
          </cell>
          <cell r="F1090">
            <v>29</v>
          </cell>
          <cell r="L1090" t="str">
            <v>44146-10</v>
          </cell>
        </row>
        <row r="1091">
          <cell r="E1091" t="str">
            <v>D2020/01889</v>
          </cell>
          <cell r="F1091">
            <v>44</v>
          </cell>
          <cell r="L1091" t="str">
            <v>44146-10</v>
          </cell>
        </row>
        <row r="1092">
          <cell r="E1092" t="str">
            <v>D2020/01967</v>
          </cell>
          <cell r="F1092">
            <v>38</v>
          </cell>
          <cell r="L1092" t="str">
            <v>44146-13</v>
          </cell>
        </row>
        <row r="1093">
          <cell r="E1093" t="str">
            <v>D2020/01967</v>
          </cell>
          <cell r="F1093">
            <v>5</v>
          </cell>
          <cell r="L1093" t="str">
            <v>44146-13</v>
          </cell>
        </row>
        <row r="1094">
          <cell r="E1094" t="str">
            <v>D2020/01967</v>
          </cell>
          <cell r="F1094">
            <v>80</v>
          </cell>
          <cell r="L1094" t="str">
            <v>44146-13</v>
          </cell>
        </row>
        <row r="1095">
          <cell r="E1095" t="str">
            <v>D2020/01967</v>
          </cell>
          <cell r="F1095">
            <v>15</v>
          </cell>
          <cell r="L1095" t="str">
            <v>44146-13</v>
          </cell>
        </row>
        <row r="1096">
          <cell r="E1096" t="str">
            <v>D2020/01967</v>
          </cell>
          <cell r="F1096">
            <v>193</v>
          </cell>
          <cell r="L1096" t="str">
            <v>44146-13</v>
          </cell>
        </row>
        <row r="1097">
          <cell r="E1097" t="str">
            <v>D2020/01967</v>
          </cell>
          <cell r="F1097">
            <v>11</v>
          </cell>
          <cell r="L1097" t="str">
            <v>44146-13</v>
          </cell>
        </row>
        <row r="1098">
          <cell r="E1098" t="str">
            <v>D2020/01967</v>
          </cell>
          <cell r="F1098">
            <v>9</v>
          </cell>
          <cell r="L1098" t="str">
            <v>44146-13</v>
          </cell>
        </row>
        <row r="1099">
          <cell r="E1099" t="str">
            <v>d2020/02033</v>
          </cell>
          <cell r="F1099">
            <v>43</v>
          </cell>
          <cell r="L1099" t="str">
            <v>44146-10</v>
          </cell>
        </row>
        <row r="1100">
          <cell r="E1100" t="str">
            <v>d2020/02033</v>
          </cell>
          <cell r="F1100">
            <v>62</v>
          </cell>
          <cell r="L1100" t="str">
            <v>44146-10</v>
          </cell>
        </row>
        <row r="1101">
          <cell r="E1101" t="str">
            <v>D2020/01969</v>
          </cell>
          <cell r="F1101">
            <v>62</v>
          </cell>
          <cell r="L1101" t="str">
            <v>44147-13</v>
          </cell>
        </row>
        <row r="1102">
          <cell r="E1102" t="str">
            <v>D2020/01969</v>
          </cell>
          <cell r="F1102">
            <v>38</v>
          </cell>
          <cell r="L1102" t="str">
            <v>44147-13</v>
          </cell>
        </row>
        <row r="1103">
          <cell r="E1103" t="str">
            <v>D2020/01968</v>
          </cell>
          <cell r="F1103">
            <v>7</v>
          </cell>
          <cell r="L1103" t="str">
            <v>44147-13</v>
          </cell>
        </row>
        <row r="1104">
          <cell r="E1104" t="str">
            <v>D2020/01968</v>
          </cell>
          <cell r="F1104">
            <v>33</v>
          </cell>
          <cell r="L1104" t="str">
            <v>44147-13</v>
          </cell>
        </row>
        <row r="1105">
          <cell r="E1105" t="str">
            <v>d2020/02033</v>
          </cell>
          <cell r="F1105">
            <v>33</v>
          </cell>
          <cell r="L1105" t="str">
            <v>44147-10</v>
          </cell>
        </row>
        <row r="1106">
          <cell r="E1106" t="str">
            <v>d2020/02033</v>
          </cell>
          <cell r="F1106">
            <v>15</v>
          </cell>
          <cell r="L1106" t="str">
            <v>44147-10</v>
          </cell>
        </row>
        <row r="1107">
          <cell r="E1107" t="str">
            <v>d2020/02033</v>
          </cell>
          <cell r="F1107">
            <v>21</v>
          </cell>
          <cell r="L1107" t="str">
            <v>44147-10</v>
          </cell>
        </row>
        <row r="1108">
          <cell r="E1108" t="str">
            <v>d2020/02033</v>
          </cell>
          <cell r="F1108">
            <v>42</v>
          </cell>
          <cell r="L1108" t="str">
            <v>44147-10</v>
          </cell>
        </row>
        <row r="1109">
          <cell r="E1109" t="str">
            <v>d2020/02033</v>
          </cell>
          <cell r="F1109">
            <v>8</v>
          </cell>
          <cell r="L1109" t="str">
            <v>44147-10</v>
          </cell>
        </row>
        <row r="1110">
          <cell r="E1110" t="str">
            <v>d2020/02033</v>
          </cell>
          <cell r="F1110">
            <v>11</v>
          </cell>
          <cell r="L1110" t="str">
            <v>44147-10</v>
          </cell>
        </row>
        <row r="1111">
          <cell r="E1111" t="str">
            <v>d2020/02033</v>
          </cell>
          <cell r="F1111">
            <v>50</v>
          </cell>
          <cell r="L1111" t="str">
            <v>44147-10</v>
          </cell>
        </row>
        <row r="1112">
          <cell r="E1112" t="str">
            <v>d2020/02033</v>
          </cell>
          <cell r="F1112">
            <v>24</v>
          </cell>
          <cell r="L1112" t="str">
            <v>44147-10</v>
          </cell>
        </row>
        <row r="1113">
          <cell r="E1113" t="str">
            <v>d2020/02033</v>
          </cell>
          <cell r="F1113">
            <v>22</v>
          </cell>
          <cell r="L1113" t="str">
            <v>44147-10</v>
          </cell>
        </row>
        <row r="1114">
          <cell r="E1114" t="str">
            <v>d2020/02033</v>
          </cell>
          <cell r="F1114">
            <v>27</v>
          </cell>
          <cell r="L1114" t="str">
            <v>44147-10</v>
          </cell>
        </row>
        <row r="1115">
          <cell r="E1115" t="str">
            <v>d2020/02033</v>
          </cell>
          <cell r="F1115">
            <v>27</v>
          </cell>
          <cell r="L1115" t="str">
            <v>44147-10</v>
          </cell>
        </row>
        <row r="1116">
          <cell r="E1116" t="str">
            <v>d2020/02033</v>
          </cell>
          <cell r="F1116">
            <v>27</v>
          </cell>
          <cell r="L1116" t="str">
            <v>44147-10</v>
          </cell>
        </row>
        <row r="1117">
          <cell r="E1117" t="str">
            <v>D2020/02045</v>
          </cell>
          <cell r="F1117">
            <v>7</v>
          </cell>
          <cell r="L1117" t="str">
            <v>44147-10</v>
          </cell>
        </row>
        <row r="1118">
          <cell r="E1118" t="str">
            <v>D2020/02045</v>
          </cell>
          <cell r="F1118">
            <v>24</v>
          </cell>
          <cell r="L1118" t="str">
            <v>44148-10</v>
          </cell>
        </row>
        <row r="1119">
          <cell r="E1119" t="str">
            <v>D2020/02045</v>
          </cell>
          <cell r="F1119">
            <v>5</v>
          </cell>
          <cell r="L1119" t="str">
            <v>44148-10</v>
          </cell>
        </row>
        <row r="1120">
          <cell r="E1120" t="str">
            <v>D2020/02045</v>
          </cell>
          <cell r="F1120">
            <v>2</v>
          </cell>
          <cell r="L1120" t="str">
            <v>44148-10</v>
          </cell>
        </row>
        <row r="1121">
          <cell r="E1121" t="str">
            <v>D2020/02045</v>
          </cell>
          <cell r="F1121">
            <v>9</v>
          </cell>
          <cell r="L1121" t="str">
            <v>44148-10</v>
          </cell>
        </row>
        <row r="1122">
          <cell r="E1122" t="str">
            <v>D2020/02045</v>
          </cell>
          <cell r="F1122">
            <v>13</v>
          </cell>
          <cell r="L1122" t="str">
            <v>44148-10</v>
          </cell>
        </row>
        <row r="1123">
          <cell r="E1123" t="str">
            <v>D2020/02045</v>
          </cell>
          <cell r="F1123">
            <v>17</v>
          </cell>
          <cell r="L1123" t="str">
            <v>44148-10</v>
          </cell>
        </row>
        <row r="1124">
          <cell r="E1124" t="str">
            <v>D2020/02045</v>
          </cell>
          <cell r="F1124">
            <v>29</v>
          </cell>
          <cell r="L1124" t="str">
            <v>44148-10</v>
          </cell>
        </row>
        <row r="1125">
          <cell r="E1125" t="str">
            <v>D2020/02045</v>
          </cell>
          <cell r="F1125">
            <v>30</v>
          </cell>
          <cell r="L1125" t="str">
            <v>44148-10</v>
          </cell>
        </row>
        <row r="1126">
          <cell r="E1126" t="str">
            <v>D2020/02045</v>
          </cell>
          <cell r="F1126">
            <v>21</v>
          </cell>
          <cell r="L1126" t="str">
            <v>44148-10</v>
          </cell>
        </row>
        <row r="1127">
          <cell r="E1127" t="str">
            <v>D2020/02045</v>
          </cell>
          <cell r="F1127">
            <v>33</v>
          </cell>
          <cell r="L1127" t="str">
            <v>44148-10</v>
          </cell>
        </row>
        <row r="1128">
          <cell r="E1128" t="str">
            <v>D2020/01747</v>
          </cell>
          <cell r="F1128">
            <v>95</v>
          </cell>
          <cell r="L1128" t="str">
            <v>44148-13</v>
          </cell>
        </row>
        <row r="1129">
          <cell r="E1129" t="str">
            <v>D2020/01747</v>
          </cell>
          <cell r="F1129">
            <v>21</v>
          </cell>
          <cell r="L1129" t="str">
            <v>44151-10</v>
          </cell>
        </row>
        <row r="1130">
          <cell r="E1130" t="str">
            <v>D2020/01747</v>
          </cell>
          <cell r="F1130">
            <v>51</v>
          </cell>
          <cell r="L1130" t="str">
            <v>44151-10</v>
          </cell>
        </row>
        <row r="1131">
          <cell r="E1131" t="str">
            <v>D2020/01747</v>
          </cell>
          <cell r="F1131">
            <v>36</v>
          </cell>
          <cell r="L1131" t="str">
            <v>44151-10</v>
          </cell>
        </row>
        <row r="1132">
          <cell r="E1132" t="str">
            <v>D2020/01747</v>
          </cell>
          <cell r="F1132">
            <v>100</v>
          </cell>
          <cell r="L1132" t="str">
            <v>44151-10</v>
          </cell>
        </row>
        <row r="1133">
          <cell r="E1133" t="str">
            <v>D2020/01747</v>
          </cell>
          <cell r="F1133">
            <v>75</v>
          </cell>
          <cell r="L1133" t="str">
            <v>44151-10</v>
          </cell>
        </row>
        <row r="1134">
          <cell r="E1134" t="str">
            <v>D2020/01747</v>
          </cell>
          <cell r="F1134">
            <v>79</v>
          </cell>
          <cell r="L1134" t="str">
            <v>44151-10</v>
          </cell>
        </row>
        <row r="1135">
          <cell r="E1135" t="str">
            <v>D2020/01747</v>
          </cell>
          <cell r="F1135">
            <v>16</v>
          </cell>
          <cell r="L1135" t="str">
            <v>44151-10</v>
          </cell>
        </row>
        <row r="1136">
          <cell r="E1136" t="str">
            <v>D2020/01747</v>
          </cell>
          <cell r="F1136">
            <v>53</v>
          </cell>
          <cell r="L1136" t="str">
            <v>44151-10</v>
          </cell>
        </row>
        <row r="1137">
          <cell r="E1137" t="str">
            <v>D2020/02045</v>
          </cell>
          <cell r="F1137">
            <v>25</v>
          </cell>
          <cell r="L1137" t="str">
            <v>44151-13</v>
          </cell>
        </row>
        <row r="1138">
          <cell r="E1138" t="str">
            <v>D2020/02045</v>
          </cell>
          <cell r="F1138">
            <v>3</v>
          </cell>
          <cell r="L1138" t="str">
            <v>44151-13</v>
          </cell>
        </row>
        <row r="1139">
          <cell r="E1139" t="str">
            <v>D2020/02045</v>
          </cell>
          <cell r="F1139">
            <v>3</v>
          </cell>
          <cell r="L1139" t="str">
            <v>44151-13</v>
          </cell>
        </row>
        <row r="1140">
          <cell r="E1140" t="str">
            <v>D2020/02045</v>
          </cell>
          <cell r="F1140">
            <v>5</v>
          </cell>
          <cell r="L1140" t="str">
            <v>44151-13</v>
          </cell>
        </row>
        <row r="1141">
          <cell r="E1141" t="str">
            <v>D2020/02045</v>
          </cell>
          <cell r="F1141">
            <v>22</v>
          </cell>
          <cell r="L1141" t="str">
            <v>44151-13</v>
          </cell>
        </row>
        <row r="1142">
          <cell r="E1142" t="str">
            <v>D2020/02045</v>
          </cell>
          <cell r="F1142">
            <v>14</v>
          </cell>
          <cell r="L1142" t="str">
            <v>44151-13</v>
          </cell>
        </row>
        <row r="1143">
          <cell r="E1143" t="str">
            <v>D2020/02045</v>
          </cell>
          <cell r="F1143">
            <v>31</v>
          </cell>
          <cell r="L1143" t="str">
            <v>44151-13</v>
          </cell>
        </row>
        <row r="1144">
          <cell r="E1144" t="str">
            <v>D2020/02045</v>
          </cell>
          <cell r="F1144">
            <v>28</v>
          </cell>
          <cell r="L1144" t="str">
            <v>44151-13</v>
          </cell>
        </row>
        <row r="1145">
          <cell r="E1145" t="str">
            <v>D2020/02045</v>
          </cell>
          <cell r="F1145">
            <v>13</v>
          </cell>
          <cell r="L1145" t="str">
            <v>44151-13</v>
          </cell>
        </row>
        <row r="1146">
          <cell r="E1146" t="str">
            <v>D2020/02045</v>
          </cell>
          <cell r="F1146">
            <v>36</v>
          </cell>
          <cell r="L1146" t="str">
            <v>44151-13</v>
          </cell>
        </row>
        <row r="1147">
          <cell r="E1147" t="str">
            <v>D2020/02045</v>
          </cell>
          <cell r="F1147">
            <v>10</v>
          </cell>
          <cell r="L1147" t="str">
            <v>44151-13</v>
          </cell>
        </row>
        <row r="1148">
          <cell r="E1148" t="str">
            <v>D2020/02045</v>
          </cell>
          <cell r="F1148">
            <v>19</v>
          </cell>
          <cell r="L1148" t="str">
            <v>44151-13</v>
          </cell>
        </row>
        <row r="1149">
          <cell r="E1149" t="str">
            <v>D2020/02045</v>
          </cell>
          <cell r="F1149">
            <v>22</v>
          </cell>
          <cell r="L1149" t="str">
            <v>44151-13</v>
          </cell>
        </row>
        <row r="1150">
          <cell r="E1150" t="str">
            <v>D2020/02046</v>
          </cell>
          <cell r="F1150">
            <v>50</v>
          </cell>
          <cell r="L1150" t="str">
            <v>44151-4</v>
          </cell>
        </row>
        <row r="1151">
          <cell r="E1151" t="str">
            <v>D2020/01745</v>
          </cell>
          <cell r="F1151">
            <v>186</v>
          </cell>
          <cell r="L1151" t="str">
            <v>44152-14</v>
          </cell>
        </row>
        <row r="1152">
          <cell r="E1152" t="str">
            <v>D2020/01745</v>
          </cell>
          <cell r="F1152">
            <v>77</v>
          </cell>
          <cell r="L1152" t="str">
            <v>44152-14</v>
          </cell>
        </row>
        <row r="1153">
          <cell r="E1153" t="str">
            <v>D2020/01745</v>
          </cell>
          <cell r="F1153">
            <v>62</v>
          </cell>
          <cell r="L1153" t="str">
            <v>44152-14</v>
          </cell>
        </row>
        <row r="1154">
          <cell r="E1154" t="str">
            <v>D2020/01745</v>
          </cell>
          <cell r="F1154">
            <v>34</v>
          </cell>
          <cell r="L1154" t="str">
            <v>44152-14</v>
          </cell>
        </row>
        <row r="1155">
          <cell r="E1155" t="str">
            <v>D2020/01891</v>
          </cell>
          <cell r="F1155">
            <v>74</v>
          </cell>
          <cell r="L1155" t="str">
            <v>44152-10</v>
          </cell>
        </row>
        <row r="1156">
          <cell r="E1156" t="str">
            <v>D2020/01891</v>
          </cell>
          <cell r="F1156">
            <v>22</v>
          </cell>
          <cell r="L1156" t="str">
            <v>44152-10</v>
          </cell>
        </row>
        <row r="1157">
          <cell r="E1157" t="str">
            <v>D2020/01891</v>
          </cell>
          <cell r="F1157">
            <v>9</v>
          </cell>
          <cell r="L1157" t="str">
            <v>44152-10</v>
          </cell>
        </row>
        <row r="1158">
          <cell r="E1158" t="str">
            <v>D2020/01891</v>
          </cell>
          <cell r="F1158">
            <v>14</v>
          </cell>
          <cell r="L1158" t="str">
            <v>44152-10</v>
          </cell>
        </row>
        <row r="1159">
          <cell r="E1159" t="str">
            <v>D2020/01891</v>
          </cell>
          <cell r="F1159">
            <v>43</v>
          </cell>
          <cell r="L1159" t="str">
            <v>44152-10</v>
          </cell>
        </row>
        <row r="1160">
          <cell r="E1160" t="str">
            <v>D2020/01745</v>
          </cell>
          <cell r="F1160">
            <v>44</v>
          </cell>
          <cell r="L1160" t="str">
            <v>44153-14</v>
          </cell>
        </row>
        <row r="1161">
          <cell r="E1161" t="str">
            <v>D2020/01745</v>
          </cell>
          <cell r="F1161">
            <v>65</v>
          </cell>
          <cell r="L1161" t="str">
            <v>44153-14</v>
          </cell>
        </row>
        <row r="1162">
          <cell r="E1162" t="str">
            <v>D2020/01745</v>
          </cell>
          <cell r="F1162">
            <v>67</v>
          </cell>
          <cell r="L1162" t="str">
            <v>44153-14</v>
          </cell>
        </row>
        <row r="1163">
          <cell r="E1163" t="str">
            <v>D2020/01745</v>
          </cell>
          <cell r="F1163">
            <v>55</v>
          </cell>
          <cell r="L1163" t="str">
            <v>44153-14</v>
          </cell>
        </row>
        <row r="1164">
          <cell r="E1164" t="str">
            <v>D2020/01745</v>
          </cell>
          <cell r="F1164">
            <v>17</v>
          </cell>
          <cell r="L1164" t="str">
            <v>44153-14</v>
          </cell>
        </row>
        <row r="1165">
          <cell r="E1165" t="str">
            <v>D2020/01745</v>
          </cell>
          <cell r="F1165">
            <v>45</v>
          </cell>
          <cell r="L1165" t="str">
            <v>44153-14</v>
          </cell>
        </row>
        <row r="1166">
          <cell r="E1166" t="str">
            <v>D2020/01745</v>
          </cell>
          <cell r="F1166">
            <v>5</v>
          </cell>
          <cell r="L1166" t="str">
            <v>44153-14</v>
          </cell>
        </row>
        <row r="1167">
          <cell r="E1167" t="str">
            <v>D2020/01891</v>
          </cell>
          <cell r="F1167">
            <v>14</v>
          </cell>
          <cell r="L1167" t="str">
            <v>44153-10</v>
          </cell>
        </row>
        <row r="1168">
          <cell r="E1168" t="str">
            <v>D2020/01891</v>
          </cell>
          <cell r="F1168">
            <v>20</v>
          </cell>
          <cell r="L1168" t="str">
            <v>44153-10</v>
          </cell>
        </row>
        <row r="1169">
          <cell r="E1169" t="str">
            <v>D2020/01891</v>
          </cell>
          <cell r="F1169">
            <v>19</v>
          </cell>
          <cell r="L1169" t="str">
            <v>44153-10</v>
          </cell>
        </row>
        <row r="1170">
          <cell r="E1170" t="str">
            <v>D2020/01891</v>
          </cell>
          <cell r="F1170">
            <v>24</v>
          </cell>
          <cell r="L1170" t="str">
            <v>44153-10</v>
          </cell>
        </row>
        <row r="1171">
          <cell r="E1171" t="str">
            <v>D2020/01891</v>
          </cell>
          <cell r="F1171">
            <v>52</v>
          </cell>
          <cell r="L1171" t="str">
            <v>44153-10</v>
          </cell>
        </row>
        <row r="1172">
          <cell r="E1172" t="str">
            <v>D2020/01891</v>
          </cell>
          <cell r="F1172">
            <v>19</v>
          </cell>
          <cell r="L1172" t="str">
            <v>44153-10</v>
          </cell>
        </row>
        <row r="1173">
          <cell r="E1173" t="str">
            <v>D2020/01891</v>
          </cell>
          <cell r="F1173">
            <v>21</v>
          </cell>
          <cell r="L1173" t="str">
            <v>44154-10</v>
          </cell>
        </row>
        <row r="1174">
          <cell r="E1174" t="str">
            <v>D2020/01891</v>
          </cell>
          <cell r="F1174">
            <v>8</v>
          </cell>
          <cell r="L1174" t="str">
            <v>44154-10</v>
          </cell>
        </row>
        <row r="1175">
          <cell r="E1175" t="str">
            <v>D2020/01891</v>
          </cell>
          <cell r="F1175">
            <v>18</v>
          </cell>
          <cell r="L1175" t="str">
            <v>44154-10</v>
          </cell>
        </row>
        <row r="1176">
          <cell r="E1176" t="str">
            <v>D2020/01891</v>
          </cell>
          <cell r="F1176">
            <v>7</v>
          </cell>
          <cell r="L1176" t="str">
            <v>44154-10</v>
          </cell>
        </row>
        <row r="1177">
          <cell r="E1177" t="str">
            <v>D2020/02032</v>
          </cell>
          <cell r="F1177">
            <v>16</v>
          </cell>
          <cell r="L1177" t="str">
            <v>44154-10</v>
          </cell>
        </row>
        <row r="1178">
          <cell r="E1178" t="str">
            <v>D2020/02032</v>
          </cell>
          <cell r="F1178">
            <v>20</v>
          </cell>
          <cell r="L1178" t="str">
            <v>44154-10</v>
          </cell>
        </row>
        <row r="1179">
          <cell r="E1179" t="str">
            <v>D2020/02032</v>
          </cell>
          <cell r="F1179">
            <v>40</v>
          </cell>
          <cell r="L1179" t="str">
            <v>44154-10</v>
          </cell>
        </row>
        <row r="1180">
          <cell r="E1180" t="str">
            <v>D2020/02032</v>
          </cell>
          <cell r="F1180">
            <v>20</v>
          </cell>
          <cell r="L1180" t="str">
            <v>44154-10</v>
          </cell>
        </row>
        <row r="1181">
          <cell r="E1181" t="str">
            <v>D2020/02031</v>
          </cell>
          <cell r="F1181">
            <v>5</v>
          </cell>
          <cell r="L1181" t="str">
            <v>44154-10</v>
          </cell>
        </row>
        <row r="1182">
          <cell r="E1182" t="str">
            <v>D2020/01745</v>
          </cell>
          <cell r="F1182">
            <v>11</v>
          </cell>
          <cell r="L1182" t="str">
            <v>44154-14</v>
          </cell>
        </row>
        <row r="1183">
          <cell r="E1183" t="str">
            <v>D2020/01745</v>
          </cell>
          <cell r="F1183">
            <v>53</v>
          </cell>
          <cell r="L1183" t="str">
            <v>44154-14</v>
          </cell>
        </row>
        <row r="1184">
          <cell r="E1184" t="str">
            <v>D2020/01745</v>
          </cell>
          <cell r="F1184">
            <v>6</v>
          </cell>
          <cell r="L1184" t="str">
            <v>44154-14</v>
          </cell>
        </row>
        <row r="1185">
          <cell r="E1185" t="str">
            <v>D2020/01745</v>
          </cell>
          <cell r="F1185">
            <v>17</v>
          </cell>
          <cell r="L1185" t="str">
            <v>44154-14</v>
          </cell>
        </row>
        <row r="1186">
          <cell r="E1186" t="str">
            <v>D2020/01745</v>
          </cell>
          <cell r="F1186">
            <v>4</v>
          </cell>
          <cell r="L1186" t="str">
            <v>44154-14</v>
          </cell>
        </row>
        <row r="1187">
          <cell r="E1187" t="str">
            <v>D2020/01745</v>
          </cell>
          <cell r="F1187">
            <v>23</v>
          </cell>
          <cell r="L1187" t="str">
            <v>44154-14</v>
          </cell>
        </row>
        <row r="1188">
          <cell r="E1188" t="str">
            <v>D2020/01745</v>
          </cell>
          <cell r="F1188">
            <v>47</v>
          </cell>
          <cell r="L1188" t="str">
            <v>44154-14</v>
          </cell>
        </row>
        <row r="1189">
          <cell r="E1189" t="str">
            <v>D2020/02031</v>
          </cell>
          <cell r="F1189">
            <v>26</v>
          </cell>
          <cell r="L1189" t="str">
            <v>44155-10</v>
          </cell>
        </row>
        <row r="1190">
          <cell r="E1190" t="str">
            <v>D2020/02031</v>
          </cell>
          <cell r="F1190">
            <v>13</v>
          </cell>
          <cell r="L1190" t="str">
            <v>44155-10</v>
          </cell>
        </row>
        <row r="1191">
          <cell r="E1191" t="str">
            <v>D2020/02031</v>
          </cell>
          <cell r="F1191">
            <v>20</v>
          </cell>
          <cell r="L1191" t="str">
            <v>44155-10</v>
          </cell>
        </row>
        <row r="1192">
          <cell r="E1192" t="str">
            <v>D2020/02031</v>
          </cell>
          <cell r="F1192">
            <v>7</v>
          </cell>
          <cell r="L1192" t="str">
            <v>44155-10</v>
          </cell>
        </row>
        <row r="1193">
          <cell r="E1193" t="str">
            <v>D2020/02031</v>
          </cell>
          <cell r="F1193">
            <v>7</v>
          </cell>
          <cell r="L1193" t="str">
            <v>44155-10</v>
          </cell>
        </row>
        <row r="1194">
          <cell r="E1194" t="str">
            <v>D2020/02034</v>
          </cell>
          <cell r="F1194">
            <v>14</v>
          </cell>
          <cell r="L1194" t="str">
            <v>44155-10</v>
          </cell>
        </row>
        <row r="1195">
          <cell r="E1195" t="str">
            <v>D2020/02034</v>
          </cell>
          <cell r="F1195">
            <v>7</v>
          </cell>
          <cell r="L1195" t="str">
            <v>44155-10</v>
          </cell>
        </row>
        <row r="1196">
          <cell r="E1196" t="str">
            <v>D2020/02034</v>
          </cell>
          <cell r="F1196">
            <v>13</v>
          </cell>
          <cell r="L1196" t="str">
            <v>44155-10</v>
          </cell>
        </row>
        <row r="1197">
          <cell r="E1197" t="str">
            <v>D2020/02034</v>
          </cell>
          <cell r="F1197">
            <v>4</v>
          </cell>
          <cell r="L1197" t="str">
            <v>44155-10</v>
          </cell>
        </row>
        <row r="1198">
          <cell r="E1198" t="str">
            <v>D2020/02034</v>
          </cell>
          <cell r="F1198">
            <v>45</v>
          </cell>
          <cell r="L1198" t="str">
            <v>44155-10</v>
          </cell>
        </row>
        <row r="1199">
          <cell r="E1199" t="str">
            <v>D2020/01745</v>
          </cell>
          <cell r="F1199">
            <v>24</v>
          </cell>
          <cell r="L1199" t="str">
            <v>44155-14</v>
          </cell>
        </row>
        <row r="1200">
          <cell r="E1200" t="str">
            <v>D2020/01745</v>
          </cell>
          <cell r="F1200">
            <v>11</v>
          </cell>
          <cell r="L1200" t="str">
            <v>44155-14</v>
          </cell>
        </row>
        <row r="1201">
          <cell r="E1201" t="str">
            <v>D2020/01745</v>
          </cell>
          <cell r="F1201">
            <v>11</v>
          </cell>
          <cell r="L1201" t="str">
            <v>44155-14</v>
          </cell>
        </row>
        <row r="1202">
          <cell r="E1202" t="str">
            <v>D2020/01745</v>
          </cell>
          <cell r="F1202">
            <v>85</v>
          </cell>
          <cell r="L1202" t="str">
            <v>44155-14</v>
          </cell>
        </row>
        <row r="1203">
          <cell r="E1203" t="str">
            <v>D2020/01745</v>
          </cell>
          <cell r="F1203">
            <v>12</v>
          </cell>
          <cell r="L1203" t="str">
            <v>44155-14</v>
          </cell>
        </row>
        <row r="1204">
          <cell r="E1204" t="str">
            <v>D2020/01745</v>
          </cell>
          <cell r="F1204">
            <v>37</v>
          </cell>
          <cell r="L1204" t="str">
            <v>44155-14</v>
          </cell>
        </row>
        <row r="1205">
          <cell r="E1205" t="str">
            <v>D2020/01745</v>
          </cell>
          <cell r="F1205">
            <v>10</v>
          </cell>
          <cell r="L1205" t="str">
            <v>44155-14</v>
          </cell>
        </row>
        <row r="1206">
          <cell r="E1206" t="str">
            <v>D2020/01745</v>
          </cell>
          <cell r="F1206">
            <v>23</v>
          </cell>
          <cell r="L1206" t="str">
            <v>44155-14</v>
          </cell>
        </row>
        <row r="1207">
          <cell r="E1207" t="str">
            <v>D2020/01745</v>
          </cell>
          <cell r="F1207">
            <v>11</v>
          </cell>
          <cell r="L1207" t="str">
            <v>44155-14</v>
          </cell>
        </row>
        <row r="1208">
          <cell r="E1208" t="str">
            <v>D2020/01745</v>
          </cell>
          <cell r="F1208">
            <v>43</v>
          </cell>
          <cell r="L1208" t="str">
            <v>44155-14</v>
          </cell>
        </row>
        <row r="1209">
          <cell r="E1209" t="str">
            <v>D2020/01745</v>
          </cell>
          <cell r="F1209">
            <v>6</v>
          </cell>
          <cell r="L1209" t="str">
            <v>44155-14</v>
          </cell>
        </row>
        <row r="1210">
          <cell r="E1210" t="str">
            <v>D2020/01745</v>
          </cell>
          <cell r="F1210">
            <v>19</v>
          </cell>
          <cell r="L1210" t="str">
            <v>44155-14</v>
          </cell>
        </row>
        <row r="1211">
          <cell r="E1211" t="str">
            <v>D2020/01745</v>
          </cell>
          <cell r="F1211">
            <v>15</v>
          </cell>
          <cell r="L1211" t="str">
            <v>44158-13</v>
          </cell>
        </row>
        <row r="1212">
          <cell r="E1212" t="str">
            <v>D2020/01745</v>
          </cell>
          <cell r="F1212">
            <v>27</v>
          </cell>
          <cell r="L1212" t="str">
            <v>44158-13</v>
          </cell>
        </row>
        <row r="1213">
          <cell r="E1213" t="str">
            <v>D2020/01745</v>
          </cell>
          <cell r="F1213">
            <v>11</v>
          </cell>
          <cell r="L1213" t="str">
            <v>44158-13</v>
          </cell>
        </row>
        <row r="1214">
          <cell r="E1214" t="str">
            <v>D2020/01745</v>
          </cell>
          <cell r="F1214">
            <v>22</v>
          </cell>
          <cell r="L1214" t="str">
            <v>44158-13</v>
          </cell>
        </row>
        <row r="1215">
          <cell r="E1215" t="str">
            <v>D2020/01745</v>
          </cell>
          <cell r="F1215">
            <v>28</v>
          </cell>
          <cell r="L1215" t="str">
            <v>44158-13</v>
          </cell>
        </row>
        <row r="1216">
          <cell r="E1216" t="str">
            <v>D2020/01745</v>
          </cell>
          <cell r="F1216">
            <v>40</v>
          </cell>
          <cell r="L1216" t="str">
            <v>44158-13</v>
          </cell>
        </row>
        <row r="1217">
          <cell r="E1217" t="str">
            <v>D2020/01745</v>
          </cell>
          <cell r="F1217">
            <v>43</v>
          </cell>
          <cell r="L1217" t="str">
            <v>44158-13</v>
          </cell>
        </row>
        <row r="1218">
          <cell r="E1218" t="str">
            <v>D2020/01745</v>
          </cell>
          <cell r="F1218">
            <v>17</v>
          </cell>
          <cell r="L1218" t="str">
            <v>44158-13</v>
          </cell>
        </row>
        <row r="1219">
          <cell r="E1219" t="str">
            <v>D2020/01745</v>
          </cell>
          <cell r="F1219">
            <v>32</v>
          </cell>
          <cell r="L1219" t="str">
            <v>44158-13</v>
          </cell>
        </row>
        <row r="1220">
          <cell r="E1220" t="str">
            <v>D2020/01745</v>
          </cell>
          <cell r="F1220">
            <v>10</v>
          </cell>
          <cell r="L1220" t="str">
            <v>44158-13</v>
          </cell>
        </row>
        <row r="1221">
          <cell r="E1221" t="str">
            <v>D2020/01745</v>
          </cell>
          <cell r="F1221">
            <v>6</v>
          </cell>
          <cell r="L1221" t="str">
            <v>44158-13</v>
          </cell>
        </row>
        <row r="1222">
          <cell r="E1222" t="str">
            <v>D2020/02034</v>
          </cell>
          <cell r="F1222">
            <v>30</v>
          </cell>
          <cell r="L1222" t="str">
            <v>44158-14</v>
          </cell>
        </row>
        <row r="1223">
          <cell r="E1223" t="str">
            <v>D2020/02034</v>
          </cell>
          <cell r="F1223">
            <v>7</v>
          </cell>
          <cell r="L1223" t="str">
            <v>44158-14</v>
          </cell>
        </row>
        <row r="1224">
          <cell r="E1224" t="str">
            <v>D2020/01695</v>
          </cell>
          <cell r="F1224">
            <v>108</v>
          </cell>
          <cell r="L1224" t="str">
            <v>44158-14</v>
          </cell>
        </row>
        <row r="1225">
          <cell r="E1225" t="str">
            <v>D2020/01695</v>
          </cell>
          <cell r="F1225">
            <v>28</v>
          </cell>
          <cell r="L1225" t="str">
            <v>44158-14</v>
          </cell>
        </row>
        <row r="1226">
          <cell r="E1226" t="str">
            <v>D2020/01695</v>
          </cell>
          <cell r="F1226">
            <v>30</v>
          </cell>
          <cell r="L1226" t="str">
            <v>44158-14</v>
          </cell>
        </row>
        <row r="1227">
          <cell r="E1227" t="str">
            <v>D2020/01695</v>
          </cell>
          <cell r="F1227">
            <v>37</v>
          </cell>
          <cell r="L1227" t="str">
            <v>44158-14</v>
          </cell>
        </row>
        <row r="1228">
          <cell r="E1228" t="str">
            <v>D2020/01695</v>
          </cell>
          <cell r="F1228">
            <v>7</v>
          </cell>
          <cell r="L1228" t="str">
            <v>44158-14</v>
          </cell>
        </row>
        <row r="1229">
          <cell r="E1229" t="str">
            <v>D2020/01745</v>
          </cell>
          <cell r="F1229">
            <v>23</v>
          </cell>
          <cell r="L1229" t="str">
            <v>44159-13</v>
          </cell>
        </row>
        <row r="1230">
          <cell r="E1230" t="str">
            <v>D2020/01745</v>
          </cell>
          <cell r="F1230">
            <v>75</v>
          </cell>
          <cell r="L1230" t="str">
            <v>44159-13</v>
          </cell>
        </row>
        <row r="1231">
          <cell r="E1231" t="str">
            <v>D2020/01745</v>
          </cell>
          <cell r="F1231">
            <v>11</v>
          </cell>
          <cell r="L1231" t="str">
            <v>44159-13</v>
          </cell>
        </row>
        <row r="1232">
          <cell r="E1232" t="str">
            <v>D2020/01745</v>
          </cell>
          <cell r="F1232">
            <v>11</v>
          </cell>
          <cell r="L1232" t="str">
            <v>44159-13</v>
          </cell>
        </row>
        <row r="1233">
          <cell r="E1233" t="str">
            <v>D2020/01745</v>
          </cell>
          <cell r="F1233">
            <v>45</v>
          </cell>
          <cell r="L1233" t="str">
            <v>44159-13</v>
          </cell>
        </row>
        <row r="1234">
          <cell r="E1234" t="str">
            <v>D2020/01745</v>
          </cell>
          <cell r="F1234">
            <v>14</v>
          </cell>
          <cell r="L1234" t="str">
            <v>44159-13</v>
          </cell>
        </row>
        <row r="1235">
          <cell r="E1235" t="str">
            <v>D2020/01745</v>
          </cell>
          <cell r="F1235">
            <v>12</v>
          </cell>
          <cell r="L1235" t="str">
            <v>44159-13</v>
          </cell>
        </row>
        <row r="1236">
          <cell r="E1236" t="str">
            <v>D2020/01745</v>
          </cell>
          <cell r="F1236">
            <v>11</v>
          </cell>
          <cell r="L1236" t="str">
            <v>44159-13</v>
          </cell>
        </row>
        <row r="1237">
          <cell r="E1237" t="str">
            <v>D2020/01745</v>
          </cell>
          <cell r="F1237">
            <v>11</v>
          </cell>
          <cell r="L1237" t="str">
            <v>44159-13</v>
          </cell>
        </row>
        <row r="1238">
          <cell r="E1238" t="str">
            <v>D2020/01695</v>
          </cell>
          <cell r="F1238">
            <v>51</v>
          </cell>
          <cell r="L1238" t="str">
            <v>44159-14</v>
          </cell>
        </row>
        <row r="1239">
          <cell r="E1239" t="str">
            <v>D2020/01695</v>
          </cell>
          <cell r="F1239">
            <v>7</v>
          </cell>
          <cell r="L1239" t="str">
            <v>44159-14</v>
          </cell>
        </row>
        <row r="1240">
          <cell r="E1240" t="str">
            <v>D2020/01695</v>
          </cell>
          <cell r="F1240">
            <v>76</v>
          </cell>
          <cell r="L1240" t="str">
            <v>44159-14</v>
          </cell>
        </row>
        <row r="1241">
          <cell r="E1241" t="str">
            <v>D2020/01695</v>
          </cell>
          <cell r="F1241">
            <v>31</v>
          </cell>
          <cell r="L1241" t="str">
            <v>44159-14</v>
          </cell>
        </row>
        <row r="1242">
          <cell r="E1242" t="str">
            <v>D2020/01695</v>
          </cell>
          <cell r="F1242">
            <v>24</v>
          </cell>
          <cell r="L1242" t="str">
            <v>44159-14</v>
          </cell>
        </row>
        <row r="1243">
          <cell r="E1243" t="str">
            <v>D2020/01695</v>
          </cell>
          <cell r="F1243">
            <v>97</v>
          </cell>
          <cell r="L1243" t="str">
            <v>44159-14</v>
          </cell>
        </row>
        <row r="1244">
          <cell r="E1244" t="str">
            <v>D2020/01695</v>
          </cell>
          <cell r="F1244">
            <v>23</v>
          </cell>
          <cell r="L1244" t="str">
            <v>44159-14</v>
          </cell>
        </row>
        <row r="1245">
          <cell r="E1245" t="str">
            <v>D2020/01695</v>
          </cell>
          <cell r="F1245">
            <v>51</v>
          </cell>
          <cell r="L1245" t="str">
            <v>44159-14</v>
          </cell>
        </row>
        <row r="1246">
          <cell r="E1246" t="str">
            <v>D2020/01695</v>
          </cell>
          <cell r="F1246">
            <v>18</v>
          </cell>
          <cell r="L1246" t="str">
            <v>44159-14</v>
          </cell>
        </row>
        <row r="1247">
          <cell r="E1247" t="str">
            <v>D2020/01695</v>
          </cell>
          <cell r="F1247">
            <v>13</v>
          </cell>
          <cell r="L1247" t="str">
            <v>44159-14</v>
          </cell>
        </row>
        <row r="1248">
          <cell r="E1248" t="str">
            <v>D2020/01745</v>
          </cell>
          <cell r="F1248">
            <v>39</v>
          </cell>
          <cell r="L1248" t="str">
            <v>44160-13</v>
          </cell>
        </row>
        <row r="1249">
          <cell r="E1249" t="str">
            <v>D2020/01745</v>
          </cell>
          <cell r="F1249">
            <v>4</v>
          </cell>
          <cell r="L1249" t="str">
            <v>44160-13</v>
          </cell>
        </row>
        <row r="1250">
          <cell r="E1250" t="str">
            <v>D2020/01745</v>
          </cell>
          <cell r="F1250">
            <v>24</v>
          </cell>
          <cell r="L1250" t="str">
            <v>44160-13</v>
          </cell>
        </row>
        <row r="1251">
          <cell r="E1251" t="str">
            <v>D2020/01695</v>
          </cell>
          <cell r="F1251">
            <v>82</v>
          </cell>
          <cell r="L1251" t="str">
            <v>44160-14</v>
          </cell>
        </row>
        <row r="1252">
          <cell r="E1252" t="str">
            <v>D2020/01695</v>
          </cell>
          <cell r="F1252">
            <v>40</v>
          </cell>
          <cell r="L1252" t="str">
            <v>44160-14</v>
          </cell>
        </row>
        <row r="1253">
          <cell r="E1253" t="str">
            <v>D2020/01695</v>
          </cell>
          <cell r="F1253">
            <v>54</v>
          </cell>
          <cell r="L1253" t="str">
            <v>44160-14</v>
          </cell>
        </row>
        <row r="1254">
          <cell r="E1254" t="str">
            <v>D2020/01695</v>
          </cell>
          <cell r="F1254">
            <v>32</v>
          </cell>
          <cell r="L1254" t="str">
            <v>44160-14</v>
          </cell>
        </row>
        <row r="1255">
          <cell r="E1255" t="str">
            <v>D2020/01695</v>
          </cell>
          <cell r="F1255">
            <v>283</v>
          </cell>
          <cell r="L1255" t="str">
            <v>44160-14</v>
          </cell>
        </row>
        <row r="1256">
          <cell r="E1256" t="str">
            <v>D2020/01695</v>
          </cell>
          <cell r="F1256">
            <v>204</v>
          </cell>
          <cell r="L1256" t="str">
            <v>44160-14</v>
          </cell>
        </row>
        <row r="1257">
          <cell r="E1257" t="str">
            <v>D2020/01745</v>
          </cell>
          <cell r="F1257">
            <v>38</v>
          </cell>
          <cell r="L1257" t="str">
            <v>44165-10</v>
          </cell>
        </row>
        <row r="1258">
          <cell r="E1258" t="str">
            <v>D2020/01745</v>
          </cell>
          <cell r="F1258">
            <v>28</v>
          </cell>
          <cell r="L1258" t="str">
            <v>44165-10</v>
          </cell>
        </row>
        <row r="1259">
          <cell r="E1259" t="str">
            <v>D2020/01745</v>
          </cell>
          <cell r="F1259">
            <v>24</v>
          </cell>
          <cell r="L1259" t="str">
            <v>44165-10</v>
          </cell>
        </row>
        <row r="1260">
          <cell r="E1260" t="str">
            <v>D2020/01745</v>
          </cell>
          <cell r="F1260">
            <v>34</v>
          </cell>
          <cell r="L1260" t="str">
            <v>44165-10</v>
          </cell>
        </row>
        <row r="1261">
          <cell r="E1261" t="str">
            <v>D2020/01745</v>
          </cell>
          <cell r="F1261">
            <v>13</v>
          </cell>
          <cell r="L1261" t="str">
            <v>44165-10</v>
          </cell>
        </row>
        <row r="1262">
          <cell r="E1262" t="str">
            <v>D2020/01745</v>
          </cell>
          <cell r="F1262">
            <v>22</v>
          </cell>
          <cell r="L1262" t="str">
            <v>44165-10</v>
          </cell>
        </row>
        <row r="1263">
          <cell r="E1263" t="str">
            <v>D2020/01745</v>
          </cell>
          <cell r="F1263">
            <v>8</v>
          </cell>
          <cell r="L1263" t="str">
            <v>44165-10</v>
          </cell>
        </row>
        <row r="1264">
          <cell r="E1264" t="str">
            <v>D2020/01695</v>
          </cell>
          <cell r="F1264">
            <v>73</v>
          </cell>
          <cell r="L1264" t="str">
            <v>44165-14</v>
          </cell>
        </row>
        <row r="1265">
          <cell r="E1265" t="str">
            <v>D2020/01695</v>
          </cell>
          <cell r="F1265">
            <v>117</v>
          </cell>
          <cell r="L1265" t="str">
            <v>44165-14</v>
          </cell>
        </row>
        <row r="1266">
          <cell r="E1266" t="str">
            <v>D2020/01695</v>
          </cell>
          <cell r="F1266">
            <v>69</v>
          </cell>
          <cell r="L1266" t="str">
            <v>44165-14</v>
          </cell>
        </row>
        <row r="1267">
          <cell r="E1267" t="str">
            <v>D2020/01695</v>
          </cell>
          <cell r="F1267">
            <v>126</v>
          </cell>
          <cell r="L1267" t="str">
            <v>44165-14</v>
          </cell>
        </row>
        <row r="1268">
          <cell r="E1268" t="str">
            <v>D2020/01745</v>
          </cell>
          <cell r="F1268">
            <v>52</v>
          </cell>
          <cell r="L1268" t="str">
            <v>44166-10</v>
          </cell>
        </row>
        <row r="1269">
          <cell r="E1269" t="str">
            <v>D2020/01745</v>
          </cell>
          <cell r="F1269">
            <v>43</v>
          </cell>
          <cell r="L1269" t="str">
            <v>44166-10</v>
          </cell>
        </row>
        <row r="1270">
          <cell r="E1270" t="str">
            <v>D2020/01745</v>
          </cell>
          <cell r="F1270">
            <v>81</v>
          </cell>
          <cell r="L1270" t="str">
            <v>44166-10</v>
          </cell>
        </row>
        <row r="1271">
          <cell r="E1271" t="str">
            <v>D2020/01695</v>
          </cell>
          <cell r="F1271">
            <v>214</v>
          </cell>
          <cell r="L1271" t="str">
            <v>44166-13</v>
          </cell>
        </row>
        <row r="1272">
          <cell r="E1272" t="str">
            <v>D2020/01695</v>
          </cell>
          <cell r="F1272">
            <v>313</v>
          </cell>
          <cell r="L1272" t="str">
            <v>44166-13</v>
          </cell>
        </row>
        <row r="1273">
          <cell r="E1273" t="str">
            <v>D2020/01695</v>
          </cell>
          <cell r="F1273">
            <v>465</v>
          </cell>
          <cell r="L1273" t="str">
            <v>44166-13</v>
          </cell>
        </row>
        <row r="1274">
          <cell r="E1274" t="str">
            <v>D2020/01695</v>
          </cell>
          <cell r="F1274">
            <v>14</v>
          </cell>
          <cell r="L1274" t="str">
            <v>44166-13</v>
          </cell>
        </row>
        <row r="1275">
          <cell r="E1275" t="str">
            <v>D2020/01695</v>
          </cell>
          <cell r="F1275">
            <v>32</v>
          </cell>
          <cell r="L1275" t="str">
            <v>44166-13</v>
          </cell>
        </row>
        <row r="1276">
          <cell r="E1276" t="str">
            <v>D2020/01695</v>
          </cell>
          <cell r="F1276">
            <v>24</v>
          </cell>
          <cell r="L1276" t="str">
            <v>44166-13</v>
          </cell>
        </row>
        <row r="1277">
          <cell r="E1277" t="str">
            <v>D2020/01745</v>
          </cell>
          <cell r="F1277">
            <v>25</v>
          </cell>
          <cell r="L1277" t="str">
            <v>44167-10</v>
          </cell>
        </row>
        <row r="1278">
          <cell r="E1278" t="str">
            <v>D2020/01745</v>
          </cell>
          <cell r="F1278">
            <v>7</v>
          </cell>
          <cell r="L1278" t="str">
            <v>44167-10</v>
          </cell>
        </row>
        <row r="1279">
          <cell r="E1279" t="str">
            <v>D2020/01745</v>
          </cell>
          <cell r="F1279">
            <v>8</v>
          </cell>
          <cell r="L1279" t="str">
            <v>44167-10</v>
          </cell>
        </row>
        <row r="1280">
          <cell r="E1280" t="str">
            <v>D2020/01695</v>
          </cell>
          <cell r="F1280">
            <v>158</v>
          </cell>
          <cell r="L1280" t="str">
            <v>44167-13</v>
          </cell>
        </row>
        <row r="1281">
          <cell r="E1281" t="str">
            <v>D2020/01695</v>
          </cell>
          <cell r="F1281">
            <v>147</v>
          </cell>
          <cell r="L1281" t="str">
            <v>44167-13</v>
          </cell>
        </row>
        <row r="1282">
          <cell r="E1282" t="str">
            <v>D2020/01695</v>
          </cell>
          <cell r="F1282">
            <v>53</v>
          </cell>
          <cell r="L1282" t="str">
            <v>44167-13</v>
          </cell>
        </row>
        <row r="1283">
          <cell r="E1283" t="str">
            <v>D2020/01695</v>
          </cell>
          <cell r="F1283">
            <v>9</v>
          </cell>
          <cell r="L1283" t="str">
            <v>44167-13</v>
          </cell>
        </row>
        <row r="1284">
          <cell r="E1284" t="str">
            <v>D2020/01745</v>
          </cell>
          <cell r="F1284">
            <v>7</v>
          </cell>
          <cell r="L1284" t="str">
            <v>44168-10</v>
          </cell>
        </row>
        <row r="1285">
          <cell r="E1285" t="str">
            <v>D2020/01745</v>
          </cell>
          <cell r="F1285">
            <v>28</v>
          </cell>
          <cell r="L1285" t="str">
            <v>44168-10</v>
          </cell>
        </row>
        <row r="1286">
          <cell r="E1286" t="str">
            <v>D2020/01745</v>
          </cell>
          <cell r="F1286">
            <v>10</v>
          </cell>
          <cell r="L1286" t="str">
            <v>44168-10</v>
          </cell>
        </row>
        <row r="1287">
          <cell r="E1287" t="str">
            <v>D2020/01745</v>
          </cell>
          <cell r="F1287">
            <v>23</v>
          </cell>
          <cell r="L1287" t="str">
            <v>44168-10</v>
          </cell>
        </row>
        <row r="1288">
          <cell r="E1288" t="str">
            <v>D2020/01695</v>
          </cell>
          <cell r="F1288">
            <v>85</v>
          </cell>
          <cell r="L1288" t="str">
            <v>44168-13</v>
          </cell>
        </row>
        <row r="1289">
          <cell r="E1289" t="str">
            <v>D2020/01695</v>
          </cell>
          <cell r="F1289">
            <v>315</v>
          </cell>
          <cell r="L1289" t="str">
            <v>44168-13</v>
          </cell>
        </row>
        <row r="1290">
          <cell r="E1290" t="str">
            <v>D2020/01695</v>
          </cell>
          <cell r="F1290">
            <v>566</v>
          </cell>
          <cell r="L1290" t="str">
            <v>44168-13</v>
          </cell>
        </row>
        <row r="1291">
          <cell r="E1291" t="str">
            <v>D2020/01695</v>
          </cell>
          <cell r="F1291">
            <v>45</v>
          </cell>
          <cell r="L1291" t="str">
            <v>44168-13</v>
          </cell>
        </row>
        <row r="1292">
          <cell r="E1292" t="str">
            <v>D2020/01745</v>
          </cell>
          <cell r="F1292">
            <v>18</v>
          </cell>
          <cell r="L1292" t="str">
            <v>44169-10</v>
          </cell>
        </row>
        <row r="1293">
          <cell r="E1293" t="str">
            <v>D2020/01745</v>
          </cell>
          <cell r="F1293">
            <v>11</v>
          </cell>
          <cell r="L1293" t="str">
            <v>44169-10</v>
          </cell>
        </row>
        <row r="1294">
          <cell r="E1294" t="str">
            <v>D2020/01745</v>
          </cell>
          <cell r="F1294">
            <v>47</v>
          </cell>
          <cell r="L1294" t="str">
            <v>44169-10</v>
          </cell>
        </row>
        <row r="1295">
          <cell r="E1295" t="str">
            <v>D2020/01695</v>
          </cell>
          <cell r="F1295">
            <v>131</v>
          </cell>
          <cell r="L1295" t="str">
            <v>44169-13</v>
          </cell>
        </row>
        <row r="1296">
          <cell r="E1296" t="str">
            <v>D2020/01745</v>
          </cell>
          <cell r="F1296">
            <v>24</v>
          </cell>
          <cell r="L1296" t="str">
            <v>44172-14</v>
          </cell>
        </row>
        <row r="1297">
          <cell r="E1297" t="str">
            <v>D2020/01745</v>
          </cell>
          <cell r="F1297">
            <v>37</v>
          </cell>
          <cell r="L1297" t="str">
            <v>44172-14</v>
          </cell>
        </row>
        <row r="1298">
          <cell r="E1298" t="str">
            <v>D2020/01745</v>
          </cell>
          <cell r="F1298">
            <v>7</v>
          </cell>
          <cell r="L1298" t="str">
            <v>44172-14</v>
          </cell>
        </row>
        <row r="1299">
          <cell r="E1299" t="str">
            <v>D2020/01695</v>
          </cell>
          <cell r="F1299">
            <v>154</v>
          </cell>
          <cell r="L1299" t="str">
            <v>44172-10</v>
          </cell>
        </row>
        <row r="1300">
          <cell r="E1300" t="str">
            <v>D2020/01695</v>
          </cell>
          <cell r="F1300">
            <v>18</v>
          </cell>
          <cell r="L1300" t="str">
            <v>44172-10</v>
          </cell>
        </row>
        <row r="1301">
          <cell r="E1301" t="str">
            <v>D2020/01745</v>
          </cell>
          <cell r="F1301">
            <v>27</v>
          </cell>
          <cell r="L1301" t="str">
            <v>44173-14</v>
          </cell>
        </row>
        <row r="1302">
          <cell r="E1302" t="str">
            <v>D2020/01745</v>
          </cell>
          <cell r="F1302">
            <v>22</v>
          </cell>
          <cell r="L1302" t="str">
            <v>44173-14</v>
          </cell>
        </row>
        <row r="1303">
          <cell r="E1303" t="str">
            <v>D2020/01745</v>
          </cell>
          <cell r="F1303">
            <v>39</v>
          </cell>
          <cell r="L1303" t="str">
            <v>44173-14</v>
          </cell>
        </row>
        <row r="1304">
          <cell r="E1304" t="str">
            <v>D2020/01745</v>
          </cell>
          <cell r="F1304">
            <v>11</v>
          </cell>
          <cell r="L1304" t="str">
            <v>44173-14</v>
          </cell>
        </row>
        <row r="1305">
          <cell r="E1305" t="str">
            <v>D2020/01745</v>
          </cell>
          <cell r="F1305">
            <v>4</v>
          </cell>
          <cell r="L1305" t="str">
            <v>44173-14</v>
          </cell>
        </row>
        <row r="1306">
          <cell r="E1306" t="str">
            <v>D2020/01695</v>
          </cell>
          <cell r="F1306">
            <v>108</v>
          </cell>
          <cell r="L1306" t="str">
            <v>44173-10</v>
          </cell>
        </row>
        <row r="1307">
          <cell r="E1307" t="str">
            <v>D2020/01695</v>
          </cell>
          <cell r="F1307">
            <v>60</v>
          </cell>
          <cell r="L1307" t="str">
            <v>44173-10</v>
          </cell>
        </row>
        <row r="1308">
          <cell r="E1308" t="str">
            <v>D2020/01695</v>
          </cell>
          <cell r="F1308">
            <v>47</v>
          </cell>
          <cell r="L1308" t="str">
            <v>44173-10</v>
          </cell>
        </row>
        <row r="1309">
          <cell r="E1309" t="str">
            <v>D2020/01695</v>
          </cell>
          <cell r="F1309">
            <v>51</v>
          </cell>
          <cell r="L1309" t="str">
            <v>44173-10</v>
          </cell>
        </row>
        <row r="1310">
          <cell r="E1310" t="str">
            <v>D2020/01695</v>
          </cell>
          <cell r="F1310">
            <v>22</v>
          </cell>
          <cell r="L1310" t="str">
            <v>44173-10</v>
          </cell>
        </row>
        <row r="1311">
          <cell r="E1311" t="str">
            <v>D2020/01695</v>
          </cell>
          <cell r="F1311">
            <v>14</v>
          </cell>
          <cell r="L1311" t="str">
            <v>44173-10</v>
          </cell>
        </row>
        <row r="1312">
          <cell r="E1312" t="str">
            <v>D2020/02081</v>
          </cell>
          <cell r="F1312">
            <v>85</v>
          </cell>
          <cell r="L1312" t="str">
            <v>44174-14</v>
          </cell>
        </row>
        <row r="1313">
          <cell r="E1313" t="str">
            <v>D2020/02081</v>
          </cell>
          <cell r="F1313">
            <v>254</v>
          </cell>
          <cell r="L1313" t="str">
            <v>44174-14</v>
          </cell>
        </row>
        <row r="1314">
          <cell r="E1314" t="str">
            <v>D2020/02081</v>
          </cell>
          <cell r="F1314">
            <v>58</v>
          </cell>
          <cell r="L1314" t="str">
            <v>44174-14</v>
          </cell>
        </row>
        <row r="1315">
          <cell r="E1315" t="str">
            <v>D2020/02081</v>
          </cell>
          <cell r="F1315">
            <v>3</v>
          </cell>
          <cell r="L1315" t="str">
            <v>44174-14</v>
          </cell>
        </row>
        <row r="1316">
          <cell r="E1316" t="str">
            <v>D2020/01695</v>
          </cell>
          <cell r="F1316">
            <v>59</v>
          </cell>
          <cell r="L1316" t="str">
            <v>44174-10</v>
          </cell>
        </row>
        <row r="1317">
          <cell r="E1317" t="str">
            <v>D2020/01695</v>
          </cell>
          <cell r="F1317">
            <v>11</v>
          </cell>
          <cell r="L1317" t="str">
            <v>44174-10</v>
          </cell>
        </row>
        <row r="1318">
          <cell r="E1318" t="str">
            <v>D2020/01695</v>
          </cell>
          <cell r="F1318">
            <v>17</v>
          </cell>
          <cell r="L1318" t="str">
            <v>44174-10</v>
          </cell>
        </row>
        <row r="1319">
          <cell r="E1319" t="str">
            <v>D2020/02081</v>
          </cell>
          <cell r="F1319">
            <v>60</v>
          </cell>
          <cell r="L1319" t="str">
            <v>44175-14</v>
          </cell>
        </row>
        <row r="1320">
          <cell r="E1320" t="str">
            <v>D2020/02081</v>
          </cell>
          <cell r="F1320">
            <v>30</v>
          </cell>
          <cell r="L1320" t="str">
            <v>44175-14</v>
          </cell>
        </row>
        <row r="1321">
          <cell r="E1321" t="str">
            <v>D2020/02081</v>
          </cell>
          <cell r="F1321">
            <v>56</v>
          </cell>
          <cell r="L1321" t="str">
            <v>44175-14</v>
          </cell>
        </row>
        <row r="1322">
          <cell r="E1322" t="str">
            <v>D2020/02081</v>
          </cell>
          <cell r="F1322">
            <v>40</v>
          </cell>
          <cell r="L1322" t="str">
            <v>44175-14</v>
          </cell>
        </row>
        <row r="1323">
          <cell r="E1323" t="str">
            <v>D2020/02081</v>
          </cell>
          <cell r="F1323">
            <v>112</v>
          </cell>
          <cell r="L1323" t="str">
            <v>44175-14</v>
          </cell>
        </row>
        <row r="1324">
          <cell r="E1324" t="str">
            <v>D2020/02081</v>
          </cell>
          <cell r="F1324">
            <v>35</v>
          </cell>
          <cell r="L1324" t="str">
            <v>44175-14</v>
          </cell>
        </row>
        <row r="1325">
          <cell r="E1325" t="str">
            <v>D2020/01695</v>
          </cell>
          <cell r="F1325">
            <v>55</v>
          </cell>
          <cell r="L1325" t="str">
            <v>44175-10</v>
          </cell>
        </row>
        <row r="1326">
          <cell r="E1326" t="str">
            <v>D2020/01695</v>
          </cell>
          <cell r="F1326">
            <v>24</v>
          </cell>
          <cell r="L1326" t="str">
            <v>44175-10</v>
          </cell>
        </row>
        <row r="1327">
          <cell r="E1327" t="str">
            <v>D2020/01695</v>
          </cell>
          <cell r="F1327">
            <v>38</v>
          </cell>
          <cell r="L1327" t="str">
            <v>44175-10</v>
          </cell>
        </row>
        <row r="1328">
          <cell r="E1328" t="str">
            <v>D2020/01695</v>
          </cell>
          <cell r="F1328">
            <v>20</v>
          </cell>
          <cell r="L1328" t="str">
            <v>44175-10</v>
          </cell>
        </row>
        <row r="1329">
          <cell r="E1329" t="str">
            <v>D2020/01695</v>
          </cell>
          <cell r="F1329">
            <v>33</v>
          </cell>
          <cell r="L1329" t="str">
            <v>44175-10</v>
          </cell>
        </row>
        <row r="1330">
          <cell r="E1330" t="str">
            <v>D2020/02081</v>
          </cell>
          <cell r="F1330">
            <v>64</v>
          </cell>
          <cell r="L1330" t="str">
            <v>44176-14</v>
          </cell>
        </row>
        <row r="1331">
          <cell r="E1331" t="str">
            <v>D2020/02081</v>
          </cell>
          <cell r="F1331">
            <v>29</v>
          </cell>
          <cell r="L1331" t="str">
            <v>44176-14</v>
          </cell>
        </row>
        <row r="1332">
          <cell r="E1332" t="str">
            <v>D2020/02081</v>
          </cell>
          <cell r="F1332">
            <v>107</v>
          </cell>
          <cell r="L1332" t="str">
            <v>44176-14</v>
          </cell>
        </row>
        <row r="1333">
          <cell r="E1333" t="str">
            <v>D2020/01695</v>
          </cell>
          <cell r="F1333">
            <v>70</v>
          </cell>
          <cell r="L1333" t="str">
            <v>44176-10</v>
          </cell>
        </row>
        <row r="1334">
          <cell r="E1334" t="str">
            <v>D2020/01695</v>
          </cell>
          <cell r="F1334">
            <v>10</v>
          </cell>
          <cell r="L1334" t="str">
            <v>44176-10</v>
          </cell>
        </row>
        <row r="1335">
          <cell r="E1335" t="str">
            <v>D2020/01695</v>
          </cell>
          <cell r="F1335">
            <v>30</v>
          </cell>
          <cell r="L1335" t="str">
            <v>44176-10</v>
          </cell>
        </row>
        <row r="1336">
          <cell r="E1336" t="str">
            <v>D2020/01695</v>
          </cell>
          <cell r="F1336">
            <v>57</v>
          </cell>
          <cell r="L1336" t="str">
            <v>44176-10</v>
          </cell>
        </row>
        <row r="1337">
          <cell r="E1337" t="str">
            <v>D2020/01971</v>
          </cell>
          <cell r="F1337">
            <v>66</v>
          </cell>
          <cell r="L1337" t="str">
            <v>44176-14</v>
          </cell>
        </row>
        <row r="1338">
          <cell r="E1338" t="str">
            <v>D2020/01971</v>
          </cell>
          <cell r="F1338">
            <v>91</v>
          </cell>
          <cell r="L1338" t="str">
            <v>44176-14</v>
          </cell>
        </row>
        <row r="1339">
          <cell r="E1339" t="str">
            <v>D2020/01971</v>
          </cell>
          <cell r="F1339">
            <v>7</v>
          </cell>
          <cell r="L1339" t="str">
            <v>44176-14</v>
          </cell>
        </row>
        <row r="1340">
          <cell r="E1340" t="str">
            <v>D2020/01971</v>
          </cell>
          <cell r="F1340">
            <v>132</v>
          </cell>
          <cell r="L1340" t="str">
            <v>44176-14</v>
          </cell>
        </row>
        <row r="1341">
          <cell r="E1341" t="str">
            <v>D2020/01971</v>
          </cell>
          <cell r="F1341">
            <v>96</v>
          </cell>
          <cell r="L1341" t="str">
            <v>44176-14</v>
          </cell>
        </row>
        <row r="1342">
          <cell r="E1342" t="str">
            <v>D2020/01971</v>
          </cell>
          <cell r="F1342">
            <v>31</v>
          </cell>
          <cell r="L1342" t="str">
            <v>44176-14</v>
          </cell>
        </row>
        <row r="1343">
          <cell r="E1343" t="str">
            <v>D2020/01971</v>
          </cell>
          <cell r="F1343">
            <v>36</v>
          </cell>
          <cell r="L1343" t="str">
            <v>44176-14</v>
          </cell>
        </row>
        <row r="1344">
          <cell r="E1344" t="str">
            <v>D2020/01971</v>
          </cell>
          <cell r="F1344">
            <v>13</v>
          </cell>
          <cell r="L1344" t="str">
            <v>44176-14</v>
          </cell>
        </row>
        <row r="1345">
          <cell r="E1345" t="str">
            <v>D2020/01971</v>
          </cell>
          <cell r="F1345">
            <v>50</v>
          </cell>
          <cell r="L1345" t="str">
            <v>44176-14</v>
          </cell>
        </row>
        <row r="1346">
          <cell r="E1346" t="str">
            <v>D2020/01971</v>
          </cell>
          <cell r="F1346">
            <v>27</v>
          </cell>
          <cell r="L1346" t="str">
            <v>44176-14</v>
          </cell>
        </row>
        <row r="1347">
          <cell r="E1347" t="str">
            <v>D2020/02048</v>
          </cell>
          <cell r="F1347">
            <v>83</v>
          </cell>
          <cell r="L1347" t="str">
            <v>44176-10</v>
          </cell>
        </row>
        <row r="1348">
          <cell r="E1348" t="str">
            <v>D2020/02048</v>
          </cell>
          <cell r="F1348">
            <v>76</v>
          </cell>
          <cell r="L1348" t="str">
            <v>44179-4</v>
          </cell>
        </row>
        <row r="1349">
          <cell r="E1349" t="str">
            <v>D2020/02048</v>
          </cell>
          <cell r="F1349">
            <v>20</v>
          </cell>
          <cell r="L1349" t="str">
            <v>44179-4</v>
          </cell>
        </row>
        <row r="1350">
          <cell r="E1350" t="str">
            <v>D2020/01971</v>
          </cell>
          <cell r="F1350">
            <v>45</v>
          </cell>
          <cell r="L1350" t="str">
            <v>44179-13</v>
          </cell>
        </row>
        <row r="1351">
          <cell r="E1351" t="str">
            <v>D2020/01971</v>
          </cell>
          <cell r="F1351">
            <v>4</v>
          </cell>
          <cell r="L1351" t="str">
            <v>44179-13</v>
          </cell>
        </row>
        <row r="1352">
          <cell r="E1352" t="str">
            <v>D2020/01971</v>
          </cell>
          <cell r="F1352">
            <v>37</v>
          </cell>
          <cell r="L1352" t="str">
            <v>44179-13</v>
          </cell>
        </row>
        <row r="1353">
          <cell r="E1353" t="str">
            <v>D2020/01971</v>
          </cell>
          <cell r="F1353">
            <v>21</v>
          </cell>
          <cell r="L1353" t="str">
            <v>44179-13</v>
          </cell>
        </row>
        <row r="1354">
          <cell r="E1354" t="str">
            <v>D2020/01971</v>
          </cell>
          <cell r="F1354">
            <v>23</v>
          </cell>
          <cell r="L1354" t="str">
            <v>44179-13</v>
          </cell>
        </row>
        <row r="1355">
          <cell r="E1355" t="str">
            <v>D2020/01971</v>
          </cell>
          <cell r="F1355">
            <v>82</v>
          </cell>
          <cell r="L1355" t="str">
            <v>44179-13</v>
          </cell>
        </row>
        <row r="1356">
          <cell r="E1356" t="str">
            <v>D2020/01971</v>
          </cell>
          <cell r="F1356">
            <v>16</v>
          </cell>
          <cell r="L1356" t="str">
            <v>44179-13</v>
          </cell>
        </row>
        <row r="1357">
          <cell r="E1357" t="str">
            <v>D2020/01971</v>
          </cell>
          <cell r="F1357">
            <v>67</v>
          </cell>
          <cell r="L1357" t="str">
            <v>44179-13</v>
          </cell>
        </row>
        <row r="1358">
          <cell r="E1358" t="str">
            <v>D2020/01971</v>
          </cell>
          <cell r="F1358">
            <v>64</v>
          </cell>
          <cell r="L1358" t="str">
            <v>44179-13</v>
          </cell>
        </row>
        <row r="1359">
          <cell r="E1359" t="str">
            <v>D2020/01971</v>
          </cell>
          <cell r="F1359">
            <v>44</v>
          </cell>
          <cell r="L1359" t="str">
            <v>44179-13</v>
          </cell>
        </row>
        <row r="1360">
          <cell r="E1360" t="str">
            <v>D2020/02059</v>
          </cell>
          <cell r="F1360">
            <v>28</v>
          </cell>
          <cell r="L1360" t="str">
            <v>44179-13</v>
          </cell>
        </row>
        <row r="1361">
          <cell r="E1361" t="str">
            <v>D2020/02047</v>
          </cell>
          <cell r="F1361">
            <v>80</v>
          </cell>
          <cell r="L1361" t="str">
            <v>44179-4</v>
          </cell>
        </row>
        <row r="1362">
          <cell r="E1362" t="str">
            <v>D2020/02047</v>
          </cell>
          <cell r="F1362">
            <v>33</v>
          </cell>
          <cell r="L1362" t="str">
            <v>44179-4</v>
          </cell>
        </row>
        <row r="1363">
          <cell r="E1363" t="str">
            <v>D2020/02047</v>
          </cell>
          <cell r="F1363">
            <v>16</v>
          </cell>
          <cell r="L1363" t="str">
            <v>44179-4</v>
          </cell>
        </row>
        <row r="1364">
          <cell r="E1364" t="str">
            <v>D2020/02047</v>
          </cell>
          <cell r="F1364">
            <v>14</v>
          </cell>
          <cell r="L1364" t="str">
            <v>44179-4</v>
          </cell>
        </row>
        <row r="1365">
          <cell r="E1365" t="str">
            <v>D2020/02047</v>
          </cell>
          <cell r="F1365">
            <v>66</v>
          </cell>
          <cell r="L1365" t="str">
            <v>44180-14</v>
          </cell>
        </row>
        <row r="1366">
          <cell r="E1366" t="str">
            <v>D2020/02047</v>
          </cell>
          <cell r="F1366">
            <v>42</v>
          </cell>
          <cell r="L1366" t="str">
            <v>44180-14</v>
          </cell>
        </row>
        <row r="1367">
          <cell r="E1367" t="str">
            <v>D2020/02083</v>
          </cell>
          <cell r="F1367">
            <v>57</v>
          </cell>
          <cell r="L1367" t="str">
            <v>44180-14</v>
          </cell>
        </row>
        <row r="1368">
          <cell r="E1368" t="str">
            <v>D2020/02083</v>
          </cell>
          <cell r="F1368">
            <v>25</v>
          </cell>
          <cell r="L1368" t="str">
            <v>44180-14</v>
          </cell>
        </row>
        <row r="1369">
          <cell r="E1369" t="str">
            <v>D2020/02083</v>
          </cell>
          <cell r="F1369">
            <v>56</v>
          </cell>
          <cell r="L1369" t="str">
            <v>44180-14</v>
          </cell>
        </row>
        <row r="1370">
          <cell r="E1370" t="str">
            <v>D2020/02083</v>
          </cell>
          <cell r="F1370">
            <v>1</v>
          </cell>
          <cell r="L1370" t="str">
            <v>44180-14</v>
          </cell>
        </row>
        <row r="1371">
          <cell r="E1371" t="str">
            <v>D2020/02059</v>
          </cell>
          <cell r="F1371">
            <v>88</v>
          </cell>
          <cell r="L1371" t="str">
            <v>44180-13</v>
          </cell>
        </row>
        <row r="1372">
          <cell r="E1372" t="str">
            <v>D2020/02059</v>
          </cell>
          <cell r="F1372">
            <v>4</v>
          </cell>
          <cell r="L1372" t="str">
            <v>44180-13</v>
          </cell>
        </row>
        <row r="1373">
          <cell r="E1373" t="str">
            <v>D2020/02059</v>
          </cell>
          <cell r="F1373">
            <v>12</v>
          </cell>
          <cell r="L1373" t="str">
            <v>44180-13</v>
          </cell>
        </row>
        <row r="1374">
          <cell r="E1374" t="str">
            <v>D2020/02059</v>
          </cell>
          <cell r="F1374">
            <v>9</v>
          </cell>
          <cell r="L1374" t="str">
            <v>44180-13</v>
          </cell>
        </row>
        <row r="1375">
          <cell r="E1375" t="str">
            <v>D2020/02059</v>
          </cell>
          <cell r="F1375">
            <v>27</v>
          </cell>
          <cell r="L1375" t="str">
            <v>44180-13</v>
          </cell>
        </row>
        <row r="1376">
          <cell r="E1376" t="str">
            <v>D2020/02059</v>
          </cell>
          <cell r="F1376">
            <v>12</v>
          </cell>
          <cell r="L1376" t="str">
            <v>44180-13</v>
          </cell>
        </row>
        <row r="1377">
          <cell r="E1377" t="str">
            <v>D2020/02059</v>
          </cell>
          <cell r="F1377">
            <v>43</v>
          </cell>
          <cell r="L1377" t="str">
            <v>44180-13</v>
          </cell>
        </row>
        <row r="1378">
          <cell r="E1378" t="str">
            <v>D2020/02059</v>
          </cell>
          <cell r="F1378">
            <v>24</v>
          </cell>
          <cell r="L1378" t="str">
            <v>44181-13</v>
          </cell>
        </row>
        <row r="1379">
          <cell r="E1379" t="str">
            <v>D2020/02059</v>
          </cell>
          <cell r="F1379">
            <v>18</v>
          </cell>
          <cell r="L1379" t="str">
            <v>44181-13</v>
          </cell>
        </row>
        <row r="1380">
          <cell r="E1380" t="str">
            <v>D2020/02059</v>
          </cell>
          <cell r="F1380">
            <v>10</v>
          </cell>
          <cell r="L1380" t="str">
            <v>44181-13</v>
          </cell>
        </row>
        <row r="1381">
          <cell r="E1381" t="str">
            <v>D2020/02059</v>
          </cell>
          <cell r="F1381">
            <v>11</v>
          </cell>
          <cell r="L1381" t="str">
            <v>44181-13</v>
          </cell>
        </row>
        <row r="1382">
          <cell r="E1382" t="str">
            <v>D2020/02059</v>
          </cell>
          <cell r="F1382">
            <v>29</v>
          </cell>
          <cell r="L1382" t="str">
            <v>44181-13</v>
          </cell>
        </row>
        <row r="1383">
          <cell r="E1383" t="str">
            <v>D2020/02059</v>
          </cell>
          <cell r="F1383">
            <v>69</v>
          </cell>
          <cell r="L1383" t="str">
            <v>44181-13</v>
          </cell>
        </row>
        <row r="1384">
          <cell r="E1384" t="str">
            <v>D2020/02059</v>
          </cell>
          <cell r="F1384">
            <v>19</v>
          </cell>
          <cell r="L1384" t="str">
            <v>44181-13</v>
          </cell>
        </row>
        <row r="1385">
          <cell r="E1385" t="str">
            <v>D2020/02059</v>
          </cell>
          <cell r="F1385">
            <v>34</v>
          </cell>
          <cell r="L1385" t="str">
            <v>44181-13</v>
          </cell>
        </row>
        <row r="1386">
          <cell r="E1386" t="str">
            <v>D2020/02059</v>
          </cell>
          <cell r="F1386">
            <v>17</v>
          </cell>
          <cell r="L1386" t="str">
            <v>44181-13</v>
          </cell>
        </row>
        <row r="1387">
          <cell r="E1387" t="str">
            <v>D2020/02059</v>
          </cell>
          <cell r="F1387">
            <v>13</v>
          </cell>
          <cell r="L1387" t="str">
            <v>44181-13</v>
          </cell>
        </row>
        <row r="1388">
          <cell r="E1388" t="str">
            <v>D2020/02082</v>
          </cell>
          <cell r="F1388">
            <v>50</v>
          </cell>
          <cell r="L1388" t="str">
            <v>44181-14</v>
          </cell>
        </row>
        <row r="1389">
          <cell r="E1389" t="str">
            <v>D2020/02082</v>
          </cell>
          <cell r="F1389">
            <v>50</v>
          </cell>
          <cell r="L1389" t="str">
            <v>44181-14</v>
          </cell>
        </row>
        <row r="1390">
          <cell r="E1390" t="str">
            <v>D2020/02082</v>
          </cell>
          <cell r="F1390">
            <v>99</v>
          </cell>
          <cell r="L1390" t="str">
            <v>44181-14</v>
          </cell>
        </row>
        <row r="1391">
          <cell r="E1391" t="str">
            <v>D2020/02082</v>
          </cell>
          <cell r="F1391">
            <v>37</v>
          </cell>
          <cell r="L1391" t="str">
            <v>44181-14</v>
          </cell>
        </row>
        <row r="1392">
          <cell r="E1392" t="str">
            <v>D2020/02082</v>
          </cell>
          <cell r="F1392">
            <v>13</v>
          </cell>
          <cell r="L1392" t="str">
            <v>44181-14</v>
          </cell>
        </row>
        <row r="1393">
          <cell r="E1393" t="str">
            <v>D2020/02059</v>
          </cell>
          <cell r="F1393">
            <v>42</v>
          </cell>
          <cell r="L1393" t="str">
            <v>44182-13</v>
          </cell>
        </row>
        <row r="1394">
          <cell r="E1394" t="str">
            <v>D2020/02059</v>
          </cell>
          <cell r="F1394">
            <v>4</v>
          </cell>
          <cell r="L1394" t="str">
            <v>44182-13</v>
          </cell>
        </row>
        <row r="1395">
          <cell r="E1395" t="str">
            <v>D2020/02059</v>
          </cell>
          <cell r="F1395">
            <v>30</v>
          </cell>
          <cell r="L1395" t="str">
            <v>44182-13</v>
          </cell>
        </row>
        <row r="1396">
          <cell r="E1396" t="str">
            <v>D2020/02059</v>
          </cell>
          <cell r="F1396">
            <v>18</v>
          </cell>
          <cell r="L1396" t="str">
            <v>44182-13</v>
          </cell>
        </row>
        <row r="1397">
          <cell r="E1397" t="str">
            <v>D2020/02059</v>
          </cell>
          <cell r="F1397">
            <v>65</v>
          </cell>
          <cell r="L1397" t="str">
            <v>44182-13</v>
          </cell>
        </row>
        <row r="1398">
          <cell r="E1398" t="str">
            <v>D2020/02059</v>
          </cell>
          <cell r="F1398">
            <v>6</v>
          </cell>
          <cell r="L1398" t="str">
            <v>44182-13</v>
          </cell>
        </row>
        <row r="1399">
          <cell r="E1399" t="str">
            <v>D2020/02059</v>
          </cell>
          <cell r="F1399">
            <v>37</v>
          </cell>
          <cell r="L1399" t="str">
            <v>44182-13</v>
          </cell>
        </row>
        <row r="1400">
          <cell r="E1400" t="str">
            <v>D2020/02082</v>
          </cell>
          <cell r="F1400">
            <v>52</v>
          </cell>
          <cell r="L1400" t="str">
            <v>44182-14</v>
          </cell>
        </row>
        <row r="1401">
          <cell r="E1401" t="str">
            <v>D2020/02082</v>
          </cell>
          <cell r="F1401">
            <v>43</v>
          </cell>
          <cell r="L1401" t="str">
            <v>44182-14</v>
          </cell>
        </row>
        <row r="1402">
          <cell r="E1402" t="str">
            <v>D2020/02082</v>
          </cell>
          <cell r="F1402">
            <v>144</v>
          </cell>
          <cell r="L1402" t="str">
            <v>44182-14</v>
          </cell>
        </row>
        <row r="1403">
          <cell r="E1403" t="str">
            <v>D2020/02082</v>
          </cell>
          <cell r="F1403">
            <v>61</v>
          </cell>
          <cell r="L1403" t="str">
            <v>44182-14</v>
          </cell>
        </row>
        <row r="1404">
          <cell r="E1404" t="str">
            <v>D2020/02082</v>
          </cell>
          <cell r="F1404">
            <v>69</v>
          </cell>
          <cell r="L1404" t="str">
            <v>44182-14</v>
          </cell>
        </row>
        <row r="1405">
          <cell r="E1405" t="str">
            <v>D2020/02118</v>
          </cell>
          <cell r="F1405">
            <v>153</v>
          </cell>
          <cell r="L1405" t="str">
            <v>44182-14</v>
          </cell>
        </row>
        <row r="1406">
          <cell r="E1406" t="str">
            <v>D2020/02118</v>
          </cell>
          <cell r="F1406">
            <v>53</v>
          </cell>
          <cell r="L1406" t="str">
            <v>44182-14</v>
          </cell>
        </row>
        <row r="1407">
          <cell r="E1407" t="str">
            <v>D2020/02059</v>
          </cell>
          <cell r="F1407">
            <v>25</v>
          </cell>
          <cell r="L1407" t="str">
            <v>44183-13</v>
          </cell>
        </row>
        <row r="1408">
          <cell r="E1408" t="str">
            <v>D2020/02059</v>
          </cell>
          <cell r="F1408">
            <v>29</v>
          </cell>
          <cell r="L1408" t="str">
            <v>44183-13</v>
          </cell>
        </row>
        <row r="1409">
          <cell r="E1409" t="str">
            <v>D2020/02059</v>
          </cell>
          <cell r="F1409">
            <v>8</v>
          </cell>
          <cell r="L1409" t="str">
            <v>44183-13</v>
          </cell>
        </row>
        <row r="1410">
          <cell r="E1410" t="str">
            <v>D2020/02059</v>
          </cell>
          <cell r="F1410">
            <v>76</v>
          </cell>
          <cell r="L1410" t="str">
            <v>44183-13</v>
          </cell>
        </row>
        <row r="1411">
          <cell r="E1411" t="str">
            <v>D2020/02118</v>
          </cell>
          <cell r="F1411">
            <v>81</v>
          </cell>
          <cell r="L1411" t="str">
            <v>44183-10</v>
          </cell>
        </row>
        <row r="1412">
          <cell r="E1412" t="str">
            <v>D2020/02118</v>
          </cell>
          <cell r="F1412">
            <v>22</v>
          </cell>
          <cell r="L1412" t="str">
            <v>44183-10</v>
          </cell>
        </row>
        <row r="1413">
          <cell r="E1413" t="str">
            <v>D2020/02118</v>
          </cell>
          <cell r="F1413">
            <v>59</v>
          </cell>
          <cell r="L1413" t="str">
            <v>44183-10</v>
          </cell>
        </row>
        <row r="1414">
          <cell r="E1414" t="str">
            <v>D2020/02118</v>
          </cell>
          <cell r="F1414">
            <v>38</v>
          </cell>
          <cell r="L1414" t="str">
            <v>44183-10</v>
          </cell>
        </row>
        <row r="1415">
          <cell r="E1415" t="str">
            <v>D2021/00233</v>
          </cell>
          <cell r="F1415">
            <v>18</v>
          </cell>
          <cell r="L1415" t="str">
            <v>44183-10</v>
          </cell>
        </row>
        <row r="1416">
          <cell r="E1416" t="str">
            <v>D2021/00233</v>
          </cell>
          <cell r="F1416">
            <v>14</v>
          </cell>
          <cell r="L1416" t="str">
            <v>44183-10</v>
          </cell>
        </row>
        <row r="1417">
          <cell r="E1417" t="str">
            <v>D2021/00233</v>
          </cell>
          <cell r="F1417">
            <v>33</v>
          </cell>
          <cell r="L1417" t="str">
            <v>44186-13</v>
          </cell>
        </row>
        <row r="1418">
          <cell r="E1418" t="str">
            <v>D2021/00233</v>
          </cell>
          <cell r="F1418">
            <v>22</v>
          </cell>
          <cell r="L1418" t="str">
            <v>44186-13</v>
          </cell>
        </row>
        <row r="1419">
          <cell r="E1419" t="str">
            <v>D2021/00233</v>
          </cell>
          <cell r="F1419">
            <v>46</v>
          </cell>
          <cell r="L1419" t="str">
            <v>44186-13</v>
          </cell>
        </row>
        <row r="1420">
          <cell r="E1420" t="str">
            <v>D2021/00233</v>
          </cell>
          <cell r="F1420">
            <v>96</v>
          </cell>
          <cell r="L1420" t="str">
            <v>44186-13</v>
          </cell>
        </row>
        <row r="1421">
          <cell r="E1421" t="str">
            <v>D2021/00233</v>
          </cell>
          <cell r="F1421">
            <v>20</v>
          </cell>
          <cell r="L1421" t="str">
            <v>44186-13</v>
          </cell>
        </row>
        <row r="1422">
          <cell r="E1422" t="str">
            <v>D2020/02117</v>
          </cell>
          <cell r="F1422">
            <v>30</v>
          </cell>
          <cell r="L1422" t="str">
            <v>44186-10</v>
          </cell>
        </row>
        <row r="1423">
          <cell r="E1423" t="str">
            <v>D2020/02117</v>
          </cell>
          <cell r="F1423">
            <v>87</v>
          </cell>
          <cell r="L1423" t="str">
            <v>44186-10</v>
          </cell>
        </row>
        <row r="1424">
          <cell r="E1424" t="str">
            <v>D2020/02117</v>
          </cell>
          <cell r="F1424">
            <v>40</v>
          </cell>
          <cell r="L1424" t="str">
            <v>44186-10</v>
          </cell>
        </row>
        <row r="1425">
          <cell r="E1425" t="str">
            <v>D2020/02117</v>
          </cell>
          <cell r="F1425">
            <v>45</v>
          </cell>
          <cell r="L1425" t="str">
            <v>44186-10</v>
          </cell>
        </row>
        <row r="1426">
          <cell r="E1426" t="str">
            <v>D2020/02117</v>
          </cell>
          <cell r="F1426">
            <v>26</v>
          </cell>
          <cell r="L1426" t="str">
            <v>44186-10</v>
          </cell>
        </row>
        <row r="1427">
          <cell r="E1427" t="str">
            <v>D2020/02117</v>
          </cell>
          <cell r="F1427">
            <v>20</v>
          </cell>
          <cell r="L1427" t="str">
            <v>44186-10</v>
          </cell>
        </row>
        <row r="1428">
          <cell r="E1428" t="str">
            <v>D2021/00233</v>
          </cell>
          <cell r="F1428">
            <v>90</v>
          </cell>
          <cell r="L1428" t="str">
            <v>44187-13</v>
          </cell>
        </row>
        <row r="1429">
          <cell r="E1429" t="str">
            <v>D2021/00233</v>
          </cell>
          <cell r="F1429">
            <v>60</v>
          </cell>
          <cell r="L1429" t="str">
            <v>44187-13</v>
          </cell>
        </row>
        <row r="1430">
          <cell r="E1430" t="str">
            <v>D2021/00233</v>
          </cell>
          <cell r="F1430">
            <v>182</v>
          </cell>
          <cell r="L1430" t="str">
            <v>44187-13</v>
          </cell>
        </row>
        <row r="1431">
          <cell r="E1431" t="str">
            <v>D2020/02117</v>
          </cell>
          <cell r="F1431">
            <v>47</v>
          </cell>
          <cell r="L1431" t="str">
            <v>44187-10</v>
          </cell>
        </row>
        <row r="1432">
          <cell r="E1432" t="str">
            <v>D2020/02117</v>
          </cell>
          <cell r="F1432">
            <v>37</v>
          </cell>
          <cell r="L1432" t="str">
            <v>44187-10</v>
          </cell>
        </row>
        <row r="1433">
          <cell r="E1433" t="str">
            <v>D2020/02117</v>
          </cell>
          <cell r="F1433">
            <v>16</v>
          </cell>
          <cell r="L1433" t="str">
            <v>44187-10</v>
          </cell>
        </row>
        <row r="1434">
          <cell r="E1434" t="str">
            <v>D2020/02117</v>
          </cell>
          <cell r="F1434">
            <v>27</v>
          </cell>
          <cell r="L1434" t="str">
            <v>44187-10</v>
          </cell>
        </row>
        <row r="1435">
          <cell r="E1435" t="str">
            <v>D2020/02117</v>
          </cell>
          <cell r="F1435">
            <v>169</v>
          </cell>
          <cell r="L1435" t="str">
            <v>44187-10</v>
          </cell>
        </row>
        <row r="1436">
          <cell r="E1436" t="str">
            <v>D2020/02117</v>
          </cell>
          <cell r="F1436">
            <v>31</v>
          </cell>
          <cell r="L1436" t="str">
            <v>44187-10</v>
          </cell>
        </row>
        <row r="1437">
          <cell r="E1437" t="str">
            <v>D2020/02117</v>
          </cell>
          <cell r="F1437">
            <v>32</v>
          </cell>
          <cell r="L1437" t="str">
            <v>44188-10</v>
          </cell>
        </row>
        <row r="1438">
          <cell r="E1438" t="str">
            <v>D2020/02117</v>
          </cell>
          <cell r="F1438">
            <v>24</v>
          </cell>
          <cell r="L1438" t="str">
            <v>44188-10</v>
          </cell>
        </row>
        <row r="1439">
          <cell r="E1439" t="str">
            <v>D2020/02117</v>
          </cell>
          <cell r="F1439">
            <v>41</v>
          </cell>
          <cell r="L1439" t="str">
            <v>44188-10</v>
          </cell>
        </row>
        <row r="1440">
          <cell r="E1440" t="str">
            <v>D2020/02117</v>
          </cell>
          <cell r="F1440">
            <v>63</v>
          </cell>
          <cell r="L1440" t="str">
            <v>44193-10</v>
          </cell>
        </row>
        <row r="1441">
          <cell r="E1441" t="str">
            <v>D2020/02117</v>
          </cell>
          <cell r="F1441">
            <v>10</v>
          </cell>
          <cell r="L1441" t="str">
            <v>44193-10</v>
          </cell>
        </row>
        <row r="1442">
          <cell r="E1442" t="str">
            <v>D2020/02117</v>
          </cell>
          <cell r="F1442">
            <v>35</v>
          </cell>
          <cell r="L1442" t="str">
            <v>44193-10</v>
          </cell>
        </row>
        <row r="1443">
          <cell r="E1443" t="str">
            <v>D2020/02117</v>
          </cell>
          <cell r="F1443">
            <v>43</v>
          </cell>
          <cell r="L1443" t="str">
            <v>44193-10</v>
          </cell>
        </row>
        <row r="1444">
          <cell r="E1444" t="str">
            <v>D2020/02117</v>
          </cell>
          <cell r="F1444">
            <v>34</v>
          </cell>
          <cell r="L1444" t="str">
            <v>44193-10</v>
          </cell>
        </row>
        <row r="1445">
          <cell r="E1445" t="str">
            <v>D2020/02117</v>
          </cell>
          <cell r="F1445">
            <v>42</v>
          </cell>
          <cell r="L1445" t="str">
            <v>44193-10</v>
          </cell>
        </row>
        <row r="1446">
          <cell r="E1446" t="str">
            <v>D2020/02117</v>
          </cell>
          <cell r="F1446">
            <v>5</v>
          </cell>
          <cell r="L1446" t="str">
            <v>44193-10</v>
          </cell>
        </row>
        <row r="1447">
          <cell r="E1447" t="str">
            <v>D2020/02084</v>
          </cell>
          <cell r="F1447">
            <v>403</v>
          </cell>
          <cell r="L1447" t="str">
            <v>44193-13</v>
          </cell>
        </row>
        <row r="1448">
          <cell r="E1448" t="str">
            <v>D2020/02084</v>
          </cell>
          <cell r="F1448">
            <v>60</v>
          </cell>
          <cell r="L1448" t="str">
            <v>44193-13</v>
          </cell>
        </row>
        <row r="1449">
          <cell r="E1449" t="str">
            <v>D2020/02084</v>
          </cell>
          <cell r="F1449">
            <v>74</v>
          </cell>
          <cell r="L1449" t="str">
            <v>44193-13</v>
          </cell>
        </row>
        <row r="1450">
          <cell r="E1450" t="str">
            <v>D2020/02084</v>
          </cell>
          <cell r="F1450">
            <v>93</v>
          </cell>
          <cell r="L1450" t="str">
            <v>44193-13</v>
          </cell>
        </row>
        <row r="1451">
          <cell r="E1451" t="str">
            <v>D2020/02084</v>
          </cell>
          <cell r="F1451">
            <v>19</v>
          </cell>
          <cell r="L1451" t="str">
            <v>44193-13</v>
          </cell>
        </row>
        <row r="1452">
          <cell r="E1452" t="str">
            <v>D2020/02117</v>
          </cell>
          <cell r="F1452">
            <v>99</v>
          </cell>
          <cell r="L1452" t="str">
            <v>44194-10</v>
          </cell>
        </row>
        <row r="1453">
          <cell r="E1453" t="str">
            <v>D2020/01979</v>
          </cell>
          <cell r="F1453">
            <v>130</v>
          </cell>
          <cell r="L1453" t="str">
            <v>44194-10</v>
          </cell>
        </row>
        <row r="1454">
          <cell r="E1454" t="str">
            <v>D2020/01979</v>
          </cell>
          <cell r="F1454">
            <v>158</v>
          </cell>
          <cell r="L1454" t="str">
            <v>44194-10</v>
          </cell>
        </row>
        <row r="1455">
          <cell r="E1455" t="str">
            <v>D2020/01979</v>
          </cell>
          <cell r="F1455">
            <v>19</v>
          </cell>
          <cell r="L1455" t="str">
            <v>44194-10</v>
          </cell>
        </row>
        <row r="1456">
          <cell r="E1456" t="str">
            <v>D2020/02084</v>
          </cell>
          <cell r="F1456">
            <v>62</v>
          </cell>
          <cell r="L1456" t="str">
            <v>44194-13</v>
          </cell>
        </row>
        <row r="1457">
          <cell r="E1457" t="str">
            <v>D2020/02084</v>
          </cell>
          <cell r="F1457">
            <v>121</v>
          </cell>
          <cell r="L1457" t="str">
            <v>44194-13</v>
          </cell>
        </row>
        <row r="1458">
          <cell r="E1458" t="str">
            <v>D2020/02084</v>
          </cell>
          <cell r="F1458">
            <v>172</v>
          </cell>
          <cell r="L1458" t="str">
            <v>44194-13</v>
          </cell>
        </row>
        <row r="1459">
          <cell r="E1459" t="str">
            <v>D2020/02084</v>
          </cell>
          <cell r="F1459">
            <v>55</v>
          </cell>
          <cell r="L1459" t="str">
            <v>44194-13</v>
          </cell>
        </row>
        <row r="1460">
          <cell r="E1460" t="str">
            <v>D2020/02084</v>
          </cell>
          <cell r="F1460">
            <v>172</v>
          </cell>
          <cell r="L1460" t="str">
            <v>44194-13</v>
          </cell>
        </row>
        <row r="1461">
          <cell r="E1461" t="str">
            <v>D2020/02084</v>
          </cell>
          <cell r="F1461">
            <v>24</v>
          </cell>
          <cell r="L1461" t="str">
            <v>44194-13</v>
          </cell>
        </row>
        <row r="1462">
          <cell r="E1462" t="str">
            <v>D2020/02084</v>
          </cell>
          <cell r="F1462">
            <v>30</v>
          </cell>
          <cell r="L1462" t="str">
            <v>44194-13</v>
          </cell>
        </row>
        <row r="1463">
          <cell r="E1463" t="str">
            <v>D2020/01979</v>
          </cell>
          <cell r="F1463">
            <v>86</v>
          </cell>
          <cell r="L1463" t="str">
            <v>44195-10</v>
          </cell>
        </row>
        <row r="1464">
          <cell r="E1464" t="str">
            <v>D2020/01979</v>
          </cell>
          <cell r="F1464">
            <v>92</v>
          </cell>
          <cell r="L1464" t="str">
            <v>44195-10</v>
          </cell>
        </row>
        <row r="1465">
          <cell r="E1465" t="str">
            <v>D2020/01978</v>
          </cell>
          <cell r="F1465">
            <v>157</v>
          </cell>
          <cell r="L1465" t="str">
            <v>44195-10</v>
          </cell>
        </row>
        <row r="1466">
          <cell r="E1466" t="str">
            <v>D2020/01978</v>
          </cell>
          <cell r="F1466">
            <v>11</v>
          </cell>
          <cell r="L1466" t="str">
            <v>44195-10</v>
          </cell>
        </row>
        <row r="1467">
          <cell r="E1467" t="str">
            <v>D2020/02084</v>
          </cell>
          <cell r="F1467">
            <v>100</v>
          </cell>
          <cell r="L1467" t="str">
            <v>44195-13</v>
          </cell>
        </row>
        <row r="1468">
          <cell r="E1468" t="str">
            <v>D2020/02084</v>
          </cell>
          <cell r="F1468">
            <v>75</v>
          </cell>
          <cell r="L1468" t="str">
            <v>44195-13</v>
          </cell>
        </row>
        <row r="1469">
          <cell r="E1469" t="str">
            <v>D2020/02084</v>
          </cell>
          <cell r="F1469">
            <v>163</v>
          </cell>
          <cell r="L1469" t="str">
            <v>44195-13</v>
          </cell>
        </row>
        <row r="1470">
          <cell r="E1470" t="str">
            <v>D2020/02084</v>
          </cell>
          <cell r="F1470">
            <v>40</v>
          </cell>
          <cell r="L1470" t="str">
            <v>44195-13</v>
          </cell>
        </row>
        <row r="1471">
          <cell r="E1471" t="str">
            <v>D2020/02084</v>
          </cell>
          <cell r="F1471">
            <v>115</v>
          </cell>
          <cell r="L1471" t="str">
            <v>44195-13</v>
          </cell>
        </row>
        <row r="1472">
          <cell r="E1472" t="str">
            <v>D2020/01978</v>
          </cell>
          <cell r="F1472">
            <v>87</v>
          </cell>
          <cell r="L1472" t="str">
            <v>44200-10</v>
          </cell>
        </row>
        <row r="1473">
          <cell r="E1473" t="str">
            <v>D2020/01978</v>
          </cell>
          <cell r="F1473">
            <v>59</v>
          </cell>
          <cell r="L1473" t="str">
            <v>44200-10</v>
          </cell>
        </row>
        <row r="1474">
          <cell r="E1474" t="str">
            <v>D2020/01978</v>
          </cell>
          <cell r="F1474">
            <v>8</v>
          </cell>
          <cell r="L1474" t="str">
            <v>44200-10</v>
          </cell>
        </row>
        <row r="1475">
          <cell r="E1475" t="str">
            <v>D2020/01978</v>
          </cell>
          <cell r="F1475">
            <v>88</v>
          </cell>
          <cell r="L1475" t="str">
            <v>44200-10</v>
          </cell>
        </row>
        <row r="1476">
          <cell r="E1476" t="str">
            <v>D2020/01978</v>
          </cell>
          <cell r="F1476">
            <v>39</v>
          </cell>
          <cell r="L1476" t="str">
            <v>44200-10</v>
          </cell>
        </row>
        <row r="1477">
          <cell r="E1477" t="str">
            <v>D2020/02084</v>
          </cell>
          <cell r="F1477">
            <v>164</v>
          </cell>
          <cell r="L1477" t="str">
            <v>44200-13</v>
          </cell>
        </row>
        <row r="1478">
          <cell r="E1478" t="str">
            <v>D2020/02084</v>
          </cell>
          <cell r="F1478">
            <v>39</v>
          </cell>
          <cell r="L1478" t="str">
            <v>44200-13</v>
          </cell>
        </row>
        <row r="1479">
          <cell r="E1479" t="str">
            <v>D2020/02084</v>
          </cell>
          <cell r="F1479">
            <v>108</v>
          </cell>
          <cell r="L1479" t="str">
            <v>44200-13</v>
          </cell>
        </row>
        <row r="1480">
          <cell r="E1480" t="str">
            <v>D2020/02084</v>
          </cell>
          <cell r="F1480">
            <v>77</v>
          </cell>
          <cell r="L1480" t="str">
            <v>44200-13</v>
          </cell>
        </row>
        <row r="1481">
          <cell r="E1481" t="str">
            <v>D2020/02084</v>
          </cell>
          <cell r="F1481">
            <v>40</v>
          </cell>
          <cell r="L1481" t="str">
            <v>44200-13</v>
          </cell>
        </row>
        <row r="1482">
          <cell r="E1482" t="str">
            <v>D2020/02084</v>
          </cell>
          <cell r="F1482">
            <v>76</v>
          </cell>
          <cell r="L1482" t="str">
            <v>44200-13</v>
          </cell>
        </row>
        <row r="1483">
          <cell r="E1483" t="str">
            <v>D2020/02156</v>
          </cell>
          <cell r="F1483">
            <v>245</v>
          </cell>
          <cell r="L1483" t="str">
            <v>44201-13</v>
          </cell>
        </row>
        <row r="1484">
          <cell r="E1484" t="str">
            <v>D2020/01977</v>
          </cell>
          <cell r="F1484">
            <v>80</v>
          </cell>
          <cell r="L1484" t="str">
            <v>44201-10</v>
          </cell>
        </row>
        <row r="1485">
          <cell r="E1485" t="str">
            <v>D2020/01977</v>
          </cell>
          <cell r="F1485">
            <v>37</v>
          </cell>
          <cell r="L1485" t="str">
            <v>44201-10</v>
          </cell>
        </row>
        <row r="1486">
          <cell r="E1486" t="str">
            <v>D2020/01977</v>
          </cell>
          <cell r="F1486">
            <v>16</v>
          </cell>
          <cell r="L1486" t="str">
            <v>44201-10</v>
          </cell>
        </row>
        <row r="1487">
          <cell r="E1487" t="str">
            <v>D2020/01977</v>
          </cell>
          <cell r="F1487">
            <v>190</v>
          </cell>
          <cell r="L1487" t="str">
            <v>44201-10</v>
          </cell>
        </row>
        <row r="1488">
          <cell r="E1488" t="str">
            <v>D2020/01977</v>
          </cell>
          <cell r="F1488">
            <v>17</v>
          </cell>
          <cell r="L1488" t="str">
            <v>44201-10</v>
          </cell>
        </row>
        <row r="1489">
          <cell r="E1489" t="str">
            <v>D2020/01977</v>
          </cell>
          <cell r="F1489">
            <v>266</v>
          </cell>
          <cell r="L1489" t="str">
            <v>44202-10</v>
          </cell>
        </row>
        <row r="1490">
          <cell r="E1490" t="str">
            <v>D2020/01977</v>
          </cell>
          <cell r="F1490">
            <v>28</v>
          </cell>
          <cell r="L1490" t="str">
            <v>44202-10</v>
          </cell>
        </row>
        <row r="1491">
          <cell r="E1491" t="str">
            <v>D2020/02156</v>
          </cell>
          <cell r="F1491">
            <v>82</v>
          </cell>
          <cell r="L1491" t="str">
            <v>44202-13</v>
          </cell>
        </row>
        <row r="1492">
          <cell r="E1492" t="str">
            <v>D2020/02156</v>
          </cell>
          <cell r="F1492">
            <v>101</v>
          </cell>
          <cell r="L1492" t="str">
            <v>44202-13</v>
          </cell>
        </row>
        <row r="1493">
          <cell r="E1493" t="str">
            <v>D2020/02156</v>
          </cell>
          <cell r="F1493">
            <v>54</v>
          </cell>
          <cell r="L1493" t="str">
            <v>44202-13</v>
          </cell>
        </row>
        <row r="1494">
          <cell r="E1494" t="str">
            <v>D2020/02156</v>
          </cell>
          <cell r="F1494">
            <v>38</v>
          </cell>
          <cell r="L1494" t="str">
            <v>44202-13</v>
          </cell>
        </row>
        <row r="1495">
          <cell r="E1495" t="str">
            <v>D2020/02156</v>
          </cell>
          <cell r="F1495">
            <v>20</v>
          </cell>
          <cell r="L1495" t="str">
            <v>44202-13</v>
          </cell>
        </row>
        <row r="1496">
          <cell r="E1496" t="str">
            <v>D2020/02156</v>
          </cell>
          <cell r="F1496">
            <v>10</v>
          </cell>
          <cell r="L1496" t="str">
            <v>44202-13</v>
          </cell>
        </row>
        <row r="1497">
          <cell r="E1497" t="str">
            <v>D2020/01976</v>
          </cell>
          <cell r="F1497">
            <v>18</v>
          </cell>
          <cell r="L1497" t="str">
            <v>44202-10</v>
          </cell>
        </row>
        <row r="1498">
          <cell r="E1498" t="str">
            <v>D2020/01976</v>
          </cell>
          <cell r="F1498">
            <v>69</v>
          </cell>
          <cell r="L1498" t="str">
            <v>44202-10</v>
          </cell>
        </row>
        <row r="1499">
          <cell r="E1499" t="str">
            <v>D2020/01976</v>
          </cell>
          <cell r="F1499">
            <v>13</v>
          </cell>
          <cell r="L1499" t="str">
            <v>44202-10</v>
          </cell>
        </row>
        <row r="1500">
          <cell r="E1500" t="str">
            <v>D2020/01976</v>
          </cell>
          <cell r="F1500">
            <v>25</v>
          </cell>
          <cell r="L1500" t="str">
            <v>44202-10</v>
          </cell>
        </row>
        <row r="1501">
          <cell r="E1501" t="str">
            <v>D2020/01976</v>
          </cell>
          <cell r="F1501">
            <v>114</v>
          </cell>
          <cell r="L1501" t="str">
            <v>44203-10</v>
          </cell>
        </row>
        <row r="1502">
          <cell r="E1502" t="str">
            <v>D2020/01976</v>
          </cell>
          <cell r="F1502">
            <v>10</v>
          </cell>
          <cell r="L1502" t="str">
            <v>44203-10</v>
          </cell>
        </row>
        <row r="1503">
          <cell r="E1503" t="str">
            <v>D2020/01976</v>
          </cell>
          <cell r="F1503">
            <v>28</v>
          </cell>
          <cell r="L1503" t="str">
            <v>44203-10</v>
          </cell>
        </row>
        <row r="1504">
          <cell r="E1504" t="str">
            <v>D2020/01976</v>
          </cell>
          <cell r="F1504">
            <v>26</v>
          </cell>
          <cell r="L1504" t="str">
            <v>44203-10</v>
          </cell>
        </row>
        <row r="1505">
          <cell r="E1505" t="str">
            <v>D2020/01975</v>
          </cell>
          <cell r="F1505">
            <v>57</v>
          </cell>
          <cell r="L1505" t="str">
            <v>44203-10</v>
          </cell>
        </row>
        <row r="1506">
          <cell r="E1506" t="str">
            <v>D2021/00093</v>
          </cell>
          <cell r="F1506">
            <v>105</v>
          </cell>
          <cell r="L1506" t="str">
            <v>44203-10</v>
          </cell>
        </row>
        <row r="1507">
          <cell r="E1507" t="str">
            <v>D2020/02156</v>
          </cell>
          <cell r="F1507">
            <v>41</v>
          </cell>
          <cell r="L1507" t="str">
            <v>44203-13</v>
          </cell>
        </row>
        <row r="1508">
          <cell r="E1508" t="str">
            <v>D2020/02156</v>
          </cell>
          <cell r="F1508">
            <v>16</v>
          </cell>
          <cell r="L1508" t="str">
            <v>44203-13</v>
          </cell>
        </row>
        <row r="1509">
          <cell r="E1509" t="str">
            <v>D2020/02156</v>
          </cell>
          <cell r="F1509">
            <v>49</v>
          </cell>
          <cell r="L1509" t="str">
            <v>44203-13</v>
          </cell>
        </row>
        <row r="1510">
          <cell r="E1510" t="str">
            <v>D2020/02156</v>
          </cell>
          <cell r="F1510">
            <v>20</v>
          </cell>
          <cell r="L1510" t="str">
            <v>44203-13</v>
          </cell>
        </row>
        <row r="1511">
          <cell r="E1511" t="str">
            <v>D2020/02156</v>
          </cell>
          <cell r="F1511">
            <v>28</v>
          </cell>
          <cell r="L1511" t="str">
            <v>44203-13</v>
          </cell>
        </row>
        <row r="1512">
          <cell r="E1512" t="str">
            <v>D2020/02156</v>
          </cell>
          <cell r="F1512">
            <v>19</v>
          </cell>
          <cell r="L1512" t="str">
            <v>44204-13</v>
          </cell>
        </row>
        <row r="1513">
          <cell r="E1513" t="str">
            <v>D2020/02156</v>
          </cell>
          <cell r="F1513">
            <v>38</v>
          </cell>
          <cell r="L1513" t="str">
            <v>44204-13</v>
          </cell>
        </row>
        <row r="1514">
          <cell r="E1514" t="str">
            <v>D2020/02156</v>
          </cell>
          <cell r="F1514">
            <v>43</v>
          </cell>
          <cell r="L1514" t="str">
            <v>44204-13</v>
          </cell>
        </row>
        <row r="1515">
          <cell r="E1515" t="str">
            <v>D2020/02156</v>
          </cell>
          <cell r="F1515">
            <v>8</v>
          </cell>
          <cell r="L1515" t="str">
            <v>44204-13</v>
          </cell>
        </row>
        <row r="1516">
          <cell r="E1516" t="str">
            <v>D2020/02156</v>
          </cell>
          <cell r="F1516">
            <v>21</v>
          </cell>
          <cell r="L1516" t="str">
            <v>44204-13</v>
          </cell>
        </row>
        <row r="1517">
          <cell r="E1517" t="str">
            <v>D2020/02157</v>
          </cell>
          <cell r="F1517">
            <v>22</v>
          </cell>
          <cell r="L1517" t="str">
            <v>44204-13</v>
          </cell>
        </row>
        <row r="1518">
          <cell r="E1518" t="str">
            <v>D2020/02157</v>
          </cell>
          <cell r="F1518">
            <v>9</v>
          </cell>
          <cell r="L1518" t="str">
            <v>44204-13</v>
          </cell>
        </row>
        <row r="1519">
          <cell r="E1519" t="str">
            <v>D2021/00093</v>
          </cell>
          <cell r="F1519">
            <v>104</v>
          </cell>
          <cell r="L1519" t="str">
            <v>44204-10</v>
          </cell>
        </row>
        <row r="1520">
          <cell r="E1520" t="str">
            <v>D2021/00093</v>
          </cell>
          <cell r="F1520">
            <v>45</v>
          </cell>
          <cell r="L1520" t="str">
            <v>44204-10</v>
          </cell>
        </row>
        <row r="1521">
          <cell r="E1521" t="str">
            <v>D2021/00093</v>
          </cell>
          <cell r="F1521">
            <v>262</v>
          </cell>
          <cell r="L1521" t="str">
            <v>44204-10</v>
          </cell>
        </row>
        <row r="1522">
          <cell r="E1522" t="str">
            <v>D2021/00093</v>
          </cell>
          <cell r="F1522">
            <v>155</v>
          </cell>
          <cell r="L1522" t="str">
            <v>44204-10</v>
          </cell>
        </row>
        <row r="1523">
          <cell r="E1523" t="str">
            <v>D2021/00093</v>
          </cell>
          <cell r="F1523">
            <v>26</v>
          </cell>
          <cell r="L1523" t="str">
            <v>44204-10</v>
          </cell>
        </row>
        <row r="1524">
          <cell r="E1524" t="str">
            <v>D2021/00093</v>
          </cell>
          <cell r="F1524">
            <v>101</v>
          </cell>
          <cell r="L1524" t="str">
            <v>44204-10</v>
          </cell>
        </row>
        <row r="1525">
          <cell r="E1525" t="str">
            <v>D2020/02157</v>
          </cell>
          <cell r="F1525">
            <v>28</v>
          </cell>
          <cell r="L1525" t="str">
            <v>44207-10</v>
          </cell>
        </row>
        <row r="1526">
          <cell r="E1526" t="str">
            <v>D2020/02157</v>
          </cell>
          <cell r="F1526">
            <v>25</v>
          </cell>
          <cell r="L1526" t="str">
            <v>44207-10</v>
          </cell>
        </row>
        <row r="1527">
          <cell r="E1527" t="str">
            <v>D2020/02157</v>
          </cell>
          <cell r="F1527">
            <v>20</v>
          </cell>
          <cell r="L1527" t="str">
            <v>44207-10</v>
          </cell>
        </row>
        <row r="1528">
          <cell r="E1528" t="str">
            <v>D2020/02157</v>
          </cell>
          <cell r="F1528">
            <v>28</v>
          </cell>
          <cell r="L1528" t="str">
            <v>44207-10</v>
          </cell>
        </row>
        <row r="1529">
          <cell r="E1529" t="str">
            <v>D2020/02157</v>
          </cell>
          <cell r="F1529">
            <v>17</v>
          </cell>
          <cell r="L1529" t="str">
            <v>44207-10</v>
          </cell>
        </row>
        <row r="1530">
          <cell r="E1530" t="str">
            <v>D2020/02157</v>
          </cell>
          <cell r="F1530">
            <v>12</v>
          </cell>
          <cell r="L1530" t="str">
            <v>44207-10</v>
          </cell>
        </row>
        <row r="1531">
          <cell r="E1531" t="str">
            <v>D2020/02157</v>
          </cell>
          <cell r="F1531">
            <v>6</v>
          </cell>
          <cell r="L1531" t="str">
            <v>44207-10</v>
          </cell>
        </row>
        <row r="1532">
          <cell r="E1532" t="str">
            <v>D2021/00093</v>
          </cell>
          <cell r="F1532">
            <v>37</v>
          </cell>
          <cell r="L1532" t="str">
            <v>44207-27</v>
          </cell>
        </row>
        <row r="1533">
          <cell r="E1533" t="str">
            <v>D2021/00093</v>
          </cell>
          <cell r="F1533">
            <v>26</v>
          </cell>
          <cell r="L1533" t="str">
            <v>44207-27</v>
          </cell>
        </row>
        <row r="1534">
          <cell r="E1534" t="str">
            <v>D2021/00093</v>
          </cell>
          <cell r="F1534">
            <v>49</v>
          </cell>
          <cell r="L1534" t="str">
            <v>44207-27</v>
          </cell>
        </row>
        <row r="1535">
          <cell r="E1535" t="str">
            <v>D2021/00097</v>
          </cell>
          <cell r="F1535">
            <v>109</v>
          </cell>
          <cell r="L1535" t="str">
            <v>44207-27</v>
          </cell>
        </row>
        <row r="1536">
          <cell r="E1536" t="str">
            <v>D2021/00097</v>
          </cell>
          <cell r="F1536">
            <v>34</v>
          </cell>
          <cell r="L1536" t="str">
            <v>44207-27</v>
          </cell>
        </row>
        <row r="1537">
          <cell r="E1537" t="str">
            <v>D2021/00097</v>
          </cell>
          <cell r="F1537">
            <v>38</v>
          </cell>
          <cell r="L1537" t="str">
            <v>44207-27</v>
          </cell>
        </row>
        <row r="1538">
          <cell r="E1538" t="str">
            <v>D2021/00097</v>
          </cell>
          <cell r="F1538">
            <v>7</v>
          </cell>
          <cell r="L1538" t="str">
            <v>44207-27</v>
          </cell>
        </row>
        <row r="1539">
          <cell r="E1539" t="str">
            <v>D2020/02157</v>
          </cell>
          <cell r="F1539">
            <v>24</v>
          </cell>
          <cell r="L1539" t="str">
            <v>44208-10</v>
          </cell>
        </row>
        <row r="1540">
          <cell r="E1540" t="str">
            <v>D2020/02158</v>
          </cell>
          <cell r="F1540">
            <v>55</v>
          </cell>
          <cell r="L1540" t="str">
            <v>44208-10</v>
          </cell>
        </row>
        <row r="1541">
          <cell r="E1541" t="str">
            <v>D2020/02158</v>
          </cell>
          <cell r="F1541">
            <v>28</v>
          </cell>
          <cell r="L1541" t="str">
            <v>44208-10</v>
          </cell>
        </row>
        <row r="1542">
          <cell r="E1542" t="str">
            <v>D2020/02158</v>
          </cell>
          <cell r="F1542">
            <v>25</v>
          </cell>
          <cell r="L1542" t="str">
            <v>44208-10</v>
          </cell>
        </row>
        <row r="1543">
          <cell r="E1543" t="str">
            <v>D2020/02158</v>
          </cell>
          <cell r="F1543">
            <v>13</v>
          </cell>
          <cell r="L1543" t="str">
            <v>44208-10</v>
          </cell>
        </row>
        <row r="1544">
          <cell r="E1544" t="str">
            <v>D2021/00250</v>
          </cell>
          <cell r="F1544">
            <v>30</v>
          </cell>
          <cell r="L1544" t="str">
            <v>44208-10</v>
          </cell>
        </row>
        <row r="1545">
          <cell r="E1545" t="str">
            <v>D2021/00097</v>
          </cell>
          <cell r="F1545">
            <v>78</v>
          </cell>
          <cell r="L1545" t="str">
            <v>44208-14</v>
          </cell>
        </row>
        <row r="1546">
          <cell r="E1546" t="str">
            <v>D2021/00097</v>
          </cell>
          <cell r="F1546">
            <v>58</v>
          </cell>
          <cell r="L1546" t="str">
            <v>44208-14</v>
          </cell>
        </row>
        <row r="1547">
          <cell r="E1547" t="str">
            <v>D2021/00097</v>
          </cell>
          <cell r="F1547">
            <v>76</v>
          </cell>
          <cell r="L1547" t="str">
            <v>44208-14</v>
          </cell>
        </row>
        <row r="1548">
          <cell r="E1548" t="str">
            <v>D2020/01975</v>
          </cell>
          <cell r="F1548">
            <v>125</v>
          </cell>
          <cell r="L1548" t="str">
            <v>44208-14</v>
          </cell>
        </row>
        <row r="1549">
          <cell r="E1549" t="str">
            <v>D2020/01975</v>
          </cell>
          <cell r="F1549">
            <v>45</v>
          </cell>
          <cell r="L1549" t="str">
            <v>44208-14</v>
          </cell>
        </row>
        <row r="1550">
          <cell r="E1550" t="str">
            <v>D2020/01975</v>
          </cell>
          <cell r="F1550">
            <v>73</v>
          </cell>
          <cell r="L1550" t="str">
            <v>44208-14</v>
          </cell>
        </row>
        <row r="1551">
          <cell r="E1551" t="str">
            <v>D2020/01975</v>
          </cell>
          <cell r="F1551">
            <v>100</v>
          </cell>
          <cell r="L1551" t="str">
            <v>44209-14</v>
          </cell>
        </row>
        <row r="1552">
          <cell r="E1552" t="str">
            <v>D2020/01975</v>
          </cell>
          <cell r="F1552">
            <v>176</v>
          </cell>
          <cell r="L1552" t="str">
            <v>44209-14</v>
          </cell>
        </row>
        <row r="1553">
          <cell r="E1553" t="str">
            <v>D2020/01975</v>
          </cell>
          <cell r="F1553">
            <v>508</v>
          </cell>
          <cell r="L1553" t="str">
            <v>44209-14</v>
          </cell>
        </row>
        <row r="1554">
          <cell r="E1554" t="str">
            <v>D2020/01975</v>
          </cell>
          <cell r="F1554">
            <v>125</v>
          </cell>
          <cell r="L1554" t="str">
            <v>44209-14</v>
          </cell>
        </row>
        <row r="1555">
          <cell r="E1555" t="str">
            <v>D2020/01975</v>
          </cell>
          <cell r="F1555">
            <v>12</v>
          </cell>
          <cell r="L1555" t="str">
            <v>44209-14</v>
          </cell>
        </row>
        <row r="1556">
          <cell r="E1556" t="str">
            <v>D2021/00096</v>
          </cell>
          <cell r="F1556">
            <v>123</v>
          </cell>
          <cell r="L1556" t="str">
            <v>44209-14</v>
          </cell>
        </row>
        <row r="1557">
          <cell r="E1557" t="str">
            <v>D2021/00096</v>
          </cell>
          <cell r="F1557">
            <v>14</v>
          </cell>
          <cell r="L1557" t="str">
            <v>44209-14</v>
          </cell>
        </row>
        <row r="1558">
          <cell r="E1558" t="str">
            <v>D2021/00250</v>
          </cell>
          <cell r="F1558">
            <v>18</v>
          </cell>
          <cell r="L1558" t="str">
            <v>44209-10</v>
          </cell>
        </row>
        <row r="1559">
          <cell r="E1559" t="str">
            <v>D2021/00250</v>
          </cell>
          <cell r="F1559">
            <v>19</v>
          </cell>
          <cell r="L1559" t="str">
            <v>44209-10</v>
          </cell>
        </row>
        <row r="1560">
          <cell r="E1560" t="str">
            <v>D2021/00250</v>
          </cell>
          <cell r="F1560">
            <v>11</v>
          </cell>
          <cell r="L1560" t="str">
            <v>44209-10</v>
          </cell>
        </row>
        <row r="1561">
          <cell r="E1561" t="str">
            <v>D2021/00250</v>
          </cell>
          <cell r="F1561">
            <v>34</v>
          </cell>
          <cell r="L1561" t="str">
            <v>44209-10</v>
          </cell>
        </row>
        <row r="1562">
          <cell r="E1562" t="str">
            <v>D2021/00250</v>
          </cell>
          <cell r="F1562">
            <v>140</v>
          </cell>
          <cell r="L1562" t="str">
            <v>44209-10</v>
          </cell>
        </row>
        <row r="1563">
          <cell r="E1563" t="str">
            <v>D2021/00250</v>
          </cell>
          <cell r="F1563">
            <v>31</v>
          </cell>
          <cell r="L1563" t="str">
            <v>44209-10</v>
          </cell>
        </row>
        <row r="1564">
          <cell r="E1564" t="str">
            <v>D2021/00250</v>
          </cell>
          <cell r="F1564">
            <v>12</v>
          </cell>
          <cell r="L1564" t="str">
            <v>44209-10</v>
          </cell>
        </row>
        <row r="1565">
          <cell r="E1565" t="str">
            <v>D2021/00250</v>
          </cell>
          <cell r="F1565">
            <v>38</v>
          </cell>
          <cell r="L1565" t="str">
            <v>44209-10</v>
          </cell>
        </row>
        <row r="1566">
          <cell r="E1566" t="str">
            <v>D2021/00096</v>
          </cell>
          <cell r="F1566">
            <v>91</v>
          </cell>
          <cell r="L1566" t="str">
            <v>44210-14</v>
          </cell>
        </row>
        <row r="1567">
          <cell r="E1567" t="str">
            <v>D2021/00096</v>
          </cell>
          <cell r="F1567">
            <v>25</v>
          </cell>
          <cell r="L1567" t="str">
            <v>44210-14</v>
          </cell>
        </row>
        <row r="1568">
          <cell r="E1568" t="str">
            <v>D2021/00096</v>
          </cell>
          <cell r="F1568">
            <v>159</v>
          </cell>
          <cell r="L1568" t="str">
            <v>44210-14</v>
          </cell>
        </row>
        <row r="1569">
          <cell r="E1569" t="str">
            <v>D2021/00096</v>
          </cell>
          <cell r="F1569">
            <v>35</v>
          </cell>
          <cell r="L1569" t="str">
            <v>44210-14</v>
          </cell>
        </row>
        <row r="1570">
          <cell r="E1570" t="str">
            <v>D2021/00250</v>
          </cell>
          <cell r="F1570">
            <v>33</v>
          </cell>
          <cell r="L1570" t="str">
            <v>44210-10</v>
          </cell>
        </row>
        <row r="1571">
          <cell r="E1571" t="str">
            <v>D2021/00250</v>
          </cell>
          <cell r="F1571">
            <v>35</v>
          </cell>
          <cell r="L1571" t="str">
            <v>44210-10</v>
          </cell>
        </row>
        <row r="1572">
          <cell r="E1572" t="str">
            <v>D2021/00250</v>
          </cell>
          <cell r="F1572">
            <v>22</v>
          </cell>
          <cell r="L1572" t="str">
            <v>44210-10</v>
          </cell>
        </row>
        <row r="1573">
          <cell r="E1573" t="str">
            <v>D2021/00250</v>
          </cell>
          <cell r="F1573">
            <v>13</v>
          </cell>
          <cell r="L1573" t="str">
            <v>44210-10</v>
          </cell>
        </row>
        <row r="1574">
          <cell r="E1574" t="str">
            <v>D2021/00250</v>
          </cell>
          <cell r="F1574">
            <v>156</v>
          </cell>
          <cell r="L1574" t="str">
            <v>44210-10</v>
          </cell>
        </row>
        <row r="1575">
          <cell r="E1575" t="str">
            <v>D2021/00250</v>
          </cell>
          <cell r="F1575">
            <v>76</v>
          </cell>
          <cell r="L1575" t="str">
            <v>44210-10</v>
          </cell>
        </row>
        <row r="1576">
          <cell r="E1576" t="str">
            <v>D2021/00250</v>
          </cell>
          <cell r="F1576">
            <v>8</v>
          </cell>
          <cell r="L1576" t="str">
            <v>44210-10</v>
          </cell>
        </row>
        <row r="1577">
          <cell r="E1577" t="str">
            <v>D2021/00095</v>
          </cell>
          <cell r="F1577">
            <v>66</v>
          </cell>
          <cell r="L1577" t="str">
            <v>44211-14</v>
          </cell>
        </row>
        <row r="1578">
          <cell r="E1578" t="str">
            <v>D2021/00095</v>
          </cell>
          <cell r="F1578">
            <v>121</v>
          </cell>
          <cell r="L1578" t="str">
            <v>44211-14</v>
          </cell>
        </row>
        <row r="1579">
          <cell r="E1579" t="str">
            <v>D2021/00095</v>
          </cell>
          <cell r="F1579">
            <v>58</v>
          </cell>
          <cell r="L1579" t="str">
            <v>44211-14</v>
          </cell>
        </row>
        <row r="1580">
          <cell r="E1580" t="str">
            <v>D2021/00095</v>
          </cell>
          <cell r="F1580">
            <v>66</v>
          </cell>
          <cell r="L1580" t="str">
            <v>44211-14</v>
          </cell>
        </row>
        <row r="1581">
          <cell r="E1581" t="str">
            <v>D2021/00095</v>
          </cell>
          <cell r="F1581">
            <v>104</v>
          </cell>
          <cell r="L1581" t="str">
            <v>44211-14</v>
          </cell>
        </row>
        <row r="1582">
          <cell r="E1582" t="str">
            <v>D2021/00095</v>
          </cell>
          <cell r="F1582">
            <v>243</v>
          </cell>
          <cell r="L1582" t="str">
            <v>44211-14</v>
          </cell>
        </row>
        <row r="1583">
          <cell r="E1583" t="str">
            <v>D2021/00095</v>
          </cell>
          <cell r="F1583">
            <v>92</v>
          </cell>
          <cell r="L1583" t="str">
            <v>44211-14</v>
          </cell>
        </row>
        <row r="1584">
          <cell r="E1584" t="str">
            <v>D2021/00250</v>
          </cell>
          <cell r="F1584">
            <v>23</v>
          </cell>
          <cell r="L1584" t="str">
            <v>44211-10</v>
          </cell>
        </row>
        <row r="1585">
          <cell r="E1585" t="str">
            <v>D2021/00250</v>
          </cell>
          <cell r="F1585">
            <v>23</v>
          </cell>
          <cell r="L1585" t="str">
            <v>44211-10</v>
          </cell>
        </row>
        <row r="1586">
          <cell r="E1586" t="str">
            <v>D2021/00250</v>
          </cell>
          <cell r="F1586">
            <v>26</v>
          </cell>
          <cell r="L1586" t="str">
            <v>44211-10</v>
          </cell>
        </row>
        <row r="1587">
          <cell r="E1587" t="str">
            <v>D2021/00250</v>
          </cell>
          <cell r="F1587">
            <v>24</v>
          </cell>
          <cell r="L1587" t="str">
            <v>44211-10</v>
          </cell>
        </row>
        <row r="1588">
          <cell r="E1588" t="str">
            <v>D2021/00250</v>
          </cell>
          <cell r="F1588">
            <v>22</v>
          </cell>
          <cell r="L1588" t="str">
            <v>44211-10</v>
          </cell>
        </row>
        <row r="1589">
          <cell r="E1589" t="str">
            <v>D2021/00250</v>
          </cell>
          <cell r="F1589">
            <v>6</v>
          </cell>
          <cell r="L1589" t="str">
            <v>44211-10</v>
          </cell>
        </row>
        <row r="1590">
          <cell r="E1590" t="str">
            <v>D2021/00250</v>
          </cell>
          <cell r="F1590">
            <v>10</v>
          </cell>
          <cell r="L1590" t="str">
            <v>44211-10</v>
          </cell>
        </row>
        <row r="1591">
          <cell r="E1591" t="str">
            <v>D2021/00250</v>
          </cell>
          <cell r="F1591">
            <v>24</v>
          </cell>
          <cell r="L1591" t="str">
            <v>44211-10</v>
          </cell>
        </row>
        <row r="1592">
          <cell r="E1592" t="str">
            <v>D2021/00250</v>
          </cell>
          <cell r="F1592">
            <v>5</v>
          </cell>
          <cell r="L1592" t="str">
            <v>44211-10</v>
          </cell>
        </row>
        <row r="1593">
          <cell r="E1593" t="str">
            <v>D2021/00250</v>
          </cell>
          <cell r="F1593">
            <v>6</v>
          </cell>
          <cell r="L1593" t="str">
            <v>44211-10</v>
          </cell>
        </row>
        <row r="1594">
          <cell r="E1594" t="str">
            <v>D2021/00250</v>
          </cell>
          <cell r="F1594">
            <v>14</v>
          </cell>
          <cell r="L1594" t="str">
            <v>44211-10</v>
          </cell>
        </row>
        <row r="1595">
          <cell r="E1595" t="str">
            <v>D2021/00095</v>
          </cell>
          <cell r="F1595">
            <v>60</v>
          </cell>
          <cell r="L1595" t="str">
            <v>44214-13</v>
          </cell>
        </row>
        <row r="1596">
          <cell r="E1596" t="str">
            <v>D2021/00095</v>
          </cell>
          <cell r="F1596">
            <v>71</v>
          </cell>
          <cell r="L1596" t="str">
            <v>44214-13</v>
          </cell>
        </row>
        <row r="1597">
          <cell r="E1597" t="str">
            <v>D2021/00094</v>
          </cell>
          <cell r="F1597">
            <v>28</v>
          </cell>
          <cell r="L1597" t="str">
            <v>44214-13</v>
          </cell>
        </row>
        <row r="1598">
          <cell r="E1598" t="str">
            <v>D2021/00094</v>
          </cell>
          <cell r="F1598">
            <v>69</v>
          </cell>
          <cell r="L1598" t="str">
            <v>44214-13</v>
          </cell>
        </row>
        <row r="1599">
          <cell r="E1599" t="str">
            <v>D2021/00094</v>
          </cell>
          <cell r="F1599">
            <v>73</v>
          </cell>
          <cell r="L1599" t="str">
            <v>44214-13</v>
          </cell>
        </row>
        <row r="1600">
          <cell r="E1600" t="str">
            <v>D2021/00094</v>
          </cell>
          <cell r="F1600">
            <v>46</v>
          </cell>
          <cell r="L1600" t="str">
            <v>44214-13</v>
          </cell>
        </row>
        <row r="1601">
          <cell r="E1601" t="str">
            <v>D2021/00094</v>
          </cell>
          <cell r="F1601">
            <v>7</v>
          </cell>
          <cell r="L1601" t="str">
            <v>44214-13</v>
          </cell>
        </row>
        <row r="1602">
          <cell r="E1602" t="str">
            <v>D2021/00250</v>
          </cell>
          <cell r="F1602">
            <v>45</v>
          </cell>
          <cell r="L1602" t="str">
            <v>44214-14</v>
          </cell>
        </row>
        <row r="1603">
          <cell r="E1603" t="str">
            <v>D2021/00250</v>
          </cell>
          <cell r="F1603">
            <v>39</v>
          </cell>
          <cell r="L1603" t="str">
            <v>44214-14</v>
          </cell>
        </row>
        <row r="1604">
          <cell r="E1604" t="str">
            <v>D2021/00250</v>
          </cell>
          <cell r="F1604">
            <v>36</v>
          </cell>
          <cell r="L1604" t="str">
            <v>44214-14</v>
          </cell>
        </row>
        <row r="1605">
          <cell r="E1605" t="str">
            <v>D2021/00250</v>
          </cell>
          <cell r="F1605">
            <v>17</v>
          </cell>
          <cell r="L1605" t="str">
            <v>44214-14</v>
          </cell>
        </row>
        <row r="1606">
          <cell r="E1606" t="str">
            <v>D2021/00250</v>
          </cell>
          <cell r="F1606">
            <v>23</v>
          </cell>
          <cell r="L1606" t="str">
            <v>44214-14</v>
          </cell>
        </row>
        <row r="1607">
          <cell r="E1607" t="str">
            <v>D2021/00250</v>
          </cell>
          <cell r="F1607">
            <v>43</v>
          </cell>
          <cell r="L1607" t="str">
            <v>44214-14</v>
          </cell>
        </row>
        <row r="1608">
          <cell r="E1608" t="str">
            <v>D2021/00250</v>
          </cell>
          <cell r="F1608">
            <v>47</v>
          </cell>
          <cell r="L1608" t="str">
            <v>44214-14</v>
          </cell>
        </row>
        <row r="1609">
          <cell r="E1609" t="str">
            <v>D2021/00250</v>
          </cell>
          <cell r="F1609">
            <v>11</v>
          </cell>
          <cell r="L1609" t="str">
            <v>44214-14</v>
          </cell>
        </row>
        <row r="1610">
          <cell r="E1610" t="str">
            <v>D2021/00250</v>
          </cell>
          <cell r="F1610">
            <v>3</v>
          </cell>
          <cell r="L1610" t="str">
            <v>44214-14</v>
          </cell>
        </row>
        <row r="1611">
          <cell r="E1611" t="str">
            <v>D2021/00094</v>
          </cell>
          <cell r="F1611">
            <v>55</v>
          </cell>
          <cell r="L1611" t="str">
            <v>44215-13</v>
          </cell>
        </row>
        <row r="1612">
          <cell r="E1612" t="str">
            <v>D2021/00094</v>
          </cell>
          <cell r="F1612">
            <v>20</v>
          </cell>
          <cell r="L1612" t="str">
            <v>44215-13</v>
          </cell>
        </row>
        <row r="1613">
          <cell r="E1613" t="str">
            <v>D2021/00094</v>
          </cell>
          <cell r="F1613">
            <v>16</v>
          </cell>
          <cell r="L1613" t="str">
            <v>44215-13</v>
          </cell>
        </row>
        <row r="1614">
          <cell r="E1614" t="str">
            <v>D2021/00094</v>
          </cell>
          <cell r="F1614">
            <v>9</v>
          </cell>
          <cell r="L1614" t="str">
            <v>44215-13</v>
          </cell>
        </row>
        <row r="1615">
          <cell r="E1615" t="str">
            <v>D2021/00094</v>
          </cell>
          <cell r="F1615">
            <v>25</v>
          </cell>
          <cell r="L1615" t="str">
            <v>44215-13</v>
          </cell>
        </row>
        <row r="1616">
          <cell r="E1616" t="str">
            <v>D2021/00094</v>
          </cell>
          <cell r="F1616">
            <v>27</v>
          </cell>
          <cell r="L1616" t="str">
            <v>44215-13</v>
          </cell>
        </row>
        <row r="1617">
          <cell r="E1617" t="str">
            <v>D2021/00094</v>
          </cell>
          <cell r="F1617">
            <v>94</v>
          </cell>
          <cell r="L1617" t="str">
            <v>44215-13</v>
          </cell>
        </row>
        <row r="1618">
          <cell r="E1618" t="str">
            <v>D2021/00340</v>
          </cell>
          <cell r="F1618">
            <v>175</v>
          </cell>
          <cell r="L1618" t="str">
            <v>44215-13</v>
          </cell>
        </row>
        <row r="1619">
          <cell r="E1619" t="str">
            <v>D2021/00340</v>
          </cell>
          <cell r="F1619">
            <v>75</v>
          </cell>
          <cell r="L1619" t="str">
            <v>44215-13</v>
          </cell>
        </row>
        <row r="1620">
          <cell r="E1620" t="str">
            <v>D2021/00340</v>
          </cell>
          <cell r="F1620">
            <v>39</v>
          </cell>
          <cell r="L1620" t="str">
            <v>44215-13</v>
          </cell>
        </row>
        <row r="1621">
          <cell r="E1621" t="str">
            <v>D2021/00250</v>
          </cell>
          <cell r="F1621">
            <v>22</v>
          </cell>
          <cell r="L1621" t="str">
            <v>44215-14</v>
          </cell>
        </row>
        <row r="1622">
          <cell r="E1622" t="str">
            <v>D2021/00250</v>
          </cell>
          <cell r="F1622">
            <v>18</v>
          </cell>
          <cell r="L1622" t="str">
            <v>44215-14</v>
          </cell>
        </row>
        <row r="1623">
          <cell r="E1623" t="str">
            <v>D2021/00250</v>
          </cell>
          <cell r="F1623">
            <v>39</v>
          </cell>
          <cell r="L1623" t="str">
            <v>44215-14</v>
          </cell>
        </row>
        <row r="1624">
          <cell r="E1624" t="str">
            <v>D2021/00250</v>
          </cell>
          <cell r="F1624">
            <v>17</v>
          </cell>
          <cell r="L1624" t="str">
            <v>44215-14</v>
          </cell>
        </row>
        <row r="1625">
          <cell r="E1625" t="str">
            <v>D2021/00250</v>
          </cell>
          <cell r="F1625">
            <v>14</v>
          </cell>
          <cell r="L1625" t="str">
            <v>44215-14</v>
          </cell>
        </row>
        <row r="1626">
          <cell r="E1626" t="str">
            <v>D2021/00250</v>
          </cell>
          <cell r="F1626">
            <v>22</v>
          </cell>
          <cell r="L1626" t="str">
            <v>44215-14</v>
          </cell>
        </row>
        <row r="1627">
          <cell r="E1627" t="str">
            <v>D2021/00250</v>
          </cell>
          <cell r="F1627">
            <v>33</v>
          </cell>
          <cell r="L1627" t="str">
            <v>44215-14</v>
          </cell>
        </row>
        <row r="1628">
          <cell r="E1628" t="str">
            <v>D2021/00340</v>
          </cell>
          <cell r="F1628">
            <v>31</v>
          </cell>
          <cell r="L1628" t="str">
            <v>44216-13</v>
          </cell>
        </row>
        <row r="1629">
          <cell r="E1629" t="str">
            <v>D2021/00340</v>
          </cell>
          <cell r="F1629">
            <v>9</v>
          </cell>
          <cell r="L1629" t="str">
            <v>44216-13</v>
          </cell>
        </row>
        <row r="1630">
          <cell r="E1630" t="str">
            <v>D2021/00340</v>
          </cell>
          <cell r="F1630">
            <v>70</v>
          </cell>
          <cell r="L1630" t="str">
            <v>44216-13</v>
          </cell>
        </row>
        <row r="1631">
          <cell r="E1631" t="str">
            <v>D2021/00339</v>
          </cell>
          <cell r="F1631">
            <v>29</v>
          </cell>
          <cell r="L1631" t="str">
            <v>44216-13</v>
          </cell>
        </row>
        <row r="1632">
          <cell r="E1632" t="str">
            <v>D2021/00339</v>
          </cell>
          <cell r="F1632">
            <v>119</v>
          </cell>
          <cell r="L1632" t="str">
            <v>44216-13</v>
          </cell>
        </row>
        <row r="1633">
          <cell r="E1633" t="str">
            <v>D2021/00339</v>
          </cell>
          <cell r="F1633">
            <v>68</v>
          </cell>
          <cell r="L1633" t="str">
            <v>44216-13</v>
          </cell>
        </row>
        <row r="1634">
          <cell r="E1634" t="str">
            <v>D2021/00339</v>
          </cell>
          <cell r="F1634">
            <v>222</v>
          </cell>
          <cell r="L1634" t="str">
            <v>44216-13</v>
          </cell>
        </row>
        <row r="1635">
          <cell r="E1635" t="str">
            <v>D2021/00339</v>
          </cell>
          <cell r="F1635">
            <v>148</v>
          </cell>
          <cell r="L1635" t="str">
            <v>44216-13</v>
          </cell>
        </row>
        <row r="1636">
          <cell r="E1636" t="str">
            <v>D2021/00339</v>
          </cell>
          <cell r="F1636">
            <v>52</v>
          </cell>
          <cell r="L1636" t="str">
            <v>44216-13</v>
          </cell>
        </row>
        <row r="1637">
          <cell r="E1637" t="str">
            <v>D2021/00250</v>
          </cell>
          <cell r="F1637">
            <v>50</v>
          </cell>
          <cell r="L1637" t="str">
            <v>44216-14</v>
          </cell>
        </row>
        <row r="1638">
          <cell r="E1638" t="str">
            <v>D2021/00250</v>
          </cell>
          <cell r="F1638">
            <v>30</v>
          </cell>
          <cell r="L1638" t="str">
            <v>44216-14</v>
          </cell>
        </row>
        <row r="1639">
          <cell r="E1639" t="str">
            <v>D2021/00250</v>
          </cell>
          <cell r="F1639">
            <v>13</v>
          </cell>
          <cell r="L1639" t="str">
            <v>44216-14</v>
          </cell>
        </row>
        <row r="1640">
          <cell r="E1640" t="str">
            <v>D2021/00335</v>
          </cell>
          <cell r="F1640">
            <v>43</v>
          </cell>
          <cell r="L1640" t="str">
            <v>44216-14</v>
          </cell>
        </row>
        <row r="1641">
          <cell r="E1641" t="str">
            <v>D2021/00335</v>
          </cell>
          <cell r="F1641">
            <v>25</v>
          </cell>
          <cell r="L1641" t="str">
            <v>44216-14</v>
          </cell>
        </row>
        <row r="1642">
          <cell r="E1642" t="str">
            <v>D2021/00335</v>
          </cell>
          <cell r="F1642">
            <v>15</v>
          </cell>
          <cell r="L1642" t="str">
            <v>44216-14</v>
          </cell>
        </row>
        <row r="1643">
          <cell r="E1643" t="str">
            <v>D2021/00335</v>
          </cell>
          <cell r="F1643">
            <v>35</v>
          </cell>
          <cell r="L1643" t="str">
            <v>44216-14</v>
          </cell>
        </row>
        <row r="1644">
          <cell r="E1644" t="str">
            <v>D2021/00339</v>
          </cell>
          <cell r="F1644">
            <v>30</v>
          </cell>
          <cell r="L1644" t="str">
            <v>44217-13</v>
          </cell>
        </row>
        <row r="1645">
          <cell r="E1645" t="str">
            <v>D2021/00339</v>
          </cell>
          <cell r="F1645">
            <v>35</v>
          </cell>
          <cell r="L1645" t="str">
            <v>44217-13</v>
          </cell>
        </row>
        <row r="1646">
          <cell r="E1646" t="str">
            <v>D2021/00339</v>
          </cell>
          <cell r="F1646">
            <v>79</v>
          </cell>
          <cell r="L1646" t="str">
            <v>44217-13</v>
          </cell>
        </row>
        <row r="1647">
          <cell r="E1647" t="str">
            <v>D2021/00339</v>
          </cell>
          <cell r="F1647">
            <v>66</v>
          </cell>
          <cell r="L1647" t="str">
            <v>44217-13</v>
          </cell>
        </row>
        <row r="1648">
          <cell r="E1648" t="str">
            <v>D2021/00339</v>
          </cell>
          <cell r="F1648">
            <v>24</v>
          </cell>
          <cell r="L1648" t="str">
            <v>44217-13</v>
          </cell>
        </row>
        <row r="1649">
          <cell r="E1649" t="str">
            <v>D2021/00339</v>
          </cell>
          <cell r="F1649">
            <v>30</v>
          </cell>
          <cell r="L1649" t="str">
            <v>44217-13</v>
          </cell>
        </row>
        <row r="1650">
          <cell r="E1650" t="str">
            <v>D2021/00339</v>
          </cell>
          <cell r="F1650">
            <v>60</v>
          </cell>
          <cell r="L1650" t="str">
            <v>44217-13</v>
          </cell>
        </row>
        <row r="1651">
          <cell r="E1651" t="str">
            <v>D2021/00339</v>
          </cell>
          <cell r="F1651">
            <v>41</v>
          </cell>
          <cell r="L1651" t="str">
            <v>44217-13</v>
          </cell>
        </row>
        <row r="1652">
          <cell r="E1652" t="str">
            <v>D2021/00339</v>
          </cell>
          <cell r="F1652">
            <v>25</v>
          </cell>
          <cell r="L1652" t="str">
            <v>44217-13</v>
          </cell>
        </row>
        <row r="1653">
          <cell r="E1653" t="str">
            <v>D2021/00339</v>
          </cell>
          <cell r="F1653">
            <v>47</v>
          </cell>
          <cell r="L1653" t="str">
            <v>44217-13</v>
          </cell>
        </row>
        <row r="1654">
          <cell r="E1654" t="str">
            <v>D2021/00339</v>
          </cell>
          <cell r="F1654">
            <v>25</v>
          </cell>
          <cell r="L1654" t="str">
            <v>44217-13</v>
          </cell>
        </row>
        <row r="1655">
          <cell r="E1655" t="str">
            <v>D2021/00335</v>
          </cell>
          <cell r="F1655">
            <v>55</v>
          </cell>
          <cell r="L1655" t="str">
            <v>44217-14</v>
          </cell>
        </row>
        <row r="1656">
          <cell r="E1656" t="str">
            <v>D2021/00335</v>
          </cell>
          <cell r="F1656">
            <v>42</v>
          </cell>
          <cell r="L1656" t="str">
            <v>44217-14</v>
          </cell>
        </row>
        <row r="1657">
          <cell r="E1657" t="str">
            <v>D2021/00335</v>
          </cell>
          <cell r="F1657">
            <v>77</v>
          </cell>
          <cell r="L1657" t="str">
            <v>44217-14</v>
          </cell>
        </row>
        <row r="1658">
          <cell r="E1658" t="str">
            <v>D2021/00335</v>
          </cell>
          <cell r="F1658">
            <v>38</v>
          </cell>
          <cell r="L1658" t="str">
            <v>44217-14</v>
          </cell>
        </row>
        <row r="1659">
          <cell r="E1659" t="str">
            <v>D2021/00339</v>
          </cell>
          <cell r="F1659">
            <v>117</v>
          </cell>
          <cell r="L1659" t="str">
            <v>44218-13</v>
          </cell>
        </row>
        <row r="1660">
          <cell r="E1660" t="str">
            <v>D2021/00339</v>
          </cell>
          <cell r="F1660">
            <v>106</v>
          </cell>
          <cell r="L1660" t="str">
            <v>44218-13</v>
          </cell>
        </row>
        <row r="1661">
          <cell r="E1661" t="str">
            <v>D2021/00339</v>
          </cell>
          <cell r="F1661">
            <v>15</v>
          </cell>
          <cell r="L1661" t="str">
            <v>44218-13</v>
          </cell>
        </row>
        <row r="1662">
          <cell r="E1662" t="str">
            <v>D2021/00339</v>
          </cell>
          <cell r="F1662">
            <v>25</v>
          </cell>
          <cell r="L1662" t="str">
            <v>44218-13</v>
          </cell>
        </row>
        <row r="1663">
          <cell r="E1663" t="str">
            <v>D2021/00339</v>
          </cell>
          <cell r="F1663">
            <v>6</v>
          </cell>
          <cell r="L1663" t="str">
            <v>44218-13</v>
          </cell>
        </row>
        <row r="1664">
          <cell r="E1664" t="str">
            <v>D2021/00339</v>
          </cell>
          <cell r="F1664">
            <v>49</v>
          </cell>
          <cell r="L1664" t="str">
            <v>44218-13</v>
          </cell>
        </row>
        <row r="1665">
          <cell r="E1665" t="str">
            <v>D2021/00339</v>
          </cell>
          <cell r="F1665">
            <v>18</v>
          </cell>
          <cell r="L1665" t="str">
            <v>44218-13</v>
          </cell>
        </row>
        <row r="1666">
          <cell r="E1666" t="str">
            <v>D2021/00339</v>
          </cell>
          <cell r="F1666">
            <v>19</v>
          </cell>
          <cell r="L1666" t="str">
            <v>44218-13</v>
          </cell>
        </row>
        <row r="1667">
          <cell r="E1667" t="str">
            <v>D2021/00339</v>
          </cell>
          <cell r="F1667">
            <v>4</v>
          </cell>
          <cell r="L1667" t="str">
            <v>44218-13</v>
          </cell>
        </row>
        <row r="1668">
          <cell r="E1668" t="str">
            <v>D2021/00335</v>
          </cell>
          <cell r="F1668">
            <v>14</v>
          </cell>
          <cell r="L1668" t="str">
            <v>44218-14</v>
          </cell>
        </row>
        <row r="1669">
          <cell r="E1669" t="str">
            <v>D2021/00335</v>
          </cell>
          <cell r="F1669">
            <v>19</v>
          </cell>
          <cell r="L1669" t="str">
            <v>44218-14</v>
          </cell>
        </row>
        <row r="1670">
          <cell r="E1670" t="str">
            <v>D2021/00335</v>
          </cell>
          <cell r="F1670">
            <v>20</v>
          </cell>
          <cell r="L1670" t="str">
            <v>44218-14</v>
          </cell>
        </row>
        <row r="1671">
          <cell r="E1671" t="str">
            <v>D2021/00335</v>
          </cell>
          <cell r="F1671">
            <v>93</v>
          </cell>
          <cell r="L1671" t="str">
            <v>44218-14</v>
          </cell>
        </row>
        <row r="1672">
          <cell r="E1672" t="str">
            <v>D2021/00335</v>
          </cell>
          <cell r="F1672">
            <v>46</v>
          </cell>
          <cell r="L1672" t="str">
            <v>44218-14</v>
          </cell>
        </row>
        <row r="1673">
          <cell r="E1673" t="str">
            <v>D2021/00335</v>
          </cell>
          <cell r="F1673">
            <v>84</v>
          </cell>
          <cell r="L1673" t="str">
            <v>44218-14</v>
          </cell>
        </row>
        <row r="1674">
          <cell r="E1674" t="str">
            <v>D2021/00335</v>
          </cell>
          <cell r="F1674">
            <v>29</v>
          </cell>
          <cell r="L1674" t="str">
            <v>44218-14</v>
          </cell>
        </row>
        <row r="1675">
          <cell r="E1675" t="str">
            <v>D2021/00339</v>
          </cell>
          <cell r="F1675">
            <v>70</v>
          </cell>
          <cell r="L1675" t="str">
            <v>44221-10</v>
          </cell>
        </row>
        <row r="1676">
          <cell r="E1676" t="str">
            <v>D2021/00339</v>
          </cell>
          <cell r="F1676">
            <v>22</v>
          </cell>
          <cell r="L1676" t="str">
            <v>44221-10</v>
          </cell>
        </row>
        <row r="1677">
          <cell r="E1677" t="str">
            <v>D2021/00339</v>
          </cell>
          <cell r="F1677">
            <v>30</v>
          </cell>
          <cell r="L1677" t="str">
            <v>44221-10</v>
          </cell>
        </row>
        <row r="1678">
          <cell r="E1678" t="str">
            <v>D2021/00339</v>
          </cell>
          <cell r="F1678">
            <v>42</v>
          </cell>
          <cell r="L1678" t="str">
            <v>44221-10</v>
          </cell>
        </row>
        <row r="1679">
          <cell r="E1679" t="str">
            <v>D2021/00339</v>
          </cell>
          <cell r="F1679">
            <v>64</v>
          </cell>
          <cell r="L1679" t="str">
            <v>44221-10</v>
          </cell>
        </row>
        <row r="1680">
          <cell r="E1680" t="str">
            <v>D2021/00339</v>
          </cell>
          <cell r="F1680">
            <v>24</v>
          </cell>
          <cell r="L1680" t="str">
            <v>44221-10</v>
          </cell>
        </row>
        <row r="1681">
          <cell r="E1681" t="str">
            <v>D2021/00339</v>
          </cell>
          <cell r="F1681">
            <v>59</v>
          </cell>
          <cell r="L1681" t="str">
            <v>44221-10</v>
          </cell>
        </row>
        <row r="1682">
          <cell r="E1682" t="str">
            <v>D2021/00339</v>
          </cell>
          <cell r="F1682">
            <v>23</v>
          </cell>
          <cell r="L1682" t="str">
            <v>44221-10</v>
          </cell>
        </row>
        <row r="1683">
          <cell r="E1683" t="str">
            <v>D2021/00335</v>
          </cell>
          <cell r="F1683">
            <v>14</v>
          </cell>
          <cell r="L1683" t="str">
            <v>44221-13</v>
          </cell>
        </row>
        <row r="1684">
          <cell r="E1684" t="str">
            <v>D2021/00335</v>
          </cell>
          <cell r="F1684">
            <v>35</v>
          </cell>
          <cell r="L1684" t="str">
            <v>44221-13</v>
          </cell>
        </row>
        <row r="1685">
          <cell r="E1685" t="str">
            <v>D2021/00335</v>
          </cell>
          <cell r="F1685">
            <v>32</v>
          </cell>
          <cell r="L1685" t="str">
            <v>44221-13</v>
          </cell>
        </row>
        <row r="1686">
          <cell r="E1686" t="str">
            <v>D2021/00336</v>
          </cell>
          <cell r="F1686">
            <v>14</v>
          </cell>
          <cell r="L1686" t="str">
            <v>44221-13</v>
          </cell>
        </row>
        <row r="1687">
          <cell r="E1687" t="str">
            <v>D2021/00336</v>
          </cell>
          <cell r="F1687">
            <v>61</v>
          </cell>
          <cell r="L1687" t="str">
            <v>44221-13</v>
          </cell>
        </row>
        <row r="1688">
          <cell r="E1688" t="str">
            <v>D2021/00336</v>
          </cell>
          <cell r="F1688">
            <v>56</v>
          </cell>
          <cell r="L1688" t="str">
            <v>44221-13</v>
          </cell>
        </row>
        <row r="1689">
          <cell r="E1689" t="str">
            <v>D2021/00339</v>
          </cell>
          <cell r="F1689">
            <v>60</v>
          </cell>
          <cell r="L1689" t="str">
            <v>44222-10</v>
          </cell>
        </row>
        <row r="1690">
          <cell r="E1690" t="str">
            <v>D2021/00339</v>
          </cell>
          <cell r="F1690">
            <v>43</v>
          </cell>
          <cell r="L1690" t="str">
            <v>44222-10</v>
          </cell>
        </row>
        <row r="1691">
          <cell r="E1691" t="str">
            <v>D2021/00339</v>
          </cell>
          <cell r="F1691">
            <v>61</v>
          </cell>
          <cell r="L1691" t="str">
            <v>44222-10</v>
          </cell>
        </row>
        <row r="1692">
          <cell r="E1692" t="str">
            <v>D2021/00339</v>
          </cell>
          <cell r="F1692">
            <v>61</v>
          </cell>
          <cell r="L1692" t="str">
            <v>44222-10</v>
          </cell>
        </row>
        <row r="1693">
          <cell r="E1693" t="str">
            <v>D2021/00339</v>
          </cell>
          <cell r="F1693">
            <v>73</v>
          </cell>
          <cell r="L1693" t="str">
            <v>44222-10</v>
          </cell>
        </row>
        <row r="1694">
          <cell r="E1694" t="str">
            <v>D2021/00341</v>
          </cell>
          <cell r="F1694">
            <v>23</v>
          </cell>
          <cell r="L1694" t="str">
            <v>44222-10</v>
          </cell>
        </row>
        <row r="1695">
          <cell r="E1695" t="str">
            <v>D2021/00341</v>
          </cell>
          <cell r="F1695">
            <v>20</v>
          </cell>
          <cell r="L1695" t="str">
            <v>44222-10</v>
          </cell>
        </row>
        <row r="1696">
          <cell r="E1696" t="str">
            <v>D2021/00336</v>
          </cell>
          <cell r="F1696">
            <v>19</v>
          </cell>
          <cell r="L1696" t="str">
            <v>44222-13</v>
          </cell>
        </row>
        <row r="1697">
          <cell r="E1697" t="str">
            <v>D2021/00336</v>
          </cell>
          <cell r="F1697">
            <v>49</v>
          </cell>
          <cell r="L1697" t="str">
            <v>44222-13</v>
          </cell>
        </row>
        <row r="1698">
          <cell r="E1698" t="str">
            <v>D2021/00336</v>
          </cell>
          <cell r="F1698">
            <v>14</v>
          </cell>
          <cell r="L1698" t="str">
            <v>44222-13</v>
          </cell>
        </row>
        <row r="1699">
          <cell r="E1699" t="str">
            <v>D2021/00336</v>
          </cell>
          <cell r="F1699">
            <v>3</v>
          </cell>
          <cell r="L1699" t="str">
            <v>44222-13</v>
          </cell>
        </row>
        <row r="1700">
          <cell r="E1700" t="str">
            <v>D2021/00336</v>
          </cell>
          <cell r="F1700">
            <v>11</v>
          </cell>
          <cell r="L1700" t="str">
            <v>44222-13</v>
          </cell>
        </row>
        <row r="1701">
          <cell r="E1701" t="str">
            <v>D2021/00336</v>
          </cell>
          <cell r="F1701">
            <v>14</v>
          </cell>
          <cell r="L1701" t="str">
            <v>44222-13</v>
          </cell>
        </row>
        <row r="1702">
          <cell r="E1702" t="str">
            <v>D2021/00341</v>
          </cell>
          <cell r="F1702">
            <v>30</v>
          </cell>
          <cell r="L1702" t="str">
            <v>44223-10</v>
          </cell>
        </row>
        <row r="1703">
          <cell r="E1703" t="str">
            <v>D2021/00341</v>
          </cell>
          <cell r="F1703">
            <v>25</v>
          </cell>
          <cell r="L1703" t="str">
            <v>44223-10</v>
          </cell>
        </row>
        <row r="1704">
          <cell r="E1704" t="str">
            <v>D2021/00341</v>
          </cell>
          <cell r="F1704">
            <v>14</v>
          </cell>
          <cell r="L1704" t="str">
            <v>44223-10</v>
          </cell>
        </row>
        <row r="1705">
          <cell r="E1705" t="str">
            <v>D2021/00341</v>
          </cell>
          <cell r="F1705">
            <v>37</v>
          </cell>
          <cell r="L1705" t="str">
            <v>44223-10</v>
          </cell>
        </row>
        <row r="1706">
          <cell r="E1706" t="str">
            <v>D2021/00342</v>
          </cell>
          <cell r="F1706">
            <v>21</v>
          </cell>
          <cell r="L1706" t="str">
            <v>44223-10</v>
          </cell>
        </row>
        <row r="1707">
          <cell r="E1707" t="str">
            <v>D2021/00342</v>
          </cell>
          <cell r="F1707">
            <v>68</v>
          </cell>
          <cell r="L1707" t="str">
            <v>44223-10</v>
          </cell>
        </row>
        <row r="1708">
          <cell r="E1708" t="str">
            <v>D2021/00347</v>
          </cell>
          <cell r="F1708">
            <v>107</v>
          </cell>
          <cell r="L1708" t="str">
            <v>44223-10</v>
          </cell>
        </row>
        <row r="1709">
          <cell r="E1709" t="str">
            <v>D2021/00347</v>
          </cell>
          <cell r="F1709">
            <v>27</v>
          </cell>
          <cell r="L1709" t="str">
            <v>44223-10</v>
          </cell>
        </row>
        <row r="1710">
          <cell r="E1710" t="str">
            <v>D2021/00336</v>
          </cell>
          <cell r="F1710">
            <v>18</v>
          </cell>
          <cell r="L1710" t="str">
            <v>44223-13</v>
          </cell>
        </row>
        <row r="1711">
          <cell r="E1711" t="str">
            <v>D2021/00336</v>
          </cell>
          <cell r="F1711">
            <v>6</v>
          </cell>
          <cell r="L1711" t="str">
            <v>44223-13</v>
          </cell>
        </row>
        <row r="1712">
          <cell r="E1712" t="str">
            <v>D2021/00336</v>
          </cell>
          <cell r="F1712">
            <v>9</v>
          </cell>
          <cell r="L1712" t="str">
            <v>44223-13</v>
          </cell>
        </row>
        <row r="1713">
          <cell r="E1713" t="str">
            <v>D2021/00336</v>
          </cell>
          <cell r="F1713">
            <v>11</v>
          </cell>
          <cell r="L1713" t="str">
            <v>44223-13</v>
          </cell>
        </row>
        <row r="1714">
          <cell r="E1714" t="str">
            <v>D2021/00336</v>
          </cell>
          <cell r="F1714">
            <v>14</v>
          </cell>
          <cell r="L1714" t="str">
            <v>44223-13</v>
          </cell>
        </row>
        <row r="1715">
          <cell r="E1715" t="str">
            <v>D2021/00347</v>
          </cell>
          <cell r="F1715">
            <v>33</v>
          </cell>
          <cell r="L1715" t="str">
            <v>44224-10</v>
          </cell>
        </row>
        <row r="1716">
          <cell r="E1716" t="str">
            <v>D2021/00347</v>
          </cell>
          <cell r="F1716">
            <v>18</v>
          </cell>
          <cell r="L1716" t="str">
            <v>44224-10</v>
          </cell>
        </row>
        <row r="1717">
          <cell r="E1717" t="str">
            <v>D2021/00347</v>
          </cell>
          <cell r="F1717">
            <v>4</v>
          </cell>
          <cell r="L1717" t="str">
            <v>44224-10</v>
          </cell>
        </row>
        <row r="1718">
          <cell r="E1718" t="str">
            <v>D2021/00347</v>
          </cell>
          <cell r="F1718">
            <v>31</v>
          </cell>
          <cell r="L1718" t="str">
            <v>44224-10</v>
          </cell>
        </row>
        <row r="1719">
          <cell r="E1719" t="str">
            <v>D2021/00347</v>
          </cell>
          <cell r="F1719">
            <v>30</v>
          </cell>
          <cell r="L1719" t="str">
            <v>44224-10</v>
          </cell>
        </row>
        <row r="1720">
          <cell r="E1720" t="str">
            <v>D2021/00347</v>
          </cell>
          <cell r="F1720">
            <v>6</v>
          </cell>
          <cell r="L1720" t="str">
            <v>44224-10</v>
          </cell>
        </row>
        <row r="1721">
          <cell r="E1721" t="str">
            <v>D2021/00347</v>
          </cell>
          <cell r="F1721">
            <v>25</v>
          </cell>
          <cell r="L1721" t="str">
            <v>44224-10</v>
          </cell>
        </row>
        <row r="1722">
          <cell r="E1722" t="str">
            <v>D2021/00347</v>
          </cell>
          <cell r="F1722">
            <v>10</v>
          </cell>
          <cell r="L1722" t="str">
            <v>44224-10</v>
          </cell>
        </row>
        <row r="1723">
          <cell r="E1723" t="str">
            <v>D2021/00347</v>
          </cell>
          <cell r="F1723">
            <v>9</v>
          </cell>
          <cell r="L1723" t="str">
            <v>44224-10</v>
          </cell>
        </row>
        <row r="1724">
          <cell r="E1724" t="str">
            <v>D2021/00336</v>
          </cell>
          <cell r="F1724">
            <v>21</v>
          </cell>
          <cell r="L1724" t="str">
            <v>44224-13</v>
          </cell>
        </row>
        <row r="1725">
          <cell r="E1725" t="str">
            <v>D2021/00336</v>
          </cell>
          <cell r="F1725">
            <v>45</v>
          </cell>
          <cell r="L1725" t="str">
            <v>44224-13</v>
          </cell>
        </row>
        <row r="1726">
          <cell r="E1726" t="str">
            <v>D2021/00336</v>
          </cell>
          <cell r="F1726">
            <v>16</v>
          </cell>
          <cell r="L1726" t="str">
            <v>44224-13</v>
          </cell>
        </row>
        <row r="1727">
          <cell r="E1727" t="str">
            <v>D2021/00336</v>
          </cell>
          <cell r="F1727">
            <v>55</v>
          </cell>
          <cell r="L1727" t="str">
            <v>44224-13</v>
          </cell>
        </row>
        <row r="1728">
          <cell r="E1728" t="str">
            <v>D2021/00336</v>
          </cell>
          <cell r="F1728">
            <v>2</v>
          </cell>
          <cell r="L1728" t="str">
            <v>44224-13</v>
          </cell>
        </row>
        <row r="1729">
          <cell r="E1729" t="str">
            <v>D2021/00347</v>
          </cell>
          <cell r="F1729">
            <v>53</v>
          </cell>
          <cell r="L1729" t="str">
            <v>44225-14</v>
          </cell>
        </row>
        <row r="1730">
          <cell r="E1730" t="str">
            <v>D2021/00347</v>
          </cell>
          <cell r="F1730">
            <v>39</v>
          </cell>
          <cell r="L1730" t="str">
            <v>44225-14</v>
          </cell>
        </row>
        <row r="1731">
          <cell r="E1731" t="str">
            <v>D2021/00347</v>
          </cell>
          <cell r="F1731">
            <v>35</v>
          </cell>
          <cell r="L1731" t="str">
            <v>44225-14</v>
          </cell>
        </row>
        <row r="1732">
          <cell r="E1732" t="str">
            <v>D2021/00346</v>
          </cell>
          <cell r="F1732">
            <v>45</v>
          </cell>
          <cell r="L1732" t="str">
            <v>44225-14</v>
          </cell>
        </row>
        <row r="1733">
          <cell r="E1733" t="str">
            <v>D2021/00346</v>
          </cell>
          <cell r="F1733">
            <v>37</v>
          </cell>
          <cell r="L1733" t="str">
            <v>44225-14</v>
          </cell>
        </row>
        <row r="1734">
          <cell r="E1734" t="str">
            <v>D2021/00346</v>
          </cell>
          <cell r="F1734">
            <v>12</v>
          </cell>
          <cell r="L1734" t="str">
            <v>44225-14</v>
          </cell>
        </row>
        <row r="1735">
          <cell r="E1735" t="str">
            <v>D2021/00346</v>
          </cell>
          <cell r="F1735">
            <v>26</v>
          </cell>
          <cell r="L1735" t="str">
            <v>44225-14</v>
          </cell>
        </row>
        <row r="1736">
          <cell r="E1736" t="str">
            <v>D2021/00336</v>
          </cell>
          <cell r="F1736">
            <v>24</v>
          </cell>
          <cell r="L1736" t="str">
            <v>44225-13</v>
          </cell>
        </row>
        <row r="1737">
          <cell r="E1737" t="str">
            <v>D2021/00336</v>
          </cell>
          <cell r="F1737">
            <v>41</v>
          </cell>
          <cell r="L1737" t="str">
            <v>44225-13</v>
          </cell>
        </row>
        <row r="1738">
          <cell r="E1738" t="str">
            <v>D2021/00336</v>
          </cell>
          <cell r="F1738">
            <v>21</v>
          </cell>
          <cell r="L1738" t="str">
            <v>44225-13</v>
          </cell>
        </row>
        <row r="1739">
          <cell r="E1739" t="str">
            <v>D2021/00336</v>
          </cell>
          <cell r="F1739">
            <v>7</v>
          </cell>
          <cell r="L1739" t="str">
            <v>44225-13</v>
          </cell>
        </row>
        <row r="1740">
          <cell r="E1740" t="str">
            <v>D2021/00336</v>
          </cell>
          <cell r="F1740">
            <v>4</v>
          </cell>
          <cell r="L1740" t="str">
            <v>44225-13</v>
          </cell>
        </row>
        <row r="1741">
          <cell r="E1741" t="str">
            <v>D2021/00346</v>
          </cell>
          <cell r="F1741">
            <v>19</v>
          </cell>
          <cell r="L1741" t="str">
            <v>44228-14</v>
          </cell>
        </row>
        <row r="1742">
          <cell r="E1742" t="str">
            <v>D2021/00346</v>
          </cell>
          <cell r="F1742">
            <v>24</v>
          </cell>
          <cell r="L1742" t="str">
            <v>44228-14</v>
          </cell>
        </row>
        <row r="1743">
          <cell r="E1743" t="str">
            <v>D2021/00346</v>
          </cell>
          <cell r="F1743">
            <v>48</v>
          </cell>
          <cell r="L1743" t="str">
            <v>44228-14</v>
          </cell>
        </row>
        <row r="1744">
          <cell r="E1744" t="str">
            <v>D2021/00346</v>
          </cell>
          <cell r="F1744">
            <v>28</v>
          </cell>
          <cell r="L1744" t="str">
            <v>44228-14</v>
          </cell>
        </row>
        <row r="1745">
          <cell r="E1745" t="str">
            <v>D2021/00343</v>
          </cell>
          <cell r="F1745">
            <v>43</v>
          </cell>
          <cell r="L1745" t="str">
            <v>44228-14</v>
          </cell>
        </row>
        <row r="1746">
          <cell r="E1746" t="str">
            <v>D2021/00343</v>
          </cell>
          <cell r="F1746">
            <v>66</v>
          </cell>
          <cell r="L1746" t="str">
            <v>44228-14</v>
          </cell>
        </row>
        <row r="1747">
          <cell r="E1747" t="str">
            <v>D2021/00343</v>
          </cell>
          <cell r="F1747">
            <v>14</v>
          </cell>
          <cell r="L1747" t="str">
            <v>44228-14</v>
          </cell>
        </row>
        <row r="1748">
          <cell r="E1748" t="str">
            <v>D2021/00343</v>
          </cell>
          <cell r="F1748">
            <v>12</v>
          </cell>
          <cell r="L1748" t="str">
            <v>44228-14</v>
          </cell>
        </row>
        <row r="1749">
          <cell r="E1749" t="str">
            <v>D2021/00336</v>
          </cell>
          <cell r="F1749">
            <v>28</v>
          </cell>
          <cell r="L1749" t="str">
            <v>44228-13</v>
          </cell>
        </row>
        <row r="1750">
          <cell r="E1750" t="str">
            <v>D2021/00336</v>
          </cell>
          <cell r="F1750">
            <v>20</v>
          </cell>
          <cell r="L1750" t="str">
            <v>44228-13</v>
          </cell>
        </row>
        <row r="1751">
          <cell r="E1751" t="str">
            <v>D2021/00336</v>
          </cell>
          <cell r="F1751">
            <v>49</v>
          </cell>
          <cell r="L1751" t="str">
            <v>44228-13</v>
          </cell>
        </row>
        <row r="1752">
          <cell r="E1752" t="str">
            <v>D2021/00336</v>
          </cell>
          <cell r="F1752">
            <v>13</v>
          </cell>
          <cell r="L1752" t="str">
            <v>44228-13</v>
          </cell>
        </row>
        <row r="1753">
          <cell r="E1753" t="str">
            <v>D2021/00336</v>
          </cell>
          <cell r="F1753">
            <v>6</v>
          </cell>
          <cell r="L1753" t="str">
            <v>44228-13</v>
          </cell>
        </row>
        <row r="1754">
          <cell r="E1754" t="str">
            <v>D2021/00336</v>
          </cell>
          <cell r="F1754">
            <v>10</v>
          </cell>
          <cell r="L1754" t="str">
            <v>44228-13</v>
          </cell>
        </row>
        <row r="1755">
          <cell r="E1755" t="str">
            <v>D2021/00336</v>
          </cell>
          <cell r="F1755">
            <v>6</v>
          </cell>
          <cell r="L1755" t="str">
            <v>44228-13</v>
          </cell>
        </row>
        <row r="1756">
          <cell r="E1756" t="str">
            <v>D2020/02122</v>
          </cell>
          <cell r="F1756">
            <v>159</v>
          </cell>
          <cell r="L1756" t="str">
            <v>44228-13</v>
          </cell>
        </row>
        <row r="1757">
          <cell r="E1757" t="str">
            <v>D2020/02122</v>
          </cell>
          <cell r="F1757">
            <v>26</v>
          </cell>
          <cell r="L1757" t="str">
            <v>44228-13</v>
          </cell>
        </row>
        <row r="1758">
          <cell r="E1758" t="str">
            <v>D2020/02122</v>
          </cell>
          <cell r="F1758">
            <v>14</v>
          </cell>
          <cell r="L1758" t="str">
            <v>44228-13</v>
          </cell>
        </row>
        <row r="1759">
          <cell r="E1759" t="str">
            <v>D2021/00343</v>
          </cell>
          <cell r="F1759">
            <v>30</v>
          </cell>
          <cell r="L1759" t="str">
            <v>44229-13</v>
          </cell>
        </row>
        <row r="1760">
          <cell r="E1760" t="str">
            <v>D2021/00343</v>
          </cell>
          <cell r="F1760">
            <v>27</v>
          </cell>
          <cell r="L1760" t="str">
            <v>44229-13</v>
          </cell>
        </row>
        <row r="1761">
          <cell r="E1761" t="str">
            <v>D2021/00343</v>
          </cell>
          <cell r="F1761">
            <v>57</v>
          </cell>
          <cell r="L1761" t="str">
            <v>44229-13</v>
          </cell>
        </row>
        <row r="1762">
          <cell r="E1762" t="str">
            <v>D2021/00343</v>
          </cell>
          <cell r="F1762">
            <v>3</v>
          </cell>
          <cell r="L1762" t="str">
            <v>44229-13</v>
          </cell>
        </row>
        <row r="1763">
          <cell r="E1763" t="str">
            <v>D2020/02122</v>
          </cell>
          <cell r="F1763">
            <v>59</v>
          </cell>
          <cell r="L1763" t="str">
            <v>44229-10</v>
          </cell>
        </row>
        <row r="1764">
          <cell r="E1764" t="str">
            <v>D2020/02122</v>
          </cell>
          <cell r="F1764">
            <v>8</v>
          </cell>
          <cell r="L1764" t="str">
            <v>44229-10</v>
          </cell>
        </row>
        <row r="1765">
          <cell r="E1765" t="str">
            <v>D2020/02122</v>
          </cell>
          <cell r="F1765">
            <v>27</v>
          </cell>
          <cell r="L1765" t="str">
            <v>44229-10</v>
          </cell>
        </row>
        <row r="1766">
          <cell r="E1766" t="str">
            <v>D2020/02122</v>
          </cell>
          <cell r="F1766">
            <v>10</v>
          </cell>
          <cell r="L1766" t="str">
            <v>44229-10</v>
          </cell>
        </row>
        <row r="1767">
          <cell r="E1767" t="str">
            <v>D2020/02122</v>
          </cell>
          <cell r="F1767">
            <v>48</v>
          </cell>
          <cell r="L1767" t="str">
            <v>44229-10</v>
          </cell>
        </row>
        <row r="1768">
          <cell r="E1768" t="str">
            <v>D2020/02122</v>
          </cell>
          <cell r="F1768">
            <v>8</v>
          </cell>
          <cell r="L1768" t="str">
            <v>44229-10</v>
          </cell>
        </row>
        <row r="1769">
          <cell r="E1769" t="str">
            <v>D2020/02122</v>
          </cell>
          <cell r="F1769">
            <v>16</v>
          </cell>
          <cell r="L1769" t="str">
            <v>44229-10</v>
          </cell>
        </row>
        <row r="1770">
          <cell r="E1770" t="str">
            <v>D2020/02122</v>
          </cell>
          <cell r="F1770">
            <v>25</v>
          </cell>
          <cell r="L1770" t="str">
            <v>44229-10</v>
          </cell>
        </row>
        <row r="1771">
          <cell r="E1771" t="str">
            <v>D2020/02122</v>
          </cell>
          <cell r="F1771">
            <v>52</v>
          </cell>
          <cell r="L1771" t="str">
            <v>44229-10</v>
          </cell>
        </row>
        <row r="1772">
          <cell r="E1772" t="str">
            <v>D2021/00343</v>
          </cell>
          <cell r="F1772">
            <v>15</v>
          </cell>
          <cell r="L1772" t="str">
            <v>44230-13</v>
          </cell>
        </row>
        <row r="1773">
          <cell r="E1773" t="str">
            <v>D2021/00343</v>
          </cell>
          <cell r="F1773">
            <v>7</v>
          </cell>
          <cell r="L1773" t="str">
            <v>44230-13</v>
          </cell>
        </row>
        <row r="1774">
          <cell r="E1774" t="str">
            <v>D2021/00343</v>
          </cell>
          <cell r="F1774">
            <v>17</v>
          </cell>
          <cell r="L1774" t="str">
            <v>44230-13</v>
          </cell>
        </row>
        <row r="1775">
          <cell r="E1775" t="str">
            <v>D2020/02123</v>
          </cell>
          <cell r="F1775">
            <v>32</v>
          </cell>
          <cell r="L1775" t="str">
            <v>44230-10</v>
          </cell>
        </row>
        <row r="1776">
          <cell r="E1776" t="str">
            <v>D2020/02123</v>
          </cell>
          <cell r="F1776">
            <v>35</v>
          </cell>
          <cell r="L1776" t="str">
            <v>44230-10</v>
          </cell>
        </row>
        <row r="1777">
          <cell r="E1777" t="str">
            <v>D2020/02123</v>
          </cell>
          <cell r="F1777">
            <v>13</v>
          </cell>
          <cell r="L1777" t="str">
            <v>44230-10</v>
          </cell>
        </row>
        <row r="1778">
          <cell r="E1778" t="str">
            <v>D2020/02123</v>
          </cell>
          <cell r="F1778">
            <v>9</v>
          </cell>
          <cell r="L1778" t="str">
            <v>44230-10</v>
          </cell>
        </row>
        <row r="1779">
          <cell r="E1779" t="str">
            <v>D2020/02123</v>
          </cell>
          <cell r="F1779">
            <v>31</v>
          </cell>
          <cell r="L1779" t="str">
            <v>44230-10</v>
          </cell>
        </row>
        <row r="1780">
          <cell r="E1780" t="str">
            <v>D2020/02123</v>
          </cell>
          <cell r="F1780">
            <v>7</v>
          </cell>
          <cell r="L1780" t="str">
            <v>44230-10</v>
          </cell>
        </row>
        <row r="1781">
          <cell r="E1781" t="str">
            <v>D2020/02123</v>
          </cell>
          <cell r="F1781">
            <v>56</v>
          </cell>
          <cell r="L1781" t="str">
            <v>44230-10</v>
          </cell>
        </row>
        <row r="1782">
          <cell r="E1782" t="str">
            <v>D2020/02123</v>
          </cell>
          <cell r="F1782">
            <v>34</v>
          </cell>
          <cell r="L1782" t="str">
            <v>44230-10</v>
          </cell>
        </row>
        <row r="1783">
          <cell r="E1783" t="str">
            <v>D2020/02123</v>
          </cell>
          <cell r="F1783">
            <v>29</v>
          </cell>
          <cell r="L1783" t="str">
            <v>44230-10</v>
          </cell>
        </row>
        <row r="1784">
          <cell r="E1784" t="str">
            <v>D2021/00343</v>
          </cell>
          <cell r="F1784">
            <v>17</v>
          </cell>
          <cell r="L1784" t="str">
            <v>44231-14</v>
          </cell>
        </row>
        <row r="1785">
          <cell r="E1785" t="str">
            <v>D2021/00343</v>
          </cell>
          <cell r="F1785">
            <v>18</v>
          </cell>
          <cell r="L1785" t="str">
            <v>44231-14</v>
          </cell>
        </row>
        <row r="1786">
          <cell r="E1786" t="str">
            <v>D2021/00343</v>
          </cell>
          <cell r="F1786">
            <v>15</v>
          </cell>
          <cell r="L1786" t="str">
            <v>44231-14</v>
          </cell>
        </row>
        <row r="1787">
          <cell r="E1787" t="str">
            <v>D2021/00343</v>
          </cell>
          <cell r="F1787">
            <v>6</v>
          </cell>
          <cell r="L1787" t="str">
            <v>44231-14</v>
          </cell>
        </row>
        <row r="1788">
          <cell r="E1788" t="str">
            <v>D2021/00344</v>
          </cell>
          <cell r="F1788">
            <v>8</v>
          </cell>
          <cell r="L1788" t="str">
            <v>44231-14</v>
          </cell>
        </row>
        <row r="1789">
          <cell r="E1789" t="str">
            <v>D2021/00344</v>
          </cell>
          <cell r="F1789">
            <v>8</v>
          </cell>
          <cell r="L1789" t="str">
            <v>44231-14</v>
          </cell>
        </row>
        <row r="1790">
          <cell r="E1790" t="str">
            <v>D2021/00344</v>
          </cell>
          <cell r="F1790">
            <v>8</v>
          </cell>
          <cell r="L1790" t="str">
            <v>44231-14</v>
          </cell>
        </row>
        <row r="1791">
          <cell r="E1791" t="str">
            <v>D2021/00344</v>
          </cell>
          <cell r="F1791">
            <v>5</v>
          </cell>
          <cell r="L1791" t="str">
            <v>44231-14</v>
          </cell>
        </row>
        <row r="1792">
          <cell r="E1792" t="str">
            <v>D2021/00344</v>
          </cell>
          <cell r="F1792">
            <v>42</v>
          </cell>
          <cell r="L1792" t="str">
            <v>44231-14</v>
          </cell>
        </row>
        <row r="1793">
          <cell r="E1793" t="str">
            <v>D2020/02123</v>
          </cell>
          <cell r="F1793">
            <v>43</v>
          </cell>
          <cell r="L1793" t="str">
            <v>44231-10</v>
          </cell>
        </row>
        <row r="1794">
          <cell r="E1794" t="str">
            <v>D2021/00268</v>
          </cell>
          <cell r="F1794">
            <v>109</v>
          </cell>
          <cell r="L1794" t="str">
            <v>44231-10</v>
          </cell>
        </row>
        <row r="1795">
          <cell r="E1795" t="str">
            <v>D2021/00268</v>
          </cell>
          <cell r="F1795">
            <v>31</v>
          </cell>
          <cell r="L1795" t="str">
            <v>44231-10</v>
          </cell>
        </row>
        <row r="1796">
          <cell r="E1796" t="str">
            <v>D2021/00268</v>
          </cell>
          <cell r="F1796">
            <v>47</v>
          </cell>
          <cell r="L1796" t="str">
            <v>44231-10</v>
          </cell>
        </row>
        <row r="1797">
          <cell r="E1797" t="str">
            <v>D2021/00344</v>
          </cell>
          <cell r="F1797">
            <v>18</v>
          </cell>
          <cell r="L1797" t="str">
            <v>44232-14</v>
          </cell>
        </row>
        <row r="1798">
          <cell r="E1798" t="str">
            <v>D2021/00344</v>
          </cell>
          <cell r="F1798">
            <v>13</v>
          </cell>
          <cell r="L1798" t="str">
            <v>44232-14</v>
          </cell>
        </row>
        <row r="1799">
          <cell r="E1799" t="str">
            <v>D2021/00344</v>
          </cell>
          <cell r="F1799">
            <v>12</v>
          </cell>
          <cell r="L1799" t="str">
            <v>44232-14</v>
          </cell>
        </row>
        <row r="1800">
          <cell r="E1800" t="str">
            <v>D2021/00344</v>
          </cell>
          <cell r="F1800">
            <v>16</v>
          </cell>
          <cell r="L1800" t="str">
            <v>44232-14</v>
          </cell>
        </row>
        <row r="1801">
          <cell r="E1801" t="str">
            <v>D2021/00344</v>
          </cell>
          <cell r="F1801">
            <v>19</v>
          </cell>
          <cell r="L1801" t="str">
            <v>44232-14</v>
          </cell>
        </row>
        <row r="1802">
          <cell r="E1802" t="str">
            <v>D2021/00344</v>
          </cell>
          <cell r="F1802">
            <v>3</v>
          </cell>
          <cell r="L1802" t="str">
            <v>44232-14</v>
          </cell>
        </row>
        <row r="1803">
          <cell r="E1803" t="str">
            <v>D2021/00077</v>
          </cell>
          <cell r="F1803">
            <v>389</v>
          </cell>
          <cell r="L1803" t="str">
            <v>44232-10</v>
          </cell>
        </row>
        <row r="1804">
          <cell r="E1804" t="str">
            <v>D2021/00077</v>
          </cell>
          <cell r="F1804">
            <v>52</v>
          </cell>
          <cell r="L1804" t="str">
            <v>44232-10</v>
          </cell>
        </row>
        <row r="1805">
          <cell r="E1805" t="str">
            <v>D2021/00077</v>
          </cell>
          <cell r="F1805">
            <v>88</v>
          </cell>
          <cell r="L1805" t="str">
            <v>44232-10</v>
          </cell>
        </row>
        <row r="1806">
          <cell r="E1806" t="str">
            <v>D2021/00344</v>
          </cell>
          <cell r="F1806">
            <v>57</v>
          </cell>
          <cell r="L1806" t="str">
            <v>44235-13</v>
          </cell>
        </row>
        <row r="1807">
          <cell r="E1807" t="str">
            <v>D2021/00344</v>
          </cell>
          <cell r="F1807">
            <v>31</v>
          </cell>
          <cell r="L1807" t="str">
            <v>44235-13</v>
          </cell>
        </row>
        <row r="1808">
          <cell r="E1808" t="str">
            <v>D2021/00344</v>
          </cell>
          <cell r="F1808">
            <v>6</v>
          </cell>
          <cell r="L1808" t="str">
            <v>44235-13</v>
          </cell>
        </row>
        <row r="1809">
          <cell r="E1809" t="str">
            <v>D2021/00077</v>
          </cell>
          <cell r="F1809">
            <v>29</v>
          </cell>
          <cell r="L1809" t="str">
            <v>44235-10</v>
          </cell>
        </row>
        <row r="1810">
          <cell r="E1810" t="str">
            <v>D2021/00077</v>
          </cell>
          <cell r="F1810">
            <v>27</v>
          </cell>
          <cell r="L1810" t="str">
            <v>44235-10</v>
          </cell>
        </row>
        <row r="1811">
          <cell r="E1811" t="str">
            <v>D2021/00077</v>
          </cell>
          <cell r="F1811">
            <v>27</v>
          </cell>
          <cell r="L1811" t="str">
            <v>44235-10</v>
          </cell>
        </row>
        <row r="1812">
          <cell r="E1812" t="str">
            <v>D2021/00077</v>
          </cell>
          <cell r="F1812">
            <v>29</v>
          </cell>
          <cell r="L1812" t="str">
            <v>44235-10</v>
          </cell>
        </row>
        <row r="1813">
          <cell r="E1813" t="str">
            <v>D2021/00077</v>
          </cell>
          <cell r="F1813">
            <v>22</v>
          </cell>
          <cell r="L1813" t="str">
            <v>44235-10</v>
          </cell>
        </row>
        <row r="1814">
          <cell r="E1814" t="str">
            <v>D2021/00344</v>
          </cell>
          <cell r="F1814">
            <v>18</v>
          </cell>
          <cell r="L1814" t="str">
            <v>44236-13</v>
          </cell>
        </row>
        <row r="1815">
          <cell r="E1815" t="str">
            <v>D2021/00344</v>
          </cell>
          <cell r="F1815">
            <v>11</v>
          </cell>
          <cell r="L1815" t="str">
            <v>44236-13</v>
          </cell>
        </row>
        <row r="1816">
          <cell r="E1816" t="str">
            <v>D2021/00077</v>
          </cell>
          <cell r="F1816">
            <v>38</v>
          </cell>
          <cell r="L1816" t="str">
            <v>44236-10</v>
          </cell>
        </row>
        <row r="1817">
          <cell r="E1817" t="str">
            <v>D2021/00077</v>
          </cell>
          <cell r="F1817">
            <v>20</v>
          </cell>
          <cell r="L1817" t="str">
            <v>44236-10</v>
          </cell>
        </row>
        <row r="1818">
          <cell r="E1818" t="str">
            <v>D2021/00077</v>
          </cell>
          <cell r="F1818">
            <v>25</v>
          </cell>
          <cell r="L1818" t="str">
            <v>44236-10</v>
          </cell>
        </row>
        <row r="1819">
          <cell r="E1819" t="str">
            <v>D2021/00077</v>
          </cell>
          <cell r="F1819">
            <v>22</v>
          </cell>
          <cell r="L1819" t="str">
            <v>44236-10</v>
          </cell>
        </row>
        <row r="1820">
          <cell r="E1820" t="str">
            <v>D2021/00077</v>
          </cell>
          <cell r="F1820">
            <v>7</v>
          </cell>
          <cell r="L1820" t="str">
            <v>44236-10</v>
          </cell>
        </row>
        <row r="1821">
          <cell r="E1821" t="str">
            <v>D2021/00077</v>
          </cell>
          <cell r="F1821">
            <v>63</v>
          </cell>
          <cell r="L1821" t="str">
            <v>44236-10</v>
          </cell>
        </row>
        <row r="1822">
          <cell r="E1822" t="str">
            <v>D2021/00345</v>
          </cell>
          <cell r="F1822">
            <v>45</v>
          </cell>
          <cell r="L1822" t="str">
            <v>44236-13</v>
          </cell>
        </row>
        <row r="1823">
          <cell r="E1823" t="str">
            <v>D2021/00345</v>
          </cell>
          <cell r="F1823">
            <v>13</v>
          </cell>
          <cell r="L1823" t="str">
            <v>44236-13</v>
          </cell>
        </row>
        <row r="1824">
          <cell r="E1824" t="str">
            <v>D2021/00345</v>
          </cell>
          <cell r="F1824">
            <v>12</v>
          </cell>
          <cell r="L1824" t="str">
            <v>44236-13</v>
          </cell>
        </row>
        <row r="1825">
          <cell r="E1825" t="str">
            <v>D2021/00345</v>
          </cell>
          <cell r="F1825">
            <v>18</v>
          </cell>
          <cell r="L1825" t="str">
            <v>44237-13</v>
          </cell>
        </row>
        <row r="1826">
          <cell r="E1826" t="str">
            <v>D2021/00345</v>
          </cell>
          <cell r="F1826">
            <v>13</v>
          </cell>
          <cell r="L1826" t="str">
            <v>44237-13</v>
          </cell>
        </row>
        <row r="1827">
          <cell r="E1827" t="str">
            <v>D2021/00345</v>
          </cell>
          <cell r="F1827">
            <v>58</v>
          </cell>
          <cell r="L1827" t="str">
            <v>44237-13</v>
          </cell>
        </row>
        <row r="1828">
          <cell r="E1828" t="str">
            <v>D2021/00382</v>
          </cell>
          <cell r="F1828">
            <v>83</v>
          </cell>
          <cell r="L1828" t="str">
            <v>44237-13</v>
          </cell>
        </row>
        <row r="1829">
          <cell r="E1829" t="str">
            <v>D2021/00382</v>
          </cell>
          <cell r="F1829">
            <v>61</v>
          </cell>
          <cell r="L1829" t="str">
            <v>44237-13</v>
          </cell>
        </row>
        <row r="1830">
          <cell r="E1830" t="str">
            <v>D2021/00382</v>
          </cell>
          <cell r="F1830">
            <v>25</v>
          </cell>
          <cell r="L1830" t="str">
            <v>44237-13</v>
          </cell>
        </row>
        <row r="1831">
          <cell r="E1831" t="str">
            <v>D2021/00382</v>
          </cell>
          <cell r="F1831">
            <v>11</v>
          </cell>
          <cell r="L1831" t="str">
            <v>44237-13</v>
          </cell>
        </row>
        <row r="1832">
          <cell r="E1832" t="str">
            <v>D2021/00382</v>
          </cell>
          <cell r="F1832">
            <v>13</v>
          </cell>
          <cell r="L1832" t="str">
            <v>44237-13</v>
          </cell>
        </row>
        <row r="1833">
          <cell r="E1833" t="str">
            <v>D2021/00553</v>
          </cell>
          <cell r="F1833">
            <v>360</v>
          </cell>
          <cell r="L1833" t="str">
            <v>44237-10</v>
          </cell>
        </row>
        <row r="1834">
          <cell r="E1834" t="str">
            <v>D2021/00553</v>
          </cell>
          <cell r="F1834">
            <v>120</v>
          </cell>
          <cell r="L1834" t="str">
            <v>44237-10</v>
          </cell>
        </row>
        <row r="1835">
          <cell r="E1835" t="str">
            <v>D2021/00552</v>
          </cell>
          <cell r="F1835">
            <v>31</v>
          </cell>
          <cell r="L1835" t="str">
            <v>44237-10</v>
          </cell>
        </row>
        <row r="1836">
          <cell r="E1836" t="str">
            <v>D2021/00552</v>
          </cell>
          <cell r="F1836">
            <v>306</v>
          </cell>
          <cell r="L1836" t="str">
            <v>44237-10</v>
          </cell>
        </row>
        <row r="1837">
          <cell r="E1837" t="str">
            <v>D2021/00552</v>
          </cell>
          <cell r="F1837">
            <v>27</v>
          </cell>
          <cell r="L1837" t="str">
            <v>44237-10</v>
          </cell>
        </row>
        <row r="1838">
          <cell r="E1838" t="str">
            <v>D2021/00552</v>
          </cell>
          <cell r="F1838">
            <v>106</v>
          </cell>
          <cell r="L1838" t="str">
            <v>44238-10</v>
          </cell>
        </row>
        <row r="1839">
          <cell r="E1839" t="str">
            <v>D2021/00585</v>
          </cell>
          <cell r="F1839">
            <v>315</v>
          </cell>
          <cell r="L1839" t="str">
            <v>44238-10</v>
          </cell>
        </row>
        <row r="1840">
          <cell r="E1840" t="str">
            <v>D2021/00585</v>
          </cell>
          <cell r="F1840">
            <v>116</v>
          </cell>
          <cell r="L1840" t="str">
            <v>44238-10</v>
          </cell>
        </row>
        <row r="1841">
          <cell r="E1841" t="str">
            <v>D2021/00585</v>
          </cell>
          <cell r="F1841">
            <v>34</v>
          </cell>
          <cell r="L1841" t="str">
            <v>44238-10</v>
          </cell>
        </row>
        <row r="1842">
          <cell r="E1842" t="str">
            <v>D2021/00585</v>
          </cell>
          <cell r="F1842">
            <v>25</v>
          </cell>
          <cell r="L1842" t="str">
            <v>44238-10</v>
          </cell>
        </row>
        <row r="1843">
          <cell r="E1843" t="str">
            <v>D2021/00585</v>
          </cell>
          <cell r="F1843">
            <v>3</v>
          </cell>
          <cell r="L1843" t="str">
            <v>44238-10</v>
          </cell>
        </row>
        <row r="1844">
          <cell r="E1844" t="str">
            <v>D2021/00382</v>
          </cell>
          <cell r="F1844">
            <v>28</v>
          </cell>
          <cell r="L1844" t="str">
            <v>44238-13</v>
          </cell>
        </row>
        <row r="1845">
          <cell r="E1845" t="str">
            <v>D2021/00382</v>
          </cell>
          <cell r="F1845">
            <v>65</v>
          </cell>
          <cell r="L1845" t="str">
            <v>44238-13</v>
          </cell>
        </row>
        <row r="1846">
          <cell r="E1846" t="str">
            <v>D2021/00382</v>
          </cell>
          <cell r="F1846">
            <v>7</v>
          </cell>
          <cell r="L1846" t="str">
            <v>44238-13</v>
          </cell>
        </row>
        <row r="1847">
          <cell r="E1847" t="str">
            <v>D2021/00382</v>
          </cell>
          <cell r="F1847">
            <v>14</v>
          </cell>
          <cell r="L1847" t="str">
            <v>44238-13</v>
          </cell>
        </row>
        <row r="1848">
          <cell r="E1848" t="str">
            <v>D2021/00382</v>
          </cell>
          <cell r="F1848">
            <v>38</v>
          </cell>
          <cell r="L1848" t="str">
            <v>44238-13</v>
          </cell>
        </row>
        <row r="1849">
          <cell r="E1849" t="str">
            <v>D2021/00382</v>
          </cell>
          <cell r="F1849">
            <v>97</v>
          </cell>
          <cell r="L1849" t="str">
            <v>44238-13</v>
          </cell>
        </row>
        <row r="1850">
          <cell r="E1850" t="str">
            <v>D2021/00382</v>
          </cell>
          <cell r="F1850">
            <v>47</v>
          </cell>
          <cell r="L1850" t="str">
            <v>44238-13</v>
          </cell>
        </row>
        <row r="1851">
          <cell r="E1851" t="str">
            <v>D2021/00585</v>
          </cell>
          <cell r="F1851">
            <v>64</v>
          </cell>
          <cell r="L1851" t="str">
            <v>44239-10</v>
          </cell>
        </row>
        <row r="1852">
          <cell r="E1852" t="str">
            <v>D2021/00585</v>
          </cell>
          <cell r="F1852">
            <v>12</v>
          </cell>
          <cell r="L1852" t="str">
            <v>44239-10</v>
          </cell>
        </row>
        <row r="1853">
          <cell r="E1853" t="str">
            <v>D2021/00585</v>
          </cell>
          <cell r="F1853">
            <v>48</v>
          </cell>
          <cell r="L1853" t="str">
            <v>44239-10</v>
          </cell>
        </row>
        <row r="1854">
          <cell r="E1854" t="str">
            <v>D2021/00382</v>
          </cell>
          <cell r="F1854">
            <v>21</v>
          </cell>
          <cell r="L1854" t="str">
            <v>44239-13</v>
          </cell>
        </row>
        <row r="1855">
          <cell r="E1855" t="str">
            <v>D2021/00382</v>
          </cell>
          <cell r="F1855">
            <v>37</v>
          </cell>
          <cell r="L1855" t="str">
            <v>44239-13</v>
          </cell>
        </row>
        <row r="1856">
          <cell r="E1856" t="str">
            <v>D2021/00382</v>
          </cell>
          <cell r="F1856">
            <v>32</v>
          </cell>
          <cell r="L1856" t="str">
            <v>44239-13</v>
          </cell>
        </row>
        <row r="1857">
          <cell r="E1857" t="str">
            <v>D2021/00382</v>
          </cell>
          <cell r="F1857">
            <v>57</v>
          </cell>
          <cell r="L1857" t="str">
            <v>44239-13</v>
          </cell>
        </row>
        <row r="1858">
          <cell r="E1858" t="str">
            <v>D2021/00382</v>
          </cell>
          <cell r="F1858">
            <v>13</v>
          </cell>
          <cell r="L1858" t="str">
            <v>44239-13</v>
          </cell>
        </row>
        <row r="1859">
          <cell r="E1859" t="str">
            <v>D2021/00382</v>
          </cell>
          <cell r="F1859">
            <v>169</v>
          </cell>
          <cell r="L1859" t="str">
            <v>44239-13</v>
          </cell>
        </row>
        <row r="1860">
          <cell r="E1860" t="str">
            <v>D2021/00382</v>
          </cell>
          <cell r="F1860">
            <v>40</v>
          </cell>
          <cell r="L1860" t="str">
            <v>44239-13</v>
          </cell>
        </row>
        <row r="1861">
          <cell r="E1861" t="str">
            <v>D2021/00382</v>
          </cell>
          <cell r="F1861">
            <v>7</v>
          </cell>
          <cell r="L1861" t="str">
            <v>44239-13</v>
          </cell>
        </row>
        <row r="1862">
          <cell r="E1862" t="str">
            <v>D2021/00382</v>
          </cell>
          <cell r="F1862">
            <v>5</v>
          </cell>
          <cell r="L1862" t="str">
            <v>44239-13</v>
          </cell>
        </row>
        <row r="1863">
          <cell r="E1863" t="str">
            <v>D2021/00617</v>
          </cell>
          <cell r="F1863">
            <v>352</v>
          </cell>
          <cell r="L1863" t="str">
            <v>44242-10</v>
          </cell>
        </row>
        <row r="1864">
          <cell r="E1864" t="str">
            <v>D2021/00617</v>
          </cell>
          <cell r="F1864">
            <v>123</v>
          </cell>
          <cell r="L1864" t="str">
            <v>44242-10</v>
          </cell>
        </row>
        <row r="1865">
          <cell r="E1865" t="str">
            <v>D2021/00617</v>
          </cell>
          <cell r="F1865">
            <v>118</v>
          </cell>
          <cell r="L1865" t="str">
            <v>44242-10</v>
          </cell>
        </row>
        <row r="1866">
          <cell r="E1866" t="str">
            <v>D2021/00382</v>
          </cell>
          <cell r="F1866">
            <v>76</v>
          </cell>
          <cell r="L1866" t="str">
            <v>44242-13</v>
          </cell>
        </row>
        <row r="1867">
          <cell r="E1867" t="str">
            <v>D2021/00382</v>
          </cell>
          <cell r="F1867">
            <v>12</v>
          </cell>
          <cell r="L1867" t="str">
            <v>44242-13</v>
          </cell>
        </row>
        <row r="1868">
          <cell r="E1868" t="str">
            <v>D2021/00382</v>
          </cell>
          <cell r="F1868">
            <v>5</v>
          </cell>
          <cell r="L1868" t="str">
            <v>44242-13</v>
          </cell>
        </row>
        <row r="1869">
          <cell r="E1869" t="str">
            <v>D2021/00382</v>
          </cell>
          <cell r="F1869">
            <v>93</v>
          </cell>
          <cell r="L1869" t="str">
            <v>44242-13</v>
          </cell>
        </row>
        <row r="1870">
          <cell r="E1870" t="str">
            <v>D2021/00382</v>
          </cell>
          <cell r="F1870">
            <v>61</v>
          </cell>
          <cell r="L1870" t="str">
            <v>44242-13</v>
          </cell>
        </row>
        <row r="1871">
          <cell r="E1871" t="str">
            <v>D2021/00382</v>
          </cell>
          <cell r="F1871">
            <v>205</v>
          </cell>
          <cell r="L1871" t="str">
            <v>44243-10</v>
          </cell>
        </row>
        <row r="1872">
          <cell r="E1872" t="str">
            <v>D2021/00382</v>
          </cell>
          <cell r="F1872">
            <v>98</v>
          </cell>
          <cell r="L1872" t="str">
            <v>44243-10</v>
          </cell>
        </row>
        <row r="1873">
          <cell r="E1873" t="str">
            <v>D2021/00382</v>
          </cell>
          <cell r="F1873">
            <v>35</v>
          </cell>
          <cell r="L1873" t="str">
            <v>44243-10</v>
          </cell>
        </row>
        <row r="1874">
          <cell r="E1874" t="str">
            <v>D2021/00382</v>
          </cell>
          <cell r="F1874">
            <v>56</v>
          </cell>
          <cell r="L1874" t="str">
            <v>44243-10</v>
          </cell>
        </row>
        <row r="1875">
          <cell r="E1875" t="str">
            <v>D2021/00382</v>
          </cell>
          <cell r="F1875">
            <v>56</v>
          </cell>
          <cell r="L1875" t="str">
            <v>44243-14</v>
          </cell>
        </row>
        <row r="1876">
          <cell r="E1876" t="str">
            <v>D2021/00382</v>
          </cell>
          <cell r="F1876">
            <v>84</v>
          </cell>
          <cell r="L1876" t="str">
            <v>44243-14</v>
          </cell>
        </row>
        <row r="1877">
          <cell r="E1877" t="str">
            <v>D2021/00382</v>
          </cell>
          <cell r="F1877">
            <v>35</v>
          </cell>
          <cell r="L1877" t="str">
            <v>44243-14</v>
          </cell>
        </row>
        <row r="1878">
          <cell r="E1878" t="str">
            <v>D2021/00382</v>
          </cell>
          <cell r="F1878">
            <v>8</v>
          </cell>
          <cell r="L1878" t="str">
            <v>44243-14</v>
          </cell>
        </row>
        <row r="1879">
          <cell r="E1879" t="str">
            <v>D2021/00382</v>
          </cell>
          <cell r="F1879">
            <v>32</v>
          </cell>
          <cell r="L1879" t="str">
            <v>44243-14</v>
          </cell>
        </row>
        <row r="1880">
          <cell r="E1880" t="str">
            <v>D2021/00382</v>
          </cell>
          <cell r="F1880">
            <v>80</v>
          </cell>
          <cell r="L1880" t="str">
            <v>44243-14</v>
          </cell>
        </row>
        <row r="1881">
          <cell r="E1881" t="str">
            <v>D2021/00382</v>
          </cell>
          <cell r="F1881">
            <v>13</v>
          </cell>
          <cell r="L1881" t="str">
            <v>44243-14</v>
          </cell>
        </row>
        <row r="1882">
          <cell r="E1882" t="str">
            <v>D2021/00382</v>
          </cell>
          <cell r="F1882">
            <v>7</v>
          </cell>
          <cell r="L1882" t="str">
            <v>44243-14</v>
          </cell>
        </row>
        <row r="1883">
          <cell r="E1883" t="str">
            <v>D2021/00382</v>
          </cell>
          <cell r="F1883">
            <v>15</v>
          </cell>
          <cell r="L1883" t="str">
            <v>44243-14</v>
          </cell>
        </row>
        <row r="1884">
          <cell r="E1884" t="str">
            <v>D2021/00234</v>
          </cell>
          <cell r="F1884">
            <v>56</v>
          </cell>
          <cell r="L1884" t="str">
            <v>44243-13</v>
          </cell>
        </row>
        <row r="1885">
          <cell r="E1885" t="str">
            <v>D2021/00234</v>
          </cell>
          <cell r="F1885">
            <v>11</v>
          </cell>
          <cell r="L1885" t="str">
            <v>44243-13</v>
          </cell>
        </row>
        <row r="1886">
          <cell r="E1886" t="str">
            <v>D2021/00234</v>
          </cell>
          <cell r="F1886">
            <v>38</v>
          </cell>
          <cell r="L1886" t="str">
            <v>44243-13</v>
          </cell>
        </row>
        <row r="1887">
          <cell r="E1887" t="str">
            <v>D2021/00234</v>
          </cell>
          <cell r="F1887">
            <v>19</v>
          </cell>
          <cell r="L1887" t="str">
            <v>44243-13</v>
          </cell>
        </row>
        <row r="1888">
          <cell r="E1888" t="str">
            <v>D2021/00234</v>
          </cell>
          <cell r="F1888">
            <v>8</v>
          </cell>
          <cell r="L1888" t="str">
            <v>44243-13</v>
          </cell>
        </row>
        <row r="1889">
          <cell r="E1889" t="str">
            <v>D2021/00382</v>
          </cell>
          <cell r="F1889">
            <v>61</v>
          </cell>
          <cell r="L1889" t="str">
            <v>44244-10</v>
          </cell>
        </row>
        <row r="1890">
          <cell r="E1890" t="str">
            <v>D2021/00382</v>
          </cell>
          <cell r="F1890">
            <v>648</v>
          </cell>
          <cell r="L1890" t="str">
            <v>44244-10</v>
          </cell>
        </row>
        <row r="1891">
          <cell r="E1891" t="str">
            <v>D2021/00382</v>
          </cell>
          <cell r="F1891">
            <v>41</v>
          </cell>
          <cell r="L1891" t="str">
            <v>44244-10</v>
          </cell>
        </row>
        <row r="1892">
          <cell r="E1892" t="str">
            <v>D2021/00234</v>
          </cell>
          <cell r="F1892">
            <v>32</v>
          </cell>
          <cell r="L1892" t="str">
            <v>44244-13</v>
          </cell>
        </row>
        <row r="1893">
          <cell r="E1893" t="str">
            <v>D2021/00554</v>
          </cell>
          <cell r="F1893">
            <v>113</v>
          </cell>
          <cell r="L1893" t="str">
            <v>44244-10</v>
          </cell>
        </row>
        <row r="1894">
          <cell r="E1894" t="str">
            <v>D2021/00554</v>
          </cell>
          <cell r="F1894">
            <v>52</v>
          </cell>
          <cell r="L1894" t="str">
            <v>44244-10</v>
          </cell>
        </row>
        <row r="1895">
          <cell r="E1895" t="str">
            <v>D2021/00554</v>
          </cell>
          <cell r="F1895">
            <v>50</v>
          </cell>
          <cell r="L1895" t="str">
            <v>44244-14</v>
          </cell>
        </row>
        <row r="1896">
          <cell r="E1896" t="str">
            <v>D2021/00554</v>
          </cell>
          <cell r="F1896">
            <v>34</v>
          </cell>
          <cell r="L1896" t="str">
            <v>44244-14</v>
          </cell>
        </row>
        <row r="1897">
          <cell r="E1897" t="str">
            <v>D2021/00554</v>
          </cell>
          <cell r="F1897">
            <v>8</v>
          </cell>
          <cell r="L1897" t="str">
            <v>44244-14</v>
          </cell>
        </row>
        <row r="1898">
          <cell r="E1898" t="str">
            <v>D2021/00554</v>
          </cell>
          <cell r="F1898">
            <v>35</v>
          </cell>
          <cell r="L1898" t="str">
            <v>44244-14</v>
          </cell>
        </row>
        <row r="1899">
          <cell r="E1899" t="str">
            <v>D2021/00554</v>
          </cell>
          <cell r="F1899">
            <v>23</v>
          </cell>
          <cell r="L1899" t="str">
            <v>44244-14</v>
          </cell>
        </row>
        <row r="1900">
          <cell r="E1900" t="str">
            <v>D2021/00554</v>
          </cell>
          <cell r="F1900">
            <v>35</v>
          </cell>
          <cell r="L1900" t="str">
            <v>44244-14</v>
          </cell>
        </row>
        <row r="1901">
          <cell r="E1901" t="str">
            <v>D2021/00554</v>
          </cell>
          <cell r="F1901">
            <v>65</v>
          </cell>
          <cell r="L1901" t="str">
            <v>44244-14</v>
          </cell>
        </row>
        <row r="1902">
          <cell r="E1902" t="str">
            <v>D2021/00235</v>
          </cell>
          <cell r="F1902">
            <v>4</v>
          </cell>
          <cell r="L1902" t="str">
            <v>44244-13</v>
          </cell>
        </row>
        <row r="1903">
          <cell r="E1903" t="str">
            <v>D2021/00554</v>
          </cell>
          <cell r="F1903">
            <v>30</v>
          </cell>
          <cell r="L1903" t="str">
            <v>44244-13</v>
          </cell>
        </row>
        <row r="1904">
          <cell r="E1904" t="str">
            <v>D2021/00235</v>
          </cell>
          <cell r="F1904">
            <v>34</v>
          </cell>
          <cell r="L1904" t="str">
            <v>44244-13</v>
          </cell>
        </row>
        <row r="1905">
          <cell r="E1905" t="str">
            <v>D2021/00235</v>
          </cell>
          <cell r="F1905">
            <v>10</v>
          </cell>
          <cell r="L1905" t="str">
            <v>44244-13</v>
          </cell>
        </row>
        <row r="1906">
          <cell r="E1906" t="str">
            <v>D2021/00236</v>
          </cell>
          <cell r="F1906">
            <v>46</v>
          </cell>
          <cell r="L1906" t="str">
            <v>44244-13</v>
          </cell>
        </row>
        <row r="1907">
          <cell r="E1907" t="str">
            <v>D2021/00554</v>
          </cell>
          <cell r="F1907">
            <v>68</v>
          </cell>
          <cell r="L1907" t="str">
            <v>44245-27</v>
          </cell>
        </row>
        <row r="1908">
          <cell r="E1908" t="str">
            <v>D2021/00554</v>
          </cell>
          <cell r="F1908">
            <v>79</v>
          </cell>
          <cell r="L1908" t="str">
            <v>44245-27</v>
          </cell>
        </row>
        <row r="1909">
          <cell r="E1909" t="str">
            <v>D2021/00554</v>
          </cell>
          <cell r="F1909">
            <v>16</v>
          </cell>
          <cell r="L1909" t="str">
            <v>44245-27</v>
          </cell>
        </row>
        <row r="1910">
          <cell r="E1910" t="str">
            <v>D2021/00554</v>
          </cell>
          <cell r="F1910">
            <v>42</v>
          </cell>
          <cell r="L1910" t="str">
            <v>44245-14</v>
          </cell>
        </row>
        <row r="1911">
          <cell r="E1911" t="str">
            <v>D2021/00554</v>
          </cell>
          <cell r="F1911">
            <v>11</v>
          </cell>
          <cell r="L1911" t="str">
            <v>44245-14</v>
          </cell>
        </row>
        <row r="1912">
          <cell r="E1912" t="str">
            <v>D2021/00236</v>
          </cell>
          <cell r="F1912">
            <v>34</v>
          </cell>
          <cell r="L1912" t="str">
            <v>44245-13</v>
          </cell>
        </row>
        <row r="1913">
          <cell r="E1913" t="str">
            <v>D2021/00237</v>
          </cell>
          <cell r="F1913">
            <v>22</v>
          </cell>
          <cell r="L1913" t="str">
            <v>44245-13</v>
          </cell>
        </row>
        <row r="1914">
          <cell r="E1914" t="str">
            <v>D2021/00548</v>
          </cell>
          <cell r="F1914">
            <v>5</v>
          </cell>
          <cell r="L1914" t="str">
            <v>44245-13</v>
          </cell>
        </row>
        <row r="1915">
          <cell r="E1915" t="str">
            <v>D2021/00554</v>
          </cell>
          <cell r="F1915">
            <v>92</v>
          </cell>
          <cell r="L1915" t="str">
            <v>44246-10</v>
          </cell>
        </row>
        <row r="1916">
          <cell r="E1916" t="str">
            <v>D2021/00554</v>
          </cell>
          <cell r="F1916">
            <v>94</v>
          </cell>
          <cell r="L1916" t="str">
            <v>44246-10</v>
          </cell>
        </row>
        <row r="1917">
          <cell r="E1917" t="str">
            <v>D2021/00554</v>
          </cell>
          <cell r="F1917">
            <v>103</v>
          </cell>
          <cell r="L1917" t="str">
            <v>44246-10</v>
          </cell>
        </row>
        <row r="1918">
          <cell r="E1918" t="str">
            <v>D2021/00555</v>
          </cell>
          <cell r="F1918">
            <v>485</v>
          </cell>
          <cell r="L1918" t="str">
            <v>44246-10</v>
          </cell>
        </row>
        <row r="1919">
          <cell r="E1919" t="str">
            <v>D2021/00555</v>
          </cell>
          <cell r="F1919">
            <v>7</v>
          </cell>
          <cell r="L1919" t="str">
            <v>44246-10</v>
          </cell>
        </row>
        <row r="1920">
          <cell r="E1920" t="str">
            <v>D2021/00555</v>
          </cell>
          <cell r="F1920">
            <v>9</v>
          </cell>
          <cell r="L1920" t="str">
            <v>44246-14</v>
          </cell>
        </row>
        <row r="1921">
          <cell r="E1921" t="str">
            <v>D2021/00555</v>
          </cell>
          <cell r="F1921">
            <v>106</v>
          </cell>
          <cell r="L1921" t="str">
            <v>44246-14</v>
          </cell>
        </row>
        <row r="1922">
          <cell r="E1922" t="str">
            <v>D2021/00555</v>
          </cell>
          <cell r="F1922">
            <v>26</v>
          </cell>
          <cell r="L1922" t="str">
            <v>44246-14</v>
          </cell>
        </row>
        <row r="1923">
          <cell r="E1923" t="str">
            <v>D2021/00555</v>
          </cell>
          <cell r="F1923">
            <v>81</v>
          </cell>
          <cell r="L1923" t="str">
            <v>44249-10</v>
          </cell>
        </row>
        <row r="1924">
          <cell r="E1924" t="str">
            <v>D2021/00555</v>
          </cell>
          <cell r="F1924">
            <v>44</v>
          </cell>
          <cell r="L1924" t="str">
            <v>44249-10</v>
          </cell>
        </row>
        <row r="1925">
          <cell r="E1925" t="str">
            <v>D2021/00555</v>
          </cell>
          <cell r="F1925">
            <v>25</v>
          </cell>
          <cell r="L1925" t="str">
            <v>44249-10</v>
          </cell>
        </row>
        <row r="1926">
          <cell r="E1926" t="str">
            <v>D2021/00555</v>
          </cell>
          <cell r="F1926">
            <v>31</v>
          </cell>
          <cell r="L1926" t="str">
            <v>44249-10</v>
          </cell>
        </row>
        <row r="1927">
          <cell r="E1927" t="str">
            <v>D2021/00555</v>
          </cell>
          <cell r="F1927">
            <v>31</v>
          </cell>
          <cell r="L1927" t="str">
            <v>44249-10</v>
          </cell>
        </row>
        <row r="1928">
          <cell r="E1928" t="str">
            <v>D2021/00548</v>
          </cell>
          <cell r="F1928">
            <v>38</v>
          </cell>
          <cell r="L1928" t="str">
            <v>44249-13</v>
          </cell>
        </row>
        <row r="1929">
          <cell r="E1929" t="str">
            <v>D2021/00548</v>
          </cell>
          <cell r="F1929">
            <v>35</v>
          </cell>
          <cell r="L1929" t="str">
            <v>44249-13</v>
          </cell>
        </row>
        <row r="1930">
          <cell r="E1930" t="str">
            <v>D2021/00548</v>
          </cell>
          <cell r="F1930">
            <v>7</v>
          </cell>
          <cell r="L1930" t="str">
            <v>44249-13</v>
          </cell>
        </row>
        <row r="1931">
          <cell r="E1931" t="str">
            <v>D2021/00387</v>
          </cell>
          <cell r="F1931">
            <v>81</v>
          </cell>
          <cell r="L1931" t="str">
            <v>44249-14</v>
          </cell>
        </row>
        <row r="1932">
          <cell r="E1932" t="str">
            <v>D2021/00386</v>
          </cell>
          <cell r="F1932">
            <v>38</v>
          </cell>
          <cell r="L1932" t="str">
            <v>44249-14</v>
          </cell>
        </row>
        <row r="1933">
          <cell r="E1933" t="str">
            <v>D2021/00387</v>
          </cell>
          <cell r="F1933">
            <v>49</v>
          </cell>
          <cell r="L1933" t="str">
            <v>44250-14</v>
          </cell>
        </row>
        <row r="1934">
          <cell r="E1934" t="str">
            <v>D2021/00387</v>
          </cell>
          <cell r="F1934">
            <v>40</v>
          </cell>
          <cell r="L1934" t="str">
            <v>44250-14</v>
          </cell>
        </row>
        <row r="1935">
          <cell r="E1935" t="str">
            <v>D2021/00387</v>
          </cell>
          <cell r="F1935">
            <v>48</v>
          </cell>
          <cell r="L1935" t="str">
            <v>44250-14</v>
          </cell>
        </row>
        <row r="1936">
          <cell r="E1936" t="str">
            <v>D2021/00387</v>
          </cell>
          <cell r="F1936">
            <v>138</v>
          </cell>
          <cell r="L1936" t="str">
            <v>44250-14</v>
          </cell>
        </row>
        <row r="1937">
          <cell r="E1937" t="str">
            <v>D2021/00586</v>
          </cell>
          <cell r="F1937">
            <v>35</v>
          </cell>
          <cell r="L1937" t="str">
            <v>44250-10</v>
          </cell>
        </row>
        <row r="1938">
          <cell r="E1938" t="str">
            <v>D2021/00586</v>
          </cell>
          <cell r="F1938">
            <v>54</v>
          </cell>
          <cell r="L1938" t="str">
            <v>44250-10</v>
          </cell>
        </row>
        <row r="1939">
          <cell r="E1939" t="str">
            <v>D2021/00586</v>
          </cell>
          <cell r="F1939">
            <v>98</v>
          </cell>
          <cell r="L1939" t="str">
            <v>44250-10</v>
          </cell>
        </row>
        <row r="1940">
          <cell r="E1940" t="str">
            <v>D2021/00586</v>
          </cell>
          <cell r="F1940">
            <v>75</v>
          </cell>
          <cell r="L1940" t="str">
            <v>44250-10</v>
          </cell>
        </row>
        <row r="1941">
          <cell r="E1941" t="str">
            <v>D2021/00586</v>
          </cell>
          <cell r="F1941">
            <v>16</v>
          </cell>
          <cell r="L1941" t="str">
            <v>44250-10</v>
          </cell>
        </row>
        <row r="1942">
          <cell r="E1942" t="str">
            <v>D2021/00586</v>
          </cell>
          <cell r="F1942">
            <v>15</v>
          </cell>
          <cell r="L1942" t="str">
            <v>44250-10</v>
          </cell>
        </row>
        <row r="1943">
          <cell r="E1943" t="str">
            <v>D2021/00586</v>
          </cell>
          <cell r="F1943">
            <v>16</v>
          </cell>
          <cell r="L1943" t="str">
            <v>44250-13</v>
          </cell>
        </row>
        <row r="1944">
          <cell r="E1944" t="str">
            <v>D2021/00586</v>
          </cell>
          <cell r="F1944">
            <v>39</v>
          </cell>
          <cell r="L1944" t="str">
            <v>44250-13</v>
          </cell>
        </row>
        <row r="1945">
          <cell r="E1945" t="str">
            <v>D2021/00586</v>
          </cell>
          <cell r="F1945">
            <v>7</v>
          </cell>
          <cell r="L1945" t="str">
            <v>44250-13</v>
          </cell>
        </row>
        <row r="1946">
          <cell r="E1946" t="str">
            <v>D2021/00586</v>
          </cell>
          <cell r="F1946">
            <v>45</v>
          </cell>
          <cell r="L1946" t="str">
            <v>44250-13</v>
          </cell>
        </row>
        <row r="1947">
          <cell r="E1947" t="str">
            <v>D2021/00387</v>
          </cell>
          <cell r="F1947">
            <v>75</v>
          </cell>
          <cell r="L1947" t="str">
            <v>44251-14</v>
          </cell>
        </row>
        <row r="1948">
          <cell r="E1948" t="str">
            <v>D2021/00387</v>
          </cell>
          <cell r="F1948">
            <v>87</v>
          </cell>
          <cell r="L1948" t="str">
            <v>44251-14</v>
          </cell>
        </row>
        <row r="1949">
          <cell r="E1949" t="str">
            <v>D2021/00385</v>
          </cell>
          <cell r="F1949">
            <v>312</v>
          </cell>
          <cell r="L1949" t="str">
            <v>44251-14</v>
          </cell>
        </row>
        <row r="1950">
          <cell r="E1950" t="str">
            <v>D2021/00385</v>
          </cell>
          <cell r="F1950">
            <v>136</v>
          </cell>
          <cell r="L1950" t="str">
            <v>44251-14</v>
          </cell>
        </row>
        <row r="1951">
          <cell r="E1951" t="str">
            <v>D2021/00385</v>
          </cell>
          <cell r="F1951">
            <v>72</v>
          </cell>
          <cell r="L1951" t="str">
            <v>44251-14</v>
          </cell>
        </row>
        <row r="1952">
          <cell r="E1952" t="str">
            <v>D2021/00385</v>
          </cell>
          <cell r="F1952">
            <v>49</v>
          </cell>
          <cell r="L1952" t="str">
            <v>44251-14</v>
          </cell>
        </row>
        <row r="1953">
          <cell r="E1953" t="str">
            <v>D2021/00385</v>
          </cell>
          <cell r="F1953">
            <v>36</v>
          </cell>
          <cell r="L1953" t="str">
            <v>44251-14</v>
          </cell>
        </row>
        <row r="1954">
          <cell r="E1954" t="str">
            <v>D2021/00586</v>
          </cell>
          <cell r="F1954">
            <v>66</v>
          </cell>
          <cell r="L1954" t="str">
            <v>44251-10</v>
          </cell>
        </row>
        <row r="1955">
          <cell r="E1955" t="str">
            <v>D2021/00586</v>
          </cell>
          <cell r="F1955">
            <v>42</v>
          </cell>
          <cell r="L1955" t="str">
            <v>44251-10</v>
          </cell>
        </row>
        <row r="1956">
          <cell r="E1956" t="str">
            <v>D2021/00586</v>
          </cell>
          <cell r="F1956">
            <v>50</v>
          </cell>
          <cell r="L1956" t="str">
            <v>44251-10</v>
          </cell>
        </row>
        <row r="1957">
          <cell r="E1957" t="str">
            <v>D2021/00586</v>
          </cell>
          <cell r="F1957">
            <v>10</v>
          </cell>
          <cell r="L1957" t="str">
            <v>44251-10</v>
          </cell>
        </row>
        <row r="1958">
          <cell r="E1958" t="str">
            <v>D2021/00383</v>
          </cell>
          <cell r="F1958">
            <v>36</v>
          </cell>
          <cell r="L1958" t="str">
            <v>44251-13</v>
          </cell>
        </row>
        <row r="1959">
          <cell r="E1959" t="str">
            <v>D2021/00383</v>
          </cell>
          <cell r="F1959">
            <v>77</v>
          </cell>
          <cell r="L1959" t="str">
            <v>44251-13</v>
          </cell>
        </row>
        <row r="1960">
          <cell r="E1960" t="str">
            <v>D2021/00383</v>
          </cell>
          <cell r="F1960">
            <v>38</v>
          </cell>
          <cell r="L1960" t="str">
            <v>44251-13</v>
          </cell>
        </row>
        <row r="1961">
          <cell r="E1961" t="str">
            <v>D2021/00383</v>
          </cell>
          <cell r="F1961">
            <v>58</v>
          </cell>
          <cell r="L1961" t="str">
            <v>44251-13</v>
          </cell>
        </row>
        <row r="1962">
          <cell r="E1962" t="str">
            <v>D2021/00589</v>
          </cell>
          <cell r="F1962">
            <v>42</v>
          </cell>
          <cell r="L1962" t="str">
            <v>44252-27</v>
          </cell>
        </row>
        <row r="1963">
          <cell r="E1963" t="str">
            <v>D2021/00589</v>
          </cell>
          <cell r="F1963">
            <v>15</v>
          </cell>
          <cell r="L1963" t="str">
            <v>44252-27</v>
          </cell>
        </row>
        <row r="1964">
          <cell r="E1964" t="str">
            <v>D2021/00589</v>
          </cell>
          <cell r="F1964">
            <v>26</v>
          </cell>
          <cell r="L1964" t="str">
            <v>44252-27</v>
          </cell>
        </row>
        <row r="1965">
          <cell r="E1965" t="str">
            <v>D2021/00589</v>
          </cell>
          <cell r="F1965">
            <v>15</v>
          </cell>
          <cell r="L1965" t="str">
            <v>44252-27</v>
          </cell>
        </row>
        <row r="1966">
          <cell r="E1966" t="str">
            <v>D2021/00589</v>
          </cell>
          <cell r="F1966">
            <v>8</v>
          </cell>
          <cell r="L1966" t="str">
            <v>44252-13</v>
          </cell>
        </row>
        <row r="1967">
          <cell r="E1967" t="str">
            <v>D2021/00385</v>
          </cell>
          <cell r="F1967">
            <v>90</v>
          </cell>
          <cell r="L1967" t="str">
            <v>44252-14</v>
          </cell>
        </row>
        <row r="1968">
          <cell r="E1968" t="str">
            <v>D2021/00385</v>
          </cell>
          <cell r="F1968">
            <v>185</v>
          </cell>
          <cell r="L1968" t="str">
            <v>44252-14</v>
          </cell>
        </row>
        <row r="1969">
          <cell r="E1969" t="str">
            <v>D2021/00385</v>
          </cell>
          <cell r="F1969">
            <v>115</v>
          </cell>
          <cell r="L1969" t="str">
            <v>44252-14</v>
          </cell>
        </row>
        <row r="1970">
          <cell r="E1970" t="str">
            <v>D2021/00385</v>
          </cell>
          <cell r="F1970">
            <v>98</v>
          </cell>
          <cell r="L1970" t="str">
            <v>44252-14</v>
          </cell>
        </row>
        <row r="1971">
          <cell r="E1971" t="str">
            <v>D2021/00385</v>
          </cell>
          <cell r="F1971">
            <v>11</v>
          </cell>
          <cell r="L1971" t="str">
            <v>44252-14</v>
          </cell>
        </row>
        <row r="1972">
          <cell r="E1972" t="str">
            <v>D2021/00385</v>
          </cell>
          <cell r="F1972">
            <v>30</v>
          </cell>
          <cell r="L1972" t="str">
            <v>44253-27</v>
          </cell>
        </row>
        <row r="1973">
          <cell r="E1973" t="str">
            <v>D2021/00385</v>
          </cell>
          <cell r="F1973">
            <v>37</v>
          </cell>
          <cell r="L1973" t="str">
            <v>44253-27</v>
          </cell>
        </row>
        <row r="1974">
          <cell r="E1974" t="str">
            <v>D2021/00385</v>
          </cell>
          <cell r="F1974">
            <v>77</v>
          </cell>
          <cell r="L1974" t="str">
            <v>44253-27</v>
          </cell>
        </row>
        <row r="1975">
          <cell r="E1975" t="str">
            <v>D2021/00338</v>
          </cell>
          <cell r="F1975">
            <v>109</v>
          </cell>
          <cell r="L1975" t="str">
            <v>44253-27</v>
          </cell>
        </row>
        <row r="1976">
          <cell r="E1976" t="str">
            <v>D2021/00338</v>
          </cell>
          <cell r="F1976">
            <v>7</v>
          </cell>
          <cell r="L1976" t="str">
            <v>44253-13</v>
          </cell>
        </row>
        <row r="1977">
          <cell r="E1977" t="str">
            <v>D2021/00338</v>
          </cell>
          <cell r="F1977">
            <v>5</v>
          </cell>
          <cell r="L1977" t="str">
            <v>44253-13</v>
          </cell>
        </row>
        <row r="1978">
          <cell r="E1978" t="str">
            <v>D2021/00338</v>
          </cell>
          <cell r="F1978">
            <v>17</v>
          </cell>
          <cell r="L1978" t="str">
            <v>44253-13</v>
          </cell>
        </row>
        <row r="1979">
          <cell r="E1979" t="str">
            <v>D2021/00338</v>
          </cell>
          <cell r="F1979">
            <v>9</v>
          </cell>
          <cell r="L1979" t="str">
            <v>44253-13</v>
          </cell>
        </row>
        <row r="1980">
          <cell r="E1980" t="str">
            <v>D2021/00338</v>
          </cell>
          <cell r="F1980">
            <v>28</v>
          </cell>
          <cell r="L1980" t="str">
            <v>44253-13</v>
          </cell>
        </row>
        <row r="1981">
          <cell r="E1981" t="str">
            <v>D2021/00338</v>
          </cell>
          <cell r="F1981">
            <v>3</v>
          </cell>
          <cell r="L1981" t="str">
            <v>44253-13</v>
          </cell>
        </row>
        <row r="1982">
          <cell r="E1982" t="str">
            <v>D2021/00338</v>
          </cell>
          <cell r="F1982">
            <v>5</v>
          </cell>
          <cell r="L1982" t="str">
            <v>44253-13</v>
          </cell>
        </row>
        <row r="1983">
          <cell r="E1983" t="str">
            <v>D2021/00338</v>
          </cell>
          <cell r="F1983">
            <v>38</v>
          </cell>
          <cell r="L1983" t="str">
            <v>44256-27</v>
          </cell>
        </row>
        <row r="1984">
          <cell r="E1984" t="str">
            <v>D2021/00338</v>
          </cell>
          <cell r="F1984">
            <v>20</v>
          </cell>
          <cell r="L1984" t="str">
            <v>44256-27</v>
          </cell>
        </row>
        <row r="1985">
          <cell r="E1985" t="str">
            <v>D2021/00338</v>
          </cell>
          <cell r="F1985">
            <v>31</v>
          </cell>
          <cell r="L1985" t="str">
            <v>44256-27</v>
          </cell>
        </row>
        <row r="1986">
          <cell r="E1986" t="str">
            <v>D2021/00337</v>
          </cell>
          <cell r="F1986">
            <v>14</v>
          </cell>
          <cell r="L1986" t="str">
            <v>44256-27</v>
          </cell>
        </row>
        <row r="1987">
          <cell r="E1987" t="str">
            <v>D2021/00337</v>
          </cell>
          <cell r="F1987">
            <v>27</v>
          </cell>
          <cell r="L1987" t="str">
            <v>44256-27</v>
          </cell>
        </row>
        <row r="1988">
          <cell r="E1988" t="str">
            <v>D2021/00337</v>
          </cell>
          <cell r="F1988">
            <v>50</v>
          </cell>
          <cell r="L1988" t="str">
            <v>44256-27</v>
          </cell>
        </row>
        <row r="1989">
          <cell r="E1989" t="str">
            <v>D2021/00337</v>
          </cell>
          <cell r="F1989">
            <v>25</v>
          </cell>
          <cell r="L1989" t="str">
            <v>44256-27</v>
          </cell>
        </row>
        <row r="1990">
          <cell r="E1990" t="str">
            <v>D2021/00337</v>
          </cell>
          <cell r="F1990">
            <v>6</v>
          </cell>
          <cell r="L1990" t="str">
            <v>44256-13</v>
          </cell>
        </row>
        <row r="1991">
          <cell r="E1991" t="str">
            <v>D2021/00337</v>
          </cell>
          <cell r="F1991">
            <v>5</v>
          </cell>
          <cell r="L1991" t="str">
            <v>44256-13</v>
          </cell>
        </row>
        <row r="1992">
          <cell r="E1992" t="str">
            <v>D2021/00337</v>
          </cell>
          <cell r="F1992">
            <v>4</v>
          </cell>
          <cell r="L1992" t="str">
            <v>44256-13</v>
          </cell>
        </row>
        <row r="1993">
          <cell r="E1993" t="str">
            <v>D2021/00337</v>
          </cell>
          <cell r="F1993">
            <v>5</v>
          </cell>
          <cell r="L1993" t="str">
            <v>44256-13</v>
          </cell>
        </row>
        <row r="1994">
          <cell r="E1994" t="str">
            <v>D2021/00337</v>
          </cell>
          <cell r="F1994">
            <v>8</v>
          </cell>
          <cell r="L1994" t="str">
            <v>44256-13</v>
          </cell>
        </row>
        <row r="1995">
          <cell r="E1995" t="str">
            <v>D2021/00337</v>
          </cell>
          <cell r="F1995">
            <v>32</v>
          </cell>
          <cell r="L1995" t="str">
            <v>44257-27</v>
          </cell>
        </row>
        <row r="1996">
          <cell r="E1996" t="str">
            <v>D2021/00337</v>
          </cell>
          <cell r="F1996">
            <v>39</v>
          </cell>
          <cell r="L1996" t="str">
            <v>44257-27</v>
          </cell>
        </row>
        <row r="1997">
          <cell r="E1997" t="str">
            <v>D2021/00337</v>
          </cell>
          <cell r="F1997">
            <v>3</v>
          </cell>
          <cell r="L1997" t="str">
            <v>44257-27</v>
          </cell>
        </row>
        <row r="1998">
          <cell r="E1998" t="str">
            <v>D2021/00337</v>
          </cell>
          <cell r="F1998">
            <v>4</v>
          </cell>
          <cell r="L1998" t="str">
            <v>44257-27</v>
          </cell>
        </row>
        <row r="1999">
          <cell r="E1999" t="str">
            <v>D2021/00337</v>
          </cell>
          <cell r="F1999">
            <v>23</v>
          </cell>
          <cell r="L1999" t="str">
            <v>44257-27</v>
          </cell>
        </row>
        <row r="2000">
          <cell r="E2000" t="str">
            <v>D2021/00337</v>
          </cell>
          <cell r="F2000">
            <v>4</v>
          </cell>
          <cell r="L2000" t="str">
            <v>44257-27</v>
          </cell>
        </row>
        <row r="2001">
          <cell r="E2001" t="str">
            <v>MISC</v>
          </cell>
          <cell r="F2001">
            <v>117</v>
          </cell>
          <cell r="L2001" t="str">
            <v>44257-15</v>
          </cell>
        </row>
        <row r="2002">
          <cell r="E2002" t="str">
            <v>D2021/00589</v>
          </cell>
          <cell r="F2002">
            <v>50</v>
          </cell>
          <cell r="L2002" t="str">
            <v>44257-27</v>
          </cell>
        </row>
        <row r="2003">
          <cell r="E2003" t="str">
            <v>D2021/00589</v>
          </cell>
          <cell r="F2003">
            <v>104</v>
          </cell>
          <cell r="L2003" t="str">
            <v>44257-27</v>
          </cell>
        </row>
        <row r="2004">
          <cell r="E2004" t="str">
            <v>D2021/00551</v>
          </cell>
          <cell r="F2004">
            <v>172</v>
          </cell>
          <cell r="L2004" t="str">
            <v>44257-27</v>
          </cell>
        </row>
        <row r="2005">
          <cell r="E2005" t="str">
            <v>D2021/00551</v>
          </cell>
          <cell r="F2005">
            <v>20</v>
          </cell>
          <cell r="L2005" t="str">
            <v>44257-13</v>
          </cell>
        </row>
        <row r="2006">
          <cell r="E2006" t="str">
            <v>D2021/00551</v>
          </cell>
          <cell r="F2006">
            <v>6</v>
          </cell>
          <cell r="L2006" t="str">
            <v>44257-13</v>
          </cell>
        </row>
        <row r="2007">
          <cell r="E2007" t="str">
            <v>D2021/00551</v>
          </cell>
          <cell r="F2007">
            <v>8</v>
          </cell>
          <cell r="L2007" t="str">
            <v>44257-13</v>
          </cell>
        </row>
        <row r="2008">
          <cell r="E2008" t="str">
            <v>D2021/00551</v>
          </cell>
          <cell r="F2008">
            <v>16</v>
          </cell>
          <cell r="L2008" t="str">
            <v>44257-13</v>
          </cell>
        </row>
        <row r="2009">
          <cell r="E2009" t="str">
            <v>D2021/00551</v>
          </cell>
          <cell r="F2009">
            <v>145</v>
          </cell>
          <cell r="L2009" t="str">
            <v>44257-13</v>
          </cell>
        </row>
        <row r="2010">
          <cell r="E2010" t="str">
            <v>D2021/00551</v>
          </cell>
          <cell r="F2010">
            <v>7</v>
          </cell>
          <cell r="L2010" t="str">
            <v>44257-13</v>
          </cell>
        </row>
        <row r="2011">
          <cell r="E2011" t="str">
            <v>D2021/00551</v>
          </cell>
          <cell r="F2011">
            <v>45</v>
          </cell>
          <cell r="L2011" t="str">
            <v>44258-27</v>
          </cell>
        </row>
        <row r="2012">
          <cell r="E2012" t="str">
            <v>D2021/00551</v>
          </cell>
          <cell r="F2012">
            <v>23</v>
          </cell>
          <cell r="L2012" t="str">
            <v>44258-27</v>
          </cell>
        </row>
        <row r="2013">
          <cell r="E2013" t="str">
            <v>D2021/00551</v>
          </cell>
          <cell r="F2013">
            <v>15</v>
          </cell>
          <cell r="L2013" t="str">
            <v>44258-27</v>
          </cell>
        </row>
        <row r="2014">
          <cell r="E2014" t="str">
            <v>D2021/00551</v>
          </cell>
          <cell r="F2014">
            <v>38</v>
          </cell>
          <cell r="L2014" t="str">
            <v>44258-27</v>
          </cell>
        </row>
        <row r="2015">
          <cell r="E2015" t="str">
            <v>D2021/00551</v>
          </cell>
          <cell r="F2015">
            <v>23</v>
          </cell>
          <cell r="L2015" t="str">
            <v>44258-27</v>
          </cell>
        </row>
        <row r="2016">
          <cell r="E2016" t="str">
            <v>D2021/00551</v>
          </cell>
          <cell r="F2016">
            <v>57</v>
          </cell>
          <cell r="L2016" t="str">
            <v>44258-27</v>
          </cell>
        </row>
        <row r="2017">
          <cell r="E2017" t="str">
            <v>D2021/00551</v>
          </cell>
          <cell r="F2017">
            <v>94</v>
          </cell>
          <cell r="L2017" t="str">
            <v>44258-27</v>
          </cell>
        </row>
        <row r="2018">
          <cell r="E2018" t="str">
            <v>D2021/00551</v>
          </cell>
          <cell r="F2018">
            <v>68</v>
          </cell>
          <cell r="L2018" t="str">
            <v>44258-27</v>
          </cell>
        </row>
        <row r="2019">
          <cell r="E2019" t="str">
            <v>D2021/00550</v>
          </cell>
          <cell r="F2019">
            <v>71</v>
          </cell>
          <cell r="L2019" t="str">
            <v>44258-13</v>
          </cell>
        </row>
        <row r="2020">
          <cell r="E2020" t="str">
            <v>D2021/00550</v>
          </cell>
          <cell r="F2020">
            <v>39</v>
          </cell>
          <cell r="L2020" t="str">
            <v>44258-13</v>
          </cell>
        </row>
        <row r="2021">
          <cell r="E2021" t="str">
            <v>D2021/00550</v>
          </cell>
          <cell r="F2021">
            <v>32</v>
          </cell>
          <cell r="L2021" t="str">
            <v>44258-13</v>
          </cell>
        </row>
        <row r="2022">
          <cell r="E2022" t="str">
            <v>D2021/00550</v>
          </cell>
          <cell r="F2022">
            <v>141</v>
          </cell>
          <cell r="L2022" t="str">
            <v>44258-13</v>
          </cell>
        </row>
        <row r="2023">
          <cell r="E2023" t="str">
            <v>D2021/00550</v>
          </cell>
          <cell r="F2023">
            <v>20</v>
          </cell>
          <cell r="L2023" t="str">
            <v>44258-13</v>
          </cell>
        </row>
        <row r="2024">
          <cell r="E2024" t="str">
            <v>D2021/00550</v>
          </cell>
          <cell r="F2024">
            <v>142</v>
          </cell>
          <cell r="L2024" t="str">
            <v>44259-27</v>
          </cell>
        </row>
        <row r="2025">
          <cell r="E2025" t="str">
            <v>D2021/00550</v>
          </cell>
          <cell r="F2025">
            <v>15</v>
          </cell>
          <cell r="L2025" t="str">
            <v>44259-27</v>
          </cell>
        </row>
        <row r="2026">
          <cell r="E2026" t="str">
            <v>D2021/00550</v>
          </cell>
          <cell r="F2026">
            <v>13</v>
          </cell>
          <cell r="L2026" t="str">
            <v>44259-27</v>
          </cell>
        </row>
        <row r="2027">
          <cell r="E2027" t="str">
            <v>D2021/00550</v>
          </cell>
          <cell r="F2027">
            <v>16</v>
          </cell>
          <cell r="L2027" t="str">
            <v>44259-27</v>
          </cell>
        </row>
        <row r="2028">
          <cell r="E2028" t="str">
            <v>D2021/00550</v>
          </cell>
          <cell r="F2028">
            <v>5</v>
          </cell>
          <cell r="L2028" t="str">
            <v>44259-27</v>
          </cell>
        </row>
        <row r="2029">
          <cell r="E2029" t="str">
            <v>D2021/00550</v>
          </cell>
          <cell r="F2029">
            <v>77</v>
          </cell>
          <cell r="L2029" t="str">
            <v>44259-27</v>
          </cell>
        </row>
        <row r="2030">
          <cell r="E2030" t="str">
            <v>D2021/00744</v>
          </cell>
          <cell r="F2030">
            <v>57</v>
          </cell>
          <cell r="L2030" t="str">
            <v>44259-13</v>
          </cell>
        </row>
        <row r="2031">
          <cell r="E2031" t="str">
            <v>D2021/00744</v>
          </cell>
          <cell r="F2031">
            <v>33</v>
          </cell>
          <cell r="L2031" t="str">
            <v>44259-13</v>
          </cell>
        </row>
        <row r="2032">
          <cell r="E2032" t="str">
            <v>D2021/00744</v>
          </cell>
          <cell r="F2032">
            <v>22</v>
          </cell>
          <cell r="L2032" t="str">
            <v>44259-13</v>
          </cell>
        </row>
        <row r="2033">
          <cell r="E2033" t="str">
            <v>D2021/00744</v>
          </cell>
          <cell r="F2033">
            <v>3</v>
          </cell>
          <cell r="L2033" t="str">
            <v>44259-13</v>
          </cell>
        </row>
        <row r="2034">
          <cell r="E2034" t="str">
            <v>D2021/00744</v>
          </cell>
          <cell r="F2034">
            <v>12</v>
          </cell>
          <cell r="L2034" t="str">
            <v>44259-13</v>
          </cell>
        </row>
        <row r="2035">
          <cell r="E2035" t="str">
            <v>D2021/00744</v>
          </cell>
          <cell r="F2035">
            <v>12</v>
          </cell>
          <cell r="L2035" t="str">
            <v>44259-13</v>
          </cell>
        </row>
        <row r="2036">
          <cell r="E2036" t="str">
            <v>D2021/00744</v>
          </cell>
          <cell r="F2036">
            <v>10</v>
          </cell>
          <cell r="L2036" t="str">
            <v>44259-13</v>
          </cell>
        </row>
        <row r="2037">
          <cell r="E2037" t="str">
            <v>D2021/00744</v>
          </cell>
          <cell r="F2037">
            <v>73</v>
          </cell>
          <cell r="L2037" t="str">
            <v>44260-4</v>
          </cell>
        </row>
        <row r="2038">
          <cell r="E2038" t="str">
            <v>D2021/00744</v>
          </cell>
          <cell r="F2038">
            <v>44</v>
          </cell>
          <cell r="L2038" t="str">
            <v>44260-4</v>
          </cell>
        </row>
        <row r="2039">
          <cell r="E2039" t="str">
            <v>D2021/00744</v>
          </cell>
          <cell r="F2039">
            <v>30</v>
          </cell>
          <cell r="L2039" t="str">
            <v>44260-4</v>
          </cell>
        </row>
        <row r="2040">
          <cell r="E2040" t="str">
            <v>D2021/00607</v>
          </cell>
          <cell r="F2040">
            <v>272</v>
          </cell>
          <cell r="L2040" t="str">
            <v>44260-13</v>
          </cell>
        </row>
        <row r="2041">
          <cell r="E2041" t="str">
            <v>D2021/00607</v>
          </cell>
          <cell r="F2041">
            <v>125</v>
          </cell>
          <cell r="L2041" t="str">
            <v>44260-13</v>
          </cell>
        </row>
        <row r="2042">
          <cell r="E2042" t="str">
            <v>D2021/00607</v>
          </cell>
          <cell r="F2042">
            <v>321</v>
          </cell>
          <cell r="L2042" t="str">
            <v>44260-13</v>
          </cell>
        </row>
        <row r="2043">
          <cell r="E2043" t="str">
            <v>D2021/00607</v>
          </cell>
          <cell r="F2043">
            <v>39</v>
          </cell>
          <cell r="L2043" t="str">
            <v>44260-13</v>
          </cell>
        </row>
        <row r="2044">
          <cell r="E2044" t="str">
            <v>D2021/00607</v>
          </cell>
          <cell r="F2044">
            <v>159</v>
          </cell>
          <cell r="L2044" t="str">
            <v>44260-13</v>
          </cell>
        </row>
        <row r="2045">
          <cell r="E2045" t="str">
            <v>D2021/00607</v>
          </cell>
          <cell r="F2045">
            <v>43</v>
          </cell>
          <cell r="L2045" t="str">
            <v>44260-13</v>
          </cell>
        </row>
        <row r="2046">
          <cell r="E2046" t="str">
            <v>D2021/00607</v>
          </cell>
          <cell r="F2046">
            <v>178</v>
          </cell>
          <cell r="L2046" t="str">
            <v>44263-27</v>
          </cell>
        </row>
        <row r="2047">
          <cell r="E2047" t="str">
            <v>D2021/00607</v>
          </cell>
          <cell r="F2047">
            <v>121</v>
          </cell>
          <cell r="L2047" t="str">
            <v>44263-27</v>
          </cell>
        </row>
        <row r="2048">
          <cell r="E2048" t="str">
            <v>D2021/00607</v>
          </cell>
          <cell r="F2048">
            <v>6</v>
          </cell>
          <cell r="L2048" t="str">
            <v>44263-27</v>
          </cell>
        </row>
        <row r="2049">
          <cell r="E2049" t="str">
            <v>D2021/00607</v>
          </cell>
          <cell r="F2049">
            <v>13</v>
          </cell>
          <cell r="L2049" t="str">
            <v>44263-27</v>
          </cell>
        </row>
        <row r="2050">
          <cell r="E2050" t="str">
            <v>D2021/00607</v>
          </cell>
          <cell r="F2050">
            <v>293</v>
          </cell>
          <cell r="L2050" t="str">
            <v>44263-13</v>
          </cell>
        </row>
        <row r="2051">
          <cell r="E2051" t="str">
            <v>D2021/00611</v>
          </cell>
          <cell r="F2051">
            <v>23</v>
          </cell>
          <cell r="L2051" t="str">
            <v>44263-13</v>
          </cell>
        </row>
        <row r="2052">
          <cell r="E2052" t="str">
            <v>D2021/00611</v>
          </cell>
          <cell r="F2052">
            <v>4</v>
          </cell>
          <cell r="L2052" t="str">
            <v>44263-13</v>
          </cell>
        </row>
        <row r="2053">
          <cell r="E2053" t="str">
            <v>D2021/00611</v>
          </cell>
          <cell r="F2053">
            <v>51</v>
          </cell>
          <cell r="L2053" t="str">
            <v>44264-27</v>
          </cell>
        </row>
        <row r="2054">
          <cell r="E2054" t="str">
            <v>D2021/00611</v>
          </cell>
          <cell r="F2054">
            <v>123</v>
          </cell>
          <cell r="L2054" t="str">
            <v>44264-27</v>
          </cell>
        </row>
        <row r="2055">
          <cell r="E2055" t="str">
            <v>D2021/00611</v>
          </cell>
          <cell r="F2055">
            <v>14</v>
          </cell>
          <cell r="L2055" t="str">
            <v>44264-27</v>
          </cell>
        </row>
        <row r="2056">
          <cell r="E2056" t="str">
            <v>D2021/00611</v>
          </cell>
          <cell r="F2056">
            <v>65</v>
          </cell>
          <cell r="L2056" t="str">
            <v>44264-27</v>
          </cell>
        </row>
        <row r="2057">
          <cell r="E2057" t="str">
            <v>D2021/00611</v>
          </cell>
          <cell r="F2057">
            <v>71</v>
          </cell>
          <cell r="L2057" t="str">
            <v>44264-27</v>
          </cell>
        </row>
        <row r="2058">
          <cell r="E2058" t="str">
            <v>D2021/00611</v>
          </cell>
          <cell r="F2058">
            <v>59</v>
          </cell>
          <cell r="L2058" t="str">
            <v>44264-27</v>
          </cell>
        </row>
        <row r="2059">
          <cell r="E2059" t="str">
            <v>D2021/00611</v>
          </cell>
          <cell r="F2059">
            <v>15</v>
          </cell>
          <cell r="L2059" t="str">
            <v>44264-27</v>
          </cell>
        </row>
        <row r="2060">
          <cell r="E2060" t="str">
            <v>D2021/00611</v>
          </cell>
          <cell r="F2060">
            <v>17</v>
          </cell>
          <cell r="L2060" t="str">
            <v>44264-13</v>
          </cell>
        </row>
        <row r="2061">
          <cell r="E2061" t="str">
            <v>D2021/00611</v>
          </cell>
          <cell r="F2061">
            <v>62</v>
          </cell>
          <cell r="L2061" t="str">
            <v>44264-13</v>
          </cell>
        </row>
        <row r="2062">
          <cell r="E2062" t="str">
            <v>D2021/00611</v>
          </cell>
          <cell r="F2062">
            <v>21</v>
          </cell>
          <cell r="L2062" t="str">
            <v>44264-13</v>
          </cell>
        </row>
        <row r="2063">
          <cell r="E2063" t="str">
            <v>D2021/00611</v>
          </cell>
          <cell r="F2063">
            <v>39</v>
          </cell>
          <cell r="L2063" t="str">
            <v>44264-13</v>
          </cell>
        </row>
        <row r="2064">
          <cell r="E2064" t="str">
            <v>D2021/00611</v>
          </cell>
          <cell r="F2064">
            <v>4</v>
          </cell>
          <cell r="L2064" t="str">
            <v>44264-13</v>
          </cell>
        </row>
        <row r="2065">
          <cell r="E2065" t="str">
            <v>D2021/00384</v>
          </cell>
          <cell r="F2065">
            <v>1037</v>
          </cell>
          <cell r="L2065" t="str">
            <v>44265-27</v>
          </cell>
        </row>
        <row r="2066">
          <cell r="E2066" t="str">
            <v>D2021/00384</v>
          </cell>
          <cell r="F2066">
            <v>4</v>
          </cell>
          <cell r="L2066" t="str">
            <v>44265-27</v>
          </cell>
        </row>
        <row r="2067">
          <cell r="E2067" t="str">
            <v>D2021/00384</v>
          </cell>
          <cell r="F2067">
            <v>50</v>
          </cell>
          <cell r="L2067" t="str">
            <v>44265-13</v>
          </cell>
        </row>
        <row r="2068">
          <cell r="E2068" t="str">
            <v>D2021/00384</v>
          </cell>
          <cell r="F2068">
            <v>56</v>
          </cell>
          <cell r="L2068" t="str">
            <v>44265-13</v>
          </cell>
        </row>
        <row r="2069">
          <cell r="E2069" t="str">
            <v>D2021/00384</v>
          </cell>
          <cell r="F2069">
            <v>15</v>
          </cell>
          <cell r="L2069" t="str">
            <v>44265-13</v>
          </cell>
        </row>
        <row r="2070">
          <cell r="E2070" t="str">
            <v>D2021/00384</v>
          </cell>
          <cell r="F2070">
            <v>13</v>
          </cell>
          <cell r="L2070" t="str">
            <v>44265-13</v>
          </cell>
        </row>
        <row r="2071">
          <cell r="E2071" t="str">
            <v>D2021/00384</v>
          </cell>
          <cell r="F2071">
            <v>20</v>
          </cell>
          <cell r="L2071" t="str">
            <v>44265-13</v>
          </cell>
        </row>
        <row r="2072">
          <cell r="E2072" t="str">
            <v>D2021/00384</v>
          </cell>
          <cell r="F2072">
            <v>12</v>
          </cell>
          <cell r="L2072" t="str">
            <v>44265-13</v>
          </cell>
        </row>
        <row r="2073">
          <cell r="E2073" t="str">
            <v>D2021/00384</v>
          </cell>
          <cell r="F2073">
            <v>54</v>
          </cell>
          <cell r="L2073" t="str">
            <v>44266-27</v>
          </cell>
        </row>
        <row r="2074">
          <cell r="E2074" t="str">
            <v>D2021/00384</v>
          </cell>
          <cell r="F2074">
            <v>28</v>
          </cell>
          <cell r="L2074" t="str">
            <v>44266-27</v>
          </cell>
        </row>
        <row r="2075">
          <cell r="E2075" t="str">
            <v>D2021/00384</v>
          </cell>
          <cell r="F2075">
            <v>25</v>
          </cell>
          <cell r="L2075" t="str">
            <v>44266-27</v>
          </cell>
        </row>
        <row r="2076">
          <cell r="E2076" t="str">
            <v>D2021/00384</v>
          </cell>
          <cell r="F2076">
            <v>27</v>
          </cell>
          <cell r="L2076" t="str">
            <v>44266-27</v>
          </cell>
        </row>
        <row r="2077">
          <cell r="E2077" t="str">
            <v>D2021/00384</v>
          </cell>
          <cell r="F2077">
            <v>64</v>
          </cell>
          <cell r="L2077" t="str">
            <v>44266-27</v>
          </cell>
        </row>
        <row r="2078">
          <cell r="E2078" t="str">
            <v>D2021/00384</v>
          </cell>
          <cell r="F2078">
            <v>30</v>
          </cell>
          <cell r="L2078" t="str">
            <v>44266-27</v>
          </cell>
        </row>
        <row r="2079">
          <cell r="E2079" t="str">
            <v>D2021/00384</v>
          </cell>
          <cell r="F2079">
            <v>16</v>
          </cell>
          <cell r="L2079" t="str">
            <v>44266-27</v>
          </cell>
        </row>
        <row r="2080">
          <cell r="E2080" t="str">
            <v>D2021/00384</v>
          </cell>
          <cell r="F2080">
            <v>87</v>
          </cell>
          <cell r="L2080" t="str">
            <v>44266-13</v>
          </cell>
        </row>
        <row r="2081">
          <cell r="E2081" t="str">
            <v>D2021/00384</v>
          </cell>
          <cell r="F2081">
            <v>10</v>
          </cell>
          <cell r="L2081" t="str">
            <v>44266-13</v>
          </cell>
        </row>
        <row r="2082">
          <cell r="E2082" t="str">
            <v>D2021/00384</v>
          </cell>
          <cell r="F2082">
            <v>19</v>
          </cell>
          <cell r="L2082" t="str">
            <v>44266-13</v>
          </cell>
        </row>
        <row r="2083">
          <cell r="E2083" t="str">
            <v>D2021/00384</v>
          </cell>
          <cell r="F2083">
            <v>71</v>
          </cell>
          <cell r="L2083" t="str">
            <v>44267-27</v>
          </cell>
        </row>
        <row r="2084">
          <cell r="E2084" t="str">
            <v>D2021/00584</v>
          </cell>
          <cell r="F2084">
            <v>572</v>
          </cell>
          <cell r="L2084" t="str">
            <v>44267-27</v>
          </cell>
        </row>
        <row r="2085">
          <cell r="E2085" t="str">
            <v>D2021/00584</v>
          </cell>
          <cell r="F2085">
            <v>25</v>
          </cell>
          <cell r="L2085" t="str">
            <v>44267-27</v>
          </cell>
        </row>
        <row r="2086">
          <cell r="E2086" t="str">
            <v>D2021/00584</v>
          </cell>
          <cell r="F2086">
            <v>23</v>
          </cell>
          <cell r="L2086" t="str">
            <v>44267-27</v>
          </cell>
        </row>
        <row r="2087">
          <cell r="E2087" t="str">
            <v>D2021/00584</v>
          </cell>
          <cell r="F2087">
            <v>42</v>
          </cell>
          <cell r="L2087" t="str">
            <v>44267-27</v>
          </cell>
        </row>
        <row r="2088">
          <cell r="E2088" t="str">
            <v>D2021/00584</v>
          </cell>
          <cell r="F2088">
            <v>340</v>
          </cell>
          <cell r="L2088" t="str">
            <v>44267-27</v>
          </cell>
        </row>
        <row r="2089">
          <cell r="E2089" t="str">
            <v>D2021/00584</v>
          </cell>
          <cell r="F2089">
            <v>278</v>
          </cell>
          <cell r="L2089" t="str">
            <v>44267-27</v>
          </cell>
        </row>
        <row r="2090">
          <cell r="E2090" t="str">
            <v>D2021/00584</v>
          </cell>
          <cell r="F2090">
            <v>170</v>
          </cell>
          <cell r="L2090" t="str">
            <v>44267-13</v>
          </cell>
        </row>
        <row r="2091">
          <cell r="E2091" t="str">
            <v>D2021/00584</v>
          </cell>
          <cell r="F2091">
            <v>27</v>
          </cell>
          <cell r="L2091" t="str">
            <v>44267-13</v>
          </cell>
        </row>
        <row r="2092">
          <cell r="E2092" t="str">
            <v>D2021/00584</v>
          </cell>
          <cell r="F2092">
            <v>86</v>
          </cell>
          <cell r="L2092" t="str">
            <v>44267-13</v>
          </cell>
        </row>
        <row r="2093">
          <cell r="E2093" t="str">
            <v>D2021/00584</v>
          </cell>
          <cell r="F2093">
            <v>135</v>
          </cell>
          <cell r="L2093" t="str">
            <v>44267-13</v>
          </cell>
        </row>
        <row r="2094">
          <cell r="E2094" t="str">
            <v>D2021/00584</v>
          </cell>
          <cell r="F2094">
            <v>256</v>
          </cell>
          <cell r="L2094" t="str">
            <v>44267-13</v>
          </cell>
        </row>
        <row r="2095">
          <cell r="E2095" t="str">
            <v>D2021/00611</v>
          </cell>
          <cell r="F2095">
            <v>130</v>
          </cell>
          <cell r="L2095" t="str">
            <v>44267-13</v>
          </cell>
        </row>
        <row r="2096">
          <cell r="E2096" t="str">
            <v>D2021/00611</v>
          </cell>
          <cell r="F2096">
            <v>154</v>
          </cell>
          <cell r="L2096" t="str">
            <v>44267-13</v>
          </cell>
        </row>
        <row r="2097">
          <cell r="E2097" t="str">
            <v>D2021/00384</v>
          </cell>
          <cell r="F2097">
            <v>65</v>
          </cell>
          <cell r="L2097" t="str">
            <v>44270-27</v>
          </cell>
        </row>
        <row r="2098">
          <cell r="E2098" t="str">
            <v>D2021/00384</v>
          </cell>
          <cell r="F2098">
            <v>52</v>
          </cell>
          <cell r="L2098" t="str">
            <v>44270-27</v>
          </cell>
        </row>
        <row r="2099">
          <cell r="E2099" t="str">
            <v>D2021/00384</v>
          </cell>
          <cell r="F2099">
            <v>15</v>
          </cell>
          <cell r="L2099" t="str">
            <v>44270-27</v>
          </cell>
        </row>
        <row r="2100">
          <cell r="E2100" t="str">
            <v>D2021/00384</v>
          </cell>
          <cell r="F2100">
            <v>160</v>
          </cell>
          <cell r="L2100" t="str">
            <v>44270-27</v>
          </cell>
        </row>
        <row r="2101">
          <cell r="E2101" t="str">
            <v>D2021/00384</v>
          </cell>
          <cell r="F2101">
            <v>26</v>
          </cell>
          <cell r="L2101" t="str">
            <v>44270-13</v>
          </cell>
        </row>
        <row r="2102">
          <cell r="E2102" t="str">
            <v>D2021/00611</v>
          </cell>
          <cell r="F2102">
            <v>90</v>
          </cell>
          <cell r="L2102" t="str">
            <v>44270-27</v>
          </cell>
        </row>
        <row r="2103">
          <cell r="E2103" t="str">
            <v>D2021/00611</v>
          </cell>
          <cell r="F2103">
            <v>10</v>
          </cell>
          <cell r="L2103" t="str">
            <v>44270-27</v>
          </cell>
        </row>
        <row r="2104">
          <cell r="E2104" t="str">
            <v>D2021/00611</v>
          </cell>
          <cell r="F2104">
            <v>7</v>
          </cell>
          <cell r="L2104" t="str">
            <v>44270-27</v>
          </cell>
        </row>
        <row r="2105">
          <cell r="E2105" t="str">
            <v>D2021/00611</v>
          </cell>
          <cell r="F2105">
            <v>63</v>
          </cell>
          <cell r="L2105" t="str">
            <v>44270-13</v>
          </cell>
        </row>
        <row r="2106">
          <cell r="E2106" t="str">
            <v>D2021/00611</v>
          </cell>
          <cell r="F2106">
            <v>29</v>
          </cell>
          <cell r="L2106" t="str">
            <v>44270-13</v>
          </cell>
        </row>
        <row r="2107">
          <cell r="E2107" t="str">
            <v>D2021/00698</v>
          </cell>
          <cell r="F2107">
            <v>13</v>
          </cell>
          <cell r="L2107" t="str">
            <v>44270-13</v>
          </cell>
        </row>
        <row r="2108">
          <cell r="E2108" t="str">
            <v>D2021/00698</v>
          </cell>
          <cell r="F2108">
            <v>10</v>
          </cell>
          <cell r="L2108" t="str">
            <v>44270-13</v>
          </cell>
        </row>
        <row r="2109">
          <cell r="E2109" t="str">
            <v>D2021/00698</v>
          </cell>
          <cell r="F2109">
            <v>20</v>
          </cell>
          <cell r="L2109" t="str">
            <v>44270-13</v>
          </cell>
        </row>
        <row r="2110">
          <cell r="E2110" t="str">
            <v>D2021/00698</v>
          </cell>
          <cell r="F2110">
            <v>14</v>
          </cell>
          <cell r="L2110" t="str">
            <v>44270-13</v>
          </cell>
        </row>
        <row r="2111">
          <cell r="E2111" t="str">
            <v>D2021/00698</v>
          </cell>
          <cell r="F2111">
            <v>9</v>
          </cell>
          <cell r="L2111" t="str">
            <v>44270-13</v>
          </cell>
        </row>
        <row r="2112">
          <cell r="E2112" t="str">
            <v>D2021/00698</v>
          </cell>
          <cell r="F2112">
            <v>72</v>
          </cell>
          <cell r="L2112" t="str">
            <v>44271-27</v>
          </cell>
        </row>
        <row r="2113">
          <cell r="E2113" t="str">
            <v>D2021/00698</v>
          </cell>
          <cell r="F2113">
            <v>50</v>
          </cell>
          <cell r="L2113" t="str">
            <v>44271-27</v>
          </cell>
        </row>
        <row r="2114">
          <cell r="E2114" t="str">
            <v>D2021/00698</v>
          </cell>
          <cell r="F2114">
            <v>13</v>
          </cell>
          <cell r="L2114" t="str">
            <v>44271-27</v>
          </cell>
        </row>
        <row r="2115">
          <cell r="E2115" t="str">
            <v>D2021/00698</v>
          </cell>
          <cell r="F2115">
            <v>88</v>
          </cell>
          <cell r="L2115" t="str">
            <v>44271-27</v>
          </cell>
        </row>
        <row r="2116">
          <cell r="E2116" t="str">
            <v>D2021/00698</v>
          </cell>
          <cell r="F2116">
            <v>62</v>
          </cell>
          <cell r="L2116" t="str">
            <v>44271-27</v>
          </cell>
        </row>
        <row r="2117">
          <cell r="E2117" t="str">
            <v>D2021/00698</v>
          </cell>
          <cell r="F2117">
            <v>18</v>
          </cell>
          <cell r="L2117" t="str">
            <v>44271-27</v>
          </cell>
        </row>
        <row r="2118">
          <cell r="E2118" t="str">
            <v>D2021/00698</v>
          </cell>
          <cell r="F2118">
            <v>15</v>
          </cell>
          <cell r="L2118" t="str">
            <v>44271-27</v>
          </cell>
        </row>
        <row r="2119">
          <cell r="E2119" t="str">
            <v>D2021/00698</v>
          </cell>
          <cell r="F2119">
            <v>77</v>
          </cell>
          <cell r="L2119" t="str">
            <v>44271-13</v>
          </cell>
        </row>
        <row r="2120">
          <cell r="E2120" t="str">
            <v>D2021/00698</v>
          </cell>
          <cell r="F2120">
            <v>36</v>
          </cell>
          <cell r="L2120" t="str">
            <v>44271-13</v>
          </cell>
        </row>
        <row r="2121">
          <cell r="E2121" t="str">
            <v>D2021/00698</v>
          </cell>
          <cell r="F2121">
            <v>61</v>
          </cell>
          <cell r="L2121" t="str">
            <v>44271-13</v>
          </cell>
        </row>
        <row r="2122">
          <cell r="E2122" t="str">
            <v>D2021/00698</v>
          </cell>
          <cell r="F2122">
            <v>11</v>
          </cell>
          <cell r="L2122" t="str">
            <v>44271-13</v>
          </cell>
        </row>
        <row r="2123">
          <cell r="E2123" t="str">
            <v>D2021/00698</v>
          </cell>
          <cell r="F2123">
            <v>2</v>
          </cell>
          <cell r="L2123" t="str">
            <v>44271-13</v>
          </cell>
        </row>
        <row r="2124">
          <cell r="E2124" t="str">
            <v>D2021/00698</v>
          </cell>
          <cell r="F2124">
            <v>37</v>
          </cell>
          <cell r="L2124" t="str">
            <v>44272-27</v>
          </cell>
        </row>
        <row r="2125">
          <cell r="E2125" t="str">
            <v>D2021/00698</v>
          </cell>
          <cell r="F2125">
            <v>12</v>
          </cell>
          <cell r="L2125" t="str">
            <v>44272-27</v>
          </cell>
        </row>
        <row r="2126">
          <cell r="E2126" t="str">
            <v>D2021/00698</v>
          </cell>
          <cell r="F2126">
            <v>26</v>
          </cell>
          <cell r="L2126" t="str">
            <v>44272-27</v>
          </cell>
        </row>
        <row r="2127">
          <cell r="E2127" t="str">
            <v>D2021/00698</v>
          </cell>
          <cell r="F2127">
            <v>13</v>
          </cell>
          <cell r="L2127" t="str">
            <v>44272-27</v>
          </cell>
        </row>
        <row r="2128">
          <cell r="E2128" t="str">
            <v>D2021/00698</v>
          </cell>
          <cell r="F2128">
            <v>8</v>
          </cell>
          <cell r="L2128" t="str">
            <v>44272-27</v>
          </cell>
        </row>
        <row r="2129">
          <cell r="E2129" t="str">
            <v>D2021/00698</v>
          </cell>
          <cell r="F2129">
            <v>12</v>
          </cell>
          <cell r="L2129" t="str">
            <v>44272-13</v>
          </cell>
        </row>
        <row r="2130">
          <cell r="E2130" t="str">
            <v>D2021/00698</v>
          </cell>
          <cell r="F2130">
            <v>22</v>
          </cell>
          <cell r="L2130" t="str">
            <v>44272-13</v>
          </cell>
        </row>
        <row r="2131">
          <cell r="E2131" t="str">
            <v>D2021/00698</v>
          </cell>
          <cell r="F2131">
            <v>37</v>
          </cell>
          <cell r="L2131" t="str">
            <v>44273-27</v>
          </cell>
        </row>
        <row r="2132">
          <cell r="E2132" t="str">
            <v>D2021/00698</v>
          </cell>
          <cell r="F2132">
            <v>12</v>
          </cell>
          <cell r="L2132" t="str">
            <v>44273-27</v>
          </cell>
        </row>
        <row r="2133">
          <cell r="E2133" t="str">
            <v>D2021/00698</v>
          </cell>
          <cell r="F2133">
            <v>25</v>
          </cell>
          <cell r="L2133" t="str">
            <v>44273-27</v>
          </cell>
        </row>
        <row r="2134">
          <cell r="E2134" t="str">
            <v>D2021/00698</v>
          </cell>
          <cell r="F2134">
            <v>14</v>
          </cell>
          <cell r="L2134" t="str">
            <v>44273-27</v>
          </cell>
        </row>
        <row r="2135">
          <cell r="E2135" t="str">
            <v>D2021/00698</v>
          </cell>
          <cell r="F2135">
            <v>12</v>
          </cell>
          <cell r="L2135" t="str">
            <v>44273-27</v>
          </cell>
        </row>
        <row r="2136">
          <cell r="E2136" t="str">
            <v>D2021/00698</v>
          </cell>
          <cell r="F2136">
            <v>7</v>
          </cell>
          <cell r="L2136" t="str">
            <v>44273-13</v>
          </cell>
        </row>
        <row r="2137">
          <cell r="E2137" t="str">
            <v>D2021/00698</v>
          </cell>
          <cell r="F2137">
            <v>4</v>
          </cell>
          <cell r="L2137" t="str">
            <v>44273-13</v>
          </cell>
        </row>
        <row r="2138">
          <cell r="E2138" t="str">
            <v>D2021/00698</v>
          </cell>
          <cell r="F2138">
            <v>2</v>
          </cell>
          <cell r="L2138" t="str">
            <v>44273-13</v>
          </cell>
        </row>
        <row r="2139">
          <cell r="E2139" t="str">
            <v>D2021/00698</v>
          </cell>
          <cell r="F2139">
            <v>50</v>
          </cell>
          <cell r="L2139" t="str">
            <v>44274-27</v>
          </cell>
        </row>
        <row r="2140">
          <cell r="E2140" t="str">
            <v>D2021/00698</v>
          </cell>
          <cell r="F2140">
            <v>27</v>
          </cell>
          <cell r="L2140" t="str">
            <v>44274-27</v>
          </cell>
        </row>
        <row r="2141">
          <cell r="E2141" t="str">
            <v>D2021/00698</v>
          </cell>
          <cell r="F2141">
            <v>36</v>
          </cell>
          <cell r="L2141" t="str">
            <v>44274-27</v>
          </cell>
        </row>
        <row r="2142">
          <cell r="E2142" t="str">
            <v>D2021/00698</v>
          </cell>
          <cell r="F2142">
            <v>22</v>
          </cell>
          <cell r="L2142" t="str">
            <v>44274-27</v>
          </cell>
        </row>
        <row r="2143">
          <cell r="E2143" t="str">
            <v>D2021/00698</v>
          </cell>
          <cell r="F2143">
            <v>14</v>
          </cell>
          <cell r="L2143" t="str">
            <v>44274-13</v>
          </cell>
        </row>
        <row r="2144">
          <cell r="E2144" t="str">
            <v>D2021/00698</v>
          </cell>
          <cell r="F2144">
            <v>11</v>
          </cell>
          <cell r="L2144" t="str">
            <v>44274-13</v>
          </cell>
        </row>
        <row r="2145">
          <cell r="E2145" t="str">
            <v>D2021/00698</v>
          </cell>
          <cell r="F2145">
            <v>14</v>
          </cell>
          <cell r="L2145" t="str">
            <v>44274-13</v>
          </cell>
        </row>
        <row r="2146">
          <cell r="E2146" t="str">
            <v>D2021/00698</v>
          </cell>
          <cell r="F2146">
            <v>52</v>
          </cell>
          <cell r="L2146" t="str">
            <v>44277-27</v>
          </cell>
        </row>
        <row r="2147">
          <cell r="E2147" t="str">
            <v>D2021/00698</v>
          </cell>
          <cell r="F2147">
            <v>81</v>
          </cell>
          <cell r="L2147" t="str">
            <v>44277-27</v>
          </cell>
        </row>
        <row r="2148">
          <cell r="E2148" t="str">
            <v>D2021/00698</v>
          </cell>
          <cell r="F2148">
            <v>117</v>
          </cell>
          <cell r="L2148" t="str">
            <v>44277-27</v>
          </cell>
        </row>
        <row r="2149">
          <cell r="E2149" t="str">
            <v>D2021/00698</v>
          </cell>
          <cell r="F2149">
            <v>20</v>
          </cell>
          <cell r="L2149" t="str">
            <v>44277-27</v>
          </cell>
        </row>
        <row r="2150">
          <cell r="E2150" t="str">
            <v>D2021/00698</v>
          </cell>
          <cell r="F2150">
            <v>19</v>
          </cell>
          <cell r="L2150" t="str">
            <v>44277-27</v>
          </cell>
        </row>
        <row r="2151">
          <cell r="E2151" t="str">
            <v>D2021/00698</v>
          </cell>
          <cell r="F2151">
            <v>19</v>
          </cell>
          <cell r="L2151" t="str">
            <v>44277-27</v>
          </cell>
        </row>
        <row r="2152">
          <cell r="E2152" t="str">
            <v>D2021/00698</v>
          </cell>
          <cell r="F2152">
            <v>77</v>
          </cell>
          <cell r="L2152" t="str">
            <v>44277-27</v>
          </cell>
        </row>
        <row r="2153">
          <cell r="E2153" t="str">
            <v>D2021/00608</v>
          </cell>
          <cell r="F2153">
            <v>111</v>
          </cell>
          <cell r="L2153" t="str">
            <v>44277-27</v>
          </cell>
        </row>
        <row r="2154">
          <cell r="E2154" t="str">
            <v>D2021/00608</v>
          </cell>
          <cell r="F2154">
            <v>31</v>
          </cell>
          <cell r="L2154" t="str">
            <v>44277-13</v>
          </cell>
        </row>
        <row r="2155">
          <cell r="E2155" t="str">
            <v>D2021/00608</v>
          </cell>
          <cell r="F2155">
            <v>17</v>
          </cell>
          <cell r="L2155" t="str">
            <v>44277-13</v>
          </cell>
        </row>
        <row r="2156">
          <cell r="E2156" t="str">
            <v>D2021/00608</v>
          </cell>
          <cell r="F2156">
            <v>5</v>
          </cell>
          <cell r="L2156" t="str">
            <v>44277-13</v>
          </cell>
        </row>
        <row r="2157">
          <cell r="E2157" t="str">
            <v>D2021/00608</v>
          </cell>
          <cell r="F2157">
            <v>57</v>
          </cell>
          <cell r="L2157" t="str">
            <v>44278-4</v>
          </cell>
        </row>
        <row r="2158">
          <cell r="E2158" t="str">
            <v>D2021/00608</v>
          </cell>
          <cell r="F2158">
            <v>43</v>
          </cell>
          <cell r="L2158" t="str">
            <v>44278-4</v>
          </cell>
        </row>
        <row r="2159">
          <cell r="E2159" t="str">
            <v>D2021/00608</v>
          </cell>
          <cell r="F2159">
            <v>14</v>
          </cell>
          <cell r="L2159" t="str">
            <v>44278-4</v>
          </cell>
        </row>
        <row r="2160">
          <cell r="E2160" t="str">
            <v>D2021/00608</v>
          </cell>
          <cell r="F2160">
            <v>132</v>
          </cell>
          <cell r="L2160" t="str">
            <v>44278-4</v>
          </cell>
        </row>
        <row r="2161">
          <cell r="E2161" t="str">
            <v>D2021/00608</v>
          </cell>
          <cell r="F2161">
            <v>20</v>
          </cell>
          <cell r="L2161" t="str">
            <v>44278-4</v>
          </cell>
        </row>
        <row r="2162">
          <cell r="E2162" t="str">
            <v>D2021/00789</v>
          </cell>
          <cell r="F2162">
            <v>17</v>
          </cell>
          <cell r="L2162" t="str">
            <v>44278-13</v>
          </cell>
        </row>
        <row r="2163">
          <cell r="E2163" t="str">
            <v>D2021/00789</v>
          </cell>
          <cell r="F2163">
            <v>14</v>
          </cell>
          <cell r="L2163" t="str">
            <v>44278-13</v>
          </cell>
        </row>
        <row r="2164">
          <cell r="E2164" t="str">
            <v>D2021/00789</v>
          </cell>
          <cell r="F2164">
            <v>30</v>
          </cell>
          <cell r="L2164" t="str">
            <v>44278-13</v>
          </cell>
        </row>
        <row r="2165">
          <cell r="E2165" t="str">
            <v>D2021/00609</v>
          </cell>
          <cell r="F2165">
            <v>82</v>
          </cell>
          <cell r="L2165" t="str">
            <v>44278-13</v>
          </cell>
        </row>
        <row r="2166">
          <cell r="E2166" t="str">
            <v>D2021/00609</v>
          </cell>
          <cell r="F2166">
            <v>75</v>
          </cell>
          <cell r="L2166" t="str">
            <v>44279-4</v>
          </cell>
        </row>
        <row r="2167">
          <cell r="E2167" t="str">
            <v>D2021/00609</v>
          </cell>
          <cell r="F2167">
            <v>8</v>
          </cell>
          <cell r="L2167" t="str">
            <v>44279-4</v>
          </cell>
        </row>
        <row r="2168">
          <cell r="E2168" t="str">
            <v>D2021/00609</v>
          </cell>
          <cell r="F2168">
            <v>6</v>
          </cell>
          <cell r="L2168" t="str">
            <v>44279-4</v>
          </cell>
        </row>
        <row r="2169">
          <cell r="E2169" t="str">
            <v>D2021/00609</v>
          </cell>
          <cell r="F2169">
            <v>4</v>
          </cell>
          <cell r="L2169" t="str">
            <v>44279-13</v>
          </cell>
        </row>
        <row r="2170">
          <cell r="E2170" t="str">
            <v>D2021/00609</v>
          </cell>
          <cell r="F2170">
            <v>2</v>
          </cell>
          <cell r="L2170" t="str">
            <v>44279-13</v>
          </cell>
        </row>
        <row r="2171">
          <cell r="E2171" t="str">
            <v>D2021/00609</v>
          </cell>
          <cell r="F2171">
            <v>33</v>
          </cell>
          <cell r="L2171" t="str">
            <v>44280-4</v>
          </cell>
        </row>
        <row r="2172">
          <cell r="E2172" t="str">
            <v>D2021/00609</v>
          </cell>
          <cell r="F2172">
            <v>99</v>
          </cell>
          <cell r="L2172" t="str">
            <v>44280-4</v>
          </cell>
        </row>
        <row r="2173">
          <cell r="E2173" t="str">
            <v>D2021/00610</v>
          </cell>
          <cell r="F2173">
            <v>5</v>
          </cell>
          <cell r="L2173" t="str">
            <v>44280-13</v>
          </cell>
        </row>
        <row r="2174">
          <cell r="E2174" t="str">
            <v>D2021/00610</v>
          </cell>
          <cell r="F2174">
            <v>4</v>
          </cell>
          <cell r="L2174" t="str">
            <v>44280-13</v>
          </cell>
        </row>
        <row r="2175">
          <cell r="E2175" t="str">
            <v>D2021/00610</v>
          </cell>
          <cell r="F2175">
            <v>2</v>
          </cell>
          <cell r="L2175" t="str">
            <v>44280-13</v>
          </cell>
        </row>
        <row r="2176">
          <cell r="E2176" t="str">
            <v>D2021/00610</v>
          </cell>
          <cell r="F2176">
            <v>53</v>
          </cell>
          <cell r="L2176" t="str">
            <v>44281-27</v>
          </cell>
        </row>
        <row r="2177">
          <cell r="E2177" t="str">
            <v>D2021/00610</v>
          </cell>
          <cell r="F2177">
            <v>52</v>
          </cell>
          <cell r="L2177" t="str">
            <v>44281-27</v>
          </cell>
        </row>
        <row r="2178">
          <cell r="E2178" t="str">
            <v>D2021/00610</v>
          </cell>
          <cell r="F2178">
            <v>12</v>
          </cell>
          <cell r="L2178" t="str">
            <v>44281-27</v>
          </cell>
        </row>
        <row r="2179">
          <cell r="E2179" t="str">
            <v>D2021/00610</v>
          </cell>
          <cell r="F2179">
            <v>48</v>
          </cell>
          <cell r="L2179" t="str">
            <v>44281-13</v>
          </cell>
        </row>
        <row r="2180">
          <cell r="E2180" t="str">
            <v>D2021/00610</v>
          </cell>
          <cell r="F2180">
            <v>38</v>
          </cell>
          <cell r="L2180" t="str">
            <v>44281-13</v>
          </cell>
        </row>
        <row r="2181">
          <cell r="E2181" t="str">
            <v>D2021/00610</v>
          </cell>
          <cell r="F2181">
            <v>38</v>
          </cell>
          <cell r="L2181" t="str">
            <v>44284-27</v>
          </cell>
        </row>
        <row r="2182">
          <cell r="E2182" t="str">
            <v>D2021/00610</v>
          </cell>
          <cell r="F2182">
            <v>45</v>
          </cell>
          <cell r="L2182" t="str">
            <v>44284-27</v>
          </cell>
        </row>
        <row r="2183">
          <cell r="E2183" t="str">
            <v>D2021/00610</v>
          </cell>
          <cell r="F2183">
            <v>13</v>
          </cell>
          <cell r="L2183" t="str">
            <v>44284-27</v>
          </cell>
        </row>
        <row r="2184">
          <cell r="E2184" t="str">
            <v>D2021/00610</v>
          </cell>
          <cell r="F2184">
            <v>42</v>
          </cell>
          <cell r="L2184" t="str">
            <v>44284-27</v>
          </cell>
        </row>
        <row r="2185">
          <cell r="E2185" t="str">
            <v>D2021/00610</v>
          </cell>
          <cell r="F2185">
            <v>18</v>
          </cell>
          <cell r="L2185" t="str">
            <v>44284-27</v>
          </cell>
        </row>
        <row r="2186">
          <cell r="E2186" t="str">
            <v>D2021/00610</v>
          </cell>
          <cell r="F2186">
            <v>54</v>
          </cell>
          <cell r="L2186" t="str">
            <v>44284-27</v>
          </cell>
        </row>
        <row r="2187">
          <cell r="E2187" t="str">
            <v>D2021/00610</v>
          </cell>
          <cell r="F2187">
            <v>12</v>
          </cell>
          <cell r="L2187" t="str">
            <v>44284-27</v>
          </cell>
        </row>
        <row r="2188">
          <cell r="E2188" t="str">
            <v>D2021/00610</v>
          </cell>
          <cell r="F2188">
            <v>25</v>
          </cell>
          <cell r="L2188" t="str">
            <v>44284-27</v>
          </cell>
        </row>
        <row r="2189">
          <cell r="E2189" t="str">
            <v>D2021/00610</v>
          </cell>
          <cell r="F2189">
            <v>4</v>
          </cell>
          <cell r="L2189" t="str">
            <v>44284-27</v>
          </cell>
        </row>
        <row r="2190">
          <cell r="E2190" t="str">
            <v>D2021/00610</v>
          </cell>
          <cell r="F2190">
            <v>7</v>
          </cell>
          <cell r="L2190" t="str">
            <v>44284-13</v>
          </cell>
        </row>
        <row r="2191">
          <cell r="E2191" t="str">
            <v>D2021/00610</v>
          </cell>
          <cell r="F2191">
            <v>6</v>
          </cell>
          <cell r="L2191" t="str">
            <v>44284-13</v>
          </cell>
        </row>
        <row r="2192">
          <cell r="E2192" t="str">
            <v>D2021/00610</v>
          </cell>
          <cell r="F2192">
            <v>36</v>
          </cell>
          <cell r="L2192" t="str">
            <v>44284-13</v>
          </cell>
        </row>
        <row r="2193">
          <cell r="E2193" t="str">
            <v>D2021/00610</v>
          </cell>
          <cell r="F2193">
            <v>1</v>
          </cell>
          <cell r="L2193" t="str">
            <v>44284-13</v>
          </cell>
        </row>
        <row r="2194">
          <cell r="E2194" t="str">
            <v>D2021/00610</v>
          </cell>
          <cell r="F2194">
            <v>1</v>
          </cell>
          <cell r="L2194" t="str">
            <v>44284-13</v>
          </cell>
        </row>
        <row r="2195">
          <cell r="E2195" t="str">
            <v>D2021/00610</v>
          </cell>
          <cell r="F2195">
            <v>41</v>
          </cell>
          <cell r="L2195" t="str">
            <v>44285-27</v>
          </cell>
        </row>
        <row r="2196">
          <cell r="E2196" t="str">
            <v>D2021/00610</v>
          </cell>
          <cell r="F2196">
            <v>18</v>
          </cell>
          <cell r="L2196" t="str">
            <v>44285-27</v>
          </cell>
        </row>
        <row r="2197">
          <cell r="E2197" t="str">
            <v>D2021/00610</v>
          </cell>
          <cell r="F2197">
            <v>29</v>
          </cell>
          <cell r="L2197" t="str">
            <v>44285-27</v>
          </cell>
        </row>
        <row r="2198">
          <cell r="E2198" t="str">
            <v>D2021/00610</v>
          </cell>
          <cell r="F2198">
            <v>47</v>
          </cell>
          <cell r="L2198" t="str">
            <v>44285-27</v>
          </cell>
        </row>
        <row r="2199">
          <cell r="E2199" t="str">
            <v>D2021/00610</v>
          </cell>
          <cell r="F2199">
            <v>93</v>
          </cell>
          <cell r="L2199" t="str">
            <v>44285-27</v>
          </cell>
        </row>
        <row r="2200">
          <cell r="E2200" t="str">
            <v>D2021/00610</v>
          </cell>
          <cell r="F2200">
            <v>4</v>
          </cell>
          <cell r="L2200" t="str">
            <v>44285-27</v>
          </cell>
        </row>
        <row r="2201">
          <cell r="E2201" t="str">
            <v>D2021/00388</v>
          </cell>
          <cell r="F2201">
            <v>29</v>
          </cell>
          <cell r="L2201" t="str">
            <v>44285-27</v>
          </cell>
        </row>
        <row r="2202">
          <cell r="E2202" t="str">
            <v>D2021/00388</v>
          </cell>
          <cell r="F2202">
            <v>43</v>
          </cell>
          <cell r="L2202" t="str">
            <v>44285-13</v>
          </cell>
        </row>
        <row r="2203">
          <cell r="E2203" t="str">
            <v>D2021/00388</v>
          </cell>
          <cell r="F2203">
            <v>44</v>
          </cell>
          <cell r="L2203" t="str">
            <v>44285-13</v>
          </cell>
        </row>
        <row r="2204">
          <cell r="E2204" t="str">
            <v>D2021/00388</v>
          </cell>
          <cell r="F2204">
            <v>4</v>
          </cell>
          <cell r="L2204" t="str">
            <v>44285-13</v>
          </cell>
        </row>
        <row r="2205">
          <cell r="E2205" t="str">
            <v>D2021/00388</v>
          </cell>
          <cell r="F2205">
            <v>2</v>
          </cell>
          <cell r="L2205" t="str">
            <v>44285-13</v>
          </cell>
        </row>
        <row r="2206">
          <cell r="E2206" t="str">
            <v>D2021/00388</v>
          </cell>
          <cell r="F2206">
            <v>28</v>
          </cell>
          <cell r="L2206" t="str">
            <v>44286-27</v>
          </cell>
        </row>
        <row r="2207">
          <cell r="E2207" t="str">
            <v>D2021/00388</v>
          </cell>
          <cell r="F2207">
            <v>32</v>
          </cell>
          <cell r="L2207" t="str">
            <v>44286-27</v>
          </cell>
        </row>
        <row r="2208">
          <cell r="E2208" t="str">
            <v>D2021/00388</v>
          </cell>
          <cell r="F2208">
            <v>64</v>
          </cell>
          <cell r="L2208" t="str">
            <v>44286-27</v>
          </cell>
        </row>
        <row r="2209">
          <cell r="E2209" t="str">
            <v>D2021/00388</v>
          </cell>
          <cell r="F2209">
            <v>31</v>
          </cell>
          <cell r="L2209" t="str">
            <v>44286-27</v>
          </cell>
        </row>
        <row r="2210">
          <cell r="E2210" t="str">
            <v>D2021/00388</v>
          </cell>
          <cell r="F2210">
            <v>48</v>
          </cell>
          <cell r="L2210" t="str">
            <v>44286-27</v>
          </cell>
        </row>
        <row r="2211">
          <cell r="E2211" t="str">
            <v>D2021/00388</v>
          </cell>
          <cell r="F2211">
            <v>10</v>
          </cell>
          <cell r="L2211" t="str">
            <v>44286-13</v>
          </cell>
        </row>
        <row r="2212">
          <cell r="E2212" t="str">
            <v>D2021/00388</v>
          </cell>
          <cell r="F2212">
            <v>35</v>
          </cell>
          <cell r="L2212" t="str">
            <v>44286-13</v>
          </cell>
        </row>
        <row r="2213">
          <cell r="E2213" t="str">
            <v>D2021/00388</v>
          </cell>
          <cell r="F2213">
            <v>34</v>
          </cell>
          <cell r="L2213" t="str">
            <v>44286-13</v>
          </cell>
        </row>
        <row r="2214">
          <cell r="E2214" t="str">
            <v>D2021/00388</v>
          </cell>
          <cell r="F2214">
            <v>91</v>
          </cell>
          <cell r="L2214" t="str">
            <v>44287-27</v>
          </cell>
        </row>
        <row r="2215">
          <cell r="E2215" t="str">
            <v>D2021/00962</v>
          </cell>
          <cell r="F2215">
            <v>72</v>
          </cell>
          <cell r="L2215" t="str">
            <v>44287-27</v>
          </cell>
        </row>
        <row r="2216">
          <cell r="E2216" t="str">
            <v>D2021/00962</v>
          </cell>
          <cell r="F2216">
            <v>138</v>
          </cell>
          <cell r="L2216" t="str">
            <v>44287-27</v>
          </cell>
        </row>
        <row r="2217">
          <cell r="E2217" t="str">
            <v>D2021/00962</v>
          </cell>
          <cell r="F2217">
            <v>32</v>
          </cell>
          <cell r="L2217" t="str">
            <v>44287-27</v>
          </cell>
        </row>
        <row r="2218">
          <cell r="E2218" t="str">
            <v>D2021/00962</v>
          </cell>
          <cell r="F2218">
            <v>71</v>
          </cell>
          <cell r="L2218" t="str">
            <v>44287-27</v>
          </cell>
        </row>
        <row r="2219">
          <cell r="E2219" t="str">
            <v>D2021/00962</v>
          </cell>
          <cell r="F2219">
            <v>40</v>
          </cell>
          <cell r="L2219" t="str">
            <v>44287-13</v>
          </cell>
        </row>
        <row r="2220">
          <cell r="E2220" t="str">
            <v>D2021/00888</v>
          </cell>
          <cell r="F2220">
            <v>223</v>
          </cell>
          <cell r="L2220" t="str">
            <v>44287-13</v>
          </cell>
        </row>
        <row r="2221">
          <cell r="E2221" t="str">
            <v>D2021/00888</v>
          </cell>
          <cell r="F2221">
            <v>175</v>
          </cell>
          <cell r="L2221" t="str">
            <v>44287-13</v>
          </cell>
        </row>
        <row r="2222">
          <cell r="E2222" t="str">
            <v>D2021/00888</v>
          </cell>
          <cell r="F2222">
            <v>35</v>
          </cell>
          <cell r="L2222" t="str">
            <v>44287-13</v>
          </cell>
        </row>
        <row r="2223">
          <cell r="E2223" t="str">
            <v>D2021/00888</v>
          </cell>
          <cell r="F2223">
            <v>142</v>
          </cell>
          <cell r="L2223" t="str">
            <v>44291-27</v>
          </cell>
        </row>
        <row r="2224">
          <cell r="E2224" t="str">
            <v>D2021/00888</v>
          </cell>
          <cell r="F2224">
            <v>383</v>
          </cell>
          <cell r="L2224" t="str">
            <v>44291-27</v>
          </cell>
        </row>
        <row r="2225">
          <cell r="E2225" t="str">
            <v>D2021/00888</v>
          </cell>
          <cell r="F2225">
            <v>79</v>
          </cell>
          <cell r="L2225" t="str">
            <v>44291-27</v>
          </cell>
        </row>
        <row r="2226">
          <cell r="E2226" t="str">
            <v>D2021/00888</v>
          </cell>
          <cell r="F2226">
            <v>30</v>
          </cell>
          <cell r="L2226" t="str">
            <v>44291-27</v>
          </cell>
        </row>
        <row r="2227">
          <cell r="E2227" t="str">
            <v>D2021/00888</v>
          </cell>
          <cell r="F2227">
            <v>29</v>
          </cell>
          <cell r="L2227" t="str">
            <v>44291-27</v>
          </cell>
        </row>
        <row r="2228">
          <cell r="E2228" t="str">
            <v>D2021/00888</v>
          </cell>
          <cell r="F2228">
            <v>145</v>
          </cell>
          <cell r="L2228" t="str">
            <v>44291-13</v>
          </cell>
        </row>
        <row r="2229">
          <cell r="E2229" t="str">
            <v>D2021/00888</v>
          </cell>
          <cell r="F2229">
            <v>10</v>
          </cell>
          <cell r="L2229" t="str">
            <v>44291-13</v>
          </cell>
        </row>
        <row r="2230">
          <cell r="E2230" t="str">
            <v>D2021/00888</v>
          </cell>
          <cell r="F2230">
            <v>6</v>
          </cell>
          <cell r="L2230" t="str">
            <v>44291-13</v>
          </cell>
        </row>
        <row r="2231">
          <cell r="E2231" t="str">
            <v>D2021/00888</v>
          </cell>
          <cell r="F2231">
            <v>582</v>
          </cell>
          <cell r="L2231" t="str">
            <v>44292-27</v>
          </cell>
        </row>
        <row r="2232">
          <cell r="E2232" t="str">
            <v>D2021/00888</v>
          </cell>
          <cell r="F2232">
            <v>246</v>
          </cell>
          <cell r="L2232" t="str">
            <v>44292-13</v>
          </cell>
        </row>
        <row r="2233">
          <cell r="E2233" t="str">
            <v>D2021/00888</v>
          </cell>
          <cell r="F2233">
            <v>192</v>
          </cell>
          <cell r="L2233" t="str">
            <v>44292-13</v>
          </cell>
        </row>
        <row r="2234">
          <cell r="E2234" t="str">
            <v>D2021/00888</v>
          </cell>
          <cell r="F2234">
            <v>24</v>
          </cell>
          <cell r="L2234" t="str">
            <v>44292-13</v>
          </cell>
        </row>
        <row r="2235">
          <cell r="E2235" t="str">
            <v>D2021/00888</v>
          </cell>
          <cell r="F2235">
            <v>82</v>
          </cell>
          <cell r="L2235" t="str">
            <v>44292-13</v>
          </cell>
        </row>
        <row r="2236">
          <cell r="E2236" t="str">
            <v>D2021/00888</v>
          </cell>
          <cell r="F2236">
            <v>2</v>
          </cell>
          <cell r="L2236" t="str">
            <v>44292-13</v>
          </cell>
        </row>
        <row r="2237">
          <cell r="E2237" t="str">
            <v>D2021/00549</v>
          </cell>
          <cell r="F2237">
            <v>23</v>
          </cell>
          <cell r="L2237" t="str">
            <v>44292-27</v>
          </cell>
        </row>
        <row r="2238">
          <cell r="E2238" t="str">
            <v>D2021/00549</v>
          </cell>
          <cell r="F2238">
            <v>196</v>
          </cell>
          <cell r="L2238" t="str">
            <v>44292-13</v>
          </cell>
        </row>
        <row r="2239">
          <cell r="E2239" t="str">
            <v>D2021/00549</v>
          </cell>
          <cell r="F2239">
            <v>20</v>
          </cell>
          <cell r="L2239" t="str">
            <v>44292-13</v>
          </cell>
        </row>
        <row r="2240">
          <cell r="E2240" t="str">
            <v>D2021/00549</v>
          </cell>
          <cell r="F2240">
            <v>67</v>
          </cell>
          <cell r="L2240" t="str">
            <v>44293-27</v>
          </cell>
        </row>
        <row r="2241">
          <cell r="E2241" t="str">
            <v>D2021/00549</v>
          </cell>
          <cell r="F2241">
            <v>293</v>
          </cell>
          <cell r="L2241" t="str">
            <v>44293-27</v>
          </cell>
        </row>
        <row r="2242">
          <cell r="E2242" t="str">
            <v>D2021/00549</v>
          </cell>
          <cell r="F2242">
            <v>28</v>
          </cell>
          <cell r="L2242" t="str">
            <v>44293-13</v>
          </cell>
        </row>
        <row r="2243">
          <cell r="E2243" t="str">
            <v>D2021/00549</v>
          </cell>
          <cell r="F2243">
            <v>63</v>
          </cell>
          <cell r="L2243" t="str">
            <v>44293-13</v>
          </cell>
        </row>
        <row r="2244">
          <cell r="E2244" t="str">
            <v>D2021/00549</v>
          </cell>
          <cell r="F2244">
            <v>57</v>
          </cell>
          <cell r="L2244" t="str">
            <v>44293-13</v>
          </cell>
        </row>
        <row r="2245">
          <cell r="E2245" t="str">
            <v>D2021/00549</v>
          </cell>
          <cell r="F2245">
            <v>6</v>
          </cell>
          <cell r="L2245" t="str">
            <v>44293-13</v>
          </cell>
        </row>
        <row r="2246">
          <cell r="E2246" t="str">
            <v>D2021/00549</v>
          </cell>
          <cell r="F2246">
            <v>35</v>
          </cell>
          <cell r="L2246" t="str">
            <v>44294-27</v>
          </cell>
        </row>
        <row r="2247">
          <cell r="E2247" t="str">
            <v>D2021/00970</v>
          </cell>
          <cell r="F2247">
            <v>67</v>
          </cell>
          <cell r="L2247" t="str">
            <v>44294-27</v>
          </cell>
        </row>
        <row r="2248">
          <cell r="E2248" t="str">
            <v>D2021/00970</v>
          </cell>
          <cell r="F2248">
            <v>36</v>
          </cell>
          <cell r="L2248" t="str">
            <v>44294-27</v>
          </cell>
        </row>
        <row r="2249">
          <cell r="E2249" t="str">
            <v>D2021/00970</v>
          </cell>
          <cell r="F2249">
            <v>4</v>
          </cell>
          <cell r="L2249" t="str">
            <v>44294-27</v>
          </cell>
        </row>
        <row r="2250">
          <cell r="E2250" t="str">
            <v>D2021/00970</v>
          </cell>
          <cell r="F2250">
            <v>24</v>
          </cell>
          <cell r="L2250" t="str">
            <v>44294-27</v>
          </cell>
        </row>
        <row r="2251">
          <cell r="E2251" t="str">
            <v>D2021/00970</v>
          </cell>
          <cell r="F2251">
            <v>26</v>
          </cell>
          <cell r="L2251" t="str">
            <v>44294-27</v>
          </cell>
        </row>
        <row r="2252">
          <cell r="E2252" t="str">
            <v>D2021/00970</v>
          </cell>
          <cell r="F2252">
            <v>9</v>
          </cell>
          <cell r="L2252" t="str">
            <v>44294-13</v>
          </cell>
        </row>
        <row r="2253">
          <cell r="E2253" t="str">
            <v>D2021/00970</v>
          </cell>
          <cell r="F2253">
            <v>5</v>
          </cell>
          <cell r="L2253" t="str">
            <v>44294-13</v>
          </cell>
        </row>
        <row r="2254">
          <cell r="E2254" t="str">
            <v>D2021/00970</v>
          </cell>
          <cell r="F2254">
            <v>46</v>
          </cell>
          <cell r="L2254" t="str">
            <v>44294-13</v>
          </cell>
        </row>
        <row r="2255">
          <cell r="E2255" t="str">
            <v>D2021/00970</v>
          </cell>
          <cell r="F2255">
            <v>34</v>
          </cell>
          <cell r="L2255" t="str">
            <v>44294-13</v>
          </cell>
        </row>
        <row r="2256">
          <cell r="E2256" t="str">
            <v>D2021/00970</v>
          </cell>
          <cell r="F2256">
            <v>35</v>
          </cell>
          <cell r="L2256" t="str">
            <v>44295-27</v>
          </cell>
        </row>
        <row r="2257">
          <cell r="E2257" t="str">
            <v>D2021/00970</v>
          </cell>
          <cell r="F2257">
            <v>31</v>
          </cell>
          <cell r="L2257" t="str">
            <v>44295-27</v>
          </cell>
        </row>
        <row r="2258">
          <cell r="E2258" t="str">
            <v>D2021/00970</v>
          </cell>
          <cell r="F2258">
            <v>28</v>
          </cell>
          <cell r="L2258" t="str">
            <v>44295-27</v>
          </cell>
        </row>
        <row r="2259">
          <cell r="E2259" t="str">
            <v>D2021/00970</v>
          </cell>
          <cell r="F2259">
            <v>48</v>
          </cell>
          <cell r="L2259" t="str">
            <v>44295-27</v>
          </cell>
        </row>
        <row r="2260">
          <cell r="E2260" t="str">
            <v>D2021/00786</v>
          </cell>
          <cell r="F2260">
            <v>32</v>
          </cell>
          <cell r="L2260" t="str">
            <v>44295-27</v>
          </cell>
        </row>
        <row r="2261">
          <cell r="E2261" t="str">
            <v>D2021/00786</v>
          </cell>
          <cell r="F2261">
            <v>31</v>
          </cell>
          <cell r="L2261" t="str">
            <v>44295-27</v>
          </cell>
        </row>
        <row r="2262">
          <cell r="E2262" t="str">
            <v>D2021/00786</v>
          </cell>
          <cell r="F2262">
            <v>75</v>
          </cell>
          <cell r="L2262" t="str">
            <v>44295-13</v>
          </cell>
        </row>
        <row r="2263">
          <cell r="E2263" t="str">
            <v>D2021/00786</v>
          </cell>
          <cell r="F2263">
            <v>70</v>
          </cell>
          <cell r="L2263" t="str">
            <v>44295-13</v>
          </cell>
        </row>
        <row r="2264">
          <cell r="E2264" t="str">
            <v>D2021/00888</v>
          </cell>
          <cell r="F2264">
            <v>253</v>
          </cell>
          <cell r="L2264" t="str">
            <v>44295-13</v>
          </cell>
        </row>
        <row r="2265">
          <cell r="E2265" t="str">
            <v>D2021/00888</v>
          </cell>
          <cell r="F2265">
            <v>55</v>
          </cell>
          <cell r="L2265" t="str">
            <v>44295-13</v>
          </cell>
        </row>
        <row r="2266">
          <cell r="E2266" t="str">
            <v>D2021/00888</v>
          </cell>
          <cell r="F2266">
            <v>195</v>
          </cell>
          <cell r="L2266" t="str">
            <v>44295-13</v>
          </cell>
        </row>
        <row r="2267">
          <cell r="E2267" t="str">
            <v>D2021/00888</v>
          </cell>
          <cell r="F2267">
            <v>16</v>
          </cell>
          <cell r="L2267" t="str">
            <v>44295-13</v>
          </cell>
        </row>
        <row r="2268">
          <cell r="E2268" t="str">
            <v>D2021/00888</v>
          </cell>
          <cell r="F2268">
            <v>295</v>
          </cell>
          <cell r="L2268" t="str">
            <v>44298-27</v>
          </cell>
        </row>
        <row r="2269">
          <cell r="E2269" t="str">
            <v>D2021/00888</v>
          </cell>
          <cell r="F2269">
            <v>184</v>
          </cell>
          <cell r="L2269" t="str">
            <v>44298-27</v>
          </cell>
        </row>
        <row r="2270">
          <cell r="E2270" t="str">
            <v>D2021/00888</v>
          </cell>
          <cell r="F2270">
            <v>85</v>
          </cell>
          <cell r="L2270" t="str">
            <v>44298-27</v>
          </cell>
        </row>
        <row r="2271">
          <cell r="E2271" t="str">
            <v>D2021/00888</v>
          </cell>
          <cell r="F2271">
            <v>90</v>
          </cell>
          <cell r="L2271" t="str">
            <v>44298-27</v>
          </cell>
        </row>
        <row r="2272">
          <cell r="E2272" t="str">
            <v>D2021/00888</v>
          </cell>
          <cell r="F2272">
            <v>10</v>
          </cell>
          <cell r="L2272" t="str">
            <v>44298-27</v>
          </cell>
        </row>
        <row r="2273">
          <cell r="E2273" t="str">
            <v>D2021/00888</v>
          </cell>
          <cell r="F2273">
            <v>86</v>
          </cell>
          <cell r="L2273" t="str">
            <v>44298-27</v>
          </cell>
        </row>
        <row r="2274">
          <cell r="E2274" t="str">
            <v>D2021/00888</v>
          </cell>
          <cell r="F2274">
            <v>129</v>
          </cell>
          <cell r="L2274" t="str">
            <v>44298-13</v>
          </cell>
        </row>
        <row r="2275">
          <cell r="E2275" t="str">
            <v>D2021/00888</v>
          </cell>
          <cell r="F2275">
            <v>13</v>
          </cell>
          <cell r="L2275" t="str">
            <v>44298-13</v>
          </cell>
        </row>
        <row r="2276">
          <cell r="E2276" t="str">
            <v>D2021/00888</v>
          </cell>
          <cell r="F2276">
            <v>17</v>
          </cell>
          <cell r="L2276" t="str">
            <v>44298-13</v>
          </cell>
        </row>
        <row r="2277">
          <cell r="E2277" t="str">
            <v>D2021/00788</v>
          </cell>
          <cell r="F2277">
            <v>126</v>
          </cell>
          <cell r="L2277" t="str">
            <v>44299-27</v>
          </cell>
        </row>
        <row r="2278">
          <cell r="E2278" t="str">
            <v>D2021/00788</v>
          </cell>
          <cell r="F2278">
            <v>93</v>
          </cell>
          <cell r="L2278" t="str">
            <v>44299-27</v>
          </cell>
        </row>
        <row r="2279">
          <cell r="E2279" t="str">
            <v>D2021/00788</v>
          </cell>
          <cell r="F2279">
            <v>52</v>
          </cell>
          <cell r="L2279" t="str">
            <v>44299-27</v>
          </cell>
        </row>
        <row r="2280">
          <cell r="E2280" t="str">
            <v>D2021/00788</v>
          </cell>
          <cell r="F2280">
            <v>105</v>
          </cell>
          <cell r="L2280" t="str">
            <v>44299-27</v>
          </cell>
        </row>
        <row r="2281">
          <cell r="E2281" t="str">
            <v>D2021/00788</v>
          </cell>
          <cell r="F2281">
            <v>60</v>
          </cell>
          <cell r="L2281" t="str">
            <v>44299-13</v>
          </cell>
        </row>
        <row r="2282">
          <cell r="E2282" t="str">
            <v>D2021/00788</v>
          </cell>
          <cell r="F2282">
            <v>4</v>
          </cell>
          <cell r="L2282" t="str">
            <v>44299-13</v>
          </cell>
        </row>
        <row r="2283">
          <cell r="E2283" t="str">
            <v>D2021/00788</v>
          </cell>
          <cell r="F2283">
            <v>41</v>
          </cell>
          <cell r="L2283" t="str">
            <v>44300-27</v>
          </cell>
        </row>
        <row r="2284">
          <cell r="E2284" t="str">
            <v>D2021/00788</v>
          </cell>
          <cell r="F2284">
            <v>32</v>
          </cell>
          <cell r="L2284" t="str">
            <v>44300-27</v>
          </cell>
        </row>
        <row r="2285">
          <cell r="E2285" t="str">
            <v>D2021/00788</v>
          </cell>
          <cell r="F2285">
            <v>40</v>
          </cell>
          <cell r="L2285" t="str">
            <v>44300-27</v>
          </cell>
        </row>
        <row r="2286">
          <cell r="E2286" t="str">
            <v>D2021/00788</v>
          </cell>
          <cell r="F2286">
            <v>10</v>
          </cell>
          <cell r="L2286" t="str">
            <v>44300-27</v>
          </cell>
        </row>
        <row r="2287">
          <cell r="E2287" t="str">
            <v>D2021/00788</v>
          </cell>
          <cell r="F2287">
            <v>4</v>
          </cell>
          <cell r="L2287" t="str">
            <v>44300-13</v>
          </cell>
        </row>
        <row r="2288">
          <cell r="E2288" t="str">
            <v>D2021/00877</v>
          </cell>
          <cell r="F2288">
            <v>10</v>
          </cell>
          <cell r="L2288" t="str">
            <v>44300-13</v>
          </cell>
        </row>
        <row r="2289">
          <cell r="E2289" t="str">
            <v>D2021/00877</v>
          </cell>
          <cell r="F2289">
            <v>6</v>
          </cell>
          <cell r="L2289" t="str">
            <v>44300-13</v>
          </cell>
        </row>
        <row r="2290">
          <cell r="E2290" t="str">
            <v>D2021/00877</v>
          </cell>
          <cell r="F2290">
            <v>5</v>
          </cell>
          <cell r="L2290" t="str">
            <v>44300-13</v>
          </cell>
        </row>
        <row r="2291">
          <cell r="E2291" t="str">
            <v>D2021/00877</v>
          </cell>
          <cell r="F2291">
            <v>5</v>
          </cell>
          <cell r="L2291" t="str">
            <v>44300-13</v>
          </cell>
        </row>
        <row r="2292">
          <cell r="E2292" t="str">
            <v>D2021/00877</v>
          </cell>
          <cell r="F2292">
            <v>22</v>
          </cell>
          <cell r="L2292" t="str">
            <v>44301-27</v>
          </cell>
        </row>
        <row r="2293">
          <cell r="E2293" t="str">
            <v>D2021/00877</v>
          </cell>
          <cell r="F2293">
            <v>16</v>
          </cell>
          <cell r="L2293" t="str">
            <v>44301-27</v>
          </cell>
        </row>
        <row r="2294">
          <cell r="E2294" t="str">
            <v>D2021/00877</v>
          </cell>
          <cell r="F2294">
            <v>20</v>
          </cell>
          <cell r="L2294" t="str">
            <v>44301-27</v>
          </cell>
        </row>
        <row r="2295">
          <cell r="E2295" t="str">
            <v>D2021/00877</v>
          </cell>
          <cell r="F2295">
            <v>33</v>
          </cell>
          <cell r="L2295" t="str">
            <v>44301-27</v>
          </cell>
        </row>
        <row r="2296">
          <cell r="E2296" t="str">
            <v>D2021/00877</v>
          </cell>
          <cell r="F2296">
            <v>14</v>
          </cell>
          <cell r="L2296" t="str">
            <v>44301-27</v>
          </cell>
        </row>
        <row r="2297">
          <cell r="E2297" t="str">
            <v>D2021/01102</v>
          </cell>
          <cell r="F2297">
            <v>51</v>
          </cell>
          <cell r="L2297" t="str">
            <v>44301-13</v>
          </cell>
        </row>
        <row r="2298">
          <cell r="E2298" t="str">
            <v>D2021/01102</v>
          </cell>
          <cell r="F2298">
            <v>22</v>
          </cell>
          <cell r="L2298" t="str">
            <v>44301-13</v>
          </cell>
        </row>
        <row r="2299">
          <cell r="E2299" t="str">
            <v>D2021/01102</v>
          </cell>
          <cell r="F2299">
            <v>7</v>
          </cell>
          <cell r="L2299" t="str">
            <v>44301-13</v>
          </cell>
        </row>
        <row r="2300">
          <cell r="E2300" t="str">
            <v>D2021/01102</v>
          </cell>
          <cell r="F2300">
            <v>15</v>
          </cell>
          <cell r="L2300" t="str">
            <v>44301-13</v>
          </cell>
        </row>
        <row r="2301">
          <cell r="E2301" t="str">
            <v>D2021/01102</v>
          </cell>
          <cell r="F2301">
            <v>11</v>
          </cell>
          <cell r="L2301" t="str">
            <v>44302-27</v>
          </cell>
        </row>
        <row r="2302">
          <cell r="E2302" t="str">
            <v>D2021/01102</v>
          </cell>
          <cell r="F2302">
            <v>10</v>
          </cell>
          <cell r="L2302" t="str">
            <v>44302-27</v>
          </cell>
        </row>
        <row r="2303">
          <cell r="E2303" t="str">
            <v>D2021/01102</v>
          </cell>
          <cell r="F2303">
            <v>16</v>
          </cell>
          <cell r="L2303" t="str">
            <v>44302-27</v>
          </cell>
        </row>
        <row r="2304">
          <cell r="E2304" t="str">
            <v>D2021/01102</v>
          </cell>
          <cell r="F2304">
            <v>50</v>
          </cell>
          <cell r="L2304" t="str">
            <v>44302-27</v>
          </cell>
        </row>
        <row r="2305">
          <cell r="E2305" t="str">
            <v>D2021/01102</v>
          </cell>
          <cell r="F2305">
            <v>32</v>
          </cell>
          <cell r="L2305" t="str">
            <v>44302-27</v>
          </cell>
        </row>
        <row r="2306">
          <cell r="E2306" t="str">
            <v>D2021/01102</v>
          </cell>
          <cell r="F2306">
            <v>8</v>
          </cell>
          <cell r="L2306" t="str">
            <v>44302-27</v>
          </cell>
        </row>
        <row r="2307">
          <cell r="E2307" t="str">
            <v>D2021/01102</v>
          </cell>
          <cell r="F2307">
            <v>3</v>
          </cell>
          <cell r="L2307" t="str">
            <v>44302-13</v>
          </cell>
        </row>
        <row r="2308">
          <cell r="E2308" t="str">
            <v>D2021/01102</v>
          </cell>
          <cell r="F2308">
            <v>7</v>
          </cell>
          <cell r="L2308" t="str">
            <v>44302-13</v>
          </cell>
        </row>
        <row r="2309">
          <cell r="E2309" t="str">
            <v>D2021/01102</v>
          </cell>
          <cell r="F2309">
            <v>5</v>
          </cell>
          <cell r="L2309" t="str">
            <v>44302-13</v>
          </cell>
        </row>
        <row r="2310">
          <cell r="E2310" t="str">
            <v>D2021/01102</v>
          </cell>
          <cell r="F2310">
            <v>529</v>
          </cell>
          <cell r="L2310" t="str">
            <v>44305-15</v>
          </cell>
        </row>
        <row r="2311">
          <cell r="E2311" t="str">
            <v>D2021/01102</v>
          </cell>
          <cell r="F2311">
            <v>47</v>
          </cell>
          <cell r="L2311" t="str">
            <v>44305-27</v>
          </cell>
        </row>
        <row r="2312">
          <cell r="E2312" t="str">
            <v>D2021/01102</v>
          </cell>
          <cell r="F2312">
            <v>32</v>
          </cell>
          <cell r="L2312" t="str">
            <v>44305-27</v>
          </cell>
        </row>
        <row r="2313">
          <cell r="E2313" t="str">
            <v>D2021/01102</v>
          </cell>
          <cell r="F2313">
            <v>26</v>
          </cell>
          <cell r="L2313" t="str">
            <v>44305-27</v>
          </cell>
        </row>
        <row r="2314">
          <cell r="E2314" t="str">
            <v>D2021/01102</v>
          </cell>
          <cell r="F2314">
            <v>20</v>
          </cell>
          <cell r="L2314" t="str">
            <v>44305-27</v>
          </cell>
        </row>
        <row r="2315">
          <cell r="E2315" t="str">
            <v>D2021/01102</v>
          </cell>
          <cell r="F2315">
            <v>8</v>
          </cell>
          <cell r="L2315" t="str">
            <v>44305-27</v>
          </cell>
        </row>
        <row r="2316">
          <cell r="E2316" t="str">
            <v>D2021/01102</v>
          </cell>
          <cell r="F2316">
            <v>22</v>
          </cell>
          <cell r="L2316" t="str">
            <v>44305-13</v>
          </cell>
        </row>
        <row r="2317">
          <cell r="E2317" t="str">
            <v>D2021/01102</v>
          </cell>
          <cell r="F2317">
            <v>22</v>
          </cell>
          <cell r="L2317" t="str">
            <v>44305-13</v>
          </cell>
        </row>
        <row r="2318">
          <cell r="E2318" t="str">
            <v>D2021/01102</v>
          </cell>
          <cell r="F2318">
            <v>5</v>
          </cell>
          <cell r="L2318" t="str">
            <v>44305-13</v>
          </cell>
        </row>
        <row r="2319">
          <cell r="E2319" t="str">
            <v>D2021/01102</v>
          </cell>
          <cell r="F2319">
            <v>23</v>
          </cell>
          <cell r="L2319" t="str">
            <v>44306-27</v>
          </cell>
        </row>
        <row r="2320">
          <cell r="E2320" t="str">
            <v>D2021/01102</v>
          </cell>
          <cell r="F2320">
            <v>50</v>
          </cell>
          <cell r="L2320" t="str">
            <v>44306-27</v>
          </cell>
        </row>
        <row r="2321">
          <cell r="E2321" t="str">
            <v>D2021/01102</v>
          </cell>
          <cell r="F2321">
            <v>20</v>
          </cell>
          <cell r="L2321" t="str">
            <v>44306-27</v>
          </cell>
        </row>
        <row r="2322">
          <cell r="E2322" t="str">
            <v>D2021/01102</v>
          </cell>
          <cell r="F2322">
            <v>21</v>
          </cell>
          <cell r="L2322" t="str">
            <v>44306-27</v>
          </cell>
        </row>
        <row r="2323">
          <cell r="E2323" t="str">
            <v>D2021/01102</v>
          </cell>
          <cell r="F2323">
            <v>594</v>
          </cell>
          <cell r="L2323" t="str">
            <v>44306-27</v>
          </cell>
        </row>
        <row r="2324">
          <cell r="E2324" t="str">
            <v>D2021/00969</v>
          </cell>
          <cell r="F2324">
            <v>5</v>
          </cell>
          <cell r="L2324" t="str">
            <v>44306-13</v>
          </cell>
        </row>
        <row r="2325">
          <cell r="E2325" t="str">
            <v>D2021/00969</v>
          </cell>
          <cell r="F2325">
            <v>21</v>
          </cell>
          <cell r="L2325" t="str">
            <v>44306-13</v>
          </cell>
        </row>
        <row r="2326">
          <cell r="E2326" t="str">
            <v>D2021/00968</v>
          </cell>
          <cell r="F2326">
            <v>4</v>
          </cell>
          <cell r="L2326" t="str">
            <v>44306-13</v>
          </cell>
        </row>
        <row r="2327">
          <cell r="E2327" t="str">
            <v>D2021/00968</v>
          </cell>
          <cell r="F2327">
            <v>16</v>
          </cell>
          <cell r="L2327" t="str">
            <v>44306-13</v>
          </cell>
        </row>
        <row r="2328">
          <cell r="E2328" t="str">
            <v>D2021/00968</v>
          </cell>
          <cell r="F2328">
            <v>5</v>
          </cell>
          <cell r="L2328" t="str">
            <v>44306-13</v>
          </cell>
        </row>
        <row r="2329">
          <cell r="E2329" t="str">
            <v>D2021/00968</v>
          </cell>
          <cell r="F2329">
            <v>18</v>
          </cell>
          <cell r="L2329" t="str">
            <v>44307-4</v>
          </cell>
        </row>
        <row r="2330">
          <cell r="E2330" t="str">
            <v>D2021/00717</v>
          </cell>
          <cell r="F2330">
            <v>26</v>
          </cell>
          <cell r="L2330" t="str">
            <v>44307-4</v>
          </cell>
        </row>
        <row r="2331">
          <cell r="E2331" t="str">
            <v>D2021/00717</v>
          </cell>
          <cell r="F2331">
            <v>17</v>
          </cell>
          <cell r="L2331" t="str">
            <v>44307-4</v>
          </cell>
        </row>
        <row r="2332">
          <cell r="E2332" t="str">
            <v>D2021/00717</v>
          </cell>
          <cell r="F2332">
            <v>6</v>
          </cell>
          <cell r="L2332" t="str">
            <v>44307-13</v>
          </cell>
        </row>
        <row r="2333">
          <cell r="E2333" t="str">
            <v>D2021/00717</v>
          </cell>
          <cell r="F2333">
            <v>22</v>
          </cell>
          <cell r="L2333" t="str">
            <v>44308-27</v>
          </cell>
        </row>
        <row r="2334">
          <cell r="E2334" t="str">
            <v>D2021/00878</v>
          </cell>
          <cell r="F2334">
            <v>28</v>
          </cell>
          <cell r="L2334" t="str">
            <v>44308-27</v>
          </cell>
        </row>
        <row r="2335">
          <cell r="E2335" t="str">
            <v>D2021/00878</v>
          </cell>
          <cell r="F2335">
            <v>31</v>
          </cell>
          <cell r="L2335" t="str">
            <v>44308-27</v>
          </cell>
        </row>
        <row r="2336">
          <cell r="E2336" t="str">
            <v>D2021/00878</v>
          </cell>
          <cell r="F2336">
            <v>22</v>
          </cell>
          <cell r="L2336" t="str">
            <v>44308-13</v>
          </cell>
        </row>
        <row r="2337">
          <cell r="E2337" t="str">
            <v>D2021/01219</v>
          </cell>
          <cell r="F2337">
            <v>48</v>
          </cell>
          <cell r="L2337" t="str">
            <v>44308-13</v>
          </cell>
        </row>
        <row r="2338">
          <cell r="E2338" t="str">
            <v>D2021/01219</v>
          </cell>
          <cell r="F2338">
            <v>53</v>
          </cell>
          <cell r="L2338" t="str">
            <v>44308-13</v>
          </cell>
        </row>
        <row r="2339">
          <cell r="E2339" t="str">
            <v>D2021/01219</v>
          </cell>
          <cell r="F2339">
            <v>62</v>
          </cell>
          <cell r="L2339" t="str">
            <v>44308-13</v>
          </cell>
        </row>
        <row r="2340">
          <cell r="E2340" t="str">
            <v>D2021/01219</v>
          </cell>
          <cell r="F2340">
            <v>33</v>
          </cell>
          <cell r="L2340" t="str">
            <v>44309-27</v>
          </cell>
        </row>
        <row r="2341">
          <cell r="E2341" t="str">
            <v>D2021/01219</v>
          </cell>
          <cell r="F2341">
            <v>42</v>
          </cell>
          <cell r="L2341" t="str">
            <v>44309-27</v>
          </cell>
        </row>
        <row r="2342">
          <cell r="E2342" t="str">
            <v>D2021/01219</v>
          </cell>
          <cell r="F2342">
            <v>7</v>
          </cell>
          <cell r="L2342" t="str">
            <v>44309-27</v>
          </cell>
        </row>
        <row r="2343">
          <cell r="E2343" t="str">
            <v>D2021/01219</v>
          </cell>
          <cell r="F2343">
            <v>22</v>
          </cell>
          <cell r="L2343" t="str">
            <v>44309-27</v>
          </cell>
        </row>
        <row r="2344">
          <cell r="E2344" t="str">
            <v>D2021/01219</v>
          </cell>
          <cell r="F2344">
            <v>16</v>
          </cell>
          <cell r="L2344" t="str">
            <v>44309-27</v>
          </cell>
        </row>
        <row r="2345">
          <cell r="E2345" t="str">
            <v>D2021/01219</v>
          </cell>
          <cell r="F2345">
            <v>7</v>
          </cell>
          <cell r="L2345" t="str">
            <v>44309-27</v>
          </cell>
        </row>
        <row r="2346">
          <cell r="E2346" t="str">
            <v>D2021/01219</v>
          </cell>
          <cell r="F2346">
            <v>26</v>
          </cell>
          <cell r="L2346" t="str">
            <v>44309-27</v>
          </cell>
        </row>
        <row r="2347">
          <cell r="E2347" t="str">
            <v>D2021/01219</v>
          </cell>
          <cell r="F2347">
            <v>15</v>
          </cell>
          <cell r="L2347" t="str">
            <v>44309-13</v>
          </cell>
        </row>
        <row r="2348">
          <cell r="E2348" t="str">
            <v>D2021/01219</v>
          </cell>
          <cell r="F2348">
            <v>78</v>
          </cell>
          <cell r="L2348" t="str">
            <v>44309-13</v>
          </cell>
        </row>
        <row r="2349">
          <cell r="E2349" t="str">
            <v>D2021/01219</v>
          </cell>
          <cell r="F2349">
            <v>165</v>
          </cell>
          <cell r="L2349" t="str">
            <v>44309-13</v>
          </cell>
        </row>
        <row r="2350">
          <cell r="E2350" t="str">
            <v>D2021/01219</v>
          </cell>
          <cell r="F2350">
            <v>35</v>
          </cell>
          <cell r="L2350" t="str">
            <v>44309-13</v>
          </cell>
        </row>
        <row r="2351">
          <cell r="E2351" t="str">
            <v>D2021/00918</v>
          </cell>
          <cell r="F2351">
            <v>33</v>
          </cell>
          <cell r="L2351" t="str">
            <v>44312-27</v>
          </cell>
        </row>
        <row r="2352">
          <cell r="E2352" t="str">
            <v>D2021/00918</v>
          </cell>
          <cell r="F2352">
            <v>12</v>
          </cell>
          <cell r="L2352" t="str">
            <v>44312-27</v>
          </cell>
        </row>
        <row r="2353">
          <cell r="E2353" t="str">
            <v>D2021/00918</v>
          </cell>
          <cell r="F2353">
            <v>8</v>
          </cell>
          <cell r="L2353" t="str">
            <v>44312-27</v>
          </cell>
        </row>
        <row r="2354">
          <cell r="E2354" t="str">
            <v>D2021/00918</v>
          </cell>
          <cell r="F2354">
            <v>79</v>
          </cell>
          <cell r="L2354" t="str">
            <v>44312-27</v>
          </cell>
        </row>
        <row r="2355">
          <cell r="E2355" t="str">
            <v>D2021/00873</v>
          </cell>
          <cell r="F2355">
            <v>143</v>
          </cell>
          <cell r="L2355" t="str">
            <v>44313-27</v>
          </cell>
        </row>
        <row r="2356">
          <cell r="E2356" t="str">
            <v>D2021/00873</v>
          </cell>
          <cell r="F2356">
            <v>20</v>
          </cell>
          <cell r="L2356" t="str">
            <v>44313-27</v>
          </cell>
        </row>
        <row r="2357">
          <cell r="E2357" t="str">
            <v>D2021/00872</v>
          </cell>
          <cell r="F2357">
            <v>6</v>
          </cell>
          <cell r="L2357" t="str">
            <v>44313-13</v>
          </cell>
        </row>
        <row r="2358">
          <cell r="E2358" t="str">
            <v>D2021/00917</v>
          </cell>
          <cell r="F2358">
            <v>5</v>
          </cell>
          <cell r="L2358" t="str">
            <v>44313-13</v>
          </cell>
        </row>
        <row r="2359">
          <cell r="E2359" t="str">
            <v>D2021/00917</v>
          </cell>
          <cell r="F2359">
            <v>7</v>
          </cell>
          <cell r="L2359" t="str">
            <v>44313-13</v>
          </cell>
        </row>
        <row r="2360">
          <cell r="E2360" t="str">
            <v>D2021/00917</v>
          </cell>
          <cell r="F2360">
            <v>29</v>
          </cell>
          <cell r="L2360" t="str">
            <v>44313-13</v>
          </cell>
        </row>
        <row r="2361">
          <cell r="E2361" t="str">
            <v>D2021/00917</v>
          </cell>
          <cell r="F2361">
            <v>32</v>
          </cell>
          <cell r="L2361" t="str">
            <v>44314-4</v>
          </cell>
        </row>
        <row r="2362">
          <cell r="E2362" t="str">
            <v>D2021/00917</v>
          </cell>
          <cell r="F2362">
            <v>53</v>
          </cell>
          <cell r="L2362" t="str">
            <v>44314-4</v>
          </cell>
        </row>
        <row r="2363">
          <cell r="E2363" t="str">
            <v>D2021/00917</v>
          </cell>
          <cell r="F2363">
            <v>27</v>
          </cell>
          <cell r="L2363" t="str">
            <v>44314-4</v>
          </cell>
        </row>
        <row r="2364">
          <cell r="E2364" t="str">
            <v>D2021/00917</v>
          </cell>
          <cell r="F2364">
            <v>61</v>
          </cell>
          <cell r="L2364" t="str">
            <v>44314-4</v>
          </cell>
        </row>
        <row r="2365">
          <cell r="E2365" t="str">
            <v>D2021/00964</v>
          </cell>
          <cell r="F2365">
            <v>4</v>
          </cell>
          <cell r="L2365" t="str">
            <v>44314-4</v>
          </cell>
        </row>
        <row r="2366">
          <cell r="E2366" t="str">
            <v>D2021/00964</v>
          </cell>
          <cell r="F2366">
            <v>2</v>
          </cell>
          <cell r="L2366" t="str">
            <v>44314-13</v>
          </cell>
        </row>
        <row r="2367">
          <cell r="E2367" t="str">
            <v>D2021/00964</v>
          </cell>
          <cell r="F2367">
            <v>57</v>
          </cell>
          <cell r="L2367" t="str">
            <v>44314-13</v>
          </cell>
        </row>
        <row r="2368">
          <cell r="E2368" t="str">
            <v>D2021/00964</v>
          </cell>
          <cell r="F2368">
            <v>42</v>
          </cell>
          <cell r="L2368" t="str">
            <v>44314-13</v>
          </cell>
        </row>
        <row r="2369">
          <cell r="E2369" t="str">
            <v>D2021/01093</v>
          </cell>
          <cell r="F2369">
            <v>446</v>
          </cell>
          <cell r="L2369" t="str">
            <v>44315-15</v>
          </cell>
        </row>
        <row r="2370">
          <cell r="E2370" t="str">
            <v>D2021/01093</v>
          </cell>
          <cell r="F2370">
            <v>107</v>
          </cell>
          <cell r="L2370" t="str">
            <v>44315-15</v>
          </cell>
        </row>
        <row r="2371">
          <cell r="E2371" t="str">
            <v>D2021/01093</v>
          </cell>
          <cell r="F2371">
            <v>287</v>
          </cell>
          <cell r="L2371" t="str">
            <v>44315-27</v>
          </cell>
        </row>
        <row r="2372">
          <cell r="E2372" t="str">
            <v>D2021/01093</v>
          </cell>
          <cell r="F2372">
            <v>108</v>
          </cell>
          <cell r="L2372" t="str">
            <v>44315-27</v>
          </cell>
        </row>
        <row r="2373">
          <cell r="E2373" t="str">
            <v>D2021/01093</v>
          </cell>
          <cell r="F2373">
            <v>25</v>
          </cell>
          <cell r="L2373" t="str">
            <v>44315-27</v>
          </cell>
        </row>
        <row r="2374">
          <cell r="E2374" t="str">
            <v>D2021/01093</v>
          </cell>
          <cell r="F2374">
            <v>112</v>
          </cell>
          <cell r="L2374" t="str">
            <v>44315-27</v>
          </cell>
        </row>
        <row r="2375">
          <cell r="E2375" t="str">
            <v>D2021/01093</v>
          </cell>
          <cell r="F2375">
            <v>99</v>
          </cell>
          <cell r="L2375" t="str">
            <v>44315-27</v>
          </cell>
        </row>
        <row r="2376">
          <cell r="E2376" t="str">
            <v>D2021/01093</v>
          </cell>
          <cell r="F2376">
            <v>150</v>
          </cell>
          <cell r="L2376" t="str">
            <v>44315-27</v>
          </cell>
        </row>
        <row r="2377">
          <cell r="E2377" t="str">
            <v>D2021/01093</v>
          </cell>
          <cell r="F2377">
            <v>23</v>
          </cell>
          <cell r="L2377" t="str">
            <v>44315-27</v>
          </cell>
        </row>
        <row r="2378">
          <cell r="E2378" t="str">
            <v>D2021/00964</v>
          </cell>
          <cell r="F2378">
            <v>80</v>
          </cell>
          <cell r="L2378" t="str">
            <v>44315-27</v>
          </cell>
        </row>
        <row r="2379">
          <cell r="E2379" t="str">
            <v>D2021/01291</v>
          </cell>
          <cell r="F2379">
            <v>38</v>
          </cell>
          <cell r="L2379" t="str">
            <v>44315-13</v>
          </cell>
        </row>
        <row r="2380">
          <cell r="E2380" t="str">
            <v>D2021/01291</v>
          </cell>
          <cell r="F2380">
            <v>33</v>
          </cell>
          <cell r="L2380" t="str">
            <v>44315-13</v>
          </cell>
        </row>
        <row r="2381">
          <cell r="E2381" t="str">
            <v>D2021/01290</v>
          </cell>
          <cell r="F2381">
            <v>28</v>
          </cell>
          <cell r="L2381" t="str">
            <v>44315-13</v>
          </cell>
        </row>
        <row r="2382">
          <cell r="E2382" t="str">
            <v>D2021/01290</v>
          </cell>
          <cell r="F2382">
            <v>42</v>
          </cell>
          <cell r="L2382" t="str">
            <v>44316-27</v>
          </cell>
        </row>
        <row r="2383">
          <cell r="E2383" t="str">
            <v>D2021/01290</v>
          </cell>
          <cell r="F2383">
            <v>95</v>
          </cell>
          <cell r="L2383" t="str">
            <v>44316-27</v>
          </cell>
        </row>
        <row r="2384">
          <cell r="E2384" t="str">
            <v>D2021/00916</v>
          </cell>
          <cell r="F2384">
            <v>43</v>
          </cell>
          <cell r="L2384" t="str">
            <v>44316-27</v>
          </cell>
        </row>
        <row r="2385">
          <cell r="E2385" t="str">
            <v>D2021/00916</v>
          </cell>
          <cell r="F2385">
            <v>70</v>
          </cell>
          <cell r="L2385" t="str">
            <v>44316-15</v>
          </cell>
        </row>
        <row r="2386">
          <cell r="E2386" t="str">
            <v>D2021/00915</v>
          </cell>
          <cell r="F2386">
            <v>57</v>
          </cell>
          <cell r="L2386" t="str">
            <v>44316-13</v>
          </cell>
        </row>
        <row r="2387">
          <cell r="E2387" t="str">
            <v>D2021/00915</v>
          </cell>
          <cell r="F2387">
            <v>39</v>
          </cell>
          <cell r="L2387" t="str">
            <v>44316-13</v>
          </cell>
        </row>
        <row r="2388">
          <cell r="E2388" t="str">
            <v>D2021/01135</v>
          </cell>
          <cell r="F2388">
            <v>153</v>
          </cell>
          <cell r="L2388" t="str">
            <v>44316-13</v>
          </cell>
        </row>
        <row r="2389">
          <cell r="E2389" t="str">
            <v>D2021/01135</v>
          </cell>
          <cell r="F2389">
            <v>347</v>
          </cell>
          <cell r="L2389" t="str">
            <v>44319-27</v>
          </cell>
        </row>
        <row r="2390">
          <cell r="E2390" t="str">
            <v>D2021/01135</v>
          </cell>
          <cell r="F2390">
            <v>769</v>
          </cell>
          <cell r="L2390" t="str">
            <v>44319-27</v>
          </cell>
        </row>
        <row r="2391">
          <cell r="E2391" t="str">
            <v>D2021/01135</v>
          </cell>
          <cell r="F2391">
            <v>90</v>
          </cell>
          <cell r="L2391" t="str">
            <v>44319-13</v>
          </cell>
        </row>
        <row r="2392">
          <cell r="E2392" t="str">
            <v>D2021/01135</v>
          </cell>
          <cell r="F2392">
            <v>75</v>
          </cell>
          <cell r="L2392" t="str">
            <v>44319-13</v>
          </cell>
        </row>
        <row r="2393">
          <cell r="E2393" t="str">
            <v>D2021/01135</v>
          </cell>
          <cell r="F2393">
            <v>75</v>
          </cell>
          <cell r="L2393" t="str">
            <v>44319-13</v>
          </cell>
        </row>
        <row r="2394">
          <cell r="E2394" t="str">
            <v>D2021/01135</v>
          </cell>
          <cell r="F2394">
            <v>113</v>
          </cell>
          <cell r="L2394" t="str">
            <v>44319-13</v>
          </cell>
        </row>
        <row r="2395">
          <cell r="E2395" t="str">
            <v>D2021/01135</v>
          </cell>
          <cell r="F2395">
            <v>230</v>
          </cell>
          <cell r="L2395" t="str">
            <v>44319-13</v>
          </cell>
        </row>
        <row r="2396">
          <cell r="E2396" t="str">
            <v>D2021/01135</v>
          </cell>
          <cell r="F2396">
            <v>73</v>
          </cell>
          <cell r="L2396" t="str">
            <v>44319-13</v>
          </cell>
        </row>
        <row r="2397">
          <cell r="E2397" t="str">
            <v>D2021/01135</v>
          </cell>
          <cell r="F2397">
            <v>427</v>
          </cell>
          <cell r="L2397" t="str">
            <v>44319-13</v>
          </cell>
        </row>
        <row r="2398">
          <cell r="E2398" t="str">
            <v>D2021/01135</v>
          </cell>
          <cell r="F2398">
            <v>127</v>
          </cell>
          <cell r="L2398" t="str">
            <v>44320-27</v>
          </cell>
        </row>
        <row r="2399">
          <cell r="E2399" t="str">
            <v>D2021/01135</v>
          </cell>
          <cell r="F2399">
            <v>51</v>
          </cell>
          <cell r="L2399" t="str">
            <v>44320-27</v>
          </cell>
        </row>
        <row r="2400">
          <cell r="E2400" t="str">
            <v>D2021/01135</v>
          </cell>
          <cell r="F2400">
            <v>95</v>
          </cell>
          <cell r="L2400" t="str">
            <v>44320-27</v>
          </cell>
        </row>
        <row r="2401">
          <cell r="E2401" t="str">
            <v>D2021/01135</v>
          </cell>
          <cell r="F2401">
            <v>55</v>
          </cell>
          <cell r="L2401" t="str">
            <v>44320-27</v>
          </cell>
        </row>
        <row r="2402">
          <cell r="E2402" t="str">
            <v>D2021/00876</v>
          </cell>
          <cell r="F2402">
            <v>78</v>
          </cell>
          <cell r="L2402" t="str">
            <v>44320-27</v>
          </cell>
        </row>
        <row r="2403">
          <cell r="E2403" t="str">
            <v>D2021/00876</v>
          </cell>
          <cell r="F2403">
            <v>63</v>
          </cell>
          <cell r="L2403" t="str">
            <v>44320-13</v>
          </cell>
        </row>
        <row r="2404">
          <cell r="E2404" t="str">
            <v>D2021/00876</v>
          </cell>
          <cell r="F2404">
            <v>56</v>
          </cell>
          <cell r="L2404" t="str">
            <v>44320-13</v>
          </cell>
        </row>
        <row r="2405">
          <cell r="E2405" t="str">
            <v>D2021/00876</v>
          </cell>
          <cell r="F2405">
            <v>133</v>
          </cell>
          <cell r="L2405" t="str">
            <v>44320-13</v>
          </cell>
        </row>
        <row r="2406">
          <cell r="E2406" t="str">
            <v>D2021/00545</v>
          </cell>
          <cell r="F2406">
            <v>16</v>
          </cell>
          <cell r="L2406" t="str">
            <v>44320-13</v>
          </cell>
        </row>
        <row r="2407">
          <cell r="E2407" t="str">
            <v>D2021/00545</v>
          </cell>
          <cell r="F2407">
            <v>65</v>
          </cell>
          <cell r="L2407" t="str">
            <v>44321-27</v>
          </cell>
        </row>
        <row r="2408">
          <cell r="E2408" t="str">
            <v>D2021/00545</v>
          </cell>
          <cell r="F2408">
            <v>32</v>
          </cell>
          <cell r="L2408" t="str">
            <v>44321-27</v>
          </cell>
        </row>
        <row r="2409">
          <cell r="E2409" t="str">
            <v>D2021/00545</v>
          </cell>
          <cell r="F2409">
            <v>20</v>
          </cell>
          <cell r="L2409" t="str">
            <v>44321-27</v>
          </cell>
        </row>
        <row r="2410">
          <cell r="E2410" t="str">
            <v>D2021/00545</v>
          </cell>
          <cell r="F2410">
            <v>35</v>
          </cell>
          <cell r="L2410" t="str">
            <v>44321-27</v>
          </cell>
        </row>
        <row r="2411">
          <cell r="E2411" t="str">
            <v>D2021/00545</v>
          </cell>
          <cell r="F2411">
            <v>15</v>
          </cell>
          <cell r="L2411" t="str">
            <v>44321-27</v>
          </cell>
        </row>
        <row r="2412">
          <cell r="E2412" t="str">
            <v>D2021/00545</v>
          </cell>
          <cell r="F2412">
            <v>7</v>
          </cell>
          <cell r="L2412" t="str">
            <v>44321-13</v>
          </cell>
        </row>
        <row r="2413">
          <cell r="E2413" t="str">
            <v>D2021/00545</v>
          </cell>
          <cell r="F2413">
            <v>5</v>
          </cell>
          <cell r="L2413" t="str">
            <v>44321-13</v>
          </cell>
        </row>
        <row r="2414">
          <cell r="E2414" t="str">
            <v>D2021/00545</v>
          </cell>
          <cell r="F2414">
            <v>8</v>
          </cell>
          <cell r="L2414" t="str">
            <v>44321-13</v>
          </cell>
        </row>
        <row r="2415">
          <cell r="E2415" t="str">
            <v>D2021/00545</v>
          </cell>
          <cell r="F2415">
            <v>38</v>
          </cell>
          <cell r="L2415" t="str">
            <v>44321-13</v>
          </cell>
        </row>
        <row r="2416">
          <cell r="E2416" t="str">
            <v>D2021/00545</v>
          </cell>
          <cell r="F2416">
            <v>4</v>
          </cell>
          <cell r="L2416" t="str">
            <v>44321-13</v>
          </cell>
        </row>
        <row r="2417">
          <cell r="E2417" t="str">
            <v>D2021/00545</v>
          </cell>
          <cell r="F2417">
            <v>11</v>
          </cell>
          <cell r="L2417" t="str">
            <v>44321-13</v>
          </cell>
        </row>
        <row r="2418">
          <cell r="E2418" t="str">
            <v>D2021/00545</v>
          </cell>
          <cell r="F2418">
            <v>8</v>
          </cell>
          <cell r="L2418" t="str">
            <v>44321-13</v>
          </cell>
        </row>
        <row r="2419">
          <cell r="E2419" t="str">
            <v>D2021/00545</v>
          </cell>
          <cell r="F2419">
            <v>65</v>
          </cell>
          <cell r="L2419" t="str">
            <v>44322-27</v>
          </cell>
        </row>
        <row r="2420">
          <cell r="E2420" t="str">
            <v>D2021/00545</v>
          </cell>
          <cell r="F2420">
            <v>27</v>
          </cell>
          <cell r="L2420" t="str">
            <v>44322-27</v>
          </cell>
        </row>
        <row r="2421">
          <cell r="E2421" t="str">
            <v>D2021/00545</v>
          </cell>
          <cell r="F2421">
            <v>38</v>
          </cell>
          <cell r="L2421" t="str">
            <v>44322-27</v>
          </cell>
        </row>
        <row r="2422">
          <cell r="E2422" t="str">
            <v>D2021/00545</v>
          </cell>
          <cell r="F2422">
            <v>2</v>
          </cell>
          <cell r="L2422" t="str">
            <v>44322-27</v>
          </cell>
        </row>
        <row r="2423">
          <cell r="E2423" t="str">
            <v>D2021/00545</v>
          </cell>
          <cell r="F2423">
            <v>23</v>
          </cell>
          <cell r="L2423" t="str">
            <v>44322-27</v>
          </cell>
        </row>
        <row r="2424">
          <cell r="E2424" t="str">
            <v>D2021/00545</v>
          </cell>
          <cell r="F2424">
            <v>141</v>
          </cell>
          <cell r="L2424" t="str">
            <v>44322-27</v>
          </cell>
        </row>
        <row r="2425">
          <cell r="E2425" t="str">
            <v>D2021/00545</v>
          </cell>
          <cell r="F2425">
            <v>6</v>
          </cell>
          <cell r="L2425" t="str">
            <v>44322-13</v>
          </cell>
        </row>
        <row r="2426">
          <cell r="E2426" t="str">
            <v>D2021/00545</v>
          </cell>
          <cell r="F2426">
            <v>7</v>
          </cell>
          <cell r="L2426" t="str">
            <v>44322-13</v>
          </cell>
        </row>
        <row r="2427">
          <cell r="E2427" t="str">
            <v>D2021/00545</v>
          </cell>
          <cell r="F2427">
            <v>15</v>
          </cell>
          <cell r="L2427" t="str">
            <v>44322-13</v>
          </cell>
        </row>
        <row r="2428">
          <cell r="E2428" t="str">
            <v>D2021/00545</v>
          </cell>
          <cell r="F2428">
            <v>12</v>
          </cell>
          <cell r="L2428" t="str">
            <v>44322-13</v>
          </cell>
        </row>
        <row r="2429">
          <cell r="E2429" t="str">
            <v>D2021/00545</v>
          </cell>
          <cell r="F2429">
            <v>7</v>
          </cell>
          <cell r="L2429" t="str">
            <v>44322-13</v>
          </cell>
        </row>
        <row r="2430">
          <cell r="E2430" t="str">
            <v>D2021/00546</v>
          </cell>
          <cell r="F2430">
            <v>6</v>
          </cell>
          <cell r="L2430" t="str">
            <v>44322-13</v>
          </cell>
        </row>
        <row r="2431">
          <cell r="E2431" t="str">
            <v>D2021/00546</v>
          </cell>
          <cell r="F2431">
            <v>11</v>
          </cell>
          <cell r="L2431" t="str">
            <v>44322-13</v>
          </cell>
        </row>
        <row r="2432">
          <cell r="E2432" t="str">
            <v>D2021/00546</v>
          </cell>
          <cell r="F2432">
            <v>45</v>
          </cell>
          <cell r="L2432" t="str">
            <v>44323-27</v>
          </cell>
        </row>
        <row r="2433">
          <cell r="E2433" t="str">
            <v>D2021/00546</v>
          </cell>
          <cell r="F2433">
            <v>8</v>
          </cell>
          <cell r="L2433" t="str">
            <v>44323-27</v>
          </cell>
        </row>
        <row r="2434">
          <cell r="E2434" t="str">
            <v>D2021/00546</v>
          </cell>
          <cell r="F2434">
            <v>33</v>
          </cell>
          <cell r="L2434" t="str">
            <v>44323-27</v>
          </cell>
        </row>
        <row r="2435">
          <cell r="E2435" t="str">
            <v>D2021/00546</v>
          </cell>
          <cell r="F2435">
            <v>69</v>
          </cell>
          <cell r="L2435" t="str">
            <v>44323-27</v>
          </cell>
        </row>
        <row r="2436">
          <cell r="E2436" t="str">
            <v>D2021/00546</v>
          </cell>
          <cell r="F2436">
            <v>22</v>
          </cell>
          <cell r="L2436" t="str">
            <v>44323-27</v>
          </cell>
        </row>
        <row r="2437">
          <cell r="E2437" t="str">
            <v>D2021/00546</v>
          </cell>
          <cell r="F2437">
            <v>8</v>
          </cell>
          <cell r="L2437" t="str">
            <v>44323-13</v>
          </cell>
        </row>
        <row r="2438">
          <cell r="E2438" t="str">
            <v>D2021/00546</v>
          </cell>
          <cell r="F2438">
            <v>11</v>
          </cell>
          <cell r="L2438" t="str">
            <v>44323-13</v>
          </cell>
        </row>
        <row r="2439">
          <cell r="E2439" t="str">
            <v>D2021/00546</v>
          </cell>
          <cell r="F2439">
            <v>70</v>
          </cell>
          <cell r="L2439" t="str">
            <v>44323-13</v>
          </cell>
        </row>
        <row r="2440">
          <cell r="E2440" t="str">
            <v>D2021/00546</v>
          </cell>
          <cell r="F2440">
            <v>11</v>
          </cell>
          <cell r="L2440" t="str">
            <v>44323-13</v>
          </cell>
        </row>
        <row r="2441">
          <cell r="E2441" t="str">
            <v>D2021/00546</v>
          </cell>
          <cell r="F2441">
            <v>9</v>
          </cell>
          <cell r="L2441" t="str">
            <v>44323-13</v>
          </cell>
        </row>
        <row r="2442">
          <cell r="E2442" t="str">
            <v>D2021/00546</v>
          </cell>
          <cell r="F2442">
            <v>6</v>
          </cell>
          <cell r="L2442" t="str">
            <v>44323-13</v>
          </cell>
        </row>
        <row r="2443">
          <cell r="E2443" t="str">
            <v>D2021/00546</v>
          </cell>
          <cell r="F2443">
            <v>4</v>
          </cell>
          <cell r="L2443" t="str">
            <v>44323-13</v>
          </cell>
        </row>
        <row r="2444">
          <cell r="E2444" t="str">
            <v>D2021/00546</v>
          </cell>
          <cell r="F2444">
            <v>48</v>
          </cell>
          <cell r="L2444" t="str">
            <v>44326-27</v>
          </cell>
        </row>
        <row r="2445">
          <cell r="E2445" t="str">
            <v>D2021/00546</v>
          </cell>
          <cell r="F2445">
            <v>24</v>
          </cell>
          <cell r="L2445" t="str">
            <v>44326-27</v>
          </cell>
        </row>
        <row r="2446">
          <cell r="E2446" t="str">
            <v>D2021/00546</v>
          </cell>
          <cell r="F2446">
            <v>53</v>
          </cell>
          <cell r="L2446" t="str">
            <v>44326-27</v>
          </cell>
        </row>
        <row r="2447">
          <cell r="E2447" t="str">
            <v>D2021/00546</v>
          </cell>
          <cell r="F2447">
            <v>11</v>
          </cell>
          <cell r="L2447" t="str">
            <v>44326-27</v>
          </cell>
        </row>
        <row r="2448">
          <cell r="E2448" t="str">
            <v>D2021/00546</v>
          </cell>
          <cell r="F2448">
            <v>30</v>
          </cell>
          <cell r="L2448" t="str">
            <v>44326-27</v>
          </cell>
        </row>
        <row r="2449">
          <cell r="E2449" t="str">
            <v>D2021/00546</v>
          </cell>
          <cell r="F2449">
            <v>5</v>
          </cell>
          <cell r="L2449" t="str">
            <v>44326-27</v>
          </cell>
        </row>
        <row r="2450">
          <cell r="E2450" t="str">
            <v>D2021/00546</v>
          </cell>
          <cell r="F2450">
            <v>8</v>
          </cell>
          <cell r="L2450" t="str">
            <v>44326-13</v>
          </cell>
        </row>
        <row r="2451">
          <cell r="E2451" t="str">
            <v>D2021/00546</v>
          </cell>
          <cell r="F2451">
            <v>35</v>
          </cell>
          <cell r="L2451" t="str">
            <v>44326-13</v>
          </cell>
        </row>
        <row r="2452">
          <cell r="E2452" t="str">
            <v>D2021/00546</v>
          </cell>
          <cell r="F2452">
            <v>65</v>
          </cell>
          <cell r="L2452" t="str">
            <v>44326-13</v>
          </cell>
        </row>
        <row r="2453">
          <cell r="E2453" t="str">
            <v>D2021/00546</v>
          </cell>
          <cell r="F2453">
            <v>80</v>
          </cell>
          <cell r="L2453" t="str">
            <v>44327-27</v>
          </cell>
        </row>
        <row r="2454">
          <cell r="E2454" t="str">
            <v>D2021/00546</v>
          </cell>
          <cell r="F2454">
            <v>42</v>
          </cell>
          <cell r="L2454" t="str">
            <v>44327-27</v>
          </cell>
        </row>
        <row r="2455">
          <cell r="E2455" t="str">
            <v>D2021/00546</v>
          </cell>
          <cell r="F2455">
            <v>72</v>
          </cell>
          <cell r="L2455" t="str">
            <v>44327-27</v>
          </cell>
        </row>
        <row r="2456">
          <cell r="E2456" t="str">
            <v>D2021/00546</v>
          </cell>
          <cell r="F2456">
            <v>18</v>
          </cell>
          <cell r="L2456" t="str">
            <v>44327-27</v>
          </cell>
        </row>
        <row r="2457">
          <cell r="E2457" t="str">
            <v>D2021/00546</v>
          </cell>
          <cell r="F2457">
            <v>12</v>
          </cell>
          <cell r="L2457" t="str">
            <v>44327-13</v>
          </cell>
        </row>
        <row r="2458">
          <cell r="E2458" t="str">
            <v>D2021/00546</v>
          </cell>
          <cell r="F2458">
            <v>19</v>
          </cell>
          <cell r="L2458" t="str">
            <v>44327-13</v>
          </cell>
        </row>
        <row r="2459">
          <cell r="E2459" t="str">
            <v>D2021/00546</v>
          </cell>
          <cell r="F2459">
            <v>26</v>
          </cell>
          <cell r="L2459" t="str">
            <v>44327-13</v>
          </cell>
        </row>
        <row r="2460">
          <cell r="E2460" t="str">
            <v>D2021/00546</v>
          </cell>
          <cell r="F2460">
            <v>6</v>
          </cell>
          <cell r="L2460" t="str">
            <v>44327-13</v>
          </cell>
        </row>
        <row r="2461">
          <cell r="E2461" t="str">
            <v>D2021/00546</v>
          </cell>
          <cell r="F2461">
            <v>14</v>
          </cell>
          <cell r="L2461" t="str">
            <v>44327-13</v>
          </cell>
        </row>
        <row r="2462">
          <cell r="E2462" t="str">
            <v>D2021/00546</v>
          </cell>
          <cell r="F2462">
            <v>71</v>
          </cell>
          <cell r="L2462" t="str">
            <v>44328-27</v>
          </cell>
        </row>
        <row r="2463">
          <cell r="E2463" t="str">
            <v>D2021/00546</v>
          </cell>
          <cell r="F2463">
            <v>59</v>
          </cell>
          <cell r="L2463" t="str">
            <v>44328-27</v>
          </cell>
        </row>
        <row r="2464">
          <cell r="E2464" t="str">
            <v>D2021/00546</v>
          </cell>
          <cell r="F2464">
            <v>55</v>
          </cell>
          <cell r="L2464" t="str">
            <v>44328-27</v>
          </cell>
        </row>
        <row r="2465">
          <cell r="E2465" t="str">
            <v>D2021/00546</v>
          </cell>
          <cell r="F2465">
            <v>51</v>
          </cell>
          <cell r="L2465" t="str">
            <v>44328-27</v>
          </cell>
        </row>
        <row r="2466">
          <cell r="E2466" t="str">
            <v>D2021/00546</v>
          </cell>
          <cell r="F2466">
            <v>7</v>
          </cell>
          <cell r="L2466" t="str">
            <v>44328-27</v>
          </cell>
        </row>
        <row r="2467">
          <cell r="E2467" t="str">
            <v>D2021/00546</v>
          </cell>
          <cell r="F2467">
            <v>33</v>
          </cell>
          <cell r="L2467" t="str">
            <v>44328-13</v>
          </cell>
        </row>
        <row r="2468">
          <cell r="E2468" t="str">
            <v>D2021/00785</v>
          </cell>
          <cell r="F2468">
            <v>471</v>
          </cell>
          <cell r="L2468" t="str">
            <v>44328-13</v>
          </cell>
        </row>
        <row r="2469">
          <cell r="E2469" t="str">
            <v>D2021/00785</v>
          </cell>
          <cell r="F2469">
            <v>46</v>
          </cell>
          <cell r="L2469" t="str">
            <v>44328-13</v>
          </cell>
        </row>
        <row r="2470">
          <cell r="E2470" t="str">
            <v>D2021/00785</v>
          </cell>
          <cell r="F2470">
            <v>211</v>
          </cell>
          <cell r="L2470" t="str">
            <v>44328-13</v>
          </cell>
        </row>
        <row r="2471">
          <cell r="E2471" t="str">
            <v>D2021/00785</v>
          </cell>
          <cell r="F2471">
            <v>477</v>
          </cell>
          <cell r="L2471" t="str">
            <v>44329-27</v>
          </cell>
        </row>
        <row r="2472">
          <cell r="E2472" t="str">
            <v>D2021/00785</v>
          </cell>
          <cell r="F2472">
            <v>264</v>
          </cell>
          <cell r="L2472" t="str">
            <v>44329-27</v>
          </cell>
        </row>
        <row r="2473">
          <cell r="E2473" t="str">
            <v>D2021/00785</v>
          </cell>
          <cell r="F2473">
            <v>412</v>
          </cell>
          <cell r="L2473" t="str">
            <v>44329-27</v>
          </cell>
        </row>
        <row r="2474">
          <cell r="E2474" t="str">
            <v>D2021/00785</v>
          </cell>
          <cell r="F2474">
            <v>52</v>
          </cell>
          <cell r="L2474" t="str">
            <v>44329-27</v>
          </cell>
        </row>
        <row r="2475">
          <cell r="E2475" t="str">
            <v>D2021/00785</v>
          </cell>
          <cell r="F2475">
            <v>246</v>
          </cell>
          <cell r="L2475" t="str">
            <v>44329-13</v>
          </cell>
        </row>
        <row r="2476">
          <cell r="E2476" t="str">
            <v>D2021/00785</v>
          </cell>
          <cell r="F2476">
            <v>9</v>
          </cell>
          <cell r="L2476" t="str">
            <v>44329-13</v>
          </cell>
        </row>
        <row r="2477">
          <cell r="E2477" t="str">
            <v>D2021/00785</v>
          </cell>
          <cell r="F2477">
            <v>227</v>
          </cell>
          <cell r="L2477" t="str">
            <v>44329-13</v>
          </cell>
        </row>
        <row r="2478">
          <cell r="E2478" t="str">
            <v>D2021/00785</v>
          </cell>
          <cell r="F2478">
            <v>110</v>
          </cell>
          <cell r="L2478" t="str">
            <v>44329-13</v>
          </cell>
        </row>
        <row r="2479">
          <cell r="E2479" t="str">
            <v>D2021/00785</v>
          </cell>
          <cell r="F2479">
            <v>7</v>
          </cell>
          <cell r="L2479" t="str">
            <v>44329-13</v>
          </cell>
        </row>
        <row r="2480">
          <cell r="E2480" t="str">
            <v>D2021/00785</v>
          </cell>
          <cell r="F2480">
            <v>24</v>
          </cell>
          <cell r="L2480" t="str">
            <v>44329-13</v>
          </cell>
        </row>
        <row r="2481">
          <cell r="E2481" t="str">
            <v>D2021/00785</v>
          </cell>
          <cell r="F2481">
            <v>186</v>
          </cell>
          <cell r="L2481" t="str">
            <v>44330-27</v>
          </cell>
        </row>
        <row r="2482">
          <cell r="E2482" t="str">
            <v>D2021/00785</v>
          </cell>
          <cell r="F2482">
            <v>23</v>
          </cell>
          <cell r="L2482" t="str">
            <v>44330-27</v>
          </cell>
        </row>
        <row r="2483">
          <cell r="E2483" t="str">
            <v>D2021/00785</v>
          </cell>
          <cell r="F2483">
            <v>50</v>
          </cell>
          <cell r="L2483" t="str">
            <v>44330-27</v>
          </cell>
        </row>
        <row r="2484">
          <cell r="E2484" t="str">
            <v>D2021/00785</v>
          </cell>
          <cell r="F2484">
            <v>105</v>
          </cell>
          <cell r="L2484" t="str">
            <v>44330-27</v>
          </cell>
        </row>
        <row r="2485">
          <cell r="E2485" t="str">
            <v>D2021/00785</v>
          </cell>
          <cell r="F2485">
            <v>313</v>
          </cell>
          <cell r="L2485" t="str">
            <v>44330-13</v>
          </cell>
        </row>
        <row r="2486">
          <cell r="E2486" t="str">
            <v>D2021/00785</v>
          </cell>
          <cell r="F2486">
            <v>173</v>
          </cell>
          <cell r="L2486" t="str">
            <v>44330-13</v>
          </cell>
        </row>
        <row r="2487">
          <cell r="E2487" t="str">
            <v>D2021/00785</v>
          </cell>
          <cell r="F2487">
            <v>95</v>
          </cell>
          <cell r="L2487" t="str">
            <v>44330-13</v>
          </cell>
        </row>
        <row r="2488">
          <cell r="E2488" t="str">
            <v>D2021/00785</v>
          </cell>
          <cell r="F2488">
            <v>159</v>
          </cell>
          <cell r="L2488" t="str">
            <v>44330-13</v>
          </cell>
        </row>
        <row r="2489">
          <cell r="E2489" t="str">
            <v>D2021/00785</v>
          </cell>
          <cell r="F2489">
            <v>20</v>
          </cell>
          <cell r="L2489" t="str">
            <v>44330-13</v>
          </cell>
        </row>
        <row r="2490">
          <cell r="E2490" t="str">
            <v>D2021/00785</v>
          </cell>
          <cell r="F2490">
            <v>174</v>
          </cell>
          <cell r="L2490" t="str">
            <v>44333-27</v>
          </cell>
        </row>
        <row r="2491">
          <cell r="E2491" t="str">
            <v>D2021/00785</v>
          </cell>
          <cell r="F2491">
            <v>152</v>
          </cell>
          <cell r="L2491" t="str">
            <v>44333-27</v>
          </cell>
        </row>
        <row r="2492">
          <cell r="E2492" t="str">
            <v>D2021/00785</v>
          </cell>
          <cell r="F2492">
            <v>412</v>
          </cell>
          <cell r="L2492" t="str">
            <v>44333-27</v>
          </cell>
        </row>
        <row r="2493">
          <cell r="E2493" t="str">
            <v>D2021/00785</v>
          </cell>
          <cell r="F2493">
            <v>47</v>
          </cell>
          <cell r="L2493" t="str">
            <v>44333-27</v>
          </cell>
        </row>
        <row r="2494">
          <cell r="E2494" t="str">
            <v>D2021/00785</v>
          </cell>
          <cell r="F2494">
            <v>130</v>
          </cell>
          <cell r="L2494" t="str">
            <v>44333-13</v>
          </cell>
        </row>
        <row r="2495">
          <cell r="E2495" t="str">
            <v>D2021/00785</v>
          </cell>
          <cell r="F2495">
            <v>24</v>
          </cell>
          <cell r="L2495" t="str">
            <v>44333-13</v>
          </cell>
        </row>
        <row r="2496">
          <cell r="E2496" t="str">
            <v>D2021/00785</v>
          </cell>
          <cell r="F2496">
            <v>187</v>
          </cell>
          <cell r="L2496" t="str">
            <v>44333-13</v>
          </cell>
        </row>
        <row r="2497">
          <cell r="E2497" t="str">
            <v>D2021/00785</v>
          </cell>
          <cell r="F2497">
            <v>116</v>
          </cell>
          <cell r="L2497" t="str">
            <v>44333-13</v>
          </cell>
        </row>
        <row r="2498">
          <cell r="E2498" t="str">
            <v>D2021/00785</v>
          </cell>
          <cell r="F2498">
            <v>19</v>
          </cell>
          <cell r="L2498" t="str">
            <v>44333-13</v>
          </cell>
        </row>
        <row r="2499">
          <cell r="E2499" t="str">
            <v>D2021/00785</v>
          </cell>
          <cell r="F2499">
            <v>70</v>
          </cell>
          <cell r="L2499" t="str">
            <v>44333-13</v>
          </cell>
        </row>
        <row r="2500">
          <cell r="E2500" t="str">
            <v>D2021/00785</v>
          </cell>
          <cell r="F2500">
            <v>23</v>
          </cell>
          <cell r="L2500" t="str">
            <v>44333-13</v>
          </cell>
        </row>
        <row r="2501">
          <cell r="E2501" t="str">
            <v>D2021/00785</v>
          </cell>
          <cell r="F2501">
            <v>11</v>
          </cell>
          <cell r="L2501" t="str">
            <v>44333-13</v>
          </cell>
        </row>
        <row r="2502">
          <cell r="E2502" t="str">
            <v>D2021/00785</v>
          </cell>
          <cell r="F2502">
            <v>85</v>
          </cell>
          <cell r="L2502" t="str">
            <v>44334-27</v>
          </cell>
        </row>
        <row r="2503">
          <cell r="E2503" t="str">
            <v>D2021/00785</v>
          </cell>
          <cell r="F2503">
            <v>90</v>
          </cell>
          <cell r="L2503" t="str">
            <v>44334-27</v>
          </cell>
        </row>
        <row r="2504">
          <cell r="E2504" t="str">
            <v>D2021/00785</v>
          </cell>
          <cell r="F2504">
            <v>146</v>
          </cell>
          <cell r="L2504" t="str">
            <v>44334-27</v>
          </cell>
        </row>
        <row r="2505">
          <cell r="E2505" t="str">
            <v>D2021/00785</v>
          </cell>
          <cell r="F2505">
            <v>199</v>
          </cell>
          <cell r="L2505" t="str">
            <v>44334-27</v>
          </cell>
        </row>
        <row r="2506">
          <cell r="E2506" t="str">
            <v>D2021/00785</v>
          </cell>
          <cell r="F2506">
            <v>96</v>
          </cell>
          <cell r="L2506" t="str">
            <v>44334-27</v>
          </cell>
        </row>
        <row r="2507">
          <cell r="E2507" t="str">
            <v>D2021/00785</v>
          </cell>
          <cell r="F2507">
            <v>95</v>
          </cell>
          <cell r="L2507" t="str">
            <v>44334-27</v>
          </cell>
        </row>
        <row r="2508">
          <cell r="E2508" t="str">
            <v>D2021/00785</v>
          </cell>
          <cell r="F2508">
            <v>32</v>
          </cell>
          <cell r="L2508" t="str">
            <v>44334-27</v>
          </cell>
        </row>
        <row r="2509">
          <cell r="E2509" t="str">
            <v>D2021/00785</v>
          </cell>
          <cell r="F2509">
            <v>13</v>
          </cell>
          <cell r="L2509" t="str">
            <v>44334-27</v>
          </cell>
        </row>
        <row r="2510">
          <cell r="E2510" t="str">
            <v>D2021/00785</v>
          </cell>
          <cell r="F2510">
            <v>117</v>
          </cell>
          <cell r="L2510" t="str">
            <v>44334-13</v>
          </cell>
        </row>
        <row r="2511">
          <cell r="E2511" t="str">
            <v>D2021/00785</v>
          </cell>
          <cell r="F2511">
            <v>128</v>
          </cell>
          <cell r="L2511" t="str">
            <v>44334-13</v>
          </cell>
        </row>
        <row r="2512">
          <cell r="E2512" t="str">
            <v>D2021/01153</v>
          </cell>
          <cell r="F2512">
            <v>185</v>
          </cell>
          <cell r="L2512" t="str">
            <v>44334-13</v>
          </cell>
        </row>
        <row r="2513">
          <cell r="E2513" t="str">
            <v>D2021/01153</v>
          </cell>
          <cell r="F2513">
            <v>140</v>
          </cell>
          <cell r="L2513" t="str">
            <v>44334-13</v>
          </cell>
        </row>
        <row r="2514">
          <cell r="E2514" t="str">
            <v>D2021/01153</v>
          </cell>
          <cell r="F2514">
            <v>152</v>
          </cell>
          <cell r="L2514" t="str">
            <v>44334-13</v>
          </cell>
        </row>
        <row r="2515">
          <cell r="E2515" t="str">
            <v>D2021/01153</v>
          </cell>
          <cell r="F2515">
            <v>46</v>
          </cell>
          <cell r="L2515" t="str">
            <v>44334-13</v>
          </cell>
        </row>
        <row r="2516">
          <cell r="E2516" t="str">
            <v>D2021/00963</v>
          </cell>
          <cell r="F2516">
            <v>70</v>
          </cell>
          <cell r="L2516" t="str">
            <v>44334-13</v>
          </cell>
        </row>
        <row r="2517">
          <cell r="E2517" t="str">
            <v>D2021/00963</v>
          </cell>
          <cell r="F2517">
            <v>61</v>
          </cell>
          <cell r="L2517" t="str">
            <v>44335-27</v>
          </cell>
        </row>
        <row r="2518">
          <cell r="E2518" t="str">
            <v>D2021/00963</v>
          </cell>
          <cell r="F2518">
            <v>11</v>
          </cell>
          <cell r="L2518" t="str">
            <v>44335-27</v>
          </cell>
        </row>
        <row r="2519">
          <cell r="E2519" t="str">
            <v>D2021/00963</v>
          </cell>
          <cell r="F2519">
            <v>94</v>
          </cell>
          <cell r="L2519" t="str">
            <v>44335-27</v>
          </cell>
        </row>
        <row r="2520">
          <cell r="E2520" t="str">
            <v>D2021/00963</v>
          </cell>
          <cell r="F2520">
            <v>26</v>
          </cell>
          <cell r="L2520" t="str">
            <v>44335-27</v>
          </cell>
        </row>
        <row r="2521">
          <cell r="E2521" t="str">
            <v>D2021/00963</v>
          </cell>
          <cell r="F2521">
            <v>88</v>
          </cell>
          <cell r="L2521" t="str">
            <v>44335-27</v>
          </cell>
        </row>
        <row r="2522">
          <cell r="E2522" t="str">
            <v>D2021/00963</v>
          </cell>
          <cell r="F2522">
            <v>23</v>
          </cell>
          <cell r="L2522" t="str">
            <v>44335-13</v>
          </cell>
        </row>
        <row r="2523">
          <cell r="E2523" t="str">
            <v>D2021/00963</v>
          </cell>
          <cell r="F2523">
            <v>53</v>
          </cell>
          <cell r="L2523" t="str">
            <v>44335-13</v>
          </cell>
        </row>
        <row r="2524">
          <cell r="E2524" t="str">
            <v>D2021/00963</v>
          </cell>
          <cell r="F2524">
            <v>11</v>
          </cell>
          <cell r="L2524" t="str">
            <v>44335-13</v>
          </cell>
        </row>
        <row r="2525">
          <cell r="E2525" t="str">
            <v>D2021/00963</v>
          </cell>
          <cell r="F2525">
            <v>14</v>
          </cell>
          <cell r="L2525" t="str">
            <v>44335-13</v>
          </cell>
        </row>
        <row r="2526">
          <cell r="E2526" t="str">
            <v>D2021/00963</v>
          </cell>
          <cell r="F2526">
            <v>2</v>
          </cell>
          <cell r="L2526" t="str">
            <v>44335-13</v>
          </cell>
        </row>
        <row r="2527">
          <cell r="E2527" t="str">
            <v>D2021/00963</v>
          </cell>
          <cell r="F2527">
            <v>71</v>
          </cell>
          <cell r="L2527" t="str">
            <v>44336-35</v>
          </cell>
        </row>
        <row r="2528">
          <cell r="E2528" t="str">
            <v>D2021/00963</v>
          </cell>
          <cell r="F2528">
            <v>61</v>
          </cell>
          <cell r="L2528" t="str">
            <v>44336-35</v>
          </cell>
        </row>
        <row r="2529">
          <cell r="E2529" t="str">
            <v>D2021/00963</v>
          </cell>
          <cell r="F2529">
            <v>36</v>
          </cell>
          <cell r="L2529" t="str">
            <v>44336-35</v>
          </cell>
        </row>
        <row r="2530">
          <cell r="E2530" t="str">
            <v>D2021/01288</v>
          </cell>
          <cell r="F2530">
            <v>136</v>
          </cell>
          <cell r="L2530" t="str">
            <v>44336-35</v>
          </cell>
        </row>
        <row r="2531">
          <cell r="E2531" t="str">
            <v>D2021/01288</v>
          </cell>
          <cell r="F2531">
            <v>27</v>
          </cell>
          <cell r="L2531" t="str">
            <v>44336-35</v>
          </cell>
        </row>
        <row r="2532">
          <cell r="E2532" t="str">
            <v>D2021/01288</v>
          </cell>
          <cell r="F2532">
            <v>17</v>
          </cell>
          <cell r="L2532" t="str">
            <v>44336-13</v>
          </cell>
        </row>
        <row r="2533">
          <cell r="E2533" t="str">
            <v>D2021/01288</v>
          </cell>
          <cell r="F2533">
            <v>5</v>
          </cell>
          <cell r="L2533" t="str">
            <v>44336-13</v>
          </cell>
        </row>
        <row r="2534">
          <cell r="E2534" t="str">
            <v>D2021/01288</v>
          </cell>
          <cell r="F2534">
            <v>10</v>
          </cell>
          <cell r="L2534" t="str">
            <v>44336-13</v>
          </cell>
        </row>
        <row r="2535">
          <cell r="E2535" t="str">
            <v>D2021/01133</v>
          </cell>
          <cell r="F2535">
            <v>11</v>
          </cell>
          <cell r="L2535" t="str">
            <v>44336-13</v>
          </cell>
        </row>
        <row r="2536">
          <cell r="E2536" t="str">
            <v>D2021/01133</v>
          </cell>
          <cell r="F2536">
            <v>198</v>
          </cell>
          <cell r="L2536" t="str">
            <v>44337-27</v>
          </cell>
        </row>
        <row r="2537">
          <cell r="E2537" t="str">
            <v>D2021/01133</v>
          </cell>
          <cell r="F2537">
            <v>60</v>
          </cell>
          <cell r="L2537" t="str">
            <v>44337-27</v>
          </cell>
        </row>
        <row r="2538">
          <cell r="E2538" t="str">
            <v>D2021/01133</v>
          </cell>
          <cell r="F2538">
            <v>73</v>
          </cell>
          <cell r="L2538" t="str">
            <v>44337-27</v>
          </cell>
        </row>
        <row r="2539">
          <cell r="E2539" t="str">
            <v>D2021/01133</v>
          </cell>
          <cell r="F2539">
            <v>12</v>
          </cell>
          <cell r="L2539" t="str">
            <v>44337-27</v>
          </cell>
        </row>
        <row r="2540">
          <cell r="E2540" t="str">
            <v>D2021/01136</v>
          </cell>
          <cell r="F2540">
            <v>79</v>
          </cell>
          <cell r="L2540" t="str">
            <v>44337-13</v>
          </cell>
        </row>
        <row r="2541">
          <cell r="E2541" t="str">
            <v>D2021/01133</v>
          </cell>
          <cell r="F2541">
            <v>53</v>
          </cell>
          <cell r="L2541" t="str">
            <v>44337-13</v>
          </cell>
        </row>
        <row r="2542">
          <cell r="E2542" t="str">
            <v>D2021/01133</v>
          </cell>
          <cell r="F2542">
            <v>60</v>
          </cell>
          <cell r="L2542" t="str">
            <v>44337-13</v>
          </cell>
        </row>
        <row r="2543">
          <cell r="E2543" t="str">
            <v>D2021/01133</v>
          </cell>
          <cell r="F2543">
            <v>38</v>
          </cell>
          <cell r="L2543" t="str">
            <v>44337-13</v>
          </cell>
        </row>
        <row r="2544">
          <cell r="E2544" t="str">
            <v>D2021/01136</v>
          </cell>
          <cell r="F2544">
            <v>323</v>
          </cell>
          <cell r="L2544" t="str">
            <v>44340-27</v>
          </cell>
        </row>
        <row r="2545">
          <cell r="E2545" t="str">
            <v>D2021/01136</v>
          </cell>
          <cell r="F2545">
            <v>24</v>
          </cell>
          <cell r="L2545" t="str">
            <v>44340-27</v>
          </cell>
        </row>
        <row r="2546">
          <cell r="E2546" t="str">
            <v>D2021/01136</v>
          </cell>
          <cell r="F2546">
            <v>55</v>
          </cell>
          <cell r="L2546" t="str">
            <v>44340-27</v>
          </cell>
        </row>
        <row r="2547">
          <cell r="E2547" t="str">
            <v>D2021/01136</v>
          </cell>
          <cell r="F2547">
            <v>123</v>
          </cell>
          <cell r="L2547" t="str">
            <v>44340-27</v>
          </cell>
        </row>
        <row r="2548">
          <cell r="E2548" t="str">
            <v>D2021/01136</v>
          </cell>
          <cell r="F2548">
            <v>4</v>
          </cell>
          <cell r="L2548" t="str">
            <v>44340-27</v>
          </cell>
        </row>
        <row r="2549">
          <cell r="E2549" t="str">
            <v>D2021/01136</v>
          </cell>
          <cell r="F2549">
            <v>8</v>
          </cell>
          <cell r="L2549" t="str">
            <v>44340-13</v>
          </cell>
        </row>
        <row r="2550">
          <cell r="E2550" t="str">
            <v>D2021/01136</v>
          </cell>
          <cell r="F2550">
            <v>10</v>
          </cell>
          <cell r="L2550" t="str">
            <v>44340-13</v>
          </cell>
        </row>
        <row r="2551">
          <cell r="E2551" t="str">
            <v>D2021/01136</v>
          </cell>
          <cell r="F2551">
            <v>12</v>
          </cell>
          <cell r="L2551" t="str">
            <v>44340-13</v>
          </cell>
        </row>
        <row r="2552">
          <cell r="E2552" t="str">
            <v>D2021/01136</v>
          </cell>
          <cell r="F2552">
            <v>54</v>
          </cell>
          <cell r="L2552" t="str">
            <v>44340-13</v>
          </cell>
        </row>
        <row r="2553">
          <cell r="E2553" t="str">
            <v>D2021/01136</v>
          </cell>
          <cell r="F2553">
            <v>15</v>
          </cell>
          <cell r="L2553" t="str">
            <v>44340-13</v>
          </cell>
        </row>
        <row r="2554">
          <cell r="E2554" t="str">
            <v>D2021/01136</v>
          </cell>
          <cell r="F2554">
            <v>120</v>
          </cell>
          <cell r="L2554" t="str">
            <v>44340-13</v>
          </cell>
        </row>
        <row r="2555">
          <cell r="E2555" t="str">
            <v>D2021/01136</v>
          </cell>
          <cell r="F2555">
            <v>124</v>
          </cell>
          <cell r="L2555" t="str">
            <v>44341-35</v>
          </cell>
        </row>
        <row r="2556">
          <cell r="E2556" t="str">
            <v>D2021/01136</v>
          </cell>
          <cell r="F2556">
            <v>17</v>
          </cell>
          <cell r="L2556" t="str">
            <v>44341-35</v>
          </cell>
        </row>
        <row r="2557">
          <cell r="E2557" t="str">
            <v>D2021/01132</v>
          </cell>
          <cell r="F2557">
            <v>125</v>
          </cell>
          <cell r="L2557" t="str">
            <v>44341-35</v>
          </cell>
        </row>
        <row r="2558">
          <cell r="E2558" t="str">
            <v>D2021/01132</v>
          </cell>
          <cell r="F2558">
            <v>185</v>
          </cell>
          <cell r="L2558" t="str">
            <v>44341-35</v>
          </cell>
        </row>
        <row r="2559">
          <cell r="E2559" t="str">
            <v>D2021/01132</v>
          </cell>
          <cell r="F2559">
            <v>167</v>
          </cell>
          <cell r="L2559" t="str">
            <v>44341-35</v>
          </cell>
        </row>
        <row r="2560">
          <cell r="E2560" t="str">
            <v>D2021/01132</v>
          </cell>
          <cell r="F2560">
            <v>138</v>
          </cell>
          <cell r="L2560" t="str">
            <v>44341-13</v>
          </cell>
        </row>
        <row r="2561">
          <cell r="E2561" t="str">
            <v>D2021/01132</v>
          </cell>
          <cell r="F2561">
            <v>53</v>
          </cell>
          <cell r="L2561" t="str">
            <v>44341-13</v>
          </cell>
        </row>
        <row r="2562">
          <cell r="E2562" t="str">
            <v>D2021/01132</v>
          </cell>
          <cell r="F2562">
            <v>15</v>
          </cell>
          <cell r="L2562" t="str">
            <v>44341-13</v>
          </cell>
        </row>
        <row r="2563">
          <cell r="E2563" t="str">
            <v>D2021/01132</v>
          </cell>
          <cell r="F2563">
            <v>31</v>
          </cell>
          <cell r="L2563" t="str">
            <v>44341-13</v>
          </cell>
        </row>
        <row r="2564">
          <cell r="E2564" t="str">
            <v>D2021/01132</v>
          </cell>
          <cell r="F2564">
            <v>91</v>
          </cell>
          <cell r="L2564" t="str">
            <v>44341-13</v>
          </cell>
        </row>
        <row r="2565">
          <cell r="E2565" t="str">
            <v>D2021/01132</v>
          </cell>
          <cell r="F2565">
            <v>6</v>
          </cell>
          <cell r="L2565" t="str">
            <v>44341-13</v>
          </cell>
        </row>
        <row r="2566">
          <cell r="E2566" t="str">
            <v>D2021/01132</v>
          </cell>
          <cell r="F2566">
            <v>41</v>
          </cell>
          <cell r="L2566" t="str">
            <v>44342-27</v>
          </cell>
        </row>
        <row r="2567">
          <cell r="E2567" t="str">
            <v>D2021/00965</v>
          </cell>
          <cell r="F2567">
            <v>103</v>
          </cell>
          <cell r="L2567" t="str">
            <v>44342-27</v>
          </cell>
        </row>
        <row r="2568">
          <cell r="E2568" t="str">
            <v>D2021/00965</v>
          </cell>
          <cell r="F2568">
            <v>82</v>
          </cell>
          <cell r="L2568" t="str">
            <v>44342-27</v>
          </cell>
        </row>
        <row r="2569">
          <cell r="E2569" t="str">
            <v>D2021/00965</v>
          </cell>
          <cell r="F2569">
            <v>97</v>
          </cell>
          <cell r="L2569" t="str">
            <v>44342-27</v>
          </cell>
        </row>
        <row r="2570">
          <cell r="E2570" t="str">
            <v>D2021/00965</v>
          </cell>
          <cell r="F2570">
            <v>351</v>
          </cell>
          <cell r="L2570" t="str">
            <v>44342-27</v>
          </cell>
        </row>
        <row r="2571">
          <cell r="E2571" t="str">
            <v>D2021/00965</v>
          </cell>
          <cell r="F2571">
            <v>101</v>
          </cell>
          <cell r="L2571" t="str">
            <v>44342-27</v>
          </cell>
        </row>
        <row r="2572">
          <cell r="E2572" t="str">
            <v>D2021/01132</v>
          </cell>
          <cell r="F2572">
            <v>76</v>
          </cell>
          <cell r="L2572" t="str">
            <v>44342-13</v>
          </cell>
        </row>
        <row r="2573">
          <cell r="E2573" t="str">
            <v>D2021/00965</v>
          </cell>
          <cell r="F2573">
            <v>75</v>
          </cell>
          <cell r="L2573" t="str">
            <v>44342-13</v>
          </cell>
        </row>
        <row r="2574">
          <cell r="E2574" t="str">
            <v>D2021/00965</v>
          </cell>
          <cell r="F2574">
            <v>84</v>
          </cell>
          <cell r="L2574" t="str">
            <v>44342-13</v>
          </cell>
        </row>
        <row r="2575">
          <cell r="E2575" t="str">
            <v>D2021/00965</v>
          </cell>
          <cell r="F2575">
            <v>49</v>
          </cell>
          <cell r="L2575" t="str">
            <v>44342-13</v>
          </cell>
        </row>
        <row r="2576">
          <cell r="E2576" t="str">
            <v>D2021/00965</v>
          </cell>
          <cell r="F2576">
            <v>166</v>
          </cell>
          <cell r="L2576" t="str">
            <v>44342-13</v>
          </cell>
        </row>
        <row r="2577">
          <cell r="E2577" t="str">
            <v>D2021/00965</v>
          </cell>
          <cell r="F2577">
            <v>87</v>
          </cell>
          <cell r="L2577" t="str">
            <v>44342-13</v>
          </cell>
        </row>
        <row r="2578">
          <cell r="E2578" t="str">
            <v>D2021/00965</v>
          </cell>
          <cell r="F2578">
            <v>18</v>
          </cell>
          <cell r="L2578" t="str">
            <v>44342-13</v>
          </cell>
        </row>
        <row r="2579">
          <cell r="E2579" t="str">
            <v>D2021/00965</v>
          </cell>
          <cell r="F2579">
            <v>14</v>
          </cell>
          <cell r="L2579" t="str">
            <v>44342-13</v>
          </cell>
        </row>
        <row r="2580">
          <cell r="E2580" t="str">
            <v>D2021/00965</v>
          </cell>
          <cell r="F2580">
            <v>101</v>
          </cell>
          <cell r="L2580" t="str">
            <v>44343-27</v>
          </cell>
        </row>
        <row r="2581">
          <cell r="E2581" t="str">
            <v>D2021/01274</v>
          </cell>
          <cell r="F2581">
            <v>49</v>
          </cell>
          <cell r="L2581" t="str">
            <v>44343-27</v>
          </cell>
        </row>
        <row r="2582">
          <cell r="E2582" t="str">
            <v>D2021/01274</v>
          </cell>
          <cell r="F2582">
            <v>30</v>
          </cell>
          <cell r="L2582" t="str">
            <v>44343-27</v>
          </cell>
        </row>
        <row r="2583">
          <cell r="E2583" t="str">
            <v>D2021/01274</v>
          </cell>
          <cell r="F2583">
            <v>91</v>
          </cell>
          <cell r="L2583" t="str">
            <v>44343-27</v>
          </cell>
        </row>
        <row r="2584">
          <cell r="E2584" t="str">
            <v>D2021/01274</v>
          </cell>
          <cell r="F2584">
            <v>84</v>
          </cell>
          <cell r="L2584" t="str">
            <v>44343-13</v>
          </cell>
        </row>
        <row r="2585">
          <cell r="E2585" t="str">
            <v>D2021/01274</v>
          </cell>
          <cell r="F2585">
            <v>10</v>
          </cell>
          <cell r="L2585" t="str">
            <v>44343-13</v>
          </cell>
        </row>
        <row r="2586">
          <cell r="E2586" t="str">
            <v>D2021/01274</v>
          </cell>
          <cell r="F2586">
            <v>36</v>
          </cell>
          <cell r="L2586" t="str">
            <v>44343-13</v>
          </cell>
        </row>
        <row r="2587">
          <cell r="E2587" t="str">
            <v>D2021/01274</v>
          </cell>
          <cell r="F2587">
            <v>66</v>
          </cell>
          <cell r="L2587" t="str">
            <v>44344-35</v>
          </cell>
        </row>
        <row r="2588">
          <cell r="E2588" t="str">
            <v>D2021/01274</v>
          </cell>
          <cell r="F2588">
            <v>31</v>
          </cell>
          <cell r="L2588" t="str">
            <v>44344-35</v>
          </cell>
        </row>
        <row r="2589">
          <cell r="E2589" t="str">
            <v>D2021/01220</v>
          </cell>
          <cell r="F2589">
            <v>22</v>
          </cell>
          <cell r="L2589" t="str">
            <v>44344-35</v>
          </cell>
        </row>
        <row r="2590">
          <cell r="E2590" t="str">
            <v>D2021/01220</v>
          </cell>
          <cell r="F2590">
            <v>46</v>
          </cell>
          <cell r="L2590" t="str">
            <v>44344-13</v>
          </cell>
        </row>
        <row r="2591">
          <cell r="E2591" t="str">
            <v>D2021/01133</v>
          </cell>
          <cell r="F2591">
            <v>74</v>
          </cell>
          <cell r="L2591" t="str">
            <v>44344-13</v>
          </cell>
        </row>
        <row r="2592">
          <cell r="E2592" t="str">
            <v>D2021/01133</v>
          </cell>
          <cell r="F2592">
            <v>3</v>
          </cell>
          <cell r="L2592" t="str">
            <v>44344-13</v>
          </cell>
        </row>
        <row r="2593">
          <cell r="E2593" t="str">
            <v>D2021/01133</v>
          </cell>
          <cell r="F2593">
            <v>33</v>
          </cell>
          <cell r="L2593" t="str">
            <v>44348-27</v>
          </cell>
        </row>
        <row r="2594">
          <cell r="E2594" t="str">
            <v>D2021/01133</v>
          </cell>
          <cell r="F2594">
            <v>67</v>
          </cell>
          <cell r="L2594" t="str">
            <v>44348-27</v>
          </cell>
        </row>
        <row r="2595">
          <cell r="E2595" t="str">
            <v>D2021/01133</v>
          </cell>
          <cell r="F2595">
            <v>284</v>
          </cell>
          <cell r="L2595" t="str">
            <v>44348-27</v>
          </cell>
        </row>
        <row r="2596">
          <cell r="E2596" t="str">
            <v>D2021/01134</v>
          </cell>
          <cell r="F2596">
            <v>35</v>
          </cell>
          <cell r="L2596" t="str">
            <v>44348-27</v>
          </cell>
        </row>
        <row r="2597">
          <cell r="E2597" t="str">
            <v>D2021/01134</v>
          </cell>
          <cell r="F2597">
            <v>23</v>
          </cell>
          <cell r="L2597" t="str">
            <v>44348-27</v>
          </cell>
        </row>
        <row r="2598">
          <cell r="E2598" t="str">
            <v>D2021/01134</v>
          </cell>
          <cell r="F2598">
            <v>7</v>
          </cell>
          <cell r="L2598" t="str">
            <v>44348-13</v>
          </cell>
        </row>
        <row r="2599">
          <cell r="E2599" t="str">
            <v>D2021/01134</v>
          </cell>
          <cell r="F2599">
            <v>17</v>
          </cell>
          <cell r="L2599" t="str">
            <v>44348-13</v>
          </cell>
        </row>
        <row r="2600">
          <cell r="E2600" t="str">
            <v>D2021/01134</v>
          </cell>
          <cell r="F2600">
            <v>51</v>
          </cell>
          <cell r="L2600" t="str">
            <v>44348-13</v>
          </cell>
        </row>
        <row r="2601">
          <cell r="E2601" t="str">
            <v>D2021/01134</v>
          </cell>
          <cell r="F2601">
            <v>34</v>
          </cell>
          <cell r="L2601" t="str">
            <v>44348-13</v>
          </cell>
        </row>
        <row r="2602">
          <cell r="E2602" t="str">
            <v>D2021/01134</v>
          </cell>
          <cell r="F2602">
            <v>25</v>
          </cell>
          <cell r="L2602" t="str">
            <v>44348-13</v>
          </cell>
        </row>
        <row r="2603">
          <cell r="E2603" t="str">
            <v>D2021/00389</v>
          </cell>
          <cell r="F2603">
            <v>149</v>
          </cell>
          <cell r="L2603" t="str">
            <v>44348-13</v>
          </cell>
        </row>
        <row r="2604">
          <cell r="E2604" t="str">
            <v>D2021/00389</v>
          </cell>
          <cell r="F2604">
            <v>40</v>
          </cell>
          <cell r="L2604" t="str">
            <v>44348-13</v>
          </cell>
        </row>
        <row r="2605">
          <cell r="E2605" t="str">
            <v>D2021/00389</v>
          </cell>
          <cell r="F2605">
            <v>125</v>
          </cell>
          <cell r="L2605" t="str">
            <v>44349-27</v>
          </cell>
        </row>
        <row r="2606">
          <cell r="E2606" t="str">
            <v>D2021/00389</v>
          </cell>
          <cell r="F2606">
            <v>213</v>
          </cell>
          <cell r="L2606" t="str">
            <v>44349-27</v>
          </cell>
        </row>
        <row r="2607">
          <cell r="E2607" t="str">
            <v>D2021/00389</v>
          </cell>
          <cell r="F2607">
            <v>87</v>
          </cell>
          <cell r="L2607" t="str">
            <v>44349-27</v>
          </cell>
        </row>
        <row r="2608">
          <cell r="E2608" t="str">
            <v>D2021/00389</v>
          </cell>
          <cell r="F2608">
            <v>462</v>
          </cell>
          <cell r="L2608" t="str">
            <v>44349-13</v>
          </cell>
        </row>
        <row r="2609">
          <cell r="E2609" t="str">
            <v>D2021/00389</v>
          </cell>
          <cell r="F2609">
            <v>15</v>
          </cell>
          <cell r="L2609" t="str">
            <v>44349-13</v>
          </cell>
        </row>
        <row r="2610">
          <cell r="E2610" t="str">
            <v>D2021/00389</v>
          </cell>
          <cell r="F2610">
            <v>29</v>
          </cell>
          <cell r="L2610" t="str">
            <v>44349-13</v>
          </cell>
        </row>
        <row r="2611">
          <cell r="E2611" t="str">
            <v>D2021/00389</v>
          </cell>
          <cell r="F2611">
            <v>48</v>
          </cell>
          <cell r="L2611" t="str">
            <v>44350-27</v>
          </cell>
        </row>
        <row r="2612">
          <cell r="E2612" t="str">
            <v>D2021/00389</v>
          </cell>
          <cell r="F2612">
            <v>133</v>
          </cell>
          <cell r="L2612" t="str">
            <v>44350-27</v>
          </cell>
        </row>
        <row r="2613">
          <cell r="E2613" t="str">
            <v>D2021/00389</v>
          </cell>
          <cell r="F2613">
            <v>192</v>
          </cell>
          <cell r="L2613" t="str">
            <v>44350-27</v>
          </cell>
        </row>
        <row r="2614">
          <cell r="E2614" t="str">
            <v>D2021/00389</v>
          </cell>
          <cell r="F2614">
            <v>44</v>
          </cell>
          <cell r="L2614" t="str">
            <v>44350-27</v>
          </cell>
        </row>
        <row r="2615">
          <cell r="E2615" t="str">
            <v>D2021/00389</v>
          </cell>
          <cell r="F2615">
            <v>53</v>
          </cell>
          <cell r="L2615" t="str">
            <v>44350-27</v>
          </cell>
        </row>
        <row r="2616">
          <cell r="E2616" t="str">
            <v>D2021/00389</v>
          </cell>
          <cell r="F2616">
            <v>19</v>
          </cell>
          <cell r="L2616" t="str">
            <v>44350-13</v>
          </cell>
        </row>
        <row r="2617">
          <cell r="E2617" t="str">
            <v>D2021/00389</v>
          </cell>
          <cell r="F2617">
            <v>19</v>
          </cell>
          <cell r="L2617" t="str">
            <v>44350-13</v>
          </cell>
        </row>
        <row r="2618">
          <cell r="E2618" t="str">
            <v>D2021/00389</v>
          </cell>
          <cell r="F2618">
            <v>20</v>
          </cell>
          <cell r="L2618" t="str">
            <v>44350-13</v>
          </cell>
        </row>
        <row r="2619">
          <cell r="E2619" t="str">
            <v>D2021/00389</v>
          </cell>
          <cell r="F2619">
            <v>23</v>
          </cell>
          <cell r="L2619" t="str">
            <v>44350-13</v>
          </cell>
        </row>
        <row r="2620">
          <cell r="E2620" t="str">
            <v>D2021/00389</v>
          </cell>
          <cell r="F2620">
            <v>23</v>
          </cell>
          <cell r="L2620" t="str">
            <v>44350-13</v>
          </cell>
        </row>
        <row r="2621">
          <cell r="E2621" t="str">
            <v>D2021/00389</v>
          </cell>
          <cell r="F2621">
            <v>47</v>
          </cell>
          <cell r="L2621" t="str">
            <v>44351-27</v>
          </cell>
        </row>
        <row r="2622">
          <cell r="E2622" t="str">
            <v>D2021/00389</v>
          </cell>
          <cell r="F2622">
            <v>333</v>
          </cell>
          <cell r="L2622" t="str">
            <v>44351-27</v>
          </cell>
        </row>
        <row r="2623">
          <cell r="E2623" t="str">
            <v>D2021/00389</v>
          </cell>
          <cell r="F2623">
            <v>53</v>
          </cell>
          <cell r="L2623" t="str">
            <v>44351-27</v>
          </cell>
        </row>
        <row r="2624">
          <cell r="E2624" t="str">
            <v>D2021/00389</v>
          </cell>
          <cell r="F2624">
            <v>75</v>
          </cell>
          <cell r="L2624" t="str">
            <v>44351-27</v>
          </cell>
        </row>
        <row r="2625">
          <cell r="E2625" t="str">
            <v>D2021/00389</v>
          </cell>
          <cell r="F2625">
            <v>14</v>
          </cell>
          <cell r="L2625" t="str">
            <v>44351-27</v>
          </cell>
        </row>
        <row r="2626">
          <cell r="E2626" t="str">
            <v>D2021/00389</v>
          </cell>
          <cell r="F2626">
            <v>4</v>
          </cell>
          <cell r="L2626" t="str">
            <v>44351-13</v>
          </cell>
        </row>
        <row r="2627">
          <cell r="E2627" t="str">
            <v>D2021/00389</v>
          </cell>
          <cell r="F2627">
            <v>153</v>
          </cell>
          <cell r="L2627" t="str">
            <v>44351-13</v>
          </cell>
        </row>
        <row r="2628">
          <cell r="E2628" t="str">
            <v>D2021/00389</v>
          </cell>
          <cell r="F2628">
            <v>5</v>
          </cell>
          <cell r="L2628" t="str">
            <v>44351-13</v>
          </cell>
        </row>
        <row r="2629">
          <cell r="E2629" t="str">
            <v>D2021/00389</v>
          </cell>
          <cell r="F2629">
            <v>15</v>
          </cell>
          <cell r="L2629" t="str">
            <v>44351-13</v>
          </cell>
        </row>
        <row r="2630">
          <cell r="E2630" t="str">
            <v>D2021/00389</v>
          </cell>
          <cell r="F2630">
            <v>121</v>
          </cell>
          <cell r="L2630" t="str">
            <v>44354-10</v>
          </cell>
        </row>
        <row r="2631">
          <cell r="E2631" t="str">
            <v>D2021/00389</v>
          </cell>
          <cell r="F2631">
            <v>243</v>
          </cell>
          <cell r="L2631" t="str">
            <v>44354-10</v>
          </cell>
        </row>
        <row r="2632">
          <cell r="E2632" t="str">
            <v>D2021/00389</v>
          </cell>
          <cell r="F2632">
            <v>107</v>
          </cell>
          <cell r="L2632" t="str">
            <v>44354-10</v>
          </cell>
        </row>
        <row r="2633">
          <cell r="E2633" t="str">
            <v>D2021/00389</v>
          </cell>
          <cell r="F2633">
            <v>12</v>
          </cell>
          <cell r="L2633" t="str">
            <v>44354-13</v>
          </cell>
        </row>
        <row r="2634">
          <cell r="E2634" t="str">
            <v>D2021/00389</v>
          </cell>
          <cell r="F2634">
            <v>667</v>
          </cell>
          <cell r="L2634" t="str">
            <v>44354-13</v>
          </cell>
        </row>
        <row r="2635">
          <cell r="E2635" t="str">
            <v>D2021/00389</v>
          </cell>
          <cell r="F2635">
            <v>85</v>
          </cell>
          <cell r="L2635" t="str">
            <v>44354-13</v>
          </cell>
        </row>
        <row r="2636">
          <cell r="E2636" t="str">
            <v>D2021/00389</v>
          </cell>
          <cell r="F2636">
            <v>43</v>
          </cell>
          <cell r="L2636" t="str">
            <v>44354-13</v>
          </cell>
        </row>
        <row r="2637">
          <cell r="E2637" t="str">
            <v>D2021/00389</v>
          </cell>
          <cell r="F2637">
            <v>70</v>
          </cell>
          <cell r="L2637" t="str">
            <v>44355-35</v>
          </cell>
        </row>
        <row r="2638">
          <cell r="E2638" t="str">
            <v>D2021/00389</v>
          </cell>
          <cell r="F2638">
            <v>247</v>
          </cell>
          <cell r="L2638" t="str">
            <v>44355-35</v>
          </cell>
        </row>
        <row r="2639">
          <cell r="E2639" t="str">
            <v>D2021/00389</v>
          </cell>
          <cell r="F2639">
            <v>174</v>
          </cell>
          <cell r="L2639" t="str">
            <v>44355-13</v>
          </cell>
        </row>
        <row r="2640">
          <cell r="E2640" t="str">
            <v>D2021/00389</v>
          </cell>
          <cell r="F2640">
            <v>66</v>
          </cell>
          <cell r="L2640" t="str">
            <v>44355-13</v>
          </cell>
        </row>
        <row r="2641">
          <cell r="E2641" t="str">
            <v>D2021/00389</v>
          </cell>
          <cell r="F2641">
            <v>76</v>
          </cell>
          <cell r="L2641" t="str">
            <v>44355-13</v>
          </cell>
        </row>
        <row r="2642">
          <cell r="E2642" t="str">
            <v>D2021/00389</v>
          </cell>
          <cell r="F2642">
            <v>38</v>
          </cell>
          <cell r="L2642" t="str">
            <v>44355-13</v>
          </cell>
        </row>
        <row r="2643">
          <cell r="E2643" t="str">
            <v>D2021/00389</v>
          </cell>
          <cell r="F2643">
            <v>30</v>
          </cell>
          <cell r="L2643" t="str">
            <v>44355-13</v>
          </cell>
        </row>
        <row r="2644">
          <cell r="E2644" t="str">
            <v>D2021/00389</v>
          </cell>
          <cell r="F2644">
            <v>81</v>
          </cell>
          <cell r="L2644" t="str">
            <v>44356-35</v>
          </cell>
        </row>
        <row r="2645">
          <cell r="E2645" t="str">
            <v>D2021/01137</v>
          </cell>
          <cell r="F2645">
            <v>200</v>
          </cell>
          <cell r="L2645" t="str">
            <v>44356-10</v>
          </cell>
        </row>
        <row r="2646">
          <cell r="E2646" t="str">
            <v>D2021/01137</v>
          </cell>
          <cell r="F2646">
            <v>66</v>
          </cell>
          <cell r="L2646" t="str">
            <v>44356-10</v>
          </cell>
        </row>
        <row r="2647">
          <cell r="E2647" t="str">
            <v>D2021/01137</v>
          </cell>
          <cell r="F2647">
            <v>6</v>
          </cell>
          <cell r="L2647" t="str">
            <v>44356-10</v>
          </cell>
        </row>
        <row r="2648">
          <cell r="E2648" t="str">
            <v>D2021/01131</v>
          </cell>
          <cell r="F2648">
            <v>111</v>
          </cell>
          <cell r="L2648" t="str">
            <v>44356-27</v>
          </cell>
        </row>
        <row r="2649">
          <cell r="E2649" t="str">
            <v>D2021/01131</v>
          </cell>
          <cell r="F2649">
            <v>132</v>
          </cell>
          <cell r="L2649" t="str">
            <v>44356-27</v>
          </cell>
        </row>
        <row r="2650">
          <cell r="E2650" t="str">
            <v>D2021/01131</v>
          </cell>
          <cell r="F2650">
            <v>64</v>
          </cell>
          <cell r="L2650" t="str">
            <v>44356-27</v>
          </cell>
        </row>
        <row r="2651">
          <cell r="E2651" t="str">
            <v>D2021/01131</v>
          </cell>
          <cell r="F2651">
            <v>66</v>
          </cell>
          <cell r="L2651" t="str">
            <v>44356-27</v>
          </cell>
        </row>
        <row r="2652">
          <cell r="E2652" t="str">
            <v>D2021/01131</v>
          </cell>
          <cell r="F2652">
            <v>66</v>
          </cell>
          <cell r="L2652" t="str">
            <v>44356-27</v>
          </cell>
        </row>
        <row r="2653">
          <cell r="E2653" t="str">
            <v>D2021/01131</v>
          </cell>
          <cell r="F2653">
            <v>95</v>
          </cell>
          <cell r="L2653" t="str">
            <v>44356-27</v>
          </cell>
        </row>
        <row r="2654">
          <cell r="E2654" t="str">
            <v>D2021/01131</v>
          </cell>
          <cell r="F2654">
            <v>10</v>
          </cell>
          <cell r="L2654" t="str">
            <v>44356-13</v>
          </cell>
        </row>
        <row r="2655">
          <cell r="E2655" t="str">
            <v>D2021/01131</v>
          </cell>
          <cell r="F2655">
            <v>28</v>
          </cell>
          <cell r="L2655" t="str">
            <v>44356-13</v>
          </cell>
        </row>
        <row r="2656">
          <cell r="E2656" t="str">
            <v>D2021/01131</v>
          </cell>
          <cell r="F2656">
            <v>39</v>
          </cell>
          <cell r="L2656" t="str">
            <v>44356-13</v>
          </cell>
        </row>
        <row r="2657">
          <cell r="E2657" t="str">
            <v>D2021/01131</v>
          </cell>
          <cell r="F2657">
            <v>11</v>
          </cell>
          <cell r="L2657" t="str">
            <v>44356-13</v>
          </cell>
        </row>
        <row r="2658">
          <cell r="E2658" t="str">
            <v>D2021/01131</v>
          </cell>
          <cell r="F2658">
            <v>12</v>
          </cell>
          <cell r="L2658" t="str">
            <v>44356-13</v>
          </cell>
        </row>
        <row r="2659">
          <cell r="E2659" t="str">
            <v>D2021/01137</v>
          </cell>
          <cell r="F2659">
            <v>171</v>
          </cell>
          <cell r="L2659" t="str">
            <v>44357-27</v>
          </cell>
        </row>
        <row r="2660">
          <cell r="E2660" t="str">
            <v>D2021/01137</v>
          </cell>
          <cell r="F2660">
            <v>86</v>
          </cell>
          <cell r="L2660" t="str">
            <v>44357-27</v>
          </cell>
        </row>
        <row r="2661">
          <cell r="E2661" t="str">
            <v>D2021/01137</v>
          </cell>
          <cell r="F2661">
            <v>177</v>
          </cell>
          <cell r="L2661" t="str">
            <v>44357-27</v>
          </cell>
        </row>
        <row r="2662">
          <cell r="E2662" t="str">
            <v>D2021/01137</v>
          </cell>
          <cell r="F2662">
            <v>11</v>
          </cell>
          <cell r="L2662" t="str">
            <v>44357-27</v>
          </cell>
        </row>
        <row r="2663">
          <cell r="E2663" t="str">
            <v>D2021/01137</v>
          </cell>
          <cell r="F2663">
            <v>19</v>
          </cell>
          <cell r="L2663" t="str">
            <v>44357-13</v>
          </cell>
        </row>
        <row r="2664">
          <cell r="E2664" t="str">
            <v>D2021/01137</v>
          </cell>
          <cell r="F2664">
            <v>83</v>
          </cell>
          <cell r="L2664" t="str">
            <v>44357-13</v>
          </cell>
        </row>
        <row r="2665">
          <cell r="E2665" t="str">
            <v>D2021/01137</v>
          </cell>
          <cell r="F2665">
            <v>99</v>
          </cell>
          <cell r="L2665" t="str">
            <v>44357-13</v>
          </cell>
        </row>
        <row r="2666">
          <cell r="E2666" t="str">
            <v>D2021/01137</v>
          </cell>
          <cell r="F2666">
            <v>25</v>
          </cell>
          <cell r="L2666" t="str">
            <v>44357-13</v>
          </cell>
        </row>
        <row r="2667">
          <cell r="E2667" t="str">
            <v>D2021/01137</v>
          </cell>
          <cell r="F2667">
            <v>172</v>
          </cell>
          <cell r="L2667" t="str">
            <v>44357-13</v>
          </cell>
        </row>
        <row r="2668">
          <cell r="E2668" t="str">
            <v>D2021/01131</v>
          </cell>
          <cell r="F2668">
            <v>44</v>
          </cell>
          <cell r="L2668" t="str">
            <v>44357-10</v>
          </cell>
        </row>
        <row r="2669">
          <cell r="E2669" t="str">
            <v>D2021/01614</v>
          </cell>
          <cell r="F2669">
            <v>51</v>
          </cell>
          <cell r="L2669" t="str">
            <v>44357-10</v>
          </cell>
        </row>
        <row r="2670">
          <cell r="E2670" t="str">
            <v>D2021/01614</v>
          </cell>
          <cell r="F2670">
            <v>33</v>
          </cell>
          <cell r="L2670" t="str">
            <v>44357-10</v>
          </cell>
        </row>
        <row r="2671">
          <cell r="E2671" t="str">
            <v>D2021/01614</v>
          </cell>
          <cell r="F2671">
            <v>61</v>
          </cell>
          <cell r="L2671" t="str">
            <v>44358-35</v>
          </cell>
        </row>
        <row r="2672">
          <cell r="E2672" t="str">
            <v>D2021/01614</v>
          </cell>
          <cell r="F2672">
            <v>100</v>
          </cell>
          <cell r="L2672" t="str">
            <v>44358-35</v>
          </cell>
        </row>
        <row r="2673">
          <cell r="E2673" t="str">
            <v>D2021/01614</v>
          </cell>
          <cell r="F2673">
            <v>100</v>
          </cell>
          <cell r="L2673" t="str">
            <v>44358-35</v>
          </cell>
        </row>
        <row r="2674">
          <cell r="E2674" t="str">
            <v>D2021/01614</v>
          </cell>
          <cell r="F2674">
            <v>10</v>
          </cell>
          <cell r="L2674" t="str">
            <v>44358-13</v>
          </cell>
        </row>
        <row r="2675">
          <cell r="E2675" t="str">
            <v>D2021/01614</v>
          </cell>
          <cell r="F2675">
            <v>2</v>
          </cell>
          <cell r="L2675" t="str">
            <v>44358-13</v>
          </cell>
        </row>
        <row r="2676">
          <cell r="E2676" t="str">
            <v>D2021/01614</v>
          </cell>
          <cell r="F2676">
            <v>76</v>
          </cell>
          <cell r="L2676" t="str">
            <v>44358-13</v>
          </cell>
        </row>
        <row r="2677">
          <cell r="E2677" t="str">
            <v>D2021/01614</v>
          </cell>
          <cell r="F2677">
            <v>66</v>
          </cell>
          <cell r="L2677" t="str">
            <v>44358-13</v>
          </cell>
        </row>
        <row r="2678">
          <cell r="E2678" t="str">
            <v>D2021/01613</v>
          </cell>
          <cell r="F2678">
            <v>56</v>
          </cell>
          <cell r="L2678" t="str">
            <v>44361-35</v>
          </cell>
        </row>
        <row r="2679">
          <cell r="E2679" t="str">
            <v>D2021/01273</v>
          </cell>
          <cell r="F2679">
            <v>41</v>
          </cell>
          <cell r="L2679" t="str">
            <v>44361-35</v>
          </cell>
        </row>
        <row r="2680">
          <cell r="E2680" t="str">
            <v>D2021/01273</v>
          </cell>
          <cell r="F2680">
            <v>80</v>
          </cell>
          <cell r="L2680" t="str">
            <v>44361-35</v>
          </cell>
        </row>
        <row r="2681">
          <cell r="E2681" t="str">
            <v>D2021/01273</v>
          </cell>
          <cell r="F2681">
            <v>60</v>
          </cell>
          <cell r="L2681" t="str">
            <v>44361-13</v>
          </cell>
        </row>
        <row r="2682">
          <cell r="E2682" t="str">
            <v>D2021/01273</v>
          </cell>
          <cell r="F2682">
            <v>35</v>
          </cell>
          <cell r="L2682" t="str">
            <v>44361-13</v>
          </cell>
        </row>
        <row r="2683">
          <cell r="E2683" t="str">
            <v>D2021/01273</v>
          </cell>
          <cell r="F2683">
            <v>43</v>
          </cell>
          <cell r="L2683" t="str">
            <v>44361-13</v>
          </cell>
        </row>
        <row r="2684">
          <cell r="E2684" t="str">
            <v>D2021/01273</v>
          </cell>
          <cell r="F2684">
            <v>38</v>
          </cell>
          <cell r="L2684" t="str">
            <v>44361-13</v>
          </cell>
        </row>
        <row r="2685">
          <cell r="E2685" t="str">
            <v>D2021/01273</v>
          </cell>
          <cell r="F2685">
            <v>15</v>
          </cell>
          <cell r="L2685" t="str">
            <v>44361-13</v>
          </cell>
        </row>
        <row r="2686">
          <cell r="E2686" t="str">
            <v>D2021/01273</v>
          </cell>
          <cell r="F2686">
            <v>6</v>
          </cell>
          <cell r="L2686" t="str">
            <v>44361-13</v>
          </cell>
        </row>
        <row r="2687">
          <cell r="E2687" t="str">
            <v>D2021/01272</v>
          </cell>
          <cell r="F2687">
            <v>21</v>
          </cell>
          <cell r="L2687" t="str">
            <v>44362-10</v>
          </cell>
        </row>
        <row r="2688">
          <cell r="E2688" t="str">
            <v>D2021/01272</v>
          </cell>
          <cell r="F2688">
            <v>16</v>
          </cell>
          <cell r="L2688" t="str">
            <v>44362-10</v>
          </cell>
        </row>
        <row r="2689">
          <cell r="E2689" t="str">
            <v>D2021/01272</v>
          </cell>
          <cell r="F2689">
            <v>47</v>
          </cell>
          <cell r="L2689" t="str">
            <v>44362-10</v>
          </cell>
        </row>
        <row r="2690">
          <cell r="E2690" t="str">
            <v>D2021/01730</v>
          </cell>
          <cell r="F2690">
            <v>27</v>
          </cell>
          <cell r="L2690" t="str">
            <v>44362-10</v>
          </cell>
        </row>
        <row r="2691">
          <cell r="E2691" t="str">
            <v>D2021/01272</v>
          </cell>
          <cell r="F2691">
            <v>55</v>
          </cell>
          <cell r="L2691" t="str">
            <v>44362-15</v>
          </cell>
        </row>
        <row r="2692">
          <cell r="E2692" t="str">
            <v>D2021/00882</v>
          </cell>
          <cell r="F2692">
            <v>495</v>
          </cell>
          <cell r="L2692" t="str">
            <v>44362-35</v>
          </cell>
        </row>
        <row r="2693">
          <cell r="E2693" t="str">
            <v>D2021/00882</v>
          </cell>
          <cell r="F2693">
            <v>31</v>
          </cell>
          <cell r="L2693" t="str">
            <v>44362-35</v>
          </cell>
        </row>
        <row r="2694">
          <cell r="E2694" t="str">
            <v>D2021/01361</v>
          </cell>
          <cell r="F2694">
            <v>186</v>
          </cell>
          <cell r="L2694" t="str">
            <v>44362-35</v>
          </cell>
        </row>
        <row r="2695">
          <cell r="E2695" t="str">
            <v>D2021/01361</v>
          </cell>
          <cell r="F2695">
            <v>18</v>
          </cell>
          <cell r="L2695" t="str">
            <v>44362-35</v>
          </cell>
        </row>
        <row r="2696">
          <cell r="E2696" t="str">
            <v>D2021/01730</v>
          </cell>
          <cell r="F2696">
            <v>46</v>
          </cell>
          <cell r="L2696" t="str">
            <v>44362-13</v>
          </cell>
        </row>
        <row r="2697">
          <cell r="E2697" t="str">
            <v>D2021/01730</v>
          </cell>
          <cell r="F2697">
            <v>9</v>
          </cell>
          <cell r="L2697" t="str">
            <v>44362-13</v>
          </cell>
        </row>
        <row r="2698">
          <cell r="E2698" t="str">
            <v>D2021/01730</v>
          </cell>
          <cell r="F2698">
            <v>8</v>
          </cell>
          <cell r="L2698" t="str">
            <v>44362-13</v>
          </cell>
        </row>
        <row r="2699">
          <cell r="E2699" t="str">
            <v>D2021/01730</v>
          </cell>
          <cell r="F2699">
            <v>6</v>
          </cell>
          <cell r="L2699" t="str">
            <v>44362-13</v>
          </cell>
        </row>
        <row r="2700">
          <cell r="E2700" t="str">
            <v>D2021/01730</v>
          </cell>
          <cell r="F2700">
            <v>7</v>
          </cell>
          <cell r="L2700" t="str">
            <v>44362-13</v>
          </cell>
        </row>
        <row r="2701">
          <cell r="E2701" t="str">
            <v>D2021/01730</v>
          </cell>
          <cell r="F2701">
            <v>77</v>
          </cell>
          <cell r="L2701" t="str">
            <v>44363-27</v>
          </cell>
        </row>
        <row r="2702">
          <cell r="E2702" t="str">
            <v>D2021/01730</v>
          </cell>
          <cell r="F2702">
            <v>37</v>
          </cell>
          <cell r="L2702" t="str">
            <v>44363-27</v>
          </cell>
        </row>
        <row r="2703">
          <cell r="E2703" t="str">
            <v>D2021/01730</v>
          </cell>
          <cell r="F2703">
            <v>60</v>
          </cell>
          <cell r="L2703" t="str">
            <v>44363-27</v>
          </cell>
        </row>
        <row r="2704">
          <cell r="E2704" t="str">
            <v>D2021/01730</v>
          </cell>
          <cell r="F2704">
            <v>48</v>
          </cell>
          <cell r="L2704" t="str">
            <v>44363-27</v>
          </cell>
        </row>
        <row r="2705">
          <cell r="E2705" t="str">
            <v>D2021/01730</v>
          </cell>
          <cell r="F2705">
            <v>31</v>
          </cell>
          <cell r="L2705" t="str">
            <v>44363-13</v>
          </cell>
        </row>
        <row r="2706">
          <cell r="E2706" t="str">
            <v>D2021/01730</v>
          </cell>
          <cell r="F2706">
            <v>7</v>
          </cell>
          <cell r="L2706" t="str">
            <v>44363-13</v>
          </cell>
        </row>
        <row r="2707">
          <cell r="E2707" t="str">
            <v>D2021/01730</v>
          </cell>
          <cell r="F2707">
            <v>7</v>
          </cell>
          <cell r="L2707" t="str">
            <v>44363-13</v>
          </cell>
        </row>
        <row r="2708">
          <cell r="E2708" t="str">
            <v>D2021/01730</v>
          </cell>
          <cell r="F2708">
            <v>6</v>
          </cell>
          <cell r="L2708" t="str">
            <v>44363-13</v>
          </cell>
        </row>
        <row r="2709">
          <cell r="E2709" t="str">
            <v>D2021/01730</v>
          </cell>
          <cell r="F2709">
            <v>3</v>
          </cell>
          <cell r="L2709" t="str">
            <v>44363-13</v>
          </cell>
        </row>
        <row r="2710">
          <cell r="E2710" t="str">
            <v>D2021/01361</v>
          </cell>
          <cell r="F2710">
            <v>332</v>
          </cell>
          <cell r="L2710" t="str">
            <v>44363-10</v>
          </cell>
        </row>
        <row r="2711">
          <cell r="E2711" t="str">
            <v>D2021/01361</v>
          </cell>
          <cell r="F2711">
            <v>112</v>
          </cell>
          <cell r="L2711" t="str">
            <v>44363-10</v>
          </cell>
        </row>
        <row r="2712">
          <cell r="E2712" t="str">
            <v>D2021/01730</v>
          </cell>
          <cell r="F2712">
            <v>41</v>
          </cell>
          <cell r="L2712" t="str">
            <v>44364-27</v>
          </cell>
        </row>
        <row r="2713">
          <cell r="E2713" t="str">
            <v>D2021/01730</v>
          </cell>
          <cell r="F2713">
            <v>72</v>
          </cell>
          <cell r="L2713" t="str">
            <v>44364-27</v>
          </cell>
        </row>
        <row r="2714">
          <cell r="E2714" t="str">
            <v>D2021/01730</v>
          </cell>
          <cell r="F2714">
            <v>46</v>
          </cell>
          <cell r="L2714" t="str">
            <v>44364-27</v>
          </cell>
        </row>
        <row r="2715">
          <cell r="E2715" t="str">
            <v>D2021/01730</v>
          </cell>
          <cell r="F2715">
            <v>2</v>
          </cell>
          <cell r="L2715" t="str">
            <v>44364-27</v>
          </cell>
        </row>
        <row r="2716">
          <cell r="E2716" t="str">
            <v>D2021/01607</v>
          </cell>
          <cell r="F2716">
            <v>67</v>
          </cell>
          <cell r="L2716" t="str">
            <v>44364-10</v>
          </cell>
        </row>
        <row r="2717">
          <cell r="E2717" t="str">
            <v>D2021/01607</v>
          </cell>
          <cell r="F2717">
            <v>89</v>
          </cell>
          <cell r="L2717" t="str">
            <v>44364-10</v>
          </cell>
        </row>
        <row r="2718">
          <cell r="E2718" t="str">
            <v>D2021/01607</v>
          </cell>
          <cell r="F2718">
            <v>213</v>
          </cell>
          <cell r="L2718" t="str">
            <v>44364-10</v>
          </cell>
        </row>
        <row r="2719">
          <cell r="E2719" t="str">
            <v>D2021/01607</v>
          </cell>
          <cell r="F2719">
            <v>155</v>
          </cell>
          <cell r="L2719" t="str">
            <v>44364-10</v>
          </cell>
        </row>
        <row r="2720">
          <cell r="E2720" t="str">
            <v>D2021/01607</v>
          </cell>
          <cell r="F2720">
            <v>650</v>
          </cell>
          <cell r="L2720" t="str">
            <v>44364-10</v>
          </cell>
        </row>
        <row r="2721">
          <cell r="E2721" t="str">
            <v>D2021/01607</v>
          </cell>
          <cell r="F2721">
            <v>42</v>
          </cell>
          <cell r="L2721" t="str">
            <v>44364-10</v>
          </cell>
        </row>
        <row r="2722">
          <cell r="E2722" t="str">
            <v>D2021/01607</v>
          </cell>
          <cell r="F2722">
            <v>29</v>
          </cell>
          <cell r="L2722" t="str">
            <v>44364-10</v>
          </cell>
        </row>
        <row r="2723">
          <cell r="E2723" t="str">
            <v>D2021/01730</v>
          </cell>
          <cell r="F2723">
            <v>14</v>
          </cell>
          <cell r="L2723" t="str">
            <v>44364-13</v>
          </cell>
        </row>
        <row r="2724">
          <cell r="E2724" t="str">
            <v>D2021/01730</v>
          </cell>
          <cell r="F2724">
            <v>21</v>
          </cell>
          <cell r="L2724" t="str">
            <v>44364-13</v>
          </cell>
        </row>
        <row r="2725">
          <cell r="E2725" t="str">
            <v>D2021/01730</v>
          </cell>
          <cell r="F2725">
            <v>9</v>
          </cell>
          <cell r="L2725" t="str">
            <v>44364-13</v>
          </cell>
        </row>
        <row r="2726">
          <cell r="E2726" t="str">
            <v>D2021/01607</v>
          </cell>
          <cell r="F2726">
            <v>100</v>
          </cell>
          <cell r="L2726" t="str">
            <v>44365-10</v>
          </cell>
        </row>
        <row r="2727">
          <cell r="E2727" t="str">
            <v>D2021/01607</v>
          </cell>
          <cell r="F2727">
            <v>73</v>
          </cell>
          <cell r="L2727" t="str">
            <v>44365-10</v>
          </cell>
        </row>
        <row r="2728">
          <cell r="E2728" t="str">
            <v>D2021/01608</v>
          </cell>
          <cell r="F2728">
            <v>22</v>
          </cell>
          <cell r="L2728" t="str">
            <v>44365-10</v>
          </cell>
        </row>
        <row r="2729">
          <cell r="E2729" t="str">
            <v>D2021/01608</v>
          </cell>
          <cell r="F2729">
            <v>24</v>
          </cell>
          <cell r="L2729" t="str">
            <v>44365-10</v>
          </cell>
        </row>
        <row r="2730">
          <cell r="E2730" t="str">
            <v>D2021/01730</v>
          </cell>
          <cell r="F2730">
            <v>50</v>
          </cell>
          <cell r="L2730" t="str">
            <v>44365-27</v>
          </cell>
        </row>
        <row r="2731">
          <cell r="E2731" t="str">
            <v>D2021/01730</v>
          </cell>
          <cell r="F2731">
            <v>198</v>
          </cell>
          <cell r="L2731" t="str">
            <v>44365-27</v>
          </cell>
        </row>
        <row r="2732">
          <cell r="E2732" t="str">
            <v>D2021/01730</v>
          </cell>
          <cell r="F2732">
            <v>104</v>
          </cell>
          <cell r="L2732" t="str">
            <v>44365-27</v>
          </cell>
        </row>
        <row r="2733">
          <cell r="E2733" t="str">
            <v>D2021/01730</v>
          </cell>
          <cell r="F2733">
            <v>52</v>
          </cell>
          <cell r="L2733" t="str">
            <v>44365-13</v>
          </cell>
        </row>
        <row r="2734">
          <cell r="E2734" t="str">
            <v>D2021/01730</v>
          </cell>
          <cell r="F2734">
            <v>8</v>
          </cell>
          <cell r="L2734" t="str">
            <v>44365-13</v>
          </cell>
        </row>
        <row r="2735">
          <cell r="E2735" t="str">
            <v>D2021/01730</v>
          </cell>
          <cell r="F2735">
            <v>9</v>
          </cell>
          <cell r="L2735" t="str">
            <v>44365-13</v>
          </cell>
        </row>
        <row r="2736">
          <cell r="E2736" t="str">
            <v>D2021/01608</v>
          </cell>
          <cell r="F2736">
            <v>177</v>
          </cell>
          <cell r="L2736" t="str">
            <v>44368-35</v>
          </cell>
        </row>
        <row r="2737">
          <cell r="E2737" t="str">
            <v>D2021/01608</v>
          </cell>
          <cell r="F2737">
            <v>200</v>
          </cell>
          <cell r="L2737" t="str">
            <v>44368-35</v>
          </cell>
        </row>
        <row r="2738">
          <cell r="E2738" t="str">
            <v>D2021/01608</v>
          </cell>
          <cell r="F2738">
            <v>102</v>
          </cell>
          <cell r="L2738" t="str">
            <v>44368-35</v>
          </cell>
        </row>
        <row r="2739">
          <cell r="E2739" t="str">
            <v>D2021/01730</v>
          </cell>
          <cell r="F2739">
            <v>54</v>
          </cell>
          <cell r="L2739" t="str">
            <v>44368-27</v>
          </cell>
        </row>
        <row r="2740">
          <cell r="E2740" t="str">
            <v>D2021/01730</v>
          </cell>
          <cell r="F2740">
            <v>25</v>
          </cell>
          <cell r="L2740" t="str">
            <v>44368-27</v>
          </cell>
        </row>
        <row r="2741">
          <cell r="E2741" t="str">
            <v>D2021/01730</v>
          </cell>
          <cell r="F2741">
            <v>34</v>
          </cell>
          <cell r="L2741" t="str">
            <v>44368-27</v>
          </cell>
        </row>
        <row r="2742">
          <cell r="E2742" t="str">
            <v>D2021/01730</v>
          </cell>
          <cell r="F2742">
            <v>63</v>
          </cell>
          <cell r="L2742" t="str">
            <v>44368-27</v>
          </cell>
        </row>
        <row r="2743">
          <cell r="E2743" t="str">
            <v>D2021/01730</v>
          </cell>
          <cell r="F2743">
            <v>15</v>
          </cell>
          <cell r="L2743" t="str">
            <v>44368-27</v>
          </cell>
        </row>
        <row r="2744">
          <cell r="E2744" t="str">
            <v>D2021/01730</v>
          </cell>
          <cell r="F2744">
            <v>32</v>
          </cell>
          <cell r="L2744" t="str">
            <v>44368-13</v>
          </cell>
        </row>
        <row r="2745">
          <cell r="E2745" t="str">
            <v>D2021/01730</v>
          </cell>
          <cell r="F2745">
            <v>40</v>
          </cell>
          <cell r="L2745" t="str">
            <v>44368-13</v>
          </cell>
        </row>
        <row r="2746">
          <cell r="E2746" t="str">
            <v>D2021/01612</v>
          </cell>
          <cell r="F2746">
            <v>55</v>
          </cell>
          <cell r="L2746" t="str">
            <v>44368-13</v>
          </cell>
        </row>
        <row r="2747">
          <cell r="E2747" t="str">
            <v>D2021/01612</v>
          </cell>
          <cell r="F2747">
            <v>45</v>
          </cell>
          <cell r="L2747" t="str">
            <v>44369-27</v>
          </cell>
        </row>
        <row r="2748">
          <cell r="E2748" t="str">
            <v>D2021/01612</v>
          </cell>
          <cell r="F2748">
            <v>33</v>
          </cell>
          <cell r="L2748" t="str">
            <v>44369-27</v>
          </cell>
        </row>
        <row r="2749">
          <cell r="E2749" t="str">
            <v>D2021/01612</v>
          </cell>
          <cell r="F2749">
            <v>65</v>
          </cell>
          <cell r="L2749" t="str">
            <v>44369-27</v>
          </cell>
        </row>
        <row r="2750">
          <cell r="E2750" t="str">
            <v>D2021/01612</v>
          </cell>
          <cell r="F2750">
            <v>65</v>
          </cell>
          <cell r="L2750" t="str">
            <v>44369-27</v>
          </cell>
        </row>
        <row r="2751">
          <cell r="E2751" t="str">
            <v>D2021/01612</v>
          </cell>
          <cell r="F2751">
            <v>110</v>
          </cell>
          <cell r="L2751" t="str">
            <v>44369-27</v>
          </cell>
        </row>
        <row r="2752">
          <cell r="E2752" t="str">
            <v>D2021/01276</v>
          </cell>
          <cell r="F2752">
            <v>310</v>
          </cell>
          <cell r="L2752" t="str">
            <v>44369-10</v>
          </cell>
        </row>
        <row r="2753">
          <cell r="E2753" t="str">
            <v>D2021/01612</v>
          </cell>
          <cell r="F2753">
            <v>17</v>
          </cell>
          <cell r="L2753" t="str">
            <v>44369-13</v>
          </cell>
        </row>
        <row r="2754">
          <cell r="E2754" t="str">
            <v>D2021/01612</v>
          </cell>
          <cell r="F2754">
            <v>42</v>
          </cell>
          <cell r="L2754" t="str">
            <v>44369-13</v>
          </cell>
        </row>
        <row r="2755">
          <cell r="E2755" t="str">
            <v>D2021/01612</v>
          </cell>
          <cell r="F2755">
            <v>6</v>
          </cell>
          <cell r="L2755" t="str">
            <v>44369-13</v>
          </cell>
        </row>
        <row r="2756">
          <cell r="E2756" t="str">
            <v>D2021/01611</v>
          </cell>
          <cell r="F2756">
            <v>23</v>
          </cell>
          <cell r="L2756" t="str">
            <v>44369-13</v>
          </cell>
        </row>
        <row r="2757">
          <cell r="E2757" t="str">
            <v>D2021/01611</v>
          </cell>
          <cell r="F2757">
            <v>38</v>
          </cell>
          <cell r="L2757" t="str">
            <v>44370-27</v>
          </cell>
        </row>
        <row r="2758">
          <cell r="E2758" t="str">
            <v>D2021/01611</v>
          </cell>
          <cell r="F2758">
            <v>46</v>
          </cell>
          <cell r="L2758" t="str">
            <v>44370-27</v>
          </cell>
        </row>
        <row r="2759">
          <cell r="E2759" t="str">
            <v>D2021/01611</v>
          </cell>
          <cell r="F2759">
            <v>58</v>
          </cell>
          <cell r="L2759" t="str">
            <v>44370-27</v>
          </cell>
        </row>
        <row r="2760">
          <cell r="E2760" t="str">
            <v>D2021/01611</v>
          </cell>
          <cell r="F2760">
            <v>63</v>
          </cell>
          <cell r="L2760" t="str">
            <v>44370-27</v>
          </cell>
        </row>
        <row r="2761">
          <cell r="E2761" t="str">
            <v>D2021/01276</v>
          </cell>
          <cell r="F2761">
            <v>105</v>
          </cell>
          <cell r="L2761" t="str">
            <v>44370-10</v>
          </cell>
        </row>
        <row r="2762">
          <cell r="E2762" t="str">
            <v>D2021/01276</v>
          </cell>
          <cell r="F2762">
            <v>46</v>
          </cell>
          <cell r="L2762" t="str">
            <v>44370-10</v>
          </cell>
        </row>
        <row r="2763">
          <cell r="E2763" t="str">
            <v>D2021/01276</v>
          </cell>
          <cell r="F2763">
            <v>119</v>
          </cell>
          <cell r="L2763" t="str">
            <v>44370-10</v>
          </cell>
        </row>
        <row r="2764">
          <cell r="E2764" t="str">
            <v>D2021/01276</v>
          </cell>
          <cell r="F2764">
            <v>76</v>
          </cell>
          <cell r="L2764" t="str">
            <v>44370-10</v>
          </cell>
        </row>
        <row r="2765">
          <cell r="E2765" t="str">
            <v>D2021/01276</v>
          </cell>
          <cell r="F2765">
            <v>78</v>
          </cell>
          <cell r="L2765" t="str">
            <v>44370-10</v>
          </cell>
        </row>
        <row r="2766">
          <cell r="E2766" t="str">
            <v>D2021/01276</v>
          </cell>
          <cell r="F2766">
            <v>44</v>
          </cell>
          <cell r="L2766" t="str">
            <v>44370-10</v>
          </cell>
        </row>
        <row r="2767">
          <cell r="E2767" t="str">
            <v>D2021/01276</v>
          </cell>
          <cell r="F2767">
            <v>22</v>
          </cell>
          <cell r="L2767" t="str">
            <v>44370-10</v>
          </cell>
        </row>
        <row r="2768">
          <cell r="E2768" t="str">
            <v>D2021/01611</v>
          </cell>
          <cell r="F2768">
            <v>31</v>
          </cell>
          <cell r="L2768" t="str">
            <v>44370-13</v>
          </cell>
        </row>
        <row r="2769">
          <cell r="E2769" t="str">
            <v>D2021/01611</v>
          </cell>
          <cell r="F2769">
            <v>21</v>
          </cell>
          <cell r="L2769" t="str">
            <v>44370-13</v>
          </cell>
        </row>
        <row r="2770">
          <cell r="E2770" t="str">
            <v>D2021/01611</v>
          </cell>
          <cell r="F2770">
            <v>34</v>
          </cell>
          <cell r="L2770" t="str">
            <v>44370-13</v>
          </cell>
        </row>
        <row r="2771">
          <cell r="E2771" t="str">
            <v>D2021/01611</v>
          </cell>
          <cell r="F2771">
            <v>35</v>
          </cell>
          <cell r="L2771" t="str">
            <v>44370-13</v>
          </cell>
        </row>
        <row r="2772">
          <cell r="E2772" t="str">
            <v>D2021/01611</v>
          </cell>
          <cell r="F2772">
            <v>1</v>
          </cell>
          <cell r="L2772" t="str">
            <v>44370-13</v>
          </cell>
        </row>
        <row r="2773">
          <cell r="E2773" t="str">
            <v>D2021/01611</v>
          </cell>
          <cell r="F2773">
            <v>87</v>
          </cell>
          <cell r="L2773" t="str">
            <v>44371-27</v>
          </cell>
        </row>
        <row r="2774">
          <cell r="E2774" t="str">
            <v>D2021/01611</v>
          </cell>
          <cell r="F2774">
            <v>122</v>
          </cell>
          <cell r="L2774" t="str">
            <v>44371-27</v>
          </cell>
        </row>
        <row r="2775">
          <cell r="E2775" t="str">
            <v>D2021/01351</v>
          </cell>
          <cell r="F2775">
            <v>66</v>
          </cell>
          <cell r="L2775" t="str">
            <v>44371-27</v>
          </cell>
        </row>
        <row r="2776">
          <cell r="E2776" t="str">
            <v>D2021/01351</v>
          </cell>
          <cell r="F2776">
            <v>13</v>
          </cell>
          <cell r="L2776" t="str">
            <v>44371-27</v>
          </cell>
        </row>
        <row r="2777">
          <cell r="E2777" t="str">
            <v>D2021/01276</v>
          </cell>
          <cell r="F2777">
            <v>69</v>
          </cell>
          <cell r="L2777" t="str">
            <v>44371-10</v>
          </cell>
        </row>
        <row r="2778">
          <cell r="E2778" t="str">
            <v>D2021/01276</v>
          </cell>
          <cell r="F2778">
            <v>124</v>
          </cell>
          <cell r="L2778" t="str">
            <v>44371-10</v>
          </cell>
        </row>
        <row r="2779">
          <cell r="E2779" t="str">
            <v>D2021/01276</v>
          </cell>
          <cell r="F2779">
            <v>55</v>
          </cell>
          <cell r="L2779" t="str">
            <v>44371-10</v>
          </cell>
        </row>
        <row r="2780">
          <cell r="E2780" t="str">
            <v>D2021/01276</v>
          </cell>
          <cell r="F2780">
            <v>59</v>
          </cell>
          <cell r="L2780" t="str">
            <v>44371-10</v>
          </cell>
        </row>
        <row r="2781">
          <cell r="E2781" t="str">
            <v>D2021/01276</v>
          </cell>
          <cell r="F2781">
            <v>49</v>
          </cell>
          <cell r="L2781" t="str">
            <v>44372-10</v>
          </cell>
        </row>
        <row r="2782">
          <cell r="E2782" t="str">
            <v>D2021/01276</v>
          </cell>
          <cell r="F2782">
            <v>84</v>
          </cell>
          <cell r="L2782" t="str">
            <v>44372-10</v>
          </cell>
        </row>
        <row r="2783">
          <cell r="E2783" t="str">
            <v>D2021/01276</v>
          </cell>
          <cell r="F2783">
            <v>115</v>
          </cell>
          <cell r="L2783" t="str">
            <v>44372-10</v>
          </cell>
        </row>
        <row r="2784">
          <cell r="E2784" t="str">
            <v>D2021/01276</v>
          </cell>
          <cell r="F2784">
            <v>77</v>
          </cell>
          <cell r="L2784" t="str">
            <v>44372-10</v>
          </cell>
        </row>
        <row r="2785">
          <cell r="E2785" t="str">
            <v>D2021/01277</v>
          </cell>
          <cell r="F2785">
            <v>25</v>
          </cell>
          <cell r="L2785" t="str">
            <v>44372-10</v>
          </cell>
        </row>
        <row r="2786">
          <cell r="E2786" t="str">
            <v>D2021/01351</v>
          </cell>
          <cell r="F2786">
            <v>54</v>
          </cell>
          <cell r="L2786" t="str">
            <v>44371-13</v>
          </cell>
        </row>
        <row r="2787">
          <cell r="E2787" t="str">
            <v>D2021/01351</v>
          </cell>
          <cell r="F2787">
            <v>15</v>
          </cell>
          <cell r="L2787" t="str">
            <v>44371-13</v>
          </cell>
        </row>
        <row r="2788">
          <cell r="E2788" t="str">
            <v>D2021/01351</v>
          </cell>
          <cell r="F2788">
            <v>24</v>
          </cell>
          <cell r="L2788" t="str">
            <v>44371-13</v>
          </cell>
        </row>
        <row r="2789">
          <cell r="E2789" t="str">
            <v>D2021/01351</v>
          </cell>
          <cell r="F2789">
            <v>40</v>
          </cell>
          <cell r="L2789" t="str">
            <v>44371-13</v>
          </cell>
        </row>
        <row r="2790">
          <cell r="E2790" t="str">
            <v>D2021/01351</v>
          </cell>
          <cell r="F2790">
            <v>21</v>
          </cell>
          <cell r="L2790" t="str">
            <v>44371-13</v>
          </cell>
        </row>
        <row r="2791">
          <cell r="E2791" t="str">
            <v>D2021/01351</v>
          </cell>
          <cell r="F2791">
            <v>6</v>
          </cell>
          <cell r="L2791" t="str">
            <v>44371-13</v>
          </cell>
        </row>
        <row r="2792">
          <cell r="E2792" t="str">
            <v>D2021/01351</v>
          </cell>
          <cell r="F2792">
            <v>16</v>
          </cell>
          <cell r="L2792" t="str">
            <v>44371-13</v>
          </cell>
        </row>
        <row r="2793">
          <cell r="E2793" t="str">
            <v>D2021/01351</v>
          </cell>
          <cell r="F2793">
            <v>16</v>
          </cell>
          <cell r="L2793" t="str">
            <v>44371-13</v>
          </cell>
        </row>
        <row r="2794">
          <cell r="E2794" t="str">
            <v>D2021/01351</v>
          </cell>
          <cell r="F2794">
            <v>9</v>
          </cell>
          <cell r="L2794" t="str">
            <v>44371-13</v>
          </cell>
        </row>
        <row r="2795">
          <cell r="E2795" t="str">
            <v>D2021/01351</v>
          </cell>
          <cell r="F2795">
            <v>32</v>
          </cell>
          <cell r="L2795" t="str">
            <v>44372-27</v>
          </cell>
        </row>
        <row r="2796">
          <cell r="E2796" t="str">
            <v>D2021/01351</v>
          </cell>
          <cell r="F2796">
            <v>117</v>
          </cell>
          <cell r="L2796" t="str">
            <v>44372-27</v>
          </cell>
        </row>
        <row r="2797">
          <cell r="E2797" t="str">
            <v>D2021/01351</v>
          </cell>
          <cell r="F2797">
            <v>17</v>
          </cell>
          <cell r="L2797" t="str">
            <v>44372-21</v>
          </cell>
        </row>
        <row r="2798">
          <cell r="E2798" t="str">
            <v>D2021/01351</v>
          </cell>
          <cell r="F2798">
            <v>19</v>
          </cell>
          <cell r="L2798" t="str">
            <v>44372-21</v>
          </cell>
        </row>
        <row r="2799">
          <cell r="E2799" t="str">
            <v>D2021/01351</v>
          </cell>
          <cell r="F2799">
            <v>12</v>
          </cell>
          <cell r="L2799" t="str">
            <v>44372-21</v>
          </cell>
        </row>
        <row r="2800">
          <cell r="E2800" t="str">
            <v>D2021/01351</v>
          </cell>
          <cell r="F2800">
            <v>2</v>
          </cell>
          <cell r="L2800" t="str">
            <v>44372-21</v>
          </cell>
        </row>
        <row r="2801">
          <cell r="E2801" t="str">
            <v>D2021/01351</v>
          </cell>
          <cell r="F2801">
            <v>12</v>
          </cell>
          <cell r="L2801" t="str">
            <v>44372-21</v>
          </cell>
        </row>
        <row r="2802">
          <cell r="E2802" t="str">
            <v>D2021/01351</v>
          </cell>
          <cell r="F2802">
            <v>124</v>
          </cell>
          <cell r="L2802" t="str">
            <v>44375-10</v>
          </cell>
        </row>
        <row r="2803">
          <cell r="E2803" t="str">
            <v>D2021/01287</v>
          </cell>
          <cell r="F2803">
            <v>12</v>
          </cell>
          <cell r="L2803" t="str">
            <v>44375-10</v>
          </cell>
        </row>
        <row r="2804">
          <cell r="E2804" t="str">
            <v>D2021/01287</v>
          </cell>
          <cell r="F2804">
            <v>8</v>
          </cell>
          <cell r="L2804" t="str">
            <v>44375-10</v>
          </cell>
        </row>
        <row r="2805">
          <cell r="E2805" t="str">
            <v>D2021/01139</v>
          </cell>
          <cell r="F2805">
            <v>22</v>
          </cell>
          <cell r="L2805" t="str">
            <v>44375-10</v>
          </cell>
        </row>
        <row r="2806">
          <cell r="E2806" t="str">
            <v>D2021/01139</v>
          </cell>
          <cell r="F2806">
            <v>6</v>
          </cell>
          <cell r="L2806" t="str">
            <v>44375-13</v>
          </cell>
        </row>
        <row r="2807">
          <cell r="E2807" t="str">
            <v>D2021/01139</v>
          </cell>
          <cell r="F2807">
            <v>9</v>
          </cell>
          <cell r="L2807" t="str">
            <v>44375-13</v>
          </cell>
        </row>
        <row r="2808">
          <cell r="E2808" t="str">
            <v>D2021/01139</v>
          </cell>
          <cell r="F2808">
            <v>8</v>
          </cell>
          <cell r="L2808" t="str">
            <v>44375-13</v>
          </cell>
        </row>
        <row r="2809">
          <cell r="E2809" t="str">
            <v>D2021/01277</v>
          </cell>
          <cell r="F2809">
            <v>67</v>
          </cell>
          <cell r="L2809" t="str">
            <v>44376-10</v>
          </cell>
        </row>
        <row r="2810">
          <cell r="E2810" t="str">
            <v>D2021/01277</v>
          </cell>
          <cell r="F2810">
            <v>95</v>
          </cell>
          <cell r="L2810" t="str">
            <v>44376-10</v>
          </cell>
        </row>
        <row r="2811">
          <cell r="E2811" t="str">
            <v>D2021/01277</v>
          </cell>
          <cell r="F2811">
            <v>104</v>
          </cell>
          <cell r="L2811" t="str">
            <v>44376-10</v>
          </cell>
        </row>
        <row r="2812">
          <cell r="E2812" t="str">
            <v>D2021/01139</v>
          </cell>
          <cell r="F2812">
            <v>6</v>
          </cell>
          <cell r="L2812" t="str">
            <v>44375-13</v>
          </cell>
        </row>
        <row r="2813">
          <cell r="E2813" t="str">
            <v>D2021/01139</v>
          </cell>
          <cell r="F2813">
            <v>9</v>
          </cell>
          <cell r="L2813" t="str">
            <v>44375-13</v>
          </cell>
        </row>
        <row r="2814">
          <cell r="E2814" t="str">
            <v>D2021/01139</v>
          </cell>
          <cell r="F2814">
            <v>8</v>
          </cell>
          <cell r="L2814" t="str">
            <v>44375-13</v>
          </cell>
        </row>
        <row r="2815">
          <cell r="E2815" t="str">
            <v>D2021/01139</v>
          </cell>
          <cell r="F2815">
            <v>4</v>
          </cell>
          <cell r="L2815" t="str">
            <v>44375-13</v>
          </cell>
        </row>
        <row r="2816">
          <cell r="E2816" t="str">
            <v>D2021/01139</v>
          </cell>
          <cell r="F2816">
            <v>7</v>
          </cell>
          <cell r="L2816" t="str">
            <v>44375-13</v>
          </cell>
        </row>
        <row r="2817">
          <cell r="E2817" t="str">
            <v>D2021/01139</v>
          </cell>
          <cell r="F2817">
            <v>8</v>
          </cell>
          <cell r="L2817" t="str">
            <v>44375-13</v>
          </cell>
        </row>
        <row r="2818">
          <cell r="E2818" t="str">
            <v>D2021/01139</v>
          </cell>
          <cell r="F2818">
            <v>38</v>
          </cell>
          <cell r="L2818" t="str">
            <v>44376-27</v>
          </cell>
        </row>
        <row r="2819">
          <cell r="E2819" t="str">
            <v>D2021/01139</v>
          </cell>
          <cell r="F2819">
            <v>101</v>
          </cell>
          <cell r="L2819" t="str">
            <v>44376-27</v>
          </cell>
        </row>
        <row r="2820">
          <cell r="E2820" t="str">
            <v>D2021/01139</v>
          </cell>
          <cell r="F2820">
            <v>94</v>
          </cell>
          <cell r="L2820" t="str">
            <v>44376-27</v>
          </cell>
        </row>
        <row r="2821">
          <cell r="E2821" t="str">
            <v>D2021/01139</v>
          </cell>
          <cell r="F2821">
            <v>7</v>
          </cell>
          <cell r="L2821" t="str">
            <v>44376-13</v>
          </cell>
        </row>
        <row r="2822">
          <cell r="E2822" t="str">
            <v>D2021/01139</v>
          </cell>
          <cell r="F2822">
            <v>6</v>
          </cell>
          <cell r="L2822" t="str">
            <v>44376-13</v>
          </cell>
        </row>
        <row r="2823">
          <cell r="E2823" t="str">
            <v>D2021/01139</v>
          </cell>
          <cell r="F2823">
            <v>4</v>
          </cell>
          <cell r="L2823" t="str">
            <v>44376-13</v>
          </cell>
        </row>
        <row r="2824">
          <cell r="E2824" t="str">
            <v>D2021/01138</v>
          </cell>
          <cell r="F2824">
            <v>6</v>
          </cell>
          <cell r="L2824" t="str">
            <v>44376-13</v>
          </cell>
        </row>
        <row r="2825">
          <cell r="E2825" t="str">
            <v>D2021/01138</v>
          </cell>
          <cell r="F2825">
            <v>17</v>
          </cell>
          <cell r="L2825" t="str">
            <v>44376-13</v>
          </cell>
        </row>
        <row r="2826">
          <cell r="E2826" t="str">
            <v>D2021/01138</v>
          </cell>
          <cell r="F2826">
            <v>4</v>
          </cell>
          <cell r="L2826" t="str">
            <v>44376-13</v>
          </cell>
        </row>
        <row r="2827">
          <cell r="E2827" t="str">
            <v>D2021/01138</v>
          </cell>
          <cell r="F2827">
            <v>89</v>
          </cell>
          <cell r="L2827" t="str">
            <v>44376-13</v>
          </cell>
        </row>
        <row r="2828">
          <cell r="E2828" t="str">
            <v>D2021/01138</v>
          </cell>
          <cell r="F2828">
            <v>31</v>
          </cell>
          <cell r="L2828" t="str">
            <v>44377-27</v>
          </cell>
        </row>
        <row r="2829">
          <cell r="E2829" t="str">
            <v>D2021/01138</v>
          </cell>
          <cell r="F2829">
            <v>26</v>
          </cell>
          <cell r="L2829" t="str">
            <v>44377-27</v>
          </cell>
        </row>
        <row r="2830">
          <cell r="E2830" t="str">
            <v>D2021/01138</v>
          </cell>
          <cell r="F2830">
            <v>51</v>
          </cell>
          <cell r="L2830" t="str">
            <v>44377-27</v>
          </cell>
        </row>
        <row r="2831">
          <cell r="E2831" t="str">
            <v>D2021/01138</v>
          </cell>
          <cell r="F2831">
            <v>7</v>
          </cell>
          <cell r="L2831" t="str">
            <v>44377-27</v>
          </cell>
        </row>
        <row r="2832">
          <cell r="E2832" t="str">
            <v>D2021/01138</v>
          </cell>
          <cell r="F2832">
            <v>44</v>
          </cell>
          <cell r="L2832" t="str">
            <v>44377-13</v>
          </cell>
        </row>
        <row r="2833">
          <cell r="E2833" t="str">
            <v>D2021/01138</v>
          </cell>
          <cell r="F2833">
            <v>23</v>
          </cell>
          <cell r="L2833" t="str">
            <v>44377-13</v>
          </cell>
        </row>
        <row r="2834">
          <cell r="E2834" t="str">
            <v>D2021/01289</v>
          </cell>
          <cell r="F2834">
            <v>56</v>
          </cell>
          <cell r="L2834" t="str">
            <v>44377-13</v>
          </cell>
        </row>
        <row r="2835">
          <cell r="E2835" t="str">
            <v>D2021/01289</v>
          </cell>
          <cell r="F2835">
            <v>71</v>
          </cell>
          <cell r="L2835" t="str">
            <v>44377-13</v>
          </cell>
        </row>
        <row r="2836">
          <cell r="E2836" t="str">
            <v>D2021/01289</v>
          </cell>
          <cell r="F2836">
            <v>6</v>
          </cell>
          <cell r="L2836" t="str">
            <v>44377-13</v>
          </cell>
        </row>
        <row r="2837">
          <cell r="E2837" t="str">
            <v>D2021/01289</v>
          </cell>
          <cell r="F2837">
            <v>5</v>
          </cell>
          <cell r="L2837" t="str">
            <v>44377-13</v>
          </cell>
        </row>
        <row r="2838">
          <cell r="E2838" t="str">
            <v>D2021/01827</v>
          </cell>
          <cell r="F2838">
            <v>19</v>
          </cell>
          <cell r="L2838" t="str">
            <v>44377-13</v>
          </cell>
        </row>
        <row r="2839">
          <cell r="E2839" t="str">
            <v>D2021/01827</v>
          </cell>
          <cell r="F2839">
            <v>7</v>
          </cell>
          <cell r="L2839" t="str">
            <v>44377-13</v>
          </cell>
        </row>
        <row r="2840">
          <cell r="E2840" t="str">
            <v>D2021/01277</v>
          </cell>
          <cell r="F2840">
            <v>60</v>
          </cell>
          <cell r="L2840" t="str">
            <v>44377-10</v>
          </cell>
        </row>
        <row r="2841">
          <cell r="E2841" t="str">
            <v>D2021/01277</v>
          </cell>
          <cell r="F2841">
            <v>22</v>
          </cell>
          <cell r="L2841" t="str">
            <v>44377-10</v>
          </cell>
        </row>
        <row r="2842">
          <cell r="E2842" t="str">
            <v>D2021/01277</v>
          </cell>
          <cell r="F2842">
            <v>37</v>
          </cell>
          <cell r="L2842" t="str">
            <v>44377-10</v>
          </cell>
        </row>
        <row r="2843">
          <cell r="E2843" t="str">
            <v>D2021/01277</v>
          </cell>
          <cell r="F2843">
            <v>46</v>
          </cell>
          <cell r="L2843" t="str">
            <v>44377-10</v>
          </cell>
        </row>
        <row r="2844">
          <cell r="E2844" t="str">
            <v>D2021/01277</v>
          </cell>
          <cell r="F2844">
            <v>42</v>
          </cell>
          <cell r="L2844" t="str">
            <v>44377-10</v>
          </cell>
        </row>
        <row r="2845">
          <cell r="E2845" t="str">
            <v>D2021/01827</v>
          </cell>
          <cell r="F2845">
            <v>46</v>
          </cell>
          <cell r="L2845" t="str">
            <v>44378-27</v>
          </cell>
        </row>
        <row r="2846">
          <cell r="E2846" t="str">
            <v>D2021/01827</v>
          </cell>
          <cell r="F2846">
            <v>50</v>
          </cell>
          <cell r="L2846" t="str">
            <v>44378-27</v>
          </cell>
        </row>
        <row r="2847">
          <cell r="E2847" t="str">
            <v>D2021/01277</v>
          </cell>
          <cell r="F2847">
            <v>25</v>
          </cell>
          <cell r="L2847" t="str">
            <v>44378-10</v>
          </cell>
        </row>
        <row r="2848">
          <cell r="E2848" t="str">
            <v>D2021/01277</v>
          </cell>
          <cell r="F2848">
            <v>52</v>
          </cell>
          <cell r="L2848" t="str">
            <v>44378-10</v>
          </cell>
        </row>
        <row r="2849">
          <cell r="E2849" t="str">
            <v>D2021/01277</v>
          </cell>
          <cell r="F2849">
            <v>63</v>
          </cell>
          <cell r="L2849" t="str">
            <v>44378-10</v>
          </cell>
        </row>
        <row r="2850">
          <cell r="E2850" t="str">
            <v>D2021/01277</v>
          </cell>
          <cell r="F2850">
            <v>45</v>
          </cell>
          <cell r="L2850" t="str">
            <v>44378-10</v>
          </cell>
        </row>
        <row r="2851">
          <cell r="E2851" t="str">
            <v>D2021/01277</v>
          </cell>
          <cell r="F2851">
            <v>7</v>
          </cell>
          <cell r="L2851" t="str">
            <v>44378-10</v>
          </cell>
        </row>
        <row r="2852">
          <cell r="E2852" t="str">
            <v>D2021/01277</v>
          </cell>
          <cell r="F2852">
            <v>44</v>
          </cell>
          <cell r="L2852" t="str">
            <v>44378-13</v>
          </cell>
        </row>
        <row r="2853">
          <cell r="E2853" t="str">
            <v>D2021/01277</v>
          </cell>
          <cell r="F2853">
            <v>15</v>
          </cell>
          <cell r="L2853" t="str">
            <v>44378-13</v>
          </cell>
        </row>
        <row r="2854">
          <cell r="E2854" t="str">
            <v>D2021/01277</v>
          </cell>
          <cell r="F2854">
            <v>3</v>
          </cell>
          <cell r="L2854" t="str">
            <v>44378-13</v>
          </cell>
        </row>
        <row r="2855">
          <cell r="E2855" t="str">
            <v>D2021/01277</v>
          </cell>
          <cell r="F2855">
            <v>121</v>
          </cell>
          <cell r="L2855" t="str">
            <v>44389-27</v>
          </cell>
        </row>
        <row r="2856">
          <cell r="E2856" t="str">
            <v>D2021/01277</v>
          </cell>
          <cell r="F2856">
            <v>90</v>
          </cell>
          <cell r="L2856" t="str">
            <v>44389-27</v>
          </cell>
        </row>
        <row r="2857">
          <cell r="E2857" t="str">
            <v>D2021/01277</v>
          </cell>
          <cell r="F2857">
            <v>121</v>
          </cell>
          <cell r="L2857" t="str">
            <v>44389-27</v>
          </cell>
        </row>
        <row r="2858">
          <cell r="E2858" t="str">
            <v>D2021/01277</v>
          </cell>
          <cell r="F2858">
            <v>12</v>
          </cell>
          <cell r="L2858" t="str">
            <v>44389-27</v>
          </cell>
        </row>
        <row r="2859">
          <cell r="E2859" t="str">
            <v>D2021/01275</v>
          </cell>
          <cell r="F2859">
            <v>246</v>
          </cell>
          <cell r="L2859" t="str">
            <v>44389-10</v>
          </cell>
        </row>
        <row r="2860">
          <cell r="E2860" t="str">
            <v>D2021/01275</v>
          </cell>
          <cell r="F2860">
            <v>123</v>
          </cell>
          <cell r="L2860" t="str">
            <v>44389-10</v>
          </cell>
        </row>
        <row r="2861">
          <cell r="E2861" t="str">
            <v>D2021/01275</v>
          </cell>
          <cell r="F2861">
            <v>13</v>
          </cell>
          <cell r="L2861" t="str">
            <v>44389-10</v>
          </cell>
        </row>
        <row r="2862">
          <cell r="E2862" t="str">
            <v>D2021/01275</v>
          </cell>
          <cell r="F2862">
            <v>14</v>
          </cell>
          <cell r="L2862" t="str">
            <v>44389-10</v>
          </cell>
        </row>
        <row r="2863">
          <cell r="E2863" t="str">
            <v>D2021/01275</v>
          </cell>
          <cell r="F2863">
            <v>9</v>
          </cell>
          <cell r="L2863" t="str">
            <v>44389-13</v>
          </cell>
        </row>
        <row r="2864">
          <cell r="E2864" t="str">
            <v>D2021/01275</v>
          </cell>
          <cell r="F2864">
            <v>93</v>
          </cell>
          <cell r="L2864" t="str">
            <v>44389-13</v>
          </cell>
        </row>
        <row r="2865">
          <cell r="E2865" t="str">
            <v>D2021/01275</v>
          </cell>
          <cell r="F2865">
            <v>14</v>
          </cell>
          <cell r="L2865" t="str">
            <v>44389-13</v>
          </cell>
        </row>
        <row r="2866">
          <cell r="E2866" t="str">
            <v>D2021/01277</v>
          </cell>
          <cell r="F2866">
            <v>89</v>
          </cell>
          <cell r="L2866" t="str">
            <v>44390-27</v>
          </cell>
        </row>
        <row r="2867">
          <cell r="E2867" t="str">
            <v>D2021/01277</v>
          </cell>
          <cell r="F2867">
            <v>311</v>
          </cell>
          <cell r="L2867" t="str">
            <v>44390-27</v>
          </cell>
        </row>
        <row r="2868">
          <cell r="E2868" t="str">
            <v>D2021/01277</v>
          </cell>
          <cell r="F2868">
            <v>30</v>
          </cell>
          <cell r="L2868" t="str">
            <v>44390-27</v>
          </cell>
        </row>
        <row r="2869">
          <cell r="E2869" t="str">
            <v>D2021/01277</v>
          </cell>
          <cell r="F2869">
            <v>67</v>
          </cell>
          <cell r="L2869" t="str">
            <v>44390-27</v>
          </cell>
        </row>
        <row r="2870">
          <cell r="E2870" t="str">
            <v>D2021/01277</v>
          </cell>
          <cell r="F2870">
            <v>20</v>
          </cell>
          <cell r="L2870" t="str">
            <v>44390-27</v>
          </cell>
        </row>
        <row r="2871">
          <cell r="E2871" t="str">
            <v>D2021/01275</v>
          </cell>
          <cell r="F2871">
            <v>93</v>
          </cell>
          <cell r="L2871" t="str">
            <v>44390-10</v>
          </cell>
        </row>
        <row r="2872">
          <cell r="E2872" t="str">
            <v>D2021/01275</v>
          </cell>
          <cell r="F2872">
            <v>89</v>
          </cell>
          <cell r="L2872" t="str">
            <v>44390-10</v>
          </cell>
        </row>
        <row r="2873">
          <cell r="E2873" t="str">
            <v>D2021/01275</v>
          </cell>
          <cell r="F2873">
            <v>28</v>
          </cell>
          <cell r="L2873" t="str">
            <v>44390-10</v>
          </cell>
        </row>
        <row r="2874">
          <cell r="E2874" t="str">
            <v>D2021/01275</v>
          </cell>
          <cell r="F2874">
            <v>18</v>
          </cell>
          <cell r="L2874" t="str">
            <v>44390-13</v>
          </cell>
        </row>
        <row r="2875">
          <cell r="E2875" t="str">
            <v>D2021/01275</v>
          </cell>
          <cell r="F2875">
            <v>33</v>
          </cell>
          <cell r="L2875" t="str">
            <v>44390-13</v>
          </cell>
        </row>
        <row r="2876">
          <cell r="E2876" t="str">
            <v>D2021/01275</v>
          </cell>
          <cell r="F2876">
            <v>7</v>
          </cell>
          <cell r="L2876" t="str">
            <v>44390-13</v>
          </cell>
        </row>
        <row r="2877">
          <cell r="E2877" t="str">
            <v>D2021/01275</v>
          </cell>
          <cell r="F2877">
            <v>14</v>
          </cell>
          <cell r="L2877" t="str">
            <v>44390-13</v>
          </cell>
        </row>
        <row r="2878">
          <cell r="E2878" t="str">
            <v>D2021/01275</v>
          </cell>
          <cell r="F2878">
            <v>22</v>
          </cell>
          <cell r="L2878" t="str">
            <v>44390-13</v>
          </cell>
        </row>
        <row r="2879">
          <cell r="E2879" t="str">
            <v>D2021/01275</v>
          </cell>
          <cell r="F2879">
            <v>6</v>
          </cell>
          <cell r="L2879" t="str">
            <v>44390-13</v>
          </cell>
        </row>
        <row r="2880">
          <cell r="E2880" t="str">
            <v>D2021/01275</v>
          </cell>
          <cell r="F2880">
            <v>15</v>
          </cell>
          <cell r="L2880" t="str">
            <v>44390-13</v>
          </cell>
        </row>
        <row r="2881">
          <cell r="E2881" t="str">
            <v>D2021/01275</v>
          </cell>
          <cell r="F2881">
            <v>28</v>
          </cell>
          <cell r="L2881" t="str">
            <v>44390-13</v>
          </cell>
        </row>
        <row r="2882">
          <cell r="E2882" t="str">
            <v>D2021/01275</v>
          </cell>
          <cell r="F2882">
            <v>18</v>
          </cell>
          <cell r="L2882" t="str">
            <v>44390-13</v>
          </cell>
        </row>
        <row r="2883">
          <cell r="E2883" t="str">
            <v>D2021/01275</v>
          </cell>
          <cell r="F2883">
            <v>100</v>
          </cell>
          <cell r="L2883" t="str">
            <v>44391-35</v>
          </cell>
        </row>
        <row r="2884">
          <cell r="E2884" t="str">
            <v>D2021/01275</v>
          </cell>
          <cell r="F2884">
            <v>42</v>
          </cell>
          <cell r="L2884" t="str">
            <v>44391-35</v>
          </cell>
        </row>
        <row r="2885">
          <cell r="E2885" t="str">
            <v>D2021/01275</v>
          </cell>
          <cell r="F2885">
            <v>57</v>
          </cell>
          <cell r="L2885" t="str">
            <v>44391-35</v>
          </cell>
        </row>
        <row r="2886">
          <cell r="E2886" t="str">
            <v>D2021/01275</v>
          </cell>
          <cell r="F2886">
            <v>103</v>
          </cell>
          <cell r="L2886" t="str">
            <v>44391-35</v>
          </cell>
        </row>
        <row r="2887">
          <cell r="E2887" t="str">
            <v>D2021/01275</v>
          </cell>
          <cell r="F2887">
            <v>62</v>
          </cell>
          <cell r="L2887" t="str">
            <v>44391-35</v>
          </cell>
        </row>
        <row r="2888">
          <cell r="E2888" t="str">
            <v>D2021/01275</v>
          </cell>
          <cell r="F2888">
            <v>62</v>
          </cell>
          <cell r="L2888" t="str">
            <v>44391-35</v>
          </cell>
        </row>
        <row r="2889">
          <cell r="E2889" t="str">
            <v>D2021/01275</v>
          </cell>
          <cell r="F2889">
            <v>79</v>
          </cell>
          <cell r="L2889" t="str">
            <v>44391-13</v>
          </cell>
        </row>
        <row r="2890">
          <cell r="E2890" t="str">
            <v>D2021/01275</v>
          </cell>
          <cell r="F2890">
            <v>5</v>
          </cell>
          <cell r="L2890" t="str">
            <v>44391-13</v>
          </cell>
        </row>
        <row r="2891">
          <cell r="E2891" t="str">
            <v>D2021/01275</v>
          </cell>
          <cell r="F2891">
            <v>24</v>
          </cell>
          <cell r="L2891" t="str">
            <v>44391-13</v>
          </cell>
        </row>
        <row r="2892">
          <cell r="E2892" t="str">
            <v>D2021/01275</v>
          </cell>
          <cell r="F2892">
            <v>99</v>
          </cell>
          <cell r="L2892" t="str">
            <v>44391-13</v>
          </cell>
        </row>
        <row r="2893">
          <cell r="E2893" t="str">
            <v>D2021/01275</v>
          </cell>
          <cell r="F2893">
            <v>31</v>
          </cell>
          <cell r="L2893" t="str">
            <v>44392-10</v>
          </cell>
        </row>
        <row r="2894">
          <cell r="E2894" t="str">
            <v>D2021/01275</v>
          </cell>
          <cell r="F2894">
            <v>77</v>
          </cell>
          <cell r="L2894" t="str">
            <v>44392-10</v>
          </cell>
        </row>
        <row r="2895">
          <cell r="E2895" t="str">
            <v>D2021/01275</v>
          </cell>
          <cell r="F2895">
            <v>120</v>
          </cell>
          <cell r="L2895" t="str">
            <v>44392-10</v>
          </cell>
        </row>
        <row r="2896">
          <cell r="E2896" t="str">
            <v>D2021/01277</v>
          </cell>
          <cell r="F2896">
            <v>62</v>
          </cell>
          <cell r="L2896" t="str">
            <v>44392-27</v>
          </cell>
        </row>
        <row r="2897">
          <cell r="E2897" t="str">
            <v>D2021/01277</v>
          </cell>
          <cell r="F2897">
            <v>43</v>
          </cell>
          <cell r="L2897" t="str">
            <v>44392-27</v>
          </cell>
        </row>
        <row r="2898">
          <cell r="E2898" t="str">
            <v>D2021/01277</v>
          </cell>
          <cell r="F2898">
            <v>64</v>
          </cell>
          <cell r="L2898" t="str">
            <v>44392-27</v>
          </cell>
        </row>
        <row r="2899">
          <cell r="E2899" t="str">
            <v>D2021/01277</v>
          </cell>
          <cell r="F2899">
            <v>189</v>
          </cell>
          <cell r="L2899" t="str">
            <v>44392-27</v>
          </cell>
        </row>
        <row r="2900">
          <cell r="E2900" t="str">
            <v>D2021/01277</v>
          </cell>
          <cell r="F2900">
            <v>59</v>
          </cell>
          <cell r="L2900" t="str">
            <v>44392-27</v>
          </cell>
        </row>
        <row r="2901">
          <cell r="E2901" t="str">
            <v>D2021/01275</v>
          </cell>
          <cell r="F2901">
            <v>76</v>
          </cell>
          <cell r="L2901" t="str">
            <v>44392-21</v>
          </cell>
        </row>
        <row r="2902">
          <cell r="E2902" t="str">
            <v>D2021/01275</v>
          </cell>
          <cell r="F2902">
            <v>249</v>
          </cell>
          <cell r="L2902" t="str">
            <v>44392-21</v>
          </cell>
        </row>
        <row r="2903">
          <cell r="E2903" t="str">
            <v>D2021/01275</v>
          </cell>
          <cell r="F2903">
            <v>36</v>
          </cell>
          <cell r="L2903" t="str">
            <v>44392-21</v>
          </cell>
        </row>
        <row r="2904">
          <cell r="E2904" t="str">
            <v>D2021/01275</v>
          </cell>
          <cell r="F2904">
            <v>3</v>
          </cell>
          <cell r="L2904" t="str">
            <v>44392-21</v>
          </cell>
        </row>
        <row r="2905">
          <cell r="E2905" t="str">
            <v>D2021/01275</v>
          </cell>
          <cell r="F2905">
            <v>10</v>
          </cell>
          <cell r="L2905" t="str">
            <v>44392-21</v>
          </cell>
        </row>
        <row r="2906">
          <cell r="E2906" t="str">
            <v>D2021/01277</v>
          </cell>
          <cell r="F2906">
            <v>85</v>
          </cell>
          <cell r="L2906" t="str">
            <v>44393-27</v>
          </cell>
        </row>
        <row r="2907">
          <cell r="E2907" t="str">
            <v>D2021/01278</v>
          </cell>
          <cell r="F2907">
            <v>423</v>
          </cell>
          <cell r="L2907" t="str">
            <v>44393-27</v>
          </cell>
        </row>
        <row r="2908">
          <cell r="E2908" t="str">
            <v>D2021/01278</v>
          </cell>
          <cell r="F2908">
            <v>136</v>
          </cell>
          <cell r="L2908" t="str">
            <v>44393-27</v>
          </cell>
        </row>
        <row r="2909">
          <cell r="E2909" t="str">
            <v>D2021/01278</v>
          </cell>
          <cell r="F2909">
            <v>90</v>
          </cell>
          <cell r="L2909" t="str">
            <v>44393-27</v>
          </cell>
        </row>
        <row r="2910">
          <cell r="E2910" t="str">
            <v>D2021/01278</v>
          </cell>
          <cell r="F2910">
            <v>6</v>
          </cell>
          <cell r="L2910" t="str">
            <v>44393-27</v>
          </cell>
        </row>
        <row r="2911">
          <cell r="E2911" t="str">
            <v>D2021/01846</v>
          </cell>
          <cell r="F2911">
            <v>100</v>
          </cell>
          <cell r="L2911" t="str">
            <v>44393-10</v>
          </cell>
        </row>
        <row r="2912">
          <cell r="E2912" t="str">
            <v>D2021/01846</v>
          </cell>
          <cell r="F2912">
            <v>95</v>
          </cell>
          <cell r="L2912" t="str">
            <v>44393-10</v>
          </cell>
        </row>
        <row r="2913">
          <cell r="E2913" t="str">
            <v>D2021/01846</v>
          </cell>
          <cell r="F2913">
            <v>80</v>
          </cell>
          <cell r="L2913" t="str">
            <v>44393-10</v>
          </cell>
        </row>
        <row r="2914">
          <cell r="E2914" t="str">
            <v>D2021/01846</v>
          </cell>
          <cell r="F2914">
            <v>25</v>
          </cell>
          <cell r="L2914" t="str">
            <v>44393-10</v>
          </cell>
        </row>
        <row r="2915">
          <cell r="E2915" t="str">
            <v>D2021/01846</v>
          </cell>
          <cell r="F2915">
            <v>19</v>
          </cell>
          <cell r="L2915" t="str">
            <v>44393-10</v>
          </cell>
        </row>
        <row r="2916">
          <cell r="E2916" t="str">
            <v>D2021/01846</v>
          </cell>
          <cell r="F2916">
            <v>82</v>
          </cell>
          <cell r="L2916" t="str">
            <v>44393-13</v>
          </cell>
        </row>
        <row r="2917">
          <cell r="E2917" t="str">
            <v>D2021/01846</v>
          </cell>
          <cell r="F2917">
            <v>23</v>
          </cell>
          <cell r="L2917" t="str">
            <v>44393-13</v>
          </cell>
        </row>
        <row r="2918">
          <cell r="E2918" t="str">
            <v>D2021/01846</v>
          </cell>
          <cell r="F2918">
            <v>25</v>
          </cell>
          <cell r="L2918" t="str">
            <v>44393-13</v>
          </cell>
        </row>
        <row r="2919">
          <cell r="E2919" t="str">
            <v>D2021/01846</v>
          </cell>
          <cell r="F2919">
            <v>20</v>
          </cell>
          <cell r="L2919" t="str">
            <v>44393-13</v>
          </cell>
        </row>
        <row r="2920">
          <cell r="E2920" t="str">
            <v>D2021/01846</v>
          </cell>
          <cell r="F2920">
            <v>10</v>
          </cell>
          <cell r="L2920" t="str">
            <v>44393-13</v>
          </cell>
        </row>
        <row r="2921">
          <cell r="E2921" t="str">
            <v>D2021/01355</v>
          </cell>
          <cell r="F2921">
            <v>25</v>
          </cell>
          <cell r="L2921" t="str">
            <v>44396-10</v>
          </cell>
        </row>
        <row r="2922">
          <cell r="E2922" t="str">
            <v>D2021/01355</v>
          </cell>
          <cell r="F2922">
            <v>51</v>
          </cell>
          <cell r="L2922" t="str">
            <v>44396-10</v>
          </cell>
        </row>
        <row r="2923">
          <cell r="E2923" t="str">
            <v>D2021/01355</v>
          </cell>
          <cell r="F2923">
            <v>17</v>
          </cell>
          <cell r="L2923" t="str">
            <v>44396-10</v>
          </cell>
        </row>
        <row r="2924">
          <cell r="E2924" t="str">
            <v>D2021/01355</v>
          </cell>
          <cell r="F2924">
            <v>10</v>
          </cell>
          <cell r="L2924" t="str">
            <v>44396-10</v>
          </cell>
        </row>
        <row r="2925">
          <cell r="E2925" t="str">
            <v>D2021/01355</v>
          </cell>
          <cell r="F2925">
            <v>11</v>
          </cell>
          <cell r="L2925" t="str">
            <v>44396-10</v>
          </cell>
        </row>
        <row r="2926">
          <cell r="E2926" t="str">
            <v>D2021/01355</v>
          </cell>
          <cell r="F2926">
            <v>24</v>
          </cell>
          <cell r="L2926" t="str">
            <v>44396-10</v>
          </cell>
        </row>
        <row r="2927">
          <cell r="E2927" t="str">
            <v>D2021/01355</v>
          </cell>
          <cell r="F2927">
            <v>38</v>
          </cell>
          <cell r="L2927" t="str">
            <v>44396-10</v>
          </cell>
        </row>
        <row r="2928">
          <cell r="E2928" t="str">
            <v>D2021/01355</v>
          </cell>
          <cell r="F2928">
            <v>22</v>
          </cell>
          <cell r="L2928" t="str">
            <v>44396-13</v>
          </cell>
        </row>
        <row r="2929">
          <cell r="E2929" t="str">
            <v>D2021/01355</v>
          </cell>
          <cell r="F2929">
            <v>28</v>
          </cell>
          <cell r="L2929" t="str">
            <v>44396-13</v>
          </cell>
        </row>
        <row r="2930">
          <cell r="E2930" t="str">
            <v>D2021/01355</v>
          </cell>
          <cell r="F2930">
            <v>13</v>
          </cell>
          <cell r="L2930" t="str">
            <v>44396-13</v>
          </cell>
        </row>
        <row r="2931">
          <cell r="E2931" t="str">
            <v>D2021/01355</v>
          </cell>
          <cell r="F2931">
            <v>5</v>
          </cell>
          <cell r="L2931" t="str">
            <v>44396-13</v>
          </cell>
        </row>
        <row r="2932">
          <cell r="E2932" t="str">
            <v>D2021/01355</v>
          </cell>
          <cell r="F2932">
            <v>24</v>
          </cell>
          <cell r="L2932" t="str">
            <v>44396-13</v>
          </cell>
        </row>
        <row r="2933">
          <cell r="E2933" t="str">
            <v>D2021/01355</v>
          </cell>
          <cell r="F2933">
            <v>65</v>
          </cell>
          <cell r="L2933" t="str">
            <v>44396-13</v>
          </cell>
        </row>
        <row r="2934">
          <cell r="E2934" t="str">
            <v>D2021/01355</v>
          </cell>
          <cell r="F2934">
            <v>69</v>
          </cell>
          <cell r="L2934" t="str">
            <v>44396-13</v>
          </cell>
        </row>
        <row r="2935">
          <cell r="E2935" t="str">
            <v>D2021/01355</v>
          </cell>
          <cell r="F2935">
            <v>74</v>
          </cell>
          <cell r="L2935" t="str">
            <v>44397-10</v>
          </cell>
        </row>
        <row r="2936">
          <cell r="E2936" t="str">
            <v>D2021/01355</v>
          </cell>
          <cell r="F2936">
            <v>66</v>
          </cell>
          <cell r="L2936" t="str">
            <v>44397-10</v>
          </cell>
        </row>
        <row r="2937">
          <cell r="E2937" t="str">
            <v>D2021/01355</v>
          </cell>
          <cell r="F2937">
            <v>140</v>
          </cell>
          <cell r="L2937" t="str">
            <v>44397-10</v>
          </cell>
        </row>
        <row r="2938">
          <cell r="E2938" t="str">
            <v>D2021/01355</v>
          </cell>
          <cell r="F2938">
            <v>80</v>
          </cell>
          <cell r="L2938" t="str">
            <v>44397-10</v>
          </cell>
        </row>
        <row r="2939">
          <cell r="E2939" t="str">
            <v>D2021/01355</v>
          </cell>
          <cell r="F2939">
            <v>45</v>
          </cell>
          <cell r="L2939" t="str">
            <v>44397-10</v>
          </cell>
        </row>
        <row r="2940">
          <cell r="E2940" t="str">
            <v>D2021/01355</v>
          </cell>
          <cell r="F2940">
            <v>9</v>
          </cell>
          <cell r="L2940" t="str">
            <v>44397-10</v>
          </cell>
        </row>
        <row r="2941">
          <cell r="E2941" t="str">
            <v>D2021/01355</v>
          </cell>
          <cell r="F2941">
            <v>56</v>
          </cell>
          <cell r="L2941" t="str">
            <v>44397-10</v>
          </cell>
        </row>
        <row r="2942">
          <cell r="E2942" t="str">
            <v>D2021/01355</v>
          </cell>
          <cell r="F2942">
            <v>24</v>
          </cell>
          <cell r="L2942" t="str">
            <v>44397-13</v>
          </cell>
        </row>
        <row r="2943">
          <cell r="E2943" t="str">
            <v>D2021/01355</v>
          </cell>
          <cell r="F2943">
            <v>24</v>
          </cell>
          <cell r="L2943" t="str">
            <v>44397-13</v>
          </cell>
        </row>
        <row r="2944">
          <cell r="E2944" t="str">
            <v>D2021/01355</v>
          </cell>
          <cell r="F2944">
            <v>4</v>
          </cell>
          <cell r="L2944" t="str">
            <v>44397-13</v>
          </cell>
        </row>
        <row r="2945">
          <cell r="E2945" t="str">
            <v>D2021/01355</v>
          </cell>
          <cell r="F2945">
            <v>7</v>
          </cell>
          <cell r="L2945" t="str">
            <v>44397-13</v>
          </cell>
        </row>
        <row r="2946">
          <cell r="E2946" t="str">
            <v>D2021/01355</v>
          </cell>
          <cell r="F2946">
            <v>125</v>
          </cell>
          <cell r="L2946" t="str">
            <v>44398-10</v>
          </cell>
        </row>
        <row r="2947">
          <cell r="E2947" t="str">
            <v>D2021/01355</v>
          </cell>
          <cell r="F2947">
            <v>239</v>
          </cell>
          <cell r="L2947" t="str">
            <v>44398-10</v>
          </cell>
        </row>
        <row r="2948">
          <cell r="E2948" t="str">
            <v>D2021/01355</v>
          </cell>
          <cell r="F2948">
            <v>145</v>
          </cell>
          <cell r="L2948" t="str">
            <v>44398-10</v>
          </cell>
        </row>
        <row r="2949">
          <cell r="E2949" t="str">
            <v>D2021/01847</v>
          </cell>
          <cell r="F2949">
            <v>18</v>
          </cell>
          <cell r="L2949" t="str">
            <v>44398-10</v>
          </cell>
        </row>
        <row r="2950">
          <cell r="E2950" t="str">
            <v>D2021/01847</v>
          </cell>
          <cell r="F2950">
            <v>15</v>
          </cell>
          <cell r="L2950" t="str">
            <v>44398-10</v>
          </cell>
        </row>
        <row r="2951">
          <cell r="E2951" t="str">
            <v>D2021/01278</v>
          </cell>
          <cell r="F2951">
            <v>127</v>
          </cell>
          <cell r="L2951" t="str">
            <v>44398-4</v>
          </cell>
        </row>
        <row r="2952">
          <cell r="E2952" t="str">
            <v>D2021/01278</v>
          </cell>
          <cell r="F2952">
            <v>96</v>
          </cell>
          <cell r="L2952" t="str">
            <v>44398-4</v>
          </cell>
        </row>
        <row r="2953">
          <cell r="E2953" t="str">
            <v>D2021/01973</v>
          </cell>
          <cell r="F2953">
            <v>149</v>
          </cell>
          <cell r="L2953" t="str">
            <v>44398-4</v>
          </cell>
        </row>
        <row r="2954">
          <cell r="E2954" t="str">
            <v>D2021/01847</v>
          </cell>
          <cell r="F2954">
            <v>45</v>
          </cell>
          <cell r="L2954" t="str">
            <v>44398-13</v>
          </cell>
        </row>
        <row r="2955">
          <cell r="E2955" t="str">
            <v>D2021/01847</v>
          </cell>
          <cell r="F2955">
            <v>102</v>
          </cell>
          <cell r="L2955" t="str">
            <v>44398-13</v>
          </cell>
        </row>
        <row r="2956">
          <cell r="E2956" t="str">
            <v>D2021/01847</v>
          </cell>
          <cell r="F2956">
            <v>62</v>
          </cell>
          <cell r="L2956" t="str">
            <v>44398-13</v>
          </cell>
        </row>
        <row r="2957">
          <cell r="E2957" t="str">
            <v>D2021/01847</v>
          </cell>
          <cell r="F2957">
            <v>2</v>
          </cell>
          <cell r="L2957" t="str">
            <v>44398-13</v>
          </cell>
        </row>
        <row r="2958">
          <cell r="E2958" t="str">
            <v>D2021/01845</v>
          </cell>
          <cell r="F2958">
            <v>89</v>
          </cell>
          <cell r="L2958" t="str">
            <v>44399-10</v>
          </cell>
        </row>
        <row r="2959">
          <cell r="E2959" t="str">
            <v>D2021/01845</v>
          </cell>
          <cell r="F2959">
            <v>42</v>
          </cell>
          <cell r="L2959" t="str">
            <v>44399-10</v>
          </cell>
        </row>
        <row r="2960">
          <cell r="E2960" t="str">
            <v>D2021/01845</v>
          </cell>
          <cell r="F2960">
            <v>72</v>
          </cell>
          <cell r="L2960" t="str">
            <v>44399-10</v>
          </cell>
        </row>
        <row r="2961">
          <cell r="E2961" t="str">
            <v>D2021/01845</v>
          </cell>
          <cell r="F2961">
            <v>104</v>
          </cell>
          <cell r="L2961" t="str">
            <v>44399-10</v>
          </cell>
        </row>
        <row r="2962">
          <cell r="E2962" t="str">
            <v>D2021/01845</v>
          </cell>
          <cell r="F2962">
            <v>100</v>
          </cell>
          <cell r="L2962" t="str">
            <v>44399-10</v>
          </cell>
        </row>
        <row r="2963">
          <cell r="E2963" t="str">
            <v>D2021/01845</v>
          </cell>
          <cell r="F2963">
            <v>18</v>
          </cell>
          <cell r="L2963" t="str">
            <v>44399-10</v>
          </cell>
        </row>
        <row r="2964">
          <cell r="E2964" t="str">
            <v>D2021/01574</v>
          </cell>
          <cell r="F2964">
            <v>47</v>
          </cell>
          <cell r="L2964" t="str">
            <v>44399-10</v>
          </cell>
        </row>
        <row r="2965">
          <cell r="E2965" t="str">
            <v>D2021/01574</v>
          </cell>
          <cell r="F2965">
            <v>83</v>
          </cell>
          <cell r="L2965" t="str">
            <v>44399-10</v>
          </cell>
        </row>
        <row r="2966">
          <cell r="E2966" t="str">
            <v>D2021/01574</v>
          </cell>
          <cell r="F2966">
            <v>100</v>
          </cell>
          <cell r="L2966" t="str">
            <v>44399-13</v>
          </cell>
        </row>
        <row r="2967">
          <cell r="E2967" t="str">
            <v>D2021/01574</v>
          </cell>
          <cell r="F2967">
            <v>8</v>
          </cell>
          <cell r="L2967" t="str">
            <v>44399-13</v>
          </cell>
        </row>
        <row r="2968">
          <cell r="E2968" t="str">
            <v>D2021/01581</v>
          </cell>
          <cell r="F2968">
            <v>15</v>
          </cell>
          <cell r="L2968" t="str">
            <v>44399-13</v>
          </cell>
        </row>
        <row r="2969">
          <cell r="E2969" t="str">
            <v>D2021/01581</v>
          </cell>
          <cell r="F2969">
            <v>68</v>
          </cell>
          <cell r="L2969" t="str">
            <v>44399-13</v>
          </cell>
        </row>
        <row r="2970">
          <cell r="E2970" t="str">
            <v>D2021/01581</v>
          </cell>
          <cell r="F2970">
            <v>46</v>
          </cell>
          <cell r="L2970" t="str">
            <v>44400-10</v>
          </cell>
        </row>
        <row r="2971">
          <cell r="E2971" t="str">
            <v>D2021/01292</v>
          </cell>
          <cell r="F2971">
            <v>15</v>
          </cell>
          <cell r="L2971" t="str">
            <v>44400-10</v>
          </cell>
        </row>
        <row r="2972">
          <cell r="E2972" t="str">
            <v>D2021/01292</v>
          </cell>
          <cell r="F2972">
            <v>9</v>
          </cell>
          <cell r="L2972" t="str">
            <v>44400-10</v>
          </cell>
        </row>
        <row r="2973">
          <cell r="E2973" t="str">
            <v>D2021/01292</v>
          </cell>
          <cell r="F2973">
            <v>22</v>
          </cell>
          <cell r="L2973" t="str">
            <v>44400-10</v>
          </cell>
        </row>
        <row r="2974">
          <cell r="E2974" t="str">
            <v>D2021/01973</v>
          </cell>
          <cell r="F2974">
            <v>167</v>
          </cell>
          <cell r="L2974" t="str">
            <v>44400-35</v>
          </cell>
        </row>
        <row r="2975">
          <cell r="E2975" t="str">
            <v>D2021/01973</v>
          </cell>
          <cell r="F2975">
            <v>60</v>
          </cell>
          <cell r="L2975" t="str">
            <v>44400-35</v>
          </cell>
        </row>
        <row r="2976">
          <cell r="E2976" t="str">
            <v>D2021/01973</v>
          </cell>
          <cell r="F2976">
            <v>101</v>
          </cell>
          <cell r="L2976" t="str">
            <v>44400-35</v>
          </cell>
        </row>
        <row r="2977">
          <cell r="E2977" t="str">
            <v>D2021/01844</v>
          </cell>
          <cell r="F2977">
            <v>42</v>
          </cell>
          <cell r="L2977" t="str">
            <v>44400-13</v>
          </cell>
        </row>
        <row r="2978">
          <cell r="E2978" t="str">
            <v>D2021/01844</v>
          </cell>
          <cell r="F2978">
            <v>28</v>
          </cell>
          <cell r="L2978" t="str">
            <v>44400-13</v>
          </cell>
        </row>
        <row r="2979">
          <cell r="E2979" t="str">
            <v>D2021/01844</v>
          </cell>
          <cell r="F2979">
            <v>19</v>
          </cell>
          <cell r="L2979" t="str">
            <v>44400-13</v>
          </cell>
        </row>
        <row r="2980">
          <cell r="E2980" t="str">
            <v>D2021/01580</v>
          </cell>
          <cell r="F2980">
            <v>7</v>
          </cell>
          <cell r="L2980" t="str">
            <v>44400-13</v>
          </cell>
        </row>
        <row r="2981">
          <cell r="E2981" t="str">
            <v>D2021/01292</v>
          </cell>
          <cell r="F2981">
            <v>65</v>
          </cell>
          <cell r="L2981" t="str">
            <v>44403-10</v>
          </cell>
        </row>
        <row r="2982">
          <cell r="E2982" t="str">
            <v>D2021/01292</v>
          </cell>
          <cell r="F2982">
            <v>11</v>
          </cell>
          <cell r="L2982" t="str">
            <v>44403-10</v>
          </cell>
        </row>
        <row r="2983">
          <cell r="E2983" t="str">
            <v>D2021/01292</v>
          </cell>
          <cell r="F2983">
            <v>34</v>
          </cell>
          <cell r="L2983" t="str">
            <v>44403-10</v>
          </cell>
        </row>
        <row r="2984">
          <cell r="E2984" t="str">
            <v>D2021/01292</v>
          </cell>
          <cell r="F2984">
            <v>19</v>
          </cell>
          <cell r="L2984" t="str">
            <v>44403-10</v>
          </cell>
        </row>
        <row r="2985">
          <cell r="E2985" t="str">
            <v>D2021/01292</v>
          </cell>
          <cell r="F2985">
            <v>8</v>
          </cell>
          <cell r="L2985" t="str">
            <v>44403-10</v>
          </cell>
        </row>
        <row r="2986">
          <cell r="E2986" t="str">
            <v>D2021/01580</v>
          </cell>
          <cell r="F2986">
            <v>377</v>
          </cell>
          <cell r="L2986" t="str">
            <v>44403-35</v>
          </cell>
        </row>
        <row r="2987">
          <cell r="E2987" t="str">
            <v>D2021/01580</v>
          </cell>
          <cell r="F2987">
            <v>105</v>
          </cell>
          <cell r="L2987" t="str">
            <v>44403-35</v>
          </cell>
        </row>
        <row r="2988">
          <cell r="E2988" t="str">
            <v>D2021/01580</v>
          </cell>
          <cell r="F2988">
            <v>271</v>
          </cell>
          <cell r="L2988" t="str">
            <v>44403-35</v>
          </cell>
        </row>
        <row r="2989">
          <cell r="E2989" t="str">
            <v>D2021/01580</v>
          </cell>
          <cell r="F2989">
            <v>93</v>
          </cell>
          <cell r="L2989" t="str">
            <v>44403-35</v>
          </cell>
        </row>
        <row r="2990">
          <cell r="E2990" t="str">
            <v>D2021/01580</v>
          </cell>
          <cell r="F2990">
            <v>70</v>
          </cell>
          <cell r="L2990" t="str">
            <v>44403-13</v>
          </cell>
        </row>
        <row r="2991">
          <cell r="E2991" t="str">
            <v>D2021/01580</v>
          </cell>
          <cell r="F2991">
            <v>441</v>
          </cell>
          <cell r="L2991" t="str">
            <v>44403-13</v>
          </cell>
        </row>
        <row r="2992">
          <cell r="E2992" t="str">
            <v>D2021/01292</v>
          </cell>
          <cell r="F2992">
            <v>31</v>
          </cell>
          <cell r="L2992" t="str">
            <v>44404-10</v>
          </cell>
        </row>
        <row r="2993">
          <cell r="E2993" t="str">
            <v>D2021/01292</v>
          </cell>
          <cell r="F2993">
            <v>19</v>
          </cell>
          <cell r="L2993" t="str">
            <v>44404-10</v>
          </cell>
        </row>
        <row r="2994">
          <cell r="E2994" t="str">
            <v>D2021/01292</v>
          </cell>
          <cell r="F2994">
            <v>51</v>
          </cell>
          <cell r="L2994" t="str">
            <v>44404-10</v>
          </cell>
        </row>
        <row r="2995">
          <cell r="E2995" t="str">
            <v>D2021/01580</v>
          </cell>
          <cell r="F2995">
            <v>218</v>
          </cell>
          <cell r="L2995" t="str">
            <v>44404-35</v>
          </cell>
        </row>
        <row r="2996">
          <cell r="E2996" t="str">
            <v>D2021/01580</v>
          </cell>
          <cell r="F2996">
            <v>49</v>
          </cell>
          <cell r="L2996" t="str">
            <v>44404-13</v>
          </cell>
        </row>
        <row r="2997">
          <cell r="E2997" t="str">
            <v>D2021/01580</v>
          </cell>
          <cell r="F2997">
            <v>83</v>
          </cell>
          <cell r="L2997" t="str">
            <v>44404-13</v>
          </cell>
        </row>
        <row r="2998">
          <cell r="E2998" t="str">
            <v>D2021/01579</v>
          </cell>
          <cell r="F2998">
            <v>19</v>
          </cell>
          <cell r="L2998" t="str">
            <v>44404-13</v>
          </cell>
        </row>
        <row r="2999">
          <cell r="E2999" t="str">
            <v>D2021/01579</v>
          </cell>
          <cell r="F2999">
            <v>20</v>
          </cell>
          <cell r="L2999" t="str">
            <v>44404-13</v>
          </cell>
        </row>
        <row r="3000">
          <cell r="E3000" t="str">
            <v>D2021/01579</v>
          </cell>
          <cell r="F3000">
            <v>113</v>
          </cell>
          <cell r="L3000" t="str">
            <v>44404-13</v>
          </cell>
        </row>
        <row r="3001">
          <cell r="E3001" t="str">
            <v>D2021/01579</v>
          </cell>
          <cell r="F3001">
            <v>80</v>
          </cell>
          <cell r="L3001" t="str">
            <v>44405-27</v>
          </cell>
        </row>
        <row r="3002">
          <cell r="E3002" t="str">
            <v>D2021/01579</v>
          </cell>
          <cell r="F3002">
            <v>131</v>
          </cell>
          <cell r="L3002" t="str">
            <v>44405-27</v>
          </cell>
        </row>
        <row r="3003">
          <cell r="E3003" t="str">
            <v>D2021/01579</v>
          </cell>
          <cell r="F3003">
            <v>64</v>
          </cell>
          <cell r="L3003" t="str">
            <v>44405-27</v>
          </cell>
        </row>
        <row r="3004">
          <cell r="E3004" t="str">
            <v>D2021/01579</v>
          </cell>
          <cell r="F3004">
            <v>63</v>
          </cell>
          <cell r="L3004" t="str">
            <v>44405-27</v>
          </cell>
        </row>
        <row r="3005">
          <cell r="E3005" t="str">
            <v>D2021/01579</v>
          </cell>
          <cell r="F3005">
            <v>744</v>
          </cell>
          <cell r="L3005" t="str">
            <v>44405-27</v>
          </cell>
        </row>
        <row r="3006">
          <cell r="E3006" t="str">
            <v>D2021/01292</v>
          </cell>
          <cell r="F3006">
            <v>68</v>
          </cell>
          <cell r="L3006" t="str">
            <v>44405-10</v>
          </cell>
        </row>
        <row r="3007">
          <cell r="E3007" t="str">
            <v>D2021/01292</v>
          </cell>
          <cell r="F3007">
            <v>21</v>
          </cell>
          <cell r="L3007" t="str">
            <v>44405-10</v>
          </cell>
        </row>
        <row r="3008">
          <cell r="E3008" t="str">
            <v>D2021/01579</v>
          </cell>
          <cell r="F3008">
            <v>90</v>
          </cell>
          <cell r="L3008" t="str">
            <v>44405-13</v>
          </cell>
        </row>
        <row r="3009">
          <cell r="E3009" t="str">
            <v>D2021/01579</v>
          </cell>
          <cell r="F3009">
            <v>1987</v>
          </cell>
          <cell r="L3009" t="str">
            <v>44405-13</v>
          </cell>
        </row>
        <row r="3010">
          <cell r="E3010" t="str">
            <v>D2021/01579</v>
          </cell>
          <cell r="F3010">
            <v>109</v>
          </cell>
          <cell r="L3010" t="str">
            <v>44405-13</v>
          </cell>
        </row>
        <row r="3011">
          <cell r="E3011" t="str">
            <v>D2021/01579</v>
          </cell>
          <cell r="F3011">
            <v>28</v>
          </cell>
          <cell r="L3011" t="str">
            <v>44405-13</v>
          </cell>
        </row>
        <row r="3012">
          <cell r="E3012" t="str">
            <v>D2021/01579</v>
          </cell>
          <cell r="F3012">
            <v>147</v>
          </cell>
          <cell r="L3012" t="str">
            <v>44405-13</v>
          </cell>
        </row>
        <row r="3013">
          <cell r="E3013" t="str">
            <v>D2021/01292</v>
          </cell>
          <cell r="F3013">
            <v>28</v>
          </cell>
          <cell r="L3013" t="str">
            <v>44406-10</v>
          </cell>
        </row>
        <row r="3014">
          <cell r="E3014" t="str">
            <v>D2021/01292</v>
          </cell>
          <cell r="F3014">
            <v>73</v>
          </cell>
          <cell r="L3014" t="str">
            <v>44406-10</v>
          </cell>
        </row>
        <row r="3015">
          <cell r="E3015" t="str">
            <v>D2021/01292</v>
          </cell>
          <cell r="F3015">
            <v>51</v>
          </cell>
          <cell r="L3015" t="str">
            <v>44406-10</v>
          </cell>
        </row>
        <row r="3016">
          <cell r="E3016" t="str">
            <v>D2021/01363</v>
          </cell>
          <cell r="F3016">
            <v>116</v>
          </cell>
          <cell r="L3016" t="str">
            <v>44406-10</v>
          </cell>
        </row>
        <row r="3017">
          <cell r="E3017" t="str">
            <v>D2021/01363</v>
          </cell>
          <cell r="F3017">
            <v>58</v>
          </cell>
          <cell r="L3017" t="str">
            <v>44406-10</v>
          </cell>
        </row>
        <row r="3018">
          <cell r="E3018" t="str">
            <v>D2021/01579</v>
          </cell>
          <cell r="F3018">
            <v>848</v>
          </cell>
          <cell r="L3018" t="str">
            <v>44406-27</v>
          </cell>
        </row>
        <row r="3019">
          <cell r="E3019" t="str">
            <v>D2021/01579</v>
          </cell>
          <cell r="F3019">
            <v>63</v>
          </cell>
          <cell r="L3019" t="str">
            <v>44406-13</v>
          </cell>
        </row>
        <row r="3020">
          <cell r="E3020" t="str">
            <v>D2021/01579</v>
          </cell>
          <cell r="F3020">
            <v>30</v>
          </cell>
          <cell r="L3020" t="str">
            <v>44406-13</v>
          </cell>
        </row>
        <row r="3021">
          <cell r="E3021" t="str">
            <v>D2021/01579</v>
          </cell>
          <cell r="F3021">
            <v>747</v>
          </cell>
          <cell r="L3021" t="str">
            <v>44406-13</v>
          </cell>
        </row>
        <row r="3022">
          <cell r="E3022" t="str">
            <v>D2021/01579</v>
          </cell>
          <cell r="F3022">
            <v>259</v>
          </cell>
          <cell r="L3022" t="str">
            <v>44406-13</v>
          </cell>
        </row>
        <row r="3023">
          <cell r="E3023" t="str">
            <v>D2021/01579</v>
          </cell>
          <cell r="F3023">
            <v>115</v>
          </cell>
          <cell r="L3023" t="str">
            <v>44406-13</v>
          </cell>
        </row>
        <row r="3024">
          <cell r="E3024" t="str">
            <v>D2021/01579</v>
          </cell>
          <cell r="F3024">
            <v>147</v>
          </cell>
          <cell r="L3024" t="str">
            <v>44406-13</v>
          </cell>
        </row>
        <row r="3025">
          <cell r="E3025" t="str">
            <v>D2021/01579</v>
          </cell>
          <cell r="F3025">
            <v>163</v>
          </cell>
          <cell r="L3025" t="str">
            <v>44406-13</v>
          </cell>
        </row>
        <row r="3026">
          <cell r="E3026" t="str">
            <v>D2021/01579</v>
          </cell>
          <cell r="F3026">
            <v>72</v>
          </cell>
          <cell r="L3026" t="str">
            <v>44406-13</v>
          </cell>
        </row>
        <row r="3027">
          <cell r="E3027" t="str">
            <v>D2021/01579</v>
          </cell>
          <cell r="F3027">
            <v>6</v>
          </cell>
          <cell r="L3027" t="str">
            <v>44406-13</v>
          </cell>
        </row>
        <row r="3028">
          <cell r="E3028" t="str">
            <v>D2021/01579</v>
          </cell>
          <cell r="F3028">
            <v>248</v>
          </cell>
          <cell r="L3028" t="str">
            <v>44407-27</v>
          </cell>
        </row>
        <row r="3029">
          <cell r="E3029" t="str">
            <v>D2021/01579</v>
          </cell>
          <cell r="F3029">
            <v>127</v>
          </cell>
          <cell r="L3029" t="str">
            <v>44407-27</v>
          </cell>
        </row>
        <row r="3030">
          <cell r="E3030" t="str">
            <v>D2021/01363</v>
          </cell>
          <cell r="F3030">
            <v>78</v>
          </cell>
          <cell r="L3030" t="str">
            <v>44407-10</v>
          </cell>
        </row>
        <row r="3031">
          <cell r="E3031" t="str">
            <v>D2021/01363</v>
          </cell>
          <cell r="F3031">
            <v>102</v>
          </cell>
          <cell r="L3031" t="str">
            <v>44407-10</v>
          </cell>
        </row>
        <row r="3032">
          <cell r="E3032" t="str">
            <v>D2021/01363</v>
          </cell>
          <cell r="F3032">
            <v>87</v>
          </cell>
          <cell r="L3032" t="str">
            <v>44407-10</v>
          </cell>
        </row>
        <row r="3033">
          <cell r="E3033" t="str">
            <v>D2021/01286</v>
          </cell>
          <cell r="F3033">
            <v>413</v>
          </cell>
          <cell r="L3033" t="str">
            <v>44407-27</v>
          </cell>
        </row>
        <row r="3034">
          <cell r="E3034" t="str">
            <v>D2021/01286</v>
          </cell>
          <cell r="F3034">
            <v>110</v>
          </cell>
          <cell r="L3034" t="str">
            <v>44407-27</v>
          </cell>
        </row>
        <row r="3035">
          <cell r="E3035" t="str">
            <v>D2021/01286</v>
          </cell>
          <cell r="F3035">
            <v>48</v>
          </cell>
          <cell r="L3035" t="str">
            <v>44407-13</v>
          </cell>
        </row>
        <row r="3036">
          <cell r="E3036" t="str">
            <v>D2021/01286</v>
          </cell>
          <cell r="F3036">
            <v>66</v>
          </cell>
          <cell r="L3036" t="str">
            <v>44407-13</v>
          </cell>
        </row>
        <row r="3037">
          <cell r="E3037" t="str">
            <v>D2021/01286</v>
          </cell>
          <cell r="F3037">
            <v>138</v>
          </cell>
          <cell r="L3037" t="str">
            <v>44407-13</v>
          </cell>
        </row>
        <row r="3038">
          <cell r="E3038" t="str">
            <v>D2021/01286</v>
          </cell>
          <cell r="F3038">
            <v>43</v>
          </cell>
          <cell r="L3038" t="str">
            <v>44407-13</v>
          </cell>
        </row>
        <row r="3039">
          <cell r="E3039" t="str">
            <v>D2021/01286</v>
          </cell>
          <cell r="F3039">
            <v>28</v>
          </cell>
          <cell r="L3039" t="str">
            <v>44407-13</v>
          </cell>
        </row>
        <row r="3040">
          <cell r="E3040" t="str">
            <v>D2021/01286</v>
          </cell>
          <cell r="F3040">
            <v>35</v>
          </cell>
          <cell r="L3040" t="str">
            <v>44407-13</v>
          </cell>
        </row>
        <row r="3041">
          <cell r="E3041" t="str">
            <v>D2021/01286</v>
          </cell>
          <cell r="F3041">
            <v>151</v>
          </cell>
          <cell r="L3041" t="str">
            <v>44410-35</v>
          </cell>
        </row>
        <row r="3042">
          <cell r="E3042" t="str">
            <v>D2021/01286</v>
          </cell>
          <cell r="F3042">
            <v>109</v>
          </cell>
          <cell r="L3042" t="str">
            <v>44410-35</v>
          </cell>
        </row>
        <row r="3043">
          <cell r="E3043" t="str">
            <v>D2021/01286</v>
          </cell>
          <cell r="F3043">
            <v>56</v>
          </cell>
          <cell r="L3043" t="str">
            <v>44410-35</v>
          </cell>
        </row>
        <row r="3044">
          <cell r="E3044" t="str">
            <v>D2021/01286</v>
          </cell>
          <cell r="F3044">
            <v>194</v>
          </cell>
          <cell r="L3044" t="str">
            <v>44410-35</v>
          </cell>
        </row>
        <row r="3045">
          <cell r="E3045" t="str">
            <v>D2021/01286</v>
          </cell>
          <cell r="F3045">
            <v>100</v>
          </cell>
          <cell r="L3045" t="str">
            <v>44410-35</v>
          </cell>
        </row>
        <row r="3046">
          <cell r="E3046" t="str">
            <v>D2021/01286</v>
          </cell>
          <cell r="F3046">
            <v>44</v>
          </cell>
          <cell r="L3046" t="str">
            <v>44410-35</v>
          </cell>
        </row>
        <row r="3047">
          <cell r="E3047" t="str">
            <v>D2021/01286</v>
          </cell>
          <cell r="F3047">
            <v>23</v>
          </cell>
          <cell r="L3047" t="str">
            <v>44410-35</v>
          </cell>
        </row>
        <row r="3048">
          <cell r="E3048" t="str">
            <v>D2021/01579</v>
          </cell>
          <cell r="F3048">
            <v>214</v>
          </cell>
          <cell r="L3048" t="str">
            <v>44410-13</v>
          </cell>
        </row>
        <row r="3049">
          <cell r="E3049" t="str">
            <v>D2021/01286</v>
          </cell>
          <cell r="F3049">
            <v>211</v>
          </cell>
          <cell r="L3049" t="str">
            <v>44410-13</v>
          </cell>
        </row>
        <row r="3050">
          <cell r="E3050" t="str">
            <v>D2021/01284</v>
          </cell>
          <cell r="F3050">
            <v>55</v>
          </cell>
          <cell r="L3050" t="str">
            <v>44410-13</v>
          </cell>
        </row>
        <row r="3051">
          <cell r="E3051" t="str">
            <v>D2021/01284</v>
          </cell>
          <cell r="F3051">
            <v>4</v>
          </cell>
          <cell r="L3051" t="str">
            <v>44410-13</v>
          </cell>
        </row>
        <row r="3052">
          <cell r="E3052" t="str">
            <v>D2021/01363</v>
          </cell>
          <cell r="F3052">
            <v>50</v>
          </cell>
          <cell r="L3052" t="str">
            <v>44411-10</v>
          </cell>
        </row>
        <row r="3053">
          <cell r="E3053" t="str">
            <v>D2021/01363</v>
          </cell>
          <cell r="F3053">
            <v>24</v>
          </cell>
          <cell r="L3053" t="str">
            <v>44411-10</v>
          </cell>
        </row>
        <row r="3054">
          <cell r="E3054" t="str">
            <v>D2021/01363</v>
          </cell>
          <cell r="F3054">
            <v>21</v>
          </cell>
          <cell r="L3054" t="str">
            <v>44411-10</v>
          </cell>
        </row>
        <row r="3055">
          <cell r="E3055" t="str">
            <v>D2021/01363</v>
          </cell>
          <cell r="F3055">
            <v>14</v>
          </cell>
          <cell r="L3055" t="str">
            <v>44411-10</v>
          </cell>
        </row>
        <row r="3056">
          <cell r="E3056" t="str">
            <v>D2021/01363</v>
          </cell>
          <cell r="F3056">
            <v>29</v>
          </cell>
          <cell r="L3056" t="str">
            <v>44411-10</v>
          </cell>
        </row>
        <row r="3057">
          <cell r="E3057" t="str">
            <v>D2021/01284</v>
          </cell>
          <cell r="F3057">
            <v>43</v>
          </cell>
          <cell r="L3057" t="str">
            <v>44411-27</v>
          </cell>
        </row>
        <row r="3058">
          <cell r="E3058" t="str">
            <v>D2021/01284</v>
          </cell>
          <cell r="F3058">
            <v>23</v>
          </cell>
          <cell r="L3058" t="str">
            <v>44411-27</v>
          </cell>
        </row>
        <row r="3059">
          <cell r="E3059" t="str">
            <v>D2021/01284</v>
          </cell>
          <cell r="F3059">
            <v>53</v>
          </cell>
          <cell r="L3059" t="str">
            <v>44411-27</v>
          </cell>
        </row>
        <row r="3060">
          <cell r="E3060" t="str">
            <v>D2021/01284</v>
          </cell>
          <cell r="F3060">
            <v>120</v>
          </cell>
          <cell r="L3060" t="str">
            <v>44411-27</v>
          </cell>
        </row>
        <row r="3061">
          <cell r="E3061" t="str">
            <v>D2021/01285</v>
          </cell>
          <cell r="F3061">
            <v>61</v>
          </cell>
          <cell r="L3061" t="str">
            <v>44411-27</v>
          </cell>
        </row>
        <row r="3062">
          <cell r="E3062" t="str">
            <v>D2021/01285</v>
          </cell>
          <cell r="F3062">
            <v>57</v>
          </cell>
          <cell r="L3062" t="str">
            <v>44411-27</v>
          </cell>
        </row>
        <row r="3063">
          <cell r="E3063" t="str">
            <v>D2021/01285</v>
          </cell>
          <cell r="F3063">
            <v>109</v>
          </cell>
          <cell r="L3063" t="str">
            <v>44411-13</v>
          </cell>
        </row>
        <row r="3064">
          <cell r="E3064" t="str">
            <v>D2021/01285</v>
          </cell>
          <cell r="F3064">
            <v>18</v>
          </cell>
          <cell r="L3064" t="str">
            <v>44411-13</v>
          </cell>
        </row>
        <row r="3065">
          <cell r="E3065" t="str">
            <v>D2021/01282</v>
          </cell>
          <cell r="F3065">
            <v>11</v>
          </cell>
          <cell r="L3065" t="str">
            <v>44411-13</v>
          </cell>
        </row>
        <row r="3066">
          <cell r="E3066" t="str">
            <v>D2021/01283</v>
          </cell>
          <cell r="F3066">
            <v>94</v>
          </cell>
          <cell r="L3066" t="str">
            <v>44411-13</v>
          </cell>
        </row>
        <row r="3067">
          <cell r="E3067" t="str">
            <v>D2021/01283</v>
          </cell>
          <cell r="F3067">
            <v>58</v>
          </cell>
          <cell r="L3067" t="str">
            <v>44411-13</v>
          </cell>
        </row>
        <row r="3068">
          <cell r="E3068" t="str">
            <v>D2021/01283</v>
          </cell>
          <cell r="F3068">
            <v>13</v>
          </cell>
          <cell r="L3068" t="str">
            <v>44411-13</v>
          </cell>
        </row>
        <row r="3069">
          <cell r="E3069" t="str">
            <v>D2021/01283</v>
          </cell>
          <cell r="F3069">
            <v>8</v>
          </cell>
          <cell r="L3069" t="str">
            <v>44411-13</v>
          </cell>
        </row>
        <row r="3070">
          <cell r="E3070" t="str">
            <v>D2021/01283</v>
          </cell>
          <cell r="F3070">
            <v>70</v>
          </cell>
          <cell r="L3070" t="str">
            <v>44412-27</v>
          </cell>
        </row>
        <row r="3071">
          <cell r="E3071" t="str">
            <v>D2021/01283</v>
          </cell>
          <cell r="F3071">
            <v>52</v>
          </cell>
          <cell r="L3071" t="str">
            <v>44412-27</v>
          </cell>
        </row>
        <row r="3072">
          <cell r="E3072" t="str">
            <v>D2021/01283</v>
          </cell>
          <cell r="F3072">
            <v>46</v>
          </cell>
          <cell r="L3072" t="str">
            <v>44412-27</v>
          </cell>
        </row>
        <row r="3073">
          <cell r="E3073" t="str">
            <v>D2021/01363</v>
          </cell>
          <cell r="F3073">
            <v>80</v>
          </cell>
          <cell r="L3073" t="str">
            <v>44412-10</v>
          </cell>
        </row>
        <row r="3074">
          <cell r="E3074" t="str">
            <v>D2021/01363</v>
          </cell>
          <cell r="F3074">
            <v>90</v>
          </cell>
          <cell r="L3074" t="str">
            <v>44412-10</v>
          </cell>
        </row>
        <row r="3075">
          <cell r="E3075" t="str">
            <v>D2021/01363</v>
          </cell>
          <cell r="F3075">
            <v>99</v>
          </cell>
          <cell r="L3075" t="str">
            <v>44412-10</v>
          </cell>
        </row>
        <row r="3076">
          <cell r="E3076" t="str">
            <v>D2021/01293</v>
          </cell>
          <cell r="F3076">
            <v>316</v>
          </cell>
          <cell r="L3076" t="str">
            <v>44412-27</v>
          </cell>
        </row>
        <row r="3077">
          <cell r="E3077" t="str">
            <v>D2021/01293</v>
          </cell>
          <cell r="F3077">
            <v>92</v>
          </cell>
          <cell r="L3077" t="str">
            <v>44412-27</v>
          </cell>
        </row>
        <row r="3078">
          <cell r="E3078" t="str">
            <v>D2021/01293</v>
          </cell>
          <cell r="F3078">
            <v>55</v>
          </cell>
          <cell r="L3078" t="str">
            <v>44412-13</v>
          </cell>
        </row>
        <row r="3079">
          <cell r="E3079" t="str">
            <v>D2021/01293</v>
          </cell>
          <cell r="F3079">
            <v>27</v>
          </cell>
          <cell r="L3079" t="str">
            <v>44412-13</v>
          </cell>
        </row>
        <row r="3080">
          <cell r="E3080" t="str">
            <v>D2021/01293</v>
          </cell>
          <cell r="F3080">
            <v>81</v>
          </cell>
          <cell r="L3080" t="str">
            <v>44412-13</v>
          </cell>
        </row>
        <row r="3081">
          <cell r="E3081" t="str">
            <v>D2021/01293</v>
          </cell>
          <cell r="F3081">
            <v>8</v>
          </cell>
          <cell r="L3081" t="str">
            <v>44412-13</v>
          </cell>
        </row>
        <row r="3082">
          <cell r="E3082" t="str">
            <v>D2021/01347</v>
          </cell>
          <cell r="F3082">
            <v>42</v>
          </cell>
          <cell r="L3082" t="str">
            <v>44413-35</v>
          </cell>
        </row>
        <row r="3083">
          <cell r="E3083" t="str">
            <v>D2021/01347</v>
          </cell>
          <cell r="F3083">
            <v>32</v>
          </cell>
          <cell r="L3083" t="str">
            <v>44413-35</v>
          </cell>
        </row>
        <row r="3084">
          <cell r="E3084" t="str">
            <v>D2021/01347</v>
          </cell>
          <cell r="F3084">
            <v>63</v>
          </cell>
          <cell r="L3084" t="str">
            <v>44413-35</v>
          </cell>
        </row>
        <row r="3085">
          <cell r="E3085" t="str">
            <v>D2021/01347</v>
          </cell>
          <cell r="F3085">
            <v>96</v>
          </cell>
          <cell r="L3085" t="str">
            <v>44413-35</v>
          </cell>
        </row>
        <row r="3086">
          <cell r="E3086" t="str">
            <v>D2021/01347</v>
          </cell>
          <cell r="F3086">
            <v>321</v>
          </cell>
          <cell r="L3086" t="str">
            <v>44413-35</v>
          </cell>
        </row>
        <row r="3087">
          <cell r="E3087" t="str">
            <v>D2021/01293</v>
          </cell>
          <cell r="F3087">
            <v>39</v>
          </cell>
          <cell r="L3087" t="str">
            <v>44413-27</v>
          </cell>
        </row>
        <row r="3088">
          <cell r="E3088" t="str">
            <v>D2021/01293</v>
          </cell>
          <cell r="F3088">
            <v>116</v>
          </cell>
          <cell r="L3088" t="str">
            <v>44413-27</v>
          </cell>
        </row>
        <row r="3089">
          <cell r="E3089" t="str">
            <v>D2021/01293</v>
          </cell>
          <cell r="F3089">
            <v>45</v>
          </cell>
          <cell r="L3089" t="str">
            <v>44413-27</v>
          </cell>
        </row>
        <row r="3090">
          <cell r="E3090" t="str">
            <v>D2021/01293</v>
          </cell>
          <cell r="F3090">
            <v>93</v>
          </cell>
          <cell r="L3090" t="str">
            <v>44413-27</v>
          </cell>
        </row>
        <row r="3091">
          <cell r="E3091" t="str">
            <v>D2021/01293</v>
          </cell>
          <cell r="F3091">
            <v>71</v>
          </cell>
          <cell r="L3091" t="str">
            <v>44413-27</v>
          </cell>
        </row>
        <row r="3092">
          <cell r="E3092" t="str">
            <v>D2021/01293</v>
          </cell>
          <cell r="F3092">
            <v>96</v>
          </cell>
          <cell r="L3092" t="str">
            <v>44413-27</v>
          </cell>
        </row>
        <row r="3093">
          <cell r="E3093" t="str">
            <v>D2021/01293</v>
          </cell>
          <cell r="F3093">
            <v>142</v>
          </cell>
          <cell r="L3093" t="str">
            <v>44413-27</v>
          </cell>
        </row>
        <row r="3094">
          <cell r="E3094" t="str">
            <v>D2021/01293</v>
          </cell>
          <cell r="F3094">
            <v>99</v>
          </cell>
          <cell r="L3094" t="str">
            <v>44413-27</v>
          </cell>
        </row>
        <row r="3095">
          <cell r="E3095" t="str">
            <v>D2021/01293</v>
          </cell>
          <cell r="F3095">
            <v>390</v>
          </cell>
          <cell r="L3095" t="str">
            <v>44413-27</v>
          </cell>
        </row>
        <row r="3096">
          <cell r="E3096" t="str">
            <v>D2021/01293</v>
          </cell>
          <cell r="F3096">
            <v>87</v>
          </cell>
          <cell r="L3096" t="str">
            <v>44413-13</v>
          </cell>
        </row>
        <row r="3097">
          <cell r="E3097" t="str">
            <v>D2021/01293</v>
          </cell>
          <cell r="F3097">
            <v>43</v>
          </cell>
          <cell r="L3097" t="str">
            <v>44413-13</v>
          </cell>
        </row>
        <row r="3098">
          <cell r="E3098" t="str">
            <v>D2021/01293</v>
          </cell>
          <cell r="F3098">
            <v>143</v>
          </cell>
          <cell r="L3098" t="str">
            <v>44413-13</v>
          </cell>
        </row>
        <row r="3099">
          <cell r="E3099" t="str">
            <v>D2021/01347</v>
          </cell>
          <cell r="F3099">
            <v>36</v>
          </cell>
          <cell r="L3099" t="str">
            <v>44414-35</v>
          </cell>
        </row>
        <row r="3100">
          <cell r="E3100" t="str">
            <v>D2021/01347</v>
          </cell>
          <cell r="F3100">
            <v>224</v>
          </cell>
          <cell r="L3100" t="str">
            <v>44414-35</v>
          </cell>
        </row>
        <row r="3101">
          <cell r="E3101" t="str">
            <v>D2021/01347</v>
          </cell>
          <cell r="F3101">
            <v>45</v>
          </cell>
          <cell r="L3101" t="str">
            <v>44414-35</v>
          </cell>
        </row>
        <row r="3102">
          <cell r="E3102" t="str">
            <v>D2021/01347</v>
          </cell>
          <cell r="F3102">
            <v>28</v>
          </cell>
          <cell r="L3102" t="str">
            <v>44414-35</v>
          </cell>
        </row>
        <row r="3103">
          <cell r="E3103" t="str">
            <v>D2021/01959</v>
          </cell>
          <cell r="F3103">
            <v>59</v>
          </cell>
          <cell r="L3103" t="str">
            <v>44414-35</v>
          </cell>
        </row>
        <row r="3104">
          <cell r="E3104" t="str">
            <v>D2021/01959</v>
          </cell>
          <cell r="F3104">
            <v>62</v>
          </cell>
          <cell r="L3104" t="str">
            <v>44414-35</v>
          </cell>
        </row>
        <row r="3105">
          <cell r="E3105" t="str">
            <v>D2021/01959</v>
          </cell>
          <cell r="F3105">
            <v>11</v>
          </cell>
          <cell r="L3105" t="str">
            <v>44414-35</v>
          </cell>
        </row>
        <row r="3106">
          <cell r="E3106" t="str">
            <v>D2021/01959</v>
          </cell>
          <cell r="F3106">
            <v>41</v>
          </cell>
          <cell r="L3106" t="str">
            <v>44414-13</v>
          </cell>
        </row>
        <row r="3107">
          <cell r="E3107" t="str">
            <v>D2021/01959</v>
          </cell>
          <cell r="F3107">
            <v>47</v>
          </cell>
          <cell r="L3107" t="str">
            <v>44414-13</v>
          </cell>
        </row>
        <row r="3108">
          <cell r="E3108" t="str">
            <v>D2021/01293</v>
          </cell>
          <cell r="F3108">
            <v>159</v>
          </cell>
          <cell r="L3108" t="str">
            <v>44414-27</v>
          </cell>
        </row>
        <row r="3109">
          <cell r="E3109" t="str">
            <v>D2021/01293</v>
          </cell>
          <cell r="F3109">
            <v>437</v>
          </cell>
          <cell r="L3109" t="str">
            <v>44414-27</v>
          </cell>
        </row>
        <row r="3110">
          <cell r="E3110" t="str">
            <v>D2021/01293</v>
          </cell>
          <cell r="F3110">
            <v>58</v>
          </cell>
          <cell r="L3110" t="str">
            <v>44414-27</v>
          </cell>
        </row>
        <row r="3111">
          <cell r="E3111" t="str">
            <v>D2021/01293</v>
          </cell>
          <cell r="F3111">
            <v>159</v>
          </cell>
          <cell r="L3111" t="str">
            <v>44414-27</v>
          </cell>
        </row>
        <row r="3112">
          <cell r="E3112" t="str">
            <v>D2021/01293</v>
          </cell>
          <cell r="F3112">
            <v>72</v>
          </cell>
          <cell r="L3112" t="str">
            <v>44414-13</v>
          </cell>
        </row>
        <row r="3113">
          <cell r="E3113" t="str">
            <v>D2021/01293</v>
          </cell>
          <cell r="F3113">
            <v>7</v>
          </cell>
          <cell r="L3113" t="str">
            <v>44414-13</v>
          </cell>
        </row>
        <row r="3114">
          <cell r="E3114" t="str">
            <v>D2021/01959</v>
          </cell>
          <cell r="F3114">
            <v>36</v>
          </cell>
          <cell r="L3114" t="str">
            <v>44417-35</v>
          </cell>
        </row>
        <row r="3115">
          <cell r="E3115" t="str">
            <v>D2021/01959</v>
          </cell>
          <cell r="F3115">
            <v>32</v>
          </cell>
          <cell r="L3115" t="str">
            <v>44417-35</v>
          </cell>
        </row>
        <row r="3116">
          <cell r="E3116" t="str">
            <v>D2021/01959</v>
          </cell>
          <cell r="F3116">
            <v>269</v>
          </cell>
          <cell r="L3116" t="str">
            <v>44417-35</v>
          </cell>
        </row>
        <row r="3117">
          <cell r="E3117" t="str">
            <v>D2021/01294</v>
          </cell>
          <cell r="F3117">
            <v>226</v>
          </cell>
          <cell r="L3117" t="str">
            <v>44417-35</v>
          </cell>
        </row>
        <row r="3118">
          <cell r="E3118" t="str">
            <v>D2021/01293</v>
          </cell>
          <cell r="F3118">
            <v>88</v>
          </cell>
          <cell r="L3118" t="str">
            <v>44417-27</v>
          </cell>
        </row>
        <row r="3119">
          <cell r="E3119" t="str">
            <v>D2021/01983</v>
          </cell>
          <cell r="F3119">
            <v>100</v>
          </cell>
          <cell r="L3119" t="str">
            <v>44417-27</v>
          </cell>
        </row>
        <row r="3120">
          <cell r="E3120" t="str">
            <v>D2021/01295</v>
          </cell>
          <cell r="F3120">
            <v>83</v>
          </cell>
          <cell r="L3120" t="str">
            <v>44417-27</v>
          </cell>
        </row>
        <row r="3121">
          <cell r="E3121" t="str">
            <v>D2021/01295</v>
          </cell>
          <cell r="F3121">
            <v>89</v>
          </cell>
          <cell r="L3121" t="str">
            <v>44417-13</v>
          </cell>
        </row>
        <row r="3122">
          <cell r="E3122" t="str">
            <v>D2021/01295</v>
          </cell>
          <cell r="F3122">
            <v>104</v>
          </cell>
          <cell r="L3122" t="str">
            <v>44417-13</v>
          </cell>
        </row>
        <row r="3123">
          <cell r="E3123" t="str">
            <v>D2021/01295</v>
          </cell>
          <cell r="F3123">
            <v>59</v>
          </cell>
          <cell r="L3123" t="str">
            <v>44417-13</v>
          </cell>
        </row>
        <row r="3124">
          <cell r="E3124" t="str">
            <v>D2021/01295</v>
          </cell>
          <cell r="F3124">
            <v>78</v>
          </cell>
          <cell r="L3124" t="str">
            <v>44417-13</v>
          </cell>
        </row>
        <row r="3125">
          <cell r="E3125" t="str">
            <v>D2021/01983</v>
          </cell>
          <cell r="F3125">
            <v>541</v>
          </cell>
          <cell r="L3125" t="str">
            <v>44417-27</v>
          </cell>
        </row>
        <row r="3126">
          <cell r="E3126" t="str">
            <v>D2021/01959</v>
          </cell>
          <cell r="F3126">
            <v>398</v>
          </cell>
          <cell r="L3126" t="str">
            <v>44414-13</v>
          </cell>
        </row>
        <row r="3127">
          <cell r="E3127" t="str">
            <v>D2021/01295</v>
          </cell>
          <cell r="F3127">
            <v>63</v>
          </cell>
          <cell r="L3127" t="str">
            <v>44418-27</v>
          </cell>
        </row>
        <row r="3128">
          <cell r="E3128" t="str">
            <v>D2021/01295</v>
          </cell>
          <cell r="F3128">
            <v>527</v>
          </cell>
          <cell r="L3128" t="str">
            <v>44418-27</v>
          </cell>
        </row>
        <row r="3129">
          <cell r="E3129" t="str">
            <v>D2021/01295</v>
          </cell>
          <cell r="F3129">
            <v>310</v>
          </cell>
          <cell r="L3129" t="str">
            <v>44418-27</v>
          </cell>
        </row>
        <row r="3130">
          <cell r="E3130" t="str">
            <v>D2021/01295</v>
          </cell>
          <cell r="F3130">
            <v>505</v>
          </cell>
          <cell r="L3130" t="str">
            <v>44418-27</v>
          </cell>
        </row>
        <row r="3131">
          <cell r="E3131" t="str">
            <v>D2021/01294</v>
          </cell>
          <cell r="F3131">
            <v>82</v>
          </cell>
          <cell r="L3131" t="str">
            <v>44418-10</v>
          </cell>
        </row>
        <row r="3132">
          <cell r="E3132" t="str">
            <v>D2021/01294</v>
          </cell>
          <cell r="F3132">
            <v>72</v>
          </cell>
          <cell r="L3132" t="str">
            <v>44418-10</v>
          </cell>
        </row>
        <row r="3133">
          <cell r="E3133" t="str">
            <v>D2021/01294</v>
          </cell>
          <cell r="F3133">
            <v>37</v>
          </cell>
          <cell r="L3133" t="str">
            <v>44418-10</v>
          </cell>
        </row>
        <row r="3134">
          <cell r="E3134" t="str">
            <v>D2021/01294</v>
          </cell>
          <cell r="F3134">
            <v>59</v>
          </cell>
          <cell r="L3134" t="str">
            <v>44418-10</v>
          </cell>
        </row>
        <row r="3135">
          <cell r="E3135" t="str">
            <v>D2021/01294</v>
          </cell>
          <cell r="F3135">
            <v>60</v>
          </cell>
          <cell r="L3135" t="str">
            <v>44418-10</v>
          </cell>
        </row>
        <row r="3136">
          <cell r="E3136" t="str">
            <v>D2021/01295</v>
          </cell>
          <cell r="F3136">
            <v>18</v>
          </cell>
          <cell r="L3136" t="str">
            <v>44418-13</v>
          </cell>
        </row>
        <row r="3137">
          <cell r="E3137" t="str">
            <v>D2021/01295</v>
          </cell>
          <cell r="F3137">
            <v>26</v>
          </cell>
          <cell r="L3137" t="str">
            <v>44418-13</v>
          </cell>
        </row>
        <row r="3138">
          <cell r="E3138" t="str">
            <v>D2021/01295</v>
          </cell>
          <cell r="F3138">
            <v>82</v>
          </cell>
          <cell r="L3138" t="str">
            <v>44418-13</v>
          </cell>
        </row>
        <row r="3139">
          <cell r="E3139" t="str">
            <v>D2021/01295</v>
          </cell>
          <cell r="F3139">
            <v>25</v>
          </cell>
          <cell r="L3139" t="str">
            <v>44418-13</v>
          </cell>
        </row>
        <row r="3140">
          <cell r="E3140" t="str">
            <v>D2021/01295</v>
          </cell>
          <cell r="F3140">
            <v>29</v>
          </cell>
          <cell r="L3140" t="str">
            <v>44418-13</v>
          </cell>
        </row>
        <row r="3141">
          <cell r="E3141" t="str">
            <v>D2021/01295</v>
          </cell>
          <cell r="F3141">
            <v>221</v>
          </cell>
          <cell r="L3141" t="str">
            <v>44419-27</v>
          </cell>
        </row>
        <row r="3142">
          <cell r="E3142" t="str">
            <v>D2021/01295</v>
          </cell>
          <cell r="F3142">
            <v>0</v>
          </cell>
          <cell r="L3142" t="str">
            <v>44419-27</v>
          </cell>
        </row>
        <row r="3143">
          <cell r="E3143" t="str">
            <v>D2021/01295</v>
          </cell>
          <cell r="F3143">
            <v>0</v>
          </cell>
          <cell r="L3143" t="str">
            <v>44419-27</v>
          </cell>
        </row>
        <row r="3144">
          <cell r="E3144" t="str">
            <v>D2021/01295</v>
          </cell>
          <cell r="F3144">
            <v>113</v>
          </cell>
          <cell r="L3144" t="str">
            <v>44419-13</v>
          </cell>
        </row>
        <row r="3145">
          <cell r="E3145" t="str">
            <v>D2021/01294</v>
          </cell>
          <cell r="F3145">
            <v>34</v>
          </cell>
          <cell r="L3145" t="str">
            <v>44419-10</v>
          </cell>
        </row>
        <row r="3146">
          <cell r="E3146" t="str">
            <v>D2021/01294</v>
          </cell>
          <cell r="F3146">
            <v>26</v>
          </cell>
          <cell r="L3146" t="str">
            <v>44419-10</v>
          </cell>
        </row>
        <row r="3147">
          <cell r="E3147" t="str">
            <v>D2021/01294</v>
          </cell>
          <cell r="F3147">
            <v>27</v>
          </cell>
          <cell r="L3147" t="str">
            <v>44419-10</v>
          </cell>
        </row>
        <row r="3148">
          <cell r="E3148" t="str">
            <v>D2021/01294</v>
          </cell>
          <cell r="F3148">
            <v>11</v>
          </cell>
          <cell r="L3148" t="str">
            <v>44419-10</v>
          </cell>
        </row>
        <row r="3149">
          <cell r="E3149" t="str">
            <v>D2021/01294</v>
          </cell>
          <cell r="F3149">
            <v>11</v>
          </cell>
          <cell r="L3149" t="str">
            <v>44419-10</v>
          </cell>
        </row>
        <row r="3150">
          <cell r="E3150" t="str">
            <v>D2021/01294</v>
          </cell>
          <cell r="F3150">
            <v>21</v>
          </cell>
          <cell r="L3150" t="str">
            <v>44419-10</v>
          </cell>
        </row>
        <row r="3151">
          <cell r="E3151" t="str">
            <v>D2021/01294</v>
          </cell>
          <cell r="F3151">
            <v>154</v>
          </cell>
          <cell r="L3151" t="str">
            <v>44419-27</v>
          </cell>
        </row>
        <row r="3152">
          <cell r="E3152" t="str">
            <v>D2021/01279</v>
          </cell>
          <cell r="F3152">
            <v>38</v>
          </cell>
          <cell r="L3152" t="str">
            <v>44419-13</v>
          </cell>
        </row>
        <row r="3153">
          <cell r="E3153" t="str">
            <v>D2021/01279</v>
          </cell>
          <cell r="F3153">
            <v>88</v>
          </cell>
          <cell r="L3153" t="str">
            <v>44419-13</v>
          </cell>
        </row>
        <row r="3154">
          <cell r="E3154" t="str">
            <v>D2021/01279</v>
          </cell>
          <cell r="F3154">
            <v>38</v>
          </cell>
          <cell r="L3154" t="str">
            <v>44419-13</v>
          </cell>
        </row>
        <row r="3155">
          <cell r="E3155" t="str">
            <v>D2021/01279</v>
          </cell>
          <cell r="F3155">
            <v>21</v>
          </cell>
          <cell r="L3155" t="str">
            <v>44419-13</v>
          </cell>
        </row>
        <row r="3156">
          <cell r="E3156" t="str">
            <v>D2021/01294</v>
          </cell>
          <cell r="F3156">
            <v>54</v>
          </cell>
          <cell r="L3156" t="str">
            <v>44420-35</v>
          </cell>
        </row>
        <row r="3157">
          <cell r="E3157" t="str">
            <v>D2021/01294</v>
          </cell>
          <cell r="F3157">
            <v>110</v>
          </cell>
          <cell r="L3157" t="str">
            <v>44420-35</v>
          </cell>
        </row>
        <row r="3158">
          <cell r="E3158" t="str">
            <v>D2021/01294</v>
          </cell>
          <cell r="F3158">
            <v>19</v>
          </cell>
          <cell r="L3158" t="str">
            <v>44420-35</v>
          </cell>
        </row>
        <row r="3159">
          <cell r="E3159" t="str">
            <v>D2021/01294</v>
          </cell>
          <cell r="F3159">
            <v>33</v>
          </cell>
          <cell r="L3159" t="str">
            <v>44420-35</v>
          </cell>
        </row>
        <row r="3160">
          <cell r="E3160" t="str">
            <v>D2021/01279</v>
          </cell>
          <cell r="F3160">
            <v>75</v>
          </cell>
          <cell r="L3160" t="str">
            <v>44420-27</v>
          </cell>
        </row>
        <row r="3161">
          <cell r="E3161" t="str">
            <v>D2021/01279</v>
          </cell>
          <cell r="F3161">
            <v>71</v>
          </cell>
          <cell r="L3161" t="str">
            <v>44420-27</v>
          </cell>
        </row>
        <row r="3162">
          <cell r="E3162" t="str">
            <v>D2021/01279</v>
          </cell>
          <cell r="F3162">
            <v>54</v>
          </cell>
          <cell r="L3162" t="str">
            <v>44420-27</v>
          </cell>
        </row>
        <row r="3163">
          <cell r="E3163" t="str">
            <v>D2021/01279</v>
          </cell>
          <cell r="F3163">
            <v>45</v>
          </cell>
          <cell r="L3163" t="str">
            <v>44420-27</v>
          </cell>
        </row>
        <row r="3164">
          <cell r="E3164" t="str">
            <v>D2021/01279</v>
          </cell>
          <cell r="F3164">
            <v>67</v>
          </cell>
          <cell r="L3164" t="str">
            <v>44420-27</v>
          </cell>
        </row>
        <row r="3165">
          <cell r="E3165" t="str">
            <v>D2021/01279</v>
          </cell>
          <cell r="F3165">
            <v>148</v>
          </cell>
          <cell r="L3165" t="str">
            <v>44420-27</v>
          </cell>
        </row>
        <row r="3166">
          <cell r="E3166" t="str">
            <v>D2021/01280</v>
          </cell>
          <cell r="F3166">
            <v>58</v>
          </cell>
          <cell r="L3166" t="str">
            <v>44420-13</v>
          </cell>
        </row>
        <row r="3167">
          <cell r="E3167" t="str">
            <v>D2021/01280</v>
          </cell>
          <cell r="F3167">
            <v>23</v>
          </cell>
          <cell r="L3167" t="str">
            <v>44420-13</v>
          </cell>
        </row>
        <row r="3168">
          <cell r="E3168" t="str">
            <v>D2021/01280</v>
          </cell>
          <cell r="F3168">
            <v>23</v>
          </cell>
          <cell r="L3168" t="str">
            <v>44420-13</v>
          </cell>
        </row>
        <row r="3169">
          <cell r="E3169" t="str">
            <v>D2021/01280</v>
          </cell>
          <cell r="F3169">
            <v>8</v>
          </cell>
          <cell r="L3169" t="str">
            <v>44420-13</v>
          </cell>
        </row>
        <row r="3170">
          <cell r="E3170" t="str">
            <v>D2021/01280</v>
          </cell>
          <cell r="F3170">
            <v>70</v>
          </cell>
          <cell r="L3170" t="str">
            <v>44420-13</v>
          </cell>
        </row>
        <row r="3171">
          <cell r="E3171" t="str">
            <v>D2021/01280</v>
          </cell>
          <cell r="F3171">
            <v>24</v>
          </cell>
          <cell r="L3171" t="str">
            <v>44420-13</v>
          </cell>
        </row>
        <row r="3172">
          <cell r="E3172" t="str">
            <v>D2021/01280</v>
          </cell>
          <cell r="F3172">
            <v>238</v>
          </cell>
          <cell r="L3172" t="str">
            <v>44421-27</v>
          </cell>
        </row>
        <row r="3173">
          <cell r="E3173" t="str">
            <v>D2021/01280</v>
          </cell>
          <cell r="F3173">
            <v>49</v>
          </cell>
          <cell r="L3173" t="str">
            <v>44421-27</v>
          </cell>
        </row>
        <row r="3174">
          <cell r="E3174" t="str">
            <v>D2021/01280</v>
          </cell>
          <cell r="F3174">
            <v>67</v>
          </cell>
          <cell r="L3174" t="str">
            <v>44421-27</v>
          </cell>
        </row>
        <row r="3175">
          <cell r="E3175" t="str">
            <v>D2021/01280</v>
          </cell>
          <cell r="F3175">
            <v>18</v>
          </cell>
          <cell r="L3175" t="str">
            <v>44421-27</v>
          </cell>
        </row>
        <row r="3176">
          <cell r="E3176" t="str">
            <v>D2021/01280</v>
          </cell>
          <cell r="F3176">
            <v>26</v>
          </cell>
          <cell r="L3176" t="str">
            <v>44421-27</v>
          </cell>
        </row>
        <row r="3177">
          <cell r="E3177" t="str">
            <v>D2021/01280</v>
          </cell>
          <cell r="F3177">
            <v>56</v>
          </cell>
          <cell r="L3177" t="str">
            <v>44421-27</v>
          </cell>
        </row>
        <row r="3178">
          <cell r="E3178" t="str">
            <v>D2021/01280</v>
          </cell>
          <cell r="F3178">
            <v>46</v>
          </cell>
          <cell r="L3178" t="str">
            <v>44421-27</v>
          </cell>
        </row>
        <row r="3179">
          <cell r="E3179" t="str">
            <v>D2021/01280</v>
          </cell>
          <cell r="F3179">
            <v>28</v>
          </cell>
          <cell r="L3179" t="str">
            <v>44421-27</v>
          </cell>
        </row>
        <row r="3180">
          <cell r="E3180" t="str">
            <v>D2021/01280</v>
          </cell>
          <cell r="F3180">
            <v>18</v>
          </cell>
          <cell r="L3180" t="str">
            <v>44421-13</v>
          </cell>
        </row>
        <row r="3181">
          <cell r="E3181" t="str">
            <v>D2021/01280</v>
          </cell>
          <cell r="F3181">
            <v>9</v>
          </cell>
          <cell r="L3181" t="str">
            <v>44421-13</v>
          </cell>
        </row>
        <row r="3182">
          <cell r="E3182" t="str">
            <v>D2021/01280</v>
          </cell>
          <cell r="F3182">
            <v>7</v>
          </cell>
          <cell r="L3182" t="str">
            <v>44421-13</v>
          </cell>
        </row>
        <row r="3183">
          <cell r="E3183" t="str">
            <v>D2021/01280</v>
          </cell>
          <cell r="F3183">
            <v>18</v>
          </cell>
          <cell r="L3183" t="str">
            <v>44421-13</v>
          </cell>
        </row>
        <row r="3184">
          <cell r="E3184" t="str">
            <v>D2021/01280</v>
          </cell>
          <cell r="F3184">
            <v>21</v>
          </cell>
          <cell r="L3184" t="str">
            <v>44424-10</v>
          </cell>
        </row>
        <row r="3185">
          <cell r="E3185" t="str">
            <v>D2021/01280</v>
          </cell>
          <cell r="F3185">
            <v>78</v>
          </cell>
          <cell r="L3185" t="str">
            <v>44424-10</v>
          </cell>
        </row>
        <row r="3186">
          <cell r="E3186" t="str">
            <v>D2021/01280</v>
          </cell>
          <cell r="F3186">
            <v>78</v>
          </cell>
          <cell r="L3186" t="str">
            <v>44424-10</v>
          </cell>
        </row>
        <row r="3187">
          <cell r="E3187" t="str">
            <v>D2021/01280</v>
          </cell>
          <cell r="F3187">
            <v>51</v>
          </cell>
          <cell r="L3187" t="str">
            <v>44424-10</v>
          </cell>
        </row>
        <row r="3188">
          <cell r="E3188" t="str">
            <v>D2021/01280</v>
          </cell>
          <cell r="F3188">
            <v>14</v>
          </cell>
          <cell r="L3188" t="str">
            <v>44424-10</v>
          </cell>
        </row>
        <row r="3189">
          <cell r="E3189" t="str">
            <v>D2021/01280</v>
          </cell>
          <cell r="F3189">
            <v>4</v>
          </cell>
          <cell r="L3189" t="str">
            <v>44424-10</v>
          </cell>
        </row>
        <row r="3190">
          <cell r="E3190" t="str">
            <v>D2021/01280</v>
          </cell>
          <cell r="F3190">
            <v>9</v>
          </cell>
          <cell r="L3190" t="str">
            <v>44424-10</v>
          </cell>
        </row>
        <row r="3191">
          <cell r="E3191" t="str">
            <v>D2021/01280</v>
          </cell>
          <cell r="F3191">
            <v>6</v>
          </cell>
          <cell r="L3191" t="str">
            <v>44424-10</v>
          </cell>
        </row>
        <row r="3192">
          <cell r="E3192" t="str">
            <v>D2021/01280</v>
          </cell>
          <cell r="F3192">
            <v>20</v>
          </cell>
          <cell r="L3192" t="str">
            <v>44424-13</v>
          </cell>
        </row>
        <row r="3193">
          <cell r="E3193" t="str">
            <v>D2021/01280</v>
          </cell>
          <cell r="F3193">
            <v>35</v>
          </cell>
          <cell r="L3193" t="str">
            <v>44424-13</v>
          </cell>
        </row>
        <row r="3194">
          <cell r="E3194" t="str">
            <v>D2021/01280</v>
          </cell>
          <cell r="F3194">
            <v>11</v>
          </cell>
          <cell r="L3194" t="str">
            <v>44424-13</v>
          </cell>
        </row>
        <row r="3195">
          <cell r="E3195" t="str">
            <v>D2021/01280</v>
          </cell>
          <cell r="F3195">
            <v>5</v>
          </cell>
          <cell r="L3195" t="str">
            <v>44424-13</v>
          </cell>
        </row>
        <row r="3196">
          <cell r="E3196" t="str">
            <v>D2021/01280</v>
          </cell>
          <cell r="F3196">
            <v>8</v>
          </cell>
          <cell r="L3196" t="str">
            <v>44424-13</v>
          </cell>
        </row>
        <row r="3197">
          <cell r="E3197" t="str">
            <v>D2021/01280</v>
          </cell>
          <cell r="F3197">
            <v>25</v>
          </cell>
          <cell r="L3197" t="str">
            <v>44425-27</v>
          </cell>
        </row>
        <row r="3198">
          <cell r="E3198" t="str">
            <v>D2021/01280</v>
          </cell>
          <cell r="F3198">
            <v>43</v>
          </cell>
          <cell r="L3198" t="str">
            <v>44425-27</v>
          </cell>
        </row>
        <row r="3199">
          <cell r="E3199" t="str">
            <v>D2021/01280</v>
          </cell>
          <cell r="F3199">
            <v>70</v>
          </cell>
          <cell r="L3199" t="str">
            <v>44425-27</v>
          </cell>
        </row>
        <row r="3200">
          <cell r="E3200" t="str">
            <v>D2021/01280</v>
          </cell>
          <cell r="F3200">
            <v>21</v>
          </cell>
          <cell r="L3200" t="str">
            <v>44425-13</v>
          </cell>
        </row>
        <row r="3201">
          <cell r="E3201" t="str">
            <v>D2021/01280</v>
          </cell>
          <cell r="F3201">
            <v>9</v>
          </cell>
          <cell r="L3201" t="str">
            <v>44425-13</v>
          </cell>
        </row>
        <row r="3202">
          <cell r="E3202" t="str">
            <v>D2021/01280</v>
          </cell>
          <cell r="F3202">
            <v>50</v>
          </cell>
          <cell r="L3202" t="str">
            <v>44425-13</v>
          </cell>
        </row>
        <row r="3203">
          <cell r="E3203" t="str">
            <v>D2021/01280</v>
          </cell>
          <cell r="F3203">
            <v>23</v>
          </cell>
          <cell r="L3203" t="str">
            <v>44425-13</v>
          </cell>
        </row>
        <row r="3204">
          <cell r="E3204" t="str">
            <v>D2021/01281</v>
          </cell>
          <cell r="F3204">
            <v>105</v>
          </cell>
          <cell r="L3204" t="str">
            <v>44425-13</v>
          </cell>
        </row>
        <row r="3205">
          <cell r="E3205" t="str">
            <v>D2021/01281</v>
          </cell>
          <cell r="F3205">
            <v>39</v>
          </cell>
          <cell r="L3205" t="str">
            <v>44425-13</v>
          </cell>
        </row>
        <row r="3206">
          <cell r="E3206" t="str">
            <v>D2021/01281</v>
          </cell>
          <cell r="F3206">
            <v>28</v>
          </cell>
          <cell r="L3206" t="str">
            <v>44426-27</v>
          </cell>
        </row>
        <row r="3207">
          <cell r="E3207" t="str">
            <v>D2021/01281</v>
          </cell>
          <cell r="F3207">
            <v>52</v>
          </cell>
          <cell r="L3207" t="str">
            <v>44426-27</v>
          </cell>
        </row>
        <row r="3208">
          <cell r="E3208" t="str">
            <v>D2021/01281</v>
          </cell>
          <cell r="F3208">
            <v>36</v>
          </cell>
          <cell r="L3208" t="str">
            <v>44426-27</v>
          </cell>
        </row>
        <row r="3209">
          <cell r="E3209" t="str">
            <v>D2021/01281</v>
          </cell>
          <cell r="F3209">
            <v>56</v>
          </cell>
          <cell r="L3209" t="str">
            <v>44426-27</v>
          </cell>
        </row>
        <row r="3210">
          <cell r="E3210" t="str">
            <v>D2021/01281</v>
          </cell>
          <cell r="F3210">
            <v>13</v>
          </cell>
          <cell r="L3210" t="str">
            <v>44426-27</v>
          </cell>
        </row>
        <row r="3211">
          <cell r="E3211" t="str">
            <v>D2021/01281</v>
          </cell>
          <cell r="F3211">
            <v>67</v>
          </cell>
          <cell r="L3211" t="str">
            <v>44426-27</v>
          </cell>
        </row>
        <row r="3212">
          <cell r="E3212" t="str">
            <v>D2021/01281</v>
          </cell>
          <cell r="F3212">
            <v>42</v>
          </cell>
          <cell r="L3212" t="str">
            <v>44426-27</v>
          </cell>
        </row>
        <row r="3213">
          <cell r="E3213" t="str">
            <v>D2021/01281</v>
          </cell>
          <cell r="F3213">
            <v>31</v>
          </cell>
          <cell r="L3213" t="str">
            <v>44426-27</v>
          </cell>
        </row>
        <row r="3214">
          <cell r="E3214" t="str">
            <v>D2021/01280</v>
          </cell>
          <cell r="F3214">
            <v>76</v>
          </cell>
          <cell r="L3214" t="str">
            <v>44426-13</v>
          </cell>
        </row>
        <row r="3215">
          <cell r="E3215" t="str">
            <v>D2021/01280</v>
          </cell>
          <cell r="F3215">
            <v>32</v>
          </cell>
          <cell r="L3215" t="str">
            <v>44426-13</v>
          </cell>
        </row>
        <row r="3216">
          <cell r="E3216" t="str">
            <v>D2021/01280</v>
          </cell>
          <cell r="F3216">
            <v>11</v>
          </cell>
          <cell r="L3216" t="str">
            <v>44426-13</v>
          </cell>
        </row>
        <row r="3217">
          <cell r="E3217" t="str">
            <v>D2021/01280</v>
          </cell>
          <cell r="F3217">
            <v>70</v>
          </cell>
          <cell r="L3217" t="str">
            <v>44426-13</v>
          </cell>
        </row>
        <row r="3218">
          <cell r="E3218" t="str">
            <v>D2021/01280</v>
          </cell>
          <cell r="F3218">
            <v>71</v>
          </cell>
          <cell r="L3218" t="str">
            <v>44426-13</v>
          </cell>
        </row>
        <row r="3219">
          <cell r="E3219" t="str">
            <v>D2021/01280</v>
          </cell>
          <cell r="F3219">
            <v>49</v>
          </cell>
          <cell r="L3219" t="str">
            <v>44426-13</v>
          </cell>
        </row>
        <row r="3220">
          <cell r="E3220" t="str">
            <v>D2021/01280</v>
          </cell>
          <cell r="F3220">
            <v>28</v>
          </cell>
          <cell r="L3220" t="str">
            <v>44426-13</v>
          </cell>
        </row>
        <row r="3221">
          <cell r="E3221" t="str">
            <v>D2021/01280</v>
          </cell>
          <cell r="F3221">
            <v>60</v>
          </cell>
          <cell r="L3221" t="str">
            <v>44427-35</v>
          </cell>
        </row>
        <row r="3222">
          <cell r="E3222" t="str">
            <v>D2021/01280</v>
          </cell>
          <cell r="F3222">
            <v>36</v>
          </cell>
          <cell r="L3222" t="str">
            <v>44427-35</v>
          </cell>
        </row>
        <row r="3223">
          <cell r="E3223" t="str">
            <v>D2021/01280</v>
          </cell>
          <cell r="F3223">
            <v>71</v>
          </cell>
          <cell r="L3223" t="str">
            <v>44427-35</v>
          </cell>
        </row>
        <row r="3224">
          <cell r="E3224" t="str">
            <v>D2021/01280</v>
          </cell>
          <cell r="F3224">
            <v>88</v>
          </cell>
          <cell r="L3224" t="str">
            <v>44427-35</v>
          </cell>
        </row>
        <row r="3225">
          <cell r="E3225" t="str">
            <v>D2021/01280</v>
          </cell>
          <cell r="F3225">
            <v>122</v>
          </cell>
          <cell r="L3225" t="str">
            <v>44427-35</v>
          </cell>
        </row>
        <row r="3226">
          <cell r="E3226" t="str">
            <v>D2021/01280</v>
          </cell>
          <cell r="F3226">
            <v>36</v>
          </cell>
          <cell r="L3226" t="str">
            <v>44427-35</v>
          </cell>
        </row>
        <row r="3227">
          <cell r="E3227" t="str">
            <v>D2021/01280</v>
          </cell>
          <cell r="F3227">
            <v>104</v>
          </cell>
          <cell r="L3227" t="str">
            <v>44427-35</v>
          </cell>
        </row>
        <row r="3228">
          <cell r="E3228" t="str">
            <v>D2021/01280</v>
          </cell>
          <cell r="F3228">
            <v>18</v>
          </cell>
          <cell r="L3228" t="str">
            <v>44427-13</v>
          </cell>
        </row>
        <row r="3229">
          <cell r="E3229" t="str">
            <v>D2021/01280</v>
          </cell>
          <cell r="F3229">
            <v>78</v>
          </cell>
          <cell r="L3229" t="str">
            <v>44427-13</v>
          </cell>
        </row>
        <row r="3230">
          <cell r="E3230" t="str">
            <v>D2021/01280</v>
          </cell>
          <cell r="F3230">
            <v>68</v>
          </cell>
          <cell r="L3230" t="str">
            <v>44427-13</v>
          </cell>
        </row>
        <row r="3231">
          <cell r="E3231" t="str">
            <v>D2021/01280</v>
          </cell>
          <cell r="F3231">
            <v>77</v>
          </cell>
          <cell r="L3231" t="str">
            <v>44427-13</v>
          </cell>
        </row>
        <row r="3232">
          <cell r="E3232" t="str">
            <v>D2021/01280</v>
          </cell>
          <cell r="F3232">
            <v>40</v>
          </cell>
          <cell r="L3232" t="str">
            <v>44427-13</v>
          </cell>
        </row>
        <row r="3233">
          <cell r="E3233" t="str">
            <v>D2021/01280</v>
          </cell>
          <cell r="F3233">
            <v>59</v>
          </cell>
          <cell r="L3233" t="str">
            <v>44427-13</v>
          </cell>
        </row>
        <row r="3234">
          <cell r="E3234" t="str">
            <v>D2021/01280</v>
          </cell>
          <cell r="F3234">
            <v>45</v>
          </cell>
          <cell r="L3234" t="str">
            <v>44427-13</v>
          </cell>
        </row>
        <row r="3235">
          <cell r="E3235" t="str">
            <v>D2021/01294</v>
          </cell>
          <cell r="F3235">
            <v>49</v>
          </cell>
          <cell r="L3235" t="str">
            <v>44428-35</v>
          </cell>
        </row>
        <row r="3236">
          <cell r="E3236" t="str">
            <v>D2021/01294</v>
          </cell>
          <cell r="F3236">
            <v>49</v>
          </cell>
          <cell r="L3236" t="str">
            <v>44428-35</v>
          </cell>
        </row>
        <row r="3237">
          <cell r="E3237" t="str">
            <v>D2021/01967</v>
          </cell>
          <cell r="F3237">
            <v>31</v>
          </cell>
          <cell r="L3237" t="str">
            <v>44428-35</v>
          </cell>
        </row>
        <row r="3238">
          <cell r="E3238" t="str">
            <v>D2021/01967</v>
          </cell>
          <cell r="F3238">
            <v>29</v>
          </cell>
          <cell r="L3238" t="str">
            <v>44428-35</v>
          </cell>
        </row>
        <row r="3239">
          <cell r="E3239" t="str">
            <v>D2021/01967</v>
          </cell>
          <cell r="F3239">
            <v>70</v>
          </cell>
          <cell r="L3239" t="str">
            <v>44428-35</v>
          </cell>
        </row>
        <row r="3240">
          <cell r="E3240" t="str">
            <v>D2021/01280</v>
          </cell>
          <cell r="F3240">
            <v>35</v>
          </cell>
          <cell r="L3240" t="str">
            <v>44428-27</v>
          </cell>
        </row>
        <row r="3241">
          <cell r="E3241" t="str">
            <v>D2021/01280</v>
          </cell>
          <cell r="F3241">
            <v>18</v>
          </cell>
          <cell r="L3241" t="str">
            <v>44428-27</v>
          </cell>
        </row>
        <row r="3242">
          <cell r="E3242" t="str">
            <v>D2021/01280</v>
          </cell>
          <cell r="F3242">
            <v>32</v>
          </cell>
          <cell r="L3242" t="str">
            <v>44428-27</v>
          </cell>
        </row>
        <row r="3243">
          <cell r="E3243" t="str">
            <v>D2021/01280</v>
          </cell>
          <cell r="F3243">
            <v>151</v>
          </cell>
          <cell r="L3243" t="str">
            <v>44428-27</v>
          </cell>
        </row>
        <row r="3244">
          <cell r="E3244" t="str">
            <v>D2021/01280</v>
          </cell>
          <cell r="F3244">
            <v>30</v>
          </cell>
          <cell r="L3244" t="str">
            <v>44428-27</v>
          </cell>
        </row>
        <row r="3245">
          <cell r="E3245" t="str">
            <v>D2021/01280</v>
          </cell>
          <cell r="F3245">
            <v>28</v>
          </cell>
          <cell r="L3245" t="str">
            <v>44428-27</v>
          </cell>
        </row>
        <row r="3246">
          <cell r="E3246" t="str">
            <v>D2021/01280</v>
          </cell>
          <cell r="F3246">
            <v>105</v>
          </cell>
          <cell r="L3246" t="str">
            <v>44428-13</v>
          </cell>
        </row>
        <row r="3247">
          <cell r="E3247" t="str">
            <v>D2021/01280</v>
          </cell>
          <cell r="F3247">
            <v>86</v>
          </cell>
          <cell r="L3247" t="str">
            <v>44428-13</v>
          </cell>
        </row>
        <row r="3248">
          <cell r="E3248" t="str">
            <v>D2021/01280</v>
          </cell>
          <cell r="F3248">
            <v>199</v>
          </cell>
          <cell r="L3248" t="str">
            <v>44428-13</v>
          </cell>
        </row>
        <row r="3249">
          <cell r="E3249" t="str">
            <v>D2021/01967</v>
          </cell>
          <cell r="F3249">
            <v>5</v>
          </cell>
          <cell r="L3249" t="str">
            <v>44428-36</v>
          </cell>
        </row>
        <row r="3250">
          <cell r="E3250" t="str">
            <v>D2021/01967</v>
          </cell>
          <cell r="F3250">
            <v>37</v>
          </cell>
          <cell r="L3250" t="str">
            <v>44428-36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YMPUS_v1_3e3bf6e1-2794-49b6"/>
      <sheetName val="INPUTS"/>
      <sheetName val="OFF-SITE COILS"/>
      <sheetName val="Sheet1"/>
      <sheetName val="PRINT"/>
      <sheetName val="Analysis"/>
    </sheetNames>
    <sheetDataSet>
      <sheetData sheetId="0" refreshError="1"/>
      <sheetData sheetId="1">
        <row r="1">
          <cell r="I1" t="str">
            <v xml:space="preserve">RECEIVING INSPECTION LOG </v>
          </cell>
          <cell r="AS1" t="str">
            <v>PSI</v>
          </cell>
          <cell r="AT1">
            <v>116500</v>
          </cell>
          <cell r="AU1" t="str">
            <v>MPA</v>
          </cell>
          <cell r="AV1">
            <v>803</v>
          </cell>
          <cell r="BD1" t="str">
            <v>Mod.027 (Rev.0)</v>
          </cell>
        </row>
        <row r="2">
          <cell r="AS2" t="str">
            <v>KSI</v>
          </cell>
          <cell r="AT2">
            <v>83.6</v>
          </cell>
          <cell r="AV2">
            <v>576</v>
          </cell>
        </row>
        <row r="3">
          <cell r="A3" t="str">
            <v>Received Date</v>
          </cell>
          <cell r="B3" t="str">
            <v>LOOKUP CODE</v>
          </cell>
          <cell r="C3" t="str">
            <v>Our order #</v>
          </cell>
          <cell r="D3" t="str">
            <v>Our Order Line#</v>
          </cell>
          <cell r="E3" t="str">
            <v>Due Date</v>
          </cell>
          <cell r="F3" t="str">
            <v>RECEIVING INTIALS</v>
          </cell>
          <cell r="G3" t="str">
            <v>Timing</v>
          </cell>
          <cell r="H3" t="str">
            <v>Accomp. Docs 
#</v>
          </cell>
          <cell r="I3" t="str">
            <v>Accomp. Docs Date</v>
          </cell>
          <cell r="J3" t="str">
            <v>Supplier</v>
          </cell>
          <cell r="K3" t="str">
            <v>Lot #</v>
          </cell>
          <cell r="L3" t="str">
            <v>Skid #</v>
          </cell>
          <cell r="M3" t="str">
            <v>Coil Lot #</v>
          </cell>
          <cell r="N3" t="str">
            <v>Heat #</v>
          </cell>
          <cell r="O3" t="str">
            <v>MATERIAL</v>
          </cell>
          <cell r="P3" t="str">
            <v>SIMPLE GRADE</v>
          </cell>
          <cell r="Q3" t="str">
            <v>Ordered Width</v>
          </cell>
          <cell r="R3" t="str">
            <v>Actual Width</v>
          </cell>
          <cell r="S3" t="str">
            <v>Ordered Thickness</v>
          </cell>
          <cell r="T3" t="str">
            <v>Log. Thickness</v>
          </cell>
          <cell r="U3" t="str">
            <v>QC Thickness</v>
          </cell>
          <cell r="V3" t="str">
            <v>Avg. Thickness</v>
          </cell>
          <cell r="W3" t="str">
            <v>QC INTIALS</v>
          </cell>
          <cell r="X3" t="str">
            <v>Weight
(Acc. Doc)</v>
          </cell>
          <cell r="Y3" t="str">
            <v># Strips per skid</v>
          </cell>
          <cell r="Z3" t="str">
            <v>Lbs/in</v>
          </cell>
          <cell r="AA3" t="str">
            <v>PRODUCT LOOKUP</v>
          </cell>
          <cell r="AB3" t="str">
            <v>PRODUCT CODE</v>
          </cell>
          <cell r="AC3" t="str">
            <v>Lot#2</v>
          </cell>
          <cell r="AD3" t="str">
            <v>Heat#2</v>
          </cell>
          <cell r="AE3" t="str">
            <v>C</v>
          </cell>
          <cell r="AF3" t="str">
            <v>Mn</v>
          </cell>
          <cell r="AG3" t="str">
            <v>P</v>
          </cell>
          <cell r="AH3" t="str">
            <v>S</v>
          </cell>
          <cell r="AI3" t="str">
            <v>Si</v>
          </cell>
          <cell r="AJ3" t="str">
            <v>Cr</v>
          </cell>
          <cell r="AK3" t="str">
            <v>Ni</v>
          </cell>
          <cell r="AL3" t="str">
            <v>N</v>
          </cell>
          <cell r="AM3" t="str">
            <v>MO</v>
          </cell>
          <cell r="AN3" t="str">
            <v>Fe</v>
          </cell>
          <cell r="AO3" t="str">
            <v>Al</v>
          </cell>
          <cell r="AP3" t="str">
            <v>CB</v>
          </cell>
          <cell r="AQ3" t="str">
            <v>TA</v>
          </cell>
          <cell r="AR3" t="str">
            <v>Cu</v>
          </cell>
          <cell r="AS3" t="str">
            <v>Ti</v>
          </cell>
          <cell r="AT3" t="str">
            <v>RP0.2%</v>
          </cell>
          <cell r="AU3" t="str">
            <v>RP1.0%</v>
          </cell>
          <cell r="AV3" t="str">
            <v>RM</v>
          </cell>
          <cell r="AW3" t="str">
            <v>ELONG</v>
          </cell>
          <cell r="AX3" t="str">
            <v>HARD (HRB OR HB)</v>
          </cell>
          <cell r="AY3" t="str">
            <v>HARD (HV)</v>
          </cell>
          <cell r="AZ3" t="str">
            <v>$/LB</v>
          </cell>
          <cell r="BA3" t="str">
            <v>Lot#3</v>
          </cell>
          <cell r="BB3" t="str">
            <v>Packing</v>
          </cell>
          <cell r="BC3" t="str">
            <v>P.M.I.</v>
          </cell>
          <cell r="BD3" t="str">
            <v>Visual Check</v>
          </cell>
          <cell r="BE3" t="str">
            <v>Tag Check</v>
          </cell>
          <cell r="BF3" t="str">
            <v>Cert. Check</v>
          </cell>
        </row>
        <row r="4">
          <cell r="A4">
            <v>43587</v>
          </cell>
          <cell r="B4" t="str">
            <v>D1905001-1</v>
          </cell>
          <cell r="C4" t="str">
            <v>001/19</v>
          </cell>
          <cell r="D4">
            <v>1</v>
          </cell>
          <cell r="E4">
            <v>43573</v>
          </cell>
          <cell r="F4" t="str">
            <v>DC</v>
          </cell>
          <cell r="G4" t="str">
            <v>Late</v>
          </cell>
          <cell r="H4" t="str">
            <v>L260273</v>
          </cell>
          <cell r="I4">
            <v>43585</v>
          </cell>
          <cell r="J4" t="str">
            <v>ATI</v>
          </cell>
          <cell r="K4" t="str">
            <v>D1905001</v>
          </cell>
          <cell r="L4" t="str">
            <v>1</v>
          </cell>
          <cell r="M4" t="str">
            <v>AAC58773-BA</v>
          </cell>
          <cell r="N4">
            <v>857426</v>
          </cell>
          <cell r="O4" t="str">
            <v xml:space="preserve">1.4306 TP304L </v>
          </cell>
          <cell r="P4" t="str">
            <v>304L</v>
          </cell>
          <cell r="Q4">
            <v>1.7509999999999999</v>
          </cell>
          <cell r="R4">
            <v>1.7524999999999999</v>
          </cell>
          <cell r="S4">
            <v>3.5000000000000003E-2</v>
          </cell>
          <cell r="T4">
            <v>3.6499999999999998E-2</v>
          </cell>
          <cell r="V4">
            <v>3.6499999999999998E-2</v>
          </cell>
          <cell r="X4">
            <v>6466</v>
          </cell>
          <cell r="Y4">
            <v>9</v>
          </cell>
          <cell r="Z4">
            <v>410.30522241258967</v>
          </cell>
          <cell r="AA4" t="str">
            <v>1.751X0.035-304L</v>
          </cell>
          <cell r="AB4" t="str">
            <v>WAAC004450089B300004</v>
          </cell>
          <cell r="AC4" t="str">
            <v>D1905001</v>
          </cell>
          <cell r="AD4">
            <v>857426</v>
          </cell>
          <cell r="AE4">
            <v>1.4999999999999999E-2</v>
          </cell>
          <cell r="AF4">
            <v>1.68</v>
          </cell>
          <cell r="AG4">
            <v>3.1E-2</v>
          </cell>
          <cell r="AH4">
            <v>2.0000000000000001E-4</v>
          </cell>
          <cell r="AI4">
            <v>0.37</v>
          </cell>
          <cell r="AJ4">
            <v>18.09</v>
          </cell>
          <cell r="AK4">
            <v>8.1</v>
          </cell>
          <cell r="AL4">
            <v>7.0000000000000007E-2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Y4" t="str">
            <v/>
          </cell>
          <cell r="AZ4">
            <v>1.4121999999999999</v>
          </cell>
          <cell r="BA4" t="str">
            <v>D1905001</v>
          </cell>
          <cell r="BB4" t="str">
            <v>CONFORM</v>
          </cell>
          <cell r="BC4" t="str">
            <v>CONFORM</v>
          </cell>
          <cell r="BD4" t="str">
            <v>CONFORM</v>
          </cell>
          <cell r="BE4" t="str">
            <v>CONFORM</v>
          </cell>
          <cell r="BF4" t="str">
            <v>CONFORM</v>
          </cell>
        </row>
        <row r="5">
          <cell r="A5">
            <v>43587</v>
          </cell>
          <cell r="B5" t="str">
            <v>D1905001-2</v>
          </cell>
          <cell r="C5" t="str">
            <v>001/19</v>
          </cell>
          <cell r="D5">
            <v>1</v>
          </cell>
          <cell r="E5">
            <v>43573</v>
          </cell>
          <cell r="F5" t="str">
            <v>DC</v>
          </cell>
          <cell r="G5" t="str">
            <v>Late</v>
          </cell>
          <cell r="H5" t="str">
            <v>L260273</v>
          </cell>
          <cell r="I5">
            <v>43585</v>
          </cell>
          <cell r="J5" t="str">
            <v>ATI</v>
          </cell>
          <cell r="K5" t="str">
            <v>D1905001</v>
          </cell>
          <cell r="L5" t="str">
            <v>2</v>
          </cell>
          <cell r="M5" t="str">
            <v>AAC58773-BB</v>
          </cell>
          <cell r="N5">
            <v>857426</v>
          </cell>
          <cell r="O5" t="str">
            <v xml:space="preserve">1.4306 TP304L </v>
          </cell>
          <cell r="P5" t="str">
            <v>304L</v>
          </cell>
          <cell r="Q5">
            <v>1.7509999999999999</v>
          </cell>
          <cell r="R5">
            <v>1.7524999999999999</v>
          </cell>
          <cell r="S5">
            <v>3.5000000000000003E-2</v>
          </cell>
          <cell r="T5">
            <v>3.6499999999999998E-2</v>
          </cell>
          <cell r="V5">
            <v>3.6499999999999998E-2</v>
          </cell>
          <cell r="X5">
            <v>6492</v>
          </cell>
          <cell r="Y5">
            <v>9</v>
          </cell>
          <cell r="Z5">
            <v>411.95507329145255</v>
          </cell>
          <cell r="AA5" t="str">
            <v>1.751X0.035-304L</v>
          </cell>
          <cell r="AB5" t="str">
            <v>WAAC004450089B300004</v>
          </cell>
          <cell r="AC5" t="str">
            <v>D1905001</v>
          </cell>
          <cell r="AD5">
            <v>857426</v>
          </cell>
          <cell r="AE5">
            <v>1.4999999999999999E-2</v>
          </cell>
          <cell r="AF5">
            <v>1.68</v>
          </cell>
          <cell r="AG5">
            <v>3.1E-2</v>
          </cell>
          <cell r="AH5">
            <v>2.0000000000000001E-4</v>
          </cell>
          <cell r="AI5">
            <v>0.37</v>
          </cell>
          <cell r="AJ5">
            <v>18.09</v>
          </cell>
          <cell r="AK5">
            <v>8.1</v>
          </cell>
          <cell r="AL5">
            <v>7.0000000000000007E-2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Y5" t="str">
            <v/>
          </cell>
          <cell r="AZ5">
            <v>1.4121999999999999</v>
          </cell>
          <cell r="BA5" t="str">
            <v>D1905001</v>
          </cell>
          <cell r="BB5" t="str">
            <v>CONFORM</v>
          </cell>
          <cell r="BC5" t="str">
            <v>CONFORM</v>
          </cell>
          <cell r="BD5" t="str">
            <v>CONFORM</v>
          </cell>
          <cell r="BE5" t="str">
            <v>CONFORM</v>
          </cell>
          <cell r="BF5" t="str">
            <v>CONFORM</v>
          </cell>
        </row>
        <row r="6">
          <cell r="A6">
            <v>43587</v>
          </cell>
          <cell r="B6" t="str">
            <v>D1905001-3</v>
          </cell>
          <cell r="C6" t="str">
            <v>001/19</v>
          </cell>
          <cell r="D6">
            <v>1</v>
          </cell>
          <cell r="E6">
            <v>43573</v>
          </cell>
          <cell r="F6" t="str">
            <v>DC</v>
          </cell>
          <cell r="G6" t="str">
            <v>Late</v>
          </cell>
          <cell r="H6" t="str">
            <v>L260273</v>
          </cell>
          <cell r="I6">
            <v>43585</v>
          </cell>
          <cell r="J6" t="str">
            <v>ATI</v>
          </cell>
          <cell r="K6" t="str">
            <v>D1905001</v>
          </cell>
          <cell r="L6" t="str">
            <v>3</v>
          </cell>
          <cell r="M6" t="str">
            <v>AAC58773-BC</v>
          </cell>
          <cell r="N6">
            <v>857426</v>
          </cell>
          <cell r="O6" t="str">
            <v xml:space="preserve">1.4306 TP304L </v>
          </cell>
          <cell r="P6" t="str">
            <v>304L</v>
          </cell>
          <cell r="Q6">
            <v>1.7509999999999999</v>
          </cell>
          <cell r="R6">
            <v>1.5249999999999999</v>
          </cell>
          <cell r="S6">
            <v>3.5000000000000003E-2</v>
          </cell>
          <cell r="T6">
            <v>3.6499999999999998E-2</v>
          </cell>
          <cell r="V6">
            <v>3.6499999999999998E-2</v>
          </cell>
          <cell r="X6">
            <v>6448</v>
          </cell>
          <cell r="Y6">
            <v>9</v>
          </cell>
          <cell r="Z6">
            <v>409.16301795799228</v>
          </cell>
          <cell r="AA6" t="str">
            <v>1.751X0.035-304L</v>
          </cell>
          <cell r="AB6" t="str">
            <v>WAAC004450089B300004</v>
          </cell>
          <cell r="AC6" t="str">
            <v>D1905001</v>
          </cell>
          <cell r="AD6">
            <v>857426</v>
          </cell>
          <cell r="AE6">
            <v>1.4999999999999999E-2</v>
          </cell>
          <cell r="AF6">
            <v>1.68</v>
          </cell>
          <cell r="AG6">
            <v>3.1E-2</v>
          </cell>
          <cell r="AH6">
            <v>2.0000000000000001E-4</v>
          </cell>
          <cell r="AI6">
            <v>0.37</v>
          </cell>
          <cell r="AJ6">
            <v>18.09</v>
          </cell>
          <cell r="AK6">
            <v>8.1</v>
          </cell>
          <cell r="AL6">
            <v>7.0000000000000007E-2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Y6" t="str">
            <v/>
          </cell>
          <cell r="AZ6">
            <v>1.4121999999999999</v>
          </cell>
          <cell r="BA6" t="str">
            <v>D1905001</v>
          </cell>
          <cell r="BB6" t="str">
            <v>CONFORM</v>
          </cell>
          <cell r="BC6" t="str">
            <v>CONFORM</v>
          </cell>
          <cell r="BD6" t="str">
            <v>CONFORM</v>
          </cell>
          <cell r="BE6" t="str">
            <v>CONFORM</v>
          </cell>
          <cell r="BF6" t="str">
            <v>CONFORM</v>
          </cell>
        </row>
        <row r="7">
          <cell r="A7">
            <v>43595</v>
          </cell>
          <cell r="B7" t="str">
            <v>D1905002-1</v>
          </cell>
          <cell r="C7" t="str">
            <v>004/19</v>
          </cell>
          <cell r="D7">
            <v>1</v>
          </cell>
          <cell r="E7">
            <v>43621</v>
          </cell>
          <cell r="F7" t="str">
            <v>DC</v>
          </cell>
          <cell r="G7" t="str">
            <v>On Time</v>
          </cell>
          <cell r="H7">
            <v>907488</v>
          </cell>
          <cell r="I7">
            <v>43595</v>
          </cell>
          <cell r="J7" t="str">
            <v>RYERSON</v>
          </cell>
          <cell r="K7" t="str">
            <v>D1905002</v>
          </cell>
          <cell r="L7" t="str">
            <v>1</v>
          </cell>
          <cell r="M7">
            <v>86413</v>
          </cell>
          <cell r="N7">
            <v>524437</v>
          </cell>
          <cell r="O7" t="str">
            <v xml:space="preserve">1.4306 TP304L </v>
          </cell>
          <cell r="P7" t="str">
            <v>304L</v>
          </cell>
          <cell r="Q7">
            <v>2.72</v>
          </cell>
          <cell r="R7">
            <v>2.72</v>
          </cell>
          <cell r="S7">
            <v>4.9000000000000002E-2</v>
          </cell>
          <cell r="T7">
            <v>4.8000000000000001E-2</v>
          </cell>
          <cell r="V7">
            <v>4.8000000000000001E-2</v>
          </cell>
          <cell r="X7">
            <v>2300</v>
          </cell>
          <cell r="Y7">
            <v>5</v>
          </cell>
          <cell r="Z7">
            <v>169.11764705882351</v>
          </cell>
          <cell r="AA7" t="str">
            <v>2.72X0.049-304L</v>
          </cell>
          <cell r="AB7" t="str">
            <v>WAAC006900124B300011</v>
          </cell>
          <cell r="AC7" t="str">
            <v>D1905002</v>
          </cell>
          <cell r="AD7">
            <v>524437</v>
          </cell>
          <cell r="AE7">
            <v>2.7E-2</v>
          </cell>
          <cell r="AF7">
            <v>1.36</v>
          </cell>
          <cell r="AG7">
            <v>0.03</v>
          </cell>
          <cell r="AH7">
            <v>1.5E-3</v>
          </cell>
          <cell r="AI7">
            <v>0.31</v>
          </cell>
          <cell r="AJ7">
            <v>18.29</v>
          </cell>
          <cell r="AK7">
            <v>8.0399999999999991</v>
          </cell>
          <cell r="AL7">
            <v>0.66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Y7" t="str">
            <v/>
          </cell>
          <cell r="AZ7">
            <v>1.67</v>
          </cell>
          <cell r="BA7" t="str">
            <v>D1905002</v>
          </cell>
          <cell r="BB7" t="str">
            <v>CONFORM</v>
          </cell>
          <cell r="BC7" t="str">
            <v>CONFORM</v>
          </cell>
          <cell r="BD7" t="str">
            <v>CONFORM</v>
          </cell>
          <cell r="BE7" t="str">
            <v>CONFORM</v>
          </cell>
          <cell r="BF7" t="str">
            <v>CONFORM</v>
          </cell>
        </row>
        <row r="8">
          <cell r="A8">
            <v>43595</v>
          </cell>
          <cell r="B8" t="str">
            <v>D1905002-2</v>
          </cell>
          <cell r="C8" t="str">
            <v>004/19</v>
          </cell>
          <cell r="D8">
            <v>1</v>
          </cell>
          <cell r="E8">
            <v>43621</v>
          </cell>
          <cell r="F8" t="str">
            <v>DC</v>
          </cell>
          <cell r="G8" t="str">
            <v>On Time</v>
          </cell>
          <cell r="H8">
            <v>907488</v>
          </cell>
          <cell r="I8">
            <v>43595</v>
          </cell>
          <cell r="J8" t="str">
            <v>RYERSON</v>
          </cell>
          <cell r="K8" t="str">
            <v>D1905002</v>
          </cell>
          <cell r="L8" t="str">
            <v>2</v>
          </cell>
          <cell r="M8">
            <v>86414</v>
          </cell>
          <cell r="N8">
            <v>524437</v>
          </cell>
          <cell r="O8" t="str">
            <v xml:space="preserve">1.4306 TP304L </v>
          </cell>
          <cell r="P8" t="str">
            <v>304L</v>
          </cell>
          <cell r="Q8">
            <v>2.72</v>
          </cell>
          <cell r="R8">
            <v>2.72</v>
          </cell>
          <cell r="S8">
            <v>4.9000000000000002E-2</v>
          </cell>
          <cell r="T8">
            <v>4.8000000000000001E-2</v>
          </cell>
          <cell r="V8">
            <v>4.8000000000000001E-2</v>
          </cell>
          <cell r="X8">
            <v>2280</v>
          </cell>
          <cell r="Y8">
            <v>5</v>
          </cell>
          <cell r="Z8">
            <v>167.64705882352939</v>
          </cell>
          <cell r="AA8" t="str">
            <v>2.72X0.049-304L</v>
          </cell>
          <cell r="AB8" t="str">
            <v>WAAC006900124B300011</v>
          </cell>
          <cell r="AC8" t="str">
            <v>D1905002</v>
          </cell>
          <cell r="AD8">
            <v>524437</v>
          </cell>
          <cell r="AE8">
            <v>2.7E-2</v>
          </cell>
          <cell r="AF8">
            <v>1.36</v>
          </cell>
          <cell r="AG8">
            <v>0.03</v>
          </cell>
          <cell r="AH8">
            <v>1.5E-3</v>
          </cell>
          <cell r="AI8">
            <v>0.31</v>
          </cell>
          <cell r="AJ8">
            <v>18.29</v>
          </cell>
          <cell r="AK8">
            <v>8.0399999999999991</v>
          </cell>
          <cell r="AL8">
            <v>0.66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Y8" t="str">
            <v/>
          </cell>
          <cell r="AZ8">
            <v>1.67</v>
          </cell>
          <cell r="BA8" t="str">
            <v>D1905002</v>
          </cell>
          <cell r="BB8" t="str">
            <v>CONFORM</v>
          </cell>
          <cell r="BC8" t="str">
            <v>CONFORM</v>
          </cell>
          <cell r="BD8" t="str">
            <v>CONFORM</v>
          </cell>
          <cell r="BE8" t="str">
            <v>CONFORM</v>
          </cell>
          <cell r="BF8" t="str">
            <v>CONFORM</v>
          </cell>
        </row>
        <row r="9">
          <cell r="A9">
            <v>43598</v>
          </cell>
          <cell r="B9" t="str">
            <v>D1905003-1</v>
          </cell>
          <cell r="C9" t="str">
            <v>002/19</v>
          </cell>
          <cell r="D9">
            <v>2</v>
          </cell>
          <cell r="E9">
            <v>43591</v>
          </cell>
          <cell r="F9" t="str">
            <v>DC</v>
          </cell>
          <cell r="G9" t="str">
            <v>On Time</v>
          </cell>
          <cell r="H9">
            <v>433</v>
          </cell>
          <cell r="I9">
            <v>43594</v>
          </cell>
          <cell r="J9" t="str">
            <v>ADTI</v>
          </cell>
          <cell r="K9" t="str">
            <v>D1905003</v>
          </cell>
          <cell r="L9" t="str">
            <v>1</v>
          </cell>
          <cell r="M9">
            <v>1806010</v>
          </cell>
          <cell r="N9" t="str">
            <v>0528512</v>
          </cell>
          <cell r="O9" t="str">
            <v xml:space="preserve">1.4306 TP304L </v>
          </cell>
          <cell r="P9" t="str">
            <v>304L</v>
          </cell>
          <cell r="Q9">
            <v>1.96</v>
          </cell>
          <cell r="R9">
            <v>1.96</v>
          </cell>
          <cell r="S9">
            <v>3.5000000000000003E-2</v>
          </cell>
          <cell r="T9">
            <v>3.5000000000000003E-2</v>
          </cell>
          <cell r="V9">
            <v>3.5000000000000003E-2</v>
          </cell>
          <cell r="X9">
            <v>3080</v>
          </cell>
          <cell r="Y9">
            <v>2</v>
          </cell>
          <cell r="Z9">
            <v>785.71428571428578</v>
          </cell>
          <cell r="AA9" t="str">
            <v>1.96X0.035-304L</v>
          </cell>
          <cell r="AB9" t="str">
            <v>WAAC004980089B300006</v>
          </cell>
          <cell r="AC9" t="str">
            <v>D1905003</v>
          </cell>
          <cell r="AD9" t="str">
            <v>0528512</v>
          </cell>
          <cell r="AE9">
            <v>1.2999999999999999E-2</v>
          </cell>
          <cell r="AF9">
            <v>1.06</v>
          </cell>
          <cell r="AG9">
            <v>2.8000000000000001E-2</v>
          </cell>
          <cell r="AH9">
            <v>1E-3</v>
          </cell>
          <cell r="AI9">
            <v>0.46</v>
          </cell>
          <cell r="AJ9">
            <v>18.010000000000002</v>
          </cell>
          <cell r="AK9">
            <v>10.029999999999999</v>
          </cell>
          <cell r="AL9">
            <v>3.7999999999999999E-2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Y9" t="str">
            <v/>
          </cell>
          <cell r="AZ9">
            <v>1.288</v>
          </cell>
          <cell r="BA9" t="str">
            <v>D1905003</v>
          </cell>
          <cell r="BB9" t="str">
            <v>CONFORM</v>
          </cell>
          <cell r="BC9" t="str">
            <v>CONFORM</v>
          </cell>
          <cell r="BD9" t="str">
            <v>CONFORM</v>
          </cell>
          <cell r="BE9" t="str">
            <v>CONFORM</v>
          </cell>
          <cell r="BF9" t="str">
            <v>CONFORM</v>
          </cell>
        </row>
        <row r="10">
          <cell r="A10">
            <v>43598</v>
          </cell>
          <cell r="B10" t="str">
            <v>D1905003-2</v>
          </cell>
          <cell r="C10" t="str">
            <v>002/19</v>
          </cell>
          <cell r="D10">
            <v>2</v>
          </cell>
          <cell r="E10">
            <v>43591</v>
          </cell>
          <cell r="F10" t="str">
            <v>DC</v>
          </cell>
          <cell r="G10" t="str">
            <v>On Time</v>
          </cell>
          <cell r="H10">
            <v>433</v>
          </cell>
          <cell r="I10">
            <v>43594</v>
          </cell>
          <cell r="J10" t="str">
            <v>ADTI</v>
          </cell>
          <cell r="K10" t="str">
            <v>D1905003</v>
          </cell>
          <cell r="L10" t="str">
            <v>2</v>
          </cell>
          <cell r="M10">
            <v>1806010</v>
          </cell>
          <cell r="N10" t="str">
            <v>0528512</v>
          </cell>
          <cell r="O10" t="str">
            <v xml:space="preserve">1.4306 TP304L </v>
          </cell>
          <cell r="P10" t="str">
            <v>304L</v>
          </cell>
          <cell r="Q10">
            <v>1.96</v>
          </cell>
          <cell r="R10">
            <v>1.96</v>
          </cell>
          <cell r="S10">
            <v>3.5000000000000003E-2</v>
          </cell>
          <cell r="T10">
            <v>3.5000000000000003E-2</v>
          </cell>
          <cell r="V10">
            <v>3.5000000000000003E-2</v>
          </cell>
          <cell r="X10">
            <v>6382</v>
          </cell>
          <cell r="Y10">
            <v>4</v>
          </cell>
          <cell r="Z10">
            <v>814.03061224489795</v>
          </cell>
          <cell r="AA10" t="str">
            <v>1.96X0.035-304L</v>
          </cell>
          <cell r="AB10" t="str">
            <v>WAAC004980089B300006</v>
          </cell>
          <cell r="AC10" t="str">
            <v>D1905003</v>
          </cell>
          <cell r="AD10" t="str">
            <v>0528512</v>
          </cell>
          <cell r="AE10">
            <v>1.2999999999999999E-2</v>
          </cell>
          <cell r="AF10">
            <v>1.06</v>
          </cell>
          <cell r="AG10">
            <v>2.8000000000000001E-2</v>
          </cell>
          <cell r="AH10">
            <v>1E-3</v>
          </cell>
          <cell r="AI10">
            <v>0.46</v>
          </cell>
          <cell r="AJ10">
            <v>18.010000000000002</v>
          </cell>
          <cell r="AK10">
            <v>10.029999999999999</v>
          </cell>
          <cell r="AL10">
            <v>3.7999999999999999E-2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Y10" t="str">
            <v/>
          </cell>
          <cell r="AZ10">
            <v>1.288</v>
          </cell>
          <cell r="BA10" t="str">
            <v>D1905003</v>
          </cell>
          <cell r="BB10" t="str">
            <v>CONFORM</v>
          </cell>
          <cell r="BC10" t="str">
            <v>CONFORM</v>
          </cell>
          <cell r="BD10" t="str">
            <v>CONFORM</v>
          </cell>
          <cell r="BE10" t="str">
            <v>CONFORM</v>
          </cell>
          <cell r="BF10" t="str">
            <v>CONFORM</v>
          </cell>
        </row>
        <row r="11">
          <cell r="A11">
            <v>43598</v>
          </cell>
          <cell r="B11" t="str">
            <v>D1905003-3</v>
          </cell>
          <cell r="C11" t="str">
            <v>002/19</v>
          </cell>
          <cell r="D11">
            <v>2</v>
          </cell>
          <cell r="E11">
            <v>43591</v>
          </cell>
          <cell r="F11" t="str">
            <v>DC</v>
          </cell>
          <cell r="G11" t="str">
            <v>On Time</v>
          </cell>
          <cell r="H11">
            <v>433</v>
          </cell>
          <cell r="I11">
            <v>43594</v>
          </cell>
          <cell r="J11" t="str">
            <v>ADTI</v>
          </cell>
          <cell r="K11" t="str">
            <v>D1905003</v>
          </cell>
          <cell r="L11" t="str">
            <v>3</v>
          </cell>
          <cell r="M11">
            <v>1806010</v>
          </cell>
          <cell r="N11" t="str">
            <v>0528512</v>
          </cell>
          <cell r="O11" t="str">
            <v xml:space="preserve">1.4306 TP304L </v>
          </cell>
          <cell r="P11" t="str">
            <v>304L</v>
          </cell>
          <cell r="Q11">
            <v>1.96</v>
          </cell>
          <cell r="R11">
            <v>1.96</v>
          </cell>
          <cell r="S11">
            <v>3.5000000000000003E-2</v>
          </cell>
          <cell r="T11">
            <v>3.5000000000000003E-2</v>
          </cell>
          <cell r="V11">
            <v>3.5000000000000003E-2</v>
          </cell>
          <cell r="X11">
            <v>6389</v>
          </cell>
          <cell r="Y11">
            <v>4</v>
          </cell>
          <cell r="Z11">
            <v>814.92346938775506</v>
          </cell>
          <cell r="AA11" t="str">
            <v>1.96X0.035-304L</v>
          </cell>
          <cell r="AB11" t="str">
            <v>WAAC004980089B300006</v>
          </cell>
          <cell r="AC11" t="str">
            <v>D1905003</v>
          </cell>
          <cell r="AD11" t="str">
            <v>0528512</v>
          </cell>
          <cell r="AE11">
            <v>1.2999999999999999E-2</v>
          </cell>
          <cell r="AF11">
            <v>1.06</v>
          </cell>
          <cell r="AG11">
            <v>2.8000000000000001E-2</v>
          </cell>
          <cell r="AH11">
            <v>1E-3</v>
          </cell>
          <cell r="AI11">
            <v>0.46</v>
          </cell>
          <cell r="AJ11">
            <v>18.010000000000002</v>
          </cell>
          <cell r="AK11">
            <v>10.029999999999999</v>
          </cell>
          <cell r="AL11">
            <v>3.7999999999999999E-2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Y11" t="str">
            <v/>
          </cell>
          <cell r="AZ11">
            <v>1.288</v>
          </cell>
          <cell r="BA11" t="str">
            <v>D1905003</v>
          </cell>
          <cell r="BB11" t="str">
            <v>CONFORM</v>
          </cell>
          <cell r="BC11" t="str">
            <v>CONFORM</v>
          </cell>
          <cell r="BD11" t="str">
            <v>CONFORM</v>
          </cell>
          <cell r="BE11" t="str">
            <v>CONFORM</v>
          </cell>
          <cell r="BF11" t="str">
            <v>CONFORM</v>
          </cell>
        </row>
        <row r="12">
          <cell r="A12">
            <v>43598</v>
          </cell>
          <cell r="B12" t="str">
            <v>D1905004-1</v>
          </cell>
          <cell r="C12" t="str">
            <v>002/19</v>
          </cell>
          <cell r="D12">
            <v>5</v>
          </cell>
          <cell r="E12">
            <v>43591</v>
          </cell>
          <cell r="F12" t="str">
            <v>DC</v>
          </cell>
          <cell r="G12" t="str">
            <v>On Time</v>
          </cell>
          <cell r="H12">
            <v>433</v>
          </cell>
          <cell r="I12">
            <v>43594</v>
          </cell>
          <cell r="J12" t="str">
            <v>ADTI</v>
          </cell>
          <cell r="K12" t="str">
            <v>D1905004</v>
          </cell>
          <cell r="L12" t="str">
            <v>1</v>
          </cell>
          <cell r="M12">
            <v>1801047</v>
          </cell>
          <cell r="N12">
            <v>512652</v>
          </cell>
          <cell r="O12" t="str">
            <v xml:space="preserve">1.4401/1.4404 TP316/316L </v>
          </cell>
          <cell r="P12" t="str">
            <v>316L</v>
          </cell>
          <cell r="Q12">
            <v>1.96</v>
          </cell>
          <cell r="R12">
            <v>1.96</v>
          </cell>
          <cell r="S12">
            <v>3.5000000000000003E-2</v>
          </cell>
          <cell r="T12">
            <v>3.5000000000000003E-2</v>
          </cell>
          <cell r="V12">
            <v>3.5000000000000003E-2</v>
          </cell>
          <cell r="X12">
            <v>1654</v>
          </cell>
          <cell r="Y12">
            <v>2</v>
          </cell>
          <cell r="Z12">
            <v>421.9387755102041</v>
          </cell>
          <cell r="AA12" t="str">
            <v>1.96X0.035-316L</v>
          </cell>
          <cell r="AB12" t="str">
            <v>WAAF004980089B300009</v>
          </cell>
          <cell r="AC12" t="str">
            <v>D1905004</v>
          </cell>
          <cell r="AD12">
            <v>512652</v>
          </cell>
          <cell r="AE12">
            <v>2.8000000000000001E-2</v>
          </cell>
          <cell r="AF12">
            <v>1.51</v>
          </cell>
          <cell r="AG12">
            <v>2.9000000000000001E-2</v>
          </cell>
          <cell r="AH12">
            <v>1E-3</v>
          </cell>
          <cell r="AI12">
            <v>0.4</v>
          </cell>
          <cell r="AJ12">
            <v>16.72</v>
          </cell>
          <cell r="AK12">
            <v>10.029999999999999</v>
          </cell>
          <cell r="AL12">
            <v>3.1E-2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Y12" t="str">
            <v/>
          </cell>
          <cell r="AZ12">
            <v>1.84</v>
          </cell>
          <cell r="BA12" t="str">
            <v>D1905004</v>
          </cell>
          <cell r="BB12" t="str">
            <v>CONFORM</v>
          </cell>
          <cell r="BC12" t="str">
            <v>CONFORM</v>
          </cell>
          <cell r="BD12" t="str">
            <v>CONFORM</v>
          </cell>
          <cell r="BE12" t="str">
            <v>CONFORM</v>
          </cell>
          <cell r="BF12" t="str">
            <v>CONFORM</v>
          </cell>
        </row>
        <row r="13">
          <cell r="A13">
            <v>43598</v>
          </cell>
          <cell r="B13" t="str">
            <v>D1905004-2</v>
          </cell>
          <cell r="C13" t="str">
            <v>002/19</v>
          </cell>
          <cell r="D13">
            <v>5</v>
          </cell>
          <cell r="E13">
            <v>43591</v>
          </cell>
          <cell r="F13" t="str">
            <v>DC</v>
          </cell>
          <cell r="G13" t="str">
            <v>On Time</v>
          </cell>
          <cell r="H13">
            <v>433</v>
          </cell>
          <cell r="I13">
            <v>43594</v>
          </cell>
          <cell r="J13" t="str">
            <v>ADTI</v>
          </cell>
          <cell r="K13" t="str">
            <v>D1905004</v>
          </cell>
          <cell r="L13" t="str">
            <v>2</v>
          </cell>
          <cell r="M13">
            <v>1809148</v>
          </cell>
          <cell r="N13">
            <v>512652</v>
          </cell>
          <cell r="O13" t="str">
            <v xml:space="preserve">1.4401/1.4404 TP316/316L </v>
          </cell>
          <cell r="P13" t="str">
            <v>316L</v>
          </cell>
          <cell r="Q13">
            <v>1.96</v>
          </cell>
          <cell r="R13">
            <v>1.96</v>
          </cell>
          <cell r="S13">
            <v>3.5000000000000003E-2</v>
          </cell>
          <cell r="T13">
            <v>3.5000000000000003E-2</v>
          </cell>
          <cell r="V13">
            <v>3.5000000000000003E-2</v>
          </cell>
          <cell r="X13">
            <v>4824</v>
          </cell>
          <cell r="Y13">
            <v>6</v>
          </cell>
          <cell r="Z13">
            <v>410.20408163265307</v>
          </cell>
          <cell r="AA13" t="str">
            <v>1.96X0.035-316L</v>
          </cell>
          <cell r="AB13" t="str">
            <v>WAAF004980089B300009</v>
          </cell>
          <cell r="AC13" t="str">
            <v>D1905004</v>
          </cell>
          <cell r="AD13">
            <v>512652</v>
          </cell>
          <cell r="AE13">
            <v>2.8000000000000001E-2</v>
          </cell>
          <cell r="AF13">
            <v>1.51</v>
          </cell>
          <cell r="AG13">
            <v>2.9000000000000001E-2</v>
          </cell>
          <cell r="AH13">
            <v>1E-3</v>
          </cell>
          <cell r="AI13">
            <v>0.4</v>
          </cell>
          <cell r="AJ13">
            <v>16.72</v>
          </cell>
          <cell r="AK13">
            <v>10.029999999999999</v>
          </cell>
          <cell r="AL13">
            <v>3.1E-2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Y13" t="str">
            <v/>
          </cell>
          <cell r="AZ13">
            <v>1.84</v>
          </cell>
          <cell r="BA13" t="str">
            <v>D1905004</v>
          </cell>
          <cell r="BB13" t="str">
            <v>CONFORM</v>
          </cell>
          <cell r="BC13" t="str">
            <v>CONFORM</v>
          </cell>
          <cell r="BD13" t="str">
            <v>CONFORM</v>
          </cell>
          <cell r="BE13" t="str">
            <v>CONFORM</v>
          </cell>
          <cell r="BF13" t="str">
            <v>CONFORM</v>
          </cell>
        </row>
        <row r="14">
          <cell r="A14">
            <v>43598</v>
          </cell>
          <cell r="B14" t="str">
            <v>D1905005-1</v>
          </cell>
          <cell r="C14" t="str">
            <v>002/19</v>
          </cell>
          <cell r="D14">
            <v>3</v>
          </cell>
          <cell r="E14">
            <v>43591</v>
          </cell>
          <cell r="F14" t="str">
            <v>DC</v>
          </cell>
          <cell r="G14" t="str">
            <v>On Time</v>
          </cell>
          <cell r="H14">
            <v>433</v>
          </cell>
          <cell r="I14">
            <v>43594</v>
          </cell>
          <cell r="J14" t="str">
            <v>ADTI</v>
          </cell>
          <cell r="K14" t="str">
            <v>D1905005</v>
          </cell>
          <cell r="L14" t="str">
            <v>1</v>
          </cell>
          <cell r="M14" t="str">
            <v>A1901125</v>
          </cell>
          <cell r="N14">
            <v>453903</v>
          </cell>
          <cell r="O14" t="str">
            <v xml:space="preserve">1.4306 TP304L </v>
          </cell>
          <cell r="P14" t="str">
            <v>304L</v>
          </cell>
          <cell r="Q14">
            <v>2.72</v>
          </cell>
          <cell r="R14">
            <v>2.72</v>
          </cell>
          <cell r="S14">
            <v>4.7E-2</v>
          </cell>
          <cell r="T14">
            <v>4.7E-2</v>
          </cell>
          <cell r="V14">
            <v>4.7E-2</v>
          </cell>
          <cell r="X14">
            <v>1411</v>
          </cell>
          <cell r="Y14">
            <v>1</v>
          </cell>
          <cell r="Z14">
            <v>518.75</v>
          </cell>
          <cell r="AA14" t="str">
            <v>2.72X0.047-304L</v>
          </cell>
          <cell r="AB14" t="str">
            <v>WAAC006910120B300007</v>
          </cell>
          <cell r="AC14" t="str">
            <v>D1905005</v>
          </cell>
          <cell r="AD14">
            <v>453903</v>
          </cell>
          <cell r="AE14">
            <v>1.7999999999999999E-2</v>
          </cell>
          <cell r="AF14">
            <v>1.73</v>
          </cell>
          <cell r="AG14">
            <v>0.03</v>
          </cell>
          <cell r="AH14">
            <v>1E-3</v>
          </cell>
          <cell r="AI14">
            <v>0.32</v>
          </cell>
          <cell r="AJ14">
            <v>18.010000000000002</v>
          </cell>
          <cell r="AK14">
            <v>8.02</v>
          </cell>
          <cell r="AL14">
            <v>6.4000000000000001E-2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Y14" t="str">
            <v/>
          </cell>
          <cell r="AZ14">
            <v>1.1040000000000001</v>
          </cell>
          <cell r="BA14" t="str">
            <v>D1905005</v>
          </cell>
          <cell r="BB14" t="str">
            <v>CONFORM</v>
          </cell>
          <cell r="BC14" t="str">
            <v>CONFORM</v>
          </cell>
          <cell r="BD14" t="str">
            <v>CONFORM</v>
          </cell>
          <cell r="BE14" t="str">
            <v>CONFORM</v>
          </cell>
          <cell r="BF14" t="str">
            <v>CONFORM</v>
          </cell>
        </row>
        <row r="15">
          <cell r="A15">
            <v>43598</v>
          </cell>
          <cell r="B15" t="str">
            <v>D1905006-1</v>
          </cell>
          <cell r="C15" t="str">
            <v>002/19</v>
          </cell>
          <cell r="D15">
            <v>1</v>
          </cell>
          <cell r="E15">
            <v>43591</v>
          </cell>
          <cell r="F15" t="str">
            <v>DC</v>
          </cell>
          <cell r="G15" t="str">
            <v>On Time</v>
          </cell>
          <cell r="H15">
            <v>433</v>
          </cell>
          <cell r="I15">
            <v>43594</v>
          </cell>
          <cell r="J15" t="str">
            <v>ADTI</v>
          </cell>
          <cell r="K15" t="str">
            <v>D1905006</v>
          </cell>
          <cell r="L15" t="str">
            <v>1</v>
          </cell>
          <cell r="M15">
            <v>1810065</v>
          </cell>
          <cell r="N15">
            <v>76834</v>
          </cell>
          <cell r="O15" t="str">
            <v xml:space="preserve">1.4306 TP304L </v>
          </cell>
          <cell r="P15" t="str">
            <v>304L</v>
          </cell>
          <cell r="Q15">
            <v>1.921</v>
          </cell>
          <cell r="R15">
            <v>1.921</v>
          </cell>
          <cell r="S15">
            <v>4.7E-2</v>
          </cell>
          <cell r="T15">
            <v>4.7E-2</v>
          </cell>
          <cell r="V15">
            <v>4.7E-2</v>
          </cell>
          <cell r="X15">
            <v>5071</v>
          </cell>
          <cell r="Y15">
            <v>7</v>
          </cell>
          <cell r="Z15">
            <v>377.11013608983416</v>
          </cell>
          <cell r="AA15" t="str">
            <v>1.921X0.047-304L</v>
          </cell>
          <cell r="AB15" t="str">
            <v>WAAC004880120B300005</v>
          </cell>
          <cell r="AC15" t="str">
            <v>D1905006</v>
          </cell>
          <cell r="AD15">
            <v>76834</v>
          </cell>
          <cell r="AE15">
            <v>1.7999999999999999E-2</v>
          </cell>
          <cell r="AF15">
            <v>1.55</v>
          </cell>
          <cell r="AG15">
            <v>3.7999999999999999E-2</v>
          </cell>
          <cell r="AH15">
            <v>1E-3</v>
          </cell>
          <cell r="AI15">
            <v>0.44</v>
          </cell>
          <cell r="AJ15">
            <v>18.2</v>
          </cell>
          <cell r="AK15">
            <v>8.1</v>
          </cell>
          <cell r="AL15">
            <v>4.7E-2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Y15" t="str">
            <v/>
          </cell>
          <cell r="AZ15">
            <v>1.262</v>
          </cell>
          <cell r="BA15" t="str">
            <v>D1905006</v>
          </cell>
          <cell r="BB15" t="str">
            <v>CONFORM</v>
          </cell>
          <cell r="BC15" t="str">
            <v>CONFORM</v>
          </cell>
          <cell r="BD15" t="str">
            <v>CONFORM</v>
          </cell>
          <cell r="BE15" t="str">
            <v>CONFORM</v>
          </cell>
          <cell r="BF15" t="str">
            <v>CONFORM</v>
          </cell>
        </row>
        <row r="16">
          <cell r="A16">
            <v>43598</v>
          </cell>
          <cell r="B16" t="str">
            <v>D1905006-2</v>
          </cell>
          <cell r="C16" t="str">
            <v>002/19</v>
          </cell>
          <cell r="D16">
            <v>1</v>
          </cell>
          <cell r="E16">
            <v>43591</v>
          </cell>
          <cell r="F16" t="str">
            <v>DC</v>
          </cell>
          <cell r="G16" t="str">
            <v>On Time</v>
          </cell>
          <cell r="H16">
            <v>433</v>
          </cell>
          <cell r="I16">
            <v>43594</v>
          </cell>
          <cell r="J16" t="str">
            <v>ADTI</v>
          </cell>
          <cell r="K16" t="str">
            <v>D1905006</v>
          </cell>
          <cell r="L16" t="str">
            <v>2</v>
          </cell>
          <cell r="M16">
            <v>1807067</v>
          </cell>
          <cell r="N16">
            <v>76834</v>
          </cell>
          <cell r="O16" t="str">
            <v xml:space="preserve">1.4306 TP304L </v>
          </cell>
          <cell r="P16" t="str">
            <v>304L</v>
          </cell>
          <cell r="Q16">
            <v>1.921</v>
          </cell>
          <cell r="R16">
            <v>1.921</v>
          </cell>
          <cell r="S16">
            <v>4.7E-2</v>
          </cell>
          <cell r="T16">
            <v>4.7E-2</v>
          </cell>
          <cell r="V16">
            <v>4.7E-2</v>
          </cell>
          <cell r="X16">
            <v>1455</v>
          </cell>
          <cell r="Y16">
            <v>2</v>
          </cell>
          <cell r="Z16">
            <v>378.70900572618427</v>
          </cell>
          <cell r="AA16" t="str">
            <v>1.921X0.047-304L</v>
          </cell>
          <cell r="AB16" t="str">
            <v>WAAC004880120B300005</v>
          </cell>
          <cell r="AC16" t="str">
            <v>D1905006</v>
          </cell>
          <cell r="AD16">
            <v>76834</v>
          </cell>
          <cell r="AE16">
            <v>1.7999999999999999E-2</v>
          </cell>
          <cell r="AF16">
            <v>1.55</v>
          </cell>
          <cell r="AG16">
            <v>3.7999999999999999E-2</v>
          </cell>
          <cell r="AH16">
            <v>1E-3</v>
          </cell>
          <cell r="AI16">
            <v>0.44</v>
          </cell>
          <cell r="AJ16">
            <v>18.2</v>
          </cell>
          <cell r="AK16">
            <v>8.1</v>
          </cell>
          <cell r="AL16">
            <v>4.7E-2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Y16" t="str">
            <v/>
          </cell>
          <cell r="AZ16">
            <v>1.262</v>
          </cell>
          <cell r="BA16" t="str">
            <v>D1905006</v>
          </cell>
          <cell r="BB16" t="str">
            <v>CONFORM</v>
          </cell>
          <cell r="BC16" t="str">
            <v>CONFORM</v>
          </cell>
          <cell r="BD16" t="str">
            <v>CONFORM</v>
          </cell>
          <cell r="BE16" t="str">
            <v>CONFORM</v>
          </cell>
          <cell r="BF16" t="str">
            <v>CONFORM</v>
          </cell>
        </row>
        <row r="17">
          <cell r="A17">
            <v>43598</v>
          </cell>
          <cell r="B17" t="str">
            <v>D1905006-3</v>
          </cell>
          <cell r="C17" t="str">
            <v>002/19</v>
          </cell>
          <cell r="D17">
            <v>1</v>
          </cell>
          <cell r="E17">
            <v>43591</v>
          </cell>
          <cell r="F17" t="str">
            <v>DC</v>
          </cell>
          <cell r="G17" t="str">
            <v>On Time</v>
          </cell>
          <cell r="H17">
            <v>433</v>
          </cell>
          <cell r="I17">
            <v>43594</v>
          </cell>
          <cell r="J17" t="str">
            <v>ADTI</v>
          </cell>
          <cell r="K17" t="str">
            <v>D1905006</v>
          </cell>
          <cell r="L17" t="str">
            <v>3</v>
          </cell>
          <cell r="M17">
            <v>1810065</v>
          </cell>
          <cell r="N17">
            <v>76834</v>
          </cell>
          <cell r="O17" t="str">
            <v xml:space="preserve">1.4306 TP304L </v>
          </cell>
          <cell r="P17" t="str">
            <v>304L</v>
          </cell>
          <cell r="Q17">
            <v>1.921</v>
          </cell>
          <cell r="R17">
            <v>1.921</v>
          </cell>
          <cell r="S17">
            <v>4.7E-2</v>
          </cell>
          <cell r="T17">
            <v>4.7E-2</v>
          </cell>
          <cell r="V17">
            <v>4.7E-2</v>
          </cell>
          <cell r="X17">
            <v>1213</v>
          </cell>
          <cell r="Y17">
            <v>2</v>
          </cell>
          <cell r="Z17">
            <v>315.72097865694951</v>
          </cell>
          <cell r="AA17" t="str">
            <v>1.921X0.047-304L</v>
          </cell>
          <cell r="AB17" t="str">
            <v>WAAC004880120B300005</v>
          </cell>
          <cell r="AC17" t="str">
            <v>D1905006</v>
          </cell>
          <cell r="AD17">
            <v>76834</v>
          </cell>
          <cell r="AE17">
            <v>1.7999999999999999E-2</v>
          </cell>
          <cell r="AF17">
            <v>1.55</v>
          </cell>
          <cell r="AG17">
            <v>3.7999999999999999E-2</v>
          </cell>
          <cell r="AH17">
            <v>1E-3</v>
          </cell>
          <cell r="AI17">
            <v>0.44</v>
          </cell>
          <cell r="AJ17">
            <v>18.2</v>
          </cell>
          <cell r="AK17">
            <v>8.1</v>
          </cell>
          <cell r="AL17">
            <v>4.7E-2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Y17" t="str">
            <v/>
          </cell>
          <cell r="AZ17">
            <v>1.262</v>
          </cell>
          <cell r="BA17" t="str">
            <v>D1905006</v>
          </cell>
          <cell r="BB17" t="str">
            <v>CONFORM</v>
          </cell>
          <cell r="BC17" t="str">
            <v>CONFORM</v>
          </cell>
          <cell r="BD17" t="str">
            <v>CONFORM</v>
          </cell>
          <cell r="BE17" t="str">
            <v>CONFORM</v>
          </cell>
          <cell r="BF17" t="str">
            <v>CONFORM</v>
          </cell>
        </row>
        <row r="18">
          <cell r="A18">
            <v>43598</v>
          </cell>
          <cell r="B18" t="str">
            <v>D1905007-1</v>
          </cell>
          <cell r="C18" t="str">
            <v>no order</v>
          </cell>
          <cell r="E18" t="str">
            <v/>
          </cell>
          <cell r="F18" t="str">
            <v>DC</v>
          </cell>
          <cell r="G18" t="str">
            <v/>
          </cell>
          <cell r="H18" t="str">
            <v xml:space="preserve">inventory adjustment </v>
          </cell>
          <cell r="I18">
            <v>43806</v>
          </cell>
          <cell r="J18" t="e">
            <v>#N/A</v>
          </cell>
          <cell r="K18" t="str">
            <v>D1905007</v>
          </cell>
          <cell r="L18" t="str">
            <v>1</v>
          </cell>
          <cell r="M18" t="str">
            <v>A1904002</v>
          </cell>
          <cell r="N18" t="str">
            <v>A0701490</v>
          </cell>
          <cell r="O18" t="str">
            <v/>
          </cell>
          <cell r="P18" t="str">
            <v/>
          </cell>
          <cell r="Q18" t="str">
            <v/>
          </cell>
          <cell r="R18">
            <v>1.921</v>
          </cell>
          <cell r="S18" t="str">
            <v/>
          </cell>
          <cell r="T18">
            <v>4.7E-2</v>
          </cell>
          <cell r="V18">
            <v>4.7E-2</v>
          </cell>
          <cell r="X18">
            <v>2055</v>
          </cell>
          <cell r="Y18">
            <v>3</v>
          </cell>
          <cell r="Z18" t="str">
            <v/>
          </cell>
          <cell r="AA18" t="str">
            <v/>
          </cell>
          <cell r="AB18" t="str">
            <v/>
          </cell>
          <cell r="AC18" t="str">
            <v>D1905007</v>
          </cell>
          <cell r="AD18" t="str">
            <v>A0701490</v>
          </cell>
          <cell r="AE18">
            <v>2.4E-2</v>
          </cell>
          <cell r="AF18">
            <v>1.57</v>
          </cell>
          <cell r="AG18">
            <v>2.8000000000000001E-2</v>
          </cell>
          <cell r="AH18">
            <v>6.0000000000000001E-3</v>
          </cell>
          <cell r="AI18">
            <v>0.4</v>
          </cell>
          <cell r="AJ18">
            <v>18.12</v>
          </cell>
          <cell r="AK18">
            <v>8.02</v>
          </cell>
          <cell r="AL18">
            <v>5.1999999999999998E-2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Y18" t="str">
            <v/>
          </cell>
          <cell r="AZ18" t="str">
            <v/>
          </cell>
          <cell r="BA18" t="str">
            <v>D1905007</v>
          </cell>
          <cell r="BB18" t="str">
            <v>CONFORM</v>
          </cell>
          <cell r="BC18" t="str">
            <v>CONFORM</v>
          </cell>
          <cell r="BD18" t="str">
            <v>CONFORM</v>
          </cell>
          <cell r="BE18" t="str">
            <v>CONFORM</v>
          </cell>
          <cell r="BF18" t="str">
            <v>CONFORM</v>
          </cell>
        </row>
        <row r="19">
          <cell r="A19">
            <v>43598</v>
          </cell>
          <cell r="B19" t="str">
            <v>D1905008-1</v>
          </cell>
          <cell r="C19" t="str">
            <v>002/19</v>
          </cell>
          <cell r="D19">
            <v>4</v>
          </cell>
          <cell r="E19">
            <v>43591</v>
          </cell>
          <cell r="F19" t="str">
            <v>DC</v>
          </cell>
          <cell r="G19" t="str">
            <v>On Time</v>
          </cell>
          <cell r="H19">
            <v>433</v>
          </cell>
          <cell r="I19">
            <v>43594</v>
          </cell>
          <cell r="J19" t="str">
            <v>ADTI</v>
          </cell>
          <cell r="K19" t="str">
            <v>D1905008</v>
          </cell>
          <cell r="L19" t="str">
            <v>1</v>
          </cell>
          <cell r="M19">
            <v>1809152</v>
          </cell>
          <cell r="N19" t="str">
            <v>A1401452</v>
          </cell>
          <cell r="O19" t="str">
            <v xml:space="preserve">1.4306 TP304L </v>
          </cell>
          <cell r="P19" t="str">
            <v>304L</v>
          </cell>
          <cell r="Q19">
            <v>1.5469999999999999</v>
          </cell>
          <cell r="R19">
            <v>1.5469999999999999</v>
          </cell>
          <cell r="S19">
            <v>3.5000000000000003E-2</v>
          </cell>
          <cell r="T19">
            <v>3.5000000000000003E-2</v>
          </cell>
          <cell r="V19">
            <v>3.5000000000000003E-2</v>
          </cell>
          <cell r="X19">
            <v>2116</v>
          </cell>
          <cell r="Y19">
            <v>5</v>
          </cell>
          <cell r="Z19">
            <v>273.56173238526179</v>
          </cell>
          <cell r="AA19" t="str">
            <v>1.547X0.035-304L</v>
          </cell>
          <cell r="AB19" t="str">
            <v>WAAC003930089B300008</v>
          </cell>
          <cell r="AC19" t="str">
            <v>D1905008</v>
          </cell>
          <cell r="AD19" t="str">
            <v>A1401452</v>
          </cell>
          <cell r="AE19">
            <v>1.9E-2</v>
          </cell>
          <cell r="AF19">
            <v>1.59</v>
          </cell>
          <cell r="AG19">
            <v>3.5999999999999997E-2</v>
          </cell>
          <cell r="AH19">
            <v>1E-3</v>
          </cell>
          <cell r="AI19">
            <v>0.42</v>
          </cell>
          <cell r="AJ19">
            <v>18.2</v>
          </cell>
          <cell r="AK19">
            <v>8</v>
          </cell>
          <cell r="AL19">
            <v>0.05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Y19" t="str">
            <v/>
          </cell>
          <cell r="AZ19">
            <v>1.288</v>
          </cell>
          <cell r="BA19" t="str">
            <v>D1905008</v>
          </cell>
          <cell r="BB19" t="str">
            <v>CONFORM</v>
          </cell>
          <cell r="BC19" t="str">
            <v>CONFORM</v>
          </cell>
          <cell r="BD19" t="str">
            <v>CONFORM</v>
          </cell>
          <cell r="BE19" t="str">
            <v>CONFORM</v>
          </cell>
          <cell r="BF19" t="str">
            <v>CONFORM</v>
          </cell>
        </row>
        <row r="20">
          <cell r="A20">
            <v>43598</v>
          </cell>
          <cell r="B20" t="str">
            <v>D1905009-1</v>
          </cell>
          <cell r="C20" t="str">
            <v>002/19</v>
          </cell>
          <cell r="D20">
            <v>2</v>
          </cell>
          <cell r="E20">
            <v>43591</v>
          </cell>
          <cell r="F20" t="str">
            <v>DC</v>
          </cell>
          <cell r="G20" t="str">
            <v>On Time</v>
          </cell>
          <cell r="H20">
            <v>433</v>
          </cell>
          <cell r="I20">
            <v>43594</v>
          </cell>
          <cell r="J20" t="str">
            <v>ADTI</v>
          </cell>
          <cell r="K20" t="str">
            <v>D1905009</v>
          </cell>
          <cell r="L20" t="str">
            <v>1</v>
          </cell>
          <cell r="M20" t="str">
            <v>A1901099</v>
          </cell>
          <cell r="N20" t="str">
            <v>A0704158</v>
          </cell>
          <cell r="O20" t="str">
            <v xml:space="preserve">1.4306 TP304L </v>
          </cell>
          <cell r="P20" t="str">
            <v>304L</v>
          </cell>
          <cell r="Q20">
            <v>1.96</v>
          </cell>
          <cell r="R20">
            <v>1.9610000000000001</v>
          </cell>
          <cell r="S20">
            <v>3.5000000000000003E-2</v>
          </cell>
          <cell r="T20">
            <v>3.5000000000000003E-2</v>
          </cell>
          <cell r="V20">
            <v>3.5000000000000003E-2</v>
          </cell>
          <cell r="X20">
            <v>3594</v>
          </cell>
          <cell r="Y20">
            <v>4</v>
          </cell>
          <cell r="Z20">
            <v>458.41836734693879</v>
          </cell>
          <cell r="AA20" t="str">
            <v>1.96X0.035-304L</v>
          </cell>
          <cell r="AB20" t="str">
            <v>WAAC004980089B300006</v>
          </cell>
          <cell r="AC20" t="str">
            <v>D1905009</v>
          </cell>
          <cell r="AD20" t="str">
            <v>A0704158</v>
          </cell>
          <cell r="AE20">
            <v>1.6E-2</v>
          </cell>
          <cell r="AF20">
            <v>1.56</v>
          </cell>
          <cell r="AG20">
            <v>3.9E-2</v>
          </cell>
          <cell r="AH20">
            <v>2E-3</v>
          </cell>
          <cell r="AI20">
            <v>0.45</v>
          </cell>
          <cell r="AJ20">
            <v>18.28</v>
          </cell>
          <cell r="AK20">
            <v>8.01</v>
          </cell>
          <cell r="AL20">
            <v>5.6800000000000003E-2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Y20" t="str">
            <v/>
          </cell>
          <cell r="AZ20">
            <v>1.288</v>
          </cell>
          <cell r="BA20" t="str">
            <v>D1905009</v>
          </cell>
          <cell r="BB20" t="str">
            <v>CONFORM</v>
          </cell>
          <cell r="BC20" t="str">
            <v>CONFORM</v>
          </cell>
          <cell r="BD20" t="str">
            <v>CONFORM</v>
          </cell>
          <cell r="BE20" t="str">
            <v>CONFORM</v>
          </cell>
          <cell r="BF20" t="str">
            <v>CONFORM</v>
          </cell>
        </row>
        <row r="21">
          <cell r="A21">
            <v>43606</v>
          </cell>
          <cell r="B21" t="str">
            <v>D1905010-1</v>
          </cell>
          <cell r="C21" t="str">
            <v>003/19</v>
          </cell>
          <cell r="D21">
            <v>1</v>
          </cell>
          <cell r="E21">
            <v>43599</v>
          </cell>
          <cell r="F21" t="str">
            <v>DC</v>
          </cell>
          <cell r="G21" t="str">
            <v>On Time</v>
          </cell>
          <cell r="H21" t="str">
            <v>L268062</v>
          </cell>
          <cell r="I21">
            <v>43606</v>
          </cell>
          <cell r="J21" t="str">
            <v>ATI</v>
          </cell>
          <cell r="K21" t="str">
            <v>D1905010</v>
          </cell>
          <cell r="L21" t="str">
            <v>1</v>
          </cell>
          <cell r="M21">
            <v>626975</v>
          </cell>
          <cell r="N21">
            <v>857764</v>
          </cell>
          <cell r="O21" t="str">
            <v xml:space="preserve">1.4306 TP304L </v>
          </cell>
          <cell r="P21" t="str">
            <v>304L</v>
          </cell>
          <cell r="Q21">
            <v>2.2759999999999998</v>
          </cell>
          <cell r="R21">
            <v>2.2799999999999998</v>
          </cell>
          <cell r="S21">
            <v>6.3E-2</v>
          </cell>
          <cell r="T21">
            <v>6.3E-2</v>
          </cell>
          <cell r="V21">
            <v>6.3E-2</v>
          </cell>
          <cell r="X21">
            <v>6126</v>
          </cell>
          <cell r="Y21">
            <v>3</v>
          </cell>
          <cell r="Z21">
            <v>897.18804920913897</v>
          </cell>
          <cell r="AA21" t="str">
            <v>2.276X0.063-304L</v>
          </cell>
          <cell r="AB21" t="str">
            <v>WAAC005780160B300010</v>
          </cell>
          <cell r="AC21" t="str">
            <v>D1905010</v>
          </cell>
          <cell r="AD21">
            <v>857764</v>
          </cell>
          <cell r="AE21">
            <v>2.3E-2</v>
          </cell>
          <cell r="AF21">
            <v>1.73</v>
          </cell>
          <cell r="AG21">
            <v>3.2000000000000001E-2</v>
          </cell>
          <cell r="AH21">
            <v>1E-4</v>
          </cell>
          <cell r="AI21">
            <v>0.48</v>
          </cell>
          <cell r="AJ21">
            <v>18.22</v>
          </cell>
          <cell r="AK21">
            <v>8.26</v>
          </cell>
          <cell r="AL21">
            <v>7.0000000000000007E-2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Y21" t="str">
            <v/>
          </cell>
          <cell r="AZ21">
            <v>1.4225000000000001</v>
          </cell>
          <cell r="BA21" t="str">
            <v>D1905010</v>
          </cell>
          <cell r="BB21" t="str">
            <v>CONFORM</v>
          </cell>
          <cell r="BC21" t="str">
            <v>CONFORM</v>
          </cell>
          <cell r="BD21" t="str">
            <v>CONFORM</v>
          </cell>
          <cell r="BE21" t="str">
            <v>CONFORM</v>
          </cell>
          <cell r="BF21" t="str">
            <v>CONFORM</v>
          </cell>
        </row>
        <row r="22">
          <cell r="A22">
            <v>43606</v>
          </cell>
          <cell r="B22" t="str">
            <v>D1905010-2</v>
          </cell>
          <cell r="C22" t="str">
            <v>003/19</v>
          </cell>
          <cell r="D22">
            <v>1</v>
          </cell>
          <cell r="E22">
            <v>43599</v>
          </cell>
          <cell r="F22" t="str">
            <v>DC</v>
          </cell>
          <cell r="G22" t="str">
            <v>On Time</v>
          </cell>
          <cell r="H22" t="str">
            <v>L268062</v>
          </cell>
          <cell r="I22">
            <v>43606</v>
          </cell>
          <cell r="J22" t="str">
            <v>ATI</v>
          </cell>
          <cell r="K22" t="str">
            <v>D1905010</v>
          </cell>
          <cell r="L22" t="str">
            <v>2</v>
          </cell>
          <cell r="M22">
            <v>626986</v>
          </cell>
          <cell r="N22">
            <v>857764</v>
          </cell>
          <cell r="O22" t="str">
            <v xml:space="preserve">1.4306 TP304L </v>
          </cell>
          <cell r="P22" t="str">
            <v>304L</v>
          </cell>
          <cell r="Q22">
            <v>2.2759999999999998</v>
          </cell>
          <cell r="R22">
            <v>2.278</v>
          </cell>
          <cell r="S22">
            <v>6.3E-2</v>
          </cell>
          <cell r="T22">
            <v>6.3E-2</v>
          </cell>
          <cell r="V22">
            <v>6.3E-2</v>
          </cell>
          <cell r="X22">
            <v>4072</v>
          </cell>
          <cell r="Y22">
            <v>2</v>
          </cell>
          <cell r="Z22">
            <v>894.55184534270654</v>
          </cell>
          <cell r="AA22" t="str">
            <v>2.276X0.063-304L</v>
          </cell>
          <cell r="AB22" t="str">
            <v>WAAC005780160B300010</v>
          </cell>
          <cell r="AC22" t="str">
            <v>D1905010</v>
          </cell>
          <cell r="AD22">
            <v>857764</v>
          </cell>
          <cell r="AE22">
            <v>2.3E-2</v>
          </cell>
          <cell r="AF22">
            <v>1.73</v>
          </cell>
          <cell r="AG22">
            <v>3.2000000000000001E-2</v>
          </cell>
          <cell r="AH22">
            <v>1E-4</v>
          </cell>
          <cell r="AI22">
            <v>0.48</v>
          </cell>
          <cell r="AJ22">
            <v>18.22</v>
          </cell>
          <cell r="AK22">
            <v>8.26</v>
          </cell>
          <cell r="AL22">
            <v>7.0000000000000007E-2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Y22" t="str">
            <v/>
          </cell>
          <cell r="AZ22">
            <v>1.4225000000000001</v>
          </cell>
          <cell r="BA22" t="str">
            <v>D1905010</v>
          </cell>
          <cell r="BB22" t="str">
            <v>CONFORM</v>
          </cell>
          <cell r="BC22" t="str">
            <v>CONFORM</v>
          </cell>
          <cell r="BD22" t="str">
            <v>CONFORM</v>
          </cell>
          <cell r="BE22" t="str">
            <v>CONFORM</v>
          </cell>
          <cell r="BF22" t="str">
            <v>CONFORM</v>
          </cell>
        </row>
        <row r="23">
          <cell r="A23">
            <v>43606</v>
          </cell>
          <cell r="B23" t="str">
            <v>D1905010-3</v>
          </cell>
          <cell r="C23" t="str">
            <v>003/19</v>
          </cell>
          <cell r="D23">
            <v>1</v>
          </cell>
          <cell r="E23">
            <v>43599</v>
          </cell>
          <cell r="F23" t="str">
            <v>DC</v>
          </cell>
          <cell r="G23" t="str">
            <v>On Time</v>
          </cell>
          <cell r="H23" t="str">
            <v>L268062</v>
          </cell>
          <cell r="I23">
            <v>43606</v>
          </cell>
          <cell r="J23" t="str">
            <v>ATI</v>
          </cell>
          <cell r="K23" t="str">
            <v>D1905010</v>
          </cell>
          <cell r="L23" t="str">
            <v>3</v>
          </cell>
          <cell r="M23">
            <v>626977</v>
          </cell>
          <cell r="N23">
            <v>857764</v>
          </cell>
          <cell r="O23" t="str">
            <v xml:space="preserve">1.4306 TP304L </v>
          </cell>
          <cell r="P23" t="str">
            <v>304L</v>
          </cell>
          <cell r="Q23">
            <v>2.2759999999999998</v>
          </cell>
          <cell r="R23">
            <v>2.2709999999999999</v>
          </cell>
          <cell r="S23">
            <v>6.3E-2</v>
          </cell>
          <cell r="T23">
            <v>6.3E-2</v>
          </cell>
          <cell r="V23">
            <v>6.3E-2</v>
          </cell>
          <cell r="X23">
            <v>4084</v>
          </cell>
          <cell r="Y23">
            <v>2</v>
          </cell>
          <cell r="Z23">
            <v>897.18804920913897</v>
          </cell>
          <cell r="AA23" t="str">
            <v>2.276X0.063-304L</v>
          </cell>
          <cell r="AB23" t="str">
            <v>WAAC005780160B300010</v>
          </cell>
          <cell r="AC23" t="str">
            <v>D1905010</v>
          </cell>
          <cell r="AD23">
            <v>857764</v>
          </cell>
          <cell r="AE23">
            <v>2.3E-2</v>
          </cell>
          <cell r="AF23">
            <v>1.73</v>
          </cell>
          <cell r="AG23">
            <v>3.2000000000000001E-2</v>
          </cell>
          <cell r="AH23">
            <v>1E-4</v>
          </cell>
          <cell r="AI23">
            <v>0.48</v>
          </cell>
          <cell r="AJ23">
            <v>18.22</v>
          </cell>
          <cell r="AK23">
            <v>8.26</v>
          </cell>
          <cell r="AL23">
            <v>7.0000000000000007E-2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Y23" t="str">
            <v/>
          </cell>
          <cell r="AZ23">
            <v>1.4225000000000001</v>
          </cell>
          <cell r="BA23" t="str">
            <v>D1905010</v>
          </cell>
          <cell r="BB23" t="str">
            <v>CONFORM</v>
          </cell>
          <cell r="BC23" t="str">
            <v>CONFORM</v>
          </cell>
          <cell r="BD23" t="str">
            <v>CONFORM</v>
          </cell>
          <cell r="BE23" t="str">
            <v>CONFORM</v>
          </cell>
          <cell r="BF23" t="str">
            <v>CONFORM</v>
          </cell>
        </row>
        <row r="24">
          <cell r="A24">
            <v>43606</v>
          </cell>
          <cell r="B24" t="str">
            <v>D1905010-4</v>
          </cell>
          <cell r="C24" t="str">
            <v>003/19</v>
          </cell>
          <cell r="D24">
            <v>1</v>
          </cell>
          <cell r="E24">
            <v>43599</v>
          </cell>
          <cell r="F24" t="str">
            <v>DC</v>
          </cell>
          <cell r="G24" t="str">
            <v>On Time</v>
          </cell>
          <cell r="H24" t="str">
            <v>L268062</v>
          </cell>
          <cell r="I24">
            <v>43606</v>
          </cell>
          <cell r="J24" t="str">
            <v>ATI</v>
          </cell>
          <cell r="K24" t="str">
            <v>D1905010</v>
          </cell>
          <cell r="L24" t="str">
            <v>4</v>
          </cell>
          <cell r="M24">
            <v>626974</v>
          </cell>
          <cell r="N24">
            <v>857764</v>
          </cell>
          <cell r="O24" t="str">
            <v xml:space="preserve">1.4306 TP304L </v>
          </cell>
          <cell r="P24" t="str">
            <v>304L</v>
          </cell>
          <cell r="Q24">
            <v>2.2759999999999998</v>
          </cell>
          <cell r="R24">
            <v>2.2770000000000001</v>
          </cell>
          <cell r="S24">
            <v>6.3E-2</v>
          </cell>
          <cell r="T24">
            <v>6.3E-2</v>
          </cell>
          <cell r="V24">
            <v>6.3E-2</v>
          </cell>
          <cell r="X24">
            <v>4032</v>
          </cell>
          <cell r="Y24">
            <v>2</v>
          </cell>
          <cell r="Z24">
            <v>885.76449912126543</v>
          </cell>
          <cell r="AA24" t="str">
            <v>2.276X0.063-304L</v>
          </cell>
          <cell r="AB24" t="str">
            <v>WAAC005780160B300010</v>
          </cell>
          <cell r="AC24" t="str">
            <v>D1905010</v>
          </cell>
          <cell r="AD24">
            <v>857764</v>
          </cell>
          <cell r="AE24">
            <v>2.3E-2</v>
          </cell>
          <cell r="AF24">
            <v>1.73</v>
          </cell>
          <cell r="AG24">
            <v>3.2000000000000001E-2</v>
          </cell>
          <cell r="AH24">
            <v>1E-4</v>
          </cell>
          <cell r="AI24">
            <v>0.48</v>
          </cell>
          <cell r="AJ24">
            <v>18.22</v>
          </cell>
          <cell r="AK24">
            <v>8.26</v>
          </cell>
          <cell r="AL24">
            <v>7.0000000000000007E-2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Y24" t="str">
            <v/>
          </cell>
          <cell r="AZ24">
            <v>1.4225000000000001</v>
          </cell>
          <cell r="BA24" t="str">
            <v>D1905010</v>
          </cell>
          <cell r="BB24" t="str">
            <v>CONFORM</v>
          </cell>
          <cell r="BC24" t="str">
            <v>CONFORM</v>
          </cell>
          <cell r="BD24" t="str">
            <v>CONFORM</v>
          </cell>
          <cell r="BE24" t="str">
            <v>CONFORM</v>
          </cell>
          <cell r="BF24" t="str">
            <v>CONFORM</v>
          </cell>
        </row>
        <row r="25">
          <cell r="A25">
            <v>43606</v>
          </cell>
          <cell r="B25" t="str">
            <v>D1905010-5</v>
          </cell>
          <cell r="C25" t="str">
            <v>003/19</v>
          </cell>
          <cell r="D25">
            <v>1</v>
          </cell>
          <cell r="E25">
            <v>43599</v>
          </cell>
          <cell r="F25" t="str">
            <v>DC</v>
          </cell>
          <cell r="G25" t="str">
            <v>On Time</v>
          </cell>
          <cell r="H25" t="str">
            <v>L268062</v>
          </cell>
          <cell r="I25">
            <v>43606</v>
          </cell>
          <cell r="J25" t="str">
            <v>ATI</v>
          </cell>
          <cell r="K25" t="str">
            <v>D1905010</v>
          </cell>
          <cell r="L25" t="str">
            <v>5</v>
          </cell>
          <cell r="M25">
            <v>626973</v>
          </cell>
          <cell r="N25">
            <v>857764</v>
          </cell>
          <cell r="O25" t="str">
            <v xml:space="preserve">1.4306 TP304L </v>
          </cell>
          <cell r="P25" t="str">
            <v>304L</v>
          </cell>
          <cell r="Q25">
            <v>2.2759999999999998</v>
          </cell>
          <cell r="R25">
            <v>2.2765</v>
          </cell>
          <cell r="S25">
            <v>6.3E-2</v>
          </cell>
          <cell r="T25">
            <v>6.3E-2</v>
          </cell>
          <cell r="V25">
            <v>6.3E-2</v>
          </cell>
          <cell r="X25">
            <v>4060</v>
          </cell>
          <cell r="Y25">
            <v>2</v>
          </cell>
          <cell r="Z25">
            <v>891.91564147627423</v>
          </cell>
          <cell r="AA25" t="str">
            <v>2.276X0.063-304L</v>
          </cell>
          <cell r="AB25" t="str">
            <v>WAAC005780160B300010</v>
          </cell>
          <cell r="AC25" t="str">
            <v>D1905010</v>
          </cell>
          <cell r="AD25">
            <v>857764</v>
          </cell>
          <cell r="AE25">
            <v>2.3E-2</v>
          </cell>
          <cell r="AF25">
            <v>1.73</v>
          </cell>
          <cell r="AG25">
            <v>3.2000000000000001E-2</v>
          </cell>
          <cell r="AH25">
            <v>1E-4</v>
          </cell>
          <cell r="AI25">
            <v>0.48</v>
          </cell>
          <cell r="AJ25">
            <v>18.22</v>
          </cell>
          <cell r="AK25">
            <v>8.26</v>
          </cell>
          <cell r="AL25">
            <v>7.0000000000000007E-2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Y25" t="str">
            <v/>
          </cell>
          <cell r="AZ25">
            <v>1.4225000000000001</v>
          </cell>
          <cell r="BA25" t="str">
            <v>D1905010</v>
          </cell>
          <cell r="BB25" t="str">
            <v>CONFORM</v>
          </cell>
          <cell r="BC25" t="str">
            <v>CONFORM</v>
          </cell>
          <cell r="BD25" t="str">
            <v>CONFORM</v>
          </cell>
          <cell r="BE25" t="str">
            <v>CONFORM</v>
          </cell>
          <cell r="BF25" t="str">
            <v>CONFORM</v>
          </cell>
        </row>
        <row r="26">
          <cell r="A26">
            <v>43606</v>
          </cell>
          <cell r="B26" t="str">
            <v>D1905010-6</v>
          </cell>
          <cell r="C26" t="str">
            <v>003/19</v>
          </cell>
          <cell r="D26">
            <v>1</v>
          </cell>
          <cell r="E26">
            <v>43599</v>
          </cell>
          <cell r="F26" t="str">
            <v>DC</v>
          </cell>
          <cell r="G26" t="str">
            <v>On Time</v>
          </cell>
          <cell r="H26" t="str">
            <v>L268062</v>
          </cell>
          <cell r="I26">
            <v>43606</v>
          </cell>
          <cell r="J26" t="str">
            <v>ATI</v>
          </cell>
          <cell r="K26" t="str">
            <v>D1905010</v>
          </cell>
          <cell r="L26" t="str">
            <v>6</v>
          </cell>
          <cell r="M26">
            <v>626972</v>
          </cell>
          <cell r="N26">
            <v>857764</v>
          </cell>
          <cell r="O26" t="str">
            <v xml:space="preserve">1.4306 TP304L </v>
          </cell>
          <cell r="P26" t="str">
            <v>304L</v>
          </cell>
          <cell r="Q26">
            <v>2.2759999999999998</v>
          </cell>
          <cell r="R26">
            <v>2.278</v>
          </cell>
          <cell r="S26">
            <v>6.3E-2</v>
          </cell>
          <cell r="T26">
            <v>6.3E-2</v>
          </cell>
          <cell r="V26">
            <v>6.3E-2</v>
          </cell>
          <cell r="X26">
            <v>6108</v>
          </cell>
          <cell r="Y26">
            <v>3</v>
          </cell>
          <cell r="Z26">
            <v>894.55184534270654</v>
          </cell>
          <cell r="AA26" t="str">
            <v>2.276X0.063-304L</v>
          </cell>
          <cell r="AB26" t="str">
            <v>WAAC005780160B300010</v>
          </cell>
          <cell r="AC26" t="str">
            <v>D1905010</v>
          </cell>
          <cell r="AD26">
            <v>857764</v>
          </cell>
          <cell r="AE26">
            <v>2.3E-2</v>
          </cell>
          <cell r="AF26">
            <v>1.73</v>
          </cell>
          <cell r="AG26">
            <v>3.2000000000000001E-2</v>
          </cell>
          <cell r="AH26">
            <v>1E-4</v>
          </cell>
          <cell r="AI26">
            <v>0.48</v>
          </cell>
          <cell r="AJ26">
            <v>18.22</v>
          </cell>
          <cell r="AK26">
            <v>8.26</v>
          </cell>
          <cell r="AL26">
            <v>7.0000000000000007E-2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Y26" t="str">
            <v/>
          </cell>
          <cell r="AZ26">
            <v>1.4225000000000001</v>
          </cell>
          <cell r="BA26" t="str">
            <v>D1905010</v>
          </cell>
          <cell r="BB26" t="str">
            <v>CONFORM</v>
          </cell>
          <cell r="BC26" t="str">
            <v>CONFORM</v>
          </cell>
          <cell r="BD26" t="str">
            <v>CONFORM</v>
          </cell>
          <cell r="BE26" t="str">
            <v>CONFORM</v>
          </cell>
          <cell r="BF26" t="str">
            <v>CONFORM</v>
          </cell>
        </row>
        <row r="27">
          <cell r="A27">
            <v>43606</v>
          </cell>
          <cell r="B27" t="str">
            <v>D1905010-7</v>
          </cell>
          <cell r="C27" t="str">
            <v>003/19</v>
          </cell>
          <cell r="D27">
            <v>1</v>
          </cell>
          <cell r="E27">
            <v>43599</v>
          </cell>
          <cell r="F27" t="str">
            <v>DC</v>
          </cell>
          <cell r="G27" t="str">
            <v>On Time</v>
          </cell>
          <cell r="H27" t="str">
            <v>L268062</v>
          </cell>
          <cell r="I27">
            <v>43606</v>
          </cell>
          <cell r="J27" t="str">
            <v>ATI</v>
          </cell>
          <cell r="K27" t="str">
            <v>D1905010</v>
          </cell>
          <cell r="L27" t="str">
            <v>7</v>
          </cell>
          <cell r="M27">
            <v>626987</v>
          </cell>
          <cell r="N27">
            <v>857764</v>
          </cell>
          <cell r="O27" t="str">
            <v xml:space="preserve">1.4306 TP304L </v>
          </cell>
          <cell r="P27" t="str">
            <v>304L</v>
          </cell>
          <cell r="Q27">
            <v>2.2759999999999998</v>
          </cell>
          <cell r="R27">
            <v>2.2770000000000001</v>
          </cell>
          <cell r="S27">
            <v>6.3E-2</v>
          </cell>
          <cell r="T27">
            <v>6.3E-2</v>
          </cell>
          <cell r="V27">
            <v>6.3E-2</v>
          </cell>
          <cell r="X27">
            <v>4080</v>
          </cell>
          <cell r="Y27">
            <v>2</v>
          </cell>
          <cell r="Z27">
            <v>896.30931458699479</v>
          </cell>
          <cell r="AA27" t="str">
            <v>2.276X0.063-304L</v>
          </cell>
          <cell r="AB27" t="str">
            <v>WAAC005780160B300010</v>
          </cell>
          <cell r="AC27" t="str">
            <v>D1905010</v>
          </cell>
          <cell r="AD27">
            <v>857764</v>
          </cell>
          <cell r="AE27">
            <v>2.3E-2</v>
          </cell>
          <cell r="AF27">
            <v>1.73</v>
          </cell>
          <cell r="AG27">
            <v>3.2000000000000001E-2</v>
          </cell>
          <cell r="AH27">
            <v>1E-4</v>
          </cell>
          <cell r="AI27">
            <v>0.48</v>
          </cell>
          <cell r="AJ27">
            <v>18.22</v>
          </cell>
          <cell r="AK27">
            <v>8.26</v>
          </cell>
          <cell r="AL27">
            <v>7.0000000000000007E-2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Y27" t="str">
            <v/>
          </cell>
          <cell r="AZ27">
            <v>1.4225000000000001</v>
          </cell>
          <cell r="BA27" t="str">
            <v>D1905010</v>
          </cell>
          <cell r="BB27" t="str">
            <v>CONFORM</v>
          </cell>
          <cell r="BC27" t="str">
            <v>CONFORM</v>
          </cell>
          <cell r="BD27" t="str">
            <v>CONFORM</v>
          </cell>
          <cell r="BE27" t="str">
            <v>CONFORM</v>
          </cell>
          <cell r="BF27" t="str">
            <v>CONFORM</v>
          </cell>
        </row>
        <row r="28">
          <cell r="A28">
            <v>43606</v>
          </cell>
          <cell r="B28" t="str">
            <v>D1905010-8</v>
          </cell>
          <cell r="C28" t="str">
            <v>003/19</v>
          </cell>
          <cell r="D28">
            <v>1</v>
          </cell>
          <cell r="E28">
            <v>43599</v>
          </cell>
          <cell r="F28" t="str">
            <v>DC</v>
          </cell>
          <cell r="G28" t="str">
            <v>On Time</v>
          </cell>
          <cell r="H28" t="str">
            <v>L268062</v>
          </cell>
          <cell r="I28">
            <v>43606</v>
          </cell>
          <cell r="J28" t="str">
            <v>ATI</v>
          </cell>
          <cell r="K28" t="str">
            <v>D1905010</v>
          </cell>
          <cell r="L28" t="str">
            <v>8</v>
          </cell>
          <cell r="M28">
            <v>626985</v>
          </cell>
          <cell r="N28">
            <v>857764</v>
          </cell>
          <cell r="O28" t="str">
            <v xml:space="preserve">1.4306 TP304L </v>
          </cell>
          <cell r="P28" t="str">
            <v>304L</v>
          </cell>
          <cell r="Q28">
            <v>2.2759999999999998</v>
          </cell>
          <cell r="R28">
            <v>2.2770000000000001</v>
          </cell>
          <cell r="S28">
            <v>6.3E-2</v>
          </cell>
          <cell r="T28">
            <v>6.3E-2</v>
          </cell>
          <cell r="V28">
            <v>6.3E-2</v>
          </cell>
          <cell r="X28">
            <v>6066</v>
          </cell>
          <cell r="Y28">
            <v>3</v>
          </cell>
          <cell r="Z28">
            <v>888.40070298769774</v>
          </cell>
          <cell r="AA28" t="str">
            <v>2.276X0.063-304L</v>
          </cell>
          <cell r="AB28" t="str">
            <v>WAAC005780160B300010</v>
          </cell>
          <cell r="AC28" t="str">
            <v>D1905010</v>
          </cell>
          <cell r="AD28">
            <v>857764</v>
          </cell>
          <cell r="AE28">
            <v>2.3E-2</v>
          </cell>
          <cell r="AF28">
            <v>1.73</v>
          </cell>
          <cell r="AG28">
            <v>3.2000000000000001E-2</v>
          </cell>
          <cell r="AH28">
            <v>1E-4</v>
          </cell>
          <cell r="AI28">
            <v>0.48</v>
          </cell>
          <cell r="AJ28">
            <v>18.22</v>
          </cell>
          <cell r="AK28">
            <v>8.26</v>
          </cell>
          <cell r="AL28">
            <v>7.0000000000000007E-2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Y28" t="str">
            <v/>
          </cell>
          <cell r="AZ28">
            <v>1.4225000000000001</v>
          </cell>
          <cell r="BA28" t="str">
            <v>D1905010</v>
          </cell>
          <cell r="BB28" t="str">
            <v>CONFORM</v>
          </cell>
          <cell r="BC28" t="str">
            <v>CONFORM</v>
          </cell>
          <cell r="BD28" t="str">
            <v>CONFORM</v>
          </cell>
          <cell r="BE28" t="str">
            <v>CONFORM</v>
          </cell>
          <cell r="BF28" t="str">
            <v>CONFORM</v>
          </cell>
        </row>
        <row r="29">
          <cell r="A29">
            <v>43606</v>
          </cell>
          <cell r="B29" t="str">
            <v>D1905010-9</v>
          </cell>
          <cell r="C29" t="str">
            <v>003/19</v>
          </cell>
          <cell r="D29">
            <v>1</v>
          </cell>
          <cell r="E29">
            <v>43599</v>
          </cell>
          <cell r="F29" t="str">
            <v>DC</v>
          </cell>
          <cell r="G29" t="str">
            <v>On Time</v>
          </cell>
          <cell r="H29" t="str">
            <v>L268062</v>
          </cell>
          <cell r="I29">
            <v>43606</v>
          </cell>
          <cell r="J29" t="str">
            <v>ATI</v>
          </cell>
          <cell r="K29" t="str">
            <v>D1905010</v>
          </cell>
          <cell r="L29" t="str">
            <v>9</v>
          </cell>
          <cell r="M29">
            <v>626976</v>
          </cell>
          <cell r="N29">
            <v>857764</v>
          </cell>
          <cell r="O29" t="str">
            <v xml:space="preserve">1.4306 TP304L </v>
          </cell>
          <cell r="P29" t="str">
            <v>304L</v>
          </cell>
          <cell r="Q29">
            <v>2.2759999999999998</v>
          </cell>
          <cell r="R29">
            <v>2.2749999999999999</v>
          </cell>
          <cell r="S29">
            <v>6.3E-2</v>
          </cell>
          <cell r="T29">
            <v>6.3E-2</v>
          </cell>
          <cell r="V29">
            <v>6.3E-2</v>
          </cell>
          <cell r="X29">
            <v>4084</v>
          </cell>
          <cell r="Y29">
            <v>2</v>
          </cell>
          <cell r="Z29">
            <v>897.18804920913897</v>
          </cell>
          <cell r="AA29" t="str">
            <v>2.276X0.063-304L</v>
          </cell>
          <cell r="AB29" t="str">
            <v>WAAC005780160B300010</v>
          </cell>
          <cell r="AC29" t="str">
            <v>D1905010</v>
          </cell>
          <cell r="AD29">
            <v>857764</v>
          </cell>
          <cell r="AE29">
            <v>2.3E-2</v>
          </cell>
          <cell r="AF29">
            <v>1.73</v>
          </cell>
          <cell r="AG29">
            <v>3.2000000000000001E-2</v>
          </cell>
          <cell r="AH29">
            <v>1E-4</v>
          </cell>
          <cell r="AI29">
            <v>0.48</v>
          </cell>
          <cell r="AJ29">
            <v>18.22</v>
          </cell>
          <cell r="AK29">
            <v>8.26</v>
          </cell>
          <cell r="AL29">
            <v>7.0000000000000007E-2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Y29" t="str">
            <v/>
          </cell>
          <cell r="AZ29">
            <v>1.4225000000000001</v>
          </cell>
          <cell r="BA29" t="str">
            <v>D1905010</v>
          </cell>
          <cell r="BB29" t="str">
            <v>CONFORM</v>
          </cell>
          <cell r="BC29" t="str">
            <v>CONFORM</v>
          </cell>
          <cell r="BD29" t="str">
            <v>CONFORM</v>
          </cell>
          <cell r="BE29" t="str">
            <v>CONFORM</v>
          </cell>
          <cell r="BF29" t="str">
            <v>CONFORM</v>
          </cell>
        </row>
        <row r="30">
          <cell r="A30">
            <v>43621</v>
          </cell>
          <cell r="B30" t="str">
            <v>D1906003-1</v>
          </cell>
          <cell r="C30" t="str">
            <v>008/19</v>
          </cell>
          <cell r="D30">
            <v>1</v>
          </cell>
          <cell r="E30">
            <v>43622</v>
          </cell>
          <cell r="F30" t="str">
            <v>DC</v>
          </cell>
          <cell r="G30" t="str">
            <v>On Time</v>
          </cell>
          <cell r="H30">
            <v>556</v>
          </cell>
          <cell r="I30">
            <v>43619</v>
          </cell>
          <cell r="J30" t="str">
            <v>ADTI</v>
          </cell>
          <cell r="K30" t="str">
            <v>D1906003</v>
          </cell>
          <cell r="L30" t="str">
            <v>1</v>
          </cell>
          <cell r="M30">
            <v>1710039</v>
          </cell>
          <cell r="N30">
            <v>572531</v>
          </cell>
          <cell r="O30" t="str">
            <v xml:space="preserve">1.4462 UNS S31803/S32205 </v>
          </cell>
          <cell r="P30" t="str">
            <v>2205</v>
          </cell>
          <cell r="Q30">
            <v>2.2759999999999998</v>
          </cell>
          <cell r="R30">
            <v>2.2759999999999998</v>
          </cell>
          <cell r="S30">
            <v>6.3E-2</v>
          </cell>
          <cell r="T30">
            <v>6.3E-2</v>
          </cell>
          <cell r="V30">
            <v>6.3E-2</v>
          </cell>
          <cell r="X30">
            <v>4883</v>
          </cell>
          <cell r="Y30">
            <v>3</v>
          </cell>
          <cell r="Z30">
            <v>715.14352665495028</v>
          </cell>
          <cell r="AA30" t="str">
            <v>2.276X0.063-2205</v>
          </cell>
          <cell r="AB30" t="str">
            <v>WACN005780160B200012</v>
          </cell>
          <cell r="AC30" t="str">
            <v>D1906003</v>
          </cell>
          <cell r="AD30">
            <v>572531</v>
          </cell>
          <cell r="AE30">
            <v>0.2</v>
          </cell>
          <cell r="AF30">
            <v>1.34</v>
          </cell>
          <cell r="AG30">
            <v>2.8000000000000001E-2</v>
          </cell>
          <cell r="AH30">
            <v>1E-3</v>
          </cell>
          <cell r="AI30">
            <v>0.34</v>
          </cell>
          <cell r="AJ30">
            <v>22.2</v>
          </cell>
          <cell r="AK30">
            <v>5.67</v>
          </cell>
          <cell r="AL30">
            <v>0.17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Y30" t="str">
            <v/>
          </cell>
          <cell r="AZ30">
            <v>2.0585</v>
          </cell>
          <cell r="BA30" t="str">
            <v>D1906003</v>
          </cell>
          <cell r="BB30" t="str">
            <v>CONFORM</v>
          </cell>
          <cell r="BC30" t="str">
            <v>CONFORM</v>
          </cell>
          <cell r="BD30" t="str">
            <v>CONFORM</v>
          </cell>
          <cell r="BE30" t="str">
            <v>CONFORM</v>
          </cell>
          <cell r="BF30" t="str">
            <v>CONFORM</v>
          </cell>
        </row>
        <row r="31">
          <cell r="A31">
            <v>43621</v>
          </cell>
          <cell r="B31" t="str">
            <v>D1906003-2</v>
          </cell>
          <cell r="C31" t="str">
            <v>008/19</v>
          </cell>
          <cell r="D31">
            <v>1</v>
          </cell>
          <cell r="E31">
            <v>43622</v>
          </cell>
          <cell r="F31" t="str">
            <v>DC</v>
          </cell>
          <cell r="G31" t="str">
            <v>On Time</v>
          </cell>
          <cell r="H31">
            <v>556</v>
          </cell>
          <cell r="I31">
            <v>43619</v>
          </cell>
          <cell r="J31" t="str">
            <v>ADTI</v>
          </cell>
          <cell r="K31" t="str">
            <v>D1906003</v>
          </cell>
          <cell r="L31" t="str">
            <v>2</v>
          </cell>
          <cell r="M31">
            <v>1710039</v>
          </cell>
          <cell r="N31">
            <v>572531</v>
          </cell>
          <cell r="O31" t="str">
            <v xml:space="preserve">1.4462 UNS S31803/S32205 </v>
          </cell>
          <cell r="P31" t="str">
            <v>2205</v>
          </cell>
          <cell r="Q31">
            <v>2.2759999999999998</v>
          </cell>
          <cell r="R31">
            <v>2.2759999999999998</v>
          </cell>
          <cell r="S31">
            <v>6.3E-2</v>
          </cell>
          <cell r="T31">
            <v>6.3E-2</v>
          </cell>
          <cell r="V31">
            <v>6.3E-2</v>
          </cell>
          <cell r="X31">
            <v>3263</v>
          </cell>
          <cell r="Y31">
            <v>2</v>
          </cell>
          <cell r="Z31">
            <v>716.82776801405987</v>
          </cell>
          <cell r="AA31" t="str">
            <v>2.276X0.063-2205</v>
          </cell>
          <cell r="AB31" t="str">
            <v>WACN005780160B200012</v>
          </cell>
          <cell r="AC31" t="str">
            <v>D1906003</v>
          </cell>
          <cell r="AD31">
            <v>572531</v>
          </cell>
          <cell r="AE31">
            <v>0.2</v>
          </cell>
          <cell r="AF31">
            <v>1.34</v>
          </cell>
          <cell r="AG31">
            <v>2.8000000000000001E-2</v>
          </cell>
          <cell r="AH31">
            <v>1E-3</v>
          </cell>
          <cell r="AI31">
            <v>0.34</v>
          </cell>
          <cell r="AJ31">
            <v>22.2</v>
          </cell>
          <cell r="AK31">
            <v>5.67</v>
          </cell>
          <cell r="AL31">
            <v>0.17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Y31" t="str">
            <v/>
          </cell>
          <cell r="AZ31">
            <v>2.0585</v>
          </cell>
          <cell r="BA31" t="str">
            <v>D1906003</v>
          </cell>
          <cell r="BB31" t="str">
            <v>CONFORM</v>
          </cell>
          <cell r="BC31" t="str">
            <v>CONFORM</v>
          </cell>
          <cell r="BD31" t="str">
            <v>CONFORM</v>
          </cell>
          <cell r="BE31" t="str">
            <v>CONFORM</v>
          </cell>
          <cell r="BF31" t="str">
            <v>CONFORM</v>
          </cell>
        </row>
        <row r="32">
          <cell r="A32">
            <v>43621</v>
          </cell>
          <cell r="B32" t="str">
            <v>D1906003-3</v>
          </cell>
          <cell r="C32" t="str">
            <v>008/19</v>
          </cell>
          <cell r="D32">
            <v>1</v>
          </cell>
          <cell r="E32">
            <v>43622</v>
          </cell>
          <cell r="F32" t="str">
            <v>DC</v>
          </cell>
          <cell r="G32" t="str">
            <v>On Time</v>
          </cell>
          <cell r="H32">
            <v>556</v>
          </cell>
          <cell r="I32">
            <v>43619</v>
          </cell>
          <cell r="J32" t="str">
            <v>ADTI</v>
          </cell>
          <cell r="K32" t="str">
            <v>D1906003</v>
          </cell>
          <cell r="L32" t="str">
            <v>3</v>
          </cell>
          <cell r="M32">
            <v>1710039</v>
          </cell>
          <cell r="N32">
            <v>572531</v>
          </cell>
          <cell r="O32" t="str">
            <v xml:space="preserve">1.4462 UNS S31803/S32205 </v>
          </cell>
          <cell r="P32" t="str">
            <v>2205</v>
          </cell>
          <cell r="Q32">
            <v>2.2759999999999998</v>
          </cell>
          <cell r="R32">
            <v>2.2759999999999998</v>
          </cell>
          <cell r="S32">
            <v>6.3E-2</v>
          </cell>
          <cell r="T32">
            <v>6.3E-2</v>
          </cell>
          <cell r="V32">
            <v>6.3E-2</v>
          </cell>
          <cell r="X32">
            <v>529</v>
          </cell>
          <cell r="Y32">
            <v>1</v>
          </cell>
          <cell r="Z32">
            <v>232.42530755711778</v>
          </cell>
          <cell r="AA32" t="str">
            <v>2.276X0.063-2205</v>
          </cell>
          <cell r="AB32" t="str">
            <v>WACN005780160B200012</v>
          </cell>
          <cell r="AC32" t="str">
            <v>D1906003</v>
          </cell>
          <cell r="AD32">
            <v>572531</v>
          </cell>
          <cell r="AE32">
            <v>0.2</v>
          </cell>
          <cell r="AF32">
            <v>1.34</v>
          </cell>
          <cell r="AG32">
            <v>2.8000000000000001E-2</v>
          </cell>
          <cell r="AH32">
            <v>1E-3</v>
          </cell>
          <cell r="AI32">
            <v>0.34</v>
          </cell>
          <cell r="AJ32">
            <v>22.2</v>
          </cell>
          <cell r="AK32">
            <v>5.67</v>
          </cell>
          <cell r="AL32">
            <v>0.17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Y32" t="str">
            <v/>
          </cell>
          <cell r="AZ32">
            <v>2.0585</v>
          </cell>
          <cell r="BA32" t="str">
            <v>D1906003</v>
          </cell>
          <cell r="BB32" t="str">
            <v>CONFORM</v>
          </cell>
          <cell r="BC32" t="str">
            <v>CONFORM</v>
          </cell>
          <cell r="BD32" t="str">
            <v>CONFORM</v>
          </cell>
          <cell r="BE32" t="str">
            <v>CONFORM</v>
          </cell>
          <cell r="BF32" t="str">
            <v>CONFORM</v>
          </cell>
        </row>
        <row r="33">
          <cell r="A33">
            <v>43621</v>
          </cell>
          <cell r="B33" t="str">
            <v>D1906003-4</v>
          </cell>
          <cell r="C33" t="str">
            <v>008/19</v>
          </cell>
          <cell r="D33">
            <v>1</v>
          </cell>
          <cell r="E33">
            <v>43622</v>
          </cell>
          <cell r="F33" t="str">
            <v>DC</v>
          </cell>
          <cell r="G33" t="str">
            <v>On Time</v>
          </cell>
          <cell r="H33">
            <v>556</v>
          </cell>
          <cell r="I33">
            <v>43619</v>
          </cell>
          <cell r="J33" t="str">
            <v>ADTI</v>
          </cell>
          <cell r="K33" t="str">
            <v>D1906003</v>
          </cell>
          <cell r="L33" t="str">
            <v>4</v>
          </cell>
          <cell r="M33">
            <v>1710039</v>
          </cell>
          <cell r="N33">
            <v>572531</v>
          </cell>
          <cell r="O33" t="str">
            <v xml:space="preserve">1.4462 UNS S31803/S32205 </v>
          </cell>
          <cell r="P33" t="str">
            <v>2205</v>
          </cell>
          <cell r="Q33">
            <v>2.2759999999999998</v>
          </cell>
          <cell r="R33">
            <v>2.2759999999999998</v>
          </cell>
          <cell r="S33">
            <v>6.3E-2</v>
          </cell>
          <cell r="T33">
            <v>6.3E-2</v>
          </cell>
          <cell r="V33">
            <v>6.3E-2</v>
          </cell>
          <cell r="X33">
            <v>4938</v>
          </cell>
          <cell r="Y33">
            <v>3</v>
          </cell>
          <cell r="Z33">
            <v>723.19859402460463</v>
          </cell>
          <cell r="AA33" t="str">
            <v>2.276X0.063-2205</v>
          </cell>
          <cell r="AB33" t="str">
            <v>WACN005780160B200012</v>
          </cell>
          <cell r="AC33" t="str">
            <v>D1906003</v>
          </cell>
          <cell r="AD33">
            <v>572531</v>
          </cell>
          <cell r="AE33">
            <v>0.2</v>
          </cell>
          <cell r="AF33">
            <v>1.34</v>
          </cell>
          <cell r="AG33">
            <v>2.8000000000000001E-2</v>
          </cell>
          <cell r="AH33">
            <v>1E-3</v>
          </cell>
          <cell r="AI33">
            <v>0.34</v>
          </cell>
          <cell r="AJ33">
            <v>22.2</v>
          </cell>
          <cell r="AK33">
            <v>5.67</v>
          </cell>
          <cell r="AL33">
            <v>0.17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Y33" t="str">
            <v/>
          </cell>
          <cell r="AZ33">
            <v>2.0585</v>
          </cell>
          <cell r="BA33" t="str">
            <v>D1906003</v>
          </cell>
          <cell r="BB33" t="str">
            <v>CONFORM</v>
          </cell>
          <cell r="BC33" t="str">
            <v>CONFORM</v>
          </cell>
          <cell r="BD33" t="str">
            <v>CONFORM</v>
          </cell>
          <cell r="BE33" t="str">
            <v>CONFORM</v>
          </cell>
          <cell r="BF33" t="str">
            <v>CONFORM</v>
          </cell>
        </row>
        <row r="34">
          <cell r="A34">
            <v>43621</v>
          </cell>
          <cell r="B34" t="str">
            <v>D1906004-1</v>
          </cell>
          <cell r="C34" t="str">
            <v>008/19</v>
          </cell>
          <cell r="D34">
            <v>2</v>
          </cell>
          <cell r="E34">
            <v>43622</v>
          </cell>
          <cell r="F34" t="str">
            <v>DC</v>
          </cell>
          <cell r="G34" t="str">
            <v>On Time</v>
          </cell>
          <cell r="H34">
            <v>556</v>
          </cell>
          <cell r="I34">
            <v>43619</v>
          </cell>
          <cell r="J34" t="str">
            <v>ADTI</v>
          </cell>
          <cell r="K34" t="str">
            <v>D1906004</v>
          </cell>
          <cell r="L34" t="str">
            <v>1</v>
          </cell>
          <cell r="M34" t="str">
            <v>A1905013</v>
          </cell>
          <cell r="N34">
            <v>590167</v>
          </cell>
          <cell r="O34" t="str">
            <v xml:space="preserve">1.4462 UNS S31803/S32205 </v>
          </cell>
          <cell r="P34" t="str">
            <v>2205</v>
          </cell>
          <cell r="Q34">
            <v>3.8620000000000001</v>
          </cell>
          <cell r="R34">
            <v>3.8620000000000001</v>
          </cell>
          <cell r="S34">
            <v>6.3E-2</v>
          </cell>
          <cell r="T34">
            <v>6.3E-2</v>
          </cell>
          <cell r="V34">
            <v>6.3E-2</v>
          </cell>
          <cell r="X34">
            <v>4863</v>
          </cell>
          <cell r="Y34">
            <v>4</v>
          </cell>
          <cell r="Z34">
            <v>314.79803210771621</v>
          </cell>
          <cell r="AA34" t="str">
            <v>3.862X0.063-2205</v>
          </cell>
          <cell r="AB34" t="str">
            <v>WACN009800160B200016</v>
          </cell>
          <cell r="AC34" t="str">
            <v>D1906004</v>
          </cell>
          <cell r="AD34">
            <v>590167</v>
          </cell>
          <cell r="AE34">
            <v>2.3E-2</v>
          </cell>
          <cell r="AF34">
            <v>1.39</v>
          </cell>
          <cell r="AG34">
            <v>2.4E-2</v>
          </cell>
          <cell r="AH34">
            <v>1E-3</v>
          </cell>
          <cell r="AI34">
            <v>0.34</v>
          </cell>
          <cell r="AJ34">
            <v>22.4</v>
          </cell>
          <cell r="AK34">
            <v>5.89</v>
          </cell>
          <cell r="AL34">
            <v>0.17399999999999999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Y34" t="str">
            <v/>
          </cell>
          <cell r="AZ34">
            <v>2.0470000000000002</v>
          </cell>
          <cell r="BA34" t="str">
            <v>D1906004</v>
          </cell>
          <cell r="BB34" t="str">
            <v>CONFORM</v>
          </cell>
          <cell r="BC34" t="str">
            <v>CONFORM</v>
          </cell>
          <cell r="BD34" t="str">
            <v>CONFORM</v>
          </cell>
          <cell r="BE34" t="str">
            <v>CONFORM</v>
          </cell>
          <cell r="BF34" t="str">
            <v>CONFORM</v>
          </cell>
        </row>
        <row r="35">
          <cell r="A35">
            <v>43621</v>
          </cell>
          <cell r="B35" t="str">
            <v>D1906004-2</v>
          </cell>
          <cell r="C35" t="str">
            <v>008/19</v>
          </cell>
          <cell r="D35">
            <v>2</v>
          </cell>
          <cell r="E35">
            <v>43622</v>
          </cell>
          <cell r="F35" t="str">
            <v>DC</v>
          </cell>
          <cell r="G35" t="str">
            <v>On Time</v>
          </cell>
          <cell r="H35">
            <v>556</v>
          </cell>
          <cell r="I35">
            <v>43619</v>
          </cell>
          <cell r="J35" t="str">
            <v>ADTI</v>
          </cell>
          <cell r="K35" t="str">
            <v>D1906004</v>
          </cell>
          <cell r="L35" t="str">
            <v>2</v>
          </cell>
          <cell r="M35" t="str">
            <v>A1905013</v>
          </cell>
          <cell r="N35">
            <v>590167</v>
          </cell>
          <cell r="O35" t="str">
            <v xml:space="preserve">1.4462 UNS S31803/S32205 </v>
          </cell>
          <cell r="P35" t="str">
            <v>2205</v>
          </cell>
          <cell r="Q35">
            <v>3.8620000000000001</v>
          </cell>
          <cell r="R35">
            <v>3.8620000000000001</v>
          </cell>
          <cell r="S35">
            <v>6.3E-2</v>
          </cell>
          <cell r="T35">
            <v>6.3E-2</v>
          </cell>
          <cell r="V35">
            <v>6.3E-2</v>
          </cell>
          <cell r="X35">
            <v>4846</v>
          </cell>
          <cell r="Y35">
            <v>4</v>
          </cell>
          <cell r="Z35">
            <v>313.6975660279648</v>
          </cell>
          <cell r="AA35" t="str">
            <v>3.862X0.063-2205</v>
          </cell>
          <cell r="AB35" t="str">
            <v>WACN009800160B200016</v>
          </cell>
          <cell r="AC35" t="str">
            <v>D1906004</v>
          </cell>
          <cell r="AD35">
            <v>590167</v>
          </cell>
          <cell r="AE35">
            <v>2.3E-2</v>
          </cell>
          <cell r="AF35">
            <v>1.39</v>
          </cell>
          <cell r="AG35">
            <v>2.4E-2</v>
          </cell>
          <cell r="AH35">
            <v>1E-3</v>
          </cell>
          <cell r="AI35">
            <v>0.34</v>
          </cell>
          <cell r="AJ35">
            <v>22.4</v>
          </cell>
          <cell r="AK35">
            <v>5.89</v>
          </cell>
          <cell r="AL35">
            <v>0.17399999999999999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Y35" t="str">
            <v/>
          </cell>
          <cell r="AZ35">
            <v>2.0470000000000002</v>
          </cell>
          <cell r="BA35" t="str">
            <v>D1906004</v>
          </cell>
          <cell r="BB35" t="str">
            <v>CONFORM</v>
          </cell>
          <cell r="BC35" t="str">
            <v>CONFORM</v>
          </cell>
          <cell r="BD35" t="str">
            <v>CONFORM</v>
          </cell>
          <cell r="BE35" t="str">
            <v>CONFORM</v>
          </cell>
          <cell r="BF35" t="str">
            <v>CONFORM</v>
          </cell>
        </row>
        <row r="36">
          <cell r="A36">
            <v>43621</v>
          </cell>
          <cell r="B36" t="str">
            <v>D1906005-1</v>
          </cell>
          <cell r="C36" t="str">
            <v>008/19</v>
          </cell>
          <cell r="D36">
            <v>3</v>
          </cell>
          <cell r="E36">
            <v>43622</v>
          </cell>
          <cell r="F36" t="str">
            <v>DC</v>
          </cell>
          <cell r="G36" t="str">
            <v>On Time</v>
          </cell>
          <cell r="H36">
            <v>556</v>
          </cell>
          <cell r="I36">
            <v>43619</v>
          </cell>
          <cell r="J36" t="str">
            <v>ADTI</v>
          </cell>
          <cell r="K36" t="str">
            <v>D1906005</v>
          </cell>
          <cell r="L36" t="str">
            <v>1</v>
          </cell>
          <cell r="M36">
            <v>1803079</v>
          </cell>
          <cell r="N36" t="str">
            <v>A1403390</v>
          </cell>
          <cell r="O36" t="str">
            <v xml:space="preserve">1.4401/1.4404 TP316/316L </v>
          </cell>
          <cell r="P36" t="str">
            <v>316L</v>
          </cell>
          <cell r="Q36">
            <v>1.929</v>
          </cell>
          <cell r="R36">
            <v>1.929</v>
          </cell>
          <cell r="S36">
            <v>4.7E-2</v>
          </cell>
          <cell r="T36">
            <v>4.7E-2</v>
          </cell>
          <cell r="V36">
            <v>4.7E-2</v>
          </cell>
          <cell r="X36">
            <v>1190</v>
          </cell>
          <cell r="Y36">
            <v>1</v>
          </cell>
          <cell r="Z36">
            <v>616.89994815966816</v>
          </cell>
          <cell r="AA36" t="str">
            <v>1.929X0.047-316L</v>
          </cell>
          <cell r="AB36" t="str">
            <v>WAAF004900119B300017</v>
          </cell>
          <cell r="AC36" t="str">
            <v>D1906005</v>
          </cell>
          <cell r="AD36" t="str">
            <v>A1403390</v>
          </cell>
          <cell r="AE36">
            <v>2.5000000000000001E-2</v>
          </cell>
          <cell r="AF36">
            <v>1.1399999999999999</v>
          </cell>
          <cell r="AG36">
            <v>2.8000000000000001E-2</v>
          </cell>
          <cell r="AH36">
            <v>1E-3</v>
          </cell>
          <cell r="AI36">
            <v>0.51</v>
          </cell>
          <cell r="AJ36">
            <v>16.7</v>
          </cell>
          <cell r="AK36">
            <v>10</v>
          </cell>
          <cell r="AL36">
            <v>0.04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Y36" t="str">
            <v/>
          </cell>
          <cell r="AZ36">
            <v>1.7830999999999999</v>
          </cell>
          <cell r="BA36" t="str">
            <v>D1906005</v>
          </cell>
          <cell r="BB36" t="str">
            <v>CONFORM</v>
          </cell>
          <cell r="BC36" t="str">
            <v>CONFORM</v>
          </cell>
          <cell r="BD36" t="str">
            <v>CONFORM</v>
          </cell>
          <cell r="BE36" t="str">
            <v>CONFORM</v>
          </cell>
          <cell r="BF36" t="str">
            <v>CONFORM</v>
          </cell>
        </row>
        <row r="37">
          <cell r="A37">
            <v>43621</v>
          </cell>
          <cell r="B37" t="str">
            <v>D1906006-1</v>
          </cell>
          <cell r="C37" t="str">
            <v>008/19</v>
          </cell>
          <cell r="D37">
            <v>4</v>
          </cell>
          <cell r="E37">
            <v>43622</v>
          </cell>
          <cell r="F37" t="str">
            <v>DC</v>
          </cell>
          <cell r="G37" t="str">
            <v>On Time</v>
          </cell>
          <cell r="H37">
            <v>556</v>
          </cell>
          <cell r="I37">
            <v>43619</v>
          </cell>
          <cell r="J37" t="str">
            <v>ADTI</v>
          </cell>
          <cell r="K37" t="str">
            <v>D1906006</v>
          </cell>
          <cell r="L37" t="str">
            <v>1</v>
          </cell>
          <cell r="M37" t="str">
            <v>A1902007</v>
          </cell>
          <cell r="N37">
            <v>86820</v>
          </cell>
          <cell r="O37" t="str">
            <v xml:space="preserve">1.4401/1.4404 TP316/316L </v>
          </cell>
          <cell r="P37" t="str">
            <v>316L</v>
          </cell>
          <cell r="Q37">
            <v>2.2759999999999998</v>
          </cell>
          <cell r="R37">
            <v>2.2759999999999998</v>
          </cell>
          <cell r="S37">
            <v>6.3E-2</v>
          </cell>
          <cell r="T37">
            <v>6.3E-2</v>
          </cell>
          <cell r="V37">
            <v>6.3E-2</v>
          </cell>
          <cell r="X37">
            <v>6098</v>
          </cell>
          <cell r="Y37">
            <v>3</v>
          </cell>
          <cell r="Z37">
            <v>893.08728763913314</v>
          </cell>
          <cell r="AA37" t="str">
            <v>2.276X0.063-316L</v>
          </cell>
          <cell r="AB37" t="str">
            <v>WAAF005780160B300013</v>
          </cell>
          <cell r="AC37" t="str">
            <v>D1906006</v>
          </cell>
          <cell r="AD37">
            <v>86820</v>
          </cell>
          <cell r="AE37">
            <v>1.9E-2</v>
          </cell>
          <cell r="AF37">
            <v>0.92</v>
          </cell>
          <cell r="AG37">
            <v>3.2000000000000001E-2</v>
          </cell>
          <cell r="AH37">
            <v>1E-3</v>
          </cell>
          <cell r="AI37">
            <v>0.42</v>
          </cell>
          <cell r="AJ37">
            <v>16.899999999999999</v>
          </cell>
          <cell r="AK37">
            <v>10</v>
          </cell>
          <cell r="AL37">
            <v>3.4000000000000002E-2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Y37" t="str">
            <v/>
          </cell>
          <cell r="AZ37">
            <v>1.8879999999999999</v>
          </cell>
          <cell r="BA37" t="str">
            <v>D1906006</v>
          </cell>
          <cell r="BB37" t="str">
            <v>CONFORM</v>
          </cell>
          <cell r="BC37" t="str">
            <v>CONFORM</v>
          </cell>
          <cell r="BD37" t="str">
            <v>CONFORM</v>
          </cell>
          <cell r="BE37" t="str">
            <v>CONFORM</v>
          </cell>
          <cell r="BF37" t="str">
            <v>CONFORM</v>
          </cell>
        </row>
        <row r="38">
          <cell r="A38">
            <v>43621</v>
          </cell>
          <cell r="B38" t="str">
            <v>D1906006-2</v>
          </cell>
          <cell r="C38" t="str">
            <v>008/19</v>
          </cell>
          <cell r="D38">
            <v>4</v>
          </cell>
          <cell r="E38">
            <v>43622</v>
          </cell>
          <cell r="F38" t="str">
            <v>DC</v>
          </cell>
          <cell r="G38" t="str">
            <v>On Time</v>
          </cell>
          <cell r="H38">
            <v>556</v>
          </cell>
          <cell r="I38">
            <v>43619</v>
          </cell>
          <cell r="J38" t="str">
            <v>ADTI</v>
          </cell>
          <cell r="K38" t="str">
            <v>D1906006</v>
          </cell>
          <cell r="L38" t="str">
            <v>2</v>
          </cell>
          <cell r="M38" t="str">
            <v>A1902007</v>
          </cell>
          <cell r="N38">
            <v>86820</v>
          </cell>
          <cell r="O38" t="str">
            <v xml:space="preserve">1.4401/1.4404 TP316/316L </v>
          </cell>
          <cell r="P38" t="str">
            <v>316L</v>
          </cell>
          <cell r="Q38">
            <v>2.2759999999999998</v>
          </cell>
          <cell r="R38">
            <v>2.2759999999999998</v>
          </cell>
          <cell r="S38">
            <v>6.3E-2</v>
          </cell>
          <cell r="T38">
            <v>6.3E-2</v>
          </cell>
          <cell r="V38">
            <v>6.3E-2</v>
          </cell>
          <cell r="X38">
            <v>1340</v>
          </cell>
          <cell r="Y38">
            <v>1</v>
          </cell>
          <cell r="Z38">
            <v>588.75219683655541</v>
          </cell>
          <cell r="AA38" t="str">
            <v>2.276X0.063-316L</v>
          </cell>
          <cell r="AB38" t="str">
            <v>WAAF005780160B300013</v>
          </cell>
          <cell r="AC38" t="str">
            <v>D1906006</v>
          </cell>
          <cell r="AD38">
            <v>86820</v>
          </cell>
          <cell r="AE38">
            <v>1.9E-2</v>
          </cell>
          <cell r="AF38">
            <v>0.92</v>
          </cell>
          <cell r="AG38">
            <v>3.2000000000000001E-2</v>
          </cell>
          <cell r="AH38">
            <v>1E-3</v>
          </cell>
          <cell r="AI38">
            <v>0.42</v>
          </cell>
          <cell r="AJ38">
            <v>16.899999999999999</v>
          </cell>
          <cell r="AK38">
            <v>10</v>
          </cell>
          <cell r="AL38">
            <v>3.4000000000000002E-2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Y38" t="str">
            <v/>
          </cell>
          <cell r="AZ38">
            <v>1.8879999999999999</v>
          </cell>
          <cell r="BA38" t="str">
            <v>D1906006</v>
          </cell>
          <cell r="BB38" t="str">
            <v>CONFORM</v>
          </cell>
          <cell r="BC38" t="str">
            <v>CONFORM</v>
          </cell>
          <cell r="BD38" t="str">
            <v>CONFORM</v>
          </cell>
          <cell r="BE38" t="str">
            <v>CONFORM</v>
          </cell>
          <cell r="BF38" t="str">
            <v>CONFORM</v>
          </cell>
        </row>
        <row r="39">
          <cell r="A39">
            <v>43621</v>
          </cell>
          <cell r="B39" t="str">
            <v>D1906007-1</v>
          </cell>
          <cell r="C39" t="str">
            <v>008/19</v>
          </cell>
          <cell r="D39">
            <v>5</v>
          </cell>
          <cell r="E39">
            <v>43622</v>
          </cell>
          <cell r="F39" t="str">
            <v>DC</v>
          </cell>
          <cell r="G39" t="str">
            <v>On Time</v>
          </cell>
          <cell r="H39">
            <v>556</v>
          </cell>
          <cell r="I39">
            <v>43619</v>
          </cell>
          <cell r="J39" t="str">
            <v>ADTI</v>
          </cell>
          <cell r="K39" t="str">
            <v>D1906007</v>
          </cell>
          <cell r="L39" t="str">
            <v>1</v>
          </cell>
          <cell r="M39">
            <v>1807075</v>
          </cell>
          <cell r="N39">
            <v>75572</v>
          </cell>
          <cell r="O39" t="str">
            <v xml:space="preserve">1.4401/1.4404 TP316/316L </v>
          </cell>
          <cell r="P39" t="str">
            <v>316L</v>
          </cell>
          <cell r="Q39">
            <v>2.2759999999999998</v>
          </cell>
          <cell r="R39">
            <v>2.2759999999999998</v>
          </cell>
          <cell r="S39">
            <v>6.3E-2</v>
          </cell>
          <cell r="T39">
            <v>6.3E-2</v>
          </cell>
          <cell r="V39">
            <v>6.3E-2</v>
          </cell>
          <cell r="X39">
            <v>1032</v>
          </cell>
          <cell r="Y39">
            <v>1</v>
          </cell>
          <cell r="Z39">
            <v>453.42706502636207</v>
          </cell>
          <cell r="AA39" t="str">
            <v>2.276X0.063-316L</v>
          </cell>
          <cell r="AB39" t="str">
            <v>WAAF005780160B300013</v>
          </cell>
          <cell r="AC39" t="str">
            <v>D1906007</v>
          </cell>
          <cell r="AD39">
            <v>75572</v>
          </cell>
          <cell r="AE39">
            <v>1.9E-2</v>
          </cell>
          <cell r="AF39">
            <v>0.9</v>
          </cell>
          <cell r="AG39">
            <v>3.3000000000000002E-2</v>
          </cell>
          <cell r="AH39">
            <v>1E-3</v>
          </cell>
          <cell r="AI39">
            <v>0.54</v>
          </cell>
          <cell r="AJ39">
            <v>17.2</v>
          </cell>
          <cell r="AK39">
            <v>10.1</v>
          </cell>
          <cell r="AL39">
            <v>3.4000000000000002E-2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Y39" t="str">
            <v/>
          </cell>
          <cell r="AZ39">
            <v>1.8617999999999999</v>
          </cell>
          <cell r="BA39" t="str">
            <v>D1906007</v>
          </cell>
          <cell r="BB39" t="str">
            <v>CONFORM</v>
          </cell>
          <cell r="BC39" t="str">
            <v>CONFORM</v>
          </cell>
          <cell r="BD39" t="str">
            <v>CONFORM</v>
          </cell>
          <cell r="BE39" t="str">
            <v>CONFORM</v>
          </cell>
          <cell r="BF39" t="str">
            <v>CONFORM</v>
          </cell>
        </row>
        <row r="40">
          <cell r="A40">
            <v>43621</v>
          </cell>
          <cell r="B40" t="str">
            <v>D1906008-1</v>
          </cell>
          <cell r="C40" t="str">
            <v>008/19</v>
          </cell>
          <cell r="D40">
            <v>6</v>
          </cell>
          <cell r="E40">
            <v>43622</v>
          </cell>
          <cell r="F40" t="str">
            <v>DC</v>
          </cell>
          <cell r="G40" t="str">
            <v>On Time</v>
          </cell>
          <cell r="H40">
            <v>556</v>
          </cell>
          <cell r="I40">
            <v>43619</v>
          </cell>
          <cell r="J40" t="str">
            <v>ADTI</v>
          </cell>
          <cell r="K40" t="str">
            <v>D1906008</v>
          </cell>
          <cell r="L40" t="str">
            <v>1</v>
          </cell>
          <cell r="M40">
            <v>1810107</v>
          </cell>
          <cell r="N40" t="str">
            <v>A2300145</v>
          </cell>
          <cell r="O40" t="str">
            <v xml:space="preserve">1.4401/1.4404 TP316/316L </v>
          </cell>
          <cell r="P40" t="str">
            <v>316L</v>
          </cell>
          <cell r="Q40">
            <v>3.0550000000000002</v>
          </cell>
          <cell r="R40">
            <v>3.0550000000000002</v>
          </cell>
          <cell r="S40">
            <v>6.7000000000000004E-2</v>
          </cell>
          <cell r="T40">
            <v>6.7000000000000004E-2</v>
          </cell>
          <cell r="V40">
            <v>6.7000000000000004E-2</v>
          </cell>
          <cell r="X40">
            <v>1135</v>
          </cell>
          <cell r="Y40">
            <v>1</v>
          </cell>
          <cell r="Z40">
            <v>371.52209492635023</v>
          </cell>
          <cell r="AA40" t="str">
            <v>3.055X0.067-316L</v>
          </cell>
          <cell r="AB40" t="str">
            <v>WAAF007760170B300018</v>
          </cell>
          <cell r="AC40" t="str">
            <v>D1906008</v>
          </cell>
          <cell r="AD40" t="str">
            <v>A2300145</v>
          </cell>
          <cell r="AE40">
            <v>0.02</v>
          </cell>
          <cell r="AF40">
            <v>1.1399999999999999</v>
          </cell>
          <cell r="AG40">
            <v>3.9E-2</v>
          </cell>
          <cell r="AH40">
            <v>1E-3</v>
          </cell>
          <cell r="AI40">
            <v>0.52</v>
          </cell>
          <cell r="AJ40">
            <v>16.600000000000001</v>
          </cell>
          <cell r="AK40">
            <v>10.1</v>
          </cell>
          <cell r="AL40">
            <v>0.04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Y40" t="str">
            <v/>
          </cell>
          <cell r="AZ40">
            <v>1.8355999999999999</v>
          </cell>
          <cell r="BA40" t="str">
            <v>D1906008</v>
          </cell>
          <cell r="BB40" t="str">
            <v>CONFORM</v>
          </cell>
          <cell r="BC40" t="str">
            <v>CONFORM</v>
          </cell>
          <cell r="BD40" t="str">
            <v>CONFORM</v>
          </cell>
          <cell r="BE40" t="str">
            <v>CONFORM</v>
          </cell>
          <cell r="BF40" t="str">
            <v>CONFORM</v>
          </cell>
        </row>
        <row r="41">
          <cell r="A41">
            <v>43621</v>
          </cell>
          <cell r="B41" t="str">
            <v>D1906009-1</v>
          </cell>
          <cell r="C41" t="str">
            <v>008/19</v>
          </cell>
          <cell r="D41">
            <v>7</v>
          </cell>
          <cell r="E41">
            <v>43622</v>
          </cell>
          <cell r="F41" t="str">
            <v>DC</v>
          </cell>
          <cell r="G41" t="str">
            <v>On Time</v>
          </cell>
          <cell r="H41">
            <v>556</v>
          </cell>
          <cell r="I41">
            <v>43619</v>
          </cell>
          <cell r="J41" t="str">
            <v>ADTI</v>
          </cell>
          <cell r="K41" t="str">
            <v>D1906009</v>
          </cell>
          <cell r="L41" t="str">
            <v>1</v>
          </cell>
          <cell r="M41">
            <v>1801046</v>
          </cell>
          <cell r="N41">
            <v>512652</v>
          </cell>
          <cell r="O41" t="str">
            <v xml:space="preserve">1.4401/1.4404 TP316/316L </v>
          </cell>
          <cell r="P41" t="str">
            <v>316L</v>
          </cell>
          <cell r="Q41">
            <v>3.1539999999999999</v>
          </cell>
          <cell r="R41">
            <v>3.1539999999999999</v>
          </cell>
          <cell r="S41">
            <v>3.5000000000000003E-2</v>
          </cell>
          <cell r="T41">
            <v>3.5000000000000003E-2</v>
          </cell>
          <cell r="V41">
            <v>3.5000000000000003E-2</v>
          </cell>
          <cell r="X41">
            <v>750</v>
          </cell>
          <cell r="Y41">
            <v>1</v>
          </cell>
          <cell r="Z41">
            <v>237.79327837666455</v>
          </cell>
          <cell r="AA41" t="str">
            <v>3.154X0.035-316L</v>
          </cell>
          <cell r="AB41" t="str">
            <v>WAAF008000089B300019</v>
          </cell>
          <cell r="AC41" t="str">
            <v>D1906009</v>
          </cell>
          <cell r="AD41">
            <v>512652</v>
          </cell>
          <cell r="AE41">
            <v>2.8000000000000001E-2</v>
          </cell>
          <cell r="AF41">
            <v>1.51</v>
          </cell>
          <cell r="AG41">
            <v>2.9000000000000001E-2</v>
          </cell>
          <cell r="AH41">
            <v>1E-3</v>
          </cell>
          <cell r="AI41">
            <v>0.4</v>
          </cell>
          <cell r="AJ41">
            <v>16.72</v>
          </cell>
          <cell r="AK41">
            <v>10.029999999999999</v>
          </cell>
          <cell r="AL41">
            <v>3.1E-2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Y41" t="str">
            <v/>
          </cell>
          <cell r="AZ41">
            <v>1.8093999999999999</v>
          </cell>
          <cell r="BA41" t="str">
            <v>D1906009</v>
          </cell>
          <cell r="BB41" t="str">
            <v>CONFORM</v>
          </cell>
          <cell r="BC41" t="str">
            <v>CONFORM</v>
          </cell>
          <cell r="BD41" t="str">
            <v>CONFORM</v>
          </cell>
          <cell r="BE41" t="str">
            <v>CONFORM</v>
          </cell>
          <cell r="BF41" t="str">
            <v>CONFORM</v>
          </cell>
        </row>
        <row r="42">
          <cell r="A42">
            <v>43621</v>
          </cell>
          <cell r="B42" t="str">
            <v>D1906010-1</v>
          </cell>
          <cell r="C42" t="str">
            <v>008/19</v>
          </cell>
          <cell r="D42">
            <v>8</v>
          </cell>
          <cell r="E42">
            <v>43622</v>
          </cell>
          <cell r="F42" t="str">
            <v>DC</v>
          </cell>
          <cell r="G42" t="str">
            <v>On Time</v>
          </cell>
          <cell r="H42">
            <v>556</v>
          </cell>
          <cell r="I42">
            <v>43619</v>
          </cell>
          <cell r="J42" t="str">
            <v>ADTI</v>
          </cell>
          <cell r="K42" t="str">
            <v>D1906010</v>
          </cell>
          <cell r="L42" t="str">
            <v>1</v>
          </cell>
          <cell r="M42">
            <v>1709012</v>
          </cell>
          <cell r="N42">
            <v>217060</v>
          </cell>
          <cell r="O42" t="str">
            <v xml:space="preserve">1.4306 TP304L </v>
          </cell>
          <cell r="P42" t="str">
            <v>304L</v>
          </cell>
          <cell r="Q42">
            <v>2.2799999999999998</v>
          </cell>
          <cell r="R42">
            <v>2.2799999999999998</v>
          </cell>
          <cell r="S42">
            <v>6.3E-2</v>
          </cell>
          <cell r="T42">
            <v>6.3E-2</v>
          </cell>
          <cell r="V42">
            <v>6.3E-2</v>
          </cell>
          <cell r="X42">
            <v>1499</v>
          </cell>
          <cell r="Y42">
            <v>1</v>
          </cell>
          <cell r="Z42">
            <v>657.45614035087726</v>
          </cell>
          <cell r="AA42" t="str">
            <v>2.28X0.063-304L</v>
          </cell>
          <cell r="AB42" t="str">
            <v>WAAC005790160B300021</v>
          </cell>
          <cell r="AC42" t="str">
            <v>D1906010</v>
          </cell>
          <cell r="AD42">
            <v>217060</v>
          </cell>
          <cell r="AE42">
            <v>2.5999999999999999E-2</v>
          </cell>
          <cell r="AF42">
            <v>1.4</v>
          </cell>
          <cell r="AG42">
            <v>3.5000000000000003E-2</v>
          </cell>
          <cell r="AH42">
            <v>3.3E-3</v>
          </cell>
          <cell r="AI42">
            <v>0.4</v>
          </cell>
          <cell r="AJ42">
            <v>18.079999999999998</v>
          </cell>
          <cell r="AK42">
            <v>8.0399999999999991</v>
          </cell>
          <cell r="AL42">
            <v>7.1999999999999995E-2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Y42" t="str">
            <v/>
          </cell>
          <cell r="AZ42">
            <v>1.2586999999999999</v>
          </cell>
          <cell r="BA42" t="str">
            <v>D1906010</v>
          </cell>
          <cell r="BB42" t="str">
            <v>CONFORM</v>
          </cell>
          <cell r="BC42" t="str">
            <v>CONFORM</v>
          </cell>
          <cell r="BD42" t="str">
            <v>CONFORM</v>
          </cell>
          <cell r="BE42" t="str">
            <v>CONFORM</v>
          </cell>
          <cell r="BF42" t="str">
            <v>CONFORM</v>
          </cell>
        </row>
        <row r="43">
          <cell r="A43">
            <v>43621</v>
          </cell>
          <cell r="B43" t="str">
            <v>D1906011-1</v>
          </cell>
          <cell r="C43" t="str">
            <v>008/19</v>
          </cell>
          <cell r="D43">
            <v>9</v>
          </cell>
          <cell r="E43">
            <v>43622</v>
          </cell>
          <cell r="F43" t="str">
            <v>DC</v>
          </cell>
          <cell r="G43" t="str">
            <v>On Time</v>
          </cell>
          <cell r="H43">
            <v>556</v>
          </cell>
          <cell r="I43">
            <v>43619</v>
          </cell>
          <cell r="J43" t="str">
            <v>ADTI</v>
          </cell>
          <cell r="K43" t="str">
            <v>D1906011</v>
          </cell>
          <cell r="L43" t="str">
            <v>1</v>
          </cell>
          <cell r="M43">
            <v>1711007</v>
          </cell>
          <cell r="N43">
            <v>217060</v>
          </cell>
          <cell r="O43" t="str">
            <v xml:space="preserve">1.4306 TP304L </v>
          </cell>
          <cell r="P43" t="str">
            <v>304L</v>
          </cell>
          <cell r="Q43">
            <v>3.0590000000000002</v>
          </cell>
          <cell r="R43">
            <v>3.0590000000000002</v>
          </cell>
          <cell r="S43">
            <v>6.3E-2</v>
          </cell>
          <cell r="T43">
            <v>6.3E-2</v>
          </cell>
          <cell r="V43">
            <v>6.3E-2</v>
          </cell>
          <cell r="X43">
            <v>728</v>
          </cell>
          <cell r="Y43">
            <v>1</v>
          </cell>
          <cell r="Z43">
            <v>237.98627002288328</v>
          </cell>
          <cell r="AA43" t="str">
            <v>3.059X0.063-304L</v>
          </cell>
          <cell r="AB43" t="str">
            <v>WAAC007770160B300020</v>
          </cell>
          <cell r="AC43" t="str">
            <v>D1906011</v>
          </cell>
          <cell r="AD43">
            <v>217060</v>
          </cell>
          <cell r="AE43">
            <v>2.5999999999999999E-2</v>
          </cell>
          <cell r="AF43">
            <v>1.4</v>
          </cell>
          <cell r="AG43">
            <v>3.5000000000000003E-2</v>
          </cell>
          <cell r="AH43">
            <v>3.3E-3</v>
          </cell>
          <cell r="AI43">
            <v>0.4</v>
          </cell>
          <cell r="AJ43">
            <v>18.079999999999998</v>
          </cell>
          <cell r="AK43">
            <v>8.0399999999999991</v>
          </cell>
          <cell r="AL43">
            <v>7.1999999999999995E-2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Y43" t="str">
            <v/>
          </cell>
          <cell r="AZ43">
            <v>1.3110999999999999</v>
          </cell>
          <cell r="BA43" t="str">
            <v>D1906011</v>
          </cell>
          <cell r="BB43" t="str">
            <v>CONFORM</v>
          </cell>
          <cell r="BC43" t="str">
            <v>CONFORM</v>
          </cell>
          <cell r="BD43" t="str">
            <v>CONFORM</v>
          </cell>
          <cell r="BE43" t="str">
            <v>CONFORM</v>
          </cell>
          <cell r="BF43" t="str">
            <v>CONFORM</v>
          </cell>
        </row>
        <row r="44">
          <cell r="A44">
            <v>43636</v>
          </cell>
          <cell r="B44" t="str">
            <v>D1906012-1</v>
          </cell>
          <cell r="C44" t="str">
            <v>007/19</v>
          </cell>
          <cell r="D44">
            <v>1</v>
          </cell>
          <cell r="E44">
            <v>43621</v>
          </cell>
          <cell r="F44" t="str">
            <v>DC</v>
          </cell>
          <cell r="G44" t="str">
            <v>Late</v>
          </cell>
          <cell r="H44" t="str">
            <v>L277247</v>
          </cell>
          <cell r="I44">
            <v>43635</v>
          </cell>
          <cell r="J44" t="str">
            <v>ATI</v>
          </cell>
          <cell r="K44" t="str">
            <v>D1906012</v>
          </cell>
          <cell r="L44" t="str">
            <v>1</v>
          </cell>
          <cell r="M44">
            <v>630852</v>
          </cell>
          <cell r="N44">
            <v>857914</v>
          </cell>
          <cell r="O44" t="str">
            <v xml:space="preserve">1.4401/1.4404 TP316/316L </v>
          </cell>
          <cell r="P44" t="str">
            <v>316L</v>
          </cell>
          <cell r="Q44">
            <v>2.2759999999999998</v>
          </cell>
          <cell r="R44">
            <v>2.278</v>
          </cell>
          <cell r="S44">
            <v>6.3E-2</v>
          </cell>
          <cell r="T44">
            <v>6.3E-2</v>
          </cell>
          <cell r="V44">
            <v>6.3E-2</v>
          </cell>
          <cell r="X44">
            <v>6130</v>
          </cell>
          <cell r="Y44">
            <v>3</v>
          </cell>
          <cell r="Z44">
            <v>897.77387229056831</v>
          </cell>
          <cell r="AA44" t="str">
            <v>2.276X0.063-316L</v>
          </cell>
          <cell r="AB44" t="str">
            <v>WAAF005780160B300013</v>
          </cell>
          <cell r="AC44" t="str">
            <v>D1906012</v>
          </cell>
          <cell r="AD44">
            <v>857914</v>
          </cell>
          <cell r="AE44">
            <v>0.02</v>
          </cell>
          <cell r="AF44">
            <v>1.65</v>
          </cell>
          <cell r="AG44">
            <v>3.3000000000000002E-2</v>
          </cell>
          <cell r="AH44">
            <v>1E-4</v>
          </cell>
          <cell r="AI44">
            <v>0.38</v>
          </cell>
          <cell r="AJ44">
            <v>16.68</v>
          </cell>
          <cell r="AK44">
            <v>10.09</v>
          </cell>
          <cell r="AL44">
            <v>0.05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Y44" t="str">
            <v/>
          </cell>
          <cell r="AZ44">
            <v>1.85</v>
          </cell>
          <cell r="BA44" t="str">
            <v>D1906012</v>
          </cell>
          <cell r="BB44" t="str">
            <v>CONFORM</v>
          </cell>
          <cell r="BC44" t="str">
            <v>CONFORM</v>
          </cell>
          <cell r="BD44" t="str">
            <v>CONFORM</v>
          </cell>
          <cell r="BE44" t="str">
            <v>CONFORM</v>
          </cell>
          <cell r="BF44" t="str">
            <v>CONFORM</v>
          </cell>
        </row>
        <row r="45">
          <cell r="A45">
            <v>43636</v>
          </cell>
          <cell r="B45" t="str">
            <v>D1906012-2</v>
          </cell>
          <cell r="C45" t="str">
            <v>007/19</v>
          </cell>
          <cell r="D45">
            <v>1</v>
          </cell>
          <cell r="E45">
            <v>43621</v>
          </cell>
          <cell r="F45" t="str">
            <v>DC</v>
          </cell>
          <cell r="G45" t="str">
            <v>Late</v>
          </cell>
          <cell r="H45" t="str">
            <v>L277247</v>
          </cell>
          <cell r="I45">
            <v>43635</v>
          </cell>
          <cell r="J45" t="str">
            <v>ATI</v>
          </cell>
          <cell r="K45" t="str">
            <v>D1906012</v>
          </cell>
          <cell r="L45" t="str">
            <v>2</v>
          </cell>
          <cell r="M45">
            <v>630844</v>
          </cell>
          <cell r="N45">
            <v>857914</v>
          </cell>
          <cell r="O45" t="str">
            <v xml:space="preserve">1.4401/1.4404 TP316/316L </v>
          </cell>
          <cell r="P45" t="str">
            <v>316L</v>
          </cell>
          <cell r="Q45">
            <v>2.2759999999999998</v>
          </cell>
          <cell r="R45">
            <v>2.2759999999999998</v>
          </cell>
          <cell r="S45">
            <v>6.3E-2</v>
          </cell>
          <cell r="T45">
            <v>6.3E-2</v>
          </cell>
          <cell r="V45">
            <v>6.3E-2</v>
          </cell>
          <cell r="X45">
            <v>6130</v>
          </cell>
          <cell r="Y45">
            <v>3</v>
          </cell>
          <cell r="Z45">
            <v>897.77387229056831</v>
          </cell>
          <cell r="AA45" t="str">
            <v>2.276X0.063-316L</v>
          </cell>
          <cell r="AB45" t="str">
            <v>WAAF005780160B300013</v>
          </cell>
          <cell r="AC45" t="str">
            <v>D1906012</v>
          </cell>
          <cell r="AD45">
            <v>857914</v>
          </cell>
          <cell r="AE45">
            <v>0.02</v>
          </cell>
          <cell r="AF45">
            <v>1.65</v>
          </cell>
          <cell r="AG45">
            <v>3.3000000000000002E-2</v>
          </cell>
          <cell r="AH45">
            <v>1E-4</v>
          </cell>
          <cell r="AI45">
            <v>0.38</v>
          </cell>
          <cell r="AJ45">
            <v>16.68</v>
          </cell>
          <cell r="AK45">
            <v>10.09</v>
          </cell>
          <cell r="AL45">
            <v>0.05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Y45" t="str">
            <v/>
          </cell>
          <cell r="AZ45">
            <v>1.85</v>
          </cell>
          <cell r="BA45" t="str">
            <v>D1906012</v>
          </cell>
          <cell r="BB45" t="str">
            <v>CONFORM</v>
          </cell>
          <cell r="BC45" t="str">
            <v>CONFORM</v>
          </cell>
          <cell r="BD45" t="str">
            <v>CONFORM</v>
          </cell>
          <cell r="BE45" t="str">
            <v>CONFORM</v>
          </cell>
          <cell r="BF45" t="str">
            <v>CONFORM</v>
          </cell>
        </row>
        <row r="46">
          <cell r="A46">
            <v>43636</v>
          </cell>
          <cell r="B46" t="str">
            <v>D1906012-3</v>
          </cell>
          <cell r="C46" t="str">
            <v>007/19</v>
          </cell>
          <cell r="D46">
            <v>1</v>
          </cell>
          <cell r="E46">
            <v>43621</v>
          </cell>
          <cell r="F46" t="str">
            <v>DC</v>
          </cell>
          <cell r="G46" t="str">
            <v>Late</v>
          </cell>
          <cell r="H46" t="str">
            <v>L277247</v>
          </cell>
          <cell r="I46">
            <v>43635</v>
          </cell>
          <cell r="J46" t="str">
            <v>ATI</v>
          </cell>
          <cell r="K46" t="str">
            <v>D1906012</v>
          </cell>
          <cell r="L46" t="str">
            <v>3</v>
          </cell>
          <cell r="M46">
            <v>630847</v>
          </cell>
          <cell r="N46">
            <v>857914</v>
          </cell>
          <cell r="O46" t="str">
            <v xml:space="preserve">1.4401/1.4404 TP316/316L </v>
          </cell>
          <cell r="P46" t="str">
            <v>316L</v>
          </cell>
          <cell r="Q46">
            <v>2.2759999999999998</v>
          </cell>
          <cell r="R46">
            <v>2.2759999999999998</v>
          </cell>
          <cell r="S46">
            <v>6.3E-2</v>
          </cell>
          <cell r="T46">
            <v>6.3E-2</v>
          </cell>
          <cell r="V46">
            <v>6.3E-2</v>
          </cell>
          <cell r="X46">
            <v>6092</v>
          </cell>
          <cell r="Y46">
            <v>3</v>
          </cell>
          <cell r="Z46">
            <v>892.20855301698896</v>
          </cell>
          <cell r="AA46" t="str">
            <v>2.276X0.063-316L</v>
          </cell>
          <cell r="AB46" t="str">
            <v>WAAF005780160B300013</v>
          </cell>
          <cell r="AC46" t="str">
            <v>D1906012</v>
          </cell>
          <cell r="AD46">
            <v>857914</v>
          </cell>
          <cell r="AE46">
            <v>0.02</v>
          </cell>
          <cell r="AF46">
            <v>1.65</v>
          </cell>
          <cell r="AG46">
            <v>3.3000000000000002E-2</v>
          </cell>
          <cell r="AH46">
            <v>1E-4</v>
          </cell>
          <cell r="AI46">
            <v>0.38</v>
          </cell>
          <cell r="AJ46">
            <v>16.68</v>
          </cell>
          <cell r="AK46">
            <v>10.09</v>
          </cell>
          <cell r="AL46">
            <v>0.05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Y46" t="str">
            <v/>
          </cell>
          <cell r="AZ46">
            <v>1.85</v>
          </cell>
          <cell r="BA46" t="str">
            <v>D1906012</v>
          </cell>
          <cell r="BB46" t="str">
            <v>CONFORM</v>
          </cell>
          <cell r="BC46" t="str">
            <v>CONFORM</v>
          </cell>
          <cell r="BD46" t="str">
            <v>CONFORM</v>
          </cell>
          <cell r="BE46" t="str">
            <v>CONFORM</v>
          </cell>
          <cell r="BF46" t="str">
            <v>CONFORM</v>
          </cell>
        </row>
        <row r="47">
          <cell r="A47">
            <v>43636</v>
          </cell>
          <cell r="B47" t="str">
            <v>D1906012-4</v>
          </cell>
          <cell r="C47" t="str">
            <v>007/19</v>
          </cell>
          <cell r="D47">
            <v>1</v>
          </cell>
          <cell r="E47">
            <v>43621</v>
          </cell>
          <cell r="F47" t="str">
            <v>DC</v>
          </cell>
          <cell r="G47" t="str">
            <v>Late</v>
          </cell>
          <cell r="H47" t="str">
            <v>L277247</v>
          </cell>
          <cell r="I47">
            <v>43635</v>
          </cell>
          <cell r="J47" t="str">
            <v>ATI</v>
          </cell>
          <cell r="K47" t="str">
            <v>D1906012</v>
          </cell>
          <cell r="L47" t="str">
            <v>4</v>
          </cell>
          <cell r="M47">
            <v>630855</v>
          </cell>
          <cell r="N47">
            <v>857914</v>
          </cell>
          <cell r="O47" t="str">
            <v xml:space="preserve">1.4401/1.4404 TP316/316L </v>
          </cell>
          <cell r="P47" t="str">
            <v>316L</v>
          </cell>
          <cell r="Q47">
            <v>2.2759999999999998</v>
          </cell>
          <cell r="R47">
            <v>2.2759999999999998</v>
          </cell>
          <cell r="S47">
            <v>6.3E-2</v>
          </cell>
          <cell r="T47">
            <v>6.3E-2</v>
          </cell>
          <cell r="V47">
            <v>6.3E-2</v>
          </cell>
          <cell r="X47">
            <v>6054</v>
          </cell>
          <cell r="Y47">
            <v>3</v>
          </cell>
          <cell r="Z47">
            <v>886.64323374340961</v>
          </cell>
          <cell r="AA47" t="str">
            <v>2.276X0.063-316L</v>
          </cell>
          <cell r="AB47" t="str">
            <v>WAAF005780160B300013</v>
          </cell>
          <cell r="AC47" t="str">
            <v>D1906012</v>
          </cell>
          <cell r="AD47">
            <v>857914</v>
          </cell>
          <cell r="AE47">
            <v>0.02</v>
          </cell>
          <cell r="AF47">
            <v>1.65</v>
          </cell>
          <cell r="AG47">
            <v>3.3000000000000002E-2</v>
          </cell>
          <cell r="AH47">
            <v>1E-4</v>
          </cell>
          <cell r="AI47">
            <v>0.38</v>
          </cell>
          <cell r="AJ47">
            <v>16.68</v>
          </cell>
          <cell r="AK47">
            <v>10.09</v>
          </cell>
          <cell r="AL47">
            <v>0.05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Y47" t="str">
            <v/>
          </cell>
          <cell r="AZ47">
            <v>1.85</v>
          </cell>
          <cell r="BA47" t="str">
            <v>D1906012</v>
          </cell>
          <cell r="BB47" t="str">
            <v>CONFORM</v>
          </cell>
          <cell r="BC47" t="str">
            <v>CONFORM</v>
          </cell>
          <cell r="BD47" t="str">
            <v>CONFORM</v>
          </cell>
          <cell r="BE47" t="str">
            <v>CONFORM</v>
          </cell>
          <cell r="BF47" t="str">
            <v>CONFORM</v>
          </cell>
        </row>
        <row r="48">
          <cell r="A48">
            <v>43636</v>
          </cell>
          <cell r="B48" t="str">
            <v>D1906012-5</v>
          </cell>
          <cell r="C48" t="str">
            <v>007/19</v>
          </cell>
          <cell r="D48">
            <v>1</v>
          </cell>
          <cell r="E48">
            <v>43621</v>
          </cell>
          <cell r="F48" t="str">
            <v>DC</v>
          </cell>
          <cell r="G48" t="str">
            <v>Late</v>
          </cell>
          <cell r="H48" t="str">
            <v>L277247</v>
          </cell>
          <cell r="I48">
            <v>43635</v>
          </cell>
          <cell r="J48" t="str">
            <v>ATI</v>
          </cell>
          <cell r="K48" t="str">
            <v>D1906012</v>
          </cell>
          <cell r="L48" t="str">
            <v>5</v>
          </cell>
          <cell r="M48">
            <v>630857</v>
          </cell>
          <cell r="N48">
            <v>857914</v>
          </cell>
          <cell r="O48" t="str">
            <v xml:space="preserve">1.4401/1.4404 TP316/316L </v>
          </cell>
          <cell r="P48" t="str">
            <v>316L</v>
          </cell>
          <cell r="Q48">
            <v>2.2759999999999998</v>
          </cell>
          <cell r="R48">
            <v>2.2770000000000001</v>
          </cell>
          <cell r="S48">
            <v>6.3E-2</v>
          </cell>
          <cell r="T48">
            <v>6.3E-2</v>
          </cell>
          <cell r="V48">
            <v>6.3E-2</v>
          </cell>
          <cell r="X48">
            <v>6116</v>
          </cell>
          <cell r="Y48">
            <v>3</v>
          </cell>
          <cell r="Z48">
            <v>895.72349150556545</v>
          </cell>
          <cell r="AA48" t="str">
            <v>2.276X0.063-316L</v>
          </cell>
          <cell r="AB48" t="str">
            <v>WAAF005780160B300013</v>
          </cell>
          <cell r="AC48" t="str">
            <v>D1906012</v>
          </cell>
          <cell r="AD48">
            <v>857914</v>
          </cell>
          <cell r="AE48">
            <v>0.02</v>
          </cell>
          <cell r="AF48">
            <v>1.65</v>
          </cell>
          <cell r="AG48">
            <v>3.3000000000000002E-2</v>
          </cell>
          <cell r="AH48">
            <v>1E-4</v>
          </cell>
          <cell r="AI48">
            <v>0.38</v>
          </cell>
          <cell r="AJ48">
            <v>16.68</v>
          </cell>
          <cell r="AK48">
            <v>10.09</v>
          </cell>
          <cell r="AL48">
            <v>0.05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Y48" t="str">
            <v/>
          </cell>
          <cell r="AZ48">
            <v>1.85</v>
          </cell>
          <cell r="BA48" t="str">
            <v>D1906012</v>
          </cell>
          <cell r="BB48" t="str">
            <v>CONFORM</v>
          </cell>
          <cell r="BC48" t="str">
            <v>CONFORM</v>
          </cell>
          <cell r="BD48" t="str">
            <v>CONFORM</v>
          </cell>
          <cell r="BE48" t="str">
            <v>CONFORM</v>
          </cell>
          <cell r="BF48" t="str">
            <v>CONFORM</v>
          </cell>
        </row>
        <row r="49">
          <cell r="A49">
            <v>43636</v>
          </cell>
          <cell r="B49" t="str">
            <v>D1906012-6</v>
          </cell>
          <cell r="C49" t="str">
            <v>007/19</v>
          </cell>
          <cell r="D49">
            <v>1</v>
          </cell>
          <cell r="E49">
            <v>43621</v>
          </cell>
          <cell r="F49" t="str">
            <v>DC</v>
          </cell>
          <cell r="G49" t="str">
            <v>Late</v>
          </cell>
          <cell r="H49" t="str">
            <v>L277247</v>
          </cell>
          <cell r="I49">
            <v>43635</v>
          </cell>
          <cell r="J49" t="str">
            <v>ATI</v>
          </cell>
          <cell r="K49" t="str">
            <v>D1906012</v>
          </cell>
          <cell r="L49" t="str">
            <v>6</v>
          </cell>
          <cell r="M49">
            <v>630850</v>
          </cell>
          <cell r="N49">
            <v>857914</v>
          </cell>
          <cell r="O49" t="str">
            <v xml:space="preserve">1.4401/1.4404 TP316/316L </v>
          </cell>
          <cell r="P49" t="str">
            <v>316L</v>
          </cell>
          <cell r="Q49">
            <v>2.2759999999999998</v>
          </cell>
          <cell r="R49">
            <v>2.2759999999999998</v>
          </cell>
          <cell r="S49">
            <v>6.3E-2</v>
          </cell>
          <cell r="T49">
            <v>6.3E-2</v>
          </cell>
          <cell r="V49">
            <v>6.3E-2</v>
          </cell>
          <cell r="X49">
            <v>6130</v>
          </cell>
          <cell r="Y49">
            <v>3</v>
          </cell>
          <cell r="Z49">
            <v>897.77387229056831</v>
          </cell>
          <cell r="AA49" t="str">
            <v>2.276X0.063-316L</v>
          </cell>
          <cell r="AB49" t="str">
            <v>WAAF005780160B300013</v>
          </cell>
          <cell r="AC49" t="str">
            <v>D1906012</v>
          </cell>
          <cell r="AD49">
            <v>857914</v>
          </cell>
          <cell r="AE49">
            <v>0.02</v>
          </cell>
          <cell r="AF49">
            <v>1.65</v>
          </cell>
          <cell r="AG49">
            <v>3.3000000000000002E-2</v>
          </cell>
          <cell r="AH49">
            <v>1E-4</v>
          </cell>
          <cell r="AI49">
            <v>0.38</v>
          </cell>
          <cell r="AJ49">
            <v>16.68</v>
          </cell>
          <cell r="AK49">
            <v>10.09</v>
          </cell>
          <cell r="AL49">
            <v>0.05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Y49" t="str">
            <v/>
          </cell>
          <cell r="AZ49">
            <v>1.85</v>
          </cell>
          <cell r="BA49" t="str">
            <v>D1906012</v>
          </cell>
          <cell r="BB49" t="str">
            <v>CONFORM</v>
          </cell>
          <cell r="BC49" t="str">
            <v>CONFORM</v>
          </cell>
          <cell r="BD49" t="str">
            <v>CONFORM</v>
          </cell>
          <cell r="BE49" t="str">
            <v>CONFORM</v>
          </cell>
          <cell r="BF49" t="str">
            <v>CONFORM</v>
          </cell>
        </row>
        <row r="50">
          <cell r="A50">
            <v>43636</v>
          </cell>
          <cell r="B50" t="str">
            <v>D1906013-1</v>
          </cell>
          <cell r="C50" t="str">
            <v>007/19</v>
          </cell>
          <cell r="D50">
            <v>2</v>
          </cell>
          <cell r="E50">
            <v>43621</v>
          </cell>
          <cell r="F50" t="str">
            <v>DC</v>
          </cell>
          <cell r="G50" t="str">
            <v>Late</v>
          </cell>
          <cell r="H50" t="str">
            <v>L277247</v>
          </cell>
          <cell r="I50">
            <v>43635</v>
          </cell>
          <cell r="J50" t="str">
            <v>ATI</v>
          </cell>
          <cell r="K50" t="str">
            <v>D1906013</v>
          </cell>
          <cell r="L50" t="str">
            <v>1</v>
          </cell>
          <cell r="M50">
            <v>630858</v>
          </cell>
          <cell r="N50">
            <v>857914</v>
          </cell>
          <cell r="O50" t="str">
            <v xml:space="preserve">1.4401/1.4404 TP316/316L </v>
          </cell>
          <cell r="P50" t="str">
            <v>316L</v>
          </cell>
          <cell r="Q50">
            <v>1.913</v>
          </cell>
          <cell r="R50">
            <v>1.9139999999999999</v>
          </cell>
          <cell r="S50">
            <v>6.3E-2</v>
          </cell>
          <cell r="T50">
            <v>6.3E-2</v>
          </cell>
          <cell r="V50">
            <v>6.3E-2</v>
          </cell>
          <cell r="X50">
            <v>3438</v>
          </cell>
          <cell r="Y50">
            <v>2</v>
          </cell>
          <cell r="Z50">
            <v>898.58860428646108</v>
          </cell>
          <cell r="AA50" t="str">
            <v>1.913X0.063-316L</v>
          </cell>
          <cell r="AB50" t="str">
            <v>WAAF004860160B300014</v>
          </cell>
          <cell r="AC50" t="str">
            <v>D1906013</v>
          </cell>
          <cell r="AD50">
            <v>857914</v>
          </cell>
          <cell r="AE50">
            <v>0.02</v>
          </cell>
          <cell r="AF50">
            <v>1.65</v>
          </cell>
          <cell r="AG50">
            <v>3.3000000000000002E-2</v>
          </cell>
          <cell r="AH50">
            <v>1E-4</v>
          </cell>
          <cell r="AI50">
            <v>0.38</v>
          </cell>
          <cell r="AJ50">
            <v>16.68</v>
          </cell>
          <cell r="AK50">
            <v>10.09</v>
          </cell>
          <cell r="AL50">
            <v>0.05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Y50" t="str">
            <v/>
          </cell>
          <cell r="AZ50">
            <v>1.85</v>
          </cell>
          <cell r="BA50" t="str">
            <v>D1906013</v>
          </cell>
          <cell r="BB50" t="str">
            <v>CONFORM</v>
          </cell>
          <cell r="BC50" t="str">
            <v>CONFORM</v>
          </cell>
          <cell r="BD50" t="str">
            <v>CONFORM</v>
          </cell>
          <cell r="BE50" t="str">
            <v>CONFORM</v>
          </cell>
          <cell r="BF50" t="str">
            <v>CONFORM</v>
          </cell>
        </row>
        <row r="51">
          <cell r="A51">
            <v>43636</v>
          </cell>
          <cell r="B51" t="str">
            <v>D1906013-2</v>
          </cell>
          <cell r="C51" t="str">
            <v>007/19</v>
          </cell>
          <cell r="D51">
            <v>2</v>
          </cell>
          <cell r="E51">
            <v>43621</v>
          </cell>
          <cell r="F51" t="str">
            <v>DC</v>
          </cell>
          <cell r="G51" t="str">
            <v>Late</v>
          </cell>
          <cell r="H51" t="str">
            <v>L277247</v>
          </cell>
          <cell r="I51">
            <v>43635</v>
          </cell>
          <cell r="J51" t="str">
            <v>ATI</v>
          </cell>
          <cell r="K51" t="str">
            <v>D1906013</v>
          </cell>
          <cell r="L51" t="str">
            <v>2</v>
          </cell>
          <cell r="M51">
            <v>630853</v>
          </cell>
          <cell r="N51">
            <v>857914</v>
          </cell>
          <cell r="O51" t="str">
            <v xml:space="preserve">1.4401/1.4404 TP316/316L </v>
          </cell>
          <cell r="P51" t="str">
            <v>316L</v>
          </cell>
          <cell r="Q51">
            <v>1.913</v>
          </cell>
          <cell r="R51">
            <v>1.9139999999999999</v>
          </cell>
          <cell r="S51">
            <v>6.3E-2</v>
          </cell>
          <cell r="T51">
            <v>6.3E-2</v>
          </cell>
          <cell r="V51">
            <v>6.3E-2</v>
          </cell>
          <cell r="X51">
            <v>1716</v>
          </cell>
          <cell r="Y51">
            <v>1</v>
          </cell>
          <cell r="Z51">
            <v>897.02038682697332</v>
          </cell>
          <cell r="AA51" t="str">
            <v>1.913X0.063-316L</v>
          </cell>
          <cell r="AB51" t="str">
            <v>WAAF004860160B300014</v>
          </cell>
          <cell r="AC51" t="str">
            <v>D1906013</v>
          </cell>
          <cell r="AD51">
            <v>857914</v>
          </cell>
          <cell r="AE51">
            <v>0.02</v>
          </cell>
          <cell r="AF51">
            <v>1.65</v>
          </cell>
          <cell r="AG51">
            <v>3.3000000000000002E-2</v>
          </cell>
          <cell r="AH51">
            <v>1E-4</v>
          </cell>
          <cell r="AI51">
            <v>0.38</v>
          </cell>
          <cell r="AJ51">
            <v>16.68</v>
          </cell>
          <cell r="AK51">
            <v>10.09</v>
          </cell>
          <cell r="AL51">
            <v>0.05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Y51" t="str">
            <v/>
          </cell>
          <cell r="AZ51">
            <v>1.85</v>
          </cell>
          <cell r="BA51" t="str">
            <v>D1906013</v>
          </cell>
          <cell r="BB51" t="str">
            <v>CONFORM</v>
          </cell>
          <cell r="BC51" t="str">
            <v>CONFORM</v>
          </cell>
          <cell r="BD51" t="str">
            <v>CONFORM</v>
          </cell>
          <cell r="BE51" t="str">
            <v>CONFORM</v>
          </cell>
          <cell r="BF51" t="str">
            <v>CONFORM</v>
          </cell>
        </row>
        <row r="52">
          <cell r="A52">
            <v>43636</v>
          </cell>
          <cell r="B52" t="str">
            <v>D1906013-3</v>
          </cell>
          <cell r="C52" t="str">
            <v>007/19</v>
          </cell>
          <cell r="D52">
            <v>2</v>
          </cell>
          <cell r="E52">
            <v>43621</v>
          </cell>
          <cell r="F52" t="str">
            <v>DC</v>
          </cell>
          <cell r="G52" t="str">
            <v>Late</v>
          </cell>
          <cell r="H52" t="str">
            <v>L277247</v>
          </cell>
          <cell r="I52">
            <v>43635</v>
          </cell>
          <cell r="J52" t="str">
            <v>ATI</v>
          </cell>
          <cell r="K52" t="str">
            <v>D1906013</v>
          </cell>
          <cell r="L52" t="str">
            <v>3</v>
          </cell>
          <cell r="M52">
            <v>630849</v>
          </cell>
          <cell r="N52">
            <v>857914</v>
          </cell>
          <cell r="O52" t="str">
            <v xml:space="preserve">1.4401/1.4404 TP316/316L </v>
          </cell>
          <cell r="P52" t="str">
            <v>316L</v>
          </cell>
          <cell r="Q52">
            <v>1.913</v>
          </cell>
          <cell r="R52">
            <v>1.913</v>
          </cell>
          <cell r="S52">
            <v>6.3E-2</v>
          </cell>
          <cell r="T52">
            <v>6.3E-2</v>
          </cell>
          <cell r="V52">
            <v>6.3E-2</v>
          </cell>
          <cell r="X52">
            <v>1672</v>
          </cell>
          <cell r="Y52">
            <v>1</v>
          </cell>
          <cell r="Z52">
            <v>874.01986408782011</v>
          </cell>
          <cell r="AA52" t="str">
            <v>1.913X0.063-316L</v>
          </cell>
          <cell r="AB52" t="str">
            <v>WAAF004860160B300014</v>
          </cell>
          <cell r="AC52" t="str">
            <v>D1906013</v>
          </cell>
          <cell r="AD52">
            <v>857914</v>
          </cell>
          <cell r="AE52">
            <v>0.02</v>
          </cell>
          <cell r="AF52">
            <v>1.65</v>
          </cell>
          <cell r="AG52">
            <v>3.3000000000000002E-2</v>
          </cell>
          <cell r="AH52">
            <v>1E-4</v>
          </cell>
          <cell r="AI52">
            <v>0.38</v>
          </cell>
          <cell r="AJ52">
            <v>16.68</v>
          </cell>
          <cell r="AK52">
            <v>10.09</v>
          </cell>
          <cell r="AL52">
            <v>0.05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Y52" t="str">
            <v/>
          </cell>
          <cell r="AZ52">
            <v>1.85</v>
          </cell>
          <cell r="BA52" t="str">
            <v>D1906013</v>
          </cell>
          <cell r="BB52" t="str">
            <v>CONFORM</v>
          </cell>
          <cell r="BC52" t="str">
            <v>CONFORM</v>
          </cell>
          <cell r="BD52" t="str">
            <v>CONFORM</v>
          </cell>
          <cell r="BE52" t="str">
            <v>CONFORM</v>
          </cell>
          <cell r="BF52" t="str">
            <v>CONFORM</v>
          </cell>
        </row>
        <row r="53">
          <cell r="A53">
            <v>43641</v>
          </cell>
          <cell r="B53" t="str">
            <v>D1906014-1</v>
          </cell>
          <cell r="C53" t="str">
            <v>012/19</v>
          </cell>
          <cell r="D53">
            <v>2</v>
          </cell>
          <cell r="E53">
            <v>43634</v>
          </cell>
          <cell r="F53" t="str">
            <v>DC</v>
          </cell>
          <cell r="G53" t="str">
            <v>On Time</v>
          </cell>
          <cell r="H53">
            <v>2406837437</v>
          </cell>
          <cell r="I53">
            <v>43641</v>
          </cell>
          <cell r="J53" t="str">
            <v>TKM</v>
          </cell>
          <cell r="K53" t="str">
            <v>D1906014</v>
          </cell>
          <cell r="L53" t="str">
            <v>1</v>
          </cell>
          <cell r="M53" t="str">
            <v>3108-3</v>
          </cell>
          <cell r="N53" t="str">
            <v>C25E</v>
          </cell>
          <cell r="O53" t="str">
            <v xml:space="preserve">1.4401/1.4404 TP316/316L </v>
          </cell>
          <cell r="P53" t="str">
            <v>316L</v>
          </cell>
          <cell r="Q53">
            <v>1.913</v>
          </cell>
          <cell r="R53">
            <v>1.9095</v>
          </cell>
          <cell r="S53">
            <v>4.7E-2</v>
          </cell>
          <cell r="T53">
            <v>4.8500000000000001E-2</v>
          </cell>
          <cell r="V53">
            <v>4.8500000000000001E-2</v>
          </cell>
          <cell r="X53">
            <v>2110</v>
          </cell>
          <cell r="Y53">
            <v>5</v>
          </cell>
          <cell r="Z53">
            <v>220.59592263460533</v>
          </cell>
          <cell r="AA53" t="str">
            <v>1.913X0.047-316L</v>
          </cell>
          <cell r="AB53" t="str">
            <v>WAAF004860120B300028</v>
          </cell>
          <cell r="AC53" t="str">
            <v>D1906014</v>
          </cell>
          <cell r="AD53" t="str">
            <v>C25E</v>
          </cell>
          <cell r="AE53">
            <v>1.32E-2</v>
          </cell>
          <cell r="AF53">
            <v>1.2705</v>
          </cell>
          <cell r="AG53">
            <v>3.3000000000000002E-2</v>
          </cell>
          <cell r="AH53">
            <v>1E-3</v>
          </cell>
          <cell r="AI53">
            <v>0.30349999999999999</v>
          </cell>
          <cell r="AJ53">
            <v>16.718499999999999</v>
          </cell>
          <cell r="AK53">
            <v>10.055</v>
          </cell>
          <cell r="AL53">
            <v>4.7399999999999998E-2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Y53" t="str">
            <v/>
          </cell>
          <cell r="AZ53">
            <v>2.12</v>
          </cell>
          <cell r="BA53" t="str">
            <v>D1906014</v>
          </cell>
          <cell r="BB53" t="str">
            <v>CONFORM</v>
          </cell>
          <cell r="BC53" t="str">
            <v>CONFORM</v>
          </cell>
          <cell r="BD53" t="str">
            <v>CONFORM</v>
          </cell>
          <cell r="BE53" t="str">
            <v>CONFORM</v>
          </cell>
          <cell r="BF53" t="str">
            <v>CONFORM</v>
          </cell>
        </row>
        <row r="54">
          <cell r="A54">
            <v>43641</v>
          </cell>
          <cell r="B54" t="str">
            <v>D1906014-2</v>
          </cell>
          <cell r="C54" t="str">
            <v>012/19</v>
          </cell>
          <cell r="D54">
            <v>2</v>
          </cell>
          <cell r="E54">
            <v>43634</v>
          </cell>
          <cell r="F54" t="str">
            <v>DC</v>
          </cell>
          <cell r="G54" t="str">
            <v>On Time</v>
          </cell>
          <cell r="H54">
            <v>2406837437</v>
          </cell>
          <cell r="I54">
            <v>43641</v>
          </cell>
          <cell r="J54" t="str">
            <v>TKM</v>
          </cell>
          <cell r="K54" t="str">
            <v>D1906014</v>
          </cell>
          <cell r="L54" t="str">
            <v>2</v>
          </cell>
          <cell r="M54" t="str">
            <v>3108-4</v>
          </cell>
          <cell r="N54" t="str">
            <v>C25E</v>
          </cell>
          <cell r="O54" t="str">
            <v xml:space="preserve">1.4401/1.4404 TP316/316L </v>
          </cell>
          <cell r="P54" t="str">
            <v>316L</v>
          </cell>
          <cell r="Q54">
            <v>1.913</v>
          </cell>
          <cell r="R54">
            <v>1.9105000000000001</v>
          </cell>
          <cell r="S54">
            <v>4.7E-2</v>
          </cell>
          <cell r="T54">
            <v>4.8500000000000001E-2</v>
          </cell>
          <cell r="V54">
            <v>4.8500000000000001E-2</v>
          </cell>
          <cell r="X54">
            <v>2110</v>
          </cell>
          <cell r="Y54">
            <v>5</v>
          </cell>
          <cell r="Z54">
            <v>220.59592263460533</v>
          </cell>
          <cell r="AA54" t="str">
            <v>1.913X0.047-316L</v>
          </cell>
          <cell r="AB54" t="str">
            <v>WAAF004860120B300028</v>
          </cell>
          <cell r="AC54" t="str">
            <v>D1906014</v>
          </cell>
          <cell r="AD54" t="str">
            <v>C25E</v>
          </cell>
          <cell r="AE54">
            <v>1.32E-2</v>
          </cell>
          <cell r="AF54">
            <v>1.2705</v>
          </cell>
          <cell r="AG54">
            <v>3.3000000000000002E-2</v>
          </cell>
          <cell r="AH54">
            <v>1E-3</v>
          </cell>
          <cell r="AI54">
            <v>0.30349999999999999</v>
          </cell>
          <cell r="AJ54">
            <v>16.718499999999999</v>
          </cell>
          <cell r="AK54">
            <v>10.055</v>
          </cell>
          <cell r="AL54">
            <v>4.7399999999999998E-2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Y54" t="str">
            <v/>
          </cell>
          <cell r="AZ54">
            <v>2.12</v>
          </cell>
          <cell r="BA54" t="str">
            <v>D1906014</v>
          </cell>
          <cell r="BB54" t="str">
            <v>CONFORM</v>
          </cell>
          <cell r="BC54" t="str">
            <v>CONFORM</v>
          </cell>
          <cell r="BD54" t="str">
            <v>CONFORM</v>
          </cell>
          <cell r="BE54" t="str">
            <v>CONFORM</v>
          </cell>
          <cell r="BF54" t="str">
            <v>CONFORM</v>
          </cell>
        </row>
        <row r="55">
          <cell r="A55">
            <v>43641</v>
          </cell>
          <cell r="B55" t="str">
            <v>D1906015-1</v>
          </cell>
          <cell r="C55" t="str">
            <v>012/19</v>
          </cell>
          <cell r="D55">
            <v>1</v>
          </cell>
          <cell r="E55">
            <v>43634</v>
          </cell>
          <cell r="F55" t="str">
            <v>DC</v>
          </cell>
          <cell r="G55" t="str">
            <v>On Time</v>
          </cell>
          <cell r="H55">
            <v>2406837435</v>
          </cell>
          <cell r="I55">
            <v>43641</v>
          </cell>
          <cell r="J55" t="str">
            <v>TKM</v>
          </cell>
          <cell r="K55" t="str">
            <v>D1906015</v>
          </cell>
          <cell r="L55" t="str">
            <v>1</v>
          </cell>
          <cell r="M55" t="str">
            <v>3108-1</v>
          </cell>
          <cell r="N55" t="str">
            <v>C25E</v>
          </cell>
          <cell r="O55" t="str">
            <v xml:space="preserve">1.4401/1.4404 TP316/316L </v>
          </cell>
          <cell r="P55" t="str">
            <v>316L</v>
          </cell>
          <cell r="Q55">
            <v>2.323</v>
          </cell>
          <cell r="R55">
            <v>2.323</v>
          </cell>
          <cell r="S55">
            <v>4.7E-2</v>
          </cell>
          <cell r="T55">
            <v>4.8500000000000001E-2</v>
          </cell>
          <cell r="V55">
            <v>4.8500000000000001E-2</v>
          </cell>
          <cell r="X55">
            <v>2994</v>
          </cell>
          <cell r="Y55">
            <v>6</v>
          </cell>
          <cell r="Z55">
            <v>214.80843736547567</v>
          </cell>
          <cell r="AA55" t="str">
            <v>2.323X0.047-316L</v>
          </cell>
          <cell r="AB55" t="str">
            <v>WAAF005900120B300027</v>
          </cell>
          <cell r="AC55" t="str">
            <v>D1906015</v>
          </cell>
          <cell r="AD55" t="str">
            <v>C25E</v>
          </cell>
          <cell r="AE55">
            <v>1.32E-2</v>
          </cell>
          <cell r="AF55">
            <v>1.2705</v>
          </cell>
          <cell r="AG55">
            <v>0.03</v>
          </cell>
          <cell r="AH55">
            <v>1E-3</v>
          </cell>
          <cell r="AI55">
            <v>0.30349999999999999</v>
          </cell>
          <cell r="AJ55">
            <v>16.718499999999999</v>
          </cell>
          <cell r="AK55">
            <v>10.050000000000001</v>
          </cell>
          <cell r="AL55">
            <v>4.7399999999999998E-2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Y55" t="str">
            <v/>
          </cell>
          <cell r="AZ55">
            <v>2.12</v>
          </cell>
          <cell r="BA55" t="str">
            <v>D1906015</v>
          </cell>
          <cell r="BB55" t="str">
            <v>CONFORM</v>
          </cell>
          <cell r="BC55" t="str">
            <v>CONFORM</v>
          </cell>
          <cell r="BD55" t="str">
            <v>CONFORM</v>
          </cell>
          <cell r="BE55" t="str">
            <v>CONFORM</v>
          </cell>
          <cell r="BF55" t="str">
            <v>CONFORM</v>
          </cell>
        </row>
        <row r="56">
          <cell r="A56">
            <v>43641</v>
          </cell>
          <cell r="B56" t="str">
            <v>D1906015-2</v>
          </cell>
          <cell r="C56" t="str">
            <v>012/19</v>
          </cell>
          <cell r="D56">
            <v>1</v>
          </cell>
          <cell r="E56">
            <v>43634</v>
          </cell>
          <cell r="F56" t="str">
            <v>DC</v>
          </cell>
          <cell r="G56" t="str">
            <v>On Time</v>
          </cell>
          <cell r="H56">
            <v>2406837435</v>
          </cell>
          <cell r="I56">
            <v>43641</v>
          </cell>
          <cell r="J56" t="str">
            <v>TKM</v>
          </cell>
          <cell r="K56" t="str">
            <v>D1906015</v>
          </cell>
          <cell r="L56" t="str">
            <v>2</v>
          </cell>
          <cell r="M56" t="str">
            <v>3108-2</v>
          </cell>
          <cell r="N56" t="str">
            <v>C25E</v>
          </cell>
          <cell r="O56" t="str">
            <v xml:space="preserve">1.4401/1.4404 TP316/316L </v>
          </cell>
          <cell r="P56" t="str">
            <v>316L</v>
          </cell>
          <cell r="Q56">
            <v>2.323</v>
          </cell>
          <cell r="R56">
            <v>2.3290000000000002</v>
          </cell>
          <cell r="S56">
            <v>4.7E-2</v>
          </cell>
          <cell r="T56">
            <v>4.9000000000000002E-2</v>
          </cell>
          <cell r="V56">
            <v>4.9000000000000002E-2</v>
          </cell>
          <cell r="X56">
            <v>2495</v>
          </cell>
          <cell r="Y56">
            <v>5</v>
          </cell>
          <cell r="Z56">
            <v>214.80843736547567</v>
          </cell>
          <cell r="AA56" t="str">
            <v>2.323X0.047-316L</v>
          </cell>
          <cell r="AB56" t="str">
            <v>WAAF005900120B300027</v>
          </cell>
          <cell r="AC56" t="str">
            <v>D1906015</v>
          </cell>
          <cell r="AD56" t="str">
            <v>C25E</v>
          </cell>
          <cell r="AE56">
            <v>1.32E-2</v>
          </cell>
          <cell r="AF56">
            <v>1.2705</v>
          </cell>
          <cell r="AG56">
            <v>0.03</v>
          </cell>
          <cell r="AH56">
            <v>1E-3</v>
          </cell>
          <cell r="AI56">
            <v>0.30349999999999999</v>
          </cell>
          <cell r="AJ56">
            <v>16.718499999999999</v>
          </cell>
          <cell r="AK56">
            <v>10.050000000000001</v>
          </cell>
          <cell r="AL56">
            <v>4.7399999999999998E-2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Y56" t="str">
            <v/>
          </cell>
          <cell r="AZ56">
            <v>2.12</v>
          </cell>
          <cell r="BA56" t="str">
            <v>D1906015</v>
          </cell>
          <cell r="BB56" t="str">
            <v>CONFORM</v>
          </cell>
          <cell r="BC56" t="str">
            <v>CONFORM</v>
          </cell>
          <cell r="BD56" t="str">
            <v>CONFORM</v>
          </cell>
          <cell r="BE56" t="str">
            <v>CONFORM</v>
          </cell>
          <cell r="BF56" t="str">
            <v>CONFORM</v>
          </cell>
        </row>
        <row r="57">
          <cell r="A57">
            <v>43648</v>
          </cell>
          <cell r="B57" t="str">
            <v>D1907001-1</v>
          </cell>
          <cell r="C57" t="str">
            <v>010/19</v>
          </cell>
          <cell r="D57">
            <v>1</v>
          </cell>
          <cell r="E57">
            <v>43637</v>
          </cell>
          <cell r="F57" t="str">
            <v>DC</v>
          </cell>
          <cell r="G57" t="str">
            <v>Late</v>
          </cell>
          <cell r="H57">
            <v>643</v>
          </cell>
          <cell r="I57">
            <v>43647</v>
          </cell>
          <cell r="J57" t="str">
            <v>ADTI</v>
          </cell>
          <cell r="K57" t="str">
            <v>D1907001</v>
          </cell>
          <cell r="L57" t="str">
            <v>1</v>
          </cell>
          <cell r="M57" t="str">
            <v>A1905124</v>
          </cell>
          <cell r="N57" t="str">
            <v>SE09944</v>
          </cell>
          <cell r="O57" t="str">
            <v xml:space="preserve">1.4306 TP304L </v>
          </cell>
          <cell r="P57" t="str">
            <v>304L</v>
          </cell>
          <cell r="Q57">
            <v>1.913</v>
          </cell>
          <cell r="R57">
            <v>1.9135</v>
          </cell>
          <cell r="S57">
            <v>4.7E-2</v>
          </cell>
          <cell r="T57">
            <v>4.8500000000000001E-2</v>
          </cell>
          <cell r="V57">
            <v>4.8500000000000001E-2</v>
          </cell>
          <cell r="X57">
            <v>5071</v>
          </cell>
          <cell r="Y57">
            <v>5</v>
          </cell>
          <cell r="Z57">
            <v>530.16204913748038</v>
          </cell>
          <cell r="AA57" t="str">
            <v>1.913X0.047-304L</v>
          </cell>
          <cell r="AB57" t="str">
            <v>WAAC004860119B300023</v>
          </cell>
          <cell r="AC57" t="str">
            <v>D1907001</v>
          </cell>
          <cell r="AD57" t="str">
            <v>SE09944</v>
          </cell>
          <cell r="AE57">
            <v>1.7600000000000001E-2</v>
          </cell>
          <cell r="AF57">
            <v>1.4219999999999999</v>
          </cell>
          <cell r="AG57">
            <v>3.15E-2</v>
          </cell>
          <cell r="AH57">
            <v>4.4999999999999997E-3</v>
          </cell>
          <cell r="AI57">
            <v>0.36199999999999999</v>
          </cell>
          <cell r="AJ57">
            <v>18.091999999999999</v>
          </cell>
          <cell r="AK57">
            <v>8.07</v>
          </cell>
          <cell r="AL57" t="str">
            <v>424(ppm)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Y57" t="str">
            <v/>
          </cell>
          <cell r="AZ57">
            <v>1.232</v>
          </cell>
          <cell r="BA57" t="str">
            <v>D1907001</v>
          </cell>
          <cell r="BB57" t="str">
            <v>CONFORM</v>
          </cell>
          <cell r="BC57" t="str">
            <v>CONFORM</v>
          </cell>
          <cell r="BD57" t="str">
            <v>CONFORM</v>
          </cell>
          <cell r="BE57" t="str">
            <v>CONFORM</v>
          </cell>
          <cell r="BF57" t="str">
            <v>CONFORM</v>
          </cell>
        </row>
        <row r="58">
          <cell r="A58">
            <v>43648</v>
          </cell>
          <cell r="B58" t="str">
            <v>D1907001-2</v>
          </cell>
          <cell r="C58" t="str">
            <v>010/19</v>
          </cell>
          <cell r="D58">
            <v>1</v>
          </cell>
          <cell r="E58">
            <v>43637</v>
          </cell>
          <cell r="F58" t="str">
            <v>DC</v>
          </cell>
          <cell r="G58" t="str">
            <v>Late</v>
          </cell>
          <cell r="H58">
            <v>643</v>
          </cell>
          <cell r="I58">
            <v>43647</v>
          </cell>
          <cell r="J58" t="str">
            <v>ADTI</v>
          </cell>
          <cell r="K58" t="str">
            <v>D1907001</v>
          </cell>
          <cell r="L58" t="str">
            <v>2</v>
          </cell>
          <cell r="M58" t="str">
            <v>A1905124</v>
          </cell>
          <cell r="N58" t="str">
            <v>SE09944</v>
          </cell>
          <cell r="O58" t="str">
            <v xml:space="preserve">1.4306 TP304L </v>
          </cell>
          <cell r="P58" t="str">
            <v>304L</v>
          </cell>
          <cell r="Q58">
            <v>1.913</v>
          </cell>
          <cell r="R58">
            <v>1.9115</v>
          </cell>
          <cell r="S58">
            <v>4.7E-2</v>
          </cell>
          <cell r="T58">
            <v>4.8500000000000001E-2</v>
          </cell>
          <cell r="V58">
            <v>4.8500000000000001E-2</v>
          </cell>
          <cell r="X58">
            <v>6102</v>
          </cell>
          <cell r="Y58">
            <v>6</v>
          </cell>
          <cell r="Z58">
            <v>531.62571876633558</v>
          </cell>
          <cell r="AA58" t="str">
            <v>1.913X0.047-304L</v>
          </cell>
          <cell r="AB58" t="str">
            <v>WAAC004860119B300023</v>
          </cell>
          <cell r="AC58" t="str">
            <v>D1907001</v>
          </cell>
          <cell r="AD58" t="str">
            <v>SE09944</v>
          </cell>
          <cell r="AE58">
            <v>1.7600000000000001E-2</v>
          </cell>
          <cell r="AF58">
            <v>1.4219999999999999</v>
          </cell>
          <cell r="AG58">
            <v>3.15E-2</v>
          </cell>
          <cell r="AH58">
            <v>4.4999999999999997E-3</v>
          </cell>
          <cell r="AI58">
            <v>0.36199999999999999</v>
          </cell>
          <cell r="AJ58">
            <v>18.091999999999999</v>
          </cell>
          <cell r="AK58">
            <v>8.07</v>
          </cell>
          <cell r="AL58" t="str">
            <v>424(ppm)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Y58" t="str">
            <v/>
          </cell>
          <cell r="AZ58">
            <v>1.232</v>
          </cell>
          <cell r="BA58" t="str">
            <v>D1907001</v>
          </cell>
          <cell r="BB58" t="str">
            <v>CONFORM</v>
          </cell>
          <cell r="BC58" t="str">
            <v>CONFORM</v>
          </cell>
          <cell r="BD58" t="str">
            <v>CONFORM</v>
          </cell>
          <cell r="BE58" t="str">
            <v>CONFORM</v>
          </cell>
          <cell r="BF58" t="str">
            <v>CONFORM</v>
          </cell>
        </row>
        <row r="59">
          <cell r="A59">
            <v>43648</v>
          </cell>
          <cell r="B59" t="str">
            <v>D1907002-1</v>
          </cell>
          <cell r="C59" t="str">
            <v>010/19</v>
          </cell>
          <cell r="D59">
            <v>2</v>
          </cell>
          <cell r="E59">
            <v>43637</v>
          </cell>
          <cell r="F59" t="str">
            <v>DC</v>
          </cell>
          <cell r="G59" t="str">
            <v>Late</v>
          </cell>
          <cell r="H59">
            <v>643</v>
          </cell>
          <cell r="I59">
            <v>43647</v>
          </cell>
          <cell r="J59" t="str">
            <v>ADTI</v>
          </cell>
          <cell r="K59" t="str">
            <v>D1907002</v>
          </cell>
          <cell r="L59" t="str">
            <v>1</v>
          </cell>
          <cell r="M59" t="str">
            <v>A1905123</v>
          </cell>
          <cell r="N59" t="str">
            <v>0454079</v>
          </cell>
          <cell r="O59" t="str">
            <v xml:space="preserve">1.4306 TP304L </v>
          </cell>
          <cell r="P59" t="str">
            <v>304L</v>
          </cell>
          <cell r="Q59">
            <v>1.87</v>
          </cell>
          <cell r="R59">
            <v>1.88</v>
          </cell>
          <cell r="S59">
            <v>6.3E-2</v>
          </cell>
          <cell r="T59">
            <v>6.25E-2</v>
          </cell>
          <cell r="V59">
            <v>6.25E-2</v>
          </cell>
          <cell r="X59">
            <v>3942</v>
          </cell>
          <cell r="Y59">
            <v>6</v>
          </cell>
          <cell r="Z59">
            <v>351.3368983957219</v>
          </cell>
          <cell r="AA59" t="str">
            <v>1.87X0.063-304L</v>
          </cell>
          <cell r="AB59" t="str">
            <v>WAAC004750160B300024</v>
          </cell>
          <cell r="AC59" t="str">
            <v>D1907002</v>
          </cell>
          <cell r="AD59" t="str">
            <v>0454079</v>
          </cell>
          <cell r="AE59">
            <v>2.7E-2</v>
          </cell>
          <cell r="AF59">
            <v>1.71</v>
          </cell>
          <cell r="AG59">
            <v>3.1E-2</v>
          </cell>
          <cell r="AH59">
            <v>1E-3</v>
          </cell>
          <cell r="AI59">
            <v>0.32</v>
          </cell>
          <cell r="AJ59">
            <v>18.03</v>
          </cell>
          <cell r="AK59">
            <v>8.0299999999999994</v>
          </cell>
          <cell r="AL59">
            <v>0.05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Y59" t="str">
            <v/>
          </cell>
          <cell r="AZ59">
            <v>1.2058</v>
          </cell>
          <cell r="BA59" t="str">
            <v>D1907002</v>
          </cell>
          <cell r="BB59" t="str">
            <v>CONFORM</v>
          </cell>
          <cell r="BC59" t="str">
            <v>CONFORM</v>
          </cell>
          <cell r="BD59" t="str">
            <v>CONFORM</v>
          </cell>
          <cell r="BE59" t="str">
            <v>CONFORM</v>
          </cell>
          <cell r="BF59" t="str">
            <v>CONFORM</v>
          </cell>
        </row>
        <row r="60">
          <cell r="A60">
            <v>43648</v>
          </cell>
          <cell r="B60" t="str">
            <v>D1907002-2</v>
          </cell>
          <cell r="C60" t="str">
            <v>010/19</v>
          </cell>
          <cell r="D60">
            <v>2</v>
          </cell>
          <cell r="E60">
            <v>43637</v>
          </cell>
          <cell r="F60" t="str">
            <v>DC</v>
          </cell>
          <cell r="G60" t="str">
            <v>Late</v>
          </cell>
          <cell r="H60">
            <v>643</v>
          </cell>
          <cell r="I60">
            <v>43647</v>
          </cell>
          <cell r="J60" t="str">
            <v>ADTI</v>
          </cell>
          <cell r="K60" t="str">
            <v>D1907002</v>
          </cell>
          <cell r="L60" t="str">
            <v>2</v>
          </cell>
          <cell r="M60" t="str">
            <v>A1905123</v>
          </cell>
          <cell r="N60" t="str">
            <v>0454079</v>
          </cell>
          <cell r="O60" t="str">
            <v xml:space="preserve">1.4306 TP304L </v>
          </cell>
          <cell r="P60" t="str">
            <v>304L</v>
          </cell>
          <cell r="Q60">
            <v>1.87</v>
          </cell>
          <cell r="R60">
            <v>1.8685</v>
          </cell>
          <cell r="S60">
            <v>6.3E-2</v>
          </cell>
          <cell r="T60">
            <v>6.1499999999999999E-2</v>
          </cell>
          <cell r="V60">
            <v>6.1499999999999999E-2</v>
          </cell>
          <cell r="X60">
            <v>3285</v>
          </cell>
          <cell r="Y60">
            <v>5</v>
          </cell>
          <cell r="Z60">
            <v>351.3368983957219</v>
          </cell>
          <cell r="AA60" t="str">
            <v>1.87X0.063-304L</v>
          </cell>
          <cell r="AB60" t="str">
            <v>WAAC004750160B300024</v>
          </cell>
          <cell r="AC60" t="str">
            <v>D1907002</v>
          </cell>
          <cell r="AD60" t="str">
            <v>0454079</v>
          </cell>
          <cell r="AE60">
            <v>2.7E-2</v>
          </cell>
          <cell r="AF60">
            <v>1.71</v>
          </cell>
          <cell r="AG60">
            <v>3.1E-2</v>
          </cell>
          <cell r="AH60">
            <v>1E-3</v>
          </cell>
          <cell r="AI60">
            <v>0.32</v>
          </cell>
          <cell r="AJ60">
            <v>18.03</v>
          </cell>
          <cell r="AK60">
            <v>8.0299999999999994</v>
          </cell>
          <cell r="AL60">
            <v>0.05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Y60" t="str">
            <v/>
          </cell>
          <cell r="AZ60">
            <v>1.2058</v>
          </cell>
          <cell r="BA60" t="str">
            <v>D1907002</v>
          </cell>
          <cell r="BB60" t="str">
            <v>CONFORM</v>
          </cell>
          <cell r="BC60" t="str">
            <v>CONFORM</v>
          </cell>
          <cell r="BD60" t="str">
            <v>CONFORM</v>
          </cell>
          <cell r="BE60" t="str">
            <v>CONFORM</v>
          </cell>
          <cell r="BF60" t="str">
            <v>CONFORM</v>
          </cell>
        </row>
        <row r="61">
          <cell r="A61">
            <v>43648</v>
          </cell>
          <cell r="B61" t="str">
            <v>D1907002-3</v>
          </cell>
          <cell r="C61" t="str">
            <v>010/19</v>
          </cell>
          <cell r="D61">
            <v>2</v>
          </cell>
          <cell r="E61">
            <v>43637</v>
          </cell>
          <cell r="F61" t="str">
            <v>DC</v>
          </cell>
          <cell r="G61" t="str">
            <v>Late</v>
          </cell>
          <cell r="H61">
            <v>643</v>
          </cell>
          <cell r="I61">
            <v>43647</v>
          </cell>
          <cell r="J61" t="str">
            <v>ADTI</v>
          </cell>
          <cell r="K61" t="str">
            <v>D1907002</v>
          </cell>
          <cell r="L61" t="str">
            <v>3</v>
          </cell>
          <cell r="M61" t="str">
            <v>A1905123</v>
          </cell>
          <cell r="N61" t="str">
            <v>0454079</v>
          </cell>
          <cell r="O61" t="str">
            <v xml:space="preserve">1.4306 TP304L </v>
          </cell>
          <cell r="P61" t="str">
            <v>304L</v>
          </cell>
          <cell r="Q61">
            <v>1.87</v>
          </cell>
          <cell r="R61">
            <v>1.8680000000000001</v>
          </cell>
          <cell r="S61">
            <v>6.3E-2</v>
          </cell>
          <cell r="T61">
            <v>6.0999999999999999E-2</v>
          </cell>
          <cell r="V61">
            <v>6.0999999999999999E-2</v>
          </cell>
          <cell r="X61">
            <v>3289</v>
          </cell>
          <cell r="Y61">
            <v>5</v>
          </cell>
          <cell r="Z61">
            <v>351.76470588235287</v>
          </cell>
          <cell r="AA61" t="str">
            <v>1.87X0.063-304L</v>
          </cell>
          <cell r="AB61" t="str">
            <v>WAAC004750160B300024</v>
          </cell>
          <cell r="AC61" t="str">
            <v>D1907002</v>
          </cell>
          <cell r="AD61" t="str">
            <v>0454079</v>
          </cell>
          <cell r="AE61">
            <v>2.7E-2</v>
          </cell>
          <cell r="AF61">
            <v>1.71</v>
          </cell>
          <cell r="AG61">
            <v>3.1E-2</v>
          </cell>
          <cell r="AH61">
            <v>1E-3</v>
          </cell>
          <cell r="AI61">
            <v>0.32</v>
          </cell>
          <cell r="AJ61">
            <v>18.03</v>
          </cell>
          <cell r="AK61">
            <v>8.0299999999999994</v>
          </cell>
          <cell r="AL61">
            <v>0.05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Y61" t="str">
            <v/>
          </cell>
          <cell r="AZ61">
            <v>1.2058</v>
          </cell>
          <cell r="BA61" t="str">
            <v>D1907002</v>
          </cell>
          <cell r="BB61" t="str">
            <v>CONFORM</v>
          </cell>
          <cell r="BC61" t="str">
            <v>CONFORM</v>
          </cell>
          <cell r="BD61" t="str">
            <v>CONFORM</v>
          </cell>
          <cell r="BE61" t="str">
            <v>CONFORM</v>
          </cell>
          <cell r="BF61" t="str">
            <v>CONFORM</v>
          </cell>
        </row>
        <row r="62">
          <cell r="A62">
            <v>43648</v>
          </cell>
          <cell r="B62" t="str">
            <v>D1907003-1</v>
          </cell>
          <cell r="C62" t="str">
            <v>010/19</v>
          </cell>
          <cell r="D62">
            <v>3</v>
          </cell>
          <cell r="E62">
            <v>43637</v>
          </cell>
          <cell r="F62" t="str">
            <v>DC</v>
          </cell>
          <cell r="G62" t="str">
            <v>Late</v>
          </cell>
          <cell r="H62">
            <v>643</v>
          </cell>
          <cell r="I62">
            <v>43647</v>
          </cell>
          <cell r="J62" t="str">
            <v>ADTI</v>
          </cell>
          <cell r="K62" t="str">
            <v>D1907003</v>
          </cell>
          <cell r="L62" t="str">
            <v>1</v>
          </cell>
          <cell r="M62" t="str">
            <v>A1905125</v>
          </cell>
          <cell r="N62" t="str">
            <v>0527252</v>
          </cell>
          <cell r="O62" t="str">
            <v xml:space="preserve">1.4306 TP304L </v>
          </cell>
          <cell r="P62" t="str">
            <v>304L</v>
          </cell>
          <cell r="Q62">
            <v>2.2749999999999999</v>
          </cell>
          <cell r="R62">
            <v>2.2785000000000002</v>
          </cell>
          <cell r="S62">
            <v>6.3E-2</v>
          </cell>
          <cell r="T62">
            <v>6.5000000000000002E-2</v>
          </cell>
          <cell r="V62">
            <v>6.5000000000000002E-2</v>
          </cell>
          <cell r="X62">
            <v>2976</v>
          </cell>
          <cell r="Y62">
            <v>3</v>
          </cell>
          <cell r="Z62">
            <v>436.04395604395609</v>
          </cell>
          <cell r="AA62" t="str">
            <v>2.275X0.063-304L</v>
          </cell>
          <cell r="AB62" t="e">
            <v>#N/A</v>
          </cell>
          <cell r="AC62" t="str">
            <v>D1907003</v>
          </cell>
          <cell r="AD62" t="str">
            <v>0527252</v>
          </cell>
          <cell r="AE62">
            <v>2.9000000000000001E-2</v>
          </cell>
          <cell r="AF62">
            <v>1.74</v>
          </cell>
          <cell r="AG62">
            <v>0.03</v>
          </cell>
          <cell r="AH62">
            <v>1E-3</v>
          </cell>
          <cell r="AI62">
            <v>0.32</v>
          </cell>
          <cell r="AJ62">
            <v>18.05</v>
          </cell>
          <cell r="AK62">
            <v>8.0299999999999994</v>
          </cell>
          <cell r="AL62">
            <v>6.9000000000000006E-2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Y62" t="str">
            <v/>
          </cell>
          <cell r="AZ62">
            <v>1.2058</v>
          </cell>
          <cell r="BA62" t="str">
            <v>D1907003</v>
          </cell>
          <cell r="BB62" t="str">
            <v>CONFORM</v>
          </cell>
          <cell r="BC62" t="str">
            <v>CONFORM</v>
          </cell>
          <cell r="BD62" t="str">
            <v>CONFORM</v>
          </cell>
          <cell r="BE62" t="str">
            <v>CONFORM</v>
          </cell>
          <cell r="BF62" t="str">
            <v>CONFORM</v>
          </cell>
        </row>
        <row r="63">
          <cell r="A63">
            <v>43648</v>
          </cell>
          <cell r="B63" t="str">
            <v>D1907004-1</v>
          </cell>
          <cell r="C63" t="str">
            <v>010/19</v>
          </cell>
          <cell r="D63">
            <v>3</v>
          </cell>
          <cell r="E63">
            <v>43637</v>
          </cell>
          <cell r="F63" t="str">
            <v>DC</v>
          </cell>
          <cell r="G63" t="str">
            <v>Late</v>
          </cell>
          <cell r="H63">
            <v>643</v>
          </cell>
          <cell r="I63">
            <v>43647</v>
          </cell>
          <cell r="J63" t="str">
            <v>ADTI</v>
          </cell>
          <cell r="K63" t="str">
            <v>D1907004</v>
          </cell>
          <cell r="L63" t="str">
            <v>1</v>
          </cell>
          <cell r="M63" t="str">
            <v>A1905126</v>
          </cell>
          <cell r="N63" t="str">
            <v>0454079</v>
          </cell>
          <cell r="O63" t="str">
            <v xml:space="preserve">1.4306 TP304L </v>
          </cell>
          <cell r="P63" t="str">
            <v>304L</v>
          </cell>
          <cell r="Q63">
            <v>2.2749999999999999</v>
          </cell>
          <cell r="R63">
            <v>2.2770000000000001</v>
          </cell>
          <cell r="S63">
            <v>6.3E-2</v>
          </cell>
          <cell r="T63">
            <v>6.7500000000000004E-2</v>
          </cell>
          <cell r="V63">
            <v>6.7500000000000004E-2</v>
          </cell>
          <cell r="X63">
            <v>1596</v>
          </cell>
          <cell r="Y63">
            <v>2</v>
          </cell>
          <cell r="Z63">
            <v>350.76923076923077</v>
          </cell>
          <cell r="AA63" t="str">
            <v>2.275X0.063-304L</v>
          </cell>
          <cell r="AB63" t="e">
            <v>#N/A</v>
          </cell>
          <cell r="AC63" t="str">
            <v>D1907004</v>
          </cell>
          <cell r="AD63" t="str">
            <v>0454079</v>
          </cell>
          <cell r="AE63">
            <v>2.7E-2</v>
          </cell>
          <cell r="AF63">
            <v>1.71</v>
          </cell>
          <cell r="AG63">
            <v>3.1E-2</v>
          </cell>
          <cell r="AH63">
            <v>0</v>
          </cell>
          <cell r="AI63">
            <v>0.32</v>
          </cell>
          <cell r="AJ63">
            <v>18.03</v>
          </cell>
          <cell r="AK63">
            <v>8.0299999999999994</v>
          </cell>
          <cell r="AL63">
            <v>5.8000000000000003E-2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Y63" t="str">
            <v/>
          </cell>
          <cell r="AZ63">
            <v>1.2058</v>
          </cell>
          <cell r="BA63" t="str">
            <v>D1907004</v>
          </cell>
          <cell r="BB63" t="str">
            <v>CONFORM</v>
          </cell>
          <cell r="BC63" t="str">
            <v>CONFORM</v>
          </cell>
          <cell r="BD63" t="str">
            <v>CONFORM</v>
          </cell>
          <cell r="BE63" t="str">
            <v>CONFORM</v>
          </cell>
          <cell r="BF63" t="str">
            <v>CONFORM</v>
          </cell>
        </row>
        <row r="64">
          <cell r="A64">
            <v>43648</v>
          </cell>
          <cell r="B64" t="str">
            <v>D1907005-1</v>
          </cell>
          <cell r="C64" t="str">
            <v>010/19</v>
          </cell>
          <cell r="D64">
            <v>4</v>
          </cell>
          <cell r="E64">
            <v>43637</v>
          </cell>
          <cell r="F64" t="str">
            <v>DC</v>
          </cell>
          <cell r="G64" t="str">
            <v>Late</v>
          </cell>
          <cell r="H64">
            <v>643</v>
          </cell>
          <cell r="I64">
            <v>43647</v>
          </cell>
          <cell r="J64" t="str">
            <v>ADTI</v>
          </cell>
          <cell r="K64" t="str">
            <v>D1907005</v>
          </cell>
          <cell r="L64" t="str">
            <v>1</v>
          </cell>
          <cell r="M64" t="str">
            <v>A1905119</v>
          </cell>
          <cell r="N64" t="str">
            <v>120504</v>
          </cell>
          <cell r="O64" t="str">
            <v>2.4856 UNS N06625</v>
          </cell>
          <cell r="P64" t="str">
            <v>A625</v>
          </cell>
          <cell r="Q64">
            <v>3.9009999999999998</v>
          </cell>
          <cell r="R64">
            <v>3.899</v>
          </cell>
          <cell r="S64">
            <v>5.0999999999999997E-2</v>
          </cell>
          <cell r="T64">
            <v>5.2499999999999998E-2</v>
          </cell>
          <cell r="V64">
            <v>5.2499999999999998E-2</v>
          </cell>
          <cell r="X64">
            <v>2743</v>
          </cell>
          <cell r="Y64">
            <v>2</v>
          </cell>
          <cell r="Z64">
            <v>351.57651884132275</v>
          </cell>
          <cell r="AA64" t="str">
            <v>3.901X0.051-A625</v>
          </cell>
          <cell r="AB64" t="e">
            <v>#N/A</v>
          </cell>
          <cell r="AC64" t="str">
            <v>D1907005</v>
          </cell>
          <cell r="AD64" t="str">
            <v>120504</v>
          </cell>
          <cell r="AE64">
            <v>0.02</v>
          </cell>
          <cell r="AF64">
            <v>0.08</v>
          </cell>
          <cell r="AG64">
            <v>8.0000000000000002E-3</v>
          </cell>
          <cell r="AH64">
            <v>2E-3</v>
          </cell>
          <cell r="AI64">
            <v>0.02</v>
          </cell>
          <cell r="AJ64">
            <v>21.4</v>
          </cell>
          <cell r="AK64">
            <v>61.3</v>
          </cell>
          <cell r="AL64">
            <v>3.27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Y64" t="str">
            <v/>
          </cell>
          <cell r="AZ64">
            <v>10.013500000000001</v>
          </cell>
          <cell r="BA64" t="str">
            <v>D1907005</v>
          </cell>
          <cell r="BB64" t="str">
            <v>CONFORM</v>
          </cell>
          <cell r="BC64" t="str">
            <v>CONFORM</v>
          </cell>
          <cell r="BD64" t="str">
            <v>CONFORM</v>
          </cell>
          <cell r="BE64" t="str">
            <v>CONFORM</v>
          </cell>
          <cell r="BF64" t="str">
            <v>CONFORM</v>
          </cell>
        </row>
        <row r="65">
          <cell r="A65">
            <v>43648</v>
          </cell>
          <cell r="B65" t="str">
            <v>D1907006-1</v>
          </cell>
          <cell r="C65" t="str">
            <v>010/19</v>
          </cell>
          <cell r="D65">
            <v>2</v>
          </cell>
          <cell r="E65">
            <v>43637</v>
          </cell>
          <cell r="F65" t="str">
            <v>DC</v>
          </cell>
          <cell r="G65" t="str">
            <v>Late</v>
          </cell>
          <cell r="H65">
            <v>643</v>
          </cell>
          <cell r="I65">
            <v>43647</v>
          </cell>
          <cell r="J65" t="str">
            <v>ADTI</v>
          </cell>
          <cell r="K65" t="str">
            <v>D1907006</v>
          </cell>
          <cell r="L65" t="str">
            <v>1</v>
          </cell>
          <cell r="M65" t="str">
            <v>A1905122</v>
          </cell>
          <cell r="N65">
            <v>204980</v>
          </cell>
          <cell r="O65" t="str">
            <v xml:space="preserve">1.4306 TP304L </v>
          </cell>
          <cell r="P65" t="str">
            <v>304L</v>
          </cell>
          <cell r="Q65">
            <v>1.87</v>
          </cell>
          <cell r="R65">
            <v>1.8674999999999999</v>
          </cell>
          <cell r="S65">
            <v>6.3E-2</v>
          </cell>
          <cell r="T65">
            <v>6.2E-2</v>
          </cell>
          <cell r="V65">
            <v>6.2E-2</v>
          </cell>
          <cell r="X65">
            <v>487</v>
          </cell>
          <cell r="Y65">
            <v>1</v>
          </cell>
          <cell r="Z65">
            <v>260.42780748663102</v>
          </cell>
          <cell r="AA65" t="str">
            <v>1.87X0.063-304L</v>
          </cell>
          <cell r="AB65" t="str">
            <v>WAAC004750160B300024</v>
          </cell>
          <cell r="AC65" t="str">
            <v>D1907006</v>
          </cell>
          <cell r="AD65">
            <v>204980</v>
          </cell>
          <cell r="AE65">
            <v>2.1999999999999999E-2</v>
          </cell>
          <cell r="AF65">
            <v>1.44</v>
          </cell>
          <cell r="AG65">
            <v>0.03</v>
          </cell>
          <cell r="AH65">
            <v>3.8E-3</v>
          </cell>
          <cell r="AI65">
            <v>0.39</v>
          </cell>
          <cell r="AJ65">
            <v>18.09</v>
          </cell>
          <cell r="AK65">
            <v>8</v>
          </cell>
          <cell r="AL65">
            <v>7.1999999999999995E-2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Y65" t="str">
            <v/>
          </cell>
          <cell r="AZ65">
            <v>1.2058</v>
          </cell>
          <cell r="BA65" t="str">
            <v>D1907006</v>
          </cell>
          <cell r="BB65" t="str">
            <v>CONFORM</v>
          </cell>
          <cell r="BC65" t="str">
            <v>CONFORM</v>
          </cell>
          <cell r="BD65" t="str">
            <v>CONFORM</v>
          </cell>
          <cell r="BE65" t="str">
            <v>CONFORM</v>
          </cell>
          <cell r="BF65" t="str">
            <v>CONFORM</v>
          </cell>
        </row>
        <row r="66">
          <cell r="A66">
            <v>43648</v>
          </cell>
          <cell r="B66" t="str">
            <v>D1907007-1</v>
          </cell>
          <cell r="C66" t="str">
            <v>009/19</v>
          </cell>
          <cell r="D66">
            <v>1</v>
          </cell>
          <cell r="E66" t="str">
            <v>JULY 2019</v>
          </cell>
          <cell r="F66" t="str">
            <v>DC</v>
          </cell>
          <cell r="G66" t="str">
            <v>On Time</v>
          </cell>
          <cell r="H66" t="str">
            <v>L281258</v>
          </cell>
          <cell r="I66">
            <v>43647</v>
          </cell>
          <cell r="J66" t="str">
            <v>ATI</v>
          </cell>
          <cell r="K66" t="str">
            <v>D1907007</v>
          </cell>
          <cell r="L66" t="str">
            <v>1</v>
          </cell>
          <cell r="M66">
            <v>631667</v>
          </cell>
          <cell r="N66">
            <v>527784</v>
          </cell>
          <cell r="O66" t="str">
            <v>2.4856 UNS N06625</v>
          </cell>
          <cell r="P66" t="str">
            <v>A625</v>
          </cell>
          <cell r="Q66">
            <v>3.9</v>
          </cell>
          <cell r="R66">
            <v>3.9085000000000001</v>
          </cell>
          <cell r="S66">
            <v>4.7E-2</v>
          </cell>
          <cell r="T66">
            <v>0.05</v>
          </cell>
          <cell r="V66">
            <v>0.05</v>
          </cell>
          <cell r="X66">
            <v>1536</v>
          </cell>
          <cell r="Y66">
            <v>4</v>
          </cell>
          <cell r="Z66">
            <v>98.461538461538467</v>
          </cell>
          <cell r="AA66" t="str">
            <v>3.9X0.047-A625</v>
          </cell>
          <cell r="AB66" t="str">
            <v>WABG009900120B900022</v>
          </cell>
          <cell r="AC66" t="str">
            <v>D1907007</v>
          </cell>
          <cell r="AD66">
            <v>527784</v>
          </cell>
          <cell r="AE66">
            <v>0.04</v>
          </cell>
          <cell r="AF66">
            <v>0.32</v>
          </cell>
          <cell r="AG66">
            <v>7.0000000000000001E-3</v>
          </cell>
          <cell r="AH66">
            <v>2.0000000000000001E-4</v>
          </cell>
          <cell r="AI66">
            <v>0.19</v>
          </cell>
          <cell r="AJ66">
            <v>22</v>
          </cell>
          <cell r="AK66">
            <v>60.7</v>
          </cell>
          <cell r="AL66" t="str">
            <v>n/a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Y66" t="str">
            <v/>
          </cell>
          <cell r="AZ66">
            <v>13.22</v>
          </cell>
          <cell r="BA66" t="str">
            <v>D1907007</v>
          </cell>
          <cell r="BB66" t="str">
            <v>CONFORM</v>
          </cell>
          <cell r="BC66" t="str">
            <v>CONFORM</v>
          </cell>
          <cell r="BD66" t="str">
            <v>CONFORM</v>
          </cell>
          <cell r="BE66" t="str">
            <v>CONFORM</v>
          </cell>
          <cell r="BF66" t="str">
            <v>CONFORM</v>
          </cell>
        </row>
        <row r="67">
          <cell r="A67">
            <v>43648</v>
          </cell>
          <cell r="B67" t="str">
            <v>D1907007-2</v>
          </cell>
          <cell r="C67" t="str">
            <v>009/19</v>
          </cell>
          <cell r="D67">
            <v>1</v>
          </cell>
          <cell r="E67" t="str">
            <v>JULY 2019</v>
          </cell>
          <cell r="F67" t="str">
            <v>DC</v>
          </cell>
          <cell r="G67" t="str">
            <v>On Time</v>
          </cell>
          <cell r="H67" t="str">
            <v>L281258</v>
          </cell>
          <cell r="I67">
            <v>43647</v>
          </cell>
          <cell r="J67" t="str">
            <v>ATI</v>
          </cell>
          <cell r="K67" t="str">
            <v>D1907007</v>
          </cell>
          <cell r="L67" t="str">
            <v>2</v>
          </cell>
          <cell r="M67">
            <v>631665</v>
          </cell>
          <cell r="N67">
            <v>527784</v>
          </cell>
          <cell r="O67" t="str">
            <v>2.4856 UNS N06625</v>
          </cell>
          <cell r="P67" t="str">
            <v>A625</v>
          </cell>
          <cell r="Q67">
            <v>3.9</v>
          </cell>
          <cell r="R67">
            <v>3.9085000000000001</v>
          </cell>
          <cell r="S67">
            <v>4.7E-2</v>
          </cell>
          <cell r="T67">
            <v>0.05</v>
          </cell>
          <cell r="V67">
            <v>0.05</v>
          </cell>
          <cell r="X67">
            <v>1532</v>
          </cell>
          <cell r="Y67">
            <v>4</v>
          </cell>
          <cell r="Z67">
            <v>98.205128205128204</v>
          </cell>
          <cell r="AA67" t="str">
            <v>3.9X0.047-A625</v>
          </cell>
          <cell r="AB67" t="str">
            <v>WABG009900120B900022</v>
          </cell>
          <cell r="AC67" t="str">
            <v>D1907007</v>
          </cell>
          <cell r="AD67">
            <v>527784</v>
          </cell>
          <cell r="AE67">
            <v>0.04</v>
          </cell>
          <cell r="AF67">
            <v>0.32</v>
          </cell>
          <cell r="AG67">
            <v>7.0000000000000001E-3</v>
          </cell>
          <cell r="AH67">
            <v>2.0000000000000001E-4</v>
          </cell>
          <cell r="AI67">
            <v>0.19</v>
          </cell>
          <cell r="AJ67">
            <v>22</v>
          </cell>
          <cell r="AK67">
            <v>60.7</v>
          </cell>
          <cell r="AL67" t="str">
            <v>n/a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Y67" t="str">
            <v/>
          </cell>
          <cell r="AZ67">
            <v>13.22</v>
          </cell>
          <cell r="BA67" t="str">
            <v>D1907007</v>
          </cell>
          <cell r="BB67" t="str">
            <v>CONFORM</v>
          </cell>
          <cell r="BC67" t="str">
            <v>CONFORM</v>
          </cell>
          <cell r="BD67" t="str">
            <v>CONFORM</v>
          </cell>
          <cell r="BE67" t="str">
            <v>CONFORM</v>
          </cell>
          <cell r="BF67" t="str">
            <v>CONFORM</v>
          </cell>
        </row>
        <row r="68">
          <cell r="A68">
            <v>43648</v>
          </cell>
          <cell r="B68" t="str">
            <v>D1907007-3</v>
          </cell>
          <cell r="C68" t="str">
            <v>009/19</v>
          </cell>
          <cell r="D68">
            <v>1</v>
          </cell>
          <cell r="E68" t="str">
            <v>JULY 2019</v>
          </cell>
          <cell r="F68" t="str">
            <v>DC</v>
          </cell>
          <cell r="G68" t="str">
            <v>On Time</v>
          </cell>
          <cell r="H68" t="str">
            <v>L281258</v>
          </cell>
          <cell r="I68">
            <v>43647</v>
          </cell>
          <cell r="J68" t="str">
            <v>ATI</v>
          </cell>
          <cell r="K68" t="str">
            <v>D1907007</v>
          </cell>
          <cell r="L68" t="str">
            <v>3</v>
          </cell>
          <cell r="M68">
            <v>631666</v>
          </cell>
          <cell r="N68">
            <v>527784</v>
          </cell>
          <cell r="O68" t="str">
            <v>2.4856 UNS N06625</v>
          </cell>
          <cell r="P68" t="str">
            <v>A625</v>
          </cell>
          <cell r="Q68">
            <v>3.9</v>
          </cell>
          <cell r="R68">
            <v>3.9085000000000001</v>
          </cell>
          <cell r="S68">
            <v>4.7E-2</v>
          </cell>
          <cell r="T68">
            <v>0.05</v>
          </cell>
          <cell r="V68">
            <v>0.05</v>
          </cell>
          <cell r="X68">
            <v>1532</v>
          </cell>
          <cell r="Y68">
            <v>4</v>
          </cell>
          <cell r="Z68">
            <v>98.205128205128204</v>
          </cell>
          <cell r="AA68" t="str">
            <v>3.9X0.047-A625</v>
          </cell>
          <cell r="AB68" t="str">
            <v>WABG009900120B900022</v>
          </cell>
          <cell r="AC68" t="str">
            <v>D1907007</v>
          </cell>
          <cell r="AD68">
            <v>527784</v>
          </cell>
          <cell r="AE68">
            <v>0.04</v>
          </cell>
          <cell r="AF68">
            <v>0.32</v>
          </cell>
          <cell r="AG68">
            <v>7.0000000000000001E-3</v>
          </cell>
          <cell r="AH68">
            <v>2.0000000000000001E-4</v>
          </cell>
          <cell r="AI68">
            <v>0.19</v>
          </cell>
          <cell r="AJ68">
            <v>22</v>
          </cell>
          <cell r="AK68">
            <v>60.7</v>
          </cell>
          <cell r="AL68" t="str">
            <v>n/a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Y68" t="str">
            <v/>
          </cell>
          <cell r="AZ68">
            <v>13.22</v>
          </cell>
          <cell r="BA68" t="str">
            <v>D1907007</v>
          </cell>
          <cell r="BB68" t="str">
            <v>CONFORM</v>
          </cell>
          <cell r="BC68" t="str">
            <v>CONFORM</v>
          </cell>
          <cell r="BD68" t="str">
            <v>CONFORM</v>
          </cell>
          <cell r="BE68" t="str">
            <v>CONFORM</v>
          </cell>
          <cell r="BF68" t="str">
            <v>CONFORM</v>
          </cell>
        </row>
        <row r="69">
          <cell r="A69">
            <v>43655</v>
          </cell>
          <cell r="B69" t="str">
            <v>D1907008-1</v>
          </cell>
          <cell r="C69" t="str">
            <v>S001/19</v>
          </cell>
          <cell r="D69">
            <v>2</v>
          </cell>
          <cell r="E69">
            <v>0</v>
          </cell>
          <cell r="F69" t="str">
            <v>DC</v>
          </cell>
          <cell r="G69" t="str">
            <v>Late</v>
          </cell>
          <cell r="H69">
            <v>20190709016</v>
          </cell>
          <cell r="I69">
            <v>43655</v>
          </cell>
          <cell r="J69" t="str">
            <v>COILPLUS</v>
          </cell>
          <cell r="K69" t="str">
            <v>D1907008</v>
          </cell>
          <cell r="L69" t="str">
            <v>1</v>
          </cell>
          <cell r="M69">
            <v>2786424</v>
          </cell>
          <cell r="N69">
            <v>525460</v>
          </cell>
          <cell r="O69" t="str">
            <v xml:space="preserve">1.4306 TP304L </v>
          </cell>
          <cell r="P69" t="str">
            <v>304L</v>
          </cell>
          <cell r="Q69">
            <v>1.7170000000000001</v>
          </cell>
          <cell r="R69">
            <v>1.716</v>
          </cell>
          <cell r="S69">
            <v>3.5000000000000003E-2</v>
          </cell>
          <cell r="T69">
            <v>3.5999999999999997E-2</v>
          </cell>
          <cell r="V69">
            <v>3.5999999999999997E-2</v>
          </cell>
          <cell r="X69">
            <v>4398</v>
          </cell>
          <cell r="Y69">
            <v>5</v>
          </cell>
          <cell r="Z69">
            <v>512.28887594641822</v>
          </cell>
          <cell r="AA69" t="str">
            <v>1.717X0.035-304L</v>
          </cell>
          <cell r="AB69" t="str">
            <v>WAAC004360089B200033</v>
          </cell>
          <cell r="AC69" t="str">
            <v>D1907008</v>
          </cell>
          <cell r="AD69">
            <v>525460</v>
          </cell>
          <cell r="AE69">
            <v>2.4E-2</v>
          </cell>
          <cell r="AF69">
            <v>1.3</v>
          </cell>
          <cell r="AG69">
            <v>3.3000000000000002E-2</v>
          </cell>
          <cell r="AH69">
            <v>1.4E-3</v>
          </cell>
          <cell r="AI69">
            <v>0.32</v>
          </cell>
          <cell r="AJ69">
            <v>18.11</v>
          </cell>
          <cell r="AK69">
            <v>8.0399999999999991</v>
          </cell>
          <cell r="AL69">
            <v>6.3E-2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Y69" t="str">
            <v/>
          </cell>
          <cell r="AZ69">
            <v>8.5000000000000006E-2</v>
          </cell>
          <cell r="BA69" t="str">
            <v>D1907008</v>
          </cell>
          <cell r="BB69" t="str">
            <v>CONFORM</v>
          </cell>
          <cell r="BC69" t="str">
            <v>CONFORM</v>
          </cell>
          <cell r="BD69" t="str">
            <v>CONFORM</v>
          </cell>
          <cell r="BE69" t="str">
            <v>CONFORM</v>
          </cell>
          <cell r="BF69" t="str">
            <v>CONFORM</v>
          </cell>
        </row>
        <row r="70">
          <cell r="A70">
            <v>43655</v>
          </cell>
          <cell r="B70" t="str">
            <v>D1907009-1</v>
          </cell>
          <cell r="C70" t="str">
            <v>S001/19</v>
          </cell>
          <cell r="D70">
            <v>1</v>
          </cell>
          <cell r="E70">
            <v>0</v>
          </cell>
          <cell r="F70" t="str">
            <v>DC</v>
          </cell>
          <cell r="G70" t="str">
            <v>Late</v>
          </cell>
          <cell r="H70">
            <v>20190709016</v>
          </cell>
          <cell r="I70">
            <v>43655</v>
          </cell>
          <cell r="J70" t="str">
            <v>COILPLUS</v>
          </cell>
          <cell r="K70" t="str">
            <v>D1907009</v>
          </cell>
          <cell r="L70" t="str">
            <v>1</v>
          </cell>
          <cell r="M70">
            <v>2786471</v>
          </cell>
          <cell r="N70">
            <v>525460</v>
          </cell>
          <cell r="O70" t="str">
            <v xml:space="preserve">1.4306 TP304L </v>
          </cell>
          <cell r="P70" t="str">
            <v>304L</v>
          </cell>
          <cell r="Q70">
            <v>1.948</v>
          </cell>
          <cell r="R70">
            <v>1.9450000000000001</v>
          </cell>
          <cell r="S70">
            <v>3.5000000000000003E-2</v>
          </cell>
          <cell r="T70">
            <v>3.4000000000000002E-2</v>
          </cell>
          <cell r="V70">
            <v>3.4000000000000002E-2</v>
          </cell>
          <cell r="X70">
            <v>4000</v>
          </cell>
          <cell r="Y70">
            <v>4</v>
          </cell>
          <cell r="Z70">
            <v>513.34702258726895</v>
          </cell>
          <cell r="AA70" t="str">
            <v>1.948X0.035-304L</v>
          </cell>
          <cell r="AB70" t="str">
            <v>WAAC004950089B200032</v>
          </cell>
          <cell r="AC70" t="str">
            <v>D1907009</v>
          </cell>
          <cell r="AD70">
            <v>525460</v>
          </cell>
          <cell r="AE70">
            <v>2.4E-2</v>
          </cell>
          <cell r="AF70">
            <v>1.3</v>
          </cell>
          <cell r="AG70">
            <v>3.3000000000000002E-2</v>
          </cell>
          <cell r="AH70">
            <v>1.4E-3</v>
          </cell>
          <cell r="AI70">
            <v>0.32</v>
          </cell>
          <cell r="AJ70">
            <v>18.11</v>
          </cell>
          <cell r="AK70">
            <v>8.0399999999999991</v>
          </cell>
          <cell r="AL70">
            <v>6.3E-2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Y70" t="str">
            <v/>
          </cell>
          <cell r="AZ70">
            <v>8.5000000000000006E-2</v>
          </cell>
          <cell r="BA70" t="str">
            <v>D1907009</v>
          </cell>
          <cell r="BB70" t="str">
            <v>CONFORM</v>
          </cell>
          <cell r="BC70" t="str">
            <v>CONFORM</v>
          </cell>
          <cell r="BD70" t="str">
            <v>CONFORM</v>
          </cell>
          <cell r="BE70" t="str">
            <v>CONFORM</v>
          </cell>
          <cell r="BF70" t="str">
            <v>CONFORM</v>
          </cell>
        </row>
        <row r="71">
          <cell r="A71">
            <v>43655</v>
          </cell>
          <cell r="B71" t="str">
            <v>D1907009-2</v>
          </cell>
          <cell r="C71" t="str">
            <v>S001/19</v>
          </cell>
          <cell r="D71">
            <v>1</v>
          </cell>
          <cell r="E71">
            <v>0</v>
          </cell>
          <cell r="F71" t="str">
            <v>DC</v>
          </cell>
          <cell r="G71" t="str">
            <v>Late</v>
          </cell>
          <cell r="H71">
            <v>20190709016</v>
          </cell>
          <cell r="I71">
            <v>43655</v>
          </cell>
          <cell r="J71" t="str">
            <v>COILPLUS</v>
          </cell>
          <cell r="K71" t="str">
            <v>D1907009</v>
          </cell>
          <cell r="L71" t="str">
            <v>2</v>
          </cell>
          <cell r="M71">
            <v>2786431</v>
          </cell>
          <cell r="N71">
            <v>525460</v>
          </cell>
          <cell r="O71" t="str">
            <v xml:space="preserve">1.4306 TP304L </v>
          </cell>
          <cell r="P71" t="str">
            <v>304L</v>
          </cell>
          <cell r="Q71">
            <v>1.948</v>
          </cell>
          <cell r="R71">
            <v>1.95</v>
          </cell>
          <cell r="S71">
            <v>3.5000000000000003E-2</v>
          </cell>
          <cell r="T71">
            <v>3.4599999999999999E-2</v>
          </cell>
          <cell r="V71">
            <v>3.4599999999999999E-2</v>
          </cell>
          <cell r="X71">
            <v>3988</v>
          </cell>
          <cell r="Y71">
            <v>4</v>
          </cell>
          <cell r="Z71">
            <v>511.80698151950719</v>
          </cell>
          <cell r="AA71" t="str">
            <v>1.948X0.035-304L</v>
          </cell>
          <cell r="AB71" t="str">
            <v>WAAC004950089B200032</v>
          </cell>
          <cell r="AC71" t="str">
            <v>D1907009</v>
          </cell>
          <cell r="AD71">
            <v>525460</v>
          </cell>
          <cell r="AE71">
            <v>2.4E-2</v>
          </cell>
          <cell r="AF71">
            <v>1.3</v>
          </cell>
          <cell r="AG71">
            <v>3.3000000000000002E-2</v>
          </cell>
          <cell r="AH71">
            <v>1.4E-3</v>
          </cell>
          <cell r="AI71">
            <v>0.32</v>
          </cell>
          <cell r="AJ71">
            <v>18.11</v>
          </cell>
          <cell r="AK71">
            <v>8.0399999999999991</v>
          </cell>
          <cell r="AL71">
            <v>6.3E-2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Y71" t="str">
            <v/>
          </cell>
          <cell r="AZ71">
            <v>8.5000000000000006E-2</v>
          </cell>
          <cell r="BA71" t="str">
            <v>D1907009</v>
          </cell>
          <cell r="BB71" t="str">
            <v>CONFORM</v>
          </cell>
          <cell r="BC71" t="str">
            <v>CONFORM</v>
          </cell>
          <cell r="BD71" t="str">
            <v>CONFORM</v>
          </cell>
          <cell r="BE71" t="str">
            <v>CONFORM</v>
          </cell>
          <cell r="BF71" t="str">
            <v>CONFORM</v>
          </cell>
        </row>
        <row r="72">
          <cell r="A72">
            <v>43655</v>
          </cell>
          <cell r="B72" t="str">
            <v>D1907009-3</v>
          </cell>
          <cell r="C72" t="str">
            <v>S001/19</v>
          </cell>
          <cell r="D72">
            <v>1</v>
          </cell>
          <cell r="E72">
            <v>0</v>
          </cell>
          <cell r="F72" t="str">
            <v>DC</v>
          </cell>
          <cell r="G72" t="str">
            <v>Late</v>
          </cell>
          <cell r="H72">
            <v>20190709016</v>
          </cell>
          <cell r="I72">
            <v>43655</v>
          </cell>
          <cell r="J72" t="str">
            <v>COILPLUS</v>
          </cell>
          <cell r="K72" t="str">
            <v>D1907009</v>
          </cell>
          <cell r="L72" t="str">
            <v>3</v>
          </cell>
          <cell r="M72">
            <v>2786441</v>
          </cell>
          <cell r="N72">
            <v>525460</v>
          </cell>
          <cell r="O72" t="str">
            <v xml:space="preserve">1.4306 TP304L </v>
          </cell>
          <cell r="P72" t="str">
            <v>304L</v>
          </cell>
          <cell r="Q72">
            <v>1.948</v>
          </cell>
          <cell r="R72">
            <v>1.9470000000000001</v>
          </cell>
          <cell r="S72">
            <v>3.5000000000000003E-2</v>
          </cell>
          <cell r="T72">
            <v>3.4700000000000002E-2</v>
          </cell>
          <cell r="V72">
            <v>3.4700000000000002E-2</v>
          </cell>
          <cell r="X72">
            <v>4000</v>
          </cell>
          <cell r="Y72">
            <v>4</v>
          </cell>
          <cell r="Z72">
            <v>513.34702258726895</v>
          </cell>
          <cell r="AA72" t="str">
            <v>1.948X0.035-304L</v>
          </cell>
          <cell r="AB72" t="str">
            <v>WAAC004950089B200032</v>
          </cell>
          <cell r="AC72" t="str">
            <v>D1907009</v>
          </cell>
          <cell r="AD72">
            <v>525460</v>
          </cell>
          <cell r="AE72">
            <v>2.4E-2</v>
          </cell>
          <cell r="AF72">
            <v>1.3</v>
          </cell>
          <cell r="AG72">
            <v>3.3000000000000002E-2</v>
          </cell>
          <cell r="AH72">
            <v>1.4E-3</v>
          </cell>
          <cell r="AI72">
            <v>0.32</v>
          </cell>
          <cell r="AJ72">
            <v>18.11</v>
          </cell>
          <cell r="AK72">
            <v>8.0399999999999991</v>
          </cell>
          <cell r="AL72">
            <v>6.3E-2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Y72" t="str">
            <v/>
          </cell>
          <cell r="AZ72">
            <v>8.5000000000000006E-2</v>
          </cell>
          <cell r="BA72" t="str">
            <v>D1907009</v>
          </cell>
          <cell r="BB72" t="str">
            <v>CONFORM</v>
          </cell>
          <cell r="BC72" t="str">
            <v>CONFORM</v>
          </cell>
          <cell r="BD72" t="str">
            <v>CONFORM</v>
          </cell>
          <cell r="BE72" t="str">
            <v>CONFORM</v>
          </cell>
          <cell r="BF72" t="str">
            <v>CONFORM</v>
          </cell>
        </row>
        <row r="73">
          <cell r="A73">
            <v>43655</v>
          </cell>
          <cell r="B73" t="str">
            <v>D1907009-4</v>
          </cell>
          <cell r="C73" t="str">
            <v>S001/19</v>
          </cell>
          <cell r="D73">
            <v>1</v>
          </cell>
          <cell r="E73">
            <v>0</v>
          </cell>
          <cell r="F73" t="str">
            <v>DC</v>
          </cell>
          <cell r="G73" t="str">
            <v>Late</v>
          </cell>
          <cell r="H73">
            <v>20190709016</v>
          </cell>
          <cell r="I73">
            <v>29045</v>
          </cell>
          <cell r="J73" t="str">
            <v>COILPLUS</v>
          </cell>
          <cell r="K73" t="str">
            <v>D1907009</v>
          </cell>
          <cell r="L73">
            <v>4</v>
          </cell>
          <cell r="M73">
            <v>2786467</v>
          </cell>
          <cell r="N73">
            <v>525460</v>
          </cell>
          <cell r="O73" t="str">
            <v xml:space="preserve">1.4306 TP304L </v>
          </cell>
          <cell r="P73" t="str">
            <v>304L</v>
          </cell>
          <cell r="Q73">
            <v>1.948</v>
          </cell>
          <cell r="R73">
            <v>1.9570000000000001</v>
          </cell>
          <cell r="S73">
            <v>3.5000000000000003E-2</v>
          </cell>
          <cell r="T73">
            <v>3.5400000000000001E-2</v>
          </cell>
          <cell r="V73">
            <v>3.5400000000000001E-2</v>
          </cell>
          <cell r="X73">
            <v>4008</v>
          </cell>
          <cell r="Y73">
            <v>4</v>
          </cell>
          <cell r="Z73">
            <v>514.37371663244357</v>
          </cell>
          <cell r="AA73" t="str">
            <v>1.948X0.035-304L</v>
          </cell>
          <cell r="AB73" t="str">
            <v>WAAC004950089B200032</v>
          </cell>
          <cell r="AC73" t="str">
            <v>D1907009</v>
          </cell>
          <cell r="AD73">
            <v>525460</v>
          </cell>
          <cell r="AE73">
            <v>2.4E-2</v>
          </cell>
          <cell r="AF73">
            <v>1.3</v>
          </cell>
          <cell r="AG73">
            <v>3.3000000000000002E-2</v>
          </cell>
          <cell r="AH73">
            <v>1.4E-3</v>
          </cell>
          <cell r="AI73">
            <v>0.32</v>
          </cell>
          <cell r="AJ73">
            <v>18.11</v>
          </cell>
          <cell r="AK73">
            <v>8.0399999999999991</v>
          </cell>
          <cell r="AL73">
            <v>6.3E-2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Y73" t="str">
            <v/>
          </cell>
          <cell r="AZ73">
            <v>8.5000000000000006E-2</v>
          </cell>
          <cell r="BA73" t="str">
            <v>D1907009</v>
          </cell>
          <cell r="BB73" t="str">
            <v>CONFORM</v>
          </cell>
          <cell r="BC73" t="str">
            <v>CONFORM</v>
          </cell>
          <cell r="BD73" t="str">
            <v>CONFORM</v>
          </cell>
          <cell r="BE73" t="str">
            <v>CONFORM</v>
          </cell>
          <cell r="BF73" t="str">
            <v>CONFORM</v>
          </cell>
        </row>
        <row r="74">
          <cell r="A74">
            <v>43655</v>
          </cell>
          <cell r="B74" t="str">
            <v>D1907010-1</v>
          </cell>
          <cell r="C74" t="str">
            <v>S001/19</v>
          </cell>
          <cell r="D74">
            <v>3</v>
          </cell>
          <cell r="E74">
            <v>0</v>
          </cell>
          <cell r="F74" t="str">
            <v>DC</v>
          </cell>
          <cell r="G74" t="str">
            <v>Late</v>
          </cell>
          <cell r="H74">
            <v>20190709016</v>
          </cell>
          <cell r="I74">
            <v>43655</v>
          </cell>
          <cell r="J74" t="str">
            <v>COILPLUS</v>
          </cell>
          <cell r="K74" t="str">
            <v>D1907010</v>
          </cell>
          <cell r="L74">
            <v>1</v>
          </cell>
          <cell r="M74">
            <v>2786477</v>
          </cell>
          <cell r="N74">
            <v>525460</v>
          </cell>
          <cell r="O74" t="str">
            <v xml:space="preserve">1.4306 TP304L </v>
          </cell>
          <cell r="P74" t="str">
            <v>304L</v>
          </cell>
          <cell r="Q74">
            <v>1.5589999999999999</v>
          </cell>
          <cell r="R74">
            <v>1.556</v>
          </cell>
          <cell r="S74">
            <v>3.5000000000000003E-2</v>
          </cell>
          <cell r="T74">
            <v>3.56E-2</v>
          </cell>
          <cell r="V74">
            <v>3.56E-2</v>
          </cell>
          <cell r="X74">
            <v>3980</v>
          </cell>
          <cell r="Y74">
            <v>5</v>
          </cell>
          <cell r="Z74">
            <v>510.58370750481077</v>
          </cell>
          <cell r="AA74" t="str">
            <v>1.559X0.035-304L</v>
          </cell>
          <cell r="AB74" t="str">
            <v>WAAC003950089B200034</v>
          </cell>
          <cell r="AC74" t="str">
            <v>D1907010</v>
          </cell>
          <cell r="AD74">
            <v>525460</v>
          </cell>
          <cell r="AE74">
            <v>2.4E-2</v>
          </cell>
          <cell r="AF74">
            <v>1.3</v>
          </cell>
          <cell r="AG74">
            <v>3.3000000000000002E-2</v>
          </cell>
          <cell r="AH74">
            <v>1.4E-3</v>
          </cell>
          <cell r="AI74">
            <v>0.32</v>
          </cell>
          <cell r="AJ74">
            <v>18.11</v>
          </cell>
          <cell r="AK74">
            <v>8.0399999999999991</v>
          </cell>
          <cell r="AL74">
            <v>6.3E-2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Y74" t="str">
            <v/>
          </cell>
          <cell r="AZ74">
            <v>8.5000000000000006E-2</v>
          </cell>
          <cell r="BA74" t="str">
            <v>D1907010</v>
          </cell>
          <cell r="BB74" t="str">
            <v>CONFORM</v>
          </cell>
          <cell r="BC74" t="str">
            <v>CONFORM</v>
          </cell>
          <cell r="BD74" t="str">
            <v>CONFORM</v>
          </cell>
          <cell r="BE74" t="str">
            <v>CONFORM</v>
          </cell>
          <cell r="BF74" t="str">
            <v>CONFORM</v>
          </cell>
        </row>
        <row r="75">
          <cell r="A75">
            <v>43664</v>
          </cell>
          <cell r="B75" t="str">
            <v>D1907118-1</v>
          </cell>
          <cell r="C75" t="str">
            <v>018/19</v>
          </cell>
          <cell r="D75">
            <v>1</v>
          </cell>
          <cell r="E75" t="str">
            <v>JULY 2019</v>
          </cell>
          <cell r="F75" t="str">
            <v>DC</v>
          </cell>
          <cell r="G75" t="str">
            <v>Late</v>
          </cell>
          <cell r="H75" t="str">
            <v>116577-1</v>
          </cell>
          <cell r="I75">
            <v>43662</v>
          </cell>
          <cell r="J75" t="str">
            <v>UPM</v>
          </cell>
          <cell r="K75" t="str">
            <v>D1907118</v>
          </cell>
          <cell r="L75">
            <v>1</v>
          </cell>
          <cell r="M75" t="str">
            <v>AAC52477-A</v>
          </cell>
          <cell r="N75">
            <v>856946</v>
          </cell>
          <cell r="O75" t="str">
            <v xml:space="preserve">1.4306 TP304L </v>
          </cell>
          <cell r="P75" t="str">
            <v>304L</v>
          </cell>
          <cell r="Q75">
            <v>1.913</v>
          </cell>
          <cell r="R75">
            <v>1.915</v>
          </cell>
          <cell r="S75">
            <v>4.7E-2</v>
          </cell>
          <cell r="T75">
            <v>0.05</v>
          </cell>
          <cell r="V75">
            <v>0.05</v>
          </cell>
          <cell r="X75">
            <v>3580</v>
          </cell>
          <cell r="Y75">
            <v>8</v>
          </cell>
          <cell r="Z75">
            <v>233.92577104025091</v>
          </cell>
          <cell r="AA75" t="str">
            <v>1.913X0.047-304L</v>
          </cell>
          <cell r="AB75" t="str">
            <v>WAAC004860119B300023</v>
          </cell>
          <cell r="AC75" t="str">
            <v>D1907118</v>
          </cell>
          <cell r="AD75">
            <v>856946</v>
          </cell>
          <cell r="AE75">
            <v>1.7999999999999999E-2</v>
          </cell>
          <cell r="AF75">
            <v>1.66</v>
          </cell>
          <cell r="AG75">
            <v>3.4000000000000002E-2</v>
          </cell>
          <cell r="AH75">
            <v>1E-4</v>
          </cell>
          <cell r="AI75">
            <v>0.43</v>
          </cell>
          <cell r="AJ75">
            <v>18.11</v>
          </cell>
          <cell r="AK75">
            <v>8.1300000000000008</v>
          </cell>
          <cell r="AL75">
            <v>0.08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Y75" t="str">
            <v/>
          </cell>
          <cell r="AZ75">
            <v>1.61</v>
          </cell>
          <cell r="BA75" t="str">
            <v>D1907118</v>
          </cell>
          <cell r="BB75" t="str">
            <v>CONFORM</v>
          </cell>
          <cell r="BC75" t="str">
            <v>CONFORM</v>
          </cell>
          <cell r="BD75" t="str">
            <v>CONFORM</v>
          </cell>
          <cell r="BE75" t="str">
            <v>CONFORM</v>
          </cell>
          <cell r="BF75" t="str">
            <v>CONFORM</v>
          </cell>
        </row>
        <row r="76">
          <cell r="A76">
            <v>43664</v>
          </cell>
          <cell r="B76" t="str">
            <v>D1907118-2</v>
          </cell>
          <cell r="C76" t="str">
            <v>018/19</v>
          </cell>
          <cell r="D76">
            <v>1</v>
          </cell>
          <cell r="E76" t="str">
            <v>JULY 2019</v>
          </cell>
          <cell r="F76" t="str">
            <v>DC</v>
          </cell>
          <cell r="G76" t="str">
            <v>Late</v>
          </cell>
          <cell r="H76" t="str">
            <v>116577-1</v>
          </cell>
          <cell r="I76">
            <v>43662</v>
          </cell>
          <cell r="J76" t="str">
            <v>UPM</v>
          </cell>
          <cell r="K76" t="str">
            <v>D1907118</v>
          </cell>
          <cell r="L76">
            <v>2</v>
          </cell>
          <cell r="M76" t="str">
            <v>AAC52477-A</v>
          </cell>
          <cell r="N76">
            <v>856946</v>
          </cell>
          <cell r="O76" t="str">
            <v xml:space="preserve">1.4306 TP304L </v>
          </cell>
          <cell r="P76" t="str">
            <v>304L</v>
          </cell>
          <cell r="Q76">
            <v>1.913</v>
          </cell>
          <cell r="R76">
            <v>1.9255</v>
          </cell>
          <cell r="S76">
            <v>4.7E-2</v>
          </cell>
          <cell r="T76">
            <v>5.3199999999999997E-2</v>
          </cell>
          <cell r="V76">
            <v>5.3199999999999997E-2</v>
          </cell>
          <cell r="X76">
            <v>3159</v>
          </cell>
          <cell r="Y76">
            <v>7</v>
          </cell>
          <cell r="Z76">
            <v>235.90471212008063</v>
          </cell>
          <cell r="AA76" t="str">
            <v>1.913X0.047-304L</v>
          </cell>
          <cell r="AB76" t="str">
            <v>WAAC004860119B300023</v>
          </cell>
          <cell r="AC76" t="str">
            <v>D1907118</v>
          </cell>
          <cell r="AD76">
            <v>856946</v>
          </cell>
          <cell r="AE76">
            <v>1.7999999999999999E-2</v>
          </cell>
          <cell r="AF76">
            <v>1.66</v>
          </cell>
          <cell r="AG76">
            <v>3.4000000000000002E-2</v>
          </cell>
          <cell r="AH76">
            <v>1E-4</v>
          </cell>
          <cell r="AI76">
            <v>0.43</v>
          </cell>
          <cell r="AJ76">
            <v>18.11</v>
          </cell>
          <cell r="AK76">
            <v>8.1300000000000008</v>
          </cell>
          <cell r="AL76">
            <v>0.08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Y76" t="str">
            <v/>
          </cell>
          <cell r="AZ76">
            <v>1.61</v>
          </cell>
          <cell r="BA76" t="str">
            <v>D1907118</v>
          </cell>
          <cell r="BB76" t="str">
            <v>CONFORM</v>
          </cell>
          <cell r="BC76" t="str">
            <v>CONFORM</v>
          </cell>
          <cell r="BD76" t="str">
            <v>CONFORM</v>
          </cell>
          <cell r="BE76" t="str">
            <v>CONFORM</v>
          </cell>
          <cell r="BF76" t="str">
            <v>CONFORM</v>
          </cell>
        </row>
        <row r="77">
          <cell r="A77">
            <v>43664</v>
          </cell>
          <cell r="B77" t="str">
            <v>D1907118-3</v>
          </cell>
          <cell r="C77" t="str">
            <v>018/19</v>
          </cell>
          <cell r="D77">
            <v>1</v>
          </cell>
          <cell r="E77" t="str">
            <v>JULY 2019</v>
          </cell>
          <cell r="F77" t="str">
            <v>DC</v>
          </cell>
          <cell r="G77" t="str">
            <v>Late</v>
          </cell>
          <cell r="H77" t="str">
            <v>116577-1</v>
          </cell>
          <cell r="I77">
            <v>43662</v>
          </cell>
          <cell r="J77" t="str">
            <v>UPM</v>
          </cell>
          <cell r="K77" t="str">
            <v>D1907118</v>
          </cell>
          <cell r="L77">
            <v>3</v>
          </cell>
          <cell r="M77" t="str">
            <v>AAC52477-A</v>
          </cell>
          <cell r="N77">
            <v>856946</v>
          </cell>
          <cell r="O77" t="str">
            <v xml:space="preserve">1.4306 TP304L </v>
          </cell>
          <cell r="P77" t="str">
            <v>304L</v>
          </cell>
          <cell r="Q77">
            <v>1.913</v>
          </cell>
          <cell r="R77">
            <v>1.9145000000000001</v>
          </cell>
          <cell r="S77">
            <v>4.7E-2</v>
          </cell>
          <cell r="T77">
            <v>4.9450000000000001E-2</v>
          </cell>
          <cell r="V77">
            <v>4.9450000000000001E-2</v>
          </cell>
          <cell r="X77">
            <v>2017</v>
          </cell>
          <cell r="Y77">
            <v>5</v>
          </cell>
          <cell r="Z77">
            <v>210.87297438578148</v>
          </cell>
          <cell r="AA77" t="str">
            <v>1.913X0.047-304L</v>
          </cell>
          <cell r="AB77" t="str">
            <v>WAAC004860119B300023</v>
          </cell>
          <cell r="AC77" t="str">
            <v>D1907118</v>
          </cell>
          <cell r="AD77">
            <v>856946</v>
          </cell>
          <cell r="AE77">
            <v>1.7999999999999999E-2</v>
          </cell>
          <cell r="AF77">
            <v>1.66</v>
          </cell>
          <cell r="AG77">
            <v>3.4000000000000002E-2</v>
          </cell>
          <cell r="AH77">
            <v>1E-4</v>
          </cell>
          <cell r="AI77">
            <v>0.43</v>
          </cell>
          <cell r="AJ77">
            <v>18.11</v>
          </cell>
          <cell r="AK77">
            <v>8.1300000000000008</v>
          </cell>
          <cell r="AL77">
            <v>0.08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Y77" t="str">
            <v/>
          </cell>
          <cell r="AZ77">
            <v>1.61</v>
          </cell>
          <cell r="BA77" t="str">
            <v>D1907118</v>
          </cell>
          <cell r="BB77" t="str">
            <v>CONFORM</v>
          </cell>
          <cell r="BC77" t="str">
            <v>CONFORM</v>
          </cell>
          <cell r="BD77" t="str">
            <v>CONFORM</v>
          </cell>
          <cell r="BE77" t="str">
            <v>CONFORM</v>
          </cell>
          <cell r="BF77" t="str">
            <v>CONFORM</v>
          </cell>
        </row>
        <row r="78">
          <cell r="A78">
            <v>43664</v>
          </cell>
          <cell r="B78" t="str">
            <v>D1907118-4</v>
          </cell>
          <cell r="C78" t="str">
            <v>018/19</v>
          </cell>
          <cell r="D78">
            <v>1</v>
          </cell>
          <cell r="E78" t="str">
            <v>JULY 2019</v>
          </cell>
          <cell r="F78" t="str">
            <v>DC</v>
          </cell>
          <cell r="G78" t="str">
            <v>Late</v>
          </cell>
          <cell r="H78" t="str">
            <v>116577-1</v>
          </cell>
          <cell r="I78">
            <v>43662</v>
          </cell>
          <cell r="J78" t="str">
            <v>UPM</v>
          </cell>
          <cell r="K78" t="str">
            <v>D1907118</v>
          </cell>
          <cell r="L78">
            <v>4</v>
          </cell>
          <cell r="M78" t="str">
            <v>AAC52477-A</v>
          </cell>
          <cell r="N78">
            <v>856946</v>
          </cell>
          <cell r="O78" t="str">
            <v xml:space="preserve">1.4306 TP304L </v>
          </cell>
          <cell r="P78" t="str">
            <v>304L</v>
          </cell>
          <cell r="Q78">
            <v>1.913</v>
          </cell>
          <cell r="R78">
            <v>1.9185000000000001</v>
          </cell>
          <cell r="S78">
            <v>4.7E-2</v>
          </cell>
          <cell r="T78">
            <v>5.3100000000000001E-2</v>
          </cell>
          <cell r="V78">
            <v>5.3100000000000001E-2</v>
          </cell>
          <cell r="X78">
            <v>2028</v>
          </cell>
          <cell r="Y78">
            <v>5</v>
          </cell>
          <cell r="Z78">
            <v>212.02300052273915</v>
          </cell>
          <cell r="AA78" t="str">
            <v>1.913X0.047-304L</v>
          </cell>
          <cell r="AB78" t="str">
            <v>WAAC004860119B300023</v>
          </cell>
          <cell r="AC78" t="str">
            <v>D1907118</v>
          </cell>
          <cell r="AD78">
            <v>856946</v>
          </cell>
          <cell r="AE78">
            <v>1.7999999999999999E-2</v>
          </cell>
          <cell r="AF78">
            <v>1.66</v>
          </cell>
          <cell r="AG78">
            <v>3.4000000000000002E-2</v>
          </cell>
          <cell r="AH78">
            <v>1E-4</v>
          </cell>
          <cell r="AI78">
            <v>0.43</v>
          </cell>
          <cell r="AJ78">
            <v>18.11</v>
          </cell>
          <cell r="AK78">
            <v>8.1300000000000008</v>
          </cell>
          <cell r="AL78">
            <v>0.08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Y78" t="str">
            <v/>
          </cell>
          <cell r="AZ78">
            <v>1.61</v>
          </cell>
          <cell r="BA78" t="str">
            <v>D1907118</v>
          </cell>
          <cell r="BB78" t="str">
            <v>CONFORM</v>
          </cell>
          <cell r="BC78" t="str">
            <v>CONFORM</v>
          </cell>
          <cell r="BD78" t="str">
            <v>CONFORM</v>
          </cell>
          <cell r="BE78" t="str">
            <v>CONFORM</v>
          </cell>
          <cell r="BF78" t="str">
            <v>CONFORM</v>
          </cell>
        </row>
        <row r="79">
          <cell r="A79">
            <v>43664</v>
          </cell>
          <cell r="B79" t="str">
            <v>D1907119-1</v>
          </cell>
          <cell r="C79" t="str">
            <v>018/19</v>
          </cell>
          <cell r="D79">
            <v>2</v>
          </cell>
          <cell r="E79" t="str">
            <v>JULY 2019</v>
          </cell>
          <cell r="F79" t="str">
            <v>DC</v>
          </cell>
          <cell r="G79" t="str">
            <v>Late</v>
          </cell>
          <cell r="H79" t="str">
            <v>116577-1</v>
          </cell>
          <cell r="I79">
            <v>43662</v>
          </cell>
          <cell r="J79" t="str">
            <v>UPM</v>
          </cell>
          <cell r="K79" t="str">
            <v>D1907119</v>
          </cell>
          <cell r="L79">
            <v>1</v>
          </cell>
          <cell r="M79" t="str">
            <v>AAC52477-B</v>
          </cell>
          <cell r="N79">
            <v>856946</v>
          </cell>
          <cell r="O79" t="str">
            <v xml:space="preserve">1.4306 TP304L </v>
          </cell>
          <cell r="P79" t="str">
            <v>304L</v>
          </cell>
          <cell r="Q79">
            <v>3.1139999999999999</v>
          </cell>
          <cell r="R79">
            <v>3.1139999999999999</v>
          </cell>
          <cell r="S79">
            <v>4.7E-2</v>
          </cell>
          <cell r="T79">
            <v>4.9250000000000002E-2</v>
          </cell>
          <cell r="V79">
            <v>4.9250000000000002E-2</v>
          </cell>
          <cell r="X79">
            <v>2180</v>
          </cell>
          <cell r="Y79">
            <v>3</v>
          </cell>
          <cell r="Z79">
            <v>233.35474202526225</v>
          </cell>
          <cell r="AA79" t="str">
            <v>3.114X0.047-304L</v>
          </cell>
          <cell r="AB79" t="str">
            <v>WAAC007910120B300030</v>
          </cell>
          <cell r="AC79" t="str">
            <v>D1907119</v>
          </cell>
          <cell r="AD79">
            <v>856946</v>
          </cell>
          <cell r="AE79">
            <v>1.7999999999999999E-2</v>
          </cell>
          <cell r="AF79">
            <v>1.66</v>
          </cell>
          <cell r="AG79">
            <v>3.4000000000000002E-2</v>
          </cell>
          <cell r="AH79">
            <v>1E-4</v>
          </cell>
          <cell r="AI79">
            <v>0.43</v>
          </cell>
          <cell r="AJ79">
            <v>18.11</v>
          </cell>
          <cell r="AK79">
            <v>8.1300000000000008</v>
          </cell>
          <cell r="AL79">
            <v>0.08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Y79" t="str">
            <v/>
          </cell>
          <cell r="AZ79">
            <v>1.61</v>
          </cell>
          <cell r="BA79" t="str">
            <v>D1907119</v>
          </cell>
          <cell r="BB79" t="str">
            <v>CONFORM</v>
          </cell>
          <cell r="BC79" t="str">
            <v>CONFORM</v>
          </cell>
          <cell r="BD79" t="str">
            <v>CONFORM</v>
          </cell>
          <cell r="BE79" t="str">
            <v>CONFORM</v>
          </cell>
          <cell r="BF79" t="str">
            <v>CONFORM</v>
          </cell>
        </row>
        <row r="80">
          <cell r="A80">
            <v>43664</v>
          </cell>
          <cell r="B80" t="str">
            <v>D1907119-2</v>
          </cell>
          <cell r="C80" t="str">
            <v>018/19</v>
          </cell>
          <cell r="D80">
            <v>2</v>
          </cell>
          <cell r="E80" t="str">
            <v>JULY 2019</v>
          </cell>
          <cell r="F80" t="str">
            <v>DC</v>
          </cell>
          <cell r="G80" t="str">
            <v>Late</v>
          </cell>
          <cell r="H80" t="str">
            <v>116577-1</v>
          </cell>
          <cell r="I80">
            <v>43662</v>
          </cell>
          <cell r="J80" t="str">
            <v>UPM</v>
          </cell>
          <cell r="K80" t="str">
            <v>D1907119</v>
          </cell>
          <cell r="L80">
            <v>2</v>
          </cell>
          <cell r="M80" t="str">
            <v>AAC52477-B</v>
          </cell>
          <cell r="N80">
            <v>856946</v>
          </cell>
          <cell r="O80" t="str">
            <v xml:space="preserve">1.4306 TP304L </v>
          </cell>
          <cell r="P80" t="str">
            <v>304L</v>
          </cell>
          <cell r="Q80">
            <v>3.1139999999999999</v>
          </cell>
          <cell r="R80">
            <v>3.1084999999999998</v>
          </cell>
          <cell r="S80">
            <v>4.7E-2</v>
          </cell>
          <cell r="T80">
            <v>4.9599999999999998E-2</v>
          </cell>
          <cell r="V80">
            <v>4.9599999999999998E-2</v>
          </cell>
          <cell r="X80">
            <v>2198</v>
          </cell>
          <cell r="Y80">
            <v>3</v>
          </cell>
          <cell r="Z80">
            <v>235.28152429886535</v>
          </cell>
          <cell r="AA80" t="str">
            <v>3.114X0.047-304L</v>
          </cell>
          <cell r="AB80" t="str">
            <v>WAAC007910120B300030</v>
          </cell>
          <cell r="AC80" t="str">
            <v>D1907119</v>
          </cell>
          <cell r="AD80">
            <v>856946</v>
          </cell>
          <cell r="AE80">
            <v>1.7999999999999999E-2</v>
          </cell>
          <cell r="AF80">
            <v>1.66</v>
          </cell>
          <cell r="AG80">
            <v>3.4000000000000002E-2</v>
          </cell>
          <cell r="AH80">
            <v>1E-4</v>
          </cell>
          <cell r="AI80">
            <v>0.43</v>
          </cell>
          <cell r="AJ80">
            <v>18.11</v>
          </cell>
          <cell r="AK80">
            <v>8.1300000000000008</v>
          </cell>
          <cell r="AL80">
            <v>0.08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Y80" t="str">
            <v/>
          </cell>
          <cell r="AZ80">
            <v>1.61</v>
          </cell>
          <cell r="BA80" t="str">
            <v>D1907119</v>
          </cell>
          <cell r="BB80" t="str">
            <v>CONFORM</v>
          </cell>
          <cell r="BC80" t="str">
            <v>CONFORM</v>
          </cell>
          <cell r="BD80" t="str">
            <v>CONFORM</v>
          </cell>
          <cell r="BE80" t="str">
            <v>CONFORM</v>
          </cell>
          <cell r="BF80" t="str">
            <v>CONFORM</v>
          </cell>
        </row>
        <row r="81">
          <cell r="A81">
            <v>43664</v>
          </cell>
          <cell r="B81" t="str">
            <v>D1907119-3</v>
          </cell>
          <cell r="C81" t="str">
            <v>018/19</v>
          </cell>
          <cell r="D81">
            <v>2</v>
          </cell>
          <cell r="E81" t="str">
            <v>JULY 2019</v>
          </cell>
          <cell r="F81" t="str">
            <v>DC</v>
          </cell>
          <cell r="G81" t="str">
            <v>Late</v>
          </cell>
          <cell r="H81" t="str">
            <v>116577-1</v>
          </cell>
          <cell r="I81">
            <v>43662</v>
          </cell>
          <cell r="J81" t="str">
            <v>UPM</v>
          </cell>
          <cell r="K81" t="str">
            <v>D1907119</v>
          </cell>
          <cell r="L81">
            <v>3</v>
          </cell>
          <cell r="M81" t="str">
            <v>AAC52477-B</v>
          </cell>
          <cell r="N81">
            <v>856946</v>
          </cell>
          <cell r="O81" t="str">
            <v xml:space="preserve">1.4306 TP304L </v>
          </cell>
          <cell r="P81" t="str">
            <v>304L</v>
          </cell>
          <cell r="Q81">
            <v>3.1139999999999999</v>
          </cell>
          <cell r="R81">
            <v>3.1160000000000001</v>
          </cell>
          <cell r="S81">
            <v>4.7E-2</v>
          </cell>
          <cell r="T81">
            <v>4.8800000000000003E-2</v>
          </cell>
          <cell r="V81">
            <v>4.8800000000000003E-2</v>
          </cell>
          <cell r="X81">
            <v>1976</v>
          </cell>
          <cell r="Y81">
            <v>3</v>
          </cell>
          <cell r="Z81">
            <v>211.51787625776063</v>
          </cell>
          <cell r="AA81" t="str">
            <v>3.114X0.047-304L</v>
          </cell>
          <cell r="AB81" t="str">
            <v>WAAC007910120B300030</v>
          </cell>
          <cell r="AC81" t="str">
            <v>D1907119</v>
          </cell>
          <cell r="AD81">
            <v>856946</v>
          </cell>
          <cell r="AE81">
            <v>1.7999999999999999E-2</v>
          </cell>
          <cell r="AF81">
            <v>1.66</v>
          </cell>
          <cell r="AG81">
            <v>3.4000000000000002E-2</v>
          </cell>
          <cell r="AH81">
            <v>1E-4</v>
          </cell>
          <cell r="AI81">
            <v>0.43</v>
          </cell>
          <cell r="AJ81">
            <v>18.11</v>
          </cell>
          <cell r="AK81">
            <v>8.1300000000000008</v>
          </cell>
          <cell r="AL81">
            <v>0.08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Y81" t="str">
            <v/>
          </cell>
          <cell r="AZ81">
            <v>1.61</v>
          </cell>
          <cell r="BA81" t="str">
            <v>D1907119</v>
          </cell>
          <cell r="BB81" t="str">
            <v>CONFORM</v>
          </cell>
          <cell r="BC81" t="str">
            <v>CONFORM</v>
          </cell>
          <cell r="BD81" t="str">
            <v>CONFORM</v>
          </cell>
          <cell r="BE81" t="str">
            <v>CONFORM</v>
          </cell>
          <cell r="BF81" t="str">
            <v>CONFORM</v>
          </cell>
        </row>
        <row r="82">
          <cell r="A82">
            <v>43664</v>
          </cell>
          <cell r="B82" t="str">
            <v>D1907119-4</v>
          </cell>
          <cell r="C82" t="str">
            <v>018/19</v>
          </cell>
          <cell r="D82">
            <v>2</v>
          </cell>
          <cell r="E82" t="str">
            <v>JULY 2019</v>
          </cell>
          <cell r="F82" t="str">
            <v>DC</v>
          </cell>
          <cell r="G82" t="str">
            <v>Late</v>
          </cell>
          <cell r="H82" t="str">
            <v>116577-1</v>
          </cell>
          <cell r="I82">
            <v>43662</v>
          </cell>
          <cell r="J82" t="str">
            <v>UPM</v>
          </cell>
          <cell r="K82" t="str">
            <v>D1907119</v>
          </cell>
          <cell r="L82">
            <v>4</v>
          </cell>
          <cell r="M82" t="str">
            <v>AAC52477-B</v>
          </cell>
          <cell r="N82">
            <v>856946</v>
          </cell>
          <cell r="O82" t="str">
            <v xml:space="preserve">1.4306 TP304L </v>
          </cell>
          <cell r="P82" t="str">
            <v>304L</v>
          </cell>
          <cell r="Q82">
            <v>3.1139999999999999</v>
          </cell>
          <cell r="R82">
            <v>3.1164999999999998</v>
          </cell>
          <cell r="S82">
            <v>4.7E-2</v>
          </cell>
          <cell r="T82">
            <v>4.99E-2</v>
          </cell>
          <cell r="V82">
            <v>4.99E-2</v>
          </cell>
          <cell r="X82">
            <v>1995</v>
          </cell>
          <cell r="Y82">
            <v>3</v>
          </cell>
          <cell r="Z82">
            <v>213.55170199100837</v>
          </cell>
          <cell r="AA82" t="str">
            <v>3.114X0.047-304L</v>
          </cell>
          <cell r="AB82" t="str">
            <v>WAAC007910120B300030</v>
          </cell>
          <cell r="AC82" t="str">
            <v>D1907119</v>
          </cell>
          <cell r="AD82">
            <v>856946</v>
          </cell>
          <cell r="AE82">
            <v>1.7999999999999999E-2</v>
          </cell>
          <cell r="AF82">
            <v>1.66</v>
          </cell>
          <cell r="AG82">
            <v>3.4000000000000002E-2</v>
          </cell>
          <cell r="AH82">
            <v>1E-4</v>
          </cell>
          <cell r="AI82">
            <v>0.43</v>
          </cell>
          <cell r="AJ82">
            <v>18.11</v>
          </cell>
          <cell r="AK82">
            <v>8.1300000000000008</v>
          </cell>
          <cell r="AL82">
            <v>0.08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Y82" t="str">
            <v/>
          </cell>
          <cell r="AZ82">
            <v>1.61</v>
          </cell>
          <cell r="BA82" t="str">
            <v>D1907119</v>
          </cell>
          <cell r="BB82" t="str">
            <v>CONFORM</v>
          </cell>
          <cell r="BC82" t="str">
            <v>CONFORM</v>
          </cell>
          <cell r="BD82" t="str">
            <v>CONFORM</v>
          </cell>
          <cell r="BE82" t="str">
            <v>CONFORM</v>
          </cell>
          <cell r="BF82" t="str">
            <v>CONFORM</v>
          </cell>
        </row>
        <row r="83">
          <cell r="A83">
            <v>43664</v>
          </cell>
          <cell r="B83" t="str">
            <v>D1907119-5</v>
          </cell>
          <cell r="C83" t="str">
            <v>018/19</v>
          </cell>
          <cell r="D83">
            <v>2</v>
          </cell>
          <cell r="E83" t="str">
            <v>JULY 2019</v>
          </cell>
          <cell r="F83" t="str">
            <v>DC</v>
          </cell>
          <cell r="G83" t="str">
            <v>Late</v>
          </cell>
          <cell r="H83" t="str">
            <v>116577-1</v>
          </cell>
          <cell r="I83">
            <v>43662</v>
          </cell>
          <cell r="J83" t="str">
            <v>UPM</v>
          </cell>
          <cell r="K83" t="str">
            <v>D1907119</v>
          </cell>
          <cell r="L83">
            <v>5</v>
          </cell>
          <cell r="M83" t="str">
            <v>AAC52477-B</v>
          </cell>
          <cell r="N83">
            <v>856946</v>
          </cell>
          <cell r="O83" t="str">
            <v xml:space="preserve">1.4306 TP304L </v>
          </cell>
          <cell r="P83" t="str">
            <v>304L</v>
          </cell>
          <cell r="Q83">
            <v>3.1139999999999999</v>
          </cell>
          <cell r="R83">
            <v>3.1164999999999998</v>
          </cell>
          <cell r="S83">
            <v>4.7E-2</v>
          </cell>
          <cell r="T83">
            <v>0.55000000000000004</v>
          </cell>
          <cell r="V83">
            <v>0.55000000000000004</v>
          </cell>
          <cell r="X83">
            <v>1995</v>
          </cell>
          <cell r="Y83">
            <v>3</v>
          </cell>
          <cell r="Z83">
            <v>213.55170199100837</v>
          </cell>
          <cell r="AA83" t="str">
            <v>3.114X0.047-304L</v>
          </cell>
          <cell r="AB83" t="str">
            <v>WAAC007910120B300030</v>
          </cell>
          <cell r="AC83" t="str">
            <v>D1907119</v>
          </cell>
          <cell r="AD83">
            <v>856946</v>
          </cell>
          <cell r="AE83">
            <v>1.7999999999999999E-2</v>
          </cell>
          <cell r="AF83">
            <v>1.66</v>
          </cell>
          <cell r="AG83">
            <v>3.4000000000000002E-2</v>
          </cell>
          <cell r="AH83">
            <v>1E-4</v>
          </cell>
          <cell r="AI83">
            <v>0.43</v>
          </cell>
          <cell r="AJ83">
            <v>18.11</v>
          </cell>
          <cell r="AK83">
            <v>8.1300000000000008</v>
          </cell>
          <cell r="AL83">
            <v>0.08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Y83" t="str">
            <v/>
          </cell>
          <cell r="AZ83">
            <v>1.61</v>
          </cell>
          <cell r="BA83" t="str">
            <v>D1907119</v>
          </cell>
          <cell r="BB83" t="str">
            <v>CONFORM</v>
          </cell>
          <cell r="BC83" t="str">
            <v>CONFORM</v>
          </cell>
          <cell r="BD83" t="str">
            <v>CONFORM</v>
          </cell>
          <cell r="BE83" t="str">
            <v>CONFORM</v>
          </cell>
          <cell r="BF83" t="str">
            <v>CONFORM</v>
          </cell>
        </row>
        <row r="84">
          <cell r="A84">
            <v>43664</v>
          </cell>
          <cell r="B84" t="str">
            <v>D1907120-1</v>
          </cell>
          <cell r="C84" t="str">
            <v>006/19</v>
          </cell>
          <cell r="D84">
            <v>1</v>
          </cell>
          <cell r="E84">
            <v>43648</v>
          </cell>
          <cell r="F84" t="str">
            <v>DC</v>
          </cell>
          <cell r="G84" t="str">
            <v>Late</v>
          </cell>
          <cell r="H84" t="str">
            <v>L283718</v>
          </cell>
          <cell r="I84">
            <v>43662</v>
          </cell>
          <cell r="J84" t="str">
            <v>ATI</v>
          </cell>
          <cell r="K84" t="str">
            <v>D1907120</v>
          </cell>
          <cell r="L84">
            <v>1</v>
          </cell>
          <cell r="M84" t="str">
            <v>AAC65488-BA</v>
          </cell>
          <cell r="N84">
            <v>857974</v>
          </cell>
          <cell r="O84" t="str">
            <v xml:space="preserve">1.4462 UNS S31803/S32205 </v>
          </cell>
          <cell r="P84" t="str">
            <v>2205</v>
          </cell>
          <cell r="Q84">
            <v>2.2759999999999998</v>
          </cell>
          <cell r="R84">
            <v>2.2749999999999999</v>
          </cell>
          <cell r="S84">
            <v>6.3E-2</v>
          </cell>
          <cell r="T84">
            <v>6.3700000000000007E-2</v>
          </cell>
          <cell r="V84">
            <v>6.3700000000000007E-2</v>
          </cell>
          <cell r="X84">
            <v>4864</v>
          </cell>
          <cell r="Y84">
            <v>4</v>
          </cell>
          <cell r="Z84">
            <v>534.27065026362038</v>
          </cell>
          <cell r="AA84" t="str">
            <v>2.276X0.063-2205</v>
          </cell>
          <cell r="AB84" t="str">
            <v>WACN005780160B200012</v>
          </cell>
          <cell r="AC84" t="str">
            <v>D1907120</v>
          </cell>
          <cell r="AD84">
            <v>857974</v>
          </cell>
          <cell r="AE84">
            <v>2.1999999999999999E-2</v>
          </cell>
          <cell r="AF84">
            <v>1.81</v>
          </cell>
          <cell r="AG84">
            <v>2.8000000000000001E-2</v>
          </cell>
          <cell r="AH84">
            <v>1E-4</v>
          </cell>
          <cell r="AI84">
            <v>0.48</v>
          </cell>
          <cell r="AJ84">
            <v>22.4</v>
          </cell>
          <cell r="AK84">
            <v>5.36</v>
          </cell>
          <cell r="AL84">
            <v>0.17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Y84" t="str">
            <v/>
          </cell>
          <cell r="AZ84">
            <v>2.254</v>
          </cell>
          <cell r="BA84" t="str">
            <v>D1907120</v>
          </cell>
          <cell r="BB84" t="str">
            <v>CONFORM</v>
          </cell>
          <cell r="BC84" t="str">
            <v>CONFORM</v>
          </cell>
          <cell r="BD84" t="str">
            <v>CONFORM</v>
          </cell>
          <cell r="BE84" t="str">
            <v>CONFORM</v>
          </cell>
          <cell r="BF84" t="str">
            <v>CONFORM</v>
          </cell>
        </row>
        <row r="85">
          <cell r="A85">
            <v>43664</v>
          </cell>
          <cell r="B85" t="str">
            <v>D1907120-2</v>
          </cell>
          <cell r="C85" t="str">
            <v>006/19</v>
          </cell>
          <cell r="D85">
            <v>1</v>
          </cell>
          <cell r="E85">
            <v>43648</v>
          </cell>
          <cell r="F85" t="str">
            <v>DC</v>
          </cell>
          <cell r="G85" t="str">
            <v>Late</v>
          </cell>
          <cell r="H85" t="str">
            <v>L283718</v>
          </cell>
          <cell r="I85">
            <v>43662</v>
          </cell>
          <cell r="J85" t="str">
            <v>ATI</v>
          </cell>
          <cell r="K85" t="str">
            <v>D1907120</v>
          </cell>
          <cell r="L85">
            <v>2</v>
          </cell>
          <cell r="M85" t="str">
            <v>AAC65488-BA</v>
          </cell>
          <cell r="N85">
            <v>857974</v>
          </cell>
          <cell r="O85" t="str">
            <v xml:space="preserve">1.4462 UNS S31803/S32205 </v>
          </cell>
          <cell r="P85" t="str">
            <v>2205</v>
          </cell>
          <cell r="Q85">
            <v>2.2759999999999998</v>
          </cell>
          <cell r="R85">
            <v>2.2789999999999999</v>
          </cell>
          <cell r="S85">
            <v>6.3E-2</v>
          </cell>
          <cell r="T85">
            <v>0.624</v>
          </cell>
          <cell r="V85">
            <v>0.624</v>
          </cell>
          <cell r="X85">
            <v>3648</v>
          </cell>
          <cell r="Y85">
            <v>3</v>
          </cell>
          <cell r="Z85">
            <v>534.27065026362038</v>
          </cell>
          <cell r="AA85" t="str">
            <v>2.276X0.063-2205</v>
          </cell>
          <cell r="AB85" t="str">
            <v>WACN005780160B200012</v>
          </cell>
          <cell r="AC85" t="str">
            <v>D1907120</v>
          </cell>
          <cell r="AD85">
            <v>857974</v>
          </cell>
          <cell r="AE85">
            <v>2.1999999999999999E-2</v>
          </cell>
          <cell r="AF85">
            <v>1.81</v>
          </cell>
          <cell r="AG85">
            <v>2.8000000000000001E-2</v>
          </cell>
          <cell r="AH85">
            <v>1E-4</v>
          </cell>
          <cell r="AI85">
            <v>0.48</v>
          </cell>
          <cell r="AJ85">
            <v>22.4</v>
          </cell>
          <cell r="AK85">
            <v>5.36</v>
          </cell>
          <cell r="AL85">
            <v>0.17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Y85" t="str">
            <v/>
          </cell>
          <cell r="AZ85">
            <v>2.254</v>
          </cell>
          <cell r="BA85" t="str">
            <v>D1907120</v>
          </cell>
          <cell r="BB85" t="str">
            <v>CONFORM</v>
          </cell>
          <cell r="BC85" t="str">
            <v>CONFORM</v>
          </cell>
          <cell r="BD85" t="str">
            <v>CONFORM</v>
          </cell>
          <cell r="BE85" t="str">
            <v>CONFORM</v>
          </cell>
          <cell r="BF85" t="str">
            <v>CONFORM</v>
          </cell>
        </row>
        <row r="86">
          <cell r="A86">
            <v>43664</v>
          </cell>
          <cell r="B86" t="str">
            <v>D1907120-3</v>
          </cell>
          <cell r="C86" t="str">
            <v>006/19</v>
          </cell>
          <cell r="D86">
            <v>1</v>
          </cell>
          <cell r="E86">
            <v>43648</v>
          </cell>
          <cell r="F86" t="str">
            <v>DC</v>
          </cell>
          <cell r="G86" t="str">
            <v>Late</v>
          </cell>
          <cell r="H86" t="str">
            <v>L283718</v>
          </cell>
          <cell r="I86">
            <v>43662</v>
          </cell>
          <cell r="J86" t="str">
            <v>ATI</v>
          </cell>
          <cell r="K86" t="str">
            <v>D1907120</v>
          </cell>
          <cell r="L86">
            <v>3</v>
          </cell>
          <cell r="M86" t="str">
            <v>AAC65488-BA</v>
          </cell>
          <cell r="N86">
            <v>857974</v>
          </cell>
          <cell r="O86" t="str">
            <v xml:space="preserve">1.4462 UNS S31803/S32205 </v>
          </cell>
          <cell r="P86" t="str">
            <v>2205</v>
          </cell>
          <cell r="Q86">
            <v>2.2759999999999998</v>
          </cell>
          <cell r="R86">
            <v>2.2789999999999999</v>
          </cell>
          <cell r="S86">
            <v>6.3E-2</v>
          </cell>
          <cell r="T86">
            <v>6.3E-2</v>
          </cell>
          <cell r="V86">
            <v>6.3E-2</v>
          </cell>
          <cell r="X86">
            <v>3648</v>
          </cell>
          <cell r="Y86">
            <v>3</v>
          </cell>
          <cell r="Z86">
            <v>534.27065026362038</v>
          </cell>
          <cell r="AA86" t="str">
            <v>2.276X0.063-2205</v>
          </cell>
          <cell r="AB86" t="str">
            <v>WACN005780160B200012</v>
          </cell>
          <cell r="AC86" t="str">
            <v>D1907120</v>
          </cell>
          <cell r="AD86">
            <v>857974</v>
          </cell>
          <cell r="AE86">
            <v>2.1999999999999999E-2</v>
          </cell>
          <cell r="AF86">
            <v>1.81</v>
          </cell>
          <cell r="AG86">
            <v>2.8000000000000001E-2</v>
          </cell>
          <cell r="AH86">
            <v>1E-4</v>
          </cell>
          <cell r="AI86">
            <v>0.48</v>
          </cell>
          <cell r="AJ86">
            <v>22.4</v>
          </cell>
          <cell r="AK86">
            <v>5.36</v>
          </cell>
          <cell r="AL86">
            <v>0.17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Y86" t="str">
            <v/>
          </cell>
          <cell r="AZ86">
            <v>2.254</v>
          </cell>
          <cell r="BA86" t="str">
            <v>D1907120</v>
          </cell>
          <cell r="BB86" t="str">
            <v>CONFORM</v>
          </cell>
          <cell r="BC86" t="str">
            <v>CONFORM</v>
          </cell>
          <cell r="BD86" t="str">
            <v>CONFORM</v>
          </cell>
          <cell r="BE86" t="str">
            <v>CONFORM</v>
          </cell>
          <cell r="BF86" t="str">
            <v>CONFORM</v>
          </cell>
        </row>
        <row r="87">
          <cell r="A87">
            <v>43664</v>
          </cell>
          <cell r="B87" t="str">
            <v>D1907120-4</v>
          </cell>
          <cell r="C87" t="str">
            <v>006/19</v>
          </cell>
          <cell r="D87">
            <v>1</v>
          </cell>
          <cell r="E87">
            <v>43648</v>
          </cell>
          <cell r="F87" t="str">
            <v>DC</v>
          </cell>
          <cell r="G87" t="str">
            <v>Late</v>
          </cell>
          <cell r="H87" t="str">
            <v>L283718</v>
          </cell>
          <cell r="I87">
            <v>43662</v>
          </cell>
          <cell r="J87" t="str">
            <v>ATI</v>
          </cell>
          <cell r="K87" t="str">
            <v>D1907120</v>
          </cell>
          <cell r="L87">
            <v>4</v>
          </cell>
          <cell r="M87" t="str">
            <v>AAC65488-BB</v>
          </cell>
          <cell r="N87">
            <v>857974</v>
          </cell>
          <cell r="O87" t="str">
            <v xml:space="preserve">1.4462 UNS S31803/S32205 </v>
          </cell>
          <cell r="P87" t="str">
            <v>2205</v>
          </cell>
          <cell r="Q87">
            <v>2.2759999999999998</v>
          </cell>
          <cell r="R87">
            <v>2.27</v>
          </cell>
          <cell r="S87">
            <v>6.3E-2</v>
          </cell>
          <cell r="T87">
            <v>6.3299999999999995E-2</v>
          </cell>
          <cell r="V87">
            <v>6.3299999999999995E-2</v>
          </cell>
          <cell r="X87">
            <v>4864</v>
          </cell>
          <cell r="Y87">
            <v>4</v>
          </cell>
          <cell r="Z87">
            <v>534.27065026362038</v>
          </cell>
          <cell r="AA87" t="str">
            <v>2.276X0.063-2205</v>
          </cell>
          <cell r="AB87" t="str">
            <v>WACN005780160B200012</v>
          </cell>
          <cell r="AC87" t="str">
            <v>D1907120</v>
          </cell>
          <cell r="AD87">
            <v>857974</v>
          </cell>
          <cell r="AE87">
            <v>2.1999999999999999E-2</v>
          </cell>
          <cell r="AF87">
            <v>1.81</v>
          </cell>
          <cell r="AG87">
            <v>2.8000000000000001E-2</v>
          </cell>
          <cell r="AH87">
            <v>1E-4</v>
          </cell>
          <cell r="AI87">
            <v>0.48</v>
          </cell>
          <cell r="AJ87">
            <v>22.4</v>
          </cell>
          <cell r="AK87">
            <v>5.36</v>
          </cell>
          <cell r="AL87">
            <v>0.17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Y87" t="str">
            <v/>
          </cell>
          <cell r="AZ87">
            <v>2.254</v>
          </cell>
          <cell r="BA87" t="str">
            <v>D1907120</v>
          </cell>
          <cell r="BB87" t="str">
            <v>CONFORM</v>
          </cell>
          <cell r="BC87" t="str">
            <v>CONFORM</v>
          </cell>
          <cell r="BD87" t="str">
            <v>CONFORM</v>
          </cell>
          <cell r="BE87" t="str">
            <v>CONFORM</v>
          </cell>
          <cell r="BF87" t="str">
            <v>CONFORM</v>
          </cell>
        </row>
        <row r="88">
          <cell r="A88">
            <v>43664</v>
          </cell>
          <cell r="B88" t="str">
            <v>D1907120-5</v>
          </cell>
          <cell r="C88" t="str">
            <v>006/19</v>
          </cell>
          <cell r="D88">
            <v>1</v>
          </cell>
          <cell r="E88">
            <v>43648</v>
          </cell>
          <cell r="F88" t="str">
            <v>DC</v>
          </cell>
          <cell r="G88" t="str">
            <v>Late</v>
          </cell>
          <cell r="H88" t="str">
            <v>L283718</v>
          </cell>
          <cell r="I88">
            <v>43662</v>
          </cell>
          <cell r="J88" t="str">
            <v>ATI</v>
          </cell>
          <cell r="K88" t="str">
            <v>D1907120</v>
          </cell>
          <cell r="L88">
            <v>5</v>
          </cell>
          <cell r="M88" t="str">
            <v>AAC65488-BB</v>
          </cell>
          <cell r="N88">
            <v>857974</v>
          </cell>
          <cell r="O88" t="str">
            <v xml:space="preserve">1.4462 UNS S31803/S32205 </v>
          </cell>
          <cell r="P88" t="str">
            <v>2205</v>
          </cell>
          <cell r="Q88">
            <v>2.2759999999999998</v>
          </cell>
          <cell r="R88">
            <v>2.2759999999999998</v>
          </cell>
          <cell r="S88">
            <v>6.3E-2</v>
          </cell>
          <cell r="T88">
            <v>6.3250000000000001E-2</v>
          </cell>
          <cell r="V88">
            <v>6.3250000000000001E-2</v>
          </cell>
          <cell r="X88">
            <v>3648</v>
          </cell>
          <cell r="Y88">
            <v>3</v>
          </cell>
          <cell r="Z88">
            <v>534.27065026362038</v>
          </cell>
          <cell r="AA88" t="str">
            <v>2.276X0.063-2205</v>
          </cell>
          <cell r="AB88" t="str">
            <v>WACN005780160B200012</v>
          </cell>
          <cell r="AC88" t="str">
            <v>D1907120</v>
          </cell>
          <cell r="AD88">
            <v>857974</v>
          </cell>
          <cell r="AE88">
            <v>2.1999999999999999E-2</v>
          </cell>
          <cell r="AF88">
            <v>1.81</v>
          </cell>
          <cell r="AG88">
            <v>2.8000000000000001E-2</v>
          </cell>
          <cell r="AH88">
            <v>1E-4</v>
          </cell>
          <cell r="AI88">
            <v>0.48</v>
          </cell>
          <cell r="AJ88">
            <v>22.4</v>
          </cell>
          <cell r="AK88">
            <v>5.36</v>
          </cell>
          <cell r="AL88">
            <v>0.17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Y88" t="str">
            <v/>
          </cell>
          <cell r="AZ88">
            <v>2.254</v>
          </cell>
          <cell r="BA88" t="str">
            <v>D1907120</v>
          </cell>
          <cell r="BB88" t="str">
            <v>CONFORM</v>
          </cell>
          <cell r="BC88" t="str">
            <v>CONFORM</v>
          </cell>
          <cell r="BD88" t="str">
            <v>CONFORM</v>
          </cell>
          <cell r="BE88" t="str">
            <v>CONFORM</v>
          </cell>
          <cell r="BF88" t="str">
            <v>CONFORM</v>
          </cell>
        </row>
        <row r="89">
          <cell r="A89">
            <v>43664</v>
          </cell>
          <cell r="B89" t="str">
            <v>D1907120-6</v>
          </cell>
          <cell r="C89" t="str">
            <v>006/19</v>
          </cell>
          <cell r="D89">
            <v>1</v>
          </cell>
          <cell r="E89">
            <v>43648</v>
          </cell>
          <cell r="F89" t="str">
            <v>DC</v>
          </cell>
          <cell r="G89" t="str">
            <v>Late</v>
          </cell>
          <cell r="H89" t="str">
            <v>L283718</v>
          </cell>
          <cell r="I89">
            <v>43662</v>
          </cell>
          <cell r="J89" t="str">
            <v>ATI</v>
          </cell>
          <cell r="K89" t="str">
            <v>D1907120</v>
          </cell>
          <cell r="L89">
            <v>6</v>
          </cell>
          <cell r="M89" t="str">
            <v>AAC65488-BB</v>
          </cell>
          <cell r="N89">
            <v>857974</v>
          </cell>
          <cell r="O89" t="str">
            <v xml:space="preserve">1.4462 UNS S31803/S32205 </v>
          </cell>
          <cell r="P89" t="str">
            <v>2205</v>
          </cell>
          <cell r="Q89">
            <v>2.2759999999999998</v>
          </cell>
          <cell r="R89">
            <v>2.274</v>
          </cell>
          <cell r="S89">
            <v>6.3E-2</v>
          </cell>
          <cell r="T89">
            <v>6.3200000000000006E-2</v>
          </cell>
          <cell r="V89">
            <v>6.3200000000000006E-2</v>
          </cell>
          <cell r="X89">
            <v>3648</v>
          </cell>
          <cell r="Y89">
            <v>3</v>
          </cell>
          <cell r="Z89">
            <v>534.27065026362038</v>
          </cell>
          <cell r="AA89" t="str">
            <v>2.276X0.063-2205</v>
          </cell>
          <cell r="AB89" t="str">
            <v>WACN005780160B200012</v>
          </cell>
          <cell r="AC89" t="str">
            <v>D1907120</v>
          </cell>
          <cell r="AD89">
            <v>857974</v>
          </cell>
          <cell r="AE89">
            <v>2.1999999999999999E-2</v>
          </cell>
          <cell r="AF89">
            <v>1.81</v>
          </cell>
          <cell r="AG89">
            <v>2.8000000000000001E-2</v>
          </cell>
          <cell r="AH89">
            <v>1E-4</v>
          </cell>
          <cell r="AI89">
            <v>0.48</v>
          </cell>
          <cell r="AJ89">
            <v>22.4</v>
          </cell>
          <cell r="AK89">
            <v>5.36</v>
          </cell>
          <cell r="AL89">
            <v>0.17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Y89" t="str">
            <v/>
          </cell>
          <cell r="AZ89">
            <v>2.254</v>
          </cell>
          <cell r="BA89" t="str">
            <v>D1907120</v>
          </cell>
          <cell r="BB89" t="str">
            <v>CONFORM</v>
          </cell>
          <cell r="BC89" t="str">
            <v>CONFORM</v>
          </cell>
          <cell r="BD89" t="str">
            <v>CONFORM</v>
          </cell>
          <cell r="BE89" t="str">
            <v>CONFORM</v>
          </cell>
          <cell r="BF89" t="str">
            <v>CONFORM</v>
          </cell>
        </row>
        <row r="90">
          <cell r="A90">
            <v>43665</v>
          </cell>
          <cell r="B90" t="str">
            <v>D1907153-1</v>
          </cell>
          <cell r="C90" t="str">
            <v>020/19</v>
          </cell>
          <cell r="D90">
            <v>1</v>
          </cell>
          <cell r="E90" t="str">
            <v>JULY 2019</v>
          </cell>
          <cell r="F90" t="str">
            <v>DC</v>
          </cell>
          <cell r="G90" t="str">
            <v>Late</v>
          </cell>
          <cell r="H90">
            <v>780</v>
          </cell>
          <cell r="I90">
            <v>43640</v>
          </cell>
          <cell r="J90" t="str">
            <v>ADTI</v>
          </cell>
          <cell r="K90" t="str">
            <v>D1907153</v>
          </cell>
          <cell r="L90">
            <v>1</v>
          </cell>
          <cell r="N90">
            <v>1012897</v>
          </cell>
          <cell r="O90" t="str">
            <v xml:space="preserve">1.4401/1.4404 TP316/316L </v>
          </cell>
          <cell r="P90" t="str">
            <v>316L</v>
          </cell>
          <cell r="Q90">
            <v>2.9169999999999998</v>
          </cell>
          <cell r="R90">
            <v>2.9169999999999998</v>
          </cell>
          <cell r="S90">
            <v>0.11</v>
          </cell>
          <cell r="T90">
            <v>0.11</v>
          </cell>
          <cell r="V90">
            <v>0.11</v>
          </cell>
          <cell r="X90">
            <v>2641</v>
          </cell>
          <cell r="Y90">
            <v>1</v>
          </cell>
          <cell r="Z90">
            <v>905.38224202948243</v>
          </cell>
          <cell r="AA90" t="str">
            <v>2.917X0.11-316L</v>
          </cell>
          <cell r="AB90" t="str">
            <v>WAAF007410280B300037</v>
          </cell>
          <cell r="AC90" t="str">
            <v>D1907153</v>
          </cell>
          <cell r="AD90">
            <v>1012897</v>
          </cell>
          <cell r="AE90">
            <v>1.7000000000000001E-2</v>
          </cell>
          <cell r="AF90">
            <v>0.93100000000000005</v>
          </cell>
          <cell r="AG90">
            <v>3.3000000000000002E-2</v>
          </cell>
          <cell r="AH90">
            <v>1E-3</v>
          </cell>
          <cell r="AI90">
            <v>0.57999999999999996</v>
          </cell>
          <cell r="AJ90">
            <v>16.7</v>
          </cell>
          <cell r="AK90">
            <v>10.119999999999999</v>
          </cell>
          <cell r="AL90">
            <v>2.3E-2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Y90" t="str">
            <v/>
          </cell>
          <cell r="AZ90">
            <v>1.7</v>
          </cell>
          <cell r="BA90" t="str">
            <v>D1907153</v>
          </cell>
          <cell r="BB90" t="str">
            <v>CONFORM</v>
          </cell>
          <cell r="BC90" t="str">
            <v>CONFORM</v>
          </cell>
          <cell r="BD90" t="str">
            <v>CONFORM</v>
          </cell>
          <cell r="BE90" t="str">
            <v>CONFORM</v>
          </cell>
          <cell r="BF90" t="str">
            <v>CONFORM</v>
          </cell>
        </row>
        <row r="91">
          <cell r="A91">
            <v>43665</v>
          </cell>
          <cell r="B91" t="str">
            <v>D1907153-2</v>
          </cell>
          <cell r="C91" t="str">
            <v>020/19</v>
          </cell>
          <cell r="D91">
            <v>2</v>
          </cell>
          <cell r="E91" t="str">
            <v>JULY 2019</v>
          </cell>
          <cell r="F91" t="str">
            <v>DC</v>
          </cell>
          <cell r="G91" t="str">
            <v>Late</v>
          </cell>
          <cell r="H91">
            <v>780</v>
          </cell>
          <cell r="I91">
            <v>43640</v>
          </cell>
          <cell r="J91" t="str">
            <v>ADTI</v>
          </cell>
          <cell r="K91" t="str">
            <v>D1907153</v>
          </cell>
          <cell r="L91">
            <v>2</v>
          </cell>
          <cell r="N91">
            <v>1012897</v>
          </cell>
          <cell r="O91" t="str">
            <v xml:space="preserve">1.4401/1.4404 TP316/316L </v>
          </cell>
          <cell r="P91" t="str">
            <v>316L</v>
          </cell>
          <cell r="Q91">
            <v>2.9169999999999998</v>
          </cell>
          <cell r="R91">
            <v>2.9169999999999998</v>
          </cell>
          <cell r="S91">
            <v>0.11</v>
          </cell>
          <cell r="T91">
            <v>0.11</v>
          </cell>
          <cell r="V91">
            <v>0.11</v>
          </cell>
          <cell r="X91">
            <v>5300</v>
          </cell>
          <cell r="Y91">
            <v>2</v>
          </cell>
          <cell r="Z91">
            <v>908.46760370243408</v>
          </cell>
          <cell r="AA91" t="str">
            <v>2.917X0.11-316L</v>
          </cell>
          <cell r="AB91" t="str">
            <v>WAAF007410280B300037</v>
          </cell>
          <cell r="AC91" t="str">
            <v>D1907153</v>
          </cell>
          <cell r="AD91">
            <v>1012897</v>
          </cell>
          <cell r="AE91">
            <v>1.7000000000000001E-2</v>
          </cell>
          <cell r="AF91">
            <v>0.93100000000000005</v>
          </cell>
          <cell r="AG91">
            <v>3.3000000000000002E-2</v>
          </cell>
          <cell r="AH91">
            <v>1E-3</v>
          </cell>
          <cell r="AI91">
            <v>0.57999999999999996</v>
          </cell>
          <cell r="AJ91">
            <v>16.7</v>
          </cell>
          <cell r="AK91">
            <v>10.119999999999999</v>
          </cell>
          <cell r="AL91">
            <v>2.3E-2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Y91" t="str">
            <v/>
          </cell>
          <cell r="AZ91">
            <v>1.7</v>
          </cell>
          <cell r="BA91" t="str">
            <v>D1907153</v>
          </cell>
          <cell r="BB91" t="str">
            <v>CONFORM</v>
          </cell>
          <cell r="BC91" t="str">
            <v>CONFORM</v>
          </cell>
          <cell r="BD91" t="str">
            <v>CONFORM</v>
          </cell>
          <cell r="BE91" t="str">
            <v>CONFORM</v>
          </cell>
          <cell r="BF91" t="str">
            <v>CONFORM</v>
          </cell>
        </row>
        <row r="92">
          <cell r="A92">
            <v>43665</v>
          </cell>
          <cell r="B92" t="str">
            <v>D1907153-3</v>
          </cell>
          <cell r="C92" t="str">
            <v>020/19</v>
          </cell>
          <cell r="D92">
            <v>3</v>
          </cell>
          <cell r="E92" t="str">
            <v>JULY 2019</v>
          </cell>
          <cell r="F92" t="str">
            <v>DC</v>
          </cell>
          <cell r="G92" t="str">
            <v>Late</v>
          </cell>
          <cell r="H92">
            <v>780</v>
          </cell>
          <cell r="I92">
            <v>43640</v>
          </cell>
          <cell r="J92" t="str">
            <v>ADTI</v>
          </cell>
          <cell r="K92" t="str">
            <v>D1907153</v>
          </cell>
          <cell r="L92">
            <v>3</v>
          </cell>
          <cell r="N92">
            <v>1012897</v>
          </cell>
          <cell r="O92" t="str">
            <v xml:space="preserve">1.4401/1.4404 TP316/316L </v>
          </cell>
          <cell r="P92" t="str">
            <v>316L</v>
          </cell>
          <cell r="Q92">
            <v>2.9169999999999998</v>
          </cell>
          <cell r="R92">
            <v>2.9169999999999998</v>
          </cell>
          <cell r="S92">
            <v>0.11</v>
          </cell>
          <cell r="T92">
            <v>0.11</v>
          </cell>
          <cell r="V92">
            <v>0.11</v>
          </cell>
          <cell r="X92">
            <v>5300</v>
          </cell>
          <cell r="Y92">
            <v>2</v>
          </cell>
          <cell r="Z92">
            <v>908.46760370243408</v>
          </cell>
          <cell r="AA92" t="str">
            <v>2.917X0.11-316L</v>
          </cell>
          <cell r="AB92" t="str">
            <v>WAAF007410280B300037</v>
          </cell>
          <cell r="AC92" t="str">
            <v>D1907153</v>
          </cell>
          <cell r="AD92">
            <v>1012897</v>
          </cell>
          <cell r="AE92">
            <v>1.7000000000000001E-2</v>
          </cell>
          <cell r="AF92">
            <v>0.93100000000000005</v>
          </cell>
          <cell r="AG92">
            <v>3.3000000000000002E-2</v>
          </cell>
          <cell r="AH92">
            <v>1E-3</v>
          </cell>
          <cell r="AI92">
            <v>0.57999999999999996</v>
          </cell>
          <cell r="AJ92">
            <v>16.7</v>
          </cell>
          <cell r="AK92">
            <v>10.119999999999999</v>
          </cell>
          <cell r="AL92">
            <v>2.3E-2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Y92" t="str">
            <v/>
          </cell>
          <cell r="AZ92">
            <v>1.7</v>
          </cell>
          <cell r="BA92" t="str">
            <v>D1907153</v>
          </cell>
          <cell r="BB92" t="str">
            <v>CONFORM</v>
          </cell>
          <cell r="BC92" t="str">
            <v>CONFORM</v>
          </cell>
          <cell r="BD92" t="str">
            <v>CONFORM</v>
          </cell>
          <cell r="BE92" t="str">
            <v>CONFORM</v>
          </cell>
          <cell r="BF92" t="str">
            <v>CONFORM</v>
          </cell>
        </row>
        <row r="93">
          <cell r="A93">
            <v>43665</v>
          </cell>
          <cell r="B93" t="str">
            <v>D1907154-1</v>
          </cell>
          <cell r="C93" t="str">
            <v>020/19</v>
          </cell>
          <cell r="D93">
            <v>4</v>
          </cell>
          <cell r="E93" t="str">
            <v>JULY 2019</v>
          </cell>
          <cell r="F93" t="str">
            <v>DC</v>
          </cell>
          <cell r="G93" t="str">
            <v>Late</v>
          </cell>
          <cell r="H93">
            <v>780</v>
          </cell>
          <cell r="I93">
            <v>43640</v>
          </cell>
          <cell r="J93" t="str">
            <v>ADTI</v>
          </cell>
          <cell r="K93" t="str">
            <v>D1907154</v>
          </cell>
          <cell r="L93">
            <v>1</v>
          </cell>
          <cell r="N93" t="str">
            <v>0530742</v>
          </cell>
          <cell r="O93" t="str">
            <v xml:space="preserve">1.4401/1.4404 TP316/316L </v>
          </cell>
          <cell r="P93" t="str">
            <v>316L</v>
          </cell>
          <cell r="Q93">
            <v>2.992</v>
          </cell>
          <cell r="R93">
            <v>2.992</v>
          </cell>
          <cell r="S93">
            <v>0.11</v>
          </cell>
          <cell r="T93">
            <v>8.6999999999999994E-2</v>
          </cell>
          <cell r="V93">
            <v>8.6999999999999994E-2</v>
          </cell>
          <cell r="X93">
            <v>4713</v>
          </cell>
          <cell r="Y93">
            <v>2</v>
          </cell>
          <cell r="Z93">
            <v>787.60026737967917</v>
          </cell>
          <cell r="AA93" t="str">
            <v>2.992X0.11-316L</v>
          </cell>
          <cell r="AB93" t="e">
            <v>#N/A</v>
          </cell>
          <cell r="AC93" t="str">
            <v>D1907154</v>
          </cell>
          <cell r="AD93" t="str">
            <v>0530742</v>
          </cell>
          <cell r="AE93">
            <v>2.3E-2</v>
          </cell>
          <cell r="AF93">
            <v>1.1000000000000001</v>
          </cell>
          <cell r="AG93">
            <v>2.8000000000000001E-2</v>
          </cell>
          <cell r="AH93">
            <v>1E-3</v>
          </cell>
          <cell r="AI93">
            <v>0.32</v>
          </cell>
          <cell r="AJ93">
            <v>16.850000000000001</v>
          </cell>
          <cell r="AK93">
            <v>10.11</v>
          </cell>
          <cell r="AL93">
            <v>4.9000000000000002E-2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Y93" t="str">
            <v/>
          </cell>
          <cell r="AZ93">
            <v>1.7</v>
          </cell>
          <cell r="BA93" t="str">
            <v>D1907154</v>
          </cell>
          <cell r="BB93" t="str">
            <v>CONFORM</v>
          </cell>
          <cell r="BC93" t="str">
            <v>CONFORM</v>
          </cell>
          <cell r="BD93" t="str">
            <v>CONFORM</v>
          </cell>
          <cell r="BE93" t="str">
            <v>CONFORM</v>
          </cell>
          <cell r="BF93" t="str">
            <v>CONFORM</v>
          </cell>
        </row>
        <row r="94">
          <cell r="A94">
            <v>43665</v>
          </cell>
          <cell r="B94" t="str">
            <v>D1907155-1</v>
          </cell>
          <cell r="C94" t="str">
            <v>020/19</v>
          </cell>
          <cell r="D94">
            <v>5</v>
          </cell>
          <cell r="E94" t="str">
            <v>JULY 2019</v>
          </cell>
          <cell r="F94" t="str">
            <v>DC</v>
          </cell>
          <cell r="G94" t="str">
            <v>Late</v>
          </cell>
          <cell r="H94">
            <v>780</v>
          </cell>
          <cell r="I94">
            <v>43640</v>
          </cell>
          <cell r="J94" t="str">
            <v>ADTI</v>
          </cell>
          <cell r="K94" t="str">
            <v>D1907155</v>
          </cell>
          <cell r="L94">
            <v>1</v>
          </cell>
          <cell r="N94">
            <v>21800873</v>
          </cell>
          <cell r="O94" t="e">
            <v>#N/A</v>
          </cell>
          <cell r="P94" t="str">
            <v>321</v>
          </cell>
          <cell r="Q94">
            <v>4</v>
          </cell>
          <cell r="R94">
            <v>4</v>
          </cell>
          <cell r="S94">
            <v>0.02</v>
          </cell>
          <cell r="T94">
            <v>0.02</v>
          </cell>
          <cell r="V94">
            <v>0.02</v>
          </cell>
          <cell r="X94">
            <v>2094</v>
          </cell>
          <cell r="Y94">
            <v>2</v>
          </cell>
          <cell r="Z94">
            <v>261.75</v>
          </cell>
          <cell r="AA94" t="str">
            <v>4X0.02-321</v>
          </cell>
          <cell r="AB94" t="str">
            <v>WAAJ010160050B300036</v>
          </cell>
          <cell r="AC94" t="str">
            <v>D1907155</v>
          </cell>
          <cell r="AD94">
            <v>21800873</v>
          </cell>
          <cell r="AE94">
            <v>0.01</v>
          </cell>
          <cell r="AF94">
            <v>1.76</v>
          </cell>
          <cell r="AG94">
            <v>3.5000000000000003E-2</v>
          </cell>
          <cell r="AH94">
            <v>1E-3</v>
          </cell>
          <cell r="AI94">
            <v>0.36</v>
          </cell>
          <cell r="AJ94">
            <v>17.61</v>
          </cell>
          <cell r="AK94">
            <v>9.09</v>
          </cell>
          <cell r="AL94">
            <v>8.9999999999999993E-3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Y94" t="str">
            <v/>
          </cell>
          <cell r="AZ94">
            <v>1.51</v>
          </cell>
          <cell r="BA94" t="str">
            <v>D1907155</v>
          </cell>
          <cell r="BB94" t="str">
            <v>CONFORM</v>
          </cell>
          <cell r="BC94" t="str">
            <v>CONFORM</v>
          </cell>
          <cell r="BD94" t="str">
            <v>CONFORM</v>
          </cell>
          <cell r="BE94" t="str">
            <v>CONFORM</v>
          </cell>
          <cell r="BF94" t="str">
            <v>CONFORM</v>
          </cell>
        </row>
        <row r="95">
          <cell r="A95">
            <v>43665</v>
          </cell>
          <cell r="B95" t="str">
            <v>D1907155-3</v>
          </cell>
          <cell r="C95" t="str">
            <v>020/19</v>
          </cell>
          <cell r="D95">
            <v>6</v>
          </cell>
          <cell r="E95" t="str">
            <v>JULY 2019</v>
          </cell>
          <cell r="F95" t="str">
            <v>DC</v>
          </cell>
          <cell r="G95" t="str">
            <v>Late</v>
          </cell>
          <cell r="H95">
            <v>780</v>
          </cell>
          <cell r="I95">
            <v>43640</v>
          </cell>
          <cell r="J95" t="str">
            <v>ADTI</v>
          </cell>
          <cell r="K95" t="str">
            <v>D1907155</v>
          </cell>
          <cell r="L95">
            <v>3</v>
          </cell>
          <cell r="N95">
            <v>21800873</v>
          </cell>
          <cell r="O95" t="e">
            <v>#N/A</v>
          </cell>
          <cell r="P95" t="str">
            <v>321</v>
          </cell>
          <cell r="Q95">
            <v>4</v>
          </cell>
          <cell r="R95">
            <v>4</v>
          </cell>
          <cell r="S95">
            <v>0.02</v>
          </cell>
          <cell r="T95">
            <v>0.02</v>
          </cell>
          <cell r="V95">
            <v>0.02</v>
          </cell>
          <cell r="X95">
            <v>3175</v>
          </cell>
          <cell r="Y95">
            <v>3</v>
          </cell>
          <cell r="Z95">
            <v>264.58333333333331</v>
          </cell>
          <cell r="AA95" t="str">
            <v>4X0.02-321</v>
          </cell>
          <cell r="AB95" t="str">
            <v>WAAJ010160050B300036</v>
          </cell>
          <cell r="AC95" t="str">
            <v>D1907155</v>
          </cell>
          <cell r="AD95">
            <v>21800873</v>
          </cell>
          <cell r="AE95">
            <v>0.01</v>
          </cell>
          <cell r="AF95">
            <v>1.76</v>
          </cell>
          <cell r="AG95">
            <v>3.5000000000000003E-2</v>
          </cell>
          <cell r="AH95">
            <v>1E-3</v>
          </cell>
          <cell r="AI95">
            <v>0.36</v>
          </cell>
          <cell r="AJ95">
            <v>17.61</v>
          </cell>
          <cell r="AK95">
            <v>9.09</v>
          </cell>
          <cell r="AL95">
            <v>8.9999999999999993E-3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Y95" t="str">
            <v/>
          </cell>
          <cell r="AZ95">
            <v>1.51</v>
          </cell>
          <cell r="BA95" t="str">
            <v>D1907155</v>
          </cell>
          <cell r="BB95" t="str">
            <v>CONFORM</v>
          </cell>
          <cell r="BC95" t="str">
            <v>CONFORM</v>
          </cell>
          <cell r="BD95" t="str">
            <v>CONFORM</v>
          </cell>
          <cell r="BE95" t="str">
            <v>CONFORM</v>
          </cell>
          <cell r="BF95" t="str">
            <v>CONFORM</v>
          </cell>
        </row>
        <row r="96">
          <cell r="A96">
            <v>43665</v>
          </cell>
          <cell r="B96" t="str">
            <v>D1907156-1</v>
          </cell>
          <cell r="C96" t="str">
            <v>020/19</v>
          </cell>
          <cell r="D96">
            <v>7</v>
          </cell>
          <cell r="E96" t="str">
            <v>JULY 2019</v>
          </cell>
          <cell r="F96" t="str">
            <v>DC</v>
          </cell>
          <cell r="G96" t="str">
            <v>Late</v>
          </cell>
          <cell r="H96">
            <v>780</v>
          </cell>
          <cell r="I96">
            <v>43640</v>
          </cell>
          <cell r="J96" t="str">
            <v>ADTI</v>
          </cell>
          <cell r="K96" t="str">
            <v>D1907156</v>
          </cell>
          <cell r="L96">
            <v>1</v>
          </cell>
          <cell r="N96">
            <v>120246</v>
          </cell>
          <cell r="O96" t="str">
            <v>2.4856 UNS N06625</v>
          </cell>
          <cell r="P96" t="str">
            <v>A625</v>
          </cell>
          <cell r="Q96">
            <v>2.2639999999999998</v>
          </cell>
          <cell r="R96">
            <v>2.2639999999999998</v>
          </cell>
          <cell r="S96">
            <v>6.7000000000000004E-2</v>
          </cell>
          <cell r="T96">
            <v>6.7000000000000004E-2</v>
          </cell>
          <cell r="V96">
            <v>6.7000000000000004E-2</v>
          </cell>
          <cell r="X96">
            <v>1186</v>
          </cell>
          <cell r="Y96">
            <v>2</v>
          </cell>
          <cell r="Z96">
            <v>261.92579505300358</v>
          </cell>
          <cell r="AA96" t="str">
            <v>2.264X0.067-A625</v>
          </cell>
          <cell r="AB96" t="str">
            <v>WABG005750170B900039</v>
          </cell>
          <cell r="AC96" t="str">
            <v>D1907156</v>
          </cell>
          <cell r="AD96">
            <v>120246</v>
          </cell>
          <cell r="AE96">
            <v>0.01</v>
          </cell>
          <cell r="AF96">
            <v>7.0000000000000007E-2</v>
          </cell>
          <cell r="AG96">
            <v>5.0000000000000001E-3</v>
          </cell>
          <cell r="AH96">
            <v>2E-3</v>
          </cell>
          <cell r="AI96">
            <v>0.18</v>
          </cell>
          <cell r="AJ96">
            <v>21.6</v>
          </cell>
          <cell r="AK96">
            <v>61</v>
          </cell>
          <cell r="AL96">
            <v>3.34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Y96" t="str">
            <v/>
          </cell>
          <cell r="AZ96">
            <v>11.03</v>
          </cell>
          <cell r="BA96" t="str">
            <v>D1907156</v>
          </cell>
          <cell r="BB96" t="str">
            <v>CONFORM</v>
          </cell>
          <cell r="BC96" t="str">
            <v>CONFORM</v>
          </cell>
          <cell r="BD96" t="str">
            <v>CONFORM</v>
          </cell>
          <cell r="BE96" t="str">
            <v>CONFORM</v>
          </cell>
          <cell r="BF96" t="str">
            <v>CONFORM</v>
          </cell>
        </row>
        <row r="97">
          <cell r="A97">
            <v>43665</v>
          </cell>
          <cell r="B97" t="str">
            <v>D1907157-1</v>
          </cell>
          <cell r="C97" t="str">
            <v>020/19</v>
          </cell>
          <cell r="D97">
            <v>8</v>
          </cell>
          <cell r="E97" t="str">
            <v>JULY 2019</v>
          </cell>
          <cell r="F97" t="str">
            <v>DC</v>
          </cell>
          <cell r="G97" t="str">
            <v>Late</v>
          </cell>
          <cell r="H97">
            <v>780</v>
          </cell>
          <cell r="I97">
            <v>43640</v>
          </cell>
          <cell r="J97" t="str">
            <v>ADTI</v>
          </cell>
          <cell r="K97" t="str">
            <v>D1907157</v>
          </cell>
          <cell r="L97">
            <v>1</v>
          </cell>
          <cell r="N97">
            <v>525166</v>
          </cell>
          <cell r="O97" t="str">
            <v>2.4856 UNS N06625</v>
          </cell>
          <cell r="P97" t="str">
            <v>A625</v>
          </cell>
          <cell r="Q97">
            <v>2.2639999999999998</v>
          </cell>
          <cell r="R97">
            <v>2.2639999999999998</v>
          </cell>
          <cell r="S97">
            <v>6.7000000000000004E-2</v>
          </cell>
          <cell r="T97">
            <v>6.7000000000000004E-2</v>
          </cell>
          <cell r="V97">
            <v>6.7000000000000004E-2</v>
          </cell>
          <cell r="X97">
            <v>688</v>
          </cell>
          <cell r="Y97">
            <v>1</v>
          </cell>
          <cell r="Z97">
            <v>303.88692579505306</v>
          </cell>
          <cell r="AA97" t="str">
            <v>2.264X0.067-A625</v>
          </cell>
          <cell r="AB97" t="str">
            <v>WABG005750170B900039</v>
          </cell>
          <cell r="AC97" t="str">
            <v>D1907157</v>
          </cell>
          <cell r="AD97">
            <v>525166</v>
          </cell>
          <cell r="AE97">
            <v>0.04</v>
          </cell>
          <cell r="AF97">
            <v>0.35</v>
          </cell>
          <cell r="AG97">
            <v>7.0000000000000001E-3</v>
          </cell>
          <cell r="AH97">
            <v>2.0000000000000001E-4</v>
          </cell>
          <cell r="AI97">
            <v>0.2</v>
          </cell>
          <cell r="AJ97">
            <v>21.9</v>
          </cell>
          <cell r="AK97">
            <v>60.9</v>
          </cell>
          <cell r="AL97">
            <v>3.5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Y97" t="str">
            <v/>
          </cell>
          <cell r="AZ97">
            <v>11.06</v>
          </cell>
          <cell r="BA97" t="str">
            <v>D1907157</v>
          </cell>
          <cell r="BB97" t="str">
            <v>CONFORM</v>
          </cell>
          <cell r="BC97" t="str">
            <v>CONFORM</v>
          </cell>
          <cell r="BD97" t="str">
            <v>CONFORM</v>
          </cell>
          <cell r="BE97" t="str">
            <v>CONFORM</v>
          </cell>
          <cell r="BF97" t="str">
            <v>CONFORM</v>
          </cell>
        </row>
        <row r="98">
          <cell r="A98">
            <v>43665</v>
          </cell>
          <cell r="B98" t="str">
            <v>D1907158-1</v>
          </cell>
          <cell r="C98" t="str">
            <v>020/19</v>
          </cell>
          <cell r="D98">
            <v>9</v>
          </cell>
          <cell r="E98" t="str">
            <v>JULY 2019</v>
          </cell>
          <cell r="F98" t="str">
            <v>DC</v>
          </cell>
          <cell r="G98" t="str">
            <v>Late</v>
          </cell>
          <cell r="H98">
            <v>780</v>
          </cell>
          <cell r="I98">
            <v>43640</v>
          </cell>
          <cell r="J98" t="str">
            <v>ADTI</v>
          </cell>
          <cell r="K98" t="str">
            <v>D1907158</v>
          </cell>
          <cell r="L98">
            <v>1</v>
          </cell>
          <cell r="N98">
            <v>525243</v>
          </cell>
          <cell r="O98" t="str">
            <v>2.4856 UNS N06625</v>
          </cell>
          <cell r="P98" t="str">
            <v>A625</v>
          </cell>
          <cell r="Q98">
            <v>2.2639999999999998</v>
          </cell>
          <cell r="R98">
            <v>2.2639999999999998</v>
          </cell>
          <cell r="S98">
            <v>6.7000000000000004E-2</v>
          </cell>
          <cell r="T98">
            <v>6.7000000000000004E-2</v>
          </cell>
          <cell r="V98">
            <v>6.7000000000000004E-2</v>
          </cell>
          <cell r="X98">
            <v>1025</v>
          </cell>
          <cell r="Y98">
            <v>2</v>
          </cell>
          <cell r="Z98">
            <v>226.36925795053006</v>
          </cell>
          <cell r="AA98" t="str">
            <v>2.264X0.067-A625</v>
          </cell>
          <cell r="AB98" t="str">
            <v>WABG005750170B900039</v>
          </cell>
          <cell r="AC98" t="str">
            <v>D1907158</v>
          </cell>
          <cell r="AD98">
            <v>525243</v>
          </cell>
          <cell r="AE98">
            <v>0.04</v>
          </cell>
          <cell r="AF98">
            <v>0.33</v>
          </cell>
          <cell r="AG98">
            <v>7.0000000000000001E-3</v>
          </cell>
          <cell r="AH98">
            <v>1E-4</v>
          </cell>
          <cell r="AI98">
            <v>0.21</v>
          </cell>
          <cell r="AJ98">
            <v>22.1</v>
          </cell>
          <cell r="AK98">
            <v>60.5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Y98" t="str">
            <v/>
          </cell>
          <cell r="AZ98">
            <v>12.68</v>
          </cell>
          <cell r="BA98" t="str">
            <v>D1907158</v>
          </cell>
          <cell r="BB98" t="str">
            <v>CONFORM</v>
          </cell>
          <cell r="BC98" t="str">
            <v>CONFORM</v>
          </cell>
          <cell r="BD98" t="str">
            <v>CONFORM</v>
          </cell>
          <cell r="BE98" t="str">
            <v>CONFORM</v>
          </cell>
          <cell r="BF98" t="str">
            <v>CONFORM</v>
          </cell>
        </row>
        <row r="99">
          <cell r="A99">
            <v>43665</v>
          </cell>
          <cell r="B99" t="str">
            <v>D1907159-1</v>
          </cell>
          <cell r="C99" t="str">
            <v>020/19</v>
          </cell>
          <cell r="D99">
            <v>10</v>
          </cell>
          <cell r="E99" t="str">
            <v>JULY 2019</v>
          </cell>
          <cell r="F99" t="str">
            <v>DC</v>
          </cell>
          <cell r="G99" t="str">
            <v>Late</v>
          </cell>
          <cell r="H99">
            <v>780</v>
          </cell>
          <cell r="I99">
            <v>43640</v>
          </cell>
          <cell r="J99" t="str">
            <v>ADTI</v>
          </cell>
          <cell r="K99" t="str">
            <v>D1907159</v>
          </cell>
          <cell r="L99">
            <v>1</v>
          </cell>
          <cell r="N99">
            <v>117822</v>
          </cell>
          <cell r="O99" t="str">
            <v>2.4856 UNS N06625</v>
          </cell>
          <cell r="P99" t="str">
            <v>A625</v>
          </cell>
          <cell r="Q99">
            <v>2.2749999999999999</v>
          </cell>
          <cell r="R99">
            <v>2.2749999999999999</v>
          </cell>
          <cell r="S99">
            <v>6.3E-2</v>
          </cell>
          <cell r="T99">
            <v>6.3E-2</v>
          </cell>
          <cell r="V99">
            <v>6.3E-2</v>
          </cell>
          <cell r="X99">
            <v>613</v>
          </cell>
          <cell r="Y99">
            <v>1</v>
          </cell>
          <cell r="Z99">
            <v>269.45054945054949</v>
          </cell>
          <cell r="AA99" t="str">
            <v>2.275X0.063-A625</v>
          </cell>
          <cell r="AB99" t="str">
            <v>WABG005780160B900029</v>
          </cell>
          <cell r="AC99" t="str">
            <v>D1907159</v>
          </cell>
          <cell r="AD99">
            <v>117822</v>
          </cell>
          <cell r="AE99">
            <v>0.02</v>
          </cell>
          <cell r="AF99">
            <v>0.05</v>
          </cell>
          <cell r="AG99">
            <v>6.0000000000000001E-3</v>
          </cell>
          <cell r="AH99">
            <v>2E-3</v>
          </cell>
          <cell r="AI99">
            <v>0.19</v>
          </cell>
          <cell r="AJ99">
            <v>21.5</v>
          </cell>
          <cell r="AK99">
            <v>61.1</v>
          </cell>
          <cell r="AL99">
            <v>3.45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Y99" t="str">
            <v/>
          </cell>
          <cell r="AZ99">
            <v>10.92</v>
          </cell>
          <cell r="BA99" t="str">
            <v>D1907159</v>
          </cell>
          <cell r="BB99" t="str">
            <v>CONFORM</v>
          </cell>
          <cell r="BC99" t="str">
            <v>CONFORM</v>
          </cell>
          <cell r="BD99" t="str">
            <v>CONFORM</v>
          </cell>
          <cell r="BE99" t="str">
            <v>CONFORM</v>
          </cell>
          <cell r="BF99" t="str">
            <v>CONFORM</v>
          </cell>
        </row>
        <row r="100">
          <cell r="A100">
            <v>43671</v>
          </cell>
          <cell r="B100" t="str">
            <v>D1907180-1</v>
          </cell>
          <cell r="C100" t="str">
            <v>006/19</v>
          </cell>
          <cell r="D100">
            <v>1</v>
          </cell>
          <cell r="E100">
            <v>43648</v>
          </cell>
          <cell r="F100" t="str">
            <v>DC</v>
          </cell>
          <cell r="G100" t="str">
            <v>Late</v>
          </cell>
          <cell r="H100" t="str">
            <v>L287285</v>
          </cell>
          <cell r="I100">
            <v>43668</v>
          </cell>
          <cell r="J100" t="str">
            <v>ATI</v>
          </cell>
          <cell r="K100" t="str">
            <v>D1907180</v>
          </cell>
          <cell r="L100">
            <v>1</v>
          </cell>
          <cell r="M100" t="str">
            <v>AAC65487-B</v>
          </cell>
          <cell r="N100">
            <v>857974</v>
          </cell>
          <cell r="O100" t="str">
            <v xml:space="preserve">1.4462 UNS S31803/S32205 </v>
          </cell>
          <cell r="P100" t="str">
            <v>2205</v>
          </cell>
          <cell r="Q100">
            <v>2.2759999999999998</v>
          </cell>
          <cell r="R100">
            <v>2.2749999999999999</v>
          </cell>
          <cell r="S100">
            <v>6.3E-2</v>
          </cell>
          <cell r="T100">
            <v>6.3350000000000004E-2</v>
          </cell>
          <cell r="V100">
            <v>6.3350000000000004E-2</v>
          </cell>
          <cell r="X100">
            <v>5742</v>
          </cell>
          <cell r="Y100">
            <v>6</v>
          </cell>
          <cell r="Z100">
            <v>420.47451669595785</v>
          </cell>
          <cell r="AA100" t="str">
            <v>2.276X0.063-2205</v>
          </cell>
          <cell r="AB100" t="str">
            <v>WACN005780160B200012</v>
          </cell>
          <cell r="AC100" t="str">
            <v>D1907180</v>
          </cell>
          <cell r="AD100">
            <v>857974</v>
          </cell>
          <cell r="AE100">
            <v>2.1999999999999999E-2</v>
          </cell>
          <cell r="AF100">
            <v>1.81</v>
          </cell>
          <cell r="AG100">
            <v>2.8000000000000001E-2</v>
          </cell>
          <cell r="AH100">
            <v>1E-4</v>
          </cell>
          <cell r="AI100">
            <v>0.48</v>
          </cell>
          <cell r="AJ100">
            <v>22.4</v>
          </cell>
          <cell r="AK100">
            <v>5.36</v>
          </cell>
          <cell r="AL100">
            <v>0.17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Y100" t="str">
            <v/>
          </cell>
          <cell r="AZ100">
            <v>2.254</v>
          </cell>
          <cell r="BA100" t="str">
            <v>D1907180</v>
          </cell>
          <cell r="BB100" t="str">
            <v>CONFORM</v>
          </cell>
          <cell r="BC100" t="str">
            <v>CONFORM</v>
          </cell>
          <cell r="BD100" t="str">
            <v>CONFORM</v>
          </cell>
          <cell r="BE100" t="str">
            <v>CONFORM</v>
          </cell>
          <cell r="BF100" t="str">
            <v>CONFORM</v>
          </cell>
        </row>
        <row r="101">
          <cell r="A101">
            <v>43671</v>
          </cell>
          <cell r="B101" t="str">
            <v>D1907180-2</v>
          </cell>
          <cell r="C101" t="str">
            <v>006/19</v>
          </cell>
          <cell r="D101">
            <v>1</v>
          </cell>
          <cell r="E101">
            <v>43648</v>
          </cell>
          <cell r="F101" t="str">
            <v>DC</v>
          </cell>
          <cell r="G101" t="str">
            <v>Late</v>
          </cell>
          <cell r="H101" t="str">
            <v>L287285</v>
          </cell>
          <cell r="I101">
            <v>43668</v>
          </cell>
          <cell r="J101" t="str">
            <v>ATI</v>
          </cell>
          <cell r="K101" t="str">
            <v>D1907180</v>
          </cell>
          <cell r="L101">
            <v>2</v>
          </cell>
          <cell r="M101" t="str">
            <v>AAC65487-B</v>
          </cell>
          <cell r="N101">
            <v>857974</v>
          </cell>
          <cell r="O101" t="str">
            <v xml:space="preserve">1.4462 UNS S31803/S32205 </v>
          </cell>
          <cell r="P101" t="str">
            <v>2205</v>
          </cell>
          <cell r="Q101">
            <v>2.2759999999999998</v>
          </cell>
          <cell r="R101">
            <v>2.278</v>
          </cell>
          <cell r="S101">
            <v>6.3E-2</v>
          </cell>
          <cell r="T101">
            <v>6.2399999999999997E-2</v>
          </cell>
          <cell r="V101">
            <v>6.2399999999999997E-2</v>
          </cell>
          <cell r="X101">
            <v>4785</v>
          </cell>
          <cell r="Y101">
            <v>5</v>
          </cell>
          <cell r="Z101">
            <v>420.47451669595785</v>
          </cell>
          <cell r="AA101" t="str">
            <v>2.276X0.063-2205</v>
          </cell>
          <cell r="AB101" t="str">
            <v>WACN005780160B200012</v>
          </cell>
          <cell r="AC101" t="str">
            <v>D1907180</v>
          </cell>
          <cell r="AD101">
            <v>857974</v>
          </cell>
          <cell r="AE101">
            <v>2.1999999999999999E-2</v>
          </cell>
          <cell r="AF101">
            <v>1.81</v>
          </cell>
          <cell r="AG101">
            <v>2.8000000000000001E-2</v>
          </cell>
          <cell r="AH101">
            <v>1E-4</v>
          </cell>
          <cell r="AI101">
            <v>0.48</v>
          </cell>
          <cell r="AJ101">
            <v>22.4</v>
          </cell>
          <cell r="AK101">
            <v>5.36</v>
          </cell>
          <cell r="AL101">
            <v>0.17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Y101" t="str">
            <v/>
          </cell>
          <cell r="AZ101">
            <v>2.254</v>
          </cell>
          <cell r="BA101" t="str">
            <v>D1907180</v>
          </cell>
          <cell r="BB101" t="str">
            <v>CONFORM</v>
          </cell>
          <cell r="BC101" t="str">
            <v>CONFORM</v>
          </cell>
          <cell r="BD101" t="str">
            <v>CONFORM</v>
          </cell>
          <cell r="BE101" t="str">
            <v>CONFORM</v>
          </cell>
          <cell r="BF101" t="str">
            <v>CONFORM</v>
          </cell>
        </row>
        <row r="102">
          <cell r="A102">
            <v>43671</v>
          </cell>
          <cell r="B102" t="str">
            <v>D1907180-3</v>
          </cell>
          <cell r="C102" t="str">
            <v>006/19</v>
          </cell>
          <cell r="D102">
            <v>1</v>
          </cell>
          <cell r="E102">
            <v>43648</v>
          </cell>
          <cell r="F102" t="str">
            <v>DC</v>
          </cell>
          <cell r="G102" t="str">
            <v>Late</v>
          </cell>
          <cell r="H102" t="str">
            <v>L287285</v>
          </cell>
          <cell r="I102">
            <v>43668</v>
          </cell>
          <cell r="J102" t="str">
            <v>ATI</v>
          </cell>
          <cell r="K102" t="str">
            <v>D1907180</v>
          </cell>
          <cell r="L102">
            <v>3</v>
          </cell>
          <cell r="M102" t="str">
            <v>AAC65487-B</v>
          </cell>
          <cell r="N102">
            <v>857974</v>
          </cell>
          <cell r="O102" t="str">
            <v xml:space="preserve">1.4462 UNS S31803/S32205 </v>
          </cell>
          <cell r="P102" t="str">
            <v>2205</v>
          </cell>
          <cell r="Q102">
            <v>2.2759999999999998</v>
          </cell>
          <cell r="R102">
            <v>2.2759999999999998</v>
          </cell>
          <cell r="S102">
            <v>6.3E-2</v>
          </cell>
          <cell r="T102">
            <v>6.3700000000000007E-2</v>
          </cell>
          <cell r="V102">
            <v>6.3700000000000007E-2</v>
          </cell>
          <cell r="X102">
            <v>4785</v>
          </cell>
          <cell r="Y102">
            <v>5</v>
          </cell>
          <cell r="Z102">
            <v>420.47451669595785</v>
          </cell>
          <cell r="AA102" t="str">
            <v>2.276X0.063-2205</v>
          </cell>
          <cell r="AB102" t="str">
            <v>WACN005780160B200012</v>
          </cell>
          <cell r="AC102" t="str">
            <v>D1907180</v>
          </cell>
          <cell r="AD102">
            <v>857974</v>
          </cell>
          <cell r="AE102">
            <v>2.1999999999999999E-2</v>
          </cell>
          <cell r="AF102">
            <v>1.81</v>
          </cell>
          <cell r="AG102">
            <v>2.8000000000000001E-2</v>
          </cell>
          <cell r="AH102">
            <v>1E-4</v>
          </cell>
          <cell r="AI102">
            <v>0.48</v>
          </cell>
          <cell r="AJ102">
            <v>22.4</v>
          </cell>
          <cell r="AK102">
            <v>5.36</v>
          </cell>
          <cell r="AL102">
            <v>0.17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Y102" t="str">
            <v/>
          </cell>
          <cell r="AZ102">
            <v>2.254</v>
          </cell>
          <cell r="BA102" t="str">
            <v>D1907180</v>
          </cell>
          <cell r="BB102" t="str">
            <v>CONFORM</v>
          </cell>
          <cell r="BC102" t="str">
            <v>CONFORM</v>
          </cell>
          <cell r="BD102" t="str">
            <v>CONFORM</v>
          </cell>
          <cell r="BE102" t="str">
            <v>CONFORM</v>
          </cell>
          <cell r="BF102" t="str">
            <v>CONFORM</v>
          </cell>
        </row>
        <row r="103">
          <cell r="A103">
            <v>43671</v>
          </cell>
          <cell r="B103" t="str">
            <v>D1907180-4</v>
          </cell>
          <cell r="C103" t="str">
            <v>006/19</v>
          </cell>
          <cell r="D103">
            <v>1</v>
          </cell>
          <cell r="E103">
            <v>43648</v>
          </cell>
          <cell r="F103" t="str">
            <v>DC</v>
          </cell>
          <cell r="G103" t="str">
            <v>Late</v>
          </cell>
          <cell r="H103" t="str">
            <v>L287285</v>
          </cell>
          <cell r="I103">
            <v>43668</v>
          </cell>
          <cell r="J103" t="str">
            <v>ATI</v>
          </cell>
          <cell r="K103" t="str">
            <v>D1907180</v>
          </cell>
          <cell r="L103">
            <v>4</v>
          </cell>
          <cell r="M103" t="str">
            <v>AAC65487-B</v>
          </cell>
          <cell r="N103">
            <v>857974</v>
          </cell>
          <cell r="O103" t="str">
            <v xml:space="preserve">1.4462 UNS S31803/S32205 </v>
          </cell>
          <cell r="P103" t="str">
            <v>2205</v>
          </cell>
          <cell r="Q103">
            <v>2.2759999999999998</v>
          </cell>
          <cell r="R103">
            <v>2.2759999999999998</v>
          </cell>
          <cell r="S103">
            <v>6.3E-2</v>
          </cell>
          <cell r="T103">
            <v>6.2199999999999998E-2</v>
          </cell>
          <cell r="V103">
            <v>6.2199999999999998E-2</v>
          </cell>
          <cell r="X103">
            <v>4785</v>
          </cell>
          <cell r="Y103">
            <v>5</v>
          </cell>
          <cell r="Z103">
            <v>420.47451669595785</v>
          </cell>
          <cell r="AA103" t="str">
            <v>2.276X0.063-2205</v>
          </cell>
          <cell r="AB103" t="str">
            <v>WACN005780160B200012</v>
          </cell>
          <cell r="AC103" t="str">
            <v>D1907180</v>
          </cell>
          <cell r="AD103">
            <v>857974</v>
          </cell>
          <cell r="AE103">
            <v>2.1999999999999999E-2</v>
          </cell>
          <cell r="AF103">
            <v>1.81</v>
          </cell>
          <cell r="AG103">
            <v>2.8000000000000001E-2</v>
          </cell>
          <cell r="AH103">
            <v>1E-4</v>
          </cell>
          <cell r="AI103">
            <v>0.48</v>
          </cell>
          <cell r="AJ103">
            <v>22.4</v>
          </cell>
          <cell r="AK103">
            <v>5.36</v>
          </cell>
          <cell r="AL103">
            <v>0.17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Y103" t="str">
            <v/>
          </cell>
          <cell r="AZ103">
            <v>2.254</v>
          </cell>
          <cell r="BA103" t="str">
            <v>D1907180</v>
          </cell>
          <cell r="BB103" t="str">
            <v>CONFORM</v>
          </cell>
          <cell r="BC103" t="str">
            <v>CONFORM</v>
          </cell>
          <cell r="BD103" t="str">
            <v>CONFORM</v>
          </cell>
          <cell r="BE103" t="str">
            <v>CONFORM</v>
          </cell>
          <cell r="BF103" t="str">
            <v>CONFORM</v>
          </cell>
        </row>
        <row r="104">
          <cell r="A104">
            <v>43672</v>
          </cell>
          <cell r="B104" t="str">
            <v>D1907190-1</v>
          </cell>
          <cell r="C104" t="str">
            <v>014/19</v>
          </cell>
          <cell r="D104">
            <v>1</v>
          </cell>
          <cell r="E104">
            <v>43654</v>
          </cell>
          <cell r="F104" t="str">
            <v>DC</v>
          </cell>
          <cell r="G104" t="str">
            <v>Late</v>
          </cell>
          <cell r="H104" t="str">
            <v>2406893537/10</v>
          </cell>
          <cell r="I104">
            <v>43670</v>
          </cell>
          <cell r="J104" t="str">
            <v>TKM</v>
          </cell>
          <cell r="K104" t="str">
            <v>D1907190</v>
          </cell>
          <cell r="L104">
            <v>1</v>
          </cell>
          <cell r="M104" t="str">
            <v>AAC45487-B</v>
          </cell>
          <cell r="N104" t="str">
            <v>TE00766</v>
          </cell>
          <cell r="O104" t="str">
            <v xml:space="preserve">1.4306 TP304L </v>
          </cell>
          <cell r="P104" t="str">
            <v>304L</v>
          </cell>
          <cell r="Q104">
            <v>1.913</v>
          </cell>
          <cell r="R104">
            <v>1.911</v>
          </cell>
          <cell r="S104">
            <v>4.8000000000000001E-2</v>
          </cell>
          <cell r="T104">
            <v>4.7300000000000002E-2</v>
          </cell>
          <cell r="V104">
            <v>4.7300000000000002E-2</v>
          </cell>
          <cell r="X104">
            <v>4104</v>
          </cell>
          <cell r="Y104">
            <v>5</v>
          </cell>
          <cell r="Z104">
            <v>429.06429691583895</v>
          </cell>
          <cell r="AA104" t="str">
            <v>1.913X0.048-304L</v>
          </cell>
          <cell r="AB104" t="e">
            <v>#N/A</v>
          </cell>
          <cell r="AC104" t="str">
            <v>D1907190</v>
          </cell>
          <cell r="AD104" t="str">
            <v>TE00766</v>
          </cell>
          <cell r="AE104">
            <v>2.1000000000000001E-2</v>
          </cell>
          <cell r="AF104">
            <v>1.57</v>
          </cell>
          <cell r="AG104">
            <v>2.5000000000000001E-2</v>
          </cell>
          <cell r="AH104">
            <v>2E-3</v>
          </cell>
          <cell r="AI104">
            <v>0.47</v>
          </cell>
          <cell r="AJ104">
            <v>18.16</v>
          </cell>
          <cell r="AK104">
            <v>8.17</v>
          </cell>
          <cell r="AL104">
            <v>7.0000000000000007E-2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Y104" t="str">
            <v/>
          </cell>
          <cell r="AZ104">
            <v>1.57</v>
          </cell>
          <cell r="BA104" t="str">
            <v>D1907190</v>
          </cell>
          <cell r="BB104" t="str">
            <v>CONFORM</v>
          </cell>
          <cell r="BC104" t="str">
            <v>CONFORM</v>
          </cell>
          <cell r="BD104" t="str">
            <v>CONFORM</v>
          </cell>
          <cell r="BE104" t="str">
            <v>CONFORM</v>
          </cell>
          <cell r="BF104" t="str">
            <v>CONFORM</v>
          </cell>
        </row>
        <row r="105">
          <cell r="A105">
            <v>43672</v>
          </cell>
          <cell r="B105" t="str">
            <v>D1907190-2</v>
          </cell>
          <cell r="C105" t="str">
            <v>014/19</v>
          </cell>
          <cell r="D105">
            <v>1</v>
          </cell>
          <cell r="E105">
            <v>43654</v>
          </cell>
          <cell r="F105" t="str">
            <v>DC</v>
          </cell>
          <cell r="G105" t="str">
            <v>Late</v>
          </cell>
          <cell r="H105" t="str">
            <v>2406893537/10</v>
          </cell>
          <cell r="I105">
            <v>43670</v>
          </cell>
          <cell r="J105" t="str">
            <v>TKM</v>
          </cell>
          <cell r="K105" t="str">
            <v>D1907190</v>
          </cell>
          <cell r="L105">
            <v>2</v>
          </cell>
          <cell r="M105" t="str">
            <v>AAC45487-B</v>
          </cell>
          <cell r="N105" t="str">
            <v>TE00766</v>
          </cell>
          <cell r="O105" t="str">
            <v xml:space="preserve">1.4306 TP304L </v>
          </cell>
          <cell r="P105" t="str">
            <v>304L</v>
          </cell>
          <cell r="Q105">
            <v>1.913</v>
          </cell>
          <cell r="R105">
            <v>1.9259999999999999</v>
          </cell>
          <cell r="S105">
            <v>4.8000000000000001E-2</v>
          </cell>
          <cell r="T105">
            <v>4.7E-2</v>
          </cell>
          <cell r="V105">
            <v>4.7E-2</v>
          </cell>
          <cell r="X105">
            <v>3420</v>
          </cell>
          <cell r="Y105">
            <v>5</v>
          </cell>
          <cell r="Z105">
            <v>357.55358076319914</v>
          </cell>
          <cell r="AA105" t="str">
            <v>1.913X0.048-304L</v>
          </cell>
          <cell r="AB105" t="e">
            <v>#N/A</v>
          </cell>
          <cell r="AC105" t="str">
            <v>D1907190</v>
          </cell>
          <cell r="AD105" t="str">
            <v>TE00766</v>
          </cell>
          <cell r="AE105">
            <v>2.1000000000000001E-2</v>
          </cell>
          <cell r="AF105">
            <v>1.57</v>
          </cell>
          <cell r="AG105">
            <v>2.5000000000000001E-2</v>
          </cell>
          <cell r="AH105">
            <v>2E-3</v>
          </cell>
          <cell r="AI105">
            <v>0.47</v>
          </cell>
          <cell r="AJ105">
            <v>18.16</v>
          </cell>
          <cell r="AK105">
            <v>8.17</v>
          </cell>
          <cell r="AL105">
            <v>7.0000000000000007E-2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Y105" t="str">
            <v/>
          </cell>
          <cell r="AZ105">
            <v>1.57</v>
          </cell>
          <cell r="BA105" t="str">
            <v>D1907190</v>
          </cell>
          <cell r="BB105" t="str">
            <v>CONFORM</v>
          </cell>
          <cell r="BC105" t="str">
            <v>CONFORM</v>
          </cell>
          <cell r="BD105" t="str">
            <v>CONFORM</v>
          </cell>
          <cell r="BE105" t="str">
            <v>CONFORM</v>
          </cell>
          <cell r="BF105" t="str">
            <v>CONFORM</v>
          </cell>
        </row>
        <row r="106">
          <cell r="A106">
            <v>43672</v>
          </cell>
          <cell r="B106" t="str">
            <v>D1907190-3</v>
          </cell>
          <cell r="C106" t="str">
            <v>014/19</v>
          </cell>
          <cell r="D106">
            <v>1</v>
          </cell>
          <cell r="E106">
            <v>43654</v>
          </cell>
          <cell r="F106" t="str">
            <v>DC</v>
          </cell>
          <cell r="G106" t="str">
            <v>Late</v>
          </cell>
          <cell r="H106" t="str">
            <v>2406893537/10</v>
          </cell>
          <cell r="I106">
            <v>43670</v>
          </cell>
          <cell r="J106" t="str">
            <v>TKM</v>
          </cell>
          <cell r="K106" t="str">
            <v>D1907190</v>
          </cell>
          <cell r="L106">
            <v>3</v>
          </cell>
          <cell r="M106" t="str">
            <v>AAC45487-B</v>
          </cell>
          <cell r="N106" t="str">
            <v>TE00766</v>
          </cell>
          <cell r="O106" t="str">
            <v xml:space="preserve">1.4306 TP304L </v>
          </cell>
          <cell r="P106" t="str">
            <v>304L</v>
          </cell>
          <cell r="Q106">
            <v>1.913</v>
          </cell>
          <cell r="R106">
            <v>1.9019999999999999</v>
          </cell>
          <cell r="S106">
            <v>4.8000000000000001E-2</v>
          </cell>
          <cell r="T106">
            <v>4.5999999999999999E-2</v>
          </cell>
          <cell r="V106">
            <v>4.5999999999999999E-2</v>
          </cell>
          <cell r="X106">
            <v>3420</v>
          </cell>
          <cell r="Y106">
            <v>6</v>
          </cell>
          <cell r="Z106">
            <v>297.96131730266598</v>
          </cell>
          <cell r="AA106" t="str">
            <v>1.913X0.048-304L</v>
          </cell>
          <cell r="AB106" t="e">
            <v>#N/A</v>
          </cell>
          <cell r="AC106" t="str">
            <v>D1907190</v>
          </cell>
          <cell r="AD106" t="str">
            <v>TE00766</v>
          </cell>
          <cell r="AE106">
            <v>2.1000000000000001E-2</v>
          </cell>
          <cell r="AF106">
            <v>1.57</v>
          </cell>
          <cell r="AG106">
            <v>2.5000000000000001E-2</v>
          </cell>
          <cell r="AH106">
            <v>2E-3</v>
          </cell>
          <cell r="AI106">
            <v>0.47</v>
          </cell>
          <cell r="AJ106">
            <v>18.16</v>
          </cell>
          <cell r="AK106">
            <v>8.17</v>
          </cell>
          <cell r="AL106">
            <v>7.0000000000000007E-2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Y106" t="str">
            <v/>
          </cell>
          <cell r="AZ106">
            <v>1.57</v>
          </cell>
          <cell r="BA106" t="str">
            <v>D1907190</v>
          </cell>
          <cell r="BB106" t="str">
            <v>CONFORM</v>
          </cell>
          <cell r="BC106" t="str">
            <v>CONFORM</v>
          </cell>
          <cell r="BD106" t="str">
            <v>CONFORM</v>
          </cell>
          <cell r="BE106" t="str">
            <v>CONFORM</v>
          </cell>
          <cell r="BF106" t="str">
            <v>CONFORM</v>
          </cell>
        </row>
        <row r="107">
          <cell r="A107">
            <v>43672</v>
          </cell>
          <cell r="B107" t="str">
            <v>D1907191-1</v>
          </cell>
          <cell r="C107" t="str">
            <v>014/19</v>
          </cell>
          <cell r="D107">
            <v>2</v>
          </cell>
          <cell r="E107">
            <v>43654</v>
          </cell>
          <cell r="F107" t="str">
            <v>DC</v>
          </cell>
          <cell r="G107" t="str">
            <v>Late</v>
          </cell>
          <cell r="H107" t="str">
            <v>2406893537/10</v>
          </cell>
          <cell r="I107">
            <v>43670</v>
          </cell>
          <cell r="J107" t="str">
            <v>TKM</v>
          </cell>
          <cell r="K107" t="str">
            <v>D1907191</v>
          </cell>
          <cell r="L107">
            <v>1</v>
          </cell>
          <cell r="M107" t="str">
            <v>AAC45487-B</v>
          </cell>
          <cell r="N107" t="str">
            <v>TE00766</v>
          </cell>
          <cell r="O107" t="str">
            <v xml:space="preserve">1.4306 TP304L </v>
          </cell>
          <cell r="P107" t="str">
            <v>304L</v>
          </cell>
          <cell r="Q107">
            <v>3.1139999999999999</v>
          </cell>
          <cell r="R107">
            <v>3.11</v>
          </cell>
          <cell r="S107">
            <v>4.8000000000000001E-2</v>
          </cell>
          <cell r="T107">
            <v>4.7600000000000003E-2</v>
          </cell>
          <cell r="V107">
            <v>4.7600000000000003E-2</v>
          </cell>
          <cell r="X107">
            <v>3342</v>
          </cell>
          <cell r="Y107">
            <v>3</v>
          </cell>
          <cell r="Z107">
            <v>357.73924213230572</v>
          </cell>
          <cell r="AA107" t="str">
            <v>3.114X0.048-304L</v>
          </cell>
          <cell r="AB107" t="e">
            <v>#N/A</v>
          </cell>
          <cell r="AC107" t="str">
            <v>D1907191</v>
          </cell>
          <cell r="AD107" t="str">
            <v>TE00766</v>
          </cell>
          <cell r="AE107">
            <v>2.1000000000000001E-2</v>
          </cell>
          <cell r="AF107">
            <v>1.57</v>
          </cell>
          <cell r="AG107">
            <v>2.5000000000000001E-2</v>
          </cell>
          <cell r="AH107">
            <v>2E-3</v>
          </cell>
          <cell r="AI107">
            <v>0.47</v>
          </cell>
          <cell r="AJ107">
            <v>18.16</v>
          </cell>
          <cell r="AK107">
            <v>8.17</v>
          </cell>
          <cell r="AL107">
            <v>7.0000000000000007E-2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Y107" t="str">
            <v/>
          </cell>
          <cell r="AZ107">
            <v>1.57</v>
          </cell>
          <cell r="BA107" t="str">
            <v>D1907191</v>
          </cell>
          <cell r="BB107" t="str">
            <v>CONFORM</v>
          </cell>
          <cell r="BC107" t="str">
            <v>CONFORM</v>
          </cell>
          <cell r="BD107" t="str">
            <v>CONFORM</v>
          </cell>
          <cell r="BE107" t="str">
            <v>CONFORM</v>
          </cell>
          <cell r="BF107" t="str">
            <v>CONFORM</v>
          </cell>
        </row>
        <row r="108">
          <cell r="A108">
            <v>43672</v>
          </cell>
          <cell r="B108" t="str">
            <v>D1907191-2</v>
          </cell>
          <cell r="C108" t="str">
            <v>014/19</v>
          </cell>
          <cell r="D108">
            <v>2</v>
          </cell>
          <cell r="E108">
            <v>43654</v>
          </cell>
          <cell r="F108" t="str">
            <v>DC</v>
          </cell>
          <cell r="G108" t="str">
            <v>Late</v>
          </cell>
          <cell r="H108" t="str">
            <v>2406893537/10</v>
          </cell>
          <cell r="I108">
            <v>43670</v>
          </cell>
          <cell r="J108" t="str">
            <v>TKM</v>
          </cell>
          <cell r="K108" t="str">
            <v>D1907191</v>
          </cell>
          <cell r="L108">
            <v>2</v>
          </cell>
          <cell r="M108" t="str">
            <v>AAC45487-B</v>
          </cell>
          <cell r="N108" t="str">
            <v>TE00766</v>
          </cell>
          <cell r="O108" t="str">
            <v xml:space="preserve">1.4306 TP304L </v>
          </cell>
          <cell r="P108" t="str">
            <v>304L</v>
          </cell>
          <cell r="Q108">
            <v>3.1139999999999999</v>
          </cell>
          <cell r="R108">
            <v>3.11</v>
          </cell>
          <cell r="S108">
            <v>4.8000000000000001E-2</v>
          </cell>
          <cell r="T108">
            <v>4.7199999999999999E-2</v>
          </cell>
          <cell r="V108">
            <v>4.7199999999999999E-2</v>
          </cell>
          <cell r="X108">
            <v>3342</v>
          </cell>
          <cell r="Y108">
            <v>3</v>
          </cell>
          <cell r="Z108">
            <v>357.73924213230572</v>
          </cell>
          <cell r="AA108" t="str">
            <v>3.114X0.048-304L</v>
          </cell>
          <cell r="AB108" t="e">
            <v>#N/A</v>
          </cell>
          <cell r="AC108" t="str">
            <v>D1907191</v>
          </cell>
          <cell r="AD108" t="str">
            <v>TE00766</v>
          </cell>
          <cell r="AE108">
            <v>2.1000000000000001E-2</v>
          </cell>
          <cell r="AF108">
            <v>1.57</v>
          </cell>
          <cell r="AG108">
            <v>2.5000000000000001E-2</v>
          </cell>
          <cell r="AH108">
            <v>2E-3</v>
          </cell>
          <cell r="AI108">
            <v>0.47</v>
          </cell>
          <cell r="AJ108">
            <v>18.16</v>
          </cell>
          <cell r="AK108">
            <v>8.17</v>
          </cell>
          <cell r="AL108">
            <v>7.0000000000000007E-2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Y108" t="str">
            <v/>
          </cell>
          <cell r="AZ108">
            <v>1.57</v>
          </cell>
          <cell r="BA108" t="str">
            <v>D1907191</v>
          </cell>
          <cell r="BB108" t="str">
            <v>CONFORM</v>
          </cell>
          <cell r="BC108" t="str">
            <v>CONFORM</v>
          </cell>
          <cell r="BD108" t="str">
            <v>CONFORM</v>
          </cell>
          <cell r="BE108" t="str">
            <v>CONFORM</v>
          </cell>
          <cell r="BF108" t="str">
            <v>CONFORM</v>
          </cell>
        </row>
        <row r="109">
          <cell r="A109">
            <v>43672</v>
          </cell>
          <cell r="B109" t="str">
            <v>D1907191-3</v>
          </cell>
          <cell r="C109" t="str">
            <v>014/19</v>
          </cell>
          <cell r="D109">
            <v>2</v>
          </cell>
          <cell r="E109">
            <v>43654</v>
          </cell>
          <cell r="F109" t="str">
            <v>DC</v>
          </cell>
          <cell r="G109" t="str">
            <v>Late</v>
          </cell>
          <cell r="H109" t="str">
            <v>2406893537/10</v>
          </cell>
          <cell r="I109">
            <v>43670</v>
          </cell>
          <cell r="J109" t="str">
            <v>TKM</v>
          </cell>
          <cell r="K109" t="str">
            <v>D1907191</v>
          </cell>
          <cell r="L109">
            <v>3</v>
          </cell>
          <cell r="M109" t="str">
            <v>AAC45487-B</v>
          </cell>
          <cell r="N109" t="str">
            <v>TE00766</v>
          </cell>
          <cell r="O109" t="str">
            <v xml:space="preserve">1.4306 TP304L </v>
          </cell>
          <cell r="P109" t="str">
            <v>304L</v>
          </cell>
          <cell r="Q109">
            <v>3.1139999999999999</v>
          </cell>
          <cell r="R109">
            <v>3.11</v>
          </cell>
          <cell r="S109">
            <v>4.8000000000000001E-2</v>
          </cell>
          <cell r="T109">
            <v>4.7899999999999998E-2</v>
          </cell>
          <cell r="V109">
            <v>4.7899999999999998E-2</v>
          </cell>
          <cell r="X109">
            <v>3342</v>
          </cell>
          <cell r="Y109">
            <v>3</v>
          </cell>
          <cell r="Z109">
            <v>357.73924213230572</v>
          </cell>
          <cell r="AA109" t="str">
            <v>3.114X0.048-304L</v>
          </cell>
          <cell r="AB109" t="e">
            <v>#N/A</v>
          </cell>
          <cell r="AC109" t="str">
            <v>D1907191</v>
          </cell>
          <cell r="AD109" t="str">
            <v>TE00766</v>
          </cell>
          <cell r="AE109">
            <v>2.1000000000000001E-2</v>
          </cell>
          <cell r="AF109">
            <v>1.57</v>
          </cell>
          <cell r="AG109">
            <v>2.5000000000000001E-2</v>
          </cell>
          <cell r="AH109">
            <v>2E-3</v>
          </cell>
          <cell r="AI109">
            <v>0.47</v>
          </cell>
          <cell r="AJ109">
            <v>18.16</v>
          </cell>
          <cell r="AK109">
            <v>8.17</v>
          </cell>
          <cell r="AL109">
            <v>7.0000000000000007E-2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Y109" t="str">
            <v/>
          </cell>
          <cell r="AZ109">
            <v>1.57</v>
          </cell>
          <cell r="BA109" t="str">
            <v>D1907191</v>
          </cell>
          <cell r="BB109" t="str">
            <v>CONFORM</v>
          </cell>
          <cell r="BC109" t="str">
            <v>CONFORM</v>
          </cell>
          <cell r="BD109" t="str">
            <v>CONFORM</v>
          </cell>
          <cell r="BE109" t="str">
            <v>CONFORM</v>
          </cell>
          <cell r="BF109" t="str">
            <v>CONFORM</v>
          </cell>
        </row>
        <row r="110">
          <cell r="A110">
            <v>43684</v>
          </cell>
          <cell r="B110" t="str">
            <v>D1908019-1</v>
          </cell>
          <cell r="C110" t="str">
            <v>013/19</v>
          </cell>
          <cell r="D110">
            <v>1</v>
          </cell>
          <cell r="E110">
            <v>43656</v>
          </cell>
          <cell r="F110" t="str">
            <v>DC</v>
          </cell>
          <cell r="G110" t="str">
            <v>Late</v>
          </cell>
          <cell r="H110" t="str">
            <v>L291677</v>
          </cell>
          <cell r="I110">
            <v>43682</v>
          </cell>
          <cell r="J110" t="str">
            <v>ATI</v>
          </cell>
          <cell r="K110" t="str">
            <v>D1908019</v>
          </cell>
          <cell r="L110">
            <v>1</v>
          </cell>
          <cell r="M110" t="str">
            <v>AAC55155</v>
          </cell>
          <cell r="N110">
            <v>527912</v>
          </cell>
          <cell r="O110" t="str">
            <v>2.4856 UNS N06625</v>
          </cell>
          <cell r="P110" t="str">
            <v>A625</v>
          </cell>
          <cell r="Q110">
            <v>2.2749999999999999</v>
          </cell>
          <cell r="R110">
            <v>2.2730000000000001</v>
          </cell>
          <cell r="S110">
            <v>6.3E-2</v>
          </cell>
          <cell r="T110">
            <v>6.055E-2</v>
          </cell>
          <cell r="V110">
            <v>6.055E-2</v>
          </cell>
          <cell r="X110">
            <v>4949</v>
          </cell>
          <cell r="Y110">
            <v>7</v>
          </cell>
          <cell r="Z110">
            <v>310.76923076923077</v>
          </cell>
          <cell r="AA110" t="str">
            <v>2.275X0.063-A625</v>
          </cell>
          <cell r="AB110" t="str">
            <v>WABG005780160B900029</v>
          </cell>
          <cell r="AC110" t="str">
            <v>D1908019</v>
          </cell>
          <cell r="AD110">
            <v>527912</v>
          </cell>
          <cell r="AE110">
            <v>0.04</v>
          </cell>
          <cell r="AF110">
            <v>0.24</v>
          </cell>
          <cell r="AG110">
            <v>8.9999999999999993E-3</v>
          </cell>
          <cell r="AH110">
            <v>2.0000000000000001E-4</v>
          </cell>
          <cell r="AI110">
            <v>0.19</v>
          </cell>
          <cell r="AJ110">
            <v>22</v>
          </cell>
          <cell r="AK110">
            <v>60.3</v>
          </cell>
          <cell r="AL110">
            <v>0.23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Y110" t="str">
            <v/>
          </cell>
          <cell r="AZ110">
            <v>12.92</v>
          </cell>
          <cell r="BA110" t="str">
            <v>D1908019</v>
          </cell>
          <cell r="BB110" t="str">
            <v>CONFORM</v>
          </cell>
          <cell r="BC110" t="str">
            <v>CONFORM</v>
          </cell>
          <cell r="BD110" t="str">
            <v>CONFORM</v>
          </cell>
          <cell r="BE110" t="str">
            <v>CONFORM</v>
          </cell>
          <cell r="BF110" t="str">
            <v>CONFORM</v>
          </cell>
        </row>
        <row r="111">
          <cell r="A111">
            <v>43684</v>
          </cell>
          <cell r="B111" t="str">
            <v>D1908019-2</v>
          </cell>
          <cell r="C111" t="str">
            <v>013/19</v>
          </cell>
          <cell r="D111">
            <v>1</v>
          </cell>
          <cell r="E111">
            <v>43656</v>
          </cell>
          <cell r="F111" t="str">
            <v>DC</v>
          </cell>
          <cell r="G111" t="str">
            <v>Late</v>
          </cell>
          <cell r="H111" t="str">
            <v>L291677</v>
          </cell>
          <cell r="I111">
            <v>43682</v>
          </cell>
          <cell r="J111" t="str">
            <v>ATI</v>
          </cell>
          <cell r="K111" t="str">
            <v>D1908019</v>
          </cell>
          <cell r="L111">
            <v>2</v>
          </cell>
          <cell r="M111" t="str">
            <v>AAC55155</v>
          </cell>
          <cell r="N111">
            <v>527912</v>
          </cell>
          <cell r="O111" t="str">
            <v>2.4856 UNS N06625</v>
          </cell>
          <cell r="P111" t="str">
            <v>A625</v>
          </cell>
          <cell r="Q111">
            <v>2.2749999999999999</v>
          </cell>
          <cell r="R111">
            <v>2.274</v>
          </cell>
          <cell r="S111">
            <v>6.3E-2</v>
          </cell>
          <cell r="T111">
            <v>6.2899999999999998E-2</v>
          </cell>
          <cell r="V111">
            <v>6.2899999999999998E-2</v>
          </cell>
          <cell r="X111">
            <v>4956</v>
          </cell>
          <cell r="Y111">
            <v>7</v>
          </cell>
          <cell r="Z111">
            <v>311.20879120879124</v>
          </cell>
          <cell r="AA111" t="str">
            <v>2.275X0.063-A625</v>
          </cell>
          <cell r="AB111" t="str">
            <v>WABG005780160B900029</v>
          </cell>
          <cell r="AC111" t="str">
            <v>D1908019</v>
          </cell>
          <cell r="AD111">
            <v>527912</v>
          </cell>
          <cell r="AE111">
            <v>0.04</v>
          </cell>
          <cell r="AF111">
            <v>0.24</v>
          </cell>
          <cell r="AG111">
            <v>8.9999999999999993E-3</v>
          </cell>
          <cell r="AH111">
            <v>2.0000000000000001E-4</v>
          </cell>
          <cell r="AI111">
            <v>0.19</v>
          </cell>
          <cell r="AJ111">
            <v>22</v>
          </cell>
          <cell r="AK111">
            <v>60.3</v>
          </cell>
          <cell r="AL111">
            <v>0.23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Y111" t="str">
            <v/>
          </cell>
          <cell r="AZ111">
            <v>12.92</v>
          </cell>
          <cell r="BA111" t="str">
            <v>D1908019</v>
          </cell>
          <cell r="BB111" t="str">
            <v>CONFORM</v>
          </cell>
          <cell r="BC111" t="str">
            <v>CONFORM</v>
          </cell>
          <cell r="BD111" t="str">
            <v>CONFORM</v>
          </cell>
          <cell r="BE111" t="str">
            <v>CONFORM</v>
          </cell>
          <cell r="BF111" t="str">
            <v>CONFORM</v>
          </cell>
        </row>
        <row r="112">
          <cell r="A112">
            <v>43684</v>
          </cell>
          <cell r="B112" t="str">
            <v>D1908019-3</v>
          </cell>
          <cell r="C112" t="str">
            <v>013/19</v>
          </cell>
          <cell r="D112">
            <v>1</v>
          </cell>
          <cell r="E112">
            <v>43656</v>
          </cell>
          <cell r="F112" t="str">
            <v>DC</v>
          </cell>
          <cell r="G112" t="str">
            <v>Late</v>
          </cell>
          <cell r="H112" t="str">
            <v>L291677</v>
          </cell>
          <cell r="I112">
            <v>43682</v>
          </cell>
          <cell r="J112" t="str">
            <v>ATI</v>
          </cell>
          <cell r="K112" t="str">
            <v>D1908019</v>
          </cell>
          <cell r="L112">
            <v>3</v>
          </cell>
          <cell r="M112" t="str">
            <v>AAC55154</v>
          </cell>
          <cell r="N112">
            <v>527912</v>
          </cell>
          <cell r="O112" t="str">
            <v>2.4856 UNS N06625</v>
          </cell>
          <cell r="P112" t="str">
            <v>A625</v>
          </cell>
          <cell r="Q112">
            <v>2.2749999999999999</v>
          </cell>
          <cell r="R112">
            <v>2.274</v>
          </cell>
          <cell r="S112">
            <v>6.3E-2</v>
          </cell>
          <cell r="T112">
            <v>6.2399999999999997E-2</v>
          </cell>
          <cell r="V112">
            <v>6.2399999999999997E-2</v>
          </cell>
          <cell r="X112">
            <v>5208</v>
          </cell>
          <cell r="Y112">
            <v>7</v>
          </cell>
          <cell r="Z112">
            <v>327.03296703296706</v>
          </cell>
          <cell r="AA112" t="str">
            <v>2.275X0.063-A625</v>
          </cell>
          <cell r="AB112" t="str">
            <v>WABG005780160B900029</v>
          </cell>
          <cell r="AC112" t="str">
            <v>D1908019</v>
          </cell>
          <cell r="AD112">
            <v>527912</v>
          </cell>
          <cell r="AE112">
            <v>0.04</v>
          </cell>
          <cell r="AF112">
            <v>0.24</v>
          </cell>
          <cell r="AG112">
            <v>8.9999999999999993E-3</v>
          </cell>
          <cell r="AH112">
            <v>2.0000000000000001E-4</v>
          </cell>
          <cell r="AI112">
            <v>0.19</v>
          </cell>
          <cell r="AJ112">
            <v>22</v>
          </cell>
          <cell r="AK112">
            <v>60.3</v>
          </cell>
          <cell r="AL112">
            <v>0.23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Y112" t="str">
            <v/>
          </cell>
          <cell r="AZ112">
            <v>12.92</v>
          </cell>
          <cell r="BA112" t="str">
            <v>D1908019</v>
          </cell>
          <cell r="BB112" t="str">
            <v>CONFORM</v>
          </cell>
          <cell r="BC112" t="str">
            <v>CONFORM</v>
          </cell>
          <cell r="BD112" t="str">
            <v>CONFORM</v>
          </cell>
          <cell r="BE112" t="str">
            <v>CONFORM</v>
          </cell>
          <cell r="BF112" t="str">
            <v>CONFORM</v>
          </cell>
        </row>
        <row r="113">
          <cell r="A113">
            <v>43684</v>
          </cell>
          <cell r="B113" t="str">
            <v>D1908019-4</v>
          </cell>
          <cell r="C113" t="str">
            <v>013/19</v>
          </cell>
          <cell r="D113">
            <v>1</v>
          </cell>
          <cell r="E113">
            <v>43656</v>
          </cell>
          <cell r="F113" t="str">
            <v>DC</v>
          </cell>
          <cell r="G113" t="str">
            <v>Late</v>
          </cell>
          <cell r="H113" t="str">
            <v>L291677</v>
          </cell>
          <cell r="I113">
            <v>43682</v>
          </cell>
          <cell r="J113" t="str">
            <v>ATI</v>
          </cell>
          <cell r="K113" t="str">
            <v>D1908019</v>
          </cell>
          <cell r="L113">
            <v>4</v>
          </cell>
          <cell r="M113" t="str">
            <v>AAC55154</v>
          </cell>
          <cell r="N113">
            <v>527912</v>
          </cell>
          <cell r="O113" t="str">
            <v>2.4856 UNS N06625</v>
          </cell>
          <cell r="P113" t="str">
            <v>A625</v>
          </cell>
          <cell r="Q113">
            <v>2.2749999999999999</v>
          </cell>
          <cell r="R113">
            <v>2.2730000000000001</v>
          </cell>
          <cell r="S113">
            <v>6.3E-2</v>
          </cell>
          <cell r="T113">
            <v>6.0999999999999999E-2</v>
          </cell>
          <cell r="V113">
            <v>6.0999999999999999E-2</v>
          </cell>
          <cell r="X113">
            <v>5208</v>
          </cell>
          <cell r="Y113">
            <v>7</v>
          </cell>
          <cell r="Z113">
            <v>327.03296703296706</v>
          </cell>
          <cell r="AA113" t="str">
            <v>2.275X0.063-A625</v>
          </cell>
          <cell r="AB113" t="str">
            <v>WABG005780160B900029</v>
          </cell>
          <cell r="AC113" t="str">
            <v>D1908019</v>
          </cell>
          <cell r="AD113">
            <v>527912</v>
          </cell>
          <cell r="AE113">
            <v>0.04</v>
          </cell>
          <cell r="AF113">
            <v>0.24</v>
          </cell>
          <cell r="AG113">
            <v>8.9999999999999993E-3</v>
          </cell>
          <cell r="AH113">
            <v>2.0000000000000001E-4</v>
          </cell>
          <cell r="AI113">
            <v>0.19</v>
          </cell>
          <cell r="AJ113">
            <v>22</v>
          </cell>
          <cell r="AK113">
            <v>60.3</v>
          </cell>
          <cell r="AL113">
            <v>0.23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Y113" t="str">
            <v/>
          </cell>
          <cell r="AZ113">
            <v>12.92</v>
          </cell>
          <cell r="BA113" t="str">
            <v>D1908019</v>
          </cell>
          <cell r="BB113" t="str">
            <v>CONFORM</v>
          </cell>
          <cell r="BC113" t="str">
            <v>CONFORM</v>
          </cell>
          <cell r="BD113" t="str">
            <v>CONFORM</v>
          </cell>
          <cell r="BE113" t="str">
            <v>CONFORM</v>
          </cell>
          <cell r="BF113" t="str">
            <v>CONFORM</v>
          </cell>
        </row>
        <row r="114">
          <cell r="A114">
            <v>43684</v>
          </cell>
          <cell r="B114" t="str">
            <v>D1908021-1</v>
          </cell>
          <cell r="C114" t="str">
            <v>015/19</v>
          </cell>
          <cell r="D114">
            <v>1</v>
          </cell>
          <cell r="E114">
            <v>43656</v>
          </cell>
          <cell r="F114" t="str">
            <v>DC</v>
          </cell>
          <cell r="G114" t="str">
            <v>Late</v>
          </cell>
          <cell r="H114" t="str">
            <v>L292689</v>
          </cell>
          <cell r="I114">
            <v>43682</v>
          </cell>
          <cell r="J114" t="str">
            <v>ATI</v>
          </cell>
          <cell r="K114" t="str">
            <v>D1908021</v>
          </cell>
          <cell r="L114">
            <v>1</v>
          </cell>
          <cell r="M114" t="str">
            <v>AAC69735-A</v>
          </cell>
          <cell r="N114">
            <v>858272</v>
          </cell>
          <cell r="O114" t="str">
            <v xml:space="preserve">1.4306 TP304L </v>
          </cell>
          <cell r="P114" t="str">
            <v>304L</v>
          </cell>
          <cell r="Q114">
            <v>2.2759999999999998</v>
          </cell>
          <cell r="R114">
            <v>2.2799999999999998</v>
          </cell>
          <cell r="S114">
            <v>6.3E-2</v>
          </cell>
          <cell r="T114">
            <v>6.1100000000000002E-2</v>
          </cell>
          <cell r="V114">
            <v>6.1100000000000002E-2</v>
          </cell>
          <cell r="X114">
            <v>4022</v>
          </cell>
          <cell r="Y114">
            <v>2</v>
          </cell>
          <cell r="Z114">
            <v>883.56766256590515</v>
          </cell>
          <cell r="AA114" t="str">
            <v>2.276X0.063-304L</v>
          </cell>
          <cell r="AB114" t="str">
            <v>WAAC005780160B300010</v>
          </cell>
          <cell r="AC114" t="str">
            <v>D1908021</v>
          </cell>
          <cell r="AD114">
            <v>858272</v>
          </cell>
          <cell r="AE114">
            <v>1.9E-2</v>
          </cell>
          <cell r="AF114">
            <v>1.63</v>
          </cell>
          <cell r="AG114">
            <v>3.2000000000000001E-2</v>
          </cell>
          <cell r="AH114">
            <v>2.9999999999999997E-4</v>
          </cell>
          <cell r="AI114">
            <v>0.32</v>
          </cell>
          <cell r="AJ114">
            <v>18.12</v>
          </cell>
          <cell r="AK114">
            <v>8.1199999999999992</v>
          </cell>
          <cell r="AL114">
            <v>7.0000000000000007E-2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Y114" t="str">
            <v/>
          </cell>
          <cell r="AZ114">
            <v>1.25</v>
          </cell>
          <cell r="BA114" t="str">
            <v>D1908021</v>
          </cell>
          <cell r="BB114" t="str">
            <v>CONFORM</v>
          </cell>
          <cell r="BC114" t="str">
            <v>CONFORM</v>
          </cell>
          <cell r="BD114" t="str">
            <v>CONFORM</v>
          </cell>
          <cell r="BE114" t="str">
            <v>CONFORM</v>
          </cell>
          <cell r="BF114" t="str">
            <v>CONFORM</v>
          </cell>
        </row>
        <row r="115">
          <cell r="A115">
            <v>43684</v>
          </cell>
          <cell r="B115" t="str">
            <v>D1908021-2</v>
          </cell>
          <cell r="C115" t="str">
            <v>015/19</v>
          </cell>
          <cell r="D115">
            <v>1</v>
          </cell>
          <cell r="E115">
            <v>43656</v>
          </cell>
          <cell r="F115" t="str">
            <v>DC</v>
          </cell>
          <cell r="G115" t="str">
            <v>Late</v>
          </cell>
          <cell r="H115" t="str">
            <v>L292689</v>
          </cell>
          <cell r="I115">
            <v>43682</v>
          </cell>
          <cell r="J115" t="str">
            <v>ATI</v>
          </cell>
          <cell r="K115" t="str">
            <v>D1908021</v>
          </cell>
          <cell r="L115">
            <v>2</v>
          </cell>
          <cell r="M115" t="str">
            <v>AAC69735-A</v>
          </cell>
          <cell r="N115">
            <v>858272</v>
          </cell>
          <cell r="O115" t="str">
            <v xml:space="preserve">1.4306 TP304L </v>
          </cell>
          <cell r="P115" t="str">
            <v>304L</v>
          </cell>
          <cell r="Q115">
            <v>2.2759999999999998</v>
          </cell>
          <cell r="R115">
            <v>2.2719999999999998</v>
          </cell>
          <cell r="S115">
            <v>6.3E-2</v>
          </cell>
          <cell r="T115">
            <v>6.1400000000000003E-2</v>
          </cell>
          <cell r="V115">
            <v>6.1400000000000003E-2</v>
          </cell>
          <cell r="X115">
            <v>4058</v>
          </cell>
          <cell r="Y115">
            <v>2</v>
          </cell>
          <cell r="Z115">
            <v>891.4762741652022</v>
          </cell>
          <cell r="AA115" t="str">
            <v>2.276X0.063-304L</v>
          </cell>
          <cell r="AB115" t="str">
            <v>WAAC005780160B300010</v>
          </cell>
          <cell r="AC115" t="str">
            <v>D1908021</v>
          </cell>
          <cell r="AD115">
            <v>858272</v>
          </cell>
          <cell r="AE115">
            <v>1.9E-2</v>
          </cell>
          <cell r="AF115">
            <v>1.63</v>
          </cell>
          <cell r="AG115">
            <v>3.2000000000000001E-2</v>
          </cell>
          <cell r="AH115">
            <v>2.9999999999999997E-4</v>
          </cell>
          <cell r="AI115">
            <v>0.32</v>
          </cell>
          <cell r="AJ115">
            <v>18.12</v>
          </cell>
          <cell r="AK115">
            <v>8.1199999999999992</v>
          </cell>
          <cell r="AL115">
            <v>7.0000000000000007E-2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Y115" t="str">
            <v/>
          </cell>
          <cell r="AZ115">
            <v>1.25</v>
          </cell>
          <cell r="BA115" t="str">
            <v>D1908021</v>
          </cell>
          <cell r="BB115" t="str">
            <v>CONFORM</v>
          </cell>
          <cell r="BC115" t="str">
            <v>CONFORM</v>
          </cell>
          <cell r="BD115" t="str">
            <v>CONFORM</v>
          </cell>
          <cell r="BE115" t="str">
            <v>CONFORM</v>
          </cell>
          <cell r="BF115" t="str">
            <v>CONFORM</v>
          </cell>
        </row>
        <row r="116">
          <cell r="A116">
            <v>43684</v>
          </cell>
          <cell r="B116" t="str">
            <v>D1908021-3</v>
          </cell>
          <cell r="C116" t="str">
            <v>015/19</v>
          </cell>
          <cell r="D116">
            <v>1</v>
          </cell>
          <cell r="E116">
            <v>43656</v>
          </cell>
          <cell r="F116" t="str">
            <v>DC</v>
          </cell>
          <cell r="G116" t="str">
            <v>Late</v>
          </cell>
          <cell r="H116" t="str">
            <v>L292689</v>
          </cell>
          <cell r="I116">
            <v>43682</v>
          </cell>
          <cell r="J116" t="str">
            <v>ATI</v>
          </cell>
          <cell r="K116" t="str">
            <v>D1908021</v>
          </cell>
          <cell r="L116">
            <v>3</v>
          </cell>
          <cell r="M116" t="str">
            <v>AAC69735-A</v>
          </cell>
          <cell r="N116">
            <v>858272</v>
          </cell>
          <cell r="O116" t="str">
            <v xml:space="preserve">1.4306 TP304L </v>
          </cell>
          <cell r="P116" t="str">
            <v>304L</v>
          </cell>
          <cell r="Q116">
            <v>2.2759999999999998</v>
          </cell>
          <cell r="R116">
            <v>2.2789999999999999</v>
          </cell>
          <cell r="S116">
            <v>6.3E-2</v>
          </cell>
          <cell r="T116">
            <v>6.2199999999999998E-2</v>
          </cell>
          <cell r="V116">
            <v>6.2199999999999998E-2</v>
          </cell>
          <cell r="X116">
            <v>4070</v>
          </cell>
          <cell r="Y116">
            <v>2</v>
          </cell>
          <cell r="Z116">
            <v>894.11247803163451</v>
          </cell>
          <cell r="AA116" t="str">
            <v>2.276X0.063-304L</v>
          </cell>
          <cell r="AB116" t="str">
            <v>WAAC005780160B300010</v>
          </cell>
          <cell r="AC116" t="str">
            <v>D1908021</v>
          </cell>
          <cell r="AD116">
            <v>858272</v>
          </cell>
          <cell r="AE116">
            <v>1.9E-2</v>
          </cell>
          <cell r="AF116">
            <v>1.63</v>
          </cell>
          <cell r="AG116">
            <v>3.2000000000000001E-2</v>
          </cell>
          <cell r="AH116">
            <v>2.9999999999999997E-4</v>
          </cell>
          <cell r="AI116">
            <v>0.32</v>
          </cell>
          <cell r="AJ116">
            <v>18.12</v>
          </cell>
          <cell r="AK116">
            <v>8.1199999999999992</v>
          </cell>
          <cell r="AL116">
            <v>7.0000000000000007E-2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Y116" t="str">
            <v/>
          </cell>
          <cell r="AZ116">
            <v>1.25</v>
          </cell>
          <cell r="BA116" t="str">
            <v>D1908021</v>
          </cell>
          <cell r="BB116" t="str">
            <v>CONFORM</v>
          </cell>
          <cell r="BC116" t="str">
            <v>CONFORM</v>
          </cell>
          <cell r="BD116" t="str">
            <v>CONFORM</v>
          </cell>
          <cell r="BE116" t="str">
            <v>CONFORM</v>
          </cell>
          <cell r="BF116" t="str">
            <v>CONFORM</v>
          </cell>
        </row>
        <row r="117">
          <cell r="A117">
            <v>43684</v>
          </cell>
          <cell r="B117" t="str">
            <v>D1908021-4</v>
          </cell>
          <cell r="C117" t="str">
            <v>015/19</v>
          </cell>
          <cell r="D117">
            <v>1</v>
          </cell>
          <cell r="E117">
            <v>43656</v>
          </cell>
          <cell r="F117" t="str">
            <v>DC</v>
          </cell>
          <cell r="G117" t="str">
            <v>Late</v>
          </cell>
          <cell r="H117" t="str">
            <v>L292689</v>
          </cell>
          <cell r="I117">
            <v>43682</v>
          </cell>
          <cell r="J117" t="str">
            <v>ATI</v>
          </cell>
          <cell r="K117" t="str">
            <v>D1908021</v>
          </cell>
          <cell r="L117">
            <v>4</v>
          </cell>
          <cell r="M117" t="str">
            <v>AAC69735-A</v>
          </cell>
          <cell r="N117">
            <v>858272</v>
          </cell>
          <cell r="O117" t="str">
            <v xml:space="preserve">1.4306 TP304L </v>
          </cell>
          <cell r="P117" t="str">
            <v>304L</v>
          </cell>
          <cell r="Q117">
            <v>2.2759999999999998</v>
          </cell>
          <cell r="R117">
            <v>2.2789999999999999</v>
          </cell>
          <cell r="S117">
            <v>6.3E-2</v>
          </cell>
          <cell r="T117">
            <v>6.2199999999999998E-2</v>
          </cell>
          <cell r="V117">
            <v>6.2199999999999998E-2</v>
          </cell>
          <cell r="X117">
            <v>2038</v>
          </cell>
          <cell r="Y117">
            <v>1</v>
          </cell>
          <cell r="Z117">
            <v>895.43057996485072</v>
          </cell>
          <cell r="AA117" t="str">
            <v>2.276X0.063-304L</v>
          </cell>
          <cell r="AB117" t="str">
            <v>WAAC005780160B300010</v>
          </cell>
          <cell r="AC117" t="str">
            <v>D1908021</v>
          </cell>
          <cell r="AD117">
            <v>858272</v>
          </cell>
          <cell r="AE117">
            <v>1.9E-2</v>
          </cell>
          <cell r="AF117">
            <v>1.63</v>
          </cell>
          <cell r="AG117">
            <v>3.2000000000000001E-2</v>
          </cell>
          <cell r="AH117">
            <v>2.9999999999999997E-4</v>
          </cell>
          <cell r="AI117">
            <v>0.32</v>
          </cell>
          <cell r="AJ117">
            <v>18.12</v>
          </cell>
          <cell r="AK117">
            <v>8.1199999999999992</v>
          </cell>
          <cell r="AL117">
            <v>7.0000000000000007E-2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Y117" t="str">
            <v/>
          </cell>
          <cell r="AZ117">
            <v>1.25</v>
          </cell>
          <cell r="BA117" t="str">
            <v>D1908021</v>
          </cell>
          <cell r="BB117" t="str">
            <v>CONFORM</v>
          </cell>
          <cell r="BC117" t="str">
            <v>CONFORM</v>
          </cell>
          <cell r="BD117" t="str">
            <v>CONFORM</v>
          </cell>
          <cell r="BE117" t="str">
            <v>CONFORM</v>
          </cell>
          <cell r="BF117" t="str">
            <v>CONFORM</v>
          </cell>
        </row>
        <row r="118">
          <cell r="A118">
            <v>43684</v>
          </cell>
          <cell r="B118" t="str">
            <v>D1908021-5</v>
          </cell>
          <cell r="C118" t="str">
            <v>015/19</v>
          </cell>
          <cell r="D118">
            <v>1</v>
          </cell>
          <cell r="E118">
            <v>43656</v>
          </cell>
          <cell r="F118" t="str">
            <v>DC</v>
          </cell>
          <cell r="G118" t="str">
            <v>Late</v>
          </cell>
          <cell r="H118" t="str">
            <v>L292689</v>
          </cell>
          <cell r="I118">
            <v>43682</v>
          </cell>
          <cell r="J118" t="str">
            <v>ATI</v>
          </cell>
          <cell r="K118" t="str">
            <v>D1908021</v>
          </cell>
          <cell r="L118">
            <v>5</v>
          </cell>
          <cell r="M118" t="str">
            <v>AAC69735-B</v>
          </cell>
          <cell r="N118">
            <v>858272</v>
          </cell>
          <cell r="O118" t="str">
            <v xml:space="preserve">1.4306 TP304L </v>
          </cell>
          <cell r="P118" t="str">
            <v>304L</v>
          </cell>
          <cell r="Q118">
            <v>2.2759999999999998</v>
          </cell>
          <cell r="R118">
            <v>2.2759999999999998</v>
          </cell>
          <cell r="S118">
            <v>6.3E-2</v>
          </cell>
          <cell r="T118">
            <v>6.2799999999999995E-2</v>
          </cell>
          <cell r="V118">
            <v>6.2799999999999995E-2</v>
          </cell>
          <cell r="X118">
            <v>4096</v>
          </cell>
          <cell r="Y118">
            <v>2</v>
          </cell>
          <cell r="Z118">
            <v>899.82425307557128</v>
          </cell>
          <cell r="AA118" t="str">
            <v>2.276X0.063-304L</v>
          </cell>
          <cell r="AB118" t="str">
            <v>WAAC005780160B300010</v>
          </cell>
          <cell r="AC118" t="str">
            <v>D1908021</v>
          </cell>
          <cell r="AD118">
            <v>858272</v>
          </cell>
          <cell r="AE118">
            <v>1.9E-2</v>
          </cell>
          <cell r="AF118">
            <v>1.63</v>
          </cell>
          <cell r="AG118">
            <v>3.2000000000000001E-2</v>
          </cell>
          <cell r="AH118">
            <v>2.9999999999999997E-4</v>
          </cell>
          <cell r="AI118">
            <v>0.32</v>
          </cell>
          <cell r="AJ118">
            <v>18.12</v>
          </cell>
          <cell r="AK118">
            <v>8.1199999999999992</v>
          </cell>
          <cell r="AL118">
            <v>7.0000000000000007E-2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Y118" t="str">
            <v/>
          </cell>
          <cell r="AZ118">
            <v>1.25</v>
          </cell>
          <cell r="BA118" t="str">
            <v>D1908021</v>
          </cell>
          <cell r="BB118" t="str">
            <v>CONFORM</v>
          </cell>
          <cell r="BC118" t="str">
            <v>CONFORM</v>
          </cell>
          <cell r="BD118" t="str">
            <v>CONFORM</v>
          </cell>
          <cell r="BE118" t="str">
            <v>CONFORM</v>
          </cell>
          <cell r="BF118" t="str">
            <v>CONFORM</v>
          </cell>
        </row>
        <row r="119">
          <cell r="A119">
            <v>43684</v>
          </cell>
          <cell r="B119" t="str">
            <v>D1908021-6</v>
          </cell>
          <cell r="C119" t="str">
            <v>015/19</v>
          </cell>
          <cell r="D119">
            <v>1</v>
          </cell>
          <cell r="E119">
            <v>43656</v>
          </cell>
          <cell r="F119" t="str">
            <v>DC</v>
          </cell>
          <cell r="G119" t="str">
            <v>Late</v>
          </cell>
          <cell r="H119" t="str">
            <v>L292689</v>
          </cell>
          <cell r="I119">
            <v>43682</v>
          </cell>
          <cell r="J119" t="str">
            <v>ATI</v>
          </cell>
          <cell r="K119" t="str">
            <v>D1908021</v>
          </cell>
          <cell r="L119">
            <v>6</v>
          </cell>
          <cell r="M119" t="str">
            <v>AAC69735-B</v>
          </cell>
          <cell r="N119">
            <v>858272</v>
          </cell>
          <cell r="O119" t="str">
            <v xml:space="preserve">1.4306 TP304L </v>
          </cell>
          <cell r="P119" t="str">
            <v>304L</v>
          </cell>
          <cell r="Q119">
            <v>2.2759999999999998</v>
          </cell>
          <cell r="R119">
            <v>2.278</v>
          </cell>
          <cell r="S119">
            <v>6.3E-2</v>
          </cell>
          <cell r="T119">
            <v>6.2100000000000002E-2</v>
          </cell>
          <cell r="V119">
            <v>6.2100000000000002E-2</v>
          </cell>
          <cell r="X119">
            <v>4092</v>
          </cell>
          <cell r="Y119">
            <v>2</v>
          </cell>
          <cell r="Z119">
            <v>898.9455184534271</v>
          </cell>
          <cell r="AA119" t="str">
            <v>2.276X0.063-304L</v>
          </cell>
          <cell r="AB119" t="str">
            <v>WAAC005780160B300010</v>
          </cell>
          <cell r="AC119" t="str">
            <v>D1908021</v>
          </cell>
          <cell r="AD119">
            <v>858272</v>
          </cell>
          <cell r="AE119">
            <v>1.9E-2</v>
          </cell>
          <cell r="AF119">
            <v>1.63</v>
          </cell>
          <cell r="AG119">
            <v>3.2000000000000001E-2</v>
          </cell>
          <cell r="AH119">
            <v>2.9999999999999997E-4</v>
          </cell>
          <cell r="AI119">
            <v>0.32</v>
          </cell>
          <cell r="AJ119">
            <v>18.12</v>
          </cell>
          <cell r="AK119">
            <v>8.1199999999999992</v>
          </cell>
          <cell r="AL119">
            <v>7.0000000000000007E-2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Y119" t="str">
            <v/>
          </cell>
          <cell r="AZ119">
            <v>1.25</v>
          </cell>
          <cell r="BA119" t="str">
            <v>D1908021</v>
          </cell>
          <cell r="BB119" t="str">
            <v>CONFORM</v>
          </cell>
          <cell r="BC119" t="str">
            <v>CONFORM</v>
          </cell>
          <cell r="BD119" t="str">
            <v>CONFORM</v>
          </cell>
          <cell r="BE119" t="str">
            <v>CONFORM</v>
          </cell>
          <cell r="BF119" t="str">
            <v>CONFORM</v>
          </cell>
        </row>
        <row r="120">
          <cell r="A120">
            <v>43684</v>
          </cell>
          <cell r="B120" t="str">
            <v>D1908021-7</v>
          </cell>
          <cell r="C120" t="str">
            <v>015/19</v>
          </cell>
          <cell r="D120">
            <v>1</v>
          </cell>
          <cell r="E120">
            <v>43656</v>
          </cell>
          <cell r="F120" t="str">
            <v>DC</v>
          </cell>
          <cell r="G120" t="str">
            <v>Late</v>
          </cell>
          <cell r="H120" t="str">
            <v>L292689</v>
          </cell>
          <cell r="I120">
            <v>43682</v>
          </cell>
          <cell r="J120" t="str">
            <v>ATI</v>
          </cell>
          <cell r="K120" t="str">
            <v>D1908021</v>
          </cell>
          <cell r="L120">
            <v>7</v>
          </cell>
          <cell r="M120" t="str">
            <v>AAC69735-B</v>
          </cell>
          <cell r="N120">
            <v>858272</v>
          </cell>
          <cell r="O120" t="str">
            <v xml:space="preserve">1.4306 TP304L </v>
          </cell>
          <cell r="P120" t="str">
            <v>304L</v>
          </cell>
          <cell r="Q120">
            <v>2.2759999999999998</v>
          </cell>
          <cell r="R120">
            <v>2.2759999999999998</v>
          </cell>
          <cell r="S120">
            <v>6.3E-2</v>
          </cell>
          <cell r="T120">
            <v>6.25E-2</v>
          </cell>
          <cell r="V120">
            <v>6.25E-2</v>
          </cell>
          <cell r="X120">
            <v>4092</v>
          </cell>
          <cell r="Y120">
            <v>2</v>
          </cell>
          <cell r="Z120">
            <v>898.9455184534271</v>
          </cell>
          <cell r="AA120" t="str">
            <v>2.276X0.063-304L</v>
          </cell>
          <cell r="AB120" t="str">
            <v>WAAC005780160B300010</v>
          </cell>
          <cell r="AC120" t="str">
            <v>D1908021</v>
          </cell>
          <cell r="AD120">
            <v>858272</v>
          </cell>
          <cell r="AE120">
            <v>1.9E-2</v>
          </cell>
          <cell r="AF120">
            <v>1.63</v>
          </cell>
          <cell r="AG120">
            <v>3.2000000000000001E-2</v>
          </cell>
          <cell r="AH120">
            <v>2.9999999999999997E-4</v>
          </cell>
          <cell r="AI120">
            <v>0.32</v>
          </cell>
          <cell r="AJ120">
            <v>18.12</v>
          </cell>
          <cell r="AK120">
            <v>8.1199999999999992</v>
          </cell>
          <cell r="AL120">
            <v>7.0000000000000007E-2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Y120" t="str">
            <v/>
          </cell>
          <cell r="AZ120">
            <v>1.25</v>
          </cell>
          <cell r="BA120" t="str">
            <v>D1908021</v>
          </cell>
          <cell r="BB120" t="str">
            <v>CONFORM</v>
          </cell>
          <cell r="BC120" t="str">
            <v>CONFORM</v>
          </cell>
          <cell r="BD120" t="str">
            <v>CONFORM</v>
          </cell>
          <cell r="BE120" t="str">
            <v>CONFORM</v>
          </cell>
          <cell r="BF120" t="str">
            <v>CONFORM</v>
          </cell>
        </row>
        <row r="121">
          <cell r="A121">
            <v>43684</v>
          </cell>
          <cell r="B121" t="str">
            <v>D1908021-8</v>
          </cell>
          <cell r="C121" t="str">
            <v>015/19</v>
          </cell>
          <cell r="D121">
            <v>1</v>
          </cell>
          <cell r="E121">
            <v>43656</v>
          </cell>
          <cell r="F121" t="str">
            <v>DC</v>
          </cell>
          <cell r="G121" t="str">
            <v>Late</v>
          </cell>
          <cell r="H121" t="str">
            <v>L292689</v>
          </cell>
          <cell r="I121">
            <v>43682</v>
          </cell>
          <cell r="J121" t="str">
            <v>ATI</v>
          </cell>
          <cell r="K121" t="str">
            <v>D1908021</v>
          </cell>
          <cell r="L121">
            <v>8</v>
          </cell>
          <cell r="M121" t="str">
            <v>AAC69735-B</v>
          </cell>
          <cell r="N121">
            <v>858272</v>
          </cell>
          <cell r="O121" t="str">
            <v xml:space="preserve">1.4306 TP304L </v>
          </cell>
          <cell r="P121" t="str">
            <v>304L</v>
          </cell>
          <cell r="Q121">
            <v>2.2759999999999998</v>
          </cell>
          <cell r="R121">
            <v>2.278</v>
          </cell>
          <cell r="S121">
            <v>6.3E-2</v>
          </cell>
          <cell r="T121">
            <v>6.2100000000000002E-2</v>
          </cell>
          <cell r="V121">
            <v>6.2100000000000002E-2</v>
          </cell>
          <cell r="X121">
            <v>2046</v>
          </cell>
          <cell r="Y121">
            <v>1</v>
          </cell>
          <cell r="Z121">
            <v>898.9455184534271</v>
          </cell>
          <cell r="AA121" t="str">
            <v>2.276X0.063-304L</v>
          </cell>
          <cell r="AB121" t="str">
            <v>WAAC005780160B300010</v>
          </cell>
          <cell r="AC121" t="str">
            <v>D1908021</v>
          </cell>
          <cell r="AD121">
            <v>858272</v>
          </cell>
          <cell r="AE121">
            <v>1.9E-2</v>
          </cell>
          <cell r="AF121">
            <v>1.63</v>
          </cell>
          <cell r="AG121">
            <v>3.2000000000000001E-2</v>
          </cell>
          <cell r="AH121">
            <v>2.9999999999999997E-4</v>
          </cell>
          <cell r="AI121">
            <v>0.32</v>
          </cell>
          <cell r="AJ121">
            <v>18.12</v>
          </cell>
          <cell r="AK121">
            <v>8.1199999999999992</v>
          </cell>
          <cell r="AL121">
            <v>7.0000000000000007E-2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Y121" t="str">
            <v/>
          </cell>
          <cell r="AZ121">
            <v>1.25</v>
          </cell>
          <cell r="BA121" t="str">
            <v>D1908021</v>
          </cell>
          <cell r="BB121" t="str">
            <v>CONFORM</v>
          </cell>
          <cell r="BC121" t="str">
            <v>CONFORM</v>
          </cell>
          <cell r="BD121" t="str">
            <v>CONFORM</v>
          </cell>
          <cell r="BE121" t="str">
            <v>CONFORM</v>
          </cell>
          <cell r="BF121" t="str">
            <v>CONFORM</v>
          </cell>
        </row>
        <row r="122">
          <cell r="A122">
            <v>43684</v>
          </cell>
          <cell r="B122" t="str">
            <v>D1908021-9</v>
          </cell>
          <cell r="C122" t="str">
            <v>015/19</v>
          </cell>
          <cell r="D122">
            <v>1</v>
          </cell>
          <cell r="E122">
            <v>43656</v>
          </cell>
          <cell r="F122" t="str">
            <v>DC</v>
          </cell>
          <cell r="G122" t="str">
            <v>Late</v>
          </cell>
          <cell r="H122" t="str">
            <v>L292689</v>
          </cell>
          <cell r="I122">
            <v>43682</v>
          </cell>
          <cell r="J122" t="str">
            <v>ATI</v>
          </cell>
          <cell r="K122" t="str">
            <v>D1908021</v>
          </cell>
          <cell r="L122">
            <v>9</v>
          </cell>
          <cell r="M122" t="str">
            <v>AAC69735-C</v>
          </cell>
          <cell r="N122">
            <v>858272</v>
          </cell>
          <cell r="O122" t="str">
            <v xml:space="preserve">1.4306 TP304L </v>
          </cell>
          <cell r="P122" t="str">
            <v>304L</v>
          </cell>
          <cell r="Q122">
            <v>2.2759999999999998</v>
          </cell>
          <cell r="R122">
            <v>2.278</v>
          </cell>
          <cell r="S122">
            <v>6.3E-2</v>
          </cell>
          <cell r="T122">
            <v>6.2899999999999998E-2</v>
          </cell>
          <cell r="V122">
            <v>6.2899999999999998E-2</v>
          </cell>
          <cell r="X122">
            <v>4060</v>
          </cell>
          <cell r="Y122">
            <v>2</v>
          </cell>
          <cell r="Z122">
            <v>891.91564147627423</v>
          </cell>
          <cell r="AA122" t="str">
            <v>2.276X0.063-304L</v>
          </cell>
          <cell r="AB122" t="str">
            <v>WAAC005780160B300010</v>
          </cell>
          <cell r="AC122" t="str">
            <v>D1908021</v>
          </cell>
          <cell r="AD122">
            <v>858272</v>
          </cell>
          <cell r="AE122">
            <v>1.9E-2</v>
          </cell>
          <cell r="AF122">
            <v>1.63</v>
          </cell>
          <cell r="AG122">
            <v>3.2000000000000001E-2</v>
          </cell>
          <cell r="AH122">
            <v>2.9999999999999997E-4</v>
          </cell>
          <cell r="AI122">
            <v>0.32</v>
          </cell>
          <cell r="AJ122">
            <v>18.12</v>
          </cell>
          <cell r="AK122">
            <v>8.1199999999999992</v>
          </cell>
          <cell r="AL122">
            <v>7.0000000000000007E-2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Y122" t="str">
            <v/>
          </cell>
          <cell r="AZ122">
            <v>1.25</v>
          </cell>
          <cell r="BA122" t="str">
            <v>D1908021</v>
          </cell>
          <cell r="BB122" t="str">
            <v>CONFORM</v>
          </cell>
          <cell r="BC122" t="str">
            <v>CONFORM</v>
          </cell>
          <cell r="BD122" t="str">
            <v>CONFORM</v>
          </cell>
          <cell r="BE122" t="str">
            <v>CONFORM</v>
          </cell>
          <cell r="BF122" t="str">
            <v>CONFORM</v>
          </cell>
        </row>
        <row r="123">
          <cell r="A123">
            <v>43684</v>
          </cell>
          <cell r="B123" t="str">
            <v>D1908021-10</v>
          </cell>
          <cell r="C123" t="str">
            <v>015/19</v>
          </cell>
          <cell r="D123">
            <v>1</v>
          </cell>
          <cell r="E123">
            <v>43656</v>
          </cell>
          <cell r="F123" t="str">
            <v>DC</v>
          </cell>
          <cell r="G123" t="str">
            <v>Late</v>
          </cell>
          <cell r="H123" t="str">
            <v>L292689</v>
          </cell>
          <cell r="I123">
            <v>43682</v>
          </cell>
          <cell r="J123" t="str">
            <v>ATI</v>
          </cell>
          <cell r="K123" t="str">
            <v>D1908021</v>
          </cell>
          <cell r="L123">
            <v>10</v>
          </cell>
          <cell r="M123" t="str">
            <v>AAC69735-C</v>
          </cell>
          <cell r="N123">
            <v>858272</v>
          </cell>
          <cell r="O123" t="str">
            <v xml:space="preserve">1.4306 TP304L </v>
          </cell>
          <cell r="P123" t="str">
            <v>304L</v>
          </cell>
          <cell r="Q123">
            <v>2.2759999999999998</v>
          </cell>
          <cell r="R123">
            <v>2.2770000000000001</v>
          </cell>
          <cell r="S123">
            <v>6.3E-2</v>
          </cell>
          <cell r="T123">
            <v>6.2700000000000006E-2</v>
          </cell>
          <cell r="V123">
            <v>6.2700000000000006E-2</v>
          </cell>
          <cell r="X123">
            <v>4050</v>
          </cell>
          <cell r="Y123">
            <v>2</v>
          </cell>
          <cell r="Z123">
            <v>889.71880492091395</v>
          </cell>
          <cell r="AA123" t="str">
            <v>2.276X0.063-304L</v>
          </cell>
          <cell r="AB123" t="str">
            <v>WAAC005780160B300010</v>
          </cell>
          <cell r="AC123" t="str">
            <v>D1908021</v>
          </cell>
          <cell r="AD123">
            <v>858272</v>
          </cell>
          <cell r="AE123">
            <v>1.9E-2</v>
          </cell>
          <cell r="AF123">
            <v>1.63</v>
          </cell>
          <cell r="AG123">
            <v>3.2000000000000001E-2</v>
          </cell>
          <cell r="AH123">
            <v>2.9999999999999997E-4</v>
          </cell>
          <cell r="AI123">
            <v>0.32</v>
          </cell>
          <cell r="AJ123">
            <v>18.12</v>
          </cell>
          <cell r="AK123">
            <v>8.1199999999999992</v>
          </cell>
          <cell r="AL123">
            <v>7.0000000000000007E-2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Y123" t="str">
            <v/>
          </cell>
          <cell r="AZ123">
            <v>1.25</v>
          </cell>
          <cell r="BA123" t="str">
            <v>D1908021</v>
          </cell>
          <cell r="BB123" t="str">
            <v>CONFORM</v>
          </cell>
          <cell r="BC123" t="str">
            <v>CONFORM</v>
          </cell>
          <cell r="BD123" t="str">
            <v>CONFORM</v>
          </cell>
          <cell r="BE123" t="str">
            <v>CONFORM</v>
          </cell>
          <cell r="BF123" t="str">
            <v>CONFORM</v>
          </cell>
        </row>
        <row r="124">
          <cell r="A124">
            <v>43684</v>
          </cell>
          <cell r="B124" t="str">
            <v>D1908021-11</v>
          </cell>
          <cell r="C124" t="str">
            <v>015/19</v>
          </cell>
          <cell r="D124">
            <v>1</v>
          </cell>
          <cell r="E124">
            <v>43656</v>
          </cell>
          <cell r="F124" t="str">
            <v>DC</v>
          </cell>
          <cell r="G124" t="str">
            <v>Late</v>
          </cell>
          <cell r="H124" t="str">
            <v>L292689</v>
          </cell>
          <cell r="I124">
            <v>43682</v>
          </cell>
          <cell r="J124" t="str">
            <v>ATI</v>
          </cell>
          <cell r="K124" t="str">
            <v>D1908021</v>
          </cell>
          <cell r="L124">
            <v>11</v>
          </cell>
          <cell r="M124" t="str">
            <v>AAC69735-C</v>
          </cell>
          <cell r="N124">
            <v>858272</v>
          </cell>
          <cell r="O124" t="str">
            <v xml:space="preserve">1.4306 TP304L </v>
          </cell>
          <cell r="P124" t="str">
            <v>304L</v>
          </cell>
          <cell r="Q124">
            <v>2.2759999999999998</v>
          </cell>
          <cell r="R124">
            <v>2.2770000000000001</v>
          </cell>
          <cell r="S124">
            <v>6.3E-2</v>
          </cell>
          <cell r="T124">
            <v>6.1899999999999997E-2</v>
          </cell>
          <cell r="V124">
            <v>6.1899999999999997E-2</v>
          </cell>
          <cell r="X124">
            <v>4034</v>
          </cell>
          <cell r="Y124">
            <v>2</v>
          </cell>
          <cell r="Z124">
            <v>886.20386643233746</v>
          </cell>
          <cell r="AA124" t="str">
            <v>2.276X0.063-304L</v>
          </cell>
          <cell r="AB124" t="str">
            <v>WAAC005780160B300010</v>
          </cell>
          <cell r="AC124" t="str">
            <v>D1908021</v>
          </cell>
          <cell r="AD124">
            <v>858272</v>
          </cell>
          <cell r="AE124">
            <v>1.9E-2</v>
          </cell>
          <cell r="AF124">
            <v>1.63</v>
          </cell>
          <cell r="AG124">
            <v>3.2000000000000001E-2</v>
          </cell>
          <cell r="AH124">
            <v>2.9999999999999997E-4</v>
          </cell>
          <cell r="AI124">
            <v>0.32</v>
          </cell>
          <cell r="AJ124">
            <v>18.12</v>
          </cell>
          <cell r="AK124">
            <v>8.1199999999999992</v>
          </cell>
          <cell r="AL124">
            <v>7.0000000000000007E-2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Y124" t="str">
            <v/>
          </cell>
          <cell r="AZ124">
            <v>1.25</v>
          </cell>
          <cell r="BA124" t="str">
            <v>D1908021</v>
          </cell>
          <cell r="BB124" t="str">
            <v>CONFORM</v>
          </cell>
          <cell r="BC124" t="str">
            <v>CONFORM</v>
          </cell>
          <cell r="BD124" t="str">
            <v>CONFORM</v>
          </cell>
          <cell r="BE124" t="str">
            <v>CONFORM</v>
          </cell>
          <cell r="BF124" t="str">
            <v>CONFORM</v>
          </cell>
        </row>
        <row r="125">
          <cell r="A125">
            <v>43684</v>
          </cell>
          <cell r="B125" t="str">
            <v>D1908021-12</v>
          </cell>
          <cell r="C125" t="str">
            <v>015/19</v>
          </cell>
          <cell r="D125">
            <v>1</v>
          </cell>
          <cell r="E125">
            <v>43656</v>
          </cell>
          <cell r="F125" t="str">
            <v>DC</v>
          </cell>
          <cell r="G125" t="str">
            <v>Late</v>
          </cell>
          <cell r="H125" t="str">
            <v>L292689</v>
          </cell>
          <cell r="I125">
            <v>43682</v>
          </cell>
          <cell r="J125" t="str">
            <v>ATI</v>
          </cell>
          <cell r="K125" t="str">
            <v>D1908021</v>
          </cell>
          <cell r="L125">
            <v>12</v>
          </cell>
          <cell r="M125" t="str">
            <v>AAC69735-C</v>
          </cell>
          <cell r="N125">
            <v>858272</v>
          </cell>
          <cell r="O125" t="str">
            <v xml:space="preserve">1.4306 TP304L </v>
          </cell>
          <cell r="P125" t="str">
            <v>304L</v>
          </cell>
          <cell r="Q125">
            <v>2.2759999999999998</v>
          </cell>
          <cell r="R125">
            <v>2.2789999999999999</v>
          </cell>
          <cell r="S125">
            <v>6.3E-2</v>
          </cell>
          <cell r="T125">
            <v>6.2E-2</v>
          </cell>
          <cell r="V125">
            <v>6.2E-2</v>
          </cell>
          <cell r="X125">
            <v>1992</v>
          </cell>
          <cell r="Y125">
            <v>1</v>
          </cell>
          <cell r="Z125">
            <v>875.21968365553607</v>
          </cell>
          <cell r="AA125" t="str">
            <v>2.276X0.063-304L</v>
          </cell>
          <cell r="AB125" t="str">
            <v>WAAC005780160B300010</v>
          </cell>
          <cell r="AC125" t="str">
            <v>D1908021</v>
          </cell>
          <cell r="AD125">
            <v>858272</v>
          </cell>
          <cell r="AE125">
            <v>1.9E-2</v>
          </cell>
          <cell r="AF125">
            <v>1.63</v>
          </cell>
          <cell r="AG125">
            <v>3.2000000000000001E-2</v>
          </cell>
          <cell r="AH125">
            <v>2.9999999999999997E-4</v>
          </cell>
          <cell r="AI125">
            <v>0.32</v>
          </cell>
          <cell r="AJ125">
            <v>18.12</v>
          </cell>
          <cell r="AK125">
            <v>8.1199999999999992</v>
          </cell>
          <cell r="AL125">
            <v>7.0000000000000007E-2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Y125" t="str">
            <v/>
          </cell>
          <cell r="AZ125">
            <v>1.25</v>
          </cell>
          <cell r="BA125" t="str">
            <v>D1908021</v>
          </cell>
          <cell r="BB125" t="str">
            <v>CONFORM</v>
          </cell>
          <cell r="BC125" t="str">
            <v>CONFORM</v>
          </cell>
          <cell r="BD125" t="str">
            <v>CONFORM</v>
          </cell>
          <cell r="BE125" t="str">
            <v>CONFORM</v>
          </cell>
          <cell r="BF125" t="str">
            <v>CONFORM</v>
          </cell>
        </row>
        <row r="126">
          <cell r="A126">
            <v>43685</v>
          </cell>
          <cell r="B126" t="str">
            <v>D1908022-1</v>
          </cell>
          <cell r="C126" t="str">
            <v>021/19</v>
          </cell>
          <cell r="D126">
            <v>1</v>
          </cell>
          <cell r="E126">
            <v>43677</v>
          </cell>
          <cell r="F126" t="str">
            <v>DC</v>
          </cell>
          <cell r="G126" t="str">
            <v>Late</v>
          </cell>
          <cell r="H126">
            <v>2406916732</v>
          </cell>
          <cell r="I126">
            <v>43682</v>
          </cell>
          <cell r="J126" t="str">
            <v>TKM</v>
          </cell>
          <cell r="K126" t="str">
            <v>D1908022</v>
          </cell>
          <cell r="L126">
            <v>1</v>
          </cell>
          <cell r="M126">
            <v>3102970</v>
          </cell>
          <cell r="N126">
            <v>520826</v>
          </cell>
          <cell r="O126" t="str">
            <v xml:space="preserve">1.4401/1.4404 TP316/316L </v>
          </cell>
          <cell r="P126" t="str">
            <v>316L</v>
          </cell>
          <cell r="Q126">
            <v>2.992</v>
          </cell>
          <cell r="R126">
            <v>2.9910000000000001</v>
          </cell>
          <cell r="S126">
            <v>8.6999999999999994E-2</v>
          </cell>
          <cell r="T126">
            <v>8.8499999999999995E-2</v>
          </cell>
          <cell r="V126">
            <v>8.8499999999999995E-2</v>
          </cell>
          <cell r="X126">
            <v>2384</v>
          </cell>
          <cell r="Y126">
            <v>5</v>
          </cell>
          <cell r="Z126">
            <v>159.35828877005349</v>
          </cell>
          <cell r="AA126" t="str">
            <v>2.992X0.087-316L</v>
          </cell>
          <cell r="AB126" t="str">
            <v>WAAF007600220B300038</v>
          </cell>
          <cell r="AC126" t="str">
            <v>D1908022</v>
          </cell>
          <cell r="AD126">
            <v>520826</v>
          </cell>
          <cell r="AE126">
            <v>2.5000000000000001E-2</v>
          </cell>
          <cell r="AF126">
            <v>1.5</v>
          </cell>
          <cell r="AG126">
            <v>0.03</v>
          </cell>
          <cell r="AH126">
            <v>1E-3</v>
          </cell>
          <cell r="AI126">
            <v>0.52</v>
          </cell>
          <cell r="AJ126">
            <v>16.63</v>
          </cell>
          <cell r="AK126">
            <v>10.039999999999999</v>
          </cell>
          <cell r="AL126">
            <v>4.3999999999999997E-2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Y126" t="str">
            <v/>
          </cell>
          <cell r="AZ126">
            <v>1.85</v>
          </cell>
          <cell r="BA126" t="str">
            <v>D1908022</v>
          </cell>
          <cell r="BB126" t="str">
            <v>CONFORM</v>
          </cell>
          <cell r="BC126" t="str">
            <v>CONFORM</v>
          </cell>
          <cell r="BD126" t="str">
            <v>CONFORM</v>
          </cell>
          <cell r="BE126" t="str">
            <v>CONFORM</v>
          </cell>
          <cell r="BF126" t="str">
            <v>CONFORM</v>
          </cell>
        </row>
        <row r="127">
          <cell r="A127">
            <v>43685</v>
          </cell>
          <cell r="B127" t="str">
            <v>D1908022-2</v>
          </cell>
          <cell r="C127" t="str">
            <v>021/19</v>
          </cell>
          <cell r="D127">
            <v>1</v>
          </cell>
          <cell r="E127">
            <v>43677</v>
          </cell>
          <cell r="F127" t="str">
            <v>DC</v>
          </cell>
          <cell r="G127" t="str">
            <v>Late</v>
          </cell>
          <cell r="H127">
            <v>2406916732</v>
          </cell>
          <cell r="I127">
            <v>43682</v>
          </cell>
          <cell r="J127" t="str">
            <v>TKM</v>
          </cell>
          <cell r="K127" t="str">
            <v>D1908022</v>
          </cell>
          <cell r="L127">
            <v>2</v>
          </cell>
          <cell r="M127">
            <v>3102970</v>
          </cell>
          <cell r="N127">
            <v>520826</v>
          </cell>
          <cell r="O127" t="str">
            <v xml:space="preserve">1.4401/1.4404 TP316/316L </v>
          </cell>
          <cell r="P127" t="str">
            <v>316L</v>
          </cell>
          <cell r="Q127">
            <v>2.992</v>
          </cell>
          <cell r="R127">
            <v>2.99</v>
          </cell>
          <cell r="S127">
            <v>8.6999999999999994E-2</v>
          </cell>
          <cell r="T127">
            <v>8.8400000000000006E-2</v>
          </cell>
          <cell r="V127">
            <v>8.8400000000000006E-2</v>
          </cell>
          <cell r="X127">
            <v>2380</v>
          </cell>
          <cell r="Y127">
            <v>5</v>
          </cell>
          <cell r="Z127">
            <v>159.09090909090909</v>
          </cell>
          <cell r="AA127" t="str">
            <v>2.992X0.087-316L</v>
          </cell>
          <cell r="AB127" t="str">
            <v>WAAF007600220B300038</v>
          </cell>
          <cell r="AC127" t="str">
            <v>D1908022</v>
          </cell>
          <cell r="AD127">
            <v>520826</v>
          </cell>
          <cell r="AE127">
            <v>2.5000000000000001E-2</v>
          </cell>
          <cell r="AF127">
            <v>1.5</v>
          </cell>
          <cell r="AG127">
            <v>0.03</v>
          </cell>
          <cell r="AH127">
            <v>1E-3</v>
          </cell>
          <cell r="AI127">
            <v>0.52</v>
          </cell>
          <cell r="AJ127">
            <v>16.63</v>
          </cell>
          <cell r="AK127">
            <v>10.039999999999999</v>
          </cell>
          <cell r="AL127">
            <v>4.3999999999999997E-2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Y127" t="str">
            <v/>
          </cell>
          <cell r="AZ127">
            <v>1.85</v>
          </cell>
          <cell r="BA127" t="str">
            <v>D1908022</v>
          </cell>
          <cell r="BB127" t="str">
            <v>CONFORM</v>
          </cell>
          <cell r="BC127" t="str">
            <v>CONFORM</v>
          </cell>
          <cell r="BD127" t="str">
            <v>CONFORM</v>
          </cell>
          <cell r="BE127" t="str">
            <v>CONFORM</v>
          </cell>
          <cell r="BF127" t="str">
            <v>CONFORM</v>
          </cell>
        </row>
        <row r="128">
          <cell r="A128">
            <v>43685</v>
          </cell>
          <cell r="B128" t="str">
            <v>D1908023-1</v>
          </cell>
          <cell r="C128" t="str">
            <v>021/19</v>
          </cell>
          <cell r="D128">
            <v>2</v>
          </cell>
          <cell r="E128">
            <v>43677</v>
          </cell>
          <cell r="F128" t="str">
            <v>DC</v>
          </cell>
          <cell r="G128" t="str">
            <v>Late</v>
          </cell>
          <cell r="H128">
            <v>2406916733</v>
          </cell>
          <cell r="I128">
            <v>43683</v>
          </cell>
          <cell r="J128" t="str">
            <v>TKM</v>
          </cell>
          <cell r="K128" t="str">
            <v>D1908023</v>
          </cell>
          <cell r="L128">
            <v>1</v>
          </cell>
          <cell r="M128">
            <v>3172613</v>
          </cell>
          <cell r="N128">
            <v>524235</v>
          </cell>
          <cell r="O128" t="str">
            <v xml:space="preserve">1.4401/1.4404 TP316/316L </v>
          </cell>
          <cell r="P128" t="str">
            <v>316L</v>
          </cell>
          <cell r="Q128">
            <v>2.9140000000000001</v>
          </cell>
          <cell r="R128">
            <v>2.91</v>
          </cell>
          <cell r="S128">
            <v>0.114</v>
          </cell>
          <cell r="T128">
            <v>0.11700000000000001</v>
          </cell>
          <cell r="V128">
            <v>0.11700000000000001</v>
          </cell>
          <cell r="X128">
            <v>2867</v>
          </cell>
          <cell r="Y128">
            <v>6</v>
          </cell>
          <cell r="Z128">
            <v>163.97849462365591</v>
          </cell>
          <cell r="AA128" t="str">
            <v>2.914X0.114-316L</v>
          </cell>
          <cell r="AB128" t="str">
            <v>WAAF007400290B300041</v>
          </cell>
          <cell r="AC128" t="str">
            <v>D1908023</v>
          </cell>
          <cell r="AD128">
            <v>524235</v>
          </cell>
          <cell r="AE128">
            <v>2.4E-2</v>
          </cell>
          <cell r="AF128">
            <v>1.49</v>
          </cell>
          <cell r="AG128">
            <v>2.9000000000000001E-2</v>
          </cell>
          <cell r="AH128">
            <v>2E-3</v>
          </cell>
          <cell r="AI128">
            <v>0.42</v>
          </cell>
          <cell r="AJ128">
            <v>16.559999999999999</v>
          </cell>
          <cell r="AK128">
            <v>10.06</v>
          </cell>
          <cell r="AL128">
            <v>3.9E-2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Y128" t="str">
            <v/>
          </cell>
          <cell r="AZ128">
            <v>1.85</v>
          </cell>
          <cell r="BA128" t="str">
            <v>D1908023</v>
          </cell>
          <cell r="BB128" t="str">
            <v>CONFORM</v>
          </cell>
          <cell r="BC128" t="str">
            <v>CONFORM</v>
          </cell>
          <cell r="BD128" t="str">
            <v>CONFORM</v>
          </cell>
          <cell r="BE128" t="str">
            <v>CONFORM</v>
          </cell>
          <cell r="BF128" t="str">
            <v>CONFORM</v>
          </cell>
        </row>
        <row r="129">
          <cell r="A129">
            <v>43685</v>
          </cell>
          <cell r="B129" t="str">
            <v>D1908023-2</v>
          </cell>
          <cell r="C129" t="str">
            <v>021/19</v>
          </cell>
          <cell r="D129">
            <v>2</v>
          </cell>
          <cell r="E129">
            <v>43677</v>
          </cell>
          <cell r="F129" t="str">
            <v>DC</v>
          </cell>
          <cell r="G129" t="str">
            <v>Late</v>
          </cell>
          <cell r="H129">
            <v>2406916733</v>
          </cell>
          <cell r="I129">
            <v>43683</v>
          </cell>
          <cell r="J129" t="str">
            <v>TKM</v>
          </cell>
          <cell r="K129" t="str">
            <v>D1908023</v>
          </cell>
          <cell r="L129">
            <v>2</v>
          </cell>
          <cell r="M129">
            <v>3172613</v>
          </cell>
          <cell r="N129">
            <v>524235</v>
          </cell>
          <cell r="O129" t="str">
            <v xml:space="preserve">1.4401/1.4404 TP316/316L </v>
          </cell>
          <cell r="P129" t="str">
            <v>316L</v>
          </cell>
          <cell r="Q129">
            <v>2.9140000000000001</v>
          </cell>
          <cell r="R129">
            <v>2.9129999999999998</v>
          </cell>
          <cell r="S129">
            <v>0.114</v>
          </cell>
          <cell r="T129">
            <v>0.11600000000000001</v>
          </cell>
          <cell r="V129">
            <v>0.11600000000000001</v>
          </cell>
          <cell r="X129">
            <v>3291</v>
          </cell>
          <cell r="Y129">
            <v>7</v>
          </cell>
          <cell r="Z129">
            <v>161.33934699480341</v>
          </cell>
          <cell r="AA129" t="str">
            <v>2.914X0.114-316L</v>
          </cell>
          <cell r="AB129" t="str">
            <v>WAAF007400290B300041</v>
          </cell>
          <cell r="AC129" t="str">
            <v>D1908023</v>
          </cell>
          <cell r="AD129">
            <v>524235</v>
          </cell>
          <cell r="AE129">
            <v>2.4E-2</v>
          </cell>
          <cell r="AF129">
            <v>1.49</v>
          </cell>
          <cell r="AG129">
            <v>2.9000000000000001E-2</v>
          </cell>
          <cell r="AH129">
            <v>2E-3</v>
          </cell>
          <cell r="AI129">
            <v>0.42</v>
          </cell>
          <cell r="AJ129">
            <v>16.559999999999999</v>
          </cell>
          <cell r="AK129">
            <v>10.06</v>
          </cell>
          <cell r="AL129">
            <v>3.9E-2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Y129" t="str">
            <v/>
          </cell>
          <cell r="AZ129">
            <v>1.85</v>
          </cell>
          <cell r="BA129" t="str">
            <v>D1908023</v>
          </cell>
          <cell r="BB129" t="str">
            <v>CONFORM</v>
          </cell>
          <cell r="BC129" t="str">
            <v>CONFORM</v>
          </cell>
          <cell r="BD129" t="str">
            <v>CONFORM</v>
          </cell>
          <cell r="BE129" t="str">
            <v>CONFORM</v>
          </cell>
          <cell r="BF129" t="str">
            <v>CONFORM</v>
          </cell>
        </row>
        <row r="130">
          <cell r="A130">
            <v>43689</v>
          </cell>
          <cell r="B130" t="str">
            <v>D1908029-1</v>
          </cell>
          <cell r="C130" t="str">
            <v>022/19</v>
          </cell>
          <cell r="D130">
            <v>1</v>
          </cell>
          <cell r="E130">
            <v>0</v>
          </cell>
          <cell r="F130" t="str">
            <v>DC</v>
          </cell>
          <cell r="G130" t="str">
            <v>Late</v>
          </cell>
          <cell r="H130">
            <v>20190812016</v>
          </cell>
          <cell r="I130">
            <v>43689</v>
          </cell>
          <cell r="J130" t="str">
            <v>COILPLUS</v>
          </cell>
          <cell r="K130" t="str">
            <v>D1908029</v>
          </cell>
          <cell r="L130">
            <v>1</v>
          </cell>
          <cell r="M130">
            <v>848406</v>
          </cell>
          <cell r="N130">
            <v>525460</v>
          </cell>
          <cell r="O130" t="str">
            <v xml:space="preserve">1.4306 TP304L </v>
          </cell>
          <cell r="P130" t="str">
            <v>304L</v>
          </cell>
          <cell r="Q130">
            <v>1.948</v>
          </cell>
          <cell r="R130">
            <v>1.9510000000000001</v>
          </cell>
          <cell r="S130">
            <v>3.5000000000000003E-2</v>
          </cell>
          <cell r="T130">
            <v>3.4099999999999998E-2</v>
          </cell>
          <cell r="V130">
            <v>3.4099999999999998E-2</v>
          </cell>
          <cell r="X130">
            <v>5876</v>
          </cell>
          <cell r="Y130">
            <v>6</v>
          </cell>
          <cell r="Z130">
            <v>502.73785078713212</v>
          </cell>
          <cell r="AA130" t="str">
            <v>1.948X0.035-304L</v>
          </cell>
          <cell r="AB130" t="str">
            <v>WAAC004950089B200032</v>
          </cell>
          <cell r="AC130" t="str">
            <v>D1908029</v>
          </cell>
          <cell r="AD130">
            <v>525460</v>
          </cell>
          <cell r="AE130">
            <v>2.4E-2</v>
          </cell>
          <cell r="AF130">
            <v>1.3</v>
          </cell>
          <cell r="AG130">
            <v>3.3000000000000002E-2</v>
          </cell>
          <cell r="AH130">
            <v>1.4E-3</v>
          </cell>
          <cell r="AI130">
            <v>0.32</v>
          </cell>
          <cell r="AJ130">
            <v>18.11</v>
          </cell>
          <cell r="AK130">
            <v>8.0399999999999991</v>
          </cell>
          <cell r="AL130">
            <v>6.3E-2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Y130" t="str">
            <v/>
          </cell>
          <cell r="AZ130">
            <v>0</v>
          </cell>
          <cell r="BA130" t="str">
            <v>D1908029</v>
          </cell>
          <cell r="BB130" t="str">
            <v>CONFORM</v>
          </cell>
          <cell r="BC130" t="str">
            <v>CONFORM</v>
          </cell>
          <cell r="BD130" t="str">
            <v>CONFORM</v>
          </cell>
          <cell r="BE130" t="str">
            <v>CONFORM</v>
          </cell>
          <cell r="BF130" t="str">
            <v>CONFORM</v>
          </cell>
        </row>
        <row r="131">
          <cell r="A131">
            <v>43689</v>
          </cell>
          <cell r="B131" t="str">
            <v>D1908029-2</v>
          </cell>
          <cell r="C131" t="str">
            <v>022/19</v>
          </cell>
          <cell r="D131">
            <v>1</v>
          </cell>
          <cell r="E131">
            <v>0</v>
          </cell>
          <cell r="F131" t="str">
            <v>DC</v>
          </cell>
          <cell r="G131" t="str">
            <v>Late</v>
          </cell>
          <cell r="H131">
            <v>20190812016</v>
          </cell>
          <cell r="I131">
            <v>43689</v>
          </cell>
          <cell r="J131" t="str">
            <v>COILPLUS</v>
          </cell>
          <cell r="K131" t="str">
            <v>D1908029</v>
          </cell>
          <cell r="L131">
            <v>2</v>
          </cell>
          <cell r="M131">
            <v>848406</v>
          </cell>
          <cell r="N131">
            <v>525460</v>
          </cell>
          <cell r="O131" t="str">
            <v xml:space="preserve">1.4306 TP304L </v>
          </cell>
          <cell r="P131" t="str">
            <v>304L</v>
          </cell>
          <cell r="Q131">
            <v>1.948</v>
          </cell>
          <cell r="R131">
            <v>1.9490000000000001</v>
          </cell>
          <cell r="S131">
            <v>3.5000000000000003E-2</v>
          </cell>
          <cell r="T131">
            <v>3.4099999999999998E-2</v>
          </cell>
          <cell r="V131">
            <v>3.4099999999999998E-2</v>
          </cell>
          <cell r="X131">
            <v>4906</v>
          </cell>
          <cell r="Y131">
            <v>5</v>
          </cell>
          <cell r="Z131">
            <v>503.69609856262838</v>
          </cell>
          <cell r="AA131" t="str">
            <v>1.948X0.035-304L</v>
          </cell>
          <cell r="AB131" t="str">
            <v>WAAC004950089B200032</v>
          </cell>
          <cell r="AC131" t="str">
            <v>D1908029</v>
          </cell>
          <cell r="AD131">
            <v>525460</v>
          </cell>
          <cell r="AE131">
            <v>2.4E-2</v>
          </cell>
          <cell r="AF131">
            <v>1.3</v>
          </cell>
          <cell r="AG131">
            <v>3.3000000000000002E-2</v>
          </cell>
          <cell r="AH131">
            <v>1.4E-3</v>
          </cell>
          <cell r="AI131">
            <v>0.32</v>
          </cell>
          <cell r="AJ131">
            <v>18.11</v>
          </cell>
          <cell r="AK131">
            <v>8.0399999999999991</v>
          </cell>
          <cell r="AL131">
            <v>6.3E-2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Y131" t="str">
            <v/>
          </cell>
          <cell r="AZ131">
            <v>0</v>
          </cell>
          <cell r="BA131" t="str">
            <v>D1908029</v>
          </cell>
          <cell r="BB131" t="str">
            <v>CONFORM</v>
          </cell>
          <cell r="BC131" t="str">
            <v>CONFORM</v>
          </cell>
          <cell r="BD131" t="str">
            <v>CONFORM</v>
          </cell>
          <cell r="BE131" t="str">
            <v>CONFORM</v>
          </cell>
          <cell r="BF131" t="str">
            <v>CONFORM</v>
          </cell>
        </row>
        <row r="132">
          <cell r="A132">
            <v>43689</v>
          </cell>
          <cell r="B132" t="str">
            <v>D1908030-1</v>
          </cell>
          <cell r="C132" t="str">
            <v>022/19</v>
          </cell>
          <cell r="D132">
            <v>2</v>
          </cell>
          <cell r="E132">
            <v>0</v>
          </cell>
          <cell r="F132" t="str">
            <v>DC</v>
          </cell>
          <cell r="G132" t="str">
            <v>Late</v>
          </cell>
          <cell r="H132">
            <v>20190812016</v>
          </cell>
          <cell r="I132">
            <v>43689</v>
          </cell>
          <cell r="J132" t="str">
            <v>COILPLUS</v>
          </cell>
          <cell r="K132" t="str">
            <v>D1908030</v>
          </cell>
          <cell r="L132">
            <v>1</v>
          </cell>
          <cell r="M132">
            <v>848406</v>
          </cell>
          <cell r="N132">
            <v>525460</v>
          </cell>
          <cell r="O132" t="str">
            <v xml:space="preserve">1.4306 TP304L </v>
          </cell>
          <cell r="P132" t="str">
            <v>304L</v>
          </cell>
          <cell r="Q132">
            <v>1.7509999999999999</v>
          </cell>
          <cell r="R132">
            <v>1.756</v>
          </cell>
          <cell r="S132">
            <v>3.5000000000000003E-2</v>
          </cell>
          <cell r="T132">
            <v>3.4099999999999998E-2</v>
          </cell>
          <cell r="V132">
            <v>3.4099999999999998E-2</v>
          </cell>
          <cell r="X132">
            <v>5300</v>
          </cell>
          <cell r="Y132">
            <v>6</v>
          </cell>
          <cell r="Z132">
            <v>504.47363411383975</v>
          </cell>
          <cell r="AA132" t="str">
            <v>1.751X0.035-304L</v>
          </cell>
          <cell r="AB132" t="str">
            <v>WAAC004450089B300004</v>
          </cell>
          <cell r="AC132" t="str">
            <v>D1908030</v>
          </cell>
          <cell r="AD132">
            <v>525460</v>
          </cell>
          <cell r="AE132">
            <v>2.4E-2</v>
          </cell>
          <cell r="AF132">
            <v>1.3</v>
          </cell>
          <cell r="AG132">
            <v>3.3000000000000002E-2</v>
          </cell>
          <cell r="AH132">
            <v>1.4E-3</v>
          </cell>
          <cell r="AI132">
            <v>0.32</v>
          </cell>
          <cell r="AJ132">
            <v>18.11</v>
          </cell>
          <cell r="AK132">
            <v>8.0399999999999991</v>
          </cell>
          <cell r="AL132">
            <v>6.3E-2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Y132" t="str">
            <v/>
          </cell>
          <cell r="AZ132">
            <v>0</v>
          </cell>
          <cell r="BA132" t="str">
            <v>D1908030</v>
          </cell>
          <cell r="BB132" t="str">
            <v>CONFORM</v>
          </cell>
          <cell r="BC132" t="str">
            <v>CONFORM</v>
          </cell>
          <cell r="BD132" t="str">
            <v>CONFORM</v>
          </cell>
          <cell r="BE132" t="str">
            <v>CONFORM</v>
          </cell>
          <cell r="BF132" t="str">
            <v>CONFORM</v>
          </cell>
        </row>
        <row r="133">
          <cell r="A133">
            <v>43689</v>
          </cell>
          <cell r="B133" t="str">
            <v>D1908030-2</v>
          </cell>
          <cell r="C133" t="str">
            <v>022/19</v>
          </cell>
          <cell r="D133">
            <v>2</v>
          </cell>
          <cell r="E133">
            <v>0</v>
          </cell>
          <cell r="F133" t="str">
            <v>DC</v>
          </cell>
          <cell r="G133" t="str">
            <v>Late</v>
          </cell>
          <cell r="H133">
            <v>20190812016</v>
          </cell>
          <cell r="I133">
            <v>43689</v>
          </cell>
          <cell r="J133" t="str">
            <v>COILPLUS</v>
          </cell>
          <cell r="K133" t="str">
            <v>D1908030</v>
          </cell>
          <cell r="L133">
            <v>2</v>
          </cell>
          <cell r="M133">
            <v>848406</v>
          </cell>
          <cell r="N133">
            <v>525460</v>
          </cell>
          <cell r="O133" t="str">
            <v xml:space="preserve">1.4306 TP304L </v>
          </cell>
          <cell r="P133" t="str">
            <v>304L</v>
          </cell>
          <cell r="Q133">
            <v>1.7509999999999999</v>
          </cell>
          <cell r="R133">
            <v>1.73</v>
          </cell>
          <cell r="S133">
            <v>3.5000000000000003E-2</v>
          </cell>
          <cell r="T133">
            <v>3.4099999999999998E-2</v>
          </cell>
          <cell r="V133">
            <v>3.4099999999999998E-2</v>
          </cell>
          <cell r="X133">
            <v>5288</v>
          </cell>
          <cell r="Y133">
            <v>6</v>
          </cell>
          <cell r="Z133">
            <v>503.33142965924242</v>
          </cell>
          <cell r="AA133" t="str">
            <v>1.751X0.035-304L</v>
          </cell>
          <cell r="AB133" t="str">
            <v>WAAC004450089B300004</v>
          </cell>
          <cell r="AC133" t="str">
            <v>D1908030</v>
          </cell>
          <cell r="AD133">
            <v>525460</v>
          </cell>
          <cell r="AE133">
            <v>2.4E-2</v>
          </cell>
          <cell r="AF133">
            <v>1.3</v>
          </cell>
          <cell r="AG133">
            <v>3.3000000000000002E-2</v>
          </cell>
          <cell r="AH133">
            <v>1.4E-3</v>
          </cell>
          <cell r="AI133">
            <v>0.32</v>
          </cell>
          <cell r="AJ133">
            <v>18.11</v>
          </cell>
          <cell r="AK133">
            <v>8.0399999999999991</v>
          </cell>
          <cell r="AL133">
            <v>6.3E-2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Y133" t="str">
            <v/>
          </cell>
          <cell r="AZ133">
            <v>0</v>
          </cell>
          <cell r="BA133" t="str">
            <v>D1908030</v>
          </cell>
          <cell r="BB133" t="str">
            <v>CONFORM</v>
          </cell>
          <cell r="BC133" t="str">
            <v>CONFORM</v>
          </cell>
          <cell r="BD133" t="str">
            <v>CONFORM</v>
          </cell>
          <cell r="BE133" t="str">
            <v>CONFORM</v>
          </cell>
          <cell r="BF133" t="str">
            <v>CONFORM</v>
          </cell>
        </row>
        <row r="134">
          <cell r="A134">
            <v>43689</v>
          </cell>
          <cell r="B134" t="str">
            <v>D1908031-1</v>
          </cell>
          <cell r="C134" t="str">
            <v>022/19</v>
          </cell>
          <cell r="D134">
            <v>3</v>
          </cell>
          <cell r="E134">
            <v>0</v>
          </cell>
          <cell r="F134" t="str">
            <v>DC</v>
          </cell>
          <cell r="G134" t="str">
            <v>Late</v>
          </cell>
          <cell r="H134">
            <v>20190812016</v>
          </cell>
          <cell r="I134">
            <v>43689</v>
          </cell>
          <cell r="J134" t="str">
            <v>COILPLUS</v>
          </cell>
          <cell r="K134" t="str">
            <v>D1908031</v>
          </cell>
          <cell r="L134">
            <v>1</v>
          </cell>
          <cell r="M134">
            <v>848406</v>
          </cell>
          <cell r="N134">
            <v>525460</v>
          </cell>
          <cell r="O134" t="str">
            <v xml:space="preserve">1.4306 TP304L </v>
          </cell>
          <cell r="P134" t="str">
            <v>304L</v>
          </cell>
          <cell r="Q134">
            <v>1.5589999999999999</v>
          </cell>
          <cell r="R134">
            <v>1.5640000000000001</v>
          </cell>
          <cell r="S134">
            <v>3.5000000000000003E-2</v>
          </cell>
          <cell r="T134">
            <v>3.4099999999999998E-2</v>
          </cell>
          <cell r="V134">
            <v>3.4099999999999998E-2</v>
          </cell>
          <cell r="X134">
            <v>2338</v>
          </cell>
          <cell r="Y134">
            <v>3</v>
          </cell>
          <cell r="Z134">
            <v>499.89309386358781</v>
          </cell>
          <cell r="AA134" t="str">
            <v>1.559X0.035-304L</v>
          </cell>
          <cell r="AB134" t="str">
            <v>WAAC003950089B200034</v>
          </cell>
          <cell r="AC134" t="str">
            <v>D1908031</v>
          </cell>
          <cell r="AD134">
            <v>525460</v>
          </cell>
          <cell r="AE134">
            <v>2.4E-2</v>
          </cell>
          <cell r="AF134">
            <v>1.3</v>
          </cell>
          <cell r="AG134">
            <v>3.3000000000000002E-2</v>
          </cell>
          <cell r="AH134">
            <v>1.4E-3</v>
          </cell>
          <cell r="AI134">
            <v>0.32</v>
          </cell>
          <cell r="AJ134">
            <v>18.11</v>
          </cell>
          <cell r="AK134">
            <v>8.0399999999999991</v>
          </cell>
          <cell r="AL134">
            <v>6.3E-2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Y134" t="str">
            <v/>
          </cell>
          <cell r="AZ134">
            <v>0</v>
          </cell>
          <cell r="BA134" t="str">
            <v>D1908031</v>
          </cell>
          <cell r="BB134" t="str">
            <v>CONFORM</v>
          </cell>
          <cell r="BC134" t="str">
            <v>CONFORM</v>
          </cell>
          <cell r="BD134" t="str">
            <v>CONFORM</v>
          </cell>
          <cell r="BE134" t="str">
            <v>CONFORM</v>
          </cell>
          <cell r="BF134" t="str">
            <v>CONFORM</v>
          </cell>
        </row>
        <row r="135">
          <cell r="A135">
            <v>43700</v>
          </cell>
          <cell r="B135" t="str">
            <v>D1908033-1</v>
          </cell>
          <cell r="C135" t="str">
            <v>019/19</v>
          </cell>
          <cell r="D135">
            <v>1</v>
          </cell>
          <cell r="E135" t="str">
            <v>AUGUST 2019</v>
          </cell>
          <cell r="F135" t="str">
            <v>DC</v>
          </cell>
          <cell r="G135" t="str">
            <v>Late</v>
          </cell>
          <cell r="H135" t="str">
            <v>L297167</v>
          </cell>
          <cell r="I135">
            <v>43698</v>
          </cell>
          <cell r="J135" t="str">
            <v>ATI</v>
          </cell>
          <cell r="K135" t="str">
            <v>D1908033</v>
          </cell>
          <cell r="L135">
            <v>1</v>
          </cell>
          <cell r="M135" t="str">
            <v>AAC73551-A</v>
          </cell>
          <cell r="N135">
            <v>858507</v>
          </cell>
          <cell r="O135" t="str">
            <v xml:space="preserve">1.4306 TP304L </v>
          </cell>
          <cell r="P135" t="str">
            <v>304L</v>
          </cell>
          <cell r="Q135">
            <v>1.913</v>
          </cell>
          <cell r="R135">
            <v>1.9159999999999999</v>
          </cell>
          <cell r="S135">
            <v>4.7E-2</v>
          </cell>
          <cell r="T135">
            <v>4.3999999999999997E-2</v>
          </cell>
          <cell r="V135">
            <v>4.3999999999999997E-2</v>
          </cell>
          <cell r="X135">
            <v>5120</v>
          </cell>
          <cell r="Y135">
            <v>3</v>
          </cell>
          <cell r="Z135">
            <v>892.14148806412265</v>
          </cell>
          <cell r="AA135" t="str">
            <v>1.913X0.047-304L</v>
          </cell>
          <cell r="AB135" t="str">
            <v>WAAC004860119B300023</v>
          </cell>
          <cell r="AC135" t="str">
            <v>D1908033</v>
          </cell>
          <cell r="AD135">
            <v>858507</v>
          </cell>
          <cell r="AE135">
            <v>2.1000000000000001E-2</v>
          </cell>
          <cell r="AF135">
            <v>1.69</v>
          </cell>
          <cell r="AG135">
            <v>3.3000000000000002E-2</v>
          </cell>
          <cell r="AH135">
            <v>3.0000000000000001E-3</v>
          </cell>
          <cell r="AI135">
            <v>0.28999999999999998</v>
          </cell>
          <cell r="AJ135">
            <v>18.29</v>
          </cell>
          <cell r="AK135">
            <v>8.09</v>
          </cell>
          <cell r="AL135">
            <v>7.0000000000000007E-2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Y135" t="str">
            <v/>
          </cell>
          <cell r="AZ135">
            <v>1.31</v>
          </cell>
          <cell r="BA135" t="str">
            <v>D1908033</v>
          </cell>
          <cell r="BB135" t="str">
            <v>CONFORM</v>
          </cell>
          <cell r="BC135" t="str">
            <v>CONFORM</v>
          </cell>
          <cell r="BD135" t="str">
            <v>CONFORM</v>
          </cell>
          <cell r="BE135" t="str">
            <v>CONFORM</v>
          </cell>
          <cell r="BF135" t="str">
            <v>CONFORM</v>
          </cell>
        </row>
        <row r="136">
          <cell r="A136">
            <v>43700</v>
          </cell>
          <cell r="B136" t="str">
            <v>D1908033-2</v>
          </cell>
          <cell r="C136" t="str">
            <v>019/19</v>
          </cell>
          <cell r="D136">
            <v>1</v>
          </cell>
          <cell r="E136" t="str">
            <v>AUGUST 2019</v>
          </cell>
          <cell r="F136" t="str">
            <v>DC</v>
          </cell>
          <cell r="G136" t="str">
            <v>Late</v>
          </cell>
          <cell r="H136" t="str">
            <v>L297167</v>
          </cell>
          <cell r="I136">
            <v>43698</v>
          </cell>
          <cell r="J136" t="str">
            <v>ATI</v>
          </cell>
          <cell r="K136" t="str">
            <v>D1908033</v>
          </cell>
          <cell r="L136">
            <v>2</v>
          </cell>
          <cell r="M136" t="str">
            <v>AAC73551-A</v>
          </cell>
          <cell r="N136">
            <v>858507</v>
          </cell>
          <cell r="O136" t="str">
            <v xml:space="preserve">1.4306 TP304L </v>
          </cell>
          <cell r="P136" t="str">
            <v>304L</v>
          </cell>
          <cell r="Q136">
            <v>1.913</v>
          </cell>
          <cell r="R136">
            <v>1.915</v>
          </cell>
          <cell r="S136">
            <v>4.7E-2</v>
          </cell>
          <cell r="T136">
            <v>4.4999999999999998E-2</v>
          </cell>
          <cell r="V136">
            <v>4.4999999999999998E-2</v>
          </cell>
          <cell r="X136">
            <v>5174</v>
          </cell>
          <cell r="Y136">
            <v>3</v>
          </cell>
          <cell r="Z136">
            <v>901.55079282104896</v>
          </cell>
          <cell r="AA136" t="str">
            <v>1.913X0.047-304L</v>
          </cell>
          <cell r="AB136" t="str">
            <v>WAAC004860119B300023</v>
          </cell>
          <cell r="AC136" t="str">
            <v>D1908033</v>
          </cell>
          <cell r="AD136">
            <v>858507</v>
          </cell>
          <cell r="AE136">
            <v>2.1000000000000001E-2</v>
          </cell>
          <cell r="AF136">
            <v>1.69</v>
          </cell>
          <cell r="AG136">
            <v>3.3000000000000002E-2</v>
          </cell>
          <cell r="AH136">
            <v>3.0000000000000001E-3</v>
          </cell>
          <cell r="AI136">
            <v>0.28999999999999998</v>
          </cell>
          <cell r="AJ136">
            <v>18.29</v>
          </cell>
          <cell r="AK136">
            <v>8.09</v>
          </cell>
          <cell r="AL136">
            <v>7.0000000000000007E-2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Y136" t="str">
            <v/>
          </cell>
          <cell r="AZ136">
            <v>1.31</v>
          </cell>
          <cell r="BA136" t="str">
            <v>D1908033</v>
          </cell>
          <cell r="BB136" t="str">
            <v>CONFORM</v>
          </cell>
          <cell r="BC136" t="str">
            <v>CONFORM</v>
          </cell>
          <cell r="BD136" t="str">
            <v>CONFORM</v>
          </cell>
          <cell r="BE136" t="str">
            <v>CONFORM</v>
          </cell>
          <cell r="BF136" t="str">
            <v>CONFORM</v>
          </cell>
        </row>
        <row r="137">
          <cell r="A137">
            <v>43700</v>
          </cell>
          <cell r="B137" t="str">
            <v>D1908033-3</v>
          </cell>
          <cell r="C137" t="str">
            <v>019/19</v>
          </cell>
          <cell r="D137">
            <v>1</v>
          </cell>
          <cell r="E137" t="str">
            <v>AUGUST 2019</v>
          </cell>
          <cell r="F137" t="str">
            <v>DC</v>
          </cell>
          <cell r="G137" t="str">
            <v>Late</v>
          </cell>
          <cell r="H137" t="str">
            <v>L297167</v>
          </cell>
          <cell r="I137">
            <v>43698</v>
          </cell>
          <cell r="J137" t="str">
            <v>ATI</v>
          </cell>
          <cell r="K137" t="str">
            <v>D1908033</v>
          </cell>
          <cell r="L137">
            <v>3</v>
          </cell>
          <cell r="M137" t="str">
            <v>AAC73551-A</v>
          </cell>
          <cell r="N137">
            <v>858507</v>
          </cell>
          <cell r="O137" t="str">
            <v xml:space="preserve">1.4306 TP304L </v>
          </cell>
          <cell r="P137" t="str">
            <v>304L</v>
          </cell>
          <cell r="Q137">
            <v>1.913</v>
          </cell>
          <cell r="R137">
            <v>1.9159999999999999</v>
          </cell>
          <cell r="S137">
            <v>4.7E-2</v>
          </cell>
          <cell r="T137">
            <v>4.3999999999999997E-2</v>
          </cell>
          <cell r="V137">
            <v>4.3999999999999997E-2</v>
          </cell>
          <cell r="X137">
            <v>5204</v>
          </cell>
          <cell r="Y137">
            <v>3</v>
          </cell>
          <cell r="Z137">
            <v>906.77818435267466</v>
          </cell>
          <cell r="AA137" t="str">
            <v>1.913X0.047-304L</v>
          </cell>
          <cell r="AB137" t="str">
            <v>WAAC004860119B300023</v>
          </cell>
          <cell r="AC137" t="str">
            <v>D1908033</v>
          </cell>
          <cell r="AD137">
            <v>858507</v>
          </cell>
          <cell r="AE137">
            <v>2.1000000000000001E-2</v>
          </cell>
          <cell r="AF137">
            <v>1.69</v>
          </cell>
          <cell r="AG137">
            <v>3.3000000000000002E-2</v>
          </cell>
          <cell r="AH137">
            <v>3.0000000000000001E-3</v>
          </cell>
          <cell r="AI137">
            <v>0.28999999999999998</v>
          </cell>
          <cell r="AJ137">
            <v>18.29</v>
          </cell>
          <cell r="AK137">
            <v>8.09</v>
          </cell>
          <cell r="AL137">
            <v>7.0000000000000007E-2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Y137" t="str">
            <v/>
          </cell>
          <cell r="AZ137">
            <v>1.31</v>
          </cell>
          <cell r="BA137" t="str">
            <v>D1908033</v>
          </cell>
          <cell r="BB137" t="str">
            <v>CONFORM</v>
          </cell>
          <cell r="BC137" t="str">
            <v>CONFORM</v>
          </cell>
          <cell r="BD137" t="str">
            <v>CONFORM</v>
          </cell>
          <cell r="BE137" t="str">
            <v>CONFORM</v>
          </cell>
          <cell r="BF137" t="str">
            <v>CONFORM</v>
          </cell>
        </row>
        <row r="138">
          <cell r="A138">
            <v>43700</v>
          </cell>
          <cell r="B138" t="str">
            <v>D1908033-4</v>
          </cell>
          <cell r="C138" t="str">
            <v>019/19</v>
          </cell>
          <cell r="D138">
            <v>1</v>
          </cell>
          <cell r="E138" t="str">
            <v>AUGUST 2019</v>
          </cell>
          <cell r="F138" t="str">
            <v>DC</v>
          </cell>
          <cell r="G138" t="str">
            <v>Late</v>
          </cell>
          <cell r="H138" t="str">
            <v>L297167</v>
          </cell>
          <cell r="I138">
            <v>43698</v>
          </cell>
          <cell r="J138" t="str">
            <v>ATI</v>
          </cell>
          <cell r="K138" t="str">
            <v>D1908033</v>
          </cell>
          <cell r="L138">
            <v>4</v>
          </cell>
          <cell r="M138" t="str">
            <v>AAC73551-B</v>
          </cell>
          <cell r="N138">
            <v>858507</v>
          </cell>
          <cell r="O138" t="str">
            <v xml:space="preserve">1.4306 TP304L </v>
          </cell>
          <cell r="P138" t="str">
            <v>304L</v>
          </cell>
          <cell r="Q138">
            <v>1.913</v>
          </cell>
          <cell r="R138">
            <v>1.9179999999999999</v>
          </cell>
          <cell r="S138">
            <v>4.7E-2</v>
          </cell>
          <cell r="T138">
            <v>4.5999999999999999E-2</v>
          </cell>
          <cell r="V138">
            <v>4.5999999999999999E-2</v>
          </cell>
          <cell r="X138">
            <v>5240</v>
          </cell>
          <cell r="Y138">
            <v>3</v>
          </cell>
          <cell r="Z138">
            <v>913.05105419062556</v>
          </cell>
          <cell r="AA138" t="str">
            <v>1.913X0.047-304L</v>
          </cell>
          <cell r="AB138" t="str">
            <v>WAAC004860119B300023</v>
          </cell>
          <cell r="AC138" t="str">
            <v>D1908033</v>
          </cell>
          <cell r="AD138">
            <v>858507</v>
          </cell>
          <cell r="AE138">
            <v>2.1000000000000001E-2</v>
          </cell>
          <cell r="AF138">
            <v>1.69</v>
          </cell>
          <cell r="AG138">
            <v>3.3000000000000002E-2</v>
          </cell>
          <cell r="AH138">
            <v>3.0000000000000001E-3</v>
          </cell>
          <cell r="AI138">
            <v>0.28999999999999998</v>
          </cell>
          <cell r="AJ138">
            <v>18.29</v>
          </cell>
          <cell r="AK138">
            <v>8.09</v>
          </cell>
          <cell r="AL138">
            <v>7.0000000000000007E-2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Y138" t="str">
            <v/>
          </cell>
          <cell r="AZ138">
            <v>1.31</v>
          </cell>
          <cell r="BA138" t="str">
            <v>D1908033</v>
          </cell>
          <cell r="BB138" t="str">
            <v>CONFORM</v>
          </cell>
          <cell r="BC138" t="str">
            <v>CONFORM</v>
          </cell>
          <cell r="BD138" t="str">
            <v>CONFORM</v>
          </cell>
          <cell r="BE138" t="str">
            <v>CONFORM</v>
          </cell>
          <cell r="BF138" t="str">
            <v>CONFORM</v>
          </cell>
        </row>
        <row r="139">
          <cell r="A139">
            <v>43700</v>
          </cell>
          <cell r="B139" t="str">
            <v>D1908033-5</v>
          </cell>
          <cell r="C139" t="str">
            <v>019/19</v>
          </cell>
          <cell r="D139">
            <v>1</v>
          </cell>
          <cell r="E139" t="str">
            <v>AUGUST 2019</v>
          </cell>
          <cell r="F139" t="str">
            <v>DC</v>
          </cell>
          <cell r="G139" t="str">
            <v>Late</v>
          </cell>
          <cell r="H139" t="str">
            <v>L297167</v>
          </cell>
          <cell r="I139">
            <v>43698</v>
          </cell>
          <cell r="J139" t="str">
            <v>ATI</v>
          </cell>
          <cell r="K139" t="str">
            <v>D1908033</v>
          </cell>
          <cell r="L139">
            <v>5</v>
          </cell>
          <cell r="M139" t="str">
            <v>AAC73551-B</v>
          </cell>
          <cell r="N139">
            <v>858507</v>
          </cell>
          <cell r="O139" t="str">
            <v xml:space="preserve">1.4306 TP304L </v>
          </cell>
          <cell r="P139" t="str">
            <v>304L</v>
          </cell>
          <cell r="Q139">
            <v>1.913</v>
          </cell>
          <cell r="R139">
            <v>1.917</v>
          </cell>
          <cell r="S139">
            <v>4.7E-2</v>
          </cell>
          <cell r="T139">
            <v>4.3999999999999997E-2</v>
          </cell>
          <cell r="V139">
            <v>4.3999999999999997E-2</v>
          </cell>
          <cell r="X139">
            <v>5236</v>
          </cell>
          <cell r="Y139">
            <v>3</v>
          </cell>
          <cell r="Z139">
            <v>912.35406865307539</v>
          </cell>
          <cell r="AA139" t="str">
            <v>1.913X0.047-304L</v>
          </cell>
          <cell r="AB139" t="str">
            <v>WAAC004860119B300023</v>
          </cell>
          <cell r="AC139" t="str">
            <v>D1908033</v>
          </cell>
          <cell r="AD139">
            <v>858507</v>
          </cell>
          <cell r="AE139">
            <v>2.1000000000000001E-2</v>
          </cell>
          <cell r="AF139">
            <v>1.69</v>
          </cell>
          <cell r="AG139">
            <v>3.3000000000000002E-2</v>
          </cell>
          <cell r="AH139">
            <v>3.0000000000000001E-3</v>
          </cell>
          <cell r="AI139">
            <v>0.28999999999999998</v>
          </cell>
          <cell r="AJ139">
            <v>18.29</v>
          </cell>
          <cell r="AK139">
            <v>8.09</v>
          </cell>
          <cell r="AL139">
            <v>7.0000000000000007E-2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Y139" t="str">
            <v/>
          </cell>
          <cell r="AZ139">
            <v>1.31</v>
          </cell>
          <cell r="BA139" t="str">
            <v>D1908033</v>
          </cell>
          <cell r="BB139" t="str">
            <v>CONFORM</v>
          </cell>
          <cell r="BC139" t="str">
            <v>CONFORM</v>
          </cell>
          <cell r="BD139" t="str">
            <v>CONFORM</v>
          </cell>
          <cell r="BE139" t="str">
            <v>CONFORM</v>
          </cell>
          <cell r="BF139" t="str">
            <v>CONFORM</v>
          </cell>
        </row>
        <row r="140">
          <cell r="A140">
            <v>43700</v>
          </cell>
          <cell r="B140" t="str">
            <v>D1908033-6</v>
          </cell>
          <cell r="C140" t="str">
            <v>019/19</v>
          </cell>
          <cell r="D140">
            <v>1</v>
          </cell>
          <cell r="E140" t="str">
            <v>AUGUST 2019</v>
          </cell>
          <cell r="F140" t="str">
            <v>DC</v>
          </cell>
          <cell r="G140" t="str">
            <v>Late</v>
          </cell>
          <cell r="H140" t="str">
            <v>L297167</v>
          </cell>
          <cell r="I140">
            <v>43698</v>
          </cell>
          <cell r="J140" t="str">
            <v>ATI</v>
          </cell>
          <cell r="K140" t="str">
            <v>D1908033</v>
          </cell>
          <cell r="L140">
            <v>6</v>
          </cell>
          <cell r="M140" t="str">
            <v>AAC73551-B</v>
          </cell>
          <cell r="N140">
            <v>858507</v>
          </cell>
          <cell r="O140" t="str">
            <v xml:space="preserve">1.4306 TP304L </v>
          </cell>
          <cell r="P140" t="str">
            <v>304L</v>
          </cell>
          <cell r="Q140">
            <v>1.913</v>
          </cell>
          <cell r="R140">
            <v>1.9159999999999999</v>
          </cell>
          <cell r="S140">
            <v>4.7E-2</v>
          </cell>
          <cell r="T140">
            <v>4.4999999999999998E-2</v>
          </cell>
          <cell r="V140">
            <v>4.4999999999999998E-2</v>
          </cell>
          <cell r="X140">
            <v>3494</v>
          </cell>
          <cell r="Y140">
            <v>2</v>
          </cell>
          <cell r="Z140">
            <v>913.22530057501308</v>
          </cell>
          <cell r="AA140" t="str">
            <v>1.913X0.047-304L</v>
          </cell>
          <cell r="AB140" t="str">
            <v>WAAC004860119B300023</v>
          </cell>
          <cell r="AC140" t="str">
            <v>D1908033</v>
          </cell>
          <cell r="AD140">
            <v>858507</v>
          </cell>
          <cell r="AE140">
            <v>2.1000000000000001E-2</v>
          </cell>
          <cell r="AF140">
            <v>1.69</v>
          </cell>
          <cell r="AG140">
            <v>3.3000000000000002E-2</v>
          </cell>
          <cell r="AH140">
            <v>3.0000000000000001E-3</v>
          </cell>
          <cell r="AI140">
            <v>0.28999999999999998</v>
          </cell>
          <cell r="AJ140">
            <v>18.29</v>
          </cell>
          <cell r="AK140">
            <v>8.09</v>
          </cell>
          <cell r="AL140">
            <v>7.0000000000000007E-2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Y140" t="str">
            <v/>
          </cell>
          <cell r="AZ140">
            <v>1.31</v>
          </cell>
          <cell r="BA140" t="str">
            <v>D1908033</v>
          </cell>
          <cell r="BB140" t="str">
            <v>CONFORM</v>
          </cell>
          <cell r="BC140" t="str">
            <v>CONFORM</v>
          </cell>
          <cell r="BD140" t="str">
            <v>CONFORM</v>
          </cell>
          <cell r="BE140" t="str">
            <v>CONFORM</v>
          </cell>
          <cell r="BF140" t="str">
            <v>CONFORM</v>
          </cell>
        </row>
        <row r="141">
          <cell r="A141">
            <v>43700</v>
          </cell>
          <cell r="B141" t="str">
            <v>D1908033-7</v>
          </cell>
          <cell r="C141" t="str">
            <v>019/19</v>
          </cell>
          <cell r="D141">
            <v>1</v>
          </cell>
          <cell r="E141" t="str">
            <v>AUGUST 2019</v>
          </cell>
          <cell r="F141" t="str">
            <v>DC</v>
          </cell>
          <cell r="G141" t="str">
            <v>Late</v>
          </cell>
          <cell r="H141" t="str">
            <v>L297167</v>
          </cell>
          <cell r="I141">
            <v>43698</v>
          </cell>
          <cell r="J141" t="str">
            <v>ATI</v>
          </cell>
          <cell r="K141" t="str">
            <v>D1908033</v>
          </cell>
          <cell r="L141">
            <v>7</v>
          </cell>
          <cell r="M141" t="str">
            <v>AAC73551-CA</v>
          </cell>
          <cell r="N141">
            <v>858507</v>
          </cell>
          <cell r="O141" t="str">
            <v xml:space="preserve">1.4306 TP304L </v>
          </cell>
          <cell r="P141" t="str">
            <v>304L</v>
          </cell>
          <cell r="Q141">
            <v>1.913</v>
          </cell>
          <cell r="R141">
            <v>1.9159999999999999</v>
          </cell>
          <cell r="S141">
            <v>4.7E-2</v>
          </cell>
          <cell r="T141">
            <v>4.5999999999999999E-2</v>
          </cell>
          <cell r="V141">
            <v>4.5999999999999999E-2</v>
          </cell>
          <cell r="X141">
            <v>5090</v>
          </cell>
          <cell r="Y141">
            <v>3</v>
          </cell>
          <cell r="Z141">
            <v>886.91409653249696</v>
          </cell>
          <cell r="AA141" t="str">
            <v>1.913X0.047-304L</v>
          </cell>
          <cell r="AB141" t="str">
            <v>WAAC004860119B300023</v>
          </cell>
          <cell r="AC141" t="str">
            <v>D1908033</v>
          </cell>
          <cell r="AD141">
            <v>858507</v>
          </cell>
          <cell r="AE141">
            <v>2.1000000000000001E-2</v>
          </cell>
          <cell r="AF141">
            <v>1.69</v>
          </cell>
          <cell r="AG141">
            <v>3.3000000000000002E-2</v>
          </cell>
          <cell r="AH141">
            <v>3.0000000000000001E-3</v>
          </cell>
          <cell r="AI141">
            <v>0.28999999999999998</v>
          </cell>
          <cell r="AJ141">
            <v>18.29</v>
          </cell>
          <cell r="AK141">
            <v>8.09</v>
          </cell>
          <cell r="AL141">
            <v>7.0000000000000007E-2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Y141" t="str">
            <v/>
          </cell>
          <cell r="AZ141">
            <v>1.31</v>
          </cell>
          <cell r="BA141" t="str">
            <v>D1908033</v>
          </cell>
          <cell r="BB141" t="str">
            <v>CONFORM</v>
          </cell>
          <cell r="BC141" t="str">
            <v>CONFORM</v>
          </cell>
          <cell r="BD141" t="str">
            <v>CONFORM</v>
          </cell>
          <cell r="BE141" t="str">
            <v>CONFORM</v>
          </cell>
          <cell r="BF141" t="str">
            <v>CONFORM</v>
          </cell>
        </row>
        <row r="142">
          <cell r="A142">
            <v>43700</v>
          </cell>
          <cell r="B142" t="str">
            <v>D1908033-8</v>
          </cell>
          <cell r="C142" t="str">
            <v>019/19</v>
          </cell>
          <cell r="D142">
            <v>1</v>
          </cell>
          <cell r="E142" t="str">
            <v>AUGUST 2019</v>
          </cell>
          <cell r="F142" t="str">
            <v>DC</v>
          </cell>
          <cell r="G142" t="str">
            <v>Late</v>
          </cell>
          <cell r="H142" t="str">
            <v>L297167</v>
          </cell>
          <cell r="I142">
            <v>43698</v>
          </cell>
          <cell r="J142" t="str">
            <v>ATI</v>
          </cell>
          <cell r="K142" t="str">
            <v>D1908033</v>
          </cell>
          <cell r="L142">
            <v>8</v>
          </cell>
          <cell r="M142" t="str">
            <v>AAC73551-CA</v>
          </cell>
          <cell r="N142">
            <v>858507</v>
          </cell>
          <cell r="O142" t="str">
            <v xml:space="preserve">1.4306 TP304L </v>
          </cell>
          <cell r="P142" t="str">
            <v>304L</v>
          </cell>
          <cell r="Q142">
            <v>1.913</v>
          </cell>
          <cell r="R142">
            <v>1.9139999999999999</v>
          </cell>
          <cell r="S142">
            <v>4.7E-2</v>
          </cell>
          <cell r="T142">
            <v>4.4999999999999998E-2</v>
          </cell>
          <cell r="V142">
            <v>4.4999999999999998E-2</v>
          </cell>
          <cell r="X142">
            <v>3374</v>
          </cell>
          <cell r="Y142">
            <v>2</v>
          </cell>
          <cell r="Z142">
            <v>881.86095138525877</v>
          </cell>
          <cell r="AA142" t="str">
            <v>1.913X0.047-304L</v>
          </cell>
          <cell r="AB142" t="str">
            <v>WAAC004860119B300023</v>
          </cell>
          <cell r="AC142" t="str">
            <v>D1908033</v>
          </cell>
          <cell r="AD142">
            <v>858507</v>
          </cell>
          <cell r="AE142">
            <v>2.1000000000000001E-2</v>
          </cell>
          <cell r="AF142">
            <v>1.69</v>
          </cell>
          <cell r="AG142">
            <v>3.3000000000000002E-2</v>
          </cell>
          <cell r="AH142">
            <v>3.0000000000000001E-3</v>
          </cell>
          <cell r="AI142">
            <v>0.28999999999999998</v>
          </cell>
          <cell r="AJ142">
            <v>18.29</v>
          </cell>
          <cell r="AK142">
            <v>8.09</v>
          </cell>
          <cell r="AL142">
            <v>7.0000000000000007E-2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Y142" t="str">
            <v/>
          </cell>
          <cell r="AZ142">
            <v>1.31</v>
          </cell>
          <cell r="BA142" t="str">
            <v>D1908033</v>
          </cell>
          <cell r="BB142" t="str">
            <v>CONFORM</v>
          </cell>
          <cell r="BC142" t="str">
            <v>CONFORM</v>
          </cell>
          <cell r="BD142" t="str">
            <v>CONFORM</v>
          </cell>
          <cell r="BE142" t="str">
            <v>CONFORM</v>
          </cell>
          <cell r="BF142" t="str">
            <v>CONFORM</v>
          </cell>
        </row>
        <row r="143">
          <cell r="A143">
            <v>43700</v>
          </cell>
          <cell r="B143" t="str">
            <v>D1908033-9</v>
          </cell>
          <cell r="C143" t="str">
            <v>019/19</v>
          </cell>
          <cell r="D143">
            <v>1</v>
          </cell>
          <cell r="E143" t="str">
            <v>AUGUST 2019</v>
          </cell>
          <cell r="F143" t="str">
            <v>DC</v>
          </cell>
          <cell r="G143" t="str">
            <v>Late</v>
          </cell>
          <cell r="H143" t="str">
            <v>L297167</v>
          </cell>
          <cell r="I143">
            <v>43698</v>
          </cell>
          <cell r="J143" t="str">
            <v>ATI</v>
          </cell>
          <cell r="K143" t="str">
            <v>D1908033</v>
          </cell>
          <cell r="L143">
            <v>9</v>
          </cell>
          <cell r="M143" t="str">
            <v>AAC73551-CA</v>
          </cell>
          <cell r="N143">
            <v>858507</v>
          </cell>
          <cell r="O143" t="str">
            <v xml:space="preserve">1.4306 TP304L </v>
          </cell>
          <cell r="P143" t="str">
            <v>304L</v>
          </cell>
          <cell r="Q143">
            <v>1.913</v>
          </cell>
          <cell r="R143">
            <v>1.9159999999999999</v>
          </cell>
          <cell r="S143">
            <v>4.7E-2</v>
          </cell>
          <cell r="T143">
            <v>4.3999999999999997E-2</v>
          </cell>
          <cell r="V143">
            <v>4.3999999999999997E-2</v>
          </cell>
          <cell r="X143">
            <v>3348</v>
          </cell>
          <cell r="Y143">
            <v>2</v>
          </cell>
          <cell r="Z143">
            <v>875.06534239414532</v>
          </cell>
          <cell r="AA143" t="str">
            <v>1.913X0.047-304L</v>
          </cell>
          <cell r="AB143" t="str">
            <v>WAAC004860119B300023</v>
          </cell>
          <cell r="AC143" t="str">
            <v>D1908033</v>
          </cell>
          <cell r="AD143">
            <v>858507</v>
          </cell>
          <cell r="AE143">
            <v>2.1000000000000001E-2</v>
          </cell>
          <cell r="AF143">
            <v>1.69</v>
          </cell>
          <cell r="AG143">
            <v>3.3000000000000002E-2</v>
          </cell>
          <cell r="AH143">
            <v>3.0000000000000001E-3</v>
          </cell>
          <cell r="AI143">
            <v>0.28999999999999998</v>
          </cell>
          <cell r="AJ143">
            <v>18.29</v>
          </cell>
          <cell r="AK143">
            <v>8.09</v>
          </cell>
          <cell r="AL143">
            <v>7.0000000000000007E-2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Y143" t="str">
            <v/>
          </cell>
          <cell r="AZ143">
            <v>1.31</v>
          </cell>
          <cell r="BA143" t="str">
            <v>D1908033</v>
          </cell>
          <cell r="BB143" t="str">
            <v>CONFORM</v>
          </cell>
          <cell r="BC143" t="str">
            <v>CONFORM</v>
          </cell>
          <cell r="BD143" t="str">
            <v>CONFORM</v>
          </cell>
          <cell r="BE143" t="str">
            <v>CONFORM</v>
          </cell>
          <cell r="BF143" t="str">
            <v>CONFORM</v>
          </cell>
        </row>
        <row r="144">
          <cell r="A144">
            <v>43700</v>
          </cell>
          <cell r="B144" t="str">
            <v>D1908034-1</v>
          </cell>
          <cell r="C144" t="str">
            <v>019/19</v>
          </cell>
          <cell r="D144">
            <v>1</v>
          </cell>
          <cell r="E144" t="str">
            <v>AUGUST 2019</v>
          </cell>
          <cell r="F144" t="str">
            <v>DC</v>
          </cell>
          <cell r="G144" t="str">
            <v>Late</v>
          </cell>
          <cell r="H144" t="str">
            <v>L297166</v>
          </cell>
          <cell r="I144">
            <v>43698</v>
          </cell>
          <cell r="J144" t="str">
            <v>ATI</v>
          </cell>
          <cell r="K144" t="str">
            <v>D1908034</v>
          </cell>
          <cell r="L144">
            <v>1</v>
          </cell>
          <cell r="M144" t="str">
            <v>AAC73550-B</v>
          </cell>
          <cell r="N144">
            <v>858507</v>
          </cell>
          <cell r="O144" t="str">
            <v xml:space="preserve">1.4306 TP304L </v>
          </cell>
          <cell r="P144" t="str">
            <v>304L</v>
          </cell>
          <cell r="Q144">
            <v>1.913</v>
          </cell>
          <cell r="R144">
            <v>1.913</v>
          </cell>
          <cell r="S144">
            <v>4.7E-2</v>
          </cell>
          <cell r="T144">
            <v>4.4999999999999998E-2</v>
          </cell>
          <cell r="V144">
            <v>4.4999999999999998E-2</v>
          </cell>
          <cell r="X144">
            <v>5092</v>
          </cell>
          <cell r="Y144">
            <v>3</v>
          </cell>
          <cell r="Z144">
            <v>887.26258930127199</v>
          </cell>
          <cell r="AA144" t="str">
            <v>1.913X0.047-304L</v>
          </cell>
          <cell r="AB144" t="str">
            <v>WAAC004860119B300023</v>
          </cell>
          <cell r="AC144" t="str">
            <v>D1908034</v>
          </cell>
          <cell r="AD144">
            <v>858507</v>
          </cell>
          <cell r="AE144">
            <v>2.1000000000000001E-2</v>
          </cell>
          <cell r="AF144">
            <v>1.69</v>
          </cell>
          <cell r="AG144">
            <v>3.3000000000000002E-2</v>
          </cell>
          <cell r="AH144">
            <v>3.0000000000000001E-3</v>
          </cell>
          <cell r="AI144">
            <v>0.28999999999999998</v>
          </cell>
          <cell r="AJ144">
            <v>18.29</v>
          </cell>
          <cell r="AK144">
            <v>8.09</v>
          </cell>
          <cell r="AL144">
            <v>7.0000000000000007E-2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Y144" t="str">
            <v/>
          </cell>
          <cell r="AZ144">
            <v>1.31</v>
          </cell>
          <cell r="BA144" t="str">
            <v>D1908034</v>
          </cell>
          <cell r="BB144" t="str">
            <v>CONFORM</v>
          </cell>
          <cell r="BC144" t="str">
            <v>CONFORM</v>
          </cell>
          <cell r="BD144" t="str">
            <v>CONFORM</v>
          </cell>
          <cell r="BE144" t="str">
            <v>CONFORM</v>
          </cell>
          <cell r="BF144" t="str">
            <v>CONFORM</v>
          </cell>
        </row>
        <row r="145">
          <cell r="A145">
            <v>43700</v>
          </cell>
          <cell r="B145" t="str">
            <v>D1908034-2</v>
          </cell>
          <cell r="C145" t="str">
            <v>019/19</v>
          </cell>
          <cell r="D145">
            <v>1</v>
          </cell>
          <cell r="E145" t="str">
            <v>AUGUST 2019</v>
          </cell>
          <cell r="F145" t="str">
            <v>DC</v>
          </cell>
          <cell r="G145" t="str">
            <v>Late</v>
          </cell>
          <cell r="H145" t="str">
            <v>L297166</v>
          </cell>
          <cell r="I145">
            <v>43698</v>
          </cell>
          <cell r="J145" t="str">
            <v>ATI</v>
          </cell>
          <cell r="K145" t="str">
            <v>D1908034</v>
          </cell>
          <cell r="L145">
            <v>2</v>
          </cell>
          <cell r="M145" t="str">
            <v>AAC73550-B</v>
          </cell>
          <cell r="N145">
            <v>858507</v>
          </cell>
          <cell r="O145" t="str">
            <v xml:space="preserve">1.4306 TP304L </v>
          </cell>
          <cell r="P145" t="str">
            <v>304L</v>
          </cell>
          <cell r="Q145">
            <v>1.913</v>
          </cell>
          <cell r="R145">
            <v>1.915</v>
          </cell>
          <cell r="S145">
            <v>4.7E-2</v>
          </cell>
          <cell r="T145">
            <v>4.3999999999999997E-2</v>
          </cell>
          <cell r="V145">
            <v>4.3999999999999997E-2</v>
          </cell>
          <cell r="X145">
            <v>5096</v>
          </cell>
          <cell r="Y145">
            <v>3</v>
          </cell>
          <cell r="Z145">
            <v>887.95957483882216</v>
          </cell>
          <cell r="AA145" t="str">
            <v>1.913X0.047-304L</v>
          </cell>
          <cell r="AB145" t="str">
            <v>WAAC004860119B300023</v>
          </cell>
          <cell r="AC145" t="str">
            <v>D1908034</v>
          </cell>
          <cell r="AD145">
            <v>858507</v>
          </cell>
          <cell r="AE145">
            <v>2.1000000000000001E-2</v>
          </cell>
          <cell r="AF145">
            <v>1.69</v>
          </cell>
          <cell r="AG145">
            <v>3.3000000000000002E-2</v>
          </cell>
          <cell r="AH145">
            <v>3.0000000000000001E-3</v>
          </cell>
          <cell r="AI145">
            <v>0.28999999999999998</v>
          </cell>
          <cell r="AJ145">
            <v>18.29</v>
          </cell>
          <cell r="AK145">
            <v>8.09</v>
          </cell>
          <cell r="AL145">
            <v>7.0000000000000007E-2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Y145" t="str">
            <v/>
          </cell>
          <cell r="AZ145">
            <v>1.31</v>
          </cell>
          <cell r="BA145" t="str">
            <v>D1908034</v>
          </cell>
          <cell r="BB145" t="str">
            <v>CONFORM</v>
          </cell>
          <cell r="BC145" t="str">
            <v>CONFORM</v>
          </cell>
          <cell r="BD145" t="str">
            <v>CONFORM</v>
          </cell>
          <cell r="BE145" t="str">
            <v>CONFORM</v>
          </cell>
          <cell r="BF145" t="str">
            <v>CONFORM</v>
          </cell>
        </row>
        <row r="146">
          <cell r="A146">
            <v>43700</v>
          </cell>
          <cell r="B146" t="str">
            <v>D1908034-3</v>
          </cell>
          <cell r="C146" t="str">
            <v>019/19</v>
          </cell>
          <cell r="D146">
            <v>1</v>
          </cell>
          <cell r="E146" t="str">
            <v>AUGUST 2019</v>
          </cell>
          <cell r="F146" t="str">
            <v>DC</v>
          </cell>
          <cell r="G146" t="str">
            <v>Late</v>
          </cell>
          <cell r="H146" t="str">
            <v>L297166</v>
          </cell>
          <cell r="I146">
            <v>43698</v>
          </cell>
          <cell r="J146" t="str">
            <v>ATI</v>
          </cell>
          <cell r="K146" t="str">
            <v>D1908034</v>
          </cell>
          <cell r="L146">
            <v>3</v>
          </cell>
          <cell r="M146" t="str">
            <v>AAC73550-B</v>
          </cell>
          <cell r="N146">
            <v>858507</v>
          </cell>
          <cell r="O146" t="str">
            <v xml:space="preserve">1.4306 TP304L </v>
          </cell>
          <cell r="P146" t="str">
            <v>304L</v>
          </cell>
          <cell r="Q146">
            <v>1.913</v>
          </cell>
          <cell r="R146">
            <v>1.9159999999999999</v>
          </cell>
          <cell r="S146">
            <v>4.7E-2</v>
          </cell>
          <cell r="T146">
            <v>4.4999999999999998E-2</v>
          </cell>
          <cell r="V146">
            <v>4.4999999999999998E-2</v>
          </cell>
          <cell r="X146">
            <v>3400</v>
          </cell>
          <cell r="Y146">
            <v>2</v>
          </cell>
          <cell r="Z146">
            <v>888.65656037637223</v>
          </cell>
          <cell r="AA146" t="str">
            <v>1.913X0.047-304L</v>
          </cell>
          <cell r="AB146" t="str">
            <v>WAAC004860119B300023</v>
          </cell>
          <cell r="AC146" t="str">
            <v>D1908034</v>
          </cell>
          <cell r="AD146">
            <v>858507</v>
          </cell>
          <cell r="AE146">
            <v>2.1000000000000001E-2</v>
          </cell>
          <cell r="AF146">
            <v>1.69</v>
          </cell>
          <cell r="AG146">
            <v>3.3000000000000002E-2</v>
          </cell>
          <cell r="AH146">
            <v>3.0000000000000001E-3</v>
          </cell>
          <cell r="AI146">
            <v>0.28999999999999998</v>
          </cell>
          <cell r="AJ146">
            <v>18.29</v>
          </cell>
          <cell r="AK146">
            <v>8.09</v>
          </cell>
          <cell r="AL146">
            <v>7.0000000000000007E-2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Y146" t="str">
            <v/>
          </cell>
          <cell r="AZ146">
            <v>1.31</v>
          </cell>
          <cell r="BA146" t="str">
            <v>D1908034</v>
          </cell>
          <cell r="BB146" t="str">
            <v>CONFORM</v>
          </cell>
          <cell r="BC146" t="str">
            <v>CONFORM</v>
          </cell>
          <cell r="BD146" t="str">
            <v>CONFORM</v>
          </cell>
          <cell r="BE146" t="str">
            <v>CONFORM</v>
          </cell>
          <cell r="BF146" t="str">
            <v>CONFORM</v>
          </cell>
        </row>
        <row r="147">
          <cell r="A147">
            <v>43700</v>
          </cell>
          <cell r="B147" t="str">
            <v>D1908034-4</v>
          </cell>
          <cell r="C147" t="str">
            <v>019/19</v>
          </cell>
          <cell r="D147">
            <v>1</v>
          </cell>
          <cell r="E147" t="str">
            <v>AUGUST 2019</v>
          </cell>
          <cell r="F147" t="str">
            <v>DC</v>
          </cell>
          <cell r="G147" t="str">
            <v>Late</v>
          </cell>
          <cell r="H147" t="str">
            <v>L297166</v>
          </cell>
          <cell r="I147">
            <v>43698</v>
          </cell>
          <cell r="J147" t="str">
            <v>ATI</v>
          </cell>
          <cell r="K147" t="str">
            <v>D1908034</v>
          </cell>
          <cell r="L147">
            <v>4</v>
          </cell>
          <cell r="M147" t="str">
            <v>AAC73550-AA</v>
          </cell>
          <cell r="N147">
            <v>858507</v>
          </cell>
          <cell r="O147" t="str">
            <v xml:space="preserve">1.4306 TP304L </v>
          </cell>
          <cell r="P147" t="str">
            <v>304L</v>
          </cell>
          <cell r="Q147">
            <v>1.913</v>
          </cell>
          <cell r="R147">
            <v>1.911</v>
          </cell>
          <cell r="S147">
            <v>4.7E-2</v>
          </cell>
          <cell r="T147">
            <v>4.7E-2</v>
          </cell>
          <cell r="V147">
            <v>4.7E-2</v>
          </cell>
          <cell r="X147">
            <v>5052</v>
          </cell>
          <cell r="Y147">
            <v>3</v>
          </cell>
          <cell r="Z147">
            <v>880.29273392577102</v>
          </cell>
          <cell r="AA147" t="str">
            <v>1.913X0.047-304L</v>
          </cell>
          <cell r="AB147" t="str">
            <v>WAAC004860119B300023</v>
          </cell>
          <cell r="AC147" t="str">
            <v>D1908034</v>
          </cell>
          <cell r="AD147">
            <v>858507</v>
          </cell>
          <cell r="AE147">
            <v>2.1000000000000001E-2</v>
          </cell>
          <cell r="AF147">
            <v>1.69</v>
          </cell>
          <cell r="AG147">
            <v>3.3000000000000002E-2</v>
          </cell>
          <cell r="AH147">
            <v>3.0000000000000001E-3</v>
          </cell>
          <cell r="AI147">
            <v>0.28999999999999998</v>
          </cell>
          <cell r="AJ147">
            <v>18.29</v>
          </cell>
          <cell r="AK147">
            <v>8.09</v>
          </cell>
          <cell r="AL147">
            <v>7.0000000000000007E-2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Y147" t="str">
            <v/>
          </cell>
          <cell r="AZ147">
            <v>1.31</v>
          </cell>
          <cell r="BA147" t="str">
            <v>D1908034</v>
          </cell>
          <cell r="BB147" t="str">
            <v>CONFORM</v>
          </cell>
          <cell r="BC147" t="str">
            <v>CONFORM</v>
          </cell>
          <cell r="BD147" t="str">
            <v>CONFORM</v>
          </cell>
          <cell r="BE147" t="str">
            <v>CONFORM</v>
          </cell>
          <cell r="BF147" t="str">
            <v>CONFORM</v>
          </cell>
        </row>
        <row r="148">
          <cell r="A148">
            <v>43700</v>
          </cell>
          <cell r="B148" t="str">
            <v>D1908034-5</v>
          </cell>
          <cell r="C148" t="str">
            <v>019/19</v>
          </cell>
          <cell r="D148">
            <v>1</v>
          </cell>
          <cell r="E148" t="str">
            <v>AUGUST 2019</v>
          </cell>
          <cell r="F148" t="str">
            <v>DC</v>
          </cell>
          <cell r="G148" t="str">
            <v>Late</v>
          </cell>
          <cell r="H148" t="str">
            <v>L297166</v>
          </cell>
          <cell r="I148">
            <v>43698</v>
          </cell>
          <cell r="J148" t="str">
            <v>ATI</v>
          </cell>
          <cell r="K148" t="str">
            <v>D1908034</v>
          </cell>
          <cell r="L148">
            <v>5</v>
          </cell>
          <cell r="M148" t="str">
            <v>AAC73550-AA</v>
          </cell>
          <cell r="N148">
            <v>858507</v>
          </cell>
          <cell r="O148" t="str">
            <v xml:space="preserve">1.4306 TP304L </v>
          </cell>
          <cell r="P148" t="str">
            <v>304L</v>
          </cell>
          <cell r="Q148">
            <v>1.913</v>
          </cell>
          <cell r="R148">
            <v>1.915</v>
          </cell>
          <cell r="S148">
            <v>4.7E-2</v>
          </cell>
          <cell r="T148">
            <v>4.4999999999999998E-2</v>
          </cell>
          <cell r="V148">
            <v>4.4999999999999998E-2</v>
          </cell>
          <cell r="X148">
            <v>5106</v>
          </cell>
          <cell r="Y148">
            <v>3</v>
          </cell>
          <cell r="Z148">
            <v>889.70203868269732</v>
          </cell>
          <cell r="AA148" t="str">
            <v>1.913X0.047-304L</v>
          </cell>
          <cell r="AB148" t="str">
            <v>WAAC004860119B300023</v>
          </cell>
          <cell r="AC148" t="str">
            <v>D1908034</v>
          </cell>
          <cell r="AD148">
            <v>858507</v>
          </cell>
          <cell r="AE148">
            <v>2.1000000000000001E-2</v>
          </cell>
          <cell r="AF148">
            <v>1.69</v>
          </cell>
          <cell r="AG148">
            <v>3.3000000000000002E-2</v>
          </cell>
          <cell r="AH148">
            <v>3.0000000000000001E-3</v>
          </cell>
          <cell r="AI148">
            <v>0.28999999999999998</v>
          </cell>
          <cell r="AJ148">
            <v>18.29</v>
          </cell>
          <cell r="AK148">
            <v>8.09</v>
          </cell>
          <cell r="AL148">
            <v>7.0000000000000007E-2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Y148" t="str">
            <v/>
          </cell>
          <cell r="AZ148">
            <v>1.31</v>
          </cell>
          <cell r="BA148" t="str">
            <v>D1908034</v>
          </cell>
          <cell r="BB148" t="str">
            <v>CONFORM</v>
          </cell>
          <cell r="BC148" t="str">
            <v>CONFORM</v>
          </cell>
          <cell r="BD148" t="str">
            <v>CONFORM</v>
          </cell>
          <cell r="BE148" t="str">
            <v>CONFORM</v>
          </cell>
          <cell r="BF148" t="str">
            <v>CONFORM</v>
          </cell>
        </row>
        <row r="149">
          <cell r="A149">
            <v>43700</v>
          </cell>
          <cell r="B149" t="str">
            <v>D1908034-6</v>
          </cell>
          <cell r="C149" t="str">
            <v>019/19</v>
          </cell>
          <cell r="D149">
            <v>1</v>
          </cell>
          <cell r="E149" t="str">
            <v>AUGUST 2019</v>
          </cell>
          <cell r="F149" t="str">
            <v>DC</v>
          </cell>
          <cell r="G149" t="str">
            <v>Late</v>
          </cell>
          <cell r="H149" t="str">
            <v>L297166</v>
          </cell>
          <cell r="I149">
            <v>43698</v>
          </cell>
          <cell r="J149" t="str">
            <v>ATI</v>
          </cell>
          <cell r="K149" t="str">
            <v>D1908034</v>
          </cell>
          <cell r="L149">
            <v>6</v>
          </cell>
          <cell r="M149" t="str">
            <v>AAC73550-AA</v>
          </cell>
          <cell r="N149">
            <v>858507</v>
          </cell>
          <cell r="O149" t="str">
            <v xml:space="preserve">1.4306 TP304L </v>
          </cell>
          <cell r="P149" t="str">
            <v>304L</v>
          </cell>
          <cell r="Q149">
            <v>1.913</v>
          </cell>
          <cell r="R149">
            <v>1.9139999999999999</v>
          </cell>
          <cell r="S149">
            <v>4.7E-2</v>
          </cell>
          <cell r="T149">
            <v>4.4999999999999998E-2</v>
          </cell>
          <cell r="V149">
            <v>4.4999999999999998E-2</v>
          </cell>
          <cell r="X149">
            <v>3418</v>
          </cell>
          <cell r="Y149">
            <v>2</v>
          </cell>
          <cell r="Z149">
            <v>893.36121275483526</v>
          </cell>
          <cell r="AA149" t="str">
            <v>1.913X0.047-304L</v>
          </cell>
          <cell r="AB149" t="str">
            <v>WAAC004860119B300023</v>
          </cell>
          <cell r="AC149" t="str">
            <v>D1908034</v>
          </cell>
          <cell r="AD149">
            <v>858507</v>
          </cell>
          <cell r="AE149">
            <v>2.1000000000000001E-2</v>
          </cell>
          <cell r="AF149">
            <v>1.69</v>
          </cell>
          <cell r="AG149">
            <v>3.3000000000000002E-2</v>
          </cell>
          <cell r="AH149">
            <v>3.0000000000000001E-3</v>
          </cell>
          <cell r="AI149">
            <v>0.28999999999999998</v>
          </cell>
          <cell r="AJ149">
            <v>18.29</v>
          </cell>
          <cell r="AK149">
            <v>8.09</v>
          </cell>
          <cell r="AL149">
            <v>7.0000000000000007E-2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Y149" t="str">
            <v/>
          </cell>
          <cell r="AZ149">
            <v>1.31</v>
          </cell>
          <cell r="BA149" t="str">
            <v>D1908034</v>
          </cell>
          <cell r="BB149" t="str">
            <v>CONFORM</v>
          </cell>
          <cell r="BC149" t="str">
            <v>CONFORM</v>
          </cell>
          <cell r="BD149" t="str">
            <v>CONFORM</v>
          </cell>
          <cell r="BE149" t="str">
            <v>CONFORM</v>
          </cell>
          <cell r="BF149" t="str">
            <v>CONFORM</v>
          </cell>
        </row>
        <row r="150">
          <cell r="A150">
            <v>43700</v>
          </cell>
          <cell r="B150" t="str">
            <v>D1908034-7</v>
          </cell>
          <cell r="C150" t="str">
            <v>019/19</v>
          </cell>
          <cell r="D150">
            <v>1</v>
          </cell>
          <cell r="E150" t="str">
            <v>AUGUST 2019</v>
          </cell>
          <cell r="F150" t="str">
            <v>DC</v>
          </cell>
          <cell r="G150" t="str">
            <v>Late</v>
          </cell>
          <cell r="H150" t="str">
            <v>L297166</v>
          </cell>
          <cell r="I150">
            <v>43698</v>
          </cell>
          <cell r="J150" t="str">
            <v>ATI</v>
          </cell>
          <cell r="K150" t="str">
            <v>D1908034</v>
          </cell>
          <cell r="L150">
            <v>7</v>
          </cell>
          <cell r="M150" t="str">
            <v>AAC73550-C</v>
          </cell>
          <cell r="N150">
            <v>858507</v>
          </cell>
          <cell r="O150" t="str">
            <v xml:space="preserve">1.4306 TP304L </v>
          </cell>
          <cell r="P150" t="str">
            <v>304L</v>
          </cell>
          <cell r="Q150">
            <v>1.913</v>
          </cell>
          <cell r="R150">
            <v>1.9159999999999999</v>
          </cell>
          <cell r="S150">
            <v>4.7E-2</v>
          </cell>
          <cell r="T150">
            <v>4.5999999999999999E-2</v>
          </cell>
          <cell r="V150">
            <v>4.5999999999999999E-2</v>
          </cell>
          <cell r="X150">
            <v>5148</v>
          </cell>
          <cell r="Y150">
            <v>3</v>
          </cell>
          <cell r="Z150">
            <v>897.02038682697332</v>
          </cell>
          <cell r="AA150" t="str">
            <v>1.913X0.047-304L</v>
          </cell>
          <cell r="AB150" t="str">
            <v>WAAC004860119B300023</v>
          </cell>
          <cell r="AC150" t="str">
            <v>D1908034</v>
          </cell>
          <cell r="AD150">
            <v>858507</v>
          </cell>
          <cell r="AE150">
            <v>2.1000000000000001E-2</v>
          </cell>
          <cell r="AF150">
            <v>1.69</v>
          </cell>
          <cell r="AG150">
            <v>3.3000000000000002E-2</v>
          </cell>
          <cell r="AH150">
            <v>3.0000000000000001E-3</v>
          </cell>
          <cell r="AI150">
            <v>0.28999999999999998</v>
          </cell>
          <cell r="AJ150">
            <v>18.29</v>
          </cell>
          <cell r="AK150">
            <v>8.09</v>
          </cell>
          <cell r="AL150">
            <v>7.0000000000000007E-2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Y150" t="str">
            <v/>
          </cell>
          <cell r="AZ150">
            <v>1.31</v>
          </cell>
          <cell r="BA150" t="str">
            <v>D1908034</v>
          </cell>
          <cell r="BB150" t="str">
            <v>CONFORM</v>
          </cell>
          <cell r="BC150" t="str">
            <v>CONFORM</v>
          </cell>
          <cell r="BD150" t="str">
            <v>CONFORM</v>
          </cell>
          <cell r="BE150" t="str">
            <v>CONFORM</v>
          </cell>
          <cell r="BF150" t="str">
            <v>CONFORM</v>
          </cell>
        </row>
        <row r="151">
          <cell r="A151">
            <v>43700</v>
          </cell>
          <cell r="B151" t="str">
            <v>D1908034-8</v>
          </cell>
          <cell r="C151" t="str">
            <v>019/19</v>
          </cell>
          <cell r="D151">
            <v>1</v>
          </cell>
          <cell r="E151" t="str">
            <v>AUGUST 2019</v>
          </cell>
          <cell r="F151" t="str">
            <v>DC</v>
          </cell>
          <cell r="G151" t="str">
            <v>Late</v>
          </cell>
          <cell r="H151" t="str">
            <v>L297166</v>
          </cell>
          <cell r="I151">
            <v>43698</v>
          </cell>
          <cell r="J151" t="str">
            <v>ATI</v>
          </cell>
          <cell r="K151" t="str">
            <v>D1908034</v>
          </cell>
          <cell r="L151">
            <v>8</v>
          </cell>
          <cell r="M151" t="str">
            <v>AAC73550-C</v>
          </cell>
          <cell r="N151">
            <v>858507</v>
          </cell>
          <cell r="O151" t="str">
            <v xml:space="preserve">1.4306 TP304L </v>
          </cell>
          <cell r="P151" t="str">
            <v>304L</v>
          </cell>
          <cell r="Q151">
            <v>1.913</v>
          </cell>
          <cell r="R151">
            <v>1.917</v>
          </cell>
          <cell r="S151">
            <v>4.7E-2</v>
          </cell>
          <cell r="T151">
            <v>4.3999999999999997E-2</v>
          </cell>
          <cell r="V151">
            <v>4.3999999999999997E-2</v>
          </cell>
          <cell r="X151">
            <v>5128</v>
          </cell>
          <cell r="Y151">
            <v>3</v>
          </cell>
          <cell r="Z151">
            <v>893.53545913922278</v>
          </cell>
          <cell r="AA151" t="str">
            <v>1.913X0.047-304L</v>
          </cell>
          <cell r="AB151" t="str">
            <v>WAAC004860119B300023</v>
          </cell>
          <cell r="AC151" t="str">
            <v>D1908034</v>
          </cell>
          <cell r="AD151">
            <v>858507</v>
          </cell>
          <cell r="AE151">
            <v>2.1000000000000001E-2</v>
          </cell>
          <cell r="AF151">
            <v>1.69</v>
          </cell>
          <cell r="AG151">
            <v>3.3000000000000002E-2</v>
          </cell>
          <cell r="AH151">
            <v>3.0000000000000001E-3</v>
          </cell>
          <cell r="AI151">
            <v>0.28999999999999998</v>
          </cell>
          <cell r="AJ151">
            <v>18.29</v>
          </cell>
          <cell r="AK151">
            <v>8.09</v>
          </cell>
          <cell r="AL151">
            <v>7.0000000000000007E-2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Y151" t="str">
            <v/>
          </cell>
          <cell r="AZ151">
            <v>1.31</v>
          </cell>
          <cell r="BA151" t="str">
            <v>D1908034</v>
          </cell>
          <cell r="BB151" t="str">
            <v>CONFORM</v>
          </cell>
          <cell r="BC151" t="str">
            <v>CONFORM</v>
          </cell>
          <cell r="BD151" t="str">
            <v>CONFORM</v>
          </cell>
          <cell r="BE151" t="str">
            <v>CONFORM</v>
          </cell>
          <cell r="BF151" t="str">
            <v>CONFORM</v>
          </cell>
        </row>
        <row r="152">
          <cell r="A152">
            <v>43700</v>
          </cell>
          <cell r="B152" t="str">
            <v>D1908034-9</v>
          </cell>
          <cell r="C152" t="str">
            <v>019/19</v>
          </cell>
          <cell r="D152">
            <v>1</v>
          </cell>
          <cell r="E152" t="str">
            <v>AUGUST 2019</v>
          </cell>
          <cell r="F152" t="str">
            <v>DC</v>
          </cell>
          <cell r="G152" t="str">
            <v>Late</v>
          </cell>
          <cell r="H152" t="str">
            <v>L297166</v>
          </cell>
          <cell r="I152">
            <v>43698</v>
          </cell>
          <cell r="J152" t="str">
            <v>ATI</v>
          </cell>
          <cell r="K152" t="str">
            <v>D1908034</v>
          </cell>
          <cell r="L152">
            <v>9</v>
          </cell>
          <cell r="M152" t="str">
            <v>AAC73550-C</v>
          </cell>
          <cell r="N152">
            <v>858507</v>
          </cell>
          <cell r="O152" t="str">
            <v xml:space="preserve">1.4306 TP304L </v>
          </cell>
          <cell r="P152" t="str">
            <v>304L</v>
          </cell>
          <cell r="Q152">
            <v>1.913</v>
          </cell>
          <cell r="R152">
            <v>1.9119999999999999</v>
          </cell>
          <cell r="S152">
            <v>4.7E-2</v>
          </cell>
          <cell r="T152">
            <v>4.4999999999999998E-2</v>
          </cell>
          <cell r="V152">
            <v>4.4999999999999998E-2</v>
          </cell>
          <cell r="X152">
            <v>3392</v>
          </cell>
          <cell r="Y152">
            <v>2</v>
          </cell>
          <cell r="Z152">
            <v>886.56560376372192</v>
          </cell>
          <cell r="AA152" t="str">
            <v>1.913X0.047-304L</v>
          </cell>
          <cell r="AB152" t="str">
            <v>WAAC004860119B300023</v>
          </cell>
          <cell r="AC152" t="str">
            <v>D1908034</v>
          </cell>
          <cell r="AD152">
            <v>858507</v>
          </cell>
          <cell r="AE152">
            <v>2.1000000000000001E-2</v>
          </cell>
          <cell r="AF152">
            <v>1.69</v>
          </cell>
          <cell r="AG152">
            <v>3.3000000000000002E-2</v>
          </cell>
          <cell r="AH152">
            <v>3.0000000000000001E-3</v>
          </cell>
          <cell r="AI152">
            <v>0.28999999999999998</v>
          </cell>
          <cell r="AJ152">
            <v>18.29</v>
          </cell>
          <cell r="AK152">
            <v>8.09</v>
          </cell>
          <cell r="AL152">
            <v>7.0000000000000007E-2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Y152" t="str">
            <v/>
          </cell>
          <cell r="AZ152">
            <v>1.31</v>
          </cell>
          <cell r="BA152" t="str">
            <v>D1908034</v>
          </cell>
          <cell r="BB152" t="str">
            <v>CONFORM</v>
          </cell>
          <cell r="BC152" t="str">
            <v>CONFORM</v>
          </cell>
          <cell r="BD152" t="str">
            <v>CONFORM</v>
          </cell>
          <cell r="BE152" t="str">
            <v>CONFORM</v>
          </cell>
          <cell r="BF152" t="str">
            <v>CONFORM</v>
          </cell>
        </row>
        <row r="153">
          <cell r="A153">
            <v>43731</v>
          </cell>
          <cell r="B153" t="str">
            <v>D1909170-1</v>
          </cell>
          <cell r="C153" t="str">
            <v>024/19</v>
          </cell>
          <cell r="D153">
            <v>2</v>
          </cell>
          <cell r="E153" t="str">
            <v>SEPTEMBER 2019</v>
          </cell>
          <cell r="F153" t="str">
            <v>DC</v>
          </cell>
          <cell r="G153" t="str">
            <v>Late</v>
          </cell>
          <cell r="H153" t="str">
            <v>L307031</v>
          </cell>
          <cell r="I153">
            <v>43728</v>
          </cell>
          <cell r="J153" t="str">
            <v>ATI</v>
          </cell>
          <cell r="K153" t="str">
            <v>D1909170</v>
          </cell>
          <cell r="L153">
            <v>1</v>
          </cell>
          <cell r="M153" t="str">
            <v>AAC76243-BB</v>
          </cell>
          <cell r="N153">
            <v>858753</v>
          </cell>
          <cell r="O153" t="str">
            <v xml:space="preserve">1.4306 TP304L </v>
          </cell>
          <cell r="P153" t="str">
            <v>304L</v>
          </cell>
          <cell r="Q153">
            <v>1.948</v>
          </cell>
          <cell r="R153">
            <v>1.946</v>
          </cell>
          <cell r="S153">
            <v>3.5000000000000003E-2</v>
          </cell>
          <cell r="T153">
            <v>3.5999999999999997E-2</v>
          </cell>
          <cell r="V153">
            <v>3.5999999999999997E-2</v>
          </cell>
          <cell r="X153">
            <v>5232</v>
          </cell>
          <cell r="Y153">
            <v>6</v>
          </cell>
          <cell r="Z153">
            <v>447.63860369609858</v>
          </cell>
          <cell r="AA153" t="str">
            <v>1.948X0.035-304L</v>
          </cell>
          <cell r="AB153" t="str">
            <v>WAAC004950089B200032</v>
          </cell>
          <cell r="AC153" t="str">
            <v>D1909170</v>
          </cell>
          <cell r="AD153">
            <v>858753</v>
          </cell>
          <cell r="AE153">
            <v>2.4E-2</v>
          </cell>
          <cell r="AF153">
            <v>1.55</v>
          </cell>
          <cell r="AG153">
            <v>3.2000000000000001E-2</v>
          </cell>
          <cell r="AH153">
            <v>2.9999999999999997E-4</v>
          </cell>
          <cell r="AI153">
            <v>0.5</v>
          </cell>
          <cell r="AJ153">
            <v>18.18</v>
          </cell>
          <cell r="AK153">
            <v>8.1</v>
          </cell>
          <cell r="AL153">
            <v>7.0000000000000007E-2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Y153" t="str">
            <v/>
          </cell>
          <cell r="AZ153">
            <v>1.35</v>
          </cell>
          <cell r="BA153" t="str">
            <v>D1909170</v>
          </cell>
          <cell r="BB153" t="str">
            <v>CONFORM</v>
          </cell>
          <cell r="BC153" t="str">
            <v>CONFORM</v>
          </cell>
          <cell r="BD153" t="str">
            <v>CONFORM</v>
          </cell>
          <cell r="BE153" t="str">
            <v>CONFORM</v>
          </cell>
          <cell r="BF153" t="str">
            <v>CONFORM</v>
          </cell>
        </row>
        <row r="154">
          <cell r="A154">
            <v>43731</v>
          </cell>
          <cell r="B154" t="str">
            <v>D1909170-2</v>
          </cell>
          <cell r="C154" t="str">
            <v>024/19</v>
          </cell>
          <cell r="D154">
            <v>2</v>
          </cell>
          <cell r="E154" t="str">
            <v>SEPTEMBER 2019</v>
          </cell>
          <cell r="F154" t="str">
            <v>DC</v>
          </cell>
          <cell r="G154" t="str">
            <v>Late</v>
          </cell>
          <cell r="H154" t="str">
            <v>L307031</v>
          </cell>
          <cell r="I154">
            <v>43728</v>
          </cell>
          <cell r="J154" t="str">
            <v>ATI</v>
          </cell>
          <cell r="K154" t="str">
            <v>D1909170</v>
          </cell>
          <cell r="L154">
            <v>2</v>
          </cell>
          <cell r="M154" t="str">
            <v>AAC76243-AB</v>
          </cell>
          <cell r="N154">
            <v>858753</v>
          </cell>
          <cell r="O154" t="str">
            <v xml:space="preserve">1.4306 TP304L </v>
          </cell>
          <cell r="P154" t="str">
            <v>304L</v>
          </cell>
          <cell r="Q154">
            <v>1.948</v>
          </cell>
          <cell r="R154">
            <v>1.9490000000000001</v>
          </cell>
          <cell r="S154">
            <v>3.5000000000000003E-2</v>
          </cell>
          <cell r="T154">
            <v>3.5000000000000003E-2</v>
          </cell>
          <cell r="V154">
            <v>3.5000000000000003E-2</v>
          </cell>
          <cell r="X154">
            <v>5260</v>
          </cell>
          <cell r="Y154">
            <v>6</v>
          </cell>
          <cell r="Z154">
            <v>450.03422313483912</v>
          </cell>
          <cell r="AA154" t="str">
            <v>1.948X0.035-304L</v>
          </cell>
          <cell r="AB154" t="str">
            <v>WAAC004950089B200032</v>
          </cell>
          <cell r="AC154" t="str">
            <v>D1909170</v>
          </cell>
          <cell r="AD154">
            <v>858753</v>
          </cell>
          <cell r="AE154">
            <v>2.4E-2</v>
          </cell>
          <cell r="AF154">
            <v>1.55</v>
          </cell>
          <cell r="AG154">
            <v>3.2000000000000001E-2</v>
          </cell>
          <cell r="AH154">
            <v>2.9999999999999997E-4</v>
          </cell>
          <cell r="AI154">
            <v>0.5</v>
          </cell>
          <cell r="AJ154">
            <v>18.18</v>
          </cell>
          <cell r="AK154">
            <v>8.1</v>
          </cell>
          <cell r="AL154">
            <v>7.0000000000000007E-2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Y154" t="str">
            <v/>
          </cell>
          <cell r="AZ154">
            <v>1.35</v>
          </cell>
          <cell r="BA154" t="str">
            <v>D1909170</v>
          </cell>
          <cell r="BB154" t="str">
            <v>CONFORM</v>
          </cell>
          <cell r="BC154" t="str">
            <v>CONFORM</v>
          </cell>
          <cell r="BD154" t="str">
            <v>CONFORM</v>
          </cell>
          <cell r="BE154" t="str">
            <v>CONFORM</v>
          </cell>
          <cell r="BF154" t="str">
            <v>CONFORM</v>
          </cell>
        </row>
        <row r="155">
          <cell r="A155">
            <v>43731</v>
          </cell>
          <cell r="B155" t="str">
            <v>D1909171-1</v>
          </cell>
          <cell r="C155" t="str">
            <v>024/19</v>
          </cell>
          <cell r="D155">
            <v>1</v>
          </cell>
          <cell r="E155" t="str">
            <v>SEPTEMBER 2019</v>
          </cell>
          <cell r="F155" t="str">
            <v>DC</v>
          </cell>
          <cell r="G155" t="str">
            <v>Late</v>
          </cell>
          <cell r="H155" t="str">
            <v>L307031</v>
          </cell>
          <cell r="I155">
            <v>43728</v>
          </cell>
          <cell r="J155" t="str">
            <v>ATI</v>
          </cell>
          <cell r="K155" t="str">
            <v>D1909171</v>
          </cell>
          <cell r="L155">
            <v>1</v>
          </cell>
          <cell r="M155" t="str">
            <v>AAC76243-BA</v>
          </cell>
          <cell r="N155">
            <v>858753</v>
          </cell>
          <cell r="O155" t="str">
            <v xml:space="preserve">1.4306 TP304L </v>
          </cell>
          <cell r="P155" t="str">
            <v>304L</v>
          </cell>
          <cell r="Q155">
            <v>1.7509999999999999</v>
          </cell>
          <cell r="R155">
            <v>1.7529999999999999</v>
          </cell>
          <cell r="S155">
            <v>3.5000000000000003E-2</v>
          </cell>
          <cell r="T155">
            <v>3.5999999999999997E-2</v>
          </cell>
          <cell r="V155">
            <v>3.5999999999999997E-2</v>
          </cell>
          <cell r="X155">
            <v>5442</v>
          </cell>
          <cell r="Y155">
            <v>7</v>
          </cell>
          <cell r="Z155">
            <v>443.99118870849315</v>
          </cell>
          <cell r="AA155" t="str">
            <v>1.751X0.035-304L</v>
          </cell>
          <cell r="AB155" t="str">
            <v>WAAC004450089B300004</v>
          </cell>
          <cell r="AC155" t="str">
            <v>D1909171</v>
          </cell>
          <cell r="AD155">
            <v>858753</v>
          </cell>
          <cell r="AE155">
            <v>2.4E-2</v>
          </cell>
          <cell r="AF155">
            <v>1.55</v>
          </cell>
          <cell r="AG155">
            <v>3.2000000000000001E-2</v>
          </cell>
          <cell r="AH155">
            <v>2.9999999999999997E-4</v>
          </cell>
          <cell r="AI155">
            <v>0.5</v>
          </cell>
          <cell r="AJ155">
            <v>18.18</v>
          </cell>
          <cell r="AK155">
            <v>8.1</v>
          </cell>
          <cell r="AL155">
            <v>7.0000000000000007E-2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Y155" t="str">
            <v/>
          </cell>
          <cell r="AZ155">
            <v>1.35</v>
          </cell>
          <cell r="BA155" t="str">
            <v>D1909171</v>
          </cell>
          <cell r="BB155" t="str">
            <v>CONFORM</v>
          </cell>
          <cell r="BC155" t="str">
            <v>CONFORM</v>
          </cell>
          <cell r="BD155" t="str">
            <v>CONFORM</v>
          </cell>
          <cell r="BE155" t="str">
            <v>CONFORM</v>
          </cell>
          <cell r="BF155" t="str">
            <v>CONFORM</v>
          </cell>
        </row>
        <row r="156">
          <cell r="A156">
            <v>43731</v>
          </cell>
          <cell r="B156" t="str">
            <v>D1909171-2</v>
          </cell>
          <cell r="C156" t="str">
            <v>024/19</v>
          </cell>
          <cell r="D156">
            <v>1</v>
          </cell>
          <cell r="E156" t="str">
            <v>SEPTEMBER 2019</v>
          </cell>
          <cell r="F156" t="str">
            <v>DC</v>
          </cell>
          <cell r="G156" t="str">
            <v>Late</v>
          </cell>
          <cell r="H156" t="str">
            <v>L307031</v>
          </cell>
          <cell r="I156">
            <v>43728</v>
          </cell>
          <cell r="J156" t="str">
            <v>ATI</v>
          </cell>
          <cell r="K156" t="str">
            <v>D1909171</v>
          </cell>
          <cell r="L156">
            <v>2</v>
          </cell>
          <cell r="M156" t="str">
            <v>AAC76243-AA</v>
          </cell>
          <cell r="N156">
            <v>858753</v>
          </cell>
          <cell r="O156" t="str">
            <v xml:space="preserve">1.4306 TP304L </v>
          </cell>
          <cell r="P156" t="str">
            <v>304L</v>
          </cell>
          <cell r="Q156">
            <v>1.7509999999999999</v>
          </cell>
          <cell r="R156">
            <v>1.754</v>
          </cell>
          <cell r="S156">
            <v>3.5000000000000003E-2</v>
          </cell>
          <cell r="T156">
            <v>3.5999999999999997E-2</v>
          </cell>
          <cell r="V156">
            <v>3.5999999999999997E-2</v>
          </cell>
          <cell r="X156">
            <v>5474</v>
          </cell>
          <cell r="Y156">
            <v>7</v>
          </cell>
          <cell r="Z156">
            <v>446.60194174757282</v>
          </cell>
          <cell r="AA156" t="str">
            <v>1.751X0.035-304L</v>
          </cell>
          <cell r="AB156" t="str">
            <v>WAAC004450089B300004</v>
          </cell>
          <cell r="AC156" t="str">
            <v>D1909171</v>
          </cell>
          <cell r="AD156">
            <v>858753</v>
          </cell>
          <cell r="AE156">
            <v>2.4E-2</v>
          </cell>
          <cell r="AF156">
            <v>1.55</v>
          </cell>
          <cell r="AG156">
            <v>3.2000000000000001E-2</v>
          </cell>
          <cell r="AH156">
            <v>2.9999999999999997E-4</v>
          </cell>
          <cell r="AI156">
            <v>0.5</v>
          </cell>
          <cell r="AJ156">
            <v>18.18</v>
          </cell>
          <cell r="AK156">
            <v>8.1</v>
          </cell>
          <cell r="AL156">
            <v>7.0000000000000007E-2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Y156" t="str">
            <v/>
          </cell>
          <cell r="AZ156">
            <v>1.35</v>
          </cell>
          <cell r="BA156" t="str">
            <v>D1909171</v>
          </cell>
          <cell r="BB156" t="str">
            <v>CONFORM</v>
          </cell>
          <cell r="BC156" t="str">
            <v>CONFORM</v>
          </cell>
          <cell r="BD156" t="str">
            <v>CONFORM</v>
          </cell>
          <cell r="BE156" t="str">
            <v>CONFORM</v>
          </cell>
          <cell r="BF156" t="str">
            <v>CONFORM</v>
          </cell>
        </row>
        <row r="157">
          <cell r="A157">
            <v>43732</v>
          </cell>
          <cell r="B157" t="str">
            <v>D1909179-1</v>
          </cell>
          <cell r="C157" t="str">
            <v>024/19</v>
          </cell>
          <cell r="D157">
            <v>1</v>
          </cell>
          <cell r="E157" t="str">
            <v>SEPTEMBER 2019</v>
          </cell>
          <cell r="F157" t="str">
            <v>DC</v>
          </cell>
          <cell r="G157" t="str">
            <v>Late</v>
          </cell>
          <cell r="H157" t="str">
            <v>L307325</v>
          </cell>
          <cell r="I157">
            <v>43731</v>
          </cell>
          <cell r="J157" t="str">
            <v>ATI</v>
          </cell>
          <cell r="K157" t="str">
            <v>D1909179</v>
          </cell>
          <cell r="L157">
            <v>1</v>
          </cell>
          <cell r="M157" t="str">
            <v>AAC76243-AA</v>
          </cell>
          <cell r="N157">
            <v>858753</v>
          </cell>
          <cell r="O157" t="str">
            <v xml:space="preserve">1.4306 TP304L </v>
          </cell>
          <cell r="P157" t="str">
            <v>304L</v>
          </cell>
          <cell r="Q157">
            <v>1.7509999999999999</v>
          </cell>
          <cell r="R157">
            <v>1.7509999999999999</v>
          </cell>
          <cell r="S157">
            <v>3.5000000000000003E-2</v>
          </cell>
          <cell r="T157">
            <v>3.4000000000000002E-2</v>
          </cell>
          <cell r="V157">
            <v>3.4000000000000002E-2</v>
          </cell>
          <cell r="X157">
            <v>5416</v>
          </cell>
          <cell r="Y157">
            <v>7</v>
          </cell>
          <cell r="Z157">
            <v>441.86995186424082</v>
          </cell>
          <cell r="AA157" t="str">
            <v>1.751X0.035-304L</v>
          </cell>
          <cell r="AB157" t="str">
            <v>WAAC004450089B300004</v>
          </cell>
          <cell r="AC157" t="str">
            <v>D1909179</v>
          </cell>
          <cell r="AD157">
            <v>858753</v>
          </cell>
          <cell r="AE157">
            <v>2.4E-2</v>
          </cell>
          <cell r="AF157">
            <v>1.55</v>
          </cell>
          <cell r="AG157">
            <v>3.2000000000000001E-2</v>
          </cell>
          <cell r="AH157">
            <v>2.9999999999999997E-4</v>
          </cell>
          <cell r="AI157">
            <v>0.5</v>
          </cell>
          <cell r="AJ157">
            <v>18.18</v>
          </cell>
          <cell r="AK157">
            <v>8.1</v>
          </cell>
          <cell r="AL157">
            <v>7.0000000000000007E-2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Y157" t="str">
            <v/>
          </cell>
          <cell r="AZ157">
            <v>1.35</v>
          </cell>
          <cell r="BA157" t="str">
            <v>D1909179</v>
          </cell>
          <cell r="BB157" t="str">
            <v>CONFORM</v>
          </cell>
          <cell r="BC157" t="str">
            <v>CONFORM</v>
          </cell>
          <cell r="BD157" t="str">
            <v>CONFORM</v>
          </cell>
          <cell r="BE157" t="str">
            <v>CONFORM</v>
          </cell>
          <cell r="BF157" t="str">
            <v>CONFORM</v>
          </cell>
        </row>
        <row r="158">
          <cell r="A158">
            <v>43732</v>
          </cell>
          <cell r="B158" t="str">
            <v>D1909179-2</v>
          </cell>
          <cell r="C158" t="str">
            <v>024/19</v>
          </cell>
          <cell r="D158">
            <v>1</v>
          </cell>
          <cell r="E158" t="str">
            <v>SEPTEMBER 2019</v>
          </cell>
          <cell r="F158" t="str">
            <v>DC</v>
          </cell>
          <cell r="G158" t="str">
            <v>Late</v>
          </cell>
          <cell r="H158" t="str">
            <v>L307325</v>
          </cell>
          <cell r="I158">
            <v>43731</v>
          </cell>
          <cell r="J158" t="str">
            <v>ATI</v>
          </cell>
          <cell r="K158" t="str">
            <v>D1909179</v>
          </cell>
          <cell r="L158">
            <v>2</v>
          </cell>
          <cell r="M158" t="str">
            <v>AAC76243-BA</v>
          </cell>
          <cell r="N158">
            <v>858753</v>
          </cell>
          <cell r="O158" t="str">
            <v xml:space="preserve">1.4306 TP304L </v>
          </cell>
          <cell r="P158" t="str">
            <v>304L</v>
          </cell>
          <cell r="Q158">
            <v>1.7509999999999999</v>
          </cell>
          <cell r="R158">
            <v>1.75</v>
          </cell>
          <cell r="S158">
            <v>3.5000000000000003E-2</v>
          </cell>
          <cell r="T158">
            <v>3.4000000000000002E-2</v>
          </cell>
          <cell r="V158">
            <v>3.4000000000000002E-2</v>
          </cell>
          <cell r="X158">
            <v>5402</v>
          </cell>
          <cell r="Y158">
            <v>7</v>
          </cell>
          <cell r="Z158">
            <v>440.72774740964348</v>
          </cell>
          <cell r="AA158" t="str">
            <v>1.751X0.035-304L</v>
          </cell>
          <cell r="AB158" t="str">
            <v>WAAC004450089B300004</v>
          </cell>
          <cell r="AC158" t="str">
            <v>D1909179</v>
          </cell>
          <cell r="AD158">
            <v>858753</v>
          </cell>
          <cell r="AE158">
            <v>2.4E-2</v>
          </cell>
          <cell r="AF158">
            <v>1.55</v>
          </cell>
          <cell r="AG158">
            <v>3.2000000000000001E-2</v>
          </cell>
          <cell r="AH158">
            <v>2.9999999999999997E-4</v>
          </cell>
          <cell r="AI158">
            <v>0.5</v>
          </cell>
          <cell r="AJ158">
            <v>18.18</v>
          </cell>
          <cell r="AK158">
            <v>8.1</v>
          </cell>
          <cell r="AL158">
            <v>7.0000000000000007E-2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Y158" t="str">
            <v/>
          </cell>
          <cell r="AZ158">
            <v>1.35</v>
          </cell>
          <cell r="BA158" t="str">
            <v>D1909179</v>
          </cell>
          <cell r="BB158" t="str">
            <v>CONFORM</v>
          </cell>
          <cell r="BC158" t="str">
            <v>CONFORM</v>
          </cell>
          <cell r="BD158" t="str">
            <v>CONFORM</v>
          </cell>
          <cell r="BE158" t="str">
            <v>CONFORM</v>
          </cell>
          <cell r="BF158" t="str">
            <v>CONFORM</v>
          </cell>
        </row>
        <row r="159">
          <cell r="A159">
            <v>43732</v>
          </cell>
          <cell r="B159" t="str">
            <v>D1909180-1</v>
          </cell>
          <cell r="C159" t="str">
            <v>024/19</v>
          </cell>
          <cell r="D159">
            <v>2</v>
          </cell>
          <cell r="E159" t="str">
            <v>SEPTEMBER 2019</v>
          </cell>
          <cell r="F159" t="str">
            <v>DC</v>
          </cell>
          <cell r="G159" t="str">
            <v>Late</v>
          </cell>
          <cell r="H159" t="str">
            <v>L307325</v>
          </cell>
          <cell r="I159">
            <v>43731</v>
          </cell>
          <cell r="J159" t="str">
            <v>ATI</v>
          </cell>
          <cell r="K159" t="str">
            <v>D1909180</v>
          </cell>
          <cell r="L159">
            <v>1</v>
          </cell>
          <cell r="M159" t="str">
            <v>AAC76243-AB</v>
          </cell>
          <cell r="N159">
            <v>858753</v>
          </cell>
          <cell r="O159" t="str">
            <v xml:space="preserve">1.4306 TP304L </v>
          </cell>
          <cell r="P159" t="str">
            <v>304L</v>
          </cell>
          <cell r="Q159">
            <v>1.948</v>
          </cell>
          <cell r="R159">
            <v>1.9490000000000001</v>
          </cell>
          <cell r="S159">
            <v>3.5000000000000003E-2</v>
          </cell>
          <cell r="T159">
            <v>3.4000000000000002E-2</v>
          </cell>
          <cell r="V159">
            <v>3.4000000000000002E-2</v>
          </cell>
          <cell r="X159">
            <v>5206</v>
          </cell>
          <cell r="Y159">
            <v>6</v>
          </cell>
          <cell r="Z159">
            <v>445.41409993155372</v>
          </cell>
          <cell r="AA159" t="str">
            <v>1.948X0.035-304L</v>
          </cell>
          <cell r="AB159" t="str">
            <v>WAAC004950089B200032</v>
          </cell>
          <cell r="AC159" t="str">
            <v>D1909180</v>
          </cell>
          <cell r="AD159">
            <v>858753</v>
          </cell>
          <cell r="AE159">
            <v>2.4E-2</v>
          </cell>
          <cell r="AF159">
            <v>1.55</v>
          </cell>
          <cell r="AG159">
            <v>3.2000000000000001E-2</v>
          </cell>
          <cell r="AH159">
            <v>2.9999999999999997E-4</v>
          </cell>
          <cell r="AI159">
            <v>0.5</v>
          </cell>
          <cell r="AJ159">
            <v>18.18</v>
          </cell>
          <cell r="AK159">
            <v>8.1</v>
          </cell>
          <cell r="AL159">
            <v>7.0000000000000007E-2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Y159" t="str">
            <v/>
          </cell>
          <cell r="AZ159">
            <v>1.35</v>
          </cell>
          <cell r="BA159" t="str">
            <v>D1909180</v>
          </cell>
          <cell r="BB159" t="str">
            <v>CONFORM</v>
          </cell>
          <cell r="BC159" t="str">
            <v>CONFORM</v>
          </cell>
          <cell r="BD159" t="str">
            <v>CONFORM</v>
          </cell>
          <cell r="BE159" t="str">
            <v>CONFORM</v>
          </cell>
          <cell r="BF159" t="str">
            <v>CONFORM</v>
          </cell>
        </row>
        <row r="160">
          <cell r="A160">
            <v>43732</v>
          </cell>
          <cell r="B160" t="str">
            <v>D1909180-2</v>
          </cell>
          <cell r="C160" t="str">
            <v>024/19</v>
          </cell>
          <cell r="D160">
            <v>2</v>
          </cell>
          <cell r="E160" t="str">
            <v>SEPTEMBER 2019</v>
          </cell>
          <cell r="F160" t="str">
            <v>DC</v>
          </cell>
          <cell r="G160" t="str">
            <v>Late</v>
          </cell>
          <cell r="H160" t="str">
            <v>L307325</v>
          </cell>
          <cell r="I160">
            <v>43731</v>
          </cell>
          <cell r="J160" t="str">
            <v>ATI</v>
          </cell>
          <cell r="K160" t="str">
            <v>D1909180</v>
          </cell>
          <cell r="L160">
            <v>2</v>
          </cell>
          <cell r="M160" t="str">
            <v>AAC76243-BB</v>
          </cell>
          <cell r="N160">
            <v>858753</v>
          </cell>
          <cell r="O160" t="str">
            <v xml:space="preserve">1.4306 TP304L </v>
          </cell>
          <cell r="P160" t="str">
            <v>304L</v>
          </cell>
          <cell r="Q160">
            <v>1.948</v>
          </cell>
          <cell r="R160">
            <v>1.946</v>
          </cell>
          <cell r="S160">
            <v>3.5000000000000003E-2</v>
          </cell>
          <cell r="T160">
            <v>3.4000000000000002E-2</v>
          </cell>
          <cell r="V160">
            <v>3.4000000000000002E-2</v>
          </cell>
          <cell r="X160">
            <v>5194</v>
          </cell>
          <cell r="Y160">
            <v>6</v>
          </cell>
          <cell r="Z160">
            <v>444.38740588637916</v>
          </cell>
          <cell r="AA160" t="str">
            <v>1.948X0.035-304L</v>
          </cell>
          <cell r="AB160" t="str">
            <v>WAAC004950089B200032</v>
          </cell>
          <cell r="AC160" t="str">
            <v>D1909180</v>
          </cell>
          <cell r="AD160">
            <v>858753</v>
          </cell>
          <cell r="AE160">
            <v>2.4E-2</v>
          </cell>
          <cell r="AF160">
            <v>1.55</v>
          </cell>
          <cell r="AG160">
            <v>3.2000000000000001E-2</v>
          </cell>
          <cell r="AH160">
            <v>2.9999999999999997E-4</v>
          </cell>
          <cell r="AI160">
            <v>0.5</v>
          </cell>
          <cell r="AJ160">
            <v>18.18</v>
          </cell>
          <cell r="AK160">
            <v>8.1</v>
          </cell>
          <cell r="AL160">
            <v>7.0000000000000007E-2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Y160" t="str">
            <v/>
          </cell>
          <cell r="AZ160">
            <v>1.35</v>
          </cell>
          <cell r="BA160" t="str">
            <v>D1909180</v>
          </cell>
          <cell r="BB160" t="str">
            <v>CONFORM</v>
          </cell>
          <cell r="BC160" t="str">
            <v>CONFORM</v>
          </cell>
          <cell r="BD160" t="str">
            <v>CONFORM</v>
          </cell>
          <cell r="BE160" t="str">
            <v>CONFORM</v>
          </cell>
          <cell r="BF160" t="str">
            <v>CONFORM</v>
          </cell>
        </row>
        <row r="161">
          <cell r="A161">
            <v>43738</v>
          </cell>
          <cell r="B161" t="str">
            <v>D1909201-1</v>
          </cell>
          <cell r="C161" t="str">
            <v>030/19</v>
          </cell>
          <cell r="D161">
            <v>1</v>
          </cell>
          <cell r="E161" t="str">
            <v>SEPTEMBER 2019</v>
          </cell>
          <cell r="F161" t="str">
            <v>DC</v>
          </cell>
          <cell r="G161" t="str">
            <v>Late</v>
          </cell>
          <cell r="H161">
            <v>2407016614</v>
          </cell>
          <cell r="I161">
            <v>43738</v>
          </cell>
          <cell r="J161" t="str">
            <v>TKM</v>
          </cell>
          <cell r="K161" t="str">
            <v>D1909201</v>
          </cell>
          <cell r="L161">
            <v>1</v>
          </cell>
          <cell r="M161" t="str">
            <v>AAC57026</v>
          </cell>
          <cell r="N161">
            <v>857277</v>
          </cell>
          <cell r="O161" t="str">
            <v xml:space="preserve">1.4306 TP304L </v>
          </cell>
          <cell r="P161" t="str">
            <v>304L</v>
          </cell>
          <cell r="Q161">
            <v>1.948</v>
          </cell>
          <cell r="R161">
            <v>1.948</v>
          </cell>
          <cell r="S161">
            <v>3.5000000000000003E-2</v>
          </cell>
          <cell r="T161">
            <v>3.4000000000000002E-2</v>
          </cell>
          <cell r="V161">
            <v>3.4000000000000002E-2</v>
          </cell>
          <cell r="X161">
            <v>4629</v>
          </cell>
          <cell r="Y161">
            <v>8</v>
          </cell>
          <cell r="Z161">
            <v>297.03542094455855</v>
          </cell>
          <cell r="AA161" t="str">
            <v>1.948X0.035-304L</v>
          </cell>
          <cell r="AB161" t="str">
            <v>WAAC004950089B200032</v>
          </cell>
          <cell r="AC161" t="str">
            <v>D1909201</v>
          </cell>
          <cell r="AD161">
            <v>857277</v>
          </cell>
          <cell r="AE161">
            <v>0.02</v>
          </cell>
          <cell r="AF161">
            <v>1.61</v>
          </cell>
          <cell r="AG161">
            <v>3.1E-2</v>
          </cell>
          <cell r="AH161">
            <v>1E-4</v>
          </cell>
          <cell r="AI161">
            <v>0.49</v>
          </cell>
          <cell r="AJ161">
            <v>18.13</v>
          </cell>
          <cell r="AK161">
            <v>8.1999999999999993</v>
          </cell>
          <cell r="AL161">
            <v>7.0000000000000007E-2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Y161" t="str">
            <v/>
          </cell>
          <cell r="AZ161">
            <v>1.6</v>
          </cell>
          <cell r="BA161" t="str">
            <v>D1909201</v>
          </cell>
          <cell r="BB161" t="str">
            <v>NOT CONFORM</v>
          </cell>
          <cell r="BC161" t="str">
            <v>CONFORM</v>
          </cell>
          <cell r="BD161" t="str">
            <v>NOT CONFORM</v>
          </cell>
          <cell r="BE161" t="str">
            <v>CONFORM</v>
          </cell>
          <cell r="BF161" t="str">
            <v>CONFORM</v>
          </cell>
        </row>
        <row r="162">
          <cell r="A162">
            <v>43738</v>
          </cell>
          <cell r="B162" t="str">
            <v>D1909201-2</v>
          </cell>
          <cell r="C162" t="str">
            <v>030/19</v>
          </cell>
          <cell r="D162">
            <v>1</v>
          </cell>
          <cell r="E162" t="str">
            <v>SEPTEMBER 2019</v>
          </cell>
          <cell r="F162" t="str">
            <v>DC</v>
          </cell>
          <cell r="G162" t="str">
            <v>Late</v>
          </cell>
          <cell r="H162">
            <v>2407016614</v>
          </cell>
          <cell r="I162">
            <v>43738</v>
          </cell>
          <cell r="J162" t="str">
            <v>TKM</v>
          </cell>
          <cell r="K162" t="str">
            <v>D1909201</v>
          </cell>
          <cell r="L162">
            <v>2</v>
          </cell>
          <cell r="M162" t="str">
            <v>AAC57026</v>
          </cell>
          <cell r="N162">
            <v>857277</v>
          </cell>
          <cell r="O162" t="str">
            <v xml:space="preserve">1.4306 TP304L </v>
          </cell>
          <cell r="P162" t="str">
            <v>304L</v>
          </cell>
          <cell r="Q162">
            <v>1.948</v>
          </cell>
          <cell r="R162">
            <v>1.948</v>
          </cell>
          <cell r="S162">
            <v>3.5000000000000003E-2</v>
          </cell>
          <cell r="T162">
            <v>3.5000000000000003E-2</v>
          </cell>
          <cell r="V162">
            <v>3.5000000000000003E-2</v>
          </cell>
          <cell r="X162">
            <v>4598</v>
          </cell>
          <cell r="Y162">
            <v>8</v>
          </cell>
          <cell r="Z162">
            <v>295.04620123203284</v>
          </cell>
          <cell r="AA162" t="str">
            <v>1.948X0.035-304L</v>
          </cell>
          <cell r="AB162" t="str">
            <v>WAAC004950089B200032</v>
          </cell>
          <cell r="AC162" t="str">
            <v>D1909201</v>
          </cell>
          <cell r="AD162">
            <v>857277</v>
          </cell>
          <cell r="AE162">
            <v>0.02</v>
          </cell>
          <cell r="AF162">
            <v>1.61</v>
          </cell>
          <cell r="AG162">
            <v>3.1E-2</v>
          </cell>
          <cell r="AH162">
            <v>1E-4</v>
          </cell>
          <cell r="AI162">
            <v>0.49</v>
          </cell>
          <cell r="AJ162">
            <v>18.13</v>
          </cell>
          <cell r="AK162">
            <v>8.1999999999999993</v>
          </cell>
          <cell r="AL162">
            <v>7.0000000000000007E-2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Y162" t="str">
            <v/>
          </cell>
          <cell r="AZ162">
            <v>1.6</v>
          </cell>
          <cell r="BA162" t="str">
            <v>D1909201</v>
          </cell>
          <cell r="BB162" t="str">
            <v>NOT CONFORM</v>
          </cell>
          <cell r="BC162" t="str">
            <v>CONFORM</v>
          </cell>
          <cell r="BD162" t="str">
            <v>NOT CONFORM</v>
          </cell>
          <cell r="BE162" t="str">
            <v>CONFORM</v>
          </cell>
          <cell r="BF162" t="str">
            <v>CONFORM</v>
          </cell>
        </row>
        <row r="163">
          <cell r="A163">
            <v>43738</v>
          </cell>
          <cell r="B163" t="str">
            <v>D1909201-3</v>
          </cell>
          <cell r="C163" t="str">
            <v>030/19</v>
          </cell>
          <cell r="D163">
            <v>1</v>
          </cell>
          <cell r="E163" t="str">
            <v>SEPTEMBER 2019</v>
          </cell>
          <cell r="F163" t="str">
            <v>DC</v>
          </cell>
          <cell r="G163" t="str">
            <v>Late</v>
          </cell>
          <cell r="H163">
            <v>2407016614</v>
          </cell>
          <cell r="I163">
            <v>43738</v>
          </cell>
          <cell r="J163" t="str">
            <v>TKM</v>
          </cell>
          <cell r="K163" t="str">
            <v>D1909201</v>
          </cell>
          <cell r="L163">
            <v>3</v>
          </cell>
          <cell r="M163" t="str">
            <v>AAC57026</v>
          </cell>
          <cell r="N163">
            <v>857277</v>
          </cell>
          <cell r="O163" t="str">
            <v xml:space="preserve">1.4306 TP304L </v>
          </cell>
          <cell r="P163" t="str">
            <v>304L</v>
          </cell>
          <cell r="Q163">
            <v>1.948</v>
          </cell>
          <cell r="R163">
            <v>1.9530000000000001</v>
          </cell>
          <cell r="S163">
            <v>3.5000000000000003E-2</v>
          </cell>
          <cell r="T163">
            <v>3.4000000000000002E-2</v>
          </cell>
          <cell r="V163">
            <v>3.4000000000000002E-2</v>
          </cell>
          <cell r="X163">
            <v>4655</v>
          </cell>
          <cell r="Y163">
            <v>8</v>
          </cell>
          <cell r="Z163">
            <v>298.70379876796716</v>
          </cell>
          <cell r="AA163" t="str">
            <v>1.948X0.035-304L</v>
          </cell>
          <cell r="AB163" t="str">
            <v>WAAC004950089B200032</v>
          </cell>
          <cell r="AC163" t="str">
            <v>D1909201</v>
          </cell>
          <cell r="AD163">
            <v>857277</v>
          </cell>
          <cell r="AE163">
            <v>0.02</v>
          </cell>
          <cell r="AF163">
            <v>1.61</v>
          </cell>
          <cell r="AG163">
            <v>3.1E-2</v>
          </cell>
          <cell r="AH163">
            <v>1E-4</v>
          </cell>
          <cell r="AI163">
            <v>0.49</v>
          </cell>
          <cell r="AJ163">
            <v>18.13</v>
          </cell>
          <cell r="AK163">
            <v>8.1999999999999993</v>
          </cell>
          <cell r="AL163">
            <v>7.0000000000000007E-2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Y163" t="str">
            <v/>
          </cell>
          <cell r="AZ163">
            <v>1.6</v>
          </cell>
          <cell r="BA163" t="str">
            <v>D1909201</v>
          </cell>
          <cell r="BB163" t="str">
            <v>NOT CONFORM</v>
          </cell>
          <cell r="BC163" t="str">
            <v>CONFORM</v>
          </cell>
          <cell r="BD163" t="str">
            <v>NOT CONFORM</v>
          </cell>
          <cell r="BE163" t="str">
            <v>CONFORM</v>
          </cell>
          <cell r="BF163" t="str">
            <v>CONFORM</v>
          </cell>
        </row>
        <row r="164">
          <cell r="A164">
            <v>43738</v>
          </cell>
          <cell r="B164" t="str">
            <v>D1909201-4</v>
          </cell>
          <cell r="C164" t="str">
            <v>030/19</v>
          </cell>
          <cell r="D164">
            <v>1</v>
          </cell>
          <cell r="E164" t="str">
            <v>SEPTEMBER 2019</v>
          </cell>
          <cell r="F164" t="str">
            <v>DC</v>
          </cell>
          <cell r="G164" t="str">
            <v>Late</v>
          </cell>
          <cell r="H164">
            <v>2407016614</v>
          </cell>
          <cell r="I164">
            <v>43738</v>
          </cell>
          <cell r="J164" t="str">
            <v>TKM</v>
          </cell>
          <cell r="K164" t="str">
            <v>D1909201</v>
          </cell>
          <cell r="L164">
            <v>4</v>
          </cell>
          <cell r="M164" t="str">
            <v>AAC57026</v>
          </cell>
          <cell r="N164">
            <v>857277</v>
          </cell>
          <cell r="O164" t="str">
            <v xml:space="preserve">1.4306 TP304L </v>
          </cell>
          <cell r="P164" t="str">
            <v>304L</v>
          </cell>
          <cell r="Q164">
            <v>1.948</v>
          </cell>
          <cell r="R164">
            <v>1.9450000000000001</v>
          </cell>
          <cell r="S164">
            <v>3.5000000000000003E-2</v>
          </cell>
          <cell r="T164">
            <v>3.4000000000000002E-2</v>
          </cell>
          <cell r="V164">
            <v>3.4000000000000002E-2</v>
          </cell>
          <cell r="X164">
            <v>3982</v>
          </cell>
          <cell r="Y164">
            <v>8</v>
          </cell>
          <cell r="Z164">
            <v>255.51848049281315</v>
          </cell>
          <cell r="AA164" t="str">
            <v>1.948X0.035-304L</v>
          </cell>
          <cell r="AB164" t="str">
            <v>WAAC004950089B200032</v>
          </cell>
          <cell r="AC164" t="str">
            <v>D1909201</v>
          </cell>
          <cell r="AD164">
            <v>857277</v>
          </cell>
          <cell r="AE164">
            <v>0.02</v>
          </cell>
          <cell r="AF164">
            <v>1.61</v>
          </cell>
          <cell r="AG164">
            <v>3.1E-2</v>
          </cell>
          <cell r="AH164">
            <v>1E-4</v>
          </cell>
          <cell r="AI164">
            <v>0.49</v>
          </cell>
          <cell r="AJ164">
            <v>18.13</v>
          </cell>
          <cell r="AK164">
            <v>8.1999999999999993</v>
          </cell>
          <cell r="AL164">
            <v>7.0000000000000007E-2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Y164" t="str">
            <v/>
          </cell>
          <cell r="AZ164">
            <v>1.6</v>
          </cell>
          <cell r="BA164" t="str">
            <v>D1909201</v>
          </cell>
          <cell r="BB164" t="str">
            <v>NOT CONFORM</v>
          </cell>
          <cell r="BC164" t="str">
            <v>CONFORM</v>
          </cell>
          <cell r="BD164" t="str">
            <v>NOT CONFORM</v>
          </cell>
          <cell r="BE164" t="str">
            <v>CONFORM</v>
          </cell>
          <cell r="BF164" t="str">
            <v>CONFORM</v>
          </cell>
        </row>
        <row r="165">
          <cell r="A165">
            <v>43738</v>
          </cell>
          <cell r="B165" t="str">
            <v>D1909201-5</v>
          </cell>
          <cell r="C165" t="str">
            <v>030/19</v>
          </cell>
          <cell r="D165">
            <v>1</v>
          </cell>
          <cell r="E165" t="str">
            <v>SEPTEMBER 2019</v>
          </cell>
          <cell r="F165" t="str">
            <v>DC</v>
          </cell>
          <cell r="G165" t="str">
            <v>Late</v>
          </cell>
          <cell r="H165">
            <v>2407016614</v>
          </cell>
          <cell r="I165">
            <v>43738</v>
          </cell>
          <cell r="J165" t="str">
            <v>TKM</v>
          </cell>
          <cell r="K165" t="str">
            <v>D1909201</v>
          </cell>
          <cell r="L165">
            <v>5</v>
          </cell>
          <cell r="M165" t="str">
            <v>AAC57026</v>
          </cell>
          <cell r="N165">
            <v>857277</v>
          </cell>
          <cell r="O165" t="str">
            <v xml:space="preserve">1.4306 TP304L </v>
          </cell>
          <cell r="P165" t="str">
            <v>304L</v>
          </cell>
          <cell r="Q165">
            <v>1.948</v>
          </cell>
          <cell r="R165">
            <v>1.9610000000000001</v>
          </cell>
          <cell r="S165">
            <v>3.5000000000000003E-2</v>
          </cell>
          <cell r="T165">
            <v>3.5000000000000003E-2</v>
          </cell>
          <cell r="V165">
            <v>3.5000000000000003E-2</v>
          </cell>
          <cell r="X165">
            <v>4161</v>
          </cell>
          <cell r="Y165">
            <v>8</v>
          </cell>
          <cell r="Z165">
            <v>267.00462012320327</v>
          </cell>
          <cell r="AA165" t="str">
            <v>1.948X0.035-304L</v>
          </cell>
          <cell r="AB165" t="str">
            <v>WAAC004950089B200032</v>
          </cell>
          <cell r="AC165" t="str">
            <v>D1909201</v>
          </cell>
          <cell r="AD165">
            <v>857277</v>
          </cell>
          <cell r="AE165">
            <v>0.02</v>
          </cell>
          <cell r="AF165">
            <v>1.61</v>
          </cell>
          <cell r="AG165">
            <v>3.1E-2</v>
          </cell>
          <cell r="AH165">
            <v>1E-4</v>
          </cell>
          <cell r="AI165">
            <v>0.49</v>
          </cell>
          <cell r="AJ165">
            <v>18.13</v>
          </cell>
          <cell r="AK165">
            <v>8.1999999999999993</v>
          </cell>
          <cell r="AL165">
            <v>7.0000000000000007E-2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Y165" t="str">
            <v/>
          </cell>
          <cell r="AZ165">
            <v>1.6</v>
          </cell>
          <cell r="BA165" t="str">
            <v>D1909201</v>
          </cell>
          <cell r="BB165" t="str">
            <v>NOT CONFORM</v>
          </cell>
          <cell r="BC165" t="str">
            <v>CONFORM</v>
          </cell>
          <cell r="BD165" t="str">
            <v>NOT CONFORM</v>
          </cell>
          <cell r="BE165" t="str">
            <v>CONFORM</v>
          </cell>
          <cell r="BF165" t="str">
            <v>CONFORM</v>
          </cell>
        </row>
        <row r="166">
          <cell r="A166">
            <v>43738</v>
          </cell>
          <cell r="B166" t="str">
            <v>D1909201-6</v>
          </cell>
          <cell r="C166" t="str">
            <v>030/19</v>
          </cell>
          <cell r="D166">
            <v>1</v>
          </cell>
          <cell r="E166" t="str">
            <v>SEPTEMBER 2019</v>
          </cell>
          <cell r="F166" t="str">
            <v>DC</v>
          </cell>
          <cell r="G166" t="str">
            <v>Late</v>
          </cell>
          <cell r="H166">
            <v>2407016614</v>
          </cell>
          <cell r="I166">
            <v>43738</v>
          </cell>
          <cell r="J166" t="str">
            <v>TKM</v>
          </cell>
          <cell r="K166" t="str">
            <v>D1909201</v>
          </cell>
          <cell r="L166">
            <v>6</v>
          </cell>
          <cell r="M166" t="str">
            <v>AAC57026</v>
          </cell>
          <cell r="N166">
            <v>857277</v>
          </cell>
          <cell r="O166" t="str">
            <v xml:space="preserve">1.4306 TP304L </v>
          </cell>
          <cell r="P166" t="str">
            <v>304L</v>
          </cell>
          <cell r="Q166">
            <v>1.948</v>
          </cell>
          <cell r="R166">
            <v>1.9490000000000001</v>
          </cell>
          <cell r="S166">
            <v>3.5000000000000003E-2</v>
          </cell>
          <cell r="T166">
            <v>3.4000000000000002E-2</v>
          </cell>
          <cell r="V166">
            <v>3.4000000000000002E-2</v>
          </cell>
          <cell r="X166">
            <v>4403</v>
          </cell>
          <cell r="Y166">
            <v>8</v>
          </cell>
          <cell r="Z166">
            <v>282.53336755646819</v>
          </cell>
          <cell r="AA166" t="str">
            <v>1.948X0.035-304L</v>
          </cell>
          <cell r="AB166" t="str">
            <v>WAAC004950089B200032</v>
          </cell>
          <cell r="AC166" t="str">
            <v>D1909201</v>
          </cell>
          <cell r="AD166">
            <v>857277</v>
          </cell>
          <cell r="AE166">
            <v>0.02</v>
          </cell>
          <cell r="AF166">
            <v>1.61</v>
          </cell>
          <cell r="AG166">
            <v>3.1E-2</v>
          </cell>
          <cell r="AH166">
            <v>1E-4</v>
          </cell>
          <cell r="AI166">
            <v>0.49</v>
          </cell>
          <cell r="AJ166">
            <v>18.13</v>
          </cell>
          <cell r="AK166">
            <v>8.1999999999999993</v>
          </cell>
          <cell r="AL166">
            <v>7.0000000000000007E-2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Y166" t="str">
            <v/>
          </cell>
          <cell r="AZ166">
            <v>1.6</v>
          </cell>
          <cell r="BA166" t="str">
            <v>D1909201</v>
          </cell>
          <cell r="BB166" t="str">
            <v>NOT CONFORM</v>
          </cell>
          <cell r="BC166" t="str">
            <v>CONFORM</v>
          </cell>
          <cell r="BD166" t="str">
            <v>NOT CONFORM</v>
          </cell>
          <cell r="BE166" t="str">
            <v>CONFORM</v>
          </cell>
          <cell r="BF166" t="str">
            <v>CONFORM</v>
          </cell>
        </row>
        <row r="167">
          <cell r="A167">
            <v>43739</v>
          </cell>
          <cell r="B167" t="str">
            <v>D1910001-1</v>
          </cell>
          <cell r="C167" t="str">
            <v>023/19</v>
          </cell>
          <cell r="D167">
            <v>3</v>
          </cell>
          <cell r="E167" t="str">
            <v>OCTOBER 2019</v>
          </cell>
          <cell r="F167" t="str">
            <v>DC</v>
          </cell>
          <cell r="G167" t="str">
            <v>On Time</v>
          </cell>
          <cell r="H167" t="str">
            <v>L310423</v>
          </cell>
          <cell r="I167">
            <v>43738</v>
          </cell>
          <cell r="J167" t="str">
            <v>ATI</v>
          </cell>
          <cell r="K167" t="str">
            <v>D1910001</v>
          </cell>
          <cell r="L167">
            <v>1</v>
          </cell>
          <cell r="M167" t="str">
            <v>AAC76361-AB</v>
          </cell>
          <cell r="N167">
            <v>8870977</v>
          </cell>
          <cell r="O167" t="str">
            <v xml:space="preserve">1.4401/1.4404 TP316/316L </v>
          </cell>
          <cell r="P167" t="str">
            <v>316L</v>
          </cell>
          <cell r="Q167">
            <v>1.8660000000000001</v>
          </cell>
          <cell r="R167">
            <v>1.863</v>
          </cell>
          <cell r="S167">
            <v>6.3E-2</v>
          </cell>
          <cell r="T167">
            <v>6.0999999999999999E-2</v>
          </cell>
          <cell r="V167">
            <v>6.0999999999999999E-2</v>
          </cell>
          <cell r="X167">
            <v>3184</v>
          </cell>
          <cell r="Y167">
            <v>4</v>
          </cell>
          <cell r="Z167">
            <v>426.58092175777062</v>
          </cell>
          <cell r="AA167" t="str">
            <v>1.866X0.063-316L</v>
          </cell>
          <cell r="AB167" t="str">
            <v>WAAF004740160B300035</v>
          </cell>
          <cell r="AC167" t="str">
            <v>D1910001</v>
          </cell>
          <cell r="AD167">
            <v>8870977</v>
          </cell>
          <cell r="AE167">
            <v>1.7999999999999999E-2</v>
          </cell>
          <cell r="AF167">
            <v>1.66</v>
          </cell>
          <cell r="AG167">
            <v>3.5000000000000003E-2</v>
          </cell>
          <cell r="AH167">
            <v>1E-4</v>
          </cell>
          <cell r="AI167">
            <v>0.38</v>
          </cell>
          <cell r="AJ167">
            <v>16.7</v>
          </cell>
          <cell r="AK167">
            <v>10.119999999999999</v>
          </cell>
          <cell r="AL167">
            <v>0.05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Y167" t="str">
            <v/>
          </cell>
          <cell r="AZ167">
            <v>1.68</v>
          </cell>
          <cell r="BA167" t="str">
            <v>D1910001</v>
          </cell>
          <cell r="BB167" t="str">
            <v>CONFORM</v>
          </cell>
          <cell r="BC167" t="str">
            <v>CONFORM</v>
          </cell>
          <cell r="BD167" t="str">
            <v>CONFORM</v>
          </cell>
          <cell r="BE167" t="str">
            <v>CONFORM</v>
          </cell>
          <cell r="BF167" t="str">
            <v>CONFORM</v>
          </cell>
        </row>
        <row r="168">
          <cell r="A168">
            <v>43739</v>
          </cell>
          <cell r="B168" t="str">
            <v>D1910001-2</v>
          </cell>
          <cell r="C168" t="str">
            <v>023/19</v>
          </cell>
          <cell r="D168">
            <v>3</v>
          </cell>
          <cell r="E168" t="str">
            <v>OCTOBER 2019</v>
          </cell>
          <cell r="F168" t="str">
            <v>DC</v>
          </cell>
          <cell r="G168" t="str">
            <v>On Time</v>
          </cell>
          <cell r="H168" t="str">
            <v>L310423</v>
          </cell>
          <cell r="I168">
            <v>43738</v>
          </cell>
          <cell r="J168" t="str">
            <v>ATI</v>
          </cell>
          <cell r="K168" t="str">
            <v>D1910001</v>
          </cell>
          <cell r="L168">
            <v>2</v>
          </cell>
          <cell r="M168" t="str">
            <v>AAC76361-AB</v>
          </cell>
          <cell r="N168">
            <v>8870977</v>
          </cell>
          <cell r="O168" t="str">
            <v xml:space="preserve">1.4401/1.4404 TP316/316L </v>
          </cell>
          <cell r="P168" t="str">
            <v>316L</v>
          </cell>
          <cell r="Q168">
            <v>1.8660000000000001</v>
          </cell>
          <cell r="R168">
            <v>1.863</v>
          </cell>
          <cell r="S168">
            <v>6.3E-2</v>
          </cell>
          <cell r="T168">
            <v>6.0999999999999999E-2</v>
          </cell>
          <cell r="V168">
            <v>6.0999999999999999E-2</v>
          </cell>
          <cell r="X168">
            <v>3322</v>
          </cell>
          <cell r="Y168">
            <v>4</v>
          </cell>
          <cell r="Z168">
            <v>445.06966773847802</v>
          </cell>
          <cell r="AA168" t="str">
            <v>1.866X0.063-316L</v>
          </cell>
          <cell r="AB168" t="str">
            <v>WAAF004740160B300035</v>
          </cell>
          <cell r="AC168" t="str">
            <v>D1910001</v>
          </cell>
          <cell r="AD168">
            <v>8870977</v>
          </cell>
          <cell r="AE168">
            <v>1.7999999999999999E-2</v>
          </cell>
          <cell r="AF168">
            <v>1.66</v>
          </cell>
          <cell r="AG168">
            <v>3.5000000000000003E-2</v>
          </cell>
          <cell r="AH168">
            <v>1E-4</v>
          </cell>
          <cell r="AI168">
            <v>0.38</v>
          </cell>
          <cell r="AJ168">
            <v>16.7</v>
          </cell>
          <cell r="AK168">
            <v>10.119999999999999</v>
          </cell>
          <cell r="AL168">
            <v>0.05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Y168" t="str">
            <v/>
          </cell>
          <cell r="AZ168">
            <v>1.68</v>
          </cell>
          <cell r="BA168" t="str">
            <v>D1910001</v>
          </cell>
          <cell r="BB168" t="str">
            <v>CONFORM</v>
          </cell>
          <cell r="BC168" t="str">
            <v>CONFORM</v>
          </cell>
          <cell r="BD168" t="str">
            <v>CONFORM</v>
          </cell>
          <cell r="BE168" t="str">
            <v>CONFORM</v>
          </cell>
          <cell r="BF168" t="str">
            <v>CONFORM</v>
          </cell>
        </row>
        <row r="169">
          <cell r="A169">
            <v>43739</v>
          </cell>
          <cell r="B169" t="str">
            <v>D1910001-3</v>
          </cell>
          <cell r="C169" t="str">
            <v>023/19</v>
          </cell>
          <cell r="D169">
            <v>3</v>
          </cell>
          <cell r="E169" t="str">
            <v>OCTOBER 2019</v>
          </cell>
          <cell r="F169" t="str">
            <v>DC</v>
          </cell>
          <cell r="G169" t="str">
            <v>On Time</v>
          </cell>
          <cell r="H169" t="str">
            <v>L310423</v>
          </cell>
          <cell r="I169">
            <v>43738</v>
          </cell>
          <cell r="J169" t="str">
            <v>ATI</v>
          </cell>
          <cell r="K169" t="str">
            <v>D1910001</v>
          </cell>
          <cell r="L169">
            <v>3</v>
          </cell>
          <cell r="M169" t="str">
            <v>AAC76361-BB</v>
          </cell>
          <cell r="N169">
            <v>8870977</v>
          </cell>
          <cell r="O169" t="str">
            <v xml:space="preserve">1.4401/1.4404 TP316/316L </v>
          </cell>
          <cell r="P169" t="str">
            <v>316L</v>
          </cell>
          <cell r="Q169">
            <v>1.8660000000000001</v>
          </cell>
          <cell r="R169">
            <v>1.865</v>
          </cell>
          <cell r="S169">
            <v>6.3E-2</v>
          </cell>
          <cell r="T169">
            <v>6.0999999999999999E-2</v>
          </cell>
          <cell r="V169">
            <v>6.0999999999999999E-2</v>
          </cell>
          <cell r="X169">
            <v>3292</v>
          </cell>
          <cell r="Y169">
            <v>4</v>
          </cell>
          <cell r="Z169">
            <v>441.05037513397639</v>
          </cell>
          <cell r="AA169" t="str">
            <v>1.866X0.063-316L</v>
          </cell>
          <cell r="AB169" t="str">
            <v>WAAF004740160B300035</v>
          </cell>
          <cell r="AC169" t="str">
            <v>D1910001</v>
          </cell>
          <cell r="AD169">
            <v>8870977</v>
          </cell>
          <cell r="AE169">
            <v>1.7999999999999999E-2</v>
          </cell>
          <cell r="AF169">
            <v>1.66</v>
          </cell>
          <cell r="AG169">
            <v>3.5000000000000003E-2</v>
          </cell>
          <cell r="AH169">
            <v>1E-4</v>
          </cell>
          <cell r="AI169">
            <v>0.38</v>
          </cell>
          <cell r="AJ169">
            <v>16.7</v>
          </cell>
          <cell r="AK169">
            <v>10.119999999999999</v>
          </cell>
          <cell r="AL169">
            <v>0.05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Y169" t="str">
            <v/>
          </cell>
          <cell r="AZ169">
            <v>1.68</v>
          </cell>
          <cell r="BA169" t="str">
            <v>D1910001</v>
          </cell>
          <cell r="BB169" t="str">
            <v>CONFORM</v>
          </cell>
          <cell r="BC169" t="str">
            <v>CONFORM</v>
          </cell>
          <cell r="BD169" t="str">
            <v>CONFORM</v>
          </cell>
          <cell r="BE169" t="str">
            <v>CONFORM</v>
          </cell>
          <cell r="BF169" t="str">
            <v>CONFORM</v>
          </cell>
        </row>
        <row r="170">
          <cell r="A170">
            <v>43739</v>
          </cell>
          <cell r="B170" t="str">
            <v>D1910001-4</v>
          </cell>
          <cell r="C170" t="str">
            <v>023/19</v>
          </cell>
          <cell r="D170">
            <v>3</v>
          </cell>
          <cell r="E170" t="str">
            <v>OCTOBER 2019</v>
          </cell>
          <cell r="F170" t="str">
            <v>DC</v>
          </cell>
          <cell r="G170" t="str">
            <v>On Time</v>
          </cell>
          <cell r="H170" t="str">
            <v>L310423</v>
          </cell>
          <cell r="I170">
            <v>43738</v>
          </cell>
          <cell r="J170" t="str">
            <v>ATI</v>
          </cell>
          <cell r="K170" t="str">
            <v>D1910001</v>
          </cell>
          <cell r="L170">
            <v>4</v>
          </cell>
          <cell r="M170" t="str">
            <v>AAC76361-BB</v>
          </cell>
          <cell r="N170">
            <v>8870977</v>
          </cell>
          <cell r="O170" t="str">
            <v xml:space="preserve">1.4401/1.4404 TP316/316L </v>
          </cell>
          <cell r="P170" t="str">
            <v>316L</v>
          </cell>
          <cell r="Q170">
            <v>1.8660000000000001</v>
          </cell>
          <cell r="R170">
            <v>1.865</v>
          </cell>
          <cell r="S170">
            <v>6.3E-2</v>
          </cell>
          <cell r="T170">
            <v>6.2E-2</v>
          </cell>
          <cell r="V170">
            <v>6.2E-2</v>
          </cell>
          <cell r="X170">
            <v>3350</v>
          </cell>
          <cell r="Y170">
            <v>4</v>
          </cell>
          <cell r="Z170">
            <v>448.82100750267949</v>
          </cell>
          <cell r="AA170" t="str">
            <v>1.866X0.063-316L</v>
          </cell>
          <cell r="AB170" t="str">
            <v>WAAF004740160B300035</v>
          </cell>
          <cell r="AC170" t="str">
            <v>D1910001</v>
          </cell>
          <cell r="AD170">
            <v>8870977</v>
          </cell>
          <cell r="AE170">
            <v>1.7999999999999999E-2</v>
          </cell>
          <cell r="AF170">
            <v>1.66</v>
          </cell>
          <cell r="AG170">
            <v>3.5000000000000003E-2</v>
          </cell>
          <cell r="AH170">
            <v>1E-4</v>
          </cell>
          <cell r="AI170">
            <v>0.38</v>
          </cell>
          <cell r="AJ170">
            <v>16.7</v>
          </cell>
          <cell r="AK170">
            <v>10.119999999999999</v>
          </cell>
          <cell r="AL170">
            <v>0.05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Y170" t="str">
            <v/>
          </cell>
          <cell r="AZ170">
            <v>1.68</v>
          </cell>
          <cell r="BA170" t="str">
            <v>D1910001</v>
          </cell>
          <cell r="BB170" t="str">
            <v>CONFORM</v>
          </cell>
          <cell r="BC170" t="str">
            <v>CONFORM</v>
          </cell>
          <cell r="BD170" t="str">
            <v>CONFORM</v>
          </cell>
          <cell r="BE170" t="str">
            <v>CONFORM</v>
          </cell>
          <cell r="BF170" t="str">
            <v>CONFORM</v>
          </cell>
        </row>
        <row r="171">
          <cell r="A171">
            <v>43739</v>
          </cell>
          <cell r="B171" t="str">
            <v>D1910001-5</v>
          </cell>
          <cell r="C171" t="str">
            <v>023/19</v>
          </cell>
          <cell r="D171">
            <v>3</v>
          </cell>
          <cell r="E171" t="str">
            <v>OCTOBER 2019</v>
          </cell>
          <cell r="F171" t="str">
            <v>DC</v>
          </cell>
          <cell r="G171" t="str">
            <v>On Time</v>
          </cell>
          <cell r="H171" t="str">
            <v>L310423</v>
          </cell>
          <cell r="I171">
            <v>43738</v>
          </cell>
          <cell r="J171" t="str">
            <v>ATI</v>
          </cell>
          <cell r="K171" t="str">
            <v>D1910001</v>
          </cell>
          <cell r="L171">
            <v>5</v>
          </cell>
          <cell r="M171" t="str">
            <v>AAC76361-CB</v>
          </cell>
          <cell r="N171">
            <v>8870977</v>
          </cell>
          <cell r="O171" t="str">
            <v xml:space="preserve">1.4401/1.4404 TP316/316L </v>
          </cell>
          <cell r="P171" t="str">
            <v>316L</v>
          </cell>
          <cell r="Q171">
            <v>1.8660000000000001</v>
          </cell>
          <cell r="R171">
            <v>1.8640000000000001</v>
          </cell>
          <cell r="S171">
            <v>6.3E-2</v>
          </cell>
          <cell r="T171">
            <v>6.0999999999999999E-2</v>
          </cell>
          <cell r="V171">
            <v>6.0999999999999999E-2</v>
          </cell>
          <cell r="X171">
            <v>2452</v>
          </cell>
          <cell r="Y171">
            <v>3</v>
          </cell>
          <cell r="Z171">
            <v>438.0135762772419</v>
          </cell>
          <cell r="AA171" t="str">
            <v>1.866X0.063-316L</v>
          </cell>
          <cell r="AB171" t="str">
            <v>WAAF004740160B300035</v>
          </cell>
          <cell r="AC171" t="str">
            <v>D1910001</v>
          </cell>
          <cell r="AD171">
            <v>8870977</v>
          </cell>
          <cell r="AE171">
            <v>1.7999999999999999E-2</v>
          </cell>
          <cell r="AF171">
            <v>1.66</v>
          </cell>
          <cell r="AG171">
            <v>3.5000000000000003E-2</v>
          </cell>
          <cell r="AH171">
            <v>1E-4</v>
          </cell>
          <cell r="AI171">
            <v>0.38</v>
          </cell>
          <cell r="AJ171">
            <v>16.7</v>
          </cell>
          <cell r="AK171">
            <v>10.119999999999999</v>
          </cell>
          <cell r="AL171">
            <v>0.05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Y171" t="str">
            <v/>
          </cell>
          <cell r="AZ171">
            <v>1.68</v>
          </cell>
          <cell r="BA171" t="str">
            <v>D1910001</v>
          </cell>
          <cell r="BB171" t="str">
            <v>CONFORM</v>
          </cell>
          <cell r="BC171" t="str">
            <v>CONFORM</v>
          </cell>
          <cell r="BD171" t="str">
            <v>CONFORM</v>
          </cell>
          <cell r="BE171" t="str">
            <v>CONFORM</v>
          </cell>
          <cell r="BF171" t="str">
            <v>CONFORM</v>
          </cell>
        </row>
        <row r="172">
          <cell r="A172">
            <v>43739</v>
          </cell>
          <cell r="B172" t="str">
            <v>D1910001-6</v>
          </cell>
          <cell r="C172" t="str">
            <v>023/19</v>
          </cell>
          <cell r="D172">
            <v>3</v>
          </cell>
          <cell r="E172" t="str">
            <v>OCTOBER 2019</v>
          </cell>
          <cell r="F172" t="str">
            <v>DC</v>
          </cell>
          <cell r="G172" t="str">
            <v>On Time</v>
          </cell>
          <cell r="H172" t="str">
            <v>L310423</v>
          </cell>
          <cell r="I172">
            <v>43738</v>
          </cell>
          <cell r="J172" t="str">
            <v>ATI</v>
          </cell>
          <cell r="K172" t="str">
            <v>D1910001</v>
          </cell>
          <cell r="L172">
            <v>6</v>
          </cell>
          <cell r="M172" t="str">
            <v>AAC76361-CB</v>
          </cell>
          <cell r="N172">
            <v>8870977</v>
          </cell>
          <cell r="O172" t="str">
            <v xml:space="preserve">1.4401/1.4404 TP316/316L </v>
          </cell>
          <cell r="P172" t="str">
            <v>316L</v>
          </cell>
          <cell r="Q172">
            <v>1.8660000000000001</v>
          </cell>
          <cell r="R172">
            <v>1.8640000000000001</v>
          </cell>
          <cell r="S172">
            <v>6.3E-2</v>
          </cell>
          <cell r="T172">
            <v>6.2E-2</v>
          </cell>
          <cell r="V172">
            <v>6.2E-2</v>
          </cell>
          <cell r="X172">
            <v>2492</v>
          </cell>
          <cell r="Y172">
            <v>3</v>
          </cell>
          <cell r="Z172">
            <v>445.15898535191133</v>
          </cell>
          <cell r="AA172" t="str">
            <v>1.866X0.063-316L</v>
          </cell>
          <cell r="AB172" t="str">
            <v>WAAF004740160B300035</v>
          </cell>
          <cell r="AC172" t="str">
            <v>D1910001</v>
          </cell>
          <cell r="AD172">
            <v>8870977</v>
          </cell>
          <cell r="AE172">
            <v>1.7999999999999999E-2</v>
          </cell>
          <cell r="AF172">
            <v>1.66</v>
          </cell>
          <cell r="AG172">
            <v>3.5000000000000003E-2</v>
          </cell>
          <cell r="AH172">
            <v>1E-4</v>
          </cell>
          <cell r="AI172">
            <v>0.38</v>
          </cell>
          <cell r="AJ172">
            <v>16.7</v>
          </cell>
          <cell r="AK172">
            <v>10.119999999999999</v>
          </cell>
          <cell r="AL172">
            <v>0.05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Y172" t="str">
            <v/>
          </cell>
          <cell r="AZ172">
            <v>1.68</v>
          </cell>
          <cell r="BA172" t="str">
            <v>D1910001</v>
          </cell>
          <cell r="BB172" t="str">
            <v>CONFORM</v>
          </cell>
          <cell r="BC172" t="str">
            <v>CONFORM</v>
          </cell>
          <cell r="BD172" t="str">
            <v>CONFORM</v>
          </cell>
          <cell r="BE172" t="str">
            <v>CONFORM</v>
          </cell>
          <cell r="BF172" t="str">
            <v>CONFORM</v>
          </cell>
        </row>
        <row r="173">
          <cell r="A173">
            <v>43739</v>
          </cell>
          <cell r="B173" t="str">
            <v>D1910002-1</v>
          </cell>
          <cell r="C173" t="str">
            <v>023/19</v>
          </cell>
          <cell r="D173">
            <v>4</v>
          </cell>
          <cell r="E173" t="str">
            <v>OCTOBER 2019</v>
          </cell>
          <cell r="F173" t="str">
            <v>DC</v>
          </cell>
          <cell r="G173" t="str">
            <v>On Time</v>
          </cell>
          <cell r="H173" t="str">
            <v>L310423</v>
          </cell>
          <cell r="I173">
            <v>43738</v>
          </cell>
          <cell r="J173" t="str">
            <v>ATI</v>
          </cell>
          <cell r="K173" t="str">
            <v>D1910002</v>
          </cell>
          <cell r="L173">
            <v>1</v>
          </cell>
          <cell r="M173" t="str">
            <v>AAC76361-AA</v>
          </cell>
          <cell r="N173">
            <v>8870977</v>
          </cell>
          <cell r="O173" t="str">
            <v xml:space="preserve">1.4401/1.4404 TP316/316L </v>
          </cell>
          <cell r="P173" t="str">
            <v>316L</v>
          </cell>
          <cell r="Q173">
            <v>2.2759999999999998</v>
          </cell>
          <cell r="R173">
            <v>2.2709999999999999</v>
          </cell>
          <cell r="S173">
            <v>6.3E-2</v>
          </cell>
          <cell r="T173">
            <v>6.0999999999999999E-2</v>
          </cell>
          <cell r="V173">
            <v>6.0999999999999999E-2</v>
          </cell>
          <cell r="X173">
            <v>3926</v>
          </cell>
          <cell r="Y173">
            <v>4</v>
          </cell>
          <cell r="Z173">
            <v>431.23901581722322</v>
          </cell>
          <cell r="AA173" t="str">
            <v>2.276X0.063-316L</v>
          </cell>
          <cell r="AB173" t="str">
            <v>WAAF005780160B300013</v>
          </cell>
          <cell r="AC173" t="str">
            <v>D1910002</v>
          </cell>
          <cell r="AD173">
            <v>8870977</v>
          </cell>
          <cell r="AE173">
            <v>1.7999999999999999E-2</v>
          </cell>
          <cell r="AF173">
            <v>1.66</v>
          </cell>
          <cell r="AG173">
            <v>3.5000000000000003E-2</v>
          </cell>
          <cell r="AH173">
            <v>1E-4</v>
          </cell>
          <cell r="AI173">
            <v>0.38</v>
          </cell>
          <cell r="AJ173">
            <v>16.7</v>
          </cell>
          <cell r="AK173">
            <v>10.119999999999999</v>
          </cell>
          <cell r="AL173">
            <v>0.05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Y173" t="str">
            <v/>
          </cell>
          <cell r="AZ173">
            <v>1.68</v>
          </cell>
          <cell r="BA173" t="str">
            <v>D1910002</v>
          </cell>
          <cell r="BB173" t="str">
            <v>CONFORM</v>
          </cell>
          <cell r="BC173" t="str">
            <v>CONFORM</v>
          </cell>
          <cell r="BD173" t="str">
            <v>CONFORM</v>
          </cell>
          <cell r="BE173" t="str">
            <v>CONFORM</v>
          </cell>
          <cell r="BF173" t="str">
            <v>CONFORM</v>
          </cell>
        </row>
        <row r="174">
          <cell r="A174">
            <v>43739</v>
          </cell>
          <cell r="B174" t="str">
            <v>D1910002-2</v>
          </cell>
          <cell r="C174" t="str">
            <v>023/19</v>
          </cell>
          <cell r="D174">
            <v>4</v>
          </cell>
          <cell r="E174" t="str">
            <v>OCTOBER 2019</v>
          </cell>
          <cell r="F174" t="str">
            <v>DC</v>
          </cell>
          <cell r="G174" t="str">
            <v>On Time</v>
          </cell>
          <cell r="H174" t="str">
            <v>L310423</v>
          </cell>
          <cell r="I174">
            <v>43738</v>
          </cell>
          <cell r="J174" t="str">
            <v>ATI</v>
          </cell>
          <cell r="K174" t="str">
            <v>D1910002</v>
          </cell>
          <cell r="L174">
            <v>2</v>
          </cell>
          <cell r="M174" t="str">
            <v>AAC76361-AA</v>
          </cell>
          <cell r="N174">
            <v>8870977</v>
          </cell>
          <cell r="O174" t="str">
            <v xml:space="preserve">1.4401/1.4404 TP316/316L </v>
          </cell>
          <cell r="P174" t="str">
            <v>316L</v>
          </cell>
          <cell r="Q174">
            <v>2.2759999999999998</v>
          </cell>
          <cell r="R174">
            <v>2.2709999999999999</v>
          </cell>
          <cell r="S174">
            <v>6.3E-2</v>
          </cell>
          <cell r="T174">
            <v>6.2E-2</v>
          </cell>
          <cell r="V174">
            <v>6.2E-2</v>
          </cell>
          <cell r="X174">
            <v>4096</v>
          </cell>
          <cell r="Y174">
            <v>4</v>
          </cell>
          <cell r="Z174">
            <v>449.91212653778564</v>
          </cell>
          <cell r="AA174" t="str">
            <v>2.276X0.063-316L</v>
          </cell>
          <cell r="AB174" t="str">
            <v>WAAF005780160B300013</v>
          </cell>
          <cell r="AC174" t="str">
            <v>D1910002</v>
          </cell>
          <cell r="AD174">
            <v>8870977</v>
          </cell>
          <cell r="AE174">
            <v>1.7999999999999999E-2</v>
          </cell>
          <cell r="AF174">
            <v>1.66</v>
          </cell>
          <cell r="AG174">
            <v>3.5000000000000003E-2</v>
          </cell>
          <cell r="AH174">
            <v>1E-4</v>
          </cell>
          <cell r="AI174">
            <v>0.38</v>
          </cell>
          <cell r="AJ174">
            <v>16.7</v>
          </cell>
          <cell r="AK174">
            <v>10.119999999999999</v>
          </cell>
          <cell r="AL174">
            <v>0.05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Y174" t="str">
            <v/>
          </cell>
          <cell r="AZ174">
            <v>1.68</v>
          </cell>
          <cell r="BA174" t="str">
            <v>D1910002</v>
          </cell>
          <cell r="BB174" t="str">
            <v>CONFORM</v>
          </cell>
          <cell r="BC174" t="str">
            <v>CONFORM</v>
          </cell>
          <cell r="BD174" t="str">
            <v>CONFORM</v>
          </cell>
          <cell r="BE174" t="str">
            <v>CONFORM</v>
          </cell>
          <cell r="BF174" t="str">
            <v>CONFORM</v>
          </cell>
        </row>
        <row r="175">
          <cell r="A175">
            <v>43739</v>
          </cell>
          <cell r="B175" t="str">
            <v>D1910002-3</v>
          </cell>
          <cell r="C175" t="str">
            <v>023/19</v>
          </cell>
          <cell r="D175">
            <v>4</v>
          </cell>
          <cell r="E175" t="str">
            <v>OCTOBER 2019</v>
          </cell>
          <cell r="F175" t="str">
            <v>DC</v>
          </cell>
          <cell r="G175" t="str">
            <v>On Time</v>
          </cell>
          <cell r="H175" t="str">
            <v>L310423</v>
          </cell>
          <cell r="I175">
            <v>43738</v>
          </cell>
          <cell r="J175" t="str">
            <v>ATI</v>
          </cell>
          <cell r="K175" t="str">
            <v>D1910002</v>
          </cell>
          <cell r="L175">
            <v>3</v>
          </cell>
          <cell r="M175" t="str">
            <v>AAC76361-BA</v>
          </cell>
          <cell r="N175">
            <v>8870977</v>
          </cell>
          <cell r="O175" t="str">
            <v xml:space="preserve">1.4401/1.4404 TP316/316L </v>
          </cell>
          <cell r="P175" t="str">
            <v>316L</v>
          </cell>
          <cell r="Q175">
            <v>2.2759999999999998</v>
          </cell>
          <cell r="R175">
            <v>2.274</v>
          </cell>
          <cell r="S175">
            <v>6.3E-2</v>
          </cell>
          <cell r="T175">
            <v>6.0999999999999999E-2</v>
          </cell>
          <cell r="V175">
            <v>6.0999999999999999E-2</v>
          </cell>
          <cell r="X175">
            <v>4014</v>
          </cell>
          <cell r="Y175">
            <v>4</v>
          </cell>
          <cell r="Z175">
            <v>440.90509666080845</v>
          </cell>
          <cell r="AA175" t="str">
            <v>2.276X0.063-316L</v>
          </cell>
          <cell r="AB175" t="str">
            <v>WAAF005780160B300013</v>
          </cell>
          <cell r="AC175" t="str">
            <v>D1910002</v>
          </cell>
          <cell r="AD175">
            <v>8870977</v>
          </cell>
          <cell r="AE175">
            <v>1.7999999999999999E-2</v>
          </cell>
          <cell r="AF175">
            <v>1.66</v>
          </cell>
          <cell r="AG175">
            <v>3.5000000000000003E-2</v>
          </cell>
          <cell r="AH175">
            <v>1E-4</v>
          </cell>
          <cell r="AI175">
            <v>0.38</v>
          </cell>
          <cell r="AJ175">
            <v>16.7</v>
          </cell>
          <cell r="AK175">
            <v>10.119999999999999</v>
          </cell>
          <cell r="AL175">
            <v>0.05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Y175" t="str">
            <v/>
          </cell>
          <cell r="AZ175">
            <v>1.68</v>
          </cell>
          <cell r="BA175" t="str">
            <v>D1910002</v>
          </cell>
          <cell r="BB175" t="str">
            <v>CONFORM</v>
          </cell>
          <cell r="BC175" t="str">
            <v>CONFORM</v>
          </cell>
          <cell r="BD175" t="str">
            <v>CONFORM</v>
          </cell>
          <cell r="BE175" t="str">
            <v>CONFORM</v>
          </cell>
          <cell r="BF175" t="str">
            <v>CONFORM</v>
          </cell>
        </row>
        <row r="176">
          <cell r="A176">
            <v>43739</v>
          </cell>
          <cell r="B176" t="str">
            <v>D1910002-4</v>
          </cell>
          <cell r="C176" t="str">
            <v>023/19</v>
          </cell>
          <cell r="D176">
            <v>4</v>
          </cell>
          <cell r="E176" t="str">
            <v>OCTOBER 2019</v>
          </cell>
          <cell r="F176" t="str">
            <v>DC</v>
          </cell>
          <cell r="G176" t="str">
            <v>On Time</v>
          </cell>
          <cell r="H176" t="str">
            <v>L310423</v>
          </cell>
          <cell r="I176">
            <v>43738</v>
          </cell>
          <cell r="J176" t="str">
            <v>ATI</v>
          </cell>
          <cell r="K176" t="str">
            <v>D1910002</v>
          </cell>
          <cell r="L176">
            <v>4</v>
          </cell>
          <cell r="M176" t="str">
            <v>AAC76361-BA</v>
          </cell>
          <cell r="N176">
            <v>8870977</v>
          </cell>
          <cell r="O176" t="str">
            <v xml:space="preserve">1.4401/1.4404 TP316/316L </v>
          </cell>
          <cell r="P176" t="str">
            <v>316L</v>
          </cell>
          <cell r="Q176">
            <v>2.2759999999999998</v>
          </cell>
          <cell r="R176">
            <v>2.278</v>
          </cell>
          <cell r="S176">
            <v>6.3E-2</v>
          </cell>
          <cell r="T176">
            <v>6.0999999999999999E-2</v>
          </cell>
          <cell r="V176">
            <v>6.0999999999999999E-2</v>
          </cell>
          <cell r="X176">
            <v>4090</v>
          </cell>
          <cell r="Y176">
            <v>4</v>
          </cell>
          <cell r="Z176">
            <v>449.25307557117753</v>
          </cell>
          <cell r="AA176" t="str">
            <v>2.276X0.063-316L</v>
          </cell>
          <cell r="AB176" t="str">
            <v>WAAF005780160B300013</v>
          </cell>
          <cell r="AC176" t="str">
            <v>D1910002</v>
          </cell>
          <cell r="AD176">
            <v>8870977</v>
          </cell>
          <cell r="AE176">
            <v>1.7999999999999999E-2</v>
          </cell>
          <cell r="AF176">
            <v>1.66</v>
          </cell>
          <cell r="AG176">
            <v>3.5000000000000003E-2</v>
          </cell>
          <cell r="AH176">
            <v>1E-4</v>
          </cell>
          <cell r="AI176">
            <v>0.38</v>
          </cell>
          <cell r="AJ176">
            <v>16.7</v>
          </cell>
          <cell r="AK176">
            <v>10.119999999999999</v>
          </cell>
          <cell r="AL176">
            <v>0.05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Y176" t="str">
            <v/>
          </cell>
          <cell r="AZ176">
            <v>1.68</v>
          </cell>
          <cell r="BA176" t="str">
            <v>D1910002</v>
          </cell>
          <cell r="BB176" t="str">
            <v>CONFORM</v>
          </cell>
          <cell r="BC176" t="str">
            <v>CONFORM</v>
          </cell>
          <cell r="BD176" t="str">
            <v>CONFORM</v>
          </cell>
          <cell r="BE176" t="str">
            <v>CONFORM</v>
          </cell>
          <cell r="BF176" t="str">
            <v>CONFORM</v>
          </cell>
        </row>
        <row r="177">
          <cell r="A177">
            <v>43739</v>
          </cell>
          <cell r="B177" t="str">
            <v>D1910002-5</v>
          </cell>
          <cell r="C177" t="str">
            <v>023/19</v>
          </cell>
          <cell r="D177">
            <v>4</v>
          </cell>
          <cell r="E177" t="str">
            <v>OCTOBER 2019</v>
          </cell>
          <cell r="F177" t="str">
            <v>DC</v>
          </cell>
          <cell r="G177" t="str">
            <v>On Time</v>
          </cell>
          <cell r="H177" t="str">
            <v>L310423</v>
          </cell>
          <cell r="I177">
            <v>43738</v>
          </cell>
          <cell r="J177" t="str">
            <v>ATI</v>
          </cell>
          <cell r="K177" t="str">
            <v>D1910002</v>
          </cell>
          <cell r="L177">
            <v>5</v>
          </cell>
          <cell r="M177" t="str">
            <v>AAC76361-CA</v>
          </cell>
          <cell r="N177">
            <v>8870977</v>
          </cell>
          <cell r="O177" t="str">
            <v xml:space="preserve">1.4401/1.4404 TP316/316L </v>
          </cell>
          <cell r="P177" t="str">
            <v>316L</v>
          </cell>
          <cell r="Q177">
            <v>2.2759999999999998</v>
          </cell>
          <cell r="R177">
            <v>2.2759999999999998</v>
          </cell>
          <cell r="S177">
            <v>6.3E-2</v>
          </cell>
          <cell r="T177">
            <v>6.0999999999999999E-2</v>
          </cell>
          <cell r="V177">
            <v>6.0999999999999999E-2</v>
          </cell>
          <cell r="X177">
            <v>3954</v>
          </cell>
          <cell r="Y177">
            <v>4</v>
          </cell>
          <cell r="Z177">
            <v>434.31458699472762</v>
          </cell>
          <cell r="AA177" t="str">
            <v>2.276X0.063-316L</v>
          </cell>
          <cell r="AB177" t="str">
            <v>WAAF005780160B300013</v>
          </cell>
          <cell r="AC177" t="str">
            <v>D1910002</v>
          </cell>
          <cell r="AD177">
            <v>8870977</v>
          </cell>
          <cell r="AE177">
            <v>1.7999999999999999E-2</v>
          </cell>
          <cell r="AF177">
            <v>1.66</v>
          </cell>
          <cell r="AG177">
            <v>3.5000000000000003E-2</v>
          </cell>
          <cell r="AH177">
            <v>1E-4</v>
          </cell>
          <cell r="AI177">
            <v>0.38</v>
          </cell>
          <cell r="AJ177">
            <v>16.7</v>
          </cell>
          <cell r="AK177">
            <v>10.119999999999999</v>
          </cell>
          <cell r="AL177">
            <v>0.05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Y177" t="str">
            <v/>
          </cell>
          <cell r="AZ177">
            <v>1.68</v>
          </cell>
          <cell r="BA177" t="str">
            <v>D1910002</v>
          </cell>
          <cell r="BB177" t="str">
            <v>CONFORM</v>
          </cell>
          <cell r="BC177" t="str">
            <v>CONFORM</v>
          </cell>
          <cell r="BD177" t="str">
            <v>CONFORM</v>
          </cell>
          <cell r="BE177" t="str">
            <v>CONFORM</v>
          </cell>
          <cell r="BF177" t="str">
            <v>CONFORM</v>
          </cell>
        </row>
        <row r="178">
          <cell r="A178">
            <v>43739</v>
          </cell>
          <cell r="B178" t="str">
            <v>D1910002-6</v>
          </cell>
          <cell r="C178" t="str">
            <v>023/19</v>
          </cell>
          <cell r="D178">
            <v>4</v>
          </cell>
          <cell r="E178" t="str">
            <v>OCTOBER 2019</v>
          </cell>
          <cell r="F178" t="str">
            <v>DC</v>
          </cell>
          <cell r="G178" t="str">
            <v>On Time</v>
          </cell>
          <cell r="H178" t="str">
            <v>L310423</v>
          </cell>
          <cell r="I178">
            <v>43738</v>
          </cell>
          <cell r="J178" t="str">
            <v>ATI</v>
          </cell>
          <cell r="K178" t="str">
            <v>D1910002</v>
          </cell>
          <cell r="L178">
            <v>6</v>
          </cell>
          <cell r="M178" t="str">
            <v>AAC76361-CA</v>
          </cell>
          <cell r="N178">
            <v>8870977</v>
          </cell>
          <cell r="O178" t="str">
            <v xml:space="preserve">1.4401/1.4404 TP316/316L </v>
          </cell>
          <cell r="P178" t="str">
            <v>316L</v>
          </cell>
          <cell r="Q178">
            <v>2.2759999999999998</v>
          </cell>
          <cell r="R178">
            <v>2.2749999999999999</v>
          </cell>
          <cell r="S178">
            <v>6.3E-2</v>
          </cell>
          <cell r="T178">
            <v>6.2E-2</v>
          </cell>
          <cell r="V178">
            <v>6.2E-2</v>
          </cell>
          <cell r="X178">
            <v>4018</v>
          </cell>
          <cell r="Y178">
            <v>4</v>
          </cell>
          <cell r="Z178">
            <v>441.34446397188054</v>
          </cell>
          <cell r="AA178" t="str">
            <v>2.276X0.063-316L</v>
          </cell>
          <cell r="AB178" t="str">
            <v>WAAF005780160B300013</v>
          </cell>
          <cell r="AC178" t="str">
            <v>D1910002</v>
          </cell>
          <cell r="AD178">
            <v>8870977</v>
          </cell>
          <cell r="AE178">
            <v>1.7999999999999999E-2</v>
          </cell>
          <cell r="AF178">
            <v>1.66</v>
          </cell>
          <cell r="AG178">
            <v>3.5000000000000003E-2</v>
          </cell>
          <cell r="AH178">
            <v>1E-4</v>
          </cell>
          <cell r="AI178">
            <v>0.38</v>
          </cell>
          <cell r="AJ178">
            <v>16.7</v>
          </cell>
          <cell r="AK178">
            <v>10.119999999999999</v>
          </cell>
          <cell r="AL178">
            <v>0.05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Y178" t="str">
            <v/>
          </cell>
          <cell r="AZ178">
            <v>1.68</v>
          </cell>
          <cell r="BA178" t="str">
            <v>D1910002</v>
          </cell>
          <cell r="BB178" t="str">
            <v>CONFORM</v>
          </cell>
          <cell r="BC178" t="str">
            <v>CONFORM</v>
          </cell>
          <cell r="BD178" t="str">
            <v>CONFORM</v>
          </cell>
          <cell r="BE178" t="str">
            <v>CONFORM</v>
          </cell>
          <cell r="BF178" t="str">
            <v>CONFORM</v>
          </cell>
        </row>
        <row r="179">
          <cell r="A179">
            <v>43740</v>
          </cell>
          <cell r="B179" t="str">
            <v>D1910009-1</v>
          </cell>
          <cell r="C179" t="str">
            <v>023/19</v>
          </cell>
          <cell r="D179">
            <v>1</v>
          </cell>
          <cell r="E179" t="str">
            <v>OCTOBER 2019</v>
          </cell>
          <cell r="F179" t="str">
            <v>DC</v>
          </cell>
          <cell r="G179" t="str">
            <v>On Time</v>
          </cell>
          <cell r="H179" t="str">
            <v>L310634</v>
          </cell>
          <cell r="I179">
            <v>43738</v>
          </cell>
          <cell r="J179" t="str">
            <v>ATI</v>
          </cell>
          <cell r="K179" t="str">
            <v>D1910009</v>
          </cell>
          <cell r="L179">
            <v>1</v>
          </cell>
          <cell r="M179" t="str">
            <v>AAC76359-BB</v>
          </cell>
          <cell r="N179">
            <v>858773</v>
          </cell>
          <cell r="O179" t="str">
            <v xml:space="preserve">1.4401/1.4404 TP316/316L </v>
          </cell>
          <cell r="P179" t="str">
            <v>316L</v>
          </cell>
          <cell r="Q179">
            <v>1.913</v>
          </cell>
          <cell r="R179">
            <v>1.91</v>
          </cell>
          <cell r="S179">
            <v>4.7E-2</v>
          </cell>
          <cell r="T179">
            <v>4.8000000000000001E-2</v>
          </cell>
          <cell r="V179">
            <v>4.8000000000000001E-2</v>
          </cell>
          <cell r="X179">
            <v>5110</v>
          </cell>
          <cell r="Y179">
            <v>3</v>
          </cell>
          <cell r="Z179">
            <v>890.39902422024738</v>
          </cell>
          <cell r="AA179" t="str">
            <v>1.913X0.047-316L</v>
          </cell>
          <cell r="AB179" t="str">
            <v>WAAF004860120B300028</v>
          </cell>
          <cell r="AC179" t="str">
            <v>D1910009</v>
          </cell>
          <cell r="AD179">
            <v>858773</v>
          </cell>
          <cell r="AE179">
            <v>1.7999999999999999E-2</v>
          </cell>
          <cell r="AF179">
            <v>1.66</v>
          </cell>
          <cell r="AG179">
            <v>3.5000000000000003E-2</v>
          </cell>
          <cell r="AH179">
            <v>1E-4</v>
          </cell>
          <cell r="AI179">
            <v>0.38</v>
          </cell>
          <cell r="AJ179">
            <v>16.7</v>
          </cell>
          <cell r="AK179">
            <v>10.119999999999999</v>
          </cell>
          <cell r="AL179">
            <v>0.05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Y179" t="str">
            <v/>
          </cell>
          <cell r="AZ179">
            <v>1.69</v>
          </cell>
          <cell r="BA179" t="str">
            <v>D1910009</v>
          </cell>
          <cell r="BB179" t="str">
            <v>CONFORM</v>
          </cell>
          <cell r="BC179" t="str">
            <v>CONFORM</v>
          </cell>
          <cell r="BD179" t="str">
            <v>CONFORM</v>
          </cell>
          <cell r="BE179" t="str">
            <v>CONFORM</v>
          </cell>
          <cell r="BF179" t="str">
            <v>CONFORM</v>
          </cell>
        </row>
        <row r="180">
          <cell r="A180">
            <v>43740</v>
          </cell>
          <cell r="B180" t="str">
            <v>D1910009-2</v>
          </cell>
          <cell r="C180" t="str">
            <v>023/19</v>
          </cell>
          <cell r="D180">
            <v>1</v>
          </cell>
          <cell r="E180" t="str">
            <v>OCTOBER 2019</v>
          </cell>
          <cell r="F180" t="str">
            <v>DC</v>
          </cell>
          <cell r="G180" t="str">
            <v>On Time</v>
          </cell>
          <cell r="H180" t="str">
            <v>L310634</v>
          </cell>
          <cell r="I180">
            <v>43738</v>
          </cell>
          <cell r="J180" t="str">
            <v>ATI</v>
          </cell>
          <cell r="K180" t="str">
            <v>D1910009</v>
          </cell>
          <cell r="L180">
            <v>2</v>
          </cell>
          <cell r="M180" t="str">
            <v>AAC76359-BB</v>
          </cell>
          <cell r="N180">
            <v>858773</v>
          </cell>
          <cell r="O180" t="str">
            <v xml:space="preserve">1.4401/1.4404 TP316/316L </v>
          </cell>
          <cell r="P180" t="str">
            <v>316L</v>
          </cell>
          <cell r="Q180">
            <v>1.913</v>
          </cell>
          <cell r="R180">
            <v>1.911</v>
          </cell>
          <cell r="S180">
            <v>4.7E-2</v>
          </cell>
          <cell r="T180">
            <v>4.8000000000000001E-2</v>
          </cell>
          <cell r="V180">
            <v>4.8000000000000001E-2</v>
          </cell>
          <cell r="X180">
            <v>5100</v>
          </cell>
          <cell r="Y180">
            <v>3</v>
          </cell>
          <cell r="Z180">
            <v>888.65656037637223</v>
          </cell>
          <cell r="AA180" t="str">
            <v>1.913X0.047-316L</v>
          </cell>
          <cell r="AB180" t="str">
            <v>WAAF004860120B300028</v>
          </cell>
          <cell r="AC180" t="str">
            <v>D1910009</v>
          </cell>
          <cell r="AD180">
            <v>858773</v>
          </cell>
          <cell r="AE180">
            <v>1.7999999999999999E-2</v>
          </cell>
          <cell r="AF180">
            <v>1.66</v>
          </cell>
          <cell r="AG180">
            <v>3.5000000000000003E-2</v>
          </cell>
          <cell r="AH180">
            <v>1E-4</v>
          </cell>
          <cell r="AI180">
            <v>0.38</v>
          </cell>
          <cell r="AJ180">
            <v>16.7</v>
          </cell>
          <cell r="AK180">
            <v>10.119999999999999</v>
          </cell>
          <cell r="AL180">
            <v>0.05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Y180" t="str">
            <v/>
          </cell>
          <cell r="AZ180">
            <v>1.69</v>
          </cell>
          <cell r="BA180" t="str">
            <v>D1910009</v>
          </cell>
          <cell r="BB180" t="str">
            <v>CONFORM</v>
          </cell>
          <cell r="BC180" t="str">
            <v>CONFORM</v>
          </cell>
          <cell r="BD180" t="str">
            <v>CONFORM</v>
          </cell>
          <cell r="BE180" t="str">
            <v>CONFORM</v>
          </cell>
          <cell r="BF180" t="str">
            <v>CONFORM</v>
          </cell>
        </row>
        <row r="181">
          <cell r="A181">
            <v>43740</v>
          </cell>
          <cell r="B181" t="str">
            <v>D1910009-3</v>
          </cell>
          <cell r="C181" t="str">
            <v>023/19</v>
          </cell>
          <cell r="D181">
            <v>1</v>
          </cell>
          <cell r="E181" t="str">
            <v>OCTOBER 2019</v>
          </cell>
          <cell r="F181" t="str">
            <v>DC</v>
          </cell>
          <cell r="G181" t="str">
            <v>On Time</v>
          </cell>
          <cell r="H181" t="str">
            <v>L310634</v>
          </cell>
          <cell r="I181">
            <v>43738</v>
          </cell>
          <cell r="J181" t="str">
            <v>ATI</v>
          </cell>
          <cell r="K181" t="str">
            <v>D1910009</v>
          </cell>
          <cell r="L181">
            <v>3</v>
          </cell>
          <cell r="M181" t="str">
            <v>AAC76539-AB</v>
          </cell>
          <cell r="N181">
            <v>858773</v>
          </cell>
          <cell r="O181" t="str">
            <v xml:space="preserve">1.4401/1.4404 TP316/316L </v>
          </cell>
          <cell r="P181" t="str">
            <v>316L</v>
          </cell>
          <cell r="Q181">
            <v>1.913</v>
          </cell>
          <cell r="R181">
            <v>1.91</v>
          </cell>
          <cell r="S181">
            <v>4.7E-2</v>
          </cell>
          <cell r="T181">
            <v>4.8000000000000001E-2</v>
          </cell>
          <cell r="V181">
            <v>4.8000000000000001E-2</v>
          </cell>
          <cell r="X181">
            <v>5074</v>
          </cell>
          <cell r="Y181">
            <v>3</v>
          </cell>
          <cell r="Z181">
            <v>884.12615438229648</v>
          </cell>
          <cell r="AA181" t="str">
            <v>1.913X0.047-316L</v>
          </cell>
          <cell r="AB181" t="str">
            <v>WAAF004860120B300028</v>
          </cell>
          <cell r="AC181" t="str">
            <v>D1910009</v>
          </cell>
          <cell r="AD181">
            <v>858773</v>
          </cell>
          <cell r="AE181">
            <v>1.7999999999999999E-2</v>
          </cell>
          <cell r="AF181">
            <v>1.66</v>
          </cell>
          <cell r="AG181">
            <v>3.5000000000000003E-2</v>
          </cell>
          <cell r="AH181">
            <v>1E-4</v>
          </cell>
          <cell r="AI181">
            <v>0.38</v>
          </cell>
          <cell r="AJ181">
            <v>16.7</v>
          </cell>
          <cell r="AK181">
            <v>10.119999999999999</v>
          </cell>
          <cell r="AL181">
            <v>0.05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Y181" t="str">
            <v/>
          </cell>
          <cell r="AZ181">
            <v>1.69</v>
          </cell>
          <cell r="BA181" t="str">
            <v>D1910009</v>
          </cell>
          <cell r="BB181" t="str">
            <v>CONFORM</v>
          </cell>
          <cell r="BC181" t="str">
            <v>CONFORM</v>
          </cell>
          <cell r="BD181" t="str">
            <v>CONFORM</v>
          </cell>
          <cell r="BE181" t="str">
            <v>CONFORM</v>
          </cell>
          <cell r="BF181" t="str">
            <v>CONFORM</v>
          </cell>
        </row>
        <row r="182">
          <cell r="A182">
            <v>43740</v>
          </cell>
          <cell r="B182" t="str">
            <v>D1910009-5</v>
          </cell>
          <cell r="C182" t="str">
            <v>023/19</v>
          </cell>
          <cell r="D182">
            <v>1</v>
          </cell>
          <cell r="E182" t="str">
            <v>OCTOBER 2019</v>
          </cell>
          <cell r="F182" t="str">
            <v>DC</v>
          </cell>
          <cell r="G182" t="str">
            <v>On Time</v>
          </cell>
          <cell r="H182" t="str">
            <v>L310634</v>
          </cell>
          <cell r="I182">
            <v>43738</v>
          </cell>
          <cell r="J182" t="str">
            <v>ATI</v>
          </cell>
          <cell r="K182" t="str">
            <v>D1910009</v>
          </cell>
          <cell r="L182">
            <v>5</v>
          </cell>
          <cell r="M182" t="str">
            <v>AAC76539-AB</v>
          </cell>
          <cell r="N182">
            <v>858773</v>
          </cell>
          <cell r="O182" t="str">
            <v xml:space="preserve">1.4401/1.4404 TP316/316L </v>
          </cell>
          <cell r="P182" t="str">
            <v>316L</v>
          </cell>
          <cell r="Q182">
            <v>1.913</v>
          </cell>
          <cell r="R182">
            <v>1.9119999999999999</v>
          </cell>
          <cell r="S182">
            <v>4.7E-2</v>
          </cell>
          <cell r="T182">
            <v>4.5999999999999999E-2</v>
          </cell>
          <cell r="V182">
            <v>4.5999999999999999E-2</v>
          </cell>
          <cell r="X182">
            <v>5090</v>
          </cell>
          <cell r="Y182">
            <v>3</v>
          </cell>
          <cell r="Z182">
            <v>886.91409653249696</v>
          </cell>
          <cell r="AA182" t="str">
            <v>1.913X0.047-316L</v>
          </cell>
          <cell r="AB182" t="str">
            <v>WAAF004860120B300028</v>
          </cell>
          <cell r="AC182" t="str">
            <v>D1910009</v>
          </cell>
          <cell r="AD182">
            <v>858773</v>
          </cell>
          <cell r="AE182">
            <v>1.7999999999999999E-2</v>
          </cell>
          <cell r="AF182">
            <v>1.66</v>
          </cell>
          <cell r="AG182">
            <v>3.5000000000000003E-2</v>
          </cell>
          <cell r="AH182">
            <v>1E-4</v>
          </cell>
          <cell r="AI182">
            <v>0.38</v>
          </cell>
          <cell r="AJ182">
            <v>16.7</v>
          </cell>
          <cell r="AK182">
            <v>10.119999999999999</v>
          </cell>
          <cell r="AL182">
            <v>0.05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Y182" t="str">
            <v/>
          </cell>
          <cell r="AZ182">
            <v>1.69</v>
          </cell>
          <cell r="BA182" t="str">
            <v>D1910009</v>
          </cell>
          <cell r="BB182" t="str">
            <v>CONFORM</v>
          </cell>
          <cell r="BC182" t="str">
            <v>CONFORM</v>
          </cell>
          <cell r="BD182" t="str">
            <v>CONFORM</v>
          </cell>
          <cell r="BE182" t="str">
            <v>CONFORM</v>
          </cell>
          <cell r="BF182" t="str">
            <v>CONFORM</v>
          </cell>
        </row>
        <row r="183">
          <cell r="A183">
            <v>43740</v>
          </cell>
          <cell r="B183" t="str">
            <v>D1910010-1</v>
          </cell>
          <cell r="C183" t="str">
            <v>023/19</v>
          </cell>
          <cell r="D183">
            <v>2</v>
          </cell>
          <cell r="E183" t="str">
            <v>OCTOBER 2019</v>
          </cell>
          <cell r="F183" t="str">
            <v>DC</v>
          </cell>
          <cell r="G183" t="str">
            <v>On Time</v>
          </cell>
          <cell r="H183" t="str">
            <v>L310634</v>
          </cell>
          <cell r="I183">
            <v>43738</v>
          </cell>
          <cell r="J183" t="str">
            <v>ATI</v>
          </cell>
          <cell r="K183" t="str">
            <v>D1910010</v>
          </cell>
          <cell r="L183">
            <v>1</v>
          </cell>
          <cell r="M183" t="str">
            <v>AAC76359-BA</v>
          </cell>
          <cell r="N183">
            <v>858773</v>
          </cell>
          <cell r="O183" t="str">
            <v xml:space="preserve">1.4401/1.4404 TP316/316L </v>
          </cell>
          <cell r="P183" t="str">
            <v>316L</v>
          </cell>
          <cell r="Q183">
            <v>2.323</v>
          </cell>
          <cell r="R183">
            <v>2.3180000000000001</v>
          </cell>
          <cell r="S183">
            <v>4.7E-2</v>
          </cell>
          <cell r="T183">
            <v>4.7E-2</v>
          </cell>
          <cell r="V183">
            <v>4.7E-2</v>
          </cell>
          <cell r="X183">
            <v>4116</v>
          </cell>
          <cell r="Y183">
            <v>2</v>
          </cell>
          <cell r="Z183">
            <v>885.92337494619028</v>
          </cell>
          <cell r="AA183" t="str">
            <v>2.323X0.047-316L</v>
          </cell>
          <cell r="AB183" t="str">
            <v>WAAF005900120B300027</v>
          </cell>
          <cell r="AC183" t="str">
            <v>D1910010</v>
          </cell>
          <cell r="AD183">
            <v>858773</v>
          </cell>
          <cell r="AE183">
            <v>1.7999999999999999E-2</v>
          </cell>
          <cell r="AF183">
            <v>1.66</v>
          </cell>
          <cell r="AG183">
            <v>3.5000000000000003E-2</v>
          </cell>
          <cell r="AH183">
            <v>1E-4</v>
          </cell>
          <cell r="AI183">
            <v>0.38</v>
          </cell>
          <cell r="AJ183">
            <v>16.7</v>
          </cell>
          <cell r="AK183">
            <v>10.119999999999999</v>
          </cell>
          <cell r="AL183">
            <v>0.05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Y183" t="str">
            <v/>
          </cell>
          <cell r="AZ183">
            <v>1.69</v>
          </cell>
          <cell r="BA183" t="str">
            <v>D1910010</v>
          </cell>
          <cell r="BB183" t="str">
            <v>CONFORM</v>
          </cell>
          <cell r="BC183" t="str">
            <v>CONFORM</v>
          </cell>
          <cell r="BD183" t="str">
            <v>CONFORM</v>
          </cell>
          <cell r="BE183" t="str">
            <v>CONFORM</v>
          </cell>
          <cell r="BF183" t="str">
            <v>CONFORM</v>
          </cell>
        </row>
        <row r="184">
          <cell r="A184">
            <v>43740</v>
          </cell>
          <cell r="B184" t="str">
            <v>D1910010-2</v>
          </cell>
          <cell r="C184" t="str">
            <v>023/19</v>
          </cell>
          <cell r="D184">
            <v>2</v>
          </cell>
          <cell r="E184" t="str">
            <v>OCTOBER 2019</v>
          </cell>
          <cell r="F184" t="str">
            <v>DC</v>
          </cell>
          <cell r="G184" t="str">
            <v>On Time</v>
          </cell>
          <cell r="H184" t="str">
            <v>L310634</v>
          </cell>
          <cell r="I184">
            <v>43738</v>
          </cell>
          <cell r="J184" t="str">
            <v>ATI</v>
          </cell>
          <cell r="K184" t="str">
            <v>D1910010</v>
          </cell>
          <cell r="L184">
            <v>2</v>
          </cell>
          <cell r="M184" t="str">
            <v>AAC76359-BA</v>
          </cell>
          <cell r="N184">
            <v>858773</v>
          </cell>
          <cell r="O184" t="str">
            <v xml:space="preserve">1.4401/1.4404 TP316/316L </v>
          </cell>
          <cell r="P184" t="str">
            <v>316L</v>
          </cell>
          <cell r="Q184">
            <v>2.323</v>
          </cell>
          <cell r="R184">
            <v>2.3180000000000001</v>
          </cell>
          <cell r="S184">
            <v>4.7E-2</v>
          </cell>
          <cell r="T184">
            <v>4.7E-2</v>
          </cell>
          <cell r="V184">
            <v>4.7E-2</v>
          </cell>
          <cell r="X184">
            <v>4104</v>
          </cell>
          <cell r="Y184">
            <v>2</v>
          </cell>
          <cell r="Z184">
            <v>883.34050796383985</v>
          </cell>
          <cell r="AA184" t="str">
            <v>2.323X0.047-316L</v>
          </cell>
          <cell r="AB184" t="str">
            <v>WAAF005900120B300027</v>
          </cell>
          <cell r="AC184" t="str">
            <v>D1910010</v>
          </cell>
          <cell r="AD184">
            <v>858773</v>
          </cell>
          <cell r="AE184">
            <v>1.7999999999999999E-2</v>
          </cell>
          <cell r="AF184">
            <v>1.66</v>
          </cell>
          <cell r="AG184">
            <v>3.5000000000000003E-2</v>
          </cell>
          <cell r="AH184">
            <v>1E-4</v>
          </cell>
          <cell r="AI184">
            <v>0.38</v>
          </cell>
          <cell r="AJ184">
            <v>16.7</v>
          </cell>
          <cell r="AK184">
            <v>10.119999999999999</v>
          </cell>
          <cell r="AL184">
            <v>0.05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Y184" t="str">
            <v/>
          </cell>
          <cell r="AZ184">
            <v>1.69</v>
          </cell>
          <cell r="BA184" t="str">
            <v>D1910010</v>
          </cell>
          <cell r="BB184" t="str">
            <v>CONFORM</v>
          </cell>
          <cell r="BC184" t="str">
            <v>CONFORM</v>
          </cell>
          <cell r="BD184" t="str">
            <v>CONFORM</v>
          </cell>
          <cell r="BE184" t="str">
            <v>CONFORM</v>
          </cell>
          <cell r="BF184" t="str">
            <v>CONFORM</v>
          </cell>
        </row>
        <row r="185">
          <cell r="A185">
            <v>43740</v>
          </cell>
          <cell r="B185" t="str">
            <v>D1910010-3</v>
          </cell>
          <cell r="C185" t="str">
            <v>023/19</v>
          </cell>
          <cell r="D185">
            <v>2</v>
          </cell>
          <cell r="E185" t="str">
            <v>OCTOBER 2019</v>
          </cell>
          <cell r="F185" t="str">
            <v>DC</v>
          </cell>
          <cell r="G185" t="str">
            <v>On Time</v>
          </cell>
          <cell r="H185" t="str">
            <v>L310634</v>
          </cell>
          <cell r="I185">
            <v>43738</v>
          </cell>
          <cell r="J185" t="str">
            <v>ATI</v>
          </cell>
          <cell r="K185" t="str">
            <v>D1910010</v>
          </cell>
          <cell r="L185">
            <v>3</v>
          </cell>
          <cell r="M185" t="str">
            <v>AAC76359-BA</v>
          </cell>
          <cell r="N185">
            <v>858773</v>
          </cell>
          <cell r="O185" t="str">
            <v xml:space="preserve">1.4401/1.4404 TP316/316L </v>
          </cell>
          <cell r="P185" t="str">
            <v>316L</v>
          </cell>
          <cell r="Q185">
            <v>2.323</v>
          </cell>
          <cell r="R185">
            <v>2.3220000000000001</v>
          </cell>
          <cell r="S185">
            <v>4.7E-2</v>
          </cell>
          <cell r="T185">
            <v>4.5999999999999999E-2</v>
          </cell>
          <cell r="V185">
            <v>4.5999999999999999E-2</v>
          </cell>
          <cell r="X185">
            <v>2052</v>
          </cell>
          <cell r="Y185">
            <v>1</v>
          </cell>
          <cell r="Z185">
            <v>883.34050796383985</v>
          </cell>
          <cell r="AA185" t="str">
            <v>2.323X0.047-316L</v>
          </cell>
          <cell r="AB185" t="str">
            <v>WAAF005900120B300027</v>
          </cell>
          <cell r="AC185" t="str">
            <v>D1910010</v>
          </cell>
          <cell r="AD185">
            <v>858773</v>
          </cell>
          <cell r="AE185">
            <v>1.7999999999999999E-2</v>
          </cell>
          <cell r="AF185">
            <v>1.66</v>
          </cell>
          <cell r="AG185">
            <v>3.5000000000000003E-2</v>
          </cell>
          <cell r="AH185">
            <v>1E-4</v>
          </cell>
          <cell r="AI185">
            <v>0.38</v>
          </cell>
          <cell r="AJ185">
            <v>16.7</v>
          </cell>
          <cell r="AK185">
            <v>10.119999999999999</v>
          </cell>
          <cell r="AL185">
            <v>0.05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Y185" t="str">
            <v/>
          </cell>
          <cell r="AZ185">
            <v>1.69</v>
          </cell>
          <cell r="BA185" t="str">
            <v>D1910010</v>
          </cell>
          <cell r="BB185" t="str">
            <v>CONFORM</v>
          </cell>
          <cell r="BC185" t="str">
            <v>CONFORM</v>
          </cell>
          <cell r="BD185" t="str">
            <v>CONFORM</v>
          </cell>
          <cell r="BE185" t="str">
            <v>CONFORM</v>
          </cell>
          <cell r="BF185" t="str">
            <v>CONFORM</v>
          </cell>
        </row>
        <row r="186">
          <cell r="A186">
            <v>43740</v>
          </cell>
          <cell r="B186" t="str">
            <v>D1910010-4</v>
          </cell>
          <cell r="C186" t="str">
            <v>023/19</v>
          </cell>
          <cell r="D186">
            <v>2</v>
          </cell>
          <cell r="E186" t="str">
            <v>OCTOBER 2019</v>
          </cell>
          <cell r="F186" t="str">
            <v>DC</v>
          </cell>
          <cell r="G186" t="str">
            <v>On Time</v>
          </cell>
          <cell r="H186" t="str">
            <v>L310634</v>
          </cell>
          <cell r="I186">
            <v>43738</v>
          </cell>
          <cell r="J186" t="str">
            <v>ATI</v>
          </cell>
          <cell r="K186" t="str">
            <v>D1910010</v>
          </cell>
          <cell r="L186">
            <v>4</v>
          </cell>
          <cell r="M186" t="str">
            <v>AAC76359-AA</v>
          </cell>
          <cell r="N186">
            <v>858773</v>
          </cell>
          <cell r="O186" t="str">
            <v xml:space="preserve">1.4401/1.4404 TP316/316L </v>
          </cell>
          <cell r="P186" t="str">
            <v>316L</v>
          </cell>
          <cell r="Q186">
            <v>2.323</v>
          </cell>
          <cell r="R186">
            <v>2.3220000000000001</v>
          </cell>
          <cell r="S186">
            <v>4.7E-2</v>
          </cell>
          <cell r="T186">
            <v>4.5999999999999999E-2</v>
          </cell>
          <cell r="V186">
            <v>4.5999999999999999E-2</v>
          </cell>
          <cell r="X186">
            <v>4132</v>
          </cell>
          <cell r="Y186">
            <v>2</v>
          </cell>
          <cell r="Z186">
            <v>889.36719758932418</v>
          </cell>
          <cell r="AA186" t="str">
            <v>2.323X0.047-316L</v>
          </cell>
          <cell r="AB186" t="str">
            <v>WAAF005900120B300027</v>
          </cell>
          <cell r="AC186" t="str">
            <v>D1910010</v>
          </cell>
          <cell r="AD186">
            <v>858773</v>
          </cell>
          <cell r="AE186">
            <v>1.7999999999999999E-2</v>
          </cell>
          <cell r="AF186">
            <v>1.66</v>
          </cell>
          <cell r="AG186">
            <v>3.5000000000000003E-2</v>
          </cell>
          <cell r="AH186">
            <v>1E-4</v>
          </cell>
          <cell r="AI186">
            <v>0.38</v>
          </cell>
          <cell r="AJ186">
            <v>16.7</v>
          </cell>
          <cell r="AK186">
            <v>10.119999999999999</v>
          </cell>
          <cell r="AL186">
            <v>0.05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Y186" t="str">
            <v/>
          </cell>
          <cell r="AZ186">
            <v>1.69</v>
          </cell>
          <cell r="BA186" t="str">
            <v>D1910010</v>
          </cell>
          <cell r="BB186" t="str">
            <v>CONFORM</v>
          </cell>
          <cell r="BC186" t="str">
            <v>CONFORM</v>
          </cell>
          <cell r="BD186" t="str">
            <v>CONFORM</v>
          </cell>
          <cell r="BE186" t="str">
            <v>CONFORM</v>
          </cell>
          <cell r="BF186" t="str">
            <v>CONFORM</v>
          </cell>
        </row>
        <row r="187">
          <cell r="A187">
            <v>43740</v>
          </cell>
          <cell r="B187" t="str">
            <v>D1910010-5</v>
          </cell>
          <cell r="C187" t="str">
            <v>023/19</v>
          </cell>
          <cell r="D187">
            <v>2</v>
          </cell>
          <cell r="E187" t="str">
            <v>OCTOBER 2019</v>
          </cell>
          <cell r="F187" t="str">
            <v>DC</v>
          </cell>
          <cell r="G187" t="str">
            <v>On Time</v>
          </cell>
          <cell r="H187" t="str">
            <v>L310634</v>
          </cell>
          <cell r="I187">
            <v>43738</v>
          </cell>
          <cell r="J187" t="str">
            <v>ATI</v>
          </cell>
          <cell r="K187" t="str">
            <v>D1910010</v>
          </cell>
          <cell r="L187">
            <v>5</v>
          </cell>
          <cell r="M187" t="str">
            <v>AAC76359-AA</v>
          </cell>
          <cell r="N187">
            <v>858773</v>
          </cell>
          <cell r="O187" t="str">
            <v xml:space="preserve">1.4401/1.4404 TP316/316L </v>
          </cell>
          <cell r="P187" t="str">
            <v>316L</v>
          </cell>
          <cell r="Q187">
            <v>2.323</v>
          </cell>
          <cell r="R187">
            <v>2.323</v>
          </cell>
          <cell r="S187">
            <v>4.7E-2</v>
          </cell>
          <cell r="T187">
            <v>4.8000000000000001E-2</v>
          </cell>
          <cell r="V187">
            <v>4.8000000000000001E-2</v>
          </cell>
          <cell r="X187">
            <v>4142</v>
          </cell>
          <cell r="Y187">
            <v>2</v>
          </cell>
          <cell r="Z187">
            <v>891.51958674128286</v>
          </cell>
          <cell r="AA187" t="str">
            <v>2.323X0.047-316L</v>
          </cell>
          <cell r="AB187" t="str">
            <v>WAAF005900120B300027</v>
          </cell>
          <cell r="AC187" t="str">
            <v>D1910010</v>
          </cell>
          <cell r="AD187">
            <v>858773</v>
          </cell>
          <cell r="AE187">
            <v>1.7999999999999999E-2</v>
          </cell>
          <cell r="AF187">
            <v>1.66</v>
          </cell>
          <cell r="AG187">
            <v>3.5000000000000003E-2</v>
          </cell>
          <cell r="AH187">
            <v>1E-4</v>
          </cell>
          <cell r="AI187">
            <v>0.38</v>
          </cell>
          <cell r="AJ187">
            <v>16.7</v>
          </cell>
          <cell r="AK187">
            <v>10.119999999999999</v>
          </cell>
          <cell r="AL187">
            <v>0.05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Y187" t="str">
            <v/>
          </cell>
          <cell r="AZ187">
            <v>1.69</v>
          </cell>
          <cell r="BA187" t="str">
            <v>D1910010</v>
          </cell>
          <cell r="BB187" t="str">
            <v>CONFORM</v>
          </cell>
          <cell r="BC187" t="str">
            <v>CONFORM</v>
          </cell>
          <cell r="BD187" t="str">
            <v>CONFORM</v>
          </cell>
          <cell r="BE187" t="str">
            <v>CONFORM</v>
          </cell>
          <cell r="BF187" t="str">
            <v>CONFORM</v>
          </cell>
        </row>
        <row r="188">
          <cell r="A188">
            <v>43740</v>
          </cell>
          <cell r="B188" t="str">
            <v>D1910010-6</v>
          </cell>
          <cell r="C188" t="str">
            <v>023/19</v>
          </cell>
          <cell r="D188">
            <v>2</v>
          </cell>
          <cell r="E188" t="str">
            <v>OCTOBER 2019</v>
          </cell>
          <cell r="F188" t="str">
            <v>DC</v>
          </cell>
          <cell r="G188" t="str">
            <v>On Time</v>
          </cell>
          <cell r="H188" t="str">
            <v>L310634</v>
          </cell>
          <cell r="I188">
            <v>43738</v>
          </cell>
          <cell r="J188" t="str">
            <v>ATI</v>
          </cell>
          <cell r="K188" t="str">
            <v>D1910010</v>
          </cell>
          <cell r="L188">
            <v>6</v>
          </cell>
          <cell r="N188">
            <v>858773</v>
          </cell>
          <cell r="O188" t="str">
            <v xml:space="preserve">1.4401/1.4404 TP316/316L </v>
          </cell>
          <cell r="P188" t="str">
            <v>316L</v>
          </cell>
          <cell r="Q188">
            <v>2.323</v>
          </cell>
          <cell r="R188">
            <v>2.3210000000000002</v>
          </cell>
          <cell r="S188">
            <v>4.7E-2</v>
          </cell>
          <cell r="T188">
            <v>4.7E-2</v>
          </cell>
          <cell r="V188">
            <v>4.7E-2</v>
          </cell>
          <cell r="X188">
            <v>4146</v>
          </cell>
          <cell r="Y188">
            <v>2</v>
          </cell>
          <cell r="Z188">
            <v>892.38054240206634</v>
          </cell>
          <cell r="AA188" t="str">
            <v>2.323X0.047-316L</v>
          </cell>
          <cell r="AB188" t="str">
            <v>WAAF005900120B300027</v>
          </cell>
          <cell r="AC188" t="str">
            <v>D1910010</v>
          </cell>
          <cell r="AD188">
            <v>858773</v>
          </cell>
          <cell r="AE188">
            <v>1.7999999999999999E-2</v>
          </cell>
          <cell r="AF188">
            <v>1.66</v>
          </cell>
          <cell r="AG188">
            <v>3.5000000000000003E-2</v>
          </cell>
          <cell r="AH188">
            <v>1E-4</v>
          </cell>
          <cell r="AI188">
            <v>0.38</v>
          </cell>
          <cell r="AJ188">
            <v>16.7</v>
          </cell>
          <cell r="AK188">
            <v>10.119999999999999</v>
          </cell>
          <cell r="AL188">
            <v>0.05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Y188" t="str">
            <v/>
          </cell>
          <cell r="AZ188">
            <v>1.69</v>
          </cell>
          <cell r="BA188" t="str">
            <v>D1910010</v>
          </cell>
          <cell r="BB188" t="str">
            <v>CONFORM</v>
          </cell>
          <cell r="BC188" t="str">
            <v>CONFORM</v>
          </cell>
          <cell r="BD188" t="str">
            <v>CONFORM</v>
          </cell>
          <cell r="BE188" t="str">
            <v>CONFORM</v>
          </cell>
          <cell r="BF188" t="str">
            <v>CONFORM</v>
          </cell>
        </row>
        <row r="189">
          <cell r="A189">
            <v>43759</v>
          </cell>
          <cell r="B189" t="str">
            <v>D1910110-1</v>
          </cell>
          <cell r="C189" t="str">
            <v>032/19</v>
          </cell>
          <cell r="D189">
            <v>3</v>
          </cell>
          <cell r="E189" t="str">
            <v>OCTOBER 2019</v>
          </cell>
          <cell r="F189" t="str">
            <v>DC</v>
          </cell>
          <cell r="G189" t="str">
            <v>Late</v>
          </cell>
          <cell r="H189" t="str">
            <v>25/09/19</v>
          </cell>
          <cell r="I189">
            <v>43733</v>
          </cell>
          <cell r="J189" t="str">
            <v>ADTI</v>
          </cell>
          <cell r="K189" t="str">
            <v>D1910110</v>
          </cell>
          <cell r="L189">
            <v>1</v>
          </cell>
          <cell r="N189">
            <v>591865</v>
          </cell>
          <cell r="O189" t="str">
            <v xml:space="preserve">1.4462 UNS S31803/S32205 </v>
          </cell>
          <cell r="P189" t="str">
            <v>2205</v>
          </cell>
          <cell r="Q189">
            <v>3.8149999999999999</v>
          </cell>
          <cell r="R189">
            <v>3.8170000000000002</v>
          </cell>
          <cell r="S189">
            <v>7.8E-2</v>
          </cell>
          <cell r="T189">
            <v>7.8E-2</v>
          </cell>
          <cell r="V189">
            <v>7.8E-2</v>
          </cell>
          <cell r="X189">
            <v>5463</v>
          </cell>
          <cell r="Y189">
            <v>2</v>
          </cell>
          <cell r="Z189">
            <v>715.98951507208392</v>
          </cell>
          <cell r="AA189" t="str">
            <v>3.815X0.078-2205</v>
          </cell>
          <cell r="AB189" t="str">
            <v>WACN009690200B300043</v>
          </cell>
          <cell r="AC189" t="str">
            <v>D1910110</v>
          </cell>
          <cell r="AD189">
            <v>591865</v>
          </cell>
          <cell r="AE189">
            <v>1.7999999999999999E-2</v>
          </cell>
          <cell r="AF189">
            <v>1.36</v>
          </cell>
          <cell r="AG189">
            <v>2.7E-2</v>
          </cell>
          <cell r="AH189">
            <v>1E-3</v>
          </cell>
          <cell r="AI189">
            <v>0.36</v>
          </cell>
          <cell r="AJ189">
            <v>22.3</v>
          </cell>
          <cell r="AK189">
            <v>5.78</v>
          </cell>
          <cell r="AL189">
            <v>0.18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Y189" t="str">
            <v/>
          </cell>
          <cell r="AZ189">
            <v>2.2105000000000001</v>
          </cell>
          <cell r="BA189" t="str">
            <v>D1910110</v>
          </cell>
          <cell r="BB189" t="str">
            <v>CONFORM</v>
          </cell>
          <cell r="BC189" t="str">
            <v>CONFORM</v>
          </cell>
          <cell r="BD189" t="str">
            <v>CONFORM</v>
          </cell>
          <cell r="BE189" t="str">
            <v>CONFORM</v>
          </cell>
          <cell r="BF189" t="str">
            <v>CONFORM</v>
          </cell>
        </row>
        <row r="190">
          <cell r="A190">
            <v>43759</v>
          </cell>
          <cell r="B190" t="str">
            <v>D1910111-1</v>
          </cell>
          <cell r="C190" t="str">
            <v>032/19</v>
          </cell>
          <cell r="D190">
            <v>4</v>
          </cell>
          <cell r="E190" t="str">
            <v>OCTOBER 2019</v>
          </cell>
          <cell r="F190" t="str">
            <v>DC</v>
          </cell>
          <cell r="G190" t="str">
            <v>Late</v>
          </cell>
          <cell r="H190" t="str">
            <v>25/09/19</v>
          </cell>
          <cell r="I190">
            <v>43733</v>
          </cell>
          <cell r="J190" t="str">
            <v>ADTI</v>
          </cell>
          <cell r="K190" t="str">
            <v>D1910111</v>
          </cell>
          <cell r="L190">
            <v>1</v>
          </cell>
          <cell r="N190">
            <v>591647</v>
          </cell>
          <cell r="O190" t="str">
            <v xml:space="preserve">1.4462 UNS S31803/S32205 </v>
          </cell>
          <cell r="P190" t="str">
            <v>2205</v>
          </cell>
          <cell r="Q190">
            <v>3.8149999999999999</v>
          </cell>
          <cell r="R190">
            <v>3.819</v>
          </cell>
          <cell r="S190">
            <v>7.8E-2</v>
          </cell>
          <cell r="T190">
            <v>7.8E-2</v>
          </cell>
          <cell r="V190">
            <v>7.8E-2</v>
          </cell>
          <cell r="X190">
            <v>5423</v>
          </cell>
          <cell r="Y190">
            <v>2</v>
          </cell>
          <cell r="Z190">
            <v>710.74705111402363</v>
          </cell>
          <cell r="AA190" t="str">
            <v>3.815X0.078-2205</v>
          </cell>
          <cell r="AB190" t="str">
            <v>WACN009690200B300043</v>
          </cell>
          <cell r="AC190" t="str">
            <v>D1910111</v>
          </cell>
          <cell r="AD190">
            <v>591647</v>
          </cell>
          <cell r="AE190">
            <v>1.6E-2</v>
          </cell>
          <cell r="AF190">
            <v>1.34</v>
          </cell>
          <cell r="AG190">
            <v>2.9000000000000001E-2</v>
          </cell>
          <cell r="AH190">
            <v>1E-3</v>
          </cell>
          <cell r="AI190">
            <v>0.41</v>
          </cell>
          <cell r="AJ190">
            <v>22.2</v>
          </cell>
          <cell r="AK190">
            <v>5.67</v>
          </cell>
          <cell r="AL190">
            <v>0.16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Y190" t="str">
            <v/>
          </cell>
          <cell r="AZ190">
            <v>2.2105000000000001</v>
          </cell>
          <cell r="BA190" t="str">
            <v>D1910111</v>
          </cell>
          <cell r="BB190" t="str">
            <v>CONFORM</v>
          </cell>
          <cell r="BC190" t="str">
            <v>CONFORM</v>
          </cell>
          <cell r="BD190" t="str">
            <v>CONFORM</v>
          </cell>
          <cell r="BE190" t="str">
            <v>CONFORM</v>
          </cell>
          <cell r="BF190" t="str">
            <v>CONFORM</v>
          </cell>
        </row>
        <row r="191">
          <cell r="A191">
            <v>43759</v>
          </cell>
          <cell r="B191" t="str">
            <v>D1910112-1</v>
          </cell>
          <cell r="C191" t="str">
            <v>032/19</v>
          </cell>
          <cell r="D191">
            <v>8</v>
          </cell>
          <cell r="E191" t="str">
            <v>OCTOBER 2019</v>
          </cell>
          <cell r="F191" t="str">
            <v>DC</v>
          </cell>
          <cell r="G191" t="str">
            <v>Late</v>
          </cell>
          <cell r="H191" t="str">
            <v>25/09/19</v>
          </cell>
          <cell r="I191">
            <v>43733</v>
          </cell>
          <cell r="J191" t="str">
            <v>ADTI</v>
          </cell>
          <cell r="K191" t="str">
            <v>D1910112</v>
          </cell>
          <cell r="L191">
            <v>1</v>
          </cell>
          <cell r="N191" t="str">
            <v>1810J1346</v>
          </cell>
          <cell r="O191" t="e">
            <v>#N/A</v>
          </cell>
          <cell r="P191" t="str">
            <v>321</v>
          </cell>
          <cell r="Q191">
            <v>4</v>
          </cell>
          <cell r="R191">
            <v>4.0369999999999999</v>
          </cell>
          <cell r="S191">
            <v>0.02</v>
          </cell>
          <cell r="T191">
            <v>1.7999999999999999E-2</v>
          </cell>
          <cell r="V191">
            <v>1.7999999999999999E-2</v>
          </cell>
          <cell r="X191">
            <v>3862</v>
          </cell>
          <cell r="Y191">
            <v>3</v>
          </cell>
          <cell r="Z191">
            <v>321.83333333333331</v>
          </cell>
          <cell r="AA191" t="str">
            <v>4X0.02-321</v>
          </cell>
          <cell r="AB191" t="str">
            <v>WAAJ010160050B300036</v>
          </cell>
          <cell r="AC191" t="str">
            <v>D1910112</v>
          </cell>
          <cell r="AD191" t="str">
            <v>1810J1346</v>
          </cell>
          <cell r="AE191">
            <v>1.7999999999999999E-2</v>
          </cell>
          <cell r="AF191">
            <v>1.72</v>
          </cell>
          <cell r="AG191">
            <v>3.5999999999999997E-2</v>
          </cell>
          <cell r="AH191">
            <v>3.0000000000000001E-3</v>
          </cell>
          <cell r="AI191">
            <v>0.38</v>
          </cell>
          <cell r="AJ191">
            <v>17.2</v>
          </cell>
          <cell r="AK191">
            <v>9.06</v>
          </cell>
          <cell r="AL191">
            <v>1.2E-2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Y191" t="str">
            <v/>
          </cell>
          <cell r="AZ191">
            <v>1.5422</v>
          </cell>
          <cell r="BA191" t="str">
            <v>D1910112</v>
          </cell>
          <cell r="BB191" t="str">
            <v>CONFORM</v>
          </cell>
          <cell r="BC191" t="str">
            <v>CONFORM</v>
          </cell>
          <cell r="BD191" t="str">
            <v>CONFORM</v>
          </cell>
          <cell r="BE191" t="str">
            <v>CONFORM</v>
          </cell>
          <cell r="BF191" t="str">
            <v>CONFORM</v>
          </cell>
        </row>
        <row r="192">
          <cell r="A192">
            <v>43759</v>
          </cell>
          <cell r="B192" t="str">
            <v>D1910112-2</v>
          </cell>
          <cell r="C192" t="str">
            <v>032/19</v>
          </cell>
          <cell r="D192">
            <v>9</v>
          </cell>
          <cell r="E192" t="str">
            <v>OCTOBER 2019</v>
          </cell>
          <cell r="F192" t="str">
            <v>DC</v>
          </cell>
          <cell r="G192" t="str">
            <v>Late</v>
          </cell>
          <cell r="H192" t="str">
            <v>25/09/19</v>
          </cell>
          <cell r="I192">
            <v>43733</v>
          </cell>
          <cell r="J192" t="str">
            <v>ADTI</v>
          </cell>
          <cell r="K192" t="str">
            <v>D1910112</v>
          </cell>
          <cell r="L192">
            <v>2</v>
          </cell>
          <cell r="N192" t="str">
            <v>1810J1346</v>
          </cell>
          <cell r="O192" t="e">
            <v>#N/A</v>
          </cell>
          <cell r="P192" t="str">
            <v>321</v>
          </cell>
          <cell r="Q192">
            <v>4</v>
          </cell>
          <cell r="R192">
            <v>4.0069999999999997</v>
          </cell>
          <cell r="S192">
            <v>0.02</v>
          </cell>
          <cell r="T192">
            <v>1.7999999999999999E-2</v>
          </cell>
          <cell r="V192">
            <v>1.7999999999999999E-2</v>
          </cell>
          <cell r="X192">
            <v>3832</v>
          </cell>
          <cell r="Y192">
            <v>3</v>
          </cell>
          <cell r="Z192">
            <v>319.33333333333331</v>
          </cell>
          <cell r="AA192" t="str">
            <v>4X0.02-321</v>
          </cell>
          <cell r="AB192" t="str">
            <v>WAAJ010160050B300036</v>
          </cell>
          <cell r="AC192" t="str">
            <v>D1910112</v>
          </cell>
          <cell r="AD192" t="str">
            <v>1810J1346</v>
          </cell>
          <cell r="AE192">
            <v>1.7999999999999999E-2</v>
          </cell>
          <cell r="AF192">
            <v>1.72</v>
          </cell>
          <cell r="AG192">
            <v>3.5999999999999997E-2</v>
          </cell>
          <cell r="AH192">
            <v>3.0000000000000001E-3</v>
          </cell>
          <cell r="AI192">
            <v>0.38</v>
          </cell>
          <cell r="AJ192">
            <v>17.2</v>
          </cell>
          <cell r="AK192">
            <v>9.06</v>
          </cell>
          <cell r="AL192">
            <v>1.2E-2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Y192" t="str">
            <v/>
          </cell>
          <cell r="AZ192">
            <v>1.5422</v>
          </cell>
          <cell r="BA192" t="str">
            <v>D1910112</v>
          </cell>
          <cell r="BB192" t="str">
            <v>CONFORM</v>
          </cell>
          <cell r="BC192" t="str">
            <v>CONFORM</v>
          </cell>
          <cell r="BD192" t="str">
            <v>CONFORM</v>
          </cell>
          <cell r="BE192" t="str">
            <v>CONFORM</v>
          </cell>
          <cell r="BF192" t="str">
            <v>CONFORM</v>
          </cell>
        </row>
        <row r="193">
          <cell r="A193">
            <v>43759</v>
          </cell>
          <cell r="B193" t="str">
            <v>D1910112-3</v>
          </cell>
          <cell r="C193" t="str">
            <v>032/19</v>
          </cell>
          <cell r="D193">
            <v>10</v>
          </cell>
          <cell r="E193" t="str">
            <v>OCTOBER 2019</v>
          </cell>
          <cell r="F193" t="str">
            <v>DC</v>
          </cell>
          <cell r="G193" t="str">
            <v>Late</v>
          </cell>
          <cell r="H193" t="str">
            <v>25/09/19</v>
          </cell>
          <cell r="I193">
            <v>43733</v>
          </cell>
          <cell r="J193" t="str">
            <v>ADTI</v>
          </cell>
          <cell r="K193" t="str">
            <v>D1910112</v>
          </cell>
          <cell r="L193">
            <v>3</v>
          </cell>
          <cell r="N193" t="str">
            <v>1810J1346</v>
          </cell>
          <cell r="O193" t="e">
            <v>#N/A</v>
          </cell>
          <cell r="P193" t="str">
            <v>321</v>
          </cell>
          <cell r="Q193">
            <v>4</v>
          </cell>
          <cell r="R193">
            <v>3.9980000000000002</v>
          </cell>
          <cell r="S193">
            <v>0.02</v>
          </cell>
          <cell r="T193">
            <v>1.7999999999999999E-2</v>
          </cell>
          <cell r="V193">
            <v>1.7999999999999999E-2</v>
          </cell>
          <cell r="X193">
            <v>3832</v>
          </cell>
          <cell r="Y193">
            <v>3</v>
          </cell>
          <cell r="Z193">
            <v>319.33333333333331</v>
          </cell>
          <cell r="AA193" t="str">
            <v>4X0.02-321</v>
          </cell>
          <cell r="AB193" t="str">
            <v>WAAJ010160050B300036</v>
          </cell>
          <cell r="AC193" t="str">
            <v>D1910112</v>
          </cell>
          <cell r="AD193" t="str">
            <v>1810J1346</v>
          </cell>
          <cell r="AE193">
            <v>1.7999999999999999E-2</v>
          </cell>
          <cell r="AF193">
            <v>1.72</v>
          </cell>
          <cell r="AG193">
            <v>3.5999999999999997E-2</v>
          </cell>
          <cell r="AH193">
            <v>3.0000000000000001E-3</v>
          </cell>
          <cell r="AI193">
            <v>0.38</v>
          </cell>
          <cell r="AJ193">
            <v>17.2</v>
          </cell>
          <cell r="AK193">
            <v>9.06</v>
          </cell>
          <cell r="AL193">
            <v>1.2E-2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Y193" t="str">
            <v/>
          </cell>
          <cell r="AZ193">
            <v>1.5422</v>
          </cell>
          <cell r="BA193" t="str">
            <v>D1910112</v>
          </cell>
          <cell r="BB193" t="str">
            <v>CONFORM</v>
          </cell>
          <cell r="BC193" t="str">
            <v>CONFORM</v>
          </cell>
          <cell r="BD193" t="str">
            <v>CONFORM</v>
          </cell>
          <cell r="BE193" t="str">
            <v>CONFORM</v>
          </cell>
          <cell r="BF193" t="str">
            <v>CONFORM</v>
          </cell>
        </row>
        <row r="194">
          <cell r="A194">
            <v>43759</v>
          </cell>
          <cell r="B194" t="str">
            <v>D1910115-1</v>
          </cell>
          <cell r="C194" t="str">
            <v>032/19</v>
          </cell>
          <cell r="D194">
            <v>1</v>
          </cell>
          <cell r="E194" t="str">
            <v>OCTOBER 2019</v>
          </cell>
          <cell r="F194" t="str">
            <v>DC</v>
          </cell>
          <cell r="G194" t="str">
            <v>Late</v>
          </cell>
          <cell r="H194" t="str">
            <v>25/09/19</v>
          </cell>
          <cell r="I194">
            <v>43733</v>
          </cell>
          <cell r="J194" t="str">
            <v>ADTI</v>
          </cell>
          <cell r="K194" t="str">
            <v>D1910115</v>
          </cell>
          <cell r="L194">
            <v>1</v>
          </cell>
          <cell r="N194">
            <v>519527</v>
          </cell>
          <cell r="O194" t="str">
            <v xml:space="preserve">1.4306 TP304L </v>
          </cell>
          <cell r="P194" t="str">
            <v>304L</v>
          </cell>
          <cell r="Q194">
            <v>1.7509999999999999</v>
          </cell>
          <cell r="R194">
            <v>1.758</v>
          </cell>
          <cell r="S194">
            <v>3.5000000000000003E-2</v>
          </cell>
          <cell r="T194">
            <v>3.4000000000000002E-2</v>
          </cell>
          <cell r="V194">
            <v>3.4000000000000002E-2</v>
          </cell>
          <cell r="X194">
            <v>3801</v>
          </cell>
          <cell r="Y194">
            <v>5</v>
          </cell>
          <cell r="Z194">
            <v>434.15191319246151</v>
          </cell>
          <cell r="AA194" t="str">
            <v>1.751X0.035-304L</v>
          </cell>
          <cell r="AB194" t="str">
            <v>WAAC004450089B300004</v>
          </cell>
          <cell r="AC194" t="str">
            <v>D1910115</v>
          </cell>
          <cell r="AD194">
            <v>519527</v>
          </cell>
          <cell r="AE194">
            <v>2.7E-2</v>
          </cell>
          <cell r="AF194">
            <v>1.34</v>
          </cell>
          <cell r="AG194">
            <v>2.9000000000000001E-2</v>
          </cell>
          <cell r="AH194">
            <v>1.4E-3</v>
          </cell>
          <cell r="AI194">
            <v>0.38</v>
          </cell>
          <cell r="AJ194">
            <v>18.260000000000002</v>
          </cell>
          <cell r="AK194">
            <v>8.0299999999999994</v>
          </cell>
          <cell r="AL194">
            <v>6.8000000000000005E-2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Y194" t="str">
            <v/>
          </cell>
          <cell r="AZ194">
            <v>1.2337</v>
          </cell>
          <cell r="BA194" t="str">
            <v>D1910115</v>
          </cell>
          <cell r="BB194" t="str">
            <v>CONFORM</v>
          </cell>
          <cell r="BC194" t="str">
            <v>CONFORM</v>
          </cell>
          <cell r="BD194" t="str">
            <v>CONFORM</v>
          </cell>
          <cell r="BE194" t="str">
            <v>CONFORM</v>
          </cell>
          <cell r="BF194" t="str">
            <v>CONFORM</v>
          </cell>
        </row>
        <row r="195">
          <cell r="A195">
            <v>43759</v>
          </cell>
          <cell r="B195" t="str">
            <v>D1910116-1</v>
          </cell>
          <cell r="C195" t="str">
            <v>032/19</v>
          </cell>
          <cell r="D195">
            <v>5</v>
          </cell>
          <cell r="E195" t="str">
            <v>OCTOBER 2019</v>
          </cell>
          <cell r="F195" t="str">
            <v>DC</v>
          </cell>
          <cell r="G195" t="str">
            <v>Late</v>
          </cell>
          <cell r="H195" t="str">
            <v>25/09/19</v>
          </cell>
          <cell r="I195">
            <v>43733</v>
          </cell>
          <cell r="J195" t="str">
            <v>ADTI</v>
          </cell>
          <cell r="K195" t="str">
            <v>D1910116</v>
          </cell>
          <cell r="L195">
            <v>1</v>
          </cell>
          <cell r="N195" t="str">
            <v>YU189890</v>
          </cell>
          <cell r="O195" t="str">
            <v xml:space="preserve">1.4306 TP304L </v>
          </cell>
          <cell r="P195" t="str">
            <v>304L</v>
          </cell>
          <cell r="Q195">
            <v>1.7509999999999999</v>
          </cell>
          <cell r="R195">
            <v>1.754</v>
          </cell>
          <cell r="S195">
            <v>3.5000000000000003E-2</v>
          </cell>
          <cell r="T195">
            <v>3.4000000000000002E-2</v>
          </cell>
          <cell r="V195">
            <v>3.4000000000000002E-2</v>
          </cell>
          <cell r="X195">
            <v>5300</v>
          </cell>
          <cell r="Y195">
            <v>7</v>
          </cell>
          <cell r="Z195">
            <v>432.40597209757692</v>
          </cell>
          <cell r="AA195" t="str">
            <v>1.751X0.035-304L</v>
          </cell>
          <cell r="AB195" t="str">
            <v>WAAC004450089B300004</v>
          </cell>
          <cell r="AC195" t="str">
            <v>D1910116</v>
          </cell>
          <cell r="AD195" t="str">
            <v>YU189890</v>
          </cell>
          <cell r="AE195">
            <v>2.1999999999999999E-2</v>
          </cell>
          <cell r="AF195">
            <v>0.89</v>
          </cell>
          <cell r="AG195">
            <v>3.6999999999999998E-2</v>
          </cell>
          <cell r="AH195">
            <v>2E-3</v>
          </cell>
          <cell r="AI195">
            <v>0.41</v>
          </cell>
          <cell r="AJ195">
            <v>18.14</v>
          </cell>
          <cell r="AK195">
            <v>8.24</v>
          </cell>
          <cell r="AL195">
            <v>5.0999999999999997E-2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Y195" t="str">
            <v/>
          </cell>
          <cell r="AZ195">
            <v>1.2337</v>
          </cell>
          <cell r="BA195" t="str">
            <v>D1910116</v>
          </cell>
          <cell r="BB195" t="str">
            <v>CONFORM</v>
          </cell>
          <cell r="BC195" t="str">
            <v>CONFORM</v>
          </cell>
          <cell r="BD195" t="str">
            <v>CONFORM</v>
          </cell>
          <cell r="BE195" t="str">
            <v>CONFORM</v>
          </cell>
          <cell r="BF195" t="str">
            <v>CONFORM</v>
          </cell>
        </row>
        <row r="196">
          <cell r="A196">
            <v>43759</v>
          </cell>
          <cell r="B196" t="str">
            <v>D1910117-1</v>
          </cell>
          <cell r="C196" t="str">
            <v>032/19</v>
          </cell>
          <cell r="D196">
            <v>2</v>
          </cell>
          <cell r="E196" t="str">
            <v>OCTOBER 2019</v>
          </cell>
          <cell r="F196" t="str">
            <v>DC</v>
          </cell>
          <cell r="G196" t="str">
            <v>Late</v>
          </cell>
          <cell r="H196" t="str">
            <v>25/09/19</v>
          </cell>
          <cell r="I196">
            <v>43733</v>
          </cell>
          <cell r="J196" t="str">
            <v>ADTI</v>
          </cell>
          <cell r="K196" t="str">
            <v>D1910117</v>
          </cell>
          <cell r="L196">
            <v>1</v>
          </cell>
          <cell r="N196" t="str">
            <v>YU189890</v>
          </cell>
          <cell r="O196" t="str">
            <v xml:space="preserve">1.4306 TP304L </v>
          </cell>
          <cell r="P196" t="str">
            <v>304L</v>
          </cell>
          <cell r="Q196">
            <v>1.96</v>
          </cell>
          <cell r="R196">
            <v>1.956</v>
          </cell>
          <cell r="S196">
            <v>3.5000000000000003E-2</v>
          </cell>
          <cell r="T196">
            <v>3.4000000000000002E-2</v>
          </cell>
          <cell r="V196">
            <v>3.4000000000000002E-2</v>
          </cell>
          <cell r="X196">
            <v>2584</v>
          </cell>
          <cell r="Y196">
            <v>3</v>
          </cell>
          <cell r="Z196">
            <v>439.45578231292518</v>
          </cell>
          <cell r="AA196" t="str">
            <v>1.96X0.035-304L</v>
          </cell>
          <cell r="AB196" t="str">
            <v>WAAC004980089B300006</v>
          </cell>
          <cell r="AC196" t="str">
            <v>D1910117</v>
          </cell>
          <cell r="AD196" t="str">
            <v>YU189890</v>
          </cell>
          <cell r="AE196">
            <v>2.1999999999999999E-2</v>
          </cell>
          <cell r="AF196">
            <v>0.89</v>
          </cell>
          <cell r="AG196">
            <v>3.6999999999999998E-2</v>
          </cell>
          <cell r="AH196">
            <v>2E-3</v>
          </cell>
          <cell r="AI196">
            <v>0.41</v>
          </cell>
          <cell r="AJ196">
            <v>18.14</v>
          </cell>
          <cell r="AK196">
            <v>8.24</v>
          </cell>
          <cell r="AL196">
            <v>5.0999999999999997E-2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Y196" t="str">
            <v/>
          </cell>
          <cell r="AZ196">
            <v>1.2337</v>
          </cell>
          <cell r="BA196" t="str">
            <v>D1910117</v>
          </cell>
          <cell r="BB196" t="str">
            <v>CONFORM</v>
          </cell>
          <cell r="BC196" t="str">
            <v>CONFORM</v>
          </cell>
          <cell r="BD196" t="str">
            <v>CONFORM</v>
          </cell>
          <cell r="BE196" t="str">
            <v>CONFORM</v>
          </cell>
          <cell r="BF196" t="str">
            <v>CONFORM</v>
          </cell>
        </row>
        <row r="197">
          <cell r="A197">
            <v>43759</v>
          </cell>
          <cell r="B197" t="str">
            <v>D1910117-2</v>
          </cell>
          <cell r="C197" t="str">
            <v>032/19</v>
          </cell>
          <cell r="D197">
            <v>6</v>
          </cell>
          <cell r="E197" t="str">
            <v>OCTOBER 2019</v>
          </cell>
          <cell r="F197" t="str">
            <v>DC</v>
          </cell>
          <cell r="G197" t="str">
            <v>Late</v>
          </cell>
          <cell r="H197" t="str">
            <v>25/09/19</v>
          </cell>
          <cell r="I197">
            <v>43733</v>
          </cell>
          <cell r="J197" t="str">
            <v>ADTI</v>
          </cell>
          <cell r="K197" t="str">
            <v>D1910117</v>
          </cell>
          <cell r="L197">
            <v>2</v>
          </cell>
          <cell r="N197" t="str">
            <v>YU189890</v>
          </cell>
          <cell r="O197" t="str">
            <v xml:space="preserve">1.4306 TP304L </v>
          </cell>
          <cell r="P197" t="str">
            <v>304L</v>
          </cell>
          <cell r="Q197">
            <v>1.96</v>
          </cell>
          <cell r="R197">
            <v>1.9650000000000001</v>
          </cell>
          <cell r="S197">
            <v>3.5000000000000003E-2</v>
          </cell>
          <cell r="T197">
            <v>3.4000000000000002E-2</v>
          </cell>
          <cell r="V197">
            <v>3.4000000000000002E-2</v>
          </cell>
          <cell r="X197">
            <v>3395</v>
          </cell>
          <cell r="Y197">
            <v>4</v>
          </cell>
          <cell r="Z197">
            <v>433.03571428571428</v>
          </cell>
          <cell r="AA197" t="str">
            <v>1.96X0.035-304L</v>
          </cell>
          <cell r="AB197" t="str">
            <v>WAAC004980089B300006</v>
          </cell>
          <cell r="AC197" t="str">
            <v>D1910117</v>
          </cell>
          <cell r="AD197" t="str">
            <v>YU189890</v>
          </cell>
          <cell r="AE197">
            <v>2.1999999999999999E-2</v>
          </cell>
          <cell r="AF197">
            <v>0.89</v>
          </cell>
          <cell r="AG197">
            <v>3.6999999999999998E-2</v>
          </cell>
          <cell r="AH197">
            <v>2E-3</v>
          </cell>
          <cell r="AI197">
            <v>0.41</v>
          </cell>
          <cell r="AJ197">
            <v>18.14</v>
          </cell>
          <cell r="AK197">
            <v>8.24</v>
          </cell>
          <cell r="AL197">
            <v>5.0999999999999997E-2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Y197" t="str">
            <v/>
          </cell>
          <cell r="AZ197">
            <v>1.2337</v>
          </cell>
          <cell r="BA197" t="str">
            <v>D1910117</v>
          </cell>
          <cell r="BB197" t="str">
            <v>CONFORM</v>
          </cell>
          <cell r="BC197" t="str">
            <v>CONFORM</v>
          </cell>
          <cell r="BD197" t="str">
            <v>CONFORM</v>
          </cell>
          <cell r="BE197" t="str">
            <v>CONFORM</v>
          </cell>
          <cell r="BF197" t="str">
            <v>CONFORM</v>
          </cell>
        </row>
        <row r="198">
          <cell r="A198">
            <v>43759</v>
          </cell>
          <cell r="B198" t="str">
            <v>D1910117-3</v>
          </cell>
          <cell r="C198" t="str">
            <v>032/19</v>
          </cell>
          <cell r="D198">
            <v>7</v>
          </cell>
          <cell r="E198" t="str">
            <v>OCTOBER 2019</v>
          </cell>
          <cell r="F198" t="str">
            <v>DC</v>
          </cell>
          <cell r="G198" t="str">
            <v>Late</v>
          </cell>
          <cell r="H198" t="str">
            <v>25/09/19</v>
          </cell>
          <cell r="I198">
            <v>43733</v>
          </cell>
          <cell r="J198" t="str">
            <v>ADTI</v>
          </cell>
          <cell r="K198" t="str">
            <v>D1910117</v>
          </cell>
          <cell r="L198">
            <v>3</v>
          </cell>
          <cell r="N198" t="str">
            <v>YU189890</v>
          </cell>
          <cell r="O198" t="str">
            <v xml:space="preserve">1.4306 TP304L </v>
          </cell>
          <cell r="P198" t="str">
            <v>304L</v>
          </cell>
          <cell r="Q198">
            <v>1.96</v>
          </cell>
          <cell r="R198">
            <v>1.964</v>
          </cell>
          <cell r="S198">
            <v>3.5000000000000003E-2</v>
          </cell>
          <cell r="T198">
            <v>3.4000000000000002E-2</v>
          </cell>
          <cell r="V198">
            <v>3.4000000000000002E-2</v>
          </cell>
          <cell r="X198">
            <v>3400</v>
          </cell>
          <cell r="Y198">
            <v>4</v>
          </cell>
          <cell r="Z198">
            <v>433.67346938775512</v>
          </cell>
          <cell r="AA198" t="str">
            <v>1.96X0.035-304L</v>
          </cell>
          <cell r="AB198" t="str">
            <v>WAAC004980089B300006</v>
          </cell>
          <cell r="AC198" t="str">
            <v>D1910117</v>
          </cell>
          <cell r="AD198" t="str">
            <v>YU189890</v>
          </cell>
          <cell r="AE198">
            <v>2.1999999999999999E-2</v>
          </cell>
          <cell r="AF198">
            <v>0.89</v>
          </cell>
          <cell r="AG198">
            <v>3.6999999999999998E-2</v>
          </cell>
          <cell r="AH198">
            <v>2E-3</v>
          </cell>
          <cell r="AI198">
            <v>0.41</v>
          </cell>
          <cell r="AJ198">
            <v>18.14</v>
          </cell>
          <cell r="AK198">
            <v>8.24</v>
          </cell>
          <cell r="AL198">
            <v>5.0999999999999997E-2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Y198" t="str">
            <v/>
          </cell>
          <cell r="AZ198">
            <v>1.2337</v>
          </cell>
          <cell r="BA198" t="str">
            <v>D1910117</v>
          </cell>
          <cell r="BB198" t="str">
            <v>CONFORM</v>
          </cell>
          <cell r="BC198" t="str">
            <v>CONFORM</v>
          </cell>
          <cell r="BD198" t="str">
            <v>CONFORM</v>
          </cell>
          <cell r="BE198" t="str">
            <v>CONFORM</v>
          </cell>
          <cell r="BF198" t="str">
            <v>CONFORM</v>
          </cell>
        </row>
        <row r="199">
          <cell r="A199">
            <v>43763</v>
          </cell>
          <cell r="B199" t="str">
            <v>D1910153-1</v>
          </cell>
          <cell r="C199" t="str">
            <v>035/19</v>
          </cell>
          <cell r="D199">
            <v>1</v>
          </cell>
          <cell r="E199" t="str">
            <v>OCTOBER 2019</v>
          </cell>
          <cell r="F199" t="str">
            <v>DC</v>
          </cell>
          <cell r="G199" t="str">
            <v>Late</v>
          </cell>
          <cell r="H199" t="str">
            <v>128028-1</v>
          </cell>
          <cell r="I199">
            <v>43761</v>
          </cell>
          <cell r="J199" t="str">
            <v>UPM</v>
          </cell>
          <cell r="K199" t="str">
            <v>D1910153</v>
          </cell>
          <cell r="L199">
            <v>1</v>
          </cell>
          <cell r="N199">
            <v>854984</v>
          </cell>
          <cell r="O199" t="str">
            <v xml:space="preserve">1.4401/1.4404 TP316/316L </v>
          </cell>
          <cell r="P199" t="str">
            <v>316L</v>
          </cell>
          <cell r="Q199">
            <v>2.2759999999999998</v>
          </cell>
          <cell r="R199">
            <v>2.7589999999999999</v>
          </cell>
          <cell r="S199">
            <v>3.5000000000000003E-2</v>
          </cell>
          <cell r="T199">
            <v>3.4500000000000003E-2</v>
          </cell>
          <cell r="V199">
            <v>3.4500000000000003E-2</v>
          </cell>
          <cell r="X199">
            <v>371</v>
          </cell>
          <cell r="Y199">
            <v>1</v>
          </cell>
          <cell r="Z199">
            <v>163.00527240773289</v>
          </cell>
          <cell r="AA199" t="str">
            <v>2.276X0.035-316L</v>
          </cell>
          <cell r="AB199" t="e">
            <v>#N/A</v>
          </cell>
          <cell r="AC199" t="str">
            <v>D1910153</v>
          </cell>
          <cell r="AD199">
            <v>854984</v>
          </cell>
          <cell r="AE199">
            <v>1.9E-2</v>
          </cell>
          <cell r="AF199">
            <v>1.62</v>
          </cell>
          <cell r="AG199">
            <v>3.5000000000000003E-2</v>
          </cell>
          <cell r="AH199">
            <v>2.0000000000000001E-4</v>
          </cell>
          <cell r="AI199">
            <v>0.37</v>
          </cell>
          <cell r="AJ199">
            <v>16.649999999999999</v>
          </cell>
          <cell r="AK199">
            <v>10.08</v>
          </cell>
          <cell r="AL199">
            <v>0.04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Y199" t="str">
            <v/>
          </cell>
          <cell r="AZ199">
            <v>2.5</v>
          </cell>
          <cell r="BA199" t="str">
            <v>D1910153</v>
          </cell>
          <cell r="BB199" t="str">
            <v>CONFORM</v>
          </cell>
          <cell r="BC199" t="str">
            <v>CONFORM</v>
          </cell>
          <cell r="BD199" t="str">
            <v>CONFORM</v>
          </cell>
          <cell r="BE199" t="str">
            <v>CONFORM</v>
          </cell>
          <cell r="BF199" t="str">
            <v>CONFORM</v>
          </cell>
        </row>
        <row r="200">
          <cell r="A200">
            <v>43763</v>
          </cell>
          <cell r="B200" t="str">
            <v>D1910153-2</v>
          </cell>
          <cell r="C200" t="str">
            <v>035/19</v>
          </cell>
          <cell r="D200">
            <v>1</v>
          </cell>
          <cell r="E200" t="str">
            <v>OCTOBER 2019</v>
          </cell>
          <cell r="F200" t="str">
            <v>DC</v>
          </cell>
          <cell r="G200" t="str">
            <v>Late</v>
          </cell>
          <cell r="H200" t="str">
            <v>128028-1</v>
          </cell>
          <cell r="I200">
            <v>43761</v>
          </cell>
          <cell r="J200" t="str">
            <v>UPM</v>
          </cell>
          <cell r="K200" t="str">
            <v>D1910153</v>
          </cell>
          <cell r="L200">
            <v>2</v>
          </cell>
          <cell r="N200">
            <v>854984</v>
          </cell>
          <cell r="O200" t="str">
            <v xml:space="preserve">1.4401/1.4404 TP316/316L </v>
          </cell>
          <cell r="P200" t="str">
            <v>316L</v>
          </cell>
          <cell r="Q200">
            <v>2.2759999999999998</v>
          </cell>
          <cell r="R200">
            <v>2.76</v>
          </cell>
          <cell r="S200">
            <v>3.5000000000000003E-2</v>
          </cell>
          <cell r="T200">
            <v>3.2199999999999999E-2</v>
          </cell>
          <cell r="V200">
            <v>3.2199999999999999E-2</v>
          </cell>
          <cell r="X200">
            <v>1825</v>
          </cell>
          <cell r="Y200">
            <v>5</v>
          </cell>
          <cell r="Z200">
            <v>160.36906854130055</v>
          </cell>
          <cell r="AA200" t="str">
            <v>2.276X0.035-316L</v>
          </cell>
          <cell r="AB200" t="e">
            <v>#N/A</v>
          </cell>
          <cell r="AC200" t="str">
            <v>D1910153</v>
          </cell>
          <cell r="AD200">
            <v>854984</v>
          </cell>
          <cell r="AE200">
            <v>1.9E-2</v>
          </cell>
          <cell r="AF200">
            <v>1.62</v>
          </cell>
          <cell r="AG200">
            <v>3.5000000000000003E-2</v>
          </cell>
          <cell r="AH200">
            <v>2.0000000000000001E-4</v>
          </cell>
          <cell r="AI200">
            <v>0.37</v>
          </cell>
          <cell r="AJ200">
            <v>16.649999999999999</v>
          </cell>
          <cell r="AK200">
            <v>10.08</v>
          </cell>
          <cell r="AL200">
            <v>0.04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Y200" t="str">
            <v/>
          </cell>
          <cell r="AZ200">
            <v>2.5</v>
          </cell>
          <cell r="BA200" t="str">
            <v>D1910153</v>
          </cell>
          <cell r="BB200" t="str">
            <v>CONFORM</v>
          </cell>
          <cell r="BC200" t="str">
            <v>CONFORM</v>
          </cell>
          <cell r="BD200" t="str">
            <v>CONFORM</v>
          </cell>
          <cell r="BE200" t="str">
            <v>CONFORM</v>
          </cell>
          <cell r="BF200" t="str">
            <v>CONFORM</v>
          </cell>
        </row>
        <row r="201">
          <cell r="A201">
            <v>43763</v>
          </cell>
          <cell r="B201" t="str">
            <v>D1910153-3</v>
          </cell>
          <cell r="C201" t="str">
            <v>035/19</v>
          </cell>
          <cell r="D201">
            <v>1</v>
          </cell>
          <cell r="E201" t="str">
            <v>OCTOBER 2019</v>
          </cell>
          <cell r="F201" t="str">
            <v>DC</v>
          </cell>
          <cell r="G201" t="str">
            <v>Late</v>
          </cell>
          <cell r="H201" t="str">
            <v>128028-1</v>
          </cell>
          <cell r="I201">
            <v>43761</v>
          </cell>
          <cell r="J201" t="str">
            <v>UPM</v>
          </cell>
          <cell r="K201" t="str">
            <v>D1910153</v>
          </cell>
          <cell r="L201">
            <v>3</v>
          </cell>
          <cell r="N201">
            <v>854984</v>
          </cell>
          <cell r="O201" t="str">
            <v xml:space="preserve">1.4401/1.4404 TP316/316L </v>
          </cell>
          <cell r="P201" t="str">
            <v>316L</v>
          </cell>
          <cell r="Q201">
            <v>2.2759999999999998</v>
          </cell>
          <cell r="R201">
            <v>2.7610000000000001</v>
          </cell>
          <cell r="S201">
            <v>3.5000000000000003E-2</v>
          </cell>
          <cell r="T201">
            <v>3.39E-2</v>
          </cell>
          <cell r="V201">
            <v>3.39E-2</v>
          </cell>
          <cell r="X201">
            <v>1250</v>
          </cell>
          <cell r="Y201">
            <v>4</v>
          </cell>
          <cell r="Z201">
            <v>137.30228471001757</v>
          </cell>
          <cell r="AA201" t="str">
            <v>2.276X0.035-316L</v>
          </cell>
          <cell r="AB201" t="e">
            <v>#N/A</v>
          </cell>
          <cell r="AC201" t="str">
            <v>D1910153</v>
          </cell>
          <cell r="AD201">
            <v>854984</v>
          </cell>
          <cell r="AE201">
            <v>1.9E-2</v>
          </cell>
          <cell r="AF201">
            <v>1.62</v>
          </cell>
          <cell r="AG201">
            <v>3.5000000000000003E-2</v>
          </cell>
          <cell r="AH201">
            <v>2.0000000000000001E-4</v>
          </cell>
          <cell r="AI201">
            <v>0.37</v>
          </cell>
          <cell r="AJ201">
            <v>16.649999999999999</v>
          </cell>
          <cell r="AK201">
            <v>10.08</v>
          </cell>
          <cell r="AL201">
            <v>0.04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Y201" t="str">
            <v/>
          </cell>
          <cell r="AZ201">
            <v>2.5</v>
          </cell>
          <cell r="BA201" t="str">
            <v>D1910153</v>
          </cell>
          <cell r="BB201" t="str">
            <v>CONFORM</v>
          </cell>
          <cell r="BC201" t="str">
            <v>CONFORM</v>
          </cell>
          <cell r="BD201" t="str">
            <v>CONFORM</v>
          </cell>
          <cell r="BE201" t="str">
            <v>CONFORM</v>
          </cell>
          <cell r="BF201" t="str">
            <v>CONFORM</v>
          </cell>
        </row>
        <row r="202">
          <cell r="A202">
            <v>43763</v>
          </cell>
          <cell r="B202" t="str">
            <v>D1910153-4</v>
          </cell>
          <cell r="C202" t="str">
            <v>035/19</v>
          </cell>
          <cell r="D202">
            <v>1</v>
          </cell>
          <cell r="E202" t="str">
            <v>OCTOBER 2019</v>
          </cell>
          <cell r="F202" t="str">
            <v>DC</v>
          </cell>
          <cell r="G202" t="str">
            <v>Late</v>
          </cell>
          <cell r="H202" t="str">
            <v>128028-1</v>
          </cell>
          <cell r="I202">
            <v>43761</v>
          </cell>
          <cell r="J202" t="str">
            <v>UPM</v>
          </cell>
          <cell r="K202" t="str">
            <v>D1910153</v>
          </cell>
          <cell r="L202">
            <v>4</v>
          </cell>
          <cell r="N202">
            <v>854984</v>
          </cell>
          <cell r="O202" t="str">
            <v xml:space="preserve">1.4401/1.4404 TP316/316L </v>
          </cell>
          <cell r="P202" t="str">
            <v>316L</v>
          </cell>
          <cell r="Q202">
            <v>2.2759999999999998</v>
          </cell>
          <cell r="R202">
            <v>2.762</v>
          </cell>
          <cell r="S202">
            <v>3.5000000000000003E-2</v>
          </cell>
          <cell r="T202">
            <v>3.4599999999999999E-2</v>
          </cell>
          <cell r="V202">
            <v>3.4599999999999999E-2</v>
          </cell>
          <cell r="X202">
            <v>1438</v>
          </cell>
          <cell r="Y202">
            <v>4</v>
          </cell>
          <cell r="Z202">
            <v>157.95254833040423</v>
          </cell>
          <cell r="AA202" t="str">
            <v>2.276X0.035-316L</v>
          </cell>
          <cell r="AB202" t="e">
            <v>#N/A</v>
          </cell>
          <cell r="AC202" t="str">
            <v>D1910153</v>
          </cell>
          <cell r="AD202">
            <v>854984</v>
          </cell>
          <cell r="AE202">
            <v>1.9E-2</v>
          </cell>
          <cell r="AF202">
            <v>1.62</v>
          </cell>
          <cell r="AG202">
            <v>3.5000000000000003E-2</v>
          </cell>
          <cell r="AH202">
            <v>2.0000000000000001E-4</v>
          </cell>
          <cell r="AI202">
            <v>0.37</v>
          </cell>
          <cell r="AJ202">
            <v>16.649999999999999</v>
          </cell>
          <cell r="AK202">
            <v>10.08</v>
          </cell>
          <cell r="AL202">
            <v>0.04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Y202" t="str">
            <v/>
          </cell>
          <cell r="AZ202">
            <v>2.5</v>
          </cell>
          <cell r="BA202" t="str">
            <v>D1910153</v>
          </cell>
          <cell r="BB202" t="str">
            <v>CONFORM</v>
          </cell>
          <cell r="BC202" t="str">
            <v>CONFORM</v>
          </cell>
          <cell r="BD202" t="str">
            <v>CONFORM</v>
          </cell>
          <cell r="BE202" t="str">
            <v>CONFORM</v>
          </cell>
          <cell r="BF202" t="str">
            <v>CONFORM</v>
          </cell>
        </row>
        <row r="203">
          <cell r="A203">
            <v>43763</v>
          </cell>
          <cell r="B203" t="str">
            <v>D1910154-1</v>
          </cell>
          <cell r="C203" t="str">
            <v>035/19</v>
          </cell>
          <cell r="D203">
            <v>1</v>
          </cell>
          <cell r="E203" t="str">
            <v>OCTOBER 2019</v>
          </cell>
          <cell r="F203" t="str">
            <v>DC</v>
          </cell>
          <cell r="G203" t="str">
            <v>Late</v>
          </cell>
          <cell r="H203" t="str">
            <v>128028-1</v>
          </cell>
          <cell r="I203">
            <v>43761</v>
          </cell>
          <cell r="J203" t="str">
            <v>UPM</v>
          </cell>
          <cell r="K203" t="str">
            <v>D1910154</v>
          </cell>
          <cell r="L203">
            <v>1</v>
          </cell>
          <cell r="N203">
            <v>857789</v>
          </cell>
          <cell r="O203" t="str">
            <v xml:space="preserve">1.4401/1.4404 TP316/316L </v>
          </cell>
          <cell r="P203" t="str">
            <v>316L</v>
          </cell>
          <cell r="Q203">
            <v>2.2759999999999998</v>
          </cell>
          <cell r="R203">
            <v>2.762</v>
          </cell>
          <cell r="S203">
            <v>3.5000000000000003E-2</v>
          </cell>
          <cell r="T203">
            <v>3.4500000000000003E-2</v>
          </cell>
          <cell r="V203">
            <v>3.4500000000000003E-2</v>
          </cell>
          <cell r="X203">
            <v>2178</v>
          </cell>
          <cell r="Y203">
            <v>4</v>
          </cell>
          <cell r="Z203">
            <v>239.23550087873465</v>
          </cell>
          <cell r="AA203" t="str">
            <v>2.276X0.035-316L</v>
          </cell>
          <cell r="AB203" t="e">
            <v>#N/A</v>
          </cell>
          <cell r="AC203" t="str">
            <v>D1910154</v>
          </cell>
          <cell r="AD203">
            <v>857789</v>
          </cell>
          <cell r="AE203">
            <v>1.7999999999999999E-2</v>
          </cell>
          <cell r="AF203">
            <v>1.68</v>
          </cell>
          <cell r="AG203">
            <v>3.3000000000000002E-2</v>
          </cell>
          <cell r="AH203">
            <v>1E-4</v>
          </cell>
          <cell r="AI203">
            <v>0.37</v>
          </cell>
          <cell r="AJ203">
            <v>16.72</v>
          </cell>
          <cell r="AK203">
            <v>10.1</v>
          </cell>
          <cell r="AL203">
            <v>0.04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Y203" t="str">
            <v/>
          </cell>
          <cell r="AZ203">
            <v>2.5</v>
          </cell>
          <cell r="BA203" t="str">
            <v>D1910154</v>
          </cell>
          <cell r="BB203" t="str">
            <v>CONFORM</v>
          </cell>
          <cell r="BC203" t="str">
            <v>CONFORM</v>
          </cell>
          <cell r="BD203" t="str">
            <v>CONFORM</v>
          </cell>
          <cell r="BE203" t="str">
            <v>CONFORM</v>
          </cell>
          <cell r="BF203" t="str">
            <v>CONFORM</v>
          </cell>
        </row>
        <row r="204">
          <cell r="A204">
            <v>43763</v>
          </cell>
          <cell r="B204" t="str">
            <v>D1910155-1</v>
          </cell>
          <cell r="C204" t="str">
            <v>037/19</v>
          </cell>
          <cell r="D204">
            <v>1</v>
          </cell>
          <cell r="E204" t="str">
            <v>OCTOBER 2019</v>
          </cell>
          <cell r="F204" t="str">
            <v>DC</v>
          </cell>
          <cell r="G204" t="str">
            <v>Late</v>
          </cell>
          <cell r="H204" t="str">
            <v>128028-1</v>
          </cell>
          <cell r="I204">
            <v>43761</v>
          </cell>
          <cell r="J204" t="str">
            <v>UPM</v>
          </cell>
          <cell r="K204" t="str">
            <v>D1910155</v>
          </cell>
          <cell r="L204">
            <v>1</v>
          </cell>
          <cell r="N204" t="str">
            <v>C35R</v>
          </cell>
          <cell r="O204" t="str">
            <v xml:space="preserve">1.4306 TP304L </v>
          </cell>
          <cell r="P204" t="str">
            <v>304L</v>
          </cell>
          <cell r="Q204">
            <v>2.2759999999999998</v>
          </cell>
          <cell r="R204">
            <v>2.2829999999999999</v>
          </cell>
          <cell r="S204">
            <v>6.3E-2</v>
          </cell>
          <cell r="T204">
            <v>6.0299999999999999E-2</v>
          </cell>
          <cell r="V204">
            <v>6.0299999999999999E-2</v>
          </cell>
          <cell r="X204">
            <v>3633</v>
          </cell>
          <cell r="Y204">
            <v>4</v>
          </cell>
          <cell r="Z204">
            <v>399.05536028119514</v>
          </cell>
          <cell r="AA204" t="str">
            <v>2.276X0.063-304L</v>
          </cell>
          <cell r="AB204" t="str">
            <v>WAAC005780160B300010</v>
          </cell>
          <cell r="AC204" t="str">
            <v>D1910155</v>
          </cell>
          <cell r="AD204" t="str">
            <v>C35R</v>
          </cell>
          <cell r="AE204">
            <v>1.95E-2</v>
          </cell>
          <cell r="AF204">
            <v>1.6888000000000001</v>
          </cell>
          <cell r="AG204">
            <v>3.3000000000000002E-2</v>
          </cell>
          <cell r="AH204">
            <v>1E-3</v>
          </cell>
          <cell r="AI204">
            <v>0.24099999999999999</v>
          </cell>
          <cell r="AJ204">
            <v>18.208500000000001</v>
          </cell>
          <cell r="AK204">
            <v>8.234</v>
          </cell>
          <cell r="AL204">
            <v>5.74E-2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Y204" t="str">
            <v/>
          </cell>
          <cell r="AZ204">
            <v>1.68</v>
          </cell>
          <cell r="BA204" t="str">
            <v>D1910155</v>
          </cell>
          <cell r="BB204" t="str">
            <v>CONFORM</v>
          </cell>
          <cell r="BC204" t="str">
            <v>CONFORM</v>
          </cell>
          <cell r="BD204" t="str">
            <v>CONFORM</v>
          </cell>
          <cell r="BE204" t="str">
            <v>CONFORM</v>
          </cell>
          <cell r="BF204" t="str">
            <v>CONFORM</v>
          </cell>
        </row>
        <row r="205">
          <cell r="A205">
            <v>43763</v>
          </cell>
          <cell r="B205" t="str">
            <v>D1910155-2</v>
          </cell>
          <cell r="C205" t="str">
            <v>037/19</v>
          </cell>
          <cell r="D205">
            <v>1</v>
          </cell>
          <cell r="E205" t="str">
            <v>OCTOBER 2019</v>
          </cell>
          <cell r="F205" t="str">
            <v>DC</v>
          </cell>
          <cell r="G205" t="str">
            <v>Late</v>
          </cell>
          <cell r="H205" t="str">
            <v>128028-1</v>
          </cell>
          <cell r="I205">
            <v>43761</v>
          </cell>
          <cell r="J205" t="str">
            <v>UPM</v>
          </cell>
          <cell r="K205" t="str">
            <v>D1910155</v>
          </cell>
          <cell r="L205">
            <v>2</v>
          </cell>
          <cell r="N205" t="str">
            <v>C35R</v>
          </cell>
          <cell r="O205" t="str">
            <v xml:space="preserve">1.4306 TP304L </v>
          </cell>
          <cell r="P205" t="str">
            <v>304L</v>
          </cell>
          <cell r="Q205">
            <v>2.2759999999999998</v>
          </cell>
          <cell r="R205">
            <v>2.2829999999999999</v>
          </cell>
          <cell r="S205">
            <v>6.3E-2</v>
          </cell>
          <cell r="T205">
            <v>6.0600000000000001E-2</v>
          </cell>
          <cell r="V205">
            <v>6.0600000000000001E-2</v>
          </cell>
          <cell r="X205">
            <v>3639</v>
          </cell>
          <cell r="Y205">
            <v>4</v>
          </cell>
          <cell r="Z205">
            <v>399.71441124780318</v>
          </cell>
          <cell r="AA205" t="str">
            <v>2.276X0.063-304L</v>
          </cell>
          <cell r="AB205" t="str">
            <v>WAAC005780160B300010</v>
          </cell>
          <cell r="AC205" t="str">
            <v>D1910155</v>
          </cell>
          <cell r="AD205" t="str">
            <v>C35R</v>
          </cell>
          <cell r="AE205">
            <v>1.95E-2</v>
          </cell>
          <cell r="AF205">
            <v>1.6888000000000001</v>
          </cell>
          <cell r="AG205">
            <v>3.3000000000000002E-2</v>
          </cell>
          <cell r="AH205">
            <v>1E-3</v>
          </cell>
          <cell r="AI205">
            <v>0.24099999999999999</v>
          </cell>
          <cell r="AJ205">
            <v>18.208500000000001</v>
          </cell>
          <cell r="AK205">
            <v>8.234</v>
          </cell>
          <cell r="AL205">
            <v>5.74E-2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Y205" t="str">
            <v/>
          </cell>
          <cell r="AZ205">
            <v>1.68</v>
          </cell>
          <cell r="BA205" t="str">
            <v>D1910155</v>
          </cell>
          <cell r="BB205" t="str">
            <v>CONFORM</v>
          </cell>
          <cell r="BC205" t="str">
            <v>CONFORM</v>
          </cell>
          <cell r="BD205" t="str">
            <v>CONFORM</v>
          </cell>
          <cell r="BE205" t="str">
            <v>CONFORM</v>
          </cell>
          <cell r="BF205" t="str">
            <v>CONFORM</v>
          </cell>
        </row>
        <row r="206">
          <cell r="A206">
            <v>43763</v>
          </cell>
          <cell r="B206" t="str">
            <v>D1910155-3</v>
          </cell>
          <cell r="C206" t="str">
            <v>037/19</v>
          </cell>
          <cell r="D206">
            <v>1</v>
          </cell>
          <cell r="E206" t="str">
            <v>OCTOBER 2019</v>
          </cell>
          <cell r="F206" t="str">
            <v>DC</v>
          </cell>
          <cell r="G206" t="str">
            <v>Late</v>
          </cell>
          <cell r="H206" t="str">
            <v>128028-1</v>
          </cell>
          <cell r="I206">
            <v>43761</v>
          </cell>
          <cell r="J206" t="str">
            <v>UPM</v>
          </cell>
          <cell r="K206" t="str">
            <v>D1910155</v>
          </cell>
          <cell r="L206">
            <v>3</v>
          </cell>
          <cell r="N206" t="str">
            <v>C35R</v>
          </cell>
          <cell r="O206" t="str">
            <v xml:space="preserve">1.4306 TP304L </v>
          </cell>
          <cell r="P206" t="str">
            <v>304L</v>
          </cell>
          <cell r="Q206">
            <v>2.2759999999999998</v>
          </cell>
          <cell r="R206">
            <v>2.274</v>
          </cell>
          <cell r="S206">
            <v>6.3E-2</v>
          </cell>
          <cell r="T206">
            <v>6.1600000000000002E-2</v>
          </cell>
          <cell r="V206">
            <v>6.1600000000000002E-2</v>
          </cell>
          <cell r="X206">
            <v>3596</v>
          </cell>
          <cell r="Y206">
            <v>4</v>
          </cell>
          <cell r="Z206">
            <v>394.99121265377858</v>
          </cell>
          <cell r="AA206" t="str">
            <v>2.276X0.063-304L</v>
          </cell>
          <cell r="AB206" t="str">
            <v>WAAC005780160B300010</v>
          </cell>
          <cell r="AC206" t="str">
            <v>D1910155</v>
          </cell>
          <cell r="AD206" t="str">
            <v>C35R</v>
          </cell>
          <cell r="AE206">
            <v>1.95E-2</v>
          </cell>
          <cell r="AF206">
            <v>1.6888000000000001</v>
          </cell>
          <cell r="AG206">
            <v>3.3000000000000002E-2</v>
          </cell>
          <cell r="AH206">
            <v>1E-3</v>
          </cell>
          <cell r="AI206">
            <v>0.24099999999999999</v>
          </cell>
          <cell r="AJ206">
            <v>18.208500000000001</v>
          </cell>
          <cell r="AK206">
            <v>8.234</v>
          </cell>
          <cell r="AL206">
            <v>5.74E-2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Y206" t="str">
            <v/>
          </cell>
          <cell r="AZ206">
            <v>1.68</v>
          </cell>
          <cell r="BA206" t="str">
            <v>D1910155</v>
          </cell>
          <cell r="BB206" t="str">
            <v>CONFORM</v>
          </cell>
          <cell r="BC206" t="str">
            <v>CONFORM</v>
          </cell>
          <cell r="BD206" t="str">
            <v>CONFORM</v>
          </cell>
          <cell r="BE206" t="str">
            <v>CONFORM</v>
          </cell>
          <cell r="BF206" t="str">
            <v>CONFORM</v>
          </cell>
        </row>
        <row r="207">
          <cell r="A207">
            <v>43763</v>
          </cell>
          <cell r="B207" t="str">
            <v>D1910155-4</v>
          </cell>
          <cell r="C207" t="str">
            <v>037/19</v>
          </cell>
          <cell r="D207">
            <v>1</v>
          </cell>
          <cell r="E207" t="str">
            <v>OCTOBER 2019</v>
          </cell>
          <cell r="F207" t="str">
            <v>DC</v>
          </cell>
          <cell r="G207" t="str">
            <v>Late</v>
          </cell>
          <cell r="H207" t="str">
            <v>128028-1</v>
          </cell>
          <cell r="I207">
            <v>43761</v>
          </cell>
          <cell r="J207" t="str">
            <v>UPM</v>
          </cell>
          <cell r="K207" t="str">
            <v>D1910155</v>
          </cell>
          <cell r="L207">
            <v>4</v>
          </cell>
          <cell r="N207" t="str">
            <v>C35R</v>
          </cell>
          <cell r="O207" t="str">
            <v xml:space="preserve">1.4306 TP304L </v>
          </cell>
          <cell r="P207" t="str">
            <v>304L</v>
          </cell>
          <cell r="Q207">
            <v>2.2759999999999998</v>
          </cell>
          <cell r="R207">
            <v>2.2799999999999998</v>
          </cell>
          <cell r="S207">
            <v>6.3E-2</v>
          </cell>
          <cell r="T207">
            <v>6.0100000000000001E-2</v>
          </cell>
          <cell r="V207">
            <v>6.0100000000000001E-2</v>
          </cell>
          <cell r="X207">
            <v>3604</v>
          </cell>
          <cell r="Y207">
            <v>4</v>
          </cell>
          <cell r="Z207">
            <v>395.8699472759227</v>
          </cell>
          <cell r="AA207" t="str">
            <v>2.276X0.063-304L</v>
          </cell>
          <cell r="AB207" t="str">
            <v>WAAC005780160B300010</v>
          </cell>
          <cell r="AC207" t="str">
            <v>D1910155</v>
          </cell>
          <cell r="AD207" t="str">
            <v>C35R</v>
          </cell>
          <cell r="AE207">
            <v>1.95E-2</v>
          </cell>
          <cell r="AF207">
            <v>1.6888000000000001</v>
          </cell>
          <cell r="AG207">
            <v>3.3000000000000002E-2</v>
          </cell>
          <cell r="AH207">
            <v>1E-3</v>
          </cell>
          <cell r="AI207">
            <v>0.24099999999999999</v>
          </cell>
          <cell r="AJ207">
            <v>18.208500000000001</v>
          </cell>
          <cell r="AK207">
            <v>8.234</v>
          </cell>
          <cell r="AL207">
            <v>5.74E-2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Y207" t="str">
            <v/>
          </cell>
          <cell r="AZ207">
            <v>1.68</v>
          </cell>
          <cell r="BA207" t="str">
            <v>D1910155</v>
          </cell>
          <cell r="BB207" t="str">
            <v>CONFORM</v>
          </cell>
          <cell r="BC207" t="str">
            <v>CONFORM</v>
          </cell>
          <cell r="BD207" t="str">
            <v>CONFORM</v>
          </cell>
          <cell r="BE207" t="str">
            <v>CONFORM</v>
          </cell>
          <cell r="BF207" t="str">
            <v>CONFORM</v>
          </cell>
        </row>
        <row r="208">
          <cell r="A208">
            <v>43763</v>
          </cell>
          <cell r="B208" t="str">
            <v>D1910155-5</v>
          </cell>
          <cell r="C208" t="str">
            <v>037/19</v>
          </cell>
          <cell r="D208">
            <v>1</v>
          </cell>
          <cell r="E208" t="str">
            <v>OCTOBER 2019</v>
          </cell>
          <cell r="F208" t="str">
            <v>DC</v>
          </cell>
          <cell r="G208" t="str">
            <v>Late</v>
          </cell>
          <cell r="H208" t="str">
            <v>128028-1</v>
          </cell>
          <cell r="I208">
            <v>43761</v>
          </cell>
          <cell r="J208" t="str">
            <v>UPM</v>
          </cell>
          <cell r="K208" t="str">
            <v>D1910155</v>
          </cell>
          <cell r="L208">
            <v>5</v>
          </cell>
          <cell r="N208" t="str">
            <v>C35R</v>
          </cell>
          <cell r="O208" t="str">
            <v xml:space="preserve">1.4306 TP304L </v>
          </cell>
          <cell r="P208" t="str">
            <v>304L</v>
          </cell>
          <cell r="Q208">
            <v>2.2759999999999998</v>
          </cell>
          <cell r="R208">
            <v>2.2730000000000001</v>
          </cell>
          <cell r="S208">
            <v>6.3E-2</v>
          </cell>
          <cell r="T208">
            <v>6.0100000000000001E-2</v>
          </cell>
          <cell r="V208">
            <v>6.0100000000000001E-2</v>
          </cell>
          <cell r="X208">
            <v>3569</v>
          </cell>
          <cell r="Y208">
            <v>4</v>
          </cell>
          <cell r="Z208">
            <v>392.02548330404221</v>
          </cell>
          <cell r="AA208" t="str">
            <v>2.276X0.063-304L</v>
          </cell>
          <cell r="AB208" t="str">
            <v>WAAC005780160B300010</v>
          </cell>
          <cell r="AC208" t="str">
            <v>D1910155</v>
          </cell>
          <cell r="AD208" t="str">
            <v>C35R</v>
          </cell>
          <cell r="AE208">
            <v>1.95E-2</v>
          </cell>
          <cell r="AF208">
            <v>1.6888000000000001</v>
          </cell>
          <cell r="AG208">
            <v>3.3000000000000002E-2</v>
          </cell>
          <cell r="AH208">
            <v>1E-3</v>
          </cell>
          <cell r="AI208">
            <v>0.24099999999999999</v>
          </cell>
          <cell r="AJ208">
            <v>18.208500000000001</v>
          </cell>
          <cell r="AK208">
            <v>8.234</v>
          </cell>
          <cell r="AL208">
            <v>5.74E-2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Y208" t="str">
            <v/>
          </cell>
          <cell r="AZ208">
            <v>1.68</v>
          </cell>
          <cell r="BA208" t="str">
            <v>D1910155</v>
          </cell>
          <cell r="BB208" t="str">
            <v>CONFORM</v>
          </cell>
          <cell r="BC208" t="str">
            <v>CONFORM</v>
          </cell>
          <cell r="BD208" t="str">
            <v>CONFORM</v>
          </cell>
          <cell r="BE208" t="str">
            <v>CONFORM</v>
          </cell>
          <cell r="BF208" t="str">
            <v>CONFORM</v>
          </cell>
        </row>
        <row r="209">
          <cell r="A209">
            <v>43776</v>
          </cell>
          <cell r="B209" t="str">
            <v>D1911028-1</v>
          </cell>
          <cell r="C209" t="str">
            <v>033/19</v>
          </cell>
          <cell r="D209">
            <v>1</v>
          </cell>
          <cell r="E209" t="str">
            <v>NOVEMBER 2019</v>
          </cell>
          <cell r="F209" t="str">
            <v>DC</v>
          </cell>
          <cell r="G209" t="str">
            <v>On Time</v>
          </cell>
          <cell r="H209" t="str">
            <v>0008483039</v>
          </cell>
          <cell r="I209">
            <v>43774</v>
          </cell>
          <cell r="J209" t="str">
            <v>OUTO</v>
          </cell>
          <cell r="K209" t="str">
            <v>D1911028</v>
          </cell>
          <cell r="L209">
            <v>1</v>
          </cell>
          <cell r="M209">
            <v>857265</v>
          </cell>
          <cell r="N209">
            <v>527037</v>
          </cell>
          <cell r="O209" t="str">
            <v xml:space="preserve">1.4401/1.4404 TP316/316L </v>
          </cell>
          <cell r="P209" t="str">
            <v>316L</v>
          </cell>
          <cell r="Q209">
            <v>4.6849999999999996</v>
          </cell>
          <cell r="R209">
            <v>4.702</v>
          </cell>
          <cell r="S209">
            <v>4.8000000000000001E-2</v>
          </cell>
          <cell r="T209">
            <v>4.5600000000000002E-2</v>
          </cell>
          <cell r="V209">
            <v>4.5600000000000002E-2</v>
          </cell>
          <cell r="X209">
            <v>4414</v>
          </cell>
          <cell r="Y209">
            <v>1</v>
          </cell>
          <cell r="Z209">
            <v>942.15581643543226</v>
          </cell>
          <cell r="AA209" t="str">
            <v>4.685X0.048-316L</v>
          </cell>
          <cell r="AB209" t="e">
            <v>#N/A</v>
          </cell>
          <cell r="AC209" t="str">
            <v>D1911028</v>
          </cell>
          <cell r="AD209">
            <v>527037</v>
          </cell>
          <cell r="AE209">
            <v>2.8000000000000001E-2</v>
          </cell>
          <cell r="AF209">
            <v>1.42</v>
          </cell>
          <cell r="AG209">
            <v>3.3000000000000002E-2</v>
          </cell>
          <cell r="AH209">
            <v>1E-3</v>
          </cell>
          <cell r="AI209">
            <v>0.42</v>
          </cell>
          <cell r="AJ209">
            <v>16.600000000000001</v>
          </cell>
          <cell r="AK209">
            <v>10.039999999999999</v>
          </cell>
          <cell r="AL209">
            <v>2.9000000000000001E-2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Y209" t="str">
            <v/>
          </cell>
          <cell r="AZ209">
            <v>1.88</v>
          </cell>
          <cell r="BA209" t="str">
            <v>D1911028</v>
          </cell>
          <cell r="BB209" t="str">
            <v>CONFORM</v>
          </cell>
          <cell r="BC209" t="str">
            <v>CONFORM</v>
          </cell>
          <cell r="BD209" t="str">
            <v>CONFORM</v>
          </cell>
          <cell r="BE209" t="str">
            <v>CONFORM</v>
          </cell>
          <cell r="BF209" t="str">
            <v>CONFORM</v>
          </cell>
        </row>
        <row r="210">
          <cell r="A210">
            <v>43776</v>
          </cell>
          <cell r="B210" t="str">
            <v>D1911028-2</v>
          </cell>
          <cell r="C210" t="str">
            <v>033/19</v>
          </cell>
          <cell r="D210">
            <v>1</v>
          </cell>
          <cell r="E210" t="str">
            <v>NOVEMBER 2019</v>
          </cell>
          <cell r="F210" t="str">
            <v>DC</v>
          </cell>
          <cell r="G210" t="str">
            <v>On Time</v>
          </cell>
          <cell r="H210" t="str">
            <v>0008483039</v>
          </cell>
          <cell r="I210">
            <v>43774</v>
          </cell>
          <cell r="J210" t="str">
            <v>OUTO</v>
          </cell>
          <cell r="K210" t="str">
            <v>D1911028</v>
          </cell>
          <cell r="L210">
            <v>2</v>
          </cell>
          <cell r="M210">
            <v>857265</v>
          </cell>
          <cell r="N210">
            <v>527037</v>
          </cell>
          <cell r="O210" t="str">
            <v xml:space="preserve">1.4401/1.4404 TP316/316L </v>
          </cell>
          <cell r="P210" t="str">
            <v>316L</v>
          </cell>
          <cell r="Q210">
            <v>4.6849999999999996</v>
          </cell>
          <cell r="R210">
            <v>4.6959999999999997</v>
          </cell>
          <cell r="S210">
            <v>4.8000000000000001E-2</v>
          </cell>
          <cell r="T210">
            <v>4.5699999999999998E-2</v>
          </cell>
          <cell r="V210">
            <v>4.5699999999999998E-2</v>
          </cell>
          <cell r="X210">
            <v>4431</v>
          </cell>
          <cell r="Y210">
            <v>1</v>
          </cell>
          <cell r="Z210">
            <v>945.78441835645685</v>
          </cell>
          <cell r="AA210" t="str">
            <v>4.685X0.048-316L</v>
          </cell>
          <cell r="AB210" t="e">
            <v>#N/A</v>
          </cell>
          <cell r="AC210" t="str">
            <v>D1911028</v>
          </cell>
          <cell r="AD210">
            <v>527037</v>
          </cell>
          <cell r="AE210">
            <v>2.8000000000000001E-2</v>
          </cell>
          <cell r="AF210">
            <v>1.42</v>
          </cell>
          <cell r="AG210">
            <v>3.3000000000000002E-2</v>
          </cell>
          <cell r="AH210">
            <v>1E-3</v>
          </cell>
          <cell r="AI210">
            <v>0.42</v>
          </cell>
          <cell r="AJ210">
            <v>16.600000000000001</v>
          </cell>
          <cell r="AK210">
            <v>10.039999999999999</v>
          </cell>
          <cell r="AL210">
            <v>2.9000000000000001E-2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Y210" t="str">
            <v/>
          </cell>
          <cell r="AZ210">
            <v>1.88</v>
          </cell>
          <cell r="BA210" t="str">
            <v>D1911028</v>
          </cell>
          <cell r="BB210" t="str">
            <v>CONFORM</v>
          </cell>
          <cell r="BC210" t="str">
            <v>CONFORM</v>
          </cell>
          <cell r="BD210" t="str">
            <v>CONFORM</v>
          </cell>
          <cell r="BE210" t="str">
            <v>CONFORM</v>
          </cell>
          <cell r="BF210" t="str">
            <v>CONFORM</v>
          </cell>
        </row>
        <row r="211">
          <cell r="A211">
            <v>43776</v>
          </cell>
          <cell r="B211" t="str">
            <v>D1911028-3</v>
          </cell>
          <cell r="C211" t="str">
            <v>033/19</v>
          </cell>
          <cell r="D211">
            <v>1</v>
          </cell>
          <cell r="E211" t="str">
            <v>NOVEMBER 2019</v>
          </cell>
          <cell r="F211" t="str">
            <v>DC</v>
          </cell>
          <cell r="G211" t="str">
            <v>On Time</v>
          </cell>
          <cell r="H211" t="str">
            <v>0008483039</v>
          </cell>
          <cell r="I211">
            <v>43774</v>
          </cell>
          <cell r="J211" t="str">
            <v>OUTO</v>
          </cell>
          <cell r="K211" t="str">
            <v>D1911028</v>
          </cell>
          <cell r="L211">
            <v>3</v>
          </cell>
          <cell r="M211">
            <v>857265</v>
          </cell>
          <cell r="N211">
            <v>527037</v>
          </cell>
          <cell r="O211" t="str">
            <v xml:space="preserve">1.4401/1.4404 TP316/316L </v>
          </cell>
          <cell r="P211" t="str">
            <v>316L</v>
          </cell>
          <cell r="Q211">
            <v>4.6849999999999996</v>
          </cell>
          <cell r="R211">
            <v>4.702</v>
          </cell>
          <cell r="S211">
            <v>4.8000000000000001E-2</v>
          </cell>
          <cell r="T211">
            <v>4.6600000000000003E-2</v>
          </cell>
          <cell r="V211">
            <v>4.6600000000000003E-2</v>
          </cell>
          <cell r="X211">
            <v>4440</v>
          </cell>
          <cell r="Y211">
            <v>1</v>
          </cell>
          <cell r="Z211">
            <v>947.7054429028816</v>
          </cell>
          <cell r="AA211" t="str">
            <v>4.685X0.048-316L</v>
          </cell>
          <cell r="AB211" t="e">
            <v>#N/A</v>
          </cell>
          <cell r="AC211" t="str">
            <v>D1911028</v>
          </cell>
          <cell r="AD211">
            <v>527037</v>
          </cell>
          <cell r="AE211">
            <v>2.8000000000000001E-2</v>
          </cell>
          <cell r="AF211">
            <v>1.42</v>
          </cell>
          <cell r="AG211">
            <v>3.3000000000000002E-2</v>
          </cell>
          <cell r="AH211">
            <v>1E-3</v>
          </cell>
          <cell r="AI211">
            <v>0.42</v>
          </cell>
          <cell r="AJ211">
            <v>16.600000000000001</v>
          </cell>
          <cell r="AK211">
            <v>10.039999999999999</v>
          </cell>
          <cell r="AL211">
            <v>2.9000000000000001E-2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Y211" t="str">
            <v/>
          </cell>
          <cell r="AZ211">
            <v>1.88</v>
          </cell>
          <cell r="BA211" t="str">
            <v>D1911028</v>
          </cell>
          <cell r="BB211" t="str">
            <v>CONFORM</v>
          </cell>
          <cell r="BC211" t="str">
            <v>CONFORM</v>
          </cell>
          <cell r="BD211" t="str">
            <v>CONFORM</v>
          </cell>
          <cell r="BE211" t="str">
            <v>CONFORM</v>
          </cell>
          <cell r="BF211" t="str">
            <v>CONFORM</v>
          </cell>
        </row>
        <row r="212">
          <cell r="A212">
            <v>43776</v>
          </cell>
          <cell r="B212" t="str">
            <v>D1911028-4</v>
          </cell>
          <cell r="C212" t="str">
            <v>033/19</v>
          </cell>
          <cell r="D212">
            <v>1</v>
          </cell>
          <cell r="E212" t="str">
            <v>NOVEMBER 2019</v>
          </cell>
          <cell r="F212" t="str">
            <v>DC</v>
          </cell>
          <cell r="G212" t="str">
            <v>On Time</v>
          </cell>
          <cell r="H212" t="str">
            <v>0008483039</v>
          </cell>
          <cell r="I212">
            <v>43774</v>
          </cell>
          <cell r="J212" t="str">
            <v>OUTO</v>
          </cell>
          <cell r="K212" t="str">
            <v>D1911028</v>
          </cell>
          <cell r="L212">
            <v>4</v>
          </cell>
          <cell r="M212">
            <v>857265</v>
          </cell>
          <cell r="N212">
            <v>527037</v>
          </cell>
          <cell r="O212" t="str">
            <v xml:space="preserve">1.4401/1.4404 TP316/316L </v>
          </cell>
          <cell r="P212" t="str">
            <v>316L</v>
          </cell>
          <cell r="Q212">
            <v>4.6849999999999996</v>
          </cell>
          <cell r="R212">
            <v>4.6989999999999998</v>
          </cell>
          <cell r="S212">
            <v>4.8000000000000001E-2</v>
          </cell>
          <cell r="T212">
            <v>4.5499999999999999E-2</v>
          </cell>
          <cell r="V212">
            <v>4.5499999999999999E-2</v>
          </cell>
          <cell r="X212">
            <v>4445</v>
          </cell>
          <cell r="Y212">
            <v>1</v>
          </cell>
          <cell r="Z212">
            <v>948.77267876200654</v>
          </cell>
          <cell r="AA212" t="str">
            <v>4.685X0.048-316L</v>
          </cell>
          <cell r="AB212" t="e">
            <v>#N/A</v>
          </cell>
          <cell r="AC212" t="str">
            <v>D1911028</v>
          </cell>
          <cell r="AD212">
            <v>527037</v>
          </cell>
          <cell r="AE212">
            <v>2.8000000000000001E-2</v>
          </cell>
          <cell r="AF212">
            <v>1.42</v>
          </cell>
          <cell r="AG212">
            <v>3.3000000000000002E-2</v>
          </cell>
          <cell r="AH212">
            <v>1E-3</v>
          </cell>
          <cell r="AI212">
            <v>0.42</v>
          </cell>
          <cell r="AJ212">
            <v>16.600000000000001</v>
          </cell>
          <cell r="AK212">
            <v>10.039999999999999</v>
          </cell>
          <cell r="AL212">
            <v>2.9000000000000001E-2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Y212" t="str">
            <v/>
          </cell>
          <cell r="AZ212">
            <v>1.88</v>
          </cell>
          <cell r="BA212" t="str">
            <v>D1911028</v>
          </cell>
          <cell r="BB212" t="str">
            <v>CONFORM</v>
          </cell>
          <cell r="BC212" t="str">
            <v>CONFORM</v>
          </cell>
          <cell r="BD212" t="str">
            <v>CONFORM</v>
          </cell>
          <cell r="BE212" t="str">
            <v>CONFORM</v>
          </cell>
          <cell r="BF212" t="str">
            <v>CONFORM</v>
          </cell>
        </row>
        <row r="213">
          <cell r="A213">
            <v>43776</v>
          </cell>
          <cell r="B213" t="str">
            <v>D1911028-5</v>
          </cell>
          <cell r="C213" t="str">
            <v>033/19</v>
          </cell>
          <cell r="D213">
            <v>1</v>
          </cell>
          <cell r="E213" t="str">
            <v>NOVEMBER 2019</v>
          </cell>
          <cell r="F213" t="str">
            <v>DC</v>
          </cell>
          <cell r="G213" t="str">
            <v>On Time</v>
          </cell>
          <cell r="H213" t="str">
            <v>0008483039</v>
          </cell>
          <cell r="I213">
            <v>43774</v>
          </cell>
          <cell r="J213" t="str">
            <v>OUTO</v>
          </cell>
          <cell r="K213" t="str">
            <v>D1911028</v>
          </cell>
          <cell r="L213">
            <v>5</v>
          </cell>
          <cell r="M213">
            <v>857265</v>
          </cell>
          <cell r="N213">
            <v>527037</v>
          </cell>
          <cell r="O213" t="str">
            <v xml:space="preserve">1.4401/1.4404 TP316/316L </v>
          </cell>
          <cell r="P213" t="str">
            <v>316L</v>
          </cell>
          <cell r="Q213">
            <v>4.6849999999999996</v>
          </cell>
          <cell r="R213">
            <v>4.7009999999999996</v>
          </cell>
          <cell r="S213">
            <v>4.8000000000000001E-2</v>
          </cell>
          <cell r="T213">
            <v>4.7E-2</v>
          </cell>
          <cell r="V213">
            <v>4.7E-2</v>
          </cell>
          <cell r="X213">
            <v>4453</v>
          </cell>
          <cell r="Y213">
            <v>1</v>
          </cell>
          <cell r="Z213">
            <v>950.48025613660627</v>
          </cell>
          <cell r="AA213" t="str">
            <v>4.685X0.048-316L</v>
          </cell>
          <cell r="AB213" t="e">
            <v>#N/A</v>
          </cell>
          <cell r="AC213" t="str">
            <v>D1911028</v>
          </cell>
          <cell r="AD213">
            <v>527037</v>
          </cell>
          <cell r="AE213">
            <v>2.8000000000000001E-2</v>
          </cell>
          <cell r="AF213">
            <v>1.42</v>
          </cell>
          <cell r="AG213">
            <v>3.3000000000000002E-2</v>
          </cell>
          <cell r="AH213">
            <v>1E-3</v>
          </cell>
          <cell r="AI213">
            <v>0.42</v>
          </cell>
          <cell r="AJ213">
            <v>16.600000000000001</v>
          </cell>
          <cell r="AK213">
            <v>10.039999999999999</v>
          </cell>
          <cell r="AL213">
            <v>2.9000000000000001E-2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Y213" t="str">
            <v/>
          </cell>
          <cell r="AZ213">
            <v>1.88</v>
          </cell>
          <cell r="BA213" t="str">
            <v>D1911028</v>
          </cell>
          <cell r="BB213" t="str">
            <v>CONFORM</v>
          </cell>
          <cell r="BC213" t="str">
            <v>CONFORM</v>
          </cell>
          <cell r="BD213" t="str">
            <v>CONFORM</v>
          </cell>
          <cell r="BE213" t="str">
            <v>CONFORM</v>
          </cell>
          <cell r="BF213" t="str">
            <v>CONFORM</v>
          </cell>
        </row>
        <row r="214">
          <cell r="A214">
            <v>43776</v>
          </cell>
          <cell r="B214" t="str">
            <v>D1911028-6</v>
          </cell>
          <cell r="C214" t="str">
            <v>033/19</v>
          </cell>
          <cell r="D214">
            <v>1</v>
          </cell>
          <cell r="E214" t="str">
            <v>NOVEMBER 2019</v>
          </cell>
          <cell r="F214" t="str">
            <v>DC</v>
          </cell>
          <cell r="G214" t="str">
            <v>On Time</v>
          </cell>
          <cell r="H214" t="str">
            <v>0008483039</v>
          </cell>
          <cell r="I214">
            <v>43774</v>
          </cell>
          <cell r="J214" t="str">
            <v>OUTO</v>
          </cell>
          <cell r="K214" t="str">
            <v>D1911028</v>
          </cell>
          <cell r="L214">
            <v>6</v>
          </cell>
          <cell r="M214">
            <v>857265</v>
          </cell>
          <cell r="N214">
            <v>527037</v>
          </cell>
          <cell r="O214" t="str">
            <v xml:space="preserve">1.4401/1.4404 TP316/316L </v>
          </cell>
          <cell r="P214" t="str">
            <v>316L</v>
          </cell>
          <cell r="Q214">
            <v>4.6849999999999996</v>
          </cell>
          <cell r="R214">
            <v>4.7205000000000004</v>
          </cell>
          <cell r="S214">
            <v>4.8000000000000001E-2</v>
          </cell>
          <cell r="T214">
            <v>4.6899999999999997E-2</v>
          </cell>
          <cell r="V214">
            <v>4.6899999999999997E-2</v>
          </cell>
          <cell r="X214">
            <v>4519</v>
          </cell>
          <cell r="Y214">
            <v>1</v>
          </cell>
          <cell r="Z214">
            <v>964.56776947705453</v>
          </cell>
          <cell r="AA214" t="str">
            <v>4.685X0.048-316L</v>
          </cell>
          <cell r="AB214" t="e">
            <v>#N/A</v>
          </cell>
          <cell r="AC214" t="str">
            <v>D1911028</v>
          </cell>
          <cell r="AD214">
            <v>527037</v>
          </cell>
          <cell r="AE214">
            <v>2.8000000000000001E-2</v>
          </cell>
          <cell r="AF214">
            <v>1.42</v>
          </cell>
          <cell r="AG214">
            <v>3.3000000000000002E-2</v>
          </cell>
          <cell r="AH214">
            <v>1E-3</v>
          </cell>
          <cell r="AI214">
            <v>0.42</v>
          </cell>
          <cell r="AJ214">
            <v>16.600000000000001</v>
          </cell>
          <cell r="AK214">
            <v>10.039999999999999</v>
          </cell>
          <cell r="AL214">
            <v>2.9000000000000001E-2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Y214" t="str">
            <v/>
          </cell>
          <cell r="AZ214">
            <v>1.88</v>
          </cell>
          <cell r="BA214" t="str">
            <v>D1911028</v>
          </cell>
          <cell r="BB214" t="str">
            <v>CONFORM</v>
          </cell>
          <cell r="BC214" t="str">
            <v>CONFORM</v>
          </cell>
          <cell r="BD214" t="str">
            <v>CONFORM</v>
          </cell>
          <cell r="BE214" t="str">
            <v>CONFORM</v>
          </cell>
          <cell r="BF214" t="str">
            <v>CONFORM</v>
          </cell>
        </row>
        <row r="215">
          <cell r="A215">
            <v>43776</v>
          </cell>
          <cell r="B215" t="str">
            <v>D1911028-7</v>
          </cell>
          <cell r="C215" t="str">
            <v>033/19</v>
          </cell>
          <cell r="D215">
            <v>1</v>
          </cell>
          <cell r="E215" t="str">
            <v>NOVEMBER 2019</v>
          </cell>
          <cell r="F215" t="str">
            <v>DC</v>
          </cell>
          <cell r="G215" t="str">
            <v>On Time</v>
          </cell>
          <cell r="H215" t="str">
            <v>0008483039</v>
          </cell>
          <cell r="I215">
            <v>43774</v>
          </cell>
          <cell r="J215" t="str">
            <v>OUTO</v>
          </cell>
          <cell r="K215" t="str">
            <v>D1911028</v>
          </cell>
          <cell r="L215">
            <v>7</v>
          </cell>
          <cell r="M215">
            <v>857265</v>
          </cell>
          <cell r="N215">
            <v>527037</v>
          </cell>
          <cell r="O215" t="str">
            <v xml:space="preserve">1.4401/1.4404 TP316/316L </v>
          </cell>
          <cell r="P215" t="str">
            <v>316L</v>
          </cell>
          <cell r="Q215">
            <v>4.6849999999999996</v>
          </cell>
          <cell r="R215">
            <v>4.7060000000000004</v>
          </cell>
          <cell r="S215">
            <v>4.8000000000000001E-2</v>
          </cell>
          <cell r="T215">
            <v>4.7E-2</v>
          </cell>
          <cell r="V215">
            <v>4.7E-2</v>
          </cell>
          <cell r="X215">
            <v>4506</v>
          </cell>
          <cell r="Y215">
            <v>1</v>
          </cell>
          <cell r="Z215">
            <v>961.79295624332985</v>
          </cell>
          <cell r="AA215" t="str">
            <v>4.685X0.048-316L</v>
          </cell>
          <cell r="AB215" t="e">
            <v>#N/A</v>
          </cell>
          <cell r="AC215" t="str">
            <v>D1911028</v>
          </cell>
          <cell r="AD215">
            <v>527037</v>
          </cell>
          <cell r="AE215">
            <v>2.8000000000000001E-2</v>
          </cell>
          <cell r="AF215">
            <v>1.42</v>
          </cell>
          <cell r="AG215">
            <v>3.3000000000000002E-2</v>
          </cell>
          <cell r="AH215">
            <v>1E-3</v>
          </cell>
          <cell r="AI215">
            <v>0.42</v>
          </cell>
          <cell r="AJ215">
            <v>16.600000000000001</v>
          </cell>
          <cell r="AK215">
            <v>10.039999999999999</v>
          </cell>
          <cell r="AL215">
            <v>2.9000000000000001E-2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Y215" t="str">
            <v/>
          </cell>
          <cell r="AZ215">
            <v>1.88</v>
          </cell>
          <cell r="BA215" t="str">
            <v>D1911028</v>
          </cell>
          <cell r="BB215" t="str">
            <v>CONFORM</v>
          </cell>
          <cell r="BC215" t="str">
            <v>CONFORM</v>
          </cell>
          <cell r="BD215" t="str">
            <v>CONFORM</v>
          </cell>
          <cell r="BE215" t="str">
            <v>CONFORM</v>
          </cell>
          <cell r="BF215" t="str">
            <v>CONFORM</v>
          </cell>
        </row>
        <row r="216">
          <cell r="A216">
            <v>43776</v>
          </cell>
          <cell r="B216" t="str">
            <v>D1911028-8</v>
          </cell>
          <cell r="C216" t="str">
            <v>033/19</v>
          </cell>
          <cell r="D216">
            <v>1</v>
          </cell>
          <cell r="E216" t="str">
            <v>NOVEMBER 2019</v>
          </cell>
          <cell r="F216" t="str">
            <v>DC</v>
          </cell>
          <cell r="G216" t="str">
            <v>On Time</v>
          </cell>
          <cell r="H216" t="str">
            <v>0008483039</v>
          </cell>
          <cell r="I216">
            <v>43774</v>
          </cell>
          <cell r="J216" t="str">
            <v>OUTO</v>
          </cell>
          <cell r="K216" t="str">
            <v>D1911028</v>
          </cell>
          <cell r="L216">
            <v>8</v>
          </cell>
          <cell r="M216">
            <v>857265</v>
          </cell>
          <cell r="N216">
            <v>527037</v>
          </cell>
          <cell r="O216" t="str">
            <v xml:space="preserve">1.4401/1.4404 TP316/316L </v>
          </cell>
          <cell r="P216" t="str">
            <v>316L</v>
          </cell>
          <cell r="Q216">
            <v>4.6849999999999996</v>
          </cell>
          <cell r="R216">
            <v>4.702</v>
          </cell>
          <cell r="S216">
            <v>4.8000000000000001E-2</v>
          </cell>
          <cell r="T216">
            <v>4.5900000000000003E-2</v>
          </cell>
          <cell r="V216">
            <v>4.5900000000000003E-2</v>
          </cell>
          <cell r="X216">
            <v>4511</v>
          </cell>
          <cell r="Y216">
            <v>1</v>
          </cell>
          <cell r="Z216">
            <v>962.86019210245468</v>
          </cell>
          <cell r="AA216" t="str">
            <v>4.685X0.048-316L</v>
          </cell>
          <cell r="AB216" t="e">
            <v>#N/A</v>
          </cell>
          <cell r="AC216" t="str">
            <v>D1911028</v>
          </cell>
          <cell r="AD216">
            <v>527037</v>
          </cell>
          <cell r="AE216">
            <v>2.8000000000000001E-2</v>
          </cell>
          <cell r="AF216">
            <v>1.42</v>
          </cell>
          <cell r="AG216">
            <v>3.3000000000000002E-2</v>
          </cell>
          <cell r="AH216">
            <v>1E-3</v>
          </cell>
          <cell r="AI216">
            <v>0.42</v>
          </cell>
          <cell r="AJ216">
            <v>16.600000000000001</v>
          </cell>
          <cell r="AK216">
            <v>10.039999999999999</v>
          </cell>
          <cell r="AL216">
            <v>2.9000000000000001E-2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Y216" t="str">
            <v/>
          </cell>
          <cell r="AZ216">
            <v>1.88</v>
          </cell>
          <cell r="BA216" t="str">
            <v>D1911028</v>
          </cell>
          <cell r="BB216" t="str">
            <v>CONFORM</v>
          </cell>
          <cell r="BC216" t="str">
            <v>CONFORM</v>
          </cell>
          <cell r="BD216" t="str">
            <v>CONFORM</v>
          </cell>
          <cell r="BE216" t="str">
            <v>CONFORM</v>
          </cell>
          <cell r="BF216" t="str">
            <v>CONFORM</v>
          </cell>
        </row>
        <row r="217">
          <cell r="A217">
            <v>43776</v>
          </cell>
          <cell r="B217" t="str">
            <v>D1911028-9</v>
          </cell>
          <cell r="C217" t="str">
            <v>033/19</v>
          </cell>
          <cell r="D217">
            <v>1</v>
          </cell>
          <cell r="E217" t="str">
            <v>NOVEMBER 2019</v>
          </cell>
          <cell r="F217" t="str">
            <v>DC</v>
          </cell>
          <cell r="G217" t="str">
            <v>On Time</v>
          </cell>
          <cell r="H217" t="str">
            <v>0008483039</v>
          </cell>
          <cell r="I217">
            <v>43774</v>
          </cell>
          <cell r="J217" t="str">
            <v>OUTO</v>
          </cell>
          <cell r="K217" t="str">
            <v>D1911028</v>
          </cell>
          <cell r="L217">
            <v>9</v>
          </cell>
          <cell r="M217">
            <v>857265</v>
          </cell>
          <cell r="N217">
            <v>527037</v>
          </cell>
          <cell r="O217" t="str">
            <v xml:space="preserve">1.4401/1.4404 TP316/316L </v>
          </cell>
          <cell r="P217" t="str">
            <v>316L</v>
          </cell>
          <cell r="Q217">
            <v>4.6849999999999996</v>
          </cell>
          <cell r="R217">
            <v>4.7095000000000002</v>
          </cell>
          <cell r="S217">
            <v>4.8000000000000001E-2</v>
          </cell>
          <cell r="T217">
            <v>4.65E-2</v>
          </cell>
          <cell r="V217">
            <v>4.65E-2</v>
          </cell>
          <cell r="X217">
            <v>4489</v>
          </cell>
          <cell r="Y217">
            <v>1</v>
          </cell>
          <cell r="Z217">
            <v>958.16435432230526</v>
          </cell>
          <cell r="AA217" t="str">
            <v>4.685X0.048-316L</v>
          </cell>
          <cell r="AB217" t="e">
            <v>#N/A</v>
          </cell>
          <cell r="AC217" t="str">
            <v>D1911028</v>
          </cell>
          <cell r="AD217">
            <v>527037</v>
          </cell>
          <cell r="AE217">
            <v>2.8000000000000001E-2</v>
          </cell>
          <cell r="AF217">
            <v>1.42</v>
          </cell>
          <cell r="AG217">
            <v>3.3000000000000002E-2</v>
          </cell>
          <cell r="AH217">
            <v>1E-3</v>
          </cell>
          <cell r="AI217">
            <v>0.42</v>
          </cell>
          <cell r="AJ217">
            <v>16.600000000000001</v>
          </cell>
          <cell r="AK217">
            <v>10.039999999999999</v>
          </cell>
          <cell r="AL217">
            <v>2.9000000000000001E-2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Y217" t="str">
            <v/>
          </cell>
          <cell r="AZ217">
            <v>1.88</v>
          </cell>
          <cell r="BA217" t="str">
            <v>D1911028</v>
          </cell>
          <cell r="BB217" t="str">
            <v>CONFORM</v>
          </cell>
          <cell r="BC217" t="str">
            <v>CONFORM</v>
          </cell>
          <cell r="BD217" t="str">
            <v>CONFORM</v>
          </cell>
          <cell r="BE217" t="str">
            <v>CONFORM</v>
          </cell>
          <cell r="BF217" t="str">
            <v>CONFORM</v>
          </cell>
        </row>
        <row r="218">
          <cell r="A218">
            <v>43776</v>
          </cell>
          <cell r="B218" t="str">
            <v>D1911028-10</v>
          </cell>
          <cell r="C218" t="str">
            <v>033/19</v>
          </cell>
          <cell r="D218">
            <v>1</v>
          </cell>
          <cell r="E218" t="str">
            <v>NOVEMBER 2019</v>
          </cell>
          <cell r="F218" t="str">
            <v>DC</v>
          </cell>
          <cell r="G218" t="str">
            <v>On Time</v>
          </cell>
          <cell r="H218" t="str">
            <v>0008483039</v>
          </cell>
          <cell r="I218">
            <v>43774</v>
          </cell>
          <cell r="J218" t="str">
            <v>OUTO</v>
          </cell>
          <cell r="K218" t="str">
            <v>D1911028</v>
          </cell>
          <cell r="L218">
            <v>10</v>
          </cell>
          <cell r="M218">
            <v>857265</v>
          </cell>
          <cell r="N218">
            <v>527037</v>
          </cell>
          <cell r="O218" t="str">
            <v xml:space="preserve">1.4401/1.4404 TP316/316L </v>
          </cell>
          <cell r="P218" t="str">
            <v>316L</v>
          </cell>
          <cell r="Q218">
            <v>4.6849999999999996</v>
          </cell>
          <cell r="R218">
            <v>4.6994999999999996</v>
          </cell>
          <cell r="S218">
            <v>4.8000000000000001E-2</v>
          </cell>
          <cell r="T218">
            <v>4.7E-2</v>
          </cell>
          <cell r="V218">
            <v>4.7E-2</v>
          </cell>
          <cell r="X218">
            <v>4484</v>
          </cell>
          <cell r="Y218">
            <v>1</v>
          </cell>
          <cell r="Z218">
            <v>957.09711846318044</v>
          </cell>
          <cell r="AA218" t="str">
            <v>4.685X0.048-316L</v>
          </cell>
          <cell r="AB218" t="e">
            <v>#N/A</v>
          </cell>
          <cell r="AC218" t="str">
            <v>D1911028</v>
          </cell>
          <cell r="AD218">
            <v>527037</v>
          </cell>
          <cell r="AE218">
            <v>2.8000000000000001E-2</v>
          </cell>
          <cell r="AF218">
            <v>1.42</v>
          </cell>
          <cell r="AG218">
            <v>3.3000000000000002E-2</v>
          </cell>
          <cell r="AH218">
            <v>1E-3</v>
          </cell>
          <cell r="AI218">
            <v>0.42</v>
          </cell>
          <cell r="AJ218">
            <v>16.600000000000001</v>
          </cell>
          <cell r="AK218">
            <v>10.039999999999999</v>
          </cell>
          <cell r="AL218">
            <v>2.9000000000000001E-2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Y218" t="str">
            <v/>
          </cell>
          <cell r="AZ218">
            <v>1.88</v>
          </cell>
          <cell r="BA218" t="str">
            <v>D1911028</v>
          </cell>
          <cell r="BB218" t="str">
            <v>CONFORM</v>
          </cell>
          <cell r="BC218" t="str">
            <v>CONFORM</v>
          </cell>
          <cell r="BD218" t="str">
            <v>CONFORM</v>
          </cell>
          <cell r="BE218" t="str">
            <v>CONFORM</v>
          </cell>
          <cell r="BF218" t="str">
            <v>CONFORM</v>
          </cell>
        </row>
        <row r="219">
          <cell r="A219">
            <v>43777</v>
          </cell>
          <cell r="B219" t="str">
            <v>D1911030-1</v>
          </cell>
          <cell r="C219" t="str">
            <v>031/19</v>
          </cell>
          <cell r="D219">
            <v>1</v>
          </cell>
          <cell r="E219" t="str">
            <v>NOVEMBER 2019</v>
          </cell>
          <cell r="F219" t="str">
            <v>DC</v>
          </cell>
          <cell r="G219" t="str">
            <v>On Time</v>
          </cell>
          <cell r="H219" t="str">
            <v>L322154</v>
          </cell>
          <cell r="I219">
            <v>43776</v>
          </cell>
          <cell r="J219" t="str">
            <v>ATI</v>
          </cell>
          <cell r="K219" t="str">
            <v>D1911030</v>
          </cell>
          <cell r="L219">
            <v>1</v>
          </cell>
          <cell r="M219" t="str">
            <v>AAC80147-A</v>
          </cell>
          <cell r="N219">
            <v>859101</v>
          </cell>
          <cell r="O219" t="str">
            <v xml:space="preserve">1.4401/1.4404 TP316/316L </v>
          </cell>
          <cell r="P219" t="str">
            <v>316L</v>
          </cell>
          <cell r="Q219">
            <v>4.6849999999999996</v>
          </cell>
          <cell r="R219">
            <v>4.7089999999999996</v>
          </cell>
          <cell r="S219">
            <v>4.7E-2</v>
          </cell>
          <cell r="T219">
            <v>4.5600000000000002E-2</v>
          </cell>
          <cell r="V219">
            <v>4.5600000000000002E-2</v>
          </cell>
          <cell r="X219">
            <v>4220</v>
          </cell>
          <cell r="Y219">
            <v>1</v>
          </cell>
          <cell r="Z219">
            <v>900.74706510138753</v>
          </cell>
          <cell r="AA219" t="str">
            <v>4.685X0.047-316L</v>
          </cell>
          <cell r="AB219" t="str">
            <v>WAAF011900120B300044</v>
          </cell>
          <cell r="AC219" t="str">
            <v>D1911030</v>
          </cell>
          <cell r="AD219">
            <v>859101</v>
          </cell>
          <cell r="AE219">
            <v>1.9E-2</v>
          </cell>
          <cell r="AF219">
            <v>1.67</v>
          </cell>
          <cell r="AG219">
            <v>3.6999999999999998E-2</v>
          </cell>
          <cell r="AH219">
            <v>1E-3</v>
          </cell>
          <cell r="AI219">
            <v>0.33</v>
          </cell>
          <cell r="AJ219">
            <v>16.71</v>
          </cell>
          <cell r="AK219">
            <v>10.16</v>
          </cell>
          <cell r="AL219">
            <v>0.04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Y219" t="str">
            <v/>
          </cell>
          <cell r="AZ219">
            <v>1.88</v>
          </cell>
          <cell r="BA219" t="str">
            <v>D1911030</v>
          </cell>
          <cell r="BB219" t="str">
            <v>CONFORM</v>
          </cell>
          <cell r="BC219" t="str">
            <v>CONFORM</v>
          </cell>
          <cell r="BD219" t="str">
            <v>CONFORM</v>
          </cell>
          <cell r="BE219" t="str">
            <v>CONFORM</v>
          </cell>
          <cell r="BF219" t="str">
            <v>CONFORM</v>
          </cell>
        </row>
        <row r="220">
          <cell r="A220">
            <v>43777</v>
          </cell>
          <cell r="B220" t="str">
            <v>D1911030-2</v>
          </cell>
          <cell r="C220" t="str">
            <v>031/19</v>
          </cell>
          <cell r="D220">
            <v>1</v>
          </cell>
          <cell r="E220" t="str">
            <v>NOVEMBER 2019</v>
          </cell>
          <cell r="F220" t="str">
            <v>DC</v>
          </cell>
          <cell r="G220" t="str">
            <v>On Time</v>
          </cell>
          <cell r="H220" t="str">
            <v>L322154</v>
          </cell>
          <cell r="I220">
            <v>43776</v>
          </cell>
          <cell r="J220" t="str">
            <v>ATI</v>
          </cell>
          <cell r="K220" t="str">
            <v>D1911030</v>
          </cell>
          <cell r="L220">
            <v>2</v>
          </cell>
          <cell r="M220" t="str">
            <v>AAC80147-A</v>
          </cell>
          <cell r="N220">
            <v>859101</v>
          </cell>
          <cell r="O220" t="str">
            <v xml:space="preserve">1.4401/1.4404 TP316/316L </v>
          </cell>
          <cell r="P220" t="str">
            <v>316L</v>
          </cell>
          <cell r="Q220">
            <v>4.6849999999999996</v>
          </cell>
          <cell r="R220">
            <v>4.702</v>
          </cell>
          <cell r="S220">
            <v>4.7E-2</v>
          </cell>
          <cell r="T220">
            <v>4.5699999999999998E-2</v>
          </cell>
          <cell r="V220">
            <v>4.5699999999999998E-2</v>
          </cell>
          <cell r="X220">
            <v>4262</v>
          </cell>
          <cell r="Y220">
            <v>1</v>
          </cell>
          <cell r="Z220">
            <v>909.71184631803635</v>
          </cell>
          <cell r="AA220" t="str">
            <v>4.685X0.047-316L</v>
          </cell>
          <cell r="AB220" t="str">
            <v>WAAF011900120B300044</v>
          </cell>
          <cell r="AC220" t="str">
            <v>D1911030</v>
          </cell>
          <cell r="AD220">
            <v>859101</v>
          </cell>
          <cell r="AE220">
            <v>1.9E-2</v>
          </cell>
          <cell r="AF220">
            <v>1.67</v>
          </cell>
          <cell r="AG220">
            <v>3.6999999999999998E-2</v>
          </cell>
          <cell r="AH220">
            <v>1E-3</v>
          </cell>
          <cell r="AI220">
            <v>0.33</v>
          </cell>
          <cell r="AJ220">
            <v>16.71</v>
          </cell>
          <cell r="AK220">
            <v>10.16</v>
          </cell>
          <cell r="AL220">
            <v>0.04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Y220" t="str">
            <v/>
          </cell>
          <cell r="AZ220">
            <v>1.88</v>
          </cell>
          <cell r="BA220" t="str">
            <v>D1911030</v>
          </cell>
          <cell r="BB220" t="str">
            <v>CONFORM</v>
          </cell>
          <cell r="BC220" t="str">
            <v>CONFORM</v>
          </cell>
          <cell r="BD220" t="str">
            <v>CONFORM</v>
          </cell>
          <cell r="BE220" t="str">
            <v>CONFORM</v>
          </cell>
          <cell r="BF220" t="str">
            <v>CONFORM</v>
          </cell>
        </row>
        <row r="221">
          <cell r="A221">
            <v>43777</v>
          </cell>
          <cell r="B221" t="str">
            <v>D1911030-3</v>
          </cell>
          <cell r="C221" t="str">
            <v>031/19</v>
          </cell>
          <cell r="D221">
            <v>1</v>
          </cell>
          <cell r="E221" t="str">
            <v>NOVEMBER 2019</v>
          </cell>
          <cell r="F221" t="str">
            <v>DC</v>
          </cell>
          <cell r="G221" t="str">
            <v>On Time</v>
          </cell>
          <cell r="H221" t="str">
            <v>L322154</v>
          </cell>
          <cell r="I221">
            <v>43776</v>
          </cell>
          <cell r="J221" t="str">
            <v>ATI</v>
          </cell>
          <cell r="K221" t="str">
            <v>D1911030</v>
          </cell>
          <cell r="L221">
            <v>3</v>
          </cell>
          <cell r="M221" t="str">
            <v>AAC80147-A</v>
          </cell>
          <cell r="N221">
            <v>859101</v>
          </cell>
          <cell r="O221" t="str">
            <v xml:space="preserve">1.4401/1.4404 TP316/316L </v>
          </cell>
          <cell r="P221" t="str">
            <v>316L</v>
          </cell>
          <cell r="Q221">
            <v>4.6849999999999996</v>
          </cell>
          <cell r="R221">
            <v>4.6980000000000004</v>
          </cell>
          <cell r="S221">
            <v>4.7E-2</v>
          </cell>
          <cell r="T221">
            <v>4.6600000000000003E-2</v>
          </cell>
          <cell r="V221">
            <v>4.6600000000000003E-2</v>
          </cell>
          <cell r="X221">
            <v>4282</v>
          </cell>
          <cell r="Y221">
            <v>1</v>
          </cell>
          <cell r="Z221">
            <v>913.98078975453586</v>
          </cell>
          <cell r="AA221" t="str">
            <v>4.685X0.047-316L</v>
          </cell>
          <cell r="AB221" t="str">
            <v>WAAF011900120B300044</v>
          </cell>
          <cell r="AC221" t="str">
            <v>D1911030</v>
          </cell>
          <cell r="AD221">
            <v>859101</v>
          </cell>
          <cell r="AE221">
            <v>1.9E-2</v>
          </cell>
          <cell r="AF221">
            <v>1.67</v>
          </cell>
          <cell r="AG221">
            <v>3.6999999999999998E-2</v>
          </cell>
          <cell r="AH221">
            <v>1E-3</v>
          </cell>
          <cell r="AI221">
            <v>0.33</v>
          </cell>
          <cell r="AJ221">
            <v>16.71</v>
          </cell>
          <cell r="AK221">
            <v>10.16</v>
          </cell>
          <cell r="AL221">
            <v>0.04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Y221" t="str">
            <v/>
          </cell>
          <cell r="AZ221">
            <v>1.88</v>
          </cell>
          <cell r="BA221" t="str">
            <v>D1911030</v>
          </cell>
          <cell r="BB221" t="str">
            <v>CONFORM</v>
          </cell>
          <cell r="BC221" t="str">
            <v>CONFORM</v>
          </cell>
          <cell r="BD221" t="str">
            <v>CONFORM</v>
          </cell>
          <cell r="BE221" t="str">
            <v>CONFORM</v>
          </cell>
          <cell r="BF221" t="str">
            <v>CONFORM</v>
          </cell>
        </row>
        <row r="222">
          <cell r="A222">
            <v>43777</v>
          </cell>
          <cell r="B222" t="str">
            <v>D1911030-4</v>
          </cell>
          <cell r="C222" t="str">
            <v>031/19</v>
          </cell>
          <cell r="D222">
            <v>1</v>
          </cell>
          <cell r="E222" t="str">
            <v>NOVEMBER 2019</v>
          </cell>
          <cell r="F222" t="str">
            <v>DC</v>
          </cell>
          <cell r="G222" t="str">
            <v>On Time</v>
          </cell>
          <cell r="H222" t="str">
            <v>L322154</v>
          </cell>
          <cell r="I222">
            <v>43776</v>
          </cell>
          <cell r="J222" t="str">
            <v>ATI</v>
          </cell>
          <cell r="K222" t="str">
            <v>D1911030</v>
          </cell>
          <cell r="L222">
            <v>4</v>
          </cell>
          <cell r="M222" t="str">
            <v>AAC80147-A</v>
          </cell>
          <cell r="N222">
            <v>859101</v>
          </cell>
          <cell r="O222" t="str">
            <v xml:space="preserve">1.4401/1.4404 TP316/316L </v>
          </cell>
          <cell r="P222" t="str">
            <v>316L</v>
          </cell>
          <cell r="Q222">
            <v>4.6849999999999996</v>
          </cell>
          <cell r="R222">
            <v>4.6859999999999999</v>
          </cell>
          <cell r="S222">
            <v>4.7E-2</v>
          </cell>
          <cell r="T222">
            <v>4.5499999999999999E-2</v>
          </cell>
          <cell r="V222">
            <v>4.5499999999999999E-2</v>
          </cell>
          <cell r="X222">
            <v>4286</v>
          </cell>
          <cell r="Y222">
            <v>1</v>
          </cell>
          <cell r="Z222">
            <v>914.83457844183567</v>
          </cell>
          <cell r="AA222" t="str">
            <v>4.685X0.047-316L</v>
          </cell>
          <cell r="AB222" t="str">
            <v>WAAF011900120B300044</v>
          </cell>
          <cell r="AC222" t="str">
            <v>D1911030</v>
          </cell>
          <cell r="AD222">
            <v>859101</v>
          </cell>
          <cell r="AE222">
            <v>1.9E-2</v>
          </cell>
          <cell r="AF222">
            <v>1.67</v>
          </cell>
          <cell r="AG222">
            <v>3.6999999999999998E-2</v>
          </cell>
          <cell r="AH222">
            <v>1E-3</v>
          </cell>
          <cell r="AI222">
            <v>0.33</v>
          </cell>
          <cell r="AJ222">
            <v>16.71</v>
          </cell>
          <cell r="AK222">
            <v>10.16</v>
          </cell>
          <cell r="AL222">
            <v>0.04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Y222" t="str">
            <v/>
          </cell>
          <cell r="AZ222">
            <v>1.88</v>
          </cell>
          <cell r="BA222" t="str">
            <v>D1911030</v>
          </cell>
          <cell r="BB222" t="str">
            <v>CONFORM</v>
          </cell>
          <cell r="BC222" t="str">
            <v>CONFORM</v>
          </cell>
          <cell r="BD222" t="str">
            <v>CONFORM</v>
          </cell>
          <cell r="BE222" t="str">
            <v>CONFORM</v>
          </cell>
          <cell r="BF222" t="str">
            <v>CONFORM</v>
          </cell>
        </row>
        <row r="223">
          <cell r="A223">
            <v>43777</v>
          </cell>
          <cell r="B223" t="str">
            <v>D1911030-5</v>
          </cell>
          <cell r="C223" t="str">
            <v>031/19</v>
          </cell>
          <cell r="D223">
            <v>1</v>
          </cell>
          <cell r="E223" t="str">
            <v>NOVEMBER 2019</v>
          </cell>
          <cell r="F223" t="str">
            <v>DC</v>
          </cell>
          <cell r="G223" t="str">
            <v>On Time</v>
          </cell>
          <cell r="H223" t="str">
            <v>L322154</v>
          </cell>
          <cell r="I223">
            <v>43776</v>
          </cell>
          <cell r="J223" t="str">
            <v>ATI</v>
          </cell>
          <cell r="K223" t="str">
            <v>D1911030</v>
          </cell>
          <cell r="L223">
            <v>5</v>
          </cell>
          <cell r="M223" t="str">
            <v>AAC80147-A</v>
          </cell>
          <cell r="N223">
            <v>859101</v>
          </cell>
          <cell r="O223" t="str">
            <v xml:space="preserve">1.4401/1.4404 TP316/316L </v>
          </cell>
          <cell r="P223" t="str">
            <v>316L</v>
          </cell>
          <cell r="Q223">
            <v>4.6849999999999996</v>
          </cell>
          <cell r="R223">
            <v>4.6849999999999996</v>
          </cell>
          <cell r="S223">
            <v>4.7E-2</v>
          </cell>
          <cell r="T223">
            <v>4.7E-2</v>
          </cell>
          <cell r="V223">
            <v>4.7E-2</v>
          </cell>
          <cell r="X223">
            <v>4298</v>
          </cell>
          <cell r="Y223">
            <v>1</v>
          </cell>
          <cell r="Z223">
            <v>917.39594450373545</v>
          </cell>
          <cell r="AA223" t="str">
            <v>4.685X0.047-316L</v>
          </cell>
          <cell r="AB223" t="str">
            <v>WAAF011900120B300044</v>
          </cell>
          <cell r="AC223" t="str">
            <v>D1911030</v>
          </cell>
          <cell r="AD223">
            <v>859101</v>
          </cell>
          <cell r="AE223">
            <v>1.9E-2</v>
          </cell>
          <cell r="AF223">
            <v>1.67</v>
          </cell>
          <cell r="AG223">
            <v>3.6999999999999998E-2</v>
          </cell>
          <cell r="AH223">
            <v>1E-3</v>
          </cell>
          <cell r="AI223">
            <v>0.33</v>
          </cell>
          <cell r="AJ223">
            <v>16.71</v>
          </cell>
          <cell r="AK223">
            <v>10.16</v>
          </cell>
          <cell r="AL223">
            <v>0.04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Y223" t="str">
            <v/>
          </cell>
          <cell r="AZ223">
            <v>1.88</v>
          </cell>
          <cell r="BA223" t="str">
            <v>D1911030</v>
          </cell>
          <cell r="BB223" t="str">
            <v>CONFORM</v>
          </cell>
          <cell r="BC223" t="str">
            <v>CONFORM</v>
          </cell>
          <cell r="BD223" t="str">
            <v>CONFORM</v>
          </cell>
          <cell r="BE223" t="str">
            <v>CONFORM</v>
          </cell>
          <cell r="BF223" t="str">
            <v>CONFORM</v>
          </cell>
        </row>
        <row r="224">
          <cell r="A224">
            <v>43777</v>
          </cell>
          <cell r="B224" t="str">
            <v>D1911030-6</v>
          </cell>
          <cell r="C224" t="str">
            <v>031/19</v>
          </cell>
          <cell r="D224">
            <v>1</v>
          </cell>
          <cell r="E224" t="str">
            <v>NOVEMBER 2019</v>
          </cell>
          <cell r="F224" t="str">
            <v>DC</v>
          </cell>
          <cell r="G224" t="str">
            <v>On Time</v>
          </cell>
          <cell r="H224" t="str">
            <v>L322154</v>
          </cell>
          <cell r="I224">
            <v>43776</v>
          </cell>
          <cell r="J224" t="str">
            <v>ATI</v>
          </cell>
          <cell r="K224" t="str">
            <v>D1911030</v>
          </cell>
          <cell r="L224">
            <v>6</v>
          </cell>
          <cell r="M224" t="str">
            <v>AAC80147-A</v>
          </cell>
          <cell r="N224">
            <v>859101</v>
          </cell>
          <cell r="O224" t="str">
            <v xml:space="preserve">1.4401/1.4404 TP316/316L </v>
          </cell>
          <cell r="P224" t="str">
            <v>316L</v>
          </cell>
          <cell r="Q224">
            <v>4.6849999999999996</v>
          </cell>
          <cell r="R224">
            <v>4.681</v>
          </cell>
          <cell r="S224">
            <v>4.7E-2</v>
          </cell>
          <cell r="T224">
            <v>4.6899999999999997E-2</v>
          </cell>
          <cell r="V224">
            <v>4.6899999999999997E-2</v>
          </cell>
          <cell r="X224">
            <v>4300</v>
          </cell>
          <cell r="Y224">
            <v>1</v>
          </cell>
          <cell r="Z224">
            <v>917.82283884738536</v>
          </cell>
          <cell r="AA224" t="str">
            <v>4.685X0.047-316L</v>
          </cell>
          <cell r="AB224" t="str">
            <v>WAAF011900120B300044</v>
          </cell>
          <cell r="AC224" t="str">
            <v>D1911030</v>
          </cell>
          <cell r="AD224">
            <v>859101</v>
          </cell>
          <cell r="AE224">
            <v>1.9E-2</v>
          </cell>
          <cell r="AF224">
            <v>1.67</v>
          </cell>
          <cell r="AG224">
            <v>3.6999999999999998E-2</v>
          </cell>
          <cell r="AH224">
            <v>1E-3</v>
          </cell>
          <cell r="AI224">
            <v>0.33</v>
          </cell>
          <cell r="AJ224">
            <v>16.71</v>
          </cell>
          <cell r="AK224">
            <v>10.16</v>
          </cell>
          <cell r="AL224">
            <v>0.04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Y224" t="str">
            <v/>
          </cell>
          <cell r="AZ224">
            <v>1.88</v>
          </cell>
          <cell r="BA224" t="str">
            <v>D1911030</v>
          </cell>
          <cell r="BB224" t="str">
            <v>CONFORM</v>
          </cell>
          <cell r="BC224" t="str">
            <v>CONFORM</v>
          </cell>
          <cell r="BD224" t="str">
            <v>CONFORM</v>
          </cell>
          <cell r="BE224" t="str">
            <v>CONFORM</v>
          </cell>
          <cell r="BF224" t="str">
            <v>CONFORM</v>
          </cell>
        </row>
        <row r="225">
          <cell r="A225">
            <v>43777</v>
          </cell>
          <cell r="B225" t="str">
            <v>D1911030-7</v>
          </cell>
          <cell r="C225" t="str">
            <v>031/19</v>
          </cell>
          <cell r="D225">
            <v>1</v>
          </cell>
          <cell r="E225" t="str">
            <v>NOVEMBER 2019</v>
          </cell>
          <cell r="F225" t="str">
            <v>DC</v>
          </cell>
          <cell r="G225" t="str">
            <v>On Time</v>
          </cell>
          <cell r="H225" t="str">
            <v>L322154</v>
          </cell>
          <cell r="I225">
            <v>43776</v>
          </cell>
          <cell r="J225" t="str">
            <v>ATI</v>
          </cell>
          <cell r="K225" t="str">
            <v>D1911030</v>
          </cell>
          <cell r="L225">
            <v>7</v>
          </cell>
          <cell r="M225" t="str">
            <v>AAC80147-A</v>
          </cell>
          <cell r="N225">
            <v>859101</v>
          </cell>
          <cell r="O225" t="str">
            <v xml:space="preserve">1.4401/1.4404 TP316/316L </v>
          </cell>
          <cell r="P225" t="str">
            <v>316L</v>
          </cell>
          <cell r="Q225">
            <v>4.6849999999999996</v>
          </cell>
          <cell r="R225">
            <v>4.6870000000000003</v>
          </cell>
          <cell r="S225">
            <v>4.7E-2</v>
          </cell>
          <cell r="T225">
            <v>4.7E-2</v>
          </cell>
          <cell r="V225">
            <v>4.7E-2</v>
          </cell>
          <cell r="X225">
            <v>4296</v>
          </cell>
          <cell r="Y225">
            <v>1</v>
          </cell>
          <cell r="Z225">
            <v>916.96905016008543</v>
          </cell>
          <cell r="AA225" t="str">
            <v>4.685X0.047-316L</v>
          </cell>
          <cell r="AB225" t="str">
            <v>WAAF011900120B300044</v>
          </cell>
          <cell r="AC225" t="str">
            <v>D1911030</v>
          </cell>
          <cell r="AD225">
            <v>859101</v>
          </cell>
          <cell r="AE225">
            <v>1.9E-2</v>
          </cell>
          <cell r="AF225">
            <v>1.67</v>
          </cell>
          <cell r="AG225">
            <v>3.6999999999999998E-2</v>
          </cell>
          <cell r="AH225">
            <v>1E-3</v>
          </cell>
          <cell r="AI225">
            <v>0.33</v>
          </cell>
          <cell r="AJ225">
            <v>16.71</v>
          </cell>
          <cell r="AK225">
            <v>10.16</v>
          </cell>
          <cell r="AL225">
            <v>0.04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Y225" t="str">
            <v/>
          </cell>
          <cell r="AZ225">
            <v>1.88</v>
          </cell>
          <cell r="BA225" t="str">
            <v>D1911030</v>
          </cell>
          <cell r="BB225" t="str">
            <v>CONFORM</v>
          </cell>
          <cell r="BC225" t="str">
            <v>CONFORM</v>
          </cell>
          <cell r="BD225" t="str">
            <v>CONFORM</v>
          </cell>
          <cell r="BE225" t="str">
            <v>CONFORM</v>
          </cell>
          <cell r="BF225" t="str">
            <v>CONFORM</v>
          </cell>
        </row>
        <row r="226">
          <cell r="A226">
            <v>43777</v>
          </cell>
          <cell r="B226" t="str">
            <v>D1911030-8</v>
          </cell>
          <cell r="C226" t="str">
            <v>031/19</v>
          </cell>
          <cell r="D226">
            <v>1</v>
          </cell>
          <cell r="E226" t="str">
            <v>NOVEMBER 2019</v>
          </cell>
          <cell r="F226" t="str">
            <v>DC</v>
          </cell>
          <cell r="G226" t="str">
            <v>On Time</v>
          </cell>
          <cell r="H226" t="str">
            <v>L322154</v>
          </cell>
          <cell r="I226">
            <v>43776</v>
          </cell>
          <cell r="J226" t="str">
            <v>ATI</v>
          </cell>
          <cell r="K226" t="str">
            <v>D1911030</v>
          </cell>
          <cell r="L226">
            <v>8</v>
          </cell>
          <cell r="M226" t="str">
            <v>AAC80147-A</v>
          </cell>
          <cell r="N226">
            <v>859101</v>
          </cell>
          <cell r="O226" t="str">
            <v xml:space="preserve">1.4401/1.4404 TP316/316L </v>
          </cell>
          <cell r="P226" t="str">
            <v>316L</v>
          </cell>
          <cell r="Q226">
            <v>4.6849999999999996</v>
          </cell>
          <cell r="R226">
            <v>4.6840000000000002</v>
          </cell>
          <cell r="S226">
            <v>4.7E-2</v>
          </cell>
          <cell r="T226">
            <v>4.5900000000000003E-2</v>
          </cell>
          <cell r="V226">
            <v>4.5900000000000003E-2</v>
          </cell>
          <cell r="X226">
            <v>4288</v>
          </cell>
          <cell r="Y226">
            <v>1</v>
          </cell>
          <cell r="Z226">
            <v>915.26147278548569</v>
          </cell>
          <cell r="AA226" t="str">
            <v>4.685X0.047-316L</v>
          </cell>
          <cell r="AB226" t="str">
            <v>WAAF011900120B300044</v>
          </cell>
          <cell r="AC226" t="str">
            <v>D1911030</v>
          </cell>
          <cell r="AD226">
            <v>859101</v>
          </cell>
          <cell r="AE226">
            <v>1.9E-2</v>
          </cell>
          <cell r="AF226">
            <v>1.67</v>
          </cell>
          <cell r="AG226">
            <v>3.6999999999999998E-2</v>
          </cell>
          <cell r="AH226">
            <v>1E-3</v>
          </cell>
          <cell r="AI226">
            <v>0.33</v>
          </cell>
          <cell r="AJ226">
            <v>16.71</v>
          </cell>
          <cell r="AK226">
            <v>10.16</v>
          </cell>
          <cell r="AL226">
            <v>0.04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Y226" t="str">
            <v/>
          </cell>
          <cell r="AZ226">
            <v>1.88</v>
          </cell>
          <cell r="BA226" t="str">
            <v>D1911030</v>
          </cell>
          <cell r="BB226" t="str">
            <v>CONFORM</v>
          </cell>
          <cell r="BC226" t="str">
            <v>CONFORM</v>
          </cell>
          <cell r="BD226" t="str">
            <v>CONFORM</v>
          </cell>
          <cell r="BE226" t="str">
            <v>CONFORM</v>
          </cell>
          <cell r="BF226" t="str">
            <v>CONFORM</v>
          </cell>
        </row>
        <row r="227">
          <cell r="A227">
            <v>43777</v>
          </cell>
          <cell r="B227" t="str">
            <v>D1911030-9</v>
          </cell>
          <cell r="C227" t="str">
            <v>031/19</v>
          </cell>
          <cell r="D227">
            <v>1</v>
          </cell>
          <cell r="E227" t="str">
            <v>NOVEMBER 2019</v>
          </cell>
          <cell r="F227" t="str">
            <v>DC</v>
          </cell>
          <cell r="G227" t="str">
            <v>On Time</v>
          </cell>
          <cell r="H227" t="str">
            <v>L322154</v>
          </cell>
          <cell r="I227">
            <v>43776</v>
          </cell>
          <cell r="J227" t="str">
            <v>ATI</v>
          </cell>
          <cell r="K227" t="str">
            <v>D1911030</v>
          </cell>
          <cell r="L227">
            <v>9</v>
          </cell>
          <cell r="M227" t="str">
            <v>AAC80147-A</v>
          </cell>
          <cell r="N227">
            <v>859101</v>
          </cell>
          <cell r="O227" t="str">
            <v xml:space="preserve">1.4401/1.4404 TP316/316L </v>
          </cell>
          <cell r="P227" t="str">
            <v>316L</v>
          </cell>
          <cell r="Q227">
            <v>4.6849999999999996</v>
          </cell>
          <cell r="R227">
            <v>4.6849999999999996</v>
          </cell>
          <cell r="S227">
            <v>4.7E-2</v>
          </cell>
          <cell r="T227">
            <v>4.65E-2</v>
          </cell>
          <cell r="V227">
            <v>4.65E-2</v>
          </cell>
          <cell r="X227">
            <v>4262</v>
          </cell>
          <cell r="Y227">
            <v>1</v>
          </cell>
          <cell r="Z227">
            <v>909.71184631803635</v>
          </cell>
          <cell r="AA227" t="str">
            <v>4.685X0.047-316L</v>
          </cell>
          <cell r="AB227" t="str">
            <v>WAAF011900120B300044</v>
          </cell>
          <cell r="AC227" t="str">
            <v>D1911030</v>
          </cell>
          <cell r="AD227">
            <v>859101</v>
          </cell>
          <cell r="AE227">
            <v>1.9E-2</v>
          </cell>
          <cell r="AF227">
            <v>1.67</v>
          </cell>
          <cell r="AG227">
            <v>3.6999999999999998E-2</v>
          </cell>
          <cell r="AH227">
            <v>1E-3</v>
          </cell>
          <cell r="AI227">
            <v>0.33</v>
          </cell>
          <cell r="AJ227">
            <v>16.71</v>
          </cell>
          <cell r="AK227">
            <v>10.16</v>
          </cell>
          <cell r="AL227">
            <v>0.04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Y227" t="str">
            <v/>
          </cell>
          <cell r="AZ227">
            <v>1.88</v>
          </cell>
          <cell r="BA227" t="str">
            <v>D1911030</v>
          </cell>
          <cell r="BB227" t="str">
            <v>CONFORM</v>
          </cell>
          <cell r="BC227" t="str">
            <v>CONFORM</v>
          </cell>
          <cell r="BD227" t="str">
            <v>CONFORM</v>
          </cell>
          <cell r="BE227" t="str">
            <v>CONFORM</v>
          </cell>
          <cell r="BF227" t="str">
            <v>CONFORM</v>
          </cell>
        </row>
        <row r="228">
          <cell r="A228">
            <v>43777</v>
          </cell>
          <cell r="B228" t="str">
            <v>D1911030-10</v>
          </cell>
          <cell r="C228" t="str">
            <v>031/19</v>
          </cell>
          <cell r="D228">
            <v>1</v>
          </cell>
          <cell r="E228" t="str">
            <v>NOVEMBER 2019</v>
          </cell>
          <cell r="F228" t="str">
            <v>DC</v>
          </cell>
          <cell r="G228" t="str">
            <v>On Time</v>
          </cell>
          <cell r="H228" t="str">
            <v>L322154</v>
          </cell>
          <cell r="I228">
            <v>43776</v>
          </cell>
          <cell r="J228" t="str">
            <v>ATI</v>
          </cell>
          <cell r="K228" t="str">
            <v>D1911030</v>
          </cell>
          <cell r="L228">
            <v>10</v>
          </cell>
          <cell r="M228" t="str">
            <v>AAC80147-A</v>
          </cell>
          <cell r="N228">
            <v>859101</v>
          </cell>
          <cell r="O228" t="str">
            <v xml:space="preserve">1.4401/1.4404 TP316/316L </v>
          </cell>
          <cell r="P228" t="str">
            <v>316L</v>
          </cell>
          <cell r="Q228">
            <v>4.6849999999999996</v>
          </cell>
          <cell r="R228">
            <v>4.6680000000000001</v>
          </cell>
          <cell r="S228">
            <v>4.7E-2</v>
          </cell>
          <cell r="T228">
            <v>4.7E-2</v>
          </cell>
          <cell r="V228">
            <v>4.7E-2</v>
          </cell>
          <cell r="X228">
            <v>4222</v>
          </cell>
          <cell r="Y228">
            <v>1</v>
          </cell>
          <cell r="Z228">
            <v>901.17395944503744</v>
          </cell>
          <cell r="AA228" t="str">
            <v>4.685X0.047-316L</v>
          </cell>
          <cell r="AB228" t="str">
            <v>WAAF011900120B300044</v>
          </cell>
          <cell r="AC228" t="str">
            <v>D1911030</v>
          </cell>
          <cell r="AD228">
            <v>859101</v>
          </cell>
          <cell r="AE228">
            <v>1.9E-2</v>
          </cell>
          <cell r="AF228">
            <v>1.67</v>
          </cell>
          <cell r="AG228">
            <v>3.6999999999999998E-2</v>
          </cell>
          <cell r="AH228">
            <v>1E-3</v>
          </cell>
          <cell r="AI228">
            <v>0.33</v>
          </cell>
          <cell r="AJ228">
            <v>16.71</v>
          </cell>
          <cell r="AK228">
            <v>10.16</v>
          </cell>
          <cell r="AL228">
            <v>0.04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Y228" t="str">
            <v/>
          </cell>
          <cell r="AZ228">
            <v>1.88</v>
          </cell>
          <cell r="BA228" t="str">
            <v>D1911030</v>
          </cell>
          <cell r="BB228" t="str">
            <v>CONFORM</v>
          </cell>
          <cell r="BC228" t="str">
            <v>CONFORM</v>
          </cell>
          <cell r="BD228" t="str">
            <v>CONFORM</v>
          </cell>
          <cell r="BE228" t="str">
            <v>CONFORM</v>
          </cell>
          <cell r="BF228" t="str">
            <v>CONFORM</v>
          </cell>
        </row>
        <row r="229">
          <cell r="A229">
            <v>43780</v>
          </cell>
          <cell r="B229" t="str">
            <v>D1911058-1</v>
          </cell>
          <cell r="C229" t="str">
            <v>039/19</v>
          </cell>
          <cell r="D229">
            <v>1</v>
          </cell>
          <cell r="E229" t="str">
            <v>DECEMBER 2019</v>
          </cell>
          <cell r="F229" t="str">
            <v>DC</v>
          </cell>
          <cell r="G229" t="str">
            <v>On Time</v>
          </cell>
          <cell r="H229">
            <v>2407112611</v>
          </cell>
          <cell r="I229">
            <v>43780</v>
          </cell>
          <cell r="J229" t="str">
            <v>TKM</v>
          </cell>
          <cell r="K229" t="str">
            <v>D1911058</v>
          </cell>
          <cell r="L229">
            <v>1</v>
          </cell>
          <cell r="M229">
            <v>3084237</v>
          </cell>
          <cell r="N229">
            <v>519435</v>
          </cell>
          <cell r="O229" t="str">
            <v xml:space="preserve">1.4401/1.4404 TP316/316L </v>
          </cell>
          <cell r="P229" t="str">
            <v>316L</v>
          </cell>
          <cell r="Q229">
            <v>3.1539999999999999</v>
          </cell>
          <cell r="R229">
            <v>3.1419999999999999</v>
          </cell>
          <cell r="S229">
            <v>3.5000000000000003E-2</v>
          </cell>
          <cell r="T229">
            <v>3.5000000000000003E-2</v>
          </cell>
          <cell r="V229">
            <v>3.5000000000000003E-2</v>
          </cell>
          <cell r="X229">
            <v>3950</v>
          </cell>
          <cell r="Y229">
            <v>6</v>
          </cell>
          <cell r="Z229">
            <v>208.72965546396114</v>
          </cell>
          <cell r="AA229" t="str">
            <v>3.154X0.035-316L</v>
          </cell>
          <cell r="AB229" t="str">
            <v>WAAF008000089B300019</v>
          </cell>
          <cell r="AC229" t="str">
            <v>D1911058</v>
          </cell>
          <cell r="AD229">
            <v>519435</v>
          </cell>
          <cell r="AE229">
            <v>1.7000000000000001E-2</v>
          </cell>
          <cell r="AF229">
            <v>1.48</v>
          </cell>
          <cell r="AG229">
            <v>3.1E-2</v>
          </cell>
          <cell r="AH229">
            <v>1E-3</v>
          </cell>
          <cell r="AI229">
            <v>0.62</v>
          </cell>
          <cell r="AJ229">
            <v>16.55</v>
          </cell>
          <cell r="AK229">
            <v>10.050000000000001</v>
          </cell>
          <cell r="AL229">
            <v>3.5999999999999997E-2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Y229" t="str">
            <v/>
          </cell>
          <cell r="AZ229">
            <v>2.12</v>
          </cell>
          <cell r="BA229" t="str">
            <v>D1911058</v>
          </cell>
          <cell r="BB229" t="str">
            <v>CONFORM</v>
          </cell>
          <cell r="BC229" t="str">
            <v>CONFORM</v>
          </cell>
          <cell r="BD229" t="str">
            <v>CONFORM</v>
          </cell>
          <cell r="BE229" t="str">
            <v>CONFORM</v>
          </cell>
          <cell r="BF229" t="str">
            <v>CONFORM</v>
          </cell>
        </row>
        <row r="230">
          <cell r="A230">
            <v>43780</v>
          </cell>
          <cell r="B230" t="str">
            <v>D1911058-2</v>
          </cell>
          <cell r="C230" t="str">
            <v>039/19</v>
          </cell>
          <cell r="D230">
            <v>1</v>
          </cell>
          <cell r="E230" t="str">
            <v>DECEMBER 2019</v>
          </cell>
          <cell r="F230" t="str">
            <v>DC</v>
          </cell>
          <cell r="G230" t="str">
            <v>On Time</v>
          </cell>
          <cell r="H230">
            <v>2407112611</v>
          </cell>
          <cell r="I230">
            <v>43780</v>
          </cell>
          <cell r="J230" t="str">
            <v>TKM</v>
          </cell>
          <cell r="K230" t="str">
            <v>D1911058</v>
          </cell>
          <cell r="L230">
            <v>2</v>
          </cell>
          <cell r="M230">
            <v>3084237</v>
          </cell>
          <cell r="N230">
            <v>519435</v>
          </cell>
          <cell r="O230" t="str">
            <v xml:space="preserve">1.4401/1.4404 TP316/316L </v>
          </cell>
          <cell r="P230" t="str">
            <v>316L</v>
          </cell>
          <cell r="Q230">
            <v>3.1539999999999999</v>
          </cell>
          <cell r="R230">
            <v>3.1589999999999998</v>
          </cell>
          <cell r="S230">
            <v>3.5000000000000003E-2</v>
          </cell>
          <cell r="T230">
            <v>3.6999999999999998E-2</v>
          </cell>
          <cell r="V230">
            <v>3.6999999999999998E-2</v>
          </cell>
          <cell r="X230">
            <v>4624</v>
          </cell>
          <cell r="Y230">
            <v>7</v>
          </cell>
          <cell r="Z230">
            <v>209.43926080260894</v>
          </cell>
          <cell r="AA230" t="str">
            <v>3.154X0.035-316L</v>
          </cell>
          <cell r="AB230" t="str">
            <v>WAAF008000089B300019</v>
          </cell>
          <cell r="AC230" t="str">
            <v>D1911058</v>
          </cell>
          <cell r="AD230">
            <v>519435</v>
          </cell>
          <cell r="AE230">
            <v>1.7000000000000001E-2</v>
          </cell>
          <cell r="AF230">
            <v>1.48</v>
          </cell>
          <cell r="AG230">
            <v>3.1E-2</v>
          </cell>
          <cell r="AH230">
            <v>1E-3</v>
          </cell>
          <cell r="AI230">
            <v>0.62</v>
          </cell>
          <cell r="AJ230">
            <v>16.55</v>
          </cell>
          <cell r="AK230">
            <v>10.050000000000001</v>
          </cell>
          <cell r="AL230">
            <v>3.5999999999999997E-2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Y230" t="str">
            <v/>
          </cell>
          <cell r="AZ230">
            <v>2.12</v>
          </cell>
          <cell r="BA230" t="str">
            <v>D1911058</v>
          </cell>
          <cell r="BB230" t="str">
            <v>CONFORM</v>
          </cell>
          <cell r="BC230" t="str">
            <v>CONFORM</v>
          </cell>
          <cell r="BD230" t="str">
            <v>CONFORM</v>
          </cell>
          <cell r="BE230" t="str">
            <v>CONFORM</v>
          </cell>
          <cell r="BF230" t="str">
            <v>CONFORM</v>
          </cell>
        </row>
        <row r="231">
          <cell r="A231">
            <v>43780</v>
          </cell>
          <cell r="B231" t="str">
            <v>D1911059-1</v>
          </cell>
          <cell r="C231" t="str">
            <v>039/19</v>
          </cell>
          <cell r="D231">
            <v>2</v>
          </cell>
          <cell r="E231" t="str">
            <v>DECEMBER 2019</v>
          </cell>
          <cell r="F231" t="str">
            <v>DC</v>
          </cell>
          <cell r="G231" t="str">
            <v>On Time</v>
          </cell>
          <cell r="H231">
            <v>2407112779</v>
          </cell>
          <cell r="I231">
            <v>43780</v>
          </cell>
          <cell r="J231" t="str">
            <v>TKM</v>
          </cell>
          <cell r="K231" t="str">
            <v>D1911059</v>
          </cell>
          <cell r="L231">
            <v>1</v>
          </cell>
          <cell r="M231" t="str">
            <v>AAC35584-C</v>
          </cell>
          <cell r="N231" t="str">
            <v>TE00493</v>
          </cell>
          <cell r="O231" t="str">
            <v xml:space="preserve">1.4401/1.4404 TP316/316L </v>
          </cell>
          <cell r="P231" t="str">
            <v>316L</v>
          </cell>
          <cell r="Q231">
            <v>3.1139999999999999</v>
          </cell>
          <cell r="R231">
            <v>3.117</v>
          </cell>
          <cell r="S231">
            <v>4.7E-2</v>
          </cell>
          <cell r="T231">
            <v>4.5999999999999999E-2</v>
          </cell>
          <cell r="V231">
            <v>4.5999999999999999E-2</v>
          </cell>
          <cell r="X231">
            <v>5028</v>
          </cell>
          <cell r="Y231">
            <v>6</v>
          </cell>
          <cell r="Z231">
            <v>269.10725754656391</v>
          </cell>
          <cell r="AA231" t="str">
            <v>3.114X0.047-316L</v>
          </cell>
          <cell r="AB231" t="str">
            <v>WAAF007910120B300049</v>
          </cell>
          <cell r="AC231" t="str">
            <v>D1911059</v>
          </cell>
          <cell r="AD231" t="str">
            <v>TE00493</v>
          </cell>
          <cell r="AE231">
            <v>1.7999999999999999E-2</v>
          </cell>
          <cell r="AF231">
            <v>1.56</v>
          </cell>
          <cell r="AG231">
            <v>0.03</v>
          </cell>
          <cell r="AH231">
            <v>1E-3</v>
          </cell>
          <cell r="AI231">
            <v>0.39</v>
          </cell>
          <cell r="AJ231">
            <v>16.579999999999998</v>
          </cell>
          <cell r="AK231">
            <v>10.17</v>
          </cell>
          <cell r="AL231">
            <v>0.05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Y231" t="str">
            <v/>
          </cell>
          <cell r="AZ231">
            <v>2.06</v>
          </cell>
          <cell r="BA231" t="str">
            <v>D1911059</v>
          </cell>
          <cell r="BB231" t="str">
            <v>CONFORM</v>
          </cell>
          <cell r="BC231" t="str">
            <v>CONFORM</v>
          </cell>
          <cell r="BD231" t="str">
            <v>CONFORM</v>
          </cell>
          <cell r="BE231" t="str">
            <v>CONFORM</v>
          </cell>
          <cell r="BF231" t="str">
            <v>CONFORM</v>
          </cell>
        </row>
        <row r="232">
          <cell r="A232">
            <v>43783</v>
          </cell>
          <cell r="B232" t="str">
            <v>D1911082-1</v>
          </cell>
          <cell r="C232" t="str">
            <v>031/19</v>
          </cell>
          <cell r="D232">
            <v>1</v>
          </cell>
          <cell r="E232" t="str">
            <v>NOVEMBER 2019</v>
          </cell>
          <cell r="F232" t="str">
            <v>DC</v>
          </cell>
          <cell r="G232" t="str">
            <v>Late</v>
          </cell>
          <cell r="H232" t="str">
            <v>L322155</v>
          </cell>
          <cell r="I232">
            <v>43776</v>
          </cell>
          <cell r="J232" t="str">
            <v>ATI</v>
          </cell>
          <cell r="K232" t="str">
            <v>D1911082</v>
          </cell>
          <cell r="L232">
            <v>1</v>
          </cell>
          <cell r="M232" t="str">
            <v>AAC80148-A</v>
          </cell>
          <cell r="N232">
            <v>859101</v>
          </cell>
          <cell r="O232" t="str">
            <v xml:space="preserve">1.4401/1.4404 TP316/316L </v>
          </cell>
          <cell r="P232" t="str">
            <v>316L</v>
          </cell>
          <cell r="Q232">
            <v>4.6849999999999996</v>
          </cell>
          <cell r="R232">
            <v>4.7089999999999996</v>
          </cell>
          <cell r="S232">
            <v>4.7E-2</v>
          </cell>
          <cell r="T232">
            <v>4.5600000000000002E-2</v>
          </cell>
          <cell r="V232">
            <v>4.5600000000000002E-2</v>
          </cell>
          <cell r="X232">
            <v>4248</v>
          </cell>
          <cell r="Y232">
            <v>1</v>
          </cell>
          <cell r="Z232">
            <v>906.72358591248678</v>
          </cell>
          <cell r="AA232" t="str">
            <v>4.685X0.047-316L</v>
          </cell>
          <cell r="AB232" t="str">
            <v>WAAF011900120B300044</v>
          </cell>
          <cell r="AC232" t="str">
            <v>D1911082</v>
          </cell>
          <cell r="AD232">
            <v>859101</v>
          </cell>
          <cell r="AE232">
            <v>1.9E-2</v>
          </cell>
          <cell r="AF232">
            <v>1.67</v>
          </cell>
          <cell r="AG232">
            <v>3.6999999999999998E-2</v>
          </cell>
          <cell r="AH232">
            <v>1E-3</v>
          </cell>
          <cell r="AI232">
            <v>0.33</v>
          </cell>
          <cell r="AJ232">
            <v>16.71</v>
          </cell>
          <cell r="AK232">
            <v>10.16</v>
          </cell>
          <cell r="AL232">
            <v>0.04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Y232" t="str">
            <v/>
          </cell>
          <cell r="AZ232">
            <v>1.88</v>
          </cell>
          <cell r="BA232" t="str">
            <v>D1911082</v>
          </cell>
          <cell r="BB232" t="str">
            <v>CONFORM</v>
          </cell>
          <cell r="BC232" t="str">
            <v>CONFORM</v>
          </cell>
          <cell r="BD232" t="str">
            <v>CONFORM</v>
          </cell>
          <cell r="BE232" t="str">
            <v>CONFORM</v>
          </cell>
          <cell r="BF232" t="str">
            <v>CONFORM</v>
          </cell>
        </row>
        <row r="233">
          <cell r="A233">
            <v>43783</v>
          </cell>
          <cell r="B233" t="str">
            <v>D1911082-2</v>
          </cell>
          <cell r="C233" t="str">
            <v>031/19</v>
          </cell>
          <cell r="D233">
            <v>1</v>
          </cell>
          <cell r="E233" t="str">
            <v>NOVEMBER 2019</v>
          </cell>
          <cell r="F233" t="str">
            <v>DC</v>
          </cell>
          <cell r="G233" t="str">
            <v>Late</v>
          </cell>
          <cell r="H233" t="str">
            <v>L322155</v>
          </cell>
          <cell r="I233">
            <v>43776</v>
          </cell>
          <cell r="J233" t="str">
            <v>ATI</v>
          </cell>
          <cell r="K233" t="str">
            <v>D1911082</v>
          </cell>
          <cell r="L233">
            <v>2</v>
          </cell>
          <cell r="M233" t="str">
            <v>AAC80148-A</v>
          </cell>
          <cell r="N233">
            <v>859101</v>
          </cell>
          <cell r="O233" t="str">
            <v xml:space="preserve">1.4401/1.4404 TP316/316L </v>
          </cell>
          <cell r="P233" t="str">
            <v>316L</v>
          </cell>
          <cell r="Q233">
            <v>4.6849999999999996</v>
          </cell>
          <cell r="R233">
            <v>4.702</v>
          </cell>
          <cell r="S233">
            <v>4.7E-2</v>
          </cell>
          <cell r="T233">
            <v>4.5699999999999998E-2</v>
          </cell>
          <cell r="V233">
            <v>4.5699999999999998E-2</v>
          </cell>
          <cell r="X233">
            <v>4296</v>
          </cell>
          <cell r="Y233">
            <v>1</v>
          </cell>
          <cell r="Z233">
            <v>916.96905016008543</v>
          </cell>
          <cell r="AA233" t="str">
            <v>4.685X0.047-316L</v>
          </cell>
          <cell r="AB233" t="str">
            <v>WAAF011900120B300044</v>
          </cell>
          <cell r="AC233" t="str">
            <v>D1911082</v>
          </cell>
          <cell r="AD233">
            <v>859101</v>
          </cell>
          <cell r="AE233">
            <v>1.9E-2</v>
          </cell>
          <cell r="AF233">
            <v>1.67</v>
          </cell>
          <cell r="AG233">
            <v>3.6999999999999998E-2</v>
          </cell>
          <cell r="AH233">
            <v>1E-3</v>
          </cell>
          <cell r="AI233">
            <v>0.33</v>
          </cell>
          <cell r="AJ233">
            <v>16.71</v>
          </cell>
          <cell r="AK233">
            <v>10.16</v>
          </cell>
          <cell r="AL233">
            <v>0.04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Y233" t="str">
            <v/>
          </cell>
          <cell r="AZ233">
            <v>1.88</v>
          </cell>
          <cell r="BA233" t="str">
            <v>D1911082</v>
          </cell>
          <cell r="BB233" t="str">
            <v>CONFORM</v>
          </cell>
          <cell r="BC233" t="str">
            <v>CONFORM</v>
          </cell>
          <cell r="BD233" t="str">
            <v>CONFORM</v>
          </cell>
          <cell r="BE233" t="str">
            <v>CONFORM</v>
          </cell>
          <cell r="BF233" t="str">
            <v>CONFORM</v>
          </cell>
        </row>
        <row r="234">
          <cell r="A234">
            <v>43783</v>
          </cell>
          <cell r="B234" t="str">
            <v>D1911082-3</v>
          </cell>
          <cell r="C234" t="str">
            <v>031/19</v>
          </cell>
          <cell r="D234">
            <v>1</v>
          </cell>
          <cell r="E234" t="str">
            <v>NOVEMBER 2019</v>
          </cell>
          <cell r="F234" t="str">
            <v>DC</v>
          </cell>
          <cell r="G234" t="str">
            <v>Late</v>
          </cell>
          <cell r="H234" t="str">
            <v>L322155</v>
          </cell>
          <cell r="I234">
            <v>43776</v>
          </cell>
          <cell r="J234" t="str">
            <v>ATI</v>
          </cell>
          <cell r="K234" t="str">
            <v>D1911082</v>
          </cell>
          <cell r="L234">
            <v>3</v>
          </cell>
          <cell r="M234" t="str">
            <v>AAC80148-A</v>
          </cell>
          <cell r="N234">
            <v>859101</v>
          </cell>
          <cell r="O234" t="str">
            <v xml:space="preserve">1.4401/1.4404 TP316/316L </v>
          </cell>
          <cell r="P234" t="str">
            <v>316L</v>
          </cell>
          <cell r="Q234">
            <v>4.6849999999999996</v>
          </cell>
          <cell r="R234">
            <v>4.6980000000000004</v>
          </cell>
          <cell r="S234">
            <v>4.7E-2</v>
          </cell>
          <cell r="T234">
            <v>4.6600000000000003E-2</v>
          </cell>
          <cell r="V234">
            <v>4.6600000000000003E-2</v>
          </cell>
          <cell r="X234">
            <v>4306</v>
          </cell>
          <cell r="Y234">
            <v>1</v>
          </cell>
          <cell r="Z234">
            <v>919.10352187833519</v>
          </cell>
          <cell r="AA234" t="str">
            <v>4.685X0.047-316L</v>
          </cell>
          <cell r="AB234" t="str">
            <v>WAAF011900120B300044</v>
          </cell>
          <cell r="AC234" t="str">
            <v>D1911082</v>
          </cell>
          <cell r="AD234">
            <v>859101</v>
          </cell>
          <cell r="AE234">
            <v>1.9E-2</v>
          </cell>
          <cell r="AF234">
            <v>1.67</v>
          </cell>
          <cell r="AG234">
            <v>3.6999999999999998E-2</v>
          </cell>
          <cell r="AH234">
            <v>1E-3</v>
          </cell>
          <cell r="AI234">
            <v>0.33</v>
          </cell>
          <cell r="AJ234">
            <v>16.71</v>
          </cell>
          <cell r="AK234">
            <v>10.16</v>
          </cell>
          <cell r="AL234">
            <v>0.04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Y234" t="str">
            <v/>
          </cell>
          <cell r="AZ234">
            <v>1.88</v>
          </cell>
          <cell r="BA234" t="str">
            <v>D1911082</v>
          </cell>
          <cell r="BB234" t="str">
            <v>CONFORM</v>
          </cell>
          <cell r="BC234" t="str">
            <v>CONFORM</v>
          </cell>
          <cell r="BD234" t="str">
            <v>CONFORM</v>
          </cell>
          <cell r="BE234" t="str">
            <v>CONFORM</v>
          </cell>
          <cell r="BF234" t="str">
            <v>CONFORM</v>
          </cell>
        </row>
        <row r="235">
          <cell r="A235">
            <v>43783</v>
          </cell>
          <cell r="B235" t="str">
            <v>D1911082-4</v>
          </cell>
          <cell r="C235" t="str">
            <v>031/19</v>
          </cell>
          <cell r="D235">
            <v>1</v>
          </cell>
          <cell r="E235" t="str">
            <v>NOVEMBER 2019</v>
          </cell>
          <cell r="F235" t="str">
            <v>DC</v>
          </cell>
          <cell r="G235" t="str">
            <v>Late</v>
          </cell>
          <cell r="H235" t="str">
            <v>L322155</v>
          </cell>
          <cell r="I235">
            <v>43776</v>
          </cell>
          <cell r="J235" t="str">
            <v>ATI</v>
          </cell>
          <cell r="K235" t="str">
            <v>D1911082</v>
          </cell>
          <cell r="L235">
            <v>4</v>
          </cell>
          <cell r="M235" t="str">
            <v>AAC80148-A</v>
          </cell>
          <cell r="N235">
            <v>859101</v>
          </cell>
          <cell r="O235" t="str">
            <v xml:space="preserve">1.4401/1.4404 TP316/316L </v>
          </cell>
          <cell r="P235" t="str">
            <v>316L</v>
          </cell>
          <cell r="Q235">
            <v>4.6849999999999996</v>
          </cell>
          <cell r="R235">
            <v>4.6859999999999999</v>
          </cell>
          <cell r="S235">
            <v>4.7E-2</v>
          </cell>
          <cell r="T235">
            <v>4.5499999999999999E-2</v>
          </cell>
          <cell r="V235">
            <v>4.5499999999999999E-2</v>
          </cell>
          <cell r="X235">
            <v>4316</v>
          </cell>
          <cell r="Y235">
            <v>1</v>
          </cell>
          <cell r="Z235">
            <v>921.23799359658494</v>
          </cell>
          <cell r="AA235" t="str">
            <v>4.685X0.047-316L</v>
          </cell>
          <cell r="AB235" t="str">
            <v>WAAF011900120B300044</v>
          </cell>
          <cell r="AC235" t="str">
            <v>D1911082</v>
          </cell>
          <cell r="AD235">
            <v>859101</v>
          </cell>
          <cell r="AE235">
            <v>1.9E-2</v>
          </cell>
          <cell r="AF235">
            <v>1.67</v>
          </cell>
          <cell r="AG235">
            <v>3.6999999999999998E-2</v>
          </cell>
          <cell r="AH235">
            <v>1E-3</v>
          </cell>
          <cell r="AI235">
            <v>0.33</v>
          </cell>
          <cell r="AJ235">
            <v>16.71</v>
          </cell>
          <cell r="AK235">
            <v>10.16</v>
          </cell>
          <cell r="AL235">
            <v>0.04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Y235" t="str">
            <v/>
          </cell>
          <cell r="AZ235">
            <v>1.88</v>
          </cell>
          <cell r="BA235" t="str">
            <v>D1911082</v>
          </cell>
          <cell r="BB235" t="str">
            <v>CONFORM</v>
          </cell>
          <cell r="BC235" t="str">
            <v>CONFORM</v>
          </cell>
          <cell r="BD235" t="str">
            <v>CONFORM</v>
          </cell>
          <cell r="BE235" t="str">
            <v>CONFORM</v>
          </cell>
          <cell r="BF235" t="str">
            <v>CONFORM</v>
          </cell>
        </row>
        <row r="236">
          <cell r="A236">
            <v>43783</v>
          </cell>
          <cell r="B236" t="str">
            <v>D1911082-5</v>
          </cell>
          <cell r="C236" t="str">
            <v>031/19</v>
          </cell>
          <cell r="D236">
            <v>1</v>
          </cell>
          <cell r="E236" t="str">
            <v>NOVEMBER 2019</v>
          </cell>
          <cell r="F236" t="str">
            <v>DC</v>
          </cell>
          <cell r="G236" t="str">
            <v>Late</v>
          </cell>
          <cell r="H236" t="str">
            <v>L322155</v>
          </cell>
          <cell r="I236">
            <v>43776</v>
          </cell>
          <cell r="J236" t="str">
            <v>ATI</v>
          </cell>
          <cell r="K236" t="str">
            <v>D1911082</v>
          </cell>
          <cell r="L236">
            <v>5</v>
          </cell>
          <cell r="M236" t="str">
            <v>AAC80148-A</v>
          </cell>
          <cell r="N236">
            <v>859101</v>
          </cell>
          <cell r="O236" t="str">
            <v xml:space="preserve">1.4401/1.4404 TP316/316L </v>
          </cell>
          <cell r="P236" t="str">
            <v>316L</v>
          </cell>
          <cell r="Q236">
            <v>4.6849999999999996</v>
          </cell>
          <cell r="R236">
            <v>4.6849999999999996</v>
          </cell>
          <cell r="S236">
            <v>4.7E-2</v>
          </cell>
          <cell r="T236">
            <v>4.7E-2</v>
          </cell>
          <cell r="V236">
            <v>4.7E-2</v>
          </cell>
          <cell r="X236">
            <v>4326</v>
          </cell>
          <cell r="Y236">
            <v>1</v>
          </cell>
          <cell r="Z236">
            <v>923.3724653148347</v>
          </cell>
          <cell r="AA236" t="str">
            <v>4.685X0.047-316L</v>
          </cell>
          <cell r="AB236" t="str">
            <v>WAAF011900120B300044</v>
          </cell>
          <cell r="AC236" t="str">
            <v>D1911082</v>
          </cell>
          <cell r="AD236">
            <v>859101</v>
          </cell>
          <cell r="AE236">
            <v>1.9E-2</v>
          </cell>
          <cell r="AF236">
            <v>1.67</v>
          </cell>
          <cell r="AG236">
            <v>3.6999999999999998E-2</v>
          </cell>
          <cell r="AH236">
            <v>1E-3</v>
          </cell>
          <cell r="AI236">
            <v>0.33</v>
          </cell>
          <cell r="AJ236">
            <v>16.71</v>
          </cell>
          <cell r="AK236">
            <v>10.16</v>
          </cell>
          <cell r="AL236">
            <v>0.04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Y236" t="str">
            <v/>
          </cell>
          <cell r="AZ236">
            <v>1.88</v>
          </cell>
          <cell r="BA236" t="str">
            <v>D1911082</v>
          </cell>
          <cell r="BB236" t="str">
            <v>CONFORM</v>
          </cell>
          <cell r="BC236" t="str">
            <v>CONFORM</v>
          </cell>
          <cell r="BD236" t="str">
            <v>CONFORM</v>
          </cell>
          <cell r="BE236" t="str">
            <v>CONFORM</v>
          </cell>
          <cell r="BF236" t="str">
            <v>CONFORM</v>
          </cell>
        </row>
        <row r="237">
          <cell r="A237">
            <v>43783</v>
          </cell>
          <cell r="B237" t="str">
            <v>D1911082-6</v>
          </cell>
          <cell r="C237" t="str">
            <v>031/19</v>
          </cell>
          <cell r="D237">
            <v>1</v>
          </cell>
          <cell r="E237" t="str">
            <v>NOVEMBER 2019</v>
          </cell>
          <cell r="F237" t="str">
            <v>DC</v>
          </cell>
          <cell r="G237" t="str">
            <v>Late</v>
          </cell>
          <cell r="H237" t="str">
            <v>L322155</v>
          </cell>
          <cell r="I237">
            <v>43776</v>
          </cell>
          <cell r="J237" t="str">
            <v>ATI</v>
          </cell>
          <cell r="K237" t="str">
            <v>D1911082</v>
          </cell>
          <cell r="L237">
            <v>6</v>
          </cell>
          <cell r="M237" t="str">
            <v>AAC80148-A</v>
          </cell>
          <cell r="N237">
            <v>859101</v>
          </cell>
          <cell r="O237" t="str">
            <v xml:space="preserve">1.4401/1.4404 TP316/316L </v>
          </cell>
          <cell r="P237" t="str">
            <v>316L</v>
          </cell>
          <cell r="Q237">
            <v>4.6849999999999996</v>
          </cell>
          <cell r="R237">
            <v>4.681</v>
          </cell>
          <cell r="S237">
            <v>4.7E-2</v>
          </cell>
          <cell r="T237">
            <v>4.6899999999999997E-2</v>
          </cell>
          <cell r="V237">
            <v>4.6899999999999997E-2</v>
          </cell>
          <cell r="X237">
            <v>4330</v>
          </cell>
          <cell r="Y237">
            <v>1</v>
          </cell>
          <cell r="Z237">
            <v>924.22625400213451</v>
          </cell>
          <cell r="AA237" t="str">
            <v>4.685X0.047-316L</v>
          </cell>
          <cell r="AB237" t="str">
            <v>WAAF011900120B300044</v>
          </cell>
          <cell r="AC237" t="str">
            <v>D1911082</v>
          </cell>
          <cell r="AD237">
            <v>859101</v>
          </cell>
          <cell r="AE237">
            <v>1.9E-2</v>
          </cell>
          <cell r="AF237">
            <v>1.67</v>
          </cell>
          <cell r="AG237">
            <v>3.6999999999999998E-2</v>
          </cell>
          <cell r="AH237">
            <v>1E-3</v>
          </cell>
          <cell r="AI237">
            <v>0.33</v>
          </cell>
          <cell r="AJ237">
            <v>16.71</v>
          </cell>
          <cell r="AK237">
            <v>10.16</v>
          </cell>
          <cell r="AL237">
            <v>0.04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Y237" t="str">
            <v/>
          </cell>
          <cell r="AZ237">
            <v>1.88</v>
          </cell>
          <cell r="BA237" t="str">
            <v>D1911082</v>
          </cell>
          <cell r="BB237" t="str">
            <v>CONFORM</v>
          </cell>
          <cell r="BC237" t="str">
            <v>CONFORM</v>
          </cell>
          <cell r="BD237" t="str">
            <v>CONFORM</v>
          </cell>
          <cell r="BE237" t="str">
            <v>CONFORM</v>
          </cell>
          <cell r="BF237" t="str">
            <v>CONFORM</v>
          </cell>
        </row>
        <row r="238">
          <cell r="A238">
            <v>43783</v>
          </cell>
          <cell r="B238" t="str">
            <v>D1911082-7</v>
          </cell>
          <cell r="C238" t="str">
            <v>031/19</v>
          </cell>
          <cell r="D238">
            <v>1</v>
          </cell>
          <cell r="E238" t="str">
            <v>NOVEMBER 2019</v>
          </cell>
          <cell r="F238" t="str">
            <v>DC</v>
          </cell>
          <cell r="G238" t="str">
            <v>Late</v>
          </cell>
          <cell r="H238" t="str">
            <v>L322155</v>
          </cell>
          <cell r="I238">
            <v>43776</v>
          </cell>
          <cell r="J238" t="str">
            <v>ATI</v>
          </cell>
          <cell r="K238" t="str">
            <v>D1911082</v>
          </cell>
          <cell r="L238">
            <v>7</v>
          </cell>
          <cell r="M238" t="str">
            <v>AAC80148-A</v>
          </cell>
          <cell r="N238">
            <v>859101</v>
          </cell>
          <cell r="O238" t="str">
            <v xml:space="preserve">1.4401/1.4404 TP316/316L </v>
          </cell>
          <cell r="P238" t="str">
            <v>316L</v>
          </cell>
          <cell r="Q238">
            <v>4.6849999999999996</v>
          </cell>
          <cell r="R238">
            <v>4.6870000000000003</v>
          </cell>
          <cell r="S238">
            <v>4.7E-2</v>
          </cell>
          <cell r="T238">
            <v>4.7E-2</v>
          </cell>
          <cell r="V238">
            <v>4.7E-2</v>
          </cell>
          <cell r="X238">
            <v>4326</v>
          </cell>
          <cell r="Y238">
            <v>1</v>
          </cell>
          <cell r="Z238">
            <v>923.3724653148347</v>
          </cell>
          <cell r="AA238" t="str">
            <v>4.685X0.047-316L</v>
          </cell>
          <cell r="AB238" t="str">
            <v>WAAF011900120B300044</v>
          </cell>
          <cell r="AC238" t="str">
            <v>D1911082</v>
          </cell>
          <cell r="AD238">
            <v>859101</v>
          </cell>
          <cell r="AE238">
            <v>1.9E-2</v>
          </cell>
          <cell r="AF238">
            <v>1.67</v>
          </cell>
          <cell r="AG238">
            <v>3.6999999999999998E-2</v>
          </cell>
          <cell r="AH238">
            <v>1E-3</v>
          </cell>
          <cell r="AI238">
            <v>0.33</v>
          </cell>
          <cell r="AJ238">
            <v>16.71</v>
          </cell>
          <cell r="AK238">
            <v>10.16</v>
          </cell>
          <cell r="AL238">
            <v>0.04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Y238" t="str">
            <v/>
          </cell>
          <cell r="AZ238">
            <v>1.88</v>
          </cell>
          <cell r="BA238" t="str">
            <v>D1911082</v>
          </cell>
          <cell r="BB238" t="str">
            <v>CONFORM</v>
          </cell>
          <cell r="BC238" t="str">
            <v>CONFORM</v>
          </cell>
          <cell r="BD238" t="str">
            <v>CONFORM</v>
          </cell>
          <cell r="BE238" t="str">
            <v>CONFORM</v>
          </cell>
          <cell r="BF238" t="str">
            <v>CONFORM</v>
          </cell>
        </row>
        <row r="239">
          <cell r="A239">
            <v>43783</v>
          </cell>
          <cell r="B239" t="str">
            <v>D1911082-8</v>
          </cell>
          <cell r="C239" t="str">
            <v>031/19</v>
          </cell>
          <cell r="D239">
            <v>1</v>
          </cell>
          <cell r="E239" t="str">
            <v>NOVEMBER 2019</v>
          </cell>
          <cell r="F239" t="str">
            <v>DC</v>
          </cell>
          <cell r="G239" t="str">
            <v>Late</v>
          </cell>
          <cell r="H239" t="str">
            <v>L322155</v>
          </cell>
          <cell r="I239">
            <v>43776</v>
          </cell>
          <cell r="J239" t="str">
            <v>ATI</v>
          </cell>
          <cell r="K239" t="str">
            <v>D1911082</v>
          </cell>
          <cell r="L239">
            <v>8</v>
          </cell>
          <cell r="M239" t="str">
            <v>AAC80148-A</v>
          </cell>
          <cell r="N239">
            <v>859101</v>
          </cell>
          <cell r="O239" t="str">
            <v xml:space="preserve">1.4401/1.4404 TP316/316L </v>
          </cell>
          <cell r="P239" t="str">
            <v>316L</v>
          </cell>
          <cell r="Q239">
            <v>4.6849999999999996</v>
          </cell>
          <cell r="R239">
            <v>4.6840000000000002</v>
          </cell>
          <cell r="S239">
            <v>4.7E-2</v>
          </cell>
          <cell r="T239">
            <v>4.5900000000000003E-2</v>
          </cell>
          <cell r="V239">
            <v>4.5900000000000003E-2</v>
          </cell>
          <cell r="X239">
            <v>4316</v>
          </cell>
          <cell r="Y239">
            <v>1</v>
          </cell>
          <cell r="Z239">
            <v>921.23799359658494</v>
          </cell>
          <cell r="AA239" t="str">
            <v>4.685X0.047-316L</v>
          </cell>
          <cell r="AB239" t="str">
            <v>WAAF011900120B300044</v>
          </cell>
          <cell r="AC239" t="str">
            <v>D1911082</v>
          </cell>
          <cell r="AD239">
            <v>859101</v>
          </cell>
          <cell r="AE239">
            <v>1.9E-2</v>
          </cell>
          <cell r="AF239">
            <v>1.67</v>
          </cell>
          <cell r="AG239">
            <v>3.6999999999999998E-2</v>
          </cell>
          <cell r="AH239">
            <v>1E-3</v>
          </cell>
          <cell r="AI239">
            <v>0.33</v>
          </cell>
          <cell r="AJ239">
            <v>16.71</v>
          </cell>
          <cell r="AK239">
            <v>10.16</v>
          </cell>
          <cell r="AL239">
            <v>0.04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Y239" t="str">
            <v/>
          </cell>
          <cell r="AZ239">
            <v>1.88</v>
          </cell>
          <cell r="BA239" t="str">
            <v>D1911082</v>
          </cell>
          <cell r="BB239" t="str">
            <v>CONFORM</v>
          </cell>
          <cell r="BC239" t="str">
            <v>CONFORM</v>
          </cell>
          <cell r="BD239" t="str">
            <v>CONFORM</v>
          </cell>
          <cell r="BE239" t="str">
            <v>CONFORM</v>
          </cell>
          <cell r="BF239" t="str">
            <v>CONFORM</v>
          </cell>
        </row>
        <row r="240">
          <cell r="A240">
            <v>43783</v>
          </cell>
          <cell r="B240" t="str">
            <v>D1911082-9</v>
          </cell>
          <cell r="C240" t="str">
            <v>031/19</v>
          </cell>
          <cell r="D240">
            <v>1</v>
          </cell>
          <cell r="E240" t="str">
            <v>NOVEMBER 2019</v>
          </cell>
          <cell r="F240" t="str">
            <v>DC</v>
          </cell>
          <cell r="G240" t="str">
            <v>Late</v>
          </cell>
          <cell r="H240" t="str">
            <v>L322155</v>
          </cell>
          <cell r="I240">
            <v>43776</v>
          </cell>
          <cell r="J240" t="str">
            <v>ATI</v>
          </cell>
          <cell r="K240" t="str">
            <v>D1911082</v>
          </cell>
          <cell r="L240">
            <v>9</v>
          </cell>
          <cell r="M240" t="str">
            <v>AAC80148-A</v>
          </cell>
          <cell r="N240">
            <v>859101</v>
          </cell>
          <cell r="O240" t="str">
            <v xml:space="preserve">1.4401/1.4404 TP316/316L </v>
          </cell>
          <cell r="P240" t="str">
            <v>316L</v>
          </cell>
          <cell r="Q240">
            <v>4.6849999999999996</v>
          </cell>
          <cell r="R240">
            <v>4.6849999999999996</v>
          </cell>
          <cell r="S240">
            <v>4.7E-2</v>
          </cell>
          <cell r="T240">
            <v>4.65E-2</v>
          </cell>
          <cell r="V240">
            <v>4.65E-2</v>
          </cell>
          <cell r="X240">
            <v>4298</v>
          </cell>
          <cell r="Y240">
            <v>1</v>
          </cell>
          <cell r="Z240">
            <v>917.39594450373545</v>
          </cell>
          <cell r="AA240" t="str">
            <v>4.685X0.047-316L</v>
          </cell>
          <cell r="AB240" t="str">
            <v>WAAF011900120B300044</v>
          </cell>
          <cell r="AC240" t="str">
            <v>D1911082</v>
          </cell>
          <cell r="AD240">
            <v>859101</v>
          </cell>
          <cell r="AE240">
            <v>1.9E-2</v>
          </cell>
          <cell r="AF240">
            <v>1.67</v>
          </cell>
          <cell r="AG240">
            <v>3.6999999999999998E-2</v>
          </cell>
          <cell r="AH240">
            <v>1E-3</v>
          </cell>
          <cell r="AI240">
            <v>0.33</v>
          </cell>
          <cell r="AJ240">
            <v>16.71</v>
          </cell>
          <cell r="AK240">
            <v>10.16</v>
          </cell>
          <cell r="AL240">
            <v>0.04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Y240" t="str">
            <v/>
          </cell>
          <cell r="AZ240">
            <v>1.88</v>
          </cell>
          <cell r="BA240" t="str">
            <v>D1911082</v>
          </cell>
          <cell r="BB240" t="str">
            <v>CONFORM</v>
          </cell>
          <cell r="BC240" t="str">
            <v>CONFORM</v>
          </cell>
          <cell r="BD240" t="str">
            <v>CONFORM</v>
          </cell>
          <cell r="BE240" t="str">
            <v>CONFORM</v>
          </cell>
          <cell r="BF240" t="str">
            <v>CONFORM</v>
          </cell>
        </row>
        <row r="241">
          <cell r="A241">
            <v>43783</v>
          </cell>
          <cell r="B241" t="str">
            <v>D1911082-10</v>
          </cell>
          <cell r="C241" t="str">
            <v>031/19</v>
          </cell>
          <cell r="D241">
            <v>1</v>
          </cell>
          <cell r="E241" t="str">
            <v>NOVEMBER 2019</v>
          </cell>
          <cell r="F241" t="str">
            <v>DC</v>
          </cell>
          <cell r="G241" t="str">
            <v>Late</v>
          </cell>
          <cell r="H241" t="str">
            <v>L322155</v>
          </cell>
          <cell r="I241">
            <v>43776</v>
          </cell>
          <cell r="J241" t="str">
            <v>ATI</v>
          </cell>
          <cell r="K241" t="str">
            <v>D1911082</v>
          </cell>
          <cell r="L241">
            <v>10</v>
          </cell>
          <cell r="M241" t="str">
            <v>AAC80148-A</v>
          </cell>
          <cell r="N241">
            <v>859101</v>
          </cell>
          <cell r="O241" t="str">
            <v xml:space="preserve">1.4401/1.4404 TP316/316L </v>
          </cell>
          <cell r="P241" t="str">
            <v>316L</v>
          </cell>
          <cell r="Q241">
            <v>4.6849999999999996</v>
          </cell>
          <cell r="R241">
            <v>4.6680000000000001</v>
          </cell>
          <cell r="S241">
            <v>4.7E-2</v>
          </cell>
          <cell r="T241">
            <v>4.7E-2</v>
          </cell>
          <cell r="V241">
            <v>4.7E-2</v>
          </cell>
          <cell r="X241">
            <v>4258</v>
          </cell>
          <cell r="Y241">
            <v>1</v>
          </cell>
          <cell r="Z241">
            <v>908.85805763073643</v>
          </cell>
          <cell r="AA241" t="str">
            <v>4.685X0.047-316L</v>
          </cell>
          <cell r="AB241" t="str">
            <v>WAAF011900120B300044</v>
          </cell>
          <cell r="AC241" t="str">
            <v>D1911082</v>
          </cell>
          <cell r="AD241">
            <v>859101</v>
          </cell>
          <cell r="AE241">
            <v>1.9E-2</v>
          </cell>
          <cell r="AF241">
            <v>1.67</v>
          </cell>
          <cell r="AG241">
            <v>3.6999999999999998E-2</v>
          </cell>
          <cell r="AH241">
            <v>1E-3</v>
          </cell>
          <cell r="AI241">
            <v>0.33</v>
          </cell>
          <cell r="AJ241">
            <v>16.71</v>
          </cell>
          <cell r="AK241">
            <v>10.16</v>
          </cell>
          <cell r="AL241">
            <v>0.04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Y241" t="str">
            <v/>
          </cell>
          <cell r="AZ241">
            <v>1.88</v>
          </cell>
          <cell r="BA241" t="str">
            <v>D1911082</v>
          </cell>
          <cell r="BB241" t="str">
            <v>CONFORM</v>
          </cell>
          <cell r="BC241" t="str">
            <v>CONFORM</v>
          </cell>
          <cell r="BD241" t="str">
            <v>CONFORM</v>
          </cell>
          <cell r="BE241" t="str">
            <v>CONFORM</v>
          </cell>
          <cell r="BF241" t="str">
            <v>CONFORM</v>
          </cell>
        </row>
        <row r="242">
          <cell r="A242">
            <v>43784</v>
          </cell>
          <cell r="B242" t="str">
            <v>D1911083-1</v>
          </cell>
          <cell r="C242" t="str">
            <v>038/19</v>
          </cell>
          <cell r="D242">
            <v>1</v>
          </cell>
          <cell r="E242" t="str">
            <v>NOVEMBER 2019</v>
          </cell>
          <cell r="F242" t="str">
            <v>DC</v>
          </cell>
          <cell r="G242" t="str">
            <v>Late</v>
          </cell>
          <cell r="H242">
            <v>957</v>
          </cell>
          <cell r="I242">
            <v>43761</v>
          </cell>
          <cell r="J242" t="str">
            <v>ADTI</v>
          </cell>
          <cell r="K242" t="str">
            <v>D1911083</v>
          </cell>
          <cell r="L242">
            <v>1</v>
          </cell>
          <cell r="N242" t="str">
            <v>SD28309</v>
          </cell>
          <cell r="O242" t="str">
            <v xml:space="preserve">1.4401/1.4404 TP316/316L </v>
          </cell>
          <cell r="P242" t="str">
            <v>316L</v>
          </cell>
          <cell r="Q242">
            <v>4.6849999999999996</v>
          </cell>
          <cell r="R242">
            <v>4.6749999999999998</v>
          </cell>
          <cell r="S242">
            <v>4.7E-2</v>
          </cell>
          <cell r="T242">
            <v>4.5999999999999999E-2</v>
          </cell>
          <cell r="V242">
            <v>4.5999999999999999E-2</v>
          </cell>
          <cell r="X242">
            <v>6080</v>
          </cell>
          <cell r="Y242">
            <v>2</v>
          </cell>
          <cell r="Z242">
            <v>648.87940234791893</v>
          </cell>
          <cell r="AA242" t="str">
            <v>4.685X0.047-316L</v>
          </cell>
          <cell r="AB242" t="str">
            <v>WAAF011900120B300044</v>
          </cell>
          <cell r="AC242" t="str">
            <v>D1911083</v>
          </cell>
          <cell r="AD242" t="str">
            <v>SD28309</v>
          </cell>
          <cell r="AE242">
            <v>1.9E-2</v>
          </cell>
          <cell r="AF242">
            <v>1.05</v>
          </cell>
          <cell r="AG242">
            <v>3.2000000000000001E-2</v>
          </cell>
          <cell r="AH242">
            <v>1E-3</v>
          </cell>
          <cell r="AI242">
            <v>0.63</v>
          </cell>
          <cell r="AJ242">
            <v>16.62</v>
          </cell>
          <cell r="AK242">
            <v>10.57</v>
          </cell>
          <cell r="AL242">
            <v>130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Y242" t="str">
            <v/>
          </cell>
          <cell r="AZ242">
            <v>1.7487999999999999</v>
          </cell>
          <cell r="BA242" t="str">
            <v>D1911083</v>
          </cell>
          <cell r="BB242" t="str">
            <v>CONFORM</v>
          </cell>
          <cell r="BC242" t="str">
            <v>CONFORM</v>
          </cell>
          <cell r="BD242" t="str">
            <v>CONFORM</v>
          </cell>
          <cell r="BE242" t="str">
            <v>CONFORM</v>
          </cell>
          <cell r="BF242" t="str">
            <v>CONFORM</v>
          </cell>
        </row>
        <row r="243">
          <cell r="A243">
            <v>43784</v>
          </cell>
          <cell r="B243" t="str">
            <v>D1911083-2</v>
          </cell>
          <cell r="C243" t="str">
            <v>038/19</v>
          </cell>
          <cell r="D243">
            <v>2</v>
          </cell>
          <cell r="E243" t="str">
            <v>NOVEMBER 2019</v>
          </cell>
          <cell r="F243" t="str">
            <v>DC</v>
          </cell>
          <cell r="G243" t="str">
            <v>Late</v>
          </cell>
          <cell r="H243">
            <v>957</v>
          </cell>
          <cell r="I243">
            <v>43761</v>
          </cell>
          <cell r="J243" t="str">
            <v>ADTI</v>
          </cell>
          <cell r="K243" t="str">
            <v>D1911083</v>
          </cell>
          <cell r="L243">
            <v>2</v>
          </cell>
          <cell r="N243" t="str">
            <v>SD28309</v>
          </cell>
          <cell r="O243" t="str">
            <v xml:space="preserve">1.4401/1.4404 TP316/316L </v>
          </cell>
          <cell r="P243" t="str">
            <v>316L</v>
          </cell>
          <cell r="Q243">
            <v>4.6849999999999996</v>
          </cell>
          <cell r="R243">
            <v>4.6779999999999999</v>
          </cell>
          <cell r="S243">
            <v>4.7E-2</v>
          </cell>
          <cell r="T243">
            <v>4.8000000000000001E-2</v>
          </cell>
          <cell r="V243">
            <v>4.8000000000000001E-2</v>
          </cell>
          <cell r="X243">
            <v>6080</v>
          </cell>
          <cell r="Y243">
            <v>2</v>
          </cell>
          <cell r="Z243">
            <v>648.87940234791893</v>
          </cell>
          <cell r="AA243" t="str">
            <v>4.685X0.047-316L</v>
          </cell>
          <cell r="AB243" t="str">
            <v>WAAF011900120B300044</v>
          </cell>
          <cell r="AC243" t="str">
            <v>D1911083</v>
          </cell>
          <cell r="AD243" t="str">
            <v>SD28309</v>
          </cell>
          <cell r="AE243">
            <v>1.9E-2</v>
          </cell>
          <cell r="AF243">
            <v>1.05</v>
          </cell>
          <cell r="AG243">
            <v>3.2000000000000001E-2</v>
          </cell>
          <cell r="AH243">
            <v>1E-3</v>
          </cell>
          <cell r="AI243">
            <v>0.63</v>
          </cell>
          <cell r="AJ243">
            <v>16.62</v>
          </cell>
          <cell r="AK243">
            <v>10.57</v>
          </cell>
          <cell r="AL243">
            <v>130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Y243" t="str">
            <v/>
          </cell>
          <cell r="AZ243">
            <v>1.7487999999999999</v>
          </cell>
          <cell r="BA243" t="str">
            <v>D1911083</v>
          </cell>
          <cell r="BB243" t="str">
            <v>CONFORM</v>
          </cell>
          <cell r="BC243" t="str">
            <v>CONFORM</v>
          </cell>
          <cell r="BD243" t="str">
            <v>CONFORM</v>
          </cell>
          <cell r="BE243" t="str">
            <v>CONFORM</v>
          </cell>
          <cell r="BF243" t="str">
            <v>CONFORM</v>
          </cell>
        </row>
        <row r="244">
          <cell r="A244">
            <v>43784</v>
          </cell>
          <cell r="B244" t="str">
            <v>D1911083-3</v>
          </cell>
          <cell r="C244" t="str">
            <v>038/19</v>
          </cell>
          <cell r="D244">
            <v>3</v>
          </cell>
          <cell r="E244" t="str">
            <v>NOVEMBER 2019</v>
          </cell>
          <cell r="F244" t="str">
            <v>DC</v>
          </cell>
          <cell r="G244" t="str">
            <v>Late</v>
          </cell>
          <cell r="H244">
            <v>957</v>
          </cell>
          <cell r="I244">
            <v>43761</v>
          </cell>
          <cell r="J244" t="str">
            <v>ADTI</v>
          </cell>
          <cell r="K244" t="str">
            <v>D1911083</v>
          </cell>
          <cell r="L244">
            <v>3</v>
          </cell>
          <cell r="N244" t="str">
            <v>SD28309</v>
          </cell>
          <cell r="O244" t="str">
            <v xml:space="preserve">1.4401/1.4404 TP316/316L </v>
          </cell>
          <cell r="P244" t="str">
            <v>316L</v>
          </cell>
          <cell r="Q244">
            <v>4.6849999999999996</v>
          </cell>
          <cell r="R244">
            <v>4.6820000000000004</v>
          </cell>
          <cell r="S244">
            <v>4.7E-2</v>
          </cell>
          <cell r="T244">
            <v>4.5999999999999999E-2</v>
          </cell>
          <cell r="V244">
            <v>4.5999999999999999E-2</v>
          </cell>
          <cell r="X244">
            <v>6085</v>
          </cell>
          <cell r="Y244">
            <v>2</v>
          </cell>
          <cell r="Z244">
            <v>649.41302027748134</v>
          </cell>
          <cell r="AA244" t="str">
            <v>4.685X0.047-316L</v>
          </cell>
          <cell r="AB244" t="str">
            <v>WAAF011900120B300044</v>
          </cell>
          <cell r="AC244" t="str">
            <v>D1911083</v>
          </cell>
          <cell r="AD244" t="str">
            <v>SD28309</v>
          </cell>
          <cell r="AE244">
            <v>1.9E-2</v>
          </cell>
          <cell r="AF244">
            <v>1.05</v>
          </cell>
          <cell r="AG244">
            <v>3.2000000000000001E-2</v>
          </cell>
          <cell r="AH244">
            <v>1E-3</v>
          </cell>
          <cell r="AI244">
            <v>0.63</v>
          </cell>
          <cell r="AJ244">
            <v>16.62</v>
          </cell>
          <cell r="AK244">
            <v>10.57</v>
          </cell>
          <cell r="AL244">
            <v>130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Y244" t="str">
            <v/>
          </cell>
          <cell r="AZ244">
            <v>1.7487999999999999</v>
          </cell>
          <cell r="BA244" t="str">
            <v>D1911083</v>
          </cell>
          <cell r="BB244" t="str">
            <v>CONFORM</v>
          </cell>
          <cell r="BC244" t="str">
            <v>CONFORM</v>
          </cell>
          <cell r="BD244" t="str">
            <v>CONFORM</v>
          </cell>
          <cell r="BE244" t="str">
            <v>CONFORM</v>
          </cell>
          <cell r="BF244" t="str">
            <v>CONFORM</v>
          </cell>
        </row>
        <row r="245">
          <cell r="A245">
            <v>43784</v>
          </cell>
          <cell r="B245" t="str">
            <v>D1911085-1</v>
          </cell>
          <cell r="C245" t="str">
            <v>038/19</v>
          </cell>
          <cell r="D245">
            <v>5</v>
          </cell>
          <cell r="E245" t="str">
            <v>NOVEMBER 2019</v>
          </cell>
          <cell r="F245" t="str">
            <v>DC</v>
          </cell>
          <cell r="G245" t="str">
            <v>Late</v>
          </cell>
          <cell r="H245">
            <v>957</v>
          </cell>
          <cell r="I245">
            <v>43761</v>
          </cell>
          <cell r="J245" t="str">
            <v>ADTI</v>
          </cell>
          <cell r="K245" t="str">
            <v>D1911085</v>
          </cell>
          <cell r="L245">
            <v>1</v>
          </cell>
          <cell r="N245">
            <v>118979</v>
          </cell>
          <cell r="O245" t="str">
            <v xml:space="preserve">2.4819 UNS N10276 </v>
          </cell>
          <cell r="P245" t="str">
            <v>C-276</v>
          </cell>
          <cell r="Q245">
            <v>4.6219999999999999</v>
          </cell>
          <cell r="R245">
            <v>4.6210000000000004</v>
          </cell>
          <cell r="S245">
            <v>6.7000000000000004E-2</v>
          </cell>
          <cell r="T245">
            <v>6.5000000000000002E-2</v>
          </cell>
          <cell r="V245">
            <v>6.5000000000000002E-2</v>
          </cell>
          <cell r="X245">
            <v>4409</v>
          </cell>
          <cell r="Y245">
            <v>2</v>
          </cell>
          <cell r="Z245">
            <v>476.95802682821289</v>
          </cell>
          <cell r="AA245" t="str">
            <v>4.622X0.067-C-276</v>
          </cell>
          <cell r="AB245" t="str">
            <v>WABH011740170C400047</v>
          </cell>
          <cell r="AC245" t="str">
            <v>D1911085</v>
          </cell>
          <cell r="AD245">
            <v>118979</v>
          </cell>
          <cell r="AE245">
            <v>2E-3</v>
          </cell>
          <cell r="AF245">
            <v>0.5</v>
          </cell>
          <cell r="AG245">
            <v>4.0000000000000001E-3</v>
          </cell>
          <cell r="AH245">
            <v>2E-3</v>
          </cell>
          <cell r="AI245">
            <v>0.02</v>
          </cell>
          <cell r="AJ245">
            <v>16</v>
          </cell>
          <cell r="AK245">
            <v>58.2</v>
          </cell>
          <cell r="AL245" t="str">
            <v>N/A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Y245" t="str">
            <v/>
          </cell>
          <cell r="AZ245">
            <v>12.59</v>
          </cell>
          <cell r="BA245" t="str">
            <v>D1911085</v>
          </cell>
          <cell r="BB245" t="str">
            <v>CONFORM</v>
          </cell>
          <cell r="BC245" t="str">
            <v>CONFORM</v>
          </cell>
          <cell r="BD245" t="str">
            <v>CONFORM</v>
          </cell>
          <cell r="BE245" t="str">
            <v>CONFORM</v>
          </cell>
          <cell r="BF245" t="str">
            <v>CONFORM</v>
          </cell>
        </row>
        <row r="246">
          <cell r="A246">
            <v>43784</v>
          </cell>
          <cell r="B246" t="str">
            <v>D1911086-1</v>
          </cell>
          <cell r="C246" t="str">
            <v>038/19</v>
          </cell>
          <cell r="D246">
            <v>6</v>
          </cell>
          <cell r="E246" t="str">
            <v>NOVEMBER 2019</v>
          </cell>
          <cell r="F246" t="str">
            <v>DC</v>
          </cell>
          <cell r="G246" t="str">
            <v>Late</v>
          </cell>
          <cell r="H246">
            <v>957</v>
          </cell>
          <cell r="I246">
            <v>43761</v>
          </cell>
          <cell r="J246" t="str">
            <v>ADTI</v>
          </cell>
          <cell r="K246" t="str">
            <v>D1911086</v>
          </cell>
          <cell r="L246">
            <v>1</v>
          </cell>
          <cell r="N246" t="str">
            <v>E33886</v>
          </cell>
          <cell r="O246" t="str">
            <v xml:space="preserve">1.4401/1.4404 TP316/316L </v>
          </cell>
          <cell r="P246" t="str">
            <v>316L</v>
          </cell>
          <cell r="Q246">
            <v>3.177</v>
          </cell>
          <cell r="R246">
            <v>3.1680000000000001</v>
          </cell>
          <cell r="S246">
            <v>2.7E-2</v>
          </cell>
          <cell r="T246">
            <v>2.5000000000000001E-2</v>
          </cell>
          <cell r="V246">
            <v>2.5000000000000001E-2</v>
          </cell>
          <cell r="X246">
            <v>5556</v>
          </cell>
          <cell r="Y246">
            <v>4</v>
          </cell>
          <cell r="Z246">
            <v>437.20491029272898</v>
          </cell>
          <cell r="AA246" t="str">
            <v>3.177X0.027-316L</v>
          </cell>
          <cell r="AB246" t="str">
            <v>WAAF008070070B300046</v>
          </cell>
          <cell r="AC246" t="str">
            <v>D1911086</v>
          </cell>
          <cell r="AD246" t="str">
            <v>E33886</v>
          </cell>
          <cell r="AE246">
            <v>2.8000000000000001E-2</v>
          </cell>
          <cell r="AF246">
            <v>5.74</v>
          </cell>
          <cell r="AG246">
            <v>5.8999999999999997E-2</v>
          </cell>
          <cell r="AH246">
            <v>0.27900000000000003</v>
          </cell>
          <cell r="AI246">
            <v>0.31</v>
          </cell>
          <cell r="AJ246">
            <v>27.7</v>
          </cell>
          <cell r="AK246">
            <v>5.6</v>
          </cell>
          <cell r="AL246">
            <v>0.04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Y246" t="str">
            <v/>
          </cell>
          <cell r="AZ246">
            <v>1.6439999999999999</v>
          </cell>
          <cell r="BA246" t="str">
            <v>D1911086</v>
          </cell>
          <cell r="BB246" t="str">
            <v>CONFORM</v>
          </cell>
          <cell r="BC246" t="str">
            <v>CONFORM</v>
          </cell>
          <cell r="BD246" t="str">
            <v>CONFORM</v>
          </cell>
          <cell r="BE246" t="str">
            <v>CONFORM</v>
          </cell>
          <cell r="BF246" t="str">
            <v>CONFORM</v>
          </cell>
        </row>
        <row r="247">
          <cell r="A247">
            <v>43784</v>
          </cell>
          <cell r="B247" t="str">
            <v>D1911086-2</v>
          </cell>
          <cell r="C247" t="str">
            <v>038/19</v>
          </cell>
          <cell r="D247">
            <v>7</v>
          </cell>
          <cell r="E247" t="str">
            <v>NOVEMBER 2019</v>
          </cell>
          <cell r="F247" t="str">
            <v>DC</v>
          </cell>
          <cell r="G247" t="str">
            <v>Late</v>
          </cell>
          <cell r="H247">
            <v>957</v>
          </cell>
          <cell r="I247">
            <v>43761</v>
          </cell>
          <cell r="J247" t="str">
            <v>ADTI</v>
          </cell>
          <cell r="K247" t="str">
            <v>D1911086</v>
          </cell>
          <cell r="L247">
            <v>2</v>
          </cell>
          <cell r="N247" t="str">
            <v>E33886</v>
          </cell>
          <cell r="O247" t="str">
            <v xml:space="preserve">1.4401/1.4404 TP316/316L </v>
          </cell>
          <cell r="P247" t="str">
            <v>316L</v>
          </cell>
          <cell r="Q247">
            <v>3.177</v>
          </cell>
          <cell r="R247">
            <v>3.1709999999999998</v>
          </cell>
          <cell r="S247">
            <v>2.7E-2</v>
          </cell>
          <cell r="T247">
            <v>2.7E-2</v>
          </cell>
          <cell r="V247">
            <v>2.7E-2</v>
          </cell>
          <cell r="X247">
            <v>5525</v>
          </cell>
          <cell r="Y247">
            <v>4</v>
          </cell>
          <cell r="Z247">
            <v>434.76550204595532</v>
          </cell>
          <cell r="AA247" t="str">
            <v>3.177X0.027-316L</v>
          </cell>
          <cell r="AB247" t="str">
            <v>WAAF008070070B300046</v>
          </cell>
          <cell r="AC247" t="str">
            <v>D1911086</v>
          </cell>
          <cell r="AD247" t="str">
            <v>E33886</v>
          </cell>
          <cell r="AE247">
            <v>2.8000000000000001E-2</v>
          </cell>
          <cell r="AF247">
            <v>5.74</v>
          </cell>
          <cell r="AG247">
            <v>5.8999999999999997E-2</v>
          </cell>
          <cell r="AH247">
            <v>0.27900000000000003</v>
          </cell>
          <cell r="AI247">
            <v>0.31</v>
          </cell>
          <cell r="AJ247">
            <v>27.7</v>
          </cell>
          <cell r="AK247">
            <v>5.6</v>
          </cell>
          <cell r="AL247">
            <v>0.04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Y247" t="str">
            <v/>
          </cell>
          <cell r="AZ247">
            <v>1.6439999999999999</v>
          </cell>
          <cell r="BA247" t="str">
            <v>D1911086</v>
          </cell>
          <cell r="BB247" t="str">
            <v>CONFORM</v>
          </cell>
          <cell r="BC247" t="str">
            <v>CONFORM</v>
          </cell>
          <cell r="BD247" t="str">
            <v>CONFORM</v>
          </cell>
          <cell r="BE247" t="str">
            <v>CONFORM</v>
          </cell>
          <cell r="BF247" t="str">
            <v>CONFORM</v>
          </cell>
        </row>
        <row r="248">
          <cell r="A248">
            <v>43784</v>
          </cell>
          <cell r="B248" t="str">
            <v>D1911087-1</v>
          </cell>
          <cell r="C248" t="str">
            <v>038/19</v>
          </cell>
          <cell r="D248">
            <v>4</v>
          </cell>
          <cell r="E248" t="str">
            <v>NOVEMBER 2019</v>
          </cell>
          <cell r="F248" t="str">
            <v>DC</v>
          </cell>
          <cell r="G248" t="str">
            <v>Late</v>
          </cell>
          <cell r="H248">
            <v>957</v>
          </cell>
          <cell r="I248">
            <v>43761</v>
          </cell>
          <cell r="J248" t="str">
            <v>ADTI</v>
          </cell>
          <cell r="K248" t="str">
            <v>D1911087</v>
          </cell>
          <cell r="L248">
            <v>1</v>
          </cell>
          <cell r="N248">
            <v>525483</v>
          </cell>
          <cell r="O248" t="str">
            <v xml:space="preserve">2.4819 UNS N10276 </v>
          </cell>
          <cell r="P248" t="str">
            <v>C-276</v>
          </cell>
          <cell r="Q248">
            <v>4.6219999999999999</v>
          </cell>
          <cell r="R248">
            <v>4.6180000000000003</v>
          </cell>
          <cell r="S248">
            <v>6.7000000000000004E-2</v>
          </cell>
          <cell r="T248">
            <v>6.8000000000000005E-2</v>
          </cell>
          <cell r="V248">
            <v>6.8000000000000005E-2</v>
          </cell>
          <cell r="X248">
            <v>2072</v>
          </cell>
          <cell r="Y248">
            <v>3</v>
          </cell>
          <cell r="Z248">
            <v>149.43026107024374</v>
          </cell>
          <cell r="AA248" t="str">
            <v>4.622X0.067-C-276</v>
          </cell>
          <cell r="AB248" t="str">
            <v>WABH011740170C400047</v>
          </cell>
          <cell r="AC248" t="str">
            <v>D1911087</v>
          </cell>
          <cell r="AD248">
            <v>525483</v>
          </cell>
          <cell r="AE248">
            <v>6.0000000000000001E-3</v>
          </cell>
          <cell r="AF248">
            <v>0.62</v>
          </cell>
          <cell r="AG248">
            <v>1.4E-2</v>
          </cell>
          <cell r="AH248">
            <v>2.0000000000000001E-4</v>
          </cell>
          <cell r="AI248">
            <v>0.04</v>
          </cell>
          <cell r="AJ248">
            <v>16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Y248" t="str">
            <v/>
          </cell>
          <cell r="AZ248">
            <v>10.233000000000001</v>
          </cell>
          <cell r="BA248" t="str">
            <v>D1911087</v>
          </cell>
          <cell r="BB248" t="str">
            <v>CONFORM</v>
          </cell>
          <cell r="BC248" t="str">
            <v>CONFORM</v>
          </cell>
          <cell r="BD248" t="str">
            <v>CONFORM</v>
          </cell>
          <cell r="BE248" t="str">
            <v>CONFORM</v>
          </cell>
          <cell r="BF248" t="str">
            <v>CONFORM</v>
          </cell>
        </row>
        <row r="249">
          <cell r="A249">
            <v>43805</v>
          </cell>
          <cell r="B249" t="str">
            <v>D1912037-1</v>
          </cell>
          <cell r="C249" t="str">
            <v>029/19</v>
          </cell>
          <cell r="D249">
            <v>1</v>
          </cell>
          <cell r="E249" t="str">
            <v>DECEMBER 2019</v>
          </cell>
          <cell r="F249" t="str">
            <v>DC</v>
          </cell>
          <cell r="G249" t="str">
            <v>On Time</v>
          </cell>
          <cell r="H249">
            <v>7010566</v>
          </cell>
          <cell r="I249">
            <v>43796</v>
          </cell>
          <cell r="J249" t="str">
            <v>OUTO</v>
          </cell>
          <cell r="K249" t="str">
            <v>D1912037</v>
          </cell>
          <cell r="L249">
            <v>1</v>
          </cell>
          <cell r="N249">
            <v>526898</v>
          </cell>
          <cell r="O249" t="str">
            <v xml:space="preserve">1.4306 TP304L </v>
          </cell>
          <cell r="P249" t="str">
            <v>304L</v>
          </cell>
          <cell r="Q249">
            <v>1.7509999999999999</v>
          </cell>
          <cell r="R249">
            <v>1.748</v>
          </cell>
          <cell r="S249">
            <v>3.5000000000000003E-2</v>
          </cell>
          <cell r="T249">
            <v>3.4000000000000002E-2</v>
          </cell>
          <cell r="V249">
            <v>3.4000000000000002E-2</v>
          </cell>
          <cell r="X249">
            <v>2526</v>
          </cell>
          <cell r="Y249">
            <v>3</v>
          </cell>
          <cell r="Z249">
            <v>480.86807538549402</v>
          </cell>
          <cell r="AA249" t="str">
            <v>1.751X0.035-304L</v>
          </cell>
          <cell r="AB249" t="str">
            <v>WAAC004450089B300004</v>
          </cell>
          <cell r="AC249" t="str">
            <v>D1912037</v>
          </cell>
          <cell r="AD249">
            <v>526898</v>
          </cell>
          <cell r="AE249">
            <v>2.4799999999999999E-2</v>
          </cell>
          <cell r="AF249">
            <v>1.32</v>
          </cell>
          <cell r="AG249">
            <v>3.1600000000000003E-2</v>
          </cell>
          <cell r="AH249">
            <v>1.5E-3</v>
          </cell>
          <cell r="AI249">
            <v>0.31</v>
          </cell>
          <cell r="AJ249">
            <v>18.100000000000001</v>
          </cell>
          <cell r="AK249">
            <v>8.08</v>
          </cell>
          <cell r="AL249">
            <v>7.1599999999999997E-2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Y249" t="str">
            <v/>
          </cell>
          <cell r="AZ249">
            <v>1.41</v>
          </cell>
          <cell r="BA249" t="str">
            <v>D1912037</v>
          </cell>
          <cell r="BB249" t="str">
            <v>CONFORM</v>
          </cell>
          <cell r="BC249" t="str">
            <v>CONFORM</v>
          </cell>
          <cell r="BD249" t="str">
            <v>CONFORM</v>
          </cell>
          <cell r="BE249" t="str">
            <v>CONFORM</v>
          </cell>
          <cell r="BF249" t="str">
            <v>CONFORM</v>
          </cell>
        </row>
        <row r="250">
          <cell r="A250">
            <v>43805</v>
          </cell>
          <cell r="B250" t="str">
            <v>D1912037-2</v>
          </cell>
          <cell r="C250" t="str">
            <v>029/19</v>
          </cell>
          <cell r="D250">
            <v>1</v>
          </cell>
          <cell r="E250" t="str">
            <v>DECEMBER 2019</v>
          </cell>
          <cell r="F250" t="str">
            <v>DC</v>
          </cell>
          <cell r="G250" t="str">
            <v>On Time</v>
          </cell>
          <cell r="H250">
            <v>7010566</v>
          </cell>
          <cell r="I250">
            <v>43796</v>
          </cell>
          <cell r="J250" t="str">
            <v>OUTO</v>
          </cell>
          <cell r="K250" t="str">
            <v>D1912037</v>
          </cell>
          <cell r="L250">
            <v>2</v>
          </cell>
          <cell r="N250">
            <v>526898</v>
          </cell>
          <cell r="O250" t="str">
            <v xml:space="preserve">1.4306 TP304L </v>
          </cell>
          <cell r="P250" t="str">
            <v>304L</v>
          </cell>
          <cell r="Q250">
            <v>1.7509999999999999</v>
          </cell>
          <cell r="R250">
            <v>1.748</v>
          </cell>
          <cell r="S250">
            <v>3.5000000000000003E-2</v>
          </cell>
          <cell r="T250">
            <v>3.4000000000000002E-2</v>
          </cell>
          <cell r="V250">
            <v>3.4000000000000002E-2</v>
          </cell>
          <cell r="X250">
            <v>2526</v>
          </cell>
          <cell r="Y250">
            <v>3</v>
          </cell>
          <cell r="Z250">
            <v>480.86807538549402</v>
          </cell>
          <cell r="AA250" t="str">
            <v>1.751X0.035-304L</v>
          </cell>
          <cell r="AB250" t="str">
            <v>WAAC004450089B300004</v>
          </cell>
          <cell r="AC250" t="str">
            <v>D1912037</v>
          </cell>
          <cell r="AD250">
            <v>526898</v>
          </cell>
          <cell r="AE250">
            <v>2.4799999999999999E-2</v>
          </cell>
          <cell r="AF250">
            <v>1.32</v>
          </cell>
          <cell r="AG250">
            <v>3.1600000000000003E-2</v>
          </cell>
          <cell r="AH250">
            <v>1.5E-3</v>
          </cell>
          <cell r="AI250">
            <v>0.31</v>
          </cell>
          <cell r="AJ250">
            <v>18.100000000000001</v>
          </cell>
          <cell r="AK250">
            <v>8.08</v>
          </cell>
          <cell r="AL250">
            <v>7.1599999999999997E-2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Y250" t="str">
            <v/>
          </cell>
          <cell r="AZ250">
            <v>1.41</v>
          </cell>
          <cell r="BA250" t="str">
            <v>D1912037</v>
          </cell>
          <cell r="BB250" t="str">
            <v>CONFORM</v>
          </cell>
          <cell r="BC250" t="str">
            <v>CONFORM</v>
          </cell>
          <cell r="BD250" t="str">
            <v>CONFORM</v>
          </cell>
          <cell r="BE250" t="str">
            <v>CONFORM</v>
          </cell>
          <cell r="BF250" t="str">
            <v>CONFORM</v>
          </cell>
        </row>
        <row r="251">
          <cell r="A251">
            <v>43805</v>
          </cell>
          <cell r="B251" t="str">
            <v>D1912037-3</v>
          </cell>
          <cell r="C251" t="str">
            <v>029/19</v>
          </cell>
          <cell r="D251">
            <v>1</v>
          </cell>
          <cell r="E251" t="str">
            <v>DECEMBER 2019</v>
          </cell>
          <cell r="F251" t="str">
            <v>DC</v>
          </cell>
          <cell r="G251" t="str">
            <v>On Time</v>
          </cell>
          <cell r="H251">
            <v>7010566</v>
          </cell>
          <cell r="I251">
            <v>43796</v>
          </cell>
          <cell r="J251" t="str">
            <v>OUTO</v>
          </cell>
          <cell r="K251" t="str">
            <v>D1912037</v>
          </cell>
          <cell r="L251">
            <v>3</v>
          </cell>
          <cell r="N251">
            <v>526898</v>
          </cell>
          <cell r="O251" t="str">
            <v xml:space="preserve">1.4306 TP304L </v>
          </cell>
          <cell r="P251" t="str">
            <v>304L</v>
          </cell>
          <cell r="Q251">
            <v>1.7509999999999999</v>
          </cell>
          <cell r="R251">
            <v>1.748</v>
          </cell>
          <cell r="S251">
            <v>3.5000000000000003E-2</v>
          </cell>
          <cell r="T251">
            <v>3.4000000000000002E-2</v>
          </cell>
          <cell r="V251">
            <v>3.4000000000000002E-2</v>
          </cell>
          <cell r="X251">
            <v>2513</v>
          </cell>
          <cell r="Y251">
            <v>3</v>
          </cell>
          <cell r="Z251">
            <v>478.39329906719968</v>
          </cell>
          <cell r="AA251" t="str">
            <v>1.751X0.035-304L</v>
          </cell>
          <cell r="AB251" t="str">
            <v>WAAC004450089B300004</v>
          </cell>
          <cell r="AC251" t="str">
            <v>D1912037</v>
          </cell>
          <cell r="AD251">
            <v>526898</v>
          </cell>
          <cell r="AE251">
            <v>2.4799999999999999E-2</v>
          </cell>
          <cell r="AF251">
            <v>1.32</v>
          </cell>
          <cell r="AG251">
            <v>3.1600000000000003E-2</v>
          </cell>
          <cell r="AH251">
            <v>1.5E-3</v>
          </cell>
          <cell r="AI251">
            <v>0.31</v>
          </cell>
          <cell r="AJ251">
            <v>18.100000000000001</v>
          </cell>
          <cell r="AK251">
            <v>8.08</v>
          </cell>
          <cell r="AL251">
            <v>7.1599999999999997E-2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Y251" t="str">
            <v/>
          </cell>
          <cell r="AZ251">
            <v>1.41</v>
          </cell>
          <cell r="BA251" t="str">
            <v>D1912037</v>
          </cell>
          <cell r="BB251" t="str">
            <v>CONFORM</v>
          </cell>
          <cell r="BC251" t="str">
            <v>CONFORM</v>
          </cell>
          <cell r="BD251" t="str">
            <v>CONFORM</v>
          </cell>
          <cell r="BE251" t="str">
            <v>CONFORM</v>
          </cell>
          <cell r="BF251" t="str">
            <v>CONFORM</v>
          </cell>
        </row>
        <row r="252">
          <cell r="A252">
            <v>43805</v>
          </cell>
          <cell r="B252" t="str">
            <v>D1912037-4</v>
          </cell>
          <cell r="C252" t="str">
            <v>029/19</v>
          </cell>
          <cell r="D252">
            <v>1</v>
          </cell>
          <cell r="E252" t="str">
            <v>DECEMBER 2019</v>
          </cell>
          <cell r="F252" t="str">
            <v>DC</v>
          </cell>
          <cell r="G252" t="str">
            <v>On Time</v>
          </cell>
          <cell r="H252">
            <v>7010566</v>
          </cell>
          <cell r="I252">
            <v>43796</v>
          </cell>
          <cell r="J252" t="str">
            <v>OUTO</v>
          </cell>
          <cell r="K252" t="str">
            <v>D1912037</v>
          </cell>
          <cell r="L252">
            <v>4</v>
          </cell>
          <cell r="N252">
            <v>526898</v>
          </cell>
          <cell r="O252" t="str">
            <v xml:space="preserve">1.4306 TP304L </v>
          </cell>
          <cell r="P252" t="str">
            <v>304L</v>
          </cell>
          <cell r="Q252">
            <v>1.7509999999999999</v>
          </cell>
          <cell r="R252">
            <v>1.748</v>
          </cell>
          <cell r="S252">
            <v>3.5000000000000003E-2</v>
          </cell>
          <cell r="T252">
            <v>3.4000000000000002E-2</v>
          </cell>
          <cell r="V252">
            <v>3.4000000000000002E-2</v>
          </cell>
          <cell r="X252">
            <v>2513</v>
          </cell>
          <cell r="Y252">
            <v>3</v>
          </cell>
          <cell r="Z252">
            <v>478.39329906719968</v>
          </cell>
          <cell r="AA252" t="str">
            <v>1.751X0.035-304L</v>
          </cell>
          <cell r="AB252" t="str">
            <v>WAAC004450089B300004</v>
          </cell>
          <cell r="AC252" t="str">
            <v>D1912037</v>
          </cell>
          <cell r="AD252">
            <v>526898</v>
          </cell>
          <cell r="AE252">
            <v>2.4799999999999999E-2</v>
          </cell>
          <cell r="AF252">
            <v>1.32</v>
          </cell>
          <cell r="AG252">
            <v>3.1600000000000003E-2</v>
          </cell>
          <cell r="AH252">
            <v>1.5E-3</v>
          </cell>
          <cell r="AI252">
            <v>0.31</v>
          </cell>
          <cell r="AJ252">
            <v>18.100000000000001</v>
          </cell>
          <cell r="AK252">
            <v>8.08</v>
          </cell>
          <cell r="AL252">
            <v>7.1599999999999997E-2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Y252" t="str">
            <v/>
          </cell>
          <cell r="AZ252">
            <v>1.41</v>
          </cell>
          <cell r="BA252" t="str">
            <v>D1912037</v>
          </cell>
          <cell r="BB252" t="str">
            <v>CONFORM</v>
          </cell>
          <cell r="BC252" t="str">
            <v>CONFORM</v>
          </cell>
          <cell r="BD252" t="str">
            <v>CONFORM</v>
          </cell>
          <cell r="BE252" t="str">
            <v>CONFORM</v>
          </cell>
          <cell r="BF252" t="str">
            <v>CONFORM</v>
          </cell>
        </row>
        <row r="253">
          <cell r="A253">
            <v>43805</v>
          </cell>
          <cell r="B253" t="str">
            <v>D1912037-5</v>
          </cell>
          <cell r="C253" t="str">
            <v>029/19</v>
          </cell>
          <cell r="D253">
            <v>1</v>
          </cell>
          <cell r="E253" t="str">
            <v>DECEMBER 2019</v>
          </cell>
          <cell r="F253" t="str">
            <v>DC</v>
          </cell>
          <cell r="G253" t="str">
            <v>On Time</v>
          </cell>
          <cell r="H253">
            <v>7010566</v>
          </cell>
          <cell r="I253">
            <v>43796</v>
          </cell>
          <cell r="J253" t="str">
            <v>OUTO</v>
          </cell>
          <cell r="K253" t="str">
            <v>D1912037</v>
          </cell>
          <cell r="L253">
            <v>5</v>
          </cell>
          <cell r="N253">
            <v>526898</v>
          </cell>
          <cell r="O253" t="str">
            <v xml:space="preserve">1.4306 TP304L </v>
          </cell>
          <cell r="P253" t="str">
            <v>304L</v>
          </cell>
          <cell r="Q253">
            <v>1.7509999999999999</v>
          </cell>
          <cell r="R253">
            <v>1.748</v>
          </cell>
          <cell r="S253">
            <v>3.5000000000000003E-2</v>
          </cell>
          <cell r="T253">
            <v>3.4000000000000002E-2</v>
          </cell>
          <cell r="V253">
            <v>3.4000000000000002E-2</v>
          </cell>
          <cell r="X253">
            <v>2513</v>
          </cell>
          <cell r="Y253">
            <v>3</v>
          </cell>
          <cell r="Z253">
            <v>478.39329906719968</v>
          </cell>
          <cell r="AA253" t="str">
            <v>1.751X0.035-304L</v>
          </cell>
          <cell r="AB253" t="str">
            <v>WAAC004450089B300004</v>
          </cell>
          <cell r="AC253" t="str">
            <v>D1912037</v>
          </cell>
          <cell r="AD253">
            <v>526898</v>
          </cell>
          <cell r="AE253">
            <v>2.4799999999999999E-2</v>
          </cell>
          <cell r="AF253">
            <v>1.32</v>
          </cell>
          <cell r="AG253">
            <v>3.1600000000000003E-2</v>
          </cell>
          <cell r="AH253">
            <v>1.5E-3</v>
          </cell>
          <cell r="AI253">
            <v>0.31</v>
          </cell>
          <cell r="AJ253">
            <v>18.100000000000001</v>
          </cell>
          <cell r="AK253">
            <v>8.08</v>
          </cell>
          <cell r="AL253">
            <v>7.1599999999999997E-2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Y253" t="str">
            <v/>
          </cell>
          <cell r="AZ253">
            <v>1.41</v>
          </cell>
          <cell r="BA253" t="str">
            <v>D1912037</v>
          </cell>
          <cell r="BB253" t="str">
            <v>CONFORM</v>
          </cell>
          <cell r="BC253" t="str">
            <v>CONFORM</v>
          </cell>
          <cell r="BD253" t="str">
            <v>CONFORM</v>
          </cell>
          <cell r="BE253" t="str">
            <v>CONFORM</v>
          </cell>
          <cell r="BF253" t="str">
            <v>CONFORM</v>
          </cell>
        </row>
        <row r="254">
          <cell r="A254">
            <v>43805</v>
          </cell>
          <cell r="B254" t="str">
            <v>D1912037-6</v>
          </cell>
          <cell r="C254" t="str">
            <v>029/19</v>
          </cell>
          <cell r="D254">
            <v>1</v>
          </cell>
          <cell r="E254" t="str">
            <v>DECEMBER 2019</v>
          </cell>
          <cell r="F254" t="str">
            <v>DC</v>
          </cell>
          <cell r="G254" t="str">
            <v>On Time</v>
          </cell>
          <cell r="H254">
            <v>7010583</v>
          </cell>
          <cell r="I254">
            <v>43799</v>
          </cell>
          <cell r="J254" t="str">
            <v>OUTO</v>
          </cell>
          <cell r="K254" t="str">
            <v>D1912037</v>
          </cell>
          <cell r="L254">
            <v>6</v>
          </cell>
          <cell r="N254">
            <v>526898</v>
          </cell>
          <cell r="O254" t="str">
            <v xml:space="preserve">1.4306 TP304L </v>
          </cell>
          <cell r="P254" t="str">
            <v>304L</v>
          </cell>
          <cell r="Q254">
            <v>1.7509999999999999</v>
          </cell>
          <cell r="R254">
            <v>1.748</v>
          </cell>
          <cell r="S254">
            <v>3.5000000000000003E-2</v>
          </cell>
          <cell r="T254">
            <v>3.4000000000000002E-2</v>
          </cell>
          <cell r="V254">
            <v>3.4000000000000002E-2</v>
          </cell>
          <cell r="X254">
            <v>1684</v>
          </cell>
          <cell r="Y254">
            <v>2</v>
          </cell>
          <cell r="Z254">
            <v>480.86807538549402</v>
          </cell>
          <cell r="AA254" t="str">
            <v>1.751X0.035-304L</v>
          </cell>
          <cell r="AB254" t="str">
            <v>WAAC004450089B300004</v>
          </cell>
          <cell r="AC254" t="str">
            <v>D1912037</v>
          </cell>
          <cell r="AD254">
            <v>526898</v>
          </cell>
          <cell r="AE254">
            <v>2.4799999999999999E-2</v>
          </cell>
          <cell r="AF254">
            <v>1.32</v>
          </cell>
          <cell r="AG254">
            <v>3.1600000000000003E-2</v>
          </cell>
          <cell r="AH254">
            <v>1.5E-3</v>
          </cell>
          <cell r="AI254">
            <v>0.31</v>
          </cell>
          <cell r="AJ254">
            <v>18.100000000000001</v>
          </cell>
          <cell r="AK254">
            <v>8.08</v>
          </cell>
          <cell r="AL254">
            <v>7.1599999999999997E-2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Y254" t="str">
            <v/>
          </cell>
          <cell r="AZ254">
            <v>1.41</v>
          </cell>
          <cell r="BA254" t="str">
            <v>D1912037</v>
          </cell>
          <cell r="BB254" t="str">
            <v>CONFORM</v>
          </cell>
          <cell r="BC254" t="str">
            <v>CONFORM</v>
          </cell>
          <cell r="BD254" t="str">
            <v>CONFORM</v>
          </cell>
          <cell r="BE254" t="str">
            <v>CONFORM</v>
          </cell>
          <cell r="BF254" t="str">
            <v>CONFORM</v>
          </cell>
        </row>
        <row r="255">
          <cell r="A255">
            <v>43805</v>
          </cell>
          <cell r="B255" t="str">
            <v>D1912037-7</v>
          </cell>
          <cell r="C255" t="str">
            <v>029/19</v>
          </cell>
          <cell r="D255">
            <v>1</v>
          </cell>
          <cell r="E255" t="str">
            <v>DECEMBER 2019</v>
          </cell>
          <cell r="F255" t="str">
            <v>DC</v>
          </cell>
          <cell r="G255" t="str">
            <v>On Time</v>
          </cell>
          <cell r="H255">
            <v>7010583</v>
          </cell>
          <cell r="I255">
            <v>43799</v>
          </cell>
          <cell r="J255" t="str">
            <v>OUTO</v>
          </cell>
          <cell r="K255" t="str">
            <v>D1912037</v>
          </cell>
          <cell r="L255">
            <v>7</v>
          </cell>
          <cell r="N255">
            <v>526898</v>
          </cell>
          <cell r="O255" t="str">
            <v xml:space="preserve">1.4306 TP304L </v>
          </cell>
          <cell r="P255" t="str">
            <v>304L</v>
          </cell>
          <cell r="Q255">
            <v>1.7509999999999999</v>
          </cell>
          <cell r="R255">
            <v>1.748</v>
          </cell>
          <cell r="S255">
            <v>3.5000000000000003E-2</v>
          </cell>
          <cell r="T255">
            <v>3.4000000000000002E-2</v>
          </cell>
          <cell r="V255">
            <v>3.4000000000000002E-2</v>
          </cell>
          <cell r="X255">
            <v>2526</v>
          </cell>
          <cell r="Y255">
            <v>3</v>
          </cell>
          <cell r="Z255">
            <v>480.86807538549402</v>
          </cell>
          <cell r="AA255" t="str">
            <v>1.751X0.035-304L</v>
          </cell>
          <cell r="AB255" t="str">
            <v>WAAC004450089B300004</v>
          </cell>
          <cell r="AC255" t="str">
            <v>D1912037</v>
          </cell>
          <cell r="AD255">
            <v>526898</v>
          </cell>
          <cell r="AE255">
            <v>2.4799999999999999E-2</v>
          </cell>
          <cell r="AF255">
            <v>1.32</v>
          </cell>
          <cell r="AG255">
            <v>3.1600000000000003E-2</v>
          </cell>
          <cell r="AH255">
            <v>1.5E-3</v>
          </cell>
          <cell r="AI255">
            <v>0.31</v>
          </cell>
          <cell r="AJ255">
            <v>18.100000000000001</v>
          </cell>
          <cell r="AK255">
            <v>8.08</v>
          </cell>
          <cell r="AL255">
            <v>7.1599999999999997E-2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Y255" t="str">
            <v/>
          </cell>
          <cell r="AZ255">
            <v>1.41</v>
          </cell>
          <cell r="BA255" t="str">
            <v>D1912037</v>
          </cell>
          <cell r="BB255" t="str">
            <v>CONFORM</v>
          </cell>
          <cell r="BC255" t="str">
            <v>CONFORM</v>
          </cell>
          <cell r="BD255" t="str">
            <v>CONFORM</v>
          </cell>
          <cell r="BE255" t="str">
            <v>CONFORM</v>
          </cell>
          <cell r="BF255" t="str">
            <v>CONFORM</v>
          </cell>
        </row>
        <row r="256">
          <cell r="A256">
            <v>43808</v>
          </cell>
          <cell r="B256" t="str">
            <v>D1912041-1</v>
          </cell>
          <cell r="C256" t="str">
            <v>029/19</v>
          </cell>
          <cell r="D256">
            <v>1</v>
          </cell>
          <cell r="E256" t="str">
            <v>DECEMBER 2019</v>
          </cell>
          <cell r="F256" t="str">
            <v>DC</v>
          </cell>
          <cell r="G256" t="str">
            <v>Late</v>
          </cell>
          <cell r="H256">
            <v>7010579</v>
          </cell>
          <cell r="I256">
            <v>43798</v>
          </cell>
          <cell r="J256" t="str">
            <v>OUTO</v>
          </cell>
          <cell r="K256" t="str">
            <v>D1912041</v>
          </cell>
          <cell r="L256">
            <v>1</v>
          </cell>
          <cell r="N256">
            <v>526926</v>
          </cell>
          <cell r="O256" t="str">
            <v xml:space="preserve">1.4306 TP304L </v>
          </cell>
          <cell r="P256" t="str">
            <v>304L</v>
          </cell>
          <cell r="Q256">
            <v>1.7509999999999999</v>
          </cell>
          <cell r="R256">
            <v>1.748</v>
          </cell>
          <cell r="S256">
            <v>3.5000000000000003E-2</v>
          </cell>
          <cell r="T256">
            <v>3.4000000000000002E-2</v>
          </cell>
          <cell r="V256">
            <v>3.4000000000000002E-2</v>
          </cell>
          <cell r="X256">
            <v>2063</v>
          </cell>
          <cell r="Y256">
            <v>3</v>
          </cell>
          <cell r="Z256">
            <v>392.72796497239671</v>
          </cell>
          <cell r="AA256" t="str">
            <v>1.751X0.035-304L</v>
          </cell>
          <cell r="AB256" t="str">
            <v>WAAC004450089B300004</v>
          </cell>
          <cell r="AC256" t="str">
            <v>D1912041</v>
          </cell>
          <cell r="AD256">
            <v>526926</v>
          </cell>
          <cell r="AE256">
            <v>2.8899999999999999E-2</v>
          </cell>
          <cell r="AF256">
            <v>1.35</v>
          </cell>
          <cell r="AG256">
            <v>3.0099999999999998E-2</v>
          </cell>
          <cell r="AH256">
            <v>1.5E-3</v>
          </cell>
          <cell r="AI256">
            <v>0.32</v>
          </cell>
          <cell r="AJ256">
            <v>18.100000000000001</v>
          </cell>
          <cell r="AK256">
            <v>8.02</v>
          </cell>
          <cell r="AL256">
            <v>6.88E-2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Y256" t="str">
            <v/>
          </cell>
          <cell r="AZ256">
            <v>1.41</v>
          </cell>
          <cell r="BA256" t="str">
            <v>D1912041</v>
          </cell>
          <cell r="BB256" t="str">
            <v>CONFORM</v>
          </cell>
          <cell r="BC256" t="str">
            <v>CONFORM</v>
          </cell>
          <cell r="BD256" t="str">
            <v>CONFORM</v>
          </cell>
          <cell r="BE256" t="str">
            <v>CONFORM</v>
          </cell>
          <cell r="BF256" t="str">
            <v>CONFORM</v>
          </cell>
        </row>
        <row r="257">
          <cell r="A257">
            <v>43808</v>
          </cell>
          <cell r="B257" t="str">
            <v>D1912041-2</v>
          </cell>
          <cell r="C257" t="str">
            <v>029/19</v>
          </cell>
          <cell r="D257">
            <v>1</v>
          </cell>
          <cell r="E257" t="str">
            <v>DECEMBER 2019</v>
          </cell>
          <cell r="F257" t="str">
            <v>DC</v>
          </cell>
          <cell r="G257" t="str">
            <v>Late</v>
          </cell>
          <cell r="H257">
            <v>7010579</v>
          </cell>
          <cell r="I257">
            <v>43798</v>
          </cell>
          <cell r="J257" t="str">
            <v>OUTO</v>
          </cell>
          <cell r="K257" t="str">
            <v>D1912041</v>
          </cell>
          <cell r="L257">
            <v>2</v>
          </cell>
          <cell r="N257">
            <v>526926</v>
          </cell>
          <cell r="O257" t="str">
            <v xml:space="preserve">1.4306 TP304L </v>
          </cell>
          <cell r="P257" t="str">
            <v>304L</v>
          </cell>
          <cell r="Q257">
            <v>1.7509999999999999</v>
          </cell>
          <cell r="R257">
            <v>1.748</v>
          </cell>
          <cell r="S257">
            <v>3.5000000000000003E-2</v>
          </cell>
          <cell r="T257">
            <v>3.4000000000000002E-2</v>
          </cell>
          <cell r="V257">
            <v>3.4000000000000002E-2</v>
          </cell>
          <cell r="X257">
            <v>2063</v>
          </cell>
          <cell r="Y257">
            <v>3</v>
          </cell>
          <cell r="Z257">
            <v>392.72796497239671</v>
          </cell>
          <cell r="AA257" t="str">
            <v>1.751X0.035-304L</v>
          </cell>
          <cell r="AB257" t="str">
            <v>WAAC004450089B300004</v>
          </cell>
          <cell r="AC257" t="str">
            <v>D1912041</v>
          </cell>
          <cell r="AD257">
            <v>526926</v>
          </cell>
          <cell r="AE257">
            <v>2.8899999999999999E-2</v>
          </cell>
          <cell r="AF257">
            <v>1.35</v>
          </cell>
          <cell r="AG257">
            <v>3.0099999999999998E-2</v>
          </cell>
          <cell r="AH257">
            <v>1.5E-3</v>
          </cell>
          <cell r="AI257">
            <v>0.32</v>
          </cell>
          <cell r="AJ257">
            <v>18.100000000000001</v>
          </cell>
          <cell r="AK257">
            <v>8.02</v>
          </cell>
          <cell r="AL257">
            <v>6.88E-2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Y257" t="str">
            <v/>
          </cell>
          <cell r="AZ257">
            <v>1.41</v>
          </cell>
          <cell r="BA257" t="str">
            <v>D1912041</v>
          </cell>
          <cell r="BB257" t="str">
            <v>CONFORM</v>
          </cell>
          <cell r="BC257" t="str">
            <v>CONFORM</v>
          </cell>
          <cell r="BD257" t="str">
            <v>CONFORM</v>
          </cell>
          <cell r="BE257" t="str">
            <v>CONFORM</v>
          </cell>
          <cell r="BF257" t="str">
            <v>CONFORM</v>
          </cell>
        </row>
        <row r="258">
          <cell r="A258">
            <v>43808</v>
          </cell>
          <cell r="B258" t="str">
            <v>D1912041-3</v>
          </cell>
          <cell r="C258" t="str">
            <v>029/19</v>
          </cell>
          <cell r="D258">
            <v>1</v>
          </cell>
          <cell r="E258" t="str">
            <v>DECEMBER 2019</v>
          </cell>
          <cell r="F258" t="str">
            <v>DC</v>
          </cell>
          <cell r="G258" t="str">
            <v>Late</v>
          </cell>
          <cell r="H258">
            <v>7010579</v>
          </cell>
          <cell r="I258">
            <v>43798</v>
          </cell>
          <cell r="J258" t="str">
            <v>OUTO</v>
          </cell>
          <cell r="K258" t="str">
            <v>D1912041</v>
          </cell>
          <cell r="L258">
            <v>3</v>
          </cell>
          <cell r="N258">
            <v>526926</v>
          </cell>
          <cell r="O258" t="str">
            <v xml:space="preserve">1.4306 TP304L </v>
          </cell>
          <cell r="P258" t="str">
            <v>304L</v>
          </cell>
          <cell r="Q258">
            <v>1.7509999999999999</v>
          </cell>
          <cell r="R258">
            <v>1.748</v>
          </cell>
          <cell r="S258">
            <v>3.5000000000000003E-2</v>
          </cell>
          <cell r="T258">
            <v>3.4000000000000002E-2</v>
          </cell>
          <cell r="V258">
            <v>3.4000000000000002E-2</v>
          </cell>
          <cell r="X258">
            <v>2063</v>
          </cell>
          <cell r="Y258">
            <v>3</v>
          </cell>
          <cell r="Z258">
            <v>392.72796497239671</v>
          </cell>
          <cell r="AA258" t="str">
            <v>1.751X0.035-304L</v>
          </cell>
          <cell r="AB258" t="str">
            <v>WAAC004450089B300004</v>
          </cell>
          <cell r="AC258" t="str">
            <v>D1912041</v>
          </cell>
          <cell r="AD258">
            <v>526926</v>
          </cell>
          <cell r="AE258">
            <v>2.8899999999999999E-2</v>
          </cell>
          <cell r="AF258">
            <v>1.35</v>
          </cell>
          <cell r="AG258">
            <v>3.0099999999999998E-2</v>
          </cell>
          <cell r="AH258">
            <v>1.5E-3</v>
          </cell>
          <cell r="AI258">
            <v>0.32</v>
          </cell>
          <cell r="AJ258">
            <v>18.100000000000001</v>
          </cell>
          <cell r="AK258">
            <v>8.02</v>
          </cell>
          <cell r="AL258">
            <v>6.88E-2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Y258" t="str">
            <v/>
          </cell>
          <cell r="AZ258">
            <v>1.41</v>
          </cell>
          <cell r="BA258" t="str">
            <v>D1912041</v>
          </cell>
          <cell r="BB258" t="str">
            <v>CONFORM</v>
          </cell>
          <cell r="BC258" t="str">
            <v>CONFORM</v>
          </cell>
          <cell r="BD258" t="str">
            <v>CONFORM</v>
          </cell>
          <cell r="BE258" t="str">
            <v>CONFORM</v>
          </cell>
          <cell r="BF258" t="str">
            <v>CONFORM</v>
          </cell>
        </row>
        <row r="259">
          <cell r="A259">
            <v>43808</v>
          </cell>
          <cell r="B259" t="str">
            <v>D1912041-4</v>
          </cell>
          <cell r="C259" t="str">
            <v>029/19</v>
          </cell>
          <cell r="D259">
            <v>1</v>
          </cell>
          <cell r="E259" t="str">
            <v>DECEMBER 2019</v>
          </cell>
          <cell r="F259" t="str">
            <v>DC</v>
          </cell>
          <cell r="G259" t="str">
            <v>Late</v>
          </cell>
          <cell r="H259">
            <v>7010579</v>
          </cell>
          <cell r="I259">
            <v>43798</v>
          </cell>
          <cell r="J259" t="str">
            <v>OUTO</v>
          </cell>
          <cell r="K259" t="str">
            <v>D1912041</v>
          </cell>
          <cell r="L259">
            <v>4</v>
          </cell>
          <cell r="N259">
            <v>526926</v>
          </cell>
          <cell r="O259" t="str">
            <v xml:space="preserve">1.4306 TP304L </v>
          </cell>
          <cell r="P259" t="str">
            <v>304L</v>
          </cell>
          <cell r="Q259">
            <v>1.7509999999999999</v>
          </cell>
          <cell r="R259">
            <v>1.748</v>
          </cell>
          <cell r="S259">
            <v>3.5000000000000003E-2</v>
          </cell>
          <cell r="T259">
            <v>3.4000000000000002E-2</v>
          </cell>
          <cell r="V259">
            <v>3.4000000000000002E-2</v>
          </cell>
          <cell r="X259">
            <v>2063</v>
          </cell>
          <cell r="Y259">
            <v>3</v>
          </cell>
          <cell r="Z259">
            <v>392.72796497239671</v>
          </cell>
          <cell r="AA259" t="str">
            <v>1.751X0.035-304L</v>
          </cell>
          <cell r="AB259" t="str">
            <v>WAAC004450089B300004</v>
          </cell>
          <cell r="AC259" t="str">
            <v>D1912041</v>
          </cell>
          <cell r="AD259">
            <v>526926</v>
          </cell>
          <cell r="AE259">
            <v>2.8899999999999999E-2</v>
          </cell>
          <cell r="AF259">
            <v>1.35</v>
          </cell>
          <cell r="AG259">
            <v>3.0099999999999998E-2</v>
          </cell>
          <cell r="AH259">
            <v>1.5E-3</v>
          </cell>
          <cell r="AI259">
            <v>0.32</v>
          </cell>
          <cell r="AJ259">
            <v>18.100000000000001</v>
          </cell>
          <cell r="AK259">
            <v>8.02</v>
          </cell>
          <cell r="AL259">
            <v>6.88E-2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Y259" t="str">
            <v/>
          </cell>
          <cell r="AZ259">
            <v>1.41</v>
          </cell>
          <cell r="BA259" t="str">
            <v>D1912041</v>
          </cell>
          <cell r="BB259" t="str">
            <v>CONFORM</v>
          </cell>
          <cell r="BC259" t="str">
            <v>CONFORM</v>
          </cell>
          <cell r="BD259" t="str">
            <v>CONFORM</v>
          </cell>
          <cell r="BE259" t="str">
            <v>CONFORM</v>
          </cell>
          <cell r="BF259" t="str">
            <v>CONFORM</v>
          </cell>
        </row>
        <row r="260">
          <cell r="A260">
            <v>43808</v>
          </cell>
          <cell r="B260" t="str">
            <v>D1912041-5</v>
          </cell>
          <cell r="C260" t="str">
            <v>029/19</v>
          </cell>
          <cell r="D260">
            <v>1</v>
          </cell>
          <cell r="E260" t="str">
            <v>DECEMBER 2019</v>
          </cell>
          <cell r="F260" t="str">
            <v>DC</v>
          </cell>
          <cell r="G260" t="str">
            <v>Late</v>
          </cell>
          <cell r="H260">
            <v>7010579</v>
          </cell>
          <cell r="I260">
            <v>43798</v>
          </cell>
          <cell r="J260" t="str">
            <v>OUTO</v>
          </cell>
          <cell r="K260" t="str">
            <v>D1912041</v>
          </cell>
          <cell r="L260">
            <v>5</v>
          </cell>
          <cell r="N260">
            <v>526926</v>
          </cell>
          <cell r="O260" t="str">
            <v xml:space="preserve">1.4306 TP304L </v>
          </cell>
          <cell r="P260" t="str">
            <v>304L</v>
          </cell>
          <cell r="Q260">
            <v>1.7509999999999999</v>
          </cell>
          <cell r="R260">
            <v>1.748</v>
          </cell>
          <cell r="S260">
            <v>3.5000000000000003E-2</v>
          </cell>
          <cell r="T260">
            <v>3.4000000000000002E-2</v>
          </cell>
          <cell r="V260">
            <v>3.4000000000000002E-2</v>
          </cell>
          <cell r="X260">
            <v>1376</v>
          </cell>
          <cell r="Y260">
            <v>2</v>
          </cell>
          <cell r="Z260">
            <v>392.91833238149633</v>
          </cell>
          <cell r="AA260" t="str">
            <v>1.751X0.035-304L</v>
          </cell>
          <cell r="AB260" t="str">
            <v>WAAC004450089B300004</v>
          </cell>
          <cell r="AC260" t="str">
            <v>D1912041</v>
          </cell>
          <cell r="AD260">
            <v>526926</v>
          </cell>
          <cell r="AE260">
            <v>2.8899999999999999E-2</v>
          </cell>
          <cell r="AF260">
            <v>1.35</v>
          </cell>
          <cell r="AG260">
            <v>3.0099999999999998E-2</v>
          </cell>
          <cell r="AH260">
            <v>1.5E-3</v>
          </cell>
          <cell r="AI260">
            <v>0.32</v>
          </cell>
          <cell r="AJ260">
            <v>18.100000000000001</v>
          </cell>
          <cell r="AK260">
            <v>8.02</v>
          </cell>
          <cell r="AL260">
            <v>6.88E-2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Y260" t="str">
            <v/>
          </cell>
          <cell r="AZ260">
            <v>1.41</v>
          </cell>
          <cell r="BA260" t="str">
            <v>D1912041</v>
          </cell>
          <cell r="BB260" t="str">
            <v>CONFORM</v>
          </cell>
          <cell r="BC260" t="str">
            <v>CONFORM</v>
          </cell>
          <cell r="BD260" t="str">
            <v>CONFORM</v>
          </cell>
          <cell r="BE260" t="str">
            <v>CONFORM</v>
          </cell>
          <cell r="BF260" t="str">
            <v>CONFORM</v>
          </cell>
        </row>
        <row r="261">
          <cell r="A261">
            <v>43808</v>
          </cell>
          <cell r="B261" t="str">
            <v>D1912041-6</v>
          </cell>
          <cell r="C261" t="str">
            <v>029/19</v>
          </cell>
          <cell r="D261">
            <v>1</v>
          </cell>
          <cell r="E261" t="str">
            <v>DECEMBER 2019</v>
          </cell>
          <cell r="F261" t="str">
            <v>DC</v>
          </cell>
          <cell r="G261" t="str">
            <v>Late</v>
          </cell>
          <cell r="H261">
            <v>7010579</v>
          </cell>
          <cell r="I261">
            <v>43798</v>
          </cell>
          <cell r="J261" t="str">
            <v>OUTO</v>
          </cell>
          <cell r="K261" t="str">
            <v>D1912041</v>
          </cell>
          <cell r="L261">
            <v>6</v>
          </cell>
          <cell r="N261">
            <v>526926</v>
          </cell>
          <cell r="O261" t="str">
            <v xml:space="preserve">1.4306 TP304L </v>
          </cell>
          <cell r="P261" t="str">
            <v>304L</v>
          </cell>
          <cell r="Q261">
            <v>1.7509999999999999</v>
          </cell>
          <cell r="R261">
            <v>1.748</v>
          </cell>
          <cell r="S261">
            <v>3.5000000000000003E-2</v>
          </cell>
          <cell r="T261">
            <v>3.4000000000000002E-2</v>
          </cell>
          <cell r="V261">
            <v>3.4000000000000002E-2</v>
          </cell>
          <cell r="X261">
            <v>2103</v>
          </cell>
          <cell r="Y261">
            <v>3</v>
          </cell>
          <cell r="Z261">
            <v>400.34266133637925</v>
          </cell>
          <cell r="AA261" t="str">
            <v>1.751X0.035-304L</v>
          </cell>
          <cell r="AB261" t="str">
            <v>WAAC004450089B300004</v>
          </cell>
          <cell r="AC261" t="str">
            <v>D1912041</v>
          </cell>
          <cell r="AD261">
            <v>526926</v>
          </cell>
          <cell r="AE261">
            <v>2.8899999999999999E-2</v>
          </cell>
          <cell r="AF261">
            <v>1.35</v>
          </cell>
          <cell r="AG261">
            <v>3.0099999999999998E-2</v>
          </cell>
          <cell r="AH261">
            <v>1.5E-3</v>
          </cell>
          <cell r="AI261">
            <v>0.32</v>
          </cell>
          <cell r="AJ261">
            <v>18.100000000000001</v>
          </cell>
          <cell r="AK261">
            <v>8.02</v>
          </cell>
          <cell r="AL261">
            <v>6.88E-2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Y261" t="str">
            <v/>
          </cell>
          <cell r="AZ261">
            <v>1.41</v>
          </cell>
          <cell r="BA261" t="str">
            <v>D1912041</v>
          </cell>
          <cell r="BB261" t="str">
            <v>CONFORM</v>
          </cell>
          <cell r="BC261" t="str">
            <v>CONFORM</v>
          </cell>
          <cell r="BD261" t="str">
            <v>CONFORM</v>
          </cell>
          <cell r="BE261" t="str">
            <v>CONFORM</v>
          </cell>
          <cell r="BF261" t="str">
            <v>CONFORM</v>
          </cell>
        </row>
        <row r="262">
          <cell r="A262">
            <v>43808</v>
          </cell>
          <cell r="B262" t="str">
            <v>D1912041-7</v>
          </cell>
          <cell r="C262" t="str">
            <v>029/19</v>
          </cell>
          <cell r="D262">
            <v>1</v>
          </cell>
          <cell r="E262" t="str">
            <v>DECEMBER 2019</v>
          </cell>
          <cell r="F262" t="str">
            <v>DC</v>
          </cell>
          <cell r="G262" t="str">
            <v>Late</v>
          </cell>
          <cell r="H262">
            <v>7010579</v>
          </cell>
          <cell r="I262">
            <v>43798</v>
          </cell>
          <cell r="J262" t="str">
            <v>OUTO</v>
          </cell>
          <cell r="K262" t="str">
            <v>D1912041</v>
          </cell>
          <cell r="L262">
            <v>7</v>
          </cell>
          <cell r="N262">
            <v>526926</v>
          </cell>
          <cell r="O262" t="str">
            <v xml:space="preserve">1.4306 TP304L </v>
          </cell>
          <cell r="P262" t="str">
            <v>304L</v>
          </cell>
          <cell r="Q262">
            <v>1.7509999999999999</v>
          </cell>
          <cell r="R262">
            <v>1.748</v>
          </cell>
          <cell r="S262">
            <v>3.5000000000000003E-2</v>
          </cell>
          <cell r="T262">
            <v>3.4000000000000002E-2</v>
          </cell>
          <cell r="V262">
            <v>3.4000000000000002E-2</v>
          </cell>
          <cell r="X262">
            <v>2103</v>
          </cell>
          <cell r="Y262">
            <v>3</v>
          </cell>
          <cell r="Z262">
            <v>400.34266133637925</v>
          </cell>
          <cell r="AA262" t="str">
            <v>1.751X0.035-304L</v>
          </cell>
          <cell r="AB262" t="str">
            <v>WAAC004450089B300004</v>
          </cell>
          <cell r="AC262" t="str">
            <v>D1912041</v>
          </cell>
          <cell r="AD262">
            <v>526926</v>
          </cell>
          <cell r="AE262">
            <v>2.8899999999999999E-2</v>
          </cell>
          <cell r="AF262">
            <v>1.35</v>
          </cell>
          <cell r="AG262">
            <v>3.0099999999999998E-2</v>
          </cell>
          <cell r="AH262">
            <v>1.5E-3</v>
          </cell>
          <cell r="AI262">
            <v>0.32</v>
          </cell>
          <cell r="AJ262">
            <v>18.100000000000001</v>
          </cell>
          <cell r="AK262">
            <v>8.02</v>
          </cell>
          <cell r="AL262">
            <v>6.88E-2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Y262" t="str">
            <v/>
          </cell>
          <cell r="AZ262">
            <v>1.41</v>
          </cell>
          <cell r="BA262" t="str">
            <v>D1912041</v>
          </cell>
          <cell r="BB262" t="str">
            <v>CONFORM</v>
          </cell>
          <cell r="BC262" t="str">
            <v>CONFORM</v>
          </cell>
          <cell r="BD262" t="str">
            <v>CONFORM</v>
          </cell>
          <cell r="BE262" t="str">
            <v>CONFORM</v>
          </cell>
          <cell r="BF262" t="str">
            <v>CONFORM</v>
          </cell>
        </row>
        <row r="263">
          <cell r="A263">
            <v>43808</v>
          </cell>
          <cell r="B263" t="str">
            <v>D1912041-8</v>
          </cell>
          <cell r="C263" t="str">
            <v>029/19</v>
          </cell>
          <cell r="D263">
            <v>1</v>
          </cell>
          <cell r="E263" t="str">
            <v>DECEMBER 2019</v>
          </cell>
          <cell r="F263" t="str">
            <v>DC</v>
          </cell>
          <cell r="G263" t="str">
            <v>Late</v>
          </cell>
          <cell r="H263">
            <v>7010579</v>
          </cell>
          <cell r="I263">
            <v>43798</v>
          </cell>
          <cell r="J263" t="str">
            <v>OUTO</v>
          </cell>
          <cell r="K263" t="str">
            <v>D1912041</v>
          </cell>
          <cell r="L263">
            <v>8</v>
          </cell>
          <cell r="N263">
            <v>526926</v>
          </cell>
          <cell r="O263" t="str">
            <v xml:space="preserve">1.4306 TP304L </v>
          </cell>
          <cell r="P263" t="str">
            <v>304L</v>
          </cell>
          <cell r="Q263">
            <v>1.7509999999999999</v>
          </cell>
          <cell r="R263">
            <v>1.748</v>
          </cell>
          <cell r="S263">
            <v>3.5000000000000003E-2</v>
          </cell>
          <cell r="T263">
            <v>3.4000000000000002E-2</v>
          </cell>
          <cell r="V263">
            <v>3.4000000000000002E-2</v>
          </cell>
          <cell r="X263">
            <v>2103</v>
          </cell>
          <cell r="Y263">
            <v>3</v>
          </cell>
          <cell r="Z263">
            <v>400.34266133637925</v>
          </cell>
          <cell r="AA263" t="str">
            <v>1.751X0.035-304L</v>
          </cell>
          <cell r="AB263" t="str">
            <v>WAAC004450089B300004</v>
          </cell>
          <cell r="AC263" t="str">
            <v>D1912041</v>
          </cell>
          <cell r="AD263">
            <v>526926</v>
          </cell>
          <cell r="AE263">
            <v>2.8899999999999999E-2</v>
          </cell>
          <cell r="AF263">
            <v>1.35</v>
          </cell>
          <cell r="AG263">
            <v>3.0099999999999998E-2</v>
          </cell>
          <cell r="AH263">
            <v>1.5E-3</v>
          </cell>
          <cell r="AI263">
            <v>0.32</v>
          </cell>
          <cell r="AJ263">
            <v>18.100000000000001</v>
          </cell>
          <cell r="AK263">
            <v>8.02</v>
          </cell>
          <cell r="AL263">
            <v>6.88E-2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Y263" t="str">
            <v/>
          </cell>
          <cell r="AZ263">
            <v>1.41</v>
          </cell>
          <cell r="BA263" t="str">
            <v>D1912041</v>
          </cell>
          <cell r="BB263" t="str">
            <v>CONFORM</v>
          </cell>
          <cell r="BC263" t="str">
            <v>CONFORM</v>
          </cell>
          <cell r="BD263" t="str">
            <v>CONFORM</v>
          </cell>
          <cell r="BE263" t="str">
            <v>CONFORM</v>
          </cell>
          <cell r="BF263" t="str">
            <v>CONFORM</v>
          </cell>
        </row>
        <row r="264">
          <cell r="A264">
            <v>43808</v>
          </cell>
          <cell r="B264" t="str">
            <v>D1912041-9</v>
          </cell>
          <cell r="C264" t="str">
            <v>029/19</v>
          </cell>
          <cell r="D264">
            <v>1</v>
          </cell>
          <cell r="E264" t="str">
            <v>DECEMBER 2019</v>
          </cell>
          <cell r="F264" t="str">
            <v>DC</v>
          </cell>
          <cell r="G264" t="str">
            <v>Late</v>
          </cell>
          <cell r="H264">
            <v>7010579</v>
          </cell>
          <cell r="I264">
            <v>43798</v>
          </cell>
          <cell r="J264" t="str">
            <v>OUTO</v>
          </cell>
          <cell r="K264" t="str">
            <v>D1912041</v>
          </cell>
          <cell r="L264">
            <v>9</v>
          </cell>
          <cell r="N264">
            <v>526926</v>
          </cell>
          <cell r="O264" t="str">
            <v xml:space="preserve">1.4306 TP304L </v>
          </cell>
          <cell r="P264" t="str">
            <v>304L</v>
          </cell>
          <cell r="Q264">
            <v>1.7509999999999999</v>
          </cell>
          <cell r="R264">
            <v>1.748</v>
          </cell>
          <cell r="S264">
            <v>3.5000000000000003E-2</v>
          </cell>
          <cell r="T264">
            <v>3.4000000000000002E-2</v>
          </cell>
          <cell r="V264">
            <v>3.4000000000000002E-2</v>
          </cell>
          <cell r="X264">
            <v>2804</v>
          </cell>
          <cell r="Y264">
            <v>4</v>
          </cell>
          <cell r="Z264">
            <v>400.34266133637925</v>
          </cell>
          <cell r="AA264" t="str">
            <v>1.751X0.035-304L</v>
          </cell>
          <cell r="AB264" t="str">
            <v>WAAC004450089B300004</v>
          </cell>
          <cell r="AC264" t="str">
            <v>D1912041</v>
          </cell>
          <cell r="AD264">
            <v>526926</v>
          </cell>
          <cell r="AE264">
            <v>2.8899999999999999E-2</v>
          </cell>
          <cell r="AF264">
            <v>1.35</v>
          </cell>
          <cell r="AG264">
            <v>3.0099999999999998E-2</v>
          </cell>
          <cell r="AH264">
            <v>1.5E-3</v>
          </cell>
          <cell r="AI264">
            <v>0.32</v>
          </cell>
          <cell r="AJ264">
            <v>18.100000000000001</v>
          </cell>
          <cell r="AK264">
            <v>8.02</v>
          </cell>
          <cell r="AL264">
            <v>6.88E-2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Y264" t="str">
            <v/>
          </cell>
          <cell r="AZ264">
            <v>1.41</v>
          </cell>
          <cell r="BA264" t="str">
            <v>D1912041</v>
          </cell>
          <cell r="BB264" t="str">
            <v>CONFORM</v>
          </cell>
          <cell r="BC264" t="str">
            <v>CONFORM</v>
          </cell>
          <cell r="BD264" t="str">
            <v>CONFORM</v>
          </cell>
          <cell r="BE264" t="str">
            <v>CONFORM</v>
          </cell>
          <cell r="BF264" t="str">
            <v>CONFORM</v>
          </cell>
        </row>
        <row r="265">
          <cell r="A265">
            <v>43809</v>
          </cell>
          <cell r="B265" t="str">
            <v>D1912045-1</v>
          </cell>
          <cell r="C265" t="str">
            <v>043/19</v>
          </cell>
          <cell r="D265">
            <v>1</v>
          </cell>
          <cell r="E265" t="str">
            <v>DECEMBER 2019</v>
          </cell>
          <cell r="F265" t="str">
            <v>DC</v>
          </cell>
          <cell r="G265" t="str">
            <v>Late</v>
          </cell>
          <cell r="H265">
            <v>2407180484</v>
          </cell>
          <cell r="I265">
            <v>43809</v>
          </cell>
          <cell r="J265" t="str">
            <v>TKM</v>
          </cell>
          <cell r="K265" t="str">
            <v>D1912045</v>
          </cell>
          <cell r="L265">
            <v>1</v>
          </cell>
          <cell r="N265">
            <v>857572</v>
          </cell>
          <cell r="O265" t="str">
            <v xml:space="preserve">1.4306 TP304L </v>
          </cell>
          <cell r="P265" t="str">
            <v>304L</v>
          </cell>
          <cell r="Q265">
            <v>2.323</v>
          </cell>
          <cell r="R265">
            <v>2.319</v>
          </cell>
          <cell r="S265">
            <v>4.7E-2</v>
          </cell>
          <cell r="T265">
            <v>4.8000000000000001E-2</v>
          </cell>
          <cell r="V265">
            <v>4.8000000000000001E-2</v>
          </cell>
          <cell r="X265">
            <v>3448</v>
          </cell>
          <cell r="Y265">
            <v>7</v>
          </cell>
          <cell r="Z265">
            <v>212.04107988438597</v>
          </cell>
          <cell r="AA265" t="str">
            <v>2.323X0.047-304L</v>
          </cell>
          <cell r="AB265" t="str">
            <v>WAAC005900120B300050</v>
          </cell>
          <cell r="AC265" t="str">
            <v>D1912045</v>
          </cell>
          <cell r="AD265">
            <v>857572</v>
          </cell>
          <cell r="AE265">
            <v>0.02</v>
          </cell>
          <cell r="AF265">
            <v>1.62</v>
          </cell>
          <cell r="AG265">
            <v>3.3000000000000002E-2</v>
          </cell>
          <cell r="AH265">
            <v>2.0000000000000001E-4</v>
          </cell>
          <cell r="AI265">
            <v>0.5</v>
          </cell>
          <cell r="AJ265">
            <v>18.2</v>
          </cell>
          <cell r="AK265">
            <v>8.14</v>
          </cell>
          <cell r="AL265">
            <v>7.0000000000000007E-2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Y265" t="str">
            <v/>
          </cell>
          <cell r="AZ265">
            <v>2.04</v>
          </cell>
          <cell r="BA265" t="str">
            <v>D1912045</v>
          </cell>
          <cell r="BB265" t="str">
            <v>CONFORM</v>
          </cell>
          <cell r="BC265" t="str">
            <v>CONFORM</v>
          </cell>
          <cell r="BD265" t="str">
            <v>CONFORM</v>
          </cell>
          <cell r="BE265" t="str">
            <v>CONFORM</v>
          </cell>
          <cell r="BF265" t="str">
            <v>CONFORM</v>
          </cell>
        </row>
        <row r="266">
          <cell r="A266">
            <v>43809</v>
          </cell>
          <cell r="B266" t="str">
            <v>D1912045-2</v>
          </cell>
          <cell r="C266" t="str">
            <v>043/19</v>
          </cell>
          <cell r="D266">
            <v>1</v>
          </cell>
          <cell r="E266" t="str">
            <v>DECEMBER 2019</v>
          </cell>
          <cell r="F266" t="str">
            <v>DC</v>
          </cell>
          <cell r="G266" t="str">
            <v>Late</v>
          </cell>
          <cell r="H266">
            <v>2407180484</v>
          </cell>
          <cell r="I266">
            <v>43809</v>
          </cell>
          <cell r="J266" t="str">
            <v>TKM</v>
          </cell>
          <cell r="K266" t="str">
            <v>D1912045</v>
          </cell>
          <cell r="L266">
            <v>2</v>
          </cell>
          <cell r="N266">
            <v>857572</v>
          </cell>
          <cell r="O266" t="str">
            <v xml:space="preserve">1.4306 TP304L </v>
          </cell>
          <cell r="P266" t="str">
            <v>304L</v>
          </cell>
          <cell r="Q266">
            <v>2.323</v>
          </cell>
          <cell r="R266">
            <v>2.3260000000000001</v>
          </cell>
          <cell r="S266">
            <v>4.7E-2</v>
          </cell>
          <cell r="T266">
            <v>4.4999999999999998E-2</v>
          </cell>
          <cell r="V266">
            <v>4.4999999999999998E-2</v>
          </cell>
          <cell r="X266">
            <v>3481</v>
          </cell>
          <cell r="Y266">
            <v>7</v>
          </cell>
          <cell r="Z266">
            <v>214.07047537051841</v>
          </cell>
          <cell r="AA266" t="str">
            <v>2.323X0.047-304L</v>
          </cell>
          <cell r="AB266" t="str">
            <v>WAAC005900120B300050</v>
          </cell>
          <cell r="AC266" t="str">
            <v>D1912045</v>
          </cell>
          <cell r="AD266">
            <v>857572</v>
          </cell>
          <cell r="AE266">
            <v>0.02</v>
          </cell>
          <cell r="AF266">
            <v>1.62</v>
          </cell>
          <cell r="AG266">
            <v>3.3000000000000002E-2</v>
          </cell>
          <cell r="AH266">
            <v>2.0000000000000001E-4</v>
          </cell>
          <cell r="AI266">
            <v>0.5</v>
          </cell>
          <cell r="AJ266">
            <v>18.2</v>
          </cell>
          <cell r="AK266">
            <v>8.14</v>
          </cell>
          <cell r="AL266">
            <v>7.0000000000000007E-2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Y266" t="str">
            <v/>
          </cell>
          <cell r="AZ266">
            <v>2.04</v>
          </cell>
          <cell r="BA266" t="str">
            <v>D1912045</v>
          </cell>
          <cell r="BB266" t="str">
            <v>CONFORM</v>
          </cell>
          <cell r="BC266" t="str">
            <v>CONFORM</v>
          </cell>
          <cell r="BD266" t="str">
            <v>CONFORM</v>
          </cell>
          <cell r="BE266" t="str">
            <v>CONFORM</v>
          </cell>
          <cell r="BF266" t="str">
            <v>CONFORM</v>
          </cell>
        </row>
        <row r="267">
          <cell r="A267">
            <v>43809</v>
          </cell>
          <cell r="B267" t="str">
            <v>D1912045-3</v>
          </cell>
          <cell r="C267" t="str">
            <v>043/19</v>
          </cell>
          <cell r="D267">
            <v>1</v>
          </cell>
          <cell r="E267" t="str">
            <v>DECEMBER 2019</v>
          </cell>
          <cell r="F267" t="str">
            <v>DC</v>
          </cell>
          <cell r="G267" t="str">
            <v>Late</v>
          </cell>
          <cell r="H267">
            <v>2407180484</v>
          </cell>
          <cell r="I267">
            <v>43809</v>
          </cell>
          <cell r="J267" t="str">
            <v>TKM</v>
          </cell>
          <cell r="K267" t="str">
            <v>D1912045</v>
          </cell>
          <cell r="L267">
            <v>3</v>
          </cell>
          <cell r="N267">
            <v>857572</v>
          </cell>
          <cell r="O267" t="str">
            <v xml:space="preserve">1.4306 TP304L </v>
          </cell>
          <cell r="P267" t="str">
            <v>304L</v>
          </cell>
          <cell r="Q267">
            <v>2.323</v>
          </cell>
          <cell r="R267">
            <v>2.3239999999999998</v>
          </cell>
          <cell r="S267">
            <v>4.7E-2</v>
          </cell>
          <cell r="T267">
            <v>4.4999999999999998E-2</v>
          </cell>
          <cell r="V267">
            <v>4.4999999999999998E-2</v>
          </cell>
          <cell r="X267">
            <v>2986</v>
          </cell>
          <cell r="Y267">
            <v>6</v>
          </cell>
          <cell r="Z267">
            <v>214.23446692495338</v>
          </cell>
          <cell r="AA267" t="str">
            <v>2.323X0.047-304L</v>
          </cell>
          <cell r="AB267" t="str">
            <v>WAAC005900120B300050</v>
          </cell>
          <cell r="AC267" t="str">
            <v>D1912045</v>
          </cell>
          <cell r="AD267">
            <v>857572</v>
          </cell>
          <cell r="AE267">
            <v>0.02</v>
          </cell>
          <cell r="AF267">
            <v>1.62</v>
          </cell>
          <cell r="AG267">
            <v>3.3000000000000002E-2</v>
          </cell>
          <cell r="AH267">
            <v>2.0000000000000001E-4</v>
          </cell>
          <cell r="AI267">
            <v>0.5</v>
          </cell>
          <cell r="AJ267">
            <v>18.2</v>
          </cell>
          <cell r="AK267">
            <v>8.14</v>
          </cell>
          <cell r="AL267">
            <v>7.0000000000000007E-2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Y267" t="str">
            <v/>
          </cell>
          <cell r="AZ267">
            <v>2.04</v>
          </cell>
          <cell r="BA267" t="str">
            <v>D1912045</v>
          </cell>
          <cell r="BB267" t="str">
            <v>CONFORM</v>
          </cell>
          <cell r="BC267" t="str">
            <v>CONFORM</v>
          </cell>
          <cell r="BD267" t="str">
            <v>CONFORM</v>
          </cell>
          <cell r="BE267" t="str">
            <v>CONFORM</v>
          </cell>
          <cell r="BF267" t="str">
            <v>CONFORM</v>
          </cell>
        </row>
        <row r="268">
          <cell r="A268">
            <v>43809</v>
          </cell>
          <cell r="B268" t="str">
            <v>D1912046-1</v>
          </cell>
          <cell r="C268" t="str">
            <v>029/19</v>
          </cell>
          <cell r="D268">
            <v>1</v>
          </cell>
          <cell r="E268" t="str">
            <v>DECEMBER 2019</v>
          </cell>
          <cell r="F268" t="str">
            <v>DC</v>
          </cell>
          <cell r="G268" t="str">
            <v>Late</v>
          </cell>
          <cell r="H268">
            <v>7010587</v>
          </cell>
          <cell r="I268">
            <v>43798</v>
          </cell>
          <cell r="J268" t="str">
            <v>OUTO</v>
          </cell>
          <cell r="K268" t="str">
            <v>D1912046</v>
          </cell>
          <cell r="L268">
            <v>1</v>
          </cell>
          <cell r="N268">
            <v>526927</v>
          </cell>
          <cell r="O268" t="str">
            <v xml:space="preserve">1.4306 TP304L </v>
          </cell>
          <cell r="P268" t="str">
            <v>304L</v>
          </cell>
          <cell r="Q268">
            <v>1.7509999999999999</v>
          </cell>
          <cell r="R268">
            <v>1.748</v>
          </cell>
          <cell r="S268">
            <v>3.5000000000000003E-2</v>
          </cell>
          <cell r="T268">
            <v>3.4000000000000002E-2</v>
          </cell>
          <cell r="V268">
            <v>3.4000000000000002E-2</v>
          </cell>
          <cell r="X268">
            <v>1671</v>
          </cell>
          <cell r="Y268">
            <v>2</v>
          </cell>
          <cell r="Z268">
            <v>477.15591090805259</v>
          </cell>
          <cell r="AA268" t="str">
            <v>1.751X0.035-304L</v>
          </cell>
          <cell r="AB268" t="str">
            <v>WAAC004450089B300004</v>
          </cell>
          <cell r="AC268" t="str">
            <v>D1912046</v>
          </cell>
          <cell r="AD268">
            <v>526927</v>
          </cell>
          <cell r="AE268">
            <v>2.64E-2</v>
          </cell>
          <cell r="AF268">
            <v>1.3</v>
          </cell>
          <cell r="AG268">
            <v>2.98E-2</v>
          </cell>
          <cell r="AH268">
            <v>1.6000000000000001E-3</v>
          </cell>
          <cell r="AI268">
            <v>0.37</v>
          </cell>
          <cell r="AJ268">
            <v>18.100000000000001</v>
          </cell>
          <cell r="AK268">
            <v>8.0299999999999994</v>
          </cell>
          <cell r="AL268">
            <v>6.4699999999999994E-2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Y268" t="str">
            <v/>
          </cell>
          <cell r="AZ268">
            <v>1.41</v>
          </cell>
          <cell r="BA268" t="str">
            <v>D1912046</v>
          </cell>
          <cell r="BB268" t="str">
            <v>CONFORM</v>
          </cell>
          <cell r="BC268" t="str">
            <v>CONFORM</v>
          </cell>
          <cell r="BD268" t="str">
            <v>CONFORM</v>
          </cell>
          <cell r="BE268" t="str">
            <v>CONFORM</v>
          </cell>
          <cell r="BF268" t="str">
            <v>CONFORM</v>
          </cell>
        </row>
        <row r="269">
          <cell r="A269">
            <v>43809</v>
          </cell>
          <cell r="B269" t="str">
            <v>D1912046-2</v>
          </cell>
          <cell r="C269" t="str">
            <v>029/19</v>
          </cell>
          <cell r="D269">
            <v>1</v>
          </cell>
          <cell r="E269" t="str">
            <v>DECEMBER 2019</v>
          </cell>
          <cell r="F269" t="str">
            <v>DC</v>
          </cell>
          <cell r="G269" t="str">
            <v>Late</v>
          </cell>
          <cell r="H269">
            <v>7010587</v>
          </cell>
          <cell r="I269">
            <v>43798</v>
          </cell>
          <cell r="J269" t="str">
            <v>OUTO</v>
          </cell>
          <cell r="K269" t="str">
            <v>D1912046</v>
          </cell>
          <cell r="L269">
            <v>2</v>
          </cell>
          <cell r="N269">
            <v>526927</v>
          </cell>
          <cell r="O269" t="str">
            <v xml:space="preserve">1.4306 TP304L </v>
          </cell>
          <cell r="P269" t="str">
            <v>304L</v>
          </cell>
          <cell r="Q269">
            <v>1.7509999999999999</v>
          </cell>
          <cell r="R269">
            <v>1.748</v>
          </cell>
          <cell r="S269">
            <v>3.5000000000000003E-2</v>
          </cell>
          <cell r="T269">
            <v>3.4000000000000002E-2</v>
          </cell>
          <cell r="V269">
            <v>3.4000000000000002E-2</v>
          </cell>
          <cell r="X269">
            <v>2363</v>
          </cell>
          <cell r="Y269">
            <v>2</v>
          </cell>
          <cell r="Z269">
            <v>674.75728155339812</v>
          </cell>
          <cell r="AA269" t="str">
            <v>1.751X0.035-304L</v>
          </cell>
          <cell r="AB269" t="str">
            <v>WAAC004450089B300004</v>
          </cell>
          <cell r="AC269" t="str">
            <v>D1912046</v>
          </cell>
          <cell r="AD269">
            <v>526927</v>
          </cell>
          <cell r="AE269">
            <v>2.64E-2</v>
          </cell>
          <cell r="AF269">
            <v>1.3</v>
          </cell>
          <cell r="AG269">
            <v>2.98E-2</v>
          </cell>
          <cell r="AH269">
            <v>1.6000000000000001E-3</v>
          </cell>
          <cell r="AI269">
            <v>0.37</v>
          </cell>
          <cell r="AJ269">
            <v>18.100000000000001</v>
          </cell>
          <cell r="AK269">
            <v>8.0299999999999994</v>
          </cell>
          <cell r="AL269">
            <v>6.4699999999999994E-2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Y269" t="str">
            <v/>
          </cell>
          <cell r="AZ269">
            <v>1.41</v>
          </cell>
          <cell r="BA269" t="str">
            <v>D1912046</v>
          </cell>
          <cell r="BB269" t="str">
            <v>CONFORM</v>
          </cell>
          <cell r="BC269" t="str">
            <v>CONFORM</v>
          </cell>
          <cell r="BD269" t="str">
            <v>CONFORM</v>
          </cell>
          <cell r="BE269" t="str">
            <v>CONFORM</v>
          </cell>
          <cell r="BF269" t="str">
            <v>CONFORM</v>
          </cell>
        </row>
        <row r="270">
          <cell r="A270">
            <v>43809</v>
          </cell>
          <cell r="B270" t="str">
            <v>D1912046-3</v>
          </cell>
          <cell r="C270" t="str">
            <v>029/19</v>
          </cell>
          <cell r="D270">
            <v>1</v>
          </cell>
          <cell r="E270" t="str">
            <v>DECEMBER 2019</v>
          </cell>
          <cell r="F270" t="str">
            <v>DC</v>
          </cell>
          <cell r="G270" t="str">
            <v>Late</v>
          </cell>
          <cell r="H270">
            <v>7010587</v>
          </cell>
          <cell r="I270">
            <v>43798</v>
          </cell>
          <cell r="J270" t="str">
            <v>OUTO</v>
          </cell>
          <cell r="K270" t="str">
            <v>D1912046</v>
          </cell>
          <cell r="L270">
            <v>3</v>
          </cell>
          <cell r="N270">
            <v>526927</v>
          </cell>
          <cell r="O270" t="str">
            <v xml:space="preserve">1.4306 TP304L </v>
          </cell>
          <cell r="P270" t="str">
            <v>304L</v>
          </cell>
          <cell r="Q270">
            <v>1.7509999999999999</v>
          </cell>
          <cell r="R270">
            <v>1.748</v>
          </cell>
          <cell r="S270">
            <v>3.5000000000000003E-2</v>
          </cell>
          <cell r="T270">
            <v>3.4000000000000002E-2</v>
          </cell>
          <cell r="V270">
            <v>3.4000000000000002E-2</v>
          </cell>
          <cell r="X270">
            <v>2363</v>
          </cell>
          <cell r="Y270">
            <v>2</v>
          </cell>
          <cell r="Z270">
            <v>674.75728155339812</v>
          </cell>
          <cell r="AA270" t="str">
            <v>1.751X0.035-304L</v>
          </cell>
          <cell r="AB270" t="str">
            <v>WAAC004450089B300004</v>
          </cell>
          <cell r="AC270" t="str">
            <v>D1912046</v>
          </cell>
          <cell r="AD270">
            <v>526927</v>
          </cell>
          <cell r="AE270">
            <v>2.64E-2</v>
          </cell>
          <cell r="AF270">
            <v>1.3</v>
          </cell>
          <cell r="AG270">
            <v>2.98E-2</v>
          </cell>
          <cell r="AH270">
            <v>1.6000000000000001E-3</v>
          </cell>
          <cell r="AI270">
            <v>0.37</v>
          </cell>
          <cell r="AJ270">
            <v>18.100000000000001</v>
          </cell>
          <cell r="AK270">
            <v>8.0299999999999994</v>
          </cell>
          <cell r="AL270">
            <v>6.4699999999999994E-2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Y270" t="str">
            <v/>
          </cell>
          <cell r="AZ270">
            <v>1.41</v>
          </cell>
          <cell r="BA270" t="str">
            <v>D1912046</v>
          </cell>
          <cell r="BB270" t="str">
            <v>CONFORM</v>
          </cell>
          <cell r="BC270" t="str">
            <v>CONFORM</v>
          </cell>
          <cell r="BD270" t="str">
            <v>CONFORM</v>
          </cell>
          <cell r="BE270" t="str">
            <v>CONFORM</v>
          </cell>
          <cell r="BF270" t="str">
            <v>CONFORM</v>
          </cell>
        </row>
        <row r="271">
          <cell r="A271">
            <v>43809</v>
          </cell>
          <cell r="B271" t="str">
            <v>D1912046-4</v>
          </cell>
          <cell r="C271" t="str">
            <v>029/19</v>
          </cell>
          <cell r="D271">
            <v>1</v>
          </cell>
          <cell r="E271" t="str">
            <v>DECEMBER 2019</v>
          </cell>
          <cell r="F271" t="str">
            <v>DC</v>
          </cell>
          <cell r="G271" t="str">
            <v>Late</v>
          </cell>
          <cell r="H271">
            <v>7010587</v>
          </cell>
          <cell r="I271">
            <v>43798</v>
          </cell>
          <cell r="J271" t="str">
            <v>OUTO</v>
          </cell>
          <cell r="K271" t="str">
            <v>D1912046</v>
          </cell>
          <cell r="L271">
            <v>4</v>
          </cell>
          <cell r="N271">
            <v>526927</v>
          </cell>
          <cell r="O271" t="str">
            <v xml:space="preserve">1.4306 TP304L </v>
          </cell>
          <cell r="P271" t="str">
            <v>304L</v>
          </cell>
          <cell r="Q271">
            <v>1.7509999999999999</v>
          </cell>
          <cell r="R271">
            <v>1.748</v>
          </cell>
          <cell r="S271">
            <v>3.5000000000000003E-2</v>
          </cell>
          <cell r="T271">
            <v>3.4000000000000002E-2</v>
          </cell>
          <cell r="V271">
            <v>3.4000000000000002E-2</v>
          </cell>
          <cell r="X271">
            <v>2354</v>
          </cell>
          <cell r="Y271">
            <v>2</v>
          </cell>
          <cell r="Z271">
            <v>672.18732153055396</v>
          </cell>
          <cell r="AA271" t="str">
            <v>1.751X0.035-304L</v>
          </cell>
          <cell r="AB271" t="str">
            <v>WAAC004450089B300004</v>
          </cell>
          <cell r="AC271" t="str">
            <v>D1912046</v>
          </cell>
          <cell r="AD271">
            <v>526927</v>
          </cell>
          <cell r="AE271">
            <v>2.64E-2</v>
          </cell>
          <cell r="AF271">
            <v>1.3</v>
          </cell>
          <cell r="AG271">
            <v>2.98E-2</v>
          </cell>
          <cell r="AH271">
            <v>1.6000000000000001E-3</v>
          </cell>
          <cell r="AI271">
            <v>0.37</v>
          </cell>
          <cell r="AJ271">
            <v>18.100000000000001</v>
          </cell>
          <cell r="AK271">
            <v>8.0299999999999994</v>
          </cell>
          <cell r="AL271">
            <v>6.4699999999999994E-2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Y271" t="str">
            <v/>
          </cell>
          <cell r="AZ271">
            <v>1.41</v>
          </cell>
          <cell r="BA271" t="str">
            <v>D1912046</v>
          </cell>
          <cell r="BB271" t="str">
            <v>CONFORM</v>
          </cell>
          <cell r="BC271" t="str">
            <v>CONFORM</v>
          </cell>
          <cell r="BD271" t="str">
            <v>CONFORM</v>
          </cell>
          <cell r="BE271" t="str">
            <v>CONFORM</v>
          </cell>
          <cell r="BF271" t="str">
            <v>CONFORM</v>
          </cell>
        </row>
        <row r="272">
          <cell r="A272">
            <v>43809</v>
          </cell>
          <cell r="B272" t="str">
            <v>D1912046-5</v>
          </cell>
          <cell r="C272" t="str">
            <v>029/19</v>
          </cell>
          <cell r="D272">
            <v>1</v>
          </cell>
          <cell r="E272" t="str">
            <v>DECEMBER 2019</v>
          </cell>
          <cell r="F272" t="str">
            <v>DC</v>
          </cell>
          <cell r="G272" t="str">
            <v>Late</v>
          </cell>
          <cell r="H272">
            <v>7010587</v>
          </cell>
          <cell r="I272">
            <v>43798</v>
          </cell>
          <cell r="J272" t="str">
            <v>OUTO</v>
          </cell>
          <cell r="K272" t="str">
            <v>D1912046</v>
          </cell>
          <cell r="L272">
            <v>5</v>
          </cell>
          <cell r="N272">
            <v>526927</v>
          </cell>
          <cell r="O272" t="str">
            <v xml:space="preserve">1.4306 TP304L </v>
          </cell>
          <cell r="P272" t="str">
            <v>304L</v>
          </cell>
          <cell r="Q272">
            <v>1.7509999999999999</v>
          </cell>
          <cell r="R272">
            <v>1.748</v>
          </cell>
          <cell r="S272">
            <v>3.5000000000000003E-2</v>
          </cell>
          <cell r="T272">
            <v>3.4000000000000002E-2</v>
          </cell>
          <cell r="V272">
            <v>3.4000000000000002E-2</v>
          </cell>
          <cell r="X272">
            <v>2337</v>
          </cell>
          <cell r="Y272">
            <v>2</v>
          </cell>
          <cell r="Z272">
            <v>667.33295259851513</v>
          </cell>
          <cell r="AA272" t="str">
            <v>1.751X0.035-304L</v>
          </cell>
          <cell r="AB272" t="str">
            <v>WAAC004450089B300004</v>
          </cell>
          <cell r="AC272" t="str">
            <v>D1912046</v>
          </cell>
          <cell r="AD272">
            <v>526927</v>
          </cell>
          <cell r="AE272">
            <v>2.64E-2</v>
          </cell>
          <cell r="AF272">
            <v>1.3</v>
          </cell>
          <cell r="AG272">
            <v>2.98E-2</v>
          </cell>
          <cell r="AH272">
            <v>1.6000000000000001E-3</v>
          </cell>
          <cell r="AI272">
            <v>0.37</v>
          </cell>
          <cell r="AJ272">
            <v>18.100000000000001</v>
          </cell>
          <cell r="AK272">
            <v>8.0299999999999994</v>
          </cell>
          <cell r="AL272">
            <v>6.4699999999999994E-2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Y272" t="str">
            <v/>
          </cell>
          <cell r="AZ272">
            <v>1.41</v>
          </cell>
          <cell r="BA272" t="str">
            <v>D1912046</v>
          </cell>
          <cell r="BB272" t="str">
            <v>CONFORM</v>
          </cell>
          <cell r="BC272" t="str">
            <v>CONFORM</v>
          </cell>
          <cell r="BD272" t="str">
            <v>CONFORM</v>
          </cell>
          <cell r="BE272" t="str">
            <v>CONFORM</v>
          </cell>
          <cell r="BF272" t="str">
            <v>CONFORM</v>
          </cell>
        </row>
        <row r="273">
          <cell r="A273">
            <v>43809</v>
          </cell>
          <cell r="B273" t="str">
            <v>D1912046-6</v>
          </cell>
          <cell r="C273" t="str">
            <v>029/19</v>
          </cell>
          <cell r="D273">
            <v>1</v>
          </cell>
          <cell r="E273" t="str">
            <v>DECEMBER 2019</v>
          </cell>
          <cell r="F273" t="str">
            <v>DC</v>
          </cell>
          <cell r="G273" t="str">
            <v>Late</v>
          </cell>
          <cell r="H273">
            <v>7010587</v>
          </cell>
          <cell r="I273">
            <v>43798</v>
          </cell>
          <cell r="J273" t="str">
            <v>OUTO</v>
          </cell>
          <cell r="K273" t="str">
            <v>D1912046</v>
          </cell>
          <cell r="L273">
            <v>6</v>
          </cell>
          <cell r="N273">
            <v>526927</v>
          </cell>
          <cell r="O273" t="str">
            <v xml:space="preserve">1.4306 TP304L </v>
          </cell>
          <cell r="P273" t="str">
            <v>304L</v>
          </cell>
          <cell r="Q273">
            <v>1.7509999999999999</v>
          </cell>
          <cell r="R273">
            <v>1.748</v>
          </cell>
          <cell r="S273">
            <v>3.5000000000000003E-2</v>
          </cell>
          <cell r="T273">
            <v>3.4000000000000002E-2</v>
          </cell>
          <cell r="V273">
            <v>3.4000000000000002E-2</v>
          </cell>
          <cell r="X273">
            <v>2354</v>
          </cell>
          <cell r="Y273">
            <v>2</v>
          </cell>
          <cell r="Z273">
            <v>672.18732153055396</v>
          </cell>
          <cell r="AA273" t="str">
            <v>1.751X0.035-304L</v>
          </cell>
          <cell r="AB273" t="str">
            <v>WAAC004450089B300004</v>
          </cell>
          <cell r="AC273" t="str">
            <v>D1912046</v>
          </cell>
          <cell r="AD273">
            <v>526927</v>
          </cell>
          <cell r="AE273">
            <v>2.64E-2</v>
          </cell>
          <cell r="AF273">
            <v>1.3</v>
          </cell>
          <cell r="AG273">
            <v>2.98E-2</v>
          </cell>
          <cell r="AH273">
            <v>1.6000000000000001E-3</v>
          </cell>
          <cell r="AI273">
            <v>0.37</v>
          </cell>
          <cell r="AJ273">
            <v>18.100000000000001</v>
          </cell>
          <cell r="AK273">
            <v>8.0299999999999994</v>
          </cell>
          <cell r="AL273">
            <v>6.4699999999999994E-2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Y273" t="str">
            <v/>
          </cell>
          <cell r="AZ273">
            <v>1.41</v>
          </cell>
          <cell r="BA273" t="str">
            <v>D1912046</v>
          </cell>
          <cell r="BB273" t="str">
            <v>CONFORM</v>
          </cell>
          <cell r="BC273" t="str">
            <v>CONFORM</v>
          </cell>
          <cell r="BD273" t="str">
            <v>CONFORM</v>
          </cell>
          <cell r="BE273" t="str">
            <v>CONFORM</v>
          </cell>
          <cell r="BF273" t="str">
            <v>CONFORM</v>
          </cell>
        </row>
        <row r="274">
          <cell r="A274">
            <v>43809</v>
          </cell>
          <cell r="B274" t="str">
            <v>D1912046-7</v>
          </cell>
          <cell r="C274" t="str">
            <v>029/19</v>
          </cell>
          <cell r="D274">
            <v>1</v>
          </cell>
          <cell r="E274" t="str">
            <v>DECEMBER 2019</v>
          </cell>
          <cell r="F274" t="str">
            <v>DC</v>
          </cell>
          <cell r="G274" t="str">
            <v>Late</v>
          </cell>
          <cell r="H274">
            <v>7010587</v>
          </cell>
          <cell r="I274">
            <v>43798</v>
          </cell>
          <cell r="J274" t="str">
            <v>OUTO</v>
          </cell>
          <cell r="K274" t="str">
            <v>D1912046</v>
          </cell>
          <cell r="L274">
            <v>7</v>
          </cell>
          <cell r="N274">
            <v>526927</v>
          </cell>
          <cell r="O274" t="str">
            <v xml:space="preserve">1.4306 TP304L </v>
          </cell>
          <cell r="P274" t="str">
            <v>304L</v>
          </cell>
          <cell r="Q274">
            <v>1.7509999999999999</v>
          </cell>
          <cell r="R274">
            <v>1.748</v>
          </cell>
          <cell r="S274">
            <v>3.5000000000000003E-2</v>
          </cell>
          <cell r="T274">
            <v>3.4000000000000002E-2</v>
          </cell>
          <cell r="V274">
            <v>3.4000000000000002E-2</v>
          </cell>
          <cell r="X274">
            <v>1168</v>
          </cell>
          <cell r="Y274">
            <v>1</v>
          </cell>
          <cell r="Z274">
            <v>667.04740148486587</v>
          </cell>
          <cell r="AA274" t="str">
            <v>1.751X0.035-304L</v>
          </cell>
          <cell r="AB274" t="str">
            <v>WAAC004450089B300004</v>
          </cell>
          <cell r="AC274" t="str">
            <v>D1912046</v>
          </cell>
          <cell r="AD274">
            <v>526927</v>
          </cell>
          <cell r="AE274">
            <v>2.64E-2</v>
          </cell>
          <cell r="AF274">
            <v>1.3</v>
          </cell>
          <cell r="AG274">
            <v>2.98E-2</v>
          </cell>
          <cell r="AH274">
            <v>1.6000000000000001E-3</v>
          </cell>
          <cell r="AI274">
            <v>0.37</v>
          </cell>
          <cell r="AJ274">
            <v>18.100000000000001</v>
          </cell>
          <cell r="AK274">
            <v>8.0299999999999994</v>
          </cell>
          <cell r="AL274">
            <v>6.4699999999999994E-2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Y274" t="str">
            <v/>
          </cell>
          <cell r="AZ274">
            <v>1.41</v>
          </cell>
          <cell r="BA274" t="str">
            <v>D1912046</v>
          </cell>
          <cell r="BB274" t="str">
            <v>CONFORM</v>
          </cell>
          <cell r="BC274" t="str">
            <v>CONFORM</v>
          </cell>
          <cell r="BD274" t="str">
            <v>CONFORM</v>
          </cell>
          <cell r="BE274" t="str">
            <v>CONFORM</v>
          </cell>
          <cell r="BF274" t="str">
            <v>CONFORM</v>
          </cell>
        </row>
        <row r="275">
          <cell r="A275">
            <v>43809</v>
          </cell>
          <cell r="B275" t="str">
            <v>D1912046-8</v>
          </cell>
          <cell r="C275" t="str">
            <v>029/19</v>
          </cell>
          <cell r="D275">
            <v>1</v>
          </cell>
          <cell r="E275" t="str">
            <v>DECEMBER 2019</v>
          </cell>
          <cell r="F275" t="str">
            <v>DC</v>
          </cell>
          <cell r="G275" t="str">
            <v>Late</v>
          </cell>
          <cell r="H275">
            <v>7010587</v>
          </cell>
          <cell r="I275">
            <v>43798</v>
          </cell>
          <cell r="J275" t="str">
            <v>OUTO</v>
          </cell>
          <cell r="K275" t="str">
            <v>D1912046</v>
          </cell>
          <cell r="L275">
            <v>8</v>
          </cell>
          <cell r="N275">
            <v>526927</v>
          </cell>
          <cell r="O275" t="str">
            <v xml:space="preserve">1.4306 TP304L </v>
          </cell>
          <cell r="P275" t="str">
            <v>304L</v>
          </cell>
          <cell r="Q275">
            <v>1.7509999999999999</v>
          </cell>
          <cell r="R275">
            <v>1.748</v>
          </cell>
          <cell r="S275">
            <v>3.5000000000000003E-2</v>
          </cell>
          <cell r="T275">
            <v>3.4000000000000002E-2</v>
          </cell>
          <cell r="V275">
            <v>3.4000000000000002E-2</v>
          </cell>
          <cell r="X275">
            <v>2302</v>
          </cell>
          <cell r="Y275">
            <v>2</v>
          </cell>
          <cell r="Z275">
            <v>657.33866362078811</v>
          </cell>
          <cell r="AA275" t="str">
            <v>1.751X0.035-304L</v>
          </cell>
          <cell r="AB275" t="str">
            <v>WAAC004450089B300004</v>
          </cell>
          <cell r="AC275" t="str">
            <v>D1912046</v>
          </cell>
          <cell r="AD275">
            <v>526927</v>
          </cell>
          <cell r="AE275">
            <v>2.64E-2</v>
          </cell>
          <cell r="AF275">
            <v>1.3</v>
          </cell>
          <cell r="AG275">
            <v>2.98E-2</v>
          </cell>
          <cell r="AH275">
            <v>1.6000000000000001E-3</v>
          </cell>
          <cell r="AI275">
            <v>0.37</v>
          </cell>
          <cell r="AJ275">
            <v>18.100000000000001</v>
          </cell>
          <cell r="AK275">
            <v>8.0299999999999994</v>
          </cell>
          <cell r="AL275">
            <v>6.4699999999999994E-2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Y275" t="str">
            <v/>
          </cell>
          <cell r="AZ275">
            <v>1.41</v>
          </cell>
          <cell r="BA275" t="str">
            <v>D1912046</v>
          </cell>
          <cell r="BB275" t="str">
            <v>CONFORM</v>
          </cell>
          <cell r="BC275" t="str">
            <v>CONFORM</v>
          </cell>
          <cell r="BD275" t="str">
            <v>CONFORM</v>
          </cell>
          <cell r="BE275" t="str">
            <v>CONFORM</v>
          </cell>
          <cell r="BF275" t="str">
            <v>CONFORM</v>
          </cell>
        </row>
        <row r="276">
          <cell r="A276">
            <v>43809</v>
          </cell>
          <cell r="B276" t="str">
            <v>D1912046-9</v>
          </cell>
          <cell r="C276" t="str">
            <v>029/19</v>
          </cell>
          <cell r="D276">
            <v>1</v>
          </cell>
          <cell r="E276" t="str">
            <v>DECEMBER 2019</v>
          </cell>
          <cell r="F276" t="str">
            <v>DC</v>
          </cell>
          <cell r="G276" t="str">
            <v>Late</v>
          </cell>
          <cell r="H276">
            <v>7010587</v>
          </cell>
          <cell r="I276">
            <v>43798</v>
          </cell>
          <cell r="J276" t="str">
            <v>OUTO</v>
          </cell>
          <cell r="K276" t="str">
            <v>D1912046</v>
          </cell>
          <cell r="L276">
            <v>9</v>
          </cell>
          <cell r="N276">
            <v>526927</v>
          </cell>
          <cell r="O276" t="str">
            <v xml:space="preserve">1.4306 TP304L </v>
          </cell>
          <cell r="P276" t="str">
            <v>304L</v>
          </cell>
          <cell r="Q276">
            <v>1.7509999999999999</v>
          </cell>
          <cell r="R276">
            <v>1.748</v>
          </cell>
          <cell r="S276">
            <v>3.5000000000000003E-2</v>
          </cell>
          <cell r="T276">
            <v>3.4000000000000002E-2</v>
          </cell>
          <cell r="V276">
            <v>3.4000000000000002E-2</v>
          </cell>
          <cell r="X276">
            <v>2302</v>
          </cell>
          <cell r="Y276">
            <v>2</v>
          </cell>
          <cell r="Z276">
            <v>657.33866362078811</v>
          </cell>
          <cell r="AA276" t="str">
            <v>1.751X0.035-304L</v>
          </cell>
          <cell r="AB276" t="str">
            <v>WAAC004450089B300004</v>
          </cell>
          <cell r="AC276" t="str">
            <v>D1912046</v>
          </cell>
          <cell r="AD276">
            <v>526927</v>
          </cell>
          <cell r="AE276">
            <v>2.64E-2</v>
          </cell>
          <cell r="AF276">
            <v>1.3</v>
          </cell>
          <cell r="AG276">
            <v>2.98E-2</v>
          </cell>
          <cell r="AH276">
            <v>1.6000000000000001E-3</v>
          </cell>
          <cell r="AI276">
            <v>0.37</v>
          </cell>
          <cell r="AJ276">
            <v>18.100000000000001</v>
          </cell>
          <cell r="AK276">
            <v>8.0299999999999994</v>
          </cell>
          <cell r="AL276">
            <v>6.4699999999999994E-2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Y276" t="str">
            <v/>
          </cell>
          <cell r="AZ276">
            <v>1.41</v>
          </cell>
          <cell r="BA276" t="str">
            <v>D1912046</v>
          </cell>
          <cell r="BB276" t="str">
            <v>CONFORM</v>
          </cell>
          <cell r="BC276" t="str">
            <v>CONFORM</v>
          </cell>
          <cell r="BD276" t="str">
            <v>CONFORM</v>
          </cell>
          <cell r="BE276" t="str">
            <v>CONFORM</v>
          </cell>
          <cell r="BF276" t="str">
            <v>CONFORM</v>
          </cell>
        </row>
        <row r="277">
          <cell r="A277">
            <v>43809</v>
          </cell>
          <cell r="B277" t="str">
            <v>D1912046-10</v>
          </cell>
          <cell r="C277" t="str">
            <v>029/19</v>
          </cell>
          <cell r="D277">
            <v>1</v>
          </cell>
          <cell r="E277" t="str">
            <v>DECEMBER 2019</v>
          </cell>
          <cell r="F277" t="str">
            <v>DC</v>
          </cell>
          <cell r="G277" t="str">
            <v>Late</v>
          </cell>
          <cell r="H277">
            <v>7010587</v>
          </cell>
          <cell r="I277">
            <v>43798</v>
          </cell>
          <cell r="J277" t="str">
            <v>OUTO</v>
          </cell>
          <cell r="K277" t="str">
            <v>D1912046</v>
          </cell>
          <cell r="L277">
            <v>10</v>
          </cell>
          <cell r="N277">
            <v>526927</v>
          </cell>
          <cell r="O277" t="str">
            <v xml:space="preserve">1.4306 TP304L </v>
          </cell>
          <cell r="P277" t="str">
            <v>304L</v>
          </cell>
          <cell r="Q277">
            <v>1.7509999999999999</v>
          </cell>
          <cell r="R277">
            <v>1.748</v>
          </cell>
          <cell r="S277">
            <v>3.5000000000000003E-2</v>
          </cell>
          <cell r="T277">
            <v>3.4000000000000002E-2</v>
          </cell>
          <cell r="V277">
            <v>3.4000000000000002E-2</v>
          </cell>
          <cell r="X277">
            <v>2310</v>
          </cell>
          <cell r="Y277">
            <v>2</v>
          </cell>
          <cell r="Z277">
            <v>659.62307252998289</v>
          </cell>
          <cell r="AA277" t="str">
            <v>1.751X0.035-304L</v>
          </cell>
          <cell r="AB277" t="str">
            <v>WAAC004450089B300004</v>
          </cell>
          <cell r="AC277" t="str">
            <v>D1912046</v>
          </cell>
          <cell r="AD277">
            <v>526927</v>
          </cell>
          <cell r="AE277">
            <v>2.64E-2</v>
          </cell>
          <cell r="AF277">
            <v>1.3</v>
          </cell>
          <cell r="AG277">
            <v>2.98E-2</v>
          </cell>
          <cell r="AH277">
            <v>1.6000000000000001E-3</v>
          </cell>
          <cell r="AI277">
            <v>0.37</v>
          </cell>
          <cell r="AJ277">
            <v>18.100000000000001</v>
          </cell>
          <cell r="AK277">
            <v>8.0299999999999994</v>
          </cell>
          <cell r="AL277">
            <v>6.4699999999999994E-2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Y277" t="str">
            <v/>
          </cell>
          <cell r="AZ277">
            <v>1.41</v>
          </cell>
          <cell r="BA277" t="str">
            <v>D1912046</v>
          </cell>
          <cell r="BB277" t="str">
            <v>CONFORM</v>
          </cell>
          <cell r="BC277" t="str">
            <v>CONFORM</v>
          </cell>
          <cell r="BD277" t="str">
            <v>CONFORM</v>
          </cell>
          <cell r="BE277" t="str">
            <v>CONFORM</v>
          </cell>
          <cell r="BF277" t="str">
            <v>CONFORM</v>
          </cell>
        </row>
        <row r="278">
          <cell r="A278">
            <v>43809</v>
          </cell>
          <cell r="B278" t="str">
            <v>D1912046-11</v>
          </cell>
          <cell r="C278" t="str">
            <v>029/19</v>
          </cell>
          <cell r="D278">
            <v>1</v>
          </cell>
          <cell r="E278" t="str">
            <v>DECEMBER 2019</v>
          </cell>
          <cell r="F278" t="str">
            <v>DC</v>
          </cell>
          <cell r="G278" t="str">
            <v>Late</v>
          </cell>
          <cell r="H278">
            <v>7010587</v>
          </cell>
          <cell r="I278">
            <v>43798</v>
          </cell>
          <cell r="J278" t="str">
            <v>OUTO</v>
          </cell>
          <cell r="K278" t="str">
            <v>D1912046</v>
          </cell>
          <cell r="L278">
            <v>11</v>
          </cell>
          <cell r="N278">
            <v>526927</v>
          </cell>
          <cell r="O278" t="str">
            <v xml:space="preserve">1.4306 TP304L </v>
          </cell>
          <cell r="P278" t="str">
            <v>304L</v>
          </cell>
          <cell r="Q278">
            <v>1.7509999999999999</v>
          </cell>
          <cell r="R278">
            <v>1.748</v>
          </cell>
          <cell r="S278">
            <v>3.5000000000000003E-2</v>
          </cell>
          <cell r="T278">
            <v>3.4000000000000002E-2</v>
          </cell>
          <cell r="V278">
            <v>3.4000000000000002E-2</v>
          </cell>
          <cell r="X278">
            <v>2310</v>
          </cell>
          <cell r="Y278">
            <v>2</v>
          </cell>
          <cell r="Z278">
            <v>659.62307252998289</v>
          </cell>
          <cell r="AA278" t="str">
            <v>1.751X0.035-304L</v>
          </cell>
          <cell r="AB278" t="str">
            <v>WAAC004450089B300004</v>
          </cell>
          <cell r="AC278" t="str">
            <v>D1912046</v>
          </cell>
          <cell r="AD278">
            <v>526927</v>
          </cell>
          <cell r="AE278">
            <v>2.64E-2</v>
          </cell>
          <cell r="AF278">
            <v>1.3</v>
          </cell>
          <cell r="AG278">
            <v>2.98E-2</v>
          </cell>
          <cell r="AH278">
            <v>1.6000000000000001E-3</v>
          </cell>
          <cell r="AI278">
            <v>0.37</v>
          </cell>
          <cell r="AJ278">
            <v>18.100000000000001</v>
          </cell>
          <cell r="AK278">
            <v>8.0299999999999994</v>
          </cell>
          <cell r="AL278">
            <v>6.4699999999999994E-2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Y278" t="str">
            <v/>
          </cell>
          <cell r="AZ278">
            <v>1.41</v>
          </cell>
          <cell r="BA278" t="str">
            <v>D1912046</v>
          </cell>
          <cell r="BB278" t="str">
            <v>CONFORM</v>
          </cell>
          <cell r="BC278" t="str">
            <v>CONFORM</v>
          </cell>
          <cell r="BD278" t="str">
            <v>CONFORM</v>
          </cell>
          <cell r="BE278" t="str">
            <v>CONFORM</v>
          </cell>
          <cell r="BF278" t="str">
            <v>CONFORM</v>
          </cell>
        </row>
        <row r="279">
          <cell r="A279">
            <v>43809</v>
          </cell>
          <cell r="B279" t="str">
            <v>D1912046-12</v>
          </cell>
          <cell r="C279" t="str">
            <v>029/19</v>
          </cell>
          <cell r="D279">
            <v>1</v>
          </cell>
          <cell r="E279" t="str">
            <v>DECEMBER 2019</v>
          </cell>
          <cell r="F279" t="str">
            <v>DC</v>
          </cell>
          <cell r="G279" t="str">
            <v>Late</v>
          </cell>
          <cell r="H279">
            <v>7010587</v>
          </cell>
          <cell r="I279">
            <v>43798</v>
          </cell>
          <cell r="J279" t="str">
            <v>OUTO</v>
          </cell>
          <cell r="K279" t="str">
            <v>D1912046</v>
          </cell>
          <cell r="L279">
            <v>12</v>
          </cell>
          <cell r="N279">
            <v>526927</v>
          </cell>
          <cell r="O279" t="str">
            <v xml:space="preserve">1.4306 TP304L </v>
          </cell>
          <cell r="P279" t="str">
            <v>304L</v>
          </cell>
          <cell r="Q279">
            <v>1.7509999999999999</v>
          </cell>
          <cell r="R279">
            <v>1.748</v>
          </cell>
          <cell r="S279">
            <v>3.5000000000000003E-2</v>
          </cell>
          <cell r="T279">
            <v>3.4000000000000002E-2</v>
          </cell>
          <cell r="V279">
            <v>3.4000000000000002E-2</v>
          </cell>
          <cell r="X279">
            <v>2302</v>
          </cell>
          <cell r="Y279">
            <v>2</v>
          </cell>
          <cell r="Z279">
            <v>657.33866362078811</v>
          </cell>
          <cell r="AA279" t="str">
            <v>1.751X0.035-304L</v>
          </cell>
          <cell r="AB279" t="str">
            <v>WAAC004450089B300004</v>
          </cell>
          <cell r="AC279" t="str">
            <v>D1912046</v>
          </cell>
          <cell r="AD279">
            <v>526927</v>
          </cell>
          <cell r="AE279">
            <v>2.64E-2</v>
          </cell>
          <cell r="AF279">
            <v>1.3</v>
          </cell>
          <cell r="AG279">
            <v>2.98E-2</v>
          </cell>
          <cell r="AH279">
            <v>1.6000000000000001E-3</v>
          </cell>
          <cell r="AI279">
            <v>0.37</v>
          </cell>
          <cell r="AJ279">
            <v>18.100000000000001</v>
          </cell>
          <cell r="AK279">
            <v>8.0299999999999994</v>
          </cell>
          <cell r="AL279">
            <v>6.4699999999999994E-2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Y279" t="str">
            <v/>
          </cell>
          <cell r="AZ279">
            <v>1.41</v>
          </cell>
          <cell r="BA279" t="str">
            <v>D1912046</v>
          </cell>
          <cell r="BB279" t="str">
            <v>CONFORM</v>
          </cell>
          <cell r="BC279" t="str">
            <v>CONFORM</v>
          </cell>
          <cell r="BD279" t="str">
            <v>CONFORM</v>
          </cell>
          <cell r="BE279" t="str">
            <v>CONFORM</v>
          </cell>
          <cell r="BF279" t="str">
            <v>CONFORM</v>
          </cell>
        </row>
        <row r="280">
          <cell r="A280">
            <v>43809</v>
          </cell>
          <cell r="B280" t="str">
            <v>D1912046-13</v>
          </cell>
          <cell r="C280" t="str">
            <v>029/19</v>
          </cell>
          <cell r="D280">
            <v>1</v>
          </cell>
          <cell r="E280" t="str">
            <v>DECEMBER 2019</v>
          </cell>
          <cell r="F280" t="str">
            <v>DC</v>
          </cell>
          <cell r="G280" t="str">
            <v>Late</v>
          </cell>
          <cell r="H280">
            <v>7010587</v>
          </cell>
          <cell r="I280">
            <v>43798</v>
          </cell>
          <cell r="J280" t="str">
            <v>OUTO</v>
          </cell>
          <cell r="K280" t="str">
            <v>D1912046</v>
          </cell>
          <cell r="L280">
            <v>13</v>
          </cell>
          <cell r="N280">
            <v>526927</v>
          </cell>
          <cell r="O280" t="str">
            <v xml:space="preserve">1.4306 TP304L </v>
          </cell>
          <cell r="P280" t="str">
            <v>304L</v>
          </cell>
          <cell r="Q280">
            <v>1.7509999999999999</v>
          </cell>
          <cell r="R280">
            <v>1.748</v>
          </cell>
          <cell r="S280">
            <v>3.5000000000000003E-2</v>
          </cell>
          <cell r="T280">
            <v>3.4000000000000002E-2</v>
          </cell>
          <cell r="V280">
            <v>3.4000000000000002E-2</v>
          </cell>
          <cell r="X280">
            <v>2302</v>
          </cell>
          <cell r="Y280">
            <v>2</v>
          </cell>
          <cell r="Z280">
            <v>657.33866362078811</v>
          </cell>
          <cell r="AA280" t="str">
            <v>1.751X0.035-304L</v>
          </cell>
          <cell r="AB280" t="str">
            <v>WAAC004450089B300004</v>
          </cell>
          <cell r="AC280" t="str">
            <v>D1912046</v>
          </cell>
          <cell r="AD280">
            <v>526927</v>
          </cell>
          <cell r="AE280">
            <v>2.64E-2</v>
          </cell>
          <cell r="AF280">
            <v>1.3</v>
          </cell>
          <cell r="AG280">
            <v>2.98E-2</v>
          </cell>
          <cell r="AH280">
            <v>1.6000000000000001E-3</v>
          </cell>
          <cell r="AI280">
            <v>0.37</v>
          </cell>
          <cell r="AJ280">
            <v>18.100000000000001</v>
          </cell>
          <cell r="AK280">
            <v>8.0299999999999994</v>
          </cell>
          <cell r="AL280">
            <v>6.4699999999999994E-2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Y280" t="str">
            <v/>
          </cell>
          <cell r="AZ280">
            <v>1.41</v>
          </cell>
          <cell r="BA280" t="str">
            <v>D1912046</v>
          </cell>
          <cell r="BB280" t="str">
            <v>CONFORM</v>
          </cell>
          <cell r="BC280" t="str">
            <v>CONFORM</v>
          </cell>
          <cell r="BD280" t="str">
            <v>CONFORM</v>
          </cell>
          <cell r="BE280" t="str">
            <v>CONFORM</v>
          </cell>
          <cell r="BF280" t="str">
            <v>CONFORM</v>
          </cell>
        </row>
        <row r="281">
          <cell r="A281">
            <v>43809</v>
          </cell>
          <cell r="B281" t="str">
            <v>D1912046-14</v>
          </cell>
          <cell r="C281" t="str">
            <v>029/19</v>
          </cell>
          <cell r="D281">
            <v>1</v>
          </cell>
          <cell r="E281" t="str">
            <v>DECEMBER 2019</v>
          </cell>
          <cell r="F281" t="str">
            <v>DC</v>
          </cell>
          <cell r="G281" t="str">
            <v>Late</v>
          </cell>
          <cell r="H281">
            <v>7010587</v>
          </cell>
          <cell r="I281">
            <v>43798</v>
          </cell>
          <cell r="J281" t="str">
            <v>OUTO</v>
          </cell>
          <cell r="K281" t="str">
            <v>D1912046</v>
          </cell>
          <cell r="L281">
            <v>14</v>
          </cell>
          <cell r="N281">
            <v>526927</v>
          </cell>
          <cell r="O281" t="str">
            <v xml:space="preserve">1.4306 TP304L </v>
          </cell>
          <cell r="P281" t="str">
            <v>304L</v>
          </cell>
          <cell r="Q281">
            <v>1.7509999999999999</v>
          </cell>
          <cell r="R281">
            <v>1.748</v>
          </cell>
          <cell r="S281">
            <v>3.5000000000000003E-2</v>
          </cell>
          <cell r="T281">
            <v>3.4000000000000002E-2</v>
          </cell>
          <cell r="V281">
            <v>3.4000000000000002E-2</v>
          </cell>
          <cell r="X281">
            <v>2319</v>
          </cell>
          <cell r="Y281">
            <v>2</v>
          </cell>
          <cell r="Z281">
            <v>662.19303255282705</v>
          </cell>
          <cell r="AA281" t="str">
            <v>1.751X0.035-304L</v>
          </cell>
          <cell r="AB281" t="str">
            <v>WAAC004450089B300004</v>
          </cell>
          <cell r="AC281" t="str">
            <v>D1912046</v>
          </cell>
          <cell r="AD281">
            <v>526927</v>
          </cell>
          <cell r="AE281">
            <v>2.64E-2</v>
          </cell>
          <cell r="AF281">
            <v>1.3</v>
          </cell>
          <cell r="AG281">
            <v>2.98E-2</v>
          </cell>
          <cell r="AH281">
            <v>1.6000000000000001E-3</v>
          </cell>
          <cell r="AI281">
            <v>0.37</v>
          </cell>
          <cell r="AJ281">
            <v>18.100000000000001</v>
          </cell>
          <cell r="AK281">
            <v>8.0299999999999994</v>
          </cell>
          <cell r="AL281">
            <v>6.4699999999999994E-2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Y281" t="str">
            <v/>
          </cell>
          <cell r="AZ281">
            <v>1.41</v>
          </cell>
          <cell r="BA281" t="str">
            <v>D1912046</v>
          </cell>
          <cell r="BB281" t="str">
            <v>CONFORM</v>
          </cell>
          <cell r="BC281" t="str">
            <v>CONFORM</v>
          </cell>
          <cell r="BD281" t="str">
            <v>CONFORM</v>
          </cell>
          <cell r="BE281" t="str">
            <v>CONFORM</v>
          </cell>
          <cell r="BF281" t="str">
            <v>CONFORM</v>
          </cell>
        </row>
        <row r="282">
          <cell r="A282">
            <v>43809</v>
          </cell>
          <cell r="B282" t="str">
            <v>D1912046-15</v>
          </cell>
          <cell r="C282" t="str">
            <v>029/19</v>
          </cell>
          <cell r="D282">
            <v>1</v>
          </cell>
          <cell r="E282" t="str">
            <v>DECEMBER 2019</v>
          </cell>
          <cell r="F282" t="str">
            <v>DC</v>
          </cell>
          <cell r="G282" t="str">
            <v>Late</v>
          </cell>
          <cell r="H282">
            <v>7010594</v>
          </cell>
          <cell r="I282">
            <v>43798</v>
          </cell>
          <cell r="J282" t="str">
            <v>OUTO</v>
          </cell>
          <cell r="K282" t="str">
            <v>D1912046</v>
          </cell>
          <cell r="L282">
            <v>15</v>
          </cell>
          <cell r="N282">
            <v>526927</v>
          </cell>
          <cell r="O282" t="str">
            <v xml:space="preserve">1.4306 TP304L </v>
          </cell>
          <cell r="P282" t="str">
            <v>304L</v>
          </cell>
          <cell r="Q282">
            <v>1.7509999999999999</v>
          </cell>
          <cell r="R282">
            <v>1.748</v>
          </cell>
          <cell r="S282">
            <v>3.5000000000000003E-2</v>
          </cell>
          <cell r="T282">
            <v>3.4000000000000002E-2</v>
          </cell>
          <cell r="V282">
            <v>3.4000000000000002E-2</v>
          </cell>
          <cell r="X282">
            <v>2249</v>
          </cell>
          <cell r="Y282">
            <v>3</v>
          </cell>
          <cell r="Z282">
            <v>428.1363030649153</v>
          </cell>
          <cell r="AA282" t="str">
            <v>1.751X0.035-304L</v>
          </cell>
          <cell r="AB282" t="str">
            <v>WAAC004450089B300004</v>
          </cell>
          <cell r="AC282" t="str">
            <v>D1912046</v>
          </cell>
          <cell r="AD282">
            <v>526927</v>
          </cell>
          <cell r="AE282">
            <v>2.64E-2</v>
          </cell>
          <cell r="AF282">
            <v>1.3</v>
          </cell>
          <cell r="AG282">
            <v>2.98E-2</v>
          </cell>
          <cell r="AH282">
            <v>1.6000000000000001E-3</v>
          </cell>
          <cell r="AI282">
            <v>0.37</v>
          </cell>
          <cell r="AJ282">
            <v>18.100000000000001</v>
          </cell>
          <cell r="AK282">
            <v>8.0299999999999994</v>
          </cell>
          <cell r="AL282">
            <v>6.4699999999999994E-2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Y282" t="str">
            <v/>
          </cell>
          <cell r="AZ282">
            <v>1.41</v>
          </cell>
          <cell r="BA282" t="str">
            <v>D1912046</v>
          </cell>
          <cell r="BB282" t="str">
            <v>CONFORM</v>
          </cell>
          <cell r="BC282" t="str">
            <v>CONFORM</v>
          </cell>
          <cell r="BD282" t="str">
            <v>CONFORM</v>
          </cell>
          <cell r="BE282" t="str">
            <v>CONFORM</v>
          </cell>
          <cell r="BF282" t="str">
            <v>CONFORM</v>
          </cell>
        </row>
        <row r="283">
          <cell r="A283">
            <v>43809</v>
          </cell>
          <cell r="B283" t="str">
            <v>D1912046-16</v>
          </cell>
          <cell r="C283" t="str">
            <v>029/19</v>
          </cell>
          <cell r="D283">
            <v>1</v>
          </cell>
          <cell r="E283" t="str">
            <v>DECEMBER 2019</v>
          </cell>
          <cell r="F283" t="str">
            <v>DC</v>
          </cell>
          <cell r="G283" t="str">
            <v>Late</v>
          </cell>
          <cell r="H283">
            <v>7010594</v>
          </cell>
          <cell r="I283">
            <v>43798</v>
          </cell>
          <cell r="J283" t="str">
            <v>OUTO</v>
          </cell>
          <cell r="K283" t="str">
            <v>D1912046</v>
          </cell>
          <cell r="L283">
            <v>16</v>
          </cell>
          <cell r="N283">
            <v>526927</v>
          </cell>
          <cell r="O283" t="str">
            <v xml:space="preserve">1.4306 TP304L </v>
          </cell>
          <cell r="P283" t="str">
            <v>304L</v>
          </cell>
          <cell r="Q283">
            <v>1.7509999999999999</v>
          </cell>
          <cell r="R283">
            <v>1.748</v>
          </cell>
          <cell r="S283">
            <v>3.5000000000000003E-2</v>
          </cell>
          <cell r="T283">
            <v>3.4000000000000002E-2</v>
          </cell>
          <cell r="V283">
            <v>3.4000000000000002E-2</v>
          </cell>
          <cell r="X283">
            <v>1517</v>
          </cell>
          <cell r="Y283">
            <v>2</v>
          </cell>
          <cell r="Z283">
            <v>433.18103940605369</v>
          </cell>
          <cell r="AA283" t="str">
            <v>1.751X0.035-304L</v>
          </cell>
          <cell r="AB283" t="str">
            <v>WAAC004450089B300004</v>
          </cell>
          <cell r="AC283" t="str">
            <v>D1912046</v>
          </cell>
          <cell r="AD283">
            <v>526927</v>
          </cell>
          <cell r="AE283">
            <v>2.64E-2</v>
          </cell>
          <cell r="AF283">
            <v>1.3</v>
          </cell>
          <cell r="AG283">
            <v>2.98E-2</v>
          </cell>
          <cell r="AH283">
            <v>1.6000000000000001E-3</v>
          </cell>
          <cell r="AI283">
            <v>0.37</v>
          </cell>
          <cell r="AJ283">
            <v>18.100000000000001</v>
          </cell>
          <cell r="AK283">
            <v>8.0299999999999994</v>
          </cell>
          <cell r="AL283">
            <v>6.4699999999999994E-2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Y283" t="str">
            <v/>
          </cell>
          <cell r="AZ283">
            <v>1.41</v>
          </cell>
          <cell r="BA283" t="str">
            <v>D1912046</v>
          </cell>
          <cell r="BB283" t="str">
            <v>CONFORM</v>
          </cell>
          <cell r="BC283" t="str">
            <v>CONFORM</v>
          </cell>
          <cell r="BD283" t="str">
            <v>CONFORM</v>
          </cell>
          <cell r="BE283" t="str">
            <v>CONFORM</v>
          </cell>
          <cell r="BF283" t="str">
            <v>CONFORM</v>
          </cell>
        </row>
        <row r="284">
          <cell r="A284">
            <v>43809</v>
          </cell>
          <cell r="B284" t="str">
            <v>D1912046-17</v>
          </cell>
          <cell r="C284" t="str">
            <v>029/19</v>
          </cell>
          <cell r="D284">
            <v>1</v>
          </cell>
          <cell r="E284" t="str">
            <v>DECEMBER 2019</v>
          </cell>
          <cell r="F284" t="str">
            <v>DC</v>
          </cell>
          <cell r="G284" t="str">
            <v>Late</v>
          </cell>
          <cell r="H284">
            <v>7010594</v>
          </cell>
          <cell r="I284">
            <v>43798</v>
          </cell>
          <cell r="J284" t="str">
            <v>OUTO</v>
          </cell>
          <cell r="K284" t="str">
            <v>D1912046</v>
          </cell>
          <cell r="L284">
            <v>17</v>
          </cell>
          <cell r="N284">
            <v>526927</v>
          </cell>
          <cell r="O284" t="str">
            <v xml:space="preserve">1.4306 TP304L </v>
          </cell>
          <cell r="P284" t="str">
            <v>304L</v>
          </cell>
          <cell r="Q284">
            <v>1.7509999999999999</v>
          </cell>
          <cell r="R284">
            <v>1.748</v>
          </cell>
          <cell r="S284">
            <v>3.5000000000000003E-2</v>
          </cell>
          <cell r="T284">
            <v>3.4000000000000002E-2</v>
          </cell>
          <cell r="V284">
            <v>3.4000000000000002E-2</v>
          </cell>
          <cell r="X284">
            <v>1473</v>
          </cell>
          <cell r="Y284">
            <v>2</v>
          </cell>
          <cell r="Z284">
            <v>420.61679040548262</v>
          </cell>
          <cell r="AA284" t="str">
            <v>1.751X0.035-304L</v>
          </cell>
          <cell r="AB284" t="str">
            <v>WAAC004450089B300004</v>
          </cell>
          <cell r="AC284" t="str">
            <v>D1912046</v>
          </cell>
          <cell r="AD284">
            <v>526927</v>
          </cell>
          <cell r="AE284">
            <v>2.64E-2</v>
          </cell>
          <cell r="AF284">
            <v>1.3</v>
          </cell>
          <cell r="AG284">
            <v>2.98E-2</v>
          </cell>
          <cell r="AH284">
            <v>1.6000000000000001E-3</v>
          </cell>
          <cell r="AI284">
            <v>0.37</v>
          </cell>
          <cell r="AJ284">
            <v>18.100000000000001</v>
          </cell>
          <cell r="AK284">
            <v>8.0299999999999994</v>
          </cell>
          <cell r="AL284">
            <v>6.4699999999999994E-2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Y284" t="str">
            <v/>
          </cell>
          <cell r="AZ284">
            <v>1.41</v>
          </cell>
          <cell r="BA284" t="str">
            <v>D1912046</v>
          </cell>
          <cell r="BB284" t="str">
            <v>CONFORM</v>
          </cell>
          <cell r="BC284" t="str">
            <v>CONFORM</v>
          </cell>
          <cell r="BD284" t="str">
            <v>CONFORM</v>
          </cell>
          <cell r="BE284" t="str">
            <v>CONFORM</v>
          </cell>
          <cell r="BF284" t="str">
            <v>CONFORM</v>
          </cell>
        </row>
        <row r="285">
          <cell r="A285">
            <v>43809</v>
          </cell>
          <cell r="B285" t="str">
            <v>D1912046-18</v>
          </cell>
          <cell r="C285" t="str">
            <v>029/19</v>
          </cell>
          <cell r="D285">
            <v>1</v>
          </cell>
          <cell r="E285" t="str">
            <v>DECEMBER 2019</v>
          </cell>
          <cell r="F285" t="str">
            <v>DC</v>
          </cell>
          <cell r="G285" t="str">
            <v>Late</v>
          </cell>
          <cell r="H285">
            <v>7010594</v>
          </cell>
          <cell r="I285">
            <v>43798</v>
          </cell>
          <cell r="J285" t="str">
            <v>OUTO</v>
          </cell>
          <cell r="K285" t="str">
            <v>D1912046</v>
          </cell>
          <cell r="L285">
            <v>18</v>
          </cell>
          <cell r="N285">
            <v>526927</v>
          </cell>
          <cell r="O285" t="str">
            <v xml:space="preserve">1.4306 TP304L </v>
          </cell>
          <cell r="P285" t="str">
            <v>304L</v>
          </cell>
          <cell r="Q285">
            <v>1.7509999999999999</v>
          </cell>
          <cell r="R285">
            <v>1.748</v>
          </cell>
          <cell r="S285">
            <v>3.5000000000000003E-2</v>
          </cell>
          <cell r="T285">
            <v>3.4000000000000002E-2</v>
          </cell>
          <cell r="V285">
            <v>3.4000000000000002E-2</v>
          </cell>
          <cell r="X285">
            <v>2262</v>
          </cell>
          <cell r="Y285">
            <v>3</v>
          </cell>
          <cell r="Z285">
            <v>430.61107938320964</v>
          </cell>
          <cell r="AA285" t="str">
            <v>1.751X0.035-304L</v>
          </cell>
          <cell r="AB285" t="str">
            <v>WAAC004450089B300004</v>
          </cell>
          <cell r="AC285" t="str">
            <v>D1912046</v>
          </cell>
          <cell r="AD285">
            <v>526927</v>
          </cell>
          <cell r="AE285">
            <v>2.64E-2</v>
          </cell>
          <cell r="AF285">
            <v>1.3</v>
          </cell>
          <cell r="AG285">
            <v>2.98E-2</v>
          </cell>
          <cell r="AH285">
            <v>1.6000000000000001E-3</v>
          </cell>
          <cell r="AI285">
            <v>0.37</v>
          </cell>
          <cell r="AJ285">
            <v>18.100000000000001</v>
          </cell>
          <cell r="AK285">
            <v>8.0299999999999994</v>
          </cell>
          <cell r="AL285">
            <v>6.4699999999999994E-2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Y285" t="str">
            <v/>
          </cell>
          <cell r="AZ285">
            <v>1.41</v>
          </cell>
          <cell r="BA285" t="str">
            <v>D1912046</v>
          </cell>
          <cell r="BB285" t="str">
            <v>CONFORM</v>
          </cell>
          <cell r="BC285" t="str">
            <v>CONFORM</v>
          </cell>
          <cell r="BD285" t="str">
            <v>CONFORM</v>
          </cell>
          <cell r="BE285" t="str">
            <v>CONFORM</v>
          </cell>
          <cell r="BF285" t="str">
            <v>CONFORM</v>
          </cell>
        </row>
        <row r="286">
          <cell r="A286">
            <v>43809</v>
          </cell>
          <cell r="B286" t="str">
            <v>D1912046-19</v>
          </cell>
          <cell r="C286" t="str">
            <v>029/19</v>
          </cell>
          <cell r="D286">
            <v>1</v>
          </cell>
          <cell r="E286" t="str">
            <v>DECEMBER 2019</v>
          </cell>
          <cell r="F286" t="str">
            <v>DC</v>
          </cell>
          <cell r="G286" t="str">
            <v>Late</v>
          </cell>
          <cell r="H286">
            <v>7010594</v>
          </cell>
          <cell r="I286">
            <v>43798</v>
          </cell>
          <cell r="J286" t="str">
            <v>OUTO</v>
          </cell>
          <cell r="K286" t="str">
            <v>D1912046</v>
          </cell>
          <cell r="L286">
            <v>19</v>
          </cell>
          <cell r="N286">
            <v>526927</v>
          </cell>
          <cell r="O286" t="str">
            <v xml:space="preserve">1.4306 TP304L </v>
          </cell>
          <cell r="P286" t="str">
            <v>304L</v>
          </cell>
          <cell r="Q286">
            <v>1.7509999999999999</v>
          </cell>
          <cell r="R286">
            <v>1.748</v>
          </cell>
          <cell r="S286">
            <v>3.5000000000000003E-2</v>
          </cell>
          <cell r="T286">
            <v>3.4000000000000002E-2</v>
          </cell>
          <cell r="V286">
            <v>3.4000000000000002E-2</v>
          </cell>
          <cell r="X286">
            <v>2262</v>
          </cell>
          <cell r="Y286">
            <v>3</v>
          </cell>
          <cell r="Z286">
            <v>430.61107938320964</v>
          </cell>
          <cell r="AA286" t="str">
            <v>1.751X0.035-304L</v>
          </cell>
          <cell r="AB286" t="str">
            <v>WAAC004450089B300004</v>
          </cell>
          <cell r="AC286" t="str">
            <v>D1912046</v>
          </cell>
          <cell r="AD286">
            <v>526927</v>
          </cell>
          <cell r="AE286">
            <v>2.64E-2</v>
          </cell>
          <cell r="AF286">
            <v>1.3</v>
          </cell>
          <cell r="AG286">
            <v>2.98E-2</v>
          </cell>
          <cell r="AH286">
            <v>1.6000000000000001E-3</v>
          </cell>
          <cell r="AI286">
            <v>0.37</v>
          </cell>
          <cell r="AJ286">
            <v>18.100000000000001</v>
          </cell>
          <cell r="AK286">
            <v>8.0299999999999994</v>
          </cell>
          <cell r="AL286">
            <v>6.4699999999999994E-2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Y286" t="str">
            <v/>
          </cell>
          <cell r="AZ286">
            <v>1.41</v>
          </cell>
          <cell r="BA286" t="str">
            <v>D1912046</v>
          </cell>
          <cell r="BB286" t="str">
            <v>CONFORM</v>
          </cell>
          <cell r="BC286" t="str">
            <v>CONFORM</v>
          </cell>
          <cell r="BD286" t="str">
            <v>CONFORM</v>
          </cell>
          <cell r="BE286" t="str">
            <v>CONFORM</v>
          </cell>
          <cell r="BF286" t="str">
            <v>CONFORM</v>
          </cell>
        </row>
        <row r="287">
          <cell r="A287">
            <v>43809</v>
          </cell>
          <cell r="B287" t="str">
            <v>D1912046-20</v>
          </cell>
          <cell r="C287" t="str">
            <v>029/19</v>
          </cell>
          <cell r="D287">
            <v>1</v>
          </cell>
          <cell r="E287" t="str">
            <v>DECEMBER 2019</v>
          </cell>
          <cell r="F287" t="str">
            <v>DC</v>
          </cell>
          <cell r="G287" t="str">
            <v>Late</v>
          </cell>
          <cell r="H287">
            <v>7010594</v>
          </cell>
          <cell r="I287">
            <v>43798</v>
          </cell>
          <cell r="J287" t="str">
            <v>OUTO</v>
          </cell>
          <cell r="K287" t="str">
            <v>D1912046</v>
          </cell>
          <cell r="L287">
            <v>20</v>
          </cell>
          <cell r="N287">
            <v>526927</v>
          </cell>
          <cell r="O287" t="str">
            <v xml:space="preserve">1.4306 TP304L </v>
          </cell>
          <cell r="P287" t="str">
            <v>304L</v>
          </cell>
          <cell r="Q287">
            <v>1.7509999999999999</v>
          </cell>
          <cell r="R287">
            <v>1.748</v>
          </cell>
          <cell r="S287">
            <v>3.5000000000000003E-2</v>
          </cell>
          <cell r="T287">
            <v>3.4000000000000002E-2</v>
          </cell>
          <cell r="V287">
            <v>3.4000000000000002E-2</v>
          </cell>
          <cell r="X287">
            <v>2262</v>
          </cell>
          <cell r="Y287">
            <v>3</v>
          </cell>
          <cell r="Z287">
            <v>430.61107938320964</v>
          </cell>
          <cell r="AA287" t="str">
            <v>1.751X0.035-304L</v>
          </cell>
          <cell r="AB287" t="str">
            <v>WAAC004450089B300004</v>
          </cell>
          <cell r="AC287" t="str">
            <v>D1912046</v>
          </cell>
          <cell r="AD287">
            <v>526927</v>
          </cell>
          <cell r="AE287">
            <v>2.64E-2</v>
          </cell>
          <cell r="AF287">
            <v>1.3</v>
          </cell>
          <cell r="AG287">
            <v>2.98E-2</v>
          </cell>
          <cell r="AH287">
            <v>1.6000000000000001E-3</v>
          </cell>
          <cell r="AI287">
            <v>0.37</v>
          </cell>
          <cell r="AJ287">
            <v>18.100000000000001</v>
          </cell>
          <cell r="AK287">
            <v>8.0299999999999994</v>
          </cell>
          <cell r="AL287">
            <v>6.4699999999999994E-2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Y287" t="str">
            <v/>
          </cell>
          <cell r="AZ287">
            <v>1.41</v>
          </cell>
          <cell r="BA287" t="str">
            <v>D1912046</v>
          </cell>
          <cell r="BB287" t="str">
            <v>CONFORM</v>
          </cell>
          <cell r="BC287" t="str">
            <v>CONFORM</v>
          </cell>
          <cell r="BD287" t="str">
            <v>CONFORM</v>
          </cell>
          <cell r="BE287" t="str">
            <v>CONFORM</v>
          </cell>
          <cell r="BF287" t="str">
            <v>CONFORM</v>
          </cell>
        </row>
        <row r="288">
          <cell r="A288">
            <v>43809</v>
          </cell>
          <cell r="B288" t="str">
            <v>D1912046-21</v>
          </cell>
          <cell r="C288" t="str">
            <v>029/19</v>
          </cell>
          <cell r="D288">
            <v>1</v>
          </cell>
          <cell r="E288" t="str">
            <v>DECEMBER 2019</v>
          </cell>
          <cell r="F288" t="str">
            <v>DC</v>
          </cell>
          <cell r="G288" t="str">
            <v>Late</v>
          </cell>
          <cell r="H288">
            <v>7010594</v>
          </cell>
          <cell r="I288">
            <v>43798</v>
          </cell>
          <cell r="J288" t="str">
            <v>OUTO</v>
          </cell>
          <cell r="K288" t="str">
            <v>D1912046</v>
          </cell>
          <cell r="L288">
            <v>21</v>
          </cell>
          <cell r="N288">
            <v>526927</v>
          </cell>
          <cell r="O288" t="str">
            <v xml:space="preserve">1.4306 TP304L </v>
          </cell>
          <cell r="P288" t="str">
            <v>304L</v>
          </cell>
          <cell r="Q288">
            <v>1.7509999999999999</v>
          </cell>
          <cell r="R288">
            <v>1.748</v>
          </cell>
          <cell r="S288">
            <v>3.5000000000000003E-2</v>
          </cell>
          <cell r="T288">
            <v>3.4000000000000002E-2</v>
          </cell>
          <cell r="V288">
            <v>3.4000000000000002E-2</v>
          </cell>
          <cell r="X288">
            <v>2196</v>
          </cell>
          <cell r="Y288">
            <v>3</v>
          </cell>
          <cell r="Z288">
            <v>418.04683038263852</v>
          </cell>
          <cell r="AA288" t="str">
            <v>1.751X0.035-304L</v>
          </cell>
          <cell r="AB288" t="str">
            <v>WAAC004450089B300004</v>
          </cell>
          <cell r="AC288" t="str">
            <v>D1912046</v>
          </cell>
          <cell r="AD288">
            <v>526927</v>
          </cell>
          <cell r="AE288">
            <v>2.64E-2</v>
          </cell>
          <cell r="AF288">
            <v>1.3</v>
          </cell>
          <cell r="AG288">
            <v>2.98E-2</v>
          </cell>
          <cell r="AH288">
            <v>1.6000000000000001E-3</v>
          </cell>
          <cell r="AI288">
            <v>0.37</v>
          </cell>
          <cell r="AJ288">
            <v>18.100000000000001</v>
          </cell>
          <cell r="AK288">
            <v>8.0299999999999994</v>
          </cell>
          <cell r="AL288">
            <v>6.4699999999999994E-2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Y288" t="str">
            <v/>
          </cell>
          <cell r="AZ288">
            <v>1.41</v>
          </cell>
          <cell r="BA288" t="str">
            <v>D1912046</v>
          </cell>
          <cell r="BB288" t="str">
            <v>CONFORM</v>
          </cell>
          <cell r="BC288" t="str">
            <v>CONFORM</v>
          </cell>
          <cell r="BD288" t="str">
            <v>CONFORM</v>
          </cell>
          <cell r="BE288" t="str">
            <v>CONFORM</v>
          </cell>
          <cell r="BF288" t="str">
            <v>CONFORM</v>
          </cell>
        </row>
        <row r="289">
          <cell r="A289">
            <v>43809</v>
          </cell>
          <cell r="B289" t="str">
            <v>D1912046-22</v>
          </cell>
          <cell r="C289" t="str">
            <v>029/19</v>
          </cell>
          <cell r="D289">
            <v>1</v>
          </cell>
          <cell r="E289" t="str">
            <v>DECEMBER 2019</v>
          </cell>
          <cell r="F289" t="str">
            <v>DC</v>
          </cell>
          <cell r="G289" t="str">
            <v>Late</v>
          </cell>
          <cell r="H289">
            <v>7010594</v>
          </cell>
          <cell r="I289">
            <v>43798</v>
          </cell>
          <cell r="J289" t="str">
            <v>OUTO</v>
          </cell>
          <cell r="K289" t="str">
            <v>D1912046</v>
          </cell>
          <cell r="L289">
            <v>22</v>
          </cell>
          <cell r="N289">
            <v>526927</v>
          </cell>
          <cell r="O289" t="str">
            <v xml:space="preserve">1.4306 TP304L </v>
          </cell>
          <cell r="P289" t="str">
            <v>304L</v>
          </cell>
          <cell r="Q289">
            <v>1.7509999999999999</v>
          </cell>
          <cell r="R289">
            <v>1.748</v>
          </cell>
          <cell r="S289">
            <v>3.5000000000000003E-2</v>
          </cell>
          <cell r="T289">
            <v>3.4000000000000002E-2</v>
          </cell>
          <cell r="V289">
            <v>3.4000000000000002E-2</v>
          </cell>
          <cell r="X289">
            <v>2183</v>
          </cell>
          <cell r="Y289">
            <v>3</v>
          </cell>
          <cell r="Z289">
            <v>415.57205406434417</v>
          </cell>
          <cell r="AA289" t="str">
            <v>1.751X0.035-304L</v>
          </cell>
          <cell r="AB289" t="str">
            <v>WAAC004450089B300004</v>
          </cell>
          <cell r="AC289" t="str">
            <v>D1912046</v>
          </cell>
          <cell r="AD289">
            <v>526927</v>
          </cell>
          <cell r="AE289">
            <v>2.64E-2</v>
          </cell>
          <cell r="AF289">
            <v>1.3</v>
          </cell>
          <cell r="AG289">
            <v>2.98E-2</v>
          </cell>
          <cell r="AH289">
            <v>1.6000000000000001E-3</v>
          </cell>
          <cell r="AI289">
            <v>0.37</v>
          </cell>
          <cell r="AJ289">
            <v>18.100000000000001</v>
          </cell>
          <cell r="AK289">
            <v>8.0299999999999994</v>
          </cell>
          <cell r="AL289">
            <v>6.4699999999999994E-2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Y289" t="str">
            <v/>
          </cell>
          <cell r="AZ289">
            <v>1.41</v>
          </cell>
          <cell r="BA289" t="str">
            <v>D1912046</v>
          </cell>
          <cell r="BB289" t="str">
            <v>CONFORM</v>
          </cell>
          <cell r="BC289" t="str">
            <v>CONFORM</v>
          </cell>
          <cell r="BD289" t="str">
            <v>CONFORM</v>
          </cell>
          <cell r="BE289" t="str">
            <v>CONFORM</v>
          </cell>
          <cell r="BF289" t="str">
            <v>CONFORM</v>
          </cell>
        </row>
        <row r="290">
          <cell r="A290">
            <v>43809</v>
          </cell>
          <cell r="B290" t="str">
            <v>D1912046-23</v>
          </cell>
          <cell r="C290" t="str">
            <v>029/19</v>
          </cell>
          <cell r="D290">
            <v>1</v>
          </cell>
          <cell r="E290" t="str">
            <v>DECEMBER 2019</v>
          </cell>
          <cell r="F290" t="str">
            <v>DC</v>
          </cell>
          <cell r="G290" t="str">
            <v>Late</v>
          </cell>
          <cell r="H290">
            <v>7010594</v>
          </cell>
          <cell r="I290">
            <v>43798</v>
          </cell>
          <cell r="J290" t="str">
            <v>OUTO</v>
          </cell>
          <cell r="K290" t="str">
            <v>D1912046</v>
          </cell>
          <cell r="L290">
            <v>23</v>
          </cell>
          <cell r="N290">
            <v>526927</v>
          </cell>
          <cell r="O290" t="str">
            <v xml:space="preserve">1.4306 TP304L </v>
          </cell>
          <cell r="P290" t="str">
            <v>304L</v>
          </cell>
          <cell r="Q290">
            <v>1.7509999999999999</v>
          </cell>
          <cell r="R290">
            <v>1.748</v>
          </cell>
          <cell r="S290">
            <v>3.5000000000000003E-2</v>
          </cell>
          <cell r="T290">
            <v>3.4000000000000002E-2</v>
          </cell>
          <cell r="V290">
            <v>3.4000000000000002E-2</v>
          </cell>
          <cell r="X290">
            <v>2196</v>
          </cell>
          <cell r="Y290">
            <v>3</v>
          </cell>
          <cell r="Z290">
            <v>418.04683038263852</v>
          </cell>
          <cell r="AA290" t="str">
            <v>1.751X0.035-304L</v>
          </cell>
          <cell r="AB290" t="str">
            <v>WAAC004450089B300004</v>
          </cell>
          <cell r="AC290" t="str">
            <v>D1912046</v>
          </cell>
          <cell r="AD290">
            <v>526927</v>
          </cell>
          <cell r="AE290">
            <v>2.64E-2</v>
          </cell>
          <cell r="AF290">
            <v>1.3</v>
          </cell>
          <cell r="AG290">
            <v>2.98E-2</v>
          </cell>
          <cell r="AH290">
            <v>1.6000000000000001E-3</v>
          </cell>
          <cell r="AI290">
            <v>0.37</v>
          </cell>
          <cell r="AJ290">
            <v>18.100000000000001</v>
          </cell>
          <cell r="AK290">
            <v>8.0299999999999994</v>
          </cell>
          <cell r="AL290">
            <v>6.4699999999999994E-2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Y290" t="str">
            <v/>
          </cell>
          <cell r="AZ290">
            <v>1.41</v>
          </cell>
          <cell r="BA290" t="str">
            <v>D1912046</v>
          </cell>
          <cell r="BB290" t="str">
            <v>CONFORM</v>
          </cell>
          <cell r="BC290" t="str">
            <v>CONFORM</v>
          </cell>
          <cell r="BD290" t="str">
            <v>CONFORM</v>
          </cell>
          <cell r="BE290" t="str">
            <v>CONFORM</v>
          </cell>
          <cell r="BF290" t="str">
            <v>CONFORM</v>
          </cell>
        </row>
        <row r="291">
          <cell r="A291">
            <v>43809</v>
          </cell>
          <cell r="B291" t="str">
            <v>D1912046-24</v>
          </cell>
          <cell r="C291" t="str">
            <v>029/19</v>
          </cell>
          <cell r="D291">
            <v>1</v>
          </cell>
          <cell r="E291" t="str">
            <v>DECEMBER 2019</v>
          </cell>
          <cell r="F291" t="str">
            <v>DC</v>
          </cell>
          <cell r="G291" t="str">
            <v>Late</v>
          </cell>
          <cell r="H291">
            <v>7010594</v>
          </cell>
          <cell r="I291">
            <v>43798</v>
          </cell>
          <cell r="J291" t="str">
            <v>OUTO</v>
          </cell>
          <cell r="K291" t="str">
            <v>D1912046</v>
          </cell>
          <cell r="L291">
            <v>24</v>
          </cell>
          <cell r="N291">
            <v>526927</v>
          </cell>
          <cell r="O291" t="str">
            <v xml:space="preserve">1.4306 TP304L </v>
          </cell>
          <cell r="P291" t="str">
            <v>304L</v>
          </cell>
          <cell r="Q291">
            <v>1.7509999999999999</v>
          </cell>
          <cell r="R291">
            <v>1.748</v>
          </cell>
          <cell r="S291">
            <v>3.5000000000000003E-2</v>
          </cell>
          <cell r="T291">
            <v>3.4000000000000002E-2</v>
          </cell>
          <cell r="V291">
            <v>3.4000000000000002E-2</v>
          </cell>
          <cell r="X291">
            <v>2209</v>
          </cell>
          <cell r="Y291">
            <v>3</v>
          </cell>
          <cell r="Z291">
            <v>420.52160670093286</v>
          </cell>
          <cell r="AA291" t="str">
            <v>1.751X0.035-304L</v>
          </cell>
          <cell r="AB291" t="str">
            <v>WAAC004450089B300004</v>
          </cell>
          <cell r="AC291" t="str">
            <v>D1912046</v>
          </cell>
          <cell r="AD291">
            <v>526927</v>
          </cell>
          <cell r="AE291">
            <v>2.64E-2</v>
          </cell>
          <cell r="AF291">
            <v>1.3</v>
          </cell>
          <cell r="AG291">
            <v>2.98E-2</v>
          </cell>
          <cell r="AH291">
            <v>1.6000000000000001E-3</v>
          </cell>
          <cell r="AI291">
            <v>0.37</v>
          </cell>
          <cell r="AJ291">
            <v>18.100000000000001</v>
          </cell>
          <cell r="AK291">
            <v>8.0299999999999994</v>
          </cell>
          <cell r="AL291">
            <v>6.4699999999999994E-2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Y291" t="str">
            <v/>
          </cell>
          <cell r="AZ291">
            <v>1.41</v>
          </cell>
          <cell r="BA291" t="str">
            <v>D1912046</v>
          </cell>
          <cell r="BB291" t="str">
            <v>CONFORM</v>
          </cell>
          <cell r="BC291" t="str">
            <v>CONFORM</v>
          </cell>
          <cell r="BD291" t="str">
            <v>CONFORM</v>
          </cell>
          <cell r="BE291" t="str">
            <v>CONFORM</v>
          </cell>
          <cell r="BF291" t="str">
            <v>CONFORM</v>
          </cell>
        </row>
        <row r="292">
          <cell r="A292">
            <v>43810</v>
          </cell>
          <cell r="B292" t="str">
            <v>D1912056-1</v>
          </cell>
          <cell r="C292" t="str">
            <v>036/19</v>
          </cell>
          <cell r="D292">
            <v>1</v>
          </cell>
          <cell r="E292" t="str">
            <v>DECEMBER 2019</v>
          </cell>
          <cell r="F292" t="str">
            <v>DC</v>
          </cell>
          <cell r="G292" t="str">
            <v>Late</v>
          </cell>
          <cell r="H292" t="str">
            <v>L330893</v>
          </cell>
          <cell r="I292">
            <v>43809</v>
          </cell>
          <cell r="J292" t="str">
            <v>ATI</v>
          </cell>
          <cell r="K292" t="str">
            <v>D1912056</v>
          </cell>
          <cell r="L292">
            <v>1</v>
          </cell>
          <cell r="M292" t="str">
            <v>AAC82517-AA</v>
          </cell>
          <cell r="N292">
            <v>859298</v>
          </cell>
          <cell r="O292" t="str">
            <v xml:space="preserve">1.4401/1.4404 TP316/316L </v>
          </cell>
          <cell r="P292" t="str">
            <v>316L</v>
          </cell>
          <cell r="Q292">
            <v>3.77</v>
          </cell>
          <cell r="R292">
            <v>3.173</v>
          </cell>
          <cell r="S292">
            <v>2.7E-2</v>
          </cell>
          <cell r="T292">
            <v>2.8000000000000001E-2</v>
          </cell>
          <cell r="V292">
            <v>2.8000000000000001E-2</v>
          </cell>
          <cell r="X292">
            <v>4254</v>
          </cell>
          <cell r="Y292">
            <v>3</v>
          </cell>
          <cell r="Z292">
            <v>376.12732095490713</v>
          </cell>
          <cell r="AA292" t="str">
            <v>3.77X0.027-316L</v>
          </cell>
          <cell r="AB292" t="e">
            <v>#N/A</v>
          </cell>
          <cell r="AC292" t="str">
            <v>D1912056</v>
          </cell>
          <cell r="AD292">
            <v>859298</v>
          </cell>
          <cell r="AE292">
            <v>2.1999999999999999E-2</v>
          </cell>
          <cell r="AF292">
            <v>1.66</v>
          </cell>
          <cell r="AG292">
            <v>3.2000000000000001E-2</v>
          </cell>
          <cell r="AH292">
            <v>1E-4</v>
          </cell>
          <cell r="AI292">
            <v>0.47</v>
          </cell>
          <cell r="AJ292">
            <v>16.64</v>
          </cell>
          <cell r="AK292">
            <v>10.119999999999999</v>
          </cell>
          <cell r="AL292">
            <v>0.05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Y292" t="str">
            <v/>
          </cell>
          <cell r="AZ292">
            <v>2.1</v>
          </cell>
          <cell r="BA292" t="str">
            <v>D1912056</v>
          </cell>
          <cell r="BB292" t="str">
            <v>CONFORM</v>
          </cell>
          <cell r="BC292" t="str">
            <v>CONFORM</v>
          </cell>
          <cell r="BD292" t="str">
            <v>CONFORM</v>
          </cell>
          <cell r="BE292" t="str">
            <v>CONFORM</v>
          </cell>
          <cell r="BF292" t="str">
            <v>CONFORM</v>
          </cell>
        </row>
        <row r="293">
          <cell r="A293">
            <v>43810</v>
          </cell>
          <cell r="B293" t="str">
            <v>D1912056-2</v>
          </cell>
          <cell r="C293" t="str">
            <v>036/19</v>
          </cell>
          <cell r="D293">
            <v>1</v>
          </cell>
          <cell r="E293" t="str">
            <v>DECEMBER 2019</v>
          </cell>
          <cell r="F293" t="str">
            <v>DC</v>
          </cell>
          <cell r="G293" t="str">
            <v>Late</v>
          </cell>
          <cell r="H293" t="str">
            <v>L330893</v>
          </cell>
          <cell r="I293">
            <v>43809</v>
          </cell>
          <cell r="J293" t="str">
            <v>ATI</v>
          </cell>
          <cell r="K293" t="str">
            <v>D1912056</v>
          </cell>
          <cell r="L293">
            <v>2</v>
          </cell>
          <cell r="M293" t="str">
            <v>AAC82517-AA</v>
          </cell>
          <cell r="N293">
            <v>859298</v>
          </cell>
          <cell r="O293" t="str">
            <v xml:space="preserve">1.4401/1.4404 TP316/316L </v>
          </cell>
          <cell r="P293" t="str">
            <v>316L</v>
          </cell>
          <cell r="Q293">
            <v>3.77</v>
          </cell>
          <cell r="R293">
            <v>3.1680000000000001</v>
          </cell>
          <cell r="S293">
            <v>2.7E-2</v>
          </cell>
          <cell r="T293">
            <v>2.4E-2</v>
          </cell>
          <cell r="V293">
            <v>2.4E-2</v>
          </cell>
          <cell r="X293">
            <v>4234</v>
          </cell>
          <cell r="Y293">
            <v>3</v>
          </cell>
          <cell r="Z293">
            <v>374.35897435897436</v>
          </cell>
          <cell r="AA293" t="str">
            <v>3.77X0.027-316L</v>
          </cell>
          <cell r="AB293" t="e">
            <v>#N/A</v>
          </cell>
          <cell r="AC293" t="str">
            <v>D1912056</v>
          </cell>
          <cell r="AD293">
            <v>859298</v>
          </cell>
          <cell r="AE293">
            <v>2.1999999999999999E-2</v>
          </cell>
          <cell r="AF293">
            <v>1.66</v>
          </cell>
          <cell r="AG293">
            <v>3.2000000000000001E-2</v>
          </cell>
          <cell r="AH293">
            <v>1E-4</v>
          </cell>
          <cell r="AI293">
            <v>0.47</v>
          </cell>
          <cell r="AJ293">
            <v>16.64</v>
          </cell>
          <cell r="AK293">
            <v>10.119999999999999</v>
          </cell>
          <cell r="AL293">
            <v>0.05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Y293" t="str">
            <v/>
          </cell>
          <cell r="AZ293">
            <v>2.1</v>
          </cell>
          <cell r="BA293" t="str">
            <v>D1912056</v>
          </cell>
          <cell r="BB293" t="str">
            <v>CONFORM</v>
          </cell>
          <cell r="BC293" t="str">
            <v>CONFORM</v>
          </cell>
          <cell r="BD293" t="str">
            <v>CONFORM</v>
          </cell>
          <cell r="BE293" t="str">
            <v>CONFORM</v>
          </cell>
          <cell r="BF293" t="str">
            <v>CONFORM</v>
          </cell>
        </row>
        <row r="294">
          <cell r="A294">
            <v>43810</v>
          </cell>
          <cell r="B294" t="str">
            <v>D1912057-1</v>
          </cell>
          <cell r="C294" t="str">
            <v>036/19</v>
          </cell>
          <cell r="D294">
            <v>1</v>
          </cell>
          <cell r="E294" t="str">
            <v>DECEMBER 2019</v>
          </cell>
          <cell r="F294" t="str">
            <v>DC</v>
          </cell>
          <cell r="G294" t="str">
            <v>Late</v>
          </cell>
          <cell r="H294" t="str">
            <v>L330893</v>
          </cell>
          <cell r="I294">
            <v>43809</v>
          </cell>
          <cell r="J294" t="str">
            <v>ATI</v>
          </cell>
          <cell r="K294" t="str">
            <v>D1912057</v>
          </cell>
          <cell r="L294">
            <v>1</v>
          </cell>
          <cell r="M294" t="str">
            <v>AAC82508-BA</v>
          </cell>
          <cell r="N294">
            <v>859296</v>
          </cell>
          <cell r="O294" t="str">
            <v xml:space="preserve">1.4401/1.4404 TP316/316L </v>
          </cell>
          <cell r="P294" t="str">
            <v>316L</v>
          </cell>
          <cell r="Q294">
            <v>3.77</v>
          </cell>
          <cell r="R294">
            <v>3.169</v>
          </cell>
          <cell r="S294">
            <v>2.7E-2</v>
          </cell>
          <cell r="T294">
            <v>2.5999999999999999E-2</v>
          </cell>
          <cell r="V294">
            <v>2.5999999999999999E-2</v>
          </cell>
          <cell r="X294">
            <v>4446</v>
          </cell>
          <cell r="Y294">
            <v>3</v>
          </cell>
          <cell r="Z294">
            <v>393.10344827586209</v>
          </cell>
          <cell r="AA294" t="str">
            <v>3.77X0.027-316L</v>
          </cell>
          <cell r="AB294" t="e">
            <v>#N/A</v>
          </cell>
          <cell r="AC294" t="str">
            <v>D1912057</v>
          </cell>
          <cell r="AD294">
            <v>859296</v>
          </cell>
          <cell r="AE294">
            <v>0.02</v>
          </cell>
          <cell r="AF294">
            <v>1.64</v>
          </cell>
          <cell r="AG294">
            <v>3.4000000000000002E-2</v>
          </cell>
          <cell r="AH294">
            <v>1E-4</v>
          </cell>
          <cell r="AI294">
            <v>0.37</v>
          </cell>
          <cell r="AJ294">
            <v>16.64</v>
          </cell>
          <cell r="AK294">
            <v>10.09</v>
          </cell>
          <cell r="AL294">
            <v>0.05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Y294" t="str">
            <v/>
          </cell>
          <cell r="AZ294">
            <v>2.1</v>
          </cell>
          <cell r="BA294" t="str">
            <v>D1912057</v>
          </cell>
          <cell r="BB294" t="str">
            <v>CONFORM</v>
          </cell>
          <cell r="BC294" t="str">
            <v>CONFORM</v>
          </cell>
          <cell r="BD294" t="str">
            <v>CONFORM</v>
          </cell>
          <cell r="BE294" t="str">
            <v>CONFORM</v>
          </cell>
          <cell r="BF294" t="str">
            <v>CONFORM</v>
          </cell>
        </row>
        <row r="295">
          <cell r="A295">
            <v>43810</v>
          </cell>
          <cell r="B295" t="str">
            <v>D1912057-2</v>
          </cell>
          <cell r="C295" t="str">
            <v>036/19</v>
          </cell>
          <cell r="D295">
            <v>1</v>
          </cell>
          <cell r="E295" t="str">
            <v>DECEMBER 2019</v>
          </cell>
          <cell r="F295" t="str">
            <v>DC</v>
          </cell>
          <cell r="G295" t="str">
            <v>Late</v>
          </cell>
          <cell r="H295" t="str">
            <v>L330893</v>
          </cell>
          <cell r="I295">
            <v>43809</v>
          </cell>
          <cell r="J295" t="str">
            <v>ATI</v>
          </cell>
          <cell r="K295" t="str">
            <v>D1912057</v>
          </cell>
          <cell r="L295">
            <v>2</v>
          </cell>
          <cell r="M295" t="str">
            <v>AAC82508-BA</v>
          </cell>
          <cell r="N295">
            <v>859296</v>
          </cell>
          <cell r="O295" t="str">
            <v xml:space="preserve">1.4401/1.4404 TP316/316L </v>
          </cell>
          <cell r="P295" t="str">
            <v>316L</v>
          </cell>
          <cell r="Q295">
            <v>3.77</v>
          </cell>
          <cell r="R295">
            <v>3.1669999999999998</v>
          </cell>
          <cell r="S295">
            <v>2.7E-2</v>
          </cell>
          <cell r="T295">
            <v>2.7E-2</v>
          </cell>
          <cell r="V295">
            <v>2.7E-2</v>
          </cell>
          <cell r="X295">
            <v>4414</v>
          </cell>
          <cell r="Y295">
            <v>3</v>
          </cell>
          <cell r="Z295">
            <v>390.27409372236957</v>
          </cell>
          <cell r="AA295" t="str">
            <v>3.77X0.027-316L</v>
          </cell>
          <cell r="AB295" t="e">
            <v>#N/A</v>
          </cell>
          <cell r="AC295" t="str">
            <v>D1912057</v>
          </cell>
          <cell r="AD295">
            <v>859296</v>
          </cell>
          <cell r="AE295">
            <v>0.02</v>
          </cell>
          <cell r="AF295">
            <v>1.64</v>
          </cell>
          <cell r="AG295">
            <v>3.4000000000000002E-2</v>
          </cell>
          <cell r="AH295">
            <v>1E-4</v>
          </cell>
          <cell r="AI295">
            <v>0.37</v>
          </cell>
          <cell r="AJ295">
            <v>16.64</v>
          </cell>
          <cell r="AK295">
            <v>10.09</v>
          </cell>
          <cell r="AL295">
            <v>0.05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Y295" t="str">
            <v/>
          </cell>
          <cell r="AZ295">
            <v>2.1</v>
          </cell>
          <cell r="BA295" t="str">
            <v>D1912057</v>
          </cell>
          <cell r="BB295" t="str">
            <v>CONFORM</v>
          </cell>
          <cell r="BC295" t="str">
            <v>CONFORM</v>
          </cell>
          <cell r="BD295" t="str">
            <v>CONFORM</v>
          </cell>
          <cell r="BE295" t="str">
            <v>CONFORM</v>
          </cell>
          <cell r="BF295" t="str">
            <v>CONFORM</v>
          </cell>
        </row>
        <row r="296">
          <cell r="A296">
            <v>43810</v>
          </cell>
          <cell r="B296" t="str">
            <v>D1912057-3</v>
          </cell>
          <cell r="C296" t="str">
            <v>036/19</v>
          </cell>
          <cell r="D296">
            <v>1</v>
          </cell>
          <cell r="E296" t="str">
            <v>DECEMBER 2019</v>
          </cell>
          <cell r="F296" t="str">
            <v>DC</v>
          </cell>
          <cell r="G296" t="str">
            <v>Late</v>
          </cell>
          <cell r="H296" t="str">
            <v>L330893</v>
          </cell>
          <cell r="I296">
            <v>43809</v>
          </cell>
          <cell r="J296" t="str">
            <v>ATI</v>
          </cell>
          <cell r="K296" t="str">
            <v>D1912057</v>
          </cell>
          <cell r="L296">
            <v>3</v>
          </cell>
          <cell r="M296" t="str">
            <v>AAC82508-AA</v>
          </cell>
          <cell r="N296">
            <v>859296</v>
          </cell>
          <cell r="O296" t="str">
            <v xml:space="preserve">1.4401/1.4404 TP316/316L </v>
          </cell>
          <cell r="P296" t="str">
            <v>316L</v>
          </cell>
          <cell r="Q296">
            <v>3.77</v>
          </cell>
          <cell r="R296">
            <v>3.17</v>
          </cell>
          <cell r="S296">
            <v>2.7E-2</v>
          </cell>
          <cell r="T296">
            <v>2.8000000000000001E-2</v>
          </cell>
          <cell r="V296">
            <v>2.8000000000000001E-2</v>
          </cell>
          <cell r="X296">
            <v>4426</v>
          </cell>
          <cell r="Y296">
            <v>3</v>
          </cell>
          <cell r="Z296">
            <v>391.33510167992927</v>
          </cell>
          <cell r="AA296" t="str">
            <v>3.77X0.027-316L</v>
          </cell>
          <cell r="AB296" t="e">
            <v>#N/A</v>
          </cell>
          <cell r="AC296" t="str">
            <v>D1912057</v>
          </cell>
          <cell r="AD296">
            <v>859296</v>
          </cell>
          <cell r="AE296">
            <v>0.02</v>
          </cell>
          <cell r="AF296">
            <v>1.64</v>
          </cell>
          <cell r="AG296">
            <v>3.4000000000000002E-2</v>
          </cell>
          <cell r="AH296">
            <v>1E-4</v>
          </cell>
          <cell r="AI296">
            <v>0.37</v>
          </cell>
          <cell r="AJ296">
            <v>16.64</v>
          </cell>
          <cell r="AK296">
            <v>10.09</v>
          </cell>
          <cell r="AL296">
            <v>0.05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Y296" t="str">
            <v/>
          </cell>
          <cell r="AZ296">
            <v>2.1</v>
          </cell>
          <cell r="BA296" t="str">
            <v>D1912057</v>
          </cell>
          <cell r="BB296" t="str">
            <v>CONFORM</v>
          </cell>
          <cell r="BC296" t="str">
            <v>CONFORM</v>
          </cell>
          <cell r="BD296" t="str">
            <v>CONFORM</v>
          </cell>
          <cell r="BE296" t="str">
            <v>CONFORM</v>
          </cell>
          <cell r="BF296" t="str">
            <v>CONFORM</v>
          </cell>
        </row>
        <row r="297">
          <cell r="A297">
            <v>43810</v>
          </cell>
          <cell r="B297" t="str">
            <v>D1912057-4</v>
          </cell>
          <cell r="C297" t="str">
            <v>036/19</v>
          </cell>
          <cell r="D297">
            <v>1</v>
          </cell>
          <cell r="E297" t="str">
            <v>DECEMBER 2019</v>
          </cell>
          <cell r="F297" t="str">
            <v>DC</v>
          </cell>
          <cell r="G297" t="str">
            <v>Late</v>
          </cell>
          <cell r="H297" t="str">
            <v>L330893</v>
          </cell>
          <cell r="I297">
            <v>43809</v>
          </cell>
          <cell r="J297" t="str">
            <v>ATI</v>
          </cell>
          <cell r="K297" t="str">
            <v>D1912057</v>
          </cell>
          <cell r="L297">
            <v>4</v>
          </cell>
          <cell r="M297" t="str">
            <v>AAC82508-AA</v>
          </cell>
          <cell r="N297">
            <v>859296</v>
          </cell>
          <cell r="O297" t="str">
            <v xml:space="preserve">1.4401/1.4404 TP316/316L </v>
          </cell>
          <cell r="P297" t="str">
            <v>316L</v>
          </cell>
          <cell r="Q297">
            <v>3.77</v>
          </cell>
          <cell r="R297">
            <v>3.1720000000000002</v>
          </cell>
          <cell r="S297">
            <v>2.7E-2</v>
          </cell>
          <cell r="T297">
            <v>2.87E-2</v>
          </cell>
          <cell r="V297">
            <v>2.87E-2</v>
          </cell>
          <cell r="X297">
            <v>4410</v>
          </cell>
          <cell r="Y297">
            <v>3</v>
          </cell>
          <cell r="Z297">
            <v>389.92042440318301</v>
          </cell>
          <cell r="AA297" t="str">
            <v>3.77X0.027-316L</v>
          </cell>
          <cell r="AB297" t="e">
            <v>#N/A</v>
          </cell>
          <cell r="AC297" t="str">
            <v>D1912057</v>
          </cell>
          <cell r="AD297">
            <v>859296</v>
          </cell>
          <cell r="AE297">
            <v>0.02</v>
          </cell>
          <cell r="AF297">
            <v>1.64</v>
          </cell>
          <cell r="AG297">
            <v>3.4000000000000002E-2</v>
          </cell>
          <cell r="AH297">
            <v>1E-4</v>
          </cell>
          <cell r="AI297">
            <v>0.37</v>
          </cell>
          <cell r="AJ297">
            <v>16.64</v>
          </cell>
          <cell r="AK297">
            <v>10.09</v>
          </cell>
          <cell r="AL297">
            <v>0.05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Y297" t="str">
            <v/>
          </cell>
          <cell r="AZ297">
            <v>2.1</v>
          </cell>
          <cell r="BA297" t="str">
            <v>D1912057</v>
          </cell>
          <cell r="BB297" t="str">
            <v>CONFORM</v>
          </cell>
          <cell r="BC297" t="str">
            <v>CONFORM</v>
          </cell>
          <cell r="BD297" t="str">
            <v>CONFORM</v>
          </cell>
          <cell r="BE297" t="str">
            <v>CONFORM</v>
          </cell>
          <cell r="BF297" t="str">
            <v>CONFORM</v>
          </cell>
        </row>
        <row r="298">
          <cell r="A298">
            <v>43810</v>
          </cell>
          <cell r="B298" t="str">
            <v>D1912057-5</v>
          </cell>
          <cell r="C298" t="str">
            <v>036/19</v>
          </cell>
          <cell r="D298">
            <v>1</v>
          </cell>
          <cell r="E298" t="str">
            <v>DECEMBER 2019</v>
          </cell>
          <cell r="F298" t="str">
            <v>DC</v>
          </cell>
          <cell r="G298" t="str">
            <v>Late</v>
          </cell>
          <cell r="H298" t="str">
            <v>L330893</v>
          </cell>
          <cell r="I298">
            <v>43809</v>
          </cell>
          <cell r="J298" t="str">
            <v>ATI</v>
          </cell>
          <cell r="K298" t="str">
            <v>D1912057</v>
          </cell>
          <cell r="L298">
            <v>5</v>
          </cell>
          <cell r="M298" t="str">
            <v>AAC82508-AA</v>
          </cell>
          <cell r="N298">
            <v>859296</v>
          </cell>
          <cell r="O298" t="str">
            <v xml:space="preserve">1.4401/1.4404 TP316/316L </v>
          </cell>
          <cell r="P298" t="str">
            <v>316L</v>
          </cell>
          <cell r="Q298">
            <v>3.77</v>
          </cell>
          <cell r="R298">
            <v>3.173</v>
          </cell>
          <cell r="S298">
            <v>2.7E-2</v>
          </cell>
          <cell r="T298">
            <v>2.4E-2</v>
          </cell>
          <cell r="V298">
            <v>2.4E-2</v>
          </cell>
          <cell r="X298">
            <v>2924</v>
          </cell>
          <cell r="Y298">
            <v>2</v>
          </cell>
          <cell r="Z298">
            <v>387.79840848806367</v>
          </cell>
          <cell r="AA298" t="str">
            <v>3.77X0.027-316L</v>
          </cell>
          <cell r="AB298" t="e">
            <v>#N/A</v>
          </cell>
          <cell r="AC298" t="str">
            <v>D1912057</v>
          </cell>
          <cell r="AD298">
            <v>859296</v>
          </cell>
          <cell r="AE298">
            <v>0.02</v>
          </cell>
          <cell r="AF298">
            <v>1.64</v>
          </cell>
          <cell r="AG298">
            <v>3.4000000000000002E-2</v>
          </cell>
          <cell r="AH298">
            <v>1E-4</v>
          </cell>
          <cell r="AI298">
            <v>0.37</v>
          </cell>
          <cell r="AJ298">
            <v>16.64</v>
          </cell>
          <cell r="AK298">
            <v>10.09</v>
          </cell>
          <cell r="AL298">
            <v>0.05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Y298" t="str">
            <v/>
          </cell>
          <cell r="AZ298">
            <v>2.1</v>
          </cell>
          <cell r="BA298" t="str">
            <v>D1912057</v>
          </cell>
          <cell r="BB298" t="str">
            <v>CONFORM</v>
          </cell>
          <cell r="BC298" t="str">
            <v>CONFORM</v>
          </cell>
          <cell r="BD298" t="str">
            <v>CONFORM</v>
          </cell>
          <cell r="BE298" t="str">
            <v>CONFORM</v>
          </cell>
          <cell r="BF298" t="str">
            <v>CONFORM</v>
          </cell>
        </row>
        <row r="299">
          <cell r="A299">
            <v>43810</v>
          </cell>
          <cell r="B299" t="str">
            <v>D1912057-6</v>
          </cell>
          <cell r="C299" t="str">
            <v>036/19</v>
          </cell>
          <cell r="D299">
            <v>1</v>
          </cell>
          <cell r="E299" t="str">
            <v>DECEMBER 2019</v>
          </cell>
          <cell r="F299" t="str">
            <v>DC</v>
          </cell>
          <cell r="G299" t="str">
            <v>Late</v>
          </cell>
          <cell r="H299" t="str">
            <v>L330893</v>
          </cell>
          <cell r="I299">
            <v>43809</v>
          </cell>
          <cell r="J299" t="str">
            <v>ATI</v>
          </cell>
          <cell r="K299" t="str">
            <v>D1912057</v>
          </cell>
          <cell r="L299">
            <v>6</v>
          </cell>
          <cell r="M299" t="str">
            <v>AAC82508-BA</v>
          </cell>
          <cell r="N299">
            <v>859296</v>
          </cell>
          <cell r="O299" t="str">
            <v xml:space="preserve">1.4401/1.4404 TP316/316L </v>
          </cell>
          <cell r="P299" t="str">
            <v>316L</v>
          </cell>
          <cell r="Q299">
            <v>3.77</v>
          </cell>
          <cell r="R299">
            <v>3.17</v>
          </cell>
          <cell r="S299">
            <v>2.7E-2</v>
          </cell>
          <cell r="T299">
            <v>2.5000000000000001E-2</v>
          </cell>
          <cell r="V299">
            <v>2.5000000000000001E-2</v>
          </cell>
          <cell r="X299">
            <v>4464</v>
          </cell>
          <cell r="Y299">
            <v>3</v>
          </cell>
          <cell r="Z299">
            <v>394.69496021220158</v>
          </cell>
          <cell r="AA299" t="str">
            <v>3.77X0.027-316L</v>
          </cell>
          <cell r="AB299" t="e">
            <v>#N/A</v>
          </cell>
          <cell r="AC299" t="str">
            <v>D1912057</v>
          </cell>
          <cell r="AD299">
            <v>859296</v>
          </cell>
          <cell r="AE299">
            <v>0.02</v>
          </cell>
          <cell r="AF299">
            <v>1.64</v>
          </cell>
          <cell r="AG299">
            <v>3.4000000000000002E-2</v>
          </cell>
          <cell r="AH299">
            <v>1E-4</v>
          </cell>
          <cell r="AI299">
            <v>0.37</v>
          </cell>
          <cell r="AJ299">
            <v>16.64</v>
          </cell>
          <cell r="AK299">
            <v>10.09</v>
          </cell>
          <cell r="AL299">
            <v>0.05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Y299" t="str">
            <v/>
          </cell>
          <cell r="AZ299">
            <v>2.1</v>
          </cell>
          <cell r="BA299" t="str">
            <v>D1912057</v>
          </cell>
          <cell r="BB299" t="str">
            <v>CONFORM</v>
          </cell>
          <cell r="BC299" t="str">
            <v>CONFORM</v>
          </cell>
          <cell r="BD299" t="str">
            <v>CONFORM</v>
          </cell>
          <cell r="BE299" t="str">
            <v>CONFORM</v>
          </cell>
          <cell r="BF299" t="str">
            <v>CONFORM</v>
          </cell>
        </row>
        <row r="300">
          <cell r="A300">
            <v>43810</v>
          </cell>
          <cell r="B300" t="str">
            <v>D1912057-7</v>
          </cell>
          <cell r="C300" t="str">
            <v>036/19</v>
          </cell>
          <cell r="D300">
            <v>1</v>
          </cell>
          <cell r="E300" t="str">
            <v>DECEMBER 2019</v>
          </cell>
          <cell r="F300" t="str">
            <v>DC</v>
          </cell>
          <cell r="G300" t="str">
            <v>Late</v>
          </cell>
          <cell r="H300" t="str">
            <v>L330893</v>
          </cell>
          <cell r="I300">
            <v>43809</v>
          </cell>
          <cell r="J300" t="str">
            <v>ATI</v>
          </cell>
          <cell r="K300" t="str">
            <v>D1912057</v>
          </cell>
          <cell r="L300">
            <v>7</v>
          </cell>
          <cell r="M300" t="str">
            <v>AAC82508-BA</v>
          </cell>
          <cell r="N300">
            <v>859296</v>
          </cell>
          <cell r="O300" t="str">
            <v xml:space="preserve">1.4401/1.4404 TP316/316L </v>
          </cell>
          <cell r="P300" t="str">
            <v>316L</v>
          </cell>
          <cell r="Q300">
            <v>3.77</v>
          </cell>
          <cell r="R300">
            <v>3.1680000000000001</v>
          </cell>
          <cell r="S300">
            <v>2.7E-2</v>
          </cell>
          <cell r="T300">
            <v>2.4E-2</v>
          </cell>
          <cell r="V300">
            <v>2.4E-2</v>
          </cell>
          <cell r="X300">
            <v>4416</v>
          </cell>
          <cell r="Y300">
            <v>3</v>
          </cell>
          <cell r="Z300">
            <v>390.45092838196285</v>
          </cell>
          <cell r="AA300" t="str">
            <v>3.77X0.027-316L</v>
          </cell>
          <cell r="AB300" t="e">
            <v>#N/A</v>
          </cell>
          <cell r="AC300" t="str">
            <v>D1912057</v>
          </cell>
          <cell r="AD300">
            <v>859296</v>
          </cell>
          <cell r="AE300">
            <v>0.02</v>
          </cell>
          <cell r="AF300">
            <v>1.64</v>
          </cell>
          <cell r="AG300">
            <v>3.4000000000000002E-2</v>
          </cell>
          <cell r="AH300">
            <v>1E-4</v>
          </cell>
          <cell r="AI300">
            <v>0.37</v>
          </cell>
          <cell r="AJ300">
            <v>16.64</v>
          </cell>
          <cell r="AK300">
            <v>10.09</v>
          </cell>
          <cell r="AL300">
            <v>0.05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Y300" t="str">
            <v/>
          </cell>
          <cell r="AZ300">
            <v>2.1</v>
          </cell>
          <cell r="BA300" t="str">
            <v>D1912057</v>
          </cell>
          <cell r="BB300" t="str">
            <v>CONFORM</v>
          </cell>
          <cell r="BC300" t="str">
            <v>CONFORM</v>
          </cell>
          <cell r="BD300" t="str">
            <v>CONFORM</v>
          </cell>
          <cell r="BE300" t="str">
            <v>CONFORM</v>
          </cell>
          <cell r="BF300" t="str">
            <v>CONFORM</v>
          </cell>
        </row>
        <row r="301">
          <cell r="A301">
            <v>43810</v>
          </cell>
          <cell r="B301" t="str">
            <v>D1912057-8</v>
          </cell>
          <cell r="C301" t="str">
            <v>036/19</v>
          </cell>
          <cell r="D301">
            <v>1</v>
          </cell>
          <cell r="E301" t="str">
            <v>DECEMBER 2019</v>
          </cell>
          <cell r="F301" t="str">
            <v>DC</v>
          </cell>
          <cell r="G301" t="str">
            <v>Late</v>
          </cell>
          <cell r="H301" t="str">
            <v>L330893</v>
          </cell>
          <cell r="I301">
            <v>43809</v>
          </cell>
          <cell r="J301" t="str">
            <v>ATI</v>
          </cell>
          <cell r="K301" t="str">
            <v>D1912057</v>
          </cell>
          <cell r="L301">
            <v>8</v>
          </cell>
          <cell r="M301" t="str">
            <v>AAC82508-BA</v>
          </cell>
          <cell r="N301">
            <v>859296</v>
          </cell>
          <cell r="O301" t="str">
            <v xml:space="preserve">1.4401/1.4404 TP316/316L </v>
          </cell>
          <cell r="P301" t="str">
            <v>316L</v>
          </cell>
          <cell r="Q301">
            <v>3.77</v>
          </cell>
          <cell r="R301">
            <v>3.165</v>
          </cell>
          <cell r="S301">
            <v>2.7E-2</v>
          </cell>
          <cell r="T301">
            <v>2.7E-2</v>
          </cell>
          <cell r="V301">
            <v>2.7E-2</v>
          </cell>
          <cell r="X301">
            <v>2930</v>
          </cell>
          <cell r="Y301">
            <v>2</v>
          </cell>
          <cell r="Z301">
            <v>388.59416445623344</v>
          </cell>
          <cell r="AA301" t="str">
            <v>3.77X0.027-316L</v>
          </cell>
          <cell r="AB301" t="e">
            <v>#N/A</v>
          </cell>
          <cell r="AC301" t="str">
            <v>D1912057</v>
          </cell>
          <cell r="AD301">
            <v>859296</v>
          </cell>
          <cell r="AE301">
            <v>0.02</v>
          </cell>
          <cell r="AF301">
            <v>1.64</v>
          </cell>
          <cell r="AG301">
            <v>3.4000000000000002E-2</v>
          </cell>
          <cell r="AH301">
            <v>1E-4</v>
          </cell>
          <cell r="AI301">
            <v>0.37</v>
          </cell>
          <cell r="AJ301">
            <v>16.64</v>
          </cell>
          <cell r="AK301">
            <v>10.09</v>
          </cell>
          <cell r="AL301">
            <v>0.05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Y301" t="str">
            <v/>
          </cell>
          <cell r="AZ301">
            <v>2.1</v>
          </cell>
          <cell r="BA301" t="str">
            <v>D1912057</v>
          </cell>
          <cell r="BB301" t="str">
            <v>CONFORM</v>
          </cell>
          <cell r="BC301" t="str">
            <v>CONFORM</v>
          </cell>
          <cell r="BD301" t="str">
            <v>CONFORM</v>
          </cell>
          <cell r="BE301" t="str">
            <v>CONFORM</v>
          </cell>
          <cell r="BF301" t="str">
            <v>CONFORM</v>
          </cell>
        </row>
        <row r="302">
          <cell r="A302">
            <v>43810</v>
          </cell>
          <cell r="B302" t="str">
            <v>D1912057-9</v>
          </cell>
          <cell r="C302" t="str">
            <v>036/19</v>
          </cell>
          <cell r="D302">
            <v>1</v>
          </cell>
          <cell r="E302" t="str">
            <v>DECEMBER 2019</v>
          </cell>
          <cell r="F302" t="str">
            <v>DC</v>
          </cell>
          <cell r="G302" t="str">
            <v>Late</v>
          </cell>
          <cell r="H302" t="str">
            <v>L330893</v>
          </cell>
          <cell r="I302">
            <v>43809</v>
          </cell>
          <cell r="J302" t="str">
            <v>ATI</v>
          </cell>
          <cell r="K302" t="str">
            <v>D1912057</v>
          </cell>
          <cell r="L302">
            <v>9</v>
          </cell>
          <cell r="M302" t="str">
            <v>AAC82508-AA</v>
          </cell>
          <cell r="N302">
            <v>859296</v>
          </cell>
          <cell r="O302" t="str">
            <v xml:space="preserve">1.4401/1.4404 TP316/316L </v>
          </cell>
          <cell r="P302" t="str">
            <v>316L</v>
          </cell>
          <cell r="Q302">
            <v>3.77</v>
          </cell>
          <cell r="R302">
            <v>3.169</v>
          </cell>
          <cell r="S302">
            <v>2.7E-2</v>
          </cell>
          <cell r="T302">
            <v>2.5999999999999999E-2</v>
          </cell>
          <cell r="V302">
            <v>2.5999999999999999E-2</v>
          </cell>
          <cell r="X302">
            <v>4460</v>
          </cell>
          <cell r="Y302">
            <v>3</v>
          </cell>
          <cell r="Z302">
            <v>394.34129089301507</v>
          </cell>
          <cell r="AA302" t="str">
            <v>3.77X0.027-316L</v>
          </cell>
          <cell r="AB302" t="e">
            <v>#N/A</v>
          </cell>
          <cell r="AC302" t="str">
            <v>D1912057</v>
          </cell>
          <cell r="AD302">
            <v>859296</v>
          </cell>
          <cell r="AE302">
            <v>0.02</v>
          </cell>
          <cell r="AF302">
            <v>1.64</v>
          </cell>
          <cell r="AG302">
            <v>3.4000000000000002E-2</v>
          </cell>
          <cell r="AH302">
            <v>1E-4</v>
          </cell>
          <cell r="AI302">
            <v>0.37</v>
          </cell>
          <cell r="AJ302">
            <v>16.64</v>
          </cell>
          <cell r="AK302">
            <v>10.09</v>
          </cell>
          <cell r="AL302">
            <v>0.05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Y302" t="str">
            <v/>
          </cell>
          <cell r="AZ302">
            <v>2.1</v>
          </cell>
          <cell r="BA302" t="str">
            <v>D1912057</v>
          </cell>
          <cell r="BB302" t="str">
            <v>CONFORM</v>
          </cell>
          <cell r="BC302" t="str">
            <v>CONFORM</v>
          </cell>
          <cell r="BD302" t="str">
            <v>CONFORM</v>
          </cell>
          <cell r="BE302" t="str">
            <v>CONFORM</v>
          </cell>
          <cell r="BF302" t="str">
            <v>CONFORM</v>
          </cell>
        </row>
        <row r="303">
          <cell r="A303">
            <v>43810</v>
          </cell>
          <cell r="B303" t="str">
            <v>D1912057-10</v>
          </cell>
          <cell r="C303" t="str">
            <v>036/19</v>
          </cell>
          <cell r="D303">
            <v>1</v>
          </cell>
          <cell r="E303" t="str">
            <v>DECEMBER 2019</v>
          </cell>
          <cell r="F303" t="str">
            <v>DC</v>
          </cell>
          <cell r="G303" t="str">
            <v>Late</v>
          </cell>
          <cell r="H303" t="str">
            <v>L330893</v>
          </cell>
          <cell r="I303">
            <v>43809</v>
          </cell>
          <cell r="J303" t="str">
            <v>ATI</v>
          </cell>
          <cell r="K303" t="str">
            <v>D1912057</v>
          </cell>
          <cell r="L303">
            <v>10</v>
          </cell>
          <cell r="M303" t="str">
            <v>AAC82508-AA</v>
          </cell>
          <cell r="N303">
            <v>859296</v>
          </cell>
          <cell r="O303" t="str">
            <v xml:space="preserve">1.4401/1.4404 TP316/316L </v>
          </cell>
          <cell r="P303" t="str">
            <v>316L</v>
          </cell>
          <cell r="Q303">
            <v>3.77</v>
          </cell>
          <cell r="R303">
            <v>3.1709999999999998</v>
          </cell>
          <cell r="S303">
            <v>2.7E-2</v>
          </cell>
          <cell r="T303">
            <v>2.5000000000000001E-2</v>
          </cell>
          <cell r="V303">
            <v>2.5000000000000001E-2</v>
          </cell>
          <cell r="X303">
            <v>2936</v>
          </cell>
          <cell r="Y303">
            <v>2</v>
          </cell>
          <cell r="Z303">
            <v>389.38992042440316</v>
          </cell>
          <cell r="AA303" t="str">
            <v>3.77X0.027-316L</v>
          </cell>
          <cell r="AB303" t="e">
            <v>#N/A</v>
          </cell>
          <cell r="AC303" t="str">
            <v>D1912057</v>
          </cell>
          <cell r="AD303">
            <v>859296</v>
          </cell>
          <cell r="AE303">
            <v>0.02</v>
          </cell>
          <cell r="AF303">
            <v>1.64</v>
          </cell>
          <cell r="AG303">
            <v>3.4000000000000002E-2</v>
          </cell>
          <cell r="AH303">
            <v>1E-4</v>
          </cell>
          <cell r="AI303">
            <v>0.37</v>
          </cell>
          <cell r="AJ303">
            <v>16.64</v>
          </cell>
          <cell r="AK303">
            <v>10.09</v>
          </cell>
          <cell r="AL303">
            <v>0.05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Y303" t="str">
            <v/>
          </cell>
          <cell r="AZ303">
            <v>2.1</v>
          </cell>
          <cell r="BA303" t="str">
            <v>D1912057</v>
          </cell>
          <cell r="BB303" t="str">
            <v>CONFORM</v>
          </cell>
          <cell r="BC303" t="str">
            <v>CONFORM</v>
          </cell>
          <cell r="BD303" t="str">
            <v>CONFORM</v>
          </cell>
          <cell r="BE303" t="str">
            <v>CONFORM</v>
          </cell>
          <cell r="BF303" t="str">
            <v>CONFORM</v>
          </cell>
        </row>
        <row r="304">
          <cell r="A304">
            <v>43815</v>
          </cell>
          <cell r="B304" t="str">
            <v>D1912070-1</v>
          </cell>
          <cell r="C304" t="str">
            <v>036/19</v>
          </cell>
          <cell r="D304">
            <v>1</v>
          </cell>
          <cell r="E304" t="str">
            <v>DECEMBER 2019</v>
          </cell>
          <cell r="F304" t="str">
            <v>DC</v>
          </cell>
          <cell r="G304" t="str">
            <v>Late</v>
          </cell>
          <cell r="H304" t="str">
            <v>L331967</v>
          </cell>
          <cell r="I304">
            <v>43811</v>
          </cell>
          <cell r="J304" t="str">
            <v>ATI</v>
          </cell>
          <cell r="K304" t="str">
            <v>D1912070</v>
          </cell>
          <cell r="L304">
            <v>1</v>
          </cell>
          <cell r="M304" t="str">
            <v>AAC82517-AA</v>
          </cell>
          <cell r="N304">
            <v>859298</v>
          </cell>
          <cell r="O304" t="str">
            <v xml:space="preserve">1.4401/1.4404 TP316/316L </v>
          </cell>
          <cell r="P304" t="str">
            <v>316L</v>
          </cell>
          <cell r="Q304">
            <v>3.77</v>
          </cell>
          <cell r="R304">
            <v>3.17</v>
          </cell>
          <cell r="S304">
            <v>2.7E-2</v>
          </cell>
          <cell r="T304">
            <v>2.8000000000000001E-2</v>
          </cell>
          <cell r="V304">
            <v>2.8000000000000001E-2</v>
          </cell>
          <cell r="X304">
            <v>2740</v>
          </cell>
          <cell r="Y304">
            <v>2</v>
          </cell>
          <cell r="Z304">
            <v>363.39522546419096</v>
          </cell>
          <cell r="AA304" t="str">
            <v>3.77X0.027-316L</v>
          </cell>
          <cell r="AB304" t="e">
            <v>#N/A</v>
          </cell>
          <cell r="AC304" t="str">
            <v>D1912070</v>
          </cell>
          <cell r="AD304">
            <v>859298</v>
          </cell>
          <cell r="AE304">
            <v>2.1999999999999999E-2</v>
          </cell>
          <cell r="AF304">
            <v>1.66</v>
          </cell>
          <cell r="AG304">
            <v>3.2000000000000001E-2</v>
          </cell>
          <cell r="AH304">
            <v>1E-4</v>
          </cell>
          <cell r="AI304">
            <v>0.47</v>
          </cell>
          <cell r="AJ304">
            <v>16.670000000000002</v>
          </cell>
          <cell r="AK304">
            <v>10.119999999999999</v>
          </cell>
          <cell r="AL304">
            <v>0.05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Y304" t="str">
            <v/>
          </cell>
          <cell r="AZ304">
            <v>2.1</v>
          </cell>
          <cell r="BA304" t="str">
            <v>D1912070</v>
          </cell>
          <cell r="BB304" t="str">
            <v>CONFORM</v>
          </cell>
          <cell r="BC304" t="str">
            <v>CONFORM</v>
          </cell>
          <cell r="BD304" t="str">
            <v>CONFORM</v>
          </cell>
          <cell r="BE304" t="str">
            <v>CONFORM</v>
          </cell>
          <cell r="BF304" t="str">
            <v>CONFORM</v>
          </cell>
        </row>
        <row r="305">
          <cell r="A305">
            <v>43815</v>
          </cell>
          <cell r="B305" t="str">
            <v>D1912070-2</v>
          </cell>
          <cell r="C305" t="str">
            <v>036/19</v>
          </cell>
          <cell r="D305">
            <v>1</v>
          </cell>
          <cell r="E305" t="str">
            <v>DECEMBER 2019</v>
          </cell>
          <cell r="F305" t="str">
            <v>DC</v>
          </cell>
          <cell r="G305" t="str">
            <v>Late</v>
          </cell>
          <cell r="H305" t="str">
            <v>L331967</v>
          </cell>
          <cell r="I305">
            <v>43811</v>
          </cell>
          <cell r="J305" t="str">
            <v>ATI</v>
          </cell>
          <cell r="K305" t="str">
            <v>D1912070</v>
          </cell>
          <cell r="L305">
            <v>2</v>
          </cell>
          <cell r="M305" t="str">
            <v>AAC82517-AB</v>
          </cell>
          <cell r="N305">
            <v>859298</v>
          </cell>
          <cell r="O305" t="str">
            <v xml:space="preserve">1.4401/1.4404 TP316/316L </v>
          </cell>
          <cell r="P305" t="str">
            <v>316L</v>
          </cell>
          <cell r="Q305">
            <v>3.77</v>
          </cell>
          <cell r="R305">
            <v>3.1720000000000002</v>
          </cell>
          <cell r="S305">
            <v>2.7E-2</v>
          </cell>
          <cell r="T305">
            <v>2.87E-2</v>
          </cell>
          <cell r="V305">
            <v>2.87E-2</v>
          </cell>
          <cell r="X305">
            <v>5496</v>
          </cell>
          <cell r="Y305">
            <v>4</v>
          </cell>
          <cell r="Z305">
            <v>364.45623342175065</v>
          </cell>
          <cell r="AA305" t="str">
            <v>3.77X0.027-316L</v>
          </cell>
          <cell r="AB305" t="e">
            <v>#N/A</v>
          </cell>
          <cell r="AC305" t="str">
            <v>D1912070</v>
          </cell>
          <cell r="AD305">
            <v>859298</v>
          </cell>
          <cell r="AE305">
            <v>2.1999999999999999E-2</v>
          </cell>
          <cell r="AF305">
            <v>1.66</v>
          </cell>
          <cell r="AG305">
            <v>3.2000000000000001E-2</v>
          </cell>
          <cell r="AH305">
            <v>1E-4</v>
          </cell>
          <cell r="AI305">
            <v>0.47</v>
          </cell>
          <cell r="AJ305">
            <v>16.670000000000002</v>
          </cell>
          <cell r="AK305">
            <v>10.119999999999999</v>
          </cell>
          <cell r="AL305">
            <v>0.05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Y305" t="str">
            <v/>
          </cell>
          <cell r="AZ305">
            <v>2.1</v>
          </cell>
          <cell r="BA305" t="str">
            <v>D1912070</v>
          </cell>
          <cell r="BB305" t="str">
            <v>CONFORM</v>
          </cell>
          <cell r="BC305" t="str">
            <v>CONFORM</v>
          </cell>
          <cell r="BD305" t="str">
            <v>CONFORM</v>
          </cell>
          <cell r="BE305" t="str">
            <v>CONFORM</v>
          </cell>
          <cell r="BF305" t="str">
            <v>CONFORM</v>
          </cell>
        </row>
        <row r="306">
          <cell r="A306">
            <v>43815</v>
          </cell>
          <cell r="B306" t="str">
            <v>D1912070-3</v>
          </cell>
          <cell r="C306" t="str">
            <v>036/19</v>
          </cell>
          <cell r="D306">
            <v>1</v>
          </cell>
          <cell r="E306" t="str">
            <v>DECEMBER 2019</v>
          </cell>
          <cell r="F306" t="str">
            <v>DC</v>
          </cell>
          <cell r="G306" t="str">
            <v>Late</v>
          </cell>
          <cell r="H306" t="str">
            <v>L331967</v>
          </cell>
          <cell r="I306">
            <v>43811</v>
          </cell>
          <cell r="J306" t="str">
            <v>ATI</v>
          </cell>
          <cell r="K306" t="str">
            <v>D1912070</v>
          </cell>
          <cell r="L306">
            <v>3</v>
          </cell>
          <cell r="M306" t="str">
            <v>AAC82517-AB</v>
          </cell>
          <cell r="N306">
            <v>859298</v>
          </cell>
          <cell r="O306" t="str">
            <v xml:space="preserve">1.4401/1.4404 TP316/316L </v>
          </cell>
          <cell r="P306" t="str">
            <v>316L</v>
          </cell>
          <cell r="Q306">
            <v>3.77</v>
          </cell>
          <cell r="R306">
            <v>3.173</v>
          </cell>
          <cell r="S306">
            <v>2.7E-2</v>
          </cell>
          <cell r="T306">
            <v>2.4E-2</v>
          </cell>
          <cell r="V306">
            <v>2.4E-2</v>
          </cell>
          <cell r="X306">
            <v>4078</v>
          </cell>
          <cell r="Y306">
            <v>3</v>
          </cell>
          <cell r="Z306">
            <v>360.56587091069849</v>
          </cell>
          <cell r="AA306" t="str">
            <v>3.77X0.027-316L</v>
          </cell>
          <cell r="AB306" t="e">
            <v>#N/A</v>
          </cell>
          <cell r="AC306" t="str">
            <v>D1912070</v>
          </cell>
          <cell r="AD306">
            <v>859298</v>
          </cell>
          <cell r="AE306">
            <v>2.1999999999999999E-2</v>
          </cell>
          <cell r="AF306">
            <v>1.66</v>
          </cell>
          <cell r="AG306">
            <v>3.2000000000000001E-2</v>
          </cell>
          <cell r="AH306">
            <v>1E-4</v>
          </cell>
          <cell r="AI306">
            <v>0.47</v>
          </cell>
          <cell r="AJ306">
            <v>16.670000000000002</v>
          </cell>
          <cell r="AK306">
            <v>10.119999999999999</v>
          </cell>
          <cell r="AL306">
            <v>0.05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Y306" t="str">
            <v/>
          </cell>
          <cell r="AZ306">
            <v>2.1</v>
          </cell>
          <cell r="BA306" t="str">
            <v>D1912070</v>
          </cell>
          <cell r="BB306" t="str">
            <v>CONFORM</v>
          </cell>
          <cell r="BC306" t="str">
            <v>CONFORM</v>
          </cell>
          <cell r="BD306" t="str">
            <v>CONFORM</v>
          </cell>
          <cell r="BE306" t="str">
            <v>CONFORM</v>
          </cell>
          <cell r="BF306" t="str">
            <v>CONFORM</v>
          </cell>
        </row>
        <row r="307">
          <cell r="A307">
            <v>43815</v>
          </cell>
          <cell r="B307" t="str">
            <v>D1912071-1</v>
          </cell>
          <cell r="C307" t="str">
            <v>036/19</v>
          </cell>
          <cell r="D307">
            <v>1</v>
          </cell>
          <cell r="E307" t="str">
            <v>DECEMBER 2019</v>
          </cell>
          <cell r="F307" t="str">
            <v>DC</v>
          </cell>
          <cell r="G307" t="str">
            <v>Late</v>
          </cell>
          <cell r="H307" t="str">
            <v>L331967</v>
          </cell>
          <cell r="I307">
            <v>43811</v>
          </cell>
          <cell r="J307" t="str">
            <v>ATI</v>
          </cell>
          <cell r="K307" t="str">
            <v>D1912071</v>
          </cell>
          <cell r="L307">
            <v>1</v>
          </cell>
          <cell r="M307" t="str">
            <v>AAC82508-AA</v>
          </cell>
          <cell r="N307">
            <v>859296</v>
          </cell>
          <cell r="O307" t="str">
            <v xml:space="preserve">1.4401/1.4404 TP316/316L </v>
          </cell>
          <cell r="P307" t="str">
            <v>316L</v>
          </cell>
          <cell r="Q307">
            <v>3.77</v>
          </cell>
          <cell r="R307">
            <v>3.17</v>
          </cell>
          <cell r="S307">
            <v>2.7E-2</v>
          </cell>
          <cell r="T307">
            <v>2.5000000000000001E-2</v>
          </cell>
          <cell r="V307">
            <v>2.5000000000000001E-2</v>
          </cell>
          <cell r="X307">
            <v>4386</v>
          </cell>
          <cell r="Y307">
            <v>3</v>
          </cell>
          <cell r="Z307">
            <v>387.79840848806367</v>
          </cell>
          <cell r="AA307" t="str">
            <v>3.77X0.027-316L</v>
          </cell>
          <cell r="AB307" t="e">
            <v>#N/A</v>
          </cell>
          <cell r="AC307" t="str">
            <v>D1912071</v>
          </cell>
          <cell r="AD307">
            <v>859296</v>
          </cell>
          <cell r="AE307">
            <v>0.02</v>
          </cell>
          <cell r="AF307">
            <v>1.64</v>
          </cell>
          <cell r="AG307">
            <v>3.4000000000000002E-2</v>
          </cell>
          <cell r="AH307">
            <v>1E-4</v>
          </cell>
          <cell r="AI307">
            <v>0.37</v>
          </cell>
          <cell r="AJ307">
            <v>16.64</v>
          </cell>
          <cell r="AK307">
            <v>10.09</v>
          </cell>
          <cell r="AL307">
            <v>0.05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Y307" t="str">
            <v/>
          </cell>
          <cell r="AZ307">
            <v>2.1</v>
          </cell>
          <cell r="BA307" t="str">
            <v>D1912071</v>
          </cell>
          <cell r="BB307" t="str">
            <v>CONFORM</v>
          </cell>
          <cell r="BC307" t="str">
            <v>CONFORM</v>
          </cell>
          <cell r="BD307" t="str">
            <v>CONFORM</v>
          </cell>
          <cell r="BE307" t="str">
            <v>CONFORM</v>
          </cell>
          <cell r="BF307" t="str">
            <v>CONFORM</v>
          </cell>
        </row>
        <row r="308">
          <cell r="A308">
            <v>43815</v>
          </cell>
          <cell r="B308" t="str">
            <v>D1912072-1</v>
          </cell>
          <cell r="C308" t="str">
            <v>041/19</v>
          </cell>
          <cell r="D308">
            <v>2</v>
          </cell>
          <cell r="E308">
            <v>43837</v>
          </cell>
          <cell r="F308" t="str">
            <v>DC</v>
          </cell>
          <cell r="G308" t="str">
            <v>On Time</v>
          </cell>
          <cell r="H308" t="str">
            <v>L331967</v>
          </cell>
          <cell r="I308">
            <v>43811</v>
          </cell>
          <cell r="J308" t="str">
            <v>ATI</v>
          </cell>
          <cell r="K308" t="str">
            <v>D1912072</v>
          </cell>
          <cell r="L308">
            <v>1</v>
          </cell>
          <cell r="M308" t="str">
            <v>AAC78544-BA</v>
          </cell>
          <cell r="N308">
            <v>858964</v>
          </cell>
          <cell r="O308" t="str">
            <v xml:space="preserve">1.4462 UNS S31803/S32205 </v>
          </cell>
          <cell r="P308" t="str">
            <v>2205</v>
          </cell>
          <cell r="Q308">
            <v>2.2759999999999998</v>
          </cell>
          <cell r="R308">
            <v>2.274</v>
          </cell>
          <cell r="S308">
            <v>6.3E-2</v>
          </cell>
          <cell r="T308">
            <v>6.4000000000000001E-2</v>
          </cell>
          <cell r="V308">
            <v>6.4000000000000001E-2</v>
          </cell>
          <cell r="X308">
            <v>3125</v>
          </cell>
          <cell r="Y308">
            <v>5</v>
          </cell>
          <cell r="Z308">
            <v>274.60456942003515</v>
          </cell>
          <cell r="AA308" t="str">
            <v>2.276X0.063-2205</v>
          </cell>
          <cell r="AB308" t="str">
            <v>WACN005780160B200012</v>
          </cell>
          <cell r="AC308" t="str">
            <v>D1912072</v>
          </cell>
          <cell r="AD308">
            <v>858964</v>
          </cell>
          <cell r="AE308">
            <v>2.4E-2</v>
          </cell>
          <cell r="AF308">
            <v>1.78</v>
          </cell>
          <cell r="AG308">
            <v>2.8000000000000001E-2</v>
          </cell>
          <cell r="AH308">
            <v>1E-4</v>
          </cell>
          <cell r="AI308">
            <v>0.56000000000000005</v>
          </cell>
          <cell r="AJ308">
            <v>22.4</v>
          </cell>
          <cell r="AK308">
            <v>5.33</v>
          </cell>
          <cell r="AL308">
            <v>0.17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Y308" t="str">
            <v/>
          </cell>
          <cell r="AZ308">
            <v>2.3391999999999999</v>
          </cell>
          <cell r="BA308" t="str">
            <v>D1912072</v>
          </cell>
          <cell r="BB308" t="str">
            <v>CONFORM</v>
          </cell>
          <cell r="BC308" t="str">
            <v>CONFORM</v>
          </cell>
          <cell r="BD308" t="str">
            <v>CONFORM</v>
          </cell>
          <cell r="BE308" t="str">
            <v>CONFORM</v>
          </cell>
          <cell r="BF308" t="str">
            <v>CONFORM</v>
          </cell>
        </row>
        <row r="309">
          <cell r="A309">
            <v>43815</v>
          </cell>
          <cell r="B309" t="str">
            <v>D1912072-2</v>
          </cell>
          <cell r="C309" t="str">
            <v>041/19</v>
          </cell>
          <cell r="D309">
            <v>2</v>
          </cell>
          <cell r="E309">
            <v>43837</v>
          </cell>
          <cell r="F309" t="str">
            <v>DC</v>
          </cell>
          <cell r="G309" t="str">
            <v>On Time</v>
          </cell>
          <cell r="H309" t="str">
            <v>L331967</v>
          </cell>
          <cell r="I309">
            <v>43811</v>
          </cell>
          <cell r="J309" t="str">
            <v>ATI</v>
          </cell>
          <cell r="K309" t="str">
            <v>D1912072</v>
          </cell>
          <cell r="L309">
            <v>2</v>
          </cell>
          <cell r="M309" t="str">
            <v>AAC78544-BA</v>
          </cell>
          <cell r="N309">
            <v>858964</v>
          </cell>
          <cell r="O309" t="str">
            <v xml:space="preserve">1.4462 UNS S31803/S32205 </v>
          </cell>
          <cell r="P309" t="str">
            <v>2205</v>
          </cell>
          <cell r="Q309">
            <v>2.2759999999999998</v>
          </cell>
          <cell r="R309">
            <v>2.2770000000000001</v>
          </cell>
          <cell r="S309">
            <v>6.3E-2</v>
          </cell>
          <cell r="T309">
            <v>6.3E-2</v>
          </cell>
          <cell r="V309">
            <v>6.3E-2</v>
          </cell>
          <cell r="X309">
            <v>3125</v>
          </cell>
          <cell r="Y309">
            <v>5</v>
          </cell>
          <cell r="Z309">
            <v>274.60456942003515</v>
          </cell>
          <cell r="AA309" t="str">
            <v>2.276X0.063-2205</v>
          </cell>
          <cell r="AB309" t="str">
            <v>WACN005780160B200012</v>
          </cell>
          <cell r="AC309" t="str">
            <v>D1912072</v>
          </cell>
          <cell r="AD309">
            <v>858964</v>
          </cell>
          <cell r="AE309">
            <v>2.4E-2</v>
          </cell>
          <cell r="AF309">
            <v>1.78</v>
          </cell>
          <cell r="AG309">
            <v>2.8000000000000001E-2</v>
          </cell>
          <cell r="AH309">
            <v>1E-4</v>
          </cell>
          <cell r="AI309">
            <v>0.56000000000000005</v>
          </cell>
          <cell r="AJ309">
            <v>22.4</v>
          </cell>
          <cell r="AK309">
            <v>5.33</v>
          </cell>
          <cell r="AL309">
            <v>0.17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Y309" t="str">
            <v/>
          </cell>
          <cell r="AZ309">
            <v>2.3391999999999999</v>
          </cell>
          <cell r="BA309" t="str">
            <v>D1912072</v>
          </cell>
          <cell r="BB309" t="str">
            <v>CONFORM</v>
          </cell>
          <cell r="BC309" t="str">
            <v>CONFORM</v>
          </cell>
          <cell r="BD309" t="str">
            <v>CONFORM</v>
          </cell>
          <cell r="BE309" t="str">
            <v>CONFORM</v>
          </cell>
          <cell r="BF309" t="str">
            <v>CONFORM</v>
          </cell>
        </row>
        <row r="310">
          <cell r="A310">
            <v>43815</v>
          </cell>
          <cell r="B310" t="str">
            <v>D1912072-3</v>
          </cell>
          <cell r="C310" t="str">
            <v>041/19</v>
          </cell>
          <cell r="D310">
            <v>2</v>
          </cell>
          <cell r="E310">
            <v>43837</v>
          </cell>
          <cell r="F310" t="str">
            <v>DC</v>
          </cell>
          <cell r="G310" t="str">
            <v>On Time</v>
          </cell>
          <cell r="H310" t="str">
            <v>L331967</v>
          </cell>
          <cell r="I310">
            <v>43811</v>
          </cell>
          <cell r="J310" t="str">
            <v>ATI</v>
          </cell>
          <cell r="K310" t="str">
            <v>D1912072</v>
          </cell>
          <cell r="L310">
            <v>3</v>
          </cell>
          <cell r="M310" t="str">
            <v>AAC78544-BB</v>
          </cell>
          <cell r="N310">
            <v>858964</v>
          </cell>
          <cell r="O310" t="str">
            <v xml:space="preserve">1.4462 UNS S31803/S32205 </v>
          </cell>
          <cell r="P310" t="str">
            <v>2205</v>
          </cell>
          <cell r="Q310">
            <v>2.2759999999999998</v>
          </cell>
          <cell r="R310">
            <v>2.2749999999999999</v>
          </cell>
          <cell r="S310">
            <v>6.3E-2</v>
          </cell>
          <cell r="T310">
            <v>6.2E-2</v>
          </cell>
          <cell r="V310">
            <v>6.2E-2</v>
          </cell>
          <cell r="X310">
            <v>3120</v>
          </cell>
          <cell r="Y310">
            <v>5</v>
          </cell>
          <cell r="Z310">
            <v>274.16520210896311</v>
          </cell>
          <cell r="AA310" t="str">
            <v>2.276X0.063-2205</v>
          </cell>
          <cell r="AB310" t="str">
            <v>WACN005780160B200012</v>
          </cell>
          <cell r="AC310" t="str">
            <v>D1912072</v>
          </cell>
          <cell r="AD310">
            <v>858964</v>
          </cell>
          <cell r="AE310">
            <v>2.4E-2</v>
          </cell>
          <cell r="AF310">
            <v>1.78</v>
          </cell>
          <cell r="AG310">
            <v>2.8000000000000001E-2</v>
          </cell>
          <cell r="AH310">
            <v>1E-4</v>
          </cell>
          <cell r="AI310">
            <v>0.56000000000000005</v>
          </cell>
          <cell r="AJ310">
            <v>22.4</v>
          </cell>
          <cell r="AK310">
            <v>5.33</v>
          </cell>
          <cell r="AL310">
            <v>0.17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Y310" t="str">
            <v/>
          </cell>
          <cell r="AZ310">
            <v>2.3391999999999999</v>
          </cell>
          <cell r="BA310" t="str">
            <v>D1912072</v>
          </cell>
          <cell r="BB310" t="str">
            <v>CONFORM</v>
          </cell>
          <cell r="BC310" t="str">
            <v>CONFORM</v>
          </cell>
          <cell r="BD310" t="str">
            <v>CONFORM</v>
          </cell>
          <cell r="BE310" t="str">
            <v>CONFORM</v>
          </cell>
          <cell r="BF310" t="str">
            <v>CONFORM</v>
          </cell>
        </row>
        <row r="311">
          <cell r="A311">
            <v>43815</v>
          </cell>
          <cell r="B311" t="str">
            <v>D1912072-4</v>
          </cell>
          <cell r="C311" t="str">
            <v>041/19</v>
          </cell>
          <cell r="D311">
            <v>2</v>
          </cell>
          <cell r="E311">
            <v>43837</v>
          </cell>
          <cell r="F311" t="str">
            <v>DC</v>
          </cell>
          <cell r="G311" t="str">
            <v>On Time</v>
          </cell>
          <cell r="H311" t="str">
            <v>L331967</v>
          </cell>
          <cell r="I311">
            <v>43811</v>
          </cell>
          <cell r="J311" t="str">
            <v>ATI</v>
          </cell>
          <cell r="K311" t="str">
            <v>D1912072</v>
          </cell>
          <cell r="L311">
            <v>4</v>
          </cell>
          <cell r="M311" t="str">
            <v>AAC78544-BB</v>
          </cell>
          <cell r="N311">
            <v>858964</v>
          </cell>
          <cell r="O311" t="str">
            <v xml:space="preserve">1.4462 UNS S31803/S32205 </v>
          </cell>
          <cell r="P311" t="str">
            <v>2205</v>
          </cell>
          <cell r="Q311">
            <v>2.2759999999999998</v>
          </cell>
          <cell r="R311">
            <v>2.2770000000000001</v>
          </cell>
          <cell r="S311">
            <v>6.3E-2</v>
          </cell>
          <cell r="T311">
            <v>6.4000000000000001E-2</v>
          </cell>
          <cell r="V311">
            <v>6.4000000000000001E-2</v>
          </cell>
          <cell r="X311">
            <v>3120</v>
          </cell>
          <cell r="Y311">
            <v>5</v>
          </cell>
          <cell r="Z311">
            <v>274.16520210896311</v>
          </cell>
          <cell r="AA311" t="str">
            <v>2.276X0.063-2205</v>
          </cell>
          <cell r="AB311" t="str">
            <v>WACN005780160B200012</v>
          </cell>
          <cell r="AC311" t="str">
            <v>D1912072</v>
          </cell>
          <cell r="AD311">
            <v>858964</v>
          </cell>
          <cell r="AE311">
            <v>2.4E-2</v>
          </cell>
          <cell r="AF311">
            <v>1.78</v>
          </cell>
          <cell r="AG311">
            <v>2.8000000000000001E-2</v>
          </cell>
          <cell r="AH311">
            <v>1E-4</v>
          </cell>
          <cell r="AI311">
            <v>0.56000000000000005</v>
          </cell>
          <cell r="AJ311">
            <v>22.4</v>
          </cell>
          <cell r="AK311">
            <v>5.33</v>
          </cell>
          <cell r="AL311">
            <v>0.17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Y311" t="str">
            <v/>
          </cell>
          <cell r="AZ311">
            <v>2.3391999999999999</v>
          </cell>
          <cell r="BA311" t="str">
            <v>D1912072</v>
          </cell>
          <cell r="BB311" t="str">
            <v>CONFORM</v>
          </cell>
          <cell r="BC311" t="str">
            <v>CONFORM</v>
          </cell>
          <cell r="BD311" t="str">
            <v>CONFORM</v>
          </cell>
          <cell r="BE311" t="str">
            <v>CONFORM</v>
          </cell>
          <cell r="BF311" t="str">
            <v>CONFORM</v>
          </cell>
        </row>
        <row r="312">
          <cell r="A312">
            <v>43836</v>
          </cell>
          <cell r="B312" t="str">
            <v>D2001001-1</v>
          </cell>
          <cell r="C312" t="str">
            <v>045/19</v>
          </cell>
          <cell r="D312">
            <v>8</v>
          </cell>
          <cell r="E312" t="str">
            <v>JANUARY 2020</v>
          </cell>
          <cell r="F312" t="str">
            <v>DC</v>
          </cell>
          <cell r="G312" t="str">
            <v>On Time</v>
          </cell>
          <cell r="H312" t="str">
            <v>045/19</v>
          </cell>
          <cell r="I312">
            <v>43810</v>
          </cell>
          <cell r="J312" t="str">
            <v>ADTI</v>
          </cell>
          <cell r="K312" t="str">
            <v>D2001001</v>
          </cell>
          <cell r="L312">
            <v>1</v>
          </cell>
          <cell r="M312" t="str">
            <v>A1907108</v>
          </cell>
          <cell r="N312">
            <v>590347</v>
          </cell>
          <cell r="O312" t="str">
            <v xml:space="preserve">1.4462 UNS S31803/S32205 </v>
          </cell>
          <cell r="P312" t="str">
            <v>2205</v>
          </cell>
          <cell r="Q312">
            <v>3.0710000000000002</v>
          </cell>
          <cell r="R312">
            <v>3.0710000000000002</v>
          </cell>
          <cell r="S312">
            <v>6.3E-2</v>
          </cell>
          <cell r="T312">
            <v>6.3E-2</v>
          </cell>
          <cell r="V312">
            <v>6.3E-2</v>
          </cell>
          <cell r="X312">
            <v>2976</v>
          </cell>
          <cell r="Y312">
            <v>2</v>
          </cell>
          <cell r="Z312">
            <v>484.53272549658089</v>
          </cell>
          <cell r="AA312" t="str">
            <v>3.071X0.063-2205</v>
          </cell>
          <cell r="AB312" t="str">
            <v>WACN007800160B300055</v>
          </cell>
          <cell r="AC312" t="str">
            <v>D2001001</v>
          </cell>
          <cell r="AD312">
            <v>590347</v>
          </cell>
          <cell r="AE312">
            <v>1.4E-2</v>
          </cell>
          <cell r="AF312">
            <v>1.33</v>
          </cell>
          <cell r="AG312">
            <v>2.5999999999999999E-2</v>
          </cell>
          <cell r="AH312">
            <v>1E-3</v>
          </cell>
          <cell r="AI312">
            <v>0.34</v>
          </cell>
          <cell r="AJ312">
            <v>22.5</v>
          </cell>
          <cell r="AK312">
            <v>5.64</v>
          </cell>
          <cell r="AL312">
            <v>0.17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Y312" t="str">
            <v/>
          </cell>
          <cell r="AZ312">
            <v>2.3033000000000001</v>
          </cell>
          <cell r="BA312" t="str">
            <v>D2001001</v>
          </cell>
          <cell r="BB312" t="str">
            <v>CONFORM</v>
          </cell>
          <cell r="BC312" t="str">
            <v>CONFORM</v>
          </cell>
          <cell r="BD312" t="str">
            <v>CONFORM</v>
          </cell>
          <cell r="BE312" t="str">
            <v>CONFORM</v>
          </cell>
          <cell r="BF312" t="str">
            <v>CONFORM</v>
          </cell>
        </row>
        <row r="313">
          <cell r="A313">
            <v>43836</v>
          </cell>
          <cell r="B313" t="str">
            <v>D2001002-1</v>
          </cell>
          <cell r="C313" t="str">
            <v>045/19</v>
          </cell>
          <cell r="D313">
            <v>1</v>
          </cell>
          <cell r="E313" t="str">
            <v>JANUARY 2020</v>
          </cell>
          <cell r="F313" t="str">
            <v>DC</v>
          </cell>
          <cell r="G313" t="str">
            <v>On Time</v>
          </cell>
          <cell r="H313" t="str">
            <v>045/19</v>
          </cell>
          <cell r="I313">
            <v>43810</v>
          </cell>
          <cell r="J313" t="str">
            <v>ADTI</v>
          </cell>
          <cell r="K313" t="str">
            <v>D2001002</v>
          </cell>
          <cell r="L313">
            <v>1</v>
          </cell>
          <cell r="M313" t="str">
            <v>A1912022</v>
          </cell>
          <cell r="N313" t="str">
            <v>E34326</v>
          </cell>
          <cell r="O313" t="str">
            <v xml:space="preserve">1.4462 UNS S31803/S32205 </v>
          </cell>
          <cell r="P313" t="str">
            <v>2205</v>
          </cell>
          <cell r="Q313">
            <v>2.323</v>
          </cell>
          <cell r="R313">
            <v>2.323</v>
          </cell>
          <cell r="S313">
            <v>4.7E-2</v>
          </cell>
          <cell r="T313">
            <v>4.7E-2</v>
          </cell>
          <cell r="V313">
            <v>4.7E-2</v>
          </cell>
          <cell r="X313">
            <v>3929</v>
          </cell>
          <cell r="Y313">
            <v>4</v>
          </cell>
          <cell r="Z313">
            <v>422.83684890228153</v>
          </cell>
          <cell r="AA313" t="str">
            <v>2.323X0.047-2205</v>
          </cell>
          <cell r="AB313" t="str">
            <v>WACN005900120B300052</v>
          </cell>
          <cell r="AC313" t="str">
            <v>D2001002</v>
          </cell>
          <cell r="AD313" t="str">
            <v>E34326</v>
          </cell>
          <cell r="AE313">
            <v>0.01</v>
          </cell>
          <cell r="AF313">
            <v>1.81</v>
          </cell>
          <cell r="AG313">
            <v>2.5999999999999999E-2</v>
          </cell>
          <cell r="AH313">
            <v>1E-3</v>
          </cell>
          <cell r="AI313">
            <v>0.46</v>
          </cell>
          <cell r="AJ313">
            <v>22.6</v>
          </cell>
          <cell r="AK313">
            <v>5.8</v>
          </cell>
          <cell r="AL313">
            <v>0.17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Y313" t="str">
            <v/>
          </cell>
          <cell r="AZ313">
            <v>2.1215999999999999</v>
          </cell>
          <cell r="BA313" t="str">
            <v>D2001002</v>
          </cell>
          <cell r="BB313" t="str">
            <v>CONFORM</v>
          </cell>
          <cell r="BC313" t="str">
            <v>CONFORM</v>
          </cell>
          <cell r="BD313" t="str">
            <v>CONFORM</v>
          </cell>
          <cell r="BE313" t="str">
            <v>CONFORM</v>
          </cell>
          <cell r="BF313" t="str">
            <v>CONFORM</v>
          </cell>
        </row>
        <row r="314">
          <cell r="A314">
            <v>43836</v>
          </cell>
          <cell r="B314" t="str">
            <v>D2001002-2</v>
          </cell>
          <cell r="C314" t="str">
            <v>045/19</v>
          </cell>
          <cell r="D314">
            <v>2</v>
          </cell>
          <cell r="E314" t="str">
            <v>JANUARY 2020</v>
          </cell>
          <cell r="F314" t="str">
            <v>DC</v>
          </cell>
          <cell r="G314" t="str">
            <v>On Time</v>
          </cell>
          <cell r="H314" t="str">
            <v>045/19</v>
          </cell>
          <cell r="I314">
            <v>43810</v>
          </cell>
          <cell r="J314" t="str">
            <v>ADTI</v>
          </cell>
          <cell r="K314" t="str">
            <v>D2001002</v>
          </cell>
          <cell r="L314">
            <v>2</v>
          </cell>
          <cell r="M314" t="str">
            <v>A1912022</v>
          </cell>
          <cell r="N314" t="str">
            <v>E34326</v>
          </cell>
          <cell r="O314" t="str">
            <v xml:space="preserve">1.4462 UNS S31803/S32205 </v>
          </cell>
          <cell r="P314" t="str">
            <v>2205</v>
          </cell>
          <cell r="Q314">
            <v>2.323</v>
          </cell>
          <cell r="R314">
            <v>2.323</v>
          </cell>
          <cell r="S314">
            <v>4.7E-2</v>
          </cell>
          <cell r="T314">
            <v>4.7E-2</v>
          </cell>
          <cell r="V314">
            <v>4.7E-2</v>
          </cell>
          <cell r="X314">
            <v>4872</v>
          </cell>
          <cell r="Y314">
            <v>5</v>
          </cell>
          <cell r="Z314">
            <v>419.45759793370644</v>
          </cell>
          <cell r="AA314" t="str">
            <v>2.323X0.047-2205</v>
          </cell>
          <cell r="AB314" t="str">
            <v>WACN005900120B300052</v>
          </cell>
          <cell r="AC314" t="str">
            <v>D2001002</v>
          </cell>
          <cell r="AD314" t="str">
            <v>E34326</v>
          </cell>
          <cell r="AE314">
            <v>0.01</v>
          </cell>
          <cell r="AF314">
            <v>1.81</v>
          </cell>
          <cell r="AG314">
            <v>2.5999999999999999E-2</v>
          </cell>
          <cell r="AH314">
            <v>1E-3</v>
          </cell>
          <cell r="AI314">
            <v>0.46</v>
          </cell>
          <cell r="AJ314">
            <v>22.6</v>
          </cell>
          <cell r="AK314">
            <v>5.8</v>
          </cell>
          <cell r="AL314">
            <v>0.17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Y314" t="str">
            <v/>
          </cell>
          <cell r="AZ314">
            <v>2.1219000000000001</v>
          </cell>
          <cell r="BA314" t="str">
            <v>D2001002</v>
          </cell>
          <cell r="BB314" t="str">
            <v>CONFORM</v>
          </cell>
          <cell r="BC314" t="str">
            <v>CONFORM</v>
          </cell>
          <cell r="BD314" t="str">
            <v>CONFORM</v>
          </cell>
          <cell r="BE314" t="str">
            <v>CONFORM</v>
          </cell>
          <cell r="BF314" t="str">
            <v>CONFORM</v>
          </cell>
        </row>
        <row r="315">
          <cell r="A315">
            <v>43836</v>
          </cell>
          <cell r="B315" t="str">
            <v>D2001003-1</v>
          </cell>
          <cell r="C315" t="str">
            <v>045/19</v>
          </cell>
          <cell r="D315">
            <v>9</v>
          </cell>
          <cell r="E315" t="str">
            <v>JANUARY 2020</v>
          </cell>
          <cell r="F315" t="str">
            <v>DC</v>
          </cell>
          <cell r="G315" t="str">
            <v>On Time</v>
          </cell>
          <cell r="H315" t="str">
            <v>045/19</v>
          </cell>
          <cell r="I315">
            <v>43810</v>
          </cell>
          <cell r="J315" t="str">
            <v>ADTI</v>
          </cell>
          <cell r="K315" t="str">
            <v>D2001003</v>
          </cell>
          <cell r="L315">
            <v>1</v>
          </cell>
          <cell r="M315" t="str">
            <v>A1912014</v>
          </cell>
          <cell r="N315" t="str">
            <v>E34326</v>
          </cell>
          <cell r="O315" t="str">
            <v xml:space="preserve">1.4462 UNS S31803/S32205 </v>
          </cell>
          <cell r="P315" t="str">
            <v>2205</v>
          </cell>
          <cell r="Q315">
            <v>3.1539999999999999</v>
          </cell>
          <cell r="R315">
            <v>3.1539999999999999</v>
          </cell>
          <cell r="S315">
            <v>3.5000000000000003E-2</v>
          </cell>
          <cell r="T315">
            <v>3.5000000000000003E-2</v>
          </cell>
          <cell r="V315">
            <v>3.5000000000000003E-2</v>
          </cell>
          <cell r="X315">
            <v>3126</v>
          </cell>
          <cell r="Y315">
            <v>2</v>
          </cell>
          <cell r="Z315">
            <v>495.56119213696894</v>
          </cell>
          <cell r="AA315" t="str">
            <v>3.154X0.035-2205</v>
          </cell>
          <cell r="AB315" t="str">
            <v>WACN008010089B300056</v>
          </cell>
          <cell r="AC315" t="str">
            <v>D2001003</v>
          </cell>
          <cell r="AD315" t="str">
            <v>E34326</v>
          </cell>
          <cell r="AE315">
            <v>0.01</v>
          </cell>
          <cell r="AF315">
            <v>1.81</v>
          </cell>
          <cell r="AG315">
            <v>2.5999999999999999E-2</v>
          </cell>
          <cell r="AH315">
            <v>1E-3</v>
          </cell>
          <cell r="AI315">
            <v>0.46</v>
          </cell>
          <cell r="AJ315">
            <v>22.6</v>
          </cell>
          <cell r="AK315">
            <v>5.8</v>
          </cell>
          <cell r="AL315">
            <v>0.17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Y315" t="str">
            <v/>
          </cell>
          <cell r="AZ315">
            <v>2.33</v>
          </cell>
          <cell r="BA315" t="str">
            <v>D2001003</v>
          </cell>
          <cell r="BB315" t="str">
            <v>CONFORM</v>
          </cell>
          <cell r="BC315" t="str">
            <v>CONFORM</v>
          </cell>
          <cell r="BD315" t="str">
            <v>CONFORM</v>
          </cell>
          <cell r="BE315" t="str">
            <v>CONFORM</v>
          </cell>
          <cell r="BF315" t="str">
            <v>CONFORM</v>
          </cell>
        </row>
        <row r="316">
          <cell r="A316">
            <v>43836</v>
          </cell>
          <cell r="B316" t="str">
            <v>D2001003-2</v>
          </cell>
          <cell r="C316" t="str">
            <v>045/19</v>
          </cell>
          <cell r="D316">
            <v>10</v>
          </cell>
          <cell r="E316" t="str">
            <v>JANUARY 2020</v>
          </cell>
          <cell r="F316" t="str">
            <v>DC</v>
          </cell>
          <cell r="G316" t="str">
            <v>On Time</v>
          </cell>
          <cell r="H316" t="str">
            <v>045/19</v>
          </cell>
          <cell r="I316">
            <v>43810</v>
          </cell>
          <cell r="J316" t="str">
            <v>ADTI</v>
          </cell>
          <cell r="K316" t="str">
            <v>D2001003</v>
          </cell>
          <cell r="L316">
            <v>2</v>
          </cell>
          <cell r="M316" t="str">
            <v>A1912014</v>
          </cell>
          <cell r="N316" t="str">
            <v>E34326</v>
          </cell>
          <cell r="O316" t="str">
            <v xml:space="preserve">1.4462 UNS S31803/S32205 </v>
          </cell>
          <cell r="P316" t="str">
            <v>2205</v>
          </cell>
          <cell r="Q316">
            <v>3.1539999999999999</v>
          </cell>
          <cell r="R316">
            <v>3.1539999999999999</v>
          </cell>
          <cell r="S316">
            <v>3.5000000000000003E-2</v>
          </cell>
          <cell r="T316">
            <v>3.5000000000000003E-2</v>
          </cell>
          <cell r="V316">
            <v>3.5000000000000003E-2</v>
          </cell>
          <cell r="X316">
            <v>6266</v>
          </cell>
          <cell r="Y316">
            <v>4</v>
          </cell>
          <cell r="Z316">
            <v>496.67089410272672</v>
          </cell>
          <cell r="AA316" t="str">
            <v>3.154X0.035-2205</v>
          </cell>
          <cell r="AB316" t="str">
            <v>WACN008010089B300056</v>
          </cell>
          <cell r="AC316" t="str">
            <v>D2001003</v>
          </cell>
          <cell r="AD316" t="str">
            <v>E34326</v>
          </cell>
          <cell r="AE316">
            <v>0.01</v>
          </cell>
          <cell r="AF316">
            <v>1.81</v>
          </cell>
          <cell r="AG316">
            <v>2.5999999999999999E-2</v>
          </cell>
          <cell r="AH316">
            <v>1E-3</v>
          </cell>
          <cell r="AI316">
            <v>0.46</v>
          </cell>
          <cell r="AJ316">
            <v>22.6</v>
          </cell>
          <cell r="AK316">
            <v>5.8</v>
          </cell>
          <cell r="AL316">
            <v>0.17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Y316" t="str">
            <v/>
          </cell>
          <cell r="AZ316">
            <v>2.33</v>
          </cell>
          <cell r="BA316" t="str">
            <v>D2001003</v>
          </cell>
          <cell r="BB316" t="str">
            <v>CONFORM</v>
          </cell>
          <cell r="BC316" t="str">
            <v>CONFORM</v>
          </cell>
          <cell r="BD316" t="str">
            <v>CONFORM</v>
          </cell>
          <cell r="BE316" t="str">
            <v>CONFORM</v>
          </cell>
          <cell r="BF316" t="str">
            <v>CONFORM</v>
          </cell>
        </row>
        <row r="317">
          <cell r="A317">
            <v>43836</v>
          </cell>
          <cell r="B317" t="str">
            <v>D2001004-1</v>
          </cell>
          <cell r="C317" t="str">
            <v>045/19</v>
          </cell>
          <cell r="D317">
            <v>3</v>
          </cell>
          <cell r="E317" t="str">
            <v>JANUARY 2020</v>
          </cell>
          <cell r="F317" t="str">
            <v>DC</v>
          </cell>
          <cell r="G317" t="str">
            <v>On Time</v>
          </cell>
          <cell r="H317" t="str">
            <v>045/19</v>
          </cell>
          <cell r="I317">
            <v>43810</v>
          </cell>
          <cell r="J317" t="str">
            <v>ADTI</v>
          </cell>
          <cell r="K317" t="str">
            <v>D2001004</v>
          </cell>
          <cell r="L317">
            <v>1</v>
          </cell>
          <cell r="M317" t="str">
            <v>A1912036</v>
          </cell>
          <cell r="N317" t="str">
            <v>Y190401E06</v>
          </cell>
          <cell r="O317" t="str">
            <v xml:space="preserve">1.4306 TP304L </v>
          </cell>
          <cell r="P317" t="str">
            <v>304L</v>
          </cell>
          <cell r="Q317">
            <v>1.948</v>
          </cell>
          <cell r="R317">
            <v>1.948</v>
          </cell>
          <cell r="S317">
            <v>3.5000000000000003E-2</v>
          </cell>
          <cell r="T317">
            <v>3.5000000000000003E-2</v>
          </cell>
          <cell r="V317">
            <v>3.5000000000000003E-2</v>
          </cell>
          <cell r="X317">
            <v>2875</v>
          </cell>
          <cell r="Y317">
            <v>4</v>
          </cell>
          <cell r="Z317">
            <v>368.96817248459962</v>
          </cell>
          <cell r="AA317" t="str">
            <v>1.948X0.035-304L</v>
          </cell>
          <cell r="AB317" t="str">
            <v>WAAC004950089B200032</v>
          </cell>
          <cell r="AC317" t="str">
            <v>D2001004</v>
          </cell>
          <cell r="AD317" t="str">
            <v>Y190401E06</v>
          </cell>
          <cell r="AE317">
            <v>1.7999999999999999E-2</v>
          </cell>
          <cell r="AF317">
            <v>1.42</v>
          </cell>
          <cell r="AG317">
            <v>3.0000000000000001E-3</v>
          </cell>
          <cell r="AH317">
            <v>2E-3</v>
          </cell>
          <cell r="AI317">
            <v>0.44</v>
          </cell>
          <cell r="AJ317">
            <v>18.18</v>
          </cell>
          <cell r="AK317">
            <v>8.02</v>
          </cell>
          <cell r="AL317">
            <v>5.2999999999999999E-2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Y317" t="str">
            <v/>
          </cell>
          <cell r="AZ317">
            <v>1.1384000000000001</v>
          </cell>
          <cell r="BA317" t="str">
            <v>D2001004</v>
          </cell>
          <cell r="BB317" t="str">
            <v>CONFORM</v>
          </cell>
          <cell r="BC317" t="str">
            <v>CONFORM</v>
          </cell>
          <cell r="BD317" t="str">
            <v>CONFORM</v>
          </cell>
          <cell r="BE317" t="str">
            <v>CONFORM</v>
          </cell>
          <cell r="BF317" t="str">
            <v>CONFORM</v>
          </cell>
        </row>
        <row r="318">
          <cell r="A318">
            <v>43836</v>
          </cell>
          <cell r="B318" t="str">
            <v>D2001004-2</v>
          </cell>
          <cell r="C318" t="str">
            <v>045/19</v>
          </cell>
          <cell r="D318">
            <v>4</v>
          </cell>
          <cell r="E318" t="str">
            <v>JANUARY 2020</v>
          </cell>
          <cell r="F318" t="str">
            <v>DC</v>
          </cell>
          <cell r="G318" t="str">
            <v>On Time</v>
          </cell>
          <cell r="H318" t="str">
            <v>045/19</v>
          </cell>
          <cell r="I318">
            <v>43810</v>
          </cell>
          <cell r="J318" t="str">
            <v>ADTI</v>
          </cell>
          <cell r="K318" t="str">
            <v>D2001004</v>
          </cell>
          <cell r="L318">
            <v>2</v>
          </cell>
          <cell r="M318" t="str">
            <v>A1912036</v>
          </cell>
          <cell r="N318" t="str">
            <v>Y190401E06</v>
          </cell>
          <cell r="O318" t="str">
            <v xml:space="preserve">1.4306 TP304L </v>
          </cell>
          <cell r="P318" t="str">
            <v>304L</v>
          </cell>
          <cell r="Q318">
            <v>1.948</v>
          </cell>
          <cell r="R318">
            <v>1.948</v>
          </cell>
          <cell r="S318">
            <v>3.5000000000000003E-2</v>
          </cell>
          <cell r="T318">
            <v>3.5000000000000003E-2</v>
          </cell>
          <cell r="V318">
            <v>3.5000000000000003E-2</v>
          </cell>
          <cell r="X318">
            <v>2875</v>
          </cell>
          <cell r="Y318">
            <v>4</v>
          </cell>
          <cell r="Z318">
            <v>368.96817248459962</v>
          </cell>
          <cell r="AA318" t="str">
            <v>1.948X0.035-304L</v>
          </cell>
          <cell r="AB318" t="str">
            <v>WAAC004950089B200032</v>
          </cell>
          <cell r="AC318" t="str">
            <v>D2001004</v>
          </cell>
          <cell r="AD318" t="str">
            <v>Y190401E06</v>
          </cell>
          <cell r="AE318">
            <v>1.7999999999999999E-2</v>
          </cell>
          <cell r="AF318">
            <v>1.42</v>
          </cell>
          <cell r="AG318">
            <v>3.0000000000000001E-3</v>
          </cell>
          <cell r="AH318">
            <v>2E-3</v>
          </cell>
          <cell r="AI318">
            <v>0.44</v>
          </cell>
          <cell r="AJ318">
            <v>18.18</v>
          </cell>
          <cell r="AK318">
            <v>8.02</v>
          </cell>
          <cell r="AL318">
            <v>5.2999999999999999E-2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Y318" t="str">
            <v/>
          </cell>
          <cell r="AZ318">
            <v>1.1384000000000001</v>
          </cell>
          <cell r="BA318" t="str">
            <v>D2001004</v>
          </cell>
          <cell r="BB318" t="str">
            <v>CONFORM</v>
          </cell>
          <cell r="BC318" t="str">
            <v>CONFORM</v>
          </cell>
          <cell r="BD318" t="str">
            <v>CONFORM</v>
          </cell>
          <cell r="BE318" t="str">
            <v>CONFORM</v>
          </cell>
          <cell r="BF318" t="str">
            <v>CONFORM</v>
          </cell>
        </row>
        <row r="319">
          <cell r="A319">
            <v>43836</v>
          </cell>
          <cell r="B319" t="str">
            <v>D2001004-3</v>
          </cell>
          <cell r="C319" t="str">
            <v>045/19</v>
          </cell>
          <cell r="D319">
            <v>5</v>
          </cell>
          <cell r="E319" t="str">
            <v>JANUARY 2020</v>
          </cell>
          <cell r="F319" t="str">
            <v>DC</v>
          </cell>
          <cell r="G319" t="str">
            <v>On Time</v>
          </cell>
          <cell r="H319" t="str">
            <v>045/19</v>
          </cell>
          <cell r="I319">
            <v>43810</v>
          </cell>
          <cell r="J319" t="str">
            <v>ADTI</v>
          </cell>
          <cell r="K319" t="str">
            <v>D2001004</v>
          </cell>
          <cell r="L319">
            <v>3</v>
          </cell>
          <cell r="M319" t="str">
            <v>A1912036</v>
          </cell>
          <cell r="N319" t="str">
            <v>Y190401E06</v>
          </cell>
          <cell r="O319" t="str">
            <v xml:space="preserve">1.4306 TP304L </v>
          </cell>
          <cell r="P319" t="str">
            <v>304L</v>
          </cell>
          <cell r="Q319">
            <v>1.948</v>
          </cell>
          <cell r="R319">
            <v>1.948</v>
          </cell>
          <cell r="S319">
            <v>3.5000000000000003E-2</v>
          </cell>
          <cell r="T319">
            <v>3.5000000000000003E-2</v>
          </cell>
          <cell r="V319">
            <v>3.5000000000000003E-2</v>
          </cell>
          <cell r="X319">
            <v>2862</v>
          </cell>
          <cell r="Y319">
            <v>4</v>
          </cell>
          <cell r="Z319">
            <v>367.29979466119096</v>
          </cell>
          <cell r="AA319" t="str">
            <v>1.948X0.035-304L</v>
          </cell>
          <cell r="AB319" t="str">
            <v>WAAC004950089B200032</v>
          </cell>
          <cell r="AC319" t="str">
            <v>D2001004</v>
          </cell>
          <cell r="AD319" t="str">
            <v>Y190401E06</v>
          </cell>
          <cell r="AE319">
            <v>1.7999999999999999E-2</v>
          </cell>
          <cell r="AF319">
            <v>1.42</v>
          </cell>
          <cell r="AG319">
            <v>3.0000000000000001E-3</v>
          </cell>
          <cell r="AH319">
            <v>2E-3</v>
          </cell>
          <cell r="AI319">
            <v>0.44</v>
          </cell>
          <cell r="AJ319">
            <v>18.18</v>
          </cell>
          <cell r="AK319">
            <v>8.02</v>
          </cell>
          <cell r="AL319">
            <v>5.2999999999999999E-2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Y319" t="str">
            <v/>
          </cell>
          <cell r="AZ319">
            <v>1.1384000000000001</v>
          </cell>
          <cell r="BA319" t="str">
            <v>D2001004</v>
          </cell>
          <cell r="BB319" t="str">
            <v>CONFORM</v>
          </cell>
          <cell r="BC319" t="str">
            <v>CONFORM</v>
          </cell>
          <cell r="BD319" t="str">
            <v>CONFORM</v>
          </cell>
          <cell r="BE319" t="str">
            <v>CONFORM</v>
          </cell>
          <cell r="BF319" t="str">
            <v>CONFORM</v>
          </cell>
        </row>
        <row r="320">
          <cell r="A320">
            <v>43836</v>
          </cell>
          <cell r="B320" t="str">
            <v>D2001004-4</v>
          </cell>
          <cell r="C320" t="str">
            <v>045/19</v>
          </cell>
          <cell r="D320">
            <v>6</v>
          </cell>
          <cell r="E320" t="str">
            <v>JANUARY 2020</v>
          </cell>
          <cell r="F320" t="str">
            <v>DC</v>
          </cell>
          <cell r="G320" t="str">
            <v>On Time</v>
          </cell>
          <cell r="H320" t="str">
            <v>045/19</v>
          </cell>
          <cell r="I320">
            <v>43810</v>
          </cell>
          <cell r="J320" t="str">
            <v>ADTI</v>
          </cell>
          <cell r="K320" t="str">
            <v>D2001004</v>
          </cell>
          <cell r="L320">
            <v>4</v>
          </cell>
          <cell r="M320" t="str">
            <v>A1912036</v>
          </cell>
          <cell r="N320" t="str">
            <v>Y190401E06</v>
          </cell>
          <cell r="O320" t="str">
            <v xml:space="preserve">1.4306 TP304L </v>
          </cell>
          <cell r="P320" t="str">
            <v>304L</v>
          </cell>
          <cell r="Q320">
            <v>1.948</v>
          </cell>
          <cell r="R320">
            <v>1.948</v>
          </cell>
          <cell r="S320">
            <v>3.5000000000000003E-2</v>
          </cell>
          <cell r="T320">
            <v>3.5000000000000003E-2</v>
          </cell>
          <cell r="V320">
            <v>3.5000000000000003E-2</v>
          </cell>
          <cell r="X320">
            <v>2138</v>
          </cell>
          <cell r="Y320">
            <v>3</v>
          </cell>
          <cell r="Z320">
            <v>365.84531143052703</v>
          </cell>
          <cell r="AA320" t="str">
            <v>1.948X0.035-304L</v>
          </cell>
          <cell r="AB320" t="str">
            <v>WAAC004950089B200032</v>
          </cell>
          <cell r="AC320" t="str">
            <v>D2001004</v>
          </cell>
          <cell r="AD320" t="str">
            <v>Y190401E06</v>
          </cell>
          <cell r="AE320">
            <v>1.7999999999999999E-2</v>
          </cell>
          <cell r="AF320">
            <v>1.42</v>
          </cell>
          <cell r="AG320">
            <v>3.0000000000000001E-3</v>
          </cell>
          <cell r="AH320">
            <v>2E-3</v>
          </cell>
          <cell r="AI320">
            <v>0.44</v>
          </cell>
          <cell r="AJ320">
            <v>18.18</v>
          </cell>
          <cell r="AK320">
            <v>8.02</v>
          </cell>
          <cell r="AL320">
            <v>5.2999999999999999E-2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Y320" t="str">
            <v/>
          </cell>
          <cell r="AZ320">
            <v>1.1387</v>
          </cell>
          <cell r="BA320" t="str">
            <v>D2001004</v>
          </cell>
          <cell r="BB320" t="str">
            <v>CONFORM</v>
          </cell>
          <cell r="BC320" t="str">
            <v>CONFORM</v>
          </cell>
          <cell r="BD320" t="str">
            <v>CONFORM</v>
          </cell>
          <cell r="BE320" t="str">
            <v>CONFORM</v>
          </cell>
          <cell r="BF320" t="str">
            <v>CONFORM</v>
          </cell>
        </row>
        <row r="321">
          <cell r="A321">
            <v>43836</v>
          </cell>
          <cell r="B321" t="str">
            <v>D2001004-5</v>
          </cell>
          <cell r="C321" t="str">
            <v>045/19</v>
          </cell>
          <cell r="D321">
            <v>7</v>
          </cell>
          <cell r="E321" t="str">
            <v>JANUARY 2020</v>
          </cell>
          <cell r="F321" t="str">
            <v>DC</v>
          </cell>
          <cell r="G321" t="str">
            <v>On Time</v>
          </cell>
          <cell r="H321" t="str">
            <v>045/19</v>
          </cell>
          <cell r="I321">
            <v>43810</v>
          </cell>
          <cell r="J321" t="str">
            <v>ADTI</v>
          </cell>
          <cell r="K321" t="str">
            <v>D2001004</v>
          </cell>
          <cell r="L321">
            <v>5</v>
          </cell>
          <cell r="M321" t="str">
            <v>A1912036</v>
          </cell>
          <cell r="N321" t="str">
            <v>Y190401E06</v>
          </cell>
          <cell r="O321" t="str">
            <v xml:space="preserve">1.4306 TP304L </v>
          </cell>
          <cell r="P321" t="str">
            <v>304L</v>
          </cell>
          <cell r="Q321">
            <v>1.948</v>
          </cell>
          <cell r="R321">
            <v>1.948</v>
          </cell>
          <cell r="S321">
            <v>3.5000000000000003E-2</v>
          </cell>
          <cell r="T321">
            <v>3.5000000000000003E-2</v>
          </cell>
          <cell r="V321">
            <v>3.5000000000000003E-2</v>
          </cell>
          <cell r="X321">
            <v>2875</v>
          </cell>
          <cell r="Y321">
            <v>4</v>
          </cell>
          <cell r="Z321">
            <v>368.96817248459962</v>
          </cell>
          <cell r="AA321" t="str">
            <v>1.948X0.035-304L</v>
          </cell>
          <cell r="AB321" t="str">
            <v>WAAC004950089B200032</v>
          </cell>
          <cell r="AC321" t="str">
            <v>D2001004</v>
          </cell>
          <cell r="AD321" t="str">
            <v>Y190401E06</v>
          </cell>
          <cell r="AE321">
            <v>1.7999999999999999E-2</v>
          </cell>
          <cell r="AF321">
            <v>1.42</v>
          </cell>
          <cell r="AG321">
            <v>3.0000000000000001E-3</v>
          </cell>
          <cell r="AH321">
            <v>2E-3</v>
          </cell>
          <cell r="AI321">
            <v>0.44</v>
          </cell>
          <cell r="AJ321">
            <v>18.18</v>
          </cell>
          <cell r="AK321">
            <v>8.02</v>
          </cell>
          <cell r="AL321">
            <v>5.2999999999999999E-2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Y321" t="str">
            <v/>
          </cell>
          <cell r="AZ321">
            <v>1.1387</v>
          </cell>
          <cell r="BA321" t="str">
            <v>D2001004</v>
          </cell>
          <cell r="BB321" t="str">
            <v>CONFORM</v>
          </cell>
          <cell r="BC321" t="str">
            <v>CONFORM</v>
          </cell>
          <cell r="BD321" t="str">
            <v>CONFORM</v>
          </cell>
          <cell r="BE321" t="str">
            <v>CONFORM</v>
          </cell>
          <cell r="BF321" t="str">
            <v>CONFORM</v>
          </cell>
        </row>
        <row r="322">
          <cell r="A322">
            <v>43836</v>
          </cell>
          <cell r="B322" t="str">
            <v>D2001004-6</v>
          </cell>
          <cell r="C322" t="str">
            <v>045/19</v>
          </cell>
          <cell r="D322">
            <v>7</v>
          </cell>
          <cell r="E322" t="str">
            <v>JANUARY 2020</v>
          </cell>
          <cell r="F322" t="str">
            <v>DC</v>
          </cell>
          <cell r="G322" t="str">
            <v>On Time</v>
          </cell>
          <cell r="H322" t="str">
            <v>045/19</v>
          </cell>
          <cell r="I322">
            <v>43810</v>
          </cell>
          <cell r="J322" t="str">
            <v>ADTI</v>
          </cell>
          <cell r="K322" t="str">
            <v>D2001004</v>
          </cell>
          <cell r="L322">
            <v>6</v>
          </cell>
          <cell r="M322" t="str">
            <v>A1912036</v>
          </cell>
          <cell r="N322" t="str">
            <v>Y190401E06</v>
          </cell>
          <cell r="O322" t="str">
            <v xml:space="preserve">1.4306 TP304L </v>
          </cell>
          <cell r="P322" t="str">
            <v>304L</v>
          </cell>
          <cell r="Q322">
            <v>1.948</v>
          </cell>
          <cell r="R322">
            <v>1.948</v>
          </cell>
          <cell r="S322">
            <v>3.5000000000000003E-2</v>
          </cell>
          <cell r="T322">
            <v>3.5000000000000003E-2</v>
          </cell>
          <cell r="V322">
            <v>3.5000000000000003E-2</v>
          </cell>
          <cell r="X322">
            <v>2138</v>
          </cell>
          <cell r="Y322">
            <v>3</v>
          </cell>
          <cell r="Z322">
            <v>365.84531143052703</v>
          </cell>
          <cell r="AA322" t="str">
            <v>1.948X0.035-304L</v>
          </cell>
          <cell r="AB322" t="str">
            <v>WAAC004950089B200032</v>
          </cell>
          <cell r="AC322" t="str">
            <v>D2001004</v>
          </cell>
          <cell r="AD322" t="str">
            <v>Y190401E06</v>
          </cell>
          <cell r="AE322">
            <v>1.7999999999999999E-2</v>
          </cell>
          <cell r="AF322">
            <v>1.42</v>
          </cell>
          <cell r="AG322">
            <v>3.0000000000000001E-3</v>
          </cell>
          <cell r="AH322">
            <v>2E-3</v>
          </cell>
          <cell r="AI322">
            <v>0.44</v>
          </cell>
          <cell r="AJ322">
            <v>18.18</v>
          </cell>
          <cell r="AK322">
            <v>8.02</v>
          </cell>
          <cell r="AL322">
            <v>5.2999999999999999E-2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Y322" t="str">
            <v/>
          </cell>
          <cell r="AZ322">
            <v>1.1387</v>
          </cell>
          <cell r="BA322" t="str">
            <v>D2001004</v>
          </cell>
          <cell r="BB322" t="str">
            <v>CONFORM</v>
          </cell>
          <cell r="BC322" t="str">
            <v>CONFORM</v>
          </cell>
          <cell r="BD322" t="str">
            <v>CONFORM</v>
          </cell>
          <cell r="BE322" t="str">
            <v>CONFORM</v>
          </cell>
          <cell r="BF322" t="str">
            <v>CONFORM</v>
          </cell>
        </row>
        <row r="323">
          <cell r="A323">
            <v>43845</v>
          </cell>
          <cell r="B323" t="str">
            <v>D2001064-1</v>
          </cell>
          <cell r="C323" t="str">
            <v>004/20</v>
          </cell>
          <cell r="D323">
            <v>1</v>
          </cell>
          <cell r="E323">
            <v>0</v>
          </cell>
          <cell r="F323" t="str">
            <v>DC</v>
          </cell>
          <cell r="G323" t="str">
            <v>Late</v>
          </cell>
          <cell r="H323">
            <v>20200115019</v>
          </cell>
          <cell r="I323">
            <v>43845</v>
          </cell>
          <cell r="J323" t="str">
            <v>COILPLUS</v>
          </cell>
          <cell r="K323" t="str">
            <v>D2001064</v>
          </cell>
          <cell r="L323">
            <v>1</v>
          </cell>
          <cell r="M323" t="str">
            <v>A266324</v>
          </cell>
          <cell r="N323">
            <v>527212</v>
          </cell>
          <cell r="O323" t="str">
            <v xml:space="preserve">1.4306 TP304L </v>
          </cell>
          <cell r="P323" t="str">
            <v>304L</v>
          </cell>
          <cell r="Q323">
            <v>1.948</v>
          </cell>
          <cell r="R323">
            <v>1.946</v>
          </cell>
          <cell r="S323">
            <v>3.5000000000000003E-2</v>
          </cell>
          <cell r="T323">
            <v>3.4000000000000002E-2</v>
          </cell>
          <cell r="V323">
            <v>3.4000000000000002E-2</v>
          </cell>
          <cell r="X323">
            <v>5186</v>
          </cell>
          <cell r="Y323">
            <v>6</v>
          </cell>
          <cell r="Z323">
            <v>443.70294318959617</v>
          </cell>
          <cell r="AA323" t="str">
            <v>1.948X0.035-304L</v>
          </cell>
          <cell r="AB323" t="str">
            <v>WAAC004950089B200032</v>
          </cell>
          <cell r="AC323" t="str">
            <v>D2001064</v>
          </cell>
          <cell r="AD323">
            <v>527212</v>
          </cell>
          <cell r="AE323">
            <v>2.1999999999999999E-2</v>
          </cell>
          <cell r="AF323">
            <v>1.48</v>
          </cell>
          <cell r="AG323">
            <v>3.3000000000000002E-2</v>
          </cell>
          <cell r="AH323">
            <v>8.0000000000000004E-4</v>
          </cell>
          <cell r="AI323">
            <v>0.35</v>
          </cell>
          <cell r="AJ323">
            <v>18.16</v>
          </cell>
          <cell r="AK323">
            <v>8.0299999999999994</v>
          </cell>
          <cell r="AL323">
            <v>6.6000000000000003E-2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T323">
            <v>281</v>
          </cell>
          <cell r="AU323">
            <v>0</v>
          </cell>
          <cell r="AV323">
            <v>635</v>
          </cell>
          <cell r="AW323">
            <v>57</v>
          </cell>
          <cell r="AX323">
            <v>82</v>
          </cell>
          <cell r="AY323">
            <v>156</v>
          </cell>
          <cell r="AZ323">
            <v>8.5000000000000006E-2</v>
          </cell>
          <cell r="BA323" t="str">
            <v>D2001064</v>
          </cell>
          <cell r="BB323" t="str">
            <v>CONFORM</v>
          </cell>
          <cell r="BC323" t="str">
            <v>CONFORM</v>
          </cell>
          <cell r="BD323" t="str">
            <v>CONFORM</v>
          </cell>
          <cell r="BE323" t="str">
            <v>CONFORM</v>
          </cell>
          <cell r="BF323" t="str">
            <v>CONFORM</v>
          </cell>
        </row>
        <row r="324">
          <cell r="A324">
            <v>43845</v>
          </cell>
          <cell r="B324" t="str">
            <v>D2001064-2</v>
          </cell>
          <cell r="C324" t="str">
            <v>004/20</v>
          </cell>
          <cell r="D324">
            <v>1</v>
          </cell>
          <cell r="E324">
            <v>0</v>
          </cell>
          <cell r="F324" t="str">
            <v>DC</v>
          </cell>
          <cell r="G324" t="str">
            <v>Late</v>
          </cell>
          <cell r="H324">
            <v>20200115019</v>
          </cell>
          <cell r="I324">
            <v>43845</v>
          </cell>
          <cell r="J324" t="str">
            <v>COILPLUS</v>
          </cell>
          <cell r="K324" t="str">
            <v>D2001064</v>
          </cell>
          <cell r="L324">
            <v>2</v>
          </cell>
          <cell r="M324" t="str">
            <v>A266324</v>
          </cell>
          <cell r="N324">
            <v>527212</v>
          </cell>
          <cell r="O324" t="str">
            <v xml:space="preserve">1.4306 TP304L </v>
          </cell>
          <cell r="P324" t="str">
            <v>304L</v>
          </cell>
          <cell r="Q324">
            <v>1.948</v>
          </cell>
          <cell r="R324">
            <v>1.946</v>
          </cell>
          <cell r="S324">
            <v>3.5000000000000003E-2</v>
          </cell>
          <cell r="T324">
            <v>3.4000000000000002E-2</v>
          </cell>
          <cell r="V324">
            <v>3.4000000000000002E-2</v>
          </cell>
          <cell r="X324">
            <v>4342</v>
          </cell>
          <cell r="Y324">
            <v>5</v>
          </cell>
          <cell r="Z324">
            <v>445.79055441478437</v>
          </cell>
          <cell r="AA324" t="str">
            <v>1.948X0.035-304L</v>
          </cell>
          <cell r="AB324" t="str">
            <v>WAAC004950089B200032</v>
          </cell>
          <cell r="AC324" t="str">
            <v>D2001064</v>
          </cell>
          <cell r="AD324">
            <v>527212</v>
          </cell>
          <cell r="AE324">
            <v>2.1999999999999999E-2</v>
          </cell>
          <cell r="AF324">
            <v>1.48</v>
          </cell>
          <cell r="AG324">
            <v>3.3000000000000002E-2</v>
          </cell>
          <cell r="AH324">
            <v>8.0000000000000004E-4</v>
          </cell>
          <cell r="AI324">
            <v>0.35</v>
          </cell>
          <cell r="AJ324">
            <v>18.16</v>
          </cell>
          <cell r="AK324">
            <v>8.0299999999999994</v>
          </cell>
          <cell r="AL324">
            <v>6.6000000000000003E-2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T324">
            <v>281</v>
          </cell>
          <cell r="AU324">
            <v>0</v>
          </cell>
          <cell r="AV324">
            <v>635</v>
          </cell>
          <cell r="AW324">
            <v>57</v>
          </cell>
          <cell r="AX324">
            <v>82</v>
          </cell>
          <cell r="AY324">
            <v>156</v>
          </cell>
          <cell r="AZ324">
            <v>8.5000000000000006E-2</v>
          </cell>
          <cell r="BA324" t="str">
            <v>D2001064</v>
          </cell>
          <cell r="BB324" t="str">
            <v>CONFORM</v>
          </cell>
          <cell r="BC324" t="str">
            <v>CONFORM</v>
          </cell>
          <cell r="BD324" t="str">
            <v>CONFORM</v>
          </cell>
          <cell r="BE324" t="str">
            <v>CONFORM</v>
          </cell>
          <cell r="BF324" t="str">
            <v>CONFORM</v>
          </cell>
        </row>
        <row r="325">
          <cell r="A325">
            <v>43845</v>
          </cell>
          <cell r="B325" t="str">
            <v>D2001064-3</v>
          </cell>
          <cell r="C325" t="str">
            <v>004/20</v>
          </cell>
          <cell r="D325">
            <v>1</v>
          </cell>
          <cell r="E325">
            <v>0</v>
          </cell>
          <cell r="F325" t="str">
            <v>DC</v>
          </cell>
          <cell r="G325" t="str">
            <v>Late</v>
          </cell>
          <cell r="H325">
            <v>20200115019</v>
          </cell>
          <cell r="I325">
            <v>43845</v>
          </cell>
          <cell r="J325" t="str">
            <v>COILPLUS</v>
          </cell>
          <cell r="K325" t="str">
            <v>D2001064</v>
          </cell>
          <cell r="L325">
            <v>3</v>
          </cell>
          <cell r="M325" t="str">
            <v>A266324</v>
          </cell>
          <cell r="N325">
            <v>527212</v>
          </cell>
          <cell r="O325" t="str">
            <v xml:space="preserve">1.4306 TP304L </v>
          </cell>
          <cell r="P325" t="str">
            <v>304L</v>
          </cell>
          <cell r="Q325">
            <v>1.948</v>
          </cell>
          <cell r="R325">
            <v>1.946</v>
          </cell>
          <cell r="S325">
            <v>3.5000000000000003E-2</v>
          </cell>
          <cell r="T325">
            <v>3.4000000000000002E-2</v>
          </cell>
          <cell r="V325">
            <v>3.4000000000000002E-2</v>
          </cell>
          <cell r="X325">
            <v>4356</v>
          </cell>
          <cell r="Y325">
            <v>5</v>
          </cell>
          <cell r="Z325">
            <v>447.22792607802876</v>
          </cell>
          <cell r="AA325" t="str">
            <v>1.948X0.035-304L</v>
          </cell>
          <cell r="AB325" t="str">
            <v>WAAC004950089B200032</v>
          </cell>
          <cell r="AC325" t="str">
            <v>D2001064</v>
          </cell>
          <cell r="AD325">
            <v>527212</v>
          </cell>
          <cell r="AE325">
            <v>2.1999999999999999E-2</v>
          </cell>
          <cell r="AF325">
            <v>1.48</v>
          </cell>
          <cell r="AG325">
            <v>3.3000000000000002E-2</v>
          </cell>
          <cell r="AH325">
            <v>8.0000000000000004E-4</v>
          </cell>
          <cell r="AI325">
            <v>0.35</v>
          </cell>
          <cell r="AJ325">
            <v>18.16</v>
          </cell>
          <cell r="AK325">
            <v>8.0299999999999994</v>
          </cell>
          <cell r="AL325">
            <v>6.6000000000000003E-2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T325">
            <v>281</v>
          </cell>
          <cell r="AU325">
            <v>0</v>
          </cell>
          <cell r="AV325">
            <v>635</v>
          </cell>
          <cell r="AW325">
            <v>57</v>
          </cell>
          <cell r="AX325">
            <v>82</v>
          </cell>
          <cell r="AY325">
            <v>156</v>
          </cell>
          <cell r="AZ325">
            <v>8.5000000000000006E-2</v>
          </cell>
          <cell r="BA325" t="str">
            <v>D2001064</v>
          </cell>
          <cell r="BB325" t="str">
            <v>CONFORM</v>
          </cell>
          <cell r="BC325" t="str">
            <v>CONFORM</v>
          </cell>
          <cell r="BD325" t="str">
            <v>CONFORM</v>
          </cell>
          <cell r="BE325" t="str">
            <v>CONFORM</v>
          </cell>
          <cell r="BF325" t="str">
            <v>CONFORM</v>
          </cell>
        </row>
        <row r="326">
          <cell r="A326">
            <v>43845</v>
          </cell>
          <cell r="B326" t="str">
            <v>D2001065-1</v>
          </cell>
          <cell r="C326" t="str">
            <v>004/20</v>
          </cell>
          <cell r="D326">
            <v>2</v>
          </cell>
          <cell r="E326">
            <v>0</v>
          </cell>
          <cell r="F326" t="str">
            <v>DC</v>
          </cell>
          <cell r="G326" t="str">
            <v>Late</v>
          </cell>
          <cell r="H326">
            <v>20200115019</v>
          </cell>
          <cell r="I326">
            <v>43845</v>
          </cell>
          <cell r="J326" t="str">
            <v>COILPLUS</v>
          </cell>
          <cell r="K326" t="str">
            <v>D2001065</v>
          </cell>
          <cell r="L326">
            <v>1</v>
          </cell>
          <cell r="M326" t="str">
            <v>A266324</v>
          </cell>
          <cell r="N326">
            <v>527212</v>
          </cell>
          <cell r="O326" t="str">
            <v xml:space="preserve">1.4306 TP304L </v>
          </cell>
          <cell r="P326" t="str">
            <v>304L</v>
          </cell>
          <cell r="Q326">
            <v>1.5589999999999999</v>
          </cell>
          <cell r="R326">
            <v>1.556</v>
          </cell>
          <cell r="S326">
            <v>3.5000000000000003E-2</v>
          </cell>
          <cell r="T326">
            <v>3.4000000000000002E-2</v>
          </cell>
          <cell r="V326">
            <v>3.4000000000000002E-2</v>
          </cell>
          <cell r="X326">
            <v>3478</v>
          </cell>
          <cell r="Y326">
            <v>5</v>
          </cell>
          <cell r="Z326">
            <v>446.18345093008344</v>
          </cell>
          <cell r="AA326" t="str">
            <v>1.559X0.035-304L</v>
          </cell>
          <cell r="AB326" t="str">
            <v>WAAC003950089B200034</v>
          </cell>
          <cell r="AC326" t="str">
            <v>D2001065</v>
          </cell>
          <cell r="AD326">
            <v>527212</v>
          </cell>
          <cell r="AE326">
            <v>2.1999999999999999E-2</v>
          </cell>
          <cell r="AF326">
            <v>1.48</v>
          </cell>
          <cell r="AG326">
            <v>3.3000000000000002E-2</v>
          </cell>
          <cell r="AH326">
            <v>8.0000000000000004E-4</v>
          </cell>
          <cell r="AI326">
            <v>0.35</v>
          </cell>
          <cell r="AJ326">
            <v>18.16</v>
          </cell>
          <cell r="AK326">
            <v>8.0299999999999994</v>
          </cell>
          <cell r="AL326">
            <v>6.6000000000000003E-2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T326">
            <v>281</v>
          </cell>
          <cell r="AU326">
            <v>0</v>
          </cell>
          <cell r="AV326">
            <v>635</v>
          </cell>
          <cell r="AW326">
            <v>57</v>
          </cell>
          <cell r="AX326">
            <v>82</v>
          </cell>
          <cell r="AY326">
            <v>156</v>
          </cell>
          <cell r="AZ326">
            <v>8.5000000000000006E-2</v>
          </cell>
          <cell r="BA326" t="str">
            <v>D2001065</v>
          </cell>
          <cell r="BB326" t="str">
            <v>CONFORM</v>
          </cell>
          <cell r="BC326" t="str">
            <v>CONFORM</v>
          </cell>
          <cell r="BD326" t="str">
            <v>CONFORM</v>
          </cell>
          <cell r="BE326" t="str">
            <v>CONFORM</v>
          </cell>
          <cell r="BF326" t="str">
            <v>CONFORM</v>
          </cell>
        </row>
        <row r="327">
          <cell r="A327">
            <v>43845</v>
          </cell>
          <cell r="B327" t="str">
            <v>D2001065-2</v>
          </cell>
          <cell r="C327" t="str">
            <v>004/20</v>
          </cell>
          <cell r="D327">
            <v>2</v>
          </cell>
          <cell r="E327">
            <v>0</v>
          </cell>
          <cell r="F327" t="str">
            <v>DC</v>
          </cell>
          <cell r="G327" t="str">
            <v>Late</v>
          </cell>
          <cell r="H327">
            <v>20200115019</v>
          </cell>
          <cell r="I327">
            <v>43845</v>
          </cell>
          <cell r="J327" t="str">
            <v>COILPLUS</v>
          </cell>
          <cell r="K327" t="str">
            <v>D2001065</v>
          </cell>
          <cell r="L327">
            <v>2</v>
          </cell>
          <cell r="M327" t="str">
            <v>A266324</v>
          </cell>
          <cell r="N327">
            <v>527212</v>
          </cell>
          <cell r="O327" t="str">
            <v xml:space="preserve">1.4306 TP304L </v>
          </cell>
          <cell r="P327" t="str">
            <v>304L</v>
          </cell>
          <cell r="Q327">
            <v>1.5589999999999999</v>
          </cell>
          <cell r="R327">
            <v>1.556</v>
          </cell>
          <cell r="S327">
            <v>3.5000000000000003E-2</v>
          </cell>
          <cell r="T327">
            <v>3.4000000000000002E-2</v>
          </cell>
          <cell r="V327">
            <v>3.4000000000000002E-2</v>
          </cell>
          <cell r="X327">
            <v>3478</v>
          </cell>
          <cell r="Y327">
            <v>5</v>
          </cell>
          <cell r="Z327">
            <v>446.18345093008344</v>
          </cell>
          <cell r="AA327" t="str">
            <v>1.559X0.035-304L</v>
          </cell>
          <cell r="AB327" t="str">
            <v>WAAC003950089B200034</v>
          </cell>
          <cell r="AC327" t="str">
            <v>D2001065</v>
          </cell>
          <cell r="AD327">
            <v>527212</v>
          </cell>
          <cell r="AE327">
            <v>2.1999999999999999E-2</v>
          </cell>
          <cell r="AF327">
            <v>1.48</v>
          </cell>
          <cell r="AG327">
            <v>3.3000000000000002E-2</v>
          </cell>
          <cell r="AH327">
            <v>8.0000000000000004E-4</v>
          </cell>
          <cell r="AI327">
            <v>0.35</v>
          </cell>
          <cell r="AJ327">
            <v>18.16</v>
          </cell>
          <cell r="AK327">
            <v>8.0299999999999994</v>
          </cell>
          <cell r="AL327">
            <v>6.6000000000000003E-2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T327">
            <v>281</v>
          </cell>
          <cell r="AU327">
            <v>0</v>
          </cell>
          <cell r="AV327">
            <v>635</v>
          </cell>
          <cell r="AW327">
            <v>57</v>
          </cell>
          <cell r="AX327">
            <v>82</v>
          </cell>
          <cell r="AY327">
            <v>156</v>
          </cell>
          <cell r="AZ327">
            <v>8.5000000000000006E-2</v>
          </cell>
          <cell r="BA327" t="str">
            <v>D2001065</v>
          </cell>
          <cell r="BB327" t="str">
            <v>CONFORM</v>
          </cell>
          <cell r="BC327" t="str">
            <v>CONFORM</v>
          </cell>
          <cell r="BD327" t="str">
            <v>CONFORM</v>
          </cell>
          <cell r="BE327" t="str">
            <v>CONFORM</v>
          </cell>
          <cell r="BF327" t="str">
            <v>CONFORM</v>
          </cell>
        </row>
        <row r="328">
          <cell r="A328">
            <v>43846</v>
          </cell>
          <cell r="B328" t="str">
            <v>D2001066-1</v>
          </cell>
          <cell r="C328" t="str">
            <v>046/19</v>
          </cell>
          <cell r="D328">
            <v>1</v>
          </cell>
          <cell r="E328" t="str">
            <v>JANUARY 2020</v>
          </cell>
          <cell r="F328" t="str">
            <v>DC</v>
          </cell>
          <cell r="G328" t="str">
            <v>Late</v>
          </cell>
          <cell r="H328" t="str">
            <v>135144-1</v>
          </cell>
          <cell r="I328">
            <v>43843</v>
          </cell>
          <cell r="J328" t="str">
            <v>UPM</v>
          </cell>
          <cell r="K328" t="str">
            <v>D2001066</v>
          </cell>
          <cell r="L328">
            <v>1</v>
          </cell>
          <cell r="M328" t="str">
            <v>AAC80142-B</v>
          </cell>
          <cell r="N328">
            <v>859102</v>
          </cell>
          <cell r="O328" t="str">
            <v xml:space="preserve">1.4401/1.4404 TP316/316L </v>
          </cell>
          <cell r="P328" t="str">
            <v>316L</v>
          </cell>
          <cell r="Q328">
            <v>1.5589999999999999</v>
          </cell>
          <cell r="S328">
            <v>3.5000000000000003E-2</v>
          </cell>
          <cell r="T328">
            <v>3.4299999999999997E-2</v>
          </cell>
          <cell r="V328">
            <v>3.4299999999999997E-2</v>
          </cell>
          <cell r="X328">
            <v>3391</v>
          </cell>
          <cell r="Y328">
            <v>5</v>
          </cell>
          <cell r="Z328">
            <v>435.02245028864661</v>
          </cell>
          <cell r="AA328" t="str">
            <v>1.559X0.035-316L</v>
          </cell>
          <cell r="AB328" t="str">
            <v>WAAF003960089B300057</v>
          </cell>
          <cell r="AC328" t="str">
            <v>D2001066</v>
          </cell>
          <cell r="AD328">
            <v>859102</v>
          </cell>
          <cell r="AE328">
            <v>1.9E-2</v>
          </cell>
          <cell r="AF328">
            <v>1.66</v>
          </cell>
          <cell r="AG328">
            <v>3.5000000000000003E-2</v>
          </cell>
          <cell r="AH328">
            <v>2.9999999999999997E-4</v>
          </cell>
          <cell r="AI328">
            <v>0.37</v>
          </cell>
          <cell r="AJ328">
            <v>16.61</v>
          </cell>
          <cell r="AK328">
            <v>10.09</v>
          </cell>
          <cell r="AL328">
            <v>0.05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Y328" t="str">
            <v/>
          </cell>
          <cell r="AZ328">
            <v>2.2999999999999998</v>
          </cell>
          <cell r="BA328" t="str">
            <v>D2001066</v>
          </cell>
          <cell r="BB328" t="str">
            <v>CONFORM</v>
          </cell>
          <cell r="BC328" t="str">
            <v>CONFORM</v>
          </cell>
          <cell r="BD328" t="str">
            <v>CONFORM</v>
          </cell>
          <cell r="BE328" t="str">
            <v>CONFORM</v>
          </cell>
          <cell r="BF328" t="str">
            <v>CONFORM</v>
          </cell>
        </row>
        <row r="329">
          <cell r="A329">
            <v>43846</v>
          </cell>
          <cell r="B329" t="str">
            <v>D2001066-2</v>
          </cell>
          <cell r="C329" t="str">
            <v>046/19</v>
          </cell>
          <cell r="D329">
            <v>1</v>
          </cell>
          <cell r="E329" t="str">
            <v>JANUARY 2020</v>
          </cell>
          <cell r="F329" t="str">
            <v>DC</v>
          </cell>
          <cell r="G329" t="str">
            <v>Late</v>
          </cell>
          <cell r="H329" t="str">
            <v>135144-1</v>
          </cell>
          <cell r="I329">
            <v>43843</v>
          </cell>
          <cell r="J329" t="str">
            <v>UPM</v>
          </cell>
          <cell r="K329" t="str">
            <v>D2001066</v>
          </cell>
          <cell r="L329">
            <v>2</v>
          </cell>
          <cell r="M329" t="str">
            <v>AAC80142-B</v>
          </cell>
          <cell r="N329">
            <v>859102</v>
          </cell>
          <cell r="O329" t="str">
            <v xml:space="preserve">1.4401/1.4404 TP316/316L </v>
          </cell>
          <cell r="P329" t="str">
            <v>316L</v>
          </cell>
          <cell r="Q329">
            <v>1.5589999999999999</v>
          </cell>
          <cell r="S329">
            <v>3.5000000000000003E-2</v>
          </cell>
          <cell r="T329">
            <v>3.4299999999999997E-2</v>
          </cell>
          <cell r="V329">
            <v>3.4299999999999997E-2</v>
          </cell>
          <cell r="X329">
            <v>3411</v>
          </cell>
          <cell r="Y329">
            <v>5</v>
          </cell>
          <cell r="Z329">
            <v>437.58819756254013</v>
          </cell>
          <cell r="AA329" t="str">
            <v>1.559X0.035-316L</v>
          </cell>
          <cell r="AB329" t="str">
            <v>WAAF003960089B300057</v>
          </cell>
          <cell r="AC329" t="str">
            <v>D2001066</v>
          </cell>
          <cell r="AD329">
            <v>859102</v>
          </cell>
          <cell r="AE329">
            <v>1.9E-2</v>
          </cell>
          <cell r="AF329">
            <v>1.66</v>
          </cell>
          <cell r="AG329">
            <v>3.5000000000000003E-2</v>
          </cell>
          <cell r="AH329">
            <v>2.9999999999999997E-4</v>
          </cell>
          <cell r="AI329">
            <v>0.37</v>
          </cell>
          <cell r="AJ329">
            <v>16.61</v>
          </cell>
          <cell r="AK329">
            <v>10.09</v>
          </cell>
          <cell r="AL329">
            <v>0.05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Y329" t="str">
            <v/>
          </cell>
          <cell r="AZ329">
            <v>2.2999999999999998</v>
          </cell>
          <cell r="BA329" t="str">
            <v>D2001066</v>
          </cell>
          <cell r="BB329" t="str">
            <v>CONFORM</v>
          </cell>
          <cell r="BC329" t="str">
            <v>CONFORM</v>
          </cell>
          <cell r="BD329" t="str">
            <v>CONFORM</v>
          </cell>
          <cell r="BE329" t="str">
            <v>CONFORM</v>
          </cell>
          <cell r="BF329" t="str">
            <v>CONFORM</v>
          </cell>
        </row>
        <row r="330">
          <cell r="A330">
            <v>43846</v>
          </cell>
          <cell r="B330" t="str">
            <v>D2001066-3</v>
          </cell>
          <cell r="C330" t="str">
            <v>046/19</v>
          </cell>
          <cell r="D330">
            <v>1</v>
          </cell>
          <cell r="E330" t="str">
            <v>JANUARY 2020</v>
          </cell>
          <cell r="F330" t="str">
            <v>DC</v>
          </cell>
          <cell r="G330" t="str">
            <v>Late</v>
          </cell>
          <cell r="H330" t="str">
            <v>135144-1</v>
          </cell>
          <cell r="I330">
            <v>43843</v>
          </cell>
          <cell r="J330" t="str">
            <v>UPM</v>
          </cell>
          <cell r="K330" t="str">
            <v>D2001066</v>
          </cell>
          <cell r="L330">
            <v>3</v>
          </cell>
          <cell r="M330" t="str">
            <v>AAC80142-B</v>
          </cell>
          <cell r="N330">
            <v>859102</v>
          </cell>
          <cell r="O330" t="str">
            <v xml:space="preserve">1.4401/1.4404 TP316/316L </v>
          </cell>
          <cell r="P330" t="str">
            <v>316L</v>
          </cell>
          <cell r="Q330">
            <v>1.5589999999999999</v>
          </cell>
          <cell r="S330">
            <v>3.5000000000000003E-2</v>
          </cell>
          <cell r="T330">
            <v>3.4299999999999997E-2</v>
          </cell>
          <cell r="V330">
            <v>3.4299999999999997E-2</v>
          </cell>
          <cell r="X330">
            <v>3360</v>
          </cell>
          <cell r="Y330">
            <v>5</v>
          </cell>
          <cell r="Z330">
            <v>431.04554201411162</v>
          </cell>
          <cell r="AA330" t="str">
            <v>1.559X0.035-316L</v>
          </cell>
          <cell r="AB330" t="str">
            <v>WAAF003960089B300057</v>
          </cell>
          <cell r="AC330" t="str">
            <v>D2001066</v>
          </cell>
          <cell r="AD330">
            <v>859102</v>
          </cell>
          <cell r="AE330">
            <v>1.9E-2</v>
          </cell>
          <cell r="AF330">
            <v>1.66</v>
          </cell>
          <cell r="AG330">
            <v>3.5000000000000003E-2</v>
          </cell>
          <cell r="AH330">
            <v>2.9999999999999997E-4</v>
          </cell>
          <cell r="AI330">
            <v>0.37</v>
          </cell>
          <cell r="AJ330">
            <v>16.61</v>
          </cell>
          <cell r="AK330">
            <v>10.09</v>
          </cell>
          <cell r="AL330">
            <v>0.05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Y330" t="str">
            <v/>
          </cell>
          <cell r="AZ330">
            <v>2.2999999999999998</v>
          </cell>
          <cell r="BA330" t="str">
            <v>D2001066</v>
          </cell>
          <cell r="BB330" t="str">
            <v>CONFORM</v>
          </cell>
          <cell r="BC330" t="str">
            <v>CONFORM</v>
          </cell>
          <cell r="BD330" t="str">
            <v>CONFORM</v>
          </cell>
          <cell r="BE330" t="str">
            <v>CONFORM</v>
          </cell>
          <cell r="BF330" t="str">
            <v>CONFORM</v>
          </cell>
        </row>
        <row r="331">
          <cell r="A331">
            <v>43846</v>
          </cell>
          <cell r="B331" t="str">
            <v>D2001067-1</v>
          </cell>
          <cell r="C331" t="str">
            <v>003/20</v>
          </cell>
          <cell r="D331">
            <v>1</v>
          </cell>
          <cell r="E331">
            <v>43846</v>
          </cell>
          <cell r="F331" t="str">
            <v>DC</v>
          </cell>
          <cell r="G331" t="str">
            <v>On Time</v>
          </cell>
          <cell r="H331" t="str">
            <v>135144-1</v>
          </cell>
          <cell r="I331">
            <v>43843</v>
          </cell>
          <cell r="J331" t="str">
            <v>UPM</v>
          </cell>
          <cell r="K331" t="str">
            <v>D2001067</v>
          </cell>
          <cell r="L331">
            <v>1</v>
          </cell>
          <cell r="M331" t="str">
            <v>07B96T-B</v>
          </cell>
          <cell r="N331" t="str">
            <v>B96T</v>
          </cell>
          <cell r="O331" t="str">
            <v xml:space="preserve">1.4306 TP304L </v>
          </cell>
          <cell r="P331" t="str">
            <v>304L</v>
          </cell>
          <cell r="Q331">
            <v>1.948</v>
          </cell>
          <cell r="S331">
            <v>3.5000000000000003E-2</v>
          </cell>
          <cell r="T331">
            <v>3.5000000000000003E-2</v>
          </cell>
          <cell r="V331">
            <v>3.5000000000000003E-2</v>
          </cell>
          <cell r="X331">
            <v>2221</v>
          </cell>
          <cell r="Y331">
            <v>4</v>
          </cell>
          <cell r="Z331">
            <v>285.0359342915811</v>
          </cell>
          <cell r="AA331" t="str">
            <v>1.948X0.035-304L</v>
          </cell>
          <cell r="AB331" t="str">
            <v>WAAC004950089B200032</v>
          </cell>
          <cell r="AC331" t="str">
            <v>D2001067</v>
          </cell>
          <cell r="AD331" t="str">
            <v>B96T</v>
          </cell>
          <cell r="AE331">
            <v>1.49E-2</v>
          </cell>
          <cell r="AF331">
            <v>1.7515000000000001</v>
          </cell>
          <cell r="AG331">
            <v>3.2000000000000001E-2</v>
          </cell>
          <cell r="AH331">
            <v>1E-3</v>
          </cell>
          <cell r="AI331">
            <v>0.23200000000000001</v>
          </cell>
          <cell r="AJ331">
            <v>18.155999999999999</v>
          </cell>
          <cell r="AK331">
            <v>8.0459999999999994</v>
          </cell>
          <cell r="AL331">
            <v>8.8700000000000001E-2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Y331" t="str">
            <v/>
          </cell>
          <cell r="AZ331">
            <v>1.6</v>
          </cell>
          <cell r="BA331" t="str">
            <v>D2001067</v>
          </cell>
          <cell r="BB331" t="str">
            <v>CONFORM</v>
          </cell>
          <cell r="BC331" t="str">
            <v>CONFORM</v>
          </cell>
          <cell r="BD331" t="str">
            <v>CONFORM</v>
          </cell>
          <cell r="BE331" t="str">
            <v>CONFORM</v>
          </cell>
          <cell r="BF331" t="str">
            <v>CONFORM</v>
          </cell>
        </row>
        <row r="332">
          <cell r="A332">
            <v>43846</v>
          </cell>
          <cell r="B332" t="str">
            <v>D2001067-2</v>
          </cell>
          <cell r="C332" t="str">
            <v>003/20</v>
          </cell>
          <cell r="D332">
            <v>1</v>
          </cell>
          <cell r="E332">
            <v>43846</v>
          </cell>
          <cell r="F332" t="str">
            <v>DC</v>
          </cell>
          <cell r="G332" t="str">
            <v>On Time</v>
          </cell>
          <cell r="H332" t="str">
            <v>135144-1</v>
          </cell>
          <cell r="I332">
            <v>43843</v>
          </cell>
          <cell r="J332" t="str">
            <v>UPM</v>
          </cell>
          <cell r="K332" t="str">
            <v>D2001067</v>
          </cell>
          <cell r="L332">
            <v>2</v>
          </cell>
          <cell r="M332" t="str">
            <v>07B96T-B</v>
          </cell>
          <cell r="N332" t="str">
            <v>B96T</v>
          </cell>
          <cell r="O332" t="str">
            <v xml:space="preserve">1.4306 TP304L </v>
          </cell>
          <cell r="P332" t="str">
            <v>304L</v>
          </cell>
          <cell r="Q332">
            <v>1.948</v>
          </cell>
          <cell r="S332">
            <v>3.5000000000000003E-2</v>
          </cell>
          <cell r="T332">
            <v>3.5000000000000003E-2</v>
          </cell>
          <cell r="V332">
            <v>3.5000000000000003E-2</v>
          </cell>
          <cell r="X332">
            <v>2222</v>
          </cell>
          <cell r="Y332">
            <v>4</v>
          </cell>
          <cell r="Z332">
            <v>285.16427104722794</v>
          </cell>
          <cell r="AA332" t="str">
            <v>1.948X0.035-304L</v>
          </cell>
          <cell r="AB332" t="str">
            <v>WAAC004950089B200032</v>
          </cell>
          <cell r="AC332" t="str">
            <v>D2001067</v>
          </cell>
          <cell r="AD332" t="str">
            <v>B96T</v>
          </cell>
          <cell r="AE332">
            <v>1.49E-2</v>
          </cell>
          <cell r="AF332">
            <v>1.7515000000000001</v>
          </cell>
          <cell r="AG332">
            <v>3.2000000000000001E-2</v>
          </cell>
          <cell r="AH332">
            <v>1E-3</v>
          </cell>
          <cell r="AI332">
            <v>0.23200000000000001</v>
          </cell>
          <cell r="AJ332">
            <v>18.155999999999999</v>
          </cell>
          <cell r="AK332">
            <v>8.0459999999999994</v>
          </cell>
          <cell r="AL332">
            <v>8.8700000000000001E-2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Y332" t="str">
            <v/>
          </cell>
          <cell r="AZ332">
            <v>1.6</v>
          </cell>
          <cell r="BA332" t="str">
            <v>D2001067</v>
          </cell>
          <cell r="BB332" t="str">
            <v>CONFORM</v>
          </cell>
          <cell r="BC332" t="str">
            <v>CONFORM</v>
          </cell>
          <cell r="BD332" t="str">
            <v>CONFORM</v>
          </cell>
          <cell r="BE332" t="str">
            <v>CONFORM</v>
          </cell>
          <cell r="BF332" t="str">
            <v>CONFORM</v>
          </cell>
        </row>
        <row r="333">
          <cell r="A333">
            <v>43846</v>
          </cell>
          <cell r="B333" t="str">
            <v>D2001067-3</v>
          </cell>
          <cell r="C333" t="str">
            <v>003/20</v>
          </cell>
          <cell r="D333">
            <v>1</v>
          </cell>
          <cell r="E333">
            <v>43846</v>
          </cell>
          <cell r="F333" t="str">
            <v>DC</v>
          </cell>
          <cell r="G333" t="str">
            <v>On Time</v>
          </cell>
          <cell r="H333" t="str">
            <v>135144-1</v>
          </cell>
          <cell r="I333">
            <v>43843</v>
          </cell>
          <cell r="J333" t="str">
            <v>UPM</v>
          </cell>
          <cell r="K333" t="str">
            <v>D2001067</v>
          </cell>
          <cell r="L333">
            <v>3</v>
          </cell>
          <cell r="M333" t="str">
            <v>07B96T-B</v>
          </cell>
          <cell r="N333" t="str">
            <v>B96T</v>
          </cell>
          <cell r="O333" t="str">
            <v xml:space="preserve">1.4306 TP304L </v>
          </cell>
          <cell r="P333" t="str">
            <v>304L</v>
          </cell>
          <cell r="Q333">
            <v>1.948</v>
          </cell>
          <cell r="S333">
            <v>3.5000000000000003E-2</v>
          </cell>
          <cell r="T333">
            <v>3.5000000000000003E-2</v>
          </cell>
          <cell r="V333">
            <v>3.5000000000000003E-2</v>
          </cell>
          <cell r="X333">
            <v>2203</v>
          </cell>
          <cell r="Y333">
            <v>4</v>
          </cell>
          <cell r="Z333">
            <v>282.7258726899384</v>
          </cell>
          <cell r="AA333" t="str">
            <v>1.948X0.035-304L</v>
          </cell>
          <cell r="AB333" t="str">
            <v>WAAC004950089B200032</v>
          </cell>
          <cell r="AC333" t="str">
            <v>D2001067</v>
          </cell>
          <cell r="AD333" t="str">
            <v>B96T</v>
          </cell>
          <cell r="AE333">
            <v>1.49E-2</v>
          </cell>
          <cell r="AF333">
            <v>1.7515000000000001</v>
          </cell>
          <cell r="AG333">
            <v>3.2000000000000001E-2</v>
          </cell>
          <cell r="AH333">
            <v>1E-3</v>
          </cell>
          <cell r="AI333">
            <v>0.23200000000000001</v>
          </cell>
          <cell r="AJ333">
            <v>18.155999999999999</v>
          </cell>
          <cell r="AK333">
            <v>8.0459999999999994</v>
          </cell>
          <cell r="AL333">
            <v>8.8700000000000001E-2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Y333" t="str">
            <v/>
          </cell>
          <cell r="AZ333">
            <v>1.6</v>
          </cell>
          <cell r="BA333" t="str">
            <v>D2001067</v>
          </cell>
          <cell r="BB333" t="str">
            <v>CONFORM</v>
          </cell>
          <cell r="BC333" t="str">
            <v>CONFORM</v>
          </cell>
          <cell r="BD333" t="str">
            <v>CONFORM</v>
          </cell>
          <cell r="BE333" t="str">
            <v>CONFORM</v>
          </cell>
          <cell r="BF333" t="str">
            <v>CONFORM</v>
          </cell>
        </row>
        <row r="334">
          <cell r="A334">
            <v>43846</v>
          </cell>
          <cell r="B334" t="str">
            <v>D2001067-4</v>
          </cell>
          <cell r="C334" t="str">
            <v>003/20</v>
          </cell>
          <cell r="D334">
            <v>1</v>
          </cell>
          <cell r="E334">
            <v>43846</v>
          </cell>
          <cell r="F334" t="str">
            <v>DC</v>
          </cell>
          <cell r="G334" t="str">
            <v>On Time</v>
          </cell>
          <cell r="H334" t="str">
            <v>135144-1</v>
          </cell>
          <cell r="I334">
            <v>43843</v>
          </cell>
          <cell r="J334" t="str">
            <v>UPM</v>
          </cell>
          <cell r="K334" t="str">
            <v>D2001067</v>
          </cell>
          <cell r="L334">
            <v>4</v>
          </cell>
          <cell r="M334" t="str">
            <v>07B96T-B</v>
          </cell>
          <cell r="N334" t="str">
            <v>B96T</v>
          </cell>
          <cell r="O334" t="str">
            <v xml:space="preserve">1.4306 TP304L </v>
          </cell>
          <cell r="P334" t="str">
            <v>304L</v>
          </cell>
          <cell r="Q334">
            <v>1.948</v>
          </cell>
          <cell r="S334">
            <v>3.5000000000000003E-2</v>
          </cell>
          <cell r="T334">
            <v>3.5000000000000003E-2</v>
          </cell>
          <cell r="V334">
            <v>3.5000000000000003E-2</v>
          </cell>
          <cell r="X334">
            <v>2204</v>
          </cell>
          <cell r="Y334">
            <v>4</v>
          </cell>
          <cell r="Z334">
            <v>282.85420944558524</v>
          </cell>
          <cell r="AA334" t="str">
            <v>1.948X0.035-304L</v>
          </cell>
          <cell r="AB334" t="str">
            <v>WAAC004950089B200032</v>
          </cell>
          <cell r="AC334" t="str">
            <v>D2001067</v>
          </cell>
          <cell r="AD334" t="str">
            <v>B96T</v>
          </cell>
          <cell r="AE334">
            <v>1.49E-2</v>
          </cell>
          <cell r="AF334">
            <v>1.7515000000000001</v>
          </cell>
          <cell r="AG334">
            <v>3.2000000000000001E-2</v>
          </cell>
          <cell r="AH334">
            <v>1E-3</v>
          </cell>
          <cell r="AI334">
            <v>0.23200000000000001</v>
          </cell>
          <cell r="AJ334">
            <v>18.155999999999999</v>
          </cell>
          <cell r="AK334">
            <v>8.0459999999999994</v>
          </cell>
          <cell r="AL334">
            <v>8.8700000000000001E-2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Y334" t="str">
            <v/>
          </cell>
          <cell r="AZ334">
            <v>1.6</v>
          </cell>
          <cell r="BA334" t="str">
            <v>D2001067</v>
          </cell>
          <cell r="BB334" t="str">
            <v>CONFORM</v>
          </cell>
          <cell r="BC334" t="str">
            <v>CONFORM</v>
          </cell>
          <cell r="BD334" t="str">
            <v>CONFORM</v>
          </cell>
          <cell r="BE334" t="str">
            <v>CONFORM</v>
          </cell>
          <cell r="BF334" t="str">
            <v>CONFORM</v>
          </cell>
        </row>
        <row r="335">
          <cell r="A335">
            <v>43846</v>
          </cell>
          <cell r="B335" t="str">
            <v>D2001067-5</v>
          </cell>
          <cell r="C335" t="str">
            <v>003/20</v>
          </cell>
          <cell r="D335">
            <v>1</v>
          </cell>
          <cell r="E335">
            <v>43846</v>
          </cell>
          <cell r="F335" t="str">
            <v>DC</v>
          </cell>
          <cell r="G335" t="str">
            <v>On Time</v>
          </cell>
          <cell r="H335" t="str">
            <v>135144-1</v>
          </cell>
          <cell r="I335">
            <v>43843</v>
          </cell>
          <cell r="J335" t="str">
            <v>UPM</v>
          </cell>
          <cell r="K335" t="str">
            <v>D2001067</v>
          </cell>
          <cell r="L335">
            <v>5</v>
          </cell>
          <cell r="M335" t="str">
            <v>07B96T-B</v>
          </cell>
          <cell r="N335" t="str">
            <v>B96T</v>
          </cell>
          <cell r="O335" t="str">
            <v xml:space="preserve">1.4306 TP304L </v>
          </cell>
          <cell r="P335" t="str">
            <v>304L</v>
          </cell>
          <cell r="Q335">
            <v>1.948</v>
          </cell>
          <cell r="S335">
            <v>3.5000000000000003E-2</v>
          </cell>
          <cell r="T335">
            <v>3.5000000000000003E-2</v>
          </cell>
          <cell r="V335">
            <v>3.5000000000000003E-2</v>
          </cell>
          <cell r="X335">
            <v>2202</v>
          </cell>
          <cell r="Y335">
            <v>4</v>
          </cell>
          <cell r="Z335">
            <v>282.59753593429161</v>
          </cell>
          <cell r="AA335" t="str">
            <v>1.948X0.035-304L</v>
          </cell>
          <cell r="AB335" t="str">
            <v>WAAC004950089B200032</v>
          </cell>
          <cell r="AC335" t="str">
            <v>D2001067</v>
          </cell>
          <cell r="AD335" t="str">
            <v>B96T</v>
          </cell>
          <cell r="AE335">
            <v>1.49E-2</v>
          </cell>
          <cell r="AF335">
            <v>1.7515000000000001</v>
          </cell>
          <cell r="AG335">
            <v>3.2000000000000001E-2</v>
          </cell>
          <cell r="AH335">
            <v>1E-3</v>
          </cell>
          <cell r="AI335">
            <v>0.23200000000000001</v>
          </cell>
          <cell r="AJ335">
            <v>18.155999999999999</v>
          </cell>
          <cell r="AK335">
            <v>8.0459999999999994</v>
          </cell>
          <cell r="AL335">
            <v>8.8700000000000001E-2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Y335" t="str">
            <v/>
          </cell>
          <cell r="AZ335">
            <v>1.6</v>
          </cell>
          <cell r="BA335" t="str">
            <v>D2001067</v>
          </cell>
          <cell r="BB335" t="str">
            <v>CONFORM</v>
          </cell>
          <cell r="BC335" t="str">
            <v>CONFORM</v>
          </cell>
          <cell r="BD335" t="str">
            <v>CONFORM</v>
          </cell>
          <cell r="BE335" t="str">
            <v>CONFORM</v>
          </cell>
          <cell r="BF335" t="str">
            <v>CONFORM</v>
          </cell>
        </row>
        <row r="336">
          <cell r="A336">
            <v>43846</v>
          </cell>
          <cell r="B336" t="str">
            <v>D2001067-6</v>
          </cell>
          <cell r="C336" t="str">
            <v>003/20</v>
          </cell>
          <cell r="D336">
            <v>1</v>
          </cell>
          <cell r="E336">
            <v>43846</v>
          </cell>
          <cell r="F336" t="str">
            <v>DC</v>
          </cell>
          <cell r="G336" t="str">
            <v>On Time</v>
          </cell>
          <cell r="H336" t="str">
            <v>135144-1</v>
          </cell>
          <cell r="I336">
            <v>43843</v>
          </cell>
          <cell r="J336" t="str">
            <v>UPM</v>
          </cell>
          <cell r="K336" t="str">
            <v>D2001067</v>
          </cell>
          <cell r="L336">
            <v>6</v>
          </cell>
          <cell r="M336" t="str">
            <v>07B96T-B</v>
          </cell>
          <cell r="N336" t="str">
            <v>B96T</v>
          </cell>
          <cell r="O336" t="str">
            <v xml:space="preserve">1.4306 TP304L </v>
          </cell>
          <cell r="P336" t="str">
            <v>304L</v>
          </cell>
          <cell r="Q336">
            <v>1.948</v>
          </cell>
          <cell r="S336">
            <v>3.5000000000000003E-2</v>
          </cell>
          <cell r="T336">
            <v>3.5000000000000003E-2</v>
          </cell>
          <cell r="V336">
            <v>3.5000000000000003E-2</v>
          </cell>
          <cell r="X336">
            <v>2186</v>
          </cell>
          <cell r="Y336">
            <v>4</v>
          </cell>
          <cell r="Z336">
            <v>280.54414784394254</v>
          </cell>
          <cell r="AA336" t="str">
            <v>1.948X0.035-304L</v>
          </cell>
          <cell r="AB336" t="str">
            <v>WAAC004950089B200032</v>
          </cell>
          <cell r="AC336" t="str">
            <v>D2001067</v>
          </cell>
          <cell r="AD336" t="str">
            <v>B96T</v>
          </cell>
          <cell r="AE336">
            <v>1.49E-2</v>
          </cell>
          <cell r="AF336">
            <v>1.7515000000000001</v>
          </cell>
          <cell r="AG336">
            <v>3.2000000000000001E-2</v>
          </cell>
          <cell r="AH336">
            <v>1E-3</v>
          </cell>
          <cell r="AI336">
            <v>0.23200000000000001</v>
          </cell>
          <cell r="AJ336">
            <v>18.155999999999999</v>
          </cell>
          <cell r="AK336">
            <v>8.0459999999999994</v>
          </cell>
          <cell r="AL336">
            <v>8.8700000000000001E-2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Y336" t="str">
            <v/>
          </cell>
          <cell r="AZ336">
            <v>1.6</v>
          </cell>
          <cell r="BA336" t="str">
            <v>D2001067</v>
          </cell>
          <cell r="BB336" t="str">
            <v>CONFORM</v>
          </cell>
          <cell r="BC336" t="str">
            <v>CONFORM</v>
          </cell>
          <cell r="BD336" t="str">
            <v>CONFORM</v>
          </cell>
          <cell r="BE336" t="str">
            <v>CONFORM</v>
          </cell>
          <cell r="BF336" t="str">
            <v>CONFORM</v>
          </cell>
        </row>
        <row r="337">
          <cell r="A337">
            <v>43846</v>
          </cell>
          <cell r="B337" t="str">
            <v>D2001068-1</v>
          </cell>
          <cell r="C337" t="str">
            <v>003/20</v>
          </cell>
          <cell r="D337">
            <v>1</v>
          </cell>
          <cell r="E337">
            <v>43846</v>
          </cell>
          <cell r="F337" t="str">
            <v>DC</v>
          </cell>
          <cell r="G337" t="str">
            <v>On Time</v>
          </cell>
          <cell r="H337" t="str">
            <v>135144-1</v>
          </cell>
          <cell r="I337">
            <v>43843</v>
          </cell>
          <cell r="J337" t="str">
            <v>UPM</v>
          </cell>
          <cell r="K337" t="str">
            <v>D2001068</v>
          </cell>
          <cell r="L337">
            <v>1</v>
          </cell>
          <cell r="M337" t="str">
            <v>03B57J</v>
          </cell>
          <cell r="N337" t="str">
            <v>B57J</v>
          </cell>
          <cell r="O337" t="str">
            <v xml:space="preserve">1.4306 TP304L </v>
          </cell>
          <cell r="P337" t="str">
            <v>304L</v>
          </cell>
          <cell r="Q337">
            <v>1.948</v>
          </cell>
          <cell r="S337">
            <v>3.5000000000000003E-2</v>
          </cell>
          <cell r="T337">
            <v>3.5000000000000003E-2</v>
          </cell>
          <cell r="V337">
            <v>3.5000000000000003E-2</v>
          </cell>
          <cell r="X337">
            <v>2052</v>
          </cell>
          <cell r="Y337">
            <v>5</v>
          </cell>
          <cell r="Z337">
            <v>210.6776180698152</v>
          </cell>
          <cell r="AA337" t="str">
            <v>1.948X0.035-304L</v>
          </cell>
          <cell r="AB337" t="str">
            <v>WAAC004950089B200032</v>
          </cell>
          <cell r="AC337" t="str">
            <v>D2001068</v>
          </cell>
          <cell r="AD337" t="str">
            <v>B57J</v>
          </cell>
          <cell r="AE337">
            <v>1.7500000000000002E-2</v>
          </cell>
          <cell r="AF337">
            <v>1.72</v>
          </cell>
          <cell r="AG337">
            <v>3.3000000000000002E-2</v>
          </cell>
          <cell r="AH337">
            <v>1E-3</v>
          </cell>
          <cell r="AI337">
            <v>0.22</v>
          </cell>
          <cell r="AJ337">
            <v>18.044</v>
          </cell>
          <cell r="AK337">
            <v>8.0180000000000007</v>
          </cell>
          <cell r="AL337">
            <v>7.6200000000000004E-2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Y337" t="str">
            <v/>
          </cell>
          <cell r="AZ337">
            <v>1.6</v>
          </cell>
          <cell r="BA337" t="str">
            <v>D2001068</v>
          </cell>
          <cell r="BB337" t="str">
            <v>CONFORM</v>
          </cell>
          <cell r="BC337" t="str">
            <v>CONFORM</v>
          </cell>
          <cell r="BD337" t="str">
            <v>CONFORM</v>
          </cell>
          <cell r="BE337" t="str">
            <v>CONFORM</v>
          </cell>
          <cell r="BF337" t="str">
            <v>CONFORM</v>
          </cell>
        </row>
        <row r="338">
          <cell r="A338">
            <v>43846</v>
          </cell>
          <cell r="B338" t="str">
            <v>D2001068-2</v>
          </cell>
          <cell r="C338" t="str">
            <v>003/20</v>
          </cell>
          <cell r="D338">
            <v>1</v>
          </cell>
          <cell r="E338">
            <v>43846</v>
          </cell>
          <cell r="F338" t="str">
            <v>DC</v>
          </cell>
          <cell r="G338" t="str">
            <v>On Time</v>
          </cell>
          <cell r="H338" t="str">
            <v>135144-1</v>
          </cell>
          <cell r="I338">
            <v>43843</v>
          </cell>
          <cell r="J338" t="str">
            <v>UPM</v>
          </cell>
          <cell r="K338" t="str">
            <v>D2001068</v>
          </cell>
          <cell r="L338">
            <v>2</v>
          </cell>
          <cell r="M338" t="str">
            <v>03B57J</v>
          </cell>
          <cell r="N338" t="str">
            <v>B57J</v>
          </cell>
          <cell r="O338" t="str">
            <v xml:space="preserve">1.4306 TP304L </v>
          </cell>
          <cell r="P338" t="str">
            <v>304L</v>
          </cell>
          <cell r="Q338">
            <v>1.948</v>
          </cell>
          <cell r="S338">
            <v>3.5000000000000003E-2</v>
          </cell>
          <cell r="T338">
            <v>3.5000000000000003E-2</v>
          </cell>
          <cell r="V338">
            <v>3.5000000000000003E-2</v>
          </cell>
          <cell r="X338">
            <v>2062</v>
          </cell>
          <cell r="Y338">
            <v>5</v>
          </cell>
          <cell r="Z338">
            <v>211.70431211498973</v>
          </cell>
          <cell r="AA338" t="str">
            <v>1.948X0.035-304L</v>
          </cell>
          <cell r="AB338" t="str">
            <v>WAAC004950089B200032</v>
          </cell>
          <cell r="AC338" t="str">
            <v>D2001068</v>
          </cell>
          <cell r="AD338" t="str">
            <v>B57J</v>
          </cell>
          <cell r="AE338">
            <v>1.7500000000000002E-2</v>
          </cell>
          <cell r="AF338">
            <v>1.72</v>
          </cell>
          <cell r="AG338">
            <v>3.3000000000000002E-2</v>
          </cell>
          <cell r="AH338">
            <v>1E-3</v>
          </cell>
          <cell r="AI338">
            <v>0.22</v>
          </cell>
          <cell r="AJ338">
            <v>18.044</v>
          </cell>
          <cell r="AK338">
            <v>8.0180000000000007</v>
          </cell>
          <cell r="AL338">
            <v>7.6200000000000004E-2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Y338" t="str">
            <v/>
          </cell>
          <cell r="AZ338">
            <v>1.6</v>
          </cell>
          <cell r="BA338" t="str">
            <v>D2001068</v>
          </cell>
          <cell r="BB338" t="str">
            <v>CONFORM</v>
          </cell>
          <cell r="BC338" t="str">
            <v>CONFORM</v>
          </cell>
          <cell r="BD338" t="str">
            <v>CONFORM</v>
          </cell>
          <cell r="BE338" t="str">
            <v>CONFORM</v>
          </cell>
          <cell r="BF338" t="str">
            <v>CONFORM</v>
          </cell>
        </row>
        <row r="339">
          <cell r="A339">
            <v>43846</v>
          </cell>
          <cell r="B339" t="str">
            <v>D2001068-3</v>
          </cell>
          <cell r="C339" t="str">
            <v>003/20</v>
          </cell>
          <cell r="D339">
            <v>1</v>
          </cell>
          <cell r="E339">
            <v>43846</v>
          </cell>
          <cell r="F339" t="str">
            <v>DC</v>
          </cell>
          <cell r="G339" t="str">
            <v>On Time</v>
          </cell>
          <cell r="H339" t="str">
            <v>135144-1</v>
          </cell>
          <cell r="I339">
            <v>43843</v>
          </cell>
          <cell r="J339" t="str">
            <v>UPM</v>
          </cell>
          <cell r="K339" t="str">
            <v>D2001068</v>
          </cell>
          <cell r="L339">
            <v>3</v>
          </cell>
          <cell r="M339" t="str">
            <v>03B57J</v>
          </cell>
          <cell r="N339" t="str">
            <v>B57J</v>
          </cell>
          <cell r="O339" t="str">
            <v xml:space="preserve">1.4306 TP304L </v>
          </cell>
          <cell r="P339" t="str">
            <v>304L</v>
          </cell>
          <cell r="Q339">
            <v>1.948</v>
          </cell>
          <cell r="S339">
            <v>3.5000000000000003E-2</v>
          </cell>
          <cell r="T339">
            <v>3.5000000000000003E-2</v>
          </cell>
          <cell r="V339">
            <v>3.5000000000000003E-2</v>
          </cell>
          <cell r="X339">
            <v>1645</v>
          </cell>
          <cell r="Y339">
            <v>4</v>
          </cell>
          <cell r="Z339">
            <v>211.11396303901438</v>
          </cell>
          <cell r="AA339" t="str">
            <v>1.948X0.035-304L</v>
          </cell>
          <cell r="AB339" t="str">
            <v>WAAC004950089B200032</v>
          </cell>
          <cell r="AC339" t="str">
            <v>D2001068</v>
          </cell>
          <cell r="AD339" t="str">
            <v>B57J</v>
          </cell>
          <cell r="AE339">
            <v>1.7500000000000002E-2</v>
          </cell>
          <cell r="AF339">
            <v>1.72</v>
          </cell>
          <cell r="AG339">
            <v>3.3000000000000002E-2</v>
          </cell>
          <cell r="AH339">
            <v>1E-3</v>
          </cell>
          <cell r="AI339">
            <v>0.22</v>
          </cell>
          <cell r="AJ339">
            <v>18.044</v>
          </cell>
          <cell r="AK339">
            <v>8.0180000000000007</v>
          </cell>
          <cell r="AL339">
            <v>7.6200000000000004E-2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Y339" t="str">
            <v/>
          </cell>
          <cell r="AZ339">
            <v>1.6</v>
          </cell>
          <cell r="BA339" t="str">
            <v>D2001068</v>
          </cell>
          <cell r="BB339" t="str">
            <v>CONFORM</v>
          </cell>
          <cell r="BC339" t="str">
            <v>CONFORM</v>
          </cell>
          <cell r="BD339" t="str">
            <v>CONFORM</v>
          </cell>
          <cell r="BE339" t="str">
            <v>CONFORM</v>
          </cell>
          <cell r="BF339" t="str">
            <v>CONFORM</v>
          </cell>
        </row>
        <row r="340">
          <cell r="A340">
            <v>43846</v>
          </cell>
          <cell r="B340" t="str">
            <v>D2001068-4</v>
          </cell>
          <cell r="C340" t="str">
            <v>003/20</v>
          </cell>
          <cell r="D340">
            <v>1</v>
          </cell>
          <cell r="E340">
            <v>43846</v>
          </cell>
          <cell r="F340" t="str">
            <v>DC</v>
          </cell>
          <cell r="G340" t="str">
            <v>On Time</v>
          </cell>
          <cell r="H340" t="str">
            <v>135144-1</v>
          </cell>
          <cell r="I340">
            <v>43843</v>
          </cell>
          <cell r="J340" t="str">
            <v>UPM</v>
          </cell>
          <cell r="K340" t="str">
            <v>D2001068</v>
          </cell>
          <cell r="L340">
            <v>4</v>
          </cell>
          <cell r="M340" t="str">
            <v>03B57J</v>
          </cell>
          <cell r="N340" t="str">
            <v>B57J</v>
          </cell>
          <cell r="O340" t="str">
            <v xml:space="preserve">1.4306 TP304L </v>
          </cell>
          <cell r="P340" t="str">
            <v>304L</v>
          </cell>
          <cell r="Q340">
            <v>1.948</v>
          </cell>
          <cell r="S340">
            <v>3.5000000000000003E-2</v>
          </cell>
          <cell r="T340">
            <v>3.5000000000000003E-2</v>
          </cell>
          <cell r="V340">
            <v>3.5000000000000003E-2</v>
          </cell>
          <cell r="X340">
            <v>2054</v>
          </cell>
          <cell r="Y340">
            <v>5</v>
          </cell>
          <cell r="Z340">
            <v>210.88295687885011</v>
          </cell>
          <cell r="AA340" t="str">
            <v>1.948X0.035-304L</v>
          </cell>
          <cell r="AB340" t="str">
            <v>WAAC004950089B200032</v>
          </cell>
          <cell r="AC340" t="str">
            <v>D2001068</v>
          </cell>
          <cell r="AD340" t="str">
            <v>B57J</v>
          </cell>
          <cell r="AE340">
            <v>1.7500000000000002E-2</v>
          </cell>
          <cell r="AF340">
            <v>1.72</v>
          </cell>
          <cell r="AG340">
            <v>3.3000000000000002E-2</v>
          </cell>
          <cell r="AH340">
            <v>1E-3</v>
          </cell>
          <cell r="AI340">
            <v>0.22</v>
          </cell>
          <cell r="AJ340">
            <v>18.044</v>
          </cell>
          <cell r="AK340">
            <v>8.0180000000000007</v>
          </cell>
          <cell r="AL340">
            <v>7.6200000000000004E-2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Y340" t="str">
            <v/>
          </cell>
          <cell r="AZ340">
            <v>1.6</v>
          </cell>
          <cell r="BA340" t="str">
            <v>D2001068</v>
          </cell>
          <cell r="BB340" t="str">
            <v>CONFORM</v>
          </cell>
          <cell r="BC340" t="str">
            <v>CONFORM</v>
          </cell>
          <cell r="BD340" t="str">
            <v>CONFORM</v>
          </cell>
          <cell r="BE340" t="str">
            <v>CONFORM</v>
          </cell>
          <cell r="BF340" t="str">
            <v>CONFORM</v>
          </cell>
        </row>
        <row r="341">
          <cell r="A341">
            <v>43846</v>
          </cell>
          <cell r="B341" t="str">
            <v>D2001075-1</v>
          </cell>
          <cell r="C341" t="str">
            <v>047/19</v>
          </cell>
          <cell r="D341">
            <v>1</v>
          </cell>
          <cell r="E341" t="str">
            <v>JANUARY 2020</v>
          </cell>
          <cell r="F341" t="str">
            <v>DC</v>
          </cell>
          <cell r="G341" t="str">
            <v>Late</v>
          </cell>
          <cell r="H341">
            <v>1160</v>
          </cell>
          <cell r="I341">
            <v>43800</v>
          </cell>
          <cell r="J341" t="str">
            <v>ADTI</v>
          </cell>
          <cell r="K341" t="str">
            <v>D2001075</v>
          </cell>
          <cell r="L341">
            <v>1</v>
          </cell>
          <cell r="M341" t="str">
            <v>A1912083</v>
          </cell>
          <cell r="N341" t="str">
            <v>E34326</v>
          </cell>
          <cell r="O341" t="str">
            <v xml:space="preserve">1.4462 UNS S31803/S32205 </v>
          </cell>
          <cell r="P341" t="str">
            <v>2205</v>
          </cell>
          <cell r="Q341">
            <v>2.323</v>
          </cell>
          <cell r="R341">
            <v>2.323</v>
          </cell>
          <cell r="S341">
            <v>4.7E-2</v>
          </cell>
          <cell r="T341">
            <v>4.7E-2</v>
          </cell>
          <cell r="V341">
            <v>4.7E-2</v>
          </cell>
          <cell r="X341">
            <v>2948</v>
          </cell>
          <cell r="Y341">
            <v>3</v>
          </cell>
          <cell r="Z341">
            <v>423.01621466494475</v>
          </cell>
          <cell r="AA341" t="str">
            <v>2.323X0.047-2205</v>
          </cell>
          <cell r="AB341" t="str">
            <v>WACN005900120B300052</v>
          </cell>
          <cell r="AC341" t="str">
            <v>D2001075</v>
          </cell>
          <cell r="AD341" t="str">
            <v>E34326</v>
          </cell>
          <cell r="AE341">
            <v>0.01</v>
          </cell>
          <cell r="AF341">
            <v>1.81</v>
          </cell>
          <cell r="AG341">
            <v>2.5999999999999999E-2</v>
          </cell>
          <cell r="AH341">
            <v>1E-3</v>
          </cell>
          <cell r="AI341">
            <v>0.46</v>
          </cell>
          <cell r="AJ341">
            <v>22.6</v>
          </cell>
          <cell r="AK341">
            <v>5.8</v>
          </cell>
          <cell r="AL341">
            <v>0.11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Y341" t="str">
            <v/>
          </cell>
          <cell r="AZ341">
            <v>2.0773000000000001</v>
          </cell>
          <cell r="BA341" t="str">
            <v>D2001075</v>
          </cell>
          <cell r="BB341" t="str">
            <v>CONFORM</v>
          </cell>
          <cell r="BC341" t="str">
            <v>CONFORM</v>
          </cell>
          <cell r="BD341" t="str">
            <v>CONFORM</v>
          </cell>
          <cell r="BE341" t="str">
            <v>CONFORM</v>
          </cell>
          <cell r="BF341" t="str">
            <v>CONFORM</v>
          </cell>
        </row>
        <row r="342">
          <cell r="A342">
            <v>43846</v>
          </cell>
          <cell r="B342" t="str">
            <v>D2001075-2</v>
          </cell>
          <cell r="C342" t="str">
            <v>047/19</v>
          </cell>
          <cell r="D342">
            <v>2</v>
          </cell>
          <cell r="E342" t="str">
            <v>JANUARY 2020</v>
          </cell>
          <cell r="F342" t="str">
            <v>DC</v>
          </cell>
          <cell r="G342" t="str">
            <v>Late</v>
          </cell>
          <cell r="H342">
            <v>1160</v>
          </cell>
          <cell r="I342">
            <v>43800</v>
          </cell>
          <cell r="J342" t="str">
            <v>ADTI</v>
          </cell>
          <cell r="K342" t="str">
            <v>D2001075</v>
          </cell>
          <cell r="L342">
            <v>2</v>
          </cell>
          <cell r="M342" t="str">
            <v>A1912083</v>
          </cell>
          <cell r="N342" t="str">
            <v>E34326</v>
          </cell>
          <cell r="O342" t="str">
            <v xml:space="preserve">1.4462 UNS S31803/S32205 </v>
          </cell>
          <cell r="P342" t="str">
            <v>2205</v>
          </cell>
          <cell r="Q342">
            <v>2.323</v>
          </cell>
          <cell r="R342">
            <v>2.323</v>
          </cell>
          <cell r="S342">
            <v>4.7E-2</v>
          </cell>
          <cell r="T342">
            <v>4.7E-2</v>
          </cell>
          <cell r="V342">
            <v>4.7E-2</v>
          </cell>
          <cell r="X342">
            <v>3948</v>
          </cell>
          <cell r="Y342">
            <v>4</v>
          </cell>
          <cell r="Z342">
            <v>424.88161859664228</v>
          </cell>
          <cell r="AA342" t="str">
            <v>2.323X0.047-2205</v>
          </cell>
          <cell r="AB342" t="str">
            <v>WACN005900120B300052</v>
          </cell>
          <cell r="AC342" t="str">
            <v>D2001075</v>
          </cell>
          <cell r="AD342" t="str">
            <v>E34326</v>
          </cell>
          <cell r="AE342">
            <v>0.01</v>
          </cell>
          <cell r="AF342">
            <v>1.81</v>
          </cell>
          <cell r="AG342">
            <v>2.5999999999999999E-2</v>
          </cell>
          <cell r="AH342">
            <v>1E-3</v>
          </cell>
          <cell r="AI342">
            <v>0.46</v>
          </cell>
          <cell r="AJ342">
            <v>22.6</v>
          </cell>
          <cell r="AK342">
            <v>5.8</v>
          </cell>
          <cell r="AL342">
            <v>0.11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Y342" t="str">
            <v/>
          </cell>
          <cell r="AZ342">
            <v>2.0773000000000001</v>
          </cell>
          <cell r="BA342" t="str">
            <v>D2001075</v>
          </cell>
          <cell r="BB342" t="str">
            <v>CONFORM</v>
          </cell>
          <cell r="BC342" t="str">
            <v>CONFORM</v>
          </cell>
          <cell r="BD342" t="str">
            <v>CONFORM</v>
          </cell>
          <cell r="BE342" t="str">
            <v>CONFORM</v>
          </cell>
          <cell r="BF342" t="str">
            <v>CONFORM</v>
          </cell>
        </row>
        <row r="343">
          <cell r="A343">
            <v>43846</v>
          </cell>
          <cell r="B343" t="str">
            <v>D2001076-1</v>
          </cell>
          <cell r="C343" t="str">
            <v>047/19</v>
          </cell>
          <cell r="D343">
            <v>3</v>
          </cell>
          <cell r="E343" t="str">
            <v>JANUARY 2020</v>
          </cell>
          <cell r="F343" t="str">
            <v>DC</v>
          </cell>
          <cell r="G343" t="str">
            <v>Late</v>
          </cell>
          <cell r="H343">
            <v>1160</v>
          </cell>
          <cell r="I343">
            <v>43800</v>
          </cell>
          <cell r="J343" t="str">
            <v>ADTI</v>
          </cell>
          <cell r="K343" t="str">
            <v>D2001076</v>
          </cell>
          <cell r="L343">
            <v>1</v>
          </cell>
          <cell r="M343" t="str">
            <v>A1912084</v>
          </cell>
          <cell r="N343" t="str">
            <v>E32849</v>
          </cell>
          <cell r="O343" t="str">
            <v xml:space="preserve">1.4462 UNS S31803/S32205 </v>
          </cell>
          <cell r="P343" t="str">
            <v>2205</v>
          </cell>
          <cell r="Q343">
            <v>2.323</v>
          </cell>
          <cell r="R343">
            <v>2.323</v>
          </cell>
          <cell r="S343">
            <v>4.7E-2</v>
          </cell>
          <cell r="T343">
            <v>4.7E-2</v>
          </cell>
          <cell r="V343">
            <v>4.7E-2</v>
          </cell>
          <cell r="X343">
            <v>5639</v>
          </cell>
          <cell r="Y343">
            <v>5</v>
          </cell>
          <cell r="Z343">
            <v>485.49289711579854</v>
          </cell>
          <cell r="AA343" t="str">
            <v>2.323X0.047-2205</v>
          </cell>
          <cell r="AB343" t="str">
            <v>WACN005900120B300052</v>
          </cell>
          <cell r="AC343" t="str">
            <v>D2001076</v>
          </cell>
          <cell r="AD343" t="str">
            <v>E32849</v>
          </cell>
          <cell r="AE343">
            <v>1.2E-2</v>
          </cell>
          <cell r="AF343">
            <v>1.81</v>
          </cell>
          <cell r="AG343">
            <v>2.7E-2</v>
          </cell>
          <cell r="AH343">
            <v>0</v>
          </cell>
          <cell r="AI343">
            <v>0.46</v>
          </cell>
          <cell r="AJ343">
            <v>22.5</v>
          </cell>
          <cell r="AK343">
            <v>5.7</v>
          </cell>
          <cell r="AL343">
            <v>0.17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Y343" t="str">
            <v/>
          </cell>
          <cell r="AZ343">
            <v>2.0773000000000001</v>
          </cell>
          <cell r="BA343" t="str">
            <v>D2001076</v>
          </cell>
          <cell r="BB343" t="str">
            <v>CONFORM</v>
          </cell>
          <cell r="BC343" t="str">
            <v>CONFORM</v>
          </cell>
          <cell r="BD343" t="str">
            <v>CONFORM</v>
          </cell>
          <cell r="BE343" t="str">
            <v>CONFORM</v>
          </cell>
          <cell r="BF343" t="str">
            <v>CONFORM</v>
          </cell>
        </row>
        <row r="344">
          <cell r="A344">
            <v>43846</v>
          </cell>
          <cell r="B344" t="str">
            <v>D2001076-2</v>
          </cell>
          <cell r="C344" t="str">
            <v>047/19</v>
          </cell>
          <cell r="D344">
            <v>4</v>
          </cell>
          <cell r="E344" t="str">
            <v>JANUARY 2020</v>
          </cell>
          <cell r="F344" t="str">
            <v>DC</v>
          </cell>
          <cell r="G344" t="str">
            <v>Late</v>
          </cell>
          <cell r="H344">
            <v>1160</v>
          </cell>
          <cell r="I344">
            <v>43800</v>
          </cell>
          <cell r="J344" t="str">
            <v>ADTI</v>
          </cell>
          <cell r="K344" t="str">
            <v>D2001076</v>
          </cell>
          <cell r="L344">
            <v>2</v>
          </cell>
          <cell r="M344" t="str">
            <v>A1912084</v>
          </cell>
          <cell r="N344" t="str">
            <v>E32849</v>
          </cell>
          <cell r="O344" t="str">
            <v xml:space="preserve">1.4462 UNS S31803/S32205 </v>
          </cell>
          <cell r="P344" t="str">
            <v>2205</v>
          </cell>
          <cell r="Q344">
            <v>2.323</v>
          </cell>
          <cell r="R344">
            <v>2.323</v>
          </cell>
          <cell r="S344">
            <v>4.7E-2</v>
          </cell>
          <cell r="T344">
            <v>4.7E-2</v>
          </cell>
          <cell r="V344">
            <v>4.7E-2</v>
          </cell>
          <cell r="X344">
            <v>5679</v>
          </cell>
          <cell r="Y344">
            <v>5</v>
          </cell>
          <cell r="Z344">
            <v>488.93671975893238</v>
          </cell>
          <cell r="AA344" t="str">
            <v>2.323X0.047-2205</v>
          </cell>
          <cell r="AB344" t="str">
            <v>WACN005900120B300052</v>
          </cell>
          <cell r="AC344" t="str">
            <v>D2001076</v>
          </cell>
          <cell r="AD344" t="str">
            <v>E32849</v>
          </cell>
          <cell r="AE344">
            <v>1.2E-2</v>
          </cell>
          <cell r="AF344">
            <v>1.81</v>
          </cell>
          <cell r="AG344">
            <v>2.7E-2</v>
          </cell>
          <cell r="AH344">
            <v>0</v>
          </cell>
          <cell r="AI344">
            <v>0.46</v>
          </cell>
          <cell r="AJ344">
            <v>22.5</v>
          </cell>
          <cell r="AK344">
            <v>5.7</v>
          </cell>
          <cell r="AL344">
            <v>0.17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Y344" t="str">
            <v/>
          </cell>
          <cell r="AZ344">
            <v>2.0773000000000001</v>
          </cell>
          <cell r="BA344" t="str">
            <v>D2001076</v>
          </cell>
          <cell r="BB344" t="str">
            <v>CONFORM</v>
          </cell>
          <cell r="BC344" t="str">
            <v>CONFORM</v>
          </cell>
          <cell r="BD344" t="str">
            <v>CONFORM</v>
          </cell>
          <cell r="BE344" t="str">
            <v>CONFORM</v>
          </cell>
          <cell r="BF344" t="str">
            <v>CONFORM</v>
          </cell>
        </row>
        <row r="345">
          <cell r="A345">
            <v>43846</v>
          </cell>
          <cell r="B345" t="str">
            <v>D2001076-3</v>
          </cell>
          <cell r="C345" t="str">
            <v>047/19</v>
          </cell>
          <cell r="D345">
            <v>5</v>
          </cell>
          <cell r="E345" t="str">
            <v>JANUARY 2020</v>
          </cell>
          <cell r="F345" t="str">
            <v>DC</v>
          </cell>
          <cell r="G345" t="str">
            <v>Late</v>
          </cell>
          <cell r="H345">
            <v>1160</v>
          </cell>
          <cell r="I345">
            <v>43800</v>
          </cell>
          <cell r="J345" t="str">
            <v>ADTI</v>
          </cell>
          <cell r="K345" t="str">
            <v>D2001076</v>
          </cell>
          <cell r="L345">
            <v>3</v>
          </cell>
          <cell r="M345" t="str">
            <v>A1912084</v>
          </cell>
          <cell r="N345" t="str">
            <v>E32849</v>
          </cell>
          <cell r="O345" t="str">
            <v xml:space="preserve">1.4462 UNS S31803/S32205 </v>
          </cell>
          <cell r="P345" t="str">
            <v>2205</v>
          </cell>
          <cell r="Q345">
            <v>2.323</v>
          </cell>
          <cell r="R345">
            <v>2.323</v>
          </cell>
          <cell r="S345">
            <v>4.7E-2</v>
          </cell>
          <cell r="T345">
            <v>4.7E-2</v>
          </cell>
          <cell r="V345">
            <v>4.7E-2</v>
          </cell>
          <cell r="X345">
            <v>5653</v>
          </cell>
          <cell r="Y345">
            <v>5</v>
          </cell>
          <cell r="Z345">
            <v>486.69823504089538</v>
          </cell>
          <cell r="AA345" t="str">
            <v>2.323X0.047-2205</v>
          </cell>
          <cell r="AB345" t="str">
            <v>WACN005900120B300052</v>
          </cell>
          <cell r="AC345" t="str">
            <v>D2001076</v>
          </cell>
          <cell r="AD345" t="str">
            <v>E32849</v>
          </cell>
          <cell r="AE345">
            <v>1.2E-2</v>
          </cell>
          <cell r="AF345">
            <v>1.81</v>
          </cell>
          <cell r="AG345">
            <v>2.7E-2</v>
          </cell>
          <cell r="AH345">
            <v>0</v>
          </cell>
          <cell r="AI345">
            <v>0.46</v>
          </cell>
          <cell r="AJ345">
            <v>22.5</v>
          </cell>
          <cell r="AK345">
            <v>5.7</v>
          </cell>
          <cell r="AL345">
            <v>0.17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Y345" t="str">
            <v/>
          </cell>
          <cell r="AZ345">
            <v>2.0773000000000001</v>
          </cell>
          <cell r="BA345" t="str">
            <v>D2001076</v>
          </cell>
          <cell r="BB345" t="str">
            <v>CONFORM</v>
          </cell>
          <cell r="BC345" t="str">
            <v>CONFORM</v>
          </cell>
          <cell r="BD345" t="str">
            <v>CONFORM</v>
          </cell>
          <cell r="BE345" t="str">
            <v>CONFORM</v>
          </cell>
          <cell r="BF345" t="str">
            <v>CONFORM</v>
          </cell>
        </row>
        <row r="346">
          <cell r="A346">
            <v>43846</v>
          </cell>
          <cell r="B346" t="str">
            <v>D2001076-4</v>
          </cell>
          <cell r="C346" t="str">
            <v>047/19</v>
          </cell>
          <cell r="D346">
            <v>6</v>
          </cell>
          <cell r="E346" t="str">
            <v>JANUARY 2020</v>
          </cell>
          <cell r="F346" t="str">
            <v>DC</v>
          </cell>
          <cell r="G346" t="str">
            <v>Late</v>
          </cell>
          <cell r="H346">
            <v>1160</v>
          </cell>
          <cell r="I346">
            <v>43800</v>
          </cell>
          <cell r="J346" t="str">
            <v>ADTI</v>
          </cell>
          <cell r="K346" t="str">
            <v>D2001076</v>
          </cell>
          <cell r="L346">
            <v>4</v>
          </cell>
          <cell r="M346" t="str">
            <v>A1912084</v>
          </cell>
          <cell r="N346" t="str">
            <v>E32849</v>
          </cell>
          <cell r="O346" t="str">
            <v xml:space="preserve">1.4462 UNS S31803/S32205 </v>
          </cell>
          <cell r="P346" t="str">
            <v>2205</v>
          </cell>
          <cell r="Q346">
            <v>2.323</v>
          </cell>
          <cell r="R346">
            <v>2.323</v>
          </cell>
          <cell r="S346">
            <v>4.7E-2</v>
          </cell>
          <cell r="T346">
            <v>4.7E-2</v>
          </cell>
          <cell r="V346">
            <v>4.7E-2</v>
          </cell>
          <cell r="X346">
            <v>5675</v>
          </cell>
          <cell r="Y346">
            <v>5</v>
          </cell>
          <cell r="Z346">
            <v>488.59233749461902</v>
          </cell>
          <cell r="AA346" t="str">
            <v>2.323X0.047-2205</v>
          </cell>
          <cell r="AB346" t="str">
            <v>WACN005900120B300052</v>
          </cell>
          <cell r="AC346" t="str">
            <v>D2001076</v>
          </cell>
          <cell r="AD346" t="str">
            <v>E32849</v>
          </cell>
          <cell r="AE346">
            <v>1.2E-2</v>
          </cell>
          <cell r="AF346">
            <v>1.81</v>
          </cell>
          <cell r="AG346">
            <v>2.7E-2</v>
          </cell>
          <cell r="AH346">
            <v>0</v>
          </cell>
          <cell r="AI346">
            <v>0.46</v>
          </cell>
          <cell r="AJ346">
            <v>22.5</v>
          </cell>
          <cell r="AK346">
            <v>5.7</v>
          </cell>
          <cell r="AL346">
            <v>0.17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Y346" t="str">
            <v/>
          </cell>
          <cell r="AZ346">
            <v>2.0773000000000001</v>
          </cell>
          <cell r="BA346" t="str">
            <v>D2001076</v>
          </cell>
          <cell r="BB346" t="str">
            <v>CONFORM</v>
          </cell>
          <cell r="BC346" t="str">
            <v>CONFORM</v>
          </cell>
          <cell r="BD346" t="str">
            <v>CONFORM</v>
          </cell>
          <cell r="BE346" t="str">
            <v>CONFORM</v>
          </cell>
          <cell r="BF346" t="str">
            <v>CONFORM</v>
          </cell>
        </row>
        <row r="347">
          <cell r="A347">
            <v>43846</v>
          </cell>
          <cell r="B347" t="str">
            <v>D2001077-1</v>
          </cell>
          <cell r="C347" t="str">
            <v>047/19</v>
          </cell>
          <cell r="D347">
            <v>7</v>
          </cell>
          <cell r="E347" t="str">
            <v>JANUARY 2020</v>
          </cell>
          <cell r="F347" t="str">
            <v>DC</v>
          </cell>
          <cell r="G347" t="str">
            <v>Late</v>
          </cell>
          <cell r="H347">
            <v>1160</v>
          </cell>
          <cell r="I347">
            <v>43800</v>
          </cell>
          <cell r="J347" t="str">
            <v>ADTI</v>
          </cell>
          <cell r="K347" t="str">
            <v>D2001077</v>
          </cell>
          <cell r="L347">
            <v>1</v>
          </cell>
          <cell r="M347" t="str">
            <v>A1912085</v>
          </cell>
          <cell r="N347">
            <v>582433</v>
          </cell>
          <cell r="O347" t="str">
            <v xml:space="preserve">1.4462 UNS S31803/S32205 </v>
          </cell>
          <cell r="P347" t="str">
            <v>2205</v>
          </cell>
          <cell r="Q347">
            <v>3.0710000000000002</v>
          </cell>
          <cell r="R347">
            <v>3.0710000000000002</v>
          </cell>
          <cell r="S347">
            <v>6.3E-2</v>
          </cell>
          <cell r="T347">
            <v>6.3E-2</v>
          </cell>
          <cell r="V347">
            <v>6.3E-2</v>
          </cell>
          <cell r="X347">
            <v>3338</v>
          </cell>
          <cell r="Y347">
            <v>4</v>
          </cell>
          <cell r="Z347">
            <v>271.73559101269944</v>
          </cell>
          <cell r="AA347" t="str">
            <v>3.071X0.063-2205</v>
          </cell>
          <cell r="AB347" t="str">
            <v>WACN007800160B300055</v>
          </cell>
          <cell r="AC347" t="str">
            <v>D2001077</v>
          </cell>
          <cell r="AD347">
            <v>582433</v>
          </cell>
          <cell r="AE347">
            <v>1.7000000000000001E-2</v>
          </cell>
          <cell r="AF347">
            <v>1.35</v>
          </cell>
          <cell r="AG347">
            <v>2.7E-2</v>
          </cell>
          <cell r="AH347">
            <v>1E-3</v>
          </cell>
          <cell r="AI347">
            <v>0.35</v>
          </cell>
          <cell r="AJ347">
            <v>22.2</v>
          </cell>
          <cell r="AK347">
            <v>5.7</v>
          </cell>
          <cell r="AL347">
            <v>0.17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Y347" t="str">
            <v/>
          </cell>
          <cell r="AZ347">
            <v>2.0773000000000001</v>
          </cell>
          <cell r="BA347" t="str">
            <v>D2001077</v>
          </cell>
          <cell r="BB347" t="str">
            <v>CONFORM</v>
          </cell>
          <cell r="BC347" t="str">
            <v>CONFORM</v>
          </cell>
          <cell r="BD347" t="str">
            <v>CONFORM</v>
          </cell>
          <cell r="BE347" t="str">
            <v>CONFORM</v>
          </cell>
          <cell r="BF347" t="str">
            <v>CONFORM</v>
          </cell>
        </row>
        <row r="348">
          <cell r="A348">
            <v>43846</v>
          </cell>
          <cell r="B348" t="str">
            <v>D2001077-2</v>
          </cell>
          <cell r="C348" t="str">
            <v>047/19</v>
          </cell>
          <cell r="D348">
            <v>8</v>
          </cell>
          <cell r="E348" t="str">
            <v>JANUARY 2020</v>
          </cell>
          <cell r="F348" t="str">
            <v>DC</v>
          </cell>
          <cell r="G348" t="str">
            <v>Late</v>
          </cell>
          <cell r="H348">
            <v>1160</v>
          </cell>
          <cell r="I348">
            <v>43800</v>
          </cell>
          <cell r="J348" t="str">
            <v>ADTI</v>
          </cell>
          <cell r="K348" t="str">
            <v>D2001077</v>
          </cell>
          <cell r="L348">
            <v>2</v>
          </cell>
          <cell r="M348" t="str">
            <v>A1912085</v>
          </cell>
          <cell r="N348">
            <v>582433</v>
          </cell>
          <cell r="O348" t="str">
            <v xml:space="preserve">1.4462 UNS S31803/S32205 </v>
          </cell>
          <cell r="P348" t="str">
            <v>2205</v>
          </cell>
          <cell r="Q348">
            <v>3.0710000000000002</v>
          </cell>
          <cell r="R348">
            <v>3.0710000000000002</v>
          </cell>
          <cell r="S348">
            <v>6.3E-2</v>
          </cell>
          <cell r="T348">
            <v>6.3E-2</v>
          </cell>
          <cell r="V348">
            <v>6.3E-2</v>
          </cell>
          <cell r="X348">
            <v>3364</v>
          </cell>
          <cell r="Y348">
            <v>4</v>
          </cell>
          <cell r="Z348">
            <v>273.85216541843045</v>
          </cell>
          <cell r="AA348" t="str">
            <v>3.071X0.063-2205</v>
          </cell>
          <cell r="AB348" t="str">
            <v>WACN007800160B300055</v>
          </cell>
          <cell r="AC348" t="str">
            <v>D2001077</v>
          </cell>
          <cell r="AD348">
            <v>582433</v>
          </cell>
          <cell r="AE348">
            <v>1.7000000000000001E-2</v>
          </cell>
          <cell r="AF348">
            <v>1.35</v>
          </cell>
          <cell r="AG348">
            <v>2.7E-2</v>
          </cell>
          <cell r="AH348">
            <v>1E-3</v>
          </cell>
          <cell r="AI348">
            <v>0.35</v>
          </cell>
          <cell r="AJ348">
            <v>22.2</v>
          </cell>
          <cell r="AK348">
            <v>5.7</v>
          </cell>
          <cell r="AL348">
            <v>0.17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Y348" t="str">
            <v/>
          </cell>
          <cell r="AZ348">
            <v>2.0773000000000001</v>
          </cell>
          <cell r="BA348" t="str">
            <v>D2001077</v>
          </cell>
          <cell r="BB348" t="str">
            <v>CONFORM</v>
          </cell>
          <cell r="BC348" t="str">
            <v>CONFORM</v>
          </cell>
          <cell r="BD348" t="str">
            <v>CONFORM</v>
          </cell>
          <cell r="BE348" t="str">
            <v>CONFORM</v>
          </cell>
          <cell r="BF348" t="str">
            <v>CONFORM</v>
          </cell>
        </row>
        <row r="349">
          <cell r="A349">
            <v>43850</v>
          </cell>
          <cell r="B349" t="str">
            <v>D2001095-1</v>
          </cell>
          <cell r="C349" t="str">
            <v>044/19</v>
          </cell>
          <cell r="D349">
            <v>1</v>
          </cell>
          <cell r="E349" t="str">
            <v>JANUARY 2020</v>
          </cell>
          <cell r="F349" t="str">
            <v>DC</v>
          </cell>
          <cell r="G349" t="str">
            <v>Late</v>
          </cell>
          <cell r="H349" t="str">
            <v>L341316</v>
          </cell>
          <cell r="I349">
            <v>43847</v>
          </cell>
          <cell r="J349" t="str">
            <v>ATI</v>
          </cell>
          <cell r="K349" t="str">
            <v>D2001095</v>
          </cell>
          <cell r="L349">
            <v>1</v>
          </cell>
          <cell r="M349" t="str">
            <v>AAC87913</v>
          </cell>
          <cell r="N349">
            <v>859682</v>
          </cell>
          <cell r="O349" t="str">
            <v xml:space="preserve">1.4306 TP304L </v>
          </cell>
          <cell r="P349" t="str">
            <v>304L</v>
          </cell>
          <cell r="Q349">
            <v>3.9129999999999998</v>
          </cell>
          <cell r="R349">
            <v>3.9119999999999999</v>
          </cell>
          <cell r="S349">
            <v>4.7E-2</v>
          </cell>
          <cell r="T349">
            <v>4.3999999999999997E-2</v>
          </cell>
          <cell r="V349">
            <v>4.3999999999999997E-2</v>
          </cell>
          <cell r="X349">
            <v>5008</v>
          </cell>
          <cell r="Y349">
            <v>3</v>
          </cell>
          <cell r="Z349">
            <v>426.61214754238011</v>
          </cell>
          <cell r="AA349" t="str">
            <v>3.913X0.047-304L</v>
          </cell>
          <cell r="AB349" t="str">
            <v>WAAC009940120B300053</v>
          </cell>
          <cell r="AC349" t="str">
            <v>D2001095</v>
          </cell>
          <cell r="AD349">
            <v>859682</v>
          </cell>
          <cell r="AE349">
            <v>2.3E-2</v>
          </cell>
          <cell r="AF349">
            <v>1.68</v>
          </cell>
          <cell r="AG349">
            <v>3.5999999999999997E-2</v>
          </cell>
          <cell r="AH349">
            <v>0</v>
          </cell>
          <cell r="AI349">
            <v>0.42</v>
          </cell>
          <cell r="AJ349">
            <v>18.2</v>
          </cell>
          <cell r="AK349">
            <v>8.5</v>
          </cell>
          <cell r="AL349">
            <v>7.0000000000000007E-2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Y349" t="str">
            <v/>
          </cell>
          <cell r="AZ349">
            <v>1.4881</v>
          </cell>
          <cell r="BA349" t="str">
            <v>D2001095</v>
          </cell>
          <cell r="BB349" t="str">
            <v>CONFORM</v>
          </cell>
          <cell r="BC349" t="str">
            <v>CONFORM</v>
          </cell>
          <cell r="BD349" t="str">
            <v>CONFORM</v>
          </cell>
          <cell r="BE349" t="str">
            <v>CONFORM</v>
          </cell>
          <cell r="BF349" t="str">
            <v>CONFORM</v>
          </cell>
        </row>
        <row r="350">
          <cell r="A350">
            <v>43850</v>
          </cell>
          <cell r="B350" t="str">
            <v>D2001095-2</v>
          </cell>
          <cell r="C350" t="str">
            <v>044/19</v>
          </cell>
          <cell r="D350">
            <v>1</v>
          </cell>
          <cell r="E350" t="str">
            <v>JANUARY 2020</v>
          </cell>
          <cell r="F350" t="str">
            <v>DC</v>
          </cell>
          <cell r="G350" t="str">
            <v>Late</v>
          </cell>
          <cell r="H350" t="str">
            <v>L341316</v>
          </cell>
          <cell r="I350">
            <v>43847</v>
          </cell>
          <cell r="J350" t="str">
            <v>ATI</v>
          </cell>
          <cell r="K350" t="str">
            <v>D2001095</v>
          </cell>
          <cell r="L350">
            <v>2</v>
          </cell>
          <cell r="M350" t="str">
            <v>AAC87913</v>
          </cell>
          <cell r="N350">
            <v>859682</v>
          </cell>
          <cell r="O350" t="str">
            <v xml:space="preserve">1.4306 TP304L </v>
          </cell>
          <cell r="P350" t="str">
            <v>304L</v>
          </cell>
          <cell r="Q350">
            <v>3.9129999999999998</v>
          </cell>
          <cell r="R350">
            <v>3.9119999999999999</v>
          </cell>
          <cell r="S350">
            <v>4.7E-2</v>
          </cell>
          <cell r="T350">
            <v>4.3999999999999997E-2</v>
          </cell>
          <cell r="V350">
            <v>4.3999999999999997E-2</v>
          </cell>
          <cell r="X350">
            <v>5046</v>
          </cell>
          <cell r="Y350">
            <v>3</v>
          </cell>
          <cell r="Z350">
            <v>429.84922054689497</v>
          </cell>
          <cell r="AA350" t="str">
            <v>3.913X0.047-304L</v>
          </cell>
          <cell r="AB350" t="str">
            <v>WAAC009940120B300053</v>
          </cell>
          <cell r="AC350" t="str">
            <v>D2001095</v>
          </cell>
          <cell r="AD350">
            <v>859682</v>
          </cell>
          <cell r="AE350">
            <v>2.3E-2</v>
          </cell>
          <cell r="AF350">
            <v>1.68</v>
          </cell>
          <cell r="AG350">
            <v>3.5999999999999997E-2</v>
          </cell>
          <cell r="AH350">
            <v>0</v>
          </cell>
          <cell r="AI350">
            <v>0.42</v>
          </cell>
          <cell r="AJ350">
            <v>18.2</v>
          </cell>
          <cell r="AK350">
            <v>8.5</v>
          </cell>
          <cell r="AL350">
            <v>7.0000000000000007E-2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Y350" t="str">
            <v/>
          </cell>
          <cell r="AZ350">
            <v>1.4881</v>
          </cell>
          <cell r="BA350" t="str">
            <v>D2001095</v>
          </cell>
          <cell r="BB350" t="str">
            <v>CONFORM</v>
          </cell>
          <cell r="BC350" t="str">
            <v>CONFORM</v>
          </cell>
          <cell r="BD350" t="str">
            <v>CONFORM</v>
          </cell>
          <cell r="BE350" t="str">
            <v>CONFORM</v>
          </cell>
          <cell r="BF350" t="str">
            <v>CONFORM</v>
          </cell>
        </row>
        <row r="351">
          <cell r="A351">
            <v>43850</v>
          </cell>
          <cell r="B351" t="str">
            <v>D2001095-3</v>
          </cell>
          <cell r="C351" t="str">
            <v>044/19</v>
          </cell>
          <cell r="D351">
            <v>1</v>
          </cell>
          <cell r="E351" t="str">
            <v>JANUARY 2020</v>
          </cell>
          <cell r="F351" t="str">
            <v>DC</v>
          </cell>
          <cell r="G351" t="str">
            <v>Late</v>
          </cell>
          <cell r="H351" t="str">
            <v>L341316</v>
          </cell>
          <cell r="I351">
            <v>43847</v>
          </cell>
          <cell r="J351" t="str">
            <v>ATI</v>
          </cell>
          <cell r="K351" t="str">
            <v>D2001095</v>
          </cell>
          <cell r="L351">
            <v>3</v>
          </cell>
          <cell r="M351" t="str">
            <v>AAC87913</v>
          </cell>
          <cell r="N351">
            <v>859682</v>
          </cell>
          <cell r="O351" t="str">
            <v xml:space="preserve">1.4306 TP304L </v>
          </cell>
          <cell r="P351" t="str">
            <v>304L</v>
          </cell>
          <cell r="Q351">
            <v>3.9129999999999998</v>
          </cell>
          <cell r="R351">
            <v>3.9119999999999999</v>
          </cell>
          <cell r="S351">
            <v>4.7E-2</v>
          </cell>
          <cell r="T351">
            <v>4.3999999999999997E-2</v>
          </cell>
          <cell r="V351">
            <v>4.3999999999999997E-2</v>
          </cell>
          <cell r="X351">
            <v>5042</v>
          </cell>
          <cell r="Y351">
            <v>3</v>
          </cell>
          <cell r="Z351">
            <v>429.50847602010396</v>
          </cell>
          <cell r="AA351" t="str">
            <v>3.913X0.047-304L</v>
          </cell>
          <cell r="AB351" t="str">
            <v>WAAC009940120B300053</v>
          </cell>
          <cell r="AC351" t="str">
            <v>D2001095</v>
          </cell>
          <cell r="AD351">
            <v>859682</v>
          </cell>
          <cell r="AE351">
            <v>2.3E-2</v>
          </cell>
          <cell r="AF351">
            <v>1.68</v>
          </cell>
          <cell r="AG351">
            <v>3.5999999999999997E-2</v>
          </cell>
          <cell r="AH351">
            <v>0</v>
          </cell>
          <cell r="AI351">
            <v>0.42</v>
          </cell>
          <cell r="AJ351">
            <v>18.2</v>
          </cell>
          <cell r="AK351">
            <v>8.5</v>
          </cell>
          <cell r="AL351">
            <v>7.0000000000000007E-2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Y351" t="str">
            <v/>
          </cell>
          <cell r="AZ351">
            <v>1.4881</v>
          </cell>
          <cell r="BA351" t="str">
            <v>D2001095</v>
          </cell>
          <cell r="BB351" t="str">
            <v>CONFORM</v>
          </cell>
          <cell r="BC351" t="str">
            <v>CONFORM</v>
          </cell>
          <cell r="BD351" t="str">
            <v>CONFORM</v>
          </cell>
          <cell r="BE351" t="str">
            <v>CONFORM</v>
          </cell>
          <cell r="BF351" t="str">
            <v>CONFORM</v>
          </cell>
        </row>
        <row r="352">
          <cell r="A352">
            <v>43850</v>
          </cell>
          <cell r="B352" t="str">
            <v>D2001095-4</v>
          </cell>
          <cell r="C352" t="str">
            <v>044/19</v>
          </cell>
          <cell r="D352">
            <v>1</v>
          </cell>
          <cell r="E352" t="str">
            <v>JANUARY 2020</v>
          </cell>
          <cell r="F352" t="str">
            <v>DC</v>
          </cell>
          <cell r="G352" t="str">
            <v>Late</v>
          </cell>
          <cell r="H352" t="str">
            <v>L341316</v>
          </cell>
          <cell r="I352">
            <v>43847</v>
          </cell>
          <cell r="J352" t="str">
            <v>ATI</v>
          </cell>
          <cell r="K352" t="str">
            <v>D2001095</v>
          </cell>
          <cell r="L352">
            <v>4</v>
          </cell>
          <cell r="M352" t="str">
            <v>AAC87913</v>
          </cell>
          <cell r="N352">
            <v>859682</v>
          </cell>
          <cell r="O352" t="str">
            <v xml:space="preserve">1.4306 TP304L </v>
          </cell>
          <cell r="P352" t="str">
            <v>304L</v>
          </cell>
          <cell r="Q352">
            <v>3.9129999999999998</v>
          </cell>
          <cell r="R352">
            <v>3.9119999999999999</v>
          </cell>
          <cell r="S352">
            <v>4.7E-2</v>
          </cell>
          <cell r="T352">
            <v>4.3999999999999997E-2</v>
          </cell>
          <cell r="V352">
            <v>4.3999999999999997E-2</v>
          </cell>
          <cell r="X352">
            <v>4942</v>
          </cell>
          <cell r="Y352">
            <v>3</v>
          </cell>
          <cell r="Z352">
            <v>420.989862850328</v>
          </cell>
          <cell r="AA352" t="str">
            <v>3.913X0.047-304L</v>
          </cell>
          <cell r="AB352" t="str">
            <v>WAAC009940120B300053</v>
          </cell>
          <cell r="AC352" t="str">
            <v>D2001095</v>
          </cell>
          <cell r="AD352">
            <v>859682</v>
          </cell>
          <cell r="AE352">
            <v>2.3E-2</v>
          </cell>
          <cell r="AF352">
            <v>1.68</v>
          </cell>
          <cell r="AG352">
            <v>3.5999999999999997E-2</v>
          </cell>
          <cell r="AH352">
            <v>0</v>
          </cell>
          <cell r="AI352">
            <v>0.42</v>
          </cell>
          <cell r="AJ352">
            <v>18.2</v>
          </cell>
          <cell r="AK352">
            <v>8.5</v>
          </cell>
          <cell r="AL352">
            <v>7.0000000000000007E-2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Y352" t="str">
            <v/>
          </cell>
          <cell r="AZ352">
            <v>1.4881</v>
          </cell>
          <cell r="BA352" t="str">
            <v>D2001095</v>
          </cell>
          <cell r="BB352" t="str">
            <v>CONFORM</v>
          </cell>
          <cell r="BC352" t="str">
            <v>CONFORM</v>
          </cell>
          <cell r="BD352" t="str">
            <v>CONFORM</v>
          </cell>
          <cell r="BE352" t="str">
            <v>CONFORM</v>
          </cell>
          <cell r="BF352" t="str">
            <v>CONFORM</v>
          </cell>
        </row>
        <row r="353">
          <cell r="A353">
            <v>43857</v>
          </cell>
          <cell r="B353" t="str">
            <v>D2001120-1</v>
          </cell>
          <cell r="C353" t="str">
            <v>044/19</v>
          </cell>
          <cell r="D353">
            <v>1</v>
          </cell>
          <cell r="E353" t="str">
            <v>JANUARY 2020</v>
          </cell>
          <cell r="F353" t="str">
            <v>DC</v>
          </cell>
          <cell r="G353" t="str">
            <v>Late</v>
          </cell>
          <cell r="H353" t="str">
            <v>L343548</v>
          </cell>
          <cell r="I353">
            <v>43854</v>
          </cell>
          <cell r="J353" t="str">
            <v>ATI</v>
          </cell>
          <cell r="K353" t="str">
            <v>D2001120</v>
          </cell>
          <cell r="L353">
            <v>1</v>
          </cell>
          <cell r="M353" t="str">
            <v>AAC88704</v>
          </cell>
          <cell r="N353">
            <v>859754</v>
          </cell>
          <cell r="O353" t="str">
            <v xml:space="preserve">1.4306 TP304L </v>
          </cell>
          <cell r="P353" t="str">
            <v>304L</v>
          </cell>
          <cell r="Q353">
            <v>3.9129999999999998</v>
          </cell>
          <cell r="R353">
            <v>3.9129999999999998</v>
          </cell>
          <cell r="S353">
            <v>4.7E-2</v>
          </cell>
          <cell r="T353">
            <v>4.4999999999999998E-2</v>
          </cell>
          <cell r="V353">
            <v>4.4999999999999998E-2</v>
          </cell>
          <cell r="X353">
            <v>3586</v>
          </cell>
          <cell r="Y353">
            <v>1</v>
          </cell>
          <cell r="Z353">
            <v>916.43240480449788</v>
          </cell>
          <cell r="AA353" t="str">
            <v>3.913X0.047-304L</v>
          </cell>
          <cell r="AB353" t="str">
            <v>WAAC009940120B300053</v>
          </cell>
          <cell r="AC353" t="str">
            <v>D2001120</v>
          </cell>
          <cell r="AD353">
            <v>859754</v>
          </cell>
          <cell r="AE353">
            <v>1.7999999999999999E-2</v>
          </cell>
          <cell r="AF353">
            <v>1.6</v>
          </cell>
          <cell r="AG353">
            <v>3.2000000000000001E-2</v>
          </cell>
          <cell r="AH353">
            <v>1E-4</v>
          </cell>
          <cell r="AI353">
            <v>0.33</v>
          </cell>
          <cell r="AJ353">
            <v>16.8</v>
          </cell>
          <cell r="AK353">
            <v>10.1</v>
          </cell>
          <cell r="AL353">
            <v>0.05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Y353" t="str">
            <v/>
          </cell>
          <cell r="AZ353">
            <v>1.4881</v>
          </cell>
          <cell r="BA353" t="str">
            <v>D2001120</v>
          </cell>
          <cell r="BB353" t="str">
            <v>CONFORM</v>
          </cell>
          <cell r="BC353" t="str">
            <v>CONFORM</v>
          </cell>
          <cell r="BD353" t="str">
            <v>CONFORM</v>
          </cell>
          <cell r="BE353" t="str">
            <v>CONFORM</v>
          </cell>
          <cell r="BF353" t="str">
            <v>CONFORM</v>
          </cell>
        </row>
        <row r="354">
          <cell r="A354">
            <v>43857</v>
          </cell>
          <cell r="B354" t="str">
            <v>D2001120-2</v>
          </cell>
          <cell r="C354" t="str">
            <v>044/19</v>
          </cell>
          <cell r="D354">
            <v>1</v>
          </cell>
          <cell r="E354" t="str">
            <v>JANUARY 2020</v>
          </cell>
          <cell r="F354" t="str">
            <v>DC</v>
          </cell>
          <cell r="G354" t="str">
            <v>Late</v>
          </cell>
          <cell r="H354" t="str">
            <v>L343548</v>
          </cell>
          <cell r="I354">
            <v>43854</v>
          </cell>
          <cell r="J354" t="str">
            <v>ATI</v>
          </cell>
          <cell r="K354" t="str">
            <v>D2001120</v>
          </cell>
          <cell r="L354">
            <v>2</v>
          </cell>
          <cell r="M354" t="str">
            <v>AAC88704</v>
          </cell>
          <cell r="N354">
            <v>859754</v>
          </cell>
          <cell r="O354" t="str">
            <v xml:space="preserve">1.4306 TP304L </v>
          </cell>
          <cell r="P354" t="str">
            <v>304L</v>
          </cell>
          <cell r="Q354">
            <v>3.9129999999999998</v>
          </cell>
          <cell r="R354">
            <v>3.9129999999999998</v>
          </cell>
          <cell r="S354">
            <v>4.7E-2</v>
          </cell>
          <cell r="T354">
            <v>4.4999999999999998E-2</v>
          </cell>
          <cell r="V354">
            <v>4.4999999999999998E-2</v>
          </cell>
          <cell r="X354">
            <v>3606</v>
          </cell>
          <cell r="Y354">
            <v>1</v>
          </cell>
          <cell r="Z354">
            <v>921.54357270636342</v>
          </cell>
          <cell r="AA354" t="str">
            <v>3.913X0.047-304L</v>
          </cell>
          <cell r="AB354" t="str">
            <v>WAAC009940120B300053</v>
          </cell>
          <cell r="AC354" t="str">
            <v>D2001120</v>
          </cell>
          <cell r="AD354">
            <v>859754</v>
          </cell>
          <cell r="AE354">
            <v>1.7999999999999999E-2</v>
          </cell>
          <cell r="AF354">
            <v>1.6</v>
          </cell>
          <cell r="AG354">
            <v>3.2000000000000001E-2</v>
          </cell>
          <cell r="AH354">
            <v>1E-4</v>
          </cell>
          <cell r="AI354">
            <v>0.33</v>
          </cell>
          <cell r="AJ354">
            <v>16.8</v>
          </cell>
          <cell r="AK354">
            <v>10.1</v>
          </cell>
          <cell r="AL354">
            <v>0.05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Y354" t="str">
            <v/>
          </cell>
          <cell r="AZ354">
            <v>1.4881</v>
          </cell>
          <cell r="BA354" t="str">
            <v>D2001120</v>
          </cell>
          <cell r="BB354" t="str">
            <v>CONFORM</v>
          </cell>
          <cell r="BC354" t="str">
            <v>CONFORM</v>
          </cell>
          <cell r="BD354" t="str">
            <v>CONFORM</v>
          </cell>
          <cell r="BE354" t="str">
            <v>CONFORM</v>
          </cell>
          <cell r="BF354" t="str">
            <v>CONFORM</v>
          </cell>
        </row>
        <row r="355">
          <cell r="A355">
            <v>43857</v>
          </cell>
          <cell r="B355" t="str">
            <v>D2001120-3</v>
          </cell>
          <cell r="C355" t="str">
            <v>044/19</v>
          </cell>
          <cell r="D355">
            <v>1</v>
          </cell>
          <cell r="E355" t="str">
            <v>JANUARY 2020</v>
          </cell>
          <cell r="F355" t="str">
            <v>DC</v>
          </cell>
          <cell r="G355" t="str">
            <v>Late</v>
          </cell>
          <cell r="H355" t="str">
            <v>L343548</v>
          </cell>
          <cell r="I355">
            <v>43854</v>
          </cell>
          <cell r="J355" t="str">
            <v>ATI</v>
          </cell>
          <cell r="K355" t="str">
            <v>D2001120</v>
          </cell>
          <cell r="L355">
            <v>3</v>
          </cell>
          <cell r="M355" t="str">
            <v>AAC88704</v>
          </cell>
          <cell r="N355">
            <v>859754</v>
          </cell>
          <cell r="O355" t="str">
            <v xml:space="preserve">1.4306 TP304L </v>
          </cell>
          <cell r="P355" t="str">
            <v>304L</v>
          </cell>
          <cell r="Q355">
            <v>3.9129999999999998</v>
          </cell>
          <cell r="R355">
            <v>3.9129999999999998</v>
          </cell>
          <cell r="S355">
            <v>4.7E-2</v>
          </cell>
          <cell r="T355">
            <v>4.4999999999999998E-2</v>
          </cell>
          <cell r="V355">
            <v>4.4999999999999998E-2</v>
          </cell>
          <cell r="X355">
            <v>3628</v>
          </cell>
          <cell r="Y355">
            <v>1</v>
          </cell>
          <cell r="Z355">
            <v>927.1658573984156</v>
          </cell>
          <cell r="AA355" t="str">
            <v>3.913X0.047-304L</v>
          </cell>
          <cell r="AB355" t="str">
            <v>WAAC009940120B300053</v>
          </cell>
          <cell r="AC355" t="str">
            <v>D2001120</v>
          </cell>
          <cell r="AD355">
            <v>859754</v>
          </cell>
          <cell r="AE355">
            <v>1.7999999999999999E-2</v>
          </cell>
          <cell r="AF355">
            <v>1.6</v>
          </cell>
          <cell r="AG355">
            <v>3.2000000000000001E-2</v>
          </cell>
          <cell r="AH355">
            <v>1E-4</v>
          </cell>
          <cell r="AI355">
            <v>0.33</v>
          </cell>
          <cell r="AJ355">
            <v>16.8</v>
          </cell>
          <cell r="AK355">
            <v>10.1</v>
          </cell>
          <cell r="AL355">
            <v>0.05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Y355" t="str">
            <v/>
          </cell>
          <cell r="AZ355">
            <v>1.4881</v>
          </cell>
          <cell r="BA355" t="str">
            <v>D2001120</v>
          </cell>
          <cell r="BB355" t="str">
            <v>CONFORM</v>
          </cell>
          <cell r="BC355" t="str">
            <v>CONFORM</v>
          </cell>
          <cell r="BD355" t="str">
            <v>CONFORM</v>
          </cell>
          <cell r="BE355" t="str">
            <v>CONFORM</v>
          </cell>
          <cell r="BF355" t="str">
            <v>CONFORM</v>
          </cell>
        </row>
        <row r="356">
          <cell r="A356">
            <v>43857</v>
          </cell>
          <cell r="B356" t="str">
            <v>D2001120-4</v>
          </cell>
          <cell r="C356" t="str">
            <v>044/19</v>
          </cell>
          <cell r="D356">
            <v>1</v>
          </cell>
          <cell r="E356" t="str">
            <v>JANUARY 2020</v>
          </cell>
          <cell r="F356" t="str">
            <v>DC</v>
          </cell>
          <cell r="G356" t="str">
            <v>Late</v>
          </cell>
          <cell r="H356" t="str">
            <v>L343548</v>
          </cell>
          <cell r="I356">
            <v>43854</v>
          </cell>
          <cell r="J356" t="str">
            <v>ATI</v>
          </cell>
          <cell r="K356" t="str">
            <v>D2001120</v>
          </cell>
          <cell r="L356">
            <v>4</v>
          </cell>
          <cell r="M356" t="str">
            <v>AAC88704</v>
          </cell>
          <cell r="N356">
            <v>859754</v>
          </cell>
          <cell r="O356" t="str">
            <v xml:space="preserve">1.4306 TP304L </v>
          </cell>
          <cell r="P356" t="str">
            <v>304L</v>
          </cell>
          <cell r="Q356">
            <v>3.9129999999999998</v>
          </cell>
          <cell r="R356">
            <v>3.9129999999999998</v>
          </cell>
          <cell r="S356">
            <v>4.7E-2</v>
          </cell>
          <cell r="T356">
            <v>4.4999999999999998E-2</v>
          </cell>
          <cell r="V356">
            <v>4.4999999999999998E-2</v>
          </cell>
          <cell r="X356">
            <v>3638</v>
          </cell>
          <cell r="Y356">
            <v>1</v>
          </cell>
          <cell r="Z356">
            <v>929.72144134934842</v>
          </cell>
          <cell r="AA356" t="str">
            <v>3.913X0.047-304L</v>
          </cell>
          <cell r="AB356" t="str">
            <v>WAAC009940120B300053</v>
          </cell>
          <cell r="AC356" t="str">
            <v>D2001120</v>
          </cell>
          <cell r="AD356">
            <v>859754</v>
          </cell>
          <cell r="AE356">
            <v>1.7999999999999999E-2</v>
          </cell>
          <cell r="AF356">
            <v>1.6</v>
          </cell>
          <cell r="AG356">
            <v>3.2000000000000001E-2</v>
          </cell>
          <cell r="AH356">
            <v>1E-4</v>
          </cell>
          <cell r="AI356">
            <v>0.33</v>
          </cell>
          <cell r="AJ356">
            <v>16.8</v>
          </cell>
          <cell r="AK356">
            <v>10.1</v>
          </cell>
          <cell r="AL356">
            <v>0.05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Y356" t="str">
            <v/>
          </cell>
          <cell r="AZ356">
            <v>1.4881</v>
          </cell>
          <cell r="BA356" t="str">
            <v>D2001120</v>
          </cell>
          <cell r="BB356" t="str">
            <v>CONFORM</v>
          </cell>
          <cell r="BC356" t="str">
            <v>CONFORM</v>
          </cell>
          <cell r="BD356" t="str">
            <v>CONFORM</v>
          </cell>
          <cell r="BE356" t="str">
            <v>CONFORM</v>
          </cell>
          <cell r="BF356" t="str">
            <v>CONFORM</v>
          </cell>
        </row>
        <row r="357">
          <cell r="A357">
            <v>43857</v>
          </cell>
          <cell r="B357" t="str">
            <v>D2001120-5</v>
          </cell>
          <cell r="C357" t="str">
            <v>044/19</v>
          </cell>
          <cell r="D357">
            <v>1</v>
          </cell>
          <cell r="E357" t="str">
            <v>JANUARY 2020</v>
          </cell>
          <cell r="F357" t="str">
            <v>DC</v>
          </cell>
          <cell r="G357" t="str">
            <v>Late</v>
          </cell>
          <cell r="H357" t="str">
            <v>L343548</v>
          </cell>
          <cell r="I357">
            <v>43854</v>
          </cell>
          <cell r="J357" t="str">
            <v>ATI</v>
          </cell>
          <cell r="K357" t="str">
            <v>D2001120</v>
          </cell>
          <cell r="L357">
            <v>5</v>
          </cell>
          <cell r="M357" t="str">
            <v>AAC88704</v>
          </cell>
          <cell r="N357">
            <v>859754</v>
          </cell>
          <cell r="O357" t="str">
            <v xml:space="preserve">1.4306 TP304L </v>
          </cell>
          <cell r="P357" t="str">
            <v>304L</v>
          </cell>
          <cell r="Q357">
            <v>3.9129999999999998</v>
          </cell>
          <cell r="R357">
            <v>3.9129999999999998</v>
          </cell>
          <cell r="S357">
            <v>4.7E-2</v>
          </cell>
          <cell r="T357">
            <v>4.4999999999999998E-2</v>
          </cell>
          <cell r="V357">
            <v>4.4999999999999998E-2</v>
          </cell>
          <cell r="X357">
            <v>3644</v>
          </cell>
          <cell r="Y357">
            <v>1</v>
          </cell>
          <cell r="Z357">
            <v>931.2547917199081</v>
          </cell>
          <cell r="AA357" t="str">
            <v>3.913X0.047-304L</v>
          </cell>
          <cell r="AB357" t="str">
            <v>WAAC009940120B300053</v>
          </cell>
          <cell r="AC357" t="str">
            <v>D2001120</v>
          </cell>
          <cell r="AD357">
            <v>859754</v>
          </cell>
          <cell r="AE357">
            <v>1.7999999999999999E-2</v>
          </cell>
          <cell r="AF357">
            <v>1.6</v>
          </cell>
          <cell r="AG357">
            <v>3.2000000000000001E-2</v>
          </cell>
          <cell r="AH357">
            <v>1E-4</v>
          </cell>
          <cell r="AI357">
            <v>0.33</v>
          </cell>
          <cell r="AJ357">
            <v>16.8</v>
          </cell>
          <cell r="AK357">
            <v>10.1</v>
          </cell>
          <cell r="AL357">
            <v>0.05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Y357" t="str">
            <v/>
          </cell>
          <cell r="AZ357">
            <v>1.4881</v>
          </cell>
          <cell r="BA357" t="str">
            <v>D2001120</v>
          </cell>
          <cell r="BB357" t="str">
            <v>CONFORM</v>
          </cell>
          <cell r="BC357" t="str">
            <v>CONFORM</v>
          </cell>
          <cell r="BD357" t="str">
            <v>CONFORM</v>
          </cell>
          <cell r="BE357" t="str">
            <v>CONFORM</v>
          </cell>
          <cell r="BF357" t="str">
            <v>CONFORM</v>
          </cell>
        </row>
        <row r="358">
          <cell r="A358">
            <v>43857</v>
          </cell>
          <cell r="B358" t="str">
            <v>D2001120-6</v>
          </cell>
          <cell r="C358" t="str">
            <v>044/19</v>
          </cell>
          <cell r="D358">
            <v>1</v>
          </cell>
          <cell r="E358" t="str">
            <v>JANUARY 2020</v>
          </cell>
          <cell r="F358" t="str">
            <v>DC</v>
          </cell>
          <cell r="G358" t="str">
            <v>Late</v>
          </cell>
          <cell r="H358" t="str">
            <v>L343548</v>
          </cell>
          <cell r="I358">
            <v>43854</v>
          </cell>
          <cell r="J358" t="str">
            <v>ATI</v>
          </cell>
          <cell r="K358" t="str">
            <v>D2001120</v>
          </cell>
          <cell r="L358">
            <v>6</v>
          </cell>
          <cell r="M358" t="str">
            <v>AAC88704</v>
          </cell>
          <cell r="N358">
            <v>859754</v>
          </cell>
          <cell r="O358" t="str">
            <v xml:space="preserve">1.4306 TP304L </v>
          </cell>
          <cell r="P358" t="str">
            <v>304L</v>
          </cell>
          <cell r="Q358">
            <v>3.9129999999999998</v>
          </cell>
          <cell r="R358">
            <v>3.9129999999999998</v>
          </cell>
          <cell r="S358">
            <v>4.7E-2</v>
          </cell>
          <cell r="T358">
            <v>4.4999999999999998E-2</v>
          </cell>
          <cell r="V358">
            <v>4.4999999999999998E-2</v>
          </cell>
          <cell r="X358">
            <v>3644</v>
          </cell>
          <cell r="Y358">
            <v>1</v>
          </cell>
          <cell r="Z358">
            <v>931.2547917199081</v>
          </cell>
          <cell r="AA358" t="str">
            <v>3.913X0.047-304L</v>
          </cell>
          <cell r="AB358" t="str">
            <v>WAAC009940120B300053</v>
          </cell>
          <cell r="AC358" t="str">
            <v>D2001120</v>
          </cell>
          <cell r="AD358">
            <v>859754</v>
          </cell>
          <cell r="AE358">
            <v>1.7999999999999999E-2</v>
          </cell>
          <cell r="AF358">
            <v>1.6</v>
          </cell>
          <cell r="AG358">
            <v>3.2000000000000001E-2</v>
          </cell>
          <cell r="AH358">
            <v>1E-4</v>
          </cell>
          <cell r="AI358">
            <v>0.33</v>
          </cell>
          <cell r="AJ358">
            <v>16.8</v>
          </cell>
          <cell r="AK358">
            <v>10.1</v>
          </cell>
          <cell r="AL358">
            <v>0.05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Y358" t="str">
            <v/>
          </cell>
          <cell r="AZ358">
            <v>1.4881</v>
          </cell>
          <cell r="BA358" t="str">
            <v>D2001120</v>
          </cell>
          <cell r="BB358" t="str">
            <v>CONFORM</v>
          </cell>
          <cell r="BC358" t="str">
            <v>CONFORM</v>
          </cell>
          <cell r="BD358" t="str">
            <v>CONFORM</v>
          </cell>
          <cell r="BE358" t="str">
            <v>CONFORM</v>
          </cell>
          <cell r="BF358" t="str">
            <v>CONFORM</v>
          </cell>
        </row>
        <row r="359">
          <cell r="A359">
            <v>43857</v>
          </cell>
          <cell r="B359" t="str">
            <v>D2001120-7</v>
          </cell>
          <cell r="C359" t="str">
            <v>044/19</v>
          </cell>
          <cell r="D359">
            <v>1</v>
          </cell>
          <cell r="E359" t="str">
            <v>JANUARY 2020</v>
          </cell>
          <cell r="F359" t="str">
            <v>DC</v>
          </cell>
          <cell r="G359" t="str">
            <v>Late</v>
          </cell>
          <cell r="H359" t="str">
            <v>L343548</v>
          </cell>
          <cell r="I359">
            <v>43854</v>
          </cell>
          <cell r="J359" t="str">
            <v>ATI</v>
          </cell>
          <cell r="K359" t="str">
            <v>D2001120</v>
          </cell>
          <cell r="L359">
            <v>7</v>
          </cell>
          <cell r="M359" t="str">
            <v>AAC88704</v>
          </cell>
          <cell r="N359">
            <v>859754</v>
          </cell>
          <cell r="O359" t="str">
            <v xml:space="preserve">1.4306 TP304L </v>
          </cell>
          <cell r="P359" t="str">
            <v>304L</v>
          </cell>
          <cell r="Q359">
            <v>3.9129999999999998</v>
          </cell>
          <cell r="R359">
            <v>3.9129999999999998</v>
          </cell>
          <cell r="S359">
            <v>4.7E-2</v>
          </cell>
          <cell r="T359">
            <v>4.4999999999999998E-2</v>
          </cell>
          <cell r="V359">
            <v>4.4999999999999998E-2</v>
          </cell>
          <cell r="X359">
            <v>3504</v>
          </cell>
          <cell r="Y359">
            <v>1</v>
          </cell>
          <cell r="Z359">
            <v>895.47661640684896</v>
          </cell>
          <cell r="AA359" t="str">
            <v>3.913X0.047-304L</v>
          </cell>
          <cell r="AB359" t="str">
            <v>WAAC009940120B300053</v>
          </cell>
          <cell r="AC359" t="str">
            <v>D2001120</v>
          </cell>
          <cell r="AD359">
            <v>859754</v>
          </cell>
          <cell r="AE359">
            <v>1.7999999999999999E-2</v>
          </cell>
          <cell r="AF359">
            <v>1.6</v>
          </cell>
          <cell r="AG359">
            <v>3.2000000000000001E-2</v>
          </cell>
          <cell r="AH359">
            <v>1E-4</v>
          </cell>
          <cell r="AI359">
            <v>0.33</v>
          </cell>
          <cell r="AJ359">
            <v>16.8</v>
          </cell>
          <cell r="AK359">
            <v>10.1</v>
          </cell>
          <cell r="AL359">
            <v>0.05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Y359" t="str">
            <v/>
          </cell>
          <cell r="AZ359">
            <v>1.4881</v>
          </cell>
          <cell r="BA359" t="str">
            <v>D2001120</v>
          </cell>
          <cell r="BB359" t="str">
            <v>CONFORM</v>
          </cell>
          <cell r="BC359" t="str">
            <v>CONFORM</v>
          </cell>
          <cell r="BD359" t="str">
            <v>CONFORM</v>
          </cell>
          <cell r="BE359" t="str">
            <v>CONFORM</v>
          </cell>
          <cell r="BF359" t="str">
            <v>CONFORM</v>
          </cell>
        </row>
        <row r="360">
          <cell r="A360">
            <v>43857</v>
          </cell>
          <cell r="B360" t="str">
            <v>D2001120-8</v>
          </cell>
          <cell r="C360" t="str">
            <v>044/19</v>
          </cell>
          <cell r="D360">
            <v>1</v>
          </cell>
          <cell r="E360" t="str">
            <v>JANUARY 2020</v>
          </cell>
          <cell r="F360" t="str">
            <v>DC</v>
          </cell>
          <cell r="G360" t="str">
            <v>Late</v>
          </cell>
          <cell r="H360" t="str">
            <v>L343548</v>
          </cell>
          <cell r="I360">
            <v>43854</v>
          </cell>
          <cell r="J360" t="str">
            <v>ATI</v>
          </cell>
          <cell r="K360" t="str">
            <v>D2001120</v>
          </cell>
          <cell r="L360">
            <v>8</v>
          </cell>
          <cell r="M360" t="str">
            <v>AAC88704</v>
          </cell>
          <cell r="N360">
            <v>859754</v>
          </cell>
          <cell r="O360" t="str">
            <v xml:space="preserve">1.4306 TP304L </v>
          </cell>
          <cell r="P360" t="str">
            <v>304L</v>
          </cell>
          <cell r="Q360">
            <v>3.9129999999999998</v>
          </cell>
          <cell r="R360">
            <v>3.9129999999999998</v>
          </cell>
          <cell r="S360">
            <v>4.7E-2</v>
          </cell>
          <cell r="T360">
            <v>4.4999999999999998E-2</v>
          </cell>
          <cell r="V360">
            <v>4.4999999999999998E-2</v>
          </cell>
          <cell r="X360">
            <v>3498</v>
          </cell>
          <cell r="Y360">
            <v>1</v>
          </cell>
          <cell r="Z360">
            <v>893.94326603628929</v>
          </cell>
          <cell r="AA360" t="str">
            <v>3.913X0.047-304L</v>
          </cell>
          <cell r="AB360" t="str">
            <v>WAAC009940120B300053</v>
          </cell>
          <cell r="AC360" t="str">
            <v>D2001120</v>
          </cell>
          <cell r="AD360">
            <v>859754</v>
          </cell>
          <cell r="AE360">
            <v>1.7999999999999999E-2</v>
          </cell>
          <cell r="AF360">
            <v>1.6</v>
          </cell>
          <cell r="AG360">
            <v>3.2000000000000001E-2</v>
          </cell>
          <cell r="AH360">
            <v>1E-4</v>
          </cell>
          <cell r="AI360">
            <v>0.33</v>
          </cell>
          <cell r="AJ360">
            <v>16.8</v>
          </cell>
          <cell r="AK360">
            <v>10.1</v>
          </cell>
          <cell r="AL360">
            <v>0.05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Y360" t="str">
            <v/>
          </cell>
          <cell r="AZ360">
            <v>1.4881</v>
          </cell>
          <cell r="BA360" t="str">
            <v>D2001120</v>
          </cell>
          <cell r="BB360" t="str">
            <v>CONFORM</v>
          </cell>
          <cell r="BC360" t="str">
            <v>CONFORM</v>
          </cell>
          <cell r="BD360" t="str">
            <v>CONFORM</v>
          </cell>
          <cell r="BE360" t="str">
            <v>CONFORM</v>
          </cell>
          <cell r="BF360" t="str">
            <v>CONFORM</v>
          </cell>
        </row>
        <row r="361">
          <cell r="A361">
            <v>43857</v>
          </cell>
          <cell r="B361" t="str">
            <v>D2001120-9</v>
          </cell>
          <cell r="C361" t="str">
            <v>044/19</v>
          </cell>
          <cell r="D361">
            <v>1</v>
          </cell>
          <cell r="E361" t="str">
            <v>JANUARY 2020</v>
          </cell>
          <cell r="F361" t="str">
            <v>DC</v>
          </cell>
          <cell r="G361" t="str">
            <v>Late</v>
          </cell>
          <cell r="H361" t="str">
            <v>L343548</v>
          </cell>
          <cell r="I361">
            <v>43854</v>
          </cell>
          <cell r="J361" t="str">
            <v>ATI</v>
          </cell>
          <cell r="K361" t="str">
            <v>D2001120</v>
          </cell>
          <cell r="L361">
            <v>9</v>
          </cell>
          <cell r="M361" t="str">
            <v>AAC88704</v>
          </cell>
          <cell r="N361">
            <v>859754</v>
          </cell>
          <cell r="O361" t="str">
            <v xml:space="preserve">1.4306 TP304L </v>
          </cell>
          <cell r="P361" t="str">
            <v>304L</v>
          </cell>
          <cell r="Q361">
            <v>3.9129999999999998</v>
          </cell>
          <cell r="R361">
            <v>3.9129999999999998</v>
          </cell>
          <cell r="S361">
            <v>4.7E-2</v>
          </cell>
          <cell r="T361">
            <v>4.4999999999999998E-2</v>
          </cell>
          <cell r="V361">
            <v>4.4999999999999998E-2</v>
          </cell>
          <cell r="X361">
            <v>3460</v>
          </cell>
          <cell r="Y361">
            <v>1</v>
          </cell>
          <cell r="Z361">
            <v>884.23204702274472</v>
          </cell>
          <cell r="AA361" t="str">
            <v>3.913X0.047-304L</v>
          </cell>
          <cell r="AB361" t="str">
            <v>WAAC009940120B300053</v>
          </cell>
          <cell r="AC361" t="str">
            <v>D2001120</v>
          </cell>
          <cell r="AD361">
            <v>859754</v>
          </cell>
          <cell r="AE361">
            <v>1.7999999999999999E-2</v>
          </cell>
          <cell r="AF361">
            <v>1.6</v>
          </cell>
          <cell r="AG361">
            <v>3.2000000000000001E-2</v>
          </cell>
          <cell r="AH361">
            <v>1E-4</v>
          </cell>
          <cell r="AI361">
            <v>0.33</v>
          </cell>
          <cell r="AJ361">
            <v>16.8</v>
          </cell>
          <cell r="AK361">
            <v>10.1</v>
          </cell>
          <cell r="AL361">
            <v>0.05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Y361" t="str">
            <v/>
          </cell>
          <cell r="AZ361">
            <v>1.4881</v>
          </cell>
          <cell r="BA361" t="str">
            <v>D2001120</v>
          </cell>
          <cell r="BB361" t="str">
            <v>CONFORM</v>
          </cell>
          <cell r="BC361" t="str">
            <v>CONFORM</v>
          </cell>
          <cell r="BD361" t="str">
            <v>CONFORM</v>
          </cell>
          <cell r="BE361" t="str">
            <v>CONFORM</v>
          </cell>
          <cell r="BF361" t="str">
            <v>CONFORM</v>
          </cell>
        </row>
        <row r="362">
          <cell r="A362">
            <v>43857</v>
          </cell>
          <cell r="B362" t="str">
            <v>D2001120-10</v>
          </cell>
          <cell r="C362" t="str">
            <v>044/19</v>
          </cell>
          <cell r="D362">
            <v>1</v>
          </cell>
          <cell r="E362" t="str">
            <v>JANUARY 2020</v>
          </cell>
          <cell r="F362" t="str">
            <v>DC</v>
          </cell>
          <cell r="G362" t="str">
            <v>Late</v>
          </cell>
          <cell r="H362" t="str">
            <v>L343548</v>
          </cell>
          <cell r="I362">
            <v>43854</v>
          </cell>
          <cell r="J362" t="str">
            <v>ATI</v>
          </cell>
          <cell r="K362" t="str">
            <v>D2001120</v>
          </cell>
          <cell r="L362">
            <v>10</v>
          </cell>
          <cell r="M362" t="str">
            <v>AAC88704</v>
          </cell>
          <cell r="N362">
            <v>859754</v>
          </cell>
          <cell r="O362" t="str">
            <v xml:space="preserve">1.4306 TP304L </v>
          </cell>
          <cell r="P362" t="str">
            <v>304L</v>
          </cell>
          <cell r="Q362">
            <v>3.9129999999999998</v>
          </cell>
          <cell r="R362">
            <v>3.9129999999999998</v>
          </cell>
          <cell r="S362">
            <v>4.7E-2</v>
          </cell>
          <cell r="T362">
            <v>4.4999999999999998E-2</v>
          </cell>
          <cell r="V362">
            <v>4.4999999999999998E-2</v>
          </cell>
          <cell r="X362">
            <v>3478</v>
          </cell>
          <cell r="Y362">
            <v>1</v>
          </cell>
          <cell r="Z362">
            <v>888.83209813442375</v>
          </cell>
          <cell r="AA362" t="str">
            <v>3.913X0.047-304L</v>
          </cell>
          <cell r="AB362" t="str">
            <v>WAAC009940120B300053</v>
          </cell>
          <cell r="AC362" t="str">
            <v>D2001120</v>
          </cell>
          <cell r="AD362">
            <v>859754</v>
          </cell>
          <cell r="AE362">
            <v>1.7999999999999999E-2</v>
          </cell>
          <cell r="AF362">
            <v>1.6</v>
          </cell>
          <cell r="AG362">
            <v>3.2000000000000001E-2</v>
          </cell>
          <cell r="AH362">
            <v>1E-4</v>
          </cell>
          <cell r="AI362">
            <v>0.33</v>
          </cell>
          <cell r="AJ362">
            <v>16.8</v>
          </cell>
          <cell r="AK362">
            <v>10.1</v>
          </cell>
          <cell r="AL362">
            <v>0.05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Y362" t="str">
            <v/>
          </cell>
          <cell r="AZ362">
            <v>1.4881</v>
          </cell>
          <cell r="BA362" t="str">
            <v>D2001120</v>
          </cell>
          <cell r="BB362" t="str">
            <v>CONFORM</v>
          </cell>
          <cell r="BC362" t="str">
            <v>CONFORM</v>
          </cell>
          <cell r="BD362" t="str">
            <v>CONFORM</v>
          </cell>
          <cell r="BE362" t="str">
            <v>CONFORM</v>
          </cell>
          <cell r="BF362" t="str">
            <v>CONFORM</v>
          </cell>
        </row>
        <row r="363">
          <cell r="A363">
            <v>43857</v>
          </cell>
          <cell r="B363" t="str">
            <v>D2001120-11</v>
          </cell>
          <cell r="C363" t="str">
            <v>044/19</v>
          </cell>
          <cell r="D363">
            <v>1</v>
          </cell>
          <cell r="E363" t="str">
            <v>JANUARY 2020</v>
          </cell>
          <cell r="F363" t="str">
            <v>DC</v>
          </cell>
          <cell r="G363" t="str">
            <v>Late</v>
          </cell>
          <cell r="H363" t="str">
            <v>L343548</v>
          </cell>
          <cell r="I363">
            <v>43854</v>
          </cell>
          <cell r="J363" t="str">
            <v>ATI</v>
          </cell>
          <cell r="K363" t="str">
            <v>D2001120</v>
          </cell>
          <cell r="L363">
            <v>11</v>
          </cell>
          <cell r="M363" t="str">
            <v>AAC88704</v>
          </cell>
          <cell r="N363">
            <v>859754</v>
          </cell>
          <cell r="O363" t="str">
            <v xml:space="preserve">1.4306 TP304L </v>
          </cell>
          <cell r="P363" t="str">
            <v>304L</v>
          </cell>
          <cell r="Q363">
            <v>3.9129999999999998</v>
          </cell>
          <cell r="R363">
            <v>3.9129999999999998</v>
          </cell>
          <cell r="S363">
            <v>4.7E-2</v>
          </cell>
          <cell r="T363">
            <v>4.4999999999999998E-2</v>
          </cell>
          <cell r="V363">
            <v>4.4999999999999998E-2</v>
          </cell>
          <cell r="X363">
            <v>3500</v>
          </cell>
          <cell r="Y363">
            <v>1</v>
          </cell>
          <cell r="Z363">
            <v>894.45438282647592</v>
          </cell>
          <cell r="AA363" t="str">
            <v>3.913X0.047-304L</v>
          </cell>
          <cell r="AB363" t="str">
            <v>WAAC009940120B300053</v>
          </cell>
          <cell r="AC363" t="str">
            <v>D2001120</v>
          </cell>
          <cell r="AD363">
            <v>859754</v>
          </cell>
          <cell r="AE363">
            <v>1.7999999999999999E-2</v>
          </cell>
          <cell r="AF363">
            <v>1.6</v>
          </cell>
          <cell r="AG363">
            <v>3.2000000000000001E-2</v>
          </cell>
          <cell r="AH363">
            <v>1E-4</v>
          </cell>
          <cell r="AI363">
            <v>0.33</v>
          </cell>
          <cell r="AJ363">
            <v>16.8</v>
          </cell>
          <cell r="AK363">
            <v>10.1</v>
          </cell>
          <cell r="AL363">
            <v>0.05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Y363" t="str">
            <v/>
          </cell>
          <cell r="AZ363">
            <v>1.4881</v>
          </cell>
          <cell r="BA363" t="str">
            <v>D2001120</v>
          </cell>
          <cell r="BB363" t="str">
            <v>CONFORM</v>
          </cell>
          <cell r="BC363" t="str">
            <v>CONFORM</v>
          </cell>
          <cell r="BD363" t="str">
            <v>CONFORM</v>
          </cell>
          <cell r="BE363" t="str">
            <v>CONFORM</v>
          </cell>
          <cell r="BF363" t="str">
            <v>CONFORM</v>
          </cell>
        </row>
        <row r="364">
          <cell r="A364">
            <v>43857</v>
          </cell>
          <cell r="B364" t="str">
            <v>D2001125-1</v>
          </cell>
          <cell r="C364" t="str">
            <v>010/20</v>
          </cell>
          <cell r="D364">
            <v>1</v>
          </cell>
          <cell r="E364">
            <v>43875</v>
          </cell>
          <cell r="F364" t="str">
            <v>DC</v>
          </cell>
          <cell r="G364" t="str">
            <v>On Time</v>
          </cell>
          <cell r="H364" t="str">
            <v>137361-1</v>
          </cell>
          <cell r="I364">
            <v>43854</v>
          </cell>
          <cell r="J364" t="str">
            <v>UPM</v>
          </cell>
          <cell r="K364" t="str">
            <v>D2001125</v>
          </cell>
          <cell r="L364">
            <v>1</v>
          </cell>
          <cell r="M364" t="str">
            <v>AAC80133</v>
          </cell>
          <cell r="N364">
            <v>859100</v>
          </cell>
          <cell r="O364" t="str">
            <v xml:space="preserve">1.4401/1.4404 TP316/316L </v>
          </cell>
          <cell r="P364" t="str">
            <v>316L</v>
          </cell>
          <cell r="Q364">
            <v>6.2169999999999996</v>
          </cell>
          <cell r="R364">
            <v>6.218</v>
          </cell>
          <cell r="S364">
            <v>6.3E-2</v>
          </cell>
          <cell r="T364">
            <v>6.2E-2</v>
          </cell>
          <cell r="V364">
            <v>6.2E-2</v>
          </cell>
          <cell r="X364">
            <v>2349</v>
          </cell>
          <cell r="Y364">
            <v>3</v>
          </cell>
          <cell r="Z364">
            <v>125.94498954479653</v>
          </cell>
          <cell r="AA364" t="str">
            <v>6.217X0.063-316L</v>
          </cell>
          <cell r="AB364" t="str">
            <v>WAAF015790160B300059</v>
          </cell>
          <cell r="AC364" t="str">
            <v>D2001125</v>
          </cell>
          <cell r="AD364">
            <v>859100</v>
          </cell>
          <cell r="AE364">
            <v>1.9E-2</v>
          </cell>
          <cell r="AF364">
            <v>1.63</v>
          </cell>
          <cell r="AG364">
            <v>3.5999999999999997E-2</v>
          </cell>
          <cell r="AH364">
            <v>4.0000000000000002E-4</v>
          </cell>
          <cell r="AI364">
            <v>0.33</v>
          </cell>
          <cell r="AJ364">
            <v>16.7</v>
          </cell>
          <cell r="AK364">
            <v>10.199999999999999</v>
          </cell>
          <cell r="AL364">
            <v>0.05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Y364" t="str">
            <v/>
          </cell>
          <cell r="AZ364">
            <v>2.34</v>
          </cell>
          <cell r="BA364" t="str">
            <v>D2001125</v>
          </cell>
          <cell r="BB364" t="str">
            <v>CONFORM</v>
          </cell>
          <cell r="BC364" t="str">
            <v>CONFORM</v>
          </cell>
          <cell r="BD364" t="str">
            <v>CONFORM</v>
          </cell>
          <cell r="BE364" t="str">
            <v>CONFORM</v>
          </cell>
          <cell r="BF364" t="str">
            <v>CONFORM</v>
          </cell>
        </row>
        <row r="365">
          <cell r="A365">
            <v>43857</v>
          </cell>
          <cell r="B365" t="str">
            <v>D2001125-2</v>
          </cell>
          <cell r="C365" t="str">
            <v>010/20</v>
          </cell>
          <cell r="D365">
            <v>1</v>
          </cell>
          <cell r="E365">
            <v>43875</v>
          </cell>
          <cell r="F365" t="str">
            <v>DC</v>
          </cell>
          <cell r="G365" t="str">
            <v>On Time</v>
          </cell>
          <cell r="H365" t="str">
            <v>137361-1</v>
          </cell>
          <cell r="I365">
            <v>43854</v>
          </cell>
          <cell r="J365" t="str">
            <v>UPM</v>
          </cell>
          <cell r="K365" t="str">
            <v>D2001125</v>
          </cell>
          <cell r="L365">
            <v>2</v>
          </cell>
          <cell r="M365" t="str">
            <v>AAC80133</v>
          </cell>
          <cell r="N365">
            <v>859100</v>
          </cell>
          <cell r="O365" t="str">
            <v xml:space="preserve">1.4401/1.4404 TP316/316L </v>
          </cell>
          <cell r="P365" t="str">
            <v>316L</v>
          </cell>
          <cell r="Q365">
            <v>6.2169999999999996</v>
          </cell>
          <cell r="R365">
            <v>6.218</v>
          </cell>
          <cell r="S365">
            <v>6.3E-2</v>
          </cell>
          <cell r="T365">
            <v>6.2E-2</v>
          </cell>
          <cell r="V365">
            <v>6.2E-2</v>
          </cell>
          <cell r="X365">
            <v>2327</v>
          </cell>
          <cell r="Y365">
            <v>3</v>
          </cell>
          <cell r="Z365">
            <v>124.76542812717817</v>
          </cell>
          <cell r="AA365" t="str">
            <v>6.217X0.063-316L</v>
          </cell>
          <cell r="AB365" t="str">
            <v>WAAF015790160B300059</v>
          </cell>
          <cell r="AC365" t="str">
            <v>D2001125</v>
          </cell>
          <cell r="AD365">
            <v>859100</v>
          </cell>
          <cell r="AE365">
            <v>1.9E-2</v>
          </cell>
          <cell r="AF365">
            <v>1.63</v>
          </cell>
          <cell r="AG365">
            <v>3.5999999999999997E-2</v>
          </cell>
          <cell r="AH365">
            <v>4.0000000000000002E-4</v>
          </cell>
          <cell r="AI365">
            <v>0.33</v>
          </cell>
          <cell r="AJ365">
            <v>16.7</v>
          </cell>
          <cell r="AK365">
            <v>10.199999999999999</v>
          </cell>
          <cell r="AL365">
            <v>0.05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Y365" t="str">
            <v/>
          </cell>
          <cell r="AZ365">
            <v>2.34</v>
          </cell>
          <cell r="BA365" t="str">
            <v>D2001125</v>
          </cell>
          <cell r="BB365" t="str">
            <v>CONFORM</v>
          </cell>
          <cell r="BC365" t="str">
            <v>CONFORM</v>
          </cell>
          <cell r="BD365" t="str">
            <v>CONFORM</v>
          </cell>
          <cell r="BE365" t="str">
            <v>CONFORM</v>
          </cell>
          <cell r="BF365" t="str">
            <v>CONFORM</v>
          </cell>
        </row>
        <row r="366">
          <cell r="A366">
            <v>43864</v>
          </cell>
          <cell r="B366" t="str">
            <v>D2002008-1</v>
          </cell>
          <cell r="C366" t="str">
            <v>011/20</v>
          </cell>
          <cell r="D366">
            <v>2</v>
          </cell>
          <cell r="E366">
            <v>43860</v>
          </cell>
          <cell r="F366" t="str">
            <v>DC</v>
          </cell>
          <cell r="G366" t="str">
            <v>On Time</v>
          </cell>
          <cell r="H366">
            <v>2407281040</v>
          </cell>
          <cell r="I366">
            <v>43861</v>
          </cell>
          <cell r="J366" t="str">
            <v>TKM</v>
          </cell>
          <cell r="K366" t="str">
            <v>D2002008</v>
          </cell>
          <cell r="L366">
            <v>1</v>
          </cell>
          <cell r="M366">
            <v>3223819</v>
          </cell>
          <cell r="N366">
            <v>526755</v>
          </cell>
          <cell r="O366" t="str">
            <v xml:space="preserve">1.4306 TP304L </v>
          </cell>
          <cell r="P366" t="str">
            <v>304L</v>
          </cell>
          <cell r="Q366">
            <v>3.9129999999999998</v>
          </cell>
          <cell r="R366">
            <v>3.91</v>
          </cell>
          <cell r="S366">
            <v>4.7E-2</v>
          </cell>
          <cell r="T366">
            <v>4.5999999999999999E-2</v>
          </cell>
          <cell r="V366">
            <v>4.5999999999999999E-2</v>
          </cell>
          <cell r="X366">
            <v>4689</v>
          </cell>
          <cell r="Y366">
            <v>2</v>
          </cell>
          <cell r="Z366">
            <v>599.15665729619218</v>
          </cell>
          <cell r="AA366" t="str">
            <v>3.913X0.047-304L</v>
          </cell>
          <cell r="AB366" t="str">
            <v>WAAC009940120B300053</v>
          </cell>
          <cell r="AC366" t="str">
            <v>D2002008</v>
          </cell>
          <cell r="AD366">
            <v>526755</v>
          </cell>
          <cell r="AE366">
            <v>2.5999999999999999E-2</v>
          </cell>
          <cell r="AF366">
            <v>1.36</v>
          </cell>
          <cell r="AG366">
            <v>3.2000000000000001E-2</v>
          </cell>
          <cell r="AH366">
            <v>1E-3</v>
          </cell>
          <cell r="AI366">
            <v>0.3</v>
          </cell>
          <cell r="AJ366">
            <v>18.2</v>
          </cell>
          <cell r="AK366">
            <v>8.1</v>
          </cell>
          <cell r="AL366">
            <v>7.0000000000000007E-2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Y366" t="str">
            <v/>
          </cell>
          <cell r="AZ366">
            <v>1.38</v>
          </cell>
          <cell r="BA366" t="str">
            <v>D2002008</v>
          </cell>
          <cell r="BB366" t="str">
            <v>CONFORM</v>
          </cell>
          <cell r="BC366" t="str">
            <v>CONFORM</v>
          </cell>
          <cell r="BD366" t="str">
            <v>CONFORM</v>
          </cell>
          <cell r="BE366" t="str">
            <v>CONFORM</v>
          </cell>
          <cell r="BF366" t="str">
            <v>CONFORM</v>
          </cell>
        </row>
        <row r="367">
          <cell r="A367">
            <v>43864</v>
          </cell>
          <cell r="B367" t="str">
            <v>D2002009-1</v>
          </cell>
          <cell r="C367" t="str">
            <v>011/20</v>
          </cell>
          <cell r="D367">
            <v>2</v>
          </cell>
          <cell r="E367">
            <v>43860</v>
          </cell>
          <cell r="F367" t="str">
            <v>DC</v>
          </cell>
          <cell r="G367" t="str">
            <v>On Time</v>
          </cell>
          <cell r="H367">
            <v>2407281040</v>
          </cell>
          <cell r="I367">
            <v>43861</v>
          </cell>
          <cell r="J367" t="str">
            <v>TKM</v>
          </cell>
          <cell r="K367" t="str">
            <v>D2002009</v>
          </cell>
          <cell r="L367">
            <v>1</v>
          </cell>
          <cell r="M367">
            <v>3224224</v>
          </cell>
          <cell r="N367">
            <v>526805</v>
          </cell>
          <cell r="O367" t="str">
            <v xml:space="preserve">1.4306 TP304L </v>
          </cell>
          <cell r="P367" t="str">
            <v>304L</v>
          </cell>
          <cell r="Q367">
            <v>3.9129999999999998</v>
          </cell>
          <cell r="R367">
            <v>3.9129999999999998</v>
          </cell>
          <cell r="S367">
            <v>4.7E-2</v>
          </cell>
          <cell r="T367">
            <v>4.5999999999999999E-2</v>
          </cell>
          <cell r="V367">
            <v>4.5999999999999999E-2</v>
          </cell>
          <cell r="X367">
            <v>2939</v>
          </cell>
          <cell r="Y367">
            <v>3</v>
          </cell>
          <cell r="Z367">
            <v>250.36204105971549</v>
          </cell>
          <cell r="AA367" t="str">
            <v>3.913X0.047-304L</v>
          </cell>
          <cell r="AB367" t="str">
            <v>WAAC009940120B300053</v>
          </cell>
          <cell r="AC367" t="str">
            <v>D2002009</v>
          </cell>
          <cell r="AD367">
            <v>526805</v>
          </cell>
          <cell r="AE367">
            <v>2.5999999999999999E-2</v>
          </cell>
          <cell r="AF367">
            <v>1.28</v>
          </cell>
          <cell r="AG367">
            <v>3.2000000000000001E-2</v>
          </cell>
          <cell r="AH367">
            <v>1E-3</v>
          </cell>
          <cell r="AI367">
            <v>0.35</v>
          </cell>
          <cell r="AJ367">
            <v>18.3</v>
          </cell>
          <cell r="AK367">
            <v>8</v>
          </cell>
          <cell r="AL367">
            <v>7.0000000000000007E-2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Y367" t="str">
            <v/>
          </cell>
          <cell r="AZ367">
            <v>1.38</v>
          </cell>
          <cell r="BA367" t="str">
            <v>D2002009</v>
          </cell>
          <cell r="BB367" t="str">
            <v>CONFORM</v>
          </cell>
          <cell r="BC367" t="str">
            <v>CONFORM</v>
          </cell>
          <cell r="BD367" t="str">
            <v>CONFORM</v>
          </cell>
          <cell r="BE367" t="str">
            <v>CONFORM</v>
          </cell>
          <cell r="BF367" t="str">
            <v>CONFORM</v>
          </cell>
        </row>
        <row r="368">
          <cell r="A368">
            <v>43864</v>
          </cell>
          <cell r="B368" t="str">
            <v>D2002009-2</v>
          </cell>
          <cell r="C368" t="str">
            <v>011/20</v>
          </cell>
          <cell r="D368">
            <v>2</v>
          </cell>
          <cell r="E368">
            <v>43860</v>
          </cell>
          <cell r="F368" t="str">
            <v>DC</v>
          </cell>
          <cell r="G368" t="str">
            <v>On Time</v>
          </cell>
          <cell r="H368">
            <v>2407281040</v>
          </cell>
          <cell r="I368">
            <v>43861</v>
          </cell>
          <cell r="J368" t="str">
            <v>TKM</v>
          </cell>
          <cell r="K368" t="str">
            <v>D2002009</v>
          </cell>
          <cell r="L368">
            <v>2</v>
          </cell>
          <cell r="M368">
            <v>3224224</v>
          </cell>
          <cell r="N368">
            <v>526805</v>
          </cell>
          <cell r="O368" t="str">
            <v xml:space="preserve">1.4306 TP304L </v>
          </cell>
          <cell r="P368" t="str">
            <v>304L</v>
          </cell>
          <cell r="Q368">
            <v>3.9129999999999998</v>
          </cell>
          <cell r="R368">
            <v>3.903</v>
          </cell>
          <cell r="S368">
            <v>4.7E-2</v>
          </cell>
          <cell r="T368">
            <v>4.5999999999999999E-2</v>
          </cell>
          <cell r="V368">
            <v>4.5999999999999999E-2</v>
          </cell>
          <cell r="X368">
            <v>2913</v>
          </cell>
          <cell r="Y368">
            <v>2</v>
          </cell>
          <cell r="Z368">
            <v>372.22080245336059</v>
          </cell>
          <cell r="AA368" t="str">
            <v>3.913X0.047-304L</v>
          </cell>
          <cell r="AB368" t="str">
            <v>WAAC009940120B300053</v>
          </cell>
          <cell r="AC368" t="str">
            <v>D2002009</v>
          </cell>
          <cell r="AD368">
            <v>526805</v>
          </cell>
          <cell r="AE368">
            <v>2.5999999999999999E-2</v>
          </cell>
          <cell r="AF368">
            <v>1.28</v>
          </cell>
          <cell r="AG368">
            <v>3.2000000000000001E-2</v>
          </cell>
          <cell r="AH368">
            <v>1E-3</v>
          </cell>
          <cell r="AI368">
            <v>0.35</v>
          </cell>
          <cell r="AJ368">
            <v>18.3</v>
          </cell>
          <cell r="AK368">
            <v>8</v>
          </cell>
          <cell r="AL368">
            <v>7.0000000000000007E-2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Y368" t="str">
            <v/>
          </cell>
          <cell r="AZ368">
            <v>1.38</v>
          </cell>
          <cell r="BA368" t="str">
            <v>D2002009</v>
          </cell>
          <cell r="BB368" t="str">
            <v>CONFORM</v>
          </cell>
          <cell r="BC368" t="str">
            <v>CONFORM</v>
          </cell>
          <cell r="BD368" t="str">
            <v>CONFORM</v>
          </cell>
          <cell r="BE368" t="str">
            <v>CONFORM</v>
          </cell>
          <cell r="BF368" t="str">
            <v>CONFORM</v>
          </cell>
        </row>
        <row r="369">
          <cell r="A369">
            <v>43864</v>
          </cell>
          <cell r="B369" t="str">
            <v>D2002010-1</v>
          </cell>
          <cell r="C369" t="str">
            <v>011/20</v>
          </cell>
          <cell r="D369">
            <v>1</v>
          </cell>
          <cell r="E369">
            <v>43860</v>
          </cell>
          <cell r="F369" t="str">
            <v>DC</v>
          </cell>
          <cell r="G369" t="str">
            <v>On Time</v>
          </cell>
          <cell r="H369">
            <v>2407281040</v>
          </cell>
          <cell r="I369">
            <v>43861</v>
          </cell>
          <cell r="J369" t="str">
            <v>TKM</v>
          </cell>
          <cell r="K369" t="str">
            <v>D2002010</v>
          </cell>
          <cell r="L369">
            <v>1</v>
          </cell>
          <cell r="M369">
            <v>3224224</v>
          </cell>
          <cell r="N369">
            <v>526805</v>
          </cell>
          <cell r="O369" t="str">
            <v xml:space="preserve">1.4306 TP304L </v>
          </cell>
          <cell r="P369" t="str">
            <v>304L</v>
          </cell>
          <cell r="Q369">
            <v>2.323</v>
          </cell>
          <cell r="R369">
            <v>2.3199999999999998</v>
          </cell>
          <cell r="S369">
            <v>4.7E-2</v>
          </cell>
          <cell r="T369">
            <v>4.5999999999999999E-2</v>
          </cell>
          <cell r="V369">
            <v>4.5999999999999999E-2</v>
          </cell>
          <cell r="X369">
            <v>2797</v>
          </cell>
          <cell r="Y369">
            <v>3</v>
          </cell>
          <cell r="Z369">
            <v>401.34883053522748</v>
          </cell>
          <cell r="AA369" t="str">
            <v>2.323X0.047-304L</v>
          </cell>
          <cell r="AB369" t="str">
            <v>WAAC005900120B300050</v>
          </cell>
          <cell r="AC369" t="str">
            <v>D2002010</v>
          </cell>
          <cell r="AD369">
            <v>526805</v>
          </cell>
          <cell r="AE369">
            <v>2.5999999999999999E-2</v>
          </cell>
          <cell r="AF369">
            <v>1.28</v>
          </cell>
          <cell r="AG369">
            <v>3.2000000000000001E-2</v>
          </cell>
          <cell r="AH369">
            <v>1E-3</v>
          </cell>
          <cell r="AI369">
            <v>0.35</v>
          </cell>
          <cell r="AJ369">
            <v>18.3</v>
          </cell>
          <cell r="AK369">
            <v>8</v>
          </cell>
          <cell r="AL369">
            <v>7.0000000000000007E-2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Y369" t="str">
            <v/>
          </cell>
          <cell r="AZ369">
            <v>1.38</v>
          </cell>
          <cell r="BA369" t="str">
            <v>D2002010</v>
          </cell>
          <cell r="BB369" t="str">
            <v>CONFORM</v>
          </cell>
          <cell r="BC369" t="str">
            <v>CONFORM</v>
          </cell>
          <cell r="BD369" t="str">
            <v>CONFORM</v>
          </cell>
          <cell r="BE369" t="str">
            <v>CONFORM</v>
          </cell>
          <cell r="BF369" t="str">
            <v>CONFORM</v>
          </cell>
        </row>
        <row r="370">
          <cell r="A370">
            <v>43864</v>
          </cell>
          <cell r="B370" t="str">
            <v>D2002011-1</v>
          </cell>
          <cell r="C370" t="str">
            <v>011/20</v>
          </cell>
          <cell r="D370">
            <v>1</v>
          </cell>
          <cell r="E370">
            <v>43860</v>
          </cell>
          <cell r="F370" t="str">
            <v>DC</v>
          </cell>
          <cell r="G370" t="str">
            <v>On Time</v>
          </cell>
          <cell r="H370">
            <v>2407281040</v>
          </cell>
          <cell r="I370">
            <v>43861</v>
          </cell>
          <cell r="J370" t="str">
            <v>TKM</v>
          </cell>
          <cell r="K370" t="str">
            <v>D2002011</v>
          </cell>
          <cell r="L370">
            <v>1</v>
          </cell>
          <cell r="M370">
            <v>3223819</v>
          </cell>
          <cell r="N370">
            <v>526755</v>
          </cell>
          <cell r="O370" t="str">
            <v xml:space="preserve">1.4306 TP304L </v>
          </cell>
          <cell r="P370" t="str">
            <v>304L</v>
          </cell>
          <cell r="Q370">
            <v>2.323</v>
          </cell>
          <cell r="R370">
            <v>2.3199999999999998</v>
          </cell>
          <cell r="S370">
            <v>4.7E-2</v>
          </cell>
          <cell r="T370">
            <v>4.5999999999999999E-2</v>
          </cell>
          <cell r="V370">
            <v>4.5999999999999999E-2</v>
          </cell>
          <cell r="X370">
            <v>2621</v>
          </cell>
          <cell r="Y370">
            <v>3</v>
          </cell>
          <cell r="Z370">
            <v>376.09413115224567</v>
          </cell>
          <cell r="AA370" t="str">
            <v>2.323X0.047-304L</v>
          </cell>
          <cell r="AB370" t="str">
            <v>WAAC005900120B300050</v>
          </cell>
          <cell r="AC370" t="str">
            <v>D2002011</v>
          </cell>
          <cell r="AD370">
            <v>526755</v>
          </cell>
          <cell r="AE370">
            <v>2.5999999999999999E-2</v>
          </cell>
          <cell r="AF370">
            <v>1.36</v>
          </cell>
          <cell r="AG370">
            <v>3.2000000000000001E-2</v>
          </cell>
          <cell r="AH370">
            <v>1E-3</v>
          </cell>
          <cell r="AI370">
            <v>0.3</v>
          </cell>
          <cell r="AJ370">
            <v>18.2</v>
          </cell>
          <cell r="AK370">
            <v>8.1</v>
          </cell>
          <cell r="AL370">
            <v>7.0000000000000007E-2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Y370" t="str">
            <v/>
          </cell>
          <cell r="AZ370">
            <v>1.38</v>
          </cell>
          <cell r="BA370" t="str">
            <v>D2002011</v>
          </cell>
          <cell r="BB370" t="str">
            <v>CONFORM</v>
          </cell>
          <cell r="BC370" t="str">
            <v>CONFORM</v>
          </cell>
          <cell r="BD370" t="str">
            <v>CONFORM</v>
          </cell>
          <cell r="BE370" t="str">
            <v>CONFORM</v>
          </cell>
          <cell r="BF370" t="str">
            <v>CONFORM</v>
          </cell>
        </row>
        <row r="371">
          <cell r="A371">
            <v>43864</v>
          </cell>
          <cell r="B371" t="str">
            <v>D2002012-1</v>
          </cell>
          <cell r="C371" t="str">
            <v>011/20</v>
          </cell>
          <cell r="D371">
            <v>3</v>
          </cell>
          <cell r="E371">
            <v>43860</v>
          </cell>
          <cell r="F371" t="str">
            <v>DC</v>
          </cell>
          <cell r="G371" t="str">
            <v>On Time</v>
          </cell>
          <cell r="H371">
            <v>2407281040</v>
          </cell>
          <cell r="I371">
            <v>43861</v>
          </cell>
          <cell r="J371" t="str">
            <v>TKM</v>
          </cell>
          <cell r="K371" t="str">
            <v>D2002012</v>
          </cell>
          <cell r="L371">
            <v>1</v>
          </cell>
          <cell r="M371">
            <v>3223819</v>
          </cell>
          <cell r="N371">
            <v>526755</v>
          </cell>
          <cell r="O371" t="str">
            <v xml:space="preserve">1.4306 TP304L </v>
          </cell>
          <cell r="P371" t="str">
            <v>304L</v>
          </cell>
          <cell r="Q371">
            <v>4.6849999999999996</v>
          </cell>
          <cell r="R371">
            <v>4.6900000000000004</v>
          </cell>
          <cell r="S371">
            <v>4.7E-2</v>
          </cell>
          <cell r="T371">
            <v>4.7E-2</v>
          </cell>
          <cell r="V371">
            <v>4.7E-2</v>
          </cell>
          <cell r="X371">
            <v>5591</v>
          </cell>
          <cell r="Y371">
            <v>3</v>
          </cell>
          <cell r="Z371">
            <v>397.79437922447534</v>
          </cell>
          <cell r="AA371" t="str">
            <v>4.685X0.047-304L</v>
          </cell>
          <cell r="AB371" t="str">
            <v>WAAC011900120B300062</v>
          </cell>
          <cell r="AC371" t="str">
            <v>D2002012</v>
          </cell>
          <cell r="AD371">
            <v>526755</v>
          </cell>
          <cell r="AE371">
            <v>2.5999999999999999E-2</v>
          </cell>
          <cell r="AF371">
            <v>1.36</v>
          </cell>
          <cell r="AG371">
            <v>3.2000000000000001E-2</v>
          </cell>
          <cell r="AH371">
            <v>1E-3</v>
          </cell>
          <cell r="AI371">
            <v>0.3</v>
          </cell>
          <cell r="AJ371">
            <v>18.2</v>
          </cell>
          <cell r="AK371">
            <v>8.1</v>
          </cell>
          <cell r="AL371">
            <v>7.0000000000000007E-2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Y371" t="str">
            <v/>
          </cell>
          <cell r="AZ371">
            <v>1.38</v>
          </cell>
          <cell r="BA371" t="str">
            <v>D2002012</v>
          </cell>
          <cell r="BB371" t="str">
            <v>CONFORM</v>
          </cell>
          <cell r="BC371" t="str">
            <v>CONFORM</v>
          </cell>
          <cell r="BD371" t="str">
            <v>CONFORM</v>
          </cell>
          <cell r="BE371" t="str">
            <v>CONFORM</v>
          </cell>
          <cell r="BF371" t="str">
            <v>CONFORM</v>
          </cell>
        </row>
        <row r="372">
          <cell r="A372">
            <v>43864</v>
          </cell>
          <cell r="B372" t="str">
            <v>D2002012-2</v>
          </cell>
          <cell r="C372" t="str">
            <v>011/20</v>
          </cell>
          <cell r="D372">
            <v>3</v>
          </cell>
          <cell r="E372">
            <v>43860</v>
          </cell>
          <cell r="F372" t="str">
            <v>DC</v>
          </cell>
          <cell r="G372" t="str">
            <v>On Time</v>
          </cell>
          <cell r="H372">
            <v>2407281040</v>
          </cell>
          <cell r="I372">
            <v>43861</v>
          </cell>
          <cell r="J372" t="str">
            <v>TKM</v>
          </cell>
          <cell r="K372" t="str">
            <v>D2002012</v>
          </cell>
          <cell r="L372">
            <v>2</v>
          </cell>
          <cell r="M372">
            <v>3223819</v>
          </cell>
          <cell r="N372">
            <v>526755</v>
          </cell>
          <cell r="O372" t="str">
            <v xml:space="preserve">1.4306 TP304L </v>
          </cell>
          <cell r="P372" t="str">
            <v>304L</v>
          </cell>
          <cell r="Q372">
            <v>4.6849999999999996</v>
          </cell>
          <cell r="R372">
            <v>4.68</v>
          </cell>
          <cell r="S372">
            <v>4.7E-2</v>
          </cell>
          <cell r="T372">
            <v>4.5999999999999999E-2</v>
          </cell>
          <cell r="V372">
            <v>4.5999999999999999E-2</v>
          </cell>
          <cell r="X372">
            <v>5607</v>
          </cell>
          <cell r="Y372">
            <v>3</v>
          </cell>
          <cell r="Z372">
            <v>398.93276414087518</v>
          </cell>
          <cell r="AA372" t="str">
            <v>4.685X0.047-304L</v>
          </cell>
          <cell r="AB372" t="str">
            <v>WAAC011900120B300062</v>
          </cell>
          <cell r="AC372" t="str">
            <v>D2002012</v>
          </cell>
          <cell r="AD372">
            <v>526755</v>
          </cell>
          <cell r="AE372">
            <v>2.5999999999999999E-2</v>
          </cell>
          <cell r="AF372">
            <v>1.36</v>
          </cell>
          <cell r="AG372">
            <v>3.2000000000000001E-2</v>
          </cell>
          <cell r="AH372">
            <v>1E-3</v>
          </cell>
          <cell r="AI372">
            <v>0.3</v>
          </cell>
          <cell r="AJ372">
            <v>18.2</v>
          </cell>
          <cell r="AK372">
            <v>8.1</v>
          </cell>
          <cell r="AL372">
            <v>7.0000000000000007E-2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Y372" t="str">
            <v/>
          </cell>
          <cell r="AZ372">
            <v>1.38</v>
          </cell>
          <cell r="BA372" t="str">
            <v>D2002012</v>
          </cell>
          <cell r="BB372" t="str">
            <v>CONFORM</v>
          </cell>
          <cell r="BC372" t="str">
            <v>CONFORM</v>
          </cell>
          <cell r="BD372" t="str">
            <v>CONFORM</v>
          </cell>
          <cell r="BE372" t="str">
            <v>CONFORM</v>
          </cell>
          <cell r="BF372" t="str">
            <v>CONFORM</v>
          </cell>
        </row>
        <row r="373">
          <cell r="A373">
            <v>43864</v>
          </cell>
          <cell r="B373" t="str">
            <v>D2002013-1</v>
          </cell>
          <cell r="C373" t="str">
            <v>011/20</v>
          </cell>
          <cell r="D373">
            <v>3</v>
          </cell>
          <cell r="E373">
            <v>43860</v>
          </cell>
          <cell r="F373" t="str">
            <v>DC</v>
          </cell>
          <cell r="G373" t="str">
            <v>On Time</v>
          </cell>
          <cell r="H373">
            <v>2407281040</v>
          </cell>
          <cell r="I373">
            <v>43861</v>
          </cell>
          <cell r="J373" t="str">
            <v>TKM</v>
          </cell>
          <cell r="K373" t="str">
            <v>D2002013</v>
          </cell>
          <cell r="L373">
            <v>1</v>
          </cell>
          <cell r="M373">
            <v>3224224</v>
          </cell>
          <cell r="N373">
            <v>526805</v>
          </cell>
          <cell r="O373" t="str">
            <v xml:space="preserve">1.4306 TP304L </v>
          </cell>
          <cell r="P373" t="str">
            <v>304L</v>
          </cell>
          <cell r="Q373">
            <v>4.6849999999999996</v>
          </cell>
          <cell r="R373">
            <v>4.68</v>
          </cell>
          <cell r="S373">
            <v>4.7E-2</v>
          </cell>
          <cell r="T373">
            <v>4.5999999999999999E-2</v>
          </cell>
          <cell r="V373">
            <v>4.5999999999999999E-2</v>
          </cell>
          <cell r="X373">
            <v>5225</v>
          </cell>
          <cell r="Y373">
            <v>3</v>
          </cell>
          <cell r="Z373">
            <v>371.75382426182858</v>
          </cell>
          <cell r="AA373" t="str">
            <v>4.685X0.047-304L</v>
          </cell>
          <cell r="AB373" t="str">
            <v>WAAC011900120B300062</v>
          </cell>
          <cell r="AC373" t="str">
            <v>D2002013</v>
          </cell>
          <cell r="AD373">
            <v>526805</v>
          </cell>
          <cell r="AE373">
            <v>2.5999999999999999E-2</v>
          </cell>
          <cell r="AF373">
            <v>1.28</v>
          </cell>
          <cell r="AG373">
            <v>3.2000000000000001E-2</v>
          </cell>
          <cell r="AH373">
            <v>1E-3</v>
          </cell>
          <cell r="AI373">
            <v>0.35</v>
          </cell>
          <cell r="AJ373">
            <v>18.3</v>
          </cell>
          <cell r="AK373">
            <v>8</v>
          </cell>
          <cell r="AL373">
            <v>7.0000000000000007E-2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Y373" t="str">
            <v/>
          </cell>
          <cell r="AZ373">
            <v>1.38</v>
          </cell>
          <cell r="BA373" t="str">
            <v>D2002013</v>
          </cell>
          <cell r="BB373" t="str">
            <v>CONFORM</v>
          </cell>
          <cell r="BC373" t="str">
            <v>CONFORM</v>
          </cell>
          <cell r="BD373" t="str">
            <v>CONFORM</v>
          </cell>
          <cell r="BE373" t="str">
            <v>CONFORM</v>
          </cell>
          <cell r="BF373" t="str">
            <v>CONFORM</v>
          </cell>
        </row>
        <row r="374">
          <cell r="A374">
            <v>43864</v>
          </cell>
          <cell r="B374" t="str">
            <v>D2002013-2</v>
          </cell>
          <cell r="C374" t="str">
            <v>011/20</v>
          </cell>
          <cell r="D374">
            <v>3</v>
          </cell>
          <cell r="E374">
            <v>43860</v>
          </cell>
          <cell r="F374" t="str">
            <v>DC</v>
          </cell>
          <cell r="G374" t="str">
            <v>On Time</v>
          </cell>
          <cell r="H374">
            <v>2407281040</v>
          </cell>
          <cell r="I374">
            <v>43861</v>
          </cell>
          <cell r="J374" t="str">
            <v>TKM</v>
          </cell>
          <cell r="K374" t="str">
            <v>D2002013</v>
          </cell>
          <cell r="L374">
            <v>2</v>
          </cell>
          <cell r="M374">
            <v>3224224</v>
          </cell>
          <cell r="N374">
            <v>526805</v>
          </cell>
          <cell r="O374" t="str">
            <v xml:space="preserve">1.4306 TP304L </v>
          </cell>
          <cell r="P374" t="str">
            <v>304L</v>
          </cell>
          <cell r="Q374">
            <v>4.6849999999999996</v>
          </cell>
          <cell r="R374">
            <v>4.68</v>
          </cell>
          <cell r="S374">
            <v>4.7E-2</v>
          </cell>
          <cell r="T374">
            <v>4.7E-2</v>
          </cell>
          <cell r="V374">
            <v>4.7E-2</v>
          </cell>
          <cell r="X374">
            <v>3520</v>
          </cell>
          <cell r="Y374">
            <v>2</v>
          </cell>
          <cell r="Z374">
            <v>375.6670224119531</v>
          </cell>
          <cell r="AA374" t="str">
            <v>4.685X0.047-304L</v>
          </cell>
          <cell r="AB374" t="str">
            <v>WAAC011900120B300062</v>
          </cell>
          <cell r="AC374" t="str">
            <v>D2002013</v>
          </cell>
          <cell r="AD374">
            <v>526805</v>
          </cell>
          <cell r="AE374">
            <v>2.5999999999999999E-2</v>
          </cell>
          <cell r="AF374">
            <v>1.28</v>
          </cell>
          <cell r="AG374">
            <v>3.2000000000000001E-2</v>
          </cell>
          <cell r="AH374">
            <v>1E-3</v>
          </cell>
          <cell r="AI374">
            <v>0.35</v>
          </cell>
          <cell r="AJ374">
            <v>18.3</v>
          </cell>
          <cell r="AK374">
            <v>8</v>
          </cell>
          <cell r="AL374">
            <v>7.0000000000000007E-2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Y374" t="str">
            <v/>
          </cell>
          <cell r="AZ374">
            <v>1.38</v>
          </cell>
          <cell r="BA374" t="str">
            <v>D2002013</v>
          </cell>
          <cell r="BB374" t="str">
            <v>CONFORM</v>
          </cell>
          <cell r="BC374" t="str">
            <v>CONFORM</v>
          </cell>
          <cell r="BD374" t="str">
            <v>CONFORM</v>
          </cell>
          <cell r="BE374" t="str">
            <v>CONFORM</v>
          </cell>
          <cell r="BF374" t="str">
            <v>CONFORM</v>
          </cell>
        </row>
        <row r="375">
          <cell r="A375">
            <v>43866</v>
          </cell>
          <cell r="B375" t="str">
            <v>D2002030-1</v>
          </cell>
          <cell r="C375" t="str">
            <v>041/19</v>
          </cell>
          <cell r="D375">
            <v>1</v>
          </cell>
          <cell r="E375">
            <v>43837</v>
          </cell>
          <cell r="F375" t="str">
            <v>DC</v>
          </cell>
          <cell r="G375" t="str">
            <v>Late</v>
          </cell>
          <cell r="H375" t="str">
            <v>l346915</v>
          </cell>
          <cell r="I375">
            <v>43865</v>
          </cell>
          <cell r="J375" t="str">
            <v>ATI</v>
          </cell>
          <cell r="K375" t="str">
            <v>D2002030</v>
          </cell>
          <cell r="L375">
            <v>1</v>
          </cell>
          <cell r="M375" t="str">
            <v>AAC86354</v>
          </cell>
          <cell r="N375">
            <v>859586</v>
          </cell>
          <cell r="O375" t="str">
            <v xml:space="preserve">1.4462 UNS S31803/S32205 </v>
          </cell>
          <cell r="P375" t="str">
            <v>2205</v>
          </cell>
          <cell r="Q375">
            <v>3.1139999999999999</v>
          </cell>
          <cell r="R375">
            <v>3.1120000000000001</v>
          </cell>
          <cell r="S375">
            <v>4.7E-2</v>
          </cell>
          <cell r="T375">
            <v>4.8000000000000001E-2</v>
          </cell>
          <cell r="V375">
            <v>4.8000000000000001E-2</v>
          </cell>
          <cell r="X375">
            <v>5656</v>
          </cell>
          <cell r="Y375">
            <v>3</v>
          </cell>
          <cell r="Z375">
            <v>605.4378077499465</v>
          </cell>
          <cell r="AA375" t="str">
            <v>3.114X0.047-2205</v>
          </cell>
          <cell r="AB375" t="str">
            <v>WACN007910120B300051</v>
          </cell>
          <cell r="AC375" t="str">
            <v>D2002030</v>
          </cell>
          <cell r="AD375">
            <v>859586</v>
          </cell>
          <cell r="AE375">
            <v>2.1999999999999999E-2</v>
          </cell>
          <cell r="AF375">
            <v>1.78</v>
          </cell>
          <cell r="AG375">
            <v>2.7E-2</v>
          </cell>
          <cell r="AH375">
            <v>1E-4</v>
          </cell>
          <cell r="AI375">
            <v>0.52</v>
          </cell>
          <cell r="AJ375">
            <v>22.4</v>
          </cell>
          <cell r="AK375">
            <v>5.4</v>
          </cell>
          <cell r="AL375">
            <v>0.17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Y375" t="str">
            <v/>
          </cell>
          <cell r="AZ375">
            <v>2.4114</v>
          </cell>
          <cell r="BA375" t="str">
            <v>D2002030</v>
          </cell>
          <cell r="BB375" t="str">
            <v>CONFORM</v>
          </cell>
          <cell r="BC375" t="str">
            <v>CONFORM</v>
          </cell>
          <cell r="BD375" t="str">
            <v>CONFORM</v>
          </cell>
          <cell r="BE375" t="str">
            <v>CONFORM</v>
          </cell>
          <cell r="BF375" t="str">
            <v>CONFORM</v>
          </cell>
        </row>
        <row r="376">
          <cell r="A376">
            <v>43866</v>
          </cell>
          <cell r="B376" t="str">
            <v>D2002030-2</v>
          </cell>
          <cell r="C376" t="str">
            <v>041/19</v>
          </cell>
          <cell r="D376">
            <v>1</v>
          </cell>
          <cell r="E376">
            <v>43837</v>
          </cell>
          <cell r="F376" t="str">
            <v>DC</v>
          </cell>
          <cell r="G376" t="str">
            <v>Late</v>
          </cell>
          <cell r="H376" t="str">
            <v>l346915</v>
          </cell>
          <cell r="I376">
            <v>43865</v>
          </cell>
          <cell r="J376" t="str">
            <v>ATI</v>
          </cell>
          <cell r="K376" t="str">
            <v>D2002030</v>
          </cell>
          <cell r="L376">
            <v>2</v>
          </cell>
          <cell r="M376" t="str">
            <v>AAC86354</v>
          </cell>
          <cell r="N376">
            <v>859586</v>
          </cell>
          <cell r="O376" t="str">
            <v xml:space="preserve">1.4462 UNS S31803/S32205 </v>
          </cell>
          <cell r="P376" t="str">
            <v>2205</v>
          </cell>
          <cell r="Q376">
            <v>3.1139999999999999</v>
          </cell>
          <cell r="R376">
            <v>3.1160000000000001</v>
          </cell>
          <cell r="S376">
            <v>4.7E-2</v>
          </cell>
          <cell r="T376">
            <v>4.8000000000000001E-2</v>
          </cell>
          <cell r="V376">
            <v>4.8000000000000001E-2</v>
          </cell>
          <cell r="X376">
            <v>5656</v>
          </cell>
          <cell r="Y376">
            <v>3</v>
          </cell>
          <cell r="Z376">
            <v>605.4378077499465</v>
          </cell>
          <cell r="AA376" t="str">
            <v>3.114X0.047-2205</v>
          </cell>
          <cell r="AB376" t="str">
            <v>WACN007910120B300051</v>
          </cell>
          <cell r="AC376" t="str">
            <v>D2002030</v>
          </cell>
          <cell r="AD376">
            <v>859586</v>
          </cell>
          <cell r="AE376">
            <v>2.1999999999999999E-2</v>
          </cell>
          <cell r="AF376">
            <v>1.78</v>
          </cell>
          <cell r="AG376">
            <v>2.7E-2</v>
          </cell>
          <cell r="AH376">
            <v>1E-4</v>
          </cell>
          <cell r="AI376">
            <v>0.52</v>
          </cell>
          <cell r="AJ376">
            <v>22.4</v>
          </cell>
          <cell r="AK376">
            <v>5.4</v>
          </cell>
          <cell r="AL376">
            <v>0.17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Y376" t="str">
            <v/>
          </cell>
          <cell r="AZ376">
            <v>2.4114</v>
          </cell>
          <cell r="BA376" t="str">
            <v>D2002030</v>
          </cell>
          <cell r="BB376" t="str">
            <v>CONFORM</v>
          </cell>
          <cell r="BC376" t="str">
            <v>CONFORM</v>
          </cell>
          <cell r="BD376" t="str">
            <v>CONFORM</v>
          </cell>
          <cell r="BE376" t="str">
            <v>CONFORM</v>
          </cell>
          <cell r="BF376" t="str">
            <v>CONFORM</v>
          </cell>
        </row>
        <row r="377">
          <cell r="A377">
            <v>43866</v>
          </cell>
          <cell r="B377" t="str">
            <v>D2002030-3</v>
          </cell>
          <cell r="C377" t="str">
            <v>041/19</v>
          </cell>
          <cell r="D377">
            <v>1</v>
          </cell>
          <cell r="E377">
            <v>43837</v>
          </cell>
          <cell r="F377" t="str">
            <v>DC</v>
          </cell>
          <cell r="G377" t="str">
            <v>Late</v>
          </cell>
          <cell r="H377" t="str">
            <v>l346915</v>
          </cell>
          <cell r="I377">
            <v>43865</v>
          </cell>
          <cell r="J377" t="str">
            <v>ATI</v>
          </cell>
          <cell r="K377" t="str">
            <v>D2002030</v>
          </cell>
          <cell r="L377">
            <v>3</v>
          </cell>
          <cell r="M377" t="str">
            <v>AAC86354</v>
          </cell>
          <cell r="N377">
            <v>859586</v>
          </cell>
          <cell r="O377" t="str">
            <v xml:space="preserve">1.4462 UNS S31803/S32205 </v>
          </cell>
          <cell r="P377" t="str">
            <v>2205</v>
          </cell>
          <cell r="Q377">
            <v>3.1139999999999999</v>
          </cell>
          <cell r="R377">
            <v>3.1150000000000002</v>
          </cell>
          <cell r="S377">
            <v>4.7E-2</v>
          </cell>
          <cell r="T377">
            <v>4.7E-2</v>
          </cell>
          <cell r="V377">
            <v>4.7E-2</v>
          </cell>
          <cell r="X377">
            <v>5656</v>
          </cell>
          <cell r="Y377">
            <v>3</v>
          </cell>
          <cell r="Z377">
            <v>605.4378077499465</v>
          </cell>
          <cell r="AA377" t="str">
            <v>3.114X0.047-2205</v>
          </cell>
          <cell r="AB377" t="str">
            <v>WACN007910120B300051</v>
          </cell>
          <cell r="AC377" t="str">
            <v>D2002030</v>
          </cell>
          <cell r="AD377">
            <v>859586</v>
          </cell>
          <cell r="AE377">
            <v>2.1999999999999999E-2</v>
          </cell>
          <cell r="AF377">
            <v>1.78</v>
          </cell>
          <cell r="AG377">
            <v>2.7E-2</v>
          </cell>
          <cell r="AH377">
            <v>1E-4</v>
          </cell>
          <cell r="AI377">
            <v>0.52</v>
          </cell>
          <cell r="AJ377">
            <v>22.4</v>
          </cell>
          <cell r="AK377">
            <v>5.4</v>
          </cell>
          <cell r="AL377">
            <v>0.17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Y377" t="str">
            <v/>
          </cell>
          <cell r="AZ377">
            <v>2.4114</v>
          </cell>
          <cell r="BA377" t="str">
            <v>D2002030</v>
          </cell>
          <cell r="BB377" t="str">
            <v>CONFORM</v>
          </cell>
          <cell r="BC377" t="str">
            <v>CONFORM</v>
          </cell>
          <cell r="BD377" t="str">
            <v>CONFORM</v>
          </cell>
          <cell r="BE377" t="str">
            <v>CONFORM</v>
          </cell>
          <cell r="BF377" t="str">
            <v>CONFORM</v>
          </cell>
        </row>
        <row r="378">
          <cell r="A378">
            <v>43866</v>
          </cell>
          <cell r="B378" t="str">
            <v>D2002030-4</v>
          </cell>
          <cell r="C378" t="str">
            <v>041/19</v>
          </cell>
          <cell r="D378">
            <v>1</v>
          </cell>
          <cell r="E378">
            <v>43837</v>
          </cell>
          <cell r="F378" t="str">
            <v>DC</v>
          </cell>
          <cell r="G378" t="str">
            <v>Late</v>
          </cell>
          <cell r="H378" t="str">
            <v>l346915</v>
          </cell>
          <cell r="I378">
            <v>43865</v>
          </cell>
          <cell r="J378" t="str">
            <v>ATI</v>
          </cell>
          <cell r="K378" t="str">
            <v>D2002030</v>
          </cell>
          <cell r="L378">
            <v>4</v>
          </cell>
          <cell r="M378" t="str">
            <v>AAC86354</v>
          </cell>
          <cell r="N378">
            <v>859586</v>
          </cell>
          <cell r="O378" t="str">
            <v xml:space="preserve">1.4462 UNS S31803/S32205 </v>
          </cell>
          <cell r="P378" t="str">
            <v>2205</v>
          </cell>
          <cell r="Q378">
            <v>3.1139999999999999</v>
          </cell>
          <cell r="R378">
            <v>3.1139999999999999</v>
          </cell>
          <cell r="S378">
            <v>4.7E-2</v>
          </cell>
          <cell r="T378">
            <v>4.5999999999999999E-2</v>
          </cell>
          <cell r="V378">
            <v>4.5999999999999999E-2</v>
          </cell>
          <cell r="X378">
            <v>5656</v>
          </cell>
          <cell r="Y378">
            <v>3</v>
          </cell>
          <cell r="Z378">
            <v>605.4378077499465</v>
          </cell>
          <cell r="AA378" t="str">
            <v>3.114X0.047-2205</v>
          </cell>
          <cell r="AB378" t="str">
            <v>WACN007910120B300051</v>
          </cell>
          <cell r="AC378" t="str">
            <v>D2002030</v>
          </cell>
          <cell r="AD378">
            <v>859586</v>
          </cell>
          <cell r="AE378">
            <v>2.1999999999999999E-2</v>
          </cell>
          <cell r="AF378">
            <v>1.78</v>
          </cell>
          <cell r="AG378">
            <v>2.7E-2</v>
          </cell>
          <cell r="AH378">
            <v>1E-4</v>
          </cell>
          <cell r="AI378">
            <v>0.52</v>
          </cell>
          <cell r="AJ378">
            <v>22.4</v>
          </cell>
          <cell r="AK378">
            <v>5.4</v>
          </cell>
          <cell r="AL378">
            <v>0.17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Y378" t="str">
            <v/>
          </cell>
          <cell r="AZ378">
            <v>2.4114</v>
          </cell>
          <cell r="BA378" t="str">
            <v>D2002030</v>
          </cell>
          <cell r="BB378" t="str">
            <v>CONFORM</v>
          </cell>
          <cell r="BC378" t="str">
            <v>CONFORM</v>
          </cell>
          <cell r="BD378" t="str">
            <v>CONFORM</v>
          </cell>
          <cell r="BE378" t="str">
            <v>CONFORM</v>
          </cell>
          <cell r="BF378" t="str">
            <v>CONFORM</v>
          </cell>
        </row>
        <row r="379">
          <cell r="A379">
            <v>43866</v>
          </cell>
          <cell r="B379" t="str">
            <v>D2002031-1</v>
          </cell>
          <cell r="C379" t="str">
            <v>041/19</v>
          </cell>
          <cell r="D379">
            <v>1</v>
          </cell>
          <cell r="E379">
            <v>43837</v>
          </cell>
          <cell r="F379" t="str">
            <v>DC</v>
          </cell>
          <cell r="G379" t="str">
            <v>Late</v>
          </cell>
          <cell r="H379" t="str">
            <v>l346915</v>
          </cell>
          <cell r="I379">
            <v>43865</v>
          </cell>
          <cell r="J379" t="str">
            <v>ATI</v>
          </cell>
          <cell r="K379" t="str">
            <v>D2002031</v>
          </cell>
          <cell r="L379">
            <v>1</v>
          </cell>
          <cell r="M379" t="str">
            <v>AAC86367</v>
          </cell>
          <cell r="N379">
            <v>859587</v>
          </cell>
          <cell r="O379" t="str">
            <v xml:space="preserve">1.4462 UNS S31803/S32205 </v>
          </cell>
          <cell r="P379" t="str">
            <v>2205</v>
          </cell>
          <cell r="Q379">
            <v>3.1139999999999999</v>
          </cell>
          <cell r="R379">
            <v>3.113</v>
          </cell>
          <cell r="S379">
            <v>4.7E-2</v>
          </cell>
          <cell r="T379">
            <v>4.7E-2</v>
          </cell>
          <cell r="V379">
            <v>4.7E-2</v>
          </cell>
          <cell r="X379">
            <v>4970</v>
          </cell>
          <cell r="Y379">
            <v>4</v>
          </cell>
          <cell r="Z379">
            <v>399.00449582530507</v>
          </cell>
          <cell r="AA379" t="str">
            <v>3.114X0.047-2205</v>
          </cell>
          <cell r="AB379" t="str">
            <v>WACN007910120B300051</v>
          </cell>
          <cell r="AC379" t="str">
            <v>D2002031</v>
          </cell>
          <cell r="AD379">
            <v>859587</v>
          </cell>
          <cell r="AE379">
            <v>2.1999999999999999E-2</v>
          </cell>
          <cell r="AF379">
            <v>1.77</v>
          </cell>
          <cell r="AG379">
            <v>2.8000000000000001E-2</v>
          </cell>
          <cell r="AH379">
            <v>1E-4</v>
          </cell>
          <cell r="AI379">
            <v>0.52</v>
          </cell>
          <cell r="AJ379">
            <v>22.3</v>
          </cell>
          <cell r="AK379">
            <v>5.3</v>
          </cell>
          <cell r="AL379">
            <v>0.17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Y379" t="str">
            <v/>
          </cell>
          <cell r="AZ379">
            <v>2.4114</v>
          </cell>
          <cell r="BA379" t="str">
            <v>D2002031</v>
          </cell>
          <cell r="BB379" t="str">
            <v>CONFORM</v>
          </cell>
          <cell r="BC379" t="str">
            <v>CONFORM</v>
          </cell>
          <cell r="BD379" t="str">
            <v>CONFORM</v>
          </cell>
          <cell r="BE379" t="str">
            <v>CONFORM</v>
          </cell>
          <cell r="BF379" t="str">
            <v>CONFORM</v>
          </cell>
        </row>
        <row r="380">
          <cell r="A380">
            <v>43866</v>
          </cell>
          <cell r="B380" t="str">
            <v>D2002031-2</v>
          </cell>
          <cell r="C380" t="str">
            <v>041/19</v>
          </cell>
          <cell r="D380">
            <v>1</v>
          </cell>
          <cell r="E380">
            <v>43837</v>
          </cell>
          <cell r="F380" t="str">
            <v>DC</v>
          </cell>
          <cell r="G380" t="str">
            <v>Late</v>
          </cell>
          <cell r="H380" t="str">
            <v>l346915</v>
          </cell>
          <cell r="I380">
            <v>43865</v>
          </cell>
          <cell r="J380" t="str">
            <v>ATI</v>
          </cell>
          <cell r="K380" t="str">
            <v>D2002031</v>
          </cell>
          <cell r="L380">
            <v>2</v>
          </cell>
          <cell r="M380" t="str">
            <v>AAC86367</v>
          </cell>
          <cell r="N380">
            <v>859587</v>
          </cell>
          <cell r="O380" t="str">
            <v xml:space="preserve">1.4462 UNS S31803/S32205 </v>
          </cell>
          <cell r="P380" t="str">
            <v>2205</v>
          </cell>
          <cell r="Q380">
            <v>3.1139999999999999</v>
          </cell>
          <cell r="R380">
            <v>3.1139999999999999</v>
          </cell>
          <cell r="S380">
            <v>4.7E-2</v>
          </cell>
          <cell r="T380">
            <v>4.7E-2</v>
          </cell>
          <cell r="V380">
            <v>4.7E-2</v>
          </cell>
          <cell r="X380">
            <v>4970</v>
          </cell>
          <cell r="Y380">
            <v>4</v>
          </cell>
          <cell r="Z380">
            <v>399.00449582530507</v>
          </cell>
          <cell r="AA380" t="str">
            <v>3.114X0.047-2205</v>
          </cell>
          <cell r="AB380" t="str">
            <v>WACN007910120B300051</v>
          </cell>
          <cell r="AC380" t="str">
            <v>D2002031</v>
          </cell>
          <cell r="AD380">
            <v>859587</v>
          </cell>
          <cell r="AE380">
            <v>2.1999999999999999E-2</v>
          </cell>
          <cell r="AF380">
            <v>1.77</v>
          </cell>
          <cell r="AG380">
            <v>2.8000000000000001E-2</v>
          </cell>
          <cell r="AH380">
            <v>1E-4</v>
          </cell>
          <cell r="AI380">
            <v>0.52</v>
          </cell>
          <cell r="AJ380">
            <v>22.3</v>
          </cell>
          <cell r="AK380">
            <v>5.3</v>
          </cell>
          <cell r="AL380">
            <v>0.17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Y380" t="str">
            <v/>
          </cell>
          <cell r="AZ380">
            <v>2.4114</v>
          </cell>
          <cell r="BA380" t="str">
            <v>D2002031</v>
          </cell>
          <cell r="BB380" t="str">
            <v>CONFORM</v>
          </cell>
          <cell r="BC380" t="str">
            <v>CONFORM</v>
          </cell>
          <cell r="BD380" t="str">
            <v>CONFORM</v>
          </cell>
          <cell r="BE380" t="str">
            <v>CONFORM</v>
          </cell>
          <cell r="BF380" t="str">
            <v>CONFORM</v>
          </cell>
        </row>
        <row r="381">
          <cell r="A381">
            <v>43866</v>
          </cell>
          <cell r="B381" t="str">
            <v>D2002031-3</v>
          </cell>
          <cell r="C381" t="str">
            <v>041/19</v>
          </cell>
          <cell r="D381">
            <v>1</v>
          </cell>
          <cell r="E381">
            <v>43837</v>
          </cell>
          <cell r="F381" t="str">
            <v>DC</v>
          </cell>
          <cell r="G381" t="str">
            <v>Late</v>
          </cell>
          <cell r="H381" t="str">
            <v>l346915</v>
          </cell>
          <cell r="I381">
            <v>43865</v>
          </cell>
          <cell r="J381" t="str">
            <v>ATI</v>
          </cell>
          <cell r="K381" t="str">
            <v>D2002031</v>
          </cell>
          <cell r="L381">
            <v>3</v>
          </cell>
          <cell r="M381" t="str">
            <v>AAC86367</v>
          </cell>
          <cell r="N381">
            <v>859587</v>
          </cell>
          <cell r="O381" t="str">
            <v xml:space="preserve">1.4462 UNS S31803/S32205 </v>
          </cell>
          <cell r="P381" t="str">
            <v>2205</v>
          </cell>
          <cell r="Q381">
            <v>3.1139999999999999</v>
          </cell>
          <cell r="R381">
            <v>3.1150000000000002</v>
          </cell>
          <cell r="S381">
            <v>4.7E-2</v>
          </cell>
          <cell r="T381">
            <v>4.5999999999999999E-2</v>
          </cell>
          <cell r="V381">
            <v>4.5999999999999999E-2</v>
          </cell>
          <cell r="X381">
            <v>4970</v>
          </cell>
          <cell r="Y381">
            <v>4</v>
          </cell>
          <cell r="Z381">
            <v>399.00449582530507</v>
          </cell>
          <cell r="AA381" t="str">
            <v>3.114X0.047-2205</v>
          </cell>
          <cell r="AB381" t="str">
            <v>WACN007910120B300051</v>
          </cell>
          <cell r="AC381" t="str">
            <v>D2002031</v>
          </cell>
          <cell r="AD381">
            <v>859587</v>
          </cell>
          <cell r="AE381">
            <v>2.1999999999999999E-2</v>
          </cell>
          <cell r="AF381">
            <v>1.77</v>
          </cell>
          <cell r="AG381">
            <v>2.8000000000000001E-2</v>
          </cell>
          <cell r="AH381">
            <v>1E-4</v>
          </cell>
          <cell r="AI381">
            <v>0.52</v>
          </cell>
          <cell r="AJ381">
            <v>22.3</v>
          </cell>
          <cell r="AK381">
            <v>5.3</v>
          </cell>
          <cell r="AL381">
            <v>0.17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Y381" t="str">
            <v/>
          </cell>
          <cell r="AZ381">
            <v>2.4114</v>
          </cell>
          <cell r="BA381" t="str">
            <v>D2002031</v>
          </cell>
          <cell r="BB381" t="str">
            <v>CONFORM</v>
          </cell>
          <cell r="BC381" t="str">
            <v>CONFORM</v>
          </cell>
          <cell r="BD381" t="str">
            <v>CONFORM</v>
          </cell>
          <cell r="BE381" t="str">
            <v>CONFORM</v>
          </cell>
          <cell r="BF381" t="str">
            <v>CONFORM</v>
          </cell>
        </row>
        <row r="382">
          <cell r="A382">
            <v>43866</v>
          </cell>
          <cell r="B382" t="str">
            <v>D2002031-4</v>
          </cell>
          <cell r="C382" t="str">
            <v>041/19</v>
          </cell>
          <cell r="D382">
            <v>1</v>
          </cell>
          <cell r="E382">
            <v>43837</v>
          </cell>
          <cell r="F382" t="str">
            <v>DC</v>
          </cell>
          <cell r="G382" t="str">
            <v>Late</v>
          </cell>
          <cell r="H382" t="str">
            <v>l346915</v>
          </cell>
          <cell r="I382">
            <v>43865</v>
          </cell>
          <cell r="J382" t="str">
            <v>ATI</v>
          </cell>
          <cell r="K382" t="str">
            <v>D2002031</v>
          </cell>
          <cell r="L382">
            <v>4</v>
          </cell>
          <cell r="M382" t="str">
            <v>AAC86367</v>
          </cell>
          <cell r="N382">
            <v>859587</v>
          </cell>
          <cell r="O382" t="str">
            <v xml:space="preserve">1.4462 UNS S31803/S32205 </v>
          </cell>
          <cell r="P382" t="str">
            <v>2205</v>
          </cell>
          <cell r="Q382">
            <v>3.1139999999999999</v>
          </cell>
          <cell r="R382">
            <v>3.1150000000000002</v>
          </cell>
          <cell r="S382">
            <v>4.7E-2</v>
          </cell>
          <cell r="T382">
            <v>4.7E-2</v>
          </cell>
          <cell r="V382">
            <v>4.7E-2</v>
          </cell>
          <cell r="X382">
            <v>3730</v>
          </cell>
          <cell r="Y382">
            <v>3</v>
          </cell>
          <cell r="Z382">
            <v>399.27210447441661</v>
          </cell>
          <cell r="AA382" t="str">
            <v>3.114X0.047-2205</v>
          </cell>
          <cell r="AB382" t="str">
            <v>WACN007910120B300051</v>
          </cell>
          <cell r="AC382" t="str">
            <v>D2002031</v>
          </cell>
          <cell r="AD382">
            <v>859587</v>
          </cell>
          <cell r="AE382">
            <v>2.1999999999999999E-2</v>
          </cell>
          <cell r="AF382">
            <v>1.77</v>
          </cell>
          <cell r="AG382">
            <v>2.8000000000000001E-2</v>
          </cell>
          <cell r="AH382">
            <v>1E-4</v>
          </cell>
          <cell r="AI382">
            <v>0.52</v>
          </cell>
          <cell r="AJ382">
            <v>22.3</v>
          </cell>
          <cell r="AK382">
            <v>5.3</v>
          </cell>
          <cell r="AL382">
            <v>0.17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Y382" t="str">
            <v/>
          </cell>
          <cell r="AZ382">
            <v>2.4114</v>
          </cell>
          <cell r="BA382" t="str">
            <v>D2002031</v>
          </cell>
          <cell r="BB382" t="str">
            <v>CONFORM</v>
          </cell>
          <cell r="BC382" t="str">
            <v>CONFORM</v>
          </cell>
          <cell r="BD382" t="str">
            <v>CONFORM</v>
          </cell>
          <cell r="BE382" t="str">
            <v>CONFORM</v>
          </cell>
          <cell r="BF382" t="str">
            <v>CONFORM</v>
          </cell>
        </row>
        <row r="383">
          <cell r="A383">
            <v>43871</v>
          </cell>
          <cell r="B383" t="str">
            <v>D2002056-1</v>
          </cell>
          <cell r="C383" t="str">
            <v>007/20</v>
          </cell>
          <cell r="D383">
            <v>1</v>
          </cell>
          <cell r="E383">
            <v>43881</v>
          </cell>
          <cell r="F383" t="str">
            <v>DC</v>
          </cell>
          <cell r="G383" t="str">
            <v>On Time</v>
          </cell>
          <cell r="H383">
            <v>2407301530</v>
          </cell>
          <cell r="I383">
            <v>43867</v>
          </cell>
          <cell r="J383" t="str">
            <v>TKM</v>
          </cell>
          <cell r="K383" t="str">
            <v>D2002056</v>
          </cell>
          <cell r="L383">
            <v>1</v>
          </cell>
          <cell r="M383" t="str">
            <v>AAC87858-C</v>
          </cell>
          <cell r="N383">
            <v>859682</v>
          </cell>
          <cell r="O383" t="str">
            <v xml:space="preserve">1.4306 TP304L </v>
          </cell>
          <cell r="P383" t="str">
            <v>304L</v>
          </cell>
          <cell r="Q383">
            <v>4.6849999999999996</v>
          </cell>
          <cell r="R383">
            <v>4.6829999999999998</v>
          </cell>
          <cell r="S383">
            <v>4.7E-2</v>
          </cell>
          <cell r="T383">
            <v>4.8000000000000001E-2</v>
          </cell>
          <cell r="V383">
            <v>4.8000000000000001E-2</v>
          </cell>
          <cell r="X383">
            <v>6340</v>
          </cell>
          <cell r="Y383">
            <v>3</v>
          </cell>
          <cell r="Z383">
            <v>451.0850231234437</v>
          </cell>
          <cell r="AA383" t="str">
            <v>4.685X0.047-304L</v>
          </cell>
          <cell r="AB383" t="str">
            <v>WAAC011900120B300062</v>
          </cell>
          <cell r="AC383" t="str">
            <v>D2002056</v>
          </cell>
          <cell r="AD383">
            <v>859682</v>
          </cell>
          <cell r="AE383">
            <v>2.3E-2</v>
          </cell>
          <cell r="AF383">
            <v>1.68</v>
          </cell>
          <cell r="AG383">
            <v>3.5999999999999997E-2</v>
          </cell>
          <cell r="AH383">
            <v>1E-4</v>
          </cell>
          <cell r="AI383">
            <v>0.42</v>
          </cell>
          <cell r="AJ383">
            <v>18.2</v>
          </cell>
          <cell r="AK383">
            <v>8.5</v>
          </cell>
          <cell r="AL383">
            <v>7.0000000000000007E-2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Y383" t="str">
            <v/>
          </cell>
          <cell r="AZ383">
            <v>1.5</v>
          </cell>
          <cell r="BA383" t="str">
            <v>D2002056</v>
          </cell>
          <cell r="BB383" t="str">
            <v>NOT CONFORM</v>
          </cell>
          <cell r="BC383" t="str">
            <v>CONFORM</v>
          </cell>
          <cell r="BD383" t="str">
            <v>NOT CONFORM</v>
          </cell>
          <cell r="BE383" t="str">
            <v>CONFORM</v>
          </cell>
          <cell r="BF383" t="str">
            <v>CONFORM</v>
          </cell>
        </row>
        <row r="384">
          <cell r="A384">
            <v>43871</v>
          </cell>
          <cell r="B384" t="str">
            <v>D2002056-2</v>
          </cell>
          <cell r="C384" t="str">
            <v>007/20</v>
          </cell>
          <cell r="D384">
            <v>1</v>
          </cell>
          <cell r="E384">
            <v>43881</v>
          </cell>
          <cell r="F384" t="str">
            <v>DC</v>
          </cell>
          <cell r="G384" t="str">
            <v>On Time</v>
          </cell>
          <cell r="H384">
            <v>2407301530</v>
          </cell>
          <cell r="I384">
            <v>43867</v>
          </cell>
          <cell r="J384" t="str">
            <v>TKM</v>
          </cell>
          <cell r="K384" t="str">
            <v>D2002056</v>
          </cell>
          <cell r="L384">
            <v>2</v>
          </cell>
          <cell r="M384" t="str">
            <v>AAC87858-C</v>
          </cell>
          <cell r="N384">
            <v>859682</v>
          </cell>
          <cell r="O384" t="str">
            <v xml:space="preserve">1.4306 TP304L </v>
          </cell>
          <cell r="P384" t="str">
            <v>304L</v>
          </cell>
          <cell r="Q384">
            <v>4.6849999999999996</v>
          </cell>
          <cell r="R384">
            <v>4.6840000000000002</v>
          </cell>
          <cell r="S384">
            <v>4.7E-2</v>
          </cell>
          <cell r="T384">
            <v>4.8000000000000001E-2</v>
          </cell>
          <cell r="V384">
            <v>4.8000000000000001E-2</v>
          </cell>
          <cell r="X384">
            <v>6325</v>
          </cell>
          <cell r="Y384">
            <v>3</v>
          </cell>
          <cell r="Z384">
            <v>450.01778726431883</v>
          </cell>
          <cell r="AA384" t="str">
            <v>4.685X0.047-304L</v>
          </cell>
          <cell r="AB384" t="str">
            <v>WAAC011900120B300062</v>
          </cell>
          <cell r="AC384" t="str">
            <v>D2002056</v>
          </cell>
          <cell r="AD384">
            <v>859682</v>
          </cell>
          <cell r="AE384">
            <v>2.3E-2</v>
          </cell>
          <cell r="AF384">
            <v>1.68</v>
          </cell>
          <cell r="AG384">
            <v>3.5999999999999997E-2</v>
          </cell>
          <cell r="AH384">
            <v>1E-4</v>
          </cell>
          <cell r="AI384">
            <v>0.42</v>
          </cell>
          <cell r="AJ384">
            <v>18.2</v>
          </cell>
          <cell r="AK384">
            <v>8.5</v>
          </cell>
          <cell r="AL384">
            <v>7.0000000000000007E-2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Y384" t="str">
            <v/>
          </cell>
          <cell r="AZ384">
            <v>1.5</v>
          </cell>
          <cell r="BA384" t="str">
            <v>D2002056</v>
          </cell>
          <cell r="BB384" t="str">
            <v>CONFORM</v>
          </cell>
          <cell r="BC384" t="str">
            <v>CONFORM</v>
          </cell>
          <cell r="BD384" t="str">
            <v>CONFORM</v>
          </cell>
          <cell r="BE384" t="str">
            <v>CONFORM</v>
          </cell>
          <cell r="BF384" t="str">
            <v>CONFORM</v>
          </cell>
        </row>
        <row r="385">
          <cell r="A385">
            <v>43871</v>
          </cell>
          <cell r="B385" t="str">
            <v>D2002056-3</v>
          </cell>
          <cell r="C385" t="str">
            <v>007/20</v>
          </cell>
          <cell r="D385">
            <v>1</v>
          </cell>
          <cell r="E385">
            <v>43881</v>
          </cell>
          <cell r="F385" t="str">
            <v>DC</v>
          </cell>
          <cell r="G385" t="str">
            <v>On Time</v>
          </cell>
          <cell r="H385">
            <v>2407301530</v>
          </cell>
          <cell r="I385">
            <v>43867</v>
          </cell>
          <cell r="J385" t="str">
            <v>TKM</v>
          </cell>
          <cell r="K385" t="str">
            <v>D2002056</v>
          </cell>
          <cell r="L385">
            <v>3</v>
          </cell>
          <cell r="M385" t="str">
            <v>AAC87858-C</v>
          </cell>
          <cell r="N385">
            <v>859682</v>
          </cell>
          <cell r="O385" t="str">
            <v xml:space="preserve">1.4306 TP304L </v>
          </cell>
          <cell r="P385" t="str">
            <v>304L</v>
          </cell>
          <cell r="Q385">
            <v>4.6849999999999996</v>
          </cell>
          <cell r="R385">
            <v>4.6829999999999998</v>
          </cell>
          <cell r="S385">
            <v>4.7E-2</v>
          </cell>
          <cell r="T385">
            <v>4.7E-2</v>
          </cell>
          <cell r="V385">
            <v>4.7E-2</v>
          </cell>
          <cell r="X385">
            <v>6290</v>
          </cell>
          <cell r="Y385">
            <v>3</v>
          </cell>
          <cell r="Z385">
            <v>447.52757025969407</v>
          </cell>
          <cell r="AA385" t="str">
            <v>4.685X0.047-304L</v>
          </cell>
          <cell r="AB385" t="str">
            <v>WAAC011900120B300062</v>
          </cell>
          <cell r="AC385" t="str">
            <v>D2002056</v>
          </cell>
          <cell r="AD385">
            <v>859682</v>
          </cell>
          <cell r="AE385">
            <v>2.3E-2</v>
          </cell>
          <cell r="AF385">
            <v>1.68</v>
          </cell>
          <cell r="AG385">
            <v>3.5999999999999997E-2</v>
          </cell>
          <cell r="AH385">
            <v>1E-4</v>
          </cell>
          <cell r="AI385">
            <v>0.42</v>
          </cell>
          <cell r="AJ385">
            <v>18.2</v>
          </cell>
          <cell r="AK385">
            <v>8.5</v>
          </cell>
          <cell r="AL385">
            <v>7.0000000000000007E-2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Y385" t="str">
            <v/>
          </cell>
          <cell r="AZ385">
            <v>1.5</v>
          </cell>
          <cell r="BA385" t="str">
            <v>D2002056</v>
          </cell>
          <cell r="BB385" t="str">
            <v>CONFORM</v>
          </cell>
          <cell r="BC385" t="str">
            <v>CONFORM</v>
          </cell>
          <cell r="BD385" t="str">
            <v>CONFORM</v>
          </cell>
          <cell r="BE385" t="str">
            <v>CONFORM</v>
          </cell>
          <cell r="BF385" t="str">
            <v>CONFORM</v>
          </cell>
        </row>
        <row r="386">
          <cell r="A386">
            <v>43871</v>
          </cell>
          <cell r="B386" t="str">
            <v>D2002057-1</v>
          </cell>
          <cell r="C386" t="str">
            <v>007/20</v>
          </cell>
          <cell r="D386">
            <v>1</v>
          </cell>
          <cell r="E386">
            <v>43881</v>
          </cell>
          <cell r="F386" t="str">
            <v>DC</v>
          </cell>
          <cell r="G386" t="str">
            <v>On Time</v>
          </cell>
          <cell r="H386">
            <v>2407301530</v>
          </cell>
          <cell r="I386">
            <v>43867</v>
          </cell>
          <cell r="J386" t="str">
            <v>TKM</v>
          </cell>
          <cell r="K386" t="str">
            <v>D2002057</v>
          </cell>
          <cell r="L386">
            <v>1</v>
          </cell>
          <cell r="M386" t="str">
            <v>AAC84251-B</v>
          </cell>
          <cell r="N386">
            <v>859373</v>
          </cell>
          <cell r="O386" t="str">
            <v xml:space="preserve">1.4306 TP304L </v>
          </cell>
          <cell r="P386" t="str">
            <v>304L</v>
          </cell>
          <cell r="Q386">
            <v>4.6849999999999996</v>
          </cell>
          <cell r="R386">
            <v>4.6859999999999999</v>
          </cell>
          <cell r="S386">
            <v>4.7E-2</v>
          </cell>
          <cell r="T386">
            <v>4.5999999999999999E-2</v>
          </cell>
          <cell r="V386">
            <v>4.5999999999999999E-2</v>
          </cell>
          <cell r="X386">
            <v>6253</v>
          </cell>
          <cell r="Y386">
            <v>3</v>
          </cell>
          <cell r="Z386">
            <v>444.89505514051945</v>
          </cell>
          <cell r="AA386" t="str">
            <v>4.685X0.047-304L</v>
          </cell>
          <cell r="AB386" t="str">
            <v>WAAC011900120B300062</v>
          </cell>
          <cell r="AC386" t="str">
            <v>D2002057</v>
          </cell>
          <cell r="AD386">
            <v>859373</v>
          </cell>
          <cell r="AE386">
            <v>2.1000000000000001E-2</v>
          </cell>
          <cell r="AF386">
            <v>1.63</v>
          </cell>
          <cell r="AG386">
            <v>3.2000000000000001E-2</v>
          </cell>
          <cell r="AH386">
            <v>1E-3</v>
          </cell>
          <cell r="AI386">
            <v>0.39</v>
          </cell>
          <cell r="AJ386">
            <v>18.2</v>
          </cell>
          <cell r="AK386">
            <v>8.1999999999999993</v>
          </cell>
          <cell r="AL386">
            <v>7.0000000000000007E-2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Y386" t="str">
            <v/>
          </cell>
          <cell r="AZ386">
            <v>1.5</v>
          </cell>
          <cell r="BA386" t="str">
            <v>D2002057</v>
          </cell>
          <cell r="BB386" t="str">
            <v>CONFORM</v>
          </cell>
          <cell r="BC386" t="str">
            <v>CONFORM</v>
          </cell>
          <cell r="BD386" t="str">
            <v>CONFORM</v>
          </cell>
          <cell r="BE386" t="str">
            <v>CONFORM</v>
          </cell>
          <cell r="BF386" t="str">
            <v>CONFORM</v>
          </cell>
        </row>
        <row r="387">
          <cell r="A387">
            <v>43871</v>
          </cell>
          <cell r="B387" t="str">
            <v>D2002057-2</v>
          </cell>
          <cell r="C387" t="str">
            <v>007/20</v>
          </cell>
          <cell r="D387">
            <v>1</v>
          </cell>
          <cell r="E387">
            <v>43881</v>
          </cell>
          <cell r="F387" t="str">
            <v>DC</v>
          </cell>
          <cell r="G387" t="str">
            <v>On Time</v>
          </cell>
          <cell r="H387">
            <v>2407301530</v>
          </cell>
          <cell r="I387">
            <v>43867</v>
          </cell>
          <cell r="J387" t="str">
            <v>TKM</v>
          </cell>
          <cell r="K387" t="str">
            <v>D2002057</v>
          </cell>
          <cell r="L387">
            <v>2</v>
          </cell>
          <cell r="M387" t="str">
            <v>AAC84251-B</v>
          </cell>
          <cell r="N387">
            <v>859373</v>
          </cell>
          <cell r="O387" t="str">
            <v xml:space="preserve">1.4306 TP304L </v>
          </cell>
          <cell r="P387" t="str">
            <v>304L</v>
          </cell>
          <cell r="Q387">
            <v>4.6849999999999996</v>
          </cell>
          <cell r="R387">
            <v>4.6829999999999998</v>
          </cell>
          <cell r="S387">
            <v>4.7E-2</v>
          </cell>
          <cell r="T387">
            <v>4.7E-2</v>
          </cell>
          <cell r="V387">
            <v>4.7E-2</v>
          </cell>
          <cell r="X387">
            <v>6300</v>
          </cell>
          <cell r="Y387">
            <v>3</v>
          </cell>
          <cell r="Z387">
            <v>448.23906083244401</v>
          </cell>
          <cell r="AA387" t="str">
            <v>4.685X0.047-304L</v>
          </cell>
          <cell r="AB387" t="str">
            <v>WAAC011900120B300062</v>
          </cell>
          <cell r="AC387" t="str">
            <v>D2002057</v>
          </cell>
          <cell r="AD387">
            <v>859373</v>
          </cell>
          <cell r="AE387">
            <v>2.1000000000000001E-2</v>
          </cell>
          <cell r="AF387">
            <v>1.63</v>
          </cell>
          <cell r="AG387">
            <v>3.2000000000000001E-2</v>
          </cell>
          <cell r="AH387">
            <v>1E-3</v>
          </cell>
          <cell r="AI387">
            <v>0.39</v>
          </cell>
          <cell r="AJ387">
            <v>18.2</v>
          </cell>
          <cell r="AK387">
            <v>8.1999999999999993</v>
          </cell>
          <cell r="AL387">
            <v>7.0000000000000007E-2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Y387" t="str">
            <v/>
          </cell>
          <cell r="AZ387">
            <v>1.5</v>
          </cell>
          <cell r="BA387" t="str">
            <v>D2002057</v>
          </cell>
          <cell r="BB387" t="str">
            <v>CONFORM</v>
          </cell>
          <cell r="BC387" t="str">
            <v>CONFORM</v>
          </cell>
          <cell r="BD387" t="str">
            <v>CONFORM</v>
          </cell>
          <cell r="BE387" t="str">
            <v>CONFORM</v>
          </cell>
          <cell r="BF387" t="str">
            <v>CONFORM</v>
          </cell>
        </row>
        <row r="388">
          <cell r="A388">
            <v>43871</v>
          </cell>
          <cell r="B388" t="str">
            <v>D2002057-3</v>
          </cell>
          <cell r="C388" t="str">
            <v>007/20</v>
          </cell>
          <cell r="D388">
            <v>1</v>
          </cell>
          <cell r="E388">
            <v>43881</v>
          </cell>
          <cell r="F388" t="str">
            <v>DC</v>
          </cell>
          <cell r="G388" t="str">
            <v>On Time</v>
          </cell>
          <cell r="H388">
            <v>2407301530</v>
          </cell>
          <cell r="I388">
            <v>43867</v>
          </cell>
          <cell r="J388" t="str">
            <v>TKM</v>
          </cell>
          <cell r="K388" t="str">
            <v>D2002057</v>
          </cell>
          <cell r="L388">
            <v>3</v>
          </cell>
          <cell r="M388" t="str">
            <v>AAC84251-B</v>
          </cell>
          <cell r="N388">
            <v>859373</v>
          </cell>
          <cell r="O388" t="str">
            <v xml:space="preserve">1.4306 TP304L </v>
          </cell>
          <cell r="P388" t="str">
            <v>304L</v>
          </cell>
          <cell r="Q388">
            <v>4.6849999999999996</v>
          </cell>
          <cell r="R388">
            <v>4.6870000000000003</v>
          </cell>
          <cell r="S388">
            <v>4.7E-2</v>
          </cell>
          <cell r="T388">
            <v>4.7E-2</v>
          </cell>
          <cell r="V388">
            <v>4.7E-2</v>
          </cell>
          <cell r="X388">
            <v>6297</v>
          </cell>
          <cell r="Y388">
            <v>3</v>
          </cell>
          <cell r="Z388">
            <v>448.02561366061906</v>
          </cell>
          <cell r="AA388" t="str">
            <v>4.685X0.047-304L</v>
          </cell>
          <cell r="AB388" t="str">
            <v>WAAC011900120B300062</v>
          </cell>
          <cell r="AC388" t="str">
            <v>D2002057</v>
          </cell>
          <cell r="AD388">
            <v>859373</v>
          </cell>
          <cell r="AE388">
            <v>2.1000000000000001E-2</v>
          </cell>
          <cell r="AF388">
            <v>1.63</v>
          </cell>
          <cell r="AG388">
            <v>3.2000000000000001E-2</v>
          </cell>
          <cell r="AH388">
            <v>1E-3</v>
          </cell>
          <cell r="AI388">
            <v>0.39</v>
          </cell>
          <cell r="AJ388">
            <v>18.2</v>
          </cell>
          <cell r="AK388">
            <v>8.1999999999999993</v>
          </cell>
          <cell r="AL388">
            <v>7.0000000000000007E-2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Y388" t="str">
            <v/>
          </cell>
          <cell r="AZ388">
            <v>1.5</v>
          </cell>
          <cell r="BA388" t="str">
            <v>D2002057</v>
          </cell>
          <cell r="BB388" t="str">
            <v>CONFORM</v>
          </cell>
          <cell r="BC388" t="str">
            <v>CONFORM</v>
          </cell>
          <cell r="BD388" t="str">
            <v>CONFORM</v>
          </cell>
          <cell r="BE388" t="str">
            <v>CONFORM</v>
          </cell>
          <cell r="BF388" t="str">
            <v>CONFORM</v>
          </cell>
        </row>
        <row r="389">
          <cell r="A389">
            <v>43871</v>
          </cell>
          <cell r="B389" t="str">
            <v>D2002058-1</v>
          </cell>
          <cell r="C389" t="str">
            <v>014/20</v>
          </cell>
          <cell r="D389">
            <v>1</v>
          </cell>
          <cell r="E389">
            <v>43865</v>
          </cell>
          <cell r="F389" t="str">
            <v>DC</v>
          </cell>
          <cell r="G389" t="str">
            <v>On Time</v>
          </cell>
          <cell r="H389">
            <v>2407292039</v>
          </cell>
          <cell r="I389">
            <v>43865</v>
          </cell>
          <cell r="J389" t="str">
            <v>TKM</v>
          </cell>
          <cell r="K389" t="str">
            <v>D2002058</v>
          </cell>
          <cell r="L389">
            <v>1</v>
          </cell>
          <cell r="M389">
            <v>3234162</v>
          </cell>
          <cell r="N389">
            <v>527244</v>
          </cell>
          <cell r="O389" t="str">
            <v xml:space="preserve">1.4306 TP304L </v>
          </cell>
          <cell r="P389" t="str">
            <v>304L</v>
          </cell>
          <cell r="Q389">
            <v>3.1139999999999999</v>
          </cell>
          <cell r="R389">
            <v>3.113</v>
          </cell>
          <cell r="S389">
            <v>4.7E-2</v>
          </cell>
          <cell r="T389">
            <v>4.7E-2</v>
          </cell>
          <cell r="V389">
            <v>4.7E-2</v>
          </cell>
          <cell r="X389">
            <v>3202</v>
          </cell>
          <cell r="Y389">
            <v>4</v>
          </cell>
          <cell r="Z389">
            <v>257.06486833654463</v>
          </cell>
          <cell r="AA389" t="str">
            <v>3.114X0.047-304L</v>
          </cell>
          <cell r="AB389" t="str">
            <v>WAAC007910120B300030</v>
          </cell>
          <cell r="AC389" t="str">
            <v>D2002058</v>
          </cell>
          <cell r="AD389">
            <v>527244</v>
          </cell>
          <cell r="AE389">
            <v>2.3E-2</v>
          </cell>
          <cell r="AF389">
            <v>1.48</v>
          </cell>
          <cell r="AG389">
            <v>3.3000000000000002E-2</v>
          </cell>
          <cell r="AH389">
            <v>1E-3</v>
          </cell>
          <cell r="AI389">
            <v>0.34</v>
          </cell>
          <cell r="AJ389">
            <v>18.100000000000001</v>
          </cell>
          <cell r="AK389">
            <v>8</v>
          </cell>
          <cell r="AL389">
            <v>7.0000000000000007E-2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Y389" t="str">
            <v/>
          </cell>
          <cell r="AZ389">
            <v>1.45</v>
          </cell>
          <cell r="BA389" t="str">
            <v>D2002058</v>
          </cell>
          <cell r="BB389" t="str">
            <v>NOT CONFORM</v>
          </cell>
          <cell r="BC389" t="str">
            <v>CONFORM</v>
          </cell>
          <cell r="BD389" t="str">
            <v>CONFORM</v>
          </cell>
          <cell r="BE389" t="str">
            <v>CONFORM</v>
          </cell>
          <cell r="BF389" t="str">
            <v>CONFORM</v>
          </cell>
        </row>
        <row r="390">
          <cell r="A390">
            <v>43871</v>
          </cell>
          <cell r="B390" t="str">
            <v>D2002058-2</v>
          </cell>
          <cell r="C390" t="str">
            <v>014/20</v>
          </cell>
          <cell r="D390">
            <v>1</v>
          </cell>
          <cell r="E390">
            <v>43865</v>
          </cell>
          <cell r="F390" t="str">
            <v>DC</v>
          </cell>
          <cell r="G390" t="str">
            <v>On Time</v>
          </cell>
          <cell r="H390">
            <v>2407292039</v>
          </cell>
          <cell r="I390">
            <v>43865</v>
          </cell>
          <cell r="J390" t="str">
            <v>TKM</v>
          </cell>
          <cell r="K390" t="str">
            <v>D2002058</v>
          </cell>
          <cell r="L390">
            <v>2</v>
          </cell>
          <cell r="M390">
            <v>3234162</v>
          </cell>
          <cell r="N390">
            <v>527244</v>
          </cell>
          <cell r="O390" t="str">
            <v xml:space="preserve">1.4306 TP304L </v>
          </cell>
          <cell r="P390" t="str">
            <v>304L</v>
          </cell>
          <cell r="Q390">
            <v>3.1139999999999999</v>
          </cell>
          <cell r="R390">
            <v>3.1150000000000002</v>
          </cell>
          <cell r="S390">
            <v>4.7E-2</v>
          </cell>
          <cell r="T390">
            <v>4.5999999999999999E-2</v>
          </cell>
          <cell r="V390">
            <v>4.5999999999999999E-2</v>
          </cell>
          <cell r="X390">
            <v>2407</v>
          </cell>
          <cell r="Y390">
            <v>3</v>
          </cell>
          <cell r="Z390">
            <v>257.65360736459007</v>
          </cell>
          <cell r="AA390" t="str">
            <v>3.114X0.047-304L</v>
          </cell>
          <cell r="AB390" t="str">
            <v>WAAC007910120B300030</v>
          </cell>
          <cell r="AC390" t="str">
            <v>D2002058</v>
          </cell>
          <cell r="AD390">
            <v>527244</v>
          </cell>
          <cell r="AE390">
            <v>2.3E-2</v>
          </cell>
          <cell r="AF390">
            <v>1.48</v>
          </cell>
          <cell r="AG390">
            <v>3.3000000000000002E-2</v>
          </cell>
          <cell r="AH390">
            <v>1E-3</v>
          </cell>
          <cell r="AI390">
            <v>0.34</v>
          </cell>
          <cell r="AJ390">
            <v>18.100000000000001</v>
          </cell>
          <cell r="AK390">
            <v>8</v>
          </cell>
          <cell r="AL390">
            <v>7.0000000000000007E-2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Y390" t="str">
            <v/>
          </cell>
          <cell r="AZ390">
            <v>1.45</v>
          </cell>
          <cell r="BA390" t="str">
            <v>D2002058</v>
          </cell>
          <cell r="BB390" t="str">
            <v>NOT CONFORM</v>
          </cell>
          <cell r="BC390" t="str">
            <v>CONFORM</v>
          </cell>
          <cell r="BD390" t="str">
            <v>CONFORM</v>
          </cell>
          <cell r="BE390" t="str">
            <v>CONFORM</v>
          </cell>
          <cell r="BF390" t="str">
            <v>CONFORM</v>
          </cell>
        </row>
        <row r="391">
          <cell r="A391">
            <v>43874</v>
          </cell>
          <cell r="B391" t="str">
            <v>D2002092-1</v>
          </cell>
          <cell r="C391" t="str">
            <v>005/20</v>
          </cell>
          <cell r="D391">
            <v>1</v>
          </cell>
          <cell r="E391">
            <v>43875</v>
          </cell>
          <cell r="F391" t="str">
            <v>DC</v>
          </cell>
          <cell r="G391" t="str">
            <v>On Time</v>
          </cell>
          <cell r="H391" t="str">
            <v>l349660</v>
          </cell>
          <cell r="I391">
            <v>43873</v>
          </cell>
          <cell r="J391" t="str">
            <v>ATI</v>
          </cell>
          <cell r="K391" t="str">
            <v>D2002092</v>
          </cell>
          <cell r="L391">
            <v>1</v>
          </cell>
          <cell r="M391" t="str">
            <v>AAC84303-BA</v>
          </cell>
          <cell r="N391">
            <v>859466</v>
          </cell>
          <cell r="O391" t="str">
            <v xml:space="preserve">1.4401/1.4404 TP316/316L </v>
          </cell>
          <cell r="P391" t="str">
            <v>316L</v>
          </cell>
          <cell r="Q391">
            <v>6.2169999999999996</v>
          </cell>
          <cell r="R391">
            <v>6.2160000000000002</v>
          </cell>
          <cell r="S391">
            <v>6.3E-2</v>
          </cell>
          <cell r="T391">
            <v>6.25E-2</v>
          </cell>
          <cell r="V391">
            <v>6.25E-2</v>
          </cell>
          <cell r="X391">
            <v>5438</v>
          </cell>
          <cell r="Y391">
            <v>2</v>
          </cell>
          <cell r="Z391">
            <v>437.34920379604313</v>
          </cell>
          <cell r="AA391" t="str">
            <v>6.217X0.063-316L</v>
          </cell>
          <cell r="AB391" t="str">
            <v>WAAF015790160B300059</v>
          </cell>
          <cell r="AC391" t="str">
            <v>D2002092</v>
          </cell>
          <cell r="AD391">
            <v>859466</v>
          </cell>
          <cell r="AE391">
            <v>2.3E-2</v>
          </cell>
          <cell r="AF391">
            <v>1.63</v>
          </cell>
          <cell r="AG391">
            <v>3.2000000000000001E-2</v>
          </cell>
          <cell r="AH391">
            <v>2.9999999999999997E-4</v>
          </cell>
          <cell r="AI391">
            <v>0.4</v>
          </cell>
          <cell r="AJ391">
            <v>16.7</v>
          </cell>
          <cell r="AK391">
            <v>10.1</v>
          </cell>
          <cell r="AL391">
            <v>0.04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Y391" t="str">
            <v/>
          </cell>
          <cell r="AZ391">
            <v>1.9231</v>
          </cell>
          <cell r="BA391" t="str">
            <v>D2002092</v>
          </cell>
          <cell r="BB391" t="str">
            <v>CONFORM</v>
          </cell>
          <cell r="BC391" t="str">
            <v>CONFORM</v>
          </cell>
          <cell r="BD391" t="str">
            <v>CONFORM</v>
          </cell>
          <cell r="BE391" t="str">
            <v>CONFORM</v>
          </cell>
          <cell r="BF391" t="str">
            <v>CONFORM</v>
          </cell>
        </row>
        <row r="392">
          <cell r="A392">
            <v>43874</v>
          </cell>
          <cell r="B392" t="str">
            <v>D2002092-2</v>
          </cell>
          <cell r="C392" t="str">
            <v>005/20</v>
          </cell>
          <cell r="D392">
            <v>1</v>
          </cell>
          <cell r="E392">
            <v>43875</v>
          </cell>
          <cell r="F392" t="str">
            <v>DC</v>
          </cell>
          <cell r="G392" t="str">
            <v>On Time</v>
          </cell>
          <cell r="H392" t="str">
            <v>l349660</v>
          </cell>
          <cell r="I392">
            <v>43873</v>
          </cell>
          <cell r="J392" t="str">
            <v>ATI</v>
          </cell>
          <cell r="K392" t="str">
            <v>D2002092</v>
          </cell>
          <cell r="L392">
            <v>2</v>
          </cell>
          <cell r="M392" t="str">
            <v>AAC84303-BA</v>
          </cell>
          <cell r="N392">
            <v>859466</v>
          </cell>
          <cell r="O392" t="str">
            <v xml:space="preserve">1.4401/1.4404 TP316/316L </v>
          </cell>
          <cell r="P392" t="str">
            <v>316L</v>
          </cell>
          <cell r="Q392">
            <v>6.2169999999999996</v>
          </cell>
          <cell r="R392">
            <v>6.2169999999999996</v>
          </cell>
          <cell r="S392">
            <v>6.3E-2</v>
          </cell>
          <cell r="T392">
            <v>6.2799999999999995E-2</v>
          </cell>
          <cell r="V392">
            <v>6.2799999999999995E-2</v>
          </cell>
          <cell r="X392">
            <v>5464</v>
          </cell>
          <cell r="Y392">
            <v>2</v>
          </cell>
          <cell r="Z392">
            <v>439.44024449091205</v>
          </cell>
          <cell r="AA392" t="str">
            <v>6.217X0.063-316L</v>
          </cell>
          <cell r="AB392" t="str">
            <v>WAAF015790160B300059</v>
          </cell>
          <cell r="AC392" t="str">
            <v>D2002092</v>
          </cell>
          <cell r="AD392">
            <v>859466</v>
          </cell>
          <cell r="AE392">
            <v>2.3E-2</v>
          </cell>
          <cell r="AF392">
            <v>1.63</v>
          </cell>
          <cell r="AG392">
            <v>3.2000000000000001E-2</v>
          </cell>
          <cell r="AH392">
            <v>2.9999999999999997E-4</v>
          </cell>
          <cell r="AI392">
            <v>0.4</v>
          </cell>
          <cell r="AJ392">
            <v>16.7</v>
          </cell>
          <cell r="AK392">
            <v>10.1</v>
          </cell>
          <cell r="AL392">
            <v>0.04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Y392" t="str">
            <v/>
          </cell>
          <cell r="AZ392">
            <v>1.9231</v>
          </cell>
          <cell r="BA392" t="str">
            <v>D2002092</v>
          </cell>
          <cell r="BB392" t="str">
            <v>CONFORM</v>
          </cell>
          <cell r="BC392" t="str">
            <v>CONFORM</v>
          </cell>
          <cell r="BD392" t="str">
            <v>CONFORM</v>
          </cell>
          <cell r="BE392" t="str">
            <v>CONFORM</v>
          </cell>
          <cell r="BF392" t="str">
            <v>CONFORM</v>
          </cell>
        </row>
        <row r="393">
          <cell r="A393">
            <v>43874</v>
          </cell>
          <cell r="B393" t="str">
            <v>D2002092-3</v>
          </cell>
          <cell r="C393" t="str">
            <v>005/20</v>
          </cell>
          <cell r="D393">
            <v>1</v>
          </cell>
          <cell r="E393">
            <v>43875</v>
          </cell>
          <cell r="F393" t="str">
            <v>DC</v>
          </cell>
          <cell r="G393" t="str">
            <v>On Time</v>
          </cell>
          <cell r="H393" t="str">
            <v>l349660</v>
          </cell>
          <cell r="I393">
            <v>43873</v>
          </cell>
          <cell r="J393" t="str">
            <v>ATI</v>
          </cell>
          <cell r="K393" t="str">
            <v>D2002092</v>
          </cell>
          <cell r="L393">
            <v>3</v>
          </cell>
          <cell r="M393" t="str">
            <v>AAC84303-BA</v>
          </cell>
          <cell r="N393">
            <v>859466</v>
          </cell>
          <cell r="O393" t="str">
            <v xml:space="preserve">1.4401/1.4404 TP316/316L </v>
          </cell>
          <cell r="P393" t="str">
            <v>316L</v>
          </cell>
          <cell r="Q393">
            <v>6.2169999999999996</v>
          </cell>
          <cell r="R393">
            <v>6.218</v>
          </cell>
          <cell r="S393">
            <v>6.3E-2</v>
          </cell>
          <cell r="T393">
            <v>6.3E-2</v>
          </cell>
          <cell r="V393">
            <v>6.3E-2</v>
          </cell>
          <cell r="X393">
            <v>5460</v>
          </cell>
          <cell r="Y393">
            <v>2</v>
          </cell>
          <cell r="Z393">
            <v>439.11854592247067</v>
          </cell>
          <cell r="AA393" t="str">
            <v>6.217X0.063-316L</v>
          </cell>
          <cell r="AB393" t="str">
            <v>WAAF015790160B300059</v>
          </cell>
          <cell r="AC393" t="str">
            <v>D2002092</v>
          </cell>
          <cell r="AD393">
            <v>859466</v>
          </cell>
          <cell r="AE393">
            <v>2.3E-2</v>
          </cell>
          <cell r="AF393">
            <v>1.63</v>
          </cell>
          <cell r="AG393">
            <v>3.2000000000000001E-2</v>
          </cell>
          <cell r="AH393">
            <v>2.9999999999999997E-4</v>
          </cell>
          <cell r="AI393">
            <v>0.4</v>
          </cell>
          <cell r="AJ393">
            <v>16.7</v>
          </cell>
          <cell r="AK393">
            <v>10.1</v>
          </cell>
          <cell r="AL393">
            <v>0.04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Y393" t="str">
            <v/>
          </cell>
          <cell r="AZ393">
            <v>1.9231</v>
          </cell>
          <cell r="BA393" t="str">
            <v>D2002092</v>
          </cell>
          <cell r="BB393" t="str">
            <v>CONFORM</v>
          </cell>
          <cell r="BC393" t="str">
            <v>CONFORM</v>
          </cell>
          <cell r="BD393" t="str">
            <v>CONFORM</v>
          </cell>
          <cell r="BE393" t="str">
            <v>CONFORM</v>
          </cell>
          <cell r="BF393" t="str">
            <v>CONFORM</v>
          </cell>
        </row>
        <row r="394">
          <cell r="A394">
            <v>43874</v>
          </cell>
          <cell r="B394" t="str">
            <v>D2002092-4</v>
          </cell>
          <cell r="C394" t="str">
            <v>005/20</v>
          </cell>
          <cell r="D394">
            <v>1</v>
          </cell>
          <cell r="E394">
            <v>43875</v>
          </cell>
          <cell r="F394" t="str">
            <v>DC</v>
          </cell>
          <cell r="G394" t="str">
            <v>On Time</v>
          </cell>
          <cell r="H394" t="str">
            <v>l349660</v>
          </cell>
          <cell r="I394">
            <v>43873</v>
          </cell>
          <cell r="J394" t="str">
            <v>ATI</v>
          </cell>
          <cell r="K394" t="str">
            <v>D2002092</v>
          </cell>
          <cell r="L394">
            <v>4</v>
          </cell>
          <cell r="M394" t="str">
            <v>AAC84303-BA</v>
          </cell>
          <cell r="N394">
            <v>859466</v>
          </cell>
          <cell r="O394" t="str">
            <v xml:space="preserve">1.4401/1.4404 TP316/316L </v>
          </cell>
          <cell r="P394" t="str">
            <v>316L</v>
          </cell>
          <cell r="Q394">
            <v>6.2169999999999996</v>
          </cell>
          <cell r="R394">
            <v>6.2169999999999996</v>
          </cell>
          <cell r="S394">
            <v>6.3E-2</v>
          </cell>
          <cell r="T394">
            <v>6.3100000000000003E-2</v>
          </cell>
          <cell r="V394">
            <v>6.3100000000000003E-2</v>
          </cell>
          <cell r="X394">
            <v>2714</v>
          </cell>
          <cell r="Y394">
            <v>1</v>
          </cell>
          <cell r="Z394">
            <v>436.54495737493971</v>
          </cell>
          <cell r="AA394" t="str">
            <v>6.217X0.063-316L</v>
          </cell>
          <cell r="AB394" t="str">
            <v>WAAF015790160B300059</v>
          </cell>
          <cell r="AC394" t="str">
            <v>D2002092</v>
          </cell>
          <cell r="AD394">
            <v>859466</v>
          </cell>
          <cell r="AE394">
            <v>2.3E-2</v>
          </cell>
          <cell r="AF394">
            <v>1.63</v>
          </cell>
          <cell r="AG394">
            <v>3.2000000000000001E-2</v>
          </cell>
          <cell r="AH394">
            <v>2.9999999999999997E-4</v>
          </cell>
          <cell r="AI394">
            <v>0.4</v>
          </cell>
          <cell r="AJ394">
            <v>16.7</v>
          </cell>
          <cell r="AK394">
            <v>10.1</v>
          </cell>
          <cell r="AL394">
            <v>0.04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Y394" t="str">
            <v/>
          </cell>
          <cell r="AZ394">
            <v>1.9231</v>
          </cell>
          <cell r="BA394" t="str">
            <v>D2002092</v>
          </cell>
          <cell r="BB394" t="str">
            <v>CONFORM</v>
          </cell>
          <cell r="BC394" t="str">
            <v>CONFORM</v>
          </cell>
          <cell r="BD394" t="str">
            <v>CONFORM</v>
          </cell>
          <cell r="BE394" t="str">
            <v>CONFORM</v>
          </cell>
          <cell r="BF394" t="str">
            <v>CONFORM</v>
          </cell>
        </row>
        <row r="395">
          <cell r="A395">
            <v>43879</v>
          </cell>
          <cell r="B395" t="str">
            <v>D2002124-1</v>
          </cell>
          <cell r="C395" t="str">
            <v>041/19</v>
          </cell>
          <cell r="D395">
            <v>1</v>
          </cell>
          <cell r="E395">
            <v>43837</v>
          </cell>
          <cell r="F395" t="str">
            <v>DC</v>
          </cell>
          <cell r="G395" t="str">
            <v>Late</v>
          </cell>
          <cell r="H395" t="str">
            <v>L349713</v>
          </cell>
          <cell r="I395">
            <v>43873</v>
          </cell>
          <cell r="J395" t="str">
            <v>ATI</v>
          </cell>
          <cell r="K395" t="str">
            <v>D2002124</v>
          </cell>
          <cell r="L395">
            <v>1</v>
          </cell>
          <cell r="M395" t="str">
            <v>AAC86354-A</v>
          </cell>
          <cell r="N395">
            <v>859586</v>
          </cell>
          <cell r="O395" t="str">
            <v xml:space="preserve">1.4462 UNS S31803/S32205 </v>
          </cell>
          <cell r="P395" t="str">
            <v>2205</v>
          </cell>
          <cell r="Q395">
            <v>3.1139999999999999</v>
          </cell>
          <cell r="R395">
            <v>3.113</v>
          </cell>
          <cell r="S395">
            <v>4.7E-2</v>
          </cell>
          <cell r="T395">
            <v>4.7199999999999999E-2</v>
          </cell>
          <cell r="V395">
            <v>4.7199999999999999E-2</v>
          </cell>
          <cell r="X395">
            <v>5656</v>
          </cell>
          <cell r="Y395">
            <v>3</v>
          </cell>
          <cell r="Z395">
            <v>605.4378077499465</v>
          </cell>
          <cell r="AA395" t="str">
            <v>3.114X0.047-2205</v>
          </cell>
          <cell r="AB395" t="str">
            <v>WACN007910120B300051</v>
          </cell>
          <cell r="AC395" t="str">
            <v>D2002124</v>
          </cell>
          <cell r="AD395">
            <v>859586</v>
          </cell>
          <cell r="AE395">
            <v>2.1999999999999999E-2</v>
          </cell>
          <cell r="AF395">
            <v>1.78</v>
          </cell>
          <cell r="AG395">
            <v>2.7E-2</v>
          </cell>
          <cell r="AH395">
            <v>0</v>
          </cell>
          <cell r="AI395">
            <v>0.52</v>
          </cell>
          <cell r="AJ395">
            <v>22.4</v>
          </cell>
          <cell r="AK395">
            <v>5.4</v>
          </cell>
          <cell r="AL395">
            <v>0.17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Y395" t="str">
            <v/>
          </cell>
          <cell r="AZ395">
            <v>2.4114</v>
          </cell>
          <cell r="BA395" t="str">
            <v>D2002124</v>
          </cell>
          <cell r="BB395" t="str">
            <v>CONFORM</v>
          </cell>
          <cell r="BC395" t="str">
            <v>CONFORM</v>
          </cell>
          <cell r="BD395" t="str">
            <v>CONFORM</v>
          </cell>
          <cell r="BE395" t="str">
            <v>CONFORM</v>
          </cell>
          <cell r="BF395" t="str">
            <v>CONFORM</v>
          </cell>
        </row>
        <row r="396">
          <cell r="A396">
            <v>43880</v>
          </cell>
          <cell r="B396" t="str">
            <v>D2002126-1</v>
          </cell>
          <cell r="C396" t="str">
            <v>016/20</v>
          </cell>
          <cell r="D396">
            <v>1</v>
          </cell>
          <cell r="E396">
            <v>43875</v>
          </cell>
          <cell r="F396" t="str">
            <v>DC</v>
          </cell>
          <cell r="G396" t="str">
            <v>On Time</v>
          </cell>
          <cell r="H396">
            <v>2407314204</v>
          </cell>
          <cell r="I396">
            <v>43879</v>
          </cell>
          <cell r="J396" t="str">
            <v>TKM</v>
          </cell>
          <cell r="K396" t="str">
            <v>D2002126</v>
          </cell>
          <cell r="L396">
            <v>1</v>
          </cell>
          <cell r="M396">
            <v>3215357</v>
          </cell>
          <cell r="N396">
            <v>526219</v>
          </cell>
          <cell r="O396" t="str">
            <v xml:space="preserve">1.4401/1.4404 TP316/316L </v>
          </cell>
          <cell r="P396" t="str">
            <v>316L</v>
          </cell>
          <cell r="Q396">
            <v>3.1539999999999999</v>
          </cell>
          <cell r="R396">
            <v>3.1549999999999998</v>
          </cell>
          <cell r="S396">
            <v>3.5000000000000003E-2</v>
          </cell>
          <cell r="T396">
            <v>3.4799999999999998E-2</v>
          </cell>
          <cell r="V396">
            <v>3.4799999999999998E-2</v>
          </cell>
          <cell r="X396">
            <v>2596</v>
          </cell>
          <cell r="Y396">
            <v>4</v>
          </cell>
          <cell r="Z396">
            <v>205.77045022194039</v>
          </cell>
          <cell r="AA396" t="str">
            <v>3.154X0.035-316L</v>
          </cell>
          <cell r="AB396" t="str">
            <v>WAAF008000089B300019</v>
          </cell>
          <cell r="AC396" t="str">
            <v>D2002126</v>
          </cell>
          <cell r="AD396">
            <v>526219</v>
          </cell>
          <cell r="AE396">
            <v>2.5000000000000001E-2</v>
          </cell>
          <cell r="AF396">
            <v>1.45</v>
          </cell>
          <cell r="AG396">
            <v>3.9E-2</v>
          </cell>
          <cell r="AH396">
            <v>2E-3</v>
          </cell>
          <cell r="AI396">
            <v>0.42</v>
          </cell>
          <cell r="AJ396">
            <v>16.7</v>
          </cell>
          <cell r="AK396">
            <v>10.199999999999999</v>
          </cell>
          <cell r="AL396">
            <v>0.03</v>
          </cell>
          <cell r="AM396">
            <v>2.0099999999999998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4.3999999999999997E-2</v>
          </cell>
          <cell r="AS396">
            <v>0</v>
          </cell>
          <cell r="AT396">
            <v>284</v>
          </cell>
          <cell r="AU396">
            <v>0</v>
          </cell>
          <cell r="AV396">
            <v>525</v>
          </cell>
          <cell r="AW396">
            <v>52</v>
          </cell>
          <cell r="AY396" t="str">
            <v/>
          </cell>
          <cell r="AZ396">
            <v>1.95</v>
          </cell>
          <cell r="BA396" t="str">
            <v>D2002126</v>
          </cell>
          <cell r="BB396" t="str">
            <v>CONFORM</v>
          </cell>
          <cell r="BC396" t="str">
            <v>CONFORM</v>
          </cell>
          <cell r="BD396" t="str">
            <v>CONFORM</v>
          </cell>
          <cell r="BE396" t="str">
            <v>CONFORM</v>
          </cell>
          <cell r="BF396" t="str">
            <v>CONFORM</v>
          </cell>
        </row>
        <row r="397">
          <cell r="A397">
            <v>43880</v>
          </cell>
          <cell r="B397" t="str">
            <v>D2002126-2</v>
          </cell>
          <cell r="C397" t="str">
            <v>016/20</v>
          </cell>
          <cell r="D397">
            <v>1</v>
          </cell>
          <cell r="E397">
            <v>43875</v>
          </cell>
          <cell r="F397" t="str">
            <v>DC</v>
          </cell>
          <cell r="G397" t="str">
            <v>On Time</v>
          </cell>
          <cell r="H397">
            <v>2407314204</v>
          </cell>
          <cell r="I397">
            <v>43879</v>
          </cell>
          <cell r="J397" t="str">
            <v>TKM</v>
          </cell>
          <cell r="K397" t="str">
            <v>D2002126</v>
          </cell>
          <cell r="L397">
            <v>2</v>
          </cell>
          <cell r="M397">
            <v>3215357</v>
          </cell>
          <cell r="N397">
            <v>526219</v>
          </cell>
          <cell r="O397" t="str">
            <v xml:space="preserve">1.4401/1.4404 TP316/316L </v>
          </cell>
          <cell r="P397" t="str">
            <v>316L</v>
          </cell>
          <cell r="Q397">
            <v>3.1539999999999999</v>
          </cell>
          <cell r="R397">
            <v>3.153</v>
          </cell>
          <cell r="S397">
            <v>3.5000000000000003E-2</v>
          </cell>
          <cell r="T397">
            <v>3.5200000000000002E-2</v>
          </cell>
          <cell r="V397">
            <v>3.5200000000000002E-2</v>
          </cell>
          <cell r="X397">
            <v>2602</v>
          </cell>
          <cell r="Y397">
            <v>4</v>
          </cell>
          <cell r="Z397">
            <v>206.24603677869374</v>
          </cell>
          <cell r="AA397" t="str">
            <v>3.154X0.035-316L</v>
          </cell>
          <cell r="AB397" t="str">
            <v>WAAF008000089B300019</v>
          </cell>
          <cell r="AC397" t="str">
            <v>D2002126</v>
          </cell>
          <cell r="AD397">
            <v>526219</v>
          </cell>
          <cell r="AE397">
            <v>2.5000000000000001E-2</v>
          </cell>
          <cell r="AF397">
            <v>1.45</v>
          </cell>
          <cell r="AG397">
            <v>3.9E-2</v>
          </cell>
          <cell r="AH397">
            <v>2E-3</v>
          </cell>
          <cell r="AI397">
            <v>0.42</v>
          </cell>
          <cell r="AJ397">
            <v>16.7</v>
          </cell>
          <cell r="AK397">
            <v>10.199999999999999</v>
          </cell>
          <cell r="AL397">
            <v>0.03</v>
          </cell>
          <cell r="AM397">
            <v>2.0099999999999998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4.3999999999999997E-2</v>
          </cell>
          <cell r="AS397">
            <v>0</v>
          </cell>
          <cell r="AT397">
            <v>284</v>
          </cell>
          <cell r="AU397">
            <v>0</v>
          </cell>
          <cell r="AV397">
            <v>525</v>
          </cell>
          <cell r="AW397">
            <v>52</v>
          </cell>
          <cell r="AY397" t="str">
            <v/>
          </cell>
          <cell r="AZ397">
            <v>1.95</v>
          </cell>
          <cell r="BA397" t="str">
            <v>D2002126</v>
          </cell>
          <cell r="BB397" t="str">
            <v>CONFORM</v>
          </cell>
          <cell r="BC397" t="str">
            <v>CONFORM</v>
          </cell>
          <cell r="BD397" t="str">
            <v>CONFORM</v>
          </cell>
          <cell r="BE397" t="str">
            <v>CONFORM</v>
          </cell>
          <cell r="BF397" t="str">
            <v>CONFORM</v>
          </cell>
        </row>
        <row r="398">
          <cell r="A398">
            <v>43880</v>
          </cell>
          <cell r="B398" t="str">
            <v>D2002127-1</v>
          </cell>
          <cell r="C398" t="str">
            <v>015/20</v>
          </cell>
          <cell r="D398">
            <v>1</v>
          </cell>
          <cell r="E398">
            <v>43887</v>
          </cell>
          <cell r="F398" t="str">
            <v>DC</v>
          </cell>
          <cell r="G398" t="str">
            <v>On Time</v>
          </cell>
          <cell r="H398">
            <v>2407327213</v>
          </cell>
          <cell r="I398">
            <v>43878</v>
          </cell>
          <cell r="J398" t="str">
            <v>TKM</v>
          </cell>
          <cell r="K398" t="str">
            <v>D2002127</v>
          </cell>
          <cell r="L398">
            <v>1</v>
          </cell>
          <cell r="M398" t="str">
            <v>AAC90062</v>
          </cell>
          <cell r="N398">
            <v>859853</v>
          </cell>
          <cell r="O398" t="str">
            <v xml:space="preserve">1.4306 TP304L </v>
          </cell>
          <cell r="P398" t="str">
            <v>304L</v>
          </cell>
          <cell r="Q398">
            <v>4.6849999999999996</v>
          </cell>
          <cell r="R398">
            <v>4.6840000000000002</v>
          </cell>
          <cell r="S398">
            <v>4.7E-2</v>
          </cell>
          <cell r="T398">
            <v>4.7E-2</v>
          </cell>
          <cell r="V398">
            <v>4.7E-2</v>
          </cell>
          <cell r="X398">
            <v>4232</v>
          </cell>
          <cell r="Y398">
            <v>2</v>
          </cell>
          <cell r="Z398">
            <v>451.6542155816436</v>
          </cell>
          <cell r="AA398" t="str">
            <v>4.685X0.047-304L</v>
          </cell>
          <cell r="AB398" t="str">
            <v>WAAC011900120B300062</v>
          </cell>
          <cell r="AC398" t="str">
            <v>D2002127</v>
          </cell>
          <cell r="AD398">
            <v>859853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Y398" t="str">
            <v/>
          </cell>
          <cell r="AZ398">
            <v>1.42</v>
          </cell>
          <cell r="BA398" t="str">
            <v>D2002127</v>
          </cell>
          <cell r="BB398" t="str">
            <v>CONFORM</v>
          </cell>
          <cell r="BC398" t="str">
            <v>CONFORM</v>
          </cell>
          <cell r="BD398" t="str">
            <v>CONFORM</v>
          </cell>
          <cell r="BE398" t="str">
            <v>CONFORM</v>
          </cell>
          <cell r="BF398" t="str">
            <v>CONFORM</v>
          </cell>
        </row>
        <row r="399">
          <cell r="A399">
            <v>43880</v>
          </cell>
          <cell r="B399" t="str">
            <v>D2002128-1</v>
          </cell>
          <cell r="C399" t="str">
            <v>015/20</v>
          </cell>
          <cell r="D399">
            <v>2</v>
          </cell>
          <cell r="E399">
            <v>43887</v>
          </cell>
          <cell r="F399" t="str">
            <v>DC</v>
          </cell>
          <cell r="G399" t="str">
            <v>On Time</v>
          </cell>
          <cell r="H399">
            <v>2407327213</v>
          </cell>
          <cell r="I399">
            <v>43878</v>
          </cell>
          <cell r="J399" t="str">
            <v>TKM</v>
          </cell>
          <cell r="K399" t="str">
            <v>D2002128</v>
          </cell>
          <cell r="L399">
            <v>1</v>
          </cell>
          <cell r="M399" t="str">
            <v>AAC90062</v>
          </cell>
          <cell r="N399">
            <v>859853</v>
          </cell>
          <cell r="O399" t="str">
            <v xml:space="preserve">1.4306 TP304L </v>
          </cell>
          <cell r="P399" t="str">
            <v>304L</v>
          </cell>
          <cell r="Q399">
            <v>6.2679999999999998</v>
          </cell>
          <cell r="R399">
            <v>6.266</v>
          </cell>
          <cell r="S399">
            <v>4.7E-2</v>
          </cell>
          <cell r="T399">
            <v>4.8000000000000001E-2</v>
          </cell>
          <cell r="V399">
            <v>4.8000000000000001E-2</v>
          </cell>
          <cell r="X399">
            <v>5667</v>
          </cell>
          <cell r="Y399">
            <v>2</v>
          </cell>
          <cell r="Z399">
            <v>452.05807275047863</v>
          </cell>
          <cell r="AA399" t="str">
            <v>6.268X0.047-304L</v>
          </cell>
          <cell r="AB399" t="str">
            <v>WAAC015920120B300072</v>
          </cell>
          <cell r="AC399" t="str">
            <v>D2002128</v>
          </cell>
          <cell r="AD399">
            <v>859853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Y399" t="str">
            <v/>
          </cell>
          <cell r="AZ399">
            <v>1.42</v>
          </cell>
          <cell r="BA399" t="str">
            <v>D2002128</v>
          </cell>
          <cell r="BB399" t="str">
            <v>CONFORM</v>
          </cell>
          <cell r="BC399" t="str">
            <v>CONFORM</v>
          </cell>
          <cell r="BD399" t="str">
            <v>CONFORM</v>
          </cell>
          <cell r="BE399" t="str">
            <v>CONFORM</v>
          </cell>
          <cell r="BF399" t="str">
            <v>CONFORM</v>
          </cell>
        </row>
        <row r="400">
          <cell r="A400">
            <v>43880</v>
          </cell>
          <cell r="B400" t="str">
            <v>D2002128-2</v>
          </cell>
          <cell r="C400" t="str">
            <v>015/20</v>
          </cell>
          <cell r="D400">
            <v>2</v>
          </cell>
          <cell r="E400">
            <v>43887</v>
          </cell>
          <cell r="F400" t="str">
            <v>DC</v>
          </cell>
          <cell r="G400" t="str">
            <v>On Time</v>
          </cell>
          <cell r="H400">
            <v>2407327213</v>
          </cell>
          <cell r="I400">
            <v>43878</v>
          </cell>
          <cell r="J400" t="str">
            <v>TKM</v>
          </cell>
          <cell r="K400" t="str">
            <v>D2002128</v>
          </cell>
          <cell r="L400">
            <v>2</v>
          </cell>
          <cell r="M400" t="str">
            <v>AAC90062</v>
          </cell>
          <cell r="N400">
            <v>859853</v>
          </cell>
          <cell r="O400" t="str">
            <v xml:space="preserve">1.4306 TP304L </v>
          </cell>
          <cell r="P400" t="str">
            <v>304L</v>
          </cell>
          <cell r="Q400">
            <v>6.2679999999999998</v>
          </cell>
          <cell r="R400">
            <v>6.2679999999999998</v>
          </cell>
          <cell r="S400">
            <v>4.7E-2</v>
          </cell>
          <cell r="T400">
            <v>4.5999999999999999E-2</v>
          </cell>
          <cell r="V400">
            <v>4.5999999999999999E-2</v>
          </cell>
          <cell r="X400">
            <v>5705</v>
          </cell>
          <cell r="Y400">
            <v>2</v>
          </cell>
          <cell r="Z400">
            <v>455.08934269304405</v>
          </cell>
          <cell r="AA400" t="str">
            <v>6.268X0.047-304L</v>
          </cell>
          <cell r="AB400" t="str">
            <v>WAAC015920120B300072</v>
          </cell>
          <cell r="AC400" t="str">
            <v>D2002128</v>
          </cell>
          <cell r="AD400">
            <v>859853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Y400" t="str">
            <v/>
          </cell>
          <cell r="AZ400">
            <v>1.42</v>
          </cell>
          <cell r="BA400" t="str">
            <v>D2002128</v>
          </cell>
          <cell r="BB400" t="str">
            <v>CONFORM</v>
          </cell>
          <cell r="BC400" t="str">
            <v>CONFORM</v>
          </cell>
          <cell r="BD400" t="str">
            <v>CONFORM</v>
          </cell>
          <cell r="BE400" t="str">
            <v>CONFORM</v>
          </cell>
          <cell r="BF400" t="str">
            <v>CONFORM</v>
          </cell>
        </row>
        <row r="401">
          <cell r="A401">
            <v>43880</v>
          </cell>
          <cell r="B401" t="str">
            <v>D2002128-3</v>
          </cell>
          <cell r="C401" t="str">
            <v>015/20</v>
          </cell>
          <cell r="D401">
            <v>2</v>
          </cell>
          <cell r="E401">
            <v>43887</v>
          </cell>
          <cell r="F401" t="str">
            <v>DC</v>
          </cell>
          <cell r="G401" t="str">
            <v>On Time</v>
          </cell>
          <cell r="H401">
            <v>2407327213</v>
          </cell>
          <cell r="I401">
            <v>43878</v>
          </cell>
          <cell r="J401" t="str">
            <v>TKM</v>
          </cell>
          <cell r="K401" t="str">
            <v>D2002128</v>
          </cell>
          <cell r="L401">
            <v>3</v>
          </cell>
          <cell r="M401" t="str">
            <v>AAC90062</v>
          </cell>
          <cell r="N401">
            <v>859853</v>
          </cell>
          <cell r="O401" t="str">
            <v xml:space="preserve">1.4306 TP304L </v>
          </cell>
          <cell r="P401" t="str">
            <v>304L</v>
          </cell>
          <cell r="Q401">
            <v>6.2679999999999998</v>
          </cell>
          <cell r="R401">
            <v>6.2670000000000003</v>
          </cell>
          <cell r="S401">
            <v>4.7E-2</v>
          </cell>
          <cell r="T401">
            <v>4.7E-2</v>
          </cell>
          <cell r="V401">
            <v>4.7E-2</v>
          </cell>
          <cell r="X401">
            <v>5706</v>
          </cell>
          <cell r="Y401">
            <v>2</v>
          </cell>
          <cell r="Z401">
            <v>455.16911295469049</v>
          </cell>
          <cell r="AA401" t="str">
            <v>6.268X0.047-304L</v>
          </cell>
          <cell r="AB401" t="str">
            <v>WAAC015920120B300072</v>
          </cell>
          <cell r="AC401" t="str">
            <v>D2002128</v>
          </cell>
          <cell r="AD401">
            <v>859853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Y401" t="str">
            <v/>
          </cell>
          <cell r="AZ401">
            <v>1.42</v>
          </cell>
          <cell r="BA401" t="str">
            <v>D2002128</v>
          </cell>
          <cell r="BB401" t="str">
            <v>CONFORM</v>
          </cell>
          <cell r="BC401" t="str">
            <v>CONFORM</v>
          </cell>
          <cell r="BD401" t="str">
            <v>CONFORM</v>
          </cell>
          <cell r="BE401" t="str">
            <v>CONFORM</v>
          </cell>
          <cell r="BF401" t="str">
            <v>CONFORM</v>
          </cell>
        </row>
        <row r="402">
          <cell r="A402">
            <v>43880</v>
          </cell>
          <cell r="B402" t="str">
            <v>D2002128-4</v>
          </cell>
          <cell r="C402" t="str">
            <v>015/20</v>
          </cell>
          <cell r="D402">
            <v>2</v>
          </cell>
          <cell r="E402">
            <v>43887</v>
          </cell>
          <cell r="F402" t="str">
            <v>DC</v>
          </cell>
          <cell r="G402" t="str">
            <v>On Time</v>
          </cell>
          <cell r="H402">
            <v>2407327213</v>
          </cell>
          <cell r="I402">
            <v>43878</v>
          </cell>
          <cell r="J402" t="str">
            <v>TKM</v>
          </cell>
          <cell r="K402" t="str">
            <v>D2002128</v>
          </cell>
          <cell r="L402">
            <v>4</v>
          </cell>
          <cell r="M402" t="str">
            <v>AAC90062</v>
          </cell>
          <cell r="N402">
            <v>859853</v>
          </cell>
          <cell r="O402" t="str">
            <v xml:space="preserve">1.4306 TP304L </v>
          </cell>
          <cell r="P402" t="str">
            <v>304L</v>
          </cell>
          <cell r="Q402">
            <v>6.2679999999999998</v>
          </cell>
          <cell r="R402">
            <v>6.2690000000000001</v>
          </cell>
          <cell r="S402">
            <v>4.7E-2</v>
          </cell>
          <cell r="T402">
            <v>4.7E-2</v>
          </cell>
          <cell r="V402">
            <v>4.7E-2</v>
          </cell>
          <cell r="X402">
            <v>5597</v>
          </cell>
          <cell r="Y402">
            <v>2</v>
          </cell>
          <cell r="Z402">
            <v>446.47415443522658</v>
          </cell>
          <cell r="AA402" t="str">
            <v>6.268X0.047-304L</v>
          </cell>
          <cell r="AB402" t="str">
            <v>WAAC015920120B300072</v>
          </cell>
          <cell r="AC402" t="str">
            <v>D2002128</v>
          </cell>
          <cell r="AD402">
            <v>859853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Y402" t="str">
            <v/>
          </cell>
          <cell r="AZ402">
            <v>1.42</v>
          </cell>
          <cell r="BA402" t="str">
            <v>D2002128</v>
          </cell>
          <cell r="BB402" t="str">
            <v>CONFORM</v>
          </cell>
          <cell r="BC402" t="str">
            <v>CONFORM</v>
          </cell>
          <cell r="BD402" t="str">
            <v>CONFORM</v>
          </cell>
          <cell r="BE402" t="str">
            <v>CONFORM</v>
          </cell>
          <cell r="BF402" t="str">
            <v>CONFORM</v>
          </cell>
        </row>
        <row r="403">
          <cell r="A403">
            <v>43880</v>
          </cell>
          <cell r="B403" t="str">
            <v>D2002128-5</v>
          </cell>
          <cell r="C403" t="str">
            <v>015/20</v>
          </cell>
          <cell r="D403">
            <v>2</v>
          </cell>
          <cell r="E403">
            <v>43887</v>
          </cell>
          <cell r="F403" t="str">
            <v>DC</v>
          </cell>
          <cell r="G403" t="str">
            <v>On Time</v>
          </cell>
          <cell r="H403">
            <v>2407327213</v>
          </cell>
          <cell r="I403">
            <v>43878</v>
          </cell>
          <cell r="J403" t="str">
            <v>TKM</v>
          </cell>
          <cell r="K403" t="str">
            <v>D2002128</v>
          </cell>
          <cell r="L403">
            <v>5</v>
          </cell>
          <cell r="M403" t="str">
            <v>AAC90062</v>
          </cell>
          <cell r="N403">
            <v>859853</v>
          </cell>
          <cell r="O403" t="str">
            <v xml:space="preserve">1.4306 TP304L </v>
          </cell>
          <cell r="P403" t="str">
            <v>304L</v>
          </cell>
          <cell r="Q403">
            <v>6.2679999999999998</v>
          </cell>
          <cell r="R403">
            <v>6.2670000000000003</v>
          </cell>
          <cell r="S403">
            <v>4.7E-2</v>
          </cell>
          <cell r="T403">
            <v>4.8000000000000001E-2</v>
          </cell>
          <cell r="V403">
            <v>4.8000000000000001E-2</v>
          </cell>
          <cell r="X403">
            <v>5628</v>
          </cell>
          <cell r="Y403">
            <v>2</v>
          </cell>
          <cell r="Z403">
            <v>448.94703254626677</v>
          </cell>
          <cell r="AA403" t="str">
            <v>6.268X0.047-304L</v>
          </cell>
          <cell r="AB403" t="str">
            <v>WAAC015920120B300072</v>
          </cell>
          <cell r="AC403" t="str">
            <v>D2002128</v>
          </cell>
          <cell r="AD403">
            <v>859853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Y403" t="str">
            <v/>
          </cell>
          <cell r="AZ403">
            <v>1.42</v>
          </cell>
          <cell r="BA403" t="str">
            <v>D2002128</v>
          </cell>
          <cell r="BB403" t="str">
            <v>CONFORM</v>
          </cell>
          <cell r="BC403" t="str">
            <v>CONFORM</v>
          </cell>
          <cell r="BD403" t="str">
            <v>CONFORM</v>
          </cell>
          <cell r="BE403" t="str">
            <v>CONFORM</v>
          </cell>
          <cell r="BF403" t="str">
            <v>CONFORM</v>
          </cell>
        </row>
        <row r="404">
          <cell r="A404">
            <v>43880</v>
          </cell>
          <cell r="B404" t="str">
            <v>D2002128-6</v>
          </cell>
          <cell r="C404" t="str">
            <v>015/20</v>
          </cell>
          <cell r="D404">
            <v>2</v>
          </cell>
          <cell r="E404">
            <v>43887</v>
          </cell>
          <cell r="F404" t="str">
            <v>DC</v>
          </cell>
          <cell r="G404" t="str">
            <v>On Time</v>
          </cell>
          <cell r="H404">
            <v>2407327213</v>
          </cell>
          <cell r="I404">
            <v>43878</v>
          </cell>
          <cell r="J404" t="str">
            <v>TKM</v>
          </cell>
          <cell r="K404" t="str">
            <v>D2002128</v>
          </cell>
          <cell r="L404">
            <v>6</v>
          </cell>
          <cell r="M404" t="str">
            <v>AAC90062</v>
          </cell>
          <cell r="N404">
            <v>859853</v>
          </cell>
          <cell r="O404" t="str">
            <v xml:space="preserve">1.4306 TP304L </v>
          </cell>
          <cell r="P404" t="str">
            <v>304L</v>
          </cell>
          <cell r="Q404">
            <v>6.2679999999999998</v>
          </cell>
          <cell r="R404">
            <v>6.2679999999999998</v>
          </cell>
          <cell r="S404">
            <v>4.7E-2</v>
          </cell>
          <cell r="T404">
            <v>4.5999999999999999E-2</v>
          </cell>
          <cell r="V404">
            <v>4.5999999999999999E-2</v>
          </cell>
          <cell r="X404">
            <v>5626</v>
          </cell>
          <cell r="Y404">
            <v>2</v>
          </cell>
          <cell r="Z404">
            <v>448.78749202297382</v>
          </cell>
          <cell r="AA404" t="str">
            <v>6.268X0.047-304L</v>
          </cell>
          <cell r="AB404" t="str">
            <v>WAAC015920120B300072</v>
          </cell>
          <cell r="AC404" t="str">
            <v>D2002128</v>
          </cell>
          <cell r="AD404">
            <v>859853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Y404" t="str">
            <v/>
          </cell>
          <cell r="AZ404">
            <v>1.42</v>
          </cell>
          <cell r="BA404" t="str">
            <v>D2002128</v>
          </cell>
          <cell r="BB404" t="str">
            <v>CONFORM</v>
          </cell>
          <cell r="BC404" t="str">
            <v>CONFORM</v>
          </cell>
          <cell r="BD404" t="str">
            <v>CONFORM</v>
          </cell>
          <cell r="BE404" t="str">
            <v>CONFORM</v>
          </cell>
          <cell r="BF404" t="str">
            <v>CONFORM</v>
          </cell>
        </row>
        <row r="405">
          <cell r="A405">
            <v>43880</v>
          </cell>
          <cell r="B405" t="str">
            <v>D2002128-7</v>
          </cell>
          <cell r="C405" t="str">
            <v>015/20</v>
          </cell>
          <cell r="D405">
            <v>2</v>
          </cell>
          <cell r="E405">
            <v>43887</v>
          </cell>
          <cell r="F405" t="str">
            <v>DC</v>
          </cell>
          <cell r="G405" t="str">
            <v>On Time</v>
          </cell>
          <cell r="H405">
            <v>2407327213</v>
          </cell>
          <cell r="I405">
            <v>43878</v>
          </cell>
          <cell r="J405" t="str">
            <v>TKM</v>
          </cell>
          <cell r="K405" t="str">
            <v>D2002128</v>
          </cell>
          <cell r="L405">
            <v>7</v>
          </cell>
          <cell r="M405" t="str">
            <v>AAC90062</v>
          </cell>
          <cell r="N405">
            <v>859853</v>
          </cell>
          <cell r="O405" t="str">
            <v xml:space="preserve">1.4306 TP304L </v>
          </cell>
          <cell r="P405" t="str">
            <v>304L</v>
          </cell>
          <cell r="Q405">
            <v>6.2679999999999998</v>
          </cell>
          <cell r="R405">
            <v>6.2690000000000001</v>
          </cell>
          <cell r="S405">
            <v>4.7E-2</v>
          </cell>
          <cell r="T405">
            <v>4.8000000000000001E-2</v>
          </cell>
          <cell r="V405">
            <v>4.8000000000000001E-2</v>
          </cell>
          <cell r="X405">
            <v>2792</v>
          </cell>
          <cell r="Y405">
            <v>1</v>
          </cell>
          <cell r="Z405">
            <v>445.43714103382263</v>
          </cell>
          <cell r="AA405" t="str">
            <v>6.268X0.047-304L</v>
          </cell>
          <cell r="AB405" t="str">
            <v>WAAC015920120B300072</v>
          </cell>
          <cell r="AC405" t="str">
            <v>D2002128</v>
          </cell>
          <cell r="AD405">
            <v>859853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Y405" t="str">
            <v/>
          </cell>
          <cell r="AZ405">
            <v>1.42</v>
          </cell>
          <cell r="BA405" t="str">
            <v>D2002128</v>
          </cell>
          <cell r="BB405" t="str">
            <v>CONFORM</v>
          </cell>
          <cell r="BC405" t="str">
            <v>CONFORM</v>
          </cell>
          <cell r="BD405" t="str">
            <v>CONFORM</v>
          </cell>
          <cell r="BE405" t="str">
            <v>CONFORM</v>
          </cell>
          <cell r="BF405" t="str">
            <v>CONFORM</v>
          </cell>
        </row>
        <row r="406">
          <cell r="A406">
            <v>43881</v>
          </cell>
          <cell r="B406" t="str">
            <v>D2002137-1</v>
          </cell>
          <cell r="C406" t="str">
            <v>008/20</v>
          </cell>
          <cell r="D406">
            <v>1</v>
          </cell>
          <cell r="E406">
            <v>43882</v>
          </cell>
          <cell r="F406" t="str">
            <v>DC</v>
          </cell>
          <cell r="G406" t="str">
            <v>On Time</v>
          </cell>
          <cell r="H406" t="str">
            <v>L349711</v>
          </cell>
          <cell r="I406">
            <v>43878</v>
          </cell>
          <cell r="J406" t="str">
            <v>ATI</v>
          </cell>
          <cell r="K406" t="str">
            <v>D2002137</v>
          </cell>
          <cell r="L406">
            <v>1</v>
          </cell>
          <cell r="M406" t="str">
            <v>AAC84745</v>
          </cell>
          <cell r="N406">
            <v>859467</v>
          </cell>
          <cell r="O406" t="str">
            <v xml:space="preserve">1.4401/1.4404 TP316/316L </v>
          </cell>
          <cell r="P406" t="str">
            <v>316L</v>
          </cell>
          <cell r="Q406">
            <v>1.913</v>
          </cell>
          <cell r="R406">
            <v>1.9119999999999999</v>
          </cell>
          <cell r="S406">
            <v>4.7E-2</v>
          </cell>
          <cell r="T406">
            <v>4.5999999999999999E-2</v>
          </cell>
          <cell r="V406">
            <v>4.5999999999999999E-2</v>
          </cell>
          <cell r="X406">
            <v>4340</v>
          </cell>
          <cell r="Y406">
            <v>6</v>
          </cell>
          <cell r="Z406">
            <v>378.11465412092701</v>
          </cell>
          <cell r="AA406" t="str">
            <v>1.913X0.047-316L</v>
          </cell>
          <cell r="AB406" t="str">
            <v>WAAF004860120B300028</v>
          </cell>
          <cell r="AC406" t="str">
            <v>D2002137</v>
          </cell>
          <cell r="AD406">
            <v>859467</v>
          </cell>
          <cell r="AE406">
            <v>2.8000000000000001E-2</v>
          </cell>
          <cell r="AF406">
            <v>1.63</v>
          </cell>
          <cell r="AG406">
            <v>3.1E-2</v>
          </cell>
          <cell r="AH406">
            <v>0</v>
          </cell>
          <cell r="AI406">
            <v>0.4</v>
          </cell>
          <cell r="AJ406">
            <v>16.7</v>
          </cell>
          <cell r="AK406">
            <v>10.199999999999999</v>
          </cell>
          <cell r="AL406">
            <v>0.04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Y406" t="str">
            <v/>
          </cell>
          <cell r="AZ406">
            <v>1.7484999999999999</v>
          </cell>
          <cell r="BA406" t="str">
            <v>D2002137</v>
          </cell>
          <cell r="BB406" t="str">
            <v>CONFORM</v>
          </cell>
          <cell r="BC406" t="str">
            <v>CONFORM</v>
          </cell>
          <cell r="BD406" t="str">
            <v>CONFORM</v>
          </cell>
          <cell r="BE406" t="str">
            <v>CONFORM</v>
          </cell>
          <cell r="BF406" t="str">
            <v>CONFORM</v>
          </cell>
        </row>
        <row r="407">
          <cell r="A407">
            <v>43881</v>
          </cell>
          <cell r="B407" t="str">
            <v>D2002137-2</v>
          </cell>
          <cell r="C407" t="str">
            <v>008/20</v>
          </cell>
          <cell r="D407">
            <v>1</v>
          </cell>
          <cell r="E407">
            <v>43882</v>
          </cell>
          <cell r="F407" t="str">
            <v>DC</v>
          </cell>
          <cell r="G407" t="str">
            <v>On Time</v>
          </cell>
          <cell r="H407" t="str">
            <v>L349711</v>
          </cell>
          <cell r="I407">
            <v>43878</v>
          </cell>
          <cell r="J407" t="str">
            <v>ATI</v>
          </cell>
          <cell r="K407" t="str">
            <v>D2002137</v>
          </cell>
          <cell r="L407">
            <v>2</v>
          </cell>
          <cell r="M407" t="str">
            <v>AAC84745</v>
          </cell>
          <cell r="N407">
            <v>859467</v>
          </cell>
          <cell r="O407" t="str">
            <v xml:space="preserve">1.4401/1.4404 TP316/316L </v>
          </cell>
          <cell r="P407" t="str">
            <v>316L</v>
          </cell>
          <cell r="Q407">
            <v>1.913</v>
          </cell>
          <cell r="R407">
            <v>1.913</v>
          </cell>
          <cell r="S407">
            <v>4.7E-2</v>
          </cell>
          <cell r="T407">
            <v>4.7E-2</v>
          </cell>
          <cell r="V407">
            <v>4.7E-2</v>
          </cell>
          <cell r="X407">
            <v>4310</v>
          </cell>
          <cell r="Y407">
            <v>6</v>
          </cell>
          <cell r="Z407">
            <v>375.50095835511416</v>
          </cell>
          <cell r="AA407" t="str">
            <v>1.913X0.047-316L</v>
          </cell>
          <cell r="AB407" t="str">
            <v>WAAF004860120B300028</v>
          </cell>
          <cell r="AC407" t="str">
            <v>D2002137</v>
          </cell>
          <cell r="AD407">
            <v>859467</v>
          </cell>
          <cell r="AE407">
            <v>2.8000000000000001E-2</v>
          </cell>
          <cell r="AF407">
            <v>1.63</v>
          </cell>
          <cell r="AG407">
            <v>3.1E-2</v>
          </cell>
          <cell r="AH407">
            <v>0</v>
          </cell>
          <cell r="AI407">
            <v>0.4</v>
          </cell>
          <cell r="AJ407">
            <v>16.7</v>
          </cell>
          <cell r="AK407">
            <v>10.199999999999999</v>
          </cell>
          <cell r="AL407">
            <v>0.04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Y407" t="str">
            <v/>
          </cell>
          <cell r="AZ407">
            <v>1.7484999999999999</v>
          </cell>
          <cell r="BA407" t="str">
            <v>D2002137</v>
          </cell>
          <cell r="BB407" t="str">
            <v>CONFORM</v>
          </cell>
          <cell r="BC407" t="str">
            <v>CONFORM</v>
          </cell>
          <cell r="BD407" t="str">
            <v>CONFORM</v>
          </cell>
          <cell r="BE407" t="str">
            <v>CONFORM</v>
          </cell>
          <cell r="BF407" t="str">
            <v>CONFORM</v>
          </cell>
        </row>
        <row r="408">
          <cell r="A408">
            <v>43881</v>
          </cell>
          <cell r="B408" t="str">
            <v>D2002137-3</v>
          </cell>
          <cell r="C408" t="str">
            <v>008/20</v>
          </cell>
          <cell r="D408">
            <v>1</v>
          </cell>
          <cell r="E408">
            <v>43882</v>
          </cell>
          <cell r="F408" t="str">
            <v>DC</v>
          </cell>
          <cell r="G408" t="str">
            <v>On Time</v>
          </cell>
          <cell r="H408" t="str">
            <v>L349711</v>
          </cell>
          <cell r="I408">
            <v>43878</v>
          </cell>
          <cell r="J408" t="str">
            <v>ATI</v>
          </cell>
          <cell r="K408" t="str">
            <v>D2002137</v>
          </cell>
          <cell r="L408">
            <v>3</v>
          </cell>
          <cell r="M408" t="str">
            <v>AAC84745</v>
          </cell>
          <cell r="N408">
            <v>859467</v>
          </cell>
          <cell r="O408" t="str">
            <v xml:space="preserve">1.4401/1.4404 TP316/316L </v>
          </cell>
          <cell r="P408" t="str">
            <v>316L</v>
          </cell>
          <cell r="Q408">
            <v>1.913</v>
          </cell>
          <cell r="R408">
            <v>1.9139999999999999</v>
          </cell>
          <cell r="S408">
            <v>4.7E-2</v>
          </cell>
          <cell r="T408">
            <v>4.4999999999999998E-2</v>
          </cell>
          <cell r="V408">
            <v>4.4999999999999998E-2</v>
          </cell>
          <cell r="X408">
            <v>4340</v>
          </cell>
          <cell r="Y408">
            <v>6</v>
          </cell>
          <cell r="Z408">
            <v>378.11465412092701</v>
          </cell>
          <cell r="AA408" t="str">
            <v>1.913X0.047-316L</v>
          </cell>
          <cell r="AB408" t="str">
            <v>WAAF004860120B300028</v>
          </cell>
          <cell r="AC408" t="str">
            <v>D2002137</v>
          </cell>
          <cell r="AD408">
            <v>859467</v>
          </cell>
          <cell r="AE408">
            <v>2.8000000000000001E-2</v>
          </cell>
          <cell r="AF408">
            <v>1.63</v>
          </cell>
          <cell r="AG408">
            <v>3.1E-2</v>
          </cell>
          <cell r="AH408">
            <v>0</v>
          </cell>
          <cell r="AI408">
            <v>0.4</v>
          </cell>
          <cell r="AJ408">
            <v>16.7</v>
          </cell>
          <cell r="AK408">
            <v>10.199999999999999</v>
          </cell>
          <cell r="AL408">
            <v>0.04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Y408" t="str">
            <v/>
          </cell>
          <cell r="AZ408">
            <v>1.7484999999999999</v>
          </cell>
          <cell r="BA408" t="str">
            <v>D2002137</v>
          </cell>
          <cell r="BB408" t="str">
            <v>CONFORM</v>
          </cell>
          <cell r="BC408" t="str">
            <v>CONFORM</v>
          </cell>
          <cell r="BD408" t="str">
            <v>CONFORM</v>
          </cell>
          <cell r="BE408" t="str">
            <v>CONFORM</v>
          </cell>
          <cell r="BF408" t="str">
            <v>CONFORM</v>
          </cell>
        </row>
        <row r="409">
          <cell r="A409">
            <v>43881</v>
          </cell>
          <cell r="B409" t="str">
            <v>D2002137-4</v>
          </cell>
          <cell r="C409" t="str">
            <v>008/20</v>
          </cell>
          <cell r="D409">
            <v>1</v>
          </cell>
          <cell r="E409">
            <v>43882</v>
          </cell>
          <cell r="F409" t="str">
            <v>DC</v>
          </cell>
          <cell r="G409" t="str">
            <v>On Time</v>
          </cell>
          <cell r="H409" t="str">
            <v>L349711</v>
          </cell>
          <cell r="I409">
            <v>43878</v>
          </cell>
          <cell r="J409" t="str">
            <v>ATI</v>
          </cell>
          <cell r="K409" t="str">
            <v>D2002137</v>
          </cell>
          <cell r="L409">
            <v>4</v>
          </cell>
          <cell r="M409" t="str">
            <v>AAC84745</v>
          </cell>
          <cell r="N409">
            <v>859467</v>
          </cell>
          <cell r="O409" t="str">
            <v xml:space="preserve">1.4401/1.4404 TP316/316L </v>
          </cell>
          <cell r="P409" t="str">
            <v>316L</v>
          </cell>
          <cell r="Q409">
            <v>1.913</v>
          </cell>
          <cell r="R409">
            <v>1.913</v>
          </cell>
          <cell r="S409">
            <v>4.7E-2</v>
          </cell>
          <cell r="T409">
            <v>4.8000000000000001E-2</v>
          </cell>
          <cell r="V409">
            <v>4.8000000000000001E-2</v>
          </cell>
          <cell r="X409">
            <v>4318</v>
          </cell>
          <cell r="Y409">
            <v>6</v>
          </cell>
          <cell r="Z409">
            <v>376.19794389266423</v>
          </cell>
          <cell r="AA409" t="str">
            <v>1.913X0.047-316L</v>
          </cell>
          <cell r="AB409" t="str">
            <v>WAAF004860120B300028</v>
          </cell>
          <cell r="AC409" t="str">
            <v>D2002137</v>
          </cell>
          <cell r="AD409">
            <v>859467</v>
          </cell>
          <cell r="AE409">
            <v>2.8000000000000001E-2</v>
          </cell>
          <cell r="AF409">
            <v>1.63</v>
          </cell>
          <cell r="AG409">
            <v>3.1E-2</v>
          </cell>
          <cell r="AH409">
            <v>0</v>
          </cell>
          <cell r="AI409">
            <v>0.4</v>
          </cell>
          <cell r="AJ409">
            <v>16.7</v>
          </cell>
          <cell r="AK409">
            <v>10.199999999999999</v>
          </cell>
          <cell r="AL409">
            <v>0.04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Y409" t="str">
            <v/>
          </cell>
          <cell r="AZ409">
            <v>1.7484999999999999</v>
          </cell>
          <cell r="BA409" t="str">
            <v>D2002137</v>
          </cell>
          <cell r="BB409" t="str">
            <v>CONFORM</v>
          </cell>
          <cell r="BC409" t="str">
            <v>CONFORM</v>
          </cell>
          <cell r="BD409" t="str">
            <v>CONFORM</v>
          </cell>
          <cell r="BE409" t="str">
            <v>CONFORM</v>
          </cell>
          <cell r="BF409" t="str">
            <v>CONFORM</v>
          </cell>
        </row>
        <row r="410">
          <cell r="A410">
            <v>43871</v>
          </cell>
          <cell r="B410" t="str">
            <v>D2002162-1</v>
          </cell>
          <cell r="C410" t="str">
            <v>007/20</v>
          </cell>
          <cell r="D410">
            <v>1</v>
          </cell>
          <cell r="E410">
            <v>43881</v>
          </cell>
          <cell r="F410" t="str">
            <v>DC</v>
          </cell>
          <cell r="G410" t="str">
            <v>On Time</v>
          </cell>
          <cell r="H410">
            <v>2407301530</v>
          </cell>
          <cell r="I410">
            <v>43867</v>
          </cell>
          <cell r="J410" t="str">
            <v>TKM</v>
          </cell>
          <cell r="K410" t="str">
            <v>D2002162</v>
          </cell>
          <cell r="L410">
            <v>1</v>
          </cell>
          <cell r="M410" t="str">
            <v>AAC84251-B</v>
          </cell>
          <cell r="N410">
            <v>859373</v>
          </cell>
          <cell r="O410" t="str">
            <v xml:space="preserve">1.4306 TP304L </v>
          </cell>
          <cell r="P410" t="str">
            <v>304L</v>
          </cell>
          <cell r="Q410">
            <v>4.6849999999999996</v>
          </cell>
          <cell r="R410">
            <v>4.6849999999999996</v>
          </cell>
          <cell r="S410">
            <v>4.7E-2</v>
          </cell>
          <cell r="T410">
            <v>4.8000000000000001E-2</v>
          </cell>
          <cell r="V410">
            <v>4.8000000000000001E-2</v>
          </cell>
          <cell r="X410">
            <v>2079</v>
          </cell>
          <cell r="Y410">
            <v>1</v>
          </cell>
          <cell r="Z410">
            <v>443.75667022411955</v>
          </cell>
          <cell r="AA410" t="str">
            <v>4.685X0.047-304L</v>
          </cell>
          <cell r="AB410" t="str">
            <v>WAAC011900120B300062</v>
          </cell>
          <cell r="AC410" t="str">
            <v>D2002162</v>
          </cell>
          <cell r="AD410">
            <v>859373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Y410" t="str">
            <v/>
          </cell>
          <cell r="AZ410">
            <v>1.5</v>
          </cell>
          <cell r="BA410" t="str">
            <v>D2002162</v>
          </cell>
          <cell r="BB410" t="str">
            <v>CONFORM</v>
          </cell>
          <cell r="BC410" t="str">
            <v>CONFORM</v>
          </cell>
          <cell r="BD410" t="str">
            <v>CONFORM</v>
          </cell>
          <cell r="BE410" t="str">
            <v>CONFORM</v>
          </cell>
          <cell r="BF410" t="str">
            <v>CONFORM</v>
          </cell>
        </row>
        <row r="411">
          <cell r="A411">
            <v>43871</v>
          </cell>
          <cell r="B411" t="str">
            <v>D2002163-1</v>
          </cell>
          <cell r="C411" t="str">
            <v>007/20</v>
          </cell>
          <cell r="D411">
            <v>1</v>
          </cell>
          <cell r="E411">
            <v>43881</v>
          </cell>
          <cell r="F411" t="str">
            <v>DC</v>
          </cell>
          <cell r="G411" t="str">
            <v>On Time</v>
          </cell>
          <cell r="H411">
            <v>2407301530</v>
          </cell>
          <cell r="I411">
            <v>43867</v>
          </cell>
          <cell r="J411" t="str">
            <v>TKM</v>
          </cell>
          <cell r="K411" t="str">
            <v>D2002163</v>
          </cell>
          <cell r="L411">
            <v>1</v>
          </cell>
          <cell r="M411" t="str">
            <v>AAC87858-C</v>
          </cell>
          <cell r="N411">
            <v>859682</v>
          </cell>
          <cell r="O411" t="str">
            <v xml:space="preserve">1.4306 TP304L </v>
          </cell>
          <cell r="P411" t="str">
            <v>304L</v>
          </cell>
          <cell r="Q411">
            <v>4.6849999999999996</v>
          </cell>
          <cell r="R411">
            <v>4.6849999999999996</v>
          </cell>
          <cell r="S411">
            <v>4.7E-2</v>
          </cell>
          <cell r="T411">
            <v>4.8000000000000001E-2</v>
          </cell>
          <cell r="V411">
            <v>4.8000000000000001E-2</v>
          </cell>
          <cell r="X411">
            <v>2091</v>
          </cell>
          <cell r="Y411">
            <v>1</v>
          </cell>
          <cell r="Z411">
            <v>446.31803628601926</v>
          </cell>
          <cell r="AA411" t="str">
            <v>4.685X0.047-304L</v>
          </cell>
          <cell r="AB411" t="str">
            <v>WAAC011900120B300062</v>
          </cell>
          <cell r="AC411" t="str">
            <v>D2002163</v>
          </cell>
          <cell r="AD411">
            <v>859682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Y411" t="str">
            <v/>
          </cell>
          <cell r="AZ411">
            <v>1.5</v>
          </cell>
          <cell r="BA411" t="str">
            <v>D2002163</v>
          </cell>
          <cell r="BB411" t="str">
            <v>CONFORM</v>
          </cell>
          <cell r="BC411" t="str">
            <v>CONFORM</v>
          </cell>
          <cell r="BD411" t="str">
            <v>CONFORM</v>
          </cell>
          <cell r="BE411" t="str">
            <v>CONFORM</v>
          </cell>
          <cell r="BF411" t="str">
            <v>CONFORM</v>
          </cell>
        </row>
        <row r="412">
          <cell r="A412">
            <v>43886</v>
          </cell>
          <cell r="B412" t="str">
            <v>D2002173-1</v>
          </cell>
          <cell r="C412" t="str">
            <v>002/20</v>
          </cell>
          <cell r="D412">
            <v>1</v>
          </cell>
          <cell r="E412">
            <v>43887</v>
          </cell>
          <cell r="F412" t="str">
            <v>DC</v>
          </cell>
          <cell r="G412" t="str">
            <v>On Time</v>
          </cell>
          <cell r="H412" t="str">
            <v>L352525</v>
          </cell>
          <cell r="I412">
            <v>43881</v>
          </cell>
          <cell r="J412" t="str">
            <v>ATI</v>
          </cell>
          <cell r="K412" t="str">
            <v>D2002173</v>
          </cell>
          <cell r="L412">
            <v>1</v>
          </cell>
          <cell r="M412" t="str">
            <v>AAC87105</v>
          </cell>
          <cell r="N412">
            <v>859638</v>
          </cell>
          <cell r="O412" t="str">
            <v xml:space="preserve">1.4462 UNS S31803/S32205 </v>
          </cell>
          <cell r="P412" t="str">
            <v>2205</v>
          </cell>
          <cell r="Q412">
            <v>2.3109999999999999</v>
          </cell>
          <cell r="R412">
            <v>2.31</v>
          </cell>
          <cell r="S412">
            <v>5.0999999999999997E-2</v>
          </cell>
          <cell r="T412">
            <v>4.9000000000000002E-2</v>
          </cell>
          <cell r="V412">
            <v>4.9000000000000002E-2</v>
          </cell>
          <cell r="X412">
            <v>5624</v>
          </cell>
          <cell r="Y412">
            <v>4</v>
          </cell>
          <cell r="Z412">
            <v>608.39463435742107</v>
          </cell>
          <cell r="AA412" t="str">
            <v>2.311X0.051-2205</v>
          </cell>
          <cell r="AB412" t="str">
            <v>WACN005870130B300058</v>
          </cell>
          <cell r="AC412" t="str">
            <v>D2002173</v>
          </cell>
          <cell r="AD412">
            <v>859638</v>
          </cell>
          <cell r="AE412">
            <v>0.02</v>
          </cell>
          <cell r="AF412">
            <v>1.62</v>
          </cell>
          <cell r="AG412">
            <v>2.5999999999999999E-2</v>
          </cell>
          <cell r="AH412">
            <v>0</v>
          </cell>
          <cell r="AI412">
            <v>0.52</v>
          </cell>
          <cell r="AJ412">
            <v>22.3</v>
          </cell>
          <cell r="AK412">
            <v>5.4</v>
          </cell>
          <cell r="AL412">
            <v>0.17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Y412" t="str">
            <v/>
          </cell>
          <cell r="AZ412">
            <v>2.19</v>
          </cell>
          <cell r="BA412" t="str">
            <v>D2002173</v>
          </cell>
          <cell r="BB412" t="str">
            <v>CONFORM</v>
          </cell>
          <cell r="BC412" t="str">
            <v>CONFORM</v>
          </cell>
          <cell r="BD412" t="str">
            <v>CONFORM</v>
          </cell>
          <cell r="BE412" t="str">
            <v>CONFORM</v>
          </cell>
          <cell r="BF412" t="str">
            <v>CONFORM</v>
          </cell>
        </row>
        <row r="413">
          <cell r="A413">
            <v>43886</v>
          </cell>
          <cell r="B413" t="str">
            <v>D2002173-2</v>
          </cell>
          <cell r="C413" t="str">
            <v>002/20</v>
          </cell>
          <cell r="D413">
            <v>1</v>
          </cell>
          <cell r="E413">
            <v>43887</v>
          </cell>
          <cell r="F413" t="str">
            <v>DC</v>
          </cell>
          <cell r="G413" t="str">
            <v>On Time</v>
          </cell>
          <cell r="H413" t="str">
            <v>L352525</v>
          </cell>
          <cell r="I413">
            <v>43881</v>
          </cell>
          <cell r="J413" t="str">
            <v>ATI</v>
          </cell>
          <cell r="K413" t="str">
            <v>D2002173</v>
          </cell>
          <cell r="L413">
            <v>2</v>
          </cell>
          <cell r="M413" t="str">
            <v>AAC87105</v>
          </cell>
          <cell r="N413">
            <v>859638</v>
          </cell>
          <cell r="O413" t="str">
            <v xml:space="preserve">1.4462 UNS S31803/S32205 </v>
          </cell>
          <cell r="P413" t="str">
            <v>2205</v>
          </cell>
          <cell r="Q413">
            <v>2.3109999999999999</v>
          </cell>
          <cell r="R413">
            <v>2.3119999999999998</v>
          </cell>
          <cell r="S413">
            <v>5.0999999999999997E-2</v>
          </cell>
          <cell r="T413">
            <v>0.05</v>
          </cell>
          <cell r="V413">
            <v>0.05</v>
          </cell>
          <cell r="X413">
            <v>4218</v>
          </cell>
          <cell r="Y413">
            <v>3</v>
          </cell>
          <cell r="Z413">
            <v>608.39463435742107</v>
          </cell>
          <cell r="AA413" t="str">
            <v>2.311X0.051-2205</v>
          </cell>
          <cell r="AB413" t="str">
            <v>WACN005870130B300058</v>
          </cell>
          <cell r="AC413" t="str">
            <v>D2002173</v>
          </cell>
          <cell r="AD413">
            <v>859638</v>
          </cell>
          <cell r="AE413">
            <v>0.02</v>
          </cell>
          <cell r="AF413">
            <v>1.62</v>
          </cell>
          <cell r="AG413">
            <v>2.5999999999999999E-2</v>
          </cell>
          <cell r="AH413">
            <v>0</v>
          </cell>
          <cell r="AI413">
            <v>0.52</v>
          </cell>
          <cell r="AJ413">
            <v>22.3</v>
          </cell>
          <cell r="AK413">
            <v>5.4</v>
          </cell>
          <cell r="AL413">
            <v>0.17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Y413" t="str">
            <v/>
          </cell>
          <cell r="AZ413">
            <v>2.19</v>
          </cell>
          <cell r="BA413" t="str">
            <v>D2002173</v>
          </cell>
          <cell r="BB413" t="str">
            <v>CONFORM</v>
          </cell>
          <cell r="BC413" t="str">
            <v>CONFORM</v>
          </cell>
          <cell r="BD413" t="str">
            <v>CONFORM</v>
          </cell>
          <cell r="BE413" t="str">
            <v>CONFORM</v>
          </cell>
          <cell r="BF413" t="str">
            <v>CONFORM</v>
          </cell>
        </row>
        <row r="414">
          <cell r="A414">
            <v>43886</v>
          </cell>
          <cell r="B414" t="str">
            <v>D2002173-3</v>
          </cell>
          <cell r="C414" t="str">
            <v>002/20</v>
          </cell>
          <cell r="D414">
            <v>1</v>
          </cell>
          <cell r="E414">
            <v>43887</v>
          </cell>
          <cell r="F414" t="str">
            <v>DC</v>
          </cell>
          <cell r="G414" t="str">
            <v>On Time</v>
          </cell>
          <cell r="H414" t="str">
            <v>L352525</v>
          </cell>
          <cell r="I414">
            <v>43881</v>
          </cell>
          <cell r="J414" t="str">
            <v>ATI</v>
          </cell>
          <cell r="K414" t="str">
            <v>D2002173</v>
          </cell>
          <cell r="L414">
            <v>3</v>
          </cell>
          <cell r="M414" t="str">
            <v>AAC87105</v>
          </cell>
          <cell r="N414">
            <v>859638</v>
          </cell>
          <cell r="O414" t="str">
            <v xml:space="preserve">1.4462 UNS S31803/S32205 </v>
          </cell>
          <cell r="P414" t="str">
            <v>2205</v>
          </cell>
          <cell r="Q414">
            <v>2.3109999999999999</v>
          </cell>
          <cell r="R414">
            <v>2.31</v>
          </cell>
          <cell r="S414">
            <v>5.0999999999999997E-2</v>
          </cell>
          <cell r="T414">
            <v>5.0999999999999997E-2</v>
          </cell>
          <cell r="V414">
            <v>5.0999999999999997E-2</v>
          </cell>
          <cell r="X414">
            <v>4218</v>
          </cell>
          <cell r="Y414">
            <v>3</v>
          </cell>
          <cell r="Z414">
            <v>608.39463435742107</v>
          </cell>
          <cell r="AA414" t="str">
            <v>2.311X0.051-2205</v>
          </cell>
          <cell r="AB414" t="str">
            <v>WACN005870130B300058</v>
          </cell>
          <cell r="AC414" t="str">
            <v>D2002173</v>
          </cell>
          <cell r="AD414">
            <v>859638</v>
          </cell>
          <cell r="AE414">
            <v>0.02</v>
          </cell>
          <cell r="AF414">
            <v>1.62</v>
          </cell>
          <cell r="AG414">
            <v>2.5999999999999999E-2</v>
          </cell>
          <cell r="AH414">
            <v>0</v>
          </cell>
          <cell r="AI414">
            <v>0.52</v>
          </cell>
          <cell r="AJ414">
            <v>22.3</v>
          </cell>
          <cell r="AK414">
            <v>5.4</v>
          </cell>
          <cell r="AL414">
            <v>0.17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Y414" t="str">
            <v/>
          </cell>
          <cell r="AZ414">
            <v>2.19</v>
          </cell>
          <cell r="BA414" t="str">
            <v>D2002173</v>
          </cell>
          <cell r="BB414" t="str">
            <v>CONFORM</v>
          </cell>
          <cell r="BC414" t="str">
            <v>CONFORM</v>
          </cell>
          <cell r="BD414" t="str">
            <v>CONFORM</v>
          </cell>
          <cell r="BE414" t="str">
            <v>CONFORM</v>
          </cell>
          <cell r="BF414" t="str">
            <v>CONFORM</v>
          </cell>
        </row>
        <row r="415">
          <cell r="A415">
            <v>43886</v>
          </cell>
          <cell r="B415" t="str">
            <v>D2002173-4</v>
          </cell>
          <cell r="C415" t="str">
            <v>002/20</v>
          </cell>
          <cell r="D415">
            <v>1</v>
          </cell>
          <cell r="E415">
            <v>43887</v>
          </cell>
          <cell r="F415" t="str">
            <v>DC</v>
          </cell>
          <cell r="G415" t="str">
            <v>On Time</v>
          </cell>
          <cell r="H415" t="str">
            <v>L352525</v>
          </cell>
          <cell r="I415">
            <v>43881</v>
          </cell>
          <cell r="J415" t="str">
            <v>ATI</v>
          </cell>
          <cell r="K415" t="str">
            <v>D2002173</v>
          </cell>
          <cell r="L415">
            <v>4</v>
          </cell>
          <cell r="M415" t="str">
            <v>AAC87105</v>
          </cell>
          <cell r="N415">
            <v>859638</v>
          </cell>
          <cell r="O415" t="str">
            <v xml:space="preserve">1.4462 UNS S31803/S32205 </v>
          </cell>
          <cell r="P415" t="str">
            <v>2205</v>
          </cell>
          <cell r="Q415">
            <v>2.3109999999999999</v>
          </cell>
          <cell r="R415">
            <v>2.31</v>
          </cell>
          <cell r="S415">
            <v>5.0999999999999997E-2</v>
          </cell>
          <cell r="T415">
            <v>5.1999999999999998E-2</v>
          </cell>
          <cell r="V415">
            <v>5.1999999999999998E-2</v>
          </cell>
          <cell r="X415">
            <v>5620</v>
          </cell>
          <cell r="Y415">
            <v>4</v>
          </cell>
          <cell r="Z415">
            <v>607.96192124621382</v>
          </cell>
          <cell r="AA415" t="str">
            <v>2.311X0.051-2205</v>
          </cell>
          <cell r="AB415" t="str">
            <v>WACN005870130B300058</v>
          </cell>
          <cell r="AC415" t="str">
            <v>D2002173</v>
          </cell>
          <cell r="AD415">
            <v>859638</v>
          </cell>
          <cell r="AE415">
            <v>0.02</v>
          </cell>
          <cell r="AF415">
            <v>1.62</v>
          </cell>
          <cell r="AG415">
            <v>2.5999999999999999E-2</v>
          </cell>
          <cell r="AH415">
            <v>0</v>
          </cell>
          <cell r="AI415">
            <v>0.52</v>
          </cell>
          <cell r="AJ415">
            <v>22.3</v>
          </cell>
          <cell r="AK415">
            <v>5.4</v>
          </cell>
          <cell r="AL415">
            <v>0.17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Y415" t="str">
            <v/>
          </cell>
          <cell r="AZ415">
            <v>2.19</v>
          </cell>
          <cell r="BA415" t="str">
            <v>D2002173</v>
          </cell>
          <cell r="BB415" t="str">
            <v>CONFORM</v>
          </cell>
          <cell r="BC415" t="str">
            <v>CONFORM</v>
          </cell>
          <cell r="BD415" t="str">
            <v>CONFORM</v>
          </cell>
          <cell r="BE415" t="str">
            <v>CONFORM</v>
          </cell>
          <cell r="BF415" t="str">
            <v>CONFORM</v>
          </cell>
        </row>
        <row r="416">
          <cell r="A416">
            <v>43886</v>
          </cell>
          <cell r="B416" t="str">
            <v>D2002173-5</v>
          </cell>
          <cell r="C416" t="str">
            <v>002/20</v>
          </cell>
          <cell r="D416">
            <v>1</v>
          </cell>
          <cell r="E416">
            <v>43887</v>
          </cell>
          <cell r="F416" t="str">
            <v>DC</v>
          </cell>
          <cell r="G416" t="str">
            <v>On Time</v>
          </cell>
          <cell r="H416" t="str">
            <v>L352525</v>
          </cell>
          <cell r="I416">
            <v>43881</v>
          </cell>
          <cell r="J416" t="str">
            <v>ATI</v>
          </cell>
          <cell r="K416" t="str">
            <v>D2002173</v>
          </cell>
          <cell r="L416">
            <v>5</v>
          </cell>
          <cell r="M416" t="str">
            <v>AAC87105</v>
          </cell>
          <cell r="N416">
            <v>859638</v>
          </cell>
          <cell r="O416" t="str">
            <v xml:space="preserve">1.4462 UNS S31803/S32205 </v>
          </cell>
          <cell r="P416" t="str">
            <v>2205</v>
          </cell>
          <cell r="Q416">
            <v>2.3109999999999999</v>
          </cell>
          <cell r="R416">
            <v>2.3109999999999999</v>
          </cell>
          <cell r="S416">
            <v>5.0999999999999997E-2</v>
          </cell>
          <cell r="T416">
            <v>4.9000000000000002E-2</v>
          </cell>
          <cell r="V416">
            <v>4.9000000000000002E-2</v>
          </cell>
          <cell r="X416">
            <v>4215</v>
          </cell>
          <cell r="Y416">
            <v>3</v>
          </cell>
          <cell r="Z416">
            <v>607.96192124621382</v>
          </cell>
          <cell r="AA416" t="str">
            <v>2.311X0.051-2205</v>
          </cell>
          <cell r="AB416" t="str">
            <v>WACN005870130B300058</v>
          </cell>
          <cell r="AC416" t="str">
            <v>D2002173</v>
          </cell>
          <cell r="AD416">
            <v>859638</v>
          </cell>
          <cell r="AE416">
            <v>0.02</v>
          </cell>
          <cell r="AF416">
            <v>1.62</v>
          </cell>
          <cell r="AG416">
            <v>2.5999999999999999E-2</v>
          </cell>
          <cell r="AH416">
            <v>0</v>
          </cell>
          <cell r="AI416">
            <v>0.52</v>
          </cell>
          <cell r="AJ416">
            <v>22.3</v>
          </cell>
          <cell r="AK416">
            <v>5.4</v>
          </cell>
          <cell r="AL416">
            <v>0.17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Y416" t="str">
            <v/>
          </cell>
          <cell r="AZ416">
            <v>2.19</v>
          </cell>
          <cell r="BA416" t="str">
            <v>D2002173</v>
          </cell>
          <cell r="BB416" t="str">
            <v>CONFORM</v>
          </cell>
          <cell r="BC416" t="str">
            <v>CONFORM</v>
          </cell>
          <cell r="BD416" t="str">
            <v>CONFORM</v>
          </cell>
          <cell r="BE416" t="str">
            <v>CONFORM</v>
          </cell>
          <cell r="BF416" t="str">
            <v>CONFORM</v>
          </cell>
        </row>
        <row r="417">
          <cell r="A417">
            <v>43886</v>
          </cell>
          <cell r="B417" t="str">
            <v>D2002173-6</v>
          </cell>
          <cell r="C417" t="str">
            <v>002/20</v>
          </cell>
          <cell r="D417">
            <v>1</v>
          </cell>
          <cell r="E417">
            <v>43887</v>
          </cell>
          <cell r="F417" t="str">
            <v>DC</v>
          </cell>
          <cell r="G417" t="str">
            <v>On Time</v>
          </cell>
          <cell r="H417" t="str">
            <v>L352525</v>
          </cell>
          <cell r="I417">
            <v>43881</v>
          </cell>
          <cell r="J417" t="str">
            <v>ATI</v>
          </cell>
          <cell r="K417" t="str">
            <v>D2002173</v>
          </cell>
          <cell r="L417">
            <v>6</v>
          </cell>
          <cell r="M417" t="str">
            <v>AAC87105</v>
          </cell>
          <cell r="N417">
            <v>859638</v>
          </cell>
          <cell r="O417" t="str">
            <v xml:space="preserve">1.4462 UNS S31803/S32205 </v>
          </cell>
          <cell r="P417" t="str">
            <v>2205</v>
          </cell>
          <cell r="Q417">
            <v>2.3109999999999999</v>
          </cell>
          <cell r="R417">
            <v>2.3090000000000002</v>
          </cell>
          <cell r="S417">
            <v>5.0999999999999997E-2</v>
          </cell>
          <cell r="T417">
            <v>4.9000000000000002E-2</v>
          </cell>
          <cell r="V417">
            <v>4.9000000000000002E-2</v>
          </cell>
          <cell r="X417">
            <v>4215</v>
          </cell>
          <cell r="Y417">
            <v>3</v>
          </cell>
          <cell r="Z417">
            <v>607.96192124621382</v>
          </cell>
          <cell r="AA417" t="str">
            <v>2.311X0.051-2205</v>
          </cell>
          <cell r="AB417" t="str">
            <v>WACN005870130B300058</v>
          </cell>
          <cell r="AC417" t="str">
            <v>D2002173</v>
          </cell>
          <cell r="AD417">
            <v>859638</v>
          </cell>
          <cell r="AE417">
            <v>0.02</v>
          </cell>
          <cell r="AF417">
            <v>1.62</v>
          </cell>
          <cell r="AG417">
            <v>2.5999999999999999E-2</v>
          </cell>
          <cell r="AH417">
            <v>0</v>
          </cell>
          <cell r="AI417">
            <v>0.52</v>
          </cell>
          <cell r="AJ417">
            <v>22.3</v>
          </cell>
          <cell r="AK417">
            <v>5.4</v>
          </cell>
          <cell r="AL417">
            <v>0.17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Y417" t="str">
            <v/>
          </cell>
          <cell r="AZ417">
            <v>2.19</v>
          </cell>
          <cell r="BA417" t="str">
            <v>D2002173</v>
          </cell>
          <cell r="BB417" t="str">
            <v>CONFORM</v>
          </cell>
          <cell r="BC417" t="str">
            <v>CONFORM</v>
          </cell>
          <cell r="BD417" t="str">
            <v>CONFORM</v>
          </cell>
          <cell r="BE417" t="str">
            <v>CONFORM</v>
          </cell>
          <cell r="BF417" t="str">
            <v>CONFORM</v>
          </cell>
        </row>
        <row r="418">
          <cell r="A418">
            <v>43889</v>
          </cell>
          <cell r="B418" t="str">
            <v>D2002181-1</v>
          </cell>
          <cell r="C418" t="str">
            <v>008/20</v>
          </cell>
          <cell r="D418">
            <v>2</v>
          </cell>
          <cell r="E418">
            <v>43888</v>
          </cell>
          <cell r="F418" t="str">
            <v>DC</v>
          </cell>
          <cell r="G418" t="str">
            <v>On Time</v>
          </cell>
          <cell r="H418" t="str">
            <v>L354111</v>
          </cell>
          <cell r="I418">
            <v>43888</v>
          </cell>
          <cell r="J418" t="str">
            <v>ATI</v>
          </cell>
          <cell r="K418" t="str">
            <v>D2002181</v>
          </cell>
          <cell r="L418">
            <v>1</v>
          </cell>
          <cell r="M418" t="str">
            <v>AAC87762</v>
          </cell>
          <cell r="N418">
            <v>859692</v>
          </cell>
          <cell r="O418" t="str">
            <v xml:space="preserve">1.4401/1.4404 TP316/316L </v>
          </cell>
          <cell r="P418" t="str">
            <v>316L</v>
          </cell>
          <cell r="Q418">
            <v>3.0550000000000002</v>
          </cell>
          <cell r="R418">
            <v>3.056</v>
          </cell>
          <cell r="S418">
            <v>6.7000000000000004E-2</v>
          </cell>
          <cell r="T418">
            <v>6.5000000000000002E-2</v>
          </cell>
          <cell r="V418">
            <v>6.5000000000000002E-2</v>
          </cell>
          <cell r="X418">
            <v>4650</v>
          </cell>
          <cell r="Y418">
            <v>4</v>
          </cell>
          <cell r="Z418">
            <v>380.52373158756137</v>
          </cell>
          <cell r="AA418" t="str">
            <v>3.055X0.067-316L</v>
          </cell>
          <cell r="AB418" t="str">
            <v>WAAF007760170B300018</v>
          </cell>
          <cell r="AC418" t="str">
            <v>D2002181</v>
          </cell>
          <cell r="AD418">
            <v>859692</v>
          </cell>
          <cell r="AE418">
            <v>2.1000000000000001E-2</v>
          </cell>
          <cell r="AF418">
            <v>1.63</v>
          </cell>
          <cell r="AG418">
            <v>2.9000000000000001E-2</v>
          </cell>
          <cell r="AH418">
            <v>0</v>
          </cell>
          <cell r="AI418">
            <v>0.34</v>
          </cell>
          <cell r="AJ418">
            <v>16.7</v>
          </cell>
          <cell r="AK418">
            <v>10.1</v>
          </cell>
          <cell r="AL418">
            <v>0.05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Y418" t="str">
            <v/>
          </cell>
          <cell r="AZ418">
            <v>1.77</v>
          </cell>
          <cell r="BA418" t="str">
            <v>D2002181</v>
          </cell>
          <cell r="BB418" t="str">
            <v>CONFORM</v>
          </cell>
          <cell r="BC418" t="str">
            <v>CONFORM</v>
          </cell>
          <cell r="BD418" t="str">
            <v>CONFORM</v>
          </cell>
          <cell r="BE418" t="str">
            <v>CONFORM</v>
          </cell>
          <cell r="BF418" t="str">
            <v>CONFORM</v>
          </cell>
        </row>
        <row r="419">
          <cell r="A419">
            <v>43889</v>
          </cell>
          <cell r="B419" t="str">
            <v>D2002181-2</v>
          </cell>
          <cell r="C419" t="str">
            <v>008/20</v>
          </cell>
          <cell r="D419">
            <v>2</v>
          </cell>
          <cell r="E419">
            <v>43888</v>
          </cell>
          <cell r="F419" t="str">
            <v>DC</v>
          </cell>
          <cell r="G419" t="str">
            <v>On Time</v>
          </cell>
          <cell r="H419" t="str">
            <v>L354111</v>
          </cell>
          <cell r="I419">
            <v>43888</v>
          </cell>
          <cell r="J419" t="str">
            <v>ATI</v>
          </cell>
          <cell r="K419" t="str">
            <v>D2002181</v>
          </cell>
          <cell r="L419">
            <v>2</v>
          </cell>
          <cell r="M419" t="str">
            <v>AAC87762</v>
          </cell>
          <cell r="N419">
            <v>859692</v>
          </cell>
          <cell r="O419" t="str">
            <v xml:space="preserve">1.4401/1.4404 TP316/316L </v>
          </cell>
          <cell r="P419" t="str">
            <v>316L</v>
          </cell>
          <cell r="Q419">
            <v>3.0550000000000002</v>
          </cell>
          <cell r="R419">
            <v>3.0529999999999999</v>
          </cell>
          <cell r="S419">
            <v>6.7000000000000004E-2</v>
          </cell>
          <cell r="T419">
            <v>6.7000000000000004E-2</v>
          </cell>
          <cell r="V419">
            <v>6.7000000000000004E-2</v>
          </cell>
          <cell r="X419">
            <v>4712</v>
          </cell>
          <cell r="Y419">
            <v>4</v>
          </cell>
          <cell r="Z419">
            <v>385.59738134206219</v>
          </cell>
          <cell r="AA419" t="str">
            <v>3.055X0.067-316L</v>
          </cell>
          <cell r="AB419" t="str">
            <v>WAAF007760170B300018</v>
          </cell>
          <cell r="AC419" t="str">
            <v>D2002181</v>
          </cell>
          <cell r="AD419">
            <v>859692</v>
          </cell>
          <cell r="AE419">
            <v>2.1000000000000001E-2</v>
          </cell>
          <cell r="AF419">
            <v>1.63</v>
          </cell>
          <cell r="AG419">
            <v>2.9000000000000001E-2</v>
          </cell>
          <cell r="AH419">
            <v>0</v>
          </cell>
          <cell r="AI419">
            <v>0.34</v>
          </cell>
          <cell r="AJ419">
            <v>16.7</v>
          </cell>
          <cell r="AK419">
            <v>10.1</v>
          </cell>
          <cell r="AL419">
            <v>0.05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Y419" t="str">
            <v/>
          </cell>
          <cell r="AZ419">
            <v>1.77</v>
          </cell>
          <cell r="BA419" t="str">
            <v>D2002181</v>
          </cell>
          <cell r="BB419" t="str">
            <v>CONFORM</v>
          </cell>
          <cell r="BC419" t="str">
            <v>CONFORM</v>
          </cell>
          <cell r="BD419" t="str">
            <v>CONFORM</v>
          </cell>
          <cell r="BE419" t="str">
            <v>CONFORM</v>
          </cell>
          <cell r="BF419" t="str">
            <v>CONFORM</v>
          </cell>
        </row>
        <row r="420">
          <cell r="A420">
            <v>43889</v>
          </cell>
          <cell r="B420" t="str">
            <v>D2002181-3</v>
          </cell>
          <cell r="C420" t="str">
            <v>008/20</v>
          </cell>
          <cell r="D420">
            <v>2</v>
          </cell>
          <cell r="E420">
            <v>43888</v>
          </cell>
          <cell r="F420" t="str">
            <v>DC</v>
          </cell>
          <cell r="G420" t="str">
            <v>On Time</v>
          </cell>
          <cell r="H420" t="str">
            <v>L354111</v>
          </cell>
          <cell r="I420">
            <v>43888</v>
          </cell>
          <cell r="J420" t="str">
            <v>ATI</v>
          </cell>
          <cell r="K420" t="str">
            <v>D2002181</v>
          </cell>
          <cell r="L420">
            <v>3</v>
          </cell>
          <cell r="M420" t="str">
            <v>AAC87762</v>
          </cell>
          <cell r="N420">
            <v>859692</v>
          </cell>
          <cell r="O420" t="str">
            <v xml:space="preserve">1.4401/1.4404 TP316/316L </v>
          </cell>
          <cell r="P420" t="str">
            <v>316L</v>
          </cell>
          <cell r="Q420">
            <v>3.0550000000000002</v>
          </cell>
          <cell r="R420">
            <v>3.0539999999999998</v>
          </cell>
          <cell r="S420">
            <v>6.7000000000000004E-2</v>
          </cell>
          <cell r="T420">
            <v>6.6000000000000003E-2</v>
          </cell>
          <cell r="V420">
            <v>6.6000000000000003E-2</v>
          </cell>
          <cell r="X420">
            <v>4700</v>
          </cell>
          <cell r="Y420">
            <v>4</v>
          </cell>
          <cell r="Z420">
            <v>384.61538461538458</v>
          </cell>
          <cell r="AA420" t="str">
            <v>3.055X0.067-316L</v>
          </cell>
          <cell r="AB420" t="str">
            <v>WAAF007760170B300018</v>
          </cell>
          <cell r="AC420" t="str">
            <v>D2002181</v>
          </cell>
          <cell r="AD420">
            <v>859692</v>
          </cell>
          <cell r="AE420">
            <v>2.1000000000000001E-2</v>
          </cell>
          <cell r="AF420">
            <v>1.63</v>
          </cell>
          <cell r="AG420">
            <v>2.9000000000000001E-2</v>
          </cell>
          <cell r="AH420">
            <v>0</v>
          </cell>
          <cell r="AI420">
            <v>0.34</v>
          </cell>
          <cell r="AJ420">
            <v>16.7</v>
          </cell>
          <cell r="AK420">
            <v>10.1</v>
          </cell>
          <cell r="AL420">
            <v>0.05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Y420" t="str">
            <v/>
          </cell>
          <cell r="AZ420">
            <v>1.77</v>
          </cell>
          <cell r="BA420" t="str">
            <v>D2002181</v>
          </cell>
          <cell r="BB420" t="str">
            <v>CONFORM</v>
          </cell>
          <cell r="BC420" t="str">
            <v>CONFORM</v>
          </cell>
          <cell r="BD420" t="str">
            <v>CONFORM</v>
          </cell>
          <cell r="BE420" t="str">
            <v>CONFORM</v>
          </cell>
          <cell r="BF420" t="str">
            <v>CONFORM</v>
          </cell>
        </row>
        <row r="421">
          <cell r="A421">
            <v>43889</v>
          </cell>
          <cell r="B421" t="str">
            <v>D2002181-4</v>
          </cell>
          <cell r="C421" t="str">
            <v>008/20</v>
          </cell>
          <cell r="D421">
            <v>2</v>
          </cell>
          <cell r="E421">
            <v>43888</v>
          </cell>
          <cell r="F421" t="str">
            <v>DC</v>
          </cell>
          <cell r="G421" t="str">
            <v>On Time</v>
          </cell>
          <cell r="H421" t="str">
            <v>L354111</v>
          </cell>
          <cell r="I421">
            <v>43888</v>
          </cell>
          <cell r="J421" t="str">
            <v>ATI</v>
          </cell>
          <cell r="K421" t="str">
            <v>D2002181</v>
          </cell>
          <cell r="L421">
            <v>4</v>
          </cell>
          <cell r="M421" t="str">
            <v>AAC87762</v>
          </cell>
          <cell r="N421">
            <v>859692</v>
          </cell>
          <cell r="O421" t="str">
            <v xml:space="preserve">1.4401/1.4404 TP316/316L </v>
          </cell>
          <cell r="P421" t="str">
            <v>316L</v>
          </cell>
          <cell r="Q421">
            <v>3.0550000000000002</v>
          </cell>
          <cell r="R421">
            <v>3.0550000000000002</v>
          </cell>
          <cell r="S421">
            <v>6.7000000000000004E-2</v>
          </cell>
          <cell r="T421">
            <v>6.7000000000000004E-2</v>
          </cell>
          <cell r="V421">
            <v>6.7000000000000004E-2</v>
          </cell>
          <cell r="X421">
            <v>4640</v>
          </cell>
          <cell r="Y421">
            <v>4</v>
          </cell>
          <cell r="Z421">
            <v>379.70540098199672</v>
          </cell>
          <cell r="AA421" t="str">
            <v>3.055X0.067-316L</v>
          </cell>
          <cell r="AB421" t="str">
            <v>WAAF007760170B300018</v>
          </cell>
          <cell r="AC421" t="str">
            <v>D2002181</v>
          </cell>
          <cell r="AD421">
            <v>859692</v>
          </cell>
          <cell r="AE421">
            <v>2.1000000000000001E-2</v>
          </cell>
          <cell r="AF421">
            <v>1.63</v>
          </cell>
          <cell r="AG421">
            <v>2.9000000000000001E-2</v>
          </cell>
          <cell r="AH421">
            <v>0</v>
          </cell>
          <cell r="AI421">
            <v>0.34</v>
          </cell>
          <cell r="AJ421">
            <v>16.7</v>
          </cell>
          <cell r="AK421">
            <v>10.1</v>
          </cell>
          <cell r="AL421">
            <v>0.05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Y421" t="str">
            <v/>
          </cell>
          <cell r="AZ421">
            <v>1.77</v>
          </cell>
          <cell r="BA421" t="str">
            <v>D2002181</v>
          </cell>
          <cell r="BB421" t="str">
            <v>CONFORM</v>
          </cell>
          <cell r="BC421" t="str">
            <v>CONFORM</v>
          </cell>
          <cell r="BD421" t="str">
            <v>CONFORM</v>
          </cell>
          <cell r="BE421" t="str">
            <v>CONFORM</v>
          </cell>
          <cell r="BF421" t="str">
            <v>CONFORM</v>
          </cell>
        </row>
        <row r="422">
          <cell r="A422">
            <v>43901</v>
          </cell>
          <cell r="B422" t="str">
            <v>D2003062-1</v>
          </cell>
          <cell r="C422" t="str">
            <v>020/20</v>
          </cell>
          <cell r="D422">
            <v>2</v>
          </cell>
          <cell r="E422">
            <v>43873</v>
          </cell>
          <cell r="F422" t="str">
            <v>DC</v>
          </cell>
          <cell r="G422" t="str">
            <v>Late</v>
          </cell>
          <cell r="H422" t="str">
            <v>PL#119</v>
          </cell>
          <cell r="I422">
            <v>43878</v>
          </cell>
          <cell r="J422" t="str">
            <v>ADTI</v>
          </cell>
          <cell r="K422" t="str">
            <v>D2003062</v>
          </cell>
          <cell r="L422">
            <v>1</v>
          </cell>
          <cell r="M422" t="str">
            <v>A2002040</v>
          </cell>
          <cell r="N422" t="str">
            <v>N86650</v>
          </cell>
          <cell r="O422" t="str">
            <v xml:space="preserve">3.7035 Titanium Gr.2 </v>
          </cell>
          <cell r="P422" t="str">
            <v>TI2</v>
          </cell>
          <cell r="Q422">
            <v>3.177</v>
          </cell>
          <cell r="R422">
            <v>3.177</v>
          </cell>
          <cell r="S422">
            <v>2.7E-2</v>
          </cell>
          <cell r="T422">
            <v>2.7E-2</v>
          </cell>
          <cell r="V422">
            <v>2.7E-2</v>
          </cell>
          <cell r="X422">
            <v>840</v>
          </cell>
          <cell r="Y422">
            <v>2</v>
          </cell>
          <cell r="Z422">
            <v>132.20018885741266</v>
          </cell>
          <cell r="AA422" t="str">
            <v>3.177X0.027-TI2</v>
          </cell>
          <cell r="AB422" t="str">
            <v>WATB008070070C900065</v>
          </cell>
          <cell r="AC422" t="str">
            <v>D2003062</v>
          </cell>
          <cell r="AD422" t="str">
            <v>N86650</v>
          </cell>
          <cell r="AE422">
            <v>0</v>
          </cell>
          <cell r="AL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T422">
            <v>253</v>
          </cell>
          <cell r="AU422">
            <v>0</v>
          </cell>
          <cell r="AV422">
            <v>411</v>
          </cell>
          <cell r="AW422">
            <v>32</v>
          </cell>
          <cell r="AY422" t="str">
            <v/>
          </cell>
          <cell r="AZ422">
            <v>7.1195000000000004</v>
          </cell>
          <cell r="BA422" t="str">
            <v>D2003062</v>
          </cell>
          <cell r="BB422" t="str">
            <v>CONFORM</v>
          </cell>
          <cell r="BC422" t="str">
            <v>CONFORM</v>
          </cell>
          <cell r="BD422" t="str">
            <v>CONFORM</v>
          </cell>
          <cell r="BE422" t="str">
            <v>CONFORM</v>
          </cell>
          <cell r="BF422" t="str">
            <v>CONFORM</v>
          </cell>
        </row>
        <row r="423">
          <cell r="A423">
            <v>43901</v>
          </cell>
          <cell r="B423" t="str">
            <v>D2003063-1</v>
          </cell>
          <cell r="C423" t="str">
            <v>020/20</v>
          </cell>
          <cell r="D423">
            <v>5</v>
          </cell>
          <cell r="E423">
            <v>43873</v>
          </cell>
          <cell r="F423" t="str">
            <v>DC</v>
          </cell>
          <cell r="G423" t="str">
            <v>Late</v>
          </cell>
          <cell r="H423" t="str">
            <v>PL#119</v>
          </cell>
          <cell r="I423">
            <v>43878</v>
          </cell>
          <cell r="J423" t="str">
            <v>ADTI</v>
          </cell>
          <cell r="K423" t="str">
            <v>D2003063</v>
          </cell>
          <cell r="L423">
            <v>1</v>
          </cell>
          <cell r="M423" t="str">
            <v>A2002065</v>
          </cell>
          <cell r="N423">
            <v>927123</v>
          </cell>
          <cell r="O423" t="str">
            <v xml:space="preserve">1.4401/1.4404 TP316/316L </v>
          </cell>
          <cell r="P423" t="str">
            <v>316L</v>
          </cell>
          <cell r="Q423">
            <v>2.2639999999999998</v>
          </cell>
          <cell r="R423">
            <v>2.2639999999999998</v>
          </cell>
          <cell r="S423">
            <v>6.7000000000000004E-2</v>
          </cell>
          <cell r="T423">
            <v>6.7000000000000004E-2</v>
          </cell>
          <cell r="V423">
            <v>6.7000000000000004E-2</v>
          </cell>
          <cell r="X423">
            <v>5282</v>
          </cell>
          <cell r="Y423">
            <v>5</v>
          </cell>
          <cell r="Z423">
            <v>466.6077738515902</v>
          </cell>
          <cell r="AA423" t="str">
            <v>2.264X0.067-316L</v>
          </cell>
          <cell r="AB423" t="str">
            <v>WAAF005750170B300073</v>
          </cell>
          <cell r="AC423" t="str">
            <v>D2003063</v>
          </cell>
          <cell r="AD423">
            <v>927123</v>
          </cell>
          <cell r="AE423">
            <v>2.4E-2</v>
          </cell>
          <cell r="AF423">
            <v>1.27</v>
          </cell>
          <cell r="AG423">
            <v>3.6999999999999998E-2</v>
          </cell>
          <cell r="AH423">
            <v>1E-3</v>
          </cell>
          <cell r="AI423">
            <v>0.47</v>
          </cell>
          <cell r="AJ423">
            <v>16.600000000000001</v>
          </cell>
          <cell r="AK423">
            <v>10.1</v>
          </cell>
          <cell r="AL423">
            <v>0.04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T423">
            <v>322</v>
          </cell>
          <cell r="AU423">
            <v>332</v>
          </cell>
          <cell r="AV423">
            <v>639</v>
          </cell>
          <cell r="AW423">
            <v>48</v>
          </cell>
          <cell r="AX423">
            <v>156</v>
          </cell>
          <cell r="AY423">
            <v>156</v>
          </cell>
          <cell r="AZ423">
            <v>1.5548</v>
          </cell>
          <cell r="BA423" t="str">
            <v>D2003063</v>
          </cell>
          <cell r="BB423" t="str">
            <v>CONFORM</v>
          </cell>
          <cell r="BC423" t="str">
            <v>CONFORM</v>
          </cell>
          <cell r="BD423" t="str">
            <v>CONFORM</v>
          </cell>
          <cell r="BE423" t="str">
            <v>CONFORM</v>
          </cell>
          <cell r="BF423" t="str">
            <v>CONFORM</v>
          </cell>
        </row>
        <row r="424">
          <cell r="A424">
            <v>43901</v>
          </cell>
          <cell r="B424" t="str">
            <v>D2003064-1</v>
          </cell>
          <cell r="C424" t="str">
            <v>020/20</v>
          </cell>
          <cell r="D424">
            <v>5</v>
          </cell>
          <cell r="E424">
            <v>43873</v>
          </cell>
          <cell r="F424" t="str">
            <v>DC</v>
          </cell>
          <cell r="G424" t="str">
            <v>Late</v>
          </cell>
          <cell r="H424" t="str">
            <v>PL#119</v>
          </cell>
          <cell r="I424">
            <v>43878</v>
          </cell>
          <cell r="J424" t="str">
            <v>ADTI</v>
          </cell>
          <cell r="K424" t="str">
            <v>D2003064</v>
          </cell>
          <cell r="L424">
            <v>1</v>
          </cell>
          <cell r="M424" t="str">
            <v>A2002066</v>
          </cell>
          <cell r="N424">
            <v>21802955</v>
          </cell>
          <cell r="O424" t="str">
            <v xml:space="preserve">1.4401/1.4404 TP316/316L </v>
          </cell>
          <cell r="P424" t="str">
            <v>316L</v>
          </cell>
          <cell r="Q424">
            <v>2.2639999999999998</v>
          </cell>
          <cell r="R424">
            <v>2.2639999999999998</v>
          </cell>
          <cell r="S424">
            <v>6.7000000000000004E-2</v>
          </cell>
          <cell r="T424">
            <v>6.7000000000000004E-2</v>
          </cell>
          <cell r="V424">
            <v>6.7000000000000004E-2</v>
          </cell>
          <cell r="X424">
            <v>1486</v>
          </cell>
          <cell r="Y424">
            <v>3</v>
          </cell>
          <cell r="Z424">
            <v>218.78680800942286</v>
          </cell>
          <cell r="AA424" t="str">
            <v>2.264X0.067-316L</v>
          </cell>
          <cell r="AB424" t="str">
            <v>WAAF005750170B300073</v>
          </cell>
          <cell r="AC424" t="str">
            <v>D2003064</v>
          </cell>
          <cell r="AD424">
            <v>21802955</v>
          </cell>
          <cell r="AE424">
            <v>2.9000000000000001E-2</v>
          </cell>
          <cell r="AF424">
            <v>1.78</v>
          </cell>
          <cell r="AG424">
            <v>3.3000000000000002E-2</v>
          </cell>
          <cell r="AH424">
            <v>2E-3</v>
          </cell>
          <cell r="AI424">
            <v>0.32</v>
          </cell>
          <cell r="AJ424">
            <v>16.7</v>
          </cell>
          <cell r="AK424">
            <v>10.1</v>
          </cell>
          <cell r="AL424">
            <v>0.05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T424">
            <v>311</v>
          </cell>
          <cell r="AU424">
            <v>343</v>
          </cell>
          <cell r="AV424">
            <v>607</v>
          </cell>
          <cell r="AW424">
            <v>52</v>
          </cell>
          <cell r="AX424">
            <v>82</v>
          </cell>
          <cell r="AY424">
            <v>156</v>
          </cell>
          <cell r="AZ424">
            <v>1.5548</v>
          </cell>
          <cell r="BA424" t="str">
            <v>D2003064</v>
          </cell>
          <cell r="BB424" t="str">
            <v>CONFORM</v>
          </cell>
          <cell r="BC424" t="str">
            <v>CONFORM</v>
          </cell>
          <cell r="BD424" t="str">
            <v>CONFORM</v>
          </cell>
          <cell r="BE424" t="str">
            <v>CONFORM</v>
          </cell>
          <cell r="BF424" t="str">
            <v>CONFORM</v>
          </cell>
        </row>
        <row r="425">
          <cell r="A425">
            <v>43901</v>
          </cell>
          <cell r="B425" t="str">
            <v>D2003065-1</v>
          </cell>
          <cell r="C425" t="str">
            <v>020/20</v>
          </cell>
          <cell r="D425">
            <v>10</v>
          </cell>
          <cell r="E425">
            <v>43873</v>
          </cell>
          <cell r="F425" t="str">
            <v>DC</v>
          </cell>
          <cell r="G425" t="str">
            <v>Late</v>
          </cell>
          <cell r="H425" t="str">
            <v>PL#119</v>
          </cell>
          <cell r="I425">
            <v>43878</v>
          </cell>
          <cell r="J425" t="str">
            <v>ADTI</v>
          </cell>
          <cell r="K425" t="str">
            <v>D2003065</v>
          </cell>
          <cell r="L425">
            <v>1</v>
          </cell>
          <cell r="M425" t="str">
            <v>A2002070</v>
          </cell>
          <cell r="N425" t="str">
            <v>W2ZH</v>
          </cell>
          <cell r="O425" t="str">
            <v xml:space="preserve">1.4306 TP304L </v>
          </cell>
          <cell r="P425" t="str">
            <v>304L</v>
          </cell>
          <cell r="Q425">
            <v>3.1139999999999999</v>
          </cell>
          <cell r="R425">
            <v>3.1139999999999999</v>
          </cell>
          <cell r="S425">
            <v>4.7E-2</v>
          </cell>
          <cell r="T425">
            <v>4.7E-2</v>
          </cell>
          <cell r="V425">
            <v>4.7E-2</v>
          </cell>
          <cell r="X425">
            <v>6486</v>
          </cell>
          <cell r="Y425">
            <v>5</v>
          </cell>
          <cell r="Z425">
            <v>416.57032755298656</v>
          </cell>
          <cell r="AA425" t="str">
            <v>3.114X0.047-304L</v>
          </cell>
          <cell r="AB425" t="str">
            <v>WAAC007910120B300030</v>
          </cell>
          <cell r="AC425" t="str">
            <v>D2003065</v>
          </cell>
          <cell r="AD425" t="str">
            <v>W2ZH</v>
          </cell>
          <cell r="AE425">
            <v>1.7999999999999999E-2</v>
          </cell>
          <cell r="AF425">
            <v>1.76</v>
          </cell>
          <cell r="AG425">
            <v>3.3000000000000002E-2</v>
          </cell>
          <cell r="AH425">
            <v>2E-3</v>
          </cell>
          <cell r="AI425">
            <v>0.36</v>
          </cell>
          <cell r="AJ425">
            <v>18.100000000000001</v>
          </cell>
          <cell r="AK425">
            <v>9.1</v>
          </cell>
          <cell r="AL425">
            <v>7.0000000000000007E-2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T425">
            <v>303</v>
          </cell>
          <cell r="AU425">
            <v>345</v>
          </cell>
          <cell r="AV425">
            <v>644</v>
          </cell>
          <cell r="AW425">
            <v>62</v>
          </cell>
          <cell r="AX425">
            <v>83</v>
          </cell>
          <cell r="AY425">
            <v>159</v>
          </cell>
          <cell r="AZ425">
            <v>1.1216999999999999</v>
          </cell>
          <cell r="BA425" t="str">
            <v>D2003065</v>
          </cell>
          <cell r="BB425" t="str">
            <v>CONFORM</v>
          </cell>
          <cell r="BC425" t="str">
            <v>CONFORM</v>
          </cell>
          <cell r="BD425" t="str">
            <v>CONFORM</v>
          </cell>
          <cell r="BE425" t="str">
            <v>CONFORM</v>
          </cell>
          <cell r="BF425" t="str">
            <v>CONFORM</v>
          </cell>
        </row>
        <row r="426">
          <cell r="A426">
            <v>43901</v>
          </cell>
          <cell r="B426" t="str">
            <v>D2003066-1</v>
          </cell>
          <cell r="C426" t="str">
            <v>020/20</v>
          </cell>
          <cell r="D426">
            <v>1</v>
          </cell>
          <cell r="E426">
            <v>43873</v>
          </cell>
          <cell r="F426" t="str">
            <v>DC</v>
          </cell>
          <cell r="G426" t="str">
            <v>Late</v>
          </cell>
          <cell r="H426" t="str">
            <v>PL#119</v>
          </cell>
          <cell r="I426">
            <v>43878</v>
          </cell>
          <cell r="J426" t="str">
            <v>ADTI</v>
          </cell>
          <cell r="K426" t="str">
            <v>D2003066</v>
          </cell>
          <cell r="L426">
            <v>1</v>
          </cell>
          <cell r="M426" t="str">
            <v>A2002060</v>
          </cell>
          <cell r="N426" t="str">
            <v>A1400222</v>
          </cell>
          <cell r="O426" t="str">
            <v xml:space="preserve">1.4401/1.4404 TP316/316L </v>
          </cell>
          <cell r="P426" t="str">
            <v>316L</v>
          </cell>
          <cell r="Q426">
            <v>1.177</v>
          </cell>
          <cell r="R426">
            <v>1.177</v>
          </cell>
          <cell r="S426">
            <v>2.7E-2</v>
          </cell>
          <cell r="T426">
            <v>2.7E-2</v>
          </cell>
          <cell r="V426">
            <v>2.7E-2</v>
          </cell>
          <cell r="X426">
            <v>1008</v>
          </cell>
          <cell r="Y426">
            <v>6</v>
          </cell>
          <cell r="Z426">
            <v>142.7357689039932</v>
          </cell>
          <cell r="AA426" t="str">
            <v>1.177X0.027-316L</v>
          </cell>
          <cell r="AB426" t="str">
            <v>WAAF002990070B300074</v>
          </cell>
          <cell r="AC426" t="str">
            <v>D2003066</v>
          </cell>
          <cell r="AD426" t="str">
            <v>A1400222</v>
          </cell>
          <cell r="AE426">
            <v>1.7000000000000001E-2</v>
          </cell>
          <cell r="AF426">
            <v>1.18</v>
          </cell>
          <cell r="AG426">
            <v>2.9000000000000001E-2</v>
          </cell>
          <cell r="AH426">
            <v>1E-3</v>
          </cell>
          <cell r="AI426">
            <v>0.48</v>
          </cell>
          <cell r="AJ426">
            <v>16.7</v>
          </cell>
          <cell r="AK426">
            <v>10.1</v>
          </cell>
          <cell r="AL426">
            <v>0.04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T426">
            <v>296</v>
          </cell>
          <cell r="AU426">
            <v>327</v>
          </cell>
          <cell r="AV426">
            <v>619</v>
          </cell>
          <cell r="AW426">
            <v>54</v>
          </cell>
          <cell r="AX426">
            <v>80</v>
          </cell>
          <cell r="AY426">
            <v>150</v>
          </cell>
          <cell r="AZ426">
            <v>1.4787999999999999</v>
          </cell>
          <cell r="BA426" t="str">
            <v>D2003066</v>
          </cell>
          <cell r="BB426" t="str">
            <v>CONFORM</v>
          </cell>
          <cell r="BC426" t="str">
            <v>CONFORM</v>
          </cell>
          <cell r="BD426" t="str">
            <v>CONFORM</v>
          </cell>
          <cell r="BE426" t="str">
            <v>CONFORM</v>
          </cell>
          <cell r="BF426" t="str">
            <v>CONFORM</v>
          </cell>
        </row>
        <row r="427">
          <cell r="A427">
            <v>43901</v>
          </cell>
          <cell r="B427" t="str">
            <v>D2003067-1</v>
          </cell>
          <cell r="C427" t="str">
            <v>020/20</v>
          </cell>
          <cell r="D427">
            <v>3</v>
          </cell>
          <cell r="E427">
            <v>43873</v>
          </cell>
          <cell r="F427" t="str">
            <v>DC</v>
          </cell>
          <cell r="G427" t="str">
            <v>Late</v>
          </cell>
          <cell r="H427" t="str">
            <v>PL#119</v>
          </cell>
          <cell r="I427">
            <v>43878</v>
          </cell>
          <cell r="J427" t="str">
            <v>ADTI</v>
          </cell>
          <cell r="K427" t="str">
            <v>D2003067</v>
          </cell>
          <cell r="L427">
            <v>1</v>
          </cell>
          <cell r="M427" t="str">
            <v>A2002061</v>
          </cell>
          <cell r="N427">
            <v>510009</v>
          </cell>
          <cell r="O427" t="str">
            <v xml:space="preserve">1.4401/1.4404 TP316/316L </v>
          </cell>
          <cell r="P427" t="str">
            <v>316L</v>
          </cell>
          <cell r="Q427">
            <v>1.177</v>
          </cell>
          <cell r="R427">
            <v>1.177</v>
          </cell>
          <cell r="S427">
            <v>2.7E-2</v>
          </cell>
          <cell r="T427">
            <v>2.7E-2</v>
          </cell>
          <cell r="V427">
            <v>2.7E-2</v>
          </cell>
          <cell r="X427">
            <v>613</v>
          </cell>
          <cell r="Y427">
            <v>4</v>
          </cell>
          <cell r="Z427">
            <v>130.2039082412914</v>
          </cell>
          <cell r="AA427" t="str">
            <v>1.177X0.027-316L</v>
          </cell>
          <cell r="AB427" t="str">
            <v>WAAF002990070B300074</v>
          </cell>
          <cell r="AC427" t="str">
            <v>D2003067</v>
          </cell>
          <cell r="AD427">
            <v>510009</v>
          </cell>
          <cell r="AE427">
            <v>2.1000000000000001E-2</v>
          </cell>
          <cell r="AF427">
            <v>1.31</v>
          </cell>
          <cell r="AG427">
            <v>3.1E-2</v>
          </cell>
          <cell r="AH427">
            <v>2E-3</v>
          </cell>
          <cell r="AI427">
            <v>0.42</v>
          </cell>
          <cell r="AJ427">
            <v>16.5</v>
          </cell>
          <cell r="AK427">
            <v>10.1</v>
          </cell>
          <cell r="AL427">
            <v>0.05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T427">
            <v>286</v>
          </cell>
          <cell r="AU427">
            <v>321</v>
          </cell>
          <cell r="AV427">
            <v>625</v>
          </cell>
          <cell r="AW427">
            <v>50</v>
          </cell>
          <cell r="AX427">
            <v>72</v>
          </cell>
          <cell r="AY427">
            <v>130</v>
          </cell>
          <cell r="AZ427">
            <v>1.4787999999999999</v>
          </cell>
          <cell r="BA427" t="str">
            <v>D2003067</v>
          </cell>
          <cell r="BB427" t="str">
            <v>CONFORM</v>
          </cell>
          <cell r="BC427" t="str">
            <v>CONFORM</v>
          </cell>
          <cell r="BD427" t="str">
            <v>CONFORM</v>
          </cell>
          <cell r="BE427" t="str">
            <v>CONFORM</v>
          </cell>
          <cell r="BF427" t="str">
            <v>CONFORM</v>
          </cell>
        </row>
        <row r="428">
          <cell r="A428">
            <v>43901</v>
          </cell>
          <cell r="B428" t="str">
            <v>D2003068-1</v>
          </cell>
          <cell r="C428" t="str">
            <v>020/20</v>
          </cell>
          <cell r="D428">
            <v>4</v>
          </cell>
          <cell r="E428">
            <v>43873</v>
          </cell>
          <cell r="F428" t="str">
            <v>DC</v>
          </cell>
          <cell r="G428" t="str">
            <v>Late</v>
          </cell>
          <cell r="H428" t="str">
            <v>PL#119</v>
          </cell>
          <cell r="I428">
            <v>43878</v>
          </cell>
          <cell r="J428" t="str">
            <v>ADTI</v>
          </cell>
          <cell r="K428" t="str">
            <v>D2003068</v>
          </cell>
          <cell r="L428">
            <v>1</v>
          </cell>
          <cell r="M428" t="str">
            <v>A2002062</v>
          </cell>
          <cell r="N428" t="str">
            <v>LZ139380</v>
          </cell>
          <cell r="O428" t="str">
            <v xml:space="preserve">1.4401/1.4404 TP316/316L </v>
          </cell>
          <cell r="P428" t="str">
            <v>316L</v>
          </cell>
          <cell r="Q428">
            <v>1.177</v>
          </cell>
          <cell r="R428">
            <v>1.177</v>
          </cell>
          <cell r="S428">
            <v>2.7E-2</v>
          </cell>
          <cell r="T428">
            <v>2.7E-2</v>
          </cell>
          <cell r="V428">
            <v>2.7E-2</v>
          </cell>
          <cell r="X428">
            <v>1728</v>
          </cell>
          <cell r="Y428">
            <v>6</v>
          </cell>
          <cell r="Z428">
            <v>244.68988954970263</v>
          </cell>
          <cell r="AA428" t="str">
            <v>1.177X0.027-316L</v>
          </cell>
          <cell r="AB428" t="str">
            <v>WAAF002990070B300074</v>
          </cell>
          <cell r="AC428" t="str">
            <v>D2003068</v>
          </cell>
          <cell r="AD428" t="str">
            <v>LZ139380</v>
          </cell>
          <cell r="AE428">
            <v>1.6E-2</v>
          </cell>
          <cell r="AF428">
            <v>1.1499999999999999</v>
          </cell>
          <cell r="AG428">
            <v>2.9000000000000001E-2</v>
          </cell>
          <cell r="AH428">
            <v>2E-3</v>
          </cell>
          <cell r="AI428">
            <v>0.48</v>
          </cell>
          <cell r="AJ428">
            <v>16.8</v>
          </cell>
          <cell r="AK428">
            <v>10.199999999999999</v>
          </cell>
          <cell r="AL428">
            <v>0.02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T428">
            <v>303</v>
          </cell>
          <cell r="AU428">
            <v>335</v>
          </cell>
          <cell r="AV428">
            <v>611</v>
          </cell>
          <cell r="AW428">
            <v>49</v>
          </cell>
          <cell r="AX428">
            <v>79</v>
          </cell>
          <cell r="AY428">
            <v>147</v>
          </cell>
          <cell r="AZ428">
            <v>1.4787999999999999</v>
          </cell>
          <cell r="BA428" t="str">
            <v>D2003068</v>
          </cell>
          <cell r="BB428" t="str">
            <v>CONFORM</v>
          </cell>
          <cell r="BC428" t="str">
            <v>CONFORM</v>
          </cell>
          <cell r="BD428" t="str">
            <v>CONFORM</v>
          </cell>
          <cell r="BE428" t="str">
            <v>CONFORM</v>
          </cell>
          <cell r="BF428" t="str">
            <v>CONFORM</v>
          </cell>
        </row>
        <row r="429">
          <cell r="A429">
            <v>43901</v>
          </cell>
          <cell r="B429" t="str">
            <v>D2003069-1</v>
          </cell>
          <cell r="C429" t="str">
            <v>020/20</v>
          </cell>
          <cell r="D429">
            <v>6</v>
          </cell>
          <cell r="E429">
            <v>43873</v>
          </cell>
          <cell r="F429" t="str">
            <v>DC</v>
          </cell>
          <cell r="G429" t="str">
            <v>Late</v>
          </cell>
          <cell r="H429" t="str">
            <v>PL#119</v>
          </cell>
          <cell r="I429">
            <v>43878</v>
          </cell>
          <cell r="J429" t="str">
            <v>ADTI</v>
          </cell>
          <cell r="K429" t="str">
            <v>D2003069</v>
          </cell>
          <cell r="L429">
            <v>1</v>
          </cell>
          <cell r="M429" t="str">
            <v>A2002063</v>
          </cell>
          <cell r="N429">
            <v>512652</v>
          </cell>
          <cell r="O429" t="str">
            <v xml:space="preserve">1.4401/1.4404 TP316/316L </v>
          </cell>
          <cell r="P429" t="str">
            <v>316L</v>
          </cell>
          <cell r="Q429">
            <v>1.177</v>
          </cell>
          <cell r="R429">
            <v>1.177</v>
          </cell>
          <cell r="S429">
            <v>2.7E-2</v>
          </cell>
          <cell r="T429">
            <v>2.7E-2</v>
          </cell>
          <cell r="V429">
            <v>2.7E-2</v>
          </cell>
          <cell r="X429">
            <v>981</v>
          </cell>
          <cell r="Y429">
            <v>1</v>
          </cell>
          <cell r="Z429">
            <v>833.47493627867459</v>
          </cell>
          <cell r="AA429" t="str">
            <v>1.177X0.027-316L</v>
          </cell>
          <cell r="AB429" t="str">
            <v>WAAF002990070B300074</v>
          </cell>
          <cell r="AC429" t="str">
            <v>D2003069</v>
          </cell>
          <cell r="AD429">
            <v>512652</v>
          </cell>
          <cell r="AE429">
            <v>2.8000000000000001E-2</v>
          </cell>
          <cell r="AF429">
            <v>1.51</v>
          </cell>
          <cell r="AG429">
            <v>2.9000000000000001E-2</v>
          </cell>
          <cell r="AH429">
            <v>1E-3</v>
          </cell>
          <cell r="AI429">
            <v>0.4</v>
          </cell>
          <cell r="AJ429">
            <v>16.7</v>
          </cell>
          <cell r="AK429">
            <v>10</v>
          </cell>
          <cell r="AL429">
            <v>3.1E-2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T429">
            <v>304</v>
          </cell>
          <cell r="AU429">
            <v>0</v>
          </cell>
          <cell r="AV429">
            <v>638</v>
          </cell>
          <cell r="AW429">
            <v>54</v>
          </cell>
          <cell r="AX429">
            <v>82</v>
          </cell>
          <cell r="AY429">
            <v>156</v>
          </cell>
          <cell r="AZ429">
            <v>1.4787999999999999</v>
          </cell>
          <cell r="BA429" t="str">
            <v>D2003069</v>
          </cell>
          <cell r="BB429" t="str">
            <v>CONFORM</v>
          </cell>
          <cell r="BC429" t="str">
            <v>CONFORM</v>
          </cell>
          <cell r="BD429" t="str">
            <v>CONFORM</v>
          </cell>
          <cell r="BE429" t="str">
            <v>CONFORM</v>
          </cell>
          <cell r="BF429" t="str">
            <v>CONFORM</v>
          </cell>
        </row>
        <row r="430">
          <cell r="A430">
            <v>43901</v>
          </cell>
          <cell r="B430" t="str">
            <v>D2003070-1</v>
          </cell>
          <cell r="C430" t="str">
            <v>020/20</v>
          </cell>
          <cell r="D430">
            <v>7</v>
          </cell>
          <cell r="E430">
            <v>43873</v>
          </cell>
          <cell r="F430" t="str">
            <v>DC</v>
          </cell>
          <cell r="G430" t="str">
            <v>Late</v>
          </cell>
          <cell r="H430" t="str">
            <v>PL#119</v>
          </cell>
          <cell r="I430">
            <v>43878</v>
          </cell>
          <cell r="J430" t="str">
            <v>ADTI</v>
          </cell>
          <cell r="K430" t="str">
            <v>D2003070</v>
          </cell>
          <cell r="L430">
            <v>1</v>
          </cell>
          <cell r="M430" t="str">
            <v>A2002064</v>
          </cell>
          <cell r="N430" t="str">
            <v>0534835</v>
          </cell>
          <cell r="O430" t="str">
            <v xml:space="preserve">1.4401/1.4404 TP316/316L </v>
          </cell>
          <cell r="P430" t="str">
            <v>316L</v>
          </cell>
          <cell r="Q430">
            <v>1.52</v>
          </cell>
          <cell r="R430">
            <v>1.52</v>
          </cell>
          <cell r="S430">
            <v>4.7E-2</v>
          </cell>
          <cell r="T430">
            <v>4.7E-2</v>
          </cell>
          <cell r="V430">
            <v>4.7E-2</v>
          </cell>
          <cell r="X430">
            <v>2723</v>
          </cell>
          <cell r="Y430">
            <v>4</v>
          </cell>
          <cell r="Z430">
            <v>447.86184210526318</v>
          </cell>
          <cell r="AA430" t="str">
            <v>1.52X0.047-316L</v>
          </cell>
          <cell r="AB430" t="str">
            <v>WAAF003860120B300071</v>
          </cell>
          <cell r="AC430" t="str">
            <v>D2003070</v>
          </cell>
          <cell r="AD430" t="str">
            <v>0534835</v>
          </cell>
          <cell r="AE430">
            <v>1.4999999999999999E-2</v>
          </cell>
          <cell r="AF430">
            <v>1.0900000000000001</v>
          </cell>
          <cell r="AG430">
            <v>2.9000000000000001E-2</v>
          </cell>
          <cell r="AH430">
            <v>1E-3</v>
          </cell>
          <cell r="AI430">
            <v>0.3</v>
          </cell>
          <cell r="AJ430">
            <v>16.7</v>
          </cell>
          <cell r="AK430">
            <v>10.1</v>
          </cell>
          <cell r="AL430">
            <v>0.05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T430">
            <v>271</v>
          </cell>
          <cell r="AU430">
            <v>299</v>
          </cell>
          <cell r="AV430">
            <v>571</v>
          </cell>
          <cell r="AW430">
            <v>62</v>
          </cell>
          <cell r="AX430">
            <v>79</v>
          </cell>
          <cell r="AY430">
            <v>147</v>
          </cell>
          <cell r="AZ430">
            <v>1.5805</v>
          </cell>
          <cell r="BA430" t="str">
            <v>D2003070</v>
          </cell>
          <cell r="BB430" t="str">
            <v>CONFORM</v>
          </cell>
          <cell r="BC430" t="str">
            <v>CONFORM</v>
          </cell>
          <cell r="BD430" t="str">
            <v>CONFORM</v>
          </cell>
          <cell r="BE430" t="str">
            <v>CONFORM</v>
          </cell>
          <cell r="BF430" t="str">
            <v>CONFORM</v>
          </cell>
        </row>
        <row r="431">
          <cell r="A431">
            <v>43901</v>
          </cell>
          <cell r="B431" t="str">
            <v>D2003071-1</v>
          </cell>
          <cell r="C431" t="str">
            <v>020/20</v>
          </cell>
          <cell r="D431">
            <v>11</v>
          </cell>
          <cell r="E431">
            <v>43873</v>
          </cell>
          <cell r="F431" t="str">
            <v>DC</v>
          </cell>
          <cell r="G431" t="str">
            <v>Late</v>
          </cell>
          <cell r="H431" t="str">
            <v>PL#119</v>
          </cell>
          <cell r="I431">
            <v>43878</v>
          </cell>
          <cell r="J431" t="str">
            <v>ADTI</v>
          </cell>
          <cell r="K431" t="str">
            <v>D2003071</v>
          </cell>
          <cell r="L431">
            <v>1</v>
          </cell>
          <cell r="M431" t="str">
            <v>A2002059</v>
          </cell>
          <cell r="N431" t="str">
            <v>W2ZH</v>
          </cell>
          <cell r="O431" t="str">
            <v xml:space="preserve">1.4306 TP304L </v>
          </cell>
          <cell r="P431" t="str">
            <v>304L</v>
          </cell>
          <cell r="Q431">
            <v>4.6849999999999996</v>
          </cell>
          <cell r="R431">
            <v>4.6849999999999996</v>
          </cell>
          <cell r="S431">
            <v>4.7E-2</v>
          </cell>
          <cell r="T431">
            <v>4.7E-2</v>
          </cell>
          <cell r="V431">
            <v>4.7E-2</v>
          </cell>
          <cell r="X431">
            <v>5842</v>
          </cell>
          <cell r="Y431">
            <v>3</v>
          </cell>
          <cell r="Z431">
            <v>415.65279260049806</v>
          </cell>
          <cell r="AA431" t="str">
            <v>4.685X0.047-304L</v>
          </cell>
          <cell r="AB431" t="str">
            <v>WAAC011900120B300062</v>
          </cell>
          <cell r="AC431" t="str">
            <v>D2003071</v>
          </cell>
          <cell r="AD431" t="str">
            <v>W2ZH</v>
          </cell>
          <cell r="AE431">
            <v>1.7999999999999999E-2</v>
          </cell>
          <cell r="AF431">
            <v>1.76</v>
          </cell>
          <cell r="AG431">
            <v>3.3000000000000002E-2</v>
          </cell>
          <cell r="AH431">
            <v>2E-3</v>
          </cell>
          <cell r="AI431">
            <v>0.36</v>
          </cell>
          <cell r="AJ431">
            <v>18.100000000000001</v>
          </cell>
          <cell r="AK431">
            <v>8.1</v>
          </cell>
          <cell r="AL431">
            <v>7.0000000000000007E-2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T431">
            <v>303</v>
          </cell>
          <cell r="AU431">
            <v>345</v>
          </cell>
          <cell r="AV431">
            <v>644</v>
          </cell>
          <cell r="AW431">
            <v>62</v>
          </cell>
          <cell r="AX431">
            <v>82</v>
          </cell>
          <cell r="AY431">
            <v>156</v>
          </cell>
          <cell r="AZ431">
            <v>1.1216999999999999</v>
          </cell>
          <cell r="BA431" t="str">
            <v>D2003071</v>
          </cell>
          <cell r="BB431" t="str">
            <v>CONFORM</v>
          </cell>
          <cell r="BC431" t="str">
            <v>CONFORM</v>
          </cell>
          <cell r="BD431" t="str">
            <v>CONFORM</v>
          </cell>
          <cell r="BE431" t="str">
            <v>CONFORM</v>
          </cell>
          <cell r="BF431" t="str">
            <v>CONFORM</v>
          </cell>
        </row>
        <row r="432">
          <cell r="A432">
            <v>43901</v>
          </cell>
          <cell r="B432" t="str">
            <v>D2003071-2</v>
          </cell>
          <cell r="C432" t="str">
            <v>020/20</v>
          </cell>
          <cell r="D432">
            <v>11</v>
          </cell>
          <cell r="E432">
            <v>43873</v>
          </cell>
          <cell r="F432" t="str">
            <v>DC</v>
          </cell>
          <cell r="G432" t="str">
            <v>Late</v>
          </cell>
          <cell r="H432" t="str">
            <v>PL#119</v>
          </cell>
          <cell r="I432">
            <v>43878</v>
          </cell>
          <cell r="J432" t="str">
            <v>ADTI</v>
          </cell>
          <cell r="K432" t="str">
            <v>D2003071</v>
          </cell>
          <cell r="L432">
            <v>2</v>
          </cell>
          <cell r="M432" t="str">
            <v>A2002059</v>
          </cell>
          <cell r="N432" t="str">
            <v>W2ZH</v>
          </cell>
          <cell r="O432" t="str">
            <v xml:space="preserve">1.4306 TP304L </v>
          </cell>
          <cell r="P432" t="str">
            <v>304L</v>
          </cell>
          <cell r="Q432">
            <v>4.6849999999999996</v>
          </cell>
          <cell r="R432">
            <v>4.6849999999999996</v>
          </cell>
          <cell r="S432">
            <v>4.7E-2</v>
          </cell>
          <cell r="T432">
            <v>4.7E-2</v>
          </cell>
          <cell r="V432">
            <v>4.7E-2</v>
          </cell>
          <cell r="X432">
            <v>3898</v>
          </cell>
          <cell r="Y432">
            <v>2</v>
          </cell>
          <cell r="Z432">
            <v>416.00853788687306</v>
          </cell>
          <cell r="AA432" t="str">
            <v>4.685X0.047-304L</v>
          </cell>
          <cell r="AB432" t="str">
            <v>WAAC011900120B300062</v>
          </cell>
          <cell r="AC432" t="str">
            <v>D2003071</v>
          </cell>
          <cell r="AD432" t="str">
            <v>W2ZH</v>
          </cell>
          <cell r="AE432">
            <v>1.7999999999999999E-2</v>
          </cell>
          <cell r="AF432">
            <v>1.76</v>
          </cell>
          <cell r="AG432">
            <v>3.3000000000000002E-2</v>
          </cell>
          <cell r="AH432">
            <v>2E-3</v>
          </cell>
          <cell r="AI432">
            <v>0.36</v>
          </cell>
          <cell r="AJ432">
            <v>18.100000000000001</v>
          </cell>
          <cell r="AK432">
            <v>8.1</v>
          </cell>
          <cell r="AL432">
            <v>7.0000000000000007E-2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T432">
            <v>303</v>
          </cell>
          <cell r="AU432">
            <v>345</v>
          </cell>
          <cell r="AV432">
            <v>644</v>
          </cell>
          <cell r="AW432">
            <v>62</v>
          </cell>
          <cell r="AX432">
            <v>82</v>
          </cell>
          <cell r="AY432">
            <v>156</v>
          </cell>
          <cell r="AZ432">
            <v>1.1216999999999999</v>
          </cell>
          <cell r="BA432" t="str">
            <v>D2003071</v>
          </cell>
          <cell r="BB432" t="str">
            <v>CONFORM</v>
          </cell>
          <cell r="BC432" t="str">
            <v>CONFORM</v>
          </cell>
          <cell r="BD432" t="str">
            <v>CONFORM</v>
          </cell>
          <cell r="BE432" t="str">
            <v>CONFORM</v>
          </cell>
          <cell r="BF432" t="str">
            <v>CONFORM</v>
          </cell>
        </row>
        <row r="433">
          <cell r="A433">
            <v>43901</v>
          </cell>
          <cell r="B433" t="str">
            <v>D2003071-3</v>
          </cell>
          <cell r="C433" t="str">
            <v>020/20</v>
          </cell>
          <cell r="D433">
            <v>11</v>
          </cell>
          <cell r="E433">
            <v>43873</v>
          </cell>
          <cell r="F433" t="str">
            <v>DC</v>
          </cell>
          <cell r="G433" t="str">
            <v>Late</v>
          </cell>
          <cell r="H433" t="str">
            <v>PL#119</v>
          </cell>
          <cell r="I433">
            <v>43878</v>
          </cell>
          <cell r="J433" t="str">
            <v>ADTI</v>
          </cell>
          <cell r="K433" t="str">
            <v>D2003071</v>
          </cell>
          <cell r="L433">
            <v>3</v>
          </cell>
          <cell r="M433" t="str">
            <v>A2002059</v>
          </cell>
          <cell r="N433" t="str">
            <v>W2ZH</v>
          </cell>
          <cell r="O433" t="str">
            <v xml:space="preserve">1.4306 TP304L </v>
          </cell>
          <cell r="P433" t="str">
            <v>304L</v>
          </cell>
          <cell r="Q433">
            <v>4.6849999999999996</v>
          </cell>
          <cell r="R433">
            <v>4.6849999999999996</v>
          </cell>
          <cell r="S433">
            <v>4.7E-2</v>
          </cell>
          <cell r="T433">
            <v>4.7E-2</v>
          </cell>
          <cell r="V433">
            <v>4.7E-2</v>
          </cell>
          <cell r="X433">
            <v>5860</v>
          </cell>
          <cell r="Y433">
            <v>3</v>
          </cell>
          <cell r="Z433">
            <v>416.93347563144789</v>
          </cell>
          <cell r="AA433" t="str">
            <v>4.685X0.047-304L</v>
          </cell>
          <cell r="AB433" t="str">
            <v>WAAC011900120B300062</v>
          </cell>
          <cell r="AC433" t="str">
            <v>D2003071</v>
          </cell>
          <cell r="AD433" t="str">
            <v>W2ZH</v>
          </cell>
          <cell r="AE433">
            <v>1.7999999999999999E-2</v>
          </cell>
          <cell r="AF433">
            <v>1.76</v>
          </cell>
          <cell r="AG433">
            <v>3.3000000000000002E-2</v>
          </cell>
          <cell r="AH433">
            <v>2E-3</v>
          </cell>
          <cell r="AI433">
            <v>0.36</v>
          </cell>
          <cell r="AJ433">
            <v>18.100000000000001</v>
          </cell>
          <cell r="AK433">
            <v>8.1</v>
          </cell>
          <cell r="AL433">
            <v>7.0000000000000007E-2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T433">
            <v>303</v>
          </cell>
          <cell r="AU433">
            <v>345</v>
          </cell>
          <cell r="AV433">
            <v>644</v>
          </cell>
          <cell r="AW433">
            <v>62</v>
          </cell>
          <cell r="AX433">
            <v>82</v>
          </cell>
          <cell r="AY433">
            <v>156</v>
          </cell>
          <cell r="AZ433">
            <v>1.1216999999999999</v>
          </cell>
          <cell r="BA433" t="str">
            <v>D2003071</v>
          </cell>
          <cell r="BB433" t="str">
            <v>CONFORM</v>
          </cell>
          <cell r="BC433" t="str">
            <v>CONFORM</v>
          </cell>
          <cell r="BD433" t="str">
            <v>CONFORM</v>
          </cell>
          <cell r="BE433" t="str">
            <v>CONFORM</v>
          </cell>
          <cell r="BF433" t="str">
            <v>CONFORM</v>
          </cell>
        </row>
        <row r="434">
          <cell r="A434">
            <v>43901</v>
          </cell>
          <cell r="B434" t="str">
            <v>D2003072-1</v>
          </cell>
          <cell r="C434" t="str">
            <v>020/20</v>
          </cell>
          <cell r="D434">
            <v>9</v>
          </cell>
          <cell r="E434">
            <v>43873</v>
          </cell>
          <cell r="F434" t="str">
            <v>DC</v>
          </cell>
          <cell r="G434" t="str">
            <v>Late</v>
          </cell>
          <cell r="H434" t="str">
            <v>PL#119</v>
          </cell>
          <cell r="I434">
            <v>43878</v>
          </cell>
          <cell r="J434" t="str">
            <v>ADTI</v>
          </cell>
          <cell r="K434" t="str">
            <v>D2003072</v>
          </cell>
          <cell r="L434">
            <v>1</v>
          </cell>
          <cell r="M434" t="str">
            <v>A2002073</v>
          </cell>
          <cell r="N434" t="str">
            <v>VS0452</v>
          </cell>
          <cell r="O434" t="str">
            <v xml:space="preserve">3.7035 Titanium Gr.2 </v>
          </cell>
          <cell r="P434" t="str">
            <v>TI2</v>
          </cell>
          <cell r="Q434">
            <v>3.1019999999999999</v>
          </cell>
          <cell r="R434">
            <v>3.1019999999999999</v>
          </cell>
          <cell r="S434">
            <v>5.0999999999999997E-2</v>
          </cell>
          <cell r="T434">
            <v>5.0999999999999997E-2</v>
          </cell>
          <cell r="V434">
            <v>5.0999999999999997E-2</v>
          </cell>
          <cell r="X434">
            <v>5336</v>
          </cell>
          <cell r="Y434">
            <v>7</v>
          </cell>
          <cell r="Z434">
            <v>245.74007552730959</v>
          </cell>
          <cell r="AA434" t="str">
            <v>3.102X0.051-TI2</v>
          </cell>
          <cell r="AB434" t="str">
            <v>WATB007880130C900068</v>
          </cell>
          <cell r="AC434" t="str">
            <v>D2003072</v>
          </cell>
          <cell r="AD434" t="str">
            <v>VS0452</v>
          </cell>
          <cell r="AE434">
            <v>4.0000000000000001E-3</v>
          </cell>
          <cell r="AL434">
            <v>0.01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T434">
            <v>316</v>
          </cell>
          <cell r="AU434">
            <v>0</v>
          </cell>
          <cell r="AV434">
            <v>452</v>
          </cell>
          <cell r="AW434">
            <v>30</v>
          </cell>
          <cell r="AY434" t="str">
            <v/>
          </cell>
          <cell r="AZ434">
            <v>7.5963000000000003</v>
          </cell>
          <cell r="BA434" t="str">
            <v>D2003072</v>
          </cell>
          <cell r="BB434" t="str">
            <v>CONFORM</v>
          </cell>
          <cell r="BC434" t="str">
            <v>CONFORM</v>
          </cell>
          <cell r="BD434" t="str">
            <v>CONFORM</v>
          </cell>
          <cell r="BE434" t="str">
            <v>CONFORM</v>
          </cell>
          <cell r="BF434" t="str">
            <v>CONFORM</v>
          </cell>
        </row>
        <row r="435">
          <cell r="A435">
            <v>43910</v>
          </cell>
          <cell r="B435" t="str">
            <v>D2003108-1</v>
          </cell>
          <cell r="C435" t="str">
            <v>024/20</v>
          </cell>
          <cell r="D435">
            <v>1</v>
          </cell>
          <cell r="E435">
            <v>43910</v>
          </cell>
          <cell r="F435" t="str">
            <v>DC</v>
          </cell>
          <cell r="G435" t="str">
            <v>On Time</v>
          </cell>
          <cell r="H435" t="str">
            <v>143604-1</v>
          </cell>
          <cell r="I435">
            <v>43909</v>
          </cell>
          <cell r="J435" t="str">
            <v>UPM</v>
          </cell>
          <cell r="K435" t="str">
            <v>D2003108</v>
          </cell>
          <cell r="L435">
            <v>1</v>
          </cell>
          <cell r="M435" t="str">
            <v>AAC93300</v>
          </cell>
          <cell r="N435">
            <v>860134</v>
          </cell>
          <cell r="O435" t="str">
            <v xml:space="preserve">1.4401/1.4404 TP316/316L </v>
          </cell>
          <cell r="P435" t="str">
            <v>316L</v>
          </cell>
          <cell r="Q435">
            <v>3.1019999999999999</v>
          </cell>
          <cell r="R435">
            <v>3.1</v>
          </cell>
          <cell r="S435">
            <v>0.05</v>
          </cell>
          <cell r="T435">
            <v>4.9000000000000002E-2</v>
          </cell>
          <cell r="V435">
            <v>4.9000000000000002E-2</v>
          </cell>
          <cell r="X435">
            <v>3217</v>
          </cell>
          <cell r="Y435">
            <v>3</v>
          </cell>
          <cell r="Z435">
            <v>345.69095207393076</v>
          </cell>
          <cell r="AA435" t="str">
            <v>3.102X0.05-316L</v>
          </cell>
          <cell r="AB435" t="str">
            <v>WAAF007880127B300079</v>
          </cell>
          <cell r="AC435" t="str">
            <v>D2003108</v>
          </cell>
          <cell r="AD435">
            <v>860134</v>
          </cell>
          <cell r="AE435">
            <v>0.02</v>
          </cell>
          <cell r="AF435">
            <v>1.6</v>
          </cell>
          <cell r="AG435">
            <v>3.1E-2</v>
          </cell>
          <cell r="AH435">
            <v>0</v>
          </cell>
          <cell r="AI435">
            <v>0.32</v>
          </cell>
          <cell r="AJ435">
            <v>16.7</v>
          </cell>
          <cell r="AK435">
            <v>10.199999999999999</v>
          </cell>
          <cell r="AL435">
            <v>0.05</v>
          </cell>
          <cell r="AM435">
            <v>2.13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T435">
            <v>284</v>
          </cell>
          <cell r="AU435">
            <v>0</v>
          </cell>
          <cell r="AV435">
            <v>620</v>
          </cell>
          <cell r="AW435">
            <v>69</v>
          </cell>
          <cell r="AX435">
            <v>73</v>
          </cell>
          <cell r="AY435">
            <v>132</v>
          </cell>
          <cell r="AZ435">
            <v>1.95</v>
          </cell>
          <cell r="BA435" t="str">
            <v>D2003108</v>
          </cell>
          <cell r="BB435" t="str">
            <v>CONFORM</v>
          </cell>
          <cell r="BC435" t="str">
            <v>CONFORM</v>
          </cell>
          <cell r="BD435" t="str">
            <v>CONFORM</v>
          </cell>
          <cell r="BE435" t="str">
            <v>CONFORM</v>
          </cell>
          <cell r="BF435" t="str">
            <v>CONFORM</v>
          </cell>
        </row>
        <row r="436">
          <cell r="A436">
            <v>43910</v>
          </cell>
          <cell r="B436" t="str">
            <v>D2003108-2</v>
          </cell>
          <cell r="C436" t="str">
            <v>024/20</v>
          </cell>
          <cell r="D436">
            <v>1</v>
          </cell>
          <cell r="E436">
            <v>43910</v>
          </cell>
          <cell r="F436" t="str">
            <v>DC</v>
          </cell>
          <cell r="G436" t="str">
            <v>On Time</v>
          </cell>
          <cell r="H436" t="str">
            <v>143604-1</v>
          </cell>
          <cell r="I436">
            <v>43909</v>
          </cell>
          <cell r="J436" t="str">
            <v>UPM</v>
          </cell>
          <cell r="K436" t="str">
            <v>D2003108</v>
          </cell>
          <cell r="L436">
            <v>2</v>
          </cell>
          <cell r="M436" t="str">
            <v>AAC93300</v>
          </cell>
          <cell r="N436">
            <v>860134</v>
          </cell>
          <cell r="O436" t="str">
            <v xml:space="preserve">1.4401/1.4404 TP316/316L </v>
          </cell>
          <cell r="P436" t="str">
            <v>316L</v>
          </cell>
          <cell r="Q436">
            <v>3.1019999999999999</v>
          </cell>
          <cell r="R436">
            <v>3.11</v>
          </cell>
          <cell r="S436">
            <v>0.05</v>
          </cell>
          <cell r="T436">
            <v>4.9000000000000002E-2</v>
          </cell>
          <cell r="V436">
            <v>4.9000000000000002E-2</v>
          </cell>
          <cell r="X436">
            <v>3219</v>
          </cell>
          <cell r="Y436">
            <v>3</v>
          </cell>
          <cell r="Z436">
            <v>345.90586718246294</v>
          </cell>
          <cell r="AA436" t="str">
            <v>3.102X0.05-316L</v>
          </cell>
          <cell r="AB436" t="str">
            <v>WAAF007880127B300079</v>
          </cell>
          <cell r="AC436" t="str">
            <v>D2003108</v>
          </cell>
          <cell r="AD436">
            <v>860134</v>
          </cell>
          <cell r="AE436">
            <v>0.02</v>
          </cell>
          <cell r="AF436">
            <v>1.6</v>
          </cell>
          <cell r="AG436">
            <v>3.1E-2</v>
          </cell>
          <cell r="AH436">
            <v>0</v>
          </cell>
          <cell r="AI436">
            <v>0.32</v>
          </cell>
          <cell r="AJ436">
            <v>16.7</v>
          </cell>
          <cell r="AK436">
            <v>10.199999999999999</v>
          </cell>
          <cell r="AL436">
            <v>0.05</v>
          </cell>
          <cell r="AM436">
            <v>2.13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T436">
            <v>284</v>
          </cell>
          <cell r="AU436">
            <v>0</v>
          </cell>
          <cell r="AV436">
            <v>620</v>
          </cell>
          <cell r="AW436">
            <v>69</v>
          </cell>
          <cell r="AX436">
            <v>73</v>
          </cell>
          <cell r="AY436">
            <v>132</v>
          </cell>
          <cell r="AZ436">
            <v>1.95</v>
          </cell>
          <cell r="BA436" t="str">
            <v>D2003108</v>
          </cell>
          <cell r="BB436" t="str">
            <v>CONFORM</v>
          </cell>
          <cell r="BC436" t="str">
            <v>CONFORM</v>
          </cell>
          <cell r="BD436" t="str">
            <v>CONFORM</v>
          </cell>
          <cell r="BE436" t="str">
            <v>CONFORM</v>
          </cell>
          <cell r="BF436" t="str">
            <v>CONFORM</v>
          </cell>
        </row>
        <row r="437">
          <cell r="A437">
            <v>43910</v>
          </cell>
          <cell r="B437" t="str">
            <v>D2003108-3</v>
          </cell>
          <cell r="C437" t="str">
            <v>024/20</v>
          </cell>
          <cell r="D437">
            <v>1</v>
          </cell>
          <cell r="E437">
            <v>43910</v>
          </cell>
          <cell r="F437" t="str">
            <v>DC</v>
          </cell>
          <cell r="G437" t="str">
            <v>On Time</v>
          </cell>
          <cell r="H437" t="str">
            <v>143604-1</v>
          </cell>
          <cell r="I437">
            <v>43909</v>
          </cell>
          <cell r="J437" t="str">
            <v>UPM</v>
          </cell>
          <cell r="K437" t="str">
            <v>D2003108</v>
          </cell>
          <cell r="L437">
            <v>3</v>
          </cell>
          <cell r="M437" t="str">
            <v>AAC93300</v>
          </cell>
          <cell r="N437">
            <v>860134</v>
          </cell>
          <cell r="O437" t="str">
            <v xml:space="preserve">1.4401/1.4404 TP316/316L </v>
          </cell>
          <cell r="P437" t="str">
            <v>316L</v>
          </cell>
          <cell r="Q437">
            <v>3.1019999999999999</v>
          </cell>
          <cell r="R437">
            <v>3.1</v>
          </cell>
          <cell r="S437">
            <v>0.05</v>
          </cell>
          <cell r="T437">
            <v>4.9000000000000002E-2</v>
          </cell>
          <cell r="V437">
            <v>4.9000000000000002E-2</v>
          </cell>
          <cell r="X437">
            <v>2133</v>
          </cell>
          <cell r="Y437">
            <v>2</v>
          </cell>
          <cell r="Z437">
            <v>343.81044487427465</v>
          </cell>
          <cell r="AA437" t="str">
            <v>3.102X0.05-316L</v>
          </cell>
          <cell r="AB437" t="str">
            <v>WAAF007880127B300079</v>
          </cell>
          <cell r="AC437" t="str">
            <v>D2003108</v>
          </cell>
          <cell r="AD437">
            <v>860134</v>
          </cell>
          <cell r="AE437">
            <v>0.02</v>
          </cell>
          <cell r="AF437">
            <v>1.6</v>
          </cell>
          <cell r="AG437">
            <v>3.1E-2</v>
          </cell>
          <cell r="AH437">
            <v>0</v>
          </cell>
          <cell r="AI437">
            <v>0.32</v>
          </cell>
          <cell r="AJ437">
            <v>16.7</v>
          </cell>
          <cell r="AK437">
            <v>10.199999999999999</v>
          </cell>
          <cell r="AL437">
            <v>0.05</v>
          </cell>
          <cell r="AM437">
            <v>2.13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T437">
            <v>284</v>
          </cell>
          <cell r="AU437">
            <v>0</v>
          </cell>
          <cell r="AV437">
            <v>620</v>
          </cell>
          <cell r="AW437">
            <v>69</v>
          </cell>
          <cell r="AX437">
            <v>73</v>
          </cell>
          <cell r="AY437">
            <v>132</v>
          </cell>
          <cell r="AZ437">
            <v>1.95</v>
          </cell>
          <cell r="BA437" t="str">
            <v>D2003108</v>
          </cell>
          <cell r="BB437" t="str">
            <v>CONFORM</v>
          </cell>
          <cell r="BC437" t="str">
            <v>CONFORM</v>
          </cell>
          <cell r="BD437" t="str">
            <v>CONFORM</v>
          </cell>
          <cell r="BE437" t="str">
            <v>CONFORM</v>
          </cell>
          <cell r="BF437" t="str">
            <v>CONFORM</v>
          </cell>
        </row>
        <row r="438">
          <cell r="A438">
            <v>43910</v>
          </cell>
          <cell r="B438" t="str">
            <v>D2003108-4</v>
          </cell>
          <cell r="C438" t="str">
            <v>024/20</v>
          </cell>
          <cell r="D438">
            <v>1</v>
          </cell>
          <cell r="E438">
            <v>43910</v>
          </cell>
          <cell r="F438" t="str">
            <v>DC</v>
          </cell>
          <cell r="G438" t="str">
            <v>On Time</v>
          </cell>
          <cell r="H438" t="str">
            <v>143604-1</v>
          </cell>
          <cell r="I438">
            <v>43909</v>
          </cell>
          <cell r="J438" t="str">
            <v>UPM</v>
          </cell>
          <cell r="K438" t="str">
            <v>D2003108</v>
          </cell>
          <cell r="L438">
            <v>4</v>
          </cell>
          <cell r="M438" t="str">
            <v>AAC93300</v>
          </cell>
          <cell r="N438">
            <v>860134</v>
          </cell>
          <cell r="O438" t="str">
            <v xml:space="preserve">1.4401/1.4404 TP316/316L </v>
          </cell>
          <cell r="P438" t="str">
            <v>316L</v>
          </cell>
          <cell r="Q438">
            <v>3.1019999999999999</v>
          </cell>
          <cell r="R438">
            <v>3.09</v>
          </cell>
          <cell r="S438">
            <v>0.05</v>
          </cell>
          <cell r="T438">
            <v>4.9000000000000002E-2</v>
          </cell>
          <cell r="V438">
            <v>4.9000000000000002E-2</v>
          </cell>
          <cell r="X438">
            <v>2139</v>
          </cell>
          <cell r="Y438">
            <v>2</v>
          </cell>
          <cell r="Z438">
            <v>344.77756286266924</v>
          </cell>
          <cell r="AA438" t="str">
            <v>3.102X0.05-316L</v>
          </cell>
          <cell r="AB438" t="str">
            <v>WAAF007880127B300079</v>
          </cell>
          <cell r="AC438" t="str">
            <v>D2003108</v>
          </cell>
          <cell r="AD438">
            <v>860134</v>
          </cell>
          <cell r="AE438">
            <v>0.02</v>
          </cell>
          <cell r="AF438">
            <v>1.6</v>
          </cell>
          <cell r="AG438">
            <v>3.1E-2</v>
          </cell>
          <cell r="AH438">
            <v>0</v>
          </cell>
          <cell r="AI438">
            <v>0.32</v>
          </cell>
          <cell r="AJ438">
            <v>16.7</v>
          </cell>
          <cell r="AK438">
            <v>10.199999999999999</v>
          </cell>
          <cell r="AL438">
            <v>0.05</v>
          </cell>
          <cell r="AM438">
            <v>2.13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T438">
            <v>284</v>
          </cell>
          <cell r="AU438">
            <v>0</v>
          </cell>
          <cell r="AV438">
            <v>620</v>
          </cell>
          <cell r="AW438">
            <v>69</v>
          </cell>
          <cell r="AX438">
            <v>73</v>
          </cell>
          <cell r="AY438">
            <v>132</v>
          </cell>
          <cell r="AZ438">
            <v>1.95</v>
          </cell>
          <cell r="BA438" t="str">
            <v>D2003108</v>
          </cell>
          <cell r="BB438" t="str">
            <v>CONFORM</v>
          </cell>
          <cell r="BC438" t="str">
            <v>CONFORM</v>
          </cell>
          <cell r="BD438" t="str">
            <v>CONFORM</v>
          </cell>
          <cell r="BE438" t="str">
            <v>CONFORM</v>
          </cell>
          <cell r="BF438" t="str">
            <v>CONFORM</v>
          </cell>
        </row>
        <row r="439">
          <cell r="A439">
            <v>43910</v>
          </cell>
          <cell r="B439" t="str">
            <v>D2003109-1</v>
          </cell>
          <cell r="C439" t="str">
            <v>029/20</v>
          </cell>
          <cell r="D439">
            <v>2</v>
          </cell>
          <cell r="E439">
            <v>43910</v>
          </cell>
          <cell r="F439" t="str">
            <v>DC</v>
          </cell>
          <cell r="G439" t="str">
            <v>On Time</v>
          </cell>
          <cell r="H439">
            <v>2407404522</v>
          </cell>
          <cell r="I439">
            <v>43910</v>
          </cell>
          <cell r="J439" t="str">
            <v>TKM</v>
          </cell>
          <cell r="K439" t="str">
            <v>D2003109</v>
          </cell>
          <cell r="L439">
            <v>1</v>
          </cell>
          <cell r="M439" t="str">
            <v>04E75TBA</v>
          </cell>
          <cell r="N439" t="str">
            <v>E75T</v>
          </cell>
          <cell r="O439" t="str">
            <v xml:space="preserve">1.4401/1.4404 TP316/316L </v>
          </cell>
          <cell r="P439" t="str">
            <v>316L</v>
          </cell>
          <cell r="Q439">
            <v>3.1139999999999999</v>
          </cell>
          <cell r="R439">
            <v>3.1139999999999999</v>
          </cell>
          <cell r="S439">
            <v>4.8000000000000001E-2</v>
          </cell>
          <cell r="T439">
            <v>4.8000000000000001E-2</v>
          </cell>
          <cell r="V439">
            <v>4.8000000000000001E-2</v>
          </cell>
          <cell r="X439">
            <v>5978</v>
          </cell>
          <cell r="Y439">
            <v>4</v>
          </cell>
          <cell r="Z439">
            <v>479.92935131663455</v>
          </cell>
          <cell r="AA439" t="str">
            <v>3.114X0.048-316L</v>
          </cell>
          <cell r="AB439" t="e">
            <v>#N/A</v>
          </cell>
          <cell r="AC439" t="str">
            <v>D2003109</v>
          </cell>
          <cell r="AD439" t="str">
            <v>E75T</v>
          </cell>
          <cell r="AE439">
            <v>2.1000000000000001E-2</v>
          </cell>
          <cell r="AF439">
            <v>1.17</v>
          </cell>
          <cell r="AG439">
            <v>3.4000000000000002E-2</v>
          </cell>
          <cell r="AH439">
            <v>6.0000000000000001E-3</v>
          </cell>
          <cell r="AI439">
            <v>0.24</v>
          </cell>
          <cell r="AJ439">
            <v>16.5</v>
          </cell>
          <cell r="AK439">
            <v>10.3</v>
          </cell>
          <cell r="AL439">
            <v>0.05</v>
          </cell>
          <cell r="AM439">
            <v>2.0099999999999998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T439">
            <v>315</v>
          </cell>
          <cell r="AU439">
            <v>0</v>
          </cell>
          <cell r="AV439">
            <v>656</v>
          </cell>
          <cell r="AW439">
            <v>54</v>
          </cell>
          <cell r="AX439">
            <v>80</v>
          </cell>
          <cell r="AY439">
            <v>150</v>
          </cell>
          <cell r="AZ439">
            <v>2.09</v>
          </cell>
          <cell r="BA439" t="str">
            <v>D2003109</v>
          </cell>
          <cell r="BB439" t="str">
            <v>CONFORM</v>
          </cell>
          <cell r="BC439" t="str">
            <v>CONFORM</v>
          </cell>
          <cell r="BD439" t="str">
            <v>CONFORM</v>
          </cell>
          <cell r="BE439" t="str">
            <v>CONFORM</v>
          </cell>
          <cell r="BF439" t="str">
            <v>CONFORM</v>
          </cell>
        </row>
        <row r="440">
          <cell r="A440">
            <v>43910</v>
          </cell>
          <cell r="B440" t="str">
            <v>D2003109-2</v>
          </cell>
          <cell r="C440" t="str">
            <v>029/20</v>
          </cell>
          <cell r="D440">
            <v>2</v>
          </cell>
          <cell r="E440">
            <v>43910</v>
          </cell>
          <cell r="F440" t="str">
            <v>DC</v>
          </cell>
          <cell r="G440" t="str">
            <v>On Time</v>
          </cell>
          <cell r="H440">
            <v>2407404522</v>
          </cell>
          <cell r="I440">
            <v>43910</v>
          </cell>
          <cell r="J440" t="str">
            <v>TKM</v>
          </cell>
          <cell r="K440" t="str">
            <v>D2003109</v>
          </cell>
          <cell r="L440">
            <v>2</v>
          </cell>
          <cell r="M440" t="str">
            <v>04E75TBA</v>
          </cell>
          <cell r="N440" t="str">
            <v>E75T</v>
          </cell>
          <cell r="O440" t="str">
            <v xml:space="preserve">1.4401/1.4404 TP316/316L </v>
          </cell>
          <cell r="P440" t="str">
            <v>316L</v>
          </cell>
          <cell r="Q440">
            <v>3.1139999999999999</v>
          </cell>
          <cell r="R440">
            <v>3.1120000000000001</v>
          </cell>
          <cell r="S440">
            <v>4.8000000000000001E-2</v>
          </cell>
          <cell r="T440">
            <v>4.8000000000000001E-2</v>
          </cell>
          <cell r="V440">
            <v>4.8000000000000001E-2</v>
          </cell>
          <cell r="X440">
            <v>4486</v>
          </cell>
          <cell r="Y440">
            <v>3</v>
          </cell>
          <cell r="Z440">
            <v>480.19695996574609</v>
          </cell>
          <cell r="AA440" t="str">
            <v>3.114X0.048-316L</v>
          </cell>
          <cell r="AB440" t="e">
            <v>#N/A</v>
          </cell>
          <cell r="AC440" t="str">
            <v>D2003109</v>
          </cell>
          <cell r="AD440" t="str">
            <v>E75T</v>
          </cell>
          <cell r="AE440">
            <v>2.1000000000000001E-2</v>
          </cell>
          <cell r="AF440">
            <v>1.17</v>
          </cell>
          <cell r="AG440">
            <v>3.4000000000000002E-2</v>
          </cell>
          <cell r="AH440">
            <v>6.0000000000000001E-3</v>
          </cell>
          <cell r="AI440">
            <v>0.24</v>
          </cell>
          <cell r="AJ440">
            <v>16.5</v>
          </cell>
          <cell r="AK440">
            <v>10.3</v>
          </cell>
          <cell r="AL440">
            <v>0.05</v>
          </cell>
          <cell r="AM440">
            <v>2.0099999999999998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T440">
            <v>315</v>
          </cell>
          <cell r="AU440">
            <v>0</v>
          </cell>
          <cell r="AV440">
            <v>656</v>
          </cell>
          <cell r="AW440">
            <v>54</v>
          </cell>
          <cell r="AX440">
            <v>80</v>
          </cell>
          <cell r="AY440">
            <v>150</v>
          </cell>
          <cell r="AZ440">
            <v>2.09</v>
          </cell>
          <cell r="BA440" t="str">
            <v>D2003109</v>
          </cell>
          <cell r="BB440" t="str">
            <v>CONFORM</v>
          </cell>
          <cell r="BC440" t="str">
            <v>CONFORM</v>
          </cell>
          <cell r="BD440" t="str">
            <v>CONFORM</v>
          </cell>
          <cell r="BE440" t="str">
            <v>CONFORM</v>
          </cell>
          <cell r="BF440" t="str">
            <v>CONFORM</v>
          </cell>
        </row>
        <row r="441">
          <cell r="A441">
            <v>43910</v>
          </cell>
          <cell r="B441" t="str">
            <v>D2003110-1</v>
          </cell>
          <cell r="C441" t="str">
            <v>029/20</v>
          </cell>
          <cell r="D441">
            <v>1</v>
          </cell>
          <cell r="E441">
            <v>43910</v>
          </cell>
          <cell r="F441" t="str">
            <v>DC</v>
          </cell>
          <cell r="G441" t="str">
            <v>On Time</v>
          </cell>
          <cell r="H441">
            <v>2407404513</v>
          </cell>
          <cell r="I441">
            <v>43910</v>
          </cell>
          <cell r="J441" t="str">
            <v>TKM</v>
          </cell>
          <cell r="K441" t="str">
            <v>D2003110</v>
          </cell>
          <cell r="L441">
            <v>1</v>
          </cell>
          <cell r="M441" t="str">
            <v>04E75TBA</v>
          </cell>
          <cell r="N441" t="str">
            <v>E75T</v>
          </cell>
          <cell r="O441" t="str">
            <v xml:space="preserve">1.4401/1.4404 TP316/316L </v>
          </cell>
          <cell r="P441" t="str">
            <v>316L</v>
          </cell>
          <cell r="Q441">
            <v>1.913</v>
          </cell>
          <cell r="R441">
            <v>1.9119999999999999</v>
          </cell>
          <cell r="S441">
            <v>4.8000000000000001E-2</v>
          </cell>
          <cell r="T441">
            <v>4.8000000000000001E-2</v>
          </cell>
          <cell r="V441">
            <v>4.8000000000000001E-2</v>
          </cell>
          <cell r="X441">
            <v>3670</v>
          </cell>
          <cell r="Y441">
            <v>4</v>
          </cell>
          <cell r="Z441">
            <v>479.61317302665969</v>
          </cell>
          <cell r="AA441" t="str">
            <v>1.913X0.048-316L</v>
          </cell>
          <cell r="AB441" t="e">
            <v>#N/A</v>
          </cell>
          <cell r="AC441" t="str">
            <v>D2003110</v>
          </cell>
          <cell r="AD441" t="str">
            <v>E75T</v>
          </cell>
          <cell r="AE441">
            <v>2.1000000000000001E-2</v>
          </cell>
          <cell r="AF441">
            <v>1.17</v>
          </cell>
          <cell r="AG441">
            <v>3.4000000000000002E-2</v>
          </cell>
          <cell r="AH441">
            <v>6.0000000000000001E-3</v>
          </cell>
          <cell r="AI441">
            <v>0.24</v>
          </cell>
          <cell r="AJ441">
            <v>16.5</v>
          </cell>
          <cell r="AK441">
            <v>10.3</v>
          </cell>
          <cell r="AL441">
            <v>0.05</v>
          </cell>
          <cell r="AM441">
            <v>2.0099999999999998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T441">
            <v>315</v>
          </cell>
          <cell r="AU441">
            <v>0</v>
          </cell>
          <cell r="AV441">
            <v>656</v>
          </cell>
          <cell r="AW441">
            <v>54</v>
          </cell>
          <cell r="AX441">
            <v>80</v>
          </cell>
          <cell r="AY441">
            <v>150</v>
          </cell>
          <cell r="AZ441">
            <v>2.09</v>
          </cell>
          <cell r="BA441" t="str">
            <v>D2003110</v>
          </cell>
          <cell r="BB441" t="str">
            <v>CONFORM</v>
          </cell>
          <cell r="BC441" t="str">
            <v>CONFORM</v>
          </cell>
          <cell r="BD441" t="str">
            <v>CONFORM</v>
          </cell>
          <cell r="BE441" t="str">
            <v>CONFORM</v>
          </cell>
          <cell r="BF441" t="str">
            <v>CONFORM</v>
          </cell>
        </row>
        <row r="442">
          <cell r="A442">
            <v>43910</v>
          </cell>
          <cell r="B442" t="str">
            <v>D2003110-2</v>
          </cell>
          <cell r="C442" t="str">
            <v>029/20</v>
          </cell>
          <cell r="D442">
            <v>1</v>
          </cell>
          <cell r="E442">
            <v>43910</v>
          </cell>
          <cell r="F442" t="str">
            <v>DC</v>
          </cell>
          <cell r="G442" t="str">
            <v>On Time</v>
          </cell>
          <cell r="H442">
            <v>2407404513</v>
          </cell>
          <cell r="I442">
            <v>43910</v>
          </cell>
          <cell r="J442" t="str">
            <v>TKM</v>
          </cell>
          <cell r="K442" t="str">
            <v>D2003110</v>
          </cell>
          <cell r="L442">
            <v>2</v>
          </cell>
          <cell r="M442" t="str">
            <v>04E75TBA</v>
          </cell>
          <cell r="N442" t="str">
            <v>E75T</v>
          </cell>
          <cell r="O442" t="str">
            <v xml:space="preserve">1.4401/1.4404 TP316/316L </v>
          </cell>
          <cell r="P442" t="str">
            <v>316L</v>
          </cell>
          <cell r="Q442">
            <v>1.913</v>
          </cell>
          <cell r="R442">
            <v>1.913</v>
          </cell>
          <cell r="S442">
            <v>4.8000000000000001E-2</v>
          </cell>
          <cell r="T442">
            <v>4.8000000000000001E-2</v>
          </cell>
          <cell r="V442">
            <v>4.8000000000000001E-2</v>
          </cell>
          <cell r="X442">
            <v>2760</v>
          </cell>
          <cell r="Y442">
            <v>3</v>
          </cell>
          <cell r="Z442">
            <v>480.92002090956612</v>
          </cell>
          <cell r="AA442" t="str">
            <v>1.913X0.048-316L</v>
          </cell>
          <cell r="AB442" t="e">
            <v>#N/A</v>
          </cell>
          <cell r="AC442" t="str">
            <v>D2003110</v>
          </cell>
          <cell r="AD442" t="str">
            <v>E75T</v>
          </cell>
          <cell r="AE442">
            <v>2.1000000000000001E-2</v>
          </cell>
          <cell r="AF442">
            <v>1.17</v>
          </cell>
          <cell r="AG442">
            <v>3.4000000000000002E-2</v>
          </cell>
          <cell r="AH442">
            <v>6.0000000000000001E-3</v>
          </cell>
          <cell r="AI442">
            <v>0.24</v>
          </cell>
          <cell r="AJ442">
            <v>16.5</v>
          </cell>
          <cell r="AK442">
            <v>10.3</v>
          </cell>
          <cell r="AL442">
            <v>0.05</v>
          </cell>
          <cell r="AM442">
            <v>2.0099999999999998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T442">
            <v>315</v>
          </cell>
          <cell r="AU442">
            <v>0</v>
          </cell>
          <cell r="AV442">
            <v>656</v>
          </cell>
          <cell r="AW442">
            <v>54</v>
          </cell>
          <cell r="AX442">
            <v>80</v>
          </cell>
          <cell r="AY442">
            <v>150</v>
          </cell>
          <cell r="AZ442">
            <v>2.09</v>
          </cell>
          <cell r="BA442" t="str">
            <v>D2003110</v>
          </cell>
          <cell r="BB442" t="str">
            <v>CONFORM</v>
          </cell>
          <cell r="BC442" t="str">
            <v>CONFORM</v>
          </cell>
          <cell r="BD442" t="str">
            <v>CONFORM</v>
          </cell>
          <cell r="BE442" t="str">
            <v>CONFORM</v>
          </cell>
          <cell r="BF442" t="str">
            <v>CONFORM</v>
          </cell>
        </row>
        <row r="443">
          <cell r="A443">
            <v>43913</v>
          </cell>
          <cell r="B443" t="str">
            <v>D2003111-1</v>
          </cell>
          <cell r="C443" t="str">
            <v>009/20</v>
          </cell>
          <cell r="D443">
            <v>1</v>
          </cell>
          <cell r="E443">
            <v>43914</v>
          </cell>
          <cell r="F443" t="str">
            <v>DC</v>
          </cell>
          <cell r="G443" t="str">
            <v>On Time</v>
          </cell>
          <cell r="H443" t="str">
            <v>L362286</v>
          </cell>
          <cell r="I443">
            <v>43910</v>
          </cell>
          <cell r="J443" t="str">
            <v>ATI</v>
          </cell>
          <cell r="K443" t="str">
            <v>D2003111</v>
          </cell>
          <cell r="L443">
            <v>1</v>
          </cell>
          <cell r="M443" t="str">
            <v>AAC83360</v>
          </cell>
          <cell r="N443">
            <v>528953</v>
          </cell>
          <cell r="O443" t="str">
            <v xml:space="preserve">2.4858 UNS N08825 </v>
          </cell>
          <cell r="P443" t="str">
            <v>A825</v>
          </cell>
          <cell r="Q443">
            <v>2.2639999999999998</v>
          </cell>
          <cell r="R443">
            <v>2.2629999999999999</v>
          </cell>
          <cell r="S443">
            <v>6.7000000000000004E-2</v>
          </cell>
          <cell r="T443">
            <v>6.6000000000000003E-2</v>
          </cell>
          <cell r="V443">
            <v>6.6000000000000003E-2</v>
          </cell>
          <cell r="X443">
            <v>3456</v>
          </cell>
          <cell r="Y443">
            <v>6</v>
          </cell>
          <cell r="Z443">
            <v>254.41696113074207</v>
          </cell>
          <cell r="AA443" t="str">
            <v>2.264X0.067-A825</v>
          </cell>
          <cell r="AB443" t="str">
            <v>WABF005750170C600061</v>
          </cell>
          <cell r="AC443" t="str">
            <v>D2003111</v>
          </cell>
          <cell r="AD443">
            <v>528953</v>
          </cell>
          <cell r="AE443">
            <v>4.0000000000000001E-3</v>
          </cell>
          <cell r="AF443">
            <v>0.48</v>
          </cell>
          <cell r="AG443">
            <v>1.4E-2</v>
          </cell>
          <cell r="AH443">
            <v>0</v>
          </cell>
          <cell r="AI443">
            <v>0.26</v>
          </cell>
          <cell r="AJ443">
            <v>22.6</v>
          </cell>
          <cell r="AK443">
            <v>39</v>
          </cell>
          <cell r="AL443">
            <v>0</v>
          </cell>
          <cell r="AM443">
            <v>3.26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T443">
            <v>356</v>
          </cell>
          <cell r="AU443">
            <v>0</v>
          </cell>
          <cell r="AV443">
            <v>677</v>
          </cell>
          <cell r="AW443">
            <v>42</v>
          </cell>
          <cell r="AX443">
            <v>84</v>
          </cell>
          <cell r="AY443">
            <v>162</v>
          </cell>
          <cell r="AZ443">
            <v>7.72</v>
          </cell>
          <cell r="BA443" t="str">
            <v>D2003111</v>
          </cell>
          <cell r="BB443" t="str">
            <v>CONFORM</v>
          </cell>
          <cell r="BC443" t="str">
            <v>CONFORM</v>
          </cell>
          <cell r="BD443" t="str">
            <v>CONFORM</v>
          </cell>
          <cell r="BE443" t="str">
            <v>CONFORM</v>
          </cell>
          <cell r="BF443" t="str">
            <v>CONFORM</v>
          </cell>
        </row>
        <row r="444">
          <cell r="A444">
            <v>43913</v>
          </cell>
          <cell r="B444" t="str">
            <v>D2003111-2</v>
          </cell>
          <cell r="C444" t="str">
            <v>009/20</v>
          </cell>
          <cell r="D444">
            <v>1</v>
          </cell>
          <cell r="E444">
            <v>43914</v>
          </cell>
          <cell r="F444" t="str">
            <v>DC</v>
          </cell>
          <cell r="G444" t="str">
            <v>On Time</v>
          </cell>
          <cell r="H444" t="str">
            <v>L362286</v>
          </cell>
          <cell r="I444">
            <v>43910</v>
          </cell>
          <cell r="J444" t="str">
            <v>ATI</v>
          </cell>
          <cell r="K444" t="str">
            <v>D2003111</v>
          </cell>
          <cell r="L444">
            <v>2</v>
          </cell>
          <cell r="M444" t="str">
            <v>AAC83360</v>
          </cell>
          <cell r="N444">
            <v>528953</v>
          </cell>
          <cell r="O444" t="str">
            <v xml:space="preserve">2.4858 UNS N08825 </v>
          </cell>
          <cell r="P444" t="str">
            <v>A825</v>
          </cell>
          <cell r="Q444">
            <v>2.2639999999999998</v>
          </cell>
          <cell r="R444">
            <v>2.2639999999999998</v>
          </cell>
          <cell r="S444">
            <v>6.7000000000000004E-2</v>
          </cell>
          <cell r="T444">
            <v>6.7000000000000004E-2</v>
          </cell>
          <cell r="V444">
            <v>6.7000000000000004E-2</v>
          </cell>
          <cell r="X444">
            <v>3456</v>
          </cell>
          <cell r="Y444">
            <v>6</v>
          </cell>
          <cell r="Z444">
            <v>254.41696113074207</v>
          </cell>
          <cell r="AA444" t="str">
            <v>2.264X0.067-A825</v>
          </cell>
          <cell r="AB444" t="str">
            <v>WABF005750170C600061</v>
          </cell>
          <cell r="AC444" t="str">
            <v>D2003111</v>
          </cell>
          <cell r="AD444">
            <v>528953</v>
          </cell>
          <cell r="AE444">
            <v>4.0000000000000001E-3</v>
          </cell>
          <cell r="AF444">
            <v>0.48</v>
          </cell>
          <cell r="AG444">
            <v>1.4E-2</v>
          </cell>
          <cell r="AH444">
            <v>0</v>
          </cell>
          <cell r="AI444">
            <v>0.26</v>
          </cell>
          <cell r="AJ444">
            <v>22.6</v>
          </cell>
          <cell r="AK444">
            <v>39</v>
          </cell>
          <cell r="AL444">
            <v>0</v>
          </cell>
          <cell r="AM444">
            <v>3.26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T444">
            <v>356</v>
          </cell>
          <cell r="AU444">
            <v>0</v>
          </cell>
          <cell r="AV444">
            <v>677</v>
          </cell>
          <cell r="AW444">
            <v>42</v>
          </cell>
          <cell r="AX444">
            <v>84</v>
          </cell>
          <cell r="AY444">
            <v>162</v>
          </cell>
          <cell r="AZ444">
            <v>7.72</v>
          </cell>
          <cell r="BA444" t="str">
            <v>D2003111</v>
          </cell>
          <cell r="BB444" t="str">
            <v>CONFORM</v>
          </cell>
          <cell r="BC444" t="str">
            <v>CONFORM</v>
          </cell>
          <cell r="BD444" t="str">
            <v>CONFORM</v>
          </cell>
          <cell r="BE444" t="str">
            <v>CONFORM</v>
          </cell>
          <cell r="BF444" t="str">
            <v>CONFORM</v>
          </cell>
        </row>
        <row r="445">
          <cell r="A445">
            <v>43913</v>
          </cell>
          <cell r="B445" t="str">
            <v>D2003111-3</v>
          </cell>
          <cell r="C445" t="str">
            <v>009/20</v>
          </cell>
          <cell r="D445">
            <v>1</v>
          </cell>
          <cell r="E445">
            <v>43914</v>
          </cell>
          <cell r="F445" t="str">
            <v>DC</v>
          </cell>
          <cell r="G445" t="str">
            <v>On Time</v>
          </cell>
          <cell r="H445" t="str">
            <v>L362286</v>
          </cell>
          <cell r="I445">
            <v>43910</v>
          </cell>
          <cell r="J445" t="str">
            <v>ATI</v>
          </cell>
          <cell r="K445" t="str">
            <v>D2003111</v>
          </cell>
          <cell r="L445">
            <v>3</v>
          </cell>
          <cell r="M445" t="str">
            <v>AAC83360</v>
          </cell>
          <cell r="N445">
            <v>528953</v>
          </cell>
          <cell r="O445" t="str">
            <v xml:space="preserve">2.4858 UNS N08825 </v>
          </cell>
          <cell r="P445" t="str">
            <v>A825</v>
          </cell>
          <cell r="Q445">
            <v>2.2639999999999998</v>
          </cell>
          <cell r="R445">
            <v>2.2629999999999999</v>
          </cell>
          <cell r="S445">
            <v>6.7000000000000004E-2</v>
          </cell>
          <cell r="T445">
            <v>6.7000000000000004E-2</v>
          </cell>
          <cell r="V445">
            <v>6.7000000000000004E-2</v>
          </cell>
          <cell r="X445">
            <v>2885</v>
          </cell>
          <cell r="Y445">
            <v>5</v>
          </cell>
          <cell r="Z445">
            <v>254.85865724381628</v>
          </cell>
          <cell r="AA445" t="str">
            <v>2.264X0.067-A825</v>
          </cell>
          <cell r="AB445" t="str">
            <v>WABF005750170C600061</v>
          </cell>
          <cell r="AC445" t="str">
            <v>D2003111</v>
          </cell>
          <cell r="AD445">
            <v>528953</v>
          </cell>
          <cell r="AE445">
            <v>4.0000000000000001E-3</v>
          </cell>
          <cell r="AF445">
            <v>0.48</v>
          </cell>
          <cell r="AG445">
            <v>1.4E-2</v>
          </cell>
          <cell r="AH445">
            <v>0</v>
          </cell>
          <cell r="AI445">
            <v>0.26</v>
          </cell>
          <cell r="AJ445">
            <v>22.6</v>
          </cell>
          <cell r="AK445">
            <v>39</v>
          </cell>
          <cell r="AL445">
            <v>0</v>
          </cell>
          <cell r="AM445">
            <v>3.26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T445">
            <v>356</v>
          </cell>
          <cell r="AU445">
            <v>0</v>
          </cell>
          <cell r="AV445">
            <v>677</v>
          </cell>
          <cell r="AW445">
            <v>42</v>
          </cell>
          <cell r="AX445">
            <v>84</v>
          </cell>
          <cell r="AY445">
            <v>162</v>
          </cell>
          <cell r="AZ445">
            <v>7.72</v>
          </cell>
          <cell r="BA445" t="str">
            <v>D2003111</v>
          </cell>
          <cell r="BB445" t="str">
            <v>CONFORM</v>
          </cell>
          <cell r="BC445" t="str">
            <v>CONFORM</v>
          </cell>
          <cell r="BD445" t="str">
            <v>CONFORM</v>
          </cell>
          <cell r="BE445" t="str">
            <v>CONFORM</v>
          </cell>
          <cell r="BF445" t="str">
            <v>CONFORM</v>
          </cell>
        </row>
        <row r="446">
          <cell r="A446">
            <v>43915</v>
          </cell>
          <cell r="B446" t="str">
            <v>D2003115-1</v>
          </cell>
          <cell r="C446" t="str">
            <v>027/20</v>
          </cell>
          <cell r="D446">
            <v>1</v>
          </cell>
          <cell r="E446">
            <v>43914</v>
          </cell>
          <cell r="F446" t="str">
            <v>DC</v>
          </cell>
          <cell r="G446" t="str">
            <v>On Time</v>
          </cell>
          <cell r="H446">
            <v>911482</v>
          </cell>
          <cell r="I446">
            <v>43914</v>
          </cell>
          <cell r="J446" t="str">
            <v>RYERSON</v>
          </cell>
          <cell r="K446" t="str">
            <v>D2003115</v>
          </cell>
          <cell r="L446">
            <v>1</v>
          </cell>
          <cell r="M446" t="str">
            <v xml:space="preserve">04E75N </v>
          </cell>
          <cell r="N446" t="str">
            <v>E75N</v>
          </cell>
          <cell r="O446" t="str">
            <v xml:space="preserve">1.4401/1.4404 TP316/316L </v>
          </cell>
          <cell r="P446" t="str">
            <v>316L</v>
          </cell>
          <cell r="Q446">
            <v>6.2169999999999996</v>
          </cell>
          <cell r="R446">
            <v>6.2149999999999999</v>
          </cell>
          <cell r="S446">
            <v>6.3E-2</v>
          </cell>
          <cell r="T446">
            <v>5.7000000000000002E-2</v>
          </cell>
          <cell r="V446">
            <v>5.7000000000000002E-2</v>
          </cell>
          <cell r="X446">
            <v>1700</v>
          </cell>
          <cell r="Y446">
            <v>1</v>
          </cell>
          <cell r="Z446">
            <v>273.44378317516487</v>
          </cell>
          <cell r="AA446" t="str">
            <v>6.217X0.063-316L</v>
          </cell>
          <cell r="AB446" t="str">
            <v>WAAF015790160B300059</v>
          </cell>
          <cell r="AC446" t="str">
            <v>D2003115</v>
          </cell>
          <cell r="AD446" t="str">
            <v>E75N</v>
          </cell>
          <cell r="AE446">
            <v>1.4999999999999999E-2</v>
          </cell>
          <cell r="AF446">
            <v>1.21</v>
          </cell>
          <cell r="AG446">
            <v>0.03</v>
          </cell>
          <cell r="AH446">
            <v>3.0000000000000001E-3</v>
          </cell>
          <cell r="AI446">
            <v>0.27</v>
          </cell>
          <cell r="AJ446">
            <v>16.7</v>
          </cell>
          <cell r="AK446">
            <v>10.1</v>
          </cell>
          <cell r="AL446">
            <v>0.05</v>
          </cell>
          <cell r="AM446">
            <v>2.0299999999999998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T446">
            <v>337</v>
          </cell>
          <cell r="AU446">
            <v>0</v>
          </cell>
          <cell r="AV446">
            <v>669</v>
          </cell>
          <cell r="AW446">
            <v>47</v>
          </cell>
          <cell r="AX446">
            <v>84</v>
          </cell>
          <cell r="AY446">
            <v>162</v>
          </cell>
          <cell r="AZ446">
            <v>2.21</v>
          </cell>
          <cell r="BA446" t="str">
            <v>D2003115</v>
          </cell>
          <cell r="BB446" t="str">
            <v>CONFORM</v>
          </cell>
          <cell r="BC446" t="str">
            <v>CONFORM</v>
          </cell>
          <cell r="BD446" t="str">
            <v>CONFORM</v>
          </cell>
          <cell r="BE446" t="str">
            <v>CONFORM</v>
          </cell>
          <cell r="BF446" t="str">
            <v>CONFORM</v>
          </cell>
        </row>
        <row r="447">
          <cell r="A447">
            <v>43915</v>
          </cell>
          <cell r="B447" t="str">
            <v>D2003115-2</v>
          </cell>
          <cell r="C447" t="str">
            <v>027/20</v>
          </cell>
          <cell r="D447">
            <v>1</v>
          </cell>
          <cell r="E447">
            <v>43914</v>
          </cell>
          <cell r="F447" t="str">
            <v>DC</v>
          </cell>
          <cell r="G447" t="str">
            <v>On Time</v>
          </cell>
          <cell r="H447">
            <v>911482</v>
          </cell>
          <cell r="I447">
            <v>43914</v>
          </cell>
          <cell r="J447" t="str">
            <v>RYERSON</v>
          </cell>
          <cell r="K447" t="str">
            <v>D2003115</v>
          </cell>
          <cell r="L447">
            <v>2</v>
          </cell>
          <cell r="M447" t="str">
            <v xml:space="preserve">04E75N </v>
          </cell>
          <cell r="N447" t="str">
            <v>E75N</v>
          </cell>
          <cell r="O447" t="str">
            <v xml:space="preserve">1.4401/1.4404 TP316/316L </v>
          </cell>
          <cell r="P447" t="str">
            <v>316L</v>
          </cell>
          <cell r="Q447">
            <v>6.2169999999999996</v>
          </cell>
          <cell r="R447">
            <v>6.2169999999999996</v>
          </cell>
          <cell r="S447">
            <v>6.3E-2</v>
          </cell>
          <cell r="T447">
            <v>5.7000000000000002E-2</v>
          </cell>
          <cell r="V447">
            <v>5.7000000000000002E-2</v>
          </cell>
          <cell r="X447">
            <v>3410</v>
          </cell>
          <cell r="Y447">
            <v>2</v>
          </cell>
          <cell r="Z447">
            <v>274.24802959626834</v>
          </cell>
          <cell r="AA447" t="str">
            <v>6.217X0.063-316L</v>
          </cell>
          <cell r="AB447" t="str">
            <v>WAAF015790160B300059</v>
          </cell>
          <cell r="AC447" t="str">
            <v>D2003115</v>
          </cell>
          <cell r="AD447" t="str">
            <v>E75N</v>
          </cell>
          <cell r="AE447">
            <v>1.4999999999999999E-2</v>
          </cell>
          <cell r="AF447">
            <v>1.21</v>
          </cell>
          <cell r="AG447">
            <v>0.03</v>
          </cell>
          <cell r="AH447">
            <v>3.0000000000000001E-3</v>
          </cell>
          <cell r="AI447">
            <v>0.27</v>
          </cell>
          <cell r="AJ447">
            <v>16.7</v>
          </cell>
          <cell r="AK447">
            <v>10.1</v>
          </cell>
          <cell r="AL447">
            <v>0.05</v>
          </cell>
          <cell r="AM447">
            <v>2.0299999999999998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T447">
            <v>337</v>
          </cell>
          <cell r="AU447">
            <v>0</v>
          </cell>
          <cell r="AV447">
            <v>669</v>
          </cell>
          <cell r="AW447">
            <v>47</v>
          </cell>
          <cell r="AX447">
            <v>84</v>
          </cell>
          <cell r="AY447">
            <v>162</v>
          </cell>
          <cell r="AZ447">
            <v>2.21</v>
          </cell>
          <cell r="BA447" t="str">
            <v>D2003115</v>
          </cell>
          <cell r="BB447" t="str">
            <v>CONFORM</v>
          </cell>
          <cell r="BC447" t="str">
            <v>CONFORM</v>
          </cell>
          <cell r="BD447" t="str">
            <v>CONFORM</v>
          </cell>
          <cell r="BE447" t="str">
            <v>CONFORM</v>
          </cell>
          <cell r="BF447" t="str">
            <v>CONFORM</v>
          </cell>
        </row>
        <row r="448">
          <cell r="A448">
            <v>43915</v>
          </cell>
          <cell r="B448" t="str">
            <v>D2003115-3</v>
          </cell>
          <cell r="C448" t="str">
            <v>027/20</v>
          </cell>
          <cell r="D448">
            <v>1</v>
          </cell>
          <cell r="E448">
            <v>43914</v>
          </cell>
          <cell r="F448" t="str">
            <v>DC</v>
          </cell>
          <cell r="G448" t="str">
            <v>On Time</v>
          </cell>
          <cell r="H448">
            <v>911482</v>
          </cell>
          <cell r="I448">
            <v>43914</v>
          </cell>
          <cell r="J448" t="str">
            <v>RYERSON</v>
          </cell>
          <cell r="K448" t="str">
            <v>D2003115</v>
          </cell>
          <cell r="L448">
            <v>3</v>
          </cell>
          <cell r="M448" t="str">
            <v xml:space="preserve">04E75N </v>
          </cell>
          <cell r="N448" t="str">
            <v>E75N</v>
          </cell>
          <cell r="O448" t="str">
            <v xml:space="preserve">1.4401/1.4404 TP316/316L </v>
          </cell>
          <cell r="P448" t="str">
            <v>316L</v>
          </cell>
          <cell r="Q448">
            <v>6.2169999999999996</v>
          </cell>
          <cell r="R448">
            <v>6.218</v>
          </cell>
          <cell r="S448">
            <v>6.3E-2</v>
          </cell>
          <cell r="T448">
            <v>5.7000000000000002E-2</v>
          </cell>
          <cell r="V448">
            <v>5.7000000000000002E-2</v>
          </cell>
          <cell r="X448">
            <v>3410</v>
          </cell>
          <cell r="Y448">
            <v>2</v>
          </cell>
          <cell r="Z448">
            <v>274.24802959626834</v>
          </cell>
          <cell r="AA448" t="str">
            <v>6.217X0.063-316L</v>
          </cell>
          <cell r="AB448" t="str">
            <v>WAAF015790160B300059</v>
          </cell>
          <cell r="AC448" t="str">
            <v>D2003115</v>
          </cell>
          <cell r="AD448" t="str">
            <v>E75N</v>
          </cell>
          <cell r="AE448">
            <v>1.4999999999999999E-2</v>
          </cell>
          <cell r="AF448">
            <v>1.21</v>
          </cell>
          <cell r="AG448">
            <v>0.03</v>
          </cell>
          <cell r="AH448">
            <v>3.0000000000000001E-3</v>
          </cell>
          <cell r="AI448">
            <v>0.27</v>
          </cell>
          <cell r="AJ448">
            <v>16.7</v>
          </cell>
          <cell r="AK448">
            <v>10.1</v>
          </cell>
          <cell r="AL448">
            <v>0.05</v>
          </cell>
          <cell r="AM448">
            <v>2.0299999999999998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T448">
            <v>337</v>
          </cell>
          <cell r="AU448">
            <v>0</v>
          </cell>
          <cell r="AV448">
            <v>669</v>
          </cell>
          <cell r="AW448">
            <v>47</v>
          </cell>
          <cell r="AX448">
            <v>84</v>
          </cell>
          <cell r="AY448">
            <v>162</v>
          </cell>
          <cell r="AZ448">
            <v>2.21</v>
          </cell>
          <cell r="BA448" t="str">
            <v>D2003115</v>
          </cell>
          <cell r="BB448" t="str">
            <v>CONFORM</v>
          </cell>
          <cell r="BC448" t="str">
            <v>CONFORM</v>
          </cell>
          <cell r="BD448" t="str">
            <v>CONFORM</v>
          </cell>
          <cell r="BE448" t="str">
            <v>CONFORM</v>
          </cell>
          <cell r="BF448" t="str">
            <v>CONFORM</v>
          </cell>
        </row>
        <row r="449">
          <cell r="A449">
            <v>43915</v>
          </cell>
          <cell r="B449" t="str">
            <v>D2003115-4</v>
          </cell>
          <cell r="C449" t="str">
            <v>027/20</v>
          </cell>
          <cell r="D449">
            <v>1</v>
          </cell>
          <cell r="E449">
            <v>43914</v>
          </cell>
          <cell r="F449" t="str">
            <v>DC</v>
          </cell>
          <cell r="G449" t="str">
            <v>On Time</v>
          </cell>
          <cell r="H449">
            <v>911482</v>
          </cell>
          <cell r="I449">
            <v>43914</v>
          </cell>
          <cell r="J449" t="str">
            <v>RYERSON</v>
          </cell>
          <cell r="K449" t="str">
            <v>D2003115</v>
          </cell>
          <cell r="L449">
            <v>4</v>
          </cell>
          <cell r="M449" t="str">
            <v xml:space="preserve">04E75N </v>
          </cell>
          <cell r="N449" t="str">
            <v>E75N</v>
          </cell>
          <cell r="O449" t="str">
            <v xml:space="preserve">1.4401/1.4404 TP316/316L </v>
          </cell>
          <cell r="P449" t="str">
            <v>316L</v>
          </cell>
          <cell r="Q449">
            <v>6.2169999999999996</v>
          </cell>
          <cell r="R449">
            <v>6.218</v>
          </cell>
          <cell r="S449">
            <v>6.3E-2</v>
          </cell>
          <cell r="T449">
            <v>5.7000000000000002E-2</v>
          </cell>
          <cell r="V449">
            <v>5.7000000000000002E-2</v>
          </cell>
          <cell r="X449">
            <v>3395</v>
          </cell>
          <cell r="Y449">
            <v>2</v>
          </cell>
          <cell r="Z449">
            <v>273.04165996461319</v>
          </cell>
          <cell r="AA449" t="str">
            <v>6.217X0.063-316L</v>
          </cell>
          <cell r="AB449" t="str">
            <v>WAAF015790160B300059</v>
          </cell>
          <cell r="AC449" t="str">
            <v>D2003115</v>
          </cell>
          <cell r="AD449" t="str">
            <v>E75N</v>
          </cell>
          <cell r="AE449">
            <v>1.4999999999999999E-2</v>
          </cell>
          <cell r="AF449">
            <v>1.21</v>
          </cell>
          <cell r="AG449">
            <v>0.03</v>
          </cell>
          <cell r="AH449">
            <v>3.0000000000000001E-3</v>
          </cell>
          <cell r="AI449">
            <v>0.27</v>
          </cell>
          <cell r="AJ449">
            <v>16.7</v>
          </cell>
          <cell r="AK449">
            <v>10.1</v>
          </cell>
          <cell r="AL449">
            <v>0.05</v>
          </cell>
          <cell r="AM449">
            <v>2.0299999999999998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T449">
            <v>337</v>
          </cell>
          <cell r="AU449">
            <v>0</v>
          </cell>
          <cell r="AV449">
            <v>669</v>
          </cell>
          <cell r="AW449">
            <v>47</v>
          </cell>
          <cell r="AX449">
            <v>84</v>
          </cell>
          <cell r="AY449">
            <v>162</v>
          </cell>
          <cell r="AZ449">
            <v>2.21</v>
          </cell>
          <cell r="BA449" t="str">
            <v>D2003115</v>
          </cell>
          <cell r="BB449" t="str">
            <v>CONFORM</v>
          </cell>
          <cell r="BC449" t="str">
            <v>CONFORM</v>
          </cell>
          <cell r="BD449" t="str">
            <v>CONFORM</v>
          </cell>
          <cell r="BE449" t="str">
            <v>CONFORM</v>
          </cell>
          <cell r="BF449" t="str">
            <v>CONFORM</v>
          </cell>
        </row>
        <row r="450">
          <cell r="A450">
            <v>43915</v>
          </cell>
          <cell r="B450" t="str">
            <v>D2003116-1</v>
          </cell>
          <cell r="C450" t="str">
            <v>023/20</v>
          </cell>
          <cell r="D450">
            <v>1</v>
          </cell>
          <cell r="E450">
            <v>43915</v>
          </cell>
          <cell r="F450" t="str">
            <v>DC</v>
          </cell>
          <cell r="G450" t="str">
            <v>On Time</v>
          </cell>
          <cell r="H450" t="str">
            <v>L362045</v>
          </cell>
          <cell r="I450">
            <v>43909</v>
          </cell>
          <cell r="J450" t="str">
            <v>ATI</v>
          </cell>
          <cell r="K450" t="str">
            <v>D2003116</v>
          </cell>
          <cell r="L450">
            <v>1</v>
          </cell>
          <cell r="M450" t="str">
            <v>AAC94907</v>
          </cell>
          <cell r="N450">
            <v>860179</v>
          </cell>
          <cell r="O450" t="str">
            <v xml:space="preserve">1.4306 TP304L </v>
          </cell>
          <cell r="P450" t="str">
            <v>304L</v>
          </cell>
          <cell r="Q450">
            <v>3.016</v>
          </cell>
          <cell r="R450">
            <v>3.0150000000000001</v>
          </cell>
          <cell r="S450">
            <v>7.9000000000000001E-2</v>
          </cell>
          <cell r="T450">
            <v>7.8E-2</v>
          </cell>
          <cell r="V450">
            <v>7.8E-2</v>
          </cell>
          <cell r="X450">
            <v>3910</v>
          </cell>
          <cell r="Y450">
            <v>2</v>
          </cell>
          <cell r="Z450">
            <v>648.20954907161808</v>
          </cell>
          <cell r="AA450" t="str">
            <v>3.016X0.079-304L</v>
          </cell>
          <cell r="AB450" t="str">
            <v>WAAC007660200B300078</v>
          </cell>
          <cell r="AC450" t="str">
            <v>D2003116</v>
          </cell>
          <cell r="AD450">
            <v>860179</v>
          </cell>
          <cell r="AE450">
            <v>2.1999999999999999E-2</v>
          </cell>
          <cell r="AF450">
            <v>1.69</v>
          </cell>
          <cell r="AG450">
            <v>3.4000000000000002E-2</v>
          </cell>
          <cell r="AH450">
            <v>0</v>
          </cell>
          <cell r="AI450">
            <v>0.5</v>
          </cell>
          <cell r="AJ450">
            <v>18.2</v>
          </cell>
          <cell r="AK450">
            <v>8.4</v>
          </cell>
          <cell r="AL450">
            <v>7.0000000000000007E-2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T450">
            <v>289</v>
          </cell>
          <cell r="AU450">
            <v>0</v>
          </cell>
          <cell r="AV450">
            <v>613</v>
          </cell>
          <cell r="AW450">
            <v>58</v>
          </cell>
          <cell r="AX450">
            <v>81</v>
          </cell>
          <cell r="AY450">
            <v>153</v>
          </cell>
          <cell r="AZ450">
            <v>1.4285000000000001</v>
          </cell>
          <cell r="BA450" t="str">
            <v>D2003116</v>
          </cell>
          <cell r="BB450" t="str">
            <v>CONFORM</v>
          </cell>
          <cell r="BC450" t="str">
            <v>CONFORM</v>
          </cell>
          <cell r="BD450" t="str">
            <v>CONFORM</v>
          </cell>
          <cell r="BE450" t="str">
            <v>CONFORM</v>
          </cell>
          <cell r="BF450" t="str">
            <v>CONFORM</v>
          </cell>
        </row>
        <row r="451">
          <cell r="A451">
            <v>43915</v>
          </cell>
          <cell r="B451" t="str">
            <v>D2003116-2</v>
          </cell>
          <cell r="C451" t="str">
            <v>023/20</v>
          </cell>
          <cell r="D451">
            <v>1</v>
          </cell>
          <cell r="E451">
            <v>43915</v>
          </cell>
          <cell r="F451" t="str">
            <v>DC</v>
          </cell>
          <cell r="G451" t="str">
            <v>On Time</v>
          </cell>
          <cell r="H451" t="str">
            <v>L362045</v>
          </cell>
          <cell r="I451">
            <v>43909</v>
          </cell>
          <cell r="J451" t="str">
            <v>ATI</v>
          </cell>
          <cell r="K451" t="str">
            <v>D2003116</v>
          </cell>
          <cell r="L451">
            <v>2</v>
          </cell>
          <cell r="M451" t="str">
            <v>AAC94907</v>
          </cell>
          <cell r="N451">
            <v>860179</v>
          </cell>
          <cell r="O451" t="str">
            <v xml:space="preserve">1.4306 TP304L </v>
          </cell>
          <cell r="P451" t="str">
            <v>304L</v>
          </cell>
          <cell r="Q451">
            <v>3.016</v>
          </cell>
          <cell r="R451">
            <v>3.0150000000000001</v>
          </cell>
          <cell r="S451">
            <v>7.9000000000000001E-2</v>
          </cell>
          <cell r="T451">
            <v>7.9000000000000001E-2</v>
          </cell>
          <cell r="V451">
            <v>7.9000000000000001E-2</v>
          </cell>
          <cell r="X451">
            <v>3886</v>
          </cell>
          <cell r="Y451">
            <v>2</v>
          </cell>
          <cell r="Z451">
            <v>644.23076923076928</v>
          </cell>
          <cell r="AA451" t="str">
            <v>3.016X0.079-304L</v>
          </cell>
          <cell r="AB451" t="str">
            <v>WAAC007660200B300078</v>
          </cell>
          <cell r="AC451" t="str">
            <v>D2003116</v>
          </cell>
          <cell r="AD451">
            <v>860179</v>
          </cell>
          <cell r="AE451">
            <v>2.1999999999999999E-2</v>
          </cell>
          <cell r="AF451">
            <v>1.69</v>
          </cell>
          <cell r="AG451">
            <v>3.4000000000000002E-2</v>
          </cell>
          <cell r="AH451">
            <v>0</v>
          </cell>
          <cell r="AI451">
            <v>0.5</v>
          </cell>
          <cell r="AJ451">
            <v>18.2</v>
          </cell>
          <cell r="AK451">
            <v>8.4</v>
          </cell>
          <cell r="AL451">
            <v>7.0000000000000007E-2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T451">
            <v>289</v>
          </cell>
          <cell r="AU451">
            <v>0</v>
          </cell>
          <cell r="AV451">
            <v>613</v>
          </cell>
          <cell r="AW451">
            <v>58</v>
          </cell>
          <cell r="AX451">
            <v>81</v>
          </cell>
          <cell r="AY451">
            <v>153</v>
          </cell>
          <cell r="AZ451">
            <v>1.4285000000000001</v>
          </cell>
          <cell r="BA451" t="str">
            <v>D2003116</v>
          </cell>
          <cell r="BB451" t="str">
            <v>CONFORM</v>
          </cell>
          <cell r="BC451" t="str">
            <v>CONFORM</v>
          </cell>
          <cell r="BD451" t="str">
            <v>CONFORM</v>
          </cell>
          <cell r="BE451" t="str">
            <v>CONFORM</v>
          </cell>
          <cell r="BF451" t="str">
            <v>CONFORM</v>
          </cell>
        </row>
        <row r="452">
          <cell r="A452">
            <v>43915</v>
          </cell>
          <cell r="B452" t="str">
            <v>D2003116-3</v>
          </cell>
          <cell r="C452" t="str">
            <v>023/20</v>
          </cell>
          <cell r="D452">
            <v>1</v>
          </cell>
          <cell r="E452">
            <v>43915</v>
          </cell>
          <cell r="F452" t="str">
            <v>DC</v>
          </cell>
          <cell r="G452" t="str">
            <v>On Time</v>
          </cell>
          <cell r="H452" t="str">
            <v>L362045</v>
          </cell>
          <cell r="I452">
            <v>43909</v>
          </cell>
          <cell r="J452" t="str">
            <v>ATI</v>
          </cell>
          <cell r="K452" t="str">
            <v>D2003116</v>
          </cell>
          <cell r="L452">
            <v>3</v>
          </cell>
          <cell r="M452" t="str">
            <v>AAC94907</v>
          </cell>
          <cell r="N452">
            <v>860179</v>
          </cell>
          <cell r="O452" t="str">
            <v xml:space="preserve">1.4306 TP304L </v>
          </cell>
          <cell r="P452" t="str">
            <v>304L</v>
          </cell>
          <cell r="Q452">
            <v>3.016</v>
          </cell>
          <cell r="R452">
            <v>3.0150000000000001</v>
          </cell>
          <cell r="S452">
            <v>7.9000000000000001E-2</v>
          </cell>
          <cell r="T452">
            <v>7.8E-2</v>
          </cell>
          <cell r="V452">
            <v>7.8E-2</v>
          </cell>
          <cell r="X452">
            <v>1932</v>
          </cell>
          <cell r="Y452">
            <v>1</v>
          </cell>
          <cell r="Z452">
            <v>640.58355437665784</v>
          </cell>
          <cell r="AA452" t="str">
            <v>3.016X0.079-304L</v>
          </cell>
          <cell r="AB452" t="str">
            <v>WAAC007660200B300078</v>
          </cell>
          <cell r="AC452" t="str">
            <v>D2003116</v>
          </cell>
          <cell r="AD452">
            <v>860179</v>
          </cell>
          <cell r="AE452">
            <v>2.1999999999999999E-2</v>
          </cell>
          <cell r="AF452">
            <v>1.69</v>
          </cell>
          <cell r="AG452">
            <v>3.4000000000000002E-2</v>
          </cell>
          <cell r="AH452">
            <v>0</v>
          </cell>
          <cell r="AI452">
            <v>0.5</v>
          </cell>
          <cell r="AJ452">
            <v>18.2</v>
          </cell>
          <cell r="AK452">
            <v>8.4</v>
          </cell>
          <cell r="AL452">
            <v>7.0000000000000007E-2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T452">
            <v>289</v>
          </cell>
          <cell r="AU452">
            <v>0</v>
          </cell>
          <cell r="AV452">
            <v>613</v>
          </cell>
          <cell r="AW452">
            <v>58</v>
          </cell>
          <cell r="AX452">
            <v>81</v>
          </cell>
          <cell r="AY452">
            <v>153</v>
          </cell>
          <cell r="AZ452">
            <v>1.4285000000000001</v>
          </cell>
          <cell r="BA452" t="str">
            <v>D2003116</v>
          </cell>
          <cell r="BB452" t="str">
            <v>CONFORM</v>
          </cell>
          <cell r="BC452" t="str">
            <v>CONFORM</v>
          </cell>
          <cell r="BD452" t="str">
            <v>CONFORM</v>
          </cell>
          <cell r="BE452" t="str">
            <v>CONFORM</v>
          </cell>
          <cell r="BF452" t="str">
            <v>CONFORM</v>
          </cell>
        </row>
        <row r="453">
          <cell r="A453">
            <v>43915</v>
          </cell>
          <cell r="B453" t="str">
            <v>D2003116-4</v>
          </cell>
          <cell r="C453" t="str">
            <v>023/20</v>
          </cell>
          <cell r="D453">
            <v>1</v>
          </cell>
          <cell r="E453">
            <v>43915</v>
          </cell>
          <cell r="F453" t="str">
            <v>DC</v>
          </cell>
          <cell r="G453" t="str">
            <v>On Time</v>
          </cell>
          <cell r="H453" t="str">
            <v>L362045</v>
          </cell>
          <cell r="I453">
            <v>43909</v>
          </cell>
          <cell r="J453" t="str">
            <v>ATI</v>
          </cell>
          <cell r="K453" t="str">
            <v>D2003116</v>
          </cell>
          <cell r="L453">
            <v>4</v>
          </cell>
          <cell r="M453" t="str">
            <v>AAC94907</v>
          </cell>
          <cell r="N453">
            <v>860179</v>
          </cell>
          <cell r="O453" t="str">
            <v xml:space="preserve">1.4306 TP304L </v>
          </cell>
          <cell r="P453" t="str">
            <v>304L</v>
          </cell>
          <cell r="Q453">
            <v>3.016</v>
          </cell>
          <cell r="R453">
            <v>3.0150000000000001</v>
          </cell>
          <cell r="S453">
            <v>7.9000000000000001E-2</v>
          </cell>
          <cell r="T453">
            <v>7.6999999999999999E-2</v>
          </cell>
          <cell r="V453">
            <v>7.6999999999999999E-2</v>
          </cell>
          <cell r="X453">
            <v>3888</v>
          </cell>
          <cell r="Y453">
            <v>2</v>
          </cell>
          <cell r="Z453">
            <v>644.56233421750665</v>
          </cell>
          <cell r="AA453" t="str">
            <v>3.016X0.079-304L</v>
          </cell>
          <cell r="AB453" t="str">
            <v>WAAC007660200B300078</v>
          </cell>
          <cell r="AC453" t="str">
            <v>D2003116</v>
          </cell>
          <cell r="AD453">
            <v>860179</v>
          </cell>
          <cell r="AE453">
            <v>2.1999999999999999E-2</v>
          </cell>
          <cell r="AF453">
            <v>1.69</v>
          </cell>
          <cell r="AG453">
            <v>3.4000000000000002E-2</v>
          </cell>
          <cell r="AH453">
            <v>0</v>
          </cell>
          <cell r="AI453">
            <v>0.5</v>
          </cell>
          <cell r="AJ453">
            <v>18.2</v>
          </cell>
          <cell r="AK453">
            <v>8.4</v>
          </cell>
          <cell r="AL453">
            <v>7.0000000000000007E-2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T453">
            <v>289</v>
          </cell>
          <cell r="AU453">
            <v>0</v>
          </cell>
          <cell r="AV453">
            <v>613</v>
          </cell>
          <cell r="AW453">
            <v>58</v>
          </cell>
          <cell r="AX453">
            <v>81</v>
          </cell>
          <cell r="AY453">
            <v>153</v>
          </cell>
          <cell r="AZ453">
            <v>1.4285000000000001</v>
          </cell>
          <cell r="BA453" t="str">
            <v>D2003116</v>
          </cell>
          <cell r="BB453" t="str">
            <v>CONFORM</v>
          </cell>
          <cell r="BC453" t="str">
            <v>CONFORM</v>
          </cell>
          <cell r="BD453" t="str">
            <v>CONFORM</v>
          </cell>
          <cell r="BE453" t="str">
            <v>CONFORM</v>
          </cell>
          <cell r="BF453" t="str">
            <v>CONFORM</v>
          </cell>
        </row>
        <row r="454">
          <cell r="A454">
            <v>43915</v>
          </cell>
          <cell r="B454" t="str">
            <v>D2003116-5</v>
          </cell>
          <cell r="C454" t="str">
            <v>023/20</v>
          </cell>
          <cell r="D454">
            <v>1</v>
          </cell>
          <cell r="E454">
            <v>43915</v>
          </cell>
          <cell r="F454" t="str">
            <v>DC</v>
          </cell>
          <cell r="G454" t="str">
            <v>On Time</v>
          </cell>
          <cell r="H454" t="str">
            <v>L362045</v>
          </cell>
          <cell r="I454">
            <v>43909</v>
          </cell>
          <cell r="J454" t="str">
            <v>ATI</v>
          </cell>
          <cell r="K454" t="str">
            <v>D2003116</v>
          </cell>
          <cell r="L454">
            <v>5</v>
          </cell>
          <cell r="M454" t="str">
            <v>AAC94907</v>
          </cell>
          <cell r="N454">
            <v>860179</v>
          </cell>
          <cell r="O454" t="str">
            <v xml:space="preserve">1.4306 TP304L </v>
          </cell>
          <cell r="P454" t="str">
            <v>304L</v>
          </cell>
          <cell r="Q454">
            <v>3.016</v>
          </cell>
          <cell r="R454">
            <v>3.0150000000000001</v>
          </cell>
          <cell r="S454">
            <v>7.9000000000000001E-2</v>
          </cell>
          <cell r="T454">
            <v>7.9000000000000001E-2</v>
          </cell>
          <cell r="V454">
            <v>7.9000000000000001E-2</v>
          </cell>
          <cell r="X454">
            <v>3888</v>
          </cell>
          <cell r="Y454">
            <v>2</v>
          </cell>
          <cell r="Z454">
            <v>644.56233421750665</v>
          </cell>
          <cell r="AA454" t="str">
            <v>3.016X0.079-304L</v>
          </cell>
          <cell r="AB454" t="str">
            <v>WAAC007660200B300078</v>
          </cell>
          <cell r="AC454" t="str">
            <v>D2003116</v>
          </cell>
          <cell r="AD454">
            <v>860179</v>
          </cell>
          <cell r="AE454">
            <v>2.1999999999999999E-2</v>
          </cell>
          <cell r="AF454">
            <v>1.69</v>
          </cell>
          <cell r="AG454">
            <v>3.4000000000000002E-2</v>
          </cell>
          <cell r="AH454">
            <v>0</v>
          </cell>
          <cell r="AI454">
            <v>0.5</v>
          </cell>
          <cell r="AJ454">
            <v>18.2</v>
          </cell>
          <cell r="AK454">
            <v>8.4</v>
          </cell>
          <cell r="AL454">
            <v>7.0000000000000007E-2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T454">
            <v>289</v>
          </cell>
          <cell r="AU454">
            <v>0</v>
          </cell>
          <cell r="AV454">
            <v>613</v>
          </cell>
          <cell r="AW454">
            <v>58</v>
          </cell>
          <cell r="AX454">
            <v>81</v>
          </cell>
          <cell r="AY454">
            <v>153</v>
          </cell>
          <cell r="AZ454">
            <v>1.4285000000000001</v>
          </cell>
          <cell r="BA454" t="str">
            <v>D2003116</v>
          </cell>
          <cell r="BB454" t="str">
            <v>CONFORM</v>
          </cell>
          <cell r="BC454" t="str">
            <v>CONFORM</v>
          </cell>
          <cell r="BD454" t="str">
            <v>CONFORM</v>
          </cell>
          <cell r="BE454" t="str">
            <v>CONFORM</v>
          </cell>
          <cell r="BF454" t="str">
            <v>CONFORM</v>
          </cell>
        </row>
        <row r="455">
          <cell r="A455">
            <v>43915</v>
          </cell>
          <cell r="B455" t="str">
            <v>D2003116-6</v>
          </cell>
          <cell r="C455" t="str">
            <v>023/20</v>
          </cell>
          <cell r="D455">
            <v>1</v>
          </cell>
          <cell r="E455">
            <v>43915</v>
          </cell>
          <cell r="F455" t="str">
            <v>DC</v>
          </cell>
          <cell r="G455" t="str">
            <v>On Time</v>
          </cell>
          <cell r="H455" t="str">
            <v>L362045</v>
          </cell>
          <cell r="I455">
            <v>43909</v>
          </cell>
          <cell r="J455" t="str">
            <v>ATI</v>
          </cell>
          <cell r="K455" t="str">
            <v>D2003116</v>
          </cell>
          <cell r="L455">
            <v>6</v>
          </cell>
          <cell r="M455" t="str">
            <v>AAC94907</v>
          </cell>
          <cell r="N455">
            <v>860179</v>
          </cell>
          <cell r="O455" t="str">
            <v xml:space="preserve">1.4306 TP304L </v>
          </cell>
          <cell r="P455" t="str">
            <v>304L</v>
          </cell>
          <cell r="Q455">
            <v>3.016</v>
          </cell>
          <cell r="R455">
            <v>3.0150000000000001</v>
          </cell>
          <cell r="S455">
            <v>7.9000000000000001E-2</v>
          </cell>
          <cell r="T455">
            <v>0.08</v>
          </cell>
          <cell r="V455">
            <v>0.08</v>
          </cell>
          <cell r="X455">
            <v>1944</v>
          </cell>
          <cell r="Y455">
            <v>1</v>
          </cell>
          <cell r="Z455">
            <v>644.56233421750665</v>
          </cell>
          <cell r="AA455" t="str">
            <v>3.016X0.079-304L</v>
          </cell>
          <cell r="AB455" t="str">
            <v>WAAC007660200B300078</v>
          </cell>
          <cell r="AC455" t="str">
            <v>D2003116</v>
          </cell>
          <cell r="AD455">
            <v>860179</v>
          </cell>
          <cell r="AE455">
            <v>2.1999999999999999E-2</v>
          </cell>
          <cell r="AF455">
            <v>1.69</v>
          </cell>
          <cell r="AG455">
            <v>3.4000000000000002E-2</v>
          </cell>
          <cell r="AH455">
            <v>0</v>
          </cell>
          <cell r="AI455">
            <v>0.5</v>
          </cell>
          <cell r="AJ455">
            <v>18.2</v>
          </cell>
          <cell r="AK455">
            <v>8.4</v>
          </cell>
          <cell r="AL455">
            <v>7.0000000000000007E-2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T455">
            <v>289</v>
          </cell>
          <cell r="AU455">
            <v>0</v>
          </cell>
          <cell r="AV455">
            <v>613</v>
          </cell>
          <cell r="AW455">
            <v>58</v>
          </cell>
          <cell r="AX455">
            <v>81</v>
          </cell>
          <cell r="AY455">
            <v>153</v>
          </cell>
          <cell r="AZ455">
            <v>1.4285000000000001</v>
          </cell>
          <cell r="BA455" t="str">
            <v>D2003116</v>
          </cell>
          <cell r="BB455" t="str">
            <v>CONFORM</v>
          </cell>
          <cell r="BC455" t="str">
            <v>CONFORM</v>
          </cell>
          <cell r="BD455" t="str">
            <v>CONFORM</v>
          </cell>
          <cell r="BE455" t="str">
            <v>CONFORM</v>
          </cell>
          <cell r="BF455" t="str">
            <v>CONFORM</v>
          </cell>
        </row>
        <row r="456">
          <cell r="A456">
            <v>43915</v>
          </cell>
          <cell r="B456" t="str">
            <v>D2003116-7</v>
          </cell>
          <cell r="C456" t="str">
            <v>023/20</v>
          </cell>
          <cell r="D456">
            <v>1</v>
          </cell>
          <cell r="E456">
            <v>43915</v>
          </cell>
          <cell r="F456" t="str">
            <v>DC</v>
          </cell>
          <cell r="G456" t="str">
            <v>On Time</v>
          </cell>
          <cell r="H456" t="str">
            <v>L362045</v>
          </cell>
          <cell r="I456">
            <v>43909</v>
          </cell>
          <cell r="J456" t="str">
            <v>ATI</v>
          </cell>
          <cell r="K456" t="str">
            <v>D2003116</v>
          </cell>
          <cell r="L456">
            <v>7</v>
          </cell>
          <cell r="M456" t="str">
            <v>AAC94907</v>
          </cell>
          <cell r="N456">
            <v>860179</v>
          </cell>
          <cell r="O456" t="str">
            <v xml:space="preserve">1.4306 TP304L </v>
          </cell>
          <cell r="P456" t="str">
            <v>304L</v>
          </cell>
          <cell r="Q456">
            <v>3.016</v>
          </cell>
          <cell r="R456">
            <v>3.0150000000000001</v>
          </cell>
          <cell r="S456">
            <v>7.9000000000000001E-2</v>
          </cell>
          <cell r="T456">
            <v>7.8E-2</v>
          </cell>
          <cell r="V456">
            <v>7.8E-2</v>
          </cell>
          <cell r="X456">
            <v>3850</v>
          </cell>
          <cell r="Y456">
            <v>2</v>
          </cell>
          <cell r="Z456">
            <v>638.26259946949597</v>
          </cell>
          <cell r="AA456" t="str">
            <v>3.016X0.079-304L</v>
          </cell>
          <cell r="AB456" t="str">
            <v>WAAC007660200B300078</v>
          </cell>
          <cell r="AC456" t="str">
            <v>D2003116</v>
          </cell>
          <cell r="AD456">
            <v>860179</v>
          </cell>
          <cell r="AE456">
            <v>2.1999999999999999E-2</v>
          </cell>
          <cell r="AF456">
            <v>1.69</v>
          </cell>
          <cell r="AG456">
            <v>3.4000000000000002E-2</v>
          </cell>
          <cell r="AH456">
            <v>0</v>
          </cell>
          <cell r="AI456">
            <v>0.5</v>
          </cell>
          <cell r="AJ456">
            <v>18.2</v>
          </cell>
          <cell r="AK456">
            <v>8.4</v>
          </cell>
          <cell r="AL456">
            <v>7.0000000000000007E-2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T456">
            <v>289</v>
          </cell>
          <cell r="AU456">
            <v>0</v>
          </cell>
          <cell r="AV456">
            <v>613</v>
          </cell>
          <cell r="AW456">
            <v>58</v>
          </cell>
          <cell r="AX456">
            <v>81</v>
          </cell>
          <cell r="AY456">
            <v>153</v>
          </cell>
          <cell r="AZ456">
            <v>1.4285000000000001</v>
          </cell>
          <cell r="BA456" t="str">
            <v>D2003116</v>
          </cell>
          <cell r="BB456" t="str">
            <v>CONFORM</v>
          </cell>
          <cell r="BC456" t="str">
            <v>CONFORM</v>
          </cell>
          <cell r="BD456" t="str">
            <v>CONFORM</v>
          </cell>
          <cell r="BE456" t="str">
            <v>CONFORM</v>
          </cell>
          <cell r="BF456" t="str">
            <v>CONFORM</v>
          </cell>
        </row>
        <row r="457">
          <cell r="A457">
            <v>43915</v>
          </cell>
          <cell r="B457" t="str">
            <v>D2003116-8</v>
          </cell>
          <cell r="C457" t="str">
            <v>023/20</v>
          </cell>
          <cell r="D457">
            <v>1</v>
          </cell>
          <cell r="E457">
            <v>43915</v>
          </cell>
          <cell r="F457" t="str">
            <v>DC</v>
          </cell>
          <cell r="G457" t="str">
            <v>On Time</v>
          </cell>
          <cell r="H457" t="str">
            <v>L362045</v>
          </cell>
          <cell r="I457">
            <v>43909</v>
          </cell>
          <cell r="J457" t="str">
            <v>ATI</v>
          </cell>
          <cell r="K457" t="str">
            <v>D2003116</v>
          </cell>
          <cell r="L457">
            <v>8</v>
          </cell>
          <cell r="M457" t="str">
            <v>AAC94907</v>
          </cell>
          <cell r="N457">
            <v>860179</v>
          </cell>
          <cell r="O457" t="str">
            <v xml:space="preserve">1.4306 TP304L </v>
          </cell>
          <cell r="P457" t="str">
            <v>304L</v>
          </cell>
          <cell r="Q457">
            <v>3.016</v>
          </cell>
          <cell r="R457">
            <v>3.0150000000000001</v>
          </cell>
          <cell r="S457">
            <v>7.9000000000000001E-2</v>
          </cell>
          <cell r="T457">
            <v>7.9000000000000001E-2</v>
          </cell>
          <cell r="V457">
            <v>7.9000000000000001E-2</v>
          </cell>
          <cell r="X457">
            <v>3880</v>
          </cell>
          <cell r="Y457">
            <v>2</v>
          </cell>
          <cell r="Z457">
            <v>643.23607427055708</v>
          </cell>
          <cell r="AA457" t="str">
            <v>3.016X0.079-304L</v>
          </cell>
          <cell r="AB457" t="str">
            <v>WAAC007660200B300078</v>
          </cell>
          <cell r="AC457" t="str">
            <v>D2003116</v>
          </cell>
          <cell r="AD457">
            <v>860179</v>
          </cell>
          <cell r="AE457">
            <v>2.1999999999999999E-2</v>
          </cell>
          <cell r="AF457">
            <v>1.69</v>
          </cell>
          <cell r="AG457">
            <v>3.4000000000000002E-2</v>
          </cell>
          <cell r="AH457">
            <v>0</v>
          </cell>
          <cell r="AI457">
            <v>0.5</v>
          </cell>
          <cell r="AJ457">
            <v>18.2</v>
          </cell>
          <cell r="AK457">
            <v>8.4</v>
          </cell>
          <cell r="AL457">
            <v>7.0000000000000007E-2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T457">
            <v>289</v>
          </cell>
          <cell r="AU457">
            <v>0</v>
          </cell>
          <cell r="AV457">
            <v>613</v>
          </cell>
          <cell r="AW457">
            <v>58</v>
          </cell>
          <cell r="AX457">
            <v>81</v>
          </cell>
          <cell r="AY457">
            <v>153</v>
          </cell>
          <cell r="AZ457">
            <v>1.4285000000000001</v>
          </cell>
          <cell r="BA457" t="str">
            <v>D2003116</v>
          </cell>
          <cell r="BB457" t="str">
            <v>CONFORM</v>
          </cell>
          <cell r="BC457" t="str">
            <v>CONFORM</v>
          </cell>
          <cell r="BD457" t="str">
            <v>CONFORM</v>
          </cell>
          <cell r="BE457" t="str">
            <v>CONFORM</v>
          </cell>
          <cell r="BF457" t="str">
            <v>CONFORM</v>
          </cell>
        </row>
        <row r="458">
          <cell r="A458">
            <v>43915</v>
          </cell>
          <cell r="B458" t="str">
            <v>D2003116-9</v>
          </cell>
          <cell r="C458" t="str">
            <v>023/20</v>
          </cell>
          <cell r="D458">
            <v>1</v>
          </cell>
          <cell r="E458">
            <v>43915</v>
          </cell>
          <cell r="F458" t="str">
            <v>DC</v>
          </cell>
          <cell r="G458" t="str">
            <v>On Time</v>
          </cell>
          <cell r="H458" t="str">
            <v>L362045</v>
          </cell>
          <cell r="I458">
            <v>43909</v>
          </cell>
          <cell r="J458" t="str">
            <v>ATI</v>
          </cell>
          <cell r="K458" t="str">
            <v>D2003116</v>
          </cell>
          <cell r="L458">
            <v>9</v>
          </cell>
          <cell r="M458" t="str">
            <v>AAC94907</v>
          </cell>
          <cell r="N458">
            <v>860179</v>
          </cell>
          <cell r="O458" t="str">
            <v xml:space="preserve">1.4306 TP304L </v>
          </cell>
          <cell r="P458" t="str">
            <v>304L</v>
          </cell>
          <cell r="Q458">
            <v>3.016</v>
          </cell>
          <cell r="R458">
            <v>3.0150000000000001</v>
          </cell>
          <cell r="S458">
            <v>7.9000000000000001E-2</v>
          </cell>
          <cell r="T458">
            <v>0.08</v>
          </cell>
          <cell r="V458">
            <v>0.08</v>
          </cell>
          <cell r="X458">
            <v>3892</v>
          </cell>
          <cell r="Y458">
            <v>2</v>
          </cell>
          <cell r="Z458">
            <v>645.22546419098148</v>
          </cell>
          <cell r="AA458" t="str">
            <v>3.016X0.079-304L</v>
          </cell>
          <cell r="AB458" t="str">
            <v>WAAC007660200B300078</v>
          </cell>
          <cell r="AC458" t="str">
            <v>D2003116</v>
          </cell>
          <cell r="AD458">
            <v>860179</v>
          </cell>
          <cell r="AE458">
            <v>2.1999999999999999E-2</v>
          </cell>
          <cell r="AF458">
            <v>1.69</v>
          </cell>
          <cell r="AG458">
            <v>3.4000000000000002E-2</v>
          </cell>
          <cell r="AH458">
            <v>0</v>
          </cell>
          <cell r="AI458">
            <v>0.5</v>
          </cell>
          <cell r="AJ458">
            <v>18.2</v>
          </cell>
          <cell r="AK458">
            <v>8.4</v>
          </cell>
          <cell r="AL458">
            <v>7.0000000000000007E-2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T458">
            <v>289</v>
          </cell>
          <cell r="AU458">
            <v>0</v>
          </cell>
          <cell r="AV458">
            <v>613</v>
          </cell>
          <cell r="AW458">
            <v>58</v>
          </cell>
          <cell r="AX458">
            <v>81</v>
          </cell>
          <cell r="AY458">
            <v>153</v>
          </cell>
          <cell r="AZ458">
            <v>1.4285000000000001</v>
          </cell>
          <cell r="BA458" t="str">
            <v>D2003116</v>
          </cell>
          <cell r="BB458" t="str">
            <v>CONFORM</v>
          </cell>
          <cell r="BC458" t="str">
            <v>CONFORM</v>
          </cell>
          <cell r="BD458" t="str">
            <v>CONFORM</v>
          </cell>
          <cell r="BE458" t="str">
            <v>CONFORM</v>
          </cell>
          <cell r="BF458" t="str">
            <v>CONFORM</v>
          </cell>
        </row>
        <row r="459">
          <cell r="A459">
            <v>43915</v>
          </cell>
          <cell r="B459" t="str">
            <v>D2003117-1</v>
          </cell>
          <cell r="C459" t="str">
            <v>012/20</v>
          </cell>
          <cell r="D459">
            <v>1</v>
          </cell>
          <cell r="E459">
            <v>43915</v>
          </cell>
          <cell r="F459" t="str">
            <v>DC</v>
          </cell>
          <cell r="G459" t="str">
            <v>On Time</v>
          </cell>
          <cell r="H459" t="str">
            <v>L363585</v>
          </cell>
          <cell r="I459">
            <v>43915</v>
          </cell>
          <cell r="J459" t="str">
            <v>ATI</v>
          </cell>
          <cell r="K459" t="str">
            <v>D2003117</v>
          </cell>
          <cell r="L459">
            <v>1</v>
          </cell>
          <cell r="M459" t="str">
            <v>AAD00444</v>
          </cell>
          <cell r="N459">
            <v>860247</v>
          </cell>
          <cell r="O459" t="str">
            <v xml:space="preserve">1.4306 TP304L </v>
          </cell>
          <cell r="P459" t="str">
            <v>304L</v>
          </cell>
          <cell r="Q459">
            <v>3.8620000000000001</v>
          </cell>
          <cell r="R459">
            <v>3.863</v>
          </cell>
          <cell r="S459">
            <v>6.3E-2</v>
          </cell>
          <cell r="T459">
            <v>6.2E-2</v>
          </cell>
          <cell r="V459">
            <v>6.2E-2</v>
          </cell>
          <cell r="X459">
            <v>3566</v>
          </cell>
          <cell r="Y459">
            <v>1</v>
          </cell>
          <cell r="Z459">
            <v>923.35577421025368</v>
          </cell>
          <cell r="AA459" t="str">
            <v>3.862X0.063-304L</v>
          </cell>
          <cell r="AB459" t="str">
            <v>WAAC009810160B300060</v>
          </cell>
          <cell r="AC459" t="str">
            <v>D2003117</v>
          </cell>
          <cell r="AD459">
            <v>860247</v>
          </cell>
          <cell r="AE459">
            <v>1.9E-2</v>
          </cell>
          <cell r="AF459">
            <v>1.64</v>
          </cell>
          <cell r="AG459">
            <v>3.5000000000000003E-2</v>
          </cell>
          <cell r="AH459">
            <v>0</v>
          </cell>
          <cell r="AI459">
            <v>0.39</v>
          </cell>
          <cell r="AJ459">
            <v>18.100000000000001</v>
          </cell>
          <cell r="AK459">
            <v>8.1</v>
          </cell>
          <cell r="AL459">
            <v>7.0000000000000007E-2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T459">
            <v>295</v>
          </cell>
          <cell r="AU459">
            <v>0</v>
          </cell>
          <cell r="AV459">
            <v>629</v>
          </cell>
          <cell r="AW459">
            <v>61</v>
          </cell>
          <cell r="AX459">
            <v>80</v>
          </cell>
          <cell r="AY459">
            <v>150</v>
          </cell>
          <cell r="AZ459">
            <v>1.36</v>
          </cell>
          <cell r="BA459" t="str">
            <v>D2003117</v>
          </cell>
          <cell r="BB459" t="str">
            <v>CONFORM</v>
          </cell>
          <cell r="BC459" t="str">
            <v>CONFORM</v>
          </cell>
          <cell r="BD459" t="str">
            <v>CONFORM</v>
          </cell>
          <cell r="BE459" t="str">
            <v>CONFORM</v>
          </cell>
          <cell r="BF459" t="str">
            <v>CONFORM</v>
          </cell>
        </row>
        <row r="460">
          <cell r="A460">
            <v>43915</v>
          </cell>
          <cell r="B460" t="str">
            <v>D2003117-2</v>
          </cell>
          <cell r="C460" t="str">
            <v>012/20</v>
          </cell>
          <cell r="D460">
            <v>1</v>
          </cell>
          <cell r="E460">
            <v>43915</v>
          </cell>
          <cell r="F460" t="str">
            <v>DC</v>
          </cell>
          <cell r="G460" t="str">
            <v>On Time</v>
          </cell>
          <cell r="H460" t="str">
            <v>L363585</v>
          </cell>
          <cell r="I460">
            <v>43915</v>
          </cell>
          <cell r="J460" t="str">
            <v>ATI</v>
          </cell>
          <cell r="K460" t="str">
            <v>D2003117</v>
          </cell>
          <cell r="L460">
            <v>2</v>
          </cell>
          <cell r="M460" t="str">
            <v>AAD00444</v>
          </cell>
          <cell r="N460">
            <v>860247</v>
          </cell>
          <cell r="O460" t="str">
            <v xml:space="preserve">1.4306 TP304L </v>
          </cell>
          <cell r="P460" t="str">
            <v>304L</v>
          </cell>
          <cell r="Q460">
            <v>3.8620000000000001</v>
          </cell>
          <cell r="R460">
            <v>3.863</v>
          </cell>
          <cell r="S460">
            <v>6.3E-2</v>
          </cell>
          <cell r="T460">
            <v>6.2E-2</v>
          </cell>
          <cell r="V460">
            <v>6.2E-2</v>
          </cell>
          <cell r="X460">
            <v>3564</v>
          </cell>
          <cell r="Y460">
            <v>1</v>
          </cell>
          <cell r="Z460">
            <v>922.83790781978246</v>
          </cell>
          <cell r="AA460" t="str">
            <v>3.862X0.063-304L</v>
          </cell>
          <cell r="AB460" t="str">
            <v>WAAC009810160B300060</v>
          </cell>
          <cell r="AC460" t="str">
            <v>D2003117</v>
          </cell>
          <cell r="AD460">
            <v>860247</v>
          </cell>
          <cell r="AE460">
            <v>1.9E-2</v>
          </cell>
          <cell r="AF460">
            <v>1.64</v>
          </cell>
          <cell r="AG460">
            <v>3.5000000000000003E-2</v>
          </cell>
          <cell r="AH460">
            <v>0</v>
          </cell>
          <cell r="AI460">
            <v>0.39</v>
          </cell>
          <cell r="AJ460">
            <v>18.100000000000001</v>
          </cell>
          <cell r="AK460">
            <v>8.1</v>
          </cell>
          <cell r="AL460">
            <v>7.0000000000000007E-2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T460">
            <v>295</v>
          </cell>
          <cell r="AU460">
            <v>0</v>
          </cell>
          <cell r="AV460">
            <v>629</v>
          </cell>
          <cell r="AW460">
            <v>61</v>
          </cell>
          <cell r="AX460">
            <v>80</v>
          </cell>
          <cell r="AY460">
            <v>150</v>
          </cell>
          <cell r="AZ460">
            <v>1.36</v>
          </cell>
          <cell r="BA460" t="str">
            <v>D2003117</v>
          </cell>
          <cell r="BB460" t="str">
            <v>CONFORM</v>
          </cell>
          <cell r="BC460" t="str">
            <v>CONFORM</v>
          </cell>
          <cell r="BD460" t="str">
            <v>CONFORM</v>
          </cell>
          <cell r="BE460" t="str">
            <v>CONFORM</v>
          </cell>
          <cell r="BF460" t="str">
            <v>CONFORM</v>
          </cell>
        </row>
        <row r="461">
          <cell r="A461">
            <v>43915</v>
          </cell>
          <cell r="B461" t="str">
            <v>D2003117-3</v>
          </cell>
          <cell r="C461" t="str">
            <v>012/20</v>
          </cell>
          <cell r="D461">
            <v>1</v>
          </cell>
          <cell r="E461">
            <v>43915</v>
          </cell>
          <cell r="F461" t="str">
            <v>DC</v>
          </cell>
          <cell r="G461" t="str">
            <v>On Time</v>
          </cell>
          <cell r="H461" t="str">
            <v>L363585</v>
          </cell>
          <cell r="I461">
            <v>43915</v>
          </cell>
          <cell r="J461" t="str">
            <v>ATI</v>
          </cell>
          <cell r="K461" t="str">
            <v>D2003117</v>
          </cell>
          <cell r="L461">
            <v>3</v>
          </cell>
          <cell r="M461" t="str">
            <v>AAD00444</v>
          </cell>
          <cell r="N461">
            <v>860247</v>
          </cell>
          <cell r="O461" t="str">
            <v xml:space="preserve">1.4306 TP304L </v>
          </cell>
          <cell r="P461" t="str">
            <v>304L</v>
          </cell>
          <cell r="Q461">
            <v>3.8620000000000001</v>
          </cell>
          <cell r="R461">
            <v>3.863</v>
          </cell>
          <cell r="S461">
            <v>6.3E-2</v>
          </cell>
          <cell r="T461">
            <v>6.2E-2</v>
          </cell>
          <cell r="V461">
            <v>6.2E-2</v>
          </cell>
          <cell r="X461">
            <v>3562</v>
          </cell>
          <cell r="Y461">
            <v>1</v>
          </cell>
          <cell r="Z461">
            <v>922.32004142931123</v>
          </cell>
          <cell r="AA461" t="str">
            <v>3.862X0.063-304L</v>
          </cell>
          <cell r="AB461" t="str">
            <v>WAAC009810160B300060</v>
          </cell>
          <cell r="AC461" t="str">
            <v>D2003117</v>
          </cell>
          <cell r="AD461">
            <v>860247</v>
          </cell>
          <cell r="AE461">
            <v>1.9E-2</v>
          </cell>
          <cell r="AF461">
            <v>1.64</v>
          </cell>
          <cell r="AG461">
            <v>3.5000000000000003E-2</v>
          </cell>
          <cell r="AH461">
            <v>0</v>
          </cell>
          <cell r="AI461">
            <v>0.39</v>
          </cell>
          <cell r="AJ461">
            <v>18.100000000000001</v>
          </cell>
          <cell r="AK461">
            <v>8.1</v>
          </cell>
          <cell r="AL461">
            <v>7.0000000000000007E-2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T461">
            <v>295</v>
          </cell>
          <cell r="AU461">
            <v>0</v>
          </cell>
          <cell r="AV461">
            <v>629</v>
          </cell>
          <cell r="AW461">
            <v>61</v>
          </cell>
          <cell r="AX461">
            <v>80</v>
          </cell>
          <cell r="AY461">
            <v>150</v>
          </cell>
          <cell r="AZ461">
            <v>1.36</v>
          </cell>
          <cell r="BA461" t="str">
            <v>D2003117</v>
          </cell>
          <cell r="BB461" t="str">
            <v>CONFORM</v>
          </cell>
          <cell r="BC461" t="str">
            <v>CONFORM</v>
          </cell>
          <cell r="BD461" t="str">
            <v>CONFORM</v>
          </cell>
          <cell r="BE461" t="str">
            <v>CONFORM</v>
          </cell>
          <cell r="BF461" t="str">
            <v>CONFORM</v>
          </cell>
        </row>
        <row r="462">
          <cell r="A462">
            <v>43915</v>
          </cell>
          <cell r="B462" t="str">
            <v>D2003117-4</v>
          </cell>
          <cell r="C462" t="str">
            <v>012/20</v>
          </cell>
          <cell r="D462">
            <v>1</v>
          </cell>
          <cell r="E462">
            <v>43915</v>
          </cell>
          <cell r="F462" t="str">
            <v>DC</v>
          </cell>
          <cell r="G462" t="str">
            <v>On Time</v>
          </cell>
          <cell r="H462" t="str">
            <v>L363585</v>
          </cell>
          <cell r="I462">
            <v>43915</v>
          </cell>
          <cell r="J462" t="str">
            <v>ATI</v>
          </cell>
          <cell r="K462" t="str">
            <v>D2003117</v>
          </cell>
          <cell r="L462">
            <v>4</v>
          </cell>
          <cell r="M462" t="str">
            <v>AAD00444</v>
          </cell>
          <cell r="N462">
            <v>860247</v>
          </cell>
          <cell r="O462" t="str">
            <v xml:space="preserve">1.4306 TP304L </v>
          </cell>
          <cell r="P462" t="str">
            <v>304L</v>
          </cell>
          <cell r="Q462">
            <v>3.8620000000000001</v>
          </cell>
          <cell r="R462">
            <v>3.863</v>
          </cell>
          <cell r="S462">
            <v>6.3E-2</v>
          </cell>
          <cell r="T462">
            <v>6.2E-2</v>
          </cell>
          <cell r="V462">
            <v>6.2E-2</v>
          </cell>
          <cell r="X462">
            <v>3508</v>
          </cell>
          <cell r="Y462">
            <v>1</v>
          </cell>
          <cell r="Z462">
            <v>908.3376488865872</v>
          </cell>
          <cell r="AA462" t="str">
            <v>3.862X0.063-304L</v>
          </cell>
          <cell r="AB462" t="str">
            <v>WAAC009810160B300060</v>
          </cell>
          <cell r="AC462" t="str">
            <v>D2003117</v>
          </cell>
          <cell r="AD462">
            <v>860247</v>
          </cell>
          <cell r="AE462">
            <v>1.9E-2</v>
          </cell>
          <cell r="AF462">
            <v>1.64</v>
          </cell>
          <cell r="AG462">
            <v>3.5000000000000003E-2</v>
          </cell>
          <cell r="AH462">
            <v>0</v>
          </cell>
          <cell r="AI462">
            <v>0.39</v>
          </cell>
          <cell r="AJ462">
            <v>18.100000000000001</v>
          </cell>
          <cell r="AK462">
            <v>8.1</v>
          </cell>
          <cell r="AL462">
            <v>7.0000000000000007E-2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T462">
            <v>295</v>
          </cell>
          <cell r="AU462">
            <v>0</v>
          </cell>
          <cell r="AV462">
            <v>629</v>
          </cell>
          <cell r="AW462">
            <v>61</v>
          </cell>
          <cell r="AX462">
            <v>80</v>
          </cell>
          <cell r="AY462">
            <v>150</v>
          </cell>
          <cell r="AZ462">
            <v>1.36</v>
          </cell>
          <cell r="BA462" t="str">
            <v>D2003117</v>
          </cell>
          <cell r="BB462" t="str">
            <v>CONFORM</v>
          </cell>
          <cell r="BC462" t="str">
            <v>CONFORM</v>
          </cell>
          <cell r="BD462" t="str">
            <v>CONFORM</v>
          </cell>
          <cell r="BE462" t="str">
            <v>CONFORM</v>
          </cell>
          <cell r="BF462" t="str">
            <v>CONFORM</v>
          </cell>
        </row>
        <row r="463">
          <cell r="A463">
            <v>43915</v>
          </cell>
          <cell r="B463" t="str">
            <v>D2003117-5</v>
          </cell>
          <cell r="C463" t="str">
            <v>012/20</v>
          </cell>
          <cell r="D463">
            <v>1</v>
          </cell>
          <cell r="E463">
            <v>43915</v>
          </cell>
          <cell r="F463" t="str">
            <v>DC</v>
          </cell>
          <cell r="G463" t="str">
            <v>On Time</v>
          </cell>
          <cell r="H463" t="str">
            <v>L363585</v>
          </cell>
          <cell r="I463">
            <v>43915</v>
          </cell>
          <cell r="J463" t="str">
            <v>ATI</v>
          </cell>
          <cell r="K463" t="str">
            <v>D2003117</v>
          </cell>
          <cell r="L463">
            <v>5</v>
          </cell>
          <cell r="M463" t="str">
            <v>AAD00444</v>
          </cell>
          <cell r="N463">
            <v>860247</v>
          </cell>
          <cell r="O463" t="str">
            <v xml:space="preserve">1.4306 TP304L </v>
          </cell>
          <cell r="P463" t="str">
            <v>304L</v>
          </cell>
          <cell r="Q463">
            <v>3.8620000000000001</v>
          </cell>
          <cell r="R463">
            <v>3.863</v>
          </cell>
          <cell r="S463">
            <v>6.3E-2</v>
          </cell>
          <cell r="T463">
            <v>6.2E-2</v>
          </cell>
          <cell r="V463">
            <v>6.2E-2</v>
          </cell>
          <cell r="X463">
            <v>3530</v>
          </cell>
          <cell r="Y463">
            <v>1</v>
          </cell>
          <cell r="Z463">
            <v>914.03417918177104</v>
          </cell>
          <cell r="AA463" t="str">
            <v>3.862X0.063-304L</v>
          </cell>
          <cell r="AB463" t="str">
            <v>WAAC009810160B300060</v>
          </cell>
          <cell r="AC463" t="str">
            <v>D2003117</v>
          </cell>
          <cell r="AD463">
            <v>860247</v>
          </cell>
          <cell r="AE463">
            <v>1.9E-2</v>
          </cell>
          <cell r="AF463">
            <v>1.64</v>
          </cell>
          <cell r="AG463">
            <v>3.5000000000000003E-2</v>
          </cell>
          <cell r="AH463">
            <v>0</v>
          </cell>
          <cell r="AI463">
            <v>0.39</v>
          </cell>
          <cell r="AJ463">
            <v>18.100000000000001</v>
          </cell>
          <cell r="AK463">
            <v>8.1</v>
          </cell>
          <cell r="AL463">
            <v>7.0000000000000007E-2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T463">
            <v>295</v>
          </cell>
          <cell r="AU463">
            <v>0</v>
          </cell>
          <cell r="AV463">
            <v>629</v>
          </cell>
          <cell r="AW463">
            <v>61</v>
          </cell>
          <cell r="AX463">
            <v>80</v>
          </cell>
          <cell r="AY463">
            <v>150</v>
          </cell>
          <cell r="AZ463">
            <v>1.36</v>
          </cell>
          <cell r="BA463" t="str">
            <v>D2003117</v>
          </cell>
          <cell r="BB463" t="str">
            <v>CONFORM</v>
          </cell>
          <cell r="BC463" t="str">
            <v>CONFORM</v>
          </cell>
          <cell r="BD463" t="str">
            <v>CONFORM</v>
          </cell>
          <cell r="BE463" t="str">
            <v>CONFORM</v>
          </cell>
          <cell r="BF463" t="str">
            <v>CONFORM</v>
          </cell>
        </row>
        <row r="464">
          <cell r="A464">
            <v>43915</v>
          </cell>
          <cell r="B464" t="str">
            <v>D2003117-6</v>
          </cell>
          <cell r="C464" t="str">
            <v>012/20</v>
          </cell>
          <cell r="D464">
            <v>1</v>
          </cell>
          <cell r="E464">
            <v>43915</v>
          </cell>
          <cell r="F464" t="str">
            <v>DC</v>
          </cell>
          <cell r="G464" t="str">
            <v>On Time</v>
          </cell>
          <cell r="H464" t="str">
            <v>L363585</v>
          </cell>
          <cell r="I464">
            <v>43915</v>
          </cell>
          <cell r="J464" t="str">
            <v>ATI</v>
          </cell>
          <cell r="K464" t="str">
            <v>D2003117</v>
          </cell>
          <cell r="L464">
            <v>6</v>
          </cell>
          <cell r="M464" t="str">
            <v>AAD00444</v>
          </cell>
          <cell r="N464">
            <v>860247</v>
          </cell>
          <cell r="O464" t="str">
            <v xml:space="preserve">1.4306 TP304L </v>
          </cell>
          <cell r="P464" t="str">
            <v>304L</v>
          </cell>
          <cell r="Q464">
            <v>3.8620000000000001</v>
          </cell>
          <cell r="R464">
            <v>3.863</v>
          </cell>
          <cell r="S464">
            <v>6.3E-2</v>
          </cell>
          <cell r="T464">
            <v>6.2E-2</v>
          </cell>
          <cell r="V464">
            <v>6.2E-2</v>
          </cell>
          <cell r="X464">
            <v>3540</v>
          </cell>
          <cell r="Y464">
            <v>1</v>
          </cell>
          <cell r="Z464">
            <v>916.6235111341274</v>
          </cell>
          <cell r="AA464" t="str">
            <v>3.862X0.063-304L</v>
          </cell>
          <cell r="AB464" t="str">
            <v>WAAC009810160B300060</v>
          </cell>
          <cell r="AC464" t="str">
            <v>D2003117</v>
          </cell>
          <cell r="AD464">
            <v>860247</v>
          </cell>
          <cell r="AE464">
            <v>1.9E-2</v>
          </cell>
          <cell r="AF464">
            <v>1.64</v>
          </cell>
          <cell r="AG464">
            <v>3.5000000000000003E-2</v>
          </cell>
          <cell r="AH464">
            <v>0</v>
          </cell>
          <cell r="AI464">
            <v>0.39</v>
          </cell>
          <cell r="AJ464">
            <v>18.100000000000001</v>
          </cell>
          <cell r="AK464">
            <v>8.1</v>
          </cell>
          <cell r="AL464">
            <v>7.0000000000000007E-2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T464">
            <v>295</v>
          </cell>
          <cell r="AU464">
            <v>0</v>
          </cell>
          <cell r="AV464">
            <v>629</v>
          </cell>
          <cell r="AW464">
            <v>61</v>
          </cell>
          <cell r="AX464">
            <v>80</v>
          </cell>
          <cell r="AY464">
            <v>150</v>
          </cell>
          <cell r="AZ464">
            <v>1.36</v>
          </cell>
          <cell r="BA464" t="str">
            <v>D2003117</v>
          </cell>
          <cell r="BB464" t="str">
            <v>CONFORM</v>
          </cell>
          <cell r="BC464" t="str">
            <v>CONFORM</v>
          </cell>
          <cell r="BD464" t="str">
            <v>CONFORM</v>
          </cell>
          <cell r="BE464" t="str">
            <v>CONFORM</v>
          </cell>
          <cell r="BF464" t="str">
            <v>CONFORM</v>
          </cell>
        </row>
        <row r="465">
          <cell r="A465">
            <v>43915</v>
          </cell>
          <cell r="B465" t="str">
            <v>D2003118-1</v>
          </cell>
          <cell r="C465" t="str">
            <v>012/20</v>
          </cell>
          <cell r="D465">
            <v>2</v>
          </cell>
          <cell r="E465">
            <v>43915</v>
          </cell>
          <cell r="F465" t="str">
            <v>DC</v>
          </cell>
          <cell r="G465" t="str">
            <v>On Time</v>
          </cell>
          <cell r="H465" t="str">
            <v>L363585</v>
          </cell>
          <cell r="I465">
            <v>43915</v>
          </cell>
          <cell r="J465" t="str">
            <v>ATI</v>
          </cell>
          <cell r="K465" t="str">
            <v>D2003118</v>
          </cell>
          <cell r="L465">
            <v>1</v>
          </cell>
          <cell r="M465" t="str">
            <v>AAD00444</v>
          </cell>
          <cell r="N465">
            <v>860247</v>
          </cell>
          <cell r="O465" t="str">
            <v xml:space="preserve">1.4306 TP304L </v>
          </cell>
          <cell r="P465" t="str">
            <v>304L</v>
          </cell>
          <cell r="Q465">
            <v>2.2759999999999998</v>
          </cell>
          <cell r="R465">
            <v>2.2770000000000001</v>
          </cell>
          <cell r="S465">
            <v>6.3E-2</v>
          </cell>
          <cell r="T465">
            <v>6.2E-2</v>
          </cell>
          <cell r="V465">
            <v>6.2E-2</v>
          </cell>
          <cell r="X465">
            <v>4172</v>
          </cell>
          <cell r="Y465">
            <v>2</v>
          </cell>
          <cell r="Z465">
            <v>916.52021089630944</v>
          </cell>
          <cell r="AA465" t="str">
            <v>2.276X0.063-304L</v>
          </cell>
          <cell r="AB465" t="str">
            <v>WAAC005780160B300010</v>
          </cell>
          <cell r="AC465" t="str">
            <v>D2003118</v>
          </cell>
          <cell r="AD465">
            <v>860247</v>
          </cell>
          <cell r="AE465">
            <v>1.9E-2</v>
          </cell>
          <cell r="AF465">
            <v>1.64</v>
          </cell>
          <cell r="AG465">
            <v>3.5000000000000003E-2</v>
          </cell>
          <cell r="AH465">
            <v>0</v>
          </cell>
          <cell r="AI465">
            <v>0.39</v>
          </cell>
          <cell r="AJ465">
            <v>18.100000000000001</v>
          </cell>
          <cell r="AK465">
            <v>8.1</v>
          </cell>
          <cell r="AL465">
            <v>7.0000000000000007E-2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T465">
            <v>295</v>
          </cell>
          <cell r="AU465">
            <v>0</v>
          </cell>
          <cell r="AV465">
            <v>629</v>
          </cell>
          <cell r="AW465">
            <v>61</v>
          </cell>
          <cell r="AX465">
            <v>80</v>
          </cell>
          <cell r="AY465">
            <v>150</v>
          </cell>
          <cell r="AZ465">
            <v>1.36</v>
          </cell>
          <cell r="BA465" t="str">
            <v>D2003118</v>
          </cell>
          <cell r="BB465" t="str">
            <v>CONFORM</v>
          </cell>
          <cell r="BC465" t="str">
            <v>CONFORM</v>
          </cell>
          <cell r="BD465" t="str">
            <v>CONFORM</v>
          </cell>
          <cell r="BE465" t="str">
            <v>CONFORM</v>
          </cell>
          <cell r="BF465" t="str">
            <v>CONFORM</v>
          </cell>
        </row>
        <row r="466">
          <cell r="A466">
            <v>43915</v>
          </cell>
          <cell r="B466" t="str">
            <v>D2003118-2</v>
          </cell>
          <cell r="C466" t="str">
            <v>012/20</v>
          </cell>
          <cell r="D466">
            <v>2</v>
          </cell>
          <cell r="E466">
            <v>43915</v>
          </cell>
          <cell r="F466" t="str">
            <v>DC</v>
          </cell>
          <cell r="G466" t="str">
            <v>On Time</v>
          </cell>
          <cell r="H466" t="str">
            <v>L363585</v>
          </cell>
          <cell r="I466">
            <v>43915</v>
          </cell>
          <cell r="J466" t="str">
            <v>ATI</v>
          </cell>
          <cell r="K466" t="str">
            <v>D2003118</v>
          </cell>
          <cell r="L466">
            <v>2</v>
          </cell>
          <cell r="M466" t="str">
            <v>AAD00444</v>
          </cell>
          <cell r="N466">
            <v>860247</v>
          </cell>
          <cell r="O466" t="str">
            <v xml:space="preserve">1.4306 TP304L </v>
          </cell>
          <cell r="P466" t="str">
            <v>304L</v>
          </cell>
          <cell r="Q466">
            <v>2.2759999999999998</v>
          </cell>
          <cell r="R466">
            <v>2.274</v>
          </cell>
          <cell r="S466">
            <v>6.3E-2</v>
          </cell>
          <cell r="T466">
            <v>6.2E-2</v>
          </cell>
          <cell r="V466">
            <v>6.2E-2</v>
          </cell>
          <cell r="X466">
            <v>4168</v>
          </cell>
          <cell r="Y466">
            <v>2</v>
          </cell>
          <cell r="Z466">
            <v>915.64147627416526</v>
          </cell>
          <cell r="AA466" t="str">
            <v>2.276X0.063-304L</v>
          </cell>
          <cell r="AB466" t="str">
            <v>WAAC005780160B300010</v>
          </cell>
          <cell r="AC466" t="str">
            <v>D2003118</v>
          </cell>
          <cell r="AD466">
            <v>860247</v>
          </cell>
          <cell r="AE466">
            <v>1.9E-2</v>
          </cell>
          <cell r="AF466">
            <v>1.64</v>
          </cell>
          <cell r="AG466">
            <v>3.5000000000000003E-2</v>
          </cell>
          <cell r="AH466">
            <v>0</v>
          </cell>
          <cell r="AI466">
            <v>0.39</v>
          </cell>
          <cell r="AJ466">
            <v>18.100000000000001</v>
          </cell>
          <cell r="AK466">
            <v>8.1</v>
          </cell>
          <cell r="AL466">
            <v>7.0000000000000007E-2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T466">
            <v>295</v>
          </cell>
          <cell r="AU466">
            <v>0</v>
          </cell>
          <cell r="AV466">
            <v>629</v>
          </cell>
          <cell r="AW466">
            <v>61</v>
          </cell>
          <cell r="AX466">
            <v>80</v>
          </cell>
          <cell r="AY466">
            <v>150</v>
          </cell>
          <cell r="AZ466">
            <v>1.36</v>
          </cell>
          <cell r="BA466" t="str">
            <v>D2003118</v>
          </cell>
          <cell r="BB466" t="str">
            <v>CONFORM</v>
          </cell>
          <cell r="BC466" t="str">
            <v>CONFORM</v>
          </cell>
          <cell r="BD466" t="str">
            <v>CONFORM</v>
          </cell>
          <cell r="BE466" t="str">
            <v>CONFORM</v>
          </cell>
          <cell r="BF466" t="str">
            <v>CONFORM</v>
          </cell>
        </row>
        <row r="467">
          <cell r="A467">
            <v>43915</v>
          </cell>
          <cell r="B467" t="str">
            <v>D2003118-3</v>
          </cell>
          <cell r="C467" t="str">
            <v>012/20</v>
          </cell>
          <cell r="D467">
            <v>2</v>
          </cell>
          <cell r="E467">
            <v>43915</v>
          </cell>
          <cell r="F467" t="str">
            <v>DC</v>
          </cell>
          <cell r="G467" t="str">
            <v>On Time</v>
          </cell>
          <cell r="H467" t="str">
            <v>L363585</v>
          </cell>
          <cell r="I467">
            <v>43915</v>
          </cell>
          <cell r="J467" t="str">
            <v>ATI</v>
          </cell>
          <cell r="K467" t="str">
            <v>D2003118</v>
          </cell>
          <cell r="L467">
            <v>3</v>
          </cell>
          <cell r="M467" t="str">
            <v>AAD00444</v>
          </cell>
          <cell r="N467">
            <v>860247</v>
          </cell>
          <cell r="O467" t="str">
            <v xml:space="preserve">1.4306 TP304L </v>
          </cell>
          <cell r="P467" t="str">
            <v>304L</v>
          </cell>
          <cell r="Q467">
            <v>2.2759999999999998</v>
          </cell>
          <cell r="R467">
            <v>2.2759999999999998</v>
          </cell>
          <cell r="S467">
            <v>6.3E-2</v>
          </cell>
          <cell r="T467">
            <v>6.2E-2</v>
          </cell>
          <cell r="V467">
            <v>6.2E-2</v>
          </cell>
          <cell r="X467">
            <v>2058</v>
          </cell>
          <cell r="Y467">
            <v>1</v>
          </cell>
          <cell r="Z467">
            <v>904.21792618629183</v>
          </cell>
          <cell r="AA467" t="str">
            <v>2.276X0.063-304L</v>
          </cell>
          <cell r="AB467" t="str">
            <v>WAAC005780160B300010</v>
          </cell>
          <cell r="AC467" t="str">
            <v>D2003118</v>
          </cell>
          <cell r="AD467">
            <v>860247</v>
          </cell>
          <cell r="AE467">
            <v>1.9E-2</v>
          </cell>
          <cell r="AF467">
            <v>1.64</v>
          </cell>
          <cell r="AG467">
            <v>3.5000000000000003E-2</v>
          </cell>
          <cell r="AH467">
            <v>0</v>
          </cell>
          <cell r="AI467">
            <v>0.39</v>
          </cell>
          <cell r="AJ467">
            <v>18.100000000000001</v>
          </cell>
          <cell r="AK467">
            <v>8.1</v>
          </cell>
          <cell r="AL467">
            <v>7.0000000000000007E-2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T467">
            <v>295</v>
          </cell>
          <cell r="AU467">
            <v>0</v>
          </cell>
          <cell r="AV467">
            <v>629</v>
          </cell>
          <cell r="AW467">
            <v>61</v>
          </cell>
          <cell r="AX467">
            <v>80</v>
          </cell>
          <cell r="AY467">
            <v>150</v>
          </cell>
          <cell r="AZ467">
            <v>1.36</v>
          </cell>
          <cell r="BA467" t="str">
            <v>D2003118</v>
          </cell>
          <cell r="BB467" t="str">
            <v>CONFORM</v>
          </cell>
          <cell r="BC467" t="str">
            <v>CONFORM</v>
          </cell>
          <cell r="BD467" t="str">
            <v>CONFORM</v>
          </cell>
          <cell r="BE467" t="str">
            <v>CONFORM</v>
          </cell>
          <cell r="BF467" t="str">
            <v>CONFORM</v>
          </cell>
        </row>
        <row r="468">
          <cell r="A468">
            <v>43915</v>
          </cell>
          <cell r="B468" t="str">
            <v>D2003118-4</v>
          </cell>
          <cell r="C468" t="str">
            <v>012/20</v>
          </cell>
          <cell r="D468">
            <v>2</v>
          </cell>
          <cell r="E468">
            <v>43915</v>
          </cell>
          <cell r="F468" t="str">
            <v>DC</v>
          </cell>
          <cell r="G468" t="str">
            <v>On Time</v>
          </cell>
          <cell r="H468" t="str">
            <v>L363585</v>
          </cell>
          <cell r="I468">
            <v>43915</v>
          </cell>
          <cell r="J468" t="str">
            <v>ATI</v>
          </cell>
          <cell r="K468" t="str">
            <v>D2003118</v>
          </cell>
          <cell r="L468">
            <v>4</v>
          </cell>
          <cell r="M468" t="str">
            <v>AAD00444</v>
          </cell>
          <cell r="N468">
            <v>860247</v>
          </cell>
          <cell r="O468" t="str">
            <v xml:space="preserve">1.4306 TP304L </v>
          </cell>
          <cell r="P468" t="str">
            <v>304L</v>
          </cell>
          <cell r="Q468">
            <v>2.2759999999999998</v>
          </cell>
          <cell r="R468">
            <v>2.2770000000000001</v>
          </cell>
          <cell r="S468">
            <v>6.3E-2</v>
          </cell>
          <cell r="T468">
            <v>6.2E-2</v>
          </cell>
          <cell r="V468">
            <v>6.2E-2</v>
          </cell>
          <cell r="X468">
            <v>4176</v>
          </cell>
          <cell r="Y468">
            <v>2</v>
          </cell>
          <cell r="Z468">
            <v>917.3989455184535</v>
          </cell>
          <cell r="AA468" t="str">
            <v>2.276X0.063-304L</v>
          </cell>
          <cell r="AB468" t="str">
            <v>WAAC005780160B300010</v>
          </cell>
          <cell r="AC468" t="str">
            <v>D2003118</v>
          </cell>
          <cell r="AD468">
            <v>860247</v>
          </cell>
          <cell r="AE468">
            <v>1.9E-2</v>
          </cell>
          <cell r="AF468">
            <v>1.64</v>
          </cell>
          <cell r="AG468">
            <v>3.5000000000000003E-2</v>
          </cell>
          <cell r="AH468">
            <v>0</v>
          </cell>
          <cell r="AI468">
            <v>0.39</v>
          </cell>
          <cell r="AJ468">
            <v>18.100000000000001</v>
          </cell>
          <cell r="AK468">
            <v>8.1</v>
          </cell>
          <cell r="AL468">
            <v>7.0000000000000007E-2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T468">
            <v>295</v>
          </cell>
          <cell r="AU468">
            <v>0</v>
          </cell>
          <cell r="AV468">
            <v>629</v>
          </cell>
          <cell r="AW468">
            <v>61</v>
          </cell>
          <cell r="AX468">
            <v>80</v>
          </cell>
          <cell r="AY468">
            <v>150</v>
          </cell>
          <cell r="AZ468">
            <v>1.36</v>
          </cell>
          <cell r="BA468" t="str">
            <v>D2003118</v>
          </cell>
          <cell r="BB468" t="str">
            <v>CONFORM</v>
          </cell>
          <cell r="BC468" t="str">
            <v>CONFORM</v>
          </cell>
          <cell r="BD468" t="str">
            <v>CONFORM</v>
          </cell>
          <cell r="BE468" t="str">
            <v>CONFORM</v>
          </cell>
          <cell r="BF468" t="str">
            <v>CONFORM</v>
          </cell>
        </row>
        <row r="469">
          <cell r="A469">
            <v>43915</v>
          </cell>
          <cell r="B469" t="str">
            <v>D2003118-5</v>
          </cell>
          <cell r="C469" t="str">
            <v>012/20</v>
          </cell>
          <cell r="D469">
            <v>2</v>
          </cell>
          <cell r="E469">
            <v>43915</v>
          </cell>
          <cell r="F469" t="str">
            <v>DC</v>
          </cell>
          <cell r="G469" t="str">
            <v>On Time</v>
          </cell>
          <cell r="H469" t="str">
            <v>L363585</v>
          </cell>
          <cell r="I469">
            <v>43915</v>
          </cell>
          <cell r="J469" t="str">
            <v>ATI</v>
          </cell>
          <cell r="K469" t="str">
            <v>D2003118</v>
          </cell>
          <cell r="L469">
            <v>5</v>
          </cell>
          <cell r="M469" t="str">
            <v>AAD00444</v>
          </cell>
          <cell r="N469">
            <v>860247</v>
          </cell>
          <cell r="O469" t="str">
            <v xml:space="preserve">1.4306 TP304L </v>
          </cell>
          <cell r="P469" t="str">
            <v>304L</v>
          </cell>
          <cell r="Q469">
            <v>2.2759999999999998</v>
          </cell>
          <cell r="R469">
            <v>2.274</v>
          </cell>
          <cell r="S469">
            <v>6.3E-2</v>
          </cell>
          <cell r="T469">
            <v>6.2E-2</v>
          </cell>
          <cell r="V469">
            <v>6.2E-2</v>
          </cell>
          <cell r="X469">
            <v>4182</v>
          </cell>
          <cell r="Y469">
            <v>2</v>
          </cell>
          <cell r="Z469">
            <v>918.71704745166971</v>
          </cell>
          <cell r="AA469" t="str">
            <v>2.276X0.063-304L</v>
          </cell>
          <cell r="AB469" t="str">
            <v>WAAC005780160B300010</v>
          </cell>
          <cell r="AC469" t="str">
            <v>D2003118</v>
          </cell>
          <cell r="AD469">
            <v>860247</v>
          </cell>
          <cell r="AE469">
            <v>1.9E-2</v>
          </cell>
          <cell r="AF469">
            <v>1.64</v>
          </cell>
          <cell r="AG469">
            <v>3.5000000000000003E-2</v>
          </cell>
          <cell r="AH469">
            <v>0</v>
          </cell>
          <cell r="AI469">
            <v>0.39</v>
          </cell>
          <cell r="AJ469">
            <v>18.100000000000001</v>
          </cell>
          <cell r="AK469">
            <v>8.1</v>
          </cell>
          <cell r="AL469">
            <v>7.0000000000000007E-2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T469">
            <v>295</v>
          </cell>
          <cell r="AU469">
            <v>0</v>
          </cell>
          <cell r="AV469">
            <v>629</v>
          </cell>
          <cell r="AW469">
            <v>61</v>
          </cell>
          <cell r="AX469">
            <v>80</v>
          </cell>
          <cell r="AY469">
            <v>150</v>
          </cell>
          <cell r="AZ469">
            <v>1.36</v>
          </cell>
          <cell r="BA469" t="str">
            <v>D2003118</v>
          </cell>
          <cell r="BB469" t="str">
            <v>CONFORM</v>
          </cell>
          <cell r="BC469" t="str">
            <v>CONFORM</v>
          </cell>
          <cell r="BD469" t="str">
            <v>CONFORM</v>
          </cell>
          <cell r="BE469" t="str">
            <v>CONFORM</v>
          </cell>
          <cell r="BF469" t="str">
            <v>CONFORM</v>
          </cell>
        </row>
        <row r="470">
          <cell r="A470">
            <v>43915</v>
          </cell>
          <cell r="B470" t="str">
            <v>D2003118-6</v>
          </cell>
          <cell r="C470" t="str">
            <v>012/20</v>
          </cell>
          <cell r="D470">
            <v>2</v>
          </cell>
          <cell r="E470">
            <v>43915</v>
          </cell>
          <cell r="F470" t="str">
            <v>DC</v>
          </cell>
          <cell r="G470" t="str">
            <v>On Time</v>
          </cell>
          <cell r="H470" t="str">
            <v>L363585</v>
          </cell>
          <cell r="I470">
            <v>43915</v>
          </cell>
          <cell r="J470" t="str">
            <v>ATI</v>
          </cell>
          <cell r="K470" t="str">
            <v>D2003118</v>
          </cell>
          <cell r="L470">
            <v>6</v>
          </cell>
          <cell r="M470" t="str">
            <v>AAD00444</v>
          </cell>
          <cell r="N470">
            <v>860247</v>
          </cell>
          <cell r="O470" t="str">
            <v xml:space="preserve">1.4306 TP304L </v>
          </cell>
          <cell r="P470" t="str">
            <v>304L</v>
          </cell>
          <cell r="Q470">
            <v>2.2759999999999998</v>
          </cell>
          <cell r="R470">
            <v>2.2759999999999998</v>
          </cell>
          <cell r="S470">
            <v>6.3E-2</v>
          </cell>
          <cell r="T470">
            <v>6.2E-2</v>
          </cell>
          <cell r="V470">
            <v>6.2E-2</v>
          </cell>
          <cell r="X470">
            <v>4182</v>
          </cell>
          <cell r="Y470">
            <v>2</v>
          </cell>
          <cell r="Z470">
            <v>918.71704745166971</v>
          </cell>
          <cell r="AA470" t="str">
            <v>2.276X0.063-304L</v>
          </cell>
          <cell r="AB470" t="str">
            <v>WAAC005780160B300010</v>
          </cell>
          <cell r="AC470" t="str">
            <v>D2003118</v>
          </cell>
          <cell r="AD470">
            <v>860247</v>
          </cell>
          <cell r="AE470">
            <v>1.9E-2</v>
          </cell>
          <cell r="AF470">
            <v>1.64</v>
          </cell>
          <cell r="AG470">
            <v>3.5000000000000003E-2</v>
          </cell>
          <cell r="AH470">
            <v>0</v>
          </cell>
          <cell r="AI470">
            <v>0.39</v>
          </cell>
          <cell r="AJ470">
            <v>18.100000000000001</v>
          </cell>
          <cell r="AK470">
            <v>8.1</v>
          </cell>
          <cell r="AL470">
            <v>7.0000000000000007E-2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T470">
            <v>295</v>
          </cell>
          <cell r="AU470">
            <v>0</v>
          </cell>
          <cell r="AV470">
            <v>629</v>
          </cell>
          <cell r="AW470">
            <v>61</v>
          </cell>
          <cell r="AX470">
            <v>80</v>
          </cell>
          <cell r="AY470">
            <v>150</v>
          </cell>
          <cell r="AZ470">
            <v>1.36</v>
          </cell>
          <cell r="BA470" t="str">
            <v>D2003118</v>
          </cell>
          <cell r="BB470" t="str">
            <v>CONFORM</v>
          </cell>
          <cell r="BC470" t="str">
            <v>CONFORM</v>
          </cell>
          <cell r="BD470" t="str">
            <v>CONFORM</v>
          </cell>
          <cell r="BE470" t="str">
            <v>CONFORM</v>
          </cell>
          <cell r="BF470" t="str">
            <v>CONFORM</v>
          </cell>
        </row>
        <row r="471">
          <cell r="A471">
            <v>43920</v>
          </cell>
          <cell r="B471" t="str">
            <v>D2004001-1</v>
          </cell>
          <cell r="C471" t="str">
            <v>030/20</v>
          </cell>
          <cell r="D471">
            <v>1</v>
          </cell>
          <cell r="E471">
            <v>43913</v>
          </cell>
          <cell r="F471" t="str">
            <v>DC</v>
          </cell>
          <cell r="G471" t="str">
            <v>On Time</v>
          </cell>
          <cell r="H471">
            <v>20200330026</v>
          </cell>
          <cell r="I471">
            <v>43920</v>
          </cell>
          <cell r="J471" t="str">
            <v>COILPLUS</v>
          </cell>
          <cell r="K471" t="str">
            <v>D2004001</v>
          </cell>
          <cell r="L471">
            <v>1</v>
          </cell>
          <cell r="M471" t="str">
            <v>A266325</v>
          </cell>
          <cell r="N471">
            <v>527212</v>
          </cell>
          <cell r="O471" t="str">
            <v xml:space="preserve">1.4306 TP304L </v>
          </cell>
          <cell r="P471" t="str">
            <v>304L</v>
          </cell>
          <cell r="Q471">
            <v>1.5589999999999999</v>
          </cell>
          <cell r="S471">
            <v>3.5000000000000003E-2</v>
          </cell>
          <cell r="T471">
            <v>3.5000000000000003E-2</v>
          </cell>
          <cell r="V471">
            <v>3.5000000000000003E-2</v>
          </cell>
          <cell r="X471">
            <v>4120</v>
          </cell>
          <cell r="Y471">
            <v>6</v>
          </cell>
          <cell r="Z471">
            <v>440.45328201838782</v>
          </cell>
          <cell r="AA471" t="str">
            <v>1.559X0.035-304L</v>
          </cell>
          <cell r="AB471" t="str">
            <v>WAAC003950089B200034</v>
          </cell>
          <cell r="AC471" t="str">
            <v>D2004001</v>
          </cell>
          <cell r="AD471">
            <v>527212</v>
          </cell>
          <cell r="AE471">
            <v>2.1999999999999999E-2</v>
          </cell>
          <cell r="AF471">
            <v>1.48</v>
          </cell>
          <cell r="AG471">
            <v>3.3000000000000002E-2</v>
          </cell>
          <cell r="AH471">
            <v>8.0000000000000004E-4</v>
          </cell>
          <cell r="AI471">
            <v>0.35</v>
          </cell>
          <cell r="AJ471">
            <v>18.16</v>
          </cell>
          <cell r="AK471">
            <v>8.0299999999999994</v>
          </cell>
          <cell r="AL471">
            <v>6.6000000000000003E-2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T471">
            <v>281</v>
          </cell>
          <cell r="AU471">
            <v>0</v>
          </cell>
          <cell r="AV471">
            <v>635</v>
          </cell>
          <cell r="AW471">
            <v>57</v>
          </cell>
          <cell r="AX471">
            <v>82</v>
          </cell>
          <cell r="AY471">
            <v>156</v>
          </cell>
          <cell r="AZ471">
            <v>0.85</v>
          </cell>
          <cell r="BA471" t="str">
            <v>D2004001</v>
          </cell>
          <cell r="BB471" t="str">
            <v>CONFORM</v>
          </cell>
          <cell r="BC471" t="str">
            <v>CONFORM</v>
          </cell>
          <cell r="BD471" t="str">
            <v>CONFORM</v>
          </cell>
          <cell r="BE471" t="str">
            <v>CONFORM</v>
          </cell>
          <cell r="BF471" t="str">
            <v>CONFORM</v>
          </cell>
        </row>
        <row r="472">
          <cell r="A472">
            <v>43920</v>
          </cell>
          <cell r="B472" t="str">
            <v>D2004001-2</v>
          </cell>
          <cell r="C472" t="str">
            <v>030/20</v>
          </cell>
          <cell r="D472">
            <v>1</v>
          </cell>
          <cell r="E472">
            <v>43913</v>
          </cell>
          <cell r="F472" t="str">
            <v>DC</v>
          </cell>
          <cell r="G472" t="str">
            <v>On Time</v>
          </cell>
          <cell r="H472">
            <v>20200330026</v>
          </cell>
          <cell r="I472">
            <v>43920</v>
          </cell>
          <cell r="J472" t="str">
            <v>COILPLUS</v>
          </cell>
          <cell r="K472" t="str">
            <v>D2004001</v>
          </cell>
          <cell r="L472">
            <v>2</v>
          </cell>
          <cell r="M472" t="str">
            <v>A266325</v>
          </cell>
          <cell r="N472">
            <v>527212</v>
          </cell>
          <cell r="O472" t="str">
            <v xml:space="preserve">1.4306 TP304L </v>
          </cell>
          <cell r="P472" t="str">
            <v>304L</v>
          </cell>
          <cell r="Q472">
            <v>1.5589999999999999</v>
          </cell>
          <cell r="S472">
            <v>3.5000000000000003E-2</v>
          </cell>
          <cell r="T472">
            <v>3.5000000000000003E-2</v>
          </cell>
          <cell r="V472">
            <v>3.5000000000000003E-2</v>
          </cell>
          <cell r="X472">
            <v>4128</v>
          </cell>
          <cell r="Y472">
            <v>6</v>
          </cell>
          <cell r="Z472">
            <v>441.3085311096857</v>
          </cell>
          <cell r="AA472" t="str">
            <v>1.559X0.035-304L</v>
          </cell>
          <cell r="AB472" t="str">
            <v>WAAC003950089B200034</v>
          </cell>
          <cell r="AC472" t="str">
            <v>D2004001</v>
          </cell>
          <cell r="AD472">
            <v>527212</v>
          </cell>
          <cell r="AE472">
            <v>2.1999999999999999E-2</v>
          </cell>
          <cell r="AF472">
            <v>1.48</v>
          </cell>
          <cell r="AG472">
            <v>3.3000000000000002E-2</v>
          </cell>
          <cell r="AH472">
            <v>8.0000000000000004E-4</v>
          </cell>
          <cell r="AI472">
            <v>0.35</v>
          </cell>
          <cell r="AJ472">
            <v>18.16</v>
          </cell>
          <cell r="AK472">
            <v>8.0299999999999994</v>
          </cell>
          <cell r="AL472">
            <v>6.6000000000000003E-2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T472">
            <v>281</v>
          </cell>
          <cell r="AU472">
            <v>0</v>
          </cell>
          <cell r="AV472">
            <v>635</v>
          </cell>
          <cell r="AW472">
            <v>57</v>
          </cell>
          <cell r="AX472">
            <v>82</v>
          </cell>
          <cell r="AY472">
            <v>156</v>
          </cell>
          <cell r="AZ472">
            <v>0.85</v>
          </cell>
          <cell r="BA472" t="str">
            <v>D2004001</v>
          </cell>
          <cell r="BB472" t="str">
            <v>CONFORM</v>
          </cell>
          <cell r="BC472" t="str">
            <v>CONFORM</v>
          </cell>
          <cell r="BD472" t="str">
            <v>CONFORM</v>
          </cell>
          <cell r="BE472" t="str">
            <v>CONFORM</v>
          </cell>
          <cell r="BF472" t="str">
            <v>CONFORM</v>
          </cell>
        </row>
        <row r="473">
          <cell r="A473">
            <v>43920</v>
          </cell>
          <cell r="B473" t="str">
            <v>D2004001-3</v>
          </cell>
          <cell r="C473" t="str">
            <v>030/20</v>
          </cell>
          <cell r="D473">
            <v>1</v>
          </cell>
          <cell r="E473">
            <v>43913</v>
          </cell>
          <cell r="F473" t="str">
            <v>DC</v>
          </cell>
          <cell r="G473" t="str">
            <v>On Time</v>
          </cell>
          <cell r="H473">
            <v>20200330026</v>
          </cell>
          <cell r="I473">
            <v>43920</v>
          </cell>
          <cell r="J473" t="str">
            <v>COILPLUS</v>
          </cell>
          <cell r="K473" t="str">
            <v>D2004001</v>
          </cell>
          <cell r="L473">
            <v>3</v>
          </cell>
          <cell r="M473" t="str">
            <v>A266325</v>
          </cell>
          <cell r="N473">
            <v>527212</v>
          </cell>
          <cell r="O473" t="str">
            <v xml:space="preserve">1.4306 TP304L </v>
          </cell>
          <cell r="P473" t="str">
            <v>304L</v>
          </cell>
          <cell r="Q473">
            <v>1.5589999999999999</v>
          </cell>
          <cell r="S473">
            <v>3.5000000000000003E-2</v>
          </cell>
          <cell r="T473">
            <v>3.5000000000000003E-2</v>
          </cell>
          <cell r="V473">
            <v>3.5000000000000003E-2</v>
          </cell>
          <cell r="X473">
            <v>2058</v>
          </cell>
          <cell r="Y473">
            <v>3</v>
          </cell>
          <cell r="Z473">
            <v>440.02565747273894</v>
          </cell>
          <cell r="AA473" t="str">
            <v>1.559X0.035-304L</v>
          </cell>
          <cell r="AB473" t="str">
            <v>WAAC003950089B200034</v>
          </cell>
          <cell r="AC473" t="str">
            <v>D2004001</v>
          </cell>
          <cell r="AD473">
            <v>527212</v>
          </cell>
          <cell r="AE473">
            <v>2.1999999999999999E-2</v>
          </cell>
          <cell r="AF473">
            <v>1.48</v>
          </cell>
          <cell r="AG473">
            <v>3.3000000000000002E-2</v>
          </cell>
          <cell r="AH473">
            <v>8.0000000000000004E-4</v>
          </cell>
          <cell r="AI473">
            <v>0.35</v>
          </cell>
          <cell r="AJ473">
            <v>18.16</v>
          </cell>
          <cell r="AK473">
            <v>8.0299999999999994</v>
          </cell>
          <cell r="AL473">
            <v>6.6000000000000003E-2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T473">
            <v>281</v>
          </cell>
          <cell r="AU473">
            <v>0</v>
          </cell>
          <cell r="AV473">
            <v>635</v>
          </cell>
          <cell r="AW473">
            <v>57</v>
          </cell>
          <cell r="AX473">
            <v>82</v>
          </cell>
          <cell r="AY473">
            <v>156</v>
          </cell>
          <cell r="AZ473">
            <v>0.85</v>
          </cell>
          <cell r="BA473" t="str">
            <v>D2004001</v>
          </cell>
          <cell r="BB473" t="str">
            <v>CONFORM</v>
          </cell>
          <cell r="BC473" t="str">
            <v>CONFORM</v>
          </cell>
          <cell r="BD473" t="str">
            <v>CONFORM</v>
          </cell>
          <cell r="BE473" t="str">
            <v>CONFORM</v>
          </cell>
          <cell r="BF473" t="str">
            <v>CONFORM</v>
          </cell>
        </row>
        <row r="474">
          <cell r="A474">
            <v>43920</v>
          </cell>
          <cell r="B474" t="str">
            <v>D2004001-4</v>
          </cell>
          <cell r="C474" t="str">
            <v>030/20</v>
          </cell>
          <cell r="D474">
            <v>1</v>
          </cell>
          <cell r="E474">
            <v>43913</v>
          </cell>
          <cell r="F474" t="str">
            <v>DC</v>
          </cell>
          <cell r="G474" t="str">
            <v>On Time</v>
          </cell>
          <cell r="H474">
            <v>20200330026</v>
          </cell>
          <cell r="I474">
            <v>43920</v>
          </cell>
          <cell r="J474" t="str">
            <v>COILPLUS</v>
          </cell>
          <cell r="K474" t="str">
            <v>D2004001</v>
          </cell>
          <cell r="L474">
            <v>4</v>
          </cell>
          <cell r="M474" t="str">
            <v>A266325</v>
          </cell>
          <cell r="N474">
            <v>527212</v>
          </cell>
          <cell r="O474" t="str">
            <v xml:space="preserve">1.4306 TP304L </v>
          </cell>
          <cell r="P474" t="str">
            <v>304L</v>
          </cell>
          <cell r="Q474">
            <v>1.5589999999999999</v>
          </cell>
          <cell r="S474">
            <v>3.5000000000000003E-2</v>
          </cell>
          <cell r="T474">
            <v>3.5000000000000003E-2</v>
          </cell>
          <cell r="V474">
            <v>3.5000000000000003E-2</v>
          </cell>
          <cell r="X474">
            <v>1399</v>
          </cell>
          <cell r="Y474">
            <v>2</v>
          </cell>
          <cell r="Z474">
            <v>448.68505452212958</v>
          </cell>
          <cell r="AA474" t="str">
            <v>1.559X0.035-304L</v>
          </cell>
          <cell r="AB474" t="str">
            <v>WAAC003950089B200034</v>
          </cell>
          <cell r="AC474" t="str">
            <v>D2004001</v>
          </cell>
          <cell r="AD474">
            <v>527212</v>
          </cell>
          <cell r="AE474">
            <v>2.1999999999999999E-2</v>
          </cell>
          <cell r="AF474">
            <v>1.48</v>
          </cell>
          <cell r="AG474">
            <v>3.3000000000000002E-2</v>
          </cell>
          <cell r="AH474">
            <v>8.0000000000000004E-4</v>
          </cell>
          <cell r="AI474">
            <v>0.35</v>
          </cell>
          <cell r="AJ474">
            <v>18.16</v>
          </cell>
          <cell r="AK474">
            <v>8.0299999999999994</v>
          </cell>
          <cell r="AL474">
            <v>6.6000000000000003E-2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T474">
            <v>281</v>
          </cell>
          <cell r="AU474">
            <v>0</v>
          </cell>
          <cell r="AV474">
            <v>635</v>
          </cell>
          <cell r="AW474">
            <v>57</v>
          </cell>
          <cell r="AX474">
            <v>82</v>
          </cell>
          <cell r="AY474">
            <v>156</v>
          </cell>
          <cell r="AZ474">
            <v>0.85</v>
          </cell>
          <cell r="BA474" t="str">
            <v>D2004001</v>
          </cell>
          <cell r="BB474" t="str">
            <v>CONFORM</v>
          </cell>
          <cell r="BC474" t="str">
            <v>CONFORM</v>
          </cell>
          <cell r="BD474" t="str">
            <v>CONFORM</v>
          </cell>
          <cell r="BE474" t="str">
            <v>CONFORM</v>
          </cell>
          <cell r="BF474" t="str">
            <v>CONFORM</v>
          </cell>
        </row>
        <row r="475">
          <cell r="A475">
            <v>43920</v>
          </cell>
          <cell r="B475" t="str">
            <v>D2004002-1</v>
          </cell>
          <cell r="C475" t="str">
            <v>030/20</v>
          </cell>
          <cell r="D475">
            <v>2</v>
          </cell>
          <cell r="E475">
            <v>43913</v>
          </cell>
          <cell r="F475" t="str">
            <v>DC</v>
          </cell>
          <cell r="G475" t="str">
            <v>On Time</v>
          </cell>
          <cell r="H475">
            <v>20200330026</v>
          </cell>
          <cell r="I475">
            <v>43920</v>
          </cell>
          <cell r="J475" t="str">
            <v>COILPLUS</v>
          </cell>
          <cell r="K475" t="str">
            <v>D2004002</v>
          </cell>
          <cell r="L475">
            <v>1</v>
          </cell>
          <cell r="M475" t="str">
            <v>A266325</v>
          </cell>
          <cell r="N475">
            <v>527212</v>
          </cell>
          <cell r="O475" t="str">
            <v xml:space="preserve">1.4306 TP304L </v>
          </cell>
          <cell r="P475" t="str">
            <v>304L</v>
          </cell>
          <cell r="Q475">
            <v>1.7170000000000001</v>
          </cell>
          <cell r="R475">
            <v>1.7150000000000001</v>
          </cell>
          <cell r="S475">
            <v>3.5000000000000003E-2</v>
          </cell>
          <cell r="T475">
            <v>3.5000000000000003E-2</v>
          </cell>
          <cell r="V475">
            <v>3.5000000000000003E-2</v>
          </cell>
          <cell r="X475">
            <v>3770</v>
          </cell>
          <cell r="Y475">
            <v>5</v>
          </cell>
          <cell r="Z475">
            <v>439.13803145020381</v>
          </cell>
          <cell r="AA475" t="str">
            <v>1.717X0.035-304L</v>
          </cell>
          <cell r="AB475" t="str">
            <v>WAAC004360089B200033</v>
          </cell>
          <cell r="AC475" t="str">
            <v>D2004002</v>
          </cell>
          <cell r="AD475">
            <v>527212</v>
          </cell>
          <cell r="AE475">
            <v>2.1999999999999999E-2</v>
          </cell>
          <cell r="AF475">
            <v>1.48</v>
          </cell>
          <cell r="AG475">
            <v>3.3000000000000002E-2</v>
          </cell>
          <cell r="AH475">
            <v>8.0000000000000004E-4</v>
          </cell>
          <cell r="AI475">
            <v>0.35</v>
          </cell>
          <cell r="AJ475">
            <v>18.16</v>
          </cell>
          <cell r="AK475">
            <v>8.0299999999999994</v>
          </cell>
          <cell r="AL475">
            <v>6.6000000000000003E-2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T475">
            <v>281</v>
          </cell>
          <cell r="AU475">
            <v>0</v>
          </cell>
          <cell r="AV475">
            <v>635</v>
          </cell>
          <cell r="AW475">
            <v>57</v>
          </cell>
          <cell r="AX475">
            <v>82</v>
          </cell>
          <cell r="AY475">
            <v>156</v>
          </cell>
          <cell r="AZ475">
            <v>0.85</v>
          </cell>
          <cell r="BA475" t="str">
            <v>D2004002</v>
          </cell>
          <cell r="BB475" t="str">
            <v>CONFORM</v>
          </cell>
          <cell r="BC475" t="str">
            <v>CONFORM</v>
          </cell>
          <cell r="BD475" t="str">
            <v>CONFORM</v>
          </cell>
          <cell r="BE475" t="str">
            <v>CONFORM</v>
          </cell>
          <cell r="BF475" t="str">
            <v>CONFORM</v>
          </cell>
        </row>
        <row r="476">
          <cell r="A476">
            <v>43920</v>
          </cell>
          <cell r="B476" t="str">
            <v>D2004002-2</v>
          </cell>
          <cell r="C476" t="str">
            <v>030/20</v>
          </cell>
          <cell r="D476">
            <v>2</v>
          </cell>
          <cell r="E476">
            <v>43913</v>
          </cell>
          <cell r="F476" t="str">
            <v>DC</v>
          </cell>
          <cell r="G476" t="str">
            <v>On Time</v>
          </cell>
          <cell r="H476">
            <v>20200330026</v>
          </cell>
          <cell r="I476">
            <v>43920</v>
          </cell>
          <cell r="J476" t="str">
            <v>COILPLUS</v>
          </cell>
          <cell r="K476" t="str">
            <v>D2004002</v>
          </cell>
          <cell r="L476">
            <v>2</v>
          </cell>
          <cell r="M476" t="str">
            <v>A266325</v>
          </cell>
          <cell r="N476">
            <v>527212</v>
          </cell>
          <cell r="O476" t="str">
            <v xml:space="preserve">1.4306 TP304L </v>
          </cell>
          <cell r="P476" t="str">
            <v>304L</v>
          </cell>
          <cell r="Q476">
            <v>1.7170000000000001</v>
          </cell>
          <cell r="R476">
            <v>1.7150000000000001</v>
          </cell>
          <cell r="S476">
            <v>3.5000000000000003E-2</v>
          </cell>
          <cell r="T476">
            <v>3.5000000000000003E-2</v>
          </cell>
          <cell r="V476">
            <v>3.5000000000000003E-2</v>
          </cell>
          <cell r="X476">
            <v>4540</v>
          </cell>
          <cell r="Y476">
            <v>6</v>
          </cell>
          <cell r="Z476">
            <v>440.69112793632303</v>
          </cell>
          <cell r="AA476" t="str">
            <v>1.717X0.035-304L</v>
          </cell>
          <cell r="AB476" t="str">
            <v>WAAC004360089B200033</v>
          </cell>
          <cell r="AC476" t="str">
            <v>D2004002</v>
          </cell>
          <cell r="AD476">
            <v>527212</v>
          </cell>
          <cell r="AE476">
            <v>2.1999999999999999E-2</v>
          </cell>
          <cell r="AF476">
            <v>1.48</v>
          </cell>
          <cell r="AG476">
            <v>3.3000000000000002E-2</v>
          </cell>
          <cell r="AH476">
            <v>8.0000000000000004E-4</v>
          </cell>
          <cell r="AI476">
            <v>0.35</v>
          </cell>
          <cell r="AJ476">
            <v>18.16</v>
          </cell>
          <cell r="AK476">
            <v>8.0299999999999994</v>
          </cell>
          <cell r="AL476">
            <v>6.6000000000000003E-2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T476">
            <v>281</v>
          </cell>
          <cell r="AU476">
            <v>0</v>
          </cell>
          <cell r="AV476">
            <v>635</v>
          </cell>
          <cell r="AW476">
            <v>57</v>
          </cell>
          <cell r="AX476">
            <v>82</v>
          </cell>
          <cell r="AY476">
            <v>156</v>
          </cell>
          <cell r="AZ476">
            <v>0.85</v>
          </cell>
          <cell r="BA476" t="str">
            <v>D2004002</v>
          </cell>
          <cell r="BB476" t="str">
            <v>CONFORM</v>
          </cell>
          <cell r="BC476" t="str">
            <v>CONFORM</v>
          </cell>
          <cell r="BD476" t="str">
            <v>CONFORM</v>
          </cell>
          <cell r="BE476" t="str">
            <v>CONFORM</v>
          </cell>
          <cell r="BF476" t="str">
            <v>CONFORM</v>
          </cell>
        </row>
        <row r="477">
          <cell r="A477">
            <v>43920</v>
          </cell>
          <cell r="B477" t="str">
            <v>D2004002-3</v>
          </cell>
          <cell r="C477" t="str">
            <v>030/20</v>
          </cell>
          <cell r="D477">
            <v>2</v>
          </cell>
          <cell r="E477">
            <v>43913</v>
          </cell>
          <cell r="F477" t="str">
            <v>DC</v>
          </cell>
          <cell r="G477" t="str">
            <v>On Time</v>
          </cell>
          <cell r="H477">
            <v>20200330026</v>
          </cell>
          <cell r="I477">
            <v>43920</v>
          </cell>
          <cell r="J477" t="str">
            <v>COILPLUS</v>
          </cell>
          <cell r="K477" t="str">
            <v>D2004002</v>
          </cell>
          <cell r="L477">
            <v>3</v>
          </cell>
          <cell r="M477" t="str">
            <v>A266325</v>
          </cell>
          <cell r="N477">
            <v>527212</v>
          </cell>
          <cell r="O477" t="str">
            <v xml:space="preserve">1.4306 TP304L </v>
          </cell>
          <cell r="P477" t="str">
            <v>304L</v>
          </cell>
          <cell r="Q477">
            <v>1.7170000000000001</v>
          </cell>
          <cell r="R477">
            <v>1.7150000000000001</v>
          </cell>
          <cell r="S477">
            <v>3.5000000000000003E-2</v>
          </cell>
          <cell r="T477">
            <v>3.5000000000000003E-2</v>
          </cell>
          <cell r="V477">
            <v>3.5000000000000003E-2</v>
          </cell>
          <cell r="X477">
            <v>700</v>
          </cell>
          <cell r="Y477">
            <v>1</v>
          </cell>
          <cell r="Z477">
            <v>407.68782760629</v>
          </cell>
          <cell r="AA477" t="str">
            <v>1.717X0.035-304L</v>
          </cell>
          <cell r="AB477" t="str">
            <v>WAAC004360089B200033</v>
          </cell>
          <cell r="AC477" t="str">
            <v>D2004002</v>
          </cell>
          <cell r="AD477">
            <v>527212</v>
          </cell>
          <cell r="AE477">
            <v>2.1999999999999999E-2</v>
          </cell>
          <cell r="AF477">
            <v>1.48</v>
          </cell>
          <cell r="AG477">
            <v>3.3000000000000002E-2</v>
          </cell>
          <cell r="AH477">
            <v>8.0000000000000004E-4</v>
          </cell>
          <cell r="AI477">
            <v>0.35</v>
          </cell>
          <cell r="AJ477">
            <v>18.16</v>
          </cell>
          <cell r="AK477">
            <v>8.0299999999999994</v>
          </cell>
          <cell r="AL477">
            <v>6.6000000000000003E-2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T477">
            <v>281</v>
          </cell>
          <cell r="AU477">
            <v>0</v>
          </cell>
          <cell r="AV477">
            <v>635</v>
          </cell>
          <cell r="AW477">
            <v>57</v>
          </cell>
          <cell r="AX477">
            <v>82</v>
          </cell>
          <cell r="AY477">
            <v>156</v>
          </cell>
          <cell r="AZ477">
            <v>0.85</v>
          </cell>
          <cell r="BA477" t="str">
            <v>D2004002</v>
          </cell>
          <cell r="BB477" t="str">
            <v>CONFORM</v>
          </cell>
          <cell r="BC477" t="str">
            <v>CONFORM</v>
          </cell>
          <cell r="BD477" t="str">
            <v>CONFORM</v>
          </cell>
          <cell r="BE477" t="str">
            <v>CONFORM</v>
          </cell>
          <cell r="BF477" t="str">
            <v>CONFORM</v>
          </cell>
        </row>
        <row r="478">
          <cell r="A478">
            <v>43923</v>
          </cell>
          <cell r="B478" t="str">
            <v>D2004003-1</v>
          </cell>
          <cell r="C478" t="str">
            <v>032/20</v>
          </cell>
          <cell r="D478">
            <v>2</v>
          </cell>
          <cell r="E478">
            <v>43923</v>
          </cell>
          <cell r="F478" t="str">
            <v>DC</v>
          </cell>
          <cell r="G478" t="str">
            <v>On Time</v>
          </cell>
          <cell r="H478">
            <v>2407428371</v>
          </cell>
          <cell r="I478">
            <v>43922</v>
          </cell>
          <cell r="J478" t="str">
            <v>TKM</v>
          </cell>
          <cell r="K478" t="str">
            <v>D2004003</v>
          </cell>
          <cell r="L478">
            <v>1</v>
          </cell>
          <cell r="M478" t="str">
            <v>AAC89241</v>
          </cell>
          <cell r="N478">
            <v>859792</v>
          </cell>
          <cell r="O478" t="str">
            <v xml:space="preserve">1.4306 TP304L </v>
          </cell>
          <cell r="P478" t="str">
            <v>304L</v>
          </cell>
          <cell r="Q478">
            <v>1.913</v>
          </cell>
          <cell r="R478">
            <v>1.913</v>
          </cell>
          <cell r="S478">
            <v>4.7E-2</v>
          </cell>
          <cell r="T478">
            <v>4.8000000000000001E-2</v>
          </cell>
          <cell r="V478">
            <v>4.8000000000000001E-2</v>
          </cell>
          <cell r="X478">
            <v>4728</v>
          </cell>
          <cell r="Y478">
            <v>8</v>
          </cell>
          <cell r="Z478">
            <v>308.93883951907998</v>
          </cell>
          <cell r="AA478" t="str">
            <v>1.913X0.047-304L</v>
          </cell>
          <cell r="AB478" t="str">
            <v>WAAC004860119B300023</v>
          </cell>
          <cell r="AC478" t="str">
            <v>D2004003</v>
          </cell>
          <cell r="AD478">
            <v>859792</v>
          </cell>
          <cell r="AE478">
            <v>1.7000000000000001E-2</v>
          </cell>
          <cell r="AF478">
            <v>1.65</v>
          </cell>
          <cell r="AG478">
            <v>3.6999999999999998E-2</v>
          </cell>
          <cell r="AH478">
            <v>0</v>
          </cell>
          <cell r="AI478">
            <v>0.38</v>
          </cell>
          <cell r="AJ478">
            <v>18.2</v>
          </cell>
          <cell r="AK478">
            <v>8.1</v>
          </cell>
          <cell r="AL478">
            <v>7.0000000000000007E-2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T478">
            <v>291</v>
          </cell>
          <cell r="AU478">
            <v>0</v>
          </cell>
          <cell r="AV478">
            <v>620</v>
          </cell>
          <cell r="AW478">
            <v>60</v>
          </cell>
          <cell r="AX478">
            <v>84</v>
          </cell>
          <cell r="AY478">
            <v>162</v>
          </cell>
          <cell r="AZ478">
            <v>1.36</v>
          </cell>
          <cell r="BA478" t="str">
            <v>D2004003</v>
          </cell>
          <cell r="BB478" t="str">
            <v>CONFORM</v>
          </cell>
          <cell r="BC478" t="str">
            <v>CONFORM</v>
          </cell>
          <cell r="BD478" t="str">
            <v>CONFORM</v>
          </cell>
          <cell r="BE478" t="str">
            <v>CONFORM</v>
          </cell>
          <cell r="BF478" t="str">
            <v>CONFORM</v>
          </cell>
        </row>
        <row r="479">
          <cell r="A479">
            <v>43923</v>
          </cell>
          <cell r="B479" t="str">
            <v>D2004003-2</v>
          </cell>
          <cell r="C479" t="str">
            <v>032/20</v>
          </cell>
          <cell r="D479">
            <v>2</v>
          </cell>
          <cell r="E479">
            <v>43923</v>
          </cell>
          <cell r="F479" t="str">
            <v>DC</v>
          </cell>
          <cell r="G479" t="str">
            <v>On Time</v>
          </cell>
          <cell r="H479">
            <v>2407428371</v>
          </cell>
          <cell r="I479">
            <v>43922</v>
          </cell>
          <cell r="J479" t="str">
            <v>TKM</v>
          </cell>
          <cell r="K479" t="str">
            <v>D2004003</v>
          </cell>
          <cell r="L479">
            <v>2</v>
          </cell>
          <cell r="M479" t="str">
            <v>AAC89241</v>
          </cell>
          <cell r="N479">
            <v>859792</v>
          </cell>
          <cell r="O479" t="str">
            <v xml:space="preserve">1.4306 TP304L </v>
          </cell>
          <cell r="P479" t="str">
            <v>304L</v>
          </cell>
          <cell r="Q479">
            <v>1.913</v>
          </cell>
          <cell r="R479">
            <v>1.913</v>
          </cell>
          <cell r="S479">
            <v>4.7E-2</v>
          </cell>
          <cell r="T479">
            <v>4.8000000000000001E-2</v>
          </cell>
          <cell r="V479">
            <v>4.8000000000000001E-2</v>
          </cell>
          <cell r="X479">
            <v>4723</v>
          </cell>
          <cell r="Y479">
            <v>8</v>
          </cell>
          <cell r="Z479">
            <v>308.61212754835339</v>
          </cell>
          <cell r="AA479" t="str">
            <v>1.913X0.047-304L</v>
          </cell>
          <cell r="AB479" t="str">
            <v>WAAC004860119B300023</v>
          </cell>
          <cell r="AC479" t="str">
            <v>D2004003</v>
          </cell>
          <cell r="AD479">
            <v>859792</v>
          </cell>
          <cell r="AE479">
            <v>1.7000000000000001E-2</v>
          </cell>
          <cell r="AF479">
            <v>1.65</v>
          </cell>
          <cell r="AG479">
            <v>3.6999999999999998E-2</v>
          </cell>
          <cell r="AH479">
            <v>0</v>
          </cell>
          <cell r="AI479">
            <v>0.38</v>
          </cell>
          <cell r="AJ479">
            <v>18.2</v>
          </cell>
          <cell r="AK479">
            <v>8.1</v>
          </cell>
          <cell r="AL479">
            <v>7.0000000000000007E-2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T479">
            <v>291</v>
          </cell>
          <cell r="AU479">
            <v>0</v>
          </cell>
          <cell r="AV479">
            <v>620</v>
          </cell>
          <cell r="AW479">
            <v>60</v>
          </cell>
          <cell r="AX479">
            <v>84</v>
          </cell>
          <cell r="AY479">
            <v>162</v>
          </cell>
          <cell r="AZ479">
            <v>1.36</v>
          </cell>
          <cell r="BA479" t="str">
            <v>D2004003</v>
          </cell>
          <cell r="BB479" t="str">
            <v>CONFORM</v>
          </cell>
          <cell r="BC479" t="str">
            <v>CONFORM</v>
          </cell>
          <cell r="BD479" t="str">
            <v>CONFORM</v>
          </cell>
          <cell r="BE479" t="str">
            <v>CONFORM</v>
          </cell>
          <cell r="BF479" t="str">
            <v>CONFORM</v>
          </cell>
        </row>
        <row r="480">
          <cell r="A480">
            <v>43923</v>
          </cell>
          <cell r="B480" t="str">
            <v>D2004004-1</v>
          </cell>
          <cell r="C480" t="str">
            <v>032/20</v>
          </cell>
          <cell r="D480">
            <v>1</v>
          </cell>
          <cell r="E480">
            <v>43923</v>
          </cell>
          <cell r="F480" t="str">
            <v>DC</v>
          </cell>
          <cell r="G480" t="str">
            <v>On Time</v>
          </cell>
          <cell r="H480">
            <v>2407428369</v>
          </cell>
          <cell r="I480">
            <v>43922</v>
          </cell>
          <cell r="J480" t="str">
            <v>TKM</v>
          </cell>
          <cell r="K480" t="str">
            <v>D2004004</v>
          </cell>
          <cell r="L480">
            <v>1</v>
          </cell>
          <cell r="M480" t="str">
            <v>AAC89241</v>
          </cell>
          <cell r="N480">
            <v>859792</v>
          </cell>
          <cell r="O480" t="str">
            <v xml:space="preserve">1.4306 TP304L </v>
          </cell>
          <cell r="P480" t="str">
            <v>304L</v>
          </cell>
          <cell r="Q480">
            <v>2.323</v>
          </cell>
          <cell r="R480">
            <v>2.323</v>
          </cell>
          <cell r="S480">
            <v>4.7E-2</v>
          </cell>
          <cell r="T480">
            <v>4.8000000000000001E-2</v>
          </cell>
          <cell r="V480">
            <v>4.8000000000000001E-2</v>
          </cell>
          <cell r="X480">
            <v>5005</v>
          </cell>
          <cell r="Y480">
            <v>7</v>
          </cell>
          <cell r="Z480">
            <v>307.7916487300904</v>
          </cell>
          <cell r="AA480" t="str">
            <v>2.323X0.047-304L</v>
          </cell>
          <cell r="AB480" t="str">
            <v>WAAC005900120B300050</v>
          </cell>
          <cell r="AC480" t="str">
            <v>D2004004</v>
          </cell>
          <cell r="AD480">
            <v>859792</v>
          </cell>
          <cell r="AE480">
            <v>1.7000000000000001E-2</v>
          </cell>
          <cell r="AF480">
            <v>1.65</v>
          </cell>
          <cell r="AG480">
            <v>3.6999999999999998E-2</v>
          </cell>
          <cell r="AH480">
            <v>0</v>
          </cell>
          <cell r="AI480">
            <v>0.38</v>
          </cell>
          <cell r="AJ480">
            <v>18.2</v>
          </cell>
          <cell r="AK480">
            <v>8.1</v>
          </cell>
          <cell r="AL480">
            <v>7.0000000000000007E-2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T480">
            <v>291</v>
          </cell>
          <cell r="AU480">
            <v>0</v>
          </cell>
          <cell r="AV480">
            <v>620</v>
          </cell>
          <cell r="AW480">
            <v>60</v>
          </cell>
          <cell r="AX480">
            <v>84</v>
          </cell>
          <cell r="AY480">
            <v>162</v>
          </cell>
          <cell r="AZ480">
            <v>1.36</v>
          </cell>
          <cell r="BA480" t="str">
            <v>D2004004</v>
          </cell>
          <cell r="BB480" t="str">
            <v>CONFORM</v>
          </cell>
          <cell r="BC480" t="str">
            <v>CONFORM</v>
          </cell>
          <cell r="BD480" t="str">
            <v>CONFORM</v>
          </cell>
          <cell r="BE480" t="str">
            <v>CONFORM</v>
          </cell>
          <cell r="BF480" t="str">
            <v>CONFORM</v>
          </cell>
        </row>
        <row r="481">
          <cell r="A481">
            <v>43928</v>
          </cell>
          <cell r="B481" t="str">
            <v>D2004030-1</v>
          </cell>
          <cell r="C481" t="str">
            <v>035/20</v>
          </cell>
          <cell r="D481">
            <v>1</v>
          </cell>
          <cell r="E481">
            <v>43928</v>
          </cell>
          <cell r="F481" t="str">
            <v>DC</v>
          </cell>
          <cell r="G481" t="str">
            <v>On Time</v>
          </cell>
          <cell r="H481">
            <v>2407437218</v>
          </cell>
          <cell r="I481">
            <v>43928</v>
          </cell>
          <cell r="J481" t="str">
            <v>TKM</v>
          </cell>
          <cell r="K481" t="str">
            <v>D2004030</v>
          </cell>
          <cell r="L481">
            <v>1</v>
          </cell>
          <cell r="M481" t="str">
            <v>3094024</v>
          </cell>
          <cell r="N481">
            <v>519881</v>
          </cell>
          <cell r="O481" t="str">
            <v xml:space="preserve">1.4401/1.4404 TP316/316L </v>
          </cell>
          <cell r="P481" t="str">
            <v>316L</v>
          </cell>
          <cell r="Q481">
            <v>1.5589999999999999</v>
          </cell>
          <cell r="S481">
            <v>3.5000000000000003E-2</v>
          </cell>
          <cell r="T481">
            <v>3.5000000000000003E-2</v>
          </cell>
          <cell r="V481">
            <v>3.5000000000000003E-2</v>
          </cell>
          <cell r="X481">
            <v>3666</v>
          </cell>
          <cell r="Y481">
            <v>6</v>
          </cell>
          <cell r="Z481">
            <v>391.91789608723542</v>
          </cell>
          <cell r="AA481" t="str">
            <v>1.559X0.035-316L</v>
          </cell>
          <cell r="AB481" t="str">
            <v>WAAF003960089B300057</v>
          </cell>
          <cell r="AC481" t="str">
            <v>D2004030</v>
          </cell>
          <cell r="AD481">
            <v>519881</v>
          </cell>
          <cell r="AE481">
            <v>1.4E-2</v>
          </cell>
          <cell r="AF481">
            <v>1.47</v>
          </cell>
          <cell r="AG481">
            <v>0.03</v>
          </cell>
          <cell r="AH481">
            <v>1E-3</v>
          </cell>
          <cell r="AI481">
            <v>0.55000000000000004</v>
          </cell>
          <cell r="AJ481">
            <v>16.600000000000001</v>
          </cell>
          <cell r="AK481">
            <v>10.1</v>
          </cell>
          <cell r="AL481">
            <v>4.7E-2</v>
          </cell>
          <cell r="AM481">
            <v>2.02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T481">
            <v>304</v>
          </cell>
          <cell r="AU481">
            <v>0</v>
          </cell>
          <cell r="AV481">
            <v>663</v>
          </cell>
          <cell r="AW481">
            <v>54</v>
          </cell>
          <cell r="AX481">
            <v>83</v>
          </cell>
          <cell r="AY481">
            <v>159</v>
          </cell>
          <cell r="AZ481">
            <v>2.0499999999999998</v>
          </cell>
          <cell r="BA481" t="str">
            <v>D2004030</v>
          </cell>
          <cell r="BB481" t="str">
            <v>CONFORM</v>
          </cell>
          <cell r="BC481" t="str">
            <v>CONFORM</v>
          </cell>
          <cell r="BD481" t="str">
            <v>CONFORM</v>
          </cell>
          <cell r="BE481" t="str">
            <v>CONFORM</v>
          </cell>
          <cell r="BF481" t="str">
            <v>CONFORM</v>
          </cell>
        </row>
        <row r="482">
          <cell r="A482">
            <v>43928</v>
          </cell>
          <cell r="B482" t="str">
            <v>D2004031-1</v>
          </cell>
          <cell r="C482" t="str">
            <v>035/20</v>
          </cell>
          <cell r="D482">
            <v>2</v>
          </cell>
          <cell r="E482">
            <v>43928</v>
          </cell>
          <cell r="F482" t="str">
            <v>DC</v>
          </cell>
          <cell r="G482" t="str">
            <v>On Time</v>
          </cell>
          <cell r="H482">
            <v>2407437218</v>
          </cell>
          <cell r="I482">
            <v>43928</v>
          </cell>
          <cell r="J482" t="str">
            <v>TKM</v>
          </cell>
          <cell r="K482" t="str">
            <v>D2004031</v>
          </cell>
          <cell r="L482">
            <v>1</v>
          </cell>
          <cell r="M482" t="str">
            <v>3094024</v>
          </cell>
          <cell r="N482">
            <v>519881</v>
          </cell>
          <cell r="O482" t="str">
            <v xml:space="preserve">1.4401/1.4404 TP316/316L </v>
          </cell>
          <cell r="P482" t="str">
            <v>316L</v>
          </cell>
          <cell r="Q482">
            <v>2.3620000000000001</v>
          </cell>
          <cell r="S482">
            <v>3.5000000000000003E-2</v>
          </cell>
          <cell r="V482" t="str">
            <v/>
          </cell>
          <cell r="X482">
            <v>4638</v>
          </cell>
          <cell r="Y482">
            <v>5</v>
          </cell>
          <cell r="Z482">
            <v>392.71803556308214</v>
          </cell>
          <cell r="AA482" t="str">
            <v>2.362X0.035-316L</v>
          </cell>
          <cell r="AB482" t="str">
            <v>WAAF006000090B300084</v>
          </cell>
          <cell r="AC482" t="str">
            <v>D2004031</v>
          </cell>
          <cell r="AD482">
            <v>519881</v>
          </cell>
          <cell r="AE482">
            <v>1.4E-2</v>
          </cell>
          <cell r="AF482">
            <v>1.47</v>
          </cell>
          <cell r="AG482">
            <v>0.03</v>
          </cell>
          <cell r="AH482">
            <v>1E-3</v>
          </cell>
          <cell r="AI482">
            <v>0.55000000000000004</v>
          </cell>
          <cell r="AJ482">
            <v>16.600000000000001</v>
          </cell>
          <cell r="AK482">
            <v>10.1</v>
          </cell>
          <cell r="AL482">
            <v>4.7E-2</v>
          </cell>
          <cell r="AM482">
            <v>2.02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T482">
            <v>304</v>
          </cell>
          <cell r="AU482">
            <v>0</v>
          </cell>
          <cell r="AV482">
            <v>663</v>
          </cell>
          <cell r="AW482">
            <v>54</v>
          </cell>
          <cell r="AX482">
            <v>83</v>
          </cell>
          <cell r="AY482">
            <v>159</v>
          </cell>
          <cell r="AZ482">
            <v>2.0499999999999998</v>
          </cell>
          <cell r="BA482" t="str">
            <v>D2004031</v>
          </cell>
          <cell r="BB482" t="str">
            <v>CONFORM</v>
          </cell>
          <cell r="BC482" t="str">
            <v>CONFORM</v>
          </cell>
          <cell r="BD482" t="str">
            <v>CONFORM</v>
          </cell>
          <cell r="BE482" t="str">
            <v>CONFORM</v>
          </cell>
          <cell r="BF482" t="str">
            <v>CONFORM</v>
          </cell>
        </row>
        <row r="483">
          <cell r="A483">
            <v>43928</v>
          </cell>
          <cell r="B483" t="str">
            <v>D2004031-2</v>
          </cell>
          <cell r="C483" t="str">
            <v>035/20</v>
          </cell>
          <cell r="D483">
            <v>2</v>
          </cell>
          <cell r="E483">
            <v>43928</v>
          </cell>
          <cell r="F483" t="str">
            <v>DC</v>
          </cell>
          <cell r="G483" t="str">
            <v>On Time</v>
          </cell>
          <cell r="H483">
            <v>2407437218</v>
          </cell>
          <cell r="I483">
            <v>43928</v>
          </cell>
          <cell r="J483" t="str">
            <v>TKM</v>
          </cell>
          <cell r="K483" t="str">
            <v>D2004031</v>
          </cell>
          <cell r="L483">
            <v>2</v>
          </cell>
          <cell r="M483" t="str">
            <v>3094024</v>
          </cell>
          <cell r="N483">
            <v>519881</v>
          </cell>
          <cell r="O483" t="str">
            <v xml:space="preserve">1.4401/1.4404 TP316/316L </v>
          </cell>
          <cell r="P483" t="str">
            <v>316L</v>
          </cell>
          <cell r="Q483">
            <v>2.3620000000000001</v>
          </cell>
          <cell r="S483">
            <v>3.5000000000000003E-2</v>
          </cell>
          <cell r="V483" t="str">
            <v/>
          </cell>
          <cell r="X483">
            <v>4668</v>
          </cell>
          <cell r="Y483">
            <v>5</v>
          </cell>
          <cell r="Z483">
            <v>395.25825571549535</v>
          </cell>
          <cell r="AA483" t="str">
            <v>2.362X0.035-316L</v>
          </cell>
          <cell r="AB483" t="str">
            <v>WAAF006000090B300084</v>
          </cell>
          <cell r="AC483" t="str">
            <v>D2004031</v>
          </cell>
          <cell r="AD483">
            <v>519881</v>
          </cell>
          <cell r="AE483">
            <v>1.4E-2</v>
          </cell>
          <cell r="AF483">
            <v>1.47</v>
          </cell>
          <cell r="AG483">
            <v>0.03</v>
          </cell>
          <cell r="AH483">
            <v>1E-3</v>
          </cell>
          <cell r="AI483">
            <v>0.55000000000000004</v>
          </cell>
          <cell r="AJ483">
            <v>16.600000000000001</v>
          </cell>
          <cell r="AK483">
            <v>10.1</v>
          </cell>
          <cell r="AL483">
            <v>4.7E-2</v>
          </cell>
          <cell r="AM483">
            <v>2.02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T483">
            <v>304</v>
          </cell>
          <cell r="AU483">
            <v>0</v>
          </cell>
          <cell r="AV483">
            <v>663</v>
          </cell>
          <cell r="AW483">
            <v>54</v>
          </cell>
          <cell r="AX483">
            <v>83</v>
          </cell>
          <cell r="AY483">
            <v>159</v>
          </cell>
          <cell r="AZ483">
            <v>2.0499999999999998</v>
          </cell>
          <cell r="BA483" t="str">
            <v>D2004031</v>
          </cell>
          <cell r="BB483" t="str">
            <v>CONFORM</v>
          </cell>
          <cell r="BC483" t="str">
            <v>CONFORM</v>
          </cell>
          <cell r="BD483" t="str">
            <v>CONFORM</v>
          </cell>
          <cell r="BE483" t="str">
            <v>CONFORM</v>
          </cell>
          <cell r="BF483" t="str">
            <v>CONFORM</v>
          </cell>
        </row>
        <row r="484">
          <cell r="A484">
            <v>43928</v>
          </cell>
          <cell r="B484" t="str">
            <v>D2004031-3</v>
          </cell>
          <cell r="C484" t="str">
            <v>035/20</v>
          </cell>
          <cell r="D484">
            <v>2</v>
          </cell>
          <cell r="E484">
            <v>43928</v>
          </cell>
          <cell r="F484" t="str">
            <v>DC</v>
          </cell>
          <cell r="G484" t="str">
            <v>On Time</v>
          </cell>
          <cell r="H484">
            <v>2407437218</v>
          </cell>
          <cell r="I484">
            <v>43928</v>
          </cell>
          <cell r="J484" t="str">
            <v>TKM</v>
          </cell>
          <cell r="K484" t="str">
            <v>D2004031</v>
          </cell>
          <cell r="L484">
            <v>3</v>
          </cell>
          <cell r="M484" t="str">
            <v>3094024</v>
          </cell>
          <cell r="N484">
            <v>519881</v>
          </cell>
          <cell r="O484" t="str">
            <v xml:space="preserve">1.4401/1.4404 TP316/316L </v>
          </cell>
          <cell r="P484" t="str">
            <v>316L</v>
          </cell>
          <cell r="Q484">
            <v>2.3620000000000001</v>
          </cell>
          <cell r="S484">
            <v>3.5000000000000003E-2</v>
          </cell>
          <cell r="V484" t="str">
            <v/>
          </cell>
          <cell r="X484">
            <v>4674</v>
          </cell>
          <cell r="Y484">
            <v>5</v>
          </cell>
          <cell r="Z484">
            <v>395.76629974597796</v>
          </cell>
          <cell r="AA484" t="str">
            <v>2.362X0.035-316L</v>
          </cell>
          <cell r="AB484" t="str">
            <v>WAAF006000090B300084</v>
          </cell>
          <cell r="AC484" t="str">
            <v>D2004031</v>
          </cell>
          <cell r="AD484">
            <v>519881</v>
          </cell>
          <cell r="AE484">
            <v>1.4E-2</v>
          </cell>
          <cell r="AF484">
            <v>1.47</v>
          </cell>
          <cell r="AG484">
            <v>0.03</v>
          </cell>
          <cell r="AH484">
            <v>1E-3</v>
          </cell>
          <cell r="AI484">
            <v>0.55000000000000004</v>
          </cell>
          <cell r="AJ484">
            <v>16.600000000000001</v>
          </cell>
          <cell r="AK484">
            <v>10.1</v>
          </cell>
          <cell r="AL484">
            <v>4.7E-2</v>
          </cell>
          <cell r="AM484">
            <v>2.02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T484">
            <v>304</v>
          </cell>
          <cell r="AU484">
            <v>0</v>
          </cell>
          <cell r="AV484">
            <v>663</v>
          </cell>
          <cell r="AW484">
            <v>54</v>
          </cell>
          <cell r="AX484">
            <v>83</v>
          </cell>
          <cell r="AY484">
            <v>159</v>
          </cell>
          <cell r="AZ484">
            <v>2.0499999999999998</v>
          </cell>
          <cell r="BA484" t="str">
            <v>D2004031</v>
          </cell>
          <cell r="BB484" t="str">
            <v>CONFORM</v>
          </cell>
          <cell r="BC484" t="str">
            <v>CONFORM</v>
          </cell>
          <cell r="BD484" t="str">
            <v>CONFORM</v>
          </cell>
          <cell r="BE484" t="str">
            <v>CONFORM</v>
          </cell>
          <cell r="BF484" t="str">
            <v>CONFORM</v>
          </cell>
        </row>
        <row r="485">
          <cell r="A485">
            <v>43929</v>
          </cell>
          <cell r="B485" t="str">
            <v>D2004034-1</v>
          </cell>
          <cell r="C485" t="str">
            <v>036/20</v>
          </cell>
          <cell r="D485">
            <v>1</v>
          </cell>
          <cell r="E485">
            <v>43929</v>
          </cell>
          <cell r="F485" t="str">
            <v>DC</v>
          </cell>
          <cell r="G485" t="str">
            <v>On Time</v>
          </cell>
          <cell r="H485">
            <v>71043</v>
          </cell>
          <cell r="I485">
            <v>43927</v>
          </cell>
          <cell r="J485" t="str">
            <v>TKM</v>
          </cell>
          <cell r="K485" t="str">
            <v>D2004034</v>
          </cell>
          <cell r="L485">
            <v>1</v>
          </cell>
          <cell r="M485">
            <v>3197378</v>
          </cell>
          <cell r="N485">
            <v>525416</v>
          </cell>
          <cell r="O485" t="str">
            <v xml:space="preserve">1.4401/1.4404 TP316/316L </v>
          </cell>
          <cell r="P485" t="str">
            <v>316L</v>
          </cell>
          <cell r="Q485">
            <v>1.177</v>
          </cell>
          <cell r="S485">
            <v>2.7E-2</v>
          </cell>
          <cell r="V485" t="str">
            <v/>
          </cell>
          <cell r="X485">
            <v>1650</v>
          </cell>
          <cell r="Y485">
            <v>7</v>
          </cell>
          <cell r="Z485">
            <v>200.26702269692925</v>
          </cell>
          <cell r="AA485" t="str">
            <v>1.177X0.027-316L</v>
          </cell>
          <cell r="AB485" t="str">
            <v>WAAF002990070B300074</v>
          </cell>
          <cell r="AC485" t="str">
            <v>D2004034</v>
          </cell>
          <cell r="AD485">
            <v>525416</v>
          </cell>
          <cell r="AE485">
            <v>2.4E-2</v>
          </cell>
          <cell r="AF485">
            <v>1.45</v>
          </cell>
          <cell r="AG485">
            <v>2.8000000000000001E-2</v>
          </cell>
          <cell r="AH485">
            <v>1E-3</v>
          </cell>
          <cell r="AI485">
            <v>0.37</v>
          </cell>
          <cell r="AJ485">
            <v>16.600000000000001</v>
          </cell>
          <cell r="AK485">
            <v>10.1</v>
          </cell>
          <cell r="AL485">
            <v>3.6999999999999998E-2</v>
          </cell>
          <cell r="AM485">
            <v>2.0299999999999998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T485">
            <v>295</v>
          </cell>
          <cell r="AU485">
            <v>0</v>
          </cell>
          <cell r="AV485">
            <v>644</v>
          </cell>
          <cell r="AW485">
            <v>52</v>
          </cell>
          <cell r="AX485">
            <v>82</v>
          </cell>
          <cell r="AY485">
            <v>156</v>
          </cell>
          <cell r="AZ485">
            <v>2.5499999999999998</v>
          </cell>
          <cell r="BA485" t="str">
            <v>D2004034</v>
          </cell>
          <cell r="BB485" t="str">
            <v>CONFORM</v>
          </cell>
          <cell r="BC485" t="str">
            <v>CONFORM</v>
          </cell>
          <cell r="BD485" t="str">
            <v>CONFORM</v>
          </cell>
          <cell r="BE485" t="str">
            <v>CONFORM</v>
          </cell>
          <cell r="BF485" t="str">
            <v>CONFORM</v>
          </cell>
        </row>
        <row r="486">
          <cell r="A486">
            <v>43929</v>
          </cell>
          <cell r="B486" t="str">
            <v>D2004034-2</v>
          </cell>
          <cell r="C486" t="str">
            <v>036/20</v>
          </cell>
          <cell r="D486">
            <v>1</v>
          </cell>
          <cell r="E486">
            <v>43929</v>
          </cell>
          <cell r="F486" t="str">
            <v>DC</v>
          </cell>
          <cell r="G486" t="str">
            <v>On Time</v>
          </cell>
          <cell r="H486">
            <v>71043</v>
          </cell>
          <cell r="I486">
            <v>43927</v>
          </cell>
          <cell r="J486" t="str">
            <v>TKM</v>
          </cell>
          <cell r="K486" t="str">
            <v>D2004034</v>
          </cell>
          <cell r="L486">
            <v>2</v>
          </cell>
          <cell r="M486">
            <v>3197378</v>
          </cell>
          <cell r="N486">
            <v>525416</v>
          </cell>
          <cell r="O486" t="str">
            <v xml:space="preserve">1.4401/1.4404 TP316/316L </v>
          </cell>
          <cell r="P486" t="str">
            <v>316L</v>
          </cell>
          <cell r="Q486">
            <v>1.177</v>
          </cell>
          <cell r="S486">
            <v>2.7E-2</v>
          </cell>
          <cell r="V486" t="str">
            <v/>
          </cell>
          <cell r="X486">
            <v>2280</v>
          </cell>
          <cell r="Y486">
            <v>8</v>
          </cell>
          <cell r="Z486">
            <v>242.14103653355988</v>
          </cell>
          <cell r="AA486" t="str">
            <v>1.177X0.027-316L</v>
          </cell>
          <cell r="AB486" t="str">
            <v>WAAF002990070B300074</v>
          </cell>
          <cell r="AC486" t="str">
            <v>D2004034</v>
          </cell>
          <cell r="AD486">
            <v>525416</v>
          </cell>
          <cell r="AE486">
            <v>2.4E-2</v>
          </cell>
          <cell r="AF486">
            <v>1.45</v>
          </cell>
          <cell r="AG486">
            <v>2.8000000000000001E-2</v>
          </cell>
          <cell r="AH486">
            <v>1E-3</v>
          </cell>
          <cell r="AI486">
            <v>0.37</v>
          </cell>
          <cell r="AJ486">
            <v>16.600000000000001</v>
          </cell>
          <cell r="AK486">
            <v>10.1</v>
          </cell>
          <cell r="AL486">
            <v>3.6999999999999998E-2</v>
          </cell>
          <cell r="AM486">
            <v>2.0299999999999998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T486">
            <v>295</v>
          </cell>
          <cell r="AU486">
            <v>0</v>
          </cell>
          <cell r="AV486">
            <v>644</v>
          </cell>
          <cell r="AW486">
            <v>52</v>
          </cell>
          <cell r="AX486">
            <v>82</v>
          </cell>
          <cell r="AY486">
            <v>156</v>
          </cell>
          <cell r="AZ486">
            <v>2.5499999999999998</v>
          </cell>
          <cell r="BA486" t="str">
            <v>D2004034</v>
          </cell>
          <cell r="BB486" t="str">
            <v>CONFORM</v>
          </cell>
          <cell r="BC486" t="str">
            <v>CONFORM</v>
          </cell>
          <cell r="BD486" t="str">
            <v>CONFORM</v>
          </cell>
          <cell r="BE486" t="str">
            <v>CONFORM</v>
          </cell>
          <cell r="BF486" t="str">
            <v>CONFORM</v>
          </cell>
        </row>
        <row r="487">
          <cell r="A487">
            <v>43929</v>
          </cell>
          <cell r="B487" t="str">
            <v>D2004034-3</v>
          </cell>
          <cell r="C487" t="str">
            <v>036/20</v>
          </cell>
          <cell r="D487">
            <v>1</v>
          </cell>
          <cell r="E487">
            <v>43929</v>
          </cell>
          <cell r="F487" t="str">
            <v>DC</v>
          </cell>
          <cell r="G487" t="str">
            <v>On Time</v>
          </cell>
          <cell r="H487">
            <v>71043</v>
          </cell>
          <cell r="I487">
            <v>43927</v>
          </cell>
          <cell r="J487" t="str">
            <v>TKM</v>
          </cell>
          <cell r="K487" t="str">
            <v>D2004034</v>
          </cell>
          <cell r="L487">
            <v>3</v>
          </cell>
          <cell r="M487">
            <v>3197378</v>
          </cell>
          <cell r="N487">
            <v>525416</v>
          </cell>
          <cell r="O487" t="str">
            <v xml:space="preserve">1.4401/1.4404 TP316/316L </v>
          </cell>
          <cell r="P487" t="str">
            <v>316L</v>
          </cell>
          <cell r="Q487">
            <v>1.177</v>
          </cell>
          <cell r="S487">
            <v>2.7E-2</v>
          </cell>
          <cell r="V487" t="str">
            <v/>
          </cell>
          <cell r="X487">
            <v>1990</v>
          </cell>
          <cell r="Y487">
            <v>7</v>
          </cell>
          <cell r="Z487">
            <v>241.5341667678116</v>
          </cell>
          <cell r="AA487" t="str">
            <v>1.177X0.027-316L</v>
          </cell>
          <cell r="AB487" t="str">
            <v>WAAF002990070B300074</v>
          </cell>
          <cell r="AC487" t="str">
            <v>D2004034</v>
          </cell>
          <cell r="AD487">
            <v>525416</v>
          </cell>
          <cell r="AE487">
            <v>2.4E-2</v>
          </cell>
          <cell r="AF487">
            <v>1.45</v>
          </cell>
          <cell r="AG487">
            <v>2.8000000000000001E-2</v>
          </cell>
          <cell r="AH487">
            <v>1E-3</v>
          </cell>
          <cell r="AI487">
            <v>0.37</v>
          </cell>
          <cell r="AJ487">
            <v>16.600000000000001</v>
          </cell>
          <cell r="AK487">
            <v>10.1</v>
          </cell>
          <cell r="AL487">
            <v>3.6999999999999998E-2</v>
          </cell>
          <cell r="AM487">
            <v>2.0299999999999998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T487">
            <v>295</v>
          </cell>
          <cell r="AU487">
            <v>0</v>
          </cell>
          <cell r="AV487">
            <v>644</v>
          </cell>
          <cell r="AW487">
            <v>52</v>
          </cell>
          <cell r="AX487">
            <v>82</v>
          </cell>
          <cell r="AY487">
            <v>156</v>
          </cell>
          <cell r="AZ487">
            <v>2.5499999999999998</v>
          </cell>
          <cell r="BA487" t="str">
            <v>D2004034</v>
          </cell>
          <cell r="BB487" t="str">
            <v>CONFORM</v>
          </cell>
          <cell r="BC487" t="str">
            <v>CONFORM</v>
          </cell>
          <cell r="BD487" t="str">
            <v>CONFORM</v>
          </cell>
          <cell r="BE487" t="str">
            <v>CONFORM</v>
          </cell>
          <cell r="BF487" t="str">
            <v>CONFORM</v>
          </cell>
        </row>
        <row r="488">
          <cell r="A488">
            <v>43929</v>
          </cell>
          <cell r="B488" t="str">
            <v>D2004035-1</v>
          </cell>
          <cell r="C488" t="str">
            <v>036/20</v>
          </cell>
          <cell r="D488">
            <v>1</v>
          </cell>
          <cell r="E488">
            <v>43929</v>
          </cell>
          <cell r="F488" t="str">
            <v>DC</v>
          </cell>
          <cell r="G488" t="str">
            <v>On Time</v>
          </cell>
          <cell r="H488">
            <v>71043</v>
          </cell>
          <cell r="I488">
            <v>43927</v>
          </cell>
          <cell r="J488" t="str">
            <v>TKM</v>
          </cell>
          <cell r="K488" t="str">
            <v>D2004035</v>
          </cell>
          <cell r="L488">
            <v>1</v>
          </cell>
          <cell r="M488">
            <v>3197378</v>
          </cell>
          <cell r="N488">
            <v>525416</v>
          </cell>
          <cell r="O488" t="str">
            <v xml:space="preserve">1.4401/1.4404 TP316/316L </v>
          </cell>
          <cell r="P488" t="str">
            <v>316L</v>
          </cell>
          <cell r="Q488">
            <v>1.177</v>
          </cell>
          <cell r="S488">
            <v>2.7E-2</v>
          </cell>
          <cell r="V488" t="str">
            <v/>
          </cell>
          <cell r="X488">
            <v>1915</v>
          </cell>
          <cell r="Y488">
            <v>4</v>
          </cell>
          <cell r="Z488">
            <v>406.75446049277821</v>
          </cell>
          <cell r="AA488" t="str">
            <v>1.177X0.027-316L</v>
          </cell>
          <cell r="AB488" t="str">
            <v>WAAF002990070B300074</v>
          </cell>
          <cell r="AC488" t="str">
            <v>D2004035</v>
          </cell>
          <cell r="AD488">
            <v>525416</v>
          </cell>
          <cell r="AE488">
            <v>2.4E-2</v>
          </cell>
          <cell r="AF488">
            <v>1.45</v>
          </cell>
          <cell r="AG488">
            <v>2.8000000000000001E-2</v>
          </cell>
          <cell r="AH488">
            <v>1E-3</v>
          </cell>
          <cell r="AI488">
            <v>0.37</v>
          </cell>
          <cell r="AJ488">
            <v>16.600000000000001</v>
          </cell>
          <cell r="AK488">
            <v>10.1</v>
          </cell>
          <cell r="AL488">
            <v>3.6999999999999998E-2</v>
          </cell>
          <cell r="AM488">
            <v>2.0299999999999998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T488">
            <v>295</v>
          </cell>
          <cell r="AU488">
            <v>0</v>
          </cell>
          <cell r="AV488">
            <v>644</v>
          </cell>
          <cell r="AW488">
            <v>52</v>
          </cell>
          <cell r="AX488">
            <v>82</v>
          </cell>
          <cell r="AY488">
            <v>156</v>
          </cell>
          <cell r="AZ488">
            <v>2.5499999999999998</v>
          </cell>
          <cell r="BA488" t="str">
            <v>D2004035</v>
          </cell>
          <cell r="BB488" t="str">
            <v>CONFORM</v>
          </cell>
          <cell r="BC488" t="str">
            <v>CONFORM</v>
          </cell>
          <cell r="BD488" t="str">
            <v>CONFORM</v>
          </cell>
          <cell r="BE488" t="str">
            <v>CONFORM</v>
          </cell>
          <cell r="BF488" t="str">
            <v>CONFORM</v>
          </cell>
        </row>
        <row r="489">
          <cell r="A489">
            <v>43929</v>
          </cell>
          <cell r="B489" t="str">
            <v>D2004035-2</v>
          </cell>
          <cell r="C489" t="str">
            <v>036/20</v>
          </cell>
          <cell r="D489">
            <v>1</v>
          </cell>
          <cell r="E489">
            <v>43929</v>
          </cell>
          <cell r="F489" t="str">
            <v>DC</v>
          </cell>
          <cell r="G489" t="str">
            <v>On Time</v>
          </cell>
          <cell r="H489">
            <v>71043</v>
          </cell>
          <cell r="I489">
            <v>43927</v>
          </cell>
          <cell r="J489" t="str">
            <v>TKM</v>
          </cell>
          <cell r="K489" t="str">
            <v>D2004035</v>
          </cell>
          <cell r="L489">
            <v>2</v>
          </cell>
          <cell r="M489">
            <v>3197378</v>
          </cell>
          <cell r="N489">
            <v>525416</v>
          </cell>
          <cell r="O489" t="str">
            <v xml:space="preserve">1.4401/1.4404 TP316/316L </v>
          </cell>
          <cell r="P489" t="str">
            <v>316L</v>
          </cell>
          <cell r="Q489">
            <v>1.177</v>
          </cell>
          <cell r="S489">
            <v>2.7E-2</v>
          </cell>
          <cell r="V489" t="str">
            <v/>
          </cell>
          <cell r="X489">
            <v>2305</v>
          </cell>
          <cell r="Y489">
            <v>4</v>
          </cell>
          <cell r="Z489">
            <v>489.59218351741714</v>
          </cell>
          <cell r="AA489" t="str">
            <v>1.177X0.027-316L</v>
          </cell>
          <cell r="AB489" t="str">
            <v>WAAF002990070B300074</v>
          </cell>
          <cell r="AC489" t="str">
            <v>D2004035</v>
          </cell>
          <cell r="AD489">
            <v>525416</v>
          </cell>
          <cell r="AE489">
            <v>2.4E-2</v>
          </cell>
          <cell r="AF489">
            <v>1.45</v>
          </cell>
          <cell r="AG489">
            <v>2.8000000000000001E-2</v>
          </cell>
          <cell r="AH489">
            <v>1E-3</v>
          </cell>
          <cell r="AI489">
            <v>0.37</v>
          </cell>
          <cell r="AJ489">
            <v>16.600000000000001</v>
          </cell>
          <cell r="AK489">
            <v>10.1</v>
          </cell>
          <cell r="AL489">
            <v>3.6999999999999998E-2</v>
          </cell>
          <cell r="AM489">
            <v>2.0299999999999998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T489">
            <v>295</v>
          </cell>
          <cell r="AU489">
            <v>0</v>
          </cell>
          <cell r="AV489">
            <v>644</v>
          </cell>
          <cell r="AW489">
            <v>52</v>
          </cell>
          <cell r="AX489">
            <v>82</v>
          </cell>
          <cell r="AY489">
            <v>156</v>
          </cell>
          <cell r="AZ489">
            <v>2.5499999999999998</v>
          </cell>
          <cell r="BA489" t="str">
            <v>D2004035</v>
          </cell>
          <cell r="BB489" t="str">
            <v>CONFORM</v>
          </cell>
          <cell r="BC489" t="str">
            <v>CONFORM</v>
          </cell>
          <cell r="BD489" t="str">
            <v>CONFORM</v>
          </cell>
          <cell r="BE489" t="str">
            <v>CONFORM</v>
          </cell>
          <cell r="BF489" t="str">
            <v>CONFORM</v>
          </cell>
        </row>
        <row r="490">
          <cell r="A490">
            <v>43929</v>
          </cell>
          <cell r="B490" t="str">
            <v>D2004035-3</v>
          </cell>
          <cell r="C490" t="str">
            <v>036/20</v>
          </cell>
          <cell r="D490">
            <v>1</v>
          </cell>
          <cell r="E490">
            <v>43929</v>
          </cell>
          <cell r="F490" t="str">
            <v>DC</v>
          </cell>
          <cell r="G490" t="str">
            <v>On Time</v>
          </cell>
          <cell r="H490">
            <v>71043</v>
          </cell>
          <cell r="I490">
            <v>43927</v>
          </cell>
          <cell r="J490" t="str">
            <v>TKM</v>
          </cell>
          <cell r="K490" t="str">
            <v>D2004035</v>
          </cell>
          <cell r="L490">
            <v>3</v>
          </cell>
          <cell r="M490">
            <v>3197378</v>
          </cell>
          <cell r="N490">
            <v>525416</v>
          </cell>
          <cell r="O490" t="str">
            <v xml:space="preserve">1.4401/1.4404 TP316/316L </v>
          </cell>
          <cell r="P490" t="str">
            <v>316L</v>
          </cell>
          <cell r="Q490">
            <v>1.177</v>
          </cell>
          <cell r="S490">
            <v>2.7E-2</v>
          </cell>
          <cell r="V490" t="str">
            <v/>
          </cell>
          <cell r="X490">
            <v>2205</v>
          </cell>
          <cell r="Y490">
            <v>4</v>
          </cell>
          <cell r="Z490">
            <v>468.35174171622771</v>
          </cell>
          <cell r="AA490" t="str">
            <v>1.177X0.027-316L</v>
          </cell>
          <cell r="AB490" t="str">
            <v>WAAF002990070B300074</v>
          </cell>
          <cell r="AC490" t="str">
            <v>D2004035</v>
          </cell>
          <cell r="AD490">
            <v>525416</v>
          </cell>
          <cell r="AE490">
            <v>2.4E-2</v>
          </cell>
          <cell r="AF490">
            <v>1.45</v>
          </cell>
          <cell r="AG490">
            <v>2.8000000000000001E-2</v>
          </cell>
          <cell r="AH490">
            <v>1E-3</v>
          </cell>
          <cell r="AI490">
            <v>0.37</v>
          </cell>
          <cell r="AJ490">
            <v>16.600000000000001</v>
          </cell>
          <cell r="AK490">
            <v>10.1</v>
          </cell>
          <cell r="AL490">
            <v>3.6999999999999998E-2</v>
          </cell>
          <cell r="AM490">
            <v>2.0299999999999998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T490">
            <v>295</v>
          </cell>
          <cell r="AU490">
            <v>0</v>
          </cell>
          <cell r="AV490">
            <v>644</v>
          </cell>
          <cell r="AW490">
            <v>52</v>
          </cell>
          <cell r="AX490">
            <v>82</v>
          </cell>
          <cell r="AY490">
            <v>156</v>
          </cell>
          <cell r="AZ490">
            <v>2.5499999999999998</v>
          </cell>
          <cell r="BA490" t="str">
            <v>D2004035</v>
          </cell>
          <cell r="BB490" t="str">
            <v>CONFORM</v>
          </cell>
          <cell r="BC490" t="str">
            <v>CONFORM</v>
          </cell>
          <cell r="BD490" t="str">
            <v>CONFORM</v>
          </cell>
          <cell r="BE490" t="str">
            <v>CONFORM</v>
          </cell>
          <cell r="BF490" t="str">
            <v>CONFORM</v>
          </cell>
        </row>
        <row r="491">
          <cell r="A491">
            <v>43936</v>
          </cell>
          <cell r="B491" t="str">
            <v>D2004061-1</v>
          </cell>
          <cell r="C491" t="str">
            <v>022/20</v>
          </cell>
          <cell r="D491">
            <v>1</v>
          </cell>
          <cell r="E491">
            <v>43929</v>
          </cell>
          <cell r="F491" t="str">
            <v>DC</v>
          </cell>
          <cell r="G491" t="str">
            <v>On Time</v>
          </cell>
          <cell r="H491" t="str">
            <v>L369062</v>
          </cell>
          <cell r="I491">
            <v>43935</v>
          </cell>
          <cell r="J491" t="str">
            <v>ATI</v>
          </cell>
          <cell r="K491" t="str">
            <v>D2004061</v>
          </cell>
          <cell r="L491">
            <v>1</v>
          </cell>
          <cell r="M491" t="str">
            <v>AAC49182</v>
          </cell>
          <cell r="N491">
            <v>527781</v>
          </cell>
          <cell r="O491" t="str">
            <v xml:space="preserve">2.4605 UNS N06059 </v>
          </cell>
          <cell r="P491" t="str">
            <v>A59</v>
          </cell>
          <cell r="Q491">
            <v>2.2869999999999999</v>
          </cell>
          <cell r="R491">
            <v>2.2890000000000001</v>
          </cell>
          <cell r="S491">
            <v>5.8999999999999997E-2</v>
          </cell>
          <cell r="T491">
            <v>0.06</v>
          </cell>
          <cell r="V491">
            <v>0.06</v>
          </cell>
          <cell r="X491">
            <v>1620</v>
          </cell>
          <cell r="Y491">
            <v>6</v>
          </cell>
          <cell r="Z491">
            <v>118.0585920419764</v>
          </cell>
          <cell r="AA491" t="str">
            <v>2.287X0.059-A59</v>
          </cell>
          <cell r="AB491" t="str">
            <v>WABC005810150C400064</v>
          </cell>
          <cell r="AC491" t="str">
            <v>D2004061</v>
          </cell>
          <cell r="AD491">
            <v>527781</v>
          </cell>
          <cell r="AE491">
            <v>6.0000000000000001E-3</v>
          </cell>
          <cell r="AF491">
            <v>0.17</v>
          </cell>
          <cell r="AG491">
            <v>8.9999999999999993E-3</v>
          </cell>
          <cell r="AH491">
            <v>0</v>
          </cell>
          <cell r="AI491">
            <v>0.05</v>
          </cell>
          <cell r="AJ491">
            <v>22.5</v>
          </cell>
          <cell r="AK491" t="str">
            <v>BAL</v>
          </cell>
          <cell r="AL491">
            <v>0</v>
          </cell>
          <cell r="AM491">
            <v>15.8</v>
          </cell>
          <cell r="AN491">
            <v>0.99</v>
          </cell>
          <cell r="AO491">
            <v>0.27</v>
          </cell>
          <cell r="AP491">
            <v>0</v>
          </cell>
          <cell r="AQ491">
            <v>0</v>
          </cell>
          <cell r="AR491">
            <v>0.13</v>
          </cell>
          <cell r="AS491">
            <v>0</v>
          </cell>
          <cell r="AT491">
            <v>401</v>
          </cell>
          <cell r="AU491">
            <v>0</v>
          </cell>
          <cell r="AV491">
            <v>810</v>
          </cell>
          <cell r="AW491">
            <v>59</v>
          </cell>
          <cell r="AX491">
            <v>89</v>
          </cell>
          <cell r="AY491">
            <v>180</v>
          </cell>
          <cell r="AZ491">
            <v>12.09</v>
          </cell>
          <cell r="BA491" t="str">
            <v>D2004061</v>
          </cell>
          <cell r="BB491" t="str">
            <v>CONFORM</v>
          </cell>
          <cell r="BC491" t="str">
            <v>CONFORM</v>
          </cell>
          <cell r="BD491" t="str">
            <v>CONFORM</v>
          </cell>
          <cell r="BE491" t="str">
            <v>CONFORM</v>
          </cell>
          <cell r="BF491" t="str">
            <v>CONFORM</v>
          </cell>
        </row>
        <row r="492">
          <cell r="A492">
            <v>43936</v>
          </cell>
          <cell r="B492" t="str">
            <v>D2004061-2</v>
          </cell>
          <cell r="C492" t="str">
            <v>022/20</v>
          </cell>
          <cell r="D492">
            <v>1</v>
          </cell>
          <cell r="E492">
            <v>43929</v>
          </cell>
          <cell r="F492" t="str">
            <v>DC</v>
          </cell>
          <cell r="G492" t="str">
            <v>On Time</v>
          </cell>
          <cell r="H492" t="str">
            <v>L369062</v>
          </cell>
          <cell r="I492">
            <v>43935</v>
          </cell>
          <cell r="J492" t="str">
            <v>ATI</v>
          </cell>
          <cell r="K492" t="str">
            <v>D2004061</v>
          </cell>
          <cell r="L492">
            <v>2</v>
          </cell>
          <cell r="M492" t="str">
            <v>AAC49182</v>
          </cell>
          <cell r="N492">
            <v>527781</v>
          </cell>
          <cell r="O492" t="str">
            <v xml:space="preserve">2.4605 UNS N06059 </v>
          </cell>
          <cell r="P492" t="str">
            <v>A59</v>
          </cell>
          <cell r="Q492">
            <v>2.2869999999999999</v>
          </cell>
          <cell r="R492">
            <v>2.29</v>
          </cell>
          <cell r="S492">
            <v>5.8999999999999997E-2</v>
          </cell>
          <cell r="T492">
            <v>0.06</v>
          </cell>
          <cell r="V492">
            <v>0.06</v>
          </cell>
          <cell r="X492">
            <v>1350</v>
          </cell>
          <cell r="Y492">
            <v>5</v>
          </cell>
          <cell r="Z492">
            <v>118.0585920419764</v>
          </cell>
          <cell r="AA492" t="str">
            <v>2.287X0.059-A59</v>
          </cell>
          <cell r="AB492" t="str">
            <v>WABC005810150C400064</v>
          </cell>
          <cell r="AC492" t="str">
            <v>D2004061</v>
          </cell>
          <cell r="AD492">
            <v>527781</v>
          </cell>
          <cell r="AE492">
            <v>6.0000000000000001E-3</v>
          </cell>
          <cell r="AF492">
            <v>0.17</v>
          </cell>
          <cell r="AG492">
            <v>8.9999999999999993E-3</v>
          </cell>
          <cell r="AH492">
            <v>0</v>
          </cell>
          <cell r="AI492">
            <v>0.05</v>
          </cell>
          <cell r="AJ492">
            <v>22.5</v>
          </cell>
          <cell r="AK492" t="str">
            <v>BAL</v>
          </cell>
          <cell r="AL492">
            <v>0</v>
          </cell>
          <cell r="AM492">
            <v>15.8</v>
          </cell>
          <cell r="AN492">
            <v>0.99</v>
          </cell>
          <cell r="AO492">
            <v>0.27</v>
          </cell>
          <cell r="AP492">
            <v>0</v>
          </cell>
          <cell r="AQ492">
            <v>0</v>
          </cell>
          <cell r="AR492">
            <v>0.13</v>
          </cell>
          <cell r="AS492">
            <v>0</v>
          </cell>
          <cell r="AT492">
            <v>401</v>
          </cell>
          <cell r="AU492">
            <v>0</v>
          </cell>
          <cell r="AV492">
            <v>810</v>
          </cell>
          <cell r="AW492">
            <v>59</v>
          </cell>
          <cell r="AX492">
            <v>89</v>
          </cell>
          <cell r="AY492">
            <v>180</v>
          </cell>
          <cell r="AZ492">
            <v>12.09</v>
          </cell>
          <cell r="BA492" t="str">
            <v>D2004061</v>
          </cell>
          <cell r="BB492" t="str">
            <v>CONFORM</v>
          </cell>
          <cell r="BC492" t="str">
            <v>CONFORM</v>
          </cell>
          <cell r="BD492" t="str">
            <v>CONFORM</v>
          </cell>
          <cell r="BE492" t="str">
            <v>CONFORM</v>
          </cell>
          <cell r="BF492" t="str">
            <v>CONFORM</v>
          </cell>
        </row>
        <row r="493">
          <cell r="A493">
            <v>43936</v>
          </cell>
          <cell r="B493" t="str">
            <v>D2004061-3</v>
          </cell>
          <cell r="C493" t="str">
            <v>022/20</v>
          </cell>
          <cell r="D493">
            <v>1</v>
          </cell>
          <cell r="E493">
            <v>43929</v>
          </cell>
          <cell r="F493" t="str">
            <v>DC</v>
          </cell>
          <cell r="G493" t="str">
            <v>On Time</v>
          </cell>
          <cell r="H493" t="str">
            <v>L369062</v>
          </cell>
          <cell r="I493">
            <v>43935</v>
          </cell>
          <cell r="J493" t="str">
            <v>ATI</v>
          </cell>
          <cell r="K493" t="str">
            <v>D2004061</v>
          </cell>
          <cell r="L493">
            <v>3</v>
          </cell>
          <cell r="M493" t="str">
            <v>AAC49182</v>
          </cell>
          <cell r="N493">
            <v>527781</v>
          </cell>
          <cell r="O493" t="str">
            <v xml:space="preserve">2.4605 UNS N06059 </v>
          </cell>
          <cell r="P493" t="str">
            <v>A59</v>
          </cell>
          <cell r="Q493">
            <v>2.2869999999999999</v>
          </cell>
          <cell r="R493">
            <v>2.29</v>
          </cell>
          <cell r="S493">
            <v>5.8999999999999997E-2</v>
          </cell>
          <cell r="T493">
            <v>0.06</v>
          </cell>
          <cell r="V493">
            <v>0.06</v>
          </cell>
          <cell r="X493">
            <v>1350</v>
          </cell>
          <cell r="Y493">
            <v>5</v>
          </cell>
          <cell r="Z493">
            <v>118.0585920419764</v>
          </cell>
          <cell r="AA493" t="str">
            <v>2.287X0.059-A59</v>
          </cell>
          <cell r="AB493" t="str">
            <v>WABC005810150C400064</v>
          </cell>
          <cell r="AC493" t="str">
            <v>D2004061</v>
          </cell>
          <cell r="AD493">
            <v>527781</v>
          </cell>
          <cell r="AE493">
            <v>6.0000000000000001E-3</v>
          </cell>
          <cell r="AF493">
            <v>0.17</v>
          </cell>
          <cell r="AG493">
            <v>8.9999999999999993E-3</v>
          </cell>
          <cell r="AH493">
            <v>0</v>
          </cell>
          <cell r="AI493">
            <v>0.05</v>
          </cell>
          <cell r="AJ493">
            <v>22.5</v>
          </cell>
          <cell r="AK493" t="str">
            <v>BAL</v>
          </cell>
          <cell r="AL493">
            <v>0</v>
          </cell>
          <cell r="AM493">
            <v>15.8</v>
          </cell>
          <cell r="AN493">
            <v>0.99</v>
          </cell>
          <cell r="AO493">
            <v>0.27</v>
          </cell>
          <cell r="AP493">
            <v>0</v>
          </cell>
          <cell r="AQ493">
            <v>0</v>
          </cell>
          <cell r="AR493">
            <v>0.13</v>
          </cell>
          <cell r="AS493">
            <v>0</v>
          </cell>
          <cell r="AT493">
            <v>401</v>
          </cell>
          <cell r="AU493">
            <v>0</v>
          </cell>
          <cell r="AV493">
            <v>810</v>
          </cell>
          <cell r="AW493">
            <v>59</v>
          </cell>
          <cell r="AX493">
            <v>89</v>
          </cell>
          <cell r="AY493">
            <v>180</v>
          </cell>
          <cell r="AZ493">
            <v>12.09</v>
          </cell>
          <cell r="BA493" t="str">
            <v>D2004061</v>
          </cell>
          <cell r="BB493" t="str">
            <v>CONFORM</v>
          </cell>
          <cell r="BC493" t="str">
            <v>CONFORM</v>
          </cell>
          <cell r="BD493" t="str">
            <v>CONFORM</v>
          </cell>
          <cell r="BE493" t="str">
            <v>CONFORM</v>
          </cell>
          <cell r="BF493" t="str">
            <v>CONFORM</v>
          </cell>
        </row>
        <row r="494">
          <cell r="A494">
            <v>43936</v>
          </cell>
          <cell r="B494" t="str">
            <v>D2004061-4</v>
          </cell>
          <cell r="C494" t="str">
            <v>022/20</v>
          </cell>
          <cell r="D494">
            <v>1</v>
          </cell>
          <cell r="E494">
            <v>43929</v>
          </cell>
          <cell r="F494" t="str">
            <v>DC</v>
          </cell>
          <cell r="G494" t="str">
            <v>On Time</v>
          </cell>
          <cell r="H494" t="str">
            <v>L369062</v>
          </cell>
          <cell r="I494">
            <v>43935</v>
          </cell>
          <cell r="J494" t="str">
            <v>ATI</v>
          </cell>
          <cell r="K494" t="str">
            <v>D2004061</v>
          </cell>
          <cell r="L494">
            <v>4</v>
          </cell>
          <cell r="M494" t="str">
            <v>AAC49182</v>
          </cell>
          <cell r="N494">
            <v>527781</v>
          </cell>
          <cell r="O494" t="str">
            <v xml:space="preserve">2.4605 UNS N06059 </v>
          </cell>
          <cell r="P494" t="str">
            <v>A59</v>
          </cell>
          <cell r="Q494">
            <v>2.2869999999999999</v>
          </cell>
          <cell r="R494">
            <v>2.2879999999999998</v>
          </cell>
          <cell r="S494">
            <v>5.8999999999999997E-2</v>
          </cell>
          <cell r="T494">
            <v>0.06</v>
          </cell>
          <cell r="V494">
            <v>0.06</v>
          </cell>
          <cell r="X494">
            <v>1350</v>
          </cell>
          <cell r="Y494">
            <v>5</v>
          </cell>
          <cell r="Z494">
            <v>118.0585920419764</v>
          </cell>
          <cell r="AA494" t="str">
            <v>2.287X0.059-A59</v>
          </cell>
          <cell r="AB494" t="str">
            <v>WABC005810150C400064</v>
          </cell>
          <cell r="AC494" t="str">
            <v>D2004061</v>
          </cell>
          <cell r="AD494">
            <v>527781</v>
          </cell>
          <cell r="AE494">
            <v>6.0000000000000001E-3</v>
          </cell>
          <cell r="AF494">
            <v>0.17</v>
          </cell>
          <cell r="AG494">
            <v>8.9999999999999993E-3</v>
          </cell>
          <cell r="AH494">
            <v>0</v>
          </cell>
          <cell r="AI494">
            <v>0.05</v>
          </cell>
          <cell r="AJ494">
            <v>22.5</v>
          </cell>
          <cell r="AK494" t="str">
            <v>BAL</v>
          </cell>
          <cell r="AL494">
            <v>0</v>
          </cell>
          <cell r="AM494">
            <v>15.8</v>
          </cell>
          <cell r="AN494">
            <v>0.99</v>
          </cell>
          <cell r="AO494">
            <v>0.27</v>
          </cell>
          <cell r="AP494">
            <v>0</v>
          </cell>
          <cell r="AQ494">
            <v>0</v>
          </cell>
          <cell r="AR494">
            <v>0.13</v>
          </cell>
          <cell r="AS494">
            <v>0</v>
          </cell>
          <cell r="AT494">
            <v>401</v>
          </cell>
          <cell r="AU494">
            <v>0</v>
          </cell>
          <cell r="AV494">
            <v>810</v>
          </cell>
          <cell r="AW494">
            <v>59</v>
          </cell>
          <cell r="AX494">
            <v>89</v>
          </cell>
          <cell r="AY494">
            <v>180</v>
          </cell>
          <cell r="AZ494">
            <v>12.09</v>
          </cell>
          <cell r="BA494" t="str">
            <v>D2004061</v>
          </cell>
          <cell r="BB494" t="str">
            <v>CONFORM</v>
          </cell>
          <cell r="BC494" t="str">
            <v>CONFORM</v>
          </cell>
          <cell r="BD494" t="str">
            <v>CONFORM</v>
          </cell>
          <cell r="BE494" t="str">
            <v>CONFORM</v>
          </cell>
          <cell r="BF494" t="str">
            <v>CONFORM</v>
          </cell>
        </row>
        <row r="495">
          <cell r="A495">
            <v>43937</v>
          </cell>
          <cell r="B495" t="str">
            <v>D2004073-1</v>
          </cell>
          <cell r="C495" t="str">
            <v>039/20</v>
          </cell>
          <cell r="D495">
            <v>1</v>
          </cell>
          <cell r="E495">
            <v>43938</v>
          </cell>
          <cell r="F495" t="str">
            <v>DC</v>
          </cell>
          <cell r="G495" t="str">
            <v>On Time</v>
          </cell>
          <cell r="H495">
            <v>2407457961</v>
          </cell>
          <cell r="I495">
            <v>43937</v>
          </cell>
          <cell r="J495" t="str">
            <v>TKM</v>
          </cell>
          <cell r="K495" t="str">
            <v>D2004073</v>
          </cell>
          <cell r="L495">
            <v>1</v>
          </cell>
          <cell r="M495">
            <v>860805</v>
          </cell>
          <cell r="N495">
            <v>527495</v>
          </cell>
          <cell r="O495" t="str">
            <v xml:space="preserve">1.4306 TP304L </v>
          </cell>
          <cell r="P495" t="str">
            <v>304L</v>
          </cell>
          <cell r="Q495">
            <v>3.016</v>
          </cell>
          <cell r="R495">
            <v>3.016</v>
          </cell>
          <cell r="S495">
            <v>7.9000000000000001E-2</v>
          </cell>
          <cell r="T495">
            <v>7.5999999999999998E-2</v>
          </cell>
          <cell r="V495">
            <v>7.5999999999999998E-2</v>
          </cell>
          <cell r="X495">
            <v>5382</v>
          </cell>
          <cell r="Y495">
            <v>4</v>
          </cell>
          <cell r="Z495">
            <v>446.12068965517238</v>
          </cell>
          <cell r="AA495" t="str">
            <v>3.016X0.079-304L</v>
          </cell>
          <cell r="AB495" t="str">
            <v>WAAC007660200B300078</v>
          </cell>
          <cell r="AC495" t="str">
            <v>D2004073</v>
          </cell>
          <cell r="AD495">
            <v>527495</v>
          </cell>
          <cell r="AE495">
            <v>2.5999999999999999E-2</v>
          </cell>
          <cell r="AF495">
            <v>1.35</v>
          </cell>
          <cell r="AG495">
            <v>3.2000000000000001E-2</v>
          </cell>
          <cell r="AH495">
            <v>1E-3</v>
          </cell>
          <cell r="AI495">
            <v>0.34</v>
          </cell>
          <cell r="AJ495">
            <v>18.100000000000001</v>
          </cell>
          <cell r="AK495">
            <v>8</v>
          </cell>
          <cell r="AL495">
            <v>6.0999999999999999E-2</v>
          </cell>
          <cell r="AM495">
            <v>0.38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0.52</v>
          </cell>
          <cell r="AS495">
            <v>0</v>
          </cell>
          <cell r="AT495">
            <v>300</v>
          </cell>
          <cell r="AU495">
            <v>0</v>
          </cell>
          <cell r="AV495">
            <v>642</v>
          </cell>
          <cell r="AW495">
            <v>57</v>
          </cell>
          <cell r="AX495">
            <v>82</v>
          </cell>
          <cell r="AY495">
            <v>156</v>
          </cell>
          <cell r="AZ495">
            <v>1.67</v>
          </cell>
          <cell r="BA495" t="str">
            <v>D2004073</v>
          </cell>
          <cell r="BB495" t="str">
            <v>CONFORM</v>
          </cell>
          <cell r="BC495" t="str">
            <v>CONFORM</v>
          </cell>
          <cell r="BD495" t="str">
            <v>CONFORM</v>
          </cell>
          <cell r="BE495" t="str">
            <v>CONFORM</v>
          </cell>
          <cell r="BF495" t="str">
            <v>CONFORM</v>
          </cell>
        </row>
        <row r="496">
          <cell r="A496">
            <v>43937</v>
          </cell>
          <cell r="B496" t="str">
            <v>D2004073-2</v>
          </cell>
          <cell r="C496" t="str">
            <v>039/20</v>
          </cell>
          <cell r="D496">
            <v>1</v>
          </cell>
          <cell r="E496">
            <v>43938</v>
          </cell>
          <cell r="F496" t="str">
            <v>DC</v>
          </cell>
          <cell r="G496" t="str">
            <v>On Time</v>
          </cell>
          <cell r="H496">
            <v>2407457961</v>
          </cell>
          <cell r="I496">
            <v>43937</v>
          </cell>
          <cell r="J496" t="str">
            <v>TKM</v>
          </cell>
          <cell r="K496" t="str">
            <v>D2004073</v>
          </cell>
          <cell r="L496">
            <v>2</v>
          </cell>
          <cell r="M496">
            <v>860824</v>
          </cell>
          <cell r="N496">
            <v>527495</v>
          </cell>
          <cell r="O496" t="str">
            <v xml:space="preserve">1.4306 TP304L </v>
          </cell>
          <cell r="P496" t="str">
            <v>304L</v>
          </cell>
          <cell r="Q496">
            <v>3.016</v>
          </cell>
          <cell r="R496">
            <v>3.016</v>
          </cell>
          <cell r="S496">
            <v>7.9000000000000001E-2</v>
          </cell>
          <cell r="T496">
            <v>7.5999999999999998E-2</v>
          </cell>
          <cell r="V496">
            <v>7.5999999999999998E-2</v>
          </cell>
          <cell r="X496">
            <v>5402</v>
          </cell>
          <cell r="Y496">
            <v>4</v>
          </cell>
          <cell r="Z496">
            <v>447.77851458885942</v>
          </cell>
          <cell r="AA496" t="str">
            <v>3.016X0.079-304L</v>
          </cell>
          <cell r="AB496" t="str">
            <v>WAAC007660200B300078</v>
          </cell>
          <cell r="AC496" t="str">
            <v>D2004073</v>
          </cell>
          <cell r="AD496">
            <v>527495</v>
          </cell>
          <cell r="AE496">
            <v>2.5999999999999999E-2</v>
          </cell>
          <cell r="AF496">
            <v>1.35</v>
          </cell>
          <cell r="AG496">
            <v>3.2000000000000001E-2</v>
          </cell>
          <cell r="AH496">
            <v>1E-3</v>
          </cell>
          <cell r="AI496">
            <v>0.34</v>
          </cell>
          <cell r="AJ496">
            <v>18.100000000000001</v>
          </cell>
          <cell r="AK496">
            <v>8</v>
          </cell>
          <cell r="AL496">
            <v>6.0999999999999999E-2</v>
          </cell>
          <cell r="AM496">
            <v>0.38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0.52</v>
          </cell>
          <cell r="AS496">
            <v>0</v>
          </cell>
          <cell r="AT496">
            <v>301</v>
          </cell>
          <cell r="AU496">
            <v>0</v>
          </cell>
          <cell r="AV496">
            <v>642</v>
          </cell>
          <cell r="AW496">
            <v>55</v>
          </cell>
          <cell r="AX496">
            <v>82</v>
          </cell>
          <cell r="AY496">
            <v>156</v>
          </cell>
          <cell r="AZ496">
            <v>1.67</v>
          </cell>
          <cell r="BA496" t="str">
            <v>D2004073</v>
          </cell>
          <cell r="BB496" t="str">
            <v>CONFORM</v>
          </cell>
          <cell r="BC496" t="str">
            <v>CONFORM</v>
          </cell>
          <cell r="BD496" t="str">
            <v>CONFORM</v>
          </cell>
          <cell r="BE496" t="str">
            <v>CONFORM</v>
          </cell>
          <cell r="BF496" t="str">
            <v>CONFORM</v>
          </cell>
        </row>
        <row r="497">
          <cell r="A497">
            <v>43938</v>
          </cell>
          <cell r="B497" t="str">
            <v>D2004078-1</v>
          </cell>
          <cell r="C497" t="str">
            <v>018/20</v>
          </cell>
          <cell r="D497">
            <v>1</v>
          </cell>
          <cell r="E497">
            <v>43936</v>
          </cell>
          <cell r="F497" t="str">
            <v>DC</v>
          </cell>
          <cell r="G497" t="str">
            <v>On Time</v>
          </cell>
          <cell r="H497" t="str">
            <v>L369836</v>
          </cell>
          <cell r="I497">
            <v>43936</v>
          </cell>
          <cell r="J497" t="str">
            <v>UNITI</v>
          </cell>
          <cell r="K497" t="str">
            <v>D2004078</v>
          </cell>
          <cell r="L497">
            <v>1</v>
          </cell>
          <cell r="M497" t="str">
            <v>AAC60192</v>
          </cell>
          <cell r="N497" t="str">
            <v>VS0878</v>
          </cell>
          <cell r="O497" t="str">
            <v xml:space="preserve">3.7035 Titanium Gr.2 </v>
          </cell>
          <cell r="P497" t="str">
            <v>TI2</v>
          </cell>
          <cell r="Q497">
            <v>1.948</v>
          </cell>
          <cell r="S497">
            <v>3.5000000000000003E-2</v>
          </cell>
          <cell r="T497">
            <v>3.3450000000000001E-2</v>
          </cell>
          <cell r="V497">
            <v>3.3450000000000001E-2</v>
          </cell>
          <cell r="X497">
            <v>3035</v>
          </cell>
          <cell r="Y497">
            <v>8</v>
          </cell>
          <cell r="Z497">
            <v>194.75102669404518</v>
          </cell>
          <cell r="AA497" t="str">
            <v>1.948X0.035-TI2</v>
          </cell>
          <cell r="AB497" t="str">
            <v>WATB004950089C900076</v>
          </cell>
          <cell r="AC497" t="str">
            <v>D2004078</v>
          </cell>
          <cell r="AD497" t="str">
            <v>VS0878</v>
          </cell>
          <cell r="AE497">
            <v>5.0000000000000001E-3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0.01</v>
          </cell>
          <cell r="AM497">
            <v>0</v>
          </cell>
          <cell r="AN497">
            <v>0.1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 t="str">
            <v>BAL</v>
          </cell>
          <cell r="AT497">
            <v>306</v>
          </cell>
          <cell r="AU497">
            <v>0</v>
          </cell>
          <cell r="AV497">
            <v>452</v>
          </cell>
          <cell r="AW497">
            <v>28</v>
          </cell>
          <cell r="AY497" t="str">
            <v/>
          </cell>
          <cell r="AZ497">
            <v>11.59</v>
          </cell>
          <cell r="BA497" t="str">
            <v>D2004078</v>
          </cell>
          <cell r="BB497" t="str">
            <v>CONFORM</v>
          </cell>
          <cell r="BC497" t="str">
            <v>CONFORM</v>
          </cell>
          <cell r="BD497" t="str">
            <v>CONFORM</v>
          </cell>
          <cell r="BE497" t="str">
            <v>CONFORM</v>
          </cell>
          <cell r="BF497" t="str">
            <v>CONFORM</v>
          </cell>
        </row>
        <row r="498">
          <cell r="A498">
            <v>43938</v>
          </cell>
          <cell r="B498" t="str">
            <v>D2004078-2</v>
          </cell>
          <cell r="C498" t="str">
            <v>018/20</v>
          </cell>
          <cell r="D498">
            <v>1</v>
          </cell>
          <cell r="E498">
            <v>43936</v>
          </cell>
          <cell r="F498" t="str">
            <v>DC</v>
          </cell>
          <cell r="G498" t="str">
            <v>On Time</v>
          </cell>
          <cell r="H498" t="str">
            <v>L369836</v>
          </cell>
          <cell r="I498">
            <v>43936</v>
          </cell>
          <cell r="J498" t="str">
            <v>UNITI</v>
          </cell>
          <cell r="K498" t="str">
            <v>D2004078</v>
          </cell>
          <cell r="L498">
            <v>2</v>
          </cell>
          <cell r="M498" t="str">
            <v>AAC60192</v>
          </cell>
          <cell r="N498" t="str">
            <v>VS0878</v>
          </cell>
          <cell r="O498" t="str">
            <v xml:space="preserve">3.7035 Titanium Gr.2 </v>
          </cell>
          <cell r="P498" t="str">
            <v>TI2</v>
          </cell>
          <cell r="Q498">
            <v>1.948</v>
          </cell>
          <cell r="S498">
            <v>3.5000000000000003E-2</v>
          </cell>
          <cell r="T498">
            <v>3.3450000000000001E-2</v>
          </cell>
          <cell r="V498">
            <v>3.3450000000000001E-2</v>
          </cell>
          <cell r="X498">
            <v>3043</v>
          </cell>
          <cell r="Y498">
            <v>8</v>
          </cell>
          <cell r="Z498">
            <v>195.26437371663243</v>
          </cell>
          <cell r="AA498" t="str">
            <v>1.948X0.035-TI2</v>
          </cell>
          <cell r="AB498" t="str">
            <v>WATB004950089C900076</v>
          </cell>
          <cell r="AC498" t="str">
            <v>D2004078</v>
          </cell>
          <cell r="AD498" t="str">
            <v>VS0878</v>
          </cell>
          <cell r="AE498">
            <v>5.0000000000000001E-3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0.01</v>
          </cell>
          <cell r="AM498">
            <v>0</v>
          </cell>
          <cell r="AN498">
            <v>0.1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 t="str">
            <v>BAL</v>
          </cell>
          <cell r="AT498">
            <v>306</v>
          </cell>
          <cell r="AU498">
            <v>0</v>
          </cell>
          <cell r="AV498">
            <v>452</v>
          </cell>
          <cell r="AW498">
            <v>28</v>
          </cell>
          <cell r="AY498" t="str">
            <v/>
          </cell>
          <cell r="AZ498">
            <v>11.59</v>
          </cell>
          <cell r="BA498" t="str">
            <v>D2004078</v>
          </cell>
          <cell r="BB498" t="str">
            <v>CONFORM</v>
          </cell>
          <cell r="BC498" t="str">
            <v>CONFORM</v>
          </cell>
          <cell r="BD498" t="str">
            <v>CONFORM</v>
          </cell>
          <cell r="BE498" t="str">
            <v>CONFORM</v>
          </cell>
          <cell r="BF498" t="str">
            <v>CONFORM</v>
          </cell>
        </row>
        <row r="499">
          <cell r="A499">
            <v>43938</v>
          </cell>
          <cell r="B499" t="str">
            <v>D2004078-3</v>
          </cell>
          <cell r="C499" t="str">
            <v>018/20</v>
          </cell>
          <cell r="D499">
            <v>1</v>
          </cell>
          <cell r="E499">
            <v>43936</v>
          </cell>
          <cell r="F499" t="str">
            <v>DC</v>
          </cell>
          <cell r="G499" t="str">
            <v>On Time</v>
          </cell>
          <cell r="H499" t="str">
            <v>L369836</v>
          </cell>
          <cell r="I499">
            <v>43936</v>
          </cell>
          <cell r="J499" t="str">
            <v>UNITI</v>
          </cell>
          <cell r="K499" t="str">
            <v>D2004078</v>
          </cell>
          <cell r="L499">
            <v>3</v>
          </cell>
          <cell r="M499" t="str">
            <v>AAC60192</v>
          </cell>
          <cell r="N499" t="str">
            <v>VS0878</v>
          </cell>
          <cell r="O499" t="str">
            <v xml:space="preserve">3.7035 Titanium Gr.2 </v>
          </cell>
          <cell r="P499" t="str">
            <v>TI2</v>
          </cell>
          <cell r="Q499">
            <v>1.948</v>
          </cell>
          <cell r="S499">
            <v>3.5000000000000003E-2</v>
          </cell>
          <cell r="T499">
            <v>3.3450000000000001E-2</v>
          </cell>
          <cell r="V499">
            <v>3.3450000000000001E-2</v>
          </cell>
          <cell r="X499">
            <v>3043</v>
          </cell>
          <cell r="Y499">
            <v>8</v>
          </cell>
          <cell r="Z499">
            <v>195.26437371663243</v>
          </cell>
          <cell r="AA499" t="str">
            <v>1.948X0.035-TI2</v>
          </cell>
          <cell r="AB499" t="str">
            <v>WATB004950089C900076</v>
          </cell>
          <cell r="AC499" t="str">
            <v>D2004078</v>
          </cell>
          <cell r="AD499" t="str">
            <v>VS0878</v>
          </cell>
          <cell r="AE499">
            <v>5.0000000000000001E-3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0.01</v>
          </cell>
          <cell r="AM499">
            <v>0</v>
          </cell>
          <cell r="AN499">
            <v>0.1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 t="str">
            <v>BAL</v>
          </cell>
          <cell r="AT499">
            <v>306</v>
          </cell>
          <cell r="AU499">
            <v>0</v>
          </cell>
          <cell r="AV499">
            <v>452</v>
          </cell>
          <cell r="AW499">
            <v>28</v>
          </cell>
          <cell r="AY499" t="str">
            <v/>
          </cell>
          <cell r="AZ499">
            <v>11.59</v>
          </cell>
          <cell r="BA499" t="str">
            <v>D2004078</v>
          </cell>
          <cell r="BB499" t="str">
            <v>CONFORM</v>
          </cell>
          <cell r="BC499" t="str">
            <v>CONFORM</v>
          </cell>
          <cell r="BD499" t="str">
            <v>CONFORM</v>
          </cell>
          <cell r="BE499" t="str">
            <v>CONFORM</v>
          </cell>
          <cell r="BF499" t="str">
            <v>CONFORM</v>
          </cell>
        </row>
        <row r="500">
          <cell r="A500">
            <v>43942</v>
          </cell>
          <cell r="B500" t="str">
            <v>D2004085-1</v>
          </cell>
          <cell r="C500" t="str">
            <v>041/20</v>
          </cell>
          <cell r="D500">
            <v>1</v>
          </cell>
          <cell r="E500">
            <v>43942</v>
          </cell>
          <cell r="F500" t="str">
            <v>DC</v>
          </cell>
          <cell r="G500" t="str">
            <v>On Time</v>
          </cell>
          <cell r="H500">
            <v>2407464220</v>
          </cell>
          <cell r="I500">
            <v>43942</v>
          </cell>
          <cell r="J500" t="str">
            <v>TKM</v>
          </cell>
          <cell r="K500" t="str">
            <v>D2004085</v>
          </cell>
          <cell r="L500">
            <v>1</v>
          </cell>
          <cell r="M500" t="str">
            <v>05F74KA</v>
          </cell>
          <cell r="N500" t="str">
            <v>F74K</v>
          </cell>
          <cell r="O500" t="str">
            <v xml:space="preserve">1.4306 TP304L </v>
          </cell>
          <cell r="P500" t="str">
            <v>304L</v>
          </cell>
          <cell r="Q500">
            <v>3.0670000000000002</v>
          </cell>
          <cell r="S500">
            <v>6.3E-2</v>
          </cell>
          <cell r="V500" t="str">
            <v/>
          </cell>
          <cell r="X500">
            <v>1774</v>
          </cell>
          <cell r="Y500">
            <v>3</v>
          </cell>
          <cell r="Z500">
            <v>192.80512987718726</v>
          </cell>
          <cell r="AA500" t="str">
            <v>3.067X0.063-304L</v>
          </cell>
          <cell r="AB500" t="str">
            <v>WAAC007790160B300089</v>
          </cell>
          <cell r="AC500" t="str">
            <v>D2004085</v>
          </cell>
          <cell r="AD500" t="str">
            <v>F74K</v>
          </cell>
          <cell r="AE500">
            <v>1.4999999999999999E-2</v>
          </cell>
          <cell r="AF500">
            <v>1.74</v>
          </cell>
          <cell r="AG500">
            <v>3.1E-2</v>
          </cell>
          <cell r="AH500">
            <v>4.0000000000000001E-3</v>
          </cell>
          <cell r="AI500">
            <v>0.35</v>
          </cell>
          <cell r="AJ500">
            <v>18</v>
          </cell>
          <cell r="AK500">
            <v>8.1</v>
          </cell>
          <cell r="AL500">
            <v>0.09</v>
          </cell>
          <cell r="AM500">
            <v>0.39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0.45</v>
          </cell>
          <cell r="AS500">
            <v>0</v>
          </cell>
          <cell r="AT500">
            <v>324</v>
          </cell>
          <cell r="AU500">
            <v>0</v>
          </cell>
          <cell r="AV500">
            <v>668</v>
          </cell>
          <cell r="AW500">
            <v>51</v>
          </cell>
          <cell r="AX500">
            <v>86</v>
          </cell>
          <cell r="AY500">
            <v>169</v>
          </cell>
          <cell r="AZ500">
            <v>1.34</v>
          </cell>
          <cell r="BA500" t="str">
            <v>D2004085</v>
          </cell>
          <cell r="BB500" t="str">
            <v>CONFORM</v>
          </cell>
          <cell r="BC500" t="str">
            <v>CONFORM</v>
          </cell>
          <cell r="BD500" t="str">
            <v>CONFORM</v>
          </cell>
          <cell r="BE500" t="str">
            <v>CONFORM</v>
          </cell>
          <cell r="BF500" t="str">
            <v>CONFORM</v>
          </cell>
        </row>
        <row r="501">
          <cell r="A501">
            <v>43942</v>
          </cell>
          <cell r="B501" t="str">
            <v>D2004085-2</v>
          </cell>
          <cell r="C501" t="str">
            <v>041/20</v>
          </cell>
          <cell r="D501">
            <v>1</v>
          </cell>
          <cell r="E501">
            <v>43942</v>
          </cell>
          <cell r="F501" t="str">
            <v>DC</v>
          </cell>
          <cell r="G501" t="str">
            <v>On Time</v>
          </cell>
          <cell r="H501">
            <v>2407464220</v>
          </cell>
          <cell r="I501">
            <v>43942</v>
          </cell>
          <cell r="J501" t="str">
            <v>TKM</v>
          </cell>
          <cell r="K501" t="str">
            <v>D2004085</v>
          </cell>
          <cell r="L501">
            <v>2</v>
          </cell>
          <cell r="M501" t="str">
            <v>05F74KA</v>
          </cell>
          <cell r="N501" t="str">
            <v>F74K</v>
          </cell>
          <cell r="O501" t="str">
            <v xml:space="preserve">1.4306 TP304L </v>
          </cell>
          <cell r="P501" t="str">
            <v>304L</v>
          </cell>
          <cell r="Q501">
            <v>3.0670000000000002</v>
          </cell>
          <cell r="S501">
            <v>6.3E-2</v>
          </cell>
          <cell r="V501" t="str">
            <v/>
          </cell>
          <cell r="X501">
            <v>2794</v>
          </cell>
          <cell r="Y501">
            <v>3</v>
          </cell>
          <cell r="Z501">
            <v>303.66264536463427</v>
          </cell>
          <cell r="AA501" t="str">
            <v>3.067X0.063-304L</v>
          </cell>
          <cell r="AB501" t="str">
            <v>WAAC007790160B300089</v>
          </cell>
          <cell r="AC501" t="str">
            <v>D2004085</v>
          </cell>
          <cell r="AD501" t="str">
            <v>F74K</v>
          </cell>
          <cell r="AE501">
            <v>1.4999999999999999E-2</v>
          </cell>
          <cell r="AF501">
            <v>1.74</v>
          </cell>
          <cell r="AG501">
            <v>3.1E-2</v>
          </cell>
          <cell r="AH501">
            <v>4.0000000000000001E-3</v>
          </cell>
          <cell r="AI501">
            <v>0.35</v>
          </cell>
          <cell r="AJ501">
            <v>18</v>
          </cell>
          <cell r="AK501">
            <v>8.1</v>
          </cell>
          <cell r="AL501">
            <v>0.09</v>
          </cell>
          <cell r="AM501">
            <v>0.39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0.45</v>
          </cell>
          <cell r="AS501">
            <v>0</v>
          </cell>
          <cell r="AT501">
            <v>324</v>
          </cell>
          <cell r="AU501">
            <v>0</v>
          </cell>
          <cell r="AV501">
            <v>668</v>
          </cell>
          <cell r="AW501">
            <v>51</v>
          </cell>
          <cell r="AX501">
            <v>86</v>
          </cell>
          <cell r="AY501">
            <v>169</v>
          </cell>
          <cell r="AZ501">
            <v>1.34</v>
          </cell>
          <cell r="BA501" t="str">
            <v>D2004085</v>
          </cell>
          <cell r="BB501" t="str">
            <v>CONFORM</v>
          </cell>
          <cell r="BC501" t="str">
            <v>CONFORM</v>
          </cell>
          <cell r="BD501" t="str">
            <v>CONFORM</v>
          </cell>
          <cell r="BE501" t="str">
            <v>CONFORM</v>
          </cell>
          <cell r="BF501" t="str">
            <v>CONFORM</v>
          </cell>
        </row>
        <row r="502">
          <cell r="A502">
            <v>43942</v>
          </cell>
          <cell r="B502" t="str">
            <v>D2004085-3</v>
          </cell>
          <cell r="C502" t="str">
            <v>041/20</v>
          </cell>
          <cell r="D502">
            <v>1</v>
          </cell>
          <cell r="E502">
            <v>43942</v>
          </cell>
          <cell r="F502" t="str">
            <v>DC</v>
          </cell>
          <cell r="G502" t="str">
            <v>On Time</v>
          </cell>
          <cell r="H502">
            <v>2407464220</v>
          </cell>
          <cell r="I502">
            <v>43942</v>
          </cell>
          <cell r="J502" t="str">
            <v>TKM</v>
          </cell>
          <cell r="K502" t="str">
            <v>D2004085</v>
          </cell>
          <cell r="L502">
            <v>3</v>
          </cell>
          <cell r="M502" t="str">
            <v>05F74KA</v>
          </cell>
          <cell r="N502" t="str">
            <v>F74K</v>
          </cell>
          <cell r="O502" t="str">
            <v xml:space="preserve">1.4306 TP304L </v>
          </cell>
          <cell r="P502" t="str">
            <v>304L</v>
          </cell>
          <cell r="Q502">
            <v>3.0670000000000002</v>
          </cell>
          <cell r="S502">
            <v>6.3E-2</v>
          </cell>
          <cell r="T502">
            <v>6.4049999999999996E-2</v>
          </cell>
          <cell r="V502">
            <v>6.4049999999999996E-2</v>
          </cell>
          <cell r="X502">
            <v>3720</v>
          </cell>
          <cell r="Y502">
            <v>4</v>
          </cell>
          <cell r="Z502">
            <v>303.22791000978151</v>
          </cell>
          <cell r="AA502" t="str">
            <v>3.067X0.063-304L</v>
          </cell>
          <cell r="AB502" t="str">
            <v>WAAC007790160B300089</v>
          </cell>
          <cell r="AC502" t="str">
            <v>D2004085</v>
          </cell>
          <cell r="AD502" t="str">
            <v>F74K</v>
          </cell>
          <cell r="AE502">
            <v>1.4999999999999999E-2</v>
          </cell>
          <cell r="AF502">
            <v>1.74</v>
          </cell>
          <cell r="AG502">
            <v>3.1E-2</v>
          </cell>
          <cell r="AH502">
            <v>4.0000000000000001E-3</v>
          </cell>
          <cell r="AI502">
            <v>0.35</v>
          </cell>
          <cell r="AJ502">
            <v>18</v>
          </cell>
          <cell r="AK502">
            <v>8.1</v>
          </cell>
          <cell r="AL502">
            <v>0.09</v>
          </cell>
          <cell r="AM502">
            <v>0.39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0.45</v>
          </cell>
          <cell r="AS502">
            <v>0</v>
          </cell>
          <cell r="AT502">
            <v>324</v>
          </cell>
          <cell r="AU502">
            <v>0</v>
          </cell>
          <cell r="AV502">
            <v>668</v>
          </cell>
          <cell r="AW502">
            <v>51</v>
          </cell>
          <cell r="AX502">
            <v>86</v>
          </cell>
          <cell r="AY502">
            <v>169</v>
          </cell>
          <cell r="AZ502">
            <v>1.34</v>
          </cell>
          <cell r="BA502" t="str">
            <v>D2004085</v>
          </cell>
          <cell r="BB502" t="str">
            <v>CONFORM</v>
          </cell>
          <cell r="BC502" t="str">
            <v>CONFORM</v>
          </cell>
          <cell r="BD502" t="str">
            <v>CONFORM</v>
          </cell>
          <cell r="BE502" t="str">
            <v>CONFORM</v>
          </cell>
          <cell r="BF502" t="str">
            <v>CONFORM</v>
          </cell>
        </row>
        <row r="503">
          <cell r="A503">
            <v>43942</v>
          </cell>
          <cell r="B503" t="str">
            <v>D2004085-4</v>
          </cell>
          <cell r="C503" t="str">
            <v>041/20</v>
          </cell>
          <cell r="D503">
            <v>1</v>
          </cell>
          <cell r="E503">
            <v>43942</v>
          </cell>
          <cell r="F503" t="str">
            <v>DC</v>
          </cell>
          <cell r="G503" t="str">
            <v>On Time</v>
          </cell>
          <cell r="H503">
            <v>2407464220</v>
          </cell>
          <cell r="I503">
            <v>43942</v>
          </cell>
          <cell r="J503" t="str">
            <v>TKM</v>
          </cell>
          <cell r="K503" t="str">
            <v>D2004085</v>
          </cell>
          <cell r="L503">
            <v>4</v>
          </cell>
          <cell r="M503" t="str">
            <v>05F74KA</v>
          </cell>
          <cell r="N503" t="str">
            <v>F74K</v>
          </cell>
          <cell r="O503" t="str">
            <v xml:space="preserve">1.4306 TP304L </v>
          </cell>
          <cell r="P503" t="str">
            <v>304L</v>
          </cell>
          <cell r="Q503">
            <v>3.0670000000000002</v>
          </cell>
          <cell r="S503">
            <v>6.3E-2</v>
          </cell>
          <cell r="V503" t="str">
            <v/>
          </cell>
          <cell r="X503">
            <v>987</v>
          </cell>
          <cell r="Y503">
            <v>3</v>
          </cell>
          <cell r="Z503">
            <v>107.27094880991196</v>
          </cell>
          <cell r="AA503" t="str">
            <v>3.067X0.063-304L</v>
          </cell>
          <cell r="AB503" t="str">
            <v>WAAC007790160B300089</v>
          </cell>
          <cell r="AC503" t="str">
            <v>D2004085</v>
          </cell>
          <cell r="AD503" t="str">
            <v>F74K</v>
          </cell>
          <cell r="AE503">
            <v>1.4999999999999999E-2</v>
          </cell>
          <cell r="AF503">
            <v>1.74</v>
          </cell>
          <cell r="AG503">
            <v>3.1E-2</v>
          </cell>
          <cell r="AH503">
            <v>4.0000000000000001E-3</v>
          </cell>
          <cell r="AI503">
            <v>0.35</v>
          </cell>
          <cell r="AJ503">
            <v>18</v>
          </cell>
          <cell r="AK503">
            <v>8.1</v>
          </cell>
          <cell r="AL503">
            <v>0.09</v>
          </cell>
          <cell r="AM503">
            <v>0.39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0.45</v>
          </cell>
          <cell r="AS503">
            <v>0</v>
          </cell>
          <cell r="AT503">
            <v>324</v>
          </cell>
          <cell r="AU503">
            <v>0</v>
          </cell>
          <cell r="AV503">
            <v>668</v>
          </cell>
          <cell r="AW503">
            <v>51</v>
          </cell>
          <cell r="AX503">
            <v>86</v>
          </cell>
          <cell r="AY503">
            <v>169</v>
          </cell>
          <cell r="AZ503">
            <v>1.34</v>
          </cell>
          <cell r="BA503" t="str">
            <v>D2004085</v>
          </cell>
          <cell r="BB503" t="str">
            <v>CONFORM</v>
          </cell>
          <cell r="BC503" t="str">
            <v>CONFORM</v>
          </cell>
          <cell r="BD503" t="str">
            <v>CONFORM</v>
          </cell>
          <cell r="BE503" t="str">
            <v>CONFORM</v>
          </cell>
          <cell r="BF503" t="str">
            <v>CONFORM</v>
          </cell>
        </row>
        <row r="504">
          <cell r="A504">
            <v>43942</v>
          </cell>
          <cell r="B504" t="str">
            <v>D2004085-5</v>
          </cell>
          <cell r="C504" t="str">
            <v>041/20</v>
          </cell>
          <cell r="D504">
            <v>1</v>
          </cell>
          <cell r="E504">
            <v>43942</v>
          </cell>
          <cell r="F504" t="str">
            <v>DC</v>
          </cell>
          <cell r="G504" t="str">
            <v>On Time</v>
          </cell>
          <cell r="H504">
            <v>2407464220</v>
          </cell>
          <cell r="I504">
            <v>43942</v>
          </cell>
          <cell r="J504" t="str">
            <v>TKM</v>
          </cell>
          <cell r="K504" t="str">
            <v>D2004085</v>
          </cell>
          <cell r="L504">
            <v>5</v>
          </cell>
          <cell r="M504" t="str">
            <v>05F74KA</v>
          </cell>
          <cell r="N504" t="str">
            <v>F74K</v>
          </cell>
          <cell r="O504" t="str">
            <v xml:space="preserve">1.4306 TP304L </v>
          </cell>
          <cell r="P504" t="str">
            <v>304L</v>
          </cell>
          <cell r="Q504">
            <v>3.0670000000000002</v>
          </cell>
          <cell r="S504">
            <v>6.3E-2</v>
          </cell>
          <cell r="V504" t="str">
            <v/>
          </cell>
          <cell r="X504">
            <v>1312</v>
          </cell>
          <cell r="Y504">
            <v>4</v>
          </cell>
          <cell r="Z504">
            <v>106.94489729377241</v>
          </cell>
          <cell r="AA504" t="str">
            <v>3.067X0.063-304L</v>
          </cell>
          <cell r="AB504" t="str">
            <v>WAAC007790160B300089</v>
          </cell>
          <cell r="AC504" t="str">
            <v>D2004085</v>
          </cell>
          <cell r="AD504" t="str">
            <v>F74K</v>
          </cell>
          <cell r="AE504">
            <v>1.4999999999999999E-2</v>
          </cell>
          <cell r="AF504">
            <v>1.74</v>
          </cell>
          <cell r="AG504">
            <v>3.1E-2</v>
          </cell>
          <cell r="AH504">
            <v>4.0000000000000001E-3</v>
          </cell>
          <cell r="AI504">
            <v>0.35</v>
          </cell>
          <cell r="AJ504">
            <v>18</v>
          </cell>
          <cell r="AK504">
            <v>8.1</v>
          </cell>
          <cell r="AL504">
            <v>0.09</v>
          </cell>
          <cell r="AM504">
            <v>0.39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0.45</v>
          </cell>
          <cell r="AS504">
            <v>0</v>
          </cell>
          <cell r="AT504">
            <v>324</v>
          </cell>
          <cell r="AU504">
            <v>0</v>
          </cell>
          <cell r="AV504">
            <v>668</v>
          </cell>
          <cell r="AW504">
            <v>51</v>
          </cell>
          <cell r="AX504">
            <v>86</v>
          </cell>
          <cell r="AY504">
            <v>169</v>
          </cell>
          <cell r="AZ504">
            <v>1.34</v>
          </cell>
          <cell r="BA504" t="str">
            <v>D2004085</v>
          </cell>
          <cell r="BB504" t="str">
            <v>CONFORM</v>
          </cell>
          <cell r="BC504" t="str">
            <v>CONFORM</v>
          </cell>
          <cell r="BD504" t="str">
            <v>CONFORM</v>
          </cell>
          <cell r="BE504" t="str">
            <v>CONFORM</v>
          </cell>
          <cell r="BF504" t="str">
            <v>CONFORM</v>
          </cell>
        </row>
        <row r="505">
          <cell r="A505">
            <v>43942</v>
          </cell>
          <cell r="B505" t="str">
            <v>D2004085-6</v>
          </cell>
          <cell r="C505" t="str">
            <v>041/20</v>
          </cell>
          <cell r="D505">
            <v>1</v>
          </cell>
          <cell r="E505">
            <v>43942</v>
          </cell>
          <cell r="F505" t="str">
            <v>DC</v>
          </cell>
          <cell r="G505" t="str">
            <v>On Time</v>
          </cell>
          <cell r="H505">
            <v>2407464220</v>
          </cell>
          <cell r="I505">
            <v>43942</v>
          </cell>
          <cell r="J505" t="str">
            <v>TKM</v>
          </cell>
          <cell r="K505" t="str">
            <v>D2004085</v>
          </cell>
          <cell r="L505">
            <v>6</v>
          </cell>
          <cell r="M505" t="str">
            <v>05F74KA</v>
          </cell>
          <cell r="N505" t="str">
            <v>F74K</v>
          </cell>
          <cell r="O505" t="str">
            <v xml:space="preserve">1.4306 TP304L </v>
          </cell>
          <cell r="P505" t="str">
            <v>304L</v>
          </cell>
          <cell r="Q505">
            <v>3.0670000000000002</v>
          </cell>
          <cell r="S505">
            <v>6.3E-2</v>
          </cell>
          <cell r="V505" t="str">
            <v/>
          </cell>
          <cell r="X505">
            <v>2364</v>
          </cell>
          <cell r="Y505">
            <v>4</v>
          </cell>
          <cell r="Z505">
            <v>192.69644603847408</v>
          </cell>
          <cell r="AA505" t="str">
            <v>3.067X0.063-304L</v>
          </cell>
          <cell r="AB505" t="str">
            <v>WAAC007790160B300089</v>
          </cell>
          <cell r="AC505" t="str">
            <v>D2004085</v>
          </cell>
          <cell r="AD505" t="str">
            <v>F74K</v>
          </cell>
          <cell r="AE505">
            <v>1.4999999999999999E-2</v>
          </cell>
          <cell r="AF505">
            <v>1.74</v>
          </cell>
          <cell r="AG505">
            <v>3.1E-2</v>
          </cell>
          <cell r="AH505">
            <v>4.0000000000000001E-3</v>
          </cell>
          <cell r="AI505">
            <v>0.35</v>
          </cell>
          <cell r="AJ505">
            <v>18</v>
          </cell>
          <cell r="AK505">
            <v>8.1</v>
          </cell>
          <cell r="AL505">
            <v>0.09</v>
          </cell>
          <cell r="AM505">
            <v>0.39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0.45</v>
          </cell>
          <cell r="AS505">
            <v>0</v>
          </cell>
          <cell r="AT505">
            <v>324</v>
          </cell>
          <cell r="AU505">
            <v>0</v>
          </cell>
          <cell r="AV505">
            <v>668</v>
          </cell>
          <cell r="AW505">
            <v>51</v>
          </cell>
          <cell r="AX505">
            <v>86</v>
          </cell>
          <cell r="AY505">
            <v>169</v>
          </cell>
          <cell r="AZ505">
            <v>1.34</v>
          </cell>
          <cell r="BA505" t="str">
            <v>D2004085</v>
          </cell>
          <cell r="BB505" t="str">
            <v>CONFORM</v>
          </cell>
          <cell r="BC505" t="str">
            <v>CONFORM</v>
          </cell>
          <cell r="BD505" t="str">
            <v>CONFORM</v>
          </cell>
          <cell r="BE505" t="str">
            <v>CONFORM</v>
          </cell>
          <cell r="BF505" t="str">
            <v>CONFORM</v>
          </cell>
        </row>
        <row r="506">
          <cell r="A506">
            <v>43942</v>
          </cell>
          <cell r="B506" t="str">
            <v>D2004085-7</v>
          </cell>
          <cell r="C506" t="str">
            <v>041/20</v>
          </cell>
          <cell r="D506">
            <v>1</v>
          </cell>
          <cell r="E506">
            <v>43942</v>
          </cell>
          <cell r="F506" t="str">
            <v>DC</v>
          </cell>
          <cell r="G506" t="str">
            <v>On Time</v>
          </cell>
          <cell r="H506">
            <v>2407464220</v>
          </cell>
          <cell r="I506">
            <v>43942</v>
          </cell>
          <cell r="J506" t="str">
            <v>TKM</v>
          </cell>
          <cell r="K506" t="str">
            <v>D2004085</v>
          </cell>
          <cell r="L506">
            <v>7</v>
          </cell>
          <cell r="M506" t="str">
            <v>05F74KA</v>
          </cell>
          <cell r="N506" t="str">
            <v>F74K</v>
          </cell>
          <cell r="O506" t="str">
            <v xml:space="preserve">1.4306 TP304L </v>
          </cell>
          <cell r="P506" t="str">
            <v>304L</v>
          </cell>
          <cell r="Q506">
            <v>3.0670000000000002</v>
          </cell>
          <cell r="S506">
            <v>6.3E-2</v>
          </cell>
          <cell r="V506" t="str">
            <v/>
          </cell>
          <cell r="X506">
            <v>2304</v>
          </cell>
          <cell r="Y506">
            <v>3</v>
          </cell>
          <cell r="Z506">
            <v>250.40756439517443</v>
          </cell>
          <cell r="AA506" t="str">
            <v>3.067X0.063-304L</v>
          </cell>
          <cell r="AB506" t="str">
            <v>WAAC007790160B300089</v>
          </cell>
          <cell r="AC506" t="str">
            <v>D2004085</v>
          </cell>
          <cell r="AD506" t="str">
            <v>F74K</v>
          </cell>
          <cell r="AE506">
            <v>1.4999999999999999E-2</v>
          </cell>
          <cell r="AF506">
            <v>1.74</v>
          </cell>
          <cell r="AG506">
            <v>3.1E-2</v>
          </cell>
          <cell r="AH506">
            <v>4.0000000000000001E-3</v>
          </cell>
          <cell r="AI506">
            <v>0.35</v>
          </cell>
          <cell r="AJ506">
            <v>18</v>
          </cell>
          <cell r="AK506">
            <v>8.1</v>
          </cell>
          <cell r="AL506">
            <v>0.09</v>
          </cell>
          <cell r="AM506">
            <v>0.39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0.45</v>
          </cell>
          <cell r="AS506">
            <v>0</v>
          </cell>
          <cell r="AT506">
            <v>324</v>
          </cell>
          <cell r="AU506">
            <v>0</v>
          </cell>
          <cell r="AV506">
            <v>668</v>
          </cell>
          <cell r="AW506">
            <v>51</v>
          </cell>
          <cell r="AX506">
            <v>86</v>
          </cell>
          <cell r="AY506">
            <v>169</v>
          </cell>
          <cell r="AZ506">
            <v>1.34</v>
          </cell>
          <cell r="BA506" t="str">
            <v>D2004085</v>
          </cell>
          <cell r="BB506" t="str">
            <v>CONFORM</v>
          </cell>
          <cell r="BC506" t="str">
            <v>CONFORM</v>
          </cell>
          <cell r="BD506" t="str">
            <v>CONFORM</v>
          </cell>
          <cell r="BE506" t="str">
            <v>CONFORM</v>
          </cell>
          <cell r="BF506" t="str">
            <v>CONFORM</v>
          </cell>
        </row>
        <row r="507">
          <cell r="A507">
            <v>43942</v>
          </cell>
          <cell r="B507" t="str">
            <v>D2004085-8</v>
          </cell>
          <cell r="C507" t="str">
            <v>041/20</v>
          </cell>
          <cell r="D507">
            <v>1</v>
          </cell>
          <cell r="E507">
            <v>43942</v>
          </cell>
          <cell r="F507" t="str">
            <v>DC</v>
          </cell>
          <cell r="G507" t="str">
            <v>On Time</v>
          </cell>
          <cell r="H507">
            <v>2407464220</v>
          </cell>
          <cell r="I507">
            <v>43942</v>
          </cell>
          <cell r="J507" t="str">
            <v>TKM</v>
          </cell>
          <cell r="K507" t="str">
            <v>D2004085</v>
          </cell>
          <cell r="L507">
            <v>8</v>
          </cell>
          <cell r="M507" t="str">
            <v>05F74KA</v>
          </cell>
          <cell r="N507" t="str">
            <v>F74K</v>
          </cell>
          <cell r="O507" t="str">
            <v xml:space="preserve">1.4306 TP304L </v>
          </cell>
          <cell r="P507" t="str">
            <v>304L</v>
          </cell>
          <cell r="Q507">
            <v>3.0670000000000002</v>
          </cell>
          <cell r="S507">
            <v>6.3E-2</v>
          </cell>
          <cell r="V507" t="str">
            <v/>
          </cell>
          <cell r="X507">
            <v>3060</v>
          </cell>
          <cell r="Y507">
            <v>4</v>
          </cell>
          <cell r="Z507">
            <v>249.42940984675576</v>
          </cell>
          <cell r="AA507" t="str">
            <v>3.067X0.063-304L</v>
          </cell>
          <cell r="AB507" t="str">
            <v>WAAC007790160B300089</v>
          </cell>
          <cell r="AC507" t="str">
            <v>D2004085</v>
          </cell>
          <cell r="AD507" t="str">
            <v>F74K</v>
          </cell>
          <cell r="AE507">
            <v>1.4999999999999999E-2</v>
          </cell>
          <cell r="AF507">
            <v>1.74</v>
          </cell>
          <cell r="AG507">
            <v>3.1E-2</v>
          </cell>
          <cell r="AH507">
            <v>4.0000000000000001E-3</v>
          </cell>
          <cell r="AI507">
            <v>0.35</v>
          </cell>
          <cell r="AJ507">
            <v>18</v>
          </cell>
          <cell r="AK507">
            <v>8.1</v>
          </cell>
          <cell r="AL507">
            <v>0.09</v>
          </cell>
          <cell r="AM507">
            <v>0.39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0.45</v>
          </cell>
          <cell r="AS507">
            <v>0</v>
          </cell>
          <cell r="AT507">
            <v>324</v>
          </cell>
          <cell r="AU507">
            <v>0</v>
          </cell>
          <cell r="AV507">
            <v>668</v>
          </cell>
          <cell r="AW507">
            <v>51</v>
          </cell>
          <cell r="AX507">
            <v>86</v>
          </cell>
          <cell r="AY507">
            <v>169</v>
          </cell>
          <cell r="AZ507">
            <v>1.34</v>
          </cell>
          <cell r="BA507" t="str">
            <v>D2004085</v>
          </cell>
          <cell r="BB507" t="str">
            <v>CONFORM</v>
          </cell>
          <cell r="BC507" t="str">
            <v>CONFORM</v>
          </cell>
          <cell r="BD507" t="str">
            <v>CONFORM</v>
          </cell>
          <cell r="BE507" t="str">
            <v>CONFORM</v>
          </cell>
          <cell r="BF507" t="str">
            <v>CONFORM</v>
          </cell>
        </row>
        <row r="508">
          <cell r="A508">
            <v>43942</v>
          </cell>
          <cell r="B508" t="str">
            <v>D2004085-9</v>
          </cell>
          <cell r="C508" t="str">
            <v>041/20</v>
          </cell>
          <cell r="D508">
            <v>1</v>
          </cell>
          <cell r="E508">
            <v>43942</v>
          </cell>
          <cell r="F508" t="str">
            <v>DC</v>
          </cell>
          <cell r="G508" t="str">
            <v>On Time</v>
          </cell>
          <cell r="H508">
            <v>2407464220</v>
          </cell>
          <cell r="I508">
            <v>43942</v>
          </cell>
          <cell r="J508" t="str">
            <v>TKM</v>
          </cell>
          <cell r="K508" t="str">
            <v>D2004085</v>
          </cell>
          <cell r="L508">
            <v>9</v>
          </cell>
          <cell r="M508" t="str">
            <v>05F74KA</v>
          </cell>
          <cell r="N508" t="str">
            <v>F74K</v>
          </cell>
          <cell r="O508" t="str">
            <v xml:space="preserve">1.4306 TP304L </v>
          </cell>
          <cell r="P508" t="str">
            <v>304L</v>
          </cell>
          <cell r="Q508">
            <v>3.0670000000000002</v>
          </cell>
          <cell r="S508">
            <v>6.3E-2</v>
          </cell>
          <cell r="T508">
            <v>6.4500000000000002E-2</v>
          </cell>
          <cell r="V508">
            <v>6.4500000000000002E-2</v>
          </cell>
          <cell r="X508">
            <v>2734</v>
          </cell>
          <cell r="Y508">
            <v>3</v>
          </cell>
          <cell r="Z508">
            <v>297.14161504184329</v>
          </cell>
          <cell r="AA508" t="str">
            <v>3.067X0.063-304L</v>
          </cell>
          <cell r="AB508" t="str">
            <v>WAAC007790160B300089</v>
          </cell>
          <cell r="AC508" t="str">
            <v>D2004085</v>
          </cell>
          <cell r="AD508" t="str">
            <v>F74K</v>
          </cell>
          <cell r="AE508">
            <v>1.4999999999999999E-2</v>
          </cell>
          <cell r="AF508">
            <v>1.74</v>
          </cell>
          <cell r="AG508">
            <v>3.1E-2</v>
          </cell>
          <cell r="AH508">
            <v>4.0000000000000001E-3</v>
          </cell>
          <cell r="AI508">
            <v>0.35</v>
          </cell>
          <cell r="AJ508">
            <v>18</v>
          </cell>
          <cell r="AK508">
            <v>8.1</v>
          </cell>
          <cell r="AL508">
            <v>0.09</v>
          </cell>
          <cell r="AM508">
            <v>0.39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0.45</v>
          </cell>
          <cell r="AS508">
            <v>0</v>
          </cell>
          <cell r="AT508">
            <v>324</v>
          </cell>
          <cell r="AU508">
            <v>0</v>
          </cell>
          <cell r="AV508">
            <v>668</v>
          </cell>
          <cell r="AW508">
            <v>51</v>
          </cell>
          <cell r="AX508">
            <v>86</v>
          </cell>
          <cell r="AY508">
            <v>169</v>
          </cell>
          <cell r="AZ508">
            <v>1.34</v>
          </cell>
          <cell r="BA508" t="str">
            <v>D2004085</v>
          </cell>
          <cell r="BB508" t="str">
            <v>CONFORM</v>
          </cell>
          <cell r="BC508" t="str">
            <v>CONFORM</v>
          </cell>
          <cell r="BD508" t="str">
            <v>CONFORM</v>
          </cell>
          <cell r="BE508" t="str">
            <v>CONFORM</v>
          </cell>
          <cell r="BF508" t="str">
            <v>CONFORM</v>
          </cell>
        </row>
        <row r="509">
          <cell r="A509">
            <v>43942</v>
          </cell>
          <cell r="B509" t="str">
            <v>D2004085-10</v>
          </cell>
          <cell r="C509" t="str">
            <v>041/20</v>
          </cell>
          <cell r="D509">
            <v>1</v>
          </cell>
          <cell r="E509">
            <v>43942</v>
          </cell>
          <cell r="F509" t="str">
            <v>DC</v>
          </cell>
          <cell r="G509" t="str">
            <v>On Time</v>
          </cell>
          <cell r="H509">
            <v>2407464220</v>
          </cell>
          <cell r="I509">
            <v>43942</v>
          </cell>
          <cell r="J509" t="str">
            <v>TKM</v>
          </cell>
          <cell r="K509" t="str">
            <v>D2004085</v>
          </cell>
          <cell r="L509">
            <v>10</v>
          </cell>
          <cell r="M509" t="str">
            <v>05F74KA</v>
          </cell>
          <cell r="N509" t="str">
            <v>F74K</v>
          </cell>
          <cell r="O509" t="str">
            <v xml:space="preserve">1.4306 TP304L </v>
          </cell>
          <cell r="P509" t="str">
            <v>304L</v>
          </cell>
          <cell r="Q509">
            <v>3.0670000000000002</v>
          </cell>
          <cell r="S509">
            <v>6.3E-2</v>
          </cell>
          <cell r="V509" t="str">
            <v/>
          </cell>
          <cell r="X509">
            <v>3642</v>
          </cell>
          <cell r="Y509">
            <v>4</v>
          </cell>
          <cell r="Z509">
            <v>296.86990544506028</v>
          </cell>
          <cell r="AA509" t="str">
            <v>3.067X0.063-304L</v>
          </cell>
          <cell r="AB509" t="str">
            <v>WAAC007790160B300089</v>
          </cell>
          <cell r="AC509" t="str">
            <v>D2004085</v>
          </cell>
          <cell r="AD509" t="str">
            <v>F74K</v>
          </cell>
          <cell r="AE509">
            <v>1.4999999999999999E-2</v>
          </cell>
          <cell r="AF509">
            <v>1.74</v>
          </cell>
          <cell r="AG509">
            <v>3.1E-2</v>
          </cell>
          <cell r="AH509">
            <v>4.0000000000000001E-3</v>
          </cell>
          <cell r="AI509">
            <v>0.35</v>
          </cell>
          <cell r="AJ509">
            <v>18</v>
          </cell>
          <cell r="AK509">
            <v>8.1</v>
          </cell>
          <cell r="AL509">
            <v>0.09</v>
          </cell>
          <cell r="AM509">
            <v>0.39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0.45</v>
          </cell>
          <cell r="AS509">
            <v>0</v>
          </cell>
          <cell r="AT509">
            <v>324</v>
          </cell>
          <cell r="AU509">
            <v>0</v>
          </cell>
          <cell r="AV509">
            <v>668</v>
          </cell>
          <cell r="AW509">
            <v>51</v>
          </cell>
          <cell r="AX509">
            <v>86</v>
          </cell>
          <cell r="AY509">
            <v>169</v>
          </cell>
          <cell r="AZ509">
            <v>1.34</v>
          </cell>
          <cell r="BA509" t="str">
            <v>D2004085</v>
          </cell>
          <cell r="BB509" t="str">
            <v>CONFORM</v>
          </cell>
          <cell r="BC509" t="str">
            <v>CONFORM</v>
          </cell>
          <cell r="BD509" t="str">
            <v>CONFORM</v>
          </cell>
          <cell r="BE509" t="str">
            <v>CONFORM</v>
          </cell>
          <cell r="BF509" t="str">
            <v>CONFORM</v>
          </cell>
        </row>
        <row r="510">
          <cell r="A510">
            <v>43942</v>
          </cell>
          <cell r="B510" t="str">
            <v>D2004086-1</v>
          </cell>
          <cell r="C510" t="str">
            <v>041/20</v>
          </cell>
          <cell r="D510">
            <v>1</v>
          </cell>
          <cell r="E510">
            <v>43942</v>
          </cell>
          <cell r="F510" t="str">
            <v>DC</v>
          </cell>
          <cell r="G510" t="str">
            <v>On Time</v>
          </cell>
          <cell r="H510">
            <v>2407464220</v>
          </cell>
          <cell r="I510">
            <v>43942</v>
          </cell>
          <cell r="J510" t="str">
            <v>TKM</v>
          </cell>
          <cell r="K510" t="str">
            <v>D2004086</v>
          </cell>
          <cell r="L510">
            <v>1</v>
          </cell>
          <cell r="M510" t="str">
            <v>05F74KA</v>
          </cell>
          <cell r="N510" t="str">
            <v>F74K</v>
          </cell>
          <cell r="O510" t="str">
            <v xml:space="preserve">1.4306 TP304L </v>
          </cell>
          <cell r="P510" t="str">
            <v>304L</v>
          </cell>
          <cell r="Q510">
            <v>3.0670000000000002</v>
          </cell>
          <cell r="S510">
            <v>6.3E-2</v>
          </cell>
          <cell r="T510">
            <v>6.3E-2</v>
          </cell>
          <cell r="V510">
            <v>6.3E-2</v>
          </cell>
          <cell r="X510">
            <v>4056</v>
          </cell>
          <cell r="Y510">
            <v>6</v>
          </cell>
          <cell r="Z510">
            <v>220.41082491033583</v>
          </cell>
          <cell r="AA510" t="str">
            <v>3.067X0.063-304L</v>
          </cell>
          <cell r="AB510" t="str">
            <v>WAAC007790160B300089</v>
          </cell>
          <cell r="AC510" t="str">
            <v>D2004086</v>
          </cell>
          <cell r="AD510" t="str">
            <v>F74K</v>
          </cell>
          <cell r="AE510">
            <v>1.4999999999999999E-2</v>
          </cell>
          <cell r="AF510">
            <v>1.74</v>
          </cell>
          <cell r="AG510">
            <v>3.1E-2</v>
          </cell>
          <cell r="AH510">
            <v>4.0000000000000001E-3</v>
          </cell>
          <cell r="AI510">
            <v>0.35</v>
          </cell>
          <cell r="AJ510">
            <v>18</v>
          </cell>
          <cell r="AK510">
            <v>8.1</v>
          </cell>
          <cell r="AL510">
            <v>0.09</v>
          </cell>
          <cell r="AM510">
            <v>0.39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0.45</v>
          </cell>
          <cell r="AS510">
            <v>0</v>
          </cell>
          <cell r="AT510">
            <v>324</v>
          </cell>
          <cell r="AU510">
            <v>0</v>
          </cell>
          <cell r="AV510">
            <v>668</v>
          </cell>
          <cell r="AW510">
            <v>51</v>
          </cell>
          <cell r="AX510">
            <v>86</v>
          </cell>
          <cell r="AY510">
            <v>169</v>
          </cell>
          <cell r="AZ510">
            <v>1.34</v>
          </cell>
          <cell r="BA510" t="str">
            <v>D2004086</v>
          </cell>
          <cell r="BB510" t="str">
            <v>CONFORM</v>
          </cell>
          <cell r="BC510" t="str">
            <v>CONFORM</v>
          </cell>
          <cell r="BD510" t="str">
            <v>CONFORM</v>
          </cell>
          <cell r="BE510" t="str">
            <v>CONFORM</v>
          </cell>
          <cell r="BF510" t="str">
            <v>CONFORM</v>
          </cell>
        </row>
        <row r="511">
          <cell r="A511">
            <v>43942</v>
          </cell>
          <cell r="B511" t="str">
            <v>D2004086-2</v>
          </cell>
          <cell r="C511" t="str">
            <v>041/20</v>
          </cell>
          <cell r="D511">
            <v>1</v>
          </cell>
          <cell r="E511">
            <v>43942</v>
          </cell>
          <cell r="F511" t="str">
            <v>DC</v>
          </cell>
          <cell r="G511" t="str">
            <v>On Time</v>
          </cell>
          <cell r="H511">
            <v>2407464220</v>
          </cell>
          <cell r="I511">
            <v>43942</v>
          </cell>
          <cell r="J511" t="str">
            <v>TKM</v>
          </cell>
          <cell r="K511" t="str">
            <v>D2004086</v>
          </cell>
          <cell r="L511">
            <v>2</v>
          </cell>
          <cell r="M511" t="str">
            <v>05F74KA</v>
          </cell>
          <cell r="N511" t="str">
            <v>F74K</v>
          </cell>
          <cell r="O511" t="str">
            <v xml:space="preserve">1.4306 TP304L </v>
          </cell>
          <cell r="P511" t="str">
            <v>304L</v>
          </cell>
          <cell r="Q511">
            <v>3.0670000000000002</v>
          </cell>
          <cell r="S511">
            <v>6.3E-2</v>
          </cell>
          <cell r="T511">
            <v>6.3E-2</v>
          </cell>
          <cell r="V511">
            <v>6.3E-2</v>
          </cell>
          <cell r="X511">
            <v>3392</v>
          </cell>
          <cell r="Y511">
            <v>5</v>
          </cell>
          <cell r="Z511">
            <v>221.19334854907072</v>
          </cell>
          <cell r="AA511" t="str">
            <v>3.067X0.063-304L</v>
          </cell>
          <cell r="AB511" t="str">
            <v>WAAC007790160B300089</v>
          </cell>
          <cell r="AC511" t="str">
            <v>D2004086</v>
          </cell>
          <cell r="AD511" t="str">
            <v>F74K</v>
          </cell>
          <cell r="AE511">
            <v>1.4999999999999999E-2</v>
          </cell>
          <cell r="AF511">
            <v>1.74</v>
          </cell>
          <cell r="AG511">
            <v>3.1E-2</v>
          </cell>
          <cell r="AH511">
            <v>4.0000000000000001E-3</v>
          </cell>
          <cell r="AI511">
            <v>0.35</v>
          </cell>
          <cell r="AJ511">
            <v>18</v>
          </cell>
          <cell r="AK511">
            <v>8.1</v>
          </cell>
          <cell r="AL511">
            <v>0.09</v>
          </cell>
          <cell r="AM511">
            <v>0.39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0.45</v>
          </cell>
          <cell r="AS511">
            <v>0</v>
          </cell>
          <cell r="AT511">
            <v>324</v>
          </cell>
          <cell r="AU511">
            <v>0</v>
          </cell>
          <cell r="AV511">
            <v>668</v>
          </cell>
          <cell r="AW511">
            <v>51</v>
          </cell>
          <cell r="AX511">
            <v>86</v>
          </cell>
          <cell r="AY511">
            <v>169</v>
          </cell>
          <cell r="AZ511">
            <v>1.34</v>
          </cell>
          <cell r="BA511" t="str">
            <v>D2004086</v>
          </cell>
          <cell r="BB511" t="str">
            <v>CONFORM</v>
          </cell>
          <cell r="BC511" t="str">
            <v>CONFORM</v>
          </cell>
          <cell r="BD511" t="str">
            <v>CONFORM</v>
          </cell>
          <cell r="BE511" t="str">
            <v>CONFORM</v>
          </cell>
          <cell r="BF511" t="str">
            <v>CONFORM</v>
          </cell>
        </row>
        <row r="512">
          <cell r="A512">
            <v>43942</v>
          </cell>
          <cell r="B512" t="str">
            <v>D2004086-3</v>
          </cell>
          <cell r="C512" t="str">
            <v>041/20</v>
          </cell>
          <cell r="D512">
            <v>1</v>
          </cell>
          <cell r="E512">
            <v>43942</v>
          </cell>
          <cell r="F512" t="str">
            <v>DC</v>
          </cell>
          <cell r="G512" t="str">
            <v>On Time</v>
          </cell>
          <cell r="H512">
            <v>2407464220</v>
          </cell>
          <cell r="I512">
            <v>43942</v>
          </cell>
          <cell r="J512" t="str">
            <v>TKM</v>
          </cell>
          <cell r="K512" t="str">
            <v>D2004086</v>
          </cell>
          <cell r="L512">
            <v>3</v>
          </cell>
          <cell r="M512" t="str">
            <v>05F74KA</v>
          </cell>
          <cell r="N512" t="str">
            <v>F74K</v>
          </cell>
          <cell r="O512" t="str">
            <v xml:space="preserve">1.4306 TP304L </v>
          </cell>
          <cell r="P512" t="str">
            <v>304L</v>
          </cell>
          <cell r="Q512">
            <v>3.0670000000000002</v>
          </cell>
          <cell r="S512">
            <v>6.3E-2</v>
          </cell>
          <cell r="T512">
            <v>6.3E-2</v>
          </cell>
          <cell r="V512">
            <v>6.3E-2</v>
          </cell>
          <cell r="X512">
            <v>4158</v>
          </cell>
          <cell r="Y512">
            <v>6</v>
          </cell>
          <cell r="Z512">
            <v>225.95370068470817</v>
          </cell>
          <cell r="AA512" t="str">
            <v>3.067X0.063-304L</v>
          </cell>
          <cell r="AB512" t="str">
            <v>WAAC007790160B300089</v>
          </cell>
          <cell r="AC512" t="str">
            <v>D2004086</v>
          </cell>
          <cell r="AD512" t="str">
            <v>F74K</v>
          </cell>
          <cell r="AE512">
            <v>1.4999999999999999E-2</v>
          </cell>
          <cell r="AF512">
            <v>1.74</v>
          </cell>
          <cell r="AG512">
            <v>3.1E-2</v>
          </cell>
          <cell r="AH512">
            <v>4.0000000000000001E-3</v>
          </cell>
          <cell r="AI512">
            <v>0.35</v>
          </cell>
          <cell r="AJ512">
            <v>18</v>
          </cell>
          <cell r="AK512">
            <v>8.1</v>
          </cell>
          <cell r="AL512">
            <v>0.09</v>
          </cell>
          <cell r="AM512">
            <v>0.39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0.45</v>
          </cell>
          <cell r="AS512">
            <v>0</v>
          </cell>
          <cell r="AT512">
            <v>324</v>
          </cell>
          <cell r="AU512">
            <v>0</v>
          </cell>
          <cell r="AV512">
            <v>668</v>
          </cell>
          <cell r="AW512">
            <v>51</v>
          </cell>
          <cell r="AX512">
            <v>86</v>
          </cell>
          <cell r="AY512">
            <v>169</v>
          </cell>
          <cell r="AZ512">
            <v>1.34</v>
          </cell>
          <cell r="BA512" t="str">
            <v>D2004086</v>
          </cell>
          <cell r="BB512" t="str">
            <v>CONFORM</v>
          </cell>
          <cell r="BC512" t="str">
            <v>CONFORM</v>
          </cell>
          <cell r="BD512" t="str">
            <v>CONFORM</v>
          </cell>
          <cell r="BE512" t="str">
            <v>CONFORM</v>
          </cell>
          <cell r="BF512" t="str">
            <v>CONFORM</v>
          </cell>
        </row>
        <row r="513">
          <cell r="A513">
            <v>43942</v>
          </cell>
          <cell r="B513" t="str">
            <v>D2004086-4</v>
          </cell>
          <cell r="C513" t="str">
            <v>041/20</v>
          </cell>
          <cell r="D513">
            <v>1</v>
          </cell>
          <cell r="E513">
            <v>43942</v>
          </cell>
          <cell r="F513" t="str">
            <v>DC</v>
          </cell>
          <cell r="G513" t="str">
            <v>On Time</v>
          </cell>
          <cell r="H513">
            <v>2407464220</v>
          </cell>
          <cell r="I513">
            <v>43942</v>
          </cell>
          <cell r="J513" t="str">
            <v>TKM</v>
          </cell>
          <cell r="K513" t="str">
            <v>D2004086</v>
          </cell>
          <cell r="L513">
            <v>4</v>
          </cell>
          <cell r="M513" t="str">
            <v>05F74KA</v>
          </cell>
          <cell r="N513" t="str">
            <v>F74K</v>
          </cell>
          <cell r="O513" t="str">
            <v xml:space="preserve">1.4306 TP304L </v>
          </cell>
          <cell r="P513" t="str">
            <v>304L</v>
          </cell>
          <cell r="Q513">
            <v>3.0670000000000002</v>
          </cell>
          <cell r="S513">
            <v>6.3E-2</v>
          </cell>
          <cell r="T513">
            <v>6.3E-2</v>
          </cell>
          <cell r="V513">
            <v>6.3E-2</v>
          </cell>
          <cell r="X513">
            <v>3456</v>
          </cell>
          <cell r="Y513">
            <v>5</v>
          </cell>
          <cell r="Z513">
            <v>225.36680795565701</v>
          </cell>
          <cell r="AA513" t="str">
            <v>3.067X0.063-304L</v>
          </cell>
          <cell r="AB513" t="str">
            <v>WAAC007790160B300089</v>
          </cell>
          <cell r="AC513" t="str">
            <v>D2004086</v>
          </cell>
          <cell r="AD513" t="str">
            <v>F74K</v>
          </cell>
          <cell r="AE513">
            <v>1.4999999999999999E-2</v>
          </cell>
          <cell r="AF513">
            <v>1.74</v>
          </cell>
          <cell r="AG513">
            <v>3.1E-2</v>
          </cell>
          <cell r="AH513">
            <v>4.0000000000000001E-3</v>
          </cell>
          <cell r="AI513">
            <v>0.35</v>
          </cell>
          <cell r="AJ513">
            <v>18</v>
          </cell>
          <cell r="AK513">
            <v>8.1</v>
          </cell>
          <cell r="AL513">
            <v>0.09</v>
          </cell>
          <cell r="AM513">
            <v>0.39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0.45</v>
          </cell>
          <cell r="AS513">
            <v>0</v>
          </cell>
          <cell r="AT513">
            <v>324</v>
          </cell>
          <cell r="AU513">
            <v>0</v>
          </cell>
          <cell r="AV513">
            <v>668</v>
          </cell>
          <cell r="AW513">
            <v>51</v>
          </cell>
          <cell r="AX513">
            <v>86</v>
          </cell>
          <cell r="AY513">
            <v>169</v>
          </cell>
          <cell r="AZ513">
            <v>1.34</v>
          </cell>
          <cell r="BA513" t="str">
            <v>D2004086</v>
          </cell>
          <cell r="BB513" t="str">
            <v>CONFORM</v>
          </cell>
          <cell r="BC513" t="str">
            <v>CONFORM</v>
          </cell>
          <cell r="BD513" t="str">
            <v>CONFORM</v>
          </cell>
          <cell r="BE513" t="str">
            <v>CONFORM</v>
          </cell>
          <cell r="BF513" t="str">
            <v>CONFORM</v>
          </cell>
        </row>
        <row r="514">
          <cell r="A514">
            <v>43942</v>
          </cell>
          <cell r="B514" t="str">
            <v>D2004086-5</v>
          </cell>
          <cell r="C514" t="str">
            <v>041/20</v>
          </cell>
          <cell r="D514">
            <v>1</v>
          </cell>
          <cell r="E514">
            <v>43942</v>
          </cell>
          <cell r="F514" t="str">
            <v>DC</v>
          </cell>
          <cell r="G514" t="str">
            <v>On Time</v>
          </cell>
          <cell r="H514">
            <v>2407464220</v>
          </cell>
          <cell r="I514">
            <v>43942</v>
          </cell>
          <cell r="J514" t="str">
            <v>TKM</v>
          </cell>
          <cell r="K514" t="str">
            <v>D2004086</v>
          </cell>
          <cell r="L514">
            <v>5</v>
          </cell>
          <cell r="M514" t="str">
            <v>05F74KA</v>
          </cell>
          <cell r="N514" t="str">
            <v>F74K</v>
          </cell>
          <cell r="O514" t="str">
            <v xml:space="preserve">1.4306 TP304L </v>
          </cell>
          <cell r="P514" t="str">
            <v>304L</v>
          </cell>
          <cell r="Q514">
            <v>3.0670000000000002</v>
          </cell>
          <cell r="S514">
            <v>6.3E-2</v>
          </cell>
          <cell r="T514">
            <v>6.3E-2</v>
          </cell>
          <cell r="V514">
            <v>6.3E-2</v>
          </cell>
          <cell r="X514">
            <v>2636</v>
          </cell>
          <cell r="Y514">
            <v>6</v>
          </cell>
          <cell r="Z514">
            <v>143.24529942397564</v>
          </cell>
          <cell r="AA514" t="str">
            <v>3.067X0.063-304L</v>
          </cell>
          <cell r="AB514" t="str">
            <v>WAAC007790160B300089</v>
          </cell>
          <cell r="AC514" t="str">
            <v>D2004086</v>
          </cell>
          <cell r="AD514" t="str">
            <v>F74K</v>
          </cell>
          <cell r="AE514">
            <v>1.4999999999999999E-2</v>
          </cell>
          <cell r="AF514">
            <v>1.74</v>
          </cell>
          <cell r="AG514">
            <v>3.1E-2</v>
          </cell>
          <cell r="AH514">
            <v>4.0000000000000001E-3</v>
          </cell>
          <cell r="AI514">
            <v>0.35</v>
          </cell>
          <cell r="AJ514">
            <v>18</v>
          </cell>
          <cell r="AK514">
            <v>8.1</v>
          </cell>
          <cell r="AL514">
            <v>0.09</v>
          </cell>
          <cell r="AM514">
            <v>0.39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0.45</v>
          </cell>
          <cell r="AS514">
            <v>0</v>
          </cell>
          <cell r="AT514">
            <v>324</v>
          </cell>
          <cell r="AU514">
            <v>0</v>
          </cell>
          <cell r="AV514">
            <v>668</v>
          </cell>
          <cell r="AW514">
            <v>51</v>
          </cell>
          <cell r="AX514">
            <v>86</v>
          </cell>
          <cell r="AY514">
            <v>169</v>
          </cell>
          <cell r="AZ514">
            <v>1.34</v>
          </cell>
          <cell r="BA514" t="str">
            <v>D2004086</v>
          </cell>
          <cell r="BB514" t="str">
            <v>CONFORM</v>
          </cell>
          <cell r="BC514" t="str">
            <v>CONFORM</v>
          </cell>
          <cell r="BD514" t="str">
            <v>CONFORM</v>
          </cell>
          <cell r="BE514" t="str">
            <v>CONFORM</v>
          </cell>
          <cell r="BF514" t="str">
            <v>CONFORM</v>
          </cell>
        </row>
        <row r="515">
          <cell r="A515">
            <v>43942</v>
          </cell>
          <cell r="B515" t="str">
            <v>D2004086-6</v>
          </cell>
          <cell r="C515" t="str">
            <v>041/20</v>
          </cell>
          <cell r="D515">
            <v>1</v>
          </cell>
          <cell r="E515">
            <v>43942</v>
          </cell>
          <cell r="F515" t="str">
            <v>DC</v>
          </cell>
          <cell r="G515" t="str">
            <v>On Time</v>
          </cell>
          <cell r="H515">
            <v>2407464220</v>
          </cell>
          <cell r="I515">
            <v>43942</v>
          </cell>
          <cell r="J515" t="str">
            <v>TKM</v>
          </cell>
          <cell r="K515" t="str">
            <v>D2004086</v>
          </cell>
          <cell r="L515">
            <v>6</v>
          </cell>
          <cell r="M515" t="str">
            <v>05F74KA</v>
          </cell>
          <cell r="N515" t="str">
            <v>F74K</v>
          </cell>
          <cell r="O515" t="str">
            <v xml:space="preserve">1.4306 TP304L </v>
          </cell>
          <cell r="P515" t="str">
            <v>304L</v>
          </cell>
          <cell r="Q515">
            <v>3.0670000000000002</v>
          </cell>
          <cell r="S515">
            <v>6.3E-2</v>
          </cell>
          <cell r="T515">
            <v>6.3E-2</v>
          </cell>
          <cell r="V515">
            <v>6.3E-2</v>
          </cell>
          <cell r="X515">
            <v>2200</v>
          </cell>
          <cell r="Y515">
            <v>5</v>
          </cell>
          <cell r="Z515">
            <v>143.46266710140202</v>
          </cell>
          <cell r="AA515" t="str">
            <v>3.067X0.063-304L</v>
          </cell>
          <cell r="AB515" t="str">
            <v>WAAC007790160B300089</v>
          </cell>
          <cell r="AC515" t="str">
            <v>D2004086</v>
          </cell>
          <cell r="AD515" t="str">
            <v>F74K</v>
          </cell>
          <cell r="AE515">
            <v>1.4999999999999999E-2</v>
          </cell>
          <cell r="AF515">
            <v>1.74</v>
          </cell>
          <cell r="AG515">
            <v>3.1E-2</v>
          </cell>
          <cell r="AH515">
            <v>4.0000000000000001E-3</v>
          </cell>
          <cell r="AI515">
            <v>0.35</v>
          </cell>
          <cell r="AJ515">
            <v>18</v>
          </cell>
          <cell r="AK515">
            <v>8.1</v>
          </cell>
          <cell r="AL515">
            <v>0.09</v>
          </cell>
          <cell r="AM515">
            <v>0.39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0.45</v>
          </cell>
          <cell r="AS515">
            <v>0</v>
          </cell>
          <cell r="AT515">
            <v>324</v>
          </cell>
          <cell r="AU515">
            <v>0</v>
          </cell>
          <cell r="AV515">
            <v>668</v>
          </cell>
          <cell r="AW515">
            <v>51</v>
          </cell>
          <cell r="AX515">
            <v>86</v>
          </cell>
          <cell r="AY515">
            <v>169</v>
          </cell>
          <cell r="AZ515">
            <v>1.34</v>
          </cell>
          <cell r="BA515" t="str">
            <v>D2004086</v>
          </cell>
          <cell r="BB515" t="str">
            <v>CONFORM</v>
          </cell>
          <cell r="BC515" t="str">
            <v>CONFORM</v>
          </cell>
          <cell r="BD515" t="str">
            <v>CONFORM</v>
          </cell>
          <cell r="BE515" t="str">
            <v>CONFORM</v>
          </cell>
          <cell r="BF515" t="str">
            <v>CONFORM</v>
          </cell>
        </row>
        <row r="516">
          <cell r="A516">
            <v>43942</v>
          </cell>
          <cell r="B516" t="str">
            <v>D2004086-7</v>
          </cell>
          <cell r="C516" t="str">
            <v>041/20</v>
          </cell>
          <cell r="D516">
            <v>1</v>
          </cell>
          <cell r="E516">
            <v>43942</v>
          </cell>
          <cell r="F516" t="str">
            <v>DC</v>
          </cell>
          <cell r="G516" t="str">
            <v>On Time</v>
          </cell>
          <cell r="H516">
            <v>2407464220</v>
          </cell>
          <cell r="I516">
            <v>43942</v>
          </cell>
          <cell r="J516" t="str">
            <v>TKM</v>
          </cell>
          <cell r="K516" t="str">
            <v>D2004086</v>
          </cell>
          <cell r="L516">
            <v>7</v>
          </cell>
          <cell r="M516" t="str">
            <v>05F74KA</v>
          </cell>
          <cell r="N516" t="str">
            <v>F74K</v>
          </cell>
          <cell r="O516" t="str">
            <v xml:space="preserve">1.4306 TP304L </v>
          </cell>
          <cell r="P516" t="str">
            <v>304L</v>
          </cell>
          <cell r="Q516">
            <v>3.0670000000000002</v>
          </cell>
          <cell r="S516">
            <v>6.3E-2</v>
          </cell>
          <cell r="T516">
            <v>6.3E-2</v>
          </cell>
          <cell r="V516">
            <v>6.3E-2</v>
          </cell>
          <cell r="X516">
            <v>2856</v>
          </cell>
          <cell r="Y516">
            <v>5</v>
          </cell>
          <cell r="Z516">
            <v>186.240626018911</v>
          </cell>
          <cell r="AA516" t="str">
            <v>3.067X0.063-304L</v>
          </cell>
          <cell r="AB516" t="str">
            <v>WAAC007790160B300089</v>
          </cell>
          <cell r="AC516" t="str">
            <v>D2004086</v>
          </cell>
          <cell r="AD516" t="str">
            <v>F74K</v>
          </cell>
          <cell r="AE516">
            <v>1.4999999999999999E-2</v>
          </cell>
          <cell r="AF516">
            <v>1.74</v>
          </cell>
          <cell r="AG516">
            <v>3.1E-2</v>
          </cell>
          <cell r="AH516">
            <v>4.0000000000000001E-3</v>
          </cell>
          <cell r="AI516">
            <v>0.35</v>
          </cell>
          <cell r="AJ516">
            <v>18</v>
          </cell>
          <cell r="AK516">
            <v>8.1</v>
          </cell>
          <cell r="AL516">
            <v>0.09</v>
          </cell>
          <cell r="AM516">
            <v>0.39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0.45</v>
          </cell>
          <cell r="AS516">
            <v>0</v>
          </cell>
          <cell r="AT516">
            <v>324</v>
          </cell>
          <cell r="AU516">
            <v>0</v>
          </cell>
          <cell r="AV516">
            <v>668</v>
          </cell>
          <cell r="AW516">
            <v>51</v>
          </cell>
          <cell r="AX516">
            <v>86</v>
          </cell>
          <cell r="AY516">
            <v>169</v>
          </cell>
          <cell r="AZ516">
            <v>1.34</v>
          </cell>
          <cell r="BA516" t="str">
            <v>D2004086</v>
          </cell>
          <cell r="BB516" t="str">
            <v>CONFORM</v>
          </cell>
          <cell r="BC516" t="str">
            <v>CONFORM</v>
          </cell>
          <cell r="BD516" t="str">
            <v>CONFORM</v>
          </cell>
          <cell r="BE516" t="str">
            <v>CONFORM</v>
          </cell>
          <cell r="BF516" t="str">
            <v>CONFORM</v>
          </cell>
        </row>
        <row r="517">
          <cell r="A517">
            <v>43942</v>
          </cell>
          <cell r="B517" t="str">
            <v>D2004086-8</v>
          </cell>
          <cell r="C517" t="str">
            <v>041/20</v>
          </cell>
          <cell r="D517">
            <v>1</v>
          </cell>
          <cell r="E517">
            <v>43942</v>
          </cell>
          <cell r="F517" t="str">
            <v>DC</v>
          </cell>
          <cell r="G517" t="str">
            <v>On Time</v>
          </cell>
          <cell r="H517">
            <v>2407464220</v>
          </cell>
          <cell r="I517">
            <v>43942</v>
          </cell>
          <cell r="J517" t="str">
            <v>TKM</v>
          </cell>
          <cell r="K517" t="str">
            <v>D2004086</v>
          </cell>
          <cell r="L517">
            <v>8</v>
          </cell>
          <cell r="M517" t="str">
            <v>05F74KA</v>
          </cell>
          <cell r="N517" t="str">
            <v>F74K</v>
          </cell>
          <cell r="O517" t="str">
            <v xml:space="preserve">1.4306 TP304L </v>
          </cell>
          <cell r="P517" t="str">
            <v>304L</v>
          </cell>
          <cell r="Q517">
            <v>3.0670000000000002</v>
          </cell>
          <cell r="S517">
            <v>6.3E-2</v>
          </cell>
          <cell r="T517">
            <v>6.3E-2</v>
          </cell>
          <cell r="V517">
            <v>6.3E-2</v>
          </cell>
          <cell r="X517">
            <v>3416</v>
          </cell>
          <cell r="Y517">
            <v>6</v>
          </cell>
          <cell r="Z517">
            <v>185.63199652211716</v>
          </cell>
          <cell r="AA517" t="str">
            <v>3.067X0.063-304L</v>
          </cell>
          <cell r="AB517" t="str">
            <v>WAAC007790160B300089</v>
          </cell>
          <cell r="AC517" t="str">
            <v>D2004086</v>
          </cell>
          <cell r="AD517" t="str">
            <v>F74K</v>
          </cell>
          <cell r="AE517">
            <v>1.4999999999999999E-2</v>
          </cell>
          <cell r="AF517">
            <v>1.74</v>
          </cell>
          <cell r="AG517">
            <v>3.1E-2</v>
          </cell>
          <cell r="AH517">
            <v>4.0000000000000001E-3</v>
          </cell>
          <cell r="AI517">
            <v>0.35</v>
          </cell>
          <cell r="AJ517">
            <v>18</v>
          </cell>
          <cell r="AK517">
            <v>8.1</v>
          </cell>
          <cell r="AL517">
            <v>0.09</v>
          </cell>
          <cell r="AM517">
            <v>0.39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0.45</v>
          </cell>
          <cell r="AS517">
            <v>0</v>
          </cell>
          <cell r="AT517">
            <v>324</v>
          </cell>
          <cell r="AU517">
            <v>0</v>
          </cell>
          <cell r="AV517">
            <v>668</v>
          </cell>
          <cell r="AW517">
            <v>51</v>
          </cell>
          <cell r="AX517">
            <v>86</v>
          </cell>
          <cell r="AY517">
            <v>169</v>
          </cell>
          <cell r="AZ517">
            <v>1.34</v>
          </cell>
          <cell r="BA517" t="str">
            <v>D2004086</v>
          </cell>
          <cell r="BB517" t="str">
            <v>CONFORM</v>
          </cell>
          <cell r="BC517" t="str">
            <v>CONFORM</v>
          </cell>
          <cell r="BD517" t="str">
            <v>CONFORM</v>
          </cell>
          <cell r="BE517" t="str">
            <v>CONFORM</v>
          </cell>
          <cell r="BF517" t="str">
            <v>CONFORM</v>
          </cell>
        </row>
        <row r="518">
          <cell r="A518">
            <v>43942</v>
          </cell>
          <cell r="B518" t="str">
            <v>D2004086-9</v>
          </cell>
          <cell r="C518" t="str">
            <v>041/20</v>
          </cell>
          <cell r="D518">
            <v>1</v>
          </cell>
          <cell r="E518">
            <v>43942</v>
          </cell>
          <cell r="F518" t="str">
            <v>DC</v>
          </cell>
          <cell r="G518" t="str">
            <v>On Time</v>
          </cell>
          <cell r="H518">
            <v>2407464220</v>
          </cell>
          <cell r="I518">
            <v>43942</v>
          </cell>
          <cell r="J518" t="str">
            <v>TKM</v>
          </cell>
          <cell r="K518" t="str">
            <v>D2004086</v>
          </cell>
          <cell r="L518">
            <v>9</v>
          </cell>
          <cell r="M518" t="str">
            <v>05F74KA</v>
          </cell>
          <cell r="N518" t="str">
            <v>F74K</v>
          </cell>
          <cell r="O518" t="str">
            <v xml:space="preserve">1.4306 TP304L </v>
          </cell>
          <cell r="P518" t="str">
            <v>304L</v>
          </cell>
          <cell r="Q518">
            <v>3.0670000000000002</v>
          </cell>
          <cell r="S518">
            <v>6.3E-2</v>
          </cell>
          <cell r="T518">
            <v>6.3E-2</v>
          </cell>
          <cell r="V518">
            <v>6.3E-2</v>
          </cell>
          <cell r="X518">
            <v>1470</v>
          </cell>
          <cell r="Y518">
            <v>6</v>
          </cell>
          <cell r="Z518">
            <v>79.88262145418976</v>
          </cell>
          <cell r="AA518" t="str">
            <v>3.067X0.063-304L</v>
          </cell>
          <cell r="AB518" t="str">
            <v>WAAC007790160B300089</v>
          </cell>
          <cell r="AC518" t="str">
            <v>D2004086</v>
          </cell>
          <cell r="AD518" t="str">
            <v>F74K</v>
          </cell>
          <cell r="AE518">
            <v>1.4999999999999999E-2</v>
          </cell>
          <cell r="AF518">
            <v>1.74</v>
          </cell>
          <cell r="AG518">
            <v>3.1E-2</v>
          </cell>
          <cell r="AH518">
            <v>4.0000000000000001E-3</v>
          </cell>
          <cell r="AI518">
            <v>0.35</v>
          </cell>
          <cell r="AJ518">
            <v>18</v>
          </cell>
          <cell r="AK518">
            <v>8.1</v>
          </cell>
          <cell r="AL518">
            <v>0.09</v>
          </cell>
          <cell r="AM518">
            <v>0.39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0.45</v>
          </cell>
          <cell r="AS518">
            <v>0</v>
          </cell>
          <cell r="AT518">
            <v>324</v>
          </cell>
          <cell r="AU518">
            <v>0</v>
          </cell>
          <cell r="AV518">
            <v>668</v>
          </cell>
          <cell r="AW518">
            <v>51</v>
          </cell>
          <cell r="AX518">
            <v>86</v>
          </cell>
          <cell r="AY518">
            <v>169</v>
          </cell>
          <cell r="AZ518">
            <v>1.34</v>
          </cell>
          <cell r="BA518" t="str">
            <v>D2004086</v>
          </cell>
          <cell r="BB518" t="str">
            <v>CONFORM</v>
          </cell>
          <cell r="BC518" t="str">
            <v>CONFORM</v>
          </cell>
          <cell r="BD518" t="str">
            <v>CONFORM</v>
          </cell>
          <cell r="BE518" t="str">
            <v>CONFORM</v>
          </cell>
          <cell r="BF518" t="str">
            <v>CONFORM</v>
          </cell>
        </row>
        <row r="519">
          <cell r="A519">
            <v>43942</v>
          </cell>
          <cell r="B519" t="str">
            <v>D2004086-10</v>
          </cell>
          <cell r="C519" t="str">
            <v>041/20</v>
          </cell>
          <cell r="D519">
            <v>1</v>
          </cell>
          <cell r="E519">
            <v>43942</v>
          </cell>
          <cell r="F519" t="str">
            <v>DC</v>
          </cell>
          <cell r="G519" t="str">
            <v>On Time</v>
          </cell>
          <cell r="H519">
            <v>2407464220</v>
          </cell>
          <cell r="I519">
            <v>43942</v>
          </cell>
          <cell r="J519" t="str">
            <v>TKM</v>
          </cell>
          <cell r="K519" t="str">
            <v>D2004086</v>
          </cell>
          <cell r="L519">
            <v>10</v>
          </cell>
          <cell r="M519" t="str">
            <v>05F74KA</v>
          </cell>
          <cell r="N519" t="str">
            <v>F74K</v>
          </cell>
          <cell r="O519" t="str">
            <v xml:space="preserve">1.4306 TP304L </v>
          </cell>
          <cell r="P519" t="str">
            <v>304L</v>
          </cell>
          <cell r="Q519">
            <v>3.0670000000000002</v>
          </cell>
          <cell r="S519">
            <v>6.3E-2</v>
          </cell>
          <cell r="T519">
            <v>6.3E-2</v>
          </cell>
          <cell r="V519">
            <v>6.3E-2</v>
          </cell>
          <cell r="X519">
            <v>1212</v>
          </cell>
          <cell r="Y519">
            <v>5</v>
          </cell>
          <cell r="Z519">
            <v>79.034887512226931</v>
          </cell>
          <cell r="AA519" t="str">
            <v>3.067X0.063-304L</v>
          </cell>
          <cell r="AB519" t="str">
            <v>WAAC007790160B300089</v>
          </cell>
          <cell r="AC519" t="str">
            <v>D2004086</v>
          </cell>
          <cell r="AD519" t="str">
            <v>F74K</v>
          </cell>
          <cell r="AE519">
            <v>1.4999999999999999E-2</v>
          </cell>
          <cell r="AF519">
            <v>1.74</v>
          </cell>
          <cell r="AG519">
            <v>3.1E-2</v>
          </cell>
          <cell r="AH519">
            <v>4.0000000000000001E-3</v>
          </cell>
          <cell r="AI519">
            <v>0.35</v>
          </cell>
          <cell r="AJ519">
            <v>18</v>
          </cell>
          <cell r="AK519">
            <v>8.1</v>
          </cell>
          <cell r="AL519">
            <v>0.09</v>
          </cell>
          <cell r="AM519">
            <v>0.39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0.45</v>
          </cell>
          <cell r="AS519">
            <v>0</v>
          </cell>
          <cell r="AT519">
            <v>324</v>
          </cell>
          <cell r="AU519">
            <v>0</v>
          </cell>
          <cell r="AV519">
            <v>668</v>
          </cell>
          <cell r="AW519">
            <v>51</v>
          </cell>
          <cell r="AX519">
            <v>86</v>
          </cell>
          <cell r="AY519">
            <v>169</v>
          </cell>
          <cell r="AZ519">
            <v>1.34</v>
          </cell>
          <cell r="BA519" t="str">
            <v>D2004086</v>
          </cell>
          <cell r="BB519" t="str">
            <v>CONFORM</v>
          </cell>
          <cell r="BC519" t="str">
            <v>CONFORM</v>
          </cell>
          <cell r="BD519" t="str">
            <v>CONFORM</v>
          </cell>
          <cell r="BE519" t="str">
            <v>CONFORM</v>
          </cell>
          <cell r="BF519" t="str">
            <v>CONFORM</v>
          </cell>
        </row>
        <row r="520">
          <cell r="A520">
            <v>43949</v>
          </cell>
          <cell r="B520" t="str">
            <v>D2004117-1</v>
          </cell>
          <cell r="C520" t="str">
            <v>042/20</v>
          </cell>
          <cell r="D520">
            <v>1</v>
          </cell>
          <cell r="E520">
            <v>43949</v>
          </cell>
          <cell r="F520" t="str">
            <v>DC</v>
          </cell>
          <cell r="G520" t="str">
            <v>On Time</v>
          </cell>
          <cell r="H520">
            <v>2407474623</v>
          </cell>
          <cell r="I520">
            <v>43949</v>
          </cell>
          <cell r="J520" t="str">
            <v>TKM</v>
          </cell>
          <cell r="K520" t="str">
            <v>D2004117</v>
          </cell>
          <cell r="L520">
            <v>1</v>
          </cell>
          <cell r="M520" t="str">
            <v>0561YCA</v>
          </cell>
          <cell r="N520" t="str">
            <v>F61Y</v>
          </cell>
          <cell r="O520" t="str">
            <v xml:space="preserve">1.4401/1.4404 TP316/316L </v>
          </cell>
          <cell r="P520" t="str">
            <v>316L</v>
          </cell>
          <cell r="Q520">
            <v>3.0670000000000002</v>
          </cell>
          <cell r="R520">
            <v>3.0649999999999999</v>
          </cell>
          <cell r="S520">
            <v>6.3E-2</v>
          </cell>
          <cell r="T520">
            <v>6.3E-2</v>
          </cell>
          <cell r="V520">
            <v>6.3E-2</v>
          </cell>
          <cell r="X520">
            <v>5112</v>
          </cell>
          <cell r="Y520">
            <v>6</v>
          </cell>
          <cell r="Z520">
            <v>277.7958917508966</v>
          </cell>
          <cell r="AA520" t="str">
            <v>3.067X0.063-316L</v>
          </cell>
          <cell r="AB520" t="str">
            <v>WAAF007790160B300090</v>
          </cell>
          <cell r="AC520" t="str">
            <v>D2004117</v>
          </cell>
          <cell r="AD520" t="str">
            <v>F61Y</v>
          </cell>
          <cell r="AE520">
            <v>1.7000000000000001E-2</v>
          </cell>
          <cell r="AF520">
            <v>1.22</v>
          </cell>
          <cell r="AG520">
            <v>2.9000000000000001E-2</v>
          </cell>
          <cell r="AH520">
            <v>1E-3</v>
          </cell>
          <cell r="AI520">
            <v>0.33</v>
          </cell>
          <cell r="AJ520">
            <v>17</v>
          </cell>
          <cell r="AK520">
            <v>10.199999999999999</v>
          </cell>
          <cell r="AL520">
            <v>0.05</v>
          </cell>
          <cell r="AM520">
            <v>2.0299999999999998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0.4</v>
          </cell>
          <cell r="AS520">
            <v>0</v>
          </cell>
          <cell r="AT520">
            <v>308</v>
          </cell>
          <cell r="AU520">
            <v>0</v>
          </cell>
          <cell r="AV520">
            <v>638</v>
          </cell>
          <cell r="AW520">
            <v>50</v>
          </cell>
          <cell r="AX520">
            <v>81</v>
          </cell>
          <cell r="AY520">
            <v>153</v>
          </cell>
          <cell r="AZ520">
            <v>1.72</v>
          </cell>
          <cell r="BA520" t="str">
            <v>D2004117</v>
          </cell>
          <cell r="BB520" t="str">
            <v>CONFORM</v>
          </cell>
          <cell r="BC520" t="str">
            <v>CONFORM</v>
          </cell>
          <cell r="BD520" t="str">
            <v>CONFORM</v>
          </cell>
          <cell r="BE520" t="str">
            <v>CONFORM</v>
          </cell>
          <cell r="BF520" t="str">
            <v>CONFORM</v>
          </cell>
        </row>
        <row r="521">
          <cell r="A521">
            <v>43951</v>
          </cell>
          <cell r="B521" t="str">
            <v>D2005001-1</v>
          </cell>
          <cell r="C521" t="str">
            <v>034/20</v>
          </cell>
          <cell r="D521">
            <v>2</v>
          </cell>
          <cell r="E521">
            <v>43951</v>
          </cell>
          <cell r="F521" t="str">
            <v>DC</v>
          </cell>
          <cell r="G521" t="str">
            <v>On Time</v>
          </cell>
          <cell r="H521">
            <v>219</v>
          </cell>
          <cell r="I521">
            <v>43914</v>
          </cell>
          <cell r="J521" t="str">
            <v>ADTI</v>
          </cell>
          <cell r="K521" t="str">
            <v>D2005001</v>
          </cell>
          <cell r="L521">
            <v>1</v>
          </cell>
          <cell r="M521" t="str">
            <v>A2003102</v>
          </cell>
          <cell r="N521" t="str">
            <v>0521456</v>
          </cell>
          <cell r="O521" t="e">
            <v>#N/A</v>
          </cell>
          <cell r="P521" t="str">
            <v>321</v>
          </cell>
          <cell r="Q521">
            <v>1.7509999999999999</v>
          </cell>
          <cell r="R521">
            <v>1.7509999999999999</v>
          </cell>
          <cell r="S521">
            <v>3.5000000000000003E-2</v>
          </cell>
          <cell r="V521" t="str">
            <v/>
          </cell>
          <cell r="X521">
            <v>2522</v>
          </cell>
          <cell r="Y521">
            <v>4</v>
          </cell>
          <cell r="Z521">
            <v>360.07995431182184</v>
          </cell>
          <cell r="AA521" t="str">
            <v>1.751X0.035-321</v>
          </cell>
          <cell r="AB521" t="str">
            <v>WAAJ004450089B300081</v>
          </cell>
          <cell r="AC521" t="str">
            <v>D2005001</v>
          </cell>
          <cell r="AD521" t="str">
            <v>0521456</v>
          </cell>
          <cell r="AE521">
            <v>2.4E-2</v>
          </cell>
          <cell r="AF521">
            <v>0.99</v>
          </cell>
          <cell r="AG521">
            <v>2.4E-2</v>
          </cell>
          <cell r="AH521">
            <v>1E-3</v>
          </cell>
          <cell r="AI521">
            <v>0.61</v>
          </cell>
          <cell r="AJ521">
            <v>17.2</v>
          </cell>
          <cell r="AK521">
            <v>9.1</v>
          </cell>
          <cell r="AL521">
            <v>1.7999999999999999E-2</v>
          </cell>
          <cell r="AM521">
            <v>0.22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0.23</v>
          </cell>
          <cell r="AS521">
            <v>0.24</v>
          </cell>
          <cell r="AT521">
            <v>248</v>
          </cell>
          <cell r="AU521">
            <v>279</v>
          </cell>
          <cell r="AV521">
            <v>570</v>
          </cell>
          <cell r="AW521">
            <v>58</v>
          </cell>
          <cell r="AX521">
            <v>70</v>
          </cell>
          <cell r="AY521">
            <v>125</v>
          </cell>
          <cell r="AZ521">
            <v>1.2756000000000001</v>
          </cell>
          <cell r="BA521" t="str">
            <v>D2005001</v>
          </cell>
          <cell r="BB521" t="str">
            <v>CONFORM</v>
          </cell>
          <cell r="BC521" t="str">
            <v>CONFORM</v>
          </cell>
          <cell r="BD521" t="str">
            <v>CONFORM</v>
          </cell>
          <cell r="BE521" t="str">
            <v>CONFORM</v>
          </cell>
          <cell r="BF521" t="str">
            <v>CONFORM</v>
          </cell>
        </row>
        <row r="522">
          <cell r="A522">
            <v>43951</v>
          </cell>
          <cell r="B522" t="str">
            <v>D2005001-2</v>
          </cell>
          <cell r="C522" t="str">
            <v>034/20</v>
          </cell>
          <cell r="D522">
            <v>3</v>
          </cell>
          <cell r="E522">
            <v>43951</v>
          </cell>
          <cell r="F522" t="str">
            <v>DC</v>
          </cell>
          <cell r="G522" t="str">
            <v>On Time</v>
          </cell>
          <cell r="H522">
            <v>219</v>
          </cell>
          <cell r="I522">
            <v>43914</v>
          </cell>
          <cell r="J522" t="str">
            <v>ADTI</v>
          </cell>
          <cell r="K522" t="str">
            <v>D2005001</v>
          </cell>
          <cell r="L522">
            <v>2</v>
          </cell>
          <cell r="M522" t="str">
            <v>A2003102</v>
          </cell>
          <cell r="N522" t="str">
            <v>0521456</v>
          </cell>
          <cell r="O522" t="e">
            <v>#N/A</v>
          </cell>
          <cell r="P522" t="str">
            <v>321</v>
          </cell>
          <cell r="Q522">
            <v>1.7509999999999999</v>
          </cell>
          <cell r="R522">
            <v>1.7509999999999999</v>
          </cell>
          <cell r="S522">
            <v>3.5000000000000003E-2</v>
          </cell>
          <cell r="V522" t="str">
            <v/>
          </cell>
          <cell r="X522">
            <v>2522</v>
          </cell>
          <cell r="Y522">
            <v>4</v>
          </cell>
          <cell r="Z522">
            <v>360.07995431182184</v>
          </cell>
          <cell r="AA522" t="str">
            <v>1.751X0.035-321</v>
          </cell>
          <cell r="AB522" t="str">
            <v>WAAJ004450089B300081</v>
          </cell>
          <cell r="AC522" t="str">
            <v>D2005001</v>
          </cell>
          <cell r="AD522" t="str">
            <v>0521456</v>
          </cell>
          <cell r="AE522">
            <v>2.4E-2</v>
          </cell>
          <cell r="AF522">
            <v>0.99</v>
          </cell>
          <cell r="AG522">
            <v>2.4E-2</v>
          </cell>
          <cell r="AH522">
            <v>1E-3</v>
          </cell>
          <cell r="AI522">
            <v>0.61</v>
          </cell>
          <cell r="AJ522">
            <v>17.2</v>
          </cell>
          <cell r="AK522">
            <v>9.1</v>
          </cell>
          <cell r="AL522">
            <v>1.7999999999999999E-2</v>
          </cell>
          <cell r="AM522">
            <v>0.22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0.23</v>
          </cell>
          <cell r="AS522">
            <v>0.24</v>
          </cell>
          <cell r="AT522">
            <v>248</v>
          </cell>
          <cell r="AU522">
            <v>279</v>
          </cell>
          <cell r="AV522">
            <v>570</v>
          </cell>
          <cell r="AW522">
            <v>58</v>
          </cell>
          <cell r="AX522">
            <v>70</v>
          </cell>
          <cell r="AY522">
            <v>125</v>
          </cell>
          <cell r="AZ522">
            <v>1.2756000000000001</v>
          </cell>
          <cell r="BA522" t="str">
            <v>D2005001</v>
          </cell>
          <cell r="BB522" t="str">
            <v>CONFORM</v>
          </cell>
          <cell r="BC522" t="str">
            <v>CONFORM</v>
          </cell>
          <cell r="BD522" t="str">
            <v>CONFORM</v>
          </cell>
          <cell r="BE522" t="str">
            <v>CONFORM</v>
          </cell>
          <cell r="BF522" t="str">
            <v>CONFORM</v>
          </cell>
        </row>
        <row r="523">
          <cell r="A523">
            <v>43951</v>
          </cell>
          <cell r="B523" t="str">
            <v>D2005001-3</v>
          </cell>
          <cell r="C523" t="str">
            <v>034/20</v>
          </cell>
          <cell r="D523">
            <v>7</v>
          </cell>
          <cell r="E523">
            <v>43951</v>
          </cell>
          <cell r="F523" t="str">
            <v>DC</v>
          </cell>
          <cell r="G523" t="str">
            <v>On Time</v>
          </cell>
          <cell r="H523">
            <v>219</v>
          </cell>
          <cell r="I523">
            <v>43914</v>
          </cell>
          <cell r="J523" t="str">
            <v>ADTI</v>
          </cell>
          <cell r="K523" t="str">
            <v>D2005001</v>
          </cell>
          <cell r="L523">
            <v>3</v>
          </cell>
          <cell r="M523" t="str">
            <v>A2003102</v>
          </cell>
          <cell r="N523" t="str">
            <v>0521456</v>
          </cell>
          <cell r="O523" t="e">
            <v>#N/A</v>
          </cell>
          <cell r="P523" t="str">
            <v>321</v>
          </cell>
          <cell r="Q523">
            <v>1.7509999999999999</v>
          </cell>
          <cell r="R523">
            <v>1.7509999999999999</v>
          </cell>
          <cell r="S523">
            <v>3.5000000000000003E-2</v>
          </cell>
          <cell r="V523" t="str">
            <v/>
          </cell>
          <cell r="X523">
            <v>3135</v>
          </cell>
          <cell r="Y523">
            <v>5</v>
          </cell>
          <cell r="Z523">
            <v>358.08109651627643</v>
          </cell>
          <cell r="AA523" t="str">
            <v>1.751X0.035-321</v>
          </cell>
          <cell r="AB523" t="str">
            <v>WAAJ004450089B300081</v>
          </cell>
          <cell r="AC523" t="str">
            <v>D2005001</v>
          </cell>
          <cell r="AD523" t="str">
            <v>0521456</v>
          </cell>
          <cell r="AE523">
            <v>2.4E-2</v>
          </cell>
          <cell r="AF523">
            <v>0.99</v>
          </cell>
          <cell r="AG523">
            <v>2.4E-2</v>
          </cell>
          <cell r="AH523">
            <v>1E-3</v>
          </cell>
          <cell r="AI523">
            <v>0.61</v>
          </cell>
          <cell r="AJ523">
            <v>17.2</v>
          </cell>
          <cell r="AK523">
            <v>9.1</v>
          </cell>
          <cell r="AL523">
            <v>1.7999999999999999E-2</v>
          </cell>
          <cell r="AM523">
            <v>0.22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0.23</v>
          </cell>
          <cell r="AS523">
            <v>0.24</v>
          </cell>
          <cell r="AT523">
            <v>248</v>
          </cell>
          <cell r="AU523">
            <v>279</v>
          </cell>
          <cell r="AV523">
            <v>570</v>
          </cell>
          <cell r="AW523">
            <v>58</v>
          </cell>
          <cell r="AX523">
            <v>70</v>
          </cell>
          <cell r="AY523">
            <v>125</v>
          </cell>
          <cell r="AZ523">
            <v>1.2756000000000001</v>
          </cell>
          <cell r="BA523" t="str">
            <v>D2005001</v>
          </cell>
          <cell r="BB523" t="str">
            <v>CONFORM</v>
          </cell>
          <cell r="BC523" t="str">
            <v>CONFORM</v>
          </cell>
          <cell r="BD523" t="str">
            <v>CONFORM</v>
          </cell>
          <cell r="BE523" t="str">
            <v>CONFORM</v>
          </cell>
          <cell r="BF523" t="str">
            <v>CONFORM</v>
          </cell>
        </row>
        <row r="524">
          <cell r="A524">
            <v>43951</v>
          </cell>
          <cell r="B524" t="str">
            <v>D2005002-1</v>
          </cell>
          <cell r="C524" t="str">
            <v>034/20</v>
          </cell>
          <cell r="D524">
            <v>1</v>
          </cell>
          <cell r="E524">
            <v>43951</v>
          </cell>
          <cell r="F524" t="str">
            <v>DC</v>
          </cell>
          <cell r="G524" t="str">
            <v>On Time</v>
          </cell>
          <cell r="H524">
            <v>219</v>
          </cell>
          <cell r="I524">
            <v>43914</v>
          </cell>
          <cell r="J524" t="str">
            <v>ADTI</v>
          </cell>
          <cell r="K524" t="str">
            <v>D2005002</v>
          </cell>
          <cell r="L524">
            <v>1</v>
          </cell>
          <cell r="M524" t="str">
            <v>A2003100</v>
          </cell>
          <cell r="N524">
            <v>517822</v>
          </cell>
          <cell r="O524" t="str">
            <v xml:space="preserve">1.4401/1.4404 TP316/316L </v>
          </cell>
          <cell r="P524" t="str">
            <v>316L</v>
          </cell>
          <cell r="Q524">
            <v>1.7509999999999999</v>
          </cell>
          <cell r="R524">
            <v>1.7509999999999999</v>
          </cell>
          <cell r="S524">
            <v>3.5000000000000003E-2</v>
          </cell>
          <cell r="V524" t="str">
            <v/>
          </cell>
          <cell r="X524">
            <v>2507</v>
          </cell>
          <cell r="Y524">
            <v>4</v>
          </cell>
          <cell r="Z524">
            <v>357.93832095945174</v>
          </cell>
          <cell r="AA524" t="str">
            <v>1.751X0.035-316L</v>
          </cell>
          <cell r="AB524" t="str">
            <v>WAAF004450089B300082</v>
          </cell>
          <cell r="AC524" t="str">
            <v>D2005002</v>
          </cell>
          <cell r="AD524">
            <v>517822</v>
          </cell>
          <cell r="AE524">
            <v>2.5999999999999999E-2</v>
          </cell>
          <cell r="AF524">
            <v>1.52</v>
          </cell>
          <cell r="AG524">
            <v>2.5000000000000001E-2</v>
          </cell>
          <cell r="AH524">
            <v>1E-3</v>
          </cell>
          <cell r="AI524">
            <v>0.49</v>
          </cell>
          <cell r="AJ524">
            <v>18.8</v>
          </cell>
          <cell r="AK524">
            <v>10</v>
          </cell>
          <cell r="AL524">
            <v>3.3000000000000002E-2</v>
          </cell>
          <cell r="AM524">
            <v>2.02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0.26</v>
          </cell>
          <cell r="AS524">
            <v>0</v>
          </cell>
          <cell r="AT524">
            <v>276</v>
          </cell>
          <cell r="AU524">
            <v>302</v>
          </cell>
          <cell r="AV524">
            <v>626</v>
          </cell>
          <cell r="AW524">
            <v>54</v>
          </cell>
          <cell r="AX524">
            <v>81</v>
          </cell>
          <cell r="AY524">
            <v>153</v>
          </cell>
          <cell r="AZ524">
            <v>1.476</v>
          </cell>
          <cell r="BA524" t="str">
            <v>D2005002</v>
          </cell>
          <cell r="BB524" t="str">
            <v>CONFORM</v>
          </cell>
          <cell r="BC524" t="str">
            <v>CONFORM</v>
          </cell>
          <cell r="BD524" t="str">
            <v>CONFORM</v>
          </cell>
          <cell r="BE524" t="str">
            <v>CONFORM</v>
          </cell>
          <cell r="BF524" t="str">
            <v>CONFORM</v>
          </cell>
        </row>
        <row r="525">
          <cell r="A525">
            <v>43951</v>
          </cell>
          <cell r="B525" t="str">
            <v>D2005003-1</v>
          </cell>
          <cell r="C525" t="str">
            <v>034/20</v>
          </cell>
          <cell r="D525">
            <v>5</v>
          </cell>
          <cell r="E525">
            <v>43951</v>
          </cell>
          <cell r="F525" t="str">
            <v>DC</v>
          </cell>
          <cell r="G525" t="str">
            <v>On Time</v>
          </cell>
          <cell r="H525">
            <v>219</v>
          </cell>
          <cell r="I525">
            <v>43914</v>
          </cell>
          <cell r="J525" t="str">
            <v>ADTI</v>
          </cell>
          <cell r="K525" t="str">
            <v>D2005003</v>
          </cell>
          <cell r="L525">
            <v>1</v>
          </cell>
          <cell r="M525" t="str">
            <v>A2003101</v>
          </cell>
          <cell r="N525" t="str">
            <v>S66937210</v>
          </cell>
          <cell r="O525" t="str">
            <v xml:space="preserve">1.4401/1.4404 TP316/316L </v>
          </cell>
          <cell r="P525" t="str">
            <v>316L</v>
          </cell>
          <cell r="Q525">
            <v>1.7509999999999999</v>
          </cell>
          <cell r="R525">
            <v>1.7509999999999999</v>
          </cell>
          <cell r="S525">
            <v>3.5000000000000003E-2</v>
          </cell>
          <cell r="T525">
            <v>3.4000000000000002E-2</v>
          </cell>
          <cell r="U525">
            <v>3.8100000000000002E-2</v>
          </cell>
          <cell r="V525">
            <v>3.6049999999999999E-2</v>
          </cell>
          <cell r="X525">
            <v>2840</v>
          </cell>
          <cell r="Y525">
            <v>4</v>
          </cell>
          <cell r="Z525">
            <v>405.48258138206739</v>
          </cell>
          <cell r="AA525" t="str">
            <v>1.751X0.035-316L</v>
          </cell>
          <cell r="AB525" t="str">
            <v>WAAF004450089B300082</v>
          </cell>
          <cell r="AC525" t="str">
            <v>D2005003</v>
          </cell>
          <cell r="AD525" t="str">
            <v>S66937210</v>
          </cell>
          <cell r="AE525">
            <v>1.7000000000000001E-2</v>
          </cell>
          <cell r="AF525">
            <v>1.35</v>
          </cell>
          <cell r="AG525">
            <v>3.2000000000000001E-2</v>
          </cell>
          <cell r="AH525">
            <v>2E-3</v>
          </cell>
          <cell r="AI525">
            <v>0.65</v>
          </cell>
          <cell r="AJ525">
            <v>19.5</v>
          </cell>
          <cell r="AK525">
            <v>10</v>
          </cell>
          <cell r="AL525">
            <v>3.3000000000000002E-2</v>
          </cell>
          <cell r="AM525">
            <v>2.0099999999999998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293</v>
          </cell>
          <cell r="AU525">
            <v>331</v>
          </cell>
          <cell r="AV525">
            <v>623</v>
          </cell>
          <cell r="AW525">
            <v>51</v>
          </cell>
          <cell r="AX525">
            <v>0</v>
          </cell>
          <cell r="AY525">
            <v>0</v>
          </cell>
          <cell r="AZ525">
            <v>1.476</v>
          </cell>
          <cell r="BA525" t="str">
            <v>D2005003</v>
          </cell>
          <cell r="BB525" t="str">
            <v>CONFORM</v>
          </cell>
          <cell r="BC525" t="str">
            <v>CONFORM</v>
          </cell>
          <cell r="BD525" t="str">
            <v>CONFORM</v>
          </cell>
          <cell r="BE525" t="str">
            <v>CONFORM</v>
          </cell>
          <cell r="BF525" t="str">
            <v>CONFORM</v>
          </cell>
        </row>
        <row r="526">
          <cell r="A526">
            <v>43951</v>
          </cell>
          <cell r="B526" t="str">
            <v>D2005003-2</v>
          </cell>
          <cell r="C526" t="str">
            <v>034/20</v>
          </cell>
          <cell r="D526">
            <v>6</v>
          </cell>
          <cell r="E526">
            <v>43951</v>
          </cell>
          <cell r="F526" t="str">
            <v>DC</v>
          </cell>
          <cell r="G526" t="str">
            <v>On Time</v>
          </cell>
          <cell r="H526">
            <v>219</v>
          </cell>
          <cell r="I526">
            <v>43914</v>
          </cell>
          <cell r="J526" t="str">
            <v>ADTI</v>
          </cell>
          <cell r="K526" t="str">
            <v>D2005003</v>
          </cell>
          <cell r="L526">
            <v>2</v>
          </cell>
          <cell r="M526" t="str">
            <v>A2003101</v>
          </cell>
          <cell r="N526" t="str">
            <v>S66937210</v>
          </cell>
          <cell r="O526" t="str">
            <v xml:space="preserve">1.4401/1.4404 TP316/316L </v>
          </cell>
          <cell r="P526" t="str">
            <v>316L</v>
          </cell>
          <cell r="Q526">
            <v>1.7509999999999999</v>
          </cell>
          <cell r="R526">
            <v>1.7509999999999999</v>
          </cell>
          <cell r="S526">
            <v>3.5000000000000003E-2</v>
          </cell>
          <cell r="T526">
            <v>3.4000000000000002E-2</v>
          </cell>
          <cell r="U526">
            <v>3.8100000000000002E-2</v>
          </cell>
          <cell r="V526">
            <v>3.6049999999999999E-2</v>
          </cell>
          <cell r="X526">
            <v>2853</v>
          </cell>
          <cell r="Y526">
            <v>4</v>
          </cell>
          <cell r="Z526">
            <v>407.33866362078817</v>
          </cell>
          <cell r="AA526" t="str">
            <v>1.751X0.035-316L</v>
          </cell>
          <cell r="AB526" t="str">
            <v>WAAF004450089B300082</v>
          </cell>
          <cell r="AC526" t="str">
            <v>D2005003</v>
          </cell>
          <cell r="AD526" t="str">
            <v>S66937210</v>
          </cell>
          <cell r="AE526">
            <v>1.7000000000000001E-2</v>
          </cell>
          <cell r="AF526">
            <v>1.35</v>
          </cell>
          <cell r="AG526">
            <v>3.2000000000000001E-2</v>
          </cell>
          <cell r="AH526">
            <v>2E-3</v>
          </cell>
          <cell r="AI526">
            <v>0.65</v>
          </cell>
          <cell r="AJ526">
            <v>19.5</v>
          </cell>
          <cell r="AK526">
            <v>10</v>
          </cell>
          <cell r="AL526">
            <v>3.3000000000000002E-2</v>
          </cell>
          <cell r="AM526">
            <v>2.0099999999999998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293</v>
          </cell>
          <cell r="AU526">
            <v>331</v>
          </cell>
          <cell r="AV526">
            <v>623</v>
          </cell>
          <cell r="AW526">
            <v>51</v>
          </cell>
          <cell r="AX526">
            <v>0</v>
          </cell>
          <cell r="AY526">
            <v>0</v>
          </cell>
          <cell r="AZ526">
            <v>1.476</v>
          </cell>
          <cell r="BA526" t="str">
            <v>D2005003</v>
          </cell>
          <cell r="BB526" t="str">
            <v>CONFORM</v>
          </cell>
          <cell r="BC526" t="str">
            <v>CONFORM</v>
          </cell>
          <cell r="BD526" t="str">
            <v>CONFORM</v>
          </cell>
          <cell r="BE526" t="str">
            <v>CONFORM</v>
          </cell>
          <cell r="BF526" t="str">
            <v>CONFORM</v>
          </cell>
        </row>
        <row r="527">
          <cell r="A527">
            <v>43951</v>
          </cell>
          <cell r="B527" t="str">
            <v>D2005004-1</v>
          </cell>
          <cell r="C527" t="str">
            <v>034/20</v>
          </cell>
          <cell r="D527">
            <v>4</v>
          </cell>
          <cell r="E527">
            <v>43951</v>
          </cell>
          <cell r="F527" t="str">
            <v>DC</v>
          </cell>
          <cell r="G527" t="str">
            <v>On Time</v>
          </cell>
          <cell r="H527">
            <v>219</v>
          </cell>
          <cell r="I527">
            <v>43914</v>
          </cell>
          <cell r="J527" t="str">
            <v>ADTI</v>
          </cell>
          <cell r="K527" t="str">
            <v>D2005004</v>
          </cell>
          <cell r="L527">
            <v>1</v>
          </cell>
          <cell r="M527" t="str">
            <v>A2003097</v>
          </cell>
          <cell r="N527" t="str">
            <v>0456169</v>
          </cell>
          <cell r="O527" t="str">
            <v xml:space="preserve">1.4306 TP304L </v>
          </cell>
          <cell r="P527" t="str">
            <v>304L</v>
          </cell>
          <cell r="Q527">
            <v>3.0550000000000002</v>
          </cell>
          <cell r="R527">
            <v>3.0550000000000002</v>
          </cell>
          <cell r="S527">
            <v>6.7000000000000004E-2</v>
          </cell>
          <cell r="V527" t="str">
            <v/>
          </cell>
          <cell r="X527">
            <v>2703</v>
          </cell>
          <cell r="Y527">
            <v>2</v>
          </cell>
          <cell r="Z527">
            <v>442.38952536824877</v>
          </cell>
          <cell r="AA527" t="str">
            <v>3.055X0.067-304L</v>
          </cell>
          <cell r="AB527" t="str">
            <v>WAAC007760170B300083</v>
          </cell>
          <cell r="AC527" t="str">
            <v>D2005004</v>
          </cell>
          <cell r="AD527" t="str">
            <v>0456169</v>
          </cell>
          <cell r="AE527">
            <v>2.1000000000000001E-2</v>
          </cell>
          <cell r="AF527">
            <v>1.1599999999999999</v>
          </cell>
          <cell r="AG527">
            <v>3.2000000000000001E-2</v>
          </cell>
          <cell r="AH527">
            <v>1E-3</v>
          </cell>
          <cell r="AI527">
            <v>0.5</v>
          </cell>
          <cell r="AJ527">
            <v>18.2</v>
          </cell>
          <cell r="AK527">
            <v>10</v>
          </cell>
          <cell r="AL527">
            <v>3.9E-2</v>
          </cell>
          <cell r="AM527">
            <v>0.28999999999999998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0.39</v>
          </cell>
          <cell r="AS527">
            <v>0</v>
          </cell>
          <cell r="AT527">
            <v>262</v>
          </cell>
          <cell r="AU527">
            <v>293</v>
          </cell>
          <cell r="AV527">
            <v>578</v>
          </cell>
          <cell r="AW527">
            <v>56</v>
          </cell>
          <cell r="AX527">
            <v>75</v>
          </cell>
          <cell r="AY527">
            <v>137</v>
          </cell>
          <cell r="AZ527">
            <v>1.0504</v>
          </cell>
          <cell r="BA527" t="str">
            <v>D2005004</v>
          </cell>
          <cell r="BB527" t="str">
            <v>CONFORM</v>
          </cell>
          <cell r="BC527" t="str">
            <v>CONFORM</v>
          </cell>
          <cell r="BD527" t="str">
            <v>CONFORM</v>
          </cell>
          <cell r="BE527" t="str">
            <v>CONFORM</v>
          </cell>
          <cell r="BF527" t="str">
            <v>CONFORM</v>
          </cell>
        </row>
        <row r="528">
          <cell r="A528">
            <v>43951</v>
          </cell>
          <cell r="B528" t="str">
            <v>D2005005-1</v>
          </cell>
          <cell r="C528" t="str">
            <v>034/20</v>
          </cell>
          <cell r="D528">
            <v>8</v>
          </cell>
          <cell r="E528">
            <v>43951</v>
          </cell>
          <cell r="F528" t="str">
            <v>DC</v>
          </cell>
          <cell r="G528" t="str">
            <v>On Time</v>
          </cell>
          <cell r="H528">
            <v>219</v>
          </cell>
          <cell r="I528">
            <v>43914</v>
          </cell>
          <cell r="J528" t="str">
            <v>ADTI</v>
          </cell>
          <cell r="K528" t="str">
            <v>D2005005</v>
          </cell>
          <cell r="L528">
            <v>1</v>
          </cell>
          <cell r="M528" t="str">
            <v>A2003098</v>
          </cell>
          <cell r="N528">
            <v>235250</v>
          </cell>
          <cell r="O528" t="str">
            <v xml:space="preserve">1.4306 TP304L </v>
          </cell>
          <cell r="P528" t="str">
            <v>304L</v>
          </cell>
          <cell r="Q528">
            <v>3.0550000000000002</v>
          </cell>
          <cell r="R528">
            <v>3.0550000000000002</v>
          </cell>
          <cell r="S528">
            <v>6.7000000000000004E-2</v>
          </cell>
          <cell r="V528" t="str">
            <v/>
          </cell>
          <cell r="X528">
            <v>4206</v>
          </cell>
          <cell r="Y528">
            <v>3</v>
          </cell>
          <cell r="Z528">
            <v>458.91980360065463</v>
          </cell>
          <cell r="AA528" t="str">
            <v>3.055X0.067-304L</v>
          </cell>
          <cell r="AB528" t="str">
            <v>WAAC007760170B300083</v>
          </cell>
          <cell r="AC528" t="str">
            <v>D2005005</v>
          </cell>
          <cell r="AD528">
            <v>235250</v>
          </cell>
          <cell r="AE528">
            <v>2.4E-2</v>
          </cell>
          <cell r="AF528">
            <v>1.4</v>
          </cell>
          <cell r="AG528">
            <v>3.5000000000000003E-2</v>
          </cell>
          <cell r="AH528">
            <v>1E-3</v>
          </cell>
          <cell r="AI528">
            <v>0.4</v>
          </cell>
          <cell r="AJ528">
            <v>18</v>
          </cell>
          <cell r="AK528">
            <v>8</v>
          </cell>
          <cell r="AL528">
            <v>6.7000000000000004E-2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0.36</v>
          </cell>
          <cell r="AS528">
            <v>0</v>
          </cell>
          <cell r="AT528">
            <v>289</v>
          </cell>
          <cell r="AU528">
            <v>336</v>
          </cell>
          <cell r="AV528">
            <v>628</v>
          </cell>
          <cell r="AW528">
            <v>57</v>
          </cell>
          <cell r="AX528">
            <v>0</v>
          </cell>
          <cell r="AY528">
            <v>0</v>
          </cell>
          <cell r="AZ528">
            <v>1.0504</v>
          </cell>
          <cell r="BA528" t="str">
            <v>D2005005</v>
          </cell>
          <cell r="BB528" t="str">
            <v>CONFORM</v>
          </cell>
          <cell r="BC528" t="str">
            <v>CONFORM</v>
          </cell>
          <cell r="BD528" t="str">
            <v>CONFORM</v>
          </cell>
          <cell r="BE528" t="str">
            <v>CONFORM</v>
          </cell>
          <cell r="BF528" t="str">
            <v>CONFORM</v>
          </cell>
        </row>
        <row r="529">
          <cell r="A529">
            <v>43951</v>
          </cell>
          <cell r="B529" t="str">
            <v>D2005005-2</v>
          </cell>
          <cell r="C529" t="str">
            <v>034/20</v>
          </cell>
          <cell r="D529">
            <v>9</v>
          </cell>
          <cell r="E529">
            <v>43951</v>
          </cell>
          <cell r="F529" t="str">
            <v>DC</v>
          </cell>
          <cell r="G529" t="str">
            <v>On Time</v>
          </cell>
          <cell r="H529">
            <v>219</v>
          </cell>
          <cell r="I529">
            <v>43914</v>
          </cell>
          <cell r="J529" t="str">
            <v>ADTI</v>
          </cell>
          <cell r="K529" t="str">
            <v>D2005005</v>
          </cell>
          <cell r="L529">
            <v>2</v>
          </cell>
          <cell r="M529" t="str">
            <v>A2003098</v>
          </cell>
          <cell r="N529">
            <v>235250</v>
          </cell>
          <cell r="O529" t="str">
            <v xml:space="preserve">1.4306 TP304L </v>
          </cell>
          <cell r="P529" t="str">
            <v>304L</v>
          </cell>
          <cell r="Q529">
            <v>3.0550000000000002</v>
          </cell>
          <cell r="R529">
            <v>3.0550000000000002</v>
          </cell>
          <cell r="S529">
            <v>6.7000000000000004E-2</v>
          </cell>
          <cell r="V529" t="str">
            <v/>
          </cell>
          <cell r="X529">
            <v>4206</v>
          </cell>
          <cell r="Y529">
            <v>3</v>
          </cell>
          <cell r="Z529">
            <v>458.91980360065463</v>
          </cell>
          <cell r="AA529" t="str">
            <v>3.055X0.067-304L</v>
          </cell>
          <cell r="AB529" t="str">
            <v>WAAC007760170B300083</v>
          </cell>
          <cell r="AC529" t="str">
            <v>D2005005</v>
          </cell>
          <cell r="AD529">
            <v>235250</v>
          </cell>
          <cell r="AE529">
            <v>2.4E-2</v>
          </cell>
          <cell r="AF529">
            <v>1.4</v>
          </cell>
          <cell r="AG529">
            <v>3.5000000000000003E-2</v>
          </cell>
          <cell r="AH529">
            <v>1E-3</v>
          </cell>
          <cell r="AI529">
            <v>0.4</v>
          </cell>
          <cell r="AJ529">
            <v>18</v>
          </cell>
          <cell r="AK529">
            <v>8</v>
          </cell>
          <cell r="AL529">
            <v>6.7000000000000004E-2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0.36</v>
          </cell>
          <cell r="AS529">
            <v>0</v>
          </cell>
          <cell r="AT529">
            <v>289</v>
          </cell>
          <cell r="AU529">
            <v>336</v>
          </cell>
          <cell r="AV529">
            <v>628</v>
          </cell>
          <cell r="AW529">
            <v>57</v>
          </cell>
          <cell r="AX529">
            <v>0</v>
          </cell>
          <cell r="AY529">
            <v>0</v>
          </cell>
          <cell r="AZ529">
            <v>1.0504</v>
          </cell>
          <cell r="BA529" t="str">
            <v>D2005005</v>
          </cell>
          <cell r="BB529" t="str">
            <v>CONFORM</v>
          </cell>
          <cell r="BC529" t="str">
            <v>CONFORM</v>
          </cell>
          <cell r="BD529" t="str">
            <v>CONFORM</v>
          </cell>
          <cell r="BE529" t="str">
            <v>CONFORM</v>
          </cell>
          <cell r="BF529" t="str">
            <v>CONFORM</v>
          </cell>
        </row>
        <row r="530">
          <cell r="A530">
            <v>43951</v>
          </cell>
          <cell r="B530" t="str">
            <v>D2005006-1</v>
          </cell>
          <cell r="C530" t="str">
            <v>034/20</v>
          </cell>
          <cell r="D530">
            <v>10</v>
          </cell>
          <cell r="E530">
            <v>43951</v>
          </cell>
          <cell r="F530" t="str">
            <v>DC</v>
          </cell>
          <cell r="G530" t="str">
            <v>On Time</v>
          </cell>
          <cell r="H530">
            <v>219</v>
          </cell>
          <cell r="I530">
            <v>43914</v>
          </cell>
          <cell r="J530" t="str">
            <v>ADTI</v>
          </cell>
          <cell r="K530" t="str">
            <v>D2005006</v>
          </cell>
          <cell r="L530">
            <v>1</v>
          </cell>
          <cell r="M530" t="str">
            <v>A2003106</v>
          </cell>
          <cell r="N530" t="str">
            <v>Y191009D46</v>
          </cell>
          <cell r="O530" t="str">
            <v xml:space="preserve">1.4306 TP304L </v>
          </cell>
          <cell r="P530" t="str">
            <v>304L</v>
          </cell>
          <cell r="Q530">
            <v>3.016</v>
          </cell>
          <cell r="R530">
            <v>3.016</v>
          </cell>
          <cell r="S530">
            <v>7.9000000000000001E-2</v>
          </cell>
          <cell r="T530">
            <v>7.8E-2</v>
          </cell>
          <cell r="V530">
            <v>7.8E-2</v>
          </cell>
          <cell r="X530">
            <v>4890</v>
          </cell>
          <cell r="Y530">
            <v>3</v>
          </cell>
          <cell r="Z530">
            <v>540.45092838196285</v>
          </cell>
          <cell r="AA530" t="str">
            <v>3.016X0.079-304L</v>
          </cell>
          <cell r="AB530" t="str">
            <v>WAAC007660200B300078</v>
          </cell>
          <cell r="AC530" t="str">
            <v>D2005006</v>
          </cell>
          <cell r="AD530" t="str">
            <v>Y191009D46</v>
          </cell>
          <cell r="AE530">
            <v>2.1000000000000001E-2</v>
          </cell>
          <cell r="AF530">
            <v>1.38</v>
          </cell>
          <cell r="AG530">
            <v>2.9000000000000001E-2</v>
          </cell>
          <cell r="AH530">
            <v>1E-3</v>
          </cell>
          <cell r="AI530">
            <v>0.37</v>
          </cell>
          <cell r="AJ530">
            <v>18.3</v>
          </cell>
          <cell r="AK530">
            <v>8</v>
          </cell>
          <cell r="AL530">
            <v>6.5000000000000002E-2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305</v>
          </cell>
          <cell r="AU530">
            <v>0</v>
          </cell>
          <cell r="AV530">
            <v>652</v>
          </cell>
          <cell r="AW530">
            <v>57</v>
          </cell>
          <cell r="AX530">
            <v>0</v>
          </cell>
          <cell r="AY530">
            <v>0</v>
          </cell>
          <cell r="AZ530">
            <v>1.0254000000000001</v>
          </cell>
          <cell r="BA530" t="str">
            <v>D2005006</v>
          </cell>
          <cell r="BB530" t="str">
            <v>CONFORM</v>
          </cell>
          <cell r="BC530" t="str">
            <v>CONFORM</v>
          </cell>
          <cell r="BD530" t="str">
            <v>CONFORM</v>
          </cell>
          <cell r="BE530" t="str">
            <v>CONFORM</v>
          </cell>
          <cell r="BF530" t="str">
            <v>CONFORM</v>
          </cell>
        </row>
        <row r="531">
          <cell r="A531">
            <v>43959</v>
          </cell>
          <cell r="B531" t="str">
            <v>D2005029-1</v>
          </cell>
          <cell r="C531" t="str">
            <v>044/20</v>
          </cell>
          <cell r="D531">
            <v>1</v>
          </cell>
          <cell r="E531">
            <v>43959</v>
          </cell>
          <cell r="F531" t="str">
            <v>DC</v>
          </cell>
          <cell r="G531" t="str">
            <v>On Time</v>
          </cell>
          <cell r="H531" t="str">
            <v>148108-1</v>
          </cell>
          <cell r="I531">
            <v>43959</v>
          </cell>
          <cell r="J531" t="str">
            <v>UPM</v>
          </cell>
          <cell r="K531" t="str">
            <v>D2005029</v>
          </cell>
          <cell r="L531">
            <v>1</v>
          </cell>
          <cell r="M531" t="str">
            <v>AAC84310</v>
          </cell>
          <cell r="N531">
            <v>859477</v>
          </cell>
          <cell r="O531" t="str">
            <v xml:space="preserve">1.4306 TP304L </v>
          </cell>
          <cell r="P531" t="str">
            <v>304L</v>
          </cell>
          <cell r="Q531">
            <v>6.1689999999999996</v>
          </cell>
          <cell r="R531">
            <v>6.1689999999999996</v>
          </cell>
          <cell r="S531">
            <v>7.9000000000000001E-2</v>
          </cell>
          <cell r="T531">
            <v>0.08</v>
          </cell>
          <cell r="V531">
            <v>0.08</v>
          </cell>
          <cell r="X531">
            <v>3337</v>
          </cell>
          <cell r="Y531">
            <v>2</v>
          </cell>
          <cell r="Z531">
            <v>270.4652293726698</v>
          </cell>
          <cell r="AA531" t="str">
            <v>6.169X0.079-304L</v>
          </cell>
          <cell r="AB531" t="str">
            <v>WAAC015670200B300092</v>
          </cell>
          <cell r="AC531" t="str">
            <v>D2005029</v>
          </cell>
          <cell r="AD531">
            <v>859477</v>
          </cell>
          <cell r="AE531">
            <v>1.9E-2</v>
          </cell>
          <cell r="AF531">
            <v>1.6</v>
          </cell>
          <cell r="AG531">
            <v>3.2000000000000001E-2</v>
          </cell>
          <cell r="AH531">
            <v>0</v>
          </cell>
          <cell r="AI531">
            <v>0.49</v>
          </cell>
          <cell r="AJ531">
            <v>18.100000000000001</v>
          </cell>
          <cell r="AK531">
            <v>8.1999999999999993</v>
          </cell>
          <cell r="AL531">
            <v>7.0000000000000007E-2</v>
          </cell>
          <cell r="AM531">
            <v>0.45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0.5</v>
          </cell>
          <cell r="AS531">
            <v>0</v>
          </cell>
          <cell r="AT531">
            <v>310</v>
          </cell>
          <cell r="AU531">
            <v>0</v>
          </cell>
          <cell r="AV531">
            <v>652</v>
          </cell>
          <cell r="AW531">
            <v>64</v>
          </cell>
          <cell r="AX531">
            <v>80</v>
          </cell>
          <cell r="AY531">
            <v>150</v>
          </cell>
          <cell r="AZ531">
            <v>1.39</v>
          </cell>
          <cell r="BA531" t="str">
            <v>D2005029</v>
          </cell>
          <cell r="BB531" t="str">
            <v>CONFORM</v>
          </cell>
          <cell r="BC531" t="str">
            <v>CONFORM</v>
          </cell>
          <cell r="BD531" t="str">
            <v>CONFORM</v>
          </cell>
          <cell r="BE531" t="str">
            <v>CONFORM</v>
          </cell>
          <cell r="BF531" t="str">
            <v>CONFORM</v>
          </cell>
        </row>
        <row r="532">
          <cell r="A532">
            <v>43959</v>
          </cell>
          <cell r="B532" t="str">
            <v>D2005029-2</v>
          </cell>
          <cell r="C532" t="str">
            <v>044/20</v>
          </cell>
          <cell r="D532">
            <v>1</v>
          </cell>
          <cell r="E532">
            <v>43959</v>
          </cell>
          <cell r="F532" t="str">
            <v>DC</v>
          </cell>
          <cell r="G532" t="str">
            <v>On Time</v>
          </cell>
          <cell r="H532" t="str">
            <v>148108-1</v>
          </cell>
          <cell r="I532">
            <v>43959</v>
          </cell>
          <cell r="J532" t="str">
            <v>UPM</v>
          </cell>
          <cell r="K532" t="str">
            <v>D2005029</v>
          </cell>
          <cell r="L532">
            <v>2</v>
          </cell>
          <cell r="M532" t="str">
            <v>AAC84310</v>
          </cell>
          <cell r="N532">
            <v>859477</v>
          </cell>
          <cell r="O532" t="str">
            <v xml:space="preserve">1.4306 TP304L </v>
          </cell>
          <cell r="P532" t="str">
            <v>304L</v>
          </cell>
          <cell r="Q532">
            <v>6.1689999999999996</v>
          </cell>
          <cell r="R532">
            <v>6.1689999999999996</v>
          </cell>
          <cell r="S532">
            <v>7.9000000000000001E-2</v>
          </cell>
          <cell r="T532">
            <v>0.08</v>
          </cell>
          <cell r="V532">
            <v>0.08</v>
          </cell>
          <cell r="X532">
            <v>3361</v>
          </cell>
          <cell r="Y532">
            <v>2</v>
          </cell>
          <cell r="Z532">
            <v>272.41043929324042</v>
          </cell>
          <cell r="AA532" t="str">
            <v>6.169X0.079-304L</v>
          </cell>
          <cell r="AB532" t="str">
            <v>WAAC015670200B300092</v>
          </cell>
          <cell r="AC532" t="str">
            <v>D2005029</v>
          </cell>
          <cell r="AD532">
            <v>859477</v>
          </cell>
          <cell r="AE532">
            <v>1.9E-2</v>
          </cell>
          <cell r="AF532">
            <v>1.6</v>
          </cell>
          <cell r="AG532">
            <v>3.2000000000000001E-2</v>
          </cell>
          <cell r="AH532">
            <v>0</v>
          </cell>
          <cell r="AI532">
            <v>0.49</v>
          </cell>
          <cell r="AJ532">
            <v>18.100000000000001</v>
          </cell>
          <cell r="AK532">
            <v>8.1999999999999993</v>
          </cell>
          <cell r="AL532">
            <v>7.0000000000000007E-2</v>
          </cell>
          <cell r="AM532">
            <v>0.45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0.5</v>
          </cell>
          <cell r="AS532">
            <v>0</v>
          </cell>
          <cell r="AT532">
            <v>310</v>
          </cell>
          <cell r="AU532">
            <v>0</v>
          </cell>
          <cell r="AV532">
            <v>652</v>
          </cell>
          <cell r="AW532">
            <v>64</v>
          </cell>
          <cell r="AX532">
            <v>80</v>
          </cell>
          <cell r="AY532">
            <v>150</v>
          </cell>
          <cell r="AZ532">
            <v>1.39</v>
          </cell>
          <cell r="BA532" t="str">
            <v>D2005029</v>
          </cell>
          <cell r="BB532" t="str">
            <v>CONFORM</v>
          </cell>
          <cell r="BC532" t="str">
            <v>CONFORM</v>
          </cell>
          <cell r="BD532" t="str">
            <v>CONFORM</v>
          </cell>
          <cell r="BE532" t="str">
            <v>CONFORM</v>
          </cell>
          <cell r="BF532" t="str">
            <v>cONFORM</v>
          </cell>
        </row>
        <row r="533">
          <cell r="A533">
            <v>43959</v>
          </cell>
          <cell r="B533" t="str">
            <v>D2005029-3</v>
          </cell>
          <cell r="C533" t="str">
            <v>044/20</v>
          </cell>
          <cell r="D533">
            <v>1</v>
          </cell>
          <cell r="E533">
            <v>43959</v>
          </cell>
          <cell r="F533" t="str">
            <v>DC</v>
          </cell>
          <cell r="G533" t="str">
            <v>On Time</v>
          </cell>
          <cell r="H533" t="str">
            <v>148108-1</v>
          </cell>
          <cell r="I533">
            <v>43959</v>
          </cell>
          <cell r="J533" t="str">
            <v>UPM</v>
          </cell>
          <cell r="K533" t="str">
            <v>D2005029</v>
          </cell>
          <cell r="L533">
            <v>3</v>
          </cell>
          <cell r="M533" t="str">
            <v>AAC84310</v>
          </cell>
          <cell r="N533">
            <v>859477</v>
          </cell>
          <cell r="O533" t="str">
            <v xml:space="preserve">1.4306 TP304L </v>
          </cell>
          <cell r="P533" t="str">
            <v>304L</v>
          </cell>
          <cell r="Q533">
            <v>6.1689999999999996</v>
          </cell>
          <cell r="R533">
            <v>6.1689999999999996</v>
          </cell>
          <cell r="S533">
            <v>7.9000000000000001E-2</v>
          </cell>
          <cell r="T533">
            <v>0.08</v>
          </cell>
          <cell r="V533">
            <v>0.08</v>
          </cell>
          <cell r="X533">
            <v>1669</v>
          </cell>
          <cell r="Y533">
            <v>1</v>
          </cell>
          <cell r="Z533">
            <v>270.5462797860269</v>
          </cell>
          <cell r="AA533" t="str">
            <v>6.169X0.079-304L</v>
          </cell>
          <cell r="AB533" t="str">
            <v>WAAC015670200B300092</v>
          </cell>
          <cell r="AC533" t="str">
            <v>D2005029</v>
          </cell>
          <cell r="AD533">
            <v>859477</v>
          </cell>
          <cell r="AE533">
            <v>1.9E-2</v>
          </cell>
          <cell r="AF533">
            <v>1.6</v>
          </cell>
          <cell r="AG533">
            <v>3.2000000000000001E-2</v>
          </cell>
          <cell r="AH533">
            <v>0</v>
          </cell>
          <cell r="AI533">
            <v>0.49</v>
          </cell>
          <cell r="AJ533">
            <v>18.100000000000001</v>
          </cell>
          <cell r="AK533">
            <v>8.1999999999999993</v>
          </cell>
          <cell r="AL533">
            <v>7.0000000000000007E-2</v>
          </cell>
          <cell r="AM533">
            <v>0.45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0.5</v>
          </cell>
          <cell r="AS533">
            <v>0</v>
          </cell>
          <cell r="AT533">
            <v>310</v>
          </cell>
          <cell r="AU533">
            <v>0</v>
          </cell>
          <cell r="AV533">
            <v>652</v>
          </cell>
          <cell r="AW533">
            <v>64</v>
          </cell>
          <cell r="AX533">
            <v>80</v>
          </cell>
          <cell r="AY533">
            <v>150</v>
          </cell>
          <cell r="AZ533">
            <v>1.39</v>
          </cell>
          <cell r="BA533" t="str">
            <v>D2005029</v>
          </cell>
          <cell r="BB533" t="str">
            <v>CONFORM</v>
          </cell>
          <cell r="BC533" t="str">
            <v>CONFORM</v>
          </cell>
          <cell r="BD533" t="str">
            <v>CONFORM</v>
          </cell>
          <cell r="BE533" t="str">
            <v>CONFORM</v>
          </cell>
          <cell r="BF533" t="str">
            <v>CONFORM</v>
          </cell>
        </row>
        <row r="534">
          <cell r="A534">
            <v>43959</v>
          </cell>
          <cell r="B534" t="str">
            <v>D2005029-4</v>
          </cell>
          <cell r="C534" t="str">
            <v>044/20</v>
          </cell>
          <cell r="D534">
            <v>1</v>
          </cell>
          <cell r="E534">
            <v>43959</v>
          </cell>
          <cell r="F534" t="str">
            <v>DC</v>
          </cell>
          <cell r="G534" t="str">
            <v>On Time</v>
          </cell>
          <cell r="H534" t="str">
            <v>148108-1</v>
          </cell>
          <cell r="I534">
            <v>43959</v>
          </cell>
          <cell r="J534" t="str">
            <v>UPM</v>
          </cell>
          <cell r="K534" t="str">
            <v>D2005029</v>
          </cell>
          <cell r="L534">
            <v>4</v>
          </cell>
          <cell r="M534" t="str">
            <v>AAC84310</v>
          </cell>
          <cell r="N534">
            <v>859477</v>
          </cell>
          <cell r="O534" t="str">
            <v xml:space="preserve">1.4306 TP304L </v>
          </cell>
          <cell r="P534" t="str">
            <v>304L</v>
          </cell>
          <cell r="Q534">
            <v>6.1689999999999996</v>
          </cell>
          <cell r="R534">
            <v>6.1689999999999996</v>
          </cell>
          <cell r="S534">
            <v>7.9000000000000001E-2</v>
          </cell>
          <cell r="T534">
            <v>0.08</v>
          </cell>
          <cell r="V534">
            <v>0.08</v>
          </cell>
          <cell r="X534">
            <v>3358</v>
          </cell>
          <cell r="Y534">
            <v>2</v>
          </cell>
          <cell r="Z534">
            <v>272.1672880531691</v>
          </cell>
          <cell r="AA534" t="str">
            <v>6.169X0.079-304L</v>
          </cell>
          <cell r="AB534" t="str">
            <v>WAAC015670200B300092</v>
          </cell>
          <cell r="AC534" t="str">
            <v>D2005029</v>
          </cell>
          <cell r="AD534">
            <v>859477</v>
          </cell>
          <cell r="AE534">
            <v>1.9E-2</v>
          </cell>
          <cell r="AF534">
            <v>1.6</v>
          </cell>
          <cell r="AG534">
            <v>3.2000000000000001E-2</v>
          </cell>
          <cell r="AH534">
            <v>0</v>
          </cell>
          <cell r="AI534">
            <v>0.49</v>
          </cell>
          <cell r="AJ534">
            <v>18.100000000000001</v>
          </cell>
          <cell r="AK534">
            <v>8.1999999999999993</v>
          </cell>
          <cell r="AL534">
            <v>7.0000000000000007E-2</v>
          </cell>
          <cell r="AM534">
            <v>0.45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0.5</v>
          </cell>
          <cell r="AS534">
            <v>0</v>
          </cell>
          <cell r="AT534">
            <v>310</v>
          </cell>
          <cell r="AU534">
            <v>0</v>
          </cell>
          <cell r="AV534">
            <v>652</v>
          </cell>
          <cell r="AW534">
            <v>64</v>
          </cell>
          <cell r="AX534">
            <v>80</v>
          </cell>
          <cell r="AY534">
            <v>150</v>
          </cell>
          <cell r="AZ534">
            <v>1.39</v>
          </cell>
          <cell r="BA534" t="str">
            <v>D2005029</v>
          </cell>
          <cell r="BB534" t="str">
            <v>CONFORM</v>
          </cell>
          <cell r="BC534" t="str">
            <v>CONFORM</v>
          </cell>
          <cell r="BD534" t="str">
            <v>CONFORM</v>
          </cell>
          <cell r="BE534" t="str">
            <v>CONFORM</v>
          </cell>
          <cell r="BF534" t="str">
            <v>CONFORM</v>
          </cell>
        </row>
        <row r="535">
          <cell r="A535">
            <v>43959</v>
          </cell>
          <cell r="B535" t="str">
            <v>D2005029-5</v>
          </cell>
          <cell r="C535" t="str">
            <v>044/20</v>
          </cell>
          <cell r="D535">
            <v>1</v>
          </cell>
          <cell r="E535">
            <v>43959</v>
          </cell>
          <cell r="F535" t="str">
            <v>DC</v>
          </cell>
          <cell r="G535" t="str">
            <v>On Time</v>
          </cell>
          <cell r="H535" t="str">
            <v>148108-1</v>
          </cell>
          <cell r="I535">
            <v>43959</v>
          </cell>
          <cell r="J535" t="str">
            <v>UPM</v>
          </cell>
          <cell r="K535" t="str">
            <v>D2005029</v>
          </cell>
          <cell r="L535">
            <v>5</v>
          </cell>
          <cell r="M535" t="str">
            <v>AAC84310</v>
          </cell>
          <cell r="N535">
            <v>859477</v>
          </cell>
          <cell r="O535" t="str">
            <v xml:space="preserve">1.4306 TP304L </v>
          </cell>
          <cell r="P535" t="str">
            <v>304L</v>
          </cell>
          <cell r="Q535">
            <v>6.1689999999999996</v>
          </cell>
          <cell r="R535">
            <v>6.1689999999999996</v>
          </cell>
          <cell r="S535">
            <v>7.9000000000000001E-2</v>
          </cell>
          <cell r="T535">
            <v>0.08</v>
          </cell>
          <cell r="V535">
            <v>0.08</v>
          </cell>
          <cell r="X535">
            <v>2806</v>
          </cell>
          <cell r="Y535">
            <v>2</v>
          </cell>
          <cell r="Z535">
            <v>227.4274598800454</v>
          </cell>
          <cell r="AA535" t="str">
            <v>6.169X0.079-304L</v>
          </cell>
          <cell r="AB535" t="str">
            <v>WAAC015670200B300092</v>
          </cell>
          <cell r="AC535" t="str">
            <v>D2005029</v>
          </cell>
          <cell r="AD535">
            <v>859477</v>
          </cell>
          <cell r="AE535">
            <v>1.9E-2</v>
          </cell>
          <cell r="AF535">
            <v>1.6</v>
          </cell>
          <cell r="AG535">
            <v>3.2000000000000001E-2</v>
          </cell>
          <cell r="AH535">
            <v>0</v>
          </cell>
          <cell r="AI535">
            <v>0.49</v>
          </cell>
          <cell r="AJ535">
            <v>18.100000000000001</v>
          </cell>
          <cell r="AK535">
            <v>8.1999999999999993</v>
          </cell>
          <cell r="AL535">
            <v>7.0000000000000007E-2</v>
          </cell>
          <cell r="AM535">
            <v>0.45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0.5</v>
          </cell>
          <cell r="AS535">
            <v>0</v>
          </cell>
          <cell r="AT535">
            <v>310</v>
          </cell>
          <cell r="AU535">
            <v>0</v>
          </cell>
          <cell r="AV535">
            <v>652</v>
          </cell>
          <cell r="AW535">
            <v>64</v>
          </cell>
          <cell r="AX535">
            <v>80</v>
          </cell>
          <cell r="AY535">
            <v>150</v>
          </cell>
          <cell r="AZ535">
            <v>1.39</v>
          </cell>
          <cell r="BA535" t="str">
            <v>D2005029</v>
          </cell>
          <cell r="BB535" t="str">
            <v>CONFORM</v>
          </cell>
          <cell r="BC535" t="str">
            <v>CONFORM</v>
          </cell>
          <cell r="BD535" t="str">
            <v>CONFORM</v>
          </cell>
          <cell r="BE535" t="str">
            <v>CONFORM</v>
          </cell>
          <cell r="BF535" t="str">
            <v>CONFORM</v>
          </cell>
        </row>
        <row r="536">
          <cell r="A536">
            <v>43959</v>
          </cell>
          <cell r="B536" t="str">
            <v>D2005029-6</v>
          </cell>
          <cell r="C536" t="str">
            <v>044/20</v>
          </cell>
          <cell r="D536">
            <v>1</v>
          </cell>
          <cell r="E536">
            <v>43959</v>
          </cell>
          <cell r="F536" t="str">
            <v>DC</v>
          </cell>
          <cell r="G536" t="str">
            <v>On Time</v>
          </cell>
          <cell r="H536" t="str">
            <v>148108-1</v>
          </cell>
          <cell r="I536">
            <v>43959</v>
          </cell>
          <cell r="J536" t="str">
            <v>UPM</v>
          </cell>
          <cell r="K536" t="str">
            <v>D2005029</v>
          </cell>
          <cell r="L536">
            <v>6</v>
          </cell>
          <cell r="M536" t="str">
            <v>AAC84310</v>
          </cell>
          <cell r="N536">
            <v>859477</v>
          </cell>
          <cell r="O536" t="str">
            <v xml:space="preserve">1.4306 TP304L </v>
          </cell>
          <cell r="P536" t="str">
            <v>304L</v>
          </cell>
          <cell r="Q536">
            <v>6.1689999999999996</v>
          </cell>
          <cell r="R536">
            <v>6.1689999999999996</v>
          </cell>
          <cell r="S536">
            <v>7.9000000000000001E-2</v>
          </cell>
          <cell r="T536">
            <v>0.08</v>
          </cell>
          <cell r="V536">
            <v>0.08</v>
          </cell>
          <cell r="X536">
            <v>1393</v>
          </cell>
          <cell r="Y536">
            <v>1</v>
          </cell>
          <cell r="Z536">
            <v>225.80645161290323</v>
          </cell>
          <cell r="AA536" t="str">
            <v>6.169X0.079-304L</v>
          </cell>
          <cell r="AB536" t="str">
            <v>WAAC015670200B300092</v>
          </cell>
          <cell r="AC536" t="str">
            <v>D2005029</v>
          </cell>
          <cell r="AD536">
            <v>859477</v>
          </cell>
          <cell r="AE536">
            <v>1.9E-2</v>
          </cell>
          <cell r="AF536">
            <v>1.6</v>
          </cell>
          <cell r="AG536">
            <v>3.2000000000000001E-2</v>
          </cell>
          <cell r="AH536">
            <v>0</v>
          </cell>
          <cell r="AI536">
            <v>0.49</v>
          </cell>
          <cell r="AJ536">
            <v>18.100000000000001</v>
          </cell>
          <cell r="AK536">
            <v>8.1999999999999993</v>
          </cell>
          <cell r="AL536">
            <v>7.0000000000000007E-2</v>
          </cell>
          <cell r="AM536">
            <v>0.45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0.5</v>
          </cell>
          <cell r="AS536">
            <v>0</v>
          </cell>
          <cell r="AT536">
            <v>310</v>
          </cell>
          <cell r="AU536">
            <v>0</v>
          </cell>
          <cell r="AV536">
            <v>652</v>
          </cell>
          <cell r="AW536">
            <v>64</v>
          </cell>
          <cell r="AX536">
            <v>80</v>
          </cell>
          <cell r="AY536">
            <v>150</v>
          </cell>
          <cell r="AZ536">
            <v>1.39</v>
          </cell>
          <cell r="BA536" t="str">
            <v>D2005029</v>
          </cell>
          <cell r="BB536" t="str">
            <v>CONFORM</v>
          </cell>
          <cell r="BC536" t="str">
            <v>CONFORM</v>
          </cell>
          <cell r="BD536" t="str">
            <v>CONFORM</v>
          </cell>
          <cell r="BE536" t="str">
            <v>CONFORM</v>
          </cell>
          <cell r="BF536" t="str">
            <v>CONFORM</v>
          </cell>
        </row>
        <row r="537">
          <cell r="A537">
            <v>43965</v>
          </cell>
          <cell r="B537" t="str">
            <v>D2005056-1</v>
          </cell>
          <cell r="C537" t="str">
            <v>046/20</v>
          </cell>
          <cell r="D537">
            <v>1</v>
          </cell>
          <cell r="E537">
            <v>43965</v>
          </cell>
          <cell r="F537" t="str">
            <v>DC</v>
          </cell>
          <cell r="G537" t="str">
            <v>On Time</v>
          </cell>
          <cell r="H537">
            <v>2407507895</v>
          </cell>
          <cell r="I537">
            <v>43965</v>
          </cell>
          <cell r="J537" t="str">
            <v>TKM</v>
          </cell>
          <cell r="K537" t="str">
            <v>D2005056</v>
          </cell>
          <cell r="L537">
            <v>1</v>
          </cell>
          <cell r="M537">
            <v>697358</v>
          </cell>
          <cell r="N537">
            <v>860305</v>
          </cell>
          <cell r="O537" t="str">
            <v xml:space="preserve">1.4401/1.4404 TP316/316L </v>
          </cell>
          <cell r="P537" t="str">
            <v>316L</v>
          </cell>
          <cell r="Q537">
            <v>2.323</v>
          </cell>
          <cell r="R537">
            <v>2.323</v>
          </cell>
          <cell r="S537">
            <v>4.7E-2</v>
          </cell>
          <cell r="T537">
            <v>4.8000000000000001E-2</v>
          </cell>
          <cell r="V537">
            <v>4.8000000000000001E-2</v>
          </cell>
          <cell r="X537">
            <v>2151</v>
          </cell>
          <cell r="Y537">
            <v>2</v>
          </cell>
          <cell r="Z537">
            <v>462.97890658631081</v>
          </cell>
          <cell r="AA537" t="str">
            <v>2.323X0.047-316L</v>
          </cell>
          <cell r="AB537" t="str">
            <v>WAAF005900120B300027</v>
          </cell>
          <cell r="AC537" t="str">
            <v>D2005056</v>
          </cell>
          <cell r="AD537">
            <v>860305</v>
          </cell>
          <cell r="AE537">
            <v>0.02</v>
          </cell>
          <cell r="AF537">
            <v>1.67</v>
          </cell>
          <cell r="AG537">
            <v>3.4000000000000002E-2</v>
          </cell>
          <cell r="AH537">
            <v>0</v>
          </cell>
          <cell r="AI537">
            <v>0.51</v>
          </cell>
          <cell r="AJ537">
            <v>16.600000000000001</v>
          </cell>
          <cell r="AK537">
            <v>10.1</v>
          </cell>
          <cell r="AL537">
            <v>0.04</v>
          </cell>
          <cell r="AM537">
            <v>2.09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0.55000000000000004</v>
          </cell>
          <cell r="AS537">
            <v>0</v>
          </cell>
          <cell r="AT537">
            <v>332</v>
          </cell>
          <cell r="AU537">
            <v>0</v>
          </cell>
          <cell r="AV537">
            <v>642</v>
          </cell>
          <cell r="AW537">
            <v>52</v>
          </cell>
          <cell r="AX537">
            <v>79</v>
          </cell>
          <cell r="AY537">
            <v>147</v>
          </cell>
          <cell r="AZ537">
            <v>1.96</v>
          </cell>
          <cell r="BA537" t="str">
            <v>D2005056</v>
          </cell>
          <cell r="BB537" t="str">
            <v>CONFORM</v>
          </cell>
          <cell r="BC537" t="str">
            <v>CONFORM</v>
          </cell>
          <cell r="BD537" t="str">
            <v>CONFORM</v>
          </cell>
          <cell r="BE537" t="str">
            <v>CONFORM</v>
          </cell>
          <cell r="BF537" t="str">
            <v>CONFORM</v>
          </cell>
        </row>
        <row r="538">
          <cell r="A538">
            <v>43965</v>
          </cell>
          <cell r="B538" t="str">
            <v>D2005056-2</v>
          </cell>
          <cell r="C538" t="str">
            <v>046/20</v>
          </cell>
          <cell r="D538">
            <v>1</v>
          </cell>
          <cell r="E538">
            <v>43965</v>
          </cell>
          <cell r="F538" t="str">
            <v>DC</v>
          </cell>
          <cell r="G538" t="str">
            <v>On Time</v>
          </cell>
          <cell r="H538">
            <v>2407507895</v>
          </cell>
          <cell r="I538">
            <v>43965</v>
          </cell>
          <cell r="J538" t="str">
            <v>TKM</v>
          </cell>
          <cell r="K538" t="str">
            <v>D2005056</v>
          </cell>
          <cell r="L538">
            <v>2</v>
          </cell>
          <cell r="M538">
            <v>697356</v>
          </cell>
          <cell r="N538">
            <v>860305</v>
          </cell>
          <cell r="O538" t="str">
            <v xml:space="preserve">1.4401/1.4404 TP316/316L </v>
          </cell>
          <cell r="P538" t="str">
            <v>316L</v>
          </cell>
          <cell r="Q538">
            <v>2.323</v>
          </cell>
          <cell r="R538">
            <v>2.323</v>
          </cell>
          <cell r="S538">
            <v>4.7E-2</v>
          </cell>
          <cell r="T538">
            <v>4.8000000000000001E-2</v>
          </cell>
          <cell r="V538">
            <v>4.8000000000000001E-2</v>
          </cell>
          <cell r="X538">
            <v>2152</v>
          </cell>
          <cell r="Y538">
            <v>2</v>
          </cell>
          <cell r="Z538">
            <v>463.19414550150668</v>
          </cell>
          <cell r="AA538" t="str">
            <v>2.323X0.047-316L</v>
          </cell>
          <cell r="AB538" t="str">
            <v>WAAF005900120B300027</v>
          </cell>
          <cell r="AC538" t="str">
            <v>D2005056</v>
          </cell>
          <cell r="AD538">
            <v>860305</v>
          </cell>
          <cell r="AE538">
            <v>0.02</v>
          </cell>
          <cell r="AF538">
            <v>1.67</v>
          </cell>
          <cell r="AG538">
            <v>3.4000000000000002E-2</v>
          </cell>
          <cell r="AH538">
            <v>0</v>
          </cell>
          <cell r="AI538">
            <v>0.51</v>
          </cell>
          <cell r="AJ538">
            <v>16.600000000000001</v>
          </cell>
          <cell r="AK538">
            <v>10.1</v>
          </cell>
          <cell r="AL538">
            <v>0.04</v>
          </cell>
          <cell r="AM538">
            <v>2.09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0.55000000000000004</v>
          </cell>
          <cell r="AS538">
            <v>0</v>
          </cell>
          <cell r="AT538">
            <v>332</v>
          </cell>
          <cell r="AU538">
            <v>0</v>
          </cell>
          <cell r="AV538">
            <v>642</v>
          </cell>
          <cell r="AW538">
            <v>52</v>
          </cell>
          <cell r="AX538">
            <v>79</v>
          </cell>
          <cell r="AY538">
            <v>147</v>
          </cell>
          <cell r="AZ538">
            <v>1.96</v>
          </cell>
          <cell r="BA538" t="str">
            <v>D2005056</v>
          </cell>
          <cell r="BB538" t="str">
            <v>CONFORM</v>
          </cell>
          <cell r="BC538" t="str">
            <v>CONFORM</v>
          </cell>
          <cell r="BD538" t="str">
            <v>CONFORM</v>
          </cell>
          <cell r="BE538" t="str">
            <v>CONFORM</v>
          </cell>
          <cell r="BF538" t="str">
            <v>CONFORM</v>
          </cell>
        </row>
        <row r="539">
          <cell r="A539">
            <v>43965</v>
          </cell>
          <cell r="B539" t="str">
            <v>D2005056-3</v>
          </cell>
          <cell r="C539" t="str">
            <v>046/20</v>
          </cell>
          <cell r="D539">
            <v>1</v>
          </cell>
          <cell r="E539">
            <v>43965</v>
          </cell>
          <cell r="F539" t="str">
            <v>DC</v>
          </cell>
          <cell r="G539" t="str">
            <v>On Time</v>
          </cell>
          <cell r="H539">
            <v>2407507895</v>
          </cell>
          <cell r="I539">
            <v>43965</v>
          </cell>
          <cell r="J539" t="str">
            <v>TKM</v>
          </cell>
          <cell r="K539" t="str">
            <v>D2005056</v>
          </cell>
          <cell r="L539">
            <v>3</v>
          </cell>
          <cell r="M539">
            <v>697362</v>
          </cell>
          <cell r="N539">
            <v>860305</v>
          </cell>
          <cell r="O539" t="str">
            <v xml:space="preserve">1.4401/1.4404 TP316/316L </v>
          </cell>
          <cell r="P539" t="str">
            <v>316L</v>
          </cell>
          <cell r="Q539">
            <v>2.323</v>
          </cell>
          <cell r="R539">
            <v>2.323</v>
          </cell>
          <cell r="S539">
            <v>4.7E-2</v>
          </cell>
          <cell r="T539">
            <v>4.8000000000000001E-2</v>
          </cell>
          <cell r="V539">
            <v>4.8000000000000001E-2</v>
          </cell>
          <cell r="X539">
            <v>2170</v>
          </cell>
          <cell r="Y539">
            <v>2</v>
          </cell>
          <cell r="Z539">
            <v>467.06844597503232</v>
          </cell>
          <cell r="AA539" t="str">
            <v>2.323X0.047-316L</v>
          </cell>
          <cell r="AB539" t="str">
            <v>WAAF005900120B300027</v>
          </cell>
          <cell r="AC539" t="str">
            <v>D2005056</v>
          </cell>
          <cell r="AD539">
            <v>860305</v>
          </cell>
          <cell r="AE539">
            <v>0.02</v>
          </cell>
          <cell r="AF539">
            <v>1.67</v>
          </cell>
          <cell r="AG539">
            <v>3.4000000000000002E-2</v>
          </cell>
          <cell r="AH539">
            <v>0</v>
          </cell>
          <cell r="AI539">
            <v>0.51</v>
          </cell>
          <cell r="AJ539">
            <v>16.600000000000001</v>
          </cell>
          <cell r="AK539">
            <v>10.1</v>
          </cell>
          <cell r="AL539">
            <v>0.04</v>
          </cell>
          <cell r="AM539">
            <v>2.09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0.55000000000000004</v>
          </cell>
          <cell r="AS539">
            <v>0</v>
          </cell>
          <cell r="AT539">
            <v>332</v>
          </cell>
          <cell r="AU539">
            <v>0</v>
          </cell>
          <cell r="AV539">
            <v>642</v>
          </cell>
          <cell r="AW539">
            <v>52</v>
          </cell>
          <cell r="AX539">
            <v>79</v>
          </cell>
          <cell r="AY539">
            <v>147</v>
          </cell>
          <cell r="AZ539">
            <v>1.96</v>
          </cell>
          <cell r="BA539" t="str">
            <v>D2005056</v>
          </cell>
          <cell r="BB539" t="str">
            <v>CONFORM</v>
          </cell>
          <cell r="BC539" t="str">
            <v>CONFORM</v>
          </cell>
          <cell r="BD539" t="str">
            <v>CONFORM</v>
          </cell>
          <cell r="BE539" t="str">
            <v>CONFORM</v>
          </cell>
          <cell r="BF539" t="str">
            <v>CONFORM</v>
          </cell>
        </row>
        <row r="540">
          <cell r="A540">
            <v>43965</v>
          </cell>
          <cell r="B540" t="str">
            <v>D2005056-4</v>
          </cell>
          <cell r="C540" t="str">
            <v>046/20</v>
          </cell>
          <cell r="D540">
            <v>1</v>
          </cell>
          <cell r="E540">
            <v>43965</v>
          </cell>
          <cell r="F540" t="str">
            <v>DC</v>
          </cell>
          <cell r="G540" t="str">
            <v>On Time</v>
          </cell>
          <cell r="H540">
            <v>2407507895</v>
          </cell>
          <cell r="I540">
            <v>43965</v>
          </cell>
          <cell r="J540" t="str">
            <v>TKM</v>
          </cell>
          <cell r="K540" t="str">
            <v>D2005056</v>
          </cell>
          <cell r="L540">
            <v>4</v>
          </cell>
          <cell r="M540">
            <v>697361</v>
          </cell>
          <cell r="N540">
            <v>860305</v>
          </cell>
          <cell r="O540" t="str">
            <v xml:space="preserve">1.4401/1.4404 TP316/316L </v>
          </cell>
          <cell r="P540" t="str">
            <v>316L</v>
          </cell>
          <cell r="Q540">
            <v>2.323</v>
          </cell>
          <cell r="R540">
            <v>2.323</v>
          </cell>
          <cell r="S540">
            <v>4.7E-2</v>
          </cell>
          <cell r="T540">
            <v>4.8000000000000001E-2</v>
          </cell>
          <cell r="V540">
            <v>4.8000000000000001E-2</v>
          </cell>
          <cell r="X540">
            <v>3278</v>
          </cell>
          <cell r="Y540">
            <v>3</v>
          </cell>
          <cell r="Z540">
            <v>470.36877600803564</v>
          </cell>
          <cell r="AA540" t="str">
            <v>2.323X0.047-316L</v>
          </cell>
          <cell r="AB540" t="str">
            <v>WAAF005900120B300027</v>
          </cell>
          <cell r="AC540" t="str">
            <v>D2005056</v>
          </cell>
          <cell r="AD540">
            <v>860305</v>
          </cell>
          <cell r="AE540">
            <v>0.02</v>
          </cell>
          <cell r="AF540">
            <v>1.67</v>
          </cell>
          <cell r="AG540">
            <v>3.4000000000000002E-2</v>
          </cell>
          <cell r="AH540">
            <v>0</v>
          </cell>
          <cell r="AI540">
            <v>0.51</v>
          </cell>
          <cell r="AJ540">
            <v>16.600000000000001</v>
          </cell>
          <cell r="AK540">
            <v>10.1</v>
          </cell>
          <cell r="AL540">
            <v>0.04</v>
          </cell>
          <cell r="AM540">
            <v>2.09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0.55000000000000004</v>
          </cell>
          <cell r="AS540">
            <v>0</v>
          </cell>
          <cell r="AT540">
            <v>332</v>
          </cell>
          <cell r="AU540">
            <v>0</v>
          </cell>
          <cell r="AV540">
            <v>642</v>
          </cell>
          <cell r="AW540">
            <v>52</v>
          </cell>
          <cell r="AX540">
            <v>79</v>
          </cell>
          <cell r="AY540">
            <v>147</v>
          </cell>
          <cell r="AZ540">
            <v>1.96</v>
          </cell>
          <cell r="BA540" t="str">
            <v>D2005056</v>
          </cell>
          <cell r="BB540" t="str">
            <v>CONFORM</v>
          </cell>
          <cell r="BC540" t="str">
            <v>CONFORM</v>
          </cell>
          <cell r="BD540" t="str">
            <v>CONFORM</v>
          </cell>
          <cell r="BE540" t="str">
            <v>CONFORM</v>
          </cell>
          <cell r="BF540" t="str">
            <v>CONFORM</v>
          </cell>
        </row>
        <row r="541">
          <cell r="A541">
            <v>43965</v>
          </cell>
          <cell r="B541" t="str">
            <v>D2005057-1</v>
          </cell>
          <cell r="C541" t="str">
            <v>046/20</v>
          </cell>
          <cell r="D541">
            <v>1</v>
          </cell>
          <cell r="E541">
            <v>43965</v>
          </cell>
          <cell r="F541" t="str">
            <v>DC</v>
          </cell>
          <cell r="G541" t="str">
            <v>On Time</v>
          </cell>
          <cell r="H541">
            <v>2407507895</v>
          </cell>
          <cell r="I541">
            <v>43965</v>
          </cell>
          <cell r="J541" t="str">
            <v>TKM</v>
          </cell>
          <cell r="K541" t="str">
            <v>D2005057</v>
          </cell>
          <cell r="L541">
            <v>1</v>
          </cell>
          <cell r="M541">
            <v>697285</v>
          </cell>
          <cell r="N541">
            <v>527225</v>
          </cell>
          <cell r="O541" t="str">
            <v xml:space="preserve">1.4401/1.4404 TP316/316L </v>
          </cell>
          <cell r="P541" t="str">
            <v>316L</v>
          </cell>
          <cell r="Q541">
            <v>2.323</v>
          </cell>
          <cell r="R541">
            <v>2.323</v>
          </cell>
          <cell r="S541">
            <v>4.7E-2</v>
          </cell>
          <cell r="T541">
            <v>4.8000000000000001E-2</v>
          </cell>
          <cell r="V541">
            <v>4.8000000000000001E-2</v>
          </cell>
          <cell r="X541">
            <v>593</v>
          </cell>
          <cell r="Y541">
            <v>1</v>
          </cell>
          <cell r="Z541">
            <v>255.27335342229875</v>
          </cell>
          <cell r="AA541" t="str">
            <v>2.323X0.047-316L</v>
          </cell>
          <cell r="AB541" t="str">
            <v>WAAF005900120B300027</v>
          </cell>
          <cell r="AC541" t="str">
            <v>D2005057</v>
          </cell>
          <cell r="AD541">
            <v>527225</v>
          </cell>
          <cell r="AE541">
            <v>2.4E-2</v>
          </cell>
          <cell r="AF541">
            <v>1.47</v>
          </cell>
          <cell r="AG541">
            <v>3.1E-2</v>
          </cell>
          <cell r="AH541">
            <v>1E-3</v>
          </cell>
          <cell r="AI541">
            <v>0.35</v>
          </cell>
          <cell r="AJ541">
            <v>16.7</v>
          </cell>
          <cell r="AK541">
            <v>10</v>
          </cell>
          <cell r="AL541">
            <v>2.7E-2</v>
          </cell>
          <cell r="AM541">
            <v>2.0299999999999998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0.42</v>
          </cell>
          <cell r="AS541">
            <v>0</v>
          </cell>
          <cell r="AT541">
            <v>303</v>
          </cell>
          <cell r="AU541">
            <v>0</v>
          </cell>
          <cell r="AV541">
            <v>631</v>
          </cell>
          <cell r="AW541">
            <v>50</v>
          </cell>
          <cell r="AX541">
            <v>81</v>
          </cell>
          <cell r="AY541">
            <v>153</v>
          </cell>
          <cell r="AZ541">
            <v>1.96</v>
          </cell>
          <cell r="BA541" t="str">
            <v>D2005057</v>
          </cell>
          <cell r="BB541" t="str">
            <v>CONFORM</v>
          </cell>
          <cell r="BC541" t="str">
            <v>CONFORM</v>
          </cell>
          <cell r="BD541" t="str">
            <v>CONFORM</v>
          </cell>
          <cell r="BE541" t="str">
            <v>CONFORM</v>
          </cell>
          <cell r="BF541" t="str">
            <v>CONFORM</v>
          </cell>
        </row>
        <row r="542">
          <cell r="A542">
            <v>43965</v>
          </cell>
          <cell r="B542" t="str">
            <v>D2005058-1</v>
          </cell>
          <cell r="C542" t="str">
            <v>046/20</v>
          </cell>
          <cell r="D542">
            <v>2</v>
          </cell>
          <cell r="E542">
            <v>43965</v>
          </cell>
          <cell r="F542" t="str">
            <v>DC</v>
          </cell>
          <cell r="G542" t="str">
            <v>On Time</v>
          </cell>
          <cell r="H542">
            <v>2407507895</v>
          </cell>
          <cell r="I542">
            <v>43965</v>
          </cell>
          <cell r="J542" t="str">
            <v>TKM</v>
          </cell>
          <cell r="K542" t="str">
            <v>D2005058</v>
          </cell>
          <cell r="L542">
            <v>1</v>
          </cell>
          <cell r="M542">
            <v>697363</v>
          </cell>
          <cell r="N542">
            <v>860305</v>
          </cell>
          <cell r="O542" t="str">
            <v xml:space="preserve">1.4401/1.4404 TP316/316L </v>
          </cell>
          <cell r="P542" t="str">
            <v>316L</v>
          </cell>
          <cell r="Q542">
            <v>3.1139999999999999</v>
          </cell>
          <cell r="R542">
            <v>3.1139999999999999</v>
          </cell>
          <cell r="S542">
            <v>4.7E-2</v>
          </cell>
          <cell r="T542">
            <v>4.8000000000000001E-2</v>
          </cell>
          <cell r="V542">
            <v>4.8000000000000001E-2</v>
          </cell>
          <cell r="X542">
            <v>2953</v>
          </cell>
          <cell r="Y542">
            <v>2</v>
          </cell>
          <cell r="Z542">
            <v>474.1490044958253</v>
          </cell>
          <cell r="AA542" t="str">
            <v>3.114X0.047-316L</v>
          </cell>
          <cell r="AB542" t="str">
            <v>WAAF007910120B300049</v>
          </cell>
          <cell r="AC542" t="str">
            <v>D2005058</v>
          </cell>
          <cell r="AD542">
            <v>860305</v>
          </cell>
          <cell r="AE542">
            <v>0.02</v>
          </cell>
          <cell r="AF542">
            <v>1.67</v>
          </cell>
          <cell r="AG542">
            <v>3.4000000000000002E-2</v>
          </cell>
          <cell r="AH542">
            <v>0</v>
          </cell>
          <cell r="AI542">
            <v>0.51</v>
          </cell>
          <cell r="AJ542">
            <v>16.600000000000001</v>
          </cell>
          <cell r="AK542">
            <v>10.1</v>
          </cell>
          <cell r="AL542">
            <v>0.04</v>
          </cell>
          <cell r="AM542">
            <v>2.09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0.55000000000000004</v>
          </cell>
          <cell r="AS542">
            <v>0</v>
          </cell>
          <cell r="AT542">
            <v>332</v>
          </cell>
          <cell r="AU542">
            <v>0</v>
          </cell>
          <cell r="AV542">
            <v>642</v>
          </cell>
          <cell r="AW542">
            <v>52</v>
          </cell>
          <cell r="AX542">
            <v>79</v>
          </cell>
          <cell r="AY542">
            <v>147</v>
          </cell>
          <cell r="AZ542">
            <v>1.96</v>
          </cell>
          <cell r="BA542" t="str">
            <v>D2005058</v>
          </cell>
          <cell r="BB542" t="str">
            <v>CONFORM</v>
          </cell>
          <cell r="BC542" t="str">
            <v>CONFORM</v>
          </cell>
          <cell r="BD542" t="str">
            <v>CONFORM</v>
          </cell>
          <cell r="BE542" t="str">
            <v>CONFORM</v>
          </cell>
          <cell r="BF542" t="str">
            <v>CONFORM</v>
          </cell>
        </row>
        <row r="543">
          <cell r="A543">
            <v>43965</v>
          </cell>
          <cell r="B543" t="str">
            <v>D2005058-2</v>
          </cell>
          <cell r="C543" t="str">
            <v>046/20</v>
          </cell>
          <cell r="D543">
            <v>2</v>
          </cell>
          <cell r="E543">
            <v>43965</v>
          </cell>
          <cell r="F543" t="str">
            <v>DC</v>
          </cell>
          <cell r="G543" t="str">
            <v>On Time</v>
          </cell>
          <cell r="H543">
            <v>2407507895</v>
          </cell>
          <cell r="I543">
            <v>43965</v>
          </cell>
          <cell r="J543" t="str">
            <v>TKM</v>
          </cell>
          <cell r="K543" t="str">
            <v>D2005058</v>
          </cell>
          <cell r="L543">
            <v>2</v>
          </cell>
          <cell r="M543">
            <v>697351</v>
          </cell>
          <cell r="N543">
            <v>860305</v>
          </cell>
          <cell r="O543" t="str">
            <v xml:space="preserve">1.4401/1.4404 TP316/316L </v>
          </cell>
          <cell r="P543" t="str">
            <v>316L</v>
          </cell>
          <cell r="Q543">
            <v>3.1139999999999999</v>
          </cell>
          <cell r="R543">
            <v>3.1139999999999999</v>
          </cell>
          <cell r="S543">
            <v>4.7E-2</v>
          </cell>
          <cell r="T543">
            <v>4.8000000000000001E-2</v>
          </cell>
          <cell r="V543">
            <v>4.8000000000000001E-2</v>
          </cell>
          <cell r="X543">
            <v>1455</v>
          </cell>
          <cell r="Y543">
            <v>1</v>
          </cell>
          <cell r="Z543">
            <v>467.24470134874758</v>
          </cell>
          <cell r="AA543" t="str">
            <v>3.114X0.047-316L</v>
          </cell>
          <cell r="AB543" t="str">
            <v>WAAF007910120B300049</v>
          </cell>
          <cell r="AC543" t="str">
            <v>D2005058</v>
          </cell>
          <cell r="AD543">
            <v>860305</v>
          </cell>
          <cell r="AE543">
            <v>0.02</v>
          </cell>
          <cell r="AF543">
            <v>1.67</v>
          </cell>
          <cell r="AG543">
            <v>3.4000000000000002E-2</v>
          </cell>
          <cell r="AH543">
            <v>0</v>
          </cell>
          <cell r="AI543">
            <v>0.51</v>
          </cell>
          <cell r="AJ543">
            <v>16.600000000000001</v>
          </cell>
          <cell r="AK543">
            <v>10.1</v>
          </cell>
          <cell r="AL543">
            <v>0.04</v>
          </cell>
          <cell r="AM543">
            <v>2.09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0.55000000000000004</v>
          </cell>
          <cell r="AS543">
            <v>0</v>
          </cell>
          <cell r="AT543">
            <v>332</v>
          </cell>
          <cell r="AU543">
            <v>0</v>
          </cell>
          <cell r="AV543">
            <v>642</v>
          </cell>
          <cell r="AW543">
            <v>52</v>
          </cell>
          <cell r="AX543">
            <v>79</v>
          </cell>
          <cell r="AY543">
            <v>147</v>
          </cell>
          <cell r="AZ543">
            <v>1.96</v>
          </cell>
          <cell r="BA543" t="str">
            <v>D2005058</v>
          </cell>
          <cell r="BB543" t="str">
            <v>CONFORM</v>
          </cell>
          <cell r="BC543" t="str">
            <v>CONFORM</v>
          </cell>
          <cell r="BD543" t="str">
            <v>CONFORM</v>
          </cell>
          <cell r="BE543" t="str">
            <v>CONFORM</v>
          </cell>
          <cell r="BF543" t="str">
            <v>CONFORM</v>
          </cell>
        </row>
        <row r="544">
          <cell r="A544">
            <v>43965</v>
          </cell>
          <cell r="B544" t="str">
            <v>D2005059-1</v>
          </cell>
          <cell r="C544" t="str">
            <v>046/20</v>
          </cell>
          <cell r="D544">
            <v>2</v>
          </cell>
          <cell r="E544">
            <v>43965</v>
          </cell>
          <cell r="F544" t="str">
            <v>DC</v>
          </cell>
          <cell r="G544" t="str">
            <v>On Time</v>
          </cell>
          <cell r="H544">
            <v>2407507895</v>
          </cell>
          <cell r="I544">
            <v>43965</v>
          </cell>
          <cell r="J544" t="str">
            <v>TKM</v>
          </cell>
          <cell r="K544" t="str">
            <v>D2005059</v>
          </cell>
          <cell r="L544">
            <v>1</v>
          </cell>
          <cell r="M544">
            <v>697360</v>
          </cell>
          <cell r="N544">
            <v>527225</v>
          </cell>
          <cell r="O544" t="str">
            <v xml:space="preserve">1.4401/1.4404 TP316/316L </v>
          </cell>
          <cell r="P544" t="str">
            <v>316L</v>
          </cell>
          <cell r="Q544">
            <v>3.1139999999999999</v>
          </cell>
          <cell r="R544">
            <v>3.1139999999999999</v>
          </cell>
          <cell r="S544">
            <v>4.7E-2</v>
          </cell>
          <cell r="T544">
            <v>4.8000000000000001E-2</v>
          </cell>
          <cell r="V544">
            <v>4.8000000000000001E-2</v>
          </cell>
          <cell r="X544">
            <v>1537</v>
          </cell>
          <cell r="Y544">
            <v>2</v>
          </cell>
          <cell r="Z544">
            <v>246.78869621066153</v>
          </cell>
          <cell r="AA544" t="str">
            <v>3.114X0.047-316L</v>
          </cell>
          <cell r="AB544" t="str">
            <v>WAAF007910120B300049</v>
          </cell>
          <cell r="AC544" t="str">
            <v>D2005059</v>
          </cell>
          <cell r="AD544">
            <v>527225</v>
          </cell>
          <cell r="AE544">
            <v>2.4E-2</v>
          </cell>
          <cell r="AF544">
            <v>1.47</v>
          </cell>
          <cell r="AG544">
            <v>3.1E-2</v>
          </cell>
          <cell r="AH544">
            <v>1E-3</v>
          </cell>
          <cell r="AI544">
            <v>0.35</v>
          </cell>
          <cell r="AJ544">
            <v>16.7</v>
          </cell>
          <cell r="AK544">
            <v>10</v>
          </cell>
          <cell r="AL544">
            <v>2.7E-2</v>
          </cell>
          <cell r="AM544">
            <v>2.0299999999999998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0.42</v>
          </cell>
          <cell r="AS544">
            <v>0</v>
          </cell>
          <cell r="AT544">
            <v>303</v>
          </cell>
          <cell r="AU544">
            <v>0</v>
          </cell>
          <cell r="AV544">
            <v>631</v>
          </cell>
          <cell r="AW544">
            <v>50</v>
          </cell>
          <cell r="AX544">
            <v>81</v>
          </cell>
          <cell r="AY544">
            <v>153</v>
          </cell>
          <cell r="AZ544">
            <v>1.96</v>
          </cell>
          <cell r="BA544" t="str">
            <v>D2005059</v>
          </cell>
          <cell r="BB544" t="str">
            <v>CONFORM</v>
          </cell>
          <cell r="BC544" t="str">
            <v>CONFORM</v>
          </cell>
          <cell r="BD544" t="str">
            <v>CONFORM</v>
          </cell>
          <cell r="BE544" t="str">
            <v>CONFORM</v>
          </cell>
          <cell r="BF544" t="str">
            <v>CONFORM</v>
          </cell>
        </row>
        <row r="545">
          <cell r="A545">
            <v>43965</v>
          </cell>
          <cell r="B545" t="str">
            <v>D2005059-2</v>
          </cell>
          <cell r="C545" t="str">
            <v>046/20</v>
          </cell>
          <cell r="D545">
            <v>2</v>
          </cell>
          <cell r="E545">
            <v>43965</v>
          </cell>
          <cell r="F545" t="str">
            <v>DC</v>
          </cell>
          <cell r="G545" t="str">
            <v>On Time</v>
          </cell>
          <cell r="H545">
            <v>2407507895</v>
          </cell>
          <cell r="I545">
            <v>43965</v>
          </cell>
          <cell r="J545" t="str">
            <v>TKM</v>
          </cell>
          <cell r="K545" t="str">
            <v>D2005059</v>
          </cell>
          <cell r="L545">
            <v>2</v>
          </cell>
          <cell r="M545">
            <v>697286</v>
          </cell>
          <cell r="N545">
            <v>527225</v>
          </cell>
          <cell r="O545" t="str">
            <v xml:space="preserve">1.4401/1.4404 TP316/316L </v>
          </cell>
          <cell r="P545" t="str">
            <v>316L</v>
          </cell>
          <cell r="Q545">
            <v>3.1139999999999999</v>
          </cell>
          <cell r="R545">
            <v>3.1139999999999999</v>
          </cell>
          <cell r="S545">
            <v>4.7E-2</v>
          </cell>
          <cell r="T545">
            <v>4.8000000000000001E-2</v>
          </cell>
          <cell r="V545">
            <v>4.8000000000000001E-2</v>
          </cell>
          <cell r="X545">
            <v>1523</v>
          </cell>
          <cell r="Y545">
            <v>2</v>
          </cell>
          <cell r="Z545">
            <v>244.54078355812462</v>
          </cell>
          <cell r="AA545" t="str">
            <v>3.114X0.047-316L</v>
          </cell>
          <cell r="AB545" t="str">
            <v>WAAF007910120B300049</v>
          </cell>
          <cell r="AC545" t="str">
            <v>D2005059</v>
          </cell>
          <cell r="AD545">
            <v>527225</v>
          </cell>
          <cell r="AE545">
            <v>2.4E-2</v>
          </cell>
          <cell r="AF545">
            <v>1.47</v>
          </cell>
          <cell r="AG545">
            <v>3.1E-2</v>
          </cell>
          <cell r="AH545">
            <v>1E-3</v>
          </cell>
          <cell r="AI545">
            <v>0.35</v>
          </cell>
          <cell r="AJ545">
            <v>16.7</v>
          </cell>
          <cell r="AK545">
            <v>10</v>
          </cell>
          <cell r="AL545">
            <v>2.7E-2</v>
          </cell>
          <cell r="AM545">
            <v>2.0299999999999998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0.42</v>
          </cell>
          <cell r="AS545">
            <v>0</v>
          </cell>
          <cell r="AT545">
            <v>303</v>
          </cell>
          <cell r="AU545">
            <v>0</v>
          </cell>
          <cell r="AV545">
            <v>631</v>
          </cell>
          <cell r="AW545">
            <v>50</v>
          </cell>
          <cell r="AX545">
            <v>81</v>
          </cell>
          <cell r="AY545">
            <v>153</v>
          </cell>
          <cell r="AZ545">
            <v>1.96</v>
          </cell>
          <cell r="BA545" t="str">
            <v>D2005059</v>
          </cell>
          <cell r="BB545" t="str">
            <v>CONFORM</v>
          </cell>
          <cell r="BC545" t="str">
            <v>CONFORM</v>
          </cell>
          <cell r="BD545" t="str">
            <v>CONFORM</v>
          </cell>
          <cell r="BE545" t="str">
            <v>CONFORM</v>
          </cell>
          <cell r="BF545" t="str">
            <v>CONFORM</v>
          </cell>
        </row>
        <row r="546">
          <cell r="A546">
            <v>43965</v>
          </cell>
          <cell r="B546" t="str">
            <v>D2005060-1</v>
          </cell>
          <cell r="C546" t="str">
            <v>046/20</v>
          </cell>
          <cell r="D546">
            <v>2</v>
          </cell>
          <cell r="E546">
            <v>43965</v>
          </cell>
          <cell r="F546" t="str">
            <v>DC</v>
          </cell>
          <cell r="G546" t="str">
            <v>On Time</v>
          </cell>
          <cell r="H546">
            <v>2407507895</v>
          </cell>
          <cell r="I546">
            <v>43965</v>
          </cell>
          <cell r="J546" t="str">
            <v>TKM</v>
          </cell>
          <cell r="K546" t="str">
            <v>D2005060</v>
          </cell>
          <cell r="L546">
            <v>1</v>
          </cell>
          <cell r="M546">
            <v>697359</v>
          </cell>
          <cell r="N546">
            <v>527318</v>
          </cell>
          <cell r="O546" t="str">
            <v xml:space="preserve">1.4401/1.4404 TP316/316L </v>
          </cell>
          <cell r="P546" t="str">
            <v>316L</v>
          </cell>
          <cell r="Q546">
            <v>3.1139999999999999</v>
          </cell>
          <cell r="R546">
            <v>3.1139999999999999</v>
          </cell>
          <cell r="S546">
            <v>4.7E-2</v>
          </cell>
          <cell r="T546">
            <v>4.8000000000000001E-2</v>
          </cell>
          <cell r="V546">
            <v>4.8000000000000001E-2</v>
          </cell>
          <cell r="X546">
            <v>3222</v>
          </cell>
          <cell r="Y546">
            <v>3</v>
          </cell>
          <cell r="Z546">
            <v>344.89402697495183</v>
          </cell>
          <cell r="AA546" t="str">
            <v>3.114X0.047-316L</v>
          </cell>
          <cell r="AB546" t="str">
            <v>WAAF007910120B300049</v>
          </cell>
          <cell r="AC546" t="str">
            <v>D2005060</v>
          </cell>
          <cell r="AD546">
            <v>527318</v>
          </cell>
          <cell r="AE546">
            <v>2.4E-2</v>
          </cell>
          <cell r="AF546">
            <v>1.47</v>
          </cell>
          <cell r="AG546">
            <v>3.2000000000000001E-2</v>
          </cell>
          <cell r="AH546">
            <v>1E-3</v>
          </cell>
          <cell r="AI546">
            <v>0.54</v>
          </cell>
          <cell r="AJ546">
            <v>16.7</v>
          </cell>
          <cell r="AK546">
            <v>10</v>
          </cell>
          <cell r="AL546">
            <v>3.9E-2</v>
          </cell>
          <cell r="AM546">
            <v>2.0099999999999998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0.51</v>
          </cell>
          <cell r="AS546">
            <v>0</v>
          </cell>
          <cell r="AT546">
            <v>330</v>
          </cell>
          <cell r="AU546">
            <v>0</v>
          </cell>
          <cell r="AV546">
            <v>658</v>
          </cell>
          <cell r="AW546">
            <v>49</v>
          </cell>
          <cell r="AX546">
            <v>83</v>
          </cell>
          <cell r="AY546">
            <v>159</v>
          </cell>
          <cell r="AZ546">
            <v>1.96</v>
          </cell>
          <cell r="BA546" t="str">
            <v>D2005060</v>
          </cell>
          <cell r="BB546" t="str">
            <v>CONFORM</v>
          </cell>
          <cell r="BC546" t="str">
            <v>CONFORM</v>
          </cell>
          <cell r="BD546" t="str">
            <v>CONFORM</v>
          </cell>
          <cell r="BE546" t="str">
            <v>CONFORM</v>
          </cell>
          <cell r="BF546" t="str">
            <v>CONFORM</v>
          </cell>
        </row>
        <row r="547">
          <cell r="A547">
            <v>43970</v>
          </cell>
          <cell r="B547" t="str">
            <v>D2005094-1</v>
          </cell>
          <cell r="C547" t="str">
            <v>028/20</v>
          </cell>
          <cell r="D547">
            <v>1</v>
          </cell>
          <cell r="E547">
            <v>43970</v>
          </cell>
          <cell r="F547" t="str">
            <v>DC</v>
          </cell>
          <cell r="G547" t="str">
            <v>On Time</v>
          </cell>
          <cell r="H547" t="str">
            <v>L377678</v>
          </cell>
          <cell r="I547">
            <v>43969</v>
          </cell>
          <cell r="J547" t="str">
            <v>ATI</v>
          </cell>
          <cell r="K547" t="str">
            <v>D2005094</v>
          </cell>
          <cell r="L547">
            <v>1</v>
          </cell>
          <cell r="M547" t="str">
            <v>AAC90830</v>
          </cell>
          <cell r="N547">
            <v>859885</v>
          </cell>
          <cell r="O547" t="str">
            <v xml:space="preserve">1.4539 UNS N08904 </v>
          </cell>
          <cell r="P547" t="str">
            <v>904L</v>
          </cell>
          <cell r="Q547">
            <v>1.913</v>
          </cell>
          <cell r="S547">
            <v>4.7E-2</v>
          </cell>
          <cell r="V547" t="str">
            <v/>
          </cell>
          <cell r="X547">
            <v>4698</v>
          </cell>
          <cell r="Y547">
            <v>6</v>
          </cell>
          <cell r="Z547">
            <v>409.30475692629375</v>
          </cell>
          <cell r="AA547" t="str">
            <v>1.913X0.047-904L</v>
          </cell>
          <cell r="AB547" t="str">
            <v>WABM004860120B300080</v>
          </cell>
          <cell r="AC547" t="str">
            <v>D2005094</v>
          </cell>
          <cell r="AD547">
            <v>859885</v>
          </cell>
          <cell r="AE547">
            <v>1.6E-2</v>
          </cell>
          <cell r="AF547">
            <v>1.46</v>
          </cell>
          <cell r="AG547">
            <v>2.1999999999999999E-2</v>
          </cell>
          <cell r="AH547">
            <v>0</v>
          </cell>
          <cell r="AI547">
            <v>0.43</v>
          </cell>
          <cell r="AJ547">
            <v>20.3</v>
          </cell>
          <cell r="AK547">
            <v>24.1</v>
          </cell>
          <cell r="AL547">
            <v>0.05</v>
          </cell>
          <cell r="AM547">
            <v>4.16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1.45</v>
          </cell>
          <cell r="AS547">
            <v>0</v>
          </cell>
          <cell r="AT547">
            <v>328</v>
          </cell>
          <cell r="AU547">
            <v>0</v>
          </cell>
          <cell r="AV547">
            <v>620</v>
          </cell>
          <cell r="AW547">
            <v>42</v>
          </cell>
          <cell r="AX547">
            <v>80</v>
          </cell>
          <cell r="AY547">
            <v>150</v>
          </cell>
          <cell r="AZ547">
            <v>4.82</v>
          </cell>
          <cell r="BA547" t="str">
            <v>D2005094</v>
          </cell>
          <cell r="BB547" t="str">
            <v>CONFORM</v>
          </cell>
          <cell r="BC547" t="str">
            <v>CONFORM</v>
          </cell>
          <cell r="BD547" t="str">
            <v>CONFORM</v>
          </cell>
          <cell r="BE547" t="str">
            <v>CONFORM</v>
          </cell>
          <cell r="BF547" t="str">
            <v>CONFORM</v>
          </cell>
        </row>
        <row r="548">
          <cell r="A548">
            <v>43970</v>
          </cell>
          <cell r="B548" t="str">
            <v>D2005094-2</v>
          </cell>
          <cell r="C548" t="str">
            <v>028/20</v>
          </cell>
          <cell r="D548">
            <v>1</v>
          </cell>
          <cell r="E548">
            <v>43970</v>
          </cell>
          <cell r="F548" t="str">
            <v>DC</v>
          </cell>
          <cell r="G548" t="str">
            <v>On Time</v>
          </cell>
          <cell r="H548" t="str">
            <v>L377678</v>
          </cell>
          <cell r="I548">
            <v>43969</v>
          </cell>
          <cell r="J548" t="str">
            <v>ATI</v>
          </cell>
          <cell r="K548" t="str">
            <v>D2005094</v>
          </cell>
          <cell r="L548">
            <v>2</v>
          </cell>
          <cell r="M548" t="str">
            <v>AAC90830</v>
          </cell>
          <cell r="N548">
            <v>859885</v>
          </cell>
          <cell r="O548" t="str">
            <v xml:space="preserve">1.4539 UNS N08904 </v>
          </cell>
          <cell r="P548" t="str">
            <v>904L</v>
          </cell>
          <cell r="Q548">
            <v>1.913</v>
          </cell>
          <cell r="S548">
            <v>4.7E-2</v>
          </cell>
          <cell r="V548" t="str">
            <v/>
          </cell>
          <cell r="X548">
            <v>3915</v>
          </cell>
          <cell r="Y548">
            <v>5</v>
          </cell>
          <cell r="Z548">
            <v>409.30475692629375</v>
          </cell>
          <cell r="AA548" t="str">
            <v>1.913X0.047-904L</v>
          </cell>
          <cell r="AB548" t="str">
            <v>WABM004860120B300080</v>
          </cell>
          <cell r="AC548" t="str">
            <v>D2005094</v>
          </cell>
          <cell r="AD548">
            <v>859885</v>
          </cell>
          <cell r="AE548">
            <v>1.6E-2</v>
          </cell>
          <cell r="AF548">
            <v>1.46</v>
          </cell>
          <cell r="AG548">
            <v>2.1999999999999999E-2</v>
          </cell>
          <cell r="AH548">
            <v>0</v>
          </cell>
          <cell r="AI548">
            <v>0.43</v>
          </cell>
          <cell r="AJ548">
            <v>20.3</v>
          </cell>
          <cell r="AK548">
            <v>24.1</v>
          </cell>
          <cell r="AL548">
            <v>0.05</v>
          </cell>
          <cell r="AM548">
            <v>4.16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1.45</v>
          </cell>
          <cell r="AS548">
            <v>0</v>
          </cell>
          <cell r="AT548">
            <v>328</v>
          </cell>
          <cell r="AU548">
            <v>0</v>
          </cell>
          <cell r="AV548">
            <v>620</v>
          </cell>
          <cell r="AW548">
            <v>42</v>
          </cell>
          <cell r="AX548">
            <v>80</v>
          </cell>
          <cell r="AY548">
            <v>150</v>
          </cell>
          <cell r="AZ548">
            <v>4.82</v>
          </cell>
          <cell r="BA548" t="str">
            <v>D2005094</v>
          </cell>
          <cell r="BB548" t="str">
            <v>CONFORM</v>
          </cell>
          <cell r="BC548" t="str">
            <v>CONFORM</v>
          </cell>
          <cell r="BD548" t="str">
            <v>CONFORM</v>
          </cell>
          <cell r="BE548" t="str">
            <v>CONFORM</v>
          </cell>
          <cell r="BF548" t="str">
            <v>CONFORM</v>
          </cell>
        </row>
        <row r="549">
          <cell r="A549">
            <v>43970</v>
          </cell>
          <cell r="B549" t="str">
            <v>D2005094-3</v>
          </cell>
          <cell r="C549" t="str">
            <v>028/20</v>
          </cell>
          <cell r="D549">
            <v>1</v>
          </cell>
          <cell r="E549">
            <v>43970</v>
          </cell>
          <cell r="F549" t="str">
            <v>DC</v>
          </cell>
          <cell r="G549" t="str">
            <v>On Time</v>
          </cell>
          <cell r="H549" t="str">
            <v>L377678</v>
          </cell>
          <cell r="I549">
            <v>43969</v>
          </cell>
          <cell r="J549" t="str">
            <v>ATI</v>
          </cell>
          <cell r="K549" t="str">
            <v>D2005094</v>
          </cell>
          <cell r="L549">
            <v>3</v>
          </cell>
          <cell r="M549" t="str">
            <v>AAC90830</v>
          </cell>
          <cell r="N549">
            <v>859885</v>
          </cell>
          <cell r="O549" t="str">
            <v xml:space="preserve">1.4539 UNS N08904 </v>
          </cell>
          <cell r="P549" t="str">
            <v>904L</v>
          </cell>
          <cell r="Q549">
            <v>1.913</v>
          </cell>
          <cell r="S549">
            <v>4.7E-2</v>
          </cell>
          <cell r="V549" t="str">
            <v/>
          </cell>
          <cell r="X549">
            <v>3915</v>
          </cell>
          <cell r="Y549">
            <v>5</v>
          </cell>
          <cell r="Z549">
            <v>409.30475692629375</v>
          </cell>
          <cell r="AA549" t="str">
            <v>1.913X0.047-904L</v>
          </cell>
          <cell r="AB549" t="str">
            <v>WABM004860120B300080</v>
          </cell>
          <cell r="AC549" t="str">
            <v>D2005094</v>
          </cell>
          <cell r="AD549">
            <v>859885</v>
          </cell>
          <cell r="AE549">
            <v>1.6E-2</v>
          </cell>
          <cell r="AF549">
            <v>1.46</v>
          </cell>
          <cell r="AG549">
            <v>2.1999999999999999E-2</v>
          </cell>
          <cell r="AH549">
            <v>0</v>
          </cell>
          <cell r="AI549">
            <v>0.43</v>
          </cell>
          <cell r="AJ549">
            <v>20.3</v>
          </cell>
          <cell r="AK549">
            <v>24.1</v>
          </cell>
          <cell r="AL549">
            <v>0.05</v>
          </cell>
          <cell r="AM549">
            <v>4.16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1.45</v>
          </cell>
          <cell r="AS549">
            <v>0</v>
          </cell>
          <cell r="AT549">
            <v>328</v>
          </cell>
          <cell r="AU549">
            <v>0</v>
          </cell>
          <cell r="AV549">
            <v>620</v>
          </cell>
          <cell r="AW549">
            <v>42</v>
          </cell>
          <cell r="AX549">
            <v>80</v>
          </cell>
          <cell r="AY549">
            <v>150</v>
          </cell>
          <cell r="AZ549">
            <v>4.82</v>
          </cell>
          <cell r="BA549" t="str">
            <v>D2005094</v>
          </cell>
          <cell r="BB549" t="str">
            <v>CONFORM</v>
          </cell>
          <cell r="BC549" t="str">
            <v>CONFORM</v>
          </cell>
          <cell r="BD549" t="str">
            <v>CONFORM</v>
          </cell>
          <cell r="BE549" t="str">
            <v>CONFORM</v>
          </cell>
          <cell r="BF549" t="str">
            <v>CONFORM</v>
          </cell>
        </row>
        <row r="550">
          <cell r="A550">
            <v>43970</v>
          </cell>
          <cell r="B550" t="str">
            <v>D2005094-4</v>
          </cell>
          <cell r="C550" t="str">
            <v>028/20</v>
          </cell>
          <cell r="D550">
            <v>1</v>
          </cell>
          <cell r="E550">
            <v>43970</v>
          </cell>
          <cell r="F550" t="str">
            <v>DC</v>
          </cell>
          <cell r="G550" t="str">
            <v>On Time</v>
          </cell>
          <cell r="H550" t="str">
            <v>L377678</v>
          </cell>
          <cell r="I550">
            <v>43969</v>
          </cell>
          <cell r="J550" t="str">
            <v>ATI</v>
          </cell>
          <cell r="K550" t="str">
            <v>D2005094</v>
          </cell>
          <cell r="L550">
            <v>4</v>
          </cell>
          <cell r="M550" t="str">
            <v>AAC90830</v>
          </cell>
          <cell r="N550">
            <v>859885</v>
          </cell>
          <cell r="O550" t="str">
            <v xml:space="preserve">1.4539 UNS N08904 </v>
          </cell>
          <cell r="P550" t="str">
            <v>904L</v>
          </cell>
          <cell r="Q550">
            <v>1.913</v>
          </cell>
          <cell r="S550">
            <v>4.7E-2</v>
          </cell>
          <cell r="V550" t="str">
            <v/>
          </cell>
          <cell r="X550">
            <v>3920</v>
          </cell>
          <cell r="Y550">
            <v>5</v>
          </cell>
          <cell r="Z550">
            <v>409.82749607945635</v>
          </cell>
          <cell r="AA550" t="str">
            <v>1.913X0.047-904L</v>
          </cell>
          <cell r="AB550" t="str">
            <v>WABM004860120B300080</v>
          </cell>
          <cell r="AC550" t="str">
            <v>D2005094</v>
          </cell>
          <cell r="AD550">
            <v>859885</v>
          </cell>
          <cell r="AE550">
            <v>1.6E-2</v>
          </cell>
          <cell r="AF550">
            <v>1.46</v>
          </cell>
          <cell r="AG550">
            <v>2.1999999999999999E-2</v>
          </cell>
          <cell r="AH550">
            <v>0</v>
          </cell>
          <cell r="AI550">
            <v>0.43</v>
          </cell>
          <cell r="AJ550">
            <v>20.3</v>
          </cell>
          <cell r="AK550">
            <v>24.1</v>
          </cell>
          <cell r="AL550">
            <v>0.05</v>
          </cell>
          <cell r="AM550">
            <v>4.16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1.45</v>
          </cell>
          <cell r="AS550">
            <v>0</v>
          </cell>
          <cell r="AT550">
            <v>328</v>
          </cell>
          <cell r="AU550">
            <v>0</v>
          </cell>
          <cell r="AV550">
            <v>620</v>
          </cell>
          <cell r="AW550">
            <v>42</v>
          </cell>
          <cell r="AX550">
            <v>80</v>
          </cell>
          <cell r="AY550">
            <v>150</v>
          </cell>
          <cell r="AZ550">
            <v>4.82</v>
          </cell>
          <cell r="BA550" t="str">
            <v>D2005094</v>
          </cell>
          <cell r="BB550" t="str">
            <v>CONFORM</v>
          </cell>
          <cell r="BC550" t="str">
            <v>CONFORM</v>
          </cell>
          <cell r="BD550" t="str">
            <v>CONFORM</v>
          </cell>
          <cell r="BE550" t="str">
            <v>CONFORM</v>
          </cell>
          <cell r="BF550" t="str">
            <v>CONFORM</v>
          </cell>
        </row>
        <row r="551">
          <cell r="A551">
            <v>43970</v>
          </cell>
          <cell r="B551" t="str">
            <v>D2005095-1</v>
          </cell>
          <cell r="C551" t="str">
            <v>048/20</v>
          </cell>
          <cell r="D551">
            <v>1</v>
          </cell>
          <cell r="E551">
            <v>43970</v>
          </cell>
          <cell r="F551" t="str">
            <v>DC</v>
          </cell>
          <cell r="G551" t="str">
            <v>On Time</v>
          </cell>
          <cell r="H551">
            <v>2407515155</v>
          </cell>
          <cell r="I551">
            <v>43970</v>
          </cell>
          <cell r="J551" t="str">
            <v>TKM</v>
          </cell>
          <cell r="K551" t="str">
            <v>D2005095</v>
          </cell>
          <cell r="L551">
            <v>1</v>
          </cell>
          <cell r="M551" t="str">
            <v>05F61Y</v>
          </cell>
          <cell r="N551" t="str">
            <v>F61Y</v>
          </cell>
          <cell r="O551" t="str">
            <v xml:space="preserve">1.4401/1.4404 TP316/316L </v>
          </cell>
          <cell r="P551" t="str">
            <v>316L</v>
          </cell>
          <cell r="Q551">
            <v>3.8620000000000001</v>
          </cell>
          <cell r="S551">
            <v>6.3E-2</v>
          </cell>
          <cell r="V551" t="str">
            <v/>
          </cell>
          <cell r="X551">
            <v>1066</v>
          </cell>
          <cell r="Y551">
            <v>1</v>
          </cell>
          <cell r="Z551">
            <v>276.02278612118073</v>
          </cell>
          <cell r="AA551" t="str">
            <v>3.862X0.063-316L</v>
          </cell>
          <cell r="AB551" t="str">
            <v>WAAF009810160B300094</v>
          </cell>
          <cell r="AC551" t="str">
            <v>D2005095</v>
          </cell>
          <cell r="AD551" t="str">
            <v>F61Y</v>
          </cell>
          <cell r="AE551">
            <v>1.6E-2</v>
          </cell>
          <cell r="AF551">
            <v>1.22</v>
          </cell>
          <cell r="AG551">
            <v>2.9000000000000001E-2</v>
          </cell>
          <cell r="AH551">
            <v>1E-3</v>
          </cell>
          <cell r="AI551">
            <v>0.33</v>
          </cell>
          <cell r="AJ551">
            <v>17</v>
          </cell>
          <cell r="AK551">
            <v>10.199999999999999</v>
          </cell>
          <cell r="AL551">
            <v>0.05</v>
          </cell>
          <cell r="AM551">
            <v>2.0299999999999998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0.4</v>
          </cell>
          <cell r="AS551">
            <v>0</v>
          </cell>
          <cell r="AT551">
            <v>308</v>
          </cell>
          <cell r="AU551">
            <v>0</v>
          </cell>
          <cell r="AV551">
            <v>638</v>
          </cell>
          <cell r="AW551">
            <v>50</v>
          </cell>
          <cell r="AX551">
            <v>81</v>
          </cell>
          <cell r="AY551">
            <v>153</v>
          </cell>
          <cell r="AZ551">
            <v>1.72</v>
          </cell>
          <cell r="BA551" t="str">
            <v>D2005095</v>
          </cell>
          <cell r="BB551" t="str">
            <v>CONFORM</v>
          </cell>
          <cell r="BC551" t="str">
            <v>CONFORM</v>
          </cell>
          <cell r="BD551" t="str">
            <v>CONFORM</v>
          </cell>
          <cell r="BE551" t="str">
            <v>CONFORM</v>
          </cell>
          <cell r="BF551" t="str">
            <v>CONFORM</v>
          </cell>
        </row>
        <row r="552">
          <cell r="A552">
            <v>43970</v>
          </cell>
          <cell r="B552" t="str">
            <v>D2005095-2</v>
          </cell>
          <cell r="C552" t="str">
            <v>048/20</v>
          </cell>
          <cell r="D552">
            <v>1</v>
          </cell>
          <cell r="E552">
            <v>43970</v>
          </cell>
          <cell r="F552" t="str">
            <v>DC</v>
          </cell>
          <cell r="G552" t="str">
            <v>On Time</v>
          </cell>
          <cell r="H552">
            <v>2407515155</v>
          </cell>
          <cell r="I552">
            <v>43970</v>
          </cell>
          <cell r="J552" t="str">
            <v>TKM</v>
          </cell>
          <cell r="K552" t="str">
            <v>D2005095</v>
          </cell>
          <cell r="L552">
            <v>2</v>
          </cell>
          <cell r="M552" t="str">
            <v>05F61Y</v>
          </cell>
          <cell r="N552" t="str">
            <v>F61Y</v>
          </cell>
          <cell r="O552" t="str">
            <v xml:space="preserve">1.4401/1.4404 TP316/316L </v>
          </cell>
          <cell r="P552" t="str">
            <v>316L</v>
          </cell>
          <cell r="Q552">
            <v>3.8620000000000001</v>
          </cell>
          <cell r="S552">
            <v>6.3E-2</v>
          </cell>
          <cell r="V552" t="str">
            <v/>
          </cell>
          <cell r="X552">
            <v>3202</v>
          </cell>
          <cell r="Y552">
            <v>3</v>
          </cell>
          <cell r="Z552">
            <v>276.36803038149486</v>
          </cell>
          <cell r="AA552" t="str">
            <v>3.862X0.063-316L</v>
          </cell>
          <cell r="AB552" t="str">
            <v>WAAF009810160B300094</v>
          </cell>
          <cell r="AC552" t="str">
            <v>D2005095</v>
          </cell>
          <cell r="AD552" t="str">
            <v>F61Y</v>
          </cell>
          <cell r="AE552">
            <v>1.6E-2</v>
          </cell>
          <cell r="AF552">
            <v>1.22</v>
          </cell>
          <cell r="AG552">
            <v>2.9000000000000001E-2</v>
          </cell>
          <cell r="AH552">
            <v>1E-3</v>
          </cell>
          <cell r="AI552">
            <v>0.33</v>
          </cell>
          <cell r="AJ552">
            <v>17</v>
          </cell>
          <cell r="AK552">
            <v>10.199999999999999</v>
          </cell>
          <cell r="AL552">
            <v>0.05</v>
          </cell>
          <cell r="AM552">
            <v>2.0299999999999998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0.4</v>
          </cell>
          <cell r="AS552">
            <v>0</v>
          </cell>
          <cell r="AT552">
            <v>308</v>
          </cell>
          <cell r="AU552">
            <v>0</v>
          </cell>
          <cell r="AV552">
            <v>638</v>
          </cell>
          <cell r="AW552">
            <v>50</v>
          </cell>
          <cell r="AX552">
            <v>81</v>
          </cell>
          <cell r="AY552">
            <v>153</v>
          </cell>
          <cell r="AZ552">
            <v>1.72</v>
          </cell>
          <cell r="BA552" t="str">
            <v>D2005095</v>
          </cell>
          <cell r="BB552" t="str">
            <v>CONFORM</v>
          </cell>
          <cell r="BC552" t="str">
            <v>CONFORM</v>
          </cell>
          <cell r="BD552" t="str">
            <v>CONFORM</v>
          </cell>
          <cell r="BE552" t="str">
            <v>CONFORM</v>
          </cell>
          <cell r="BF552" t="str">
            <v>CONFORM</v>
          </cell>
        </row>
        <row r="553">
          <cell r="A553">
            <v>43970</v>
          </cell>
          <cell r="B553" t="str">
            <v>D2005095-3</v>
          </cell>
          <cell r="C553" t="str">
            <v>048/20</v>
          </cell>
          <cell r="D553">
            <v>1</v>
          </cell>
          <cell r="E553">
            <v>43970</v>
          </cell>
          <cell r="F553" t="str">
            <v>DC</v>
          </cell>
          <cell r="G553" t="str">
            <v>On Time</v>
          </cell>
          <cell r="H553">
            <v>2407515155</v>
          </cell>
          <cell r="I553">
            <v>43970</v>
          </cell>
          <cell r="J553" t="str">
            <v>TKM</v>
          </cell>
          <cell r="K553" t="str">
            <v>D2005095</v>
          </cell>
          <cell r="L553">
            <v>3</v>
          </cell>
          <cell r="M553" t="str">
            <v>05F61Y</v>
          </cell>
          <cell r="N553" t="str">
            <v>F61Y</v>
          </cell>
          <cell r="O553" t="str">
            <v xml:space="preserve">1.4401/1.4404 TP316/316L </v>
          </cell>
          <cell r="P553" t="str">
            <v>316L</v>
          </cell>
          <cell r="Q553">
            <v>3.8620000000000001</v>
          </cell>
          <cell r="S553">
            <v>6.3E-2</v>
          </cell>
          <cell r="V553" t="str">
            <v/>
          </cell>
          <cell r="X553">
            <v>3190</v>
          </cell>
          <cell r="Y553">
            <v>3</v>
          </cell>
          <cell r="Z553">
            <v>275.33229760055235</v>
          </cell>
          <cell r="AA553" t="str">
            <v>3.862X0.063-316L</v>
          </cell>
          <cell r="AB553" t="str">
            <v>WAAF009810160B300094</v>
          </cell>
          <cell r="AC553" t="str">
            <v>D2005095</v>
          </cell>
          <cell r="AD553" t="str">
            <v>F61Y</v>
          </cell>
          <cell r="AE553">
            <v>1.6E-2</v>
          </cell>
          <cell r="AF553">
            <v>1.22</v>
          </cell>
          <cell r="AG553">
            <v>2.9000000000000001E-2</v>
          </cell>
          <cell r="AH553">
            <v>1E-3</v>
          </cell>
          <cell r="AI553">
            <v>0.33</v>
          </cell>
          <cell r="AJ553">
            <v>17</v>
          </cell>
          <cell r="AK553">
            <v>10.199999999999999</v>
          </cell>
          <cell r="AL553">
            <v>0.05</v>
          </cell>
          <cell r="AM553">
            <v>2.0299999999999998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0.4</v>
          </cell>
          <cell r="AS553">
            <v>0</v>
          </cell>
          <cell r="AT553">
            <v>308</v>
          </cell>
          <cell r="AU553">
            <v>0</v>
          </cell>
          <cell r="AV553">
            <v>638</v>
          </cell>
          <cell r="AW553">
            <v>50</v>
          </cell>
          <cell r="AX553">
            <v>81</v>
          </cell>
          <cell r="AY553">
            <v>153</v>
          </cell>
          <cell r="AZ553">
            <v>1.72</v>
          </cell>
          <cell r="BA553" t="str">
            <v>D2005095</v>
          </cell>
          <cell r="BB553" t="str">
            <v>CONFORM</v>
          </cell>
          <cell r="BC553" t="str">
            <v>CONFORM</v>
          </cell>
          <cell r="BD553" t="str">
            <v>CONFORM</v>
          </cell>
          <cell r="BE553" t="str">
            <v>CONFORM</v>
          </cell>
          <cell r="BF553" t="str">
            <v>CONFORM</v>
          </cell>
        </row>
        <row r="554">
          <cell r="A554">
            <v>43970</v>
          </cell>
          <cell r="B554" t="str">
            <v>D2005095-4</v>
          </cell>
          <cell r="C554" t="str">
            <v>048/20</v>
          </cell>
          <cell r="D554">
            <v>1</v>
          </cell>
          <cell r="E554">
            <v>43970</v>
          </cell>
          <cell r="F554" t="str">
            <v>DC</v>
          </cell>
          <cell r="G554" t="str">
            <v>On Time</v>
          </cell>
          <cell r="H554">
            <v>2407515155</v>
          </cell>
          <cell r="I554">
            <v>43970</v>
          </cell>
          <cell r="J554" t="str">
            <v>TKM</v>
          </cell>
          <cell r="K554" t="str">
            <v>D2005095</v>
          </cell>
          <cell r="L554">
            <v>4</v>
          </cell>
          <cell r="M554" t="str">
            <v>05F61Y</v>
          </cell>
          <cell r="N554" t="str">
            <v>F61Y</v>
          </cell>
          <cell r="O554" t="str">
            <v xml:space="preserve">1.4401/1.4404 TP316/316L </v>
          </cell>
          <cell r="P554" t="str">
            <v>316L</v>
          </cell>
          <cell r="Q554">
            <v>3.8620000000000001</v>
          </cell>
          <cell r="S554">
            <v>6.3E-2</v>
          </cell>
          <cell r="V554" t="str">
            <v/>
          </cell>
          <cell r="X554">
            <v>3476</v>
          </cell>
          <cell r="Y554">
            <v>3</v>
          </cell>
          <cell r="Z554">
            <v>300.01726221301573</v>
          </cell>
          <cell r="AA554" t="str">
            <v>3.862X0.063-316L</v>
          </cell>
          <cell r="AB554" t="str">
            <v>WAAF009810160B300094</v>
          </cell>
          <cell r="AC554" t="str">
            <v>D2005095</v>
          </cell>
          <cell r="AD554" t="str">
            <v>F61Y</v>
          </cell>
          <cell r="AE554">
            <v>1.6E-2</v>
          </cell>
          <cell r="AF554">
            <v>1.22</v>
          </cell>
          <cell r="AG554">
            <v>2.9000000000000001E-2</v>
          </cell>
          <cell r="AH554">
            <v>1E-3</v>
          </cell>
          <cell r="AI554">
            <v>0.33</v>
          </cell>
          <cell r="AJ554">
            <v>17</v>
          </cell>
          <cell r="AK554">
            <v>10.199999999999999</v>
          </cell>
          <cell r="AL554">
            <v>0.05</v>
          </cell>
          <cell r="AM554">
            <v>2.0299999999999998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0.4</v>
          </cell>
          <cell r="AS554">
            <v>0</v>
          </cell>
          <cell r="AT554">
            <v>308</v>
          </cell>
          <cell r="AU554">
            <v>0</v>
          </cell>
          <cell r="AV554">
            <v>638</v>
          </cell>
          <cell r="AW554">
            <v>50</v>
          </cell>
          <cell r="AX554">
            <v>81</v>
          </cell>
          <cell r="AY554">
            <v>153</v>
          </cell>
          <cell r="AZ554">
            <v>1.72</v>
          </cell>
          <cell r="BA554" t="str">
            <v>D2005095</v>
          </cell>
          <cell r="BB554" t="str">
            <v>CONFORM</v>
          </cell>
          <cell r="BC554" t="str">
            <v>CONFORM</v>
          </cell>
          <cell r="BD554" t="str">
            <v>CONFORM</v>
          </cell>
          <cell r="BE554" t="str">
            <v>CONFORM</v>
          </cell>
          <cell r="BF554" t="str">
            <v>CONFORM</v>
          </cell>
        </row>
        <row r="555">
          <cell r="A555">
            <v>43970</v>
          </cell>
          <cell r="B555" t="str">
            <v>D2005095-5</v>
          </cell>
          <cell r="C555" t="str">
            <v>048/20</v>
          </cell>
          <cell r="D555">
            <v>1</v>
          </cell>
          <cell r="E555">
            <v>43970</v>
          </cell>
          <cell r="F555" t="str">
            <v>DC</v>
          </cell>
          <cell r="G555" t="str">
            <v>On Time</v>
          </cell>
          <cell r="H555">
            <v>2407515155</v>
          </cell>
          <cell r="I555">
            <v>43970</v>
          </cell>
          <cell r="J555" t="str">
            <v>TKM</v>
          </cell>
          <cell r="K555" t="str">
            <v>D2005095</v>
          </cell>
          <cell r="L555">
            <v>5</v>
          </cell>
          <cell r="M555" t="str">
            <v>05F61Y</v>
          </cell>
          <cell r="N555" t="str">
            <v>F61Y</v>
          </cell>
          <cell r="O555" t="str">
            <v xml:space="preserve">1.4401/1.4404 TP316/316L </v>
          </cell>
          <cell r="P555" t="str">
            <v>316L</v>
          </cell>
          <cell r="Q555">
            <v>3.8620000000000001</v>
          </cell>
          <cell r="S555">
            <v>6.3E-2</v>
          </cell>
          <cell r="V555" t="str">
            <v/>
          </cell>
          <cell r="X555">
            <v>3460</v>
          </cell>
          <cell r="Y555">
            <v>3</v>
          </cell>
          <cell r="Z555">
            <v>298.63628517175897</v>
          </cell>
          <cell r="AA555" t="str">
            <v>3.862X0.063-316L</v>
          </cell>
          <cell r="AB555" t="str">
            <v>WAAF009810160B300094</v>
          </cell>
          <cell r="AC555" t="str">
            <v>D2005095</v>
          </cell>
          <cell r="AD555" t="str">
            <v>F61Y</v>
          </cell>
          <cell r="AE555">
            <v>1.6E-2</v>
          </cell>
          <cell r="AF555">
            <v>1.22</v>
          </cell>
          <cell r="AG555">
            <v>2.9000000000000001E-2</v>
          </cell>
          <cell r="AH555">
            <v>1E-3</v>
          </cell>
          <cell r="AI555">
            <v>0.33</v>
          </cell>
          <cell r="AJ555">
            <v>17</v>
          </cell>
          <cell r="AK555">
            <v>10.199999999999999</v>
          </cell>
          <cell r="AL555">
            <v>0.05</v>
          </cell>
          <cell r="AM555">
            <v>2.0299999999999998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0.4</v>
          </cell>
          <cell r="AS555">
            <v>0</v>
          </cell>
          <cell r="AT555">
            <v>308</v>
          </cell>
          <cell r="AU555">
            <v>0</v>
          </cell>
          <cell r="AV555">
            <v>638</v>
          </cell>
          <cell r="AW555">
            <v>50</v>
          </cell>
          <cell r="AX555">
            <v>81</v>
          </cell>
          <cell r="AY555">
            <v>153</v>
          </cell>
          <cell r="AZ555">
            <v>1.72</v>
          </cell>
          <cell r="BA555" t="str">
            <v>D2005095</v>
          </cell>
          <cell r="BB555" t="str">
            <v>CONFORM</v>
          </cell>
          <cell r="BC555" t="str">
            <v>CONFORM</v>
          </cell>
          <cell r="BD555" t="str">
            <v>CONFORM</v>
          </cell>
          <cell r="BE555" t="str">
            <v>CONFORM</v>
          </cell>
          <cell r="BF555" t="str">
            <v>CONFORM</v>
          </cell>
        </row>
        <row r="556">
          <cell r="A556">
            <v>43970</v>
          </cell>
          <cell r="B556" t="str">
            <v>D2005095-6</v>
          </cell>
          <cell r="C556" t="str">
            <v>048/20</v>
          </cell>
          <cell r="D556">
            <v>1</v>
          </cell>
          <cell r="E556">
            <v>43970</v>
          </cell>
          <cell r="F556" t="str">
            <v>DC</v>
          </cell>
          <cell r="G556" t="str">
            <v>On Time</v>
          </cell>
          <cell r="H556">
            <v>2407515155</v>
          </cell>
          <cell r="I556">
            <v>43970</v>
          </cell>
          <cell r="J556" t="str">
            <v>TKM</v>
          </cell>
          <cell r="K556" t="str">
            <v>D2005095</v>
          </cell>
          <cell r="L556">
            <v>6</v>
          </cell>
          <cell r="M556" t="str">
            <v>05F61Y</v>
          </cell>
          <cell r="N556" t="str">
            <v>F61Y</v>
          </cell>
          <cell r="O556" t="str">
            <v xml:space="preserve">1.4401/1.4404 TP316/316L </v>
          </cell>
          <cell r="P556" t="str">
            <v>316L</v>
          </cell>
          <cell r="Q556">
            <v>3.8620000000000001</v>
          </cell>
          <cell r="S556">
            <v>6.3E-2</v>
          </cell>
          <cell r="V556" t="str">
            <v/>
          </cell>
          <cell r="X556">
            <v>3478</v>
          </cell>
          <cell r="Y556">
            <v>3</v>
          </cell>
          <cell r="Z556">
            <v>300.18988434317276</v>
          </cell>
          <cell r="AA556" t="str">
            <v>3.862X0.063-316L</v>
          </cell>
          <cell r="AB556" t="str">
            <v>WAAF009810160B300094</v>
          </cell>
          <cell r="AC556" t="str">
            <v>D2005095</v>
          </cell>
          <cell r="AD556" t="str">
            <v>F61Y</v>
          </cell>
          <cell r="AE556">
            <v>1.6E-2</v>
          </cell>
          <cell r="AF556">
            <v>1.22</v>
          </cell>
          <cell r="AG556">
            <v>2.9000000000000001E-2</v>
          </cell>
          <cell r="AH556">
            <v>1E-3</v>
          </cell>
          <cell r="AI556">
            <v>0.33</v>
          </cell>
          <cell r="AJ556">
            <v>17</v>
          </cell>
          <cell r="AK556">
            <v>10.199999999999999</v>
          </cell>
          <cell r="AL556">
            <v>0.05</v>
          </cell>
          <cell r="AM556">
            <v>2.0299999999999998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0.4</v>
          </cell>
          <cell r="AS556">
            <v>0</v>
          </cell>
          <cell r="AT556">
            <v>308</v>
          </cell>
          <cell r="AU556">
            <v>0</v>
          </cell>
          <cell r="AV556">
            <v>638</v>
          </cell>
          <cell r="AW556">
            <v>50</v>
          </cell>
          <cell r="AX556">
            <v>81</v>
          </cell>
          <cell r="AY556">
            <v>153</v>
          </cell>
          <cell r="AZ556">
            <v>1.72</v>
          </cell>
          <cell r="BA556" t="str">
            <v>D2005095</v>
          </cell>
          <cell r="BB556" t="str">
            <v>CONFORM</v>
          </cell>
          <cell r="BC556" t="str">
            <v>CONFORM</v>
          </cell>
          <cell r="BD556" t="str">
            <v>CONFORM</v>
          </cell>
          <cell r="BE556" t="str">
            <v>CONFORM</v>
          </cell>
          <cell r="BF556" t="str">
            <v>CONFORM</v>
          </cell>
        </row>
        <row r="557">
          <cell r="A557">
            <v>43970</v>
          </cell>
          <cell r="B557" t="str">
            <v>D2005095-7</v>
          </cell>
          <cell r="C557" t="str">
            <v>048/20</v>
          </cell>
          <cell r="D557">
            <v>1</v>
          </cell>
          <cell r="E557">
            <v>43970</v>
          </cell>
          <cell r="F557" t="str">
            <v>DC</v>
          </cell>
          <cell r="G557" t="str">
            <v>On Time</v>
          </cell>
          <cell r="H557">
            <v>2407515155</v>
          </cell>
          <cell r="I557">
            <v>43970</v>
          </cell>
          <cell r="J557" t="str">
            <v>TKM</v>
          </cell>
          <cell r="K557" t="str">
            <v>D2005095</v>
          </cell>
          <cell r="L557">
            <v>7</v>
          </cell>
          <cell r="M557" t="str">
            <v>05F61Y</v>
          </cell>
          <cell r="N557" t="str">
            <v>F61Y</v>
          </cell>
          <cell r="O557" t="str">
            <v xml:space="preserve">1.4401/1.4404 TP316/316L </v>
          </cell>
          <cell r="P557" t="str">
            <v>316L</v>
          </cell>
          <cell r="Q557">
            <v>3.8620000000000001</v>
          </cell>
          <cell r="S557">
            <v>6.3E-2</v>
          </cell>
          <cell r="V557" t="str">
            <v/>
          </cell>
          <cell r="X557">
            <v>3478</v>
          </cell>
          <cell r="Y557">
            <v>3</v>
          </cell>
          <cell r="Z557">
            <v>300.18988434317276</v>
          </cell>
          <cell r="AA557" t="str">
            <v>3.862X0.063-316L</v>
          </cell>
          <cell r="AB557" t="str">
            <v>WAAF009810160B300094</v>
          </cell>
          <cell r="AC557" t="str">
            <v>D2005095</v>
          </cell>
          <cell r="AD557" t="str">
            <v>F61Y</v>
          </cell>
          <cell r="AE557">
            <v>1.6E-2</v>
          </cell>
          <cell r="AF557">
            <v>1.22</v>
          </cell>
          <cell r="AG557">
            <v>2.9000000000000001E-2</v>
          </cell>
          <cell r="AH557">
            <v>1E-3</v>
          </cell>
          <cell r="AI557">
            <v>0.33</v>
          </cell>
          <cell r="AJ557">
            <v>17</v>
          </cell>
          <cell r="AK557">
            <v>10.199999999999999</v>
          </cell>
          <cell r="AL557">
            <v>0.05</v>
          </cell>
          <cell r="AM557">
            <v>2.0299999999999998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0.4</v>
          </cell>
          <cell r="AS557">
            <v>0</v>
          </cell>
          <cell r="AT557">
            <v>308</v>
          </cell>
          <cell r="AU557">
            <v>0</v>
          </cell>
          <cell r="AV557">
            <v>638</v>
          </cell>
          <cell r="AW557">
            <v>50</v>
          </cell>
          <cell r="AX557">
            <v>81</v>
          </cell>
          <cell r="AY557">
            <v>153</v>
          </cell>
          <cell r="AZ557">
            <v>1.72</v>
          </cell>
          <cell r="BA557" t="str">
            <v>D2005095</v>
          </cell>
          <cell r="BB557" t="str">
            <v>CONFORM</v>
          </cell>
          <cell r="BC557" t="str">
            <v>CONFORM</v>
          </cell>
          <cell r="BD557" t="str">
            <v>CONFORM</v>
          </cell>
          <cell r="BE557" t="str">
            <v>CONFORM</v>
          </cell>
          <cell r="BF557" t="str">
            <v>CONFORM</v>
          </cell>
        </row>
        <row r="558">
          <cell r="A558">
            <v>43970</v>
          </cell>
          <cell r="B558" t="str">
            <v>D2005095-8</v>
          </cell>
          <cell r="C558" t="str">
            <v>048/20</v>
          </cell>
          <cell r="D558">
            <v>1</v>
          </cell>
          <cell r="E558">
            <v>43970</v>
          </cell>
          <cell r="F558" t="str">
            <v>DC</v>
          </cell>
          <cell r="G558" t="str">
            <v>On Time</v>
          </cell>
          <cell r="H558">
            <v>2407515155</v>
          </cell>
          <cell r="I558">
            <v>43970</v>
          </cell>
          <cell r="J558" t="str">
            <v>TKM</v>
          </cell>
          <cell r="K558" t="str">
            <v>D2005095</v>
          </cell>
          <cell r="L558">
            <v>8</v>
          </cell>
          <cell r="M558" t="str">
            <v>05F61Y</v>
          </cell>
          <cell r="N558" t="str">
            <v>F61Y</v>
          </cell>
          <cell r="O558" t="str">
            <v xml:space="preserve">1.4401/1.4404 TP316/316L </v>
          </cell>
          <cell r="P558" t="str">
            <v>316L</v>
          </cell>
          <cell r="Q558">
            <v>3.8620000000000001</v>
          </cell>
          <cell r="S558">
            <v>6.3E-2</v>
          </cell>
          <cell r="V558" t="str">
            <v/>
          </cell>
          <cell r="X558">
            <v>4024</v>
          </cell>
          <cell r="Y558">
            <v>4</v>
          </cell>
          <cell r="Z558">
            <v>260.48679440704296</v>
          </cell>
          <cell r="AA558" t="str">
            <v>3.862X0.063-316L</v>
          </cell>
          <cell r="AB558" t="str">
            <v>WAAF009810160B300094</v>
          </cell>
          <cell r="AC558" t="str">
            <v>D2005095</v>
          </cell>
          <cell r="AD558" t="str">
            <v>F61Y</v>
          </cell>
          <cell r="AE558">
            <v>1.6E-2</v>
          </cell>
          <cell r="AF558">
            <v>1.22</v>
          </cell>
          <cell r="AG558">
            <v>2.9000000000000001E-2</v>
          </cell>
          <cell r="AH558">
            <v>1E-3</v>
          </cell>
          <cell r="AI558">
            <v>0.33</v>
          </cell>
          <cell r="AJ558">
            <v>17</v>
          </cell>
          <cell r="AK558">
            <v>10.199999999999999</v>
          </cell>
          <cell r="AL558">
            <v>0.05</v>
          </cell>
          <cell r="AM558">
            <v>2.0299999999999998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0.4</v>
          </cell>
          <cell r="AS558">
            <v>0</v>
          </cell>
          <cell r="AT558">
            <v>308</v>
          </cell>
          <cell r="AU558">
            <v>0</v>
          </cell>
          <cell r="AV558">
            <v>638</v>
          </cell>
          <cell r="AW558">
            <v>50</v>
          </cell>
          <cell r="AX558">
            <v>81</v>
          </cell>
          <cell r="AY558">
            <v>153</v>
          </cell>
          <cell r="AZ558">
            <v>1.72</v>
          </cell>
          <cell r="BA558" t="str">
            <v>D2005095</v>
          </cell>
          <cell r="BB558" t="str">
            <v>CONFORM</v>
          </cell>
          <cell r="BC558" t="str">
            <v>CONFORM</v>
          </cell>
          <cell r="BD558" t="str">
            <v>CONFORM</v>
          </cell>
          <cell r="BE558" t="str">
            <v>CONFORM</v>
          </cell>
          <cell r="BF558" t="str">
            <v>CONFORM</v>
          </cell>
        </row>
        <row r="559">
          <cell r="A559">
            <v>43970</v>
          </cell>
          <cell r="B559" t="str">
            <v>D2005095-9</v>
          </cell>
          <cell r="C559" t="str">
            <v>048/20</v>
          </cell>
          <cell r="D559">
            <v>1</v>
          </cell>
          <cell r="E559">
            <v>43970</v>
          </cell>
          <cell r="F559" t="str">
            <v>DC</v>
          </cell>
          <cell r="G559" t="str">
            <v>On Time</v>
          </cell>
          <cell r="H559">
            <v>2407515155</v>
          </cell>
          <cell r="I559">
            <v>43970</v>
          </cell>
          <cell r="J559" t="str">
            <v>TKM</v>
          </cell>
          <cell r="K559" t="str">
            <v>D2005095</v>
          </cell>
          <cell r="L559">
            <v>9</v>
          </cell>
          <cell r="M559" t="str">
            <v>05F61Y</v>
          </cell>
          <cell r="N559" t="str">
            <v>F61Y</v>
          </cell>
          <cell r="O559" t="str">
            <v xml:space="preserve">1.4401/1.4404 TP316/316L </v>
          </cell>
          <cell r="P559" t="str">
            <v>316L</v>
          </cell>
          <cell r="Q559">
            <v>3.8620000000000001</v>
          </cell>
          <cell r="S559">
            <v>6.3E-2</v>
          </cell>
          <cell r="V559" t="str">
            <v/>
          </cell>
          <cell r="X559">
            <v>4020</v>
          </cell>
          <cell r="Y559">
            <v>4</v>
          </cell>
          <cell r="Z559">
            <v>260.22786121180735</v>
          </cell>
          <cell r="AA559" t="str">
            <v>3.862X0.063-316L</v>
          </cell>
          <cell r="AB559" t="str">
            <v>WAAF009810160B300094</v>
          </cell>
          <cell r="AC559" t="str">
            <v>D2005095</v>
          </cell>
          <cell r="AD559" t="str">
            <v>F61Y</v>
          </cell>
          <cell r="AE559">
            <v>1.6E-2</v>
          </cell>
          <cell r="AF559">
            <v>1.22</v>
          </cell>
          <cell r="AG559">
            <v>2.9000000000000001E-2</v>
          </cell>
          <cell r="AH559">
            <v>1E-3</v>
          </cell>
          <cell r="AI559">
            <v>0.33</v>
          </cell>
          <cell r="AJ559">
            <v>17</v>
          </cell>
          <cell r="AK559">
            <v>10.199999999999999</v>
          </cell>
          <cell r="AL559">
            <v>0.05</v>
          </cell>
          <cell r="AM559">
            <v>2.0299999999999998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0.4</v>
          </cell>
          <cell r="AS559">
            <v>0</v>
          </cell>
          <cell r="AT559">
            <v>308</v>
          </cell>
          <cell r="AU559">
            <v>0</v>
          </cell>
          <cell r="AV559">
            <v>638</v>
          </cell>
          <cell r="AW559">
            <v>50</v>
          </cell>
          <cell r="AX559">
            <v>81</v>
          </cell>
          <cell r="AY559">
            <v>153</v>
          </cell>
          <cell r="AZ559">
            <v>1.72</v>
          </cell>
          <cell r="BA559" t="str">
            <v>D2005095</v>
          </cell>
          <cell r="BB559" t="str">
            <v>CONFORM</v>
          </cell>
          <cell r="BC559" t="str">
            <v>CONFORM</v>
          </cell>
          <cell r="BD559" t="str">
            <v>CONFORM</v>
          </cell>
          <cell r="BE559" t="str">
            <v>CONFORM</v>
          </cell>
          <cell r="BF559" t="str">
            <v>CONFORM</v>
          </cell>
        </row>
        <row r="560">
          <cell r="A560">
            <v>43970</v>
          </cell>
          <cell r="B560" t="str">
            <v>D2005095-10</v>
          </cell>
          <cell r="C560" t="str">
            <v>048/20</v>
          </cell>
          <cell r="D560">
            <v>1</v>
          </cell>
          <cell r="E560">
            <v>43970</v>
          </cell>
          <cell r="F560" t="str">
            <v>DC</v>
          </cell>
          <cell r="G560" t="str">
            <v>On Time</v>
          </cell>
          <cell r="H560">
            <v>2407515155</v>
          </cell>
          <cell r="I560">
            <v>43970</v>
          </cell>
          <cell r="J560" t="str">
            <v>TKM</v>
          </cell>
          <cell r="K560" t="str">
            <v>D2005095</v>
          </cell>
          <cell r="L560">
            <v>10</v>
          </cell>
          <cell r="M560" t="str">
            <v>05F61Y</v>
          </cell>
          <cell r="N560" t="str">
            <v>F61Y</v>
          </cell>
          <cell r="O560" t="str">
            <v xml:space="preserve">1.4401/1.4404 TP316/316L </v>
          </cell>
          <cell r="P560" t="str">
            <v>316L</v>
          </cell>
          <cell r="Q560">
            <v>3.8620000000000001</v>
          </cell>
          <cell r="S560">
            <v>6.3E-2</v>
          </cell>
          <cell r="V560" t="str">
            <v/>
          </cell>
          <cell r="X560">
            <v>4016</v>
          </cell>
          <cell r="Y560">
            <v>4</v>
          </cell>
          <cell r="Z560">
            <v>259.96892801657174</v>
          </cell>
          <cell r="AA560" t="str">
            <v>3.862X0.063-316L</v>
          </cell>
          <cell r="AB560" t="str">
            <v>WAAF009810160B300094</v>
          </cell>
          <cell r="AC560" t="str">
            <v>D2005095</v>
          </cell>
          <cell r="AD560" t="str">
            <v>F61Y</v>
          </cell>
          <cell r="AE560">
            <v>1.6E-2</v>
          </cell>
          <cell r="AF560">
            <v>1.22</v>
          </cell>
          <cell r="AG560">
            <v>2.9000000000000001E-2</v>
          </cell>
          <cell r="AH560">
            <v>1E-3</v>
          </cell>
          <cell r="AI560">
            <v>0.33</v>
          </cell>
          <cell r="AJ560">
            <v>17</v>
          </cell>
          <cell r="AK560">
            <v>10.199999999999999</v>
          </cell>
          <cell r="AL560">
            <v>0.05</v>
          </cell>
          <cell r="AM560">
            <v>2.0299999999999998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0.4</v>
          </cell>
          <cell r="AS560">
            <v>0</v>
          </cell>
          <cell r="AT560">
            <v>308</v>
          </cell>
          <cell r="AU560">
            <v>0</v>
          </cell>
          <cell r="AV560">
            <v>638</v>
          </cell>
          <cell r="AW560">
            <v>50</v>
          </cell>
          <cell r="AX560">
            <v>81</v>
          </cell>
          <cell r="AY560">
            <v>153</v>
          </cell>
          <cell r="AZ560">
            <v>1.72</v>
          </cell>
          <cell r="BA560" t="str">
            <v>D2005095</v>
          </cell>
          <cell r="BB560" t="str">
            <v>CONFORM</v>
          </cell>
          <cell r="BC560" t="str">
            <v>CONFORM</v>
          </cell>
          <cell r="BD560" t="str">
            <v>CONFORM</v>
          </cell>
          <cell r="BE560" t="str">
            <v>CONFORM</v>
          </cell>
          <cell r="BF560" t="str">
            <v>CONFORM</v>
          </cell>
        </row>
        <row r="561">
          <cell r="A561">
            <v>43971</v>
          </cell>
          <cell r="B561" t="str">
            <v>D2005096-1</v>
          </cell>
          <cell r="C561" t="str">
            <v>047/20</v>
          </cell>
          <cell r="D561">
            <v>1</v>
          </cell>
          <cell r="E561">
            <v>43971</v>
          </cell>
          <cell r="F561" t="str">
            <v>DC</v>
          </cell>
          <cell r="G561" t="str">
            <v>On Time</v>
          </cell>
          <cell r="H561">
            <v>2407517704</v>
          </cell>
          <cell r="I561">
            <v>43971</v>
          </cell>
          <cell r="J561" t="str">
            <v>TKM</v>
          </cell>
          <cell r="K561" t="str">
            <v>D2005096</v>
          </cell>
          <cell r="L561">
            <v>1</v>
          </cell>
          <cell r="M561" t="str">
            <v>AAD01344</v>
          </cell>
          <cell r="N561">
            <v>860411</v>
          </cell>
          <cell r="O561" t="str">
            <v xml:space="preserve">1.4306 TP304L </v>
          </cell>
          <cell r="P561" t="str">
            <v>304L</v>
          </cell>
          <cell r="Q561">
            <v>6.1689999999999996</v>
          </cell>
          <cell r="S561">
            <v>7.9000000000000001E-2</v>
          </cell>
          <cell r="T561">
            <v>7.8E-2</v>
          </cell>
          <cell r="V561">
            <v>7.8E-2</v>
          </cell>
          <cell r="X561">
            <v>2796</v>
          </cell>
          <cell r="Y561">
            <v>1</v>
          </cell>
          <cell r="Z561">
            <v>453.23391149294866</v>
          </cell>
          <cell r="AA561" t="str">
            <v>6.169X0.079-304L</v>
          </cell>
          <cell r="AB561" t="str">
            <v>WAAC015670200B300092</v>
          </cell>
          <cell r="AC561" t="str">
            <v>D2005096</v>
          </cell>
          <cell r="AD561">
            <v>860411</v>
          </cell>
          <cell r="AE561">
            <v>2.1000000000000001E-2</v>
          </cell>
          <cell r="AF561">
            <v>1.66</v>
          </cell>
          <cell r="AG561">
            <v>3.1E-2</v>
          </cell>
          <cell r="AH561">
            <v>0</v>
          </cell>
          <cell r="AI561">
            <v>0.49</v>
          </cell>
          <cell r="AJ561">
            <v>19.100000000000001</v>
          </cell>
          <cell r="AK561">
            <v>8.1999999999999993</v>
          </cell>
          <cell r="AL561">
            <v>7.0000000000000007E-2</v>
          </cell>
          <cell r="AM561">
            <v>0.46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0.57999999999999996</v>
          </cell>
          <cell r="AS561">
            <v>0</v>
          </cell>
          <cell r="AT561">
            <v>298</v>
          </cell>
          <cell r="AU561">
            <v>0</v>
          </cell>
          <cell r="AV561">
            <v>627</v>
          </cell>
          <cell r="AW561">
            <v>58</v>
          </cell>
          <cell r="AX561">
            <v>82</v>
          </cell>
          <cell r="AY561">
            <v>156</v>
          </cell>
          <cell r="AZ561">
            <v>1.6</v>
          </cell>
          <cell r="BA561" t="str">
            <v>D2005096</v>
          </cell>
          <cell r="BB561" t="str">
            <v>CONFORM</v>
          </cell>
          <cell r="BC561" t="str">
            <v>CONFORM</v>
          </cell>
          <cell r="BD561" t="str">
            <v>CONFORM</v>
          </cell>
          <cell r="BE561" t="str">
            <v>CONFORM</v>
          </cell>
          <cell r="BF561" t="str">
            <v>CONFORM</v>
          </cell>
        </row>
        <row r="562">
          <cell r="A562">
            <v>43971</v>
          </cell>
          <cell r="B562" t="str">
            <v>D2005096-2</v>
          </cell>
          <cell r="C562" t="str">
            <v>047/20</v>
          </cell>
          <cell r="D562">
            <v>1</v>
          </cell>
          <cell r="E562">
            <v>43971</v>
          </cell>
          <cell r="F562" t="str">
            <v>DC</v>
          </cell>
          <cell r="G562" t="str">
            <v>On Time</v>
          </cell>
          <cell r="H562">
            <v>2407517704</v>
          </cell>
          <cell r="I562">
            <v>43971</v>
          </cell>
          <cell r="J562" t="str">
            <v>TKM</v>
          </cell>
          <cell r="K562" t="str">
            <v>D2005096</v>
          </cell>
          <cell r="L562">
            <v>2</v>
          </cell>
          <cell r="M562" t="str">
            <v>AAD01344</v>
          </cell>
          <cell r="N562">
            <v>860411</v>
          </cell>
          <cell r="O562" t="str">
            <v xml:space="preserve">1.4306 TP304L </v>
          </cell>
          <cell r="P562" t="str">
            <v>304L</v>
          </cell>
          <cell r="Q562">
            <v>6.1689999999999996</v>
          </cell>
          <cell r="S562">
            <v>7.9000000000000001E-2</v>
          </cell>
          <cell r="T562">
            <v>7.8E-2</v>
          </cell>
          <cell r="V562">
            <v>7.8E-2</v>
          </cell>
          <cell r="X562">
            <v>2790</v>
          </cell>
          <cell r="Y562">
            <v>1</v>
          </cell>
          <cell r="Z562">
            <v>452.26130653266335</v>
          </cell>
          <cell r="AA562" t="str">
            <v>6.169X0.079-304L</v>
          </cell>
          <cell r="AB562" t="str">
            <v>WAAC015670200B300092</v>
          </cell>
          <cell r="AC562" t="str">
            <v>D2005096</v>
          </cell>
          <cell r="AD562">
            <v>860411</v>
          </cell>
          <cell r="AE562">
            <v>2.1000000000000001E-2</v>
          </cell>
          <cell r="AF562">
            <v>1.66</v>
          </cell>
          <cell r="AG562">
            <v>3.1E-2</v>
          </cell>
          <cell r="AH562">
            <v>0</v>
          </cell>
          <cell r="AI562">
            <v>0.49</v>
          </cell>
          <cell r="AJ562">
            <v>19.100000000000001</v>
          </cell>
          <cell r="AK562">
            <v>8.1999999999999993</v>
          </cell>
          <cell r="AL562">
            <v>7.0000000000000007E-2</v>
          </cell>
          <cell r="AM562">
            <v>0.46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0.57999999999999996</v>
          </cell>
          <cell r="AS562">
            <v>0</v>
          </cell>
          <cell r="AT562">
            <v>298</v>
          </cell>
          <cell r="AU562">
            <v>0</v>
          </cell>
          <cell r="AV562">
            <v>627</v>
          </cell>
          <cell r="AW562">
            <v>58</v>
          </cell>
          <cell r="AX562">
            <v>82</v>
          </cell>
          <cell r="AY562">
            <v>156</v>
          </cell>
          <cell r="AZ562">
            <v>1.6</v>
          </cell>
          <cell r="BA562" t="str">
            <v>D2005096</v>
          </cell>
          <cell r="BB562" t="str">
            <v>CONFORM</v>
          </cell>
          <cell r="BC562" t="str">
            <v>CONFORM</v>
          </cell>
          <cell r="BD562" t="str">
            <v>CONFORM</v>
          </cell>
          <cell r="BE562" t="str">
            <v>CONFORM</v>
          </cell>
          <cell r="BF562" t="str">
            <v>CONFORM</v>
          </cell>
        </row>
        <row r="563">
          <cell r="A563">
            <v>43971</v>
          </cell>
          <cell r="B563" t="str">
            <v>D2005096-3</v>
          </cell>
          <cell r="C563" t="str">
            <v>047/20</v>
          </cell>
          <cell r="D563">
            <v>1</v>
          </cell>
          <cell r="E563">
            <v>43971</v>
          </cell>
          <cell r="F563" t="str">
            <v>DC</v>
          </cell>
          <cell r="G563" t="str">
            <v>On Time</v>
          </cell>
          <cell r="H563">
            <v>2407517704</v>
          </cell>
          <cell r="I563">
            <v>43971</v>
          </cell>
          <cell r="J563" t="str">
            <v>TKM</v>
          </cell>
          <cell r="K563" t="str">
            <v>D2005096</v>
          </cell>
          <cell r="L563">
            <v>3</v>
          </cell>
          <cell r="M563" t="str">
            <v>AAD01344</v>
          </cell>
          <cell r="N563">
            <v>860411</v>
          </cell>
          <cell r="O563" t="str">
            <v xml:space="preserve">1.4306 TP304L </v>
          </cell>
          <cell r="P563" t="str">
            <v>304L</v>
          </cell>
          <cell r="Q563">
            <v>6.1689999999999996</v>
          </cell>
          <cell r="S563">
            <v>7.9000000000000001E-2</v>
          </cell>
          <cell r="T563">
            <v>7.8E-2</v>
          </cell>
          <cell r="V563">
            <v>7.8E-2</v>
          </cell>
          <cell r="X563">
            <v>2802</v>
          </cell>
          <cell r="Y563">
            <v>1</v>
          </cell>
          <cell r="Z563">
            <v>454.20651645323392</v>
          </cell>
          <cell r="AA563" t="str">
            <v>6.169X0.079-304L</v>
          </cell>
          <cell r="AB563" t="str">
            <v>WAAC015670200B300092</v>
          </cell>
          <cell r="AC563" t="str">
            <v>D2005096</v>
          </cell>
          <cell r="AD563">
            <v>860411</v>
          </cell>
          <cell r="AE563">
            <v>2.1000000000000001E-2</v>
          </cell>
          <cell r="AF563">
            <v>1.66</v>
          </cell>
          <cell r="AG563">
            <v>3.1E-2</v>
          </cell>
          <cell r="AH563">
            <v>0</v>
          </cell>
          <cell r="AI563">
            <v>0.49</v>
          </cell>
          <cell r="AJ563">
            <v>19.100000000000001</v>
          </cell>
          <cell r="AK563">
            <v>8.1999999999999993</v>
          </cell>
          <cell r="AL563">
            <v>7.0000000000000007E-2</v>
          </cell>
          <cell r="AM563">
            <v>0.46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0.57999999999999996</v>
          </cell>
          <cell r="AS563">
            <v>0</v>
          </cell>
          <cell r="AT563">
            <v>298</v>
          </cell>
          <cell r="AU563">
            <v>0</v>
          </cell>
          <cell r="AV563">
            <v>627</v>
          </cell>
          <cell r="AW563">
            <v>58</v>
          </cell>
          <cell r="AX563">
            <v>82</v>
          </cell>
          <cell r="AY563">
            <v>156</v>
          </cell>
          <cell r="AZ563">
            <v>1.6</v>
          </cell>
          <cell r="BA563" t="str">
            <v>D2005096</v>
          </cell>
          <cell r="BB563" t="str">
            <v>CONFORM</v>
          </cell>
          <cell r="BC563" t="str">
            <v>CONFORM</v>
          </cell>
          <cell r="BD563" t="str">
            <v>CONFORM</v>
          </cell>
          <cell r="BE563" t="str">
            <v>CONFORM</v>
          </cell>
          <cell r="BF563" t="str">
            <v>CONFORM</v>
          </cell>
        </row>
        <row r="564">
          <cell r="A564">
            <v>43971</v>
          </cell>
          <cell r="B564" t="str">
            <v>D2005096-4</v>
          </cell>
          <cell r="C564" t="str">
            <v>047/20</v>
          </cell>
          <cell r="D564">
            <v>1</v>
          </cell>
          <cell r="E564">
            <v>43971</v>
          </cell>
          <cell r="F564" t="str">
            <v>DC</v>
          </cell>
          <cell r="G564" t="str">
            <v>On Time</v>
          </cell>
          <cell r="H564">
            <v>2407517704</v>
          </cell>
          <cell r="I564">
            <v>43971</v>
          </cell>
          <cell r="J564" t="str">
            <v>TKM</v>
          </cell>
          <cell r="K564" t="str">
            <v>D2005096</v>
          </cell>
          <cell r="L564">
            <v>4</v>
          </cell>
          <cell r="M564" t="str">
            <v>AAD01344</v>
          </cell>
          <cell r="N564">
            <v>860411</v>
          </cell>
          <cell r="O564" t="str">
            <v xml:space="preserve">1.4306 TP304L </v>
          </cell>
          <cell r="P564" t="str">
            <v>304L</v>
          </cell>
          <cell r="Q564">
            <v>6.1689999999999996</v>
          </cell>
          <cell r="S564">
            <v>7.9000000000000001E-2</v>
          </cell>
          <cell r="T564">
            <v>7.8E-2</v>
          </cell>
          <cell r="V564">
            <v>7.8E-2</v>
          </cell>
          <cell r="X564">
            <v>2775</v>
          </cell>
          <cell r="Y564">
            <v>1</v>
          </cell>
          <cell r="Z564">
            <v>449.82979413195011</v>
          </cell>
          <cell r="AA564" t="str">
            <v>6.169X0.079-304L</v>
          </cell>
          <cell r="AB564" t="str">
            <v>WAAC015670200B300092</v>
          </cell>
          <cell r="AC564" t="str">
            <v>D2005096</v>
          </cell>
          <cell r="AD564">
            <v>860411</v>
          </cell>
          <cell r="AE564">
            <v>2.1000000000000001E-2</v>
          </cell>
          <cell r="AF564">
            <v>1.66</v>
          </cell>
          <cell r="AG564">
            <v>3.1E-2</v>
          </cell>
          <cell r="AH564">
            <v>0</v>
          </cell>
          <cell r="AI564">
            <v>0.49</v>
          </cell>
          <cell r="AJ564">
            <v>19.100000000000001</v>
          </cell>
          <cell r="AK564">
            <v>8.1999999999999993</v>
          </cell>
          <cell r="AL564">
            <v>7.0000000000000007E-2</v>
          </cell>
          <cell r="AM564">
            <v>0.46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0.57999999999999996</v>
          </cell>
          <cell r="AS564">
            <v>0</v>
          </cell>
          <cell r="AT564">
            <v>298</v>
          </cell>
          <cell r="AU564">
            <v>0</v>
          </cell>
          <cell r="AV564">
            <v>627</v>
          </cell>
          <cell r="AW564">
            <v>58</v>
          </cell>
          <cell r="AX564">
            <v>82</v>
          </cell>
          <cell r="AY564">
            <v>156</v>
          </cell>
          <cell r="AZ564">
            <v>1.6</v>
          </cell>
          <cell r="BA564" t="str">
            <v>D2005096</v>
          </cell>
          <cell r="BB564" t="str">
            <v>CONFORM</v>
          </cell>
          <cell r="BC564" t="str">
            <v>CONFORM</v>
          </cell>
          <cell r="BD564" t="str">
            <v>CONFORM</v>
          </cell>
          <cell r="BE564" t="str">
            <v>CONFORM</v>
          </cell>
          <cell r="BF564" t="str">
            <v>CONFORM</v>
          </cell>
        </row>
        <row r="565">
          <cell r="A565">
            <v>43979</v>
          </cell>
          <cell r="B565" t="str">
            <v>D2005127-1</v>
          </cell>
          <cell r="C565" t="str">
            <v>031/20</v>
          </cell>
          <cell r="D565">
            <v>1</v>
          </cell>
          <cell r="E565">
            <v>43971</v>
          </cell>
          <cell r="F565" t="str">
            <v>DC</v>
          </cell>
          <cell r="G565" t="str">
            <v>Late</v>
          </cell>
          <cell r="H565" t="str">
            <v>L380115</v>
          </cell>
          <cell r="I565">
            <v>43978</v>
          </cell>
          <cell r="J565" t="str">
            <v>ATI</v>
          </cell>
          <cell r="K565" t="str">
            <v>D2005127</v>
          </cell>
          <cell r="L565">
            <v>1</v>
          </cell>
          <cell r="M565" t="str">
            <v>AAD03979</v>
          </cell>
          <cell r="N565">
            <v>860569</v>
          </cell>
          <cell r="O565" t="str">
            <v xml:space="preserve">1.4462 UNS S31803/S32205 </v>
          </cell>
          <cell r="P565" t="str">
            <v>2205</v>
          </cell>
          <cell r="Q565">
            <v>3.0710000000000002</v>
          </cell>
          <cell r="S565">
            <v>6.3E-2</v>
          </cell>
          <cell r="V565" t="str">
            <v/>
          </cell>
          <cell r="X565">
            <v>3820</v>
          </cell>
          <cell r="Y565">
            <v>2</v>
          </cell>
          <cell r="Z565">
            <v>621.94724845327255</v>
          </cell>
          <cell r="AA565" t="str">
            <v>3.071X0.063-2205</v>
          </cell>
          <cell r="AB565" t="str">
            <v>WACN007800160B300055</v>
          </cell>
          <cell r="AC565" t="str">
            <v>D2005127</v>
          </cell>
          <cell r="AD565">
            <v>860569</v>
          </cell>
          <cell r="AE565">
            <v>1.6E-2</v>
          </cell>
          <cell r="AF565">
            <v>1.74</v>
          </cell>
          <cell r="AG565">
            <v>2.5999999999999999E-2</v>
          </cell>
          <cell r="AH565">
            <v>0</v>
          </cell>
          <cell r="AI565">
            <v>0.52</v>
          </cell>
          <cell r="AJ565">
            <v>22.2</v>
          </cell>
          <cell r="AK565">
            <v>5.5</v>
          </cell>
          <cell r="AL565">
            <v>0.17</v>
          </cell>
          <cell r="AM565">
            <v>3.18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658</v>
          </cell>
          <cell r="AU565">
            <v>0</v>
          </cell>
          <cell r="AV565">
            <v>869</v>
          </cell>
          <cell r="AW565">
            <v>27</v>
          </cell>
          <cell r="AX565">
            <v>24</v>
          </cell>
          <cell r="AY565">
            <v>260</v>
          </cell>
          <cell r="AZ565">
            <v>2.11</v>
          </cell>
          <cell r="BA565" t="str">
            <v>D2005127</v>
          </cell>
          <cell r="BB565" t="str">
            <v>CONFORM</v>
          </cell>
          <cell r="BC565" t="str">
            <v>CONFORM</v>
          </cell>
          <cell r="BD565" t="str">
            <v>CONFORM</v>
          </cell>
          <cell r="BE565" t="str">
            <v>CONFORM</v>
          </cell>
          <cell r="BF565" t="str">
            <v>CONFORM</v>
          </cell>
        </row>
        <row r="566">
          <cell r="A566">
            <v>43979</v>
          </cell>
          <cell r="B566" t="str">
            <v>D2005127-2</v>
          </cell>
          <cell r="C566" t="str">
            <v>031/20</v>
          </cell>
          <cell r="D566">
            <v>1</v>
          </cell>
          <cell r="E566">
            <v>43971</v>
          </cell>
          <cell r="F566" t="str">
            <v>DC</v>
          </cell>
          <cell r="G566" t="str">
            <v>Late</v>
          </cell>
          <cell r="H566" t="str">
            <v>L380115</v>
          </cell>
          <cell r="I566">
            <v>43978</v>
          </cell>
          <cell r="J566" t="str">
            <v>ATI</v>
          </cell>
          <cell r="K566" t="str">
            <v>D2005127</v>
          </cell>
          <cell r="L566">
            <v>2</v>
          </cell>
          <cell r="M566" t="str">
            <v>AAD03979</v>
          </cell>
          <cell r="N566">
            <v>860569</v>
          </cell>
          <cell r="O566" t="str">
            <v xml:space="preserve">1.4462 UNS S31803/S32205 </v>
          </cell>
          <cell r="P566" t="str">
            <v>2205</v>
          </cell>
          <cell r="Q566">
            <v>3.0710000000000002</v>
          </cell>
          <cell r="S566">
            <v>6.3E-2</v>
          </cell>
          <cell r="V566" t="str">
            <v/>
          </cell>
          <cell r="X566">
            <v>3820</v>
          </cell>
          <cell r="Y566">
            <v>2</v>
          </cell>
          <cell r="Z566">
            <v>621.94724845327255</v>
          </cell>
          <cell r="AA566" t="str">
            <v>3.071X0.063-2205</v>
          </cell>
          <cell r="AB566" t="str">
            <v>WACN007800160B300055</v>
          </cell>
          <cell r="AC566" t="str">
            <v>D2005127</v>
          </cell>
          <cell r="AD566">
            <v>860569</v>
          </cell>
          <cell r="AE566">
            <v>1.6E-2</v>
          </cell>
          <cell r="AF566">
            <v>1.74</v>
          </cell>
          <cell r="AG566">
            <v>2.5999999999999999E-2</v>
          </cell>
          <cell r="AH566">
            <v>0</v>
          </cell>
          <cell r="AI566">
            <v>0.52</v>
          </cell>
          <cell r="AJ566">
            <v>22.2</v>
          </cell>
          <cell r="AK566">
            <v>5.5</v>
          </cell>
          <cell r="AL566">
            <v>0.17</v>
          </cell>
          <cell r="AM566">
            <v>3.18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658</v>
          </cell>
          <cell r="AU566">
            <v>0</v>
          </cell>
          <cell r="AV566">
            <v>869</v>
          </cell>
          <cell r="AW566">
            <v>27</v>
          </cell>
          <cell r="AX566">
            <v>24</v>
          </cell>
          <cell r="AY566">
            <v>260</v>
          </cell>
          <cell r="AZ566">
            <v>2.11</v>
          </cell>
          <cell r="BA566" t="str">
            <v>D2005127</v>
          </cell>
          <cell r="BB566" t="str">
            <v>CONFORM</v>
          </cell>
          <cell r="BC566" t="str">
            <v>CONFORM</v>
          </cell>
          <cell r="BD566" t="str">
            <v>CONFORM</v>
          </cell>
          <cell r="BE566" t="str">
            <v>CONFORM</v>
          </cell>
          <cell r="BF566" t="str">
            <v>CONFORM</v>
          </cell>
        </row>
        <row r="567">
          <cell r="A567">
            <v>43979</v>
          </cell>
          <cell r="B567" t="str">
            <v>D2005127-3</v>
          </cell>
          <cell r="C567" t="str">
            <v>031/20</v>
          </cell>
          <cell r="D567">
            <v>1</v>
          </cell>
          <cell r="E567">
            <v>43971</v>
          </cell>
          <cell r="F567" t="str">
            <v>DC</v>
          </cell>
          <cell r="G567" t="str">
            <v>Late</v>
          </cell>
          <cell r="H567" t="str">
            <v>L380115</v>
          </cell>
          <cell r="I567">
            <v>43978</v>
          </cell>
          <cell r="J567" t="str">
            <v>ATI</v>
          </cell>
          <cell r="K567" t="str">
            <v>D2005127</v>
          </cell>
          <cell r="L567">
            <v>3</v>
          </cell>
          <cell r="M567" t="str">
            <v>AAD03979</v>
          </cell>
          <cell r="N567">
            <v>860569</v>
          </cell>
          <cell r="O567" t="str">
            <v xml:space="preserve">1.4462 UNS S31803/S32205 </v>
          </cell>
          <cell r="P567" t="str">
            <v>2205</v>
          </cell>
          <cell r="Q567">
            <v>3.0710000000000002</v>
          </cell>
          <cell r="S567">
            <v>6.3E-2</v>
          </cell>
          <cell r="V567" t="str">
            <v/>
          </cell>
          <cell r="X567">
            <v>3820</v>
          </cell>
          <cell r="Y567">
            <v>2</v>
          </cell>
          <cell r="Z567">
            <v>621.94724845327255</v>
          </cell>
          <cell r="AA567" t="str">
            <v>3.071X0.063-2205</v>
          </cell>
          <cell r="AB567" t="str">
            <v>WACN007800160B300055</v>
          </cell>
          <cell r="AC567" t="str">
            <v>D2005127</v>
          </cell>
          <cell r="AD567">
            <v>860569</v>
          </cell>
          <cell r="AE567">
            <v>1.6E-2</v>
          </cell>
          <cell r="AF567">
            <v>1.74</v>
          </cell>
          <cell r="AG567">
            <v>2.5999999999999999E-2</v>
          </cell>
          <cell r="AH567">
            <v>0</v>
          </cell>
          <cell r="AI567">
            <v>0.52</v>
          </cell>
          <cell r="AJ567">
            <v>22.2</v>
          </cell>
          <cell r="AK567">
            <v>5.5</v>
          </cell>
          <cell r="AL567">
            <v>0.17</v>
          </cell>
          <cell r="AM567">
            <v>3.18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658</v>
          </cell>
          <cell r="AU567">
            <v>0</v>
          </cell>
          <cell r="AV567">
            <v>869</v>
          </cell>
          <cell r="AW567">
            <v>27</v>
          </cell>
          <cell r="AX567">
            <v>24</v>
          </cell>
          <cell r="AY567">
            <v>260</v>
          </cell>
          <cell r="AZ567">
            <v>2.11</v>
          </cell>
          <cell r="BA567" t="str">
            <v>D2005127</v>
          </cell>
          <cell r="BB567" t="str">
            <v>CONFORM</v>
          </cell>
          <cell r="BC567" t="str">
            <v>CONFORM</v>
          </cell>
          <cell r="BD567" t="str">
            <v>CONFORM</v>
          </cell>
          <cell r="BE567" t="str">
            <v>CONFORM</v>
          </cell>
          <cell r="BF567" t="str">
            <v>CONFORM</v>
          </cell>
        </row>
        <row r="568">
          <cell r="A568">
            <v>43979</v>
          </cell>
          <cell r="B568" t="str">
            <v>D2005127-4</v>
          </cell>
          <cell r="C568" t="str">
            <v>031/20</v>
          </cell>
          <cell r="D568">
            <v>1</v>
          </cell>
          <cell r="E568">
            <v>43971</v>
          </cell>
          <cell r="F568" t="str">
            <v>DC</v>
          </cell>
          <cell r="G568" t="str">
            <v>Late</v>
          </cell>
          <cell r="H568" t="str">
            <v>L380115</v>
          </cell>
          <cell r="I568">
            <v>43978</v>
          </cell>
          <cell r="J568" t="str">
            <v>ATI</v>
          </cell>
          <cell r="K568" t="str">
            <v>D2005127</v>
          </cell>
          <cell r="L568">
            <v>4</v>
          </cell>
          <cell r="M568" t="str">
            <v>AAD03979</v>
          </cell>
          <cell r="N568">
            <v>860569</v>
          </cell>
          <cell r="O568" t="str">
            <v xml:space="preserve">1.4462 UNS S31803/S32205 </v>
          </cell>
          <cell r="P568" t="str">
            <v>2205</v>
          </cell>
          <cell r="Q568">
            <v>3.0710000000000002</v>
          </cell>
          <cell r="S568">
            <v>6.3E-2</v>
          </cell>
          <cell r="V568" t="str">
            <v/>
          </cell>
          <cell r="X568">
            <v>3820</v>
          </cell>
          <cell r="Y568">
            <v>2</v>
          </cell>
          <cell r="Z568">
            <v>621.94724845327255</v>
          </cell>
          <cell r="AA568" t="str">
            <v>3.071X0.063-2205</v>
          </cell>
          <cell r="AB568" t="str">
            <v>WACN007800160B300055</v>
          </cell>
          <cell r="AC568" t="str">
            <v>D2005127</v>
          </cell>
          <cell r="AD568">
            <v>860569</v>
          </cell>
          <cell r="AE568">
            <v>1.6E-2</v>
          </cell>
          <cell r="AF568">
            <v>1.74</v>
          </cell>
          <cell r="AG568">
            <v>2.5999999999999999E-2</v>
          </cell>
          <cell r="AH568">
            <v>0</v>
          </cell>
          <cell r="AI568">
            <v>0.52</v>
          </cell>
          <cell r="AJ568">
            <v>22.2</v>
          </cell>
          <cell r="AK568">
            <v>5.5</v>
          </cell>
          <cell r="AL568">
            <v>0.17</v>
          </cell>
          <cell r="AM568">
            <v>3.18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658</v>
          </cell>
          <cell r="AU568">
            <v>0</v>
          </cell>
          <cell r="AV568">
            <v>869</v>
          </cell>
          <cell r="AW568">
            <v>27</v>
          </cell>
          <cell r="AX568">
            <v>24</v>
          </cell>
          <cell r="AY568">
            <v>260</v>
          </cell>
          <cell r="AZ568">
            <v>2.11</v>
          </cell>
          <cell r="BA568" t="str">
            <v>D2005127</v>
          </cell>
          <cell r="BB568" t="str">
            <v>CONFORM</v>
          </cell>
          <cell r="BC568" t="str">
            <v>CONFORM</v>
          </cell>
          <cell r="BD568" t="str">
            <v>CONFORM</v>
          </cell>
          <cell r="BE568" t="str">
            <v>CONFORM</v>
          </cell>
          <cell r="BF568" t="str">
            <v>CONFORM</v>
          </cell>
        </row>
        <row r="569">
          <cell r="A569">
            <v>43980</v>
          </cell>
          <cell r="B569" t="str">
            <v>D2005134-1</v>
          </cell>
          <cell r="C569" t="str">
            <v>054/20</v>
          </cell>
          <cell r="D569">
            <v>1</v>
          </cell>
          <cell r="E569">
            <v>43980</v>
          </cell>
          <cell r="F569" t="str">
            <v>DC</v>
          </cell>
          <cell r="G569" t="str">
            <v>On Time</v>
          </cell>
          <cell r="H569">
            <v>2407531628</v>
          </cell>
          <cell r="I569">
            <v>43979</v>
          </cell>
          <cell r="J569" t="str">
            <v>TKM</v>
          </cell>
          <cell r="K569" t="str">
            <v>D2005134</v>
          </cell>
          <cell r="L569">
            <v>1</v>
          </cell>
          <cell r="M569" t="str">
            <v>05F61Y</v>
          </cell>
          <cell r="N569" t="str">
            <v>F61Y</v>
          </cell>
          <cell r="O569" t="str">
            <v xml:space="preserve">1.4401/1.4404 TP316/316L </v>
          </cell>
          <cell r="P569" t="str">
            <v>316L</v>
          </cell>
          <cell r="Q569">
            <v>3.0670000000000002</v>
          </cell>
          <cell r="S569">
            <v>6.3E-2</v>
          </cell>
          <cell r="V569" t="str">
            <v/>
          </cell>
          <cell r="X569">
            <v>2770</v>
          </cell>
          <cell r="Y569">
            <v>3</v>
          </cell>
          <cell r="Z569">
            <v>301.05423323551787</v>
          </cell>
          <cell r="AA569" t="str">
            <v>3.067X0.063-316L</v>
          </cell>
          <cell r="AB569" t="str">
            <v>WAAF007790160B300090</v>
          </cell>
          <cell r="AC569" t="str">
            <v>D2005134</v>
          </cell>
          <cell r="AD569" t="str">
            <v>F61Y</v>
          </cell>
          <cell r="AE569">
            <v>1.6E-2</v>
          </cell>
          <cell r="AF569">
            <v>1.22</v>
          </cell>
          <cell r="AG569">
            <v>2.9000000000000001E-2</v>
          </cell>
          <cell r="AH569">
            <v>1E-3</v>
          </cell>
          <cell r="AI569">
            <v>0.33</v>
          </cell>
          <cell r="AJ569">
            <v>17</v>
          </cell>
          <cell r="AK569">
            <v>10.199999999999999</v>
          </cell>
          <cell r="AL569">
            <v>0.05</v>
          </cell>
          <cell r="AM569">
            <v>2.0299999999999998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0.4</v>
          </cell>
          <cell r="AS569">
            <v>0</v>
          </cell>
          <cell r="AT569">
            <v>308</v>
          </cell>
          <cell r="AU569">
            <v>0</v>
          </cell>
          <cell r="AV569">
            <v>638</v>
          </cell>
          <cell r="AW569">
            <v>50</v>
          </cell>
          <cell r="AX569">
            <v>81</v>
          </cell>
          <cell r="AY569">
            <v>153</v>
          </cell>
          <cell r="AZ569">
            <v>1.72</v>
          </cell>
          <cell r="BA569" t="str">
            <v>D2005134</v>
          </cell>
          <cell r="BB569" t="str">
            <v>CONFORM</v>
          </cell>
          <cell r="BC569" t="str">
            <v>CONFORM</v>
          </cell>
          <cell r="BD569" t="str">
            <v>CONFORM</v>
          </cell>
          <cell r="BE569" t="str">
            <v>CONFORM</v>
          </cell>
          <cell r="BF569" t="str">
            <v>CONFORM</v>
          </cell>
        </row>
        <row r="570">
          <cell r="A570">
            <v>43980</v>
          </cell>
          <cell r="B570" t="str">
            <v>D2005134-2</v>
          </cell>
          <cell r="C570" t="str">
            <v>054/20</v>
          </cell>
          <cell r="D570">
            <v>1</v>
          </cell>
          <cell r="E570">
            <v>43980</v>
          </cell>
          <cell r="F570" t="str">
            <v>DC</v>
          </cell>
          <cell r="G570" t="str">
            <v>On Time</v>
          </cell>
          <cell r="H570">
            <v>2407531628</v>
          </cell>
          <cell r="I570">
            <v>43979</v>
          </cell>
          <cell r="J570" t="str">
            <v>TKM</v>
          </cell>
          <cell r="K570" t="str">
            <v>D2005134</v>
          </cell>
          <cell r="L570">
            <v>2</v>
          </cell>
          <cell r="M570" t="str">
            <v>05F61Y</v>
          </cell>
          <cell r="N570" t="str">
            <v>F61Y</v>
          </cell>
          <cell r="O570" t="str">
            <v xml:space="preserve">1.4401/1.4404 TP316/316L </v>
          </cell>
          <cell r="P570" t="str">
            <v>316L</v>
          </cell>
          <cell r="Q570">
            <v>3.0670000000000002</v>
          </cell>
          <cell r="S570">
            <v>6.3E-2</v>
          </cell>
          <cell r="V570" t="str">
            <v/>
          </cell>
          <cell r="X570">
            <v>5556</v>
          </cell>
          <cell r="Y570">
            <v>6</v>
          </cell>
          <cell r="Z570">
            <v>301.92370394522334</v>
          </cell>
          <cell r="AA570" t="str">
            <v>3.067X0.063-316L</v>
          </cell>
          <cell r="AB570" t="str">
            <v>WAAF007790160B300090</v>
          </cell>
          <cell r="AC570" t="str">
            <v>D2005134</v>
          </cell>
          <cell r="AD570" t="str">
            <v>F61Y</v>
          </cell>
          <cell r="AE570">
            <v>1.6E-2</v>
          </cell>
          <cell r="AF570">
            <v>1.22</v>
          </cell>
          <cell r="AG570">
            <v>2.9000000000000001E-2</v>
          </cell>
          <cell r="AH570">
            <v>1E-3</v>
          </cell>
          <cell r="AI570">
            <v>0.33</v>
          </cell>
          <cell r="AJ570">
            <v>17</v>
          </cell>
          <cell r="AK570">
            <v>10.199999999999999</v>
          </cell>
          <cell r="AL570">
            <v>0.05</v>
          </cell>
          <cell r="AM570">
            <v>2.0299999999999998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0.4</v>
          </cell>
          <cell r="AS570">
            <v>0</v>
          </cell>
          <cell r="AT570">
            <v>308</v>
          </cell>
          <cell r="AU570">
            <v>0</v>
          </cell>
          <cell r="AV570">
            <v>638</v>
          </cell>
          <cell r="AW570">
            <v>50</v>
          </cell>
          <cell r="AX570">
            <v>81</v>
          </cell>
          <cell r="AY570">
            <v>153</v>
          </cell>
          <cell r="AZ570">
            <v>1.72</v>
          </cell>
          <cell r="BA570" t="str">
            <v>D2005134</v>
          </cell>
          <cell r="BB570" t="str">
            <v>CONFORM</v>
          </cell>
          <cell r="BC570" t="str">
            <v>CONFORM</v>
          </cell>
          <cell r="BD570" t="str">
            <v>CONFORM</v>
          </cell>
          <cell r="BE570" t="str">
            <v>CONFORM</v>
          </cell>
          <cell r="BF570" t="str">
            <v>CONFORM</v>
          </cell>
        </row>
        <row r="571">
          <cell r="A571">
            <v>43980</v>
          </cell>
          <cell r="B571" t="str">
            <v>D2005134-3</v>
          </cell>
          <cell r="C571" t="str">
            <v>054/20</v>
          </cell>
          <cell r="D571">
            <v>1</v>
          </cell>
          <cell r="E571">
            <v>43980</v>
          </cell>
          <cell r="F571" t="str">
            <v>DC</v>
          </cell>
          <cell r="G571" t="str">
            <v>On Time</v>
          </cell>
          <cell r="H571">
            <v>2407531628</v>
          </cell>
          <cell r="I571">
            <v>43979</v>
          </cell>
          <cell r="J571" t="str">
            <v>TKM</v>
          </cell>
          <cell r="K571" t="str">
            <v>D2005134</v>
          </cell>
          <cell r="L571">
            <v>3</v>
          </cell>
          <cell r="M571" t="str">
            <v>05F61Y</v>
          </cell>
          <cell r="N571" t="str">
            <v>F61Y</v>
          </cell>
          <cell r="O571" t="str">
            <v xml:space="preserve">1.4401/1.4404 TP316/316L </v>
          </cell>
          <cell r="P571" t="str">
            <v>316L</v>
          </cell>
          <cell r="Q571">
            <v>3.0670000000000002</v>
          </cell>
          <cell r="S571">
            <v>6.3E-2</v>
          </cell>
          <cell r="V571" t="str">
            <v/>
          </cell>
          <cell r="X571">
            <v>5556</v>
          </cell>
          <cell r="Y571">
            <v>6</v>
          </cell>
          <cell r="Z571">
            <v>301.92370394522334</v>
          </cell>
          <cell r="AA571" t="str">
            <v>3.067X0.063-316L</v>
          </cell>
          <cell r="AB571" t="str">
            <v>WAAF007790160B300090</v>
          </cell>
          <cell r="AC571" t="str">
            <v>D2005134</v>
          </cell>
          <cell r="AD571" t="str">
            <v>F61Y</v>
          </cell>
          <cell r="AE571">
            <v>1.6E-2</v>
          </cell>
          <cell r="AF571">
            <v>1.22</v>
          </cell>
          <cell r="AG571">
            <v>2.9000000000000001E-2</v>
          </cell>
          <cell r="AH571">
            <v>1E-3</v>
          </cell>
          <cell r="AI571">
            <v>0.33</v>
          </cell>
          <cell r="AJ571">
            <v>17</v>
          </cell>
          <cell r="AK571">
            <v>10.199999999999999</v>
          </cell>
          <cell r="AL571">
            <v>0.05</v>
          </cell>
          <cell r="AM571">
            <v>2.0299999999999998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0.4</v>
          </cell>
          <cell r="AS571">
            <v>0</v>
          </cell>
          <cell r="AT571">
            <v>308</v>
          </cell>
          <cell r="AU571">
            <v>0</v>
          </cell>
          <cell r="AV571">
            <v>638</v>
          </cell>
          <cell r="AW571">
            <v>50</v>
          </cell>
          <cell r="AX571">
            <v>81</v>
          </cell>
          <cell r="AY571">
            <v>153</v>
          </cell>
          <cell r="AZ571">
            <v>1.72</v>
          </cell>
          <cell r="BA571" t="str">
            <v>D2005134</v>
          </cell>
          <cell r="BB571" t="str">
            <v>CONFORM</v>
          </cell>
          <cell r="BC571" t="str">
            <v>CONFORM</v>
          </cell>
          <cell r="BD571" t="str">
            <v>CONFORM</v>
          </cell>
          <cell r="BE571" t="str">
            <v>CONFORM</v>
          </cell>
          <cell r="BF571" t="str">
            <v>CONFORM</v>
          </cell>
        </row>
        <row r="572">
          <cell r="A572">
            <v>43978</v>
          </cell>
          <cell r="B572" t="str">
            <v>D2005135-1</v>
          </cell>
          <cell r="C572" t="str">
            <v>052/20</v>
          </cell>
          <cell r="D572">
            <v>1</v>
          </cell>
          <cell r="E572">
            <v>43978</v>
          </cell>
          <cell r="F572" t="str">
            <v>DC</v>
          </cell>
          <cell r="G572" t="str">
            <v>On Time</v>
          </cell>
          <cell r="H572">
            <v>20200527014</v>
          </cell>
          <cell r="I572">
            <v>43978</v>
          </cell>
          <cell r="J572" t="str">
            <v>COILPLUS</v>
          </cell>
          <cell r="K572" t="str">
            <v>D2005135</v>
          </cell>
          <cell r="L572">
            <v>1</v>
          </cell>
          <cell r="M572" t="str">
            <v>A270810</v>
          </cell>
          <cell r="N572">
            <v>528563</v>
          </cell>
          <cell r="O572" t="str">
            <v xml:space="preserve">1.4306 TP304L </v>
          </cell>
          <cell r="P572" t="str">
            <v>304L</v>
          </cell>
          <cell r="Q572">
            <v>2.323</v>
          </cell>
          <cell r="S572">
            <v>4.7E-2</v>
          </cell>
          <cell r="T572">
            <v>4.2999999999999997E-2</v>
          </cell>
          <cell r="V572">
            <v>4.2999999999999997E-2</v>
          </cell>
          <cell r="X572">
            <v>3573</v>
          </cell>
          <cell r="Y572">
            <v>5</v>
          </cell>
          <cell r="Z572">
            <v>307.61945759793372</v>
          </cell>
          <cell r="AA572" t="str">
            <v>2.323X0.047-304L</v>
          </cell>
          <cell r="AB572" t="str">
            <v>WAAC005900120B300050</v>
          </cell>
          <cell r="AC572" t="str">
            <v>D2005135</v>
          </cell>
          <cell r="AD572">
            <v>528563</v>
          </cell>
          <cell r="AE572">
            <v>2.3E-2</v>
          </cell>
          <cell r="AF572">
            <v>1.31</v>
          </cell>
          <cell r="AG572">
            <v>3.2000000000000001E-2</v>
          </cell>
          <cell r="AH572">
            <v>1E-3</v>
          </cell>
          <cell r="AI572">
            <v>0.33</v>
          </cell>
          <cell r="AJ572">
            <v>18.100000000000001</v>
          </cell>
          <cell r="AK572">
            <v>8</v>
          </cell>
          <cell r="AL572">
            <v>0</v>
          </cell>
          <cell r="AM572">
            <v>0.35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0.45</v>
          </cell>
          <cell r="AS572">
            <v>0</v>
          </cell>
          <cell r="AT572">
            <v>294</v>
          </cell>
          <cell r="AU572">
            <v>0</v>
          </cell>
          <cell r="AV572">
            <v>653</v>
          </cell>
          <cell r="AW572">
            <v>57</v>
          </cell>
          <cell r="AX572">
            <v>82</v>
          </cell>
          <cell r="AY572">
            <v>156</v>
          </cell>
          <cell r="AZ572">
            <v>8.5000000000000006E-2</v>
          </cell>
          <cell r="BA572" t="str">
            <v>D2005135</v>
          </cell>
          <cell r="BB572" t="str">
            <v>CONFORM</v>
          </cell>
          <cell r="BC572" t="str">
            <v>CONFORM</v>
          </cell>
          <cell r="BD572" t="str">
            <v>CONFORM</v>
          </cell>
          <cell r="BE572" t="str">
            <v>CONFORM</v>
          </cell>
          <cell r="BF572" t="str">
            <v>CONFORM</v>
          </cell>
        </row>
        <row r="573">
          <cell r="A573">
            <v>43978</v>
          </cell>
          <cell r="B573" t="str">
            <v>D2005135-2</v>
          </cell>
          <cell r="C573" t="str">
            <v>052/20</v>
          </cell>
          <cell r="D573">
            <v>1</v>
          </cell>
          <cell r="E573">
            <v>43978</v>
          </cell>
          <cell r="F573" t="str">
            <v>DC</v>
          </cell>
          <cell r="G573" t="str">
            <v>On Time</v>
          </cell>
          <cell r="H573">
            <v>20200527014</v>
          </cell>
          <cell r="I573">
            <v>43978</v>
          </cell>
          <cell r="J573" t="str">
            <v>COILPLUS</v>
          </cell>
          <cell r="K573" t="str">
            <v>D2005135</v>
          </cell>
          <cell r="L573">
            <v>2</v>
          </cell>
          <cell r="M573" t="str">
            <v>A270810</v>
          </cell>
          <cell r="N573">
            <v>528563</v>
          </cell>
          <cell r="O573" t="str">
            <v xml:space="preserve">1.4306 TP304L </v>
          </cell>
          <cell r="P573" t="str">
            <v>304L</v>
          </cell>
          <cell r="Q573">
            <v>2.323</v>
          </cell>
          <cell r="S573">
            <v>4.7E-2</v>
          </cell>
          <cell r="T573">
            <v>4.3999999999999997E-2</v>
          </cell>
          <cell r="V573">
            <v>4.3999999999999997E-2</v>
          </cell>
          <cell r="X573">
            <v>4257</v>
          </cell>
          <cell r="Y573">
            <v>6</v>
          </cell>
          <cell r="Z573">
            <v>305.42402066293585</v>
          </cell>
          <cell r="AA573" t="str">
            <v>2.323X0.047-304L</v>
          </cell>
          <cell r="AB573" t="str">
            <v>WAAC005900120B300050</v>
          </cell>
          <cell r="AC573" t="str">
            <v>D2005135</v>
          </cell>
          <cell r="AD573">
            <v>528563</v>
          </cell>
          <cell r="AE573">
            <v>2.3E-2</v>
          </cell>
          <cell r="AF573">
            <v>1.31</v>
          </cell>
          <cell r="AG573">
            <v>3.2000000000000001E-2</v>
          </cell>
          <cell r="AH573">
            <v>1E-3</v>
          </cell>
          <cell r="AI573">
            <v>0.33</v>
          </cell>
          <cell r="AJ573">
            <v>18.100000000000001</v>
          </cell>
          <cell r="AK573">
            <v>8</v>
          </cell>
          <cell r="AL573">
            <v>0</v>
          </cell>
          <cell r="AM573">
            <v>0.35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0.45</v>
          </cell>
          <cell r="AS573">
            <v>0</v>
          </cell>
          <cell r="AT573">
            <v>294</v>
          </cell>
          <cell r="AU573">
            <v>0</v>
          </cell>
          <cell r="AV573">
            <v>653</v>
          </cell>
          <cell r="AW573">
            <v>57</v>
          </cell>
          <cell r="AX573">
            <v>82</v>
          </cell>
          <cell r="AY573">
            <v>156</v>
          </cell>
          <cell r="AZ573">
            <v>8.5000000000000006E-2</v>
          </cell>
          <cell r="BA573" t="str">
            <v>D2005135</v>
          </cell>
          <cell r="BB573" t="str">
            <v>CONFORM</v>
          </cell>
          <cell r="BC573" t="str">
            <v>CONFORM</v>
          </cell>
          <cell r="BD573" t="str">
            <v>CONFORM</v>
          </cell>
          <cell r="BE573" t="str">
            <v>CONFORM</v>
          </cell>
          <cell r="BF573" t="str">
            <v>CONFORM</v>
          </cell>
        </row>
        <row r="574">
          <cell r="A574">
            <v>43978</v>
          </cell>
          <cell r="B574" t="str">
            <v>D2005135-3</v>
          </cell>
          <cell r="C574" t="str">
            <v>052/20</v>
          </cell>
          <cell r="D574">
            <v>1</v>
          </cell>
          <cell r="E574">
            <v>43978</v>
          </cell>
          <cell r="F574" t="str">
            <v>DC</v>
          </cell>
          <cell r="G574" t="str">
            <v>On Time</v>
          </cell>
          <cell r="H574">
            <v>20200527014</v>
          </cell>
          <cell r="I574">
            <v>43978</v>
          </cell>
          <cell r="J574" t="str">
            <v>COILPLUS</v>
          </cell>
          <cell r="K574" t="str">
            <v>D2005135</v>
          </cell>
          <cell r="L574">
            <v>3</v>
          </cell>
          <cell r="M574" t="str">
            <v>A270810</v>
          </cell>
          <cell r="N574">
            <v>528563</v>
          </cell>
          <cell r="O574" t="str">
            <v xml:space="preserve">1.4306 TP304L </v>
          </cell>
          <cell r="P574" t="str">
            <v>304L</v>
          </cell>
          <cell r="Q574">
            <v>2.323</v>
          </cell>
          <cell r="S574">
            <v>4.7E-2</v>
          </cell>
          <cell r="T574">
            <v>4.5999999999999999E-2</v>
          </cell>
          <cell r="V574">
            <v>4.5999999999999999E-2</v>
          </cell>
          <cell r="X574">
            <v>2474</v>
          </cell>
          <cell r="Y574">
            <v>6</v>
          </cell>
          <cell r="Z574">
            <v>177.50035873152532</v>
          </cell>
          <cell r="AA574" t="str">
            <v>2.323X0.047-304L</v>
          </cell>
          <cell r="AB574" t="str">
            <v>WAAC005900120B300050</v>
          </cell>
          <cell r="AC574" t="str">
            <v>D2005135</v>
          </cell>
          <cell r="AD574">
            <v>528563</v>
          </cell>
          <cell r="AE574">
            <v>2.3E-2</v>
          </cell>
          <cell r="AF574">
            <v>1.31</v>
          </cell>
          <cell r="AG574">
            <v>3.2000000000000001E-2</v>
          </cell>
          <cell r="AH574">
            <v>1E-3</v>
          </cell>
          <cell r="AI574">
            <v>0.33</v>
          </cell>
          <cell r="AJ574">
            <v>18.100000000000001</v>
          </cell>
          <cell r="AK574">
            <v>8</v>
          </cell>
          <cell r="AL574">
            <v>0</v>
          </cell>
          <cell r="AM574">
            <v>0.35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0.45</v>
          </cell>
          <cell r="AS574">
            <v>0</v>
          </cell>
          <cell r="AT574">
            <v>294</v>
          </cell>
          <cell r="AU574">
            <v>0</v>
          </cell>
          <cell r="AV574">
            <v>653</v>
          </cell>
          <cell r="AW574">
            <v>57</v>
          </cell>
          <cell r="AX574">
            <v>82</v>
          </cell>
          <cell r="AY574">
            <v>156</v>
          </cell>
          <cell r="AZ574">
            <v>8.5000000000000006E-2</v>
          </cell>
          <cell r="BA574" t="str">
            <v>D2005135</v>
          </cell>
          <cell r="BB574" t="str">
            <v>CONFORM</v>
          </cell>
          <cell r="BC574" t="str">
            <v>CONFORM</v>
          </cell>
          <cell r="BD574" t="str">
            <v>CONFORM</v>
          </cell>
          <cell r="BE574" t="str">
            <v>CONFORM</v>
          </cell>
          <cell r="BF574" t="str">
            <v>CONFORM</v>
          </cell>
        </row>
        <row r="575">
          <cell r="A575">
            <v>43978</v>
          </cell>
          <cell r="B575" t="str">
            <v>D2005135-4</v>
          </cell>
          <cell r="C575" t="str">
            <v>052/20</v>
          </cell>
          <cell r="D575">
            <v>1</v>
          </cell>
          <cell r="E575">
            <v>43978</v>
          </cell>
          <cell r="F575" t="str">
            <v>DC</v>
          </cell>
          <cell r="G575" t="str">
            <v>On Time</v>
          </cell>
          <cell r="H575">
            <v>20200527014</v>
          </cell>
          <cell r="I575">
            <v>43978</v>
          </cell>
          <cell r="J575" t="str">
            <v>COILPLUS</v>
          </cell>
          <cell r="K575" t="str">
            <v>D2005135</v>
          </cell>
          <cell r="L575">
            <v>4</v>
          </cell>
          <cell r="M575" t="str">
            <v>A270810</v>
          </cell>
          <cell r="N575">
            <v>528563</v>
          </cell>
          <cell r="O575" t="str">
            <v xml:space="preserve">1.4306 TP304L </v>
          </cell>
          <cell r="P575" t="str">
            <v>304L</v>
          </cell>
          <cell r="Q575">
            <v>2.323</v>
          </cell>
          <cell r="S575">
            <v>4.7E-2</v>
          </cell>
          <cell r="T575">
            <v>4.2000000000000003E-2</v>
          </cell>
          <cell r="V575">
            <v>4.2000000000000003E-2</v>
          </cell>
          <cell r="X575">
            <v>1975</v>
          </cell>
          <cell r="Y575">
            <v>5</v>
          </cell>
          <cell r="Z575">
            <v>170.03874300473527</v>
          </cell>
          <cell r="AA575" t="str">
            <v>2.323X0.047-304L</v>
          </cell>
          <cell r="AB575" t="str">
            <v>WAAC005900120B300050</v>
          </cell>
          <cell r="AC575" t="str">
            <v>D2005135</v>
          </cell>
          <cell r="AD575">
            <v>528563</v>
          </cell>
          <cell r="AE575">
            <v>2.3E-2</v>
          </cell>
          <cell r="AF575">
            <v>1.31</v>
          </cell>
          <cell r="AG575">
            <v>3.2000000000000001E-2</v>
          </cell>
          <cell r="AH575">
            <v>1E-3</v>
          </cell>
          <cell r="AI575">
            <v>0.33</v>
          </cell>
          <cell r="AJ575">
            <v>18.100000000000001</v>
          </cell>
          <cell r="AK575">
            <v>8</v>
          </cell>
          <cell r="AL575">
            <v>0</v>
          </cell>
          <cell r="AM575">
            <v>0.35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0.45</v>
          </cell>
          <cell r="AS575">
            <v>0</v>
          </cell>
          <cell r="AT575">
            <v>294</v>
          </cell>
          <cell r="AU575">
            <v>0</v>
          </cell>
          <cell r="AV575">
            <v>653</v>
          </cell>
          <cell r="AW575">
            <v>57</v>
          </cell>
          <cell r="AX575">
            <v>82</v>
          </cell>
          <cell r="AY575">
            <v>156</v>
          </cell>
          <cell r="AZ575">
            <v>8.5000000000000006E-2</v>
          </cell>
          <cell r="BA575" t="str">
            <v>D2005135</v>
          </cell>
          <cell r="BB575" t="str">
            <v>CONFORM</v>
          </cell>
          <cell r="BC575" t="str">
            <v>CONFORM</v>
          </cell>
          <cell r="BD575" t="str">
            <v>CONFORM</v>
          </cell>
          <cell r="BE575" t="str">
            <v>CONFORM</v>
          </cell>
          <cell r="BF575" t="str">
            <v>CONFORM</v>
          </cell>
        </row>
        <row r="576">
          <cell r="A576">
            <v>43978</v>
          </cell>
          <cell r="B576" t="str">
            <v>D2005136-1</v>
          </cell>
          <cell r="C576" t="str">
            <v>052/20</v>
          </cell>
          <cell r="D576">
            <v>2</v>
          </cell>
          <cell r="E576">
            <v>43978</v>
          </cell>
          <cell r="F576" t="str">
            <v>DC</v>
          </cell>
          <cell r="G576" t="str">
            <v>On Time</v>
          </cell>
          <cell r="H576">
            <v>20200527014</v>
          </cell>
          <cell r="I576">
            <v>43978</v>
          </cell>
          <cell r="J576" t="str">
            <v>COILPLUS</v>
          </cell>
          <cell r="K576" t="str">
            <v>D2005136</v>
          </cell>
          <cell r="L576">
            <v>1</v>
          </cell>
          <cell r="M576" t="str">
            <v>A270810</v>
          </cell>
          <cell r="N576">
            <v>528563</v>
          </cell>
          <cell r="O576" t="str">
            <v xml:space="preserve">1.4306 TP304L </v>
          </cell>
          <cell r="P576" t="str">
            <v>304L</v>
          </cell>
          <cell r="Q576">
            <v>3.1139999999999999</v>
          </cell>
          <cell r="S576">
            <v>4.7E-2</v>
          </cell>
          <cell r="T576">
            <v>4.3999999999999997E-2</v>
          </cell>
          <cell r="V576">
            <v>4.3999999999999997E-2</v>
          </cell>
          <cell r="X576">
            <v>3835</v>
          </cell>
          <cell r="Y576">
            <v>4</v>
          </cell>
          <cell r="Z576">
            <v>307.88375080282594</v>
          </cell>
          <cell r="AA576" t="str">
            <v>3.114X0.047-304L</v>
          </cell>
          <cell r="AB576" t="str">
            <v>WAAC007910120B300030</v>
          </cell>
          <cell r="AC576" t="str">
            <v>D2005136</v>
          </cell>
          <cell r="AD576">
            <v>528563</v>
          </cell>
          <cell r="AE576">
            <v>2.3E-2</v>
          </cell>
          <cell r="AF576">
            <v>1.31</v>
          </cell>
          <cell r="AG576">
            <v>3.2000000000000001E-2</v>
          </cell>
          <cell r="AH576">
            <v>1E-3</v>
          </cell>
          <cell r="AI576">
            <v>0.33</v>
          </cell>
          <cell r="AJ576">
            <v>18.100000000000001</v>
          </cell>
          <cell r="AK576">
            <v>8</v>
          </cell>
          <cell r="AL576">
            <v>0</v>
          </cell>
          <cell r="AM576">
            <v>0.35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0.45</v>
          </cell>
          <cell r="AS576">
            <v>0</v>
          </cell>
          <cell r="AT576">
            <v>294</v>
          </cell>
          <cell r="AU576">
            <v>0</v>
          </cell>
          <cell r="AV576">
            <v>653</v>
          </cell>
          <cell r="AW576">
            <v>57</v>
          </cell>
          <cell r="AX576">
            <v>82</v>
          </cell>
          <cell r="AY576">
            <v>156</v>
          </cell>
          <cell r="AZ576">
            <v>8.5000000000000006E-2</v>
          </cell>
          <cell r="BA576" t="str">
            <v>D2005136</v>
          </cell>
          <cell r="BB576" t="str">
            <v>CONFORM</v>
          </cell>
          <cell r="BC576" t="str">
            <v>CONFORM</v>
          </cell>
          <cell r="BD576" t="str">
            <v>CONFORM</v>
          </cell>
          <cell r="BE576" t="str">
            <v>CONFORM</v>
          </cell>
          <cell r="BF576" t="str">
            <v>CONFORM</v>
          </cell>
        </row>
        <row r="577">
          <cell r="A577">
            <v>43978</v>
          </cell>
          <cell r="B577" t="str">
            <v>D2005136-2</v>
          </cell>
          <cell r="C577" t="str">
            <v>052/20</v>
          </cell>
          <cell r="D577">
            <v>2</v>
          </cell>
          <cell r="E577">
            <v>43978</v>
          </cell>
          <cell r="F577" t="str">
            <v>DC</v>
          </cell>
          <cell r="G577" t="str">
            <v>On Time</v>
          </cell>
          <cell r="H577">
            <v>20200527014</v>
          </cell>
          <cell r="I577">
            <v>43978</v>
          </cell>
          <cell r="J577" t="str">
            <v>COILPLUS</v>
          </cell>
          <cell r="K577" t="str">
            <v>D2005136</v>
          </cell>
          <cell r="L577">
            <v>2</v>
          </cell>
          <cell r="M577" t="str">
            <v>A270810</v>
          </cell>
          <cell r="N577">
            <v>528563</v>
          </cell>
          <cell r="O577" t="str">
            <v xml:space="preserve">1.4306 TP304L </v>
          </cell>
          <cell r="P577" t="str">
            <v>304L</v>
          </cell>
          <cell r="Q577">
            <v>3.1139999999999999</v>
          </cell>
          <cell r="S577">
            <v>4.7E-2</v>
          </cell>
          <cell r="T577">
            <v>4.4999999999999998E-2</v>
          </cell>
          <cell r="V577">
            <v>4.4999999999999998E-2</v>
          </cell>
          <cell r="X577">
            <v>2841</v>
          </cell>
          <cell r="Y577">
            <v>3</v>
          </cell>
          <cell r="Z577">
            <v>304.11046885035324</v>
          </cell>
          <cell r="AA577" t="str">
            <v>3.114X0.047-304L</v>
          </cell>
          <cell r="AB577" t="str">
            <v>WAAC007910120B300030</v>
          </cell>
          <cell r="AC577" t="str">
            <v>D2005136</v>
          </cell>
          <cell r="AD577">
            <v>528563</v>
          </cell>
          <cell r="AE577">
            <v>2.3E-2</v>
          </cell>
          <cell r="AF577">
            <v>1.31</v>
          </cell>
          <cell r="AG577">
            <v>3.2000000000000001E-2</v>
          </cell>
          <cell r="AH577">
            <v>1E-3</v>
          </cell>
          <cell r="AI577">
            <v>0.33</v>
          </cell>
          <cell r="AJ577">
            <v>18.100000000000001</v>
          </cell>
          <cell r="AK577">
            <v>8</v>
          </cell>
          <cell r="AL577">
            <v>0</v>
          </cell>
          <cell r="AM577">
            <v>0.35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0.45</v>
          </cell>
          <cell r="AS577">
            <v>0</v>
          </cell>
          <cell r="AT577">
            <v>294</v>
          </cell>
          <cell r="AU577">
            <v>0</v>
          </cell>
          <cell r="AV577">
            <v>653</v>
          </cell>
          <cell r="AW577">
            <v>57</v>
          </cell>
          <cell r="AX577">
            <v>82</v>
          </cell>
          <cell r="AY577">
            <v>156</v>
          </cell>
          <cell r="AZ577">
            <v>8.5000000000000006E-2</v>
          </cell>
          <cell r="BA577" t="str">
            <v>D2005136</v>
          </cell>
          <cell r="BB577" t="str">
            <v>CONFORM</v>
          </cell>
          <cell r="BC577" t="str">
            <v>CONFORM</v>
          </cell>
          <cell r="BD577" t="str">
            <v>CONFORM</v>
          </cell>
          <cell r="BE577" t="str">
            <v>CONFORM</v>
          </cell>
          <cell r="BF577" t="str">
            <v>CONFORM</v>
          </cell>
        </row>
        <row r="578">
          <cell r="A578">
            <v>43978</v>
          </cell>
          <cell r="B578" t="str">
            <v>D2005136-3</v>
          </cell>
          <cell r="C578" t="str">
            <v>052/20</v>
          </cell>
          <cell r="D578">
            <v>2</v>
          </cell>
          <cell r="E578">
            <v>43978</v>
          </cell>
          <cell r="F578" t="str">
            <v>DC</v>
          </cell>
          <cell r="G578" t="str">
            <v>On Time</v>
          </cell>
          <cell r="H578">
            <v>20200527014</v>
          </cell>
          <cell r="I578">
            <v>43978</v>
          </cell>
          <cell r="J578" t="str">
            <v>COILPLUS</v>
          </cell>
          <cell r="K578" t="str">
            <v>D2005136</v>
          </cell>
          <cell r="L578">
            <v>3</v>
          </cell>
          <cell r="M578" t="str">
            <v>A270810</v>
          </cell>
          <cell r="N578">
            <v>528563</v>
          </cell>
          <cell r="O578" t="str">
            <v xml:space="preserve">1.4306 TP304L </v>
          </cell>
          <cell r="P578" t="str">
            <v>304L</v>
          </cell>
          <cell r="Q578">
            <v>3.1139999999999999</v>
          </cell>
          <cell r="S578">
            <v>4.7E-2</v>
          </cell>
          <cell r="T578">
            <v>4.3999999999999997E-2</v>
          </cell>
          <cell r="V578">
            <v>4.3999999999999997E-2</v>
          </cell>
          <cell r="X578">
            <v>2200</v>
          </cell>
          <cell r="Y578">
            <v>4</v>
          </cell>
          <cell r="Z578">
            <v>176.62170841361595</v>
          </cell>
          <cell r="AA578" t="str">
            <v>3.114X0.047-304L</v>
          </cell>
          <cell r="AB578" t="str">
            <v>WAAC007910120B300030</v>
          </cell>
          <cell r="AC578" t="str">
            <v>D2005136</v>
          </cell>
          <cell r="AD578">
            <v>528563</v>
          </cell>
          <cell r="AE578">
            <v>2.3E-2</v>
          </cell>
          <cell r="AF578">
            <v>1.31</v>
          </cell>
          <cell r="AG578">
            <v>3.2000000000000001E-2</v>
          </cell>
          <cell r="AH578">
            <v>1E-3</v>
          </cell>
          <cell r="AI578">
            <v>0.33</v>
          </cell>
          <cell r="AJ578">
            <v>18.100000000000001</v>
          </cell>
          <cell r="AK578">
            <v>8</v>
          </cell>
          <cell r="AL578">
            <v>0</v>
          </cell>
          <cell r="AM578">
            <v>0.35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0.45</v>
          </cell>
          <cell r="AS578">
            <v>0</v>
          </cell>
          <cell r="AT578">
            <v>294</v>
          </cell>
          <cell r="AU578">
            <v>0</v>
          </cell>
          <cell r="AV578">
            <v>653</v>
          </cell>
          <cell r="AW578">
            <v>57</v>
          </cell>
          <cell r="AX578">
            <v>82</v>
          </cell>
          <cell r="AY578">
            <v>156</v>
          </cell>
          <cell r="AZ578">
            <v>8.5000000000000006E-2</v>
          </cell>
          <cell r="BA578" t="str">
            <v>D2005136</v>
          </cell>
          <cell r="BB578" t="str">
            <v>CONFORM</v>
          </cell>
          <cell r="BC578" t="str">
            <v>CONFORM</v>
          </cell>
          <cell r="BD578" t="str">
            <v>CONFORM</v>
          </cell>
          <cell r="BE578" t="str">
            <v>CONFORM</v>
          </cell>
          <cell r="BF578" t="str">
            <v>CONFORM</v>
          </cell>
        </row>
        <row r="579">
          <cell r="A579">
            <v>43978</v>
          </cell>
          <cell r="B579" t="str">
            <v>D2005136-4</v>
          </cell>
          <cell r="C579" t="str">
            <v>052/20</v>
          </cell>
          <cell r="D579">
            <v>2</v>
          </cell>
          <cell r="E579">
            <v>43978</v>
          </cell>
          <cell r="F579" t="str">
            <v>DC</v>
          </cell>
          <cell r="G579" t="str">
            <v>On Time</v>
          </cell>
          <cell r="H579">
            <v>20200527014</v>
          </cell>
          <cell r="I579">
            <v>43978</v>
          </cell>
          <cell r="J579" t="str">
            <v>COILPLUS</v>
          </cell>
          <cell r="K579" t="str">
            <v>D2005136</v>
          </cell>
          <cell r="L579">
            <v>4</v>
          </cell>
          <cell r="M579" t="str">
            <v>A270810</v>
          </cell>
          <cell r="N579">
            <v>528563</v>
          </cell>
          <cell r="O579" t="str">
            <v xml:space="preserve">1.4306 TP304L </v>
          </cell>
          <cell r="P579" t="str">
            <v>304L</v>
          </cell>
          <cell r="Q579">
            <v>3.1139999999999999</v>
          </cell>
          <cell r="S579">
            <v>4.7E-2</v>
          </cell>
          <cell r="T579">
            <v>4.2999999999999997E-2</v>
          </cell>
          <cell r="V579">
            <v>4.2999999999999997E-2</v>
          </cell>
          <cell r="X579">
            <v>1647</v>
          </cell>
          <cell r="Y579">
            <v>3</v>
          </cell>
          <cell r="Z579">
            <v>176.30057803468208</v>
          </cell>
          <cell r="AA579" t="str">
            <v>3.114X0.047-304L</v>
          </cell>
          <cell r="AB579" t="str">
            <v>WAAC007910120B300030</v>
          </cell>
          <cell r="AC579" t="str">
            <v>D2005136</v>
          </cell>
          <cell r="AD579">
            <v>528563</v>
          </cell>
          <cell r="AE579">
            <v>2.3E-2</v>
          </cell>
          <cell r="AF579">
            <v>1.31</v>
          </cell>
          <cell r="AG579">
            <v>3.2000000000000001E-2</v>
          </cell>
          <cell r="AH579">
            <v>1E-3</v>
          </cell>
          <cell r="AI579">
            <v>0.33</v>
          </cell>
          <cell r="AJ579">
            <v>18.100000000000001</v>
          </cell>
          <cell r="AK579">
            <v>8</v>
          </cell>
          <cell r="AL579">
            <v>0</v>
          </cell>
          <cell r="AM579">
            <v>0.35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0.45</v>
          </cell>
          <cell r="AS579">
            <v>0</v>
          </cell>
          <cell r="AT579">
            <v>294</v>
          </cell>
          <cell r="AU579">
            <v>0</v>
          </cell>
          <cell r="AV579">
            <v>653</v>
          </cell>
          <cell r="AW579">
            <v>57</v>
          </cell>
          <cell r="AX579">
            <v>82</v>
          </cell>
          <cell r="AY579">
            <v>156</v>
          </cell>
          <cell r="AZ579">
            <v>8.5000000000000006E-2</v>
          </cell>
          <cell r="BA579" t="str">
            <v>D2005136</v>
          </cell>
          <cell r="BB579" t="str">
            <v>CONFORM</v>
          </cell>
          <cell r="BC579" t="str">
            <v>CONFORM</v>
          </cell>
          <cell r="BD579" t="str">
            <v>CONFORM</v>
          </cell>
          <cell r="BE579" t="str">
            <v>CONFORM</v>
          </cell>
          <cell r="BF579" t="str">
            <v>CONFORM</v>
          </cell>
        </row>
        <row r="580">
          <cell r="A580">
            <v>43983</v>
          </cell>
          <cell r="B580" t="str">
            <v>D2006001-1</v>
          </cell>
          <cell r="C580" t="str">
            <v>031/20</v>
          </cell>
          <cell r="D580">
            <v>1</v>
          </cell>
          <cell r="E580">
            <v>43971</v>
          </cell>
          <cell r="F580" t="str">
            <v>DC</v>
          </cell>
          <cell r="G580" t="str">
            <v>Late</v>
          </cell>
          <cell r="H580" t="str">
            <v>L380114</v>
          </cell>
          <cell r="I580">
            <v>43980</v>
          </cell>
          <cell r="J580" t="str">
            <v>ATI</v>
          </cell>
          <cell r="K580" t="str">
            <v>D2006001</v>
          </cell>
          <cell r="L580">
            <v>1</v>
          </cell>
          <cell r="M580" t="str">
            <v>AAD03977</v>
          </cell>
          <cell r="N580">
            <v>860569</v>
          </cell>
          <cell r="O580" t="str">
            <v xml:space="preserve">1.4462 UNS S31803/S32205 </v>
          </cell>
          <cell r="P580" t="str">
            <v>2205</v>
          </cell>
          <cell r="Q580">
            <v>3.0710000000000002</v>
          </cell>
          <cell r="S580">
            <v>6.3E-2</v>
          </cell>
          <cell r="V580" t="str">
            <v/>
          </cell>
          <cell r="X580">
            <v>5514</v>
          </cell>
          <cell r="Y580">
            <v>3</v>
          </cell>
          <cell r="Z580">
            <v>598.5021165744057</v>
          </cell>
          <cell r="AA580" t="str">
            <v>3.071X0.063-2205</v>
          </cell>
          <cell r="AB580" t="str">
            <v>WACN007800160B300055</v>
          </cell>
          <cell r="AC580" t="str">
            <v>D2006001</v>
          </cell>
          <cell r="AD580">
            <v>860569</v>
          </cell>
          <cell r="AE580">
            <v>1.6E-2</v>
          </cell>
          <cell r="AF580">
            <v>1.74</v>
          </cell>
          <cell r="AG580">
            <v>2.5999999999999999E-2</v>
          </cell>
          <cell r="AH580">
            <v>0</v>
          </cell>
          <cell r="AI580">
            <v>0.52</v>
          </cell>
          <cell r="AJ580">
            <v>22.2</v>
          </cell>
          <cell r="AK580">
            <v>5.5</v>
          </cell>
          <cell r="AL580">
            <v>0.17</v>
          </cell>
          <cell r="AM580">
            <v>3.18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658</v>
          </cell>
          <cell r="AU580">
            <v>0</v>
          </cell>
          <cell r="AV580">
            <v>869</v>
          </cell>
          <cell r="AW580">
            <v>27</v>
          </cell>
          <cell r="AX580">
            <v>24</v>
          </cell>
          <cell r="AY580">
            <v>260</v>
          </cell>
          <cell r="AZ580">
            <v>2.11</v>
          </cell>
          <cell r="BA580" t="str">
            <v>D2006001</v>
          </cell>
          <cell r="BB580" t="str">
            <v>CONFORM</v>
          </cell>
          <cell r="BC580" t="str">
            <v>CONFORM</v>
          </cell>
          <cell r="BD580" t="str">
            <v>CONFORM</v>
          </cell>
          <cell r="BE580" t="str">
            <v>CONFORM</v>
          </cell>
          <cell r="BF580" t="str">
            <v>CONFORM</v>
          </cell>
        </row>
        <row r="581">
          <cell r="A581">
            <v>43983</v>
          </cell>
          <cell r="B581" t="str">
            <v>D2006001-2</v>
          </cell>
          <cell r="C581" t="str">
            <v>031/20</v>
          </cell>
          <cell r="D581">
            <v>1</v>
          </cell>
          <cell r="E581">
            <v>43971</v>
          </cell>
          <cell r="F581" t="str">
            <v>DC</v>
          </cell>
          <cell r="G581" t="str">
            <v>Late</v>
          </cell>
          <cell r="H581" t="str">
            <v>L380114</v>
          </cell>
          <cell r="I581">
            <v>43980</v>
          </cell>
          <cell r="J581" t="str">
            <v>ATI</v>
          </cell>
          <cell r="K581" t="str">
            <v>D2006001</v>
          </cell>
          <cell r="L581">
            <v>2</v>
          </cell>
          <cell r="M581" t="str">
            <v>AAD03977</v>
          </cell>
          <cell r="N581">
            <v>860569</v>
          </cell>
          <cell r="O581" t="str">
            <v xml:space="preserve">1.4462 UNS S31803/S32205 </v>
          </cell>
          <cell r="P581" t="str">
            <v>2205</v>
          </cell>
          <cell r="Q581">
            <v>3.0710000000000002</v>
          </cell>
          <cell r="S581">
            <v>6.3E-2</v>
          </cell>
          <cell r="V581" t="str">
            <v/>
          </cell>
          <cell r="X581">
            <v>5514</v>
          </cell>
          <cell r="Y581">
            <v>3</v>
          </cell>
          <cell r="Z581">
            <v>598.5021165744057</v>
          </cell>
          <cell r="AA581" t="str">
            <v>3.071X0.063-2205</v>
          </cell>
          <cell r="AB581" t="str">
            <v>WACN007800160B300055</v>
          </cell>
          <cell r="AC581" t="str">
            <v>D2006001</v>
          </cell>
          <cell r="AD581">
            <v>860569</v>
          </cell>
          <cell r="AE581">
            <v>1.6E-2</v>
          </cell>
          <cell r="AF581">
            <v>1.74</v>
          </cell>
          <cell r="AG581">
            <v>2.5999999999999999E-2</v>
          </cell>
          <cell r="AH581">
            <v>0</v>
          </cell>
          <cell r="AI581">
            <v>0.52</v>
          </cell>
          <cell r="AJ581">
            <v>22.2</v>
          </cell>
          <cell r="AK581">
            <v>5.5</v>
          </cell>
          <cell r="AL581">
            <v>0.17</v>
          </cell>
          <cell r="AM581">
            <v>3.18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658</v>
          </cell>
          <cell r="AU581">
            <v>0</v>
          </cell>
          <cell r="AV581">
            <v>869</v>
          </cell>
          <cell r="AW581">
            <v>27</v>
          </cell>
          <cell r="AX581">
            <v>24</v>
          </cell>
          <cell r="AY581">
            <v>260</v>
          </cell>
          <cell r="AZ581">
            <v>2.11</v>
          </cell>
          <cell r="BA581" t="str">
            <v>D2006001</v>
          </cell>
          <cell r="BB581" t="str">
            <v>CONFORM</v>
          </cell>
          <cell r="BC581" t="str">
            <v>CONFORM</v>
          </cell>
          <cell r="BD581" t="str">
            <v>CONFORM</v>
          </cell>
          <cell r="BE581" t="str">
            <v>CONFORM</v>
          </cell>
          <cell r="BF581" t="str">
            <v>CONFORM</v>
          </cell>
        </row>
        <row r="582">
          <cell r="A582">
            <v>43983</v>
          </cell>
          <cell r="B582" t="str">
            <v>D2006001-3</v>
          </cell>
          <cell r="C582" t="str">
            <v>031/20</v>
          </cell>
          <cell r="D582">
            <v>1</v>
          </cell>
          <cell r="E582">
            <v>43971</v>
          </cell>
          <cell r="F582" t="str">
            <v>DC</v>
          </cell>
          <cell r="G582" t="str">
            <v>Late</v>
          </cell>
          <cell r="H582" t="str">
            <v>L380114</v>
          </cell>
          <cell r="I582">
            <v>43980</v>
          </cell>
          <cell r="J582" t="str">
            <v>ATI</v>
          </cell>
          <cell r="K582" t="str">
            <v>D2006001</v>
          </cell>
          <cell r="L582">
            <v>3</v>
          </cell>
          <cell r="M582" t="str">
            <v>AAD03977</v>
          </cell>
          <cell r="N582">
            <v>860569</v>
          </cell>
          <cell r="O582" t="str">
            <v xml:space="preserve">1.4462 UNS S31803/S32205 </v>
          </cell>
          <cell r="P582" t="str">
            <v>2205</v>
          </cell>
          <cell r="Q582">
            <v>3.0710000000000002</v>
          </cell>
          <cell r="S582">
            <v>6.3E-2</v>
          </cell>
          <cell r="V582" t="str">
            <v/>
          </cell>
          <cell r="X582">
            <v>5517</v>
          </cell>
          <cell r="Y582">
            <v>3</v>
          </cell>
          <cell r="Z582">
            <v>598.82774340605658</v>
          </cell>
          <cell r="AA582" t="str">
            <v>3.071X0.063-2205</v>
          </cell>
          <cell r="AB582" t="str">
            <v>WACN007800160B300055</v>
          </cell>
          <cell r="AC582" t="str">
            <v>D2006001</v>
          </cell>
          <cell r="AD582">
            <v>860569</v>
          </cell>
          <cell r="AE582">
            <v>1.6E-2</v>
          </cell>
          <cell r="AF582">
            <v>1.74</v>
          </cell>
          <cell r="AG582">
            <v>2.5999999999999999E-2</v>
          </cell>
          <cell r="AH582">
            <v>0</v>
          </cell>
          <cell r="AI582">
            <v>0.52</v>
          </cell>
          <cell r="AJ582">
            <v>22.2</v>
          </cell>
          <cell r="AK582">
            <v>5.5</v>
          </cell>
          <cell r="AL582">
            <v>0.17</v>
          </cell>
          <cell r="AM582">
            <v>3.18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658</v>
          </cell>
          <cell r="AU582">
            <v>0</v>
          </cell>
          <cell r="AV582">
            <v>869</v>
          </cell>
          <cell r="AW582">
            <v>27</v>
          </cell>
          <cell r="AX582">
            <v>24</v>
          </cell>
          <cell r="AY582">
            <v>260</v>
          </cell>
          <cell r="AZ582">
            <v>2.11</v>
          </cell>
          <cell r="BA582" t="str">
            <v>D2006001</v>
          </cell>
          <cell r="BB582" t="str">
            <v>CONFORM</v>
          </cell>
          <cell r="BC582" t="str">
            <v>CONFORM</v>
          </cell>
          <cell r="BD582" t="str">
            <v>CONFORM</v>
          </cell>
          <cell r="BE582" t="str">
            <v>CONFORM</v>
          </cell>
          <cell r="BF582" t="str">
            <v>CONFORM</v>
          </cell>
        </row>
        <row r="583">
          <cell r="A583">
            <v>43983</v>
          </cell>
          <cell r="B583" t="str">
            <v>D2006001-4</v>
          </cell>
          <cell r="C583" t="str">
            <v>031/20</v>
          </cell>
          <cell r="D583">
            <v>1</v>
          </cell>
          <cell r="E583">
            <v>43971</v>
          </cell>
          <cell r="F583" t="str">
            <v>DC</v>
          </cell>
          <cell r="G583" t="str">
            <v>Late</v>
          </cell>
          <cell r="H583" t="str">
            <v>L380114</v>
          </cell>
          <cell r="I583">
            <v>43980</v>
          </cell>
          <cell r="J583" t="str">
            <v>ATI</v>
          </cell>
          <cell r="K583" t="str">
            <v>D2006001</v>
          </cell>
          <cell r="L583">
            <v>4</v>
          </cell>
          <cell r="M583" t="str">
            <v>AAD03977</v>
          </cell>
          <cell r="N583">
            <v>860569</v>
          </cell>
          <cell r="O583" t="str">
            <v xml:space="preserve">1.4462 UNS S31803/S32205 </v>
          </cell>
          <cell r="P583" t="str">
            <v>2205</v>
          </cell>
          <cell r="Q583">
            <v>3.0710000000000002</v>
          </cell>
          <cell r="S583">
            <v>6.3E-2</v>
          </cell>
          <cell r="V583" t="str">
            <v/>
          </cell>
          <cell r="X583">
            <v>5517</v>
          </cell>
          <cell r="Y583">
            <v>3</v>
          </cell>
          <cell r="Z583">
            <v>598.82774340605658</v>
          </cell>
          <cell r="AA583" t="str">
            <v>3.071X0.063-2205</v>
          </cell>
          <cell r="AB583" t="str">
            <v>WACN007800160B300055</v>
          </cell>
          <cell r="AC583" t="str">
            <v>D2006001</v>
          </cell>
          <cell r="AD583">
            <v>860569</v>
          </cell>
          <cell r="AE583">
            <v>1.6E-2</v>
          </cell>
          <cell r="AF583">
            <v>1.74</v>
          </cell>
          <cell r="AG583">
            <v>2.5999999999999999E-2</v>
          </cell>
          <cell r="AH583">
            <v>0</v>
          </cell>
          <cell r="AI583">
            <v>0.52</v>
          </cell>
          <cell r="AJ583">
            <v>22.2</v>
          </cell>
          <cell r="AK583">
            <v>5.5</v>
          </cell>
          <cell r="AL583">
            <v>0.17</v>
          </cell>
          <cell r="AM583">
            <v>3.18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658</v>
          </cell>
          <cell r="AU583">
            <v>0</v>
          </cell>
          <cell r="AV583">
            <v>869</v>
          </cell>
          <cell r="AW583">
            <v>27</v>
          </cell>
          <cell r="AX583">
            <v>24</v>
          </cell>
          <cell r="AY583">
            <v>260</v>
          </cell>
          <cell r="AZ583">
            <v>2.11</v>
          </cell>
          <cell r="BA583" t="str">
            <v>D2006001</v>
          </cell>
          <cell r="BB583" t="str">
            <v>CONFORM</v>
          </cell>
          <cell r="BC583" t="str">
            <v>CONFORM</v>
          </cell>
          <cell r="BD583" t="str">
            <v>CONFORM</v>
          </cell>
          <cell r="BE583" t="str">
            <v>CONFORM</v>
          </cell>
          <cell r="BF583" t="str">
            <v>CONFORM</v>
          </cell>
        </row>
        <row r="584">
          <cell r="A584">
            <v>43983</v>
          </cell>
          <cell r="B584" t="str">
            <v>D2006001-5</v>
          </cell>
          <cell r="C584" t="str">
            <v>031/20</v>
          </cell>
          <cell r="D584">
            <v>1</v>
          </cell>
          <cell r="E584">
            <v>43971</v>
          </cell>
          <cell r="F584" t="str">
            <v>DC</v>
          </cell>
          <cell r="G584" t="str">
            <v>Late</v>
          </cell>
          <cell r="H584" t="str">
            <v>L380114</v>
          </cell>
          <cell r="I584">
            <v>43980</v>
          </cell>
          <cell r="J584" t="str">
            <v>ATI</v>
          </cell>
          <cell r="K584" t="str">
            <v>D2006001</v>
          </cell>
          <cell r="L584">
            <v>5</v>
          </cell>
          <cell r="M584" t="str">
            <v>AAD03977</v>
          </cell>
          <cell r="N584">
            <v>860569</v>
          </cell>
          <cell r="O584" t="str">
            <v xml:space="preserve">1.4462 UNS S31803/S32205 </v>
          </cell>
          <cell r="P584" t="str">
            <v>2205</v>
          </cell>
          <cell r="Q584">
            <v>3.0710000000000002</v>
          </cell>
          <cell r="S584">
            <v>6.3E-2</v>
          </cell>
          <cell r="V584" t="str">
            <v/>
          </cell>
          <cell r="X584">
            <v>5517</v>
          </cell>
          <cell r="Y584">
            <v>3</v>
          </cell>
          <cell r="Z584">
            <v>598.82774340605658</v>
          </cell>
          <cell r="AA584" t="str">
            <v>3.071X0.063-2205</v>
          </cell>
          <cell r="AB584" t="str">
            <v>WACN007800160B300055</v>
          </cell>
          <cell r="AC584" t="str">
            <v>D2006001</v>
          </cell>
          <cell r="AD584">
            <v>860569</v>
          </cell>
          <cell r="AE584">
            <v>1.6E-2</v>
          </cell>
          <cell r="AF584">
            <v>1.74</v>
          </cell>
          <cell r="AG584">
            <v>2.5999999999999999E-2</v>
          </cell>
          <cell r="AH584">
            <v>0</v>
          </cell>
          <cell r="AI584">
            <v>0.52</v>
          </cell>
          <cell r="AJ584">
            <v>22.2</v>
          </cell>
          <cell r="AK584">
            <v>5.5</v>
          </cell>
          <cell r="AL584">
            <v>0.17</v>
          </cell>
          <cell r="AM584">
            <v>3.18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658</v>
          </cell>
          <cell r="AU584">
            <v>0</v>
          </cell>
          <cell r="AV584">
            <v>869</v>
          </cell>
          <cell r="AW584">
            <v>27</v>
          </cell>
          <cell r="AX584">
            <v>24</v>
          </cell>
          <cell r="AY584">
            <v>260</v>
          </cell>
          <cell r="AZ584">
            <v>2.11</v>
          </cell>
          <cell r="BA584" t="str">
            <v>D2006001</v>
          </cell>
          <cell r="BB584" t="str">
            <v>CONFORM</v>
          </cell>
          <cell r="BC584" t="str">
            <v>CONFORM</v>
          </cell>
          <cell r="BD584" t="str">
            <v>CONFORM</v>
          </cell>
          <cell r="BE584" t="str">
            <v>CONFORM</v>
          </cell>
          <cell r="BF584" t="str">
            <v>CONFORM</v>
          </cell>
        </row>
        <row r="585">
          <cell r="A585">
            <v>43983</v>
          </cell>
          <cell r="B585" t="str">
            <v>D2006001-6</v>
          </cell>
          <cell r="C585" t="str">
            <v>031/20</v>
          </cell>
          <cell r="D585">
            <v>1</v>
          </cell>
          <cell r="E585">
            <v>43971</v>
          </cell>
          <cell r="F585" t="str">
            <v>DC</v>
          </cell>
          <cell r="G585" t="str">
            <v>Late</v>
          </cell>
          <cell r="H585" t="str">
            <v>L380114</v>
          </cell>
          <cell r="I585">
            <v>43980</v>
          </cell>
          <cell r="J585" t="str">
            <v>ATI</v>
          </cell>
          <cell r="K585" t="str">
            <v>D2006001</v>
          </cell>
          <cell r="L585">
            <v>6</v>
          </cell>
          <cell r="M585" t="str">
            <v>AAD03979</v>
          </cell>
          <cell r="N585">
            <v>860569</v>
          </cell>
          <cell r="O585" t="str">
            <v xml:space="preserve">1.4462 UNS S31803/S32205 </v>
          </cell>
          <cell r="P585" t="str">
            <v>2205</v>
          </cell>
          <cell r="Q585">
            <v>3.0710000000000002</v>
          </cell>
          <cell r="S585">
            <v>6.3E-2</v>
          </cell>
          <cell r="V585" t="str">
            <v/>
          </cell>
          <cell r="X585">
            <v>5730</v>
          </cell>
          <cell r="Y585">
            <v>3</v>
          </cell>
          <cell r="Z585">
            <v>621.94724845327255</v>
          </cell>
          <cell r="AA585" t="str">
            <v>3.071X0.063-2205</v>
          </cell>
          <cell r="AB585" t="str">
            <v>WACN007800160B300055</v>
          </cell>
          <cell r="AC585" t="str">
            <v>D2006001</v>
          </cell>
          <cell r="AD585">
            <v>860569</v>
          </cell>
          <cell r="AE585">
            <v>1.6E-2</v>
          </cell>
          <cell r="AF585">
            <v>1.74</v>
          </cell>
          <cell r="AG585">
            <v>2.5999999999999999E-2</v>
          </cell>
          <cell r="AH585">
            <v>0</v>
          </cell>
          <cell r="AI585">
            <v>0.52</v>
          </cell>
          <cell r="AJ585">
            <v>22.2</v>
          </cell>
          <cell r="AK585">
            <v>5.5</v>
          </cell>
          <cell r="AL585">
            <v>0.17</v>
          </cell>
          <cell r="AM585">
            <v>3.18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658</v>
          </cell>
          <cell r="AU585">
            <v>0</v>
          </cell>
          <cell r="AV585">
            <v>869</v>
          </cell>
          <cell r="AW585">
            <v>27</v>
          </cell>
          <cell r="AX585">
            <v>24</v>
          </cell>
          <cell r="AY585">
            <v>260</v>
          </cell>
          <cell r="AZ585">
            <v>2.11</v>
          </cell>
          <cell r="BA585" t="str">
            <v>D2006001</v>
          </cell>
          <cell r="BB585" t="str">
            <v>CONFORM</v>
          </cell>
          <cell r="BC585" t="str">
            <v>CONFORM</v>
          </cell>
          <cell r="BD585" t="str">
            <v>CONFORM</v>
          </cell>
          <cell r="BE585" t="str">
            <v>CONFORM</v>
          </cell>
          <cell r="BF585" t="str">
            <v>CONFORM</v>
          </cell>
        </row>
        <row r="586">
          <cell r="A586">
            <v>43983</v>
          </cell>
          <cell r="B586" t="str">
            <v>D2006001-7</v>
          </cell>
          <cell r="C586" t="str">
            <v>031/20</v>
          </cell>
          <cell r="D586">
            <v>1</v>
          </cell>
          <cell r="E586">
            <v>43971</v>
          </cell>
          <cell r="F586" t="str">
            <v>DC</v>
          </cell>
          <cell r="G586" t="str">
            <v>Late</v>
          </cell>
          <cell r="H586" t="str">
            <v>L380114</v>
          </cell>
          <cell r="I586">
            <v>43980</v>
          </cell>
          <cell r="J586" t="str">
            <v>ATI</v>
          </cell>
          <cell r="K586" t="str">
            <v>D2006001</v>
          </cell>
          <cell r="L586">
            <v>7</v>
          </cell>
          <cell r="M586" t="str">
            <v>AAD03979</v>
          </cell>
          <cell r="N586">
            <v>860569</v>
          </cell>
          <cell r="O586" t="str">
            <v xml:space="preserve">1.4462 UNS S31803/S32205 </v>
          </cell>
          <cell r="P586" t="str">
            <v>2205</v>
          </cell>
          <cell r="Q586">
            <v>3.0710000000000002</v>
          </cell>
          <cell r="S586">
            <v>6.3E-2</v>
          </cell>
          <cell r="V586" t="str">
            <v/>
          </cell>
          <cell r="X586">
            <v>3820</v>
          </cell>
          <cell r="Y586">
            <v>2</v>
          </cell>
          <cell r="Z586">
            <v>621.94724845327255</v>
          </cell>
          <cell r="AA586" t="str">
            <v>3.071X0.063-2205</v>
          </cell>
          <cell r="AB586" t="str">
            <v>WACN007800160B300055</v>
          </cell>
          <cell r="AC586" t="str">
            <v>D2006001</v>
          </cell>
          <cell r="AD586">
            <v>860569</v>
          </cell>
          <cell r="AE586">
            <v>1.6E-2</v>
          </cell>
          <cell r="AF586">
            <v>1.74</v>
          </cell>
          <cell r="AG586">
            <v>2.5999999999999999E-2</v>
          </cell>
          <cell r="AH586">
            <v>0</v>
          </cell>
          <cell r="AI586">
            <v>0.52</v>
          </cell>
          <cell r="AJ586">
            <v>22.2</v>
          </cell>
          <cell r="AK586">
            <v>5.5</v>
          </cell>
          <cell r="AL586">
            <v>0.17</v>
          </cell>
          <cell r="AM586">
            <v>3.18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658</v>
          </cell>
          <cell r="AU586">
            <v>0</v>
          </cell>
          <cell r="AV586">
            <v>869</v>
          </cell>
          <cell r="AW586">
            <v>27</v>
          </cell>
          <cell r="AX586">
            <v>24</v>
          </cell>
          <cell r="AY586">
            <v>260</v>
          </cell>
          <cell r="AZ586">
            <v>2.11</v>
          </cell>
          <cell r="BA586" t="str">
            <v>D2006001</v>
          </cell>
          <cell r="BB586" t="str">
            <v>CONFORM</v>
          </cell>
          <cell r="BC586" t="str">
            <v>CONFORM</v>
          </cell>
          <cell r="BD586" t="str">
            <v>CONFORM</v>
          </cell>
          <cell r="BE586" t="str">
            <v>CONFORM</v>
          </cell>
          <cell r="BF586" t="str">
            <v>CONFORM</v>
          </cell>
        </row>
        <row r="587">
          <cell r="A587">
            <v>43983</v>
          </cell>
          <cell r="B587" t="str">
            <v>D2006001-8</v>
          </cell>
          <cell r="C587" t="str">
            <v>031/20</v>
          </cell>
          <cell r="D587">
            <v>1</v>
          </cell>
          <cell r="E587">
            <v>43971</v>
          </cell>
          <cell r="F587" t="str">
            <v>DC</v>
          </cell>
          <cell r="G587" t="str">
            <v>Late</v>
          </cell>
          <cell r="H587" t="str">
            <v>L380114</v>
          </cell>
          <cell r="I587">
            <v>43980</v>
          </cell>
          <cell r="J587" t="str">
            <v>ATI</v>
          </cell>
          <cell r="K587" t="str">
            <v>D2006001</v>
          </cell>
          <cell r="L587">
            <v>8</v>
          </cell>
          <cell r="M587" t="str">
            <v>AAD03979</v>
          </cell>
          <cell r="N587">
            <v>860569</v>
          </cell>
          <cell r="O587" t="str">
            <v xml:space="preserve">1.4462 UNS S31803/S32205 </v>
          </cell>
          <cell r="P587" t="str">
            <v>2205</v>
          </cell>
          <cell r="Q587">
            <v>3.0710000000000002</v>
          </cell>
          <cell r="S587">
            <v>6.3E-2</v>
          </cell>
          <cell r="V587" t="str">
            <v/>
          </cell>
          <cell r="X587">
            <v>3820</v>
          </cell>
          <cell r="Y587">
            <v>2</v>
          </cell>
          <cell r="Z587">
            <v>621.94724845327255</v>
          </cell>
          <cell r="AA587" t="str">
            <v>3.071X0.063-2205</v>
          </cell>
          <cell r="AB587" t="str">
            <v>WACN007800160B300055</v>
          </cell>
          <cell r="AC587" t="str">
            <v>D2006001</v>
          </cell>
          <cell r="AD587">
            <v>860569</v>
          </cell>
          <cell r="AE587">
            <v>1.6E-2</v>
          </cell>
          <cell r="AF587">
            <v>1.74</v>
          </cell>
          <cell r="AG587">
            <v>2.5999999999999999E-2</v>
          </cell>
          <cell r="AH587">
            <v>0</v>
          </cell>
          <cell r="AI587">
            <v>0.52</v>
          </cell>
          <cell r="AJ587">
            <v>22.2</v>
          </cell>
          <cell r="AK587">
            <v>5.5</v>
          </cell>
          <cell r="AL587">
            <v>0.17</v>
          </cell>
          <cell r="AM587">
            <v>3.18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658</v>
          </cell>
          <cell r="AU587">
            <v>0</v>
          </cell>
          <cell r="AV587">
            <v>869</v>
          </cell>
          <cell r="AW587">
            <v>27</v>
          </cell>
          <cell r="AX587">
            <v>24</v>
          </cell>
          <cell r="AY587">
            <v>260</v>
          </cell>
          <cell r="AZ587">
            <v>2.11</v>
          </cell>
          <cell r="BA587" t="str">
            <v>D2006001</v>
          </cell>
          <cell r="BB587" t="str">
            <v>CONFORM</v>
          </cell>
          <cell r="BC587" t="str">
            <v>CONFORM</v>
          </cell>
          <cell r="BD587" t="str">
            <v>CONFORM</v>
          </cell>
          <cell r="BE587" t="str">
            <v>CONFORM</v>
          </cell>
          <cell r="BF587" t="str">
            <v>CONFORM</v>
          </cell>
        </row>
        <row r="588">
          <cell r="A588">
            <v>43986</v>
          </cell>
          <cell r="B588" t="str">
            <v>D2006029-1</v>
          </cell>
          <cell r="C588" t="str">
            <v>045/20</v>
          </cell>
          <cell r="D588">
            <v>1</v>
          </cell>
          <cell r="E588">
            <v>43987</v>
          </cell>
          <cell r="F588" t="str">
            <v>DC</v>
          </cell>
          <cell r="G588" t="str">
            <v>On Time</v>
          </cell>
          <cell r="H588" t="str">
            <v>0008509273</v>
          </cell>
          <cell r="I588">
            <v>43983</v>
          </cell>
          <cell r="J588" t="str">
            <v>OUTO</v>
          </cell>
          <cell r="K588" t="str">
            <v>D2006029</v>
          </cell>
          <cell r="L588">
            <v>1</v>
          </cell>
          <cell r="M588">
            <v>897886</v>
          </cell>
          <cell r="N588">
            <v>529348</v>
          </cell>
          <cell r="O588" t="str">
            <v xml:space="preserve">1.4401/1.4404 TP316/316L </v>
          </cell>
          <cell r="P588" t="str">
            <v>316L</v>
          </cell>
          <cell r="Q588">
            <v>2.3860000000000001</v>
          </cell>
          <cell r="S588">
            <v>2.7E-2</v>
          </cell>
          <cell r="T588">
            <v>2.8000000000000001E-2</v>
          </cell>
          <cell r="V588">
            <v>2.8000000000000001E-2</v>
          </cell>
          <cell r="X588">
            <v>2174</v>
          </cell>
          <cell r="Y588">
            <v>1</v>
          </cell>
          <cell r="Z588">
            <v>911.14836546521371</v>
          </cell>
          <cell r="AA588" t="str">
            <v>2.386X0.027-316L</v>
          </cell>
          <cell r="AB588" t="str">
            <v>WAAF006060070B300086</v>
          </cell>
          <cell r="AC588" t="str">
            <v>D2006029</v>
          </cell>
          <cell r="AD588">
            <v>529348</v>
          </cell>
          <cell r="AE588">
            <v>2.4E-2</v>
          </cell>
          <cell r="AF588">
            <v>1.49</v>
          </cell>
          <cell r="AG588">
            <v>3.3000000000000002E-2</v>
          </cell>
          <cell r="AH588">
            <v>1E-3</v>
          </cell>
          <cell r="AI588">
            <v>0.46</v>
          </cell>
          <cell r="AJ588">
            <v>17</v>
          </cell>
          <cell r="AK588">
            <v>10</v>
          </cell>
          <cell r="AL588">
            <v>0.04</v>
          </cell>
          <cell r="AM588">
            <v>2.0299999999999998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0.48</v>
          </cell>
          <cell r="AS588">
            <v>0</v>
          </cell>
          <cell r="AT588">
            <v>292</v>
          </cell>
          <cell r="AU588">
            <v>0</v>
          </cell>
          <cell r="AV588">
            <v>631</v>
          </cell>
          <cell r="AW588">
            <v>52</v>
          </cell>
          <cell r="AX588">
            <v>81</v>
          </cell>
          <cell r="AY588">
            <v>153</v>
          </cell>
          <cell r="AZ588">
            <v>1.59</v>
          </cell>
          <cell r="BA588" t="str">
            <v>D2006029</v>
          </cell>
          <cell r="BB588" t="str">
            <v>CONFORM</v>
          </cell>
          <cell r="BC588" t="str">
            <v>CONFORM</v>
          </cell>
          <cell r="BD588" t="str">
            <v>CONFORM</v>
          </cell>
          <cell r="BE588" t="str">
            <v>CONFORM</v>
          </cell>
          <cell r="BF588" t="str">
            <v>CONFORM</v>
          </cell>
        </row>
        <row r="589">
          <cell r="A589">
            <v>43986</v>
          </cell>
          <cell r="B589" t="str">
            <v>D2006029-2</v>
          </cell>
          <cell r="C589" t="str">
            <v>045/20</v>
          </cell>
          <cell r="D589">
            <v>1</v>
          </cell>
          <cell r="E589">
            <v>43987</v>
          </cell>
          <cell r="F589" t="str">
            <v>DC</v>
          </cell>
          <cell r="G589" t="str">
            <v>On Time</v>
          </cell>
          <cell r="H589" t="str">
            <v>0008509273</v>
          </cell>
          <cell r="I589">
            <v>43983</v>
          </cell>
          <cell r="J589" t="str">
            <v>OUTO</v>
          </cell>
          <cell r="K589" t="str">
            <v>D2006029</v>
          </cell>
          <cell r="L589">
            <v>2</v>
          </cell>
          <cell r="M589">
            <v>897886</v>
          </cell>
          <cell r="N589">
            <v>529348</v>
          </cell>
          <cell r="O589" t="str">
            <v xml:space="preserve">1.4401/1.4404 TP316/316L </v>
          </cell>
          <cell r="P589" t="str">
            <v>316L</v>
          </cell>
          <cell r="Q589">
            <v>2.3860000000000001</v>
          </cell>
          <cell r="S589">
            <v>2.7E-2</v>
          </cell>
          <cell r="T589">
            <v>2.8000000000000001E-2</v>
          </cell>
          <cell r="V589">
            <v>2.8000000000000001E-2</v>
          </cell>
          <cell r="X589">
            <v>2169</v>
          </cell>
          <cell r="Y589">
            <v>1</v>
          </cell>
          <cell r="Z589">
            <v>909.05280804694041</v>
          </cell>
          <cell r="AA589" t="str">
            <v>2.386X0.027-316L</v>
          </cell>
          <cell r="AB589" t="str">
            <v>WAAF006060070B300086</v>
          </cell>
          <cell r="AC589" t="str">
            <v>D2006029</v>
          </cell>
          <cell r="AD589">
            <v>529348</v>
          </cell>
          <cell r="AE589">
            <v>2.4E-2</v>
          </cell>
          <cell r="AF589">
            <v>1.49</v>
          </cell>
          <cell r="AG589">
            <v>3.3000000000000002E-2</v>
          </cell>
          <cell r="AH589">
            <v>1E-3</v>
          </cell>
          <cell r="AI589">
            <v>0.46</v>
          </cell>
          <cell r="AJ589">
            <v>17</v>
          </cell>
          <cell r="AK589">
            <v>10</v>
          </cell>
          <cell r="AL589">
            <v>0.04</v>
          </cell>
          <cell r="AM589">
            <v>2.0299999999999998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0.48</v>
          </cell>
          <cell r="AS589">
            <v>0</v>
          </cell>
          <cell r="AT589">
            <v>292</v>
          </cell>
          <cell r="AU589">
            <v>0</v>
          </cell>
          <cell r="AV589">
            <v>631</v>
          </cell>
          <cell r="AW589">
            <v>52</v>
          </cell>
          <cell r="AX589">
            <v>81</v>
          </cell>
          <cell r="AY589">
            <v>153</v>
          </cell>
          <cell r="AZ589">
            <v>1.59</v>
          </cell>
          <cell r="BA589" t="str">
            <v>D2006029</v>
          </cell>
          <cell r="BB589" t="str">
            <v>CONFORM</v>
          </cell>
          <cell r="BC589" t="str">
            <v>CONFORM</v>
          </cell>
          <cell r="BD589" t="str">
            <v>CONFORM</v>
          </cell>
          <cell r="BE589" t="str">
            <v>CONFORM</v>
          </cell>
          <cell r="BF589" t="str">
            <v>CONFORM</v>
          </cell>
        </row>
        <row r="590">
          <cell r="A590">
            <v>43986</v>
          </cell>
          <cell r="B590" t="str">
            <v>D2006029-3</v>
          </cell>
          <cell r="C590" t="str">
            <v>045/20</v>
          </cell>
          <cell r="D590">
            <v>1</v>
          </cell>
          <cell r="E590">
            <v>43987</v>
          </cell>
          <cell r="F590" t="str">
            <v>DC</v>
          </cell>
          <cell r="G590" t="str">
            <v>On Time</v>
          </cell>
          <cell r="H590" t="str">
            <v>0008509273</v>
          </cell>
          <cell r="I590">
            <v>43983</v>
          </cell>
          <cell r="J590" t="str">
            <v>OUTO</v>
          </cell>
          <cell r="K590" t="str">
            <v>D2006029</v>
          </cell>
          <cell r="L590">
            <v>3</v>
          </cell>
          <cell r="M590">
            <v>897886</v>
          </cell>
          <cell r="N590">
            <v>529348</v>
          </cell>
          <cell r="O590" t="str">
            <v xml:space="preserve">1.4401/1.4404 TP316/316L </v>
          </cell>
          <cell r="P590" t="str">
            <v>316L</v>
          </cell>
          <cell r="Q590">
            <v>2.3860000000000001</v>
          </cell>
          <cell r="S590">
            <v>2.7E-2</v>
          </cell>
          <cell r="T590">
            <v>2.8000000000000001E-2</v>
          </cell>
          <cell r="V590">
            <v>2.8000000000000001E-2</v>
          </cell>
          <cell r="X590">
            <v>2165</v>
          </cell>
          <cell r="Y590">
            <v>1</v>
          </cell>
          <cell r="Z590">
            <v>907.37636211232189</v>
          </cell>
          <cell r="AA590" t="str">
            <v>2.386X0.027-316L</v>
          </cell>
          <cell r="AB590" t="str">
            <v>WAAF006060070B300086</v>
          </cell>
          <cell r="AC590" t="str">
            <v>D2006029</v>
          </cell>
          <cell r="AD590">
            <v>529348</v>
          </cell>
          <cell r="AE590">
            <v>2.4E-2</v>
          </cell>
          <cell r="AF590">
            <v>1.49</v>
          </cell>
          <cell r="AG590">
            <v>3.3000000000000002E-2</v>
          </cell>
          <cell r="AH590">
            <v>1E-3</v>
          </cell>
          <cell r="AI590">
            <v>0.46</v>
          </cell>
          <cell r="AJ590">
            <v>17</v>
          </cell>
          <cell r="AK590">
            <v>10</v>
          </cell>
          <cell r="AL590">
            <v>0.04</v>
          </cell>
          <cell r="AM590">
            <v>2.0299999999999998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0.48</v>
          </cell>
          <cell r="AS590">
            <v>0</v>
          </cell>
          <cell r="AT590">
            <v>292</v>
          </cell>
          <cell r="AU590">
            <v>0</v>
          </cell>
          <cell r="AV590">
            <v>631</v>
          </cell>
          <cell r="AW590">
            <v>52</v>
          </cell>
          <cell r="AX590">
            <v>81</v>
          </cell>
          <cell r="AY590">
            <v>153</v>
          </cell>
          <cell r="AZ590">
            <v>1.59</v>
          </cell>
          <cell r="BA590" t="str">
            <v>D2006029</v>
          </cell>
          <cell r="BB590" t="str">
            <v>CONFORM</v>
          </cell>
          <cell r="BC590" t="str">
            <v>CONFORM</v>
          </cell>
          <cell r="BD590" t="str">
            <v>CONFORM</v>
          </cell>
          <cell r="BE590" t="str">
            <v>CONFORM</v>
          </cell>
          <cell r="BF590" t="str">
            <v>CONFORM</v>
          </cell>
        </row>
        <row r="591">
          <cell r="A591">
            <v>43986</v>
          </cell>
          <cell r="B591" t="str">
            <v>D2006029-4</v>
          </cell>
          <cell r="C591" t="str">
            <v>045/20</v>
          </cell>
          <cell r="D591">
            <v>1</v>
          </cell>
          <cell r="E591">
            <v>43987</v>
          </cell>
          <cell r="F591" t="str">
            <v>DC</v>
          </cell>
          <cell r="G591" t="str">
            <v>On Time</v>
          </cell>
          <cell r="H591" t="str">
            <v>0008509273</v>
          </cell>
          <cell r="I591">
            <v>43983</v>
          </cell>
          <cell r="J591" t="str">
            <v>OUTO</v>
          </cell>
          <cell r="K591" t="str">
            <v>D2006029</v>
          </cell>
          <cell r="L591">
            <v>4</v>
          </cell>
          <cell r="M591">
            <v>897886</v>
          </cell>
          <cell r="N591">
            <v>529348</v>
          </cell>
          <cell r="O591" t="str">
            <v xml:space="preserve">1.4401/1.4404 TP316/316L </v>
          </cell>
          <cell r="P591" t="str">
            <v>316L</v>
          </cell>
          <cell r="Q591">
            <v>2.3860000000000001</v>
          </cell>
          <cell r="S591">
            <v>2.7E-2</v>
          </cell>
          <cell r="T591">
            <v>2.8000000000000001E-2</v>
          </cell>
          <cell r="V591">
            <v>2.8000000000000001E-2</v>
          </cell>
          <cell r="X591">
            <v>2165</v>
          </cell>
          <cell r="Y591">
            <v>1</v>
          </cell>
          <cell r="Z591">
            <v>907.37636211232189</v>
          </cell>
          <cell r="AA591" t="str">
            <v>2.386X0.027-316L</v>
          </cell>
          <cell r="AB591" t="str">
            <v>WAAF006060070B300086</v>
          </cell>
          <cell r="AC591" t="str">
            <v>D2006029</v>
          </cell>
          <cell r="AD591">
            <v>529348</v>
          </cell>
          <cell r="AE591">
            <v>2.4E-2</v>
          </cell>
          <cell r="AF591">
            <v>1.49</v>
          </cell>
          <cell r="AG591">
            <v>3.3000000000000002E-2</v>
          </cell>
          <cell r="AH591">
            <v>1E-3</v>
          </cell>
          <cell r="AI591">
            <v>0.46</v>
          </cell>
          <cell r="AJ591">
            <v>17</v>
          </cell>
          <cell r="AK591">
            <v>10</v>
          </cell>
          <cell r="AL591">
            <v>0.04</v>
          </cell>
          <cell r="AM591">
            <v>2.0299999999999998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0.48</v>
          </cell>
          <cell r="AS591">
            <v>0</v>
          </cell>
          <cell r="AT591">
            <v>292</v>
          </cell>
          <cell r="AU591">
            <v>0</v>
          </cell>
          <cell r="AV591">
            <v>631</v>
          </cell>
          <cell r="AW591">
            <v>52</v>
          </cell>
          <cell r="AX591">
            <v>81</v>
          </cell>
          <cell r="AY591">
            <v>153</v>
          </cell>
          <cell r="AZ591">
            <v>1.59</v>
          </cell>
          <cell r="BA591" t="str">
            <v>D2006029</v>
          </cell>
          <cell r="BB591" t="str">
            <v>CONFORM</v>
          </cell>
          <cell r="BC591" t="str">
            <v>CONFORM</v>
          </cell>
          <cell r="BD591" t="str">
            <v>CONFORM</v>
          </cell>
          <cell r="BE591" t="str">
            <v>CONFORM</v>
          </cell>
          <cell r="BF591" t="str">
            <v>CONFORM</v>
          </cell>
        </row>
        <row r="592">
          <cell r="A592">
            <v>43986</v>
          </cell>
          <cell r="B592" t="str">
            <v>D2006029-5</v>
          </cell>
          <cell r="C592" t="str">
            <v>045/20</v>
          </cell>
          <cell r="D592">
            <v>1</v>
          </cell>
          <cell r="E592">
            <v>43987</v>
          </cell>
          <cell r="F592" t="str">
            <v>DC</v>
          </cell>
          <cell r="G592" t="str">
            <v>On Time</v>
          </cell>
          <cell r="H592" t="str">
            <v>0008509273</v>
          </cell>
          <cell r="I592">
            <v>43983</v>
          </cell>
          <cell r="J592" t="str">
            <v>OUTO</v>
          </cell>
          <cell r="K592" t="str">
            <v>D2006029</v>
          </cell>
          <cell r="L592">
            <v>5</v>
          </cell>
          <cell r="M592">
            <v>897886</v>
          </cell>
          <cell r="N592">
            <v>529348</v>
          </cell>
          <cell r="O592" t="str">
            <v xml:space="preserve">1.4401/1.4404 TP316/316L </v>
          </cell>
          <cell r="P592" t="str">
            <v>316L</v>
          </cell>
          <cell r="Q592">
            <v>2.3860000000000001</v>
          </cell>
          <cell r="S592">
            <v>2.7E-2</v>
          </cell>
          <cell r="T592">
            <v>2.8000000000000001E-2</v>
          </cell>
          <cell r="V592">
            <v>2.8000000000000001E-2</v>
          </cell>
          <cell r="X592">
            <v>2174</v>
          </cell>
          <cell r="Y592">
            <v>1</v>
          </cell>
          <cell r="Z592">
            <v>911.14836546521371</v>
          </cell>
          <cell r="AA592" t="str">
            <v>2.386X0.027-316L</v>
          </cell>
          <cell r="AB592" t="str">
            <v>WAAF006060070B300086</v>
          </cell>
          <cell r="AC592" t="str">
            <v>D2006029</v>
          </cell>
          <cell r="AD592">
            <v>529348</v>
          </cell>
          <cell r="AE592">
            <v>2.4E-2</v>
          </cell>
          <cell r="AF592">
            <v>1.49</v>
          </cell>
          <cell r="AG592">
            <v>3.3000000000000002E-2</v>
          </cell>
          <cell r="AH592">
            <v>1E-3</v>
          </cell>
          <cell r="AI592">
            <v>0.46</v>
          </cell>
          <cell r="AJ592">
            <v>17</v>
          </cell>
          <cell r="AK592">
            <v>10</v>
          </cell>
          <cell r="AL592">
            <v>0.04</v>
          </cell>
          <cell r="AM592">
            <v>2.0299999999999998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0.48</v>
          </cell>
          <cell r="AS592">
            <v>0</v>
          </cell>
          <cell r="AT592">
            <v>292</v>
          </cell>
          <cell r="AU592">
            <v>0</v>
          </cell>
          <cell r="AV592">
            <v>631</v>
          </cell>
          <cell r="AW592">
            <v>52</v>
          </cell>
          <cell r="AX592">
            <v>81</v>
          </cell>
          <cell r="AY592">
            <v>153</v>
          </cell>
          <cell r="AZ592">
            <v>1.59</v>
          </cell>
          <cell r="BA592" t="str">
            <v>D2006029</v>
          </cell>
          <cell r="BB592" t="str">
            <v>CONFORM</v>
          </cell>
          <cell r="BC592" t="str">
            <v>CONFORM</v>
          </cell>
          <cell r="BD592" t="str">
            <v>CONFORM</v>
          </cell>
          <cell r="BE592" t="str">
            <v>CONFORM</v>
          </cell>
          <cell r="BF592" t="str">
            <v>CONFORM</v>
          </cell>
        </row>
        <row r="593">
          <cell r="A593">
            <v>43986</v>
          </cell>
          <cell r="B593" t="str">
            <v>D2006029-6</v>
          </cell>
          <cell r="C593" t="str">
            <v>045/20</v>
          </cell>
          <cell r="D593">
            <v>1</v>
          </cell>
          <cell r="E593">
            <v>43987</v>
          </cell>
          <cell r="F593" t="str">
            <v>DC</v>
          </cell>
          <cell r="G593" t="str">
            <v>On Time</v>
          </cell>
          <cell r="H593" t="str">
            <v>0008509273</v>
          </cell>
          <cell r="I593">
            <v>43983</v>
          </cell>
          <cell r="J593" t="str">
            <v>OUTO</v>
          </cell>
          <cell r="K593" t="str">
            <v>D2006029</v>
          </cell>
          <cell r="L593">
            <v>6</v>
          </cell>
          <cell r="M593">
            <v>897886</v>
          </cell>
          <cell r="N593">
            <v>529348</v>
          </cell>
          <cell r="O593" t="str">
            <v xml:space="preserve">1.4401/1.4404 TP316/316L </v>
          </cell>
          <cell r="P593" t="str">
            <v>316L</v>
          </cell>
          <cell r="Q593">
            <v>2.3860000000000001</v>
          </cell>
          <cell r="S593">
            <v>2.7E-2</v>
          </cell>
          <cell r="T593">
            <v>2.8000000000000001E-2</v>
          </cell>
          <cell r="V593">
            <v>2.8000000000000001E-2</v>
          </cell>
          <cell r="X593">
            <v>2165</v>
          </cell>
          <cell r="Y593">
            <v>1</v>
          </cell>
          <cell r="Z593">
            <v>907.37636211232189</v>
          </cell>
          <cell r="AA593" t="str">
            <v>2.386X0.027-316L</v>
          </cell>
          <cell r="AB593" t="str">
            <v>WAAF006060070B300086</v>
          </cell>
          <cell r="AC593" t="str">
            <v>D2006029</v>
          </cell>
          <cell r="AD593">
            <v>529348</v>
          </cell>
          <cell r="AE593">
            <v>2.4E-2</v>
          </cell>
          <cell r="AF593">
            <v>1.49</v>
          </cell>
          <cell r="AG593">
            <v>3.3000000000000002E-2</v>
          </cell>
          <cell r="AH593">
            <v>1E-3</v>
          </cell>
          <cell r="AI593">
            <v>0.46</v>
          </cell>
          <cell r="AJ593">
            <v>17</v>
          </cell>
          <cell r="AK593">
            <v>10</v>
          </cell>
          <cell r="AL593">
            <v>0.04</v>
          </cell>
          <cell r="AM593">
            <v>2.0299999999999998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0.48</v>
          </cell>
          <cell r="AS593">
            <v>0</v>
          </cell>
          <cell r="AT593">
            <v>292</v>
          </cell>
          <cell r="AU593">
            <v>0</v>
          </cell>
          <cell r="AV593">
            <v>631</v>
          </cell>
          <cell r="AW593">
            <v>52</v>
          </cell>
          <cell r="AX593">
            <v>81</v>
          </cell>
          <cell r="AY593">
            <v>153</v>
          </cell>
          <cell r="AZ593">
            <v>1.59</v>
          </cell>
          <cell r="BA593" t="str">
            <v>D2006029</v>
          </cell>
          <cell r="BB593" t="str">
            <v>CONFORM</v>
          </cell>
          <cell r="BC593" t="str">
            <v>CONFORM</v>
          </cell>
          <cell r="BD593" t="str">
            <v>CONFORM</v>
          </cell>
          <cell r="BE593" t="str">
            <v>CONFORM</v>
          </cell>
          <cell r="BF593" t="str">
            <v>CONFORM</v>
          </cell>
        </row>
        <row r="594">
          <cell r="A594">
            <v>43986</v>
          </cell>
          <cell r="B594" t="str">
            <v>D2006029-7</v>
          </cell>
          <cell r="C594" t="str">
            <v>045/20</v>
          </cell>
          <cell r="D594">
            <v>1</v>
          </cell>
          <cell r="E594">
            <v>43987</v>
          </cell>
          <cell r="F594" t="str">
            <v>DC</v>
          </cell>
          <cell r="G594" t="str">
            <v>On Time</v>
          </cell>
          <cell r="H594" t="str">
            <v>0008509273</v>
          </cell>
          <cell r="I594">
            <v>43983</v>
          </cell>
          <cell r="J594" t="str">
            <v>OUTO</v>
          </cell>
          <cell r="K594" t="str">
            <v>D2006029</v>
          </cell>
          <cell r="L594">
            <v>7</v>
          </cell>
          <cell r="M594">
            <v>897886</v>
          </cell>
          <cell r="N594">
            <v>529348</v>
          </cell>
          <cell r="O594" t="str">
            <v xml:space="preserve">1.4401/1.4404 TP316/316L </v>
          </cell>
          <cell r="P594" t="str">
            <v>316L</v>
          </cell>
          <cell r="Q594">
            <v>2.3860000000000001</v>
          </cell>
          <cell r="S594">
            <v>2.7E-2</v>
          </cell>
          <cell r="T594">
            <v>2.8000000000000001E-2</v>
          </cell>
          <cell r="V594">
            <v>2.8000000000000001E-2</v>
          </cell>
          <cell r="X594">
            <v>2178</v>
          </cell>
          <cell r="Y594">
            <v>1</v>
          </cell>
          <cell r="Z594">
            <v>912.82481139983236</v>
          </cell>
          <cell r="AA594" t="str">
            <v>2.386X0.027-316L</v>
          </cell>
          <cell r="AB594" t="str">
            <v>WAAF006060070B300086</v>
          </cell>
          <cell r="AC594" t="str">
            <v>D2006029</v>
          </cell>
          <cell r="AD594">
            <v>529348</v>
          </cell>
          <cell r="AE594">
            <v>2.4E-2</v>
          </cell>
          <cell r="AF594">
            <v>1.49</v>
          </cell>
          <cell r="AG594">
            <v>3.3000000000000002E-2</v>
          </cell>
          <cell r="AH594">
            <v>1E-3</v>
          </cell>
          <cell r="AI594">
            <v>0.46</v>
          </cell>
          <cell r="AJ594">
            <v>17</v>
          </cell>
          <cell r="AK594">
            <v>10</v>
          </cell>
          <cell r="AL594">
            <v>0.04</v>
          </cell>
          <cell r="AM594">
            <v>2.0299999999999998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0.48</v>
          </cell>
          <cell r="AS594">
            <v>0</v>
          </cell>
          <cell r="AT594">
            <v>292</v>
          </cell>
          <cell r="AU594">
            <v>0</v>
          </cell>
          <cell r="AV594">
            <v>631</v>
          </cell>
          <cell r="AW594">
            <v>52</v>
          </cell>
          <cell r="AX594">
            <v>81</v>
          </cell>
          <cell r="AY594">
            <v>153</v>
          </cell>
          <cell r="AZ594">
            <v>1.59</v>
          </cell>
          <cell r="BA594" t="str">
            <v>D2006029</v>
          </cell>
          <cell r="BB594" t="str">
            <v>CONFORM</v>
          </cell>
          <cell r="BC594" t="str">
            <v>CONFORM</v>
          </cell>
          <cell r="BD594" t="str">
            <v>CONFORM</v>
          </cell>
          <cell r="BE594" t="str">
            <v>CONFORM</v>
          </cell>
          <cell r="BF594" t="str">
            <v>CONFORM</v>
          </cell>
        </row>
        <row r="595">
          <cell r="A595">
            <v>43986</v>
          </cell>
          <cell r="B595" t="str">
            <v>D2006029-8</v>
          </cell>
          <cell r="C595" t="str">
            <v>045/20</v>
          </cell>
          <cell r="D595">
            <v>1</v>
          </cell>
          <cell r="E595">
            <v>43987</v>
          </cell>
          <cell r="F595" t="str">
            <v>DC</v>
          </cell>
          <cell r="G595" t="str">
            <v>On Time</v>
          </cell>
          <cell r="H595" t="str">
            <v>0008509273</v>
          </cell>
          <cell r="I595">
            <v>43983</v>
          </cell>
          <cell r="J595" t="str">
            <v>OUTO</v>
          </cell>
          <cell r="K595" t="str">
            <v>D2006029</v>
          </cell>
          <cell r="L595">
            <v>8</v>
          </cell>
          <cell r="M595">
            <v>897886</v>
          </cell>
          <cell r="N595">
            <v>529348</v>
          </cell>
          <cell r="O595" t="str">
            <v xml:space="preserve">1.4401/1.4404 TP316/316L </v>
          </cell>
          <cell r="P595" t="str">
            <v>316L</v>
          </cell>
          <cell r="Q595">
            <v>2.3860000000000001</v>
          </cell>
          <cell r="S595">
            <v>2.7E-2</v>
          </cell>
          <cell r="T595">
            <v>2.8000000000000001E-2</v>
          </cell>
          <cell r="V595">
            <v>2.8000000000000001E-2</v>
          </cell>
          <cell r="X595">
            <v>2169</v>
          </cell>
          <cell r="Y595">
            <v>1</v>
          </cell>
          <cell r="Z595">
            <v>909.05280804694041</v>
          </cell>
          <cell r="AA595" t="str">
            <v>2.386X0.027-316L</v>
          </cell>
          <cell r="AB595" t="str">
            <v>WAAF006060070B300086</v>
          </cell>
          <cell r="AC595" t="str">
            <v>D2006029</v>
          </cell>
          <cell r="AD595">
            <v>529348</v>
          </cell>
          <cell r="AE595">
            <v>2.4E-2</v>
          </cell>
          <cell r="AF595">
            <v>1.49</v>
          </cell>
          <cell r="AG595">
            <v>3.3000000000000002E-2</v>
          </cell>
          <cell r="AH595">
            <v>1E-3</v>
          </cell>
          <cell r="AI595">
            <v>0.46</v>
          </cell>
          <cell r="AJ595">
            <v>17</v>
          </cell>
          <cell r="AK595">
            <v>10</v>
          </cell>
          <cell r="AL595">
            <v>0.04</v>
          </cell>
          <cell r="AM595">
            <v>2.0299999999999998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0.48</v>
          </cell>
          <cell r="AS595">
            <v>0</v>
          </cell>
          <cell r="AT595">
            <v>292</v>
          </cell>
          <cell r="AU595">
            <v>0</v>
          </cell>
          <cell r="AV595">
            <v>631</v>
          </cell>
          <cell r="AW595">
            <v>52</v>
          </cell>
          <cell r="AX595">
            <v>81</v>
          </cell>
          <cell r="AY595">
            <v>153</v>
          </cell>
          <cell r="AZ595">
            <v>1.59</v>
          </cell>
          <cell r="BA595" t="str">
            <v>D2006029</v>
          </cell>
          <cell r="BB595" t="str">
            <v>CONFORM</v>
          </cell>
          <cell r="BC595" t="str">
            <v>CONFORM</v>
          </cell>
          <cell r="BD595" t="str">
            <v>CONFORM</v>
          </cell>
          <cell r="BE595" t="str">
            <v>CONFORM</v>
          </cell>
          <cell r="BF595" t="str">
            <v>CONFORM</v>
          </cell>
        </row>
        <row r="596">
          <cell r="A596">
            <v>43986</v>
          </cell>
          <cell r="B596" t="str">
            <v>D2006029-9</v>
          </cell>
          <cell r="C596" t="str">
            <v>045/20</v>
          </cell>
          <cell r="D596">
            <v>1</v>
          </cell>
          <cell r="E596">
            <v>43987</v>
          </cell>
          <cell r="F596" t="str">
            <v>DC</v>
          </cell>
          <cell r="G596" t="str">
            <v>On Time</v>
          </cell>
          <cell r="H596" t="str">
            <v>0008509273</v>
          </cell>
          <cell r="I596">
            <v>43983</v>
          </cell>
          <cell r="J596" t="str">
            <v>OUTO</v>
          </cell>
          <cell r="K596" t="str">
            <v>D2006029</v>
          </cell>
          <cell r="L596">
            <v>9</v>
          </cell>
          <cell r="M596">
            <v>897886</v>
          </cell>
          <cell r="N596">
            <v>529348</v>
          </cell>
          <cell r="O596" t="str">
            <v xml:space="preserve">1.4401/1.4404 TP316/316L </v>
          </cell>
          <cell r="P596" t="str">
            <v>316L</v>
          </cell>
          <cell r="Q596">
            <v>2.3860000000000001</v>
          </cell>
          <cell r="S596">
            <v>2.7E-2</v>
          </cell>
          <cell r="T596">
            <v>2.8000000000000001E-2</v>
          </cell>
          <cell r="V596">
            <v>2.8000000000000001E-2</v>
          </cell>
          <cell r="X596">
            <v>2178</v>
          </cell>
          <cell r="Y596">
            <v>1</v>
          </cell>
          <cell r="Z596">
            <v>912.82481139983236</v>
          </cell>
          <cell r="AA596" t="str">
            <v>2.386X0.027-316L</v>
          </cell>
          <cell r="AB596" t="str">
            <v>WAAF006060070B300086</v>
          </cell>
          <cell r="AC596" t="str">
            <v>D2006029</v>
          </cell>
          <cell r="AD596">
            <v>529348</v>
          </cell>
          <cell r="AE596">
            <v>2.4E-2</v>
          </cell>
          <cell r="AF596">
            <v>1.49</v>
          </cell>
          <cell r="AG596">
            <v>3.3000000000000002E-2</v>
          </cell>
          <cell r="AH596">
            <v>1E-3</v>
          </cell>
          <cell r="AI596">
            <v>0.46</v>
          </cell>
          <cell r="AJ596">
            <v>17</v>
          </cell>
          <cell r="AK596">
            <v>10</v>
          </cell>
          <cell r="AL596">
            <v>0.04</v>
          </cell>
          <cell r="AM596">
            <v>2.0299999999999998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0.48</v>
          </cell>
          <cell r="AS596">
            <v>0</v>
          </cell>
          <cell r="AT596">
            <v>292</v>
          </cell>
          <cell r="AU596">
            <v>0</v>
          </cell>
          <cell r="AV596">
            <v>631</v>
          </cell>
          <cell r="AW596">
            <v>52</v>
          </cell>
          <cell r="AX596">
            <v>81</v>
          </cell>
          <cell r="AY596">
            <v>153</v>
          </cell>
          <cell r="AZ596">
            <v>1.59</v>
          </cell>
          <cell r="BA596" t="str">
            <v>D2006029</v>
          </cell>
          <cell r="BB596" t="str">
            <v>CONFORM</v>
          </cell>
          <cell r="BC596" t="str">
            <v>CONFORM</v>
          </cell>
          <cell r="BD596" t="str">
            <v>CONFORM</v>
          </cell>
          <cell r="BE596" t="str">
            <v>CONFORM</v>
          </cell>
          <cell r="BF596" t="str">
            <v>CONFORM</v>
          </cell>
        </row>
        <row r="597">
          <cell r="A597">
            <v>43986</v>
          </cell>
          <cell r="B597" t="str">
            <v>D2006029-10</v>
          </cell>
          <cell r="C597" t="str">
            <v>045/20</v>
          </cell>
          <cell r="D597">
            <v>1</v>
          </cell>
          <cell r="E597">
            <v>43987</v>
          </cell>
          <cell r="F597" t="str">
            <v>DC</v>
          </cell>
          <cell r="G597" t="str">
            <v>On Time</v>
          </cell>
          <cell r="H597" t="str">
            <v>0008509273</v>
          </cell>
          <cell r="I597">
            <v>43983</v>
          </cell>
          <cell r="J597" t="str">
            <v>OUTO</v>
          </cell>
          <cell r="K597" t="str">
            <v>D2006029</v>
          </cell>
          <cell r="L597">
            <v>10</v>
          </cell>
          <cell r="M597">
            <v>897886</v>
          </cell>
          <cell r="N597">
            <v>529348</v>
          </cell>
          <cell r="O597" t="str">
            <v xml:space="preserve">1.4401/1.4404 TP316/316L </v>
          </cell>
          <cell r="P597" t="str">
            <v>316L</v>
          </cell>
          <cell r="Q597">
            <v>2.3860000000000001</v>
          </cell>
          <cell r="S597">
            <v>2.7E-2</v>
          </cell>
          <cell r="T597">
            <v>2.8000000000000001E-2</v>
          </cell>
          <cell r="V597">
            <v>2.8000000000000001E-2</v>
          </cell>
          <cell r="X597">
            <v>2178</v>
          </cell>
          <cell r="Y597">
            <v>1</v>
          </cell>
          <cell r="Z597">
            <v>912.82481139983236</v>
          </cell>
          <cell r="AA597" t="str">
            <v>2.386X0.027-316L</v>
          </cell>
          <cell r="AB597" t="str">
            <v>WAAF006060070B300086</v>
          </cell>
          <cell r="AC597" t="str">
            <v>D2006029</v>
          </cell>
          <cell r="AD597">
            <v>529348</v>
          </cell>
          <cell r="AE597">
            <v>2.4E-2</v>
          </cell>
          <cell r="AF597">
            <v>1.49</v>
          </cell>
          <cell r="AG597">
            <v>3.3000000000000002E-2</v>
          </cell>
          <cell r="AH597">
            <v>1E-3</v>
          </cell>
          <cell r="AI597">
            <v>0.46</v>
          </cell>
          <cell r="AJ597">
            <v>17</v>
          </cell>
          <cell r="AK597">
            <v>10</v>
          </cell>
          <cell r="AL597">
            <v>0.04</v>
          </cell>
          <cell r="AM597">
            <v>2.0299999999999998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0.48</v>
          </cell>
          <cell r="AS597">
            <v>0</v>
          </cell>
          <cell r="AT597">
            <v>292</v>
          </cell>
          <cell r="AU597">
            <v>0</v>
          </cell>
          <cell r="AV597">
            <v>631</v>
          </cell>
          <cell r="AW597">
            <v>52</v>
          </cell>
          <cell r="AX597">
            <v>81</v>
          </cell>
          <cell r="AY597">
            <v>153</v>
          </cell>
          <cell r="AZ597">
            <v>1.59</v>
          </cell>
          <cell r="BA597" t="str">
            <v>D2006029</v>
          </cell>
          <cell r="BB597" t="str">
            <v>CONFORM</v>
          </cell>
          <cell r="BC597" t="str">
            <v>CONFORM</v>
          </cell>
          <cell r="BD597" t="str">
            <v>CONFORM</v>
          </cell>
          <cell r="BE597" t="str">
            <v>CONFORM</v>
          </cell>
          <cell r="BF597" t="str">
            <v>CONFORM</v>
          </cell>
        </row>
        <row r="598">
          <cell r="A598">
            <v>43986</v>
          </cell>
          <cell r="B598" t="str">
            <v>D2006029-11</v>
          </cell>
          <cell r="C598" t="str">
            <v>045/20</v>
          </cell>
          <cell r="D598">
            <v>1</v>
          </cell>
          <cell r="E598">
            <v>43987</v>
          </cell>
          <cell r="F598" t="str">
            <v>DC</v>
          </cell>
          <cell r="G598" t="str">
            <v>On Time</v>
          </cell>
          <cell r="H598" t="str">
            <v>0008509273</v>
          </cell>
          <cell r="I598">
            <v>43983</v>
          </cell>
          <cell r="J598" t="str">
            <v>OUTO</v>
          </cell>
          <cell r="K598" t="str">
            <v>D2006029</v>
          </cell>
          <cell r="L598">
            <v>11</v>
          </cell>
          <cell r="M598">
            <v>897886</v>
          </cell>
          <cell r="N598">
            <v>529348</v>
          </cell>
          <cell r="O598" t="str">
            <v xml:space="preserve">1.4401/1.4404 TP316/316L </v>
          </cell>
          <cell r="P598" t="str">
            <v>316L</v>
          </cell>
          <cell r="Q598">
            <v>2.3860000000000001</v>
          </cell>
          <cell r="S598">
            <v>2.7E-2</v>
          </cell>
          <cell r="T598">
            <v>2.8000000000000001E-2</v>
          </cell>
          <cell r="V598">
            <v>2.8000000000000001E-2</v>
          </cell>
          <cell r="X598">
            <v>2169</v>
          </cell>
          <cell r="Y598">
            <v>1</v>
          </cell>
          <cell r="Z598">
            <v>909.05280804694041</v>
          </cell>
          <cell r="AA598" t="str">
            <v>2.386X0.027-316L</v>
          </cell>
          <cell r="AB598" t="str">
            <v>WAAF006060070B300086</v>
          </cell>
          <cell r="AC598" t="str">
            <v>D2006029</v>
          </cell>
          <cell r="AD598">
            <v>529348</v>
          </cell>
          <cell r="AE598">
            <v>2.4E-2</v>
          </cell>
          <cell r="AF598">
            <v>1.49</v>
          </cell>
          <cell r="AG598">
            <v>3.3000000000000002E-2</v>
          </cell>
          <cell r="AH598">
            <v>1E-3</v>
          </cell>
          <cell r="AI598">
            <v>0.46</v>
          </cell>
          <cell r="AJ598">
            <v>17</v>
          </cell>
          <cell r="AK598">
            <v>10</v>
          </cell>
          <cell r="AL598">
            <v>0.04</v>
          </cell>
          <cell r="AM598">
            <v>2.0299999999999998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0.48</v>
          </cell>
          <cell r="AS598">
            <v>0</v>
          </cell>
          <cell r="AT598">
            <v>292</v>
          </cell>
          <cell r="AU598">
            <v>0</v>
          </cell>
          <cell r="AV598">
            <v>631</v>
          </cell>
          <cell r="AW598">
            <v>52</v>
          </cell>
          <cell r="AX598">
            <v>81</v>
          </cell>
          <cell r="AY598">
            <v>153</v>
          </cell>
          <cell r="AZ598">
            <v>1.59</v>
          </cell>
          <cell r="BA598" t="str">
            <v>D2006029</v>
          </cell>
          <cell r="BB598" t="str">
            <v>CONFORM</v>
          </cell>
          <cell r="BC598" t="str">
            <v>CONFORM</v>
          </cell>
          <cell r="BD598" t="str">
            <v>CONFORM</v>
          </cell>
          <cell r="BE598" t="str">
            <v>CONFORM</v>
          </cell>
          <cell r="BF598" t="str">
            <v>CONFORM</v>
          </cell>
        </row>
        <row r="599">
          <cell r="A599">
            <v>43986</v>
          </cell>
          <cell r="B599" t="str">
            <v>D2006029-12</v>
          </cell>
          <cell r="C599" t="str">
            <v>045/20</v>
          </cell>
          <cell r="D599">
            <v>1</v>
          </cell>
          <cell r="E599">
            <v>43987</v>
          </cell>
          <cell r="F599" t="str">
            <v>DC</v>
          </cell>
          <cell r="G599" t="str">
            <v>On Time</v>
          </cell>
          <cell r="H599" t="str">
            <v>0008509273</v>
          </cell>
          <cell r="I599">
            <v>43983</v>
          </cell>
          <cell r="J599" t="str">
            <v>OUTO</v>
          </cell>
          <cell r="K599" t="str">
            <v>D2006029</v>
          </cell>
          <cell r="L599">
            <v>12</v>
          </cell>
          <cell r="M599">
            <v>897886</v>
          </cell>
          <cell r="N599">
            <v>529348</v>
          </cell>
          <cell r="O599" t="str">
            <v xml:space="preserve">1.4401/1.4404 TP316/316L </v>
          </cell>
          <cell r="P599" t="str">
            <v>316L</v>
          </cell>
          <cell r="Q599">
            <v>2.3860000000000001</v>
          </cell>
          <cell r="S599">
            <v>2.7E-2</v>
          </cell>
          <cell r="T599">
            <v>2.8000000000000001E-2</v>
          </cell>
          <cell r="V599">
            <v>2.8000000000000001E-2</v>
          </cell>
          <cell r="X599">
            <v>2178</v>
          </cell>
          <cell r="Y599">
            <v>1</v>
          </cell>
          <cell r="Z599">
            <v>912.82481139983236</v>
          </cell>
          <cell r="AA599" t="str">
            <v>2.386X0.027-316L</v>
          </cell>
          <cell r="AB599" t="str">
            <v>WAAF006060070B300086</v>
          </cell>
          <cell r="AC599" t="str">
            <v>D2006029</v>
          </cell>
          <cell r="AD599">
            <v>529348</v>
          </cell>
          <cell r="AE599">
            <v>2.4E-2</v>
          </cell>
          <cell r="AF599">
            <v>1.49</v>
          </cell>
          <cell r="AG599">
            <v>3.3000000000000002E-2</v>
          </cell>
          <cell r="AH599">
            <v>1E-3</v>
          </cell>
          <cell r="AI599">
            <v>0.46</v>
          </cell>
          <cell r="AJ599">
            <v>17</v>
          </cell>
          <cell r="AK599">
            <v>10</v>
          </cell>
          <cell r="AL599">
            <v>0.04</v>
          </cell>
          <cell r="AM599">
            <v>2.0299999999999998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0.48</v>
          </cell>
          <cell r="AS599">
            <v>0</v>
          </cell>
          <cell r="AT599">
            <v>292</v>
          </cell>
          <cell r="AU599">
            <v>0</v>
          </cell>
          <cell r="AV599">
            <v>631</v>
          </cell>
          <cell r="AW599">
            <v>52</v>
          </cell>
          <cell r="AX599">
            <v>81</v>
          </cell>
          <cell r="AY599">
            <v>153</v>
          </cell>
          <cell r="AZ599">
            <v>1.59</v>
          </cell>
          <cell r="BA599" t="str">
            <v>D2006029</v>
          </cell>
          <cell r="BB599" t="str">
            <v>CONFORM</v>
          </cell>
          <cell r="BC599" t="str">
            <v>CONFORM</v>
          </cell>
          <cell r="BD599" t="str">
            <v>CONFORM</v>
          </cell>
          <cell r="BE599" t="str">
            <v>CONFORM</v>
          </cell>
          <cell r="BF599" t="str">
            <v>CONFORM</v>
          </cell>
        </row>
        <row r="600">
          <cell r="A600">
            <v>43986</v>
          </cell>
          <cell r="B600" t="str">
            <v>D2006029-13</v>
          </cell>
          <cell r="C600" t="str">
            <v>045/20</v>
          </cell>
          <cell r="D600">
            <v>1</v>
          </cell>
          <cell r="E600">
            <v>43987</v>
          </cell>
          <cell r="F600" t="str">
            <v>DC</v>
          </cell>
          <cell r="G600" t="str">
            <v>On Time</v>
          </cell>
          <cell r="H600" t="str">
            <v>0008509273</v>
          </cell>
          <cell r="I600">
            <v>43983</v>
          </cell>
          <cell r="J600" t="str">
            <v>OUTO</v>
          </cell>
          <cell r="K600" t="str">
            <v>D2006029</v>
          </cell>
          <cell r="L600">
            <v>13</v>
          </cell>
          <cell r="M600">
            <v>897886</v>
          </cell>
          <cell r="N600">
            <v>529348</v>
          </cell>
          <cell r="O600" t="str">
            <v xml:space="preserve">1.4401/1.4404 TP316/316L </v>
          </cell>
          <cell r="P600" t="str">
            <v>316L</v>
          </cell>
          <cell r="Q600">
            <v>2.3860000000000001</v>
          </cell>
          <cell r="S600">
            <v>2.7E-2</v>
          </cell>
          <cell r="T600">
            <v>2.8000000000000001E-2</v>
          </cell>
          <cell r="V600">
            <v>2.8000000000000001E-2</v>
          </cell>
          <cell r="X600">
            <v>2183</v>
          </cell>
          <cell r="Y600">
            <v>1</v>
          </cell>
          <cell r="Z600">
            <v>914.92036881810554</v>
          </cell>
          <cell r="AA600" t="str">
            <v>2.386X0.027-316L</v>
          </cell>
          <cell r="AB600" t="str">
            <v>WAAF006060070B300086</v>
          </cell>
          <cell r="AC600" t="str">
            <v>D2006029</v>
          </cell>
          <cell r="AD600">
            <v>529348</v>
          </cell>
          <cell r="AE600">
            <v>2.4E-2</v>
          </cell>
          <cell r="AF600">
            <v>1.49</v>
          </cell>
          <cell r="AG600">
            <v>3.3000000000000002E-2</v>
          </cell>
          <cell r="AH600">
            <v>1E-3</v>
          </cell>
          <cell r="AI600">
            <v>0.46</v>
          </cell>
          <cell r="AJ600">
            <v>17</v>
          </cell>
          <cell r="AK600">
            <v>10</v>
          </cell>
          <cell r="AL600">
            <v>0.04</v>
          </cell>
          <cell r="AM600">
            <v>2.0299999999999998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0.48</v>
          </cell>
          <cell r="AS600">
            <v>0</v>
          </cell>
          <cell r="AT600">
            <v>292</v>
          </cell>
          <cell r="AU600">
            <v>0</v>
          </cell>
          <cell r="AV600">
            <v>631</v>
          </cell>
          <cell r="AW600">
            <v>52</v>
          </cell>
          <cell r="AX600">
            <v>81</v>
          </cell>
          <cell r="AY600">
            <v>153</v>
          </cell>
          <cell r="AZ600">
            <v>1.59</v>
          </cell>
          <cell r="BA600" t="str">
            <v>D2006029</v>
          </cell>
          <cell r="BB600" t="str">
            <v>CONFORM</v>
          </cell>
          <cell r="BC600" t="str">
            <v>CONFORM</v>
          </cell>
          <cell r="BD600" t="str">
            <v>CONFORM</v>
          </cell>
          <cell r="BE600" t="str">
            <v>CONFORM</v>
          </cell>
          <cell r="BF600" t="str">
            <v>CONFORM</v>
          </cell>
        </row>
        <row r="601">
          <cell r="A601">
            <v>43986</v>
          </cell>
          <cell r="B601" t="str">
            <v>D2006029-14</v>
          </cell>
          <cell r="C601" t="str">
            <v>045/20</v>
          </cell>
          <cell r="D601">
            <v>1</v>
          </cell>
          <cell r="E601">
            <v>43987</v>
          </cell>
          <cell r="F601" t="str">
            <v>DC</v>
          </cell>
          <cell r="G601" t="str">
            <v>On Time</v>
          </cell>
          <cell r="H601" t="str">
            <v>0008509273</v>
          </cell>
          <cell r="I601">
            <v>43983</v>
          </cell>
          <cell r="J601" t="str">
            <v>OUTO</v>
          </cell>
          <cell r="K601" t="str">
            <v>D2006029</v>
          </cell>
          <cell r="L601">
            <v>14</v>
          </cell>
          <cell r="M601">
            <v>897886</v>
          </cell>
          <cell r="N601">
            <v>529348</v>
          </cell>
          <cell r="O601" t="str">
            <v xml:space="preserve">1.4401/1.4404 TP316/316L </v>
          </cell>
          <cell r="P601" t="str">
            <v>316L</v>
          </cell>
          <cell r="Q601">
            <v>2.3860000000000001</v>
          </cell>
          <cell r="S601">
            <v>2.7E-2</v>
          </cell>
          <cell r="T601">
            <v>2.8000000000000001E-2</v>
          </cell>
          <cell r="V601">
            <v>2.8000000000000001E-2</v>
          </cell>
          <cell r="X601">
            <v>2377</v>
          </cell>
          <cell r="Y601">
            <v>1</v>
          </cell>
          <cell r="Z601">
            <v>996.22799664710806</v>
          </cell>
          <cell r="AA601" t="str">
            <v>2.386X0.027-316L</v>
          </cell>
          <cell r="AB601" t="str">
            <v>WAAF006060070B300086</v>
          </cell>
          <cell r="AC601" t="str">
            <v>D2006029</v>
          </cell>
          <cell r="AD601">
            <v>529348</v>
          </cell>
          <cell r="AE601">
            <v>2.4E-2</v>
          </cell>
          <cell r="AF601">
            <v>1.49</v>
          </cell>
          <cell r="AG601">
            <v>3.3000000000000002E-2</v>
          </cell>
          <cell r="AH601">
            <v>1E-3</v>
          </cell>
          <cell r="AI601">
            <v>0.46</v>
          </cell>
          <cell r="AJ601">
            <v>17</v>
          </cell>
          <cell r="AK601">
            <v>10</v>
          </cell>
          <cell r="AL601">
            <v>0.04</v>
          </cell>
          <cell r="AM601">
            <v>2.0299999999999998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0.48</v>
          </cell>
          <cell r="AS601">
            <v>0</v>
          </cell>
          <cell r="AT601">
            <v>292</v>
          </cell>
          <cell r="AU601">
            <v>0</v>
          </cell>
          <cell r="AV601">
            <v>631</v>
          </cell>
          <cell r="AW601">
            <v>52</v>
          </cell>
          <cell r="AX601">
            <v>81</v>
          </cell>
          <cell r="AY601">
            <v>153</v>
          </cell>
          <cell r="AZ601">
            <v>1.59</v>
          </cell>
          <cell r="BA601" t="str">
            <v>D2006029</v>
          </cell>
          <cell r="BB601" t="str">
            <v>CONFORM</v>
          </cell>
          <cell r="BC601" t="str">
            <v>CONFORM</v>
          </cell>
          <cell r="BD601" t="str">
            <v>CONFORM</v>
          </cell>
          <cell r="BE601" t="str">
            <v>CONFORM</v>
          </cell>
          <cell r="BF601" t="str">
            <v>CONFORM</v>
          </cell>
        </row>
        <row r="602">
          <cell r="A602">
            <v>43986</v>
          </cell>
          <cell r="B602" t="str">
            <v>D2006030-1</v>
          </cell>
          <cell r="C602" t="str">
            <v>045/20</v>
          </cell>
          <cell r="D602">
            <v>1</v>
          </cell>
          <cell r="E602">
            <v>43987</v>
          </cell>
          <cell r="F602" t="str">
            <v>DC</v>
          </cell>
          <cell r="G602" t="str">
            <v>On Time</v>
          </cell>
          <cell r="H602" t="str">
            <v>0008509273</v>
          </cell>
          <cell r="I602">
            <v>43983</v>
          </cell>
          <cell r="J602" t="str">
            <v>OUTO</v>
          </cell>
          <cell r="K602" t="str">
            <v>D2006030</v>
          </cell>
          <cell r="L602">
            <v>1</v>
          </cell>
          <cell r="M602">
            <v>883625</v>
          </cell>
          <cell r="N602">
            <v>528763</v>
          </cell>
          <cell r="O602" t="str">
            <v xml:space="preserve">1.4401/1.4404 TP316/316L </v>
          </cell>
          <cell r="P602" t="str">
            <v>316L</v>
          </cell>
          <cell r="Q602">
            <v>2.3860000000000001</v>
          </cell>
          <cell r="S602">
            <v>2.7E-2</v>
          </cell>
          <cell r="T602">
            <v>2.8000000000000001E-2</v>
          </cell>
          <cell r="V602">
            <v>2.8000000000000001E-2</v>
          </cell>
          <cell r="X602">
            <v>2187</v>
          </cell>
          <cell r="Y602">
            <v>2</v>
          </cell>
          <cell r="Z602">
            <v>458.29840737636209</v>
          </cell>
          <cell r="AA602" t="str">
            <v>2.386X0.027-316L</v>
          </cell>
          <cell r="AB602" t="str">
            <v>WAAF006060070B300086</v>
          </cell>
          <cell r="AC602" t="str">
            <v>D2006030</v>
          </cell>
          <cell r="AD602">
            <v>528763</v>
          </cell>
          <cell r="AE602">
            <v>2.4E-2</v>
          </cell>
          <cell r="AF602">
            <v>1.45</v>
          </cell>
          <cell r="AG602">
            <v>3.3000000000000002E-2</v>
          </cell>
          <cell r="AH602">
            <v>1E-3</v>
          </cell>
          <cell r="AI602">
            <v>0.4</v>
          </cell>
          <cell r="AJ602">
            <v>16.5</v>
          </cell>
          <cell r="AK602">
            <v>10</v>
          </cell>
          <cell r="AL602">
            <v>3.9E-2</v>
          </cell>
          <cell r="AM602">
            <v>2.0299999999999998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0.52</v>
          </cell>
          <cell r="AS602">
            <v>0</v>
          </cell>
          <cell r="AT602">
            <v>286</v>
          </cell>
          <cell r="AU602">
            <v>0</v>
          </cell>
          <cell r="AV602">
            <v>625</v>
          </cell>
          <cell r="AW602">
            <v>54</v>
          </cell>
          <cell r="AX602">
            <v>81</v>
          </cell>
          <cell r="AY602">
            <v>153</v>
          </cell>
          <cell r="AZ602">
            <v>1.59</v>
          </cell>
          <cell r="BA602" t="str">
            <v>D2006030</v>
          </cell>
          <cell r="BB602" t="str">
            <v>CONFORM</v>
          </cell>
          <cell r="BC602" t="str">
            <v>CONFORM</v>
          </cell>
          <cell r="BD602" t="str">
            <v>CONFORM</v>
          </cell>
          <cell r="BE602" t="str">
            <v>CONFORM</v>
          </cell>
          <cell r="BF602" t="str">
            <v>CONFORM</v>
          </cell>
        </row>
        <row r="603">
          <cell r="A603">
            <v>43986</v>
          </cell>
          <cell r="B603" t="str">
            <v>D2006030-2</v>
          </cell>
          <cell r="C603" t="str">
            <v>045/20</v>
          </cell>
          <cell r="D603">
            <v>1</v>
          </cell>
          <cell r="E603">
            <v>43987</v>
          </cell>
          <cell r="F603" t="str">
            <v>DC</v>
          </cell>
          <cell r="G603" t="str">
            <v>On Time</v>
          </cell>
          <cell r="H603" t="str">
            <v>0008509273</v>
          </cell>
          <cell r="I603">
            <v>43983</v>
          </cell>
          <cell r="J603" t="str">
            <v>OUTO</v>
          </cell>
          <cell r="K603" t="str">
            <v>D2006030</v>
          </cell>
          <cell r="L603">
            <v>2</v>
          </cell>
          <cell r="M603">
            <v>883625</v>
          </cell>
          <cell r="N603">
            <v>528763</v>
          </cell>
          <cell r="O603" t="str">
            <v xml:space="preserve">1.4401/1.4404 TP316/316L </v>
          </cell>
          <cell r="P603" t="str">
            <v>316L</v>
          </cell>
          <cell r="Q603">
            <v>2.3860000000000001</v>
          </cell>
          <cell r="S603">
            <v>2.7E-2</v>
          </cell>
          <cell r="T603">
            <v>2.8000000000000001E-2</v>
          </cell>
          <cell r="V603">
            <v>2.8000000000000001E-2</v>
          </cell>
          <cell r="X603">
            <v>2216</v>
          </cell>
          <cell r="Y603">
            <v>2</v>
          </cell>
          <cell r="Z603">
            <v>464.37552388935455</v>
          </cell>
          <cell r="AA603" t="str">
            <v>2.386X0.027-316L</v>
          </cell>
          <cell r="AB603" t="str">
            <v>WAAF006060070B300086</v>
          </cell>
          <cell r="AC603" t="str">
            <v>D2006030</v>
          </cell>
          <cell r="AD603">
            <v>528763</v>
          </cell>
          <cell r="AE603">
            <v>2.4E-2</v>
          </cell>
          <cell r="AF603">
            <v>1.45</v>
          </cell>
          <cell r="AG603">
            <v>3.3000000000000002E-2</v>
          </cell>
          <cell r="AH603">
            <v>1E-3</v>
          </cell>
          <cell r="AI603">
            <v>0.4</v>
          </cell>
          <cell r="AJ603">
            <v>16.5</v>
          </cell>
          <cell r="AK603">
            <v>10</v>
          </cell>
          <cell r="AL603">
            <v>3.9E-2</v>
          </cell>
          <cell r="AM603">
            <v>2.0299999999999998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0.52</v>
          </cell>
          <cell r="AS603">
            <v>0</v>
          </cell>
          <cell r="AT603">
            <v>286</v>
          </cell>
          <cell r="AU603">
            <v>0</v>
          </cell>
          <cell r="AV603">
            <v>625</v>
          </cell>
          <cell r="AW603">
            <v>54</v>
          </cell>
          <cell r="AX603">
            <v>81</v>
          </cell>
          <cell r="AY603">
            <v>153</v>
          </cell>
          <cell r="AZ603">
            <v>1.59</v>
          </cell>
          <cell r="BA603" t="str">
            <v>D2006030</v>
          </cell>
          <cell r="BB603" t="str">
            <v>CONFORM</v>
          </cell>
          <cell r="BC603" t="str">
            <v>CONFORM</v>
          </cell>
          <cell r="BD603" t="str">
            <v>CONFORM</v>
          </cell>
          <cell r="BE603" t="str">
            <v>CONFORM</v>
          </cell>
          <cell r="BF603" t="str">
            <v>CONFORM</v>
          </cell>
        </row>
        <row r="604">
          <cell r="A604">
            <v>43986</v>
          </cell>
          <cell r="B604" t="str">
            <v>D2006030-3</v>
          </cell>
          <cell r="C604" t="str">
            <v>045/20</v>
          </cell>
          <cell r="D604">
            <v>1</v>
          </cell>
          <cell r="E604">
            <v>43987</v>
          </cell>
          <cell r="F604" t="str">
            <v>DC</v>
          </cell>
          <cell r="G604" t="str">
            <v>On Time</v>
          </cell>
          <cell r="H604" t="str">
            <v>0008509273</v>
          </cell>
          <cell r="I604">
            <v>43983</v>
          </cell>
          <cell r="J604" t="str">
            <v>OUTO</v>
          </cell>
          <cell r="K604" t="str">
            <v>D2006030</v>
          </cell>
          <cell r="L604">
            <v>3</v>
          </cell>
          <cell r="M604">
            <v>883625</v>
          </cell>
          <cell r="N604">
            <v>528763</v>
          </cell>
          <cell r="O604" t="str">
            <v xml:space="preserve">1.4401/1.4404 TP316/316L </v>
          </cell>
          <cell r="P604" t="str">
            <v>316L</v>
          </cell>
          <cell r="Q604">
            <v>2.3860000000000001</v>
          </cell>
          <cell r="S604">
            <v>2.7E-2</v>
          </cell>
          <cell r="T604">
            <v>2.8000000000000001E-2</v>
          </cell>
          <cell r="V604">
            <v>2.8000000000000001E-2</v>
          </cell>
          <cell r="X604">
            <v>2202</v>
          </cell>
          <cell r="Y604">
            <v>2</v>
          </cell>
          <cell r="Z604">
            <v>461.44174350377199</v>
          </cell>
          <cell r="AA604" t="str">
            <v>2.386X0.027-316L</v>
          </cell>
          <cell r="AB604" t="str">
            <v>WAAF006060070B300086</v>
          </cell>
          <cell r="AC604" t="str">
            <v>D2006030</v>
          </cell>
          <cell r="AD604">
            <v>528763</v>
          </cell>
          <cell r="AE604">
            <v>2.4E-2</v>
          </cell>
          <cell r="AF604">
            <v>1.45</v>
          </cell>
          <cell r="AG604">
            <v>3.3000000000000002E-2</v>
          </cell>
          <cell r="AH604">
            <v>1E-3</v>
          </cell>
          <cell r="AI604">
            <v>0.4</v>
          </cell>
          <cell r="AJ604">
            <v>16.5</v>
          </cell>
          <cell r="AK604">
            <v>10</v>
          </cell>
          <cell r="AL604">
            <v>3.9E-2</v>
          </cell>
          <cell r="AM604">
            <v>2.0299999999999998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0.52</v>
          </cell>
          <cell r="AS604">
            <v>0</v>
          </cell>
          <cell r="AT604">
            <v>286</v>
          </cell>
          <cell r="AU604">
            <v>0</v>
          </cell>
          <cell r="AV604">
            <v>625</v>
          </cell>
          <cell r="AW604">
            <v>54</v>
          </cell>
          <cell r="AX604">
            <v>81</v>
          </cell>
          <cell r="AY604">
            <v>153</v>
          </cell>
          <cell r="AZ604">
            <v>1.59</v>
          </cell>
          <cell r="BA604" t="str">
            <v>D2006030</v>
          </cell>
          <cell r="BB604" t="str">
            <v>CONFORM</v>
          </cell>
          <cell r="BC604" t="str">
            <v>CONFORM</v>
          </cell>
          <cell r="BD604" t="str">
            <v>CONFORM</v>
          </cell>
          <cell r="BE604" t="str">
            <v>CONFORM</v>
          </cell>
          <cell r="BF604" t="str">
            <v>CONFORM</v>
          </cell>
        </row>
        <row r="605">
          <cell r="A605">
            <v>43986</v>
          </cell>
          <cell r="B605" t="str">
            <v>D2006030-4</v>
          </cell>
          <cell r="C605" t="str">
            <v>045/20</v>
          </cell>
          <cell r="D605">
            <v>1</v>
          </cell>
          <cell r="E605">
            <v>43987</v>
          </cell>
          <cell r="F605" t="str">
            <v>DC</v>
          </cell>
          <cell r="G605" t="str">
            <v>On Time</v>
          </cell>
          <cell r="H605" t="str">
            <v>0008509273</v>
          </cell>
          <cell r="I605">
            <v>43983</v>
          </cell>
          <cell r="J605" t="str">
            <v>OUTO</v>
          </cell>
          <cell r="K605" t="str">
            <v>D2006030</v>
          </cell>
          <cell r="L605">
            <v>4</v>
          </cell>
          <cell r="M605">
            <v>883625</v>
          </cell>
          <cell r="N605">
            <v>528763</v>
          </cell>
          <cell r="O605" t="str">
            <v xml:space="preserve">1.4401/1.4404 TP316/316L </v>
          </cell>
          <cell r="P605" t="str">
            <v>316L</v>
          </cell>
          <cell r="Q605">
            <v>2.3860000000000001</v>
          </cell>
          <cell r="S605">
            <v>2.7E-2</v>
          </cell>
          <cell r="T605">
            <v>2.8000000000000001E-2</v>
          </cell>
          <cell r="V605">
            <v>2.8000000000000001E-2</v>
          </cell>
          <cell r="X605">
            <v>2213</v>
          </cell>
          <cell r="Y605">
            <v>2</v>
          </cell>
          <cell r="Z605">
            <v>463.74685666387256</v>
          </cell>
          <cell r="AA605" t="str">
            <v>2.386X0.027-316L</v>
          </cell>
          <cell r="AB605" t="str">
            <v>WAAF006060070B300086</v>
          </cell>
          <cell r="AC605" t="str">
            <v>D2006030</v>
          </cell>
          <cell r="AD605">
            <v>528763</v>
          </cell>
          <cell r="AE605">
            <v>2.4E-2</v>
          </cell>
          <cell r="AF605">
            <v>1.45</v>
          </cell>
          <cell r="AG605">
            <v>3.3000000000000002E-2</v>
          </cell>
          <cell r="AH605">
            <v>1E-3</v>
          </cell>
          <cell r="AI605">
            <v>0.4</v>
          </cell>
          <cell r="AJ605">
            <v>16.5</v>
          </cell>
          <cell r="AK605">
            <v>10</v>
          </cell>
          <cell r="AL605">
            <v>3.9E-2</v>
          </cell>
          <cell r="AM605">
            <v>2.0299999999999998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0.52</v>
          </cell>
          <cell r="AS605">
            <v>0</v>
          </cell>
          <cell r="AT605">
            <v>286</v>
          </cell>
          <cell r="AU605">
            <v>0</v>
          </cell>
          <cell r="AV605">
            <v>625</v>
          </cell>
          <cell r="AW605">
            <v>54</v>
          </cell>
          <cell r="AX605">
            <v>81</v>
          </cell>
          <cell r="AY605">
            <v>153</v>
          </cell>
          <cell r="AZ605">
            <v>1.59</v>
          </cell>
          <cell r="BA605" t="str">
            <v>D2006030</v>
          </cell>
          <cell r="BB605" t="str">
            <v>CONFORM</v>
          </cell>
          <cell r="BC605" t="str">
            <v>CONFORM</v>
          </cell>
          <cell r="BD605" t="str">
            <v>CONFORM</v>
          </cell>
          <cell r="BE605" t="str">
            <v>CONFORM</v>
          </cell>
          <cell r="BF605" t="str">
            <v>CONFORM</v>
          </cell>
        </row>
        <row r="606">
          <cell r="A606">
            <v>43986</v>
          </cell>
          <cell r="B606" t="str">
            <v>D2006030-5</v>
          </cell>
          <cell r="C606" t="str">
            <v>045/20</v>
          </cell>
          <cell r="D606">
            <v>1</v>
          </cell>
          <cell r="E606">
            <v>43987</v>
          </cell>
          <cell r="F606" t="str">
            <v>DC</v>
          </cell>
          <cell r="G606" t="str">
            <v>On Time</v>
          </cell>
          <cell r="H606" t="str">
            <v>0008509273</v>
          </cell>
          <cell r="I606">
            <v>43983</v>
          </cell>
          <cell r="J606" t="str">
            <v>OUTO</v>
          </cell>
          <cell r="K606" t="str">
            <v>D2006030</v>
          </cell>
          <cell r="L606">
            <v>5</v>
          </cell>
          <cell r="M606">
            <v>883625</v>
          </cell>
          <cell r="N606">
            <v>528763</v>
          </cell>
          <cell r="O606" t="str">
            <v xml:space="preserve">1.4401/1.4404 TP316/316L </v>
          </cell>
          <cell r="P606" t="str">
            <v>316L</v>
          </cell>
          <cell r="Q606">
            <v>2.3860000000000001</v>
          </cell>
          <cell r="S606">
            <v>2.7E-2</v>
          </cell>
          <cell r="T606">
            <v>2.8000000000000001E-2</v>
          </cell>
          <cell r="V606">
            <v>2.8000000000000001E-2</v>
          </cell>
          <cell r="X606">
            <v>2200</v>
          </cell>
          <cell r="Y606">
            <v>2</v>
          </cell>
          <cell r="Z606">
            <v>461.02263202011733</v>
          </cell>
          <cell r="AA606" t="str">
            <v>2.386X0.027-316L</v>
          </cell>
          <cell r="AB606" t="str">
            <v>WAAF006060070B300086</v>
          </cell>
          <cell r="AC606" t="str">
            <v>D2006030</v>
          </cell>
          <cell r="AD606">
            <v>528763</v>
          </cell>
          <cell r="AE606">
            <v>2.4E-2</v>
          </cell>
          <cell r="AF606">
            <v>1.45</v>
          </cell>
          <cell r="AG606">
            <v>3.3000000000000002E-2</v>
          </cell>
          <cell r="AH606">
            <v>1E-3</v>
          </cell>
          <cell r="AI606">
            <v>0.4</v>
          </cell>
          <cell r="AJ606">
            <v>16.5</v>
          </cell>
          <cell r="AK606">
            <v>10</v>
          </cell>
          <cell r="AL606">
            <v>3.9E-2</v>
          </cell>
          <cell r="AM606">
            <v>2.0299999999999998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0.52</v>
          </cell>
          <cell r="AS606">
            <v>0</v>
          </cell>
          <cell r="AT606">
            <v>286</v>
          </cell>
          <cell r="AU606">
            <v>0</v>
          </cell>
          <cell r="AV606">
            <v>625</v>
          </cell>
          <cell r="AW606">
            <v>54</v>
          </cell>
          <cell r="AX606">
            <v>81</v>
          </cell>
          <cell r="AY606">
            <v>153</v>
          </cell>
          <cell r="AZ606">
            <v>1.59</v>
          </cell>
          <cell r="BA606" t="str">
            <v>D2006030</v>
          </cell>
          <cell r="BB606" t="str">
            <v>CONFORM</v>
          </cell>
          <cell r="BC606" t="str">
            <v>CONFORM</v>
          </cell>
          <cell r="BD606" t="str">
            <v>CONFORM</v>
          </cell>
          <cell r="BE606" t="str">
            <v>CONFORM</v>
          </cell>
          <cell r="BF606" t="str">
            <v>CONFORM</v>
          </cell>
        </row>
        <row r="607">
          <cell r="A607">
            <v>43986</v>
          </cell>
          <cell r="B607" t="str">
            <v>D2006030-6</v>
          </cell>
          <cell r="C607" t="str">
            <v>045/20</v>
          </cell>
          <cell r="D607">
            <v>1</v>
          </cell>
          <cell r="E607">
            <v>43987</v>
          </cell>
          <cell r="F607" t="str">
            <v>DC</v>
          </cell>
          <cell r="G607" t="str">
            <v>On Time</v>
          </cell>
          <cell r="H607" t="str">
            <v>0008509273</v>
          </cell>
          <cell r="I607">
            <v>43983</v>
          </cell>
          <cell r="J607" t="str">
            <v>OUTO</v>
          </cell>
          <cell r="K607" t="str">
            <v>D2006030</v>
          </cell>
          <cell r="L607">
            <v>6</v>
          </cell>
          <cell r="M607">
            <v>883625</v>
          </cell>
          <cell r="N607">
            <v>528763</v>
          </cell>
          <cell r="O607" t="str">
            <v xml:space="preserve">1.4401/1.4404 TP316/316L </v>
          </cell>
          <cell r="P607" t="str">
            <v>316L</v>
          </cell>
          <cell r="Q607">
            <v>2.3860000000000001</v>
          </cell>
          <cell r="S607">
            <v>2.7E-2</v>
          </cell>
          <cell r="T607">
            <v>2.8000000000000001E-2</v>
          </cell>
          <cell r="V607">
            <v>2.8000000000000001E-2</v>
          </cell>
          <cell r="X607">
            <v>2200</v>
          </cell>
          <cell r="Y607">
            <v>2</v>
          </cell>
          <cell r="Z607">
            <v>461.02263202011733</v>
          </cell>
          <cell r="AA607" t="str">
            <v>2.386X0.027-316L</v>
          </cell>
          <cell r="AB607" t="str">
            <v>WAAF006060070B300086</v>
          </cell>
          <cell r="AC607" t="str">
            <v>D2006030</v>
          </cell>
          <cell r="AD607">
            <v>528763</v>
          </cell>
          <cell r="AE607">
            <v>2.4E-2</v>
          </cell>
          <cell r="AF607">
            <v>1.45</v>
          </cell>
          <cell r="AG607">
            <v>3.3000000000000002E-2</v>
          </cell>
          <cell r="AH607">
            <v>1E-3</v>
          </cell>
          <cell r="AI607">
            <v>0.4</v>
          </cell>
          <cell r="AJ607">
            <v>16.5</v>
          </cell>
          <cell r="AK607">
            <v>10</v>
          </cell>
          <cell r="AL607">
            <v>3.9E-2</v>
          </cell>
          <cell r="AM607">
            <v>2.0299999999999998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0.52</v>
          </cell>
          <cell r="AS607">
            <v>0</v>
          </cell>
          <cell r="AT607">
            <v>286</v>
          </cell>
          <cell r="AU607">
            <v>0</v>
          </cell>
          <cell r="AV607">
            <v>625</v>
          </cell>
          <cell r="AW607">
            <v>54</v>
          </cell>
          <cell r="AX607">
            <v>81</v>
          </cell>
          <cell r="AY607">
            <v>153</v>
          </cell>
          <cell r="AZ607">
            <v>1.59</v>
          </cell>
          <cell r="BA607" t="str">
            <v>D2006030</v>
          </cell>
          <cell r="BB607" t="str">
            <v>CONFORM</v>
          </cell>
          <cell r="BC607" t="str">
            <v>CONFORM</v>
          </cell>
          <cell r="BD607" t="str">
            <v>CONFORM</v>
          </cell>
          <cell r="BE607" t="str">
            <v>CONFORM</v>
          </cell>
          <cell r="BF607" t="str">
            <v>CONFORM</v>
          </cell>
        </row>
        <row r="608">
          <cell r="A608">
            <v>43986</v>
          </cell>
          <cell r="B608" t="str">
            <v>D2006030-7</v>
          </cell>
          <cell r="C608" t="str">
            <v>045/20</v>
          </cell>
          <cell r="D608">
            <v>1</v>
          </cell>
          <cell r="E608">
            <v>43987</v>
          </cell>
          <cell r="F608" t="str">
            <v>DC</v>
          </cell>
          <cell r="G608" t="str">
            <v>On Time</v>
          </cell>
          <cell r="H608" t="str">
            <v>0008509273</v>
          </cell>
          <cell r="I608">
            <v>43983</v>
          </cell>
          <cell r="J608" t="str">
            <v>OUTO</v>
          </cell>
          <cell r="K608" t="str">
            <v>D2006030</v>
          </cell>
          <cell r="L608">
            <v>7</v>
          </cell>
          <cell r="M608">
            <v>883625</v>
          </cell>
          <cell r="N608">
            <v>528763</v>
          </cell>
          <cell r="O608" t="str">
            <v xml:space="preserve">1.4401/1.4404 TP316/316L </v>
          </cell>
          <cell r="P608" t="str">
            <v>316L</v>
          </cell>
          <cell r="Q608">
            <v>2.3860000000000001</v>
          </cell>
          <cell r="S608">
            <v>2.7E-2</v>
          </cell>
          <cell r="T608">
            <v>2.8000000000000001E-2</v>
          </cell>
          <cell r="V608">
            <v>2.8000000000000001E-2</v>
          </cell>
          <cell r="X608">
            <v>2200</v>
          </cell>
          <cell r="Y608">
            <v>2</v>
          </cell>
          <cell r="Z608">
            <v>461.02263202011733</v>
          </cell>
          <cell r="AA608" t="str">
            <v>2.386X0.027-316L</v>
          </cell>
          <cell r="AB608" t="str">
            <v>WAAF006060070B300086</v>
          </cell>
          <cell r="AC608" t="str">
            <v>D2006030</v>
          </cell>
          <cell r="AD608">
            <v>528763</v>
          </cell>
          <cell r="AE608">
            <v>2.4E-2</v>
          </cell>
          <cell r="AF608">
            <v>1.45</v>
          </cell>
          <cell r="AG608">
            <v>3.3000000000000002E-2</v>
          </cell>
          <cell r="AH608">
            <v>1E-3</v>
          </cell>
          <cell r="AI608">
            <v>0.4</v>
          </cell>
          <cell r="AJ608">
            <v>16.5</v>
          </cell>
          <cell r="AK608">
            <v>10</v>
          </cell>
          <cell r="AL608">
            <v>3.9E-2</v>
          </cell>
          <cell r="AM608">
            <v>2.0299999999999998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0.52</v>
          </cell>
          <cell r="AS608">
            <v>0</v>
          </cell>
          <cell r="AT608">
            <v>286</v>
          </cell>
          <cell r="AU608">
            <v>0</v>
          </cell>
          <cell r="AV608">
            <v>625</v>
          </cell>
          <cell r="AW608">
            <v>54</v>
          </cell>
          <cell r="AX608">
            <v>81</v>
          </cell>
          <cell r="AY608">
            <v>153</v>
          </cell>
          <cell r="AZ608">
            <v>1.59</v>
          </cell>
          <cell r="BA608" t="str">
            <v>D2006030</v>
          </cell>
          <cell r="BB608" t="str">
            <v>CONFORM</v>
          </cell>
          <cell r="BC608" t="str">
            <v>CONFORM</v>
          </cell>
          <cell r="BD608" t="str">
            <v>CONFORM</v>
          </cell>
          <cell r="BE608" t="str">
            <v>CONFORM</v>
          </cell>
          <cell r="BF608" t="str">
            <v>CONFORM</v>
          </cell>
        </row>
        <row r="609">
          <cell r="A609">
            <v>43987</v>
          </cell>
          <cell r="B609" t="str">
            <v>D2006040-1</v>
          </cell>
          <cell r="C609" t="str">
            <v>045/20</v>
          </cell>
          <cell r="D609">
            <v>2</v>
          </cell>
          <cell r="E609">
            <v>44011</v>
          </cell>
          <cell r="F609" t="str">
            <v>DC</v>
          </cell>
          <cell r="G609" t="str">
            <v>On Time</v>
          </cell>
          <cell r="H609" t="str">
            <v>008509803</v>
          </cell>
          <cell r="I609">
            <v>43984</v>
          </cell>
          <cell r="J609" t="str">
            <v>OUTO</v>
          </cell>
          <cell r="K609" t="str">
            <v>D2006040</v>
          </cell>
          <cell r="L609">
            <v>1</v>
          </cell>
          <cell r="M609">
            <v>897364</v>
          </cell>
          <cell r="N609">
            <v>529348</v>
          </cell>
          <cell r="O609" t="str">
            <v xml:space="preserve">1.4401/1.4404 TP316/316L </v>
          </cell>
          <cell r="P609" t="str">
            <v>316L</v>
          </cell>
          <cell r="Q609">
            <v>2.3860000000000001</v>
          </cell>
          <cell r="S609">
            <v>2.7E-2</v>
          </cell>
          <cell r="T609">
            <v>2.8000000000000001E-2</v>
          </cell>
          <cell r="V609">
            <v>2.8000000000000001E-2</v>
          </cell>
          <cell r="X609">
            <v>2392</v>
          </cell>
          <cell r="Y609">
            <v>1</v>
          </cell>
          <cell r="Z609">
            <v>1002.5146689019278</v>
          </cell>
          <cell r="AA609" t="str">
            <v>2.386X0.027-316L</v>
          </cell>
          <cell r="AB609" t="str">
            <v>WAAF006060070B300086</v>
          </cell>
          <cell r="AC609" t="str">
            <v>D2006040</v>
          </cell>
          <cell r="AD609">
            <v>529348</v>
          </cell>
          <cell r="AE609">
            <v>2.4E-2</v>
          </cell>
          <cell r="AF609">
            <v>1.49</v>
          </cell>
          <cell r="AG609">
            <v>3.3000000000000002E-2</v>
          </cell>
          <cell r="AH609">
            <v>1E-3</v>
          </cell>
          <cell r="AI609">
            <v>0.46</v>
          </cell>
          <cell r="AJ609">
            <v>17</v>
          </cell>
          <cell r="AK609">
            <v>10</v>
          </cell>
          <cell r="AL609">
            <v>0.04</v>
          </cell>
          <cell r="AM609">
            <v>2.0299999999999998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0.48</v>
          </cell>
          <cell r="AS609">
            <v>0</v>
          </cell>
          <cell r="AT609">
            <v>277</v>
          </cell>
          <cell r="AU609">
            <v>0</v>
          </cell>
          <cell r="AV609">
            <v>622</v>
          </cell>
          <cell r="AW609">
            <v>54</v>
          </cell>
          <cell r="AX609">
            <v>81</v>
          </cell>
          <cell r="AY609">
            <v>153</v>
          </cell>
          <cell r="AZ609">
            <v>1.59</v>
          </cell>
          <cell r="BA609" t="str">
            <v>D2006040</v>
          </cell>
          <cell r="BB609" t="str">
            <v>CONFORM</v>
          </cell>
          <cell r="BC609" t="str">
            <v>CONFORM</v>
          </cell>
          <cell r="BD609" t="str">
            <v>CONFORM</v>
          </cell>
          <cell r="BE609" t="str">
            <v>CONFORM</v>
          </cell>
          <cell r="BF609" t="str">
            <v>CONFORM</v>
          </cell>
        </row>
        <row r="610">
          <cell r="A610">
            <v>43987</v>
          </cell>
          <cell r="B610" t="str">
            <v>D2006040-2</v>
          </cell>
          <cell r="C610" t="str">
            <v>045/20</v>
          </cell>
          <cell r="D610">
            <v>2</v>
          </cell>
          <cell r="E610">
            <v>44011</v>
          </cell>
          <cell r="F610" t="str">
            <v>DC</v>
          </cell>
          <cell r="G610" t="str">
            <v>On Time</v>
          </cell>
          <cell r="H610" t="str">
            <v>008509803</v>
          </cell>
          <cell r="I610">
            <v>43984</v>
          </cell>
          <cell r="J610" t="str">
            <v>OUTO</v>
          </cell>
          <cell r="K610" t="str">
            <v>D2006040</v>
          </cell>
          <cell r="L610">
            <v>2</v>
          </cell>
          <cell r="M610">
            <v>897364</v>
          </cell>
          <cell r="N610">
            <v>529348</v>
          </cell>
          <cell r="O610" t="str">
            <v xml:space="preserve">1.4401/1.4404 TP316/316L </v>
          </cell>
          <cell r="P610" t="str">
            <v>316L</v>
          </cell>
          <cell r="Q610">
            <v>2.3860000000000001</v>
          </cell>
          <cell r="S610">
            <v>2.7E-2</v>
          </cell>
          <cell r="T610">
            <v>2.8000000000000001E-2</v>
          </cell>
          <cell r="V610">
            <v>2.8000000000000001E-2</v>
          </cell>
          <cell r="X610">
            <v>2390</v>
          </cell>
          <cell r="Y610">
            <v>1</v>
          </cell>
          <cell r="Z610">
            <v>1001.6764459346185</v>
          </cell>
          <cell r="AA610" t="str">
            <v>2.386X0.027-316L</v>
          </cell>
          <cell r="AB610" t="str">
            <v>WAAF006060070B300086</v>
          </cell>
          <cell r="AC610" t="str">
            <v>D2006040</v>
          </cell>
          <cell r="AD610">
            <v>529348</v>
          </cell>
          <cell r="AE610">
            <v>2.4E-2</v>
          </cell>
          <cell r="AF610">
            <v>1.49</v>
          </cell>
          <cell r="AG610">
            <v>3.3000000000000002E-2</v>
          </cell>
          <cell r="AH610">
            <v>1E-3</v>
          </cell>
          <cell r="AI610">
            <v>0.46</v>
          </cell>
          <cell r="AJ610">
            <v>17</v>
          </cell>
          <cell r="AK610">
            <v>10</v>
          </cell>
          <cell r="AL610">
            <v>0.04</v>
          </cell>
          <cell r="AM610">
            <v>2.0299999999999998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0.48</v>
          </cell>
          <cell r="AS610">
            <v>0</v>
          </cell>
          <cell r="AT610">
            <v>277</v>
          </cell>
          <cell r="AU610">
            <v>0</v>
          </cell>
          <cell r="AV610">
            <v>622</v>
          </cell>
          <cell r="AW610">
            <v>54</v>
          </cell>
          <cell r="AX610">
            <v>81</v>
          </cell>
          <cell r="AY610">
            <v>153</v>
          </cell>
          <cell r="AZ610">
            <v>1.59</v>
          </cell>
          <cell r="BA610" t="str">
            <v>D2006040</v>
          </cell>
          <cell r="BB610" t="str">
            <v>CONFORM</v>
          </cell>
          <cell r="BC610" t="str">
            <v>CONFORM</v>
          </cell>
          <cell r="BD610" t="str">
            <v>CONFORM</v>
          </cell>
          <cell r="BE610" t="str">
            <v>CONFORM</v>
          </cell>
          <cell r="BF610" t="str">
            <v>CONFORM</v>
          </cell>
        </row>
        <row r="611">
          <cell r="A611">
            <v>43987</v>
          </cell>
          <cell r="B611" t="str">
            <v>D2006040-3</v>
          </cell>
          <cell r="C611" t="str">
            <v>045/20</v>
          </cell>
          <cell r="D611">
            <v>2</v>
          </cell>
          <cell r="E611">
            <v>44011</v>
          </cell>
          <cell r="F611" t="str">
            <v>DC</v>
          </cell>
          <cell r="G611" t="str">
            <v>On Time</v>
          </cell>
          <cell r="H611" t="str">
            <v>008509803</v>
          </cell>
          <cell r="I611">
            <v>43984</v>
          </cell>
          <cell r="J611" t="str">
            <v>OUTO</v>
          </cell>
          <cell r="K611" t="str">
            <v>D2006040</v>
          </cell>
          <cell r="L611">
            <v>3</v>
          </cell>
          <cell r="M611">
            <v>897364</v>
          </cell>
          <cell r="N611">
            <v>529348</v>
          </cell>
          <cell r="O611" t="str">
            <v xml:space="preserve">1.4401/1.4404 TP316/316L </v>
          </cell>
          <cell r="P611" t="str">
            <v>316L</v>
          </cell>
          <cell r="Q611">
            <v>2.3860000000000001</v>
          </cell>
          <cell r="S611">
            <v>2.7E-2</v>
          </cell>
          <cell r="T611">
            <v>2.8000000000000001E-2</v>
          </cell>
          <cell r="V611">
            <v>2.8000000000000001E-2</v>
          </cell>
          <cell r="X611">
            <v>2405</v>
          </cell>
          <cell r="Y611">
            <v>1</v>
          </cell>
          <cell r="Z611">
            <v>1007.9631181894383</v>
          </cell>
          <cell r="AA611" t="str">
            <v>2.386X0.027-316L</v>
          </cell>
          <cell r="AB611" t="str">
            <v>WAAF006060070B300086</v>
          </cell>
          <cell r="AC611" t="str">
            <v>D2006040</v>
          </cell>
          <cell r="AD611">
            <v>529348</v>
          </cell>
          <cell r="AE611">
            <v>2.4E-2</v>
          </cell>
          <cell r="AF611">
            <v>1.49</v>
          </cell>
          <cell r="AG611">
            <v>3.3000000000000002E-2</v>
          </cell>
          <cell r="AH611">
            <v>1E-3</v>
          </cell>
          <cell r="AI611">
            <v>0.46</v>
          </cell>
          <cell r="AJ611">
            <v>17</v>
          </cell>
          <cell r="AK611">
            <v>10</v>
          </cell>
          <cell r="AL611">
            <v>0.04</v>
          </cell>
          <cell r="AM611">
            <v>2.0299999999999998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0.48</v>
          </cell>
          <cell r="AS611">
            <v>0</v>
          </cell>
          <cell r="AT611">
            <v>277</v>
          </cell>
          <cell r="AU611">
            <v>0</v>
          </cell>
          <cell r="AV611">
            <v>622</v>
          </cell>
          <cell r="AW611">
            <v>54</v>
          </cell>
          <cell r="AX611">
            <v>81</v>
          </cell>
          <cell r="AY611">
            <v>153</v>
          </cell>
          <cell r="AZ611">
            <v>1.59</v>
          </cell>
          <cell r="BA611" t="str">
            <v>D2006040</v>
          </cell>
          <cell r="BB611" t="str">
            <v>CONFORM</v>
          </cell>
          <cell r="BC611" t="str">
            <v>CONFORM</v>
          </cell>
          <cell r="BD611" t="str">
            <v>CONFORM</v>
          </cell>
          <cell r="BE611" t="str">
            <v>CONFORM</v>
          </cell>
          <cell r="BF611" t="str">
            <v>CONFORM</v>
          </cell>
        </row>
        <row r="612">
          <cell r="A612">
            <v>43987</v>
          </cell>
          <cell r="B612" t="str">
            <v>D2006040-4</v>
          </cell>
          <cell r="C612" t="str">
            <v>045/20</v>
          </cell>
          <cell r="D612">
            <v>2</v>
          </cell>
          <cell r="E612">
            <v>44011</v>
          </cell>
          <cell r="F612" t="str">
            <v>DC</v>
          </cell>
          <cell r="G612" t="str">
            <v>On Time</v>
          </cell>
          <cell r="H612" t="str">
            <v>008509803</v>
          </cell>
          <cell r="I612">
            <v>43984</v>
          </cell>
          <cell r="J612" t="str">
            <v>OUTO</v>
          </cell>
          <cell r="K612" t="str">
            <v>D2006040</v>
          </cell>
          <cell r="L612">
            <v>4</v>
          </cell>
          <cell r="M612">
            <v>897364</v>
          </cell>
          <cell r="N612">
            <v>529348</v>
          </cell>
          <cell r="O612" t="str">
            <v xml:space="preserve">1.4401/1.4404 TP316/316L </v>
          </cell>
          <cell r="P612" t="str">
            <v>316L</v>
          </cell>
          <cell r="Q612">
            <v>2.3860000000000001</v>
          </cell>
          <cell r="S612">
            <v>2.7E-2</v>
          </cell>
          <cell r="T612">
            <v>2.8000000000000001E-2</v>
          </cell>
          <cell r="V612">
            <v>2.8000000000000001E-2</v>
          </cell>
          <cell r="X612">
            <v>2396</v>
          </cell>
          <cell r="Y612">
            <v>1</v>
          </cell>
          <cell r="Z612">
            <v>1004.1911148365465</v>
          </cell>
          <cell r="AA612" t="str">
            <v>2.386X0.027-316L</v>
          </cell>
          <cell r="AB612" t="str">
            <v>WAAF006060070B300086</v>
          </cell>
          <cell r="AC612" t="str">
            <v>D2006040</v>
          </cell>
          <cell r="AD612">
            <v>529348</v>
          </cell>
          <cell r="AE612">
            <v>2.4E-2</v>
          </cell>
          <cell r="AF612">
            <v>1.49</v>
          </cell>
          <cell r="AG612">
            <v>3.3000000000000002E-2</v>
          </cell>
          <cell r="AH612">
            <v>1E-3</v>
          </cell>
          <cell r="AI612">
            <v>0.46</v>
          </cell>
          <cell r="AJ612">
            <v>17</v>
          </cell>
          <cell r="AK612">
            <v>10</v>
          </cell>
          <cell r="AL612">
            <v>0.04</v>
          </cell>
          <cell r="AM612">
            <v>2.0299999999999998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0.48</v>
          </cell>
          <cell r="AS612">
            <v>0</v>
          </cell>
          <cell r="AT612">
            <v>277</v>
          </cell>
          <cell r="AU612">
            <v>0</v>
          </cell>
          <cell r="AV612">
            <v>622</v>
          </cell>
          <cell r="AW612">
            <v>54</v>
          </cell>
          <cell r="AX612">
            <v>81</v>
          </cell>
          <cell r="AY612">
            <v>153</v>
          </cell>
          <cell r="AZ612">
            <v>1.59</v>
          </cell>
          <cell r="BA612" t="str">
            <v>D2006040</v>
          </cell>
          <cell r="BB612" t="str">
            <v>CONFORM</v>
          </cell>
          <cell r="BC612" t="str">
            <v>CONFORM</v>
          </cell>
          <cell r="BD612" t="str">
            <v>CONFORM</v>
          </cell>
          <cell r="BE612" t="str">
            <v>CONFORM</v>
          </cell>
          <cell r="BF612" t="str">
            <v>CONFORM</v>
          </cell>
        </row>
        <row r="613">
          <cell r="A613">
            <v>43987</v>
          </cell>
          <cell r="B613" t="str">
            <v>D2006040-5</v>
          </cell>
          <cell r="C613" t="str">
            <v>045/20</v>
          </cell>
          <cell r="D613">
            <v>2</v>
          </cell>
          <cell r="E613">
            <v>44011</v>
          </cell>
          <cell r="F613" t="str">
            <v>DC</v>
          </cell>
          <cell r="G613" t="str">
            <v>On Time</v>
          </cell>
          <cell r="H613" t="str">
            <v>008509803</v>
          </cell>
          <cell r="I613">
            <v>43984</v>
          </cell>
          <cell r="J613" t="str">
            <v>OUTO</v>
          </cell>
          <cell r="K613" t="str">
            <v>D2006040</v>
          </cell>
          <cell r="L613">
            <v>5</v>
          </cell>
          <cell r="M613">
            <v>897364</v>
          </cell>
          <cell r="N613">
            <v>529348</v>
          </cell>
          <cell r="O613" t="str">
            <v xml:space="preserve">1.4401/1.4404 TP316/316L </v>
          </cell>
          <cell r="P613" t="str">
            <v>316L</v>
          </cell>
          <cell r="Q613">
            <v>2.3860000000000001</v>
          </cell>
          <cell r="S613">
            <v>2.7E-2</v>
          </cell>
          <cell r="T613">
            <v>2.8000000000000001E-2</v>
          </cell>
          <cell r="V613">
            <v>2.8000000000000001E-2</v>
          </cell>
          <cell r="X613">
            <v>2403</v>
          </cell>
          <cell r="Y613">
            <v>1</v>
          </cell>
          <cell r="Z613">
            <v>1007.124895222129</v>
          </cell>
          <cell r="AA613" t="str">
            <v>2.386X0.027-316L</v>
          </cell>
          <cell r="AB613" t="str">
            <v>WAAF006060070B300086</v>
          </cell>
          <cell r="AC613" t="str">
            <v>D2006040</v>
          </cell>
          <cell r="AD613">
            <v>529348</v>
          </cell>
          <cell r="AE613">
            <v>2.4E-2</v>
          </cell>
          <cell r="AF613">
            <v>1.49</v>
          </cell>
          <cell r="AG613">
            <v>3.3000000000000002E-2</v>
          </cell>
          <cell r="AH613">
            <v>1E-3</v>
          </cell>
          <cell r="AI613">
            <v>0.46</v>
          </cell>
          <cell r="AJ613">
            <v>17</v>
          </cell>
          <cell r="AK613">
            <v>10</v>
          </cell>
          <cell r="AL613">
            <v>0.04</v>
          </cell>
          <cell r="AM613">
            <v>2.0299999999999998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0.48</v>
          </cell>
          <cell r="AS613">
            <v>0</v>
          </cell>
          <cell r="AT613">
            <v>277</v>
          </cell>
          <cell r="AU613">
            <v>0</v>
          </cell>
          <cell r="AV613">
            <v>622</v>
          </cell>
          <cell r="AW613">
            <v>54</v>
          </cell>
          <cell r="AX613">
            <v>81</v>
          </cell>
          <cell r="AY613">
            <v>153</v>
          </cell>
          <cell r="AZ613">
            <v>1.59</v>
          </cell>
          <cell r="BA613" t="str">
            <v>D2006040</v>
          </cell>
          <cell r="BB613" t="str">
            <v>CONFORM</v>
          </cell>
          <cell r="BC613" t="str">
            <v>CONFORM</v>
          </cell>
          <cell r="BD613" t="str">
            <v>CONFORM</v>
          </cell>
          <cell r="BE613" t="str">
            <v>CONFORM</v>
          </cell>
          <cell r="BF613" t="str">
            <v>CONFORM</v>
          </cell>
        </row>
        <row r="614">
          <cell r="A614">
            <v>43987</v>
          </cell>
          <cell r="B614" t="str">
            <v>D2006040-6</v>
          </cell>
          <cell r="C614" t="str">
            <v>045/20</v>
          </cell>
          <cell r="D614">
            <v>2</v>
          </cell>
          <cell r="E614">
            <v>44011</v>
          </cell>
          <cell r="F614" t="str">
            <v>DC</v>
          </cell>
          <cell r="G614" t="str">
            <v>On Time</v>
          </cell>
          <cell r="H614" t="str">
            <v>008509803</v>
          </cell>
          <cell r="I614">
            <v>43984</v>
          </cell>
          <cell r="J614" t="str">
            <v>OUTO</v>
          </cell>
          <cell r="K614" t="str">
            <v>D2006040</v>
          </cell>
          <cell r="L614">
            <v>6</v>
          </cell>
          <cell r="M614">
            <v>897364</v>
          </cell>
          <cell r="N614">
            <v>529348</v>
          </cell>
          <cell r="O614" t="str">
            <v xml:space="preserve">1.4401/1.4404 TP316/316L </v>
          </cell>
          <cell r="P614" t="str">
            <v>316L</v>
          </cell>
          <cell r="Q614">
            <v>2.3860000000000001</v>
          </cell>
          <cell r="S614">
            <v>2.7E-2</v>
          </cell>
          <cell r="T614">
            <v>2.8000000000000001E-2</v>
          </cell>
          <cell r="V614">
            <v>2.8000000000000001E-2</v>
          </cell>
          <cell r="X614">
            <v>2399</v>
          </cell>
          <cell r="Y614">
            <v>1</v>
          </cell>
          <cell r="Z614">
            <v>1005.4484492875105</v>
          </cell>
          <cell r="AA614" t="str">
            <v>2.386X0.027-316L</v>
          </cell>
          <cell r="AB614" t="str">
            <v>WAAF006060070B300086</v>
          </cell>
          <cell r="AC614" t="str">
            <v>D2006040</v>
          </cell>
          <cell r="AD614">
            <v>529348</v>
          </cell>
          <cell r="AE614">
            <v>2.4E-2</v>
          </cell>
          <cell r="AF614">
            <v>1.49</v>
          </cell>
          <cell r="AG614">
            <v>3.3000000000000002E-2</v>
          </cell>
          <cell r="AH614">
            <v>1E-3</v>
          </cell>
          <cell r="AI614">
            <v>0.46</v>
          </cell>
          <cell r="AJ614">
            <v>17</v>
          </cell>
          <cell r="AK614">
            <v>10</v>
          </cell>
          <cell r="AL614">
            <v>0.04</v>
          </cell>
          <cell r="AM614">
            <v>2.0299999999999998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0.48</v>
          </cell>
          <cell r="AS614">
            <v>0</v>
          </cell>
          <cell r="AT614">
            <v>277</v>
          </cell>
          <cell r="AU614">
            <v>0</v>
          </cell>
          <cell r="AV614">
            <v>622</v>
          </cell>
          <cell r="AW614">
            <v>54</v>
          </cell>
          <cell r="AX614">
            <v>81</v>
          </cell>
          <cell r="AY614">
            <v>153</v>
          </cell>
          <cell r="AZ614">
            <v>1.59</v>
          </cell>
          <cell r="BA614" t="str">
            <v>D2006040</v>
          </cell>
          <cell r="BB614" t="str">
            <v>CONFORM</v>
          </cell>
          <cell r="BC614" t="str">
            <v>CONFORM</v>
          </cell>
          <cell r="BD614" t="str">
            <v>CONFORM</v>
          </cell>
          <cell r="BE614" t="str">
            <v>CONFORM</v>
          </cell>
          <cell r="BF614" t="str">
            <v>CONFORM</v>
          </cell>
        </row>
        <row r="615">
          <cell r="A615">
            <v>43987</v>
          </cell>
          <cell r="B615" t="str">
            <v>D2006040-7</v>
          </cell>
          <cell r="C615" t="str">
            <v>045/20</v>
          </cell>
          <cell r="D615">
            <v>2</v>
          </cell>
          <cell r="E615">
            <v>44011</v>
          </cell>
          <cell r="F615" t="str">
            <v>DC</v>
          </cell>
          <cell r="G615" t="str">
            <v>On Time</v>
          </cell>
          <cell r="H615" t="str">
            <v>008509803</v>
          </cell>
          <cell r="I615">
            <v>43984</v>
          </cell>
          <cell r="J615" t="str">
            <v>OUTO</v>
          </cell>
          <cell r="K615" t="str">
            <v>D2006040</v>
          </cell>
          <cell r="L615">
            <v>7</v>
          </cell>
          <cell r="M615">
            <v>897364</v>
          </cell>
          <cell r="N615">
            <v>529348</v>
          </cell>
          <cell r="O615" t="str">
            <v xml:space="preserve">1.4401/1.4404 TP316/316L </v>
          </cell>
          <cell r="P615" t="str">
            <v>316L</v>
          </cell>
          <cell r="Q615">
            <v>2.3860000000000001</v>
          </cell>
          <cell r="S615">
            <v>2.7E-2</v>
          </cell>
          <cell r="T615">
            <v>2.8000000000000001E-2</v>
          </cell>
          <cell r="V615">
            <v>2.8000000000000001E-2</v>
          </cell>
          <cell r="X615">
            <v>2390</v>
          </cell>
          <cell r="Y615">
            <v>1</v>
          </cell>
          <cell r="Z615">
            <v>1001.6764459346185</v>
          </cell>
          <cell r="AA615" t="str">
            <v>2.386X0.027-316L</v>
          </cell>
          <cell r="AB615" t="str">
            <v>WAAF006060070B300086</v>
          </cell>
          <cell r="AC615" t="str">
            <v>D2006040</v>
          </cell>
          <cell r="AD615">
            <v>529348</v>
          </cell>
          <cell r="AE615">
            <v>2.4E-2</v>
          </cell>
          <cell r="AF615">
            <v>1.49</v>
          </cell>
          <cell r="AG615">
            <v>3.3000000000000002E-2</v>
          </cell>
          <cell r="AH615">
            <v>1E-3</v>
          </cell>
          <cell r="AI615">
            <v>0.46</v>
          </cell>
          <cell r="AJ615">
            <v>17</v>
          </cell>
          <cell r="AK615">
            <v>10</v>
          </cell>
          <cell r="AL615">
            <v>0.04</v>
          </cell>
          <cell r="AM615">
            <v>2.0299999999999998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0.48</v>
          </cell>
          <cell r="AS615">
            <v>0</v>
          </cell>
          <cell r="AT615">
            <v>277</v>
          </cell>
          <cell r="AU615">
            <v>0</v>
          </cell>
          <cell r="AV615">
            <v>622</v>
          </cell>
          <cell r="AW615">
            <v>54</v>
          </cell>
          <cell r="AX615">
            <v>81</v>
          </cell>
          <cell r="AY615">
            <v>153</v>
          </cell>
          <cell r="AZ615">
            <v>1.59</v>
          </cell>
          <cell r="BA615" t="str">
            <v>D2006040</v>
          </cell>
          <cell r="BB615" t="str">
            <v>CONFORM</v>
          </cell>
          <cell r="BC615" t="str">
            <v>CONFORM</v>
          </cell>
          <cell r="BD615" t="str">
            <v>CONFORM</v>
          </cell>
          <cell r="BE615" t="str">
            <v>CONFORM</v>
          </cell>
          <cell r="BF615" t="str">
            <v>CONFORM</v>
          </cell>
        </row>
        <row r="616">
          <cell r="A616">
            <v>43987</v>
          </cell>
          <cell r="B616" t="str">
            <v>D2006040-8</v>
          </cell>
          <cell r="C616" t="str">
            <v>045/20</v>
          </cell>
          <cell r="D616">
            <v>2</v>
          </cell>
          <cell r="E616">
            <v>44011</v>
          </cell>
          <cell r="F616" t="str">
            <v>DC</v>
          </cell>
          <cell r="G616" t="str">
            <v>On Time</v>
          </cell>
          <cell r="H616" t="str">
            <v>008509803</v>
          </cell>
          <cell r="I616">
            <v>43984</v>
          </cell>
          <cell r="J616" t="str">
            <v>OUTO</v>
          </cell>
          <cell r="K616" t="str">
            <v>D2006040</v>
          </cell>
          <cell r="L616">
            <v>8</v>
          </cell>
          <cell r="M616">
            <v>897364</v>
          </cell>
          <cell r="N616">
            <v>529348</v>
          </cell>
          <cell r="O616" t="str">
            <v xml:space="preserve">1.4401/1.4404 TP316/316L </v>
          </cell>
          <cell r="P616" t="str">
            <v>316L</v>
          </cell>
          <cell r="Q616">
            <v>2.3860000000000001</v>
          </cell>
          <cell r="S616">
            <v>2.7E-2</v>
          </cell>
          <cell r="T616">
            <v>2.8000000000000001E-2</v>
          </cell>
          <cell r="V616">
            <v>2.8000000000000001E-2</v>
          </cell>
          <cell r="X616">
            <v>2388</v>
          </cell>
          <cell r="Y616">
            <v>1</v>
          </cell>
          <cell r="Z616">
            <v>1000.8382229673092</v>
          </cell>
          <cell r="AA616" t="str">
            <v>2.386X0.027-316L</v>
          </cell>
          <cell r="AB616" t="str">
            <v>WAAF006060070B300086</v>
          </cell>
          <cell r="AC616" t="str">
            <v>D2006040</v>
          </cell>
          <cell r="AD616">
            <v>529348</v>
          </cell>
          <cell r="AE616">
            <v>2.4E-2</v>
          </cell>
          <cell r="AF616">
            <v>1.49</v>
          </cell>
          <cell r="AG616">
            <v>3.3000000000000002E-2</v>
          </cell>
          <cell r="AH616">
            <v>1E-3</v>
          </cell>
          <cell r="AI616">
            <v>0.46</v>
          </cell>
          <cell r="AJ616">
            <v>17</v>
          </cell>
          <cell r="AK616">
            <v>10</v>
          </cell>
          <cell r="AL616">
            <v>0.04</v>
          </cell>
          <cell r="AM616">
            <v>2.0299999999999998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0.48</v>
          </cell>
          <cell r="AS616">
            <v>0</v>
          </cell>
          <cell r="AT616">
            <v>277</v>
          </cell>
          <cell r="AU616">
            <v>0</v>
          </cell>
          <cell r="AV616">
            <v>622</v>
          </cell>
          <cell r="AW616">
            <v>54</v>
          </cell>
          <cell r="AX616">
            <v>81</v>
          </cell>
          <cell r="AY616">
            <v>153</v>
          </cell>
          <cell r="AZ616">
            <v>1.59</v>
          </cell>
          <cell r="BA616" t="str">
            <v>D2006040</v>
          </cell>
          <cell r="BB616" t="str">
            <v>CONFORM</v>
          </cell>
          <cell r="BC616" t="str">
            <v>CONFORM</v>
          </cell>
          <cell r="BD616" t="str">
            <v>CONFORM</v>
          </cell>
          <cell r="BE616" t="str">
            <v>CONFORM</v>
          </cell>
          <cell r="BF616" t="str">
            <v>CONFORM</v>
          </cell>
        </row>
        <row r="617">
          <cell r="A617">
            <v>43987</v>
          </cell>
          <cell r="B617" t="str">
            <v>D2006040-9</v>
          </cell>
          <cell r="C617" t="str">
            <v>045/20</v>
          </cell>
          <cell r="D617">
            <v>2</v>
          </cell>
          <cell r="E617">
            <v>44011</v>
          </cell>
          <cell r="F617" t="str">
            <v>DC</v>
          </cell>
          <cell r="G617" t="str">
            <v>On Time</v>
          </cell>
          <cell r="H617" t="str">
            <v>008509803</v>
          </cell>
          <cell r="I617">
            <v>43984</v>
          </cell>
          <cell r="J617" t="str">
            <v>OUTO</v>
          </cell>
          <cell r="K617" t="str">
            <v>D2006040</v>
          </cell>
          <cell r="L617">
            <v>9</v>
          </cell>
          <cell r="M617">
            <v>897364</v>
          </cell>
          <cell r="N617">
            <v>529348</v>
          </cell>
          <cell r="O617" t="str">
            <v xml:space="preserve">1.4401/1.4404 TP316/316L </v>
          </cell>
          <cell r="P617" t="str">
            <v>316L</v>
          </cell>
          <cell r="Q617">
            <v>2.3860000000000001</v>
          </cell>
          <cell r="S617">
            <v>2.7E-2</v>
          </cell>
          <cell r="T617">
            <v>2.8000000000000001E-2</v>
          </cell>
          <cell r="V617">
            <v>2.8000000000000001E-2</v>
          </cell>
          <cell r="X617">
            <v>2383</v>
          </cell>
          <cell r="Y617">
            <v>1</v>
          </cell>
          <cell r="Z617">
            <v>998.74266554903602</v>
          </cell>
          <cell r="AA617" t="str">
            <v>2.386X0.027-316L</v>
          </cell>
          <cell r="AB617" t="str">
            <v>WAAF006060070B300086</v>
          </cell>
          <cell r="AC617" t="str">
            <v>D2006040</v>
          </cell>
          <cell r="AD617">
            <v>529348</v>
          </cell>
          <cell r="AE617">
            <v>2.4E-2</v>
          </cell>
          <cell r="AF617">
            <v>1.49</v>
          </cell>
          <cell r="AG617">
            <v>3.3000000000000002E-2</v>
          </cell>
          <cell r="AH617">
            <v>1E-3</v>
          </cell>
          <cell r="AI617">
            <v>0.46</v>
          </cell>
          <cell r="AJ617">
            <v>17</v>
          </cell>
          <cell r="AK617">
            <v>10</v>
          </cell>
          <cell r="AL617">
            <v>0.04</v>
          </cell>
          <cell r="AM617">
            <v>2.0299999999999998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0.48</v>
          </cell>
          <cell r="AS617">
            <v>0</v>
          </cell>
          <cell r="AT617">
            <v>277</v>
          </cell>
          <cell r="AU617">
            <v>0</v>
          </cell>
          <cell r="AV617">
            <v>622</v>
          </cell>
          <cell r="AW617">
            <v>54</v>
          </cell>
          <cell r="AX617">
            <v>81</v>
          </cell>
          <cell r="AY617">
            <v>153</v>
          </cell>
          <cell r="AZ617">
            <v>1.59</v>
          </cell>
          <cell r="BA617" t="str">
            <v>D2006040</v>
          </cell>
          <cell r="BB617" t="str">
            <v>CONFORM</v>
          </cell>
          <cell r="BC617" t="str">
            <v>CONFORM</v>
          </cell>
          <cell r="BD617" t="str">
            <v>CONFORM</v>
          </cell>
          <cell r="BE617" t="str">
            <v>CONFORM</v>
          </cell>
          <cell r="BF617" t="str">
            <v>CONFORM</v>
          </cell>
        </row>
        <row r="618">
          <cell r="A618">
            <v>43987</v>
          </cell>
          <cell r="B618" t="str">
            <v>D2006040-10</v>
          </cell>
          <cell r="C618" t="str">
            <v>045/20</v>
          </cell>
          <cell r="D618">
            <v>2</v>
          </cell>
          <cell r="E618">
            <v>44011</v>
          </cell>
          <cell r="F618" t="str">
            <v>DC</v>
          </cell>
          <cell r="G618" t="str">
            <v>On Time</v>
          </cell>
          <cell r="H618" t="str">
            <v>008509803</v>
          </cell>
          <cell r="I618">
            <v>43984</v>
          </cell>
          <cell r="J618" t="str">
            <v>OUTO</v>
          </cell>
          <cell r="K618" t="str">
            <v>D2006040</v>
          </cell>
          <cell r="L618">
            <v>10</v>
          </cell>
          <cell r="M618">
            <v>897364</v>
          </cell>
          <cell r="N618">
            <v>529348</v>
          </cell>
          <cell r="O618" t="str">
            <v xml:space="preserve">1.4401/1.4404 TP316/316L </v>
          </cell>
          <cell r="P618" t="str">
            <v>316L</v>
          </cell>
          <cell r="Q618">
            <v>2.3860000000000001</v>
          </cell>
          <cell r="S618">
            <v>2.7E-2</v>
          </cell>
          <cell r="T618">
            <v>2.8000000000000001E-2</v>
          </cell>
          <cell r="V618">
            <v>2.8000000000000001E-2</v>
          </cell>
          <cell r="X618">
            <v>2392</v>
          </cell>
          <cell r="Y618">
            <v>1</v>
          </cell>
          <cell r="Z618">
            <v>1002.5146689019278</v>
          </cell>
          <cell r="AA618" t="str">
            <v>2.386X0.027-316L</v>
          </cell>
          <cell r="AB618" t="str">
            <v>WAAF006060070B300086</v>
          </cell>
          <cell r="AC618" t="str">
            <v>D2006040</v>
          </cell>
          <cell r="AD618">
            <v>529348</v>
          </cell>
          <cell r="AE618">
            <v>2.4E-2</v>
          </cell>
          <cell r="AF618">
            <v>1.49</v>
          </cell>
          <cell r="AG618">
            <v>3.3000000000000002E-2</v>
          </cell>
          <cell r="AH618">
            <v>1E-3</v>
          </cell>
          <cell r="AI618">
            <v>0.46</v>
          </cell>
          <cell r="AJ618">
            <v>17</v>
          </cell>
          <cell r="AK618">
            <v>10</v>
          </cell>
          <cell r="AL618">
            <v>0.04</v>
          </cell>
          <cell r="AM618">
            <v>2.0299999999999998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0.48</v>
          </cell>
          <cell r="AS618">
            <v>0</v>
          </cell>
          <cell r="AT618">
            <v>277</v>
          </cell>
          <cell r="AU618">
            <v>0</v>
          </cell>
          <cell r="AV618">
            <v>622</v>
          </cell>
          <cell r="AW618">
            <v>54</v>
          </cell>
          <cell r="AX618">
            <v>81</v>
          </cell>
          <cell r="AY618">
            <v>153</v>
          </cell>
          <cell r="AZ618">
            <v>1.59</v>
          </cell>
          <cell r="BA618" t="str">
            <v>D2006040</v>
          </cell>
          <cell r="BB618" t="str">
            <v>CONFORM</v>
          </cell>
          <cell r="BC618" t="str">
            <v>CONFORM</v>
          </cell>
          <cell r="BD618" t="str">
            <v>CONFORM</v>
          </cell>
          <cell r="BE618" t="str">
            <v>CONFORM</v>
          </cell>
          <cell r="BF618" t="str">
            <v>CONFORM</v>
          </cell>
        </row>
        <row r="619">
          <cell r="A619">
            <v>43987</v>
          </cell>
          <cell r="B619" t="str">
            <v>D2006040-11</v>
          </cell>
          <cell r="C619" t="str">
            <v>045/20</v>
          </cell>
          <cell r="D619">
            <v>2</v>
          </cell>
          <cell r="E619">
            <v>44011</v>
          </cell>
          <cell r="F619" t="str">
            <v>DC</v>
          </cell>
          <cell r="G619" t="str">
            <v>On Time</v>
          </cell>
          <cell r="H619" t="str">
            <v>008509803</v>
          </cell>
          <cell r="I619">
            <v>43984</v>
          </cell>
          <cell r="J619" t="str">
            <v>OUTO</v>
          </cell>
          <cell r="K619" t="str">
            <v>D2006040</v>
          </cell>
          <cell r="L619">
            <v>11</v>
          </cell>
          <cell r="M619">
            <v>897364</v>
          </cell>
          <cell r="N619">
            <v>529348</v>
          </cell>
          <cell r="O619" t="str">
            <v xml:space="preserve">1.4401/1.4404 TP316/316L </v>
          </cell>
          <cell r="P619" t="str">
            <v>316L</v>
          </cell>
          <cell r="Q619">
            <v>2.3860000000000001</v>
          </cell>
          <cell r="S619">
            <v>2.7E-2</v>
          </cell>
          <cell r="T619">
            <v>2.8000000000000001E-2</v>
          </cell>
          <cell r="V619">
            <v>2.8000000000000001E-2</v>
          </cell>
          <cell r="X619">
            <v>2381</v>
          </cell>
          <cell r="Y619">
            <v>1</v>
          </cell>
          <cell r="Z619">
            <v>997.9044425817267</v>
          </cell>
          <cell r="AA619" t="str">
            <v>2.386X0.027-316L</v>
          </cell>
          <cell r="AB619" t="str">
            <v>WAAF006060070B300086</v>
          </cell>
          <cell r="AC619" t="str">
            <v>D2006040</v>
          </cell>
          <cell r="AD619">
            <v>529348</v>
          </cell>
          <cell r="AE619">
            <v>2.4E-2</v>
          </cell>
          <cell r="AF619">
            <v>1.49</v>
          </cell>
          <cell r="AG619">
            <v>3.3000000000000002E-2</v>
          </cell>
          <cell r="AH619">
            <v>1E-3</v>
          </cell>
          <cell r="AI619">
            <v>0.46</v>
          </cell>
          <cell r="AJ619">
            <v>17</v>
          </cell>
          <cell r="AK619">
            <v>10</v>
          </cell>
          <cell r="AL619">
            <v>0.04</v>
          </cell>
          <cell r="AM619">
            <v>2.0299999999999998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0.48</v>
          </cell>
          <cell r="AS619">
            <v>0</v>
          </cell>
          <cell r="AT619">
            <v>277</v>
          </cell>
          <cell r="AU619">
            <v>0</v>
          </cell>
          <cell r="AV619">
            <v>622</v>
          </cell>
          <cell r="AW619">
            <v>54</v>
          </cell>
          <cell r="AX619">
            <v>81</v>
          </cell>
          <cell r="AY619">
            <v>153</v>
          </cell>
          <cell r="AZ619">
            <v>1.59</v>
          </cell>
          <cell r="BA619" t="str">
            <v>D2006040</v>
          </cell>
          <cell r="BB619" t="str">
            <v>CONFORM</v>
          </cell>
          <cell r="BC619" t="str">
            <v>CONFORM</v>
          </cell>
          <cell r="BD619" t="str">
            <v>CONFORM</v>
          </cell>
          <cell r="BE619" t="str">
            <v>CONFORM</v>
          </cell>
          <cell r="BF619" t="str">
            <v>CONFORM</v>
          </cell>
        </row>
        <row r="620">
          <cell r="A620">
            <v>43987</v>
          </cell>
          <cell r="B620" t="str">
            <v>D2006040-12</v>
          </cell>
          <cell r="C620" t="str">
            <v>045/20</v>
          </cell>
          <cell r="D620">
            <v>2</v>
          </cell>
          <cell r="E620">
            <v>44011</v>
          </cell>
          <cell r="F620" t="str">
            <v>DC</v>
          </cell>
          <cell r="G620" t="str">
            <v>On Time</v>
          </cell>
          <cell r="H620" t="str">
            <v>008509803</v>
          </cell>
          <cell r="I620">
            <v>43984</v>
          </cell>
          <cell r="J620" t="str">
            <v>OUTO</v>
          </cell>
          <cell r="K620" t="str">
            <v>D2006040</v>
          </cell>
          <cell r="L620">
            <v>12</v>
          </cell>
          <cell r="M620">
            <v>897364</v>
          </cell>
          <cell r="N620">
            <v>529348</v>
          </cell>
          <cell r="O620" t="str">
            <v xml:space="preserve">1.4401/1.4404 TP316/316L </v>
          </cell>
          <cell r="P620" t="str">
            <v>316L</v>
          </cell>
          <cell r="Q620">
            <v>2.3860000000000001</v>
          </cell>
          <cell r="S620">
            <v>2.7E-2</v>
          </cell>
          <cell r="T620">
            <v>2.8000000000000001E-2</v>
          </cell>
          <cell r="V620">
            <v>2.8000000000000001E-2</v>
          </cell>
          <cell r="X620">
            <v>2390</v>
          </cell>
          <cell r="Y620">
            <v>1</v>
          </cell>
          <cell r="Z620">
            <v>1001.6764459346185</v>
          </cell>
          <cell r="AA620" t="str">
            <v>2.386X0.027-316L</v>
          </cell>
          <cell r="AB620" t="str">
            <v>WAAF006060070B300086</v>
          </cell>
          <cell r="AC620" t="str">
            <v>D2006040</v>
          </cell>
          <cell r="AD620">
            <v>529348</v>
          </cell>
          <cell r="AE620">
            <v>2.4E-2</v>
          </cell>
          <cell r="AF620">
            <v>1.49</v>
          </cell>
          <cell r="AG620">
            <v>3.3000000000000002E-2</v>
          </cell>
          <cell r="AH620">
            <v>1E-3</v>
          </cell>
          <cell r="AI620">
            <v>0.46</v>
          </cell>
          <cell r="AJ620">
            <v>17</v>
          </cell>
          <cell r="AK620">
            <v>10</v>
          </cell>
          <cell r="AL620">
            <v>0.04</v>
          </cell>
          <cell r="AM620">
            <v>2.0299999999999998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0.48</v>
          </cell>
          <cell r="AS620">
            <v>0</v>
          </cell>
          <cell r="AT620">
            <v>277</v>
          </cell>
          <cell r="AU620">
            <v>0</v>
          </cell>
          <cell r="AV620">
            <v>622</v>
          </cell>
          <cell r="AW620">
            <v>54</v>
          </cell>
          <cell r="AX620">
            <v>81</v>
          </cell>
          <cell r="AY620">
            <v>153</v>
          </cell>
          <cell r="AZ620">
            <v>1.59</v>
          </cell>
          <cell r="BA620" t="str">
            <v>D2006040</v>
          </cell>
          <cell r="BB620" t="str">
            <v>CONFORM</v>
          </cell>
          <cell r="BC620" t="str">
            <v>CONFORM</v>
          </cell>
          <cell r="BD620" t="str">
            <v>CONFORM</v>
          </cell>
          <cell r="BE620" t="str">
            <v>CONFORM</v>
          </cell>
          <cell r="BF620" t="str">
            <v>CONFORM</v>
          </cell>
        </row>
        <row r="621">
          <cell r="A621">
            <v>43987</v>
          </cell>
          <cell r="B621" t="str">
            <v>D2006040-13</v>
          </cell>
          <cell r="C621" t="str">
            <v>045/20</v>
          </cell>
          <cell r="D621">
            <v>2</v>
          </cell>
          <cell r="E621">
            <v>44011</v>
          </cell>
          <cell r="F621" t="str">
            <v>DC</v>
          </cell>
          <cell r="G621" t="str">
            <v>On Time</v>
          </cell>
          <cell r="H621" t="str">
            <v>008509803</v>
          </cell>
          <cell r="I621">
            <v>43984</v>
          </cell>
          <cell r="J621" t="str">
            <v>OUTO</v>
          </cell>
          <cell r="K621" t="str">
            <v>D2006040</v>
          </cell>
          <cell r="L621">
            <v>13</v>
          </cell>
          <cell r="M621">
            <v>897364</v>
          </cell>
          <cell r="N621">
            <v>529348</v>
          </cell>
          <cell r="O621" t="str">
            <v xml:space="preserve">1.4401/1.4404 TP316/316L </v>
          </cell>
          <cell r="P621" t="str">
            <v>316L</v>
          </cell>
          <cell r="Q621">
            <v>2.3860000000000001</v>
          </cell>
          <cell r="S621">
            <v>2.7E-2</v>
          </cell>
          <cell r="T621">
            <v>2.8000000000000001E-2</v>
          </cell>
          <cell r="V621">
            <v>2.8000000000000001E-2</v>
          </cell>
          <cell r="X621">
            <v>2390</v>
          </cell>
          <cell r="Y621">
            <v>1</v>
          </cell>
          <cell r="Z621">
            <v>1001.6764459346185</v>
          </cell>
          <cell r="AA621" t="str">
            <v>2.386X0.027-316L</v>
          </cell>
          <cell r="AB621" t="str">
            <v>WAAF006060070B300086</v>
          </cell>
          <cell r="AC621" t="str">
            <v>D2006040</v>
          </cell>
          <cell r="AD621">
            <v>529348</v>
          </cell>
          <cell r="AE621">
            <v>2.4E-2</v>
          </cell>
          <cell r="AF621">
            <v>1.49</v>
          </cell>
          <cell r="AG621">
            <v>3.3000000000000002E-2</v>
          </cell>
          <cell r="AH621">
            <v>1E-3</v>
          </cell>
          <cell r="AI621">
            <v>0.46</v>
          </cell>
          <cell r="AJ621">
            <v>17</v>
          </cell>
          <cell r="AK621">
            <v>10</v>
          </cell>
          <cell r="AL621">
            <v>0.04</v>
          </cell>
          <cell r="AM621">
            <v>2.0299999999999998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0.48</v>
          </cell>
          <cell r="AS621">
            <v>0</v>
          </cell>
          <cell r="AT621">
            <v>277</v>
          </cell>
          <cell r="AU621">
            <v>0</v>
          </cell>
          <cell r="AV621">
            <v>622</v>
          </cell>
          <cell r="AW621">
            <v>54</v>
          </cell>
          <cell r="AX621">
            <v>81</v>
          </cell>
          <cell r="AY621">
            <v>153</v>
          </cell>
          <cell r="AZ621">
            <v>1.59</v>
          </cell>
          <cell r="BA621" t="str">
            <v>D2006040</v>
          </cell>
          <cell r="BB621" t="str">
            <v>CONFORM</v>
          </cell>
          <cell r="BC621" t="str">
            <v>CONFORM</v>
          </cell>
          <cell r="BD621" t="str">
            <v>CONFORM</v>
          </cell>
          <cell r="BE621" t="str">
            <v>CONFORM</v>
          </cell>
          <cell r="BF621" t="str">
            <v>CONFORM</v>
          </cell>
        </row>
        <row r="622">
          <cell r="A622">
            <v>43987</v>
          </cell>
          <cell r="B622" t="str">
            <v>D2006040-14</v>
          </cell>
          <cell r="C622" t="str">
            <v>045/20</v>
          </cell>
          <cell r="D622">
            <v>2</v>
          </cell>
          <cell r="E622">
            <v>44011</v>
          </cell>
          <cell r="F622" t="str">
            <v>DC</v>
          </cell>
          <cell r="G622" t="str">
            <v>On Time</v>
          </cell>
          <cell r="H622" t="str">
            <v>008509803</v>
          </cell>
          <cell r="I622">
            <v>43984</v>
          </cell>
          <cell r="J622" t="str">
            <v>OUTO</v>
          </cell>
          <cell r="K622" t="str">
            <v>D2006040</v>
          </cell>
          <cell r="L622">
            <v>14</v>
          </cell>
          <cell r="M622">
            <v>897364</v>
          </cell>
          <cell r="N622">
            <v>529348</v>
          </cell>
          <cell r="O622" t="str">
            <v xml:space="preserve">1.4401/1.4404 TP316/316L </v>
          </cell>
          <cell r="P622" t="str">
            <v>316L</v>
          </cell>
          <cell r="Q622">
            <v>2.3860000000000001</v>
          </cell>
          <cell r="S622">
            <v>2.7E-2</v>
          </cell>
          <cell r="T622">
            <v>2.8000000000000001E-2</v>
          </cell>
          <cell r="V622">
            <v>2.8000000000000001E-2</v>
          </cell>
          <cell r="X622">
            <v>2383</v>
          </cell>
          <cell r="Y622">
            <v>1</v>
          </cell>
          <cell r="Z622">
            <v>998.74266554903602</v>
          </cell>
          <cell r="AA622" t="str">
            <v>2.386X0.027-316L</v>
          </cell>
          <cell r="AB622" t="str">
            <v>WAAF006060070B300086</v>
          </cell>
          <cell r="AC622" t="str">
            <v>D2006040</v>
          </cell>
          <cell r="AD622">
            <v>529348</v>
          </cell>
          <cell r="AE622">
            <v>2.4E-2</v>
          </cell>
          <cell r="AF622">
            <v>1.49</v>
          </cell>
          <cell r="AG622">
            <v>3.3000000000000002E-2</v>
          </cell>
          <cell r="AH622">
            <v>1E-3</v>
          </cell>
          <cell r="AI622">
            <v>0.46</v>
          </cell>
          <cell r="AJ622">
            <v>17</v>
          </cell>
          <cell r="AK622">
            <v>10</v>
          </cell>
          <cell r="AL622">
            <v>0.04</v>
          </cell>
          <cell r="AM622">
            <v>2.0299999999999998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0.48</v>
          </cell>
          <cell r="AS622">
            <v>0</v>
          </cell>
          <cell r="AT622">
            <v>277</v>
          </cell>
          <cell r="AU622">
            <v>0</v>
          </cell>
          <cell r="AV622">
            <v>622</v>
          </cell>
          <cell r="AW622">
            <v>54</v>
          </cell>
          <cell r="AX622">
            <v>81</v>
          </cell>
          <cell r="AY622">
            <v>153</v>
          </cell>
          <cell r="AZ622">
            <v>1.59</v>
          </cell>
          <cell r="BA622" t="str">
            <v>D2006040</v>
          </cell>
          <cell r="BB622" t="str">
            <v>CONFORM</v>
          </cell>
          <cell r="BC622" t="str">
            <v>CONFORM</v>
          </cell>
          <cell r="BD622" t="str">
            <v>CONFORM</v>
          </cell>
          <cell r="BE622" t="str">
            <v>CONFORM</v>
          </cell>
          <cell r="BF622" t="str">
            <v>CONFORM</v>
          </cell>
        </row>
        <row r="623">
          <cell r="A623">
            <v>43987</v>
          </cell>
          <cell r="B623" t="str">
            <v>D2006040-15</v>
          </cell>
          <cell r="C623" t="str">
            <v>045/20</v>
          </cell>
          <cell r="D623">
            <v>2</v>
          </cell>
          <cell r="E623">
            <v>44011</v>
          </cell>
          <cell r="F623" t="str">
            <v>DC</v>
          </cell>
          <cell r="G623" t="str">
            <v>On Time</v>
          </cell>
          <cell r="H623" t="str">
            <v>008509803</v>
          </cell>
          <cell r="I623">
            <v>43984</v>
          </cell>
          <cell r="J623" t="str">
            <v>OUTO</v>
          </cell>
          <cell r="K623" t="str">
            <v>D2006040</v>
          </cell>
          <cell r="L623">
            <v>15</v>
          </cell>
          <cell r="M623">
            <v>897364</v>
          </cell>
          <cell r="N623">
            <v>529348</v>
          </cell>
          <cell r="O623" t="str">
            <v xml:space="preserve">1.4401/1.4404 TP316/316L </v>
          </cell>
          <cell r="P623" t="str">
            <v>316L</v>
          </cell>
          <cell r="Q623">
            <v>2.3860000000000001</v>
          </cell>
          <cell r="S623">
            <v>2.7E-2</v>
          </cell>
          <cell r="T623">
            <v>2.8000000000000001E-2</v>
          </cell>
          <cell r="V623">
            <v>2.8000000000000001E-2</v>
          </cell>
          <cell r="X623">
            <v>2385</v>
          </cell>
          <cell r="Y623">
            <v>1</v>
          </cell>
          <cell r="Z623">
            <v>999.58088851634534</v>
          </cell>
          <cell r="AA623" t="str">
            <v>2.386X0.027-316L</v>
          </cell>
          <cell r="AB623" t="str">
            <v>WAAF006060070B300086</v>
          </cell>
          <cell r="AC623" t="str">
            <v>D2006040</v>
          </cell>
          <cell r="AD623">
            <v>529348</v>
          </cell>
          <cell r="AE623">
            <v>2.4E-2</v>
          </cell>
          <cell r="AF623">
            <v>1.49</v>
          </cell>
          <cell r="AG623">
            <v>3.3000000000000002E-2</v>
          </cell>
          <cell r="AH623">
            <v>1E-3</v>
          </cell>
          <cell r="AI623">
            <v>0.46</v>
          </cell>
          <cell r="AJ623">
            <v>17</v>
          </cell>
          <cell r="AK623">
            <v>10</v>
          </cell>
          <cell r="AL623">
            <v>0.04</v>
          </cell>
          <cell r="AM623">
            <v>2.0299999999999998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0.48</v>
          </cell>
          <cell r="AS623">
            <v>0</v>
          </cell>
          <cell r="AT623">
            <v>277</v>
          </cell>
          <cell r="AU623">
            <v>0</v>
          </cell>
          <cell r="AV623">
            <v>622</v>
          </cell>
          <cell r="AW623">
            <v>54</v>
          </cell>
          <cell r="AX623">
            <v>81</v>
          </cell>
          <cell r="AY623">
            <v>153</v>
          </cell>
          <cell r="AZ623">
            <v>1.59</v>
          </cell>
          <cell r="BA623" t="str">
            <v>D2006040</v>
          </cell>
          <cell r="BB623" t="str">
            <v>CONFORM</v>
          </cell>
          <cell r="BC623" t="str">
            <v>CONFORM</v>
          </cell>
          <cell r="BD623" t="str">
            <v>CONFORM</v>
          </cell>
          <cell r="BE623" t="str">
            <v>CONFORM</v>
          </cell>
          <cell r="BF623" t="str">
            <v>CONFORM</v>
          </cell>
        </row>
        <row r="624">
          <cell r="A624">
            <v>43987</v>
          </cell>
          <cell r="B624" t="str">
            <v>D2006040-16</v>
          </cell>
          <cell r="C624" t="str">
            <v>045/20</v>
          </cell>
          <cell r="D624">
            <v>2</v>
          </cell>
          <cell r="E624">
            <v>44011</v>
          </cell>
          <cell r="F624" t="str">
            <v>DC</v>
          </cell>
          <cell r="G624" t="str">
            <v>On Time</v>
          </cell>
          <cell r="H624" t="str">
            <v>008509803</v>
          </cell>
          <cell r="I624">
            <v>43984</v>
          </cell>
          <cell r="J624" t="str">
            <v>OUTO</v>
          </cell>
          <cell r="K624" t="str">
            <v>D2006040</v>
          </cell>
          <cell r="L624">
            <v>16</v>
          </cell>
          <cell r="M624">
            <v>897364</v>
          </cell>
          <cell r="N624">
            <v>529348</v>
          </cell>
          <cell r="O624" t="str">
            <v xml:space="preserve">1.4401/1.4404 TP316/316L </v>
          </cell>
          <cell r="P624" t="str">
            <v>316L</v>
          </cell>
          <cell r="Q624">
            <v>2.3860000000000001</v>
          </cell>
          <cell r="S624">
            <v>2.7E-2</v>
          </cell>
          <cell r="T624">
            <v>2.8000000000000001E-2</v>
          </cell>
          <cell r="V624">
            <v>2.8000000000000001E-2</v>
          </cell>
          <cell r="X624">
            <v>2399</v>
          </cell>
          <cell r="Y624">
            <v>1</v>
          </cell>
          <cell r="Z624">
            <v>1005.4484492875105</v>
          </cell>
          <cell r="AA624" t="str">
            <v>2.386X0.027-316L</v>
          </cell>
          <cell r="AB624" t="str">
            <v>WAAF006060070B300086</v>
          </cell>
          <cell r="AC624" t="str">
            <v>D2006040</v>
          </cell>
          <cell r="AD624">
            <v>529348</v>
          </cell>
          <cell r="AE624">
            <v>2.4E-2</v>
          </cell>
          <cell r="AF624">
            <v>1.49</v>
          </cell>
          <cell r="AG624">
            <v>3.3000000000000002E-2</v>
          </cell>
          <cell r="AH624">
            <v>1E-3</v>
          </cell>
          <cell r="AI624">
            <v>0.46</v>
          </cell>
          <cell r="AJ624">
            <v>17</v>
          </cell>
          <cell r="AK624">
            <v>10</v>
          </cell>
          <cell r="AL624">
            <v>0.04</v>
          </cell>
          <cell r="AM624">
            <v>2.0299999999999998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0.48</v>
          </cell>
          <cell r="AS624">
            <v>0</v>
          </cell>
          <cell r="AT624">
            <v>277</v>
          </cell>
          <cell r="AU624">
            <v>0</v>
          </cell>
          <cell r="AV624">
            <v>622</v>
          </cell>
          <cell r="AW624">
            <v>54</v>
          </cell>
          <cell r="AX624">
            <v>81</v>
          </cell>
          <cell r="AY624">
            <v>153</v>
          </cell>
          <cell r="AZ624">
            <v>1.59</v>
          </cell>
          <cell r="BA624" t="str">
            <v>D2006040</v>
          </cell>
          <cell r="BB624" t="str">
            <v>CONFORM</v>
          </cell>
          <cell r="BC624" t="str">
            <v>CONFORM</v>
          </cell>
          <cell r="BD624" t="str">
            <v>CONFORM</v>
          </cell>
          <cell r="BE624" t="str">
            <v>CONFORM</v>
          </cell>
          <cell r="BF624" t="str">
            <v>CONFORM</v>
          </cell>
        </row>
        <row r="625">
          <cell r="A625">
            <v>43987</v>
          </cell>
          <cell r="B625" t="str">
            <v>D2006040-17</v>
          </cell>
          <cell r="C625" t="str">
            <v>045/20</v>
          </cell>
          <cell r="D625">
            <v>2</v>
          </cell>
          <cell r="E625">
            <v>44011</v>
          </cell>
          <cell r="F625" t="str">
            <v>DC</v>
          </cell>
          <cell r="G625" t="str">
            <v>On Time</v>
          </cell>
          <cell r="H625" t="str">
            <v>008509803</v>
          </cell>
          <cell r="I625">
            <v>43984</v>
          </cell>
          <cell r="J625" t="str">
            <v>OUTO</v>
          </cell>
          <cell r="K625" t="str">
            <v>D2006040</v>
          </cell>
          <cell r="L625">
            <v>17</v>
          </cell>
          <cell r="M625">
            <v>897364</v>
          </cell>
          <cell r="N625">
            <v>529348</v>
          </cell>
          <cell r="O625" t="str">
            <v xml:space="preserve">1.4401/1.4404 TP316/316L </v>
          </cell>
          <cell r="P625" t="str">
            <v>316L</v>
          </cell>
          <cell r="Q625">
            <v>2.3860000000000001</v>
          </cell>
          <cell r="S625">
            <v>2.7E-2</v>
          </cell>
          <cell r="T625">
            <v>2.8000000000000001E-2</v>
          </cell>
          <cell r="V625">
            <v>2.8000000000000001E-2</v>
          </cell>
          <cell r="X625">
            <v>2396</v>
          </cell>
          <cell r="Y625">
            <v>1</v>
          </cell>
          <cell r="Z625">
            <v>1004.1911148365465</v>
          </cell>
          <cell r="AA625" t="str">
            <v>2.386X0.027-316L</v>
          </cell>
          <cell r="AB625" t="str">
            <v>WAAF006060070B300086</v>
          </cell>
          <cell r="AC625" t="str">
            <v>D2006040</v>
          </cell>
          <cell r="AD625">
            <v>529348</v>
          </cell>
          <cell r="AE625">
            <v>2.4E-2</v>
          </cell>
          <cell r="AF625">
            <v>1.49</v>
          </cell>
          <cell r="AG625">
            <v>3.3000000000000002E-2</v>
          </cell>
          <cell r="AH625">
            <v>1E-3</v>
          </cell>
          <cell r="AI625">
            <v>0.46</v>
          </cell>
          <cell r="AJ625">
            <v>17</v>
          </cell>
          <cell r="AK625">
            <v>10</v>
          </cell>
          <cell r="AL625">
            <v>0.04</v>
          </cell>
          <cell r="AM625">
            <v>2.0299999999999998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0.48</v>
          </cell>
          <cell r="AS625">
            <v>0</v>
          </cell>
          <cell r="AT625">
            <v>277</v>
          </cell>
          <cell r="AU625">
            <v>0</v>
          </cell>
          <cell r="AV625">
            <v>622</v>
          </cell>
          <cell r="AW625">
            <v>54</v>
          </cell>
          <cell r="AX625">
            <v>81</v>
          </cell>
          <cell r="AY625">
            <v>153</v>
          </cell>
          <cell r="AZ625">
            <v>1.59</v>
          </cell>
          <cell r="BA625" t="str">
            <v>D2006040</v>
          </cell>
          <cell r="BB625" t="str">
            <v>CONFORM</v>
          </cell>
          <cell r="BC625" t="str">
            <v>CONFORM</v>
          </cell>
          <cell r="BD625" t="str">
            <v>CONFORM</v>
          </cell>
          <cell r="BE625" t="str">
            <v>CONFORM</v>
          </cell>
          <cell r="BF625" t="str">
            <v>CONFORM</v>
          </cell>
        </row>
        <row r="626">
          <cell r="A626">
            <v>43987</v>
          </cell>
          <cell r="B626" t="str">
            <v>D2006040-18</v>
          </cell>
          <cell r="C626" t="str">
            <v>045/20</v>
          </cell>
          <cell r="D626">
            <v>2</v>
          </cell>
          <cell r="E626">
            <v>44011</v>
          </cell>
          <cell r="F626" t="str">
            <v>DC</v>
          </cell>
          <cell r="G626" t="str">
            <v>On Time</v>
          </cell>
          <cell r="H626" t="str">
            <v>008509803</v>
          </cell>
          <cell r="I626">
            <v>43984</v>
          </cell>
          <cell r="J626" t="str">
            <v>OUTO</v>
          </cell>
          <cell r="K626" t="str">
            <v>D2006040</v>
          </cell>
          <cell r="L626">
            <v>18</v>
          </cell>
          <cell r="M626">
            <v>897364</v>
          </cell>
          <cell r="N626">
            <v>529348</v>
          </cell>
          <cell r="O626" t="str">
            <v xml:space="preserve">1.4401/1.4404 TP316/316L </v>
          </cell>
          <cell r="P626" t="str">
            <v>316L</v>
          </cell>
          <cell r="Q626">
            <v>2.3860000000000001</v>
          </cell>
          <cell r="S626">
            <v>2.7E-2</v>
          </cell>
          <cell r="T626">
            <v>2.8000000000000001E-2</v>
          </cell>
          <cell r="V626">
            <v>2.8000000000000001E-2</v>
          </cell>
          <cell r="X626">
            <v>2386</v>
          </cell>
          <cell r="Y626">
            <v>1</v>
          </cell>
          <cell r="Z626">
            <v>1000</v>
          </cell>
          <cell r="AA626" t="str">
            <v>2.386X0.027-316L</v>
          </cell>
          <cell r="AB626" t="str">
            <v>WAAF006060070B300086</v>
          </cell>
          <cell r="AC626" t="str">
            <v>D2006040</v>
          </cell>
          <cell r="AD626">
            <v>529348</v>
          </cell>
          <cell r="AE626">
            <v>2.4E-2</v>
          </cell>
          <cell r="AF626">
            <v>1.49</v>
          </cell>
          <cell r="AG626">
            <v>3.3000000000000002E-2</v>
          </cell>
          <cell r="AH626">
            <v>1E-3</v>
          </cell>
          <cell r="AI626">
            <v>0.46</v>
          </cell>
          <cell r="AJ626">
            <v>17</v>
          </cell>
          <cell r="AK626">
            <v>10</v>
          </cell>
          <cell r="AL626">
            <v>0.04</v>
          </cell>
          <cell r="AM626">
            <v>2.0299999999999998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0.48</v>
          </cell>
          <cell r="AS626">
            <v>0</v>
          </cell>
          <cell r="AT626">
            <v>277</v>
          </cell>
          <cell r="AU626">
            <v>0</v>
          </cell>
          <cell r="AV626">
            <v>622</v>
          </cell>
          <cell r="AW626">
            <v>54</v>
          </cell>
          <cell r="AX626">
            <v>81</v>
          </cell>
          <cell r="AY626">
            <v>153</v>
          </cell>
          <cell r="AZ626">
            <v>1.59</v>
          </cell>
          <cell r="BA626" t="str">
            <v>D2006040</v>
          </cell>
          <cell r="BB626" t="str">
            <v>CONFORM</v>
          </cell>
          <cell r="BC626" t="str">
            <v>CONFORM</v>
          </cell>
          <cell r="BD626" t="str">
            <v>CONFORM</v>
          </cell>
          <cell r="BE626" t="str">
            <v>CONFORM</v>
          </cell>
          <cell r="BF626" t="str">
            <v>CONFORM</v>
          </cell>
        </row>
        <row r="627">
          <cell r="A627">
            <v>43987</v>
          </cell>
          <cell r="B627" t="str">
            <v>D2006040-19</v>
          </cell>
          <cell r="C627" t="str">
            <v>045/20</v>
          </cell>
          <cell r="D627">
            <v>2</v>
          </cell>
          <cell r="E627">
            <v>44011</v>
          </cell>
          <cell r="F627" t="str">
            <v>DC</v>
          </cell>
          <cell r="G627" t="str">
            <v>On Time</v>
          </cell>
          <cell r="H627" t="str">
            <v>008509803</v>
          </cell>
          <cell r="I627">
            <v>43984</v>
          </cell>
          <cell r="J627" t="str">
            <v>OUTO</v>
          </cell>
          <cell r="K627" t="str">
            <v>D2006040</v>
          </cell>
          <cell r="L627">
            <v>19</v>
          </cell>
          <cell r="M627">
            <v>897364</v>
          </cell>
          <cell r="N627">
            <v>529348</v>
          </cell>
          <cell r="O627" t="str">
            <v xml:space="preserve">1.4401/1.4404 TP316/316L </v>
          </cell>
          <cell r="P627" t="str">
            <v>316L</v>
          </cell>
          <cell r="Q627">
            <v>2.3860000000000001</v>
          </cell>
          <cell r="S627">
            <v>2.7E-2</v>
          </cell>
          <cell r="T627">
            <v>2.8000000000000001E-2</v>
          </cell>
          <cell r="V627">
            <v>2.8000000000000001E-2</v>
          </cell>
          <cell r="X627">
            <v>2390</v>
          </cell>
          <cell r="Y627">
            <v>1</v>
          </cell>
          <cell r="Z627">
            <v>1001.6764459346185</v>
          </cell>
          <cell r="AA627" t="str">
            <v>2.386X0.027-316L</v>
          </cell>
          <cell r="AB627" t="str">
            <v>WAAF006060070B300086</v>
          </cell>
          <cell r="AC627" t="str">
            <v>D2006040</v>
          </cell>
          <cell r="AD627">
            <v>529348</v>
          </cell>
          <cell r="AE627">
            <v>2.4E-2</v>
          </cell>
          <cell r="AF627">
            <v>1.49</v>
          </cell>
          <cell r="AG627">
            <v>3.3000000000000002E-2</v>
          </cell>
          <cell r="AH627">
            <v>1E-3</v>
          </cell>
          <cell r="AI627">
            <v>0.46</v>
          </cell>
          <cell r="AJ627">
            <v>17</v>
          </cell>
          <cell r="AK627">
            <v>10</v>
          </cell>
          <cell r="AL627">
            <v>0.04</v>
          </cell>
          <cell r="AM627">
            <v>2.0299999999999998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0.48</v>
          </cell>
          <cell r="AS627">
            <v>0</v>
          </cell>
          <cell r="AT627">
            <v>277</v>
          </cell>
          <cell r="AU627">
            <v>0</v>
          </cell>
          <cell r="AV627">
            <v>622</v>
          </cell>
          <cell r="AW627">
            <v>54</v>
          </cell>
          <cell r="AX627">
            <v>81</v>
          </cell>
          <cell r="AY627">
            <v>153</v>
          </cell>
          <cell r="AZ627">
            <v>1.59</v>
          </cell>
          <cell r="BA627" t="str">
            <v>D2006040</v>
          </cell>
          <cell r="BB627" t="str">
            <v>CONFORM</v>
          </cell>
          <cell r="BC627" t="str">
            <v>CONFORM</v>
          </cell>
          <cell r="BD627" t="str">
            <v>CONFORM</v>
          </cell>
          <cell r="BE627" t="str">
            <v>CONFORM</v>
          </cell>
          <cell r="BF627" t="str">
            <v>CONFORM</v>
          </cell>
        </row>
        <row r="628">
          <cell r="A628">
            <v>43990</v>
          </cell>
          <cell r="B628" t="str">
            <v>D2006044-1</v>
          </cell>
          <cell r="C628" t="str">
            <v>045/20</v>
          </cell>
          <cell r="D628">
            <v>2</v>
          </cell>
          <cell r="E628">
            <v>44011</v>
          </cell>
          <cell r="F628" t="str">
            <v>DC</v>
          </cell>
          <cell r="G628" t="str">
            <v>On Time</v>
          </cell>
          <cell r="H628" t="str">
            <v>0008510006</v>
          </cell>
          <cell r="I628">
            <v>43986</v>
          </cell>
          <cell r="J628" t="str">
            <v>OUTO</v>
          </cell>
          <cell r="K628" t="str">
            <v>D2006044</v>
          </cell>
          <cell r="L628">
            <v>1</v>
          </cell>
          <cell r="M628">
            <v>897364</v>
          </cell>
          <cell r="N628">
            <v>529348</v>
          </cell>
          <cell r="O628" t="str">
            <v xml:space="preserve">1.4401/1.4404 TP316/316L </v>
          </cell>
          <cell r="P628" t="str">
            <v>316L</v>
          </cell>
          <cell r="Q628">
            <v>2.3860000000000001</v>
          </cell>
          <cell r="S628">
            <v>2.7E-2</v>
          </cell>
          <cell r="T628">
            <v>2.8000000000000001E-2</v>
          </cell>
          <cell r="V628">
            <v>2.8000000000000001E-2</v>
          </cell>
          <cell r="X628">
            <v>2161</v>
          </cell>
          <cell r="Y628">
            <v>1</v>
          </cell>
          <cell r="Z628">
            <v>905.69991617770324</v>
          </cell>
          <cell r="AA628" t="str">
            <v>2.386X0.027-316L</v>
          </cell>
          <cell r="AB628" t="str">
            <v>WAAF006060070B300086</v>
          </cell>
          <cell r="AC628" t="str">
            <v>D2006044</v>
          </cell>
          <cell r="AD628">
            <v>529348</v>
          </cell>
          <cell r="AE628">
            <v>2.4E-2</v>
          </cell>
          <cell r="AF628">
            <v>1.49</v>
          </cell>
          <cell r="AG628">
            <v>3.3000000000000002E-2</v>
          </cell>
          <cell r="AH628">
            <v>1E-3</v>
          </cell>
          <cell r="AI628">
            <v>0.46</v>
          </cell>
          <cell r="AJ628">
            <v>17</v>
          </cell>
          <cell r="AK628">
            <v>10</v>
          </cell>
          <cell r="AL628">
            <v>0.04</v>
          </cell>
          <cell r="AM628">
            <v>2.0299999999999998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0.48</v>
          </cell>
          <cell r="AS628">
            <v>0</v>
          </cell>
          <cell r="AT628">
            <v>281</v>
          </cell>
          <cell r="AU628">
            <v>0</v>
          </cell>
          <cell r="AV628">
            <v>620</v>
          </cell>
          <cell r="AW628">
            <v>54</v>
          </cell>
          <cell r="AX628">
            <v>81</v>
          </cell>
          <cell r="AY628">
            <v>153</v>
          </cell>
          <cell r="AZ628">
            <v>1.59</v>
          </cell>
          <cell r="BA628" t="str">
            <v>D2006044</v>
          </cell>
          <cell r="BB628" t="str">
            <v>CONFORM</v>
          </cell>
          <cell r="BC628" t="str">
            <v>CONFORM</v>
          </cell>
          <cell r="BD628" t="str">
            <v>CONFORM</v>
          </cell>
          <cell r="BE628" t="str">
            <v>CONFORM</v>
          </cell>
          <cell r="BF628" t="str">
            <v>CONFORM</v>
          </cell>
        </row>
        <row r="629">
          <cell r="A629">
            <v>43990</v>
          </cell>
          <cell r="B629" t="str">
            <v>D2006044-2</v>
          </cell>
          <cell r="C629" t="str">
            <v>045/20</v>
          </cell>
          <cell r="D629">
            <v>2</v>
          </cell>
          <cell r="E629">
            <v>44011</v>
          </cell>
          <cell r="F629" t="str">
            <v>DC</v>
          </cell>
          <cell r="G629" t="str">
            <v>On Time</v>
          </cell>
          <cell r="H629" t="str">
            <v>0008510006</v>
          </cell>
          <cell r="I629">
            <v>43986</v>
          </cell>
          <cell r="J629" t="str">
            <v>OUTO</v>
          </cell>
          <cell r="K629" t="str">
            <v>D2006044</v>
          </cell>
          <cell r="L629">
            <v>2</v>
          </cell>
          <cell r="M629">
            <v>897364</v>
          </cell>
          <cell r="N629">
            <v>529348</v>
          </cell>
          <cell r="O629" t="str">
            <v xml:space="preserve">1.4401/1.4404 TP316/316L </v>
          </cell>
          <cell r="P629" t="str">
            <v>316L</v>
          </cell>
          <cell r="Q629">
            <v>2.3860000000000001</v>
          </cell>
          <cell r="S629">
            <v>2.7E-2</v>
          </cell>
          <cell r="T629">
            <v>2.8000000000000001E-2</v>
          </cell>
          <cell r="V629">
            <v>2.8000000000000001E-2</v>
          </cell>
          <cell r="X629">
            <v>2165</v>
          </cell>
          <cell r="Y629">
            <v>1</v>
          </cell>
          <cell r="Z629">
            <v>907.37636211232189</v>
          </cell>
          <cell r="AA629" t="str">
            <v>2.386X0.027-316L</v>
          </cell>
          <cell r="AB629" t="str">
            <v>WAAF006060070B300086</v>
          </cell>
          <cell r="AC629" t="str">
            <v>D2006044</v>
          </cell>
          <cell r="AD629">
            <v>529348</v>
          </cell>
          <cell r="AE629">
            <v>2.4E-2</v>
          </cell>
          <cell r="AF629">
            <v>1.49</v>
          </cell>
          <cell r="AG629">
            <v>3.3000000000000002E-2</v>
          </cell>
          <cell r="AH629">
            <v>1E-3</v>
          </cell>
          <cell r="AI629">
            <v>0.46</v>
          </cell>
          <cell r="AJ629">
            <v>17</v>
          </cell>
          <cell r="AK629">
            <v>10</v>
          </cell>
          <cell r="AL629">
            <v>0.04</v>
          </cell>
          <cell r="AM629">
            <v>2.0299999999999998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0.48</v>
          </cell>
          <cell r="AS629">
            <v>0</v>
          </cell>
          <cell r="AT629">
            <v>281</v>
          </cell>
          <cell r="AU629">
            <v>0</v>
          </cell>
          <cell r="AV629">
            <v>620</v>
          </cell>
          <cell r="AW629">
            <v>54</v>
          </cell>
          <cell r="AX629">
            <v>81</v>
          </cell>
          <cell r="AY629">
            <v>153</v>
          </cell>
          <cell r="AZ629">
            <v>1.59</v>
          </cell>
          <cell r="BA629" t="str">
            <v>D2006044</v>
          </cell>
          <cell r="BB629" t="str">
            <v>CONFORM</v>
          </cell>
          <cell r="BC629" t="str">
            <v>CONFORM</v>
          </cell>
          <cell r="BD629" t="str">
            <v>CONFORM</v>
          </cell>
          <cell r="BE629" t="str">
            <v>CONFORM</v>
          </cell>
          <cell r="BF629" t="str">
            <v>CONFORM</v>
          </cell>
        </row>
        <row r="630">
          <cell r="A630">
            <v>43990</v>
          </cell>
          <cell r="B630" t="str">
            <v>D2006044-3</v>
          </cell>
          <cell r="C630" t="str">
            <v>045/20</v>
          </cell>
          <cell r="D630">
            <v>2</v>
          </cell>
          <cell r="E630">
            <v>44011</v>
          </cell>
          <cell r="F630" t="str">
            <v>DC</v>
          </cell>
          <cell r="G630" t="str">
            <v>On Time</v>
          </cell>
          <cell r="H630" t="str">
            <v>0008510006</v>
          </cell>
          <cell r="I630">
            <v>43986</v>
          </cell>
          <cell r="J630" t="str">
            <v>OUTO</v>
          </cell>
          <cell r="K630" t="str">
            <v>D2006044</v>
          </cell>
          <cell r="L630">
            <v>3</v>
          </cell>
          <cell r="M630">
            <v>897364</v>
          </cell>
          <cell r="N630">
            <v>529348</v>
          </cell>
          <cell r="O630" t="str">
            <v xml:space="preserve">1.4401/1.4404 TP316/316L </v>
          </cell>
          <cell r="P630" t="str">
            <v>316L</v>
          </cell>
          <cell r="Q630">
            <v>2.3860000000000001</v>
          </cell>
          <cell r="S630">
            <v>2.7E-2</v>
          </cell>
          <cell r="T630">
            <v>2.8000000000000001E-2</v>
          </cell>
          <cell r="V630">
            <v>2.8000000000000001E-2</v>
          </cell>
          <cell r="X630">
            <v>2161</v>
          </cell>
          <cell r="Y630">
            <v>1</v>
          </cell>
          <cell r="Z630">
            <v>905.69991617770324</v>
          </cell>
          <cell r="AA630" t="str">
            <v>2.386X0.027-316L</v>
          </cell>
          <cell r="AB630" t="str">
            <v>WAAF006060070B300086</v>
          </cell>
          <cell r="AC630" t="str">
            <v>D2006044</v>
          </cell>
          <cell r="AD630">
            <v>529348</v>
          </cell>
          <cell r="AE630">
            <v>2.4E-2</v>
          </cell>
          <cell r="AF630">
            <v>1.49</v>
          </cell>
          <cell r="AG630">
            <v>3.3000000000000002E-2</v>
          </cell>
          <cell r="AH630">
            <v>1E-3</v>
          </cell>
          <cell r="AI630">
            <v>0.46</v>
          </cell>
          <cell r="AJ630">
            <v>17</v>
          </cell>
          <cell r="AK630">
            <v>10</v>
          </cell>
          <cell r="AL630">
            <v>0.04</v>
          </cell>
          <cell r="AM630">
            <v>2.0299999999999998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0.48</v>
          </cell>
          <cell r="AS630">
            <v>0</v>
          </cell>
          <cell r="AT630">
            <v>281</v>
          </cell>
          <cell r="AU630">
            <v>0</v>
          </cell>
          <cell r="AV630">
            <v>620</v>
          </cell>
          <cell r="AW630">
            <v>54</v>
          </cell>
          <cell r="AX630">
            <v>81</v>
          </cell>
          <cell r="AY630">
            <v>153</v>
          </cell>
          <cell r="AZ630">
            <v>1.59</v>
          </cell>
          <cell r="BA630" t="str">
            <v>D2006044</v>
          </cell>
          <cell r="BB630" t="str">
            <v>CONFORM</v>
          </cell>
          <cell r="BC630" t="str">
            <v>CONFORM</v>
          </cell>
          <cell r="BD630" t="str">
            <v>CONFORM</v>
          </cell>
          <cell r="BE630" t="str">
            <v>CONFORM</v>
          </cell>
          <cell r="BF630" t="str">
            <v>CONFORM</v>
          </cell>
        </row>
        <row r="631">
          <cell r="A631">
            <v>43990</v>
          </cell>
          <cell r="B631" t="str">
            <v>D2006044-4</v>
          </cell>
          <cell r="C631" t="str">
            <v>045/20</v>
          </cell>
          <cell r="D631">
            <v>2</v>
          </cell>
          <cell r="E631">
            <v>44011</v>
          </cell>
          <cell r="F631" t="str">
            <v>DC</v>
          </cell>
          <cell r="G631" t="str">
            <v>On Time</v>
          </cell>
          <cell r="H631" t="str">
            <v>0008510006</v>
          </cell>
          <cell r="I631">
            <v>43986</v>
          </cell>
          <cell r="J631" t="str">
            <v>OUTO</v>
          </cell>
          <cell r="K631" t="str">
            <v>D2006044</v>
          </cell>
          <cell r="L631">
            <v>4</v>
          </cell>
          <cell r="M631">
            <v>897364</v>
          </cell>
          <cell r="N631">
            <v>529348</v>
          </cell>
          <cell r="O631" t="str">
            <v xml:space="preserve">1.4401/1.4404 TP316/316L </v>
          </cell>
          <cell r="P631" t="str">
            <v>316L</v>
          </cell>
          <cell r="Q631">
            <v>2.3860000000000001</v>
          </cell>
          <cell r="S631">
            <v>2.7E-2</v>
          </cell>
          <cell r="T631">
            <v>2.8000000000000001E-2</v>
          </cell>
          <cell r="V631">
            <v>2.8000000000000001E-2</v>
          </cell>
          <cell r="X631">
            <v>2165</v>
          </cell>
          <cell r="Y631">
            <v>1</v>
          </cell>
          <cell r="Z631">
            <v>907.37636211232189</v>
          </cell>
          <cell r="AA631" t="str">
            <v>2.386X0.027-316L</v>
          </cell>
          <cell r="AB631" t="str">
            <v>WAAF006060070B300086</v>
          </cell>
          <cell r="AC631" t="str">
            <v>D2006044</v>
          </cell>
          <cell r="AD631">
            <v>529348</v>
          </cell>
          <cell r="AE631">
            <v>2.4E-2</v>
          </cell>
          <cell r="AF631">
            <v>1.49</v>
          </cell>
          <cell r="AG631">
            <v>3.3000000000000002E-2</v>
          </cell>
          <cell r="AH631">
            <v>1E-3</v>
          </cell>
          <cell r="AI631">
            <v>0.46</v>
          </cell>
          <cell r="AJ631">
            <v>17</v>
          </cell>
          <cell r="AK631">
            <v>10</v>
          </cell>
          <cell r="AL631">
            <v>0.04</v>
          </cell>
          <cell r="AM631">
            <v>2.0299999999999998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0.48</v>
          </cell>
          <cell r="AS631">
            <v>0</v>
          </cell>
          <cell r="AT631">
            <v>281</v>
          </cell>
          <cell r="AU631">
            <v>0</v>
          </cell>
          <cell r="AV631">
            <v>620</v>
          </cell>
          <cell r="AW631">
            <v>54</v>
          </cell>
          <cell r="AX631">
            <v>81</v>
          </cell>
          <cell r="AY631">
            <v>153</v>
          </cell>
          <cell r="AZ631">
            <v>1.59</v>
          </cell>
          <cell r="BA631" t="str">
            <v>D2006044</v>
          </cell>
          <cell r="BB631" t="str">
            <v>CONFORM</v>
          </cell>
          <cell r="BC631" t="str">
            <v>CONFORM</v>
          </cell>
          <cell r="BD631" t="str">
            <v>CONFORM</v>
          </cell>
          <cell r="BE631" t="str">
            <v>CONFORM</v>
          </cell>
          <cell r="BF631" t="str">
            <v>CONFORM</v>
          </cell>
        </row>
        <row r="632">
          <cell r="A632">
            <v>43990</v>
          </cell>
          <cell r="B632" t="str">
            <v>D2006044-5</v>
          </cell>
          <cell r="C632" t="str">
            <v>045/20</v>
          </cell>
          <cell r="D632">
            <v>2</v>
          </cell>
          <cell r="E632">
            <v>44011</v>
          </cell>
          <cell r="F632" t="str">
            <v>DC</v>
          </cell>
          <cell r="G632" t="str">
            <v>On Time</v>
          </cell>
          <cell r="H632" t="str">
            <v>0008510006</v>
          </cell>
          <cell r="I632">
            <v>43986</v>
          </cell>
          <cell r="J632" t="str">
            <v>OUTO</v>
          </cell>
          <cell r="K632" t="str">
            <v>D2006044</v>
          </cell>
          <cell r="L632">
            <v>5</v>
          </cell>
          <cell r="M632">
            <v>897364</v>
          </cell>
          <cell r="N632">
            <v>529348</v>
          </cell>
          <cell r="O632" t="str">
            <v xml:space="preserve">1.4401/1.4404 TP316/316L </v>
          </cell>
          <cell r="P632" t="str">
            <v>316L</v>
          </cell>
          <cell r="Q632">
            <v>2.3860000000000001</v>
          </cell>
          <cell r="S632">
            <v>2.7E-2</v>
          </cell>
          <cell r="T632">
            <v>2.8000000000000001E-2</v>
          </cell>
          <cell r="V632">
            <v>2.8000000000000001E-2</v>
          </cell>
          <cell r="X632">
            <v>2161</v>
          </cell>
          <cell r="Y632">
            <v>1</v>
          </cell>
          <cell r="Z632">
            <v>905.69991617770324</v>
          </cell>
          <cell r="AA632" t="str">
            <v>2.386X0.027-316L</v>
          </cell>
          <cell r="AB632" t="str">
            <v>WAAF006060070B300086</v>
          </cell>
          <cell r="AC632" t="str">
            <v>D2006044</v>
          </cell>
          <cell r="AD632">
            <v>529348</v>
          </cell>
          <cell r="AE632">
            <v>2.4E-2</v>
          </cell>
          <cell r="AF632">
            <v>1.49</v>
          </cell>
          <cell r="AG632">
            <v>3.3000000000000002E-2</v>
          </cell>
          <cell r="AH632">
            <v>1E-3</v>
          </cell>
          <cell r="AI632">
            <v>0.46</v>
          </cell>
          <cell r="AJ632">
            <v>17</v>
          </cell>
          <cell r="AK632">
            <v>10</v>
          </cell>
          <cell r="AL632">
            <v>0.04</v>
          </cell>
          <cell r="AM632">
            <v>2.0299999999999998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0.48</v>
          </cell>
          <cell r="AS632">
            <v>0</v>
          </cell>
          <cell r="AT632">
            <v>281</v>
          </cell>
          <cell r="AU632">
            <v>0</v>
          </cell>
          <cell r="AV632">
            <v>620</v>
          </cell>
          <cell r="AW632">
            <v>54</v>
          </cell>
          <cell r="AX632">
            <v>81</v>
          </cell>
          <cell r="AY632">
            <v>153</v>
          </cell>
          <cell r="AZ632">
            <v>1.59</v>
          </cell>
          <cell r="BA632" t="str">
            <v>D2006044</v>
          </cell>
          <cell r="BB632" t="str">
            <v>CONFORM</v>
          </cell>
          <cell r="BC632" t="str">
            <v>CONFORM</v>
          </cell>
          <cell r="BD632" t="str">
            <v>CONFORM</v>
          </cell>
          <cell r="BE632" t="str">
            <v>CONFORM</v>
          </cell>
          <cell r="BF632" t="str">
            <v>CONFORM</v>
          </cell>
        </row>
        <row r="633">
          <cell r="A633">
            <v>43990</v>
          </cell>
          <cell r="B633" t="str">
            <v>D2006044-6</v>
          </cell>
          <cell r="C633" t="str">
            <v>045/20</v>
          </cell>
          <cell r="D633">
            <v>2</v>
          </cell>
          <cell r="E633">
            <v>44011</v>
          </cell>
          <cell r="F633" t="str">
            <v>DC</v>
          </cell>
          <cell r="G633" t="str">
            <v>On Time</v>
          </cell>
          <cell r="H633" t="str">
            <v>0008510006</v>
          </cell>
          <cell r="I633">
            <v>43986</v>
          </cell>
          <cell r="J633" t="str">
            <v>OUTO</v>
          </cell>
          <cell r="K633" t="str">
            <v>D2006044</v>
          </cell>
          <cell r="L633">
            <v>6</v>
          </cell>
          <cell r="M633">
            <v>897364</v>
          </cell>
          <cell r="N633">
            <v>529348</v>
          </cell>
          <cell r="O633" t="str">
            <v xml:space="preserve">1.4401/1.4404 TP316/316L </v>
          </cell>
          <cell r="P633" t="str">
            <v>316L</v>
          </cell>
          <cell r="Q633">
            <v>2.3860000000000001</v>
          </cell>
          <cell r="S633">
            <v>2.7E-2</v>
          </cell>
          <cell r="T633">
            <v>2.8000000000000001E-2</v>
          </cell>
          <cell r="V633">
            <v>2.8000000000000001E-2</v>
          </cell>
          <cell r="X633">
            <v>2165</v>
          </cell>
          <cell r="Y633">
            <v>1</v>
          </cell>
          <cell r="Z633">
            <v>907.37636211232189</v>
          </cell>
          <cell r="AA633" t="str">
            <v>2.386X0.027-316L</v>
          </cell>
          <cell r="AB633" t="str">
            <v>WAAF006060070B300086</v>
          </cell>
          <cell r="AC633" t="str">
            <v>D2006044</v>
          </cell>
          <cell r="AD633">
            <v>529348</v>
          </cell>
          <cell r="AE633">
            <v>2.4E-2</v>
          </cell>
          <cell r="AF633">
            <v>1.49</v>
          </cell>
          <cell r="AG633">
            <v>3.3000000000000002E-2</v>
          </cell>
          <cell r="AH633">
            <v>1E-3</v>
          </cell>
          <cell r="AI633">
            <v>0.46</v>
          </cell>
          <cell r="AJ633">
            <v>17</v>
          </cell>
          <cell r="AK633">
            <v>10</v>
          </cell>
          <cell r="AL633">
            <v>0.04</v>
          </cell>
          <cell r="AM633">
            <v>2.0299999999999998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0.48</v>
          </cell>
          <cell r="AS633">
            <v>0</v>
          </cell>
          <cell r="AT633">
            <v>281</v>
          </cell>
          <cell r="AU633">
            <v>0</v>
          </cell>
          <cell r="AV633">
            <v>620</v>
          </cell>
          <cell r="AW633">
            <v>54</v>
          </cell>
          <cell r="AX633">
            <v>81</v>
          </cell>
          <cell r="AY633">
            <v>153</v>
          </cell>
          <cell r="AZ633">
            <v>1.59</v>
          </cell>
          <cell r="BA633" t="str">
            <v>D2006044</v>
          </cell>
          <cell r="BB633" t="str">
            <v>CONFORM</v>
          </cell>
          <cell r="BC633" t="str">
            <v>CONFORM</v>
          </cell>
          <cell r="BD633" t="str">
            <v>CONFORM</v>
          </cell>
          <cell r="BE633" t="str">
            <v>CONFORM</v>
          </cell>
          <cell r="BF633" t="str">
            <v>CONFORM</v>
          </cell>
        </row>
        <row r="634">
          <cell r="A634">
            <v>43990</v>
          </cell>
          <cell r="B634" t="str">
            <v>D2006044-7</v>
          </cell>
          <cell r="C634" t="str">
            <v>045/20</v>
          </cell>
          <cell r="D634">
            <v>2</v>
          </cell>
          <cell r="E634">
            <v>44011</v>
          </cell>
          <cell r="F634" t="str">
            <v>DC</v>
          </cell>
          <cell r="G634" t="str">
            <v>On Time</v>
          </cell>
          <cell r="H634" t="str">
            <v>0008510006</v>
          </cell>
          <cell r="I634">
            <v>43986</v>
          </cell>
          <cell r="J634" t="str">
            <v>OUTO</v>
          </cell>
          <cell r="K634" t="str">
            <v>D2006044</v>
          </cell>
          <cell r="L634">
            <v>7</v>
          </cell>
          <cell r="M634">
            <v>897364</v>
          </cell>
          <cell r="N634">
            <v>529348</v>
          </cell>
          <cell r="O634" t="str">
            <v xml:space="preserve">1.4401/1.4404 TP316/316L </v>
          </cell>
          <cell r="P634" t="str">
            <v>316L</v>
          </cell>
          <cell r="Q634">
            <v>2.3860000000000001</v>
          </cell>
          <cell r="S634">
            <v>2.7E-2</v>
          </cell>
          <cell r="T634">
            <v>2.8000000000000001E-2</v>
          </cell>
          <cell r="V634">
            <v>2.8000000000000001E-2</v>
          </cell>
          <cell r="X634">
            <v>2165</v>
          </cell>
          <cell r="Y634">
            <v>1</v>
          </cell>
          <cell r="Z634">
            <v>907.37636211232189</v>
          </cell>
          <cell r="AA634" t="str">
            <v>2.386X0.027-316L</v>
          </cell>
          <cell r="AB634" t="str">
            <v>WAAF006060070B300086</v>
          </cell>
          <cell r="AC634" t="str">
            <v>D2006044</v>
          </cell>
          <cell r="AD634">
            <v>529348</v>
          </cell>
          <cell r="AE634">
            <v>2.4E-2</v>
          </cell>
          <cell r="AF634">
            <v>1.49</v>
          </cell>
          <cell r="AG634">
            <v>3.3000000000000002E-2</v>
          </cell>
          <cell r="AH634">
            <v>1E-3</v>
          </cell>
          <cell r="AI634">
            <v>0.46</v>
          </cell>
          <cell r="AJ634">
            <v>17</v>
          </cell>
          <cell r="AK634">
            <v>10</v>
          </cell>
          <cell r="AL634">
            <v>0.04</v>
          </cell>
          <cell r="AM634">
            <v>2.0299999999999998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0.48</v>
          </cell>
          <cell r="AS634">
            <v>0</v>
          </cell>
          <cell r="AT634">
            <v>281</v>
          </cell>
          <cell r="AU634">
            <v>0</v>
          </cell>
          <cell r="AV634">
            <v>620</v>
          </cell>
          <cell r="AW634">
            <v>54</v>
          </cell>
          <cell r="AX634">
            <v>81</v>
          </cell>
          <cell r="AY634">
            <v>153</v>
          </cell>
          <cell r="AZ634">
            <v>1.59</v>
          </cell>
          <cell r="BA634" t="str">
            <v>D2006044</v>
          </cell>
          <cell r="BB634" t="str">
            <v>CONFORM</v>
          </cell>
          <cell r="BC634" t="str">
            <v>CONFORM</v>
          </cell>
          <cell r="BD634" t="str">
            <v>CONFORM</v>
          </cell>
          <cell r="BE634" t="str">
            <v>CONFORM</v>
          </cell>
          <cell r="BF634" t="str">
            <v>CONFORM</v>
          </cell>
        </row>
        <row r="635">
          <cell r="A635">
            <v>43990</v>
          </cell>
          <cell r="B635" t="str">
            <v>D2006045-1</v>
          </cell>
          <cell r="C635" t="str">
            <v>045/20</v>
          </cell>
          <cell r="D635">
            <v>2</v>
          </cell>
          <cell r="E635">
            <v>44011</v>
          </cell>
          <cell r="F635" t="str">
            <v>DC</v>
          </cell>
          <cell r="G635" t="str">
            <v>On Time</v>
          </cell>
          <cell r="H635" t="str">
            <v>0008510006</v>
          </cell>
          <cell r="I635">
            <v>43986</v>
          </cell>
          <cell r="J635" t="str">
            <v>OUTO</v>
          </cell>
          <cell r="K635" t="str">
            <v>D2006045</v>
          </cell>
          <cell r="L635">
            <v>1</v>
          </cell>
          <cell r="M635">
            <v>883625</v>
          </cell>
          <cell r="N635">
            <v>528763</v>
          </cell>
          <cell r="O635" t="str">
            <v xml:space="preserve">1.4401/1.4404 TP316/316L </v>
          </cell>
          <cell r="P635" t="str">
            <v>316L</v>
          </cell>
          <cell r="Q635">
            <v>2.3860000000000001</v>
          </cell>
          <cell r="S635">
            <v>2.7E-2</v>
          </cell>
          <cell r="V635" t="str">
            <v/>
          </cell>
          <cell r="X635">
            <v>2138</v>
          </cell>
          <cell r="Y635">
            <v>2</v>
          </cell>
          <cell r="Z635">
            <v>448.03017602682309</v>
          </cell>
          <cell r="AA635" t="str">
            <v>2.386X0.027-316L</v>
          </cell>
          <cell r="AB635" t="str">
            <v>WAAF006060070B300086</v>
          </cell>
          <cell r="AC635" t="str">
            <v>D2006045</v>
          </cell>
          <cell r="AD635">
            <v>528763</v>
          </cell>
          <cell r="AE635">
            <v>2.4E-2</v>
          </cell>
          <cell r="AF635">
            <v>1.45</v>
          </cell>
          <cell r="AG635">
            <v>3.3000000000000002E-2</v>
          </cell>
          <cell r="AH635">
            <v>1E-3</v>
          </cell>
          <cell r="AI635">
            <v>0.4</v>
          </cell>
          <cell r="AJ635">
            <v>16.5</v>
          </cell>
          <cell r="AK635">
            <v>10</v>
          </cell>
          <cell r="AL635">
            <v>3.9E-2</v>
          </cell>
          <cell r="AM635">
            <v>2.0299999999999998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0.52</v>
          </cell>
          <cell r="AS635">
            <v>0</v>
          </cell>
          <cell r="AT635">
            <v>286</v>
          </cell>
          <cell r="AU635">
            <v>0</v>
          </cell>
          <cell r="AV635">
            <v>625</v>
          </cell>
          <cell r="AW635">
            <v>54</v>
          </cell>
          <cell r="AX635">
            <v>81</v>
          </cell>
          <cell r="AY635">
            <v>153</v>
          </cell>
          <cell r="AZ635">
            <v>1.59</v>
          </cell>
          <cell r="BA635" t="str">
            <v>D2006045</v>
          </cell>
          <cell r="BB635" t="str">
            <v>CONFORM</v>
          </cell>
          <cell r="BC635" t="str">
            <v>CONFORM</v>
          </cell>
          <cell r="BD635" t="str">
            <v>CONFORM</v>
          </cell>
          <cell r="BE635" t="str">
            <v>CONFORM</v>
          </cell>
          <cell r="BF635" t="str">
            <v>CONFORM</v>
          </cell>
        </row>
        <row r="636">
          <cell r="A636">
            <v>43990</v>
          </cell>
          <cell r="B636" t="str">
            <v>D2006045-2</v>
          </cell>
          <cell r="C636" t="str">
            <v>045/20</v>
          </cell>
          <cell r="D636">
            <v>2</v>
          </cell>
          <cell r="E636">
            <v>44011</v>
          </cell>
          <cell r="F636" t="str">
            <v>DC</v>
          </cell>
          <cell r="G636" t="str">
            <v>On Time</v>
          </cell>
          <cell r="H636" t="str">
            <v>0008510006</v>
          </cell>
          <cell r="I636">
            <v>43986</v>
          </cell>
          <cell r="J636" t="str">
            <v>OUTO</v>
          </cell>
          <cell r="K636" t="str">
            <v>D2006045</v>
          </cell>
          <cell r="L636">
            <v>2</v>
          </cell>
          <cell r="M636">
            <v>883625</v>
          </cell>
          <cell r="N636">
            <v>528763</v>
          </cell>
          <cell r="O636" t="str">
            <v xml:space="preserve">1.4401/1.4404 TP316/316L </v>
          </cell>
          <cell r="P636" t="str">
            <v>316L</v>
          </cell>
          <cell r="Q636">
            <v>2.3860000000000001</v>
          </cell>
          <cell r="S636">
            <v>2.7E-2</v>
          </cell>
          <cell r="V636" t="str">
            <v/>
          </cell>
          <cell r="X636">
            <v>2150</v>
          </cell>
          <cell r="Y636">
            <v>2</v>
          </cell>
          <cell r="Z636">
            <v>450.54484492875105</v>
          </cell>
          <cell r="AA636" t="str">
            <v>2.386X0.027-316L</v>
          </cell>
          <cell r="AB636" t="str">
            <v>WAAF006060070B300086</v>
          </cell>
          <cell r="AC636" t="str">
            <v>D2006045</v>
          </cell>
          <cell r="AD636">
            <v>528763</v>
          </cell>
          <cell r="AE636">
            <v>2.4E-2</v>
          </cell>
          <cell r="AF636">
            <v>1.45</v>
          </cell>
          <cell r="AG636">
            <v>3.3000000000000002E-2</v>
          </cell>
          <cell r="AH636">
            <v>1E-3</v>
          </cell>
          <cell r="AI636">
            <v>0.4</v>
          </cell>
          <cell r="AJ636">
            <v>16.5</v>
          </cell>
          <cell r="AK636">
            <v>10</v>
          </cell>
          <cell r="AL636">
            <v>3.9E-2</v>
          </cell>
          <cell r="AM636">
            <v>2.0299999999999998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0.52</v>
          </cell>
          <cell r="AS636">
            <v>0</v>
          </cell>
          <cell r="AT636">
            <v>286</v>
          </cell>
          <cell r="AU636">
            <v>0</v>
          </cell>
          <cell r="AV636">
            <v>625</v>
          </cell>
          <cell r="AW636">
            <v>54</v>
          </cell>
          <cell r="AX636">
            <v>81</v>
          </cell>
          <cell r="AY636">
            <v>153</v>
          </cell>
          <cell r="AZ636">
            <v>1.59</v>
          </cell>
          <cell r="BA636" t="str">
            <v>D2006045</v>
          </cell>
          <cell r="BB636" t="str">
            <v>CONFORM</v>
          </cell>
          <cell r="BC636" t="str">
            <v>CONFORM</v>
          </cell>
          <cell r="BD636" t="str">
            <v>CONFORM</v>
          </cell>
          <cell r="BE636" t="str">
            <v>CONFORM</v>
          </cell>
          <cell r="BF636" t="str">
            <v>CONFORM</v>
          </cell>
        </row>
        <row r="637">
          <cell r="A637">
            <v>43992</v>
          </cell>
          <cell r="B637" t="str">
            <v>D2006060-1</v>
          </cell>
          <cell r="C637" t="str">
            <v>031/20</v>
          </cell>
          <cell r="D637">
            <v>1</v>
          </cell>
          <cell r="E637">
            <v>43971</v>
          </cell>
          <cell r="F637" t="str">
            <v>DC</v>
          </cell>
          <cell r="G637" t="str">
            <v>Late</v>
          </cell>
          <cell r="H637" t="str">
            <v>L382015</v>
          </cell>
          <cell r="I637">
            <v>43990</v>
          </cell>
          <cell r="J637" t="str">
            <v>ATI</v>
          </cell>
          <cell r="K637" t="str">
            <v>D2006060</v>
          </cell>
          <cell r="L637">
            <v>1</v>
          </cell>
          <cell r="M637" t="str">
            <v>AAD03978</v>
          </cell>
          <cell r="N637">
            <v>860569</v>
          </cell>
          <cell r="O637" t="str">
            <v xml:space="preserve">1.4462 UNS S31803/S32205 </v>
          </cell>
          <cell r="P637" t="str">
            <v>2205</v>
          </cell>
          <cell r="Q637">
            <v>3.0710000000000002</v>
          </cell>
          <cell r="R637">
            <v>3.069</v>
          </cell>
          <cell r="S637">
            <v>6.3E-2</v>
          </cell>
          <cell r="T637">
            <v>6.2E-2</v>
          </cell>
          <cell r="V637">
            <v>6.2E-2</v>
          </cell>
          <cell r="X637">
            <v>3840</v>
          </cell>
          <cell r="Y637">
            <v>2</v>
          </cell>
          <cell r="Z637">
            <v>625.2035167697818</v>
          </cell>
          <cell r="AA637" t="str">
            <v>3.071X0.063-2205</v>
          </cell>
          <cell r="AB637" t="str">
            <v>WACN007800160B300055</v>
          </cell>
          <cell r="AC637" t="str">
            <v>D2006060</v>
          </cell>
          <cell r="AD637">
            <v>860569</v>
          </cell>
          <cell r="AE637">
            <v>1.6E-2</v>
          </cell>
          <cell r="AF637">
            <v>1.74</v>
          </cell>
          <cell r="AG637">
            <v>2.5999999999999999E-2</v>
          </cell>
          <cell r="AH637">
            <v>0</v>
          </cell>
          <cell r="AI637">
            <v>0.52</v>
          </cell>
          <cell r="AJ637">
            <v>22.2</v>
          </cell>
          <cell r="AK637">
            <v>5.5</v>
          </cell>
          <cell r="AL637">
            <v>0.17</v>
          </cell>
          <cell r="AM637">
            <v>3.18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  <cell r="AS637">
            <v>0</v>
          </cell>
          <cell r="AT637">
            <v>663</v>
          </cell>
          <cell r="AU637">
            <v>0</v>
          </cell>
          <cell r="AV637">
            <v>873</v>
          </cell>
          <cell r="AW637">
            <v>30</v>
          </cell>
          <cell r="AX637">
            <v>24</v>
          </cell>
          <cell r="AY637">
            <v>260</v>
          </cell>
          <cell r="AZ637">
            <v>2.11</v>
          </cell>
          <cell r="BA637" t="str">
            <v>D2006060</v>
          </cell>
          <cell r="BB637" t="str">
            <v>CONFORM</v>
          </cell>
          <cell r="BC637" t="str">
            <v>CONFORM</v>
          </cell>
          <cell r="BD637" t="str">
            <v>CONFORM</v>
          </cell>
          <cell r="BE637" t="str">
            <v>CONFORM</v>
          </cell>
          <cell r="BF637" t="str">
            <v>CONFORM</v>
          </cell>
        </row>
        <row r="638">
          <cell r="A638">
            <v>43992</v>
          </cell>
          <cell r="B638" t="str">
            <v>D2006060-2</v>
          </cell>
          <cell r="C638" t="str">
            <v>031/20</v>
          </cell>
          <cell r="D638">
            <v>1</v>
          </cell>
          <cell r="E638">
            <v>43971</v>
          </cell>
          <cell r="F638" t="str">
            <v>DC</v>
          </cell>
          <cell r="G638" t="str">
            <v>Late</v>
          </cell>
          <cell r="H638" t="str">
            <v>L382015</v>
          </cell>
          <cell r="I638">
            <v>43990</v>
          </cell>
          <cell r="J638" t="str">
            <v>ATI</v>
          </cell>
          <cell r="K638" t="str">
            <v>D2006060</v>
          </cell>
          <cell r="L638">
            <v>2</v>
          </cell>
          <cell r="M638" t="str">
            <v>AAD03978</v>
          </cell>
          <cell r="N638">
            <v>860569</v>
          </cell>
          <cell r="O638" t="str">
            <v xml:space="preserve">1.4462 UNS S31803/S32205 </v>
          </cell>
          <cell r="P638" t="str">
            <v>2205</v>
          </cell>
          <cell r="Q638">
            <v>3.0710000000000002</v>
          </cell>
          <cell r="R638">
            <v>3.0680000000000001</v>
          </cell>
          <cell r="S638">
            <v>6.3E-2</v>
          </cell>
          <cell r="T638">
            <v>6.3E-2</v>
          </cell>
          <cell r="V638">
            <v>6.3E-2</v>
          </cell>
          <cell r="X638">
            <v>3840</v>
          </cell>
          <cell r="Y638">
            <v>2</v>
          </cell>
          <cell r="Z638">
            <v>625.2035167697818</v>
          </cell>
          <cell r="AA638" t="str">
            <v>3.071X0.063-2205</v>
          </cell>
          <cell r="AB638" t="str">
            <v>WACN007800160B300055</v>
          </cell>
          <cell r="AC638" t="str">
            <v>D2006060</v>
          </cell>
          <cell r="AD638">
            <v>860569</v>
          </cell>
          <cell r="AE638">
            <v>1.6E-2</v>
          </cell>
          <cell r="AF638">
            <v>1.74</v>
          </cell>
          <cell r="AG638">
            <v>2.5999999999999999E-2</v>
          </cell>
          <cell r="AH638">
            <v>0</v>
          </cell>
          <cell r="AI638">
            <v>0.52</v>
          </cell>
          <cell r="AJ638">
            <v>22.2</v>
          </cell>
          <cell r="AK638">
            <v>5.5</v>
          </cell>
          <cell r="AL638">
            <v>0.17</v>
          </cell>
          <cell r="AM638">
            <v>3.18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0</v>
          </cell>
          <cell r="AS638">
            <v>0</v>
          </cell>
          <cell r="AT638">
            <v>663</v>
          </cell>
          <cell r="AU638">
            <v>0</v>
          </cell>
          <cell r="AV638">
            <v>873</v>
          </cell>
          <cell r="AW638">
            <v>30</v>
          </cell>
          <cell r="AX638">
            <v>24</v>
          </cell>
          <cell r="AY638">
            <v>260</v>
          </cell>
          <cell r="AZ638">
            <v>2.11</v>
          </cell>
          <cell r="BA638" t="str">
            <v>D2006060</v>
          </cell>
          <cell r="BB638" t="str">
            <v>CONFORM</v>
          </cell>
          <cell r="BC638" t="str">
            <v>CONFORM</v>
          </cell>
          <cell r="BD638" t="str">
            <v>CONFORM</v>
          </cell>
          <cell r="BE638" t="str">
            <v>CONFORM</v>
          </cell>
          <cell r="BF638" t="str">
            <v>CONFORM</v>
          </cell>
        </row>
        <row r="639">
          <cell r="A639">
            <v>43992</v>
          </cell>
          <cell r="B639" t="str">
            <v>D2006060-3</v>
          </cell>
          <cell r="C639" t="str">
            <v>031/20</v>
          </cell>
          <cell r="D639">
            <v>1</v>
          </cell>
          <cell r="E639">
            <v>43971</v>
          </cell>
          <cell r="F639" t="str">
            <v>DC</v>
          </cell>
          <cell r="G639" t="str">
            <v>Late</v>
          </cell>
          <cell r="H639" t="str">
            <v>L382015</v>
          </cell>
          <cell r="I639">
            <v>43990</v>
          </cell>
          <cell r="J639" t="str">
            <v>ATI</v>
          </cell>
          <cell r="K639" t="str">
            <v>D2006060</v>
          </cell>
          <cell r="L639">
            <v>3</v>
          </cell>
          <cell r="M639" t="str">
            <v>AAD03978</v>
          </cell>
          <cell r="N639">
            <v>860569</v>
          </cell>
          <cell r="O639" t="str">
            <v xml:space="preserve">1.4462 UNS S31803/S32205 </v>
          </cell>
          <cell r="P639" t="str">
            <v>2205</v>
          </cell>
          <cell r="Q639">
            <v>3.0710000000000002</v>
          </cell>
          <cell r="R639">
            <v>3.0710000000000002</v>
          </cell>
          <cell r="S639">
            <v>6.3E-2</v>
          </cell>
          <cell r="T639">
            <v>6.2E-2</v>
          </cell>
          <cell r="V639">
            <v>6.2E-2</v>
          </cell>
          <cell r="X639">
            <v>3840</v>
          </cell>
          <cell r="Y639">
            <v>2</v>
          </cell>
          <cell r="Z639">
            <v>625.2035167697818</v>
          </cell>
          <cell r="AA639" t="str">
            <v>3.071X0.063-2205</v>
          </cell>
          <cell r="AB639" t="str">
            <v>WACN007800160B300055</v>
          </cell>
          <cell r="AC639" t="str">
            <v>D2006060</v>
          </cell>
          <cell r="AD639">
            <v>860569</v>
          </cell>
          <cell r="AE639">
            <v>1.6E-2</v>
          </cell>
          <cell r="AF639">
            <v>1.74</v>
          </cell>
          <cell r="AG639">
            <v>2.5999999999999999E-2</v>
          </cell>
          <cell r="AH639">
            <v>0</v>
          </cell>
          <cell r="AI639">
            <v>0.52</v>
          </cell>
          <cell r="AJ639">
            <v>22.2</v>
          </cell>
          <cell r="AK639">
            <v>5.5</v>
          </cell>
          <cell r="AL639">
            <v>0.17</v>
          </cell>
          <cell r="AM639">
            <v>3.18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0</v>
          </cell>
          <cell r="AS639">
            <v>0</v>
          </cell>
          <cell r="AT639">
            <v>663</v>
          </cell>
          <cell r="AU639">
            <v>0</v>
          </cell>
          <cell r="AV639">
            <v>873</v>
          </cell>
          <cell r="AW639">
            <v>30</v>
          </cell>
          <cell r="AX639">
            <v>24</v>
          </cell>
          <cell r="AY639">
            <v>260</v>
          </cell>
          <cell r="AZ639">
            <v>2.11</v>
          </cell>
          <cell r="BA639" t="str">
            <v>D2006060</v>
          </cell>
          <cell r="BB639" t="str">
            <v>CONFORM</v>
          </cell>
          <cell r="BC639" t="str">
            <v>CONFORM</v>
          </cell>
          <cell r="BD639" t="str">
            <v>CONFORM</v>
          </cell>
          <cell r="BE639" t="str">
            <v>CONFORM</v>
          </cell>
          <cell r="BF639" t="str">
            <v>CONFORM</v>
          </cell>
        </row>
        <row r="640">
          <cell r="A640">
            <v>43992</v>
          </cell>
          <cell r="B640" t="str">
            <v>D2006060-4</v>
          </cell>
          <cell r="C640" t="str">
            <v>031/20</v>
          </cell>
          <cell r="D640">
            <v>1</v>
          </cell>
          <cell r="E640">
            <v>43971</v>
          </cell>
          <cell r="F640" t="str">
            <v>DC</v>
          </cell>
          <cell r="G640" t="str">
            <v>Late</v>
          </cell>
          <cell r="H640" t="str">
            <v>L382015</v>
          </cell>
          <cell r="I640">
            <v>43990</v>
          </cell>
          <cell r="J640" t="str">
            <v>ATI</v>
          </cell>
          <cell r="K640" t="str">
            <v>D2006060</v>
          </cell>
          <cell r="L640">
            <v>4</v>
          </cell>
          <cell r="M640" t="str">
            <v>AAD03978</v>
          </cell>
          <cell r="N640">
            <v>860569</v>
          </cell>
          <cell r="O640" t="str">
            <v xml:space="preserve">1.4462 UNS S31803/S32205 </v>
          </cell>
          <cell r="P640" t="str">
            <v>2205</v>
          </cell>
          <cell r="Q640">
            <v>3.0710000000000002</v>
          </cell>
          <cell r="R640">
            <v>3.07</v>
          </cell>
          <cell r="S640">
            <v>6.3E-2</v>
          </cell>
          <cell r="T640">
            <v>6.4000000000000001E-2</v>
          </cell>
          <cell r="V640">
            <v>6.4000000000000001E-2</v>
          </cell>
          <cell r="X640">
            <v>3840</v>
          </cell>
          <cell r="Y640">
            <v>2</v>
          </cell>
          <cell r="Z640">
            <v>625.2035167697818</v>
          </cell>
          <cell r="AA640" t="str">
            <v>3.071X0.063-2205</v>
          </cell>
          <cell r="AB640" t="str">
            <v>WACN007800160B300055</v>
          </cell>
          <cell r="AC640" t="str">
            <v>D2006060</v>
          </cell>
          <cell r="AD640">
            <v>860569</v>
          </cell>
          <cell r="AE640">
            <v>1.6E-2</v>
          </cell>
          <cell r="AF640">
            <v>1.74</v>
          </cell>
          <cell r="AG640">
            <v>2.5999999999999999E-2</v>
          </cell>
          <cell r="AH640">
            <v>0</v>
          </cell>
          <cell r="AI640">
            <v>0.52</v>
          </cell>
          <cell r="AJ640">
            <v>22.2</v>
          </cell>
          <cell r="AK640">
            <v>5.5</v>
          </cell>
          <cell r="AL640">
            <v>0.17</v>
          </cell>
          <cell r="AM640">
            <v>3.18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0</v>
          </cell>
          <cell r="AS640">
            <v>0</v>
          </cell>
          <cell r="AT640">
            <v>663</v>
          </cell>
          <cell r="AU640">
            <v>0</v>
          </cell>
          <cell r="AV640">
            <v>873</v>
          </cell>
          <cell r="AW640">
            <v>30</v>
          </cell>
          <cell r="AX640">
            <v>24</v>
          </cell>
          <cell r="AY640">
            <v>260</v>
          </cell>
          <cell r="AZ640">
            <v>2.11</v>
          </cell>
          <cell r="BA640" t="str">
            <v>D2006060</v>
          </cell>
          <cell r="BB640" t="str">
            <v>CONFORM</v>
          </cell>
          <cell r="BC640" t="str">
            <v>CONFORM</v>
          </cell>
          <cell r="BD640" t="str">
            <v>CONFORM</v>
          </cell>
          <cell r="BE640" t="str">
            <v>CONFORM</v>
          </cell>
          <cell r="BF640" t="str">
            <v>CONFORM</v>
          </cell>
        </row>
        <row r="641">
          <cell r="A641">
            <v>43992</v>
          </cell>
          <cell r="B641" t="str">
            <v>D2006060-5</v>
          </cell>
          <cell r="C641" t="str">
            <v>031/20</v>
          </cell>
          <cell r="D641">
            <v>1</v>
          </cell>
          <cell r="E641">
            <v>43971</v>
          </cell>
          <cell r="F641" t="str">
            <v>DC</v>
          </cell>
          <cell r="G641" t="str">
            <v>Late</v>
          </cell>
          <cell r="H641" t="str">
            <v>L382015</v>
          </cell>
          <cell r="I641">
            <v>43990</v>
          </cell>
          <cell r="J641" t="str">
            <v>ATI</v>
          </cell>
          <cell r="K641" t="str">
            <v>D2006060</v>
          </cell>
          <cell r="L641">
            <v>5</v>
          </cell>
          <cell r="M641" t="str">
            <v>AAD03978</v>
          </cell>
          <cell r="N641">
            <v>860569</v>
          </cell>
          <cell r="O641" t="str">
            <v xml:space="preserve">1.4462 UNS S31803/S32205 </v>
          </cell>
          <cell r="P641" t="str">
            <v>2205</v>
          </cell>
          <cell r="Q641">
            <v>3.0710000000000002</v>
          </cell>
          <cell r="R641">
            <v>3.069</v>
          </cell>
          <cell r="S641">
            <v>6.3E-2</v>
          </cell>
          <cell r="T641">
            <v>6.4000000000000001E-2</v>
          </cell>
          <cell r="V641">
            <v>6.4000000000000001E-2</v>
          </cell>
          <cell r="X641">
            <v>3840</v>
          </cell>
          <cell r="Y641">
            <v>2</v>
          </cell>
          <cell r="Z641">
            <v>625.2035167697818</v>
          </cell>
          <cell r="AA641" t="str">
            <v>3.071X0.063-2205</v>
          </cell>
          <cell r="AB641" t="str">
            <v>WACN007800160B300055</v>
          </cell>
          <cell r="AC641" t="str">
            <v>D2006060</v>
          </cell>
          <cell r="AD641">
            <v>860569</v>
          </cell>
          <cell r="AE641">
            <v>1.6E-2</v>
          </cell>
          <cell r="AF641">
            <v>1.74</v>
          </cell>
          <cell r="AG641">
            <v>2.5999999999999999E-2</v>
          </cell>
          <cell r="AH641">
            <v>0</v>
          </cell>
          <cell r="AI641">
            <v>0.52</v>
          </cell>
          <cell r="AJ641">
            <v>22.2</v>
          </cell>
          <cell r="AK641">
            <v>5.5</v>
          </cell>
          <cell r="AL641">
            <v>0.17</v>
          </cell>
          <cell r="AM641">
            <v>3.18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0</v>
          </cell>
          <cell r="AS641">
            <v>0</v>
          </cell>
          <cell r="AT641">
            <v>663</v>
          </cell>
          <cell r="AU641">
            <v>0</v>
          </cell>
          <cell r="AV641">
            <v>873</v>
          </cell>
          <cell r="AW641">
            <v>30</v>
          </cell>
          <cell r="AX641">
            <v>24</v>
          </cell>
          <cell r="AY641">
            <v>260</v>
          </cell>
          <cell r="AZ641">
            <v>2.11</v>
          </cell>
          <cell r="BA641" t="str">
            <v>D2006060</v>
          </cell>
          <cell r="BB641" t="str">
            <v>CONFORM</v>
          </cell>
          <cell r="BC641" t="str">
            <v>CONFORM</v>
          </cell>
          <cell r="BD641" t="str">
            <v>CONFORM</v>
          </cell>
          <cell r="BE641" t="str">
            <v>CONFORM</v>
          </cell>
          <cell r="BF641" t="str">
            <v>CONFORM</v>
          </cell>
        </row>
        <row r="642">
          <cell r="A642">
            <v>43992</v>
          </cell>
          <cell r="B642" t="str">
            <v>D2006060-6</v>
          </cell>
          <cell r="C642" t="str">
            <v>031/20</v>
          </cell>
          <cell r="D642">
            <v>1</v>
          </cell>
          <cell r="E642">
            <v>43971</v>
          </cell>
          <cell r="F642" t="str">
            <v>DC</v>
          </cell>
          <cell r="G642" t="str">
            <v>Late</v>
          </cell>
          <cell r="H642" t="str">
            <v>L382015</v>
          </cell>
          <cell r="I642">
            <v>43990</v>
          </cell>
          <cell r="J642" t="str">
            <v>ATI</v>
          </cell>
          <cell r="K642" t="str">
            <v>D2006060</v>
          </cell>
          <cell r="L642">
            <v>6</v>
          </cell>
          <cell r="M642" t="str">
            <v>AAD03978</v>
          </cell>
          <cell r="N642">
            <v>860569</v>
          </cell>
          <cell r="O642" t="str">
            <v xml:space="preserve">1.4462 UNS S31803/S32205 </v>
          </cell>
          <cell r="P642" t="str">
            <v>2205</v>
          </cell>
          <cell r="Q642">
            <v>3.0710000000000002</v>
          </cell>
          <cell r="R642">
            <v>3.0710000000000002</v>
          </cell>
          <cell r="S642">
            <v>6.3E-2</v>
          </cell>
          <cell r="T642">
            <v>6.3E-2</v>
          </cell>
          <cell r="V642">
            <v>6.3E-2</v>
          </cell>
          <cell r="X642">
            <v>3840</v>
          </cell>
          <cell r="Y642">
            <v>2</v>
          </cell>
          <cell r="Z642">
            <v>625.2035167697818</v>
          </cell>
          <cell r="AA642" t="str">
            <v>3.071X0.063-2205</v>
          </cell>
          <cell r="AB642" t="str">
            <v>WACN007800160B300055</v>
          </cell>
          <cell r="AC642" t="str">
            <v>D2006060</v>
          </cell>
          <cell r="AD642">
            <v>860569</v>
          </cell>
          <cell r="AE642">
            <v>1.6E-2</v>
          </cell>
          <cell r="AF642">
            <v>1.74</v>
          </cell>
          <cell r="AG642">
            <v>2.5999999999999999E-2</v>
          </cell>
          <cell r="AH642">
            <v>0</v>
          </cell>
          <cell r="AI642">
            <v>0.52</v>
          </cell>
          <cell r="AJ642">
            <v>22.2</v>
          </cell>
          <cell r="AK642">
            <v>5.5</v>
          </cell>
          <cell r="AL642">
            <v>0.17</v>
          </cell>
          <cell r="AM642">
            <v>3.18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663</v>
          </cell>
          <cell r="AU642">
            <v>0</v>
          </cell>
          <cell r="AV642">
            <v>873</v>
          </cell>
          <cell r="AW642">
            <v>30</v>
          </cell>
          <cell r="AX642">
            <v>24</v>
          </cell>
          <cell r="AY642">
            <v>260</v>
          </cell>
          <cell r="AZ642">
            <v>2.11</v>
          </cell>
          <cell r="BA642" t="str">
            <v>D2006060</v>
          </cell>
          <cell r="BB642" t="str">
            <v>CONFORM</v>
          </cell>
          <cell r="BC642" t="str">
            <v>CONFORM</v>
          </cell>
          <cell r="BD642" t="str">
            <v>CONFORM</v>
          </cell>
          <cell r="BE642" t="str">
            <v>CONFORM</v>
          </cell>
          <cell r="BF642" t="str">
            <v>CONFORM</v>
          </cell>
        </row>
        <row r="643">
          <cell r="A643">
            <v>43992</v>
          </cell>
          <cell r="B643" t="str">
            <v>D2006060-7</v>
          </cell>
          <cell r="C643" t="str">
            <v>031/20</v>
          </cell>
          <cell r="D643">
            <v>1</v>
          </cell>
          <cell r="E643">
            <v>43971</v>
          </cell>
          <cell r="F643" t="str">
            <v>DC</v>
          </cell>
          <cell r="G643" t="str">
            <v>Late</v>
          </cell>
          <cell r="H643" t="str">
            <v>L382015</v>
          </cell>
          <cell r="I643">
            <v>43990</v>
          </cell>
          <cell r="J643" t="str">
            <v>ATI</v>
          </cell>
          <cell r="K643" t="str">
            <v>D2006060</v>
          </cell>
          <cell r="L643">
            <v>7</v>
          </cell>
          <cell r="M643" t="str">
            <v>AAD03978</v>
          </cell>
          <cell r="N643">
            <v>860569</v>
          </cell>
          <cell r="O643" t="str">
            <v xml:space="preserve">1.4462 UNS S31803/S32205 </v>
          </cell>
          <cell r="P643" t="str">
            <v>2205</v>
          </cell>
          <cell r="Q643">
            <v>3.0710000000000002</v>
          </cell>
          <cell r="R643">
            <v>3.0720000000000001</v>
          </cell>
          <cell r="S643">
            <v>6.3E-2</v>
          </cell>
          <cell r="T643">
            <v>6.2E-2</v>
          </cell>
          <cell r="V643">
            <v>6.2E-2</v>
          </cell>
          <cell r="X643">
            <v>3840</v>
          </cell>
          <cell r="Y643">
            <v>2</v>
          </cell>
          <cell r="Z643">
            <v>625.2035167697818</v>
          </cell>
          <cell r="AA643" t="str">
            <v>3.071X0.063-2205</v>
          </cell>
          <cell r="AB643" t="str">
            <v>WACN007800160B300055</v>
          </cell>
          <cell r="AC643" t="str">
            <v>D2006060</v>
          </cell>
          <cell r="AD643">
            <v>860569</v>
          </cell>
          <cell r="AE643">
            <v>1.6E-2</v>
          </cell>
          <cell r="AF643">
            <v>1.74</v>
          </cell>
          <cell r="AG643">
            <v>2.5999999999999999E-2</v>
          </cell>
          <cell r="AH643">
            <v>0</v>
          </cell>
          <cell r="AI643">
            <v>0.52</v>
          </cell>
          <cell r="AJ643">
            <v>22.2</v>
          </cell>
          <cell r="AK643">
            <v>5.5</v>
          </cell>
          <cell r="AL643">
            <v>0.17</v>
          </cell>
          <cell r="AM643">
            <v>3.18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  <cell r="AS643">
            <v>0</v>
          </cell>
          <cell r="AT643">
            <v>663</v>
          </cell>
          <cell r="AU643">
            <v>0</v>
          </cell>
          <cell r="AV643">
            <v>873</v>
          </cell>
          <cell r="AW643">
            <v>30</v>
          </cell>
          <cell r="AX643">
            <v>24</v>
          </cell>
          <cell r="AY643">
            <v>260</v>
          </cell>
          <cell r="AZ643">
            <v>2.11</v>
          </cell>
          <cell r="BA643" t="str">
            <v>D2006060</v>
          </cell>
          <cell r="BB643" t="str">
            <v>CONFORM</v>
          </cell>
          <cell r="BC643" t="str">
            <v>CONFORM</v>
          </cell>
          <cell r="BD643" t="str">
            <v>CONFORM</v>
          </cell>
          <cell r="BE643" t="str">
            <v>CONFORM</v>
          </cell>
          <cell r="BF643" t="str">
            <v>CONFORM</v>
          </cell>
        </row>
        <row r="644">
          <cell r="A644">
            <v>43992</v>
          </cell>
          <cell r="B644" t="str">
            <v>D2006060-8</v>
          </cell>
          <cell r="C644" t="str">
            <v>031/20</v>
          </cell>
          <cell r="D644">
            <v>1</v>
          </cell>
          <cell r="E644">
            <v>43971</v>
          </cell>
          <cell r="F644" t="str">
            <v>DC</v>
          </cell>
          <cell r="G644" t="str">
            <v>Late</v>
          </cell>
          <cell r="H644" t="str">
            <v>L382015</v>
          </cell>
          <cell r="I644">
            <v>43990</v>
          </cell>
          <cell r="J644" t="str">
            <v>ATI</v>
          </cell>
          <cell r="K644" t="str">
            <v>D2006060</v>
          </cell>
          <cell r="L644">
            <v>8</v>
          </cell>
          <cell r="M644" t="str">
            <v>AAD03978</v>
          </cell>
          <cell r="N644">
            <v>860569</v>
          </cell>
          <cell r="O644" t="str">
            <v xml:space="preserve">1.4462 UNS S31803/S32205 </v>
          </cell>
          <cell r="P644" t="str">
            <v>2205</v>
          </cell>
          <cell r="Q644">
            <v>3.0710000000000002</v>
          </cell>
          <cell r="R644">
            <v>3.07</v>
          </cell>
          <cell r="S644">
            <v>6.3E-2</v>
          </cell>
          <cell r="T644">
            <v>6.4000000000000001E-2</v>
          </cell>
          <cell r="V644">
            <v>6.4000000000000001E-2</v>
          </cell>
          <cell r="X644">
            <v>1920</v>
          </cell>
          <cell r="Y644">
            <v>1</v>
          </cell>
          <cell r="Z644">
            <v>625.2035167697818</v>
          </cell>
          <cell r="AA644" t="str">
            <v>3.071X0.063-2205</v>
          </cell>
          <cell r="AB644" t="str">
            <v>WACN007800160B300055</v>
          </cell>
          <cell r="AC644" t="str">
            <v>D2006060</v>
          </cell>
          <cell r="AD644">
            <v>860569</v>
          </cell>
          <cell r="AE644">
            <v>1.6E-2</v>
          </cell>
          <cell r="AF644">
            <v>1.74</v>
          </cell>
          <cell r="AG644">
            <v>2.5999999999999999E-2</v>
          </cell>
          <cell r="AH644">
            <v>0</v>
          </cell>
          <cell r="AI644">
            <v>0.52</v>
          </cell>
          <cell r="AJ644">
            <v>22.2</v>
          </cell>
          <cell r="AK644">
            <v>5.5</v>
          </cell>
          <cell r="AL644">
            <v>0.17</v>
          </cell>
          <cell r="AM644">
            <v>3.18</v>
          </cell>
          <cell r="AN644">
            <v>0</v>
          </cell>
          <cell r="AO644">
            <v>0</v>
          </cell>
          <cell r="AP644">
            <v>0</v>
          </cell>
          <cell r="AQ644">
            <v>0</v>
          </cell>
          <cell r="AR644">
            <v>0</v>
          </cell>
          <cell r="AS644">
            <v>0</v>
          </cell>
          <cell r="AT644">
            <v>663</v>
          </cell>
          <cell r="AU644">
            <v>0</v>
          </cell>
          <cell r="AV644">
            <v>873</v>
          </cell>
          <cell r="AW644">
            <v>30</v>
          </cell>
          <cell r="AX644">
            <v>24</v>
          </cell>
          <cell r="AY644">
            <v>260</v>
          </cell>
          <cell r="AZ644">
            <v>2.11</v>
          </cell>
          <cell r="BA644" t="str">
            <v>D2006060</v>
          </cell>
          <cell r="BB644" t="str">
            <v>CONFORM</v>
          </cell>
          <cell r="BC644" t="str">
            <v>CONFORM</v>
          </cell>
          <cell r="BD644" t="str">
            <v>CONFORM</v>
          </cell>
          <cell r="BE644" t="str">
            <v>CONFORM</v>
          </cell>
          <cell r="BF644" t="str">
            <v>CONFORM</v>
          </cell>
        </row>
        <row r="645">
          <cell r="A645">
            <v>43999</v>
          </cell>
          <cell r="B645" t="str">
            <v>D2006098-1</v>
          </cell>
          <cell r="C645" t="str">
            <v>037/20</v>
          </cell>
          <cell r="D645">
            <v>1</v>
          </cell>
          <cell r="E645">
            <v>43992</v>
          </cell>
          <cell r="F645" t="str">
            <v>DC</v>
          </cell>
          <cell r="G645" t="str">
            <v>On Time</v>
          </cell>
          <cell r="H645" t="str">
            <v>L384287</v>
          </cell>
          <cell r="I645">
            <v>43997</v>
          </cell>
          <cell r="J645" t="str">
            <v>ATI</v>
          </cell>
          <cell r="K645" t="str">
            <v>D2006098</v>
          </cell>
          <cell r="L645">
            <v>1</v>
          </cell>
          <cell r="M645" t="str">
            <v>AAC86333</v>
          </cell>
          <cell r="N645">
            <v>859590</v>
          </cell>
          <cell r="O645" t="str">
            <v xml:space="preserve">UNS N08367   </v>
          </cell>
          <cell r="P645" t="str">
            <v>N08367</v>
          </cell>
          <cell r="Q645">
            <v>2.2639999999999998</v>
          </cell>
          <cell r="R645">
            <v>2.2629999999999999</v>
          </cell>
          <cell r="S645">
            <v>6.7000000000000004E-2</v>
          </cell>
          <cell r="T645">
            <v>6.8000000000000005E-2</v>
          </cell>
          <cell r="V645">
            <v>6.8000000000000005E-2</v>
          </cell>
          <cell r="X645">
            <v>5652</v>
          </cell>
          <cell r="Y645">
            <v>6</v>
          </cell>
          <cell r="Z645">
            <v>416.0777385159011</v>
          </cell>
          <cell r="AA645" t="str">
            <v>2.264X0.067-N08367</v>
          </cell>
          <cell r="AB645" t="str">
            <v>WABN005750170B200087</v>
          </cell>
          <cell r="AC645" t="str">
            <v>D2006098</v>
          </cell>
          <cell r="AD645">
            <v>859590</v>
          </cell>
          <cell r="AE645">
            <v>1.9E-2</v>
          </cell>
          <cell r="AF645">
            <v>0.5</v>
          </cell>
          <cell r="AG645">
            <v>2.4E-2</v>
          </cell>
          <cell r="AH645">
            <v>0</v>
          </cell>
          <cell r="AI645">
            <v>0.43</v>
          </cell>
          <cell r="AJ645">
            <v>20.6</v>
          </cell>
          <cell r="AK645">
            <v>23.9</v>
          </cell>
          <cell r="AL645">
            <v>0.22</v>
          </cell>
          <cell r="AM645">
            <v>6.15</v>
          </cell>
          <cell r="AN645">
            <v>0</v>
          </cell>
          <cell r="AO645">
            <v>0</v>
          </cell>
          <cell r="AP645">
            <v>0</v>
          </cell>
          <cell r="AQ645">
            <v>0</v>
          </cell>
          <cell r="AR645">
            <v>0.42</v>
          </cell>
          <cell r="AS645">
            <v>0</v>
          </cell>
          <cell r="AT645">
            <v>380</v>
          </cell>
          <cell r="AU645">
            <v>0</v>
          </cell>
          <cell r="AV645">
            <v>770</v>
          </cell>
          <cell r="AW645">
            <v>47</v>
          </cell>
          <cell r="AX645">
            <v>89</v>
          </cell>
          <cell r="AY645">
            <v>180</v>
          </cell>
          <cell r="AZ645">
            <v>5.63</v>
          </cell>
          <cell r="BA645" t="str">
            <v>D2006098</v>
          </cell>
          <cell r="BB645" t="str">
            <v>CONFORM</v>
          </cell>
          <cell r="BC645" t="str">
            <v>CONFORM</v>
          </cell>
          <cell r="BD645" t="str">
            <v>CONFORM</v>
          </cell>
          <cell r="BE645" t="str">
            <v>CONFORM</v>
          </cell>
          <cell r="BF645" t="str">
            <v>CONFORM</v>
          </cell>
        </row>
        <row r="646">
          <cell r="A646">
            <v>43999</v>
          </cell>
          <cell r="B646" t="str">
            <v>D2006098-2</v>
          </cell>
          <cell r="C646" t="str">
            <v>037/20</v>
          </cell>
          <cell r="D646">
            <v>1</v>
          </cell>
          <cell r="E646">
            <v>43992</v>
          </cell>
          <cell r="F646" t="str">
            <v>DC</v>
          </cell>
          <cell r="G646" t="str">
            <v>On Time</v>
          </cell>
          <cell r="H646" t="str">
            <v>L384287</v>
          </cell>
          <cell r="I646">
            <v>43997</v>
          </cell>
          <cell r="J646" t="str">
            <v>ATI</v>
          </cell>
          <cell r="K646" t="str">
            <v>D2006098</v>
          </cell>
          <cell r="L646">
            <v>2</v>
          </cell>
          <cell r="M646" t="str">
            <v>AAC86333</v>
          </cell>
          <cell r="N646">
            <v>859590</v>
          </cell>
          <cell r="O646" t="str">
            <v xml:space="preserve">UNS N08367   </v>
          </cell>
          <cell r="P646" t="str">
            <v>N08367</v>
          </cell>
          <cell r="Q646">
            <v>2.2639999999999998</v>
          </cell>
          <cell r="R646">
            <v>2.2629999999999999</v>
          </cell>
          <cell r="S646">
            <v>6.7000000000000004E-2</v>
          </cell>
          <cell r="T646">
            <v>6.7000000000000004E-2</v>
          </cell>
          <cell r="V646">
            <v>6.7000000000000004E-2</v>
          </cell>
          <cell r="X646">
            <v>4715</v>
          </cell>
          <cell r="Y646">
            <v>5</v>
          </cell>
          <cell r="Z646">
            <v>416.51943462897532</v>
          </cell>
          <cell r="AA646" t="str">
            <v>2.264X0.067-N08367</v>
          </cell>
          <cell r="AB646" t="str">
            <v>WABN005750170B200087</v>
          </cell>
          <cell r="AC646" t="str">
            <v>D2006098</v>
          </cell>
          <cell r="AD646">
            <v>859590</v>
          </cell>
          <cell r="AE646">
            <v>1.9E-2</v>
          </cell>
          <cell r="AF646">
            <v>0.5</v>
          </cell>
          <cell r="AG646">
            <v>2.4E-2</v>
          </cell>
          <cell r="AH646">
            <v>0</v>
          </cell>
          <cell r="AI646">
            <v>0.43</v>
          </cell>
          <cell r="AJ646">
            <v>20.6</v>
          </cell>
          <cell r="AK646">
            <v>23.9</v>
          </cell>
          <cell r="AL646">
            <v>0.22</v>
          </cell>
          <cell r="AM646">
            <v>6.15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  <cell r="AR646">
            <v>0.42</v>
          </cell>
          <cell r="AS646">
            <v>0</v>
          </cell>
          <cell r="AT646">
            <v>380</v>
          </cell>
          <cell r="AU646">
            <v>0</v>
          </cell>
          <cell r="AV646">
            <v>770</v>
          </cell>
          <cell r="AW646">
            <v>47</v>
          </cell>
          <cell r="AX646">
            <v>89</v>
          </cell>
          <cell r="AY646">
            <v>180</v>
          </cell>
          <cell r="AZ646">
            <v>5.63</v>
          </cell>
          <cell r="BA646" t="str">
            <v>D2006098</v>
          </cell>
          <cell r="BB646" t="str">
            <v>CONFORM</v>
          </cell>
          <cell r="BC646" t="str">
            <v>CONFORM</v>
          </cell>
          <cell r="BD646" t="str">
            <v>CONFORM</v>
          </cell>
          <cell r="BE646" t="str">
            <v>CONFORM</v>
          </cell>
          <cell r="BF646" t="str">
            <v>CONFORM</v>
          </cell>
        </row>
        <row r="647">
          <cell r="A647">
            <v>43999</v>
          </cell>
          <cell r="B647" t="str">
            <v>D2006098-3</v>
          </cell>
          <cell r="C647" t="str">
            <v>037/20</v>
          </cell>
          <cell r="D647">
            <v>1</v>
          </cell>
          <cell r="E647">
            <v>43992</v>
          </cell>
          <cell r="F647" t="str">
            <v>DC</v>
          </cell>
          <cell r="G647" t="str">
            <v>On Time</v>
          </cell>
          <cell r="H647" t="str">
            <v>L384287</v>
          </cell>
          <cell r="I647">
            <v>43997</v>
          </cell>
          <cell r="J647" t="str">
            <v>ATI</v>
          </cell>
          <cell r="K647" t="str">
            <v>D2006098</v>
          </cell>
          <cell r="L647">
            <v>3</v>
          </cell>
          <cell r="M647" t="str">
            <v>AAC86333</v>
          </cell>
          <cell r="N647">
            <v>859590</v>
          </cell>
          <cell r="O647" t="str">
            <v xml:space="preserve">UNS N08367   </v>
          </cell>
          <cell r="P647" t="str">
            <v>N08367</v>
          </cell>
          <cell r="Q647">
            <v>2.2639999999999998</v>
          </cell>
          <cell r="R647">
            <v>2.2650000000000001</v>
          </cell>
          <cell r="S647">
            <v>6.7000000000000004E-2</v>
          </cell>
          <cell r="T647">
            <v>6.8000000000000005E-2</v>
          </cell>
          <cell r="V647">
            <v>6.8000000000000005E-2</v>
          </cell>
          <cell r="X647">
            <v>4715</v>
          </cell>
          <cell r="Y647">
            <v>5</v>
          </cell>
          <cell r="Z647">
            <v>416.51943462897532</v>
          </cell>
          <cell r="AA647" t="str">
            <v>2.264X0.067-N08367</v>
          </cell>
          <cell r="AB647" t="str">
            <v>WABN005750170B200087</v>
          </cell>
          <cell r="AC647" t="str">
            <v>D2006098</v>
          </cell>
          <cell r="AD647">
            <v>859590</v>
          </cell>
          <cell r="AE647">
            <v>1.9E-2</v>
          </cell>
          <cell r="AF647">
            <v>0.5</v>
          </cell>
          <cell r="AG647">
            <v>2.4E-2</v>
          </cell>
          <cell r="AH647">
            <v>0</v>
          </cell>
          <cell r="AI647">
            <v>0.43</v>
          </cell>
          <cell r="AJ647">
            <v>20.6</v>
          </cell>
          <cell r="AK647">
            <v>23.9</v>
          </cell>
          <cell r="AL647">
            <v>0.22</v>
          </cell>
          <cell r="AM647">
            <v>6.15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0.42</v>
          </cell>
          <cell r="AS647">
            <v>0</v>
          </cell>
          <cell r="AT647">
            <v>380</v>
          </cell>
          <cell r="AU647">
            <v>0</v>
          </cell>
          <cell r="AV647">
            <v>770</v>
          </cell>
          <cell r="AW647">
            <v>47</v>
          </cell>
          <cell r="AX647">
            <v>89</v>
          </cell>
          <cell r="AY647">
            <v>180</v>
          </cell>
          <cell r="AZ647">
            <v>5.63</v>
          </cell>
          <cell r="BA647" t="str">
            <v>D2006098</v>
          </cell>
          <cell r="BB647" t="str">
            <v>CONFORM</v>
          </cell>
          <cell r="BC647" t="str">
            <v>CONFORM</v>
          </cell>
          <cell r="BD647" t="str">
            <v>CONFORM</v>
          </cell>
          <cell r="BE647" t="str">
            <v>CONFORM</v>
          </cell>
          <cell r="BF647" t="str">
            <v>CONFORM</v>
          </cell>
        </row>
        <row r="648">
          <cell r="A648">
            <v>43999</v>
          </cell>
          <cell r="B648" t="str">
            <v>D2006098-4</v>
          </cell>
          <cell r="C648" t="str">
            <v>037/20</v>
          </cell>
          <cell r="D648">
            <v>1</v>
          </cell>
          <cell r="E648">
            <v>43992</v>
          </cell>
          <cell r="F648" t="str">
            <v>DC</v>
          </cell>
          <cell r="G648" t="str">
            <v>On Time</v>
          </cell>
          <cell r="H648" t="str">
            <v>L384287</v>
          </cell>
          <cell r="I648">
            <v>43997</v>
          </cell>
          <cell r="J648" t="str">
            <v>ATI</v>
          </cell>
          <cell r="K648" t="str">
            <v>D2006098</v>
          </cell>
          <cell r="L648">
            <v>4</v>
          </cell>
          <cell r="M648" t="str">
            <v>AAC86333</v>
          </cell>
          <cell r="N648">
            <v>859590</v>
          </cell>
          <cell r="O648" t="str">
            <v xml:space="preserve">UNS N08367   </v>
          </cell>
          <cell r="P648" t="str">
            <v>N08367</v>
          </cell>
          <cell r="Q648">
            <v>2.2639999999999998</v>
          </cell>
          <cell r="R648">
            <v>2.2639999999999998</v>
          </cell>
          <cell r="S648">
            <v>6.7000000000000004E-2</v>
          </cell>
          <cell r="T648">
            <v>6.6000000000000003E-2</v>
          </cell>
          <cell r="V648">
            <v>6.6000000000000003E-2</v>
          </cell>
          <cell r="X648">
            <v>4715</v>
          </cell>
          <cell r="Y648">
            <v>5</v>
          </cell>
          <cell r="Z648">
            <v>416.51943462897532</v>
          </cell>
          <cell r="AA648" t="str">
            <v>2.264X0.067-N08367</v>
          </cell>
          <cell r="AB648" t="str">
            <v>WABN005750170B200087</v>
          </cell>
          <cell r="AC648" t="str">
            <v>D2006098</v>
          </cell>
          <cell r="AD648">
            <v>859590</v>
          </cell>
          <cell r="AE648">
            <v>1.9E-2</v>
          </cell>
          <cell r="AF648">
            <v>0.5</v>
          </cell>
          <cell r="AG648">
            <v>2.4E-2</v>
          </cell>
          <cell r="AH648">
            <v>0</v>
          </cell>
          <cell r="AI648">
            <v>0.43</v>
          </cell>
          <cell r="AJ648">
            <v>20.6</v>
          </cell>
          <cell r="AK648">
            <v>23.9</v>
          </cell>
          <cell r="AL648">
            <v>0.22</v>
          </cell>
          <cell r="AM648">
            <v>6.15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0.42</v>
          </cell>
          <cell r="AS648">
            <v>0</v>
          </cell>
          <cell r="AT648">
            <v>380</v>
          </cell>
          <cell r="AU648">
            <v>0</v>
          </cell>
          <cell r="AV648">
            <v>770</v>
          </cell>
          <cell r="AW648">
            <v>47</v>
          </cell>
          <cell r="AX648">
            <v>89</v>
          </cell>
          <cell r="AY648">
            <v>180</v>
          </cell>
          <cell r="AZ648">
            <v>5.63</v>
          </cell>
          <cell r="BA648" t="str">
            <v>D2006098</v>
          </cell>
          <cell r="BB648" t="str">
            <v>CONFORM</v>
          </cell>
          <cell r="BC648" t="str">
            <v>CONFORM</v>
          </cell>
          <cell r="BD648" t="str">
            <v>CONFORM</v>
          </cell>
          <cell r="BE648" t="str">
            <v>CONFORM</v>
          </cell>
          <cell r="BF648" t="str">
            <v>CONFORM</v>
          </cell>
        </row>
        <row r="649">
          <cell r="A649">
            <v>44000</v>
          </cell>
          <cell r="B649" t="str">
            <v>D2006108-1</v>
          </cell>
          <cell r="C649" t="str">
            <v>061/20</v>
          </cell>
          <cell r="D649">
            <v>1</v>
          </cell>
          <cell r="E649">
            <v>44000</v>
          </cell>
          <cell r="F649" t="str">
            <v>DC</v>
          </cell>
          <cell r="G649" t="str">
            <v>On Time</v>
          </cell>
          <cell r="H649">
            <v>2407569694</v>
          </cell>
          <cell r="I649">
            <v>43999</v>
          </cell>
          <cell r="J649" t="str">
            <v>TKM</v>
          </cell>
          <cell r="K649" t="str">
            <v>D2006108</v>
          </cell>
          <cell r="L649">
            <v>1</v>
          </cell>
          <cell r="M649" t="str">
            <v>04F61V D</v>
          </cell>
          <cell r="N649" t="str">
            <v>F61V</v>
          </cell>
          <cell r="O649" t="str">
            <v xml:space="preserve">1.4401/1.4404 TP316/316L </v>
          </cell>
          <cell r="P649" t="str">
            <v>316L</v>
          </cell>
          <cell r="Q649">
            <v>3.85</v>
          </cell>
          <cell r="S649">
            <v>6.7000000000000004E-2</v>
          </cell>
          <cell r="T649">
            <v>6.8000000000000005E-2</v>
          </cell>
          <cell r="V649">
            <v>6.8000000000000005E-2</v>
          </cell>
          <cell r="X649">
            <v>5078</v>
          </cell>
          <cell r="Y649">
            <v>4</v>
          </cell>
          <cell r="Z649">
            <v>329.74025974025972</v>
          </cell>
          <cell r="AA649" t="str">
            <v>3.85X0.067-316L</v>
          </cell>
          <cell r="AB649" t="str">
            <v>WAAF009780170B300098</v>
          </cell>
          <cell r="AC649" t="str">
            <v>D2006108</v>
          </cell>
          <cell r="AD649" t="str">
            <v>F61V</v>
          </cell>
          <cell r="AE649">
            <v>1.7999999999999999E-2</v>
          </cell>
          <cell r="AF649">
            <v>1.27</v>
          </cell>
          <cell r="AG649">
            <v>2.9000000000000001E-2</v>
          </cell>
          <cell r="AH649">
            <v>2E-3</v>
          </cell>
          <cell r="AI649">
            <v>0.31</v>
          </cell>
          <cell r="AJ649">
            <v>17</v>
          </cell>
          <cell r="AK649">
            <v>10.1</v>
          </cell>
          <cell r="AL649">
            <v>0.05</v>
          </cell>
          <cell r="AM649">
            <v>2.0299999999999998</v>
          </cell>
          <cell r="AN649">
            <v>0</v>
          </cell>
          <cell r="AO649">
            <v>0</v>
          </cell>
          <cell r="AP649">
            <v>0</v>
          </cell>
          <cell r="AQ649">
            <v>0</v>
          </cell>
          <cell r="AR649">
            <v>0.43</v>
          </cell>
          <cell r="AS649">
            <v>0</v>
          </cell>
          <cell r="AT649">
            <v>299</v>
          </cell>
          <cell r="AU649">
            <v>0</v>
          </cell>
          <cell r="AV649">
            <v>618</v>
          </cell>
          <cell r="AW649">
            <v>53</v>
          </cell>
          <cell r="AX649">
            <v>81</v>
          </cell>
          <cell r="AY649">
            <v>153</v>
          </cell>
          <cell r="AZ649">
            <v>1.72</v>
          </cell>
          <cell r="BA649" t="str">
            <v>D2006108</v>
          </cell>
          <cell r="BB649" t="str">
            <v>CONFORM</v>
          </cell>
          <cell r="BC649" t="str">
            <v>CONFORM</v>
          </cell>
          <cell r="BD649" t="str">
            <v>CONFORM</v>
          </cell>
          <cell r="BE649" t="str">
            <v>CONFORM</v>
          </cell>
          <cell r="BF649" t="str">
            <v>CONFORM</v>
          </cell>
        </row>
        <row r="650">
          <cell r="A650">
            <v>44000</v>
          </cell>
          <cell r="B650" t="str">
            <v>D2006108-2</v>
          </cell>
          <cell r="C650" t="str">
            <v>061/20</v>
          </cell>
          <cell r="D650">
            <v>1</v>
          </cell>
          <cell r="E650">
            <v>44000</v>
          </cell>
          <cell r="F650" t="str">
            <v>DC</v>
          </cell>
          <cell r="G650" t="str">
            <v>On Time</v>
          </cell>
          <cell r="H650">
            <v>2407569694</v>
          </cell>
          <cell r="I650">
            <v>43999</v>
          </cell>
          <cell r="J650" t="str">
            <v>TKM</v>
          </cell>
          <cell r="K650" t="str">
            <v>D2006108</v>
          </cell>
          <cell r="L650">
            <v>2</v>
          </cell>
          <cell r="M650" t="str">
            <v>04F61V D</v>
          </cell>
          <cell r="N650" t="str">
            <v>F61V</v>
          </cell>
          <cell r="O650" t="str">
            <v xml:space="preserve">1.4401/1.4404 TP316/316L </v>
          </cell>
          <cell r="P650" t="str">
            <v>316L</v>
          </cell>
          <cell r="Q650">
            <v>3.85</v>
          </cell>
          <cell r="S650">
            <v>6.7000000000000004E-2</v>
          </cell>
          <cell r="T650">
            <v>6.8000000000000005E-2</v>
          </cell>
          <cell r="V650">
            <v>6.8000000000000005E-2</v>
          </cell>
          <cell r="X650">
            <v>5066</v>
          </cell>
          <cell r="Y650">
            <v>4</v>
          </cell>
          <cell r="Z650">
            <v>328.96103896103898</v>
          </cell>
          <cell r="AA650" t="str">
            <v>3.85X0.067-316L</v>
          </cell>
          <cell r="AB650" t="str">
            <v>WAAF009780170B300098</v>
          </cell>
          <cell r="AC650" t="str">
            <v>D2006108</v>
          </cell>
          <cell r="AD650" t="str">
            <v>F61V</v>
          </cell>
          <cell r="AE650">
            <v>1.7999999999999999E-2</v>
          </cell>
          <cell r="AF650">
            <v>1.27</v>
          </cell>
          <cell r="AG650">
            <v>2.9000000000000001E-2</v>
          </cell>
          <cell r="AH650">
            <v>2E-3</v>
          </cell>
          <cell r="AI650">
            <v>0.31</v>
          </cell>
          <cell r="AJ650">
            <v>17</v>
          </cell>
          <cell r="AK650">
            <v>10.1</v>
          </cell>
          <cell r="AL650">
            <v>0.05</v>
          </cell>
          <cell r="AM650">
            <v>2.0299999999999998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  <cell r="AR650">
            <v>0.43</v>
          </cell>
          <cell r="AS650">
            <v>0</v>
          </cell>
          <cell r="AT650">
            <v>299</v>
          </cell>
          <cell r="AU650">
            <v>0</v>
          </cell>
          <cell r="AV650">
            <v>618</v>
          </cell>
          <cell r="AW650">
            <v>53</v>
          </cell>
          <cell r="AX650">
            <v>81</v>
          </cell>
          <cell r="AY650">
            <v>153</v>
          </cell>
          <cell r="AZ650">
            <v>1.72</v>
          </cell>
          <cell r="BA650" t="str">
            <v>D2006108</v>
          </cell>
          <cell r="BB650" t="str">
            <v>CONFORM</v>
          </cell>
          <cell r="BC650" t="str">
            <v>CONFORM</v>
          </cell>
          <cell r="BD650" t="str">
            <v>CONFORM</v>
          </cell>
          <cell r="BE650" t="str">
            <v>CONFORM</v>
          </cell>
          <cell r="BF650" t="str">
            <v>CONFORM</v>
          </cell>
        </row>
        <row r="651">
          <cell r="A651">
            <v>44008</v>
          </cell>
          <cell r="B651" t="str">
            <v>D2006134-1</v>
          </cell>
          <cell r="C651" t="str">
            <v>053/20</v>
          </cell>
          <cell r="D651">
            <v>3</v>
          </cell>
          <cell r="E651">
            <v>43997</v>
          </cell>
          <cell r="F651" t="str">
            <v>DC</v>
          </cell>
          <cell r="G651" t="str">
            <v>Late</v>
          </cell>
          <cell r="H651">
            <v>351</v>
          </cell>
          <cell r="I651">
            <v>43977</v>
          </cell>
          <cell r="J651" t="str">
            <v>ADTI</v>
          </cell>
          <cell r="K651" t="str">
            <v>D2006134</v>
          </cell>
          <cell r="L651">
            <v>1</v>
          </cell>
          <cell r="M651" t="str">
            <v>A2001048</v>
          </cell>
          <cell r="N651">
            <v>591526</v>
          </cell>
          <cell r="O651" t="str">
            <v xml:space="preserve">1.4462 UNS S31803/S32205 </v>
          </cell>
          <cell r="P651" t="str">
            <v>2205</v>
          </cell>
          <cell r="Q651">
            <v>2.2240000000000002</v>
          </cell>
          <cell r="R651">
            <v>2.2240000000000002</v>
          </cell>
          <cell r="S651">
            <v>7.9000000000000001E-2</v>
          </cell>
          <cell r="T651">
            <v>7.9000000000000001E-2</v>
          </cell>
          <cell r="V651">
            <v>7.9000000000000001E-2</v>
          </cell>
          <cell r="X651">
            <v>4996</v>
          </cell>
          <cell r="Y651">
            <v>3</v>
          </cell>
          <cell r="Z651">
            <v>748.80095923261376</v>
          </cell>
          <cell r="AA651" t="str">
            <v>2.224X0.079-2205</v>
          </cell>
          <cell r="AB651" t="str">
            <v>WACN005650200B300096</v>
          </cell>
          <cell r="AC651" t="str">
            <v>D2006134</v>
          </cell>
          <cell r="AD651">
            <v>591526</v>
          </cell>
          <cell r="AE651">
            <v>1.7000000000000001E-2</v>
          </cell>
          <cell r="AF651">
            <v>1.33</v>
          </cell>
          <cell r="AG651">
            <v>2.8000000000000001E-2</v>
          </cell>
          <cell r="AH651">
            <v>1E-3</v>
          </cell>
          <cell r="AI651">
            <v>0.45</v>
          </cell>
          <cell r="AJ651">
            <v>22.3</v>
          </cell>
          <cell r="AK651">
            <v>5.8</v>
          </cell>
          <cell r="AL651">
            <v>0.17</v>
          </cell>
          <cell r="AM651">
            <v>3.14</v>
          </cell>
          <cell r="AN651">
            <v>0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  <cell r="AS651">
            <v>0</v>
          </cell>
          <cell r="AT651">
            <v>489</v>
          </cell>
          <cell r="AU651">
            <v>530</v>
          </cell>
          <cell r="AV651">
            <v>732</v>
          </cell>
          <cell r="AW651">
            <v>25</v>
          </cell>
          <cell r="AX651">
            <v>294</v>
          </cell>
          <cell r="AY651">
            <v>294</v>
          </cell>
          <cell r="AZ651">
            <v>2.2610000000000001</v>
          </cell>
          <cell r="BA651" t="str">
            <v>D2006134</v>
          </cell>
          <cell r="BB651" t="str">
            <v>CONFORM</v>
          </cell>
          <cell r="BC651" t="str">
            <v>CONFORM</v>
          </cell>
          <cell r="BD651" t="str">
            <v>CONFORM</v>
          </cell>
          <cell r="BE651" t="str">
            <v>CONFORM</v>
          </cell>
          <cell r="BF651" t="str">
            <v>CONFORM</v>
          </cell>
        </row>
        <row r="652">
          <cell r="A652">
            <v>44008</v>
          </cell>
          <cell r="B652" t="str">
            <v>D2006135-1</v>
          </cell>
          <cell r="C652" t="str">
            <v>053/20</v>
          </cell>
          <cell r="D652">
            <v>2</v>
          </cell>
          <cell r="E652">
            <v>43997</v>
          </cell>
          <cell r="F652" t="str">
            <v>DC</v>
          </cell>
          <cell r="G652" t="str">
            <v>Late</v>
          </cell>
          <cell r="H652">
            <v>351</v>
          </cell>
          <cell r="I652">
            <v>43977</v>
          </cell>
          <cell r="J652" t="str">
            <v>ADTI</v>
          </cell>
          <cell r="K652" t="str">
            <v>D2006135</v>
          </cell>
          <cell r="L652">
            <v>1</v>
          </cell>
          <cell r="M652" t="str">
            <v>A2005081</v>
          </cell>
          <cell r="N652">
            <v>594581</v>
          </cell>
          <cell r="O652" t="str">
            <v xml:space="preserve">1.4462 UNS S31803/S32205 </v>
          </cell>
          <cell r="P652" t="str">
            <v>2205</v>
          </cell>
          <cell r="Q652">
            <v>3.8149999999999999</v>
          </cell>
          <cell r="R652">
            <v>3.8149999999999999</v>
          </cell>
          <cell r="S652">
            <v>7.8E-2</v>
          </cell>
          <cell r="T652">
            <v>7.9000000000000001E-2</v>
          </cell>
          <cell r="V652">
            <v>7.9000000000000001E-2</v>
          </cell>
          <cell r="X652">
            <v>3368</v>
          </cell>
          <cell r="Y652">
            <v>3</v>
          </cell>
          <cell r="Z652">
            <v>294.27697684578419</v>
          </cell>
          <cell r="AA652" t="str">
            <v>3.815X0.078-2205</v>
          </cell>
          <cell r="AB652" t="str">
            <v>WACN009690200B300043</v>
          </cell>
          <cell r="AC652" t="str">
            <v>D2006135</v>
          </cell>
          <cell r="AD652">
            <v>594581</v>
          </cell>
          <cell r="AE652">
            <v>1.7000000000000001E-2</v>
          </cell>
          <cell r="AF652">
            <v>1.34</v>
          </cell>
          <cell r="AG652">
            <v>2.5000000000000001E-2</v>
          </cell>
          <cell r="AH652">
            <v>1E-3</v>
          </cell>
          <cell r="AI652">
            <v>0.36</v>
          </cell>
          <cell r="AJ652">
            <v>22.3</v>
          </cell>
          <cell r="AK652">
            <v>5.7</v>
          </cell>
          <cell r="AL652">
            <v>0.16</v>
          </cell>
          <cell r="AM652">
            <v>3.12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0.28000000000000003</v>
          </cell>
          <cell r="AS652">
            <v>0</v>
          </cell>
          <cell r="AT652">
            <v>634</v>
          </cell>
          <cell r="AU652">
            <v>708</v>
          </cell>
          <cell r="AV652">
            <v>847</v>
          </cell>
          <cell r="AW652">
            <v>31</v>
          </cell>
          <cell r="AX652">
            <v>258</v>
          </cell>
          <cell r="AY652">
            <v>258</v>
          </cell>
          <cell r="AZ652">
            <v>2.004</v>
          </cell>
          <cell r="BA652" t="str">
            <v>D2006135</v>
          </cell>
          <cell r="BB652" t="str">
            <v>CONFORM</v>
          </cell>
          <cell r="BC652" t="str">
            <v>CONFORM</v>
          </cell>
          <cell r="BD652" t="str">
            <v>CONFORM</v>
          </cell>
          <cell r="BE652" t="str">
            <v>CONFORM</v>
          </cell>
          <cell r="BF652" t="str">
            <v>CONFORM</v>
          </cell>
        </row>
        <row r="653">
          <cell r="A653">
            <v>44008</v>
          </cell>
          <cell r="B653" t="str">
            <v>D2006135-2</v>
          </cell>
          <cell r="C653" t="str">
            <v>053/20</v>
          </cell>
          <cell r="D653">
            <v>2</v>
          </cell>
          <cell r="E653">
            <v>43997</v>
          </cell>
          <cell r="F653" t="str">
            <v>DC</v>
          </cell>
          <cell r="G653" t="str">
            <v>Late</v>
          </cell>
          <cell r="H653">
            <v>351</v>
          </cell>
          <cell r="I653">
            <v>43977</v>
          </cell>
          <cell r="J653" t="str">
            <v>ADTI</v>
          </cell>
          <cell r="K653" t="str">
            <v>D2006135</v>
          </cell>
          <cell r="L653">
            <v>2</v>
          </cell>
          <cell r="M653" t="str">
            <v>A2005081</v>
          </cell>
          <cell r="N653">
            <v>594581</v>
          </cell>
          <cell r="O653" t="str">
            <v xml:space="preserve">1.4462 UNS S31803/S32205 </v>
          </cell>
          <cell r="P653" t="str">
            <v>2205</v>
          </cell>
          <cell r="Q653">
            <v>3.8149999999999999</v>
          </cell>
          <cell r="R653">
            <v>3.8149999999999999</v>
          </cell>
          <cell r="S653">
            <v>7.8E-2</v>
          </cell>
          <cell r="T653">
            <v>7.9000000000000001E-2</v>
          </cell>
          <cell r="V653">
            <v>7.9000000000000001E-2</v>
          </cell>
          <cell r="X653">
            <v>3390</v>
          </cell>
          <cell r="Y653">
            <v>3</v>
          </cell>
          <cell r="Z653">
            <v>296.19921363040629</v>
          </cell>
          <cell r="AA653" t="str">
            <v>3.815X0.078-2205</v>
          </cell>
          <cell r="AB653" t="str">
            <v>WACN009690200B300043</v>
          </cell>
          <cell r="AC653" t="str">
            <v>D2006135</v>
          </cell>
          <cell r="AD653">
            <v>594581</v>
          </cell>
          <cell r="AE653">
            <v>1.7000000000000001E-2</v>
          </cell>
          <cell r="AF653">
            <v>1.34</v>
          </cell>
          <cell r="AG653">
            <v>2.5000000000000001E-2</v>
          </cell>
          <cell r="AH653">
            <v>1E-3</v>
          </cell>
          <cell r="AI653">
            <v>0.36</v>
          </cell>
          <cell r="AJ653">
            <v>22.3</v>
          </cell>
          <cell r="AK653">
            <v>5.7</v>
          </cell>
          <cell r="AL653">
            <v>0.16</v>
          </cell>
          <cell r="AM653">
            <v>3.12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  <cell r="AR653">
            <v>0.28000000000000003</v>
          </cell>
          <cell r="AS653">
            <v>0</v>
          </cell>
          <cell r="AT653">
            <v>634</v>
          </cell>
          <cell r="AU653">
            <v>708</v>
          </cell>
          <cell r="AV653">
            <v>847</v>
          </cell>
          <cell r="AW653">
            <v>31</v>
          </cell>
          <cell r="AX653">
            <v>258</v>
          </cell>
          <cell r="AY653">
            <v>258</v>
          </cell>
          <cell r="AZ653">
            <v>2.004</v>
          </cell>
          <cell r="BA653" t="str">
            <v>D2006135</v>
          </cell>
          <cell r="BB653" t="str">
            <v>CONFORM</v>
          </cell>
          <cell r="BC653" t="str">
            <v>CONFORM</v>
          </cell>
          <cell r="BD653" t="str">
            <v>CONFORM</v>
          </cell>
          <cell r="BE653" t="str">
            <v>CONFORM</v>
          </cell>
          <cell r="BF653" t="str">
            <v>CONFORM</v>
          </cell>
        </row>
        <row r="654">
          <cell r="A654">
            <v>44008</v>
          </cell>
          <cell r="B654" t="str">
            <v>D2006135-3</v>
          </cell>
          <cell r="C654" t="str">
            <v>053/20</v>
          </cell>
          <cell r="D654">
            <v>2</v>
          </cell>
          <cell r="E654">
            <v>43997</v>
          </cell>
          <cell r="F654" t="str">
            <v>DC</v>
          </cell>
          <cell r="G654" t="str">
            <v>Late</v>
          </cell>
          <cell r="H654">
            <v>351</v>
          </cell>
          <cell r="I654">
            <v>43977</v>
          </cell>
          <cell r="J654" t="str">
            <v>ADTI</v>
          </cell>
          <cell r="K654" t="str">
            <v>D2006135</v>
          </cell>
          <cell r="L654">
            <v>3</v>
          </cell>
          <cell r="M654" t="str">
            <v>A2005081</v>
          </cell>
          <cell r="N654">
            <v>594581</v>
          </cell>
          <cell r="O654" t="str">
            <v xml:space="preserve">1.4462 UNS S31803/S32205 </v>
          </cell>
          <cell r="P654" t="str">
            <v>2205</v>
          </cell>
          <cell r="Q654">
            <v>3.8149999999999999</v>
          </cell>
          <cell r="R654">
            <v>3.8149999999999999</v>
          </cell>
          <cell r="S654">
            <v>7.8E-2</v>
          </cell>
          <cell r="T654">
            <v>7.9000000000000001E-2</v>
          </cell>
          <cell r="V654">
            <v>7.9000000000000001E-2</v>
          </cell>
          <cell r="X654">
            <v>3386</v>
          </cell>
          <cell r="Y654">
            <v>3</v>
          </cell>
          <cell r="Z654">
            <v>295.8497160332023</v>
          </cell>
          <cell r="AA654" t="str">
            <v>3.815X0.078-2205</v>
          </cell>
          <cell r="AB654" t="str">
            <v>WACN009690200B300043</v>
          </cell>
          <cell r="AC654" t="str">
            <v>D2006135</v>
          </cell>
          <cell r="AD654">
            <v>594581</v>
          </cell>
          <cell r="AE654">
            <v>1.7000000000000001E-2</v>
          </cell>
          <cell r="AF654">
            <v>1.34</v>
          </cell>
          <cell r="AG654">
            <v>2.5000000000000001E-2</v>
          </cell>
          <cell r="AH654">
            <v>1E-3</v>
          </cell>
          <cell r="AI654">
            <v>0.36</v>
          </cell>
          <cell r="AJ654">
            <v>22.3</v>
          </cell>
          <cell r="AK654">
            <v>5.7</v>
          </cell>
          <cell r="AL654">
            <v>0.16</v>
          </cell>
          <cell r="AM654">
            <v>3.12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0.28000000000000003</v>
          </cell>
          <cell r="AS654">
            <v>0</v>
          </cell>
          <cell r="AT654">
            <v>634</v>
          </cell>
          <cell r="AU654">
            <v>708</v>
          </cell>
          <cell r="AV654">
            <v>847</v>
          </cell>
          <cell r="AW654">
            <v>31</v>
          </cell>
          <cell r="AX654">
            <v>258</v>
          </cell>
          <cell r="AY654">
            <v>258</v>
          </cell>
          <cell r="AZ654">
            <v>2.004</v>
          </cell>
          <cell r="BA654" t="str">
            <v>D2006135</v>
          </cell>
          <cell r="BB654" t="str">
            <v>CONFORM</v>
          </cell>
          <cell r="BC654" t="str">
            <v>CONFORM</v>
          </cell>
          <cell r="BD654" t="str">
            <v>CONFORM</v>
          </cell>
          <cell r="BE654" t="str">
            <v>CONFORM</v>
          </cell>
          <cell r="BF654" t="str">
            <v>CONFORM</v>
          </cell>
        </row>
        <row r="655">
          <cell r="A655">
            <v>44008</v>
          </cell>
          <cell r="B655" t="str">
            <v>D2006135-4</v>
          </cell>
          <cell r="C655" t="str">
            <v>053/20</v>
          </cell>
          <cell r="D655">
            <v>2</v>
          </cell>
          <cell r="E655">
            <v>43997</v>
          </cell>
          <cell r="F655" t="str">
            <v>DC</v>
          </cell>
          <cell r="G655" t="str">
            <v>Late</v>
          </cell>
          <cell r="H655">
            <v>351</v>
          </cell>
          <cell r="I655">
            <v>43977</v>
          </cell>
          <cell r="J655" t="str">
            <v>ADTI</v>
          </cell>
          <cell r="K655" t="str">
            <v>D2006135</v>
          </cell>
          <cell r="L655">
            <v>4</v>
          </cell>
          <cell r="M655" t="str">
            <v>A2005081</v>
          </cell>
          <cell r="N655">
            <v>594581</v>
          </cell>
          <cell r="O655" t="str">
            <v xml:space="preserve">1.4462 UNS S31803/S32205 </v>
          </cell>
          <cell r="P655" t="str">
            <v>2205</v>
          </cell>
          <cell r="Q655">
            <v>3.8149999999999999</v>
          </cell>
          <cell r="R655">
            <v>3.8149999999999999</v>
          </cell>
          <cell r="S655">
            <v>7.8E-2</v>
          </cell>
          <cell r="T655">
            <v>7.9000000000000001E-2</v>
          </cell>
          <cell r="V655">
            <v>7.9000000000000001E-2</v>
          </cell>
          <cell r="X655">
            <v>3377</v>
          </cell>
          <cell r="Y655">
            <v>3</v>
          </cell>
          <cell r="Z655">
            <v>295.06334643949327</v>
          </cell>
          <cell r="AA655" t="str">
            <v>3.815X0.078-2205</v>
          </cell>
          <cell r="AB655" t="str">
            <v>WACN009690200B300043</v>
          </cell>
          <cell r="AC655" t="str">
            <v>D2006135</v>
          </cell>
          <cell r="AD655">
            <v>594581</v>
          </cell>
          <cell r="AE655">
            <v>1.7000000000000001E-2</v>
          </cell>
          <cell r="AF655">
            <v>1.34</v>
          </cell>
          <cell r="AG655">
            <v>2.5000000000000001E-2</v>
          </cell>
          <cell r="AH655">
            <v>1E-3</v>
          </cell>
          <cell r="AI655">
            <v>0.36</v>
          </cell>
          <cell r="AJ655">
            <v>22.3</v>
          </cell>
          <cell r="AK655">
            <v>5.7</v>
          </cell>
          <cell r="AL655">
            <v>0.16</v>
          </cell>
          <cell r="AM655">
            <v>3.12</v>
          </cell>
          <cell r="AN655">
            <v>0</v>
          </cell>
          <cell r="AO655">
            <v>0</v>
          </cell>
          <cell r="AP655">
            <v>0</v>
          </cell>
          <cell r="AQ655">
            <v>0</v>
          </cell>
          <cell r="AR655">
            <v>0.28000000000000003</v>
          </cell>
          <cell r="AS655">
            <v>0</v>
          </cell>
          <cell r="AT655">
            <v>634</v>
          </cell>
          <cell r="AU655">
            <v>708</v>
          </cell>
          <cell r="AV655">
            <v>847</v>
          </cell>
          <cell r="AW655">
            <v>31</v>
          </cell>
          <cell r="AX655">
            <v>258</v>
          </cell>
          <cell r="AY655">
            <v>258</v>
          </cell>
          <cell r="AZ655">
            <v>2.004</v>
          </cell>
          <cell r="BA655" t="str">
            <v>D2006135</v>
          </cell>
          <cell r="BB655" t="str">
            <v>CONFORM</v>
          </cell>
          <cell r="BC655" t="str">
            <v>CONFORM</v>
          </cell>
          <cell r="BD655" t="str">
            <v>CONFORM</v>
          </cell>
          <cell r="BE655" t="str">
            <v>CONFORM</v>
          </cell>
          <cell r="BF655" t="str">
            <v>CONFORM</v>
          </cell>
        </row>
        <row r="656">
          <cell r="A656">
            <v>44008</v>
          </cell>
          <cell r="B656" t="str">
            <v>D2006136-1</v>
          </cell>
          <cell r="C656" t="str">
            <v>053/20</v>
          </cell>
          <cell r="D656">
            <v>1</v>
          </cell>
          <cell r="E656">
            <v>43997</v>
          </cell>
          <cell r="F656" t="str">
            <v>DC</v>
          </cell>
          <cell r="G656" t="str">
            <v>Late</v>
          </cell>
          <cell r="H656">
            <v>351</v>
          </cell>
          <cell r="I656">
            <v>43977</v>
          </cell>
          <cell r="J656" t="str">
            <v>ADTI</v>
          </cell>
          <cell r="K656" t="str">
            <v>D2006136</v>
          </cell>
          <cell r="L656">
            <v>1</v>
          </cell>
          <cell r="M656" t="str">
            <v>A2005082</v>
          </cell>
          <cell r="N656">
            <v>594502</v>
          </cell>
          <cell r="O656" t="str">
            <v xml:space="preserve">1.4462 UNS S31803/S32205 </v>
          </cell>
          <cell r="P656" t="str">
            <v>2205</v>
          </cell>
          <cell r="Q656">
            <v>2.2759999999999998</v>
          </cell>
          <cell r="R656">
            <v>2.2759999999999998</v>
          </cell>
          <cell r="S656">
            <v>6.3E-2</v>
          </cell>
          <cell r="T656">
            <v>6.3E-2</v>
          </cell>
          <cell r="V656">
            <v>6.3E-2</v>
          </cell>
          <cell r="X656">
            <v>3492</v>
          </cell>
          <cell r="Y656">
            <v>3</v>
          </cell>
          <cell r="Z656">
            <v>511.42355008787348</v>
          </cell>
          <cell r="AA656" t="str">
            <v>2.276X0.063-2205</v>
          </cell>
          <cell r="AB656" t="str">
            <v>WACN005780160B200012</v>
          </cell>
          <cell r="AC656" t="str">
            <v>D2006136</v>
          </cell>
          <cell r="AD656">
            <v>594502</v>
          </cell>
          <cell r="AE656">
            <v>1.4999999999999999E-2</v>
          </cell>
          <cell r="AF656">
            <v>1.33</v>
          </cell>
          <cell r="AG656">
            <v>2.8000000000000001E-2</v>
          </cell>
          <cell r="AH656">
            <v>1E-3</v>
          </cell>
          <cell r="AI656">
            <v>0.31</v>
          </cell>
          <cell r="AJ656">
            <v>22.3</v>
          </cell>
          <cell r="AK656">
            <v>5.7</v>
          </cell>
          <cell r="AL656">
            <v>0.16</v>
          </cell>
          <cell r="AM656">
            <v>3.14</v>
          </cell>
          <cell r="AN656">
            <v>0</v>
          </cell>
          <cell r="AO656">
            <v>0</v>
          </cell>
          <cell r="AP656">
            <v>0</v>
          </cell>
          <cell r="AQ656">
            <v>0</v>
          </cell>
          <cell r="AR656">
            <v>0.25</v>
          </cell>
          <cell r="AS656">
            <v>0</v>
          </cell>
          <cell r="AT656">
            <v>648</v>
          </cell>
          <cell r="AU656">
            <v>721</v>
          </cell>
          <cell r="AV656">
            <v>850</v>
          </cell>
          <cell r="AW656">
            <v>27</v>
          </cell>
          <cell r="AX656">
            <v>258</v>
          </cell>
          <cell r="AY656">
            <v>258</v>
          </cell>
          <cell r="AZ656">
            <v>2.004</v>
          </cell>
          <cell r="BA656" t="str">
            <v>D2006136</v>
          </cell>
          <cell r="BB656" t="str">
            <v>CONFORM</v>
          </cell>
          <cell r="BC656" t="str">
            <v>CONFORM</v>
          </cell>
          <cell r="BD656" t="str">
            <v>CONFORM</v>
          </cell>
          <cell r="BE656" t="str">
            <v>CONFORM</v>
          </cell>
          <cell r="BF656" t="str">
            <v>CONFORM</v>
          </cell>
        </row>
        <row r="657">
          <cell r="A657">
            <v>44008</v>
          </cell>
          <cell r="B657" t="str">
            <v>D2006136-2</v>
          </cell>
          <cell r="C657" t="str">
            <v>053/20</v>
          </cell>
          <cell r="D657">
            <v>1</v>
          </cell>
          <cell r="E657">
            <v>43997</v>
          </cell>
          <cell r="F657" t="str">
            <v>DC</v>
          </cell>
          <cell r="G657" t="str">
            <v>Late</v>
          </cell>
          <cell r="H657">
            <v>351</v>
          </cell>
          <cell r="I657">
            <v>43977</v>
          </cell>
          <cell r="J657" t="str">
            <v>ADTI</v>
          </cell>
          <cell r="K657" t="str">
            <v>D2006136</v>
          </cell>
          <cell r="L657">
            <v>2</v>
          </cell>
          <cell r="M657" t="str">
            <v>A2005082</v>
          </cell>
          <cell r="N657">
            <v>594502</v>
          </cell>
          <cell r="O657" t="str">
            <v xml:space="preserve">1.4462 UNS S31803/S32205 </v>
          </cell>
          <cell r="P657" t="str">
            <v>2205</v>
          </cell>
          <cell r="Q657">
            <v>2.2759999999999998</v>
          </cell>
          <cell r="R657">
            <v>2.2759999999999998</v>
          </cell>
          <cell r="S657">
            <v>6.3E-2</v>
          </cell>
          <cell r="T657">
            <v>6.3E-2</v>
          </cell>
          <cell r="V657">
            <v>6.3E-2</v>
          </cell>
          <cell r="X657">
            <v>3483</v>
          </cell>
          <cell r="Y657">
            <v>3</v>
          </cell>
          <cell r="Z657">
            <v>510.10544815465732</v>
          </cell>
          <cell r="AA657" t="str">
            <v>2.276X0.063-2205</v>
          </cell>
          <cell r="AB657" t="str">
            <v>WACN005780160B200012</v>
          </cell>
          <cell r="AC657" t="str">
            <v>D2006136</v>
          </cell>
          <cell r="AD657">
            <v>594502</v>
          </cell>
          <cell r="AE657">
            <v>1.4999999999999999E-2</v>
          </cell>
          <cell r="AF657">
            <v>1.33</v>
          </cell>
          <cell r="AG657">
            <v>2.8000000000000001E-2</v>
          </cell>
          <cell r="AH657">
            <v>1E-3</v>
          </cell>
          <cell r="AI657">
            <v>0.31</v>
          </cell>
          <cell r="AJ657">
            <v>22.3</v>
          </cell>
          <cell r="AK657">
            <v>5.7</v>
          </cell>
          <cell r="AL657">
            <v>0.16</v>
          </cell>
          <cell r="AM657">
            <v>3.14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0.25</v>
          </cell>
          <cell r="AS657">
            <v>0</v>
          </cell>
          <cell r="AT657">
            <v>648</v>
          </cell>
          <cell r="AU657">
            <v>721</v>
          </cell>
          <cell r="AV657">
            <v>850</v>
          </cell>
          <cell r="AW657">
            <v>27</v>
          </cell>
          <cell r="AX657">
            <v>258</v>
          </cell>
          <cell r="AY657">
            <v>258</v>
          </cell>
          <cell r="AZ657">
            <v>2.004</v>
          </cell>
          <cell r="BA657" t="str">
            <v>D2006136</v>
          </cell>
          <cell r="BB657" t="str">
            <v>CONFORM</v>
          </cell>
          <cell r="BC657" t="str">
            <v>CONFORM</v>
          </cell>
          <cell r="BD657" t="str">
            <v>CONFORM</v>
          </cell>
          <cell r="BE657" t="str">
            <v>CONFORM</v>
          </cell>
          <cell r="BF657" t="str">
            <v>CONFORM</v>
          </cell>
        </row>
        <row r="658">
          <cell r="A658">
            <v>44008</v>
          </cell>
          <cell r="B658" t="str">
            <v>D2006136-3</v>
          </cell>
          <cell r="C658" t="str">
            <v>053/20</v>
          </cell>
          <cell r="D658">
            <v>1</v>
          </cell>
          <cell r="E658">
            <v>43997</v>
          </cell>
          <cell r="F658" t="str">
            <v>DC</v>
          </cell>
          <cell r="G658" t="str">
            <v>Late</v>
          </cell>
          <cell r="H658">
            <v>351</v>
          </cell>
          <cell r="I658">
            <v>43977</v>
          </cell>
          <cell r="J658" t="str">
            <v>ADTI</v>
          </cell>
          <cell r="K658" t="str">
            <v>D2006136</v>
          </cell>
          <cell r="L658">
            <v>3</v>
          </cell>
          <cell r="M658" t="str">
            <v>A2005082</v>
          </cell>
          <cell r="N658">
            <v>594502</v>
          </cell>
          <cell r="O658" t="str">
            <v xml:space="preserve">1.4462 UNS S31803/S32205 </v>
          </cell>
          <cell r="P658" t="str">
            <v>2205</v>
          </cell>
          <cell r="Q658">
            <v>2.2759999999999998</v>
          </cell>
          <cell r="R658">
            <v>2.2759999999999998</v>
          </cell>
          <cell r="S658">
            <v>6.3E-2</v>
          </cell>
          <cell r="T658">
            <v>6.3E-2</v>
          </cell>
          <cell r="V658">
            <v>6.3E-2</v>
          </cell>
          <cell r="X658">
            <v>4330</v>
          </cell>
          <cell r="Y658">
            <v>4</v>
          </cell>
          <cell r="Z658">
            <v>475.61511423550093</v>
          </cell>
          <cell r="AA658" t="str">
            <v>2.276X0.063-2205</v>
          </cell>
          <cell r="AB658" t="str">
            <v>WACN005780160B200012</v>
          </cell>
          <cell r="AC658" t="str">
            <v>D2006136</v>
          </cell>
          <cell r="AD658">
            <v>594502</v>
          </cell>
          <cell r="AE658">
            <v>1.4999999999999999E-2</v>
          </cell>
          <cell r="AF658">
            <v>1.33</v>
          </cell>
          <cell r="AG658">
            <v>2.8000000000000001E-2</v>
          </cell>
          <cell r="AH658">
            <v>1E-3</v>
          </cell>
          <cell r="AI658">
            <v>0.31</v>
          </cell>
          <cell r="AJ658">
            <v>22.3</v>
          </cell>
          <cell r="AK658">
            <v>5.7</v>
          </cell>
          <cell r="AL658">
            <v>0.16</v>
          </cell>
          <cell r="AM658">
            <v>3.14</v>
          </cell>
          <cell r="AN658">
            <v>0</v>
          </cell>
          <cell r="AO658">
            <v>0</v>
          </cell>
          <cell r="AP658">
            <v>0</v>
          </cell>
          <cell r="AQ658">
            <v>0</v>
          </cell>
          <cell r="AR658">
            <v>0.25</v>
          </cell>
          <cell r="AS658">
            <v>0</v>
          </cell>
          <cell r="AT658">
            <v>648</v>
          </cell>
          <cell r="AU658">
            <v>721</v>
          </cell>
          <cell r="AV658">
            <v>850</v>
          </cell>
          <cell r="AW658">
            <v>27</v>
          </cell>
          <cell r="AX658">
            <v>258</v>
          </cell>
          <cell r="AY658">
            <v>258</v>
          </cell>
          <cell r="AZ658">
            <v>2.004</v>
          </cell>
          <cell r="BA658" t="str">
            <v>D2006136</v>
          </cell>
          <cell r="BB658" t="str">
            <v>CONFORM</v>
          </cell>
          <cell r="BC658" t="str">
            <v>CONFORM</v>
          </cell>
          <cell r="BD658" t="str">
            <v>CONFORM</v>
          </cell>
          <cell r="BE658" t="str">
            <v>CONFORM</v>
          </cell>
          <cell r="BF658" t="str">
            <v>CONFORM</v>
          </cell>
        </row>
        <row r="659">
          <cell r="A659">
            <v>44008</v>
          </cell>
          <cell r="B659" t="str">
            <v>D2006137-1</v>
          </cell>
          <cell r="C659" t="str">
            <v>053/20</v>
          </cell>
          <cell r="D659">
            <v>3</v>
          </cell>
          <cell r="E659">
            <v>43997</v>
          </cell>
          <cell r="F659" t="str">
            <v>DC</v>
          </cell>
          <cell r="G659" t="str">
            <v>Late</v>
          </cell>
          <cell r="H659">
            <v>351</v>
          </cell>
          <cell r="I659">
            <v>43977</v>
          </cell>
          <cell r="J659" t="str">
            <v>ADTI</v>
          </cell>
          <cell r="K659" t="str">
            <v>D2006137</v>
          </cell>
          <cell r="L659">
            <v>1</v>
          </cell>
          <cell r="M659" t="str">
            <v>A2001047</v>
          </cell>
          <cell r="N659">
            <v>591647</v>
          </cell>
          <cell r="O659" t="str">
            <v xml:space="preserve">1.4462 UNS S31803/S32205 </v>
          </cell>
          <cell r="P659" t="str">
            <v>2205</v>
          </cell>
          <cell r="Q659">
            <v>2.2240000000000002</v>
          </cell>
          <cell r="R659">
            <v>2.2240000000000002</v>
          </cell>
          <cell r="S659">
            <v>7.9000000000000001E-2</v>
          </cell>
          <cell r="T659">
            <v>7.9000000000000001E-2</v>
          </cell>
          <cell r="V659">
            <v>7.9000000000000001E-2</v>
          </cell>
          <cell r="X659">
            <v>5723</v>
          </cell>
          <cell r="Y659">
            <v>4</v>
          </cell>
          <cell r="Z659">
            <v>643.32284172661866</v>
          </cell>
          <cell r="AA659" t="str">
            <v>2.224X0.079-2205</v>
          </cell>
          <cell r="AB659" t="str">
            <v>WACN005650200B300096</v>
          </cell>
          <cell r="AC659" t="str">
            <v>D2006137</v>
          </cell>
          <cell r="AD659">
            <v>591647</v>
          </cell>
          <cell r="AE659">
            <v>1.6E-2</v>
          </cell>
          <cell r="AF659">
            <v>1.34</v>
          </cell>
          <cell r="AG659">
            <v>2.9000000000000001E-2</v>
          </cell>
          <cell r="AH659">
            <v>1E-3</v>
          </cell>
          <cell r="AI659">
            <v>0.41</v>
          </cell>
          <cell r="AJ659">
            <v>22.2</v>
          </cell>
          <cell r="AK659">
            <v>5.7</v>
          </cell>
          <cell r="AL659">
            <v>0.16</v>
          </cell>
          <cell r="AM659">
            <v>3.13</v>
          </cell>
          <cell r="AN659">
            <v>0</v>
          </cell>
          <cell r="AO659">
            <v>0</v>
          </cell>
          <cell r="AP659">
            <v>0</v>
          </cell>
          <cell r="AQ659">
            <v>0</v>
          </cell>
          <cell r="AR659">
            <v>0</v>
          </cell>
          <cell r="AS659">
            <v>0</v>
          </cell>
          <cell r="AT659">
            <v>690</v>
          </cell>
          <cell r="AU659">
            <v>731</v>
          </cell>
          <cell r="AV659">
            <v>838</v>
          </cell>
          <cell r="AW659">
            <v>42</v>
          </cell>
          <cell r="AX659">
            <v>294</v>
          </cell>
          <cell r="AY659">
            <v>294</v>
          </cell>
          <cell r="AZ659">
            <v>2.2610000000000001</v>
          </cell>
          <cell r="BA659" t="str">
            <v>D2006137</v>
          </cell>
          <cell r="BB659" t="str">
            <v>CONFORM</v>
          </cell>
          <cell r="BC659" t="str">
            <v>CONFORM</v>
          </cell>
          <cell r="BD659" t="str">
            <v>CONFORM</v>
          </cell>
          <cell r="BE659" t="str">
            <v>CONFORM</v>
          </cell>
          <cell r="BF659" t="str">
            <v>CONFORM</v>
          </cell>
        </row>
        <row r="660">
          <cell r="A660">
            <v>44008</v>
          </cell>
          <cell r="B660" t="str">
            <v>D2006137-2</v>
          </cell>
          <cell r="C660" t="str">
            <v>053/20</v>
          </cell>
          <cell r="D660">
            <v>3</v>
          </cell>
          <cell r="E660">
            <v>43997</v>
          </cell>
          <cell r="F660" t="str">
            <v>DC</v>
          </cell>
          <cell r="G660" t="str">
            <v>Late</v>
          </cell>
          <cell r="H660">
            <v>351</v>
          </cell>
          <cell r="I660">
            <v>43977</v>
          </cell>
          <cell r="J660" t="str">
            <v>ADTI</v>
          </cell>
          <cell r="K660" t="str">
            <v>D2006137</v>
          </cell>
          <cell r="L660">
            <v>2</v>
          </cell>
          <cell r="M660" t="str">
            <v>A2001047</v>
          </cell>
          <cell r="N660">
            <v>591647</v>
          </cell>
          <cell r="O660" t="str">
            <v xml:space="preserve">1.4462 UNS S31803/S32205 </v>
          </cell>
          <cell r="P660" t="str">
            <v>2205</v>
          </cell>
          <cell r="Q660">
            <v>2.2240000000000002</v>
          </cell>
          <cell r="R660">
            <v>2.2240000000000002</v>
          </cell>
          <cell r="S660">
            <v>7.9000000000000001E-2</v>
          </cell>
          <cell r="T660">
            <v>7.9000000000000001E-2</v>
          </cell>
          <cell r="V660">
            <v>7.9000000000000001E-2</v>
          </cell>
          <cell r="X660">
            <v>4850</v>
          </cell>
          <cell r="Y660">
            <v>4</v>
          </cell>
          <cell r="Z660">
            <v>545.18884892086328</v>
          </cell>
          <cell r="AA660" t="str">
            <v>2.224X0.079-2205</v>
          </cell>
          <cell r="AB660" t="str">
            <v>WACN005650200B300096</v>
          </cell>
          <cell r="AC660" t="str">
            <v>D2006137</v>
          </cell>
          <cell r="AD660">
            <v>591647</v>
          </cell>
          <cell r="AE660">
            <v>1.6E-2</v>
          </cell>
          <cell r="AF660">
            <v>1.34</v>
          </cell>
          <cell r="AG660">
            <v>2.9000000000000001E-2</v>
          </cell>
          <cell r="AH660">
            <v>1E-3</v>
          </cell>
          <cell r="AI660">
            <v>0.41</v>
          </cell>
          <cell r="AJ660">
            <v>22.2</v>
          </cell>
          <cell r="AK660">
            <v>5.7</v>
          </cell>
          <cell r="AL660">
            <v>0.16</v>
          </cell>
          <cell r="AM660">
            <v>3.13</v>
          </cell>
          <cell r="AN660">
            <v>0</v>
          </cell>
          <cell r="AO660">
            <v>0</v>
          </cell>
          <cell r="AP660">
            <v>0</v>
          </cell>
          <cell r="AQ660">
            <v>0</v>
          </cell>
          <cell r="AR660">
            <v>0</v>
          </cell>
          <cell r="AS660">
            <v>0</v>
          </cell>
          <cell r="AT660">
            <v>690</v>
          </cell>
          <cell r="AU660">
            <v>731</v>
          </cell>
          <cell r="AV660">
            <v>838</v>
          </cell>
          <cell r="AW660">
            <v>42</v>
          </cell>
          <cell r="AX660">
            <v>294</v>
          </cell>
          <cell r="AY660">
            <v>294</v>
          </cell>
          <cell r="AZ660">
            <v>2.2610000000000001</v>
          </cell>
          <cell r="BA660" t="str">
            <v>D2006137</v>
          </cell>
          <cell r="BB660" t="str">
            <v>CONFORM</v>
          </cell>
          <cell r="BC660" t="str">
            <v>CONFORM</v>
          </cell>
          <cell r="BD660" t="str">
            <v>CONFORM</v>
          </cell>
          <cell r="BE660" t="str">
            <v>CONFORM</v>
          </cell>
          <cell r="BF660" t="str">
            <v>CONFORM</v>
          </cell>
        </row>
        <row r="661">
          <cell r="A661">
            <v>44011</v>
          </cell>
          <cell r="B661" t="str">
            <v>D2006138-1</v>
          </cell>
          <cell r="C661" t="str">
            <v>045/20</v>
          </cell>
          <cell r="D661">
            <v>2</v>
          </cell>
          <cell r="E661">
            <v>44011</v>
          </cell>
          <cell r="F661" t="str">
            <v>DC</v>
          </cell>
          <cell r="G661" t="str">
            <v>On Time</v>
          </cell>
          <cell r="H661" t="str">
            <v>0008511621</v>
          </cell>
          <cell r="I661">
            <v>44006</v>
          </cell>
          <cell r="J661" t="str">
            <v>OUTO</v>
          </cell>
          <cell r="K661" t="str">
            <v>D2006138</v>
          </cell>
          <cell r="L661">
            <v>1</v>
          </cell>
          <cell r="M661">
            <v>889865</v>
          </cell>
          <cell r="N661">
            <v>529014</v>
          </cell>
          <cell r="O661" t="str">
            <v xml:space="preserve">1.4401/1.4404 TP316/316L </v>
          </cell>
          <cell r="P661" t="str">
            <v>316L</v>
          </cell>
          <cell r="Q661">
            <v>2.3860000000000001</v>
          </cell>
          <cell r="R661">
            <v>2.3955000000000002</v>
          </cell>
          <cell r="S661">
            <v>2.7E-2</v>
          </cell>
          <cell r="T661">
            <v>2.8250000000000001E-2</v>
          </cell>
          <cell r="V661">
            <v>2.8250000000000001E-2</v>
          </cell>
          <cell r="X661">
            <v>1817</v>
          </cell>
          <cell r="Y661">
            <v>1</v>
          </cell>
          <cell r="Z661">
            <v>761.52556580050293</v>
          </cell>
          <cell r="AA661" t="str">
            <v>2.386X0.027-316L</v>
          </cell>
          <cell r="AB661" t="str">
            <v>WAAF006060070B300086</v>
          </cell>
          <cell r="AC661" t="str">
            <v>D2006138</v>
          </cell>
          <cell r="AD661">
            <v>529014</v>
          </cell>
          <cell r="AE661">
            <v>2.9000000000000001E-2</v>
          </cell>
          <cell r="AF661">
            <v>1.47</v>
          </cell>
          <cell r="AG661">
            <v>3.2000000000000001E-2</v>
          </cell>
          <cell r="AH661">
            <v>1E-3</v>
          </cell>
          <cell r="AI661">
            <v>0.39</v>
          </cell>
          <cell r="AJ661">
            <v>16.600000000000001</v>
          </cell>
          <cell r="AK661">
            <v>10</v>
          </cell>
          <cell r="AL661">
            <v>3.7999999999999999E-2</v>
          </cell>
          <cell r="AM661">
            <v>2.02</v>
          </cell>
          <cell r="AN661">
            <v>0</v>
          </cell>
          <cell r="AO661">
            <v>0</v>
          </cell>
          <cell r="AP661">
            <v>0</v>
          </cell>
          <cell r="AQ661">
            <v>0</v>
          </cell>
          <cell r="AR661">
            <v>0.54</v>
          </cell>
          <cell r="AS661">
            <v>0</v>
          </cell>
          <cell r="AT661">
            <v>290</v>
          </cell>
          <cell r="AU661">
            <v>0</v>
          </cell>
          <cell r="AV661">
            <v>634</v>
          </cell>
          <cell r="AW661">
            <v>53</v>
          </cell>
          <cell r="AX661">
            <v>77</v>
          </cell>
          <cell r="AY661">
            <v>141</v>
          </cell>
          <cell r="AZ661">
            <v>1.59</v>
          </cell>
          <cell r="BA661" t="str">
            <v>D2006138</v>
          </cell>
          <cell r="BB661" t="str">
            <v>CONFORM</v>
          </cell>
          <cell r="BC661" t="str">
            <v>CONFORM</v>
          </cell>
          <cell r="BD661" t="str">
            <v>CONFORM</v>
          </cell>
          <cell r="BE661" t="str">
            <v>CONFORM</v>
          </cell>
          <cell r="BF661" t="str">
            <v>CONFORM</v>
          </cell>
        </row>
        <row r="662">
          <cell r="A662">
            <v>44011</v>
          </cell>
          <cell r="B662" t="str">
            <v>D2006138-2</v>
          </cell>
          <cell r="C662" t="str">
            <v>045/20</v>
          </cell>
          <cell r="D662">
            <v>2</v>
          </cell>
          <cell r="E662">
            <v>44011</v>
          </cell>
          <cell r="F662" t="str">
            <v>DC</v>
          </cell>
          <cell r="G662" t="str">
            <v>On Time</v>
          </cell>
          <cell r="H662" t="str">
            <v>0008511621</v>
          </cell>
          <cell r="I662">
            <v>44006</v>
          </cell>
          <cell r="J662" t="str">
            <v>OUTO</v>
          </cell>
          <cell r="K662" t="str">
            <v>D2006138</v>
          </cell>
          <cell r="L662">
            <v>2</v>
          </cell>
          <cell r="M662">
            <v>889865</v>
          </cell>
          <cell r="N662">
            <v>529014</v>
          </cell>
          <cell r="O662" t="str">
            <v xml:space="preserve">1.4401/1.4404 TP316/316L </v>
          </cell>
          <cell r="P662" t="str">
            <v>316L</v>
          </cell>
          <cell r="Q662">
            <v>2.3860000000000001</v>
          </cell>
          <cell r="R662">
            <v>2.3929999999999998</v>
          </cell>
          <cell r="S662">
            <v>2.7E-2</v>
          </cell>
          <cell r="T662">
            <v>2.8500000000000001E-2</v>
          </cell>
          <cell r="V662">
            <v>2.8500000000000001E-2</v>
          </cell>
          <cell r="X662">
            <v>1808</v>
          </cell>
          <cell r="Y662">
            <v>1</v>
          </cell>
          <cell r="Z662">
            <v>757.75356244761099</v>
          </cell>
          <cell r="AA662" t="str">
            <v>2.386X0.027-316L</v>
          </cell>
          <cell r="AB662" t="str">
            <v>WAAF006060070B300086</v>
          </cell>
          <cell r="AC662" t="str">
            <v>D2006138</v>
          </cell>
          <cell r="AD662">
            <v>529014</v>
          </cell>
          <cell r="AE662">
            <v>2.9000000000000001E-2</v>
          </cell>
          <cell r="AF662">
            <v>1.47</v>
          </cell>
          <cell r="AG662">
            <v>3.2000000000000001E-2</v>
          </cell>
          <cell r="AH662">
            <v>1E-3</v>
          </cell>
          <cell r="AI662">
            <v>0.39</v>
          </cell>
          <cell r="AJ662">
            <v>16.600000000000001</v>
          </cell>
          <cell r="AK662">
            <v>10</v>
          </cell>
          <cell r="AL662">
            <v>3.7999999999999999E-2</v>
          </cell>
          <cell r="AM662">
            <v>2.02</v>
          </cell>
          <cell r="AN662">
            <v>0</v>
          </cell>
          <cell r="AO662">
            <v>0</v>
          </cell>
          <cell r="AP662">
            <v>0</v>
          </cell>
          <cell r="AQ662">
            <v>0</v>
          </cell>
          <cell r="AR662">
            <v>0.54</v>
          </cell>
          <cell r="AS662">
            <v>0</v>
          </cell>
          <cell r="AT662">
            <v>290</v>
          </cell>
          <cell r="AU662">
            <v>0</v>
          </cell>
          <cell r="AV662">
            <v>634</v>
          </cell>
          <cell r="AW662">
            <v>53</v>
          </cell>
          <cell r="AX662">
            <v>77</v>
          </cell>
          <cell r="AY662">
            <v>141</v>
          </cell>
          <cell r="AZ662">
            <v>1.59</v>
          </cell>
          <cell r="BA662" t="str">
            <v>D2006138</v>
          </cell>
          <cell r="BB662" t="str">
            <v>CONFORM</v>
          </cell>
          <cell r="BC662" t="str">
            <v>CONFORM</v>
          </cell>
          <cell r="BD662" t="str">
            <v>CONFORM</v>
          </cell>
          <cell r="BE662" t="str">
            <v>CONFORM</v>
          </cell>
          <cell r="BF662" t="str">
            <v>CONFORM</v>
          </cell>
        </row>
        <row r="663">
          <cell r="A663">
            <v>44011</v>
          </cell>
          <cell r="B663" t="str">
            <v>D2006138-3</v>
          </cell>
          <cell r="C663" t="str">
            <v>045/20</v>
          </cell>
          <cell r="D663">
            <v>2</v>
          </cell>
          <cell r="E663">
            <v>44011</v>
          </cell>
          <cell r="F663" t="str">
            <v>DC</v>
          </cell>
          <cell r="G663" t="str">
            <v>On Time</v>
          </cell>
          <cell r="H663" t="str">
            <v>0008511621</v>
          </cell>
          <cell r="I663">
            <v>44006</v>
          </cell>
          <cell r="J663" t="str">
            <v>OUTO</v>
          </cell>
          <cell r="K663" t="str">
            <v>D2006138</v>
          </cell>
          <cell r="L663">
            <v>3</v>
          </cell>
          <cell r="M663">
            <v>889865</v>
          </cell>
          <cell r="N663">
            <v>529014</v>
          </cell>
          <cell r="O663" t="str">
            <v xml:space="preserve">1.4401/1.4404 TP316/316L </v>
          </cell>
          <cell r="P663" t="str">
            <v>316L</v>
          </cell>
          <cell r="Q663">
            <v>2.3860000000000001</v>
          </cell>
          <cell r="R663">
            <v>2.3769999999999998</v>
          </cell>
          <cell r="S663">
            <v>2.7E-2</v>
          </cell>
          <cell r="T663">
            <v>2.86E-2</v>
          </cell>
          <cell r="V663">
            <v>2.86E-2</v>
          </cell>
          <cell r="X663">
            <v>1812</v>
          </cell>
          <cell r="Y663">
            <v>1</v>
          </cell>
          <cell r="Z663">
            <v>759.43000838222963</v>
          </cell>
          <cell r="AA663" t="str">
            <v>2.386X0.027-316L</v>
          </cell>
          <cell r="AB663" t="str">
            <v>WAAF006060070B300086</v>
          </cell>
          <cell r="AC663" t="str">
            <v>D2006138</v>
          </cell>
          <cell r="AD663">
            <v>529014</v>
          </cell>
          <cell r="AE663">
            <v>2.9000000000000001E-2</v>
          </cell>
          <cell r="AF663">
            <v>1.47</v>
          </cell>
          <cell r="AG663">
            <v>3.2000000000000001E-2</v>
          </cell>
          <cell r="AH663">
            <v>1E-3</v>
          </cell>
          <cell r="AI663">
            <v>0.39</v>
          </cell>
          <cell r="AJ663">
            <v>16.600000000000001</v>
          </cell>
          <cell r="AK663">
            <v>10</v>
          </cell>
          <cell r="AL663">
            <v>3.7999999999999999E-2</v>
          </cell>
          <cell r="AM663">
            <v>2.02</v>
          </cell>
          <cell r="AN663">
            <v>0</v>
          </cell>
          <cell r="AO663">
            <v>0</v>
          </cell>
          <cell r="AP663">
            <v>0</v>
          </cell>
          <cell r="AQ663">
            <v>0</v>
          </cell>
          <cell r="AR663">
            <v>0.54</v>
          </cell>
          <cell r="AS663">
            <v>0</v>
          </cell>
          <cell r="AT663">
            <v>290</v>
          </cell>
          <cell r="AU663">
            <v>0</v>
          </cell>
          <cell r="AV663">
            <v>634</v>
          </cell>
          <cell r="AW663">
            <v>53</v>
          </cell>
          <cell r="AX663">
            <v>77</v>
          </cell>
          <cell r="AY663">
            <v>141</v>
          </cell>
          <cell r="AZ663">
            <v>1.59</v>
          </cell>
          <cell r="BA663" t="str">
            <v>D2006138</v>
          </cell>
          <cell r="BB663" t="str">
            <v>CONFORM</v>
          </cell>
          <cell r="BC663" t="str">
            <v>CONFORM</v>
          </cell>
          <cell r="BD663" t="str">
            <v>CONFORM</v>
          </cell>
          <cell r="BE663" t="str">
            <v>CONFORM</v>
          </cell>
          <cell r="BF663" t="str">
            <v>CONFORM</v>
          </cell>
        </row>
        <row r="664">
          <cell r="A664">
            <v>44011</v>
          </cell>
          <cell r="B664" t="str">
            <v>D2006138-4</v>
          </cell>
          <cell r="C664" t="str">
            <v>045/20</v>
          </cell>
          <cell r="D664">
            <v>2</v>
          </cell>
          <cell r="E664">
            <v>44011</v>
          </cell>
          <cell r="F664" t="str">
            <v>DC</v>
          </cell>
          <cell r="G664" t="str">
            <v>On Time</v>
          </cell>
          <cell r="H664" t="str">
            <v>0008511621</v>
          </cell>
          <cell r="I664">
            <v>44006</v>
          </cell>
          <cell r="J664" t="str">
            <v>OUTO</v>
          </cell>
          <cell r="K664" t="str">
            <v>D2006138</v>
          </cell>
          <cell r="L664">
            <v>4</v>
          </cell>
          <cell r="M664">
            <v>889865</v>
          </cell>
          <cell r="N664">
            <v>529014</v>
          </cell>
          <cell r="O664" t="str">
            <v xml:space="preserve">1.4401/1.4404 TP316/316L </v>
          </cell>
          <cell r="P664" t="str">
            <v>316L</v>
          </cell>
          <cell r="Q664">
            <v>2.3860000000000001</v>
          </cell>
          <cell r="R664">
            <v>2.3929999999999998</v>
          </cell>
          <cell r="S664">
            <v>2.7E-2</v>
          </cell>
          <cell r="T664">
            <v>2.8799999999999999E-2</v>
          </cell>
          <cell r="V664">
            <v>2.8799999999999999E-2</v>
          </cell>
          <cell r="X664">
            <v>1825</v>
          </cell>
          <cell r="Y664">
            <v>1</v>
          </cell>
          <cell r="Z664">
            <v>764.8784576697401</v>
          </cell>
          <cell r="AA664" t="str">
            <v>2.386X0.027-316L</v>
          </cell>
          <cell r="AB664" t="str">
            <v>WAAF006060070B300086</v>
          </cell>
          <cell r="AC664" t="str">
            <v>D2006138</v>
          </cell>
          <cell r="AD664">
            <v>529014</v>
          </cell>
          <cell r="AE664">
            <v>2.9000000000000001E-2</v>
          </cell>
          <cell r="AF664">
            <v>1.47</v>
          </cell>
          <cell r="AG664">
            <v>3.2000000000000001E-2</v>
          </cell>
          <cell r="AH664">
            <v>1E-3</v>
          </cell>
          <cell r="AI664">
            <v>0.39</v>
          </cell>
          <cell r="AJ664">
            <v>16.600000000000001</v>
          </cell>
          <cell r="AK664">
            <v>10</v>
          </cell>
          <cell r="AL664">
            <v>3.7999999999999999E-2</v>
          </cell>
          <cell r="AM664">
            <v>2.02</v>
          </cell>
          <cell r="AN664">
            <v>0</v>
          </cell>
          <cell r="AO664">
            <v>0</v>
          </cell>
          <cell r="AP664">
            <v>0</v>
          </cell>
          <cell r="AQ664">
            <v>0</v>
          </cell>
          <cell r="AR664">
            <v>0.54</v>
          </cell>
          <cell r="AS664">
            <v>0</v>
          </cell>
          <cell r="AT664">
            <v>290</v>
          </cell>
          <cell r="AU664">
            <v>0</v>
          </cell>
          <cell r="AV664">
            <v>634</v>
          </cell>
          <cell r="AW664">
            <v>53</v>
          </cell>
          <cell r="AX664">
            <v>77</v>
          </cell>
          <cell r="AY664">
            <v>141</v>
          </cell>
          <cell r="AZ664">
            <v>1.59</v>
          </cell>
          <cell r="BA664" t="str">
            <v>D2006138</v>
          </cell>
          <cell r="BB664" t="str">
            <v>CONFORM</v>
          </cell>
          <cell r="BC664" t="str">
            <v>CONFORM</v>
          </cell>
          <cell r="BD664" t="str">
            <v>CONFORM</v>
          </cell>
          <cell r="BE664" t="str">
            <v>CONFORM</v>
          </cell>
          <cell r="BF664" t="str">
            <v>CONFORM</v>
          </cell>
        </row>
        <row r="665">
          <cell r="A665">
            <v>44011</v>
          </cell>
          <cell r="B665" t="str">
            <v>D2006138-5</v>
          </cell>
          <cell r="C665" t="str">
            <v>045/20</v>
          </cell>
          <cell r="D665">
            <v>2</v>
          </cell>
          <cell r="E665">
            <v>44011</v>
          </cell>
          <cell r="F665" t="str">
            <v>DC</v>
          </cell>
          <cell r="G665" t="str">
            <v>On Time</v>
          </cell>
          <cell r="H665" t="str">
            <v>0008511621</v>
          </cell>
          <cell r="I665">
            <v>44006</v>
          </cell>
          <cell r="J665" t="str">
            <v>OUTO</v>
          </cell>
          <cell r="K665" t="str">
            <v>D2006138</v>
          </cell>
          <cell r="L665">
            <v>5</v>
          </cell>
          <cell r="M665">
            <v>889865</v>
          </cell>
          <cell r="N665">
            <v>529014</v>
          </cell>
          <cell r="O665" t="str">
            <v xml:space="preserve">1.4401/1.4404 TP316/316L </v>
          </cell>
          <cell r="P665" t="str">
            <v>316L</v>
          </cell>
          <cell r="Q665">
            <v>2.3860000000000001</v>
          </cell>
          <cell r="R665">
            <v>2.3929999999999998</v>
          </cell>
          <cell r="S665">
            <v>2.7E-2</v>
          </cell>
          <cell r="T665">
            <v>2.81E-2</v>
          </cell>
          <cell r="V665">
            <v>2.81E-2</v>
          </cell>
          <cell r="X665">
            <v>1808</v>
          </cell>
          <cell r="Y665">
            <v>1</v>
          </cell>
          <cell r="Z665">
            <v>757.75356244761099</v>
          </cell>
          <cell r="AA665" t="str">
            <v>2.386X0.027-316L</v>
          </cell>
          <cell r="AB665" t="str">
            <v>WAAF006060070B300086</v>
          </cell>
          <cell r="AC665" t="str">
            <v>D2006138</v>
          </cell>
          <cell r="AD665">
            <v>529014</v>
          </cell>
          <cell r="AE665">
            <v>2.9000000000000001E-2</v>
          </cell>
          <cell r="AF665">
            <v>1.47</v>
          </cell>
          <cell r="AG665">
            <v>3.2000000000000001E-2</v>
          </cell>
          <cell r="AH665">
            <v>1E-3</v>
          </cell>
          <cell r="AI665">
            <v>0.39</v>
          </cell>
          <cell r="AJ665">
            <v>16.600000000000001</v>
          </cell>
          <cell r="AK665">
            <v>10</v>
          </cell>
          <cell r="AL665">
            <v>3.7999999999999999E-2</v>
          </cell>
          <cell r="AM665">
            <v>2.02</v>
          </cell>
          <cell r="AN665">
            <v>0</v>
          </cell>
          <cell r="AO665">
            <v>0</v>
          </cell>
          <cell r="AP665">
            <v>0</v>
          </cell>
          <cell r="AQ665">
            <v>0</v>
          </cell>
          <cell r="AR665">
            <v>0.54</v>
          </cell>
          <cell r="AS665">
            <v>0</v>
          </cell>
          <cell r="AT665">
            <v>290</v>
          </cell>
          <cell r="AU665">
            <v>0</v>
          </cell>
          <cell r="AV665">
            <v>634</v>
          </cell>
          <cell r="AW665">
            <v>53</v>
          </cell>
          <cell r="AX665">
            <v>77</v>
          </cell>
          <cell r="AY665">
            <v>141</v>
          </cell>
          <cell r="AZ665">
            <v>1.59</v>
          </cell>
          <cell r="BA665" t="str">
            <v>D2006138</v>
          </cell>
          <cell r="BB665" t="str">
            <v>CONFORM</v>
          </cell>
          <cell r="BC665" t="str">
            <v>CONFORM</v>
          </cell>
          <cell r="BD665" t="str">
            <v>CONFORM</v>
          </cell>
          <cell r="BE665" t="str">
            <v>CONFORM</v>
          </cell>
          <cell r="BF665" t="str">
            <v>CONFORM</v>
          </cell>
        </row>
        <row r="666">
          <cell r="A666">
            <v>44011</v>
          </cell>
          <cell r="B666" t="str">
            <v>D2006138-6</v>
          </cell>
          <cell r="C666" t="str">
            <v>045/20</v>
          </cell>
          <cell r="D666">
            <v>2</v>
          </cell>
          <cell r="E666">
            <v>44011</v>
          </cell>
          <cell r="F666" t="str">
            <v>DC</v>
          </cell>
          <cell r="G666" t="str">
            <v>On Time</v>
          </cell>
          <cell r="H666" t="str">
            <v>0008511621</v>
          </cell>
          <cell r="I666">
            <v>44006</v>
          </cell>
          <cell r="J666" t="str">
            <v>OUTO</v>
          </cell>
          <cell r="K666" t="str">
            <v>D2006138</v>
          </cell>
          <cell r="L666">
            <v>6</v>
          </cell>
          <cell r="M666">
            <v>889865</v>
          </cell>
          <cell r="N666">
            <v>529014</v>
          </cell>
          <cell r="O666" t="str">
            <v xml:space="preserve">1.4401/1.4404 TP316/316L </v>
          </cell>
          <cell r="P666" t="str">
            <v>316L</v>
          </cell>
          <cell r="Q666">
            <v>2.3860000000000001</v>
          </cell>
          <cell r="R666">
            <v>2.395</v>
          </cell>
          <cell r="S666">
            <v>2.7E-2</v>
          </cell>
          <cell r="T666">
            <v>2.87E-2</v>
          </cell>
          <cell r="V666">
            <v>2.87E-2</v>
          </cell>
          <cell r="X666">
            <v>1817</v>
          </cell>
          <cell r="Y666">
            <v>1</v>
          </cell>
          <cell r="Z666">
            <v>761.52556580050293</v>
          </cell>
          <cell r="AA666" t="str">
            <v>2.386X0.027-316L</v>
          </cell>
          <cell r="AB666" t="str">
            <v>WAAF006060070B300086</v>
          </cell>
          <cell r="AC666" t="str">
            <v>D2006138</v>
          </cell>
          <cell r="AD666">
            <v>529014</v>
          </cell>
          <cell r="AE666">
            <v>2.9000000000000001E-2</v>
          </cell>
          <cell r="AF666">
            <v>1.47</v>
          </cell>
          <cell r="AG666">
            <v>3.2000000000000001E-2</v>
          </cell>
          <cell r="AH666">
            <v>1E-3</v>
          </cell>
          <cell r="AI666">
            <v>0.39</v>
          </cell>
          <cell r="AJ666">
            <v>16.600000000000001</v>
          </cell>
          <cell r="AK666">
            <v>10</v>
          </cell>
          <cell r="AL666">
            <v>3.7999999999999999E-2</v>
          </cell>
          <cell r="AM666">
            <v>2.02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  <cell r="AR666">
            <v>0.54</v>
          </cell>
          <cell r="AS666">
            <v>0</v>
          </cell>
          <cell r="AT666">
            <v>290</v>
          </cell>
          <cell r="AU666">
            <v>0</v>
          </cell>
          <cell r="AV666">
            <v>634</v>
          </cell>
          <cell r="AW666">
            <v>53</v>
          </cell>
          <cell r="AX666">
            <v>77</v>
          </cell>
          <cell r="AY666">
            <v>141</v>
          </cell>
          <cell r="AZ666">
            <v>1.59</v>
          </cell>
          <cell r="BA666" t="str">
            <v>D2006138</v>
          </cell>
          <cell r="BB666" t="str">
            <v>CONFORM</v>
          </cell>
          <cell r="BC666" t="str">
            <v>CONFORM</v>
          </cell>
          <cell r="BD666" t="str">
            <v>CONFORM</v>
          </cell>
          <cell r="BE666" t="str">
            <v>CONFORM</v>
          </cell>
          <cell r="BF666" t="str">
            <v>CONFORM</v>
          </cell>
        </row>
        <row r="667">
          <cell r="A667">
            <v>44011</v>
          </cell>
          <cell r="B667" t="str">
            <v>D2006138-7</v>
          </cell>
          <cell r="C667" t="str">
            <v>045/20</v>
          </cell>
          <cell r="D667">
            <v>2</v>
          </cell>
          <cell r="E667">
            <v>44011</v>
          </cell>
          <cell r="F667" t="str">
            <v>DC</v>
          </cell>
          <cell r="G667" t="str">
            <v>On Time</v>
          </cell>
          <cell r="H667" t="str">
            <v>0008511621</v>
          </cell>
          <cell r="I667">
            <v>44006</v>
          </cell>
          <cell r="J667" t="str">
            <v>OUTO</v>
          </cell>
          <cell r="K667" t="str">
            <v>D2006138</v>
          </cell>
          <cell r="L667">
            <v>7</v>
          </cell>
          <cell r="M667">
            <v>889865</v>
          </cell>
          <cell r="N667">
            <v>529014</v>
          </cell>
          <cell r="O667" t="str">
            <v xml:space="preserve">1.4401/1.4404 TP316/316L </v>
          </cell>
          <cell r="P667" t="str">
            <v>316L</v>
          </cell>
          <cell r="Q667">
            <v>2.3860000000000001</v>
          </cell>
          <cell r="R667">
            <v>2.3929999999999998</v>
          </cell>
          <cell r="S667">
            <v>2.7E-2</v>
          </cell>
          <cell r="T667">
            <v>2.87E-2</v>
          </cell>
          <cell r="V667">
            <v>2.87E-2</v>
          </cell>
          <cell r="X667">
            <v>1812</v>
          </cell>
          <cell r="Y667">
            <v>1</v>
          </cell>
          <cell r="Z667">
            <v>759.43000838222963</v>
          </cell>
          <cell r="AA667" t="str">
            <v>2.386X0.027-316L</v>
          </cell>
          <cell r="AB667" t="str">
            <v>WAAF006060070B300086</v>
          </cell>
          <cell r="AC667" t="str">
            <v>D2006138</v>
          </cell>
          <cell r="AD667">
            <v>529014</v>
          </cell>
          <cell r="AE667">
            <v>2.9000000000000001E-2</v>
          </cell>
          <cell r="AF667">
            <v>1.47</v>
          </cell>
          <cell r="AG667">
            <v>3.2000000000000001E-2</v>
          </cell>
          <cell r="AH667">
            <v>1E-3</v>
          </cell>
          <cell r="AI667">
            <v>0.39</v>
          </cell>
          <cell r="AJ667">
            <v>16.600000000000001</v>
          </cell>
          <cell r="AK667">
            <v>10</v>
          </cell>
          <cell r="AL667">
            <v>3.7999999999999999E-2</v>
          </cell>
          <cell r="AM667">
            <v>2.02</v>
          </cell>
          <cell r="AN667">
            <v>0</v>
          </cell>
          <cell r="AO667">
            <v>0</v>
          </cell>
          <cell r="AP667">
            <v>0</v>
          </cell>
          <cell r="AQ667">
            <v>0</v>
          </cell>
          <cell r="AR667">
            <v>0.54</v>
          </cell>
          <cell r="AS667">
            <v>0</v>
          </cell>
          <cell r="AT667">
            <v>290</v>
          </cell>
          <cell r="AU667">
            <v>0</v>
          </cell>
          <cell r="AV667">
            <v>634</v>
          </cell>
          <cell r="AW667">
            <v>53</v>
          </cell>
          <cell r="AX667">
            <v>77</v>
          </cell>
          <cell r="AY667">
            <v>141</v>
          </cell>
          <cell r="AZ667">
            <v>1.59</v>
          </cell>
          <cell r="BA667" t="str">
            <v>D2006138</v>
          </cell>
          <cell r="BB667" t="str">
            <v>CONFORM</v>
          </cell>
          <cell r="BC667" t="str">
            <v>CONFORM</v>
          </cell>
          <cell r="BD667" t="str">
            <v>CONFORM</v>
          </cell>
          <cell r="BE667" t="str">
            <v>CONFORM</v>
          </cell>
          <cell r="BF667" t="str">
            <v>CONFORM</v>
          </cell>
        </row>
        <row r="668">
          <cell r="A668">
            <v>44011</v>
          </cell>
          <cell r="B668" t="str">
            <v>D2006138-8</v>
          </cell>
          <cell r="C668" t="str">
            <v>045/20</v>
          </cell>
          <cell r="D668">
            <v>2</v>
          </cell>
          <cell r="E668">
            <v>44011</v>
          </cell>
          <cell r="F668" t="str">
            <v>DC</v>
          </cell>
          <cell r="G668" t="str">
            <v>On Time</v>
          </cell>
          <cell r="H668" t="str">
            <v>0008511621</v>
          </cell>
          <cell r="I668">
            <v>44006</v>
          </cell>
          <cell r="J668" t="str">
            <v>OUTO</v>
          </cell>
          <cell r="K668" t="str">
            <v>D2006138</v>
          </cell>
          <cell r="L668">
            <v>8</v>
          </cell>
          <cell r="M668">
            <v>889865</v>
          </cell>
          <cell r="N668">
            <v>529014</v>
          </cell>
          <cell r="O668" t="str">
            <v xml:space="preserve">1.4401/1.4404 TP316/316L </v>
          </cell>
          <cell r="P668" t="str">
            <v>316L</v>
          </cell>
          <cell r="Q668">
            <v>2.3860000000000001</v>
          </cell>
          <cell r="R668">
            <v>2.3929999999999998</v>
          </cell>
          <cell r="S668">
            <v>2.7E-2</v>
          </cell>
          <cell r="T668">
            <v>2.8199999999999999E-2</v>
          </cell>
          <cell r="V668">
            <v>2.8199999999999999E-2</v>
          </cell>
          <cell r="X668">
            <v>1808</v>
          </cell>
          <cell r="Y668">
            <v>1</v>
          </cell>
          <cell r="Z668">
            <v>757.75356244761099</v>
          </cell>
          <cell r="AA668" t="str">
            <v>2.386X0.027-316L</v>
          </cell>
          <cell r="AB668" t="str">
            <v>WAAF006060070B300086</v>
          </cell>
          <cell r="AC668" t="str">
            <v>D2006138</v>
          </cell>
          <cell r="AD668">
            <v>529014</v>
          </cell>
          <cell r="AE668">
            <v>2.9000000000000001E-2</v>
          </cell>
          <cell r="AF668">
            <v>1.47</v>
          </cell>
          <cell r="AG668">
            <v>3.2000000000000001E-2</v>
          </cell>
          <cell r="AH668">
            <v>1E-3</v>
          </cell>
          <cell r="AI668">
            <v>0.39</v>
          </cell>
          <cell r="AJ668">
            <v>16.600000000000001</v>
          </cell>
          <cell r="AK668">
            <v>10</v>
          </cell>
          <cell r="AL668">
            <v>3.7999999999999999E-2</v>
          </cell>
          <cell r="AM668">
            <v>2.02</v>
          </cell>
          <cell r="AN668">
            <v>0</v>
          </cell>
          <cell r="AO668">
            <v>0</v>
          </cell>
          <cell r="AP668">
            <v>0</v>
          </cell>
          <cell r="AQ668">
            <v>0</v>
          </cell>
          <cell r="AR668">
            <v>0.54</v>
          </cell>
          <cell r="AS668">
            <v>0</v>
          </cell>
          <cell r="AT668">
            <v>290</v>
          </cell>
          <cell r="AU668">
            <v>0</v>
          </cell>
          <cell r="AV668">
            <v>634</v>
          </cell>
          <cell r="AW668">
            <v>53</v>
          </cell>
          <cell r="AX668">
            <v>77</v>
          </cell>
          <cell r="AY668">
            <v>141</v>
          </cell>
          <cell r="AZ668">
            <v>1.59</v>
          </cell>
          <cell r="BA668" t="str">
            <v>D2006138</v>
          </cell>
          <cell r="BB668" t="str">
            <v>CONFORM</v>
          </cell>
          <cell r="BC668" t="str">
            <v>CONFORM</v>
          </cell>
          <cell r="BD668" t="str">
            <v>CONFORM</v>
          </cell>
          <cell r="BE668" t="str">
            <v>CONFORM</v>
          </cell>
          <cell r="BF668" t="str">
            <v>CONFORM</v>
          </cell>
        </row>
        <row r="669">
          <cell r="A669">
            <v>44011</v>
          </cell>
          <cell r="B669" t="str">
            <v>D2006138-9</v>
          </cell>
          <cell r="C669" t="str">
            <v>045/20</v>
          </cell>
          <cell r="D669">
            <v>2</v>
          </cell>
          <cell r="E669">
            <v>44011</v>
          </cell>
          <cell r="F669" t="str">
            <v>DC</v>
          </cell>
          <cell r="G669" t="str">
            <v>On Time</v>
          </cell>
          <cell r="H669" t="str">
            <v>0008511621</v>
          </cell>
          <cell r="I669">
            <v>44006</v>
          </cell>
          <cell r="J669" t="str">
            <v>OUTO</v>
          </cell>
          <cell r="K669" t="str">
            <v>D2006138</v>
          </cell>
          <cell r="L669">
            <v>9</v>
          </cell>
          <cell r="M669">
            <v>889865</v>
          </cell>
          <cell r="N669">
            <v>529014</v>
          </cell>
          <cell r="O669" t="str">
            <v xml:space="preserve">1.4401/1.4404 TP316/316L </v>
          </cell>
          <cell r="P669" t="str">
            <v>316L</v>
          </cell>
          <cell r="Q669">
            <v>2.3860000000000001</v>
          </cell>
          <cell r="R669">
            <v>2.3919999999999999</v>
          </cell>
          <cell r="S669">
            <v>2.7E-2</v>
          </cell>
          <cell r="T669">
            <v>2.8199999999999999E-2</v>
          </cell>
          <cell r="V669">
            <v>2.8199999999999999E-2</v>
          </cell>
          <cell r="X669">
            <v>1808</v>
          </cell>
          <cell r="Y669">
            <v>1</v>
          </cell>
          <cell r="Z669">
            <v>757.75356244761099</v>
          </cell>
          <cell r="AA669" t="str">
            <v>2.386X0.027-316L</v>
          </cell>
          <cell r="AB669" t="str">
            <v>WAAF006060070B300086</v>
          </cell>
          <cell r="AC669" t="str">
            <v>D2006138</v>
          </cell>
          <cell r="AD669">
            <v>529014</v>
          </cell>
          <cell r="AE669">
            <v>2.9000000000000001E-2</v>
          </cell>
          <cell r="AF669">
            <v>1.47</v>
          </cell>
          <cell r="AG669">
            <v>3.2000000000000001E-2</v>
          </cell>
          <cell r="AH669">
            <v>1E-3</v>
          </cell>
          <cell r="AI669">
            <v>0.39</v>
          </cell>
          <cell r="AJ669">
            <v>16.600000000000001</v>
          </cell>
          <cell r="AK669">
            <v>10</v>
          </cell>
          <cell r="AL669">
            <v>3.7999999999999999E-2</v>
          </cell>
          <cell r="AM669">
            <v>2.02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  <cell r="AR669">
            <v>0.54</v>
          </cell>
          <cell r="AS669">
            <v>0</v>
          </cell>
          <cell r="AT669">
            <v>290</v>
          </cell>
          <cell r="AU669">
            <v>0</v>
          </cell>
          <cell r="AV669">
            <v>634</v>
          </cell>
          <cell r="AW669">
            <v>53</v>
          </cell>
          <cell r="AX669">
            <v>77</v>
          </cell>
          <cell r="AY669">
            <v>141</v>
          </cell>
          <cell r="AZ669">
            <v>1.59</v>
          </cell>
          <cell r="BA669" t="str">
            <v>D2006138</v>
          </cell>
          <cell r="BB669" t="str">
            <v>CONFORM</v>
          </cell>
          <cell r="BC669" t="str">
            <v>CONFORM</v>
          </cell>
          <cell r="BD669" t="str">
            <v>CONFORM</v>
          </cell>
          <cell r="BE669" t="str">
            <v>CONFORM</v>
          </cell>
          <cell r="BF669" t="str">
            <v>CONFORM</v>
          </cell>
        </row>
        <row r="670">
          <cell r="A670">
            <v>44011</v>
          </cell>
          <cell r="B670" t="str">
            <v>D2006138-10</v>
          </cell>
          <cell r="C670" t="str">
            <v>045/20</v>
          </cell>
          <cell r="D670">
            <v>2</v>
          </cell>
          <cell r="E670">
            <v>44011</v>
          </cell>
          <cell r="F670" t="str">
            <v>DC</v>
          </cell>
          <cell r="G670" t="str">
            <v>On Time</v>
          </cell>
          <cell r="H670" t="str">
            <v>0008511621</v>
          </cell>
          <cell r="I670">
            <v>44006</v>
          </cell>
          <cell r="J670" t="str">
            <v>OUTO</v>
          </cell>
          <cell r="K670" t="str">
            <v>D2006138</v>
          </cell>
          <cell r="L670">
            <v>10</v>
          </cell>
          <cell r="M670">
            <v>889865</v>
          </cell>
          <cell r="N670">
            <v>529014</v>
          </cell>
          <cell r="O670" t="str">
            <v xml:space="preserve">1.4401/1.4404 TP316/316L </v>
          </cell>
          <cell r="P670" t="str">
            <v>316L</v>
          </cell>
          <cell r="Q670">
            <v>2.3860000000000001</v>
          </cell>
          <cell r="R670">
            <v>2.3889999999999998</v>
          </cell>
          <cell r="S670">
            <v>2.7E-2</v>
          </cell>
          <cell r="T670">
            <v>2.8400000000000002E-2</v>
          </cell>
          <cell r="V670">
            <v>2.8400000000000002E-2</v>
          </cell>
          <cell r="X670">
            <v>1808</v>
          </cell>
          <cell r="Y670">
            <v>1</v>
          </cell>
          <cell r="Z670">
            <v>757.75356244761099</v>
          </cell>
          <cell r="AA670" t="str">
            <v>2.386X0.027-316L</v>
          </cell>
          <cell r="AB670" t="str">
            <v>WAAF006060070B300086</v>
          </cell>
          <cell r="AC670" t="str">
            <v>D2006138</v>
          </cell>
          <cell r="AD670">
            <v>529014</v>
          </cell>
          <cell r="AE670">
            <v>2.9000000000000001E-2</v>
          </cell>
          <cell r="AF670">
            <v>1.47</v>
          </cell>
          <cell r="AG670">
            <v>3.2000000000000001E-2</v>
          </cell>
          <cell r="AH670">
            <v>1E-3</v>
          </cell>
          <cell r="AI670">
            <v>0.39</v>
          </cell>
          <cell r="AJ670">
            <v>16.600000000000001</v>
          </cell>
          <cell r="AK670">
            <v>10</v>
          </cell>
          <cell r="AL670">
            <v>3.7999999999999999E-2</v>
          </cell>
          <cell r="AM670">
            <v>2.02</v>
          </cell>
          <cell r="AN670">
            <v>0</v>
          </cell>
          <cell r="AO670">
            <v>0</v>
          </cell>
          <cell r="AP670">
            <v>0</v>
          </cell>
          <cell r="AQ670">
            <v>0</v>
          </cell>
          <cell r="AR670">
            <v>0.54</v>
          </cell>
          <cell r="AS670">
            <v>0</v>
          </cell>
          <cell r="AT670">
            <v>290</v>
          </cell>
          <cell r="AU670">
            <v>0</v>
          </cell>
          <cell r="AV670">
            <v>634</v>
          </cell>
          <cell r="AW670">
            <v>53</v>
          </cell>
          <cell r="AX670">
            <v>77</v>
          </cell>
          <cell r="AY670">
            <v>141</v>
          </cell>
          <cell r="AZ670">
            <v>1.59</v>
          </cell>
          <cell r="BA670" t="str">
            <v>D2006138</v>
          </cell>
          <cell r="BB670" t="str">
            <v>CONFORM</v>
          </cell>
          <cell r="BC670" t="str">
            <v>CONFORM</v>
          </cell>
          <cell r="BD670" t="str">
            <v>CONFORM</v>
          </cell>
          <cell r="BE670" t="str">
            <v>CONFORM</v>
          </cell>
          <cell r="BF670" t="str">
            <v>CONFORM</v>
          </cell>
        </row>
        <row r="671">
          <cell r="A671">
            <v>44011</v>
          </cell>
          <cell r="B671" t="str">
            <v>D2006138-11</v>
          </cell>
          <cell r="C671" t="str">
            <v>045/20</v>
          </cell>
          <cell r="D671">
            <v>2</v>
          </cell>
          <cell r="E671">
            <v>44011</v>
          </cell>
          <cell r="F671" t="str">
            <v>DC</v>
          </cell>
          <cell r="G671" t="str">
            <v>On Time</v>
          </cell>
          <cell r="H671" t="str">
            <v>0008511621</v>
          </cell>
          <cell r="I671">
            <v>44006</v>
          </cell>
          <cell r="J671" t="str">
            <v>OUTO</v>
          </cell>
          <cell r="K671" t="str">
            <v>D2006138</v>
          </cell>
          <cell r="L671">
            <v>11</v>
          </cell>
          <cell r="M671">
            <v>889865</v>
          </cell>
          <cell r="N671">
            <v>529014</v>
          </cell>
          <cell r="O671" t="str">
            <v xml:space="preserve">1.4401/1.4404 TP316/316L </v>
          </cell>
          <cell r="P671" t="str">
            <v>316L</v>
          </cell>
          <cell r="Q671">
            <v>2.3860000000000001</v>
          </cell>
          <cell r="R671">
            <v>2.3940000000000001</v>
          </cell>
          <cell r="S671">
            <v>2.7E-2</v>
          </cell>
          <cell r="T671">
            <v>2.92E-2</v>
          </cell>
          <cell r="V671">
            <v>2.92E-2</v>
          </cell>
          <cell r="X671">
            <v>1808</v>
          </cell>
          <cell r="Y671">
            <v>1</v>
          </cell>
          <cell r="Z671">
            <v>757.75356244761099</v>
          </cell>
          <cell r="AA671" t="str">
            <v>2.386X0.027-316L</v>
          </cell>
          <cell r="AB671" t="str">
            <v>WAAF006060070B300086</v>
          </cell>
          <cell r="AC671" t="str">
            <v>D2006138</v>
          </cell>
          <cell r="AD671">
            <v>529014</v>
          </cell>
          <cell r="AE671">
            <v>2.9000000000000001E-2</v>
          </cell>
          <cell r="AF671">
            <v>1.47</v>
          </cell>
          <cell r="AG671">
            <v>3.2000000000000001E-2</v>
          </cell>
          <cell r="AH671">
            <v>1E-3</v>
          </cell>
          <cell r="AI671">
            <v>0.39</v>
          </cell>
          <cell r="AJ671">
            <v>16.600000000000001</v>
          </cell>
          <cell r="AK671">
            <v>10</v>
          </cell>
          <cell r="AL671">
            <v>3.7999999999999999E-2</v>
          </cell>
          <cell r="AM671">
            <v>2.02</v>
          </cell>
          <cell r="AN671">
            <v>0</v>
          </cell>
          <cell r="AO671">
            <v>0</v>
          </cell>
          <cell r="AP671">
            <v>0</v>
          </cell>
          <cell r="AQ671">
            <v>0</v>
          </cell>
          <cell r="AR671">
            <v>0.54</v>
          </cell>
          <cell r="AS671">
            <v>0</v>
          </cell>
          <cell r="AT671">
            <v>290</v>
          </cell>
          <cell r="AU671">
            <v>0</v>
          </cell>
          <cell r="AV671">
            <v>634</v>
          </cell>
          <cell r="AW671">
            <v>53</v>
          </cell>
          <cell r="AX671">
            <v>77</v>
          </cell>
          <cell r="AY671">
            <v>141</v>
          </cell>
          <cell r="AZ671">
            <v>1.59</v>
          </cell>
          <cell r="BA671" t="str">
            <v>D2006138</v>
          </cell>
          <cell r="BB671" t="str">
            <v>CONFORM</v>
          </cell>
          <cell r="BC671" t="str">
            <v>CONFORM</v>
          </cell>
          <cell r="BD671" t="str">
            <v>CONFORM</v>
          </cell>
          <cell r="BE671" t="str">
            <v>CONFORM</v>
          </cell>
          <cell r="BF671" t="str">
            <v>CONFORM</v>
          </cell>
        </row>
        <row r="672">
          <cell r="A672">
            <v>44011</v>
          </cell>
          <cell r="B672" t="str">
            <v>D2006138-12</v>
          </cell>
          <cell r="C672" t="str">
            <v>045/20</v>
          </cell>
          <cell r="D672">
            <v>2</v>
          </cell>
          <cell r="E672">
            <v>44011</v>
          </cell>
          <cell r="F672" t="str">
            <v>DC</v>
          </cell>
          <cell r="G672" t="str">
            <v>On Time</v>
          </cell>
          <cell r="H672" t="str">
            <v>0008511621</v>
          </cell>
          <cell r="I672">
            <v>44006</v>
          </cell>
          <cell r="J672" t="str">
            <v>OUTO</v>
          </cell>
          <cell r="K672" t="str">
            <v>D2006138</v>
          </cell>
          <cell r="L672">
            <v>12</v>
          </cell>
          <cell r="M672">
            <v>889865</v>
          </cell>
          <cell r="N672">
            <v>529014</v>
          </cell>
          <cell r="O672" t="str">
            <v xml:space="preserve">1.4401/1.4404 TP316/316L </v>
          </cell>
          <cell r="P672" t="str">
            <v>316L</v>
          </cell>
          <cell r="Q672">
            <v>2.3860000000000001</v>
          </cell>
          <cell r="R672">
            <v>2.3980000000000001</v>
          </cell>
          <cell r="S672">
            <v>2.7E-2</v>
          </cell>
          <cell r="T672">
            <v>2.87E-2</v>
          </cell>
          <cell r="V672">
            <v>2.87E-2</v>
          </cell>
          <cell r="X672">
            <v>1808</v>
          </cell>
          <cell r="Y672">
            <v>1</v>
          </cell>
          <cell r="Z672">
            <v>757.75356244761099</v>
          </cell>
          <cell r="AA672" t="str">
            <v>2.386X0.027-316L</v>
          </cell>
          <cell r="AB672" t="str">
            <v>WAAF006060070B300086</v>
          </cell>
          <cell r="AC672" t="str">
            <v>D2006138</v>
          </cell>
          <cell r="AD672">
            <v>529014</v>
          </cell>
          <cell r="AE672">
            <v>2.9000000000000001E-2</v>
          </cell>
          <cell r="AF672">
            <v>1.47</v>
          </cell>
          <cell r="AG672">
            <v>3.2000000000000001E-2</v>
          </cell>
          <cell r="AH672">
            <v>1E-3</v>
          </cell>
          <cell r="AI672">
            <v>0.39</v>
          </cell>
          <cell r="AJ672">
            <v>16.600000000000001</v>
          </cell>
          <cell r="AK672">
            <v>10</v>
          </cell>
          <cell r="AL672">
            <v>3.7999999999999999E-2</v>
          </cell>
          <cell r="AM672">
            <v>2.02</v>
          </cell>
          <cell r="AN672">
            <v>0</v>
          </cell>
          <cell r="AO672">
            <v>0</v>
          </cell>
          <cell r="AP672">
            <v>0</v>
          </cell>
          <cell r="AQ672">
            <v>0</v>
          </cell>
          <cell r="AR672">
            <v>0.54</v>
          </cell>
          <cell r="AS672">
            <v>0</v>
          </cell>
          <cell r="AT672">
            <v>290</v>
          </cell>
          <cell r="AU672">
            <v>0</v>
          </cell>
          <cell r="AV672">
            <v>634</v>
          </cell>
          <cell r="AW672">
            <v>53</v>
          </cell>
          <cell r="AX672">
            <v>77</v>
          </cell>
          <cell r="AY672">
            <v>141</v>
          </cell>
          <cell r="AZ672">
            <v>1.59</v>
          </cell>
          <cell r="BA672" t="str">
            <v>D2006138</v>
          </cell>
          <cell r="BB672" t="str">
            <v>CONFORM</v>
          </cell>
          <cell r="BC672" t="str">
            <v>CONFORM</v>
          </cell>
          <cell r="BD672" t="str">
            <v>CONFORM</v>
          </cell>
          <cell r="BE672" t="str">
            <v>CONFORM</v>
          </cell>
          <cell r="BF672" t="str">
            <v>CONFORM</v>
          </cell>
        </row>
        <row r="673">
          <cell r="A673">
            <v>44011</v>
          </cell>
          <cell r="B673" t="str">
            <v>D2006138-13</v>
          </cell>
          <cell r="C673" t="str">
            <v>045/20</v>
          </cell>
          <cell r="D673">
            <v>2</v>
          </cell>
          <cell r="E673">
            <v>44011</v>
          </cell>
          <cell r="F673" t="str">
            <v>DC</v>
          </cell>
          <cell r="G673" t="str">
            <v>On Time</v>
          </cell>
          <cell r="H673" t="str">
            <v>0008511621</v>
          </cell>
          <cell r="I673">
            <v>44006</v>
          </cell>
          <cell r="J673" t="str">
            <v>OUTO</v>
          </cell>
          <cell r="K673" t="str">
            <v>D2006138</v>
          </cell>
          <cell r="L673">
            <v>13</v>
          </cell>
          <cell r="M673">
            <v>889865</v>
          </cell>
          <cell r="N673">
            <v>529014</v>
          </cell>
          <cell r="O673" t="str">
            <v xml:space="preserve">1.4401/1.4404 TP316/316L </v>
          </cell>
          <cell r="P673" t="str">
            <v>316L</v>
          </cell>
          <cell r="Q673">
            <v>2.3860000000000001</v>
          </cell>
          <cell r="R673">
            <v>2.3929999999999998</v>
          </cell>
          <cell r="S673">
            <v>2.7E-2</v>
          </cell>
          <cell r="T673">
            <v>2.87E-2</v>
          </cell>
          <cell r="V673">
            <v>2.87E-2</v>
          </cell>
          <cell r="X673">
            <v>1808</v>
          </cell>
          <cell r="Y673">
            <v>1</v>
          </cell>
          <cell r="Z673">
            <v>757.75356244761099</v>
          </cell>
          <cell r="AA673" t="str">
            <v>2.386X0.027-316L</v>
          </cell>
          <cell r="AB673" t="str">
            <v>WAAF006060070B300086</v>
          </cell>
          <cell r="AC673" t="str">
            <v>D2006138</v>
          </cell>
          <cell r="AD673">
            <v>529014</v>
          </cell>
          <cell r="AE673">
            <v>2.9000000000000001E-2</v>
          </cell>
          <cell r="AF673">
            <v>1.47</v>
          </cell>
          <cell r="AG673">
            <v>3.2000000000000001E-2</v>
          </cell>
          <cell r="AH673">
            <v>1E-3</v>
          </cell>
          <cell r="AI673">
            <v>0.39</v>
          </cell>
          <cell r="AJ673">
            <v>16.600000000000001</v>
          </cell>
          <cell r="AK673">
            <v>10</v>
          </cell>
          <cell r="AL673">
            <v>3.7999999999999999E-2</v>
          </cell>
          <cell r="AM673">
            <v>2.02</v>
          </cell>
          <cell r="AN673">
            <v>0</v>
          </cell>
          <cell r="AO673">
            <v>0</v>
          </cell>
          <cell r="AP673">
            <v>0</v>
          </cell>
          <cell r="AQ673">
            <v>0</v>
          </cell>
          <cell r="AR673">
            <v>0.54</v>
          </cell>
          <cell r="AS673">
            <v>0</v>
          </cell>
          <cell r="AT673">
            <v>290</v>
          </cell>
          <cell r="AU673">
            <v>0</v>
          </cell>
          <cell r="AV673">
            <v>634</v>
          </cell>
          <cell r="AW673">
            <v>53</v>
          </cell>
          <cell r="AX673">
            <v>77</v>
          </cell>
          <cell r="AY673">
            <v>141</v>
          </cell>
          <cell r="AZ673">
            <v>1.59</v>
          </cell>
          <cell r="BA673" t="str">
            <v>D2006138</v>
          </cell>
          <cell r="BB673" t="str">
            <v>CONFORM</v>
          </cell>
          <cell r="BC673" t="str">
            <v>CONFORM</v>
          </cell>
          <cell r="BD673" t="str">
            <v>CONFORM</v>
          </cell>
          <cell r="BE673" t="str">
            <v>CONFORM</v>
          </cell>
          <cell r="BF673" t="str">
            <v>CONFORM</v>
          </cell>
        </row>
        <row r="674">
          <cell r="A674">
            <v>44011</v>
          </cell>
          <cell r="B674" t="str">
            <v>D2006138-14</v>
          </cell>
          <cell r="C674" t="str">
            <v>045/20</v>
          </cell>
          <cell r="D674">
            <v>2</v>
          </cell>
          <cell r="E674">
            <v>44011</v>
          </cell>
          <cell r="F674" t="str">
            <v>DC</v>
          </cell>
          <cell r="G674" t="str">
            <v>On Time</v>
          </cell>
          <cell r="H674" t="str">
            <v>0008511621</v>
          </cell>
          <cell r="I674">
            <v>44006</v>
          </cell>
          <cell r="J674" t="str">
            <v>OUTO</v>
          </cell>
          <cell r="K674" t="str">
            <v>D2006138</v>
          </cell>
          <cell r="L674">
            <v>14</v>
          </cell>
          <cell r="M674">
            <v>889865</v>
          </cell>
          <cell r="N674">
            <v>529014</v>
          </cell>
          <cell r="O674" t="str">
            <v xml:space="preserve">1.4401/1.4404 TP316/316L </v>
          </cell>
          <cell r="P674" t="str">
            <v>316L</v>
          </cell>
          <cell r="Q674">
            <v>2.3860000000000001</v>
          </cell>
          <cell r="R674">
            <v>2.3849999999999998</v>
          </cell>
          <cell r="S674">
            <v>2.7E-2</v>
          </cell>
          <cell r="T674">
            <v>2.8799999999999999E-2</v>
          </cell>
          <cell r="V674">
            <v>2.8799999999999999E-2</v>
          </cell>
          <cell r="X674">
            <v>1808</v>
          </cell>
          <cell r="Y674">
            <v>1</v>
          </cell>
          <cell r="Z674">
            <v>757.75356244761099</v>
          </cell>
          <cell r="AA674" t="str">
            <v>2.386X0.027-316L</v>
          </cell>
          <cell r="AB674" t="str">
            <v>WAAF006060070B300086</v>
          </cell>
          <cell r="AC674" t="str">
            <v>D2006138</v>
          </cell>
          <cell r="AD674">
            <v>529014</v>
          </cell>
          <cell r="AE674">
            <v>2.9000000000000001E-2</v>
          </cell>
          <cell r="AF674">
            <v>1.47</v>
          </cell>
          <cell r="AG674">
            <v>3.2000000000000001E-2</v>
          </cell>
          <cell r="AH674">
            <v>1E-3</v>
          </cell>
          <cell r="AI674">
            <v>0.39</v>
          </cell>
          <cell r="AJ674">
            <v>16.600000000000001</v>
          </cell>
          <cell r="AK674">
            <v>10</v>
          </cell>
          <cell r="AL674">
            <v>3.7999999999999999E-2</v>
          </cell>
          <cell r="AM674">
            <v>2.02</v>
          </cell>
          <cell r="AN674">
            <v>0</v>
          </cell>
          <cell r="AO674">
            <v>0</v>
          </cell>
          <cell r="AP674">
            <v>0</v>
          </cell>
          <cell r="AQ674">
            <v>0</v>
          </cell>
          <cell r="AR674">
            <v>0.54</v>
          </cell>
          <cell r="AS674">
            <v>0</v>
          </cell>
          <cell r="AT674">
            <v>290</v>
          </cell>
          <cell r="AU674">
            <v>0</v>
          </cell>
          <cell r="AV674">
            <v>634</v>
          </cell>
          <cell r="AW674">
            <v>53</v>
          </cell>
          <cell r="AX674">
            <v>77</v>
          </cell>
          <cell r="AY674">
            <v>141</v>
          </cell>
          <cell r="AZ674">
            <v>1.59</v>
          </cell>
          <cell r="BA674" t="str">
            <v>D2006138</v>
          </cell>
          <cell r="BB674" t="str">
            <v>CONFORM</v>
          </cell>
          <cell r="BC674" t="str">
            <v>CONFORM</v>
          </cell>
          <cell r="BD674" t="str">
            <v>CONFORM</v>
          </cell>
          <cell r="BE674" t="str">
            <v>CONFORM</v>
          </cell>
          <cell r="BF674" t="str">
            <v>CONFORM</v>
          </cell>
        </row>
        <row r="675">
          <cell r="A675">
            <v>44011</v>
          </cell>
          <cell r="B675" t="str">
            <v>D2006138-15</v>
          </cell>
          <cell r="C675" t="str">
            <v>045/20</v>
          </cell>
          <cell r="D675">
            <v>2</v>
          </cell>
          <cell r="E675">
            <v>44011</v>
          </cell>
          <cell r="F675" t="str">
            <v>DC</v>
          </cell>
          <cell r="G675" t="str">
            <v>On Time</v>
          </cell>
          <cell r="H675" t="str">
            <v>0008511621</v>
          </cell>
          <cell r="I675">
            <v>44006</v>
          </cell>
          <cell r="J675" t="str">
            <v>OUTO</v>
          </cell>
          <cell r="K675" t="str">
            <v>D2006138</v>
          </cell>
          <cell r="L675">
            <v>15</v>
          </cell>
          <cell r="M675">
            <v>889865</v>
          </cell>
          <cell r="N675">
            <v>529014</v>
          </cell>
          <cell r="O675" t="str">
            <v xml:space="preserve">1.4401/1.4404 TP316/316L </v>
          </cell>
          <cell r="P675" t="str">
            <v>316L</v>
          </cell>
          <cell r="Q675">
            <v>2.3860000000000001</v>
          </cell>
          <cell r="R675">
            <v>2.39</v>
          </cell>
          <cell r="S675">
            <v>2.7E-2</v>
          </cell>
          <cell r="T675">
            <v>2.8649999999999998E-2</v>
          </cell>
          <cell r="V675">
            <v>2.8649999999999998E-2</v>
          </cell>
          <cell r="X675">
            <v>1808</v>
          </cell>
          <cell r="Y675">
            <v>1</v>
          </cell>
          <cell r="Z675">
            <v>757.75356244761099</v>
          </cell>
          <cell r="AA675" t="str">
            <v>2.386X0.027-316L</v>
          </cell>
          <cell r="AB675" t="str">
            <v>WAAF006060070B300086</v>
          </cell>
          <cell r="AC675" t="str">
            <v>D2006138</v>
          </cell>
          <cell r="AD675">
            <v>529014</v>
          </cell>
          <cell r="AE675">
            <v>2.9000000000000001E-2</v>
          </cell>
          <cell r="AF675">
            <v>1.47</v>
          </cell>
          <cell r="AG675">
            <v>3.2000000000000001E-2</v>
          </cell>
          <cell r="AH675">
            <v>1E-3</v>
          </cell>
          <cell r="AI675">
            <v>0.39</v>
          </cell>
          <cell r="AJ675">
            <v>16.600000000000001</v>
          </cell>
          <cell r="AK675">
            <v>10</v>
          </cell>
          <cell r="AL675">
            <v>3.7999999999999999E-2</v>
          </cell>
          <cell r="AM675">
            <v>2.02</v>
          </cell>
          <cell r="AN675">
            <v>0</v>
          </cell>
          <cell r="AO675">
            <v>0</v>
          </cell>
          <cell r="AP675">
            <v>0</v>
          </cell>
          <cell r="AQ675">
            <v>0</v>
          </cell>
          <cell r="AR675">
            <v>0.54</v>
          </cell>
          <cell r="AS675">
            <v>0</v>
          </cell>
          <cell r="AT675">
            <v>290</v>
          </cell>
          <cell r="AU675">
            <v>0</v>
          </cell>
          <cell r="AV675">
            <v>634</v>
          </cell>
          <cell r="AW675">
            <v>53</v>
          </cell>
          <cell r="AX675">
            <v>77</v>
          </cell>
          <cell r="AY675">
            <v>141</v>
          </cell>
          <cell r="AZ675">
            <v>1.59</v>
          </cell>
          <cell r="BA675" t="str">
            <v>D2006138</v>
          </cell>
          <cell r="BB675" t="str">
            <v>CONFORM</v>
          </cell>
          <cell r="BC675" t="str">
            <v>CONFORM</v>
          </cell>
          <cell r="BD675" t="str">
            <v>CONFORM</v>
          </cell>
          <cell r="BE675" t="str">
            <v>CONFORM</v>
          </cell>
          <cell r="BF675" t="str">
            <v>CONFORM</v>
          </cell>
        </row>
        <row r="676">
          <cell r="A676">
            <v>44011</v>
          </cell>
          <cell r="B676" t="str">
            <v>D2006139-1</v>
          </cell>
          <cell r="C676" t="str">
            <v>055/20</v>
          </cell>
          <cell r="D676">
            <v>1</v>
          </cell>
          <cell r="E676">
            <v>44011</v>
          </cell>
          <cell r="F676" t="str">
            <v>DC</v>
          </cell>
          <cell r="G676" t="str">
            <v>On Time</v>
          </cell>
          <cell r="H676" t="str">
            <v>0008512016</v>
          </cell>
          <cell r="I676">
            <v>44009</v>
          </cell>
          <cell r="J676" t="str">
            <v>OUTO</v>
          </cell>
          <cell r="K676" t="str">
            <v>D2006139</v>
          </cell>
          <cell r="L676">
            <v>1</v>
          </cell>
          <cell r="M676">
            <v>809740</v>
          </cell>
          <cell r="N676">
            <v>529441</v>
          </cell>
          <cell r="O676" t="str">
            <v xml:space="preserve">1.4306 TP304L </v>
          </cell>
          <cell r="P676" t="str">
            <v>304L</v>
          </cell>
          <cell r="Q676">
            <v>3.1539999999999999</v>
          </cell>
          <cell r="S676">
            <v>3.5000000000000003E-2</v>
          </cell>
          <cell r="V676" t="str">
            <v/>
          </cell>
          <cell r="X676">
            <v>1587</v>
          </cell>
          <cell r="Y676">
            <v>1</v>
          </cell>
          <cell r="Z676">
            <v>503.17057704502218</v>
          </cell>
          <cell r="AA676" t="str">
            <v>3.154X0.035-304L</v>
          </cell>
          <cell r="AB676" t="str">
            <v>WAAC008010090B300097</v>
          </cell>
          <cell r="AC676" t="str">
            <v>D2006139</v>
          </cell>
          <cell r="AD676">
            <v>529441</v>
          </cell>
          <cell r="AE676">
            <v>2.1000000000000001E-2</v>
          </cell>
          <cell r="AF676">
            <v>1.33</v>
          </cell>
          <cell r="AG676">
            <v>3.1E-2</v>
          </cell>
          <cell r="AH676">
            <v>1E-3</v>
          </cell>
          <cell r="AI676">
            <v>0.35</v>
          </cell>
          <cell r="AJ676">
            <v>18.2</v>
          </cell>
          <cell r="AK676">
            <v>8</v>
          </cell>
          <cell r="AL676">
            <v>7.1999999999999995E-2</v>
          </cell>
          <cell r="AM676">
            <v>0.34</v>
          </cell>
          <cell r="AN676">
            <v>0</v>
          </cell>
          <cell r="AO676">
            <v>0</v>
          </cell>
          <cell r="AP676">
            <v>0</v>
          </cell>
          <cell r="AQ676">
            <v>0</v>
          </cell>
          <cell r="AR676">
            <v>0.53</v>
          </cell>
          <cell r="AS676">
            <v>0</v>
          </cell>
          <cell r="AT676">
            <v>281</v>
          </cell>
          <cell r="AU676">
            <v>0</v>
          </cell>
          <cell r="AV676">
            <v>624</v>
          </cell>
          <cell r="AW676">
            <v>58</v>
          </cell>
          <cell r="AX676">
            <v>79</v>
          </cell>
          <cell r="AY676">
            <v>147</v>
          </cell>
          <cell r="AZ676">
            <v>1.21</v>
          </cell>
          <cell r="BA676" t="str">
            <v>D2006139</v>
          </cell>
          <cell r="BB676" t="str">
            <v>CONFORM</v>
          </cell>
          <cell r="BC676" t="str">
            <v>CONFORM</v>
          </cell>
          <cell r="BD676" t="str">
            <v>CONFORM</v>
          </cell>
          <cell r="BE676" t="str">
            <v>CONFORM</v>
          </cell>
          <cell r="BF676" t="str">
            <v>CONFORM</v>
          </cell>
        </row>
        <row r="677">
          <cell r="A677">
            <v>44011</v>
          </cell>
          <cell r="B677" t="str">
            <v>D2006139-2</v>
          </cell>
          <cell r="C677" t="str">
            <v>055/20</v>
          </cell>
          <cell r="D677">
            <v>1</v>
          </cell>
          <cell r="E677">
            <v>44011</v>
          </cell>
          <cell r="F677" t="str">
            <v>DC</v>
          </cell>
          <cell r="G677" t="str">
            <v>On Time</v>
          </cell>
          <cell r="H677" t="str">
            <v>0008512016</v>
          </cell>
          <cell r="I677">
            <v>44009</v>
          </cell>
          <cell r="J677" t="str">
            <v>OUTO</v>
          </cell>
          <cell r="K677" t="str">
            <v>D2006139</v>
          </cell>
          <cell r="L677">
            <v>2</v>
          </cell>
          <cell r="M677">
            <v>809740</v>
          </cell>
          <cell r="N677">
            <v>529441</v>
          </cell>
          <cell r="O677" t="str">
            <v xml:space="preserve">1.4306 TP304L </v>
          </cell>
          <cell r="P677" t="str">
            <v>304L</v>
          </cell>
          <cell r="Q677">
            <v>3.1539999999999999</v>
          </cell>
          <cell r="S677">
            <v>3.5000000000000003E-2</v>
          </cell>
          <cell r="V677" t="str">
            <v/>
          </cell>
          <cell r="X677">
            <v>1587</v>
          </cell>
          <cell r="Y677">
            <v>1</v>
          </cell>
          <cell r="Z677">
            <v>503.17057704502218</v>
          </cell>
          <cell r="AA677" t="str">
            <v>3.154X0.035-304L</v>
          </cell>
          <cell r="AB677" t="str">
            <v>WAAC008010090B300097</v>
          </cell>
          <cell r="AC677" t="str">
            <v>D2006139</v>
          </cell>
          <cell r="AD677">
            <v>529441</v>
          </cell>
          <cell r="AE677">
            <v>2.1000000000000001E-2</v>
          </cell>
          <cell r="AF677">
            <v>1.33</v>
          </cell>
          <cell r="AG677">
            <v>3.1E-2</v>
          </cell>
          <cell r="AH677">
            <v>1E-3</v>
          </cell>
          <cell r="AI677">
            <v>0.35</v>
          </cell>
          <cell r="AJ677">
            <v>18.2</v>
          </cell>
          <cell r="AK677">
            <v>8</v>
          </cell>
          <cell r="AL677">
            <v>7.1999999999999995E-2</v>
          </cell>
          <cell r="AM677">
            <v>0.34</v>
          </cell>
          <cell r="AN677">
            <v>0</v>
          </cell>
          <cell r="AO677">
            <v>0</v>
          </cell>
          <cell r="AP677">
            <v>0</v>
          </cell>
          <cell r="AQ677">
            <v>0</v>
          </cell>
          <cell r="AR677">
            <v>0.53</v>
          </cell>
          <cell r="AS677">
            <v>0</v>
          </cell>
          <cell r="AT677">
            <v>281</v>
          </cell>
          <cell r="AU677">
            <v>0</v>
          </cell>
          <cell r="AV677">
            <v>624</v>
          </cell>
          <cell r="AW677">
            <v>58</v>
          </cell>
          <cell r="AX677">
            <v>79</v>
          </cell>
          <cell r="AY677">
            <v>147</v>
          </cell>
          <cell r="AZ677">
            <v>1.21</v>
          </cell>
          <cell r="BA677" t="str">
            <v>D2006139</v>
          </cell>
          <cell r="BB677" t="str">
            <v>CONFORM</v>
          </cell>
          <cell r="BC677" t="str">
            <v>CONFORM</v>
          </cell>
          <cell r="BD677" t="str">
            <v>CONFORM</v>
          </cell>
          <cell r="BE677" t="str">
            <v>CONFORM</v>
          </cell>
          <cell r="BF677" t="str">
            <v>CONFORM</v>
          </cell>
        </row>
        <row r="678">
          <cell r="A678">
            <v>44011</v>
          </cell>
          <cell r="B678" t="str">
            <v>D2006139-3</v>
          </cell>
          <cell r="C678" t="str">
            <v>055/20</v>
          </cell>
          <cell r="D678">
            <v>1</v>
          </cell>
          <cell r="E678">
            <v>44011</v>
          </cell>
          <cell r="F678" t="str">
            <v>DC</v>
          </cell>
          <cell r="G678" t="str">
            <v>On Time</v>
          </cell>
          <cell r="H678" t="str">
            <v>0008512016</v>
          </cell>
          <cell r="I678">
            <v>44009</v>
          </cell>
          <cell r="J678" t="str">
            <v>OUTO</v>
          </cell>
          <cell r="K678" t="str">
            <v>D2006139</v>
          </cell>
          <cell r="L678">
            <v>3</v>
          </cell>
          <cell r="M678">
            <v>809740</v>
          </cell>
          <cell r="N678">
            <v>529441</v>
          </cell>
          <cell r="O678" t="str">
            <v xml:space="preserve">1.4306 TP304L </v>
          </cell>
          <cell r="P678" t="str">
            <v>304L</v>
          </cell>
          <cell r="Q678">
            <v>3.1539999999999999</v>
          </cell>
          <cell r="S678">
            <v>3.5000000000000003E-2</v>
          </cell>
          <cell r="V678" t="str">
            <v/>
          </cell>
          <cell r="X678">
            <v>1587</v>
          </cell>
          <cell r="Y678">
            <v>1</v>
          </cell>
          <cell r="Z678">
            <v>503.17057704502218</v>
          </cell>
          <cell r="AA678" t="str">
            <v>3.154X0.035-304L</v>
          </cell>
          <cell r="AB678" t="str">
            <v>WAAC008010090B300097</v>
          </cell>
          <cell r="AC678" t="str">
            <v>D2006139</v>
          </cell>
          <cell r="AD678">
            <v>529441</v>
          </cell>
          <cell r="AE678">
            <v>2.1000000000000001E-2</v>
          </cell>
          <cell r="AF678">
            <v>1.33</v>
          </cell>
          <cell r="AG678">
            <v>3.1E-2</v>
          </cell>
          <cell r="AH678">
            <v>1E-3</v>
          </cell>
          <cell r="AI678">
            <v>0.35</v>
          </cell>
          <cell r="AJ678">
            <v>18.2</v>
          </cell>
          <cell r="AK678">
            <v>8</v>
          </cell>
          <cell r="AL678">
            <v>7.1999999999999995E-2</v>
          </cell>
          <cell r="AM678">
            <v>0.34</v>
          </cell>
          <cell r="AN678">
            <v>0</v>
          </cell>
          <cell r="AO678">
            <v>0</v>
          </cell>
          <cell r="AP678">
            <v>0</v>
          </cell>
          <cell r="AQ678">
            <v>0</v>
          </cell>
          <cell r="AR678">
            <v>0.53</v>
          </cell>
          <cell r="AS678">
            <v>0</v>
          </cell>
          <cell r="AT678">
            <v>281</v>
          </cell>
          <cell r="AU678">
            <v>0</v>
          </cell>
          <cell r="AV678">
            <v>624</v>
          </cell>
          <cell r="AW678">
            <v>58</v>
          </cell>
          <cell r="AX678">
            <v>79</v>
          </cell>
          <cell r="AY678">
            <v>147</v>
          </cell>
          <cell r="AZ678">
            <v>1.21</v>
          </cell>
          <cell r="BA678" t="str">
            <v>D2006139</v>
          </cell>
          <cell r="BB678" t="str">
            <v>CONFORM</v>
          </cell>
          <cell r="BC678" t="str">
            <v>CONFORM</v>
          </cell>
          <cell r="BD678" t="str">
            <v>CONFORM</v>
          </cell>
          <cell r="BE678" t="str">
            <v>CONFORM</v>
          </cell>
          <cell r="BF678" t="str">
            <v>CONFORM</v>
          </cell>
        </row>
        <row r="679">
          <cell r="A679">
            <v>44011</v>
          </cell>
          <cell r="B679" t="str">
            <v>D2006139-4</v>
          </cell>
          <cell r="C679" t="str">
            <v>055/20</v>
          </cell>
          <cell r="D679">
            <v>1</v>
          </cell>
          <cell r="E679">
            <v>44011</v>
          </cell>
          <cell r="F679" t="str">
            <v>DC</v>
          </cell>
          <cell r="G679" t="str">
            <v>On Time</v>
          </cell>
          <cell r="H679" t="str">
            <v>0008512016</v>
          </cell>
          <cell r="I679">
            <v>44009</v>
          </cell>
          <cell r="J679" t="str">
            <v>OUTO</v>
          </cell>
          <cell r="K679" t="str">
            <v>D2006139</v>
          </cell>
          <cell r="L679">
            <v>4</v>
          </cell>
          <cell r="M679">
            <v>809740</v>
          </cell>
          <cell r="N679">
            <v>529441</v>
          </cell>
          <cell r="O679" t="str">
            <v xml:space="preserve">1.4306 TP304L </v>
          </cell>
          <cell r="P679" t="str">
            <v>304L</v>
          </cell>
          <cell r="Q679">
            <v>3.1539999999999999</v>
          </cell>
          <cell r="S679">
            <v>3.5000000000000003E-2</v>
          </cell>
          <cell r="V679" t="str">
            <v/>
          </cell>
          <cell r="X679">
            <v>1587</v>
          </cell>
          <cell r="Y679">
            <v>1</v>
          </cell>
          <cell r="Z679">
            <v>503.17057704502218</v>
          </cell>
          <cell r="AA679" t="str">
            <v>3.154X0.035-304L</v>
          </cell>
          <cell r="AB679" t="str">
            <v>WAAC008010090B300097</v>
          </cell>
          <cell r="AC679" t="str">
            <v>D2006139</v>
          </cell>
          <cell r="AD679">
            <v>529441</v>
          </cell>
          <cell r="AE679">
            <v>2.1000000000000001E-2</v>
          </cell>
          <cell r="AF679">
            <v>1.33</v>
          </cell>
          <cell r="AG679">
            <v>3.1E-2</v>
          </cell>
          <cell r="AH679">
            <v>1E-3</v>
          </cell>
          <cell r="AI679">
            <v>0.35</v>
          </cell>
          <cell r="AJ679">
            <v>18.2</v>
          </cell>
          <cell r="AK679">
            <v>8</v>
          </cell>
          <cell r="AL679">
            <v>7.1999999999999995E-2</v>
          </cell>
          <cell r="AM679">
            <v>0.34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  <cell r="AR679">
            <v>0.53</v>
          </cell>
          <cell r="AS679">
            <v>0</v>
          </cell>
          <cell r="AT679">
            <v>281</v>
          </cell>
          <cell r="AU679">
            <v>0</v>
          </cell>
          <cell r="AV679">
            <v>624</v>
          </cell>
          <cell r="AW679">
            <v>58</v>
          </cell>
          <cell r="AX679">
            <v>79</v>
          </cell>
          <cell r="AY679">
            <v>147</v>
          </cell>
          <cell r="AZ679">
            <v>1.21</v>
          </cell>
          <cell r="BA679" t="str">
            <v>D2006139</v>
          </cell>
          <cell r="BB679" t="str">
            <v>CONFORM</v>
          </cell>
          <cell r="BC679" t="str">
            <v>CONFORM</v>
          </cell>
          <cell r="BD679" t="str">
            <v>CONFORM</v>
          </cell>
          <cell r="BE679" t="str">
            <v>CONFORM</v>
          </cell>
          <cell r="BF679" t="str">
            <v>CONFORM</v>
          </cell>
        </row>
        <row r="680">
          <cell r="A680">
            <v>44011</v>
          </cell>
          <cell r="B680" t="str">
            <v>D2006139-5</v>
          </cell>
          <cell r="C680" t="str">
            <v>055/20</v>
          </cell>
          <cell r="D680">
            <v>1</v>
          </cell>
          <cell r="E680">
            <v>44011</v>
          </cell>
          <cell r="F680" t="str">
            <v>DC</v>
          </cell>
          <cell r="G680" t="str">
            <v>On Time</v>
          </cell>
          <cell r="H680" t="str">
            <v>0008512016</v>
          </cell>
          <cell r="I680">
            <v>44009</v>
          </cell>
          <cell r="J680" t="str">
            <v>OUTO</v>
          </cell>
          <cell r="K680" t="str">
            <v>D2006139</v>
          </cell>
          <cell r="L680">
            <v>5</v>
          </cell>
          <cell r="M680">
            <v>809740</v>
          </cell>
          <cell r="N680">
            <v>529441</v>
          </cell>
          <cell r="O680" t="str">
            <v xml:space="preserve">1.4306 TP304L </v>
          </cell>
          <cell r="P680" t="str">
            <v>304L</v>
          </cell>
          <cell r="Q680">
            <v>3.1539999999999999</v>
          </cell>
          <cell r="S680">
            <v>3.5000000000000003E-2</v>
          </cell>
          <cell r="V680" t="str">
            <v/>
          </cell>
          <cell r="X680">
            <v>1587</v>
          </cell>
          <cell r="Y680">
            <v>1</v>
          </cell>
          <cell r="Z680">
            <v>503.17057704502218</v>
          </cell>
          <cell r="AA680" t="str">
            <v>3.154X0.035-304L</v>
          </cell>
          <cell r="AB680" t="str">
            <v>WAAC008010090B300097</v>
          </cell>
          <cell r="AC680" t="str">
            <v>D2006139</v>
          </cell>
          <cell r="AD680">
            <v>529441</v>
          </cell>
          <cell r="AE680">
            <v>2.1000000000000001E-2</v>
          </cell>
          <cell r="AF680">
            <v>1.33</v>
          </cell>
          <cell r="AG680">
            <v>3.1E-2</v>
          </cell>
          <cell r="AH680">
            <v>1E-3</v>
          </cell>
          <cell r="AI680">
            <v>0.35</v>
          </cell>
          <cell r="AJ680">
            <v>18.2</v>
          </cell>
          <cell r="AK680">
            <v>8</v>
          </cell>
          <cell r="AL680">
            <v>7.1999999999999995E-2</v>
          </cell>
          <cell r="AM680">
            <v>0.34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  <cell r="AR680">
            <v>0.53</v>
          </cell>
          <cell r="AS680">
            <v>0</v>
          </cell>
          <cell r="AT680">
            <v>281</v>
          </cell>
          <cell r="AU680">
            <v>0</v>
          </cell>
          <cell r="AV680">
            <v>624</v>
          </cell>
          <cell r="AW680">
            <v>58</v>
          </cell>
          <cell r="AX680">
            <v>79</v>
          </cell>
          <cell r="AY680">
            <v>147</v>
          </cell>
          <cell r="AZ680">
            <v>1.21</v>
          </cell>
          <cell r="BA680" t="str">
            <v>D2006139</v>
          </cell>
          <cell r="BB680" t="str">
            <v>CONFORM</v>
          </cell>
          <cell r="BC680" t="str">
            <v>CONFORM</v>
          </cell>
          <cell r="BD680" t="str">
            <v>CONFORM</v>
          </cell>
          <cell r="BE680" t="str">
            <v>CONFORM</v>
          </cell>
          <cell r="BF680" t="str">
            <v>CONFORM</v>
          </cell>
        </row>
        <row r="681">
          <cell r="A681">
            <v>44011</v>
          </cell>
          <cell r="B681" t="str">
            <v>D2006139-6</v>
          </cell>
          <cell r="C681" t="str">
            <v>055/20</v>
          </cell>
          <cell r="D681">
            <v>1</v>
          </cell>
          <cell r="E681">
            <v>44011</v>
          </cell>
          <cell r="F681" t="str">
            <v>DC</v>
          </cell>
          <cell r="G681" t="str">
            <v>On Time</v>
          </cell>
          <cell r="H681" t="str">
            <v>0008512016</v>
          </cell>
          <cell r="I681">
            <v>44009</v>
          </cell>
          <cell r="J681" t="str">
            <v>OUTO</v>
          </cell>
          <cell r="K681" t="str">
            <v>D2006139</v>
          </cell>
          <cell r="L681">
            <v>6</v>
          </cell>
          <cell r="M681">
            <v>809740</v>
          </cell>
          <cell r="N681">
            <v>529441</v>
          </cell>
          <cell r="O681" t="str">
            <v xml:space="preserve">1.4306 TP304L </v>
          </cell>
          <cell r="P681" t="str">
            <v>304L</v>
          </cell>
          <cell r="Q681">
            <v>3.1539999999999999</v>
          </cell>
          <cell r="S681">
            <v>3.5000000000000003E-2</v>
          </cell>
          <cell r="V681" t="str">
            <v/>
          </cell>
          <cell r="X681">
            <v>1587</v>
          </cell>
          <cell r="Y681">
            <v>1</v>
          </cell>
          <cell r="Z681">
            <v>503.17057704502218</v>
          </cell>
          <cell r="AA681" t="str">
            <v>3.154X0.035-304L</v>
          </cell>
          <cell r="AB681" t="str">
            <v>WAAC008010090B300097</v>
          </cell>
          <cell r="AC681" t="str">
            <v>D2006139</v>
          </cell>
          <cell r="AD681">
            <v>529441</v>
          </cell>
          <cell r="AE681">
            <v>2.1000000000000001E-2</v>
          </cell>
          <cell r="AF681">
            <v>1.33</v>
          </cell>
          <cell r="AG681">
            <v>3.1E-2</v>
          </cell>
          <cell r="AH681">
            <v>1E-3</v>
          </cell>
          <cell r="AI681">
            <v>0.35</v>
          </cell>
          <cell r="AJ681">
            <v>18.2</v>
          </cell>
          <cell r="AK681">
            <v>8</v>
          </cell>
          <cell r="AL681">
            <v>7.1999999999999995E-2</v>
          </cell>
          <cell r="AM681">
            <v>0.34</v>
          </cell>
          <cell r="AN681">
            <v>0</v>
          </cell>
          <cell r="AO681">
            <v>0</v>
          </cell>
          <cell r="AP681">
            <v>0</v>
          </cell>
          <cell r="AQ681">
            <v>0</v>
          </cell>
          <cell r="AR681">
            <v>0.53</v>
          </cell>
          <cell r="AS681">
            <v>0</v>
          </cell>
          <cell r="AT681">
            <v>281</v>
          </cell>
          <cell r="AU681">
            <v>0</v>
          </cell>
          <cell r="AV681">
            <v>624</v>
          </cell>
          <cell r="AW681">
            <v>58</v>
          </cell>
          <cell r="AX681">
            <v>79</v>
          </cell>
          <cell r="AY681">
            <v>147</v>
          </cell>
          <cell r="AZ681">
            <v>1.21</v>
          </cell>
          <cell r="BA681" t="str">
            <v>D2006139</v>
          </cell>
          <cell r="BB681" t="str">
            <v>CONFORM</v>
          </cell>
          <cell r="BC681" t="str">
            <v>CONFORM</v>
          </cell>
          <cell r="BD681" t="str">
            <v>CONFORM</v>
          </cell>
          <cell r="BE681" t="str">
            <v>CONFORM</v>
          </cell>
          <cell r="BF681" t="str">
            <v>CONFORM</v>
          </cell>
        </row>
        <row r="682">
          <cell r="A682">
            <v>44011</v>
          </cell>
          <cell r="B682" t="str">
            <v>D2006139-7</v>
          </cell>
          <cell r="C682" t="str">
            <v>055/20</v>
          </cell>
          <cell r="D682">
            <v>1</v>
          </cell>
          <cell r="E682">
            <v>44011</v>
          </cell>
          <cell r="F682" t="str">
            <v>DC</v>
          </cell>
          <cell r="G682" t="str">
            <v>On Time</v>
          </cell>
          <cell r="H682" t="str">
            <v>0008512016</v>
          </cell>
          <cell r="I682">
            <v>44009</v>
          </cell>
          <cell r="J682" t="str">
            <v>OUTO</v>
          </cell>
          <cell r="K682" t="str">
            <v>D2006139</v>
          </cell>
          <cell r="L682">
            <v>7</v>
          </cell>
          <cell r="M682">
            <v>809740</v>
          </cell>
          <cell r="N682">
            <v>529441</v>
          </cell>
          <cell r="O682" t="str">
            <v xml:space="preserve">1.4306 TP304L </v>
          </cell>
          <cell r="P682" t="str">
            <v>304L</v>
          </cell>
          <cell r="Q682">
            <v>3.1539999999999999</v>
          </cell>
          <cell r="S682">
            <v>3.5000000000000003E-2</v>
          </cell>
          <cell r="V682" t="str">
            <v/>
          </cell>
          <cell r="X682">
            <v>1587</v>
          </cell>
          <cell r="Y682">
            <v>1</v>
          </cell>
          <cell r="Z682">
            <v>503.17057704502218</v>
          </cell>
          <cell r="AA682" t="str">
            <v>3.154X0.035-304L</v>
          </cell>
          <cell r="AB682" t="str">
            <v>WAAC008010090B300097</v>
          </cell>
          <cell r="AC682" t="str">
            <v>D2006139</v>
          </cell>
          <cell r="AD682">
            <v>529441</v>
          </cell>
          <cell r="AE682">
            <v>2.1000000000000001E-2</v>
          </cell>
          <cell r="AF682">
            <v>1.33</v>
          </cell>
          <cell r="AG682">
            <v>3.1E-2</v>
          </cell>
          <cell r="AH682">
            <v>1E-3</v>
          </cell>
          <cell r="AI682">
            <v>0.35</v>
          </cell>
          <cell r="AJ682">
            <v>18.2</v>
          </cell>
          <cell r="AK682">
            <v>8</v>
          </cell>
          <cell r="AL682">
            <v>7.1999999999999995E-2</v>
          </cell>
          <cell r="AM682">
            <v>0.34</v>
          </cell>
          <cell r="AN682">
            <v>0</v>
          </cell>
          <cell r="AO682">
            <v>0</v>
          </cell>
          <cell r="AP682">
            <v>0</v>
          </cell>
          <cell r="AQ682">
            <v>0</v>
          </cell>
          <cell r="AR682">
            <v>0.53</v>
          </cell>
          <cell r="AS682">
            <v>0</v>
          </cell>
          <cell r="AT682">
            <v>281</v>
          </cell>
          <cell r="AU682">
            <v>0</v>
          </cell>
          <cell r="AV682">
            <v>624</v>
          </cell>
          <cell r="AW682">
            <v>58</v>
          </cell>
          <cell r="AX682">
            <v>79</v>
          </cell>
          <cell r="AY682">
            <v>147</v>
          </cell>
          <cell r="AZ682">
            <v>1.21</v>
          </cell>
          <cell r="BA682" t="str">
            <v>D2006139</v>
          </cell>
          <cell r="BB682" t="str">
            <v>CONFORM</v>
          </cell>
          <cell r="BC682" t="str">
            <v>CONFORM</v>
          </cell>
          <cell r="BD682" t="str">
            <v>CONFORM</v>
          </cell>
          <cell r="BE682" t="str">
            <v>CONFORM</v>
          </cell>
          <cell r="BF682" t="str">
            <v>CONFORM</v>
          </cell>
        </row>
        <row r="683">
          <cell r="A683">
            <v>44011</v>
          </cell>
          <cell r="B683" t="str">
            <v>D2006139-8</v>
          </cell>
          <cell r="C683" t="str">
            <v>055/20</v>
          </cell>
          <cell r="D683">
            <v>1</v>
          </cell>
          <cell r="E683">
            <v>44011</v>
          </cell>
          <cell r="F683" t="str">
            <v>DC</v>
          </cell>
          <cell r="G683" t="str">
            <v>On Time</v>
          </cell>
          <cell r="H683" t="str">
            <v>0008512016</v>
          </cell>
          <cell r="I683">
            <v>44009</v>
          </cell>
          <cell r="J683" t="str">
            <v>OUTO</v>
          </cell>
          <cell r="K683" t="str">
            <v>D2006139</v>
          </cell>
          <cell r="L683">
            <v>8</v>
          </cell>
          <cell r="M683">
            <v>809740</v>
          </cell>
          <cell r="N683">
            <v>529441</v>
          </cell>
          <cell r="O683" t="str">
            <v xml:space="preserve">1.4306 TP304L </v>
          </cell>
          <cell r="P683" t="str">
            <v>304L</v>
          </cell>
          <cell r="Q683">
            <v>3.1539999999999999</v>
          </cell>
          <cell r="S683">
            <v>3.5000000000000003E-2</v>
          </cell>
          <cell r="V683" t="str">
            <v/>
          </cell>
          <cell r="X683">
            <v>1587</v>
          </cell>
          <cell r="Y683">
            <v>1</v>
          </cell>
          <cell r="Z683">
            <v>503.17057704502218</v>
          </cell>
          <cell r="AA683" t="str">
            <v>3.154X0.035-304L</v>
          </cell>
          <cell r="AB683" t="str">
            <v>WAAC008010090B300097</v>
          </cell>
          <cell r="AC683" t="str">
            <v>D2006139</v>
          </cell>
          <cell r="AD683">
            <v>529441</v>
          </cell>
          <cell r="AE683">
            <v>2.1000000000000001E-2</v>
          </cell>
          <cell r="AF683">
            <v>1.33</v>
          </cell>
          <cell r="AG683">
            <v>3.1E-2</v>
          </cell>
          <cell r="AH683">
            <v>1E-3</v>
          </cell>
          <cell r="AI683">
            <v>0.35</v>
          </cell>
          <cell r="AJ683">
            <v>18.2</v>
          </cell>
          <cell r="AK683">
            <v>8</v>
          </cell>
          <cell r="AL683">
            <v>7.1999999999999995E-2</v>
          </cell>
          <cell r="AM683">
            <v>0.34</v>
          </cell>
          <cell r="AN683">
            <v>0</v>
          </cell>
          <cell r="AO683">
            <v>0</v>
          </cell>
          <cell r="AP683">
            <v>0</v>
          </cell>
          <cell r="AQ683">
            <v>0</v>
          </cell>
          <cell r="AR683">
            <v>0.53</v>
          </cell>
          <cell r="AS683">
            <v>0</v>
          </cell>
          <cell r="AT683">
            <v>281</v>
          </cell>
          <cell r="AU683">
            <v>0</v>
          </cell>
          <cell r="AV683">
            <v>624</v>
          </cell>
          <cell r="AW683">
            <v>58</v>
          </cell>
          <cell r="AX683">
            <v>79</v>
          </cell>
          <cell r="AY683">
            <v>147</v>
          </cell>
          <cell r="AZ683">
            <v>1.21</v>
          </cell>
          <cell r="BA683" t="str">
            <v>D2006139</v>
          </cell>
          <cell r="BB683" t="str">
            <v>CONFORM</v>
          </cell>
          <cell r="BC683" t="str">
            <v>CONFORM</v>
          </cell>
          <cell r="BD683" t="str">
            <v>CONFORM</v>
          </cell>
          <cell r="BE683" t="str">
            <v>CONFORM</v>
          </cell>
          <cell r="BF683" t="str">
            <v>CONFORM</v>
          </cell>
        </row>
        <row r="684">
          <cell r="A684">
            <v>44011</v>
          </cell>
          <cell r="B684" t="str">
            <v>D2006139-9</v>
          </cell>
          <cell r="C684" t="str">
            <v>055/20</v>
          </cell>
          <cell r="D684">
            <v>1</v>
          </cell>
          <cell r="E684">
            <v>44011</v>
          </cell>
          <cell r="F684" t="str">
            <v>DC</v>
          </cell>
          <cell r="G684" t="str">
            <v>On Time</v>
          </cell>
          <cell r="H684" t="str">
            <v>0008512016</v>
          </cell>
          <cell r="I684">
            <v>44009</v>
          </cell>
          <cell r="J684" t="str">
            <v>OUTO</v>
          </cell>
          <cell r="K684" t="str">
            <v>D2006139</v>
          </cell>
          <cell r="L684">
            <v>9</v>
          </cell>
          <cell r="M684">
            <v>809740</v>
          </cell>
          <cell r="N684">
            <v>529441</v>
          </cell>
          <cell r="O684" t="str">
            <v xml:space="preserve">1.4306 TP304L </v>
          </cell>
          <cell r="P684" t="str">
            <v>304L</v>
          </cell>
          <cell r="Q684">
            <v>3.1539999999999999</v>
          </cell>
          <cell r="S684">
            <v>3.5000000000000003E-2</v>
          </cell>
          <cell r="V684" t="str">
            <v/>
          </cell>
          <cell r="X684">
            <v>1587</v>
          </cell>
          <cell r="Y684">
            <v>1</v>
          </cell>
          <cell r="Z684">
            <v>503.17057704502218</v>
          </cell>
          <cell r="AA684" t="str">
            <v>3.154X0.035-304L</v>
          </cell>
          <cell r="AB684" t="str">
            <v>WAAC008010090B300097</v>
          </cell>
          <cell r="AC684" t="str">
            <v>D2006139</v>
          </cell>
          <cell r="AD684">
            <v>529441</v>
          </cell>
          <cell r="AE684">
            <v>2.1000000000000001E-2</v>
          </cell>
          <cell r="AF684">
            <v>1.33</v>
          </cell>
          <cell r="AG684">
            <v>3.1E-2</v>
          </cell>
          <cell r="AH684">
            <v>1E-3</v>
          </cell>
          <cell r="AI684">
            <v>0.35</v>
          </cell>
          <cell r="AJ684">
            <v>18.2</v>
          </cell>
          <cell r="AK684">
            <v>8</v>
          </cell>
          <cell r="AL684">
            <v>7.1999999999999995E-2</v>
          </cell>
          <cell r="AM684">
            <v>0.34</v>
          </cell>
          <cell r="AN684">
            <v>0</v>
          </cell>
          <cell r="AO684">
            <v>0</v>
          </cell>
          <cell r="AP684">
            <v>0</v>
          </cell>
          <cell r="AQ684">
            <v>0</v>
          </cell>
          <cell r="AR684">
            <v>0.53</v>
          </cell>
          <cell r="AS684">
            <v>0</v>
          </cell>
          <cell r="AT684">
            <v>281</v>
          </cell>
          <cell r="AU684">
            <v>0</v>
          </cell>
          <cell r="AV684">
            <v>624</v>
          </cell>
          <cell r="AW684">
            <v>58</v>
          </cell>
          <cell r="AX684">
            <v>79</v>
          </cell>
          <cell r="AY684">
            <v>147</v>
          </cell>
          <cell r="AZ684">
            <v>1.21</v>
          </cell>
          <cell r="BA684" t="str">
            <v>D2006139</v>
          </cell>
          <cell r="BB684" t="str">
            <v>CONFORM</v>
          </cell>
          <cell r="BC684" t="str">
            <v>CONFORM</v>
          </cell>
          <cell r="BD684" t="str">
            <v>CONFORM</v>
          </cell>
          <cell r="BE684" t="str">
            <v>CONFORM</v>
          </cell>
          <cell r="BF684" t="str">
            <v>CONFORM</v>
          </cell>
        </row>
        <row r="685">
          <cell r="A685">
            <v>44011</v>
          </cell>
          <cell r="B685" t="str">
            <v>D2006139-10</v>
          </cell>
          <cell r="C685" t="str">
            <v>055/20</v>
          </cell>
          <cell r="D685">
            <v>1</v>
          </cell>
          <cell r="E685">
            <v>44011</v>
          </cell>
          <cell r="F685" t="str">
            <v>DC</v>
          </cell>
          <cell r="G685" t="str">
            <v>On Time</v>
          </cell>
          <cell r="H685" t="str">
            <v>0008512016</v>
          </cell>
          <cell r="I685">
            <v>44009</v>
          </cell>
          <cell r="J685" t="str">
            <v>OUTO</v>
          </cell>
          <cell r="K685" t="str">
            <v>D2006139</v>
          </cell>
          <cell r="L685">
            <v>10</v>
          </cell>
          <cell r="M685">
            <v>809740</v>
          </cell>
          <cell r="N685">
            <v>529441</v>
          </cell>
          <cell r="O685" t="str">
            <v xml:space="preserve">1.4306 TP304L </v>
          </cell>
          <cell r="P685" t="str">
            <v>304L</v>
          </cell>
          <cell r="Q685">
            <v>3.1539999999999999</v>
          </cell>
          <cell r="S685">
            <v>3.5000000000000003E-2</v>
          </cell>
          <cell r="V685" t="str">
            <v/>
          </cell>
          <cell r="X685">
            <v>1587</v>
          </cell>
          <cell r="Y685">
            <v>1</v>
          </cell>
          <cell r="Z685">
            <v>503.17057704502218</v>
          </cell>
          <cell r="AA685" t="str">
            <v>3.154X0.035-304L</v>
          </cell>
          <cell r="AB685" t="str">
            <v>WAAC008010090B300097</v>
          </cell>
          <cell r="AC685" t="str">
            <v>D2006139</v>
          </cell>
          <cell r="AD685">
            <v>529441</v>
          </cell>
          <cell r="AE685">
            <v>2.1000000000000001E-2</v>
          </cell>
          <cell r="AF685">
            <v>1.33</v>
          </cell>
          <cell r="AG685">
            <v>3.1E-2</v>
          </cell>
          <cell r="AH685">
            <v>1E-3</v>
          </cell>
          <cell r="AI685">
            <v>0.35</v>
          </cell>
          <cell r="AJ685">
            <v>18.2</v>
          </cell>
          <cell r="AK685">
            <v>8</v>
          </cell>
          <cell r="AL685">
            <v>7.1999999999999995E-2</v>
          </cell>
          <cell r="AM685">
            <v>0.34</v>
          </cell>
          <cell r="AN685">
            <v>0</v>
          </cell>
          <cell r="AO685">
            <v>0</v>
          </cell>
          <cell r="AP685">
            <v>0</v>
          </cell>
          <cell r="AQ685">
            <v>0</v>
          </cell>
          <cell r="AR685">
            <v>0.53</v>
          </cell>
          <cell r="AS685">
            <v>0</v>
          </cell>
          <cell r="AT685">
            <v>281</v>
          </cell>
          <cell r="AU685">
            <v>0</v>
          </cell>
          <cell r="AV685">
            <v>624</v>
          </cell>
          <cell r="AW685">
            <v>58</v>
          </cell>
          <cell r="AX685">
            <v>79</v>
          </cell>
          <cell r="AY685">
            <v>147</v>
          </cell>
          <cell r="AZ685">
            <v>1.21</v>
          </cell>
          <cell r="BA685" t="str">
            <v>D2006139</v>
          </cell>
          <cell r="BB685" t="str">
            <v>CONFORM</v>
          </cell>
          <cell r="BC685" t="str">
            <v>CONFORM</v>
          </cell>
          <cell r="BD685" t="str">
            <v>CONFORM</v>
          </cell>
          <cell r="BE685" t="str">
            <v>CONFORM</v>
          </cell>
          <cell r="BF685" t="str">
            <v>CONFORM</v>
          </cell>
        </row>
        <row r="686">
          <cell r="A686">
            <v>44011</v>
          </cell>
          <cell r="B686" t="str">
            <v>D2006139-11</v>
          </cell>
          <cell r="C686" t="str">
            <v>055/20</v>
          </cell>
          <cell r="D686">
            <v>1</v>
          </cell>
          <cell r="E686">
            <v>44011</v>
          </cell>
          <cell r="F686" t="str">
            <v>DC</v>
          </cell>
          <cell r="G686" t="str">
            <v>On Time</v>
          </cell>
          <cell r="H686" t="str">
            <v>0008512016</v>
          </cell>
          <cell r="I686">
            <v>44009</v>
          </cell>
          <cell r="J686" t="str">
            <v>OUTO</v>
          </cell>
          <cell r="K686" t="str">
            <v>D2006139</v>
          </cell>
          <cell r="L686">
            <v>11</v>
          </cell>
          <cell r="M686">
            <v>809740</v>
          </cell>
          <cell r="N686">
            <v>529441</v>
          </cell>
          <cell r="O686" t="str">
            <v xml:space="preserve">1.4306 TP304L </v>
          </cell>
          <cell r="P686" t="str">
            <v>304L</v>
          </cell>
          <cell r="Q686">
            <v>3.1539999999999999</v>
          </cell>
          <cell r="S686">
            <v>3.5000000000000003E-2</v>
          </cell>
          <cell r="V686" t="str">
            <v/>
          </cell>
          <cell r="X686">
            <v>1587</v>
          </cell>
          <cell r="Y686">
            <v>1</v>
          </cell>
          <cell r="Z686">
            <v>503.17057704502218</v>
          </cell>
          <cell r="AA686" t="str">
            <v>3.154X0.035-304L</v>
          </cell>
          <cell r="AB686" t="str">
            <v>WAAC008010090B300097</v>
          </cell>
          <cell r="AC686" t="str">
            <v>D2006139</v>
          </cell>
          <cell r="AD686">
            <v>529441</v>
          </cell>
          <cell r="AE686">
            <v>2.1000000000000001E-2</v>
          </cell>
          <cell r="AF686">
            <v>1.33</v>
          </cell>
          <cell r="AG686">
            <v>3.1E-2</v>
          </cell>
          <cell r="AH686">
            <v>1E-3</v>
          </cell>
          <cell r="AI686">
            <v>0.35</v>
          </cell>
          <cell r="AJ686">
            <v>18.2</v>
          </cell>
          <cell r="AK686">
            <v>8</v>
          </cell>
          <cell r="AL686">
            <v>7.1999999999999995E-2</v>
          </cell>
          <cell r="AM686">
            <v>0.34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  <cell r="AR686">
            <v>0.53</v>
          </cell>
          <cell r="AS686">
            <v>0</v>
          </cell>
          <cell r="AT686">
            <v>281</v>
          </cell>
          <cell r="AU686">
            <v>0</v>
          </cell>
          <cell r="AV686">
            <v>624</v>
          </cell>
          <cell r="AW686">
            <v>58</v>
          </cell>
          <cell r="AX686">
            <v>79</v>
          </cell>
          <cell r="AY686">
            <v>147</v>
          </cell>
          <cell r="AZ686">
            <v>1.21</v>
          </cell>
          <cell r="BA686" t="str">
            <v>D2006139</v>
          </cell>
          <cell r="BB686" t="str">
            <v>CONFORM</v>
          </cell>
          <cell r="BC686" t="str">
            <v>CONFORM</v>
          </cell>
          <cell r="BD686" t="str">
            <v>CONFORM</v>
          </cell>
          <cell r="BE686" t="str">
            <v>CONFORM</v>
          </cell>
          <cell r="BF686" t="str">
            <v>CONFORM</v>
          </cell>
        </row>
        <row r="687">
          <cell r="A687">
            <v>44011</v>
          </cell>
          <cell r="B687" t="str">
            <v>D2006139-12</v>
          </cell>
          <cell r="C687" t="str">
            <v>055/20</v>
          </cell>
          <cell r="D687">
            <v>1</v>
          </cell>
          <cell r="E687">
            <v>44011</v>
          </cell>
          <cell r="F687" t="str">
            <v>DC</v>
          </cell>
          <cell r="G687" t="str">
            <v>On Time</v>
          </cell>
          <cell r="H687" t="str">
            <v>0008512016</v>
          </cell>
          <cell r="I687">
            <v>44009</v>
          </cell>
          <cell r="J687" t="str">
            <v>OUTO</v>
          </cell>
          <cell r="K687" t="str">
            <v>D2006139</v>
          </cell>
          <cell r="L687">
            <v>12</v>
          </cell>
          <cell r="M687">
            <v>809740</v>
          </cell>
          <cell r="N687">
            <v>529441</v>
          </cell>
          <cell r="O687" t="str">
            <v xml:space="preserve">1.4306 TP304L </v>
          </cell>
          <cell r="P687" t="str">
            <v>304L</v>
          </cell>
          <cell r="Q687">
            <v>3.1539999999999999</v>
          </cell>
          <cell r="S687">
            <v>3.5000000000000003E-2</v>
          </cell>
          <cell r="V687" t="str">
            <v/>
          </cell>
          <cell r="X687">
            <v>1587</v>
          </cell>
          <cell r="Y687">
            <v>1</v>
          </cell>
          <cell r="Z687">
            <v>503.17057704502218</v>
          </cell>
          <cell r="AA687" t="str">
            <v>3.154X0.035-304L</v>
          </cell>
          <cell r="AB687" t="str">
            <v>WAAC008010090B300097</v>
          </cell>
          <cell r="AC687" t="str">
            <v>D2006139</v>
          </cell>
          <cell r="AD687">
            <v>529441</v>
          </cell>
          <cell r="AE687">
            <v>2.1000000000000001E-2</v>
          </cell>
          <cell r="AF687">
            <v>1.33</v>
          </cell>
          <cell r="AG687">
            <v>3.1E-2</v>
          </cell>
          <cell r="AH687">
            <v>1E-3</v>
          </cell>
          <cell r="AI687">
            <v>0.35</v>
          </cell>
          <cell r="AJ687">
            <v>18.2</v>
          </cell>
          <cell r="AK687">
            <v>8</v>
          </cell>
          <cell r="AL687">
            <v>7.1999999999999995E-2</v>
          </cell>
          <cell r="AM687">
            <v>0.34</v>
          </cell>
          <cell r="AN687">
            <v>0</v>
          </cell>
          <cell r="AO687">
            <v>0</v>
          </cell>
          <cell r="AP687">
            <v>0</v>
          </cell>
          <cell r="AQ687">
            <v>0</v>
          </cell>
          <cell r="AR687">
            <v>0.53</v>
          </cell>
          <cell r="AS687">
            <v>0</v>
          </cell>
          <cell r="AT687">
            <v>281</v>
          </cell>
          <cell r="AU687">
            <v>0</v>
          </cell>
          <cell r="AV687">
            <v>624</v>
          </cell>
          <cell r="AW687">
            <v>58</v>
          </cell>
          <cell r="AX687">
            <v>79</v>
          </cell>
          <cell r="AY687">
            <v>147</v>
          </cell>
          <cell r="AZ687">
            <v>1.21</v>
          </cell>
          <cell r="BA687" t="str">
            <v>D2006139</v>
          </cell>
          <cell r="BB687" t="str">
            <v>CONFORM</v>
          </cell>
          <cell r="BC687" t="str">
            <v>CONFORM</v>
          </cell>
          <cell r="BD687" t="str">
            <v>CONFORM</v>
          </cell>
          <cell r="BE687" t="str">
            <v>CONFORM</v>
          </cell>
          <cell r="BF687" t="str">
            <v>CONFORM</v>
          </cell>
        </row>
        <row r="688">
          <cell r="A688">
            <v>44011</v>
          </cell>
          <cell r="B688" t="str">
            <v>D2006139-13</v>
          </cell>
          <cell r="C688" t="str">
            <v>055/20</v>
          </cell>
          <cell r="D688">
            <v>1</v>
          </cell>
          <cell r="E688">
            <v>44011</v>
          </cell>
          <cell r="F688" t="str">
            <v>DC</v>
          </cell>
          <cell r="G688" t="str">
            <v>On Time</v>
          </cell>
          <cell r="H688" t="str">
            <v>0008512016</v>
          </cell>
          <cell r="I688">
            <v>44009</v>
          </cell>
          <cell r="J688" t="str">
            <v>OUTO</v>
          </cell>
          <cell r="K688" t="str">
            <v>D2006139</v>
          </cell>
          <cell r="L688">
            <v>13</v>
          </cell>
          <cell r="M688">
            <v>809740</v>
          </cell>
          <cell r="N688">
            <v>529441</v>
          </cell>
          <cell r="O688" t="str">
            <v xml:space="preserve">1.4306 TP304L </v>
          </cell>
          <cell r="P688" t="str">
            <v>304L</v>
          </cell>
          <cell r="Q688">
            <v>3.1539999999999999</v>
          </cell>
          <cell r="S688">
            <v>3.5000000000000003E-2</v>
          </cell>
          <cell r="V688" t="str">
            <v/>
          </cell>
          <cell r="X688">
            <v>1587</v>
          </cell>
          <cell r="Y688">
            <v>1</v>
          </cell>
          <cell r="Z688">
            <v>503.17057704502218</v>
          </cell>
          <cell r="AA688" t="str">
            <v>3.154X0.035-304L</v>
          </cell>
          <cell r="AB688" t="str">
            <v>WAAC008010090B300097</v>
          </cell>
          <cell r="AC688" t="str">
            <v>D2006139</v>
          </cell>
          <cell r="AD688">
            <v>529441</v>
          </cell>
          <cell r="AE688">
            <v>2.1000000000000001E-2</v>
          </cell>
          <cell r="AF688">
            <v>1.33</v>
          </cell>
          <cell r="AG688">
            <v>3.1E-2</v>
          </cell>
          <cell r="AH688">
            <v>1E-3</v>
          </cell>
          <cell r="AI688">
            <v>0.35</v>
          </cell>
          <cell r="AJ688">
            <v>18.2</v>
          </cell>
          <cell r="AK688">
            <v>8</v>
          </cell>
          <cell r="AL688">
            <v>7.1999999999999995E-2</v>
          </cell>
          <cell r="AM688">
            <v>0.34</v>
          </cell>
          <cell r="AN688">
            <v>0</v>
          </cell>
          <cell r="AO688">
            <v>0</v>
          </cell>
          <cell r="AP688">
            <v>0</v>
          </cell>
          <cell r="AQ688">
            <v>0</v>
          </cell>
          <cell r="AR688">
            <v>0.53</v>
          </cell>
          <cell r="AS688">
            <v>0</v>
          </cell>
          <cell r="AT688">
            <v>281</v>
          </cell>
          <cell r="AU688">
            <v>0</v>
          </cell>
          <cell r="AV688">
            <v>624</v>
          </cell>
          <cell r="AW688">
            <v>58</v>
          </cell>
          <cell r="AX688">
            <v>79</v>
          </cell>
          <cell r="AY688">
            <v>147</v>
          </cell>
          <cell r="AZ688">
            <v>1.21</v>
          </cell>
          <cell r="BA688" t="str">
            <v>D2006139</v>
          </cell>
          <cell r="BB688" t="str">
            <v>CONFORM</v>
          </cell>
          <cell r="BC688" t="str">
            <v>CONFORM</v>
          </cell>
          <cell r="BD688" t="str">
            <v>CONFORM</v>
          </cell>
          <cell r="BE688" t="str">
            <v>CONFORM</v>
          </cell>
          <cell r="BF688" t="str">
            <v>CONFORM</v>
          </cell>
        </row>
        <row r="689">
          <cell r="A689">
            <v>44011</v>
          </cell>
          <cell r="B689" t="str">
            <v>D2006139-14</v>
          </cell>
          <cell r="C689" t="str">
            <v>055/20</v>
          </cell>
          <cell r="D689">
            <v>1</v>
          </cell>
          <cell r="E689">
            <v>44011</v>
          </cell>
          <cell r="F689" t="str">
            <v>DC</v>
          </cell>
          <cell r="G689" t="str">
            <v>On Time</v>
          </cell>
          <cell r="H689" t="str">
            <v>0008512016</v>
          </cell>
          <cell r="I689">
            <v>44009</v>
          </cell>
          <cell r="J689" t="str">
            <v>OUTO</v>
          </cell>
          <cell r="K689" t="str">
            <v>D2006139</v>
          </cell>
          <cell r="L689">
            <v>14</v>
          </cell>
          <cell r="M689">
            <v>809740</v>
          </cell>
          <cell r="N689">
            <v>529441</v>
          </cell>
          <cell r="O689" t="str">
            <v xml:space="preserve">1.4306 TP304L </v>
          </cell>
          <cell r="P689" t="str">
            <v>304L</v>
          </cell>
          <cell r="Q689">
            <v>3.1539999999999999</v>
          </cell>
          <cell r="S689">
            <v>3.5000000000000003E-2</v>
          </cell>
          <cell r="V689" t="str">
            <v/>
          </cell>
          <cell r="X689">
            <v>1587</v>
          </cell>
          <cell r="Y689">
            <v>1</v>
          </cell>
          <cell r="Z689">
            <v>503.17057704502218</v>
          </cell>
          <cell r="AA689" t="str">
            <v>3.154X0.035-304L</v>
          </cell>
          <cell r="AB689" t="str">
            <v>WAAC008010090B300097</v>
          </cell>
          <cell r="AC689" t="str">
            <v>D2006139</v>
          </cell>
          <cell r="AD689">
            <v>529441</v>
          </cell>
          <cell r="AE689">
            <v>2.1000000000000001E-2</v>
          </cell>
          <cell r="AF689">
            <v>1.33</v>
          </cell>
          <cell r="AG689">
            <v>3.1E-2</v>
          </cell>
          <cell r="AH689">
            <v>1E-3</v>
          </cell>
          <cell r="AI689">
            <v>0.35</v>
          </cell>
          <cell r="AJ689">
            <v>18.2</v>
          </cell>
          <cell r="AK689">
            <v>8</v>
          </cell>
          <cell r="AL689">
            <v>7.1999999999999995E-2</v>
          </cell>
          <cell r="AM689">
            <v>0.34</v>
          </cell>
          <cell r="AN689">
            <v>0</v>
          </cell>
          <cell r="AO689">
            <v>0</v>
          </cell>
          <cell r="AP689">
            <v>0</v>
          </cell>
          <cell r="AQ689">
            <v>0</v>
          </cell>
          <cell r="AR689">
            <v>0.53</v>
          </cell>
          <cell r="AS689">
            <v>0</v>
          </cell>
          <cell r="AT689">
            <v>281</v>
          </cell>
          <cell r="AU689">
            <v>0</v>
          </cell>
          <cell r="AV689">
            <v>624</v>
          </cell>
          <cell r="AW689">
            <v>58</v>
          </cell>
          <cell r="AX689">
            <v>79</v>
          </cell>
          <cell r="AY689">
            <v>147</v>
          </cell>
          <cell r="AZ689">
            <v>1.21</v>
          </cell>
          <cell r="BA689" t="str">
            <v>D2006139</v>
          </cell>
          <cell r="BB689" t="str">
            <v>CONFORM</v>
          </cell>
          <cell r="BC689" t="str">
            <v>CONFORM</v>
          </cell>
          <cell r="BD689" t="str">
            <v>CONFORM</v>
          </cell>
          <cell r="BE689" t="str">
            <v>CONFORM</v>
          </cell>
          <cell r="BF689" t="str">
            <v>CONFORM</v>
          </cell>
        </row>
        <row r="690">
          <cell r="A690">
            <v>44011</v>
          </cell>
          <cell r="B690" t="str">
            <v>D2006139-15</v>
          </cell>
          <cell r="C690" t="str">
            <v>055/20</v>
          </cell>
          <cell r="D690">
            <v>1</v>
          </cell>
          <cell r="E690">
            <v>44011</v>
          </cell>
          <cell r="F690" t="str">
            <v>DC</v>
          </cell>
          <cell r="G690" t="str">
            <v>On Time</v>
          </cell>
          <cell r="H690" t="str">
            <v>0008512016</v>
          </cell>
          <cell r="I690">
            <v>44009</v>
          </cell>
          <cell r="J690" t="str">
            <v>OUTO</v>
          </cell>
          <cell r="K690" t="str">
            <v>D2006139</v>
          </cell>
          <cell r="L690">
            <v>15</v>
          </cell>
          <cell r="M690">
            <v>809740</v>
          </cell>
          <cell r="N690">
            <v>529441</v>
          </cell>
          <cell r="O690" t="str">
            <v xml:space="preserve">1.4306 TP304L </v>
          </cell>
          <cell r="P690" t="str">
            <v>304L</v>
          </cell>
          <cell r="Q690">
            <v>3.1539999999999999</v>
          </cell>
          <cell r="S690">
            <v>3.5000000000000003E-2</v>
          </cell>
          <cell r="V690" t="str">
            <v/>
          </cell>
          <cell r="X690">
            <v>1587</v>
          </cell>
          <cell r="Y690">
            <v>1</v>
          </cell>
          <cell r="Z690">
            <v>503.17057704502218</v>
          </cell>
          <cell r="AA690" t="str">
            <v>3.154X0.035-304L</v>
          </cell>
          <cell r="AB690" t="str">
            <v>WAAC008010090B300097</v>
          </cell>
          <cell r="AC690" t="str">
            <v>D2006139</v>
          </cell>
          <cell r="AD690">
            <v>529441</v>
          </cell>
          <cell r="AE690">
            <v>2.1000000000000001E-2</v>
          </cell>
          <cell r="AF690">
            <v>1.33</v>
          </cell>
          <cell r="AG690">
            <v>3.1E-2</v>
          </cell>
          <cell r="AH690">
            <v>1E-3</v>
          </cell>
          <cell r="AI690">
            <v>0.35</v>
          </cell>
          <cell r="AJ690">
            <v>18.2</v>
          </cell>
          <cell r="AK690">
            <v>8</v>
          </cell>
          <cell r="AL690">
            <v>7.1999999999999995E-2</v>
          </cell>
          <cell r="AM690">
            <v>0.34</v>
          </cell>
          <cell r="AN690">
            <v>0</v>
          </cell>
          <cell r="AO690">
            <v>0</v>
          </cell>
          <cell r="AP690">
            <v>0</v>
          </cell>
          <cell r="AQ690">
            <v>0</v>
          </cell>
          <cell r="AR690">
            <v>0.53</v>
          </cell>
          <cell r="AS690">
            <v>0</v>
          </cell>
          <cell r="AT690">
            <v>281</v>
          </cell>
          <cell r="AU690">
            <v>0</v>
          </cell>
          <cell r="AV690">
            <v>624</v>
          </cell>
          <cell r="AW690">
            <v>58</v>
          </cell>
          <cell r="AX690">
            <v>79</v>
          </cell>
          <cell r="AY690">
            <v>147</v>
          </cell>
          <cell r="AZ690">
            <v>1.21</v>
          </cell>
          <cell r="BA690" t="str">
            <v>D2006139</v>
          </cell>
          <cell r="BB690" t="str">
            <v>CONFORM</v>
          </cell>
          <cell r="BC690" t="str">
            <v>CONFORM</v>
          </cell>
          <cell r="BD690" t="str">
            <v>CONFORM</v>
          </cell>
          <cell r="BE690" t="str">
            <v>CONFORM</v>
          </cell>
          <cell r="BF690" t="str">
            <v>CONFORM</v>
          </cell>
        </row>
        <row r="691">
          <cell r="A691">
            <v>44013</v>
          </cell>
          <cell r="B691" t="str">
            <v>D2007010-1</v>
          </cell>
          <cell r="C691" t="str">
            <v>055/20</v>
          </cell>
          <cell r="D691">
            <v>1</v>
          </cell>
          <cell r="E691">
            <v>44011</v>
          </cell>
          <cell r="F691" t="str">
            <v>DC</v>
          </cell>
          <cell r="G691" t="str">
            <v>On Time</v>
          </cell>
          <cell r="H691" t="str">
            <v>0008512016</v>
          </cell>
          <cell r="I691">
            <v>44009</v>
          </cell>
          <cell r="J691" t="str">
            <v>OUTO</v>
          </cell>
          <cell r="K691" t="str">
            <v>D2007010</v>
          </cell>
          <cell r="L691">
            <v>1</v>
          </cell>
          <cell r="M691">
            <v>809740</v>
          </cell>
          <cell r="N691">
            <v>529441</v>
          </cell>
          <cell r="O691" t="str">
            <v xml:space="preserve">1.4306 TP304L </v>
          </cell>
          <cell r="P691" t="str">
            <v>304L</v>
          </cell>
          <cell r="Q691">
            <v>3.1539999999999999</v>
          </cell>
          <cell r="S691">
            <v>3.5000000000000003E-2</v>
          </cell>
          <cell r="T691">
            <v>3.4599999999999999E-2</v>
          </cell>
          <cell r="V691">
            <v>3.4599999999999999E-2</v>
          </cell>
          <cell r="X691">
            <v>1512</v>
          </cell>
          <cell r="Y691">
            <v>1</v>
          </cell>
          <cell r="Z691">
            <v>479.39124920735577</v>
          </cell>
          <cell r="AA691" t="str">
            <v>3.154X0.035-304L</v>
          </cell>
          <cell r="AB691" t="str">
            <v>WAAC008010090B300097</v>
          </cell>
          <cell r="AC691" t="str">
            <v>D2007010</v>
          </cell>
          <cell r="AD691">
            <v>529441</v>
          </cell>
          <cell r="AE691">
            <v>2.1000000000000001E-2</v>
          </cell>
          <cell r="AF691">
            <v>1.33</v>
          </cell>
          <cell r="AG691">
            <v>3.1E-2</v>
          </cell>
          <cell r="AH691">
            <v>1E-3</v>
          </cell>
          <cell r="AI691">
            <v>0.35</v>
          </cell>
          <cell r="AJ691">
            <v>18.2</v>
          </cell>
          <cell r="AK691">
            <v>8</v>
          </cell>
          <cell r="AL691">
            <v>7.1999999999999995E-2</v>
          </cell>
          <cell r="AM691">
            <v>0.34</v>
          </cell>
          <cell r="AN691">
            <v>0</v>
          </cell>
          <cell r="AO691">
            <v>0</v>
          </cell>
          <cell r="AP691">
            <v>0</v>
          </cell>
          <cell r="AQ691">
            <v>0</v>
          </cell>
          <cell r="AR691">
            <v>0.53</v>
          </cell>
          <cell r="AS691">
            <v>0</v>
          </cell>
          <cell r="AT691">
            <v>281</v>
          </cell>
          <cell r="AU691">
            <v>0</v>
          </cell>
          <cell r="AV691">
            <v>624</v>
          </cell>
          <cell r="AW691">
            <v>58</v>
          </cell>
          <cell r="AX691">
            <v>79</v>
          </cell>
          <cell r="AY691">
            <v>147</v>
          </cell>
          <cell r="AZ691">
            <v>1.21</v>
          </cell>
          <cell r="BA691" t="str">
            <v>D2007010</v>
          </cell>
          <cell r="BB691" t="str">
            <v>CONFORM</v>
          </cell>
          <cell r="BC691" t="str">
            <v>CONFORM</v>
          </cell>
          <cell r="BD691" t="str">
            <v>CONFORM</v>
          </cell>
          <cell r="BE691" t="str">
            <v>CONFORM</v>
          </cell>
          <cell r="BF691" t="str">
            <v>CONFORM</v>
          </cell>
        </row>
        <row r="692">
          <cell r="A692">
            <v>44013</v>
          </cell>
          <cell r="B692" t="str">
            <v>D2007010-2</v>
          </cell>
          <cell r="C692" t="str">
            <v>055/20</v>
          </cell>
          <cell r="D692">
            <v>1</v>
          </cell>
          <cell r="E692">
            <v>44011</v>
          </cell>
          <cell r="F692" t="str">
            <v>DC</v>
          </cell>
          <cell r="G692" t="str">
            <v>On Time</v>
          </cell>
          <cell r="H692" t="str">
            <v>0008512016</v>
          </cell>
          <cell r="I692">
            <v>44009</v>
          </cell>
          <cell r="J692" t="str">
            <v>OUTO</v>
          </cell>
          <cell r="K692" t="str">
            <v>D2007010</v>
          </cell>
          <cell r="L692">
            <v>2</v>
          </cell>
          <cell r="M692">
            <v>809740</v>
          </cell>
          <cell r="N692">
            <v>529441</v>
          </cell>
          <cell r="O692" t="str">
            <v xml:space="preserve">1.4306 TP304L </v>
          </cell>
          <cell r="P692" t="str">
            <v>304L</v>
          </cell>
          <cell r="Q692">
            <v>3.1539999999999999</v>
          </cell>
          <cell r="S692">
            <v>3.5000000000000003E-2</v>
          </cell>
          <cell r="T692">
            <v>3.4299999999999997E-2</v>
          </cell>
          <cell r="V692">
            <v>3.4299999999999997E-2</v>
          </cell>
          <cell r="X692">
            <v>1517</v>
          </cell>
          <cell r="Y692">
            <v>1</v>
          </cell>
          <cell r="Z692">
            <v>480.97653772986683</v>
          </cell>
          <cell r="AA692" t="str">
            <v>3.154X0.035-304L</v>
          </cell>
          <cell r="AB692" t="str">
            <v>WAAC008010090B300097</v>
          </cell>
          <cell r="AC692" t="str">
            <v>D2007010</v>
          </cell>
          <cell r="AD692">
            <v>529441</v>
          </cell>
          <cell r="AE692">
            <v>2.1000000000000001E-2</v>
          </cell>
          <cell r="AF692">
            <v>1.33</v>
          </cell>
          <cell r="AG692">
            <v>3.1E-2</v>
          </cell>
          <cell r="AH692">
            <v>1E-3</v>
          </cell>
          <cell r="AI692">
            <v>0.35</v>
          </cell>
          <cell r="AJ692">
            <v>18.2</v>
          </cell>
          <cell r="AK692">
            <v>8</v>
          </cell>
          <cell r="AL692">
            <v>7.1999999999999995E-2</v>
          </cell>
          <cell r="AM692">
            <v>0.34</v>
          </cell>
          <cell r="AN692">
            <v>0</v>
          </cell>
          <cell r="AO692">
            <v>0</v>
          </cell>
          <cell r="AP692">
            <v>0</v>
          </cell>
          <cell r="AQ692">
            <v>0</v>
          </cell>
          <cell r="AR692">
            <v>0.53</v>
          </cell>
          <cell r="AS692">
            <v>0</v>
          </cell>
          <cell r="AT692">
            <v>281</v>
          </cell>
          <cell r="AU692">
            <v>0</v>
          </cell>
          <cell r="AV692">
            <v>624</v>
          </cell>
          <cell r="AW692">
            <v>58</v>
          </cell>
          <cell r="AX692">
            <v>79</v>
          </cell>
          <cell r="AY692">
            <v>147</v>
          </cell>
          <cell r="AZ692">
            <v>1.21</v>
          </cell>
          <cell r="BA692" t="str">
            <v>D2007010</v>
          </cell>
          <cell r="BB692" t="str">
            <v>CONFORM</v>
          </cell>
          <cell r="BC692" t="str">
            <v>CONFORM</v>
          </cell>
          <cell r="BD692" t="str">
            <v>CONFORM</v>
          </cell>
          <cell r="BE692" t="str">
            <v>CONFORM</v>
          </cell>
          <cell r="BF692" t="str">
            <v>CONFORM</v>
          </cell>
        </row>
        <row r="693">
          <cell r="A693">
            <v>44013</v>
          </cell>
          <cell r="B693" t="str">
            <v>D2007010-3</v>
          </cell>
          <cell r="C693" t="str">
            <v>055/20</v>
          </cell>
          <cell r="D693">
            <v>1</v>
          </cell>
          <cell r="E693">
            <v>44011</v>
          </cell>
          <cell r="F693" t="str">
            <v>DC</v>
          </cell>
          <cell r="G693" t="str">
            <v>On Time</v>
          </cell>
          <cell r="H693" t="str">
            <v>0008512016</v>
          </cell>
          <cell r="I693">
            <v>44009</v>
          </cell>
          <cell r="J693" t="str">
            <v>OUTO</v>
          </cell>
          <cell r="K693" t="str">
            <v>D2007010</v>
          </cell>
          <cell r="L693">
            <v>3</v>
          </cell>
          <cell r="M693">
            <v>809740</v>
          </cell>
          <cell r="N693">
            <v>529441</v>
          </cell>
          <cell r="O693" t="str">
            <v xml:space="preserve">1.4306 TP304L </v>
          </cell>
          <cell r="P693" t="str">
            <v>304L</v>
          </cell>
          <cell r="Q693">
            <v>3.1539999999999999</v>
          </cell>
          <cell r="S693">
            <v>3.5000000000000003E-2</v>
          </cell>
          <cell r="T693">
            <v>3.4799999999999998E-2</v>
          </cell>
          <cell r="V693">
            <v>3.4799999999999998E-2</v>
          </cell>
          <cell r="X693">
            <v>1530</v>
          </cell>
          <cell r="Y693">
            <v>1</v>
          </cell>
          <cell r="Z693">
            <v>485.0982878883957</v>
          </cell>
          <cell r="AA693" t="str">
            <v>3.154X0.035-304L</v>
          </cell>
          <cell r="AB693" t="str">
            <v>WAAC008010090B300097</v>
          </cell>
          <cell r="AC693" t="str">
            <v>D2007010</v>
          </cell>
          <cell r="AD693">
            <v>529441</v>
          </cell>
          <cell r="AE693">
            <v>2.1000000000000001E-2</v>
          </cell>
          <cell r="AF693">
            <v>1.33</v>
          </cell>
          <cell r="AG693">
            <v>3.1E-2</v>
          </cell>
          <cell r="AH693">
            <v>1E-3</v>
          </cell>
          <cell r="AI693">
            <v>0.35</v>
          </cell>
          <cell r="AJ693">
            <v>18.2</v>
          </cell>
          <cell r="AK693">
            <v>8</v>
          </cell>
          <cell r="AL693">
            <v>7.1999999999999995E-2</v>
          </cell>
          <cell r="AM693">
            <v>0.34</v>
          </cell>
          <cell r="AN693">
            <v>0</v>
          </cell>
          <cell r="AO693">
            <v>0</v>
          </cell>
          <cell r="AP693">
            <v>0</v>
          </cell>
          <cell r="AQ693">
            <v>0</v>
          </cell>
          <cell r="AR693">
            <v>0.53</v>
          </cell>
          <cell r="AS693">
            <v>0</v>
          </cell>
          <cell r="AT693">
            <v>281</v>
          </cell>
          <cell r="AU693">
            <v>0</v>
          </cell>
          <cell r="AV693">
            <v>624</v>
          </cell>
          <cell r="AW693">
            <v>58</v>
          </cell>
          <cell r="AX693">
            <v>79</v>
          </cell>
          <cell r="AY693">
            <v>147</v>
          </cell>
          <cell r="AZ693">
            <v>1.21</v>
          </cell>
          <cell r="BA693" t="str">
            <v>D2007010</v>
          </cell>
          <cell r="BB693" t="str">
            <v>CONFORM</v>
          </cell>
          <cell r="BC693" t="str">
            <v>CONFORM</v>
          </cell>
          <cell r="BD693" t="str">
            <v>CONFORM</v>
          </cell>
          <cell r="BE693" t="str">
            <v>CONFORM</v>
          </cell>
          <cell r="BF693" t="str">
            <v>CONFORM</v>
          </cell>
        </row>
        <row r="694">
          <cell r="A694">
            <v>44013</v>
          </cell>
          <cell r="B694" t="str">
            <v>D2007010-4</v>
          </cell>
          <cell r="C694" t="str">
            <v>055/20</v>
          </cell>
          <cell r="D694">
            <v>1</v>
          </cell>
          <cell r="E694">
            <v>44011</v>
          </cell>
          <cell r="F694" t="str">
            <v>DC</v>
          </cell>
          <cell r="G694" t="str">
            <v>On Time</v>
          </cell>
          <cell r="H694" t="str">
            <v>0008512016</v>
          </cell>
          <cell r="I694">
            <v>44009</v>
          </cell>
          <cell r="J694" t="str">
            <v>OUTO</v>
          </cell>
          <cell r="K694" t="str">
            <v>D2007010</v>
          </cell>
          <cell r="L694">
            <v>4</v>
          </cell>
          <cell r="M694">
            <v>809740</v>
          </cell>
          <cell r="N694">
            <v>529441</v>
          </cell>
          <cell r="O694" t="str">
            <v xml:space="preserve">1.4306 TP304L </v>
          </cell>
          <cell r="P694" t="str">
            <v>304L</v>
          </cell>
          <cell r="Q694">
            <v>3.1539999999999999</v>
          </cell>
          <cell r="S694">
            <v>3.5000000000000003E-2</v>
          </cell>
          <cell r="T694">
            <v>3.4599999999999999E-2</v>
          </cell>
          <cell r="V694">
            <v>3.4599999999999999E-2</v>
          </cell>
          <cell r="X694">
            <v>1526</v>
          </cell>
          <cell r="Y694">
            <v>1</v>
          </cell>
          <cell r="Z694">
            <v>483.83005707038683</v>
          </cell>
          <cell r="AA694" t="str">
            <v>3.154X0.035-304L</v>
          </cell>
          <cell r="AB694" t="str">
            <v>WAAC008010090B300097</v>
          </cell>
          <cell r="AC694" t="str">
            <v>D2007010</v>
          </cell>
          <cell r="AD694">
            <v>529441</v>
          </cell>
          <cell r="AE694">
            <v>2.1000000000000001E-2</v>
          </cell>
          <cell r="AF694">
            <v>1.33</v>
          </cell>
          <cell r="AG694">
            <v>3.1E-2</v>
          </cell>
          <cell r="AH694">
            <v>1E-3</v>
          </cell>
          <cell r="AI694">
            <v>0.35</v>
          </cell>
          <cell r="AJ694">
            <v>18.2</v>
          </cell>
          <cell r="AK694">
            <v>8</v>
          </cell>
          <cell r="AL694">
            <v>7.1999999999999995E-2</v>
          </cell>
          <cell r="AM694">
            <v>0.34</v>
          </cell>
          <cell r="AN694">
            <v>0</v>
          </cell>
          <cell r="AO694">
            <v>0</v>
          </cell>
          <cell r="AP694">
            <v>0</v>
          </cell>
          <cell r="AQ694">
            <v>0</v>
          </cell>
          <cell r="AR694">
            <v>0.53</v>
          </cell>
          <cell r="AS694">
            <v>0</v>
          </cell>
          <cell r="AT694">
            <v>281</v>
          </cell>
          <cell r="AU694">
            <v>0</v>
          </cell>
          <cell r="AV694">
            <v>624</v>
          </cell>
          <cell r="AW694">
            <v>58</v>
          </cell>
          <cell r="AX694">
            <v>79</v>
          </cell>
          <cell r="AY694">
            <v>147</v>
          </cell>
          <cell r="AZ694">
            <v>1.21</v>
          </cell>
          <cell r="BA694" t="str">
            <v>D2007010</v>
          </cell>
          <cell r="BB694" t="str">
            <v>CONFORM</v>
          </cell>
          <cell r="BC694" t="str">
            <v>CONFORM</v>
          </cell>
          <cell r="BD694" t="str">
            <v>CONFORM</v>
          </cell>
          <cell r="BE694" t="str">
            <v>CONFORM</v>
          </cell>
          <cell r="BF694" t="str">
            <v>CONFORM</v>
          </cell>
        </row>
        <row r="695">
          <cell r="A695">
            <v>44013</v>
          </cell>
          <cell r="B695" t="str">
            <v>D2007010-5</v>
          </cell>
          <cell r="C695" t="str">
            <v>055/20</v>
          </cell>
          <cell r="D695">
            <v>1</v>
          </cell>
          <cell r="E695">
            <v>44011</v>
          </cell>
          <cell r="F695" t="str">
            <v>DC</v>
          </cell>
          <cell r="G695" t="str">
            <v>On Time</v>
          </cell>
          <cell r="H695" t="str">
            <v>0008512016</v>
          </cell>
          <cell r="I695">
            <v>44009</v>
          </cell>
          <cell r="J695" t="str">
            <v>OUTO</v>
          </cell>
          <cell r="K695" t="str">
            <v>D2007010</v>
          </cell>
          <cell r="L695">
            <v>5</v>
          </cell>
          <cell r="M695">
            <v>809740</v>
          </cell>
          <cell r="N695">
            <v>529441</v>
          </cell>
          <cell r="O695" t="str">
            <v xml:space="preserve">1.4306 TP304L </v>
          </cell>
          <cell r="P695" t="str">
            <v>304L</v>
          </cell>
          <cell r="Q695">
            <v>3.1539999999999999</v>
          </cell>
          <cell r="S695">
            <v>3.5000000000000003E-2</v>
          </cell>
          <cell r="T695">
            <v>3.4000000000000002E-2</v>
          </cell>
          <cell r="V695">
            <v>3.4000000000000002E-2</v>
          </cell>
          <cell r="X695">
            <v>1534</v>
          </cell>
          <cell r="Y695">
            <v>1</v>
          </cell>
          <cell r="Z695">
            <v>486.36651870640458</v>
          </cell>
          <cell r="AA695" t="str">
            <v>3.154X0.035-304L</v>
          </cell>
          <cell r="AB695" t="str">
            <v>WAAC008010090B300097</v>
          </cell>
          <cell r="AC695" t="str">
            <v>D2007010</v>
          </cell>
          <cell r="AD695">
            <v>529441</v>
          </cell>
          <cell r="AE695">
            <v>2.1000000000000001E-2</v>
          </cell>
          <cell r="AF695">
            <v>1.33</v>
          </cell>
          <cell r="AG695">
            <v>3.1E-2</v>
          </cell>
          <cell r="AH695">
            <v>1E-3</v>
          </cell>
          <cell r="AI695">
            <v>0.35</v>
          </cell>
          <cell r="AJ695">
            <v>18.2</v>
          </cell>
          <cell r="AK695">
            <v>8</v>
          </cell>
          <cell r="AL695">
            <v>7.1999999999999995E-2</v>
          </cell>
          <cell r="AM695">
            <v>0.34</v>
          </cell>
          <cell r="AN695">
            <v>0</v>
          </cell>
          <cell r="AO695">
            <v>0</v>
          </cell>
          <cell r="AP695">
            <v>0</v>
          </cell>
          <cell r="AQ695">
            <v>0</v>
          </cell>
          <cell r="AR695">
            <v>0.53</v>
          </cell>
          <cell r="AS695">
            <v>0</v>
          </cell>
          <cell r="AT695">
            <v>281</v>
          </cell>
          <cell r="AU695">
            <v>0</v>
          </cell>
          <cell r="AV695">
            <v>624</v>
          </cell>
          <cell r="AW695">
            <v>58</v>
          </cell>
          <cell r="AX695">
            <v>79</v>
          </cell>
          <cell r="AY695">
            <v>147</v>
          </cell>
          <cell r="AZ695">
            <v>1.21</v>
          </cell>
          <cell r="BA695" t="str">
            <v>D2007010</v>
          </cell>
          <cell r="BB695" t="str">
            <v>CONFORM</v>
          </cell>
          <cell r="BC695" t="str">
            <v>CONFORM</v>
          </cell>
          <cell r="BD695" t="str">
            <v>CONFORM</v>
          </cell>
          <cell r="BE695" t="str">
            <v>CONFORM</v>
          </cell>
          <cell r="BF695" t="str">
            <v>CONFORM</v>
          </cell>
        </row>
        <row r="696">
          <cell r="A696">
            <v>44013</v>
          </cell>
          <cell r="B696" t="str">
            <v>D2007010-6</v>
          </cell>
          <cell r="C696" t="str">
            <v>055/20</v>
          </cell>
          <cell r="D696">
            <v>1</v>
          </cell>
          <cell r="E696">
            <v>44011</v>
          </cell>
          <cell r="F696" t="str">
            <v>DC</v>
          </cell>
          <cell r="G696" t="str">
            <v>On Time</v>
          </cell>
          <cell r="H696" t="str">
            <v>0008512016</v>
          </cell>
          <cell r="I696">
            <v>44009</v>
          </cell>
          <cell r="J696" t="str">
            <v>OUTO</v>
          </cell>
          <cell r="K696" t="str">
            <v>D2007010</v>
          </cell>
          <cell r="L696">
            <v>6</v>
          </cell>
          <cell r="M696">
            <v>809740</v>
          </cell>
          <cell r="N696">
            <v>529441</v>
          </cell>
          <cell r="O696" t="str">
            <v xml:space="preserve">1.4306 TP304L </v>
          </cell>
          <cell r="P696" t="str">
            <v>304L</v>
          </cell>
          <cell r="Q696">
            <v>3.1539999999999999</v>
          </cell>
          <cell r="S696">
            <v>3.5000000000000003E-2</v>
          </cell>
          <cell r="T696">
            <v>3.49E-2</v>
          </cell>
          <cell r="V696">
            <v>3.49E-2</v>
          </cell>
          <cell r="X696">
            <v>1534</v>
          </cell>
          <cell r="Y696">
            <v>1</v>
          </cell>
          <cell r="Z696">
            <v>486.36651870640458</v>
          </cell>
          <cell r="AA696" t="str">
            <v>3.154X0.035-304L</v>
          </cell>
          <cell r="AB696" t="str">
            <v>WAAC008010090B300097</v>
          </cell>
          <cell r="AC696" t="str">
            <v>D2007010</v>
          </cell>
          <cell r="AD696">
            <v>529441</v>
          </cell>
          <cell r="AE696">
            <v>2.1000000000000001E-2</v>
          </cell>
          <cell r="AF696">
            <v>1.33</v>
          </cell>
          <cell r="AG696">
            <v>3.1E-2</v>
          </cell>
          <cell r="AH696">
            <v>1E-3</v>
          </cell>
          <cell r="AI696">
            <v>0.35</v>
          </cell>
          <cell r="AJ696">
            <v>18.2</v>
          </cell>
          <cell r="AK696">
            <v>8</v>
          </cell>
          <cell r="AL696">
            <v>7.1999999999999995E-2</v>
          </cell>
          <cell r="AM696">
            <v>0.34</v>
          </cell>
          <cell r="AN696">
            <v>0</v>
          </cell>
          <cell r="AO696">
            <v>0</v>
          </cell>
          <cell r="AP696">
            <v>0</v>
          </cell>
          <cell r="AQ696">
            <v>0</v>
          </cell>
          <cell r="AR696">
            <v>0.53</v>
          </cell>
          <cell r="AS696">
            <v>0</v>
          </cell>
          <cell r="AT696">
            <v>281</v>
          </cell>
          <cell r="AU696">
            <v>0</v>
          </cell>
          <cell r="AV696">
            <v>624</v>
          </cell>
          <cell r="AW696">
            <v>58</v>
          </cell>
          <cell r="AX696">
            <v>79</v>
          </cell>
          <cell r="AY696">
            <v>147</v>
          </cell>
          <cell r="AZ696">
            <v>1.21</v>
          </cell>
          <cell r="BA696" t="str">
            <v>D2007010</v>
          </cell>
          <cell r="BB696" t="str">
            <v>CONFORM</v>
          </cell>
          <cell r="BC696" t="str">
            <v>CONFORM</v>
          </cell>
          <cell r="BD696" t="str">
            <v>CONFORM</v>
          </cell>
          <cell r="BE696" t="str">
            <v>CONFORM</v>
          </cell>
          <cell r="BF696" t="str">
            <v>CONFORM</v>
          </cell>
        </row>
        <row r="697">
          <cell r="A697">
            <v>44013</v>
          </cell>
          <cell r="B697" t="str">
            <v>D2007010-7</v>
          </cell>
          <cell r="C697" t="str">
            <v>055/20</v>
          </cell>
          <cell r="D697">
            <v>1</v>
          </cell>
          <cell r="E697">
            <v>44011</v>
          </cell>
          <cell r="F697" t="str">
            <v>DC</v>
          </cell>
          <cell r="G697" t="str">
            <v>On Time</v>
          </cell>
          <cell r="H697" t="str">
            <v>0008512016</v>
          </cell>
          <cell r="I697">
            <v>44009</v>
          </cell>
          <cell r="J697" t="str">
            <v>OUTO</v>
          </cell>
          <cell r="K697" t="str">
            <v>D2007010</v>
          </cell>
          <cell r="L697">
            <v>7</v>
          </cell>
          <cell r="M697">
            <v>809740</v>
          </cell>
          <cell r="N697">
            <v>529441</v>
          </cell>
          <cell r="O697" t="str">
            <v xml:space="preserve">1.4306 TP304L </v>
          </cell>
          <cell r="P697" t="str">
            <v>304L</v>
          </cell>
          <cell r="Q697">
            <v>3.1539999999999999</v>
          </cell>
          <cell r="S697">
            <v>3.5000000000000003E-2</v>
          </cell>
          <cell r="T697">
            <v>3.4799999999999998E-2</v>
          </cell>
          <cell r="V697">
            <v>3.4799999999999998E-2</v>
          </cell>
          <cell r="X697">
            <v>1534</v>
          </cell>
          <cell r="Y697">
            <v>1</v>
          </cell>
          <cell r="Z697">
            <v>486.36651870640458</v>
          </cell>
          <cell r="AA697" t="str">
            <v>3.154X0.035-304L</v>
          </cell>
          <cell r="AB697" t="str">
            <v>WAAC008010090B300097</v>
          </cell>
          <cell r="AC697" t="str">
            <v>D2007010</v>
          </cell>
          <cell r="AD697">
            <v>529441</v>
          </cell>
          <cell r="AE697">
            <v>2.1000000000000001E-2</v>
          </cell>
          <cell r="AF697">
            <v>1.33</v>
          </cell>
          <cell r="AG697">
            <v>3.1E-2</v>
          </cell>
          <cell r="AH697">
            <v>1E-3</v>
          </cell>
          <cell r="AI697">
            <v>0.35</v>
          </cell>
          <cell r="AJ697">
            <v>18.2</v>
          </cell>
          <cell r="AK697">
            <v>8</v>
          </cell>
          <cell r="AL697">
            <v>7.1999999999999995E-2</v>
          </cell>
          <cell r="AM697">
            <v>0.34</v>
          </cell>
          <cell r="AN697">
            <v>0</v>
          </cell>
          <cell r="AO697">
            <v>0</v>
          </cell>
          <cell r="AP697">
            <v>0</v>
          </cell>
          <cell r="AQ697">
            <v>0</v>
          </cell>
          <cell r="AR697">
            <v>0.53</v>
          </cell>
          <cell r="AS697">
            <v>0</v>
          </cell>
          <cell r="AT697">
            <v>281</v>
          </cell>
          <cell r="AU697">
            <v>0</v>
          </cell>
          <cell r="AV697">
            <v>624</v>
          </cell>
          <cell r="AW697">
            <v>58</v>
          </cell>
          <cell r="AX697">
            <v>79</v>
          </cell>
          <cell r="AY697">
            <v>147</v>
          </cell>
          <cell r="AZ697">
            <v>1.21</v>
          </cell>
          <cell r="BA697" t="str">
            <v>D2007010</v>
          </cell>
          <cell r="BB697" t="str">
            <v>CONFORM</v>
          </cell>
          <cell r="BC697" t="str">
            <v>CONFORM</v>
          </cell>
          <cell r="BD697" t="str">
            <v>CONFORM</v>
          </cell>
          <cell r="BE697" t="str">
            <v>CONFORM</v>
          </cell>
          <cell r="BF697" t="str">
            <v>CONFORM</v>
          </cell>
        </row>
        <row r="698">
          <cell r="A698">
            <v>44013</v>
          </cell>
          <cell r="B698" t="str">
            <v>D2007010-8</v>
          </cell>
          <cell r="C698" t="str">
            <v>055/20</v>
          </cell>
          <cell r="D698">
            <v>1</v>
          </cell>
          <cell r="E698">
            <v>44011</v>
          </cell>
          <cell r="F698" t="str">
            <v>DC</v>
          </cell>
          <cell r="G698" t="str">
            <v>On Time</v>
          </cell>
          <cell r="H698" t="str">
            <v>0008512016</v>
          </cell>
          <cell r="I698">
            <v>44009</v>
          </cell>
          <cell r="J698" t="str">
            <v>OUTO</v>
          </cell>
          <cell r="K698" t="str">
            <v>D2007010</v>
          </cell>
          <cell r="L698">
            <v>8</v>
          </cell>
          <cell r="M698">
            <v>809740</v>
          </cell>
          <cell r="N698">
            <v>529441</v>
          </cell>
          <cell r="O698" t="str">
            <v xml:space="preserve">1.4306 TP304L </v>
          </cell>
          <cell r="P698" t="str">
            <v>304L</v>
          </cell>
          <cell r="Q698">
            <v>3.1539999999999999</v>
          </cell>
          <cell r="S698">
            <v>3.5000000000000003E-2</v>
          </cell>
          <cell r="T698">
            <v>3.49E-2</v>
          </cell>
          <cell r="V698">
            <v>3.49E-2</v>
          </cell>
          <cell r="X698">
            <v>1534</v>
          </cell>
          <cell r="Y698">
            <v>1</v>
          </cell>
          <cell r="Z698">
            <v>486.36651870640458</v>
          </cell>
          <cell r="AA698" t="str">
            <v>3.154X0.035-304L</v>
          </cell>
          <cell r="AB698" t="str">
            <v>WAAC008010090B300097</v>
          </cell>
          <cell r="AC698" t="str">
            <v>D2007010</v>
          </cell>
          <cell r="AD698">
            <v>529441</v>
          </cell>
          <cell r="AE698">
            <v>2.1000000000000001E-2</v>
          </cell>
          <cell r="AF698">
            <v>1.33</v>
          </cell>
          <cell r="AG698">
            <v>3.1E-2</v>
          </cell>
          <cell r="AH698">
            <v>1E-3</v>
          </cell>
          <cell r="AI698">
            <v>0.35</v>
          </cell>
          <cell r="AJ698">
            <v>18.2</v>
          </cell>
          <cell r="AK698">
            <v>8</v>
          </cell>
          <cell r="AL698">
            <v>7.1999999999999995E-2</v>
          </cell>
          <cell r="AM698">
            <v>0.34</v>
          </cell>
          <cell r="AN698">
            <v>0</v>
          </cell>
          <cell r="AO698">
            <v>0</v>
          </cell>
          <cell r="AP698">
            <v>0</v>
          </cell>
          <cell r="AQ698">
            <v>0</v>
          </cell>
          <cell r="AR698">
            <v>0.53</v>
          </cell>
          <cell r="AS698">
            <v>0</v>
          </cell>
          <cell r="AT698">
            <v>281</v>
          </cell>
          <cell r="AU698">
            <v>0</v>
          </cell>
          <cell r="AV698">
            <v>624</v>
          </cell>
          <cell r="AW698">
            <v>58</v>
          </cell>
          <cell r="AX698">
            <v>79</v>
          </cell>
          <cell r="AY698">
            <v>147</v>
          </cell>
          <cell r="AZ698">
            <v>1.21</v>
          </cell>
          <cell r="BA698" t="str">
            <v>D2007010</v>
          </cell>
          <cell r="BB698" t="str">
            <v>CONFORM</v>
          </cell>
          <cell r="BC698" t="str">
            <v>CONFORM</v>
          </cell>
          <cell r="BD698" t="str">
            <v>CONFORM</v>
          </cell>
          <cell r="BE698" t="str">
            <v>CONFORM</v>
          </cell>
          <cell r="BF698" t="str">
            <v>CONFORM</v>
          </cell>
        </row>
        <row r="699">
          <cell r="A699">
            <v>44013</v>
          </cell>
          <cell r="B699" t="str">
            <v>D2007010-9</v>
          </cell>
          <cell r="C699" t="str">
            <v>055/20</v>
          </cell>
          <cell r="D699">
            <v>1</v>
          </cell>
          <cell r="E699">
            <v>44011</v>
          </cell>
          <cell r="F699" t="str">
            <v>DC</v>
          </cell>
          <cell r="G699" t="str">
            <v>On Time</v>
          </cell>
          <cell r="H699" t="str">
            <v>0008512016</v>
          </cell>
          <cell r="I699">
            <v>44009</v>
          </cell>
          <cell r="J699" t="str">
            <v>OUTO</v>
          </cell>
          <cell r="K699" t="str">
            <v>D2007010</v>
          </cell>
          <cell r="L699">
            <v>9</v>
          </cell>
          <cell r="M699">
            <v>809740</v>
          </cell>
          <cell r="N699">
            <v>529441</v>
          </cell>
          <cell r="O699" t="str">
            <v xml:space="preserve">1.4306 TP304L </v>
          </cell>
          <cell r="P699" t="str">
            <v>304L</v>
          </cell>
          <cell r="Q699">
            <v>3.1539999999999999</v>
          </cell>
          <cell r="S699">
            <v>3.5000000000000003E-2</v>
          </cell>
          <cell r="T699">
            <v>3.4599999999999999E-2</v>
          </cell>
          <cell r="V699">
            <v>3.4599999999999999E-2</v>
          </cell>
          <cell r="X699">
            <v>1534</v>
          </cell>
          <cell r="Y699">
            <v>1</v>
          </cell>
          <cell r="Z699">
            <v>486.36651870640458</v>
          </cell>
          <cell r="AA699" t="str">
            <v>3.154X0.035-304L</v>
          </cell>
          <cell r="AB699" t="str">
            <v>WAAC008010090B300097</v>
          </cell>
          <cell r="AC699" t="str">
            <v>D2007010</v>
          </cell>
          <cell r="AD699">
            <v>529441</v>
          </cell>
          <cell r="AE699">
            <v>2.1000000000000001E-2</v>
          </cell>
          <cell r="AF699">
            <v>1.33</v>
          </cell>
          <cell r="AG699">
            <v>3.1E-2</v>
          </cell>
          <cell r="AH699">
            <v>1E-3</v>
          </cell>
          <cell r="AI699">
            <v>0.35</v>
          </cell>
          <cell r="AJ699">
            <v>18.2</v>
          </cell>
          <cell r="AK699">
            <v>8</v>
          </cell>
          <cell r="AL699">
            <v>7.1999999999999995E-2</v>
          </cell>
          <cell r="AM699">
            <v>0.34</v>
          </cell>
          <cell r="AN699">
            <v>0</v>
          </cell>
          <cell r="AO699">
            <v>0</v>
          </cell>
          <cell r="AP699">
            <v>0</v>
          </cell>
          <cell r="AQ699">
            <v>0</v>
          </cell>
          <cell r="AR699">
            <v>0.53</v>
          </cell>
          <cell r="AS699">
            <v>0</v>
          </cell>
          <cell r="AT699">
            <v>281</v>
          </cell>
          <cell r="AU699">
            <v>0</v>
          </cell>
          <cell r="AV699">
            <v>624</v>
          </cell>
          <cell r="AW699">
            <v>58</v>
          </cell>
          <cell r="AX699">
            <v>79</v>
          </cell>
          <cell r="AY699">
            <v>147</v>
          </cell>
          <cell r="AZ699">
            <v>1.21</v>
          </cell>
          <cell r="BA699" t="str">
            <v>D2007010</v>
          </cell>
          <cell r="BB699" t="str">
            <v>CONFORM</v>
          </cell>
          <cell r="BC699" t="str">
            <v>CONFORM</v>
          </cell>
          <cell r="BD699" t="str">
            <v>CONFORM</v>
          </cell>
          <cell r="BE699" t="str">
            <v>CONFORM</v>
          </cell>
          <cell r="BF699" t="str">
            <v>CONFORM</v>
          </cell>
        </row>
        <row r="700">
          <cell r="A700">
            <v>44013</v>
          </cell>
          <cell r="B700" t="str">
            <v>D2007010-10</v>
          </cell>
          <cell r="C700" t="str">
            <v>055/20</v>
          </cell>
          <cell r="D700">
            <v>1</v>
          </cell>
          <cell r="E700">
            <v>44011</v>
          </cell>
          <cell r="F700" t="str">
            <v>DC</v>
          </cell>
          <cell r="G700" t="str">
            <v>On Time</v>
          </cell>
          <cell r="H700" t="str">
            <v>0008512016</v>
          </cell>
          <cell r="I700">
            <v>44009</v>
          </cell>
          <cell r="J700" t="str">
            <v>OUTO</v>
          </cell>
          <cell r="K700" t="str">
            <v>D2007010</v>
          </cell>
          <cell r="L700">
            <v>10</v>
          </cell>
          <cell r="M700">
            <v>809740</v>
          </cell>
          <cell r="N700">
            <v>529441</v>
          </cell>
          <cell r="O700" t="str">
            <v xml:space="preserve">1.4306 TP304L </v>
          </cell>
          <cell r="P700" t="str">
            <v>304L</v>
          </cell>
          <cell r="Q700">
            <v>3.1539999999999999</v>
          </cell>
          <cell r="S700">
            <v>3.5000000000000003E-2</v>
          </cell>
          <cell r="T700">
            <v>3.49E-2</v>
          </cell>
          <cell r="V700">
            <v>3.49E-2</v>
          </cell>
          <cell r="X700">
            <v>1539</v>
          </cell>
          <cell r="Y700">
            <v>1</v>
          </cell>
          <cell r="Z700">
            <v>487.9518072289157</v>
          </cell>
          <cell r="AA700" t="str">
            <v>3.154X0.035-304L</v>
          </cell>
          <cell r="AB700" t="str">
            <v>WAAC008010090B300097</v>
          </cell>
          <cell r="AC700" t="str">
            <v>D2007010</v>
          </cell>
          <cell r="AD700">
            <v>529441</v>
          </cell>
          <cell r="AE700">
            <v>2.1000000000000001E-2</v>
          </cell>
          <cell r="AF700">
            <v>1.33</v>
          </cell>
          <cell r="AG700">
            <v>3.1E-2</v>
          </cell>
          <cell r="AH700">
            <v>1E-3</v>
          </cell>
          <cell r="AI700">
            <v>0.35</v>
          </cell>
          <cell r="AJ700">
            <v>18.2</v>
          </cell>
          <cell r="AK700">
            <v>8</v>
          </cell>
          <cell r="AL700">
            <v>7.1999999999999995E-2</v>
          </cell>
          <cell r="AM700">
            <v>0.34</v>
          </cell>
          <cell r="AN700">
            <v>0</v>
          </cell>
          <cell r="AO700">
            <v>0</v>
          </cell>
          <cell r="AP700">
            <v>0</v>
          </cell>
          <cell r="AQ700">
            <v>0</v>
          </cell>
          <cell r="AR700">
            <v>0.53</v>
          </cell>
          <cell r="AS700">
            <v>0</v>
          </cell>
          <cell r="AT700">
            <v>281</v>
          </cell>
          <cell r="AU700">
            <v>0</v>
          </cell>
          <cell r="AV700">
            <v>624</v>
          </cell>
          <cell r="AW700">
            <v>58</v>
          </cell>
          <cell r="AX700">
            <v>79</v>
          </cell>
          <cell r="AY700">
            <v>147</v>
          </cell>
          <cell r="AZ700">
            <v>1.21</v>
          </cell>
          <cell r="BA700" t="str">
            <v>D2007010</v>
          </cell>
          <cell r="BB700" t="str">
            <v>CONFORM</v>
          </cell>
          <cell r="BC700" t="str">
            <v>CONFORM</v>
          </cell>
          <cell r="BD700" t="str">
            <v>CONFORM</v>
          </cell>
          <cell r="BE700" t="str">
            <v>CONFORM</v>
          </cell>
          <cell r="BF700" t="str">
            <v>CONFORM</v>
          </cell>
        </row>
        <row r="701">
          <cell r="A701">
            <v>44013</v>
          </cell>
          <cell r="B701" t="str">
            <v>D2007010-11</v>
          </cell>
          <cell r="C701" t="str">
            <v>055/20</v>
          </cell>
          <cell r="D701">
            <v>1</v>
          </cell>
          <cell r="E701">
            <v>44011</v>
          </cell>
          <cell r="F701" t="str">
            <v>DC</v>
          </cell>
          <cell r="G701" t="str">
            <v>On Time</v>
          </cell>
          <cell r="H701" t="str">
            <v>0008512016</v>
          </cell>
          <cell r="I701">
            <v>44009</v>
          </cell>
          <cell r="J701" t="str">
            <v>OUTO</v>
          </cell>
          <cell r="K701" t="str">
            <v>D2007010</v>
          </cell>
          <cell r="L701">
            <v>11</v>
          </cell>
          <cell r="M701">
            <v>809740</v>
          </cell>
          <cell r="N701">
            <v>529441</v>
          </cell>
          <cell r="O701" t="str">
            <v xml:space="preserve">1.4306 TP304L </v>
          </cell>
          <cell r="P701" t="str">
            <v>304L</v>
          </cell>
          <cell r="Q701">
            <v>3.1539999999999999</v>
          </cell>
          <cell r="S701">
            <v>3.5000000000000003E-2</v>
          </cell>
          <cell r="T701">
            <v>3.4500000000000003E-2</v>
          </cell>
          <cell r="V701">
            <v>3.4500000000000003E-2</v>
          </cell>
          <cell r="X701">
            <v>1534</v>
          </cell>
          <cell r="Y701">
            <v>1</v>
          </cell>
          <cell r="Z701">
            <v>486.36651870640458</v>
          </cell>
          <cell r="AA701" t="str">
            <v>3.154X0.035-304L</v>
          </cell>
          <cell r="AB701" t="str">
            <v>WAAC008010090B300097</v>
          </cell>
          <cell r="AC701" t="str">
            <v>D2007010</v>
          </cell>
          <cell r="AD701">
            <v>529441</v>
          </cell>
          <cell r="AE701">
            <v>2.1000000000000001E-2</v>
          </cell>
          <cell r="AF701">
            <v>1.33</v>
          </cell>
          <cell r="AG701">
            <v>3.1E-2</v>
          </cell>
          <cell r="AH701">
            <v>1E-3</v>
          </cell>
          <cell r="AI701">
            <v>0.35</v>
          </cell>
          <cell r="AJ701">
            <v>18.2</v>
          </cell>
          <cell r="AK701">
            <v>8</v>
          </cell>
          <cell r="AL701">
            <v>7.1999999999999995E-2</v>
          </cell>
          <cell r="AM701">
            <v>0.34</v>
          </cell>
          <cell r="AN701">
            <v>0</v>
          </cell>
          <cell r="AO701">
            <v>0</v>
          </cell>
          <cell r="AP701">
            <v>0</v>
          </cell>
          <cell r="AQ701">
            <v>0</v>
          </cell>
          <cell r="AR701">
            <v>0.53</v>
          </cell>
          <cell r="AS701">
            <v>0</v>
          </cell>
          <cell r="AT701">
            <v>281</v>
          </cell>
          <cell r="AU701">
            <v>0</v>
          </cell>
          <cell r="AV701">
            <v>624</v>
          </cell>
          <cell r="AW701">
            <v>58</v>
          </cell>
          <cell r="AX701">
            <v>79</v>
          </cell>
          <cell r="AY701">
            <v>147</v>
          </cell>
          <cell r="AZ701">
            <v>1.21</v>
          </cell>
          <cell r="BA701" t="str">
            <v>D2007010</v>
          </cell>
          <cell r="BB701" t="str">
            <v>CONFORM</v>
          </cell>
          <cell r="BC701" t="str">
            <v>CONFORM</v>
          </cell>
          <cell r="BD701" t="str">
            <v>CONFORM</v>
          </cell>
          <cell r="BE701" t="str">
            <v>CONFORM</v>
          </cell>
          <cell r="BF701" t="str">
            <v>CONFORM</v>
          </cell>
        </row>
        <row r="702">
          <cell r="A702">
            <v>44013</v>
          </cell>
          <cell r="B702" t="str">
            <v>D2007010-12</v>
          </cell>
          <cell r="C702" t="str">
            <v>055/20</v>
          </cell>
          <cell r="D702">
            <v>1</v>
          </cell>
          <cell r="E702">
            <v>44011</v>
          </cell>
          <cell r="F702" t="str">
            <v>DC</v>
          </cell>
          <cell r="G702" t="str">
            <v>On Time</v>
          </cell>
          <cell r="H702" t="str">
            <v>0008512016</v>
          </cell>
          <cell r="I702">
            <v>44009</v>
          </cell>
          <cell r="J702" t="str">
            <v>OUTO</v>
          </cell>
          <cell r="K702" t="str">
            <v>D2007010</v>
          </cell>
          <cell r="L702">
            <v>12</v>
          </cell>
          <cell r="M702">
            <v>809740</v>
          </cell>
          <cell r="N702">
            <v>529441</v>
          </cell>
          <cell r="O702" t="str">
            <v xml:space="preserve">1.4306 TP304L </v>
          </cell>
          <cell r="P702" t="str">
            <v>304L</v>
          </cell>
          <cell r="Q702">
            <v>3.1539999999999999</v>
          </cell>
          <cell r="S702">
            <v>3.5000000000000003E-2</v>
          </cell>
          <cell r="T702">
            <v>3.4599999999999999E-2</v>
          </cell>
          <cell r="V702">
            <v>3.4599999999999999E-2</v>
          </cell>
          <cell r="X702">
            <v>1530</v>
          </cell>
          <cell r="Y702">
            <v>1</v>
          </cell>
          <cell r="Z702">
            <v>485.0982878883957</v>
          </cell>
          <cell r="AA702" t="str">
            <v>3.154X0.035-304L</v>
          </cell>
          <cell r="AB702" t="str">
            <v>WAAC008010090B300097</v>
          </cell>
          <cell r="AC702" t="str">
            <v>D2007010</v>
          </cell>
          <cell r="AD702">
            <v>529441</v>
          </cell>
          <cell r="AE702">
            <v>2.1000000000000001E-2</v>
          </cell>
          <cell r="AF702">
            <v>1.33</v>
          </cell>
          <cell r="AG702">
            <v>3.1E-2</v>
          </cell>
          <cell r="AH702">
            <v>1E-3</v>
          </cell>
          <cell r="AI702">
            <v>0.35</v>
          </cell>
          <cell r="AJ702">
            <v>18.2</v>
          </cell>
          <cell r="AK702">
            <v>8</v>
          </cell>
          <cell r="AL702">
            <v>7.1999999999999995E-2</v>
          </cell>
          <cell r="AM702">
            <v>0.34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  <cell r="AR702">
            <v>0.53</v>
          </cell>
          <cell r="AS702">
            <v>0</v>
          </cell>
          <cell r="AT702">
            <v>281</v>
          </cell>
          <cell r="AU702">
            <v>0</v>
          </cell>
          <cell r="AV702">
            <v>624</v>
          </cell>
          <cell r="AW702">
            <v>58</v>
          </cell>
          <cell r="AX702">
            <v>79</v>
          </cell>
          <cell r="AY702">
            <v>147</v>
          </cell>
          <cell r="AZ702">
            <v>1.21</v>
          </cell>
          <cell r="BA702" t="str">
            <v>D2007010</v>
          </cell>
          <cell r="BB702" t="str">
            <v>CONFORM</v>
          </cell>
          <cell r="BC702" t="str">
            <v>CONFORM</v>
          </cell>
          <cell r="BD702" t="str">
            <v>CONFORM</v>
          </cell>
          <cell r="BE702" t="str">
            <v>CONFORM</v>
          </cell>
          <cell r="BF702" t="str">
            <v>CONFORM</v>
          </cell>
        </row>
        <row r="703">
          <cell r="A703">
            <v>44013</v>
          </cell>
          <cell r="B703" t="str">
            <v>D2007010-13</v>
          </cell>
          <cell r="C703" t="str">
            <v>055/20</v>
          </cell>
          <cell r="D703">
            <v>1</v>
          </cell>
          <cell r="E703">
            <v>44011</v>
          </cell>
          <cell r="F703" t="str">
            <v>DC</v>
          </cell>
          <cell r="G703" t="str">
            <v>On Time</v>
          </cell>
          <cell r="H703" t="str">
            <v>0008512016</v>
          </cell>
          <cell r="I703">
            <v>44009</v>
          </cell>
          <cell r="J703" t="str">
            <v>OUTO</v>
          </cell>
          <cell r="K703" t="str">
            <v>D2007010</v>
          </cell>
          <cell r="L703">
            <v>13</v>
          </cell>
          <cell r="M703">
            <v>809740</v>
          </cell>
          <cell r="N703">
            <v>529441</v>
          </cell>
          <cell r="O703" t="str">
            <v xml:space="preserve">1.4306 TP304L </v>
          </cell>
          <cell r="P703" t="str">
            <v>304L</v>
          </cell>
          <cell r="Q703">
            <v>3.1539999999999999</v>
          </cell>
          <cell r="S703">
            <v>3.5000000000000003E-2</v>
          </cell>
          <cell r="T703">
            <v>3.4700000000000002E-2</v>
          </cell>
          <cell r="V703">
            <v>3.4700000000000002E-2</v>
          </cell>
          <cell r="X703">
            <v>1521</v>
          </cell>
          <cell r="Y703">
            <v>1</v>
          </cell>
          <cell r="Z703">
            <v>482.24476854787571</v>
          </cell>
          <cell r="AA703" t="str">
            <v>3.154X0.035-304L</v>
          </cell>
          <cell r="AB703" t="str">
            <v>WAAC008010090B300097</v>
          </cell>
          <cell r="AC703" t="str">
            <v>D2007010</v>
          </cell>
          <cell r="AD703">
            <v>529441</v>
          </cell>
          <cell r="AE703">
            <v>2.1000000000000001E-2</v>
          </cell>
          <cell r="AF703">
            <v>1.33</v>
          </cell>
          <cell r="AG703">
            <v>3.1E-2</v>
          </cell>
          <cell r="AH703">
            <v>1E-3</v>
          </cell>
          <cell r="AI703">
            <v>0.35</v>
          </cell>
          <cell r="AJ703">
            <v>18.2</v>
          </cell>
          <cell r="AK703">
            <v>8</v>
          </cell>
          <cell r="AL703">
            <v>7.1999999999999995E-2</v>
          </cell>
          <cell r="AM703">
            <v>0.34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  <cell r="AR703">
            <v>0.53</v>
          </cell>
          <cell r="AS703">
            <v>0</v>
          </cell>
          <cell r="AT703">
            <v>281</v>
          </cell>
          <cell r="AU703">
            <v>0</v>
          </cell>
          <cell r="AV703">
            <v>624</v>
          </cell>
          <cell r="AW703">
            <v>58</v>
          </cell>
          <cell r="AX703">
            <v>79</v>
          </cell>
          <cell r="AY703">
            <v>147</v>
          </cell>
          <cell r="AZ703">
            <v>1.21</v>
          </cell>
          <cell r="BA703" t="str">
            <v>D2007010</v>
          </cell>
          <cell r="BB703" t="str">
            <v>CONFORM</v>
          </cell>
          <cell r="BC703" t="str">
            <v>CONFORM</v>
          </cell>
          <cell r="BD703" t="str">
            <v>CONFORM</v>
          </cell>
          <cell r="BE703" t="str">
            <v>CONFORM</v>
          </cell>
          <cell r="BF703" t="str">
            <v>CONFORM</v>
          </cell>
        </row>
        <row r="704">
          <cell r="A704">
            <v>44013</v>
          </cell>
          <cell r="B704" t="str">
            <v>D2007010-14</v>
          </cell>
          <cell r="C704" t="str">
            <v>055/20</v>
          </cell>
          <cell r="D704">
            <v>1</v>
          </cell>
          <cell r="E704">
            <v>44011</v>
          </cell>
          <cell r="F704" t="str">
            <v>DC</v>
          </cell>
          <cell r="G704" t="str">
            <v>On Time</v>
          </cell>
          <cell r="H704" t="str">
            <v>0008512016</v>
          </cell>
          <cell r="I704">
            <v>44009</v>
          </cell>
          <cell r="J704" t="str">
            <v>OUTO</v>
          </cell>
          <cell r="K704" t="str">
            <v>D2007010</v>
          </cell>
          <cell r="L704">
            <v>14</v>
          </cell>
          <cell r="M704">
            <v>809740</v>
          </cell>
          <cell r="N704">
            <v>529441</v>
          </cell>
          <cell r="O704" t="str">
            <v xml:space="preserve">1.4306 TP304L </v>
          </cell>
          <cell r="P704" t="str">
            <v>304L</v>
          </cell>
          <cell r="Q704">
            <v>3.1539999999999999</v>
          </cell>
          <cell r="S704">
            <v>3.5000000000000003E-2</v>
          </cell>
          <cell r="T704">
            <v>3.4599999999999999E-2</v>
          </cell>
          <cell r="V704">
            <v>3.4599999999999999E-2</v>
          </cell>
          <cell r="X704">
            <v>1521</v>
          </cell>
          <cell r="Y704">
            <v>1</v>
          </cell>
          <cell r="Z704">
            <v>482.24476854787571</v>
          </cell>
          <cell r="AA704" t="str">
            <v>3.154X0.035-304L</v>
          </cell>
          <cell r="AB704" t="str">
            <v>WAAC008010090B300097</v>
          </cell>
          <cell r="AC704" t="str">
            <v>D2007010</v>
          </cell>
          <cell r="AD704">
            <v>529441</v>
          </cell>
          <cell r="AE704">
            <v>2.1000000000000001E-2</v>
          </cell>
          <cell r="AF704">
            <v>1.33</v>
          </cell>
          <cell r="AG704">
            <v>3.1E-2</v>
          </cell>
          <cell r="AH704">
            <v>1E-3</v>
          </cell>
          <cell r="AI704">
            <v>0.35</v>
          </cell>
          <cell r="AJ704">
            <v>18.2</v>
          </cell>
          <cell r="AK704">
            <v>8</v>
          </cell>
          <cell r="AL704">
            <v>7.1999999999999995E-2</v>
          </cell>
          <cell r="AM704">
            <v>0.34</v>
          </cell>
          <cell r="AN704">
            <v>0</v>
          </cell>
          <cell r="AO704">
            <v>0</v>
          </cell>
          <cell r="AP704">
            <v>0</v>
          </cell>
          <cell r="AQ704">
            <v>0</v>
          </cell>
          <cell r="AR704">
            <v>0.53</v>
          </cell>
          <cell r="AS704">
            <v>0</v>
          </cell>
          <cell r="AT704">
            <v>281</v>
          </cell>
          <cell r="AU704">
            <v>0</v>
          </cell>
          <cell r="AV704">
            <v>624</v>
          </cell>
          <cell r="AW704">
            <v>58</v>
          </cell>
          <cell r="AX704">
            <v>79</v>
          </cell>
          <cell r="AY704">
            <v>147</v>
          </cell>
          <cell r="AZ704">
            <v>1.21</v>
          </cell>
          <cell r="BA704" t="str">
            <v>D2007010</v>
          </cell>
          <cell r="BB704" t="str">
            <v>CONFORM</v>
          </cell>
          <cell r="BC704" t="str">
            <v>CONFORM</v>
          </cell>
          <cell r="BD704" t="str">
            <v>CONFORM</v>
          </cell>
          <cell r="BE704" t="str">
            <v>CONFORM</v>
          </cell>
          <cell r="BF704" t="str">
            <v>CONFORM</v>
          </cell>
        </row>
        <row r="705">
          <cell r="A705">
            <v>44013</v>
          </cell>
          <cell r="B705" t="str">
            <v>D2007010-15</v>
          </cell>
          <cell r="C705" t="str">
            <v>055/20</v>
          </cell>
          <cell r="D705">
            <v>1</v>
          </cell>
          <cell r="E705">
            <v>44011</v>
          </cell>
          <cell r="F705" t="str">
            <v>DC</v>
          </cell>
          <cell r="G705" t="str">
            <v>On Time</v>
          </cell>
          <cell r="H705" t="str">
            <v>0008512016</v>
          </cell>
          <cell r="I705">
            <v>44009</v>
          </cell>
          <cell r="J705" t="str">
            <v>OUTO</v>
          </cell>
          <cell r="K705" t="str">
            <v>D2007010</v>
          </cell>
          <cell r="L705">
            <v>15</v>
          </cell>
          <cell r="M705">
            <v>809740</v>
          </cell>
          <cell r="N705">
            <v>529441</v>
          </cell>
          <cell r="O705" t="str">
            <v xml:space="preserve">1.4306 TP304L </v>
          </cell>
          <cell r="P705" t="str">
            <v>304L</v>
          </cell>
          <cell r="Q705">
            <v>3.1539999999999999</v>
          </cell>
          <cell r="S705">
            <v>3.5000000000000003E-2</v>
          </cell>
          <cell r="T705">
            <v>3.4799999999999998E-2</v>
          </cell>
          <cell r="V705">
            <v>3.4799999999999998E-2</v>
          </cell>
          <cell r="X705">
            <v>1530</v>
          </cell>
          <cell r="Y705">
            <v>1</v>
          </cell>
          <cell r="Z705">
            <v>485.0982878883957</v>
          </cell>
          <cell r="AA705" t="str">
            <v>3.154X0.035-304L</v>
          </cell>
          <cell r="AB705" t="str">
            <v>WAAC008010090B300097</v>
          </cell>
          <cell r="AC705" t="str">
            <v>D2007010</v>
          </cell>
          <cell r="AD705">
            <v>529441</v>
          </cell>
          <cell r="AE705">
            <v>2.1000000000000001E-2</v>
          </cell>
          <cell r="AF705">
            <v>1.33</v>
          </cell>
          <cell r="AG705">
            <v>3.1E-2</v>
          </cell>
          <cell r="AH705">
            <v>1E-3</v>
          </cell>
          <cell r="AI705">
            <v>0.35</v>
          </cell>
          <cell r="AJ705">
            <v>18.2</v>
          </cell>
          <cell r="AK705">
            <v>8</v>
          </cell>
          <cell r="AL705">
            <v>7.1999999999999995E-2</v>
          </cell>
          <cell r="AM705">
            <v>0.34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0.53</v>
          </cell>
          <cell r="AS705">
            <v>0</v>
          </cell>
          <cell r="AT705">
            <v>281</v>
          </cell>
          <cell r="AU705">
            <v>0</v>
          </cell>
          <cell r="AV705">
            <v>624</v>
          </cell>
          <cell r="AW705">
            <v>58</v>
          </cell>
          <cell r="AX705">
            <v>79</v>
          </cell>
          <cell r="AY705">
            <v>147</v>
          </cell>
          <cell r="AZ705">
            <v>1.21</v>
          </cell>
          <cell r="BA705" t="str">
            <v>D2007010</v>
          </cell>
          <cell r="BB705" t="str">
            <v>CONFORM</v>
          </cell>
          <cell r="BC705" t="str">
            <v>CONFORM</v>
          </cell>
          <cell r="BD705" t="str">
            <v>CONFORM</v>
          </cell>
          <cell r="BE705" t="str">
            <v>CONFORM</v>
          </cell>
          <cell r="BF705" t="str">
            <v>CONFORM</v>
          </cell>
        </row>
        <row r="706">
          <cell r="A706">
            <v>44025</v>
          </cell>
          <cell r="B706" t="str">
            <v>D2007052-1</v>
          </cell>
          <cell r="C706" t="str">
            <v>066/20</v>
          </cell>
          <cell r="D706">
            <v>1</v>
          </cell>
          <cell r="E706">
            <v>44026</v>
          </cell>
          <cell r="F706" t="str">
            <v>DC</v>
          </cell>
          <cell r="G706" t="str">
            <v>On Time</v>
          </cell>
          <cell r="H706">
            <v>2407608133</v>
          </cell>
          <cell r="I706">
            <v>44021</v>
          </cell>
          <cell r="J706" t="str">
            <v>TKM</v>
          </cell>
          <cell r="K706" t="str">
            <v>D2007052</v>
          </cell>
          <cell r="L706">
            <v>1</v>
          </cell>
          <cell r="M706">
            <v>3275095</v>
          </cell>
          <cell r="N706">
            <v>529379</v>
          </cell>
          <cell r="O706" t="str">
            <v xml:space="preserve">1.4306 TP304L </v>
          </cell>
          <cell r="P706" t="str">
            <v>304L</v>
          </cell>
          <cell r="Q706">
            <v>6.1689999999999996</v>
          </cell>
          <cell r="R706">
            <v>6.1689999999999996</v>
          </cell>
          <cell r="S706">
            <v>7.9000000000000001E-2</v>
          </cell>
          <cell r="T706">
            <v>7.6999999999999999E-2</v>
          </cell>
          <cell r="V706">
            <v>7.6999999999999999E-2</v>
          </cell>
          <cell r="W706" t="str">
            <v>TB</v>
          </cell>
          <cell r="X706">
            <v>4254</v>
          </cell>
          <cell r="Y706">
            <v>2</v>
          </cell>
          <cell r="Z706">
            <v>344.78845842113799</v>
          </cell>
          <cell r="AA706" t="str">
            <v>6.169X0.079-304L</v>
          </cell>
          <cell r="AB706" t="str">
            <v>WAAC015670200B300092</v>
          </cell>
          <cell r="AC706" t="str">
            <v>D2007052</v>
          </cell>
          <cell r="AD706">
            <v>529379</v>
          </cell>
          <cell r="AE706">
            <v>2.3E-2</v>
          </cell>
          <cell r="AF706">
            <v>1.78</v>
          </cell>
          <cell r="AG706">
            <v>3.1E-2</v>
          </cell>
          <cell r="AH706">
            <v>1.2999999999999999E-2</v>
          </cell>
          <cell r="AI706">
            <v>0.63</v>
          </cell>
          <cell r="AJ706">
            <v>18.2</v>
          </cell>
          <cell r="AK706">
            <v>8</v>
          </cell>
          <cell r="AL706">
            <v>6.6000000000000003E-2</v>
          </cell>
          <cell r="AM706">
            <v>0.33</v>
          </cell>
          <cell r="AN706">
            <v>0</v>
          </cell>
          <cell r="AO706">
            <v>0</v>
          </cell>
          <cell r="AP706">
            <v>0</v>
          </cell>
          <cell r="AQ706">
            <v>0</v>
          </cell>
          <cell r="AR706">
            <v>0.47</v>
          </cell>
          <cell r="AS706">
            <v>0</v>
          </cell>
          <cell r="AT706">
            <v>315</v>
          </cell>
          <cell r="AU706">
            <v>0</v>
          </cell>
          <cell r="AV706">
            <v>660</v>
          </cell>
          <cell r="AW706">
            <v>52</v>
          </cell>
          <cell r="AX706">
            <v>83</v>
          </cell>
          <cell r="AY706">
            <v>159</v>
          </cell>
          <cell r="AZ706">
            <v>1.3297000000000001</v>
          </cell>
          <cell r="BA706" t="str">
            <v>D2007052</v>
          </cell>
          <cell r="BB706" t="str">
            <v>CONFORM</v>
          </cell>
          <cell r="BC706" t="str">
            <v>CONFORM</v>
          </cell>
          <cell r="BD706" t="str">
            <v>CONFORM</v>
          </cell>
          <cell r="BE706" t="str">
            <v>CONFORM</v>
          </cell>
          <cell r="BF706" t="str">
            <v>CONFORM</v>
          </cell>
        </row>
        <row r="707">
          <cell r="A707">
            <v>44025</v>
          </cell>
          <cell r="B707" t="str">
            <v>D2007052-2</v>
          </cell>
          <cell r="C707" t="str">
            <v>066/20</v>
          </cell>
          <cell r="D707">
            <v>1</v>
          </cell>
          <cell r="E707">
            <v>44026</v>
          </cell>
          <cell r="F707" t="str">
            <v>DC</v>
          </cell>
          <cell r="G707" t="str">
            <v>On Time</v>
          </cell>
          <cell r="H707">
            <v>2407608133</v>
          </cell>
          <cell r="I707">
            <v>44021</v>
          </cell>
          <cell r="J707" t="str">
            <v>TKM</v>
          </cell>
          <cell r="K707" t="str">
            <v>D2007052</v>
          </cell>
          <cell r="L707">
            <v>2</v>
          </cell>
          <cell r="M707">
            <v>3275095</v>
          </cell>
          <cell r="N707">
            <v>529379</v>
          </cell>
          <cell r="O707" t="str">
            <v xml:space="preserve">1.4306 TP304L </v>
          </cell>
          <cell r="P707" t="str">
            <v>304L</v>
          </cell>
          <cell r="Q707">
            <v>6.1689999999999996</v>
          </cell>
          <cell r="R707">
            <v>6.1669999999999998</v>
          </cell>
          <cell r="S707">
            <v>7.9000000000000001E-2</v>
          </cell>
          <cell r="T707">
            <v>7.7049999999999993E-2</v>
          </cell>
          <cell r="V707">
            <v>7.7049999999999993E-2</v>
          </cell>
          <cell r="W707" t="str">
            <v>TB</v>
          </cell>
          <cell r="X707">
            <v>4264</v>
          </cell>
          <cell r="Y707">
            <v>2</v>
          </cell>
          <cell r="Z707">
            <v>345.59896255470903</v>
          </cell>
          <cell r="AA707" t="str">
            <v>6.169X0.079-304L</v>
          </cell>
          <cell r="AB707" t="str">
            <v>WAAC015670200B300092</v>
          </cell>
          <cell r="AC707" t="str">
            <v>D2007052</v>
          </cell>
          <cell r="AD707">
            <v>529379</v>
          </cell>
          <cell r="AE707">
            <v>2.3E-2</v>
          </cell>
          <cell r="AF707">
            <v>1.78</v>
          </cell>
          <cell r="AG707">
            <v>3.1E-2</v>
          </cell>
          <cell r="AH707">
            <v>1.2999999999999999E-2</v>
          </cell>
          <cell r="AI707">
            <v>0.63</v>
          </cell>
          <cell r="AJ707">
            <v>18.2</v>
          </cell>
          <cell r="AK707">
            <v>8</v>
          </cell>
          <cell r="AL707">
            <v>6.6000000000000003E-2</v>
          </cell>
          <cell r="AM707">
            <v>0.33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0.47</v>
          </cell>
          <cell r="AS707">
            <v>0</v>
          </cell>
          <cell r="AT707">
            <v>315</v>
          </cell>
          <cell r="AU707">
            <v>0</v>
          </cell>
          <cell r="AV707">
            <v>660</v>
          </cell>
          <cell r="AW707">
            <v>52</v>
          </cell>
          <cell r="AX707">
            <v>83</v>
          </cell>
          <cell r="AY707">
            <v>159</v>
          </cell>
          <cell r="AZ707">
            <v>1.3297000000000001</v>
          </cell>
          <cell r="BA707" t="str">
            <v>D2007052</v>
          </cell>
          <cell r="BB707" t="str">
            <v>CONFORM</v>
          </cell>
          <cell r="BC707" t="str">
            <v>CONFORM</v>
          </cell>
          <cell r="BD707" t="str">
            <v>CONFORM</v>
          </cell>
          <cell r="BE707" t="str">
            <v>CONFORM</v>
          </cell>
          <cell r="BF707" t="str">
            <v>CONFORM</v>
          </cell>
        </row>
        <row r="708">
          <cell r="A708">
            <v>44025</v>
          </cell>
          <cell r="B708" t="str">
            <v>D2007052-3</v>
          </cell>
          <cell r="C708" t="str">
            <v>066/20</v>
          </cell>
          <cell r="D708">
            <v>1</v>
          </cell>
          <cell r="E708">
            <v>44026</v>
          </cell>
          <cell r="F708" t="str">
            <v>DC</v>
          </cell>
          <cell r="G708" t="str">
            <v>On Time</v>
          </cell>
          <cell r="H708">
            <v>2407608134</v>
          </cell>
          <cell r="I708">
            <v>44021</v>
          </cell>
          <cell r="J708" t="str">
            <v>TKM</v>
          </cell>
          <cell r="K708" t="str">
            <v>D2007052</v>
          </cell>
          <cell r="L708">
            <v>3</v>
          </cell>
          <cell r="M708">
            <v>3275393</v>
          </cell>
          <cell r="N708">
            <v>529379</v>
          </cell>
          <cell r="O708" t="str">
            <v xml:space="preserve">1.4306 TP304L </v>
          </cell>
          <cell r="P708" t="str">
            <v>304L</v>
          </cell>
          <cell r="Q708">
            <v>6.1689999999999996</v>
          </cell>
          <cell r="R708">
            <v>6.1680000000000001</v>
          </cell>
          <cell r="S708">
            <v>7.9000000000000001E-2</v>
          </cell>
          <cell r="T708">
            <v>7.6649999999999996E-2</v>
          </cell>
          <cell r="V708">
            <v>7.6649999999999996E-2</v>
          </cell>
          <cell r="W708" t="str">
            <v>TB</v>
          </cell>
          <cell r="X708">
            <v>4206</v>
          </cell>
          <cell r="Y708">
            <v>2</v>
          </cell>
          <cell r="Z708">
            <v>340.89803857999681</v>
          </cell>
          <cell r="AA708" t="str">
            <v>6.169X0.079-304L</v>
          </cell>
          <cell r="AB708" t="str">
            <v>WAAC015670200B300092</v>
          </cell>
          <cell r="AC708" t="str">
            <v>D2007052</v>
          </cell>
          <cell r="AD708">
            <v>529379</v>
          </cell>
          <cell r="AE708">
            <v>2.3E-2</v>
          </cell>
          <cell r="AF708">
            <v>1.78</v>
          </cell>
          <cell r="AG708">
            <v>3.1E-2</v>
          </cell>
          <cell r="AH708">
            <v>1.2999999999999999E-2</v>
          </cell>
          <cell r="AI708">
            <v>0.63</v>
          </cell>
          <cell r="AJ708">
            <v>18.2</v>
          </cell>
          <cell r="AK708">
            <v>8</v>
          </cell>
          <cell r="AL708">
            <v>6.6000000000000003E-2</v>
          </cell>
          <cell r="AM708">
            <v>0.33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0.47</v>
          </cell>
          <cell r="AS708">
            <v>0</v>
          </cell>
          <cell r="AT708">
            <v>315</v>
          </cell>
          <cell r="AU708">
            <v>0</v>
          </cell>
          <cell r="AV708">
            <v>660</v>
          </cell>
          <cell r="AW708">
            <v>52</v>
          </cell>
          <cell r="AX708">
            <v>83</v>
          </cell>
          <cell r="AY708">
            <v>159</v>
          </cell>
          <cell r="AZ708">
            <v>1.3297000000000001</v>
          </cell>
          <cell r="BA708" t="str">
            <v>D2007052</v>
          </cell>
          <cell r="BB708" t="str">
            <v>CONFORM</v>
          </cell>
          <cell r="BC708" t="str">
            <v>CONFORM</v>
          </cell>
          <cell r="BD708" t="str">
            <v>CONFORM</v>
          </cell>
          <cell r="BE708" t="str">
            <v>CONFORM</v>
          </cell>
          <cell r="BF708" t="str">
            <v>CONFORM</v>
          </cell>
        </row>
        <row r="709">
          <cell r="A709">
            <v>44025</v>
          </cell>
          <cell r="B709" t="str">
            <v>D2007052-4</v>
          </cell>
          <cell r="C709" t="str">
            <v>066/20</v>
          </cell>
          <cell r="D709">
            <v>1</v>
          </cell>
          <cell r="E709">
            <v>44026</v>
          </cell>
          <cell r="F709" t="str">
            <v>DC</v>
          </cell>
          <cell r="G709" t="str">
            <v>On Time</v>
          </cell>
          <cell r="H709">
            <v>2407608134</v>
          </cell>
          <cell r="I709">
            <v>44021</v>
          </cell>
          <cell r="J709" t="str">
            <v>TKM</v>
          </cell>
          <cell r="K709" t="str">
            <v>D2007052</v>
          </cell>
          <cell r="L709">
            <v>4</v>
          </cell>
          <cell r="M709">
            <v>3275393</v>
          </cell>
          <cell r="N709">
            <v>529379</v>
          </cell>
          <cell r="O709" t="str">
            <v xml:space="preserve">1.4306 TP304L </v>
          </cell>
          <cell r="P709" t="str">
            <v>304L</v>
          </cell>
          <cell r="Q709">
            <v>6.1689999999999996</v>
          </cell>
          <cell r="R709">
            <v>6.1680000000000001</v>
          </cell>
          <cell r="S709">
            <v>7.9000000000000001E-2</v>
          </cell>
          <cell r="T709">
            <v>7.6799999999999993E-2</v>
          </cell>
          <cell r="V709">
            <v>7.6799999999999993E-2</v>
          </cell>
          <cell r="W709" t="str">
            <v>TB</v>
          </cell>
          <cell r="X709">
            <v>4218</v>
          </cell>
          <cell r="Y709">
            <v>2</v>
          </cell>
          <cell r="Z709">
            <v>341.87064354028206</v>
          </cell>
          <cell r="AA709" t="str">
            <v>6.169X0.079-304L</v>
          </cell>
          <cell r="AB709" t="str">
            <v>WAAC015670200B300092</v>
          </cell>
          <cell r="AC709" t="str">
            <v>D2007052</v>
          </cell>
          <cell r="AD709">
            <v>529379</v>
          </cell>
          <cell r="AE709">
            <v>2.3E-2</v>
          </cell>
          <cell r="AF709">
            <v>1.78</v>
          </cell>
          <cell r="AG709">
            <v>3.1E-2</v>
          </cell>
          <cell r="AH709">
            <v>1.2999999999999999E-2</v>
          </cell>
          <cell r="AI709">
            <v>0.63</v>
          </cell>
          <cell r="AJ709">
            <v>18.2</v>
          </cell>
          <cell r="AK709">
            <v>8</v>
          </cell>
          <cell r="AL709">
            <v>6.6000000000000003E-2</v>
          </cell>
          <cell r="AM709">
            <v>0.33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0.47</v>
          </cell>
          <cell r="AS709">
            <v>0</v>
          </cell>
          <cell r="AT709">
            <v>315</v>
          </cell>
          <cell r="AU709">
            <v>0</v>
          </cell>
          <cell r="AV709">
            <v>660</v>
          </cell>
          <cell r="AW709">
            <v>52</v>
          </cell>
          <cell r="AX709">
            <v>83</v>
          </cell>
          <cell r="AY709">
            <v>159</v>
          </cell>
          <cell r="AZ709">
            <v>1.3297000000000001</v>
          </cell>
          <cell r="BA709" t="str">
            <v>D2007052</v>
          </cell>
          <cell r="BB709" t="str">
            <v>CONFORM</v>
          </cell>
          <cell r="BC709" t="str">
            <v>CONFORM</v>
          </cell>
          <cell r="BD709" t="str">
            <v>CONFORM</v>
          </cell>
          <cell r="BE709" t="str">
            <v>CONFORM</v>
          </cell>
          <cell r="BF709" t="str">
            <v>CONFORM</v>
          </cell>
        </row>
        <row r="710">
          <cell r="A710">
            <v>44032</v>
          </cell>
          <cell r="B710" t="str">
            <v>D2007103-1</v>
          </cell>
          <cell r="C710" t="str">
            <v>067/20</v>
          </cell>
          <cell r="D710">
            <v>1</v>
          </cell>
          <cell r="E710">
            <v>44031</v>
          </cell>
          <cell r="F710" t="str">
            <v>DC</v>
          </cell>
          <cell r="G710" t="str">
            <v>On Time</v>
          </cell>
          <cell r="H710">
            <v>20200720018</v>
          </cell>
          <cell r="I710">
            <v>44032</v>
          </cell>
          <cell r="J710" t="str">
            <v>COILPLUS</v>
          </cell>
          <cell r="K710" t="str">
            <v>D2007103</v>
          </cell>
          <cell r="L710">
            <v>1</v>
          </cell>
          <cell r="M710">
            <v>3257800</v>
          </cell>
          <cell r="N710">
            <v>528563</v>
          </cell>
          <cell r="O710" t="str">
            <v xml:space="preserve">1.4306 TP304L </v>
          </cell>
          <cell r="P710" t="str">
            <v>304L</v>
          </cell>
          <cell r="Q710">
            <v>3.9129999999999998</v>
          </cell>
          <cell r="R710">
            <v>3.9350000000000001</v>
          </cell>
          <cell r="S710">
            <v>4.7E-2</v>
          </cell>
          <cell r="T710">
            <v>4.5350000000000001E-2</v>
          </cell>
          <cell r="V710">
            <v>4.5350000000000001E-2</v>
          </cell>
          <cell r="W710" t="str">
            <v>AB</v>
          </cell>
          <cell r="X710">
            <v>5722</v>
          </cell>
          <cell r="Y710">
            <v>3</v>
          </cell>
          <cell r="Z710">
            <v>487.43504557458044</v>
          </cell>
          <cell r="AA710" t="str">
            <v>3.913X0.047-304L</v>
          </cell>
          <cell r="AB710" t="str">
            <v>WAAC009940120B300053</v>
          </cell>
          <cell r="AC710" t="str">
            <v>D2007103</v>
          </cell>
          <cell r="AD710">
            <v>528563</v>
          </cell>
          <cell r="AE710">
            <v>2.3E-2</v>
          </cell>
          <cell r="AF710">
            <v>1.31</v>
          </cell>
          <cell r="AG710">
            <v>3.2000000000000001E-2</v>
          </cell>
          <cell r="AH710">
            <v>1E-3</v>
          </cell>
          <cell r="AI710">
            <v>0.33</v>
          </cell>
          <cell r="AJ710">
            <v>18.100000000000001</v>
          </cell>
          <cell r="AK710">
            <v>8</v>
          </cell>
          <cell r="AL710">
            <v>6.7000000000000004E-2</v>
          </cell>
          <cell r="AM710">
            <v>0.35</v>
          </cell>
          <cell r="AN710">
            <v>0</v>
          </cell>
          <cell r="AO710">
            <v>0</v>
          </cell>
          <cell r="AP710">
            <v>0</v>
          </cell>
          <cell r="AQ710">
            <v>0</v>
          </cell>
          <cell r="AR710">
            <v>0.45</v>
          </cell>
          <cell r="AS710">
            <v>0</v>
          </cell>
          <cell r="AT710">
            <v>292</v>
          </cell>
          <cell r="AU710">
            <v>0</v>
          </cell>
          <cell r="AV710">
            <v>650</v>
          </cell>
          <cell r="AW710">
            <v>58</v>
          </cell>
          <cell r="AX710">
            <v>82</v>
          </cell>
          <cell r="AY710">
            <v>156</v>
          </cell>
          <cell r="AZ710">
            <v>8.5000000000000006E-2</v>
          </cell>
          <cell r="BA710" t="str">
            <v>D2007103</v>
          </cell>
          <cell r="BB710" t="str">
            <v>CONFORM</v>
          </cell>
          <cell r="BC710" t="str">
            <v>CONFORM</v>
          </cell>
          <cell r="BD710" t="str">
            <v>CONFORM</v>
          </cell>
          <cell r="BE710" t="str">
            <v>CONFORM</v>
          </cell>
          <cell r="BF710" t="str">
            <v>CONFORM</v>
          </cell>
        </row>
        <row r="711">
          <cell r="A711">
            <v>44032</v>
          </cell>
          <cell r="B711" t="str">
            <v>D2007103-2</v>
          </cell>
          <cell r="C711" t="str">
            <v>067/20</v>
          </cell>
          <cell r="D711">
            <v>1</v>
          </cell>
          <cell r="E711">
            <v>44031</v>
          </cell>
          <cell r="F711" t="str">
            <v>DC</v>
          </cell>
          <cell r="G711" t="str">
            <v>On Time</v>
          </cell>
          <cell r="H711">
            <v>20200720018</v>
          </cell>
          <cell r="I711">
            <v>44032</v>
          </cell>
          <cell r="J711" t="str">
            <v>COILPLUS</v>
          </cell>
          <cell r="K711" t="str">
            <v>D2007103</v>
          </cell>
          <cell r="L711">
            <v>2</v>
          </cell>
          <cell r="M711">
            <v>3257800</v>
          </cell>
          <cell r="N711">
            <v>528563</v>
          </cell>
          <cell r="O711" t="str">
            <v xml:space="preserve">1.4306 TP304L </v>
          </cell>
          <cell r="P711" t="str">
            <v>304L</v>
          </cell>
          <cell r="Q711">
            <v>3.9129999999999998</v>
          </cell>
          <cell r="R711">
            <v>3.91</v>
          </cell>
          <cell r="S711">
            <v>4.7E-2</v>
          </cell>
          <cell r="T711">
            <v>4.5999999999999999E-2</v>
          </cell>
          <cell r="V711">
            <v>4.5999999999999999E-2</v>
          </cell>
          <cell r="W711" t="str">
            <v>AB</v>
          </cell>
          <cell r="X711">
            <v>3846</v>
          </cell>
          <cell r="Y711">
            <v>2</v>
          </cell>
          <cell r="Z711">
            <v>491.43879376437519</v>
          </cell>
          <cell r="AA711" t="str">
            <v>3.913X0.047-304L</v>
          </cell>
          <cell r="AB711" t="str">
            <v>WAAC009940120B300053</v>
          </cell>
          <cell r="AC711" t="str">
            <v>D2007103</v>
          </cell>
          <cell r="AD711">
            <v>528563</v>
          </cell>
          <cell r="AE711">
            <v>2.3E-2</v>
          </cell>
          <cell r="AF711">
            <v>1.31</v>
          </cell>
          <cell r="AG711">
            <v>3.2000000000000001E-2</v>
          </cell>
          <cell r="AH711">
            <v>1E-3</v>
          </cell>
          <cell r="AI711">
            <v>0.33</v>
          </cell>
          <cell r="AJ711">
            <v>18.100000000000001</v>
          </cell>
          <cell r="AK711">
            <v>8</v>
          </cell>
          <cell r="AL711">
            <v>6.7000000000000004E-2</v>
          </cell>
          <cell r="AM711">
            <v>0.35</v>
          </cell>
          <cell r="AN711">
            <v>0</v>
          </cell>
          <cell r="AO711">
            <v>0</v>
          </cell>
          <cell r="AP711">
            <v>0</v>
          </cell>
          <cell r="AQ711">
            <v>0</v>
          </cell>
          <cell r="AR711">
            <v>0.45</v>
          </cell>
          <cell r="AS711">
            <v>0</v>
          </cell>
          <cell r="AT711">
            <v>292</v>
          </cell>
          <cell r="AU711">
            <v>0</v>
          </cell>
          <cell r="AV711">
            <v>650</v>
          </cell>
          <cell r="AW711">
            <v>58</v>
          </cell>
          <cell r="AX711">
            <v>82</v>
          </cell>
          <cell r="AY711">
            <v>156</v>
          </cell>
          <cell r="AZ711">
            <v>8.5000000000000006E-2</v>
          </cell>
          <cell r="BA711" t="str">
            <v>D2007103</v>
          </cell>
          <cell r="BB711" t="str">
            <v>CONFORM</v>
          </cell>
          <cell r="BC711" t="str">
            <v>CONFORM</v>
          </cell>
          <cell r="BD711" t="str">
            <v>CONFORM</v>
          </cell>
          <cell r="BE711" t="str">
            <v>CONFORM</v>
          </cell>
          <cell r="BF711" t="str">
            <v>CONFORM</v>
          </cell>
        </row>
        <row r="712">
          <cell r="A712">
            <v>44032</v>
          </cell>
          <cell r="B712" t="str">
            <v>D2007103-3</v>
          </cell>
          <cell r="C712" t="str">
            <v>067/20</v>
          </cell>
          <cell r="D712">
            <v>1</v>
          </cell>
          <cell r="E712">
            <v>44031</v>
          </cell>
          <cell r="F712" t="str">
            <v>DC</v>
          </cell>
          <cell r="G712" t="str">
            <v>On Time</v>
          </cell>
          <cell r="H712">
            <v>20200720018</v>
          </cell>
          <cell r="I712">
            <v>44032</v>
          </cell>
          <cell r="J712" t="str">
            <v>COILPLUS</v>
          </cell>
          <cell r="K712" t="str">
            <v>D2007103</v>
          </cell>
          <cell r="L712">
            <v>3</v>
          </cell>
          <cell r="M712">
            <v>3257800</v>
          </cell>
          <cell r="N712">
            <v>528563</v>
          </cell>
          <cell r="O712" t="str">
            <v xml:space="preserve">1.4306 TP304L </v>
          </cell>
          <cell r="P712" t="str">
            <v>304L</v>
          </cell>
          <cell r="Q712">
            <v>3.9129999999999998</v>
          </cell>
          <cell r="R712">
            <v>3.9079999999999999</v>
          </cell>
          <cell r="S712">
            <v>4.7E-2</v>
          </cell>
          <cell r="T712">
            <v>4.5699999999999998E-2</v>
          </cell>
          <cell r="V712">
            <v>4.5699999999999998E-2</v>
          </cell>
          <cell r="W712" t="str">
            <v>AB</v>
          </cell>
          <cell r="X712">
            <v>3824</v>
          </cell>
          <cell r="Y712">
            <v>2</v>
          </cell>
          <cell r="Z712">
            <v>488.6276514183491</v>
          </cell>
          <cell r="AA712" t="str">
            <v>3.913X0.047-304L</v>
          </cell>
          <cell r="AB712" t="str">
            <v>WAAC009940120B300053</v>
          </cell>
          <cell r="AC712" t="str">
            <v>D2007103</v>
          </cell>
          <cell r="AD712">
            <v>528563</v>
          </cell>
          <cell r="AE712">
            <v>2.3E-2</v>
          </cell>
          <cell r="AF712">
            <v>1.31</v>
          </cell>
          <cell r="AG712">
            <v>3.2000000000000001E-2</v>
          </cell>
          <cell r="AH712">
            <v>1E-3</v>
          </cell>
          <cell r="AI712">
            <v>0.33</v>
          </cell>
          <cell r="AJ712">
            <v>18.100000000000001</v>
          </cell>
          <cell r="AK712">
            <v>8</v>
          </cell>
          <cell r="AL712">
            <v>6.7000000000000004E-2</v>
          </cell>
          <cell r="AM712">
            <v>0.35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  <cell r="AR712">
            <v>0.45</v>
          </cell>
          <cell r="AS712">
            <v>0</v>
          </cell>
          <cell r="AT712">
            <v>292</v>
          </cell>
          <cell r="AU712">
            <v>0</v>
          </cell>
          <cell r="AV712">
            <v>650</v>
          </cell>
          <cell r="AW712">
            <v>58</v>
          </cell>
          <cell r="AX712">
            <v>82</v>
          </cell>
          <cell r="AY712">
            <v>156</v>
          </cell>
          <cell r="AZ712">
            <v>8.5000000000000006E-2</v>
          </cell>
          <cell r="BA712" t="str">
            <v>D2007103</v>
          </cell>
          <cell r="BB712" t="str">
            <v>CONFORM</v>
          </cell>
          <cell r="BC712" t="str">
            <v>CONFORM</v>
          </cell>
          <cell r="BD712" t="str">
            <v>CONFORM</v>
          </cell>
          <cell r="BE712" t="str">
            <v>CONFORM</v>
          </cell>
          <cell r="BF712" t="str">
            <v>CONFORM</v>
          </cell>
        </row>
        <row r="713">
          <cell r="A713">
            <v>44032</v>
          </cell>
          <cell r="B713" t="str">
            <v>D2007104-1</v>
          </cell>
          <cell r="C713" t="str">
            <v>067/20</v>
          </cell>
          <cell r="D713">
            <v>2</v>
          </cell>
          <cell r="E713">
            <v>44031</v>
          </cell>
          <cell r="F713" t="str">
            <v>DC</v>
          </cell>
          <cell r="G713" t="str">
            <v>On Time</v>
          </cell>
          <cell r="H713">
            <v>20200720018</v>
          </cell>
          <cell r="I713">
            <v>44032</v>
          </cell>
          <cell r="J713" t="str">
            <v>COILPLUS</v>
          </cell>
          <cell r="K713" t="str">
            <v>D2007104</v>
          </cell>
          <cell r="L713">
            <v>1</v>
          </cell>
          <cell r="M713">
            <v>3257800</v>
          </cell>
          <cell r="N713">
            <v>528563</v>
          </cell>
          <cell r="O713" t="str">
            <v xml:space="preserve">1.4306 TP304L </v>
          </cell>
          <cell r="P713" t="str">
            <v>304L</v>
          </cell>
          <cell r="Q713">
            <v>1.913</v>
          </cell>
          <cell r="R713">
            <v>1.913</v>
          </cell>
          <cell r="S713">
            <v>4.7E-2</v>
          </cell>
          <cell r="T713">
            <v>4.6399999999999997E-2</v>
          </cell>
          <cell r="V713">
            <v>4.6399999999999997E-2</v>
          </cell>
          <cell r="W713" t="str">
            <v>AB</v>
          </cell>
          <cell r="X713">
            <v>928</v>
          </cell>
          <cell r="Y713">
            <v>1</v>
          </cell>
          <cell r="Z713">
            <v>485.10193413486667</v>
          </cell>
          <cell r="AA713" t="str">
            <v>1.913X0.047-304L</v>
          </cell>
          <cell r="AB713" t="str">
            <v>WAAC004860119B300023</v>
          </cell>
          <cell r="AC713" t="str">
            <v>D2007104</v>
          </cell>
          <cell r="AD713">
            <v>528563</v>
          </cell>
          <cell r="AE713">
            <v>2.3E-2</v>
          </cell>
          <cell r="AF713">
            <v>1.31</v>
          </cell>
          <cell r="AG713">
            <v>3.2000000000000001E-2</v>
          </cell>
          <cell r="AH713">
            <v>1E-3</v>
          </cell>
          <cell r="AI713">
            <v>0.33</v>
          </cell>
          <cell r="AJ713">
            <v>18.100000000000001</v>
          </cell>
          <cell r="AK713">
            <v>8</v>
          </cell>
          <cell r="AL713">
            <v>6.7000000000000004E-2</v>
          </cell>
          <cell r="AM713">
            <v>0.35</v>
          </cell>
          <cell r="AN713">
            <v>0</v>
          </cell>
          <cell r="AO713">
            <v>0</v>
          </cell>
          <cell r="AP713">
            <v>0</v>
          </cell>
          <cell r="AQ713">
            <v>0</v>
          </cell>
          <cell r="AR713">
            <v>0.45</v>
          </cell>
          <cell r="AS713">
            <v>0</v>
          </cell>
          <cell r="AT713">
            <v>292</v>
          </cell>
          <cell r="AU713">
            <v>0</v>
          </cell>
          <cell r="AV713">
            <v>650</v>
          </cell>
          <cell r="AW713">
            <v>58</v>
          </cell>
          <cell r="AX713">
            <v>82</v>
          </cell>
          <cell r="AY713">
            <v>156</v>
          </cell>
          <cell r="AZ713">
            <v>8.5000000000000006E-2</v>
          </cell>
          <cell r="BA713" t="str">
            <v>D2007104</v>
          </cell>
          <cell r="BB713" t="str">
            <v>CONFORM</v>
          </cell>
          <cell r="BC713" t="str">
            <v>CONFORM</v>
          </cell>
          <cell r="BD713" t="str">
            <v>CONFORM</v>
          </cell>
          <cell r="BE713" t="str">
            <v>CONFORM</v>
          </cell>
          <cell r="BF713" t="str">
            <v>CONFORM</v>
          </cell>
        </row>
        <row r="714">
          <cell r="A714">
            <v>44032</v>
          </cell>
          <cell r="B714" t="str">
            <v>D2007104-2</v>
          </cell>
          <cell r="C714" t="str">
            <v>067/20</v>
          </cell>
          <cell r="D714">
            <v>2</v>
          </cell>
          <cell r="E714">
            <v>44031</v>
          </cell>
          <cell r="F714" t="str">
            <v>DC</v>
          </cell>
          <cell r="G714" t="str">
            <v>On Time</v>
          </cell>
          <cell r="H714">
            <v>20200720018</v>
          </cell>
          <cell r="I714">
            <v>44032</v>
          </cell>
          <cell r="J714" t="str">
            <v>COILPLUS</v>
          </cell>
          <cell r="K714" t="str">
            <v>D2007104</v>
          </cell>
          <cell r="L714">
            <v>2</v>
          </cell>
          <cell r="M714">
            <v>3257800</v>
          </cell>
          <cell r="N714">
            <v>528563</v>
          </cell>
          <cell r="O714" t="str">
            <v xml:space="preserve">1.4306 TP304L </v>
          </cell>
          <cell r="P714" t="str">
            <v>304L</v>
          </cell>
          <cell r="Q714">
            <v>1.913</v>
          </cell>
          <cell r="R714">
            <v>1.9119999999999999</v>
          </cell>
          <cell r="S714">
            <v>4.7E-2</v>
          </cell>
          <cell r="T714">
            <v>4.6899999999999997E-2</v>
          </cell>
          <cell r="V714">
            <v>4.6899999999999997E-2</v>
          </cell>
          <cell r="W714" t="str">
            <v>AB</v>
          </cell>
          <cell r="X714">
            <v>2822</v>
          </cell>
          <cell r="Y714">
            <v>3</v>
          </cell>
          <cell r="Z714">
            <v>491.72329674159261</v>
          </cell>
          <cell r="AA714" t="str">
            <v>1.913X0.047-304L</v>
          </cell>
          <cell r="AB714" t="str">
            <v>WAAC004860119B300023</v>
          </cell>
          <cell r="AC714" t="str">
            <v>D2007104</v>
          </cell>
          <cell r="AD714">
            <v>528563</v>
          </cell>
          <cell r="AE714">
            <v>2.3E-2</v>
          </cell>
          <cell r="AF714">
            <v>1.31</v>
          </cell>
          <cell r="AG714">
            <v>3.2000000000000001E-2</v>
          </cell>
          <cell r="AH714">
            <v>1E-3</v>
          </cell>
          <cell r="AI714">
            <v>0.33</v>
          </cell>
          <cell r="AJ714">
            <v>18.100000000000001</v>
          </cell>
          <cell r="AK714">
            <v>8</v>
          </cell>
          <cell r="AL714">
            <v>6.7000000000000004E-2</v>
          </cell>
          <cell r="AM714">
            <v>0.35</v>
          </cell>
          <cell r="AN714">
            <v>0</v>
          </cell>
          <cell r="AO714">
            <v>0</v>
          </cell>
          <cell r="AP714">
            <v>0</v>
          </cell>
          <cell r="AQ714">
            <v>0</v>
          </cell>
          <cell r="AR714">
            <v>0.45</v>
          </cell>
          <cell r="AS714">
            <v>0</v>
          </cell>
          <cell r="AT714">
            <v>292</v>
          </cell>
          <cell r="AU714">
            <v>0</v>
          </cell>
          <cell r="AV714">
            <v>650</v>
          </cell>
          <cell r="AW714">
            <v>58</v>
          </cell>
          <cell r="AX714">
            <v>82</v>
          </cell>
          <cell r="AY714">
            <v>156</v>
          </cell>
          <cell r="AZ714">
            <v>8.5000000000000006E-2</v>
          </cell>
          <cell r="BA714" t="str">
            <v>D2007104</v>
          </cell>
          <cell r="BB714" t="str">
            <v>CONFORM</v>
          </cell>
          <cell r="BC714" t="str">
            <v>CONFORM</v>
          </cell>
          <cell r="BD714" t="str">
            <v>CONFORM</v>
          </cell>
          <cell r="BE714" t="str">
            <v>CONFORM</v>
          </cell>
          <cell r="BF714" t="str">
            <v>CONFORM</v>
          </cell>
        </row>
        <row r="715">
          <cell r="A715">
            <v>44032</v>
          </cell>
          <cell r="B715" t="str">
            <v>D2007104-3</v>
          </cell>
          <cell r="C715" t="str">
            <v>067/20</v>
          </cell>
          <cell r="D715">
            <v>2</v>
          </cell>
          <cell r="E715">
            <v>44031</v>
          </cell>
          <cell r="F715" t="str">
            <v>DC</v>
          </cell>
          <cell r="G715" t="str">
            <v>On Time</v>
          </cell>
          <cell r="H715">
            <v>20200720018</v>
          </cell>
          <cell r="I715">
            <v>44032</v>
          </cell>
          <cell r="J715" t="str">
            <v>COILPLUS</v>
          </cell>
          <cell r="K715" t="str">
            <v>D2007104</v>
          </cell>
          <cell r="L715">
            <v>3</v>
          </cell>
          <cell r="M715">
            <v>3257800</v>
          </cell>
          <cell r="N715">
            <v>528563</v>
          </cell>
          <cell r="O715" t="str">
            <v xml:space="preserve">1.4306 TP304L </v>
          </cell>
          <cell r="P715" t="str">
            <v>304L</v>
          </cell>
          <cell r="Q715">
            <v>1.913</v>
          </cell>
          <cell r="R715">
            <v>1.917</v>
          </cell>
          <cell r="S715">
            <v>4.7E-2</v>
          </cell>
          <cell r="T715">
            <v>4.6899999999999997E-2</v>
          </cell>
          <cell r="V715">
            <v>4.6899999999999997E-2</v>
          </cell>
          <cell r="W715" t="str">
            <v>AB</v>
          </cell>
          <cell r="X715">
            <v>925</v>
          </cell>
          <cell r="Y715">
            <v>1</v>
          </cell>
          <cell r="Z715">
            <v>483.53371667537897</v>
          </cell>
          <cell r="AA715" t="str">
            <v>1.913X0.047-304L</v>
          </cell>
          <cell r="AB715" t="str">
            <v>WAAC004860119B300023</v>
          </cell>
          <cell r="AC715" t="str">
            <v>D2007104</v>
          </cell>
          <cell r="AD715">
            <v>528563</v>
          </cell>
          <cell r="AE715">
            <v>2.3E-2</v>
          </cell>
          <cell r="AF715">
            <v>1.31</v>
          </cell>
          <cell r="AG715">
            <v>3.2000000000000001E-2</v>
          </cell>
          <cell r="AH715">
            <v>1E-3</v>
          </cell>
          <cell r="AI715">
            <v>0.33</v>
          </cell>
          <cell r="AJ715">
            <v>18.100000000000001</v>
          </cell>
          <cell r="AK715">
            <v>8</v>
          </cell>
          <cell r="AL715">
            <v>6.7000000000000004E-2</v>
          </cell>
          <cell r="AM715">
            <v>0.35</v>
          </cell>
          <cell r="AN715">
            <v>0</v>
          </cell>
          <cell r="AO715">
            <v>0</v>
          </cell>
          <cell r="AP715">
            <v>0</v>
          </cell>
          <cell r="AQ715">
            <v>0</v>
          </cell>
          <cell r="AR715">
            <v>0.45</v>
          </cell>
          <cell r="AS715">
            <v>0</v>
          </cell>
          <cell r="AT715">
            <v>292</v>
          </cell>
          <cell r="AU715">
            <v>0</v>
          </cell>
          <cell r="AV715">
            <v>650</v>
          </cell>
          <cell r="AW715">
            <v>58</v>
          </cell>
          <cell r="AX715">
            <v>82</v>
          </cell>
          <cell r="AY715">
            <v>156</v>
          </cell>
          <cell r="AZ715">
            <v>8.5000000000000006E-2</v>
          </cell>
          <cell r="BA715" t="str">
            <v>D2007104</v>
          </cell>
          <cell r="BB715" t="str">
            <v>CONFORM</v>
          </cell>
          <cell r="BC715" t="str">
            <v>CONFORM</v>
          </cell>
          <cell r="BD715" t="str">
            <v>CONFORM</v>
          </cell>
          <cell r="BE715" t="str">
            <v>CONFORM</v>
          </cell>
          <cell r="BF715" t="str">
            <v>CONFORM</v>
          </cell>
        </row>
        <row r="716">
          <cell r="A716">
            <v>44032</v>
          </cell>
          <cell r="B716" t="str">
            <v>D2007104-4</v>
          </cell>
          <cell r="C716" t="str">
            <v>067/20</v>
          </cell>
          <cell r="D716">
            <v>2</v>
          </cell>
          <cell r="E716">
            <v>44031</v>
          </cell>
          <cell r="F716" t="str">
            <v>DC</v>
          </cell>
          <cell r="G716" t="str">
            <v>On Time</v>
          </cell>
          <cell r="H716">
            <v>20200720018</v>
          </cell>
          <cell r="I716">
            <v>44032</v>
          </cell>
          <cell r="J716" t="str">
            <v>COILPLUS</v>
          </cell>
          <cell r="K716" t="str">
            <v>D2007104</v>
          </cell>
          <cell r="L716">
            <v>4</v>
          </cell>
          <cell r="M716">
            <v>3257800</v>
          </cell>
          <cell r="N716">
            <v>528563</v>
          </cell>
          <cell r="O716" t="str">
            <v xml:space="preserve">1.4306 TP304L </v>
          </cell>
          <cell r="P716" t="str">
            <v>304L</v>
          </cell>
          <cell r="Q716">
            <v>1.913</v>
          </cell>
          <cell r="R716">
            <v>1.9119999999999999</v>
          </cell>
          <cell r="S716">
            <v>4.7E-2</v>
          </cell>
          <cell r="T716">
            <v>4.5999999999999999E-2</v>
          </cell>
          <cell r="V716">
            <v>4.5999999999999999E-2</v>
          </cell>
          <cell r="W716" t="str">
            <v>AB</v>
          </cell>
          <cell r="X716">
            <v>930</v>
          </cell>
          <cell r="Y716">
            <v>1</v>
          </cell>
          <cell r="Z716">
            <v>486.14741244119182</v>
          </cell>
          <cell r="AA716" t="str">
            <v>1.913X0.047-304L</v>
          </cell>
          <cell r="AB716" t="str">
            <v>WAAC004860119B300023</v>
          </cell>
          <cell r="AC716" t="str">
            <v>D2007104</v>
          </cell>
          <cell r="AD716">
            <v>528563</v>
          </cell>
          <cell r="AE716">
            <v>2.3E-2</v>
          </cell>
          <cell r="AF716">
            <v>1.31</v>
          </cell>
          <cell r="AG716">
            <v>3.2000000000000001E-2</v>
          </cell>
          <cell r="AH716">
            <v>1E-3</v>
          </cell>
          <cell r="AI716">
            <v>0.33</v>
          </cell>
          <cell r="AJ716">
            <v>18.100000000000001</v>
          </cell>
          <cell r="AK716">
            <v>8</v>
          </cell>
          <cell r="AL716">
            <v>6.7000000000000004E-2</v>
          </cell>
          <cell r="AM716">
            <v>0.35</v>
          </cell>
          <cell r="AN716">
            <v>0</v>
          </cell>
          <cell r="AO716">
            <v>0</v>
          </cell>
          <cell r="AP716">
            <v>0</v>
          </cell>
          <cell r="AQ716">
            <v>0</v>
          </cell>
          <cell r="AR716">
            <v>0.45</v>
          </cell>
          <cell r="AS716">
            <v>0</v>
          </cell>
          <cell r="AT716">
            <v>292</v>
          </cell>
          <cell r="AU716">
            <v>0</v>
          </cell>
          <cell r="AV716">
            <v>650</v>
          </cell>
          <cell r="AW716">
            <v>58</v>
          </cell>
          <cell r="AX716">
            <v>82</v>
          </cell>
          <cell r="AY716">
            <v>156</v>
          </cell>
          <cell r="AZ716">
            <v>8.5000000000000006E-2</v>
          </cell>
          <cell r="BA716" t="str">
            <v>D2007104</v>
          </cell>
          <cell r="BB716" t="str">
            <v>CONFORM</v>
          </cell>
          <cell r="BC716" t="str">
            <v>CONFORM</v>
          </cell>
          <cell r="BD716" t="str">
            <v>CONFORM</v>
          </cell>
          <cell r="BE716" t="str">
            <v>CONFORM</v>
          </cell>
          <cell r="BF716" t="str">
            <v>CONFORM</v>
          </cell>
        </row>
        <row r="717">
          <cell r="A717">
            <v>44032</v>
          </cell>
          <cell r="B717" t="str">
            <v>D2007104-5</v>
          </cell>
          <cell r="C717" t="str">
            <v>067/20</v>
          </cell>
          <cell r="D717">
            <v>2</v>
          </cell>
          <cell r="E717">
            <v>44031</v>
          </cell>
          <cell r="F717" t="str">
            <v>DC</v>
          </cell>
          <cell r="G717" t="str">
            <v>On Time</v>
          </cell>
          <cell r="H717">
            <v>20200720018</v>
          </cell>
          <cell r="I717">
            <v>44032</v>
          </cell>
          <cell r="J717" t="str">
            <v>COILPLUS</v>
          </cell>
          <cell r="K717" t="str">
            <v>D2007104</v>
          </cell>
          <cell r="L717">
            <v>5</v>
          </cell>
          <cell r="M717">
            <v>3257800</v>
          </cell>
          <cell r="N717">
            <v>528563</v>
          </cell>
          <cell r="O717" t="str">
            <v xml:space="preserve">1.4306 TP304L </v>
          </cell>
          <cell r="P717" t="str">
            <v>304L</v>
          </cell>
          <cell r="Q717">
            <v>1.913</v>
          </cell>
          <cell r="R717">
            <v>1.9159999999999999</v>
          </cell>
          <cell r="S717">
            <v>4.7E-2</v>
          </cell>
          <cell r="T717">
            <v>4.7E-2</v>
          </cell>
          <cell r="V717">
            <v>4.7E-2</v>
          </cell>
          <cell r="W717" t="str">
            <v>AB</v>
          </cell>
          <cell r="X717">
            <v>1883</v>
          </cell>
          <cell r="Y717">
            <v>2</v>
          </cell>
          <cell r="Z717">
            <v>492.15891270256139</v>
          </cell>
          <cell r="AA717" t="str">
            <v>1.913X0.047-304L</v>
          </cell>
          <cell r="AB717" t="str">
            <v>WAAC004860119B300023</v>
          </cell>
          <cell r="AC717" t="str">
            <v>D2007104</v>
          </cell>
          <cell r="AD717">
            <v>528563</v>
          </cell>
          <cell r="AE717">
            <v>2.3E-2</v>
          </cell>
          <cell r="AF717">
            <v>1.31</v>
          </cell>
          <cell r="AG717">
            <v>3.2000000000000001E-2</v>
          </cell>
          <cell r="AH717">
            <v>1E-3</v>
          </cell>
          <cell r="AI717">
            <v>0.33</v>
          </cell>
          <cell r="AJ717">
            <v>18.100000000000001</v>
          </cell>
          <cell r="AK717">
            <v>8</v>
          </cell>
          <cell r="AL717">
            <v>6.7000000000000004E-2</v>
          </cell>
          <cell r="AM717">
            <v>0.35</v>
          </cell>
          <cell r="AN717">
            <v>0</v>
          </cell>
          <cell r="AO717">
            <v>0</v>
          </cell>
          <cell r="AP717">
            <v>0</v>
          </cell>
          <cell r="AQ717">
            <v>0</v>
          </cell>
          <cell r="AR717">
            <v>0.45</v>
          </cell>
          <cell r="AS717">
            <v>0</v>
          </cell>
          <cell r="AT717">
            <v>292</v>
          </cell>
          <cell r="AU717">
            <v>0</v>
          </cell>
          <cell r="AV717">
            <v>650</v>
          </cell>
          <cell r="AW717">
            <v>58</v>
          </cell>
          <cell r="AX717">
            <v>82</v>
          </cell>
          <cell r="AY717">
            <v>156</v>
          </cell>
          <cell r="AZ717">
            <v>8.5000000000000006E-2</v>
          </cell>
          <cell r="BA717" t="str">
            <v>D2007104</v>
          </cell>
          <cell r="BB717" t="str">
            <v>CONFORM</v>
          </cell>
          <cell r="BC717" t="str">
            <v>CONFORM</v>
          </cell>
          <cell r="BD717" t="str">
            <v>CONFORM</v>
          </cell>
          <cell r="BE717" t="str">
            <v>CONFORM</v>
          </cell>
          <cell r="BF717" t="str">
            <v>CONFORM</v>
          </cell>
        </row>
        <row r="718">
          <cell r="A718">
            <v>44032</v>
          </cell>
          <cell r="B718" t="str">
            <v>D2007104-6</v>
          </cell>
          <cell r="C718" t="str">
            <v>067/20</v>
          </cell>
          <cell r="D718">
            <v>2</v>
          </cell>
          <cell r="E718">
            <v>44031</v>
          </cell>
          <cell r="F718" t="str">
            <v>DC</v>
          </cell>
          <cell r="G718" t="str">
            <v>On Time</v>
          </cell>
          <cell r="H718">
            <v>20200720018</v>
          </cell>
          <cell r="I718">
            <v>44032</v>
          </cell>
          <cell r="J718" t="str">
            <v>COILPLUS</v>
          </cell>
          <cell r="K718" t="str">
            <v>D2007104</v>
          </cell>
          <cell r="L718">
            <v>6</v>
          </cell>
          <cell r="M718">
            <v>3257800</v>
          </cell>
          <cell r="N718">
            <v>528563</v>
          </cell>
          <cell r="O718" t="str">
            <v xml:space="preserve">1.4306 TP304L </v>
          </cell>
          <cell r="P718" t="str">
            <v>304L</v>
          </cell>
          <cell r="Q718">
            <v>1.913</v>
          </cell>
          <cell r="R718">
            <v>1.9139999999999999</v>
          </cell>
          <cell r="S718">
            <v>4.7E-2</v>
          </cell>
          <cell r="T718">
            <v>4.6300000000000001E-2</v>
          </cell>
          <cell r="V718">
            <v>4.6300000000000001E-2</v>
          </cell>
          <cell r="W718" t="str">
            <v>AB</v>
          </cell>
          <cell r="X718">
            <v>1796</v>
          </cell>
          <cell r="Y718">
            <v>2</v>
          </cell>
          <cell r="Z718">
            <v>469.41975953998951</v>
          </cell>
          <cell r="AA718" t="str">
            <v>1.913X0.047-304L</v>
          </cell>
          <cell r="AB718" t="str">
            <v>WAAC004860119B300023</v>
          </cell>
          <cell r="AC718" t="str">
            <v>D2007104</v>
          </cell>
          <cell r="AD718">
            <v>528563</v>
          </cell>
          <cell r="AE718">
            <v>2.3E-2</v>
          </cell>
          <cell r="AF718">
            <v>1.31</v>
          </cell>
          <cell r="AG718">
            <v>3.2000000000000001E-2</v>
          </cell>
          <cell r="AH718">
            <v>1E-3</v>
          </cell>
          <cell r="AI718">
            <v>0.33</v>
          </cell>
          <cell r="AJ718">
            <v>18.100000000000001</v>
          </cell>
          <cell r="AK718">
            <v>8</v>
          </cell>
          <cell r="AL718">
            <v>6.7000000000000004E-2</v>
          </cell>
          <cell r="AM718">
            <v>0.35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  <cell r="AR718">
            <v>0.45</v>
          </cell>
          <cell r="AS718">
            <v>0</v>
          </cell>
          <cell r="AT718">
            <v>292</v>
          </cell>
          <cell r="AU718">
            <v>0</v>
          </cell>
          <cell r="AV718">
            <v>650</v>
          </cell>
          <cell r="AW718">
            <v>58</v>
          </cell>
          <cell r="AX718">
            <v>82</v>
          </cell>
          <cell r="AY718">
            <v>156</v>
          </cell>
          <cell r="AZ718">
            <v>8.5000000000000006E-2</v>
          </cell>
          <cell r="BA718" t="str">
            <v>D2007104</v>
          </cell>
          <cell r="BB718" t="str">
            <v>CONFORM</v>
          </cell>
          <cell r="BC718" t="str">
            <v>CONFORM</v>
          </cell>
          <cell r="BD718" t="str">
            <v>CONFORM</v>
          </cell>
          <cell r="BE718" t="str">
            <v>CONFORM</v>
          </cell>
          <cell r="BF718" t="str">
            <v>CONFORM</v>
          </cell>
        </row>
        <row r="719">
          <cell r="A719">
            <v>44034</v>
          </cell>
          <cell r="B719" t="str">
            <v>D2007115-1</v>
          </cell>
          <cell r="C719" t="str">
            <v>049/20</v>
          </cell>
          <cell r="D719">
            <v>1</v>
          </cell>
          <cell r="E719">
            <v>44022</v>
          </cell>
          <cell r="F719" t="str">
            <v>DC</v>
          </cell>
          <cell r="G719" t="str">
            <v>Late</v>
          </cell>
          <cell r="H719" t="str">
            <v>153892-1</v>
          </cell>
          <cell r="I719">
            <v>44034</v>
          </cell>
          <cell r="J719" t="str">
            <v>UPM</v>
          </cell>
          <cell r="K719" t="str">
            <v>D2007115</v>
          </cell>
          <cell r="L719">
            <v>1</v>
          </cell>
          <cell r="M719" t="str">
            <v>AAD09418-A</v>
          </cell>
          <cell r="N719">
            <v>860972</v>
          </cell>
          <cell r="O719" t="str">
            <v>1.4550 TP347</v>
          </cell>
          <cell r="P719" t="str">
            <v>TP347</v>
          </cell>
          <cell r="Q719">
            <v>2.2240000000000002</v>
          </cell>
          <cell r="R719">
            <v>2.2280000000000002</v>
          </cell>
          <cell r="S719">
            <v>7.9000000000000001E-2</v>
          </cell>
          <cell r="T719">
            <v>8.0799999999999997E-2</v>
          </cell>
          <cell r="V719">
            <v>8.0799999999999997E-2</v>
          </cell>
          <cell r="W719" t="str">
            <v>SR</v>
          </cell>
          <cell r="X719">
            <v>2784</v>
          </cell>
          <cell r="Y719">
            <v>5</v>
          </cell>
          <cell r="Z719">
            <v>250.35971223021579</v>
          </cell>
          <cell r="AA719" t="str">
            <v>2.224X0.079-TP347</v>
          </cell>
          <cell r="AB719" t="str">
            <v>WADC005650200B300095</v>
          </cell>
          <cell r="AC719" t="str">
            <v>D2007115</v>
          </cell>
          <cell r="AD719">
            <v>860972</v>
          </cell>
          <cell r="AE719">
            <v>0.04</v>
          </cell>
          <cell r="AF719">
            <v>1.24</v>
          </cell>
          <cell r="AG719">
            <v>2.7E-2</v>
          </cell>
          <cell r="AH719">
            <v>0</v>
          </cell>
          <cell r="AI719">
            <v>0.56000000000000005</v>
          </cell>
          <cell r="AJ719">
            <v>17.399999999999999</v>
          </cell>
          <cell r="AK719">
            <v>9.1</v>
          </cell>
          <cell r="AL719">
            <v>0</v>
          </cell>
          <cell r="AM719">
            <v>0.44</v>
          </cell>
          <cell r="AN719">
            <v>0</v>
          </cell>
          <cell r="AO719">
            <v>0</v>
          </cell>
          <cell r="AP719">
            <v>0.59</v>
          </cell>
          <cell r="AQ719">
            <v>0.01</v>
          </cell>
          <cell r="AR719">
            <v>0.44</v>
          </cell>
          <cell r="AS719">
            <v>0</v>
          </cell>
          <cell r="AT719">
            <v>251</v>
          </cell>
          <cell r="AU719">
            <v>0</v>
          </cell>
          <cell r="AV719">
            <v>653</v>
          </cell>
          <cell r="AW719">
            <v>72</v>
          </cell>
          <cell r="AX719">
            <v>77</v>
          </cell>
          <cell r="AY719">
            <v>141</v>
          </cell>
          <cell r="AZ719">
            <v>4.7</v>
          </cell>
          <cell r="BA719" t="str">
            <v>D2007115</v>
          </cell>
          <cell r="BB719" t="str">
            <v>CONFORM</v>
          </cell>
          <cell r="BC719" t="str">
            <v>CONFORM</v>
          </cell>
          <cell r="BD719" t="str">
            <v>CONFORM</v>
          </cell>
          <cell r="BE719" t="str">
            <v>CONFORM</v>
          </cell>
          <cell r="BF719" t="str">
            <v>CONFORM</v>
          </cell>
        </row>
        <row r="720">
          <cell r="A720">
            <v>44050</v>
          </cell>
          <cell r="B720" t="str">
            <v>D2008017-1</v>
          </cell>
          <cell r="C720" t="str">
            <v>069/20</v>
          </cell>
          <cell r="D720">
            <v>1</v>
          </cell>
          <cell r="E720">
            <v>44050</v>
          </cell>
          <cell r="F720" t="str">
            <v>DC</v>
          </cell>
          <cell r="G720" t="str">
            <v>On Time</v>
          </cell>
          <cell r="H720">
            <v>2407659249</v>
          </cell>
          <cell r="I720">
            <v>44049</v>
          </cell>
          <cell r="J720" t="str">
            <v>TKM</v>
          </cell>
          <cell r="K720" t="str">
            <v>D2008017</v>
          </cell>
          <cell r="L720">
            <v>1</v>
          </cell>
          <cell r="M720" t="str">
            <v>040H54ME</v>
          </cell>
          <cell r="N720" t="str">
            <v>H54M</v>
          </cell>
          <cell r="O720" t="str">
            <v xml:space="preserve">1.4306 TP304L </v>
          </cell>
          <cell r="P720" t="str">
            <v>304L</v>
          </cell>
          <cell r="Q720">
            <v>3.9489999999999998</v>
          </cell>
          <cell r="R720">
            <v>3.956</v>
          </cell>
          <cell r="S720">
            <v>3.5000000000000003E-2</v>
          </cell>
          <cell r="T720">
            <v>3.5999999999999997E-2</v>
          </cell>
          <cell r="V720">
            <v>3.5999999999999997E-2</v>
          </cell>
          <cell r="W720" t="str">
            <v>KB</v>
          </cell>
          <cell r="X720">
            <v>4030</v>
          </cell>
          <cell r="Y720">
            <v>5</v>
          </cell>
          <cell r="Z720">
            <v>204.10230438085591</v>
          </cell>
          <cell r="AA720" t="str">
            <v>3.949X0.035-304L</v>
          </cell>
          <cell r="AB720" t="str">
            <v>WAAC010030090B300100</v>
          </cell>
          <cell r="AC720" t="str">
            <v>D2008017</v>
          </cell>
          <cell r="AD720" t="str">
            <v>H54M</v>
          </cell>
          <cell r="AE720">
            <v>2.5999999999999999E-2</v>
          </cell>
          <cell r="AF720">
            <v>1.76</v>
          </cell>
          <cell r="AG720">
            <v>3.1E-2</v>
          </cell>
          <cell r="AH720">
            <v>1E-3</v>
          </cell>
          <cell r="AI720">
            <v>0.25</v>
          </cell>
          <cell r="AJ720">
            <v>18.2</v>
          </cell>
          <cell r="AK720">
            <v>8</v>
          </cell>
          <cell r="AL720">
            <v>7.3999999999999996E-2</v>
          </cell>
          <cell r="AM720">
            <v>0.45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0.4</v>
          </cell>
          <cell r="AS720">
            <v>0</v>
          </cell>
          <cell r="AT720">
            <v>361</v>
          </cell>
          <cell r="AU720">
            <v>0</v>
          </cell>
          <cell r="AV720">
            <v>675</v>
          </cell>
          <cell r="AW720">
            <v>46</v>
          </cell>
          <cell r="AX720">
            <v>86</v>
          </cell>
          <cell r="AY720">
            <v>169</v>
          </cell>
          <cell r="AZ720">
            <v>1.34</v>
          </cell>
          <cell r="BA720" t="str">
            <v>D2008017</v>
          </cell>
          <cell r="BB720" t="str">
            <v>CONFORM</v>
          </cell>
          <cell r="BC720" t="str">
            <v>CONFORM</v>
          </cell>
          <cell r="BD720" t="str">
            <v>CONFORM</v>
          </cell>
          <cell r="BE720" t="str">
            <v>CONFORM</v>
          </cell>
          <cell r="BF720" t="str">
            <v>CONFORM</v>
          </cell>
        </row>
        <row r="721">
          <cell r="A721">
            <v>44050</v>
          </cell>
          <cell r="B721" t="str">
            <v>D2008017-2</v>
          </cell>
          <cell r="C721" t="str">
            <v>069/20</v>
          </cell>
          <cell r="D721">
            <v>1</v>
          </cell>
          <cell r="E721">
            <v>44050</v>
          </cell>
          <cell r="F721" t="str">
            <v>DC</v>
          </cell>
          <cell r="G721" t="str">
            <v>On Time</v>
          </cell>
          <cell r="H721">
            <v>2407659249</v>
          </cell>
          <cell r="I721">
            <v>44049</v>
          </cell>
          <cell r="J721" t="str">
            <v>TKM</v>
          </cell>
          <cell r="K721" t="str">
            <v>D2008017</v>
          </cell>
          <cell r="L721">
            <v>2</v>
          </cell>
          <cell r="M721" t="str">
            <v>040H54ME</v>
          </cell>
          <cell r="N721" t="str">
            <v>H54M</v>
          </cell>
          <cell r="O721" t="str">
            <v xml:space="preserve">1.4306 TP304L </v>
          </cell>
          <cell r="P721" t="str">
            <v>304L</v>
          </cell>
          <cell r="Q721">
            <v>3.9489999999999998</v>
          </cell>
          <cell r="R721">
            <v>3.9409999999999998</v>
          </cell>
          <cell r="S721">
            <v>3.5000000000000003E-2</v>
          </cell>
          <cell r="T721">
            <v>3.5999999999999997E-2</v>
          </cell>
          <cell r="V721">
            <v>3.5999999999999997E-2</v>
          </cell>
          <cell r="W721" t="str">
            <v>KB</v>
          </cell>
          <cell r="X721">
            <v>1640</v>
          </cell>
          <cell r="Y721">
            <v>5</v>
          </cell>
          <cell r="Z721">
            <v>83.059002279057992</v>
          </cell>
          <cell r="AA721" t="str">
            <v>3.949X0.035-304L</v>
          </cell>
          <cell r="AB721" t="str">
            <v>WAAC010030090B300100</v>
          </cell>
          <cell r="AC721" t="str">
            <v>D2008017</v>
          </cell>
          <cell r="AD721" t="str">
            <v>H54M</v>
          </cell>
          <cell r="AE721">
            <v>2.5999999999999999E-2</v>
          </cell>
          <cell r="AF721">
            <v>1.76</v>
          </cell>
          <cell r="AG721">
            <v>3.1E-2</v>
          </cell>
          <cell r="AH721">
            <v>1E-3</v>
          </cell>
          <cell r="AI721">
            <v>0.25</v>
          </cell>
          <cell r="AJ721">
            <v>18.2</v>
          </cell>
          <cell r="AK721">
            <v>8</v>
          </cell>
          <cell r="AL721">
            <v>7.3999999999999996E-2</v>
          </cell>
          <cell r="AM721">
            <v>0.45</v>
          </cell>
          <cell r="AN721">
            <v>0</v>
          </cell>
          <cell r="AO721">
            <v>0</v>
          </cell>
          <cell r="AP721">
            <v>0</v>
          </cell>
          <cell r="AQ721">
            <v>0</v>
          </cell>
          <cell r="AR721">
            <v>0.4</v>
          </cell>
          <cell r="AS721">
            <v>0</v>
          </cell>
          <cell r="AT721">
            <v>361</v>
          </cell>
          <cell r="AU721">
            <v>0</v>
          </cell>
          <cell r="AV721">
            <v>675</v>
          </cell>
          <cell r="AW721">
            <v>46</v>
          </cell>
          <cell r="AX721">
            <v>86</v>
          </cell>
          <cell r="AY721">
            <v>169</v>
          </cell>
          <cell r="AZ721">
            <v>1.34</v>
          </cell>
          <cell r="BA721" t="str">
            <v>D2008017</v>
          </cell>
          <cell r="BB721" t="str">
            <v>CONFORM</v>
          </cell>
          <cell r="BC721" t="str">
            <v>CONFORM</v>
          </cell>
          <cell r="BD721" t="str">
            <v>CONFORM</v>
          </cell>
          <cell r="BE721" t="str">
            <v>CONFORM</v>
          </cell>
          <cell r="BF721" t="str">
            <v>CONFORM</v>
          </cell>
        </row>
        <row r="722">
          <cell r="A722">
            <v>44050</v>
          </cell>
          <cell r="B722" t="str">
            <v>D2008017-3</v>
          </cell>
          <cell r="C722" t="str">
            <v>069/20</v>
          </cell>
          <cell r="D722">
            <v>1</v>
          </cell>
          <cell r="E722">
            <v>44050</v>
          </cell>
          <cell r="F722" t="str">
            <v>DC</v>
          </cell>
          <cell r="G722" t="str">
            <v>On Time</v>
          </cell>
          <cell r="H722">
            <v>2407659249</v>
          </cell>
          <cell r="I722">
            <v>44049</v>
          </cell>
          <cell r="J722" t="str">
            <v>TKM</v>
          </cell>
          <cell r="K722" t="str">
            <v>D2008017</v>
          </cell>
          <cell r="L722">
            <v>3</v>
          </cell>
          <cell r="M722" t="str">
            <v>040H54ME</v>
          </cell>
          <cell r="N722" t="str">
            <v>H54M</v>
          </cell>
          <cell r="O722" t="str">
            <v xml:space="preserve">1.4306 TP304L </v>
          </cell>
          <cell r="P722" t="str">
            <v>304L</v>
          </cell>
          <cell r="Q722">
            <v>3.9489999999999998</v>
          </cell>
          <cell r="R722">
            <v>3.9409999999999998</v>
          </cell>
          <cell r="S722">
            <v>3.5000000000000003E-2</v>
          </cell>
          <cell r="T722">
            <v>3.5999999999999997E-2</v>
          </cell>
          <cell r="V722">
            <v>3.5999999999999997E-2</v>
          </cell>
          <cell r="W722" t="str">
            <v>KB</v>
          </cell>
          <cell r="X722">
            <v>984</v>
          </cell>
          <cell r="Y722">
            <v>3</v>
          </cell>
          <cell r="Z722">
            <v>83.059002279057992</v>
          </cell>
          <cell r="AA722" t="str">
            <v>3.949X0.035-304L</v>
          </cell>
          <cell r="AB722" t="str">
            <v>WAAC010030090B300100</v>
          </cell>
          <cell r="AC722" t="str">
            <v>D2008017</v>
          </cell>
          <cell r="AD722" t="str">
            <v>H54M</v>
          </cell>
          <cell r="AE722">
            <v>2.5999999999999999E-2</v>
          </cell>
          <cell r="AF722">
            <v>1.76</v>
          </cell>
          <cell r="AG722">
            <v>3.1E-2</v>
          </cell>
          <cell r="AH722">
            <v>1E-3</v>
          </cell>
          <cell r="AI722">
            <v>0.25</v>
          </cell>
          <cell r="AJ722">
            <v>18.2</v>
          </cell>
          <cell r="AK722">
            <v>8</v>
          </cell>
          <cell r="AL722">
            <v>7.3999999999999996E-2</v>
          </cell>
          <cell r="AM722">
            <v>0.45</v>
          </cell>
          <cell r="AN722">
            <v>0</v>
          </cell>
          <cell r="AO722">
            <v>0</v>
          </cell>
          <cell r="AP722">
            <v>0</v>
          </cell>
          <cell r="AQ722">
            <v>0</v>
          </cell>
          <cell r="AR722">
            <v>0.4</v>
          </cell>
          <cell r="AS722">
            <v>0</v>
          </cell>
          <cell r="AT722">
            <v>361</v>
          </cell>
          <cell r="AU722">
            <v>0</v>
          </cell>
          <cell r="AV722">
            <v>675</v>
          </cell>
          <cell r="AW722">
            <v>46</v>
          </cell>
          <cell r="AX722">
            <v>86</v>
          </cell>
          <cell r="AY722">
            <v>169</v>
          </cell>
          <cell r="AZ722">
            <v>1.34</v>
          </cell>
          <cell r="BA722" t="str">
            <v>D2008017</v>
          </cell>
          <cell r="BB722" t="str">
            <v>CONFORM</v>
          </cell>
          <cell r="BC722" t="str">
            <v>CONFORM</v>
          </cell>
          <cell r="BD722" t="str">
            <v>CONFORM</v>
          </cell>
          <cell r="BE722" t="str">
            <v>CONFORM</v>
          </cell>
          <cell r="BF722" t="str">
            <v>CONFORM</v>
          </cell>
        </row>
        <row r="723">
          <cell r="A723">
            <v>44050</v>
          </cell>
          <cell r="B723" t="str">
            <v>D2008018-1</v>
          </cell>
          <cell r="C723" t="str">
            <v>068/20</v>
          </cell>
          <cell r="D723">
            <v>1</v>
          </cell>
          <cell r="E723">
            <v>44050</v>
          </cell>
          <cell r="F723" t="str">
            <v>DC</v>
          </cell>
          <cell r="G723" t="str">
            <v>On Time</v>
          </cell>
          <cell r="H723">
            <v>2407659249</v>
          </cell>
          <cell r="I723">
            <v>44049</v>
          </cell>
          <cell r="J723" t="str">
            <v>TKM</v>
          </cell>
          <cell r="K723" t="str">
            <v>D2008018</v>
          </cell>
          <cell r="L723">
            <v>1</v>
          </cell>
          <cell r="M723">
            <v>813295</v>
          </cell>
          <cell r="N723">
            <v>529491</v>
          </cell>
          <cell r="O723" t="str">
            <v xml:space="preserve">1.4401/1.4404 TP316/316L </v>
          </cell>
          <cell r="P723" t="str">
            <v>316L</v>
          </cell>
          <cell r="Q723">
            <v>3.016</v>
          </cell>
          <cell r="R723">
            <v>3.0129999999999999</v>
          </cell>
          <cell r="S723">
            <v>7.9000000000000001E-2</v>
          </cell>
          <cell r="T723">
            <v>7.8E-2</v>
          </cell>
          <cell r="V723">
            <v>7.8E-2</v>
          </cell>
          <cell r="W723" t="str">
            <v>KB</v>
          </cell>
          <cell r="X723">
            <v>5222</v>
          </cell>
          <cell r="Y723">
            <v>5</v>
          </cell>
          <cell r="Z723">
            <v>346.28647214854112</v>
          </cell>
          <cell r="AA723" t="str">
            <v>3.016X0.079-316L</v>
          </cell>
          <cell r="AB723" t="str">
            <v>WAAF007660200B300099</v>
          </cell>
          <cell r="AC723" t="str">
            <v>D2008018</v>
          </cell>
          <cell r="AD723">
            <v>529491</v>
          </cell>
          <cell r="AE723">
            <v>2.4E-2</v>
          </cell>
          <cell r="AF723">
            <v>1.53</v>
          </cell>
          <cell r="AG723">
            <v>3.3000000000000002E-2</v>
          </cell>
          <cell r="AH723">
            <v>1E-3</v>
          </cell>
          <cell r="AI723">
            <v>0.38</v>
          </cell>
          <cell r="AJ723">
            <v>16.7</v>
          </cell>
          <cell r="AK723">
            <v>10</v>
          </cell>
          <cell r="AL723">
            <v>3.7999999999999999E-2</v>
          </cell>
          <cell r="AM723">
            <v>2.0099999999999998</v>
          </cell>
          <cell r="AN723">
            <v>0</v>
          </cell>
          <cell r="AO723">
            <v>0</v>
          </cell>
          <cell r="AP723">
            <v>0</v>
          </cell>
          <cell r="AQ723">
            <v>0</v>
          </cell>
          <cell r="AR723">
            <v>0.43</v>
          </cell>
          <cell r="AS723">
            <v>0</v>
          </cell>
          <cell r="AT723">
            <v>311</v>
          </cell>
          <cell r="AU723">
            <v>0</v>
          </cell>
          <cell r="AV723">
            <v>618</v>
          </cell>
          <cell r="AW723">
            <v>52</v>
          </cell>
          <cell r="AX723">
            <v>82</v>
          </cell>
          <cell r="AY723">
            <v>156</v>
          </cell>
          <cell r="AZ723">
            <v>1.7150000000000001</v>
          </cell>
          <cell r="BA723" t="str">
            <v>D2008018</v>
          </cell>
          <cell r="BB723" t="str">
            <v>CONFORM</v>
          </cell>
          <cell r="BC723" t="str">
            <v>CONFORM</v>
          </cell>
          <cell r="BD723" t="str">
            <v>CONFORM</v>
          </cell>
          <cell r="BE723" t="str">
            <v>CONFORM</v>
          </cell>
          <cell r="BF723" t="str">
            <v>CONFORM</v>
          </cell>
        </row>
        <row r="724">
          <cell r="A724">
            <v>44050</v>
          </cell>
          <cell r="B724" t="str">
            <v>D2008018-2</v>
          </cell>
          <cell r="C724" t="str">
            <v>068/20</v>
          </cell>
          <cell r="D724">
            <v>1</v>
          </cell>
          <cell r="E724">
            <v>44050</v>
          </cell>
          <cell r="F724" t="str">
            <v>DC</v>
          </cell>
          <cell r="G724" t="str">
            <v>On Time</v>
          </cell>
          <cell r="H724">
            <v>2407659249</v>
          </cell>
          <cell r="I724">
            <v>44049</v>
          </cell>
          <cell r="J724" t="str">
            <v>TKM</v>
          </cell>
          <cell r="K724" t="str">
            <v>D2008018</v>
          </cell>
          <cell r="L724">
            <v>2</v>
          </cell>
          <cell r="M724">
            <v>813295</v>
          </cell>
          <cell r="N724">
            <v>529491</v>
          </cell>
          <cell r="O724" t="str">
            <v xml:space="preserve">1.4401/1.4404 TP316/316L </v>
          </cell>
          <cell r="P724" t="str">
            <v>316L</v>
          </cell>
          <cell r="Q724">
            <v>3.016</v>
          </cell>
          <cell r="R724">
            <v>3.0089999999999999</v>
          </cell>
          <cell r="S724">
            <v>7.9000000000000001E-2</v>
          </cell>
          <cell r="T724">
            <v>7.8E-2</v>
          </cell>
          <cell r="V724">
            <v>7.8E-2</v>
          </cell>
          <cell r="W724" t="str">
            <v>KB</v>
          </cell>
          <cell r="X724">
            <v>5242</v>
          </cell>
          <cell r="Y724">
            <v>5</v>
          </cell>
          <cell r="Z724">
            <v>347.61273209549074</v>
          </cell>
          <cell r="AA724" t="str">
            <v>3.016X0.079-316L</v>
          </cell>
          <cell r="AB724" t="str">
            <v>WAAF007660200B300099</v>
          </cell>
          <cell r="AC724" t="str">
            <v>D2008018</v>
          </cell>
          <cell r="AD724">
            <v>529491</v>
          </cell>
          <cell r="AE724">
            <v>2.4E-2</v>
          </cell>
          <cell r="AF724">
            <v>1.53</v>
          </cell>
          <cell r="AG724">
            <v>3.3000000000000002E-2</v>
          </cell>
          <cell r="AH724">
            <v>1E-3</v>
          </cell>
          <cell r="AI724">
            <v>0.38</v>
          </cell>
          <cell r="AJ724">
            <v>16.7</v>
          </cell>
          <cell r="AK724">
            <v>10</v>
          </cell>
          <cell r="AL724">
            <v>3.7999999999999999E-2</v>
          </cell>
          <cell r="AM724">
            <v>2.0099999999999998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0.43</v>
          </cell>
          <cell r="AS724">
            <v>0</v>
          </cell>
          <cell r="AT724">
            <v>311</v>
          </cell>
          <cell r="AU724">
            <v>0</v>
          </cell>
          <cell r="AV724">
            <v>618</v>
          </cell>
          <cell r="AW724">
            <v>52</v>
          </cell>
          <cell r="AX724">
            <v>82</v>
          </cell>
          <cell r="AY724">
            <v>156</v>
          </cell>
          <cell r="AZ724">
            <v>1.7150000000000001</v>
          </cell>
          <cell r="BA724" t="str">
            <v>D2008018</v>
          </cell>
          <cell r="BB724" t="str">
            <v>CONFORM</v>
          </cell>
          <cell r="BC724" t="str">
            <v>CONFORM</v>
          </cell>
          <cell r="BD724" t="str">
            <v>CONFORM</v>
          </cell>
          <cell r="BE724" t="str">
            <v>CONFORM</v>
          </cell>
          <cell r="BF724" t="str">
            <v>CONFORM</v>
          </cell>
        </row>
        <row r="725">
          <cell r="A725">
            <v>44050</v>
          </cell>
          <cell r="B725" t="str">
            <v>D2008018-3</v>
          </cell>
          <cell r="C725" t="str">
            <v>068/20</v>
          </cell>
          <cell r="D725">
            <v>1</v>
          </cell>
          <cell r="E725">
            <v>44050</v>
          </cell>
          <cell r="F725" t="str">
            <v>DC</v>
          </cell>
          <cell r="G725" t="str">
            <v>On Time</v>
          </cell>
          <cell r="H725">
            <v>2407659249</v>
          </cell>
          <cell r="I725">
            <v>44049</v>
          </cell>
          <cell r="J725" t="str">
            <v>TKM</v>
          </cell>
          <cell r="K725" t="str">
            <v>D2008018</v>
          </cell>
          <cell r="L725">
            <v>3</v>
          </cell>
          <cell r="M725">
            <v>813295</v>
          </cell>
          <cell r="N725">
            <v>529491</v>
          </cell>
          <cell r="O725" t="str">
            <v xml:space="preserve">1.4401/1.4404 TP316/316L </v>
          </cell>
          <cell r="P725" t="str">
            <v>316L</v>
          </cell>
          <cell r="Q725">
            <v>3.016</v>
          </cell>
          <cell r="R725">
            <v>3.012</v>
          </cell>
          <cell r="S725">
            <v>7.9000000000000001E-2</v>
          </cell>
          <cell r="T725">
            <v>7.8E-2</v>
          </cell>
          <cell r="V725">
            <v>7.8E-2</v>
          </cell>
          <cell r="W725" t="str">
            <v>KB</v>
          </cell>
          <cell r="X725">
            <v>5216</v>
          </cell>
          <cell r="Y725">
            <v>5</v>
          </cell>
          <cell r="Z725">
            <v>345.88859416445626</v>
          </cell>
          <cell r="AA725" t="str">
            <v>3.016X0.079-316L</v>
          </cell>
          <cell r="AB725" t="str">
            <v>WAAF007660200B300099</v>
          </cell>
          <cell r="AC725" t="str">
            <v>D2008018</v>
          </cell>
          <cell r="AD725">
            <v>529491</v>
          </cell>
          <cell r="AE725">
            <v>2.4E-2</v>
          </cell>
          <cell r="AF725">
            <v>1.53</v>
          </cell>
          <cell r="AG725">
            <v>3.3000000000000002E-2</v>
          </cell>
          <cell r="AH725">
            <v>1E-3</v>
          </cell>
          <cell r="AI725">
            <v>0.38</v>
          </cell>
          <cell r="AJ725">
            <v>16.7</v>
          </cell>
          <cell r="AK725">
            <v>10</v>
          </cell>
          <cell r="AL725">
            <v>3.7999999999999999E-2</v>
          </cell>
          <cell r="AM725">
            <v>2.0099999999999998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0.43</v>
          </cell>
          <cell r="AS725">
            <v>0</v>
          </cell>
          <cell r="AT725">
            <v>311</v>
          </cell>
          <cell r="AU725">
            <v>0</v>
          </cell>
          <cell r="AV725">
            <v>618</v>
          </cell>
          <cell r="AW725">
            <v>52</v>
          </cell>
          <cell r="AX725">
            <v>82</v>
          </cell>
          <cell r="AY725">
            <v>156</v>
          </cell>
          <cell r="AZ725">
            <v>1.7150000000000001</v>
          </cell>
          <cell r="BA725" t="str">
            <v>D2008018</v>
          </cell>
          <cell r="BB725" t="str">
            <v>CONFORM</v>
          </cell>
          <cell r="BC725" t="str">
            <v>CONFORM</v>
          </cell>
          <cell r="BD725" t="str">
            <v>CONFORM</v>
          </cell>
          <cell r="BE725" t="str">
            <v>CONFORM</v>
          </cell>
          <cell r="BF725" t="str">
            <v>CONFORM</v>
          </cell>
        </row>
        <row r="726">
          <cell r="A726">
            <v>44054</v>
          </cell>
          <cell r="B726" t="str">
            <v>D2008019-1</v>
          </cell>
          <cell r="C726" t="str">
            <v>062/20</v>
          </cell>
          <cell r="D726">
            <v>2</v>
          </cell>
          <cell r="E726">
            <v>44055</v>
          </cell>
          <cell r="F726" t="str">
            <v>DC</v>
          </cell>
          <cell r="G726" t="str">
            <v>On Time</v>
          </cell>
          <cell r="H726" t="str">
            <v>L395191</v>
          </cell>
          <cell r="I726">
            <v>44053</v>
          </cell>
          <cell r="J726" t="str">
            <v>ATI</v>
          </cell>
          <cell r="K726" t="str">
            <v>D2008019</v>
          </cell>
          <cell r="L726">
            <v>1</v>
          </cell>
          <cell r="M726" t="str">
            <v>AAD11994</v>
          </cell>
          <cell r="N726">
            <v>861121</v>
          </cell>
          <cell r="O726" t="str">
            <v xml:space="preserve">1.4401/1.4404 TP316/316L </v>
          </cell>
          <cell r="P726" t="str">
            <v>316L</v>
          </cell>
          <cell r="Q726">
            <v>2.323</v>
          </cell>
          <cell r="R726">
            <v>2.323</v>
          </cell>
          <cell r="S726">
            <v>4.7E-2</v>
          </cell>
          <cell r="T726">
            <v>4.7E-2</v>
          </cell>
          <cell r="V726">
            <v>4.7E-2</v>
          </cell>
          <cell r="W726" t="str">
            <v>AB</v>
          </cell>
          <cell r="X726">
            <v>4144</v>
          </cell>
          <cell r="Y726">
            <v>2</v>
          </cell>
          <cell r="Z726">
            <v>891.9500645716746</v>
          </cell>
          <cell r="AA726" t="str">
            <v>2.323X0.047-316L</v>
          </cell>
          <cell r="AB726" t="str">
            <v>WAAF005900120B300027</v>
          </cell>
          <cell r="AC726" t="str">
            <v>D2008019</v>
          </cell>
          <cell r="AD726">
            <v>861121</v>
          </cell>
          <cell r="AE726">
            <v>1.7999999999999999E-2</v>
          </cell>
          <cell r="AF726">
            <v>1.7</v>
          </cell>
          <cell r="AG726">
            <v>3.3000000000000002E-2</v>
          </cell>
          <cell r="AH726">
            <v>1E-3</v>
          </cell>
          <cell r="AI726">
            <v>0.33</v>
          </cell>
          <cell r="AJ726">
            <v>16.600000000000001</v>
          </cell>
          <cell r="AK726">
            <v>10.3</v>
          </cell>
          <cell r="AL726">
            <v>0.04</v>
          </cell>
          <cell r="AM726">
            <v>2.08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  <cell r="AS726">
            <v>0</v>
          </cell>
          <cell r="AT726">
            <v>291</v>
          </cell>
          <cell r="AU726">
            <v>0</v>
          </cell>
          <cell r="AV726">
            <v>582</v>
          </cell>
          <cell r="AW726">
            <v>60</v>
          </cell>
          <cell r="AX726">
            <v>75</v>
          </cell>
          <cell r="AY726">
            <v>137</v>
          </cell>
          <cell r="AZ726">
            <v>1.62</v>
          </cell>
          <cell r="BA726" t="str">
            <v>D2008019</v>
          </cell>
          <cell r="BB726" t="str">
            <v>CONFORM</v>
          </cell>
          <cell r="BC726" t="str">
            <v>CONFORM</v>
          </cell>
          <cell r="BD726" t="str">
            <v>CONFORM</v>
          </cell>
          <cell r="BE726" t="str">
            <v>CONFORM</v>
          </cell>
          <cell r="BF726" t="str">
            <v>CONFORM</v>
          </cell>
        </row>
        <row r="727">
          <cell r="A727">
            <v>44054</v>
          </cell>
          <cell r="B727" t="str">
            <v>D2008019-2</v>
          </cell>
          <cell r="C727" t="str">
            <v>062/20</v>
          </cell>
          <cell r="D727">
            <v>2</v>
          </cell>
          <cell r="E727">
            <v>44055</v>
          </cell>
          <cell r="F727" t="str">
            <v>DC</v>
          </cell>
          <cell r="G727" t="str">
            <v>On Time</v>
          </cell>
          <cell r="H727" t="str">
            <v>L395191</v>
          </cell>
          <cell r="I727">
            <v>44053</v>
          </cell>
          <cell r="J727" t="str">
            <v>ATI</v>
          </cell>
          <cell r="K727" t="str">
            <v>D2008019</v>
          </cell>
          <cell r="L727">
            <v>2</v>
          </cell>
          <cell r="M727" t="str">
            <v>AAD11994</v>
          </cell>
          <cell r="N727">
            <v>861121</v>
          </cell>
          <cell r="O727" t="str">
            <v xml:space="preserve">1.4401/1.4404 TP316/316L </v>
          </cell>
          <cell r="P727" t="str">
            <v>316L</v>
          </cell>
          <cell r="Q727">
            <v>2.323</v>
          </cell>
          <cell r="R727">
            <v>2.323</v>
          </cell>
          <cell r="S727">
            <v>4.7E-2</v>
          </cell>
          <cell r="T727">
            <v>4.7E-2</v>
          </cell>
          <cell r="V727">
            <v>4.7E-2</v>
          </cell>
          <cell r="W727" t="str">
            <v>AB</v>
          </cell>
          <cell r="X727">
            <v>4186</v>
          </cell>
          <cell r="Y727">
            <v>2</v>
          </cell>
          <cell r="Z727">
            <v>900.99009900990097</v>
          </cell>
          <cell r="AA727" t="str">
            <v>2.323X0.047-316L</v>
          </cell>
          <cell r="AB727" t="str">
            <v>WAAF005900120B300027</v>
          </cell>
          <cell r="AC727" t="str">
            <v>D2008019</v>
          </cell>
          <cell r="AD727">
            <v>861121</v>
          </cell>
          <cell r="AE727">
            <v>1.7999999999999999E-2</v>
          </cell>
          <cell r="AF727">
            <v>1.7</v>
          </cell>
          <cell r="AG727">
            <v>3.3000000000000002E-2</v>
          </cell>
          <cell r="AH727">
            <v>1E-3</v>
          </cell>
          <cell r="AI727">
            <v>0.33</v>
          </cell>
          <cell r="AJ727">
            <v>16.600000000000001</v>
          </cell>
          <cell r="AK727">
            <v>10.3</v>
          </cell>
          <cell r="AL727">
            <v>0.04</v>
          </cell>
          <cell r="AM727">
            <v>2.08</v>
          </cell>
          <cell r="AN727">
            <v>0</v>
          </cell>
          <cell r="AO727">
            <v>0</v>
          </cell>
          <cell r="AP727">
            <v>0</v>
          </cell>
          <cell r="AQ727">
            <v>0</v>
          </cell>
          <cell r="AR727">
            <v>0</v>
          </cell>
          <cell r="AS727">
            <v>0</v>
          </cell>
          <cell r="AT727">
            <v>291</v>
          </cell>
          <cell r="AU727">
            <v>0</v>
          </cell>
          <cell r="AV727">
            <v>582</v>
          </cell>
          <cell r="AW727">
            <v>60</v>
          </cell>
          <cell r="AX727">
            <v>75</v>
          </cell>
          <cell r="AY727">
            <v>137</v>
          </cell>
          <cell r="AZ727">
            <v>1.62</v>
          </cell>
          <cell r="BA727" t="str">
            <v>D2008019</v>
          </cell>
          <cell r="BB727" t="str">
            <v>CONFORM</v>
          </cell>
          <cell r="BC727" t="str">
            <v>CONFORM</v>
          </cell>
          <cell r="BD727" t="str">
            <v>CONFORM</v>
          </cell>
          <cell r="BE727" t="str">
            <v>CONFORM</v>
          </cell>
          <cell r="BF727" t="str">
            <v>CONFORM</v>
          </cell>
        </row>
        <row r="728">
          <cell r="A728">
            <v>44054</v>
          </cell>
          <cell r="B728" t="str">
            <v>D2008019-3</v>
          </cell>
          <cell r="C728" t="str">
            <v>062/20</v>
          </cell>
          <cell r="D728">
            <v>2</v>
          </cell>
          <cell r="E728">
            <v>44055</v>
          </cell>
          <cell r="F728" t="str">
            <v>DC</v>
          </cell>
          <cell r="G728" t="str">
            <v>On Time</v>
          </cell>
          <cell r="H728" t="str">
            <v>L395191</v>
          </cell>
          <cell r="I728">
            <v>44053</v>
          </cell>
          <cell r="J728" t="str">
            <v>ATI</v>
          </cell>
          <cell r="K728" t="str">
            <v>D2008019</v>
          </cell>
          <cell r="L728">
            <v>3</v>
          </cell>
          <cell r="M728" t="str">
            <v>AAD11994</v>
          </cell>
          <cell r="N728">
            <v>861121</v>
          </cell>
          <cell r="O728" t="str">
            <v xml:space="preserve">1.4401/1.4404 TP316/316L </v>
          </cell>
          <cell r="P728" t="str">
            <v>316L</v>
          </cell>
          <cell r="Q728">
            <v>2.323</v>
          </cell>
          <cell r="R728">
            <v>2.323</v>
          </cell>
          <cell r="S728">
            <v>4.7E-2</v>
          </cell>
          <cell r="T728">
            <v>4.7300000000000002E-2</v>
          </cell>
          <cell r="V728">
            <v>4.7300000000000002E-2</v>
          </cell>
          <cell r="W728" t="str">
            <v>AB</v>
          </cell>
          <cell r="X728">
            <v>2102</v>
          </cell>
          <cell r="Y728">
            <v>1</v>
          </cell>
          <cell r="Z728">
            <v>904.86439948342661</v>
          </cell>
          <cell r="AA728" t="str">
            <v>2.323X0.047-316L</v>
          </cell>
          <cell r="AB728" t="str">
            <v>WAAF005900120B300027</v>
          </cell>
          <cell r="AC728" t="str">
            <v>D2008019</v>
          </cell>
          <cell r="AD728">
            <v>861121</v>
          </cell>
          <cell r="AE728">
            <v>1.7999999999999999E-2</v>
          </cell>
          <cell r="AF728">
            <v>1.7</v>
          </cell>
          <cell r="AG728">
            <v>3.3000000000000002E-2</v>
          </cell>
          <cell r="AH728">
            <v>1E-3</v>
          </cell>
          <cell r="AI728">
            <v>0.33</v>
          </cell>
          <cell r="AJ728">
            <v>16.600000000000001</v>
          </cell>
          <cell r="AK728">
            <v>10.3</v>
          </cell>
          <cell r="AL728">
            <v>0.04</v>
          </cell>
          <cell r="AM728">
            <v>2.08</v>
          </cell>
          <cell r="AN728">
            <v>0</v>
          </cell>
          <cell r="AO728">
            <v>0</v>
          </cell>
          <cell r="AP728">
            <v>0</v>
          </cell>
          <cell r="AQ728">
            <v>0</v>
          </cell>
          <cell r="AR728">
            <v>0</v>
          </cell>
          <cell r="AS728">
            <v>0</v>
          </cell>
          <cell r="AT728">
            <v>291</v>
          </cell>
          <cell r="AU728">
            <v>0</v>
          </cell>
          <cell r="AV728">
            <v>582</v>
          </cell>
          <cell r="AW728">
            <v>60</v>
          </cell>
          <cell r="AX728">
            <v>75</v>
          </cell>
          <cell r="AY728">
            <v>137</v>
          </cell>
          <cell r="AZ728">
            <v>1.62</v>
          </cell>
          <cell r="BA728" t="str">
            <v>D2008019</v>
          </cell>
          <cell r="BB728" t="str">
            <v>CONFORM</v>
          </cell>
          <cell r="BC728" t="str">
            <v>CONFORM</v>
          </cell>
          <cell r="BD728" t="str">
            <v>CONFORM</v>
          </cell>
          <cell r="BE728" t="str">
            <v>CONFORM</v>
          </cell>
          <cell r="BF728" t="str">
            <v>CONFORM</v>
          </cell>
        </row>
        <row r="729">
          <cell r="A729">
            <v>44054</v>
          </cell>
          <cell r="B729" t="str">
            <v>D2008019-4</v>
          </cell>
          <cell r="C729" t="str">
            <v>062/20</v>
          </cell>
          <cell r="D729">
            <v>2</v>
          </cell>
          <cell r="E729">
            <v>44055</v>
          </cell>
          <cell r="F729" t="str">
            <v>DC</v>
          </cell>
          <cell r="G729" t="str">
            <v>On Time</v>
          </cell>
          <cell r="H729" t="str">
            <v>L395191</v>
          </cell>
          <cell r="I729">
            <v>44053</v>
          </cell>
          <cell r="J729" t="str">
            <v>ATI</v>
          </cell>
          <cell r="K729" t="str">
            <v>D2008019</v>
          </cell>
          <cell r="L729">
            <v>4</v>
          </cell>
          <cell r="M729" t="str">
            <v>AAD11994</v>
          </cell>
          <cell r="N729">
            <v>861121</v>
          </cell>
          <cell r="O729" t="str">
            <v xml:space="preserve">1.4401/1.4404 TP316/316L </v>
          </cell>
          <cell r="P729" t="str">
            <v>316L</v>
          </cell>
          <cell r="Q729">
            <v>2.323</v>
          </cell>
          <cell r="R729">
            <v>2.323</v>
          </cell>
          <cell r="S729">
            <v>4.7E-2</v>
          </cell>
          <cell r="T729">
            <v>4.7399999999999998E-2</v>
          </cell>
          <cell r="V729">
            <v>4.7399999999999998E-2</v>
          </cell>
          <cell r="W729" t="str">
            <v>AB</v>
          </cell>
          <cell r="X729">
            <v>4208</v>
          </cell>
          <cell r="Y729">
            <v>2</v>
          </cell>
          <cell r="Z729">
            <v>905.72535514421008</v>
          </cell>
          <cell r="AA729" t="str">
            <v>2.323X0.047-316L</v>
          </cell>
          <cell r="AB729" t="str">
            <v>WAAF005900120B300027</v>
          </cell>
          <cell r="AC729" t="str">
            <v>D2008019</v>
          </cell>
          <cell r="AD729">
            <v>861121</v>
          </cell>
          <cell r="AE729">
            <v>1.7999999999999999E-2</v>
          </cell>
          <cell r="AF729">
            <v>1.7</v>
          </cell>
          <cell r="AG729">
            <v>3.3000000000000002E-2</v>
          </cell>
          <cell r="AH729">
            <v>1E-3</v>
          </cell>
          <cell r="AI729">
            <v>0.33</v>
          </cell>
          <cell r="AJ729">
            <v>16.600000000000001</v>
          </cell>
          <cell r="AK729">
            <v>10.3</v>
          </cell>
          <cell r="AL729">
            <v>0.04</v>
          </cell>
          <cell r="AM729">
            <v>2.08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  <cell r="AS729">
            <v>0</v>
          </cell>
          <cell r="AT729">
            <v>291</v>
          </cell>
          <cell r="AU729">
            <v>0</v>
          </cell>
          <cell r="AV729">
            <v>582</v>
          </cell>
          <cell r="AW729">
            <v>60</v>
          </cell>
          <cell r="AX729">
            <v>75</v>
          </cell>
          <cell r="AY729">
            <v>137</v>
          </cell>
          <cell r="AZ729">
            <v>1.62</v>
          </cell>
          <cell r="BA729" t="str">
            <v>D2008019</v>
          </cell>
          <cell r="BB729" t="str">
            <v>CONFORM</v>
          </cell>
          <cell r="BC729" t="str">
            <v>CONFORM</v>
          </cell>
          <cell r="BD729" t="str">
            <v>CONFORM</v>
          </cell>
          <cell r="BE729" t="str">
            <v>CONFORM</v>
          </cell>
          <cell r="BF729" t="str">
            <v>CONFORM</v>
          </cell>
        </row>
        <row r="730">
          <cell r="A730">
            <v>44054</v>
          </cell>
          <cell r="B730" t="str">
            <v>D2008019-5</v>
          </cell>
          <cell r="C730" t="str">
            <v>062/20</v>
          </cell>
          <cell r="D730">
            <v>2</v>
          </cell>
          <cell r="E730">
            <v>44055</v>
          </cell>
          <cell r="F730" t="str">
            <v>DC</v>
          </cell>
          <cell r="G730" t="str">
            <v>On Time</v>
          </cell>
          <cell r="H730" t="str">
            <v>L395191</v>
          </cell>
          <cell r="I730">
            <v>44053</v>
          </cell>
          <cell r="J730" t="str">
            <v>ATI</v>
          </cell>
          <cell r="K730" t="str">
            <v>D2008019</v>
          </cell>
          <cell r="L730">
            <v>5</v>
          </cell>
          <cell r="M730" t="str">
            <v>AAD11994</v>
          </cell>
          <cell r="N730">
            <v>861121</v>
          </cell>
          <cell r="O730" t="str">
            <v xml:space="preserve">1.4401/1.4404 TP316/316L </v>
          </cell>
          <cell r="P730" t="str">
            <v>316L</v>
          </cell>
          <cell r="Q730">
            <v>2.323</v>
          </cell>
          <cell r="R730">
            <v>2.323</v>
          </cell>
          <cell r="S730">
            <v>4.7E-2</v>
          </cell>
          <cell r="T730">
            <v>4.7199999999999999E-2</v>
          </cell>
          <cell r="V730">
            <v>4.7199999999999999E-2</v>
          </cell>
          <cell r="W730" t="str">
            <v>AB</v>
          </cell>
          <cell r="X730">
            <v>4202</v>
          </cell>
          <cell r="Y730">
            <v>2</v>
          </cell>
          <cell r="Z730">
            <v>904.43392165303487</v>
          </cell>
          <cell r="AA730" t="str">
            <v>2.323X0.047-316L</v>
          </cell>
          <cell r="AB730" t="str">
            <v>WAAF005900120B300027</v>
          </cell>
          <cell r="AC730" t="str">
            <v>D2008019</v>
          </cell>
          <cell r="AD730">
            <v>861121</v>
          </cell>
          <cell r="AE730">
            <v>1.7999999999999999E-2</v>
          </cell>
          <cell r="AF730">
            <v>1.7</v>
          </cell>
          <cell r="AG730">
            <v>3.3000000000000002E-2</v>
          </cell>
          <cell r="AH730">
            <v>1E-3</v>
          </cell>
          <cell r="AI730">
            <v>0.33</v>
          </cell>
          <cell r="AJ730">
            <v>16.600000000000001</v>
          </cell>
          <cell r="AK730">
            <v>10.3</v>
          </cell>
          <cell r="AL730">
            <v>0.04</v>
          </cell>
          <cell r="AM730">
            <v>2.08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  <cell r="AS730">
            <v>0</v>
          </cell>
          <cell r="AT730">
            <v>291</v>
          </cell>
          <cell r="AU730">
            <v>0</v>
          </cell>
          <cell r="AV730">
            <v>582</v>
          </cell>
          <cell r="AW730">
            <v>60</v>
          </cell>
          <cell r="AX730">
            <v>75</v>
          </cell>
          <cell r="AY730">
            <v>137</v>
          </cell>
          <cell r="AZ730">
            <v>1.62</v>
          </cell>
          <cell r="BA730" t="str">
            <v>D2008019</v>
          </cell>
          <cell r="BB730" t="str">
            <v>CONFORM</v>
          </cell>
          <cell r="BC730" t="str">
            <v>CONFORM</v>
          </cell>
          <cell r="BD730" t="str">
            <v>CONFORM</v>
          </cell>
          <cell r="BE730" t="str">
            <v>CONFORM</v>
          </cell>
          <cell r="BF730" t="str">
            <v>CONFORM</v>
          </cell>
        </row>
        <row r="731">
          <cell r="A731">
            <v>44054</v>
          </cell>
          <cell r="B731" t="str">
            <v>D2008019-6</v>
          </cell>
          <cell r="C731" t="str">
            <v>062/20</v>
          </cell>
          <cell r="D731">
            <v>2</v>
          </cell>
          <cell r="E731">
            <v>44055</v>
          </cell>
          <cell r="F731" t="str">
            <v>DC</v>
          </cell>
          <cell r="G731" t="str">
            <v>On Time</v>
          </cell>
          <cell r="H731" t="str">
            <v>L395191</v>
          </cell>
          <cell r="I731">
            <v>44053</v>
          </cell>
          <cell r="J731" t="str">
            <v>ATI</v>
          </cell>
          <cell r="K731" t="str">
            <v>D2008019</v>
          </cell>
          <cell r="L731">
            <v>6</v>
          </cell>
          <cell r="M731" t="str">
            <v>AAD11994</v>
          </cell>
          <cell r="N731">
            <v>861121</v>
          </cell>
          <cell r="O731" t="str">
            <v xml:space="preserve">1.4401/1.4404 TP316/316L </v>
          </cell>
          <cell r="P731" t="str">
            <v>316L</v>
          </cell>
          <cell r="Q731">
            <v>2.323</v>
          </cell>
          <cell r="R731">
            <v>2.323</v>
          </cell>
          <cell r="S731">
            <v>4.7E-2</v>
          </cell>
          <cell r="T731">
            <v>4.7E-2</v>
          </cell>
          <cell r="V731">
            <v>4.7E-2</v>
          </cell>
          <cell r="W731" t="str">
            <v>AB</v>
          </cell>
          <cell r="X731">
            <v>2098</v>
          </cell>
          <cell r="Y731">
            <v>1</v>
          </cell>
          <cell r="Z731">
            <v>903.14248816185966</v>
          </cell>
          <cell r="AA731" t="str">
            <v>2.323X0.047-316L</v>
          </cell>
          <cell r="AB731" t="str">
            <v>WAAF005900120B300027</v>
          </cell>
          <cell r="AC731" t="str">
            <v>D2008019</v>
          </cell>
          <cell r="AD731">
            <v>861121</v>
          </cell>
          <cell r="AE731">
            <v>1.7999999999999999E-2</v>
          </cell>
          <cell r="AF731">
            <v>1.7</v>
          </cell>
          <cell r="AG731">
            <v>3.3000000000000002E-2</v>
          </cell>
          <cell r="AH731">
            <v>1E-3</v>
          </cell>
          <cell r="AI731">
            <v>0.33</v>
          </cell>
          <cell r="AJ731">
            <v>16.600000000000001</v>
          </cell>
          <cell r="AK731">
            <v>10.3</v>
          </cell>
          <cell r="AL731">
            <v>0.04</v>
          </cell>
          <cell r="AM731">
            <v>2.08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  <cell r="AS731">
            <v>0</v>
          </cell>
          <cell r="AT731">
            <v>291</v>
          </cell>
          <cell r="AU731">
            <v>0</v>
          </cell>
          <cell r="AV731">
            <v>582</v>
          </cell>
          <cell r="AW731">
            <v>60</v>
          </cell>
          <cell r="AX731">
            <v>75</v>
          </cell>
          <cell r="AY731">
            <v>137</v>
          </cell>
          <cell r="AZ731">
            <v>1.62</v>
          </cell>
          <cell r="BA731" t="str">
            <v>D2008019</v>
          </cell>
          <cell r="BB731" t="str">
            <v>CONFORM</v>
          </cell>
          <cell r="BC731" t="str">
            <v>CONFORM</v>
          </cell>
          <cell r="BD731" t="str">
            <v>CONFORM</v>
          </cell>
          <cell r="BE731" t="str">
            <v>CONFORM</v>
          </cell>
          <cell r="BF731" t="str">
            <v>CONFORM</v>
          </cell>
        </row>
        <row r="732">
          <cell r="A732">
            <v>44054</v>
          </cell>
          <cell r="B732" t="str">
            <v>D2008020-1</v>
          </cell>
          <cell r="C732" t="str">
            <v>062/20</v>
          </cell>
          <cell r="D732">
            <v>1</v>
          </cell>
          <cell r="E732">
            <v>44055</v>
          </cell>
          <cell r="F732" t="str">
            <v>DC</v>
          </cell>
          <cell r="G732" t="str">
            <v>On Time</v>
          </cell>
          <cell r="H732" t="str">
            <v>L395191</v>
          </cell>
          <cell r="I732">
            <v>44053</v>
          </cell>
          <cell r="J732" t="str">
            <v>ATI</v>
          </cell>
          <cell r="K732" t="str">
            <v>D2008020</v>
          </cell>
          <cell r="L732">
            <v>1</v>
          </cell>
          <cell r="M732" t="str">
            <v>AAD11994</v>
          </cell>
          <cell r="N732">
            <v>861121</v>
          </cell>
          <cell r="O732" t="str">
            <v xml:space="preserve">1.4401/1.4404 TP316/316L </v>
          </cell>
          <cell r="P732" t="str">
            <v>316L</v>
          </cell>
          <cell r="Q732">
            <v>1.913</v>
          </cell>
          <cell r="R732">
            <v>1.913</v>
          </cell>
          <cell r="S732">
            <v>4.7E-2</v>
          </cell>
          <cell r="T732">
            <v>4.2000000000000003E-2</v>
          </cell>
          <cell r="V732">
            <v>4.2000000000000003E-2</v>
          </cell>
          <cell r="W732" t="str">
            <v>AB</v>
          </cell>
          <cell r="X732">
            <v>5198</v>
          </cell>
          <cell r="Y732">
            <v>3</v>
          </cell>
          <cell r="Z732">
            <v>905.73270604634956</v>
          </cell>
          <cell r="AA732" t="str">
            <v>1.913X0.047-316L</v>
          </cell>
          <cell r="AB732" t="str">
            <v>WAAF004860120B300028</v>
          </cell>
          <cell r="AC732" t="str">
            <v>D2008020</v>
          </cell>
          <cell r="AD732">
            <v>861121</v>
          </cell>
          <cell r="AE732">
            <v>1.7999999999999999E-2</v>
          </cell>
          <cell r="AF732">
            <v>1.7</v>
          </cell>
          <cell r="AG732">
            <v>3.3000000000000002E-2</v>
          </cell>
          <cell r="AH732">
            <v>1E-3</v>
          </cell>
          <cell r="AI732">
            <v>0.33</v>
          </cell>
          <cell r="AJ732">
            <v>16.600000000000001</v>
          </cell>
          <cell r="AK732">
            <v>10.3</v>
          </cell>
          <cell r="AL732">
            <v>0.04</v>
          </cell>
          <cell r="AM732">
            <v>2.08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0</v>
          </cell>
          <cell r="AS732">
            <v>0</v>
          </cell>
          <cell r="AT732">
            <v>291</v>
          </cell>
          <cell r="AU732">
            <v>0</v>
          </cell>
          <cell r="AV732">
            <v>582</v>
          </cell>
          <cell r="AW732">
            <v>60</v>
          </cell>
          <cell r="AX732">
            <v>75</v>
          </cell>
          <cell r="AY732">
            <v>137</v>
          </cell>
          <cell r="AZ732">
            <v>1.62</v>
          </cell>
          <cell r="BA732" t="str">
            <v>D2008020</v>
          </cell>
          <cell r="BB732" t="str">
            <v>CONFORM</v>
          </cell>
          <cell r="BC732" t="str">
            <v>CONFORM</v>
          </cell>
          <cell r="BD732" t="str">
            <v>CONFORM</v>
          </cell>
          <cell r="BE732" t="str">
            <v>CONFORM</v>
          </cell>
          <cell r="BF732" t="str">
            <v>CONFORM</v>
          </cell>
        </row>
        <row r="733">
          <cell r="A733">
            <v>44054</v>
          </cell>
          <cell r="B733" t="str">
            <v>D2008020-2</v>
          </cell>
          <cell r="C733" t="str">
            <v>062/20</v>
          </cell>
          <cell r="D733">
            <v>1</v>
          </cell>
          <cell r="E733">
            <v>44055</v>
          </cell>
          <cell r="F733" t="str">
            <v>DC</v>
          </cell>
          <cell r="G733" t="str">
            <v>On Time</v>
          </cell>
          <cell r="H733" t="str">
            <v>L395191</v>
          </cell>
          <cell r="I733">
            <v>44053</v>
          </cell>
          <cell r="J733" t="str">
            <v>ATI</v>
          </cell>
          <cell r="K733" t="str">
            <v>D2008020</v>
          </cell>
          <cell r="L733">
            <v>2</v>
          </cell>
          <cell r="M733" t="str">
            <v>AAD11994</v>
          </cell>
          <cell r="N733">
            <v>861121</v>
          </cell>
          <cell r="O733" t="str">
            <v xml:space="preserve">1.4401/1.4404 TP316/316L </v>
          </cell>
          <cell r="P733" t="str">
            <v>316L</v>
          </cell>
          <cell r="Q733">
            <v>1.913</v>
          </cell>
          <cell r="R733">
            <v>1.913</v>
          </cell>
          <cell r="S733">
            <v>4.7E-2</v>
          </cell>
          <cell r="T733">
            <v>4.7E-2</v>
          </cell>
          <cell r="V733">
            <v>4.7E-2</v>
          </cell>
          <cell r="W733" t="str">
            <v>AB</v>
          </cell>
          <cell r="X733">
            <v>5212</v>
          </cell>
          <cell r="Y733">
            <v>3</v>
          </cell>
          <cell r="Z733">
            <v>908.17215542777478</v>
          </cell>
          <cell r="AA733" t="str">
            <v>1.913X0.047-316L</v>
          </cell>
          <cell r="AB733" t="str">
            <v>WAAF004860120B300028</v>
          </cell>
          <cell r="AC733" t="str">
            <v>D2008020</v>
          </cell>
          <cell r="AD733">
            <v>861121</v>
          </cell>
          <cell r="AE733">
            <v>1.7999999999999999E-2</v>
          </cell>
          <cell r="AF733">
            <v>1.7</v>
          </cell>
          <cell r="AG733">
            <v>3.3000000000000002E-2</v>
          </cell>
          <cell r="AH733">
            <v>1E-3</v>
          </cell>
          <cell r="AI733">
            <v>0.33</v>
          </cell>
          <cell r="AJ733">
            <v>16.600000000000001</v>
          </cell>
          <cell r="AK733">
            <v>10.3</v>
          </cell>
          <cell r="AL733">
            <v>0.04</v>
          </cell>
          <cell r="AM733">
            <v>2.08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  <cell r="AS733">
            <v>0</v>
          </cell>
          <cell r="AT733">
            <v>291</v>
          </cell>
          <cell r="AU733">
            <v>0</v>
          </cell>
          <cell r="AV733">
            <v>582</v>
          </cell>
          <cell r="AW733">
            <v>60</v>
          </cell>
          <cell r="AX733">
            <v>75</v>
          </cell>
          <cell r="AY733">
            <v>137</v>
          </cell>
          <cell r="AZ733">
            <v>1.62</v>
          </cell>
          <cell r="BA733" t="str">
            <v>D2008020</v>
          </cell>
          <cell r="BB733" t="str">
            <v>CONFORM</v>
          </cell>
          <cell r="BC733" t="str">
            <v>CONFORM</v>
          </cell>
          <cell r="BD733" t="str">
            <v>CONFORM</v>
          </cell>
          <cell r="BE733" t="str">
            <v>CONFORM</v>
          </cell>
          <cell r="BF733" t="str">
            <v>CONFORM</v>
          </cell>
        </row>
        <row r="734">
          <cell r="A734">
            <v>44054</v>
          </cell>
          <cell r="B734" t="str">
            <v>D2008020-3</v>
          </cell>
          <cell r="C734" t="str">
            <v>062/20</v>
          </cell>
          <cell r="D734">
            <v>1</v>
          </cell>
          <cell r="E734">
            <v>44055</v>
          </cell>
          <cell r="F734" t="str">
            <v>DC</v>
          </cell>
          <cell r="G734" t="str">
            <v>On Time</v>
          </cell>
          <cell r="H734" t="str">
            <v>L395191</v>
          </cell>
          <cell r="I734">
            <v>44053</v>
          </cell>
          <cell r="J734" t="str">
            <v>ATI</v>
          </cell>
          <cell r="K734" t="str">
            <v>D2008020</v>
          </cell>
          <cell r="L734">
            <v>3</v>
          </cell>
          <cell r="M734" t="str">
            <v>AAD11994</v>
          </cell>
          <cell r="N734">
            <v>861121</v>
          </cell>
          <cell r="O734" t="str">
            <v xml:space="preserve">1.4401/1.4404 TP316/316L </v>
          </cell>
          <cell r="P734" t="str">
            <v>316L</v>
          </cell>
          <cell r="Q734">
            <v>1.913</v>
          </cell>
          <cell r="R734">
            <v>1.913</v>
          </cell>
          <cell r="S734">
            <v>4.7E-2</v>
          </cell>
          <cell r="T734">
            <v>4.7E-2</v>
          </cell>
          <cell r="V734">
            <v>4.7E-2</v>
          </cell>
          <cell r="W734" t="str">
            <v>AB</v>
          </cell>
          <cell r="X734">
            <v>5154</v>
          </cell>
          <cell r="Y734">
            <v>3</v>
          </cell>
          <cell r="Z734">
            <v>898.06586513329842</v>
          </cell>
          <cell r="AA734" t="str">
            <v>1.913X0.047-316L</v>
          </cell>
          <cell r="AB734" t="str">
            <v>WAAF004860120B300028</v>
          </cell>
          <cell r="AC734" t="str">
            <v>D2008020</v>
          </cell>
          <cell r="AD734">
            <v>861121</v>
          </cell>
          <cell r="AE734">
            <v>1.7999999999999999E-2</v>
          </cell>
          <cell r="AF734">
            <v>1.7</v>
          </cell>
          <cell r="AG734">
            <v>3.3000000000000002E-2</v>
          </cell>
          <cell r="AH734">
            <v>1E-3</v>
          </cell>
          <cell r="AI734">
            <v>0.33</v>
          </cell>
          <cell r="AJ734">
            <v>16.600000000000001</v>
          </cell>
          <cell r="AK734">
            <v>10.3</v>
          </cell>
          <cell r="AL734">
            <v>0.04</v>
          </cell>
          <cell r="AM734">
            <v>2.08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  <cell r="AS734">
            <v>0</v>
          </cell>
          <cell r="AT734">
            <v>291</v>
          </cell>
          <cell r="AU734">
            <v>0</v>
          </cell>
          <cell r="AV734">
            <v>582</v>
          </cell>
          <cell r="AW734">
            <v>60</v>
          </cell>
          <cell r="AX734">
            <v>75</v>
          </cell>
          <cell r="AY734">
            <v>137</v>
          </cell>
          <cell r="AZ734">
            <v>1.62</v>
          </cell>
          <cell r="BA734" t="str">
            <v>D2008020</v>
          </cell>
          <cell r="BB734" t="str">
            <v>CONFORM</v>
          </cell>
          <cell r="BC734" t="str">
            <v>CONFORM</v>
          </cell>
          <cell r="BD734" t="str">
            <v>CONFORM</v>
          </cell>
          <cell r="BE734" t="str">
            <v>CONFORM</v>
          </cell>
          <cell r="BF734" t="str">
            <v>CONFORM</v>
          </cell>
        </row>
        <row r="735">
          <cell r="A735">
            <v>44054</v>
          </cell>
          <cell r="B735" t="str">
            <v>D2008020-4</v>
          </cell>
          <cell r="C735" t="str">
            <v>062/20</v>
          </cell>
          <cell r="D735">
            <v>1</v>
          </cell>
          <cell r="E735">
            <v>44055</v>
          </cell>
          <cell r="F735" t="str">
            <v>DC</v>
          </cell>
          <cell r="G735" t="str">
            <v>On Time</v>
          </cell>
          <cell r="H735" t="str">
            <v>L395191</v>
          </cell>
          <cell r="I735">
            <v>44053</v>
          </cell>
          <cell r="J735" t="str">
            <v>ATI</v>
          </cell>
          <cell r="K735" t="str">
            <v>D2008020</v>
          </cell>
          <cell r="L735">
            <v>4</v>
          </cell>
          <cell r="M735" t="str">
            <v>AAD11994</v>
          </cell>
          <cell r="N735">
            <v>861121</v>
          </cell>
          <cell r="O735" t="str">
            <v xml:space="preserve">1.4401/1.4404 TP316/316L </v>
          </cell>
          <cell r="P735" t="str">
            <v>316L</v>
          </cell>
          <cell r="Q735">
            <v>1.913</v>
          </cell>
          <cell r="R735">
            <v>1.913</v>
          </cell>
          <cell r="S735">
            <v>4.7E-2</v>
          </cell>
          <cell r="T735">
            <v>4.7E-2</v>
          </cell>
          <cell r="V735">
            <v>4.7E-2</v>
          </cell>
          <cell r="W735" t="str">
            <v>AB</v>
          </cell>
          <cell r="X735">
            <v>5102</v>
          </cell>
          <cell r="Y735">
            <v>3</v>
          </cell>
          <cell r="Z735">
            <v>889.00505314514726</v>
          </cell>
          <cell r="AA735" t="str">
            <v>1.913X0.047-316L</v>
          </cell>
          <cell r="AB735" t="str">
            <v>WAAF004860120B300028</v>
          </cell>
          <cell r="AC735" t="str">
            <v>D2008020</v>
          </cell>
          <cell r="AD735">
            <v>861121</v>
          </cell>
          <cell r="AE735">
            <v>1.7999999999999999E-2</v>
          </cell>
          <cell r="AF735">
            <v>1.7</v>
          </cell>
          <cell r="AG735">
            <v>3.3000000000000002E-2</v>
          </cell>
          <cell r="AH735">
            <v>1E-3</v>
          </cell>
          <cell r="AI735">
            <v>0.33</v>
          </cell>
          <cell r="AJ735">
            <v>16.600000000000001</v>
          </cell>
          <cell r="AK735">
            <v>10.3</v>
          </cell>
          <cell r="AL735">
            <v>0.04</v>
          </cell>
          <cell r="AM735">
            <v>2.08</v>
          </cell>
          <cell r="AN735">
            <v>0</v>
          </cell>
          <cell r="AO735">
            <v>0</v>
          </cell>
          <cell r="AP735">
            <v>0</v>
          </cell>
          <cell r="AQ735">
            <v>0</v>
          </cell>
          <cell r="AR735">
            <v>0</v>
          </cell>
          <cell r="AS735">
            <v>0</v>
          </cell>
          <cell r="AT735">
            <v>291</v>
          </cell>
          <cell r="AU735">
            <v>0</v>
          </cell>
          <cell r="AV735">
            <v>582</v>
          </cell>
          <cell r="AW735">
            <v>60</v>
          </cell>
          <cell r="AX735">
            <v>75</v>
          </cell>
          <cell r="AY735">
            <v>137</v>
          </cell>
          <cell r="AZ735">
            <v>1.62</v>
          </cell>
          <cell r="BA735" t="str">
            <v>D2008020</v>
          </cell>
          <cell r="BB735" t="str">
            <v>CONFORM</v>
          </cell>
          <cell r="BC735" t="str">
            <v>CONFORM</v>
          </cell>
          <cell r="BD735" t="str">
            <v>CONFORM</v>
          </cell>
          <cell r="BE735" t="str">
            <v>CONFORM</v>
          </cell>
          <cell r="BF735" t="str">
            <v>CONFORM</v>
          </cell>
        </row>
        <row r="736">
          <cell r="A736">
            <v>44056</v>
          </cell>
          <cell r="B736" t="str">
            <v>D2008021-1</v>
          </cell>
          <cell r="C736" t="str">
            <v>063/20</v>
          </cell>
          <cell r="D736">
            <v>1</v>
          </cell>
          <cell r="E736">
            <v>44056</v>
          </cell>
          <cell r="F736" t="str">
            <v>DC</v>
          </cell>
          <cell r="G736" t="str">
            <v>On Time</v>
          </cell>
          <cell r="H736">
            <v>473708</v>
          </cell>
          <cell r="I736">
            <v>44054</v>
          </cell>
          <cell r="J736" t="str">
            <v>OUTO</v>
          </cell>
          <cell r="K736" t="str">
            <v>D2008021</v>
          </cell>
          <cell r="L736">
            <v>1</v>
          </cell>
          <cell r="M736">
            <v>878254</v>
          </cell>
          <cell r="N736">
            <v>529896</v>
          </cell>
          <cell r="O736" t="str">
            <v xml:space="preserve">1.4306 TP304L </v>
          </cell>
          <cell r="P736" t="str">
            <v>304L</v>
          </cell>
          <cell r="Q736">
            <v>3.1539999999999999</v>
          </cell>
          <cell r="R736">
            <v>3.1579999999999999</v>
          </cell>
          <cell r="S736">
            <v>3.5000000000000003E-2</v>
          </cell>
          <cell r="T736">
            <v>3.4500000000000003E-2</v>
          </cell>
          <cell r="V736">
            <v>3.4500000000000003E-2</v>
          </cell>
          <cell r="W736" t="str">
            <v>AB</v>
          </cell>
          <cell r="X736">
            <v>2835</v>
          </cell>
          <cell r="Y736">
            <v>2</v>
          </cell>
          <cell r="Z736">
            <v>449.42929613189602</v>
          </cell>
          <cell r="AA736" t="str">
            <v>3.154X0.035-304L</v>
          </cell>
          <cell r="AB736" t="str">
            <v>WAAC008010090B300097</v>
          </cell>
          <cell r="AC736" t="str">
            <v>D2008021</v>
          </cell>
          <cell r="AD736">
            <v>529896</v>
          </cell>
          <cell r="AE736">
            <v>2.1000000000000001E-2</v>
          </cell>
          <cell r="AF736">
            <v>1.28</v>
          </cell>
          <cell r="AG736">
            <v>3.1E-2</v>
          </cell>
          <cell r="AH736">
            <v>2E-3</v>
          </cell>
          <cell r="AI736">
            <v>0.38</v>
          </cell>
          <cell r="AJ736">
            <v>18.100000000000001</v>
          </cell>
          <cell r="AK736">
            <v>8</v>
          </cell>
          <cell r="AL736">
            <v>6.2E-2</v>
          </cell>
          <cell r="AM736">
            <v>0.37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0.64</v>
          </cell>
          <cell r="AS736">
            <v>0</v>
          </cell>
          <cell r="AT736">
            <v>274</v>
          </cell>
          <cell r="AU736">
            <v>0</v>
          </cell>
          <cell r="AV736">
            <v>622</v>
          </cell>
          <cell r="AW736">
            <v>57</v>
          </cell>
          <cell r="AX736">
            <v>81</v>
          </cell>
          <cell r="AY736">
            <v>153</v>
          </cell>
          <cell r="AZ736">
            <v>1.21</v>
          </cell>
          <cell r="BA736" t="str">
            <v>D2008021</v>
          </cell>
          <cell r="BB736" t="str">
            <v>CONFORM</v>
          </cell>
          <cell r="BC736" t="str">
            <v>CONFORM</v>
          </cell>
          <cell r="BD736" t="str">
            <v>CONFORM</v>
          </cell>
          <cell r="BE736" t="str">
            <v>CONFORM</v>
          </cell>
          <cell r="BF736" t="str">
            <v>CONFORM</v>
          </cell>
        </row>
        <row r="737">
          <cell r="A737">
            <v>44056</v>
          </cell>
          <cell r="B737" t="str">
            <v>D2008021-2</v>
          </cell>
          <cell r="C737" t="str">
            <v>063/20</v>
          </cell>
          <cell r="D737">
            <v>1</v>
          </cell>
          <cell r="E737">
            <v>44056</v>
          </cell>
          <cell r="F737" t="str">
            <v>DC</v>
          </cell>
          <cell r="G737" t="str">
            <v>On Time</v>
          </cell>
          <cell r="H737">
            <v>473708</v>
          </cell>
          <cell r="I737">
            <v>44054</v>
          </cell>
          <cell r="J737" t="str">
            <v>OUTO</v>
          </cell>
          <cell r="K737" t="str">
            <v>D2008021</v>
          </cell>
          <cell r="L737">
            <v>2</v>
          </cell>
          <cell r="M737">
            <v>878254</v>
          </cell>
          <cell r="N737">
            <v>529896</v>
          </cell>
          <cell r="O737" t="str">
            <v xml:space="preserve">1.4306 TP304L </v>
          </cell>
          <cell r="P737" t="str">
            <v>304L</v>
          </cell>
          <cell r="Q737">
            <v>3.1539999999999999</v>
          </cell>
          <cell r="R737">
            <v>3.1579999999999999</v>
          </cell>
          <cell r="S737">
            <v>3.5000000000000003E-2</v>
          </cell>
          <cell r="T737">
            <v>3.4599999999999999E-2</v>
          </cell>
          <cell r="V737">
            <v>3.4599999999999999E-2</v>
          </cell>
          <cell r="W737" t="str">
            <v>AB</v>
          </cell>
          <cell r="X737">
            <v>2844</v>
          </cell>
          <cell r="Y737">
            <v>2</v>
          </cell>
          <cell r="Z737">
            <v>450.85605580215599</v>
          </cell>
          <cell r="AA737" t="str">
            <v>3.154X0.035-304L</v>
          </cell>
          <cell r="AB737" t="str">
            <v>WAAC008010090B300097</v>
          </cell>
          <cell r="AC737" t="str">
            <v>D2008021</v>
          </cell>
          <cell r="AD737">
            <v>529896</v>
          </cell>
          <cell r="AE737">
            <v>2.1000000000000001E-2</v>
          </cell>
          <cell r="AF737">
            <v>1.28</v>
          </cell>
          <cell r="AG737">
            <v>3.1E-2</v>
          </cell>
          <cell r="AH737">
            <v>2E-3</v>
          </cell>
          <cell r="AI737">
            <v>0.38</v>
          </cell>
          <cell r="AJ737">
            <v>18.100000000000001</v>
          </cell>
          <cell r="AK737">
            <v>8</v>
          </cell>
          <cell r="AL737">
            <v>6.2E-2</v>
          </cell>
          <cell r="AM737">
            <v>0.37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0.64</v>
          </cell>
          <cell r="AS737">
            <v>0</v>
          </cell>
          <cell r="AT737">
            <v>274</v>
          </cell>
          <cell r="AU737">
            <v>0</v>
          </cell>
          <cell r="AV737">
            <v>622</v>
          </cell>
          <cell r="AW737">
            <v>57</v>
          </cell>
          <cell r="AX737">
            <v>81</v>
          </cell>
          <cell r="AY737">
            <v>153</v>
          </cell>
          <cell r="AZ737">
            <v>1.21</v>
          </cell>
          <cell r="BA737" t="str">
            <v>D2008021</v>
          </cell>
          <cell r="BB737" t="str">
            <v>CONFORM</v>
          </cell>
          <cell r="BC737" t="str">
            <v>CONFORM</v>
          </cell>
          <cell r="BD737" t="str">
            <v>CONFORM</v>
          </cell>
          <cell r="BE737" t="str">
            <v>CONFORM</v>
          </cell>
          <cell r="BF737" t="str">
            <v>CONFORM</v>
          </cell>
        </row>
        <row r="738">
          <cell r="A738">
            <v>44056</v>
          </cell>
          <cell r="B738" t="str">
            <v>D2008021-3</v>
          </cell>
          <cell r="C738" t="str">
            <v>063/20</v>
          </cell>
          <cell r="D738">
            <v>1</v>
          </cell>
          <cell r="E738">
            <v>44056</v>
          </cell>
          <cell r="F738" t="str">
            <v>DC</v>
          </cell>
          <cell r="G738" t="str">
            <v>On Time</v>
          </cell>
          <cell r="H738">
            <v>473708</v>
          </cell>
          <cell r="I738">
            <v>44054</v>
          </cell>
          <cell r="J738" t="str">
            <v>OUTO</v>
          </cell>
          <cell r="K738" t="str">
            <v>D2008021</v>
          </cell>
          <cell r="L738">
            <v>3</v>
          </cell>
          <cell r="M738">
            <v>878254</v>
          </cell>
          <cell r="N738">
            <v>529896</v>
          </cell>
          <cell r="O738" t="str">
            <v xml:space="preserve">1.4306 TP304L </v>
          </cell>
          <cell r="P738" t="str">
            <v>304L</v>
          </cell>
          <cell r="Q738">
            <v>3.1539999999999999</v>
          </cell>
          <cell r="R738">
            <v>3.1589999999999998</v>
          </cell>
          <cell r="S738">
            <v>3.5000000000000003E-2</v>
          </cell>
          <cell r="T738">
            <v>3.4750000000000003E-2</v>
          </cell>
          <cell r="V738">
            <v>3.4750000000000003E-2</v>
          </cell>
          <cell r="W738" t="str">
            <v>AB</v>
          </cell>
          <cell r="X738">
            <v>2844</v>
          </cell>
          <cell r="Y738">
            <v>2</v>
          </cell>
          <cell r="Z738">
            <v>450.85605580215599</v>
          </cell>
          <cell r="AA738" t="str">
            <v>3.154X0.035-304L</v>
          </cell>
          <cell r="AB738" t="str">
            <v>WAAC008010090B300097</v>
          </cell>
          <cell r="AC738" t="str">
            <v>D2008021</v>
          </cell>
          <cell r="AD738">
            <v>529896</v>
          </cell>
          <cell r="AE738">
            <v>2.1000000000000001E-2</v>
          </cell>
          <cell r="AF738">
            <v>1.28</v>
          </cell>
          <cell r="AG738">
            <v>3.1E-2</v>
          </cell>
          <cell r="AH738">
            <v>2E-3</v>
          </cell>
          <cell r="AI738">
            <v>0.38</v>
          </cell>
          <cell r="AJ738">
            <v>18.100000000000001</v>
          </cell>
          <cell r="AK738">
            <v>8</v>
          </cell>
          <cell r="AL738">
            <v>6.2E-2</v>
          </cell>
          <cell r="AM738">
            <v>0.37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0.64</v>
          </cell>
          <cell r="AS738">
            <v>0</v>
          </cell>
          <cell r="AT738">
            <v>274</v>
          </cell>
          <cell r="AU738">
            <v>0</v>
          </cell>
          <cell r="AV738">
            <v>622</v>
          </cell>
          <cell r="AW738">
            <v>57</v>
          </cell>
          <cell r="AX738">
            <v>81</v>
          </cell>
          <cell r="AY738">
            <v>153</v>
          </cell>
          <cell r="AZ738">
            <v>1.21</v>
          </cell>
          <cell r="BA738" t="str">
            <v>D2008021</v>
          </cell>
          <cell r="BB738" t="str">
            <v>CONFORM</v>
          </cell>
          <cell r="BC738" t="str">
            <v>CONFORM</v>
          </cell>
          <cell r="BD738" t="str">
            <v>CONFORM</v>
          </cell>
          <cell r="BE738" t="str">
            <v>CONFORM</v>
          </cell>
          <cell r="BF738" t="str">
            <v>CONFORM</v>
          </cell>
        </row>
        <row r="739">
          <cell r="A739">
            <v>44056</v>
          </cell>
          <cell r="B739" t="str">
            <v>D2008021-4</v>
          </cell>
          <cell r="C739" t="str">
            <v>063/20</v>
          </cell>
          <cell r="D739">
            <v>1</v>
          </cell>
          <cell r="E739">
            <v>44056</v>
          </cell>
          <cell r="F739" t="str">
            <v>DC</v>
          </cell>
          <cell r="G739" t="str">
            <v>On Time</v>
          </cell>
          <cell r="H739">
            <v>473708</v>
          </cell>
          <cell r="I739">
            <v>44054</v>
          </cell>
          <cell r="J739" t="str">
            <v>OUTO</v>
          </cell>
          <cell r="K739" t="str">
            <v>D2008021</v>
          </cell>
          <cell r="L739">
            <v>4</v>
          </cell>
          <cell r="M739">
            <v>878254</v>
          </cell>
          <cell r="N739">
            <v>529896</v>
          </cell>
          <cell r="O739" t="str">
            <v xml:space="preserve">1.4306 TP304L </v>
          </cell>
          <cell r="P739" t="str">
            <v>304L</v>
          </cell>
          <cell r="Q739">
            <v>3.1539999999999999</v>
          </cell>
          <cell r="R739">
            <v>3.1579999999999999</v>
          </cell>
          <cell r="S739">
            <v>3.5000000000000003E-2</v>
          </cell>
          <cell r="T739">
            <v>3.5000000000000003E-2</v>
          </cell>
          <cell r="V739">
            <v>3.5000000000000003E-2</v>
          </cell>
          <cell r="W739" t="str">
            <v>AB</v>
          </cell>
          <cell r="X739">
            <v>2840</v>
          </cell>
          <cell r="Y739">
            <v>2</v>
          </cell>
          <cell r="Z739">
            <v>450.22194039315156</v>
          </cell>
          <cell r="AA739" t="str">
            <v>3.154X0.035-304L</v>
          </cell>
          <cell r="AB739" t="str">
            <v>WAAC008010090B300097</v>
          </cell>
          <cell r="AC739" t="str">
            <v>D2008021</v>
          </cell>
          <cell r="AD739">
            <v>529896</v>
          </cell>
          <cell r="AE739">
            <v>2.1000000000000001E-2</v>
          </cell>
          <cell r="AF739">
            <v>1.28</v>
          </cell>
          <cell r="AG739">
            <v>3.1E-2</v>
          </cell>
          <cell r="AH739">
            <v>2E-3</v>
          </cell>
          <cell r="AI739">
            <v>0.38</v>
          </cell>
          <cell r="AJ739">
            <v>18.100000000000001</v>
          </cell>
          <cell r="AK739">
            <v>8</v>
          </cell>
          <cell r="AL739">
            <v>6.2E-2</v>
          </cell>
          <cell r="AM739">
            <v>0.37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0.64</v>
          </cell>
          <cell r="AS739">
            <v>0</v>
          </cell>
          <cell r="AT739">
            <v>274</v>
          </cell>
          <cell r="AU739">
            <v>0</v>
          </cell>
          <cell r="AV739">
            <v>622</v>
          </cell>
          <cell r="AW739">
            <v>57</v>
          </cell>
          <cell r="AX739">
            <v>81</v>
          </cell>
          <cell r="AY739">
            <v>153</v>
          </cell>
          <cell r="AZ739">
            <v>1.21</v>
          </cell>
          <cell r="BA739" t="str">
            <v>D2008021</v>
          </cell>
          <cell r="BB739" t="str">
            <v>CONFORM</v>
          </cell>
          <cell r="BC739" t="str">
            <v>CONFORM</v>
          </cell>
          <cell r="BD739" t="str">
            <v>CONFORM</v>
          </cell>
          <cell r="BE739" t="str">
            <v>CONFORM</v>
          </cell>
          <cell r="BF739" t="str">
            <v>CONFORM</v>
          </cell>
        </row>
        <row r="740">
          <cell r="A740">
            <v>44056</v>
          </cell>
          <cell r="B740" t="str">
            <v>D2008021-5</v>
          </cell>
          <cell r="C740" t="str">
            <v>063/20</v>
          </cell>
          <cell r="D740">
            <v>1</v>
          </cell>
          <cell r="E740">
            <v>44056</v>
          </cell>
          <cell r="F740" t="str">
            <v>DC</v>
          </cell>
          <cell r="G740" t="str">
            <v>On Time</v>
          </cell>
          <cell r="H740">
            <v>473708</v>
          </cell>
          <cell r="I740">
            <v>44054</v>
          </cell>
          <cell r="J740" t="str">
            <v>OUTO</v>
          </cell>
          <cell r="K740" t="str">
            <v>D2008021</v>
          </cell>
          <cell r="L740">
            <v>5</v>
          </cell>
          <cell r="M740">
            <v>878254</v>
          </cell>
          <cell r="N740">
            <v>529896</v>
          </cell>
          <cell r="O740" t="str">
            <v xml:space="preserve">1.4306 TP304L </v>
          </cell>
          <cell r="P740" t="str">
            <v>304L</v>
          </cell>
          <cell r="Q740">
            <v>3.1539999999999999</v>
          </cell>
          <cell r="R740">
            <v>3.1579999999999999</v>
          </cell>
          <cell r="S740">
            <v>3.5000000000000003E-2</v>
          </cell>
          <cell r="T740">
            <v>3.4950000000000002E-2</v>
          </cell>
          <cell r="V740">
            <v>3.4950000000000002E-2</v>
          </cell>
          <cell r="W740" t="str">
            <v>AB</v>
          </cell>
          <cell r="X740">
            <v>2835</v>
          </cell>
          <cell r="Y740">
            <v>2</v>
          </cell>
          <cell r="Z740">
            <v>449.42929613189602</v>
          </cell>
          <cell r="AA740" t="str">
            <v>3.154X0.035-304L</v>
          </cell>
          <cell r="AB740" t="str">
            <v>WAAC008010090B300097</v>
          </cell>
          <cell r="AC740" t="str">
            <v>D2008021</v>
          </cell>
          <cell r="AD740">
            <v>529896</v>
          </cell>
          <cell r="AE740">
            <v>2.1000000000000001E-2</v>
          </cell>
          <cell r="AF740">
            <v>1.28</v>
          </cell>
          <cell r="AG740">
            <v>3.1E-2</v>
          </cell>
          <cell r="AH740">
            <v>2E-3</v>
          </cell>
          <cell r="AI740">
            <v>0.38</v>
          </cell>
          <cell r="AJ740">
            <v>18.100000000000001</v>
          </cell>
          <cell r="AK740">
            <v>8</v>
          </cell>
          <cell r="AL740">
            <v>6.2E-2</v>
          </cell>
          <cell r="AM740">
            <v>0.37</v>
          </cell>
          <cell r="AN740">
            <v>0</v>
          </cell>
          <cell r="AO740">
            <v>0</v>
          </cell>
          <cell r="AP740">
            <v>0</v>
          </cell>
          <cell r="AQ740">
            <v>0</v>
          </cell>
          <cell r="AR740">
            <v>0.64</v>
          </cell>
          <cell r="AS740">
            <v>0</v>
          </cell>
          <cell r="AT740">
            <v>274</v>
          </cell>
          <cell r="AU740">
            <v>0</v>
          </cell>
          <cell r="AV740">
            <v>622</v>
          </cell>
          <cell r="AW740">
            <v>57</v>
          </cell>
          <cell r="AX740">
            <v>81</v>
          </cell>
          <cell r="AY740">
            <v>153</v>
          </cell>
          <cell r="AZ740">
            <v>1.21</v>
          </cell>
          <cell r="BA740" t="str">
            <v>D2008021</v>
          </cell>
          <cell r="BB740" t="str">
            <v>CONFORM</v>
          </cell>
          <cell r="BC740" t="str">
            <v>CONFORM</v>
          </cell>
          <cell r="BD740" t="str">
            <v>CONFORM</v>
          </cell>
          <cell r="BE740" t="str">
            <v>CONFORM</v>
          </cell>
          <cell r="BF740" t="str">
            <v>CONFORM</v>
          </cell>
        </row>
        <row r="741">
          <cell r="A741">
            <v>44056</v>
          </cell>
          <cell r="B741" t="str">
            <v>D2008021-6</v>
          </cell>
          <cell r="C741" t="str">
            <v>063/20</v>
          </cell>
          <cell r="D741">
            <v>1</v>
          </cell>
          <cell r="E741">
            <v>44056</v>
          </cell>
          <cell r="F741" t="str">
            <v>DC</v>
          </cell>
          <cell r="G741" t="str">
            <v>On Time</v>
          </cell>
          <cell r="H741">
            <v>473708</v>
          </cell>
          <cell r="I741">
            <v>44054</v>
          </cell>
          <cell r="J741" t="str">
            <v>OUTO</v>
          </cell>
          <cell r="K741" t="str">
            <v>D2008021</v>
          </cell>
          <cell r="L741">
            <v>6</v>
          </cell>
          <cell r="M741">
            <v>878254</v>
          </cell>
          <cell r="N741">
            <v>529896</v>
          </cell>
          <cell r="O741" t="str">
            <v xml:space="preserve">1.4306 TP304L </v>
          </cell>
          <cell r="P741" t="str">
            <v>304L</v>
          </cell>
          <cell r="Q741">
            <v>3.1539999999999999</v>
          </cell>
          <cell r="R741">
            <v>3.157</v>
          </cell>
          <cell r="S741">
            <v>3.5000000000000003E-2</v>
          </cell>
          <cell r="T741">
            <v>3.4750000000000003E-2</v>
          </cell>
          <cell r="V741">
            <v>3.4750000000000003E-2</v>
          </cell>
          <cell r="W741" t="str">
            <v>AB</v>
          </cell>
          <cell r="X741">
            <v>2848</v>
          </cell>
          <cell r="Y741">
            <v>2</v>
          </cell>
          <cell r="Z741">
            <v>451.49017121116043</v>
          </cell>
          <cell r="AA741" t="str">
            <v>3.154X0.035-304L</v>
          </cell>
          <cell r="AB741" t="str">
            <v>WAAC008010090B300097</v>
          </cell>
          <cell r="AC741" t="str">
            <v>D2008021</v>
          </cell>
          <cell r="AD741">
            <v>529896</v>
          </cell>
          <cell r="AE741">
            <v>2.1000000000000001E-2</v>
          </cell>
          <cell r="AF741">
            <v>1.28</v>
          </cell>
          <cell r="AG741">
            <v>3.1E-2</v>
          </cell>
          <cell r="AH741">
            <v>2E-3</v>
          </cell>
          <cell r="AI741">
            <v>0.38</v>
          </cell>
          <cell r="AJ741">
            <v>18.100000000000001</v>
          </cell>
          <cell r="AK741">
            <v>8</v>
          </cell>
          <cell r="AL741">
            <v>6.2E-2</v>
          </cell>
          <cell r="AM741">
            <v>0.37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0.64</v>
          </cell>
          <cell r="AS741">
            <v>0</v>
          </cell>
          <cell r="AT741">
            <v>274</v>
          </cell>
          <cell r="AU741">
            <v>0</v>
          </cell>
          <cell r="AV741">
            <v>622</v>
          </cell>
          <cell r="AW741">
            <v>57</v>
          </cell>
          <cell r="AX741">
            <v>81</v>
          </cell>
          <cell r="AY741">
            <v>153</v>
          </cell>
          <cell r="AZ741">
            <v>1.21</v>
          </cell>
          <cell r="BA741" t="str">
            <v>D2008021</v>
          </cell>
          <cell r="BB741" t="str">
            <v>CONFORM</v>
          </cell>
          <cell r="BC741" t="str">
            <v>CONFORM</v>
          </cell>
          <cell r="BD741" t="str">
            <v>CONFORM</v>
          </cell>
          <cell r="BE741" t="str">
            <v>CONFORM</v>
          </cell>
          <cell r="BF741" t="str">
            <v>CONFORM</v>
          </cell>
        </row>
        <row r="742">
          <cell r="A742">
            <v>44056</v>
          </cell>
          <cell r="B742" t="str">
            <v>D2008021-7</v>
          </cell>
          <cell r="C742" t="str">
            <v>063/20</v>
          </cell>
          <cell r="D742">
            <v>1</v>
          </cell>
          <cell r="E742">
            <v>44056</v>
          </cell>
          <cell r="F742" t="str">
            <v>DC</v>
          </cell>
          <cell r="G742" t="str">
            <v>On Time</v>
          </cell>
          <cell r="H742">
            <v>473708</v>
          </cell>
          <cell r="I742">
            <v>44054</v>
          </cell>
          <cell r="J742" t="str">
            <v>OUTO</v>
          </cell>
          <cell r="K742" t="str">
            <v>D2008021</v>
          </cell>
          <cell r="L742">
            <v>7</v>
          </cell>
          <cell r="M742">
            <v>878254</v>
          </cell>
          <cell r="N742">
            <v>529896</v>
          </cell>
          <cell r="O742" t="str">
            <v xml:space="preserve">1.4306 TP304L </v>
          </cell>
          <cell r="P742" t="str">
            <v>304L</v>
          </cell>
          <cell r="Q742">
            <v>3.1539999999999999</v>
          </cell>
          <cell r="R742">
            <v>3.1579999999999999</v>
          </cell>
          <cell r="S742">
            <v>3.5000000000000003E-2</v>
          </cell>
          <cell r="T742">
            <v>3.4700000000000002E-2</v>
          </cell>
          <cell r="V742">
            <v>3.4700000000000002E-2</v>
          </cell>
          <cell r="W742" t="str">
            <v>AB</v>
          </cell>
          <cell r="X742">
            <v>2840</v>
          </cell>
          <cell r="Y742">
            <v>2</v>
          </cell>
          <cell r="Z742">
            <v>450.22194039315156</v>
          </cell>
          <cell r="AA742" t="str">
            <v>3.154X0.035-304L</v>
          </cell>
          <cell r="AB742" t="str">
            <v>WAAC008010090B300097</v>
          </cell>
          <cell r="AC742" t="str">
            <v>D2008021</v>
          </cell>
          <cell r="AD742">
            <v>529896</v>
          </cell>
          <cell r="AE742">
            <v>2.1000000000000001E-2</v>
          </cell>
          <cell r="AF742">
            <v>1.28</v>
          </cell>
          <cell r="AG742">
            <v>3.1E-2</v>
          </cell>
          <cell r="AH742">
            <v>2E-3</v>
          </cell>
          <cell r="AI742">
            <v>0.38</v>
          </cell>
          <cell r="AJ742">
            <v>18.100000000000001</v>
          </cell>
          <cell r="AK742">
            <v>8</v>
          </cell>
          <cell r="AL742">
            <v>6.2E-2</v>
          </cell>
          <cell r="AM742">
            <v>0.37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0.64</v>
          </cell>
          <cell r="AS742">
            <v>0</v>
          </cell>
          <cell r="AT742">
            <v>274</v>
          </cell>
          <cell r="AU742">
            <v>0</v>
          </cell>
          <cell r="AV742">
            <v>622</v>
          </cell>
          <cell r="AW742">
            <v>57</v>
          </cell>
          <cell r="AX742">
            <v>81</v>
          </cell>
          <cell r="AY742">
            <v>153</v>
          </cell>
          <cell r="AZ742">
            <v>1.21</v>
          </cell>
          <cell r="BA742" t="str">
            <v>D2008021</v>
          </cell>
          <cell r="BB742" t="str">
            <v>CONFORM</v>
          </cell>
          <cell r="BC742" t="str">
            <v>CONFORM</v>
          </cell>
          <cell r="BD742" t="str">
            <v>CONFORM</v>
          </cell>
          <cell r="BE742" t="str">
            <v>CONFORM</v>
          </cell>
          <cell r="BF742" t="str">
            <v>CONFORM</v>
          </cell>
        </row>
        <row r="743">
          <cell r="A743">
            <v>44056</v>
          </cell>
          <cell r="B743" t="str">
            <v>D2008021-8</v>
          </cell>
          <cell r="C743" t="str">
            <v>063/20</v>
          </cell>
          <cell r="D743">
            <v>1</v>
          </cell>
          <cell r="E743">
            <v>44056</v>
          </cell>
          <cell r="F743" t="str">
            <v>DC</v>
          </cell>
          <cell r="G743" t="str">
            <v>On Time</v>
          </cell>
          <cell r="H743">
            <v>473708</v>
          </cell>
          <cell r="I743">
            <v>44054</v>
          </cell>
          <cell r="J743" t="str">
            <v>OUTO</v>
          </cell>
          <cell r="K743" t="str">
            <v>D2008021</v>
          </cell>
          <cell r="L743">
            <v>8</v>
          </cell>
          <cell r="M743">
            <v>878254</v>
          </cell>
          <cell r="N743">
            <v>529896</v>
          </cell>
          <cell r="O743" t="str">
            <v xml:space="preserve">1.4306 TP304L </v>
          </cell>
          <cell r="P743" t="str">
            <v>304L</v>
          </cell>
          <cell r="Q743">
            <v>3.1539999999999999</v>
          </cell>
          <cell r="R743">
            <v>3.1589999999999998</v>
          </cell>
          <cell r="S743">
            <v>3.5000000000000003E-2</v>
          </cell>
          <cell r="T743">
            <v>3.4450000000000001E-2</v>
          </cell>
          <cell r="V743">
            <v>3.4450000000000001E-2</v>
          </cell>
          <cell r="W743" t="str">
            <v>AB</v>
          </cell>
          <cell r="X743">
            <v>2831</v>
          </cell>
          <cell r="Y743">
            <v>2</v>
          </cell>
          <cell r="Z743">
            <v>448.79518072289159</v>
          </cell>
          <cell r="AA743" t="str">
            <v>3.154X0.035-304L</v>
          </cell>
          <cell r="AB743" t="str">
            <v>WAAC008010090B300097</v>
          </cell>
          <cell r="AC743" t="str">
            <v>D2008021</v>
          </cell>
          <cell r="AD743">
            <v>529896</v>
          </cell>
          <cell r="AE743">
            <v>2.1000000000000001E-2</v>
          </cell>
          <cell r="AF743">
            <v>1.28</v>
          </cell>
          <cell r="AG743">
            <v>3.1E-2</v>
          </cell>
          <cell r="AH743">
            <v>2E-3</v>
          </cell>
          <cell r="AI743">
            <v>0.38</v>
          </cell>
          <cell r="AJ743">
            <v>18.100000000000001</v>
          </cell>
          <cell r="AK743">
            <v>8</v>
          </cell>
          <cell r="AL743">
            <v>6.2E-2</v>
          </cell>
          <cell r="AM743">
            <v>0.37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0.64</v>
          </cell>
          <cell r="AS743">
            <v>0</v>
          </cell>
          <cell r="AT743">
            <v>274</v>
          </cell>
          <cell r="AU743">
            <v>0</v>
          </cell>
          <cell r="AV743">
            <v>622</v>
          </cell>
          <cell r="AW743">
            <v>57</v>
          </cell>
          <cell r="AX743">
            <v>81</v>
          </cell>
          <cell r="AY743">
            <v>153</v>
          </cell>
          <cell r="AZ743">
            <v>1.21</v>
          </cell>
          <cell r="BA743" t="str">
            <v>D2008021</v>
          </cell>
          <cell r="BB743" t="str">
            <v>CONFORM</v>
          </cell>
          <cell r="BC743" t="str">
            <v>CONFORM</v>
          </cell>
          <cell r="BD743" t="str">
            <v>CONFORM</v>
          </cell>
          <cell r="BE743" t="str">
            <v>CONFORM</v>
          </cell>
          <cell r="BF743" t="str">
            <v>CONFORM</v>
          </cell>
        </row>
        <row r="744">
          <cell r="A744">
            <v>44056</v>
          </cell>
          <cell r="B744" t="str">
            <v>D2008021-9</v>
          </cell>
          <cell r="C744" t="str">
            <v>063/20</v>
          </cell>
          <cell r="D744">
            <v>1</v>
          </cell>
          <cell r="E744">
            <v>44056</v>
          </cell>
          <cell r="F744" t="str">
            <v>DC</v>
          </cell>
          <cell r="G744" t="str">
            <v>On Time</v>
          </cell>
          <cell r="H744">
            <v>473708</v>
          </cell>
          <cell r="I744">
            <v>44054</v>
          </cell>
          <cell r="J744" t="str">
            <v>OUTO</v>
          </cell>
          <cell r="K744" t="str">
            <v>D2008021</v>
          </cell>
          <cell r="L744">
            <v>9</v>
          </cell>
          <cell r="M744">
            <v>878254</v>
          </cell>
          <cell r="N744">
            <v>529896</v>
          </cell>
          <cell r="O744" t="str">
            <v xml:space="preserve">1.4306 TP304L </v>
          </cell>
          <cell r="P744" t="str">
            <v>304L</v>
          </cell>
          <cell r="Q744">
            <v>3.1539999999999999</v>
          </cell>
          <cell r="R744">
            <v>3.1589999999999998</v>
          </cell>
          <cell r="S744">
            <v>3.5000000000000003E-2</v>
          </cell>
          <cell r="T744">
            <v>3.4849999999999999E-2</v>
          </cell>
          <cell r="V744">
            <v>3.4849999999999999E-2</v>
          </cell>
          <cell r="W744" t="str">
            <v>AB</v>
          </cell>
          <cell r="X744">
            <v>2840</v>
          </cell>
          <cell r="Y744">
            <v>2</v>
          </cell>
          <cell r="Z744">
            <v>450.22194039315156</v>
          </cell>
          <cell r="AA744" t="str">
            <v>3.154X0.035-304L</v>
          </cell>
          <cell r="AB744" t="str">
            <v>WAAC008010090B300097</v>
          </cell>
          <cell r="AC744" t="str">
            <v>D2008021</v>
          </cell>
          <cell r="AD744">
            <v>529896</v>
          </cell>
          <cell r="AE744">
            <v>2.1000000000000001E-2</v>
          </cell>
          <cell r="AF744">
            <v>1.28</v>
          </cell>
          <cell r="AG744">
            <v>3.1E-2</v>
          </cell>
          <cell r="AH744">
            <v>2E-3</v>
          </cell>
          <cell r="AI744">
            <v>0.38</v>
          </cell>
          <cell r="AJ744">
            <v>18.100000000000001</v>
          </cell>
          <cell r="AK744">
            <v>8</v>
          </cell>
          <cell r="AL744">
            <v>6.2E-2</v>
          </cell>
          <cell r="AM744">
            <v>0.37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0.64</v>
          </cell>
          <cell r="AS744">
            <v>0</v>
          </cell>
          <cell r="AT744">
            <v>274</v>
          </cell>
          <cell r="AU744">
            <v>0</v>
          </cell>
          <cell r="AV744">
            <v>622</v>
          </cell>
          <cell r="AW744">
            <v>57</v>
          </cell>
          <cell r="AX744">
            <v>81</v>
          </cell>
          <cell r="AY744">
            <v>153</v>
          </cell>
          <cell r="AZ744">
            <v>1.21</v>
          </cell>
          <cell r="BA744" t="str">
            <v>D2008021</v>
          </cell>
          <cell r="BB744" t="str">
            <v>CONFORM</v>
          </cell>
          <cell r="BC744" t="str">
            <v>CONFORM</v>
          </cell>
          <cell r="BD744" t="str">
            <v>CONFORM</v>
          </cell>
          <cell r="BE744" t="str">
            <v>CONFORM</v>
          </cell>
          <cell r="BF744" t="str">
            <v>CONFORM</v>
          </cell>
        </row>
        <row r="745">
          <cell r="A745">
            <v>44056</v>
          </cell>
          <cell r="B745" t="str">
            <v>D2008021-10</v>
          </cell>
          <cell r="C745" t="str">
            <v>063/20</v>
          </cell>
          <cell r="D745">
            <v>1</v>
          </cell>
          <cell r="E745">
            <v>44056</v>
          </cell>
          <cell r="F745" t="str">
            <v>DC</v>
          </cell>
          <cell r="G745" t="str">
            <v>On Time</v>
          </cell>
          <cell r="H745">
            <v>473708</v>
          </cell>
          <cell r="I745">
            <v>44054</v>
          </cell>
          <cell r="J745" t="str">
            <v>OUTO</v>
          </cell>
          <cell r="K745" t="str">
            <v>D2008021</v>
          </cell>
          <cell r="L745">
            <v>10</v>
          </cell>
          <cell r="M745">
            <v>878254</v>
          </cell>
          <cell r="N745">
            <v>529896</v>
          </cell>
          <cell r="O745" t="str">
            <v xml:space="preserve">1.4306 TP304L </v>
          </cell>
          <cell r="P745" t="str">
            <v>304L</v>
          </cell>
          <cell r="Q745">
            <v>3.1539999999999999</v>
          </cell>
          <cell r="R745">
            <v>3.1579999999999999</v>
          </cell>
          <cell r="S745">
            <v>3.5000000000000003E-2</v>
          </cell>
          <cell r="T745">
            <v>3.4700000000000002E-2</v>
          </cell>
          <cell r="V745">
            <v>3.4700000000000002E-2</v>
          </cell>
          <cell r="W745" t="str">
            <v>AB</v>
          </cell>
          <cell r="X745">
            <v>2835</v>
          </cell>
          <cell r="Y745">
            <v>2</v>
          </cell>
          <cell r="Z745">
            <v>449.42929613189602</v>
          </cell>
          <cell r="AA745" t="str">
            <v>3.154X0.035-304L</v>
          </cell>
          <cell r="AB745" t="str">
            <v>WAAC008010090B300097</v>
          </cell>
          <cell r="AC745" t="str">
            <v>D2008021</v>
          </cell>
          <cell r="AD745">
            <v>529896</v>
          </cell>
          <cell r="AE745">
            <v>2.1000000000000001E-2</v>
          </cell>
          <cell r="AF745">
            <v>1.28</v>
          </cell>
          <cell r="AG745">
            <v>3.1E-2</v>
          </cell>
          <cell r="AH745">
            <v>2E-3</v>
          </cell>
          <cell r="AI745">
            <v>0.38</v>
          </cell>
          <cell r="AJ745">
            <v>18.100000000000001</v>
          </cell>
          <cell r="AK745">
            <v>8</v>
          </cell>
          <cell r="AL745">
            <v>6.2E-2</v>
          </cell>
          <cell r="AM745">
            <v>0.37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0.64</v>
          </cell>
          <cell r="AS745">
            <v>0</v>
          </cell>
          <cell r="AT745">
            <v>274</v>
          </cell>
          <cell r="AU745">
            <v>0</v>
          </cell>
          <cell r="AV745">
            <v>622</v>
          </cell>
          <cell r="AW745">
            <v>57</v>
          </cell>
          <cell r="AX745">
            <v>81</v>
          </cell>
          <cell r="AY745">
            <v>153</v>
          </cell>
          <cell r="AZ745">
            <v>1.21</v>
          </cell>
          <cell r="BA745" t="str">
            <v>D2008021</v>
          </cell>
          <cell r="BB745" t="str">
            <v>CONFORM</v>
          </cell>
          <cell r="BC745" t="str">
            <v>CONFORM</v>
          </cell>
          <cell r="BD745" t="str">
            <v>CONFORM</v>
          </cell>
          <cell r="BE745" t="str">
            <v>CONFORM</v>
          </cell>
          <cell r="BF745" t="str">
            <v>CONFORM</v>
          </cell>
        </row>
        <row r="746">
          <cell r="A746">
            <v>44056</v>
          </cell>
          <cell r="B746" t="str">
            <v>D2008021-11</v>
          </cell>
          <cell r="C746" t="str">
            <v>063/20</v>
          </cell>
          <cell r="D746">
            <v>1</v>
          </cell>
          <cell r="E746">
            <v>44056</v>
          </cell>
          <cell r="F746" t="str">
            <v>DC</v>
          </cell>
          <cell r="G746" t="str">
            <v>On Time</v>
          </cell>
          <cell r="H746">
            <v>473708</v>
          </cell>
          <cell r="I746">
            <v>44054</v>
          </cell>
          <cell r="J746" t="str">
            <v>OUTO</v>
          </cell>
          <cell r="K746" t="str">
            <v>D2008021</v>
          </cell>
          <cell r="L746">
            <v>11</v>
          </cell>
          <cell r="M746">
            <v>878254</v>
          </cell>
          <cell r="N746">
            <v>529896</v>
          </cell>
          <cell r="O746" t="str">
            <v xml:space="preserve">1.4306 TP304L </v>
          </cell>
          <cell r="P746" t="str">
            <v>304L</v>
          </cell>
          <cell r="Q746">
            <v>3.1539999999999999</v>
          </cell>
          <cell r="R746">
            <v>3.1579999999999999</v>
          </cell>
          <cell r="S746">
            <v>3.5000000000000003E-2</v>
          </cell>
          <cell r="T746">
            <v>3.49E-2</v>
          </cell>
          <cell r="V746">
            <v>3.49E-2</v>
          </cell>
          <cell r="W746" t="str">
            <v>AB</v>
          </cell>
          <cell r="X746">
            <v>2831</v>
          </cell>
          <cell r="Y746">
            <v>2</v>
          </cell>
          <cell r="Z746">
            <v>448.79518072289159</v>
          </cell>
          <cell r="AA746" t="str">
            <v>3.154X0.035-304L</v>
          </cell>
          <cell r="AB746" t="str">
            <v>WAAC008010090B300097</v>
          </cell>
          <cell r="AC746" t="str">
            <v>D2008021</v>
          </cell>
          <cell r="AD746">
            <v>529896</v>
          </cell>
          <cell r="AE746">
            <v>2.1000000000000001E-2</v>
          </cell>
          <cell r="AF746">
            <v>1.28</v>
          </cell>
          <cell r="AG746">
            <v>3.1E-2</v>
          </cell>
          <cell r="AH746">
            <v>2E-3</v>
          </cell>
          <cell r="AI746">
            <v>0.38</v>
          </cell>
          <cell r="AJ746">
            <v>18.100000000000001</v>
          </cell>
          <cell r="AK746">
            <v>8</v>
          </cell>
          <cell r="AL746">
            <v>6.2E-2</v>
          </cell>
          <cell r="AM746">
            <v>0.37</v>
          </cell>
          <cell r="AN746">
            <v>0</v>
          </cell>
          <cell r="AO746">
            <v>0</v>
          </cell>
          <cell r="AP746">
            <v>0</v>
          </cell>
          <cell r="AQ746">
            <v>0</v>
          </cell>
          <cell r="AR746">
            <v>0.64</v>
          </cell>
          <cell r="AS746">
            <v>0</v>
          </cell>
          <cell r="AT746">
            <v>274</v>
          </cell>
          <cell r="AU746">
            <v>0</v>
          </cell>
          <cell r="AV746">
            <v>622</v>
          </cell>
          <cell r="AW746">
            <v>57</v>
          </cell>
          <cell r="AX746">
            <v>81</v>
          </cell>
          <cell r="AY746">
            <v>153</v>
          </cell>
          <cell r="AZ746">
            <v>1.21</v>
          </cell>
          <cell r="BA746" t="str">
            <v>D2008021</v>
          </cell>
          <cell r="BB746" t="str">
            <v>CONFORM</v>
          </cell>
          <cell r="BC746" t="str">
            <v>CONFORM</v>
          </cell>
          <cell r="BD746" t="str">
            <v>CONFORM</v>
          </cell>
          <cell r="BE746" t="str">
            <v>CONFORM</v>
          </cell>
          <cell r="BF746" t="str">
            <v>CONFORM</v>
          </cell>
        </row>
        <row r="747">
          <cell r="A747">
            <v>44056</v>
          </cell>
          <cell r="B747" t="str">
            <v>D2008021-12</v>
          </cell>
          <cell r="C747" t="str">
            <v>063/20</v>
          </cell>
          <cell r="D747">
            <v>1</v>
          </cell>
          <cell r="E747">
            <v>44056</v>
          </cell>
          <cell r="F747" t="str">
            <v>DC</v>
          </cell>
          <cell r="G747" t="str">
            <v>On Time</v>
          </cell>
          <cell r="H747">
            <v>473708</v>
          </cell>
          <cell r="I747">
            <v>44054</v>
          </cell>
          <cell r="J747" t="str">
            <v>OUTO</v>
          </cell>
          <cell r="K747" t="str">
            <v>D2008021</v>
          </cell>
          <cell r="L747">
            <v>12</v>
          </cell>
          <cell r="M747">
            <v>878254</v>
          </cell>
          <cell r="N747">
            <v>529896</v>
          </cell>
          <cell r="O747" t="str">
            <v xml:space="preserve">1.4306 TP304L </v>
          </cell>
          <cell r="P747" t="str">
            <v>304L</v>
          </cell>
          <cell r="Q747">
            <v>3.1539999999999999</v>
          </cell>
          <cell r="R747">
            <v>3.1579999999999999</v>
          </cell>
          <cell r="S747">
            <v>3.5000000000000003E-2</v>
          </cell>
          <cell r="T747">
            <v>3.4500000000000003E-2</v>
          </cell>
          <cell r="V747">
            <v>3.4500000000000003E-2</v>
          </cell>
          <cell r="W747" t="str">
            <v>AB</v>
          </cell>
          <cell r="X747">
            <v>2844</v>
          </cell>
          <cell r="Y747">
            <v>2</v>
          </cell>
          <cell r="Z747">
            <v>450.85605580215599</v>
          </cell>
          <cell r="AA747" t="str">
            <v>3.154X0.035-304L</v>
          </cell>
          <cell r="AB747" t="str">
            <v>WAAC008010090B300097</v>
          </cell>
          <cell r="AC747" t="str">
            <v>D2008021</v>
          </cell>
          <cell r="AD747">
            <v>529896</v>
          </cell>
          <cell r="AE747">
            <v>2.1000000000000001E-2</v>
          </cell>
          <cell r="AF747">
            <v>1.28</v>
          </cell>
          <cell r="AG747">
            <v>3.1E-2</v>
          </cell>
          <cell r="AH747">
            <v>2E-3</v>
          </cell>
          <cell r="AI747">
            <v>0.38</v>
          </cell>
          <cell r="AJ747">
            <v>18.100000000000001</v>
          </cell>
          <cell r="AK747">
            <v>8</v>
          </cell>
          <cell r="AL747">
            <v>6.2E-2</v>
          </cell>
          <cell r="AM747">
            <v>0.37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0.64</v>
          </cell>
          <cell r="AS747">
            <v>0</v>
          </cell>
          <cell r="AT747">
            <v>274</v>
          </cell>
          <cell r="AU747">
            <v>0</v>
          </cell>
          <cell r="AV747">
            <v>622</v>
          </cell>
          <cell r="AW747">
            <v>57</v>
          </cell>
          <cell r="AX747">
            <v>81</v>
          </cell>
          <cell r="AY747">
            <v>153</v>
          </cell>
          <cell r="AZ747">
            <v>1.21</v>
          </cell>
          <cell r="BA747" t="str">
            <v>D2008021</v>
          </cell>
          <cell r="BB747" t="str">
            <v>CONFORM</v>
          </cell>
          <cell r="BC747" t="str">
            <v>CONFORM</v>
          </cell>
          <cell r="BD747" t="str">
            <v>CONFORM</v>
          </cell>
          <cell r="BE747" t="str">
            <v>CONFORM</v>
          </cell>
          <cell r="BF747" t="str">
            <v>CONFORM</v>
          </cell>
        </row>
        <row r="748">
          <cell r="A748">
            <v>44056</v>
          </cell>
          <cell r="B748" t="str">
            <v>D2008021-13</v>
          </cell>
          <cell r="C748" t="str">
            <v>063/20</v>
          </cell>
          <cell r="D748">
            <v>1</v>
          </cell>
          <cell r="E748">
            <v>44056</v>
          </cell>
          <cell r="F748" t="str">
            <v>DC</v>
          </cell>
          <cell r="G748" t="str">
            <v>On Time</v>
          </cell>
          <cell r="H748">
            <v>473708</v>
          </cell>
          <cell r="I748">
            <v>44054</v>
          </cell>
          <cell r="J748" t="str">
            <v>OUTO</v>
          </cell>
          <cell r="K748" t="str">
            <v>D2008021</v>
          </cell>
          <cell r="L748">
            <v>13</v>
          </cell>
          <cell r="M748">
            <v>878254</v>
          </cell>
          <cell r="N748">
            <v>529896</v>
          </cell>
          <cell r="O748" t="str">
            <v xml:space="preserve">1.4306 TP304L </v>
          </cell>
          <cell r="P748" t="str">
            <v>304L</v>
          </cell>
          <cell r="Q748">
            <v>3.1539999999999999</v>
          </cell>
          <cell r="R748">
            <v>3.1579999999999999</v>
          </cell>
          <cell r="S748">
            <v>3.5000000000000003E-2</v>
          </cell>
          <cell r="T748">
            <v>3.4950000000000002E-2</v>
          </cell>
          <cell r="V748">
            <v>3.4950000000000002E-2</v>
          </cell>
          <cell r="W748" t="str">
            <v>AB</v>
          </cell>
          <cell r="X748">
            <v>2844</v>
          </cell>
          <cell r="Y748">
            <v>2</v>
          </cell>
          <cell r="Z748">
            <v>450.85605580215599</v>
          </cell>
          <cell r="AA748" t="str">
            <v>3.154X0.035-304L</v>
          </cell>
          <cell r="AB748" t="str">
            <v>WAAC008010090B300097</v>
          </cell>
          <cell r="AC748" t="str">
            <v>D2008021</v>
          </cell>
          <cell r="AD748">
            <v>529896</v>
          </cell>
          <cell r="AE748">
            <v>2.1000000000000001E-2</v>
          </cell>
          <cell r="AF748">
            <v>1.28</v>
          </cell>
          <cell r="AG748">
            <v>3.1E-2</v>
          </cell>
          <cell r="AH748">
            <v>2E-3</v>
          </cell>
          <cell r="AI748">
            <v>0.38</v>
          </cell>
          <cell r="AJ748">
            <v>18.100000000000001</v>
          </cell>
          <cell r="AK748">
            <v>8</v>
          </cell>
          <cell r="AL748">
            <v>6.2E-2</v>
          </cell>
          <cell r="AM748">
            <v>0.37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0.64</v>
          </cell>
          <cell r="AS748">
            <v>0</v>
          </cell>
          <cell r="AT748">
            <v>274</v>
          </cell>
          <cell r="AU748">
            <v>0</v>
          </cell>
          <cell r="AV748">
            <v>622</v>
          </cell>
          <cell r="AW748">
            <v>57</v>
          </cell>
          <cell r="AX748">
            <v>81</v>
          </cell>
          <cell r="AY748">
            <v>153</v>
          </cell>
          <cell r="AZ748">
            <v>1.21</v>
          </cell>
          <cell r="BA748" t="str">
            <v>D2008021</v>
          </cell>
          <cell r="BB748" t="str">
            <v>CONFORM</v>
          </cell>
          <cell r="BC748" t="str">
            <v>CONFORM</v>
          </cell>
          <cell r="BD748" t="str">
            <v>CONFORM</v>
          </cell>
          <cell r="BE748" t="str">
            <v>CONFORM</v>
          </cell>
          <cell r="BF748" t="str">
            <v>CONFORM</v>
          </cell>
        </row>
        <row r="749">
          <cell r="A749">
            <v>44056</v>
          </cell>
          <cell r="B749" t="str">
            <v>D2008021-14</v>
          </cell>
          <cell r="C749" t="str">
            <v>063/20</v>
          </cell>
          <cell r="D749">
            <v>1</v>
          </cell>
          <cell r="E749">
            <v>44056</v>
          </cell>
          <cell r="F749" t="str">
            <v>DC</v>
          </cell>
          <cell r="G749" t="str">
            <v>On Time</v>
          </cell>
          <cell r="H749">
            <v>473708</v>
          </cell>
          <cell r="I749">
            <v>44054</v>
          </cell>
          <cell r="J749" t="str">
            <v>OUTO</v>
          </cell>
          <cell r="K749" t="str">
            <v>D2008021</v>
          </cell>
          <cell r="L749">
            <v>14</v>
          </cell>
          <cell r="M749">
            <v>878254</v>
          </cell>
          <cell r="N749">
            <v>529896</v>
          </cell>
          <cell r="O749" t="str">
            <v xml:space="preserve">1.4306 TP304L </v>
          </cell>
          <cell r="P749" t="str">
            <v>304L</v>
          </cell>
          <cell r="Q749">
            <v>3.1539999999999999</v>
          </cell>
          <cell r="R749">
            <v>3.157</v>
          </cell>
          <cell r="S749">
            <v>3.5000000000000003E-2</v>
          </cell>
          <cell r="T749">
            <v>3.4700000000000002E-2</v>
          </cell>
          <cell r="V749">
            <v>3.4700000000000002E-2</v>
          </cell>
          <cell r="W749" t="str">
            <v>AB</v>
          </cell>
          <cell r="X749">
            <v>2835</v>
          </cell>
          <cell r="Y749">
            <v>2</v>
          </cell>
          <cell r="Z749">
            <v>449.42929613189602</v>
          </cell>
          <cell r="AA749" t="str">
            <v>3.154X0.035-304L</v>
          </cell>
          <cell r="AB749" t="str">
            <v>WAAC008010090B300097</v>
          </cell>
          <cell r="AC749" t="str">
            <v>D2008021</v>
          </cell>
          <cell r="AD749">
            <v>529896</v>
          </cell>
          <cell r="AE749">
            <v>2.1000000000000001E-2</v>
          </cell>
          <cell r="AF749">
            <v>1.28</v>
          </cell>
          <cell r="AG749">
            <v>3.1E-2</v>
          </cell>
          <cell r="AH749">
            <v>2E-3</v>
          </cell>
          <cell r="AI749">
            <v>0.38</v>
          </cell>
          <cell r="AJ749">
            <v>18.100000000000001</v>
          </cell>
          <cell r="AK749">
            <v>8</v>
          </cell>
          <cell r="AL749">
            <v>6.2E-2</v>
          </cell>
          <cell r="AM749">
            <v>0.37</v>
          </cell>
          <cell r="AN749">
            <v>0</v>
          </cell>
          <cell r="AO749">
            <v>0</v>
          </cell>
          <cell r="AP749">
            <v>0</v>
          </cell>
          <cell r="AQ749">
            <v>0</v>
          </cell>
          <cell r="AR749">
            <v>0.64</v>
          </cell>
          <cell r="AS749">
            <v>0</v>
          </cell>
          <cell r="AT749">
            <v>274</v>
          </cell>
          <cell r="AU749">
            <v>0</v>
          </cell>
          <cell r="AV749">
            <v>622</v>
          </cell>
          <cell r="AW749">
            <v>57</v>
          </cell>
          <cell r="AX749">
            <v>81</v>
          </cell>
          <cell r="AY749">
            <v>153</v>
          </cell>
          <cell r="AZ749">
            <v>1.21</v>
          </cell>
          <cell r="BA749" t="str">
            <v>D2008021</v>
          </cell>
          <cell r="BB749" t="str">
            <v>CONFORM</v>
          </cell>
          <cell r="BC749" t="str">
            <v>CONFORM</v>
          </cell>
          <cell r="BD749" t="str">
            <v>CONFORM</v>
          </cell>
          <cell r="BE749" t="str">
            <v>CONFORM</v>
          </cell>
          <cell r="BF749" t="str">
            <v>CONFORM</v>
          </cell>
        </row>
        <row r="750">
          <cell r="A750">
            <v>44056</v>
          </cell>
          <cell r="B750" t="str">
            <v>D2008021-15</v>
          </cell>
          <cell r="C750" t="str">
            <v>063/20</v>
          </cell>
          <cell r="D750">
            <v>1</v>
          </cell>
          <cell r="E750">
            <v>44056</v>
          </cell>
          <cell r="F750" t="str">
            <v>DC</v>
          </cell>
          <cell r="G750" t="str">
            <v>On Time</v>
          </cell>
          <cell r="H750">
            <v>473708</v>
          </cell>
          <cell r="I750">
            <v>44054</v>
          </cell>
          <cell r="J750" t="str">
            <v>OUTO</v>
          </cell>
          <cell r="K750" t="str">
            <v>D2008021</v>
          </cell>
          <cell r="L750">
            <v>15</v>
          </cell>
          <cell r="M750">
            <v>878254</v>
          </cell>
          <cell r="N750">
            <v>529896</v>
          </cell>
          <cell r="O750" t="str">
            <v xml:space="preserve">1.4306 TP304L </v>
          </cell>
          <cell r="P750" t="str">
            <v>304L</v>
          </cell>
          <cell r="Q750">
            <v>3.1539999999999999</v>
          </cell>
          <cell r="R750">
            <v>3.1589999999999998</v>
          </cell>
          <cell r="S750">
            <v>3.5000000000000003E-2</v>
          </cell>
          <cell r="T750">
            <v>3.49E-2</v>
          </cell>
          <cell r="V750">
            <v>3.49E-2</v>
          </cell>
          <cell r="W750" t="str">
            <v>AB</v>
          </cell>
          <cell r="X750">
            <v>2840</v>
          </cell>
          <cell r="Y750">
            <v>2</v>
          </cell>
          <cell r="Z750">
            <v>450.22194039315156</v>
          </cell>
          <cell r="AA750" t="str">
            <v>3.154X0.035-304L</v>
          </cell>
          <cell r="AB750" t="str">
            <v>WAAC008010090B300097</v>
          </cell>
          <cell r="AC750" t="str">
            <v>D2008021</v>
          </cell>
          <cell r="AD750">
            <v>529896</v>
          </cell>
          <cell r="AE750">
            <v>2.1000000000000001E-2</v>
          </cell>
          <cell r="AF750">
            <v>1.28</v>
          </cell>
          <cell r="AG750">
            <v>3.1E-2</v>
          </cell>
          <cell r="AH750">
            <v>2E-3</v>
          </cell>
          <cell r="AI750">
            <v>0.38</v>
          </cell>
          <cell r="AJ750">
            <v>18.100000000000001</v>
          </cell>
          <cell r="AK750">
            <v>8</v>
          </cell>
          <cell r="AL750">
            <v>6.2E-2</v>
          </cell>
          <cell r="AM750">
            <v>0.37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0.64</v>
          </cell>
          <cell r="AS750">
            <v>0</v>
          </cell>
          <cell r="AT750">
            <v>274</v>
          </cell>
          <cell r="AU750">
            <v>0</v>
          </cell>
          <cell r="AV750">
            <v>622</v>
          </cell>
          <cell r="AW750">
            <v>57</v>
          </cell>
          <cell r="AX750">
            <v>81</v>
          </cell>
          <cell r="AY750">
            <v>153</v>
          </cell>
          <cell r="AZ750">
            <v>1.21</v>
          </cell>
          <cell r="BA750" t="str">
            <v>D2008021</v>
          </cell>
          <cell r="BB750" t="str">
            <v>CONFORM</v>
          </cell>
          <cell r="BC750" t="str">
            <v>CONFORM</v>
          </cell>
          <cell r="BD750" t="str">
            <v>CONFORM</v>
          </cell>
          <cell r="BE750" t="str">
            <v>CONFORM</v>
          </cell>
          <cell r="BF750" t="str">
            <v>CONFORM</v>
          </cell>
        </row>
        <row r="751">
          <cell r="A751">
            <v>44062</v>
          </cell>
          <cell r="B751" t="str">
            <v>D2008023-1</v>
          </cell>
          <cell r="C751" t="str">
            <v>070/20</v>
          </cell>
          <cell r="D751">
            <v>1</v>
          </cell>
          <cell r="E751">
            <v>44062</v>
          </cell>
          <cell r="F751" t="str">
            <v>DC</v>
          </cell>
          <cell r="G751" t="str">
            <v>On Time</v>
          </cell>
          <cell r="H751">
            <v>2407684585</v>
          </cell>
          <cell r="I751">
            <v>44061</v>
          </cell>
          <cell r="J751" t="str">
            <v>TKM</v>
          </cell>
          <cell r="K751" t="str">
            <v>D2008023</v>
          </cell>
          <cell r="L751">
            <v>1</v>
          </cell>
          <cell r="M751">
            <v>691277</v>
          </cell>
          <cell r="N751">
            <v>861010</v>
          </cell>
          <cell r="O751" t="str">
            <v xml:space="preserve">1.4462 UNS S31803/S32205 </v>
          </cell>
          <cell r="P751" t="str">
            <v>2205</v>
          </cell>
          <cell r="Q751">
            <v>3.8149999999999999</v>
          </cell>
          <cell r="R751">
            <v>3.8050000000000002</v>
          </cell>
          <cell r="S751">
            <v>7.8E-2</v>
          </cell>
          <cell r="T751">
            <v>7.9450000000000007E-2</v>
          </cell>
          <cell r="V751">
            <v>7.9450000000000007E-2</v>
          </cell>
          <cell r="W751" t="str">
            <v>AB</v>
          </cell>
          <cell r="X751">
            <v>3310</v>
          </cell>
          <cell r="Y751">
            <v>3</v>
          </cell>
          <cell r="Z751">
            <v>289.20926168632587</v>
          </cell>
          <cell r="AA751" t="str">
            <v>3.815X0.078-2205</v>
          </cell>
          <cell r="AB751" t="str">
            <v>WACN009690200B300043</v>
          </cell>
          <cell r="AC751" t="str">
            <v>D2008023</v>
          </cell>
          <cell r="AD751">
            <v>861010</v>
          </cell>
          <cell r="AE751">
            <v>1.9E-2</v>
          </cell>
          <cell r="AF751">
            <v>1.66</v>
          </cell>
          <cell r="AG751">
            <v>2.7E-2</v>
          </cell>
          <cell r="AH751">
            <v>0</v>
          </cell>
          <cell r="AI751">
            <v>0.47</v>
          </cell>
          <cell r="AJ751">
            <v>22.4</v>
          </cell>
          <cell r="AK751">
            <v>5.3</v>
          </cell>
          <cell r="AL751">
            <v>0.16</v>
          </cell>
          <cell r="AM751">
            <v>3.09</v>
          </cell>
          <cell r="AN751">
            <v>0</v>
          </cell>
          <cell r="AO751">
            <v>0</v>
          </cell>
          <cell r="AP751">
            <v>0</v>
          </cell>
          <cell r="AQ751">
            <v>0</v>
          </cell>
          <cell r="AR751">
            <v>0</v>
          </cell>
          <cell r="AS751">
            <v>0</v>
          </cell>
          <cell r="AT751">
            <v>580</v>
          </cell>
          <cell r="AU751">
            <v>0</v>
          </cell>
          <cell r="AV751">
            <v>856</v>
          </cell>
          <cell r="AW751">
            <v>29</v>
          </cell>
          <cell r="AX751">
            <v>24</v>
          </cell>
          <cell r="AY751">
            <v>260</v>
          </cell>
          <cell r="AZ751">
            <v>2.4685000000000001</v>
          </cell>
          <cell r="BA751" t="str">
            <v>D2008023</v>
          </cell>
          <cell r="BB751" t="str">
            <v>CONFORM</v>
          </cell>
          <cell r="BC751" t="str">
            <v>CONFORM</v>
          </cell>
          <cell r="BD751" t="str">
            <v>CONFORM</v>
          </cell>
          <cell r="BE751" t="str">
            <v>CONFORM</v>
          </cell>
          <cell r="BF751" t="str">
            <v>CONFORM</v>
          </cell>
        </row>
        <row r="752">
          <cell r="A752">
            <v>44062</v>
          </cell>
          <cell r="B752" t="str">
            <v>D2008023-2</v>
          </cell>
          <cell r="C752" t="str">
            <v>070/20</v>
          </cell>
          <cell r="D752">
            <v>1</v>
          </cell>
          <cell r="E752">
            <v>44062</v>
          </cell>
          <cell r="F752" t="str">
            <v>DC</v>
          </cell>
          <cell r="G752" t="str">
            <v>On Time</v>
          </cell>
          <cell r="H752">
            <v>2407684585</v>
          </cell>
          <cell r="I752">
            <v>44061</v>
          </cell>
          <cell r="J752" t="str">
            <v>TKM</v>
          </cell>
          <cell r="K752" t="str">
            <v>D2008023</v>
          </cell>
          <cell r="L752">
            <v>2</v>
          </cell>
          <cell r="M752">
            <v>691277</v>
          </cell>
          <cell r="N752">
            <v>861010</v>
          </cell>
          <cell r="O752" t="str">
            <v xml:space="preserve">1.4462 UNS S31803/S32205 </v>
          </cell>
          <cell r="P752" t="str">
            <v>2205</v>
          </cell>
          <cell r="Q752">
            <v>3.8149999999999999</v>
          </cell>
          <cell r="R752">
            <v>3.806</v>
          </cell>
          <cell r="S752">
            <v>7.8E-2</v>
          </cell>
          <cell r="T752">
            <v>7.9500000000000001E-2</v>
          </cell>
          <cell r="V752">
            <v>7.9500000000000001E-2</v>
          </cell>
          <cell r="W752" t="str">
            <v>AB</v>
          </cell>
          <cell r="X752">
            <v>3296</v>
          </cell>
          <cell r="Y752">
            <v>3</v>
          </cell>
          <cell r="Z752">
            <v>287.98602009611187</v>
          </cell>
          <cell r="AA752" t="str">
            <v>3.815X0.078-2205</v>
          </cell>
          <cell r="AB752" t="str">
            <v>WACN009690200B300043</v>
          </cell>
          <cell r="AC752" t="str">
            <v>D2008023</v>
          </cell>
          <cell r="AD752">
            <v>861010</v>
          </cell>
          <cell r="AE752">
            <v>1.9E-2</v>
          </cell>
          <cell r="AF752">
            <v>1.66</v>
          </cell>
          <cell r="AG752">
            <v>2.7E-2</v>
          </cell>
          <cell r="AH752">
            <v>0</v>
          </cell>
          <cell r="AI752">
            <v>0.47</v>
          </cell>
          <cell r="AJ752">
            <v>22.4</v>
          </cell>
          <cell r="AK752">
            <v>5.3</v>
          </cell>
          <cell r="AL752">
            <v>0.16</v>
          </cell>
          <cell r="AM752">
            <v>3.09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  <cell r="AS752">
            <v>0</v>
          </cell>
          <cell r="AT752">
            <v>580</v>
          </cell>
          <cell r="AU752">
            <v>0</v>
          </cell>
          <cell r="AV752">
            <v>856</v>
          </cell>
          <cell r="AW752">
            <v>29</v>
          </cell>
          <cell r="AX752">
            <v>24</v>
          </cell>
          <cell r="AY752">
            <v>260</v>
          </cell>
          <cell r="AZ752">
            <v>2.4685000000000001</v>
          </cell>
          <cell r="BA752" t="str">
            <v>D2008023</v>
          </cell>
          <cell r="BB752" t="str">
            <v>CONFORM</v>
          </cell>
          <cell r="BC752" t="str">
            <v>CONFORM</v>
          </cell>
          <cell r="BD752" t="str">
            <v>CONFORM</v>
          </cell>
          <cell r="BE752" t="str">
            <v>CONFORM</v>
          </cell>
          <cell r="BF752" t="str">
            <v>CONFORM</v>
          </cell>
        </row>
        <row r="753">
          <cell r="A753">
            <v>44062</v>
          </cell>
          <cell r="B753" t="str">
            <v>D2008023-3</v>
          </cell>
          <cell r="C753" t="str">
            <v>070/20</v>
          </cell>
          <cell r="D753">
            <v>1</v>
          </cell>
          <cell r="E753">
            <v>44062</v>
          </cell>
          <cell r="F753" t="str">
            <v>DC</v>
          </cell>
          <cell r="G753" t="str">
            <v>On Time</v>
          </cell>
          <cell r="H753">
            <v>2407684585</v>
          </cell>
          <cell r="I753">
            <v>44061</v>
          </cell>
          <cell r="J753" t="str">
            <v>TKM</v>
          </cell>
          <cell r="K753" t="str">
            <v>D2008023</v>
          </cell>
          <cell r="L753">
            <v>3</v>
          </cell>
          <cell r="M753">
            <v>691277</v>
          </cell>
          <cell r="N753">
            <v>861010</v>
          </cell>
          <cell r="O753" t="str">
            <v xml:space="preserve">1.4462 UNS S31803/S32205 </v>
          </cell>
          <cell r="P753" t="str">
            <v>2205</v>
          </cell>
          <cell r="Q753">
            <v>3.8149999999999999</v>
          </cell>
          <cell r="R753">
            <v>3.8039999999999998</v>
          </cell>
          <cell r="S753">
            <v>7.8E-2</v>
          </cell>
          <cell r="T753">
            <v>7.9299999999999995E-2</v>
          </cell>
          <cell r="V753">
            <v>7.9299999999999995E-2</v>
          </cell>
          <cell r="W753" t="str">
            <v>AB</v>
          </cell>
          <cell r="X753">
            <v>3294</v>
          </cell>
          <cell r="Y753">
            <v>3</v>
          </cell>
          <cell r="Z753">
            <v>287.81127129750985</v>
          </cell>
          <cell r="AA753" t="str">
            <v>3.815X0.078-2205</v>
          </cell>
          <cell r="AB753" t="str">
            <v>WACN009690200B300043</v>
          </cell>
          <cell r="AC753" t="str">
            <v>D2008023</v>
          </cell>
          <cell r="AD753">
            <v>861010</v>
          </cell>
          <cell r="AE753">
            <v>1.9E-2</v>
          </cell>
          <cell r="AF753">
            <v>1.66</v>
          </cell>
          <cell r="AG753">
            <v>2.7E-2</v>
          </cell>
          <cell r="AH753">
            <v>0</v>
          </cell>
          <cell r="AI753">
            <v>0.47</v>
          </cell>
          <cell r="AJ753">
            <v>22.4</v>
          </cell>
          <cell r="AK753">
            <v>5.3</v>
          </cell>
          <cell r="AL753">
            <v>0.16</v>
          </cell>
          <cell r="AM753">
            <v>3.09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  <cell r="AS753">
            <v>0</v>
          </cell>
          <cell r="AT753">
            <v>580</v>
          </cell>
          <cell r="AU753">
            <v>0</v>
          </cell>
          <cell r="AV753">
            <v>856</v>
          </cell>
          <cell r="AW753">
            <v>29</v>
          </cell>
          <cell r="AX753">
            <v>24</v>
          </cell>
          <cell r="AY753">
            <v>260</v>
          </cell>
          <cell r="AZ753">
            <v>2.4685000000000001</v>
          </cell>
          <cell r="BA753" t="str">
            <v>D2008023</v>
          </cell>
          <cell r="BB753" t="str">
            <v>CONFORM</v>
          </cell>
          <cell r="BC753" t="str">
            <v>CONFORM</v>
          </cell>
          <cell r="BD753" t="str">
            <v>CONFORM</v>
          </cell>
          <cell r="BE753" t="str">
            <v>CONFORM</v>
          </cell>
          <cell r="BF753" t="str">
            <v>CONFORM</v>
          </cell>
        </row>
        <row r="754">
          <cell r="A754">
            <v>44062</v>
          </cell>
          <cell r="B754" t="str">
            <v>D2008023-4</v>
          </cell>
          <cell r="C754" t="str">
            <v>070/20</v>
          </cell>
          <cell r="D754">
            <v>1</v>
          </cell>
          <cell r="E754">
            <v>44062</v>
          </cell>
          <cell r="F754" t="str">
            <v>DC</v>
          </cell>
          <cell r="G754" t="str">
            <v>On Time</v>
          </cell>
          <cell r="H754">
            <v>2407684585</v>
          </cell>
          <cell r="I754">
            <v>44061</v>
          </cell>
          <cell r="J754" t="str">
            <v>TKM</v>
          </cell>
          <cell r="K754" t="str">
            <v>D2008023</v>
          </cell>
          <cell r="L754">
            <v>4</v>
          </cell>
          <cell r="M754">
            <v>691277</v>
          </cell>
          <cell r="N754">
            <v>861010</v>
          </cell>
          <cell r="O754" t="str">
            <v xml:space="preserve">1.4462 UNS S31803/S32205 </v>
          </cell>
          <cell r="P754" t="str">
            <v>2205</v>
          </cell>
          <cell r="Q754">
            <v>3.8149999999999999</v>
          </cell>
          <cell r="R754">
            <v>3.806</v>
          </cell>
          <cell r="S754">
            <v>7.8E-2</v>
          </cell>
          <cell r="T754">
            <v>7.9600000000000004E-2</v>
          </cell>
          <cell r="V754">
            <v>7.9600000000000004E-2</v>
          </cell>
          <cell r="W754" t="str">
            <v>AB</v>
          </cell>
          <cell r="X754">
            <v>3312</v>
          </cell>
          <cell r="Y754">
            <v>3</v>
          </cell>
          <cell r="Z754">
            <v>289.3840104849279</v>
          </cell>
          <cell r="AA754" t="str">
            <v>3.815X0.078-2205</v>
          </cell>
          <cell r="AB754" t="str">
            <v>WACN009690200B300043</v>
          </cell>
          <cell r="AC754" t="str">
            <v>D2008023</v>
          </cell>
          <cell r="AD754">
            <v>861010</v>
          </cell>
          <cell r="AE754">
            <v>1.9E-2</v>
          </cell>
          <cell r="AF754">
            <v>1.66</v>
          </cell>
          <cell r="AG754">
            <v>2.7E-2</v>
          </cell>
          <cell r="AH754">
            <v>0</v>
          </cell>
          <cell r="AI754">
            <v>0.47</v>
          </cell>
          <cell r="AJ754">
            <v>22.4</v>
          </cell>
          <cell r="AK754">
            <v>5.3</v>
          </cell>
          <cell r="AL754">
            <v>0.16</v>
          </cell>
          <cell r="AM754">
            <v>3.09</v>
          </cell>
          <cell r="AN754">
            <v>0</v>
          </cell>
          <cell r="AO754">
            <v>0</v>
          </cell>
          <cell r="AP754">
            <v>0</v>
          </cell>
          <cell r="AQ754">
            <v>0</v>
          </cell>
          <cell r="AR754">
            <v>0</v>
          </cell>
          <cell r="AS754">
            <v>0</v>
          </cell>
          <cell r="AT754">
            <v>580</v>
          </cell>
          <cell r="AU754">
            <v>0</v>
          </cell>
          <cell r="AV754">
            <v>856</v>
          </cell>
          <cell r="AW754">
            <v>29</v>
          </cell>
          <cell r="AX754">
            <v>24</v>
          </cell>
          <cell r="AY754">
            <v>260</v>
          </cell>
          <cell r="AZ754">
            <v>2.4685000000000001</v>
          </cell>
          <cell r="BA754" t="str">
            <v>D2008023</v>
          </cell>
          <cell r="BB754" t="str">
            <v>CONFORM</v>
          </cell>
          <cell r="BC754" t="str">
            <v>CONFORM</v>
          </cell>
          <cell r="BD754" t="str">
            <v>CONFORM</v>
          </cell>
          <cell r="BE754" t="str">
            <v>CONFORM</v>
          </cell>
          <cell r="BF754" t="str">
            <v>CONFORM</v>
          </cell>
        </row>
        <row r="755">
          <cell r="A755">
            <v>44085</v>
          </cell>
          <cell r="B755" t="str">
            <v>D2009096-1</v>
          </cell>
          <cell r="C755" t="str">
            <v>074/20</v>
          </cell>
          <cell r="D755">
            <v>2</v>
          </cell>
          <cell r="E755">
            <v>44085</v>
          </cell>
          <cell r="F755" t="str">
            <v>DC</v>
          </cell>
          <cell r="G755" t="str">
            <v>On Time</v>
          </cell>
          <cell r="H755">
            <v>2407735362</v>
          </cell>
          <cell r="I755">
            <v>44085</v>
          </cell>
          <cell r="J755" t="str">
            <v>TKM</v>
          </cell>
          <cell r="K755" t="str">
            <v>D2009096</v>
          </cell>
          <cell r="L755">
            <v>1</v>
          </cell>
          <cell r="M755">
            <v>3275069</v>
          </cell>
          <cell r="N755">
            <v>529330</v>
          </cell>
          <cell r="O755" t="str">
            <v xml:space="preserve">1.4306 TP304L </v>
          </cell>
          <cell r="P755" t="str">
            <v>304L</v>
          </cell>
          <cell r="Q755">
            <v>3.8149999999999999</v>
          </cell>
          <cell r="R755">
            <v>3.81</v>
          </cell>
          <cell r="S755">
            <v>7.9000000000000001E-2</v>
          </cell>
          <cell r="T755">
            <v>7.8450000000000006E-2</v>
          </cell>
          <cell r="V755">
            <v>7.8450000000000006E-2</v>
          </cell>
          <cell r="W755" t="str">
            <v>AB</v>
          </cell>
          <cell r="X755">
            <v>4654</v>
          </cell>
          <cell r="Y755">
            <v>5</v>
          </cell>
          <cell r="Z755">
            <v>243.98427260812582</v>
          </cell>
          <cell r="AA755" t="str">
            <v>3.815X0.079-304L</v>
          </cell>
          <cell r="AB755" t="str">
            <v>WAAC009690200B300102</v>
          </cell>
          <cell r="AC755" t="str">
            <v>D2009096</v>
          </cell>
          <cell r="AD755">
            <v>529330</v>
          </cell>
          <cell r="AE755">
            <v>2.5000000000000001E-2</v>
          </cell>
          <cell r="AF755">
            <v>1.29</v>
          </cell>
          <cell r="AG755">
            <v>3.2000000000000001E-2</v>
          </cell>
          <cell r="AH755">
            <v>2E-3</v>
          </cell>
          <cell r="AI755">
            <v>0.31</v>
          </cell>
          <cell r="AJ755">
            <v>18.100000000000001</v>
          </cell>
          <cell r="AK755">
            <v>8</v>
          </cell>
          <cell r="AL755">
            <v>6.9000000000000006E-2</v>
          </cell>
          <cell r="AM755">
            <v>0.38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0.57999999999999996</v>
          </cell>
          <cell r="AS755">
            <v>0</v>
          </cell>
          <cell r="AT755">
            <v>294</v>
          </cell>
          <cell r="AU755">
            <v>0</v>
          </cell>
          <cell r="AV755">
            <v>639</v>
          </cell>
          <cell r="AW755">
            <v>56</v>
          </cell>
          <cell r="AX755">
            <v>82</v>
          </cell>
          <cell r="AY755">
            <v>156</v>
          </cell>
          <cell r="AZ755">
            <v>1.3297000000000001</v>
          </cell>
          <cell r="BA755" t="str">
            <v>D2009096</v>
          </cell>
          <cell r="BB755" t="str">
            <v>CONFORM</v>
          </cell>
          <cell r="BC755" t="str">
            <v>CONFORM</v>
          </cell>
          <cell r="BD755" t="str">
            <v>CONFORM</v>
          </cell>
          <cell r="BE755" t="str">
            <v>CONFORM</v>
          </cell>
          <cell r="BF755" t="str">
            <v>CONFORM</v>
          </cell>
        </row>
        <row r="756">
          <cell r="A756">
            <v>44085</v>
          </cell>
          <cell r="B756" t="str">
            <v>D2009096-2</v>
          </cell>
          <cell r="C756" t="str">
            <v>074/20</v>
          </cell>
          <cell r="D756">
            <v>2</v>
          </cell>
          <cell r="E756">
            <v>44085</v>
          </cell>
          <cell r="F756" t="str">
            <v>DC</v>
          </cell>
          <cell r="G756" t="str">
            <v>On Time</v>
          </cell>
          <cell r="H756">
            <v>2407735362</v>
          </cell>
          <cell r="I756">
            <v>44085</v>
          </cell>
          <cell r="J756" t="str">
            <v>TKM</v>
          </cell>
          <cell r="K756" t="str">
            <v>D2009096</v>
          </cell>
          <cell r="L756">
            <v>2</v>
          </cell>
          <cell r="M756">
            <v>3275069</v>
          </cell>
          <cell r="N756">
            <v>529330</v>
          </cell>
          <cell r="O756" t="str">
            <v xml:space="preserve">1.4306 TP304L </v>
          </cell>
          <cell r="P756" t="str">
            <v>304L</v>
          </cell>
          <cell r="Q756">
            <v>3.8149999999999999</v>
          </cell>
          <cell r="R756">
            <v>3.81</v>
          </cell>
          <cell r="S756">
            <v>7.9000000000000001E-2</v>
          </cell>
          <cell r="T756">
            <v>7.8149999999999997E-2</v>
          </cell>
          <cell r="V756">
            <v>7.8149999999999997E-2</v>
          </cell>
          <cell r="W756" t="str">
            <v>AB</v>
          </cell>
          <cell r="X756">
            <v>4662</v>
          </cell>
          <cell r="Y756">
            <v>5</v>
          </cell>
          <cell r="Z756">
            <v>244.40366972477065</v>
          </cell>
          <cell r="AA756" t="str">
            <v>3.815X0.079-304L</v>
          </cell>
          <cell r="AB756" t="str">
            <v>WAAC009690200B300102</v>
          </cell>
          <cell r="AC756" t="str">
            <v>D2009096</v>
          </cell>
          <cell r="AD756">
            <v>529330</v>
          </cell>
          <cell r="AE756">
            <v>2.5000000000000001E-2</v>
          </cell>
          <cell r="AF756">
            <v>1.29</v>
          </cell>
          <cell r="AG756">
            <v>3.2000000000000001E-2</v>
          </cell>
          <cell r="AH756">
            <v>2E-3</v>
          </cell>
          <cell r="AI756">
            <v>0.31</v>
          </cell>
          <cell r="AJ756">
            <v>18.100000000000001</v>
          </cell>
          <cell r="AK756">
            <v>8</v>
          </cell>
          <cell r="AL756">
            <v>6.9000000000000006E-2</v>
          </cell>
          <cell r="AM756">
            <v>0.38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0.57999999999999996</v>
          </cell>
          <cell r="AS756">
            <v>0</v>
          </cell>
          <cell r="AT756">
            <v>294</v>
          </cell>
          <cell r="AU756">
            <v>0</v>
          </cell>
          <cell r="AV756">
            <v>639</v>
          </cell>
          <cell r="AW756">
            <v>56</v>
          </cell>
          <cell r="AX756">
            <v>82</v>
          </cell>
          <cell r="AY756">
            <v>156</v>
          </cell>
          <cell r="AZ756">
            <v>1.3297000000000001</v>
          </cell>
          <cell r="BA756" t="str">
            <v>D2009096</v>
          </cell>
          <cell r="BB756" t="str">
            <v>CONFORM</v>
          </cell>
          <cell r="BC756" t="str">
            <v>CONFORM</v>
          </cell>
          <cell r="BD756" t="str">
            <v>CONFORM</v>
          </cell>
          <cell r="BE756" t="str">
            <v>CONFORM</v>
          </cell>
          <cell r="BF756" t="str">
            <v>CONFORM</v>
          </cell>
        </row>
        <row r="757">
          <cell r="A757">
            <v>44085</v>
          </cell>
          <cell r="B757" t="str">
            <v>D2009096-3</v>
          </cell>
          <cell r="C757" t="str">
            <v>074/20</v>
          </cell>
          <cell r="D757">
            <v>2</v>
          </cell>
          <cell r="E757">
            <v>44085</v>
          </cell>
          <cell r="F757" t="str">
            <v>DC</v>
          </cell>
          <cell r="G757" t="str">
            <v>On Time</v>
          </cell>
          <cell r="H757">
            <v>2407735362</v>
          </cell>
          <cell r="I757">
            <v>44085</v>
          </cell>
          <cell r="J757" t="str">
            <v>TKM</v>
          </cell>
          <cell r="K757" t="str">
            <v>D2009096</v>
          </cell>
          <cell r="L757">
            <v>3</v>
          </cell>
          <cell r="M757">
            <v>3275069</v>
          </cell>
          <cell r="N757">
            <v>529330</v>
          </cell>
          <cell r="O757" t="str">
            <v xml:space="preserve">1.4306 TP304L </v>
          </cell>
          <cell r="P757" t="str">
            <v>304L</v>
          </cell>
          <cell r="Q757">
            <v>3.8149999999999999</v>
          </cell>
          <cell r="R757">
            <v>3.8050000000000002</v>
          </cell>
          <cell r="S757">
            <v>7.9000000000000001E-2</v>
          </cell>
          <cell r="T757">
            <v>7.8850000000000003E-2</v>
          </cell>
          <cell r="V757">
            <v>7.8850000000000003E-2</v>
          </cell>
          <cell r="W757" t="str">
            <v>AB</v>
          </cell>
          <cell r="X757">
            <v>190</v>
          </cell>
          <cell r="Y757">
            <v>2</v>
          </cell>
          <cell r="Z757">
            <v>24.901703800786368</v>
          </cell>
          <cell r="AA757" t="str">
            <v>3.815X0.079-304L</v>
          </cell>
          <cell r="AB757" t="str">
            <v>WAAC009690200B300102</v>
          </cell>
          <cell r="AC757" t="str">
            <v>D2009096</v>
          </cell>
          <cell r="AD757">
            <v>529330</v>
          </cell>
          <cell r="AE757">
            <v>2.5000000000000001E-2</v>
          </cell>
          <cell r="AF757">
            <v>1.29</v>
          </cell>
          <cell r="AG757">
            <v>3.2000000000000001E-2</v>
          </cell>
          <cell r="AH757">
            <v>2E-3</v>
          </cell>
          <cell r="AI757">
            <v>0.31</v>
          </cell>
          <cell r="AJ757">
            <v>18.100000000000001</v>
          </cell>
          <cell r="AK757">
            <v>8</v>
          </cell>
          <cell r="AL757">
            <v>6.9000000000000006E-2</v>
          </cell>
          <cell r="AM757">
            <v>0.38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0.57999999999999996</v>
          </cell>
          <cell r="AS757">
            <v>0</v>
          </cell>
          <cell r="AT757">
            <v>294</v>
          </cell>
          <cell r="AU757">
            <v>0</v>
          </cell>
          <cell r="AV757">
            <v>639</v>
          </cell>
          <cell r="AW757">
            <v>56</v>
          </cell>
          <cell r="AX757">
            <v>82</v>
          </cell>
          <cell r="AY757">
            <v>156</v>
          </cell>
          <cell r="AZ757">
            <v>1.3297000000000001</v>
          </cell>
          <cell r="BA757" t="str">
            <v>D2009096</v>
          </cell>
          <cell r="BB757" t="str">
            <v>CONFORM</v>
          </cell>
          <cell r="BC757" t="str">
            <v>CONFORM</v>
          </cell>
          <cell r="BD757" t="str">
            <v>CONFORM</v>
          </cell>
          <cell r="BE757" t="str">
            <v>CONFORM</v>
          </cell>
          <cell r="BF757" t="str">
            <v>CONFORM</v>
          </cell>
        </row>
        <row r="758">
          <cell r="A758">
            <v>44085</v>
          </cell>
          <cell r="B758" t="str">
            <v>D2009096-4</v>
          </cell>
          <cell r="C758" t="str">
            <v>074/20</v>
          </cell>
          <cell r="D758">
            <v>2</v>
          </cell>
          <cell r="E758">
            <v>44085</v>
          </cell>
          <cell r="F758" t="str">
            <v>DC</v>
          </cell>
          <cell r="G758" t="str">
            <v>On Time</v>
          </cell>
          <cell r="H758">
            <v>2407735362</v>
          </cell>
          <cell r="I758">
            <v>44085</v>
          </cell>
          <cell r="J758" t="str">
            <v>TKM</v>
          </cell>
          <cell r="K758" t="str">
            <v>D2009096</v>
          </cell>
          <cell r="L758">
            <v>4</v>
          </cell>
          <cell r="M758">
            <v>3275069</v>
          </cell>
          <cell r="N758">
            <v>529330</v>
          </cell>
          <cell r="O758" t="str">
            <v xml:space="preserve">1.4306 TP304L </v>
          </cell>
          <cell r="P758" t="str">
            <v>304L</v>
          </cell>
          <cell r="Q758">
            <v>3.8149999999999999</v>
          </cell>
          <cell r="R758">
            <v>3.8115000000000001</v>
          </cell>
          <cell r="S758">
            <v>7.9000000000000001E-2</v>
          </cell>
          <cell r="T758">
            <v>7.7399999999999997E-2</v>
          </cell>
          <cell r="V758">
            <v>7.7399999999999997E-2</v>
          </cell>
          <cell r="W758" t="str">
            <v>AB</v>
          </cell>
          <cell r="X758">
            <v>190</v>
          </cell>
          <cell r="Y758">
            <v>2</v>
          </cell>
          <cell r="Z758">
            <v>24.901703800786368</v>
          </cell>
          <cell r="AA758" t="str">
            <v>3.815X0.079-304L</v>
          </cell>
          <cell r="AB758" t="str">
            <v>WAAC009690200B300102</v>
          </cell>
          <cell r="AC758" t="str">
            <v>D2009096</v>
          </cell>
          <cell r="AD758">
            <v>529330</v>
          </cell>
          <cell r="AE758">
            <v>2.5000000000000001E-2</v>
          </cell>
          <cell r="AF758">
            <v>1.29</v>
          </cell>
          <cell r="AG758">
            <v>3.2000000000000001E-2</v>
          </cell>
          <cell r="AH758">
            <v>2E-3</v>
          </cell>
          <cell r="AI758">
            <v>0.31</v>
          </cell>
          <cell r="AJ758">
            <v>18.100000000000001</v>
          </cell>
          <cell r="AK758">
            <v>8</v>
          </cell>
          <cell r="AL758">
            <v>6.9000000000000006E-2</v>
          </cell>
          <cell r="AM758">
            <v>0.38</v>
          </cell>
          <cell r="AN758">
            <v>0</v>
          </cell>
          <cell r="AO758">
            <v>0</v>
          </cell>
          <cell r="AP758">
            <v>0</v>
          </cell>
          <cell r="AQ758">
            <v>0</v>
          </cell>
          <cell r="AR758">
            <v>0.57999999999999996</v>
          </cell>
          <cell r="AS758">
            <v>0</v>
          </cell>
          <cell r="AT758">
            <v>294</v>
          </cell>
          <cell r="AU758">
            <v>0</v>
          </cell>
          <cell r="AV758">
            <v>639</v>
          </cell>
          <cell r="AW758">
            <v>56</v>
          </cell>
          <cell r="AX758">
            <v>82</v>
          </cell>
          <cell r="AY758">
            <v>156</v>
          </cell>
          <cell r="AZ758">
            <v>1.3297000000000001</v>
          </cell>
          <cell r="BA758" t="str">
            <v>D2009096</v>
          </cell>
          <cell r="BB758" t="str">
            <v>CONFORM</v>
          </cell>
          <cell r="BC758" t="str">
            <v>CONFORM</v>
          </cell>
          <cell r="BD758" t="str">
            <v>CONFORM</v>
          </cell>
          <cell r="BE758" t="str">
            <v>CONFORM</v>
          </cell>
          <cell r="BF758" t="str">
            <v>CONFORM</v>
          </cell>
        </row>
        <row r="759">
          <cell r="A759">
            <v>44085</v>
          </cell>
          <cell r="B759" t="str">
            <v>D2009096-5</v>
          </cell>
          <cell r="C759" t="str">
            <v>074/20</v>
          </cell>
          <cell r="D759">
            <v>2</v>
          </cell>
          <cell r="E759">
            <v>44085</v>
          </cell>
          <cell r="F759" t="str">
            <v>DC</v>
          </cell>
          <cell r="G759" t="str">
            <v>On Time</v>
          </cell>
          <cell r="H759">
            <v>2407735362</v>
          </cell>
          <cell r="I759">
            <v>44085</v>
          </cell>
          <cell r="J759" t="str">
            <v>TKM</v>
          </cell>
          <cell r="K759" t="str">
            <v>D2009096</v>
          </cell>
          <cell r="L759">
            <v>5</v>
          </cell>
          <cell r="M759">
            <v>3275069</v>
          </cell>
          <cell r="N759">
            <v>529330</v>
          </cell>
          <cell r="O759" t="str">
            <v xml:space="preserve">1.4306 TP304L </v>
          </cell>
          <cell r="P759" t="str">
            <v>304L</v>
          </cell>
          <cell r="Q759">
            <v>3.8149999999999999</v>
          </cell>
          <cell r="R759">
            <v>3.8140000000000001</v>
          </cell>
          <cell r="S759">
            <v>7.9000000000000001E-2</v>
          </cell>
          <cell r="T759">
            <v>7.7600000000000002E-2</v>
          </cell>
          <cell r="V759">
            <v>7.7600000000000002E-2</v>
          </cell>
          <cell r="W759" t="str">
            <v>AB</v>
          </cell>
          <cell r="X759">
            <v>190</v>
          </cell>
          <cell r="Y759">
            <v>2</v>
          </cell>
          <cell r="Z759">
            <v>24.901703800786368</v>
          </cell>
          <cell r="AA759" t="str">
            <v>3.815X0.079-304L</v>
          </cell>
          <cell r="AB759" t="str">
            <v>WAAC009690200B300102</v>
          </cell>
          <cell r="AC759" t="str">
            <v>D2009096</v>
          </cell>
          <cell r="AD759">
            <v>529330</v>
          </cell>
          <cell r="AE759">
            <v>2.5000000000000001E-2</v>
          </cell>
          <cell r="AF759">
            <v>1.29</v>
          </cell>
          <cell r="AG759">
            <v>3.2000000000000001E-2</v>
          </cell>
          <cell r="AH759">
            <v>2E-3</v>
          </cell>
          <cell r="AI759">
            <v>0.31</v>
          </cell>
          <cell r="AJ759">
            <v>18.100000000000001</v>
          </cell>
          <cell r="AK759">
            <v>8</v>
          </cell>
          <cell r="AL759">
            <v>6.9000000000000006E-2</v>
          </cell>
          <cell r="AM759">
            <v>0.38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0.57999999999999996</v>
          </cell>
          <cell r="AS759">
            <v>0</v>
          </cell>
          <cell r="AT759">
            <v>294</v>
          </cell>
          <cell r="AU759">
            <v>0</v>
          </cell>
          <cell r="AV759">
            <v>639</v>
          </cell>
          <cell r="AW759">
            <v>56</v>
          </cell>
          <cell r="AX759">
            <v>82</v>
          </cell>
          <cell r="AY759">
            <v>156</v>
          </cell>
          <cell r="AZ759">
            <v>1.3297000000000001</v>
          </cell>
          <cell r="BA759" t="str">
            <v>D2009096</v>
          </cell>
          <cell r="BB759" t="str">
            <v>CONFORM</v>
          </cell>
          <cell r="BC759" t="str">
            <v>CONFORM</v>
          </cell>
          <cell r="BD759" t="str">
            <v>CONFORM</v>
          </cell>
          <cell r="BE759" t="str">
            <v>CONFORM</v>
          </cell>
          <cell r="BF759" t="str">
            <v>CONFORM</v>
          </cell>
        </row>
        <row r="760">
          <cell r="A760">
            <v>44085</v>
          </cell>
          <cell r="B760" t="str">
            <v>D2009096-6</v>
          </cell>
          <cell r="C760" t="str">
            <v>074/20</v>
          </cell>
          <cell r="D760">
            <v>2</v>
          </cell>
          <cell r="E760">
            <v>44085</v>
          </cell>
          <cell r="F760" t="str">
            <v>DC</v>
          </cell>
          <cell r="G760" t="str">
            <v>On Time</v>
          </cell>
          <cell r="H760">
            <v>2407735362</v>
          </cell>
          <cell r="I760">
            <v>44085</v>
          </cell>
          <cell r="J760" t="str">
            <v>TKM</v>
          </cell>
          <cell r="K760" t="str">
            <v>D2009096</v>
          </cell>
          <cell r="L760">
            <v>6</v>
          </cell>
          <cell r="M760">
            <v>3275069</v>
          </cell>
          <cell r="N760">
            <v>529330</v>
          </cell>
          <cell r="O760" t="str">
            <v xml:space="preserve">1.4306 TP304L </v>
          </cell>
          <cell r="P760" t="str">
            <v>304L</v>
          </cell>
          <cell r="Q760">
            <v>3.8149999999999999</v>
          </cell>
          <cell r="R760">
            <v>3.8050000000000002</v>
          </cell>
          <cell r="S760">
            <v>7.9000000000000001E-2</v>
          </cell>
          <cell r="T760">
            <v>7.7850000000000003E-2</v>
          </cell>
          <cell r="V760">
            <v>7.7850000000000003E-2</v>
          </cell>
          <cell r="W760" t="str">
            <v>AB</v>
          </cell>
          <cell r="X760">
            <v>190</v>
          </cell>
          <cell r="Y760">
            <v>2</v>
          </cell>
          <cell r="Z760">
            <v>24.901703800786368</v>
          </cell>
          <cell r="AA760" t="str">
            <v>3.815X0.079-304L</v>
          </cell>
          <cell r="AB760" t="str">
            <v>WAAC009690200B300102</v>
          </cell>
          <cell r="AC760" t="str">
            <v>D2009096</v>
          </cell>
          <cell r="AD760">
            <v>529330</v>
          </cell>
          <cell r="AE760">
            <v>2.5000000000000001E-2</v>
          </cell>
          <cell r="AF760">
            <v>1.29</v>
          </cell>
          <cell r="AG760">
            <v>3.2000000000000001E-2</v>
          </cell>
          <cell r="AH760">
            <v>2E-3</v>
          </cell>
          <cell r="AI760">
            <v>0.31</v>
          </cell>
          <cell r="AJ760">
            <v>18.100000000000001</v>
          </cell>
          <cell r="AK760">
            <v>8</v>
          </cell>
          <cell r="AL760">
            <v>6.9000000000000006E-2</v>
          </cell>
          <cell r="AM760">
            <v>0.38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0.57999999999999996</v>
          </cell>
          <cell r="AS760">
            <v>0</v>
          </cell>
          <cell r="AT760">
            <v>294</v>
          </cell>
          <cell r="AU760">
            <v>0</v>
          </cell>
          <cell r="AV760">
            <v>639</v>
          </cell>
          <cell r="AW760">
            <v>56</v>
          </cell>
          <cell r="AX760">
            <v>82</v>
          </cell>
          <cell r="AY760">
            <v>156</v>
          </cell>
          <cell r="AZ760">
            <v>1.3297000000000001</v>
          </cell>
          <cell r="BA760" t="str">
            <v>D2009096</v>
          </cell>
          <cell r="BB760" t="str">
            <v>CONFORM</v>
          </cell>
          <cell r="BC760" t="str">
            <v>CONFORM</v>
          </cell>
          <cell r="BD760" t="str">
            <v>CONFORM</v>
          </cell>
          <cell r="BE760" t="str">
            <v>CONFORM</v>
          </cell>
          <cell r="BF760" t="str">
            <v>CONFORM</v>
          </cell>
        </row>
        <row r="761">
          <cell r="A761">
            <v>44085</v>
          </cell>
          <cell r="B761" t="str">
            <v>D2009096-7</v>
          </cell>
          <cell r="C761" t="str">
            <v>074/20</v>
          </cell>
          <cell r="D761">
            <v>2</v>
          </cell>
          <cell r="E761">
            <v>44085</v>
          </cell>
          <cell r="F761" t="str">
            <v>DC</v>
          </cell>
          <cell r="G761" t="str">
            <v>On Time</v>
          </cell>
          <cell r="H761">
            <v>2407735362</v>
          </cell>
          <cell r="I761">
            <v>44085</v>
          </cell>
          <cell r="J761" t="str">
            <v>TKM</v>
          </cell>
          <cell r="K761" t="str">
            <v>D2009096</v>
          </cell>
          <cell r="L761">
            <v>7</v>
          </cell>
          <cell r="M761">
            <v>3275069</v>
          </cell>
          <cell r="N761">
            <v>529330</v>
          </cell>
          <cell r="O761" t="str">
            <v xml:space="preserve">1.4306 TP304L </v>
          </cell>
          <cell r="P761" t="str">
            <v>304L</v>
          </cell>
          <cell r="Q761">
            <v>3.8149999999999999</v>
          </cell>
          <cell r="R761">
            <v>3.7995000000000001</v>
          </cell>
          <cell r="S761">
            <v>7.9000000000000001E-2</v>
          </cell>
          <cell r="T761">
            <v>7.7700000000000005E-2</v>
          </cell>
          <cell r="V761">
            <v>7.7700000000000005E-2</v>
          </cell>
          <cell r="W761" t="str">
            <v>AB</v>
          </cell>
          <cell r="X761">
            <v>190</v>
          </cell>
          <cell r="Y761">
            <v>2</v>
          </cell>
          <cell r="Z761">
            <v>24.901703800786368</v>
          </cell>
          <cell r="AA761" t="str">
            <v>3.815X0.079-304L</v>
          </cell>
          <cell r="AB761" t="str">
            <v>WAAC009690200B300102</v>
          </cell>
          <cell r="AC761" t="str">
            <v>D2009096</v>
          </cell>
          <cell r="AD761">
            <v>529330</v>
          </cell>
          <cell r="AE761">
            <v>2.5000000000000001E-2</v>
          </cell>
          <cell r="AF761">
            <v>1.29</v>
          </cell>
          <cell r="AG761">
            <v>3.2000000000000001E-2</v>
          </cell>
          <cell r="AH761">
            <v>2E-3</v>
          </cell>
          <cell r="AI761">
            <v>0.31</v>
          </cell>
          <cell r="AJ761">
            <v>18.100000000000001</v>
          </cell>
          <cell r="AK761">
            <v>8</v>
          </cell>
          <cell r="AL761">
            <v>6.9000000000000006E-2</v>
          </cell>
          <cell r="AM761">
            <v>0.38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0.57999999999999996</v>
          </cell>
          <cell r="AS761">
            <v>0</v>
          </cell>
          <cell r="AT761">
            <v>294</v>
          </cell>
          <cell r="AU761">
            <v>0</v>
          </cell>
          <cell r="AV761">
            <v>639</v>
          </cell>
          <cell r="AW761">
            <v>56</v>
          </cell>
          <cell r="AX761">
            <v>82</v>
          </cell>
          <cell r="AY761">
            <v>156</v>
          </cell>
          <cell r="AZ761">
            <v>1.3297000000000001</v>
          </cell>
          <cell r="BA761" t="str">
            <v>D2009096</v>
          </cell>
          <cell r="BB761" t="str">
            <v>CONFORM</v>
          </cell>
          <cell r="BC761" t="str">
            <v>CONFORM</v>
          </cell>
          <cell r="BD761" t="str">
            <v>CONFORM</v>
          </cell>
          <cell r="BE761" t="str">
            <v>CONFORM</v>
          </cell>
          <cell r="BF761" t="str">
            <v>CONFORM</v>
          </cell>
        </row>
        <row r="762">
          <cell r="A762">
            <v>44085</v>
          </cell>
          <cell r="B762" t="str">
            <v>D2009097-1</v>
          </cell>
          <cell r="C762" t="str">
            <v>074/20</v>
          </cell>
          <cell r="D762">
            <v>1</v>
          </cell>
          <cell r="E762">
            <v>44085</v>
          </cell>
          <cell r="F762" t="str">
            <v>DC</v>
          </cell>
          <cell r="G762" t="str">
            <v>On Time</v>
          </cell>
          <cell r="H762">
            <v>2407735360</v>
          </cell>
          <cell r="I762">
            <v>44085</v>
          </cell>
          <cell r="J762" t="str">
            <v>TKM</v>
          </cell>
          <cell r="K762" t="str">
            <v>D2009097</v>
          </cell>
          <cell r="L762">
            <v>1</v>
          </cell>
          <cell r="M762">
            <v>3275069</v>
          </cell>
          <cell r="N762">
            <v>529330</v>
          </cell>
          <cell r="O762" t="str">
            <v xml:space="preserve">1.4306 TP304L </v>
          </cell>
          <cell r="P762" t="str">
            <v>304L</v>
          </cell>
          <cell r="Q762">
            <v>3.016</v>
          </cell>
          <cell r="R762">
            <v>3.0059999999999998</v>
          </cell>
          <cell r="S762">
            <v>7.9000000000000001E-2</v>
          </cell>
          <cell r="T762">
            <v>7.7499999999999999E-2</v>
          </cell>
          <cell r="U762">
            <v>7.6149999999999995E-2</v>
          </cell>
          <cell r="V762">
            <v>7.6825000000000004E-2</v>
          </cell>
          <cell r="W762" t="str">
            <v>AB</v>
          </cell>
          <cell r="X762">
            <v>2202</v>
          </cell>
          <cell r="Y762">
            <v>3</v>
          </cell>
          <cell r="Z762">
            <v>243.36870026525199</v>
          </cell>
          <cell r="AA762" t="str">
            <v>3.016X0.079-304L</v>
          </cell>
          <cell r="AB762" t="str">
            <v>WAAC007660200B300078</v>
          </cell>
          <cell r="AC762" t="str">
            <v>D2009097</v>
          </cell>
          <cell r="AD762">
            <v>529330</v>
          </cell>
          <cell r="AE762">
            <v>2.5000000000000001E-2</v>
          </cell>
          <cell r="AF762">
            <v>1.29</v>
          </cell>
          <cell r="AG762">
            <v>3.2000000000000001E-2</v>
          </cell>
          <cell r="AH762">
            <v>2E-3</v>
          </cell>
          <cell r="AI762">
            <v>0.31</v>
          </cell>
          <cell r="AJ762">
            <v>18.100000000000001</v>
          </cell>
          <cell r="AK762">
            <v>8</v>
          </cell>
          <cell r="AL762">
            <v>6.9000000000000006E-2</v>
          </cell>
          <cell r="AM762">
            <v>0.38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0.57999999999999996</v>
          </cell>
          <cell r="AS762">
            <v>0</v>
          </cell>
          <cell r="AT762">
            <v>294</v>
          </cell>
          <cell r="AU762">
            <v>0</v>
          </cell>
          <cell r="AV762">
            <v>639</v>
          </cell>
          <cell r="AW762">
            <v>56</v>
          </cell>
          <cell r="AX762">
            <v>82</v>
          </cell>
          <cell r="AY762">
            <v>156</v>
          </cell>
          <cell r="AZ762">
            <v>1.3297000000000001</v>
          </cell>
          <cell r="BA762" t="str">
            <v>D2009097</v>
          </cell>
          <cell r="BB762" t="str">
            <v>CONFORM</v>
          </cell>
          <cell r="BC762" t="str">
            <v>CONFORM</v>
          </cell>
          <cell r="BD762" t="str">
            <v>CONFORM</v>
          </cell>
          <cell r="BE762" t="str">
            <v>CONFORM</v>
          </cell>
          <cell r="BF762" t="str">
            <v>CONFORM</v>
          </cell>
        </row>
        <row r="763">
          <cell r="A763">
            <v>44085</v>
          </cell>
          <cell r="B763" t="str">
            <v>D2009097-2</v>
          </cell>
          <cell r="C763" t="str">
            <v>074/20</v>
          </cell>
          <cell r="D763">
            <v>1</v>
          </cell>
          <cell r="E763">
            <v>44085</v>
          </cell>
          <cell r="F763" t="str">
            <v>DC</v>
          </cell>
          <cell r="G763" t="str">
            <v>On Time</v>
          </cell>
          <cell r="H763">
            <v>2407735360</v>
          </cell>
          <cell r="I763">
            <v>44085</v>
          </cell>
          <cell r="J763" t="str">
            <v>TKM</v>
          </cell>
          <cell r="K763" t="str">
            <v>D2009097</v>
          </cell>
          <cell r="L763">
            <v>2</v>
          </cell>
          <cell r="M763">
            <v>3275069</v>
          </cell>
          <cell r="N763">
            <v>529330</v>
          </cell>
          <cell r="O763" t="str">
            <v xml:space="preserve">1.4306 TP304L </v>
          </cell>
          <cell r="P763" t="str">
            <v>304L</v>
          </cell>
          <cell r="Q763">
            <v>3.016</v>
          </cell>
          <cell r="R763">
            <v>3.0135000000000001</v>
          </cell>
          <cell r="S763">
            <v>7.9000000000000001E-2</v>
          </cell>
          <cell r="T763">
            <v>7.7600000000000002E-2</v>
          </cell>
          <cell r="U763">
            <v>7.5999999999999998E-2</v>
          </cell>
          <cell r="V763">
            <v>7.6800000000000007E-2</v>
          </cell>
          <cell r="W763" t="str">
            <v>AB</v>
          </cell>
          <cell r="X763">
            <v>150</v>
          </cell>
          <cell r="Y763">
            <v>2</v>
          </cell>
          <cell r="Z763">
            <v>24.867374005305038</v>
          </cell>
          <cell r="AA763" t="str">
            <v>3.016X0.079-304L</v>
          </cell>
          <cell r="AB763" t="str">
            <v>WAAC007660200B300078</v>
          </cell>
          <cell r="AC763" t="str">
            <v>D2009097</v>
          </cell>
          <cell r="AD763">
            <v>529330</v>
          </cell>
          <cell r="AE763">
            <v>2.5000000000000001E-2</v>
          </cell>
          <cell r="AF763">
            <v>1.29</v>
          </cell>
          <cell r="AG763">
            <v>3.2000000000000001E-2</v>
          </cell>
          <cell r="AH763">
            <v>2E-3</v>
          </cell>
          <cell r="AI763">
            <v>0.31</v>
          </cell>
          <cell r="AJ763">
            <v>18.100000000000001</v>
          </cell>
          <cell r="AK763">
            <v>8</v>
          </cell>
          <cell r="AL763">
            <v>6.9000000000000006E-2</v>
          </cell>
          <cell r="AM763">
            <v>0.38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0.57999999999999996</v>
          </cell>
          <cell r="AS763">
            <v>0</v>
          </cell>
          <cell r="AT763">
            <v>294</v>
          </cell>
          <cell r="AU763">
            <v>0</v>
          </cell>
          <cell r="AV763">
            <v>639</v>
          </cell>
          <cell r="AW763">
            <v>56</v>
          </cell>
          <cell r="AX763">
            <v>82</v>
          </cell>
          <cell r="AY763">
            <v>156</v>
          </cell>
          <cell r="AZ763">
            <v>1.3297000000000001</v>
          </cell>
          <cell r="BA763" t="str">
            <v>D2009097</v>
          </cell>
          <cell r="BB763" t="str">
            <v>CONFORM</v>
          </cell>
          <cell r="BC763" t="str">
            <v>CONFORM</v>
          </cell>
          <cell r="BD763" t="str">
            <v>CONFORM</v>
          </cell>
          <cell r="BE763" t="str">
            <v>CONFORM</v>
          </cell>
          <cell r="BF763" t="str">
            <v>CONFORM</v>
          </cell>
        </row>
        <row r="764">
          <cell r="A764">
            <v>44085</v>
          </cell>
          <cell r="B764" t="str">
            <v>D2009097-3</v>
          </cell>
          <cell r="C764" t="str">
            <v>074/20</v>
          </cell>
          <cell r="D764">
            <v>1</v>
          </cell>
          <cell r="E764">
            <v>44085</v>
          </cell>
          <cell r="F764" t="str">
            <v>DC</v>
          </cell>
          <cell r="G764" t="str">
            <v>On Time</v>
          </cell>
          <cell r="H764">
            <v>2407735360</v>
          </cell>
          <cell r="I764">
            <v>44085</v>
          </cell>
          <cell r="J764" t="str">
            <v>TKM</v>
          </cell>
          <cell r="K764" t="str">
            <v>D2009097</v>
          </cell>
          <cell r="L764">
            <v>3</v>
          </cell>
          <cell r="M764">
            <v>3275069</v>
          </cell>
          <cell r="N764">
            <v>529330</v>
          </cell>
          <cell r="O764" t="str">
            <v xml:space="preserve">1.4306 TP304L </v>
          </cell>
          <cell r="P764" t="str">
            <v>304L</v>
          </cell>
          <cell r="Q764">
            <v>3.016</v>
          </cell>
          <cell r="R764">
            <v>3.01</v>
          </cell>
          <cell r="S764">
            <v>7.9000000000000001E-2</v>
          </cell>
          <cell r="T764">
            <v>7.6899999999999996E-2</v>
          </cell>
          <cell r="U764">
            <v>7.5899999999999995E-2</v>
          </cell>
          <cell r="V764">
            <v>7.6399999999999996E-2</v>
          </cell>
          <cell r="W764" t="str">
            <v>AB</v>
          </cell>
          <cell r="X764">
            <v>75</v>
          </cell>
          <cell r="Y764">
            <v>1</v>
          </cell>
          <cell r="Z764">
            <v>24.867374005305038</v>
          </cell>
          <cell r="AA764" t="str">
            <v>3.016X0.079-304L</v>
          </cell>
          <cell r="AB764" t="str">
            <v>WAAC007660200B300078</v>
          </cell>
          <cell r="AC764" t="str">
            <v>D2009097</v>
          </cell>
          <cell r="AD764">
            <v>529330</v>
          </cell>
          <cell r="AE764">
            <v>2.5000000000000001E-2</v>
          </cell>
          <cell r="AF764">
            <v>1.29</v>
          </cell>
          <cell r="AG764">
            <v>3.2000000000000001E-2</v>
          </cell>
          <cell r="AH764">
            <v>2E-3</v>
          </cell>
          <cell r="AI764">
            <v>0.31</v>
          </cell>
          <cell r="AJ764">
            <v>18.100000000000001</v>
          </cell>
          <cell r="AK764">
            <v>8</v>
          </cell>
          <cell r="AL764">
            <v>6.9000000000000006E-2</v>
          </cell>
          <cell r="AM764">
            <v>0.38</v>
          </cell>
          <cell r="AN764">
            <v>0</v>
          </cell>
          <cell r="AO764">
            <v>0</v>
          </cell>
          <cell r="AP764">
            <v>0</v>
          </cell>
          <cell r="AQ764">
            <v>0</v>
          </cell>
          <cell r="AR764">
            <v>0.57999999999999996</v>
          </cell>
          <cell r="AS764">
            <v>0</v>
          </cell>
          <cell r="AT764">
            <v>294</v>
          </cell>
          <cell r="AU764">
            <v>0</v>
          </cell>
          <cell r="AV764">
            <v>639</v>
          </cell>
          <cell r="AW764">
            <v>56</v>
          </cell>
          <cell r="AX764">
            <v>82</v>
          </cell>
          <cell r="AY764">
            <v>156</v>
          </cell>
          <cell r="AZ764">
            <v>1.3297000000000001</v>
          </cell>
          <cell r="BA764" t="str">
            <v>D2009097</v>
          </cell>
          <cell r="BB764" t="str">
            <v>CONFORM</v>
          </cell>
          <cell r="BC764" t="str">
            <v>CONFORM</v>
          </cell>
          <cell r="BD764" t="str">
            <v>CONFORM</v>
          </cell>
          <cell r="BE764" t="str">
            <v>CONFORM</v>
          </cell>
          <cell r="BF764" t="str">
            <v>CONFORM</v>
          </cell>
        </row>
        <row r="765">
          <cell r="A765">
            <v>44091</v>
          </cell>
          <cell r="B765" t="str">
            <v>D2009117-1</v>
          </cell>
          <cell r="C765" t="str">
            <v>076/20</v>
          </cell>
          <cell r="D765">
            <v>1</v>
          </cell>
          <cell r="E765">
            <v>44090</v>
          </cell>
          <cell r="F765" t="str">
            <v>DC</v>
          </cell>
          <cell r="G765" t="str">
            <v>On Time</v>
          </cell>
          <cell r="H765">
            <v>2407744439</v>
          </cell>
          <cell r="I765">
            <v>44090</v>
          </cell>
          <cell r="J765" t="str">
            <v>TKM</v>
          </cell>
          <cell r="K765" t="str">
            <v>D2009117</v>
          </cell>
          <cell r="L765">
            <v>1</v>
          </cell>
          <cell r="M765">
            <v>3276524</v>
          </cell>
          <cell r="N765">
            <v>529491</v>
          </cell>
          <cell r="O765" t="str">
            <v xml:space="preserve">1.4401/1.4404 TP316/316L </v>
          </cell>
          <cell r="P765" t="str">
            <v>316L</v>
          </cell>
          <cell r="Q765">
            <v>3.016</v>
          </cell>
          <cell r="R765">
            <v>3.0179999999999998</v>
          </cell>
          <cell r="S765">
            <v>7.9000000000000001E-2</v>
          </cell>
          <cell r="T765">
            <v>7.8399999999999997E-2</v>
          </cell>
          <cell r="U765">
            <v>7.7200000000000005E-2</v>
          </cell>
          <cell r="V765">
            <v>7.7800000000000008E-2</v>
          </cell>
          <cell r="W765" t="str">
            <v>AB</v>
          </cell>
          <cell r="X765">
            <v>5304</v>
          </cell>
          <cell r="Y765">
            <v>5</v>
          </cell>
          <cell r="Z765">
            <v>351.72413793103448</v>
          </cell>
          <cell r="AA765" t="str">
            <v>3.016X0.079-316L</v>
          </cell>
          <cell r="AB765" t="str">
            <v>WAAF007660200B300099</v>
          </cell>
          <cell r="AC765" t="str">
            <v>D2009117</v>
          </cell>
          <cell r="AD765">
            <v>529491</v>
          </cell>
          <cell r="AE765">
            <v>2.4E-2</v>
          </cell>
          <cell r="AF765">
            <v>1.53</v>
          </cell>
          <cell r="AG765">
            <v>3.3000000000000002E-2</v>
          </cell>
          <cell r="AH765">
            <v>1E-3</v>
          </cell>
          <cell r="AI765">
            <v>0.38</v>
          </cell>
          <cell r="AJ765">
            <v>16.7</v>
          </cell>
          <cell r="AK765">
            <v>10</v>
          </cell>
          <cell r="AL765">
            <v>3.7999999999999999E-2</v>
          </cell>
          <cell r="AM765">
            <v>2.0099999999999998</v>
          </cell>
          <cell r="AN765">
            <v>0</v>
          </cell>
          <cell r="AO765">
            <v>0</v>
          </cell>
          <cell r="AP765">
            <v>0</v>
          </cell>
          <cell r="AQ765">
            <v>0</v>
          </cell>
          <cell r="AR765">
            <v>0.43</v>
          </cell>
          <cell r="AS765">
            <v>0</v>
          </cell>
          <cell r="AT765">
            <v>311</v>
          </cell>
          <cell r="AU765">
            <v>0</v>
          </cell>
          <cell r="AV765">
            <v>618</v>
          </cell>
          <cell r="AW765">
            <v>52</v>
          </cell>
          <cell r="AX765">
            <v>82</v>
          </cell>
          <cell r="AY765">
            <v>156</v>
          </cell>
          <cell r="AZ765">
            <v>1.7124999999999999</v>
          </cell>
          <cell r="BA765" t="str">
            <v>D2009117</v>
          </cell>
          <cell r="BB765" t="str">
            <v>CONFORM</v>
          </cell>
          <cell r="BC765" t="str">
            <v>CONFORM</v>
          </cell>
          <cell r="BD765" t="str">
            <v>CONFORM</v>
          </cell>
          <cell r="BE765" t="str">
            <v>CONFORM</v>
          </cell>
          <cell r="BF765" t="str">
            <v>CONFORM</v>
          </cell>
        </row>
        <row r="766">
          <cell r="A766">
            <v>44091</v>
          </cell>
          <cell r="B766" t="str">
            <v>D2009117-2</v>
          </cell>
          <cell r="C766" t="str">
            <v>076/20</v>
          </cell>
          <cell r="D766">
            <v>1</v>
          </cell>
          <cell r="E766">
            <v>44090</v>
          </cell>
          <cell r="F766" t="str">
            <v>DC</v>
          </cell>
          <cell r="G766" t="str">
            <v>On Time</v>
          </cell>
          <cell r="H766">
            <v>2407744439</v>
          </cell>
          <cell r="I766">
            <v>44090</v>
          </cell>
          <cell r="J766" t="str">
            <v>TKM</v>
          </cell>
          <cell r="K766" t="str">
            <v>D2009117</v>
          </cell>
          <cell r="L766">
            <v>2</v>
          </cell>
          <cell r="M766">
            <v>3276524</v>
          </cell>
          <cell r="N766">
            <v>529491</v>
          </cell>
          <cell r="O766" t="str">
            <v xml:space="preserve">1.4401/1.4404 TP316/316L </v>
          </cell>
          <cell r="P766" t="str">
            <v>316L</v>
          </cell>
          <cell r="Q766">
            <v>3.016</v>
          </cell>
          <cell r="R766">
            <v>3.0095000000000001</v>
          </cell>
          <cell r="S766">
            <v>7.9000000000000001E-2</v>
          </cell>
          <cell r="T766">
            <v>7.7499999999999999E-2</v>
          </cell>
          <cell r="U766">
            <v>7.7399999999999997E-2</v>
          </cell>
          <cell r="V766">
            <v>7.7449999999999991E-2</v>
          </cell>
          <cell r="W766" t="str">
            <v>AB</v>
          </cell>
          <cell r="X766">
            <v>5314</v>
          </cell>
          <cell r="Y766">
            <v>5</v>
          </cell>
          <cell r="Z766">
            <v>352.38726790450926</v>
          </cell>
          <cell r="AA766" t="str">
            <v>3.016X0.079-316L</v>
          </cell>
          <cell r="AB766" t="str">
            <v>WAAF007660200B300099</v>
          </cell>
          <cell r="AC766" t="str">
            <v>D2009117</v>
          </cell>
          <cell r="AD766">
            <v>529491</v>
          </cell>
          <cell r="AE766">
            <v>2.4E-2</v>
          </cell>
          <cell r="AF766">
            <v>1.53</v>
          </cell>
          <cell r="AG766">
            <v>3.3000000000000002E-2</v>
          </cell>
          <cell r="AH766">
            <v>1E-3</v>
          </cell>
          <cell r="AI766">
            <v>0.38</v>
          </cell>
          <cell r="AJ766">
            <v>16.7</v>
          </cell>
          <cell r="AK766">
            <v>10</v>
          </cell>
          <cell r="AL766">
            <v>3.7999999999999999E-2</v>
          </cell>
          <cell r="AM766">
            <v>2.0099999999999998</v>
          </cell>
          <cell r="AN766">
            <v>0</v>
          </cell>
          <cell r="AO766">
            <v>0</v>
          </cell>
          <cell r="AP766">
            <v>0</v>
          </cell>
          <cell r="AQ766">
            <v>0</v>
          </cell>
          <cell r="AR766">
            <v>0.43</v>
          </cell>
          <cell r="AS766">
            <v>0</v>
          </cell>
          <cell r="AT766">
            <v>311</v>
          </cell>
          <cell r="AU766">
            <v>0</v>
          </cell>
          <cell r="AV766">
            <v>618</v>
          </cell>
          <cell r="AW766">
            <v>52</v>
          </cell>
          <cell r="AX766">
            <v>82</v>
          </cell>
          <cell r="AY766">
            <v>156</v>
          </cell>
          <cell r="AZ766">
            <v>1.7124999999999999</v>
          </cell>
          <cell r="BA766" t="str">
            <v>D2009117</v>
          </cell>
          <cell r="BB766" t="str">
            <v>CONFORM</v>
          </cell>
          <cell r="BC766" t="str">
            <v>CONFORM</v>
          </cell>
          <cell r="BD766" t="str">
            <v>CONFORM</v>
          </cell>
          <cell r="BE766" t="str">
            <v>CONFORM</v>
          </cell>
          <cell r="BF766" t="str">
            <v>CONFORM</v>
          </cell>
        </row>
        <row r="767">
          <cell r="A767">
            <v>44091</v>
          </cell>
          <cell r="B767" t="str">
            <v>D2009118-1</v>
          </cell>
          <cell r="C767" t="str">
            <v>076/20</v>
          </cell>
          <cell r="D767">
            <v>2</v>
          </cell>
          <cell r="E767">
            <v>44092</v>
          </cell>
          <cell r="F767" t="str">
            <v>DC</v>
          </cell>
          <cell r="G767" t="str">
            <v>On Time</v>
          </cell>
          <cell r="H767">
            <v>2407745651</v>
          </cell>
          <cell r="I767">
            <v>44090</v>
          </cell>
          <cell r="J767" t="str">
            <v>TKM</v>
          </cell>
          <cell r="K767" t="str">
            <v>D2009118</v>
          </cell>
          <cell r="L767">
            <v>1</v>
          </cell>
          <cell r="M767">
            <v>3275095</v>
          </cell>
          <cell r="N767">
            <v>529379</v>
          </cell>
          <cell r="O767" t="str">
            <v xml:space="preserve">1.4306 TP304L </v>
          </cell>
          <cell r="P767" t="str">
            <v>304L</v>
          </cell>
          <cell r="Q767">
            <v>3.016</v>
          </cell>
          <cell r="R767">
            <v>3.0169999999999999</v>
          </cell>
          <cell r="S767">
            <v>7.9000000000000001E-2</v>
          </cell>
          <cell r="T767">
            <v>7.7049999999999993E-2</v>
          </cell>
          <cell r="U767">
            <v>7.7100000000000002E-2</v>
          </cell>
          <cell r="V767">
            <v>7.7075000000000005E-2</v>
          </cell>
          <cell r="W767" t="str">
            <v>AB</v>
          </cell>
          <cell r="X767">
            <v>5180</v>
          </cell>
          <cell r="Y767">
            <v>5</v>
          </cell>
          <cell r="Z767">
            <v>343.50132625994695</v>
          </cell>
          <cell r="AA767" t="str">
            <v>3.016X0.079-304L</v>
          </cell>
          <cell r="AB767" t="str">
            <v>WAAC007660200B300078</v>
          </cell>
          <cell r="AC767" t="str">
            <v>D2009118</v>
          </cell>
          <cell r="AD767">
            <v>529379</v>
          </cell>
          <cell r="AE767">
            <v>2.3E-2</v>
          </cell>
          <cell r="AF767">
            <v>1.78</v>
          </cell>
          <cell r="AG767">
            <v>3.1E-2</v>
          </cell>
          <cell r="AH767">
            <v>1.2999999999999999E-2</v>
          </cell>
          <cell r="AI767">
            <v>0.63</v>
          </cell>
          <cell r="AJ767">
            <v>18.2</v>
          </cell>
          <cell r="AK767">
            <v>8</v>
          </cell>
          <cell r="AL767">
            <v>6.6000000000000003E-2</v>
          </cell>
          <cell r="AM767">
            <v>0.33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  <cell r="AR767">
            <v>0.47</v>
          </cell>
          <cell r="AS767">
            <v>0</v>
          </cell>
          <cell r="AT767">
            <v>315</v>
          </cell>
          <cell r="AU767">
            <v>0</v>
          </cell>
          <cell r="AV767">
            <v>660</v>
          </cell>
          <cell r="AW767">
            <v>52</v>
          </cell>
          <cell r="AX767">
            <v>83</v>
          </cell>
          <cell r="AY767">
            <v>159</v>
          </cell>
          <cell r="AZ767">
            <v>1.3297000000000001</v>
          </cell>
          <cell r="BA767" t="str">
            <v>D2009118</v>
          </cell>
          <cell r="BB767" t="str">
            <v>CONFORM</v>
          </cell>
          <cell r="BC767" t="str">
            <v>CONFORM</v>
          </cell>
          <cell r="BD767" t="str">
            <v>CONFORM</v>
          </cell>
          <cell r="BE767" t="str">
            <v>CONFORM</v>
          </cell>
          <cell r="BF767" t="str">
            <v>CONFORM</v>
          </cell>
        </row>
        <row r="768">
          <cell r="A768">
            <v>44091</v>
          </cell>
          <cell r="B768" t="str">
            <v>D2009118-2</v>
          </cell>
          <cell r="C768" t="str">
            <v>076/20</v>
          </cell>
          <cell r="D768">
            <v>2</v>
          </cell>
          <cell r="E768">
            <v>44092</v>
          </cell>
          <cell r="F768" t="str">
            <v>DC</v>
          </cell>
          <cell r="G768" t="str">
            <v>On Time</v>
          </cell>
          <cell r="H768">
            <v>2407745651</v>
          </cell>
          <cell r="I768">
            <v>44090</v>
          </cell>
          <cell r="J768" t="str">
            <v>TKM</v>
          </cell>
          <cell r="K768" t="str">
            <v>D2009118</v>
          </cell>
          <cell r="L768">
            <v>2</v>
          </cell>
          <cell r="M768">
            <v>3275095</v>
          </cell>
          <cell r="N768">
            <v>529379</v>
          </cell>
          <cell r="O768" t="str">
            <v xml:space="preserve">1.4306 TP304L </v>
          </cell>
          <cell r="P768" t="str">
            <v>304L</v>
          </cell>
          <cell r="Q768">
            <v>3.016</v>
          </cell>
          <cell r="R768">
            <v>3.0129999999999999</v>
          </cell>
          <cell r="S768">
            <v>7.9000000000000001E-2</v>
          </cell>
          <cell r="T768">
            <v>7.7549999999999994E-2</v>
          </cell>
          <cell r="U768">
            <v>7.7399999999999997E-2</v>
          </cell>
          <cell r="V768">
            <v>7.7474999999999988E-2</v>
          </cell>
          <cell r="W768" t="str">
            <v>AB</v>
          </cell>
          <cell r="X768">
            <v>2072</v>
          </cell>
          <cell r="Y768">
            <v>2</v>
          </cell>
          <cell r="Z768">
            <v>343.50132625994695</v>
          </cell>
          <cell r="AA768" t="str">
            <v>3.016X0.079-304L</v>
          </cell>
          <cell r="AB768" t="str">
            <v>WAAC007660200B300078</v>
          </cell>
          <cell r="AC768" t="str">
            <v>D2009118</v>
          </cell>
          <cell r="AD768">
            <v>529379</v>
          </cell>
          <cell r="AE768">
            <v>2.3E-2</v>
          </cell>
          <cell r="AF768">
            <v>1.78</v>
          </cell>
          <cell r="AG768">
            <v>3.1E-2</v>
          </cell>
          <cell r="AH768">
            <v>1.2999999999999999E-2</v>
          </cell>
          <cell r="AI768">
            <v>0.63</v>
          </cell>
          <cell r="AJ768">
            <v>18.2</v>
          </cell>
          <cell r="AK768">
            <v>8</v>
          </cell>
          <cell r="AL768">
            <v>6.6000000000000003E-2</v>
          </cell>
          <cell r="AM768">
            <v>0.33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0.47</v>
          </cell>
          <cell r="AS768">
            <v>0</v>
          </cell>
          <cell r="AT768">
            <v>315</v>
          </cell>
          <cell r="AU768">
            <v>0</v>
          </cell>
          <cell r="AV768">
            <v>660</v>
          </cell>
          <cell r="AW768">
            <v>52</v>
          </cell>
          <cell r="AX768">
            <v>83</v>
          </cell>
          <cell r="AY768">
            <v>159</v>
          </cell>
          <cell r="AZ768">
            <v>1.3297000000000001</v>
          </cell>
          <cell r="BA768" t="str">
            <v>D2009118</v>
          </cell>
          <cell r="BB768" t="str">
            <v>CONFORM</v>
          </cell>
          <cell r="BC768" t="str">
            <v>CONFORM</v>
          </cell>
          <cell r="BD768" t="str">
            <v>CONFORM</v>
          </cell>
          <cell r="BE768" t="str">
            <v>CONFORM</v>
          </cell>
          <cell r="BF768" t="str">
            <v>CONFORM</v>
          </cell>
        </row>
        <row r="769">
          <cell r="A769">
            <v>44098</v>
          </cell>
          <cell r="B769" t="str">
            <v>D2009142-1</v>
          </cell>
          <cell r="C769" t="str">
            <v>075/20</v>
          </cell>
          <cell r="D769">
            <v>1</v>
          </cell>
          <cell r="E769">
            <v>44098</v>
          </cell>
          <cell r="F769" t="str">
            <v>DC</v>
          </cell>
          <cell r="G769" t="str">
            <v>On Time</v>
          </cell>
          <cell r="H769">
            <v>2407757952</v>
          </cell>
          <cell r="I769">
            <v>44097</v>
          </cell>
          <cell r="J769" t="str">
            <v>TKM</v>
          </cell>
          <cell r="K769" t="str">
            <v>D2009142</v>
          </cell>
          <cell r="L769">
            <v>1</v>
          </cell>
          <cell r="M769" t="str">
            <v>04H54ME</v>
          </cell>
          <cell r="N769" t="str">
            <v>H54M</v>
          </cell>
          <cell r="O769" t="str">
            <v xml:space="preserve">1.4306 TP304L </v>
          </cell>
          <cell r="P769" t="str">
            <v>304L</v>
          </cell>
          <cell r="Q769">
            <v>3.9489999999999998</v>
          </cell>
          <cell r="R769">
            <v>3.9460000000000002</v>
          </cell>
          <cell r="S769">
            <v>3.5000000000000003E-2</v>
          </cell>
          <cell r="T769">
            <v>3.4599999999999999E-2</v>
          </cell>
          <cell r="U769">
            <v>3.5400000000000001E-2</v>
          </cell>
          <cell r="V769">
            <v>3.5000000000000003E-2</v>
          </cell>
          <cell r="W769" t="str">
            <v>AB</v>
          </cell>
          <cell r="X769">
            <v>1632</v>
          </cell>
          <cell r="Y769">
            <v>5</v>
          </cell>
          <cell r="Z769">
            <v>82.653836414282097</v>
          </cell>
          <cell r="AA769" t="str">
            <v>3.949X0.035-304L</v>
          </cell>
          <cell r="AB769" t="str">
            <v>WAAC010030090B300100</v>
          </cell>
          <cell r="AC769" t="str">
            <v>D2009142</v>
          </cell>
          <cell r="AD769" t="str">
            <v>H54M</v>
          </cell>
          <cell r="AE769">
            <v>2.5999999999999999E-2</v>
          </cell>
          <cell r="AF769">
            <v>1.76</v>
          </cell>
          <cell r="AG769">
            <v>3.1E-2</v>
          </cell>
          <cell r="AH769">
            <v>1E-3</v>
          </cell>
          <cell r="AI769">
            <v>0.25</v>
          </cell>
          <cell r="AJ769">
            <v>18.2</v>
          </cell>
          <cell r="AK769">
            <v>8</v>
          </cell>
          <cell r="AL769">
            <v>7.3999999999999996E-2</v>
          </cell>
          <cell r="AM769">
            <v>0.45</v>
          </cell>
          <cell r="AN769">
            <v>0</v>
          </cell>
          <cell r="AO769">
            <v>0</v>
          </cell>
          <cell r="AP769">
            <v>0</v>
          </cell>
          <cell r="AQ769">
            <v>0</v>
          </cell>
          <cell r="AR769">
            <v>0.4</v>
          </cell>
          <cell r="AS769">
            <v>0</v>
          </cell>
          <cell r="AT769">
            <v>361</v>
          </cell>
          <cell r="AU769">
            <v>0</v>
          </cell>
          <cell r="AV769">
            <v>675</v>
          </cell>
          <cell r="AW769">
            <v>46</v>
          </cell>
          <cell r="AX769">
            <v>86</v>
          </cell>
          <cell r="AY769">
            <v>169</v>
          </cell>
          <cell r="AZ769">
            <v>1.34</v>
          </cell>
          <cell r="BA769" t="str">
            <v>D2009142</v>
          </cell>
          <cell r="BB769" t="str">
            <v>CONFORM</v>
          </cell>
          <cell r="BC769" t="str">
            <v>CONFORM</v>
          </cell>
          <cell r="BD769" t="str">
            <v>CONFORM</v>
          </cell>
          <cell r="BE769" t="str">
            <v>CONFORM</v>
          </cell>
          <cell r="BF769" t="str">
            <v>CONFORM</v>
          </cell>
        </row>
        <row r="770">
          <cell r="A770">
            <v>44098</v>
          </cell>
          <cell r="B770" t="str">
            <v>D2009142-2</v>
          </cell>
          <cell r="C770" t="str">
            <v>075/20</v>
          </cell>
          <cell r="D770">
            <v>1</v>
          </cell>
          <cell r="E770">
            <v>44098</v>
          </cell>
          <cell r="F770" t="str">
            <v>DC</v>
          </cell>
          <cell r="G770" t="str">
            <v>On Time</v>
          </cell>
          <cell r="H770">
            <v>2407757952</v>
          </cell>
          <cell r="I770">
            <v>44097</v>
          </cell>
          <cell r="J770" t="str">
            <v>TKM</v>
          </cell>
          <cell r="K770" t="str">
            <v>D2009142</v>
          </cell>
          <cell r="L770">
            <v>2</v>
          </cell>
          <cell r="M770" t="str">
            <v>04H54ME</v>
          </cell>
          <cell r="N770" t="str">
            <v>H54M</v>
          </cell>
          <cell r="O770" t="str">
            <v xml:space="preserve">1.4306 TP304L </v>
          </cell>
          <cell r="P770" t="str">
            <v>304L</v>
          </cell>
          <cell r="Q770">
            <v>3.9489999999999998</v>
          </cell>
          <cell r="R770">
            <v>3.9415</v>
          </cell>
          <cell r="S770">
            <v>3.5000000000000003E-2</v>
          </cell>
          <cell r="T770">
            <v>3.4950000000000002E-2</v>
          </cell>
          <cell r="U770">
            <v>3.5249999999999997E-2</v>
          </cell>
          <cell r="V770">
            <v>3.5099999999999999E-2</v>
          </cell>
          <cell r="W770" t="str">
            <v>AB</v>
          </cell>
          <cell r="X770">
            <v>4008</v>
          </cell>
          <cell r="Y770">
            <v>5</v>
          </cell>
          <cell r="Z770">
            <v>202.98809825272221</v>
          </cell>
          <cell r="AA770" t="str">
            <v>3.949X0.035-304L</v>
          </cell>
          <cell r="AB770" t="str">
            <v>WAAC010030090B300100</v>
          </cell>
          <cell r="AC770" t="str">
            <v>D2009142</v>
          </cell>
          <cell r="AD770" t="str">
            <v>H54M</v>
          </cell>
          <cell r="AE770">
            <v>2.5999999999999999E-2</v>
          </cell>
          <cell r="AF770">
            <v>1.76</v>
          </cell>
          <cell r="AG770">
            <v>3.1E-2</v>
          </cell>
          <cell r="AH770">
            <v>1E-3</v>
          </cell>
          <cell r="AI770">
            <v>0.25</v>
          </cell>
          <cell r="AJ770">
            <v>18.2</v>
          </cell>
          <cell r="AK770">
            <v>8</v>
          </cell>
          <cell r="AL770">
            <v>7.3999999999999996E-2</v>
          </cell>
          <cell r="AM770">
            <v>0.45</v>
          </cell>
          <cell r="AN770">
            <v>0</v>
          </cell>
          <cell r="AO770">
            <v>0</v>
          </cell>
          <cell r="AP770">
            <v>0</v>
          </cell>
          <cell r="AQ770">
            <v>0</v>
          </cell>
          <cell r="AR770">
            <v>0.4</v>
          </cell>
          <cell r="AS770">
            <v>0</v>
          </cell>
          <cell r="AT770">
            <v>361</v>
          </cell>
          <cell r="AU770">
            <v>0</v>
          </cell>
          <cell r="AV770">
            <v>675</v>
          </cell>
          <cell r="AW770">
            <v>46</v>
          </cell>
          <cell r="AX770">
            <v>86</v>
          </cell>
          <cell r="AY770">
            <v>169</v>
          </cell>
          <cell r="AZ770">
            <v>1.34</v>
          </cell>
          <cell r="BA770" t="str">
            <v>D2009142</v>
          </cell>
          <cell r="BB770" t="str">
            <v>CONFORM</v>
          </cell>
          <cell r="BC770" t="str">
            <v>CONFORM</v>
          </cell>
          <cell r="BD770" t="str">
            <v>CONFORM</v>
          </cell>
          <cell r="BE770" t="str">
            <v>CONFORM</v>
          </cell>
          <cell r="BF770" t="str">
            <v>CONFORM</v>
          </cell>
        </row>
        <row r="771">
          <cell r="A771">
            <v>44098</v>
          </cell>
          <cell r="B771" t="str">
            <v>D2009142-3</v>
          </cell>
          <cell r="C771" t="str">
            <v>075/20</v>
          </cell>
          <cell r="D771">
            <v>1</v>
          </cell>
          <cell r="E771">
            <v>44098</v>
          </cell>
          <cell r="F771" t="str">
            <v>DC</v>
          </cell>
          <cell r="G771" t="str">
            <v>On Time</v>
          </cell>
          <cell r="H771">
            <v>2407757952</v>
          </cell>
          <cell r="I771">
            <v>44097</v>
          </cell>
          <cell r="J771" t="str">
            <v>TKM</v>
          </cell>
          <cell r="K771" t="str">
            <v>D2009142</v>
          </cell>
          <cell r="L771">
            <v>3</v>
          </cell>
          <cell r="M771" t="str">
            <v>04H54ME</v>
          </cell>
          <cell r="N771" t="str">
            <v>H54M</v>
          </cell>
          <cell r="O771" t="str">
            <v xml:space="preserve">1.4306 TP304L </v>
          </cell>
          <cell r="P771" t="str">
            <v>304L</v>
          </cell>
          <cell r="Q771">
            <v>3.9489999999999998</v>
          </cell>
          <cell r="R771">
            <v>3.9540000000000002</v>
          </cell>
          <cell r="S771">
            <v>3.5000000000000003E-2</v>
          </cell>
          <cell r="T771">
            <v>3.44E-2</v>
          </cell>
          <cell r="U771">
            <v>3.5349999999999999E-2</v>
          </cell>
          <cell r="V771">
            <v>3.4875000000000003E-2</v>
          </cell>
          <cell r="W771" t="str">
            <v>AB</v>
          </cell>
          <cell r="X771">
            <v>4042</v>
          </cell>
          <cell r="Y771">
            <v>5</v>
          </cell>
          <cell r="Z771">
            <v>204.71005317801976</v>
          </cell>
          <cell r="AA771" t="str">
            <v>3.949X0.035-304L</v>
          </cell>
          <cell r="AB771" t="str">
            <v>WAAC010030090B300100</v>
          </cell>
          <cell r="AC771" t="str">
            <v>D2009142</v>
          </cell>
          <cell r="AD771" t="str">
            <v>H54M</v>
          </cell>
          <cell r="AE771">
            <v>2.5999999999999999E-2</v>
          </cell>
          <cell r="AF771">
            <v>1.76</v>
          </cell>
          <cell r="AG771">
            <v>3.1E-2</v>
          </cell>
          <cell r="AH771">
            <v>1E-3</v>
          </cell>
          <cell r="AI771">
            <v>0.25</v>
          </cell>
          <cell r="AJ771">
            <v>18.2</v>
          </cell>
          <cell r="AK771">
            <v>8</v>
          </cell>
          <cell r="AL771">
            <v>7.3999999999999996E-2</v>
          </cell>
          <cell r="AM771">
            <v>0.45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0.4</v>
          </cell>
          <cell r="AS771">
            <v>0</v>
          </cell>
          <cell r="AT771">
            <v>361</v>
          </cell>
          <cell r="AU771">
            <v>0</v>
          </cell>
          <cell r="AV771">
            <v>675</v>
          </cell>
          <cell r="AW771">
            <v>46</v>
          </cell>
          <cell r="AX771">
            <v>86</v>
          </cell>
          <cell r="AY771">
            <v>169</v>
          </cell>
          <cell r="AZ771">
            <v>1.34</v>
          </cell>
          <cell r="BA771" t="str">
            <v>D2009142</v>
          </cell>
          <cell r="BB771" t="str">
            <v>CONFORM</v>
          </cell>
          <cell r="BC771" t="str">
            <v>CONFORM</v>
          </cell>
          <cell r="BD771" t="str">
            <v>CONFORM</v>
          </cell>
          <cell r="BE771" t="str">
            <v>CONFORM</v>
          </cell>
          <cell r="BF771" t="str">
            <v>CONFORM</v>
          </cell>
        </row>
        <row r="772">
          <cell r="A772">
            <v>44102</v>
          </cell>
          <cell r="B772" t="str">
            <v>D2009150-1</v>
          </cell>
          <cell r="C772" t="str">
            <v>078/20</v>
          </cell>
          <cell r="D772">
            <v>1</v>
          </cell>
          <cell r="E772">
            <v>44102</v>
          </cell>
          <cell r="F772" t="str">
            <v>DC</v>
          </cell>
          <cell r="G772" t="str">
            <v>On Time</v>
          </cell>
          <cell r="H772">
            <v>2407765306</v>
          </cell>
          <cell r="I772">
            <v>44102</v>
          </cell>
          <cell r="J772" t="str">
            <v>TKM</v>
          </cell>
          <cell r="K772" t="str">
            <v>D2009150</v>
          </cell>
          <cell r="L772">
            <v>1</v>
          </cell>
          <cell r="M772" t="str">
            <v>04F61VB</v>
          </cell>
          <cell r="N772" t="str">
            <v>F61V</v>
          </cell>
          <cell r="O772" t="str">
            <v xml:space="preserve">1.4401/1.4404 TP316/316L </v>
          </cell>
          <cell r="P772" t="str">
            <v>316L</v>
          </cell>
          <cell r="Q772">
            <v>3.0550000000000002</v>
          </cell>
          <cell r="R772">
            <v>3.0465</v>
          </cell>
          <cell r="S772">
            <v>6.7000000000000004E-2</v>
          </cell>
          <cell r="T772">
            <v>6.9849999999999995E-2</v>
          </cell>
          <cell r="U772">
            <v>6.8449999999999997E-2</v>
          </cell>
          <cell r="V772">
            <v>6.9149999999999989E-2</v>
          </cell>
          <cell r="W772" t="str">
            <v>AB</v>
          </cell>
          <cell r="X772">
            <v>5246</v>
          </cell>
          <cell r="Y772">
            <v>5</v>
          </cell>
          <cell r="Z772">
            <v>343.43698854337151</v>
          </cell>
          <cell r="AA772" t="str">
            <v>3.055X0.067-316L</v>
          </cell>
          <cell r="AB772" t="str">
            <v>WAAF007760170B300018</v>
          </cell>
          <cell r="AC772" t="str">
            <v>D2009150</v>
          </cell>
          <cell r="AD772" t="str">
            <v>F61V</v>
          </cell>
          <cell r="AE772">
            <v>1.7999999999999999E-2</v>
          </cell>
          <cell r="AF772">
            <v>1.27</v>
          </cell>
          <cell r="AG772">
            <v>2.9000000000000001E-2</v>
          </cell>
          <cell r="AH772">
            <v>2E-3</v>
          </cell>
          <cell r="AI772">
            <v>0.31</v>
          </cell>
          <cell r="AJ772">
            <v>17</v>
          </cell>
          <cell r="AK772">
            <v>10.1</v>
          </cell>
          <cell r="AL772">
            <v>0.05</v>
          </cell>
          <cell r="AM772">
            <v>2.0299999999999998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0.43</v>
          </cell>
          <cell r="AS772">
            <v>0</v>
          </cell>
          <cell r="AT772">
            <v>299</v>
          </cell>
          <cell r="AU772">
            <v>0</v>
          </cell>
          <cell r="AV772">
            <v>618</v>
          </cell>
          <cell r="AW772">
            <v>53</v>
          </cell>
          <cell r="AX772">
            <v>81</v>
          </cell>
          <cell r="AY772">
            <v>153</v>
          </cell>
          <cell r="AZ772">
            <v>1.72</v>
          </cell>
          <cell r="BA772" t="str">
            <v>D2009150</v>
          </cell>
          <cell r="BB772" t="str">
            <v>CONFORM</v>
          </cell>
          <cell r="BC772" t="str">
            <v>CONFORM</v>
          </cell>
          <cell r="BD772" t="str">
            <v>CONFORM</v>
          </cell>
          <cell r="BE772" t="str">
            <v>CONFORM</v>
          </cell>
          <cell r="BF772" t="str">
            <v>CONFORM</v>
          </cell>
        </row>
        <row r="773">
          <cell r="A773">
            <v>44102</v>
          </cell>
          <cell r="B773" t="str">
            <v>D2009150-2</v>
          </cell>
          <cell r="C773" t="str">
            <v>078/20</v>
          </cell>
          <cell r="D773">
            <v>1</v>
          </cell>
          <cell r="E773">
            <v>44102</v>
          </cell>
          <cell r="F773" t="str">
            <v>DC</v>
          </cell>
          <cell r="G773" t="str">
            <v>On Time</v>
          </cell>
          <cell r="H773">
            <v>2407765306</v>
          </cell>
          <cell r="I773">
            <v>44102</v>
          </cell>
          <cell r="J773" t="str">
            <v>TKM</v>
          </cell>
          <cell r="K773" t="str">
            <v>D2009150</v>
          </cell>
          <cell r="L773">
            <v>2</v>
          </cell>
          <cell r="M773" t="str">
            <v>04F61VB</v>
          </cell>
          <cell r="N773" t="str">
            <v>F61V</v>
          </cell>
          <cell r="O773" t="str">
            <v xml:space="preserve">1.4401/1.4404 TP316/316L </v>
          </cell>
          <cell r="P773" t="str">
            <v>316L</v>
          </cell>
          <cell r="Q773">
            <v>3.0550000000000002</v>
          </cell>
          <cell r="R773">
            <v>3.0495000000000001</v>
          </cell>
          <cell r="S773">
            <v>6.7000000000000004E-2</v>
          </cell>
          <cell r="T773">
            <v>6.8949999999999997E-2</v>
          </cell>
          <cell r="U773">
            <v>6.8500000000000005E-2</v>
          </cell>
          <cell r="V773">
            <v>6.8725000000000008E-2</v>
          </cell>
          <cell r="W773" t="str">
            <v>AB</v>
          </cell>
          <cell r="X773">
            <v>5260</v>
          </cell>
          <cell r="Y773">
            <v>5</v>
          </cell>
          <cell r="Z773">
            <v>344.35351882160393</v>
          </cell>
          <cell r="AA773" t="str">
            <v>3.055X0.067-316L</v>
          </cell>
          <cell r="AB773" t="str">
            <v>WAAF007760170B300018</v>
          </cell>
          <cell r="AC773" t="str">
            <v>D2009150</v>
          </cell>
          <cell r="AD773" t="str">
            <v>F61V</v>
          </cell>
          <cell r="AE773">
            <v>1.7999999999999999E-2</v>
          </cell>
          <cell r="AF773">
            <v>1.27</v>
          </cell>
          <cell r="AG773">
            <v>2.9000000000000001E-2</v>
          </cell>
          <cell r="AH773">
            <v>2E-3</v>
          </cell>
          <cell r="AI773">
            <v>0.31</v>
          </cell>
          <cell r="AJ773">
            <v>17</v>
          </cell>
          <cell r="AK773">
            <v>10.1</v>
          </cell>
          <cell r="AL773">
            <v>0.05</v>
          </cell>
          <cell r="AM773">
            <v>2.0299999999999998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0.43</v>
          </cell>
          <cell r="AS773">
            <v>0</v>
          </cell>
          <cell r="AT773">
            <v>299</v>
          </cell>
          <cell r="AU773">
            <v>0</v>
          </cell>
          <cell r="AV773">
            <v>618</v>
          </cell>
          <cell r="AW773">
            <v>53</v>
          </cell>
          <cell r="AX773">
            <v>81</v>
          </cell>
          <cell r="AY773">
            <v>153</v>
          </cell>
          <cell r="AZ773">
            <v>1.72</v>
          </cell>
          <cell r="BA773" t="str">
            <v>D2009150</v>
          </cell>
          <cell r="BB773" t="str">
            <v>CONFORM</v>
          </cell>
          <cell r="BC773" t="str">
            <v>CONFORM</v>
          </cell>
          <cell r="BD773" t="str">
            <v>CONFORM</v>
          </cell>
          <cell r="BE773" t="str">
            <v>CONFORM</v>
          </cell>
          <cell r="BF773" t="str">
            <v>CONFORM</v>
          </cell>
        </row>
        <row r="774">
          <cell r="A774">
            <v>44102</v>
          </cell>
          <cell r="B774" t="str">
            <v>D2009150-3</v>
          </cell>
          <cell r="C774" t="str">
            <v>078/20</v>
          </cell>
          <cell r="D774">
            <v>1</v>
          </cell>
          <cell r="E774">
            <v>44102</v>
          </cell>
          <cell r="F774" t="str">
            <v>DC</v>
          </cell>
          <cell r="G774" t="str">
            <v>On Time</v>
          </cell>
          <cell r="H774">
            <v>2407765306</v>
          </cell>
          <cell r="I774">
            <v>44102</v>
          </cell>
          <cell r="J774" t="str">
            <v>TKM</v>
          </cell>
          <cell r="K774" t="str">
            <v>D2009150</v>
          </cell>
          <cell r="L774">
            <v>3</v>
          </cell>
          <cell r="M774" t="str">
            <v>04F61VB</v>
          </cell>
          <cell r="N774" t="str">
            <v>F61V</v>
          </cell>
          <cell r="O774" t="str">
            <v xml:space="preserve">1.4401/1.4404 TP316/316L </v>
          </cell>
          <cell r="P774" t="str">
            <v>316L</v>
          </cell>
          <cell r="Q774">
            <v>3.0550000000000002</v>
          </cell>
          <cell r="R774">
            <v>3.0470000000000002</v>
          </cell>
          <cell r="S774">
            <v>6.7000000000000004E-2</v>
          </cell>
          <cell r="T774">
            <v>6.9250000000000006E-2</v>
          </cell>
          <cell r="U774">
            <v>6.7949999999999997E-2</v>
          </cell>
          <cell r="V774">
            <v>6.8599999999999994E-2</v>
          </cell>
          <cell r="W774" t="str">
            <v>AB</v>
          </cell>
          <cell r="X774">
            <v>5250</v>
          </cell>
          <cell r="Y774">
            <v>5</v>
          </cell>
          <cell r="Z774">
            <v>343.69885433715217</v>
          </cell>
          <cell r="AA774" t="str">
            <v>3.055X0.067-316L</v>
          </cell>
          <cell r="AB774" t="str">
            <v>WAAF007760170B300018</v>
          </cell>
          <cell r="AC774" t="str">
            <v>D2009150</v>
          </cell>
          <cell r="AD774" t="str">
            <v>F61V</v>
          </cell>
          <cell r="AE774">
            <v>1.7999999999999999E-2</v>
          </cell>
          <cell r="AF774">
            <v>1.27</v>
          </cell>
          <cell r="AG774">
            <v>2.9000000000000001E-2</v>
          </cell>
          <cell r="AH774">
            <v>2E-3</v>
          </cell>
          <cell r="AI774">
            <v>0.31</v>
          </cell>
          <cell r="AJ774">
            <v>17</v>
          </cell>
          <cell r="AK774">
            <v>10.1</v>
          </cell>
          <cell r="AL774">
            <v>0.05</v>
          </cell>
          <cell r="AM774">
            <v>2.0299999999999998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0.43</v>
          </cell>
          <cell r="AS774">
            <v>0</v>
          </cell>
          <cell r="AT774">
            <v>299</v>
          </cell>
          <cell r="AU774">
            <v>0</v>
          </cell>
          <cell r="AV774">
            <v>618</v>
          </cell>
          <cell r="AW774">
            <v>53</v>
          </cell>
          <cell r="AX774">
            <v>81</v>
          </cell>
          <cell r="AY774">
            <v>153</v>
          </cell>
          <cell r="AZ774">
            <v>1.72</v>
          </cell>
          <cell r="BA774" t="str">
            <v>D2009150</v>
          </cell>
          <cell r="BB774" t="str">
            <v>CONFORM</v>
          </cell>
          <cell r="BC774" t="str">
            <v>CONFORM</v>
          </cell>
          <cell r="BD774" t="str">
            <v>CONFORM</v>
          </cell>
          <cell r="BE774" t="str">
            <v>CONFORM</v>
          </cell>
          <cell r="BF774" t="str">
            <v>CONFORM</v>
          </cell>
        </row>
        <row r="775">
          <cell r="A775">
            <v>44103</v>
          </cell>
          <cell r="B775" t="str">
            <v>D2009159-1</v>
          </cell>
          <cell r="C775" t="str">
            <v>078/20</v>
          </cell>
          <cell r="D775">
            <v>3</v>
          </cell>
          <cell r="E775">
            <v>44103</v>
          </cell>
          <cell r="F775" t="str">
            <v>DC</v>
          </cell>
          <cell r="G775" t="str">
            <v>On Time</v>
          </cell>
          <cell r="H775">
            <v>2407769434</v>
          </cell>
          <cell r="I775">
            <v>44103</v>
          </cell>
          <cell r="J775" t="str">
            <v>TKM</v>
          </cell>
          <cell r="K775" t="str">
            <v>D2009159</v>
          </cell>
          <cell r="L775">
            <v>1</v>
          </cell>
          <cell r="M775" t="str">
            <v>05F71XD</v>
          </cell>
          <cell r="N775" t="str">
            <v>F71X</v>
          </cell>
          <cell r="O775" t="str">
            <v xml:space="preserve">1.4306 TP304L </v>
          </cell>
          <cell r="P775" t="str">
            <v>304L</v>
          </cell>
          <cell r="Q775">
            <v>1.913</v>
          </cell>
          <cell r="R775">
            <v>1.9079999999999999</v>
          </cell>
          <cell r="S775">
            <v>4.7E-2</v>
          </cell>
          <cell r="T775">
            <v>4.9549999999999997E-2</v>
          </cell>
          <cell r="U775">
            <v>4.895E-2</v>
          </cell>
          <cell r="V775">
            <v>4.9250000000000002E-2</v>
          </cell>
          <cell r="W775" t="str">
            <v>AB</v>
          </cell>
          <cell r="X775">
            <v>2756</v>
          </cell>
          <cell r="Y775">
            <v>5</v>
          </cell>
          <cell r="Z775">
            <v>288.13382122320962</v>
          </cell>
          <cell r="AA775" t="str">
            <v>1.913X0.047-304L</v>
          </cell>
          <cell r="AB775" t="str">
            <v>WAAC004860119B300023</v>
          </cell>
          <cell r="AC775" t="str">
            <v>D2009159</v>
          </cell>
          <cell r="AD775" t="str">
            <v>F71X</v>
          </cell>
          <cell r="AE775">
            <v>2.3E-2</v>
          </cell>
          <cell r="AF775">
            <v>1.79</v>
          </cell>
          <cell r="AG775">
            <v>0.03</v>
          </cell>
          <cell r="AH775">
            <v>3.0000000000000001E-3</v>
          </cell>
          <cell r="AI775">
            <v>0.28000000000000003</v>
          </cell>
          <cell r="AJ775">
            <v>18</v>
          </cell>
          <cell r="AK775">
            <v>8</v>
          </cell>
          <cell r="AL775">
            <v>0.77</v>
          </cell>
          <cell r="AM775">
            <v>0.43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0.46</v>
          </cell>
          <cell r="AS775">
            <v>0</v>
          </cell>
          <cell r="AT775">
            <v>324</v>
          </cell>
          <cell r="AU775">
            <v>0</v>
          </cell>
          <cell r="AV775">
            <v>655</v>
          </cell>
          <cell r="AW775">
            <v>48</v>
          </cell>
          <cell r="AX775">
            <v>86</v>
          </cell>
          <cell r="AY775">
            <v>169</v>
          </cell>
          <cell r="AZ775">
            <v>1.33</v>
          </cell>
          <cell r="BA775" t="str">
            <v>D2009159</v>
          </cell>
          <cell r="BB775" t="str">
            <v>CONFORM</v>
          </cell>
          <cell r="BC775" t="str">
            <v>CONFORM</v>
          </cell>
          <cell r="BD775" t="str">
            <v>CONFORM</v>
          </cell>
          <cell r="BE775" t="str">
            <v>CONFORM</v>
          </cell>
          <cell r="BF775" t="str">
            <v>CONFORM</v>
          </cell>
        </row>
        <row r="776">
          <cell r="A776">
            <v>44103</v>
          </cell>
          <cell r="B776" t="str">
            <v>D2009159-2</v>
          </cell>
          <cell r="C776" t="str">
            <v>078/20</v>
          </cell>
          <cell r="D776">
            <v>3</v>
          </cell>
          <cell r="E776">
            <v>44103</v>
          </cell>
          <cell r="F776" t="str">
            <v>DC</v>
          </cell>
          <cell r="G776" t="str">
            <v>On Time</v>
          </cell>
          <cell r="H776">
            <v>2407769434</v>
          </cell>
          <cell r="I776">
            <v>44103</v>
          </cell>
          <cell r="J776" t="str">
            <v>TKM</v>
          </cell>
          <cell r="K776" t="str">
            <v>D2009159</v>
          </cell>
          <cell r="L776">
            <v>2</v>
          </cell>
          <cell r="M776" t="str">
            <v>05F71XD</v>
          </cell>
          <cell r="N776" t="str">
            <v>F71X</v>
          </cell>
          <cell r="O776" t="str">
            <v xml:space="preserve">1.4306 TP304L </v>
          </cell>
          <cell r="P776" t="str">
            <v>304L</v>
          </cell>
          <cell r="Q776">
            <v>1.913</v>
          </cell>
          <cell r="R776">
            <v>1.9075</v>
          </cell>
          <cell r="S776">
            <v>4.7E-2</v>
          </cell>
          <cell r="T776">
            <v>4.9549999999999997E-2</v>
          </cell>
          <cell r="U776">
            <v>4.9549999999999997E-2</v>
          </cell>
          <cell r="V776">
            <v>4.9549999999999997E-2</v>
          </cell>
          <cell r="W776" t="str">
            <v>AB</v>
          </cell>
          <cell r="X776">
            <v>3262</v>
          </cell>
          <cell r="Y776">
            <v>6</v>
          </cell>
          <cell r="Z776">
            <v>284.19585293605155</v>
          </cell>
          <cell r="AA776" t="str">
            <v>1.913X0.047-304L</v>
          </cell>
          <cell r="AB776" t="str">
            <v>WAAC004860119B300023</v>
          </cell>
          <cell r="AC776" t="str">
            <v>D2009159</v>
          </cell>
          <cell r="AD776" t="str">
            <v>F71X</v>
          </cell>
          <cell r="AE776">
            <v>2.3E-2</v>
          </cell>
          <cell r="AF776">
            <v>1.79</v>
          </cell>
          <cell r="AG776">
            <v>0.03</v>
          </cell>
          <cell r="AH776">
            <v>3.0000000000000001E-3</v>
          </cell>
          <cell r="AI776">
            <v>0.28000000000000003</v>
          </cell>
          <cell r="AJ776">
            <v>18</v>
          </cell>
          <cell r="AK776">
            <v>8</v>
          </cell>
          <cell r="AL776">
            <v>0.77</v>
          </cell>
          <cell r="AM776">
            <v>0.43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0.46</v>
          </cell>
          <cell r="AS776">
            <v>0</v>
          </cell>
          <cell r="AT776">
            <v>324</v>
          </cell>
          <cell r="AU776">
            <v>0</v>
          </cell>
          <cell r="AV776">
            <v>655</v>
          </cell>
          <cell r="AW776">
            <v>48</v>
          </cell>
          <cell r="AX776">
            <v>86</v>
          </cell>
          <cell r="AY776">
            <v>169</v>
          </cell>
          <cell r="AZ776">
            <v>1.33</v>
          </cell>
          <cell r="BA776" t="str">
            <v>D2009159</v>
          </cell>
          <cell r="BB776" t="str">
            <v>CONFORM</v>
          </cell>
          <cell r="BC776" t="str">
            <v>CONFORM</v>
          </cell>
          <cell r="BD776" t="str">
            <v>CONFORM</v>
          </cell>
          <cell r="BE776" t="str">
            <v>CONFORM</v>
          </cell>
          <cell r="BF776" t="str">
            <v>CONFORM</v>
          </cell>
        </row>
        <row r="777">
          <cell r="A777">
            <v>44103</v>
          </cell>
          <cell r="B777" t="str">
            <v>D2009159-3</v>
          </cell>
          <cell r="C777" t="str">
            <v>078/20</v>
          </cell>
          <cell r="D777">
            <v>3</v>
          </cell>
          <cell r="E777">
            <v>44103</v>
          </cell>
          <cell r="F777" t="str">
            <v>DC</v>
          </cell>
          <cell r="G777" t="str">
            <v>On Time</v>
          </cell>
          <cell r="H777">
            <v>2407769434</v>
          </cell>
          <cell r="I777">
            <v>44103</v>
          </cell>
          <cell r="J777" t="str">
            <v>TKM</v>
          </cell>
          <cell r="K777" t="str">
            <v>D2009159</v>
          </cell>
          <cell r="L777">
            <v>3</v>
          </cell>
          <cell r="M777" t="str">
            <v>05F71XD</v>
          </cell>
          <cell r="N777" t="str">
            <v>F71X</v>
          </cell>
          <cell r="O777" t="str">
            <v xml:space="preserve">1.4306 TP304L </v>
          </cell>
          <cell r="P777" t="str">
            <v>304L</v>
          </cell>
          <cell r="Q777">
            <v>1.913</v>
          </cell>
          <cell r="R777">
            <v>1.9125000000000001</v>
          </cell>
          <cell r="S777">
            <v>4.7E-2</v>
          </cell>
          <cell r="T777">
            <v>4.9299999999999997E-2</v>
          </cell>
          <cell r="U777">
            <v>4.7849999999999997E-2</v>
          </cell>
          <cell r="V777">
            <v>4.8574999999999993E-2</v>
          </cell>
          <cell r="W777" t="str">
            <v>AB</v>
          </cell>
          <cell r="X777">
            <v>3070</v>
          </cell>
          <cell r="Y777">
            <v>6</v>
          </cell>
          <cell r="Z777">
            <v>267.4682000348493</v>
          </cell>
          <cell r="AA777" t="str">
            <v>1.913X0.047-304L</v>
          </cell>
          <cell r="AB777" t="str">
            <v>WAAC004860119B300023</v>
          </cell>
          <cell r="AC777" t="str">
            <v>D2009159</v>
          </cell>
          <cell r="AD777" t="str">
            <v>F71X</v>
          </cell>
          <cell r="AE777">
            <v>2.3E-2</v>
          </cell>
          <cell r="AF777">
            <v>1.79</v>
          </cell>
          <cell r="AG777">
            <v>0.03</v>
          </cell>
          <cell r="AH777">
            <v>3.0000000000000001E-3</v>
          </cell>
          <cell r="AI777">
            <v>0.28000000000000003</v>
          </cell>
          <cell r="AJ777">
            <v>18</v>
          </cell>
          <cell r="AK777">
            <v>8</v>
          </cell>
          <cell r="AL777">
            <v>0.77</v>
          </cell>
          <cell r="AM777">
            <v>0.43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0.46</v>
          </cell>
          <cell r="AS777">
            <v>0</v>
          </cell>
          <cell r="AT777">
            <v>324</v>
          </cell>
          <cell r="AU777">
            <v>0</v>
          </cell>
          <cell r="AV777">
            <v>655</v>
          </cell>
          <cell r="AW777">
            <v>48</v>
          </cell>
          <cell r="AX777">
            <v>86</v>
          </cell>
          <cell r="AY777">
            <v>169</v>
          </cell>
          <cell r="AZ777">
            <v>1.33</v>
          </cell>
          <cell r="BA777" t="str">
            <v>D2009159</v>
          </cell>
          <cell r="BB777" t="str">
            <v>CONFORM</v>
          </cell>
          <cell r="BC777" t="str">
            <v>CONFORM</v>
          </cell>
          <cell r="BD777" t="str">
            <v>CONFORM</v>
          </cell>
          <cell r="BE777" t="str">
            <v>CONFORM</v>
          </cell>
          <cell r="BF777" t="str">
            <v>CONFORM</v>
          </cell>
        </row>
        <row r="778">
          <cell r="A778">
            <v>44103</v>
          </cell>
          <cell r="B778" t="str">
            <v>D2009160-1</v>
          </cell>
          <cell r="C778" t="str">
            <v>078/20</v>
          </cell>
          <cell r="D778">
            <v>3</v>
          </cell>
          <cell r="E778">
            <v>44103</v>
          </cell>
          <cell r="F778" t="str">
            <v>DC</v>
          </cell>
          <cell r="G778" t="str">
            <v>On Time</v>
          </cell>
          <cell r="H778">
            <v>2407769434</v>
          </cell>
          <cell r="I778">
            <v>44103</v>
          </cell>
          <cell r="J778" t="str">
            <v>TKM</v>
          </cell>
          <cell r="K778" t="str">
            <v>D2009160</v>
          </cell>
          <cell r="L778">
            <v>1</v>
          </cell>
          <cell r="M778" t="str">
            <v>01F54KD</v>
          </cell>
          <cell r="N778" t="str">
            <v>F54K</v>
          </cell>
          <cell r="O778" t="str">
            <v xml:space="preserve">1.4306 TP304L </v>
          </cell>
          <cell r="P778" t="str">
            <v>304L</v>
          </cell>
          <cell r="Q778">
            <v>1.913</v>
          </cell>
          <cell r="R778">
            <v>1.9085000000000001</v>
          </cell>
          <cell r="S778">
            <v>4.7E-2</v>
          </cell>
          <cell r="T778">
            <v>4.82E-2</v>
          </cell>
          <cell r="U778">
            <v>4.65E-2</v>
          </cell>
          <cell r="V778">
            <v>4.7350000000000003E-2</v>
          </cell>
          <cell r="W778" t="str">
            <v>AB</v>
          </cell>
          <cell r="X778">
            <v>1702</v>
          </cell>
          <cell r="Y778">
            <v>5</v>
          </cell>
          <cell r="Z778">
            <v>177.94040773653944</v>
          </cell>
          <cell r="AA778" t="str">
            <v>1.913X0.047-304L</v>
          </cell>
          <cell r="AB778" t="str">
            <v>WAAC004860119B300023</v>
          </cell>
          <cell r="AC778" t="str">
            <v>D2009160</v>
          </cell>
          <cell r="AD778" t="str">
            <v>F54K</v>
          </cell>
          <cell r="AE778">
            <v>1.7000000000000001E-2</v>
          </cell>
          <cell r="AF778">
            <v>1.82</v>
          </cell>
          <cell r="AG778">
            <v>2.9000000000000001E-2</v>
          </cell>
          <cell r="AH778">
            <v>3.0000000000000001E-3</v>
          </cell>
          <cell r="AI778">
            <v>0.3</v>
          </cell>
          <cell r="AJ778">
            <v>18</v>
          </cell>
          <cell r="AK778">
            <v>8</v>
          </cell>
          <cell r="AL778">
            <v>7.4999999999999997E-2</v>
          </cell>
          <cell r="AM778">
            <v>0.39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0.43</v>
          </cell>
          <cell r="AS778">
            <v>0</v>
          </cell>
          <cell r="AT778">
            <v>319</v>
          </cell>
          <cell r="AU778">
            <v>0</v>
          </cell>
          <cell r="AV778">
            <v>665</v>
          </cell>
          <cell r="AW778">
            <v>54</v>
          </cell>
          <cell r="AX778">
            <v>85</v>
          </cell>
          <cell r="AY778">
            <v>165</v>
          </cell>
          <cell r="AZ778">
            <v>1.33</v>
          </cell>
          <cell r="BA778" t="str">
            <v>D2009160</v>
          </cell>
          <cell r="BB778" t="str">
            <v>CONFORM</v>
          </cell>
          <cell r="BC778" t="str">
            <v>CONFORM</v>
          </cell>
          <cell r="BD778" t="str">
            <v>CONFORM</v>
          </cell>
          <cell r="BE778" t="str">
            <v>CONFORM</v>
          </cell>
          <cell r="BF778" t="str">
            <v>CONFORM</v>
          </cell>
        </row>
        <row r="779">
          <cell r="A779">
            <v>44103</v>
          </cell>
          <cell r="B779" t="str">
            <v>D2009160-2</v>
          </cell>
          <cell r="C779" t="str">
            <v>078/20</v>
          </cell>
          <cell r="D779">
            <v>3</v>
          </cell>
          <cell r="E779">
            <v>44103</v>
          </cell>
          <cell r="F779" t="str">
            <v>DC</v>
          </cell>
          <cell r="G779" t="str">
            <v>On Time</v>
          </cell>
          <cell r="H779">
            <v>2407769434</v>
          </cell>
          <cell r="I779">
            <v>44103</v>
          </cell>
          <cell r="J779" t="str">
            <v>TKM</v>
          </cell>
          <cell r="K779" t="str">
            <v>D2009160</v>
          </cell>
          <cell r="L779">
            <v>2</v>
          </cell>
          <cell r="M779" t="str">
            <v>01F54KD</v>
          </cell>
          <cell r="N779" t="str">
            <v>F54K</v>
          </cell>
          <cell r="O779" t="str">
            <v xml:space="preserve">1.4306 TP304L </v>
          </cell>
          <cell r="P779" t="str">
            <v>304L</v>
          </cell>
          <cell r="Q779">
            <v>1.913</v>
          </cell>
          <cell r="R779">
            <v>1.9019999999999999</v>
          </cell>
          <cell r="S779">
            <v>4.7E-2</v>
          </cell>
          <cell r="T779">
            <v>4.7050000000000002E-2</v>
          </cell>
          <cell r="U779">
            <v>4.7E-2</v>
          </cell>
          <cell r="V779">
            <v>4.7024999999999997E-2</v>
          </cell>
          <cell r="W779" t="str">
            <v>AB</v>
          </cell>
          <cell r="X779">
            <v>2120</v>
          </cell>
          <cell r="Y779">
            <v>6</v>
          </cell>
          <cell r="Z779">
            <v>184.70116745077539</v>
          </cell>
          <cell r="AA779" t="str">
            <v>1.913X0.047-304L</v>
          </cell>
          <cell r="AB779" t="str">
            <v>WAAC004860119B300023</v>
          </cell>
          <cell r="AC779" t="str">
            <v>D2009160</v>
          </cell>
          <cell r="AD779" t="str">
            <v>F54K</v>
          </cell>
          <cell r="AE779">
            <v>1.7000000000000001E-2</v>
          </cell>
          <cell r="AF779">
            <v>1.82</v>
          </cell>
          <cell r="AG779">
            <v>2.9000000000000001E-2</v>
          </cell>
          <cell r="AH779">
            <v>3.0000000000000001E-3</v>
          </cell>
          <cell r="AI779">
            <v>0.3</v>
          </cell>
          <cell r="AJ779">
            <v>18</v>
          </cell>
          <cell r="AK779">
            <v>8</v>
          </cell>
          <cell r="AL779">
            <v>7.4999999999999997E-2</v>
          </cell>
          <cell r="AM779">
            <v>0.39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0.43</v>
          </cell>
          <cell r="AS779">
            <v>0</v>
          </cell>
          <cell r="AT779">
            <v>319</v>
          </cell>
          <cell r="AU779">
            <v>0</v>
          </cell>
          <cell r="AV779">
            <v>665</v>
          </cell>
          <cell r="AW779">
            <v>54</v>
          </cell>
          <cell r="AX779">
            <v>85</v>
          </cell>
          <cell r="AY779">
            <v>165</v>
          </cell>
          <cell r="AZ779">
            <v>1.33</v>
          </cell>
          <cell r="BA779" t="str">
            <v>D2009160</v>
          </cell>
          <cell r="BB779" t="str">
            <v>CONFORM</v>
          </cell>
          <cell r="BC779" t="str">
            <v>CONFORM</v>
          </cell>
          <cell r="BD779" t="str">
            <v>CONFORM</v>
          </cell>
          <cell r="BE779" t="str">
            <v>CONFORM</v>
          </cell>
          <cell r="BF779" t="str">
            <v>CONFORM</v>
          </cell>
        </row>
        <row r="780">
          <cell r="A780">
            <v>44103</v>
          </cell>
          <cell r="B780" t="str">
            <v>D2009160-3</v>
          </cell>
          <cell r="C780" t="str">
            <v>078/20</v>
          </cell>
          <cell r="D780">
            <v>3</v>
          </cell>
          <cell r="E780">
            <v>44103</v>
          </cell>
          <cell r="F780" t="str">
            <v>DC</v>
          </cell>
          <cell r="G780" t="str">
            <v>On Time</v>
          </cell>
          <cell r="H780">
            <v>2407769434</v>
          </cell>
          <cell r="I780">
            <v>44103</v>
          </cell>
          <cell r="J780" t="str">
            <v>TKM</v>
          </cell>
          <cell r="K780" t="str">
            <v>D2009160</v>
          </cell>
          <cell r="L780">
            <v>3</v>
          </cell>
          <cell r="M780" t="str">
            <v>01F54KD</v>
          </cell>
          <cell r="N780" t="str">
            <v>F54K</v>
          </cell>
          <cell r="O780" t="str">
            <v xml:space="preserve">1.4306 TP304L </v>
          </cell>
          <cell r="P780" t="str">
            <v>304L</v>
          </cell>
          <cell r="Q780">
            <v>1.913</v>
          </cell>
          <cell r="R780">
            <v>1.91</v>
          </cell>
          <cell r="S780">
            <v>4.7E-2</v>
          </cell>
          <cell r="T780">
            <v>4.7550000000000002E-2</v>
          </cell>
          <cell r="U780">
            <v>4.7E-2</v>
          </cell>
          <cell r="V780">
            <v>4.7274999999999998E-2</v>
          </cell>
          <cell r="W780" t="str">
            <v>AB</v>
          </cell>
          <cell r="X780">
            <v>2112</v>
          </cell>
          <cell r="Y780">
            <v>6</v>
          </cell>
          <cell r="Z780">
            <v>184.0041819132253</v>
          </cell>
          <cell r="AA780" t="str">
            <v>1.913X0.047-304L</v>
          </cell>
          <cell r="AB780" t="str">
            <v>WAAC004860119B300023</v>
          </cell>
          <cell r="AC780" t="str">
            <v>D2009160</v>
          </cell>
          <cell r="AD780" t="str">
            <v>F54K</v>
          </cell>
          <cell r="AE780">
            <v>1.7000000000000001E-2</v>
          </cell>
          <cell r="AF780">
            <v>1.82</v>
          </cell>
          <cell r="AG780">
            <v>2.9000000000000001E-2</v>
          </cell>
          <cell r="AH780">
            <v>3.0000000000000001E-3</v>
          </cell>
          <cell r="AI780">
            <v>0.3</v>
          </cell>
          <cell r="AJ780">
            <v>18</v>
          </cell>
          <cell r="AK780">
            <v>8</v>
          </cell>
          <cell r="AL780">
            <v>7.4999999999999997E-2</v>
          </cell>
          <cell r="AM780">
            <v>0.39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0.43</v>
          </cell>
          <cell r="AS780">
            <v>0</v>
          </cell>
          <cell r="AT780">
            <v>319</v>
          </cell>
          <cell r="AU780">
            <v>0</v>
          </cell>
          <cell r="AV780">
            <v>665</v>
          </cell>
          <cell r="AW780">
            <v>54</v>
          </cell>
          <cell r="AX780">
            <v>85</v>
          </cell>
          <cell r="AY780">
            <v>165</v>
          </cell>
          <cell r="AZ780">
            <v>1.33</v>
          </cell>
          <cell r="BA780" t="str">
            <v>D2009160</v>
          </cell>
          <cell r="BB780" t="str">
            <v>CONFORM</v>
          </cell>
          <cell r="BC780" t="str">
            <v>CONFORM</v>
          </cell>
          <cell r="BD780" t="str">
            <v>CONFORM</v>
          </cell>
          <cell r="BE780" t="str">
            <v>CONFORM</v>
          </cell>
          <cell r="BF780" t="str">
            <v>CONFORM</v>
          </cell>
        </row>
        <row r="781">
          <cell r="A781">
            <v>44103</v>
          </cell>
          <cell r="B781" t="str">
            <v>D2009161-1</v>
          </cell>
          <cell r="C781" t="str">
            <v>078/20</v>
          </cell>
          <cell r="D781">
            <v>2</v>
          </cell>
          <cell r="E781">
            <v>44103</v>
          </cell>
          <cell r="F781" t="str">
            <v>DC</v>
          </cell>
          <cell r="G781" t="str">
            <v>On Time</v>
          </cell>
          <cell r="H781">
            <v>2407769433</v>
          </cell>
          <cell r="I781">
            <v>44103</v>
          </cell>
          <cell r="J781" t="str">
            <v>TKM</v>
          </cell>
          <cell r="K781" t="str">
            <v>D2009161</v>
          </cell>
          <cell r="L781">
            <v>1</v>
          </cell>
          <cell r="M781" t="str">
            <v>05F71XD</v>
          </cell>
          <cell r="N781" t="str">
            <v>F71X</v>
          </cell>
          <cell r="O781" t="str">
            <v xml:space="preserve">1.4306 TP304L </v>
          </cell>
          <cell r="P781" t="str">
            <v>304L</v>
          </cell>
          <cell r="Q781">
            <v>1.52</v>
          </cell>
          <cell r="R781">
            <v>1.5175000000000001</v>
          </cell>
          <cell r="S781">
            <v>4.7E-2</v>
          </cell>
          <cell r="T781">
            <v>4.9500000000000002E-2</v>
          </cell>
          <cell r="U781">
            <v>4.895E-2</v>
          </cell>
          <cell r="V781">
            <v>4.9225000000000005E-2</v>
          </cell>
          <cell r="W781" t="str">
            <v>AB</v>
          </cell>
          <cell r="X781">
            <v>1744</v>
          </cell>
          <cell r="Y781">
            <v>4</v>
          </cell>
          <cell r="Z781">
            <v>286.84210526315792</v>
          </cell>
          <cell r="AA781" t="str">
            <v>1.52X0.047-304L</v>
          </cell>
          <cell r="AB781" t="str">
            <v>WAAC003860120B300103</v>
          </cell>
          <cell r="AC781" t="str">
            <v>D2009161</v>
          </cell>
          <cell r="AD781" t="str">
            <v>F71X</v>
          </cell>
          <cell r="AE781">
            <v>2.3E-2</v>
          </cell>
          <cell r="AF781">
            <v>1.79</v>
          </cell>
          <cell r="AG781">
            <v>0.03</v>
          </cell>
          <cell r="AH781">
            <v>3.0000000000000001E-3</v>
          </cell>
          <cell r="AI781">
            <v>0.28000000000000003</v>
          </cell>
          <cell r="AJ781">
            <v>18</v>
          </cell>
          <cell r="AK781">
            <v>8</v>
          </cell>
          <cell r="AL781">
            <v>0.77</v>
          </cell>
          <cell r="AM781">
            <v>0.43</v>
          </cell>
          <cell r="AN781">
            <v>0</v>
          </cell>
          <cell r="AO781">
            <v>0</v>
          </cell>
          <cell r="AP781">
            <v>0</v>
          </cell>
          <cell r="AQ781">
            <v>0</v>
          </cell>
          <cell r="AR781">
            <v>0.46</v>
          </cell>
          <cell r="AS781">
            <v>0</v>
          </cell>
          <cell r="AT781">
            <v>324</v>
          </cell>
          <cell r="AU781">
            <v>0</v>
          </cell>
          <cell r="AV781">
            <v>655</v>
          </cell>
          <cell r="AW781">
            <v>48</v>
          </cell>
          <cell r="AX781">
            <v>86</v>
          </cell>
          <cell r="AY781">
            <v>169</v>
          </cell>
          <cell r="AZ781">
            <v>1.33</v>
          </cell>
          <cell r="BA781" t="str">
            <v>D2009161</v>
          </cell>
          <cell r="BB781" t="str">
            <v>CONFORM</v>
          </cell>
          <cell r="BC781" t="str">
            <v>CONFORM</v>
          </cell>
          <cell r="BD781" t="str">
            <v>CONFORM</v>
          </cell>
          <cell r="BE781" t="str">
            <v>CONFORM</v>
          </cell>
          <cell r="BF781" t="str">
            <v>CONFORM</v>
          </cell>
        </row>
        <row r="782">
          <cell r="A782">
            <v>44103</v>
          </cell>
          <cell r="B782" t="str">
            <v>D2009161-2</v>
          </cell>
          <cell r="C782" t="str">
            <v>078/20</v>
          </cell>
          <cell r="D782">
            <v>2</v>
          </cell>
          <cell r="E782">
            <v>44103</v>
          </cell>
          <cell r="F782" t="str">
            <v>DC</v>
          </cell>
          <cell r="G782" t="str">
            <v>On Time</v>
          </cell>
          <cell r="H782">
            <v>2407769433</v>
          </cell>
          <cell r="I782">
            <v>44103</v>
          </cell>
          <cell r="J782" t="str">
            <v>TKM</v>
          </cell>
          <cell r="K782" t="str">
            <v>D2009161</v>
          </cell>
          <cell r="L782">
            <v>2</v>
          </cell>
          <cell r="M782" t="str">
            <v>05F71XD</v>
          </cell>
          <cell r="N782" t="str">
            <v>F71X</v>
          </cell>
          <cell r="O782" t="str">
            <v xml:space="preserve">1.4306 TP304L </v>
          </cell>
          <cell r="P782" t="str">
            <v>304L</v>
          </cell>
          <cell r="Q782">
            <v>1.52</v>
          </cell>
          <cell r="R782">
            <v>1.5129999999999999</v>
          </cell>
          <cell r="S782">
            <v>4.7E-2</v>
          </cell>
          <cell r="T782">
            <v>4.9849999999999998E-2</v>
          </cell>
          <cell r="U782">
            <v>4.9149999999999999E-2</v>
          </cell>
          <cell r="V782">
            <v>4.9500000000000002E-2</v>
          </cell>
          <cell r="W782" t="str">
            <v>AB</v>
          </cell>
          <cell r="X782">
            <v>1738</v>
          </cell>
          <cell r="Y782">
            <v>4</v>
          </cell>
          <cell r="Z782">
            <v>285.85526315789474</v>
          </cell>
          <cell r="AA782" t="str">
            <v>1.52X0.047-304L</v>
          </cell>
          <cell r="AB782" t="str">
            <v>WAAC003860120B300103</v>
          </cell>
          <cell r="AC782" t="str">
            <v>D2009161</v>
          </cell>
          <cell r="AD782" t="str">
            <v>F71X</v>
          </cell>
          <cell r="AE782">
            <v>2.3E-2</v>
          </cell>
          <cell r="AF782">
            <v>1.79</v>
          </cell>
          <cell r="AG782">
            <v>0.03</v>
          </cell>
          <cell r="AH782">
            <v>3.0000000000000001E-3</v>
          </cell>
          <cell r="AI782">
            <v>0.28000000000000003</v>
          </cell>
          <cell r="AJ782">
            <v>18</v>
          </cell>
          <cell r="AK782">
            <v>8</v>
          </cell>
          <cell r="AL782">
            <v>0.77</v>
          </cell>
          <cell r="AM782">
            <v>0.43</v>
          </cell>
          <cell r="AN782">
            <v>0</v>
          </cell>
          <cell r="AO782">
            <v>0</v>
          </cell>
          <cell r="AP782">
            <v>0</v>
          </cell>
          <cell r="AQ782">
            <v>0</v>
          </cell>
          <cell r="AR782">
            <v>0.46</v>
          </cell>
          <cell r="AS782">
            <v>0</v>
          </cell>
          <cell r="AT782">
            <v>324</v>
          </cell>
          <cell r="AU782">
            <v>0</v>
          </cell>
          <cell r="AV782">
            <v>655</v>
          </cell>
          <cell r="AW782">
            <v>48</v>
          </cell>
          <cell r="AX782">
            <v>86</v>
          </cell>
          <cell r="AY782">
            <v>169</v>
          </cell>
          <cell r="AZ782">
            <v>1.33</v>
          </cell>
          <cell r="BA782" t="str">
            <v>D2009161</v>
          </cell>
          <cell r="BB782" t="str">
            <v>CONFORM</v>
          </cell>
          <cell r="BC782" t="str">
            <v>CONFORM</v>
          </cell>
          <cell r="BD782" t="str">
            <v>CONFORM</v>
          </cell>
          <cell r="BE782" t="str">
            <v>CONFORM</v>
          </cell>
          <cell r="BF782" t="str">
            <v>CONFORM</v>
          </cell>
        </row>
        <row r="783">
          <cell r="A783">
            <v>44103</v>
          </cell>
          <cell r="B783" t="str">
            <v>D2009162-1</v>
          </cell>
          <cell r="C783" t="str">
            <v>078/20</v>
          </cell>
          <cell r="D783">
            <v>2</v>
          </cell>
          <cell r="E783">
            <v>44103</v>
          </cell>
          <cell r="F783" t="str">
            <v>DC</v>
          </cell>
          <cell r="G783" t="str">
            <v>On Time</v>
          </cell>
          <cell r="H783">
            <v>2407769433</v>
          </cell>
          <cell r="I783">
            <v>44103</v>
          </cell>
          <cell r="J783" t="str">
            <v>TKM</v>
          </cell>
          <cell r="K783" t="str">
            <v>D2009162</v>
          </cell>
          <cell r="L783">
            <v>1</v>
          </cell>
          <cell r="M783" t="str">
            <v>01F54KD</v>
          </cell>
          <cell r="N783" t="str">
            <v>F54K</v>
          </cell>
          <cell r="O783" t="str">
            <v xml:space="preserve">1.4306 TP304L </v>
          </cell>
          <cell r="P783" t="str">
            <v>304L</v>
          </cell>
          <cell r="Q783">
            <v>1.52</v>
          </cell>
          <cell r="R783">
            <v>1.52</v>
          </cell>
          <cell r="S783">
            <v>4.7E-2</v>
          </cell>
          <cell r="T783">
            <v>4.7449999999999999E-2</v>
          </cell>
          <cell r="U783">
            <v>4.65E-2</v>
          </cell>
          <cell r="V783">
            <v>4.6975000000000003E-2</v>
          </cell>
          <cell r="W783" t="str">
            <v>AB</v>
          </cell>
          <cell r="X783">
            <v>2244</v>
          </cell>
          <cell r="Y783">
            <v>8</v>
          </cell>
          <cell r="Z783">
            <v>184.53947368421052</v>
          </cell>
          <cell r="AA783" t="str">
            <v>1.52X0.047-304L</v>
          </cell>
          <cell r="AB783" t="str">
            <v>WAAC003860120B300103</v>
          </cell>
          <cell r="AC783" t="str">
            <v>D2009162</v>
          </cell>
          <cell r="AD783" t="str">
            <v>F54K</v>
          </cell>
          <cell r="AE783">
            <v>1.7000000000000001E-2</v>
          </cell>
          <cell r="AF783">
            <v>1.82</v>
          </cell>
          <cell r="AG783">
            <v>2.9000000000000001E-2</v>
          </cell>
          <cell r="AH783">
            <v>3.0000000000000001E-3</v>
          </cell>
          <cell r="AI783">
            <v>0.3</v>
          </cell>
          <cell r="AJ783">
            <v>18</v>
          </cell>
          <cell r="AK783">
            <v>8</v>
          </cell>
          <cell r="AL783">
            <v>7.4999999999999997E-2</v>
          </cell>
          <cell r="AM783">
            <v>0.39</v>
          </cell>
          <cell r="AN783">
            <v>0</v>
          </cell>
          <cell r="AO783">
            <v>0</v>
          </cell>
          <cell r="AP783">
            <v>0</v>
          </cell>
          <cell r="AQ783">
            <v>0</v>
          </cell>
          <cell r="AR783">
            <v>0.43</v>
          </cell>
          <cell r="AS783">
            <v>0</v>
          </cell>
          <cell r="AT783">
            <v>319</v>
          </cell>
          <cell r="AU783">
            <v>0</v>
          </cell>
          <cell r="AV783">
            <v>665</v>
          </cell>
          <cell r="AW783">
            <v>54</v>
          </cell>
          <cell r="AX783">
            <v>85</v>
          </cell>
          <cell r="AY783">
            <v>165</v>
          </cell>
          <cell r="AZ783">
            <v>1.33</v>
          </cell>
          <cell r="BA783" t="str">
            <v>D2009162</v>
          </cell>
          <cell r="BB783" t="str">
            <v>CONFORM</v>
          </cell>
          <cell r="BC783" t="str">
            <v>CONFORM</v>
          </cell>
          <cell r="BD783" t="str">
            <v>CONFORM</v>
          </cell>
          <cell r="BE783" t="str">
            <v>CONFORM</v>
          </cell>
          <cell r="BF783" t="str">
            <v>CONFORM</v>
          </cell>
        </row>
        <row r="784">
          <cell r="A784">
            <v>44103</v>
          </cell>
          <cell r="B784" t="str">
            <v>D2009163-1</v>
          </cell>
          <cell r="C784" t="str">
            <v>080/20</v>
          </cell>
          <cell r="D784">
            <v>2</v>
          </cell>
          <cell r="E784">
            <v>44103</v>
          </cell>
          <cell r="F784" t="str">
            <v>DC</v>
          </cell>
          <cell r="G784" t="str">
            <v>On Time</v>
          </cell>
          <cell r="H784">
            <v>2407769436</v>
          </cell>
          <cell r="I784">
            <v>44103</v>
          </cell>
          <cell r="J784" t="str">
            <v>TKM</v>
          </cell>
          <cell r="K784" t="str">
            <v>D2009163</v>
          </cell>
          <cell r="L784">
            <v>1</v>
          </cell>
          <cell r="M784">
            <v>3279653</v>
          </cell>
          <cell r="N784">
            <v>529585</v>
          </cell>
          <cell r="O784" t="str">
            <v xml:space="preserve">1.4401/1.4404 TP316/316L </v>
          </cell>
          <cell r="P784" t="str">
            <v>316L</v>
          </cell>
          <cell r="Q784">
            <v>3.8149999999999999</v>
          </cell>
          <cell r="R784">
            <v>3.8054999999999999</v>
          </cell>
          <cell r="S784">
            <v>7.9000000000000001E-2</v>
          </cell>
          <cell r="T784">
            <v>7.8149999999999997E-2</v>
          </cell>
          <cell r="U784">
            <v>7.7950000000000005E-2</v>
          </cell>
          <cell r="V784">
            <v>7.8050000000000008E-2</v>
          </cell>
          <cell r="W784" t="str">
            <v>AB</v>
          </cell>
          <cell r="X784">
            <v>5338</v>
          </cell>
          <cell r="Y784">
            <v>4</v>
          </cell>
          <cell r="Z784">
            <v>349.80340760157276</v>
          </cell>
          <cell r="AA784" t="str">
            <v>3.815X0.079-316L</v>
          </cell>
          <cell r="AB784" t="str">
            <v>WAAF009690200B200105</v>
          </cell>
          <cell r="AC784" t="str">
            <v>D2009163</v>
          </cell>
          <cell r="AD784">
            <v>529585</v>
          </cell>
          <cell r="AE784">
            <v>2.5000000000000001E-2</v>
          </cell>
          <cell r="AF784">
            <v>1.43</v>
          </cell>
          <cell r="AG784">
            <v>3.2000000000000001E-2</v>
          </cell>
          <cell r="AH784">
            <v>1E-3</v>
          </cell>
          <cell r="AI784">
            <v>0.41</v>
          </cell>
          <cell r="AJ784">
            <v>16.600000000000001</v>
          </cell>
          <cell r="AK784">
            <v>10.1</v>
          </cell>
          <cell r="AL784">
            <v>0.04</v>
          </cell>
          <cell r="AM784">
            <v>2.02</v>
          </cell>
          <cell r="AN784">
            <v>0</v>
          </cell>
          <cell r="AO784">
            <v>0</v>
          </cell>
          <cell r="AP784">
            <v>0</v>
          </cell>
          <cell r="AQ784">
            <v>0</v>
          </cell>
          <cell r="AR784">
            <v>0.49</v>
          </cell>
          <cell r="AS784">
            <v>0</v>
          </cell>
          <cell r="AT784">
            <v>309</v>
          </cell>
          <cell r="AU784">
            <v>0</v>
          </cell>
          <cell r="AV784">
            <v>629</v>
          </cell>
          <cell r="AW784">
            <v>51</v>
          </cell>
          <cell r="AX784">
            <v>82</v>
          </cell>
          <cell r="AY784">
            <v>156</v>
          </cell>
          <cell r="AZ784">
            <v>1.7124999999999999</v>
          </cell>
          <cell r="BA784" t="str">
            <v>D2009163</v>
          </cell>
          <cell r="BB784" t="str">
            <v>CONFORM</v>
          </cell>
          <cell r="BC784" t="str">
            <v>CONFORM</v>
          </cell>
          <cell r="BD784" t="str">
            <v>CONFORM</v>
          </cell>
          <cell r="BE784" t="str">
            <v>CONFORM</v>
          </cell>
          <cell r="BF784" t="str">
            <v>CONFORM</v>
          </cell>
        </row>
        <row r="785">
          <cell r="A785">
            <v>44103</v>
          </cell>
          <cell r="B785" t="str">
            <v>D2009163-2</v>
          </cell>
          <cell r="C785" t="str">
            <v>080/20</v>
          </cell>
          <cell r="D785">
            <v>2</v>
          </cell>
          <cell r="E785">
            <v>44103</v>
          </cell>
          <cell r="F785" t="str">
            <v>DC</v>
          </cell>
          <cell r="G785" t="str">
            <v>On Time</v>
          </cell>
          <cell r="H785">
            <v>2407769436</v>
          </cell>
          <cell r="I785">
            <v>44103</v>
          </cell>
          <cell r="J785" t="str">
            <v>TKM</v>
          </cell>
          <cell r="K785" t="str">
            <v>D2009163</v>
          </cell>
          <cell r="L785">
            <v>2</v>
          </cell>
          <cell r="M785">
            <v>3279653</v>
          </cell>
          <cell r="N785">
            <v>529585</v>
          </cell>
          <cell r="O785" t="str">
            <v xml:space="preserve">1.4401/1.4404 TP316/316L </v>
          </cell>
          <cell r="P785" t="str">
            <v>316L</v>
          </cell>
          <cell r="Q785">
            <v>3.8149999999999999</v>
          </cell>
          <cell r="R785">
            <v>3.8119999999999998</v>
          </cell>
          <cell r="S785">
            <v>7.9000000000000001E-2</v>
          </cell>
          <cell r="T785">
            <v>7.8399999999999997E-2</v>
          </cell>
          <cell r="U785">
            <v>7.8E-2</v>
          </cell>
          <cell r="V785">
            <v>7.8199999999999992E-2</v>
          </cell>
          <cell r="W785" t="str">
            <v>AB</v>
          </cell>
          <cell r="X785">
            <v>5360</v>
          </cell>
          <cell r="Y785">
            <v>4</v>
          </cell>
          <cell r="Z785">
            <v>351.24508519003933</v>
          </cell>
          <cell r="AA785" t="str">
            <v>3.815X0.079-316L</v>
          </cell>
          <cell r="AB785" t="str">
            <v>WAAF009690200B200105</v>
          </cell>
          <cell r="AC785" t="str">
            <v>D2009163</v>
          </cell>
          <cell r="AD785">
            <v>529585</v>
          </cell>
          <cell r="AE785">
            <v>2.5000000000000001E-2</v>
          </cell>
          <cell r="AF785">
            <v>1.43</v>
          </cell>
          <cell r="AG785">
            <v>3.2000000000000001E-2</v>
          </cell>
          <cell r="AH785">
            <v>1E-3</v>
          </cell>
          <cell r="AI785">
            <v>0.41</v>
          </cell>
          <cell r="AJ785">
            <v>16.600000000000001</v>
          </cell>
          <cell r="AK785">
            <v>10.1</v>
          </cell>
          <cell r="AL785">
            <v>0.04</v>
          </cell>
          <cell r="AM785">
            <v>2.02</v>
          </cell>
          <cell r="AN785">
            <v>0</v>
          </cell>
          <cell r="AO785">
            <v>0</v>
          </cell>
          <cell r="AP785">
            <v>0</v>
          </cell>
          <cell r="AQ785">
            <v>0</v>
          </cell>
          <cell r="AR785">
            <v>0.49</v>
          </cell>
          <cell r="AS785">
            <v>0</v>
          </cell>
          <cell r="AT785">
            <v>309</v>
          </cell>
          <cell r="AU785">
            <v>0</v>
          </cell>
          <cell r="AV785">
            <v>629</v>
          </cell>
          <cell r="AW785">
            <v>51</v>
          </cell>
          <cell r="AX785">
            <v>82</v>
          </cell>
          <cell r="AY785">
            <v>156</v>
          </cell>
          <cell r="AZ785">
            <v>1.7124999999999999</v>
          </cell>
          <cell r="BA785" t="str">
            <v>D2009163</v>
          </cell>
          <cell r="BB785" t="str">
            <v>CONFORM</v>
          </cell>
          <cell r="BC785" t="str">
            <v>CONFORM</v>
          </cell>
          <cell r="BD785" t="str">
            <v>CONFORM</v>
          </cell>
          <cell r="BE785" t="str">
            <v>CONFORM</v>
          </cell>
          <cell r="BF785" t="str">
            <v>CONFORM</v>
          </cell>
        </row>
        <row r="786">
          <cell r="A786">
            <v>44103</v>
          </cell>
          <cell r="B786" t="str">
            <v>D2009164-1</v>
          </cell>
          <cell r="C786" t="str">
            <v>080/20</v>
          </cell>
          <cell r="D786">
            <v>1</v>
          </cell>
          <cell r="E786">
            <v>44103</v>
          </cell>
          <cell r="F786" t="str">
            <v>DC</v>
          </cell>
          <cell r="G786" t="str">
            <v>On Time</v>
          </cell>
          <cell r="H786">
            <v>2407768435</v>
          </cell>
          <cell r="I786">
            <v>44103</v>
          </cell>
          <cell r="J786" t="str">
            <v>TKM</v>
          </cell>
          <cell r="K786" t="str">
            <v>D2009164</v>
          </cell>
          <cell r="L786">
            <v>1</v>
          </cell>
          <cell r="M786">
            <v>3279653</v>
          </cell>
          <cell r="N786">
            <v>529585</v>
          </cell>
          <cell r="O786" t="str">
            <v xml:space="preserve">1.4401/1.4404 TP316/316L </v>
          </cell>
          <cell r="P786" t="str">
            <v>316L</v>
          </cell>
          <cell r="Q786">
            <v>3.016</v>
          </cell>
          <cell r="R786">
            <v>3.0185</v>
          </cell>
          <cell r="S786">
            <v>7.9000000000000001E-2</v>
          </cell>
          <cell r="T786">
            <v>7.8799999999999995E-2</v>
          </cell>
          <cell r="U786">
            <v>7.8100000000000003E-2</v>
          </cell>
          <cell r="V786">
            <v>7.8449999999999992E-2</v>
          </cell>
          <cell r="W786" t="str">
            <v>AB</v>
          </cell>
          <cell r="X786">
            <v>5284</v>
          </cell>
          <cell r="Y786">
            <v>5</v>
          </cell>
          <cell r="Z786">
            <v>350.39787798408486</v>
          </cell>
          <cell r="AA786" t="str">
            <v>3.016X0.079-316L</v>
          </cell>
          <cell r="AB786" t="str">
            <v>WAAF007660200B300099</v>
          </cell>
          <cell r="AC786" t="str">
            <v>D2009164</v>
          </cell>
          <cell r="AD786">
            <v>529585</v>
          </cell>
          <cell r="AE786">
            <v>2.5000000000000001E-2</v>
          </cell>
          <cell r="AF786">
            <v>1.43</v>
          </cell>
          <cell r="AG786">
            <v>3.2000000000000001E-2</v>
          </cell>
          <cell r="AH786">
            <v>1E-3</v>
          </cell>
          <cell r="AI786">
            <v>0.41</v>
          </cell>
          <cell r="AJ786">
            <v>16.600000000000001</v>
          </cell>
          <cell r="AK786">
            <v>10.1</v>
          </cell>
          <cell r="AL786">
            <v>0.04</v>
          </cell>
          <cell r="AM786">
            <v>2.02</v>
          </cell>
          <cell r="AN786">
            <v>0</v>
          </cell>
          <cell r="AO786">
            <v>0</v>
          </cell>
          <cell r="AP786">
            <v>0</v>
          </cell>
          <cell r="AQ786">
            <v>0</v>
          </cell>
          <cell r="AR786">
            <v>0.49</v>
          </cell>
          <cell r="AS786">
            <v>0</v>
          </cell>
          <cell r="AT786">
            <v>309</v>
          </cell>
          <cell r="AU786">
            <v>0</v>
          </cell>
          <cell r="AV786">
            <v>629</v>
          </cell>
          <cell r="AW786">
            <v>51</v>
          </cell>
          <cell r="AX786">
            <v>82</v>
          </cell>
          <cell r="AY786">
            <v>156</v>
          </cell>
          <cell r="AZ786">
            <v>1.7124999999999999</v>
          </cell>
          <cell r="BA786" t="str">
            <v>D2009164</v>
          </cell>
          <cell r="BB786" t="str">
            <v>CONFORM</v>
          </cell>
          <cell r="BC786" t="str">
            <v>CONFORM</v>
          </cell>
          <cell r="BD786" t="str">
            <v>CONFORM</v>
          </cell>
          <cell r="BE786" t="str">
            <v>CONFORM</v>
          </cell>
          <cell r="BF786" t="str">
            <v>CONFORM</v>
          </cell>
        </row>
        <row r="787">
          <cell r="A787">
            <v>44111</v>
          </cell>
          <cell r="B787" t="str">
            <v>D2010045-1</v>
          </cell>
          <cell r="C787" t="str">
            <v>081/20</v>
          </cell>
          <cell r="D787">
            <v>1</v>
          </cell>
          <cell r="E787">
            <v>44106</v>
          </cell>
          <cell r="F787" t="str">
            <v>DC</v>
          </cell>
          <cell r="G787" t="str">
            <v>On Time</v>
          </cell>
          <cell r="H787" t="str">
            <v>160062-1</v>
          </cell>
          <cell r="I787">
            <v>44109</v>
          </cell>
          <cell r="J787" t="str">
            <v>UPM</v>
          </cell>
          <cell r="K787" t="str">
            <v>D2010045</v>
          </cell>
          <cell r="L787">
            <v>1</v>
          </cell>
          <cell r="M787" t="str">
            <v>AAD12420-B</v>
          </cell>
          <cell r="N787">
            <v>861173</v>
          </cell>
          <cell r="O787" t="str">
            <v xml:space="preserve">1.4306 TP304L </v>
          </cell>
          <cell r="P787" t="str">
            <v>304L</v>
          </cell>
          <cell r="Q787">
            <v>3.1419999999999999</v>
          </cell>
          <cell r="R787">
            <v>3.1425000000000001</v>
          </cell>
          <cell r="S787">
            <v>0.04</v>
          </cell>
          <cell r="T787">
            <v>4.0750000000000001E-2</v>
          </cell>
          <cell r="U787">
            <v>0.04</v>
          </cell>
          <cell r="V787">
            <v>4.0375000000000001E-2</v>
          </cell>
          <cell r="W787" t="str">
            <v>AB</v>
          </cell>
          <cell r="X787">
            <v>4143</v>
          </cell>
          <cell r="Y787">
            <v>3</v>
          </cell>
          <cell r="Z787">
            <v>439.52896244430303</v>
          </cell>
          <cell r="AA787" t="str">
            <v>3.142X0.04-304L</v>
          </cell>
          <cell r="AB787" t="str">
            <v>WAAC007980102B300107</v>
          </cell>
          <cell r="AC787" t="str">
            <v>D2010045</v>
          </cell>
          <cell r="AD787">
            <v>861173</v>
          </cell>
          <cell r="AE787">
            <v>1.9E-2</v>
          </cell>
          <cell r="AF787">
            <v>1.67</v>
          </cell>
          <cell r="AG787">
            <v>3.2000000000000001E-2</v>
          </cell>
          <cell r="AH787">
            <v>0</v>
          </cell>
          <cell r="AI787">
            <v>0.48</v>
          </cell>
          <cell r="AJ787">
            <v>18.100000000000001</v>
          </cell>
          <cell r="AK787">
            <v>8.1</v>
          </cell>
          <cell r="AL787">
            <v>7.0000000000000007E-2</v>
          </cell>
          <cell r="AM787">
            <v>0.54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  <cell r="AR787">
            <v>0.51</v>
          </cell>
          <cell r="AS787">
            <v>0</v>
          </cell>
          <cell r="AT787">
            <v>340</v>
          </cell>
          <cell r="AU787">
            <v>0</v>
          </cell>
          <cell r="AV787">
            <v>689</v>
          </cell>
          <cell r="AW787">
            <v>64</v>
          </cell>
          <cell r="AX787">
            <v>81</v>
          </cell>
          <cell r="AY787">
            <v>153</v>
          </cell>
          <cell r="AZ787">
            <v>1.59</v>
          </cell>
          <cell r="BA787" t="str">
            <v>D2010045</v>
          </cell>
          <cell r="BB787" t="str">
            <v>CONFORM</v>
          </cell>
          <cell r="BC787" t="str">
            <v>CONFORM</v>
          </cell>
          <cell r="BD787" t="str">
            <v>CONFORM</v>
          </cell>
          <cell r="BE787" t="str">
            <v>CONFORM</v>
          </cell>
          <cell r="BF787" t="str">
            <v>CONFORM</v>
          </cell>
        </row>
        <row r="788">
          <cell r="A788">
            <v>44111</v>
          </cell>
          <cell r="B788" t="str">
            <v>D2010045-2</v>
          </cell>
          <cell r="C788" t="str">
            <v>081/20</v>
          </cell>
          <cell r="D788">
            <v>1</v>
          </cell>
          <cell r="E788">
            <v>44106</v>
          </cell>
          <cell r="F788" t="str">
            <v>DC</v>
          </cell>
          <cell r="G788" t="str">
            <v>On Time</v>
          </cell>
          <cell r="H788" t="str">
            <v>160062-1</v>
          </cell>
          <cell r="I788">
            <v>44109</v>
          </cell>
          <cell r="J788" t="str">
            <v>UPM</v>
          </cell>
          <cell r="K788" t="str">
            <v>D2010045</v>
          </cell>
          <cell r="L788">
            <v>2</v>
          </cell>
          <cell r="M788" t="str">
            <v>AAD12420-B</v>
          </cell>
          <cell r="N788">
            <v>861173</v>
          </cell>
          <cell r="O788" t="str">
            <v xml:space="preserve">1.4306 TP304L </v>
          </cell>
          <cell r="P788" t="str">
            <v>304L</v>
          </cell>
          <cell r="Q788">
            <v>3.1419999999999999</v>
          </cell>
          <cell r="R788">
            <v>3.1395</v>
          </cell>
          <cell r="S788">
            <v>0.04</v>
          </cell>
          <cell r="T788">
            <v>3.9899999999999998E-2</v>
          </cell>
          <cell r="U788">
            <v>3.0599999999999999E-2</v>
          </cell>
          <cell r="V788">
            <v>3.5249999999999997E-2</v>
          </cell>
          <cell r="W788" t="str">
            <v>AB</v>
          </cell>
          <cell r="X788">
            <v>4082</v>
          </cell>
          <cell r="Y788">
            <v>3</v>
          </cell>
          <cell r="Z788">
            <v>433.05750053044773</v>
          </cell>
          <cell r="AA788" t="str">
            <v>3.142X0.04-304L</v>
          </cell>
          <cell r="AB788" t="str">
            <v>WAAC007980102B300107</v>
          </cell>
          <cell r="AC788" t="str">
            <v>D2010045</v>
          </cell>
          <cell r="AD788">
            <v>861173</v>
          </cell>
          <cell r="AE788">
            <v>1.9E-2</v>
          </cell>
          <cell r="AF788">
            <v>1.67</v>
          </cell>
          <cell r="AG788">
            <v>3.2000000000000001E-2</v>
          </cell>
          <cell r="AH788">
            <v>0</v>
          </cell>
          <cell r="AI788">
            <v>0.48</v>
          </cell>
          <cell r="AJ788">
            <v>18.100000000000001</v>
          </cell>
          <cell r="AK788">
            <v>8.1</v>
          </cell>
          <cell r="AL788">
            <v>7.0000000000000007E-2</v>
          </cell>
          <cell r="AM788">
            <v>0.54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0.51</v>
          </cell>
          <cell r="AS788">
            <v>0</v>
          </cell>
          <cell r="AT788">
            <v>340</v>
          </cell>
          <cell r="AU788">
            <v>0</v>
          </cell>
          <cell r="AV788">
            <v>689</v>
          </cell>
          <cell r="AW788">
            <v>64</v>
          </cell>
          <cell r="AX788">
            <v>81</v>
          </cell>
          <cell r="AY788">
            <v>153</v>
          </cell>
          <cell r="AZ788">
            <v>1.59</v>
          </cell>
          <cell r="BA788" t="str">
            <v>D2010045</v>
          </cell>
          <cell r="BB788" t="str">
            <v>CONFORM</v>
          </cell>
          <cell r="BC788" t="str">
            <v>CONFORM</v>
          </cell>
          <cell r="BD788" t="str">
            <v>CONFORM</v>
          </cell>
          <cell r="BE788" t="str">
            <v>CONFORM</v>
          </cell>
          <cell r="BF788" t="str">
            <v>CONFORM</v>
          </cell>
        </row>
        <row r="789">
          <cell r="A789">
            <v>44111</v>
          </cell>
          <cell r="B789" t="str">
            <v>D2010045-3</v>
          </cell>
          <cell r="C789" t="str">
            <v>081/20</v>
          </cell>
          <cell r="D789">
            <v>1</v>
          </cell>
          <cell r="E789">
            <v>44106</v>
          </cell>
          <cell r="F789" t="str">
            <v>DC</v>
          </cell>
          <cell r="G789" t="str">
            <v>On Time</v>
          </cell>
          <cell r="H789" t="str">
            <v>160062-1</v>
          </cell>
          <cell r="I789">
            <v>44109</v>
          </cell>
          <cell r="J789" t="str">
            <v>UPM</v>
          </cell>
          <cell r="K789" t="str">
            <v>D2010045</v>
          </cell>
          <cell r="L789">
            <v>3</v>
          </cell>
          <cell r="M789" t="str">
            <v>AAD12420-B</v>
          </cell>
          <cell r="N789">
            <v>861173</v>
          </cell>
          <cell r="O789" t="str">
            <v xml:space="preserve">1.4306 TP304L </v>
          </cell>
          <cell r="P789" t="str">
            <v>304L</v>
          </cell>
          <cell r="Q789">
            <v>3.1419999999999999</v>
          </cell>
          <cell r="R789">
            <v>3.141</v>
          </cell>
          <cell r="S789">
            <v>0.04</v>
          </cell>
          <cell r="T789">
            <v>4.0250000000000001E-2</v>
          </cell>
          <cell r="U789">
            <v>3.95E-2</v>
          </cell>
          <cell r="V789">
            <v>3.9875000000000001E-2</v>
          </cell>
          <cell r="W789" t="str">
            <v>AB</v>
          </cell>
          <cell r="X789">
            <v>4127</v>
          </cell>
          <cell r="Y789">
            <v>3</v>
          </cell>
          <cell r="Z789">
            <v>437.83152981116064</v>
          </cell>
          <cell r="AA789" t="str">
            <v>3.142X0.04-304L</v>
          </cell>
          <cell r="AB789" t="str">
            <v>WAAC007980102B300107</v>
          </cell>
          <cell r="AC789" t="str">
            <v>D2010045</v>
          </cell>
          <cell r="AD789">
            <v>861173</v>
          </cell>
          <cell r="AE789">
            <v>1.9E-2</v>
          </cell>
          <cell r="AF789">
            <v>1.67</v>
          </cell>
          <cell r="AG789">
            <v>3.2000000000000001E-2</v>
          </cell>
          <cell r="AH789">
            <v>0</v>
          </cell>
          <cell r="AI789">
            <v>0.48</v>
          </cell>
          <cell r="AJ789">
            <v>18.100000000000001</v>
          </cell>
          <cell r="AK789">
            <v>8.1</v>
          </cell>
          <cell r="AL789">
            <v>7.0000000000000007E-2</v>
          </cell>
          <cell r="AM789">
            <v>0.54</v>
          </cell>
          <cell r="AN789">
            <v>0</v>
          </cell>
          <cell r="AO789">
            <v>0</v>
          </cell>
          <cell r="AP789">
            <v>0</v>
          </cell>
          <cell r="AQ789">
            <v>0</v>
          </cell>
          <cell r="AR789">
            <v>0.51</v>
          </cell>
          <cell r="AS789">
            <v>0</v>
          </cell>
          <cell r="AT789">
            <v>340</v>
          </cell>
          <cell r="AU789">
            <v>0</v>
          </cell>
          <cell r="AV789">
            <v>689</v>
          </cell>
          <cell r="AW789">
            <v>64</v>
          </cell>
          <cell r="AX789">
            <v>81</v>
          </cell>
          <cell r="AY789">
            <v>153</v>
          </cell>
          <cell r="AZ789">
            <v>1.59</v>
          </cell>
          <cell r="BA789" t="str">
            <v>D2010045</v>
          </cell>
          <cell r="BB789" t="str">
            <v>CONFORM</v>
          </cell>
          <cell r="BC789" t="str">
            <v>CONFORM</v>
          </cell>
          <cell r="BD789" t="str">
            <v>CONFORM</v>
          </cell>
          <cell r="BE789" t="str">
            <v>CONFORM</v>
          </cell>
          <cell r="BF789" t="str">
            <v>CONFORM</v>
          </cell>
        </row>
        <row r="790">
          <cell r="A790">
            <v>44111</v>
          </cell>
          <cell r="B790" t="str">
            <v>D2010045-4</v>
          </cell>
          <cell r="C790" t="str">
            <v>081/20</v>
          </cell>
          <cell r="D790">
            <v>1</v>
          </cell>
          <cell r="E790">
            <v>44106</v>
          </cell>
          <cell r="F790" t="str">
            <v>DC</v>
          </cell>
          <cell r="G790" t="str">
            <v>On Time</v>
          </cell>
          <cell r="H790" t="str">
            <v>160062-1</v>
          </cell>
          <cell r="I790">
            <v>44109</v>
          </cell>
          <cell r="J790" t="str">
            <v>UPM</v>
          </cell>
          <cell r="K790" t="str">
            <v>D2010045</v>
          </cell>
          <cell r="L790">
            <v>4</v>
          </cell>
          <cell r="M790" t="str">
            <v>AAD12420-B</v>
          </cell>
          <cell r="N790">
            <v>861173</v>
          </cell>
          <cell r="O790" t="str">
            <v xml:space="preserve">1.4306 TP304L </v>
          </cell>
          <cell r="P790" t="str">
            <v>304L</v>
          </cell>
          <cell r="Q790">
            <v>3.1419999999999999</v>
          </cell>
          <cell r="R790">
            <v>3.141</v>
          </cell>
          <cell r="S790">
            <v>0.04</v>
          </cell>
          <cell r="T790">
            <v>4.02E-2</v>
          </cell>
          <cell r="U790">
            <v>3.9600000000000003E-2</v>
          </cell>
          <cell r="V790">
            <v>3.9900000000000005E-2</v>
          </cell>
          <cell r="W790" t="str">
            <v>AB</v>
          </cell>
          <cell r="X790">
            <v>4096</v>
          </cell>
          <cell r="Y790">
            <v>3</v>
          </cell>
          <cell r="Z790">
            <v>434.54275408444727</v>
          </cell>
          <cell r="AA790" t="str">
            <v>3.142X0.04-304L</v>
          </cell>
          <cell r="AB790" t="str">
            <v>WAAC007980102B300107</v>
          </cell>
          <cell r="AC790" t="str">
            <v>D2010045</v>
          </cell>
          <cell r="AD790">
            <v>861173</v>
          </cell>
          <cell r="AE790">
            <v>1.9E-2</v>
          </cell>
          <cell r="AF790">
            <v>1.67</v>
          </cell>
          <cell r="AG790">
            <v>3.2000000000000001E-2</v>
          </cell>
          <cell r="AH790">
            <v>0</v>
          </cell>
          <cell r="AI790">
            <v>0.48</v>
          </cell>
          <cell r="AJ790">
            <v>18.100000000000001</v>
          </cell>
          <cell r="AK790">
            <v>8.1</v>
          </cell>
          <cell r="AL790">
            <v>7.0000000000000007E-2</v>
          </cell>
          <cell r="AM790">
            <v>0.54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0.51</v>
          </cell>
          <cell r="AS790">
            <v>0</v>
          </cell>
          <cell r="AT790">
            <v>340</v>
          </cell>
          <cell r="AU790">
            <v>0</v>
          </cell>
          <cell r="AV790">
            <v>689</v>
          </cell>
          <cell r="AW790">
            <v>64</v>
          </cell>
          <cell r="AX790">
            <v>81</v>
          </cell>
          <cell r="AY790">
            <v>153</v>
          </cell>
          <cell r="AZ790">
            <v>1.59</v>
          </cell>
          <cell r="BA790" t="str">
            <v>D2010045</v>
          </cell>
          <cell r="BB790" t="str">
            <v>CONFORM</v>
          </cell>
          <cell r="BC790" t="str">
            <v>CONFORM</v>
          </cell>
          <cell r="BD790" t="str">
            <v>CONFORM</v>
          </cell>
          <cell r="BE790" t="str">
            <v>CONFORM</v>
          </cell>
          <cell r="BF790" t="str">
            <v>CONFORM</v>
          </cell>
        </row>
        <row r="791">
          <cell r="A791">
            <v>44111</v>
          </cell>
          <cell r="B791" t="str">
            <v>D2010045-5</v>
          </cell>
          <cell r="C791" t="str">
            <v>081/20</v>
          </cell>
          <cell r="D791">
            <v>1</v>
          </cell>
          <cell r="E791">
            <v>44106</v>
          </cell>
          <cell r="F791" t="str">
            <v>DC</v>
          </cell>
          <cell r="G791" t="str">
            <v>On Time</v>
          </cell>
          <cell r="H791" t="str">
            <v>160062-1</v>
          </cell>
          <cell r="I791">
            <v>44109</v>
          </cell>
          <cell r="J791" t="str">
            <v>UPM</v>
          </cell>
          <cell r="K791" t="str">
            <v>D2010045</v>
          </cell>
          <cell r="L791">
            <v>5</v>
          </cell>
          <cell r="M791" t="str">
            <v>AAD12420-B</v>
          </cell>
          <cell r="N791">
            <v>861173</v>
          </cell>
          <cell r="O791" t="str">
            <v xml:space="preserve">1.4306 TP304L </v>
          </cell>
          <cell r="P791" t="str">
            <v>304L</v>
          </cell>
          <cell r="Q791">
            <v>3.1419999999999999</v>
          </cell>
          <cell r="R791">
            <v>3.1415000000000002</v>
          </cell>
          <cell r="S791">
            <v>0.04</v>
          </cell>
          <cell r="T791">
            <v>4.0550000000000003E-2</v>
          </cell>
          <cell r="U791">
            <v>0.04</v>
          </cell>
          <cell r="V791">
            <v>4.0275000000000005E-2</v>
          </cell>
          <cell r="W791" t="str">
            <v>AB</v>
          </cell>
          <cell r="X791">
            <v>4138</v>
          </cell>
          <cell r="Y791">
            <v>3</v>
          </cell>
          <cell r="Z791">
            <v>438.99851474644601</v>
          </cell>
          <cell r="AA791" t="str">
            <v>3.142X0.04-304L</v>
          </cell>
          <cell r="AB791" t="str">
            <v>WAAC007980102B300107</v>
          </cell>
          <cell r="AC791" t="str">
            <v>D2010045</v>
          </cell>
          <cell r="AD791">
            <v>861173</v>
          </cell>
          <cell r="AE791">
            <v>1.9E-2</v>
          </cell>
          <cell r="AF791">
            <v>1.67</v>
          </cell>
          <cell r="AG791">
            <v>3.2000000000000001E-2</v>
          </cell>
          <cell r="AH791">
            <v>0</v>
          </cell>
          <cell r="AI791">
            <v>0.48</v>
          </cell>
          <cell r="AJ791">
            <v>18.100000000000001</v>
          </cell>
          <cell r="AK791">
            <v>8.1</v>
          </cell>
          <cell r="AL791">
            <v>7.0000000000000007E-2</v>
          </cell>
          <cell r="AM791">
            <v>0.54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  <cell r="AR791">
            <v>0.51</v>
          </cell>
          <cell r="AS791">
            <v>0</v>
          </cell>
          <cell r="AT791">
            <v>340</v>
          </cell>
          <cell r="AU791">
            <v>0</v>
          </cell>
          <cell r="AV791">
            <v>689</v>
          </cell>
          <cell r="AW791">
            <v>64</v>
          </cell>
          <cell r="AX791">
            <v>81</v>
          </cell>
          <cell r="AY791">
            <v>153</v>
          </cell>
          <cell r="AZ791">
            <v>1.59</v>
          </cell>
          <cell r="BA791" t="str">
            <v>D2010045</v>
          </cell>
          <cell r="BB791" t="str">
            <v>CONFORM</v>
          </cell>
          <cell r="BC791" t="str">
            <v>CONFORM</v>
          </cell>
          <cell r="BD791" t="str">
            <v>CONFORM</v>
          </cell>
          <cell r="BE791" t="str">
            <v>CONFORM</v>
          </cell>
          <cell r="BF791" t="str">
            <v>CONFORM</v>
          </cell>
        </row>
        <row r="792">
          <cell r="A792">
            <v>44126</v>
          </cell>
          <cell r="B792" t="str">
            <v>D2010132-1</v>
          </cell>
          <cell r="C792" t="str">
            <v>088/20</v>
          </cell>
          <cell r="D792">
            <v>1</v>
          </cell>
          <cell r="E792">
            <v>0</v>
          </cell>
          <cell r="F792" t="str">
            <v>DC</v>
          </cell>
          <cell r="G792" t="str">
            <v>Late</v>
          </cell>
          <cell r="H792">
            <v>20201021007</v>
          </cell>
          <cell r="I792">
            <v>44125</v>
          </cell>
          <cell r="J792" t="str">
            <v>COILPLUS</v>
          </cell>
          <cell r="K792" t="str">
            <v>D2010132</v>
          </cell>
          <cell r="L792">
            <v>1</v>
          </cell>
          <cell r="M792">
            <v>3277818</v>
          </cell>
          <cell r="N792">
            <v>529562</v>
          </cell>
          <cell r="O792" t="str">
            <v xml:space="preserve">1.4306 TP304L </v>
          </cell>
          <cell r="P792" t="str">
            <v>304L</v>
          </cell>
          <cell r="Q792">
            <v>3.0790000000000002</v>
          </cell>
          <cell r="R792">
            <v>3.0760000000000001</v>
          </cell>
          <cell r="S792">
            <v>5.8999999999999997E-2</v>
          </cell>
          <cell r="T792">
            <v>6.2E-2</v>
          </cell>
          <cell r="U792">
            <v>6.1800000000000001E-2</v>
          </cell>
          <cell r="V792">
            <v>6.1899999999999997E-2</v>
          </cell>
          <cell r="W792" t="str">
            <v>AB</v>
          </cell>
          <cell r="X792">
            <v>4442</v>
          </cell>
          <cell r="Y792">
            <v>3</v>
          </cell>
          <cell r="Z792">
            <v>480.89206452311356</v>
          </cell>
          <cell r="AA792" t="str">
            <v>3.079X0.059-304L</v>
          </cell>
          <cell r="AB792" t="str">
            <v>WAAC007820150B300110</v>
          </cell>
          <cell r="AC792" t="str">
            <v>D2010132</v>
          </cell>
          <cell r="AD792">
            <v>529562</v>
          </cell>
          <cell r="AE792">
            <v>2.4E-2</v>
          </cell>
          <cell r="AF792">
            <v>1.33</v>
          </cell>
          <cell r="AG792">
            <v>0.03</v>
          </cell>
          <cell r="AH792">
            <v>1E-3</v>
          </cell>
          <cell r="AI792">
            <v>0.37</v>
          </cell>
          <cell r="AJ792">
            <v>18.100000000000001</v>
          </cell>
          <cell r="AK792">
            <v>8</v>
          </cell>
          <cell r="AL792">
            <v>6.7000000000000004E-2</v>
          </cell>
          <cell r="AM792">
            <v>0.37</v>
          </cell>
          <cell r="AN792">
            <v>0</v>
          </cell>
          <cell r="AO792">
            <v>0</v>
          </cell>
          <cell r="AP792">
            <v>0</v>
          </cell>
          <cell r="AQ792">
            <v>0</v>
          </cell>
          <cell r="AR792">
            <v>0.45</v>
          </cell>
          <cell r="AS792">
            <v>0</v>
          </cell>
          <cell r="AT792">
            <v>300</v>
          </cell>
          <cell r="AU792">
            <v>0</v>
          </cell>
          <cell r="AV792">
            <v>647</v>
          </cell>
          <cell r="AW792">
            <v>53</v>
          </cell>
          <cell r="AX792">
            <v>85</v>
          </cell>
          <cell r="AY792">
            <v>165</v>
          </cell>
          <cell r="AZ792">
            <v>8.5000000000000006E-2</v>
          </cell>
          <cell r="BA792" t="str">
            <v>D2010132</v>
          </cell>
          <cell r="BB792" t="str">
            <v>CONFORM</v>
          </cell>
          <cell r="BC792" t="str">
            <v>CONFORM</v>
          </cell>
          <cell r="BD792" t="str">
            <v>CONFORM</v>
          </cell>
          <cell r="BE792" t="str">
            <v>CONFORM</v>
          </cell>
          <cell r="BF792" t="str">
            <v>CONFORM</v>
          </cell>
        </row>
        <row r="793">
          <cell r="A793">
            <v>44126</v>
          </cell>
          <cell r="B793" t="str">
            <v>D2010132-2</v>
          </cell>
          <cell r="C793" t="str">
            <v>088/20</v>
          </cell>
          <cell r="D793">
            <v>1</v>
          </cell>
          <cell r="E793">
            <v>0</v>
          </cell>
          <cell r="F793" t="str">
            <v>DC</v>
          </cell>
          <cell r="G793" t="str">
            <v>Late</v>
          </cell>
          <cell r="H793">
            <v>20201021007</v>
          </cell>
          <cell r="I793">
            <v>44125</v>
          </cell>
          <cell r="J793" t="str">
            <v>COILPLUS</v>
          </cell>
          <cell r="K793" t="str">
            <v>D2010132</v>
          </cell>
          <cell r="L793">
            <v>2</v>
          </cell>
          <cell r="M793">
            <v>3277818</v>
          </cell>
          <cell r="N793">
            <v>529562</v>
          </cell>
          <cell r="O793" t="str">
            <v xml:space="preserve">1.4306 TP304L </v>
          </cell>
          <cell r="P793" t="str">
            <v>304L</v>
          </cell>
          <cell r="Q793">
            <v>3.0790000000000002</v>
          </cell>
          <cell r="R793">
            <v>3.0745</v>
          </cell>
          <cell r="S793">
            <v>5.8999999999999997E-2</v>
          </cell>
          <cell r="T793">
            <v>6.1850000000000002E-2</v>
          </cell>
          <cell r="U793">
            <v>6.2199999999999998E-2</v>
          </cell>
          <cell r="V793">
            <v>6.2024999999999997E-2</v>
          </cell>
          <cell r="W793" t="str">
            <v>AB</v>
          </cell>
          <cell r="X793">
            <v>4460</v>
          </cell>
          <cell r="Y793">
            <v>3</v>
          </cell>
          <cell r="Z793">
            <v>482.84074916098302</v>
          </cell>
          <cell r="AA793" t="str">
            <v>3.079X0.059-304L</v>
          </cell>
          <cell r="AB793" t="str">
            <v>WAAC007820150B300110</v>
          </cell>
          <cell r="AC793" t="str">
            <v>D2010132</v>
          </cell>
          <cell r="AD793">
            <v>529562</v>
          </cell>
          <cell r="AE793">
            <v>2.4E-2</v>
          </cell>
          <cell r="AF793">
            <v>1.33</v>
          </cell>
          <cell r="AG793">
            <v>0.03</v>
          </cell>
          <cell r="AH793">
            <v>1E-3</v>
          </cell>
          <cell r="AI793">
            <v>0.37</v>
          </cell>
          <cell r="AJ793">
            <v>18.100000000000001</v>
          </cell>
          <cell r="AK793">
            <v>8</v>
          </cell>
          <cell r="AL793">
            <v>6.7000000000000004E-2</v>
          </cell>
          <cell r="AM793">
            <v>0.37</v>
          </cell>
          <cell r="AN793">
            <v>0</v>
          </cell>
          <cell r="AO793">
            <v>0</v>
          </cell>
          <cell r="AP793">
            <v>0</v>
          </cell>
          <cell r="AQ793">
            <v>0</v>
          </cell>
          <cell r="AR793">
            <v>0.45</v>
          </cell>
          <cell r="AS793">
            <v>0</v>
          </cell>
          <cell r="AT793">
            <v>300</v>
          </cell>
          <cell r="AU793">
            <v>0</v>
          </cell>
          <cell r="AV793">
            <v>647</v>
          </cell>
          <cell r="AW793">
            <v>53</v>
          </cell>
          <cell r="AX793">
            <v>85</v>
          </cell>
          <cell r="AY793">
            <v>165</v>
          </cell>
          <cell r="AZ793">
            <v>8.5000000000000006E-2</v>
          </cell>
          <cell r="BA793" t="str">
            <v>D2010132</v>
          </cell>
          <cell r="BB793" t="str">
            <v>CONFORM</v>
          </cell>
          <cell r="BC793" t="str">
            <v>CONFORM</v>
          </cell>
          <cell r="BD793" t="str">
            <v>CONFORM</v>
          </cell>
          <cell r="BE793" t="str">
            <v>CONFORM</v>
          </cell>
          <cell r="BF793" t="str">
            <v>CONFORM</v>
          </cell>
        </row>
        <row r="794">
          <cell r="A794">
            <v>44126</v>
          </cell>
          <cell r="B794" t="str">
            <v>D2010132-3</v>
          </cell>
          <cell r="C794" t="str">
            <v>088/20</v>
          </cell>
          <cell r="D794">
            <v>1</v>
          </cell>
          <cell r="E794">
            <v>0</v>
          </cell>
          <cell r="F794" t="str">
            <v>DC</v>
          </cell>
          <cell r="G794" t="str">
            <v>Late</v>
          </cell>
          <cell r="H794">
            <v>20201021007</v>
          </cell>
          <cell r="I794">
            <v>44125</v>
          </cell>
          <cell r="J794" t="str">
            <v>COILPLUS</v>
          </cell>
          <cell r="K794" t="str">
            <v>D2010132</v>
          </cell>
          <cell r="L794">
            <v>3</v>
          </cell>
          <cell r="M794">
            <v>3277818</v>
          </cell>
          <cell r="N794">
            <v>529562</v>
          </cell>
          <cell r="O794" t="str">
            <v xml:space="preserve">1.4306 TP304L </v>
          </cell>
          <cell r="P794" t="str">
            <v>304L</v>
          </cell>
          <cell r="Q794">
            <v>3.0790000000000002</v>
          </cell>
          <cell r="R794">
            <v>3.0760000000000001</v>
          </cell>
          <cell r="S794">
            <v>5.8999999999999997E-2</v>
          </cell>
          <cell r="T794">
            <v>6.1899999999999997E-2</v>
          </cell>
          <cell r="U794">
            <v>6.1800000000000001E-2</v>
          </cell>
          <cell r="V794">
            <v>6.1850000000000002E-2</v>
          </cell>
          <cell r="W794" t="str">
            <v>AB</v>
          </cell>
          <cell r="X794">
            <v>4462</v>
          </cell>
          <cell r="Y794">
            <v>3</v>
          </cell>
          <cell r="Z794">
            <v>483.05726967630176</v>
          </cell>
          <cell r="AA794" t="str">
            <v>3.079X0.059-304L</v>
          </cell>
          <cell r="AB794" t="str">
            <v>WAAC007820150B300110</v>
          </cell>
          <cell r="AC794" t="str">
            <v>D2010132</v>
          </cell>
          <cell r="AD794">
            <v>529562</v>
          </cell>
          <cell r="AE794">
            <v>2.4E-2</v>
          </cell>
          <cell r="AF794">
            <v>1.33</v>
          </cell>
          <cell r="AG794">
            <v>0.03</v>
          </cell>
          <cell r="AH794">
            <v>1E-3</v>
          </cell>
          <cell r="AI794">
            <v>0.37</v>
          </cell>
          <cell r="AJ794">
            <v>18.100000000000001</v>
          </cell>
          <cell r="AK794">
            <v>8</v>
          </cell>
          <cell r="AL794">
            <v>6.7000000000000004E-2</v>
          </cell>
          <cell r="AM794">
            <v>0.37</v>
          </cell>
          <cell r="AN794">
            <v>0</v>
          </cell>
          <cell r="AO794">
            <v>0</v>
          </cell>
          <cell r="AP794">
            <v>0</v>
          </cell>
          <cell r="AQ794">
            <v>0</v>
          </cell>
          <cell r="AR794">
            <v>0.45</v>
          </cell>
          <cell r="AS794">
            <v>0</v>
          </cell>
          <cell r="AT794">
            <v>300</v>
          </cell>
          <cell r="AU794">
            <v>0</v>
          </cell>
          <cell r="AV794">
            <v>647</v>
          </cell>
          <cell r="AW794">
            <v>53</v>
          </cell>
          <cell r="AX794">
            <v>85</v>
          </cell>
          <cell r="AY794">
            <v>165</v>
          </cell>
          <cell r="AZ794">
            <v>8.5000000000000006E-2</v>
          </cell>
          <cell r="BA794" t="str">
            <v>D2010132</v>
          </cell>
          <cell r="BB794" t="str">
            <v>CONFORM</v>
          </cell>
          <cell r="BC794" t="str">
            <v>CONFORM</v>
          </cell>
          <cell r="BD794" t="str">
            <v>CONFORM</v>
          </cell>
          <cell r="BE794" t="str">
            <v>CONFORM</v>
          </cell>
          <cell r="BF794" t="str">
            <v>CONFORM</v>
          </cell>
        </row>
        <row r="795">
          <cell r="A795">
            <v>44126</v>
          </cell>
          <cell r="B795" t="str">
            <v>D2010132-4</v>
          </cell>
          <cell r="C795" t="str">
            <v>088/20</v>
          </cell>
          <cell r="D795">
            <v>1</v>
          </cell>
          <cell r="E795">
            <v>0</v>
          </cell>
          <cell r="F795" t="str">
            <v>DC</v>
          </cell>
          <cell r="G795" t="str">
            <v>Late</v>
          </cell>
          <cell r="H795">
            <v>20201021007</v>
          </cell>
          <cell r="I795">
            <v>44125</v>
          </cell>
          <cell r="J795" t="str">
            <v>COILPLUS</v>
          </cell>
          <cell r="K795" t="str">
            <v>D2010132</v>
          </cell>
          <cell r="L795">
            <v>4</v>
          </cell>
          <cell r="M795">
            <v>3277818</v>
          </cell>
          <cell r="N795">
            <v>529562</v>
          </cell>
          <cell r="O795" t="str">
            <v xml:space="preserve">1.4306 TP304L </v>
          </cell>
          <cell r="P795" t="str">
            <v>304L</v>
          </cell>
          <cell r="Q795">
            <v>3.0790000000000002</v>
          </cell>
          <cell r="R795">
            <v>3.0750000000000002</v>
          </cell>
          <cell r="S795">
            <v>5.8999999999999997E-2</v>
          </cell>
          <cell r="T795">
            <v>6.2700000000000006E-2</v>
          </cell>
          <cell r="U795">
            <v>6.2399999999999997E-2</v>
          </cell>
          <cell r="V795">
            <v>6.2549999999999994E-2</v>
          </cell>
          <cell r="W795" t="str">
            <v>AB</v>
          </cell>
          <cell r="X795">
            <v>4472</v>
          </cell>
          <cell r="Y795">
            <v>3</v>
          </cell>
          <cell r="Z795">
            <v>484.13987225289594</v>
          </cell>
          <cell r="AA795" t="str">
            <v>3.079X0.059-304L</v>
          </cell>
          <cell r="AB795" t="str">
            <v>WAAC007820150B300110</v>
          </cell>
          <cell r="AC795" t="str">
            <v>D2010132</v>
          </cell>
          <cell r="AD795">
            <v>529562</v>
          </cell>
          <cell r="AE795">
            <v>2.4E-2</v>
          </cell>
          <cell r="AF795">
            <v>1.33</v>
          </cell>
          <cell r="AG795">
            <v>0.03</v>
          </cell>
          <cell r="AH795">
            <v>1E-3</v>
          </cell>
          <cell r="AI795">
            <v>0.37</v>
          </cell>
          <cell r="AJ795">
            <v>18.100000000000001</v>
          </cell>
          <cell r="AK795">
            <v>8</v>
          </cell>
          <cell r="AL795">
            <v>6.7000000000000004E-2</v>
          </cell>
          <cell r="AM795">
            <v>0.37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  <cell r="AR795">
            <v>0.45</v>
          </cell>
          <cell r="AS795">
            <v>0</v>
          </cell>
          <cell r="AT795">
            <v>300</v>
          </cell>
          <cell r="AU795">
            <v>0</v>
          </cell>
          <cell r="AV795">
            <v>647</v>
          </cell>
          <cell r="AW795">
            <v>53</v>
          </cell>
          <cell r="AX795">
            <v>85</v>
          </cell>
          <cell r="AY795">
            <v>165</v>
          </cell>
          <cell r="AZ795">
            <v>8.5000000000000006E-2</v>
          </cell>
          <cell r="BA795" t="str">
            <v>D2010132</v>
          </cell>
          <cell r="BB795" t="str">
            <v>CONFORM</v>
          </cell>
          <cell r="BC795" t="str">
            <v>CONFORM</v>
          </cell>
          <cell r="BD795" t="str">
            <v>CONFORM</v>
          </cell>
          <cell r="BE795" t="str">
            <v>CONFORM</v>
          </cell>
          <cell r="BF795" t="str">
            <v>CONFORM</v>
          </cell>
        </row>
        <row r="796">
          <cell r="A796">
            <v>44126</v>
          </cell>
          <cell r="B796" t="str">
            <v>D2010132-5</v>
          </cell>
          <cell r="C796" t="str">
            <v>088/20</v>
          </cell>
          <cell r="D796">
            <v>1</v>
          </cell>
          <cell r="E796">
            <v>0</v>
          </cell>
          <cell r="F796" t="str">
            <v>DC</v>
          </cell>
          <cell r="G796" t="str">
            <v>Late</v>
          </cell>
          <cell r="H796">
            <v>20201021007</v>
          </cell>
          <cell r="I796">
            <v>44125</v>
          </cell>
          <cell r="J796" t="str">
            <v>COILPLUS</v>
          </cell>
          <cell r="K796" t="str">
            <v>D2010132</v>
          </cell>
          <cell r="L796">
            <v>5</v>
          </cell>
          <cell r="M796">
            <v>3277818</v>
          </cell>
          <cell r="N796">
            <v>529562</v>
          </cell>
          <cell r="O796" t="str">
            <v xml:space="preserve">1.4306 TP304L </v>
          </cell>
          <cell r="P796" t="str">
            <v>304L</v>
          </cell>
          <cell r="Q796">
            <v>3.0790000000000002</v>
          </cell>
          <cell r="R796">
            <v>3.0714999999999999</v>
          </cell>
          <cell r="S796">
            <v>5.8999999999999997E-2</v>
          </cell>
          <cell r="T796">
            <v>6.1850000000000002E-2</v>
          </cell>
          <cell r="U796">
            <v>6.2100000000000002E-2</v>
          </cell>
          <cell r="V796">
            <v>6.1975000000000002E-2</v>
          </cell>
          <cell r="W796" t="str">
            <v>AB</v>
          </cell>
          <cell r="X796">
            <v>2976</v>
          </cell>
          <cell r="Y796">
            <v>2</v>
          </cell>
          <cell r="Z796">
            <v>483.27379019162061</v>
          </cell>
          <cell r="AA796" t="str">
            <v>3.079X0.059-304L</v>
          </cell>
          <cell r="AB796" t="str">
            <v>WAAC007820150B300110</v>
          </cell>
          <cell r="AC796" t="str">
            <v>D2010132</v>
          </cell>
          <cell r="AD796">
            <v>529562</v>
          </cell>
          <cell r="AE796">
            <v>2.4E-2</v>
          </cell>
          <cell r="AF796">
            <v>1.33</v>
          </cell>
          <cell r="AG796">
            <v>0.03</v>
          </cell>
          <cell r="AH796">
            <v>1E-3</v>
          </cell>
          <cell r="AI796">
            <v>0.37</v>
          </cell>
          <cell r="AJ796">
            <v>18.100000000000001</v>
          </cell>
          <cell r="AK796">
            <v>8</v>
          </cell>
          <cell r="AL796">
            <v>6.7000000000000004E-2</v>
          </cell>
          <cell r="AM796">
            <v>0.37</v>
          </cell>
          <cell r="AN796">
            <v>0</v>
          </cell>
          <cell r="AO796">
            <v>0</v>
          </cell>
          <cell r="AP796">
            <v>0</v>
          </cell>
          <cell r="AQ796">
            <v>0</v>
          </cell>
          <cell r="AR796">
            <v>0.45</v>
          </cell>
          <cell r="AS796">
            <v>0</v>
          </cell>
          <cell r="AT796">
            <v>300</v>
          </cell>
          <cell r="AU796">
            <v>0</v>
          </cell>
          <cell r="AV796">
            <v>647</v>
          </cell>
          <cell r="AW796">
            <v>53</v>
          </cell>
          <cell r="AX796">
            <v>85</v>
          </cell>
          <cell r="AY796">
            <v>165</v>
          </cell>
          <cell r="AZ796">
            <v>8.5000000000000006E-2</v>
          </cell>
          <cell r="BA796" t="str">
            <v>D2010132</v>
          </cell>
          <cell r="BB796" t="str">
            <v>CONFORM</v>
          </cell>
          <cell r="BC796" t="str">
            <v>CONFORM</v>
          </cell>
          <cell r="BD796" t="str">
            <v>CONFORM</v>
          </cell>
          <cell r="BE796" t="str">
            <v>CONFORM</v>
          </cell>
          <cell r="BF796" t="str">
            <v>CONFORM</v>
          </cell>
        </row>
        <row r="797">
          <cell r="A797">
            <v>44126</v>
          </cell>
          <cell r="B797" t="str">
            <v>D2010133-1</v>
          </cell>
          <cell r="C797" t="str">
            <v>088/20</v>
          </cell>
          <cell r="D797">
            <v>2</v>
          </cell>
          <cell r="E797">
            <v>0</v>
          </cell>
          <cell r="F797" t="str">
            <v>DC</v>
          </cell>
          <cell r="G797" t="str">
            <v>Late</v>
          </cell>
          <cell r="H797">
            <v>20201021007</v>
          </cell>
          <cell r="I797">
            <v>44125</v>
          </cell>
          <cell r="J797" t="str">
            <v>COILPLUS</v>
          </cell>
          <cell r="K797" t="str">
            <v>D2010133</v>
          </cell>
          <cell r="L797">
            <v>1</v>
          </cell>
          <cell r="M797">
            <v>3277818</v>
          </cell>
          <cell r="N797">
            <v>529562</v>
          </cell>
          <cell r="O797" t="str">
            <v xml:space="preserve">1.4306 TP304L </v>
          </cell>
          <cell r="P797" t="str">
            <v>304L</v>
          </cell>
          <cell r="Q797">
            <v>2.2869999999999999</v>
          </cell>
          <cell r="R797">
            <v>2.2795000000000001</v>
          </cell>
          <cell r="S797">
            <v>5.8999999999999997E-2</v>
          </cell>
          <cell r="T797">
            <v>6.1699999999999998E-2</v>
          </cell>
          <cell r="U797">
            <v>6.1949999999999998E-2</v>
          </cell>
          <cell r="V797">
            <v>6.1824999999999998E-2</v>
          </cell>
          <cell r="W797" t="str">
            <v>AB</v>
          </cell>
          <cell r="X797">
            <v>2197</v>
          </cell>
          <cell r="Y797">
            <v>2</v>
          </cell>
          <cell r="Z797">
            <v>480.32356799300396</v>
          </cell>
          <cell r="AA797" t="str">
            <v>2.287X0.059-304L</v>
          </cell>
          <cell r="AB797" t="str">
            <v>WAAC005800150B300111</v>
          </cell>
          <cell r="AC797" t="str">
            <v>D2010133</v>
          </cell>
          <cell r="AD797">
            <v>529562</v>
          </cell>
          <cell r="AE797">
            <v>2.4E-2</v>
          </cell>
          <cell r="AF797">
            <v>1.33</v>
          </cell>
          <cell r="AG797">
            <v>0.03</v>
          </cell>
          <cell r="AH797">
            <v>1E-3</v>
          </cell>
          <cell r="AI797">
            <v>0.37</v>
          </cell>
          <cell r="AJ797">
            <v>18.100000000000001</v>
          </cell>
          <cell r="AK797">
            <v>8</v>
          </cell>
          <cell r="AL797">
            <v>6.7000000000000004E-2</v>
          </cell>
          <cell r="AM797">
            <v>0.37</v>
          </cell>
          <cell r="AN797">
            <v>0</v>
          </cell>
          <cell r="AO797">
            <v>0</v>
          </cell>
          <cell r="AP797">
            <v>0</v>
          </cell>
          <cell r="AQ797">
            <v>0</v>
          </cell>
          <cell r="AR797">
            <v>0.45</v>
          </cell>
          <cell r="AS797">
            <v>0</v>
          </cell>
          <cell r="AT797">
            <v>300</v>
          </cell>
          <cell r="AU797">
            <v>0</v>
          </cell>
          <cell r="AV797">
            <v>647</v>
          </cell>
          <cell r="AW797">
            <v>53</v>
          </cell>
          <cell r="AX797">
            <v>85</v>
          </cell>
          <cell r="AY797">
            <v>165</v>
          </cell>
          <cell r="AZ797">
            <v>8.5000000000000006E-2</v>
          </cell>
          <cell r="BA797" t="str">
            <v>D2010133</v>
          </cell>
          <cell r="BB797" t="str">
            <v>CONFORM</v>
          </cell>
          <cell r="BC797" t="str">
            <v>CONFORM</v>
          </cell>
          <cell r="BD797" t="str">
            <v>CONFORM</v>
          </cell>
          <cell r="BE797" t="str">
            <v>CONFORM</v>
          </cell>
          <cell r="BF797" t="str">
            <v>CONFORM</v>
          </cell>
        </row>
        <row r="798">
          <cell r="A798">
            <v>44127</v>
          </cell>
          <cell r="B798" t="str">
            <v>D2010134-1</v>
          </cell>
          <cell r="C798" t="str">
            <v>090/20</v>
          </cell>
          <cell r="D798">
            <v>1</v>
          </cell>
          <cell r="E798">
            <v>44127</v>
          </cell>
          <cell r="F798" t="str">
            <v>DC</v>
          </cell>
          <cell r="G798" t="str">
            <v>On Time</v>
          </cell>
          <cell r="H798">
            <v>20201023009</v>
          </cell>
          <cell r="I798">
            <v>44127</v>
          </cell>
          <cell r="J798" t="str">
            <v>COILPLUS</v>
          </cell>
          <cell r="K798" t="str">
            <v>D2010134</v>
          </cell>
          <cell r="L798">
            <v>1</v>
          </cell>
          <cell r="M798" t="str">
            <v>01J45N B</v>
          </cell>
          <cell r="N798" t="str">
            <v>J45N</v>
          </cell>
          <cell r="O798" t="str">
            <v xml:space="preserve">1.4306 TP304L </v>
          </cell>
          <cell r="P798" t="str">
            <v>304L</v>
          </cell>
          <cell r="Q798">
            <v>3.1419999999999999</v>
          </cell>
          <cell r="R798">
            <v>3.1429999999999998</v>
          </cell>
          <cell r="S798">
            <v>0.04</v>
          </cell>
          <cell r="T798">
            <v>4.0899999999999999E-2</v>
          </cell>
          <cell r="U798">
            <v>4.0899999999999999E-2</v>
          </cell>
          <cell r="V798">
            <v>4.0899999999999999E-2</v>
          </cell>
          <cell r="W798" t="str">
            <v>KB</v>
          </cell>
          <cell r="X798">
            <v>2800</v>
          </cell>
          <cell r="Y798">
            <v>1</v>
          </cell>
          <cell r="Z798">
            <v>891.15213239974537</v>
          </cell>
          <cell r="AA798" t="str">
            <v>3.142X0.04-304L</v>
          </cell>
          <cell r="AB798" t="str">
            <v>WAAC007980102B300107</v>
          </cell>
          <cell r="AC798" t="str">
            <v>D2010134</v>
          </cell>
          <cell r="AD798" t="str">
            <v>J45N</v>
          </cell>
          <cell r="AE798">
            <v>1.7000000000000001E-2</v>
          </cell>
          <cell r="AF798">
            <v>1.76</v>
          </cell>
          <cell r="AG798">
            <v>0.03</v>
          </cell>
          <cell r="AH798">
            <v>1E-3</v>
          </cell>
          <cell r="AI798">
            <v>0.23499999999999999</v>
          </cell>
          <cell r="AJ798">
            <v>18</v>
          </cell>
          <cell r="AK798">
            <v>8.1</v>
          </cell>
          <cell r="AL798">
            <v>6.8000000000000005E-2</v>
          </cell>
          <cell r="AM798">
            <v>0.40200000000000002</v>
          </cell>
          <cell r="AN798">
            <v>0</v>
          </cell>
          <cell r="AO798">
            <v>0</v>
          </cell>
          <cell r="AP798">
            <v>0</v>
          </cell>
          <cell r="AQ798">
            <v>0</v>
          </cell>
          <cell r="AR798">
            <v>0</v>
          </cell>
          <cell r="AS798">
            <v>0</v>
          </cell>
          <cell r="AT798">
            <v>331</v>
          </cell>
          <cell r="AU798">
            <v>379</v>
          </cell>
          <cell r="AV798">
            <v>655</v>
          </cell>
          <cell r="AW798">
            <v>48</v>
          </cell>
          <cell r="AX798">
            <v>85</v>
          </cell>
          <cell r="AY798">
            <v>165</v>
          </cell>
          <cell r="AZ798">
            <v>0.85</v>
          </cell>
          <cell r="BA798" t="str">
            <v>D2010134</v>
          </cell>
          <cell r="BB798" t="str">
            <v>CONFORM</v>
          </cell>
          <cell r="BC798" t="str">
            <v>CONFORM</v>
          </cell>
          <cell r="BD798" t="str">
            <v>CONFORM</v>
          </cell>
          <cell r="BE798" t="str">
            <v>CONFORM</v>
          </cell>
          <cell r="BF798" t="str">
            <v>CONFORM</v>
          </cell>
        </row>
        <row r="799">
          <cell r="A799">
            <v>44127</v>
          </cell>
          <cell r="B799" t="str">
            <v>D2010134-2</v>
          </cell>
          <cell r="C799" t="str">
            <v>090/20</v>
          </cell>
          <cell r="D799">
            <v>1</v>
          </cell>
          <cell r="E799">
            <v>44127</v>
          </cell>
          <cell r="F799" t="str">
            <v>DC</v>
          </cell>
          <cell r="G799" t="str">
            <v>On Time</v>
          </cell>
          <cell r="H799">
            <v>20201023009</v>
          </cell>
          <cell r="I799">
            <v>44127</v>
          </cell>
          <cell r="J799" t="str">
            <v>COILPLUS</v>
          </cell>
          <cell r="K799" t="str">
            <v>D2010134</v>
          </cell>
          <cell r="L799">
            <v>2</v>
          </cell>
          <cell r="M799" t="str">
            <v>01J45N B</v>
          </cell>
          <cell r="N799" t="str">
            <v>J45N</v>
          </cell>
          <cell r="O799" t="str">
            <v xml:space="preserve">1.4306 TP304L </v>
          </cell>
          <cell r="P799" t="str">
            <v>304L</v>
          </cell>
          <cell r="Q799">
            <v>3.1419999999999999</v>
          </cell>
          <cell r="R799">
            <v>3.1419999999999999</v>
          </cell>
          <cell r="S799">
            <v>0.04</v>
          </cell>
          <cell r="T799">
            <v>4.1099999999999998E-2</v>
          </cell>
          <cell r="U799">
            <v>4.1099999999999998E-2</v>
          </cell>
          <cell r="V799">
            <v>4.1099999999999998E-2</v>
          </cell>
          <cell r="W799" t="str">
            <v>KB</v>
          </cell>
          <cell r="X799">
            <v>2850</v>
          </cell>
          <cell r="Y799">
            <v>1</v>
          </cell>
          <cell r="Z799">
            <v>907.06556333545518</v>
          </cell>
          <cell r="AA799" t="str">
            <v>3.142X0.04-304L</v>
          </cell>
          <cell r="AB799" t="str">
            <v>WAAC007980102B300107</v>
          </cell>
          <cell r="AC799" t="str">
            <v>D2010134</v>
          </cell>
          <cell r="AD799" t="str">
            <v>J45N</v>
          </cell>
          <cell r="AE799">
            <v>1.7000000000000001E-2</v>
          </cell>
          <cell r="AF799">
            <v>1.76</v>
          </cell>
          <cell r="AG799">
            <v>0.03</v>
          </cell>
          <cell r="AH799">
            <v>1E-3</v>
          </cell>
          <cell r="AI799">
            <v>0.23499999999999999</v>
          </cell>
          <cell r="AJ799">
            <v>18</v>
          </cell>
          <cell r="AK799">
            <v>8.1</v>
          </cell>
          <cell r="AL799">
            <v>6.8000000000000005E-2</v>
          </cell>
          <cell r="AM799">
            <v>0.40200000000000002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  <cell r="AR799">
            <v>0</v>
          </cell>
          <cell r="AS799">
            <v>0</v>
          </cell>
          <cell r="AT799">
            <v>331</v>
          </cell>
          <cell r="AU799">
            <v>379</v>
          </cell>
          <cell r="AV799">
            <v>655</v>
          </cell>
          <cell r="AW799">
            <v>48</v>
          </cell>
          <cell r="AX799">
            <v>85</v>
          </cell>
          <cell r="AY799">
            <v>165</v>
          </cell>
          <cell r="AZ799">
            <v>0.85</v>
          </cell>
          <cell r="BA799" t="str">
            <v>D2010134</v>
          </cell>
          <cell r="BB799" t="str">
            <v>CONFORM</v>
          </cell>
          <cell r="BC799" t="str">
            <v>CONFORM</v>
          </cell>
          <cell r="BD799" t="str">
            <v>CONFORM</v>
          </cell>
          <cell r="BE799" t="str">
            <v>CONFORM</v>
          </cell>
          <cell r="BF799" t="str">
            <v>CONFORM</v>
          </cell>
        </row>
        <row r="800">
          <cell r="A800">
            <v>44127</v>
          </cell>
          <cell r="B800" t="str">
            <v>D2010134-3</v>
          </cell>
          <cell r="C800" t="str">
            <v>090/20</v>
          </cell>
          <cell r="D800">
            <v>1</v>
          </cell>
          <cell r="E800">
            <v>44127</v>
          </cell>
          <cell r="F800" t="str">
            <v>DC</v>
          </cell>
          <cell r="G800" t="str">
            <v>On Time</v>
          </cell>
          <cell r="H800">
            <v>20201023009</v>
          </cell>
          <cell r="I800">
            <v>44127</v>
          </cell>
          <cell r="J800" t="str">
            <v>COILPLUS</v>
          </cell>
          <cell r="K800" t="str">
            <v>D2010134</v>
          </cell>
          <cell r="L800">
            <v>3</v>
          </cell>
          <cell r="M800" t="str">
            <v>01J45N B</v>
          </cell>
          <cell r="N800" t="str">
            <v>J45N</v>
          </cell>
          <cell r="O800" t="str">
            <v xml:space="preserve">1.4306 TP304L </v>
          </cell>
          <cell r="P800" t="str">
            <v>304L</v>
          </cell>
          <cell r="Q800">
            <v>3.1419999999999999</v>
          </cell>
          <cell r="R800">
            <v>3.1415000000000002</v>
          </cell>
          <cell r="S800">
            <v>0.04</v>
          </cell>
          <cell r="T800">
            <v>4.1700000000000001E-2</v>
          </cell>
          <cell r="U800">
            <v>4.1700000000000001E-2</v>
          </cell>
          <cell r="V800">
            <v>4.1700000000000001E-2</v>
          </cell>
          <cell r="W800" t="str">
            <v>KB</v>
          </cell>
          <cell r="X800">
            <v>2838</v>
          </cell>
          <cell r="Y800">
            <v>1</v>
          </cell>
          <cell r="Z800">
            <v>903.24633991088479</v>
          </cell>
          <cell r="AA800" t="str">
            <v>3.142X0.04-304L</v>
          </cell>
          <cell r="AB800" t="str">
            <v>WAAC007980102B300107</v>
          </cell>
          <cell r="AC800" t="str">
            <v>D2010134</v>
          </cell>
          <cell r="AD800" t="str">
            <v>J45N</v>
          </cell>
          <cell r="AE800">
            <v>1.7000000000000001E-2</v>
          </cell>
          <cell r="AF800">
            <v>1.76</v>
          </cell>
          <cell r="AG800">
            <v>0.03</v>
          </cell>
          <cell r="AH800">
            <v>1E-3</v>
          </cell>
          <cell r="AI800">
            <v>0.23499999999999999</v>
          </cell>
          <cell r="AJ800">
            <v>18</v>
          </cell>
          <cell r="AK800">
            <v>8.1</v>
          </cell>
          <cell r="AL800">
            <v>6.8000000000000005E-2</v>
          </cell>
          <cell r="AM800">
            <v>0.40200000000000002</v>
          </cell>
          <cell r="AN800">
            <v>0</v>
          </cell>
          <cell r="AO800">
            <v>0</v>
          </cell>
          <cell r="AP800">
            <v>0</v>
          </cell>
          <cell r="AQ800">
            <v>0</v>
          </cell>
          <cell r="AR800">
            <v>0</v>
          </cell>
          <cell r="AS800">
            <v>0</v>
          </cell>
          <cell r="AT800">
            <v>331</v>
          </cell>
          <cell r="AU800">
            <v>379</v>
          </cell>
          <cell r="AV800">
            <v>655</v>
          </cell>
          <cell r="AW800">
            <v>48</v>
          </cell>
          <cell r="AX800">
            <v>85</v>
          </cell>
          <cell r="AY800">
            <v>165</v>
          </cell>
          <cell r="AZ800">
            <v>0.85</v>
          </cell>
          <cell r="BA800" t="str">
            <v>D2010134</v>
          </cell>
          <cell r="BB800" t="str">
            <v>CONFORM</v>
          </cell>
          <cell r="BC800" t="str">
            <v>CONFORM</v>
          </cell>
          <cell r="BD800" t="str">
            <v>CONFORM</v>
          </cell>
          <cell r="BE800" t="str">
            <v>CONFORM</v>
          </cell>
          <cell r="BF800" t="str">
            <v>CONFORM</v>
          </cell>
        </row>
        <row r="801">
          <cell r="A801">
            <v>44127</v>
          </cell>
          <cell r="B801" t="str">
            <v>D2010134-4</v>
          </cell>
          <cell r="C801" t="str">
            <v>090/20</v>
          </cell>
          <cell r="D801">
            <v>1</v>
          </cell>
          <cell r="E801">
            <v>44127</v>
          </cell>
          <cell r="F801" t="str">
            <v>DC</v>
          </cell>
          <cell r="G801" t="str">
            <v>On Time</v>
          </cell>
          <cell r="H801">
            <v>20201023009</v>
          </cell>
          <cell r="I801">
            <v>44127</v>
          </cell>
          <cell r="J801" t="str">
            <v>COILPLUS</v>
          </cell>
          <cell r="K801" t="str">
            <v>D2010134</v>
          </cell>
          <cell r="L801">
            <v>4</v>
          </cell>
          <cell r="M801" t="str">
            <v>01J45N B</v>
          </cell>
          <cell r="N801" t="str">
            <v>J45N</v>
          </cell>
          <cell r="O801" t="str">
            <v xml:space="preserve">1.4306 TP304L </v>
          </cell>
          <cell r="P801" t="str">
            <v>304L</v>
          </cell>
          <cell r="Q801">
            <v>3.1419999999999999</v>
          </cell>
          <cell r="R801">
            <v>3.1419999999999999</v>
          </cell>
          <cell r="S801">
            <v>0.04</v>
          </cell>
          <cell r="T801">
            <v>4.1149999999999999E-2</v>
          </cell>
          <cell r="U801">
            <v>4.1149999999999999E-2</v>
          </cell>
          <cell r="V801">
            <v>4.1149999999999999E-2</v>
          </cell>
          <cell r="W801" t="str">
            <v>KB</v>
          </cell>
          <cell r="X801">
            <v>2810</v>
          </cell>
          <cell r="Y801">
            <v>1</v>
          </cell>
          <cell r="Z801">
            <v>894.33481858688731</v>
          </cell>
          <cell r="AA801" t="str">
            <v>3.142X0.04-304L</v>
          </cell>
          <cell r="AB801" t="str">
            <v>WAAC007980102B300107</v>
          </cell>
          <cell r="AC801" t="str">
            <v>D2010134</v>
          </cell>
          <cell r="AD801" t="str">
            <v>J45N</v>
          </cell>
          <cell r="AE801">
            <v>1.7000000000000001E-2</v>
          </cell>
          <cell r="AF801">
            <v>1.76</v>
          </cell>
          <cell r="AG801">
            <v>0.03</v>
          </cell>
          <cell r="AH801">
            <v>1E-3</v>
          </cell>
          <cell r="AI801">
            <v>0.23499999999999999</v>
          </cell>
          <cell r="AJ801">
            <v>18</v>
          </cell>
          <cell r="AK801">
            <v>8.1</v>
          </cell>
          <cell r="AL801">
            <v>6.8000000000000005E-2</v>
          </cell>
          <cell r="AM801">
            <v>0.40200000000000002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  <cell r="AS801">
            <v>0</v>
          </cell>
          <cell r="AT801">
            <v>331</v>
          </cell>
          <cell r="AU801">
            <v>379</v>
          </cell>
          <cell r="AV801">
            <v>655</v>
          </cell>
          <cell r="AW801">
            <v>48</v>
          </cell>
          <cell r="AX801">
            <v>85</v>
          </cell>
          <cell r="AY801">
            <v>165</v>
          </cell>
          <cell r="AZ801">
            <v>0.85</v>
          </cell>
          <cell r="BA801" t="str">
            <v>D2010134</v>
          </cell>
          <cell r="BB801" t="str">
            <v>CONFORM</v>
          </cell>
          <cell r="BC801" t="str">
            <v>CONFORM</v>
          </cell>
          <cell r="BD801" t="str">
            <v>CONFORM</v>
          </cell>
          <cell r="BE801" t="str">
            <v>CONFORM</v>
          </cell>
          <cell r="BF801" t="str">
            <v>CONFORM</v>
          </cell>
        </row>
        <row r="802">
          <cell r="A802">
            <v>44127</v>
          </cell>
          <cell r="B802" t="str">
            <v>D2010134-5</v>
          </cell>
          <cell r="C802" t="str">
            <v>090/20</v>
          </cell>
          <cell r="D802">
            <v>1</v>
          </cell>
          <cell r="E802">
            <v>44127</v>
          </cell>
          <cell r="F802" t="str">
            <v>DC</v>
          </cell>
          <cell r="G802" t="str">
            <v>On Time</v>
          </cell>
          <cell r="H802">
            <v>20201023009</v>
          </cell>
          <cell r="I802">
            <v>44127</v>
          </cell>
          <cell r="J802" t="str">
            <v>COILPLUS</v>
          </cell>
          <cell r="K802" t="str">
            <v>D2010134</v>
          </cell>
          <cell r="L802">
            <v>5</v>
          </cell>
          <cell r="M802" t="str">
            <v>01J45N B</v>
          </cell>
          <cell r="N802" t="str">
            <v>J45N</v>
          </cell>
          <cell r="O802" t="str">
            <v xml:space="preserve">1.4306 TP304L </v>
          </cell>
          <cell r="P802" t="str">
            <v>304L</v>
          </cell>
          <cell r="Q802">
            <v>3.1419999999999999</v>
          </cell>
          <cell r="R802">
            <v>3.1404999999999998</v>
          </cell>
          <cell r="S802">
            <v>0.04</v>
          </cell>
          <cell r="T802">
            <v>4.1200000000000001E-2</v>
          </cell>
          <cell r="U802">
            <v>4.1200000000000001E-2</v>
          </cell>
          <cell r="V802">
            <v>4.1200000000000001E-2</v>
          </cell>
          <cell r="W802" t="str">
            <v>KB</v>
          </cell>
          <cell r="X802">
            <v>2825</v>
          </cell>
          <cell r="Y802">
            <v>1</v>
          </cell>
          <cell r="Z802">
            <v>899.10884786760028</v>
          </cell>
          <cell r="AA802" t="str">
            <v>3.142X0.04-304L</v>
          </cell>
          <cell r="AB802" t="str">
            <v>WAAC007980102B300107</v>
          </cell>
          <cell r="AC802" t="str">
            <v>D2010134</v>
          </cell>
          <cell r="AD802" t="str">
            <v>J45N</v>
          </cell>
          <cell r="AE802">
            <v>1.7000000000000001E-2</v>
          </cell>
          <cell r="AF802">
            <v>1.76</v>
          </cell>
          <cell r="AG802">
            <v>0.03</v>
          </cell>
          <cell r="AH802">
            <v>1E-3</v>
          </cell>
          <cell r="AI802">
            <v>0.23499999999999999</v>
          </cell>
          <cell r="AJ802">
            <v>18</v>
          </cell>
          <cell r="AK802">
            <v>8.1</v>
          </cell>
          <cell r="AL802">
            <v>6.8000000000000005E-2</v>
          </cell>
          <cell r="AM802">
            <v>0.40200000000000002</v>
          </cell>
          <cell r="AN802">
            <v>0</v>
          </cell>
          <cell r="AO802">
            <v>0</v>
          </cell>
          <cell r="AP802">
            <v>0</v>
          </cell>
          <cell r="AQ802">
            <v>0</v>
          </cell>
          <cell r="AR802">
            <v>0</v>
          </cell>
          <cell r="AS802">
            <v>0</v>
          </cell>
          <cell r="AT802">
            <v>331</v>
          </cell>
          <cell r="AU802">
            <v>379</v>
          </cell>
          <cell r="AV802">
            <v>655</v>
          </cell>
          <cell r="AW802">
            <v>48</v>
          </cell>
          <cell r="AX802">
            <v>85</v>
          </cell>
          <cell r="AY802">
            <v>165</v>
          </cell>
          <cell r="AZ802">
            <v>0.85</v>
          </cell>
          <cell r="BA802" t="str">
            <v>D2010134</v>
          </cell>
          <cell r="BB802" t="str">
            <v>CONFORM</v>
          </cell>
          <cell r="BC802" t="str">
            <v>CONFORM</v>
          </cell>
          <cell r="BD802" t="str">
            <v>CONFORM</v>
          </cell>
          <cell r="BE802" t="str">
            <v>CONFORM</v>
          </cell>
          <cell r="BF802" t="str">
            <v>CONFORM</v>
          </cell>
        </row>
        <row r="803">
          <cell r="A803">
            <v>44127</v>
          </cell>
          <cell r="B803" t="str">
            <v>D2010134-6</v>
          </cell>
          <cell r="C803" t="str">
            <v>090/20</v>
          </cell>
          <cell r="D803">
            <v>1</v>
          </cell>
          <cell r="E803">
            <v>44127</v>
          </cell>
          <cell r="F803" t="str">
            <v>DC</v>
          </cell>
          <cell r="G803" t="str">
            <v>On Time</v>
          </cell>
          <cell r="H803">
            <v>20201023009</v>
          </cell>
          <cell r="I803">
            <v>44127</v>
          </cell>
          <cell r="J803" t="str">
            <v>COILPLUS</v>
          </cell>
          <cell r="K803" t="str">
            <v>D2010134</v>
          </cell>
          <cell r="L803">
            <v>6</v>
          </cell>
          <cell r="M803" t="str">
            <v>01J45N B</v>
          </cell>
          <cell r="N803" t="str">
            <v>J45N</v>
          </cell>
          <cell r="O803" t="str">
            <v xml:space="preserve">1.4306 TP304L </v>
          </cell>
          <cell r="P803" t="str">
            <v>304L</v>
          </cell>
          <cell r="Q803">
            <v>3.1419999999999999</v>
          </cell>
          <cell r="R803">
            <v>3.1425000000000001</v>
          </cell>
          <cell r="S803">
            <v>0.04</v>
          </cell>
          <cell r="T803">
            <v>4.1450000000000001E-2</v>
          </cell>
          <cell r="U803">
            <v>4.1450000000000001E-2</v>
          </cell>
          <cell r="V803">
            <v>4.1450000000000001E-2</v>
          </cell>
          <cell r="W803" t="str">
            <v>KB</v>
          </cell>
          <cell r="X803">
            <v>2840</v>
          </cell>
          <cell r="Y803">
            <v>1</v>
          </cell>
          <cell r="Z803">
            <v>903.88287714831324</v>
          </cell>
          <cell r="AA803" t="str">
            <v>3.142X0.04-304L</v>
          </cell>
          <cell r="AB803" t="str">
            <v>WAAC007980102B300107</v>
          </cell>
          <cell r="AC803" t="str">
            <v>D2010134</v>
          </cell>
          <cell r="AD803" t="str">
            <v>J45N</v>
          </cell>
          <cell r="AE803">
            <v>1.7000000000000001E-2</v>
          </cell>
          <cell r="AF803">
            <v>1.76</v>
          </cell>
          <cell r="AG803">
            <v>0.03</v>
          </cell>
          <cell r="AH803">
            <v>1E-3</v>
          </cell>
          <cell r="AI803">
            <v>0.23499999999999999</v>
          </cell>
          <cell r="AJ803">
            <v>18</v>
          </cell>
          <cell r="AK803">
            <v>8.1</v>
          </cell>
          <cell r="AL803">
            <v>6.8000000000000005E-2</v>
          </cell>
          <cell r="AM803">
            <v>0.40200000000000002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  <cell r="AR803">
            <v>0</v>
          </cell>
          <cell r="AS803">
            <v>0</v>
          </cell>
          <cell r="AT803">
            <v>331</v>
          </cell>
          <cell r="AU803">
            <v>379</v>
          </cell>
          <cell r="AV803">
            <v>655</v>
          </cell>
          <cell r="AW803">
            <v>48</v>
          </cell>
          <cell r="AX803">
            <v>85</v>
          </cell>
          <cell r="AY803">
            <v>165</v>
          </cell>
          <cell r="AZ803">
            <v>0.85</v>
          </cell>
          <cell r="BA803" t="str">
            <v>D2010134</v>
          </cell>
          <cell r="BB803" t="str">
            <v>CONFORM</v>
          </cell>
          <cell r="BC803" t="str">
            <v>CONFORM</v>
          </cell>
          <cell r="BD803" t="str">
            <v>CONFORM</v>
          </cell>
          <cell r="BE803" t="str">
            <v>CONFORM</v>
          </cell>
          <cell r="BF803" t="str">
            <v>CONFORM</v>
          </cell>
        </row>
        <row r="804">
          <cell r="A804">
            <v>44127</v>
          </cell>
          <cell r="B804" t="str">
            <v>D2010134-7</v>
          </cell>
          <cell r="C804" t="str">
            <v>090/20</v>
          </cell>
          <cell r="D804">
            <v>1</v>
          </cell>
          <cell r="E804">
            <v>44127</v>
          </cell>
          <cell r="F804" t="str">
            <v>DC</v>
          </cell>
          <cell r="G804" t="str">
            <v>On Time</v>
          </cell>
          <cell r="H804">
            <v>20201023009</v>
          </cell>
          <cell r="I804">
            <v>44127</v>
          </cell>
          <cell r="J804" t="str">
            <v>COILPLUS</v>
          </cell>
          <cell r="K804" t="str">
            <v>D2010134</v>
          </cell>
          <cell r="L804">
            <v>7</v>
          </cell>
          <cell r="M804" t="str">
            <v>01J45N B</v>
          </cell>
          <cell r="N804" t="str">
            <v>J45N</v>
          </cell>
          <cell r="O804" t="str">
            <v xml:space="preserve">1.4306 TP304L </v>
          </cell>
          <cell r="P804" t="str">
            <v>304L</v>
          </cell>
          <cell r="Q804">
            <v>3.1419999999999999</v>
          </cell>
          <cell r="R804">
            <v>3.1455000000000002</v>
          </cell>
          <cell r="S804">
            <v>0.04</v>
          </cell>
          <cell r="T804">
            <v>4.1500000000000002E-2</v>
          </cell>
          <cell r="U804">
            <v>4.1500000000000002E-2</v>
          </cell>
          <cell r="V804">
            <v>4.1500000000000002E-2</v>
          </cell>
          <cell r="W804" t="str">
            <v>AB</v>
          </cell>
          <cell r="X804">
            <v>2865</v>
          </cell>
          <cell r="Y804">
            <v>1</v>
          </cell>
          <cell r="Z804">
            <v>911.83959261616803</v>
          </cell>
          <cell r="AA804" t="str">
            <v>3.142X0.04-304L</v>
          </cell>
          <cell r="AB804" t="str">
            <v>WAAC007980102B300107</v>
          </cell>
          <cell r="AC804" t="str">
            <v>D2010134</v>
          </cell>
          <cell r="AD804" t="str">
            <v>J45N</v>
          </cell>
          <cell r="AE804">
            <v>1.7000000000000001E-2</v>
          </cell>
          <cell r="AF804">
            <v>1.76</v>
          </cell>
          <cell r="AG804">
            <v>0.03</v>
          </cell>
          <cell r="AH804">
            <v>1E-3</v>
          </cell>
          <cell r="AI804">
            <v>0.23499999999999999</v>
          </cell>
          <cell r="AJ804">
            <v>18</v>
          </cell>
          <cell r="AK804">
            <v>8.1</v>
          </cell>
          <cell r="AL804">
            <v>6.8000000000000005E-2</v>
          </cell>
          <cell r="AM804">
            <v>0.40200000000000002</v>
          </cell>
          <cell r="AN804">
            <v>0</v>
          </cell>
          <cell r="AO804">
            <v>0</v>
          </cell>
          <cell r="AP804">
            <v>0</v>
          </cell>
          <cell r="AQ804">
            <v>0</v>
          </cell>
          <cell r="AR804">
            <v>0</v>
          </cell>
          <cell r="AS804">
            <v>0</v>
          </cell>
          <cell r="AT804">
            <v>331</v>
          </cell>
          <cell r="AU804">
            <v>379</v>
          </cell>
          <cell r="AV804">
            <v>655</v>
          </cell>
          <cell r="AW804">
            <v>48</v>
          </cell>
          <cell r="AX804">
            <v>85</v>
          </cell>
          <cell r="AY804">
            <v>165</v>
          </cell>
          <cell r="AZ804">
            <v>0.85</v>
          </cell>
          <cell r="BA804" t="str">
            <v>D2010134</v>
          </cell>
          <cell r="BB804" t="str">
            <v>CONFORM</v>
          </cell>
          <cell r="BC804" t="str">
            <v>CONFORM</v>
          </cell>
          <cell r="BD804" t="str">
            <v>CONFORM</v>
          </cell>
          <cell r="BE804" t="str">
            <v>CONFORM</v>
          </cell>
          <cell r="BF804" t="str">
            <v>CONFORM</v>
          </cell>
        </row>
        <row r="805">
          <cell r="A805">
            <v>44127</v>
          </cell>
          <cell r="B805" t="str">
            <v>D2010134-8</v>
          </cell>
          <cell r="C805" t="str">
            <v>090/20</v>
          </cell>
          <cell r="D805">
            <v>1</v>
          </cell>
          <cell r="E805">
            <v>44127</v>
          </cell>
          <cell r="F805" t="str">
            <v>DC</v>
          </cell>
          <cell r="G805" t="str">
            <v>On Time</v>
          </cell>
          <cell r="H805">
            <v>20201023009</v>
          </cell>
          <cell r="I805">
            <v>44127</v>
          </cell>
          <cell r="J805" t="str">
            <v>COILPLUS</v>
          </cell>
          <cell r="K805" t="str">
            <v>D2010134</v>
          </cell>
          <cell r="L805">
            <v>8</v>
          </cell>
          <cell r="M805" t="str">
            <v>01J45N B</v>
          </cell>
          <cell r="N805" t="str">
            <v>J45N</v>
          </cell>
          <cell r="O805" t="str">
            <v xml:space="preserve">1.4306 TP304L </v>
          </cell>
          <cell r="P805" t="str">
            <v>304L</v>
          </cell>
          <cell r="Q805">
            <v>3.1419999999999999</v>
          </cell>
          <cell r="R805">
            <v>3.1440000000000001</v>
          </cell>
          <cell r="S805">
            <v>0.04</v>
          </cell>
          <cell r="T805">
            <v>4.1149999999999999E-2</v>
          </cell>
          <cell r="U805">
            <v>4.1149999999999999E-2</v>
          </cell>
          <cell r="V805">
            <v>4.1149999999999999E-2</v>
          </cell>
          <cell r="W805" t="str">
            <v>AB</v>
          </cell>
          <cell r="X805">
            <v>2800</v>
          </cell>
          <cell r="Y805">
            <v>1</v>
          </cell>
          <cell r="Z805">
            <v>891.15213239974537</v>
          </cell>
          <cell r="AA805" t="str">
            <v>3.142X0.04-304L</v>
          </cell>
          <cell r="AB805" t="str">
            <v>WAAC007980102B300107</v>
          </cell>
          <cell r="AC805" t="str">
            <v>D2010134</v>
          </cell>
          <cell r="AD805" t="str">
            <v>J45N</v>
          </cell>
          <cell r="AE805">
            <v>1.7000000000000001E-2</v>
          </cell>
          <cell r="AF805">
            <v>1.76</v>
          </cell>
          <cell r="AG805">
            <v>0.03</v>
          </cell>
          <cell r="AH805">
            <v>1E-3</v>
          </cell>
          <cell r="AI805">
            <v>0.23499999999999999</v>
          </cell>
          <cell r="AJ805">
            <v>18</v>
          </cell>
          <cell r="AK805">
            <v>8.1</v>
          </cell>
          <cell r="AL805">
            <v>6.8000000000000005E-2</v>
          </cell>
          <cell r="AM805">
            <v>0.40200000000000002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  <cell r="AS805">
            <v>0</v>
          </cell>
          <cell r="AT805">
            <v>331</v>
          </cell>
          <cell r="AU805">
            <v>379</v>
          </cell>
          <cell r="AV805">
            <v>655</v>
          </cell>
          <cell r="AW805">
            <v>48</v>
          </cell>
          <cell r="AX805">
            <v>85</v>
          </cell>
          <cell r="AY805">
            <v>165</v>
          </cell>
          <cell r="AZ805">
            <v>0.85</v>
          </cell>
          <cell r="BA805" t="str">
            <v>D2010134</v>
          </cell>
          <cell r="BB805" t="str">
            <v>CONFORM</v>
          </cell>
          <cell r="BC805" t="str">
            <v>CONFORM</v>
          </cell>
          <cell r="BD805" t="str">
            <v>CONFORM</v>
          </cell>
          <cell r="BE805" t="str">
            <v>CONFORM</v>
          </cell>
          <cell r="BF805" t="str">
            <v>CONFORM</v>
          </cell>
        </row>
        <row r="806">
          <cell r="A806">
            <v>44127</v>
          </cell>
          <cell r="B806" t="str">
            <v>D2010134-9</v>
          </cell>
          <cell r="C806" t="str">
            <v>090/20</v>
          </cell>
          <cell r="D806">
            <v>1</v>
          </cell>
          <cell r="E806">
            <v>44127</v>
          </cell>
          <cell r="F806" t="str">
            <v>DC</v>
          </cell>
          <cell r="G806" t="str">
            <v>On Time</v>
          </cell>
          <cell r="H806">
            <v>20201023009</v>
          </cell>
          <cell r="I806">
            <v>44127</v>
          </cell>
          <cell r="J806" t="str">
            <v>COILPLUS</v>
          </cell>
          <cell r="K806" t="str">
            <v>D2010134</v>
          </cell>
          <cell r="L806">
            <v>9</v>
          </cell>
          <cell r="M806" t="str">
            <v>01J45N B</v>
          </cell>
          <cell r="N806" t="str">
            <v>J45N</v>
          </cell>
          <cell r="O806" t="str">
            <v xml:space="preserve">1.4306 TP304L </v>
          </cell>
          <cell r="P806" t="str">
            <v>304L</v>
          </cell>
          <cell r="Q806">
            <v>3.1419999999999999</v>
          </cell>
          <cell r="R806">
            <v>3.1404999999999998</v>
          </cell>
          <cell r="S806">
            <v>0.04</v>
          </cell>
          <cell r="T806">
            <v>4.1599999999999998E-2</v>
          </cell>
          <cell r="U806">
            <v>4.1599999999999998E-2</v>
          </cell>
          <cell r="V806">
            <v>4.1599999999999998E-2</v>
          </cell>
          <cell r="W806" t="str">
            <v>KB</v>
          </cell>
          <cell r="X806">
            <v>2840</v>
          </cell>
          <cell r="Y806">
            <v>1</v>
          </cell>
          <cell r="Z806">
            <v>903.88287714831324</v>
          </cell>
          <cell r="AA806" t="str">
            <v>3.142X0.04-304L</v>
          </cell>
          <cell r="AB806" t="str">
            <v>WAAC007980102B300107</v>
          </cell>
          <cell r="AC806" t="str">
            <v>D2010134</v>
          </cell>
          <cell r="AD806" t="str">
            <v>J45N</v>
          </cell>
          <cell r="AE806">
            <v>1.7000000000000001E-2</v>
          </cell>
          <cell r="AF806">
            <v>1.76</v>
          </cell>
          <cell r="AG806">
            <v>0.03</v>
          </cell>
          <cell r="AH806">
            <v>1E-3</v>
          </cell>
          <cell r="AI806">
            <v>0.23499999999999999</v>
          </cell>
          <cell r="AJ806">
            <v>18</v>
          </cell>
          <cell r="AK806">
            <v>8.1</v>
          </cell>
          <cell r="AL806">
            <v>6.8000000000000005E-2</v>
          </cell>
          <cell r="AM806">
            <v>0.40200000000000002</v>
          </cell>
          <cell r="AN806">
            <v>0</v>
          </cell>
          <cell r="AO806">
            <v>0</v>
          </cell>
          <cell r="AP806">
            <v>0</v>
          </cell>
          <cell r="AQ806">
            <v>0</v>
          </cell>
          <cell r="AR806">
            <v>0</v>
          </cell>
          <cell r="AS806">
            <v>0</v>
          </cell>
          <cell r="AT806">
            <v>331</v>
          </cell>
          <cell r="AU806">
            <v>379</v>
          </cell>
          <cell r="AV806">
            <v>655</v>
          </cell>
          <cell r="AW806">
            <v>48</v>
          </cell>
          <cell r="AX806">
            <v>85</v>
          </cell>
          <cell r="AY806">
            <v>165</v>
          </cell>
          <cell r="AZ806">
            <v>0.85</v>
          </cell>
          <cell r="BA806" t="str">
            <v>D2010134</v>
          </cell>
          <cell r="BB806" t="str">
            <v>CONFORM</v>
          </cell>
          <cell r="BC806" t="str">
            <v>CONFORM</v>
          </cell>
          <cell r="BD806" t="str">
            <v>CONFORM</v>
          </cell>
          <cell r="BE806" t="str">
            <v>CONFORM</v>
          </cell>
          <cell r="BF806" t="str">
            <v>CONFORM</v>
          </cell>
        </row>
        <row r="807">
          <cell r="A807">
            <v>44127</v>
          </cell>
          <cell r="B807" t="str">
            <v>D2010134-10</v>
          </cell>
          <cell r="C807" t="str">
            <v>090/20</v>
          </cell>
          <cell r="D807">
            <v>1</v>
          </cell>
          <cell r="E807">
            <v>44127</v>
          </cell>
          <cell r="F807" t="str">
            <v>DC</v>
          </cell>
          <cell r="G807" t="str">
            <v>On Time</v>
          </cell>
          <cell r="H807">
            <v>20201023009</v>
          </cell>
          <cell r="I807">
            <v>44127</v>
          </cell>
          <cell r="J807" t="str">
            <v>COILPLUS</v>
          </cell>
          <cell r="K807" t="str">
            <v>D2010134</v>
          </cell>
          <cell r="L807">
            <v>10</v>
          </cell>
          <cell r="M807" t="str">
            <v>01J45N B</v>
          </cell>
          <cell r="N807" t="str">
            <v>J45N</v>
          </cell>
          <cell r="O807" t="str">
            <v xml:space="preserve">1.4306 TP304L </v>
          </cell>
          <cell r="P807" t="str">
            <v>304L</v>
          </cell>
          <cell r="Q807">
            <v>3.1419999999999999</v>
          </cell>
          <cell r="R807">
            <v>3.1415000000000002</v>
          </cell>
          <cell r="S807">
            <v>0.04</v>
          </cell>
          <cell r="T807">
            <v>4.1050000000000003E-2</v>
          </cell>
          <cell r="U807">
            <v>4.1050000000000003E-2</v>
          </cell>
          <cell r="V807">
            <v>4.1050000000000003E-2</v>
          </cell>
          <cell r="W807" t="str">
            <v>KB</v>
          </cell>
          <cell r="X807">
            <v>2820</v>
          </cell>
          <cell r="Y807">
            <v>1</v>
          </cell>
          <cell r="Z807">
            <v>897.51750477402936</v>
          </cell>
          <cell r="AA807" t="str">
            <v>3.142X0.04-304L</v>
          </cell>
          <cell r="AB807" t="str">
            <v>WAAC007980102B300107</v>
          </cell>
          <cell r="AC807" t="str">
            <v>D2010134</v>
          </cell>
          <cell r="AD807" t="str">
            <v>J45N</v>
          </cell>
          <cell r="AE807">
            <v>1.7000000000000001E-2</v>
          </cell>
          <cell r="AF807">
            <v>1.76</v>
          </cell>
          <cell r="AG807">
            <v>0.03</v>
          </cell>
          <cell r="AH807">
            <v>1E-3</v>
          </cell>
          <cell r="AI807">
            <v>0.23499999999999999</v>
          </cell>
          <cell r="AJ807">
            <v>18</v>
          </cell>
          <cell r="AK807">
            <v>8.1</v>
          </cell>
          <cell r="AL807">
            <v>6.8000000000000005E-2</v>
          </cell>
          <cell r="AM807">
            <v>0.40200000000000002</v>
          </cell>
          <cell r="AN807">
            <v>0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  <cell r="AS807">
            <v>0</v>
          </cell>
          <cell r="AT807">
            <v>331</v>
          </cell>
          <cell r="AU807">
            <v>379</v>
          </cell>
          <cell r="AV807">
            <v>655</v>
          </cell>
          <cell r="AW807">
            <v>48</v>
          </cell>
          <cell r="AX807">
            <v>85</v>
          </cell>
          <cell r="AY807">
            <v>165</v>
          </cell>
          <cell r="AZ807">
            <v>0.85</v>
          </cell>
          <cell r="BA807" t="str">
            <v>D2010134</v>
          </cell>
          <cell r="BB807" t="str">
            <v>CONFORM</v>
          </cell>
          <cell r="BC807" t="str">
            <v>CONFORM</v>
          </cell>
          <cell r="BD807" t="str">
            <v>CONFORM</v>
          </cell>
          <cell r="BE807" t="str">
            <v>CONFORM</v>
          </cell>
          <cell r="BF807" t="str">
            <v>CONFORM</v>
          </cell>
        </row>
        <row r="808">
          <cell r="A808">
            <v>44127</v>
          </cell>
          <cell r="B808" t="str">
            <v>D2010134-11</v>
          </cell>
          <cell r="C808" t="str">
            <v>090/20</v>
          </cell>
          <cell r="D808">
            <v>1</v>
          </cell>
          <cell r="E808">
            <v>44127</v>
          </cell>
          <cell r="F808" t="str">
            <v>DC</v>
          </cell>
          <cell r="G808" t="str">
            <v>On Time</v>
          </cell>
          <cell r="H808">
            <v>20201023009</v>
          </cell>
          <cell r="I808">
            <v>44127</v>
          </cell>
          <cell r="J808" t="str">
            <v>COILPLUS</v>
          </cell>
          <cell r="K808" t="str">
            <v>D2010134</v>
          </cell>
          <cell r="L808">
            <v>11</v>
          </cell>
          <cell r="M808" t="str">
            <v>01J45N B</v>
          </cell>
          <cell r="N808" t="str">
            <v>J45N</v>
          </cell>
          <cell r="O808" t="str">
            <v xml:space="preserve">1.4306 TP304L </v>
          </cell>
          <cell r="P808" t="str">
            <v>304L</v>
          </cell>
          <cell r="Q808">
            <v>3.1419999999999999</v>
          </cell>
          <cell r="R808">
            <v>3.14</v>
          </cell>
          <cell r="S808">
            <v>0.04</v>
          </cell>
          <cell r="T808">
            <v>4.1700000000000001E-2</v>
          </cell>
          <cell r="U808">
            <v>4.1700000000000001E-2</v>
          </cell>
          <cell r="V808">
            <v>4.1700000000000001E-2</v>
          </cell>
          <cell r="W808" t="str">
            <v>KB</v>
          </cell>
          <cell r="X808">
            <v>2800</v>
          </cell>
          <cell r="Y808">
            <v>1</v>
          </cell>
          <cell r="Z808">
            <v>891.15213239974537</v>
          </cell>
          <cell r="AA808" t="str">
            <v>3.142X0.04-304L</v>
          </cell>
          <cell r="AB808" t="str">
            <v>WAAC007980102B300107</v>
          </cell>
          <cell r="AC808" t="str">
            <v>D2010134</v>
          </cell>
          <cell r="AD808" t="str">
            <v>J45N</v>
          </cell>
          <cell r="AE808">
            <v>1.7000000000000001E-2</v>
          </cell>
          <cell r="AF808">
            <v>1.76</v>
          </cell>
          <cell r="AG808">
            <v>0.03</v>
          </cell>
          <cell r="AH808">
            <v>1E-3</v>
          </cell>
          <cell r="AI808">
            <v>0.23499999999999999</v>
          </cell>
          <cell r="AJ808">
            <v>18</v>
          </cell>
          <cell r="AK808">
            <v>8.1</v>
          </cell>
          <cell r="AL808">
            <v>6.8000000000000005E-2</v>
          </cell>
          <cell r="AM808">
            <v>0.40200000000000002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  <cell r="AS808">
            <v>0</v>
          </cell>
          <cell r="AT808">
            <v>331</v>
          </cell>
          <cell r="AU808">
            <v>379</v>
          </cell>
          <cell r="AV808">
            <v>655</v>
          </cell>
          <cell r="AW808">
            <v>48</v>
          </cell>
          <cell r="AX808">
            <v>85</v>
          </cell>
          <cell r="AY808">
            <v>165</v>
          </cell>
          <cell r="AZ808">
            <v>0.85</v>
          </cell>
          <cell r="BA808" t="str">
            <v>D2010134</v>
          </cell>
          <cell r="BB808" t="str">
            <v>CONFORM</v>
          </cell>
          <cell r="BC808" t="str">
            <v>CONFORM</v>
          </cell>
          <cell r="BD808" t="str">
            <v>CONFORM</v>
          </cell>
          <cell r="BE808" t="str">
            <v>CONFORM</v>
          </cell>
          <cell r="BF808" t="str">
            <v>CONFORM</v>
          </cell>
        </row>
        <row r="809">
          <cell r="A809">
            <v>44131</v>
          </cell>
          <cell r="B809" t="str">
            <v>D2010170-1</v>
          </cell>
          <cell r="C809" t="str">
            <v>073/20</v>
          </cell>
          <cell r="D809">
            <v>1</v>
          </cell>
          <cell r="E809">
            <v>44131</v>
          </cell>
          <cell r="F809" t="str">
            <v>DC</v>
          </cell>
          <cell r="G809" t="str">
            <v>On Time</v>
          </cell>
          <cell r="H809" t="str">
            <v>L411429</v>
          </cell>
          <cell r="I809">
            <v>44127</v>
          </cell>
          <cell r="J809" t="str">
            <v>ATI</v>
          </cell>
          <cell r="K809" t="str">
            <v>D2010170</v>
          </cell>
          <cell r="L809">
            <v>1</v>
          </cell>
          <cell r="M809" t="str">
            <v>AAC90586</v>
          </cell>
          <cell r="N809">
            <v>859905</v>
          </cell>
          <cell r="O809" t="str">
            <v xml:space="preserve">1.4438 TP317L </v>
          </cell>
          <cell r="P809" t="str">
            <v>317L</v>
          </cell>
          <cell r="Q809">
            <v>2.2639999999999998</v>
          </cell>
          <cell r="R809">
            <v>2.2654999999999998</v>
          </cell>
          <cell r="S809">
            <v>6.7000000000000004E-2</v>
          </cell>
          <cell r="T809">
            <v>6.9500000000000006E-2</v>
          </cell>
          <cell r="U809">
            <v>6.9800000000000001E-2</v>
          </cell>
          <cell r="V809">
            <v>6.9650000000000004E-2</v>
          </cell>
          <cell r="W809" t="str">
            <v>AB</v>
          </cell>
          <cell r="X809">
            <v>4832</v>
          </cell>
          <cell r="Y809">
            <v>4</v>
          </cell>
          <cell r="Z809">
            <v>533.56890459363967</v>
          </cell>
          <cell r="AA809" t="str">
            <v>2.264X0.067-317L</v>
          </cell>
          <cell r="AB809" t="str">
            <v>WAAQ005750170B300101</v>
          </cell>
          <cell r="AC809" t="str">
            <v>D2010170</v>
          </cell>
          <cell r="AD809">
            <v>859905</v>
          </cell>
          <cell r="AE809">
            <v>0.02</v>
          </cell>
          <cell r="AF809">
            <v>1.6</v>
          </cell>
          <cell r="AG809">
            <v>2.4E-2</v>
          </cell>
          <cell r="AH809">
            <v>0</v>
          </cell>
          <cell r="AI809">
            <v>0.44</v>
          </cell>
          <cell r="AJ809">
            <v>18.3</v>
          </cell>
          <cell r="AK809">
            <v>14.1</v>
          </cell>
          <cell r="AL809">
            <v>0.06</v>
          </cell>
          <cell r="AM809">
            <v>3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  <cell r="AS809">
            <v>0</v>
          </cell>
          <cell r="AT809">
            <v>331</v>
          </cell>
          <cell r="AU809">
            <v>0</v>
          </cell>
          <cell r="AV809">
            <v>645</v>
          </cell>
          <cell r="AW809">
            <v>46</v>
          </cell>
          <cell r="AX809">
            <v>80</v>
          </cell>
          <cell r="AY809">
            <v>150</v>
          </cell>
          <cell r="AZ809">
            <v>2.2517</v>
          </cell>
          <cell r="BA809" t="str">
            <v>D2010170</v>
          </cell>
          <cell r="BB809" t="str">
            <v>CONFORM</v>
          </cell>
          <cell r="BC809" t="str">
            <v>CONFORM</v>
          </cell>
          <cell r="BD809" t="str">
            <v>CONFORM</v>
          </cell>
          <cell r="BE809" t="str">
            <v>CONFORM</v>
          </cell>
          <cell r="BF809" t="str">
            <v>CONFORM</v>
          </cell>
        </row>
        <row r="810">
          <cell r="A810">
            <v>44131</v>
          </cell>
          <cell r="B810" t="str">
            <v>D2010170-2</v>
          </cell>
          <cell r="C810" t="str">
            <v>073/20</v>
          </cell>
          <cell r="D810">
            <v>1</v>
          </cell>
          <cell r="E810">
            <v>44131</v>
          </cell>
          <cell r="F810" t="str">
            <v>DC</v>
          </cell>
          <cell r="G810" t="str">
            <v>On Time</v>
          </cell>
          <cell r="H810" t="str">
            <v>L411429</v>
          </cell>
          <cell r="I810">
            <v>44127</v>
          </cell>
          <cell r="J810" t="str">
            <v>ATI</v>
          </cell>
          <cell r="K810" t="str">
            <v>D2010170</v>
          </cell>
          <cell r="L810">
            <v>2</v>
          </cell>
          <cell r="M810" t="str">
            <v>AAC90586</v>
          </cell>
          <cell r="N810">
            <v>859905</v>
          </cell>
          <cell r="O810" t="str">
            <v xml:space="preserve">1.4438 TP317L </v>
          </cell>
          <cell r="P810" t="str">
            <v>317L</v>
          </cell>
          <cell r="Q810">
            <v>2.2639999999999998</v>
          </cell>
          <cell r="R810">
            <v>2.2654999999999998</v>
          </cell>
          <cell r="S810">
            <v>6.7000000000000004E-2</v>
          </cell>
          <cell r="T810">
            <v>6.9199999999999998E-2</v>
          </cell>
          <cell r="U810">
            <v>6.9449999999999998E-2</v>
          </cell>
          <cell r="V810">
            <v>6.9324999999999998E-2</v>
          </cell>
          <cell r="W810" t="str">
            <v>AB</v>
          </cell>
          <cell r="X810">
            <v>3624</v>
          </cell>
          <cell r="Y810">
            <v>3</v>
          </cell>
          <cell r="Z810">
            <v>533.56890459363967</v>
          </cell>
          <cell r="AA810" t="str">
            <v>2.264X0.067-317L</v>
          </cell>
          <cell r="AB810" t="str">
            <v>WAAQ005750170B300101</v>
          </cell>
          <cell r="AC810" t="str">
            <v>D2010170</v>
          </cell>
          <cell r="AD810">
            <v>859905</v>
          </cell>
          <cell r="AE810">
            <v>0.02</v>
          </cell>
          <cell r="AF810">
            <v>1.6</v>
          </cell>
          <cell r="AG810">
            <v>2.4E-2</v>
          </cell>
          <cell r="AH810">
            <v>0</v>
          </cell>
          <cell r="AI810">
            <v>0.44</v>
          </cell>
          <cell r="AJ810">
            <v>18.3</v>
          </cell>
          <cell r="AK810">
            <v>14.1</v>
          </cell>
          <cell r="AL810">
            <v>0.06</v>
          </cell>
          <cell r="AM810">
            <v>3</v>
          </cell>
          <cell r="AN810">
            <v>0</v>
          </cell>
          <cell r="AO810">
            <v>0</v>
          </cell>
          <cell r="AP810">
            <v>0</v>
          </cell>
          <cell r="AQ810">
            <v>0</v>
          </cell>
          <cell r="AR810">
            <v>0</v>
          </cell>
          <cell r="AS810">
            <v>0</v>
          </cell>
          <cell r="AT810">
            <v>331</v>
          </cell>
          <cell r="AU810">
            <v>0</v>
          </cell>
          <cell r="AV810">
            <v>645</v>
          </cell>
          <cell r="AW810">
            <v>46</v>
          </cell>
          <cell r="AX810">
            <v>80</v>
          </cell>
          <cell r="AY810">
            <v>150</v>
          </cell>
          <cell r="AZ810">
            <v>2.2517</v>
          </cell>
          <cell r="BA810" t="str">
            <v>D2010170</v>
          </cell>
          <cell r="BB810" t="str">
            <v>CONFORM</v>
          </cell>
          <cell r="BC810" t="str">
            <v>CONFORM</v>
          </cell>
          <cell r="BD810" t="str">
            <v>CONFORM</v>
          </cell>
          <cell r="BE810" t="str">
            <v>CONFORM</v>
          </cell>
          <cell r="BF810" t="str">
            <v>CONFORM</v>
          </cell>
        </row>
        <row r="811">
          <cell r="A811">
            <v>44131</v>
          </cell>
          <cell r="B811" t="str">
            <v>D2010170-3</v>
          </cell>
          <cell r="C811" t="str">
            <v>073/20</v>
          </cell>
          <cell r="D811">
            <v>1</v>
          </cell>
          <cell r="E811">
            <v>44131</v>
          </cell>
          <cell r="F811" t="str">
            <v>DC</v>
          </cell>
          <cell r="G811" t="str">
            <v>On Time</v>
          </cell>
          <cell r="H811" t="str">
            <v>L411429</v>
          </cell>
          <cell r="I811">
            <v>44127</v>
          </cell>
          <cell r="J811" t="str">
            <v>ATI</v>
          </cell>
          <cell r="K811" t="str">
            <v>D2010170</v>
          </cell>
          <cell r="L811">
            <v>3</v>
          </cell>
          <cell r="M811" t="str">
            <v>AAC90586</v>
          </cell>
          <cell r="N811">
            <v>859905</v>
          </cell>
          <cell r="O811" t="str">
            <v xml:space="preserve">1.4438 TP317L </v>
          </cell>
          <cell r="P811" t="str">
            <v>317L</v>
          </cell>
          <cell r="Q811">
            <v>2.2639999999999998</v>
          </cell>
          <cell r="R811">
            <v>2.2654999999999998</v>
          </cell>
          <cell r="S811">
            <v>6.7000000000000004E-2</v>
          </cell>
          <cell r="T811">
            <v>7.0099999999999996E-2</v>
          </cell>
          <cell r="U811">
            <v>7.0400000000000004E-2</v>
          </cell>
          <cell r="V811">
            <v>7.0250000000000007E-2</v>
          </cell>
          <cell r="W811" t="str">
            <v>AB</v>
          </cell>
          <cell r="X811">
            <v>3624</v>
          </cell>
          <cell r="Y811">
            <v>3</v>
          </cell>
          <cell r="Z811">
            <v>533.56890459363967</v>
          </cell>
          <cell r="AA811" t="str">
            <v>2.264X0.067-317L</v>
          </cell>
          <cell r="AB811" t="str">
            <v>WAAQ005750170B300101</v>
          </cell>
          <cell r="AC811" t="str">
            <v>D2010170</v>
          </cell>
          <cell r="AD811">
            <v>859905</v>
          </cell>
          <cell r="AE811">
            <v>0.02</v>
          </cell>
          <cell r="AF811">
            <v>1.6</v>
          </cell>
          <cell r="AG811">
            <v>2.4E-2</v>
          </cell>
          <cell r="AH811">
            <v>0</v>
          </cell>
          <cell r="AI811">
            <v>0.44</v>
          </cell>
          <cell r="AJ811">
            <v>18.3</v>
          </cell>
          <cell r="AK811">
            <v>14.1</v>
          </cell>
          <cell r="AL811">
            <v>0.06</v>
          </cell>
          <cell r="AM811">
            <v>3</v>
          </cell>
          <cell r="AN811">
            <v>0</v>
          </cell>
          <cell r="AO811">
            <v>0</v>
          </cell>
          <cell r="AP811">
            <v>0</v>
          </cell>
          <cell r="AQ811">
            <v>0</v>
          </cell>
          <cell r="AR811">
            <v>0</v>
          </cell>
          <cell r="AS811">
            <v>0</v>
          </cell>
          <cell r="AT811">
            <v>331</v>
          </cell>
          <cell r="AU811">
            <v>0</v>
          </cell>
          <cell r="AV811">
            <v>645</v>
          </cell>
          <cell r="AW811">
            <v>46</v>
          </cell>
          <cell r="AX811">
            <v>80</v>
          </cell>
          <cell r="AY811">
            <v>150</v>
          </cell>
          <cell r="AZ811">
            <v>2.2517</v>
          </cell>
          <cell r="BA811" t="str">
            <v>D2010170</v>
          </cell>
          <cell r="BB811" t="str">
            <v>CONFORM</v>
          </cell>
          <cell r="BC811" t="str">
            <v>CONFORM</v>
          </cell>
          <cell r="BD811" t="str">
            <v>CONFORM</v>
          </cell>
          <cell r="BE811" t="str">
            <v>CONFORM</v>
          </cell>
          <cell r="BF811" t="str">
            <v>CONFORM</v>
          </cell>
        </row>
        <row r="812">
          <cell r="A812">
            <v>44131</v>
          </cell>
          <cell r="B812" t="str">
            <v>D2010170-4</v>
          </cell>
          <cell r="C812" t="str">
            <v>073/20</v>
          </cell>
          <cell r="D812">
            <v>1</v>
          </cell>
          <cell r="E812">
            <v>44131</v>
          </cell>
          <cell r="F812" t="str">
            <v>DC</v>
          </cell>
          <cell r="G812" t="str">
            <v>On Time</v>
          </cell>
          <cell r="H812" t="str">
            <v>L411429</v>
          </cell>
          <cell r="I812">
            <v>44127</v>
          </cell>
          <cell r="J812" t="str">
            <v>ATI</v>
          </cell>
          <cell r="K812" t="str">
            <v>D2010170</v>
          </cell>
          <cell r="L812">
            <v>4</v>
          </cell>
          <cell r="M812" t="str">
            <v>AAC90586</v>
          </cell>
          <cell r="N812">
            <v>859905</v>
          </cell>
          <cell r="O812" t="str">
            <v xml:space="preserve">1.4438 TP317L </v>
          </cell>
          <cell r="P812" t="str">
            <v>317L</v>
          </cell>
          <cell r="Q812">
            <v>2.2639999999999998</v>
          </cell>
          <cell r="R812">
            <v>2.2650000000000001</v>
          </cell>
          <cell r="S812">
            <v>6.7000000000000004E-2</v>
          </cell>
          <cell r="T812">
            <v>7.0349999999999996E-2</v>
          </cell>
          <cell r="U812">
            <v>7.0400000000000004E-2</v>
          </cell>
          <cell r="V812">
            <v>7.0374999999999993E-2</v>
          </cell>
          <cell r="W812" t="str">
            <v>AB</v>
          </cell>
          <cell r="X812">
            <v>4832</v>
          </cell>
          <cell r="Y812">
            <v>4</v>
          </cell>
          <cell r="Z812">
            <v>533.56890459363967</v>
          </cell>
          <cell r="AA812" t="str">
            <v>2.264X0.067-317L</v>
          </cell>
          <cell r="AB812" t="str">
            <v>WAAQ005750170B300101</v>
          </cell>
          <cell r="AC812" t="str">
            <v>D2010170</v>
          </cell>
          <cell r="AD812">
            <v>859905</v>
          </cell>
          <cell r="AE812">
            <v>0.02</v>
          </cell>
          <cell r="AF812">
            <v>1.6</v>
          </cell>
          <cell r="AG812">
            <v>2.4E-2</v>
          </cell>
          <cell r="AH812">
            <v>0</v>
          </cell>
          <cell r="AI812">
            <v>0.44</v>
          </cell>
          <cell r="AJ812">
            <v>18.3</v>
          </cell>
          <cell r="AK812">
            <v>14.1</v>
          </cell>
          <cell r="AL812">
            <v>0.06</v>
          </cell>
          <cell r="AM812">
            <v>3</v>
          </cell>
          <cell r="AN812">
            <v>0</v>
          </cell>
          <cell r="AO812">
            <v>0</v>
          </cell>
          <cell r="AP812">
            <v>0</v>
          </cell>
          <cell r="AQ812">
            <v>0</v>
          </cell>
          <cell r="AR812">
            <v>0</v>
          </cell>
          <cell r="AS812">
            <v>0</v>
          </cell>
          <cell r="AT812">
            <v>331</v>
          </cell>
          <cell r="AU812">
            <v>0</v>
          </cell>
          <cell r="AV812">
            <v>645</v>
          </cell>
          <cell r="AW812">
            <v>46</v>
          </cell>
          <cell r="AX812">
            <v>80</v>
          </cell>
          <cell r="AY812">
            <v>150</v>
          </cell>
          <cell r="AZ812">
            <v>2.2517</v>
          </cell>
          <cell r="BA812" t="str">
            <v>D2010170</v>
          </cell>
          <cell r="BB812" t="str">
            <v>CONFORM</v>
          </cell>
          <cell r="BC812" t="str">
            <v>CONFORM</v>
          </cell>
          <cell r="BD812" t="str">
            <v>CONFORM</v>
          </cell>
          <cell r="BE812" t="str">
            <v>CONFORM</v>
          </cell>
          <cell r="BF812" t="str">
            <v>CONFORM</v>
          </cell>
        </row>
        <row r="813">
          <cell r="A813">
            <v>44131</v>
          </cell>
          <cell r="B813" t="str">
            <v>D2010170-5</v>
          </cell>
          <cell r="C813" t="str">
            <v>073/20</v>
          </cell>
          <cell r="D813">
            <v>1</v>
          </cell>
          <cell r="E813">
            <v>44131</v>
          </cell>
          <cell r="F813" t="str">
            <v>DC</v>
          </cell>
          <cell r="G813" t="str">
            <v>On Time</v>
          </cell>
          <cell r="H813" t="str">
            <v>L411429</v>
          </cell>
          <cell r="I813">
            <v>44127</v>
          </cell>
          <cell r="J813" t="str">
            <v>ATI</v>
          </cell>
          <cell r="K813" t="str">
            <v>D2010170</v>
          </cell>
          <cell r="L813">
            <v>5</v>
          </cell>
          <cell r="M813" t="str">
            <v>AAC90586</v>
          </cell>
          <cell r="N813">
            <v>859905</v>
          </cell>
          <cell r="O813" t="str">
            <v xml:space="preserve">1.4438 TP317L </v>
          </cell>
          <cell r="P813" t="str">
            <v>317L</v>
          </cell>
          <cell r="Q813">
            <v>2.2639999999999998</v>
          </cell>
          <cell r="R813">
            <v>2.2650000000000001</v>
          </cell>
          <cell r="S813">
            <v>6.7000000000000004E-2</v>
          </cell>
          <cell r="T813">
            <v>7.0300000000000001E-2</v>
          </cell>
          <cell r="U813">
            <v>7.0400000000000004E-2</v>
          </cell>
          <cell r="V813">
            <v>7.0349999999999996E-2</v>
          </cell>
          <cell r="W813" t="str">
            <v>AB</v>
          </cell>
          <cell r="X813">
            <v>3624</v>
          </cell>
          <cell r="Y813">
            <v>3</v>
          </cell>
          <cell r="Z813">
            <v>533.56890459363967</v>
          </cell>
          <cell r="AA813" t="str">
            <v>2.264X0.067-317L</v>
          </cell>
          <cell r="AB813" t="str">
            <v>WAAQ005750170B300101</v>
          </cell>
          <cell r="AC813" t="str">
            <v>D2010170</v>
          </cell>
          <cell r="AD813">
            <v>859905</v>
          </cell>
          <cell r="AE813">
            <v>0.02</v>
          </cell>
          <cell r="AF813">
            <v>1.6</v>
          </cell>
          <cell r="AG813">
            <v>2.4E-2</v>
          </cell>
          <cell r="AH813">
            <v>0</v>
          </cell>
          <cell r="AI813">
            <v>0.44</v>
          </cell>
          <cell r="AJ813">
            <v>18.3</v>
          </cell>
          <cell r="AK813">
            <v>14.1</v>
          </cell>
          <cell r="AL813">
            <v>0.06</v>
          </cell>
          <cell r="AM813">
            <v>3</v>
          </cell>
          <cell r="AN813">
            <v>0</v>
          </cell>
          <cell r="AO813">
            <v>0</v>
          </cell>
          <cell r="AP813">
            <v>0</v>
          </cell>
          <cell r="AQ813">
            <v>0</v>
          </cell>
          <cell r="AR813">
            <v>0</v>
          </cell>
          <cell r="AS813">
            <v>0</v>
          </cell>
          <cell r="AT813">
            <v>331</v>
          </cell>
          <cell r="AU813">
            <v>0</v>
          </cell>
          <cell r="AV813">
            <v>645</v>
          </cell>
          <cell r="AW813">
            <v>46</v>
          </cell>
          <cell r="AX813">
            <v>80</v>
          </cell>
          <cell r="AY813">
            <v>150</v>
          </cell>
          <cell r="AZ813">
            <v>2.2517</v>
          </cell>
          <cell r="BA813" t="str">
            <v>D2010170</v>
          </cell>
          <cell r="BB813" t="str">
            <v>CONFORM</v>
          </cell>
          <cell r="BC813" t="str">
            <v>CONFORM</v>
          </cell>
          <cell r="BD813" t="str">
            <v>CONFORM</v>
          </cell>
          <cell r="BE813" t="str">
            <v>CONFORM</v>
          </cell>
          <cell r="BF813" t="str">
            <v>CONFORM</v>
          </cell>
        </row>
        <row r="814">
          <cell r="A814">
            <v>44131</v>
          </cell>
          <cell r="B814" t="str">
            <v>D2010170-6</v>
          </cell>
          <cell r="C814" t="str">
            <v>073/20</v>
          </cell>
          <cell r="D814">
            <v>1</v>
          </cell>
          <cell r="E814">
            <v>44131</v>
          </cell>
          <cell r="F814" t="str">
            <v>DC</v>
          </cell>
          <cell r="G814" t="str">
            <v>On Time</v>
          </cell>
          <cell r="H814" t="str">
            <v>L411429</v>
          </cell>
          <cell r="I814">
            <v>44127</v>
          </cell>
          <cell r="J814" t="str">
            <v>ATI</v>
          </cell>
          <cell r="K814" t="str">
            <v>D2010170</v>
          </cell>
          <cell r="L814">
            <v>6</v>
          </cell>
          <cell r="M814" t="str">
            <v>AAC90586</v>
          </cell>
          <cell r="N814">
            <v>859905</v>
          </cell>
          <cell r="O814" t="str">
            <v xml:space="preserve">1.4438 TP317L </v>
          </cell>
          <cell r="P814" t="str">
            <v>317L</v>
          </cell>
          <cell r="Q814">
            <v>2.2639999999999998</v>
          </cell>
          <cell r="R814">
            <v>2.2654999999999998</v>
          </cell>
          <cell r="S814">
            <v>6.7000000000000004E-2</v>
          </cell>
          <cell r="T814">
            <v>7.0050000000000001E-2</v>
          </cell>
          <cell r="U814">
            <v>7.0000000000000007E-2</v>
          </cell>
          <cell r="V814">
            <v>7.0025000000000004E-2</v>
          </cell>
          <cell r="W814" t="str">
            <v>AB</v>
          </cell>
          <cell r="X814">
            <v>3624</v>
          </cell>
          <cell r="Y814">
            <v>3</v>
          </cell>
          <cell r="Z814">
            <v>533.56890459363967</v>
          </cell>
          <cell r="AA814" t="str">
            <v>2.264X0.067-317L</v>
          </cell>
          <cell r="AB814" t="str">
            <v>WAAQ005750170B300101</v>
          </cell>
          <cell r="AC814" t="str">
            <v>D2010170</v>
          </cell>
          <cell r="AD814">
            <v>859905</v>
          </cell>
          <cell r="AE814">
            <v>0.02</v>
          </cell>
          <cell r="AF814">
            <v>1.6</v>
          </cell>
          <cell r="AG814">
            <v>2.4E-2</v>
          </cell>
          <cell r="AH814">
            <v>0</v>
          </cell>
          <cell r="AI814">
            <v>0.44</v>
          </cell>
          <cell r="AJ814">
            <v>18.3</v>
          </cell>
          <cell r="AK814">
            <v>14.1</v>
          </cell>
          <cell r="AL814">
            <v>0.06</v>
          </cell>
          <cell r="AM814">
            <v>3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  <cell r="AR814">
            <v>0</v>
          </cell>
          <cell r="AS814">
            <v>0</v>
          </cell>
          <cell r="AT814">
            <v>331</v>
          </cell>
          <cell r="AU814">
            <v>0</v>
          </cell>
          <cell r="AV814">
            <v>645</v>
          </cell>
          <cell r="AW814">
            <v>46</v>
          </cell>
          <cell r="AX814">
            <v>80</v>
          </cell>
          <cell r="AY814">
            <v>150</v>
          </cell>
          <cell r="AZ814">
            <v>2.2517</v>
          </cell>
          <cell r="BA814" t="str">
            <v>D2010170</v>
          </cell>
          <cell r="BB814" t="str">
            <v>CONFORM</v>
          </cell>
          <cell r="BC814" t="str">
            <v>CONFORM</v>
          </cell>
          <cell r="BD814" t="str">
            <v>CONFORM</v>
          </cell>
          <cell r="BE814" t="str">
            <v>CONFORM</v>
          </cell>
          <cell r="BF814" t="str">
            <v>CONFORM</v>
          </cell>
        </row>
        <row r="815">
          <cell r="A815">
            <v>44139</v>
          </cell>
          <cell r="B815" t="str">
            <v>D2011034-1</v>
          </cell>
          <cell r="C815" t="str">
            <v>084/20</v>
          </cell>
          <cell r="D815">
            <v>8</v>
          </cell>
          <cell r="E815">
            <v>44139</v>
          </cell>
          <cell r="F815" t="str">
            <v>DC</v>
          </cell>
          <cell r="G815" t="str">
            <v>On Time</v>
          </cell>
          <cell r="H815">
            <v>657</v>
          </cell>
          <cell r="I815">
            <v>44134</v>
          </cell>
          <cell r="J815" t="str">
            <v>ADTI</v>
          </cell>
          <cell r="K815" t="str">
            <v>D2011034</v>
          </cell>
          <cell r="L815">
            <v>1</v>
          </cell>
          <cell r="M815" t="str">
            <v>A2010009</v>
          </cell>
          <cell r="N815">
            <v>57506</v>
          </cell>
          <cell r="O815" t="str">
            <v xml:space="preserve">1.4401/1.4404 TP316/316L </v>
          </cell>
          <cell r="P815" t="str">
            <v>316L</v>
          </cell>
          <cell r="Q815">
            <v>2.3860000000000001</v>
          </cell>
          <cell r="R815">
            <v>2.3864999999999998</v>
          </cell>
          <cell r="S815">
            <v>2.7E-2</v>
          </cell>
          <cell r="T815">
            <v>2.8199999999999999E-2</v>
          </cell>
          <cell r="V815">
            <v>2.8199999999999999E-2</v>
          </cell>
          <cell r="W815" t="str">
            <v>AB</v>
          </cell>
          <cell r="X815">
            <v>4735</v>
          </cell>
          <cell r="Y815">
            <v>3</v>
          </cell>
          <cell r="Z815">
            <v>661.49762503492593</v>
          </cell>
          <cell r="AA815" t="str">
            <v>2.386X0.027-316L</v>
          </cell>
          <cell r="AB815" t="str">
            <v>WAAF006060070B300086</v>
          </cell>
          <cell r="AC815" t="str">
            <v>D2011034</v>
          </cell>
          <cell r="AD815">
            <v>57506</v>
          </cell>
          <cell r="AE815">
            <v>2.3E-2</v>
          </cell>
          <cell r="AF815">
            <v>0.93</v>
          </cell>
          <cell r="AG815">
            <v>3.3000000000000002E-2</v>
          </cell>
          <cell r="AH815">
            <v>1E-3</v>
          </cell>
          <cell r="AI815">
            <v>0.5</v>
          </cell>
          <cell r="AJ815">
            <v>17.2</v>
          </cell>
          <cell r="AK815">
            <v>10</v>
          </cell>
          <cell r="AL815">
            <v>3.3000000000000002E-2</v>
          </cell>
          <cell r="AM815">
            <v>2.0299999999999998</v>
          </cell>
          <cell r="AN815">
            <v>0</v>
          </cell>
          <cell r="AO815">
            <v>0</v>
          </cell>
          <cell r="AP815">
            <v>0</v>
          </cell>
          <cell r="AQ815">
            <v>0</v>
          </cell>
          <cell r="AR815">
            <v>0</v>
          </cell>
          <cell r="AS815">
            <v>0</v>
          </cell>
          <cell r="AT815">
            <v>276</v>
          </cell>
          <cell r="AU815">
            <v>312</v>
          </cell>
          <cell r="AV815">
            <v>599</v>
          </cell>
          <cell r="AW815">
            <v>61</v>
          </cell>
          <cell r="AY815" t="str">
            <v/>
          </cell>
          <cell r="AZ815">
            <v>1.6</v>
          </cell>
          <cell r="BA815" t="str">
            <v>D2011034</v>
          </cell>
          <cell r="BB815" t="str">
            <v>CONFORM</v>
          </cell>
          <cell r="BC815" t="str">
            <v>CONFORM</v>
          </cell>
          <cell r="BD815" t="str">
            <v>CONFORM</v>
          </cell>
          <cell r="BE815" t="str">
            <v>CONFORM</v>
          </cell>
          <cell r="BF815" t="str">
            <v>CONFORM</v>
          </cell>
        </row>
        <row r="816">
          <cell r="A816">
            <v>44139</v>
          </cell>
          <cell r="B816" t="str">
            <v>D2011034-2</v>
          </cell>
          <cell r="C816" t="str">
            <v>084/20</v>
          </cell>
          <cell r="D816">
            <v>8</v>
          </cell>
          <cell r="E816">
            <v>44139</v>
          </cell>
          <cell r="F816" t="str">
            <v>DC</v>
          </cell>
          <cell r="G816" t="str">
            <v>On Time</v>
          </cell>
          <cell r="H816">
            <v>657</v>
          </cell>
          <cell r="I816">
            <v>44134</v>
          </cell>
          <cell r="J816" t="str">
            <v>ADTI</v>
          </cell>
          <cell r="K816" t="str">
            <v>D2011034</v>
          </cell>
          <cell r="L816">
            <v>2</v>
          </cell>
          <cell r="M816" t="str">
            <v>A2010009</v>
          </cell>
          <cell r="N816">
            <v>57506</v>
          </cell>
          <cell r="O816" t="str">
            <v xml:space="preserve">1.4401/1.4404 TP316/316L </v>
          </cell>
          <cell r="P816" t="str">
            <v>316L</v>
          </cell>
          <cell r="Q816">
            <v>2.3860000000000001</v>
          </cell>
          <cell r="R816">
            <v>2.3805499999999999</v>
          </cell>
          <cell r="S816">
            <v>2.7E-2</v>
          </cell>
          <cell r="T816">
            <v>2.785E-2</v>
          </cell>
          <cell r="V816">
            <v>2.785E-2</v>
          </cell>
          <cell r="W816" t="str">
            <v>AB</v>
          </cell>
          <cell r="X816">
            <v>6230</v>
          </cell>
          <cell r="Y816">
            <v>4</v>
          </cell>
          <cell r="Z816">
            <v>652.76613579212062</v>
          </cell>
          <cell r="AA816" t="str">
            <v>2.386X0.027-316L</v>
          </cell>
          <cell r="AB816" t="str">
            <v>WAAF006060070B300086</v>
          </cell>
          <cell r="AC816" t="str">
            <v>D2011034</v>
          </cell>
          <cell r="AD816">
            <v>57506</v>
          </cell>
          <cell r="AE816">
            <v>2.3E-2</v>
          </cell>
          <cell r="AF816">
            <v>0.93</v>
          </cell>
          <cell r="AG816">
            <v>3.3000000000000002E-2</v>
          </cell>
          <cell r="AH816">
            <v>1E-3</v>
          </cell>
          <cell r="AI816">
            <v>0.5</v>
          </cell>
          <cell r="AJ816">
            <v>17.2</v>
          </cell>
          <cell r="AK816">
            <v>10</v>
          </cell>
          <cell r="AL816">
            <v>3.3000000000000002E-2</v>
          </cell>
          <cell r="AM816">
            <v>2.0299999999999998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  <cell r="AR816">
            <v>0</v>
          </cell>
          <cell r="AS816">
            <v>0</v>
          </cell>
          <cell r="AT816">
            <v>276</v>
          </cell>
          <cell r="AU816">
            <v>312</v>
          </cell>
          <cell r="AV816">
            <v>599</v>
          </cell>
          <cell r="AW816">
            <v>61</v>
          </cell>
          <cell r="AY816" t="str">
            <v/>
          </cell>
          <cell r="AZ816">
            <v>1.6</v>
          </cell>
          <cell r="BA816" t="str">
            <v>D2011034</v>
          </cell>
          <cell r="BB816" t="str">
            <v>CONFORM</v>
          </cell>
          <cell r="BC816" t="str">
            <v>CONFORM</v>
          </cell>
          <cell r="BD816" t="str">
            <v>CONFORM</v>
          </cell>
          <cell r="BE816" t="str">
            <v>CONFORM</v>
          </cell>
          <cell r="BF816" t="str">
            <v>CONFORM</v>
          </cell>
        </row>
        <row r="817">
          <cell r="A817">
            <v>44139</v>
          </cell>
          <cell r="B817" t="str">
            <v>D2011035-1</v>
          </cell>
          <cell r="C817" t="str">
            <v>084/20</v>
          </cell>
          <cell r="D817">
            <v>9</v>
          </cell>
          <cell r="E817">
            <v>44139</v>
          </cell>
          <cell r="F817" t="str">
            <v>DC</v>
          </cell>
          <cell r="G817" t="str">
            <v>On Time</v>
          </cell>
          <cell r="H817">
            <v>657</v>
          </cell>
          <cell r="I817">
            <v>44134</v>
          </cell>
          <cell r="J817" t="str">
            <v>ADTI</v>
          </cell>
          <cell r="K817" t="str">
            <v>D2011035</v>
          </cell>
          <cell r="L817">
            <v>1</v>
          </cell>
          <cell r="M817" t="str">
            <v>A2010008</v>
          </cell>
          <cell r="N817" t="str">
            <v>019820</v>
          </cell>
          <cell r="O817" t="str">
            <v xml:space="preserve">1.4462 UNS S31803/S32205 </v>
          </cell>
          <cell r="P817" t="str">
            <v>2205</v>
          </cell>
          <cell r="Q817">
            <v>2.323</v>
          </cell>
          <cell r="R817">
            <v>2.3239999999999998</v>
          </cell>
          <cell r="S817">
            <v>4.7E-2</v>
          </cell>
          <cell r="T817">
            <v>4.6850000000000003E-2</v>
          </cell>
          <cell r="V817">
            <v>4.6850000000000003E-2</v>
          </cell>
          <cell r="W817" t="str">
            <v>AB</v>
          </cell>
          <cell r="X817">
            <v>5456</v>
          </cell>
          <cell r="Y817">
            <v>6</v>
          </cell>
          <cell r="Z817">
            <v>391.44784043621758</v>
          </cell>
          <cell r="AA817" t="str">
            <v>2.323X0.047-2205</v>
          </cell>
          <cell r="AB817" t="str">
            <v>WACN005900120B300052</v>
          </cell>
          <cell r="AC817" t="str">
            <v>D2011035</v>
          </cell>
          <cell r="AD817" t="str">
            <v>019820</v>
          </cell>
          <cell r="AE817">
            <v>2.5999999999999999E-2</v>
          </cell>
          <cell r="AF817">
            <v>1.35</v>
          </cell>
          <cell r="AG817">
            <v>3.1E-2</v>
          </cell>
          <cell r="AH817">
            <v>2E-3</v>
          </cell>
          <cell r="AI817">
            <v>0.41</v>
          </cell>
          <cell r="AJ817">
            <v>18</v>
          </cell>
          <cell r="AK817">
            <v>8</v>
          </cell>
          <cell r="AL817">
            <v>6.8000000000000005E-2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  <cell r="AR817">
            <v>0.34</v>
          </cell>
          <cell r="AS817">
            <v>0</v>
          </cell>
          <cell r="AT817">
            <v>273</v>
          </cell>
          <cell r="AU817">
            <v>306</v>
          </cell>
          <cell r="AV817">
            <v>639</v>
          </cell>
          <cell r="AW817">
            <v>57</v>
          </cell>
          <cell r="AX817">
            <v>83</v>
          </cell>
          <cell r="AY817">
            <v>159</v>
          </cell>
          <cell r="AZ817">
            <v>2.004</v>
          </cell>
          <cell r="BA817" t="str">
            <v>D2011035</v>
          </cell>
          <cell r="BB817" t="str">
            <v>CONFORM</v>
          </cell>
          <cell r="BC817" t="str">
            <v>CONFORM</v>
          </cell>
          <cell r="BD817" t="str">
            <v>CONFORM</v>
          </cell>
          <cell r="BE817" t="str">
            <v>CONFORM</v>
          </cell>
          <cell r="BF817" t="str">
            <v>CONFORM</v>
          </cell>
        </row>
        <row r="818">
          <cell r="A818">
            <v>44139</v>
          </cell>
          <cell r="B818" t="str">
            <v>D2011036-1</v>
          </cell>
          <cell r="C818" t="str">
            <v>084/20</v>
          </cell>
          <cell r="D818">
            <v>3</v>
          </cell>
          <cell r="E818">
            <v>44139</v>
          </cell>
          <cell r="F818" t="str">
            <v>DC</v>
          </cell>
          <cell r="G818" t="str">
            <v>On Time</v>
          </cell>
          <cell r="H818">
            <v>657</v>
          </cell>
          <cell r="I818">
            <v>44134</v>
          </cell>
          <cell r="J818" t="str">
            <v>ADTI</v>
          </cell>
          <cell r="K818" t="str">
            <v>D2011036</v>
          </cell>
          <cell r="L818">
            <v>1</v>
          </cell>
          <cell r="M818" t="str">
            <v>A2010004</v>
          </cell>
          <cell r="N818" t="str">
            <v>0456372</v>
          </cell>
          <cell r="O818" t="str">
            <v xml:space="preserve">1.4306 TP304L </v>
          </cell>
          <cell r="P818" t="str">
            <v>304L</v>
          </cell>
          <cell r="Q818">
            <v>2.3620000000000001</v>
          </cell>
          <cell r="R818">
            <v>2.3650000000000002</v>
          </cell>
          <cell r="S818">
            <v>3.5000000000000003E-2</v>
          </cell>
          <cell r="T818">
            <v>3.585E-2</v>
          </cell>
          <cell r="V818">
            <v>3.585E-2</v>
          </cell>
          <cell r="W818" t="str">
            <v>AB</v>
          </cell>
          <cell r="X818">
            <v>2806</v>
          </cell>
          <cell r="Y818">
            <v>3</v>
          </cell>
          <cell r="Z818">
            <v>395.99209709285918</v>
          </cell>
          <cell r="AA818" t="str">
            <v>2.362X0.035-304L</v>
          </cell>
          <cell r="AB818" t="str">
            <v>WAAC006000090B200104</v>
          </cell>
          <cell r="AC818" t="str">
            <v>D2011036</v>
          </cell>
          <cell r="AD818" t="str">
            <v>0456372</v>
          </cell>
          <cell r="AE818">
            <v>2.1000000000000001E-2</v>
          </cell>
          <cell r="AF818">
            <v>1.77</v>
          </cell>
          <cell r="AG818">
            <v>3.1E-2</v>
          </cell>
          <cell r="AH818">
            <v>1E-3</v>
          </cell>
          <cell r="AI818">
            <v>0.31</v>
          </cell>
          <cell r="AJ818">
            <v>18</v>
          </cell>
          <cell r="AK818">
            <v>8</v>
          </cell>
          <cell r="AL818">
            <v>6.4000000000000001E-2</v>
          </cell>
          <cell r="AM818">
            <v>0.31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  <cell r="AR818">
            <v>0.36</v>
          </cell>
          <cell r="AS818">
            <v>0</v>
          </cell>
          <cell r="AT818">
            <v>279</v>
          </cell>
          <cell r="AU818">
            <v>313</v>
          </cell>
          <cell r="AV818">
            <v>620</v>
          </cell>
          <cell r="AW818">
            <v>55</v>
          </cell>
          <cell r="AX818">
            <v>81</v>
          </cell>
          <cell r="AY818">
            <v>153</v>
          </cell>
          <cell r="AZ818">
            <v>1.105</v>
          </cell>
          <cell r="BA818" t="str">
            <v>D2011036</v>
          </cell>
          <cell r="BB818" t="str">
            <v>CONFORM</v>
          </cell>
          <cell r="BC818" t="str">
            <v>CONFORM</v>
          </cell>
          <cell r="BD818" t="str">
            <v>CONFORM</v>
          </cell>
          <cell r="BE818" t="str">
            <v>CONFORM</v>
          </cell>
          <cell r="BF818" t="str">
            <v>CONFORM</v>
          </cell>
        </row>
        <row r="819">
          <cell r="A819">
            <v>44139</v>
          </cell>
          <cell r="B819" t="str">
            <v>D2011036-2</v>
          </cell>
          <cell r="C819" t="str">
            <v>084/20</v>
          </cell>
          <cell r="D819">
            <v>3</v>
          </cell>
          <cell r="E819">
            <v>44139</v>
          </cell>
          <cell r="F819" t="str">
            <v>DC</v>
          </cell>
          <cell r="G819" t="str">
            <v>On Time</v>
          </cell>
          <cell r="H819">
            <v>657</v>
          </cell>
          <cell r="I819">
            <v>44134</v>
          </cell>
          <cell r="J819" t="str">
            <v>ADTI</v>
          </cell>
          <cell r="K819" t="str">
            <v>D2011036</v>
          </cell>
          <cell r="L819">
            <v>2</v>
          </cell>
          <cell r="M819" t="str">
            <v>A2010004</v>
          </cell>
          <cell r="N819" t="str">
            <v>0456372</v>
          </cell>
          <cell r="O819" t="str">
            <v xml:space="preserve">1.4306 TP304L </v>
          </cell>
          <cell r="P819" t="str">
            <v>304L</v>
          </cell>
          <cell r="Q819">
            <v>2.3620000000000001</v>
          </cell>
          <cell r="R819">
            <v>2.3624999999999998</v>
          </cell>
          <cell r="S819">
            <v>3.5000000000000003E-2</v>
          </cell>
          <cell r="T819">
            <v>3.5049999999999998E-2</v>
          </cell>
          <cell r="V819">
            <v>3.5049999999999998E-2</v>
          </cell>
          <cell r="W819" t="str">
            <v>AB</v>
          </cell>
          <cell r="X819">
            <v>2564</v>
          </cell>
          <cell r="Y819">
            <v>3</v>
          </cell>
          <cell r="Z819">
            <v>361.84024837708154</v>
          </cell>
          <cell r="AA819" t="str">
            <v>2.362X0.035-304L</v>
          </cell>
          <cell r="AB819" t="str">
            <v>WAAC006000090B200104</v>
          </cell>
          <cell r="AC819" t="str">
            <v>D2011036</v>
          </cell>
          <cell r="AD819" t="str">
            <v>0456372</v>
          </cell>
          <cell r="AE819">
            <v>2.1000000000000001E-2</v>
          </cell>
          <cell r="AF819">
            <v>1.77</v>
          </cell>
          <cell r="AG819">
            <v>3.1E-2</v>
          </cell>
          <cell r="AH819">
            <v>1E-3</v>
          </cell>
          <cell r="AI819">
            <v>0.31</v>
          </cell>
          <cell r="AJ819">
            <v>18</v>
          </cell>
          <cell r="AK819">
            <v>8</v>
          </cell>
          <cell r="AL819">
            <v>6.4000000000000001E-2</v>
          </cell>
          <cell r="AM819">
            <v>0.31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  <cell r="AR819">
            <v>0.36</v>
          </cell>
          <cell r="AS819">
            <v>0</v>
          </cell>
          <cell r="AT819">
            <v>279</v>
          </cell>
          <cell r="AU819">
            <v>313</v>
          </cell>
          <cell r="AV819">
            <v>620</v>
          </cell>
          <cell r="AW819">
            <v>55</v>
          </cell>
          <cell r="AX819">
            <v>81</v>
          </cell>
          <cell r="AY819">
            <v>153</v>
          </cell>
          <cell r="AZ819">
            <v>1.105</v>
          </cell>
          <cell r="BA819" t="str">
            <v>D2011036</v>
          </cell>
          <cell r="BB819" t="str">
            <v>CONFORM</v>
          </cell>
          <cell r="BC819" t="str">
            <v>CONFORM</v>
          </cell>
          <cell r="BD819" t="str">
            <v>CONFORM</v>
          </cell>
          <cell r="BE819" t="str">
            <v>CONFORM</v>
          </cell>
          <cell r="BF819" t="str">
            <v>CONFORM</v>
          </cell>
        </row>
        <row r="820">
          <cell r="A820">
            <v>44139</v>
          </cell>
          <cell r="B820" t="str">
            <v>D2011037-1</v>
          </cell>
          <cell r="C820" t="str">
            <v>084/20</v>
          </cell>
          <cell r="D820">
            <v>4</v>
          </cell>
          <cell r="E820">
            <v>44139</v>
          </cell>
          <cell r="F820" t="str">
            <v>DC</v>
          </cell>
          <cell r="G820" t="str">
            <v>On Time</v>
          </cell>
          <cell r="H820">
            <v>657</v>
          </cell>
          <cell r="I820">
            <v>44134</v>
          </cell>
          <cell r="J820" t="str">
            <v>ADTI</v>
          </cell>
          <cell r="K820" t="str">
            <v>D2011037</v>
          </cell>
          <cell r="L820">
            <v>1</v>
          </cell>
          <cell r="M820" t="str">
            <v>A2010003</v>
          </cell>
          <cell r="N820" t="str">
            <v>0456372</v>
          </cell>
          <cell r="O820" t="str">
            <v xml:space="preserve">1.4306 TP304L </v>
          </cell>
          <cell r="P820" t="str">
            <v>304L</v>
          </cell>
          <cell r="Q820">
            <v>1.948</v>
          </cell>
          <cell r="R820">
            <v>1.8505</v>
          </cell>
          <cell r="S820">
            <v>3.5000000000000003E-2</v>
          </cell>
          <cell r="T820">
            <v>3.5700000000000003E-2</v>
          </cell>
          <cell r="V820">
            <v>3.5700000000000003E-2</v>
          </cell>
          <cell r="W820" t="str">
            <v>AB</v>
          </cell>
          <cell r="X820">
            <v>1539</v>
          </cell>
          <cell r="Y820">
            <v>2</v>
          </cell>
          <cell r="Z820">
            <v>395.02053388090349</v>
          </cell>
          <cell r="AA820" t="str">
            <v>1.948X0.035-304L</v>
          </cell>
          <cell r="AB820" t="str">
            <v>WAAC004950089B200032</v>
          </cell>
          <cell r="AC820" t="str">
            <v>D2011037</v>
          </cell>
          <cell r="AD820" t="str">
            <v>0456372</v>
          </cell>
          <cell r="AE820">
            <v>2.1000000000000001E-2</v>
          </cell>
          <cell r="AF820">
            <v>1.77</v>
          </cell>
          <cell r="AG820">
            <v>3.1E-2</v>
          </cell>
          <cell r="AH820">
            <v>1E-3</v>
          </cell>
          <cell r="AI820">
            <v>0.31</v>
          </cell>
          <cell r="AJ820">
            <v>18</v>
          </cell>
          <cell r="AK820">
            <v>8</v>
          </cell>
          <cell r="AL820">
            <v>6.4000000000000001E-2</v>
          </cell>
          <cell r="AM820">
            <v>0.31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  <cell r="AR820">
            <v>0.36</v>
          </cell>
          <cell r="AS820">
            <v>0</v>
          </cell>
          <cell r="AT820">
            <v>279</v>
          </cell>
          <cell r="AU820">
            <v>313</v>
          </cell>
          <cell r="AV820">
            <v>620</v>
          </cell>
          <cell r="AW820">
            <v>55</v>
          </cell>
          <cell r="AX820">
            <v>81</v>
          </cell>
          <cell r="AY820">
            <v>153</v>
          </cell>
          <cell r="AZ820">
            <v>1.105</v>
          </cell>
          <cell r="BA820" t="str">
            <v>D2011037</v>
          </cell>
          <cell r="BB820" t="str">
            <v>CONFORM</v>
          </cell>
          <cell r="BC820" t="str">
            <v>CONFORM</v>
          </cell>
          <cell r="BD820" t="str">
            <v>CONFORM</v>
          </cell>
          <cell r="BE820" t="str">
            <v>CONFORM</v>
          </cell>
          <cell r="BF820" t="str">
            <v>CONFORM</v>
          </cell>
        </row>
        <row r="821">
          <cell r="A821">
            <v>44139</v>
          </cell>
          <cell r="B821" t="str">
            <v>D2011037-2</v>
          </cell>
          <cell r="C821" t="str">
            <v>084/20</v>
          </cell>
          <cell r="D821">
            <v>4</v>
          </cell>
          <cell r="E821">
            <v>44139</v>
          </cell>
          <cell r="F821" t="str">
            <v>DC</v>
          </cell>
          <cell r="G821" t="str">
            <v>On Time</v>
          </cell>
          <cell r="H821">
            <v>657</v>
          </cell>
          <cell r="I821">
            <v>44134</v>
          </cell>
          <cell r="J821" t="str">
            <v>ADTI</v>
          </cell>
          <cell r="K821" t="str">
            <v>D2011037</v>
          </cell>
          <cell r="L821">
            <v>2</v>
          </cell>
          <cell r="M821" t="str">
            <v>A2010003</v>
          </cell>
          <cell r="N821" t="str">
            <v>0456372</v>
          </cell>
          <cell r="O821" t="str">
            <v xml:space="preserve">1.4306 TP304L </v>
          </cell>
          <cell r="P821" t="str">
            <v>304L</v>
          </cell>
          <cell r="Q821">
            <v>1.948</v>
          </cell>
          <cell r="R821">
            <v>1.9484999999999999</v>
          </cell>
          <cell r="S821">
            <v>3.5000000000000003E-2</v>
          </cell>
          <cell r="T821">
            <v>3.4799999999999998E-2</v>
          </cell>
          <cell r="V821">
            <v>3.4799999999999998E-2</v>
          </cell>
          <cell r="W821" t="str">
            <v>AB</v>
          </cell>
          <cell r="X821">
            <v>4246</v>
          </cell>
          <cell r="Y821">
            <v>6</v>
          </cell>
          <cell r="Z821">
            <v>363.27857631759071</v>
          </cell>
          <cell r="AA821" t="str">
            <v>1.948X0.035-304L</v>
          </cell>
          <cell r="AB821" t="str">
            <v>WAAC004950089B200032</v>
          </cell>
          <cell r="AC821" t="str">
            <v>D2011037</v>
          </cell>
          <cell r="AD821" t="str">
            <v>0456372</v>
          </cell>
          <cell r="AE821">
            <v>2.1000000000000001E-2</v>
          </cell>
          <cell r="AF821">
            <v>1.77</v>
          </cell>
          <cell r="AG821">
            <v>3.1E-2</v>
          </cell>
          <cell r="AH821">
            <v>1E-3</v>
          </cell>
          <cell r="AI821">
            <v>0.31</v>
          </cell>
          <cell r="AJ821">
            <v>18</v>
          </cell>
          <cell r="AK821">
            <v>8</v>
          </cell>
          <cell r="AL821">
            <v>6.4000000000000001E-2</v>
          </cell>
          <cell r="AM821">
            <v>0.31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  <cell r="AR821">
            <v>0.36</v>
          </cell>
          <cell r="AS821">
            <v>0</v>
          </cell>
          <cell r="AT821">
            <v>279</v>
          </cell>
          <cell r="AU821">
            <v>313</v>
          </cell>
          <cell r="AV821">
            <v>620</v>
          </cell>
          <cell r="AW821">
            <v>55</v>
          </cell>
          <cell r="AX821">
            <v>81</v>
          </cell>
          <cell r="AY821">
            <v>153</v>
          </cell>
          <cell r="AZ821">
            <v>1.105</v>
          </cell>
          <cell r="BA821" t="str">
            <v>D2011037</v>
          </cell>
          <cell r="BB821" t="str">
            <v>CONFORM</v>
          </cell>
          <cell r="BC821" t="str">
            <v>CONFORM</v>
          </cell>
          <cell r="BD821" t="str">
            <v>CONFORM</v>
          </cell>
          <cell r="BE821" t="str">
            <v>CONFORM</v>
          </cell>
          <cell r="BF821" t="str">
            <v>CONFORM</v>
          </cell>
        </row>
        <row r="822">
          <cell r="A822">
            <v>44139</v>
          </cell>
          <cell r="B822" t="str">
            <v>D2011038-1</v>
          </cell>
          <cell r="C822" t="str">
            <v>084/20</v>
          </cell>
          <cell r="D822">
            <v>6</v>
          </cell>
          <cell r="E822">
            <v>44139</v>
          </cell>
          <cell r="F822" t="str">
            <v>DC</v>
          </cell>
          <cell r="G822" t="str">
            <v>On Time</v>
          </cell>
          <cell r="H822">
            <v>657</v>
          </cell>
          <cell r="I822">
            <v>44134</v>
          </cell>
          <cell r="J822" t="str">
            <v>ADTI</v>
          </cell>
          <cell r="K822" t="str">
            <v>D2011038</v>
          </cell>
          <cell r="L822">
            <v>1</v>
          </cell>
          <cell r="M822" t="str">
            <v>A2010010</v>
          </cell>
          <cell r="N822">
            <v>500697</v>
          </cell>
          <cell r="O822" t="str">
            <v xml:space="preserve">1.4462 UNS S31803/S32205 </v>
          </cell>
          <cell r="P822" t="str">
            <v>2205</v>
          </cell>
          <cell r="Q822">
            <v>2.323</v>
          </cell>
          <cell r="R822">
            <v>2.3224999999999998</v>
          </cell>
          <cell r="S822">
            <v>4.7E-2</v>
          </cell>
          <cell r="T822">
            <v>4.9000000000000002E-2</v>
          </cell>
          <cell r="V822">
            <v>4.9000000000000002E-2</v>
          </cell>
          <cell r="W822" t="str">
            <v>AB</v>
          </cell>
          <cell r="X822">
            <v>5026</v>
          </cell>
          <cell r="Y822">
            <v>4</v>
          </cell>
          <cell r="Z822">
            <v>540.89539388721482</v>
          </cell>
          <cell r="AA822" t="str">
            <v>2.323X0.047-2205</v>
          </cell>
          <cell r="AB822" t="str">
            <v>WACN005900120B300052</v>
          </cell>
          <cell r="AC822" t="str">
            <v>D2011038</v>
          </cell>
          <cell r="AD822">
            <v>500697</v>
          </cell>
          <cell r="AE822">
            <v>1.4E-2</v>
          </cell>
          <cell r="AF822">
            <v>1.36</v>
          </cell>
          <cell r="AG822">
            <v>2.5999999999999999E-2</v>
          </cell>
          <cell r="AH822">
            <v>1E-3</v>
          </cell>
          <cell r="AI822">
            <v>0.38</v>
          </cell>
          <cell r="AJ822">
            <v>22.3</v>
          </cell>
          <cell r="AK822">
            <v>5.6</v>
          </cell>
          <cell r="AL822">
            <v>0.17</v>
          </cell>
          <cell r="AM822">
            <v>3.11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  <cell r="AR822">
            <v>0</v>
          </cell>
          <cell r="AS822">
            <v>0</v>
          </cell>
          <cell r="AT822">
            <v>535</v>
          </cell>
          <cell r="AU822">
            <v>566</v>
          </cell>
          <cell r="AV822">
            <v>737</v>
          </cell>
          <cell r="AW822">
            <v>25</v>
          </cell>
          <cell r="AX822">
            <v>264</v>
          </cell>
          <cell r="AY822">
            <v>264</v>
          </cell>
          <cell r="AZ822">
            <v>2.004</v>
          </cell>
          <cell r="BA822" t="str">
            <v>D2011038</v>
          </cell>
          <cell r="BB822" t="str">
            <v>CONFORM</v>
          </cell>
          <cell r="BC822" t="str">
            <v>CONFORM</v>
          </cell>
          <cell r="BD822" t="str">
            <v>CONFORM</v>
          </cell>
          <cell r="BE822" t="str">
            <v>CONFORM</v>
          </cell>
          <cell r="BF822" t="str">
            <v>CONFORM</v>
          </cell>
        </row>
        <row r="823">
          <cell r="A823">
            <v>44139</v>
          </cell>
          <cell r="B823" t="str">
            <v>D2011038-2</v>
          </cell>
          <cell r="C823" t="str">
            <v>084/20</v>
          </cell>
          <cell r="D823">
            <v>6</v>
          </cell>
          <cell r="E823">
            <v>44139</v>
          </cell>
          <cell r="F823" t="str">
            <v>DC</v>
          </cell>
          <cell r="G823" t="str">
            <v>On Time</v>
          </cell>
          <cell r="H823">
            <v>657</v>
          </cell>
          <cell r="I823">
            <v>44134</v>
          </cell>
          <cell r="J823" t="str">
            <v>ADTI</v>
          </cell>
          <cell r="K823" t="str">
            <v>D2011038</v>
          </cell>
          <cell r="L823">
            <v>2</v>
          </cell>
          <cell r="M823" t="str">
            <v>A2010010</v>
          </cell>
          <cell r="N823">
            <v>500697</v>
          </cell>
          <cell r="O823" t="str">
            <v xml:space="preserve">1.4462 UNS S31803/S32205 </v>
          </cell>
          <cell r="P823" t="str">
            <v>2205</v>
          </cell>
          <cell r="Q823">
            <v>2.323</v>
          </cell>
          <cell r="R823">
            <v>2.3304999999999998</v>
          </cell>
          <cell r="S823">
            <v>4.7E-2</v>
          </cell>
          <cell r="T823">
            <v>4.8399999999999999E-2</v>
          </cell>
          <cell r="V823">
            <v>4.8399999999999999E-2</v>
          </cell>
          <cell r="W823" t="str">
            <v>AB</v>
          </cell>
          <cell r="X823">
            <v>6283</v>
          </cell>
          <cell r="Y823">
            <v>5</v>
          </cell>
          <cell r="Z823">
            <v>540.93844167025395</v>
          </cell>
          <cell r="AA823" t="str">
            <v>2.323X0.047-2205</v>
          </cell>
          <cell r="AB823" t="str">
            <v>WACN005900120B300052</v>
          </cell>
          <cell r="AC823" t="str">
            <v>D2011038</v>
          </cell>
          <cell r="AD823">
            <v>500697</v>
          </cell>
          <cell r="AE823">
            <v>1.4E-2</v>
          </cell>
          <cell r="AF823">
            <v>1.36</v>
          </cell>
          <cell r="AG823">
            <v>2.5999999999999999E-2</v>
          </cell>
          <cell r="AH823">
            <v>1E-3</v>
          </cell>
          <cell r="AI823">
            <v>0.38</v>
          </cell>
          <cell r="AJ823">
            <v>22.3</v>
          </cell>
          <cell r="AK823">
            <v>5.6</v>
          </cell>
          <cell r="AL823">
            <v>0.17</v>
          </cell>
          <cell r="AM823">
            <v>3.11</v>
          </cell>
          <cell r="AN823">
            <v>0</v>
          </cell>
          <cell r="AO823">
            <v>0</v>
          </cell>
          <cell r="AP823">
            <v>0</v>
          </cell>
          <cell r="AQ823">
            <v>0</v>
          </cell>
          <cell r="AR823">
            <v>0</v>
          </cell>
          <cell r="AS823">
            <v>0</v>
          </cell>
          <cell r="AT823">
            <v>535</v>
          </cell>
          <cell r="AU823">
            <v>566</v>
          </cell>
          <cell r="AV823">
            <v>737</v>
          </cell>
          <cell r="AW823">
            <v>25</v>
          </cell>
          <cell r="AX823">
            <v>264</v>
          </cell>
          <cell r="AY823">
            <v>264</v>
          </cell>
          <cell r="AZ823">
            <v>2.004</v>
          </cell>
          <cell r="BA823" t="str">
            <v>D2011038</v>
          </cell>
          <cell r="BB823" t="str">
            <v>CONFORM</v>
          </cell>
          <cell r="BC823" t="str">
            <v>CONFORM</v>
          </cell>
          <cell r="BD823" t="str">
            <v>CONFORM</v>
          </cell>
          <cell r="BE823" t="str">
            <v>CONFORM</v>
          </cell>
          <cell r="BF823" t="str">
            <v>CONFORM</v>
          </cell>
        </row>
        <row r="824">
          <cell r="A824">
            <v>44144</v>
          </cell>
          <cell r="B824" t="str">
            <v>D2011040-1</v>
          </cell>
          <cell r="C824" t="str">
            <v>093/20</v>
          </cell>
          <cell r="D824">
            <v>2</v>
          </cell>
          <cell r="E824">
            <v>44145</v>
          </cell>
          <cell r="F824" t="str">
            <v>DC</v>
          </cell>
          <cell r="G824" t="str">
            <v>On Time</v>
          </cell>
          <cell r="H824" t="str">
            <v>2407848898/10</v>
          </cell>
          <cell r="I824">
            <v>44141</v>
          </cell>
          <cell r="J824" t="str">
            <v>TKM</v>
          </cell>
          <cell r="K824" t="str">
            <v>D2011040</v>
          </cell>
          <cell r="L824">
            <v>1</v>
          </cell>
          <cell r="M824" t="str">
            <v>AAD10697</v>
          </cell>
          <cell r="N824">
            <v>861011</v>
          </cell>
          <cell r="O824" t="str">
            <v xml:space="preserve">1.4462 UNS S31803/S32205 </v>
          </cell>
          <cell r="P824" t="str">
            <v>2205</v>
          </cell>
          <cell r="Q824">
            <v>3.0550000000000002</v>
          </cell>
          <cell r="R824">
            <v>3.0514999999999999</v>
          </cell>
          <cell r="S824">
            <v>6.7000000000000004E-2</v>
          </cell>
          <cell r="T824">
            <v>6.8650000000000003E-2</v>
          </cell>
          <cell r="U824">
            <v>6.8500000000000005E-2</v>
          </cell>
          <cell r="V824">
            <v>6.8574999999999997E-2</v>
          </cell>
          <cell r="W824" t="str">
            <v>AB</v>
          </cell>
          <cell r="X824">
            <v>4782</v>
          </cell>
          <cell r="Y824">
            <v>4</v>
          </cell>
          <cell r="Z824">
            <v>391.32569558101471</v>
          </cell>
          <cell r="AA824" t="str">
            <v>3.055X0.067-2205</v>
          </cell>
          <cell r="AB824" t="str">
            <v>WACN005750170B300112</v>
          </cell>
          <cell r="AC824" t="str">
            <v>D2011040</v>
          </cell>
          <cell r="AD824">
            <v>861011</v>
          </cell>
          <cell r="AE824">
            <v>1.9E-2</v>
          </cell>
          <cell r="AF824">
            <v>1.8</v>
          </cell>
          <cell r="AG824">
            <v>2.7E-2</v>
          </cell>
          <cell r="AH824">
            <v>0</v>
          </cell>
          <cell r="AI824">
            <v>0.49</v>
          </cell>
          <cell r="AJ824">
            <v>22.4</v>
          </cell>
          <cell r="AK824">
            <v>5.3</v>
          </cell>
          <cell r="AL824">
            <v>0.17</v>
          </cell>
          <cell r="AM824">
            <v>3.1</v>
          </cell>
          <cell r="AN824">
            <v>0</v>
          </cell>
          <cell r="AO824">
            <v>0</v>
          </cell>
          <cell r="AP824">
            <v>0</v>
          </cell>
          <cell r="AQ824">
            <v>0</v>
          </cell>
          <cell r="AR824">
            <v>0</v>
          </cell>
          <cell r="AS824">
            <v>0</v>
          </cell>
          <cell r="AT824">
            <v>652</v>
          </cell>
          <cell r="AU824">
            <v>0</v>
          </cell>
          <cell r="AV824">
            <v>861</v>
          </cell>
          <cell r="AW824">
            <v>29</v>
          </cell>
          <cell r="AX824">
            <v>26</v>
          </cell>
          <cell r="AY824">
            <v>272</v>
          </cell>
          <cell r="AZ824">
            <v>2.4784999999999999</v>
          </cell>
          <cell r="BA824" t="str">
            <v>D2011040</v>
          </cell>
          <cell r="BB824" t="str">
            <v>CONFORM</v>
          </cell>
          <cell r="BC824" t="str">
            <v>CONFORM</v>
          </cell>
          <cell r="BD824" t="str">
            <v>CONFORM</v>
          </cell>
          <cell r="BE824" t="str">
            <v>CONFORM</v>
          </cell>
          <cell r="BF824" t="str">
            <v>CONFORM</v>
          </cell>
        </row>
        <row r="825">
          <cell r="A825">
            <v>44144</v>
          </cell>
          <cell r="B825" t="str">
            <v>D2011040-2</v>
          </cell>
          <cell r="C825" t="str">
            <v>093/20</v>
          </cell>
          <cell r="D825">
            <v>2</v>
          </cell>
          <cell r="E825">
            <v>44145</v>
          </cell>
          <cell r="F825" t="str">
            <v>DC</v>
          </cell>
          <cell r="G825" t="str">
            <v>On Time</v>
          </cell>
          <cell r="H825" t="str">
            <v>2407848898/10</v>
          </cell>
          <cell r="I825">
            <v>44141</v>
          </cell>
          <cell r="J825" t="str">
            <v>TKM</v>
          </cell>
          <cell r="K825" t="str">
            <v>D2011040</v>
          </cell>
          <cell r="L825">
            <v>2</v>
          </cell>
          <cell r="M825" t="str">
            <v>AAD10697</v>
          </cell>
          <cell r="N825">
            <v>861011</v>
          </cell>
          <cell r="O825" t="str">
            <v xml:space="preserve">1.4462 UNS S31803/S32205 </v>
          </cell>
          <cell r="P825" t="str">
            <v>2205</v>
          </cell>
          <cell r="Q825">
            <v>3.0550000000000002</v>
          </cell>
          <cell r="R825">
            <v>3.0510000000000002</v>
          </cell>
          <cell r="S825">
            <v>6.7000000000000004E-2</v>
          </cell>
          <cell r="T825">
            <v>6.8650000000000003E-2</v>
          </cell>
          <cell r="U825">
            <v>6.8199999999999997E-2</v>
          </cell>
          <cell r="V825">
            <v>6.8425E-2</v>
          </cell>
          <cell r="W825" t="str">
            <v>AB</v>
          </cell>
          <cell r="X825">
            <v>5746</v>
          </cell>
          <cell r="Y825">
            <v>5</v>
          </cell>
          <cell r="Z825">
            <v>376.17021276595744</v>
          </cell>
          <cell r="AA825" t="str">
            <v>3.055X0.067-2205</v>
          </cell>
          <cell r="AB825" t="str">
            <v>WACN005750170B300112</v>
          </cell>
          <cell r="AC825" t="str">
            <v>D2011040</v>
          </cell>
          <cell r="AD825">
            <v>861011</v>
          </cell>
          <cell r="AE825">
            <v>1.9E-2</v>
          </cell>
          <cell r="AF825">
            <v>1.8</v>
          </cell>
          <cell r="AG825">
            <v>2.7E-2</v>
          </cell>
          <cell r="AH825">
            <v>0</v>
          </cell>
          <cell r="AI825">
            <v>0.49</v>
          </cell>
          <cell r="AJ825">
            <v>22.4</v>
          </cell>
          <cell r="AK825">
            <v>5.3</v>
          </cell>
          <cell r="AL825">
            <v>0.17</v>
          </cell>
          <cell r="AM825">
            <v>3.1</v>
          </cell>
          <cell r="AN825">
            <v>0</v>
          </cell>
          <cell r="AO825">
            <v>0</v>
          </cell>
          <cell r="AP825">
            <v>0</v>
          </cell>
          <cell r="AQ825">
            <v>0</v>
          </cell>
          <cell r="AR825">
            <v>0</v>
          </cell>
          <cell r="AS825">
            <v>0</v>
          </cell>
          <cell r="AT825">
            <v>652</v>
          </cell>
          <cell r="AU825">
            <v>0</v>
          </cell>
          <cell r="AV825">
            <v>861</v>
          </cell>
          <cell r="AW825">
            <v>29</v>
          </cell>
          <cell r="AX825">
            <v>26</v>
          </cell>
          <cell r="AY825">
            <v>272</v>
          </cell>
          <cell r="AZ825">
            <v>2.4784999999999999</v>
          </cell>
          <cell r="BA825" t="str">
            <v>D2011040</v>
          </cell>
          <cell r="BB825" t="str">
            <v>CONFORM</v>
          </cell>
          <cell r="BC825" t="str">
            <v>CONFORM</v>
          </cell>
          <cell r="BD825" t="str">
            <v>CONFORM</v>
          </cell>
          <cell r="BE825" t="str">
            <v>CONFORM</v>
          </cell>
          <cell r="BF825" t="str">
            <v>CONFORM</v>
          </cell>
        </row>
        <row r="826">
          <cell r="A826">
            <v>44144</v>
          </cell>
          <cell r="B826" t="str">
            <v>D2011040-3</v>
          </cell>
          <cell r="C826" t="str">
            <v>093/20</v>
          </cell>
          <cell r="D826">
            <v>2</v>
          </cell>
          <cell r="E826">
            <v>44145</v>
          </cell>
          <cell r="F826" t="str">
            <v>DC</v>
          </cell>
          <cell r="G826" t="str">
            <v>On Time</v>
          </cell>
          <cell r="H826" t="str">
            <v>2407848898/10</v>
          </cell>
          <cell r="I826">
            <v>44141</v>
          </cell>
          <cell r="J826" t="str">
            <v>TKM</v>
          </cell>
          <cell r="K826" t="str">
            <v>D2011040</v>
          </cell>
          <cell r="L826">
            <v>3</v>
          </cell>
          <cell r="M826" t="str">
            <v>AAD10697</v>
          </cell>
          <cell r="N826">
            <v>861011</v>
          </cell>
          <cell r="O826" t="str">
            <v xml:space="preserve">1.4462 UNS S31803/S32205 </v>
          </cell>
          <cell r="P826" t="str">
            <v>2205</v>
          </cell>
          <cell r="Q826">
            <v>3.0550000000000002</v>
          </cell>
          <cell r="R826">
            <v>3.0505</v>
          </cell>
          <cell r="S826">
            <v>6.7000000000000004E-2</v>
          </cell>
          <cell r="T826">
            <v>6.855E-2</v>
          </cell>
          <cell r="U826">
            <v>6.83E-2</v>
          </cell>
          <cell r="V826">
            <v>6.8425E-2</v>
          </cell>
          <cell r="W826" t="str">
            <v>AB</v>
          </cell>
          <cell r="X826">
            <v>2866</v>
          </cell>
          <cell r="Y826">
            <v>3</v>
          </cell>
          <cell r="Z826">
            <v>312.71140207310418</v>
          </cell>
          <cell r="AA826" t="str">
            <v>3.055X0.067-2205</v>
          </cell>
          <cell r="AB826" t="str">
            <v>WACN005750170B300112</v>
          </cell>
          <cell r="AC826" t="str">
            <v>D2011040</v>
          </cell>
          <cell r="AD826">
            <v>861011</v>
          </cell>
          <cell r="AE826">
            <v>1.9E-2</v>
          </cell>
          <cell r="AF826">
            <v>1.8</v>
          </cell>
          <cell r="AG826">
            <v>2.7E-2</v>
          </cell>
          <cell r="AH826">
            <v>0</v>
          </cell>
          <cell r="AI826">
            <v>0.49</v>
          </cell>
          <cell r="AJ826">
            <v>22.4</v>
          </cell>
          <cell r="AK826">
            <v>5.3</v>
          </cell>
          <cell r="AL826">
            <v>0.17</v>
          </cell>
          <cell r="AM826">
            <v>3.1</v>
          </cell>
          <cell r="AN826">
            <v>0</v>
          </cell>
          <cell r="AO826">
            <v>0</v>
          </cell>
          <cell r="AP826">
            <v>0</v>
          </cell>
          <cell r="AQ826">
            <v>0</v>
          </cell>
          <cell r="AR826">
            <v>0</v>
          </cell>
          <cell r="AS826">
            <v>0</v>
          </cell>
          <cell r="AT826">
            <v>652</v>
          </cell>
          <cell r="AU826">
            <v>0</v>
          </cell>
          <cell r="AV826">
            <v>861</v>
          </cell>
          <cell r="AW826">
            <v>29</v>
          </cell>
          <cell r="AX826">
            <v>26</v>
          </cell>
          <cell r="AY826">
            <v>272</v>
          </cell>
          <cell r="AZ826">
            <v>2.4784999999999999</v>
          </cell>
          <cell r="BA826" t="str">
            <v>D2011040</v>
          </cell>
          <cell r="BB826" t="str">
            <v>CONFORM</v>
          </cell>
          <cell r="BC826" t="str">
            <v>CONFORM</v>
          </cell>
          <cell r="BD826" t="str">
            <v>CONFORM</v>
          </cell>
          <cell r="BE826" t="str">
            <v>CONFORM</v>
          </cell>
          <cell r="BF826" t="str">
            <v>CONFORM</v>
          </cell>
        </row>
        <row r="827">
          <cell r="A827">
            <v>44144</v>
          </cell>
          <cell r="B827" t="str">
            <v>D2011041-1</v>
          </cell>
          <cell r="C827" t="str">
            <v>093/20</v>
          </cell>
          <cell r="D827">
            <v>1</v>
          </cell>
          <cell r="E827">
            <v>44145</v>
          </cell>
          <cell r="F827" t="str">
            <v>DC</v>
          </cell>
          <cell r="G827" t="str">
            <v>On Time</v>
          </cell>
          <cell r="H827" t="str">
            <v>2407848897/10</v>
          </cell>
          <cell r="I827">
            <v>44141</v>
          </cell>
          <cell r="J827" t="str">
            <v>TKM</v>
          </cell>
          <cell r="K827" t="str">
            <v>D2011041</v>
          </cell>
          <cell r="L827">
            <v>1</v>
          </cell>
          <cell r="M827" t="str">
            <v>AAD10697</v>
          </cell>
          <cell r="N827">
            <v>861011</v>
          </cell>
          <cell r="O827" t="str">
            <v xml:space="preserve">1.4462 UNS S31803/S32205 </v>
          </cell>
          <cell r="P827" t="str">
            <v>2205</v>
          </cell>
          <cell r="Q827">
            <v>2.2639999999999998</v>
          </cell>
          <cell r="R827">
            <v>2.258</v>
          </cell>
          <cell r="S827">
            <v>6.7000000000000004E-2</v>
          </cell>
          <cell r="T827">
            <v>6.7849999999999994E-2</v>
          </cell>
          <cell r="U827">
            <v>6.7799999999999999E-2</v>
          </cell>
          <cell r="V827">
            <v>6.7824999999999996E-2</v>
          </cell>
          <cell r="W827" t="str">
            <v>AB</v>
          </cell>
          <cell r="X827">
            <v>702</v>
          </cell>
          <cell r="Y827">
            <v>1</v>
          </cell>
          <cell r="Z827">
            <v>310.0706713780919</v>
          </cell>
          <cell r="AA827" t="str">
            <v>2.264X0.067-2205</v>
          </cell>
          <cell r="AB827" t="str">
            <v>WACN005750170B300113</v>
          </cell>
          <cell r="AC827" t="str">
            <v>D2011041</v>
          </cell>
          <cell r="AD827">
            <v>861011</v>
          </cell>
          <cell r="AE827">
            <v>1.9E-2</v>
          </cell>
          <cell r="AF827">
            <v>1.8</v>
          </cell>
          <cell r="AG827">
            <v>2.7E-2</v>
          </cell>
          <cell r="AH827">
            <v>0</v>
          </cell>
          <cell r="AI827">
            <v>0.49</v>
          </cell>
          <cell r="AJ827">
            <v>22.4</v>
          </cell>
          <cell r="AK827">
            <v>5.3</v>
          </cell>
          <cell r="AL827">
            <v>0.17</v>
          </cell>
          <cell r="AM827">
            <v>3.1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  <cell r="AS827">
            <v>0</v>
          </cell>
          <cell r="AT827">
            <v>652</v>
          </cell>
          <cell r="AU827">
            <v>0</v>
          </cell>
          <cell r="AV827">
            <v>861</v>
          </cell>
          <cell r="AW827">
            <v>29</v>
          </cell>
          <cell r="AX827">
            <v>26</v>
          </cell>
          <cell r="AY827">
            <v>272</v>
          </cell>
          <cell r="AZ827">
            <v>2.4784999999999999</v>
          </cell>
          <cell r="BA827" t="str">
            <v>D2011041</v>
          </cell>
          <cell r="BB827" t="str">
            <v>CONFORM</v>
          </cell>
          <cell r="BC827" t="str">
            <v>CONFORM</v>
          </cell>
          <cell r="BD827" t="str">
            <v>CONFORM</v>
          </cell>
          <cell r="BE827" t="str">
            <v>CONFORM</v>
          </cell>
          <cell r="BF827" t="str">
            <v>CONFORM</v>
          </cell>
        </row>
        <row r="828">
          <cell r="A828">
            <v>44152</v>
          </cell>
          <cell r="B828" t="str">
            <v>D2011082-1</v>
          </cell>
          <cell r="C828" t="str">
            <v>097/20</v>
          </cell>
          <cell r="D828">
            <v>2</v>
          </cell>
          <cell r="E828">
            <v>44152</v>
          </cell>
          <cell r="F828" t="str">
            <v>DC</v>
          </cell>
          <cell r="G828" t="str">
            <v>On Time</v>
          </cell>
          <cell r="H828">
            <v>2407862308</v>
          </cell>
          <cell r="I828">
            <v>44151</v>
          </cell>
          <cell r="J828" t="str">
            <v>TKM</v>
          </cell>
          <cell r="K828" t="str">
            <v>D2011082</v>
          </cell>
          <cell r="L828">
            <v>1</v>
          </cell>
          <cell r="M828">
            <v>3275393</v>
          </cell>
          <cell r="N828">
            <v>529379</v>
          </cell>
          <cell r="O828" t="str">
            <v xml:space="preserve">1.4401/1.4404 TP316/316L </v>
          </cell>
          <cell r="P828" t="str">
            <v>316L</v>
          </cell>
          <cell r="Q828">
            <v>3.016</v>
          </cell>
          <cell r="R828">
            <v>3.0129999999999999</v>
          </cell>
          <cell r="S828">
            <v>7.9000000000000001E-2</v>
          </cell>
          <cell r="T828">
            <v>7.7249999999999999E-2</v>
          </cell>
          <cell r="U828">
            <v>7.6999999999999999E-2</v>
          </cell>
          <cell r="V828">
            <v>7.7124999999999999E-2</v>
          </cell>
          <cell r="W828" t="str">
            <v>AB</v>
          </cell>
          <cell r="X828">
            <v>2368</v>
          </cell>
          <cell r="Y828">
            <v>2</v>
          </cell>
          <cell r="Z828">
            <v>392.57294429708224</v>
          </cell>
          <cell r="AA828" t="str">
            <v>3.016X0.079-316L</v>
          </cell>
          <cell r="AB828" t="str">
            <v>WAAF007660200B300099</v>
          </cell>
          <cell r="AC828" t="str">
            <v>D2011082</v>
          </cell>
          <cell r="AD828">
            <v>529379</v>
          </cell>
          <cell r="AE828">
            <v>2.3E-2</v>
          </cell>
          <cell r="AF828">
            <v>1.78</v>
          </cell>
          <cell r="AG828">
            <v>3.1E-2</v>
          </cell>
          <cell r="AH828">
            <v>1.2999999999999999E-2</v>
          </cell>
          <cell r="AI828">
            <v>6.3E-2</v>
          </cell>
          <cell r="AJ828">
            <v>18.2</v>
          </cell>
          <cell r="AK828">
            <v>8</v>
          </cell>
          <cell r="AL828">
            <v>6.6000000000000003E-2</v>
          </cell>
          <cell r="AM828">
            <v>0.33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0.47</v>
          </cell>
          <cell r="AS828">
            <v>0</v>
          </cell>
          <cell r="AT828">
            <v>304</v>
          </cell>
          <cell r="AU828">
            <v>0</v>
          </cell>
          <cell r="AV828">
            <v>653</v>
          </cell>
          <cell r="AW828">
            <v>55</v>
          </cell>
          <cell r="AX828">
            <v>83</v>
          </cell>
          <cell r="AY828">
            <v>159</v>
          </cell>
          <cell r="AZ828">
            <v>1.6881999999999999</v>
          </cell>
          <cell r="BA828" t="str">
            <v>D2011082</v>
          </cell>
          <cell r="BB828" t="str">
            <v>CONFORM</v>
          </cell>
          <cell r="BC828" t="str">
            <v>CONFORM</v>
          </cell>
          <cell r="BD828" t="str">
            <v>CONFORM</v>
          </cell>
          <cell r="BE828" t="str">
            <v>CONFORM</v>
          </cell>
          <cell r="BF828" t="str">
            <v>CONFORM</v>
          </cell>
        </row>
        <row r="829">
          <cell r="A829">
            <v>44152</v>
          </cell>
          <cell r="B829" t="str">
            <v>D2011082-2</v>
          </cell>
          <cell r="C829" t="str">
            <v>097/20</v>
          </cell>
          <cell r="D829">
            <v>2</v>
          </cell>
          <cell r="E829">
            <v>44152</v>
          </cell>
          <cell r="F829" t="str">
            <v>DC</v>
          </cell>
          <cell r="G829" t="str">
            <v>On Time</v>
          </cell>
          <cell r="H829">
            <v>2407862308</v>
          </cell>
          <cell r="I829">
            <v>44151</v>
          </cell>
          <cell r="J829" t="str">
            <v>TKM</v>
          </cell>
          <cell r="K829" t="str">
            <v>D2011082</v>
          </cell>
          <cell r="L829">
            <v>2</v>
          </cell>
          <cell r="M829">
            <v>3275393</v>
          </cell>
          <cell r="N829">
            <v>529379</v>
          </cell>
          <cell r="O829" t="str">
            <v xml:space="preserve">1.4401/1.4404 TP316/316L </v>
          </cell>
          <cell r="P829" t="str">
            <v>316L</v>
          </cell>
          <cell r="Q829">
            <v>3.016</v>
          </cell>
          <cell r="R829">
            <v>3.0169999999999999</v>
          </cell>
          <cell r="S829">
            <v>7.9000000000000001E-2</v>
          </cell>
          <cell r="T829">
            <v>7.7049999999999993E-2</v>
          </cell>
          <cell r="U829">
            <v>7.6899999999999996E-2</v>
          </cell>
          <cell r="V829">
            <v>7.6974999999999988E-2</v>
          </cell>
          <cell r="W829" t="str">
            <v>AB</v>
          </cell>
          <cell r="X829">
            <v>5122</v>
          </cell>
          <cell r="Y829">
            <v>5</v>
          </cell>
          <cell r="Z829">
            <v>339.65517241379314</v>
          </cell>
          <cell r="AA829" t="str">
            <v>3.016X0.079-316L</v>
          </cell>
          <cell r="AB829" t="str">
            <v>WAAF007660200B300099</v>
          </cell>
          <cell r="AC829" t="str">
            <v>D2011082</v>
          </cell>
          <cell r="AD829">
            <v>529379</v>
          </cell>
          <cell r="AE829">
            <v>2.3E-2</v>
          </cell>
          <cell r="AF829">
            <v>1.78</v>
          </cell>
          <cell r="AG829">
            <v>3.1E-2</v>
          </cell>
          <cell r="AH829">
            <v>1.2999999999999999E-2</v>
          </cell>
          <cell r="AI829">
            <v>6.3E-2</v>
          </cell>
          <cell r="AJ829">
            <v>18.2</v>
          </cell>
          <cell r="AK829">
            <v>8</v>
          </cell>
          <cell r="AL829">
            <v>6.6000000000000003E-2</v>
          </cell>
          <cell r="AM829">
            <v>0.33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0.47</v>
          </cell>
          <cell r="AS829">
            <v>0</v>
          </cell>
          <cell r="AT829">
            <v>304</v>
          </cell>
          <cell r="AU829">
            <v>0</v>
          </cell>
          <cell r="AV829">
            <v>653</v>
          </cell>
          <cell r="AW829">
            <v>55</v>
          </cell>
          <cell r="AX829">
            <v>83</v>
          </cell>
          <cell r="AY829">
            <v>159</v>
          </cell>
          <cell r="AZ829">
            <v>1.6881999999999999</v>
          </cell>
          <cell r="BA829" t="str">
            <v>D2011082</v>
          </cell>
          <cell r="BB829" t="str">
            <v>CONFORM</v>
          </cell>
          <cell r="BC829" t="str">
            <v>CONFORM</v>
          </cell>
          <cell r="BD829" t="str">
            <v>CONFORM</v>
          </cell>
          <cell r="BE829" t="str">
            <v>CONFORM</v>
          </cell>
          <cell r="BF829" t="str">
            <v>CONFORM</v>
          </cell>
        </row>
        <row r="830">
          <cell r="A830">
            <v>44152</v>
          </cell>
          <cell r="B830" t="str">
            <v>D2011083-1</v>
          </cell>
          <cell r="C830" t="str">
            <v>097/20</v>
          </cell>
          <cell r="D830">
            <v>2</v>
          </cell>
          <cell r="E830">
            <v>44152</v>
          </cell>
          <cell r="F830" t="str">
            <v>DC</v>
          </cell>
          <cell r="G830" t="str">
            <v>On Time</v>
          </cell>
          <cell r="H830">
            <v>2407862308</v>
          </cell>
          <cell r="I830">
            <v>44151</v>
          </cell>
          <cell r="J830" t="str">
            <v>TKM</v>
          </cell>
          <cell r="K830" t="str">
            <v>D2011083</v>
          </cell>
          <cell r="L830">
            <v>1</v>
          </cell>
          <cell r="M830">
            <v>3276524</v>
          </cell>
          <cell r="N830">
            <v>529491</v>
          </cell>
          <cell r="O830" t="str">
            <v xml:space="preserve">1.4401/1.4404 TP316/316L </v>
          </cell>
          <cell r="P830" t="str">
            <v>316L</v>
          </cell>
          <cell r="Q830">
            <v>3.016</v>
          </cell>
          <cell r="R830">
            <v>3.0150000000000001</v>
          </cell>
          <cell r="S830">
            <v>7.9000000000000001E-2</v>
          </cell>
          <cell r="T830">
            <v>7.7950000000000005E-2</v>
          </cell>
          <cell r="U830">
            <v>7.7350000000000002E-2</v>
          </cell>
          <cell r="V830">
            <v>7.7649999999999997E-2</v>
          </cell>
          <cell r="W830" t="str">
            <v>AB</v>
          </cell>
          <cell r="X830">
            <v>5182</v>
          </cell>
          <cell r="Y830">
            <v>5</v>
          </cell>
          <cell r="Z830">
            <v>343.63395225464194</v>
          </cell>
          <cell r="AA830" t="str">
            <v>3.016X0.079-316L</v>
          </cell>
          <cell r="AB830" t="str">
            <v>WAAF007660200B300099</v>
          </cell>
          <cell r="AC830" t="str">
            <v>D2011083</v>
          </cell>
          <cell r="AD830">
            <v>529491</v>
          </cell>
          <cell r="AE830">
            <v>2.4E-2</v>
          </cell>
          <cell r="AF830">
            <v>1.53</v>
          </cell>
          <cell r="AG830">
            <v>3.3000000000000002E-2</v>
          </cell>
          <cell r="AH830">
            <v>1E-3</v>
          </cell>
          <cell r="AI830">
            <v>0.38</v>
          </cell>
          <cell r="AJ830">
            <v>16.7</v>
          </cell>
          <cell r="AK830">
            <v>10</v>
          </cell>
          <cell r="AL830">
            <v>3.7999999999999999E-2</v>
          </cell>
          <cell r="AM830">
            <v>2</v>
          </cell>
          <cell r="AN830">
            <v>0</v>
          </cell>
          <cell r="AO830">
            <v>0</v>
          </cell>
          <cell r="AP830">
            <v>0</v>
          </cell>
          <cell r="AQ830">
            <v>0</v>
          </cell>
          <cell r="AR830">
            <v>0.43</v>
          </cell>
          <cell r="AS830">
            <v>0</v>
          </cell>
          <cell r="AT830">
            <v>311</v>
          </cell>
          <cell r="AU830">
            <v>0</v>
          </cell>
          <cell r="AV830">
            <v>618</v>
          </cell>
          <cell r="AW830">
            <v>52</v>
          </cell>
          <cell r="AX830">
            <v>82</v>
          </cell>
          <cell r="AY830">
            <v>156</v>
          </cell>
          <cell r="AZ830">
            <v>1.6881999999999999</v>
          </cell>
          <cell r="BA830" t="str">
            <v>D2011083</v>
          </cell>
          <cell r="BB830" t="str">
            <v>CONFORM</v>
          </cell>
          <cell r="BC830" t="str">
            <v>CONFORM</v>
          </cell>
          <cell r="BD830" t="str">
            <v>CONFORM</v>
          </cell>
          <cell r="BE830" t="str">
            <v>CONFORM</v>
          </cell>
          <cell r="BF830" t="str">
            <v>CONFORM</v>
          </cell>
        </row>
        <row r="831">
          <cell r="A831">
            <v>44152</v>
          </cell>
          <cell r="B831" t="str">
            <v>D2011084-1</v>
          </cell>
          <cell r="C831" t="str">
            <v>097/20</v>
          </cell>
          <cell r="D831">
            <v>1</v>
          </cell>
          <cell r="E831">
            <v>44152</v>
          </cell>
          <cell r="F831" t="str">
            <v>DC</v>
          </cell>
          <cell r="G831" t="str">
            <v>On Time</v>
          </cell>
          <cell r="H831">
            <v>2407862308</v>
          </cell>
          <cell r="I831">
            <v>44151</v>
          </cell>
          <cell r="J831" t="str">
            <v>TKM</v>
          </cell>
          <cell r="K831" t="str">
            <v>D2011084</v>
          </cell>
          <cell r="L831">
            <v>1</v>
          </cell>
          <cell r="M831" t="str">
            <v>04F61VD</v>
          </cell>
          <cell r="N831" t="str">
            <v>F61V</v>
          </cell>
          <cell r="O831" t="str">
            <v xml:space="preserve">1.4401/1.4404 TP316/316L </v>
          </cell>
          <cell r="P831" t="str">
            <v>316L</v>
          </cell>
          <cell r="Q831">
            <v>3.0550000000000002</v>
          </cell>
          <cell r="R831">
            <v>3.0565000000000002</v>
          </cell>
          <cell r="S831">
            <v>6.7000000000000004E-2</v>
          </cell>
          <cell r="T831">
            <v>6.9900000000000004E-2</v>
          </cell>
          <cell r="U831">
            <v>7.0000000000000007E-2</v>
          </cell>
          <cell r="V831">
            <v>6.9950000000000012E-2</v>
          </cell>
          <cell r="W831" t="str">
            <v>AB</v>
          </cell>
          <cell r="X831">
            <v>5018</v>
          </cell>
          <cell r="Y831">
            <v>5</v>
          </cell>
          <cell r="Z831">
            <v>328.51063829787233</v>
          </cell>
          <cell r="AA831" t="str">
            <v>3.055X0.067-316L</v>
          </cell>
          <cell r="AB831" t="str">
            <v>WAAF007760170B300018</v>
          </cell>
          <cell r="AC831" t="str">
            <v>D2011084</v>
          </cell>
          <cell r="AD831" t="str">
            <v>F61V</v>
          </cell>
          <cell r="AE831">
            <v>1.7999999999999999E-2</v>
          </cell>
          <cell r="AF831">
            <v>1.27</v>
          </cell>
          <cell r="AG831">
            <v>2.9000000000000001E-2</v>
          </cell>
          <cell r="AH831">
            <v>2E-3</v>
          </cell>
          <cell r="AI831">
            <v>0.31</v>
          </cell>
          <cell r="AJ831">
            <v>17</v>
          </cell>
          <cell r="AK831">
            <v>10.1</v>
          </cell>
          <cell r="AL831">
            <v>0.05</v>
          </cell>
          <cell r="AM831">
            <v>2.0299999999999998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  <cell r="AR831">
            <v>0.43</v>
          </cell>
          <cell r="AS831">
            <v>0</v>
          </cell>
          <cell r="AT831">
            <v>299</v>
          </cell>
          <cell r="AU831">
            <v>0</v>
          </cell>
          <cell r="AV831">
            <v>618</v>
          </cell>
          <cell r="AW831">
            <v>53</v>
          </cell>
          <cell r="AX831">
            <v>81</v>
          </cell>
          <cell r="AY831">
            <v>153</v>
          </cell>
          <cell r="AZ831">
            <v>1.7257</v>
          </cell>
          <cell r="BA831" t="str">
            <v>D2011084</v>
          </cell>
          <cell r="BB831" t="str">
            <v>CONFORM</v>
          </cell>
          <cell r="BC831" t="str">
            <v>CONFORM</v>
          </cell>
          <cell r="BD831" t="str">
            <v>CONFORM</v>
          </cell>
          <cell r="BE831" t="str">
            <v>CONFORM</v>
          </cell>
          <cell r="BF831" t="str">
            <v>CONFORM</v>
          </cell>
        </row>
        <row r="832">
          <cell r="A832">
            <v>44154</v>
          </cell>
          <cell r="B832" t="str">
            <v>D2011088-1</v>
          </cell>
          <cell r="C832" t="str">
            <v>098/20</v>
          </cell>
          <cell r="D832">
            <v>2</v>
          </cell>
          <cell r="E832">
            <v>44154</v>
          </cell>
          <cell r="F832" t="str">
            <v>DC</v>
          </cell>
          <cell r="G832" t="str">
            <v>On Time</v>
          </cell>
          <cell r="H832">
            <v>20201119011</v>
          </cell>
          <cell r="I832">
            <v>44154</v>
          </cell>
          <cell r="J832" t="str">
            <v>COILPLUS</v>
          </cell>
          <cell r="K832" t="str">
            <v>D2011088</v>
          </cell>
          <cell r="L832">
            <v>1</v>
          </cell>
          <cell r="M832" t="str">
            <v>03J34L</v>
          </cell>
          <cell r="N832" t="str">
            <v>J34L</v>
          </cell>
          <cell r="O832" t="str">
            <v xml:space="preserve">1.4306 TP304L </v>
          </cell>
          <cell r="P832" t="str">
            <v>304L</v>
          </cell>
          <cell r="Q832">
            <v>2.3620000000000001</v>
          </cell>
          <cell r="R832">
            <v>2.363</v>
          </cell>
          <cell r="S832">
            <v>3.5999999999999997E-2</v>
          </cell>
          <cell r="T832">
            <v>3.5299999999999998E-2</v>
          </cell>
          <cell r="U832">
            <v>3.5299999999999998E-2</v>
          </cell>
          <cell r="V832">
            <v>3.5299999999999998E-2</v>
          </cell>
          <cell r="W832" t="str">
            <v>TM</v>
          </cell>
          <cell r="X832">
            <v>781</v>
          </cell>
          <cell r="Y832">
            <v>1</v>
          </cell>
          <cell r="Z832">
            <v>330.65198983911938</v>
          </cell>
          <cell r="AA832" t="str">
            <v>2.362X0.036-304L</v>
          </cell>
          <cell r="AB832" t="e">
            <v>#N/A</v>
          </cell>
          <cell r="AC832" t="str">
            <v>D2011088</v>
          </cell>
          <cell r="AD832" t="str">
            <v>J34L</v>
          </cell>
          <cell r="AE832">
            <v>2.1299999999999999E-2</v>
          </cell>
          <cell r="AF832">
            <v>1.714</v>
          </cell>
          <cell r="AG832">
            <v>3.3000000000000002E-2</v>
          </cell>
          <cell r="AH832">
            <v>1E-3</v>
          </cell>
          <cell r="AI832">
            <v>0.26100000000000001</v>
          </cell>
          <cell r="AJ832">
            <v>18</v>
          </cell>
          <cell r="AK832">
            <v>8.1</v>
          </cell>
          <cell r="AL832">
            <v>5.3999999999999999E-2</v>
          </cell>
          <cell r="AM832">
            <v>0.42599999999999999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  <cell r="AR832">
            <v>0</v>
          </cell>
          <cell r="AS832">
            <v>0</v>
          </cell>
          <cell r="AT832">
            <v>349</v>
          </cell>
          <cell r="AU832">
            <v>0</v>
          </cell>
          <cell r="AV832">
            <v>669</v>
          </cell>
          <cell r="AW832">
            <v>47</v>
          </cell>
          <cell r="AX832">
            <v>82</v>
          </cell>
          <cell r="AY832">
            <v>156</v>
          </cell>
          <cell r="AZ832">
            <v>0.85</v>
          </cell>
          <cell r="BA832" t="str">
            <v>D2011088</v>
          </cell>
          <cell r="BB832" t="str">
            <v>CONFORM</v>
          </cell>
          <cell r="BC832" t="str">
            <v>CONFORM</v>
          </cell>
          <cell r="BD832" t="str">
            <v>CONFORM</v>
          </cell>
          <cell r="BE832" t="str">
            <v>CONFORM</v>
          </cell>
          <cell r="BF832" t="str">
            <v>CONFORM</v>
          </cell>
        </row>
        <row r="833">
          <cell r="A833">
            <v>44154</v>
          </cell>
          <cell r="B833" t="str">
            <v>D2011087-1</v>
          </cell>
          <cell r="C833" t="str">
            <v>098/20</v>
          </cell>
          <cell r="D833">
            <v>1</v>
          </cell>
          <cell r="E833">
            <v>44154</v>
          </cell>
          <cell r="F833" t="str">
            <v>DC</v>
          </cell>
          <cell r="G833" t="str">
            <v>On Time</v>
          </cell>
          <cell r="H833">
            <v>20201119011</v>
          </cell>
          <cell r="I833">
            <v>44154</v>
          </cell>
          <cell r="J833" t="str">
            <v>COILPLUS</v>
          </cell>
          <cell r="K833" t="str">
            <v>D2011087</v>
          </cell>
          <cell r="L833">
            <v>1</v>
          </cell>
          <cell r="M833" t="str">
            <v>03J34L</v>
          </cell>
          <cell r="N833" t="str">
            <v>J34L</v>
          </cell>
          <cell r="O833" t="str">
            <v xml:space="preserve">1.4306 TP304L </v>
          </cell>
          <cell r="P833" t="str">
            <v>304L</v>
          </cell>
          <cell r="Q833">
            <v>3.1539999999999999</v>
          </cell>
          <cell r="R833">
            <v>3.1549999999999998</v>
          </cell>
          <cell r="S833">
            <v>3.5999999999999997E-2</v>
          </cell>
          <cell r="T833">
            <v>3.5749999999999997E-2</v>
          </cell>
          <cell r="U833">
            <v>3.6150000000000002E-2</v>
          </cell>
          <cell r="V833">
            <v>3.5949999999999996E-2</v>
          </cell>
          <cell r="W833" t="str">
            <v>TM</v>
          </cell>
          <cell r="X833">
            <v>5191</v>
          </cell>
          <cell r="Y833">
            <v>5</v>
          </cell>
          <cell r="Z833">
            <v>329.16930881420421</v>
          </cell>
          <cell r="AA833" t="str">
            <v>3.154X0.036-304L</v>
          </cell>
          <cell r="AB833" t="e">
            <v>#N/A</v>
          </cell>
          <cell r="AC833" t="str">
            <v>D2011087</v>
          </cell>
          <cell r="AD833" t="str">
            <v>J34L</v>
          </cell>
          <cell r="AE833">
            <v>2.1299999999999999E-2</v>
          </cell>
          <cell r="AF833">
            <v>1.714</v>
          </cell>
          <cell r="AG833">
            <v>3.3000000000000002E-2</v>
          </cell>
          <cell r="AH833">
            <v>1E-3</v>
          </cell>
          <cell r="AI833">
            <v>0.26100000000000001</v>
          </cell>
          <cell r="AJ833">
            <v>18</v>
          </cell>
          <cell r="AK833">
            <v>8.1</v>
          </cell>
          <cell r="AL833">
            <v>5.3999999999999999E-2</v>
          </cell>
          <cell r="AM833">
            <v>0.42599999999999999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  <cell r="AS833">
            <v>0</v>
          </cell>
          <cell r="AT833">
            <v>349</v>
          </cell>
          <cell r="AU833">
            <v>0</v>
          </cell>
          <cell r="AV833">
            <v>669</v>
          </cell>
          <cell r="AW833">
            <v>47</v>
          </cell>
          <cell r="AX833">
            <v>82</v>
          </cell>
          <cell r="AY833">
            <v>156</v>
          </cell>
          <cell r="AZ833">
            <v>0.85</v>
          </cell>
          <cell r="BA833" t="str">
            <v>D2011087</v>
          </cell>
          <cell r="BB833" t="str">
            <v>CONFORM</v>
          </cell>
          <cell r="BC833" t="str">
            <v>CONFORM</v>
          </cell>
          <cell r="BD833" t="str">
            <v>CONFORM</v>
          </cell>
          <cell r="BE833" t="str">
            <v>CONFORM</v>
          </cell>
          <cell r="BF833" t="str">
            <v>CONFORM</v>
          </cell>
        </row>
        <row r="834">
          <cell r="A834">
            <v>44154</v>
          </cell>
          <cell r="B834" t="str">
            <v>D2011087-2</v>
          </cell>
          <cell r="C834" t="str">
            <v>098/20</v>
          </cell>
          <cell r="D834">
            <v>1</v>
          </cell>
          <cell r="E834">
            <v>44154</v>
          </cell>
          <cell r="F834" t="str">
            <v>DC</v>
          </cell>
          <cell r="G834" t="str">
            <v>On Time</v>
          </cell>
          <cell r="H834">
            <v>20201119011</v>
          </cell>
          <cell r="I834">
            <v>44154</v>
          </cell>
          <cell r="J834" t="str">
            <v>COILPLUS</v>
          </cell>
          <cell r="K834" t="str">
            <v>D2011087</v>
          </cell>
          <cell r="L834">
            <v>2</v>
          </cell>
          <cell r="M834" t="str">
            <v>03J34L</v>
          </cell>
          <cell r="N834" t="str">
            <v>J34L</v>
          </cell>
          <cell r="O834" t="str">
            <v xml:space="preserve">1.4306 TP304L </v>
          </cell>
          <cell r="P834" t="str">
            <v>304L</v>
          </cell>
          <cell r="Q834">
            <v>3.1539999999999999</v>
          </cell>
          <cell r="R834">
            <v>3.1524999999999999</v>
          </cell>
          <cell r="S834">
            <v>3.5999999999999997E-2</v>
          </cell>
          <cell r="T834">
            <v>3.56E-2</v>
          </cell>
          <cell r="U834">
            <v>3.5450000000000002E-2</v>
          </cell>
          <cell r="V834">
            <v>3.5525000000000001E-2</v>
          </cell>
          <cell r="W834" t="str">
            <v>TM</v>
          </cell>
          <cell r="X834">
            <v>5165</v>
          </cell>
          <cell r="Y834">
            <v>5</v>
          </cell>
          <cell r="Z834">
            <v>327.52060875079263</v>
          </cell>
          <cell r="AA834" t="str">
            <v>3.154X0.036-304L</v>
          </cell>
          <cell r="AB834" t="e">
            <v>#N/A</v>
          </cell>
          <cell r="AC834" t="str">
            <v>D2011087</v>
          </cell>
          <cell r="AD834" t="str">
            <v>J34L</v>
          </cell>
          <cell r="AE834">
            <v>2.1299999999999999E-2</v>
          </cell>
          <cell r="AF834">
            <v>1.714</v>
          </cell>
          <cell r="AG834">
            <v>3.3000000000000002E-2</v>
          </cell>
          <cell r="AH834">
            <v>1E-3</v>
          </cell>
          <cell r="AI834">
            <v>0.26100000000000001</v>
          </cell>
          <cell r="AJ834">
            <v>18</v>
          </cell>
          <cell r="AK834">
            <v>8.1</v>
          </cell>
          <cell r="AL834">
            <v>5.3999999999999999E-2</v>
          </cell>
          <cell r="AM834">
            <v>0.42599999999999999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  <cell r="AR834">
            <v>0</v>
          </cell>
          <cell r="AS834">
            <v>0</v>
          </cell>
          <cell r="AT834">
            <v>349</v>
          </cell>
          <cell r="AU834">
            <v>0</v>
          </cell>
          <cell r="AV834">
            <v>669</v>
          </cell>
          <cell r="AW834">
            <v>47</v>
          </cell>
          <cell r="AX834">
            <v>82</v>
          </cell>
          <cell r="AY834">
            <v>156</v>
          </cell>
          <cell r="AZ834">
            <v>0.85</v>
          </cell>
          <cell r="BA834" t="str">
            <v>D2011087</v>
          </cell>
          <cell r="BB834" t="str">
            <v>CONFORM</v>
          </cell>
          <cell r="BC834" t="str">
            <v>CONFORM</v>
          </cell>
          <cell r="BD834" t="str">
            <v>CONFORM</v>
          </cell>
          <cell r="BE834" t="str">
            <v>CONFORM</v>
          </cell>
          <cell r="BF834" t="str">
            <v>CONFORM</v>
          </cell>
        </row>
        <row r="835">
          <cell r="A835">
            <v>44154</v>
          </cell>
          <cell r="B835" t="str">
            <v>D2011087-3</v>
          </cell>
          <cell r="C835" t="str">
            <v>098/20</v>
          </cell>
          <cell r="D835">
            <v>1</v>
          </cell>
          <cell r="E835">
            <v>44154</v>
          </cell>
          <cell r="F835" t="str">
            <v>DC</v>
          </cell>
          <cell r="G835" t="str">
            <v>On Time</v>
          </cell>
          <cell r="H835">
            <v>20201119011</v>
          </cell>
          <cell r="I835">
            <v>44154</v>
          </cell>
          <cell r="J835" t="str">
            <v>COILPLUS</v>
          </cell>
          <cell r="K835" t="str">
            <v>D2011087</v>
          </cell>
          <cell r="L835">
            <v>3</v>
          </cell>
          <cell r="M835" t="str">
            <v>03J34L</v>
          </cell>
          <cell r="N835" t="str">
            <v>J34L</v>
          </cell>
          <cell r="O835" t="str">
            <v xml:space="preserve">1.4306 TP304L </v>
          </cell>
          <cell r="P835" t="str">
            <v>304L</v>
          </cell>
          <cell r="Q835">
            <v>3.1539999999999999</v>
          </cell>
          <cell r="R835">
            <v>3.153</v>
          </cell>
          <cell r="S835">
            <v>3.5999999999999997E-2</v>
          </cell>
          <cell r="T835">
            <v>3.5749999999999997E-2</v>
          </cell>
          <cell r="U835">
            <v>3.5499999999999997E-2</v>
          </cell>
          <cell r="V835">
            <v>3.5624999999999997E-2</v>
          </cell>
          <cell r="W835" t="str">
            <v>TM</v>
          </cell>
          <cell r="X835">
            <v>5175</v>
          </cell>
          <cell r="Y835">
            <v>5</v>
          </cell>
          <cell r="Z835">
            <v>328.15472415979707</v>
          </cell>
          <cell r="AA835" t="str">
            <v>3.154X0.036-304L</v>
          </cell>
          <cell r="AB835" t="e">
            <v>#N/A</v>
          </cell>
          <cell r="AC835" t="str">
            <v>D2011087</v>
          </cell>
          <cell r="AD835" t="str">
            <v>J34L</v>
          </cell>
          <cell r="AE835">
            <v>2.1299999999999999E-2</v>
          </cell>
          <cell r="AF835">
            <v>1.714</v>
          </cell>
          <cell r="AG835">
            <v>3.3000000000000002E-2</v>
          </cell>
          <cell r="AH835">
            <v>1E-3</v>
          </cell>
          <cell r="AI835">
            <v>0.26100000000000001</v>
          </cell>
          <cell r="AJ835">
            <v>18</v>
          </cell>
          <cell r="AK835">
            <v>8.1</v>
          </cell>
          <cell r="AL835">
            <v>5.3999999999999999E-2</v>
          </cell>
          <cell r="AM835">
            <v>0.42599999999999999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  <cell r="AS835">
            <v>0</v>
          </cell>
          <cell r="AT835">
            <v>349</v>
          </cell>
          <cell r="AU835">
            <v>0</v>
          </cell>
          <cell r="AV835">
            <v>669</v>
          </cell>
          <cell r="AW835">
            <v>47</v>
          </cell>
          <cell r="AX835">
            <v>82</v>
          </cell>
          <cell r="AY835">
            <v>156</v>
          </cell>
          <cell r="AZ835">
            <v>0.85</v>
          </cell>
          <cell r="BA835" t="str">
            <v>D2011087</v>
          </cell>
          <cell r="BB835" t="str">
            <v>CONFORM</v>
          </cell>
          <cell r="BC835" t="str">
            <v>CONFORM</v>
          </cell>
          <cell r="BD835" t="str">
            <v>CONFORM</v>
          </cell>
          <cell r="BE835" t="str">
            <v>CONFORM</v>
          </cell>
          <cell r="BF835" t="str">
            <v>CONFORM</v>
          </cell>
        </row>
        <row r="836">
          <cell r="A836">
            <v>44154</v>
          </cell>
          <cell r="B836" t="str">
            <v>D2011087-4</v>
          </cell>
          <cell r="C836" t="str">
            <v>098/20</v>
          </cell>
          <cell r="D836">
            <v>1</v>
          </cell>
          <cell r="E836">
            <v>44154</v>
          </cell>
          <cell r="F836" t="str">
            <v>DC</v>
          </cell>
          <cell r="G836" t="str">
            <v>On Time</v>
          </cell>
          <cell r="H836">
            <v>20201119011</v>
          </cell>
          <cell r="I836">
            <v>44154</v>
          </cell>
          <cell r="J836" t="str">
            <v>COILPLUS</v>
          </cell>
          <cell r="K836" t="str">
            <v>D2011087</v>
          </cell>
          <cell r="L836">
            <v>4</v>
          </cell>
          <cell r="M836" t="str">
            <v>03J34L</v>
          </cell>
          <cell r="N836" t="str">
            <v>J34L</v>
          </cell>
          <cell r="O836" t="str">
            <v xml:space="preserve">1.4306 TP304L </v>
          </cell>
          <cell r="P836" t="str">
            <v>304L</v>
          </cell>
          <cell r="Q836">
            <v>3.1539999999999999</v>
          </cell>
          <cell r="R836">
            <v>3.1564999999999999</v>
          </cell>
          <cell r="S836">
            <v>3.5999999999999997E-2</v>
          </cell>
          <cell r="T836">
            <v>3.5450000000000002E-2</v>
          </cell>
          <cell r="U836">
            <v>3.5499999999999997E-2</v>
          </cell>
          <cell r="V836">
            <v>3.5475E-2</v>
          </cell>
          <cell r="W836" t="str">
            <v>TM</v>
          </cell>
          <cell r="X836">
            <v>3125</v>
          </cell>
          <cell r="Y836">
            <v>3</v>
          </cell>
          <cell r="Z836">
            <v>330.26844218981194</v>
          </cell>
          <cell r="AA836" t="str">
            <v>3.154X0.036-304L</v>
          </cell>
          <cell r="AB836" t="e">
            <v>#N/A</v>
          </cell>
          <cell r="AC836" t="str">
            <v>D2011087</v>
          </cell>
          <cell r="AD836" t="str">
            <v>J34L</v>
          </cell>
          <cell r="AE836">
            <v>2.1299999999999999E-2</v>
          </cell>
          <cell r="AF836">
            <v>1.714</v>
          </cell>
          <cell r="AG836">
            <v>3.3000000000000002E-2</v>
          </cell>
          <cell r="AH836">
            <v>1E-3</v>
          </cell>
          <cell r="AI836">
            <v>0.26100000000000001</v>
          </cell>
          <cell r="AJ836">
            <v>18</v>
          </cell>
          <cell r="AK836">
            <v>8.1</v>
          </cell>
          <cell r="AL836">
            <v>5.3999999999999999E-2</v>
          </cell>
          <cell r="AM836">
            <v>0.42599999999999999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  <cell r="AS836">
            <v>0</v>
          </cell>
          <cell r="AT836">
            <v>349</v>
          </cell>
          <cell r="AU836">
            <v>0</v>
          </cell>
          <cell r="AV836">
            <v>669</v>
          </cell>
          <cell r="AW836">
            <v>47</v>
          </cell>
          <cell r="AX836">
            <v>82</v>
          </cell>
          <cell r="AY836">
            <v>156</v>
          </cell>
          <cell r="AZ836">
            <v>0.85</v>
          </cell>
          <cell r="BA836" t="str">
            <v>D2011087</v>
          </cell>
          <cell r="BB836" t="str">
            <v>CONFORM</v>
          </cell>
          <cell r="BC836" t="str">
            <v>CONFORM</v>
          </cell>
          <cell r="BD836" t="str">
            <v>CONFORM</v>
          </cell>
          <cell r="BE836" t="str">
            <v>CONFORM</v>
          </cell>
          <cell r="BF836" t="str">
            <v>CONFORM</v>
          </cell>
        </row>
        <row r="837">
          <cell r="A837">
            <v>44167</v>
          </cell>
          <cell r="B837" t="str">
            <v>D2012021-1</v>
          </cell>
          <cell r="C837" t="str">
            <v>100/20</v>
          </cell>
          <cell r="D837">
            <v>1</v>
          </cell>
          <cell r="E837">
            <v>44167</v>
          </cell>
          <cell r="F837" t="str">
            <v>DC</v>
          </cell>
          <cell r="G837" t="str">
            <v>On Time</v>
          </cell>
          <cell r="H837">
            <v>2407893140</v>
          </cell>
          <cell r="I837">
            <v>44166</v>
          </cell>
          <cell r="J837" t="str">
            <v>TKM</v>
          </cell>
          <cell r="K837" t="str">
            <v>D2012021</v>
          </cell>
          <cell r="L837">
            <v>1</v>
          </cell>
          <cell r="M837" t="str">
            <v>05F75T B</v>
          </cell>
          <cell r="N837" t="str">
            <v>F75T</v>
          </cell>
          <cell r="O837" t="str">
            <v xml:space="preserve">1.4306 TP304L </v>
          </cell>
          <cell r="P837" t="str">
            <v>304L</v>
          </cell>
          <cell r="Q837">
            <v>2.2639999999999998</v>
          </cell>
          <cell r="R837">
            <v>2.2570000000000001</v>
          </cell>
          <cell r="S837">
            <v>6.7000000000000004E-2</v>
          </cell>
          <cell r="T837">
            <v>6.8750000000000006E-2</v>
          </cell>
          <cell r="U837">
            <v>6.8650000000000003E-2</v>
          </cell>
          <cell r="V837">
            <v>6.8700000000000011E-2</v>
          </cell>
          <cell r="W837" t="str">
            <v>TM</v>
          </cell>
          <cell r="X837">
            <v>1668</v>
          </cell>
          <cell r="Y837">
            <v>2</v>
          </cell>
          <cell r="Z837">
            <v>368.37455830388694</v>
          </cell>
          <cell r="AA837" t="str">
            <v>2.264X0.067-304L</v>
          </cell>
          <cell r="AB837" t="str">
            <v>WAAC005750170B300117</v>
          </cell>
          <cell r="AC837" t="str">
            <v>D2012021</v>
          </cell>
          <cell r="AD837" t="str">
            <v>F75T</v>
          </cell>
          <cell r="AE837">
            <v>1.7999999999999999E-2</v>
          </cell>
          <cell r="AF837">
            <v>1.756</v>
          </cell>
          <cell r="AG837">
            <v>0.03</v>
          </cell>
          <cell r="AH837">
            <v>1E-3</v>
          </cell>
          <cell r="AI837">
            <v>0.27</v>
          </cell>
          <cell r="AJ837">
            <v>18.100000000000001</v>
          </cell>
          <cell r="AK837">
            <v>8</v>
          </cell>
          <cell r="AL837">
            <v>0.08</v>
          </cell>
          <cell r="AM837">
            <v>0.33800000000000002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  <cell r="AR837">
            <v>0.46</v>
          </cell>
          <cell r="AS837">
            <v>0</v>
          </cell>
          <cell r="AT837">
            <v>321</v>
          </cell>
          <cell r="AU837">
            <v>0</v>
          </cell>
          <cell r="AV837">
            <v>666</v>
          </cell>
          <cell r="AW837">
            <v>51</v>
          </cell>
          <cell r="AX837">
            <v>86</v>
          </cell>
          <cell r="AY837">
            <v>169</v>
          </cell>
          <cell r="AZ837">
            <v>1.34</v>
          </cell>
          <cell r="BA837" t="str">
            <v>D2012021</v>
          </cell>
          <cell r="BB837" t="str">
            <v>CONFORM</v>
          </cell>
          <cell r="BC837" t="str">
            <v>CONFORM</v>
          </cell>
          <cell r="BD837" t="str">
            <v>CONFORM</v>
          </cell>
          <cell r="BE837" t="str">
            <v>CONFORM</v>
          </cell>
          <cell r="BF837" t="str">
            <v>CONFORM</v>
          </cell>
        </row>
        <row r="838">
          <cell r="A838">
            <v>44167</v>
          </cell>
          <cell r="B838" t="str">
            <v>D2012022-1</v>
          </cell>
          <cell r="C838" t="str">
            <v>100/20</v>
          </cell>
          <cell r="D838">
            <v>2</v>
          </cell>
          <cell r="E838">
            <v>44167</v>
          </cell>
          <cell r="F838" t="str">
            <v>DC</v>
          </cell>
          <cell r="G838" t="str">
            <v>On Time</v>
          </cell>
          <cell r="H838">
            <v>2407893139</v>
          </cell>
          <cell r="I838">
            <v>44166</v>
          </cell>
          <cell r="J838" t="str">
            <v>TKM</v>
          </cell>
          <cell r="K838" t="str">
            <v>D2012022</v>
          </cell>
          <cell r="L838">
            <v>1</v>
          </cell>
          <cell r="M838" t="str">
            <v>05F75T B</v>
          </cell>
          <cell r="N838" t="str">
            <v>F75T</v>
          </cell>
          <cell r="O838" t="str">
            <v xml:space="preserve">1.4306 TP304L </v>
          </cell>
          <cell r="P838" t="str">
            <v>304L</v>
          </cell>
          <cell r="Q838">
            <v>3.85</v>
          </cell>
          <cell r="R838">
            <v>3.843</v>
          </cell>
          <cell r="S838">
            <v>6.7000000000000004E-2</v>
          </cell>
          <cell r="T838">
            <v>6.8650000000000003E-2</v>
          </cell>
          <cell r="U838">
            <v>6.8860000000000005E-2</v>
          </cell>
          <cell r="V838">
            <v>6.8755000000000011E-2</v>
          </cell>
          <cell r="W838" t="str">
            <v>TM</v>
          </cell>
          <cell r="X838">
            <v>2842</v>
          </cell>
          <cell r="Y838">
            <v>2</v>
          </cell>
          <cell r="Z838">
            <v>369.09090909090907</v>
          </cell>
          <cell r="AA838" t="str">
            <v>3.85X0.067-304L</v>
          </cell>
          <cell r="AB838" t="str">
            <v>WAAC009780170B300116</v>
          </cell>
          <cell r="AC838" t="str">
            <v>D2012022</v>
          </cell>
          <cell r="AD838" t="str">
            <v>F75T</v>
          </cell>
          <cell r="AE838">
            <v>1.7999999999999999E-2</v>
          </cell>
          <cell r="AF838">
            <v>1.756</v>
          </cell>
          <cell r="AG838">
            <v>0.03</v>
          </cell>
          <cell r="AH838">
            <v>1E-3</v>
          </cell>
          <cell r="AI838">
            <v>0.27</v>
          </cell>
          <cell r="AJ838">
            <v>18.100000000000001</v>
          </cell>
          <cell r="AK838">
            <v>8</v>
          </cell>
          <cell r="AL838">
            <v>0.08</v>
          </cell>
          <cell r="AM838">
            <v>0.33800000000000002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  <cell r="AR838">
            <v>0.46</v>
          </cell>
          <cell r="AS838">
            <v>0</v>
          </cell>
          <cell r="AT838">
            <v>321</v>
          </cell>
          <cell r="AU838">
            <v>0</v>
          </cell>
          <cell r="AV838">
            <v>666</v>
          </cell>
          <cell r="AW838">
            <v>51</v>
          </cell>
          <cell r="AX838">
            <v>86</v>
          </cell>
          <cell r="AY838">
            <v>169</v>
          </cell>
          <cell r="AZ838">
            <v>1.34</v>
          </cell>
          <cell r="BA838" t="str">
            <v>D2012022</v>
          </cell>
          <cell r="BB838" t="str">
            <v>CONFORM</v>
          </cell>
          <cell r="BC838" t="str">
            <v>CONFORM</v>
          </cell>
          <cell r="BD838" t="str">
            <v>CONFORM</v>
          </cell>
          <cell r="BE838" t="str">
            <v>CONFORM</v>
          </cell>
          <cell r="BF838" t="str">
            <v>CONFORM</v>
          </cell>
        </row>
        <row r="839">
          <cell r="A839">
            <v>44167</v>
          </cell>
          <cell r="B839" t="str">
            <v>D2012022-2</v>
          </cell>
          <cell r="C839" t="str">
            <v>100/20</v>
          </cell>
          <cell r="D839">
            <v>2</v>
          </cell>
          <cell r="E839">
            <v>44167</v>
          </cell>
          <cell r="F839" t="str">
            <v>DC</v>
          </cell>
          <cell r="G839" t="str">
            <v>On Time</v>
          </cell>
          <cell r="H839">
            <v>2407893139</v>
          </cell>
          <cell r="I839">
            <v>44166</v>
          </cell>
          <cell r="J839" t="str">
            <v>TKM</v>
          </cell>
          <cell r="K839" t="str">
            <v>D2012022</v>
          </cell>
          <cell r="L839">
            <v>2</v>
          </cell>
          <cell r="M839" t="str">
            <v>05F75T B</v>
          </cell>
          <cell r="N839" t="str">
            <v>F75T</v>
          </cell>
          <cell r="O839" t="str">
            <v xml:space="preserve">1.4306 TP304L </v>
          </cell>
          <cell r="P839" t="str">
            <v>304L</v>
          </cell>
          <cell r="Q839">
            <v>3.85</v>
          </cell>
          <cell r="R839">
            <v>3.8485</v>
          </cell>
          <cell r="S839">
            <v>6.7000000000000004E-2</v>
          </cell>
          <cell r="T839">
            <v>6.8750000000000006E-2</v>
          </cell>
          <cell r="U839">
            <v>6.8849999999999995E-2</v>
          </cell>
          <cell r="V839">
            <v>6.88E-2</v>
          </cell>
          <cell r="W839" t="str">
            <v>TM</v>
          </cell>
          <cell r="X839">
            <v>4254</v>
          </cell>
          <cell r="Y839">
            <v>3</v>
          </cell>
          <cell r="Z839">
            <v>368.31168831168833</v>
          </cell>
          <cell r="AA839" t="str">
            <v>3.85X0.067-304L</v>
          </cell>
          <cell r="AB839" t="str">
            <v>WAAC009780170B300116</v>
          </cell>
          <cell r="AC839" t="str">
            <v>D2012022</v>
          </cell>
          <cell r="AD839" t="str">
            <v>F75T</v>
          </cell>
          <cell r="AE839">
            <v>1.7999999999999999E-2</v>
          </cell>
          <cell r="AF839">
            <v>1.756</v>
          </cell>
          <cell r="AG839">
            <v>0.03</v>
          </cell>
          <cell r="AH839">
            <v>1E-3</v>
          </cell>
          <cell r="AI839">
            <v>0.27</v>
          </cell>
          <cell r="AJ839">
            <v>18.100000000000001</v>
          </cell>
          <cell r="AK839">
            <v>8</v>
          </cell>
          <cell r="AL839">
            <v>0.08</v>
          </cell>
          <cell r="AM839">
            <v>0.33800000000000002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  <cell r="AR839">
            <v>0.46</v>
          </cell>
          <cell r="AS839">
            <v>0</v>
          </cell>
          <cell r="AT839">
            <v>321</v>
          </cell>
          <cell r="AU839">
            <v>0</v>
          </cell>
          <cell r="AV839">
            <v>666</v>
          </cell>
          <cell r="AW839">
            <v>51</v>
          </cell>
          <cell r="AX839">
            <v>86</v>
          </cell>
          <cell r="AY839">
            <v>169</v>
          </cell>
          <cell r="AZ839">
            <v>1.34</v>
          </cell>
          <cell r="BA839" t="str">
            <v>D2012022</v>
          </cell>
          <cell r="BB839" t="str">
            <v>CONFORM</v>
          </cell>
          <cell r="BC839" t="str">
            <v>CONFORM</v>
          </cell>
          <cell r="BD839" t="str">
            <v>CONFORM</v>
          </cell>
          <cell r="BE839" t="str">
            <v>CONFORM</v>
          </cell>
          <cell r="BF839" t="str">
            <v>CONFORM</v>
          </cell>
        </row>
        <row r="840">
          <cell r="A840">
            <v>44167</v>
          </cell>
          <cell r="B840" t="str">
            <v>D2012022-3</v>
          </cell>
          <cell r="C840" t="str">
            <v>100/20</v>
          </cell>
          <cell r="D840">
            <v>2</v>
          </cell>
          <cell r="E840">
            <v>44167</v>
          </cell>
          <cell r="F840" t="str">
            <v>DC</v>
          </cell>
          <cell r="G840" t="str">
            <v>On Time</v>
          </cell>
          <cell r="H840">
            <v>2407893139</v>
          </cell>
          <cell r="I840">
            <v>44166</v>
          </cell>
          <cell r="J840" t="str">
            <v>TKM</v>
          </cell>
          <cell r="K840" t="str">
            <v>D2012022</v>
          </cell>
          <cell r="L840">
            <v>3</v>
          </cell>
          <cell r="M840" t="str">
            <v>05F75T B</v>
          </cell>
          <cell r="N840" t="str">
            <v>F75T</v>
          </cell>
          <cell r="O840" t="str">
            <v xml:space="preserve">1.4306 TP304L </v>
          </cell>
          <cell r="P840" t="str">
            <v>304L</v>
          </cell>
          <cell r="Q840">
            <v>3.85</v>
          </cell>
          <cell r="R840">
            <v>3.8450000000000002</v>
          </cell>
          <cell r="S840">
            <v>6.7000000000000004E-2</v>
          </cell>
          <cell r="T840">
            <v>6.8599999999999994E-2</v>
          </cell>
          <cell r="U840">
            <v>6.8699999999999997E-2</v>
          </cell>
          <cell r="V840">
            <v>6.8649999999999989E-2</v>
          </cell>
          <cell r="W840" t="str">
            <v>TM</v>
          </cell>
          <cell r="X840">
            <v>4268</v>
          </cell>
          <cell r="Y840">
            <v>3</v>
          </cell>
          <cell r="Z840">
            <v>369.52380952380952</v>
          </cell>
          <cell r="AA840" t="str">
            <v>3.85X0.067-304L</v>
          </cell>
          <cell r="AB840" t="str">
            <v>WAAC009780170B300116</v>
          </cell>
          <cell r="AC840" t="str">
            <v>D2012022</v>
          </cell>
          <cell r="AD840" t="str">
            <v>F75T</v>
          </cell>
          <cell r="AE840">
            <v>1.7999999999999999E-2</v>
          </cell>
          <cell r="AF840">
            <v>1.756</v>
          </cell>
          <cell r="AG840">
            <v>0.03</v>
          </cell>
          <cell r="AH840">
            <v>1E-3</v>
          </cell>
          <cell r="AI840">
            <v>0.27</v>
          </cell>
          <cell r="AJ840">
            <v>18.100000000000001</v>
          </cell>
          <cell r="AK840">
            <v>8</v>
          </cell>
          <cell r="AL840">
            <v>0.08</v>
          </cell>
          <cell r="AM840">
            <v>0.33800000000000002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0.46</v>
          </cell>
          <cell r="AS840">
            <v>0</v>
          </cell>
          <cell r="AT840">
            <v>321</v>
          </cell>
          <cell r="AU840">
            <v>0</v>
          </cell>
          <cell r="AV840">
            <v>666</v>
          </cell>
          <cell r="AW840">
            <v>51</v>
          </cell>
          <cell r="AX840">
            <v>86</v>
          </cell>
          <cell r="AY840">
            <v>169</v>
          </cell>
          <cell r="AZ840">
            <v>1.34</v>
          </cell>
          <cell r="BA840" t="str">
            <v>D2012022</v>
          </cell>
          <cell r="BB840" t="str">
            <v>CONFORM</v>
          </cell>
          <cell r="BC840" t="str">
            <v>CONFORM</v>
          </cell>
          <cell r="BD840" t="str">
            <v>CONFORM</v>
          </cell>
          <cell r="BE840" t="str">
            <v>CONFORM</v>
          </cell>
          <cell r="BF840" t="str">
            <v>CONFORM</v>
          </cell>
        </row>
        <row r="841">
          <cell r="A841">
            <v>44167</v>
          </cell>
          <cell r="B841" t="str">
            <v>D2012022-4</v>
          </cell>
          <cell r="C841" t="str">
            <v>100/20</v>
          </cell>
          <cell r="D841">
            <v>2</v>
          </cell>
          <cell r="E841">
            <v>44167</v>
          </cell>
          <cell r="F841" t="str">
            <v>DC</v>
          </cell>
          <cell r="G841" t="str">
            <v>On Time</v>
          </cell>
          <cell r="H841">
            <v>2407893139</v>
          </cell>
          <cell r="I841">
            <v>44166</v>
          </cell>
          <cell r="J841" t="str">
            <v>TKM</v>
          </cell>
          <cell r="K841" t="str">
            <v>D2012022</v>
          </cell>
          <cell r="L841">
            <v>4</v>
          </cell>
          <cell r="M841" t="str">
            <v>05F75T B</v>
          </cell>
          <cell r="N841" t="str">
            <v>F75T</v>
          </cell>
          <cell r="O841" t="str">
            <v xml:space="preserve">1.4306 TP304L </v>
          </cell>
          <cell r="P841" t="str">
            <v>304L</v>
          </cell>
          <cell r="Q841">
            <v>3.85</v>
          </cell>
          <cell r="R841">
            <v>3.8454999999999999</v>
          </cell>
          <cell r="S841">
            <v>6.7000000000000004E-2</v>
          </cell>
          <cell r="T841">
            <v>6.8750000000000006E-2</v>
          </cell>
          <cell r="U841">
            <v>6.8699999999999997E-2</v>
          </cell>
          <cell r="V841">
            <v>6.8725000000000008E-2</v>
          </cell>
          <cell r="W841" t="str">
            <v>TM</v>
          </cell>
          <cell r="X841">
            <v>4266</v>
          </cell>
          <cell r="Y841">
            <v>3</v>
          </cell>
          <cell r="Z841">
            <v>369.35064935064935</v>
          </cell>
          <cell r="AA841" t="str">
            <v>3.85X0.067-304L</v>
          </cell>
          <cell r="AB841" t="str">
            <v>WAAC009780170B300116</v>
          </cell>
          <cell r="AC841" t="str">
            <v>D2012022</v>
          </cell>
          <cell r="AD841" t="str">
            <v>F75T</v>
          </cell>
          <cell r="AE841">
            <v>1.7999999999999999E-2</v>
          </cell>
          <cell r="AF841">
            <v>1.756</v>
          </cell>
          <cell r="AG841">
            <v>0.03</v>
          </cell>
          <cell r="AH841">
            <v>1E-3</v>
          </cell>
          <cell r="AI841">
            <v>0.27</v>
          </cell>
          <cell r="AJ841">
            <v>18.100000000000001</v>
          </cell>
          <cell r="AK841">
            <v>8</v>
          </cell>
          <cell r="AL841">
            <v>0.08</v>
          </cell>
          <cell r="AM841">
            <v>0.33800000000000002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0.46</v>
          </cell>
          <cell r="AS841">
            <v>0</v>
          </cell>
          <cell r="AT841">
            <v>321</v>
          </cell>
          <cell r="AU841">
            <v>0</v>
          </cell>
          <cell r="AV841">
            <v>666</v>
          </cell>
          <cell r="AW841">
            <v>51</v>
          </cell>
          <cell r="AX841">
            <v>86</v>
          </cell>
          <cell r="AY841">
            <v>169</v>
          </cell>
          <cell r="AZ841">
            <v>1.34</v>
          </cell>
          <cell r="BA841" t="str">
            <v>D2012022</v>
          </cell>
          <cell r="BB841" t="str">
            <v>CONFORM</v>
          </cell>
          <cell r="BC841" t="str">
            <v>CONFORM</v>
          </cell>
          <cell r="BD841" t="str">
            <v>CONFORM</v>
          </cell>
          <cell r="BE841" t="str">
            <v>CONFORM</v>
          </cell>
          <cell r="BF841" t="str">
            <v>CONFORM</v>
          </cell>
        </row>
        <row r="842">
          <cell r="A842">
            <v>44173</v>
          </cell>
          <cell r="B842" t="str">
            <v>D2012040-1</v>
          </cell>
          <cell r="C842" t="str">
            <v>103/20</v>
          </cell>
          <cell r="D842">
            <v>1</v>
          </cell>
          <cell r="E842">
            <v>44173</v>
          </cell>
          <cell r="F842" t="str">
            <v>DC</v>
          </cell>
          <cell r="G842" t="str">
            <v>On Time</v>
          </cell>
          <cell r="H842" t="str">
            <v>165143-1</v>
          </cell>
          <cell r="I842">
            <v>44172</v>
          </cell>
          <cell r="J842" t="str">
            <v>UPM</v>
          </cell>
          <cell r="K842" t="str">
            <v>D2012040</v>
          </cell>
          <cell r="L842">
            <v>1</v>
          </cell>
          <cell r="M842" t="str">
            <v>AAD11403-A</v>
          </cell>
          <cell r="N842">
            <v>529612</v>
          </cell>
          <cell r="O842" t="str">
            <v>2.4856 UNS N06625</v>
          </cell>
          <cell r="P842" t="str">
            <v>A625</v>
          </cell>
          <cell r="Q842">
            <v>3.1539999999999999</v>
          </cell>
          <cell r="R842">
            <v>3.1535000000000002</v>
          </cell>
          <cell r="S842">
            <v>3.5999999999999997E-2</v>
          </cell>
          <cell r="T842">
            <v>3.5549999999999998E-2</v>
          </cell>
          <cell r="U842">
            <v>3.5650000000000001E-2</v>
          </cell>
          <cell r="V842">
            <v>3.56E-2</v>
          </cell>
          <cell r="W842" t="str">
            <v>TM</v>
          </cell>
          <cell r="X842">
            <v>1581</v>
          </cell>
          <cell r="Y842">
            <v>4</v>
          </cell>
          <cell r="Z842">
            <v>125.31705770450222</v>
          </cell>
          <cell r="AA842" t="str">
            <v>3.154X0.036-A625</v>
          </cell>
          <cell r="AB842" t="str">
            <v>WABG008000092B900136</v>
          </cell>
          <cell r="AC842" t="str">
            <v>D2012040</v>
          </cell>
          <cell r="AD842">
            <v>529612</v>
          </cell>
          <cell r="AE842">
            <v>0.05</v>
          </cell>
          <cell r="AF842">
            <v>0.36</v>
          </cell>
          <cell r="AG842">
            <v>8.0000000000000002E-3</v>
          </cell>
          <cell r="AH842">
            <v>0</v>
          </cell>
          <cell r="AI842">
            <v>0.23</v>
          </cell>
          <cell r="AJ842">
            <v>21.9</v>
          </cell>
          <cell r="AK842">
            <v>60.8</v>
          </cell>
          <cell r="AL842">
            <v>0</v>
          </cell>
          <cell r="AM842">
            <v>8.16</v>
          </cell>
          <cell r="AN842">
            <v>4.4800000000000004</v>
          </cell>
          <cell r="AO842">
            <v>0.21</v>
          </cell>
          <cell r="AP842">
            <v>3.38</v>
          </cell>
          <cell r="AQ842">
            <v>0.01</v>
          </cell>
          <cell r="AR842">
            <v>7.0000000000000007E-2</v>
          </cell>
          <cell r="AS842">
            <v>0.21</v>
          </cell>
          <cell r="AT842">
            <v>867</v>
          </cell>
          <cell r="AU842">
            <v>0</v>
          </cell>
          <cell r="AV842">
            <v>951</v>
          </cell>
          <cell r="AW842">
            <v>43</v>
          </cell>
          <cell r="AX842">
            <v>76</v>
          </cell>
          <cell r="AY842">
            <v>139</v>
          </cell>
          <cell r="AZ842">
            <v>14.1</v>
          </cell>
          <cell r="BA842" t="str">
            <v>D2012040</v>
          </cell>
          <cell r="BB842" t="str">
            <v>CONFORM</v>
          </cell>
          <cell r="BC842" t="str">
            <v>CONFORM</v>
          </cell>
          <cell r="BD842" t="str">
            <v>CONFORM</v>
          </cell>
          <cell r="BE842" t="str">
            <v>CONFORM</v>
          </cell>
          <cell r="BF842" t="str">
            <v>CONFORM</v>
          </cell>
        </row>
        <row r="843">
          <cell r="A843">
            <v>44173</v>
          </cell>
          <cell r="B843" t="str">
            <v>D2012040-2</v>
          </cell>
          <cell r="C843" t="str">
            <v>103/20</v>
          </cell>
          <cell r="D843">
            <v>1</v>
          </cell>
          <cell r="E843">
            <v>44173</v>
          </cell>
          <cell r="F843" t="str">
            <v>DC</v>
          </cell>
          <cell r="G843" t="str">
            <v>On Time</v>
          </cell>
          <cell r="H843" t="str">
            <v>165143-1</v>
          </cell>
          <cell r="I843">
            <v>44172</v>
          </cell>
          <cell r="J843" t="str">
            <v>UPM</v>
          </cell>
          <cell r="K843" t="str">
            <v>D2012040</v>
          </cell>
          <cell r="L843">
            <v>2</v>
          </cell>
          <cell r="M843" t="str">
            <v>AAD11403-A</v>
          </cell>
          <cell r="N843">
            <v>529612</v>
          </cell>
          <cell r="O843" t="str">
            <v>2.4856 UNS N06625</v>
          </cell>
          <cell r="P843" t="str">
            <v>A625</v>
          </cell>
          <cell r="Q843">
            <v>3.1539999999999999</v>
          </cell>
          <cell r="R843">
            <v>3.1515</v>
          </cell>
          <cell r="S843">
            <v>3.5999999999999997E-2</v>
          </cell>
          <cell r="T843">
            <v>3.5249999999999997E-2</v>
          </cell>
          <cell r="U843">
            <v>3.56E-2</v>
          </cell>
          <cell r="V843">
            <v>3.5424999999999998E-2</v>
          </cell>
          <cell r="W843" t="str">
            <v>TM</v>
          </cell>
          <cell r="X843">
            <v>1590</v>
          </cell>
          <cell r="Y843">
            <v>4</v>
          </cell>
          <cell r="Z843">
            <v>126.03043753963222</v>
          </cell>
          <cell r="AA843" t="str">
            <v>3.154X0.036-A625</v>
          </cell>
          <cell r="AB843" t="str">
            <v>WABG008000092B900136</v>
          </cell>
          <cell r="AC843" t="str">
            <v>D2012040</v>
          </cell>
          <cell r="AD843">
            <v>529612</v>
          </cell>
          <cell r="AE843">
            <v>0.05</v>
          </cell>
          <cell r="AF843">
            <v>0.36</v>
          </cell>
          <cell r="AG843">
            <v>8.0000000000000002E-3</v>
          </cell>
          <cell r="AH843">
            <v>0</v>
          </cell>
          <cell r="AI843">
            <v>0.23</v>
          </cell>
          <cell r="AJ843">
            <v>21.9</v>
          </cell>
          <cell r="AK843">
            <v>60.8</v>
          </cell>
          <cell r="AL843">
            <v>0</v>
          </cell>
          <cell r="AM843">
            <v>8.16</v>
          </cell>
          <cell r="AN843">
            <v>4.4800000000000004</v>
          </cell>
          <cell r="AO843">
            <v>0.21</v>
          </cell>
          <cell r="AP843">
            <v>3.38</v>
          </cell>
          <cell r="AQ843">
            <v>0.01</v>
          </cell>
          <cell r="AR843">
            <v>7.0000000000000007E-2</v>
          </cell>
          <cell r="AS843">
            <v>0.21</v>
          </cell>
          <cell r="AT843">
            <v>867</v>
          </cell>
          <cell r="AU843">
            <v>0</v>
          </cell>
          <cell r="AV843">
            <v>951</v>
          </cell>
          <cell r="AW843">
            <v>43</v>
          </cell>
          <cell r="AX843">
            <v>76</v>
          </cell>
          <cell r="AY843">
            <v>139</v>
          </cell>
          <cell r="AZ843">
            <v>14.1</v>
          </cell>
          <cell r="BA843" t="str">
            <v>D2012040</v>
          </cell>
          <cell r="BB843" t="str">
            <v>CONFORM</v>
          </cell>
          <cell r="BC843" t="str">
            <v>CONFORM</v>
          </cell>
          <cell r="BD843" t="str">
            <v>CONFORM</v>
          </cell>
          <cell r="BE843" t="str">
            <v>CONFORM</v>
          </cell>
          <cell r="BF843" t="str">
            <v>CONFORM</v>
          </cell>
        </row>
        <row r="844">
          <cell r="A844">
            <v>44173</v>
          </cell>
          <cell r="B844" t="str">
            <v>D2012040-3</v>
          </cell>
          <cell r="C844" t="str">
            <v>103/20</v>
          </cell>
          <cell r="D844">
            <v>1</v>
          </cell>
          <cell r="E844">
            <v>44173</v>
          </cell>
          <cell r="F844" t="str">
            <v>DC</v>
          </cell>
          <cell r="G844" t="str">
            <v>On Time</v>
          </cell>
          <cell r="H844" t="str">
            <v>165143-1</v>
          </cell>
          <cell r="I844">
            <v>44172</v>
          </cell>
          <cell r="J844" t="str">
            <v>UPM</v>
          </cell>
          <cell r="K844" t="str">
            <v>D2012040</v>
          </cell>
          <cell r="L844">
            <v>3</v>
          </cell>
          <cell r="M844" t="str">
            <v>AAD11403-A</v>
          </cell>
          <cell r="N844">
            <v>529612</v>
          </cell>
          <cell r="O844" t="str">
            <v>2.4856 UNS N06625</v>
          </cell>
          <cell r="P844" t="str">
            <v>A625</v>
          </cell>
          <cell r="Q844">
            <v>3.1539999999999999</v>
          </cell>
          <cell r="R844">
            <v>3.1515</v>
          </cell>
          <cell r="S844">
            <v>3.5999999999999997E-2</v>
          </cell>
          <cell r="T844">
            <v>3.49E-2</v>
          </cell>
          <cell r="U844">
            <v>3.5099999999999999E-2</v>
          </cell>
          <cell r="V844">
            <v>3.5000000000000003E-2</v>
          </cell>
          <cell r="W844" t="str">
            <v>TM</v>
          </cell>
          <cell r="X844">
            <v>1185</v>
          </cell>
          <cell r="Y844">
            <v>3</v>
          </cell>
          <cell r="Z844">
            <v>125.23779327837667</v>
          </cell>
          <cell r="AA844" t="str">
            <v>3.154X0.036-A625</v>
          </cell>
          <cell r="AB844" t="str">
            <v>WABG008000092B900136</v>
          </cell>
          <cell r="AC844" t="str">
            <v>D2012040</v>
          </cell>
          <cell r="AD844">
            <v>529612</v>
          </cell>
          <cell r="AE844">
            <v>0.05</v>
          </cell>
          <cell r="AF844">
            <v>0.36</v>
          </cell>
          <cell r="AG844">
            <v>8.0000000000000002E-3</v>
          </cell>
          <cell r="AH844">
            <v>0</v>
          </cell>
          <cell r="AI844">
            <v>0.23</v>
          </cell>
          <cell r="AJ844">
            <v>21.9</v>
          </cell>
          <cell r="AK844">
            <v>60.8</v>
          </cell>
          <cell r="AL844">
            <v>0</v>
          </cell>
          <cell r="AM844">
            <v>8.16</v>
          </cell>
          <cell r="AN844">
            <v>4.4800000000000004</v>
          </cell>
          <cell r="AO844">
            <v>0.21</v>
          </cell>
          <cell r="AP844">
            <v>3.38</v>
          </cell>
          <cell r="AQ844">
            <v>0.01</v>
          </cell>
          <cell r="AR844">
            <v>7.0000000000000007E-2</v>
          </cell>
          <cell r="AS844">
            <v>0.21</v>
          </cell>
          <cell r="AT844">
            <v>867</v>
          </cell>
          <cell r="AU844">
            <v>0</v>
          </cell>
          <cell r="AV844">
            <v>951</v>
          </cell>
          <cell r="AW844">
            <v>43</v>
          </cell>
          <cell r="AX844">
            <v>76</v>
          </cell>
          <cell r="AY844">
            <v>139</v>
          </cell>
          <cell r="AZ844">
            <v>14.1</v>
          </cell>
          <cell r="BA844" t="str">
            <v>D2012040</v>
          </cell>
          <cell r="BB844" t="str">
            <v>CONFORM</v>
          </cell>
          <cell r="BC844" t="str">
            <v>CONFORM</v>
          </cell>
          <cell r="BD844" t="str">
            <v>CONFORM</v>
          </cell>
          <cell r="BE844" t="str">
            <v>CONFORM</v>
          </cell>
          <cell r="BF844" t="str">
            <v>CONFORM</v>
          </cell>
        </row>
        <row r="845">
          <cell r="A845">
            <v>44182</v>
          </cell>
          <cell r="B845" t="str">
            <v>D2012085-1</v>
          </cell>
          <cell r="C845" t="str">
            <v>101/20</v>
          </cell>
          <cell r="D845">
            <v>2</v>
          </cell>
          <cell r="E845">
            <v>44180</v>
          </cell>
          <cell r="F845" t="str">
            <v>DC</v>
          </cell>
          <cell r="G845" t="str">
            <v>On Time</v>
          </cell>
          <cell r="H845" t="str">
            <v>#75</v>
          </cell>
          <cell r="I845">
            <v>44153</v>
          </cell>
          <cell r="J845" t="str">
            <v>ADTI</v>
          </cell>
          <cell r="K845" t="str">
            <v>D2012085</v>
          </cell>
          <cell r="L845">
            <v>1</v>
          </cell>
          <cell r="M845">
            <v>386223</v>
          </cell>
          <cell r="N845" t="str">
            <v>0532468</v>
          </cell>
          <cell r="O845" t="str">
            <v>1.4550 TP347</v>
          </cell>
          <cell r="P845" t="str">
            <v>TP347</v>
          </cell>
          <cell r="Q845">
            <v>3.0550000000000002</v>
          </cell>
          <cell r="R845">
            <v>3.0529999999999999</v>
          </cell>
          <cell r="S845">
            <v>6.7000000000000004E-2</v>
          </cell>
          <cell r="T845">
            <v>6.6049999999999998E-2</v>
          </cell>
          <cell r="V845">
            <v>6.6049999999999998E-2</v>
          </cell>
          <cell r="X845">
            <v>7853</v>
          </cell>
          <cell r="Y845">
            <v>3</v>
          </cell>
          <cell r="Z845">
            <v>856.84669939989078</v>
          </cell>
          <cell r="AA845" t="str">
            <v>3.055X0.067-TP347</v>
          </cell>
          <cell r="AB845" t="str">
            <v>WADC007760170B300114</v>
          </cell>
          <cell r="AC845" t="str">
            <v>D2012085</v>
          </cell>
          <cell r="AD845" t="str">
            <v>0532468</v>
          </cell>
          <cell r="AE845">
            <v>4.8000000000000001E-2</v>
          </cell>
          <cell r="AF845">
            <v>0.87</v>
          </cell>
          <cell r="AG845">
            <v>3.1E-2</v>
          </cell>
          <cell r="AH845">
            <v>1E-3</v>
          </cell>
          <cell r="AI845">
            <v>0.51</v>
          </cell>
          <cell r="AJ845">
            <v>17.100000000000001</v>
          </cell>
          <cell r="AK845">
            <v>9.1</v>
          </cell>
          <cell r="AL845">
            <v>0.02</v>
          </cell>
          <cell r="AM845">
            <v>0.23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  <cell r="AR845">
            <v>0</v>
          </cell>
          <cell r="AS845">
            <v>0</v>
          </cell>
          <cell r="AT845">
            <v>255</v>
          </cell>
          <cell r="AU845">
            <v>284</v>
          </cell>
          <cell r="AV845">
            <v>631</v>
          </cell>
          <cell r="AW845">
            <v>57</v>
          </cell>
          <cell r="AX845">
            <v>79</v>
          </cell>
          <cell r="AY845">
            <v>147</v>
          </cell>
          <cell r="AZ845">
            <v>1.9870000000000001</v>
          </cell>
          <cell r="BA845" t="str">
            <v>D2012085</v>
          </cell>
          <cell r="BB845" t="str">
            <v>CONFORM</v>
          </cell>
          <cell r="BC845" t="str">
            <v>CONFORM</v>
          </cell>
          <cell r="BD845" t="str">
            <v>CONFORM</v>
          </cell>
          <cell r="BE845" t="str">
            <v>CONFORM</v>
          </cell>
          <cell r="BF845" t="str">
            <v>CONFORM</v>
          </cell>
        </row>
        <row r="846">
          <cell r="A846">
            <v>44182</v>
          </cell>
          <cell r="B846" t="str">
            <v>D2012085-2</v>
          </cell>
          <cell r="C846" t="str">
            <v>101/20</v>
          </cell>
          <cell r="D846">
            <v>2</v>
          </cell>
          <cell r="E846">
            <v>44180</v>
          </cell>
          <cell r="F846" t="str">
            <v>DC</v>
          </cell>
          <cell r="G846" t="str">
            <v>On Time</v>
          </cell>
          <cell r="H846" t="str">
            <v>#75</v>
          </cell>
          <cell r="I846">
            <v>44153</v>
          </cell>
          <cell r="J846" t="str">
            <v>ADTI</v>
          </cell>
          <cell r="K846" t="str">
            <v>D2012085</v>
          </cell>
          <cell r="L846">
            <v>2</v>
          </cell>
          <cell r="M846">
            <v>386223</v>
          </cell>
          <cell r="N846" t="str">
            <v>0532468</v>
          </cell>
          <cell r="O846" t="str">
            <v>1.4550 TP347</v>
          </cell>
          <cell r="P846" t="str">
            <v>TP347</v>
          </cell>
          <cell r="Q846">
            <v>3.0550000000000002</v>
          </cell>
          <cell r="R846">
            <v>3.0505</v>
          </cell>
          <cell r="S846">
            <v>6.7000000000000004E-2</v>
          </cell>
          <cell r="T846">
            <v>6.7750000000000005E-2</v>
          </cell>
          <cell r="V846">
            <v>6.7750000000000005E-2</v>
          </cell>
          <cell r="X846">
            <v>5240</v>
          </cell>
          <cell r="Y846">
            <v>2</v>
          </cell>
          <cell r="Z846">
            <v>857.61047463175123</v>
          </cell>
          <cell r="AA846" t="str">
            <v>3.055X0.067-TP347</v>
          </cell>
          <cell r="AB846" t="str">
            <v>WADC007760170B300114</v>
          </cell>
          <cell r="AC846" t="str">
            <v>D2012085</v>
          </cell>
          <cell r="AD846" t="str">
            <v>0532468</v>
          </cell>
          <cell r="AE846">
            <v>4.8000000000000001E-2</v>
          </cell>
          <cell r="AF846">
            <v>0.87</v>
          </cell>
          <cell r="AG846">
            <v>3.1E-2</v>
          </cell>
          <cell r="AH846">
            <v>1E-3</v>
          </cell>
          <cell r="AI846">
            <v>0.51</v>
          </cell>
          <cell r="AJ846">
            <v>17.100000000000001</v>
          </cell>
          <cell r="AK846">
            <v>9.1</v>
          </cell>
          <cell r="AL846">
            <v>0.02</v>
          </cell>
          <cell r="AM846">
            <v>0.23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  <cell r="AS846">
            <v>0</v>
          </cell>
          <cell r="AT846">
            <v>255</v>
          </cell>
          <cell r="AU846">
            <v>284</v>
          </cell>
          <cell r="AV846">
            <v>631</v>
          </cell>
          <cell r="AW846">
            <v>57</v>
          </cell>
          <cell r="AX846">
            <v>79</v>
          </cell>
          <cell r="AY846">
            <v>147</v>
          </cell>
          <cell r="AZ846">
            <v>1.9870000000000001</v>
          </cell>
          <cell r="BA846" t="str">
            <v>D2012085</v>
          </cell>
          <cell r="BB846" t="str">
            <v>CONFORM</v>
          </cell>
          <cell r="BC846" t="str">
            <v>CONFORM</v>
          </cell>
          <cell r="BD846" t="str">
            <v>CONFORM</v>
          </cell>
          <cell r="BE846" t="str">
            <v>CONFORM</v>
          </cell>
          <cell r="BF846" t="str">
            <v>CONFORM</v>
          </cell>
        </row>
        <row r="847">
          <cell r="A847">
            <v>44182</v>
          </cell>
          <cell r="B847" t="str">
            <v>D2012085-3</v>
          </cell>
          <cell r="C847" t="str">
            <v>101/20</v>
          </cell>
          <cell r="D847">
            <v>2</v>
          </cell>
          <cell r="E847">
            <v>44180</v>
          </cell>
          <cell r="F847" t="str">
            <v>DC</v>
          </cell>
          <cell r="G847" t="str">
            <v>On Time</v>
          </cell>
          <cell r="H847" t="str">
            <v>#75</v>
          </cell>
          <cell r="I847">
            <v>44153</v>
          </cell>
          <cell r="J847" t="str">
            <v>ADTI</v>
          </cell>
          <cell r="K847" t="str">
            <v>D2012085</v>
          </cell>
          <cell r="L847">
            <v>3</v>
          </cell>
          <cell r="M847">
            <v>386223</v>
          </cell>
          <cell r="N847" t="str">
            <v>0532468</v>
          </cell>
          <cell r="O847" t="str">
            <v>1.4550 TP347</v>
          </cell>
          <cell r="P847" t="str">
            <v>TP347</v>
          </cell>
          <cell r="Q847">
            <v>3.0550000000000002</v>
          </cell>
          <cell r="R847">
            <v>3.0510000000000002</v>
          </cell>
          <cell r="S847">
            <v>6.7000000000000004E-2</v>
          </cell>
          <cell r="T847">
            <v>6.6699999999999995E-2</v>
          </cell>
          <cell r="V847">
            <v>6.6699999999999995E-2</v>
          </cell>
          <cell r="X847">
            <v>5238</v>
          </cell>
          <cell r="Y847">
            <v>2</v>
          </cell>
          <cell r="Z847">
            <v>857.28314238952532</v>
          </cell>
          <cell r="AA847" t="str">
            <v>3.055X0.067-TP347</v>
          </cell>
          <cell r="AB847" t="str">
            <v>WADC007760170B300114</v>
          </cell>
          <cell r="AC847" t="str">
            <v>D2012085</v>
          </cell>
          <cell r="AD847" t="str">
            <v>0532468</v>
          </cell>
          <cell r="AE847">
            <v>4.8000000000000001E-2</v>
          </cell>
          <cell r="AF847">
            <v>0.87</v>
          </cell>
          <cell r="AG847">
            <v>3.1E-2</v>
          </cell>
          <cell r="AH847">
            <v>1E-3</v>
          </cell>
          <cell r="AI847">
            <v>0.51</v>
          </cell>
          <cell r="AJ847">
            <v>17.100000000000001</v>
          </cell>
          <cell r="AK847">
            <v>9.1</v>
          </cell>
          <cell r="AL847">
            <v>0.02</v>
          </cell>
          <cell r="AM847">
            <v>0.23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  <cell r="AS847">
            <v>0</v>
          </cell>
          <cell r="AT847">
            <v>255</v>
          </cell>
          <cell r="AU847">
            <v>284</v>
          </cell>
          <cell r="AV847">
            <v>631</v>
          </cell>
          <cell r="AW847">
            <v>57</v>
          </cell>
          <cell r="AX847">
            <v>79</v>
          </cell>
          <cell r="AY847">
            <v>147</v>
          </cell>
          <cell r="AZ847">
            <v>1.9870000000000001</v>
          </cell>
          <cell r="BA847" t="str">
            <v>D2012085</v>
          </cell>
          <cell r="BB847" t="str">
            <v>CONFORM</v>
          </cell>
          <cell r="BC847" t="str">
            <v>CONFORM</v>
          </cell>
          <cell r="BD847" t="str">
            <v>CONFORM</v>
          </cell>
          <cell r="BE847" t="str">
            <v>CONFORM</v>
          </cell>
          <cell r="BF847" t="str">
            <v>CONFORM</v>
          </cell>
        </row>
        <row r="848">
          <cell r="A848">
            <v>44182</v>
          </cell>
          <cell r="B848" t="str">
            <v>D2012085-4</v>
          </cell>
          <cell r="C848" t="str">
            <v>101/20</v>
          </cell>
          <cell r="D848">
            <v>2</v>
          </cell>
          <cell r="E848">
            <v>44180</v>
          </cell>
          <cell r="F848" t="str">
            <v>DC</v>
          </cell>
          <cell r="G848" t="str">
            <v>On Time</v>
          </cell>
          <cell r="H848" t="str">
            <v>#75</v>
          </cell>
          <cell r="I848">
            <v>44153</v>
          </cell>
          <cell r="J848" t="str">
            <v>ADTI</v>
          </cell>
          <cell r="K848" t="str">
            <v>D2012085</v>
          </cell>
          <cell r="L848">
            <v>4</v>
          </cell>
          <cell r="M848">
            <v>386223</v>
          </cell>
          <cell r="N848" t="str">
            <v>0532468</v>
          </cell>
          <cell r="O848" t="str">
            <v>1.4550 TP347</v>
          </cell>
          <cell r="P848" t="str">
            <v>TP347</v>
          </cell>
          <cell r="Q848">
            <v>3.0550000000000002</v>
          </cell>
          <cell r="R848">
            <v>3.0525000000000002</v>
          </cell>
          <cell r="S848">
            <v>6.7000000000000004E-2</v>
          </cell>
          <cell r="T848">
            <v>6.5500000000000003E-2</v>
          </cell>
          <cell r="V848">
            <v>6.5500000000000003E-2</v>
          </cell>
          <cell r="X848">
            <v>5185</v>
          </cell>
          <cell r="Y848">
            <v>2</v>
          </cell>
          <cell r="Z848">
            <v>848.60883797054009</v>
          </cell>
          <cell r="AA848" t="str">
            <v>3.055X0.067-TP347</v>
          </cell>
          <cell r="AB848" t="str">
            <v>WADC007760170B300114</v>
          </cell>
          <cell r="AC848" t="str">
            <v>D2012085</v>
          </cell>
          <cell r="AD848" t="str">
            <v>0532468</v>
          </cell>
          <cell r="AE848">
            <v>4.8000000000000001E-2</v>
          </cell>
          <cell r="AF848">
            <v>0.87</v>
          </cell>
          <cell r="AG848">
            <v>3.1E-2</v>
          </cell>
          <cell r="AH848">
            <v>1E-3</v>
          </cell>
          <cell r="AI848">
            <v>0.51</v>
          </cell>
          <cell r="AJ848">
            <v>17.100000000000001</v>
          </cell>
          <cell r="AK848">
            <v>9.1</v>
          </cell>
          <cell r="AL848">
            <v>0.02</v>
          </cell>
          <cell r="AM848">
            <v>0.23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  <cell r="AS848">
            <v>0</v>
          </cell>
          <cell r="AT848">
            <v>255</v>
          </cell>
          <cell r="AU848">
            <v>284</v>
          </cell>
          <cell r="AV848">
            <v>631</v>
          </cell>
          <cell r="AW848">
            <v>57</v>
          </cell>
          <cell r="AX848">
            <v>79</v>
          </cell>
          <cell r="AY848">
            <v>147</v>
          </cell>
          <cell r="AZ848">
            <v>1.9870000000000001</v>
          </cell>
          <cell r="BA848" t="str">
            <v>D2012085</v>
          </cell>
          <cell r="BB848" t="str">
            <v>CONFORM</v>
          </cell>
          <cell r="BC848" t="str">
            <v>CONFORM</v>
          </cell>
          <cell r="BD848" t="str">
            <v>CONFORM</v>
          </cell>
          <cell r="BE848" t="str">
            <v>CONFORM</v>
          </cell>
          <cell r="BF848" t="str">
            <v>CONFORM</v>
          </cell>
        </row>
        <row r="849">
          <cell r="A849">
            <v>44182</v>
          </cell>
          <cell r="B849" t="str">
            <v>D2012085-5</v>
          </cell>
          <cell r="C849" t="str">
            <v>101/20</v>
          </cell>
          <cell r="D849">
            <v>2</v>
          </cell>
          <cell r="E849">
            <v>44180</v>
          </cell>
          <cell r="F849" t="str">
            <v>DC</v>
          </cell>
          <cell r="G849" t="str">
            <v>On Time</v>
          </cell>
          <cell r="H849" t="str">
            <v>#75</v>
          </cell>
          <cell r="I849">
            <v>44153</v>
          </cell>
          <cell r="J849" t="str">
            <v>ADTI</v>
          </cell>
          <cell r="K849" t="str">
            <v>D2012085</v>
          </cell>
          <cell r="L849">
            <v>5</v>
          </cell>
          <cell r="M849">
            <v>386223</v>
          </cell>
          <cell r="N849" t="str">
            <v>0532468</v>
          </cell>
          <cell r="O849" t="str">
            <v>1.4550 TP347</v>
          </cell>
          <cell r="P849" t="str">
            <v>TP347</v>
          </cell>
          <cell r="Q849">
            <v>3.0550000000000002</v>
          </cell>
          <cell r="R849">
            <v>3.052</v>
          </cell>
          <cell r="S849">
            <v>6.7000000000000004E-2</v>
          </cell>
          <cell r="T849">
            <v>6.6000000000000003E-2</v>
          </cell>
          <cell r="V849">
            <v>6.6000000000000003E-2</v>
          </cell>
          <cell r="X849">
            <v>5243</v>
          </cell>
          <cell r="Y849">
            <v>2</v>
          </cell>
          <cell r="Z849">
            <v>858.10147299508992</v>
          </cell>
          <cell r="AA849" t="str">
            <v>3.055X0.067-TP347</v>
          </cell>
          <cell r="AB849" t="str">
            <v>WADC007760170B300114</v>
          </cell>
          <cell r="AC849" t="str">
            <v>D2012085</v>
          </cell>
          <cell r="AD849" t="str">
            <v>0532468</v>
          </cell>
          <cell r="AE849">
            <v>4.8000000000000001E-2</v>
          </cell>
          <cell r="AF849">
            <v>0.87</v>
          </cell>
          <cell r="AG849">
            <v>3.1E-2</v>
          </cell>
          <cell r="AH849">
            <v>1E-3</v>
          </cell>
          <cell r="AI849">
            <v>0.51</v>
          </cell>
          <cell r="AJ849">
            <v>17.100000000000001</v>
          </cell>
          <cell r="AK849">
            <v>9.1</v>
          </cell>
          <cell r="AL849">
            <v>0.02</v>
          </cell>
          <cell r="AM849">
            <v>0.23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  <cell r="AS849">
            <v>0</v>
          </cell>
          <cell r="AT849">
            <v>255</v>
          </cell>
          <cell r="AU849">
            <v>284</v>
          </cell>
          <cell r="AV849">
            <v>631</v>
          </cell>
          <cell r="AW849">
            <v>57</v>
          </cell>
          <cell r="AX849">
            <v>79</v>
          </cell>
          <cell r="AY849">
            <v>147</v>
          </cell>
          <cell r="AZ849">
            <v>1.9870000000000001</v>
          </cell>
          <cell r="BA849" t="str">
            <v>D2012085</v>
          </cell>
          <cell r="BB849" t="str">
            <v>CONFORM</v>
          </cell>
          <cell r="BC849" t="str">
            <v>CONFORM</v>
          </cell>
          <cell r="BD849" t="str">
            <v>CONFORM</v>
          </cell>
          <cell r="BE849" t="str">
            <v>CONFORM</v>
          </cell>
          <cell r="BF849" t="str">
            <v>CONFORM</v>
          </cell>
        </row>
        <row r="850">
          <cell r="A850">
            <v>44182</v>
          </cell>
          <cell r="B850" t="str">
            <v>D2012085-6</v>
          </cell>
          <cell r="C850" t="str">
            <v>101/20</v>
          </cell>
          <cell r="D850">
            <v>2</v>
          </cell>
          <cell r="E850">
            <v>44180</v>
          </cell>
          <cell r="F850" t="str">
            <v>DC</v>
          </cell>
          <cell r="G850" t="str">
            <v>On Time</v>
          </cell>
          <cell r="H850" t="str">
            <v>#75</v>
          </cell>
          <cell r="I850">
            <v>44153</v>
          </cell>
          <cell r="J850" t="str">
            <v>ADTI</v>
          </cell>
          <cell r="K850" t="str">
            <v>D2012085</v>
          </cell>
          <cell r="L850">
            <v>6</v>
          </cell>
          <cell r="M850">
            <v>386223</v>
          </cell>
          <cell r="N850" t="str">
            <v>0532468</v>
          </cell>
          <cell r="O850" t="str">
            <v>1.4550 TP347</v>
          </cell>
          <cell r="P850" t="str">
            <v>TP347</v>
          </cell>
          <cell r="Q850">
            <v>3.0550000000000002</v>
          </cell>
          <cell r="R850">
            <v>3.0495000000000001</v>
          </cell>
          <cell r="S850">
            <v>6.7000000000000004E-2</v>
          </cell>
          <cell r="T850">
            <v>6.6250000000000003E-2</v>
          </cell>
          <cell r="V850">
            <v>6.6250000000000003E-2</v>
          </cell>
          <cell r="X850">
            <v>5227</v>
          </cell>
          <cell r="Y850">
            <v>2</v>
          </cell>
          <cell r="Z850">
            <v>855.48281505728312</v>
          </cell>
          <cell r="AA850" t="str">
            <v>3.055X0.067-TP347</v>
          </cell>
          <cell r="AB850" t="str">
            <v>WADC007760170B300114</v>
          </cell>
          <cell r="AC850" t="str">
            <v>D2012085</v>
          </cell>
          <cell r="AD850" t="str">
            <v>0532468</v>
          </cell>
          <cell r="AE850">
            <v>4.8000000000000001E-2</v>
          </cell>
          <cell r="AF850">
            <v>0.87</v>
          </cell>
          <cell r="AG850">
            <v>3.1E-2</v>
          </cell>
          <cell r="AH850">
            <v>1E-3</v>
          </cell>
          <cell r="AI850">
            <v>0.51</v>
          </cell>
          <cell r="AJ850">
            <v>17.100000000000001</v>
          </cell>
          <cell r="AK850">
            <v>9.1</v>
          </cell>
          <cell r="AL850">
            <v>0.02</v>
          </cell>
          <cell r="AM850">
            <v>0.23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  <cell r="AS850">
            <v>0</v>
          </cell>
          <cell r="AT850">
            <v>255</v>
          </cell>
          <cell r="AU850">
            <v>284</v>
          </cell>
          <cell r="AV850">
            <v>631</v>
          </cell>
          <cell r="AW850">
            <v>57</v>
          </cell>
          <cell r="AX850">
            <v>79</v>
          </cell>
          <cell r="AY850">
            <v>147</v>
          </cell>
          <cell r="AZ850">
            <v>1.9870000000000001</v>
          </cell>
          <cell r="BA850" t="str">
            <v>D2012085</v>
          </cell>
          <cell r="BB850" t="str">
            <v>CONFORM</v>
          </cell>
          <cell r="BC850" t="str">
            <v>CONFORM</v>
          </cell>
          <cell r="BD850" t="str">
            <v>CONFORM</v>
          </cell>
          <cell r="BE850" t="str">
            <v>CONFORM</v>
          </cell>
          <cell r="BF850" t="str">
            <v>CONFORM</v>
          </cell>
        </row>
        <row r="851">
          <cell r="A851">
            <v>44182</v>
          </cell>
          <cell r="B851" t="str">
            <v>D2012086-1</v>
          </cell>
          <cell r="C851" t="str">
            <v>101/20</v>
          </cell>
          <cell r="D851">
            <v>1</v>
          </cell>
          <cell r="E851">
            <v>44180</v>
          </cell>
          <cell r="F851" t="str">
            <v>DC</v>
          </cell>
          <cell r="G851" t="str">
            <v>On Time</v>
          </cell>
          <cell r="H851" t="str">
            <v>#75</v>
          </cell>
          <cell r="I851">
            <v>44153</v>
          </cell>
          <cell r="J851" t="str">
            <v>ADTI</v>
          </cell>
          <cell r="K851" t="str">
            <v>D2012086</v>
          </cell>
          <cell r="L851">
            <v>1</v>
          </cell>
          <cell r="M851" t="str">
            <v>432212-1</v>
          </cell>
          <cell r="N851">
            <v>432212</v>
          </cell>
          <cell r="O851" t="str">
            <v xml:space="preserve">1.4462 UNS S32205 </v>
          </cell>
          <cell r="P851">
            <v>2205</v>
          </cell>
          <cell r="Q851">
            <v>2.3109999999999999</v>
          </cell>
          <cell r="R851">
            <v>2.3069999999999999</v>
          </cell>
          <cell r="S851">
            <v>5.0999999999999997E-2</v>
          </cell>
          <cell r="T851">
            <v>5.2949999999999997E-2</v>
          </cell>
          <cell r="V851">
            <v>5.2949999999999997E-2</v>
          </cell>
          <cell r="X851">
            <v>4771</v>
          </cell>
          <cell r="Y851">
            <v>5</v>
          </cell>
          <cell r="Z851">
            <v>412.89485071397667</v>
          </cell>
          <cell r="AA851" t="str">
            <v>2.311X0.051-2205</v>
          </cell>
          <cell r="AB851" t="str">
            <v>WACN005870130B300058</v>
          </cell>
          <cell r="AC851" t="str">
            <v>D2012086</v>
          </cell>
          <cell r="AD851">
            <v>432212</v>
          </cell>
          <cell r="AE851">
            <v>1.7000000000000001E-2</v>
          </cell>
          <cell r="AF851">
            <v>1.36</v>
          </cell>
          <cell r="AG851">
            <v>2.4E-2</v>
          </cell>
          <cell r="AH851">
            <v>1E-3</v>
          </cell>
          <cell r="AI851">
            <v>0.37</v>
          </cell>
          <cell r="AJ851">
            <v>22.4</v>
          </cell>
          <cell r="AK851">
            <v>5.8</v>
          </cell>
          <cell r="AL851">
            <v>0.18</v>
          </cell>
          <cell r="AM851">
            <v>3.14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  <cell r="AS851">
            <v>0</v>
          </cell>
          <cell r="AT851">
            <v>472</v>
          </cell>
          <cell r="AU851">
            <v>526</v>
          </cell>
          <cell r="AV851">
            <v>739</v>
          </cell>
          <cell r="AW851">
            <v>28</v>
          </cell>
          <cell r="AX851">
            <v>264</v>
          </cell>
          <cell r="AY851">
            <v>264</v>
          </cell>
          <cell r="AZ851">
            <v>2.3730000000000002</v>
          </cell>
          <cell r="BA851" t="str">
            <v>D2012086</v>
          </cell>
          <cell r="BB851" t="str">
            <v>CONFORM</v>
          </cell>
          <cell r="BC851" t="str">
            <v>CONFORM</v>
          </cell>
          <cell r="BD851" t="str">
            <v>CONFORM</v>
          </cell>
          <cell r="BE851" t="str">
            <v>CONFORM</v>
          </cell>
          <cell r="BF851" t="str">
            <v>CONFORM</v>
          </cell>
        </row>
        <row r="852">
          <cell r="A852">
            <v>44186</v>
          </cell>
          <cell r="B852" t="str">
            <v>D2012097-1</v>
          </cell>
          <cell r="C852" t="str">
            <v>105/20</v>
          </cell>
          <cell r="D852">
            <v>1</v>
          </cell>
          <cell r="E852">
            <v>44186</v>
          </cell>
          <cell r="F852" t="str">
            <v>DC</v>
          </cell>
          <cell r="G852" t="str">
            <v>On Time</v>
          </cell>
          <cell r="H852">
            <v>2407925481</v>
          </cell>
          <cell r="I852">
            <v>44183</v>
          </cell>
          <cell r="J852" t="str">
            <v>TKM</v>
          </cell>
          <cell r="K852" t="str">
            <v>D2012097</v>
          </cell>
          <cell r="L852">
            <v>1</v>
          </cell>
          <cell r="M852" t="str">
            <v>04F61VC</v>
          </cell>
          <cell r="N852" t="str">
            <v>F61V</v>
          </cell>
          <cell r="O852" t="str">
            <v xml:space="preserve">1.4401/1.4404 TP316/316L </v>
          </cell>
          <cell r="P852" t="str">
            <v>316L</v>
          </cell>
          <cell r="Q852">
            <v>2.2639999999999998</v>
          </cell>
          <cell r="R852">
            <v>2.2635000000000001</v>
          </cell>
          <cell r="S852">
            <v>6.7000000000000004E-2</v>
          </cell>
          <cell r="T852">
            <v>6.9000000000000006E-2</v>
          </cell>
          <cell r="V852">
            <v>6.9000000000000006E-2</v>
          </cell>
          <cell r="X852">
            <v>5736</v>
          </cell>
          <cell r="Y852">
            <v>7</v>
          </cell>
          <cell r="Z852">
            <v>361.93841494194857</v>
          </cell>
          <cell r="AA852" t="str">
            <v>2.264X0.067-316L</v>
          </cell>
          <cell r="AB852" t="str">
            <v>WAAF005750170B300073</v>
          </cell>
          <cell r="AC852" t="str">
            <v>D2012097</v>
          </cell>
          <cell r="AD852" t="str">
            <v>F61V</v>
          </cell>
          <cell r="AE852">
            <v>1.7999999999999999E-2</v>
          </cell>
          <cell r="AF852">
            <v>1.27</v>
          </cell>
          <cell r="AG852">
            <v>2.9000000000000001E-2</v>
          </cell>
          <cell r="AH852">
            <v>2E-3</v>
          </cell>
          <cell r="AI852">
            <v>0.31</v>
          </cell>
          <cell r="AJ852">
            <v>17</v>
          </cell>
          <cell r="AK852">
            <v>10.1</v>
          </cell>
          <cell r="AL852">
            <v>0.05</v>
          </cell>
          <cell r="AM852">
            <v>2.0299999999999998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0.43</v>
          </cell>
          <cell r="AS852">
            <v>0</v>
          </cell>
          <cell r="AT852">
            <v>299</v>
          </cell>
          <cell r="AU852">
            <v>0</v>
          </cell>
          <cell r="AV852">
            <v>618</v>
          </cell>
          <cell r="AW852">
            <v>53</v>
          </cell>
          <cell r="AX852">
            <v>81</v>
          </cell>
          <cell r="AY852">
            <v>153</v>
          </cell>
          <cell r="AZ852">
            <v>1.72</v>
          </cell>
          <cell r="BA852" t="str">
            <v>D2012097</v>
          </cell>
          <cell r="BB852" t="str">
            <v>CONFORM</v>
          </cell>
          <cell r="BC852" t="str">
            <v>CONFORM</v>
          </cell>
          <cell r="BD852" t="str">
            <v>CONFORM</v>
          </cell>
          <cell r="BE852" t="str">
            <v>CONFORM</v>
          </cell>
          <cell r="BF852" t="str">
            <v>CONFORM</v>
          </cell>
        </row>
        <row r="853">
          <cell r="A853">
            <v>44186</v>
          </cell>
          <cell r="B853" t="str">
            <v>D2012097-2</v>
          </cell>
          <cell r="C853" t="str">
            <v>105/20</v>
          </cell>
          <cell r="D853">
            <v>1</v>
          </cell>
          <cell r="E853">
            <v>44186</v>
          </cell>
          <cell r="F853" t="str">
            <v>DC</v>
          </cell>
          <cell r="G853" t="str">
            <v>On Time</v>
          </cell>
          <cell r="H853">
            <v>2407925481</v>
          </cell>
          <cell r="I853">
            <v>44183</v>
          </cell>
          <cell r="J853" t="str">
            <v>TKM</v>
          </cell>
          <cell r="K853" t="str">
            <v>D2012097</v>
          </cell>
          <cell r="L853">
            <v>2</v>
          </cell>
          <cell r="M853" t="str">
            <v>04F61VC</v>
          </cell>
          <cell r="N853" t="str">
            <v>F61V</v>
          </cell>
          <cell r="O853" t="str">
            <v xml:space="preserve">1.4401/1.4404 TP316/316L </v>
          </cell>
          <cell r="P853" t="str">
            <v>316L</v>
          </cell>
          <cell r="Q853">
            <v>2.2639999999999998</v>
          </cell>
          <cell r="R853">
            <v>2.2610000000000001</v>
          </cell>
          <cell r="S853">
            <v>6.7000000000000004E-2</v>
          </cell>
          <cell r="T853">
            <v>6.8199999999999997E-2</v>
          </cell>
          <cell r="V853">
            <v>6.8199999999999997E-2</v>
          </cell>
          <cell r="X853">
            <v>3088</v>
          </cell>
          <cell r="Y853">
            <v>5</v>
          </cell>
          <cell r="Z853">
            <v>272.79151943462904</v>
          </cell>
          <cell r="AA853" t="str">
            <v>2.264X0.067-316L</v>
          </cell>
          <cell r="AB853" t="str">
            <v>WAAF005750170B300073</v>
          </cell>
          <cell r="AC853" t="str">
            <v>D2012097</v>
          </cell>
          <cell r="AD853" t="str">
            <v>F61V</v>
          </cell>
          <cell r="AE853">
            <v>1.7999999999999999E-2</v>
          </cell>
          <cell r="AF853">
            <v>1.27</v>
          </cell>
          <cell r="AG853">
            <v>2.9000000000000001E-2</v>
          </cell>
          <cell r="AH853">
            <v>2E-3</v>
          </cell>
          <cell r="AI853">
            <v>0.31</v>
          </cell>
          <cell r="AJ853">
            <v>17</v>
          </cell>
          <cell r="AK853">
            <v>10.1</v>
          </cell>
          <cell r="AL853">
            <v>0.05</v>
          </cell>
          <cell r="AM853">
            <v>2.0299999999999998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0.43</v>
          </cell>
          <cell r="AS853">
            <v>0</v>
          </cell>
          <cell r="AT853">
            <v>299</v>
          </cell>
          <cell r="AU853">
            <v>0</v>
          </cell>
          <cell r="AV853">
            <v>618</v>
          </cell>
          <cell r="AW853">
            <v>53</v>
          </cell>
          <cell r="AX853">
            <v>81</v>
          </cell>
          <cell r="AY853">
            <v>153</v>
          </cell>
          <cell r="AZ853">
            <v>1.72</v>
          </cell>
          <cell r="BA853" t="str">
            <v>D2012097</v>
          </cell>
          <cell r="BB853" t="str">
            <v>CONFORM</v>
          </cell>
          <cell r="BC853" t="str">
            <v>CONFORM</v>
          </cell>
          <cell r="BD853" t="str">
            <v>CONFORM</v>
          </cell>
          <cell r="BE853" t="str">
            <v>CONFORM</v>
          </cell>
          <cell r="BF853" t="str">
            <v>CONFORM</v>
          </cell>
        </row>
        <row r="854">
          <cell r="A854">
            <v>44186</v>
          </cell>
          <cell r="B854" t="str">
            <v>D2012097-3</v>
          </cell>
          <cell r="C854" t="str">
            <v>105/20</v>
          </cell>
          <cell r="D854">
            <v>1</v>
          </cell>
          <cell r="E854">
            <v>44186</v>
          </cell>
          <cell r="F854" t="str">
            <v>DC</v>
          </cell>
          <cell r="G854" t="str">
            <v>On Time</v>
          </cell>
          <cell r="H854">
            <v>2407925481</v>
          </cell>
          <cell r="I854">
            <v>44183</v>
          </cell>
          <cell r="J854" t="str">
            <v>TKM</v>
          </cell>
          <cell r="K854" t="str">
            <v>D2012097</v>
          </cell>
          <cell r="L854">
            <v>3</v>
          </cell>
          <cell r="M854" t="str">
            <v>04F61VC</v>
          </cell>
          <cell r="N854" t="str">
            <v>F61V</v>
          </cell>
          <cell r="O854" t="str">
            <v xml:space="preserve">1.4401/1.4404 TP316/316L </v>
          </cell>
          <cell r="P854" t="str">
            <v>316L</v>
          </cell>
          <cell r="Q854">
            <v>2.2639999999999998</v>
          </cell>
          <cell r="R854">
            <v>2.2610000000000001</v>
          </cell>
          <cell r="S854">
            <v>6.7000000000000004E-2</v>
          </cell>
          <cell r="T854">
            <v>6.8199999999999997E-2</v>
          </cell>
          <cell r="V854">
            <v>6.8199999999999997E-2</v>
          </cell>
          <cell r="X854">
            <v>5438</v>
          </cell>
          <cell r="Y854">
            <v>7</v>
          </cell>
          <cell r="Z854">
            <v>343.13478041393239</v>
          </cell>
          <cell r="AA854" t="str">
            <v>2.264X0.067-316L</v>
          </cell>
          <cell r="AB854" t="str">
            <v>WAAF005750170B300073</v>
          </cell>
          <cell r="AC854" t="str">
            <v>D2012097</v>
          </cell>
          <cell r="AD854" t="str">
            <v>F61V</v>
          </cell>
          <cell r="AE854">
            <v>1.7999999999999999E-2</v>
          </cell>
          <cell r="AF854">
            <v>1.27</v>
          </cell>
          <cell r="AG854">
            <v>2.9000000000000001E-2</v>
          </cell>
          <cell r="AH854">
            <v>2E-3</v>
          </cell>
          <cell r="AI854">
            <v>0.31</v>
          </cell>
          <cell r="AJ854">
            <v>17</v>
          </cell>
          <cell r="AK854">
            <v>10.1</v>
          </cell>
          <cell r="AL854">
            <v>0.05</v>
          </cell>
          <cell r="AM854">
            <v>2.0299999999999998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0.43</v>
          </cell>
          <cell r="AS854">
            <v>0</v>
          </cell>
          <cell r="AT854">
            <v>299</v>
          </cell>
          <cell r="AU854">
            <v>0</v>
          </cell>
          <cell r="AV854">
            <v>618</v>
          </cell>
          <cell r="AW854">
            <v>53</v>
          </cell>
          <cell r="AX854">
            <v>81</v>
          </cell>
          <cell r="AY854">
            <v>153</v>
          </cell>
          <cell r="AZ854">
            <v>1.72</v>
          </cell>
          <cell r="BA854" t="str">
            <v>D2012097</v>
          </cell>
          <cell r="BB854" t="str">
            <v>CONFORM</v>
          </cell>
          <cell r="BC854" t="str">
            <v>CONFORM</v>
          </cell>
          <cell r="BD854" t="str">
            <v>CONFORM</v>
          </cell>
          <cell r="BE854" t="str">
            <v>CONFORM</v>
          </cell>
          <cell r="BF854" t="str">
            <v>CONFORM</v>
          </cell>
        </row>
        <row r="855">
          <cell r="A855">
            <v>44194</v>
          </cell>
          <cell r="B855" t="str">
            <v>D2012105-1</v>
          </cell>
          <cell r="C855" t="str">
            <v>106/20</v>
          </cell>
          <cell r="D855">
            <v>1</v>
          </cell>
          <cell r="E855">
            <v>44194</v>
          </cell>
          <cell r="F855" t="str">
            <v>DC</v>
          </cell>
          <cell r="G855" t="str">
            <v>On Time</v>
          </cell>
          <cell r="H855" t="str">
            <v>166422-1</v>
          </cell>
          <cell r="I855">
            <v>44193</v>
          </cell>
          <cell r="J855" t="str">
            <v>UPM</v>
          </cell>
          <cell r="K855" t="str">
            <v>D2012105</v>
          </cell>
          <cell r="L855">
            <v>1</v>
          </cell>
          <cell r="M855" t="str">
            <v>04J99C</v>
          </cell>
          <cell r="N855" t="str">
            <v>J99C</v>
          </cell>
          <cell r="O855" t="str">
            <v xml:space="preserve">1.4306 TP304L </v>
          </cell>
          <cell r="P855" t="str">
            <v>304L</v>
          </cell>
          <cell r="Q855">
            <v>1.948</v>
          </cell>
          <cell r="R855">
            <v>1.9484999999999999</v>
          </cell>
          <cell r="S855">
            <v>3.5000000000000003E-2</v>
          </cell>
          <cell r="T855">
            <v>3.4950000000000002E-2</v>
          </cell>
          <cell r="U855">
            <v>3.4849999999999999E-2</v>
          </cell>
          <cell r="V855">
            <v>3.49E-2</v>
          </cell>
          <cell r="W855" t="str">
            <v>TM</v>
          </cell>
          <cell r="X855">
            <v>3004</v>
          </cell>
          <cell r="Y855">
            <v>4</v>
          </cell>
          <cell r="Z855">
            <v>385.523613963039</v>
          </cell>
          <cell r="AA855" t="str">
            <v>1.948X0.035-304L</v>
          </cell>
          <cell r="AB855" t="str">
            <v>WAAC004950089B200032</v>
          </cell>
          <cell r="AC855" t="str">
            <v>D2012105</v>
          </cell>
          <cell r="AD855" t="str">
            <v>J99C</v>
          </cell>
          <cell r="AE855">
            <v>1.8499999999999999E-2</v>
          </cell>
          <cell r="AF855">
            <v>1.88</v>
          </cell>
          <cell r="AG855">
            <v>3.1E-2</v>
          </cell>
          <cell r="AH855">
            <v>1E-3</v>
          </cell>
          <cell r="AI855">
            <v>0.3</v>
          </cell>
          <cell r="AJ855">
            <v>18.100000000000001</v>
          </cell>
          <cell r="AK855">
            <v>8.1</v>
          </cell>
          <cell r="AL855">
            <v>7.0000000000000007E-2</v>
          </cell>
          <cell r="AM855">
            <v>0.4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  <cell r="AS855">
            <v>0</v>
          </cell>
          <cell r="AT855">
            <v>313</v>
          </cell>
          <cell r="AU855">
            <v>0</v>
          </cell>
          <cell r="AV855">
            <v>659</v>
          </cell>
          <cell r="AW855">
            <v>48</v>
          </cell>
          <cell r="AX855">
            <v>81</v>
          </cell>
          <cell r="AY855">
            <v>153</v>
          </cell>
          <cell r="AZ855">
            <v>1.7</v>
          </cell>
          <cell r="BA855" t="str">
            <v>D2012105</v>
          </cell>
          <cell r="BB855" t="str">
            <v>CONFORM</v>
          </cell>
          <cell r="BC855" t="str">
            <v>CONFORM</v>
          </cell>
          <cell r="BD855" t="str">
            <v>CONFORM</v>
          </cell>
          <cell r="BE855" t="str">
            <v>CONFORM</v>
          </cell>
          <cell r="BF855" t="str">
            <v>CONFORM</v>
          </cell>
        </row>
        <row r="856">
          <cell r="A856">
            <v>44194</v>
          </cell>
          <cell r="B856" t="str">
            <v>D2012105-2</v>
          </cell>
          <cell r="C856" t="str">
            <v>106/20</v>
          </cell>
          <cell r="D856">
            <v>1</v>
          </cell>
          <cell r="E856">
            <v>44194</v>
          </cell>
          <cell r="F856" t="str">
            <v>DC</v>
          </cell>
          <cell r="G856" t="str">
            <v>On Time</v>
          </cell>
          <cell r="H856" t="str">
            <v>166422-1</v>
          </cell>
          <cell r="I856">
            <v>44193</v>
          </cell>
          <cell r="J856" t="str">
            <v>UPM</v>
          </cell>
          <cell r="K856" t="str">
            <v>D2012105</v>
          </cell>
          <cell r="L856">
            <v>2</v>
          </cell>
          <cell r="M856" t="str">
            <v>04J99C</v>
          </cell>
          <cell r="N856" t="str">
            <v>J99C</v>
          </cell>
          <cell r="O856" t="str">
            <v xml:space="preserve">1.4306 TP304L </v>
          </cell>
          <cell r="P856" t="str">
            <v>304L</v>
          </cell>
          <cell r="Q856">
            <v>1.948</v>
          </cell>
          <cell r="R856">
            <v>1.948</v>
          </cell>
          <cell r="S856">
            <v>3.5000000000000003E-2</v>
          </cell>
          <cell r="T856">
            <v>3.5099999999999999E-2</v>
          </cell>
          <cell r="U856">
            <v>3.5049999999999998E-2</v>
          </cell>
          <cell r="V856">
            <v>3.5074999999999995E-2</v>
          </cell>
          <cell r="W856" t="str">
            <v>TM</v>
          </cell>
          <cell r="X856">
            <v>2998</v>
          </cell>
          <cell r="Y856">
            <v>4</v>
          </cell>
          <cell r="Z856">
            <v>384.75359342915812</v>
          </cell>
          <cell r="AA856" t="str">
            <v>1.948X0.035-304L</v>
          </cell>
          <cell r="AB856" t="str">
            <v>WAAC004950089B200032</v>
          </cell>
          <cell r="AC856" t="str">
            <v>D2012105</v>
          </cell>
          <cell r="AD856" t="str">
            <v>J99C</v>
          </cell>
          <cell r="AE856">
            <v>1.8499999999999999E-2</v>
          </cell>
          <cell r="AF856">
            <v>1.88</v>
          </cell>
          <cell r="AG856">
            <v>3.1E-2</v>
          </cell>
          <cell r="AH856">
            <v>1E-3</v>
          </cell>
          <cell r="AI856">
            <v>0.3</v>
          </cell>
          <cell r="AJ856">
            <v>18.100000000000001</v>
          </cell>
          <cell r="AK856">
            <v>8.1</v>
          </cell>
          <cell r="AL856">
            <v>7.0000000000000007E-2</v>
          </cell>
          <cell r="AM856">
            <v>0.4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  <cell r="AS856">
            <v>0</v>
          </cell>
          <cell r="AT856">
            <v>313</v>
          </cell>
          <cell r="AU856">
            <v>0</v>
          </cell>
          <cell r="AV856">
            <v>659</v>
          </cell>
          <cell r="AW856">
            <v>48</v>
          </cell>
          <cell r="AX856">
            <v>81</v>
          </cell>
          <cell r="AY856">
            <v>153</v>
          </cell>
          <cell r="AZ856">
            <v>1.7</v>
          </cell>
          <cell r="BA856" t="str">
            <v>D2012105</v>
          </cell>
          <cell r="BB856" t="str">
            <v>CONFORM</v>
          </cell>
          <cell r="BC856" t="str">
            <v>CONFORM</v>
          </cell>
          <cell r="BD856" t="str">
            <v>CONFORM</v>
          </cell>
          <cell r="BE856" t="str">
            <v>CONFORM</v>
          </cell>
          <cell r="BF856" t="str">
            <v>CONFORM</v>
          </cell>
        </row>
        <row r="857">
          <cell r="A857">
            <v>44194</v>
          </cell>
          <cell r="B857" t="str">
            <v>D2012105-3</v>
          </cell>
          <cell r="C857" t="str">
            <v>106/20</v>
          </cell>
          <cell r="D857">
            <v>1</v>
          </cell>
          <cell r="E857">
            <v>44194</v>
          </cell>
          <cell r="F857" t="str">
            <v>DC</v>
          </cell>
          <cell r="G857" t="str">
            <v>On Time</v>
          </cell>
          <cell r="H857" t="str">
            <v>166422-1</v>
          </cell>
          <cell r="I857">
            <v>44193</v>
          </cell>
          <cell r="J857" t="str">
            <v>UPM</v>
          </cell>
          <cell r="K857" t="str">
            <v>D2012105</v>
          </cell>
          <cell r="L857">
            <v>3</v>
          </cell>
          <cell r="M857" t="str">
            <v>04J99C</v>
          </cell>
          <cell r="N857" t="str">
            <v>J99C</v>
          </cell>
          <cell r="O857" t="str">
            <v xml:space="preserve">1.4306 TP304L </v>
          </cell>
          <cell r="P857" t="str">
            <v>304L</v>
          </cell>
          <cell r="Q857">
            <v>1.948</v>
          </cell>
          <cell r="R857">
            <v>1.948</v>
          </cell>
          <cell r="S857">
            <v>3.5000000000000003E-2</v>
          </cell>
          <cell r="T857">
            <v>3.4599999999999999E-2</v>
          </cell>
          <cell r="U857">
            <v>3.5049999999999998E-2</v>
          </cell>
          <cell r="V857">
            <v>3.4824999999999995E-2</v>
          </cell>
          <cell r="W857" t="str">
            <v>TM</v>
          </cell>
          <cell r="X857">
            <v>2243</v>
          </cell>
          <cell r="Y857">
            <v>3</v>
          </cell>
          <cell r="Z857">
            <v>383.81245722108144</v>
          </cell>
          <cell r="AA857" t="str">
            <v>1.948X0.035-304L</v>
          </cell>
          <cell r="AB857" t="str">
            <v>WAAC004950089B200032</v>
          </cell>
          <cell r="AC857" t="str">
            <v>D2012105</v>
          </cell>
          <cell r="AD857" t="str">
            <v>J99C</v>
          </cell>
          <cell r="AE857">
            <v>1.8499999999999999E-2</v>
          </cell>
          <cell r="AF857">
            <v>1.88</v>
          </cell>
          <cell r="AG857">
            <v>3.1E-2</v>
          </cell>
          <cell r="AH857">
            <v>1E-3</v>
          </cell>
          <cell r="AI857">
            <v>0.3</v>
          </cell>
          <cell r="AJ857">
            <v>18.100000000000001</v>
          </cell>
          <cell r="AK857">
            <v>8.1</v>
          </cell>
          <cell r="AL857">
            <v>7.0000000000000007E-2</v>
          </cell>
          <cell r="AM857">
            <v>0.4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  <cell r="AS857">
            <v>0</v>
          </cell>
          <cell r="AT857">
            <v>313</v>
          </cell>
          <cell r="AU857">
            <v>0</v>
          </cell>
          <cell r="AV857">
            <v>659</v>
          </cell>
          <cell r="AW857">
            <v>48</v>
          </cell>
          <cell r="AX857">
            <v>81</v>
          </cell>
          <cell r="AY857">
            <v>153</v>
          </cell>
          <cell r="AZ857">
            <v>1.7</v>
          </cell>
          <cell r="BA857" t="str">
            <v>D2012105</v>
          </cell>
          <cell r="BB857" t="str">
            <v>CONFORM</v>
          </cell>
          <cell r="BC857" t="str">
            <v>CONFORM</v>
          </cell>
          <cell r="BD857" t="str">
            <v>CONFORM</v>
          </cell>
          <cell r="BE857" t="str">
            <v>CONFORM</v>
          </cell>
          <cell r="BF857" t="str">
            <v>CONFORM</v>
          </cell>
        </row>
        <row r="858">
          <cell r="A858">
            <v>44194</v>
          </cell>
          <cell r="B858" t="str">
            <v>D2012105-4</v>
          </cell>
          <cell r="C858" t="str">
            <v>106/20</v>
          </cell>
          <cell r="D858">
            <v>1</v>
          </cell>
          <cell r="E858">
            <v>44194</v>
          </cell>
          <cell r="F858" t="str">
            <v>DC</v>
          </cell>
          <cell r="G858" t="str">
            <v>On Time</v>
          </cell>
          <cell r="H858" t="str">
            <v>166422-1</v>
          </cell>
          <cell r="I858">
            <v>44193</v>
          </cell>
          <cell r="J858" t="str">
            <v>UPM</v>
          </cell>
          <cell r="K858" t="str">
            <v>D2012105</v>
          </cell>
          <cell r="L858">
            <v>4</v>
          </cell>
          <cell r="M858" t="str">
            <v>04J99C</v>
          </cell>
          <cell r="N858" t="str">
            <v>J99C</v>
          </cell>
          <cell r="O858" t="str">
            <v xml:space="preserve">1.4306 TP304L </v>
          </cell>
          <cell r="P858" t="str">
            <v>304L</v>
          </cell>
          <cell r="Q858">
            <v>1.948</v>
          </cell>
          <cell r="R858">
            <v>1.9484999999999999</v>
          </cell>
          <cell r="S858">
            <v>3.5000000000000003E-2</v>
          </cell>
          <cell r="T858">
            <v>3.5000000000000003E-2</v>
          </cell>
          <cell r="U858">
            <v>3.4950000000000002E-2</v>
          </cell>
          <cell r="V858">
            <v>3.4975000000000006E-2</v>
          </cell>
          <cell r="W858" t="str">
            <v>TM</v>
          </cell>
          <cell r="X858">
            <v>2239</v>
          </cell>
          <cell r="Y858">
            <v>3</v>
          </cell>
          <cell r="Z858">
            <v>383.12799452429846</v>
          </cell>
          <cell r="AA858" t="str">
            <v>1.948X0.035-304L</v>
          </cell>
          <cell r="AB858" t="str">
            <v>WAAC004950089B200032</v>
          </cell>
          <cell r="AC858" t="str">
            <v>D2012105</v>
          </cell>
          <cell r="AD858" t="str">
            <v>J99C</v>
          </cell>
          <cell r="AE858">
            <v>1.8499999999999999E-2</v>
          </cell>
          <cell r="AF858">
            <v>1.88</v>
          </cell>
          <cell r="AG858">
            <v>3.1E-2</v>
          </cell>
          <cell r="AH858">
            <v>1E-3</v>
          </cell>
          <cell r="AI858">
            <v>0.3</v>
          </cell>
          <cell r="AJ858">
            <v>18.100000000000001</v>
          </cell>
          <cell r="AK858">
            <v>8.1</v>
          </cell>
          <cell r="AL858">
            <v>7.0000000000000007E-2</v>
          </cell>
          <cell r="AM858">
            <v>0.4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  <cell r="AS858">
            <v>0</v>
          </cell>
          <cell r="AT858">
            <v>313</v>
          </cell>
          <cell r="AU858">
            <v>0</v>
          </cell>
          <cell r="AV858">
            <v>659</v>
          </cell>
          <cell r="AW858">
            <v>48</v>
          </cell>
          <cell r="AX858">
            <v>81</v>
          </cell>
          <cell r="AY858">
            <v>153</v>
          </cell>
          <cell r="AZ858">
            <v>1.7</v>
          </cell>
          <cell r="BA858" t="str">
            <v>D2012105</v>
          </cell>
          <cell r="BB858" t="str">
            <v>CONFORM</v>
          </cell>
          <cell r="BC858" t="str">
            <v>CONFORM</v>
          </cell>
          <cell r="BD858" t="str">
            <v>CONFORM</v>
          </cell>
          <cell r="BE858" t="str">
            <v>CONFORM</v>
          </cell>
          <cell r="BF858" t="str">
            <v>CONFORM</v>
          </cell>
        </row>
        <row r="859">
          <cell r="A859">
            <v>44204</v>
          </cell>
          <cell r="B859" t="str">
            <v>D2101005-1</v>
          </cell>
          <cell r="C859" t="str">
            <v>082/20</v>
          </cell>
          <cell r="D859">
            <v>1</v>
          </cell>
          <cell r="E859">
            <v>44204</v>
          </cell>
          <cell r="F859" t="str">
            <v>DC</v>
          </cell>
          <cell r="G859" t="str">
            <v>On Time</v>
          </cell>
          <cell r="H859" t="str">
            <v>L425792</v>
          </cell>
          <cell r="I859">
            <v>44202</v>
          </cell>
          <cell r="J859" t="str">
            <v>ATI</v>
          </cell>
          <cell r="K859" t="str">
            <v>D2101005</v>
          </cell>
          <cell r="L859">
            <v>1</v>
          </cell>
          <cell r="M859" t="str">
            <v>AAC68701-BB</v>
          </cell>
          <cell r="N859">
            <v>528491</v>
          </cell>
          <cell r="O859" t="str">
            <v>UNS N08811</v>
          </cell>
          <cell r="P859" t="str">
            <v>N08011</v>
          </cell>
          <cell r="Q859">
            <v>3.976</v>
          </cell>
          <cell r="R859">
            <v>3.9775</v>
          </cell>
          <cell r="S859">
            <v>2.8000000000000001E-2</v>
          </cell>
          <cell r="T859">
            <v>2.725E-2</v>
          </cell>
          <cell r="U859">
            <v>2.7400000000000001E-2</v>
          </cell>
          <cell r="V859">
            <v>2.7325000000000002E-2</v>
          </cell>
          <cell r="W859" t="str">
            <v>KB</v>
          </cell>
          <cell r="X859">
            <v>3700</v>
          </cell>
          <cell r="Y859">
            <v>4</v>
          </cell>
          <cell r="Z859">
            <v>232.64587525150907</v>
          </cell>
          <cell r="AA859" t="str">
            <v>3.976X0.028-N08011</v>
          </cell>
          <cell r="AB859" t="str">
            <v>WADE010100071B800109</v>
          </cell>
          <cell r="AC859" t="str">
            <v>D2101005</v>
          </cell>
          <cell r="AD859">
            <v>528491</v>
          </cell>
          <cell r="AE859">
            <v>7.0000000000000007E-2</v>
          </cell>
          <cell r="AF859">
            <v>0.5</v>
          </cell>
          <cell r="AG859">
            <v>0</v>
          </cell>
          <cell r="AH859">
            <v>0</v>
          </cell>
          <cell r="AI859">
            <v>0.4</v>
          </cell>
          <cell r="AJ859">
            <v>20.3</v>
          </cell>
          <cell r="AK859">
            <v>30.5</v>
          </cell>
          <cell r="AL859">
            <v>0</v>
          </cell>
          <cell r="AM859">
            <v>0</v>
          </cell>
          <cell r="AN859">
            <v>0</v>
          </cell>
          <cell r="AO859">
            <v>0.48</v>
          </cell>
          <cell r="AP859">
            <v>0</v>
          </cell>
          <cell r="AQ859">
            <v>0</v>
          </cell>
          <cell r="AR859">
            <v>7.0000000000000007E-2</v>
          </cell>
          <cell r="AS859">
            <v>0.52</v>
          </cell>
          <cell r="AT859">
            <v>242</v>
          </cell>
          <cell r="AU859">
            <v>0</v>
          </cell>
          <cell r="AV859">
            <v>559</v>
          </cell>
          <cell r="AW859">
            <v>42</v>
          </cell>
          <cell r="AX859">
            <v>55</v>
          </cell>
          <cell r="AY859">
            <v>55</v>
          </cell>
          <cell r="AZ859">
            <v>6.75</v>
          </cell>
          <cell r="BA859" t="str">
            <v>D2101005</v>
          </cell>
          <cell r="BB859" t="str">
            <v>CONFORM</v>
          </cell>
          <cell r="BC859" t="str">
            <v>CONFORM</v>
          </cell>
          <cell r="BD859" t="str">
            <v>CONFORM</v>
          </cell>
          <cell r="BE859" t="str">
            <v>CONFORM</v>
          </cell>
          <cell r="BF859" t="str">
            <v>CONFORM</v>
          </cell>
        </row>
        <row r="860">
          <cell r="A860">
            <v>44204</v>
          </cell>
          <cell r="B860" t="str">
            <v>D2101005-2</v>
          </cell>
          <cell r="C860" t="str">
            <v>082/20</v>
          </cell>
          <cell r="D860">
            <v>1</v>
          </cell>
          <cell r="E860">
            <v>44204</v>
          </cell>
          <cell r="F860" t="str">
            <v>DC</v>
          </cell>
          <cell r="G860" t="str">
            <v>On Time</v>
          </cell>
          <cell r="H860" t="str">
            <v>L425792</v>
          </cell>
          <cell r="I860">
            <v>44202</v>
          </cell>
          <cell r="J860" t="str">
            <v>ATI</v>
          </cell>
          <cell r="K860" t="str">
            <v>D2101005</v>
          </cell>
          <cell r="L860">
            <v>2</v>
          </cell>
          <cell r="M860" t="str">
            <v>AAC68701-BB</v>
          </cell>
          <cell r="N860">
            <v>528491</v>
          </cell>
          <cell r="O860" t="str">
            <v>UNS N08811</v>
          </cell>
          <cell r="P860" t="str">
            <v>N08011</v>
          </cell>
          <cell r="Q860">
            <v>3.976</v>
          </cell>
          <cell r="R860">
            <v>3.9775</v>
          </cell>
          <cell r="S860">
            <v>2.8000000000000001E-2</v>
          </cell>
          <cell r="T860">
            <v>2.7150000000000001E-2</v>
          </cell>
          <cell r="U860">
            <v>2.7300000000000001E-2</v>
          </cell>
          <cell r="V860">
            <v>2.7224999999999999E-2</v>
          </cell>
          <cell r="W860" t="str">
            <v>KB</v>
          </cell>
          <cell r="X860">
            <v>2960</v>
          </cell>
          <cell r="Y860">
            <v>3</v>
          </cell>
          <cell r="Z860">
            <v>248.15560026827632</v>
          </cell>
          <cell r="AA860" t="str">
            <v>3.976X0.028-N08011</v>
          </cell>
          <cell r="AB860" t="str">
            <v>WADE010100071B800109</v>
          </cell>
          <cell r="AC860" t="str">
            <v>D2101005</v>
          </cell>
          <cell r="AD860">
            <v>528491</v>
          </cell>
          <cell r="AE860">
            <v>7.0000000000000007E-2</v>
          </cell>
          <cell r="AF860">
            <v>0.5</v>
          </cell>
          <cell r="AG860">
            <v>0</v>
          </cell>
          <cell r="AH860">
            <v>0</v>
          </cell>
          <cell r="AI860">
            <v>0.4</v>
          </cell>
          <cell r="AJ860">
            <v>20.3</v>
          </cell>
          <cell r="AK860">
            <v>30.5</v>
          </cell>
          <cell r="AL860">
            <v>0</v>
          </cell>
          <cell r="AM860">
            <v>0</v>
          </cell>
          <cell r="AN860">
            <v>0</v>
          </cell>
          <cell r="AO860">
            <v>0.48</v>
          </cell>
          <cell r="AP860">
            <v>0</v>
          </cell>
          <cell r="AQ860">
            <v>0</v>
          </cell>
          <cell r="AR860">
            <v>7.0000000000000007E-2</v>
          </cell>
          <cell r="AS860">
            <v>0.52</v>
          </cell>
          <cell r="AT860">
            <v>242</v>
          </cell>
          <cell r="AU860">
            <v>0</v>
          </cell>
          <cell r="AV860">
            <v>559</v>
          </cell>
          <cell r="AW860">
            <v>42</v>
          </cell>
          <cell r="AX860">
            <v>55</v>
          </cell>
          <cell r="AY860">
            <v>55</v>
          </cell>
          <cell r="AZ860">
            <v>6.75</v>
          </cell>
          <cell r="BA860" t="str">
            <v>D2101005</v>
          </cell>
          <cell r="BB860" t="str">
            <v>CONFORM</v>
          </cell>
          <cell r="BC860" t="str">
            <v>CONFORM</v>
          </cell>
          <cell r="BD860" t="str">
            <v>CONFORM</v>
          </cell>
          <cell r="BE860" t="str">
            <v>CONFORM</v>
          </cell>
          <cell r="BF860" t="str">
            <v>CONFORM</v>
          </cell>
        </row>
        <row r="861">
          <cell r="A861">
            <v>44207</v>
          </cell>
          <cell r="B861" t="str">
            <v>D2101019-1</v>
          </cell>
          <cell r="C861" t="str">
            <v>003/21</v>
          </cell>
          <cell r="D861">
            <v>1</v>
          </cell>
          <cell r="E861">
            <v>44207</v>
          </cell>
          <cell r="F861" t="str">
            <v>DC</v>
          </cell>
          <cell r="G861" t="str">
            <v>On Time</v>
          </cell>
          <cell r="H861">
            <v>2407949180</v>
          </cell>
          <cell r="I861">
            <v>44204</v>
          </cell>
          <cell r="J861" t="str">
            <v>TKM</v>
          </cell>
          <cell r="K861" t="str">
            <v>D2101019</v>
          </cell>
          <cell r="L861">
            <v>1</v>
          </cell>
          <cell r="M861">
            <v>691281</v>
          </cell>
          <cell r="N861">
            <v>861011</v>
          </cell>
          <cell r="O861" t="str">
            <v xml:space="preserve">1.4462 UNS S31803/S32205 </v>
          </cell>
          <cell r="P861" t="str">
            <v>2205</v>
          </cell>
          <cell r="Q861">
            <v>3.0550000000000002</v>
          </cell>
          <cell r="R861">
            <v>3.0505</v>
          </cell>
          <cell r="S861">
            <v>6.7000000000000004E-2</v>
          </cell>
          <cell r="T861">
            <v>6.8900000000000003E-2</v>
          </cell>
          <cell r="U861">
            <v>6.88E-2</v>
          </cell>
          <cell r="V861">
            <v>6.8849999999999995E-2</v>
          </cell>
          <cell r="W861" t="str">
            <v>TM</v>
          </cell>
          <cell r="X861">
            <v>2792</v>
          </cell>
          <cell r="Y861">
            <v>3</v>
          </cell>
          <cell r="Z861">
            <v>304.63720676486633</v>
          </cell>
          <cell r="AA861" t="str">
            <v>3.055X0.067-2205</v>
          </cell>
          <cell r="AB861" t="str">
            <v>WACN005750170B300112</v>
          </cell>
          <cell r="AC861" t="str">
            <v>D2101019</v>
          </cell>
          <cell r="AD861">
            <v>861011</v>
          </cell>
          <cell r="AE861">
            <v>1.9E-2</v>
          </cell>
          <cell r="AF861">
            <v>1.8</v>
          </cell>
          <cell r="AG861">
            <v>2.7E-2</v>
          </cell>
          <cell r="AH861">
            <v>0</v>
          </cell>
          <cell r="AI861">
            <v>0.49</v>
          </cell>
          <cell r="AJ861">
            <v>22.4</v>
          </cell>
          <cell r="AK861">
            <v>5.3</v>
          </cell>
          <cell r="AL861">
            <v>0.17</v>
          </cell>
          <cell r="AM861">
            <v>3.1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  <cell r="AS861">
            <v>0</v>
          </cell>
          <cell r="AT861">
            <v>652</v>
          </cell>
          <cell r="AU861">
            <v>0</v>
          </cell>
          <cell r="AV861">
            <v>861</v>
          </cell>
          <cell r="AW861">
            <v>29</v>
          </cell>
          <cell r="AX861">
            <v>26</v>
          </cell>
          <cell r="AY861">
            <v>272</v>
          </cell>
          <cell r="AZ861">
            <v>2.4765000000000001</v>
          </cell>
          <cell r="BA861" t="str">
            <v>D2101019</v>
          </cell>
          <cell r="BB861" t="str">
            <v>CONFORM</v>
          </cell>
          <cell r="BC861" t="str">
            <v>CONFORM</v>
          </cell>
          <cell r="BD861" t="str">
            <v>CONFORM</v>
          </cell>
          <cell r="BE861" t="str">
            <v>CONFORM</v>
          </cell>
          <cell r="BF861" t="str">
            <v>CONFORM</v>
          </cell>
        </row>
        <row r="862">
          <cell r="A862">
            <v>44207</v>
          </cell>
          <cell r="B862" t="str">
            <v>D2101019-2</v>
          </cell>
          <cell r="C862" t="str">
            <v>003/21</v>
          </cell>
          <cell r="D862">
            <v>1</v>
          </cell>
          <cell r="E862">
            <v>44207</v>
          </cell>
          <cell r="F862" t="str">
            <v>DC</v>
          </cell>
          <cell r="G862" t="str">
            <v>On Time</v>
          </cell>
          <cell r="H862">
            <v>2407949180</v>
          </cell>
          <cell r="I862">
            <v>44204</v>
          </cell>
          <cell r="J862" t="str">
            <v>TKM</v>
          </cell>
          <cell r="K862" t="str">
            <v>D2101019</v>
          </cell>
          <cell r="L862">
            <v>2</v>
          </cell>
          <cell r="M862">
            <v>691281</v>
          </cell>
          <cell r="N862">
            <v>861011</v>
          </cell>
          <cell r="O862" t="str">
            <v xml:space="preserve">1.4462 UNS S31803/S32205 </v>
          </cell>
          <cell r="P862" t="str">
            <v>2205</v>
          </cell>
          <cell r="Q862">
            <v>3.0550000000000002</v>
          </cell>
          <cell r="R862">
            <v>3.0550000000000002</v>
          </cell>
          <cell r="S862">
            <v>6.7000000000000004E-2</v>
          </cell>
          <cell r="T862">
            <v>6.4500000000000002E-2</v>
          </cell>
          <cell r="U862">
            <v>6.8599999999999994E-2</v>
          </cell>
          <cell r="V862">
            <v>6.6549999999999998E-2</v>
          </cell>
          <cell r="W862" t="str">
            <v>TM</v>
          </cell>
          <cell r="X862">
            <v>5570</v>
          </cell>
          <cell r="Y862">
            <v>6</v>
          </cell>
          <cell r="Z862">
            <v>303.873431533006</v>
          </cell>
          <cell r="AA862" t="str">
            <v>3.055X0.067-2205</v>
          </cell>
          <cell r="AB862" t="str">
            <v>WACN005750170B300112</v>
          </cell>
          <cell r="AC862" t="str">
            <v>D2101019</v>
          </cell>
          <cell r="AD862">
            <v>861011</v>
          </cell>
          <cell r="AE862">
            <v>1.9E-2</v>
          </cell>
          <cell r="AF862">
            <v>1.8</v>
          </cell>
          <cell r="AG862">
            <v>2.7E-2</v>
          </cell>
          <cell r="AH862">
            <v>0</v>
          </cell>
          <cell r="AI862">
            <v>0.49</v>
          </cell>
          <cell r="AJ862">
            <v>22.4</v>
          </cell>
          <cell r="AK862">
            <v>5.3</v>
          </cell>
          <cell r="AL862">
            <v>0.17</v>
          </cell>
          <cell r="AM862">
            <v>3.1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  <cell r="AS862">
            <v>0</v>
          </cell>
          <cell r="AT862">
            <v>652</v>
          </cell>
          <cell r="AU862">
            <v>0</v>
          </cell>
          <cell r="AV862">
            <v>861</v>
          </cell>
          <cell r="AW862">
            <v>29</v>
          </cell>
          <cell r="AX862">
            <v>26</v>
          </cell>
          <cell r="AY862">
            <v>272</v>
          </cell>
          <cell r="AZ862">
            <v>2.4765000000000001</v>
          </cell>
          <cell r="BA862" t="str">
            <v>D2101019</v>
          </cell>
          <cell r="BB862" t="str">
            <v>CONFORM</v>
          </cell>
          <cell r="BC862" t="str">
            <v>CONFORM</v>
          </cell>
          <cell r="BD862" t="str">
            <v>CONFORM</v>
          </cell>
          <cell r="BE862" t="str">
            <v>CONFORM</v>
          </cell>
          <cell r="BF862" t="str">
            <v>CONFORM</v>
          </cell>
        </row>
        <row r="863">
          <cell r="A863">
            <v>44207</v>
          </cell>
          <cell r="B863" t="str">
            <v>D2101019-3</v>
          </cell>
          <cell r="C863" t="str">
            <v>003/21</v>
          </cell>
          <cell r="D863">
            <v>1</v>
          </cell>
          <cell r="E863">
            <v>44207</v>
          </cell>
          <cell r="F863" t="str">
            <v>DC</v>
          </cell>
          <cell r="G863" t="str">
            <v>On Time</v>
          </cell>
          <cell r="H863">
            <v>2407949180</v>
          </cell>
          <cell r="I863">
            <v>44204</v>
          </cell>
          <cell r="J863" t="str">
            <v>TKM</v>
          </cell>
          <cell r="K863" t="str">
            <v>D2101019</v>
          </cell>
          <cell r="L863">
            <v>3</v>
          </cell>
          <cell r="M863">
            <v>691281</v>
          </cell>
          <cell r="N863">
            <v>861011</v>
          </cell>
          <cell r="O863" t="str">
            <v xml:space="preserve">1.4462 UNS S31803/S32205 </v>
          </cell>
          <cell r="P863" t="str">
            <v>2205</v>
          </cell>
          <cell r="Q863">
            <v>3.0550000000000002</v>
          </cell>
          <cell r="R863">
            <v>3.0505</v>
          </cell>
          <cell r="S863">
            <v>6.7000000000000004E-2</v>
          </cell>
          <cell r="T863">
            <v>6.88E-2</v>
          </cell>
          <cell r="U863">
            <v>6.7799999999999999E-2</v>
          </cell>
          <cell r="V863">
            <v>6.83E-2</v>
          </cell>
          <cell r="W863" t="str">
            <v>TM</v>
          </cell>
          <cell r="X863">
            <v>5574</v>
          </cell>
          <cell r="Y863">
            <v>6</v>
          </cell>
          <cell r="Z863">
            <v>304.09165302782321</v>
          </cell>
          <cell r="AA863" t="str">
            <v>3.055X0.067-2205</v>
          </cell>
          <cell r="AB863" t="str">
            <v>WACN005750170B300112</v>
          </cell>
          <cell r="AC863" t="str">
            <v>D2101019</v>
          </cell>
          <cell r="AD863">
            <v>861011</v>
          </cell>
          <cell r="AE863">
            <v>1.9E-2</v>
          </cell>
          <cell r="AF863">
            <v>1.8</v>
          </cell>
          <cell r="AG863">
            <v>2.7E-2</v>
          </cell>
          <cell r="AH863">
            <v>0</v>
          </cell>
          <cell r="AI863">
            <v>0.49</v>
          </cell>
          <cell r="AJ863">
            <v>22.4</v>
          </cell>
          <cell r="AK863">
            <v>5.3</v>
          </cell>
          <cell r="AL863">
            <v>0.17</v>
          </cell>
          <cell r="AM863">
            <v>3.1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  <cell r="AS863">
            <v>0</v>
          </cell>
          <cell r="AT863">
            <v>652</v>
          </cell>
          <cell r="AU863">
            <v>0</v>
          </cell>
          <cell r="AV863">
            <v>861</v>
          </cell>
          <cell r="AW863">
            <v>29</v>
          </cell>
          <cell r="AX863">
            <v>82</v>
          </cell>
          <cell r="AY863">
            <v>156</v>
          </cell>
          <cell r="AZ863">
            <v>2.4765000000000001</v>
          </cell>
          <cell r="BA863" t="str">
            <v>D2101019</v>
          </cell>
          <cell r="BB863" t="str">
            <v>CONFORM</v>
          </cell>
          <cell r="BC863" t="str">
            <v>CONFORM</v>
          </cell>
          <cell r="BD863" t="str">
            <v>CONFORM</v>
          </cell>
          <cell r="BE863" t="str">
            <v>CONFORM</v>
          </cell>
          <cell r="BF863" t="str">
            <v>CONFORM</v>
          </cell>
        </row>
        <row r="864">
          <cell r="A864">
            <v>44211</v>
          </cell>
          <cell r="B864" t="str">
            <v>D2101045-1</v>
          </cell>
          <cell r="C864" t="str">
            <v>002/21</v>
          </cell>
          <cell r="D864">
            <v>1</v>
          </cell>
          <cell r="E864">
            <v>44211</v>
          </cell>
          <cell r="F864" t="str">
            <v>DC</v>
          </cell>
          <cell r="G864" t="str">
            <v>On Time</v>
          </cell>
          <cell r="H864">
            <v>2407948329</v>
          </cell>
          <cell r="I864">
            <v>44207</v>
          </cell>
          <cell r="J864" t="str">
            <v>TKM</v>
          </cell>
          <cell r="K864" t="str">
            <v>D2101045</v>
          </cell>
          <cell r="L864">
            <v>1</v>
          </cell>
          <cell r="M864">
            <v>3309728</v>
          </cell>
          <cell r="N864">
            <v>531289</v>
          </cell>
          <cell r="O864" t="str">
            <v xml:space="preserve">1.4306 TP304L </v>
          </cell>
          <cell r="P864" t="str">
            <v>304L</v>
          </cell>
          <cell r="Q864">
            <v>2.323</v>
          </cell>
          <cell r="R864">
            <v>2.335</v>
          </cell>
          <cell r="S864">
            <v>4.7E-2</v>
          </cell>
          <cell r="T864">
            <v>4.6850000000000003E-2</v>
          </cell>
          <cell r="U864">
            <v>4.7849999999999997E-2</v>
          </cell>
          <cell r="V864">
            <v>4.7350000000000003E-2</v>
          </cell>
          <cell r="W864" t="str">
            <v>TM</v>
          </cell>
          <cell r="X864">
            <v>4692</v>
          </cell>
          <cell r="Y864">
            <v>6</v>
          </cell>
          <cell r="Z864">
            <v>336.63366336633663</v>
          </cell>
          <cell r="AA864" t="str">
            <v>2.323X0.047-304L</v>
          </cell>
          <cell r="AB864" t="str">
            <v>WAAC005900120B300050</v>
          </cell>
          <cell r="AC864" t="str">
            <v>D2101045</v>
          </cell>
          <cell r="AD864">
            <v>531289</v>
          </cell>
          <cell r="AE864">
            <v>2.1999999999999999E-2</v>
          </cell>
          <cell r="AF864">
            <v>1.28</v>
          </cell>
          <cell r="AG864">
            <v>3.4000000000000002E-2</v>
          </cell>
          <cell r="AH864">
            <v>2E-3</v>
          </cell>
          <cell r="AI864">
            <v>0.31</v>
          </cell>
          <cell r="AJ864">
            <v>18.100000000000001</v>
          </cell>
          <cell r="AK864">
            <v>8</v>
          </cell>
          <cell r="AL864">
            <v>7.0000000000000007E-2</v>
          </cell>
          <cell r="AM864">
            <v>0.34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0.53</v>
          </cell>
          <cell r="AS864">
            <v>0</v>
          </cell>
          <cell r="AT864">
            <v>291</v>
          </cell>
          <cell r="AU864">
            <v>322</v>
          </cell>
          <cell r="AV864">
            <v>647</v>
          </cell>
          <cell r="AW864">
            <v>55</v>
          </cell>
          <cell r="AX864">
            <v>83</v>
          </cell>
          <cell r="AY864">
            <v>159</v>
          </cell>
          <cell r="AZ864">
            <v>1.4933000000000001</v>
          </cell>
          <cell r="BA864" t="str">
            <v>D2101045</v>
          </cell>
          <cell r="BB864" t="str">
            <v>CONFORM</v>
          </cell>
          <cell r="BC864" t="str">
            <v>CONFORM</v>
          </cell>
          <cell r="BD864" t="str">
            <v>CONFORM</v>
          </cell>
          <cell r="BE864" t="str">
            <v>CONFORM</v>
          </cell>
          <cell r="BF864" t="str">
            <v>CONFORM</v>
          </cell>
        </row>
        <row r="865">
          <cell r="A865">
            <v>44211</v>
          </cell>
          <cell r="B865" t="str">
            <v>D2101045-2</v>
          </cell>
          <cell r="C865" t="str">
            <v>002/21</v>
          </cell>
          <cell r="D865">
            <v>1</v>
          </cell>
          <cell r="E865">
            <v>44211</v>
          </cell>
          <cell r="F865" t="str">
            <v>DC</v>
          </cell>
          <cell r="G865" t="str">
            <v>On Time</v>
          </cell>
          <cell r="H865">
            <v>2407948329</v>
          </cell>
          <cell r="I865">
            <v>44207</v>
          </cell>
          <cell r="J865" t="str">
            <v>TKM</v>
          </cell>
          <cell r="K865" t="str">
            <v>D2101045</v>
          </cell>
          <cell r="L865">
            <v>2</v>
          </cell>
          <cell r="M865">
            <v>3309728</v>
          </cell>
          <cell r="N865">
            <v>531289</v>
          </cell>
          <cell r="O865" t="str">
            <v xml:space="preserve">1.4306 TP304L </v>
          </cell>
          <cell r="P865" t="str">
            <v>304L</v>
          </cell>
          <cell r="Q865">
            <v>2.323</v>
          </cell>
          <cell r="R865">
            <v>2.3214999999999999</v>
          </cell>
          <cell r="S865">
            <v>4.7E-2</v>
          </cell>
          <cell r="T865">
            <v>4.6899999999999997E-2</v>
          </cell>
          <cell r="U865">
            <v>4.8079999999999998E-2</v>
          </cell>
          <cell r="V865">
            <v>4.7489999999999997E-2</v>
          </cell>
          <cell r="W865" t="str">
            <v>TM</v>
          </cell>
          <cell r="X865">
            <v>4686</v>
          </cell>
          <cell r="Y865">
            <v>6</v>
          </cell>
          <cell r="Z865">
            <v>336.2031855359449</v>
          </cell>
          <cell r="AA865" t="str">
            <v>2.323X0.047-304L</v>
          </cell>
          <cell r="AB865" t="str">
            <v>WAAC005900120B300050</v>
          </cell>
          <cell r="AC865" t="str">
            <v>D2101045</v>
          </cell>
          <cell r="AD865">
            <v>531289</v>
          </cell>
          <cell r="AE865">
            <v>2.1999999999999999E-2</v>
          </cell>
          <cell r="AF865">
            <v>1.28</v>
          </cell>
          <cell r="AG865">
            <v>3.4000000000000002E-2</v>
          </cell>
          <cell r="AH865">
            <v>2E-3</v>
          </cell>
          <cell r="AI865">
            <v>0.31</v>
          </cell>
          <cell r="AJ865">
            <v>18.100000000000001</v>
          </cell>
          <cell r="AK865">
            <v>8</v>
          </cell>
          <cell r="AL865">
            <v>7.0000000000000007E-2</v>
          </cell>
          <cell r="AM865">
            <v>0.34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0.53</v>
          </cell>
          <cell r="AS865">
            <v>0</v>
          </cell>
          <cell r="AT865">
            <v>291</v>
          </cell>
          <cell r="AU865">
            <v>322</v>
          </cell>
          <cell r="AV865">
            <v>647</v>
          </cell>
          <cell r="AW865">
            <v>55</v>
          </cell>
          <cell r="AX865">
            <v>83</v>
          </cell>
          <cell r="AY865">
            <v>159</v>
          </cell>
          <cell r="AZ865">
            <v>1.4933000000000001</v>
          </cell>
          <cell r="BA865" t="str">
            <v>D2101045</v>
          </cell>
          <cell r="BB865" t="str">
            <v>CONFORM</v>
          </cell>
          <cell r="BC865" t="str">
            <v>CONFORM</v>
          </cell>
          <cell r="BD865" t="str">
            <v>CONFORM</v>
          </cell>
          <cell r="BE865" t="str">
            <v>CONFORM</v>
          </cell>
          <cell r="BF865" t="str">
            <v>CONFORM</v>
          </cell>
        </row>
        <row r="866">
          <cell r="A866">
            <v>44211</v>
          </cell>
          <cell r="B866" t="str">
            <v>D2101045-3</v>
          </cell>
          <cell r="C866" t="str">
            <v>002/21</v>
          </cell>
          <cell r="D866">
            <v>1</v>
          </cell>
          <cell r="E866">
            <v>44211</v>
          </cell>
          <cell r="F866" t="str">
            <v>DC</v>
          </cell>
          <cell r="G866" t="str">
            <v>On Time</v>
          </cell>
          <cell r="H866">
            <v>2407948329</v>
          </cell>
          <cell r="I866">
            <v>44207</v>
          </cell>
          <cell r="J866" t="str">
            <v>TKM</v>
          </cell>
          <cell r="K866" t="str">
            <v>D2101045</v>
          </cell>
          <cell r="L866">
            <v>3</v>
          </cell>
          <cell r="M866">
            <v>3309728</v>
          </cell>
          <cell r="N866">
            <v>531289</v>
          </cell>
          <cell r="O866" t="str">
            <v xml:space="preserve">1.4306 TP304L </v>
          </cell>
          <cell r="P866" t="str">
            <v>304L</v>
          </cell>
          <cell r="Q866">
            <v>2.323</v>
          </cell>
          <cell r="R866">
            <v>2.327</v>
          </cell>
          <cell r="S866">
            <v>4.7E-2</v>
          </cell>
          <cell r="T866">
            <v>4.6850000000000003E-2</v>
          </cell>
          <cell r="U866">
            <v>4.725E-2</v>
          </cell>
          <cell r="V866">
            <v>4.7050000000000002E-2</v>
          </cell>
          <cell r="W866" t="str">
            <v>TM</v>
          </cell>
          <cell r="X866">
            <v>4688</v>
          </cell>
          <cell r="Y866">
            <v>6</v>
          </cell>
          <cell r="Z866">
            <v>336.34667814607548</v>
          </cell>
          <cell r="AA866" t="str">
            <v>2.323X0.047-304L</v>
          </cell>
          <cell r="AB866" t="str">
            <v>WAAC005900120B300050</v>
          </cell>
          <cell r="AC866" t="str">
            <v>D2101045</v>
          </cell>
          <cell r="AD866">
            <v>531289</v>
          </cell>
          <cell r="AE866">
            <v>2.1999999999999999E-2</v>
          </cell>
          <cell r="AF866">
            <v>1.28</v>
          </cell>
          <cell r="AG866">
            <v>3.4000000000000002E-2</v>
          </cell>
          <cell r="AH866">
            <v>2E-3</v>
          </cell>
          <cell r="AI866">
            <v>0.31</v>
          </cell>
          <cell r="AJ866">
            <v>18.100000000000001</v>
          </cell>
          <cell r="AK866">
            <v>8</v>
          </cell>
          <cell r="AL866">
            <v>7.0000000000000007E-2</v>
          </cell>
          <cell r="AM866">
            <v>0.34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0.53</v>
          </cell>
          <cell r="AS866">
            <v>0</v>
          </cell>
          <cell r="AT866">
            <v>291</v>
          </cell>
          <cell r="AU866">
            <v>322</v>
          </cell>
          <cell r="AV866">
            <v>647</v>
          </cell>
          <cell r="AW866">
            <v>55</v>
          </cell>
          <cell r="AX866">
            <v>83</v>
          </cell>
          <cell r="AY866">
            <v>159</v>
          </cell>
          <cell r="AZ866">
            <v>1.4933000000000001</v>
          </cell>
          <cell r="BA866" t="str">
            <v>D2101045</v>
          </cell>
          <cell r="BB866" t="str">
            <v>CONFORM</v>
          </cell>
          <cell r="BC866" t="str">
            <v>CONFORM</v>
          </cell>
          <cell r="BD866" t="str">
            <v>CONFORM</v>
          </cell>
          <cell r="BE866" t="str">
            <v>CONFORM</v>
          </cell>
          <cell r="BF866" t="str">
            <v>CONFORM</v>
          </cell>
        </row>
        <row r="867">
          <cell r="A867">
            <v>44211</v>
          </cell>
          <cell r="B867" t="str">
            <v>D2101045-4</v>
          </cell>
          <cell r="C867" t="str">
            <v>002/21</v>
          </cell>
          <cell r="D867">
            <v>1</v>
          </cell>
          <cell r="E867">
            <v>44211</v>
          </cell>
          <cell r="F867" t="str">
            <v>DC</v>
          </cell>
          <cell r="G867" t="str">
            <v>On Time</v>
          </cell>
          <cell r="H867">
            <v>2407948329</v>
          </cell>
          <cell r="I867">
            <v>44207</v>
          </cell>
          <cell r="J867" t="str">
            <v>TKM</v>
          </cell>
          <cell r="K867" t="str">
            <v>D2101045</v>
          </cell>
          <cell r="L867">
            <v>4</v>
          </cell>
          <cell r="M867">
            <v>3309728</v>
          </cell>
          <cell r="N867">
            <v>531289</v>
          </cell>
          <cell r="O867" t="str">
            <v xml:space="preserve">1.4306 TP304L </v>
          </cell>
          <cell r="P867" t="str">
            <v>304L</v>
          </cell>
          <cell r="Q867">
            <v>2.323</v>
          </cell>
          <cell r="R867">
            <v>2.3205</v>
          </cell>
          <cell r="S867">
            <v>4.7E-2</v>
          </cell>
          <cell r="T867">
            <v>4.8149999999999998E-2</v>
          </cell>
          <cell r="U867">
            <v>4.7300000000000002E-2</v>
          </cell>
          <cell r="V867">
            <v>4.7725000000000004E-2</v>
          </cell>
          <cell r="W867" t="str">
            <v>TM</v>
          </cell>
          <cell r="X867">
            <v>1564</v>
          </cell>
          <cell r="Y867">
            <v>2</v>
          </cell>
          <cell r="Z867">
            <v>336.63366336633663</v>
          </cell>
          <cell r="AA867" t="str">
            <v>2.323X0.047-304L</v>
          </cell>
          <cell r="AB867" t="str">
            <v>WAAC005900120B300050</v>
          </cell>
          <cell r="AC867" t="str">
            <v>D2101045</v>
          </cell>
          <cell r="AD867">
            <v>531289</v>
          </cell>
          <cell r="AE867">
            <v>2.1999999999999999E-2</v>
          </cell>
          <cell r="AF867">
            <v>1.28</v>
          </cell>
          <cell r="AG867">
            <v>3.4000000000000002E-2</v>
          </cell>
          <cell r="AH867">
            <v>2E-3</v>
          </cell>
          <cell r="AI867">
            <v>0.31</v>
          </cell>
          <cell r="AJ867">
            <v>18.100000000000001</v>
          </cell>
          <cell r="AK867">
            <v>8</v>
          </cell>
          <cell r="AL867">
            <v>7.0000000000000007E-2</v>
          </cell>
          <cell r="AM867">
            <v>0.34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0.53</v>
          </cell>
          <cell r="AS867">
            <v>0</v>
          </cell>
          <cell r="AT867">
            <v>291</v>
          </cell>
          <cell r="AU867">
            <v>322</v>
          </cell>
          <cell r="AV867">
            <v>647</v>
          </cell>
          <cell r="AW867">
            <v>55</v>
          </cell>
          <cell r="AX867">
            <v>83</v>
          </cell>
          <cell r="AY867">
            <v>159</v>
          </cell>
          <cell r="AZ867">
            <v>1.4933000000000001</v>
          </cell>
          <cell r="BA867" t="str">
            <v>D2101045</v>
          </cell>
          <cell r="BB867" t="str">
            <v>CONFORM</v>
          </cell>
          <cell r="BC867" t="str">
            <v>CONFORM</v>
          </cell>
          <cell r="BD867" t="str">
            <v>CONFORM</v>
          </cell>
          <cell r="BE867" t="str">
            <v>CONFORM</v>
          </cell>
          <cell r="BF867" t="str">
            <v>CONFORM</v>
          </cell>
        </row>
        <row r="868">
          <cell r="A868">
            <v>44215</v>
          </cell>
          <cell r="B868" t="str">
            <v>D2101073-1</v>
          </cell>
          <cell r="C868" t="str">
            <v>004/21</v>
          </cell>
          <cell r="D868">
            <v>1</v>
          </cell>
          <cell r="E868">
            <v>44216</v>
          </cell>
          <cell r="F868" t="str">
            <v>DC</v>
          </cell>
          <cell r="G868" t="str">
            <v>On Time</v>
          </cell>
          <cell r="H868">
            <v>20210119030</v>
          </cell>
          <cell r="I868">
            <v>44215</v>
          </cell>
          <cell r="J868" t="str">
            <v>COILPLUS</v>
          </cell>
          <cell r="K868" t="str">
            <v>D2101073</v>
          </cell>
          <cell r="L868">
            <v>1</v>
          </cell>
          <cell r="M868">
            <v>888039</v>
          </cell>
          <cell r="N868">
            <v>531162</v>
          </cell>
          <cell r="O868" t="str">
            <v xml:space="preserve">1.4401/1.4404 TP316/316L </v>
          </cell>
          <cell r="P868" t="str">
            <v>316L</v>
          </cell>
          <cell r="Q868">
            <v>1.948</v>
          </cell>
          <cell r="R868">
            <v>1.9444999999999999</v>
          </cell>
          <cell r="S868">
            <v>3.5000000000000003E-2</v>
          </cell>
          <cell r="T868">
            <v>3.705E-2</v>
          </cell>
          <cell r="U868">
            <v>3.7199999999999997E-2</v>
          </cell>
          <cell r="V868">
            <v>3.7124999999999998E-2</v>
          </cell>
          <cell r="W868" t="str">
            <v>BRS</v>
          </cell>
          <cell r="X868">
            <v>4562</v>
          </cell>
          <cell r="Y868">
            <v>3</v>
          </cell>
          <cell r="Z868">
            <v>780.62970568104049</v>
          </cell>
          <cell r="AA868" t="str">
            <v>1.948X0.035-316L</v>
          </cell>
          <cell r="AB868" t="str">
            <v>WAAF004950089B200132</v>
          </cell>
          <cell r="AC868" t="str">
            <v>D2101073</v>
          </cell>
          <cell r="AD868">
            <v>531162</v>
          </cell>
          <cell r="AE868">
            <v>2.5999999999999999E-2</v>
          </cell>
          <cell r="AF868">
            <v>1.33</v>
          </cell>
          <cell r="AG868">
            <v>3.3000000000000002E-2</v>
          </cell>
          <cell r="AH868">
            <v>1E-3</v>
          </cell>
          <cell r="AI868">
            <v>0.28999999999999998</v>
          </cell>
          <cell r="AJ868">
            <v>18.100000000000001</v>
          </cell>
          <cell r="AK868">
            <v>8</v>
          </cell>
          <cell r="AL868">
            <v>6.4000000000000001E-2</v>
          </cell>
          <cell r="AM868">
            <v>0.39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0.54</v>
          </cell>
          <cell r="AS868">
            <v>0</v>
          </cell>
          <cell r="AT868">
            <v>287</v>
          </cell>
          <cell r="AU868">
            <v>0</v>
          </cell>
          <cell r="AV868">
            <v>645</v>
          </cell>
          <cell r="AW868">
            <v>55</v>
          </cell>
          <cell r="AX868">
            <v>82</v>
          </cell>
          <cell r="AY868">
            <v>156</v>
          </cell>
          <cell r="AZ868">
            <v>8.5000000000000006E-2</v>
          </cell>
          <cell r="BA868" t="str">
            <v>D2101073</v>
          </cell>
          <cell r="BB868" t="str">
            <v>CONFORM</v>
          </cell>
          <cell r="BC868" t="str">
            <v>CONFORM</v>
          </cell>
          <cell r="BD868" t="str">
            <v>CONFORM</v>
          </cell>
          <cell r="BE868" t="str">
            <v>CONFORM</v>
          </cell>
          <cell r="BF868" t="str">
            <v>CONFORM</v>
          </cell>
        </row>
        <row r="869">
          <cell r="A869">
            <v>44215</v>
          </cell>
          <cell r="B869" t="str">
            <v>D2101073-2</v>
          </cell>
          <cell r="C869" t="str">
            <v>004/21</v>
          </cell>
          <cell r="D869">
            <v>1</v>
          </cell>
          <cell r="E869">
            <v>44216</v>
          </cell>
          <cell r="F869" t="str">
            <v>DC</v>
          </cell>
          <cell r="G869" t="str">
            <v>On Time</v>
          </cell>
          <cell r="H869">
            <v>20210119030</v>
          </cell>
          <cell r="I869">
            <v>44215</v>
          </cell>
          <cell r="J869" t="str">
            <v>COILPLUS</v>
          </cell>
          <cell r="K869" t="str">
            <v>D2101073</v>
          </cell>
          <cell r="L869">
            <v>2</v>
          </cell>
          <cell r="M869">
            <v>888039</v>
          </cell>
          <cell r="N869">
            <v>531162</v>
          </cell>
          <cell r="O869" t="str">
            <v xml:space="preserve">1.4401/1.4404 TP316/316L </v>
          </cell>
          <cell r="P869" t="str">
            <v>316L</v>
          </cell>
          <cell r="Q869">
            <v>1.948</v>
          </cell>
          <cell r="R869">
            <v>1.946</v>
          </cell>
          <cell r="S869">
            <v>3.5000000000000003E-2</v>
          </cell>
          <cell r="T869">
            <v>3.6949999999999997E-2</v>
          </cell>
          <cell r="U869">
            <v>3.6900000000000002E-2</v>
          </cell>
          <cell r="V869">
            <v>3.6924999999999999E-2</v>
          </cell>
          <cell r="W869" t="str">
            <v>BRS</v>
          </cell>
          <cell r="X869">
            <v>4568</v>
          </cell>
          <cell r="Y869">
            <v>3</v>
          </cell>
          <cell r="Z869">
            <v>781.656399726215</v>
          </cell>
          <cell r="AA869" t="str">
            <v>1.948X0.035-316L</v>
          </cell>
          <cell r="AB869" t="str">
            <v>WAAF004950089B200132</v>
          </cell>
          <cell r="AC869" t="str">
            <v>D2101073</v>
          </cell>
          <cell r="AD869">
            <v>531162</v>
          </cell>
          <cell r="AE869">
            <v>2.5999999999999999E-2</v>
          </cell>
          <cell r="AF869">
            <v>1.33</v>
          </cell>
          <cell r="AG869">
            <v>3.3000000000000002E-2</v>
          </cell>
          <cell r="AH869">
            <v>1E-3</v>
          </cell>
          <cell r="AI869">
            <v>0.28999999999999998</v>
          </cell>
          <cell r="AJ869">
            <v>18.100000000000001</v>
          </cell>
          <cell r="AK869">
            <v>8</v>
          </cell>
          <cell r="AL869">
            <v>6.4000000000000001E-2</v>
          </cell>
          <cell r="AM869">
            <v>0.39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0.54</v>
          </cell>
          <cell r="AS869">
            <v>0</v>
          </cell>
          <cell r="AT869">
            <v>287</v>
          </cell>
          <cell r="AU869">
            <v>0</v>
          </cell>
          <cell r="AV869">
            <v>645</v>
          </cell>
          <cell r="AW869">
            <v>55</v>
          </cell>
          <cell r="AX869">
            <v>82</v>
          </cell>
          <cell r="AY869">
            <v>156</v>
          </cell>
          <cell r="AZ869">
            <v>8.5000000000000006E-2</v>
          </cell>
          <cell r="BA869" t="str">
            <v>D2101073</v>
          </cell>
          <cell r="BB869" t="str">
            <v>CONFORM</v>
          </cell>
          <cell r="BC869" t="str">
            <v>CONFORM</v>
          </cell>
          <cell r="BD869" t="str">
            <v>CONFORM</v>
          </cell>
          <cell r="BE869" t="str">
            <v>CONFORM</v>
          </cell>
          <cell r="BF869" t="str">
            <v>CONFORM</v>
          </cell>
        </row>
        <row r="870">
          <cell r="A870">
            <v>44215</v>
          </cell>
          <cell r="B870" t="str">
            <v>D2101073-3</v>
          </cell>
          <cell r="C870" t="str">
            <v>004/21</v>
          </cell>
          <cell r="D870">
            <v>1</v>
          </cell>
          <cell r="E870">
            <v>44216</v>
          </cell>
          <cell r="F870" t="str">
            <v>DC</v>
          </cell>
          <cell r="G870" t="str">
            <v>On Time</v>
          </cell>
          <cell r="H870">
            <v>20210119030</v>
          </cell>
          <cell r="I870">
            <v>44215</v>
          </cell>
          <cell r="J870" t="str">
            <v>COILPLUS</v>
          </cell>
          <cell r="K870" t="str">
            <v>D2101073</v>
          </cell>
          <cell r="L870">
            <v>3</v>
          </cell>
          <cell r="M870">
            <v>888039</v>
          </cell>
          <cell r="N870">
            <v>531162</v>
          </cell>
          <cell r="O870" t="str">
            <v xml:space="preserve">1.4401/1.4404 TP316/316L </v>
          </cell>
          <cell r="P870" t="str">
            <v>316L</v>
          </cell>
          <cell r="Q870">
            <v>1.948</v>
          </cell>
          <cell r="R870">
            <v>1.9464999999999999</v>
          </cell>
          <cell r="S870">
            <v>3.5000000000000003E-2</v>
          </cell>
          <cell r="T870">
            <v>3.415E-2</v>
          </cell>
          <cell r="V870">
            <v>3.415E-2</v>
          </cell>
          <cell r="X870">
            <v>1518</v>
          </cell>
          <cell r="Y870">
            <v>1</v>
          </cell>
          <cell r="Z870">
            <v>779.2607802874744</v>
          </cell>
          <cell r="AA870" t="str">
            <v>1.948X0.035-316L</v>
          </cell>
          <cell r="AB870" t="str">
            <v>WAAF004950089B200132</v>
          </cell>
          <cell r="AC870" t="str">
            <v>D2101073</v>
          </cell>
          <cell r="AD870">
            <v>531162</v>
          </cell>
          <cell r="AE870">
            <v>2.5999999999999999E-2</v>
          </cell>
          <cell r="AF870">
            <v>1.33</v>
          </cell>
          <cell r="AG870">
            <v>3.3000000000000002E-2</v>
          </cell>
          <cell r="AH870">
            <v>1E-3</v>
          </cell>
          <cell r="AI870">
            <v>0.28999999999999998</v>
          </cell>
          <cell r="AJ870">
            <v>18.100000000000001</v>
          </cell>
          <cell r="AK870">
            <v>8</v>
          </cell>
          <cell r="AL870">
            <v>6.4000000000000001E-2</v>
          </cell>
          <cell r="AM870">
            <v>0.39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0.54</v>
          </cell>
          <cell r="AS870">
            <v>0</v>
          </cell>
          <cell r="AT870">
            <v>287</v>
          </cell>
          <cell r="AU870">
            <v>0</v>
          </cell>
          <cell r="AV870">
            <v>645</v>
          </cell>
          <cell r="AW870">
            <v>55</v>
          </cell>
          <cell r="AX870">
            <v>82</v>
          </cell>
          <cell r="AY870">
            <v>156</v>
          </cell>
          <cell r="AZ870">
            <v>8.5000000000000006E-2</v>
          </cell>
          <cell r="BA870" t="str">
            <v>D2101073</v>
          </cell>
          <cell r="BB870" t="str">
            <v>CONFORM</v>
          </cell>
          <cell r="BC870" t="str">
            <v>CONFORM</v>
          </cell>
          <cell r="BD870" t="str">
            <v>CONFORM</v>
          </cell>
          <cell r="BE870" t="str">
            <v>CONFORM</v>
          </cell>
          <cell r="BF870" t="str">
            <v>CONFORM</v>
          </cell>
        </row>
        <row r="871">
          <cell r="A871">
            <v>44215</v>
          </cell>
          <cell r="B871" t="str">
            <v>D2101073-4</v>
          </cell>
          <cell r="C871" t="str">
            <v>004/21</v>
          </cell>
          <cell r="D871">
            <v>1</v>
          </cell>
          <cell r="E871">
            <v>44216</v>
          </cell>
          <cell r="F871" t="str">
            <v>DC</v>
          </cell>
          <cell r="G871" t="str">
            <v>On Time</v>
          </cell>
          <cell r="H871">
            <v>20210119030</v>
          </cell>
          <cell r="I871">
            <v>44215</v>
          </cell>
          <cell r="J871" t="str">
            <v>COILPLUS</v>
          </cell>
          <cell r="K871" t="str">
            <v>D2101073</v>
          </cell>
          <cell r="L871">
            <v>4</v>
          </cell>
          <cell r="M871">
            <v>888039</v>
          </cell>
          <cell r="N871">
            <v>531162</v>
          </cell>
          <cell r="O871" t="str">
            <v xml:space="preserve">1.4401/1.4404 TP316/316L </v>
          </cell>
          <cell r="P871" t="str">
            <v>316L</v>
          </cell>
          <cell r="Q871">
            <v>1.948</v>
          </cell>
          <cell r="R871">
            <v>1.9444999999999999</v>
          </cell>
          <cell r="S871">
            <v>3.5000000000000003E-2</v>
          </cell>
          <cell r="T871">
            <v>3.6650000000000002E-2</v>
          </cell>
          <cell r="U871">
            <v>3.6700000000000003E-2</v>
          </cell>
          <cell r="V871">
            <v>3.6674999999999999E-2</v>
          </cell>
          <cell r="W871" t="str">
            <v>BRS</v>
          </cell>
          <cell r="X871">
            <v>4558</v>
          </cell>
          <cell r="Y871">
            <v>3</v>
          </cell>
          <cell r="Z871">
            <v>779.94524298425733</v>
          </cell>
          <cell r="AA871" t="str">
            <v>1.948X0.035-316L</v>
          </cell>
          <cell r="AB871" t="str">
            <v>WAAF004950089B200132</v>
          </cell>
          <cell r="AC871" t="str">
            <v>D2101073</v>
          </cell>
          <cell r="AD871">
            <v>531162</v>
          </cell>
          <cell r="AE871">
            <v>2.5999999999999999E-2</v>
          </cell>
          <cell r="AF871">
            <v>1.33</v>
          </cell>
          <cell r="AG871">
            <v>3.3000000000000002E-2</v>
          </cell>
          <cell r="AH871">
            <v>1E-3</v>
          </cell>
          <cell r="AI871">
            <v>0.28999999999999998</v>
          </cell>
          <cell r="AJ871">
            <v>18.100000000000001</v>
          </cell>
          <cell r="AK871">
            <v>8</v>
          </cell>
          <cell r="AL871">
            <v>6.4000000000000001E-2</v>
          </cell>
          <cell r="AM871">
            <v>0.39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0.54</v>
          </cell>
          <cell r="AS871">
            <v>0</v>
          </cell>
          <cell r="AT871">
            <v>287</v>
          </cell>
          <cell r="AU871">
            <v>0</v>
          </cell>
          <cell r="AV871">
            <v>645</v>
          </cell>
          <cell r="AW871">
            <v>55</v>
          </cell>
          <cell r="AX871">
            <v>82</v>
          </cell>
          <cell r="AY871">
            <v>156</v>
          </cell>
          <cell r="AZ871">
            <v>8.5000000000000006E-2</v>
          </cell>
          <cell r="BA871" t="str">
            <v>D2101073</v>
          </cell>
          <cell r="BB871" t="str">
            <v>CONFORM</v>
          </cell>
          <cell r="BC871" t="str">
            <v>CONFORM</v>
          </cell>
          <cell r="BD871" t="str">
            <v>CONFORM</v>
          </cell>
          <cell r="BE871" t="str">
            <v>CONFORM</v>
          </cell>
          <cell r="BF871" t="str">
            <v>CONFORM</v>
          </cell>
        </row>
        <row r="872">
          <cell r="A872">
            <v>44215</v>
          </cell>
          <cell r="B872" t="str">
            <v>D2101073-5</v>
          </cell>
          <cell r="C872" t="str">
            <v>004/21</v>
          </cell>
          <cell r="D872">
            <v>1</v>
          </cell>
          <cell r="E872">
            <v>44216</v>
          </cell>
          <cell r="F872" t="str">
            <v>DC</v>
          </cell>
          <cell r="G872" t="str">
            <v>On Time</v>
          </cell>
          <cell r="H872">
            <v>20210119030</v>
          </cell>
          <cell r="I872">
            <v>44215</v>
          </cell>
          <cell r="J872" t="str">
            <v>COILPLUS</v>
          </cell>
          <cell r="K872" t="str">
            <v>D2101073</v>
          </cell>
          <cell r="L872">
            <v>5</v>
          </cell>
          <cell r="M872">
            <v>888039</v>
          </cell>
          <cell r="N872">
            <v>531162</v>
          </cell>
          <cell r="O872" t="str">
            <v xml:space="preserve">1.4401/1.4404 TP316/316L </v>
          </cell>
          <cell r="P872" t="str">
            <v>316L</v>
          </cell>
          <cell r="Q872">
            <v>1.948</v>
          </cell>
          <cell r="R872">
            <v>1.9490000000000001</v>
          </cell>
          <cell r="S872">
            <v>3.5000000000000003E-2</v>
          </cell>
          <cell r="T872">
            <v>3.7650000000000003E-2</v>
          </cell>
          <cell r="U872">
            <v>3.7650000000000003E-2</v>
          </cell>
          <cell r="V872">
            <v>3.7650000000000003E-2</v>
          </cell>
          <cell r="W872" t="str">
            <v>TM</v>
          </cell>
          <cell r="X872">
            <v>4542</v>
          </cell>
          <cell r="Y872">
            <v>3</v>
          </cell>
          <cell r="Z872">
            <v>777.20739219712527</v>
          </cell>
          <cell r="AA872" t="str">
            <v>1.948X0.035-316L</v>
          </cell>
          <cell r="AB872" t="str">
            <v>WAAF004950089B200132</v>
          </cell>
          <cell r="AC872" t="str">
            <v>D2101073</v>
          </cell>
          <cell r="AD872">
            <v>531162</v>
          </cell>
          <cell r="AE872">
            <v>2.5999999999999999E-2</v>
          </cell>
          <cell r="AF872">
            <v>1.33</v>
          </cell>
          <cell r="AG872">
            <v>3.3000000000000002E-2</v>
          </cell>
          <cell r="AH872">
            <v>1E-3</v>
          </cell>
          <cell r="AI872">
            <v>0.28999999999999998</v>
          </cell>
          <cell r="AJ872">
            <v>18.100000000000001</v>
          </cell>
          <cell r="AK872">
            <v>8</v>
          </cell>
          <cell r="AL872">
            <v>6.4000000000000001E-2</v>
          </cell>
          <cell r="AM872">
            <v>0.39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0.54</v>
          </cell>
          <cell r="AS872">
            <v>0</v>
          </cell>
          <cell r="AT872">
            <v>287</v>
          </cell>
          <cell r="AU872">
            <v>0</v>
          </cell>
          <cell r="AV872">
            <v>645</v>
          </cell>
          <cell r="AW872">
            <v>55</v>
          </cell>
          <cell r="AX872">
            <v>82</v>
          </cell>
          <cell r="AY872">
            <v>156</v>
          </cell>
          <cell r="AZ872">
            <v>8.5000000000000006E-2</v>
          </cell>
          <cell r="BA872" t="str">
            <v>D2101073</v>
          </cell>
          <cell r="BB872" t="str">
            <v>CONFORM</v>
          </cell>
          <cell r="BC872" t="str">
            <v>CONFORM</v>
          </cell>
          <cell r="BD872" t="str">
            <v>CONFORM</v>
          </cell>
          <cell r="BE872" t="str">
            <v>CONFORM</v>
          </cell>
          <cell r="BF872" t="str">
            <v>CONFORM</v>
          </cell>
        </row>
        <row r="873">
          <cell r="A873">
            <v>44215</v>
          </cell>
          <cell r="B873" t="str">
            <v>D2101074-1</v>
          </cell>
          <cell r="C873" t="str">
            <v>004/21</v>
          </cell>
          <cell r="D873">
            <v>2</v>
          </cell>
          <cell r="E873">
            <v>44216</v>
          </cell>
          <cell r="F873" t="str">
            <v>DC</v>
          </cell>
          <cell r="G873" t="str">
            <v>On Time</v>
          </cell>
          <cell r="H873">
            <v>20210119030</v>
          </cell>
          <cell r="I873">
            <v>44215</v>
          </cell>
          <cell r="J873" t="str">
            <v>COILPLUS</v>
          </cell>
          <cell r="K873" t="str">
            <v>D2101074</v>
          </cell>
          <cell r="L873">
            <v>1</v>
          </cell>
          <cell r="M873">
            <v>888039</v>
          </cell>
          <cell r="N873">
            <v>531162</v>
          </cell>
          <cell r="O873" t="str">
            <v xml:space="preserve">1.4401/1.4404 TP316/316L </v>
          </cell>
          <cell r="P873" t="str">
            <v>316L</v>
          </cell>
          <cell r="Q873">
            <v>3.1539999999999999</v>
          </cell>
          <cell r="R873">
            <v>3.1539999999999999</v>
          </cell>
          <cell r="S873">
            <v>3.5000000000000003E-2</v>
          </cell>
          <cell r="T873">
            <v>3.6799999999999999E-2</v>
          </cell>
          <cell r="U873">
            <v>3.6949999999999997E-2</v>
          </cell>
          <cell r="V873">
            <v>3.6874999999999998E-2</v>
          </cell>
          <cell r="W873" t="str">
            <v>BRS</v>
          </cell>
          <cell r="X873">
            <v>4884</v>
          </cell>
          <cell r="Y873">
            <v>2</v>
          </cell>
          <cell r="Z873">
            <v>774.25491439441976</v>
          </cell>
          <cell r="AA873" t="str">
            <v>3.154X0.035-316L</v>
          </cell>
          <cell r="AB873" t="str">
            <v>WAAF008000089B300019</v>
          </cell>
          <cell r="AC873" t="str">
            <v>D2101074</v>
          </cell>
          <cell r="AD873">
            <v>531162</v>
          </cell>
          <cell r="AE873">
            <v>2.5999999999999999E-2</v>
          </cell>
          <cell r="AF873">
            <v>1.33</v>
          </cell>
          <cell r="AG873">
            <v>3.3000000000000002E-2</v>
          </cell>
          <cell r="AH873">
            <v>1E-3</v>
          </cell>
          <cell r="AI873">
            <v>0.28999999999999998</v>
          </cell>
          <cell r="AJ873">
            <v>18.100000000000001</v>
          </cell>
          <cell r="AK873">
            <v>8</v>
          </cell>
          <cell r="AL873">
            <v>6.4000000000000001E-2</v>
          </cell>
          <cell r="AM873">
            <v>0.39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0.54</v>
          </cell>
          <cell r="AS873">
            <v>0</v>
          </cell>
          <cell r="AT873">
            <v>287</v>
          </cell>
          <cell r="AU873">
            <v>0</v>
          </cell>
          <cell r="AV873">
            <v>645</v>
          </cell>
          <cell r="AW873">
            <v>55</v>
          </cell>
          <cell r="AX873">
            <v>82</v>
          </cell>
          <cell r="AY873">
            <v>156</v>
          </cell>
          <cell r="AZ873">
            <v>8.5000000000000006E-2</v>
          </cell>
          <cell r="BA873" t="str">
            <v>D2101074</v>
          </cell>
          <cell r="BB873" t="str">
            <v>CONFORM</v>
          </cell>
          <cell r="BC873" t="str">
            <v>CONFORM</v>
          </cell>
          <cell r="BD873" t="str">
            <v>CONFORM</v>
          </cell>
          <cell r="BE873" t="str">
            <v>CONFORM</v>
          </cell>
          <cell r="BF873" t="str">
            <v>CONFORM</v>
          </cell>
        </row>
        <row r="874">
          <cell r="A874">
            <v>44215</v>
          </cell>
          <cell r="B874" t="str">
            <v>D2101074-2</v>
          </cell>
          <cell r="C874" t="str">
            <v>004/21</v>
          </cell>
          <cell r="D874">
            <v>2</v>
          </cell>
          <cell r="E874">
            <v>44216</v>
          </cell>
          <cell r="F874" t="str">
            <v>DC</v>
          </cell>
          <cell r="G874" t="str">
            <v>On Time</v>
          </cell>
          <cell r="H874">
            <v>20210119030</v>
          </cell>
          <cell r="I874">
            <v>44215</v>
          </cell>
          <cell r="J874" t="str">
            <v>COILPLUS</v>
          </cell>
          <cell r="K874" t="str">
            <v>D2101074</v>
          </cell>
          <cell r="L874">
            <v>2</v>
          </cell>
          <cell r="M874">
            <v>888039</v>
          </cell>
          <cell r="N874">
            <v>531162</v>
          </cell>
          <cell r="O874" t="str">
            <v xml:space="preserve">1.4401/1.4404 TP316/316L </v>
          </cell>
          <cell r="P874" t="str">
            <v>316L</v>
          </cell>
          <cell r="Q874">
            <v>3.1539999999999999</v>
          </cell>
          <cell r="R874">
            <v>3.1535000000000002</v>
          </cell>
          <cell r="S874">
            <v>3.5000000000000003E-2</v>
          </cell>
          <cell r="T874">
            <v>3.7350000000000001E-2</v>
          </cell>
          <cell r="U874">
            <v>3.755E-2</v>
          </cell>
          <cell r="V874">
            <v>3.7449999999999997E-2</v>
          </cell>
          <cell r="W874" t="str">
            <v>BRS</v>
          </cell>
          <cell r="X874">
            <v>4900</v>
          </cell>
          <cell r="Y874">
            <v>2</v>
          </cell>
          <cell r="Z874">
            <v>776.7913760304375</v>
          </cell>
          <cell r="AA874" t="str">
            <v>3.154X0.035-316L</v>
          </cell>
          <cell r="AB874" t="str">
            <v>WAAF008000089B300019</v>
          </cell>
          <cell r="AC874" t="str">
            <v>D2101074</v>
          </cell>
          <cell r="AD874">
            <v>531162</v>
          </cell>
          <cell r="AE874">
            <v>2.5999999999999999E-2</v>
          </cell>
          <cell r="AF874">
            <v>1.33</v>
          </cell>
          <cell r="AG874">
            <v>3.3000000000000002E-2</v>
          </cell>
          <cell r="AH874">
            <v>1E-3</v>
          </cell>
          <cell r="AI874">
            <v>0.28999999999999998</v>
          </cell>
          <cell r="AJ874">
            <v>18.100000000000001</v>
          </cell>
          <cell r="AK874">
            <v>8</v>
          </cell>
          <cell r="AL874">
            <v>6.4000000000000001E-2</v>
          </cell>
          <cell r="AM874">
            <v>0.39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0.54</v>
          </cell>
          <cell r="AS874">
            <v>0</v>
          </cell>
          <cell r="AT874">
            <v>287</v>
          </cell>
          <cell r="AU874">
            <v>0</v>
          </cell>
          <cell r="AV874">
            <v>645</v>
          </cell>
          <cell r="AW874">
            <v>55</v>
          </cell>
          <cell r="AX874">
            <v>82</v>
          </cell>
          <cell r="AY874">
            <v>156</v>
          </cell>
          <cell r="AZ874">
            <v>8.5000000000000006E-2</v>
          </cell>
          <cell r="BA874" t="str">
            <v>D2101074</v>
          </cell>
          <cell r="BB874" t="str">
            <v>CONFORM</v>
          </cell>
          <cell r="BC874" t="str">
            <v>CONFORM</v>
          </cell>
          <cell r="BD874" t="str">
            <v>CONFORM</v>
          </cell>
          <cell r="BE874" t="str">
            <v>CONFORM</v>
          </cell>
          <cell r="BF874" t="str">
            <v>CONFORM</v>
          </cell>
        </row>
        <row r="875">
          <cell r="A875">
            <v>44215</v>
          </cell>
          <cell r="B875" t="str">
            <v>D2101074-3</v>
          </cell>
          <cell r="C875" t="str">
            <v>004/21</v>
          </cell>
          <cell r="D875">
            <v>2</v>
          </cell>
          <cell r="E875">
            <v>44216</v>
          </cell>
          <cell r="F875" t="str">
            <v>DC</v>
          </cell>
          <cell r="G875" t="str">
            <v>On Time</v>
          </cell>
          <cell r="H875">
            <v>20210119030</v>
          </cell>
          <cell r="I875">
            <v>44215</v>
          </cell>
          <cell r="J875" t="str">
            <v>COILPLUS</v>
          </cell>
          <cell r="K875" t="str">
            <v>D2101074</v>
          </cell>
          <cell r="L875">
            <v>3</v>
          </cell>
          <cell r="M875">
            <v>888039</v>
          </cell>
          <cell r="N875">
            <v>531162</v>
          </cell>
          <cell r="O875" t="str">
            <v xml:space="preserve">1.4401/1.4404 TP316/316L </v>
          </cell>
          <cell r="P875" t="str">
            <v>316L</v>
          </cell>
          <cell r="Q875">
            <v>3.1539999999999999</v>
          </cell>
          <cell r="R875">
            <v>3.1535000000000002</v>
          </cell>
          <cell r="S875">
            <v>3.5000000000000003E-2</v>
          </cell>
          <cell r="T875">
            <v>3.705E-2</v>
          </cell>
          <cell r="U875">
            <v>3.7249999999999998E-2</v>
          </cell>
          <cell r="V875">
            <v>3.7150000000000002E-2</v>
          </cell>
          <cell r="W875" t="str">
            <v>BRS</v>
          </cell>
          <cell r="X875">
            <v>4876</v>
          </cell>
          <cell r="Y875">
            <v>2</v>
          </cell>
          <cell r="Z875">
            <v>772.98668357641088</v>
          </cell>
          <cell r="AA875" t="str">
            <v>3.154X0.035-316L</v>
          </cell>
          <cell r="AB875" t="str">
            <v>WAAF008000089B300019</v>
          </cell>
          <cell r="AC875" t="str">
            <v>D2101074</v>
          </cell>
          <cell r="AD875">
            <v>531162</v>
          </cell>
          <cell r="AE875">
            <v>2.5999999999999999E-2</v>
          </cell>
          <cell r="AF875">
            <v>1.33</v>
          </cell>
          <cell r="AG875">
            <v>3.3000000000000002E-2</v>
          </cell>
          <cell r="AH875">
            <v>1E-3</v>
          </cell>
          <cell r="AI875">
            <v>0.28999999999999998</v>
          </cell>
          <cell r="AJ875">
            <v>18.100000000000001</v>
          </cell>
          <cell r="AK875">
            <v>8</v>
          </cell>
          <cell r="AL875">
            <v>6.4000000000000001E-2</v>
          </cell>
          <cell r="AM875">
            <v>0.39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0.54</v>
          </cell>
          <cell r="AS875">
            <v>0</v>
          </cell>
          <cell r="AT875">
            <v>287</v>
          </cell>
          <cell r="AU875">
            <v>0</v>
          </cell>
          <cell r="AV875">
            <v>645</v>
          </cell>
          <cell r="AW875">
            <v>55</v>
          </cell>
          <cell r="AX875">
            <v>82</v>
          </cell>
          <cell r="AY875">
            <v>156</v>
          </cell>
          <cell r="AZ875">
            <v>8.5000000000000006E-2</v>
          </cell>
          <cell r="BA875" t="str">
            <v>D2101074</v>
          </cell>
          <cell r="BB875" t="str">
            <v>CONFORM</v>
          </cell>
          <cell r="BC875" t="str">
            <v>CONFORM</v>
          </cell>
          <cell r="BD875" t="str">
            <v>CONFORM</v>
          </cell>
          <cell r="BE875" t="str">
            <v>CONFORM</v>
          </cell>
          <cell r="BF875" t="str">
            <v>CONFORM</v>
          </cell>
        </row>
        <row r="876">
          <cell r="A876">
            <v>44215</v>
          </cell>
          <cell r="B876" t="str">
            <v>D2101074-4</v>
          </cell>
          <cell r="C876" t="str">
            <v>004/21</v>
          </cell>
          <cell r="D876">
            <v>2</v>
          </cell>
          <cell r="E876">
            <v>44216</v>
          </cell>
          <cell r="F876" t="str">
            <v>DC</v>
          </cell>
          <cell r="G876" t="str">
            <v>On Time</v>
          </cell>
          <cell r="H876">
            <v>20210119030</v>
          </cell>
          <cell r="I876">
            <v>44215</v>
          </cell>
          <cell r="J876" t="str">
            <v>COILPLUS</v>
          </cell>
          <cell r="K876" t="str">
            <v>D2101074</v>
          </cell>
          <cell r="L876">
            <v>4</v>
          </cell>
          <cell r="M876">
            <v>888039</v>
          </cell>
          <cell r="N876">
            <v>531162</v>
          </cell>
          <cell r="O876" t="str">
            <v xml:space="preserve">1.4401/1.4404 TP316/316L </v>
          </cell>
          <cell r="P876" t="str">
            <v>316L</v>
          </cell>
          <cell r="Q876">
            <v>3.1539999999999999</v>
          </cell>
          <cell r="R876">
            <v>3.1545000000000001</v>
          </cell>
          <cell r="S876">
            <v>3.5000000000000003E-2</v>
          </cell>
          <cell r="T876">
            <v>3.7150000000000002E-2</v>
          </cell>
          <cell r="U876">
            <v>3.7249999999999998E-2</v>
          </cell>
          <cell r="V876">
            <v>3.7199999999999997E-2</v>
          </cell>
          <cell r="W876" t="str">
            <v>BRS</v>
          </cell>
          <cell r="X876">
            <v>2434</v>
          </cell>
          <cell r="Y876">
            <v>1</v>
          </cell>
          <cell r="Z876">
            <v>771.71845275840201</v>
          </cell>
          <cell r="AA876" t="str">
            <v>3.154X0.035-316L</v>
          </cell>
          <cell r="AB876" t="str">
            <v>WAAF008000089B300019</v>
          </cell>
          <cell r="AC876" t="str">
            <v>D2101074</v>
          </cell>
          <cell r="AD876">
            <v>531162</v>
          </cell>
          <cell r="AE876">
            <v>2.5999999999999999E-2</v>
          </cell>
          <cell r="AF876">
            <v>1.33</v>
          </cell>
          <cell r="AG876">
            <v>3.3000000000000002E-2</v>
          </cell>
          <cell r="AH876">
            <v>1E-3</v>
          </cell>
          <cell r="AI876">
            <v>0.28999999999999998</v>
          </cell>
          <cell r="AJ876">
            <v>18.100000000000001</v>
          </cell>
          <cell r="AK876">
            <v>8</v>
          </cell>
          <cell r="AL876">
            <v>6.4000000000000001E-2</v>
          </cell>
          <cell r="AM876">
            <v>0.39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0.54</v>
          </cell>
          <cell r="AS876">
            <v>0</v>
          </cell>
          <cell r="AT876">
            <v>287</v>
          </cell>
          <cell r="AU876">
            <v>0</v>
          </cell>
          <cell r="AV876">
            <v>645</v>
          </cell>
          <cell r="AW876">
            <v>55</v>
          </cell>
          <cell r="AX876">
            <v>82</v>
          </cell>
          <cell r="AY876">
            <v>156</v>
          </cell>
          <cell r="AZ876">
            <v>8.5000000000000006E-2</v>
          </cell>
          <cell r="BA876" t="str">
            <v>D2101074</v>
          </cell>
          <cell r="BB876" t="str">
            <v>CONFORM</v>
          </cell>
          <cell r="BC876" t="str">
            <v>CONFORM</v>
          </cell>
          <cell r="BD876" t="str">
            <v>CONFORM</v>
          </cell>
          <cell r="BE876" t="str">
            <v>CONFORM</v>
          </cell>
          <cell r="BF876" t="str">
            <v>CONFORM</v>
          </cell>
        </row>
        <row r="877">
          <cell r="A877">
            <v>44218</v>
          </cell>
          <cell r="B877" t="str">
            <v>D2101104-1</v>
          </cell>
          <cell r="C877" t="str">
            <v>005/21</v>
          </cell>
          <cell r="D877">
            <v>1</v>
          </cell>
          <cell r="E877">
            <v>44216</v>
          </cell>
          <cell r="F877" t="str">
            <v>DC</v>
          </cell>
          <cell r="G877" t="str">
            <v>On Time</v>
          </cell>
          <cell r="H877">
            <v>20210122006</v>
          </cell>
          <cell r="I877">
            <v>44218</v>
          </cell>
          <cell r="J877" t="str">
            <v>COILPLUS</v>
          </cell>
          <cell r="K877" t="str">
            <v>D2101104</v>
          </cell>
          <cell r="L877">
            <v>1</v>
          </cell>
          <cell r="M877">
            <v>3284368</v>
          </cell>
          <cell r="N877">
            <v>529843</v>
          </cell>
          <cell r="O877" t="str">
            <v xml:space="preserve">1.4401/1.4404 TP316/316L </v>
          </cell>
          <cell r="P877" t="str">
            <v>316L</v>
          </cell>
          <cell r="Q877">
            <v>2.2759999999999998</v>
          </cell>
          <cell r="R877">
            <v>2.2759999999999998</v>
          </cell>
          <cell r="S877">
            <v>6.3E-2</v>
          </cell>
          <cell r="T877">
            <v>6.4449999999999993E-2</v>
          </cell>
          <cell r="U877">
            <v>6.4460000000000003E-2</v>
          </cell>
          <cell r="V877">
            <v>6.4454999999999998E-2</v>
          </cell>
          <cell r="W877" t="str">
            <v>BRS</v>
          </cell>
          <cell r="X877">
            <v>1094</v>
          </cell>
          <cell r="Y877">
            <v>1</v>
          </cell>
          <cell r="Z877">
            <v>480.66783831282959</v>
          </cell>
          <cell r="AA877" t="str">
            <v>2.276X0.063-316L</v>
          </cell>
          <cell r="AB877" t="str">
            <v>WAAF005780160B300013</v>
          </cell>
          <cell r="AC877" t="str">
            <v>D2101104</v>
          </cell>
          <cell r="AD877">
            <v>529843</v>
          </cell>
          <cell r="AE877">
            <v>2.8000000000000001E-2</v>
          </cell>
          <cell r="AF877">
            <v>1.45</v>
          </cell>
          <cell r="AG877">
            <v>0.03</v>
          </cell>
          <cell r="AH877">
            <v>1E-3</v>
          </cell>
          <cell r="AI877">
            <v>0.43</v>
          </cell>
          <cell r="AJ877">
            <v>16.5</v>
          </cell>
          <cell r="AK877">
            <v>10.1</v>
          </cell>
          <cell r="AL877">
            <v>4.1000000000000002E-2</v>
          </cell>
          <cell r="AM877">
            <v>2.04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0.42</v>
          </cell>
          <cell r="AS877">
            <v>0</v>
          </cell>
          <cell r="AT877">
            <v>304</v>
          </cell>
          <cell r="AU877">
            <v>0</v>
          </cell>
          <cell r="AV877">
            <v>636</v>
          </cell>
          <cell r="AW877">
            <v>54</v>
          </cell>
          <cell r="AX877">
            <v>81</v>
          </cell>
          <cell r="AY877">
            <v>153</v>
          </cell>
          <cell r="AZ877">
            <v>8.5000000000000006E-2</v>
          </cell>
          <cell r="BA877" t="str">
            <v>D2101104</v>
          </cell>
          <cell r="BB877" t="str">
            <v>CONFORM</v>
          </cell>
          <cell r="BC877" t="str">
            <v>CONFORM</v>
          </cell>
          <cell r="BD877" t="str">
            <v>CONFORM</v>
          </cell>
          <cell r="BE877" t="str">
            <v>CONFORM</v>
          </cell>
          <cell r="BF877" t="str">
            <v>CONFORM</v>
          </cell>
        </row>
        <row r="878">
          <cell r="A878">
            <v>44218</v>
          </cell>
          <cell r="B878" t="str">
            <v>D2101104-2</v>
          </cell>
          <cell r="C878" t="str">
            <v>005/21</v>
          </cell>
          <cell r="D878">
            <v>1</v>
          </cell>
          <cell r="E878">
            <v>44216</v>
          </cell>
          <cell r="F878" t="str">
            <v>DC</v>
          </cell>
          <cell r="G878" t="str">
            <v>On Time</v>
          </cell>
          <cell r="H878">
            <v>20210122006</v>
          </cell>
          <cell r="I878">
            <v>44218</v>
          </cell>
          <cell r="J878" t="str">
            <v>COILPLUS</v>
          </cell>
          <cell r="K878" t="str">
            <v>D2101104</v>
          </cell>
          <cell r="L878">
            <v>2</v>
          </cell>
          <cell r="M878">
            <v>3284368</v>
          </cell>
          <cell r="N878">
            <v>529843</v>
          </cell>
          <cell r="O878" t="str">
            <v xml:space="preserve">1.4401/1.4404 TP316/316L </v>
          </cell>
          <cell r="P878" t="str">
            <v>316L</v>
          </cell>
          <cell r="Q878">
            <v>2.2759999999999998</v>
          </cell>
          <cell r="R878">
            <v>2.274</v>
          </cell>
          <cell r="S878">
            <v>6.3E-2</v>
          </cell>
          <cell r="T878">
            <v>6.515E-2</v>
          </cell>
          <cell r="U878">
            <v>6.4649999999999999E-2</v>
          </cell>
          <cell r="V878">
            <v>6.4899999999999999E-2</v>
          </cell>
          <cell r="W878" t="str">
            <v>BRS</v>
          </cell>
          <cell r="X878">
            <v>1090</v>
          </cell>
          <cell r="Y878">
            <v>1</v>
          </cell>
          <cell r="Z878">
            <v>478.91036906854134</v>
          </cell>
          <cell r="AA878" t="str">
            <v>2.276X0.063-316L</v>
          </cell>
          <cell r="AB878" t="str">
            <v>WAAF005780160B300013</v>
          </cell>
          <cell r="AC878" t="str">
            <v>D2101104</v>
          </cell>
          <cell r="AD878">
            <v>529843</v>
          </cell>
          <cell r="AE878">
            <v>2.8000000000000001E-2</v>
          </cell>
          <cell r="AF878">
            <v>1.45</v>
          </cell>
          <cell r="AG878">
            <v>0.03</v>
          </cell>
          <cell r="AH878">
            <v>1E-3</v>
          </cell>
          <cell r="AI878">
            <v>0.43</v>
          </cell>
          <cell r="AJ878">
            <v>16.5</v>
          </cell>
          <cell r="AK878">
            <v>10.1</v>
          </cell>
          <cell r="AL878">
            <v>4.1000000000000002E-2</v>
          </cell>
          <cell r="AM878">
            <v>2.04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0.42</v>
          </cell>
          <cell r="AS878">
            <v>0</v>
          </cell>
          <cell r="AT878">
            <v>304</v>
          </cell>
          <cell r="AU878">
            <v>0</v>
          </cell>
          <cell r="AV878">
            <v>636</v>
          </cell>
          <cell r="AW878">
            <v>54</v>
          </cell>
          <cell r="AX878">
            <v>81</v>
          </cell>
          <cell r="AY878">
            <v>153</v>
          </cell>
          <cell r="AZ878">
            <v>8.5000000000000006E-2</v>
          </cell>
          <cell r="BA878" t="str">
            <v>D2101104</v>
          </cell>
          <cell r="BB878" t="str">
            <v>CONFORM</v>
          </cell>
          <cell r="BC878" t="str">
            <v>CONFORM</v>
          </cell>
          <cell r="BD878" t="str">
            <v>CONFORM</v>
          </cell>
          <cell r="BE878" t="str">
            <v>CONFORM</v>
          </cell>
          <cell r="BF878" t="str">
            <v>CONFORM</v>
          </cell>
        </row>
        <row r="879">
          <cell r="A879">
            <v>44218</v>
          </cell>
          <cell r="B879" t="str">
            <v>D2101105-1</v>
          </cell>
          <cell r="C879" t="str">
            <v>005/21</v>
          </cell>
          <cell r="D879">
            <v>2</v>
          </cell>
          <cell r="E879">
            <v>44216</v>
          </cell>
          <cell r="F879" t="str">
            <v>DC</v>
          </cell>
          <cell r="G879" t="str">
            <v>On Time</v>
          </cell>
          <cell r="H879">
            <v>20210122006</v>
          </cell>
          <cell r="I879">
            <v>44218</v>
          </cell>
          <cell r="J879" t="str">
            <v>COILPLUS</v>
          </cell>
          <cell r="K879" t="str">
            <v>D2101105</v>
          </cell>
          <cell r="L879">
            <v>1</v>
          </cell>
          <cell r="M879">
            <v>3284368</v>
          </cell>
          <cell r="N879">
            <v>529843</v>
          </cell>
          <cell r="O879" t="str">
            <v xml:space="preserve">1.4401/1.4404 TP316/316L </v>
          </cell>
          <cell r="P879" t="str">
            <v>316L</v>
          </cell>
          <cell r="Q879">
            <v>3.0670000000000002</v>
          </cell>
          <cell r="R879">
            <v>3.0659999999999998</v>
          </cell>
          <cell r="S879">
            <v>6.3E-2</v>
          </cell>
          <cell r="T879">
            <v>6.4449999999999993E-2</v>
          </cell>
          <cell r="U879">
            <v>6.7699999999999996E-2</v>
          </cell>
          <cell r="V879">
            <v>6.6074999999999995E-2</v>
          </cell>
          <cell r="W879" t="str">
            <v>BRS</v>
          </cell>
          <cell r="X879">
            <v>4464</v>
          </cell>
          <cell r="Y879">
            <v>3</v>
          </cell>
          <cell r="Z879">
            <v>485.16465601565045</v>
          </cell>
          <cell r="AA879" t="str">
            <v>3.067X0.063-316L</v>
          </cell>
          <cell r="AB879" t="str">
            <v>WAAF007790160B300090</v>
          </cell>
          <cell r="AC879" t="str">
            <v>D2101105</v>
          </cell>
          <cell r="AD879">
            <v>529843</v>
          </cell>
          <cell r="AE879">
            <v>2.8000000000000001E-2</v>
          </cell>
          <cell r="AF879">
            <v>1.45</v>
          </cell>
          <cell r="AG879">
            <v>0.03</v>
          </cell>
          <cell r="AH879">
            <v>1E-3</v>
          </cell>
          <cell r="AI879">
            <v>0.43</v>
          </cell>
          <cell r="AJ879">
            <v>16.5</v>
          </cell>
          <cell r="AK879">
            <v>10.1</v>
          </cell>
          <cell r="AL879">
            <v>4.1000000000000002E-2</v>
          </cell>
          <cell r="AM879">
            <v>2.04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0.42</v>
          </cell>
          <cell r="AS879">
            <v>0</v>
          </cell>
          <cell r="AT879">
            <v>304</v>
          </cell>
          <cell r="AU879">
            <v>0</v>
          </cell>
          <cell r="AV879">
            <v>636</v>
          </cell>
          <cell r="AW879">
            <v>54</v>
          </cell>
          <cell r="AX879">
            <v>81</v>
          </cell>
          <cell r="AY879">
            <v>153</v>
          </cell>
          <cell r="AZ879">
            <v>8.5000000000000006E-2</v>
          </cell>
          <cell r="BA879" t="str">
            <v>D2101105</v>
          </cell>
          <cell r="BB879" t="str">
            <v>CONFORM</v>
          </cell>
          <cell r="BC879" t="str">
            <v>CONFORM</v>
          </cell>
          <cell r="BD879" t="str">
            <v>CONFORM</v>
          </cell>
          <cell r="BE879" t="str">
            <v>CONFORM</v>
          </cell>
          <cell r="BF879" t="str">
            <v>CONFORM</v>
          </cell>
        </row>
        <row r="880">
          <cell r="A880">
            <v>44218</v>
          </cell>
          <cell r="B880" t="str">
            <v>D2101105-2</v>
          </cell>
          <cell r="C880" t="str">
            <v>005/21</v>
          </cell>
          <cell r="D880">
            <v>2</v>
          </cell>
          <cell r="E880">
            <v>44216</v>
          </cell>
          <cell r="F880" t="str">
            <v>DC</v>
          </cell>
          <cell r="G880" t="str">
            <v>On Time</v>
          </cell>
          <cell r="H880">
            <v>20210122006</v>
          </cell>
          <cell r="I880">
            <v>44218</v>
          </cell>
          <cell r="J880" t="str">
            <v>COILPLUS</v>
          </cell>
          <cell r="K880" t="str">
            <v>D2101105</v>
          </cell>
          <cell r="L880">
            <v>2</v>
          </cell>
          <cell r="M880">
            <v>3284368</v>
          </cell>
          <cell r="N880">
            <v>529843</v>
          </cell>
          <cell r="O880" t="str">
            <v xml:space="preserve">1.4401/1.4404 TP316/316L </v>
          </cell>
          <cell r="P880" t="str">
            <v>316L</v>
          </cell>
          <cell r="Q880">
            <v>3.0670000000000002</v>
          </cell>
          <cell r="R880">
            <v>3.0659999999999998</v>
          </cell>
          <cell r="S880">
            <v>6.3E-2</v>
          </cell>
          <cell r="T880">
            <v>6.4399999999999999E-2</v>
          </cell>
          <cell r="U880">
            <v>6.8650000000000003E-2</v>
          </cell>
          <cell r="V880">
            <v>6.6525000000000001E-2</v>
          </cell>
          <cell r="W880" t="str">
            <v>BRS</v>
          </cell>
          <cell r="X880">
            <v>4482</v>
          </cell>
          <cell r="Y880">
            <v>3</v>
          </cell>
          <cell r="Z880">
            <v>487.12096511248774</v>
          </cell>
          <cell r="AA880" t="str">
            <v>3.067X0.063-316L</v>
          </cell>
          <cell r="AB880" t="str">
            <v>WAAF007790160B300090</v>
          </cell>
          <cell r="AC880" t="str">
            <v>D2101105</v>
          </cell>
          <cell r="AD880">
            <v>529843</v>
          </cell>
          <cell r="AE880">
            <v>2.8000000000000001E-2</v>
          </cell>
          <cell r="AF880">
            <v>1.45</v>
          </cell>
          <cell r="AG880">
            <v>0.03</v>
          </cell>
          <cell r="AH880">
            <v>1E-3</v>
          </cell>
          <cell r="AI880">
            <v>0.43</v>
          </cell>
          <cell r="AJ880">
            <v>16.5</v>
          </cell>
          <cell r="AK880">
            <v>10.1</v>
          </cell>
          <cell r="AL880">
            <v>4.1000000000000002E-2</v>
          </cell>
          <cell r="AM880">
            <v>2.04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0.42</v>
          </cell>
          <cell r="AS880">
            <v>0</v>
          </cell>
          <cell r="AT880">
            <v>304</v>
          </cell>
          <cell r="AU880">
            <v>0</v>
          </cell>
          <cell r="AV880">
            <v>636</v>
          </cell>
          <cell r="AW880">
            <v>54</v>
          </cell>
          <cell r="AX880">
            <v>81</v>
          </cell>
          <cell r="AY880">
            <v>153</v>
          </cell>
          <cell r="AZ880">
            <v>8.5000000000000006E-2</v>
          </cell>
          <cell r="BA880" t="str">
            <v>D2101105</v>
          </cell>
          <cell r="BB880" t="str">
            <v>CONFORM</v>
          </cell>
          <cell r="BC880" t="str">
            <v>CONFORM</v>
          </cell>
          <cell r="BD880" t="str">
            <v>CONFORM</v>
          </cell>
          <cell r="BE880" t="str">
            <v>CONFORM</v>
          </cell>
          <cell r="BF880" t="str">
            <v>CONFORM</v>
          </cell>
        </row>
        <row r="881">
          <cell r="A881">
            <v>44218</v>
          </cell>
          <cell r="B881" t="str">
            <v>D2101105-3</v>
          </cell>
          <cell r="C881" t="str">
            <v>005/21</v>
          </cell>
          <cell r="D881">
            <v>2</v>
          </cell>
          <cell r="E881">
            <v>44216</v>
          </cell>
          <cell r="F881" t="str">
            <v>DC</v>
          </cell>
          <cell r="G881" t="str">
            <v>On Time</v>
          </cell>
          <cell r="H881">
            <v>20210122006</v>
          </cell>
          <cell r="I881">
            <v>44218</v>
          </cell>
          <cell r="J881" t="str">
            <v>COILPLUS</v>
          </cell>
          <cell r="K881" t="str">
            <v>D2101105</v>
          </cell>
          <cell r="L881">
            <v>3</v>
          </cell>
          <cell r="M881">
            <v>3284368</v>
          </cell>
          <cell r="N881">
            <v>529843</v>
          </cell>
          <cell r="O881" t="str">
            <v xml:space="preserve">1.4401/1.4404 TP316/316L </v>
          </cell>
          <cell r="P881" t="str">
            <v>316L</v>
          </cell>
          <cell r="Q881">
            <v>3.0670000000000002</v>
          </cell>
          <cell r="R881">
            <v>3.0670000000000002</v>
          </cell>
          <cell r="S881">
            <v>6.3E-2</v>
          </cell>
          <cell r="T881">
            <v>6.4299999999999996E-2</v>
          </cell>
          <cell r="U881">
            <v>6.565E-2</v>
          </cell>
          <cell r="V881">
            <v>6.4975000000000005E-2</v>
          </cell>
          <cell r="W881" t="str">
            <v>BRS</v>
          </cell>
          <cell r="X881">
            <v>4494</v>
          </cell>
          <cell r="Y881">
            <v>3</v>
          </cell>
          <cell r="Z881">
            <v>488.42517117704597</v>
          </cell>
          <cell r="AA881" t="str">
            <v>3.067X0.063-316L</v>
          </cell>
          <cell r="AB881" t="str">
            <v>WAAF007790160B300090</v>
          </cell>
          <cell r="AC881" t="str">
            <v>D2101105</v>
          </cell>
          <cell r="AD881">
            <v>529843</v>
          </cell>
          <cell r="AE881">
            <v>2.8000000000000001E-2</v>
          </cell>
          <cell r="AF881">
            <v>1.45</v>
          </cell>
          <cell r="AG881">
            <v>0.03</v>
          </cell>
          <cell r="AH881">
            <v>1E-3</v>
          </cell>
          <cell r="AI881">
            <v>0.43</v>
          </cell>
          <cell r="AJ881">
            <v>16.5</v>
          </cell>
          <cell r="AK881">
            <v>10.1</v>
          </cell>
          <cell r="AL881">
            <v>4.1000000000000002E-2</v>
          </cell>
          <cell r="AM881">
            <v>2.04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0.42</v>
          </cell>
          <cell r="AS881">
            <v>0</v>
          </cell>
          <cell r="AT881">
            <v>304</v>
          </cell>
          <cell r="AU881">
            <v>0</v>
          </cell>
          <cell r="AV881">
            <v>636</v>
          </cell>
          <cell r="AW881">
            <v>54</v>
          </cell>
          <cell r="AX881">
            <v>81</v>
          </cell>
          <cell r="AY881">
            <v>153</v>
          </cell>
          <cell r="AZ881">
            <v>8.5000000000000006E-2</v>
          </cell>
          <cell r="BA881" t="str">
            <v>D2101105</v>
          </cell>
          <cell r="BB881" t="str">
            <v>CONFORM</v>
          </cell>
          <cell r="BC881" t="str">
            <v>CONFORM</v>
          </cell>
          <cell r="BD881" t="str">
            <v>CONFORM</v>
          </cell>
          <cell r="BE881" t="str">
            <v>CONFORM</v>
          </cell>
          <cell r="BF881" t="str">
            <v>CONFORM</v>
          </cell>
        </row>
        <row r="882">
          <cell r="A882">
            <v>44218</v>
          </cell>
          <cell r="B882" t="str">
            <v>D2101105-4</v>
          </cell>
          <cell r="C882" t="str">
            <v>005/21</v>
          </cell>
          <cell r="D882">
            <v>2</v>
          </cell>
          <cell r="E882">
            <v>44216</v>
          </cell>
          <cell r="F882" t="str">
            <v>DC</v>
          </cell>
          <cell r="G882" t="str">
            <v>On Time</v>
          </cell>
          <cell r="H882">
            <v>20210122006</v>
          </cell>
          <cell r="I882">
            <v>44218</v>
          </cell>
          <cell r="J882" t="str">
            <v>COILPLUS</v>
          </cell>
          <cell r="K882" t="str">
            <v>D2101105</v>
          </cell>
          <cell r="L882">
            <v>4</v>
          </cell>
          <cell r="M882">
            <v>3284368</v>
          </cell>
          <cell r="N882">
            <v>529843</v>
          </cell>
          <cell r="O882" t="str">
            <v xml:space="preserve">1.4401/1.4404 TP316/316L </v>
          </cell>
          <cell r="P882" t="str">
            <v>316L</v>
          </cell>
          <cell r="Q882">
            <v>3.0670000000000002</v>
          </cell>
          <cell r="R882">
            <v>3.0649999999999999</v>
          </cell>
          <cell r="S882">
            <v>6.3E-2</v>
          </cell>
          <cell r="T882">
            <v>6.4649999999999999E-2</v>
          </cell>
          <cell r="U882">
            <v>6.5350000000000005E-2</v>
          </cell>
          <cell r="V882">
            <v>6.5000000000000002E-2</v>
          </cell>
          <cell r="W882" t="str">
            <v>BRS</v>
          </cell>
          <cell r="X882">
            <v>4496</v>
          </cell>
          <cell r="Y882">
            <v>3</v>
          </cell>
          <cell r="Z882">
            <v>488.64253885447232</v>
          </cell>
          <cell r="AA882" t="str">
            <v>3.067X0.063-316L</v>
          </cell>
          <cell r="AB882" t="str">
            <v>WAAF007790160B300090</v>
          </cell>
          <cell r="AC882" t="str">
            <v>D2101105</v>
          </cell>
          <cell r="AD882">
            <v>529843</v>
          </cell>
          <cell r="AE882">
            <v>2.8000000000000001E-2</v>
          </cell>
          <cell r="AF882">
            <v>1.45</v>
          </cell>
          <cell r="AG882">
            <v>0.03</v>
          </cell>
          <cell r="AH882">
            <v>1E-3</v>
          </cell>
          <cell r="AI882">
            <v>0.43</v>
          </cell>
          <cell r="AJ882">
            <v>16.5</v>
          </cell>
          <cell r="AK882">
            <v>10.1</v>
          </cell>
          <cell r="AL882">
            <v>4.1000000000000002E-2</v>
          </cell>
          <cell r="AM882">
            <v>2.04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0.42</v>
          </cell>
          <cell r="AS882">
            <v>0</v>
          </cell>
          <cell r="AT882">
            <v>304</v>
          </cell>
          <cell r="AU882">
            <v>0</v>
          </cell>
          <cell r="AV882">
            <v>636</v>
          </cell>
          <cell r="AW882">
            <v>54</v>
          </cell>
          <cell r="AX882">
            <v>81</v>
          </cell>
          <cell r="AY882">
            <v>153</v>
          </cell>
          <cell r="AZ882">
            <v>8.5000000000000006E-2</v>
          </cell>
          <cell r="BA882" t="str">
            <v>D2101105</v>
          </cell>
          <cell r="BB882" t="str">
            <v>CONFORM</v>
          </cell>
          <cell r="BC882" t="str">
            <v>CONFORM</v>
          </cell>
          <cell r="BD882" t="str">
            <v>CONFORM</v>
          </cell>
          <cell r="BE882" t="str">
            <v>CONFORM</v>
          </cell>
          <cell r="BF882" t="str">
            <v>CONFORM</v>
          </cell>
        </row>
        <row r="883">
          <cell r="A883">
            <v>44218</v>
          </cell>
          <cell r="B883" t="str">
            <v>D2101105-5</v>
          </cell>
          <cell r="C883" t="str">
            <v>005/21</v>
          </cell>
          <cell r="D883">
            <v>2</v>
          </cell>
          <cell r="E883">
            <v>44216</v>
          </cell>
          <cell r="F883" t="str">
            <v>DC</v>
          </cell>
          <cell r="G883" t="str">
            <v>On Time</v>
          </cell>
          <cell r="H883">
            <v>20210122006</v>
          </cell>
          <cell r="I883">
            <v>44218</v>
          </cell>
          <cell r="J883" t="str">
            <v>COILPLUS</v>
          </cell>
          <cell r="K883" t="str">
            <v>D2101105</v>
          </cell>
          <cell r="L883">
            <v>5</v>
          </cell>
          <cell r="M883">
            <v>3284368</v>
          </cell>
          <cell r="N883">
            <v>529843</v>
          </cell>
          <cell r="O883" t="str">
            <v xml:space="preserve">1.4401/1.4404 TP316/316L </v>
          </cell>
          <cell r="P883" t="str">
            <v>316L</v>
          </cell>
          <cell r="Q883">
            <v>3.0670000000000002</v>
          </cell>
          <cell r="R883">
            <v>3.0649999999999999</v>
          </cell>
          <cell r="S883">
            <v>6.3E-2</v>
          </cell>
          <cell r="T883">
            <v>6.3799999999999996E-2</v>
          </cell>
          <cell r="U883">
            <v>6.6199999999999995E-2</v>
          </cell>
          <cell r="V883">
            <v>6.5000000000000002E-2</v>
          </cell>
          <cell r="W883" t="str">
            <v>BRS</v>
          </cell>
          <cell r="X883">
            <v>2982</v>
          </cell>
          <cell r="Y883">
            <v>2</v>
          </cell>
          <cell r="Z883">
            <v>486.14281056406912</v>
          </cell>
          <cell r="AA883" t="str">
            <v>3.067X0.063-316L</v>
          </cell>
          <cell r="AB883" t="str">
            <v>WAAF007790160B300090</v>
          </cell>
          <cell r="AC883" t="str">
            <v>D2101105</v>
          </cell>
          <cell r="AD883">
            <v>529843</v>
          </cell>
          <cell r="AE883">
            <v>2.8000000000000001E-2</v>
          </cell>
          <cell r="AF883">
            <v>1.45</v>
          </cell>
          <cell r="AG883">
            <v>0.03</v>
          </cell>
          <cell r="AH883">
            <v>1E-3</v>
          </cell>
          <cell r="AI883">
            <v>0.43</v>
          </cell>
          <cell r="AJ883">
            <v>16.5</v>
          </cell>
          <cell r="AK883">
            <v>10.1</v>
          </cell>
          <cell r="AL883">
            <v>4.1000000000000002E-2</v>
          </cell>
          <cell r="AM883">
            <v>2.04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0.42</v>
          </cell>
          <cell r="AS883">
            <v>0</v>
          </cell>
          <cell r="AT883">
            <v>304</v>
          </cell>
          <cell r="AU883">
            <v>0</v>
          </cell>
          <cell r="AV883">
            <v>636</v>
          </cell>
          <cell r="AW883">
            <v>54</v>
          </cell>
          <cell r="AX883">
            <v>81</v>
          </cell>
          <cell r="AY883">
            <v>153</v>
          </cell>
          <cell r="AZ883">
            <v>8.5000000000000006E-2</v>
          </cell>
          <cell r="BA883" t="str">
            <v>D2101105</v>
          </cell>
          <cell r="BB883" t="str">
            <v>CONFORM</v>
          </cell>
          <cell r="BC883" t="str">
            <v>CONFORM</v>
          </cell>
          <cell r="BD883" t="str">
            <v>CONFORM</v>
          </cell>
          <cell r="BE883" t="str">
            <v>CONFORM</v>
          </cell>
          <cell r="BF883" t="str">
            <v>CONFORM</v>
          </cell>
        </row>
        <row r="884">
          <cell r="A884">
            <v>44221</v>
          </cell>
          <cell r="B884" t="str">
            <v>D2101121-1</v>
          </cell>
          <cell r="C884" t="str">
            <v>095/20</v>
          </cell>
          <cell r="D884">
            <v>1</v>
          </cell>
          <cell r="E884">
            <v>44221</v>
          </cell>
          <cell r="F884" t="str">
            <v>DC</v>
          </cell>
          <cell r="G884" t="str">
            <v>On Time</v>
          </cell>
          <cell r="H884" t="str">
            <v>0008531879</v>
          </cell>
          <cell r="I884">
            <v>44217</v>
          </cell>
          <cell r="J884" t="str">
            <v>OUTO</v>
          </cell>
          <cell r="K884" t="str">
            <v>D2101121</v>
          </cell>
          <cell r="L884">
            <v>1</v>
          </cell>
          <cell r="M884">
            <v>891702</v>
          </cell>
          <cell r="N884">
            <v>531613</v>
          </cell>
          <cell r="O884" t="str">
            <v xml:space="preserve">1.4306 TP304L </v>
          </cell>
          <cell r="P884" t="str">
            <v>304L</v>
          </cell>
          <cell r="Q884">
            <v>3.1539999999999999</v>
          </cell>
          <cell r="R884">
            <v>3.1579999999999999</v>
          </cell>
          <cell r="S884">
            <v>3.5000000000000003E-2</v>
          </cell>
          <cell r="T884">
            <v>3.5099999999999999E-2</v>
          </cell>
          <cell r="U884">
            <v>3.4750000000000003E-2</v>
          </cell>
          <cell r="V884">
            <v>3.4924999999999998E-2</v>
          </cell>
          <cell r="W884" t="str">
            <v>BRS</v>
          </cell>
          <cell r="X884">
            <v>2169</v>
          </cell>
          <cell r="Y884">
            <v>1</v>
          </cell>
          <cell r="Z884">
            <v>687.69816106531391</v>
          </cell>
          <cell r="AA884" t="str">
            <v>3.154X0.035-304L</v>
          </cell>
          <cell r="AB884" t="str">
            <v>WAAC008010090B300097</v>
          </cell>
          <cell r="AC884" t="str">
            <v>D2101121</v>
          </cell>
          <cell r="AD884">
            <v>531613</v>
          </cell>
          <cell r="AE884">
            <v>2.5000000000000001E-2</v>
          </cell>
          <cell r="AF884">
            <v>1.28</v>
          </cell>
          <cell r="AG884">
            <v>3.1E-2</v>
          </cell>
          <cell r="AH884">
            <v>2E-3</v>
          </cell>
          <cell r="AI884">
            <v>0.36</v>
          </cell>
          <cell r="AJ884">
            <v>18.2</v>
          </cell>
          <cell r="AK884">
            <v>8.1</v>
          </cell>
          <cell r="AL884">
            <v>7.1999999999999995E-2</v>
          </cell>
          <cell r="AM884">
            <v>0.37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0.52</v>
          </cell>
          <cell r="AS884">
            <v>0</v>
          </cell>
          <cell r="AT884">
            <v>288</v>
          </cell>
          <cell r="AU884">
            <v>0</v>
          </cell>
          <cell r="AV884">
            <v>631</v>
          </cell>
          <cell r="AW884">
            <v>53</v>
          </cell>
          <cell r="AX884">
            <v>81</v>
          </cell>
          <cell r="AY884">
            <v>153</v>
          </cell>
          <cell r="AZ884">
            <v>1.2891999999999999</v>
          </cell>
          <cell r="BA884" t="str">
            <v>D2101121</v>
          </cell>
          <cell r="BB884" t="str">
            <v>CONFORM</v>
          </cell>
          <cell r="BC884" t="str">
            <v>CONFORM</v>
          </cell>
          <cell r="BD884" t="str">
            <v>CONFORM</v>
          </cell>
          <cell r="BE884" t="str">
            <v>CONFORM</v>
          </cell>
          <cell r="BF884" t="str">
            <v>CONFORM</v>
          </cell>
        </row>
        <row r="885">
          <cell r="A885">
            <v>44221</v>
          </cell>
          <cell r="B885" t="str">
            <v>D2101121-2</v>
          </cell>
          <cell r="C885" t="str">
            <v>095/20</v>
          </cell>
          <cell r="D885">
            <v>1</v>
          </cell>
          <cell r="E885">
            <v>44221</v>
          </cell>
          <cell r="F885" t="str">
            <v>DC</v>
          </cell>
          <cell r="G885" t="str">
            <v>On Time</v>
          </cell>
          <cell r="H885" t="str">
            <v>0008531879</v>
          </cell>
          <cell r="I885">
            <v>44217</v>
          </cell>
          <cell r="J885" t="str">
            <v>OUTO</v>
          </cell>
          <cell r="K885" t="str">
            <v>D2101121</v>
          </cell>
          <cell r="L885">
            <v>2</v>
          </cell>
          <cell r="M885">
            <v>891702</v>
          </cell>
          <cell r="N885">
            <v>531613</v>
          </cell>
          <cell r="O885" t="str">
            <v xml:space="preserve">1.4306 TP304L </v>
          </cell>
          <cell r="P885" t="str">
            <v>304L</v>
          </cell>
          <cell r="Q885">
            <v>3.1539999999999999</v>
          </cell>
          <cell r="R885">
            <v>3.1585000000000001</v>
          </cell>
          <cell r="S885">
            <v>3.5000000000000003E-2</v>
          </cell>
          <cell r="T885">
            <v>3.5900000000000001E-2</v>
          </cell>
          <cell r="U885">
            <v>3.585E-2</v>
          </cell>
          <cell r="V885">
            <v>3.5875000000000004E-2</v>
          </cell>
          <cell r="W885" t="str">
            <v>BRS</v>
          </cell>
          <cell r="X885">
            <v>2187</v>
          </cell>
          <cell r="Y885">
            <v>1</v>
          </cell>
          <cell r="Z885">
            <v>693.4051997463539</v>
          </cell>
          <cell r="AA885" t="str">
            <v>3.154X0.035-304L</v>
          </cell>
          <cell r="AB885" t="str">
            <v>WAAC008010090B300097</v>
          </cell>
          <cell r="AC885" t="str">
            <v>D2101121</v>
          </cell>
          <cell r="AD885">
            <v>531613</v>
          </cell>
          <cell r="AE885">
            <v>2.5000000000000001E-2</v>
          </cell>
          <cell r="AF885">
            <v>1.28</v>
          </cell>
          <cell r="AG885">
            <v>3.1E-2</v>
          </cell>
          <cell r="AH885">
            <v>2E-3</v>
          </cell>
          <cell r="AI885">
            <v>0.36</v>
          </cell>
          <cell r="AJ885">
            <v>18.2</v>
          </cell>
          <cell r="AK885">
            <v>8.1</v>
          </cell>
          <cell r="AL885">
            <v>7.1999999999999995E-2</v>
          </cell>
          <cell r="AM885">
            <v>0.37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0.52</v>
          </cell>
          <cell r="AS885">
            <v>0</v>
          </cell>
          <cell r="AT885">
            <v>288</v>
          </cell>
          <cell r="AU885">
            <v>0</v>
          </cell>
          <cell r="AV885">
            <v>631</v>
          </cell>
          <cell r="AW885">
            <v>53</v>
          </cell>
          <cell r="AX885">
            <v>81</v>
          </cell>
          <cell r="AY885">
            <v>153</v>
          </cell>
          <cell r="AZ885">
            <v>1.2891999999999999</v>
          </cell>
          <cell r="BA885" t="str">
            <v>D2101121</v>
          </cell>
          <cell r="BB885" t="str">
            <v>CONFORM</v>
          </cell>
          <cell r="BC885" t="str">
            <v>CONFORM</v>
          </cell>
          <cell r="BD885" t="str">
            <v>CONFORM</v>
          </cell>
          <cell r="BE885" t="str">
            <v>CONFORM</v>
          </cell>
          <cell r="BF885" t="str">
            <v>CONFORM</v>
          </cell>
        </row>
        <row r="886">
          <cell r="A886">
            <v>44221</v>
          </cell>
          <cell r="B886" t="str">
            <v>D2101121-3</v>
          </cell>
          <cell r="C886" t="str">
            <v>095/20</v>
          </cell>
          <cell r="D886">
            <v>1</v>
          </cell>
          <cell r="E886">
            <v>44221</v>
          </cell>
          <cell r="F886" t="str">
            <v>DC</v>
          </cell>
          <cell r="G886" t="str">
            <v>On Time</v>
          </cell>
          <cell r="H886" t="str">
            <v>0008531879</v>
          </cell>
          <cell r="I886">
            <v>44217</v>
          </cell>
          <cell r="J886" t="str">
            <v>OUTO</v>
          </cell>
          <cell r="K886" t="str">
            <v>D2101121</v>
          </cell>
          <cell r="L886">
            <v>3</v>
          </cell>
          <cell r="M886">
            <v>891702</v>
          </cell>
          <cell r="N886">
            <v>531613</v>
          </cell>
          <cell r="O886" t="str">
            <v xml:space="preserve">1.4306 TP304L </v>
          </cell>
          <cell r="P886" t="str">
            <v>304L</v>
          </cell>
          <cell r="Q886">
            <v>3.1539999999999999</v>
          </cell>
          <cell r="R886">
            <v>3.1579999999999999</v>
          </cell>
          <cell r="S886">
            <v>3.5000000000000003E-2</v>
          </cell>
          <cell r="T886">
            <v>3.5299999999999998E-2</v>
          </cell>
          <cell r="U886">
            <v>3.49E-2</v>
          </cell>
          <cell r="V886">
            <v>3.5099999999999999E-2</v>
          </cell>
          <cell r="W886" t="str">
            <v>BRS</v>
          </cell>
          <cell r="X886">
            <v>2183</v>
          </cell>
          <cell r="Y886">
            <v>1</v>
          </cell>
          <cell r="Z886">
            <v>692.13696892834503</v>
          </cell>
          <cell r="AA886" t="str">
            <v>3.154X0.035-304L</v>
          </cell>
          <cell r="AB886" t="str">
            <v>WAAC008010090B300097</v>
          </cell>
          <cell r="AC886" t="str">
            <v>D2101121</v>
          </cell>
          <cell r="AD886">
            <v>531613</v>
          </cell>
          <cell r="AE886">
            <v>2.5000000000000001E-2</v>
          </cell>
          <cell r="AF886">
            <v>1.28</v>
          </cell>
          <cell r="AG886">
            <v>3.1E-2</v>
          </cell>
          <cell r="AH886">
            <v>2E-3</v>
          </cell>
          <cell r="AI886">
            <v>0.36</v>
          </cell>
          <cell r="AJ886">
            <v>18.2</v>
          </cell>
          <cell r="AK886">
            <v>8.1</v>
          </cell>
          <cell r="AL886">
            <v>7.1999999999999995E-2</v>
          </cell>
          <cell r="AM886">
            <v>0.37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0.52</v>
          </cell>
          <cell r="AS886">
            <v>0</v>
          </cell>
          <cell r="AT886">
            <v>288</v>
          </cell>
          <cell r="AU886">
            <v>0</v>
          </cell>
          <cell r="AV886">
            <v>631</v>
          </cell>
          <cell r="AW886">
            <v>53</v>
          </cell>
          <cell r="AX886">
            <v>81</v>
          </cell>
          <cell r="AY886">
            <v>153</v>
          </cell>
          <cell r="AZ886">
            <v>1.2891999999999999</v>
          </cell>
          <cell r="BA886" t="str">
            <v>D2101121</v>
          </cell>
          <cell r="BB886" t="str">
            <v>CONFORM</v>
          </cell>
          <cell r="BC886" t="str">
            <v>CONFORM</v>
          </cell>
          <cell r="BD886" t="str">
            <v>CONFORM</v>
          </cell>
          <cell r="BE886" t="str">
            <v>CONFORM</v>
          </cell>
          <cell r="BF886" t="str">
            <v>CONFORM</v>
          </cell>
        </row>
        <row r="887">
          <cell r="A887">
            <v>44221</v>
          </cell>
          <cell r="B887" t="str">
            <v>D2101121-4</v>
          </cell>
          <cell r="C887" t="str">
            <v>095/20</v>
          </cell>
          <cell r="D887">
            <v>1</v>
          </cell>
          <cell r="E887">
            <v>44221</v>
          </cell>
          <cell r="F887" t="str">
            <v>DC</v>
          </cell>
          <cell r="G887" t="str">
            <v>On Time</v>
          </cell>
          <cell r="H887" t="str">
            <v>0008531879</v>
          </cell>
          <cell r="I887">
            <v>44217</v>
          </cell>
          <cell r="J887" t="str">
            <v>OUTO</v>
          </cell>
          <cell r="K887" t="str">
            <v>D2101121</v>
          </cell>
          <cell r="L887">
            <v>4</v>
          </cell>
          <cell r="M887">
            <v>891702</v>
          </cell>
          <cell r="N887">
            <v>531613</v>
          </cell>
          <cell r="O887" t="str">
            <v xml:space="preserve">1.4306 TP304L </v>
          </cell>
          <cell r="P887" t="str">
            <v>304L</v>
          </cell>
          <cell r="Q887">
            <v>3.1539999999999999</v>
          </cell>
          <cell r="R887">
            <v>3.1520000000000001</v>
          </cell>
          <cell r="S887">
            <v>3.5000000000000003E-2</v>
          </cell>
          <cell r="T887">
            <v>3.5349999999999999E-2</v>
          </cell>
          <cell r="U887">
            <v>3.5200000000000002E-2</v>
          </cell>
          <cell r="V887">
            <v>3.5275000000000001E-2</v>
          </cell>
          <cell r="W887" t="str">
            <v>BRS</v>
          </cell>
          <cell r="X887">
            <v>2187</v>
          </cell>
          <cell r="Y887">
            <v>1</v>
          </cell>
          <cell r="Z887">
            <v>693.4051997463539</v>
          </cell>
          <cell r="AA887" t="str">
            <v>3.154X0.035-304L</v>
          </cell>
          <cell r="AB887" t="str">
            <v>WAAC008010090B300097</v>
          </cell>
          <cell r="AC887" t="str">
            <v>D2101121</v>
          </cell>
          <cell r="AD887">
            <v>531613</v>
          </cell>
          <cell r="AE887">
            <v>2.5000000000000001E-2</v>
          </cell>
          <cell r="AF887">
            <v>1.28</v>
          </cell>
          <cell r="AG887">
            <v>3.1E-2</v>
          </cell>
          <cell r="AH887">
            <v>2E-3</v>
          </cell>
          <cell r="AI887">
            <v>0.36</v>
          </cell>
          <cell r="AJ887">
            <v>18.2</v>
          </cell>
          <cell r="AK887">
            <v>8.1</v>
          </cell>
          <cell r="AL887">
            <v>7.1999999999999995E-2</v>
          </cell>
          <cell r="AM887">
            <v>0.37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0.52</v>
          </cell>
          <cell r="AS887">
            <v>0</v>
          </cell>
          <cell r="AT887">
            <v>288</v>
          </cell>
          <cell r="AU887">
            <v>0</v>
          </cell>
          <cell r="AV887">
            <v>631</v>
          </cell>
          <cell r="AW887">
            <v>53</v>
          </cell>
          <cell r="AX887">
            <v>81</v>
          </cell>
          <cell r="AY887">
            <v>153</v>
          </cell>
          <cell r="AZ887">
            <v>1.2891999999999999</v>
          </cell>
          <cell r="BA887" t="str">
            <v>D2101121</v>
          </cell>
          <cell r="BB887" t="str">
            <v>CONFORM</v>
          </cell>
          <cell r="BC887" t="str">
            <v>CONFORM</v>
          </cell>
          <cell r="BD887" t="str">
            <v>CONFORM</v>
          </cell>
          <cell r="BE887" t="str">
            <v>CONFORM</v>
          </cell>
          <cell r="BF887" t="str">
            <v>CONFORM</v>
          </cell>
        </row>
        <row r="888">
          <cell r="A888">
            <v>44221</v>
          </cell>
          <cell r="B888" t="str">
            <v>D2101121-5</v>
          </cell>
          <cell r="C888" t="str">
            <v>095/20</v>
          </cell>
          <cell r="D888">
            <v>1</v>
          </cell>
          <cell r="E888">
            <v>44221</v>
          </cell>
          <cell r="F888" t="str">
            <v>DC</v>
          </cell>
          <cell r="G888" t="str">
            <v>On Time</v>
          </cell>
          <cell r="H888" t="str">
            <v>0008531879</v>
          </cell>
          <cell r="I888">
            <v>44217</v>
          </cell>
          <cell r="J888" t="str">
            <v>OUTO</v>
          </cell>
          <cell r="K888" t="str">
            <v>D2101121</v>
          </cell>
          <cell r="L888">
            <v>5</v>
          </cell>
          <cell r="M888">
            <v>891702</v>
          </cell>
          <cell r="N888">
            <v>531613</v>
          </cell>
          <cell r="O888" t="str">
            <v xml:space="preserve">1.4306 TP304L </v>
          </cell>
          <cell r="P888" t="str">
            <v>304L</v>
          </cell>
          <cell r="Q888">
            <v>3.1539999999999999</v>
          </cell>
          <cell r="R888">
            <v>3.1589999999999998</v>
          </cell>
          <cell r="S888">
            <v>3.5000000000000003E-2</v>
          </cell>
          <cell r="T888">
            <v>3.4950000000000002E-2</v>
          </cell>
          <cell r="U888">
            <v>3.465E-2</v>
          </cell>
          <cell r="V888">
            <v>3.4799999999999998E-2</v>
          </cell>
          <cell r="W888" t="str">
            <v>BRS</v>
          </cell>
          <cell r="X888">
            <v>2183</v>
          </cell>
          <cell r="Y888">
            <v>1</v>
          </cell>
          <cell r="Z888">
            <v>692.13696892834503</v>
          </cell>
          <cell r="AA888" t="str">
            <v>3.154X0.035-304L</v>
          </cell>
          <cell r="AB888" t="str">
            <v>WAAC008010090B300097</v>
          </cell>
          <cell r="AC888" t="str">
            <v>D2101121</v>
          </cell>
          <cell r="AD888">
            <v>531613</v>
          </cell>
          <cell r="AE888">
            <v>2.5000000000000001E-2</v>
          </cell>
          <cell r="AF888">
            <v>1.28</v>
          </cell>
          <cell r="AG888">
            <v>3.1E-2</v>
          </cell>
          <cell r="AH888">
            <v>2E-3</v>
          </cell>
          <cell r="AI888">
            <v>0.36</v>
          </cell>
          <cell r="AJ888">
            <v>18.2</v>
          </cell>
          <cell r="AK888">
            <v>8.1</v>
          </cell>
          <cell r="AL888">
            <v>7.1999999999999995E-2</v>
          </cell>
          <cell r="AM888">
            <v>0.37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0.52</v>
          </cell>
          <cell r="AS888">
            <v>0</v>
          </cell>
          <cell r="AT888">
            <v>288</v>
          </cell>
          <cell r="AU888">
            <v>0</v>
          </cell>
          <cell r="AV888">
            <v>631</v>
          </cell>
          <cell r="AW888">
            <v>53</v>
          </cell>
          <cell r="AX888">
            <v>81</v>
          </cell>
          <cell r="AY888">
            <v>153</v>
          </cell>
          <cell r="AZ888">
            <v>1.2891999999999999</v>
          </cell>
          <cell r="BA888" t="str">
            <v>D2101121</v>
          </cell>
          <cell r="BB888" t="str">
            <v>CONFORM</v>
          </cell>
          <cell r="BC888" t="str">
            <v>CONFORM</v>
          </cell>
          <cell r="BD888" t="str">
            <v>CONFORM</v>
          </cell>
          <cell r="BE888" t="str">
            <v>CONFORM</v>
          </cell>
          <cell r="BF888" t="str">
            <v>CONFORM</v>
          </cell>
        </row>
        <row r="889">
          <cell r="A889">
            <v>44221</v>
          </cell>
          <cell r="B889" t="str">
            <v>D2101121-6</v>
          </cell>
          <cell r="C889" t="str">
            <v>095/20</v>
          </cell>
          <cell r="D889">
            <v>1</v>
          </cell>
          <cell r="E889">
            <v>44221</v>
          </cell>
          <cell r="F889" t="str">
            <v>DC</v>
          </cell>
          <cell r="G889" t="str">
            <v>On Time</v>
          </cell>
          <cell r="H889" t="str">
            <v>0008531879</v>
          </cell>
          <cell r="I889">
            <v>44217</v>
          </cell>
          <cell r="J889" t="str">
            <v>OUTO</v>
          </cell>
          <cell r="K889" t="str">
            <v>D2101121</v>
          </cell>
          <cell r="L889">
            <v>6</v>
          </cell>
          <cell r="M889">
            <v>891702</v>
          </cell>
          <cell r="N889">
            <v>531613</v>
          </cell>
          <cell r="O889" t="str">
            <v xml:space="preserve">1.4306 TP304L </v>
          </cell>
          <cell r="P889" t="str">
            <v>304L</v>
          </cell>
          <cell r="Q889">
            <v>3.1539999999999999</v>
          </cell>
          <cell r="R889">
            <v>3.1549999999999998</v>
          </cell>
          <cell r="S889">
            <v>3.5000000000000003E-2</v>
          </cell>
          <cell r="T889">
            <v>3.5000000000000003E-2</v>
          </cell>
          <cell r="U889">
            <v>3.4750000000000003E-2</v>
          </cell>
          <cell r="V889">
            <v>3.4875000000000003E-2</v>
          </cell>
          <cell r="W889" t="str">
            <v>BRS</v>
          </cell>
          <cell r="X889">
            <v>2178</v>
          </cell>
          <cell r="Y889">
            <v>1</v>
          </cell>
          <cell r="Z889">
            <v>690.55168040583385</v>
          </cell>
          <cell r="AA889" t="str">
            <v>3.154X0.035-304L</v>
          </cell>
          <cell r="AB889" t="str">
            <v>WAAC008010090B300097</v>
          </cell>
          <cell r="AC889" t="str">
            <v>D2101121</v>
          </cell>
          <cell r="AD889">
            <v>531613</v>
          </cell>
          <cell r="AE889">
            <v>2.5000000000000001E-2</v>
          </cell>
          <cell r="AF889">
            <v>1.28</v>
          </cell>
          <cell r="AG889">
            <v>3.1E-2</v>
          </cell>
          <cell r="AH889">
            <v>2E-3</v>
          </cell>
          <cell r="AI889">
            <v>0.36</v>
          </cell>
          <cell r="AJ889">
            <v>18.2</v>
          </cell>
          <cell r="AK889">
            <v>8.1</v>
          </cell>
          <cell r="AL889">
            <v>7.1999999999999995E-2</v>
          </cell>
          <cell r="AM889">
            <v>0.37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0.52</v>
          </cell>
          <cell r="AS889">
            <v>0</v>
          </cell>
          <cell r="AT889">
            <v>288</v>
          </cell>
          <cell r="AU889">
            <v>0</v>
          </cell>
          <cell r="AV889">
            <v>631</v>
          </cell>
          <cell r="AW889">
            <v>53</v>
          </cell>
          <cell r="AX889">
            <v>81</v>
          </cell>
          <cell r="AY889">
            <v>153</v>
          </cell>
          <cell r="AZ889">
            <v>1.2891999999999999</v>
          </cell>
          <cell r="BA889" t="str">
            <v>D2101121</v>
          </cell>
          <cell r="BB889" t="str">
            <v>CONFORM</v>
          </cell>
          <cell r="BC889" t="str">
            <v>CONFORM</v>
          </cell>
          <cell r="BD889" t="str">
            <v>CONFORM</v>
          </cell>
          <cell r="BE889" t="str">
            <v>CONFORM</v>
          </cell>
          <cell r="BF889" t="str">
            <v>CONFORM</v>
          </cell>
        </row>
        <row r="890">
          <cell r="A890">
            <v>44221</v>
          </cell>
          <cell r="B890" t="str">
            <v>D2101121-7</v>
          </cell>
          <cell r="C890" t="str">
            <v>095/20</v>
          </cell>
          <cell r="D890">
            <v>1</v>
          </cell>
          <cell r="E890">
            <v>44221</v>
          </cell>
          <cell r="F890" t="str">
            <v>DC</v>
          </cell>
          <cell r="G890" t="str">
            <v>On Time</v>
          </cell>
          <cell r="H890" t="str">
            <v>0008531879</v>
          </cell>
          <cell r="I890">
            <v>44217</v>
          </cell>
          <cell r="J890" t="str">
            <v>OUTO</v>
          </cell>
          <cell r="K890" t="str">
            <v>D2101121</v>
          </cell>
          <cell r="L890">
            <v>7</v>
          </cell>
          <cell r="M890">
            <v>891702</v>
          </cell>
          <cell r="N890">
            <v>531613</v>
          </cell>
          <cell r="O890" t="str">
            <v xml:space="preserve">1.4306 TP304L </v>
          </cell>
          <cell r="P890" t="str">
            <v>304L</v>
          </cell>
          <cell r="Q890">
            <v>3.1539999999999999</v>
          </cell>
          <cell r="R890">
            <v>3.1595</v>
          </cell>
          <cell r="S890">
            <v>3.5000000000000003E-2</v>
          </cell>
          <cell r="T890">
            <v>3.4750000000000003E-2</v>
          </cell>
          <cell r="U890">
            <v>3.5000000000000003E-2</v>
          </cell>
          <cell r="V890">
            <v>3.4875000000000003E-2</v>
          </cell>
          <cell r="W890" t="str">
            <v>BRS</v>
          </cell>
          <cell r="X890">
            <v>2169</v>
          </cell>
          <cell r="Y890">
            <v>1</v>
          </cell>
          <cell r="Z890">
            <v>687.69816106531391</v>
          </cell>
          <cell r="AA890" t="str">
            <v>3.154X0.035-304L</v>
          </cell>
          <cell r="AB890" t="str">
            <v>WAAC008010090B300097</v>
          </cell>
          <cell r="AC890" t="str">
            <v>D2101121</v>
          </cell>
          <cell r="AD890">
            <v>531613</v>
          </cell>
          <cell r="AE890">
            <v>2.5000000000000001E-2</v>
          </cell>
          <cell r="AF890">
            <v>1.28</v>
          </cell>
          <cell r="AG890">
            <v>3.1E-2</v>
          </cell>
          <cell r="AH890">
            <v>2E-3</v>
          </cell>
          <cell r="AI890">
            <v>0.36</v>
          </cell>
          <cell r="AJ890">
            <v>18.2</v>
          </cell>
          <cell r="AK890">
            <v>8.1</v>
          </cell>
          <cell r="AL890">
            <v>7.1999999999999995E-2</v>
          </cell>
          <cell r="AM890">
            <v>0.37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0.52</v>
          </cell>
          <cell r="AS890">
            <v>0</v>
          </cell>
          <cell r="AT890">
            <v>288</v>
          </cell>
          <cell r="AU890">
            <v>0</v>
          </cell>
          <cell r="AV890">
            <v>631</v>
          </cell>
          <cell r="AW890">
            <v>53</v>
          </cell>
          <cell r="AX890">
            <v>81</v>
          </cell>
          <cell r="AY890">
            <v>153</v>
          </cell>
          <cell r="AZ890">
            <v>1.2891999999999999</v>
          </cell>
          <cell r="BA890" t="str">
            <v>D2101121</v>
          </cell>
          <cell r="BB890" t="str">
            <v>CONFORM</v>
          </cell>
          <cell r="BC890" t="str">
            <v>CONFORM</v>
          </cell>
          <cell r="BD890" t="str">
            <v>CONFORM</v>
          </cell>
          <cell r="BE890" t="str">
            <v>CONFORM</v>
          </cell>
          <cell r="BF890" t="str">
            <v>CONFORM</v>
          </cell>
        </row>
        <row r="891">
          <cell r="A891">
            <v>44221</v>
          </cell>
          <cell r="B891" t="str">
            <v>D2101121-8</v>
          </cell>
          <cell r="C891" t="str">
            <v>095/20</v>
          </cell>
          <cell r="D891">
            <v>1</v>
          </cell>
          <cell r="E891">
            <v>44221</v>
          </cell>
          <cell r="F891" t="str">
            <v>DC</v>
          </cell>
          <cell r="G891" t="str">
            <v>On Time</v>
          </cell>
          <cell r="H891" t="str">
            <v>0008531879</v>
          </cell>
          <cell r="I891">
            <v>44217</v>
          </cell>
          <cell r="J891" t="str">
            <v>OUTO</v>
          </cell>
          <cell r="K891" t="str">
            <v>D2101121</v>
          </cell>
          <cell r="L891">
            <v>8</v>
          </cell>
          <cell r="M891">
            <v>891702</v>
          </cell>
          <cell r="N891">
            <v>531613</v>
          </cell>
          <cell r="O891" t="str">
            <v xml:space="preserve">1.4306 TP304L </v>
          </cell>
          <cell r="P891" t="str">
            <v>304L</v>
          </cell>
          <cell r="Q891">
            <v>3.1539999999999999</v>
          </cell>
          <cell r="R891">
            <v>3.1595</v>
          </cell>
          <cell r="S891">
            <v>3.5000000000000003E-2</v>
          </cell>
          <cell r="T891">
            <v>3.5000000000000003E-2</v>
          </cell>
          <cell r="U891">
            <v>3.5099999999999999E-2</v>
          </cell>
          <cell r="V891">
            <v>3.5049999999999998E-2</v>
          </cell>
          <cell r="W891" t="str">
            <v>BRS</v>
          </cell>
          <cell r="X891">
            <v>2174</v>
          </cell>
          <cell r="Y891">
            <v>1</v>
          </cell>
          <cell r="Z891">
            <v>689.28344958782498</v>
          </cell>
          <cell r="AA891" t="str">
            <v>3.154X0.035-304L</v>
          </cell>
          <cell r="AB891" t="str">
            <v>WAAC008010090B300097</v>
          </cell>
          <cell r="AC891" t="str">
            <v>D2101121</v>
          </cell>
          <cell r="AD891">
            <v>531613</v>
          </cell>
          <cell r="AE891">
            <v>2.5000000000000001E-2</v>
          </cell>
          <cell r="AF891">
            <v>1.28</v>
          </cell>
          <cell r="AG891">
            <v>3.1E-2</v>
          </cell>
          <cell r="AH891">
            <v>2E-3</v>
          </cell>
          <cell r="AI891">
            <v>0.36</v>
          </cell>
          <cell r="AJ891">
            <v>18.2</v>
          </cell>
          <cell r="AK891">
            <v>8.1</v>
          </cell>
          <cell r="AL891">
            <v>7.1999999999999995E-2</v>
          </cell>
          <cell r="AM891">
            <v>0.37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0.52</v>
          </cell>
          <cell r="AS891">
            <v>0</v>
          </cell>
          <cell r="AT891">
            <v>288</v>
          </cell>
          <cell r="AU891">
            <v>0</v>
          </cell>
          <cell r="AV891">
            <v>631</v>
          </cell>
          <cell r="AW891">
            <v>53</v>
          </cell>
          <cell r="AX891">
            <v>81</v>
          </cell>
          <cell r="AY891">
            <v>153</v>
          </cell>
          <cell r="AZ891">
            <v>1.2891999999999999</v>
          </cell>
          <cell r="BA891" t="str">
            <v>D2101121</v>
          </cell>
          <cell r="BB891" t="str">
            <v>CONFORM</v>
          </cell>
          <cell r="BC891" t="str">
            <v>CONFORM</v>
          </cell>
          <cell r="BD891" t="str">
            <v>CONFORM</v>
          </cell>
          <cell r="BE891" t="str">
            <v>CONFORM</v>
          </cell>
          <cell r="BF891" t="str">
            <v>CONFORM</v>
          </cell>
        </row>
        <row r="892">
          <cell r="A892">
            <v>44221</v>
          </cell>
          <cell r="B892" t="str">
            <v>D2101121-9</v>
          </cell>
          <cell r="C892" t="str">
            <v>095/20</v>
          </cell>
          <cell r="D892">
            <v>1</v>
          </cell>
          <cell r="E892">
            <v>44221</v>
          </cell>
          <cell r="F892" t="str">
            <v>DC</v>
          </cell>
          <cell r="G892" t="str">
            <v>On Time</v>
          </cell>
          <cell r="H892" t="str">
            <v>0008531879</v>
          </cell>
          <cell r="I892">
            <v>44217</v>
          </cell>
          <cell r="J892" t="str">
            <v>OUTO</v>
          </cell>
          <cell r="K892" t="str">
            <v>D2101121</v>
          </cell>
          <cell r="L892">
            <v>9</v>
          </cell>
          <cell r="M892">
            <v>891702</v>
          </cell>
          <cell r="N892">
            <v>531613</v>
          </cell>
          <cell r="O892" t="str">
            <v xml:space="preserve">1.4306 TP304L </v>
          </cell>
          <cell r="P892" t="str">
            <v>304L</v>
          </cell>
          <cell r="Q892">
            <v>3.1539999999999999</v>
          </cell>
          <cell r="R892">
            <v>3.1579999999999999</v>
          </cell>
          <cell r="S892">
            <v>3.5000000000000003E-2</v>
          </cell>
          <cell r="T892">
            <v>3.0499999999999999E-2</v>
          </cell>
          <cell r="U892">
            <v>3.5150000000000001E-2</v>
          </cell>
          <cell r="V892">
            <v>3.2825E-2</v>
          </cell>
          <cell r="W892" t="str">
            <v>BRS</v>
          </cell>
          <cell r="X892">
            <v>2187</v>
          </cell>
          <cell r="Y892">
            <v>1</v>
          </cell>
          <cell r="Z892">
            <v>693.4051997463539</v>
          </cell>
          <cell r="AA892" t="str">
            <v>3.154X0.035-304L</v>
          </cell>
          <cell r="AB892" t="str">
            <v>WAAC008010090B300097</v>
          </cell>
          <cell r="AC892" t="str">
            <v>D2101121</v>
          </cell>
          <cell r="AD892">
            <v>531613</v>
          </cell>
          <cell r="AE892">
            <v>2.5000000000000001E-2</v>
          </cell>
          <cell r="AF892">
            <v>1.28</v>
          </cell>
          <cell r="AG892">
            <v>3.1E-2</v>
          </cell>
          <cell r="AH892">
            <v>2E-3</v>
          </cell>
          <cell r="AI892">
            <v>0.36</v>
          </cell>
          <cell r="AJ892">
            <v>18.2</v>
          </cell>
          <cell r="AK892">
            <v>8.1</v>
          </cell>
          <cell r="AL892">
            <v>7.1999999999999995E-2</v>
          </cell>
          <cell r="AM892">
            <v>0.37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0.52</v>
          </cell>
          <cell r="AS892">
            <v>0</v>
          </cell>
          <cell r="AT892">
            <v>288</v>
          </cell>
          <cell r="AU892">
            <v>0</v>
          </cell>
          <cell r="AV892">
            <v>631</v>
          </cell>
          <cell r="AW892">
            <v>53</v>
          </cell>
          <cell r="AX892">
            <v>81</v>
          </cell>
          <cell r="AY892">
            <v>153</v>
          </cell>
          <cell r="AZ892">
            <v>1.2891999999999999</v>
          </cell>
          <cell r="BA892" t="str">
            <v>D2101121</v>
          </cell>
          <cell r="BB892" t="str">
            <v>CONFORM</v>
          </cell>
          <cell r="BC892" t="str">
            <v>CONFORM</v>
          </cell>
          <cell r="BD892" t="str">
            <v>CONFORM</v>
          </cell>
          <cell r="BE892" t="str">
            <v>CONFORM</v>
          </cell>
          <cell r="BF892" t="str">
            <v>CONFORM</v>
          </cell>
        </row>
        <row r="893">
          <cell r="A893">
            <v>44221</v>
          </cell>
          <cell r="B893" t="str">
            <v>D2101121-10</v>
          </cell>
          <cell r="C893" t="str">
            <v>095/20</v>
          </cell>
          <cell r="D893">
            <v>1</v>
          </cell>
          <cell r="E893">
            <v>44221</v>
          </cell>
          <cell r="F893" t="str">
            <v>DC</v>
          </cell>
          <cell r="G893" t="str">
            <v>On Time</v>
          </cell>
          <cell r="H893" t="str">
            <v>0008531879</v>
          </cell>
          <cell r="I893">
            <v>44217</v>
          </cell>
          <cell r="J893" t="str">
            <v>OUTO</v>
          </cell>
          <cell r="K893" t="str">
            <v>D2101121</v>
          </cell>
          <cell r="L893">
            <v>10</v>
          </cell>
          <cell r="M893">
            <v>891702</v>
          </cell>
          <cell r="N893">
            <v>531613</v>
          </cell>
          <cell r="O893" t="str">
            <v xml:space="preserve">1.4306 TP304L </v>
          </cell>
          <cell r="P893" t="str">
            <v>304L</v>
          </cell>
          <cell r="Q893">
            <v>3.1539999999999999</v>
          </cell>
          <cell r="R893">
            <v>3.1575000000000002</v>
          </cell>
          <cell r="S893">
            <v>3.5000000000000003E-2</v>
          </cell>
          <cell r="T893">
            <v>3.465E-2</v>
          </cell>
          <cell r="U893">
            <v>3.49E-2</v>
          </cell>
          <cell r="V893">
            <v>3.4775E-2</v>
          </cell>
          <cell r="W893" t="str">
            <v>BRS</v>
          </cell>
          <cell r="X893">
            <v>2191</v>
          </cell>
          <cell r="Y893">
            <v>1</v>
          </cell>
          <cell r="Z893">
            <v>694.67343056436277</v>
          </cell>
          <cell r="AA893" t="str">
            <v>3.154X0.035-304L</v>
          </cell>
          <cell r="AB893" t="str">
            <v>WAAC008010090B300097</v>
          </cell>
          <cell r="AC893" t="str">
            <v>D2101121</v>
          </cell>
          <cell r="AD893">
            <v>531613</v>
          </cell>
          <cell r="AE893">
            <v>2.5000000000000001E-2</v>
          </cell>
          <cell r="AF893">
            <v>1.28</v>
          </cell>
          <cell r="AG893">
            <v>3.1E-2</v>
          </cell>
          <cell r="AH893">
            <v>2E-3</v>
          </cell>
          <cell r="AI893">
            <v>0.36</v>
          </cell>
          <cell r="AJ893">
            <v>18.2</v>
          </cell>
          <cell r="AK893">
            <v>8.1</v>
          </cell>
          <cell r="AL893">
            <v>7.1999999999999995E-2</v>
          </cell>
          <cell r="AM893">
            <v>0.37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0.52</v>
          </cell>
          <cell r="AS893">
            <v>0</v>
          </cell>
          <cell r="AT893">
            <v>288</v>
          </cell>
          <cell r="AU893">
            <v>0</v>
          </cell>
          <cell r="AV893">
            <v>631</v>
          </cell>
          <cell r="AW893">
            <v>53</v>
          </cell>
          <cell r="AX893">
            <v>81</v>
          </cell>
          <cell r="AY893">
            <v>153</v>
          </cell>
          <cell r="AZ893">
            <v>1.2891999999999999</v>
          </cell>
          <cell r="BA893" t="str">
            <v>D2101121</v>
          </cell>
          <cell r="BB893" t="str">
            <v>CONFORM</v>
          </cell>
          <cell r="BC893" t="str">
            <v>CONFORM</v>
          </cell>
          <cell r="BD893" t="str">
            <v>CONFORM</v>
          </cell>
          <cell r="BE893" t="str">
            <v>CONFORM</v>
          </cell>
          <cell r="BF893" t="str">
            <v>CONFORM</v>
          </cell>
        </row>
        <row r="894">
          <cell r="A894">
            <v>44221</v>
          </cell>
          <cell r="B894" t="str">
            <v>D2101121-11</v>
          </cell>
          <cell r="C894" t="str">
            <v>095/20</v>
          </cell>
          <cell r="D894">
            <v>1</v>
          </cell>
          <cell r="E894">
            <v>44221</v>
          </cell>
          <cell r="F894" t="str">
            <v>DC</v>
          </cell>
          <cell r="G894" t="str">
            <v>On Time</v>
          </cell>
          <cell r="H894" t="str">
            <v>0008531879</v>
          </cell>
          <cell r="I894">
            <v>44217</v>
          </cell>
          <cell r="J894" t="str">
            <v>OUTO</v>
          </cell>
          <cell r="K894" t="str">
            <v>D2101121</v>
          </cell>
          <cell r="L894">
            <v>11</v>
          </cell>
          <cell r="M894">
            <v>891702</v>
          </cell>
          <cell r="N894">
            <v>531613</v>
          </cell>
          <cell r="O894" t="str">
            <v xml:space="preserve">1.4306 TP304L </v>
          </cell>
          <cell r="P894" t="str">
            <v>304L</v>
          </cell>
          <cell r="Q894">
            <v>3.1539999999999999</v>
          </cell>
          <cell r="R894">
            <v>3.157</v>
          </cell>
          <cell r="S894">
            <v>3.5000000000000003E-2</v>
          </cell>
          <cell r="T894">
            <v>3.4849999999999999E-2</v>
          </cell>
          <cell r="U894">
            <v>3.5299999999999998E-2</v>
          </cell>
          <cell r="V894">
            <v>3.5074999999999995E-2</v>
          </cell>
          <cell r="W894" t="str">
            <v>BRS</v>
          </cell>
          <cell r="X894">
            <v>2183</v>
          </cell>
          <cell r="Y894">
            <v>1</v>
          </cell>
          <cell r="Z894">
            <v>692.13696892834503</v>
          </cell>
          <cell r="AA894" t="str">
            <v>3.154X0.035-304L</v>
          </cell>
          <cell r="AB894" t="str">
            <v>WAAC008010090B300097</v>
          </cell>
          <cell r="AC894" t="str">
            <v>D2101121</v>
          </cell>
          <cell r="AD894">
            <v>531613</v>
          </cell>
          <cell r="AE894">
            <v>2.5000000000000001E-2</v>
          </cell>
          <cell r="AF894">
            <v>1.28</v>
          </cell>
          <cell r="AG894">
            <v>3.1E-2</v>
          </cell>
          <cell r="AH894">
            <v>2E-3</v>
          </cell>
          <cell r="AI894">
            <v>0.36</v>
          </cell>
          <cell r="AJ894">
            <v>18.2</v>
          </cell>
          <cell r="AK894">
            <v>8.1</v>
          </cell>
          <cell r="AL894">
            <v>7.1999999999999995E-2</v>
          </cell>
          <cell r="AM894">
            <v>0.37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0.52</v>
          </cell>
          <cell r="AS894">
            <v>0</v>
          </cell>
          <cell r="AT894">
            <v>288</v>
          </cell>
          <cell r="AU894">
            <v>0</v>
          </cell>
          <cell r="AV894">
            <v>631</v>
          </cell>
          <cell r="AW894">
            <v>53</v>
          </cell>
          <cell r="AX894">
            <v>81</v>
          </cell>
          <cell r="AY894">
            <v>153</v>
          </cell>
          <cell r="AZ894">
            <v>1.2891999999999999</v>
          </cell>
          <cell r="BA894" t="str">
            <v>D2101121</v>
          </cell>
          <cell r="BB894" t="str">
            <v>CONFORM</v>
          </cell>
          <cell r="BC894" t="str">
            <v>CONFORM</v>
          </cell>
          <cell r="BD894" t="str">
            <v>CONFORM</v>
          </cell>
          <cell r="BE894" t="str">
            <v>CONFORM</v>
          </cell>
          <cell r="BF894" t="str">
            <v>CONFORM</v>
          </cell>
        </row>
        <row r="895">
          <cell r="A895">
            <v>44221</v>
          </cell>
          <cell r="B895" t="str">
            <v>D2101121-12</v>
          </cell>
          <cell r="C895" t="str">
            <v>095/20</v>
          </cell>
          <cell r="D895">
            <v>1</v>
          </cell>
          <cell r="E895">
            <v>44221</v>
          </cell>
          <cell r="F895" t="str">
            <v>DC</v>
          </cell>
          <cell r="G895" t="str">
            <v>On Time</v>
          </cell>
          <cell r="H895" t="str">
            <v>0008531879</v>
          </cell>
          <cell r="I895">
            <v>44217</v>
          </cell>
          <cell r="J895" t="str">
            <v>OUTO</v>
          </cell>
          <cell r="K895" t="str">
            <v>D2101121</v>
          </cell>
          <cell r="L895">
            <v>12</v>
          </cell>
          <cell r="M895">
            <v>891702</v>
          </cell>
          <cell r="N895">
            <v>531613</v>
          </cell>
          <cell r="O895" t="str">
            <v xml:space="preserve">1.4306 TP304L </v>
          </cell>
          <cell r="P895" t="str">
            <v>304L</v>
          </cell>
          <cell r="Q895">
            <v>3.1539999999999999</v>
          </cell>
          <cell r="R895">
            <v>3.1575000000000002</v>
          </cell>
          <cell r="S895">
            <v>3.5000000000000003E-2</v>
          </cell>
          <cell r="T895">
            <v>3.4799999999999998E-2</v>
          </cell>
          <cell r="U895">
            <v>3.4450000000000001E-2</v>
          </cell>
          <cell r="V895">
            <v>3.4625000000000003E-2</v>
          </cell>
          <cell r="W895" t="str">
            <v>BRS</v>
          </cell>
          <cell r="X895">
            <v>2174</v>
          </cell>
          <cell r="Y895">
            <v>1</v>
          </cell>
          <cell r="Z895">
            <v>689.28344958782498</v>
          </cell>
          <cell r="AA895" t="str">
            <v>3.154X0.035-304L</v>
          </cell>
          <cell r="AB895" t="str">
            <v>WAAC008010090B300097</v>
          </cell>
          <cell r="AC895" t="str">
            <v>D2101121</v>
          </cell>
          <cell r="AD895">
            <v>531613</v>
          </cell>
          <cell r="AE895">
            <v>2.5000000000000001E-2</v>
          </cell>
          <cell r="AF895">
            <v>1.28</v>
          </cell>
          <cell r="AG895">
            <v>3.1E-2</v>
          </cell>
          <cell r="AH895">
            <v>2E-3</v>
          </cell>
          <cell r="AI895">
            <v>0.36</v>
          </cell>
          <cell r="AJ895">
            <v>18.2</v>
          </cell>
          <cell r="AK895">
            <v>8.1</v>
          </cell>
          <cell r="AL895">
            <v>7.1999999999999995E-2</v>
          </cell>
          <cell r="AM895">
            <v>0.37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0.52</v>
          </cell>
          <cell r="AS895">
            <v>0</v>
          </cell>
          <cell r="AT895">
            <v>288</v>
          </cell>
          <cell r="AU895">
            <v>0</v>
          </cell>
          <cell r="AV895">
            <v>631</v>
          </cell>
          <cell r="AW895">
            <v>53</v>
          </cell>
          <cell r="AX895">
            <v>81</v>
          </cell>
          <cell r="AY895">
            <v>153</v>
          </cell>
          <cell r="AZ895">
            <v>1.2891999999999999</v>
          </cell>
          <cell r="BA895" t="str">
            <v>D2101121</v>
          </cell>
          <cell r="BB895" t="str">
            <v>CONFORM</v>
          </cell>
          <cell r="BC895" t="str">
            <v>CONFORM</v>
          </cell>
          <cell r="BD895" t="str">
            <v>CONFORM</v>
          </cell>
          <cell r="BE895" t="str">
            <v>CONFORM</v>
          </cell>
          <cell r="BF895" t="str">
            <v>CONFORM</v>
          </cell>
        </row>
        <row r="896">
          <cell r="A896">
            <v>44221</v>
          </cell>
          <cell r="B896" t="str">
            <v>D2101121-13</v>
          </cell>
          <cell r="C896" t="str">
            <v>095/20</v>
          </cell>
          <cell r="D896">
            <v>1</v>
          </cell>
          <cell r="E896">
            <v>44221</v>
          </cell>
          <cell r="F896" t="str">
            <v>DC</v>
          </cell>
          <cell r="G896" t="str">
            <v>On Time</v>
          </cell>
          <cell r="H896" t="str">
            <v>0008531879</v>
          </cell>
          <cell r="I896">
            <v>44217</v>
          </cell>
          <cell r="J896" t="str">
            <v>OUTO</v>
          </cell>
          <cell r="K896" t="str">
            <v>D2101121</v>
          </cell>
          <cell r="L896">
            <v>13</v>
          </cell>
          <cell r="M896">
            <v>891702</v>
          </cell>
          <cell r="N896">
            <v>531613</v>
          </cell>
          <cell r="O896" t="str">
            <v xml:space="preserve">1.4306 TP304L </v>
          </cell>
          <cell r="P896" t="str">
            <v>304L</v>
          </cell>
          <cell r="Q896">
            <v>3.1539999999999999</v>
          </cell>
          <cell r="R896">
            <v>3.157</v>
          </cell>
          <cell r="S896">
            <v>3.5000000000000003E-2</v>
          </cell>
          <cell r="T896">
            <v>3.5650000000000001E-2</v>
          </cell>
          <cell r="U896">
            <v>3.4799999999999998E-2</v>
          </cell>
          <cell r="V896">
            <v>3.5224999999999999E-2</v>
          </cell>
          <cell r="W896" t="str">
            <v>BRS</v>
          </cell>
          <cell r="X896">
            <v>2178</v>
          </cell>
          <cell r="Y896">
            <v>1</v>
          </cell>
          <cell r="Z896">
            <v>690.55168040583385</v>
          </cell>
          <cell r="AA896" t="str">
            <v>3.154X0.035-304L</v>
          </cell>
          <cell r="AB896" t="str">
            <v>WAAC008010090B300097</v>
          </cell>
          <cell r="AC896" t="str">
            <v>D2101121</v>
          </cell>
          <cell r="AD896">
            <v>531613</v>
          </cell>
          <cell r="AE896">
            <v>2.5000000000000001E-2</v>
          </cell>
          <cell r="AF896">
            <v>1.28</v>
          </cell>
          <cell r="AG896">
            <v>3.1E-2</v>
          </cell>
          <cell r="AH896">
            <v>2E-3</v>
          </cell>
          <cell r="AI896">
            <v>0.36</v>
          </cell>
          <cell r="AJ896">
            <v>18.2</v>
          </cell>
          <cell r="AK896">
            <v>8.1</v>
          </cell>
          <cell r="AL896">
            <v>7.1999999999999995E-2</v>
          </cell>
          <cell r="AM896">
            <v>0.37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0.52</v>
          </cell>
          <cell r="AS896">
            <v>0</v>
          </cell>
          <cell r="AT896">
            <v>288</v>
          </cell>
          <cell r="AU896">
            <v>0</v>
          </cell>
          <cell r="AV896">
            <v>631</v>
          </cell>
          <cell r="AW896">
            <v>53</v>
          </cell>
          <cell r="AX896">
            <v>81</v>
          </cell>
          <cell r="AY896">
            <v>153</v>
          </cell>
          <cell r="AZ896">
            <v>1.2891999999999999</v>
          </cell>
          <cell r="BA896" t="str">
            <v>D2101121</v>
          </cell>
          <cell r="BB896" t="str">
            <v>CONFORM</v>
          </cell>
          <cell r="BC896" t="str">
            <v>CONFORM</v>
          </cell>
          <cell r="BD896" t="str">
            <v>CONFORM</v>
          </cell>
          <cell r="BE896" t="str">
            <v>CONFORM</v>
          </cell>
          <cell r="BF896" t="str">
            <v>CONFORM</v>
          </cell>
        </row>
        <row r="897">
          <cell r="A897">
            <v>44221</v>
          </cell>
          <cell r="B897" t="str">
            <v>D2101121-14</v>
          </cell>
          <cell r="C897" t="str">
            <v>095/20</v>
          </cell>
          <cell r="D897">
            <v>1</v>
          </cell>
          <cell r="E897">
            <v>44221</v>
          </cell>
          <cell r="F897" t="str">
            <v>DC</v>
          </cell>
          <cell r="G897" t="str">
            <v>On Time</v>
          </cell>
          <cell r="H897" t="str">
            <v>0008531879</v>
          </cell>
          <cell r="I897">
            <v>44217</v>
          </cell>
          <cell r="J897" t="str">
            <v>OUTO</v>
          </cell>
          <cell r="K897" t="str">
            <v>D2101121</v>
          </cell>
          <cell r="L897">
            <v>14</v>
          </cell>
          <cell r="M897">
            <v>891702</v>
          </cell>
          <cell r="N897">
            <v>531613</v>
          </cell>
          <cell r="O897" t="str">
            <v xml:space="preserve">1.4306 TP304L </v>
          </cell>
          <cell r="P897" t="str">
            <v>304L</v>
          </cell>
          <cell r="Q897">
            <v>3.1539999999999999</v>
          </cell>
          <cell r="R897">
            <v>3.1589999999999998</v>
          </cell>
          <cell r="S897">
            <v>3.5000000000000003E-2</v>
          </cell>
          <cell r="T897">
            <v>3.4049999999999997E-2</v>
          </cell>
          <cell r="U897">
            <v>3.5150000000000001E-2</v>
          </cell>
          <cell r="V897">
            <v>3.4599999999999999E-2</v>
          </cell>
          <cell r="W897" t="str">
            <v>BRS</v>
          </cell>
          <cell r="X897">
            <v>2187</v>
          </cell>
          <cell r="Y897">
            <v>1</v>
          </cell>
          <cell r="Z897">
            <v>693.4051997463539</v>
          </cell>
          <cell r="AA897" t="str">
            <v>3.154X0.035-304L</v>
          </cell>
          <cell r="AB897" t="str">
            <v>WAAC008010090B300097</v>
          </cell>
          <cell r="AC897" t="str">
            <v>D2101121</v>
          </cell>
          <cell r="AD897">
            <v>531613</v>
          </cell>
          <cell r="AE897">
            <v>2.5000000000000001E-2</v>
          </cell>
          <cell r="AF897">
            <v>1.28</v>
          </cell>
          <cell r="AG897">
            <v>3.1E-2</v>
          </cell>
          <cell r="AH897">
            <v>2E-3</v>
          </cell>
          <cell r="AI897">
            <v>0.36</v>
          </cell>
          <cell r="AJ897">
            <v>18.2</v>
          </cell>
          <cell r="AK897">
            <v>8.1</v>
          </cell>
          <cell r="AL897">
            <v>7.1999999999999995E-2</v>
          </cell>
          <cell r="AM897">
            <v>0.37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0.52</v>
          </cell>
          <cell r="AS897">
            <v>0</v>
          </cell>
          <cell r="AT897">
            <v>288</v>
          </cell>
          <cell r="AU897">
            <v>0</v>
          </cell>
          <cell r="AV897">
            <v>631</v>
          </cell>
          <cell r="AW897">
            <v>53</v>
          </cell>
          <cell r="AX897">
            <v>81</v>
          </cell>
          <cell r="AY897">
            <v>153</v>
          </cell>
          <cell r="AZ897">
            <v>1.2891999999999999</v>
          </cell>
          <cell r="BA897" t="str">
            <v>D2101121</v>
          </cell>
          <cell r="BB897" t="str">
            <v>CONFORM</v>
          </cell>
          <cell r="BC897" t="str">
            <v>CONFORM</v>
          </cell>
          <cell r="BD897" t="str">
            <v>CONFORM</v>
          </cell>
          <cell r="BE897" t="str">
            <v>CONFORM</v>
          </cell>
          <cell r="BF897" t="str">
            <v>CONFORM</v>
          </cell>
        </row>
        <row r="898">
          <cell r="A898">
            <v>44221</v>
          </cell>
          <cell r="B898" t="str">
            <v>D2101121-15</v>
          </cell>
          <cell r="C898" t="str">
            <v>095/20</v>
          </cell>
          <cell r="D898">
            <v>1</v>
          </cell>
          <cell r="E898">
            <v>44221</v>
          </cell>
          <cell r="F898" t="str">
            <v>DC</v>
          </cell>
          <cell r="G898" t="str">
            <v>On Time</v>
          </cell>
          <cell r="H898" t="str">
            <v>0008531879</v>
          </cell>
          <cell r="I898">
            <v>44217</v>
          </cell>
          <cell r="J898" t="str">
            <v>OUTO</v>
          </cell>
          <cell r="K898" t="str">
            <v>D2101121</v>
          </cell>
          <cell r="L898">
            <v>15</v>
          </cell>
          <cell r="M898">
            <v>891702</v>
          </cell>
          <cell r="N898">
            <v>531613</v>
          </cell>
          <cell r="O898" t="str">
            <v xml:space="preserve">1.4306 TP304L </v>
          </cell>
          <cell r="P898" t="str">
            <v>304L</v>
          </cell>
          <cell r="Q898">
            <v>3.1539999999999999</v>
          </cell>
          <cell r="R898">
            <v>3.157</v>
          </cell>
          <cell r="S898">
            <v>3.5000000000000003E-2</v>
          </cell>
          <cell r="T898">
            <v>3.49E-2</v>
          </cell>
          <cell r="U898">
            <v>3.5049999999999998E-2</v>
          </cell>
          <cell r="V898">
            <v>3.4974999999999999E-2</v>
          </cell>
          <cell r="W898" t="str">
            <v>BRS</v>
          </cell>
          <cell r="X898">
            <v>2169</v>
          </cell>
          <cell r="Y898">
            <v>1</v>
          </cell>
          <cell r="Z898">
            <v>687.69816106531391</v>
          </cell>
          <cell r="AA898" t="str">
            <v>3.154X0.035-304L</v>
          </cell>
          <cell r="AB898" t="str">
            <v>WAAC008010090B300097</v>
          </cell>
          <cell r="AC898" t="str">
            <v>D2101121</v>
          </cell>
          <cell r="AD898">
            <v>531613</v>
          </cell>
          <cell r="AE898">
            <v>2.5000000000000001E-2</v>
          </cell>
          <cell r="AF898">
            <v>1.28</v>
          </cell>
          <cell r="AG898">
            <v>3.1E-2</v>
          </cell>
          <cell r="AH898">
            <v>2E-3</v>
          </cell>
          <cell r="AI898">
            <v>0.36</v>
          </cell>
          <cell r="AJ898">
            <v>18.2</v>
          </cell>
          <cell r="AK898">
            <v>8.1</v>
          </cell>
          <cell r="AL898">
            <v>7.1999999999999995E-2</v>
          </cell>
          <cell r="AM898">
            <v>0.37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0.52</v>
          </cell>
          <cell r="AS898">
            <v>0</v>
          </cell>
          <cell r="AT898">
            <v>288</v>
          </cell>
          <cell r="AU898">
            <v>0</v>
          </cell>
          <cell r="AV898">
            <v>631</v>
          </cell>
          <cell r="AW898">
            <v>53</v>
          </cell>
          <cell r="AX898">
            <v>81</v>
          </cell>
          <cell r="AY898">
            <v>153</v>
          </cell>
          <cell r="AZ898">
            <v>1.2891999999999999</v>
          </cell>
          <cell r="BA898" t="str">
            <v>D2101121</v>
          </cell>
          <cell r="BB898" t="str">
            <v>CONFORM</v>
          </cell>
          <cell r="BC898" t="str">
            <v>CONFORM</v>
          </cell>
          <cell r="BD898" t="str">
            <v>CONFORM</v>
          </cell>
          <cell r="BE898" t="str">
            <v>CONFORM</v>
          </cell>
          <cell r="BF898" t="str">
            <v>CONFORM</v>
          </cell>
        </row>
        <row r="899">
          <cell r="A899">
            <v>44222</v>
          </cell>
          <cell r="B899" t="str">
            <v>D2101123-1</v>
          </cell>
          <cell r="C899" t="str">
            <v>007/21</v>
          </cell>
          <cell r="D899">
            <v>1</v>
          </cell>
          <cell r="E899">
            <v>44223</v>
          </cell>
          <cell r="F899" t="str">
            <v>DC</v>
          </cell>
          <cell r="G899" t="str">
            <v>On Time</v>
          </cell>
          <cell r="H899">
            <v>2407974630</v>
          </cell>
          <cell r="I899">
            <v>44222</v>
          </cell>
          <cell r="J899" t="str">
            <v>TKM</v>
          </cell>
          <cell r="K899" t="str">
            <v>D2101123</v>
          </cell>
          <cell r="L899">
            <v>1</v>
          </cell>
          <cell r="M899">
            <v>3309731</v>
          </cell>
          <cell r="N899">
            <v>531289</v>
          </cell>
          <cell r="O899" t="str">
            <v xml:space="preserve">1.4306 TP304L </v>
          </cell>
          <cell r="P899" t="str">
            <v>304L</v>
          </cell>
          <cell r="Q899">
            <v>3.1139999999999999</v>
          </cell>
          <cell r="R899">
            <v>3.1095000000000002</v>
          </cell>
          <cell r="S899">
            <v>4.7E-2</v>
          </cell>
          <cell r="T899">
            <v>4.6949999999999999E-2</v>
          </cell>
          <cell r="U899">
            <v>4.6550000000000001E-2</v>
          </cell>
          <cell r="V899">
            <v>4.675E-2</v>
          </cell>
          <cell r="W899" t="str">
            <v>BRS</v>
          </cell>
          <cell r="X899">
            <v>5222</v>
          </cell>
          <cell r="Y899">
            <v>5</v>
          </cell>
          <cell r="Z899">
            <v>335.38856775851002</v>
          </cell>
          <cell r="AA899" t="str">
            <v>3.114X0.047-304L</v>
          </cell>
          <cell r="AB899" t="str">
            <v>WAAC007910120B300030</v>
          </cell>
          <cell r="AC899" t="str">
            <v>D2101123</v>
          </cell>
          <cell r="AD899">
            <v>531289</v>
          </cell>
          <cell r="AE899">
            <v>2.1999999999999999E-2</v>
          </cell>
          <cell r="AF899">
            <v>1.28</v>
          </cell>
          <cell r="AG899">
            <v>3.4000000000000002E-2</v>
          </cell>
          <cell r="AH899">
            <v>2E-3</v>
          </cell>
          <cell r="AI899">
            <v>0.31</v>
          </cell>
          <cell r="AJ899">
            <v>18.100000000000001</v>
          </cell>
          <cell r="AK899">
            <v>8</v>
          </cell>
          <cell r="AL899">
            <v>7.1999999999999995E-2</v>
          </cell>
          <cell r="AM899">
            <v>0.34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0.53</v>
          </cell>
          <cell r="AS899">
            <v>0</v>
          </cell>
          <cell r="AT899">
            <v>291</v>
          </cell>
          <cell r="AU899">
            <v>322</v>
          </cell>
          <cell r="AV899">
            <v>647</v>
          </cell>
          <cell r="AW899">
            <v>55</v>
          </cell>
          <cell r="AX899">
            <v>83</v>
          </cell>
          <cell r="AY899">
            <v>159</v>
          </cell>
          <cell r="AZ899">
            <v>1.4933000000000001</v>
          </cell>
          <cell r="BA899" t="str">
            <v>D2101123</v>
          </cell>
          <cell r="BB899" t="str">
            <v>CONFORM</v>
          </cell>
          <cell r="BC899" t="str">
            <v>CONFORM</v>
          </cell>
          <cell r="BD899" t="str">
            <v>CONFORM</v>
          </cell>
          <cell r="BE899" t="str">
            <v>CONFORM</v>
          </cell>
          <cell r="BF899" t="str">
            <v>CONFORM</v>
          </cell>
        </row>
        <row r="900">
          <cell r="A900">
            <v>44222</v>
          </cell>
          <cell r="B900" t="str">
            <v>D2101123-2</v>
          </cell>
          <cell r="C900" t="str">
            <v>007/21</v>
          </cell>
          <cell r="D900">
            <v>1</v>
          </cell>
          <cell r="E900">
            <v>44223</v>
          </cell>
          <cell r="F900" t="str">
            <v>DC</v>
          </cell>
          <cell r="G900" t="str">
            <v>On Time</v>
          </cell>
          <cell r="H900">
            <v>2407974630</v>
          </cell>
          <cell r="I900">
            <v>44222</v>
          </cell>
          <cell r="J900" t="str">
            <v>TKM</v>
          </cell>
          <cell r="K900" t="str">
            <v>D2101123</v>
          </cell>
          <cell r="L900">
            <v>2</v>
          </cell>
          <cell r="M900">
            <v>3309731</v>
          </cell>
          <cell r="N900">
            <v>531289</v>
          </cell>
          <cell r="O900" t="str">
            <v xml:space="preserve">1.4306 TP304L </v>
          </cell>
          <cell r="P900" t="str">
            <v>304L</v>
          </cell>
          <cell r="Q900">
            <v>3.1139999999999999</v>
          </cell>
          <cell r="R900">
            <v>3.1139999999999999</v>
          </cell>
          <cell r="S900">
            <v>4.7E-2</v>
          </cell>
          <cell r="T900">
            <v>4.7149999999999997E-2</v>
          </cell>
          <cell r="U900">
            <v>4.895E-2</v>
          </cell>
          <cell r="V900">
            <v>4.8049999999999995E-2</v>
          </cell>
          <cell r="W900" t="str">
            <v>BRS</v>
          </cell>
          <cell r="X900">
            <v>5234</v>
          </cell>
          <cell r="Y900">
            <v>5</v>
          </cell>
          <cell r="Z900">
            <v>336.15928066795118</v>
          </cell>
          <cell r="AA900" t="str">
            <v>3.114X0.047-304L</v>
          </cell>
          <cell r="AB900" t="str">
            <v>WAAC007910120B300030</v>
          </cell>
          <cell r="AC900" t="str">
            <v>D2101123</v>
          </cell>
          <cell r="AD900">
            <v>531289</v>
          </cell>
          <cell r="AE900">
            <v>2.1999999999999999E-2</v>
          </cell>
          <cell r="AF900">
            <v>1.28</v>
          </cell>
          <cell r="AG900">
            <v>3.4000000000000002E-2</v>
          </cell>
          <cell r="AH900">
            <v>2E-3</v>
          </cell>
          <cell r="AI900">
            <v>0.31</v>
          </cell>
          <cell r="AJ900">
            <v>18.100000000000001</v>
          </cell>
          <cell r="AK900">
            <v>8</v>
          </cell>
          <cell r="AL900">
            <v>7.1999999999999995E-2</v>
          </cell>
          <cell r="AM900">
            <v>0.34</v>
          </cell>
          <cell r="AN900">
            <v>0</v>
          </cell>
          <cell r="AO900">
            <v>0</v>
          </cell>
          <cell r="AP900">
            <v>0</v>
          </cell>
          <cell r="AQ900">
            <v>0</v>
          </cell>
          <cell r="AR900">
            <v>0.53</v>
          </cell>
          <cell r="AS900">
            <v>0</v>
          </cell>
          <cell r="AT900">
            <v>291</v>
          </cell>
          <cell r="AU900">
            <v>322</v>
          </cell>
          <cell r="AV900">
            <v>647</v>
          </cell>
          <cell r="AW900">
            <v>55</v>
          </cell>
          <cell r="AX900">
            <v>83</v>
          </cell>
          <cell r="AY900">
            <v>159</v>
          </cell>
          <cell r="AZ900">
            <v>1.4933000000000001</v>
          </cell>
          <cell r="BA900" t="str">
            <v>D2101123</v>
          </cell>
          <cell r="BB900" t="str">
            <v>CONFORM</v>
          </cell>
          <cell r="BC900" t="str">
            <v>CONFORM</v>
          </cell>
          <cell r="BD900" t="str">
            <v>CONFORM</v>
          </cell>
          <cell r="BE900" t="str">
            <v>CONFORM</v>
          </cell>
          <cell r="BF900" t="str">
            <v>CONFORM</v>
          </cell>
        </row>
        <row r="901">
          <cell r="A901">
            <v>44222</v>
          </cell>
          <cell r="B901" t="str">
            <v>D2101123-3</v>
          </cell>
          <cell r="C901" t="str">
            <v>007/21</v>
          </cell>
          <cell r="D901">
            <v>1</v>
          </cell>
          <cell r="E901">
            <v>44223</v>
          </cell>
          <cell r="F901" t="str">
            <v>DC</v>
          </cell>
          <cell r="G901" t="str">
            <v>On Time</v>
          </cell>
          <cell r="H901">
            <v>2407974630</v>
          </cell>
          <cell r="I901">
            <v>44222</v>
          </cell>
          <cell r="J901" t="str">
            <v>TKM</v>
          </cell>
          <cell r="K901" t="str">
            <v>D2101123</v>
          </cell>
          <cell r="L901">
            <v>3</v>
          </cell>
          <cell r="M901">
            <v>3309731</v>
          </cell>
          <cell r="N901">
            <v>531289</v>
          </cell>
          <cell r="O901" t="str">
            <v xml:space="preserve">1.4306 TP304L </v>
          </cell>
          <cell r="P901" t="str">
            <v>304L</v>
          </cell>
          <cell r="Q901">
            <v>3.1139999999999999</v>
          </cell>
          <cell r="R901">
            <v>3.1295000000000002</v>
          </cell>
          <cell r="S901">
            <v>4.7E-2</v>
          </cell>
          <cell r="T901">
            <v>4.6800000000000001E-2</v>
          </cell>
          <cell r="U901">
            <v>4.7149999999999997E-2</v>
          </cell>
          <cell r="V901">
            <v>4.6975000000000003E-2</v>
          </cell>
          <cell r="W901" t="str">
            <v>BRS</v>
          </cell>
          <cell r="X901">
            <v>3140</v>
          </cell>
          <cell r="Y901">
            <v>3</v>
          </cell>
          <cell r="Z901">
            <v>336.11646328409336</v>
          </cell>
          <cell r="AA901" t="str">
            <v>3.114X0.047-304L</v>
          </cell>
          <cell r="AB901" t="str">
            <v>WAAC007910120B300030</v>
          </cell>
          <cell r="AC901" t="str">
            <v>D2101123</v>
          </cell>
          <cell r="AD901">
            <v>531289</v>
          </cell>
          <cell r="AE901">
            <v>2.1999999999999999E-2</v>
          </cell>
          <cell r="AF901">
            <v>1.28</v>
          </cell>
          <cell r="AG901">
            <v>3.4000000000000002E-2</v>
          </cell>
          <cell r="AH901">
            <v>2E-3</v>
          </cell>
          <cell r="AI901">
            <v>0.31</v>
          </cell>
          <cell r="AJ901">
            <v>18.100000000000001</v>
          </cell>
          <cell r="AK901">
            <v>8</v>
          </cell>
          <cell r="AL901">
            <v>7.1999999999999995E-2</v>
          </cell>
          <cell r="AM901">
            <v>0.34</v>
          </cell>
          <cell r="AN901">
            <v>0</v>
          </cell>
          <cell r="AO901">
            <v>0</v>
          </cell>
          <cell r="AP901">
            <v>0</v>
          </cell>
          <cell r="AQ901">
            <v>0</v>
          </cell>
          <cell r="AR901">
            <v>0.53</v>
          </cell>
          <cell r="AS901">
            <v>0</v>
          </cell>
          <cell r="AT901">
            <v>291</v>
          </cell>
          <cell r="AU901">
            <v>322</v>
          </cell>
          <cell r="AV901">
            <v>647</v>
          </cell>
          <cell r="AW901">
            <v>55</v>
          </cell>
          <cell r="AX901">
            <v>83</v>
          </cell>
          <cell r="AY901">
            <v>159</v>
          </cell>
          <cell r="AZ901">
            <v>1.4933000000000001</v>
          </cell>
          <cell r="BA901" t="str">
            <v>D2101123</v>
          </cell>
          <cell r="BB901" t="str">
            <v>CONFORM</v>
          </cell>
          <cell r="BC901" t="str">
            <v>CONFORM</v>
          </cell>
          <cell r="BD901" t="str">
            <v>CONFORM</v>
          </cell>
          <cell r="BE901" t="str">
            <v>CONFORM</v>
          </cell>
          <cell r="BF901" t="str">
            <v>CONFORM</v>
          </cell>
        </row>
        <row r="902">
          <cell r="A902">
            <v>44223</v>
          </cell>
          <cell r="B902" t="str">
            <v>D2101132-1</v>
          </cell>
          <cell r="C902" t="str">
            <v>095/20</v>
          </cell>
          <cell r="D902">
            <v>1</v>
          </cell>
          <cell r="E902">
            <v>44221</v>
          </cell>
          <cell r="F902" t="str">
            <v>DC</v>
          </cell>
          <cell r="G902" t="str">
            <v>On Time</v>
          </cell>
          <cell r="H902" t="str">
            <v>0008532229</v>
          </cell>
          <cell r="I902">
            <v>44221</v>
          </cell>
          <cell r="J902" t="str">
            <v>OUTO</v>
          </cell>
          <cell r="K902" t="str">
            <v>D2101132</v>
          </cell>
          <cell r="L902">
            <v>1</v>
          </cell>
          <cell r="M902">
            <v>891793</v>
          </cell>
          <cell r="N902">
            <v>531633</v>
          </cell>
          <cell r="O902" t="str">
            <v xml:space="preserve">1.4306 TP304L </v>
          </cell>
          <cell r="P902" t="str">
            <v>304L</v>
          </cell>
          <cell r="Q902">
            <v>3.1539999999999999</v>
          </cell>
          <cell r="R902">
            <v>3.1589999999999998</v>
          </cell>
          <cell r="S902">
            <v>3.5000000000000003E-2</v>
          </cell>
          <cell r="T902">
            <v>3.4950000000000002E-2</v>
          </cell>
          <cell r="U902">
            <v>3.5000000000000003E-2</v>
          </cell>
          <cell r="V902">
            <v>3.4975000000000006E-2</v>
          </cell>
          <cell r="W902" t="str">
            <v>BRS</v>
          </cell>
          <cell r="X902">
            <v>2161</v>
          </cell>
          <cell r="Y902">
            <v>1</v>
          </cell>
          <cell r="Z902">
            <v>685.16169942929616</v>
          </cell>
          <cell r="AA902" t="str">
            <v>3.154X0.035-304L</v>
          </cell>
          <cell r="AB902" t="str">
            <v>WAAC008010090B300097</v>
          </cell>
          <cell r="AC902" t="str">
            <v>D2101132</v>
          </cell>
          <cell r="AD902">
            <v>531633</v>
          </cell>
          <cell r="AE902">
            <v>0.02</v>
          </cell>
          <cell r="AF902">
            <v>1.31</v>
          </cell>
          <cell r="AG902">
            <v>3.1E-2</v>
          </cell>
          <cell r="AH902">
            <v>2E-3</v>
          </cell>
          <cell r="AI902">
            <v>0.39</v>
          </cell>
          <cell r="AJ902">
            <v>18.2</v>
          </cell>
          <cell r="AK902">
            <v>8.1</v>
          </cell>
          <cell r="AL902">
            <v>6.8000000000000005E-2</v>
          </cell>
          <cell r="AM902">
            <v>0.35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  <cell r="AR902">
            <v>0.6</v>
          </cell>
          <cell r="AS902">
            <v>0</v>
          </cell>
          <cell r="AT902">
            <v>295</v>
          </cell>
          <cell r="AU902">
            <v>0</v>
          </cell>
          <cell r="AV902">
            <v>628</v>
          </cell>
          <cell r="AW902">
            <v>55</v>
          </cell>
          <cell r="AX902">
            <v>81</v>
          </cell>
          <cell r="AY902">
            <v>153</v>
          </cell>
          <cell r="AZ902">
            <v>1.2891999999999999</v>
          </cell>
          <cell r="BA902" t="str">
            <v>D2101132</v>
          </cell>
          <cell r="BB902" t="str">
            <v>CONFORM</v>
          </cell>
          <cell r="BC902" t="str">
            <v>CONFORM</v>
          </cell>
          <cell r="BD902" t="str">
            <v>CONFORM</v>
          </cell>
          <cell r="BE902" t="str">
            <v>CONFORM</v>
          </cell>
          <cell r="BF902" t="str">
            <v>CONFORM</v>
          </cell>
        </row>
        <row r="903">
          <cell r="A903">
            <v>44223</v>
          </cell>
          <cell r="B903" t="str">
            <v>D2101132-2</v>
          </cell>
          <cell r="C903" t="str">
            <v>095/20</v>
          </cell>
          <cell r="D903">
            <v>1</v>
          </cell>
          <cell r="E903">
            <v>44221</v>
          </cell>
          <cell r="F903" t="str">
            <v>DC</v>
          </cell>
          <cell r="G903" t="str">
            <v>On Time</v>
          </cell>
          <cell r="H903" t="str">
            <v>0008532229</v>
          </cell>
          <cell r="I903">
            <v>44221</v>
          </cell>
          <cell r="J903" t="str">
            <v>OUTO</v>
          </cell>
          <cell r="K903" t="str">
            <v>D2101132</v>
          </cell>
          <cell r="L903">
            <v>2</v>
          </cell>
          <cell r="M903">
            <v>891793</v>
          </cell>
          <cell r="N903">
            <v>531633</v>
          </cell>
          <cell r="O903" t="str">
            <v xml:space="preserve">1.4306 TP304L </v>
          </cell>
          <cell r="P903" t="str">
            <v>304L</v>
          </cell>
          <cell r="Q903">
            <v>3.1539999999999999</v>
          </cell>
          <cell r="R903">
            <v>3.1585000000000001</v>
          </cell>
          <cell r="S903">
            <v>3.5000000000000003E-2</v>
          </cell>
          <cell r="T903">
            <v>3.4799999999999998E-2</v>
          </cell>
          <cell r="U903">
            <v>3.5450000000000002E-2</v>
          </cell>
          <cell r="V903">
            <v>3.5125000000000003E-2</v>
          </cell>
          <cell r="W903" t="str">
            <v>BRS</v>
          </cell>
          <cell r="X903">
            <v>2174</v>
          </cell>
          <cell r="Y903">
            <v>1</v>
          </cell>
          <cell r="Z903">
            <v>689.28344958782498</v>
          </cell>
          <cell r="AA903" t="str">
            <v>3.154X0.035-304L</v>
          </cell>
          <cell r="AB903" t="str">
            <v>WAAC008010090B300097</v>
          </cell>
          <cell r="AC903" t="str">
            <v>D2101132</v>
          </cell>
          <cell r="AD903">
            <v>531633</v>
          </cell>
          <cell r="AE903">
            <v>0.02</v>
          </cell>
          <cell r="AF903">
            <v>1.31</v>
          </cell>
          <cell r="AG903">
            <v>3.1E-2</v>
          </cell>
          <cell r="AH903">
            <v>2E-3</v>
          </cell>
          <cell r="AI903">
            <v>0.39</v>
          </cell>
          <cell r="AJ903">
            <v>18.2</v>
          </cell>
          <cell r="AK903">
            <v>8.1</v>
          </cell>
          <cell r="AL903">
            <v>6.8000000000000005E-2</v>
          </cell>
          <cell r="AM903">
            <v>0.35</v>
          </cell>
          <cell r="AN903">
            <v>0</v>
          </cell>
          <cell r="AO903">
            <v>0</v>
          </cell>
          <cell r="AP903">
            <v>0</v>
          </cell>
          <cell r="AQ903">
            <v>0</v>
          </cell>
          <cell r="AR903">
            <v>0.6</v>
          </cell>
          <cell r="AS903">
            <v>0</v>
          </cell>
          <cell r="AT903">
            <v>295</v>
          </cell>
          <cell r="AU903">
            <v>0</v>
          </cell>
          <cell r="AV903">
            <v>628</v>
          </cell>
          <cell r="AW903">
            <v>55</v>
          </cell>
          <cell r="AX903">
            <v>81</v>
          </cell>
          <cell r="AY903">
            <v>153</v>
          </cell>
          <cell r="AZ903">
            <v>1.2891999999999999</v>
          </cell>
          <cell r="BA903" t="str">
            <v>D2101132</v>
          </cell>
          <cell r="BB903" t="str">
            <v>CONFORM</v>
          </cell>
          <cell r="BC903" t="str">
            <v>CONFORM</v>
          </cell>
          <cell r="BD903" t="str">
            <v>CONFORM</v>
          </cell>
          <cell r="BE903" t="str">
            <v>CONFORM</v>
          </cell>
          <cell r="BF903" t="str">
            <v>CONFORM</v>
          </cell>
        </row>
        <row r="904">
          <cell r="A904">
            <v>44223</v>
          </cell>
          <cell r="B904" t="str">
            <v>D2101132-3</v>
          </cell>
          <cell r="C904" t="str">
            <v>095/20</v>
          </cell>
          <cell r="D904">
            <v>1</v>
          </cell>
          <cell r="E904">
            <v>44221</v>
          </cell>
          <cell r="F904" t="str">
            <v>DC</v>
          </cell>
          <cell r="G904" t="str">
            <v>On Time</v>
          </cell>
          <cell r="H904" t="str">
            <v>0008532229</v>
          </cell>
          <cell r="I904">
            <v>44221</v>
          </cell>
          <cell r="J904" t="str">
            <v>OUTO</v>
          </cell>
          <cell r="K904" t="str">
            <v>D2101132</v>
          </cell>
          <cell r="L904">
            <v>3</v>
          </cell>
          <cell r="M904">
            <v>891793</v>
          </cell>
          <cell r="N904">
            <v>531633</v>
          </cell>
          <cell r="O904" t="str">
            <v xml:space="preserve">1.4306 TP304L </v>
          </cell>
          <cell r="P904" t="str">
            <v>304L</v>
          </cell>
          <cell r="Q904">
            <v>3.1539999999999999</v>
          </cell>
          <cell r="R904">
            <v>0.31585000000000002</v>
          </cell>
          <cell r="S904">
            <v>3.5000000000000003E-2</v>
          </cell>
          <cell r="T904">
            <v>3.4799999999999998E-2</v>
          </cell>
          <cell r="U904">
            <v>3.4849999999999999E-2</v>
          </cell>
          <cell r="V904">
            <v>3.4824999999999995E-2</v>
          </cell>
          <cell r="W904" t="str">
            <v>BRS</v>
          </cell>
          <cell r="X904">
            <v>2175</v>
          </cell>
          <cell r="Y904">
            <v>1</v>
          </cell>
          <cell r="Z904">
            <v>689.60050729232717</v>
          </cell>
          <cell r="AA904" t="str">
            <v>3.154X0.035-304L</v>
          </cell>
          <cell r="AB904" t="str">
            <v>WAAC008010090B300097</v>
          </cell>
          <cell r="AC904" t="str">
            <v>D2101132</v>
          </cell>
          <cell r="AD904">
            <v>531633</v>
          </cell>
          <cell r="AE904">
            <v>0.02</v>
          </cell>
          <cell r="AF904">
            <v>1.31</v>
          </cell>
          <cell r="AG904">
            <v>3.1E-2</v>
          </cell>
          <cell r="AH904">
            <v>2E-3</v>
          </cell>
          <cell r="AI904">
            <v>0.39</v>
          </cell>
          <cell r="AJ904">
            <v>18.2</v>
          </cell>
          <cell r="AK904">
            <v>8.1</v>
          </cell>
          <cell r="AL904">
            <v>6.8000000000000005E-2</v>
          </cell>
          <cell r="AM904">
            <v>0.35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0.6</v>
          </cell>
          <cell r="AS904">
            <v>0</v>
          </cell>
          <cell r="AT904">
            <v>295</v>
          </cell>
          <cell r="AU904">
            <v>0</v>
          </cell>
          <cell r="AV904">
            <v>628</v>
          </cell>
          <cell r="AW904">
            <v>55</v>
          </cell>
          <cell r="AX904">
            <v>81</v>
          </cell>
          <cell r="AY904">
            <v>153</v>
          </cell>
          <cell r="AZ904">
            <v>1.2891999999999999</v>
          </cell>
          <cell r="BA904" t="str">
            <v>D2101132</v>
          </cell>
          <cell r="BB904" t="str">
            <v>CONFORM</v>
          </cell>
          <cell r="BC904" t="str">
            <v>CONFORM</v>
          </cell>
          <cell r="BD904" t="str">
            <v>CONFORM</v>
          </cell>
          <cell r="BE904" t="str">
            <v>CONFORM</v>
          </cell>
          <cell r="BF904" t="str">
            <v>CONFORM</v>
          </cell>
        </row>
        <row r="905">
          <cell r="A905">
            <v>44223</v>
          </cell>
          <cell r="B905" t="str">
            <v>D2101132-4</v>
          </cell>
          <cell r="C905" t="str">
            <v>095/20</v>
          </cell>
          <cell r="D905">
            <v>1</v>
          </cell>
          <cell r="E905">
            <v>44221</v>
          </cell>
          <cell r="F905" t="str">
            <v>DC</v>
          </cell>
          <cell r="G905" t="str">
            <v>On Time</v>
          </cell>
          <cell r="H905" t="str">
            <v>0008532229</v>
          </cell>
          <cell r="I905">
            <v>44221</v>
          </cell>
          <cell r="J905" t="str">
            <v>OUTO</v>
          </cell>
          <cell r="K905" t="str">
            <v>D2101132</v>
          </cell>
          <cell r="L905">
            <v>4</v>
          </cell>
          <cell r="M905">
            <v>891793</v>
          </cell>
          <cell r="N905">
            <v>531633</v>
          </cell>
          <cell r="O905" t="str">
            <v xml:space="preserve">1.4306 TP304L </v>
          </cell>
          <cell r="P905" t="str">
            <v>304L</v>
          </cell>
          <cell r="Q905">
            <v>3.1539999999999999</v>
          </cell>
          <cell r="R905">
            <v>3.1585000000000001</v>
          </cell>
          <cell r="S905">
            <v>3.5000000000000003E-2</v>
          </cell>
          <cell r="T905">
            <v>3.465E-2</v>
          </cell>
          <cell r="U905">
            <v>3.5200000000000002E-2</v>
          </cell>
          <cell r="V905">
            <v>3.4924999999999998E-2</v>
          </cell>
          <cell r="W905" t="str">
            <v>BRS</v>
          </cell>
          <cell r="X905">
            <v>2191</v>
          </cell>
          <cell r="Y905">
            <v>1</v>
          </cell>
          <cell r="Z905">
            <v>694.67343056436277</v>
          </cell>
          <cell r="AA905" t="str">
            <v>3.154X0.035-304L</v>
          </cell>
          <cell r="AB905" t="str">
            <v>WAAC008010090B300097</v>
          </cell>
          <cell r="AC905" t="str">
            <v>D2101132</v>
          </cell>
          <cell r="AD905">
            <v>531633</v>
          </cell>
          <cell r="AE905">
            <v>0.02</v>
          </cell>
          <cell r="AF905">
            <v>1.31</v>
          </cell>
          <cell r="AG905">
            <v>3.1E-2</v>
          </cell>
          <cell r="AH905">
            <v>2E-3</v>
          </cell>
          <cell r="AI905">
            <v>0.39</v>
          </cell>
          <cell r="AJ905">
            <v>18.2</v>
          </cell>
          <cell r="AK905">
            <v>8.1</v>
          </cell>
          <cell r="AL905">
            <v>6.8000000000000005E-2</v>
          </cell>
          <cell r="AM905">
            <v>0.35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0.6</v>
          </cell>
          <cell r="AS905">
            <v>0</v>
          </cell>
          <cell r="AT905">
            <v>295</v>
          </cell>
          <cell r="AU905">
            <v>0</v>
          </cell>
          <cell r="AV905">
            <v>628</v>
          </cell>
          <cell r="AW905">
            <v>55</v>
          </cell>
          <cell r="AX905">
            <v>81</v>
          </cell>
          <cell r="AY905">
            <v>153</v>
          </cell>
          <cell r="AZ905">
            <v>1.2891999999999999</v>
          </cell>
          <cell r="BA905" t="str">
            <v>D2101132</v>
          </cell>
          <cell r="BB905" t="str">
            <v>CONFORM</v>
          </cell>
          <cell r="BC905" t="str">
            <v>CONFORM</v>
          </cell>
          <cell r="BD905" t="str">
            <v>CONFORM</v>
          </cell>
          <cell r="BE905" t="str">
            <v>CONFORM</v>
          </cell>
          <cell r="BF905" t="str">
            <v>CONFORM</v>
          </cell>
        </row>
        <row r="906">
          <cell r="A906">
            <v>44223</v>
          </cell>
          <cell r="B906" t="str">
            <v>D2101132-5</v>
          </cell>
          <cell r="C906" t="str">
            <v>095/20</v>
          </cell>
          <cell r="D906">
            <v>1</v>
          </cell>
          <cell r="E906">
            <v>44221</v>
          </cell>
          <cell r="F906" t="str">
            <v>DC</v>
          </cell>
          <cell r="G906" t="str">
            <v>On Time</v>
          </cell>
          <cell r="H906" t="str">
            <v>0008532229</v>
          </cell>
          <cell r="I906">
            <v>44221</v>
          </cell>
          <cell r="J906" t="str">
            <v>OUTO</v>
          </cell>
          <cell r="K906" t="str">
            <v>D2101132</v>
          </cell>
          <cell r="L906">
            <v>5</v>
          </cell>
          <cell r="M906">
            <v>891793</v>
          </cell>
          <cell r="N906">
            <v>531633</v>
          </cell>
          <cell r="O906" t="str">
            <v xml:space="preserve">1.4306 TP304L </v>
          </cell>
          <cell r="P906" t="str">
            <v>304L</v>
          </cell>
          <cell r="Q906">
            <v>3.1539999999999999</v>
          </cell>
          <cell r="R906">
            <v>3.1575000000000002</v>
          </cell>
          <cell r="S906">
            <v>3.5000000000000003E-2</v>
          </cell>
          <cell r="T906">
            <v>3.5049999999999998E-2</v>
          </cell>
          <cell r="U906">
            <v>3.4000000000000002E-2</v>
          </cell>
          <cell r="V906">
            <v>3.4525E-2</v>
          </cell>
          <cell r="W906" t="str">
            <v>BRS</v>
          </cell>
          <cell r="X906">
            <v>2191</v>
          </cell>
          <cell r="Y906">
            <v>1</v>
          </cell>
          <cell r="Z906">
            <v>694.67343056436277</v>
          </cell>
          <cell r="AA906" t="str">
            <v>3.154X0.035-304L</v>
          </cell>
          <cell r="AB906" t="str">
            <v>WAAC008010090B300097</v>
          </cell>
          <cell r="AC906" t="str">
            <v>D2101132</v>
          </cell>
          <cell r="AD906">
            <v>531633</v>
          </cell>
          <cell r="AE906">
            <v>0.02</v>
          </cell>
          <cell r="AF906">
            <v>1.31</v>
          </cell>
          <cell r="AG906">
            <v>3.1E-2</v>
          </cell>
          <cell r="AH906">
            <v>2E-3</v>
          </cell>
          <cell r="AI906">
            <v>0.39</v>
          </cell>
          <cell r="AJ906">
            <v>18.2</v>
          </cell>
          <cell r="AK906">
            <v>8.1</v>
          </cell>
          <cell r="AL906">
            <v>6.8000000000000005E-2</v>
          </cell>
          <cell r="AM906">
            <v>0.35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  <cell r="AR906">
            <v>0.6</v>
          </cell>
          <cell r="AS906">
            <v>0</v>
          </cell>
          <cell r="AT906">
            <v>295</v>
          </cell>
          <cell r="AU906">
            <v>0</v>
          </cell>
          <cell r="AV906">
            <v>628</v>
          </cell>
          <cell r="AW906">
            <v>55</v>
          </cell>
          <cell r="AX906">
            <v>81</v>
          </cell>
          <cell r="AY906">
            <v>153</v>
          </cell>
          <cell r="AZ906">
            <v>1.2891999999999999</v>
          </cell>
          <cell r="BA906" t="str">
            <v>D2101132</v>
          </cell>
          <cell r="BB906" t="str">
            <v>CONFORM</v>
          </cell>
          <cell r="BC906" t="str">
            <v>CONFORM</v>
          </cell>
          <cell r="BD906" t="str">
            <v>CONFORM</v>
          </cell>
          <cell r="BE906" t="str">
            <v>CONFORM</v>
          </cell>
          <cell r="BF906" t="str">
            <v>CONFORM</v>
          </cell>
        </row>
        <row r="907">
          <cell r="A907">
            <v>44223</v>
          </cell>
          <cell r="B907" t="str">
            <v>D2101132-6</v>
          </cell>
          <cell r="C907" t="str">
            <v>095/20</v>
          </cell>
          <cell r="D907">
            <v>1</v>
          </cell>
          <cell r="E907">
            <v>44221</v>
          </cell>
          <cell r="F907" t="str">
            <v>DC</v>
          </cell>
          <cell r="G907" t="str">
            <v>On Time</v>
          </cell>
          <cell r="H907" t="str">
            <v>0008532229</v>
          </cell>
          <cell r="I907">
            <v>44221</v>
          </cell>
          <cell r="J907" t="str">
            <v>OUTO</v>
          </cell>
          <cell r="K907" t="str">
            <v>D2101132</v>
          </cell>
          <cell r="L907">
            <v>6</v>
          </cell>
          <cell r="M907">
            <v>891793</v>
          </cell>
          <cell r="N907">
            <v>531633</v>
          </cell>
          <cell r="O907" t="str">
            <v xml:space="preserve">1.4306 TP304L </v>
          </cell>
          <cell r="P907" t="str">
            <v>304L</v>
          </cell>
          <cell r="Q907">
            <v>3.1539999999999999</v>
          </cell>
          <cell r="R907">
            <v>3.1575000000000002</v>
          </cell>
          <cell r="S907">
            <v>3.5000000000000003E-2</v>
          </cell>
          <cell r="T907">
            <v>3.49E-2</v>
          </cell>
          <cell r="U907">
            <v>3.4000000000000002E-2</v>
          </cell>
          <cell r="V907">
            <v>3.4450000000000001E-2</v>
          </cell>
          <cell r="W907" t="str">
            <v>BRS</v>
          </cell>
          <cell r="X907">
            <v>2200</v>
          </cell>
          <cell r="Y907">
            <v>1</v>
          </cell>
          <cell r="Z907">
            <v>697.52694990488271</v>
          </cell>
          <cell r="AA907" t="str">
            <v>3.154X0.035-304L</v>
          </cell>
          <cell r="AB907" t="str">
            <v>WAAC008010090B300097</v>
          </cell>
          <cell r="AC907" t="str">
            <v>D2101132</v>
          </cell>
          <cell r="AD907">
            <v>531633</v>
          </cell>
          <cell r="AE907">
            <v>0.02</v>
          </cell>
          <cell r="AF907">
            <v>1.31</v>
          </cell>
          <cell r="AG907">
            <v>3.1E-2</v>
          </cell>
          <cell r="AH907">
            <v>2E-3</v>
          </cell>
          <cell r="AI907">
            <v>0.39</v>
          </cell>
          <cell r="AJ907">
            <v>18.2</v>
          </cell>
          <cell r="AK907">
            <v>8.1</v>
          </cell>
          <cell r="AL907">
            <v>6.8000000000000005E-2</v>
          </cell>
          <cell r="AM907">
            <v>0.35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  <cell r="AR907">
            <v>0.6</v>
          </cell>
          <cell r="AS907">
            <v>0</v>
          </cell>
          <cell r="AT907">
            <v>295</v>
          </cell>
          <cell r="AU907">
            <v>0</v>
          </cell>
          <cell r="AV907">
            <v>628</v>
          </cell>
          <cell r="AW907">
            <v>55</v>
          </cell>
          <cell r="AX907">
            <v>81</v>
          </cell>
          <cell r="AY907">
            <v>153</v>
          </cell>
          <cell r="AZ907">
            <v>1.2891999999999999</v>
          </cell>
          <cell r="BA907" t="str">
            <v>D2101132</v>
          </cell>
          <cell r="BB907" t="str">
            <v>CONFORM</v>
          </cell>
          <cell r="BC907" t="str">
            <v>CONFORM</v>
          </cell>
          <cell r="BD907" t="str">
            <v>CONFORM</v>
          </cell>
          <cell r="BE907" t="str">
            <v>CONFORM</v>
          </cell>
          <cell r="BF907" t="str">
            <v>CONFORM</v>
          </cell>
        </row>
        <row r="908">
          <cell r="A908">
            <v>44223</v>
          </cell>
          <cell r="B908" t="str">
            <v>D2101132-7</v>
          </cell>
          <cell r="C908" t="str">
            <v>095/20</v>
          </cell>
          <cell r="D908">
            <v>1</v>
          </cell>
          <cell r="E908">
            <v>44221</v>
          </cell>
          <cell r="F908" t="str">
            <v>DC</v>
          </cell>
          <cell r="G908" t="str">
            <v>On Time</v>
          </cell>
          <cell r="H908" t="str">
            <v>0008532229</v>
          </cell>
          <cell r="I908">
            <v>44221</v>
          </cell>
          <cell r="J908" t="str">
            <v>OUTO</v>
          </cell>
          <cell r="K908" t="str">
            <v>D2101132</v>
          </cell>
          <cell r="L908">
            <v>7</v>
          </cell>
          <cell r="M908">
            <v>891793</v>
          </cell>
          <cell r="N908">
            <v>531633</v>
          </cell>
          <cell r="O908" t="str">
            <v xml:space="preserve">1.4306 TP304L </v>
          </cell>
          <cell r="P908" t="str">
            <v>304L</v>
          </cell>
          <cell r="Q908">
            <v>3.1539999999999999</v>
          </cell>
          <cell r="R908">
            <v>3.1595</v>
          </cell>
          <cell r="S908">
            <v>3.5000000000000003E-2</v>
          </cell>
          <cell r="T908">
            <v>3.4750000000000003E-2</v>
          </cell>
          <cell r="U908">
            <v>3.4950000000000002E-2</v>
          </cell>
          <cell r="V908">
            <v>3.4850000000000006E-2</v>
          </cell>
          <cell r="W908" t="str">
            <v>BRS</v>
          </cell>
          <cell r="X908">
            <v>2205</v>
          </cell>
          <cell r="Y908">
            <v>1</v>
          </cell>
          <cell r="Z908">
            <v>699.11223842739378</v>
          </cell>
          <cell r="AA908" t="str">
            <v>3.154X0.035-304L</v>
          </cell>
          <cell r="AB908" t="str">
            <v>WAAC008010090B300097</v>
          </cell>
          <cell r="AC908" t="str">
            <v>D2101132</v>
          </cell>
          <cell r="AD908">
            <v>531633</v>
          </cell>
          <cell r="AE908">
            <v>0.02</v>
          </cell>
          <cell r="AF908">
            <v>1.31</v>
          </cell>
          <cell r="AG908">
            <v>3.1E-2</v>
          </cell>
          <cell r="AH908">
            <v>2E-3</v>
          </cell>
          <cell r="AI908">
            <v>0.39</v>
          </cell>
          <cell r="AJ908">
            <v>18.2</v>
          </cell>
          <cell r="AK908">
            <v>8.1</v>
          </cell>
          <cell r="AL908">
            <v>6.8000000000000005E-2</v>
          </cell>
          <cell r="AM908">
            <v>0.35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0.6</v>
          </cell>
          <cell r="AS908">
            <v>0</v>
          </cell>
          <cell r="AT908">
            <v>295</v>
          </cell>
          <cell r="AU908">
            <v>0</v>
          </cell>
          <cell r="AV908">
            <v>628</v>
          </cell>
          <cell r="AW908">
            <v>55</v>
          </cell>
          <cell r="AX908">
            <v>81</v>
          </cell>
          <cell r="AY908">
            <v>153</v>
          </cell>
          <cell r="AZ908">
            <v>1.2891999999999999</v>
          </cell>
          <cell r="BA908" t="str">
            <v>D2101132</v>
          </cell>
          <cell r="BB908" t="str">
            <v>CONFORM</v>
          </cell>
          <cell r="BC908" t="str">
            <v>CONFORM</v>
          </cell>
          <cell r="BD908" t="str">
            <v>CONFORM</v>
          </cell>
          <cell r="BE908" t="str">
            <v>CONFORM</v>
          </cell>
          <cell r="BF908" t="str">
            <v>CONFORM</v>
          </cell>
        </row>
        <row r="909">
          <cell r="A909">
            <v>44223</v>
          </cell>
          <cell r="B909" t="str">
            <v>D2101132-8</v>
          </cell>
          <cell r="C909" t="str">
            <v>095/20</v>
          </cell>
          <cell r="D909">
            <v>1</v>
          </cell>
          <cell r="E909">
            <v>44221</v>
          </cell>
          <cell r="F909" t="str">
            <v>DC</v>
          </cell>
          <cell r="G909" t="str">
            <v>On Time</v>
          </cell>
          <cell r="H909" t="str">
            <v>0008532229</v>
          </cell>
          <cell r="I909">
            <v>44221</v>
          </cell>
          <cell r="J909" t="str">
            <v>OUTO</v>
          </cell>
          <cell r="K909" t="str">
            <v>D2101132</v>
          </cell>
          <cell r="L909">
            <v>8</v>
          </cell>
          <cell r="M909">
            <v>891793</v>
          </cell>
          <cell r="N909">
            <v>531633</v>
          </cell>
          <cell r="O909" t="str">
            <v xml:space="preserve">1.4306 TP304L </v>
          </cell>
          <cell r="P909" t="str">
            <v>304L</v>
          </cell>
          <cell r="Q909">
            <v>3.1539999999999999</v>
          </cell>
          <cell r="R909">
            <v>3.1545000000000001</v>
          </cell>
          <cell r="S909">
            <v>3.5000000000000003E-2</v>
          </cell>
          <cell r="T909">
            <v>3.4599999999999999E-2</v>
          </cell>
          <cell r="U909">
            <v>3.5450000000000002E-2</v>
          </cell>
          <cell r="V909">
            <v>3.5025000000000001E-2</v>
          </cell>
          <cell r="W909" t="str">
            <v>BRS</v>
          </cell>
          <cell r="X909">
            <v>2196</v>
          </cell>
          <cell r="Y909">
            <v>1</v>
          </cell>
          <cell r="Z909">
            <v>696.25871908687384</v>
          </cell>
          <cell r="AA909" t="str">
            <v>3.154X0.035-304L</v>
          </cell>
          <cell r="AB909" t="str">
            <v>WAAC008010090B300097</v>
          </cell>
          <cell r="AC909" t="str">
            <v>D2101132</v>
          </cell>
          <cell r="AD909">
            <v>531633</v>
          </cell>
          <cell r="AE909">
            <v>0.02</v>
          </cell>
          <cell r="AF909">
            <v>1.31</v>
          </cell>
          <cell r="AG909">
            <v>3.1E-2</v>
          </cell>
          <cell r="AH909">
            <v>2E-3</v>
          </cell>
          <cell r="AI909">
            <v>0.39</v>
          </cell>
          <cell r="AJ909">
            <v>18.2</v>
          </cell>
          <cell r="AK909">
            <v>8.1</v>
          </cell>
          <cell r="AL909">
            <v>6.8000000000000005E-2</v>
          </cell>
          <cell r="AM909">
            <v>0.35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0.6</v>
          </cell>
          <cell r="AS909">
            <v>0</v>
          </cell>
          <cell r="AT909">
            <v>295</v>
          </cell>
          <cell r="AU909">
            <v>0</v>
          </cell>
          <cell r="AV909">
            <v>628</v>
          </cell>
          <cell r="AW909">
            <v>55</v>
          </cell>
          <cell r="AX909">
            <v>81</v>
          </cell>
          <cell r="AY909">
            <v>153</v>
          </cell>
          <cell r="AZ909">
            <v>1.2891999999999999</v>
          </cell>
          <cell r="BA909" t="str">
            <v>D2101132</v>
          </cell>
          <cell r="BB909" t="str">
            <v>CONFORM</v>
          </cell>
          <cell r="BC909" t="str">
            <v>CONFORM</v>
          </cell>
          <cell r="BD909" t="str">
            <v>CONFORM</v>
          </cell>
          <cell r="BE909" t="str">
            <v>CONFORM</v>
          </cell>
          <cell r="BF909" t="str">
            <v>CONFORM</v>
          </cell>
        </row>
        <row r="910">
          <cell r="A910">
            <v>44223</v>
          </cell>
          <cell r="B910" t="str">
            <v>D2101132-9</v>
          </cell>
          <cell r="C910" t="str">
            <v>095/20</v>
          </cell>
          <cell r="D910">
            <v>1</v>
          </cell>
          <cell r="E910">
            <v>44221</v>
          </cell>
          <cell r="F910" t="str">
            <v>DC</v>
          </cell>
          <cell r="G910" t="str">
            <v>On Time</v>
          </cell>
          <cell r="H910" t="str">
            <v>0008532229</v>
          </cell>
          <cell r="I910">
            <v>44221</v>
          </cell>
          <cell r="J910" t="str">
            <v>OUTO</v>
          </cell>
          <cell r="K910" t="str">
            <v>D2101132</v>
          </cell>
          <cell r="L910">
            <v>9</v>
          </cell>
          <cell r="M910">
            <v>891793</v>
          </cell>
          <cell r="N910">
            <v>531633</v>
          </cell>
          <cell r="O910" t="str">
            <v xml:space="preserve">1.4306 TP304L </v>
          </cell>
          <cell r="P910" t="str">
            <v>304L</v>
          </cell>
          <cell r="Q910">
            <v>3.1539999999999999</v>
          </cell>
          <cell r="R910">
            <v>3.1585000000000001</v>
          </cell>
          <cell r="S910">
            <v>3.5000000000000003E-2</v>
          </cell>
          <cell r="T910">
            <v>3.44E-2</v>
          </cell>
          <cell r="U910">
            <v>3.49E-2</v>
          </cell>
          <cell r="V910">
            <v>3.465E-2</v>
          </cell>
          <cell r="W910" t="str">
            <v>BRS</v>
          </cell>
          <cell r="X910">
            <v>2196</v>
          </cell>
          <cell r="Y910">
            <v>1</v>
          </cell>
          <cell r="Z910">
            <v>696.25871908687384</v>
          </cell>
          <cell r="AA910" t="str">
            <v>3.154X0.035-304L</v>
          </cell>
          <cell r="AB910" t="str">
            <v>WAAC008010090B300097</v>
          </cell>
          <cell r="AC910" t="str">
            <v>D2101132</v>
          </cell>
          <cell r="AD910">
            <v>531633</v>
          </cell>
          <cell r="AE910">
            <v>0.02</v>
          </cell>
          <cell r="AF910">
            <v>1.31</v>
          </cell>
          <cell r="AG910">
            <v>3.1E-2</v>
          </cell>
          <cell r="AH910">
            <v>2E-3</v>
          </cell>
          <cell r="AI910">
            <v>0.39</v>
          </cell>
          <cell r="AJ910">
            <v>18.2</v>
          </cell>
          <cell r="AK910">
            <v>8.1</v>
          </cell>
          <cell r="AL910">
            <v>6.8000000000000005E-2</v>
          </cell>
          <cell r="AM910">
            <v>0.35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0.6</v>
          </cell>
          <cell r="AS910">
            <v>0</v>
          </cell>
          <cell r="AT910">
            <v>295</v>
          </cell>
          <cell r="AU910">
            <v>0</v>
          </cell>
          <cell r="AV910">
            <v>628</v>
          </cell>
          <cell r="AW910">
            <v>55</v>
          </cell>
          <cell r="AX910">
            <v>81</v>
          </cell>
          <cell r="AY910">
            <v>153</v>
          </cell>
          <cell r="AZ910">
            <v>1.2891999999999999</v>
          </cell>
          <cell r="BA910" t="str">
            <v>D2101132</v>
          </cell>
          <cell r="BB910" t="str">
            <v>CONFORM</v>
          </cell>
          <cell r="BC910" t="str">
            <v>CONFORM</v>
          </cell>
          <cell r="BD910" t="str">
            <v>CONFORM</v>
          </cell>
          <cell r="BE910" t="str">
            <v>CONFORM</v>
          </cell>
          <cell r="BF910" t="str">
            <v>CONFORM</v>
          </cell>
        </row>
        <row r="911">
          <cell r="A911">
            <v>44223</v>
          </cell>
          <cell r="B911" t="str">
            <v>D2101132-10</v>
          </cell>
          <cell r="C911" t="str">
            <v>095/20</v>
          </cell>
          <cell r="D911">
            <v>1</v>
          </cell>
          <cell r="E911">
            <v>44221</v>
          </cell>
          <cell r="F911" t="str">
            <v>DC</v>
          </cell>
          <cell r="G911" t="str">
            <v>On Time</v>
          </cell>
          <cell r="H911" t="str">
            <v>0008532229</v>
          </cell>
          <cell r="I911">
            <v>44221</v>
          </cell>
          <cell r="J911" t="str">
            <v>OUTO</v>
          </cell>
          <cell r="K911" t="str">
            <v>D2101132</v>
          </cell>
          <cell r="L911">
            <v>10</v>
          </cell>
          <cell r="M911">
            <v>891793</v>
          </cell>
          <cell r="N911">
            <v>531633</v>
          </cell>
          <cell r="O911" t="str">
            <v xml:space="preserve">1.4306 TP304L </v>
          </cell>
          <cell r="P911" t="str">
            <v>304L</v>
          </cell>
          <cell r="Q911">
            <v>3.1539999999999999</v>
          </cell>
          <cell r="R911">
            <v>3.16</v>
          </cell>
          <cell r="S911">
            <v>3.5000000000000003E-2</v>
          </cell>
          <cell r="T911">
            <v>3.49E-2</v>
          </cell>
          <cell r="U911">
            <v>3.6600000000000001E-2</v>
          </cell>
          <cell r="V911">
            <v>3.5750000000000004E-2</v>
          </cell>
          <cell r="W911" t="str">
            <v>BRS</v>
          </cell>
          <cell r="X911">
            <v>2200</v>
          </cell>
          <cell r="Y911">
            <v>1</v>
          </cell>
          <cell r="Z911">
            <v>697.52694990488271</v>
          </cell>
          <cell r="AA911" t="str">
            <v>3.154X0.035-304L</v>
          </cell>
          <cell r="AB911" t="str">
            <v>WAAC008010090B300097</v>
          </cell>
          <cell r="AC911" t="str">
            <v>D2101132</v>
          </cell>
          <cell r="AD911">
            <v>531633</v>
          </cell>
          <cell r="AE911">
            <v>0.02</v>
          </cell>
          <cell r="AF911">
            <v>1.31</v>
          </cell>
          <cell r="AG911">
            <v>3.1E-2</v>
          </cell>
          <cell r="AH911">
            <v>2E-3</v>
          </cell>
          <cell r="AI911">
            <v>0.39</v>
          </cell>
          <cell r="AJ911">
            <v>18.2</v>
          </cell>
          <cell r="AK911">
            <v>8.1</v>
          </cell>
          <cell r="AL911">
            <v>6.8000000000000005E-2</v>
          </cell>
          <cell r="AM911">
            <v>0.35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  <cell r="AR911">
            <v>0.6</v>
          </cell>
          <cell r="AS911">
            <v>0</v>
          </cell>
          <cell r="AT911">
            <v>295</v>
          </cell>
          <cell r="AU911">
            <v>0</v>
          </cell>
          <cell r="AV911">
            <v>628</v>
          </cell>
          <cell r="AW911">
            <v>55</v>
          </cell>
          <cell r="AX911">
            <v>81</v>
          </cell>
          <cell r="AY911">
            <v>153</v>
          </cell>
          <cell r="AZ911">
            <v>1.2891999999999999</v>
          </cell>
          <cell r="BA911" t="str">
            <v>D2101132</v>
          </cell>
          <cell r="BB911" t="str">
            <v>CONFORM</v>
          </cell>
          <cell r="BC911" t="str">
            <v>CONFORM</v>
          </cell>
          <cell r="BD911" t="str">
            <v>CONFORM</v>
          </cell>
          <cell r="BE911" t="str">
            <v>CONFORM</v>
          </cell>
          <cell r="BF911" t="str">
            <v>CONFORM</v>
          </cell>
        </row>
        <row r="912">
          <cell r="A912">
            <v>44223</v>
          </cell>
          <cell r="B912" t="str">
            <v>D2101132-11</v>
          </cell>
          <cell r="C912" t="str">
            <v>095/20</v>
          </cell>
          <cell r="D912">
            <v>1</v>
          </cell>
          <cell r="E912">
            <v>44221</v>
          </cell>
          <cell r="F912" t="str">
            <v>DC</v>
          </cell>
          <cell r="G912" t="str">
            <v>On Time</v>
          </cell>
          <cell r="H912" t="str">
            <v>0008532229</v>
          </cell>
          <cell r="I912">
            <v>44221</v>
          </cell>
          <cell r="J912" t="str">
            <v>OUTO</v>
          </cell>
          <cell r="K912" t="str">
            <v>D2101132</v>
          </cell>
          <cell r="L912">
            <v>11</v>
          </cell>
          <cell r="M912">
            <v>891793</v>
          </cell>
          <cell r="N912">
            <v>531633</v>
          </cell>
          <cell r="O912" t="str">
            <v xml:space="preserve">1.4306 TP304L </v>
          </cell>
          <cell r="P912" t="str">
            <v>304L</v>
          </cell>
          <cell r="Q912">
            <v>3.1539999999999999</v>
          </cell>
          <cell r="R912">
            <v>3.1585000000000001</v>
          </cell>
          <cell r="S912">
            <v>3.5000000000000003E-2</v>
          </cell>
          <cell r="T912">
            <v>3.465E-2</v>
          </cell>
          <cell r="U912">
            <v>3.5299999999999998E-2</v>
          </cell>
          <cell r="V912">
            <v>3.4974999999999999E-2</v>
          </cell>
          <cell r="W912" t="str">
            <v>BRS</v>
          </cell>
          <cell r="X912">
            <v>2196</v>
          </cell>
          <cell r="Y912">
            <v>1</v>
          </cell>
          <cell r="Z912">
            <v>696.25871908687384</v>
          </cell>
          <cell r="AA912" t="str">
            <v>3.154X0.035-304L</v>
          </cell>
          <cell r="AB912" t="str">
            <v>WAAC008010090B300097</v>
          </cell>
          <cell r="AC912" t="str">
            <v>D2101132</v>
          </cell>
          <cell r="AD912">
            <v>531633</v>
          </cell>
          <cell r="AE912">
            <v>0.02</v>
          </cell>
          <cell r="AF912">
            <v>1.31</v>
          </cell>
          <cell r="AG912">
            <v>3.1E-2</v>
          </cell>
          <cell r="AH912">
            <v>2E-3</v>
          </cell>
          <cell r="AI912">
            <v>0.39</v>
          </cell>
          <cell r="AJ912">
            <v>18.2</v>
          </cell>
          <cell r="AK912">
            <v>8.1</v>
          </cell>
          <cell r="AL912">
            <v>6.8000000000000005E-2</v>
          </cell>
          <cell r="AM912">
            <v>0.35</v>
          </cell>
          <cell r="AN912">
            <v>0</v>
          </cell>
          <cell r="AO912">
            <v>0</v>
          </cell>
          <cell r="AP912">
            <v>0</v>
          </cell>
          <cell r="AQ912">
            <v>0</v>
          </cell>
          <cell r="AR912">
            <v>0.6</v>
          </cell>
          <cell r="AS912">
            <v>0</v>
          </cell>
          <cell r="AT912">
            <v>295</v>
          </cell>
          <cell r="AU912">
            <v>0</v>
          </cell>
          <cell r="AV912">
            <v>628</v>
          </cell>
          <cell r="AW912">
            <v>55</v>
          </cell>
          <cell r="AX912">
            <v>81</v>
          </cell>
          <cell r="AY912">
            <v>153</v>
          </cell>
          <cell r="AZ912">
            <v>1.2891999999999999</v>
          </cell>
          <cell r="BA912" t="str">
            <v>D2101132</v>
          </cell>
          <cell r="BB912" t="str">
            <v>CONFORM</v>
          </cell>
          <cell r="BC912" t="str">
            <v>CONFORM</v>
          </cell>
          <cell r="BD912" t="str">
            <v>CONFORM</v>
          </cell>
          <cell r="BE912" t="str">
            <v>CONFORM</v>
          </cell>
          <cell r="BF912" t="str">
            <v>CONFORM</v>
          </cell>
        </row>
        <row r="913">
          <cell r="A913">
            <v>44223</v>
          </cell>
          <cell r="B913" t="str">
            <v>D2101132-12</v>
          </cell>
          <cell r="C913" t="str">
            <v>095/20</v>
          </cell>
          <cell r="D913">
            <v>1</v>
          </cell>
          <cell r="E913">
            <v>44221</v>
          </cell>
          <cell r="F913" t="str">
            <v>DC</v>
          </cell>
          <cell r="G913" t="str">
            <v>On Time</v>
          </cell>
          <cell r="H913" t="str">
            <v>0008532229</v>
          </cell>
          <cell r="I913">
            <v>44221</v>
          </cell>
          <cell r="J913" t="str">
            <v>OUTO</v>
          </cell>
          <cell r="K913" t="str">
            <v>D2101132</v>
          </cell>
          <cell r="L913">
            <v>12</v>
          </cell>
          <cell r="M913">
            <v>891793</v>
          </cell>
          <cell r="N913">
            <v>531633</v>
          </cell>
          <cell r="O913" t="str">
            <v xml:space="preserve">1.4306 TP304L </v>
          </cell>
          <cell r="P913" t="str">
            <v>304L</v>
          </cell>
          <cell r="Q913">
            <v>3.1539999999999999</v>
          </cell>
          <cell r="R913">
            <v>3.1560000000000001</v>
          </cell>
          <cell r="S913">
            <v>3.5000000000000003E-2</v>
          </cell>
          <cell r="T913">
            <v>3.465E-2</v>
          </cell>
          <cell r="U913">
            <v>3.5900000000000001E-2</v>
          </cell>
          <cell r="V913">
            <v>3.5275000000000001E-2</v>
          </cell>
          <cell r="W913" t="str">
            <v>BRS</v>
          </cell>
          <cell r="X913">
            <v>2183</v>
          </cell>
          <cell r="Y913">
            <v>1</v>
          </cell>
          <cell r="Z913">
            <v>692.13696892834503</v>
          </cell>
          <cell r="AA913" t="str">
            <v>3.154X0.035-304L</v>
          </cell>
          <cell r="AB913" t="str">
            <v>WAAC008010090B300097</v>
          </cell>
          <cell r="AC913" t="str">
            <v>D2101132</v>
          </cell>
          <cell r="AD913">
            <v>531633</v>
          </cell>
          <cell r="AE913">
            <v>0.02</v>
          </cell>
          <cell r="AF913">
            <v>1.31</v>
          </cell>
          <cell r="AG913">
            <v>3.1E-2</v>
          </cell>
          <cell r="AH913">
            <v>2E-3</v>
          </cell>
          <cell r="AI913">
            <v>0.39</v>
          </cell>
          <cell r="AJ913">
            <v>18.2</v>
          </cell>
          <cell r="AK913">
            <v>8.1</v>
          </cell>
          <cell r="AL913">
            <v>6.8000000000000005E-2</v>
          </cell>
          <cell r="AM913">
            <v>0.35</v>
          </cell>
          <cell r="AN913">
            <v>0</v>
          </cell>
          <cell r="AO913">
            <v>0</v>
          </cell>
          <cell r="AP913">
            <v>0</v>
          </cell>
          <cell r="AQ913">
            <v>0</v>
          </cell>
          <cell r="AR913">
            <v>0.6</v>
          </cell>
          <cell r="AS913">
            <v>0</v>
          </cell>
          <cell r="AT913">
            <v>295</v>
          </cell>
          <cell r="AU913">
            <v>0</v>
          </cell>
          <cell r="AV913">
            <v>628</v>
          </cell>
          <cell r="AW913">
            <v>55</v>
          </cell>
          <cell r="AX913">
            <v>81</v>
          </cell>
          <cell r="AY913">
            <v>153</v>
          </cell>
          <cell r="AZ913">
            <v>1.2891999999999999</v>
          </cell>
          <cell r="BA913" t="str">
            <v>D2101132</v>
          </cell>
          <cell r="BB913" t="str">
            <v>CONFORM</v>
          </cell>
          <cell r="BC913" t="str">
            <v>CONFORM</v>
          </cell>
          <cell r="BD913" t="str">
            <v>CONFORM</v>
          </cell>
          <cell r="BE913" t="str">
            <v>CONFORM</v>
          </cell>
          <cell r="BF913" t="str">
            <v>CONFORM</v>
          </cell>
        </row>
        <row r="914">
          <cell r="A914">
            <v>44223</v>
          </cell>
          <cell r="B914" t="str">
            <v>D2101132-13</v>
          </cell>
          <cell r="C914" t="str">
            <v>095/20</v>
          </cell>
          <cell r="D914">
            <v>1</v>
          </cell>
          <cell r="E914">
            <v>44221</v>
          </cell>
          <cell r="F914" t="str">
            <v>DC</v>
          </cell>
          <cell r="G914" t="str">
            <v>On Time</v>
          </cell>
          <cell r="H914" t="str">
            <v>0008532229</v>
          </cell>
          <cell r="I914">
            <v>44221</v>
          </cell>
          <cell r="J914" t="str">
            <v>OUTO</v>
          </cell>
          <cell r="K914" t="str">
            <v>D2101132</v>
          </cell>
          <cell r="L914">
            <v>13</v>
          </cell>
          <cell r="M914">
            <v>891793</v>
          </cell>
          <cell r="N914">
            <v>531633</v>
          </cell>
          <cell r="O914" t="str">
            <v xml:space="preserve">1.4306 TP304L </v>
          </cell>
          <cell r="P914" t="str">
            <v>304L</v>
          </cell>
          <cell r="Q914">
            <v>3.1539999999999999</v>
          </cell>
          <cell r="R914">
            <v>3.157</v>
          </cell>
          <cell r="S914">
            <v>3.5000000000000003E-2</v>
          </cell>
          <cell r="T914">
            <v>3.415E-2</v>
          </cell>
          <cell r="U914">
            <v>3.4799999999999998E-2</v>
          </cell>
          <cell r="V914">
            <v>3.4474999999999999E-2</v>
          </cell>
          <cell r="W914" t="str">
            <v>BRS</v>
          </cell>
          <cell r="X914">
            <v>2174</v>
          </cell>
          <cell r="Y914">
            <v>1</v>
          </cell>
          <cell r="Z914">
            <v>689.28344958782498</v>
          </cell>
          <cell r="AA914" t="str">
            <v>3.154X0.035-304L</v>
          </cell>
          <cell r="AB914" t="str">
            <v>WAAC008010090B300097</v>
          </cell>
          <cell r="AC914" t="str">
            <v>D2101132</v>
          </cell>
          <cell r="AD914">
            <v>531633</v>
          </cell>
          <cell r="AE914">
            <v>0.02</v>
          </cell>
          <cell r="AF914">
            <v>1.31</v>
          </cell>
          <cell r="AG914">
            <v>3.1E-2</v>
          </cell>
          <cell r="AH914">
            <v>2E-3</v>
          </cell>
          <cell r="AI914">
            <v>0.39</v>
          </cell>
          <cell r="AJ914">
            <v>18.2</v>
          </cell>
          <cell r="AK914">
            <v>8.1</v>
          </cell>
          <cell r="AL914">
            <v>6.8000000000000005E-2</v>
          </cell>
          <cell r="AM914">
            <v>0.35</v>
          </cell>
          <cell r="AN914">
            <v>0</v>
          </cell>
          <cell r="AO914">
            <v>0</v>
          </cell>
          <cell r="AP914">
            <v>0</v>
          </cell>
          <cell r="AQ914">
            <v>0</v>
          </cell>
          <cell r="AR914">
            <v>0.6</v>
          </cell>
          <cell r="AS914">
            <v>0</v>
          </cell>
          <cell r="AT914">
            <v>295</v>
          </cell>
          <cell r="AU914">
            <v>0</v>
          </cell>
          <cell r="AV914">
            <v>628</v>
          </cell>
          <cell r="AW914">
            <v>55</v>
          </cell>
          <cell r="AX914">
            <v>81</v>
          </cell>
          <cell r="AY914">
            <v>153</v>
          </cell>
          <cell r="AZ914">
            <v>1.2891999999999999</v>
          </cell>
          <cell r="BA914" t="str">
            <v>D2101132</v>
          </cell>
          <cell r="BB914" t="str">
            <v>CONFORM</v>
          </cell>
          <cell r="BC914" t="str">
            <v>CONFORM</v>
          </cell>
          <cell r="BD914" t="str">
            <v>CONFORM</v>
          </cell>
          <cell r="BE914" t="str">
            <v>CONFORM</v>
          </cell>
          <cell r="BF914" t="str">
            <v>CONFORM</v>
          </cell>
        </row>
        <row r="915">
          <cell r="A915">
            <v>44223</v>
          </cell>
          <cell r="B915" t="str">
            <v>D2101132-14</v>
          </cell>
          <cell r="C915" t="str">
            <v>095/20</v>
          </cell>
          <cell r="D915">
            <v>1</v>
          </cell>
          <cell r="E915">
            <v>44221</v>
          </cell>
          <cell r="F915" t="str">
            <v>DC</v>
          </cell>
          <cell r="G915" t="str">
            <v>On Time</v>
          </cell>
          <cell r="H915" t="str">
            <v>0008532229</v>
          </cell>
          <cell r="I915">
            <v>44221</v>
          </cell>
          <cell r="J915" t="str">
            <v>OUTO</v>
          </cell>
          <cell r="K915" t="str">
            <v>D2101132</v>
          </cell>
          <cell r="L915">
            <v>14</v>
          </cell>
          <cell r="M915">
            <v>891793</v>
          </cell>
          <cell r="N915">
            <v>531633</v>
          </cell>
          <cell r="O915" t="str">
            <v xml:space="preserve">1.4306 TP304L </v>
          </cell>
          <cell r="P915" t="str">
            <v>304L</v>
          </cell>
          <cell r="Q915">
            <v>3.1539999999999999</v>
          </cell>
          <cell r="R915">
            <v>3.1575000000000002</v>
          </cell>
          <cell r="S915">
            <v>3.5000000000000003E-2</v>
          </cell>
          <cell r="T915">
            <v>3.4200000000000001E-2</v>
          </cell>
          <cell r="U915">
            <v>3.4250000000000003E-2</v>
          </cell>
          <cell r="V915">
            <v>3.4225000000000005E-2</v>
          </cell>
          <cell r="W915" t="str">
            <v>BRS</v>
          </cell>
          <cell r="X915">
            <v>2186</v>
          </cell>
          <cell r="Y915">
            <v>1</v>
          </cell>
          <cell r="Z915">
            <v>693.0881420418516</v>
          </cell>
          <cell r="AA915" t="str">
            <v>3.154X0.035-304L</v>
          </cell>
          <cell r="AB915" t="str">
            <v>WAAC008010090B300097</v>
          </cell>
          <cell r="AC915" t="str">
            <v>D2101132</v>
          </cell>
          <cell r="AD915">
            <v>531633</v>
          </cell>
          <cell r="AE915">
            <v>0.02</v>
          </cell>
          <cell r="AF915">
            <v>1.31</v>
          </cell>
          <cell r="AG915">
            <v>3.1E-2</v>
          </cell>
          <cell r="AH915">
            <v>2E-3</v>
          </cell>
          <cell r="AI915">
            <v>0.39</v>
          </cell>
          <cell r="AJ915">
            <v>18.2</v>
          </cell>
          <cell r="AK915">
            <v>8.1</v>
          </cell>
          <cell r="AL915">
            <v>6.8000000000000005E-2</v>
          </cell>
          <cell r="AM915">
            <v>0.35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  <cell r="AR915">
            <v>0.6</v>
          </cell>
          <cell r="AS915">
            <v>0</v>
          </cell>
          <cell r="AT915">
            <v>295</v>
          </cell>
          <cell r="AU915">
            <v>0</v>
          </cell>
          <cell r="AV915">
            <v>628</v>
          </cell>
          <cell r="AW915">
            <v>55</v>
          </cell>
          <cell r="AX915">
            <v>81</v>
          </cell>
          <cell r="AY915">
            <v>153</v>
          </cell>
          <cell r="AZ915">
            <v>1.2891999999999999</v>
          </cell>
          <cell r="BA915" t="str">
            <v>D2101132</v>
          </cell>
          <cell r="BB915" t="str">
            <v>CONFORM</v>
          </cell>
          <cell r="BC915" t="str">
            <v>CONFORM</v>
          </cell>
          <cell r="BD915" t="str">
            <v>CONFORM</v>
          </cell>
          <cell r="BE915" t="str">
            <v>CONFORM</v>
          </cell>
          <cell r="BF915" t="str">
            <v>CONFORM</v>
          </cell>
        </row>
        <row r="916">
          <cell r="A916">
            <v>44223</v>
          </cell>
          <cell r="B916" t="str">
            <v>D2101132-15</v>
          </cell>
          <cell r="C916" t="str">
            <v>095/20</v>
          </cell>
          <cell r="D916">
            <v>1</v>
          </cell>
          <cell r="E916">
            <v>44221</v>
          </cell>
          <cell r="F916" t="str">
            <v>DC</v>
          </cell>
          <cell r="G916" t="str">
            <v>On Time</v>
          </cell>
          <cell r="H916" t="str">
            <v>0008532229</v>
          </cell>
          <cell r="I916">
            <v>44221</v>
          </cell>
          <cell r="J916" t="str">
            <v>OUTO</v>
          </cell>
          <cell r="K916" t="str">
            <v>D2101132</v>
          </cell>
          <cell r="L916">
            <v>15</v>
          </cell>
          <cell r="M916">
            <v>891793</v>
          </cell>
          <cell r="N916">
            <v>531633</v>
          </cell>
          <cell r="O916" t="str">
            <v xml:space="preserve">1.4306 TP304L </v>
          </cell>
          <cell r="P916" t="str">
            <v>304L</v>
          </cell>
          <cell r="Q916">
            <v>3.1539999999999999</v>
          </cell>
          <cell r="R916">
            <v>3.1575000000000002</v>
          </cell>
          <cell r="S916">
            <v>3.5000000000000003E-2</v>
          </cell>
          <cell r="T916">
            <v>3.4950000000000002E-2</v>
          </cell>
          <cell r="U916">
            <v>3.4549999999999997E-2</v>
          </cell>
          <cell r="V916">
            <v>3.4750000000000003E-2</v>
          </cell>
          <cell r="W916" t="str">
            <v>BRS</v>
          </cell>
          <cell r="X916">
            <v>2161</v>
          </cell>
          <cell r="Y916">
            <v>1</v>
          </cell>
          <cell r="Z916">
            <v>685.16169942929616</v>
          </cell>
          <cell r="AA916" t="str">
            <v>3.154X0.035-304L</v>
          </cell>
          <cell r="AB916" t="str">
            <v>WAAC008010090B300097</v>
          </cell>
          <cell r="AC916" t="str">
            <v>D2101132</v>
          </cell>
          <cell r="AD916">
            <v>531633</v>
          </cell>
          <cell r="AE916">
            <v>0.02</v>
          </cell>
          <cell r="AF916">
            <v>1.31</v>
          </cell>
          <cell r="AG916">
            <v>3.1E-2</v>
          </cell>
          <cell r="AH916">
            <v>2E-3</v>
          </cell>
          <cell r="AI916">
            <v>0.39</v>
          </cell>
          <cell r="AJ916">
            <v>18.2</v>
          </cell>
          <cell r="AK916">
            <v>8.1</v>
          </cell>
          <cell r="AL916">
            <v>6.8000000000000005E-2</v>
          </cell>
          <cell r="AM916">
            <v>0.35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0.6</v>
          </cell>
          <cell r="AS916">
            <v>0</v>
          </cell>
          <cell r="AT916">
            <v>295</v>
          </cell>
          <cell r="AU916">
            <v>0</v>
          </cell>
          <cell r="AV916">
            <v>628</v>
          </cell>
          <cell r="AW916">
            <v>55</v>
          </cell>
          <cell r="AX916">
            <v>81</v>
          </cell>
          <cell r="AY916">
            <v>153</v>
          </cell>
          <cell r="AZ916">
            <v>1.2891999999999999</v>
          </cell>
          <cell r="BA916" t="str">
            <v>D2101132</v>
          </cell>
          <cell r="BB916" t="str">
            <v>CONFORM</v>
          </cell>
          <cell r="BC916" t="str">
            <v>CONFORM</v>
          </cell>
          <cell r="BD916" t="str">
            <v>CONFORM</v>
          </cell>
          <cell r="BE916" t="str">
            <v>CONFORM</v>
          </cell>
          <cell r="BF916" t="str">
            <v>CONFORM</v>
          </cell>
        </row>
        <row r="917">
          <cell r="A917">
            <v>44223</v>
          </cell>
          <cell r="B917" t="str">
            <v>D2101141-1</v>
          </cell>
          <cell r="C917" t="str">
            <v>006/21</v>
          </cell>
          <cell r="D917">
            <v>1</v>
          </cell>
          <cell r="E917">
            <v>44222</v>
          </cell>
          <cell r="F917" t="str">
            <v>DC</v>
          </cell>
          <cell r="G917" t="str">
            <v>On Time</v>
          </cell>
          <cell r="H917">
            <v>2407972203</v>
          </cell>
          <cell r="I917">
            <v>44218</v>
          </cell>
          <cell r="J917" t="str">
            <v>TKM</v>
          </cell>
          <cell r="K917" t="str">
            <v>D2101141</v>
          </cell>
          <cell r="L917">
            <v>1</v>
          </cell>
          <cell r="M917">
            <v>3309462</v>
          </cell>
          <cell r="N917">
            <v>531083</v>
          </cell>
          <cell r="O917" t="str">
            <v xml:space="preserve">1.4306 TP304L </v>
          </cell>
          <cell r="P917" t="str">
            <v>304L</v>
          </cell>
          <cell r="Q917">
            <v>1.948</v>
          </cell>
          <cell r="R917">
            <v>3.15</v>
          </cell>
          <cell r="S917">
            <v>3.5000000000000003E-2</v>
          </cell>
          <cell r="T917">
            <v>3.5700000000000003E-2</v>
          </cell>
          <cell r="V917">
            <v>3.5700000000000003E-2</v>
          </cell>
          <cell r="X917">
            <v>3388</v>
          </cell>
          <cell r="Y917">
            <v>5</v>
          </cell>
          <cell r="Z917">
            <v>347.8439425051335</v>
          </cell>
          <cell r="AA917" t="str">
            <v>1.948X0.035-304L</v>
          </cell>
          <cell r="AB917" t="str">
            <v>WAAC004950089B200032</v>
          </cell>
          <cell r="AC917" t="str">
            <v>D2101141</v>
          </cell>
          <cell r="AD917">
            <v>531083</v>
          </cell>
          <cell r="AE917">
            <v>2.5999999999999999E-2</v>
          </cell>
          <cell r="AF917">
            <v>1.33</v>
          </cell>
          <cell r="AG917">
            <v>3.3000000000000002E-2</v>
          </cell>
          <cell r="AH917">
            <v>1E-3</v>
          </cell>
          <cell r="AI917">
            <v>0.35</v>
          </cell>
          <cell r="AJ917">
            <v>18.100000000000001</v>
          </cell>
          <cell r="AK917">
            <v>8.1</v>
          </cell>
          <cell r="AL917">
            <v>6.3E-2</v>
          </cell>
          <cell r="AM917">
            <v>0.36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  <cell r="AR917">
            <v>0</v>
          </cell>
          <cell r="AS917">
            <v>0</v>
          </cell>
          <cell r="AT917">
            <v>296</v>
          </cell>
          <cell r="AU917">
            <v>324</v>
          </cell>
          <cell r="AV917">
            <v>652</v>
          </cell>
          <cell r="AW917">
            <v>53</v>
          </cell>
          <cell r="AX917">
            <v>82</v>
          </cell>
          <cell r="AY917">
            <v>156</v>
          </cell>
          <cell r="AZ917">
            <v>2.39</v>
          </cell>
          <cell r="BA917" t="str">
            <v>D2101141</v>
          </cell>
          <cell r="BB917" t="str">
            <v>CONFORM</v>
          </cell>
          <cell r="BC917" t="str">
            <v>CONFORM</v>
          </cell>
          <cell r="BD917" t="str">
            <v>CONFORM</v>
          </cell>
          <cell r="BE917" t="str">
            <v>CONFORM</v>
          </cell>
          <cell r="BF917" t="str">
            <v>CONFORM</v>
          </cell>
        </row>
        <row r="918">
          <cell r="A918">
            <v>44223</v>
          </cell>
          <cell r="B918" t="str">
            <v>D2101141-2</v>
          </cell>
          <cell r="C918" t="str">
            <v>006/21</v>
          </cell>
          <cell r="D918">
            <v>1</v>
          </cell>
          <cell r="E918">
            <v>44222</v>
          </cell>
          <cell r="F918" t="str">
            <v>DC</v>
          </cell>
          <cell r="G918" t="str">
            <v>On Time</v>
          </cell>
          <cell r="H918">
            <v>2407972203</v>
          </cell>
          <cell r="I918">
            <v>44218</v>
          </cell>
          <cell r="J918" t="str">
            <v>TKM</v>
          </cell>
          <cell r="K918" t="str">
            <v>D2101141</v>
          </cell>
          <cell r="L918">
            <v>2</v>
          </cell>
          <cell r="M918">
            <v>3309462</v>
          </cell>
          <cell r="N918">
            <v>531083</v>
          </cell>
          <cell r="O918" t="str">
            <v xml:space="preserve">1.4306 TP304L </v>
          </cell>
          <cell r="P918" t="str">
            <v>304L</v>
          </cell>
          <cell r="Q918">
            <v>1.948</v>
          </cell>
          <cell r="R918">
            <v>3.1509999999999998</v>
          </cell>
          <cell r="S918">
            <v>3.5000000000000003E-2</v>
          </cell>
          <cell r="T918">
            <v>3.5799999999999998E-2</v>
          </cell>
          <cell r="V918">
            <v>3.5799999999999998E-2</v>
          </cell>
          <cell r="X918">
            <v>3410</v>
          </cell>
          <cell r="Y918">
            <v>5</v>
          </cell>
          <cell r="Z918">
            <v>350.10266940451748</v>
          </cell>
          <cell r="AA918" t="str">
            <v>1.948X0.035-304L</v>
          </cell>
          <cell r="AB918" t="str">
            <v>WAAC004950089B200032</v>
          </cell>
          <cell r="AC918" t="str">
            <v>D2101141</v>
          </cell>
          <cell r="AD918">
            <v>531083</v>
          </cell>
          <cell r="AE918">
            <v>2.5999999999999999E-2</v>
          </cell>
          <cell r="AF918">
            <v>1.33</v>
          </cell>
          <cell r="AG918">
            <v>3.3000000000000002E-2</v>
          </cell>
          <cell r="AH918">
            <v>1E-3</v>
          </cell>
          <cell r="AI918">
            <v>0.35</v>
          </cell>
          <cell r="AJ918">
            <v>18.100000000000001</v>
          </cell>
          <cell r="AK918">
            <v>8.1</v>
          </cell>
          <cell r="AL918">
            <v>6.3E-2</v>
          </cell>
          <cell r="AM918">
            <v>0.36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  <cell r="AS918">
            <v>0</v>
          </cell>
          <cell r="AT918">
            <v>296</v>
          </cell>
          <cell r="AU918">
            <v>324</v>
          </cell>
          <cell r="AV918">
            <v>652</v>
          </cell>
          <cell r="AW918">
            <v>53</v>
          </cell>
          <cell r="AX918">
            <v>82</v>
          </cell>
          <cell r="AY918">
            <v>156</v>
          </cell>
          <cell r="AZ918">
            <v>2.39</v>
          </cell>
          <cell r="BA918" t="str">
            <v>D2101141</v>
          </cell>
          <cell r="BB918" t="str">
            <v>CONFORM</v>
          </cell>
          <cell r="BC918" t="str">
            <v>CONFORM</v>
          </cell>
          <cell r="BD918" t="str">
            <v>CONFORM</v>
          </cell>
          <cell r="BE918" t="str">
            <v>CONFORM</v>
          </cell>
          <cell r="BF918" t="str">
            <v>CONFORM</v>
          </cell>
        </row>
        <row r="919">
          <cell r="A919">
            <v>44223</v>
          </cell>
          <cell r="B919" t="str">
            <v>D2101141-3</v>
          </cell>
          <cell r="C919" t="str">
            <v>006/21</v>
          </cell>
          <cell r="D919">
            <v>1</v>
          </cell>
          <cell r="E919">
            <v>44222</v>
          </cell>
          <cell r="F919" t="str">
            <v>DC</v>
          </cell>
          <cell r="G919" t="str">
            <v>On Time</v>
          </cell>
          <cell r="H919">
            <v>2407972203</v>
          </cell>
          <cell r="I919">
            <v>44218</v>
          </cell>
          <cell r="J919" t="str">
            <v>TKM</v>
          </cell>
          <cell r="K919" t="str">
            <v>D2101141</v>
          </cell>
          <cell r="L919">
            <v>3</v>
          </cell>
          <cell r="M919">
            <v>3309462</v>
          </cell>
          <cell r="N919">
            <v>531083</v>
          </cell>
          <cell r="O919" t="str">
            <v xml:space="preserve">1.4306 TP304L </v>
          </cell>
          <cell r="P919" t="str">
            <v>304L</v>
          </cell>
          <cell r="Q919">
            <v>1.948</v>
          </cell>
          <cell r="R919">
            <v>3.1539999999999999</v>
          </cell>
          <cell r="S919">
            <v>3.5000000000000003E-2</v>
          </cell>
          <cell r="T919">
            <v>3.61E-2</v>
          </cell>
          <cell r="V919">
            <v>3.61E-2</v>
          </cell>
          <cell r="X919">
            <v>3398</v>
          </cell>
          <cell r="Y919">
            <v>5</v>
          </cell>
          <cell r="Z919">
            <v>348.87063655030801</v>
          </cell>
          <cell r="AA919" t="str">
            <v>1.948X0.035-304L</v>
          </cell>
          <cell r="AB919" t="str">
            <v>WAAC004950089B200032</v>
          </cell>
          <cell r="AC919" t="str">
            <v>D2101141</v>
          </cell>
          <cell r="AD919">
            <v>531083</v>
          </cell>
          <cell r="AE919">
            <v>2.5999999999999999E-2</v>
          </cell>
          <cell r="AF919">
            <v>1.33</v>
          </cell>
          <cell r="AG919">
            <v>3.3000000000000002E-2</v>
          </cell>
          <cell r="AH919">
            <v>1E-3</v>
          </cell>
          <cell r="AI919">
            <v>0.35</v>
          </cell>
          <cell r="AJ919">
            <v>18.100000000000001</v>
          </cell>
          <cell r="AK919">
            <v>8.1</v>
          </cell>
          <cell r="AL919">
            <v>6.3E-2</v>
          </cell>
          <cell r="AM919">
            <v>0.36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  <cell r="AS919">
            <v>0</v>
          </cell>
          <cell r="AT919">
            <v>296</v>
          </cell>
          <cell r="AU919">
            <v>324</v>
          </cell>
          <cell r="AV919">
            <v>652</v>
          </cell>
          <cell r="AW919">
            <v>53</v>
          </cell>
          <cell r="AX919">
            <v>82</v>
          </cell>
          <cell r="AY919">
            <v>156</v>
          </cell>
          <cell r="AZ919">
            <v>2.39</v>
          </cell>
          <cell r="BA919" t="str">
            <v>D2101141</v>
          </cell>
          <cell r="BB919" t="str">
            <v>CONFORM</v>
          </cell>
          <cell r="BC919" t="str">
            <v>CONFORM</v>
          </cell>
          <cell r="BD919" t="str">
            <v>CONFORM</v>
          </cell>
          <cell r="BE919" t="str">
            <v>CONFORM</v>
          </cell>
          <cell r="BF919" t="str">
            <v>CONFORM</v>
          </cell>
        </row>
        <row r="920">
          <cell r="A920">
            <v>44223</v>
          </cell>
          <cell r="B920" t="str">
            <v>D2101142-1</v>
          </cell>
          <cell r="C920" t="str">
            <v>006/21</v>
          </cell>
          <cell r="D920">
            <v>2</v>
          </cell>
          <cell r="E920">
            <v>44222</v>
          </cell>
          <cell r="F920" t="str">
            <v>DC</v>
          </cell>
          <cell r="G920" t="str">
            <v>On Time</v>
          </cell>
          <cell r="H920">
            <v>2407972203</v>
          </cell>
          <cell r="I920">
            <v>44218</v>
          </cell>
          <cell r="J920" t="str">
            <v>TKM</v>
          </cell>
          <cell r="K920" t="str">
            <v>D2101142</v>
          </cell>
          <cell r="L920">
            <v>1</v>
          </cell>
          <cell r="M920">
            <v>3309462</v>
          </cell>
          <cell r="N920">
            <v>531083</v>
          </cell>
          <cell r="O920" t="str">
            <v xml:space="preserve">1.4306 TP304L </v>
          </cell>
          <cell r="P920" t="str">
            <v>304L</v>
          </cell>
          <cell r="Q920">
            <v>3.1539999999999999</v>
          </cell>
          <cell r="R920">
            <v>1.9464999999999999</v>
          </cell>
          <cell r="S920">
            <v>3.5000000000000003E-2</v>
          </cell>
          <cell r="T920">
            <v>3.6450000000000003E-2</v>
          </cell>
          <cell r="U920">
            <v>3.705E-2</v>
          </cell>
          <cell r="V920">
            <v>3.6750000000000005E-2</v>
          </cell>
          <cell r="W920" t="str">
            <v>BRS</v>
          </cell>
          <cell r="X920">
            <v>2146</v>
          </cell>
          <cell r="Y920">
            <v>6</v>
          </cell>
          <cell r="Z920">
            <v>113.40097231029381</v>
          </cell>
          <cell r="AA920" t="str">
            <v>3.154X0.035-304L</v>
          </cell>
          <cell r="AB920" t="str">
            <v>WAAC008010090B300097</v>
          </cell>
          <cell r="AC920" t="str">
            <v>D2101142</v>
          </cell>
          <cell r="AD920">
            <v>531083</v>
          </cell>
          <cell r="AE920">
            <v>2.5999999999999999E-2</v>
          </cell>
          <cell r="AF920">
            <v>1.33</v>
          </cell>
          <cell r="AG920">
            <v>3.3000000000000002E-2</v>
          </cell>
          <cell r="AH920">
            <v>1E-3</v>
          </cell>
          <cell r="AI920">
            <v>0.35</v>
          </cell>
          <cell r="AJ920">
            <v>18.100000000000001</v>
          </cell>
          <cell r="AK920">
            <v>8.1</v>
          </cell>
          <cell r="AL920">
            <v>6.3E-2</v>
          </cell>
          <cell r="AM920">
            <v>0.36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  <cell r="AS920">
            <v>0</v>
          </cell>
          <cell r="AT920">
            <v>296</v>
          </cell>
          <cell r="AU920">
            <v>324</v>
          </cell>
          <cell r="AV920">
            <v>652</v>
          </cell>
          <cell r="AW920">
            <v>53</v>
          </cell>
          <cell r="AX920">
            <v>82</v>
          </cell>
          <cell r="AY920">
            <v>156</v>
          </cell>
          <cell r="AZ920">
            <v>2.39</v>
          </cell>
          <cell r="BA920" t="str">
            <v>D2101142</v>
          </cell>
          <cell r="BB920" t="str">
            <v>CONFORM</v>
          </cell>
          <cell r="BC920" t="str">
            <v>CONFORM</v>
          </cell>
          <cell r="BD920" t="str">
            <v>CONFORM</v>
          </cell>
          <cell r="BE920" t="str">
            <v>CONFORM</v>
          </cell>
          <cell r="BF920" t="str">
            <v>CONFORM</v>
          </cell>
        </row>
        <row r="921">
          <cell r="A921">
            <v>44223</v>
          </cell>
          <cell r="B921" t="str">
            <v>D2101142-2</v>
          </cell>
          <cell r="C921" t="str">
            <v>006/21</v>
          </cell>
          <cell r="D921">
            <v>2</v>
          </cell>
          <cell r="E921">
            <v>44222</v>
          </cell>
          <cell r="F921" t="str">
            <v>DC</v>
          </cell>
          <cell r="G921" t="str">
            <v>On Time</v>
          </cell>
          <cell r="H921">
            <v>2407972203</v>
          </cell>
          <cell r="I921">
            <v>44218</v>
          </cell>
          <cell r="J921" t="str">
            <v>TKM</v>
          </cell>
          <cell r="K921" t="str">
            <v>D2101142</v>
          </cell>
          <cell r="L921">
            <v>2</v>
          </cell>
          <cell r="M921">
            <v>3309462</v>
          </cell>
          <cell r="N921">
            <v>531083</v>
          </cell>
          <cell r="O921" t="str">
            <v xml:space="preserve">1.4306 TP304L </v>
          </cell>
          <cell r="P921" t="str">
            <v>304L</v>
          </cell>
          <cell r="Q921">
            <v>3.1539999999999999</v>
          </cell>
          <cell r="R921">
            <v>1.9475</v>
          </cell>
          <cell r="S921">
            <v>3.5000000000000003E-2</v>
          </cell>
          <cell r="T921">
            <v>3.6249999999999998E-2</v>
          </cell>
          <cell r="U921">
            <v>3.6249999999999998E-2</v>
          </cell>
          <cell r="V921">
            <v>3.6249999999999998E-2</v>
          </cell>
          <cell r="W921" t="str">
            <v>BRS</v>
          </cell>
          <cell r="X921">
            <v>2138</v>
          </cell>
          <cell r="Y921">
            <v>6</v>
          </cell>
          <cell r="Z921">
            <v>112.97822870429084</v>
          </cell>
          <cell r="AA921" t="str">
            <v>3.154X0.035-304L</v>
          </cell>
          <cell r="AB921" t="str">
            <v>WAAC008010090B300097</v>
          </cell>
          <cell r="AC921" t="str">
            <v>D2101142</v>
          </cell>
          <cell r="AD921">
            <v>531083</v>
          </cell>
          <cell r="AE921">
            <v>2.5999999999999999E-2</v>
          </cell>
          <cell r="AF921">
            <v>1.33</v>
          </cell>
          <cell r="AG921">
            <v>3.3000000000000002E-2</v>
          </cell>
          <cell r="AH921">
            <v>1E-3</v>
          </cell>
          <cell r="AI921">
            <v>0.35</v>
          </cell>
          <cell r="AJ921">
            <v>18.100000000000001</v>
          </cell>
          <cell r="AK921">
            <v>8.1</v>
          </cell>
          <cell r="AL921">
            <v>6.3E-2</v>
          </cell>
          <cell r="AM921">
            <v>0.36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  <cell r="AS921">
            <v>0</v>
          </cell>
          <cell r="AT921">
            <v>296</v>
          </cell>
          <cell r="AU921">
            <v>324</v>
          </cell>
          <cell r="AV921">
            <v>652</v>
          </cell>
          <cell r="AW921">
            <v>53</v>
          </cell>
          <cell r="AX921">
            <v>82</v>
          </cell>
          <cell r="AY921">
            <v>156</v>
          </cell>
          <cell r="AZ921">
            <v>2.39</v>
          </cell>
          <cell r="BA921" t="str">
            <v>D2101142</v>
          </cell>
          <cell r="BB921" t="str">
            <v>CONFORM</v>
          </cell>
          <cell r="BC921" t="str">
            <v>CONFORM</v>
          </cell>
          <cell r="BD921" t="str">
            <v>CONFORM</v>
          </cell>
          <cell r="BE921" t="str">
            <v>CONFORM</v>
          </cell>
          <cell r="BF921" t="str">
            <v>CONFORM</v>
          </cell>
        </row>
        <row r="922">
          <cell r="A922">
            <v>44223</v>
          </cell>
          <cell r="B922" t="str">
            <v>D2101142-3</v>
          </cell>
          <cell r="C922" t="str">
            <v>006/21</v>
          </cell>
          <cell r="D922">
            <v>2</v>
          </cell>
          <cell r="E922">
            <v>44222</v>
          </cell>
          <cell r="F922" t="str">
            <v>DC</v>
          </cell>
          <cell r="G922" t="str">
            <v>On Time</v>
          </cell>
          <cell r="H922">
            <v>2407972203</v>
          </cell>
          <cell r="I922">
            <v>44218</v>
          </cell>
          <cell r="J922" t="str">
            <v>TKM</v>
          </cell>
          <cell r="K922" t="str">
            <v>D2101142</v>
          </cell>
          <cell r="L922">
            <v>3</v>
          </cell>
          <cell r="M922">
            <v>3309462</v>
          </cell>
          <cell r="N922">
            <v>531083</v>
          </cell>
          <cell r="O922" t="str">
            <v xml:space="preserve">1.4306 TP304L </v>
          </cell>
          <cell r="P922" t="str">
            <v>304L</v>
          </cell>
          <cell r="Q922">
            <v>3.1539999999999999</v>
          </cell>
          <cell r="R922">
            <v>1.9470000000000001</v>
          </cell>
          <cell r="S922">
            <v>3.5000000000000003E-2</v>
          </cell>
          <cell r="T922">
            <v>3.6549999999999999E-2</v>
          </cell>
          <cell r="U922">
            <v>3.6700000000000003E-2</v>
          </cell>
          <cell r="V922">
            <v>3.6625000000000005E-2</v>
          </cell>
          <cell r="W922" t="str">
            <v>BRS</v>
          </cell>
          <cell r="X922">
            <v>2109</v>
          </cell>
          <cell r="Y922">
            <v>6</v>
          </cell>
          <cell r="Z922">
            <v>111.44578313253012</v>
          </cell>
          <cell r="AA922" t="str">
            <v>3.154X0.035-304L</v>
          </cell>
          <cell r="AB922" t="str">
            <v>WAAC008010090B300097</v>
          </cell>
          <cell r="AC922" t="str">
            <v>D2101142</v>
          </cell>
          <cell r="AD922">
            <v>531083</v>
          </cell>
          <cell r="AE922">
            <v>2.5999999999999999E-2</v>
          </cell>
          <cell r="AF922">
            <v>1.33</v>
          </cell>
          <cell r="AG922">
            <v>3.3000000000000002E-2</v>
          </cell>
          <cell r="AH922">
            <v>1E-3</v>
          </cell>
          <cell r="AI922">
            <v>0.35</v>
          </cell>
          <cell r="AJ922">
            <v>18.100000000000001</v>
          </cell>
          <cell r="AK922">
            <v>8.1</v>
          </cell>
          <cell r="AL922">
            <v>6.3E-2</v>
          </cell>
          <cell r="AM922">
            <v>0.36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  <cell r="AR922">
            <v>0</v>
          </cell>
          <cell r="AS922">
            <v>0</v>
          </cell>
          <cell r="AT922">
            <v>296</v>
          </cell>
          <cell r="AU922">
            <v>324</v>
          </cell>
          <cell r="AV922">
            <v>652</v>
          </cell>
          <cell r="AW922">
            <v>53</v>
          </cell>
          <cell r="AX922">
            <v>82</v>
          </cell>
          <cell r="AY922">
            <v>156</v>
          </cell>
          <cell r="AZ922">
            <v>2.39</v>
          </cell>
          <cell r="BA922" t="str">
            <v>D2101142</v>
          </cell>
          <cell r="BB922" t="str">
            <v>CONFORM</v>
          </cell>
          <cell r="BC922" t="str">
            <v>CONFORM</v>
          </cell>
          <cell r="BD922" t="str">
            <v>CONFORM</v>
          </cell>
          <cell r="BE922" t="str">
            <v>CONFORM</v>
          </cell>
          <cell r="BF922" t="str">
            <v>CONFORM</v>
          </cell>
        </row>
        <row r="923">
          <cell r="A923">
            <v>44223</v>
          </cell>
          <cell r="B923" t="str">
            <v>D2101142-4</v>
          </cell>
          <cell r="C923" t="str">
            <v>006/21</v>
          </cell>
          <cell r="D923">
            <v>2</v>
          </cell>
          <cell r="E923">
            <v>44222</v>
          </cell>
          <cell r="F923" t="str">
            <v>DC</v>
          </cell>
          <cell r="G923" t="str">
            <v>On Time</v>
          </cell>
          <cell r="H923">
            <v>2407972203</v>
          </cell>
          <cell r="I923">
            <v>44218</v>
          </cell>
          <cell r="J923" t="str">
            <v>TKM</v>
          </cell>
          <cell r="K923" t="str">
            <v>D2101142</v>
          </cell>
          <cell r="L923">
            <v>4</v>
          </cell>
          <cell r="M923">
            <v>3309462</v>
          </cell>
          <cell r="N923">
            <v>531083</v>
          </cell>
          <cell r="O923" t="str">
            <v xml:space="preserve">1.4306 TP304L </v>
          </cell>
          <cell r="P923" t="str">
            <v>304L</v>
          </cell>
          <cell r="Q923">
            <v>3.1539999999999999</v>
          </cell>
          <cell r="R923">
            <v>1.9470000000000001</v>
          </cell>
          <cell r="S923">
            <v>3.5000000000000003E-2</v>
          </cell>
          <cell r="T923">
            <v>3.6900000000000002E-2</v>
          </cell>
          <cell r="U923">
            <v>3.6049999999999999E-2</v>
          </cell>
          <cell r="V923">
            <v>3.6475E-2</v>
          </cell>
          <cell r="W923" t="str">
            <v>BRS</v>
          </cell>
          <cell r="X923">
            <v>2117</v>
          </cell>
          <cell r="Y923">
            <v>6</v>
          </cell>
          <cell r="Z923">
            <v>111.86852673853308</v>
          </cell>
          <cell r="AA923" t="str">
            <v>3.154X0.035-304L</v>
          </cell>
          <cell r="AB923" t="str">
            <v>WAAC008010090B300097</v>
          </cell>
          <cell r="AC923" t="str">
            <v>D2101142</v>
          </cell>
          <cell r="AD923">
            <v>531083</v>
          </cell>
          <cell r="AE923">
            <v>2.5999999999999999E-2</v>
          </cell>
          <cell r="AF923">
            <v>1.33</v>
          </cell>
          <cell r="AG923">
            <v>3.3000000000000002E-2</v>
          </cell>
          <cell r="AH923">
            <v>1E-3</v>
          </cell>
          <cell r="AI923">
            <v>0.35</v>
          </cell>
          <cell r="AJ923">
            <v>18.100000000000001</v>
          </cell>
          <cell r="AK923">
            <v>8.1</v>
          </cell>
          <cell r="AL923">
            <v>6.3E-2</v>
          </cell>
          <cell r="AM923">
            <v>0.36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  <cell r="AR923">
            <v>0</v>
          </cell>
          <cell r="AS923">
            <v>0</v>
          </cell>
          <cell r="AT923">
            <v>296</v>
          </cell>
          <cell r="AU923">
            <v>324</v>
          </cell>
          <cell r="AV923">
            <v>652</v>
          </cell>
          <cell r="AW923">
            <v>53</v>
          </cell>
          <cell r="AX923">
            <v>82</v>
          </cell>
          <cell r="AY923">
            <v>156</v>
          </cell>
          <cell r="AZ923">
            <v>2.39</v>
          </cell>
          <cell r="BA923" t="str">
            <v>D2101142</v>
          </cell>
          <cell r="BB923" t="str">
            <v>CONFORM</v>
          </cell>
          <cell r="BC923" t="str">
            <v>CONFORM</v>
          </cell>
          <cell r="BD923" t="str">
            <v>CONFORM</v>
          </cell>
          <cell r="BE923" t="str">
            <v>CONFORM</v>
          </cell>
          <cell r="BF923" t="str">
            <v>CONFORM</v>
          </cell>
        </row>
        <row r="924">
          <cell r="A924">
            <v>44229</v>
          </cell>
          <cell r="B924" t="str">
            <v>D2102051-1</v>
          </cell>
          <cell r="C924" t="str">
            <v>109/20</v>
          </cell>
          <cell r="D924">
            <v>1</v>
          </cell>
          <cell r="E924">
            <v>44225</v>
          </cell>
          <cell r="F924" t="str">
            <v>DC</v>
          </cell>
          <cell r="G924" t="str">
            <v>On Time</v>
          </cell>
          <cell r="H924" t="str">
            <v>L432097</v>
          </cell>
          <cell r="I924">
            <v>44228</v>
          </cell>
          <cell r="J924" t="str">
            <v>ATI</v>
          </cell>
          <cell r="K924" t="str">
            <v>D2102051</v>
          </cell>
          <cell r="L924">
            <v>1</v>
          </cell>
          <cell r="M924" t="str">
            <v>AAD20809</v>
          </cell>
          <cell r="N924">
            <v>861833</v>
          </cell>
          <cell r="O924" t="str">
            <v xml:space="preserve">1.4438 TP317L </v>
          </cell>
          <cell r="P924" t="str">
            <v>317L</v>
          </cell>
          <cell r="Q924">
            <v>2.2639999999999998</v>
          </cell>
          <cell r="R924">
            <v>2.2625000000000002</v>
          </cell>
          <cell r="S924">
            <v>6.7000000000000004E-2</v>
          </cell>
          <cell r="T924">
            <v>7.0250000000000007E-2</v>
          </cell>
          <cell r="U924">
            <v>7.0099999999999996E-2</v>
          </cell>
          <cell r="V924">
            <v>7.0175000000000001E-2</v>
          </cell>
          <cell r="W924" t="str">
            <v>BRS</v>
          </cell>
          <cell r="X924">
            <v>5085</v>
          </cell>
          <cell r="Y924">
            <v>5</v>
          </cell>
          <cell r="Z924">
            <v>449.20494699646645</v>
          </cell>
          <cell r="AA924" t="str">
            <v>2.264X0.067-317L</v>
          </cell>
          <cell r="AB924" t="str">
            <v>WAAQ005750170B300101</v>
          </cell>
          <cell r="AC924" t="str">
            <v>D2102051</v>
          </cell>
          <cell r="AD924">
            <v>861833</v>
          </cell>
          <cell r="AE924">
            <v>1.7000000000000001E-2</v>
          </cell>
          <cell r="AF924">
            <v>1.65</v>
          </cell>
          <cell r="AG924">
            <v>2.4E-2</v>
          </cell>
          <cell r="AH924">
            <v>0</v>
          </cell>
          <cell r="AI924">
            <v>0.47</v>
          </cell>
          <cell r="AJ924">
            <v>18.3</v>
          </cell>
          <cell r="AK924">
            <v>14.1</v>
          </cell>
          <cell r="AL924">
            <v>0.06</v>
          </cell>
          <cell r="AM924">
            <v>3.1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  <cell r="AR924">
            <v>0</v>
          </cell>
          <cell r="AS924">
            <v>0</v>
          </cell>
          <cell r="AT924">
            <v>319</v>
          </cell>
          <cell r="AU924">
            <v>0</v>
          </cell>
          <cell r="AV924">
            <v>636</v>
          </cell>
          <cell r="AW924">
            <v>47</v>
          </cell>
          <cell r="AX924">
            <v>80</v>
          </cell>
          <cell r="AY924">
            <v>150</v>
          </cell>
          <cell r="AZ924">
            <v>2.2517</v>
          </cell>
          <cell r="BA924" t="str">
            <v>D2102051</v>
          </cell>
          <cell r="BB924" t="str">
            <v>CONFORM</v>
          </cell>
          <cell r="BC924" t="str">
            <v>CONFORM</v>
          </cell>
          <cell r="BD924" t="str">
            <v>CONFORM</v>
          </cell>
          <cell r="BE924" t="str">
            <v>CONFORM</v>
          </cell>
          <cell r="BF924" t="str">
            <v>CONFORM</v>
          </cell>
        </row>
        <row r="925">
          <cell r="A925">
            <v>44229</v>
          </cell>
          <cell r="B925" t="str">
            <v>D2102051-2</v>
          </cell>
          <cell r="C925" t="str">
            <v>109/20</v>
          </cell>
          <cell r="D925">
            <v>1</v>
          </cell>
          <cell r="E925">
            <v>44225</v>
          </cell>
          <cell r="F925" t="str">
            <v>DC</v>
          </cell>
          <cell r="G925" t="str">
            <v>On Time</v>
          </cell>
          <cell r="H925" t="str">
            <v>L432097</v>
          </cell>
          <cell r="I925">
            <v>44228</v>
          </cell>
          <cell r="J925" t="str">
            <v>ATI</v>
          </cell>
          <cell r="K925" t="str">
            <v>D2102051</v>
          </cell>
          <cell r="L925">
            <v>2</v>
          </cell>
          <cell r="M925" t="str">
            <v>AAD20809</v>
          </cell>
          <cell r="N925">
            <v>861833</v>
          </cell>
          <cell r="O925" t="str">
            <v xml:space="preserve">1.4438 TP317L </v>
          </cell>
          <cell r="P925" t="str">
            <v>317L</v>
          </cell>
          <cell r="Q925">
            <v>2.2639999999999998</v>
          </cell>
          <cell r="R925">
            <v>2.2625000000000002</v>
          </cell>
          <cell r="S925">
            <v>6.7000000000000004E-2</v>
          </cell>
          <cell r="T925">
            <v>7.0499999999999993E-2</v>
          </cell>
          <cell r="U925">
            <v>7.1749999999999994E-2</v>
          </cell>
          <cell r="V925">
            <v>7.1124999999999994E-2</v>
          </cell>
          <cell r="W925" t="str">
            <v>BRS</v>
          </cell>
          <cell r="X925">
            <v>4072</v>
          </cell>
          <cell r="Y925">
            <v>4</v>
          </cell>
          <cell r="Z925">
            <v>449.64664310954066</v>
          </cell>
          <cell r="AA925" t="str">
            <v>2.264X0.067-317L</v>
          </cell>
          <cell r="AB925" t="str">
            <v>WAAQ005750170B300101</v>
          </cell>
          <cell r="AC925" t="str">
            <v>D2102051</v>
          </cell>
          <cell r="AD925">
            <v>861833</v>
          </cell>
          <cell r="AE925">
            <v>1.7000000000000001E-2</v>
          </cell>
          <cell r="AF925">
            <v>1.65</v>
          </cell>
          <cell r="AG925">
            <v>2.4E-2</v>
          </cell>
          <cell r="AH925">
            <v>0</v>
          </cell>
          <cell r="AI925">
            <v>0.47</v>
          </cell>
          <cell r="AJ925">
            <v>18.3</v>
          </cell>
          <cell r="AK925">
            <v>14.1</v>
          </cell>
          <cell r="AL925">
            <v>0.06</v>
          </cell>
          <cell r="AM925">
            <v>3.1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  <cell r="AR925">
            <v>0</v>
          </cell>
          <cell r="AS925">
            <v>0</v>
          </cell>
          <cell r="AT925">
            <v>319</v>
          </cell>
          <cell r="AU925">
            <v>0</v>
          </cell>
          <cell r="AV925">
            <v>636</v>
          </cell>
          <cell r="AW925">
            <v>47</v>
          </cell>
          <cell r="AX925">
            <v>80</v>
          </cell>
          <cell r="AY925">
            <v>150</v>
          </cell>
          <cell r="AZ925">
            <v>2.2517</v>
          </cell>
          <cell r="BA925" t="str">
            <v>D2102051</v>
          </cell>
          <cell r="BB925" t="str">
            <v>CONFORM</v>
          </cell>
          <cell r="BC925" t="str">
            <v>CONFORM</v>
          </cell>
          <cell r="BD925" t="str">
            <v>CONFORM</v>
          </cell>
          <cell r="BE925" t="str">
            <v>CONFORM</v>
          </cell>
          <cell r="BF925" t="str">
            <v>CONFORM</v>
          </cell>
        </row>
        <row r="926">
          <cell r="A926">
            <v>44229</v>
          </cell>
          <cell r="B926" t="str">
            <v>D2102052-1</v>
          </cell>
          <cell r="C926" t="str">
            <v>109/20</v>
          </cell>
          <cell r="D926">
            <v>2</v>
          </cell>
          <cell r="E926">
            <v>44225</v>
          </cell>
          <cell r="F926" t="str">
            <v>DC</v>
          </cell>
          <cell r="G926" t="str">
            <v>On Time</v>
          </cell>
          <cell r="H926" t="str">
            <v>L432097</v>
          </cell>
          <cell r="I926">
            <v>44228</v>
          </cell>
          <cell r="J926" t="str">
            <v>ATI</v>
          </cell>
          <cell r="K926" t="str">
            <v>D2102052</v>
          </cell>
          <cell r="L926">
            <v>1</v>
          </cell>
          <cell r="M926" t="str">
            <v>AAD20809</v>
          </cell>
          <cell r="N926">
            <v>861833</v>
          </cell>
          <cell r="O926" t="str">
            <v xml:space="preserve">1.4438 TP317L </v>
          </cell>
          <cell r="P926" t="str">
            <v>317L</v>
          </cell>
          <cell r="Q926">
            <v>3.0550000000000002</v>
          </cell>
          <cell r="R926">
            <v>3.0525000000000002</v>
          </cell>
          <cell r="S926">
            <v>6.7000000000000004E-2</v>
          </cell>
          <cell r="T926">
            <v>7.0000000000000007E-2</v>
          </cell>
          <cell r="U926">
            <v>7.51E-2</v>
          </cell>
          <cell r="V926">
            <v>7.2550000000000003E-2</v>
          </cell>
          <cell r="W926" t="str">
            <v>BRS</v>
          </cell>
          <cell r="X926">
            <v>5500</v>
          </cell>
          <cell r="Y926">
            <v>4</v>
          </cell>
          <cell r="Z926">
            <v>450.08183306055645</v>
          </cell>
          <cell r="AA926" t="str">
            <v>3.055X0.067-317L</v>
          </cell>
          <cell r="AB926" t="str">
            <v>WAAQ007760170B300122</v>
          </cell>
          <cell r="AC926" t="str">
            <v>D2102052</v>
          </cell>
          <cell r="AD926">
            <v>861833</v>
          </cell>
          <cell r="AE926">
            <v>1.7000000000000001E-2</v>
          </cell>
          <cell r="AF926">
            <v>1.65</v>
          </cell>
          <cell r="AG926">
            <v>2.4E-2</v>
          </cell>
          <cell r="AH926">
            <v>0</v>
          </cell>
          <cell r="AI926">
            <v>0.47</v>
          </cell>
          <cell r="AJ926">
            <v>18.3</v>
          </cell>
          <cell r="AK926">
            <v>14.1</v>
          </cell>
          <cell r="AL926">
            <v>0.06</v>
          </cell>
          <cell r="AM926">
            <v>3.1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  <cell r="AR926">
            <v>0</v>
          </cell>
          <cell r="AS926">
            <v>0</v>
          </cell>
          <cell r="AT926">
            <v>319</v>
          </cell>
          <cell r="AU926">
            <v>0</v>
          </cell>
          <cell r="AV926">
            <v>636</v>
          </cell>
          <cell r="AW926">
            <v>47</v>
          </cell>
          <cell r="AX926">
            <v>80</v>
          </cell>
          <cell r="AY926">
            <v>150</v>
          </cell>
          <cell r="AZ926">
            <v>2.2517</v>
          </cell>
          <cell r="BA926" t="str">
            <v>D2102052</v>
          </cell>
          <cell r="BB926" t="str">
            <v>CONFORM</v>
          </cell>
          <cell r="BC926" t="str">
            <v>CONFORM</v>
          </cell>
          <cell r="BD926" t="str">
            <v>CONFORM</v>
          </cell>
          <cell r="BE926" t="str">
            <v>CONFORM</v>
          </cell>
          <cell r="BF926" t="str">
            <v>CONFORM</v>
          </cell>
        </row>
        <row r="927">
          <cell r="A927">
            <v>44229</v>
          </cell>
          <cell r="B927" t="str">
            <v>D2102052-2</v>
          </cell>
          <cell r="C927" t="str">
            <v>109/20</v>
          </cell>
          <cell r="D927">
            <v>2</v>
          </cell>
          <cell r="E927">
            <v>44225</v>
          </cell>
          <cell r="F927" t="str">
            <v>DC</v>
          </cell>
          <cell r="G927" t="str">
            <v>On Time</v>
          </cell>
          <cell r="H927" t="str">
            <v>L432097</v>
          </cell>
          <cell r="I927">
            <v>44228</v>
          </cell>
          <cell r="J927" t="str">
            <v>ATI</v>
          </cell>
          <cell r="K927" t="str">
            <v>D2102052</v>
          </cell>
          <cell r="L927">
            <v>2</v>
          </cell>
          <cell r="M927" t="str">
            <v>AAD20809</v>
          </cell>
          <cell r="N927">
            <v>861833</v>
          </cell>
          <cell r="O927" t="str">
            <v xml:space="preserve">1.4438 TP317L </v>
          </cell>
          <cell r="P927" t="str">
            <v>317L</v>
          </cell>
          <cell r="Q927">
            <v>3.0550000000000002</v>
          </cell>
          <cell r="R927">
            <v>3.0510000000000002</v>
          </cell>
          <cell r="S927">
            <v>6.7000000000000004E-2</v>
          </cell>
          <cell r="T927">
            <v>6.9849999999999995E-2</v>
          </cell>
          <cell r="U927">
            <v>7.0400000000000004E-2</v>
          </cell>
          <cell r="V927">
            <v>7.0124999999999993E-2</v>
          </cell>
          <cell r="W927" t="str">
            <v>BRS</v>
          </cell>
          <cell r="X927">
            <v>5500</v>
          </cell>
          <cell r="Y927">
            <v>4</v>
          </cell>
          <cell r="Z927">
            <v>450.08183306055645</v>
          </cell>
          <cell r="AA927" t="str">
            <v>3.055X0.067-317L</v>
          </cell>
          <cell r="AB927" t="str">
            <v>WAAQ007760170B300122</v>
          </cell>
          <cell r="AC927" t="str">
            <v>D2102052</v>
          </cell>
          <cell r="AD927">
            <v>861833</v>
          </cell>
          <cell r="AE927">
            <v>1.7000000000000001E-2</v>
          </cell>
          <cell r="AF927">
            <v>1.65</v>
          </cell>
          <cell r="AG927">
            <v>2.4E-2</v>
          </cell>
          <cell r="AH927">
            <v>0</v>
          </cell>
          <cell r="AI927">
            <v>0.47</v>
          </cell>
          <cell r="AJ927">
            <v>18.3</v>
          </cell>
          <cell r="AK927">
            <v>14.1</v>
          </cell>
          <cell r="AL927">
            <v>0.06</v>
          </cell>
          <cell r="AM927">
            <v>3.1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  <cell r="AR927">
            <v>0</v>
          </cell>
          <cell r="AS927">
            <v>0</v>
          </cell>
          <cell r="AT927">
            <v>319</v>
          </cell>
          <cell r="AU927">
            <v>0</v>
          </cell>
          <cell r="AV927">
            <v>636</v>
          </cell>
          <cell r="AW927">
            <v>47</v>
          </cell>
          <cell r="AX927">
            <v>80</v>
          </cell>
          <cell r="AY927">
            <v>150</v>
          </cell>
          <cell r="AZ927">
            <v>2.2517</v>
          </cell>
          <cell r="BA927" t="str">
            <v>D2102052</v>
          </cell>
          <cell r="BB927" t="str">
            <v>CONFORM</v>
          </cell>
          <cell r="BC927" t="str">
            <v>CONFORM</v>
          </cell>
          <cell r="BD927" t="str">
            <v>CONFORM</v>
          </cell>
          <cell r="BE927" t="str">
            <v>CONFORM</v>
          </cell>
          <cell r="BF927" t="str">
            <v>CONFORM</v>
          </cell>
        </row>
        <row r="928">
          <cell r="A928">
            <v>44237</v>
          </cell>
          <cell r="B928" t="str">
            <v>D2102088-1</v>
          </cell>
          <cell r="C928" t="str">
            <v>012/21</v>
          </cell>
          <cell r="D928">
            <v>2</v>
          </cell>
          <cell r="E928">
            <v>44237</v>
          </cell>
          <cell r="F928" t="str">
            <v>DC</v>
          </cell>
          <cell r="G928" t="str">
            <v>On Time</v>
          </cell>
          <cell r="H928">
            <v>2408013928</v>
          </cell>
          <cell r="I928">
            <v>44237</v>
          </cell>
          <cell r="J928" t="str">
            <v>TKM</v>
          </cell>
          <cell r="K928" t="str">
            <v>D2102088</v>
          </cell>
          <cell r="L928">
            <v>1</v>
          </cell>
          <cell r="M928">
            <v>3309753</v>
          </cell>
          <cell r="N928">
            <v>531289</v>
          </cell>
          <cell r="O928" t="str">
            <v xml:space="preserve">1.4306 TP304L </v>
          </cell>
          <cell r="P928" t="str">
            <v>304L</v>
          </cell>
          <cell r="Q928">
            <v>3.9129999999999998</v>
          </cell>
          <cell r="S928">
            <v>4.7E-2</v>
          </cell>
          <cell r="T928">
            <v>4.7E-2</v>
          </cell>
          <cell r="V928">
            <v>4.7E-2</v>
          </cell>
          <cell r="X928">
            <v>3908</v>
          </cell>
          <cell r="Y928">
            <v>3</v>
          </cell>
          <cell r="Z928">
            <v>332.90740267484455</v>
          </cell>
          <cell r="AA928" t="str">
            <v>3.913X0.047-304L</v>
          </cell>
          <cell r="AB928" t="str">
            <v>WAAC009940120B300053</v>
          </cell>
          <cell r="AC928" t="str">
            <v>D2102088</v>
          </cell>
          <cell r="AD928">
            <v>531289</v>
          </cell>
          <cell r="AE928">
            <v>2.1999999999999999E-2</v>
          </cell>
          <cell r="AF928">
            <v>1.28</v>
          </cell>
          <cell r="AG928">
            <v>3.4000000000000002E-2</v>
          </cell>
          <cell r="AH928">
            <v>2E-3</v>
          </cell>
          <cell r="AI928">
            <v>0.31</v>
          </cell>
          <cell r="AJ928">
            <v>18.100000000000001</v>
          </cell>
          <cell r="AK928">
            <v>8</v>
          </cell>
          <cell r="AL928">
            <v>7.1999999999999995E-2</v>
          </cell>
          <cell r="AM928">
            <v>0.34</v>
          </cell>
          <cell r="AN928">
            <v>0</v>
          </cell>
          <cell r="AO928">
            <v>0</v>
          </cell>
          <cell r="AP928">
            <v>0</v>
          </cell>
          <cell r="AQ928">
            <v>0</v>
          </cell>
          <cell r="AR928">
            <v>0.53</v>
          </cell>
          <cell r="AS928">
            <v>0</v>
          </cell>
          <cell r="AT928">
            <v>291</v>
          </cell>
          <cell r="AU928">
            <v>322</v>
          </cell>
          <cell r="AV928">
            <v>647</v>
          </cell>
          <cell r="AW928">
            <v>55</v>
          </cell>
          <cell r="AX928">
            <v>83</v>
          </cell>
          <cell r="AY928">
            <v>159</v>
          </cell>
          <cell r="AZ928">
            <v>1.4933000000000001</v>
          </cell>
          <cell r="BA928" t="str">
            <v>D2102088</v>
          </cell>
          <cell r="BB928" t="str">
            <v>CONFORM</v>
          </cell>
          <cell r="BC928" t="str">
            <v>CONFORM</v>
          </cell>
          <cell r="BD928" t="str">
            <v>CONFORM</v>
          </cell>
          <cell r="BE928" t="str">
            <v>CONFORM</v>
          </cell>
          <cell r="BF928" t="str">
            <v>CONFORM</v>
          </cell>
        </row>
        <row r="929">
          <cell r="A929">
            <v>44237</v>
          </cell>
          <cell r="B929" t="str">
            <v>D2102088-2</v>
          </cell>
          <cell r="C929" t="str">
            <v>012/21</v>
          </cell>
          <cell r="D929">
            <v>2</v>
          </cell>
          <cell r="E929">
            <v>44237</v>
          </cell>
          <cell r="F929" t="str">
            <v>DC</v>
          </cell>
          <cell r="G929" t="str">
            <v>On Time</v>
          </cell>
          <cell r="H929">
            <v>2408013928</v>
          </cell>
          <cell r="I929">
            <v>44237</v>
          </cell>
          <cell r="J929" t="str">
            <v>TKM</v>
          </cell>
          <cell r="K929" t="str">
            <v>D2102088</v>
          </cell>
          <cell r="L929">
            <v>2</v>
          </cell>
          <cell r="M929">
            <v>3309753</v>
          </cell>
          <cell r="N929">
            <v>531289</v>
          </cell>
          <cell r="O929" t="str">
            <v xml:space="preserve">1.4306 TP304L </v>
          </cell>
          <cell r="P929" t="str">
            <v>304L</v>
          </cell>
          <cell r="Q929">
            <v>3.9129999999999998</v>
          </cell>
          <cell r="S929">
            <v>4.7E-2</v>
          </cell>
          <cell r="T929">
            <v>4.7E-2</v>
          </cell>
          <cell r="V929">
            <v>4.7E-2</v>
          </cell>
          <cell r="X929">
            <v>5222</v>
          </cell>
          <cell r="Y929">
            <v>4</v>
          </cell>
          <cell r="Z929">
            <v>333.63148479427554</v>
          </cell>
          <cell r="AA929" t="str">
            <v>3.913X0.047-304L</v>
          </cell>
          <cell r="AB929" t="str">
            <v>WAAC009940120B300053</v>
          </cell>
          <cell r="AC929" t="str">
            <v>D2102088</v>
          </cell>
          <cell r="AD929">
            <v>531289</v>
          </cell>
          <cell r="AE929">
            <v>2.1999999999999999E-2</v>
          </cell>
          <cell r="AF929">
            <v>1.28</v>
          </cell>
          <cell r="AG929">
            <v>3.4000000000000002E-2</v>
          </cell>
          <cell r="AH929">
            <v>2E-3</v>
          </cell>
          <cell r="AI929">
            <v>0.31</v>
          </cell>
          <cell r="AJ929">
            <v>18.100000000000001</v>
          </cell>
          <cell r="AK929">
            <v>8</v>
          </cell>
          <cell r="AL929">
            <v>7.1999999999999995E-2</v>
          </cell>
          <cell r="AM929">
            <v>0.34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  <cell r="AR929">
            <v>0.53</v>
          </cell>
          <cell r="AS929">
            <v>0</v>
          </cell>
          <cell r="AT929">
            <v>291</v>
          </cell>
          <cell r="AU929">
            <v>322</v>
          </cell>
          <cell r="AV929">
            <v>647</v>
          </cell>
          <cell r="AW929">
            <v>55</v>
          </cell>
          <cell r="AX929">
            <v>83</v>
          </cell>
          <cell r="AY929">
            <v>159</v>
          </cell>
          <cell r="AZ929">
            <v>1.4933000000000001</v>
          </cell>
          <cell r="BA929" t="str">
            <v>D2102088</v>
          </cell>
          <cell r="BB929" t="str">
            <v>CONFORM</v>
          </cell>
          <cell r="BC929" t="str">
            <v>CONFORM</v>
          </cell>
          <cell r="BD929" t="str">
            <v>CONFORM</v>
          </cell>
          <cell r="BE929" t="str">
            <v>CONFORM</v>
          </cell>
          <cell r="BF929" t="str">
            <v>CONFORM</v>
          </cell>
        </row>
        <row r="930">
          <cell r="A930">
            <v>44237</v>
          </cell>
          <cell r="B930" t="str">
            <v>D2102089-1</v>
          </cell>
          <cell r="C930" t="str">
            <v>012/21</v>
          </cell>
          <cell r="D930">
            <v>1</v>
          </cell>
          <cell r="E930">
            <v>44237</v>
          </cell>
          <cell r="F930" t="str">
            <v>DC</v>
          </cell>
          <cell r="G930" t="str">
            <v>On Time</v>
          </cell>
          <cell r="H930">
            <v>2408013928</v>
          </cell>
          <cell r="I930">
            <v>44237</v>
          </cell>
          <cell r="J930" t="str">
            <v>TKM</v>
          </cell>
          <cell r="K930" t="str">
            <v>D2102089</v>
          </cell>
          <cell r="L930">
            <v>1</v>
          </cell>
          <cell r="M930">
            <v>3309753</v>
          </cell>
          <cell r="N930">
            <v>531289</v>
          </cell>
          <cell r="O930" t="str">
            <v xml:space="preserve">1.4306 TP304L </v>
          </cell>
          <cell r="P930" t="str">
            <v>304L</v>
          </cell>
          <cell r="Q930">
            <v>2.323</v>
          </cell>
          <cell r="S930">
            <v>4.7E-2</v>
          </cell>
          <cell r="T930">
            <v>4.7E-2</v>
          </cell>
          <cell r="V930">
            <v>4.7E-2</v>
          </cell>
          <cell r="X930">
            <v>3100</v>
          </cell>
          <cell r="Y930">
            <v>4</v>
          </cell>
          <cell r="Z930">
            <v>333.62031855359447</v>
          </cell>
          <cell r="AA930" t="str">
            <v>2.323X0.047-304L</v>
          </cell>
          <cell r="AB930" t="str">
            <v>WAAC005900120B300050</v>
          </cell>
          <cell r="AC930" t="str">
            <v>D2102089</v>
          </cell>
          <cell r="AD930">
            <v>531289</v>
          </cell>
          <cell r="AE930">
            <v>2.1999999999999999E-2</v>
          </cell>
          <cell r="AF930">
            <v>1.28</v>
          </cell>
          <cell r="AG930">
            <v>3.4000000000000002E-2</v>
          </cell>
          <cell r="AH930">
            <v>2E-3</v>
          </cell>
          <cell r="AI930">
            <v>0.31</v>
          </cell>
          <cell r="AJ930">
            <v>18.100000000000001</v>
          </cell>
          <cell r="AK930">
            <v>8</v>
          </cell>
          <cell r="AL930">
            <v>7.1999999999999995E-2</v>
          </cell>
          <cell r="AM930">
            <v>0.34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  <cell r="AR930">
            <v>0.53</v>
          </cell>
          <cell r="AS930">
            <v>0</v>
          </cell>
          <cell r="AT930">
            <v>291</v>
          </cell>
          <cell r="AU930">
            <v>322</v>
          </cell>
          <cell r="AV930">
            <v>647</v>
          </cell>
          <cell r="AW930">
            <v>55</v>
          </cell>
          <cell r="AX930">
            <v>83</v>
          </cell>
          <cell r="AY930">
            <v>159</v>
          </cell>
          <cell r="AZ930">
            <v>1.4933000000000001</v>
          </cell>
          <cell r="BA930" t="str">
            <v>D2102089</v>
          </cell>
          <cell r="BB930" t="str">
            <v>CONFORM</v>
          </cell>
          <cell r="BC930" t="str">
            <v>CONFORM</v>
          </cell>
          <cell r="BD930" t="str">
            <v>CONFORM</v>
          </cell>
          <cell r="BE930" t="str">
            <v>CONFORM</v>
          </cell>
          <cell r="BF930" t="str">
            <v>CONFORM</v>
          </cell>
        </row>
        <row r="931">
          <cell r="A931">
            <v>44237</v>
          </cell>
          <cell r="B931" t="str">
            <v>D2102089-2</v>
          </cell>
          <cell r="C931" t="str">
            <v>012/21</v>
          </cell>
          <cell r="D931">
            <v>1</v>
          </cell>
          <cell r="E931">
            <v>44237</v>
          </cell>
          <cell r="F931" t="str">
            <v>DC</v>
          </cell>
          <cell r="G931" t="str">
            <v>On Time</v>
          </cell>
          <cell r="H931">
            <v>2408013928</v>
          </cell>
          <cell r="I931">
            <v>44237</v>
          </cell>
          <cell r="J931" t="str">
            <v>TKM</v>
          </cell>
          <cell r="K931" t="str">
            <v>D2102089</v>
          </cell>
          <cell r="L931">
            <v>2</v>
          </cell>
          <cell r="M931">
            <v>3309753</v>
          </cell>
          <cell r="N931">
            <v>531289</v>
          </cell>
          <cell r="O931" t="str">
            <v xml:space="preserve">1.4306 TP304L </v>
          </cell>
          <cell r="P931" t="str">
            <v>304L</v>
          </cell>
          <cell r="Q931">
            <v>2.323</v>
          </cell>
          <cell r="S931">
            <v>4.7E-2</v>
          </cell>
          <cell r="T931">
            <v>4.7E-2</v>
          </cell>
          <cell r="V931">
            <v>4.7E-2</v>
          </cell>
          <cell r="X931">
            <v>3092</v>
          </cell>
          <cell r="Y931">
            <v>4</v>
          </cell>
          <cell r="Z931">
            <v>332.75936289281105</v>
          </cell>
          <cell r="AA931" t="str">
            <v>2.323X0.047-304L</v>
          </cell>
          <cell r="AB931" t="str">
            <v>WAAC005900120B300050</v>
          </cell>
          <cell r="AC931" t="str">
            <v>D2102089</v>
          </cell>
          <cell r="AD931">
            <v>531289</v>
          </cell>
          <cell r="AE931">
            <v>2.1999999999999999E-2</v>
          </cell>
          <cell r="AF931">
            <v>1.28</v>
          </cell>
          <cell r="AG931">
            <v>3.4000000000000002E-2</v>
          </cell>
          <cell r="AH931">
            <v>2E-3</v>
          </cell>
          <cell r="AI931">
            <v>0.31</v>
          </cell>
          <cell r="AJ931">
            <v>18.100000000000001</v>
          </cell>
          <cell r="AK931">
            <v>8</v>
          </cell>
          <cell r="AL931">
            <v>7.1999999999999995E-2</v>
          </cell>
          <cell r="AM931">
            <v>0.34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  <cell r="AR931">
            <v>0.53</v>
          </cell>
          <cell r="AS931">
            <v>0</v>
          </cell>
          <cell r="AT931">
            <v>291</v>
          </cell>
          <cell r="AU931">
            <v>322</v>
          </cell>
          <cell r="AV931">
            <v>647</v>
          </cell>
          <cell r="AW931">
            <v>55</v>
          </cell>
          <cell r="AX931">
            <v>83</v>
          </cell>
          <cell r="AY931">
            <v>159</v>
          </cell>
          <cell r="AZ931">
            <v>1.4933000000000001</v>
          </cell>
          <cell r="BA931" t="str">
            <v>D2102089</v>
          </cell>
          <cell r="BB931" t="str">
            <v>CONFORM</v>
          </cell>
          <cell r="BC931" t="str">
            <v>CONFORM</v>
          </cell>
          <cell r="BD931" t="str">
            <v>CONFORM</v>
          </cell>
          <cell r="BE931" t="str">
            <v>CONFORM</v>
          </cell>
          <cell r="BF931" t="str">
            <v>CONFORM</v>
          </cell>
        </row>
        <row r="932">
          <cell r="A932">
            <v>44249</v>
          </cell>
          <cell r="B932" t="str">
            <v>D2102144-1</v>
          </cell>
          <cell r="C932" t="str">
            <v>102/20</v>
          </cell>
          <cell r="D932">
            <v>1</v>
          </cell>
          <cell r="E932">
            <v>44249</v>
          </cell>
          <cell r="F932" t="str">
            <v>DC</v>
          </cell>
          <cell r="G932" t="str">
            <v>On Time</v>
          </cell>
          <cell r="H932" t="str">
            <v>L435982</v>
          </cell>
          <cell r="I932">
            <v>44245</v>
          </cell>
          <cell r="J932" t="str">
            <v>ATI</v>
          </cell>
          <cell r="K932" t="str">
            <v>D2102144</v>
          </cell>
          <cell r="L932">
            <v>1</v>
          </cell>
          <cell r="M932" t="str">
            <v>AAD177623-AA</v>
          </cell>
          <cell r="N932">
            <v>861634</v>
          </cell>
          <cell r="O932" t="str">
            <v xml:space="preserve">UNS N08367   </v>
          </cell>
          <cell r="P932" t="str">
            <v>N08367</v>
          </cell>
          <cell r="Q932">
            <v>1.948</v>
          </cell>
          <cell r="R932">
            <v>1.9464999999999999</v>
          </cell>
          <cell r="S932">
            <v>3.5000000000000003E-2</v>
          </cell>
          <cell r="T932">
            <v>3.8850000000000003E-2</v>
          </cell>
          <cell r="U932">
            <v>3.8399999999999997E-2</v>
          </cell>
          <cell r="V932">
            <v>3.8625E-2</v>
          </cell>
          <cell r="W932" t="str">
            <v>BRS</v>
          </cell>
          <cell r="X932">
            <v>2340</v>
          </cell>
          <cell r="Y932">
            <v>6</v>
          </cell>
          <cell r="Z932">
            <v>200.20533880903491</v>
          </cell>
          <cell r="AA932" t="str">
            <v>1.948X0.035-N08367</v>
          </cell>
          <cell r="AB932" t="str">
            <v>WABN004950090B300118</v>
          </cell>
          <cell r="AC932" t="str">
            <v>D2102144</v>
          </cell>
          <cell r="AD932">
            <v>861634</v>
          </cell>
          <cell r="AE932">
            <v>1.7000000000000001E-2</v>
          </cell>
          <cell r="AF932">
            <v>0.48</v>
          </cell>
          <cell r="AG932">
            <v>2.5000000000000001E-2</v>
          </cell>
          <cell r="AH932">
            <v>0</v>
          </cell>
          <cell r="AI932">
            <v>0.48</v>
          </cell>
          <cell r="AJ932">
            <v>20.6</v>
          </cell>
          <cell r="AK932">
            <v>23.7</v>
          </cell>
          <cell r="AL932">
            <v>0.23</v>
          </cell>
          <cell r="AM932">
            <v>6.1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  <cell r="AR932">
            <v>0.3</v>
          </cell>
          <cell r="AS932">
            <v>0</v>
          </cell>
          <cell r="AT932">
            <v>410</v>
          </cell>
          <cell r="AU932">
            <v>0</v>
          </cell>
          <cell r="AV932">
            <v>794</v>
          </cell>
          <cell r="AW932">
            <v>43</v>
          </cell>
          <cell r="AX932">
            <v>88</v>
          </cell>
          <cell r="AY932">
            <v>176</v>
          </cell>
          <cell r="AZ932">
            <v>6.2</v>
          </cell>
          <cell r="BA932" t="str">
            <v>D2102144</v>
          </cell>
          <cell r="BB932" t="str">
            <v>CONFORM</v>
          </cell>
          <cell r="BC932" t="str">
            <v>CONFORM</v>
          </cell>
          <cell r="BD932" t="str">
            <v>CONFORM</v>
          </cell>
          <cell r="BE932" t="str">
            <v>CONFORM</v>
          </cell>
          <cell r="BF932" t="str">
            <v>CONFORM</v>
          </cell>
        </row>
        <row r="933">
          <cell r="A933">
            <v>44249</v>
          </cell>
          <cell r="B933" t="str">
            <v>D2102144-2</v>
          </cell>
          <cell r="C933" t="str">
            <v>102/20</v>
          </cell>
          <cell r="D933">
            <v>1</v>
          </cell>
          <cell r="E933">
            <v>44249</v>
          </cell>
          <cell r="F933" t="str">
            <v>DC</v>
          </cell>
          <cell r="G933" t="str">
            <v>On Time</v>
          </cell>
          <cell r="H933" t="str">
            <v>L435982</v>
          </cell>
          <cell r="I933">
            <v>44245</v>
          </cell>
          <cell r="J933" t="str">
            <v>ATI</v>
          </cell>
          <cell r="K933" t="str">
            <v>D2102144</v>
          </cell>
          <cell r="L933">
            <v>2</v>
          </cell>
          <cell r="M933" t="str">
            <v>AAD177623-AA</v>
          </cell>
          <cell r="N933">
            <v>861634</v>
          </cell>
          <cell r="O933" t="str">
            <v xml:space="preserve">UNS N08367   </v>
          </cell>
          <cell r="P933" t="str">
            <v>N08367</v>
          </cell>
          <cell r="Q933">
            <v>1.948</v>
          </cell>
          <cell r="R933">
            <v>1.946</v>
          </cell>
          <cell r="S933">
            <v>3.5000000000000003E-2</v>
          </cell>
          <cell r="T933">
            <v>3.6400000000000002E-2</v>
          </cell>
          <cell r="U933">
            <v>3.6650000000000002E-2</v>
          </cell>
          <cell r="V933">
            <v>3.6525000000000002E-2</v>
          </cell>
          <cell r="W933" t="str">
            <v>BRS</v>
          </cell>
          <cell r="X933">
            <v>2346</v>
          </cell>
          <cell r="Y933">
            <v>6</v>
          </cell>
          <cell r="Z933">
            <v>200.71868583162217</v>
          </cell>
          <cell r="AA933" t="str">
            <v>1.948X0.035-N08367</v>
          </cell>
          <cell r="AB933" t="str">
            <v>WABN004950090B300118</v>
          </cell>
          <cell r="AC933" t="str">
            <v>D2102144</v>
          </cell>
          <cell r="AD933">
            <v>861634</v>
          </cell>
          <cell r="AE933">
            <v>1.7000000000000001E-2</v>
          </cell>
          <cell r="AF933">
            <v>0.48</v>
          </cell>
          <cell r="AG933">
            <v>2.5000000000000001E-2</v>
          </cell>
          <cell r="AH933">
            <v>0</v>
          </cell>
          <cell r="AI933">
            <v>0.48</v>
          </cell>
          <cell r="AJ933">
            <v>20.6</v>
          </cell>
          <cell r="AK933">
            <v>23.7</v>
          </cell>
          <cell r="AL933">
            <v>0.23</v>
          </cell>
          <cell r="AM933">
            <v>6.1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0.3</v>
          </cell>
          <cell r="AS933">
            <v>0</v>
          </cell>
          <cell r="AT933">
            <v>410</v>
          </cell>
          <cell r="AU933">
            <v>0</v>
          </cell>
          <cell r="AV933">
            <v>794</v>
          </cell>
          <cell r="AW933">
            <v>43</v>
          </cell>
          <cell r="AX933">
            <v>88</v>
          </cell>
          <cell r="AY933">
            <v>176</v>
          </cell>
          <cell r="AZ933">
            <v>6.2</v>
          </cell>
          <cell r="BA933" t="str">
            <v>D2102144</v>
          </cell>
          <cell r="BB933" t="str">
            <v>CONFORM</v>
          </cell>
          <cell r="BC933" t="str">
            <v>CONFORM</v>
          </cell>
          <cell r="BD933" t="str">
            <v>CONFORM</v>
          </cell>
          <cell r="BE933" t="str">
            <v>CONFORM</v>
          </cell>
          <cell r="BF933" t="str">
            <v>CONFORM</v>
          </cell>
        </row>
        <row r="934">
          <cell r="A934">
            <v>44249</v>
          </cell>
          <cell r="B934" t="str">
            <v>D2102144-3</v>
          </cell>
          <cell r="C934" t="str">
            <v>102/20</v>
          </cell>
          <cell r="D934">
            <v>1</v>
          </cell>
          <cell r="E934">
            <v>44249</v>
          </cell>
          <cell r="F934" t="str">
            <v>DC</v>
          </cell>
          <cell r="G934" t="str">
            <v>On Time</v>
          </cell>
          <cell r="H934" t="str">
            <v>L435982</v>
          </cell>
          <cell r="I934">
            <v>44245</v>
          </cell>
          <cell r="J934" t="str">
            <v>ATI</v>
          </cell>
          <cell r="K934" t="str">
            <v>D2102144</v>
          </cell>
          <cell r="L934">
            <v>3</v>
          </cell>
          <cell r="M934" t="str">
            <v>AAD177623-AA</v>
          </cell>
          <cell r="N934">
            <v>861634</v>
          </cell>
          <cell r="O934" t="str">
            <v xml:space="preserve">UNS N08367   </v>
          </cell>
          <cell r="P934" t="str">
            <v>N08367</v>
          </cell>
          <cell r="Q934">
            <v>1.948</v>
          </cell>
          <cell r="R934">
            <v>1.9450000000000001</v>
          </cell>
          <cell r="S934">
            <v>3.5000000000000003E-2</v>
          </cell>
          <cell r="T934">
            <v>3.7350000000000001E-2</v>
          </cell>
          <cell r="U934">
            <v>3.925E-2</v>
          </cell>
          <cell r="V934">
            <v>3.8300000000000001E-2</v>
          </cell>
          <cell r="W934" t="str">
            <v>BRS</v>
          </cell>
          <cell r="X934">
            <v>2346</v>
          </cell>
          <cell r="Y934">
            <v>6</v>
          </cell>
          <cell r="Z934">
            <v>200.71868583162217</v>
          </cell>
          <cell r="AA934" t="str">
            <v>1.948X0.035-N08367</v>
          </cell>
          <cell r="AB934" t="str">
            <v>WABN004950090B300118</v>
          </cell>
          <cell r="AC934" t="str">
            <v>D2102144</v>
          </cell>
          <cell r="AD934">
            <v>861634</v>
          </cell>
          <cell r="AE934">
            <v>1.7000000000000001E-2</v>
          </cell>
          <cell r="AF934">
            <v>0.48</v>
          </cell>
          <cell r="AG934">
            <v>2.5000000000000001E-2</v>
          </cell>
          <cell r="AH934">
            <v>0</v>
          </cell>
          <cell r="AI934">
            <v>0.48</v>
          </cell>
          <cell r="AJ934">
            <v>20.6</v>
          </cell>
          <cell r="AK934">
            <v>23.7</v>
          </cell>
          <cell r="AL934">
            <v>0.23</v>
          </cell>
          <cell r="AM934">
            <v>6.1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0.3</v>
          </cell>
          <cell r="AS934">
            <v>0</v>
          </cell>
          <cell r="AT934">
            <v>410</v>
          </cell>
          <cell r="AU934">
            <v>0</v>
          </cell>
          <cell r="AV934">
            <v>794</v>
          </cell>
          <cell r="AW934">
            <v>43</v>
          </cell>
          <cell r="AX934">
            <v>88</v>
          </cell>
          <cell r="AY934">
            <v>176</v>
          </cell>
          <cell r="AZ934">
            <v>6.2</v>
          </cell>
          <cell r="BA934" t="str">
            <v>D2102144</v>
          </cell>
          <cell r="BB934" t="str">
            <v>CONFORM</v>
          </cell>
          <cell r="BC934" t="str">
            <v>CONFORM</v>
          </cell>
          <cell r="BD934" t="str">
            <v>CONFORM</v>
          </cell>
          <cell r="BE934" t="str">
            <v>CONFORM</v>
          </cell>
          <cell r="BF934" t="str">
            <v>CONFORM</v>
          </cell>
        </row>
        <row r="935">
          <cell r="A935">
            <v>44249</v>
          </cell>
          <cell r="B935" t="str">
            <v>D2102144-4</v>
          </cell>
          <cell r="C935" t="str">
            <v>102/20</v>
          </cell>
          <cell r="D935">
            <v>1</v>
          </cell>
          <cell r="E935">
            <v>44249</v>
          </cell>
          <cell r="F935" t="str">
            <v>DC</v>
          </cell>
          <cell r="G935" t="str">
            <v>On Time</v>
          </cell>
          <cell r="H935" t="str">
            <v>L435982</v>
          </cell>
          <cell r="I935">
            <v>44245</v>
          </cell>
          <cell r="J935" t="str">
            <v>ATI</v>
          </cell>
          <cell r="K935" t="str">
            <v>D2102144</v>
          </cell>
          <cell r="L935">
            <v>4</v>
          </cell>
          <cell r="M935" t="str">
            <v>AAD177623-AA</v>
          </cell>
          <cell r="N935">
            <v>861634</v>
          </cell>
          <cell r="O935" t="str">
            <v xml:space="preserve">UNS N08367   </v>
          </cell>
          <cell r="P935" t="str">
            <v>N08367</v>
          </cell>
          <cell r="Q935">
            <v>1.948</v>
          </cell>
          <cell r="R935">
            <v>1.9470000000000001</v>
          </cell>
          <cell r="S935">
            <v>3.5000000000000003E-2</v>
          </cell>
          <cell r="T935">
            <v>3.5950000000000003E-2</v>
          </cell>
          <cell r="U935">
            <v>3.9800000000000002E-2</v>
          </cell>
          <cell r="V935">
            <v>3.7875000000000006E-2</v>
          </cell>
          <cell r="W935" t="str">
            <v>BRS</v>
          </cell>
          <cell r="X935">
            <v>2346</v>
          </cell>
          <cell r="Y935">
            <v>6</v>
          </cell>
          <cell r="Z935">
            <v>200.71868583162217</v>
          </cell>
          <cell r="AA935" t="str">
            <v>1.948X0.035-N08367</v>
          </cell>
          <cell r="AB935" t="str">
            <v>WABN004950090B300118</v>
          </cell>
          <cell r="AC935" t="str">
            <v>D2102144</v>
          </cell>
          <cell r="AD935">
            <v>861634</v>
          </cell>
          <cell r="AE935">
            <v>1.7000000000000001E-2</v>
          </cell>
          <cell r="AF935">
            <v>0.48</v>
          </cell>
          <cell r="AG935">
            <v>2.5000000000000001E-2</v>
          </cell>
          <cell r="AH935">
            <v>0</v>
          </cell>
          <cell r="AI935">
            <v>0.48</v>
          </cell>
          <cell r="AJ935">
            <v>20.6</v>
          </cell>
          <cell r="AK935">
            <v>23.7</v>
          </cell>
          <cell r="AL935">
            <v>0.23</v>
          </cell>
          <cell r="AM935">
            <v>6.1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0.3</v>
          </cell>
          <cell r="AS935">
            <v>0</v>
          </cell>
          <cell r="AT935">
            <v>410</v>
          </cell>
          <cell r="AU935">
            <v>0</v>
          </cell>
          <cell r="AV935">
            <v>794</v>
          </cell>
          <cell r="AW935">
            <v>43</v>
          </cell>
          <cell r="AX935">
            <v>88</v>
          </cell>
          <cell r="AY935">
            <v>176</v>
          </cell>
          <cell r="AZ935">
            <v>6.2</v>
          </cell>
          <cell r="BA935" t="str">
            <v>D2102144</v>
          </cell>
          <cell r="BB935" t="str">
            <v>CONFORM</v>
          </cell>
          <cell r="BC935" t="str">
            <v>CONFORM</v>
          </cell>
          <cell r="BD935" t="str">
            <v>CONFORM</v>
          </cell>
          <cell r="BE935" t="str">
            <v>CONFORM</v>
          </cell>
          <cell r="BF935" t="str">
            <v>CONFORM</v>
          </cell>
        </row>
        <row r="936">
          <cell r="A936">
            <v>44250</v>
          </cell>
          <cell r="B936" t="str">
            <v>D2102149-1</v>
          </cell>
          <cell r="C936" t="str">
            <v>008/21</v>
          </cell>
          <cell r="D936">
            <v>1</v>
          </cell>
          <cell r="E936">
            <v>44250</v>
          </cell>
          <cell r="F936" t="str">
            <v>DC</v>
          </cell>
          <cell r="G936" t="str">
            <v>On Time</v>
          </cell>
          <cell r="H936" t="str">
            <v>171172-1</v>
          </cell>
          <cell r="I936">
            <v>44245</v>
          </cell>
          <cell r="J936" t="str">
            <v>UPM</v>
          </cell>
          <cell r="K936" t="str">
            <v>D2102149</v>
          </cell>
          <cell r="L936">
            <v>1</v>
          </cell>
          <cell r="M936" t="str">
            <v>AAD12707-A</v>
          </cell>
          <cell r="N936">
            <v>861164</v>
          </cell>
          <cell r="O936" t="str">
            <v xml:space="preserve">1.4401/1.4404 TP316/316L </v>
          </cell>
          <cell r="P936" t="str">
            <v>316L</v>
          </cell>
          <cell r="Q936">
            <v>4.6849999999999996</v>
          </cell>
          <cell r="R936">
            <v>4.6849999999999996</v>
          </cell>
          <cell r="S936">
            <v>0.05</v>
          </cell>
          <cell r="T936">
            <v>5.3699999999999998E-2</v>
          </cell>
          <cell r="U936">
            <v>5.3699999999999998E-2</v>
          </cell>
          <cell r="V936">
            <v>5.3699999999999998E-2</v>
          </cell>
          <cell r="W936" t="str">
            <v>SO</v>
          </cell>
          <cell r="X936">
            <v>3456</v>
          </cell>
          <cell r="Y936">
            <v>3</v>
          </cell>
          <cell r="Z936">
            <v>245.89114194236927</v>
          </cell>
          <cell r="AA936" t="str">
            <v>4.685X0.05-316L</v>
          </cell>
          <cell r="AB936" t="str">
            <v>WAAF011900127B300123</v>
          </cell>
          <cell r="AC936" t="str">
            <v>D2102149</v>
          </cell>
          <cell r="AD936">
            <v>861164</v>
          </cell>
          <cell r="AE936">
            <v>2.1000000000000001E-2</v>
          </cell>
          <cell r="AF936">
            <v>1.68</v>
          </cell>
          <cell r="AG936">
            <v>3.2000000000000001E-2</v>
          </cell>
          <cell r="AH936">
            <v>0</v>
          </cell>
          <cell r="AI936">
            <v>0.33</v>
          </cell>
          <cell r="AJ936">
            <v>16.7</v>
          </cell>
          <cell r="AK936">
            <v>10.199999999999999</v>
          </cell>
          <cell r="AL936">
            <v>0.04</v>
          </cell>
          <cell r="AM936">
            <v>2.0099999999999998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0.47</v>
          </cell>
          <cell r="AS936">
            <v>0</v>
          </cell>
          <cell r="AT936">
            <v>300</v>
          </cell>
          <cell r="AU936">
            <v>0</v>
          </cell>
          <cell r="AV936">
            <v>620</v>
          </cell>
          <cell r="AW936">
            <v>70</v>
          </cell>
          <cell r="AX936">
            <v>76</v>
          </cell>
          <cell r="AY936">
            <v>139</v>
          </cell>
          <cell r="AZ936">
            <v>2.15</v>
          </cell>
          <cell r="BA936" t="str">
            <v>D2102149</v>
          </cell>
          <cell r="BB936" t="str">
            <v>CONFORM</v>
          </cell>
          <cell r="BC936" t="str">
            <v>CONFORM</v>
          </cell>
          <cell r="BD936" t="str">
            <v>CONFORM</v>
          </cell>
          <cell r="BE936" t="str">
            <v>CONFORM</v>
          </cell>
          <cell r="BF936" t="str">
            <v>CONFORM</v>
          </cell>
        </row>
        <row r="937">
          <cell r="A937">
            <v>44252</v>
          </cell>
          <cell r="B937" t="str">
            <v>D2102167-1</v>
          </cell>
          <cell r="C937" t="str">
            <v>014/21</v>
          </cell>
          <cell r="D937">
            <v>1</v>
          </cell>
          <cell r="E937">
            <v>44252</v>
          </cell>
          <cell r="F937" t="str">
            <v>DC</v>
          </cell>
          <cell r="G937" t="str">
            <v>On Time</v>
          </cell>
          <cell r="H937">
            <v>2408028079</v>
          </cell>
          <cell r="I937">
            <v>44244</v>
          </cell>
          <cell r="J937" t="str">
            <v>TKM</v>
          </cell>
          <cell r="K937" t="str">
            <v>D2102167</v>
          </cell>
          <cell r="L937">
            <v>1</v>
          </cell>
          <cell r="M937">
            <v>802550</v>
          </cell>
          <cell r="N937">
            <v>529383</v>
          </cell>
          <cell r="O937" t="str">
            <v xml:space="preserve">1.4306 TP304L </v>
          </cell>
          <cell r="P937" t="str">
            <v>304L</v>
          </cell>
          <cell r="Q937">
            <v>3.0670000000000002</v>
          </cell>
          <cell r="R937">
            <v>3.0659999999999998</v>
          </cell>
          <cell r="S937">
            <v>6.3E-2</v>
          </cell>
          <cell r="T937">
            <v>6.2700000000000006E-2</v>
          </cell>
          <cell r="U937">
            <v>6.1499999999999999E-2</v>
          </cell>
          <cell r="V937">
            <v>6.2100000000000002E-2</v>
          </cell>
          <cell r="W937" t="str">
            <v>BRS</v>
          </cell>
          <cell r="X937">
            <v>3114</v>
          </cell>
          <cell r="Y937">
            <v>3</v>
          </cell>
          <cell r="Z937">
            <v>338.44147375285291</v>
          </cell>
          <cell r="AA937" t="str">
            <v>3.067X0.063-304L</v>
          </cell>
          <cell r="AB937" t="str">
            <v>WAAC007790160B300089</v>
          </cell>
          <cell r="AC937" t="str">
            <v>D2102167</v>
          </cell>
          <cell r="AD937">
            <v>529383</v>
          </cell>
          <cell r="AE937">
            <v>2.3E-2</v>
          </cell>
          <cell r="AF937">
            <v>1.3</v>
          </cell>
          <cell r="AG937">
            <v>3.1E-2</v>
          </cell>
          <cell r="AH937">
            <v>1E-3</v>
          </cell>
          <cell r="AI937">
            <v>0.39</v>
          </cell>
          <cell r="AJ937">
            <v>18.100000000000001</v>
          </cell>
          <cell r="AK937">
            <v>8</v>
          </cell>
          <cell r="AL937">
            <v>6.3E-2</v>
          </cell>
          <cell r="AM937">
            <v>0.37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0.55000000000000004</v>
          </cell>
          <cell r="AS937">
            <v>0</v>
          </cell>
          <cell r="AT937">
            <v>305</v>
          </cell>
          <cell r="AU937">
            <v>0</v>
          </cell>
          <cell r="AV937">
            <v>649</v>
          </cell>
          <cell r="AW937">
            <v>55</v>
          </cell>
          <cell r="AX937">
            <v>82</v>
          </cell>
          <cell r="AY937">
            <v>156</v>
          </cell>
          <cell r="AZ937">
            <v>0.15</v>
          </cell>
          <cell r="BA937" t="str">
            <v>D2102167</v>
          </cell>
          <cell r="BB937" t="str">
            <v>CONFORM</v>
          </cell>
          <cell r="BC937" t="str">
            <v>CONFORM</v>
          </cell>
          <cell r="BD937" t="str">
            <v>CONFORM</v>
          </cell>
          <cell r="BE937" t="str">
            <v>CONFORM</v>
          </cell>
          <cell r="BF937" t="str">
            <v>CONFORM</v>
          </cell>
        </row>
        <row r="938">
          <cell r="A938">
            <v>44252</v>
          </cell>
          <cell r="B938" t="str">
            <v>D2102167-2</v>
          </cell>
          <cell r="C938" t="str">
            <v>014/21</v>
          </cell>
          <cell r="D938">
            <v>1</v>
          </cell>
          <cell r="E938">
            <v>44252</v>
          </cell>
          <cell r="F938" t="str">
            <v>DC</v>
          </cell>
          <cell r="G938" t="str">
            <v>On Time</v>
          </cell>
          <cell r="H938">
            <v>2408028079</v>
          </cell>
          <cell r="I938">
            <v>44244</v>
          </cell>
          <cell r="J938" t="str">
            <v>TKM</v>
          </cell>
          <cell r="K938" t="str">
            <v>D2102167</v>
          </cell>
          <cell r="L938">
            <v>2</v>
          </cell>
          <cell r="M938">
            <v>802550</v>
          </cell>
          <cell r="N938">
            <v>529383</v>
          </cell>
          <cell r="O938" t="str">
            <v xml:space="preserve">1.4306 TP304L </v>
          </cell>
          <cell r="P938" t="str">
            <v>304L</v>
          </cell>
          <cell r="Q938">
            <v>3.0670000000000002</v>
          </cell>
          <cell r="R938">
            <v>3.0630000000000002</v>
          </cell>
          <cell r="S938">
            <v>6.3E-2</v>
          </cell>
          <cell r="T938">
            <v>6.2549999999999994E-2</v>
          </cell>
          <cell r="U938">
            <v>6.2600000000000003E-2</v>
          </cell>
          <cell r="V938">
            <v>6.2574999999999992E-2</v>
          </cell>
          <cell r="W938" t="str">
            <v>BRS</v>
          </cell>
          <cell r="X938">
            <v>3118</v>
          </cell>
          <cell r="Y938">
            <v>3</v>
          </cell>
          <cell r="Z938">
            <v>338.87620910770562</v>
          </cell>
          <cell r="AA938" t="str">
            <v>3.067X0.063-304L</v>
          </cell>
          <cell r="AB938" t="str">
            <v>WAAC007790160B300089</v>
          </cell>
          <cell r="AC938" t="str">
            <v>D2102167</v>
          </cell>
          <cell r="AD938">
            <v>529383</v>
          </cell>
          <cell r="AE938">
            <v>2.3E-2</v>
          </cell>
          <cell r="AF938">
            <v>1.3</v>
          </cell>
          <cell r="AG938">
            <v>3.1E-2</v>
          </cell>
          <cell r="AH938">
            <v>1E-3</v>
          </cell>
          <cell r="AI938">
            <v>0.39</v>
          </cell>
          <cell r="AJ938">
            <v>18.100000000000001</v>
          </cell>
          <cell r="AK938">
            <v>8</v>
          </cell>
          <cell r="AL938">
            <v>6.3E-2</v>
          </cell>
          <cell r="AM938">
            <v>0.37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0.55000000000000004</v>
          </cell>
          <cell r="AS938">
            <v>0</v>
          </cell>
          <cell r="AT938">
            <v>305</v>
          </cell>
          <cell r="AU938">
            <v>0</v>
          </cell>
          <cell r="AV938">
            <v>649</v>
          </cell>
          <cell r="AW938">
            <v>55</v>
          </cell>
          <cell r="AX938">
            <v>82</v>
          </cell>
          <cell r="AY938">
            <v>156</v>
          </cell>
          <cell r="AZ938">
            <v>0.15</v>
          </cell>
          <cell r="BA938" t="str">
            <v>D2102167</v>
          </cell>
          <cell r="BB938" t="str">
            <v>CONFORM</v>
          </cell>
          <cell r="BC938" t="str">
            <v>CONFORM</v>
          </cell>
          <cell r="BD938" t="str">
            <v>CONFORM</v>
          </cell>
          <cell r="BE938" t="str">
            <v>CONFORM</v>
          </cell>
          <cell r="BF938" t="str">
            <v>CONFORM</v>
          </cell>
        </row>
        <row r="939">
          <cell r="A939">
            <v>44252</v>
          </cell>
          <cell r="B939" t="str">
            <v>D2102167-3</v>
          </cell>
          <cell r="C939" t="str">
            <v>014/21</v>
          </cell>
          <cell r="D939">
            <v>1</v>
          </cell>
          <cell r="E939">
            <v>44252</v>
          </cell>
          <cell r="F939" t="str">
            <v>DC</v>
          </cell>
          <cell r="G939" t="str">
            <v>On Time</v>
          </cell>
          <cell r="H939">
            <v>2408028079</v>
          </cell>
          <cell r="I939">
            <v>44244</v>
          </cell>
          <cell r="J939" t="str">
            <v>TKM</v>
          </cell>
          <cell r="K939" t="str">
            <v>D2102167</v>
          </cell>
          <cell r="L939">
            <v>3</v>
          </cell>
          <cell r="M939">
            <v>802550</v>
          </cell>
          <cell r="N939">
            <v>529383</v>
          </cell>
          <cell r="O939" t="str">
            <v xml:space="preserve">1.4306 TP304L </v>
          </cell>
          <cell r="P939" t="str">
            <v>304L</v>
          </cell>
          <cell r="Q939">
            <v>3.0670000000000002</v>
          </cell>
          <cell r="R939">
            <v>3.0665</v>
          </cell>
          <cell r="S939">
            <v>6.3E-2</v>
          </cell>
          <cell r="T939">
            <v>6.1650000000000003E-2</v>
          </cell>
          <cell r="U939">
            <v>6.4649999999999999E-2</v>
          </cell>
          <cell r="V939">
            <v>6.3149999999999998E-2</v>
          </cell>
          <cell r="W939" t="str">
            <v>BRS</v>
          </cell>
          <cell r="X939">
            <v>3116</v>
          </cell>
          <cell r="Y939">
            <v>3</v>
          </cell>
          <cell r="Z939">
            <v>338.65884143027932</v>
          </cell>
          <cell r="AA939" t="str">
            <v>3.067X0.063-304L</v>
          </cell>
          <cell r="AB939" t="str">
            <v>WAAC007790160B300089</v>
          </cell>
          <cell r="AC939" t="str">
            <v>D2102167</v>
          </cell>
          <cell r="AD939">
            <v>529383</v>
          </cell>
          <cell r="AE939">
            <v>2.3E-2</v>
          </cell>
          <cell r="AF939">
            <v>1.3</v>
          </cell>
          <cell r="AG939">
            <v>3.1E-2</v>
          </cell>
          <cell r="AH939">
            <v>1E-3</v>
          </cell>
          <cell r="AI939">
            <v>0.39</v>
          </cell>
          <cell r="AJ939">
            <v>18.100000000000001</v>
          </cell>
          <cell r="AK939">
            <v>8</v>
          </cell>
          <cell r="AL939">
            <v>6.3E-2</v>
          </cell>
          <cell r="AM939">
            <v>0.37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0.55000000000000004</v>
          </cell>
          <cell r="AS939">
            <v>0</v>
          </cell>
          <cell r="AT939">
            <v>305</v>
          </cell>
          <cell r="AU939">
            <v>0</v>
          </cell>
          <cell r="AV939">
            <v>649</v>
          </cell>
          <cell r="AW939">
            <v>55</v>
          </cell>
          <cell r="AX939">
            <v>82</v>
          </cell>
          <cell r="AY939">
            <v>156</v>
          </cell>
          <cell r="AZ939">
            <v>0.15</v>
          </cell>
          <cell r="BA939" t="str">
            <v>D2102167</v>
          </cell>
          <cell r="BB939" t="str">
            <v>CONFORM</v>
          </cell>
          <cell r="BC939" t="str">
            <v>CONFORM</v>
          </cell>
          <cell r="BD939" t="str">
            <v>CONFORM</v>
          </cell>
          <cell r="BE939" t="str">
            <v>CONFORM</v>
          </cell>
          <cell r="BF939" t="str">
            <v>CONFORM</v>
          </cell>
        </row>
        <row r="940">
          <cell r="A940">
            <v>44252</v>
          </cell>
          <cell r="B940" t="str">
            <v>D2102167-4</v>
          </cell>
          <cell r="C940" t="str">
            <v>014/21</v>
          </cell>
          <cell r="D940">
            <v>1</v>
          </cell>
          <cell r="E940">
            <v>44252</v>
          </cell>
          <cell r="F940" t="str">
            <v>DC</v>
          </cell>
          <cell r="G940" t="str">
            <v>On Time</v>
          </cell>
          <cell r="H940">
            <v>2408028079</v>
          </cell>
          <cell r="I940">
            <v>44244</v>
          </cell>
          <cell r="J940" t="str">
            <v>TKM</v>
          </cell>
          <cell r="K940" t="str">
            <v>D2102167</v>
          </cell>
          <cell r="L940">
            <v>4</v>
          </cell>
          <cell r="M940">
            <v>802550</v>
          </cell>
          <cell r="N940">
            <v>529383</v>
          </cell>
          <cell r="O940" t="str">
            <v xml:space="preserve">1.4306 TP304L </v>
          </cell>
          <cell r="P940" t="str">
            <v>304L</v>
          </cell>
          <cell r="Q940">
            <v>3.0670000000000002</v>
          </cell>
          <cell r="R940">
            <v>3.0649999999999999</v>
          </cell>
          <cell r="S940">
            <v>6.3E-2</v>
          </cell>
          <cell r="T940">
            <v>6.3700000000000007E-2</v>
          </cell>
          <cell r="U940">
            <v>6.3049999999999995E-2</v>
          </cell>
          <cell r="V940">
            <v>6.3375000000000001E-2</v>
          </cell>
          <cell r="W940" t="str">
            <v>BRS</v>
          </cell>
          <cell r="X940">
            <v>3114</v>
          </cell>
          <cell r="Y940">
            <v>3</v>
          </cell>
          <cell r="Z940">
            <v>338.44147375285291</v>
          </cell>
          <cell r="AA940" t="str">
            <v>3.067X0.063-304L</v>
          </cell>
          <cell r="AB940" t="str">
            <v>WAAC007790160B300089</v>
          </cell>
          <cell r="AC940" t="str">
            <v>D2102167</v>
          </cell>
          <cell r="AD940">
            <v>529383</v>
          </cell>
          <cell r="AE940">
            <v>2.3E-2</v>
          </cell>
          <cell r="AF940">
            <v>1.3</v>
          </cell>
          <cell r="AG940">
            <v>3.1E-2</v>
          </cell>
          <cell r="AH940">
            <v>1E-3</v>
          </cell>
          <cell r="AI940">
            <v>0.39</v>
          </cell>
          <cell r="AJ940">
            <v>18.100000000000001</v>
          </cell>
          <cell r="AK940">
            <v>8</v>
          </cell>
          <cell r="AL940">
            <v>6.3E-2</v>
          </cell>
          <cell r="AM940">
            <v>0.37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0.55000000000000004</v>
          </cell>
          <cell r="AS940">
            <v>0</v>
          </cell>
          <cell r="AT940">
            <v>305</v>
          </cell>
          <cell r="AU940">
            <v>0</v>
          </cell>
          <cell r="AV940">
            <v>649</v>
          </cell>
          <cell r="AW940">
            <v>55</v>
          </cell>
          <cell r="AX940">
            <v>82</v>
          </cell>
          <cell r="AY940">
            <v>156</v>
          </cell>
          <cell r="AZ940">
            <v>0.15</v>
          </cell>
          <cell r="BA940" t="str">
            <v>D2102167</v>
          </cell>
          <cell r="BB940" t="str">
            <v>CONFORM</v>
          </cell>
          <cell r="BC940" t="str">
            <v>CONFORM</v>
          </cell>
          <cell r="BD940" t="str">
            <v>CONFORM</v>
          </cell>
          <cell r="BE940" t="str">
            <v>CONFORM</v>
          </cell>
          <cell r="BF940" t="str">
            <v>CONFORM</v>
          </cell>
        </row>
        <row r="941">
          <cell r="A941">
            <v>44252</v>
          </cell>
          <cell r="B941" t="str">
            <v>D2102167-5</v>
          </cell>
          <cell r="C941" t="str">
            <v>014/21</v>
          </cell>
          <cell r="D941">
            <v>1</v>
          </cell>
          <cell r="E941">
            <v>44252</v>
          </cell>
          <cell r="F941" t="str">
            <v>DC</v>
          </cell>
          <cell r="G941" t="str">
            <v>On Time</v>
          </cell>
          <cell r="H941">
            <v>2408028079</v>
          </cell>
          <cell r="I941">
            <v>44244</v>
          </cell>
          <cell r="J941" t="str">
            <v>TKM</v>
          </cell>
          <cell r="K941" t="str">
            <v>D2102167</v>
          </cell>
          <cell r="L941">
            <v>5</v>
          </cell>
          <cell r="M941">
            <v>802550</v>
          </cell>
          <cell r="N941">
            <v>529383</v>
          </cell>
          <cell r="O941" t="str">
            <v xml:space="preserve">1.4306 TP304L </v>
          </cell>
          <cell r="P941" t="str">
            <v>304L</v>
          </cell>
          <cell r="Q941">
            <v>3.0670000000000002</v>
          </cell>
          <cell r="R941">
            <v>3.0634999999999999</v>
          </cell>
          <cell r="S941">
            <v>6.3E-2</v>
          </cell>
          <cell r="T941">
            <v>6.1499999999999999E-2</v>
          </cell>
          <cell r="U941">
            <v>6.6100000000000006E-2</v>
          </cell>
          <cell r="V941">
            <v>6.3799999999999996E-2</v>
          </cell>
          <cell r="W941" t="str">
            <v>BRS</v>
          </cell>
          <cell r="X941">
            <v>3110</v>
          </cell>
          <cell r="Y941">
            <v>3</v>
          </cell>
          <cell r="Z941">
            <v>338.00673839800021</v>
          </cell>
          <cell r="AA941" t="str">
            <v>3.067X0.063-304L</v>
          </cell>
          <cell r="AB941" t="str">
            <v>WAAC007790160B300089</v>
          </cell>
          <cell r="AC941" t="str">
            <v>D2102167</v>
          </cell>
          <cell r="AD941">
            <v>529383</v>
          </cell>
          <cell r="AE941">
            <v>2.3E-2</v>
          </cell>
          <cell r="AF941">
            <v>1.3</v>
          </cell>
          <cell r="AG941">
            <v>3.1E-2</v>
          </cell>
          <cell r="AH941">
            <v>1E-3</v>
          </cell>
          <cell r="AI941">
            <v>0.39</v>
          </cell>
          <cell r="AJ941">
            <v>18.100000000000001</v>
          </cell>
          <cell r="AK941">
            <v>8</v>
          </cell>
          <cell r="AL941">
            <v>6.3E-2</v>
          </cell>
          <cell r="AM941">
            <v>0.37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0.55000000000000004</v>
          </cell>
          <cell r="AS941">
            <v>0</v>
          </cell>
          <cell r="AT941">
            <v>305</v>
          </cell>
          <cell r="AU941">
            <v>0</v>
          </cell>
          <cell r="AV941">
            <v>649</v>
          </cell>
          <cell r="AW941">
            <v>55</v>
          </cell>
          <cell r="AX941">
            <v>82</v>
          </cell>
          <cell r="AY941">
            <v>156</v>
          </cell>
          <cell r="AZ941">
            <v>0.15</v>
          </cell>
          <cell r="BA941" t="str">
            <v>D2102167</v>
          </cell>
          <cell r="BB941" t="str">
            <v>CONFORM</v>
          </cell>
          <cell r="BC941" t="str">
            <v>CONFORM</v>
          </cell>
          <cell r="BD941" t="str">
            <v>CONFORM</v>
          </cell>
          <cell r="BE941" t="str">
            <v>CONFORM</v>
          </cell>
          <cell r="BF941" t="str">
            <v>CONFORM</v>
          </cell>
        </row>
        <row r="942">
          <cell r="A942">
            <v>44252</v>
          </cell>
          <cell r="B942" t="str">
            <v>D2102168-1</v>
          </cell>
          <cell r="C942" t="str">
            <v>015/21</v>
          </cell>
          <cell r="D942">
            <v>2</v>
          </cell>
          <cell r="E942">
            <v>44252</v>
          </cell>
          <cell r="F942" t="str">
            <v>DC</v>
          </cell>
          <cell r="G942" t="str">
            <v>On Time</v>
          </cell>
          <cell r="H942">
            <v>2408029608</v>
          </cell>
          <cell r="I942">
            <v>44252</v>
          </cell>
          <cell r="J942" t="str">
            <v>TKM</v>
          </cell>
          <cell r="K942" t="str">
            <v>D2102168</v>
          </cell>
          <cell r="L942">
            <v>1</v>
          </cell>
          <cell r="M942">
            <v>802550</v>
          </cell>
          <cell r="N942">
            <v>529383</v>
          </cell>
          <cell r="O942" t="str">
            <v xml:space="preserve">1.4306 TP304L </v>
          </cell>
          <cell r="P942" t="str">
            <v>304L</v>
          </cell>
          <cell r="Q942">
            <v>3.0670000000000002</v>
          </cell>
          <cell r="R942">
            <v>3.0649999999999999</v>
          </cell>
          <cell r="S942">
            <v>6.3E-2</v>
          </cell>
          <cell r="T942">
            <v>6.2950000000000006E-2</v>
          </cell>
          <cell r="U942">
            <v>6.2850000000000003E-2</v>
          </cell>
          <cell r="V942">
            <v>6.2900000000000011E-2</v>
          </cell>
          <cell r="W942" t="str">
            <v>BRS</v>
          </cell>
          <cell r="X942">
            <v>3110</v>
          </cell>
          <cell r="Y942">
            <v>3</v>
          </cell>
          <cell r="Z942">
            <v>338.00673839800021</v>
          </cell>
          <cell r="AA942" t="str">
            <v>3.067X0.063-304L</v>
          </cell>
          <cell r="AB942" t="str">
            <v>WAAC007790160B300089</v>
          </cell>
          <cell r="AC942" t="str">
            <v>D2102168</v>
          </cell>
          <cell r="AD942">
            <v>529383</v>
          </cell>
          <cell r="AE942">
            <v>2.3E-2</v>
          </cell>
          <cell r="AF942">
            <v>1.3</v>
          </cell>
          <cell r="AG942">
            <v>3.1E-2</v>
          </cell>
          <cell r="AH942">
            <v>1E-3</v>
          </cell>
          <cell r="AI942">
            <v>0.39</v>
          </cell>
          <cell r="AJ942">
            <v>18.100000000000001</v>
          </cell>
          <cell r="AK942">
            <v>8</v>
          </cell>
          <cell r="AL942">
            <v>6.3E-2</v>
          </cell>
          <cell r="AM942">
            <v>0.37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0.55000000000000004</v>
          </cell>
          <cell r="AS942">
            <v>0</v>
          </cell>
          <cell r="AT942">
            <v>305</v>
          </cell>
          <cell r="AU942">
            <v>0</v>
          </cell>
          <cell r="AV942">
            <v>649</v>
          </cell>
          <cell r="AW942">
            <v>55</v>
          </cell>
          <cell r="AX942">
            <v>82</v>
          </cell>
          <cell r="AY942">
            <v>156</v>
          </cell>
          <cell r="AZ942">
            <v>0.15</v>
          </cell>
          <cell r="BA942" t="str">
            <v>D2102168</v>
          </cell>
          <cell r="BB942" t="str">
            <v>CONFORM</v>
          </cell>
          <cell r="BC942" t="str">
            <v>CONFORM</v>
          </cell>
          <cell r="BD942" t="str">
            <v>CONFORM</v>
          </cell>
          <cell r="BE942" t="str">
            <v>CONFORM</v>
          </cell>
          <cell r="BF942" t="str">
            <v>CONFORM</v>
          </cell>
        </row>
        <row r="943">
          <cell r="A943">
            <v>44252</v>
          </cell>
          <cell r="B943" t="str">
            <v>D2102168-2</v>
          </cell>
          <cell r="C943" t="str">
            <v>015/21</v>
          </cell>
          <cell r="D943">
            <v>2</v>
          </cell>
          <cell r="E943">
            <v>44252</v>
          </cell>
          <cell r="F943" t="str">
            <v>DC</v>
          </cell>
          <cell r="G943" t="str">
            <v>On Time</v>
          </cell>
          <cell r="H943">
            <v>2408029608</v>
          </cell>
          <cell r="I943">
            <v>44252</v>
          </cell>
          <cell r="J943" t="str">
            <v>TKM</v>
          </cell>
          <cell r="K943" t="str">
            <v>D2102168</v>
          </cell>
          <cell r="L943">
            <v>2</v>
          </cell>
          <cell r="M943">
            <v>802550</v>
          </cell>
          <cell r="N943">
            <v>529383</v>
          </cell>
          <cell r="O943" t="str">
            <v xml:space="preserve">1.4306 TP304L </v>
          </cell>
          <cell r="P943" t="str">
            <v>304L</v>
          </cell>
          <cell r="Q943">
            <v>3.0670000000000002</v>
          </cell>
          <cell r="R943">
            <v>3.0249999999999999</v>
          </cell>
          <cell r="S943">
            <v>6.3E-2</v>
          </cell>
          <cell r="T943">
            <v>6.2300000000000001E-2</v>
          </cell>
          <cell r="U943">
            <v>6.225E-2</v>
          </cell>
          <cell r="V943">
            <v>6.2274999999999997E-2</v>
          </cell>
          <cell r="W943" t="str">
            <v>BRS</v>
          </cell>
          <cell r="X943">
            <v>3116</v>
          </cell>
          <cell r="Y943">
            <v>3</v>
          </cell>
          <cell r="Z943">
            <v>338.65884143027932</v>
          </cell>
          <cell r="AA943" t="str">
            <v>3.067X0.063-304L</v>
          </cell>
          <cell r="AB943" t="str">
            <v>WAAC007790160B300089</v>
          </cell>
          <cell r="AC943" t="str">
            <v>D2102168</v>
          </cell>
          <cell r="AD943">
            <v>529383</v>
          </cell>
          <cell r="AE943">
            <v>2.3E-2</v>
          </cell>
          <cell r="AF943">
            <v>1.3</v>
          </cell>
          <cell r="AG943">
            <v>3.1E-2</v>
          </cell>
          <cell r="AH943">
            <v>1E-3</v>
          </cell>
          <cell r="AI943">
            <v>0.39</v>
          </cell>
          <cell r="AJ943">
            <v>18.100000000000001</v>
          </cell>
          <cell r="AK943">
            <v>8</v>
          </cell>
          <cell r="AL943">
            <v>6.3E-2</v>
          </cell>
          <cell r="AM943">
            <v>0.37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0.55000000000000004</v>
          </cell>
          <cell r="AS943">
            <v>0</v>
          </cell>
          <cell r="AT943">
            <v>305</v>
          </cell>
          <cell r="AU943">
            <v>0</v>
          </cell>
          <cell r="AV943">
            <v>649</v>
          </cell>
          <cell r="AW943">
            <v>55</v>
          </cell>
          <cell r="AX943">
            <v>82</v>
          </cell>
          <cell r="AY943">
            <v>156</v>
          </cell>
          <cell r="AZ943">
            <v>0.15</v>
          </cell>
          <cell r="BA943" t="str">
            <v>D2102168</v>
          </cell>
          <cell r="BB943" t="str">
            <v>CONFORM</v>
          </cell>
          <cell r="BC943" t="str">
            <v>CONFORM</v>
          </cell>
          <cell r="BD943" t="str">
            <v>CONFORM</v>
          </cell>
          <cell r="BE943" t="str">
            <v>CONFORM</v>
          </cell>
          <cell r="BF943" t="str">
            <v>CONFORM</v>
          </cell>
        </row>
        <row r="944">
          <cell r="A944">
            <v>44252</v>
          </cell>
          <cell r="B944" t="str">
            <v>D2102168-3</v>
          </cell>
          <cell r="C944" t="str">
            <v>015/21</v>
          </cell>
          <cell r="D944">
            <v>2</v>
          </cell>
          <cell r="E944">
            <v>44252</v>
          </cell>
          <cell r="F944" t="str">
            <v>DC</v>
          </cell>
          <cell r="G944" t="str">
            <v>On Time</v>
          </cell>
          <cell r="H944">
            <v>2408029608</v>
          </cell>
          <cell r="I944">
            <v>44252</v>
          </cell>
          <cell r="J944" t="str">
            <v>TKM</v>
          </cell>
          <cell r="K944" t="str">
            <v>D2102168</v>
          </cell>
          <cell r="L944">
            <v>3</v>
          </cell>
          <cell r="M944">
            <v>802550</v>
          </cell>
          <cell r="N944">
            <v>529383</v>
          </cell>
          <cell r="O944" t="str">
            <v xml:space="preserve">1.4306 TP304L </v>
          </cell>
          <cell r="P944" t="str">
            <v>304L</v>
          </cell>
          <cell r="Q944">
            <v>3.0670000000000002</v>
          </cell>
          <cell r="R944">
            <v>3.0630000000000002</v>
          </cell>
          <cell r="S944">
            <v>6.3E-2</v>
          </cell>
          <cell r="T944">
            <v>6.2950000000000006E-2</v>
          </cell>
          <cell r="U944">
            <v>6.6650000000000001E-2</v>
          </cell>
          <cell r="V944">
            <v>6.4799999999999996E-2</v>
          </cell>
          <cell r="W944" t="str">
            <v>BRS</v>
          </cell>
          <cell r="X944">
            <v>3112</v>
          </cell>
          <cell r="Y944">
            <v>3</v>
          </cell>
          <cell r="Z944">
            <v>338.22410607542656</v>
          </cell>
          <cell r="AA944" t="str">
            <v>3.067X0.063-304L</v>
          </cell>
          <cell r="AB944" t="str">
            <v>WAAC007790160B300089</v>
          </cell>
          <cell r="AC944" t="str">
            <v>D2102168</v>
          </cell>
          <cell r="AD944">
            <v>529383</v>
          </cell>
          <cell r="AE944">
            <v>2.3E-2</v>
          </cell>
          <cell r="AF944">
            <v>1.3</v>
          </cell>
          <cell r="AG944">
            <v>3.1E-2</v>
          </cell>
          <cell r="AH944">
            <v>1E-3</v>
          </cell>
          <cell r="AI944">
            <v>0.39</v>
          </cell>
          <cell r="AJ944">
            <v>18.100000000000001</v>
          </cell>
          <cell r="AK944">
            <v>8</v>
          </cell>
          <cell r="AL944">
            <v>6.3E-2</v>
          </cell>
          <cell r="AM944">
            <v>0.37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0.55000000000000004</v>
          </cell>
          <cell r="AS944">
            <v>0</v>
          </cell>
          <cell r="AT944">
            <v>305</v>
          </cell>
          <cell r="AU944">
            <v>0</v>
          </cell>
          <cell r="AV944">
            <v>649</v>
          </cell>
          <cell r="AW944">
            <v>55</v>
          </cell>
          <cell r="AX944">
            <v>82</v>
          </cell>
          <cell r="AY944">
            <v>156</v>
          </cell>
          <cell r="AZ944">
            <v>0.15</v>
          </cell>
          <cell r="BA944" t="str">
            <v>D2102168</v>
          </cell>
          <cell r="BB944" t="str">
            <v>CONFORM</v>
          </cell>
          <cell r="BC944" t="str">
            <v>CONFORM</v>
          </cell>
          <cell r="BD944" t="str">
            <v>CONFORM</v>
          </cell>
          <cell r="BE944" t="str">
            <v>CONFORM</v>
          </cell>
          <cell r="BF944" t="str">
            <v>CONFORM</v>
          </cell>
        </row>
        <row r="945">
          <cell r="A945">
            <v>44252</v>
          </cell>
          <cell r="B945" t="str">
            <v>D2102168-4</v>
          </cell>
          <cell r="C945" t="str">
            <v>015/21</v>
          </cell>
          <cell r="D945">
            <v>2</v>
          </cell>
          <cell r="E945">
            <v>44252</v>
          </cell>
          <cell r="F945" t="str">
            <v>DC</v>
          </cell>
          <cell r="G945" t="str">
            <v>On Time</v>
          </cell>
          <cell r="H945">
            <v>2408029608</v>
          </cell>
          <cell r="I945">
            <v>44252</v>
          </cell>
          <cell r="J945" t="str">
            <v>TKM</v>
          </cell>
          <cell r="K945" t="str">
            <v>D2102168</v>
          </cell>
          <cell r="L945">
            <v>4</v>
          </cell>
          <cell r="M945">
            <v>802550</v>
          </cell>
          <cell r="N945">
            <v>529383</v>
          </cell>
          <cell r="O945" t="str">
            <v xml:space="preserve">1.4306 TP304L </v>
          </cell>
          <cell r="P945" t="str">
            <v>304L</v>
          </cell>
          <cell r="Q945">
            <v>3.0670000000000002</v>
          </cell>
          <cell r="R945">
            <v>3.0625</v>
          </cell>
          <cell r="S945">
            <v>6.3E-2</v>
          </cell>
          <cell r="T945">
            <v>6.1550000000000001E-2</v>
          </cell>
          <cell r="U945">
            <v>6.1800000000000001E-2</v>
          </cell>
          <cell r="V945">
            <v>6.1675000000000001E-2</v>
          </cell>
          <cell r="W945" t="str">
            <v>BRS</v>
          </cell>
          <cell r="X945">
            <v>3110</v>
          </cell>
          <cell r="Y945">
            <v>3</v>
          </cell>
          <cell r="Z945">
            <v>338.00673839800021</v>
          </cell>
          <cell r="AA945" t="str">
            <v>3.067X0.063-304L</v>
          </cell>
          <cell r="AB945" t="str">
            <v>WAAC007790160B300089</v>
          </cell>
          <cell r="AC945" t="str">
            <v>D2102168</v>
          </cell>
          <cell r="AD945">
            <v>529383</v>
          </cell>
          <cell r="AE945">
            <v>2.3E-2</v>
          </cell>
          <cell r="AF945">
            <v>1.3</v>
          </cell>
          <cell r="AG945">
            <v>3.1E-2</v>
          </cell>
          <cell r="AH945">
            <v>1E-3</v>
          </cell>
          <cell r="AI945">
            <v>0.39</v>
          </cell>
          <cell r="AJ945">
            <v>18.100000000000001</v>
          </cell>
          <cell r="AK945">
            <v>8</v>
          </cell>
          <cell r="AL945">
            <v>6.3E-2</v>
          </cell>
          <cell r="AM945">
            <v>0.37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0.55000000000000004</v>
          </cell>
          <cell r="AS945">
            <v>0</v>
          </cell>
          <cell r="AT945">
            <v>305</v>
          </cell>
          <cell r="AU945">
            <v>0</v>
          </cell>
          <cell r="AV945">
            <v>649</v>
          </cell>
          <cell r="AW945">
            <v>55</v>
          </cell>
          <cell r="AX945">
            <v>82</v>
          </cell>
          <cell r="AY945">
            <v>156</v>
          </cell>
          <cell r="AZ945">
            <v>0.15</v>
          </cell>
          <cell r="BA945" t="str">
            <v>D2102168</v>
          </cell>
          <cell r="BB945" t="str">
            <v>CONFORM</v>
          </cell>
          <cell r="BC945" t="str">
            <v>CONFORM</v>
          </cell>
          <cell r="BD945" t="str">
            <v>CONFORM</v>
          </cell>
          <cell r="BE945" t="str">
            <v>CONFORM</v>
          </cell>
          <cell r="BF945" t="str">
            <v>CONFORM</v>
          </cell>
        </row>
        <row r="946">
          <cell r="A946">
            <v>44252</v>
          </cell>
          <cell r="B946" t="str">
            <v>D2102168-5</v>
          </cell>
          <cell r="C946" t="str">
            <v>015/21</v>
          </cell>
          <cell r="D946">
            <v>2</v>
          </cell>
          <cell r="E946">
            <v>44252</v>
          </cell>
          <cell r="F946" t="str">
            <v>DC</v>
          </cell>
          <cell r="G946" t="str">
            <v>On Time</v>
          </cell>
          <cell r="H946">
            <v>2408029608</v>
          </cell>
          <cell r="I946">
            <v>44252</v>
          </cell>
          <cell r="J946" t="str">
            <v>TKM</v>
          </cell>
          <cell r="K946" t="str">
            <v>D2102168</v>
          </cell>
          <cell r="L946">
            <v>5</v>
          </cell>
          <cell r="M946">
            <v>802550</v>
          </cell>
          <cell r="N946">
            <v>529383</v>
          </cell>
          <cell r="O946" t="str">
            <v xml:space="preserve">1.4306 TP304L </v>
          </cell>
          <cell r="P946" t="str">
            <v>304L</v>
          </cell>
          <cell r="Q946">
            <v>3.0670000000000002</v>
          </cell>
          <cell r="R946">
            <v>3.0625</v>
          </cell>
          <cell r="S946">
            <v>6.3E-2</v>
          </cell>
          <cell r="T946">
            <v>6.1600000000000002E-2</v>
          </cell>
          <cell r="U946">
            <v>6.6199999999999995E-2</v>
          </cell>
          <cell r="V946">
            <v>6.3899999999999998E-2</v>
          </cell>
          <cell r="W946" t="str">
            <v>BRS</v>
          </cell>
          <cell r="X946">
            <v>2070</v>
          </cell>
          <cell r="Y946">
            <v>2</v>
          </cell>
          <cell r="Z946">
            <v>337.4633192044343</v>
          </cell>
          <cell r="AA946" t="str">
            <v>3.067X0.063-304L</v>
          </cell>
          <cell r="AB946" t="str">
            <v>WAAC007790160B300089</v>
          </cell>
          <cell r="AC946" t="str">
            <v>D2102168</v>
          </cell>
          <cell r="AD946">
            <v>529383</v>
          </cell>
          <cell r="AE946">
            <v>2.3E-2</v>
          </cell>
          <cell r="AF946">
            <v>1.3</v>
          </cell>
          <cell r="AG946">
            <v>3.1E-2</v>
          </cell>
          <cell r="AH946">
            <v>1E-3</v>
          </cell>
          <cell r="AI946">
            <v>0.39</v>
          </cell>
          <cell r="AJ946">
            <v>18.100000000000001</v>
          </cell>
          <cell r="AK946">
            <v>8</v>
          </cell>
          <cell r="AL946">
            <v>6.3E-2</v>
          </cell>
          <cell r="AM946">
            <v>0.37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0.55000000000000004</v>
          </cell>
          <cell r="AS946">
            <v>0</v>
          </cell>
          <cell r="AT946">
            <v>305</v>
          </cell>
          <cell r="AU946">
            <v>0</v>
          </cell>
          <cell r="AV946">
            <v>649</v>
          </cell>
          <cell r="AW946">
            <v>55</v>
          </cell>
          <cell r="AX946">
            <v>82</v>
          </cell>
          <cell r="AY946">
            <v>156</v>
          </cell>
          <cell r="AZ946">
            <v>0.15</v>
          </cell>
          <cell r="BA946" t="str">
            <v>D2102168</v>
          </cell>
          <cell r="BB946" t="str">
            <v>CONFORM</v>
          </cell>
          <cell r="BC946" t="str">
            <v>CONFORM</v>
          </cell>
          <cell r="BD946" t="str">
            <v>CONFORM</v>
          </cell>
          <cell r="BE946" t="str">
            <v>CONFORM</v>
          </cell>
          <cell r="BF946" t="str">
            <v>CONFORM</v>
          </cell>
        </row>
        <row r="947">
          <cell r="A947">
            <v>44252</v>
          </cell>
          <cell r="B947" t="str">
            <v>D2102169-1</v>
          </cell>
          <cell r="C947" t="str">
            <v>015/21</v>
          </cell>
          <cell r="D947">
            <v>1</v>
          </cell>
          <cell r="E947">
            <v>44252</v>
          </cell>
          <cell r="F947" t="str">
            <v>DC</v>
          </cell>
          <cell r="G947" t="str">
            <v>On Time</v>
          </cell>
          <cell r="H947">
            <v>2408029608</v>
          </cell>
          <cell r="I947">
            <v>44252</v>
          </cell>
          <cell r="J947" t="str">
            <v>TKM</v>
          </cell>
          <cell r="K947" t="str">
            <v>D2102169</v>
          </cell>
          <cell r="L947">
            <v>1</v>
          </cell>
          <cell r="M947">
            <v>802550</v>
          </cell>
          <cell r="N947">
            <v>529383</v>
          </cell>
          <cell r="O947" t="str">
            <v xml:space="preserve">1.4306 TP304L </v>
          </cell>
          <cell r="P947" t="str">
            <v>304L</v>
          </cell>
          <cell r="Q947">
            <v>2.2759999999999998</v>
          </cell>
          <cell r="R947">
            <v>2.2730000000000001</v>
          </cell>
          <cell r="S947">
            <v>6.3E-2</v>
          </cell>
          <cell r="T947">
            <v>6.1249999999999999E-2</v>
          </cell>
          <cell r="U947">
            <v>6.1699999999999998E-2</v>
          </cell>
          <cell r="V947">
            <v>6.1475000000000002E-2</v>
          </cell>
          <cell r="W947" t="str">
            <v>BRS</v>
          </cell>
          <cell r="X947">
            <v>1532</v>
          </cell>
          <cell r="Y947">
            <v>2</v>
          </cell>
          <cell r="Z947">
            <v>336.55536028119514</v>
          </cell>
          <cell r="AA947" t="str">
            <v>2.276X0.063-304L</v>
          </cell>
          <cell r="AB947" t="str">
            <v>WAAC005780160B300010</v>
          </cell>
          <cell r="AC947" t="str">
            <v>D2102169</v>
          </cell>
          <cell r="AD947">
            <v>529383</v>
          </cell>
          <cell r="AE947">
            <v>2.3E-2</v>
          </cell>
          <cell r="AF947">
            <v>1.3</v>
          </cell>
          <cell r="AG947">
            <v>3.1E-2</v>
          </cell>
          <cell r="AH947">
            <v>1E-3</v>
          </cell>
          <cell r="AI947">
            <v>0.39</v>
          </cell>
          <cell r="AJ947">
            <v>18.100000000000001</v>
          </cell>
          <cell r="AK947">
            <v>8</v>
          </cell>
          <cell r="AL947">
            <v>6.3E-2</v>
          </cell>
          <cell r="AM947">
            <v>0.37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0.55000000000000004</v>
          </cell>
          <cell r="AS947">
            <v>0</v>
          </cell>
          <cell r="AT947">
            <v>305</v>
          </cell>
          <cell r="AU947">
            <v>0</v>
          </cell>
          <cell r="AV947">
            <v>649</v>
          </cell>
          <cell r="AW947">
            <v>55</v>
          </cell>
          <cell r="AX947">
            <v>82</v>
          </cell>
          <cell r="AY947">
            <v>156</v>
          </cell>
          <cell r="AZ947">
            <v>0.15</v>
          </cell>
          <cell r="BA947" t="str">
            <v>D2102169</v>
          </cell>
          <cell r="BB947" t="str">
            <v>CONFORM</v>
          </cell>
          <cell r="BC947" t="str">
            <v>CONFORM</v>
          </cell>
          <cell r="BD947" t="str">
            <v>CONFORM</v>
          </cell>
          <cell r="BE947" t="str">
            <v>CONFORM</v>
          </cell>
          <cell r="BF947" t="str">
            <v>CONFORM</v>
          </cell>
        </row>
        <row r="948">
          <cell r="A948">
            <v>44256</v>
          </cell>
          <cell r="B948" t="str">
            <v>D2103008-1</v>
          </cell>
          <cell r="C948" t="str">
            <v>017/21</v>
          </cell>
          <cell r="D948">
            <v>2</v>
          </cell>
          <cell r="E948">
            <v>44256</v>
          </cell>
          <cell r="F948" t="str">
            <v>DC</v>
          </cell>
          <cell r="G948" t="str">
            <v>On Time</v>
          </cell>
          <cell r="H948">
            <v>2408038535</v>
          </cell>
          <cell r="I948">
            <v>44249</v>
          </cell>
          <cell r="J948" t="str">
            <v>TKM</v>
          </cell>
          <cell r="K948" t="str">
            <v>D2103008</v>
          </cell>
          <cell r="L948">
            <v>1</v>
          </cell>
          <cell r="M948">
            <v>802550</v>
          </cell>
          <cell r="N948">
            <v>529383</v>
          </cell>
          <cell r="O948" t="str">
            <v xml:space="preserve">1.4306 TP304L </v>
          </cell>
          <cell r="P948" t="str">
            <v>304L</v>
          </cell>
          <cell r="Q948">
            <v>3.0670000000000002</v>
          </cell>
          <cell r="R948">
            <v>3.0634999999999999</v>
          </cell>
          <cell r="S948">
            <v>6.3E-2</v>
          </cell>
          <cell r="T948">
            <v>6.3450000000000006E-2</v>
          </cell>
          <cell r="U948">
            <v>6.1650000000000003E-2</v>
          </cell>
          <cell r="V948">
            <v>6.2550000000000008E-2</v>
          </cell>
          <cell r="W948" t="str">
            <v>BRS</v>
          </cell>
          <cell r="X948">
            <v>3106</v>
          </cell>
          <cell r="Y948">
            <v>3</v>
          </cell>
          <cell r="Z948">
            <v>337.57200304314745</v>
          </cell>
          <cell r="AA948" t="str">
            <v>3.067X0.063-304L</v>
          </cell>
          <cell r="AB948" t="str">
            <v>WAAC007790160B300089</v>
          </cell>
          <cell r="AC948" t="str">
            <v>D2103008</v>
          </cell>
          <cell r="AD948">
            <v>529383</v>
          </cell>
          <cell r="AE948">
            <v>2.3E-2</v>
          </cell>
          <cell r="AF948">
            <v>1.3</v>
          </cell>
          <cell r="AG948">
            <v>3.1E-2</v>
          </cell>
          <cell r="AH948">
            <v>1E-3</v>
          </cell>
          <cell r="AI948">
            <v>0.39</v>
          </cell>
          <cell r="AJ948">
            <v>18.100000000000001</v>
          </cell>
          <cell r="AK948">
            <v>8</v>
          </cell>
          <cell r="AL948">
            <v>6.3E-2</v>
          </cell>
          <cell r="AM948">
            <v>0.37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0.55000000000000004</v>
          </cell>
          <cell r="AS948">
            <v>0</v>
          </cell>
          <cell r="AT948">
            <v>305</v>
          </cell>
          <cell r="AU948">
            <v>0</v>
          </cell>
          <cell r="AV948">
            <v>649</v>
          </cell>
          <cell r="AW948">
            <v>55</v>
          </cell>
          <cell r="AX948">
            <v>82</v>
          </cell>
          <cell r="AY948">
            <v>156</v>
          </cell>
          <cell r="AZ948">
            <v>0.15</v>
          </cell>
          <cell r="BA948" t="str">
            <v>D2103008</v>
          </cell>
          <cell r="BB948" t="str">
            <v>CONFORM</v>
          </cell>
          <cell r="BC948" t="str">
            <v>CONFORM</v>
          </cell>
          <cell r="BD948" t="str">
            <v>CONFORM</v>
          </cell>
          <cell r="BE948" t="str">
            <v>CONFORM</v>
          </cell>
          <cell r="BF948" t="str">
            <v>CONFORM</v>
          </cell>
        </row>
        <row r="949">
          <cell r="A949">
            <v>44256</v>
          </cell>
          <cell r="B949" t="str">
            <v>D2103008-2</v>
          </cell>
          <cell r="C949" t="str">
            <v>017/21</v>
          </cell>
          <cell r="D949">
            <v>2</v>
          </cell>
          <cell r="E949">
            <v>44256</v>
          </cell>
          <cell r="F949" t="str">
            <v>DC</v>
          </cell>
          <cell r="G949" t="str">
            <v>On Time</v>
          </cell>
          <cell r="H949">
            <v>2408038535</v>
          </cell>
          <cell r="I949">
            <v>44249</v>
          </cell>
          <cell r="J949" t="str">
            <v>TKM</v>
          </cell>
          <cell r="K949" t="str">
            <v>D2103008</v>
          </cell>
          <cell r="L949">
            <v>2</v>
          </cell>
          <cell r="M949">
            <v>802550</v>
          </cell>
          <cell r="N949">
            <v>529383</v>
          </cell>
          <cell r="O949" t="str">
            <v xml:space="preserve">1.4306 TP304L </v>
          </cell>
          <cell r="P949" t="str">
            <v>304L</v>
          </cell>
          <cell r="Q949">
            <v>3.0670000000000002</v>
          </cell>
          <cell r="R949">
            <v>3.0684999999999998</v>
          </cell>
          <cell r="S949">
            <v>6.3E-2</v>
          </cell>
          <cell r="T949">
            <v>6.1650000000000003E-2</v>
          </cell>
          <cell r="U949">
            <v>6.1699999999999998E-2</v>
          </cell>
          <cell r="V949">
            <v>6.1675000000000001E-2</v>
          </cell>
          <cell r="W949" t="str">
            <v>BRS</v>
          </cell>
          <cell r="X949">
            <v>3112</v>
          </cell>
          <cell r="Y949">
            <v>3</v>
          </cell>
          <cell r="Z949">
            <v>338.22410607542656</v>
          </cell>
          <cell r="AA949" t="str">
            <v>3.067X0.063-304L</v>
          </cell>
          <cell r="AB949" t="str">
            <v>WAAC007790160B300089</v>
          </cell>
          <cell r="AC949" t="str">
            <v>D2103008</v>
          </cell>
          <cell r="AD949">
            <v>529383</v>
          </cell>
          <cell r="AE949">
            <v>2.3E-2</v>
          </cell>
          <cell r="AF949">
            <v>1.3</v>
          </cell>
          <cell r="AG949">
            <v>3.1E-2</v>
          </cell>
          <cell r="AH949">
            <v>1E-3</v>
          </cell>
          <cell r="AI949">
            <v>0.39</v>
          </cell>
          <cell r="AJ949">
            <v>18.100000000000001</v>
          </cell>
          <cell r="AK949">
            <v>8</v>
          </cell>
          <cell r="AL949">
            <v>6.3E-2</v>
          </cell>
          <cell r="AM949">
            <v>0.37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0.55000000000000004</v>
          </cell>
          <cell r="AS949">
            <v>0</v>
          </cell>
          <cell r="AT949">
            <v>305</v>
          </cell>
          <cell r="AU949">
            <v>0</v>
          </cell>
          <cell r="AV949">
            <v>649</v>
          </cell>
          <cell r="AW949">
            <v>55</v>
          </cell>
          <cell r="AX949">
            <v>82</v>
          </cell>
          <cell r="AY949">
            <v>156</v>
          </cell>
          <cell r="AZ949">
            <v>0.15</v>
          </cell>
          <cell r="BA949" t="str">
            <v>D2103008</v>
          </cell>
          <cell r="BB949" t="str">
            <v>CONFORM</v>
          </cell>
          <cell r="BC949" t="str">
            <v>CONFORM</v>
          </cell>
          <cell r="BD949" t="str">
            <v>CONFORM</v>
          </cell>
          <cell r="BE949" t="str">
            <v>CONFORM</v>
          </cell>
          <cell r="BF949" t="str">
            <v>CONFORM</v>
          </cell>
        </row>
        <row r="950">
          <cell r="A950">
            <v>44256</v>
          </cell>
          <cell r="B950" t="str">
            <v>D2103008-3</v>
          </cell>
          <cell r="C950" t="str">
            <v>017/21</v>
          </cell>
          <cell r="D950">
            <v>2</v>
          </cell>
          <cell r="E950">
            <v>44256</v>
          </cell>
          <cell r="F950" t="str">
            <v>DC</v>
          </cell>
          <cell r="G950" t="str">
            <v>On Time</v>
          </cell>
          <cell r="H950">
            <v>2408038535</v>
          </cell>
          <cell r="I950">
            <v>44249</v>
          </cell>
          <cell r="J950" t="str">
            <v>TKM</v>
          </cell>
          <cell r="K950" t="str">
            <v>D2103008</v>
          </cell>
          <cell r="L950">
            <v>3</v>
          </cell>
          <cell r="M950">
            <v>802550</v>
          </cell>
          <cell r="N950">
            <v>529383</v>
          </cell>
          <cell r="O950" t="str">
            <v xml:space="preserve">1.4306 TP304L </v>
          </cell>
          <cell r="P950" t="str">
            <v>304L</v>
          </cell>
          <cell r="Q950">
            <v>3.0670000000000002</v>
          </cell>
          <cell r="R950">
            <v>3.0605000000000002</v>
          </cell>
          <cell r="S950">
            <v>6.3E-2</v>
          </cell>
          <cell r="T950">
            <v>6.3E-2</v>
          </cell>
          <cell r="U950">
            <v>6.5100000000000005E-2</v>
          </cell>
          <cell r="V950">
            <v>6.4049999999999996E-2</v>
          </cell>
          <cell r="W950" t="str">
            <v>BRS</v>
          </cell>
          <cell r="X950">
            <v>3112</v>
          </cell>
          <cell r="Y950">
            <v>3</v>
          </cell>
          <cell r="Z950">
            <v>338.22410607542656</v>
          </cell>
          <cell r="AA950" t="str">
            <v>3.067X0.063-304L</v>
          </cell>
          <cell r="AB950" t="str">
            <v>WAAC007790160B300089</v>
          </cell>
          <cell r="AC950" t="str">
            <v>D2103008</v>
          </cell>
          <cell r="AD950">
            <v>529383</v>
          </cell>
          <cell r="AE950">
            <v>2.3E-2</v>
          </cell>
          <cell r="AF950">
            <v>1.3</v>
          </cell>
          <cell r="AG950">
            <v>3.1E-2</v>
          </cell>
          <cell r="AH950">
            <v>1E-3</v>
          </cell>
          <cell r="AI950">
            <v>0.39</v>
          </cell>
          <cell r="AJ950">
            <v>18.100000000000001</v>
          </cell>
          <cell r="AK950">
            <v>8</v>
          </cell>
          <cell r="AL950">
            <v>6.3E-2</v>
          </cell>
          <cell r="AM950">
            <v>0.37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0.55000000000000004</v>
          </cell>
          <cell r="AS950">
            <v>0</v>
          </cell>
          <cell r="AT950">
            <v>305</v>
          </cell>
          <cell r="AU950">
            <v>0</v>
          </cell>
          <cell r="AV950">
            <v>649</v>
          </cell>
          <cell r="AW950">
            <v>55</v>
          </cell>
          <cell r="AX950">
            <v>82</v>
          </cell>
          <cell r="AY950">
            <v>156</v>
          </cell>
          <cell r="AZ950">
            <v>0.15</v>
          </cell>
          <cell r="BA950" t="str">
            <v>D2103008</v>
          </cell>
          <cell r="BB950" t="str">
            <v>CONFORM</v>
          </cell>
          <cell r="BC950" t="str">
            <v>CONFORM</v>
          </cell>
          <cell r="BD950" t="str">
            <v>CONFORM</v>
          </cell>
          <cell r="BE950" t="str">
            <v>CONFORM</v>
          </cell>
          <cell r="BF950" t="str">
            <v>CONFORM</v>
          </cell>
        </row>
        <row r="951">
          <cell r="A951">
            <v>44256</v>
          </cell>
          <cell r="B951" t="str">
            <v>D2103008-4</v>
          </cell>
          <cell r="C951" t="str">
            <v>017/21</v>
          </cell>
          <cell r="D951">
            <v>2</v>
          </cell>
          <cell r="E951">
            <v>44256</v>
          </cell>
          <cell r="F951" t="str">
            <v>DC</v>
          </cell>
          <cell r="G951" t="str">
            <v>On Time</v>
          </cell>
          <cell r="H951">
            <v>2408038535</v>
          </cell>
          <cell r="I951">
            <v>44249</v>
          </cell>
          <cell r="J951" t="str">
            <v>TKM</v>
          </cell>
          <cell r="K951" t="str">
            <v>D2103008</v>
          </cell>
          <cell r="L951">
            <v>4</v>
          </cell>
          <cell r="M951">
            <v>802550</v>
          </cell>
          <cell r="N951">
            <v>529383</v>
          </cell>
          <cell r="O951" t="str">
            <v xml:space="preserve">1.4306 TP304L </v>
          </cell>
          <cell r="P951" t="str">
            <v>304L</v>
          </cell>
          <cell r="Q951">
            <v>3.0670000000000002</v>
          </cell>
          <cell r="R951">
            <v>3.0605000000000002</v>
          </cell>
          <cell r="S951">
            <v>6.3E-2</v>
          </cell>
          <cell r="T951">
            <v>6.2050000000000001E-2</v>
          </cell>
          <cell r="U951">
            <v>6.1650000000000003E-2</v>
          </cell>
          <cell r="V951">
            <v>6.1850000000000002E-2</v>
          </cell>
          <cell r="W951" t="str">
            <v>BRS</v>
          </cell>
          <cell r="X951">
            <v>3112</v>
          </cell>
          <cell r="Y951">
            <v>3</v>
          </cell>
          <cell r="Z951">
            <v>338.22410607542656</v>
          </cell>
          <cell r="AA951" t="str">
            <v>3.067X0.063-304L</v>
          </cell>
          <cell r="AB951" t="str">
            <v>WAAC007790160B300089</v>
          </cell>
          <cell r="AC951" t="str">
            <v>D2103008</v>
          </cell>
          <cell r="AD951">
            <v>529383</v>
          </cell>
          <cell r="AE951">
            <v>2.3E-2</v>
          </cell>
          <cell r="AF951">
            <v>1.3</v>
          </cell>
          <cell r="AG951">
            <v>3.1E-2</v>
          </cell>
          <cell r="AH951">
            <v>1E-3</v>
          </cell>
          <cell r="AI951">
            <v>0.39</v>
          </cell>
          <cell r="AJ951">
            <v>18.100000000000001</v>
          </cell>
          <cell r="AK951">
            <v>8</v>
          </cell>
          <cell r="AL951">
            <v>6.3E-2</v>
          </cell>
          <cell r="AM951">
            <v>0.37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0.55000000000000004</v>
          </cell>
          <cell r="AS951">
            <v>0</v>
          </cell>
          <cell r="AT951">
            <v>305</v>
          </cell>
          <cell r="AU951">
            <v>0</v>
          </cell>
          <cell r="AV951">
            <v>649</v>
          </cell>
          <cell r="AW951">
            <v>55</v>
          </cell>
          <cell r="AX951">
            <v>82</v>
          </cell>
          <cell r="AY951">
            <v>156</v>
          </cell>
          <cell r="AZ951">
            <v>0.15</v>
          </cell>
          <cell r="BA951" t="str">
            <v>D2103008</v>
          </cell>
          <cell r="BB951" t="str">
            <v>CONFORM</v>
          </cell>
          <cell r="BC951" t="str">
            <v>CONFORM</v>
          </cell>
          <cell r="BD951" t="str">
            <v>CONFORM</v>
          </cell>
          <cell r="BE951" t="str">
            <v>CONFORM</v>
          </cell>
          <cell r="BF951" t="str">
            <v>CONFORM</v>
          </cell>
        </row>
        <row r="952">
          <cell r="A952">
            <v>44256</v>
          </cell>
          <cell r="B952" t="str">
            <v>D2103008-5</v>
          </cell>
          <cell r="C952" t="str">
            <v>017/21</v>
          </cell>
          <cell r="D952">
            <v>2</v>
          </cell>
          <cell r="E952">
            <v>44256</v>
          </cell>
          <cell r="F952" t="str">
            <v>DC</v>
          </cell>
          <cell r="G952" t="str">
            <v>On Time</v>
          </cell>
          <cell r="H952">
            <v>2408038535</v>
          </cell>
          <cell r="I952">
            <v>44249</v>
          </cell>
          <cell r="J952" t="str">
            <v>TKM</v>
          </cell>
          <cell r="K952" t="str">
            <v>D2103008</v>
          </cell>
          <cell r="L952">
            <v>5</v>
          </cell>
          <cell r="M952">
            <v>802550</v>
          </cell>
          <cell r="N952">
            <v>529383</v>
          </cell>
          <cell r="O952" t="str">
            <v xml:space="preserve">1.4306 TP304L </v>
          </cell>
          <cell r="P952" t="str">
            <v>304L</v>
          </cell>
          <cell r="Q952">
            <v>3.0670000000000002</v>
          </cell>
          <cell r="R952">
            <v>3.0625</v>
          </cell>
          <cell r="S952">
            <v>6.3E-2</v>
          </cell>
          <cell r="T952">
            <v>6.1600000000000002E-2</v>
          </cell>
          <cell r="U952">
            <v>6.3799999999999996E-2</v>
          </cell>
          <cell r="V952">
            <v>6.2700000000000006E-2</v>
          </cell>
          <cell r="W952" t="str">
            <v>BRS</v>
          </cell>
          <cell r="X952">
            <v>2070</v>
          </cell>
          <cell r="Y952">
            <v>2</v>
          </cell>
          <cell r="Z952">
            <v>337.4633192044343</v>
          </cell>
          <cell r="AA952" t="str">
            <v>3.067X0.063-304L</v>
          </cell>
          <cell r="AB952" t="str">
            <v>WAAC007790160B300089</v>
          </cell>
          <cell r="AC952" t="str">
            <v>D2103008</v>
          </cell>
          <cell r="AD952">
            <v>529383</v>
          </cell>
          <cell r="AE952">
            <v>2.3E-2</v>
          </cell>
          <cell r="AF952">
            <v>1.3</v>
          </cell>
          <cell r="AG952">
            <v>3.1E-2</v>
          </cell>
          <cell r="AH952">
            <v>1E-3</v>
          </cell>
          <cell r="AI952">
            <v>0.39</v>
          </cell>
          <cell r="AJ952">
            <v>18.100000000000001</v>
          </cell>
          <cell r="AK952">
            <v>8</v>
          </cell>
          <cell r="AL952">
            <v>6.3E-2</v>
          </cell>
          <cell r="AM952">
            <v>0.37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0.55000000000000004</v>
          </cell>
          <cell r="AS952">
            <v>0</v>
          </cell>
          <cell r="AT952">
            <v>305</v>
          </cell>
          <cell r="AU952">
            <v>0</v>
          </cell>
          <cell r="AV952">
            <v>649</v>
          </cell>
          <cell r="AW952">
            <v>55</v>
          </cell>
          <cell r="AX952">
            <v>82</v>
          </cell>
          <cell r="AY952">
            <v>156</v>
          </cell>
          <cell r="AZ952">
            <v>0.15</v>
          </cell>
          <cell r="BA952" t="str">
            <v>D2103008</v>
          </cell>
          <cell r="BB952" t="str">
            <v>CONFORM</v>
          </cell>
          <cell r="BC952" t="str">
            <v>CONFORM</v>
          </cell>
          <cell r="BD952" t="str">
            <v>CONFORM</v>
          </cell>
          <cell r="BE952" t="str">
            <v>CONFORM</v>
          </cell>
          <cell r="BF952" t="str">
            <v>CONFORM</v>
          </cell>
        </row>
        <row r="953">
          <cell r="A953">
            <v>44256</v>
          </cell>
          <cell r="B953" t="str">
            <v>D2103009-1</v>
          </cell>
          <cell r="C953" t="str">
            <v>017/21</v>
          </cell>
          <cell r="D953">
            <v>1</v>
          </cell>
          <cell r="E953">
            <v>44256</v>
          </cell>
          <cell r="F953" t="str">
            <v>DC</v>
          </cell>
          <cell r="G953" t="str">
            <v>On Time</v>
          </cell>
          <cell r="H953">
            <v>2408038535</v>
          </cell>
          <cell r="I953">
            <v>44249</v>
          </cell>
          <cell r="J953" t="str">
            <v>TKM</v>
          </cell>
          <cell r="K953" t="str">
            <v>D2103009</v>
          </cell>
          <cell r="L953">
            <v>1</v>
          </cell>
          <cell r="M953">
            <v>802550</v>
          </cell>
          <cell r="N953">
            <v>529383</v>
          </cell>
          <cell r="O953" t="str">
            <v xml:space="preserve">1.4306 TP304L </v>
          </cell>
          <cell r="P953" t="str">
            <v>304L</v>
          </cell>
          <cell r="Q953">
            <v>2.2759999999999998</v>
          </cell>
          <cell r="R953">
            <v>2.2719999999999998</v>
          </cell>
          <cell r="S953">
            <v>6.3E-2</v>
          </cell>
          <cell r="T953">
            <v>6.2149999999999997E-2</v>
          </cell>
          <cell r="U953">
            <v>6.3250000000000001E-2</v>
          </cell>
          <cell r="V953">
            <v>6.2700000000000006E-2</v>
          </cell>
          <cell r="W953" t="str">
            <v>BRS</v>
          </cell>
          <cell r="X953">
            <v>1534</v>
          </cell>
          <cell r="Y953">
            <v>2</v>
          </cell>
          <cell r="Z953">
            <v>336.99472759226717</v>
          </cell>
          <cell r="AA953" t="str">
            <v>2.276X0.063-304L</v>
          </cell>
          <cell r="AB953" t="str">
            <v>WAAC005780160B300010</v>
          </cell>
          <cell r="AC953" t="str">
            <v>D2103009</v>
          </cell>
          <cell r="AD953">
            <v>529383</v>
          </cell>
          <cell r="AE953">
            <v>2.3E-2</v>
          </cell>
          <cell r="AF953">
            <v>1.3</v>
          </cell>
          <cell r="AG953">
            <v>3.1E-2</v>
          </cell>
          <cell r="AH953">
            <v>1E-3</v>
          </cell>
          <cell r="AI953">
            <v>0.39</v>
          </cell>
          <cell r="AJ953">
            <v>18.100000000000001</v>
          </cell>
          <cell r="AK953">
            <v>8</v>
          </cell>
          <cell r="AL953">
            <v>6.3E-2</v>
          </cell>
          <cell r="AM953">
            <v>0.37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0.55000000000000004</v>
          </cell>
          <cell r="AS953">
            <v>0</v>
          </cell>
          <cell r="AT953">
            <v>305</v>
          </cell>
          <cell r="AU953">
            <v>0</v>
          </cell>
          <cell r="AV953">
            <v>649</v>
          </cell>
          <cell r="AW953">
            <v>55</v>
          </cell>
          <cell r="AX953">
            <v>82</v>
          </cell>
          <cell r="AY953">
            <v>156</v>
          </cell>
          <cell r="AZ953">
            <v>0.15</v>
          </cell>
          <cell r="BA953" t="str">
            <v>D2103009</v>
          </cell>
          <cell r="BB953" t="str">
            <v>CONFORM</v>
          </cell>
          <cell r="BC953" t="str">
            <v>CONFORM</v>
          </cell>
          <cell r="BD953" t="str">
            <v>CONFORM</v>
          </cell>
          <cell r="BE953" t="str">
            <v>CONFORM</v>
          </cell>
          <cell r="BF953" t="str">
            <v>CONFORM</v>
          </cell>
        </row>
        <row r="954">
          <cell r="A954">
            <v>44256</v>
          </cell>
          <cell r="B954" t="str">
            <v>D2103010-1</v>
          </cell>
          <cell r="C954" t="str">
            <v>018/21</v>
          </cell>
          <cell r="D954">
            <v>2</v>
          </cell>
          <cell r="E954">
            <v>44256</v>
          </cell>
          <cell r="F954" t="str">
            <v>DC</v>
          </cell>
          <cell r="G954" t="str">
            <v>On Time</v>
          </cell>
          <cell r="H954">
            <v>2408038597</v>
          </cell>
          <cell r="I954">
            <v>44250</v>
          </cell>
          <cell r="J954" t="str">
            <v>TKM</v>
          </cell>
          <cell r="K954" t="str">
            <v>D2103010</v>
          </cell>
          <cell r="L954">
            <v>1</v>
          </cell>
          <cell r="M954">
            <v>813500</v>
          </cell>
          <cell r="N954">
            <v>529490</v>
          </cell>
          <cell r="O954" t="str">
            <v xml:space="preserve">1.4306 TP304L </v>
          </cell>
          <cell r="P954" t="str">
            <v>304L</v>
          </cell>
          <cell r="Q954">
            <v>3.0550000000000002</v>
          </cell>
          <cell r="R954">
            <v>3.0505</v>
          </cell>
          <cell r="S954">
            <v>6.7000000000000004E-2</v>
          </cell>
          <cell r="T954">
            <v>6.5250000000000002E-2</v>
          </cell>
          <cell r="U954">
            <v>6.7949999999999997E-2</v>
          </cell>
          <cell r="V954">
            <v>6.6599999999999993E-2</v>
          </cell>
          <cell r="W954" t="str">
            <v>BRS</v>
          </cell>
          <cell r="X954">
            <v>5092</v>
          </cell>
          <cell r="Y954">
            <v>5</v>
          </cell>
          <cell r="Z954">
            <v>333.35515548281501</v>
          </cell>
          <cell r="AA954" t="str">
            <v>3.055X0.067-304L</v>
          </cell>
          <cell r="AB954" t="str">
            <v>WAAC007760170B300083</v>
          </cell>
          <cell r="AC954" t="str">
            <v>D2103010</v>
          </cell>
          <cell r="AD954">
            <v>529490</v>
          </cell>
          <cell r="AE954">
            <v>2.4E-2</v>
          </cell>
          <cell r="AF954">
            <v>1.49</v>
          </cell>
          <cell r="AG954">
            <v>3.3000000000000002E-2</v>
          </cell>
          <cell r="AH954">
            <v>1E-3</v>
          </cell>
          <cell r="AI954">
            <v>0.43</v>
          </cell>
          <cell r="AJ954">
            <v>16.7</v>
          </cell>
          <cell r="AK954">
            <v>10</v>
          </cell>
          <cell r="AL954">
            <v>3.9E-2</v>
          </cell>
          <cell r="AM954">
            <v>2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0.47</v>
          </cell>
          <cell r="AS954">
            <v>0</v>
          </cell>
          <cell r="AT954">
            <v>307</v>
          </cell>
          <cell r="AU954">
            <v>0</v>
          </cell>
          <cell r="AV954">
            <v>635</v>
          </cell>
          <cell r="AW954">
            <v>54</v>
          </cell>
          <cell r="AX954">
            <v>81</v>
          </cell>
          <cell r="AY954">
            <v>153</v>
          </cell>
          <cell r="AZ954">
            <v>0.15</v>
          </cell>
          <cell r="BA954" t="str">
            <v>D2103010</v>
          </cell>
          <cell r="BB954" t="str">
            <v>CONFORM</v>
          </cell>
          <cell r="BC954" t="str">
            <v>CONFORM</v>
          </cell>
          <cell r="BD954" t="str">
            <v>CONFORM</v>
          </cell>
          <cell r="BE954" t="str">
            <v>CONFORM</v>
          </cell>
          <cell r="BF954" t="str">
            <v>CONFORM</v>
          </cell>
        </row>
        <row r="955">
          <cell r="A955">
            <v>44256</v>
          </cell>
          <cell r="B955" t="str">
            <v>D2103010-2</v>
          </cell>
          <cell r="C955" t="str">
            <v>018/21</v>
          </cell>
          <cell r="D955">
            <v>2</v>
          </cell>
          <cell r="E955">
            <v>44256</v>
          </cell>
          <cell r="F955" t="str">
            <v>DC</v>
          </cell>
          <cell r="G955" t="str">
            <v>On Time</v>
          </cell>
          <cell r="H955">
            <v>2408038597</v>
          </cell>
          <cell r="I955">
            <v>44250</v>
          </cell>
          <cell r="J955" t="str">
            <v>TKM</v>
          </cell>
          <cell r="K955" t="str">
            <v>D2103010</v>
          </cell>
          <cell r="L955">
            <v>2</v>
          </cell>
          <cell r="M955">
            <v>813500</v>
          </cell>
          <cell r="N955">
            <v>529490</v>
          </cell>
          <cell r="O955" t="str">
            <v xml:space="preserve">1.4306 TP304L </v>
          </cell>
          <cell r="P955" t="str">
            <v>304L</v>
          </cell>
          <cell r="Q955">
            <v>3.0550000000000002</v>
          </cell>
          <cell r="R955">
            <v>3.0505</v>
          </cell>
          <cell r="S955">
            <v>6.7000000000000004E-2</v>
          </cell>
          <cell r="T955">
            <v>6.6250000000000003E-2</v>
          </cell>
          <cell r="U955">
            <v>6.7150000000000001E-2</v>
          </cell>
          <cell r="V955">
            <v>6.6700000000000009E-2</v>
          </cell>
          <cell r="W955" t="str">
            <v>BRS</v>
          </cell>
          <cell r="X955">
            <v>5090</v>
          </cell>
          <cell r="Y955">
            <v>5</v>
          </cell>
          <cell r="Z955">
            <v>333.22422258592468</v>
          </cell>
          <cell r="AA955" t="str">
            <v>3.055X0.067-304L</v>
          </cell>
          <cell r="AB955" t="str">
            <v>WAAC007760170B300083</v>
          </cell>
          <cell r="AC955" t="str">
            <v>D2103010</v>
          </cell>
          <cell r="AD955">
            <v>529490</v>
          </cell>
          <cell r="AE955">
            <v>2.4E-2</v>
          </cell>
          <cell r="AF955">
            <v>1.49</v>
          </cell>
          <cell r="AG955">
            <v>3.3000000000000002E-2</v>
          </cell>
          <cell r="AH955">
            <v>1E-3</v>
          </cell>
          <cell r="AI955">
            <v>0.43</v>
          </cell>
          <cell r="AJ955">
            <v>16.7</v>
          </cell>
          <cell r="AK955">
            <v>10</v>
          </cell>
          <cell r="AL955">
            <v>3.9E-2</v>
          </cell>
          <cell r="AM955">
            <v>2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0.47</v>
          </cell>
          <cell r="AS955">
            <v>0</v>
          </cell>
          <cell r="AT955">
            <v>307</v>
          </cell>
          <cell r="AU955">
            <v>0</v>
          </cell>
          <cell r="AV955">
            <v>635</v>
          </cell>
          <cell r="AW955">
            <v>54</v>
          </cell>
          <cell r="AX955">
            <v>81</v>
          </cell>
          <cell r="AY955">
            <v>153</v>
          </cell>
          <cell r="AZ955">
            <v>0.15</v>
          </cell>
          <cell r="BA955" t="str">
            <v>D2103010</v>
          </cell>
          <cell r="BB955" t="str">
            <v>CONFORM</v>
          </cell>
          <cell r="BC955" t="str">
            <v>CONFORM</v>
          </cell>
          <cell r="BD955" t="str">
            <v>CONFORM</v>
          </cell>
          <cell r="BE955" t="str">
            <v>CONFORM</v>
          </cell>
          <cell r="BF955" t="str">
            <v>CONFORM</v>
          </cell>
        </row>
        <row r="956">
          <cell r="A956">
            <v>44256</v>
          </cell>
          <cell r="B956" t="str">
            <v>D2103010-3</v>
          </cell>
          <cell r="C956" t="str">
            <v>018/21</v>
          </cell>
          <cell r="D956">
            <v>2</v>
          </cell>
          <cell r="E956">
            <v>44256</v>
          </cell>
          <cell r="F956" t="str">
            <v>DC</v>
          </cell>
          <cell r="G956" t="str">
            <v>On Time</v>
          </cell>
          <cell r="H956">
            <v>2408038597</v>
          </cell>
          <cell r="I956">
            <v>44250</v>
          </cell>
          <cell r="J956" t="str">
            <v>TKM</v>
          </cell>
          <cell r="K956" t="str">
            <v>D2103010</v>
          </cell>
          <cell r="L956">
            <v>3</v>
          </cell>
          <cell r="M956">
            <v>813500</v>
          </cell>
          <cell r="N956">
            <v>529490</v>
          </cell>
          <cell r="O956" t="str">
            <v xml:space="preserve">1.4306 TP304L </v>
          </cell>
          <cell r="P956" t="str">
            <v>304L</v>
          </cell>
          <cell r="Q956">
            <v>3.0550000000000002</v>
          </cell>
          <cell r="R956">
            <v>3.0525000000000002</v>
          </cell>
          <cell r="S956">
            <v>6.7000000000000004E-2</v>
          </cell>
          <cell r="T956">
            <v>6.6949999999999996E-2</v>
          </cell>
          <cell r="U956">
            <v>6.8349999999999994E-2</v>
          </cell>
          <cell r="V956">
            <v>6.7649999999999988E-2</v>
          </cell>
          <cell r="W956" t="str">
            <v>BRS</v>
          </cell>
          <cell r="X956">
            <v>4082</v>
          </cell>
          <cell r="Y956">
            <v>4</v>
          </cell>
          <cell r="Z956">
            <v>334.04255319148933</v>
          </cell>
          <cell r="AA956" t="str">
            <v>3.055X0.067-304L</v>
          </cell>
          <cell r="AB956" t="str">
            <v>WAAC007760170B300083</v>
          </cell>
          <cell r="AC956" t="str">
            <v>D2103010</v>
          </cell>
          <cell r="AD956">
            <v>529490</v>
          </cell>
          <cell r="AE956">
            <v>2.4E-2</v>
          </cell>
          <cell r="AF956">
            <v>1.49</v>
          </cell>
          <cell r="AG956">
            <v>3.3000000000000002E-2</v>
          </cell>
          <cell r="AH956">
            <v>1E-3</v>
          </cell>
          <cell r="AI956">
            <v>0.43</v>
          </cell>
          <cell r="AJ956">
            <v>16.7</v>
          </cell>
          <cell r="AK956">
            <v>10</v>
          </cell>
          <cell r="AL956">
            <v>3.9E-2</v>
          </cell>
          <cell r="AM956">
            <v>2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0.47</v>
          </cell>
          <cell r="AS956">
            <v>0</v>
          </cell>
          <cell r="AT956">
            <v>307</v>
          </cell>
          <cell r="AU956">
            <v>0</v>
          </cell>
          <cell r="AV956">
            <v>635</v>
          </cell>
          <cell r="AW956">
            <v>54</v>
          </cell>
          <cell r="AX956">
            <v>81</v>
          </cell>
          <cell r="AY956">
            <v>153</v>
          </cell>
          <cell r="AZ956">
            <v>0.15</v>
          </cell>
          <cell r="BA956" t="str">
            <v>D2103010</v>
          </cell>
          <cell r="BB956" t="str">
            <v>CONFORM</v>
          </cell>
          <cell r="BC956" t="str">
            <v>CONFORM</v>
          </cell>
          <cell r="BD956" t="str">
            <v>CONFORM</v>
          </cell>
          <cell r="BE956" t="str">
            <v>CONFORM</v>
          </cell>
          <cell r="BF956" t="str">
            <v>CONFORM</v>
          </cell>
        </row>
        <row r="957">
          <cell r="A957">
            <v>44256</v>
          </cell>
          <cell r="B957" t="str">
            <v>D2103011-1</v>
          </cell>
          <cell r="C957" t="str">
            <v>018/21</v>
          </cell>
          <cell r="D957">
            <v>1</v>
          </cell>
          <cell r="E957">
            <v>44256</v>
          </cell>
          <cell r="F957" t="str">
            <v>DC</v>
          </cell>
          <cell r="G957" t="str">
            <v>On Time</v>
          </cell>
          <cell r="H957">
            <v>2408038597</v>
          </cell>
          <cell r="I957">
            <v>44250</v>
          </cell>
          <cell r="J957" t="str">
            <v>TKM</v>
          </cell>
          <cell r="K957" t="str">
            <v>D2103011</v>
          </cell>
          <cell r="L957">
            <v>1</v>
          </cell>
          <cell r="M957">
            <v>813500</v>
          </cell>
          <cell r="N957">
            <v>529490</v>
          </cell>
          <cell r="O957" t="str">
            <v xml:space="preserve">1.4306 TP304L </v>
          </cell>
          <cell r="P957" t="str">
            <v>304L</v>
          </cell>
          <cell r="Q957">
            <v>2.2639999999999998</v>
          </cell>
          <cell r="R957">
            <v>2.2650000000000001</v>
          </cell>
          <cell r="S957">
            <v>6.7000000000000004E-2</v>
          </cell>
          <cell r="T957">
            <v>6.5250000000000002E-2</v>
          </cell>
          <cell r="U957">
            <v>6.6400000000000001E-2</v>
          </cell>
          <cell r="V957">
            <v>6.5824999999999995E-2</v>
          </cell>
          <cell r="W957" t="str">
            <v>BRS</v>
          </cell>
          <cell r="X957">
            <v>1502</v>
          </cell>
          <cell r="Y957">
            <v>2</v>
          </cell>
          <cell r="Z957">
            <v>331.71378091872793</v>
          </cell>
          <cell r="AA957" t="str">
            <v>2.264X0.067-304L</v>
          </cell>
          <cell r="AB957" t="str">
            <v>WAAC005750170B300117</v>
          </cell>
          <cell r="AC957" t="str">
            <v>D2103011</v>
          </cell>
          <cell r="AD957">
            <v>529490</v>
          </cell>
          <cell r="AE957">
            <v>2.4E-2</v>
          </cell>
          <cell r="AF957">
            <v>1.49</v>
          </cell>
          <cell r="AG957">
            <v>3.3000000000000002E-2</v>
          </cell>
          <cell r="AH957">
            <v>1E-3</v>
          </cell>
          <cell r="AI957">
            <v>0.43</v>
          </cell>
          <cell r="AJ957">
            <v>16.7</v>
          </cell>
          <cell r="AK957">
            <v>10</v>
          </cell>
          <cell r="AL957">
            <v>3.9E-2</v>
          </cell>
          <cell r="AM957">
            <v>2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0.47</v>
          </cell>
          <cell r="AS957">
            <v>0</v>
          </cell>
          <cell r="AT957">
            <v>307</v>
          </cell>
          <cell r="AU957">
            <v>0</v>
          </cell>
          <cell r="AV957">
            <v>635</v>
          </cell>
          <cell r="AW957">
            <v>54</v>
          </cell>
          <cell r="AX957">
            <v>81</v>
          </cell>
          <cell r="AY957">
            <v>153</v>
          </cell>
          <cell r="AZ957">
            <v>0.15</v>
          </cell>
          <cell r="BA957" t="str">
            <v>D2103011</v>
          </cell>
          <cell r="BB957" t="str">
            <v>CONFORM</v>
          </cell>
          <cell r="BC957" t="str">
            <v>CONFORM</v>
          </cell>
          <cell r="BD957" t="str">
            <v>CONFORM</v>
          </cell>
          <cell r="BE957" t="str">
            <v>CONFORM</v>
          </cell>
          <cell r="BF957" t="str">
            <v>CONFORM</v>
          </cell>
        </row>
        <row r="958">
          <cell r="A958">
            <v>44257</v>
          </cell>
          <cell r="B958" t="str">
            <v>D2103025-1</v>
          </cell>
          <cell r="C958" t="str">
            <v>019/21</v>
          </cell>
          <cell r="D958">
            <v>2</v>
          </cell>
          <cell r="E958">
            <v>44257</v>
          </cell>
          <cell r="F958" t="str">
            <v>DC</v>
          </cell>
          <cell r="G958" t="str">
            <v>On Time</v>
          </cell>
          <cell r="H958">
            <v>2408038602</v>
          </cell>
          <cell r="I958">
            <v>44250</v>
          </cell>
          <cell r="J958" t="str">
            <v>TKM</v>
          </cell>
          <cell r="K958" t="str">
            <v>D2103025</v>
          </cell>
          <cell r="L958">
            <v>1</v>
          </cell>
          <cell r="M958">
            <v>813500</v>
          </cell>
          <cell r="N958">
            <v>529490</v>
          </cell>
          <cell r="O958" t="str">
            <v xml:space="preserve">1.4401/1.4404 TP316/316L </v>
          </cell>
          <cell r="P958" t="str">
            <v>316L</v>
          </cell>
          <cell r="Q958">
            <v>3.0550000000000002</v>
          </cell>
          <cell r="R958">
            <v>3.0550000000000002</v>
          </cell>
          <cell r="S958">
            <v>6.7000000000000004E-2</v>
          </cell>
          <cell r="T958">
            <v>6.5500000000000003E-2</v>
          </cell>
          <cell r="U958">
            <v>6.6199999999999995E-2</v>
          </cell>
          <cell r="V958">
            <v>6.5849999999999992E-2</v>
          </cell>
          <cell r="W958" t="str">
            <v>BRS</v>
          </cell>
          <cell r="X958">
            <v>5120</v>
          </cell>
          <cell r="Y958">
            <v>5</v>
          </cell>
          <cell r="Z958">
            <v>335.18821603927984</v>
          </cell>
          <cell r="AA958" t="str">
            <v>3.055X0.067-316L</v>
          </cell>
          <cell r="AB958" t="str">
            <v>WAAF007760170B300018</v>
          </cell>
          <cell r="AC958" t="str">
            <v>D2103025</v>
          </cell>
          <cell r="AD958">
            <v>529490</v>
          </cell>
          <cell r="AE958">
            <v>2.4E-2</v>
          </cell>
          <cell r="AF958">
            <v>1.49</v>
          </cell>
          <cell r="AG958">
            <v>3.3000000000000002E-2</v>
          </cell>
          <cell r="AH958">
            <v>1E-3</v>
          </cell>
          <cell r="AI958">
            <v>0.43</v>
          </cell>
          <cell r="AJ958">
            <v>16.7</v>
          </cell>
          <cell r="AK958">
            <v>10</v>
          </cell>
          <cell r="AL958">
            <v>3.9E-2</v>
          </cell>
          <cell r="AM958">
            <v>2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0.47</v>
          </cell>
          <cell r="AS958">
            <v>0</v>
          </cell>
          <cell r="AT958">
            <v>307</v>
          </cell>
          <cell r="AU958">
            <v>0</v>
          </cell>
          <cell r="AV958">
            <v>635</v>
          </cell>
          <cell r="AW958">
            <v>54</v>
          </cell>
          <cell r="AX958">
            <v>81</v>
          </cell>
          <cell r="AY958">
            <v>153</v>
          </cell>
          <cell r="AZ958">
            <v>0.15</v>
          </cell>
          <cell r="BA958" t="str">
            <v>D2103025</v>
          </cell>
          <cell r="BB958" t="str">
            <v>CONFORM</v>
          </cell>
          <cell r="BC958" t="str">
            <v>CONFORM</v>
          </cell>
          <cell r="BD958" t="str">
            <v>CONFORM</v>
          </cell>
          <cell r="BE958" t="str">
            <v>CONFORM</v>
          </cell>
          <cell r="BF958" t="str">
            <v>CONFORM</v>
          </cell>
        </row>
        <row r="959">
          <cell r="A959">
            <v>44257</v>
          </cell>
          <cell r="B959" t="str">
            <v>D2103025-2</v>
          </cell>
          <cell r="C959" t="str">
            <v>019/21</v>
          </cell>
          <cell r="D959">
            <v>2</v>
          </cell>
          <cell r="E959">
            <v>44257</v>
          </cell>
          <cell r="F959" t="str">
            <v>DC</v>
          </cell>
          <cell r="G959" t="str">
            <v>On Time</v>
          </cell>
          <cell r="H959">
            <v>2408038602</v>
          </cell>
          <cell r="I959">
            <v>44250</v>
          </cell>
          <cell r="J959" t="str">
            <v>TKM</v>
          </cell>
          <cell r="K959" t="str">
            <v>D2103025</v>
          </cell>
          <cell r="L959">
            <v>2</v>
          </cell>
          <cell r="M959">
            <v>813500</v>
          </cell>
          <cell r="N959">
            <v>529490</v>
          </cell>
          <cell r="O959" t="str">
            <v xml:space="preserve">1.4401/1.4404 TP316/316L </v>
          </cell>
          <cell r="P959" t="str">
            <v>316L</v>
          </cell>
          <cell r="Q959">
            <v>3.0550000000000002</v>
          </cell>
          <cell r="R959">
            <v>3.056</v>
          </cell>
          <cell r="S959">
            <v>6.7000000000000004E-2</v>
          </cell>
          <cell r="T959">
            <v>6.5500000000000003E-2</v>
          </cell>
          <cell r="U959">
            <v>6.6750000000000004E-2</v>
          </cell>
          <cell r="V959">
            <v>6.6125000000000003E-2</v>
          </cell>
          <cell r="W959" t="str">
            <v>BRS</v>
          </cell>
          <cell r="X959">
            <v>5142</v>
          </cell>
          <cell r="Y959">
            <v>5</v>
          </cell>
          <cell r="Z959">
            <v>336.62847790507368</v>
          </cell>
          <cell r="AA959" t="str">
            <v>3.055X0.067-316L</v>
          </cell>
          <cell r="AB959" t="str">
            <v>WAAF007760170B300018</v>
          </cell>
          <cell r="AC959" t="str">
            <v>D2103025</v>
          </cell>
          <cell r="AD959">
            <v>529490</v>
          </cell>
          <cell r="AE959">
            <v>2.4E-2</v>
          </cell>
          <cell r="AF959">
            <v>1.49</v>
          </cell>
          <cell r="AG959">
            <v>3.3000000000000002E-2</v>
          </cell>
          <cell r="AH959">
            <v>1E-3</v>
          </cell>
          <cell r="AI959">
            <v>0.43</v>
          </cell>
          <cell r="AJ959">
            <v>16.7</v>
          </cell>
          <cell r="AK959">
            <v>10</v>
          </cell>
          <cell r="AL959">
            <v>3.9E-2</v>
          </cell>
          <cell r="AM959">
            <v>2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0.47</v>
          </cell>
          <cell r="AS959">
            <v>0</v>
          </cell>
          <cell r="AT959">
            <v>307</v>
          </cell>
          <cell r="AU959">
            <v>0</v>
          </cell>
          <cell r="AV959">
            <v>635</v>
          </cell>
          <cell r="AW959">
            <v>54</v>
          </cell>
          <cell r="AX959">
            <v>81</v>
          </cell>
          <cell r="AY959">
            <v>153</v>
          </cell>
          <cell r="AZ959">
            <v>0.15</v>
          </cell>
          <cell r="BA959" t="str">
            <v>D2103025</v>
          </cell>
          <cell r="BB959" t="str">
            <v>CONFORM</v>
          </cell>
          <cell r="BC959" t="str">
            <v>CONFORM</v>
          </cell>
          <cell r="BD959" t="str">
            <v>CONFORM</v>
          </cell>
          <cell r="BE959" t="str">
            <v>CONFORM</v>
          </cell>
          <cell r="BF959" t="str">
            <v>CONFORM</v>
          </cell>
        </row>
        <row r="960">
          <cell r="A960">
            <v>44257</v>
          </cell>
          <cell r="B960" t="str">
            <v>D2103025-3</v>
          </cell>
          <cell r="C960" t="str">
            <v>019/21</v>
          </cell>
          <cell r="D960">
            <v>2</v>
          </cell>
          <cell r="E960">
            <v>44257</v>
          </cell>
          <cell r="F960" t="str">
            <v>DC</v>
          </cell>
          <cell r="G960" t="str">
            <v>On Time</v>
          </cell>
          <cell r="H960">
            <v>2408038602</v>
          </cell>
          <cell r="I960">
            <v>44250</v>
          </cell>
          <cell r="J960" t="str">
            <v>TKM</v>
          </cell>
          <cell r="K960" t="str">
            <v>D2103025</v>
          </cell>
          <cell r="L960">
            <v>3</v>
          </cell>
          <cell r="M960">
            <v>813500</v>
          </cell>
          <cell r="N960">
            <v>529490</v>
          </cell>
          <cell r="O960" t="str">
            <v xml:space="preserve">1.4401/1.4404 TP316/316L </v>
          </cell>
          <cell r="P960" t="str">
            <v>316L</v>
          </cell>
          <cell r="Q960">
            <v>3.0550000000000002</v>
          </cell>
          <cell r="R960">
            <v>3.056</v>
          </cell>
          <cell r="S960">
            <v>6.7000000000000004E-2</v>
          </cell>
          <cell r="T960">
            <v>6.5699999999999995E-2</v>
          </cell>
          <cell r="U960">
            <v>6.59E-2</v>
          </cell>
          <cell r="V960">
            <v>6.5799999999999997E-2</v>
          </cell>
          <cell r="W960" t="str">
            <v>BRS</v>
          </cell>
          <cell r="X960">
            <v>4104</v>
          </cell>
          <cell r="Y960">
            <v>4</v>
          </cell>
          <cell r="Z960">
            <v>335.84288052373159</v>
          </cell>
          <cell r="AA960" t="str">
            <v>3.055X0.067-316L</v>
          </cell>
          <cell r="AB960" t="str">
            <v>WAAF007760170B300018</v>
          </cell>
          <cell r="AC960" t="str">
            <v>D2103025</v>
          </cell>
          <cell r="AD960">
            <v>529490</v>
          </cell>
          <cell r="AE960">
            <v>2.4E-2</v>
          </cell>
          <cell r="AF960">
            <v>1.49</v>
          </cell>
          <cell r="AG960">
            <v>3.3000000000000002E-2</v>
          </cell>
          <cell r="AH960">
            <v>1E-3</v>
          </cell>
          <cell r="AI960">
            <v>0.43</v>
          </cell>
          <cell r="AJ960">
            <v>16.7</v>
          </cell>
          <cell r="AK960">
            <v>10</v>
          </cell>
          <cell r="AL960">
            <v>3.9E-2</v>
          </cell>
          <cell r="AM960">
            <v>2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0.47</v>
          </cell>
          <cell r="AS960">
            <v>0</v>
          </cell>
          <cell r="AT960">
            <v>307</v>
          </cell>
          <cell r="AU960">
            <v>0</v>
          </cell>
          <cell r="AV960">
            <v>635</v>
          </cell>
          <cell r="AW960">
            <v>54</v>
          </cell>
          <cell r="AX960">
            <v>81</v>
          </cell>
          <cell r="AY960">
            <v>153</v>
          </cell>
          <cell r="AZ960">
            <v>0.15</v>
          </cell>
          <cell r="BA960" t="str">
            <v>D2103025</v>
          </cell>
          <cell r="BB960" t="str">
            <v>CONFORM</v>
          </cell>
          <cell r="BC960" t="str">
            <v>CONFORM</v>
          </cell>
          <cell r="BD960" t="str">
            <v>CONFORM</v>
          </cell>
          <cell r="BE960" t="str">
            <v>CONFORM</v>
          </cell>
          <cell r="BF960" t="str">
            <v>CONFORM</v>
          </cell>
        </row>
        <row r="961">
          <cell r="A961">
            <v>44257</v>
          </cell>
          <cell r="B961" t="str">
            <v>D2103026-1</v>
          </cell>
          <cell r="C961" t="str">
            <v>019/21</v>
          </cell>
          <cell r="D961">
            <v>1</v>
          </cell>
          <cell r="E961">
            <v>44257</v>
          </cell>
          <cell r="F961" t="str">
            <v>DC</v>
          </cell>
          <cell r="G961" t="str">
            <v>On Time</v>
          </cell>
          <cell r="H961">
            <v>2408038602</v>
          </cell>
          <cell r="I961">
            <v>44250</v>
          </cell>
          <cell r="J961" t="str">
            <v>TKM</v>
          </cell>
          <cell r="K961" t="str">
            <v>D2103026</v>
          </cell>
          <cell r="L961">
            <v>1</v>
          </cell>
          <cell r="M961">
            <v>813500</v>
          </cell>
          <cell r="N961">
            <v>529490</v>
          </cell>
          <cell r="O961" t="str">
            <v xml:space="preserve">1.4401/1.4404 TP316/316L </v>
          </cell>
          <cell r="P961" t="str">
            <v>316L</v>
          </cell>
          <cell r="Q961">
            <v>2.2639999999999998</v>
          </cell>
          <cell r="R961">
            <v>2.2585000000000002</v>
          </cell>
          <cell r="S961">
            <v>6.7000000000000004E-2</v>
          </cell>
          <cell r="T961">
            <v>6.5500000000000003E-2</v>
          </cell>
          <cell r="U961">
            <v>6.5299999999999997E-2</v>
          </cell>
          <cell r="V961">
            <v>6.54E-2</v>
          </cell>
          <cell r="W961" t="str">
            <v>BRS</v>
          </cell>
          <cell r="X961">
            <v>1514</v>
          </cell>
          <cell r="Y961">
            <v>2</v>
          </cell>
          <cell r="Z961">
            <v>334.36395759717317</v>
          </cell>
          <cell r="AA961" t="str">
            <v>2.264X0.067-316L</v>
          </cell>
          <cell r="AB961" t="str">
            <v>WAAF005750170B300073</v>
          </cell>
          <cell r="AC961" t="str">
            <v>D2103026</v>
          </cell>
          <cell r="AD961">
            <v>529490</v>
          </cell>
          <cell r="AE961">
            <v>2.4E-2</v>
          </cell>
          <cell r="AF961">
            <v>1.49</v>
          </cell>
          <cell r="AG961">
            <v>3.3000000000000002E-2</v>
          </cell>
          <cell r="AH961">
            <v>1E-3</v>
          </cell>
          <cell r="AI961">
            <v>0.43</v>
          </cell>
          <cell r="AJ961">
            <v>16.7</v>
          </cell>
          <cell r="AK961">
            <v>10</v>
          </cell>
          <cell r="AL961">
            <v>3.9E-2</v>
          </cell>
          <cell r="AM961">
            <v>2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0.47</v>
          </cell>
          <cell r="AS961">
            <v>0</v>
          </cell>
          <cell r="AT961">
            <v>307</v>
          </cell>
          <cell r="AU961">
            <v>0</v>
          </cell>
          <cell r="AV961">
            <v>635</v>
          </cell>
          <cell r="AW961">
            <v>54</v>
          </cell>
          <cell r="AX961">
            <v>81</v>
          </cell>
          <cell r="AY961">
            <v>153</v>
          </cell>
          <cell r="AZ961">
            <v>0.15</v>
          </cell>
          <cell r="BA961" t="str">
            <v>D2103026</v>
          </cell>
          <cell r="BB961" t="str">
            <v>CONFORM</v>
          </cell>
          <cell r="BC961" t="str">
            <v>CONFORM</v>
          </cell>
          <cell r="BD961" t="str">
            <v>CONFORM</v>
          </cell>
          <cell r="BE961" t="str">
            <v>CONFORM</v>
          </cell>
          <cell r="BF961" t="str">
            <v>CONFORM</v>
          </cell>
        </row>
        <row r="962">
          <cell r="A962">
            <v>44257</v>
          </cell>
          <cell r="B962" t="str">
            <v>D2103027-1</v>
          </cell>
          <cell r="C962" t="str">
            <v>022/21</v>
          </cell>
          <cell r="D962">
            <v>3</v>
          </cell>
          <cell r="E962">
            <v>44257</v>
          </cell>
          <cell r="F962" t="str">
            <v>DC</v>
          </cell>
          <cell r="G962" t="str">
            <v>On Time</v>
          </cell>
          <cell r="H962">
            <v>2408047344</v>
          </cell>
          <cell r="I962">
            <v>44252</v>
          </cell>
          <cell r="J962" t="str">
            <v>TKM</v>
          </cell>
          <cell r="K962" t="str">
            <v>D2103027</v>
          </cell>
          <cell r="L962">
            <v>1</v>
          </cell>
          <cell r="M962">
            <v>813500</v>
          </cell>
          <cell r="N962">
            <v>529490</v>
          </cell>
          <cell r="O962" t="str">
            <v xml:space="preserve">1.4401/1.4404 TP316/316L </v>
          </cell>
          <cell r="P962" t="str">
            <v>316L</v>
          </cell>
          <cell r="Q962">
            <v>3.85</v>
          </cell>
          <cell r="R962">
            <v>3.8450000000000002</v>
          </cell>
          <cell r="S962">
            <v>6.7000000000000004E-2</v>
          </cell>
          <cell r="T962">
            <v>6.7449999999999996E-2</v>
          </cell>
          <cell r="U962">
            <v>6.7000000000000004E-2</v>
          </cell>
          <cell r="V962">
            <v>6.7225000000000007E-2</v>
          </cell>
          <cell r="W962" t="str">
            <v>BRS</v>
          </cell>
          <cell r="X962">
            <v>3870</v>
          </cell>
          <cell r="Y962">
            <v>3</v>
          </cell>
          <cell r="Z962">
            <v>335.06493506493507</v>
          </cell>
          <cell r="AA962" t="str">
            <v>3.85X0.067-316L</v>
          </cell>
          <cell r="AB962" t="str">
            <v>WAAF009780170B300098</v>
          </cell>
          <cell r="AC962" t="str">
            <v>D2103027</v>
          </cell>
          <cell r="AD962">
            <v>529490</v>
          </cell>
          <cell r="AE962">
            <v>2.4E-2</v>
          </cell>
          <cell r="AF962">
            <v>1.49</v>
          </cell>
          <cell r="AG962">
            <v>3.3000000000000002E-2</v>
          </cell>
          <cell r="AH962">
            <v>1E-3</v>
          </cell>
          <cell r="AI962">
            <v>0.43</v>
          </cell>
          <cell r="AJ962">
            <v>16.7</v>
          </cell>
          <cell r="AK962">
            <v>10</v>
          </cell>
          <cell r="AL962">
            <v>3.9E-2</v>
          </cell>
          <cell r="AM962">
            <v>2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0.47</v>
          </cell>
          <cell r="AS962">
            <v>0</v>
          </cell>
          <cell r="AT962">
            <v>307</v>
          </cell>
          <cell r="AU962">
            <v>0</v>
          </cell>
          <cell r="AV962">
            <v>635</v>
          </cell>
          <cell r="AW962">
            <v>54</v>
          </cell>
          <cell r="AX962">
            <v>81</v>
          </cell>
          <cell r="AY962">
            <v>153</v>
          </cell>
          <cell r="AZ962">
            <v>0.15</v>
          </cell>
          <cell r="BA962" t="str">
            <v>D2103027</v>
          </cell>
          <cell r="BB962" t="str">
            <v>CONFORM</v>
          </cell>
          <cell r="BC962" t="str">
            <v>CONFORM</v>
          </cell>
          <cell r="BD962" t="str">
            <v>CONFORM</v>
          </cell>
          <cell r="BE962" t="str">
            <v>CONFORM</v>
          </cell>
          <cell r="BF962" t="str">
            <v>CONFORM</v>
          </cell>
        </row>
        <row r="963">
          <cell r="A963">
            <v>44257</v>
          </cell>
          <cell r="B963" t="str">
            <v>D2103028-1</v>
          </cell>
          <cell r="C963" t="str">
            <v>022/21</v>
          </cell>
          <cell r="D963">
            <v>2</v>
          </cell>
          <cell r="E963">
            <v>44257</v>
          </cell>
          <cell r="F963" t="str">
            <v>DC</v>
          </cell>
          <cell r="G963" t="str">
            <v>On Time</v>
          </cell>
          <cell r="H963">
            <v>2408047344</v>
          </cell>
          <cell r="I963">
            <v>44252</v>
          </cell>
          <cell r="J963" t="str">
            <v>TKM</v>
          </cell>
          <cell r="K963" t="str">
            <v>D2103028</v>
          </cell>
          <cell r="L963">
            <v>1</v>
          </cell>
          <cell r="M963">
            <v>813500</v>
          </cell>
          <cell r="N963">
            <v>529490</v>
          </cell>
          <cell r="O963" t="str">
            <v xml:space="preserve">1.4401/1.4404 TP316/316L </v>
          </cell>
          <cell r="P963" t="str">
            <v>316L</v>
          </cell>
          <cell r="Q963">
            <v>3.0550000000000002</v>
          </cell>
          <cell r="R963">
            <v>3.0529999999999999</v>
          </cell>
          <cell r="S963">
            <v>6.7000000000000004E-2</v>
          </cell>
          <cell r="T963">
            <v>6.5350000000000005E-2</v>
          </cell>
          <cell r="U963">
            <v>6.5350000000000005E-2</v>
          </cell>
          <cell r="V963">
            <v>6.5350000000000005E-2</v>
          </cell>
          <cell r="W963" t="str">
            <v>BRS</v>
          </cell>
          <cell r="X963">
            <v>4108</v>
          </cell>
          <cell r="Y963">
            <v>4</v>
          </cell>
          <cell r="Z963">
            <v>336.17021276595744</v>
          </cell>
          <cell r="AA963" t="str">
            <v>3.055X0.067-316L</v>
          </cell>
          <cell r="AB963" t="str">
            <v>WAAF007760170B300018</v>
          </cell>
          <cell r="AC963" t="str">
            <v>D2103028</v>
          </cell>
          <cell r="AD963">
            <v>529490</v>
          </cell>
          <cell r="AE963">
            <v>2.4E-2</v>
          </cell>
          <cell r="AF963">
            <v>1.49</v>
          </cell>
          <cell r="AG963">
            <v>3.3000000000000002E-2</v>
          </cell>
          <cell r="AH963">
            <v>1E-3</v>
          </cell>
          <cell r="AI963">
            <v>0.43</v>
          </cell>
          <cell r="AJ963">
            <v>16.7</v>
          </cell>
          <cell r="AK963">
            <v>10</v>
          </cell>
          <cell r="AL963">
            <v>3.9E-2</v>
          </cell>
          <cell r="AM963">
            <v>2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0.47</v>
          </cell>
          <cell r="AS963">
            <v>0</v>
          </cell>
          <cell r="AT963">
            <v>307</v>
          </cell>
          <cell r="AU963">
            <v>0</v>
          </cell>
          <cell r="AV963">
            <v>635</v>
          </cell>
          <cell r="AW963">
            <v>54</v>
          </cell>
          <cell r="AX963">
            <v>81</v>
          </cell>
          <cell r="AY963">
            <v>153</v>
          </cell>
          <cell r="AZ963">
            <v>0.15</v>
          </cell>
          <cell r="BA963" t="str">
            <v>D2103028</v>
          </cell>
          <cell r="BB963" t="str">
            <v>CONFORM</v>
          </cell>
          <cell r="BC963" t="str">
            <v>CONFORM</v>
          </cell>
          <cell r="BD963" t="str">
            <v>CONFORM</v>
          </cell>
          <cell r="BE963" t="str">
            <v>CONFORM</v>
          </cell>
          <cell r="BF963" t="str">
            <v>CONFORM</v>
          </cell>
        </row>
        <row r="964">
          <cell r="A964">
            <v>44257</v>
          </cell>
          <cell r="B964" t="str">
            <v>D2103028-2</v>
          </cell>
          <cell r="C964" t="str">
            <v>022/21</v>
          </cell>
          <cell r="D964">
            <v>2</v>
          </cell>
          <cell r="E964">
            <v>44257</v>
          </cell>
          <cell r="F964" t="str">
            <v>DC</v>
          </cell>
          <cell r="G964" t="str">
            <v>On Time</v>
          </cell>
          <cell r="H964">
            <v>2408047344</v>
          </cell>
          <cell r="I964">
            <v>44252</v>
          </cell>
          <cell r="J964" t="str">
            <v>TKM</v>
          </cell>
          <cell r="K964" t="str">
            <v>D2103028</v>
          </cell>
          <cell r="L964">
            <v>2</v>
          </cell>
          <cell r="M964">
            <v>813500</v>
          </cell>
          <cell r="N964">
            <v>529490</v>
          </cell>
          <cell r="O964" t="str">
            <v xml:space="preserve">1.4401/1.4404 TP316/316L </v>
          </cell>
          <cell r="P964" t="str">
            <v>316L</v>
          </cell>
          <cell r="Q964">
            <v>3.0550000000000002</v>
          </cell>
          <cell r="R964">
            <v>3.05</v>
          </cell>
          <cell r="S964">
            <v>6.7000000000000004E-2</v>
          </cell>
          <cell r="T964">
            <v>6.5350000000000005E-2</v>
          </cell>
          <cell r="U964">
            <v>6.7000000000000004E-2</v>
          </cell>
          <cell r="V964">
            <v>6.6175000000000012E-2</v>
          </cell>
          <cell r="W964" t="str">
            <v>BRS</v>
          </cell>
          <cell r="X964">
            <v>4112</v>
          </cell>
          <cell r="Y964">
            <v>4</v>
          </cell>
          <cell r="Z964">
            <v>336.49754500818329</v>
          </cell>
          <cell r="AA964" t="str">
            <v>3.055X0.067-316L</v>
          </cell>
          <cell r="AB964" t="str">
            <v>WAAF007760170B300018</v>
          </cell>
          <cell r="AC964" t="str">
            <v>D2103028</v>
          </cell>
          <cell r="AD964">
            <v>529490</v>
          </cell>
          <cell r="AE964">
            <v>2.4E-2</v>
          </cell>
          <cell r="AF964">
            <v>1.49</v>
          </cell>
          <cell r="AG964">
            <v>3.3000000000000002E-2</v>
          </cell>
          <cell r="AH964">
            <v>1E-3</v>
          </cell>
          <cell r="AI964">
            <v>0.43</v>
          </cell>
          <cell r="AJ964">
            <v>16.7</v>
          </cell>
          <cell r="AK964">
            <v>10</v>
          </cell>
          <cell r="AL964">
            <v>3.9E-2</v>
          </cell>
          <cell r="AM964">
            <v>2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0.47</v>
          </cell>
          <cell r="AS964">
            <v>0</v>
          </cell>
          <cell r="AT964">
            <v>307</v>
          </cell>
          <cell r="AU964">
            <v>0</v>
          </cell>
          <cell r="AV964">
            <v>635</v>
          </cell>
          <cell r="AW964">
            <v>54</v>
          </cell>
          <cell r="AX964">
            <v>81</v>
          </cell>
          <cell r="AY964">
            <v>153</v>
          </cell>
          <cell r="AZ964">
            <v>0.15</v>
          </cell>
          <cell r="BA964" t="str">
            <v>D2103028</v>
          </cell>
          <cell r="BB964" t="str">
            <v>CONFORM</v>
          </cell>
          <cell r="BC964" t="str">
            <v>CONFORM</v>
          </cell>
          <cell r="BD964" t="str">
            <v>CONFORM</v>
          </cell>
          <cell r="BE964" t="str">
            <v>CONFORM</v>
          </cell>
          <cell r="BF964" t="str">
            <v>CONFORM</v>
          </cell>
        </row>
        <row r="965">
          <cell r="A965">
            <v>44257</v>
          </cell>
          <cell r="B965" t="str">
            <v>D2103028-3</v>
          </cell>
          <cell r="C965" t="str">
            <v>022/21</v>
          </cell>
          <cell r="D965">
            <v>2</v>
          </cell>
          <cell r="E965">
            <v>44257</v>
          </cell>
          <cell r="F965" t="str">
            <v>DC</v>
          </cell>
          <cell r="G965" t="str">
            <v>On Time</v>
          </cell>
          <cell r="H965">
            <v>2408047344</v>
          </cell>
          <cell r="I965">
            <v>44252</v>
          </cell>
          <cell r="J965" t="str">
            <v>TKM</v>
          </cell>
          <cell r="K965" t="str">
            <v>D2103028</v>
          </cell>
          <cell r="L965">
            <v>3</v>
          </cell>
          <cell r="M965">
            <v>813500</v>
          </cell>
          <cell r="N965">
            <v>529490</v>
          </cell>
          <cell r="O965" t="str">
            <v xml:space="preserve">1.4401/1.4404 TP316/316L </v>
          </cell>
          <cell r="P965" t="str">
            <v>316L</v>
          </cell>
          <cell r="Q965">
            <v>3.0550000000000002</v>
          </cell>
          <cell r="R965">
            <v>3.0545</v>
          </cell>
          <cell r="S965">
            <v>6.7000000000000004E-2</v>
          </cell>
          <cell r="T965">
            <v>6.5449999999999994E-2</v>
          </cell>
          <cell r="U965">
            <v>0.30652499999999999</v>
          </cell>
          <cell r="V965">
            <v>0.1859875</v>
          </cell>
          <cell r="W965" t="str">
            <v>BRS</v>
          </cell>
          <cell r="X965">
            <v>3076</v>
          </cell>
          <cell r="Y965">
            <v>3</v>
          </cell>
          <cell r="Z965">
            <v>335.62465902891432</v>
          </cell>
          <cell r="AA965" t="str">
            <v>3.055X0.067-316L</v>
          </cell>
          <cell r="AB965" t="str">
            <v>WAAF007760170B300018</v>
          </cell>
          <cell r="AC965" t="str">
            <v>D2103028</v>
          </cell>
          <cell r="AD965">
            <v>529490</v>
          </cell>
          <cell r="AE965">
            <v>2.4E-2</v>
          </cell>
          <cell r="AF965">
            <v>1.49</v>
          </cell>
          <cell r="AG965">
            <v>3.3000000000000002E-2</v>
          </cell>
          <cell r="AH965">
            <v>1E-3</v>
          </cell>
          <cell r="AI965">
            <v>0.43</v>
          </cell>
          <cell r="AJ965">
            <v>16.7</v>
          </cell>
          <cell r="AK965">
            <v>10</v>
          </cell>
          <cell r="AL965">
            <v>3.9E-2</v>
          </cell>
          <cell r="AM965">
            <v>2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0.47</v>
          </cell>
          <cell r="AS965">
            <v>0</v>
          </cell>
          <cell r="AT965">
            <v>307</v>
          </cell>
          <cell r="AU965">
            <v>0</v>
          </cell>
          <cell r="AV965">
            <v>635</v>
          </cell>
          <cell r="AW965">
            <v>54</v>
          </cell>
          <cell r="AX965">
            <v>81</v>
          </cell>
          <cell r="AY965">
            <v>153</v>
          </cell>
          <cell r="AZ965">
            <v>0.15</v>
          </cell>
          <cell r="BA965" t="str">
            <v>D2103028</v>
          </cell>
          <cell r="BB965" t="str">
            <v>CONFORM</v>
          </cell>
          <cell r="BC965" t="str">
            <v>CONFORM</v>
          </cell>
          <cell r="BD965" t="str">
            <v>CONFORM</v>
          </cell>
          <cell r="BE965" t="str">
            <v>CONFORM</v>
          </cell>
          <cell r="BF965" t="str">
            <v>CONFORM</v>
          </cell>
        </row>
        <row r="966">
          <cell r="A966">
            <v>44257</v>
          </cell>
          <cell r="B966" t="str">
            <v>D2103029-1</v>
          </cell>
          <cell r="C966" t="str">
            <v>022/21</v>
          </cell>
          <cell r="D966">
            <v>1</v>
          </cell>
          <cell r="E966">
            <v>44257</v>
          </cell>
          <cell r="F966" t="str">
            <v>DC</v>
          </cell>
          <cell r="G966" t="str">
            <v>On Time</v>
          </cell>
          <cell r="H966">
            <v>2408047344</v>
          </cell>
          <cell r="I966">
            <v>44252</v>
          </cell>
          <cell r="J966" t="str">
            <v>TKM</v>
          </cell>
          <cell r="K966" t="str">
            <v>D2103029</v>
          </cell>
          <cell r="L966">
            <v>1</v>
          </cell>
          <cell r="M966">
            <v>813500</v>
          </cell>
          <cell r="N966">
            <v>529490</v>
          </cell>
          <cell r="O966" t="str">
            <v xml:space="preserve">1.4401/1.4404 TP316/316L </v>
          </cell>
          <cell r="P966" t="str">
            <v>316L</v>
          </cell>
          <cell r="Q966">
            <v>2.2639999999999998</v>
          </cell>
          <cell r="R966">
            <v>2.2605</v>
          </cell>
          <cell r="S966">
            <v>6.7000000000000004E-2</v>
          </cell>
          <cell r="T966">
            <v>6.5100000000000005E-2</v>
          </cell>
          <cell r="U966">
            <v>6.6650000000000001E-2</v>
          </cell>
          <cell r="V966">
            <v>6.5875000000000003E-2</v>
          </cell>
          <cell r="W966" t="str">
            <v>BRS</v>
          </cell>
          <cell r="X966">
            <v>756</v>
          </cell>
          <cell r="Y966">
            <v>1</v>
          </cell>
          <cell r="Z966">
            <v>333.92226148409895</v>
          </cell>
          <cell r="AA966" t="str">
            <v>2.264X0.067-316L</v>
          </cell>
          <cell r="AB966" t="str">
            <v>WAAF005750170B300073</v>
          </cell>
          <cell r="AC966" t="str">
            <v>D2103029</v>
          </cell>
          <cell r="AD966">
            <v>529490</v>
          </cell>
          <cell r="AE966">
            <v>2.4E-2</v>
          </cell>
          <cell r="AF966">
            <v>1.49</v>
          </cell>
          <cell r="AG966">
            <v>3.3000000000000002E-2</v>
          </cell>
          <cell r="AH966">
            <v>1E-3</v>
          </cell>
          <cell r="AI966">
            <v>0.43</v>
          </cell>
          <cell r="AJ966">
            <v>16.7</v>
          </cell>
          <cell r="AK966">
            <v>10</v>
          </cell>
          <cell r="AL966">
            <v>3.9E-2</v>
          </cell>
          <cell r="AM966">
            <v>2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0.47</v>
          </cell>
          <cell r="AS966">
            <v>0</v>
          </cell>
          <cell r="AT966">
            <v>307</v>
          </cell>
          <cell r="AU966">
            <v>0</v>
          </cell>
          <cell r="AV966">
            <v>635</v>
          </cell>
          <cell r="AW966">
            <v>54</v>
          </cell>
          <cell r="AX966">
            <v>81</v>
          </cell>
          <cell r="AY966">
            <v>153</v>
          </cell>
          <cell r="AZ966">
            <v>0.15</v>
          </cell>
          <cell r="BA966" t="str">
            <v>D2103029</v>
          </cell>
          <cell r="BB966" t="str">
            <v>CONFORM</v>
          </cell>
          <cell r="BC966" t="str">
            <v>CONFORM</v>
          </cell>
          <cell r="BD966" t="str">
            <v>CONFORM</v>
          </cell>
          <cell r="BE966" t="str">
            <v>CONFORM</v>
          </cell>
          <cell r="BF966" t="str">
            <v>CONFORM</v>
          </cell>
        </row>
        <row r="967">
          <cell r="A967">
            <v>44258</v>
          </cell>
          <cell r="B967" t="str">
            <v>D2103039-1</v>
          </cell>
          <cell r="C967" t="str">
            <v>011/21</v>
          </cell>
          <cell r="D967">
            <v>1</v>
          </cell>
          <cell r="E967">
            <v>44258</v>
          </cell>
          <cell r="F967" t="str">
            <v>DC</v>
          </cell>
          <cell r="G967" t="str">
            <v>On Time</v>
          </cell>
          <cell r="H967">
            <v>172253</v>
          </cell>
          <cell r="I967">
            <v>44257</v>
          </cell>
          <cell r="J967" t="str">
            <v>UPM</v>
          </cell>
          <cell r="K967" t="str">
            <v>D2103039</v>
          </cell>
          <cell r="L967">
            <v>1</v>
          </cell>
          <cell r="M967" t="str">
            <v>04K73K</v>
          </cell>
          <cell r="N967" t="str">
            <v>K73K</v>
          </cell>
          <cell r="O967" t="str">
            <v xml:space="preserve">1.4306 TP304L </v>
          </cell>
          <cell r="P967" t="str">
            <v>304L</v>
          </cell>
          <cell r="Q967">
            <v>2.323</v>
          </cell>
          <cell r="R967">
            <v>2.323</v>
          </cell>
          <cell r="S967">
            <v>0.05</v>
          </cell>
          <cell r="T967">
            <v>5.1749999999999997E-2</v>
          </cell>
          <cell r="U967">
            <v>5.0900000000000001E-2</v>
          </cell>
          <cell r="V967">
            <v>5.1324999999999996E-2</v>
          </cell>
          <cell r="W967" t="str">
            <v>BRS</v>
          </cell>
          <cell r="X967">
            <v>1865</v>
          </cell>
          <cell r="Y967">
            <v>5</v>
          </cell>
          <cell r="Z967">
            <v>160.5682307361171</v>
          </cell>
          <cell r="AA967" t="str">
            <v>2.323X0.05-304L</v>
          </cell>
          <cell r="AB967" t="str">
            <v>WAAC005900127B300124</v>
          </cell>
          <cell r="AC967" t="str">
            <v>D2103039</v>
          </cell>
          <cell r="AD967" t="str">
            <v>K73K</v>
          </cell>
          <cell r="AE967">
            <v>1.4E-2</v>
          </cell>
          <cell r="AF967">
            <v>1.79</v>
          </cell>
          <cell r="AG967">
            <v>3.1E-2</v>
          </cell>
          <cell r="AH967">
            <v>2E-3</v>
          </cell>
          <cell r="AI967">
            <v>0.25</v>
          </cell>
          <cell r="AJ967">
            <v>18.100000000000001</v>
          </cell>
          <cell r="AK967">
            <v>8.1</v>
          </cell>
          <cell r="AL967">
            <v>7.9000000000000001E-2</v>
          </cell>
          <cell r="AM967">
            <v>0.44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0.46</v>
          </cell>
          <cell r="AS967">
            <v>0</v>
          </cell>
          <cell r="AT967">
            <v>315</v>
          </cell>
          <cell r="AU967">
            <v>0</v>
          </cell>
          <cell r="AV967">
            <v>652</v>
          </cell>
          <cell r="AW967">
            <v>48</v>
          </cell>
          <cell r="AX967">
            <v>77</v>
          </cell>
          <cell r="AY967">
            <v>141</v>
          </cell>
          <cell r="AZ967">
            <v>1.85</v>
          </cell>
          <cell r="BA967" t="str">
            <v>D2103039</v>
          </cell>
          <cell r="BB967" t="str">
            <v>CONFORM</v>
          </cell>
          <cell r="BC967" t="str">
            <v>CONFORM</v>
          </cell>
          <cell r="BD967" t="str">
            <v>CONFORM</v>
          </cell>
          <cell r="BE967" t="str">
            <v>CONFORM</v>
          </cell>
          <cell r="BF967" t="str">
            <v>CONFORM</v>
          </cell>
        </row>
        <row r="968">
          <cell r="A968">
            <v>44258</v>
          </cell>
          <cell r="B968" t="str">
            <v>D2103039-2</v>
          </cell>
          <cell r="C968" t="str">
            <v>011/21</v>
          </cell>
          <cell r="D968">
            <v>1</v>
          </cell>
          <cell r="E968">
            <v>44258</v>
          </cell>
          <cell r="F968" t="str">
            <v>DC</v>
          </cell>
          <cell r="G968" t="str">
            <v>On Time</v>
          </cell>
          <cell r="H968">
            <v>172253</v>
          </cell>
          <cell r="I968">
            <v>44257</v>
          </cell>
          <cell r="J968" t="str">
            <v>UPM</v>
          </cell>
          <cell r="K968" t="str">
            <v>D2103039</v>
          </cell>
          <cell r="L968">
            <v>2</v>
          </cell>
          <cell r="M968" t="str">
            <v>04K73K</v>
          </cell>
          <cell r="N968" t="str">
            <v>K73K</v>
          </cell>
          <cell r="O968" t="str">
            <v xml:space="preserve">1.4306 TP304L </v>
          </cell>
          <cell r="P968" t="str">
            <v>304L</v>
          </cell>
          <cell r="Q968">
            <v>2.323</v>
          </cell>
          <cell r="R968">
            <v>2.319</v>
          </cell>
          <cell r="S968">
            <v>0.05</v>
          </cell>
          <cell r="T968">
            <v>5.0900000000000001E-2</v>
          </cell>
          <cell r="U968">
            <v>5.1200000000000002E-2</v>
          </cell>
          <cell r="V968">
            <v>5.1049999999999998E-2</v>
          </cell>
          <cell r="W968" t="str">
            <v>BRS</v>
          </cell>
          <cell r="X968">
            <v>1858</v>
          </cell>
          <cell r="Y968">
            <v>5</v>
          </cell>
          <cell r="Z968">
            <v>159.96556177356868</v>
          </cell>
          <cell r="AA968" t="str">
            <v>2.323X0.05-304L</v>
          </cell>
          <cell r="AB968" t="str">
            <v>WAAC005900127B300124</v>
          </cell>
          <cell r="AC968" t="str">
            <v>D2103039</v>
          </cell>
          <cell r="AD968" t="str">
            <v>K73K</v>
          </cell>
          <cell r="AE968">
            <v>1.4E-2</v>
          </cell>
          <cell r="AF968">
            <v>1.79</v>
          </cell>
          <cell r="AG968">
            <v>3.1E-2</v>
          </cell>
          <cell r="AH968">
            <v>2E-3</v>
          </cell>
          <cell r="AI968">
            <v>0.25</v>
          </cell>
          <cell r="AJ968">
            <v>18.100000000000001</v>
          </cell>
          <cell r="AK968">
            <v>8.1</v>
          </cell>
          <cell r="AL968">
            <v>7.9000000000000001E-2</v>
          </cell>
          <cell r="AM968">
            <v>0.44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0.46</v>
          </cell>
          <cell r="AS968">
            <v>0</v>
          </cell>
          <cell r="AT968">
            <v>315</v>
          </cell>
          <cell r="AU968">
            <v>0</v>
          </cell>
          <cell r="AV968">
            <v>652</v>
          </cell>
          <cell r="AW968">
            <v>48</v>
          </cell>
          <cell r="AX968">
            <v>77</v>
          </cell>
          <cell r="AY968">
            <v>141</v>
          </cell>
          <cell r="AZ968">
            <v>1.85</v>
          </cell>
          <cell r="BA968" t="str">
            <v>D2103039</v>
          </cell>
          <cell r="BB968" t="str">
            <v>CONFORM</v>
          </cell>
          <cell r="BC968" t="str">
            <v>CONFORM</v>
          </cell>
          <cell r="BD968" t="str">
            <v>CONFORM</v>
          </cell>
          <cell r="BE968" t="str">
            <v>CONFORM</v>
          </cell>
          <cell r="BF968" t="str">
            <v>CONFORM</v>
          </cell>
        </row>
        <row r="969">
          <cell r="A969">
            <v>44258</v>
          </cell>
          <cell r="B969" t="str">
            <v>D2103039-3</v>
          </cell>
          <cell r="C969" t="str">
            <v>011/21</v>
          </cell>
          <cell r="D969">
            <v>1</v>
          </cell>
          <cell r="E969">
            <v>44258</v>
          </cell>
          <cell r="F969" t="str">
            <v>DC</v>
          </cell>
          <cell r="G969" t="str">
            <v>On Time</v>
          </cell>
          <cell r="H969">
            <v>172253</v>
          </cell>
          <cell r="I969">
            <v>44257</v>
          </cell>
          <cell r="J969" t="str">
            <v>UPM</v>
          </cell>
          <cell r="K969" t="str">
            <v>D2103039</v>
          </cell>
          <cell r="L969">
            <v>3</v>
          </cell>
          <cell r="M969" t="str">
            <v>04K73K</v>
          </cell>
          <cell r="N969" t="str">
            <v>K73K</v>
          </cell>
          <cell r="O969" t="str">
            <v xml:space="preserve">1.4306 TP304L </v>
          </cell>
          <cell r="P969" t="str">
            <v>304L</v>
          </cell>
          <cell r="Q969">
            <v>2.323</v>
          </cell>
          <cell r="R969">
            <v>2.3199999999999998</v>
          </cell>
          <cell r="S969">
            <v>0.05</v>
          </cell>
          <cell r="T969">
            <v>5.1900000000000002E-2</v>
          </cell>
          <cell r="U969">
            <v>5.2150000000000002E-2</v>
          </cell>
          <cell r="V969">
            <v>5.2025000000000002E-2</v>
          </cell>
          <cell r="W969" t="str">
            <v>BRS</v>
          </cell>
          <cell r="X969">
            <v>1856</v>
          </cell>
          <cell r="Y969">
            <v>5</v>
          </cell>
          <cell r="Z969">
            <v>159.79337064141197</v>
          </cell>
          <cell r="AA969" t="str">
            <v>2.323X0.05-304L</v>
          </cell>
          <cell r="AB969" t="str">
            <v>WAAC005900127B300124</v>
          </cell>
          <cell r="AC969" t="str">
            <v>D2103039</v>
          </cell>
          <cell r="AD969" t="str">
            <v>K73K</v>
          </cell>
          <cell r="AE969">
            <v>1.4E-2</v>
          </cell>
          <cell r="AF969">
            <v>1.79</v>
          </cell>
          <cell r="AG969">
            <v>3.1E-2</v>
          </cell>
          <cell r="AH969">
            <v>2E-3</v>
          </cell>
          <cell r="AI969">
            <v>0.25</v>
          </cell>
          <cell r="AJ969">
            <v>18.100000000000001</v>
          </cell>
          <cell r="AK969">
            <v>8.1</v>
          </cell>
          <cell r="AL969">
            <v>7.9000000000000001E-2</v>
          </cell>
          <cell r="AM969">
            <v>0.44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0.46</v>
          </cell>
          <cell r="AS969">
            <v>0</v>
          </cell>
          <cell r="AT969">
            <v>315</v>
          </cell>
          <cell r="AU969">
            <v>0</v>
          </cell>
          <cell r="AV969">
            <v>652</v>
          </cell>
          <cell r="AW969">
            <v>48</v>
          </cell>
          <cell r="AX969">
            <v>77</v>
          </cell>
          <cell r="AY969">
            <v>141</v>
          </cell>
          <cell r="AZ969">
            <v>1.85</v>
          </cell>
          <cell r="BA969" t="str">
            <v>D2103039</v>
          </cell>
          <cell r="BB969" t="str">
            <v>CONFORM</v>
          </cell>
          <cell r="BC969" t="str">
            <v>CONFORM</v>
          </cell>
          <cell r="BD969" t="str">
            <v>CONFORM</v>
          </cell>
          <cell r="BE969" t="str">
            <v>CONFORM</v>
          </cell>
          <cell r="BF969" t="str">
            <v>CONFORM</v>
          </cell>
        </row>
        <row r="970">
          <cell r="A970">
            <v>44258</v>
          </cell>
          <cell r="B970" t="str">
            <v>D2103039-4</v>
          </cell>
          <cell r="C970" t="str">
            <v>011/21</v>
          </cell>
          <cell r="D970">
            <v>1</v>
          </cell>
          <cell r="E970">
            <v>44258</v>
          </cell>
          <cell r="F970" t="str">
            <v>DC</v>
          </cell>
          <cell r="G970" t="str">
            <v>On Time</v>
          </cell>
          <cell r="H970">
            <v>172253</v>
          </cell>
          <cell r="I970">
            <v>44257</v>
          </cell>
          <cell r="J970" t="str">
            <v>UPM</v>
          </cell>
          <cell r="K970" t="str">
            <v>D2103039</v>
          </cell>
          <cell r="L970">
            <v>4</v>
          </cell>
          <cell r="M970" t="str">
            <v>04K73K</v>
          </cell>
          <cell r="N970" t="str">
            <v>K73K</v>
          </cell>
          <cell r="O970" t="str">
            <v xml:space="preserve">1.4306 TP304L </v>
          </cell>
          <cell r="P970" t="str">
            <v>304L</v>
          </cell>
          <cell r="Q970">
            <v>2.323</v>
          </cell>
          <cell r="R970">
            <v>2.3224999999999998</v>
          </cell>
          <cell r="S970">
            <v>0.05</v>
          </cell>
          <cell r="T970">
            <v>5.1299999999999998E-2</v>
          </cell>
          <cell r="U970">
            <v>5.2999999999999999E-2</v>
          </cell>
          <cell r="V970">
            <v>5.2150000000000002E-2</v>
          </cell>
          <cell r="W970" t="str">
            <v>BRS</v>
          </cell>
          <cell r="X970">
            <v>1850</v>
          </cell>
          <cell r="Y970">
            <v>5</v>
          </cell>
          <cell r="Z970">
            <v>159.27679724494189</v>
          </cell>
          <cell r="AA970" t="str">
            <v>2.323X0.05-304L</v>
          </cell>
          <cell r="AB970" t="str">
            <v>WAAC005900127B300124</v>
          </cell>
          <cell r="AC970" t="str">
            <v>D2103039</v>
          </cell>
          <cell r="AD970" t="str">
            <v>K73K</v>
          </cell>
          <cell r="AE970">
            <v>1.4E-2</v>
          </cell>
          <cell r="AF970">
            <v>1.79</v>
          </cell>
          <cell r="AG970">
            <v>3.1E-2</v>
          </cell>
          <cell r="AH970">
            <v>2E-3</v>
          </cell>
          <cell r="AI970">
            <v>0.25</v>
          </cell>
          <cell r="AJ970">
            <v>18.100000000000001</v>
          </cell>
          <cell r="AK970">
            <v>8.1</v>
          </cell>
          <cell r="AL970">
            <v>7.9000000000000001E-2</v>
          </cell>
          <cell r="AM970">
            <v>0.44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0.46</v>
          </cell>
          <cell r="AS970">
            <v>0</v>
          </cell>
          <cell r="AT970">
            <v>315</v>
          </cell>
          <cell r="AU970">
            <v>0</v>
          </cell>
          <cell r="AV970">
            <v>652</v>
          </cell>
          <cell r="AW970">
            <v>48</v>
          </cell>
          <cell r="AX970">
            <v>77</v>
          </cell>
          <cell r="AY970">
            <v>141</v>
          </cell>
          <cell r="AZ970">
            <v>1.85</v>
          </cell>
          <cell r="BA970" t="str">
            <v>D2103039</v>
          </cell>
          <cell r="BB970" t="str">
            <v>CONFORM</v>
          </cell>
          <cell r="BC970" t="str">
            <v>CONFORM</v>
          </cell>
          <cell r="BD970" t="str">
            <v>CONFORM</v>
          </cell>
          <cell r="BE970" t="str">
            <v>CONFORM</v>
          </cell>
          <cell r="BF970" t="str">
            <v>CONFORM</v>
          </cell>
        </row>
        <row r="971">
          <cell r="A971">
            <v>44259</v>
          </cell>
          <cell r="B971" t="str">
            <v>D2103043-1</v>
          </cell>
          <cell r="C971" t="str">
            <v>095/20</v>
          </cell>
          <cell r="D971">
            <v>1</v>
          </cell>
          <cell r="E971">
            <v>44221</v>
          </cell>
          <cell r="F971" t="str">
            <v>DC</v>
          </cell>
          <cell r="G971" t="str">
            <v>Late</v>
          </cell>
          <cell r="H971">
            <v>502411</v>
          </cell>
          <cell r="I971">
            <v>44254</v>
          </cell>
          <cell r="J971" t="str">
            <v>OUTO</v>
          </cell>
          <cell r="K971" t="str">
            <v>D2103043</v>
          </cell>
          <cell r="L971">
            <v>1</v>
          </cell>
          <cell r="M971">
            <v>892280</v>
          </cell>
          <cell r="N971">
            <v>531704</v>
          </cell>
          <cell r="O971" t="str">
            <v xml:space="preserve">1.4306 TP304L </v>
          </cell>
          <cell r="P971" t="str">
            <v>304L</v>
          </cell>
          <cell r="Q971">
            <v>3.1539999999999999</v>
          </cell>
          <cell r="R971">
            <v>3.1589999999999998</v>
          </cell>
          <cell r="S971">
            <v>3.5000000000000003E-2</v>
          </cell>
          <cell r="T971">
            <v>3.5349999999999999E-2</v>
          </cell>
          <cell r="U971">
            <v>3.9100000000000003E-2</v>
          </cell>
          <cell r="V971">
            <v>3.7225000000000001E-2</v>
          </cell>
          <cell r="W971" t="str">
            <v>BRS</v>
          </cell>
          <cell r="X971">
            <v>1927</v>
          </cell>
          <cell r="Y971">
            <v>1</v>
          </cell>
          <cell r="Z971">
            <v>610.97019657577675</v>
          </cell>
          <cell r="AA971" t="str">
            <v>3.154X0.035-304L</v>
          </cell>
          <cell r="AB971" t="str">
            <v>WAAC008010090B300097</v>
          </cell>
          <cell r="AC971" t="str">
            <v>D2103043</v>
          </cell>
          <cell r="AD971">
            <v>531704</v>
          </cell>
          <cell r="AE971">
            <v>2.4E-2</v>
          </cell>
          <cell r="AF971">
            <v>1.32</v>
          </cell>
          <cell r="AG971">
            <v>0.03</v>
          </cell>
          <cell r="AH971">
            <v>1E-3</v>
          </cell>
          <cell r="AI971">
            <v>0.35</v>
          </cell>
          <cell r="AJ971">
            <v>18.100000000000001</v>
          </cell>
          <cell r="AK971">
            <v>8</v>
          </cell>
          <cell r="AL971">
            <v>6.8000000000000005E-2</v>
          </cell>
          <cell r="AM971">
            <v>0.37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0.56000000000000005</v>
          </cell>
          <cell r="AS971">
            <v>0</v>
          </cell>
          <cell r="AT971">
            <v>293</v>
          </cell>
          <cell r="AU971">
            <v>0</v>
          </cell>
          <cell r="AV971">
            <v>645</v>
          </cell>
          <cell r="AW971">
            <v>54</v>
          </cell>
          <cell r="AX971">
            <v>84</v>
          </cell>
          <cell r="AY971">
            <v>162</v>
          </cell>
          <cell r="AZ971">
            <v>1.2891999999999999</v>
          </cell>
          <cell r="BA971" t="str">
            <v>D2103043</v>
          </cell>
          <cell r="BB971" t="str">
            <v>CONFORM</v>
          </cell>
          <cell r="BC971" t="str">
            <v>CONFORM</v>
          </cell>
          <cell r="BD971" t="str">
            <v>CONFORM</v>
          </cell>
          <cell r="BE971" t="str">
            <v>CONFORM</v>
          </cell>
          <cell r="BF971" t="str">
            <v>CONFORM</v>
          </cell>
        </row>
        <row r="972">
          <cell r="A972">
            <v>44259</v>
          </cell>
          <cell r="B972" t="str">
            <v>D2103043-2</v>
          </cell>
          <cell r="C972" t="str">
            <v>095/20</v>
          </cell>
          <cell r="D972">
            <v>1</v>
          </cell>
          <cell r="E972">
            <v>44221</v>
          </cell>
          <cell r="F972" t="str">
            <v>DC</v>
          </cell>
          <cell r="G972" t="str">
            <v>Late</v>
          </cell>
          <cell r="H972">
            <v>502411</v>
          </cell>
          <cell r="I972">
            <v>44254</v>
          </cell>
          <cell r="J972" t="str">
            <v>OUTO</v>
          </cell>
          <cell r="K972" t="str">
            <v>D2103043</v>
          </cell>
          <cell r="L972">
            <v>2</v>
          </cell>
          <cell r="M972">
            <v>892280</v>
          </cell>
          <cell r="N972">
            <v>531704</v>
          </cell>
          <cell r="O972" t="str">
            <v xml:space="preserve">1.4306 TP304L </v>
          </cell>
          <cell r="P972" t="str">
            <v>304L</v>
          </cell>
          <cell r="Q972">
            <v>3.1539999999999999</v>
          </cell>
          <cell r="R972">
            <v>3.1575000000000002</v>
          </cell>
          <cell r="S972">
            <v>3.5000000000000003E-2</v>
          </cell>
          <cell r="T972">
            <v>3.6299999999999999E-2</v>
          </cell>
          <cell r="U972">
            <v>3.7249999999999998E-2</v>
          </cell>
          <cell r="V972">
            <v>3.6775000000000002E-2</v>
          </cell>
          <cell r="W972" t="str">
            <v>BRS</v>
          </cell>
          <cell r="X972">
            <v>1936</v>
          </cell>
          <cell r="Y972">
            <v>1</v>
          </cell>
          <cell r="Z972">
            <v>613.82371591629681</v>
          </cell>
          <cell r="AA972" t="str">
            <v>3.154X0.035-304L</v>
          </cell>
          <cell r="AB972" t="str">
            <v>WAAC008010090B300097</v>
          </cell>
          <cell r="AC972" t="str">
            <v>D2103043</v>
          </cell>
          <cell r="AD972">
            <v>531704</v>
          </cell>
          <cell r="AE972">
            <v>2.4E-2</v>
          </cell>
          <cell r="AF972">
            <v>1.32</v>
          </cell>
          <cell r="AG972">
            <v>0.03</v>
          </cell>
          <cell r="AH972">
            <v>1E-3</v>
          </cell>
          <cell r="AI972">
            <v>0.35</v>
          </cell>
          <cell r="AJ972">
            <v>18.100000000000001</v>
          </cell>
          <cell r="AK972">
            <v>8</v>
          </cell>
          <cell r="AL972">
            <v>6.8000000000000005E-2</v>
          </cell>
          <cell r="AM972">
            <v>0.37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0.56000000000000005</v>
          </cell>
          <cell r="AS972">
            <v>0</v>
          </cell>
          <cell r="AT972">
            <v>293</v>
          </cell>
          <cell r="AU972">
            <v>0</v>
          </cell>
          <cell r="AV972">
            <v>645</v>
          </cell>
          <cell r="AW972">
            <v>54</v>
          </cell>
          <cell r="AX972">
            <v>84</v>
          </cell>
          <cell r="AY972">
            <v>162</v>
          </cell>
          <cell r="AZ972">
            <v>1.2891999999999999</v>
          </cell>
          <cell r="BA972" t="str">
            <v>D2103043</v>
          </cell>
          <cell r="BB972" t="str">
            <v>CONFORM</v>
          </cell>
          <cell r="BC972" t="str">
            <v>CONFORM</v>
          </cell>
          <cell r="BD972" t="str">
            <v>CONFORM</v>
          </cell>
          <cell r="BE972" t="str">
            <v>CONFORM</v>
          </cell>
          <cell r="BF972" t="str">
            <v>CONFORM</v>
          </cell>
        </row>
        <row r="973">
          <cell r="A973">
            <v>44259</v>
          </cell>
          <cell r="B973" t="str">
            <v>D2103043-3</v>
          </cell>
          <cell r="C973" t="str">
            <v>095/20</v>
          </cell>
          <cell r="D973">
            <v>1</v>
          </cell>
          <cell r="E973">
            <v>44221</v>
          </cell>
          <cell r="F973" t="str">
            <v>DC</v>
          </cell>
          <cell r="G973" t="str">
            <v>Late</v>
          </cell>
          <cell r="H973">
            <v>502411</v>
          </cell>
          <cell r="I973">
            <v>44254</v>
          </cell>
          <cell r="J973" t="str">
            <v>OUTO</v>
          </cell>
          <cell r="K973" t="str">
            <v>D2103043</v>
          </cell>
          <cell r="L973">
            <v>3</v>
          </cell>
          <cell r="M973">
            <v>892280</v>
          </cell>
          <cell r="N973">
            <v>531704</v>
          </cell>
          <cell r="O973" t="str">
            <v xml:space="preserve">1.4306 TP304L </v>
          </cell>
          <cell r="P973" t="str">
            <v>304L</v>
          </cell>
          <cell r="Q973">
            <v>3.1539999999999999</v>
          </cell>
          <cell r="R973">
            <v>3.1589999999999998</v>
          </cell>
          <cell r="S973">
            <v>3.5000000000000003E-2</v>
          </cell>
          <cell r="T973">
            <v>3.5749999999999997E-2</v>
          </cell>
          <cell r="U973">
            <v>3.6600000000000001E-2</v>
          </cell>
          <cell r="V973">
            <v>3.6174999999999999E-2</v>
          </cell>
          <cell r="W973" t="str">
            <v>BRS</v>
          </cell>
          <cell r="X973">
            <v>1944</v>
          </cell>
          <cell r="Y973">
            <v>1</v>
          </cell>
          <cell r="Z973">
            <v>616.36017755231455</v>
          </cell>
          <cell r="AA973" t="str">
            <v>3.154X0.035-304L</v>
          </cell>
          <cell r="AB973" t="str">
            <v>WAAC008010090B300097</v>
          </cell>
          <cell r="AC973" t="str">
            <v>D2103043</v>
          </cell>
          <cell r="AD973">
            <v>531704</v>
          </cell>
          <cell r="AE973">
            <v>2.4E-2</v>
          </cell>
          <cell r="AF973">
            <v>1.32</v>
          </cell>
          <cell r="AG973">
            <v>0.03</v>
          </cell>
          <cell r="AH973">
            <v>1E-3</v>
          </cell>
          <cell r="AI973">
            <v>0.35</v>
          </cell>
          <cell r="AJ973">
            <v>18.100000000000001</v>
          </cell>
          <cell r="AK973">
            <v>8</v>
          </cell>
          <cell r="AL973">
            <v>6.8000000000000005E-2</v>
          </cell>
          <cell r="AM973">
            <v>0.37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0.56000000000000005</v>
          </cell>
          <cell r="AS973">
            <v>0</v>
          </cell>
          <cell r="AT973">
            <v>293</v>
          </cell>
          <cell r="AU973">
            <v>0</v>
          </cell>
          <cell r="AV973">
            <v>645</v>
          </cell>
          <cell r="AW973">
            <v>54</v>
          </cell>
          <cell r="AX973">
            <v>84</v>
          </cell>
          <cell r="AY973">
            <v>162</v>
          </cell>
          <cell r="AZ973">
            <v>1.2891999999999999</v>
          </cell>
          <cell r="BA973" t="str">
            <v>D2103043</v>
          </cell>
          <cell r="BB973" t="str">
            <v>CONFORM</v>
          </cell>
          <cell r="BC973" t="str">
            <v>CONFORM</v>
          </cell>
          <cell r="BD973" t="str">
            <v>CONFORM</v>
          </cell>
          <cell r="BE973" t="str">
            <v>CONFORM</v>
          </cell>
          <cell r="BF973" t="str">
            <v>CONFORM</v>
          </cell>
        </row>
        <row r="974">
          <cell r="A974">
            <v>44259</v>
          </cell>
          <cell r="B974" t="str">
            <v>D2103043-4</v>
          </cell>
          <cell r="C974" t="str">
            <v>095/20</v>
          </cell>
          <cell r="D974">
            <v>1</v>
          </cell>
          <cell r="E974">
            <v>44221</v>
          </cell>
          <cell r="F974" t="str">
            <v>DC</v>
          </cell>
          <cell r="G974" t="str">
            <v>Late</v>
          </cell>
          <cell r="H974">
            <v>502411</v>
          </cell>
          <cell r="I974">
            <v>44254</v>
          </cell>
          <cell r="J974" t="str">
            <v>OUTO</v>
          </cell>
          <cell r="K974" t="str">
            <v>D2103043</v>
          </cell>
          <cell r="L974">
            <v>4</v>
          </cell>
          <cell r="M974">
            <v>892280</v>
          </cell>
          <cell r="N974">
            <v>531704</v>
          </cell>
          <cell r="O974" t="str">
            <v xml:space="preserve">1.4306 TP304L </v>
          </cell>
          <cell r="P974" t="str">
            <v>304L</v>
          </cell>
          <cell r="Q974">
            <v>3.1539999999999999</v>
          </cell>
          <cell r="R974">
            <v>3.1579999999999999</v>
          </cell>
          <cell r="S974">
            <v>3.5000000000000003E-2</v>
          </cell>
          <cell r="T974">
            <v>3.5000000000000003E-2</v>
          </cell>
          <cell r="U974">
            <v>3.6200000000000003E-2</v>
          </cell>
          <cell r="V974">
            <v>3.5600000000000007E-2</v>
          </cell>
          <cell r="W974" t="str">
            <v>BRS</v>
          </cell>
          <cell r="X974">
            <v>1944</v>
          </cell>
          <cell r="Y974">
            <v>1</v>
          </cell>
          <cell r="Z974">
            <v>616.36017755231455</v>
          </cell>
          <cell r="AA974" t="str">
            <v>3.154X0.035-304L</v>
          </cell>
          <cell r="AB974" t="str">
            <v>WAAC008010090B300097</v>
          </cell>
          <cell r="AC974" t="str">
            <v>D2103043</v>
          </cell>
          <cell r="AD974">
            <v>531704</v>
          </cell>
          <cell r="AE974">
            <v>2.4E-2</v>
          </cell>
          <cell r="AF974">
            <v>1.32</v>
          </cell>
          <cell r="AG974">
            <v>0.03</v>
          </cell>
          <cell r="AH974">
            <v>1E-3</v>
          </cell>
          <cell r="AI974">
            <v>0.35</v>
          </cell>
          <cell r="AJ974">
            <v>18.100000000000001</v>
          </cell>
          <cell r="AK974">
            <v>8</v>
          </cell>
          <cell r="AL974">
            <v>6.8000000000000005E-2</v>
          </cell>
          <cell r="AM974">
            <v>0.37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0.56000000000000005</v>
          </cell>
          <cell r="AS974">
            <v>0</v>
          </cell>
          <cell r="AT974">
            <v>293</v>
          </cell>
          <cell r="AU974">
            <v>0</v>
          </cell>
          <cell r="AV974">
            <v>645</v>
          </cell>
          <cell r="AW974">
            <v>54</v>
          </cell>
          <cell r="AX974">
            <v>84</v>
          </cell>
          <cell r="AY974">
            <v>162</v>
          </cell>
          <cell r="AZ974">
            <v>1.2891999999999999</v>
          </cell>
          <cell r="BA974" t="str">
            <v>D2103043</v>
          </cell>
          <cell r="BB974" t="str">
            <v>CONFORM</v>
          </cell>
          <cell r="BC974" t="str">
            <v>CONFORM</v>
          </cell>
          <cell r="BD974" t="str">
            <v>CONFORM</v>
          </cell>
          <cell r="BE974" t="str">
            <v>CONFORM</v>
          </cell>
          <cell r="BF974" t="str">
            <v>CONFORM</v>
          </cell>
        </row>
        <row r="975">
          <cell r="A975">
            <v>44259</v>
          </cell>
          <cell r="B975" t="str">
            <v>D2103043-5</v>
          </cell>
          <cell r="C975" t="str">
            <v>095/20</v>
          </cell>
          <cell r="D975">
            <v>1</v>
          </cell>
          <cell r="E975">
            <v>44221</v>
          </cell>
          <cell r="F975" t="str">
            <v>DC</v>
          </cell>
          <cell r="G975" t="str">
            <v>Late</v>
          </cell>
          <cell r="H975">
            <v>502411</v>
          </cell>
          <cell r="I975">
            <v>44254</v>
          </cell>
          <cell r="J975" t="str">
            <v>OUTO</v>
          </cell>
          <cell r="K975" t="str">
            <v>D2103043</v>
          </cell>
          <cell r="L975">
            <v>5</v>
          </cell>
          <cell r="M975">
            <v>892280</v>
          </cell>
          <cell r="N975">
            <v>531704</v>
          </cell>
          <cell r="O975" t="str">
            <v xml:space="preserve">1.4306 TP304L </v>
          </cell>
          <cell r="P975" t="str">
            <v>304L</v>
          </cell>
          <cell r="Q975">
            <v>3.1539999999999999</v>
          </cell>
          <cell r="R975">
            <v>3.1575000000000002</v>
          </cell>
          <cell r="S975">
            <v>3.5000000000000003E-2</v>
          </cell>
          <cell r="T975">
            <v>3.5900000000000001E-2</v>
          </cell>
          <cell r="U975">
            <v>3.6249999999999998E-2</v>
          </cell>
          <cell r="V975">
            <v>3.6074999999999996E-2</v>
          </cell>
          <cell r="W975" t="str">
            <v>BRS</v>
          </cell>
          <cell r="X975">
            <v>2024</v>
          </cell>
          <cell r="Y975">
            <v>1</v>
          </cell>
          <cell r="Z975">
            <v>641.72479391249215</v>
          </cell>
          <cell r="AA975" t="str">
            <v>3.154X0.035-304L</v>
          </cell>
          <cell r="AB975" t="str">
            <v>WAAC008010090B300097</v>
          </cell>
          <cell r="AC975" t="str">
            <v>D2103043</v>
          </cell>
          <cell r="AD975">
            <v>531704</v>
          </cell>
          <cell r="AE975">
            <v>2.4E-2</v>
          </cell>
          <cell r="AF975">
            <v>1.32</v>
          </cell>
          <cell r="AG975">
            <v>0.03</v>
          </cell>
          <cell r="AH975">
            <v>1E-3</v>
          </cell>
          <cell r="AI975">
            <v>0.35</v>
          </cell>
          <cell r="AJ975">
            <v>18.100000000000001</v>
          </cell>
          <cell r="AK975">
            <v>8</v>
          </cell>
          <cell r="AL975">
            <v>6.8000000000000005E-2</v>
          </cell>
          <cell r="AM975">
            <v>0.37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  <cell r="AR975">
            <v>0.56000000000000005</v>
          </cell>
          <cell r="AS975">
            <v>0</v>
          </cell>
          <cell r="AT975">
            <v>293</v>
          </cell>
          <cell r="AU975">
            <v>0</v>
          </cell>
          <cell r="AV975">
            <v>645</v>
          </cell>
          <cell r="AW975">
            <v>54</v>
          </cell>
          <cell r="AX975">
            <v>84</v>
          </cell>
          <cell r="AY975">
            <v>162</v>
          </cell>
          <cell r="AZ975">
            <v>1.2891999999999999</v>
          </cell>
          <cell r="BA975" t="str">
            <v>D2103043</v>
          </cell>
          <cell r="BB975" t="str">
            <v>CONFORM</v>
          </cell>
          <cell r="BC975" t="str">
            <v>CONFORM</v>
          </cell>
          <cell r="BD975" t="str">
            <v>CONFORM</v>
          </cell>
          <cell r="BE975" t="str">
            <v>CONFORM</v>
          </cell>
          <cell r="BF975" t="str">
            <v>CONFORM</v>
          </cell>
        </row>
        <row r="976">
          <cell r="A976">
            <v>44259</v>
          </cell>
          <cell r="B976" t="str">
            <v>D2103043-6</v>
          </cell>
          <cell r="C976" t="str">
            <v>095/20</v>
          </cell>
          <cell r="D976">
            <v>1</v>
          </cell>
          <cell r="E976">
            <v>44221</v>
          </cell>
          <cell r="F976" t="str">
            <v>DC</v>
          </cell>
          <cell r="G976" t="str">
            <v>Late</v>
          </cell>
          <cell r="H976">
            <v>502411</v>
          </cell>
          <cell r="I976">
            <v>44254</v>
          </cell>
          <cell r="J976" t="str">
            <v>OUTO</v>
          </cell>
          <cell r="K976" t="str">
            <v>D2103043</v>
          </cell>
          <cell r="L976">
            <v>6</v>
          </cell>
          <cell r="M976">
            <v>892280</v>
          </cell>
          <cell r="N976">
            <v>531704</v>
          </cell>
          <cell r="O976" t="str">
            <v xml:space="preserve">1.4306 TP304L </v>
          </cell>
          <cell r="P976" t="str">
            <v>304L</v>
          </cell>
          <cell r="Q976">
            <v>3.1539999999999999</v>
          </cell>
          <cell r="R976">
            <v>3.157</v>
          </cell>
          <cell r="S976">
            <v>3.5000000000000003E-2</v>
          </cell>
          <cell r="T976">
            <v>3.5749999999999997E-2</v>
          </cell>
          <cell r="U976">
            <v>3.6900000000000002E-2</v>
          </cell>
          <cell r="V976">
            <v>3.6324999999999996E-2</v>
          </cell>
          <cell r="W976" t="str">
            <v>BRS</v>
          </cell>
          <cell r="X976">
            <v>2024</v>
          </cell>
          <cell r="Y976">
            <v>1</v>
          </cell>
          <cell r="Z976">
            <v>641.72479391249215</v>
          </cell>
          <cell r="AA976" t="str">
            <v>3.154X0.035-304L</v>
          </cell>
          <cell r="AB976" t="str">
            <v>WAAC008010090B300097</v>
          </cell>
          <cell r="AC976" t="str">
            <v>D2103043</v>
          </cell>
          <cell r="AD976">
            <v>531704</v>
          </cell>
          <cell r="AE976">
            <v>2.4E-2</v>
          </cell>
          <cell r="AF976">
            <v>1.32</v>
          </cell>
          <cell r="AG976">
            <v>0.03</v>
          </cell>
          <cell r="AH976">
            <v>1E-3</v>
          </cell>
          <cell r="AI976">
            <v>0.35</v>
          </cell>
          <cell r="AJ976">
            <v>18.100000000000001</v>
          </cell>
          <cell r="AK976">
            <v>8</v>
          </cell>
          <cell r="AL976">
            <v>6.8000000000000005E-2</v>
          </cell>
          <cell r="AM976">
            <v>0.37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  <cell r="AR976">
            <v>0.56000000000000005</v>
          </cell>
          <cell r="AS976">
            <v>0</v>
          </cell>
          <cell r="AT976">
            <v>293</v>
          </cell>
          <cell r="AU976">
            <v>0</v>
          </cell>
          <cell r="AV976">
            <v>645</v>
          </cell>
          <cell r="AW976">
            <v>54</v>
          </cell>
          <cell r="AX976">
            <v>84</v>
          </cell>
          <cell r="AY976">
            <v>162</v>
          </cell>
          <cell r="AZ976">
            <v>1.2891999999999999</v>
          </cell>
          <cell r="BA976" t="str">
            <v>D2103043</v>
          </cell>
          <cell r="BB976" t="str">
            <v>CONFORM</v>
          </cell>
          <cell r="BC976" t="str">
            <v>CONFORM</v>
          </cell>
          <cell r="BD976" t="str">
            <v>CONFORM</v>
          </cell>
          <cell r="BE976" t="str">
            <v>CONFORM</v>
          </cell>
          <cell r="BF976" t="str">
            <v>CONFORM</v>
          </cell>
        </row>
        <row r="977">
          <cell r="A977">
            <v>44259</v>
          </cell>
          <cell r="B977" t="str">
            <v>D2103043-7</v>
          </cell>
          <cell r="C977" t="str">
            <v>095/20</v>
          </cell>
          <cell r="D977">
            <v>1</v>
          </cell>
          <cell r="E977">
            <v>44221</v>
          </cell>
          <cell r="F977" t="str">
            <v>DC</v>
          </cell>
          <cell r="G977" t="str">
            <v>Late</v>
          </cell>
          <cell r="H977">
            <v>502411</v>
          </cell>
          <cell r="I977">
            <v>44254</v>
          </cell>
          <cell r="J977" t="str">
            <v>OUTO</v>
          </cell>
          <cell r="K977" t="str">
            <v>D2103043</v>
          </cell>
          <cell r="L977">
            <v>7</v>
          </cell>
          <cell r="M977">
            <v>892280</v>
          </cell>
          <cell r="N977">
            <v>531704</v>
          </cell>
          <cell r="O977" t="str">
            <v xml:space="preserve">1.4306 TP304L </v>
          </cell>
          <cell r="P977" t="str">
            <v>304L</v>
          </cell>
          <cell r="Q977">
            <v>3.1539999999999999</v>
          </cell>
          <cell r="R977">
            <v>3.157</v>
          </cell>
          <cell r="S977">
            <v>3.5000000000000003E-2</v>
          </cell>
          <cell r="T977">
            <v>3.5900000000000001E-2</v>
          </cell>
          <cell r="U977">
            <v>3.6499999999999998E-2</v>
          </cell>
          <cell r="V977">
            <v>3.6199999999999996E-2</v>
          </cell>
          <cell r="W977" t="str">
            <v>BRS</v>
          </cell>
          <cell r="X977">
            <v>2024</v>
          </cell>
          <cell r="Y977">
            <v>1</v>
          </cell>
          <cell r="Z977">
            <v>641.72479391249215</v>
          </cell>
          <cell r="AA977" t="str">
            <v>3.154X0.035-304L</v>
          </cell>
          <cell r="AB977" t="str">
            <v>WAAC008010090B300097</v>
          </cell>
          <cell r="AC977" t="str">
            <v>D2103043</v>
          </cell>
          <cell r="AD977">
            <v>531704</v>
          </cell>
          <cell r="AE977">
            <v>2.4E-2</v>
          </cell>
          <cell r="AF977">
            <v>1.32</v>
          </cell>
          <cell r="AG977">
            <v>0.03</v>
          </cell>
          <cell r="AH977">
            <v>1E-3</v>
          </cell>
          <cell r="AI977">
            <v>0.35</v>
          </cell>
          <cell r="AJ977">
            <v>18.100000000000001</v>
          </cell>
          <cell r="AK977">
            <v>8</v>
          </cell>
          <cell r="AL977">
            <v>6.8000000000000005E-2</v>
          </cell>
          <cell r="AM977">
            <v>0.37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  <cell r="AR977">
            <v>0.56000000000000005</v>
          </cell>
          <cell r="AS977">
            <v>0</v>
          </cell>
          <cell r="AT977">
            <v>293</v>
          </cell>
          <cell r="AU977">
            <v>0</v>
          </cell>
          <cell r="AV977">
            <v>645</v>
          </cell>
          <cell r="AW977">
            <v>54</v>
          </cell>
          <cell r="AX977">
            <v>84</v>
          </cell>
          <cell r="AY977">
            <v>162</v>
          </cell>
          <cell r="AZ977">
            <v>1.2891999999999999</v>
          </cell>
          <cell r="BA977" t="str">
            <v>D2103043</v>
          </cell>
          <cell r="BB977" t="str">
            <v>CONFORM</v>
          </cell>
          <cell r="BC977" t="str">
            <v>CONFORM</v>
          </cell>
          <cell r="BD977" t="str">
            <v>CONFORM</v>
          </cell>
          <cell r="BE977" t="str">
            <v>CONFORM</v>
          </cell>
          <cell r="BF977" t="str">
            <v>CONFORM</v>
          </cell>
        </row>
        <row r="978">
          <cell r="A978">
            <v>44259</v>
          </cell>
          <cell r="B978" t="str">
            <v>D2103043-8</v>
          </cell>
          <cell r="C978" t="str">
            <v>095/20</v>
          </cell>
          <cell r="D978">
            <v>1</v>
          </cell>
          <cell r="E978">
            <v>44221</v>
          </cell>
          <cell r="F978" t="str">
            <v>DC</v>
          </cell>
          <cell r="G978" t="str">
            <v>Late</v>
          </cell>
          <cell r="H978">
            <v>502411</v>
          </cell>
          <cell r="I978">
            <v>44254</v>
          </cell>
          <cell r="J978" t="str">
            <v>OUTO</v>
          </cell>
          <cell r="K978" t="str">
            <v>D2103043</v>
          </cell>
          <cell r="L978">
            <v>8</v>
          </cell>
          <cell r="M978">
            <v>892280</v>
          </cell>
          <cell r="N978">
            <v>531704</v>
          </cell>
          <cell r="O978" t="str">
            <v xml:space="preserve">1.4306 TP304L </v>
          </cell>
          <cell r="P978" t="str">
            <v>304L</v>
          </cell>
          <cell r="Q978">
            <v>3.1539999999999999</v>
          </cell>
          <cell r="R978">
            <v>3.1585000000000001</v>
          </cell>
          <cell r="S978">
            <v>3.5000000000000003E-2</v>
          </cell>
          <cell r="T978">
            <v>3.6400000000000002E-2</v>
          </cell>
          <cell r="U978">
            <v>3.6200000000000003E-2</v>
          </cell>
          <cell r="V978">
            <v>3.6299999999999999E-2</v>
          </cell>
          <cell r="W978" t="str">
            <v>BRS</v>
          </cell>
          <cell r="X978">
            <v>2028</v>
          </cell>
          <cell r="Y978">
            <v>1</v>
          </cell>
          <cell r="Z978">
            <v>642.99302473050102</v>
          </cell>
          <cell r="AA978" t="str">
            <v>3.154X0.035-304L</v>
          </cell>
          <cell r="AB978" t="str">
            <v>WAAC008010090B300097</v>
          </cell>
          <cell r="AC978" t="str">
            <v>D2103043</v>
          </cell>
          <cell r="AD978">
            <v>531704</v>
          </cell>
          <cell r="AE978">
            <v>2.4E-2</v>
          </cell>
          <cell r="AF978">
            <v>1.32</v>
          </cell>
          <cell r="AG978">
            <v>0.03</v>
          </cell>
          <cell r="AH978">
            <v>1E-3</v>
          </cell>
          <cell r="AI978">
            <v>0.35</v>
          </cell>
          <cell r="AJ978">
            <v>18.100000000000001</v>
          </cell>
          <cell r="AK978">
            <v>8</v>
          </cell>
          <cell r="AL978">
            <v>6.8000000000000005E-2</v>
          </cell>
          <cell r="AM978">
            <v>0.37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  <cell r="AR978">
            <v>0.56000000000000005</v>
          </cell>
          <cell r="AS978">
            <v>0</v>
          </cell>
          <cell r="AT978">
            <v>293</v>
          </cell>
          <cell r="AU978">
            <v>0</v>
          </cell>
          <cell r="AV978">
            <v>645</v>
          </cell>
          <cell r="AW978">
            <v>54</v>
          </cell>
          <cell r="AX978">
            <v>84</v>
          </cell>
          <cell r="AY978">
            <v>162</v>
          </cell>
          <cell r="AZ978">
            <v>1.2891999999999999</v>
          </cell>
          <cell r="BA978" t="str">
            <v>D2103043</v>
          </cell>
          <cell r="BB978" t="str">
            <v>CONFORM</v>
          </cell>
          <cell r="BC978" t="str">
            <v>CONFORM</v>
          </cell>
          <cell r="BD978" t="str">
            <v>CONFORM</v>
          </cell>
          <cell r="BE978" t="str">
            <v>CONFORM</v>
          </cell>
          <cell r="BF978" t="str">
            <v>CONFORM</v>
          </cell>
        </row>
        <row r="979">
          <cell r="A979">
            <v>44259</v>
          </cell>
          <cell r="B979" t="str">
            <v>D2103043-9</v>
          </cell>
          <cell r="C979" t="str">
            <v>095/20</v>
          </cell>
          <cell r="D979">
            <v>1</v>
          </cell>
          <cell r="E979">
            <v>44221</v>
          </cell>
          <cell r="F979" t="str">
            <v>DC</v>
          </cell>
          <cell r="G979" t="str">
            <v>Late</v>
          </cell>
          <cell r="H979">
            <v>502411</v>
          </cell>
          <cell r="I979">
            <v>44254</v>
          </cell>
          <cell r="J979" t="str">
            <v>OUTO</v>
          </cell>
          <cell r="K979" t="str">
            <v>D2103043</v>
          </cell>
          <cell r="L979">
            <v>9</v>
          </cell>
          <cell r="M979">
            <v>892280</v>
          </cell>
          <cell r="N979">
            <v>531704</v>
          </cell>
          <cell r="O979" t="str">
            <v xml:space="preserve">1.4306 TP304L </v>
          </cell>
          <cell r="P979" t="str">
            <v>304L</v>
          </cell>
          <cell r="Q979">
            <v>3.1539999999999999</v>
          </cell>
          <cell r="R979">
            <v>3.1585000000000001</v>
          </cell>
          <cell r="S979">
            <v>3.5000000000000003E-2</v>
          </cell>
          <cell r="T979">
            <v>3.5000000000000003E-2</v>
          </cell>
          <cell r="U979">
            <v>3.585E-2</v>
          </cell>
          <cell r="V979">
            <v>3.5424999999999998E-2</v>
          </cell>
          <cell r="W979" t="str">
            <v>BRS</v>
          </cell>
          <cell r="X979">
            <v>2019</v>
          </cell>
          <cell r="Y979">
            <v>1</v>
          </cell>
          <cell r="Z979">
            <v>640.13950538998097</v>
          </cell>
          <cell r="AA979" t="str">
            <v>3.154X0.035-304L</v>
          </cell>
          <cell r="AB979" t="str">
            <v>WAAC008010090B300097</v>
          </cell>
          <cell r="AC979" t="str">
            <v>D2103043</v>
          </cell>
          <cell r="AD979">
            <v>531704</v>
          </cell>
          <cell r="AE979">
            <v>2.4E-2</v>
          </cell>
          <cell r="AF979">
            <v>1.32</v>
          </cell>
          <cell r="AG979">
            <v>0.03</v>
          </cell>
          <cell r="AH979">
            <v>1E-3</v>
          </cell>
          <cell r="AI979">
            <v>0.35</v>
          </cell>
          <cell r="AJ979">
            <v>18.100000000000001</v>
          </cell>
          <cell r="AK979">
            <v>8</v>
          </cell>
          <cell r="AL979">
            <v>6.8000000000000005E-2</v>
          </cell>
          <cell r="AM979">
            <v>0.37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  <cell r="AR979">
            <v>0.56000000000000005</v>
          </cell>
          <cell r="AS979">
            <v>0</v>
          </cell>
          <cell r="AT979">
            <v>293</v>
          </cell>
          <cell r="AU979">
            <v>0</v>
          </cell>
          <cell r="AV979">
            <v>645</v>
          </cell>
          <cell r="AW979">
            <v>54</v>
          </cell>
          <cell r="AX979">
            <v>84</v>
          </cell>
          <cell r="AY979">
            <v>162</v>
          </cell>
          <cell r="AZ979">
            <v>1.2891999999999999</v>
          </cell>
          <cell r="BA979" t="str">
            <v>D2103043</v>
          </cell>
          <cell r="BB979" t="str">
            <v>CONFORM</v>
          </cell>
          <cell r="BC979" t="str">
            <v>CONFORM</v>
          </cell>
          <cell r="BD979" t="str">
            <v>CONFORM</v>
          </cell>
          <cell r="BE979" t="str">
            <v>CONFORM</v>
          </cell>
          <cell r="BF979" t="str">
            <v>CONFORM</v>
          </cell>
        </row>
        <row r="980">
          <cell r="A980">
            <v>44259</v>
          </cell>
          <cell r="B980" t="str">
            <v>D2103043-10</v>
          </cell>
          <cell r="C980" t="str">
            <v>095/20</v>
          </cell>
          <cell r="D980">
            <v>1</v>
          </cell>
          <cell r="E980">
            <v>44221</v>
          </cell>
          <cell r="F980" t="str">
            <v>DC</v>
          </cell>
          <cell r="G980" t="str">
            <v>Late</v>
          </cell>
          <cell r="H980">
            <v>502411</v>
          </cell>
          <cell r="I980">
            <v>44254</v>
          </cell>
          <cell r="J980" t="str">
            <v>OUTO</v>
          </cell>
          <cell r="K980" t="str">
            <v>D2103043</v>
          </cell>
          <cell r="L980">
            <v>10</v>
          </cell>
          <cell r="M980">
            <v>892280</v>
          </cell>
          <cell r="N980">
            <v>531704</v>
          </cell>
          <cell r="O980" t="str">
            <v xml:space="preserve">1.4306 TP304L </v>
          </cell>
          <cell r="P980" t="str">
            <v>304L</v>
          </cell>
          <cell r="Q980">
            <v>3.1539999999999999</v>
          </cell>
          <cell r="R980">
            <v>3.161</v>
          </cell>
          <cell r="S980">
            <v>3.5000000000000003E-2</v>
          </cell>
          <cell r="T980">
            <v>3.5700000000000003E-2</v>
          </cell>
          <cell r="U980">
            <v>3.5950000000000003E-2</v>
          </cell>
          <cell r="V980">
            <v>3.5825000000000003E-2</v>
          </cell>
          <cell r="W980" t="str">
            <v>BRS</v>
          </cell>
          <cell r="X980">
            <v>2028</v>
          </cell>
          <cell r="Y980">
            <v>1</v>
          </cell>
          <cell r="Z980">
            <v>642.99302473050102</v>
          </cell>
          <cell r="AA980" t="str">
            <v>3.154X0.035-304L</v>
          </cell>
          <cell r="AB980" t="str">
            <v>WAAC008010090B300097</v>
          </cell>
          <cell r="AC980" t="str">
            <v>D2103043</v>
          </cell>
          <cell r="AD980">
            <v>531704</v>
          </cell>
          <cell r="AE980">
            <v>2.4E-2</v>
          </cell>
          <cell r="AF980">
            <v>1.32</v>
          </cell>
          <cell r="AG980">
            <v>0.03</v>
          </cell>
          <cell r="AH980">
            <v>1E-3</v>
          </cell>
          <cell r="AI980">
            <v>0.35</v>
          </cell>
          <cell r="AJ980">
            <v>18.100000000000001</v>
          </cell>
          <cell r="AK980">
            <v>8</v>
          </cell>
          <cell r="AL980">
            <v>6.8000000000000005E-2</v>
          </cell>
          <cell r="AM980">
            <v>0.37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0.56000000000000005</v>
          </cell>
          <cell r="AS980">
            <v>0</v>
          </cell>
          <cell r="AT980">
            <v>293</v>
          </cell>
          <cell r="AU980">
            <v>0</v>
          </cell>
          <cell r="AV980">
            <v>645</v>
          </cell>
          <cell r="AW980">
            <v>54</v>
          </cell>
          <cell r="AX980">
            <v>84</v>
          </cell>
          <cell r="AY980">
            <v>162</v>
          </cell>
          <cell r="AZ980">
            <v>1.2891999999999999</v>
          </cell>
          <cell r="BA980" t="str">
            <v>D2103043</v>
          </cell>
          <cell r="BB980" t="str">
            <v>CONFORM</v>
          </cell>
          <cell r="BC980" t="str">
            <v>CONFORM</v>
          </cell>
          <cell r="BD980" t="str">
            <v>CONFORM</v>
          </cell>
          <cell r="BE980" t="str">
            <v>CONFORM</v>
          </cell>
          <cell r="BF980" t="str">
            <v>CONFORM</v>
          </cell>
        </row>
        <row r="981">
          <cell r="A981">
            <v>44259</v>
          </cell>
          <cell r="B981" t="str">
            <v>D2103043-11</v>
          </cell>
          <cell r="C981" t="str">
            <v>095/20</v>
          </cell>
          <cell r="D981">
            <v>1</v>
          </cell>
          <cell r="E981">
            <v>44221</v>
          </cell>
          <cell r="F981" t="str">
            <v>DC</v>
          </cell>
          <cell r="G981" t="str">
            <v>Late</v>
          </cell>
          <cell r="H981">
            <v>502411</v>
          </cell>
          <cell r="I981">
            <v>44254</v>
          </cell>
          <cell r="J981" t="str">
            <v>OUTO</v>
          </cell>
          <cell r="K981" t="str">
            <v>D2103043</v>
          </cell>
          <cell r="L981">
            <v>11</v>
          </cell>
          <cell r="M981">
            <v>892280</v>
          </cell>
          <cell r="N981">
            <v>531704</v>
          </cell>
          <cell r="O981" t="str">
            <v xml:space="preserve">1.4306 TP304L </v>
          </cell>
          <cell r="P981" t="str">
            <v>304L</v>
          </cell>
          <cell r="Q981">
            <v>3.1539999999999999</v>
          </cell>
          <cell r="R981">
            <v>3.1595</v>
          </cell>
          <cell r="S981">
            <v>3.5000000000000003E-2</v>
          </cell>
          <cell r="T981">
            <v>3.6049999999999999E-2</v>
          </cell>
          <cell r="U981">
            <v>3.635E-2</v>
          </cell>
          <cell r="V981">
            <v>3.6199999999999996E-2</v>
          </cell>
          <cell r="W981" t="str">
            <v>BRS</v>
          </cell>
          <cell r="X981">
            <v>2024</v>
          </cell>
          <cell r="Y981">
            <v>1</v>
          </cell>
          <cell r="Z981">
            <v>641.72479391249215</v>
          </cell>
          <cell r="AA981" t="str">
            <v>3.154X0.035-304L</v>
          </cell>
          <cell r="AB981" t="str">
            <v>WAAC008010090B300097</v>
          </cell>
          <cell r="AC981" t="str">
            <v>D2103043</v>
          </cell>
          <cell r="AD981">
            <v>531704</v>
          </cell>
          <cell r="AE981">
            <v>2.4E-2</v>
          </cell>
          <cell r="AF981">
            <v>1.32</v>
          </cell>
          <cell r="AG981">
            <v>0.03</v>
          </cell>
          <cell r="AH981">
            <v>1E-3</v>
          </cell>
          <cell r="AI981">
            <v>0.35</v>
          </cell>
          <cell r="AJ981">
            <v>18.100000000000001</v>
          </cell>
          <cell r="AK981">
            <v>8</v>
          </cell>
          <cell r="AL981">
            <v>6.8000000000000005E-2</v>
          </cell>
          <cell r="AM981">
            <v>0.37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  <cell r="AR981">
            <v>0.56000000000000005</v>
          </cell>
          <cell r="AS981">
            <v>0</v>
          </cell>
          <cell r="AT981">
            <v>293</v>
          </cell>
          <cell r="AU981">
            <v>0</v>
          </cell>
          <cell r="AV981">
            <v>645</v>
          </cell>
          <cell r="AW981">
            <v>54</v>
          </cell>
          <cell r="AX981">
            <v>84</v>
          </cell>
          <cell r="AY981">
            <v>162</v>
          </cell>
          <cell r="AZ981">
            <v>1.2891999999999999</v>
          </cell>
          <cell r="BA981" t="str">
            <v>D2103043</v>
          </cell>
          <cell r="BB981" t="str">
            <v>CONFORM</v>
          </cell>
          <cell r="BC981" t="str">
            <v>CONFORM</v>
          </cell>
          <cell r="BD981" t="str">
            <v>CONFORM</v>
          </cell>
          <cell r="BE981" t="str">
            <v>CONFORM</v>
          </cell>
          <cell r="BF981" t="str">
            <v>CONFORM</v>
          </cell>
        </row>
        <row r="982">
          <cell r="A982">
            <v>44259</v>
          </cell>
          <cell r="B982" t="str">
            <v>D2103043-12</v>
          </cell>
          <cell r="C982" t="str">
            <v>095/20</v>
          </cell>
          <cell r="D982">
            <v>1</v>
          </cell>
          <cell r="E982">
            <v>44221</v>
          </cell>
          <cell r="F982" t="str">
            <v>DC</v>
          </cell>
          <cell r="G982" t="str">
            <v>Late</v>
          </cell>
          <cell r="H982">
            <v>502411</v>
          </cell>
          <cell r="I982">
            <v>44254</v>
          </cell>
          <cell r="J982" t="str">
            <v>OUTO</v>
          </cell>
          <cell r="K982" t="str">
            <v>D2103043</v>
          </cell>
          <cell r="L982">
            <v>12</v>
          </cell>
          <cell r="M982">
            <v>892280</v>
          </cell>
          <cell r="N982">
            <v>531704</v>
          </cell>
          <cell r="O982" t="str">
            <v xml:space="preserve">1.4306 TP304L </v>
          </cell>
          <cell r="P982" t="str">
            <v>304L</v>
          </cell>
          <cell r="Q982">
            <v>3.1539999999999999</v>
          </cell>
          <cell r="R982">
            <v>3.157</v>
          </cell>
          <cell r="S982">
            <v>3.5000000000000003E-2</v>
          </cell>
          <cell r="T982">
            <v>3.6949999999999997E-2</v>
          </cell>
          <cell r="U982">
            <v>3.6450000000000003E-2</v>
          </cell>
          <cell r="V982">
            <v>3.6699999999999997E-2</v>
          </cell>
          <cell r="W982" t="str">
            <v>BRS</v>
          </cell>
          <cell r="X982">
            <v>2028</v>
          </cell>
          <cell r="Y982">
            <v>1</v>
          </cell>
          <cell r="Z982">
            <v>642.99302473050102</v>
          </cell>
          <cell r="AA982" t="str">
            <v>3.154X0.035-304L</v>
          </cell>
          <cell r="AB982" t="str">
            <v>WAAC008010090B300097</v>
          </cell>
          <cell r="AC982" t="str">
            <v>D2103043</v>
          </cell>
          <cell r="AD982">
            <v>531704</v>
          </cell>
          <cell r="AE982">
            <v>2.4E-2</v>
          </cell>
          <cell r="AF982">
            <v>1.32</v>
          </cell>
          <cell r="AG982">
            <v>0.03</v>
          </cell>
          <cell r="AH982">
            <v>1E-3</v>
          </cell>
          <cell r="AI982">
            <v>0.35</v>
          </cell>
          <cell r="AJ982">
            <v>18.100000000000001</v>
          </cell>
          <cell r="AK982">
            <v>8</v>
          </cell>
          <cell r="AL982">
            <v>6.8000000000000005E-2</v>
          </cell>
          <cell r="AM982">
            <v>0.37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  <cell r="AR982">
            <v>0.56000000000000005</v>
          </cell>
          <cell r="AS982">
            <v>0</v>
          </cell>
          <cell r="AT982">
            <v>293</v>
          </cell>
          <cell r="AU982">
            <v>0</v>
          </cell>
          <cell r="AV982">
            <v>645</v>
          </cell>
          <cell r="AW982">
            <v>54</v>
          </cell>
          <cell r="AX982">
            <v>84</v>
          </cell>
          <cell r="AY982">
            <v>162</v>
          </cell>
          <cell r="AZ982">
            <v>1.2891999999999999</v>
          </cell>
          <cell r="BA982" t="str">
            <v>D2103043</v>
          </cell>
          <cell r="BB982" t="str">
            <v>CONFORM</v>
          </cell>
          <cell r="BC982" t="str">
            <v>CONFORM</v>
          </cell>
          <cell r="BD982" t="str">
            <v>CONFORM</v>
          </cell>
          <cell r="BE982" t="str">
            <v>CONFORM</v>
          </cell>
          <cell r="BF982" t="str">
            <v>CONFORM</v>
          </cell>
        </row>
        <row r="983">
          <cell r="A983">
            <v>44259</v>
          </cell>
          <cell r="B983" t="str">
            <v>D2103043-13</v>
          </cell>
          <cell r="C983" t="str">
            <v>095/20</v>
          </cell>
          <cell r="D983">
            <v>1</v>
          </cell>
          <cell r="E983">
            <v>44221</v>
          </cell>
          <cell r="F983" t="str">
            <v>DC</v>
          </cell>
          <cell r="G983" t="str">
            <v>Late</v>
          </cell>
          <cell r="H983">
            <v>502411</v>
          </cell>
          <cell r="I983">
            <v>44254</v>
          </cell>
          <cell r="J983" t="str">
            <v>OUTO</v>
          </cell>
          <cell r="K983" t="str">
            <v>D2103043</v>
          </cell>
          <cell r="L983">
            <v>13</v>
          </cell>
          <cell r="M983">
            <v>892280</v>
          </cell>
          <cell r="N983">
            <v>531704</v>
          </cell>
          <cell r="O983" t="str">
            <v xml:space="preserve">1.4306 TP304L </v>
          </cell>
          <cell r="P983" t="str">
            <v>304L</v>
          </cell>
          <cell r="Q983">
            <v>3.1539999999999999</v>
          </cell>
          <cell r="R983">
            <v>3.1579999999999999</v>
          </cell>
          <cell r="S983">
            <v>3.5000000000000003E-2</v>
          </cell>
          <cell r="T983">
            <v>3.5249999999999997E-2</v>
          </cell>
          <cell r="U983">
            <v>3.85E-2</v>
          </cell>
          <cell r="V983">
            <v>3.6874999999999998E-2</v>
          </cell>
          <cell r="W983" t="str">
            <v>BRS</v>
          </cell>
          <cell r="X983">
            <v>2024</v>
          </cell>
          <cell r="Y983">
            <v>1</v>
          </cell>
          <cell r="Z983">
            <v>641.72479391249215</v>
          </cell>
          <cell r="AA983" t="str">
            <v>3.154X0.035-304L</v>
          </cell>
          <cell r="AB983" t="str">
            <v>WAAC008010090B300097</v>
          </cell>
          <cell r="AC983" t="str">
            <v>D2103043</v>
          </cell>
          <cell r="AD983">
            <v>531704</v>
          </cell>
          <cell r="AE983">
            <v>2.4E-2</v>
          </cell>
          <cell r="AF983">
            <v>1.32</v>
          </cell>
          <cell r="AG983">
            <v>0.03</v>
          </cell>
          <cell r="AH983">
            <v>1E-3</v>
          </cell>
          <cell r="AI983">
            <v>0.35</v>
          </cell>
          <cell r="AJ983">
            <v>18.100000000000001</v>
          </cell>
          <cell r="AK983">
            <v>8</v>
          </cell>
          <cell r="AL983">
            <v>6.8000000000000005E-2</v>
          </cell>
          <cell r="AM983">
            <v>0.37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0.56000000000000005</v>
          </cell>
          <cell r="AS983">
            <v>0</v>
          </cell>
          <cell r="AT983">
            <v>293</v>
          </cell>
          <cell r="AU983">
            <v>0</v>
          </cell>
          <cell r="AV983">
            <v>645</v>
          </cell>
          <cell r="AW983">
            <v>54</v>
          </cell>
          <cell r="AX983">
            <v>84</v>
          </cell>
          <cell r="AY983">
            <v>162</v>
          </cell>
          <cell r="AZ983">
            <v>1.2891999999999999</v>
          </cell>
          <cell r="BA983" t="str">
            <v>D2103043</v>
          </cell>
          <cell r="BB983" t="str">
            <v>CONFORM</v>
          </cell>
          <cell r="BC983" t="str">
            <v>CONFORM</v>
          </cell>
          <cell r="BD983" t="str">
            <v>CONFORM</v>
          </cell>
          <cell r="BE983" t="str">
            <v>CONFORM</v>
          </cell>
          <cell r="BF983" t="str">
            <v>CONFORM</v>
          </cell>
        </row>
        <row r="984">
          <cell r="A984">
            <v>44259</v>
          </cell>
          <cell r="B984" t="str">
            <v>D2103043-14</v>
          </cell>
          <cell r="C984" t="str">
            <v>095/20</v>
          </cell>
          <cell r="D984">
            <v>1</v>
          </cell>
          <cell r="E984">
            <v>44221</v>
          </cell>
          <cell r="F984" t="str">
            <v>DC</v>
          </cell>
          <cell r="G984" t="str">
            <v>Late</v>
          </cell>
          <cell r="H984">
            <v>502411</v>
          </cell>
          <cell r="I984">
            <v>44254</v>
          </cell>
          <cell r="J984" t="str">
            <v>OUTO</v>
          </cell>
          <cell r="K984" t="str">
            <v>D2103043</v>
          </cell>
          <cell r="L984">
            <v>14</v>
          </cell>
          <cell r="M984">
            <v>892280</v>
          </cell>
          <cell r="N984">
            <v>531704</v>
          </cell>
          <cell r="O984" t="str">
            <v xml:space="preserve">1.4306 TP304L </v>
          </cell>
          <cell r="P984" t="str">
            <v>304L</v>
          </cell>
          <cell r="Q984">
            <v>3.1539999999999999</v>
          </cell>
          <cell r="R984">
            <v>3.1585000000000001</v>
          </cell>
          <cell r="S984">
            <v>3.5000000000000003E-2</v>
          </cell>
          <cell r="T984">
            <v>3.6549999999999999E-2</v>
          </cell>
          <cell r="U984">
            <v>3.9699999999999999E-2</v>
          </cell>
          <cell r="V984">
            <v>3.8124999999999999E-2</v>
          </cell>
          <cell r="W984" t="str">
            <v>BRS</v>
          </cell>
          <cell r="X984">
            <v>2028</v>
          </cell>
          <cell r="Y984">
            <v>1</v>
          </cell>
          <cell r="Z984">
            <v>642.99302473050102</v>
          </cell>
          <cell r="AA984" t="str">
            <v>3.154X0.035-304L</v>
          </cell>
          <cell r="AB984" t="str">
            <v>WAAC008010090B300097</v>
          </cell>
          <cell r="AC984" t="str">
            <v>D2103043</v>
          </cell>
          <cell r="AD984">
            <v>531704</v>
          </cell>
          <cell r="AE984">
            <v>2.4E-2</v>
          </cell>
          <cell r="AF984">
            <v>1.32</v>
          </cell>
          <cell r="AG984">
            <v>0.03</v>
          </cell>
          <cell r="AH984">
            <v>1E-3</v>
          </cell>
          <cell r="AI984">
            <v>0.35</v>
          </cell>
          <cell r="AJ984">
            <v>18.100000000000001</v>
          </cell>
          <cell r="AK984">
            <v>8</v>
          </cell>
          <cell r="AL984">
            <v>6.8000000000000005E-2</v>
          </cell>
          <cell r="AM984">
            <v>0.37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  <cell r="AR984">
            <v>0.56000000000000005</v>
          </cell>
          <cell r="AS984">
            <v>0</v>
          </cell>
          <cell r="AT984">
            <v>293</v>
          </cell>
          <cell r="AU984">
            <v>0</v>
          </cell>
          <cell r="AV984">
            <v>645</v>
          </cell>
          <cell r="AW984">
            <v>54</v>
          </cell>
          <cell r="AX984">
            <v>84</v>
          </cell>
          <cell r="AY984">
            <v>162</v>
          </cell>
          <cell r="AZ984">
            <v>1.2891999999999999</v>
          </cell>
          <cell r="BA984" t="str">
            <v>D2103043</v>
          </cell>
          <cell r="BB984" t="str">
            <v>CONFORM</v>
          </cell>
          <cell r="BC984" t="str">
            <v>CONFORM</v>
          </cell>
          <cell r="BD984" t="str">
            <v>CONFORM</v>
          </cell>
          <cell r="BE984" t="str">
            <v>CONFORM</v>
          </cell>
          <cell r="BF984" t="str">
            <v>CONFORM</v>
          </cell>
        </row>
        <row r="985">
          <cell r="A985">
            <v>44260</v>
          </cell>
          <cell r="B985" t="str">
            <v>D2103057-1</v>
          </cell>
          <cell r="C985" t="str">
            <v>020/21</v>
          </cell>
          <cell r="D985">
            <v>2</v>
          </cell>
          <cell r="E985">
            <v>44260</v>
          </cell>
          <cell r="F985" t="str">
            <v>DC</v>
          </cell>
          <cell r="G985" t="str">
            <v>On Time</v>
          </cell>
          <cell r="H985">
            <v>2408050087</v>
          </cell>
          <cell r="I985">
            <v>44256</v>
          </cell>
          <cell r="J985" t="str">
            <v>TKM</v>
          </cell>
          <cell r="K985" t="str">
            <v>D2103057</v>
          </cell>
          <cell r="L985">
            <v>1</v>
          </cell>
          <cell r="M985" t="str">
            <v>05F75T</v>
          </cell>
          <cell r="N985" t="str">
            <v>F75T</v>
          </cell>
          <cell r="O985" t="str">
            <v xml:space="preserve">1.4306 TP304L </v>
          </cell>
          <cell r="P985" t="str">
            <v>304L</v>
          </cell>
          <cell r="Q985">
            <v>3.0550000000000002</v>
          </cell>
          <cell r="R985">
            <v>3.0525000000000002</v>
          </cell>
          <cell r="S985">
            <v>6.7000000000000004E-2</v>
          </cell>
          <cell r="T985">
            <v>6.8599999999999994E-2</v>
          </cell>
          <cell r="U985">
            <v>7.0849999999999996E-2</v>
          </cell>
          <cell r="V985">
            <v>6.9724999999999995E-2</v>
          </cell>
          <cell r="W985" t="str">
            <v>BRS</v>
          </cell>
          <cell r="X985">
            <v>4734</v>
          </cell>
          <cell r="Y985">
            <v>4</v>
          </cell>
          <cell r="Z985">
            <v>387.3977086743044</v>
          </cell>
          <cell r="AA985" t="str">
            <v>3.055X0.067-304L</v>
          </cell>
          <cell r="AB985" t="str">
            <v>WAAC007760170B300083</v>
          </cell>
          <cell r="AC985" t="str">
            <v>D2103057</v>
          </cell>
          <cell r="AD985" t="str">
            <v>F75T</v>
          </cell>
          <cell r="AE985">
            <v>1.7999999999999999E-2</v>
          </cell>
          <cell r="AF985">
            <v>1.76</v>
          </cell>
          <cell r="AG985">
            <v>0.03</v>
          </cell>
          <cell r="AH985">
            <v>1E-3</v>
          </cell>
          <cell r="AI985">
            <v>0.27</v>
          </cell>
          <cell r="AJ985">
            <v>18.100000000000001</v>
          </cell>
          <cell r="AK985">
            <v>8</v>
          </cell>
          <cell r="AL985">
            <v>0.08</v>
          </cell>
          <cell r="AM985">
            <v>0.33800000000000002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  <cell r="AR985">
            <v>0.46</v>
          </cell>
          <cell r="AS985">
            <v>0</v>
          </cell>
          <cell r="AT985">
            <v>321</v>
          </cell>
          <cell r="AU985">
            <v>0</v>
          </cell>
          <cell r="AV985">
            <v>666</v>
          </cell>
          <cell r="AW985">
            <v>51</v>
          </cell>
          <cell r="AX985">
            <v>86</v>
          </cell>
          <cell r="AY985">
            <v>169</v>
          </cell>
          <cell r="AZ985">
            <v>0.15</v>
          </cell>
          <cell r="BA985" t="str">
            <v>D2103057</v>
          </cell>
          <cell r="BB985" t="str">
            <v>CONFORM</v>
          </cell>
          <cell r="BC985" t="str">
            <v>CONFORM</v>
          </cell>
          <cell r="BD985" t="str">
            <v>CONFORM</v>
          </cell>
          <cell r="BE985" t="str">
            <v>CONFORM</v>
          </cell>
          <cell r="BF985" t="str">
            <v>CONFORM</v>
          </cell>
        </row>
        <row r="986">
          <cell r="A986">
            <v>44260</v>
          </cell>
          <cell r="B986" t="str">
            <v>D2103057-2</v>
          </cell>
          <cell r="C986" t="str">
            <v>020/21</v>
          </cell>
          <cell r="D986">
            <v>2</v>
          </cell>
          <cell r="E986">
            <v>44260</v>
          </cell>
          <cell r="F986" t="str">
            <v>DC</v>
          </cell>
          <cell r="G986" t="str">
            <v>On Time</v>
          </cell>
          <cell r="H986">
            <v>2408050087</v>
          </cell>
          <cell r="I986">
            <v>44256</v>
          </cell>
          <cell r="J986" t="str">
            <v>TKM</v>
          </cell>
          <cell r="K986" t="str">
            <v>D2103057</v>
          </cell>
          <cell r="L986">
            <v>2</v>
          </cell>
          <cell r="M986" t="str">
            <v>05F75T</v>
          </cell>
          <cell r="N986" t="str">
            <v>F75T</v>
          </cell>
          <cell r="O986" t="str">
            <v xml:space="preserve">1.4306 TP304L </v>
          </cell>
          <cell r="P986" t="str">
            <v>304L</v>
          </cell>
          <cell r="Q986">
            <v>3.0550000000000002</v>
          </cell>
          <cell r="R986">
            <v>3.0525000000000002</v>
          </cell>
          <cell r="S986">
            <v>6.7000000000000004E-2</v>
          </cell>
          <cell r="T986">
            <v>6.8500000000000005E-2</v>
          </cell>
          <cell r="U986">
            <v>7.0000000000000007E-2</v>
          </cell>
          <cell r="V986">
            <v>6.9250000000000006E-2</v>
          </cell>
          <cell r="W986" t="str">
            <v>BRS</v>
          </cell>
          <cell r="X986">
            <v>4744</v>
          </cell>
          <cell r="Y986">
            <v>4</v>
          </cell>
          <cell r="Z986">
            <v>388.21603927986905</v>
          </cell>
          <cell r="AA986" t="str">
            <v>3.055X0.067-304L</v>
          </cell>
          <cell r="AB986" t="str">
            <v>WAAC007760170B300083</v>
          </cell>
          <cell r="AC986" t="str">
            <v>D2103057</v>
          </cell>
          <cell r="AD986" t="str">
            <v>F75T</v>
          </cell>
          <cell r="AE986">
            <v>1.7999999999999999E-2</v>
          </cell>
          <cell r="AF986">
            <v>1.76</v>
          </cell>
          <cell r="AG986">
            <v>0.03</v>
          </cell>
          <cell r="AH986">
            <v>1E-3</v>
          </cell>
          <cell r="AI986">
            <v>0.27</v>
          </cell>
          <cell r="AJ986">
            <v>18.100000000000001</v>
          </cell>
          <cell r="AK986">
            <v>8</v>
          </cell>
          <cell r="AL986">
            <v>0.08</v>
          </cell>
          <cell r="AM986">
            <v>0.33800000000000002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  <cell r="AR986">
            <v>0.46</v>
          </cell>
          <cell r="AS986">
            <v>0</v>
          </cell>
          <cell r="AT986">
            <v>321</v>
          </cell>
          <cell r="AU986">
            <v>0</v>
          </cell>
          <cell r="AV986">
            <v>666</v>
          </cell>
          <cell r="AW986">
            <v>51</v>
          </cell>
          <cell r="AX986">
            <v>86</v>
          </cell>
          <cell r="AY986">
            <v>169</v>
          </cell>
          <cell r="AZ986">
            <v>0.15</v>
          </cell>
          <cell r="BA986" t="str">
            <v>D2103057</v>
          </cell>
          <cell r="BB986" t="str">
            <v>CONFORM</v>
          </cell>
          <cell r="BC986" t="str">
            <v>CONFORM</v>
          </cell>
          <cell r="BD986" t="str">
            <v>CONFORM</v>
          </cell>
          <cell r="BE986" t="str">
            <v>CONFORM</v>
          </cell>
          <cell r="BF986" t="str">
            <v>CONFORM</v>
          </cell>
        </row>
        <row r="987">
          <cell r="A987">
            <v>44260</v>
          </cell>
          <cell r="B987" t="str">
            <v>D2103057-3</v>
          </cell>
          <cell r="C987" t="str">
            <v>020/21</v>
          </cell>
          <cell r="D987">
            <v>2</v>
          </cell>
          <cell r="E987">
            <v>44260</v>
          </cell>
          <cell r="F987" t="str">
            <v>DC</v>
          </cell>
          <cell r="G987" t="str">
            <v>On Time</v>
          </cell>
          <cell r="H987">
            <v>2408050087</v>
          </cell>
          <cell r="I987">
            <v>44256</v>
          </cell>
          <cell r="J987" t="str">
            <v>TKM</v>
          </cell>
          <cell r="K987" t="str">
            <v>D2103057</v>
          </cell>
          <cell r="L987">
            <v>3</v>
          </cell>
          <cell r="M987" t="str">
            <v>05F75T</v>
          </cell>
          <cell r="N987" t="str">
            <v>F75T</v>
          </cell>
          <cell r="O987" t="str">
            <v xml:space="preserve">1.4306 TP304L </v>
          </cell>
          <cell r="P987" t="str">
            <v>304L</v>
          </cell>
          <cell r="Q987">
            <v>3.0550000000000002</v>
          </cell>
          <cell r="R987">
            <v>3.0535000000000001</v>
          </cell>
          <cell r="S987">
            <v>6.7000000000000004E-2</v>
          </cell>
          <cell r="T987">
            <v>6.8750000000000006E-2</v>
          </cell>
          <cell r="U987">
            <v>6.8849999999999995E-2</v>
          </cell>
          <cell r="V987">
            <v>6.88E-2</v>
          </cell>
          <cell r="W987" t="str">
            <v>BRS</v>
          </cell>
          <cell r="X987">
            <v>4742</v>
          </cell>
          <cell r="Y987">
            <v>4</v>
          </cell>
          <cell r="Z987">
            <v>388.0523731587561</v>
          </cell>
          <cell r="AA987" t="str">
            <v>3.055X0.067-304L</v>
          </cell>
          <cell r="AB987" t="str">
            <v>WAAC007760170B300083</v>
          </cell>
          <cell r="AC987" t="str">
            <v>D2103057</v>
          </cell>
          <cell r="AD987" t="str">
            <v>F75T</v>
          </cell>
          <cell r="AE987">
            <v>1.7999999999999999E-2</v>
          </cell>
          <cell r="AF987">
            <v>1.76</v>
          </cell>
          <cell r="AG987">
            <v>0.03</v>
          </cell>
          <cell r="AH987">
            <v>1E-3</v>
          </cell>
          <cell r="AI987">
            <v>0.27</v>
          </cell>
          <cell r="AJ987">
            <v>18.100000000000001</v>
          </cell>
          <cell r="AK987">
            <v>8</v>
          </cell>
          <cell r="AL987">
            <v>0.08</v>
          </cell>
          <cell r="AM987">
            <v>0.33800000000000002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  <cell r="AR987">
            <v>0.46</v>
          </cell>
          <cell r="AS987">
            <v>0</v>
          </cell>
          <cell r="AT987">
            <v>321</v>
          </cell>
          <cell r="AU987">
            <v>0</v>
          </cell>
          <cell r="AV987">
            <v>666</v>
          </cell>
          <cell r="AW987">
            <v>51</v>
          </cell>
          <cell r="AX987">
            <v>86</v>
          </cell>
          <cell r="AY987">
            <v>169</v>
          </cell>
          <cell r="AZ987">
            <v>0.15</v>
          </cell>
          <cell r="BA987" t="str">
            <v>D2103057</v>
          </cell>
          <cell r="BB987" t="str">
            <v>CONFORM</v>
          </cell>
          <cell r="BC987" t="str">
            <v>CONFORM</v>
          </cell>
          <cell r="BD987" t="str">
            <v>CONFORM</v>
          </cell>
          <cell r="BE987" t="str">
            <v>CONFORM</v>
          </cell>
          <cell r="BF987" t="str">
            <v>CONFORM</v>
          </cell>
        </row>
        <row r="988">
          <cell r="A988">
            <v>44260</v>
          </cell>
          <cell r="B988" t="str">
            <v>D2103057-4</v>
          </cell>
          <cell r="C988" t="str">
            <v>020/21</v>
          </cell>
          <cell r="D988">
            <v>2</v>
          </cell>
          <cell r="E988">
            <v>44260</v>
          </cell>
          <cell r="F988" t="str">
            <v>DC</v>
          </cell>
          <cell r="G988" t="str">
            <v>On Time</v>
          </cell>
          <cell r="H988">
            <v>2408050087</v>
          </cell>
          <cell r="I988">
            <v>44256</v>
          </cell>
          <cell r="J988" t="str">
            <v>TKM</v>
          </cell>
          <cell r="K988" t="str">
            <v>D2103057</v>
          </cell>
          <cell r="L988">
            <v>4</v>
          </cell>
          <cell r="M988" t="str">
            <v>05F75T</v>
          </cell>
          <cell r="N988" t="str">
            <v>F75T</v>
          </cell>
          <cell r="O988" t="str">
            <v xml:space="preserve">1.4306 TP304L </v>
          </cell>
          <cell r="P988" t="str">
            <v>304L</v>
          </cell>
          <cell r="Q988">
            <v>3.0550000000000002</v>
          </cell>
          <cell r="R988">
            <v>3.0514999999999999</v>
          </cell>
          <cell r="S988">
            <v>6.7000000000000004E-2</v>
          </cell>
          <cell r="T988">
            <v>6.8599999999999994E-2</v>
          </cell>
          <cell r="U988">
            <v>6.8449999999999997E-2</v>
          </cell>
          <cell r="V988">
            <v>6.8525000000000003E-2</v>
          </cell>
          <cell r="W988" t="str">
            <v>BRS</v>
          </cell>
          <cell r="X988">
            <v>2366</v>
          </cell>
          <cell r="Y988">
            <v>2</v>
          </cell>
          <cell r="Z988">
            <v>387.23404255319144</v>
          </cell>
          <cell r="AA988" t="str">
            <v>3.055X0.067-304L</v>
          </cell>
          <cell r="AB988" t="str">
            <v>WAAC007760170B300083</v>
          </cell>
          <cell r="AC988" t="str">
            <v>D2103057</v>
          </cell>
          <cell r="AD988" t="str">
            <v>F75T</v>
          </cell>
          <cell r="AE988">
            <v>1.7999999999999999E-2</v>
          </cell>
          <cell r="AF988">
            <v>1.76</v>
          </cell>
          <cell r="AG988">
            <v>0.03</v>
          </cell>
          <cell r="AH988">
            <v>1E-3</v>
          </cell>
          <cell r="AI988">
            <v>0.27</v>
          </cell>
          <cell r="AJ988">
            <v>18.100000000000001</v>
          </cell>
          <cell r="AK988">
            <v>8</v>
          </cell>
          <cell r="AL988">
            <v>0.08</v>
          </cell>
          <cell r="AM988">
            <v>0.33800000000000002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  <cell r="AR988">
            <v>0.46</v>
          </cell>
          <cell r="AS988">
            <v>0</v>
          </cell>
          <cell r="AT988">
            <v>321</v>
          </cell>
          <cell r="AU988">
            <v>0</v>
          </cell>
          <cell r="AV988">
            <v>666</v>
          </cell>
          <cell r="AW988">
            <v>51</v>
          </cell>
          <cell r="AX988">
            <v>86</v>
          </cell>
          <cell r="AY988">
            <v>169</v>
          </cell>
          <cell r="AZ988">
            <v>0.15</v>
          </cell>
          <cell r="BA988" t="str">
            <v>D2103057</v>
          </cell>
          <cell r="BB988" t="str">
            <v>CONFORM</v>
          </cell>
          <cell r="BC988" t="str">
            <v>CONFORM</v>
          </cell>
          <cell r="BD988" t="str">
            <v>CONFORM</v>
          </cell>
          <cell r="BE988" t="str">
            <v>CONFORM</v>
          </cell>
          <cell r="BF988" t="str">
            <v>CONFORM</v>
          </cell>
        </row>
        <row r="989">
          <cell r="A989">
            <v>44260</v>
          </cell>
          <cell r="B989" t="str">
            <v>D2103058-1</v>
          </cell>
          <cell r="C989" t="str">
            <v>020/21</v>
          </cell>
          <cell r="D989">
            <v>1</v>
          </cell>
          <cell r="E989">
            <v>44260</v>
          </cell>
          <cell r="F989" t="str">
            <v>DC</v>
          </cell>
          <cell r="G989" t="str">
            <v>On Time</v>
          </cell>
          <cell r="H989">
            <v>2408050087</v>
          </cell>
          <cell r="I989">
            <v>44256</v>
          </cell>
          <cell r="J989" t="str">
            <v>TKM</v>
          </cell>
          <cell r="K989" t="str">
            <v>D2103058</v>
          </cell>
          <cell r="L989">
            <v>1</v>
          </cell>
          <cell r="M989" t="str">
            <v>05F75T</v>
          </cell>
          <cell r="N989" t="str">
            <v>F75T</v>
          </cell>
          <cell r="O989" t="str">
            <v xml:space="preserve">1.4306 TP304L </v>
          </cell>
          <cell r="P989" t="str">
            <v>304L</v>
          </cell>
          <cell r="Q989">
            <v>2.2639999999999998</v>
          </cell>
          <cell r="R989">
            <v>2.2610000000000001</v>
          </cell>
          <cell r="S989">
            <v>6.7000000000000004E-2</v>
          </cell>
          <cell r="T989">
            <v>6.8150000000000002E-2</v>
          </cell>
          <cell r="U989">
            <v>6.8199999999999997E-2</v>
          </cell>
          <cell r="V989">
            <v>6.8174999999999999E-2</v>
          </cell>
          <cell r="W989" t="str">
            <v>BRS</v>
          </cell>
          <cell r="X989">
            <v>1740</v>
          </cell>
          <cell r="Y989">
            <v>2</v>
          </cell>
          <cell r="Z989">
            <v>384.27561837455835</v>
          </cell>
          <cell r="AA989" t="str">
            <v>2.264X0.067-304L</v>
          </cell>
          <cell r="AB989" t="str">
            <v>WAAC005750170B300117</v>
          </cell>
          <cell r="AC989" t="str">
            <v>D2103058</v>
          </cell>
          <cell r="AD989" t="str">
            <v>F75T</v>
          </cell>
          <cell r="AE989">
            <v>1.7999999999999999E-2</v>
          </cell>
          <cell r="AF989">
            <v>1.76</v>
          </cell>
          <cell r="AG989">
            <v>0.03</v>
          </cell>
          <cell r="AH989">
            <v>1E-3</v>
          </cell>
          <cell r="AI989">
            <v>0.27</v>
          </cell>
          <cell r="AJ989">
            <v>18.100000000000001</v>
          </cell>
          <cell r="AK989">
            <v>8</v>
          </cell>
          <cell r="AL989">
            <v>0.08</v>
          </cell>
          <cell r="AM989">
            <v>0.33800000000000002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  <cell r="AR989">
            <v>0.46</v>
          </cell>
          <cell r="AS989">
            <v>0</v>
          </cell>
          <cell r="AT989">
            <v>321</v>
          </cell>
          <cell r="AU989">
            <v>0</v>
          </cell>
          <cell r="AV989">
            <v>666</v>
          </cell>
          <cell r="AW989">
            <v>51</v>
          </cell>
          <cell r="AX989">
            <v>86</v>
          </cell>
          <cell r="AY989">
            <v>169</v>
          </cell>
          <cell r="AZ989">
            <v>0.15</v>
          </cell>
          <cell r="BA989" t="str">
            <v>D2103058</v>
          </cell>
          <cell r="BB989" t="str">
            <v>CONFORM</v>
          </cell>
          <cell r="BC989" t="str">
            <v>CONFORM</v>
          </cell>
          <cell r="BD989" t="str">
            <v>CONFORM</v>
          </cell>
          <cell r="BE989" t="str">
            <v>CONFORM</v>
          </cell>
          <cell r="BF989" t="str">
            <v>CONFORM</v>
          </cell>
        </row>
        <row r="990">
          <cell r="A990">
            <v>44260</v>
          </cell>
          <cell r="B990" t="str">
            <v>D2103059-1</v>
          </cell>
          <cell r="C990" t="str">
            <v>021/21</v>
          </cell>
          <cell r="D990">
            <v>2</v>
          </cell>
          <cell r="E990">
            <v>44260</v>
          </cell>
          <cell r="F990" t="str">
            <v>DC</v>
          </cell>
          <cell r="G990" t="str">
            <v>On Time</v>
          </cell>
          <cell r="H990">
            <v>2408050083</v>
          </cell>
          <cell r="I990">
            <v>44256</v>
          </cell>
          <cell r="J990" t="str">
            <v>TKM</v>
          </cell>
          <cell r="K990" t="str">
            <v>D2103059</v>
          </cell>
          <cell r="L990">
            <v>1</v>
          </cell>
          <cell r="M990" t="str">
            <v>05F75T</v>
          </cell>
          <cell r="N990" t="str">
            <v>F75T</v>
          </cell>
          <cell r="O990" t="str">
            <v xml:space="preserve">1.4306 TP304L </v>
          </cell>
          <cell r="P990" t="str">
            <v>304L</v>
          </cell>
          <cell r="Q990">
            <v>3.0550000000000002</v>
          </cell>
          <cell r="R990">
            <v>3.0535000000000001</v>
          </cell>
          <cell r="S990">
            <v>6.7000000000000004E-2</v>
          </cell>
          <cell r="T990">
            <v>7.2050000000000003E-2</v>
          </cell>
          <cell r="U990">
            <v>7.2749999999999995E-2</v>
          </cell>
          <cell r="V990">
            <v>7.2399999999999992E-2</v>
          </cell>
          <cell r="W990" t="str">
            <v>BRS</v>
          </cell>
          <cell r="X990">
            <v>4834</v>
          </cell>
          <cell r="Y990">
            <v>4</v>
          </cell>
          <cell r="Z990">
            <v>395.58101472995088</v>
          </cell>
          <cell r="AA990" t="str">
            <v>3.055X0.067-304L</v>
          </cell>
          <cell r="AB990" t="str">
            <v>WAAC007760170B300083</v>
          </cell>
          <cell r="AC990" t="str">
            <v>D2103059</v>
          </cell>
          <cell r="AD990" t="str">
            <v>F75T</v>
          </cell>
          <cell r="AE990">
            <v>1.7999999999999999E-2</v>
          </cell>
          <cell r="AF990">
            <v>1.76</v>
          </cell>
          <cell r="AG990">
            <v>0.03</v>
          </cell>
          <cell r="AH990">
            <v>1E-3</v>
          </cell>
          <cell r="AI990">
            <v>0.27</v>
          </cell>
          <cell r="AJ990">
            <v>18.100000000000001</v>
          </cell>
          <cell r="AK990">
            <v>8</v>
          </cell>
          <cell r="AL990">
            <v>0.08</v>
          </cell>
          <cell r="AM990">
            <v>0.33800000000000002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  <cell r="AR990">
            <v>0.46</v>
          </cell>
          <cell r="AS990">
            <v>0</v>
          </cell>
          <cell r="AT990">
            <v>321</v>
          </cell>
          <cell r="AU990">
            <v>0</v>
          </cell>
          <cell r="AV990">
            <v>666</v>
          </cell>
          <cell r="AW990">
            <v>51</v>
          </cell>
          <cell r="AX990">
            <v>86</v>
          </cell>
          <cell r="AY990">
            <v>169</v>
          </cell>
          <cell r="AZ990">
            <v>0.15</v>
          </cell>
          <cell r="BA990" t="str">
            <v>D2103059</v>
          </cell>
          <cell r="BB990" t="str">
            <v>CONFORM</v>
          </cell>
          <cell r="BC990" t="str">
            <v>CONFORM</v>
          </cell>
          <cell r="BD990" t="str">
            <v>CONFORM</v>
          </cell>
          <cell r="BE990" t="str">
            <v>CONFORM</v>
          </cell>
          <cell r="BF990" t="str">
            <v>CONFORM</v>
          </cell>
        </row>
        <row r="991">
          <cell r="A991">
            <v>44260</v>
          </cell>
          <cell r="B991" t="str">
            <v>D2103059-2</v>
          </cell>
          <cell r="C991" t="str">
            <v>021/21</v>
          </cell>
          <cell r="D991">
            <v>2</v>
          </cell>
          <cell r="E991">
            <v>44260</v>
          </cell>
          <cell r="F991" t="str">
            <v>DC</v>
          </cell>
          <cell r="G991" t="str">
            <v>On Time</v>
          </cell>
          <cell r="H991">
            <v>2408050083</v>
          </cell>
          <cell r="I991">
            <v>44256</v>
          </cell>
          <cell r="J991" t="str">
            <v>TKM</v>
          </cell>
          <cell r="K991" t="str">
            <v>D2103059</v>
          </cell>
          <cell r="L991">
            <v>2</v>
          </cell>
          <cell r="M991" t="str">
            <v>05F75T</v>
          </cell>
          <cell r="N991" t="str">
            <v>F75T</v>
          </cell>
          <cell r="O991" t="str">
            <v xml:space="preserve">1.4306 TP304L </v>
          </cell>
          <cell r="P991" t="str">
            <v>304L</v>
          </cell>
          <cell r="Q991">
            <v>3.0550000000000002</v>
          </cell>
          <cell r="R991">
            <v>3.0510000000000002</v>
          </cell>
          <cell r="S991">
            <v>6.7000000000000004E-2</v>
          </cell>
          <cell r="T991">
            <v>7.145E-2</v>
          </cell>
          <cell r="U991">
            <v>7.2800000000000004E-2</v>
          </cell>
          <cell r="V991">
            <v>7.2124999999999995E-2</v>
          </cell>
          <cell r="W991" t="str">
            <v>BRS</v>
          </cell>
          <cell r="X991">
            <v>4832</v>
          </cell>
          <cell r="Y991">
            <v>4</v>
          </cell>
          <cell r="Z991">
            <v>395.41734860883793</v>
          </cell>
          <cell r="AA991" t="str">
            <v>3.055X0.067-304L</v>
          </cell>
          <cell r="AB991" t="str">
            <v>WAAC007760170B300083</v>
          </cell>
          <cell r="AC991" t="str">
            <v>D2103059</v>
          </cell>
          <cell r="AD991" t="str">
            <v>F75T</v>
          </cell>
          <cell r="AE991">
            <v>1.7999999999999999E-2</v>
          </cell>
          <cell r="AF991">
            <v>1.76</v>
          </cell>
          <cell r="AG991">
            <v>0.03</v>
          </cell>
          <cell r="AH991">
            <v>1E-3</v>
          </cell>
          <cell r="AI991">
            <v>0.27</v>
          </cell>
          <cell r="AJ991">
            <v>18.100000000000001</v>
          </cell>
          <cell r="AK991">
            <v>8</v>
          </cell>
          <cell r="AL991">
            <v>0.08</v>
          </cell>
          <cell r="AM991">
            <v>0.33800000000000002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  <cell r="AR991">
            <v>0.46</v>
          </cell>
          <cell r="AS991">
            <v>0</v>
          </cell>
          <cell r="AT991">
            <v>321</v>
          </cell>
          <cell r="AU991">
            <v>0</v>
          </cell>
          <cell r="AV991">
            <v>666</v>
          </cell>
          <cell r="AW991">
            <v>51</v>
          </cell>
          <cell r="AX991">
            <v>86</v>
          </cell>
          <cell r="AY991">
            <v>169</v>
          </cell>
          <cell r="AZ991">
            <v>0.15</v>
          </cell>
          <cell r="BA991" t="str">
            <v>D2103059</v>
          </cell>
          <cell r="BB991" t="str">
            <v>CONFORM</v>
          </cell>
          <cell r="BC991" t="str">
            <v>CONFORM</v>
          </cell>
          <cell r="BD991" t="str">
            <v>CONFORM</v>
          </cell>
          <cell r="BE991" t="str">
            <v>CONFORM</v>
          </cell>
          <cell r="BF991" t="str">
            <v>CONFORM</v>
          </cell>
        </row>
        <row r="992">
          <cell r="A992">
            <v>44260</v>
          </cell>
          <cell r="B992" t="str">
            <v>D2103059-3</v>
          </cell>
          <cell r="C992" t="str">
            <v>021/21</v>
          </cell>
          <cell r="D992">
            <v>2</v>
          </cell>
          <cell r="E992">
            <v>44260</v>
          </cell>
          <cell r="F992" t="str">
            <v>DC</v>
          </cell>
          <cell r="G992" t="str">
            <v>On Time</v>
          </cell>
          <cell r="H992">
            <v>2408050083</v>
          </cell>
          <cell r="I992">
            <v>44256</v>
          </cell>
          <cell r="J992" t="str">
            <v>TKM</v>
          </cell>
          <cell r="K992" t="str">
            <v>D2103059</v>
          </cell>
          <cell r="L992">
            <v>3</v>
          </cell>
          <cell r="M992" t="str">
            <v>05F75T</v>
          </cell>
          <cell r="N992" t="str">
            <v>F75T</v>
          </cell>
          <cell r="O992" t="str">
            <v xml:space="preserve">1.4306 TP304L </v>
          </cell>
          <cell r="P992" t="str">
            <v>304L</v>
          </cell>
          <cell r="Q992">
            <v>3.0550000000000002</v>
          </cell>
          <cell r="R992">
            <v>3.0545</v>
          </cell>
          <cell r="S992">
            <v>6.7000000000000004E-2</v>
          </cell>
          <cell r="T992">
            <v>7.1199999999999999E-2</v>
          </cell>
          <cell r="U992">
            <v>7.2150000000000006E-2</v>
          </cell>
          <cell r="V992">
            <v>7.1675000000000003E-2</v>
          </cell>
          <cell r="W992" t="str">
            <v>BRS</v>
          </cell>
          <cell r="X992">
            <v>4836</v>
          </cell>
          <cell r="Y992">
            <v>4</v>
          </cell>
          <cell r="Z992">
            <v>395.74468085106383</v>
          </cell>
          <cell r="AA992" t="str">
            <v>3.055X0.067-304L</v>
          </cell>
          <cell r="AB992" t="str">
            <v>WAAC007760170B300083</v>
          </cell>
          <cell r="AC992" t="str">
            <v>D2103059</v>
          </cell>
          <cell r="AD992" t="str">
            <v>F75T</v>
          </cell>
          <cell r="AE992">
            <v>1.7999999999999999E-2</v>
          </cell>
          <cell r="AF992">
            <v>1.76</v>
          </cell>
          <cell r="AG992">
            <v>0.03</v>
          </cell>
          <cell r="AH992">
            <v>1E-3</v>
          </cell>
          <cell r="AI992">
            <v>0.27</v>
          </cell>
          <cell r="AJ992">
            <v>18.100000000000001</v>
          </cell>
          <cell r="AK992">
            <v>8</v>
          </cell>
          <cell r="AL992">
            <v>0.08</v>
          </cell>
          <cell r="AM992">
            <v>0.33800000000000002</v>
          </cell>
          <cell r="AN992">
            <v>0</v>
          </cell>
          <cell r="AO992">
            <v>0</v>
          </cell>
          <cell r="AP992">
            <v>0</v>
          </cell>
          <cell r="AQ992">
            <v>0</v>
          </cell>
          <cell r="AR992">
            <v>0.46</v>
          </cell>
          <cell r="AS992">
            <v>0</v>
          </cell>
          <cell r="AT992">
            <v>321</v>
          </cell>
          <cell r="AU992">
            <v>0</v>
          </cell>
          <cell r="AV992">
            <v>666</v>
          </cell>
          <cell r="AW992">
            <v>51</v>
          </cell>
          <cell r="AX992">
            <v>86</v>
          </cell>
          <cell r="AY992">
            <v>169</v>
          </cell>
          <cell r="AZ992">
            <v>0.15</v>
          </cell>
          <cell r="BA992" t="str">
            <v>D2103059</v>
          </cell>
          <cell r="BB992" t="str">
            <v>CONFORM</v>
          </cell>
          <cell r="BC992" t="str">
            <v>CONFORM</v>
          </cell>
          <cell r="BD992" t="str">
            <v>CONFORM</v>
          </cell>
          <cell r="BE992" t="str">
            <v>CONFORM</v>
          </cell>
          <cell r="BF992" t="str">
            <v>CONFORM</v>
          </cell>
        </row>
        <row r="993">
          <cell r="A993">
            <v>44260</v>
          </cell>
          <cell r="B993" t="str">
            <v>D2103059-4</v>
          </cell>
          <cell r="C993" t="str">
            <v>021/21</v>
          </cell>
          <cell r="D993">
            <v>2</v>
          </cell>
          <cell r="E993">
            <v>44260</v>
          </cell>
          <cell r="F993" t="str">
            <v>DC</v>
          </cell>
          <cell r="G993" t="str">
            <v>On Time</v>
          </cell>
          <cell r="H993">
            <v>2408050083</v>
          </cell>
          <cell r="I993">
            <v>44256</v>
          </cell>
          <cell r="J993" t="str">
            <v>TKM</v>
          </cell>
          <cell r="K993" t="str">
            <v>D2103059</v>
          </cell>
          <cell r="L993">
            <v>4</v>
          </cell>
          <cell r="M993" t="str">
            <v>05F75T</v>
          </cell>
          <cell r="N993" t="str">
            <v>F75T</v>
          </cell>
          <cell r="O993" t="str">
            <v xml:space="preserve">1.4306 TP304L </v>
          </cell>
          <cell r="P993" t="str">
            <v>304L</v>
          </cell>
          <cell r="Q993">
            <v>3.0550000000000002</v>
          </cell>
          <cell r="R993">
            <v>3.0510000000000002</v>
          </cell>
          <cell r="S993">
            <v>6.7000000000000004E-2</v>
          </cell>
          <cell r="T993">
            <v>7.1050000000000002E-2</v>
          </cell>
          <cell r="U993">
            <v>7.1999999999999995E-2</v>
          </cell>
          <cell r="V993">
            <v>7.1525000000000005E-2</v>
          </cell>
          <cell r="W993" t="str">
            <v>BRS</v>
          </cell>
          <cell r="X993">
            <v>2410</v>
          </cell>
          <cell r="Y993">
            <v>2</v>
          </cell>
          <cell r="Z993">
            <v>394.43535188216038</v>
          </cell>
          <cell r="AA993" t="str">
            <v>3.055X0.067-304L</v>
          </cell>
          <cell r="AB993" t="str">
            <v>WAAC007760170B300083</v>
          </cell>
          <cell r="AC993" t="str">
            <v>D2103059</v>
          </cell>
          <cell r="AD993" t="str">
            <v>F75T</v>
          </cell>
          <cell r="AE993">
            <v>1.7999999999999999E-2</v>
          </cell>
          <cell r="AF993">
            <v>1.76</v>
          </cell>
          <cell r="AG993">
            <v>0.03</v>
          </cell>
          <cell r="AH993">
            <v>1E-3</v>
          </cell>
          <cell r="AI993">
            <v>0.27</v>
          </cell>
          <cell r="AJ993">
            <v>18.100000000000001</v>
          </cell>
          <cell r="AK993">
            <v>8</v>
          </cell>
          <cell r="AL993">
            <v>0.08</v>
          </cell>
          <cell r="AM993">
            <v>0.33800000000000002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  <cell r="AR993">
            <v>0.46</v>
          </cell>
          <cell r="AS993">
            <v>0</v>
          </cell>
          <cell r="AT993">
            <v>321</v>
          </cell>
          <cell r="AU993">
            <v>0</v>
          </cell>
          <cell r="AV993">
            <v>666</v>
          </cell>
          <cell r="AW993">
            <v>51</v>
          </cell>
          <cell r="AX993">
            <v>86</v>
          </cell>
          <cell r="AY993">
            <v>169</v>
          </cell>
          <cell r="AZ993">
            <v>0.15</v>
          </cell>
          <cell r="BA993" t="str">
            <v>D2103059</v>
          </cell>
          <cell r="BB993" t="str">
            <v>CONFORM</v>
          </cell>
          <cell r="BC993" t="str">
            <v>CONFORM</v>
          </cell>
          <cell r="BD993" t="str">
            <v>CONFORM</v>
          </cell>
          <cell r="BE993" t="str">
            <v>CONFORM</v>
          </cell>
          <cell r="BF993" t="str">
            <v>CONFORM</v>
          </cell>
        </row>
        <row r="994">
          <cell r="A994">
            <v>44260</v>
          </cell>
          <cell r="B994" t="str">
            <v>D2103060-1</v>
          </cell>
          <cell r="C994" t="str">
            <v>021/21</v>
          </cell>
          <cell r="D994">
            <v>1</v>
          </cell>
          <cell r="E994">
            <v>44260</v>
          </cell>
          <cell r="F994" t="str">
            <v>DC</v>
          </cell>
          <cell r="G994" t="str">
            <v>On Time</v>
          </cell>
          <cell r="H994">
            <v>2408050083</v>
          </cell>
          <cell r="I994">
            <v>44256</v>
          </cell>
          <cell r="J994" t="str">
            <v>TKM</v>
          </cell>
          <cell r="K994" t="str">
            <v>D2103060</v>
          </cell>
          <cell r="L994">
            <v>1</v>
          </cell>
          <cell r="M994" t="str">
            <v>05F75T</v>
          </cell>
          <cell r="N994" t="str">
            <v>F75T</v>
          </cell>
          <cell r="O994" t="str">
            <v xml:space="preserve">1.4306 TP304L </v>
          </cell>
          <cell r="P994" t="str">
            <v>304L</v>
          </cell>
          <cell r="Q994">
            <v>2.2639999999999998</v>
          </cell>
          <cell r="R994">
            <v>2.2639999999999998</v>
          </cell>
          <cell r="S994">
            <v>6.7000000000000004E-2</v>
          </cell>
          <cell r="T994">
            <v>7.2650000000000006E-2</v>
          </cell>
          <cell r="U994">
            <v>7.2450000000000001E-2</v>
          </cell>
          <cell r="V994">
            <v>7.2550000000000003E-2</v>
          </cell>
          <cell r="W994" t="str">
            <v>BRS</v>
          </cell>
          <cell r="X994">
            <v>1782</v>
          </cell>
          <cell r="Y994">
            <v>2</v>
          </cell>
          <cell r="Z994">
            <v>393.55123674911664</v>
          </cell>
          <cell r="AA994" t="str">
            <v>2.264X0.067-304L</v>
          </cell>
          <cell r="AB994" t="str">
            <v>WAAC005750170B300117</v>
          </cell>
          <cell r="AC994" t="str">
            <v>D2103060</v>
          </cell>
          <cell r="AD994" t="str">
            <v>F75T</v>
          </cell>
          <cell r="AE994">
            <v>1.7999999999999999E-2</v>
          </cell>
          <cell r="AF994">
            <v>1.76</v>
          </cell>
          <cell r="AG994">
            <v>0.03</v>
          </cell>
          <cell r="AH994">
            <v>1E-3</v>
          </cell>
          <cell r="AI994">
            <v>0.27</v>
          </cell>
          <cell r="AJ994">
            <v>18.100000000000001</v>
          </cell>
          <cell r="AK994">
            <v>8</v>
          </cell>
          <cell r="AL994">
            <v>0.08</v>
          </cell>
          <cell r="AM994">
            <v>0.33800000000000002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  <cell r="AR994">
            <v>0.46</v>
          </cell>
          <cell r="AS994">
            <v>0</v>
          </cell>
          <cell r="AT994">
            <v>321</v>
          </cell>
          <cell r="AU994">
            <v>0</v>
          </cell>
          <cell r="AV994">
            <v>666</v>
          </cell>
          <cell r="AW994">
            <v>51</v>
          </cell>
          <cell r="AX994">
            <v>86</v>
          </cell>
          <cell r="AY994">
            <v>169</v>
          </cell>
          <cell r="AZ994">
            <v>0.15</v>
          </cell>
          <cell r="BA994" t="str">
            <v>D2103060</v>
          </cell>
          <cell r="BB994" t="str">
            <v>CONFORM</v>
          </cell>
          <cell r="BC994" t="str">
            <v>CONFORM</v>
          </cell>
          <cell r="BD994" t="str">
            <v>CONFORM</v>
          </cell>
          <cell r="BE994" t="str">
            <v>CONFORM</v>
          </cell>
          <cell r="BF994" t="str">
            <v>CONFORM</v>
          </cell>
        </row>
        <row r="995">
          <cell r="A995">
            <v>44266</v>
          </cell>
          <cell r="B995" t="str">
            <v>D2103082-1</v>
          </cell>
          <cell r="C995" t="str">
            <v>110/20</v>
          </cell>
          <cell r="D995">
            <v>1</v>
          </cell>
          <cell r="E995">
            <v>44268</v>
          </cell>
          <cell r="F995" t="str">
            <v>DC</v>
          </cell>
          <cell r="G995" t="str">
            <v>On Time</v>
          </cell>
          <cell r="H995" t="str">
            <v>L440472</v>
          </cell>
          <cell r="I995">
            <v>44264</v>
          </cell>
          <cell r="J995" t="str">
            <v>ATI</v>
          </cell>
          <cell r="K995" t="str">
            <v>D2103082</v>
          </cell>
          <cell r="L995">
            <v>1</v>
          </cell>
          <cell r="M995" t="str">
            <v>AAD21588</v>
          </cell>
          <cell r="N995">
            <v>529917</v>
          </cell>
          <cell r="O995" t="str">
            <v>2.4856 UNS N06625</v>
          </cell>
          <cell r="P995" t="str">
            <v>A625</v>
          </cell>
          <cell r="Q995">
            <v>3.1019999999999999</v>
          </cell>
          <cell r="R995">
            <v>3.1030000000000002</v>
          </cell>
          <cell r="S995">
            <v>5.0999999999999997E-2</v>
          </cell>
          <cell r="T995">
            <v>5.185E-2</v>
          </cell>
          <cell r="U995">
            <v>5.3249999999999999E-2</v>
          </cell>
          <cell r="V995">
            <v>5.2549999999999999E-2</v>
          </cell>
          <cell r="W995" t="str">
            <v>BRS</v>
          </cell>
          <cell r="X995">
            <v>4085</v>
          </cell>
          <cell r="Y995">
            <v>5</v>
          </cell>
          <cell r="Z995">
            <v>263.37846550612511</v>
          </cell>
          <cell r="AA995" t="str">
            <v>3.102X0.051-A625</v>
          </cell>
          <cell r="AB995" t="str">
            <v>WABG007880130B300120</v>
          </cell>
          <cell r="AC995" t="str">
            <v>D2103082</v>
          </cell>
          <cell r="AD995">
            <v>529917</v>
          </cell>
          <cell r="AE995">
            <v>0.04</v>
          </cell>
          <cell r="AF995">
            <v>0.28999999999999998</v>
          </cell>
          <cell r="AG995">
            <v>6.0000000000000001E-3</v>
          </cell>
          <cell r="AH995">
            <v>0</v>
          </cell>
          <cell r="AI995">
            <v>0.15</v>
          </cell>
          <cell r="AJ995">
            <v>21.7</v>
          </cell>
          <cell r="AK995">
            <v>60.1</v>
          </cell>
          <cell r="AL995">
            <v>0</v>
          </cell>
          <cell r="AM995">
            <v>8.3000000000000007</v>
          </cell>
          <cell r="AN995">
            <v>4.5</v>
          </cell>
          <cell r="AO995">
            <v>0.25</v>
          </cell>
          <cell r="AP995">
            <v>3.38</v>
          </cell>
          <cell r="AQ995">
            <v>0.01</v>
          </cell>
          <cell r="AR995">
            <v>0</v>
          </cell>
          <cell r="AS995">
            <v>0.25</v>
          </cell>
          <cell r="AT995">
            <v>442</v>
          </cell>
          <cell r="AU995">
            <v>0</v>
          </cell>
          <cell r="AV995">
            <v>886</v>
          </cell>
          <cell r="AW995">
            <v>49</v>
          </cell>
          <cell r="AX995">
            <v>92</v>
          </cell>
          <cell r="AY995">
            <v>195</v>
          </cell>
          <cell r="AZ995">
            <v>11.75</v>
          </cell>
          <cell r="BA995" t="str">
            <v>D2103082</v>
          </cell>
          <cell r="BB995" t="str">
            <v>CONFORM</v>
          </cell>
          <cell r="BC995" t="str">
            <v>CONFORM</v>
          </cell>
          <cell r="BD995" t="str">
            <v>CONFORM</v>
          </cell>
          <cell r="BE995" t="str">
            <v>CONFORM</v>
          </cell>
          <cell r="BF995" t="str">
            <v>CONFORM</v>
          </cell>
        </row>
        <row r="996">
          <cell r="A996">
            <v>44266</v>
          </cell>
          <cell r="B996" t="str">
            <v>D2103082-2</v>
          </cell>
          <cell r="C996" t="str">
            <v>110/20</v>
          </cell>
          <cell r="D996">
            <v>1</v>
          </cell>
          <cell r="E996">
            <v>44268</v>
          </cell>
          <cell r="F996" t="str">
            <v>DC</v>
          </cell>
          <cell r="G996" t="str">
            <v>On Time</v>
          </cell>
          <cell r="H996" t="str">
            <v>L440472</v>
          </cell>
          <cell r="I996">
            <v>44264</v>
          </cell>
          <cell r="J996" t="str">
            <v>ATI</v>
          </cell>
          <cell r="K996" t="str">
            <v>D2103082</v>
          </cell>
          <cell r="L996">
            <v>2</v>
          </cell>
          <cell r="M996" t="str">
            <v>AAD21588</v>
          </cell>
          <cell r="N996">
            <v>529917</v>
          </cell>
          <cell r="O996" t="str">
            <v>2.4856 UNS N06625</v>
          </cell>
          <cell r="P996" t="str">
            <v>A625</v>
          </cell>
          <cell r="Q996">
            <v>3.1019999999999999</v>
          </cell>
          <cell r="R996">
            <v>3.1030000000000002</v>
          </cell>
          <cell r="S996">
            <v>5.0999999999999997E-2</v>
          </cell>
          <cell r="T996">
            <v>5.1400000000000001E-2</v>
          </cell>
          <cell r="U996">
            <v>5.1249999999999997E-2</v>
          </cell>
          <cell r="V996">
            <v>5.1324999999999996E-2</v>
          </cell>
          <cell r="W996" t="str">
            <v>BRS</v>
          </cell>
          <cell r="X996">
            <v>4085</v>
          </cell>
          <cell r="Y996">
            <v>5</v>
          </cell>
          <cell r="Z996">
            <v>263.37846550612511</v>
          </cell>
          <cell r="AA996" t="str">
            <v>3.102X0.051-A625</v>
          </cell>
          <cell r="AB996" t="str">
            <v>WABG007880130B300120</v>
          </cell>
          <cell r="AC996" t="str">
            <v>D2103082</v>
          </cell>
          <cell r="AD996">
            <v>529917</v>
          </cell>
          <cell r="AE996">
            <v>0.04</v>
          </cell>
          <cell r="AF996">
            <v>0.28999999999999998</v>
          </cell>
          <cell r="AG996">
            <v>6.0000000000000001E-3</v>
          </cell>
          <cell r="AH996">
            <v>0</v>
          </cell>
          <cell r="AI996">
            <v>0.15</v>
          </cell>
          <cell r="AJ996">
            <v>21.7</v>
          </cell>
          <cell r="AK996">
            <v>60.1</v>
          </cell>
          <cell r="AL996">
            <v>0</v>
          </cell>
          <cell r="AM996">
            <v>8.3000000000000007</v>
          </cell>
          <cell r="AN996">
            <v>4.5</v>
          </cell>
          <cell r="AO996">
            <v>0.25</v>
          </cell>
          <cell r="AP996">
            <v>3.38</v>
          </cell>
          <cell r="AQ996">
            <v>0.01</v>
          </cell>
          <cell r="AR996">
            <v>0</v>
          </cell>
          <cell r="AS996">
            <v>0.25</v>
          </cell>
          <cell r="AT996">
            <v>442</v>
          </cell>
          <cell r="AU996">
            <v>0</v>
          </cell>
          <cell r="AV996">
            <v>886</v>
          </cell>
          <cell r="AW996">
            <v>49</v>
          </cell>
          <cell r="AX996">
            <v>92</v>
          </cell>
          <cell r="AY996">
            <v>195</v>
          </cell>
          <cell r="AZ996">
            <v>11.75</v>
          </cell>
          <cell r="BA996" t="str">
            <v>D2103082</v>
          </cell>
          <cell r="BB996" t="str">
            <v>CONFORM</v>
          </cell>
          <cell r="BC996" t="str">
            <v>CONFORM</v>
          </cell>
          <cell r="BD996" t="str">
            <v>CONFORM</v>
          </cell>
          <cell r="BE996" t="str">
            <v>CONFORM</v>
          </cell>
          <cell r="BF996" t="str">
            <v>CONFORM</v>
          </cell>
        </row>
        <row r="997">
          <cell r="A997">
            <v>44266</v>
          </cell>
          <cell r="B997" t="str">
            <v>D2103082-3</v>
          </cell>
          <cell r="C997" t="str">
            <v>110/20</v>
          </cell>
          <cell r="D997">
            <v>1</v>
          </cell>
          <cell r="E997">
            <v>44268</v>
          </cell>
          <cell r="F997" t="str">
            <v>DC</v>
          </cell>
          <cell r="G997" t="str">
            <v>On Time</v>
          </cell>
          <cell r="H997" t="str">
            <v>L440472</v>
          </cell>
          <cell r="I997">
            <v>44264</v>
          </cell>
          <cell r="J997" t="str">
            <v>ATI</v>
          </cell>
          <cell r="K997" t="str">
            <v>D2103082</v>
          </cell>
          <cell r="L997">
            <v>3</v>
          </cell>
          <cell r="M997" t="str">
            <v>AAD21588</v>
          </cell>
          <cell r="N997">
            <v>529917</v>
          </cell>
          <cell r="O997" t="str">
            <v>2.4856 UNS N06625</v>
          </cell>
          <cell r="P997" t="str">
            <v>A625</v>
          </cell>
          <cell r="Q997">
            <v>3.1019999999999999</v>
          </cell>
          <cell r="R997">
            <v>3.1030000000000002</v>
          </cell>
          <cell r="S997">
            <v>5.0999999999999997E-2</v>
          </cell>
          <cell r="T997">
            <v>5.1299999999999998E-2</v>
          </cell>
          <cell r="U997">
            <v>5.1200000000000002E-2</v>
          </cell>
          <cell r="V997">
            <v>5.1250000000000004E-2</v>
          </cell>
          <cell r="W997" t="str">
            <v>BRS</v>
          </cell>
          <cell r="X997">
            <v>4090</v>
          </cell>
          <cell r="Y997">
            <v>5</v>
          </cell>
          <cell r="Z997">
            <v>263.70083816892327</v>
          </cell>
          <cell r="AA997" t="str">
            <v>3.102X0.051-A625</v>
          </cell>
          <cell r="AB997" t="str">
            <v>WABG007880130B300120</v>
          </cell>
          <cell r="AC997" t="str">
            <v>D2103082</v>
          </cell>
          <cell r="AD997">
            <v>529917</v>
          </cell>
          <cell r="AE997">
            <v>0.04</v>
          </cell>
          <cell r="AF997">
            <v>0.28999999999999998</v>
          </cell>
          <cell r="AG997">
            <v>6.0000000000000001E-3</v>
          </cell>
          <cell r="AH997">
            <v>0</v>
          </cell>
          <cell r="AI997">
            <v>0.15</v>
          </cell>
          <cell r="AJ997">
            <v>21.7</v>
          </cell>
          <cell r="AK997">
            <v>60.1</v>
          </cell>
          <cell r="AL997">
            <v>0</v>
          </cell>
          <cell r="AM997">
            <v>8.3000000000000007</v>
          </cell>
          <cell r="AN997">
            <v>4.5</v>
          </cell>
          <cell r="AO997">
            <v>0.25</v>
          </cell>
          <cell r="AP997">
            <v>3.38</v>
          </cell>
          <cell r="AQ997">
            <v>0.01</v>
          </cell>
          <cell r="AR997">
            <v>0</v>
          </cell>
          <cell r="AS997">
            <v>0.25</v>
          </cell>
          <cell r="AT997">
            <v>442</v>
          </cell>
          <cell r="AU997">
            <v>0</v>
          </cell>
          <cell r="AV997">
            <v>886</v>
          </cell>
          <cell r="AW997">
            <v>49</v>
          </cell>
          <cell r="AX997">
            <v>92</v>
          </cell>
          <cell r="AY997">
            <v>195</v>
          </cell>
          <cell r="AZ997">
            <v>11.75</v>
          </cell>
          <cell r="BA997" t="str">
            <v>D2103082</v>
          </cell>
          <cell r="BB997" t="str">
            <v>CONFORM</v>
          </cell>
          <cell r="BC997" t="str">
            <v>CONFORM</v>
          </cell>
          <cell r="BD997" t="str">
            <v>CONFORM</v>
          </cell>
          <cell r="BE997" t="str">
            <v>CONFORM</v>
          </cell>
          <cell r="BF997" t="str">
            <v>CONFORM</v>
          </cell>
        </row>
        <row r="998">
          <cell r="A998">
            <v>44271</v>
          </cell>
          <cell r="B998" t="str">
            <v>D2103104-1</v>
          </cell>
          <cell r="C998" t="str">
            <v>023/21</v>
          </cell>
          <cell r="D998">
            <v>3</v>
          </cell>
          <cell r="E998">
            <v>44272</v>
          </cell>
          <cell r="F998" t="str">
            <v>DC</v>
          </cell>
          <cell r="G998" t="str">
            <v>On Time</v>
          </cell>
          <cell r="H998">
            <v>2408082810</v>
          </cell>
          <cell r="I998">
            <v>44270</v>
          </cell>
          <cell r="J998" t="str">
            <v>TKM</v>
          </cell>
          <cell r="K998" t="str">
            <v>D2103104</v>
          </cell>
          <cell r="L998">
            <v>1</v>
          </cell>
          <cell r="M998">
            <v>691766</v>
          </cell>
          <cell r="N998">
            <v>861011</v>
          </cell>
          <cell r="O998" t="str">
            <v xml:space="preserve">1.4462 UNS S31803/S32205 </v>
          </cell>
          <cell r="P998" t="str">
            <v>2205</v>
          </cell>
          <cell r="Q998">
            <v>3.8149999999999999</v>
          </cell>
          <cell r="R998">
            <v>3.8090000000000002</v>
          </cell>
          <cell r="S998">
            <v>7.9000000000000001E-2</v>
          </cell>
          <cell r="T998">
            <v>7.8549999999999995E-2</v>
          </cell>
          <cell r="U998">
            <v>7.8750000000000001E-2</v>
          </cell>
          <cell r="V998">
            <v>7.8649999999999998E-2</v>
          </cell>
          <cell r="W998" t="str">
            <v>BRS</v>
          </cell>
          <cell r="X998">
            <v>1032</v>
          </cell>
          <cell r="Y998">
            <v>1</v>
          </cell>
          <cell r="Z998">
            <v>270.51114023591089</v>
          </cell>
          <cell r="AA998" t="str">
            <v>3.815X0.079-2205</v>
          </cell>
          <cell r="AB998" t="str">
            <v>WACN009690200B300043</v>
          </cell>
          <cell r="AC998" t="str">
            <v>D2103104</v>
          </cell>
          <cell r="AD998">
            <v>861011</v>
          </cell>
          <cell r="AE998">
            <v>1.9E-2</v>
          </cell>
          <cell r="AF998">
            <v>1.8</v>
          </cell>
          <cell r="AG998">
            <v>2.7E-2</v>
          </cell>
          <cell r="AH998">
            <v>0</v>
          </cell>
          <cell r="AI998">
            <v>0.49</v>
          </cell>
          <cell r="AJ998">
            <v>22.4</v>
          </cell>
          <cell r="AK998">
            <v>5.3</v>
          </cell>
          <cell r="AL998">
            <v>0.17</v>
          </cell>
          <cell r="AM998">
            <v>3.1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  <cell r="AR998">
            <v>0</v>
          </cell>
          <cell r="AS998">
            <v>0</v>
          </cell>
          <cell r="AT998">
            <v>623</v>
          </cell>
          <cell r="AU998">
            <v>0</v>
          </cell>
          <cell r="AV998">
            <v>849</v>
          </cell>
          <cell r="AW998">
            <v>29</v>
          </cell>
          <cell r="AX998">
            <v>21</v>
          </cell>
          <cell r="AY998">
            <v>243</v>
          </cell>
          <cell r="AZ998">
            <v>2.4685000000000001</v>
          </cell>
          <cell r="BA998" t="str">
            <v>D2103104</v>
          </cell>
          <cell r="BB998" t="str">
            <v>CONFORM</v>
          </cell>
          <cell r="BC998" t="str">
            <v>CONFORM</v>
          </cell>
          <cell r="BD998" t="str">
            <v>CONFORM</v>
          </cell>
          <cell r="BE998" t="str">
            <v>CONFORM</v>
          </cell>
          <cell r="BF998" t="str">
            <v>CONFORM</v>
          </cell>
        </row>
        <row r="999">
          <cell r="A999">
            <v>44271</v>
          </cell>
          <cell r="B999" t="str">
            <v>D2103104-2</v>
          </cell>
          <cell r="C999" t="str">
            <v>023/21</v>
          </cell>
          <cell r="D999">
            <v>3</v>
          </cell>
          <cell r="E999">
            <v>44272</v>
          </cell>
          <cell r="F999" t="str">
            <v>DC</v>
          </cell>
          <cell r="G999" t="str">
            <v>On Time</v>
          </cell>
          <cell r="H999">
            <v>2408082810</v>
          </cell>
          <cell r="I999">
            <v>44270</v>
          </cell>
          <cell r="J999" t="str">
            <v>TKM</v>
          </cell>
          <cell r="K999" t="str">
            <v>D2103104</v>
          </cell>
          <cell r="L999">
            <v>2</v>
          </cell>
          <cell r="M999">
            <v>691766</v>
          </cell>
          <cell r="N999">
            <v>861011</v>
          </cell>
          <cell r="O999" t="str">
            <v xml:space="preserve">1.4462 UNS S31803/S32205 </v>
          </cell>
          <cell r="P999" t="str">
            <v>2205</v>
          </cell>
          <cell r="Q999">
            <v>3.8149999999999999</v>
          </cell>
          <cell r="R999">
            <v>3.8079999999999998</v>
          </cell>
          <cell r="S999">
            <v>7.9000000000000001E-2</v>
          </cell>
          <cell r="T999">
            <v>7.9100000000000004E-2</v>
          </cell>
          <cell r="U999">
            <v>7.9600000000000004E-2</v>
          </cell>
          <cell r="V999">
            <v>7.9350000000000004E-2</v>
          </cell>
          <cell r="W999" t="str">
            <v>BRS</v>
          </cell>
          <cell r="X999">
            <v>2076</v>
          </cell>
          <cell r="Y999">
            <v>2</v>
          </cell>
          <cell r="Z999">
            <v>272.08387942332899</v>
          </cell>
          <cell r="AA999" t="str">
            <v>3.815X0.079-2205</v>
          </cell>
          <cell r="AB999" t="str">
            <v>WACN009690200B300043</v>
          </cell>
          <cell r="AC999" t="str">
            <v>D2103104</v>
          </cell>
          <cell r="AD999">
            <v>861011</v>
          </cell>
          <cell r="AE999">
            <v>1.9E-2</v>
          </cell>
          <cell r="AF999">
            <v>1.8</v>
          </cell>
          <cell r="AG999">
            <v>2.7E-2</v>
          </cell>
          <cell r="AH999">
            <v>0</v>
          </cell>
          <cell r="AI999">
            <v>0.49</v>
          </cell>
          <cell r="AJ999">
            <v>22.4</v>
          </cell>
          <cell r="AK999">
            <v>5.3</v>
          </cell>
          <cell r="AL999">
            <v>0.17</v>
          </cell>
          <cell r="AM999">
            <v>3.1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  <cell r="AR999">
            <v>0</v>
          </cell>
          <cell r="AS999">
            <v>0</v>
          </cell>
          <cell r="AT999">
            <v>623</v>
          </cell>
          <cell r="AU999">
            <v>0</v>
          </cell>
          <cell r="AV999">
            <v>849</v>
          </cell>
          <cell r="AW999">
            <v>29</v>
          </cell>
          <cell r="AX999">
            <v>21</v>
          </cell>
          <cell r="AY999">
            <v>243</v>
          </cell>
          <cell r="AZ999">
            <v>2.4685000000000001</v>
          </cell>
          <cell r="BA999" t="str">
            <v>D2103104</v>
          </cell>
          <cell r="BB999" t="str">
            <v>CONFORM</v>
          </cell>
          <cell r="BC999" t="str">
            <v>CONFORM</v>
          </cell>
          <cell r="BD999" t="str">
            <v>CONFORM</v>
          </cell>
          <cell r="BE999" t="str">
            <v>CONFORM</v>
          </cell>
          <cell r="BF999" t="str">
            <v>CONFORM</v>
          </cell>
        </row>
        <row r="1000">
          <cell r="A1000">
            <v>44271</v>
          </cell>
          <cell r="B1000" t="str">
            <v>D2103104-3</v>
          </cell>
          <cell r="C1000" t="str">
            <v>023/21</v>
          </cell>
          <cell r="D1000">
            <v>3</v>
          </cell>
          <cell r="E1000">
            <v>44272</v>
          </cell>
          <cell r="F1000" t="str">
            <v>DC</v>
          </cell>
          <cell r="G1000" t="str">
            <v>On Time</v>
          </cell>
          <cell r="H1000">
            <v>2408082810</v>
          </cell>
          <cell r="I1000">
            <v>44270</v>
          </cell>
          <cell r="J1000" t="str">
            <v>TKM</v>
          </cell>
          <cell r="K1000" t="str">
            <v>D2103104</v>
          </cell>
          <cell r="L1000">
            <v>3</v>
          </cell>
          <cell r="M1000">
            <v>691766</v>
          </cell>
          <cell r="N1000">
            <v>861011</v>
          </cell>
          <cell r="O1000" t="str">
            <v xml:space="preserve">1.4462 UNS S31803/S32205 </v>
          </cell>
          <cell r="P1000" t="str">
            <v>2205</v>
          </cell>
          <cell r="Q1000">
            <v>3.8149999999999999</v>
          </cell>
          <cell r="R1000">
            <v>3.8075000000000001</v>
          </cell>
          <cell r="S1000">
            <v>7.9000000000000001E-2</v>
          </cell>
          <cell r="T1000">
            <v>7.8750000000000001E-2</v>
          </cell>
          <cell r="U1000">
            <v>8.2500000000000004E-2</v>
          </cell>
          <cell r="V1000">
            <v>8.0625000000000002E-2</v>
          </cell>
          <cell r="W1000" t="str">
            <v>BRS</v>
          </cell>
          <cell r="X1000">
            <v>2070</v>
          </cell>
          <cell r="Y1000">
            <v>2</v>
          </cell>
          <cell r="Z1000">
            <v>271.29750982961991</v>
          </cell>
          <cell r="AA1000" t="str">
            <v>3.815X0.079-2205</v>
          </cell>
          <cell r="AB1000" t="str">
            <v>WACN009690200B300043</v>
          </cell>
          <cell r="AC1000" t="str">
            <v>D2103104</v>
          </cell>
          <cell r="AD1000">
            <v>861011</v>
          </cell>
          <cell r="AE1000">
            <v>1.9E-2</v>
          </cell>
          <cell r="AF1000">
            <v>1.8</v>
          </cell>
          <cell r="AG1000">
            <v>2.7E-2</v>
          </cell>
          <cell r="AH1000">
            <v>0</v>
          </cell>
          <cell r="AI1000">
            <v>0.49</v>
          </cell>
          <cell r="AJ1000">
            <v>22.4</v>
          </cell>
          <cell r="AK1000">
            <v>5.3</v>
          </cell>
          <cell r="AL1000">
            <v>0.17</v>
          </cell>
          <cell r="AM1000">
            <v>3.1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  <cell r="AR1000">
            <v>0</v>
          </cell>
          <cell r="AS1000">
            <v>0</v>
          </cell>
          <cell r="AT1000">
            <v>623</v>
          </cell>
          <cell r="AU1000">
            <v>0</v>
          </cell>
          <cell r="AV1000">
            <v>849</v>
          </cell>
          <cell r="AW1000">
            <v>29</v>
          </cell>
          <cell r="AX1000">
            <v>21</v>
          </cell>
          <cell r="AY1000">
            <v>243</v>
          </cell>
          <cell r="AZ1000">
            <v>2.4685000000000001</v>
          </cell>
          <cell r="BA1000" t="str">
            <v>D2103104</v>
          </cell>
          <cell r="BB1000" t="str">
            <v>CONFORM</v>
          </cell>
          <cell r="BC1000" t="str">
            <v>CONFORM</v>
          </cell>
          <cell r="BD1000" t="str">
            <v>CONFORM</v>
          </cell>
          <cell r="BE1000" t="str">
            <v>CONFORM</v>
          </cell>
          <cell r="BF1000" t="str">
            <v>CONFORM</v>
          </cell>
        </row>
        <row r="1001">
          <cell r="A1001">
            <v>44271</v>
          </cell>
          <cell r="B1001" t="str">
            <v>D2103104-4</v>
          </cell>
          <cell r="C1001" t="str">
            <v>023/21</v>
          </cell>
          <cell r="D1001">
            <v>3</v>
          </cell>
          <cell r="E1001">
            <v>44272</v>
          </cell>
          <cell r="F1001" t="str">
            <v>DC</v>
          </cell>
          <cell r="G1001" t="str">
            <v>On Time</v>
          </cell>
          <cell r="H1001">
            <v>2408082810</v>
          </cell>
          <cell r="I1001">
            <v>44270</v>
          </cell>
          <cell r="J1001" t="str">
            <v>TKM</v>
          </cell>
          <cell r="K1001" t="str">
            <v>D2103104</v>
          </cell>
          <cell r="L1001">
            <v>4</v>
          </cell>
          <cell r="M1001">
            <v>691766</v>
          </cell>
          <cell r="N1001">
            <v>861011</v>
          </cell>
          <cell r="O1001" t="str">
            <v xml:space="preserve">1.4462 UNS S31803/S32205 </v>
          </cell>
          <cell r="P1001" t="str">
            <v>2205</v>
          </cell>
          <cell r="Q1001">
            <v>3.8149999999999999</v>
          </cell>
          <cell r="R1001">
            <v>3.8115000000000001</v>
          </cell>
          <cell r="S1001">
            <v>7.9000000000000001E-2</v>
          </cell>
          <cell r="T1001">
            <v>7.85E-2</v>
          </cell>
          <cell r="U1001">
            <v>7.8549999999999995E-2</v>
          </cell>
          <cell r="V1001">
            <v>7.8524999999999998E-2</v>
          </cell>
          <cell r="W1001" t="str">
            <v>BRS</v>
          </cell>
          <cell r="X1001">
            <v>2060</v>
          </cell>
          <cell r="Y1001">
            <v>2</v>
          </cell>
          <cell r="Z1001">
            <v>269.98689384010487</v>
          </cell>
          <cell r="AA1001" t="str">
            <v>3.815X0.079-2205</v>
          </cell>
          <cell r="AB1001" t="str">
            <v>WACN009690200B300043</v>
          </cell>
          <cell r="AC1001" t="str">
            <v>D2103104</v>
          </cell>
          <cell r="AD1001">
            <v>861011</v>
          </cell>
          <cell r="AE1001">
            <v>1.9E-2</v>
          </cell>
          <cell r="AF1001">
            <v>1.8</v>
          </cell>
          <cell r="AG1001">
            <v>2.7E-2</v>
          </cell>
          <cell r="AH1001">
            <v>0</v>
          </cell>
          <cell r="AI1001">
            <v>0.49</v>
          </cell>
          <cell r="AJ1001">
            <v>22.4</v>
          </cell>
          <cell r="AK1001">
            <v>5.3</v>
          </cell>
          <cell r="AL1001">
            <v>0.17</v>
          </cell>
          <cell r="AM1001">
            <v>3.1</v>
          </cell>
          <cell r="AN1001">
            <v>0</v>
          </cell>
          <cell r="AO1001">
            <v>0</v>
          </cell>
          <cell r="AP1001">
            <v>0</v>
          </cell>
          <cell r="AQ1001">
            <v>0</v>
          </cell>
          <cell r="AR1001">
            <v>0</v>
          </cell>
          <cell r="AS1001">
            <v>0</v>
          </cell>
          <cell r="AT1001">
            <v>623</v>
          </cell>
          <cell r="AU1001">
            <v>0</v>
          </cell>
          <cell r="AV1001">
            <v>849</v>
          </cell>
          <cell r="AW1001">
            <v>29</v>
          </cell>
          <cell r="AX1001">
            <v>21</v>
          </cell>
          <cell r="AY1001">
            <v>243</v>
          </cell>
          <cell r="AZ1001">
            <v>2.4685000000000001</v>
          </cell>
          <cell r="BA1001" t="str">
            <v>D2103104</v>
          </cell>
          <cell r="BB1001" t="str">
            <v>CONFORM</v>
          </cell>
          <cell r="BC1001" t="str">
            <v>CONFORM</v>
          </cell>
          <cell r="BD1001" t="str">
            <v>CONFORM</v>
          </cell>
          <cell r="BE1001" t="str">
            <v>CONFORM</v>
          </cell>
          <cell r="BF1001" t="str">
            <v>CONFORM</v>
          </cell>
        </row>
        <row r="1002">
          <cell r="A1002">
            <v>44271</v>
          </cell>
          <cell r="B1002" t="str">
            <v>D2103104-5</v>
          </cell>
          <cell r="C1002" t="str">
            <v>023/21</v>
          </cell>
          <cell r="D1002">
            <v>3</v>
          </cell>
          <cell r="E1002">
            <v>44272</v>
          </cell>
          <cell r="F1002" t="str">
            <v>DC</v>
          </cell>
          <cell r="G1002" t="str">
            <v>On Time</v>
          </cell>
          <cell r="H1002">
            <v>2408082810</v>
          </cell>
          <cell r="I1002">
            <v>44270</v>
          </cell>
          <cell r="J1002" t="str">
            <v>TKM</v>
          </cell>
          <cell r="K1002" t="str">
            <v>D2103104</v>
          </cell>
          <cell r="L1002">
            <v>5</v>
          </cell>
          <cell r="M1002">
            <v>691766</v>
          </cell>
          <cell r="N1002">
            <v>861011</v>
          </cell>
          <cell r="O1002" t="str">
            <v xml:space="preserve">1.4462 UNS S31803/S32205 </v>
          </cell>
          <cell r="P1002" t="str">
            <v>2205</v>
          </cell>
          <cell r="Q1002">
            <v>3.8149999999999999</v>
          </cell>
          <cell r="R1002">
            <v>3.81</v>
          </cell>
          <cell r="S1002">
            <v>7.9000000000000001E-2</v>
          </cell>
          <cell r="T1002">
            <v>7.9200000000000007E-2</v>
          </cell>
          <cell r="U1002">
            <v>7.9699999999999993E-2</v>
          </cell>
          <cell r="V1002">
            <v>7.9449999999999993E-2</v>
          </cell>
          <cell r="W1002" t="str">
            <v>BRS</v>
          </cell>
          <cell r="X1002">
            <v>2076</v>
          </cell>
          <cell r="Y1002">
            <v>2</v>
          </cell>
          <cell r="Z1002">
            <v>272.08387942332899</v>
          </cell>
          <cell r="AA1002" t="str">
            <v>3.815X0.079-2205</v>
          </cell>
          <cell r="AB1002" t="str">
            <v>WACN009690200B300043</v>
          </cell>
          <cell r="AC1002" t="str">
            <v>D2103104</v>
          </cell>
          <cell r="AD1002">
            <v>861011</v>
          </cell>
          <cell r="AE1002">
            <v>1.9E-2</v>
          </cell>
          <cell r="AF1002">
            <v>1.8</v>
          </cell>
          <cell r="AG1002">
            <v>2.7E-2</v>
          </cell>
          <cell r="AH1002">
            <v>0</v>
          </cell>
          <cell r="AI1002">
            <v>0.49</v>
          </cell>
          <cell r="AJ1002">
            <v>22.4</v>
          </cell>
          <cell r="AK1002">
            <v>5.3</v>
          </cell>
          <cell r="AL1002">
            <v>0.17</v>
          </cell>
          <cell r="AM1002">
            <v>3.1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  <cell r="AR1002">
            <v>0</v>
          </cell>
          <cell r="AS1002">
            <v>0</v>
          </cell>
          <cell r="AT1002">
            <v>623</v>
          </cell>
          <cell r="AU1002">
            <v>0</v>
          </cell>
          <cell r="AV1002">
            <v>849</v>
          </cell>
          <cell r="AW1002">
            <v>29</v>
          </cell>
          <cell r="AX1002">
            <v>21</v>
          </cell>
          <cell r="AY1002">
            <v>243</v>
          </cell>
          <cell r="AZ1002">
            <v>2.4685000000000001</v>
          </cell>
          <cell r="BA1002" t="str">
            <v>D2103104</v>
          </cell>
          <cell r="BB1002" t="str">
            <v>CONFORM</v>
          </cell>
          <cell r="BC1002" t="str">
            <v>CONFORM</v>
          </cell>
          <cell r="BD1002" t="str">
            <v>CONFORM</v>
          </cell>
          <cell r="BE1002" t="str">
            <v>CONFORM</v>
          </cell>
          <cell r="BF1002" t="str">
            <v>CONFORM</v>
          </cell>
        </row>
        <row r="1003">
          <cell r="A1003">
            <v>44271</v>
          </cell>
          <cell r="B1003" t="str">
            <v>D2103104-6</v>
          </cell>
          <cell r="C1003" t="str">
            <v>023/21</v>
          </cell>
          <cell r="D1003">
            <v>3</v>
          </cell>
          <cell r="E1003">
            <v>44272</v>
          </cell>
          <cell r="F1003" t="str">
            <v>DC</v>
          </cell>
          <cell r="G1003" t="str">
            <v>On Time</v>
          </cell>
          <cell r="H1003">
            <v>2408082810</v>
          </cell>
          <cell r="I1003">
            <v>44270</v>
          </cell>
          <cell r="J1003" t="str">
            <v>TKM</v>
          </cell>
          <cell r="K1003" t="str">
            <v>D2103104</v>
          </cell>
          <cell r="L1003">
            <v>6</v>
          </cell>
          <cell r="M1003">
            <v>691766</v>
          </cell>
          <cell r="N1003">
            <v>861011</v>
          </cell>
          <cell r="O1003" t="str">
            <v xml:space="preserve">1.4462 UNS S31803/S32205 </v>
          </cell>
          <cell r="P1003" t="str">
            <v>2205</v>
          </cell>
          <cell r="Q1003">
            <v>3.8149999999999999</v>
          </cell>
          <cell r="R1003">
            <v>3.8054999999999999</v>
          </cell>
          <cell r="S1003">
            <v>7.9000000000000001E-2</v>
          </cell>
          <cell r="T1003">
            <v>7.9149999999999998E-2</v>
          </cell>
          <cell r="U1003">
            <v>7.9250000000000001E-2</v>
          </cell>
          <cell r="V1003">
            <v>7.9199999999999993E-2</v>
          </cell>
          <cell r="W1003" t="str">
            <v>BRS</v>
          </cell>
          <cell r="X1003">
            <v>2080</v>
          </cell>
          <cell r="Y1003">
            <v>2</v>
          </cell>
          <cell r="Z1003">
            <v>272.60812581913501</v>
          </cell>
          <cell r="AA1003" t="str">
            <v>3.815X0.079-2205</v>
          </cell>
          <cell r="AB1003" t="str">
            <v>WACN009690200B300043</v>
          </cell>
          <cell r="AC1003" t="str">
            <v>D2103104</v>
          </cell>
          <cell r="AD1003">
            <v>861011</v>
          </cell>
          <cell r="AE1003">
            <v>1.9E-2</v>
          </cell>
          <cell r="AF1003">
            <v>1.8</v>
          </cell>
          <cell r="AG1003">
            <v>2.7E-2</v>
          </cell>
          <cell r="AH1003">
            <v>0</v>
          </cell>
          <cell r="AI1003">
            <v>0.49</v>
          </cell>
          <cell r="AJ1003">
            <v>22.4</v>
          </cell>
          <cell r="AK1003">
            <v>5.3</v>
          </cell>
          <cell r="AL1003">
            <v>0.17</v>
          </cell>
          <cell r="AM1003">
            <v>3.1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  <cell r="AR1003">
            <v>0</v>
          </cell>
          <cell r="AS1003">
            <v>0</v>
          </cell>
          <cell r="AT1003">
            <v>623</v>
          </cell>
          <cell r="AU1003">
            <v>0</v>
          </cell>
          <cell r="AV1003">
            <v>849</v>
          </cell>
          <cell r="AW1003">
            <v>29</v>
          </cell>
          <cell r="AX1003">
            <v>21</v>
          </cell>
          <cell r="AY1003">
            <v>243</v>
          </cell>
          <cell r="AZ1003">
            <v>2.4685000000000001</v>
          </cell>
          <cell r="BA1003" t="str">
            <v>D2103104</v>
          </cell>
          <cell r="BB1003" t="str">
            <v>CONFORM</v>
          </cell>
          <cell r="BC1003" t="str">
            <v>CONFORM</v>
          </cell>
          <cell r="BD1003" t="str">
            <v>CONFORM</v>
          </cell>
          <cell r="BE1003" t="str">
            <v>CONFORM</v>
          </cell>
          <cell r="BF1003" t="str">
            <v>CONFORM</v>
          </cell>
        </row>
        <row r="1004">
          <cell r="A1004">
            <v>44271</v>
          </cell>
          <cell r="B1004" t="str">
            <v>D2103105-1</v>
          </cell>
          <cell r="C1004" t="str">
            <v>023/21</v>
          </cell>
          <cell r="D1004">
            <v>3</v>
          </cell>
          <cell r="E1004">
            <v>44272</v>
          </cell>
          <cell r="F1004" t="str">
            <v>DC</v>
          </cell>
          <cell r="G1004" t="str">
            <v>On Time</v>
          </cell>
          <cell r="H1004">
            <v>2408082810</v>
          </cell>
          <cell r="I1004">
            <v>44270</v>
          </cell>
          <cell r="J1004" t="str">
            <v>TKM</v>
          </cell>
          <cell r="K1004" t="str">
            <v>D2103105</v>
          </cell>
          <cell r="L1004">
            <v>1</v>
          </cell>
          <cell r="M1004">
            <v>691276</v>
          </cell>
          <cell r="N1004">
            <v>861010</v>
          </cell>
          <cell r="O1004" t="str">
            <v xml:space="preserve">1.4462 UNS S31803/S32205 </v>
          </cell>
          <cell r="P1004" t="str">
            <v>2205</v>
          </cell>
          <cell r="Q1004">
            <v>3.8149999999999999</v>
          </cell>
          <cell r="R1004">
            <v>3.8115000000000001</v>
          </cell>
          <cell r="S1004">
            <v>7.9000000000000001E-2</v>
          </cell>
          <cell r="T1004">
            <v>7.9149999999999998E-2</v>
          </cell>
          <cell r="U1004">
            <v>8.2849999999999993E-2</v>
          </cell>
          <cell r="V1004">
            <v>8.0999999999999989E-2</v>
          </cell>
          <cell r="W1004" t="str">
            <v>BRS</v>
          </cell>
          <cell r="X1004">
            <v>2346</v>
          </cell>
          <cell r="Y1004">
            <v>2</v>
          </cell>
          <cell r="Z1004">
            <v>307.47051114023594</v>
          </cell>
          <cell r="AA1004" t="str">
            <v>3.815X0.079-2205</v>
          </cell>
          <cell r="AB1004" t="str">
            <v>WACN009690200B300043</v>
          </cell>
          <cell r="AC1004" t="str">
            <v>D2103105</v>
          </cell>
          <cell r="AD1004">
            <v>861010</v>
          </cell>
          <cell r="AE1004">
            <v>1.9E-2</v>
          </cell>
          <cell r="AF1004">
            <v>1.66</v>
          </cell>
          <cell r="AG1004">
            <v>2.7E-2</v>
          </cell>
          <cell r="AH1004">
            <v>0</v>
          </cell>
          <cell r="AI1004">
            <v>0.47</v>
          </cell>
          <cell r="AJ1004">
            <v>22.4</v>
          </cell>
          <cell r="AK1004">
            <v>5.3</v>
          </cell>
          <cell r="AL1004">
            <v>0.16</v>
          </cell>
          <cell r="AM1004">
            <v>3.09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  <cell r="AR1004">
            <v>0</v>
          </cell>
          <cell r="AS1004">
            <v>0</v>
          </cell>
          <cell r="AT1004">
            <v>640</v>
          </cell>
          <cell r="AU1004">
            <v>0</v>
          </cell>
          <cell r="AV1004">
            <v>856</v>
          </cell>
          <cell r="AW1004">
            <v>29</v>
          </cell>
          <cell r="AX1004">
            <v>24</v>
          </cell>
          <cell r="AY1004">
            <v>260</v>
          </cell>
          <cell r="AZ1004">
            <v>2.4685000000000001</v>
          </cell>
          <cell r="BA1004" t="str">
            <v>D2103105</v>
          </cell>
          <cell r="BB1004" t="str">
            <v>CONFORM</v>
          </cell>
          <cell r="BC1004" t="str">
            <v>CONFORM</v>
          </cell>
          <cell r="BD1004" t="str">
            <v>CONFORM</v>
          </cell>
          <cell r="BE1004" t="str">
            <v>CONFORM</v>
          </cell>
          <cell r="BF1004" t="str">
            <v>CONFORM</v>
          </cell>
        </row>
        <row r="1005">
          <cell r="A1005">
            <v>44271</v>
          </cell>
          <cell r="B1005" t="str">
            <v>D2103105-2</v>
          </cell>
          <cell r="C1005" t="str">
            <v>023/21</v>
          </cell>
          <cell r="D1005">
            <v>3</v>
          </cell>
          <cell r="E1005">
            <v>44272</v>
          </cell>
          <cell r="F1005" t="str">
            <v>DC</v>
          </cell>
          <cell r="G1005" t="str">
            <v>On Time</v>
          </cell>
          <cell r="H1005">
            <v>2408082810</v>
          </cell>
          <cell r="I1005">
            <v>44270</v>
          </cell>
          <cell r="J1005" t="str">
            <v>TKM</v>
          </cell>
          <cell r="K1005" t="str">
            <v>D2103105</v>
          </cell>
          <cell r="L1005">
            <v>2</v>
          </cell>
          <cell r="M1005">
            <v>691276</v>
          </cell>
          <cell r="N1005">
            <v>861010</v>
          </cell>
          <cell r="O1005" t="str">
            <v xml:space="preserve">1.4462 UNS S31803/S32205 </v>
          </cell>
          <cell r="P1005" t="str">
            <v>2205</v>
          </cell>
          <cell r="Q1005">
            <v>3.8149999999999999</v>
          </cell>
          <cell r="R1005">
            <v>3.8085</v>
          </cell>
          <cell r="S1005">
            <v>7.9000000000000001E-2</v>
          </cell>
          <cell r="T1005">
            <v>7.8200000000000006E-2</v>
          </cell>
          <cell r="U1005">
            <v>8.1049999999999997E-2</v>
          </cell>
          <cell r="V1005">
            <v>7.9625000000000001E-2</v>
          </cell>
          <cell r="W1005" t="str">
            <v>BRS</v>
          </cell>
          <cell r="X1005">
            <v>3508</v>
          </cell>
          <cell r="Y1005">
            <v>3</v>
          </cell>
          <cell r="Z1005">
            <v>306.50939274792484</v>
          </cell>
          <cell r="AA1005" t="str">
            <v>3.815X0.079-2205</v>
          </cell>
          <cell r="AB1005" t="str">
            <v>WACN009690200B300043</v>
          </cell>
          <cell r="AC1005" t="str">
            <v>D2103105</v>
          </cell>
          <cell r="AD1005">
            <v>861010</v>
          </cell>
          <cell r="AE1005">
            <v>1.9E-2</v>
          </cell>
          <cell r="AF1005">
            <v>1.66</v>
          </cell>
          <cell r="AG1005">
            <v>2.7E-2</v>
          </cell>
          <cell r="AH1005">
            <v>0</v>
          </cell>
          <cell r="AI1005">
            <v>0.47</v>
          </cell>
          <cell r="AJ1005">
            <v>22.4</v>
          </cell>
          <cell r="AK1005">
            <v>5.3</v>
          </cell>
          <cell r="AL1005">
            <v>0.16</v>
          </cell>
          <cell r="AM1005">
            <v>3.09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  <cell r="AR1005">
            <v>0</v>
          </cell>
          <cell r="AS1005">
            <v>0</v>
          </cell>
          <cell r="AT1005">
            <v>640</v>
          </cell>
          <cell r="AU1005">
            <v>0</v>
          </cell>
          <cell r="AV1005">
            <v>856</v>
          </cell>
          <cell r="AW1005">
            <v>29</v>
          </cell>
          <cell r="AX1005">
            <v>24</v>
          </cell>
          <cell r="AY1005">
            <v>260</v>
          </cell>
          <cell r="AZ1005">
            <v>2.4685000000000001</v>
          </cell>
          <cell r="BA1005" t="str">
            <v>D2103105</v>
          </cell>
          <cell r="BB1005" t="str">
            <v>CONFORM</v>
          </cell>
          <cell r="BC1005" t="str">
            <v>CONFORM</v>
          </cell>
          <cell r="BD1005" t="str">
            <v>CONFORM</v>
          </cell>
          <cell r="BE1005" t="str">
            <v>CONFORM</v>
          </cell>
          <cell r="BF1005" t="str">
            <v>CONFORM</v>
          </cell>
        </row>
        <row r="1006">
          <cell r="A1006">
            <v>44271</v>
          </cell>
          <cell r="B1006" t="str">
            <v>D2103105-3</v>
          </cell>
          <cell r="C1006" t="str">
            <v>023/21</v>
          </cell>
          <cell r="D1006">
            <v>3</v>
          </cell>
          <cell r="E1006">
            <v>44272</v>
          </cell>
          <cell r="F1006" t="str">
            <v>DC</v>
          </cell>
          <cell r="G1006" t="str">
            <v>On Time</v>
          </cell>
          <cell r="H1006">
            <v>2408082810</v>
          </cell>
          <cell r="I1006">
            <v>44270</v>
          </cell>
          <cell r="J1006" t="str">
            <v>TKM</v>
          </cell>
          <cell r="K1006" t="str">
            <v>D2103105</v>
          </cell>
          <cell r="L1006">
            <v>3</v>
          </cell>
          <cell r="M1006">
            <v>691276</v>
          </cell>
          <cell r="N1006">
            <v>861010</v>
          </cell>
          <cell r="O1006" t="str">
            <v xml:space="preserve">1.4462 UNS S31803/S32205 </v>
          </cell>
          <cell r="P1006" t="str">
            <v>2205</v>
          </cell>
          <cell r="Q1006">
            <v>3.8149999999999999</v>
          </cell>
          <cell r="R1006">
            <v>3.8105000000000002</v>
          </cell>
          <cell r="S1006">
            <v>7.9000000000000001E-2</v>
          </cell>
          <cell r="T1006">
            <v>7.8750000000000001E-2</v>
          </cell>
          <cell r="U1006">
            <v>8.0199999999999994E-2</v>
          </cell>
          <cell r="V1006">
            <v>7.947499999999999E-2</v>
          </cell>
          <cell r="W1006" t="str">
            <v>BRS</v>
          </cell>
          <cell r="X1006">
            <v>3500</v>
          </cell>
          <cell r="Y1006">
            <v>3</v>
          </cell>
          <cell r="Z1006">
            <v>305.81039755351685</v>
          </cell>
          <cell r="AA1006" t="str">
            <v>3.815X0.079-2205</v>
          </cell>
          <cell r="AB1006" t="str">
            <v>WACN009690200B300043</v>
          </cell>
          <cell r="AC1006" t="str">
            <v>D2103105</v>
          </cell>
          <cell r="AD1006">
            <v>861010</v>
          </cell>
          <cell r="AE1006">
            <v>1.9E-2</v>
          </cell>
          <cell r="AF1006">
            <v>1.66</v>
          </cell>
          <cell r="AG1006">
            <v>2.7E-2</v>
          </cell>
          <cell r="AH1006">
            <v>0</v>
          </cell>
          <cell r="AI1006">
            <v>0.47</v>
          </cell>
          <cell r="AJ1006">
            <v>22.4</v>
          </cell>
          <cell r="AK1006">
            <v>5.3</v>
          </cell>
          <cell r="AL1006">
            <v>0.16</v>
          </cell>
          <cell r="AM1006">
            <v>3.09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  <cell r="AR1006">
            <v>0</v>
          </cell>
          <cell r="AS1006">
            <v>0</v>
          </cell>
          <cell r="AT1006">
            <v>640</v>
          </cell>
          <cell r="AU1006">
            <v>0</v>
          </cell>
          <cell r="AV1006">
            <v>856</v>
          </cell>
          <cell r="AW1006">
            <v>29</v>
          </cell>
          <cell r="AX1006">
            <v>24</v>
          </cell>
          <cell r="AY1006">
            <v>260</v>
          </cell>
          <cell r="AZ1006">
            <v>2.4685000000000001</v>
          </cell>
          <cell r="BA1006" t="str">
            <v>D2103105</v>
          </cell>
          <cell r="BB1006" t="str">
            <v>CONFORM</v>
          </cell>
          <cell r="BC1006" t="str">
            <v>CONFORM</v>
          </cell>
          <cell r="BD1006" t="str">
            <v>CONFORM</v>
          </cell>
          <cell r="BE1006" t="str">
            <v>CONFORM</v>
          </cell>
          <cell r="BF1006" t="str">
            <v>CONFORM</v>
          </cell>
        </row>
        <row r="1007">
          <cell r="A1007">
            <v>44271</v>
          </cell>
          <cell r="B1007" t="str">
            <v>D2103105-4</v>
          </cell>
          <cell r="C1007" t="str">
            <v>023/21</v>
          </cell>
          <cell r="D1007">
            <v>3</v>
          </cell>
          <cell r="E1007">
            <v>44272</v>
          </cell>
          <cell r="F1007" t="str">
            <v>DC</v>
          </cell>
          <cell r="G1007" t="str">
            <v>On Time</v>
          </cell>
          <cell r="H1007">
            <v>2408082810</v>
          </cell>
          <cell r="I1007">
            <v>44270</v>
          </cell>
          <cell r="J1007" t="str">
            <v>TKM</v>
          </cell>
          <cell r="K1007" t="str">
            <v>D2103105</v>
          </cell>
          <cell r="L1007">
            <v>4</v>
          </cell>
          <cell r="M1007">
            <v>691276</v>
          </cell>
          <cell r="N1007">
            <v>861010</v>
          </cell>
          <cell r="O1007" t="str">
            <v xml:space="preserve">1.4462 UNS S31803/S32205 </v>
          </cell>
          <cell r="P1007" t="str">
            <v>2205</v>
          </cell>
          <cell r="Q1007">
            <v>3.8149999999999999</v>
          </cell>
          <cell r="R1007">
            <v>3.8115000000000001</v>
          </cell>
          <cell r="S1007">
            <v>7.9000000000000001E-2</v>
          </cell>
          <cell r="T1007">
            <v>7.9149999999999998E-2</v>
          </cell>
          <cell r="U1007">
            <v>8.0699999999999994E-2</v>
          </cell>
          <cell r="V1007">
            <v>7.9924999999999996E-2</v>
          </cell>
          <cell r="W1007" t="str">
            <v>BRS</v>
          </cell>
          <cell r="X1007">
            <v>3530</v>
          </cell>
          <cell r="Y1007">
            <v>3</v>
          </cell>
          <cell r="Z1007">
            <v>308.43162953254699</v>
          </cell>
          <cell r="AA1007" t="str">
            <v>3.815X0.079-2205</v>
          </cell>
          <cell r="AB1007" t="str">
            <v>WACN009690200B300043</v>
          </cell>
          <cell r="AC1007" t="str">
            <v>D2103105</v>
          </cell>
          <cell r="AD1007">
            <v>861010</v>
          </cell>
          <cell r="AE1007">
            <v>1.9E-2</v>
          </cell>
          <cell r="AF1007">
            <v>1.66</v>
          </cell>
          <cell r="AG1007">
            <v>2.7E-2</v>
          </cell>
          <cell r="AH1007">
            <v>0</v>
          </cell>
          <cell r="AI1007">
            <v>0.47</v>
          </cell>
          <cell r="AJ1007">
            <v>22.4</v>
          </cell>
          <cell r="AK1007">
            <v>5.3</v>
          </cell>
          <cell r="AL1007">
            <v>0.16</v>
          </cell>
          <cell r="AM1007">
            <v>3.09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  <cell r="AR1007">
            <v>0</v>
          </cell>
          <cell r="AS1007">
            <v>0</v>
          </cell>
          <cell r="AT1007">
            <v>640</v>
          </cell>
          <cell r="AU1007">
            <v>0</v>
          </cell>
          <cell r="AV1007">
            <v>856</v>
          </cell>
          <cell r="AW1007">
            <v>29</v>
          </cell>
          <cell r="AX1007">
            <v>24</v>
          </cell>
          <cell r="AY1007">
            <v>260</v>
          </cell>
          <cell r="AZ1007">
            <v>2.4685000000000001</v>
          </cell>
          <cell r="BA1007" t="str">
            <v>D2103105</v>
          </cell>
          <cell r="BB1007" t="str">
            <v>CONFORM</v>
          </cell>
          <cell r="BC1007" t="str">
            <v>CONFORM</v>
          </cell>
          <cell r="BD1007" t="str">
            <v>CONFORM</v>
          </cell>
          <cell r="BE1007" t="str">
            <v>CONFORM</v>
          </cell>
          <cell r="BF1007" t="str">
            <v>CONFORM</v>
          </cell>
        </row>
        <row r="1008">
          <cell r="A1008">
            <v>44271</v>
          </cell>
          <cell r="B1008" t="str">
            <v>D2103106-1</v>
          </cell>
          <cell r="C1008" t="str">
            <v>023/21</v>
          </cell>
          <cell r="D1008">
            <v>1</v>
          </cell>
          <cell r="E1008">
            <v>44272</v>
          </cell>
          <cell r="F1008" t="str">
            <v>DC</v>
          </cell>
          <cell r="G1008" t="str">
            <v>On Time</v>
          </cell>
          <cell r="H1008">
            <v>2408082810</v>
          </cell>
          <cell r="I1008">
            <v>44270</v>
          </cell>
          <cell r="J1008" t="str">
            <v>TKM</v>
          </cell>
          <cell r="K1008" t="str">
            <v>D2103106</v>
          </cell>
          <cell r="L1008">
            <v>1</v>
          </cell>
          <cell r="M1008">
            <v>691276</v>
          </cell>
          <cell r="N1008">
            <v>861010</v>
          </cell>
          <cell r="O1008" t="str">
            <v xml:space="preserve">1.4462 UNS S31803/S32205 </v>
          </cell>
          <cell r="P1008" t="str">
            <v>2205</v>
          </cell>
          <cell r="Q1008">
            <v>2.2240000000000002</v>
          </cell>
          <cell r="R1008">
            <v>2.2174999999999998</v>
          </cell>
          <cell r="S1008">
            <v>7.9000000000000001E-2</v>
          </cell>
          <cell r="T1008">
            <v>7.8850000000000003E-2</v>
          </cell>
          <cell r="U1008">
            <v>0.8</v>
          </cell>
          <cell r="V1008">
            <v>0.43942500000000001</v>
          </cell>
          <cell r="W1008" t="str">
            <v>BRS</v>
          </cell>
          <cell r="X1008">
            <v>682</v>
          </cell>
          <cell r="Y1008">
            <v>1</v>
          </cell>
          <cell r="Z1008">
            <v>306.65467625899277</v>
          </cell>
          <cell r="AA1008" t="str">
            <v>2.224X0.079-2205</v>
          </cell>
          <cell r="AB1008" t="str">
            <v>WACN005650200B300096</v>
          </cell>
          <cell r="AC1008" t="str">
            <v>D2103106</v>
          </cell>
          <cell r="AD1008">
            <v>861010</v>
          </cell>
          <cell r="AE1008">
            <v>1.9E-2</v>
          </cell>
          <cell r="AF1008">
            <v>1.66</v>
          </cell>
          <cell r="AG1008">
            <v>2.7E-2</v>
          </cell>
          <cell r="AH1008">
            <v>0</v>
          </cell>
          <cell r="AI1008">
            <v>0.47</v>
          </cell>
          <cell r="AJ1008">
            <v>22.4</v>
          </cell>
          <cell r="AK1008">
            <v>5.3</v>
          </cell>
          <cell r="AL1008">
            <v>0.16</v>
          </cell>
          <cell r="AM1008">
            <v>3.09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  <cell r="AR1008">
            <v>0</v>
          </cell>
          <cell r="AS1008">
            <v>0</v>
          </cell>
          <cell r="AT1008">
            <v>640</v>
          </cell>
          <cell r="AU1008">
            <v>0</v>
          </cell>
          <cell r="AV1008">
            <v>856</v>
          </cell>
          <cell r="AW1008">
            <v>29</v>
          </cell>
          <cell r="AX1008">
            <v>24</v>
          </cell>
          <cell r="AY1008">
            <v>260</v>
          </cell>
          <cell r="AZ1008">
            <v>2.4685000000000001</v>
          </cell>
          <cell r="BA1008" t="str">
            <v>D2103106</v>
          </cell>
          <cell r="BB1008" t="str">
            <v>CONFORM</v>
          </cell>
          <cell r="BC1008" t="str">
            <v>CONFORM</v>
          </cell>
          <cell r="BD1008" t="str">
            <v>CONFORM</v>
          </cell>
          <cell r="BE1008" t="str">
            <v>CONFORM</v>
          </cell>
          <cell r="BF1008" t="str">
            <v>CONFORM</v>
          </cell>
        </row>
        <row r="1009">
          <cell r="A1009">
            <v>44271</v>
          </cell>
          <cell r="B1009" t="str">
            <v>D2103107-1</v>
          </cell>
          <cell r="C1009" t="str">
            <v>023/21</v>
          </cell>
          <cell r="D1009">
            <v>1</v>
          </cell>
          <cell r="E1009">
            <v>44272</v>
          </cell>
          <cell r="F1009" t="str">
            <v>DC</v>
          </cell>
          <cell r="G1009" t="str">
            <v>On Time</v>
          </cell>
          <cell r="H1009">
            <v>2408082810</v>
          </cell>
          <cell r="I1009">
            <v>44270</v>
          </cell>
          <cell r="J1009" t="str">
            <v>TKM</v>
          </cell>
          <cell r="K1009" t="str">
            <v>D2103107</v>
          </cell>
          <cell r="L1009">
            <v>1</v>
          </cell>
          <cell r="M1009">
            <v>691766</v>
          </cell>
          <cell r="N1009">
            <v>861011</v>
          </cell>
          <cell r="O1009" t="str">
            <v xml:space="preserve">1.4462 UNS S31803/S32205 </v>
          </cell>
          <cell r="P1009" t="str">
            <v>2205</v>
          </cell>
          <cell r="Q1009">
            <v>2.2240000000000002</v>
          </cell>
          <cell r="R1009">
            <v>2.2170000000000001</v>
          </cell>
          <cell r="S1009">
            <v>7.9000000000000001E-2</v>
          </cell>
          <cell r="T1009">
            <v>7.8E-2</v>
          </cell>
          <cell r="U1009">
            <v>0.80300000000000005</v>
          </cell>
          <cell r="V1009">
            <v>0.4405</v>
          </cell>
          <cell r="W1009" t="str">
            <v>BRS</v>
          </cell>
          <cell r="X1009">
            <v>596</v>
          </cell>
          <cell r="Y1009">
            <v>1</v>
          </cell>
          <cell r="Z1009">
            <v>267.98561151079133</v>
          </cell>
          <cell r="AA1009" t="str">
            <v>2.224X0.079-2205</v>
          </cell>
          <cell r="AB1009" t="str">
            <v>WACN005650200B300096</v>
          </cell>
          <cell r="AC1009" t="str">
            <v>D2103107</v>
          </cell>
          <cell r="AD1009">
            <v>861011</v>
          </cell>
          <cell r="AE1009">
            <v>1.9E-2</v>
          </cell>
          <cell r="AF1009">
            <v>1.8</v>
          </cell>
          <cell r="AG1009">
            <v>2.7E-2</v>
          </cell>
          <cell r="AH1009">
            <v>0</v>
          </cell>
          <cell r="AI1009">
            <v>0.49</v>
          </cell>
          <cell r="AJ1009">
            <v>22.4</v>
          </cell>
          <cell r="AK1009">
            <v>5.3</v>
          </cell>
          <cell r="AL1009">
            <v>0.17</v>
          </cell>
          <cell r="AM1009">
            <v>3.1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  <cell r="AR1009">
            <v>0</v>
          </cell>
          <cell r="AS1009">
            <v>0</v>
          </cell>
          <cell r="AT1009">
            <v>623</v>
          </cell>
          <cell r="AU1009">
            <v>0</v>
          </cell>
          <cell r="AV1009">
            <v>849</v>
          </cell>
          <cell r="AW1009">
            <v>29</v>
          </cell>
          <cell r="AX1009">
            <v>21</v>
          </cell>
          <cell r="AY1009">
            <v>243</v>
          </cell>
          <cell r="AZ1009">
            <v>2.4685000000000001</v>
          </cell>
          <cell r="BA1009" t="str">
            <v>D2103107</v>
          </cell>
          <cell r="BB1009" t="str">
            <v>CONFORM</v>
          </cell>
          <cell r="BC1009" t="str">
            <v>CONFORM</v>
          </cell>
          <cell r="BD1009" t="str">
            <v>CONFORM</v>
          </cell>
          <cell r="BE1009" t="str">
            <v>CONFORM</v>
          </cell>
          <cell r="BF1009" t="str">
            <v>CONFORM</v>
          </cell>
        </row>
        <row r="1010">
          <cell r="A1010">
            <v>44271</v>
          </cell>
          <cell r="B1010" t="str">
            <v>D2103108-1</v>
          </cell>
          <cell r="C1010" t="str">
            <v>023/21</v>
          </cell>
          <cell r="D1010">
            <v>2</v>
          </cell>
          <cell r="E1010">
            <v>44272</v>
          </cell>
          <cell r="F1010" t="str">
            <v>DC</v>
          </cell>
          <cell r="G1010" t="str">
            <v>On Time</v>
          </cell>
          <cell r="H1010">
            <v>2408082810</v>
          </cell>
          <cell r="I1010">
            <v>44270</v>
          </cell>
          <cell r="J1010" t="str">
            <v>TKM</v>
          </cell>
          <cell r="K1010" t="str">
            <v>D2103108</v>
          </cell>
          <cell r="L1010">
            <v>1</v>
          </cell>
          <cell r="M1010">
            <v>691276</v>
          </cell>
          <cell r="N1010">
            <v>861010</v>
          </cell>
          <cell r="O1010" t="str">
            <v xml:space="preserve">1.4462 UNS S31803/S32205 </v>
          </cell>
          <cell r="P1010" t="str">
            <v>2205</v>
          </cell>
          <cell r="Q1010">
            <v>3.016</v>
          </cell>
          <cell r="R1010">
            <v>3.01</v>
          </cell>
          <cell r="S1010">
            <v>7.9000000000000001E-2</v>
          </cell>
          <cell r="T1010">
            <v>7.9799999999999996E-2</v>
          </cell>
          <cell r="U1010">
            <v>8.3000000000000004E-2</v>
          </cell>
          <cell r="V1010">
            <v>8.14E-2</v>
          </cell>
          <cell r="W1010" t="str">
            <v>BRS</v>
          </cell>
          <cell r="X1010">
            <v>928</v>
          </cell>
          <cell r="Y1010">
            <v>1</v>
          </cell>
          <cell r="Z1010">
            <v>307.69230769230768</v>
          </cell>
          <cell r="AA1010" t="str">
            <v>3.016X0.079-2205</v>
          </cell>
          <cell r="AB1010" t="str">
            <v>WACN007660200B300125</v>
          </cell>
          <cell r="AC1010" t="str">
            <v>D2103108</v>
          </cell>
          <cell r="AD1010">
            <v>861010</v>
          </cell>
          <cell r="AE1010">
            <v>1.9E-2</v>
          </cell>
          <cell r="AF1010">
            <v>1.66</v>
          </cell>
          <cell r="AG1010">
            <v>2.7E-2</v>
          </cell>
          <cell r="AH1010">
            <v>0</v>
          </cell>
          <cell r="AI1010">
            <v>0.47</v>
          </cell>
          <cell r="AJ1010">
            <v>22.4</v>
          </cell>
          <cell r="AK1010">
            <v>5.3</v>
          </cell>
          <cell r="AL1010">
            <v>0.16</v>
          </cell>
          <cell r="AM1010">
            <v>3.09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  <cell r="AR1010">
            <v>0</v>
          </cell>
          <cell r="AS1010">
            <v>0</v>
          </cell>
          <cell r="AT1010">
            <v>640</v>
          </cell>
          <cell r="AU1010">
            <v>0</v>
          </cell>
          <cell r="AV1010">
            <v>856</v>
          </cell>
          <cell r="AW1010">
            <v>29</v>
          </cell>
          <cell r="AX1010">
            <v>24</v>
          </cell>
          <cell r="AY1010">
            <v>260</v>
          </cell>
          <cell r="AZ1010">
            <v>2.4685000000000001</v>
          </cell>
          <cell r="BA1010" t="str">
            <v>D2103108</v>
          </cell>
          <cell r="BB1010" t="str">
            <v>CONFORM</v>
          </cell>
          <cell r="BC1010" t="str">
            <v>CONFORM</v>
          </cell>
          <cell r="BD1010" t="str">
            <v>CONFORM</v>
          </cell>
          <cell r="BE1010" t="str">
            <v>CONFORM</v>
          </cell>
          <cell r="BF1010" t="str">
            <v>CONFORM</v>
          </cell>
        </row>
        <row r="1011">
          <cell r="A1011">
            <v>44271</v>
          </cell>
          <cell r="B1011" t="str">
            <v>D2103109-1</v>
          </cell>
          <cell r="C1011" t="str">
            <v>023/21</v>
          </cell>
          <cell r="D1011">
            <v>2</v>
          </cell>
          <cell r="E1011">
            <v>44272</v>
          </cell>
          <cell r="F1011" t="str">
            <v>DC</v>
          </cell>
          <cell r="G1011" t="str">
            <v>On Time</v>
          </cell>
          <cell r="H1011">
            <v>2408082810</v>
          </cell>
          <cell r="I1011">
            <v>44270</v>
          </cell>
          <cell r="J1011" t="str">
            <v>TKM</v>
          </cell>
          <cell r="K1011" t="str">
            <v>D2103109</v>
          </cell>
          <cell r="L1011">
            <v>1</v>
          </cell>
          <cell r="M1011">
            <v>691766</v>
          </cell>
          <cell r="N1011">
            <v>861011</v>
          </cell>
          <cell r="O1011" t="str">
            <v xml:space="preserve">1.4462 UNS S31803/S32205 </v>
          </cell>
          <cell r="P1011" t="str">
            <v>2205</v>
          </cell>
          <cell r="Q1011">
            <v>3.016</v>
          </cell>
          <cell r="R1011">
            <v>3.016</v>
          </cell>
          <cell r="S1011">
            <v>7.9000000000000001E-2</v>
          </cell>
          <cell r="T1011">
            <v>7.8E-2</v>
          </cell>
          <cell r="U1011">
            <v>7.9250000000000001E-2</v>
          </cell>
          <cell r="V1011">
            <v>7.8625E-2</v>
          </cell>
          <cell r="W1011" t="str">
            <v>BRS</v>
          </cell>
          <cell r="X1011">
            <v>812</v>
          </cell>
          <cell r="Y1011">
            <v>1</v>
          </cell>
          <cell r="Z1011">
            <v>269.23076923076923</v>
          </cell>
          <cell r="AA1011" t="str">
            <v>3.016X0.079-2205</v>
          </cell>
          <cell r="AB1011" t="str">
            <v>WACN007660200B300125</v>
          </cell>
          <cell r="AC1011" t="str">
            <v>D2103109</v>
          </cell>
          <cell r="AD1011">
            <v>861011</v>
          </cell>
          <cell r="AE1011">
            <v>1.9E-2</v>
          </cell>
          <cell r="AF1011">
            <v>1.8</v>
          </cell>
          <cell r="AG1011">
            <v>2.7E-2</v>
          </cell>
          <cell r="AH1011">
            <v>0</v>
          </cell>
          <cell r="AI1011">
            <v>0.49</v>
          </cell>
          <cell r="AJ1011">
            <v>22.4</v>
          </cell>
          <cell r="AK1011">
            <v>5.3</v>
          </cell>
          <cell r="AL1011">
            <v>0.17</v>
          </cell>
          <cell r="AM1011">
            <v>3.1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  <cell r="AR1011">
            <v>0</v>
          </cell>
          <cell r="AS1011">
            <v>0</v>
          </cell>
          <cell r="AT1011">
            <v>623</v>
          </cell>
          <cell r="AU1011">
            <v>0</v>
          </cell>
          <cell r="AV1011">
            <v>849</v>
          </cell>
          <cell r="AW1011">
            <v>29</v>
          </cell>
          <cell r="AX1011">
            <v>21</v>
          </cell>
          <cell r="AY1011">
            <v>243</v>
          </cell>
          <cell r="AZ1011">
            <v>2.4685000000000001</v>
          </cell>
          <cell r="BA1011" t="str">
            <v>D2103109</v>
          </cell>
          <cell r="BB1011" t="str">
            <v>CONFORM</v>
          </cell>
          <cell r="BC1011" t="str">
            <v>CONFORM</v>
          </cell>
          <cell r="BD1011" t="str">
            <v>CONFORM</v>
          </cell>
          <cell r="BE1011" t="str">
            <v>CONFORM</v>
          </cell>
          <cell r="BF1011" t="str">
            <v>CONFORM</v>
          </cell>
        </row>
        <row r="1012">
          <cell r="A1012">
            <v>44273</v>
          </cell>
          <cell r="B1012" t="str">
            <v>D2103132-1</v>
          </cell>
          <cell r="C1012" t="str">
            <v>016/21</v>
          </cell>
          <cell r="D1012">
            <v>1</v>
          </cell>
          <cell r="E1012">
            <v>44273</v>
          </cell>
          <cell r="F1012" t="str">
            <v>DC</v>
          </cell>
          <cell r="G1012" t="str">
            <v>On Time</v>
          </cell>
          <cell r="H1012">
            <v>134</v>
          </cell>
          <cell r="I1012">
            <v>44242</v>
          </cell>
          <cell r="J1012" t="str">
            <v>ADTI</v>
          </cell>
          <cell r="K1012" t="str">
            <v>D2103132</v>
          </cell>
          <cell r="L1012">
            <v>1</v>
          </cell>
          <cell r="M1012">
            <v>659417</v>
          </cell>
          <cell r="N1012" t="str">
            <v>0538755</v>
          </cell>
          <cell r="O1012" t="str">
            <v xml:space="preserve">1.4306 TP304L </v>
          </cell>
          <cell r="P1012" t="str">
            <v>304L</v>
          </cell>
          <cell r="Q1012">
            <v>1.96</v>
          </cell>
          <cell r="R1012">
            <v>1.9604999999999999</v>
          </cell>
          <cell r="S1012">
            <v>3.5000000000000003E-2</v>
          </cell>
          <cell r="T1012">
            <v>3.4349999999999999E-2</v>
          </cell>
          <cell r="U1012">
            <v>3.5200000000000002E-2</v>
          </cell>
          <cell r="V1012">
            <v>3.4775E-2</v>
          </cell>
          <cell r="W1012" t="str">
            <v>BRS</v>
          </cell>
          <cell r="X1012">
            <v>4180</v>
          </cell>
          <cell r="Y1012">
            <v>4</v>
          </cell>
          <cell r="Z1012">
            <v>533.16326530612241</v>
          </cell>
          <cell r="AA1012" t="str">
            <v>1.96X0.035-304L</v>
          </cell>
          <cell r="AB1012" t="str">
            <v>WAAC004980089B300006</v>
          </cell>
          <cell r="AC1012" t="str">
            <v>D2103132</v>
          </cell>
          <cell r="AD1012" t="str">
            <v>0538755</v>
          </cell>
          <cell r="AE1012">
            <v>2.4E-2</v>
          </cell>
          <cell r="AF1012">
            <v>1.77</v>
          </cell>
          <cell r="AG1012">
            <v>2.8000000000000001E-2</v>
          </cell>
          <cell r="AH1012">
            <v>1E-3</v>
          </cell>
          <cell r="AI1012">
            <v>0.34</v>
          </cell>
          <cell r="AJ1012">
            <v>18</v>
          </cell>
          <cell r="AK1012">
            <v>8</v>
          </cell>
          <cell r="AL1012">
            <v>7.4999999999999997E-2</v>
          </cell>
          <cell r="AM1012">
            <v>0.27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  <cell r="AR1012">
            <v>0.33</v>
          </cell>
          <cell r="AS1012">
            <v>0</v>
          </cell>
          <cell r="AT1012">
            <v>265</v>
          </cell>
          <cell r="AU1012">
            <v>299</v>
          </cell>
          <cell r="AV1012">
            <v>615</v>
          </cell>
          <cell r="AW1012">
            <v>58</v>
          </cell>
          <cell r="AX1012">
            <v>83</v>
          </cell>
          <cell r="AY1012">
            <v>159</v>
          </cell>
          <cell r="AZ1012">
            <v>1.4356</v>
          </cell>
          <cell r="BA1012" t="str">
            <v>D2103132</v>
          </cell>
          <cell r="BB1012" t="str">
            <v>CONFORM</v>
          </cell>
          <cell r="BC1012" t="str">
            <v>CONFORM</v>
          </cell>
          <cell r="BD1012" t="str">
            <v>CONFORM</v>
          </cell>
          <cell r="BE1012" t="str">
            <v>CONFORM</v>
          </cell>
          <cell r="BF1012" t="str">
            <v>CONFORM</v>
          </cell>
        </row>
        <row r="1013">
          <cell r="A1013">
            <v>44273</v>
          </cell>
          <cell r="B1013" t="str">
            <v>D2103132-2</v>
          </cell>
          <cell r="C1013" t="str">
            <v>016/21</v>
          </cell>
          <cell r="D1013">
            <v>1</v>
          </cell>
          <cell r="E1013">
            <v>44273</v>
          </cell>
          <cell r="F1013" t="str">
            <v>DC</v>
          </cell>
          <cell r="G1013" t="str">
            <v>On Time</v>
          </cell>
          <cell r="H1013">
            <v>134</v>
          </cell>
          <cell r="I1013">
            <v>44242</v>
          </cell>
          <cell r="J1013" t="str">
            <v>ADTI</v>
          </cell>
          <cell r="K1013" t="str">
            <v>D2103132</v>
          </cell>
          <cell r="L1013">
            <v>2</v>
          </cell>
          <cell r="M1013">
            <v>659417</v>
          </cell>
          <cell r="N1013" t="str">
            <v>0538755</v>
          </cell>
          <cell r="O1013" t="str">
            <v xml:space="preserve">1.4306 TP304L </v>
          </cell>
          <cell r="P1013" t="str">
            <v>304L</v>
          </cell>
          <cell r="Q1013">
            <v>1.96</v>
          </cell>
          <cell r="R1013">
            <v>1.9604999999999999</v>
          </cell>
          <cell r="S1013">
            <v>3.5000000000000003E-2</v>
          </cell>
          <cell r="T1013">
            <v>3.5200000000000002E-2</v>
          </cell>
          <cell r="U1013">
            <v>3.56E-2</v>
          </cell>
          <cell r="V1013">
            <v>3.5400000000000001E-2</v>
          </cell>
          <cell r="W1013" t="str">
            <v>BRS</v>
          </cell>
          <cell r="X1013">
            <v>763</v>
          </cell>
          <cell r="Y1013">
            <v>1</v>
          </cell>
          <cell r="Z1013">
            <v>389.28571428571428</v>
          </cell>
          <cell r="AA1013" t="str">
            <v>1.96X0.035-304L</v>
          </cell>
          <cell r="AB1013" t="str">
            <v>WAAC004980089B300006</v>
          </cell>
          <cell r="AC1013" t="str">
            <v>D2103132</v>
          </cell>
          <cell r="AD1013" t="str">
            <v>0538755</v>
          </cell>
          <cell r="AE1013">
            <v>2.4E-2</v>
          </cell>
          <cell r="AF1013">
            <v>1.77</v>
          </cell>
          <cell r="AG1013">
            <v>2.8000000000000001E-2</v>
          </cell>
          <cell r="AH1013">
            <v>1E-3</v>
          </cell>
          <cell r="AI1013">
            <v>0.34</v>
          </cell>
          <cell r="AJ1013">
            <v>18</v>
          </cell>
          <cell r="AK1013">
            <v>8</v>
          </cell>
          <cell r="AL1013">
            <v>7.4999999999999997E-2</v>
          </cell>
          <cell r="AM1013">
            <v>0.27</v>
          </cell>
          <cell r="AN1013">
            <v>0</v>
          </cell>
          <cell r="AO1013">
            <v>0</v>
          </cell>
          <cell r="AP1013">
            <v>0</v>
          </cell>
          <cell r="AQ1013">
            <v>0</v>
          </cell>
          <cell r="AR1013">
            <v>0.33</v>
          </cell>
          <cell r="AS1013">
            <v>0</v>
          </cell>
          <cell r="AT1013">
            <v>265</v>
          </cell>
          <cell r="AU1013">
            <v>299</v>
          </cell>
          <cell r="AV1013">
            <v>615</v>
          </cell>
          <cell r="AW1013">
            <v>58</v>
          </cell>
          <cell r="AX1013">
            <v>83</v>
          </cell>
          <cell r="AY1013">
            <v>159</v>
          </cell>
          <cell r="AZ1013">
            <v>1.4356</v>
          </cell>
          <cell r="BA1013" t="str">
            <v>D2103132</v>
          </cell>
          <cell r="BB1013" t="str">
            <v>CONFORM</v>
          </cell>
          <cell r="BC1013" t="str">
            <v>CONFORM</v>
          </cell>
          <cell r="BD1013" t="str">
            <v>CONFORM</v>
          </cell>
          <cell r="BE1013" t="str">
            <v>CONFORM</v>
          </cell>
          <cell r="BF1013" t="str">
            <v>CONFORM</v>
          </cell>
        </row>
        <row r="1014">
          <cell r="A1014">
            <v>44273</v>
          </cell>
          <cell r="B1014" t="str">
            <v>D2103132-3</v>
          </cell>
          <cell r="C1014" t="str">
            <v>016/21</v>
          </cell>
          <cell r="D1014">
            <v>1</v>
          </cell>
          <cell r="E1014">
            <v>44273</v>
          </cell>
          <cell r="F1014" t="str">
            <v>DC</v>
          </cell>
          <cell r="G1014" t="str">
            <v>On Time</v>
          </cell>
          <cell r="H1014">
            <v>134</v>
          </cell>
          <cell r="I1014">
            <v>44242</v>
          </cell>
          <cell r="J1014" t="str">
            <v>ADTI</v>
          </cell>
          <cell r="K1014" t="str">
            <v>D2103132</v>
          </cell>
          <cell r="L1014">
            <v>3</v>
          </cell>
          <cell r="M1014">
            <v>659417</v>
          </cell>
          <cell r="N1014" t="str">
            <v>0538755</v>
          </cell>
          <cell r="O1014" t="str">
            <v xml:space="preserve">1.4306 TP304L </v>
          </cell>
          <cell r="P1014" t="str">
            <v>304L</v>
          </cell>
          <cell r="Q1014">
            <v>1.96</v>
          </cell>
          <cell r="R1014">
            <v>1.9610000000000001</v>
          </cell>
          <cell r="S1014">
            <v>3.5000000000000003E-2</v>
          </cell>
          <cell r="T1014">
            <v>3.5099999999999999E-2</v>
          </cell>
          <cell r="U1014">
            <v>3.5349999999999999E-2</v>
          </cell>
          <cell r="V1014">
            <v>3.5224999999999999E-2</v>
          </cell>
          <cell r="W1014" t="str">
            <v>BRS</v>
          </cell>
          <cell r="X1014">
            <v>4180</v>
          </cell>
          <cell r="Y1014">
            <v>4</v>
          </cell>
          <cell r="Z1014">
            <v>533.16326530612241</v>
          </cell>
          <cell r="AA1014" t="str">
            <v>1.96X0.035-304L</v>
          </cell>
          <cell r="AB1014" t="str">
            <v>WAAC004980089B300006</v>
          </cell>
          <cell r="AC1014" t="str">
            <v>D2103132</v>
          </cell>
          <cell r="AD1014" t="str">
            <v>0538755</v>
          </cell>
          <cell r="AE1014">
            <v>2.4E-2</v>
          </cell>
          <cell r="AF1014">
            <v>1.77</v>
          </cell>
          <cell r="AG1014">
            <v>2.8000000000000001E-2</v>
          </cell>
          <cell r="AH1014">
            <v>1E-3</v>
          </cell>
          <cell r="AI1014">
            <v>0.34</v>
          </cell>
          <cell r="AJ1014">
            <v>18</v>
          </cell>
          <cell r="AK1014">
            <v>8</v>
          </cell>
          <cell r="AL1014">
            <v>7.4999999999999997E-2</v>
          </cell>
          <cell r="AM1014">
            <v>0.27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  <cell r="AR1014">
            <v>0.33</v>
          </cell>
          <cell r="AS1014">
            <v>0</v>
          </cell>
          <cell r="AT1014">
            <v>265</v>
          </cell>
          <cell r="AU1014">
            <v>299</v>
          </cell>
          <cell r="AV1014">
            <v>615</v>
          </cell>
          <cell r="AW1014">
            <v>58</v>
          </cell>
          <cell r="AX1014">
            <v>83</v>
          </cell>
          <cell r="AY1014">
            <v>159</v>
          </cell>
          <cell r="AZ1014">
            <v>1.4356</v>
          </cell>
          <cell r="BA1014" t="str">
            <v>D2103132</v>
          </cell>
          <cell r="BB1014" t="str">
            <v>CONFORM</v>
          </cell>
          <cell r="BC1014" t="str">
            <v>CONFORM</v>
          </cell>
          <cell r="BD1014" t="str">
            <v>CONFORM</v>
          </cell>
          <cell r="BE1014" t="str">
            <v>CONFORM</v>
          </cell>
          <cell r="BF1014" t="str">
            <v>CONFORM</v>
          </cell>
        </row>
        <row r="1015">
          <cell r="A1015">
            <v>44273</v>
          </cell>
          <cell r="B1015" t="str">
            <v>D2103132-4</v>
          </cell>
          <cell r="C1015" t="str">
            <v>016/21</v>
          </cell>
          <cell r="D1015">
            <v>1</v>
          </cell>
          <cell r="E1015">
            <v>44273</v>
          </cell>
          <cell r="F1015" t="str">
            <v>DC</v>
          </cell>
          <cell r="G1015" t="str">
            <v>On Time</v>
          </cell>
          <cell r="H1015">
            <v>134</v>
          </cell>
          <cell r="I1015">
            <v>44242</v>
          </cell>
          <cell r="J1015" t="str">
            <v>ADTI</v>
          </cell>
          <cell r="K1015" t="str">
            <v>D2103132</v>
          </cell>
          <cell r="L1015">
            <v>4</v>
          </cell>
          <cell r="M1015">
            <v>659417</v>
          </cell>
          <cell r="N1015" t="str">
            <v>0538755</v>
          </cell>
          <cell r="O1015" t="str">
            <v xml:space="preserve">1.4306 TP304L </v>
          </cell>
          <cell r="P1015" t="str">
            <v>304L</v>
          </cell>
          <cell r="Q1015">
            <v>1.96</v>
          </cell>
          <cell r="R1015">
            <v>1.96</v>
          </cell>
          <cell r="S1015">
            <v>3.5000000000000003E-2</v>
          </cell>
          <cell r="T1015">
            <v>3.49E-2</v>
          </cell>
          <cell r="U1015">
            <v>3.5749999999999997E-2</v>
          </cell>
          <cell r="V1015">
            <v>3.5324999999999995E-2</v>
          </cell>
          <cell r="W1015" t="str">
            <v>BRS</v>
          </cell>
          <cell r="X1015">
            <v>4166</v>
          </cell>
          <cell r="Y1015">
            <v>4</v>
          </cell>
          <cell r="Z1015">
            <v>531.37755102040819</v>
          </cell>
          <cell r="AA1015" t="str">
            <v>1.96X0.035-304L</v>
          </cell>
          <cell r="AB1015" t="str">
            <v>WAAC004980089B300006</v>
          </cell>
          <cell r="AC1015" t="str">
            <v>D2103132</v>
          </cell>
          <cell r="AD1015" t="str">
            <v>0538755</v>
          </cell>
          <cell r="AE1015">
            <v>2.4E-2</v>
          </cell>
          <cell r="AF1015">
            <v>1.77</v>
          </cell>
          <cell r="AG1015">
            <v>2.8000000000000001E-2</v>
          </cell>
          <cell r="AH1015">
            <v>1E-3</v>
          </cell>
          <cell r="AI1015">
            <v>0.34</v>
          </cell>
          <cell r="AJ1015">
            <v>18</v>
          </cell>
          <cell r="AK1015">
            <v>8</v>
          </cell>
          <cell r="AL1015">
            <v>7.4999999999999997E-2</v>
          </cell>
          <cell r="AM1015">
            <v>0.27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  <cell r="AR1015">
            <v>0.33</v>
          </cell>
          <cell r="AS1015">
            <v>0</v>
          </cell>
          <cell r="AT1015">
            <v>265</v>
          </cell>
          <cell r="AU1015">
            <v>299</v>
          </cell>
          <cell r="AV1015">
            <v>615</v>
          </cell>
          <cell r="AW1015">
            <v>58</v>
          </cell>
          <cell r="AX1015">
            <v>83</v>
          </cell>
          <cell r="AY1015">
            <v>159</v>
          </cell>
          <cell r="AZ1015">
            <v>1.4356</v>
          </cell>
          <cell r="BA1015" t="str">
            <v>D2103132</v>
          </cell>
          <cell r="BB1015" t="str">
            <v>CONFORM</v>
          </cell>
          <cell r="BC1015" t="str">
            <v>CONFORM</v>
          </cell>
          <cell r="BD1015" t="str">
            <v>CONFORM</v>
          </cell>
          <cell r="BE1015" t="str">
            <v>CONFORM</v>
          </cell>
          <cell r="BF1015" t="str">
            <v>CONFORM</v>
          </cell>
        </row>
        <row r="1016">
          <cell r="A1016">
            <v>44273</v>
          </cell>
          <cell r="B1016" t="str">
            <v>D2103132-5</v>
          </cell>
          <cell r="C1016" t="str">
            <v>016/21</v>
          </cell>
          <cell r="D1016">
            <v>1</v>
          </cell>
          <cell r="E1016">
            <v>44273</v>
          </cell>
          <cell r="F1016" t="str">
            <v>DC</v>
          </cell>
          <cell r="G1016" t="str">
            <v>On Time</v>
          </cell>
          <cell r="H1016">
            <v>134</v>
          </cell>
          <cell r="I1016">
            <v>44242</v>
          </cell>
          <cell r="J1016" t="str">
            <v>ADTI</v>
          </cell>
          <cell r="K1016" t="str">
            <v>D2103132</v>
          </cell>
          <cell r="L1016">
            <v>5</v>
          </cell>
          <cell r="M1016">
            <v>659417</v>
          </cell>
          <cell r="N1016" t="str">
            <v>0538755</v>
          </cell>
          <cell r="O1016" t="str">
            <v xml:space="preserve">1.4306 TP304L </v>
          </cell>
          <cell r="P1016" t="str">
            <v>304L</v>
          </cell>
          <cell r="Q1016">
            <v>1.96</v>
          </cell>
          <cell r="R1016">
            <v>1.96</v>
          </cell>
          <cell r="S1016">
            <v>3.5000000000000003E-2</v>
          </cell>
          <cell r="T1016">
            <v>3.4500000000000003E-2</v>
          </cell>
          <cell r="U1016">
            <v>3.6450000000000003E-2</v>
          </cell>
          <cell r="V1016">
            <v>3.5475000000000007E-2</v>
          </cell>
          <cell r="W1016" t="str">
            <v>BRS</v>
          </cell>
          <cell r="X1016">
            <v>5172</v>
          </cell>
          <cell r="Y1016">
            <v>5</v>
          </cell>
          <cell r="Z1016">
            <v>527.75510204081638</v>
          </cell>
          <cell r="AA1016" t="str">
            <v>1.96X0.035-304L</v>
          </cell>
          <cell r="AB1016" t="str">
            <v>WAAC004980089B300006</v>
          </cell>
          <cell r="AC1016" t="str">
            <v>D2103132</v>
          </cell>
          <cell r="AD1016" t="str">
            <v>0538755</v>
          </cell>
          <cell r="AE1016">
            <v>2.4E-2</v>
          </cell>
          <cell r="AF1016">
            <v>1.77</v>
          </cell>
          <cell r="AG1016">
            <v>2.8000000000000001E-2</v>
          </cell>
          <cell r="AH1016">
            <v>1E-3</v>
          </cell>
          <cell r="AI1016">
            <v>0.34</v>
          </cell>
          <cell r="AJ1016">
            <v>18</v>
          </cell>
          <cell r="AK1016">
            <v>8</v>
          </cell>
          <cell r="AL1016">
            <v>7.4999999999999997E-2</v>
          </cell>
          <cell r="AM1016">
            <v>0.27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  <cell r="AR1016">
            <v>0.33</v>
          </cell>
          <cell r="AS1016">
            <v>0</v>
          </cell>
          <cell r="AT1016">
            <v>265</v>
          </cell>
          <cell r="AU1016">
            <v>299</v>
          </cell>
          <cell r="AV1016">
            <v>615</v>
          </cell>
          <cell r="AW1016">
            <v>58</v>
          </cell>
          <cell r="AX1016">
            <v>83</v>
          </cell>
          <cell r="AY1016">
            <v>159</v>
          </cell>
          <cell r="AZ1016">
            <v>1.4356</v>
          </cell>
          <cell r="BA1016" t="str">
            <v>D2103132</v>
          </cell>
          <cell r="BB1016" t="str">
            <v>CONFORM</v>
          </cell>
          <cell r="BC1016" t="str">
            <v>CONFORM</v>
          </cell>
          <cell r="BD1016" t="str">
            <v>CONFORM</v>
          </cell>
          <cell r="BE1016" t="str">
            <v>CONFORM</v>
          </cell>
          <cell r="BF1016" t="str">
            <v>CONFORM</v>
          </cell>
        </row>
        <row r="1017">
          <cell r="A1017">
            <v>44273</v>
          </cell>
          <cell r="B1017" t="str">
            <v>D2103132-6</v>
          </cell>
          <cell r="C1017" t="str">
            <v>016/21</v>
          </cell>
          <cell r="D1017">
            <v>1</v>
          </cell>
          <cell r="E1017">
            <v>44273</v>
          </cell>
          <cell r="F1017" t="str">
            <v>DC</v>
          </cell>
          <cell r="G1017" t="str">
            <v>On Time</v>
          </cell>
          <cell r="H1017">
            <v>134</v>
          </cell>
          <cell r="I1017">
            <v>44242</v>
          </cell>
          <cell r="J1017" t="str">
            <v>ADTI</v>
          </cell>
          <cell r="K1017" t="str">
            <v>D2103132</v>
          </cell>
          <cell r="L1017">
            <v>6</v>
          </cell>
          <cell r="M1017">
            <v>659417</v>
          </cell>
          <cell r="N1017" t="str">
            <v>0538755</v>
          </cell>
          <cell r="O1017" t="str">
            <v xml:space="preserve">1.4306 TP304L </v>
          </cell>
          <cell r="P1017" t="str">
            <v>304L</v>
          </cell>
          <cell r="Q1017">
            <v>1.96</v>
          </cell>
          <cell r="R1017">
            <v>1.96</v>
          </cell>
          <cell r="S1017">
            <v>3.5000000000000003E-2</v>
          </cell>
          <cell r="T1017">
            <v>3.4849999999999999E-2</v>
          </cell>
          <cell r="U1017">
            <v>3.4549999999999997E-2</v>
          </cell>
          <cell r="V1017">
            <v>3.4699999999999995E-2</v>
          </cell>
          <cell r="W1017" t="str">
            <v>BRS</v>
          </cell>
          <cell r="X1017">
            <v>736</v>
          </cell>
          <cell r="Y1017">
            <v>1</v>
          </cell>
          <cell r="Z1017">
            <v>375.51020408163265</v>
          </cell>
          <cell r="AA1017" t="str">
            <v>1.96X0.035-304L</v>
          </cell>
          <cell r="AB1017" t="str">
            <v>WAAC004980089B300006</v>
          </cell>
          <cell r="AC1017" t="str">
            <v>D2103132</v>
          </cell>
          <cell r="AD1017" t="str">
            <v>0538755</v>
          </cell>
          <cell r="AE1017">
            <v>2.4E-2</v>
          </cell>
          <cell r="AF1017">
            <v>1.77</v>
          </cell>
          <cell r="AG1017">
            <v>2.8000000000000001E-2</v>
          </cell>
          <cell r="AH1017">
            <v>1E-3</v>
          </cell>
          <cell r="AI1017">
            <v>0.34</v>
          </cell>
          <cell r="AJ1017">
            <v>18</v>
          </cell>
          <cell r="AK1017">
            <v>8</v>
          </cell>
          <cell r="AL1017">
            <v>7.4999999999999997E-2</v>
          </cell>
          <cell r="AM1017">
            <v>0.27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  <cell r="AR1017">
            <v>0.33</v>
          </cell>
          <cell r="AS1017">
            <v>0</v>
          </cell>
          <cell r="AT1017">
            <v>265</v>
          </cell>
          <cell r="AU1017">
            <v>299</v>
          </cell>
          <cell r="AV1017">
            <v>615</v>
          </cell>
          <cell r="AW1017">
            <v>58</v>
          </cell>
          <cell r="AX1017">
            <v>83</v>
          </cell>
          <cell r="AY1017">
            <v>159</v>
          </cell>
          <cell r="AZ1017">
            <v>1.4356</v>
          </cell>
          <cell r="BA1017" t="str">
            <v>D2103132</v>
          </cell>
          <cell r="BB1017" t="str">
            <v>CONFORM</v>
          </cell>
          <cell r="BC1017" t="str">
            <v>CONFORM</v>
          </cell>
          <cell r="BD1017" t="str">
            <v>CONFORM</v>
          </cell>
          <cell r="BE1017" t="str">
            <v>CONFORM</v>
          </cell>
          <cell r="BF1017" t="str">
            <v>CONFORM</v>
          </cell>
        </row>
        <row r="1018">
          <cell r="A1018">
            <v>44273</v>
          </cell>
          <cell r="B1018" t="str">
            <v>D2103132-7</v>
          </cell>
          <cell r="C1018" t="str">
            <v>016/21</v>
          </cell>
          <cell r="D1018">
            <v>1</v>
          </cell>
          <cell r="E1018">
            <v>44273</v>
          </cell>
          <cell r="F1018" t="str">
            <v>DC</v>
          </cell>
          <cell r="G1018" t="str">
            <v>On Time</v>
          </cell>
          <cell r="H1018">
            <v>134</v>
          </cell>
          <cell r="I1018">
            <v>44242</v>
          </cell>
          <cell r="J1018" t="str">
            <v>ADTI</v>
          </cell>
          <cell r="K1018" t="str">
            <v>D2103132</v>
          </cell>
          <cell r="L1018">
            <v>7</v>
          </cell>
          <cell r="M1018">
            <v>659417</v>
          </cell>
          <cell r="N1018" t="str">
            <v>0538755</v>
          </cell>
          <cell r="O1018" t="str">
            <v xml:space="preserve">1.4306 TP304L </v>
          </cell>
          <cell r="P1018" t="str">
            <v>304L</v>
          </cell>
          <cell r="Q1018">
            <v>1.96</v>
          </cell>
          <cell r="R1018">
            <v>1.96</v>
          </cell>
          <cell r="S1018">
            <v>3.5000000000000003E-2</v>
          </cell>
          <cell r="T1018">
            <v>3.5700000000000003E-2</v>
          </cell>
          <cell r="U1018">
            <v>3.635E-2</v>
          </cell>
          <cell r="V1018">
            <v>3.6025000000000001E-2</v>
          </cell>
          <cell r="W1018" t="str">
            <v>BRS</v>
          </cell>
          <cell r="X1018">
            <v>2923</v>
          </cell>
          <cell r="Y1018">
            <v>2</v>
          </cell>
          <cell r="Z1018">
            <v>745.66326530612241</v>
          </cell>
          <cell r="AA1018" t="str">
            <v>1.96X0.035-304L</v>
          </cell>
          <cell r="AB1018" t="str">
            <v>WAAC004980089B300006</v>
          </cell>
          <cell r="AC1018" t="str">
            <v>D2103132</v>
          </cell>
          <cell r="AD1018" t="str">
            <v>0538755</v>
          </cell>
          <cell r="AE1018">
            <v>2.4E-2</v>
          </cell>
          <cell r="AF1018">
            <v>1.77</v>
          </cell>
          <cell r="AG1018">
            <v>2.8000000000000001E-2</v>
          </cell>
          <cell r="AH1018">
            <v>1E-3</v>
          </cell>
          <cell r="AI1018">
            <v>0.34</v>
          </cell>
          <cell r="AJ1018">
            <v>18</v>
          </cell>
          <cell r="AK1018">
            <v>8</v>
          </cell>
          <cell r="AL1018">
            <v>7.4999999999999997E-2</v>
          </cell>
          <cell r="AM1018">
            <v>0.27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  <cell r="AR1018">
            <v>0.33</v>
          </cell>
          <cell r="AS1018">
            <v>0</v>
          </cell>
          <cell r="AT1018">
            <v>265</v>
          </cell>
          <cell r="AU1018">
            <v>299</v>
          </cell>
          <cell r="AV1018">
            <v>615</v>
          </cell>
          <cell r="AW1018">
            <v>58</v>
          </cell>
          <cell r="AX1018">
            <v>83</v>
          </cell>
          <cell r="AY1018">
            <v>159</v>
          </cell>
          <cell r="AZ1018">
            <v>1.4356</v>
          </cell>
          <cell r="BA1018" t="str">
            <v>D2103132</v>
          </cell>
          <cell r="BB1018" t="str">
            <v>CONFORM</v>
          </cell>
          <cell r="BC1018" t="str">
            <v>CONFORM</v>
          </cell>
          <cell r="BD1018" t="str">
            <v>CONFORM</v>
          </cell>
          <cell r="BE1018" t="str">
            <v>CONFORM</v>
          </cell>
          <cell r="BF1018" t="str">
            <v>CONFORM</v>
          </cell>
        </row>
        <row r="1019">
          <cell r="A1019">
            <v>44273</v>
          </cell>
          <cell r="B1019" t="str">
            <v>D2103132-8</v>
          </cell>
          <cell r="C1019" t="str">
            <v>016/21</v>
          </cell>
          <cell r="D1019">
            <v>1</v>
          </cell>
          <cell r="E1019">
            <v>44273</v>
          </cell>
          <cell r="F1019" t="str">
            <v>DC</v>
          </cell>
          <cell r="G1019" t="str">
            <v>On Time</v>
          </cell>
          <cell r="H1019">
            <v>134</v>
          </cell>
          <cell r="I1019">
            <v>44242</v>
          </cell>
          <cell r="J1019" t="str">
            <v>ADTI</v>
          </cell>
          <cell r="K1019" t="str">
            <v>D2103132</v>
          </cell>
          <cell r="L1019">
            <v>8</v>
          </cell>
          <cell r="M1019">
            <v>659417</v>
          </cell>
          <cell r="N1019" t="str">
            <v>0538755</v>
          </cell>
          <cell r="O1019" t="str">
            <v xml:space="preserve">1.4306 TP304L </v>
          </cell>
          <cell r="P1019" t="str">
            <v>304L</v>
          </cell>
          <cell r="Q1019">
            <v>1.96</v>
          </cell>
          <cell r="R1019">
            <v>1.96</v>
          </cell>
          <cell r="S1019">
            <v>3.5000000000000003E-2</v>
          </cell>
          <cell r="T1019">
            <v>3.5299999999999998E-2</v>
          </cell>
          <cell r="U1019">
            <v>3.7400000000000003E-2</v>
          </cell>
          <cell r="V1019">
            <v>3.635E-2</v>
          </cell>
          <cell r="W1019" t="str">
            <v>BRS</v>
          </cell>
          <cell r="X1019">
            <v>4356</v>
          </cell>
          <cell r="Y1019">
            <v>3</v>
          </cell>
          <cell r="Z1019">
            <v>740.81632653061229</v>
          </cell>
          <cell r="AA1019" t="str">
            <v>1.96X0.035-304L</v>
          </cell>
          <cell r="AB1019" t="str">
            <v>WAAC004980089B300006</v>
          </cell>
          <cell r="AC1019" t="str">
            <v>D2103132</v>
          </cell>
          <cell r="AD1019" t="str">
            <v>0538755</v>
          </cell>
          <cell r="AE1019">
            <v>2.4E-2</v>
          </cell>
          <cell r="AF1019">
            <v>1.77</v>
          </cell>
          <cell r="AG1019">
            <v>2.8000000000000001E-2</v>
          </cell>
          <cell r="AH1019">
            <v>1E-3</v>
          </cell>
          <cell r="AI1019">
            <v>0.34</v>
          </cell>
          <cell r="AJ1019">
            <v>18</v>
          </cell>
          <cell r="AK1019">
            <v>8</v>
          </cell>
          <cell r="AL1019">
            <v>7.4999999999999997E-2</v>
          </cell>
          <cell r="AM1019">
            <v>0.27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  <cell r="AR1019">
            <v>0.33</v>
          </cell>
          <cell r="AS1019">
            <v>0</v>
          </cell>
          <cell r="AT1019">
            <v>265</v>
          </cell>
          <cell r="AU1019">
            <v>299</v>
          </cell>
          <cell r="AV1019">
            <v>615</v>
          </cell>
          <cell r="AW1019">
            <v>58</v>
          </cell>
          <cell r="AX1019">
            <v>83</v>
          </cell>
          <cell r="AY1019">
            <v>159</v>
          </cell>
          <cell r="AZ1019">
            <v>1.4356</v>
          </cell>
          <cell r="BA1019" t="str">
            <v>D2103132</v>
          </cell>
          <cell r="BB1019" t="str">
            <v>CONFORM</v>
          </cell>
          <cell r="BC1019" t="str">
            <v>CONFORM</v>
          </cell>
          <cell r="BD1019" t="str">
            <v>CONFORM</v>
          </cell>
          <cell r="BE1019" t="str">
            <v>CONFORM</v>
          </cell>
          <cell r="BF1019" t="str">
            <v>CONFORM</v>
          </cell>
        </row>
        <row r="1020">
          <cell r="A1020">
            <v>44273</v>
          </cell>
          <cell r="B1020" t="str">
            <v>D2103133-1</v>
          </cell>
          <cell r="C1020" t="str">
            <v>016/21</v>
          </cell>
          <cell r="D1020">
            <v>1</v>
          </cell>
          <cell r="E1020">
            <v>44273</v>
          </cell>
          <cell r="F1020" t="str">
            <v>DC</v>
          </cell>
          <cell r="G1020" t="str">
            <v>On Time</v>
          </cell>
          <cell r="H1020">
            <v>134</v>
          </cell>
          <cell r="I1020">
            <v>44242</v>
          </cell>
          <cell r="J1020" t="str">
            <v>ADTI</v>
          </cell>
          <cell r="K1020" t="str">
            <v>D2103133</v>
          </cell>
          <cell r="L1020">
            <v>1</v>
          </cell>
          <cell r="M1020">
            <v>659417</v>
          </cell>
          <cell r="N1020" t="str">
            <v>0538755</v>
          </cell>
          <cell r="O1020" t="str">
            <v xml:space="preserve">1.4306 TP304L </v>
          </cell>
          <cell r="P1020" t="str">
            <v>304L</v>
          </cell>
          <cell r="Q1020">
            <v>1.96</v>
          </cell>
          <cell r="R1020">
            <v>3.153</v>
          </cell>
          <cell r="S1020">
            <v>3.5000000000000003E-2</v>
          </cell>
          <cell r="T1020">
            <v>3.5349999999999999E-2</v>
          </cell>
          <cell r="U1020">
            <v>3.5349999999999999E-2</v>
          </cell>
          <cell r="V1020">
            <v>3.5349999999999999E-2</v>
          </cell>
          <cell r="W1020" t="str">
            <v>BRS</v>
          </cell>
          <cell r="X1020">
            <v>5031</v>
          </cell>
          <cell r="Y1020">
            <v>3</v>
          </cell>
          <cell r="Z1020">
            <v>855.61224489795916</v>
          </cell>
          <cell r="AA1020" t="str">
            <v>1.96X0.035-304L</v>
          </cell>
          <cell r="AB1020" t="str">
            <v>WAAC004980089B300006</v>
          </cell>
          <cell r="AC1020" t="str">
            <v>D2103133</v>
          </cell>
          <cell r="AD1020" t="str">
            <v>0538755</v>
          </cell>
          <cell r="AE1020">
            <v>2.4E-2</v>
          </cell>
          <cell r="AF1020">
            <v>1.77</v>
          </cell>
          <cell r="AG1020">
            <v>2.8000000000000001E-2</v>
          </cell>
          <cell r="AH1020">
            <v>1E-3</v>
          </cell>
          <cell r="AI1020">
            <v>0.34</v>
          </cell>
          <cell r="AJ1020">
            <v>18</v>
          </cell>
          <cell r="AK1020">
            <v>8</v>
          </cell>
          <cell r="AL1020">
            <v>7.4999999999999997E-2</v>
          </cell>
          <cell r="AM1020">
            <v>0.27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  <cell r="AR1020">
            <v>0.33</v>
          </cell>
          <cell r="AS1020">
            <v>0</v>
          </cell>
          <cell r="AT1020">
            <v>265</v>
          </cell>
          <cell r="AU1020">
            <v>299</v>
          </cell>
          <cell r="AV1020">
            <v>615</v>
          </cell>
          <cell r="AW1020">
            <v>58</v>
          </cell>
          <cell r="AX1020">
            <v>83</v>
          </cell>
          <cell r="AY1020">
            <v>159</v>
          </cell>
          <cell r="AZ1020">
            <v>1.4356</v>
          </cell>
          <cell r="BA1020" t="str">
            <v>D2103133</v>
          </cell>
          <cell r="BB1020" t="str">
            <v>CONFORM</v>
          </cell>
          <cell r="BC1020" t="str">
            <v>CONFORM</v>
          </cell>
          <cell r="BD1020" t="str">
            <v>CONFORM</v>
          </cell>
          <cell r="BE1020" t="str">
            <v>CONFORM</v>
          </cell>
          <cell r="BF1020" t="str">
            <v>CONFORM</v>
          </cell>
        </row>
        <row r="1021">
          <cell r="A1021">
            <v>44273</v>
          </cell>
          <cell r="B1021" t="str">
            <v>D2103133-2</v>
          </cell>
          <cell r="C1021" t="str">
            <v>016/21</v>
          </cell>
          <cell r="D1021">
            <v>1</v>
          </cell>
          <cell r="E1021">
            <v>44273</v>
          </cell>
          <cell r="F1021" t="str">
            <v>DC</v>
          </cell>
          <cell r="G1021" t="str">
            <v>On Time</v>
          </cell>
          <cell r="H1021">
            <v>134</v>
          </cell>
          <cell r="I1021">
            <v>44242</v>
          </cell>
          <cell r="J1021" t="str">
            <v>ADTI</v>
          </cell>
          <cell r="K1021" t="str">
            <v>D2103133</v>
          </cell>
          <cell r="L1021">
            <v>2</v>
          </cell>
          <cell r="M1021">
            <v>659417</v>
          </cell>
          <cell r="N1021" t="str">
            <v>0538755</v>
          </cell>
          <cell r="O1021" t="str">
            <v xml:space="preserve">1.4306 TP304L </v>
          </cell>
          <cell r="P1021" t="str">
            <v>304L</v>
          </cell>
          <cell r="Q1021">
            <v>1.96</v>
          </cell>
          <cell r="R1021">
            <v>3.1535000000000002</v>
          </cell>
          <cell r="S1021">
            <v>3.5000000000000003E-2</v>
          </cell>
          <cell r="T1021">
            <v>3.4200000000000001E-2</v>
          </cell>
          <cell r="U1021">
            <v>3.7400000000000003E-2</v>
          </cell>
          <cell r="V1021">
            <v>3.5799999999999998E-2</v>
          </cell>
          <cell r="W1021" t="str">
            <v>BRS</v>
          </cell>
          <cell r="X1021">
            <v>2465</v>
          </cell>
          <cell r="Y1021">
            <v>2</v>
          </cell>
          <cell r="Z1021">
            <v>628.82653061224494</v>
          </cell>
          <cell r="AA1021" t="str">
            <v>1.96X0.035-304L</v>
          </cell>
          <cell r="AB1021" t="str">
            <v>WAAC004980089B300006</v>
          </cell>
          <cell r="AC1021" t="str">
            <v>D2103133</v>
          </cell>
          <cell r="AD1021" t="str">
            <v>0538755</v>
          </cell>
          <cell r="AE1021">
            <v>2.4E-2</v>
          </cell>
          <cell r="AF1021">
            <v>1.77</v>
          </cell>
          <cell r="AG1021">
            <v>2.8000000000000001E-2</v>
          </cell>
          <cell r="AH1021">
            <v>1E-3</v>
          </cell>
          <cell r="AI1021">
            <v>0.34</v>
          </cell>
          <cell r="AJ1021">
            <v>18</v>
          </cell>
          <cell r="AK1021">
            <v>8</v>
          </cell>
          <cell r="AL1021">
            <v>7.4999999999999997E-2</v>
          </cell>
          <cell r="AM1021">
            <v>0.27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  <cell r="AR1021">
            <v>0.33</v>
          </cell>
          <cell r="AS1021">
            <v>0</v>
          </cell>
          <cell r="AT1021">
            <v>265</v>
          </cell>
          <cell r="AU1021">
            <v>299</v>
          </cell>
          <cell r="AV1021">
            <v>615</v>
          </cell>
          <cell r="AW1021">
            <v>58</v>
          </cell>
          <cell r="AX1021">
            <v>83</v>
          </cell>
          <cell r="AY1021">
            <v>159</v>
          </cell>
          <cell r="AZ1021">
            <v>1.4356</v>
          </cell>
          <cell r="BA1021" t="str">
            <v>D2103133</v>
          </cell>
          <cell r="BB1021" t="str">
            <v>CONFORM</v>
          </cell>
          <cell r="BC1021" t="str">
            <v>CONFORM</v>
          </cell>
          <cell r="BD1021" t="str">
            <v>CONFORM</v>
          </cell>
          <cell r="BE1021" t="str">
            <v>CONFORM</v>
          </cell>
          <cell r="BF1021" t="str">
            <v>CONFORM</v>
          </cell>
        </row>
        <row r="1022">
          <cell r="A1022">
            <v>44273</v>
          </cell>
          <cell r="B1022" t="str">
            <v>D2103133-3</v>
          </cell>
          <cell r="C1022" t="str">
            <v>016/21</v>
          </cell>
          <cell r="D1022">
            <v>1</v>
          </cell>
          <cell r="E1022">
            <v>44273</v>
          </cell>
          <cell r="F1022" t="str">
            <v>DC</v>
          </cell>
          <cell r="G1022" t="str">
            <v>On Time</v>
          </cell>
          <cell r="H1022">
            <v>134</v>
          </cell>
          <cell r="I1022">
            <v>44242</v>
          </cell>
          <cell r="J1022" t="str">
            <v>ADTI</v>
          </cell>
          <cell r="K1022" t="str">
            <v>D2103133</v>
          </cell>
          <cell r="L1022">
            <v>3</v>
          </cell>
          <cell r="M1022">
            <v>659417</v>
          </cell>
          <cell r="N1022" t="str">
            <v>0538755</v>
          </cell>
          <cell r="O1022" t="str">
            <v xml:space="preserve">1.4306 TP304L </v>
          </cell>
          <cell r="P1022" t="str">
            <v>304L</v>
          </cell>
          <cell r="Q1022">
            <v>1.96</v>
          </cell>
          <cell r="R1022">
            <v>3.153</v>
          </cell>
          <cell r="S1022">
            <v>3.5000000000000003E-2</v>
          </cell>
          <cell r="T1022">
            <v>3.4549999999999997E-2</v>
          </cell>
          <cell r="U1022">
            <v>3.4750000000000003E-2</v>
          </cell>
          <cell r="V1022">
            <v>3.465E-2</v>
          </cell>
          <cell r="W1022" t="str">
            <v>BRS</v>
          </cell>
          <cell r="X1022">
            <v>1186</v>
          </cell>
          <cell r="Y1022">
            <v>1</v>
          </cell>
          <cell r="Z1022">
            <v>605.10204081632651</v>
          </cell>
          <cell r="AA1022" t="str">
            <v>1.96X0.035-304L</v>
          </cell>
          <cell r="AB1022" t="str">
            <v>WAAC004980089B300006</v>
          </cell>
          <cell r="AC1022" t="str">
            <v>D2103133</v>
          </cell>
          <cell r="AD1022" t="str">
            <v>0538755</v>
          </cell>
          <cell r="AE1022">
            <v>2.4E-2</v>
          </cell>
          <cell r="AF1022">
            <v>1.77</v>
          </cell>
          <cell r="AG1022">
            <v>2.8000000000000001E-2</v>
          </cell>
          <cell r="AH1022">
            <v>1E-3</v>
          </cell>
          <cell r="AI1022">
            <v>0.34</v>
          </cell>
          <cell r="AJ1022">
            <v>18</v>
          </cell>
          <cell r="AK1022">
            <v>8</v>
          </cell>
          <cell r="AL1022">
            <v>7.4999999999999997E-2</v>
          </cell>
          <cell r="AM1022">
            <v>0.27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  <cell r="AR1022">
            <v>0.33</v>
          </cell>
          <cell r="AS1022">
            <v>0</v>
          </cell>
          <cell r="AT1022">
            <v>265</v>
          </cell>
          <cell r="AU1022">
            <v>299</v>
          </cell>
          <cell r="AV1022">
            <v>615</v>
          </cell>
          <cell r="AW1022">
            <v>58</v>
          </cell>
          <cell r="AX1022">
            <v>83</v>
          </cell>
          <cell r="AY1022">
            <v>159</v>
          </cell>
          <cell r="AZ1022">
            <v>1.4356</v>
          </cell>
          <cell r="BA1022" t="str">
            <v>D2103133</v>
          </cell>
          <cell r="BB1022" t="str">
            <v>CONFORM</v>
          </cell>
          <cell r="BC1022" t="str">
            <v>CONFORM</v>
          </cell>
          <cell r="BD1022" t="str">
            <v>CONFORM</v>
          </cell>
          <cell r="BE1022" t="str">
            <v>CONFORM</v>
          </cell>
          <cell r="BF1022" t="str">
            <v>CONFORM</v>
          </cell>
        </row>
        <row r="1023">
          <cell r="A1023">
            <v>44273</v>
          </cell>
          <cell r="B1023" t="str">
            <v>D2103133-4</v>
          </cell>
          <cell r="C1023" t="str">
            <v>016/21</v>
          </cell>
          <cell r="D1023">
            <v>1</v>
          </cell>
          <cell r="E1023">
            <v>44273</v>
          </cell>
          <cell r="F1023" t="str">
            <v>DC</v>
          </cell>
          <cell r="G1023" t="str">
            <v>On Time</v>
          </cell>
          <cell r="H1023">
            <v>134</v>
          </cell>
          <cell r="I1023">
            <v>44242</v>
          </cell>
          <cell r="J1023" t="str">
            <v>ADTI</v>
          </cell>
          <cell r="K1023" t="str">
            <v>D2103133</v>
          </cell>
          <cell r="L1023">
            <v>4</v>
          </cell>
          <cell r="M1023">
            <v>659417</v>
          </cell>
          <cell r="N1023" t="str">
            <v>0538755</v>
          </cell>
          <cell r="O1023" t="str">
            <v xml:space="preserve">1.4306 TP304L </v>
          </cell>
          <cell r="P1023" t="str">
            <v>304L</v>
          </cell>
          <cell r="Q1023">
            <v>1.96</v>
          </cell>
          <cell r="R1023">
            <v>3.1535000000000002</v>
          </cell>
          <cell r="S1023">
            <v>3.5000000000000003E-2</v>
          </cell>
          <cell r="T1023">
            <v>3.4500000000000003E-2</v>
          </cell>
          <cell r="U1023">
            <v>3.7600000000000001E-2</v>
          </cell>
          <cell r="V1023">
            <v>3.6049999999999999E-2</v>
          </cell>
          <cell r="W1023" t="str">
            <v>BRS</v>
          </cell>
          <cell r="X1023">
            <v>2297</v>
          </cell>
          <cell r="Y1023">
            <v>1</v>
          </cell>
          <cell r="Z1023">
            <v>1171.9387755102041</v>
          </cell>
          <cell r="AA1023" t="str">
            <v>1.96X0.035-304L</v>
          </cell>
          <cell r="AB1023" t="str">
            <v>WAAC004980089B300006</v>
          </cell>
          <cell r="AC1023" t="str">
            <v>D2103133</v>
          </cell>
          <cell r="AD1023" t="str">
            <v>0538755</v>
          </cell>
          <cell r="AE1023">
            <v>2.4E-2</v>
          </cell>
          <cell r="AF1023">
            <v>1.77</v>
          </cell>
          <cell r="AG1023">
            <v>2.8000000000000001E-2</v>
          </cell>
          <cell r="AH1023">
            <v>1E-3</v>
          </cell>
          <cell r="AI1023">
            <v>0.34</v>
          </cell>
          <cell r="AJ1023">
            <v>18</v>
          </cell>
          <cell r="AK1023">
            <v>8</v>
          </cell>
          <cell r="AL1023">
            <v>7.4999999999999997E-2</v>
          </cell>
          <cell r="AM1023">
            <v>0.27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  <cell r="AR1023">
            <v>0.33</v>
          </cell>
          <cell r="AS1023">
            <v>0</v>
          </cell>
          <cell r="AT1023">
            <v>265</v>
          </cell>
          <cell r="AU1023">
            <v>299</v>
          </cell>
          <cell r="AV1023">
            <v>615</v>
          </cell>
          <cell r="AW1023">
            <v>58</v>
          </cell>
          <cell r="AX1023">
            <v>83</v>
          </cell>
          <cell r="AY1023">
            <v>159</v>
          </cell>
          <cell r="AZ1023">
            <v>1.4356</v>
          </cell>
          <cell r="BA1023" t="str">
            <v>D2103133</v>
          </cell>
          <cell r="BB1023" t="str">
            <v>CONFORM</v>
          </cell>
          <cell r="BC1023" t="str">
            <v>CONFORM</v>
          </cell>
          <cell r="BD1023" t="str">
            <v>CONFORM</v>
          </cell>
          <cell r="BE1023" t="str">
            <v>CONFORM</v>
          </cell>
          <cell r="BF1023" t="str">
            <v>CONFORM</v>
          </cell>
        </row>
        <row r="1024">
          <cell r="A1024">
            <v>44273</v>
          </cell>
          <cell r="B1024" t="str">
            <v>D2103133-5</v>
          </cell>
          <cell r="C1024" t="str">
            <v>016/21</v>
          </cell>
          <cell r="D1024">
            <v>1</v>
          </cell>
          <cell r="E1024">
            <v>44273</v>
          </cell>
          <cell r="F1024" t="str">
            <v>DC</v>
          </cell>
          <cell r="G1024" t="str">
            <v>On Time</v>
          </cell>
          <cell r="H1024">
            <v>134</v>
          </cell>
          <cell r="I1024">
            <v>44242</v>
          </cell>
          <cell r="J1024" t="str">
            <v>ADTI</v>
          </cell>
          <cell r="K1024" t="str">
            <v>D2103133</v>
          </cell>
          <cell r="L1024">
            <v>5</v>
          </cell>
          <cell r="M1024">
            <v>659417</v>
          </cell>
          <cell r="N1024" t="str">
            <v>0538755</v>
          </cell>
          <cell r="O1024" t="str">
            <v xml:space="preserve">1.4306 TP304L </v>
          </cell>
          <cell r="P1024" t="str">
            <v>304L</v>
          </cell>
          <cell r="Q1024">
            <v>1.96</v>
          </cell>
          <cell r="R1024">
            <v>3.153</v>
          </cell>
          <cell r="S1024">
            <v>3.5000000000000003E-2</v>
          </cell>
          <cell r="T1024">
            <v>3.4799999999999998E-2</v>
          </cell>
          <cell r="U1024">
            <v>3.7249999999999998E-2</v>
          </cell>
          <cell r="V1024">
            <v>3.6025000000000001E-2</v>
          </cell>
          <cell r="W1024" t="str">
            <v>BRS</v>
          </cell>
          <cell r="X1024">
            <v>3324</v>
          </cell>
          <cell r="Y1024">
            <v>2</v>
          </cell>
          <cell r="Z1024">
            <v>847.9591836734694</v>
          </cell>
          <cell r="AA1024" t="str">
            <v>1.96X0.035-304L</v>
          </cell>
          <cell r="AB1024" t="str">
            <v>WAAC004980089B300006</v>
          </cell>
          <cell r="AC1024" t="str">
            <v>D2103133</v>
          </cell>
          <cell r="AD1024" t="str">
            <v>0538755</v>
          </cell>
          <cell r="AE1024">
            <v>2.4E-2</v>
          </cell>
          <cell r="AF1024">
            <v>1.77</v>
          </cell>
          <cell r="AG1024">
            <v>2.8000000000000001E-2</v>
          </cell>
          <cell r="AH1024">
            <v>1E-3</v>
          </cell>
          <cell r="AI1024">
            <v>0.34</v>
          </cell>
          <cell r="AJ1024">
            <v>18</v>
          </cell>
          <cell r="AK1024">
            <v>8</v>
          </cell>
          <cell r="AL1024">
            <v>7.4999999999999997E-2</v>
          </cell>
          <cell r="AM1024">
            <v>0.27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  <cell r="AR1024">
            <v>0.33</v>
          </cell>
          <cell r="AS1024">
            <v>0</v>
          </cell>
          <cell r="AT1024">
            <v>265</v>
          </cell>
          <cell r="AU1024">
            <v>299</v>
          </cell>
          <cell r="AV1024">
            <v>615</v>
          </cell>
          <cell r="AW1024">
            <v>58</v>
          </cell>
          <cell r="AX1024">
            <v>83</v>
          </cell>
          <cell r="AY1024">
            <v>159</v>
          </cell>
          <cell r="AZ1024">
            <v>1.4356</v>
          </cell>
          <cell r="BA1024" t="str">
            <v>D2103133</v>
          </cell>
          <cell r="BB1024" t="str">
            <v>CONFORM</v>
          </cell>
          <cell r="BC1024" t="str">
            <v>CONFORM</v>
          </cell>
          <cell r="BD1024" t="str">
            <v>CONFORM</v>
          </cell>
          <cell r="BE1024" t="str">
            <v>CONFORM</v>
          </cell>
          <cell r="BF1024" t="str">
            <v>CONFORM</v>
          </cell>
        </row>
        <row r="1025">
          <cell r="A1025">
            <v>44280</v>
          </cell>
          <cell r="B1025" t="str">
            <v>D2103194-1</v>
          </cell>
          <cell r="C1025" t="str">
            <v>104/20</v>
          </cell>
          <cell r="D1025">
            <v>1</v>
          </cell>
          <cell r="E1025">
            <v>44280</v>
          </cell>
          <cell r="F1025" t="str">
            <v>DC</v>
          </cell>
          <cell r="G1025" t="str">
            <v>On Time</v>
          </cell>
          <cell r="H1025" t="str">
            <v>L443895</v>
          </cell>
          <cell r="I1025">
            <v>44278</v>
          </cell>
          <cell r="J1025" t="str">
            <v>ATI</v>
          </cell>
          <cell r="K1025" t="str">
            <v>D2103194</v>
          </cell>
          <cell r="L1025">
            <v>1</v>
          </cell>
          <cell r="M1025" t="str">
            <v>AAD28290</v>
          </cell>
          <cell r="N1025">
            <v>862321</v>
          </cell>
          <cell r="O1025" t="str">
            <v xml:space="preserve">1.4401/1.4404 TP316/316L </v>
          </cell>
          <cell r="P1025" t="str">
            <v>316L</v>
          </cell>
          <cell r="Q1025">
            <v>1.913</v>
          </cell>
          <cell r="R1025">
            <v>1.9079999999999999</v>
          </cell>
          <cell r="S1025">
            <v>4.7E-2</v>
          </cell>
          <cell r="T1025">
            <v>4.7E-2</v>
          </cell>
          <cell r="U1025">
            <v>4.7600000000000003E-2</v>
          </cell>
          <cell r="V1025">
            <v>4.7300000000000002E-2</v>
          </cell>
          <cell r="W1025" t="str">
            <v>BRS</v>
          </cell>
          <cell r="X1025">
            <v>3168</v>
          </cell>
          <cell r="Y1025">
            <v>4</v>
          </cell>
          <cell r="Z1025">
            <v>414.0094093047569</v>
          </cell>
          <cell r="AA1025" t="str">
            <v>1.913X0.047-316L</v>
          </cell>
          <cell r="AB1025" t="str">
            <v>WAAF004860120B300028</v>
          </cell>
          <cell r="AC1025" t="str">
            <v>D2103194</v>
          </cell>
          <cell r="AD1025">
            <v>862321</v>
          </cell>
          <cell r="AE1025">
            <v>1.9E-2</v>
          </cell>
          <cell r="AF1025">
            <v>1.66</v>
          </cell>
          <cell r="AG1025">
            <v>2.9000000000000001E-2</v>
          </cell>
          <cell r="AH1025">
            <v>0</v>
          </cell>
          <cell r="AI1025">
            <v>0.44</v>
          </cell>
          <cell r="AJ1025">
            <v>16.7</v>
          </cell>
          <cell r="AK1025">
            <v>10.1</v>
          </cell>
          <cell r="AL1025">
            <v>0.05</v>
          </cell>
          <cell r="AM1025">
            <v>2.04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  <cell r="AR1025">
            <v>0</v>
          </cell>
          <cell r="AS1025">
            <v>0</v>
          </cell>
          <cell r="AT1025">
            <v>288</v>
          </cell>
          <cell r="AU1025">
            <v>0</v>
          </cell>
          <cell r="AV1025">
            <v>603</v>
          </cell>
          <cell r="AW1025">
            <v>60</v>
          </cell>
          <cell r="AX1025">
            <v>75</v>
          </cell>
          <cell r="AY1025">
            <v>137</v>
          </cell>
          <cell r="AZ1025">
            <v>1.7939000000000001</v>
          </cell>
          <cell r="BA1025" t="str">
            <v>D2103194</v>
          </cell>
          <cell r="BB1025" t="str">
            <v>CONFORM</v>
          </cell>
          <cell r="BC1025" t="str">
            <v>CONFORM</v>
          </cell>
          <cell r="BD1025" t="str">
            <v>CONFORM</v>
          </cell>
          <cell r="BE1025" t="str">
            <v>CONFORM</v>
          </cell>
          <cell r="BF1025" t="str">
            <v>CONFORM</v>
          </cell>
        </row>
        <row r="1026">
          <cell r="A1026">
            <v>44280</v>
          </cell>
          <cell r="B1026" t="str">
            <v>D2103194-2</v>
          </cell>
          <cell r="C1026" t="str">
            <v>104/20</v>
          </cell>
          <cell r="D1026">
            <v>1</v>
          </cell>
          <cell r="E1026">
            <v>44280</v>
          </cell>
          <cell r="F1026" t="str">
            <v>DC</v>
          </cell>
          <cell r="G1026" t="str">
            <v>On Time</v>
          </cell>
          <cell r="H1026" t="str">
            <v>L443895</v>
          </cell>
          <cell r="I1026">
            <v>44278</v>
          </cell>
          <cell r="J1026" t="str">
            <v>ATI</v>
          </cell>
          <cell r="K1026" t="str">
            <v>D2103194</v>
          </cell>
          <cell r="L1026">
            <v>2</v>
          </cell>
          <cell r="M1026" t="str">
            <v>AAD28290</v>
          </cell>
          <cell r="N1026">
            <v>862321</v>
          </cell>
          <cell r="O1026" t="str">
            <v xml:space="preserve">1.4401/1.4404 TP316/316L </v>
          </cell>
          <cell r="P1026" t="str">
            <v>316L</v>
          </cell>
          <cell r="Q1026">
            <v>1.913</v>
          </cell>
          <cell r="R1026">
            <v>1.911</v>
          </cell>
          <cell r="S1026">
            <v>4.7E-2</v>
          </cell>
          <cell r="T1026">
            <v>4.5699999999999998E-2</v>
          </cell>
          <cell r="U1026">
            <v>4.795E-2</v>
          </cell>
          <cell r="V1026">
            <v>4.6824999999999999E-2</v>
          </cell>
          <cell r="W1026" t="str">
            <v>BRS</v>
          </cell>
          <cell r="X1026">
            <v>4018</v>
          </cell>
          <cell r="Y1026">
            <v>5</v>
          </cell>
          <cell r="Z1026">
            <v>420.07318348144275</v>
          </cell>
          <cell r="AA1026" t="str">
            <v>1.913X0.047-316L</v>
          </cell>
          <cell r="AB1026" t="str">
            <v>WAAF004860120B300028</v>
          </cell>
          <cell r="AC1026" t="str">
            <v>D2103194</v>
          </cell>
          <cell r="AD1026">
            <v>862321</v>
          </cell>
          <cell r="AE1026">
            <v>1.9E-2</v>
          </cell>
          <cell r="AF1026">
            <v>1.66</v>
          </cell>
          <cell r="AG1026">
            <v>2.9000000000000001E-2</v>
          </cell>
          <cell r="AH1026">
            <v>0</v>
          </cell>
          <cell r="AI1026">
            <v>0.44</v>
          </cell>
          <cell r="AJ1026">
            <v>16.7</v>
          </cell>
          <cell r="AK1026">
            <v>10.1</v>
          </cell>
          <cell r="AL1026">
            <v>0.05</v>
          </cell>
          <cell r="AM1026">
            <v>2.04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  <cell r="AR1026">
            <v>0</v>
          </cell>
          <cell r="AS1026">
            <v>0</v>
          </cell>
          <cell r="AT1026">
            <v>288</v>
          </cell>
          <cell r="AU1026">
            <v>0</v>
          </cell>
          <cell r="AV1026">
            <v>603</v>
          </cell>
          <cell r="AW1026">
            <v>60</v>
          </cell>
          <cell r="AX1026">
            <v>75</v>
          </cell>
          <cell r="AY1026">
            <v>137</v>
          </cell>
          <cell r="AZ1026">
            <v>1.7939000000000001</v>
          </cell>
          <cell r="BA1026" t="str">
            <v>D2103194</v>
          </cell>
          <cell r="BB1026" t="str">
            <v>CONFORM</v>
          </cell>
          <cell r="BC1026" t="str">
            <v>CONFORM</v>
          </cell>
          <cell r="BD1026" t="str">
            <v>CONFORM</v>
          </cell>
          <cell r="BE1026" t="str">
            <v>CONFORM</v>
          </cell>
          <cell r="BF1026" t="str">
            <v>CONFORM</v>
          </cell>
        </row>
        <row r="1027">
          <cell r="A1027">
            <v>44280</v>
          </cell>
          <cell r="B1027" t="str">
            <v>D2103194-3</v>
          </cell>
          <cell r="C1027" t="str">
            <v>104/20</v>
          </cell>
          <cell r="D1027">
            <v>1</v>
          </cell>
          <cell r="E1027">
            <v>44280</v>
          </cell>
          <cell r="F1027" t="str">
            <v>DC</v>
          </cell>
          <cell r="G1027" t="str">
            <v>On Time</v>
          </cell>
          <cell r="H1027" t="str">
            <v>L443895</v>
          </cell>
          <cell r="I1027">
            <v>44278</v>
          </cell>
          <cell r="J1027" t="str">
            <v>ATI</v>
          </cell>
          <cell r="K1027" t="str">
            <v>D2103194</v>
          </cell>
          <cell r="L1027">
            <v>3</v>
          </cell>
          <cell r="M1027" t="str">
            <v>AAD28290</v>
          </cell>
          <cell r="N1027">
            <v>862321</v>
          </cell>
          <cell r="O1027" t="str">
            <v xml:space="preserve">1.4401/1.4404 TP316/316L </v>
          </cell>
          <cell r="P1027" t="str">
            <v>316L</v>
          </cell>
          <cell r="Q1027">
            <v>1.913</v>
          </cell>
          <cell r="R1027">
            <v>1.909</v>
          </cell>
          <cell r="S1027">
            <v>4.7E-2</v>
          </cell>
          <cell r="T1027">
            <v>4.6800000000000001E-2</v>
          </cell>
          <cell r="U1027">
            <v>4.6649999999999997E-2</v>
          </cell>
          <cell r="V1027">
            <v>4.6725000000000003E-2</v>
          </cell>
          <cell r="W1027" t="str">
            <v>BRS</v>
          </cell>
          <cell r="X1027">
            <v>3278</v>
          </cell>
          <cell r="Y1027">
            <v>4</v>
          </cell>
          <cell r="Z1027">
            <v>428.38473601672763</v>
          </cell>
          <cell r="AA1027" t="str">
            <v>1.913X0.047-316L</v>
          </cell>
          <cell r="AB1027" t="str">
            <v>WAAF004860120B300028</v>
          </cell>
          <cell r="AC1027" t="str">
            <v>D2103194</v>
          </cell>
          <cell r="AD1027">
            <v>862321</v>
          </cell>
          <cell r="AE1027">
            <v>1.9E-2</v>
          </cell>
          <cell r="AF1027">
            <v>1.66</v>
          </cell>
          <cell r="AG1027">
            <v>2.9000000000000001E-2</v>
          </cell>
          <cell r="AH1027">
            <v>0</v>
          </cell>
          <cell r="AI1027">
            <v>0.44</v>
          </cell>
          <cell r="AJ1027">
            <v>16.7</v>
          </cell>
          <cell r="AK1027">
            <v>10.1</v>
          </cell>
          <cell r="AL1027">
            <v>0.05</v>
          </cell>
          <cell r="AM1027">
            <v>2.04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  <cell r="AR1027">
            <v>0</v>
          </cell>
          <cell r="AS1027">
            <v>0</v>
          </cell>
          <cell r="AT1027">
            <v>288</v>
          </cell>
          <cell r="AU1027">
            <v>0</v>
          </cell>
          <cell r="AV1027">
            <v>603</v>
          </cell>
          <cell r="AW1027">
            <v>60</v>
          </cell>
          <cell r="AX1027">
            <v>75</v>
          </cell>
          <cell r="AY1027">
            <v>137</v>
          </cell>
          <cell r="AZ1027">
            <v>1.7939000000000001</v>
          </cell>
          <cell r="BA1027" t="str">
            <v>D2103194</v>
          </cell>
          <cell r="BB1027" t="str">
            <v>CONFORM</v>
          </cell>
          <cell r="BC1027" t="str">
            <v>CONFORM</v>
          </cell>
          <cell r="BD1027" t="str">
            <v>CONFORM</v>
          </cell>
          <cell r="BE1027" t="str">
            <v>CONFORM</v>
          </cell>
          <cell r="BF1027" t="str">
            <v>CONFORM</v>
          </cell>
        </row>
        <row r="1028">
          <cell r="A1028">
            <v>44280</v>
          </cell>
          <cell r="B1028" t="str">
            <v>D2103195-1</v>
          </cell>
          <cell r="C1028" t="str">
            <v>104/20</v>
          </cell>
          <cell r="D1028">
            <v>2</v>
          </cell>
          <cell r="E1028">
            <v>44280</v>
          </cell>
          <cell r="F1028" t="str">
            <v>DC</v>
          </cell>
          <cell r="G1028" t="str">
            <v>On Time</v>
          </cell>
          <cell r="H1028" t="str">
            <v>L443895</v>
          </cell>
          <cell r="I1028">
            <v>44278</v>
          </cell>
          <cell r="J1028" t="str">
            <v>ATI</v>
          </cell>
          <cell r="K1028" t="str">
            <v>D2103195</v>
          </cell>
          <cell r="L1028">
            <v>1</v>
          </cell>
          <cell r="M1028" t="str">
            <v>AAD28290</v>
          </cell>
          <cell r="N1028">
            <v>862321</v>
          </cell>
          <cell r="O1028" t="str">
            <v xml:space="preserve">1.4401/1.4404 TP316/316L </v>
          </cell>
          <cell r="P1028" t="str">
            <v>316L</v>
          </cell>
          <cell r="Q1028">
            <v>2.323</v>
          </cell>
          <cell r="R1028">
            <v>2.3205</v>
          </cell>
          <cell r="S1028">
            <v>4.7E-2</v>
          </cell>
          <cell r="T1028">
            <v>4.6199999999999998E-2</v>
          </cell>
          <cell r="U1028">
            <v>4.8099999999999997E-2</v>
          </cell>
          <cell r="V1028">
            <v>4.7149999999999997E-2</v>
          </cell>
          <cell r="W1028" t="str">
            <v>BRS</v>
          </cell>
          <cell r="X1028">
            <v>3912</v>
          </cell>
          <cell r="Y1028">
            <v>4</v>
          </cell>
          <cell r="Z1028">
            <v>421.00731812311665</v>
          </cell>
          <cell r="AA1028" t="str">
            <v>2.323X0.047-316L</v>
          </cell>
          <cell r="AB1028" t="str">
            <v>WAAF005900120B300027</v>
          </cell>
          <cell r="AC1028" t="str">
            <v>D2103195</v>
          </cell>
          <cell r="AD1028">
            <v>862321</v>
          </cell>
          <cell r="AE1028">
            <v>1.9E-2</v>
          </cell>
          <cell r="AF1028">
            <v>1.66</v>
          </cell>
          <cell r="AG1028">
            <v>2.9000000000000001E-2</v>
          </cell>
          <cell r="AH1028">
            <v>0</v>
          </cell>
          <cell r="AI1028">
            <v>0.44</v>
          </cell>
          <cell r="AJ1028">
            <v>16.7</v>
          </cell>
          <cell r="AK1028">
            <v>10.1</v>
          </cell>
          <cell r="AL1028">
            <v>0.05</v>
          </cell>
          <cell r="AM1028">
            <v>2.04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  <cell r="AR1028">
            <v>0</v>
          </cell>
          <cell r="AS1028">
            <v>0</v>
          </cell>
          <cell r="AT1028">
            <v>288</v>
          </cell>
          <cell r="AU1028">
            <v>0</v>
          </cell>
          <cell r="AV1028">
            <v>603</v>
          </cell>
          <cell r="AW1028">
            <v>60</v>
          </cell>
          <cell r="AX1028">
            <v>75</v>
          </cell>
          <cell r="AY1028">
            <v>137</v>
          </cell>
          <cell r="AZ1028">
            <v>1.7939000000000001</v>
          </cell>
          <cell r="BA1028" t="str">
            <v>D2103195</v>
          </cell>
          <cell r="BB1028" t="str">
            <v>CONFORM</v>
          </cell>
          <cell r="BC1028" t="str">
            <v>CONFORM</v>
          </cell>
          <cell r="BD1028" t="str">
            <v>CONFORM</v>
          </cell>
          <cell r="BE1028" t="str">
            <v>CONFORM</v>
          </cell>
          <cell r="BF1028" t="str">
            <v>CONFORM</v>
          </cell>
        </row>
        <row r="1029">
          <cell r="A1029">
            <v>44280</v>
          </cell>
          <cell r="B1029" t="str">
            <v>D2103195-2</v>
          </cell>
          <cell r="C1029" t="str">
            <v>104/20</v>
          </cell>
          <cell r="D1029">
            <v>2</v>
          </cell>
          <cell r="E1029">
            <v>44280</v>
          </cell>
          <cell r="F1029" t="str">
            <v>DC</v>
          </cell>
          <cell r="G1029" t="str">
            <v>On Time</v>
          </cell>
          <cell r="H1029" t="str">
            <v>L443895</v>
          </cell>
          <cell r="I1029">
            <v>44278</v>
          </cell>
          <cell r="J1029" t="str">
            <v>ATI</v>
          </cell>
          <cell r="K1029" t="str">
            <v>D2103195</v>
          </cell>
          <cell r="L1029">
            <v>2</v>
          </cell>
          <cell r="M1029" t="str">
            <v>AAD28290</v>
          </cell>
          <cell r="N1029">
            <v>862321</v>
          </cell>
          <cell r="O1029" t="str">
            <v xml:space="preserve">1.4401/1.4404 TP316/316L </v>
          </cell>
          <cell r="P1029" t="str">
            <v>316L</v>
          </cell>
          <cell r="Q1029">
            <v>2.323</v>
          </cell>
          <cell r="R1029">
            <v>2.319</v>
          </cell>
          <cell r="S1029">
            <v>4.7E-2</v>
          </cell>
          <cell r="T1029">
            <v>4.6699999999999998E-2</v>
          </cell>
          <cell r="U1029">
            <v>4.8149999999999998E-2</v>
          </cell>
          <cell r="V1029">
            <v>4.7424999999999995E-2</v>
          </cell>
          <cell r="W1029" t="str">
            <v>BRS</v>
          </cell>
          <cell r="X1029">
            <v>2978</v>
          </cell>
          <cell r="Y1029">
            <v>3</v>
          </cell>
          <cell r="Z1029">
            <v>427.32099296886207</v>
          </cell>
          <cell r="AA1029" t="str">
            <v>2.323X0.047-316L</v>
          </cell>
          <cell r="AB1029" t="str">
            <v>WAAF005900120B300027</v>
          </cell>
          <cell r="AC1029" t="str">
            <v>D2103195</v>
          </cell>
          <cell r="AD1029">
            <v>862321</v>
          </cell>
          <cell r="AE1029">
            <v>1.9E-2</v>
          </cell>
          <cell r="AF1029">
            <v>1.66</v>
          </cell>
          <cell r="AG1029">
            <v>2.9000000000000001E-2</v>
          </cell>
          <cell r="AH1029">
            <v>0</v>
          </cell>
          <cell r="AI1029">
            <v>0.44</v>
          </cell>
          <cell r="AJ1029">
            <v>16.7</v>
          </cell>
          <cell r="AK1029">
            <v>10.1</v>
          </cell>
          <cell r="AL1029">
            <v>0.05</v>
          </cell>
          <cell r="AM1029">
            <v>2.04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  <cell r="AR1029">
            <v>0</v>
          </cell>
          <cell r="AS1029">
            <v>0</v>
          </cell>
          <cell r="AT1029">
            <v>288</v>
          </cell>
          <cell r="AU1029">
            <v>0</v>
          </cell>
          <cell r="AV1029">
            <v>603</v>
          </cell>
          <cell r="AW1029">
            <v>60</v>
          </cell>
          <cell r="AX1029">
            <v>75</v>
          </cell>
          <cell r="AY1029">
            <v>137</v>
          </cell>
          <cell r="AZ1029">
            <v>1.7939000000000001</v>
          </cell>
          <cell r="BA1029" t="str">
            <v>D2103195</v>
          </cell>
          <cell r="BB1029" t="str">
            <v>CONFORM</v>
          </cell>
          <cell r="BC1029" t="str">
            <v>CONFORM</v>
          </cell>
          <cell r="BD1029" t="str">
            <v>CONFORM</v>
          </cell>
          <cell r="BE1029" t="str">
            <v>CONFORM</v>
          </cell>
          <cell r="BF1029" t="str">
            <v>CONFORM</v>
          </cell>
        </row>
        <row r="1030">
          <cell r="A1030">
            <v>44280</v>
          </cell>
          <cell r="B1030" t="str">
            <v>D2103195-3</v>
          </cell>
          <cell r="C1030" t="str">
            <v>104/20</v>
          </cell>
          <cell r="D1030">
            <v>2</v>
          </cell>
          <cell r="E1030">
            <v>44280</v>
          </cell>
          <cell r="F1030" t="str">
            <v>DC</v>
          </cell>
          <cell r="G1030" t="str">
            <v>On Time</v>
          </cell>
          <cell r="H1030" t="str">
            <v>L443895</v>
          </cell>
          <cell r="I1030">
            <v>44278</v>
          </cell>
          <cell r="J1030" t="str">
            <v>ATI</v>
          </cell>
          <cell r="K1030" t="str">
            <v>D2103195</v>
          </cell>
          <cell r="L1030">
            <v>3</v>
          </cell>
          <cell r="M1030" t="str">
            <v>AAD28290</v>
          </cell>
          <cell r="N1030">
            <v>862321</v>
          </cell>
          <cell r="O1030" t="str">
            <v xml:space="preserve">1.4401/1.4404 TP316/316L </v>
          </cell>
          <cell r="P1030" t="str">
            <v>316L</v>
          </cell>
          <cell r="Q1030">
            <v>2.323</v>
          </cell>
          <cell r="R1030">
            <v>2.3195000000000001</v>
          </cell>
          <cell r="S1030">
            <v>4.7E-2</v>
          </cell>
          <cell r="T1030">
            <v>4.6949999999999999E-2</v>
          </cell>
          <cell r="U1030">
            <v>4.675E-2</v>
          </cell>
          <cell r="V1030">
            <v>4.6850000000000003E-2</v>
          </cell>
          <cell r="W1030" t="str">
            <v>BRS</v>
          </cell>
          <cell r="X1030">
            <v>2988</v>
          </cell>
          <cell r="Y1030">
            <v>3</v>
          </cell>
          <cell r="Z1030">
            <v>428.75591907016792</v>
          </cell>
          <cell r="AA1030" t="str">
            <v>2.323X0.047-316L</v>
          </cell>
          <cell r="AB1030" t="str">
            <v>WAAF005900120B300027</v>
          </cell>
          <cell r="AC1030" t="str">
            <v>D2103195</v>
          </cell>
          <cell r="AD1030">
            <v>862321</v>
          </cell>
          <cell r="AE1030">
            <v>1.9E-2</v>
          </cell>
          <cell r="AF1030">
            <v>1.66</v>
          </cell>
          <cell r="AG1030">
            <v>2.9000000000000001E-2</v>
          </cell>
          <cell r="AH1030">
            <v>0</v>
          </cell>
          <cell r="AI1030">
            <v>0.44</v>
          </cell>
          <cell r="AJ1030">
            <v>16.7</v>
          </cell>
          <cell r="AK1030">
            <v>10.1</v>
          </cell>
          <cell r="AL1030">
            <v>0.05</v>
          </cell>
          <cell r="AM1030">
            <v>2.04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  <cell r="AR1030">
            <v>0</v>
          </cell>
          <cell r="AS1030">
            <v>0</v>
          </cell>
          <cell r="AT1030">
            <v>288</v>
          </cell>
          <cell r="AU1030">
            <v>0</v>
          </cell>
          <cell r="AV1030">
            <v>603</v>
          </cell>
          <cell r="AW1030">
            <v>60</v>
          </cell>
          <cell r="AX1030">
            <v>75</v>
          </cell>
          <cell r="AY1030">
            <v>137</v>
          </cell>
          <cell r="AZ1030">
            <v>1.7939000000000001</v>
          </cell>
          <cell r="BA1030" t="str">
            <v>D2103195</v>
          </cell>
          <cell r="BB1030" t="str">
            <v>CONFORM</v>
          </cell>
          <cell r="BC1030" t="str">
            <v>CONFORM</v>
          </cell>
          <cell r="BD1030" t="str">
            <v>CONFORM</v>
          </cell>
          <cell r="BE1030" t="str">
            <v>CONFORM</v>
          </cell>
          <cell r="BF1030" t="str">
            <v>CONFORM</v>
          </cell>
        </row>
        <row r="1031">
          <cell r="A1031">
            <v>44280</v>
          </cell>
          <cell r="B1031" t="str">
            <v>D2103196-1</v>
          </cell>
          <cell r="C1031" t="str">
            <v>026/21</v>
          </cell>
          <cell r="D1031">
            <v>1</v>
          </cell>
          <cell r="E1031">
            <v>44280</v>
          </cell>
          <cell r="F1031" t="str">
            <v>DC</v>
          </cell>
          <cell r="G1031" t="str">
            <v>On Time</v>
          </cell>
          <cell r="H1031">
            <v>2408101239</v>
          </cell>
          <cell r="I1031">
            <v>44280</v>
          </cell>
          <cell r="J1031" t="str">
            <v>TKM</v>
          </cell>
          <cell r="K1031" t="str">
            <v>D2103196</v>
          </cell>
          <cell r="L1031">
            <v>1</v>
          </cell>
          <cell r="M1031">
            <v>692674</v>
          </cell>
          <cell r="N1031">
            <v>861011</v>
          </cell>
          <cell r="O1031" t="str">
            <v xml:space="preserve">1.4462 UNS S31803/S32205 </v>
          </cell>
          <cell r="P1031" t="str">
            <v>2205</v>
          </cell>
          <cell r="Q1031">
            <v>2.2639999999999998</v>
          </cell>
          <cell r="R1031">
            <v>2.2589999999999999</v>
          </cell>
          <cell r="S1031">
            <v>6.7000000000000004E-2</v>
          </cell>
          <cell r="T1031">
            <v>6.8449999999999997E-2</v>
          </cell>
          <cell r="U1031">
            <v>6.7849999999999994E-2</v>
          </cell>
          <cell r="V1031">
            <v>6.8149999999999988E-2</v>
          </cell>
          <cell r="W1031" t="str">
            <v>BRS</v>
          </cell>
          <cell r="X1031">
            <v>3472</v>
          </cell>
          <cell r="Y1031">
            <v>6</v>
          </cell>
          <cell r="Z1031">
            <v>255.59481743227326</v>
          </cell>
          <cell r="AA1031" t="str">
            <v>2.264X0.067-2205</v>
          </cell>
          <cell r="AB1031" t="str">
            <v>WACN005750170B300113</v>
          </cell>
          <cell r="AC1031" t="str">
            <v>D2103196</v>
          </cell>
          <cell r="AD1031">
            <v>861011</v>
          </cell>
          <cell r="AE1031">
            <v>1.9E-2</v>
          </cell>
          <cell r="AF1031">
            <v>1.8</v>
          </cell>
          <cell r="AG1031">
            <v>2.7E-2</v>
          </cell>
          <cell r="AH1031">
            <v>0</v>
          </cell>
          <cell r="AI1031">
            <v>0.49</v>
          </cell>
          <cell r="AJ1031">
            <v>22.4</v>
          </cell>
          <cell r="AK1031">
            <v>5.3</v>
          </cell>
          <cell r="AL1031">
            <v>3.1</v>
          </cell>
          <cell r="AM1031">
            <v>3.1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  <cell r="AR1031">
            <v>0</v>
          </cell>
          <cell r="AS1031">
            <v>0</v>
          </cell>
          <cell r="AT1031">
            <v>656</v>
          </cell>
          <cell r="AU1031">
            <v>0</v>
          </cell>
          <cell r="AV1031">
            <v>867</v>
          </cell>
          <cell r="AW1031">
            <v>31</v>
          </cell>
          <cell r="AX1031">
            <v>25</v>
          </cell>
          <cell r="AY1031">
            <v>266</v>
          </cell>
          <cell r="AZ1031">
            <v>2.4784999999999999</v>
          </cell>
          <cell r="BA1031" t="str">
            <v>D2103196</v>
          </cell>
          <cell r="BB1031" t="str">
            <v>CONFORM</v>
          </cell>
          <cell r="BC1031" t="str">
            <v>CONFORM</v>
          </cell>
          <cell r="BD1031" t="str">
            <v>CONFORM</v>
          </cell>
          <cell r="BE1031" t="str">
            <v>CONFORM</v>
          </cell>
          <cell r="BF1031" t="str">
            <v>CONFORM</v>
          </cell>
        </row>
        <row r="1032">
          <cell r="A1032">
            <v>44280</v>
          </cell>
          <cell r="B1032" t="str">
            <v>D2103196-2</v>
          </cell>
          <cell r="C1032" t="str">
            <v>026/21</v>
          </cell>
          <cell r="D1032">
            <v>1</v>
          </cell>
          <cell r="E1032">
            <v>44280</v>
          </cell>
          <cell r="F1032" t="str">
            <v>DC</v>
          </cell>
          <cell r="G1032" t="str">
            <v>On Time</v>
          </cell>
          <cell r="H1032">
            <v>2408101239</v>
          </cell>
          <cell r="I1032">
            <v>44280</v>
          </cell>
          <cell r="J1032" t="str">
            <v>TKM</v>
          </cell>
          <cell r="K1032" t="str">
            <v>D2103196</v>
          </cell>
          <cell r="L1032">
            <v>2</v>
          </cell>
          <cell r="M1032">
            <v>692674</v>
          </cell>
          <cell r="N1032">
            <v>861011</v>
          </cell>
          <cell r="O1032" t="str">
            <v xml:space="preserve">1.4462 UNS S31803/S32205 </v>
          </cell>
          <cell r="P1032" t="str">
            <v>2205</v>
          </cell>
          <cell r="Q1032">
            <v>2.2639999999999998</v>
          </cell>
          <cell r="R1032">
            <v>2.2574999999999998</v>
          </cell>
          <cell r="S1032">
            <v>6.7000000000000004E-2</v>
          </cell>
          <cell r="T1032">
            <v>6.7949999999999997E-2</v>
          </cell>
          <cell r="U1032">
            <v>7.1400000000000005E-2</v>
          </cell>
          <cell r="V1032">
            <v>6.9675000000000001E-2</v>
          </cell>
          <cell r="W1032" t="str">
            <v>BRS</v>
          </cell>
          <cell r="X1032">
            <v>3470</v>
          </cell>
          <cell r="Y1032">
            <v>6</v>
          </cell>
          <cell r="Z1032">
            <v>255.44758539458189</v>
          </cell>
          <cell r="AA1032" t="str">
            <v>2.264X0.067-2205</v>
          </cell>
          <cell r="AB1032" t="str">
            <v>WACN005750170B300113</v>
          </cell>
          <cell r="AC1032" t="str">
            <v>D2103196</v>
          </cell>
          <cell r="AD1032">
            <v>861011</v>
          </cell>
          <cell r="AE1032">
            <v>1.9E-2</v>
          </cell>
          <cell r="AF1032">
            <v>1.8</v>
          </cell>
          <cell r="AG1032">
            <v>2.7E-2</v>
          </cell>
          <cell r="AH1032">
            <v>0</v>
          </cell>
          <cell r="AI1032">
            <v>0.49</v>
          </cell>
          <cell r="AJ1032">
            <v>22.4</v>
          </cell>
          <cell r="AK1032">
            <v>5.3</v>
          </cell>
          <cell r="AL1032">
            <v>3.1</v>
          </cell>
          <cell r="AM1032">
            <v>3.1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  <cell r="AR1032">
            <v>0</v>
          </cell>
          <cell r="AS1032">
            <v>0</v>
          </cell>
          <cell r="AT1032">
            <v>656</v>
          </cell>
          <cell r="AU1032">
            <v>0</v>
          </cell>
          <cell r="AV1032">
            <v>867</v>
          </cell>
          <cell r="AW1032">
            <v>31</v>
          </cell>
          <cell r="AX1032">
            <v>25</v>
          </cell>
          <cell r="AY1032">
            <v>266</v>
          </cell>
          <cell r="AZ1032">
            <v>2.4784999999999999</v>
          </cell>
          <cell r="BA1032" t="str">
            <v>D2103196</v>
          </cell>
          <cell r="BB1032" t="str">
            <v>CONFORM</v>
          </cell>
          <cell r="BC1032" t="str">
            <v>CONFORM</v>
          </cell>
          <cell r="BD1032" t="str">
            <v>CONFORM</v>
          </cell>
          <cell r="BE1032" t="str">
            <v>CONFORM</v>
          </cell>
          <cell r="BF1032" t="str">
            <v>CONFORM</v>
          </cell>
        </row>
        <row r="1033">
          <cell r="A1033">
            <v>44280</v>
          </cell>
          <cell r="B1033" t="str">
            <v>D2103196-3</v>
          </cell>
          <cell r="C1033" t="str">
            <v>026/21</v>
          </cell>
          <cell r="D1033">
            <v>1</v>
          </cell>
          <cell r="E1033">
            <v>44280</v>
          </cell>
          <cell r="F1033" t="str">
            <v>DC</v>
          </cell>
          <cell r="G1033" t="str">
            <v>On Time</v>
          </cell>
          <cell r="H1033">
            <v>2408101239</v>
          </cell>
          <cell r="I1033">
            <v>44280</v>
          </cell>
          <cell r="J1033" t="str">
            <v>TKM</v>
          </cell>
          <cell r="K1033" t="str">
            <v>D2103196</v>
          </cell>
          <cell r="L1033">
            <v>3</v>
          </cell>
          <cell r="M1033">
            <v>692674</v>
          </cell>
          <cell r="N1033">
            <v>861011</v>
          </cell>
          <cell r="O1033" t="str">
            <v xml:space="preserve">1.4462 UNS S31803/S32205 </v>
          </cell>
          <cell r="P1033" t="str">
            <v>2205</v>
          </cell>
          <cell r="Q1033">
            <v>2.2639999999999998</v>
          </cell>
          <cell r="R1033">
            <v>2.258</v>
          </cell>
          <cell r="S1033">
            <v>6.7000000000000004E-2</v>
          </cell>
          <cell r="T1033">
            <v>6.8349999999999994E-2</v>
          </cell>
          <cell r="U1033">
            <v>7.1150000000000005E-2</v>
          </cell>
          <cell r="V1033">
            <v>6.9750000000000006E-2</v>
          </cell>
          <cell r="W1033" t="str">
            <v>BRS</v>
          </cell>
          <cell r="X1033">
            <v>1722</v>
          </cell>
          <cell r="Y1033">
            <v>3</v>
          </cell>
          <cell r="Z1033">
            <v>253.53356890459366</v>
          </cell>
          <cell r="AA1033" t="str">
            <v>2.264X0.067-2205</v>
          </cell>
          <cell r="AB1033" t="str">
            <v>WACN005750170B300113</v>
          </cell>
          <cell r="AC1033" t="str">
            <v>D2103196</v>
          </cell>
          <cell r="AD1033">
            <v>861011</v>
          </cell>
          <cell r="AE1033">
            <v>1.9E-2</v>
          </cell>
          <cell r="AF1033">
            <v>1.8</v>
          </cell>
          <cell r="AG1033">
            <v>2.7E-2</v>
          </cell>
          <cell r="AH1033">
            <v>0</v>
          </cell>
          <cell r="AI1033">
            <v>0.49</v>
          </cell>
          <cell r="AJ1033">
            <v>22.4</v>
          </cell>
          <cell r="AK1033">
            <v>5.3</v>
          </cell>
          <cell r="AL1033">
            <v>3.1</v>
          </cell>
          <cell r="AM1033">
            <v>3.1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  <cell r="AR1033">
            <v>0</v>
          </cell>
          <cell r="AS1033">
            <v>0</v>
          </cell>
          <cell r="AT1033">
            <v>656</v>
          </cell>
          <cell r="AU1033">
            <v>0</v>
          </cell>
          <cell r="AV1033">
            <v>867</v>
          </cell>
          <cell r="AW1033">
            <v>31</v>
          </cell>
          <cell r="AX1033">
            <v>25</v>
          </cell>
          <cell r="AY1033">
            <v>266</v>
          </cell>
          <cell r="AZ1033">
            <v>2.4784999999999999</v>
          </cell>
          <cell r="BA1033" t="str">
            <v>D2103196</v>
          </cell>
          <cell r="BB1033" t="str">
            <v>CONFORM</v>
          </cell>
          <cell r="BC1033" t="str">
            <v>CONFORM</v>
          </cell>
          <cell r="BD1033" t="str">
            <v>CONFORM</v>
          </cell>
          <cell r="BE1033" t="str">
            <v>CONFORM</v>
          </cell>
          <cell r="BF1033" t="str">
            <v>CONFORM</v>
          </cell>
        </row>
        <row r="1034">
          <cell r="A1034">
            <v>44280</v>
          </cell>
          <cell r="B1034" t="str">
            <v>D2103197-1</v>
          </cell>
          <cell r="C1034" t="str">
            <v>026/21</v>
          </cell>
          <cell r="D1034">
            <v>2</v>
          </cell>
          <cell r="E1034">
            <v>44280</v>
          </cell>
          <cell r="F1034" t="str">
            <v>DC</v>
          </cell>
          <cell r="G1034" t="str">
            <v>On Time</v>
          </cell>
          <cell r="H1034">
            <v>2408101239</v>
          </cell>
          <cell r="I1034">
            <v>44280</v>
          </cell>
          <cell r="J1034" t="str">
            <v>TKM</v>
          </cell>
          <cell r="K1034" t="str">
            <v>D2103197</v>
          </cell>
          <cell r="L1034">
            <v>1</v>
          </cell>
          <cell r="M1034">
            <v>692674</v>
          </cell>
          <cell r="N1034">
            <v>861011</v>
          </cell>
          <cell r="O1034" t="str">
            <v xml:space="preserve">1.4462 UNS S31803/S32205 </v>
          </cell>
          <cell r="P1034" t="str">
            <v>2205</v>
          </cell>
          <cell r="Q1034">
            <v>3.0550000000000002</v>
          </cell>
          <cell r="R1034">
            <v>3.0495000000000001</v>
          </cell>
          <cell r="S1034">
            <v>6.7000000000000004E-2</v>
          </cell>
          <cell r="T1034">
            <v>6.83E-2</v>
          </cell>
          <cell r="U1034">
            <v>7.1650000000000005E-2</v>
          </cell>
          <cell r="V1034">
            <v>6.9975000000000009E-2</v>
          </cell>
          <cell r="W1034" t="str">
            <v>BRS</v>
          </cell>
          <cell r="X1034">
            <v>1536</v>
          </cell>
          <cell r="Y1034">
            <v>2</v>
          </cell>
          <cell r="Z1034">
            <v>251.39116202945988</v>
          </cell>
          <cell r="AA1034" t="str">
            <v>3.055X0.067-2205</v>
          </cell>
          <cell r="AB1034" t="str">
            <v>WACN005750170B300112</v>
          </cell>
          <cell r="AC1034" t="str">
            <v>D2103197</v>
          </cell>
          <cell r="AD1034">
            <v>861011</v>
          </cell>
          <cell r="AE1034">
            <v>1.9E-2</v>
          </cell>
          <cell r="AF1034">
            <v>1.8</v>
          </cell>
          <cell r="AG1034">
            <v>2.7E-2</v>
          </cell>
          <cell r="AH1034">
            <v>0</v>
          </cell>
          <cell r="AI1034">
            <v>0.49</v>
          </cell>
          <cell r="AJ1034">
            <v>22.4</v>
          </cell>
          <cell r="AK1034">
            <v>5.3</v>
          </cell>
          <cell r="AL1034">
            <v>3.1</v>
          </cell>
          <cell r="AM1034">
            <v>3.1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  <cell r="AR1034">
            <v>0</v>
          </cell>
          <cell r="AS1034">
            <v>0</v>
          </cell>
          <cell r="AT1034">
            <v>656</v>
          </cell>
          <cell r="AU1034">
            <v>0</v>
          </cell>
          <cell r="AV1034">
            <v>867</v>
          </cell>
          <cell r="AW1034">
            <v>31</v>
          </cell>
          <cell r="AX1034">
            <v>25</v>
          </cell>
          <cell r="AY1034">
            <v>266</v>
          </cell>
          <cell r="AZ1034">
            <v>2.4784999999999999</v>
          </cell>
          <cell r="BA1034" t="str">
            <v>D2103197</v>
          </cell>
          <cell r="BB1034" t="str">
            <v>CONFORM</v>
          </cell>
          <cell r="BC1034" t="str">
            <v>CONFORM</v>
          </cell>
          <cell r="BD1034" t="str">
            <v>CONFORM</v>
          </cell>
          <cell r="BE1034" t="str">
            <v>CONFORM</v>
          </cell>
          <cell r="BF1034" t="str">
            <v>CONFORM</v>
          </cell>
        </row>
        <row r="1035">
          <cell r="A1035">
            <v>44284</v>
          </cell>
          <cell r="B1035" t="str">
            <v>D2103209-1</v>
          </cell>
          <cell r="C1035" t="str">
            <v>024/21</v>
          </cell>
          <cell r="D1035">
            <v>1</v>
          </cell>
          <cell r="E1035">
            <v>44284</v>
          </cell>
          <cell r="F1035" t="str">
            <v>DC</v>
          </cell>
          <cell r="G1035" t="str">
            <v>On Time</v>
          </cell>
          <cell r="H1035">
            <v>2408106338</v>
          </cell>
          <cell r="I1035">
            <v>44280</v>
          </cell>
          <cell r="J1035" t="str">
            <v>TKM</v>
          </cell>
          <cell r="K1035" t="str">
            <v>D2103209</v>
          </cell>
          <cell r="L1035">
            <v>1</v>
          </cell>
          <cell r="M1035">
            <v>691279</v>
          </cell>
          <cell r="N1035">
            <v>861011</v>
          </cell>
          <cell r="O1035" t="str">
            <v xml:space="preserve">1.4462 UNS S31803/S32205 </v>
          </cell>
          <cell r="P1035" t="str">
            <v>2205</v>
          </cell>
          <cell r="Q1035">
            <v>2.323</v>
          </cell>
          <cell r="R1035">
            <v>2.3180000000000001</v>
          </cell>
          <cell r="S1035">
            <v>4.7E-2</v>
          </cell>
          <cell r="T1035">
            <v>4.7199999999999999E-2</v>
          </cell>
          <cell r="U1035">
            <v>4.725E-2</v>
          </cell>
          <cell r="V1035">
            <v>4.7225000000000003E-2</v>
          </cell>
          <cell r="W1035" t="str">
            <v>SO</v>
          </cell>
          <cell r="X1035">
            <v>4336</v>
          </cell>
          <cell r="Y1035">
            <v>6</v>
          </cell>
          <cell r="Z1035">
            <v>311.09197876309366</v>
          </cell>
          <cell r="AA1035" t="str">
            <v>2.323X0.047-2205</v>
          </cell>
          <cell r="AB1035" t="str">
            <v>WACN005900120B300052</v>
          </cell>
          <cell r="AC1035" t="str">
            <v>D2103209</v>
          </cell>
          <cell r="AD1035">
            <v>861011</v>
          </cell>
          <cell r="AE1035">
            <v>1.9E-2</v>
          </cell>
          <cell r="AF1035">
            <v>1.8</v>
          </cell>
          <cell r="AG1035">
            <v>2.7E-2</v>
          </cell>
          <cell r="AH1035">
            <v>0</v>
          </cell>
          <cell r="AI1035">
            <v>0.49</v>
          </cell>
          <cell r="AJ1035">
            <v>22.4</v>
          </cell>
          <cell r="AK1035">
            <v>5.3</v>
          </cell>
          <cell r="AL1035">
            <v>0.17</v>
          </cell>
          <cell r="AM1035">
            <v>3.1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  <cell r="AR1035">
            <v>0</v>
          </cell>
          <cell r="AS1035">
            <v>0</v>
          </cell>
          <cell r="AT1035">
            <v>656</v>
          </cell>
          <cell r="AU1035">
            <v>0</v>
          </cell>
          <cell r="AV1035">
            <v>867</v>
          </cell>
          <cell r="AW1035">
            <v>31</v>
          </cell>
          <cell r="AX1035">
            <v>25</v>
          </cell>
          <cell r="AY1035">
            <v>266</v>
          </cell>
          <cell r="AZ1035">
            <v>2.5085000000000002</v>
          </cell>
          <cell r="BA1035" t="str">
            <v>D2103209</v>
          </cell>
          <cell r="BB1035" t="str">
            <v>CONFORM</v>
          </cell>
          <cell r="BC1035" t="str">
            <v>CONFORM</v>
          </cell>
          <cell r="BD1035" t="str">
            <v>CONFORM</v>
          </cell>
          <cell r="BE1035" t="str">
            <v>CONFORM</v>
          </cell>
          <cell r="BF1035" t="str">
            <v>CONFORM</v>
          </cell>
        </row>
        <row r="1036">
          <cell r="A1036">
            <v>44284</v>
          </cell>
          <cell r="B1036" t="str">
            <v>D2103209-2</v>
          </cell>
          <cell r="C1036" t="str">
            <v>024/21</v>
          </cell>
          <cell r="D1036">
            <v>1</v>
          </cell>
          <cell r="E1036">
            <v>44284</v>
          </cell>
          <cell r="F1036" t="str">
            <v>DC</v>
          </cell>
          <cell r="G1036" t="str">
            <v>On Time</v>
          </cell>
          <cell r="H1036">
            <v>2408106338</v>
          </cell>
          <cell r="I1036">
            <v>44280</v>
          </cell>
          <cell r="J1036" t="str">
            <v>TKM</v>
          </cell>
          <cell r="K1036" t="str">
            <v>D2103209</v>
          </cell>
          <cell r="L1036">
            <v>2</v>
          </cell>
          <cell r="M1036">
            <v>691279</v>
          </cell>
          <cell r="N1036">
            <v>861011</v>
          </cell>
          <cell r="O1036" t="str">
            <v xml:space="preserve">1.4462 UNS S31803/S32205 </v>
          </cell>
          <cell r="P1036" t="str">
            <v>2205</v>
          </cell>
          <cell r="Q1036">
            <v>2.323</v>
          </cell>
          <cell r="R1036">
            <v>2.3155000000000001</v>
          </cell>
          <cell r="S1036">
            <v>4.7E-2</v>
          </cell>
          <cell r="T1036">
            <v>4.6600000000000003E-2</v>
          </cell>
          <cell r="U1036">
            <v>4.6949999999999999E-2</v>
          </cell>
          <cell r="V1036">
            <v>4.6774999999999997E-2</v>
          </cell>
          <cell r="W1036" t="str">
            <v>SO</v>
          </cell>
          <cell r="X1036">
            <v>4300</v>
          </cell>
          <cell r="Y1036">
            <v>6</v>
          </cell>
          <cell r="Z1036">
            <v>308.5091117807433</v>
          </cell>
          <cell r="AA1036" t="str">
            <v>2.323X0.047-2205</v>
          </cell>
          <cell r="AB1036" t="str">
            <v>WACN005900120B300052</v>
          </cell>
          <cell r="AC1036" t="str">
            <v>D2103209</v>
          </cell>
          <cell r="AD1036">
            <v>861011</v>
          </cell>
          <cell r="AE1036">
            <v>1.9E-2</v>
          </cell>
          <cell r="AF1036">
            <v>1.8</v>
          </cell>
          <cell r="AG1036">
            <v>2.7E-2</v>
          </cell>
          <cell r="AH1036">
            <v>0</v>
          </cell>
          <cell r="AI1036">
            <v>0.49</v>
          </cell>
          <cell r="AJ1036">
            <v>22.4</v>
          </cell>
          <cell r="AK1036">
            <v>5.3</v>
          </cell>
          <cell r="AL1036">
            <v>0.17</v>
          </cell>
          <cell r="AM1036">
            <v>3.1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  <cell r="AS1036">
            <v>0</v>
          </cell>
          <cell r="AT1036">
            <v>656</v>
          </cell>
          <cell r="AU1036">
            <v>0</v>
          </cell>
          <cell r="AV1036">
            <v>867</v>
          </cell>
          <cell r="AW1036">
            <v>31</v>
          </cell>
          <cell r="AX1036">
            <v>25</v>
          </cell>
          <cell r="AY1036">
            <v>266</v>
          </cell>
          <cell r="AZ1036">
            <v>2.5085000000000002</v>
          </cell>
          <cell r="BA1036" t="str">
            <v>D2103209</v>
          </cell>
          <cell r="BB1036" t="str">
            <v>CONFORM</v>
          </cell>
          <cell r="BC1036" t="str">
            <v>CONFORM</v>
          </cell>
          <cell r="BD1036" t="str">
            <v>CONFORM</v>
          </cell>
          <cell r="BE1036" t="str">
            <v>CONFORM</v>
          </cell>
          <cell r="BF1036" t="str">
            <v>CONFORM</v>
          </cell>
        </row>
        <row r="1037">
          <cell r="A1037">
            <v>44284</v>
          </cell>
          <cell r="B1037" t="str">
            <v>D2103209-3</v>
          </cell>
          <cell r="C1037" t="str">
            <v>024/21</v>
          </cell>
          <cell r="D1037">
            <v>1</v>
          </cell>
          <cell r="E1037">
            <v>44284</v>
          </cell>
          <cell r="F1037" t="str">
            <v>DC</v>
          </cell>
          <cell r="G1037" t="str">
            <v>On Time</v>
          </cell>
          <cell r="H1037">
            <v>2408106338</v>
          </cell>
          <cell r="I1037">
            <v>44280</v>
          </cell>
          <cell r="J1037" t="str">
            <v>TKM</v>
          </cell>
          <cell r="K1037" t="str">
            <v>D2103209</v>
          </cell>
          <cell r="L1037">
            <v>3</v>
          </cell>
          <cell r="M1037">
            <v>692674</v>
          </cell>
          <cell r="N1037">
            <v>861011</v>
          </cell>
          <cell r="O1037" t="str">
            <v xml:space="preserve">1.4462 UNS S31803/S32205 </v>
          </cell>
          <cell r="P1037" t="str">
            <v>2205</v>
          </cell>
          <cell r="Q1037">
            <v>2.323</v>
          </cell>
          <cell r="R1037">
            <v>2.3210000000000002</v>
          </cell>
          <cell r="S1037">
            <v>4.7E-2</v>
          </cell>
          <cell r="T1037">
            <v>4.795E-2</v>
          </cell>
          <cell r="U1037">
            <v>4.7849999999999997E-2</v>
          </cell>
          <cell r="V1037">
            <v>4.7899999999999998E-2</v>
          </cell>
          <cell r="W1037" t="str">
            <v>SO</v>
          </cell>
          <cell r="X1037">
            <v>3962</v>
          </cell>
          <cell r="Y1037">
            <v>6</v>
          </cell>
          <cell r="Z1037">
            <v>284.2588606686756</v>
          </cell>
          <cell r="AA1037" t="str">
            <v>2.323X0.047-2205</v>
          </cell>
          <cell r="AB1037" t="str">
            <v>WACN005900120B300052</v>
          </cell>
          <cell r="AC1037" t="str">
            <v>D2103209</v>
          </cell>
          <cell r="AD1037">
            <v>861011</v>
          </cell>
          <cell r="AE1037">
            <v>1.9E-2</v>
          </cell>
          <cell r="AF1037">
            <v>1.8</v>
          </cell>
          <cell r="AG1037">
            <v>2.7E-2</v>
          </cell>
          <cell r="AH1037">
            <v>0</v>
          </cell>
          <cell r="AI1037">
            <v>0.49</v>
          </cell>
          <cell r="AJ1037">
            <v>22.4</v>
          </cell>
          <cell r="AK1037">
            <v>5.3</v>
          </cell>
          <cell r="AL1037">
            <v>0.17</v>
          </cell>
          <cell r="AM1037">
            <v>3.1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  <cell r="AS1037">
            <v>0</v>
          </cell>
          <cell r="AT1037">
            <v>656</v>
          </cell>
          <cell r="AU1037">
            <v>0</v>
          </cell>
          <cell r="AV1037">
            <v>867</v>
          </cell>
          <cell r="AW1037">
            <v>31</v>
          </cell>
          <cell r="AX1037">
            <v>25</v>
          </cell>
          <cell r="AY1037">
            <v>266</v>
          </cell>
          <cell r="AZ1037">
            <v>2.5085000000000002</v>
          </cell>
          <cell r="BA1037" t="str">
            <v>D2103209</v>
          </cell>
          <cell r="BB1037" t="str">
            <v>CONFORM</v>
          </cell>
          <cell r="BC1037" t="str">
            <v>CONFORM</v>
          </cell>
          <cell r="BD1037" t="str">
            <v>CONFORM</v>
          </cell>
          <cell r="BE1037" t="str">
            <v>CONFORM</v>
          </cell>
          <cell r="BF1037" t="str">
            <v>CONFORM</v>
          </cell>
        </row>
        <row r="1038">
          <cell r="A1038">
            <v>44284</v>
          </cell>
          <cell r="B1038" t="str">
            <v>D2103209-4</v>
          </cell>
          <cell r="C1038" t="str">
            <v>024/21</v>
          </cell>
          <cell r="D1038">
            <v>1</v>
          </cell>
          <cell r="E1038">
            <v>44284</v>
          </cell>
          <cell r="F1038" t="str">
            <v>DC</v>
          </cell>
          <cell r="G1038" t="str">
            <v>On Time</v>
          </cell>
          <cell r="H1038">
            <v>2408106338</v>
          </cell>
          <cell r="I1038">
            <v>44280</v>
          </cell>
          <cell r="J1038" t="str">
            <v>TKM</v>
          </cell>
          <cell r="K1038" t="str">
            <v>D2103209</v>
          </cell>
          <cell r="L1038">
            <v>4</v>
          </cell>
          <cell r="M1038">
            <v>692674</v>
          </cell>
          <cell r="N1038">
            <v>861011</v>
          </cell>
          <cell r="O1038" t="str">
            <v xml:space="preserve">1.4462 UNS S31803/S32205 </v>
          </cell>
          <cell r="P1038" t="str">
            <v>2205</v>
          </cell>
          <cell r="Q1038">
            <v>2.323</v>
          </cell>
          <cell r="R1038">
            <v>2.3165</v>
          </cell>
          <cell r="S1038">
            <v>4.7E-2</v>
          </cell>
          <cell r="T1038">
            <v>4.7849999999999997E-2</v>
          </cell>
          <cell r="U1038">
            <v>4.795E-2</v>
          </cell>
          <cell r="V1038">
            <v>4.7899999999999998E-2</v>
          </cell>
          <cell r="W1038" t="str">
            <v>SO</v>
          </cell>
          <cell r="X1038">
            <v>2624</v>
          </cell>
          <cell r="Y1038">
            <v>4</v>
          </cell>
          <cell r="Z1038">
            <v>282.39345673697807</v>
          </cell>
          <cell r="AA1038" t="str">
            <v>2.323X0.047-2205</v>
          </cell>
          <cell r="AB1038" t="str">
            <v>WACN005900120B300052</v>
          </cell>
          <cell r="AC1038" t="str">
            <v>D2103209</v>
          </cell>
          <cell r="AD1038">
            <v>861011</v>
          </cell>
          <cell r="AE1038">
            <v>1.9E-2</v>
          </cell>
          <cell r="AF1038">
            <v>1.8</v>
          </cell>
          <cell r="AG1038">
            <v>2.7E-2</v>
          </cell>
          <cell r="AH1038">
            <v>0</v>
          </cell>
          <cell r="AI1038">
            <v>0.49</v>
          </cell>
          <cell r="AJ1038">
            <v>22.4</v>
          </cell>
          <cell r="AK1038">
            <v>5.3</v>
          </cell>
          <cell r="AL1038">
            <v>0.17</v>
          </cell>
          <cell r="AM1038">
            <v>3.1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  <cell r="AS1038">
            <v>0</v>
          </cell>
          <cell r="AT1038">
            <v>656</v>
          </cell>
          <cell r="AU1038">
            <v>0</v>
          </cell>
          <cell r="AV1038">
            <v>867</v>
          </cell>
          <cell r="AW1038">
            <v>31</v>
          </cell>
          <cell r="AX1038">
            <v>25</v>
          </cell>
          <cell r="AY1038">
            <v>266</v>
          </cell>
          <cell r="AZ1038">
            <v>2.5085000000000002</v>
          </cell>
          <cell r="BA1038" t="str">
            <v>D2103209</v>
          </cell>
          <cell r="BB1038" t="str">
            <v>CONFORM</v>
          </cell>
          <cell r="BC1038" t="str">
            <v>CONFORM</v>
          </cell>
          <cell r="BD1038" t="str">
            <v>CONFORM</v>
          </cell>
          <cell r="BE1038" t="str">
            <v>CONFORM</v>
          </cell>
          <cell r="BF1038" t="str">
            <v>CONFORM</v>
          </cell>
        </row>
        <row r="1039">
          <cell r="A1039">
            <v>44284</v>
          </cell>
          <cell r="B1039" t="str">
            <v>D2103209-5</v>
          </cell>
          <cell r="C1039" t="str">
            <v>024/21</v>
          </cell>
          <cell r="D1039">
            <v>1</v>
          </cell>
          <cell r="E1039">
            <v>44284</v>
          </cell>
          <cell r="F1039" t="str">
            <v>DC</v>
          </cell>
          <cell r="G1039" t="str">
            <v>On Time</v>
          </cell>
          <cell r="H1039">
            <v>2408106338</v>
          </cell>
          <cell r="I1039">
            <v>44280</v>
          </cell>
          <cell r="J1039" t="str">
            <v>TKM</v>
          </cell>
          <cell r="K1039" t="str">
            <v>D2103209</v>
          </cell>
          <cell r="L1039">
            <v>5</v>
          </cell>
          <cell r="M1039">
            <v>691278</v>
          </cell>
          <cell r="N1039">
            <v>861011</v>
          </cell>
          <cell r="O1039" t="str">
            <v xml:space="preserve">1.4462 UNS S31803/S32205 </v>
          </cell>
          <cell r="P1039" t="str">
            <v>2205</v>
          </cell>
          <cell r="Q1039">
            <v>2.323</v>
          </cell>
          <cell r="R1039">
            <v>2.3155000000000001</v>
          </cell>
          <cell r="S1039">
            <v>4.7E-2</v>
          </cell>
          <cell r="T1039">
            <v>4.8300000000000003E-2</v>
          </cell>
          <cell r="U1039">
            <v>4.8250000000000001E-2</v>
          </cell>
          <cell r="V1039">
            <v>4.8274999999999998E-2</v>
          </cell>
          <cell r="W1039" t="str">
            <v>SO</v>
          </cell>
          <cell r="X1039">
            <v>4410</v>
          </cell>
          <cell r="Y1039">
            <v>6</v>
          </cell>
          <cell r="Z1039">
            <v>316.40120533792509</v>
          </cell>
          <cell r="AA1039" t="str">
            <v>2.323X0.047-2205</v>
          </cell>
          <cell r="AB1039" t="str">
            <v>WACN005900120B300052</v>
          </cell>
          <cell r="AC1039" t="str">
            <v>D2103209</v>
          </cell>
          <cell r="AD1039">
            <v>861011</v>
          </cell>
          <cell r="AE1039">
            <v>1.9E-2</v>
          </cell>
          <cell r="AF1039">
            <v>1.8</v>
          </cell>
          <cell r="AG1039">
            <v>2.7E-2</v>
          </cell>
          <cell r="AH1039">
            <v>0</v>
          </cell>
          <cell r="AI1039">
            <v>0.49</v>
          </cell>
          <cell r="AJ1039">
            <v>22.4</v>
          </cell>
          <cell r="AK1039">
            <v>5.3</v>
          </cell>
          <cell r="AL1039">
            <v>0.17</v>
          </cell>
          <cell r="AM1039">
            <v>3.1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  <cell r="AR1039">
            <v>0</v>
          </cell>
          <cell r="AS1039">
            <v>0</v>
          </cell>
          <cell r="AT1039">
            <v>656</v>
          </cell>
          <cell r="AU1039">
            <v>0</v>
          </cell>
          <cell r="AV1039">
            <v>867</v>
          </cell>
          <cell r="AW1039">
            <v>31</v>
          </cell>
          <cell r="AX1039">
            <v>25</v>
          </cell>
          <cell r="AY1039">
            <v>266</v>
          </cell>
          <cell r="AZ1039">
            <v>2.5085000000000002</v>
          </cell>
          <cell r="BA1039" t="str">
            <v>D2103209</v>
          </cell>
          <cell r="BB1039" t="str">
            <v>CONFORM</v>
          </cell>
          <cell r="BC1039" t="str">
            <v>CONFORM</v>
          </cell>
          <cell r="BD1039" t="str">
            <v>CONFORM</v>
          </cell>
          <cell r="BE1039" t="str">
            <v>CONFORM</v>
          </cell>
          <cell r="BF1039" t="str">
            <v>CONFORM</v>
          </cell>
        </row>
        <row r="1040">
          <cell r="A1040">
            <v>44284</v>
          </cell>
          <cell r="B1040" t="str">
            <v>D2103209-6</v>
          </cell>
          <cell r="C1040" t="str">
            <v>024/21</v>
          </cell>
          <cell r="D1040">
            <v>1</v>
          </cell>
          <cell r="E1040">
            <v>44284</v>
          </cell>
          <cell r="F1040" t="str">
            <v>DC</v>
          </cell>
          <cell r="G1040" t="str">
            <v>On Time</v>
          </cell>
          <cell r="H1040">
            <v>2408106338</v>
          </cell>
          <cell r="I1040">
            <v>44280</v>
          </cell>
          <cell r="J1040" t="str">
            <v>TKM</v>
          </cell>
          <cell r="K1040" t="str">
            <v>D2103209</v>
          </cell>
          <cell r="L1040">
            <v>6</v>
          </cell>
          <cell r="M1040">
            <v>691278</v>
          </cell>
          <cell r="N1040">
            <v>861011</v>
          </cell>
          <cell r="O1040" t="str">
            <v xml:space="preserve">1.4462 UNS S31803/S32205 </v>
          </cell>
          <cell r="P1040" t="str">
            <v>2205</v>
          </cell>
          <cell r="Q1040">
            <v>2.323</v>
          </cell>
          <cell r="R1040">
            <v>2.3170000000000002</v>
          </cell>
          <cell r="S1040">
            <v>4.7E-2</v>
          </cell>
          <cell r="T1040">
            <v>4.7800000000000002E-2</v>
          </cell>
          <cell r="U1040">
            <v>4.7899999999999998E-2</v>
          </cell>
          <cell r="V1040">
            <v>4.7850000000000004E-2</v>
          </cell>
          <cell r="W1040" t="str">
            <v>SO</v>
          </cell>
          <cell r="X1040">
            <v>4382</v>
          </cell>
          <cell r="Y1040">
            <v>6</v>
          </cell>
          <cell r="Z1040">
            <v>314.39230879609704</v>
          </cell>
          <cell r="AA1040" t="str">
            <v>2.323X0.047-2205</v>
          </cell>
          <cell r="AB1040" t="str">
            <v>WACN005900120B300052</v>
          </cell>
          <cell r="AC1040" t="str">
            <v>D2103209</v>
          </cell>
          <cell r="AD1040">
            <v>861011</v>
          </cell>
          <cell r="AE1040">
            <v>1.9E-2</v>
          </cell>
          <cell r="AF1040">
            <v>1.8</v>
          </cell>
          <cell r="AG1040">
            <v>2.7E-2</v>
          </cell>
          <cell r="AH1040">
            <v>0</v>
          </cell>
          <cell r="AI1040">
            <v>0.49</v>
          </cell>
          <cell r="AJ1040">
            <v>22.4</v>
          </cell>
          <cell r="AK1040">
            <v>5.3</v>
          </cell>
          <cell r="AL1040">
            <v>0.17</v>
          </cell>
          <cell r="AM1040">
            <v>3.1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  <cell r="AR1040">
            <v>0</v>
          </cell>
          <cell r="AS1040">
            <v>0</v>
          </cell>
          <cell r="AT1040">
            <v>656</v>
          </cell>
          <cell r="AU1040">
            <v>0</v>
          </cell>
          <cell r="AV1040">
            <v>867</v>
          </cell>
          <cell r="AW1040">
            <v>31</v>
          </cell>
          <cell r="AX1040">
            <v>25</v>
          </cell>
          <cell r="AY1040">
            <v>266</v>
          </cell>
          <cell r="AZ1040">
            <v>2.5085000000000002</v>
          </cell>
          <cell r="BA1040" t="str">
            <v>D2103209</v>
          </cell>
          <cell r="BB1040" t="str">
            <v>CONFORM</v>
          </cell>
          <cell r="BC1040" t="str">
            <v>CONFORM</v>
          </cell>
          <cell r="BD1040" t="str">
            <v>CONFORM</v>
          </cell>
          <cell r="BE1040" t="str">
            <v>CONFORM</v>
          </cell>
          <cell r="BF1040" t="str">
            <v>CONFORM</v>
          </cell>
        </row>
        <row r="1041">
          <cell r="A1041">
            <v>44284</v>
          </cell>
          <cell r="B1041" t="str">
            <v>D2103209-7</v>
          </cell>
          <cell r="C1041" t="str">
            <v>024/21</v>
          </cell>
          <cell r="D1041">
            <v>1</v>
          </cell>
          <cell r="E1041">
            <v>44284</v>
          </cell>
          <cell r="F1041" t="str">
            <v>DC</v>
          </cell>
          <cell r="G1041" t="str">
            <v>On Time</v>
          </cell>
          <cell r="H1041">
            <v>2408106338</v>
          </cell>
          <cell r="I1041">
            <v>44280</v>
          </cell>
          <cell r="J1041" t="str">
            <v>TKM</v>
          </cell>
          <cell r="K1041" t="str">
            <v>D2103209</v>
          </cell>
          <cell r="L1041">
            <v>7</v>
          </cell>
          <cell r="M1041">
            <v>692674</v>
          </cell>
          <cell r="N1041">
            <v>861011</v>
          </cell>
          <cell r="O1041" t="str">
            <v xml:space="preserve">1.4462 UNS S31803/S32205 </v>
          </cell>
          <cell r="P1041" t="str">
            <v>2205</v>
          </cell>
          <cell r="Q1041">
            <v>2.323</v>
          </cell>
          <cell r="R1041">
            <v>2.3239999999999998</v>
          </cell>
          <cell r="S1041">
            <v>4.7E-2</v>
          </cell>
          <cell r="T1041">
            <v>4.795E-2</v>
          </cell>
          <cell r="U1041">
            <v>4.8000000000000001E-2</v>
          </cell>
          <cell r="V1041">
            <v>4.7975000000000004E-2</v>
          </cell>
          <cell r="W1041" t="str">
            <v>SO</v>
          </cell>
          <cell r="X1041">
            <v>1321</v>
          </cell>
          <cell r="Y1041">
            <v>2</v>
          </cell>
          <cell r="Z1041">
            <v>284.33060697374088</v>
          </cell>
          <cell r="AA1041" t="str">
            <v>2.323X0.047-2205</v>
          </cell>
          <cell r="AB1041" t="str">
            <v>WACN005900120B300052</v>
          </cell>
          <cell r="AC1041" t="str">
            <v>D2103209</v>
          </cell>
          <cell r="AD1041">
            <v>861011</v>
          </cell>
          <cell r="AE1041">
            <v>1.9E-2</v>
          </cell>
          <cell r="AF1041">
            <v>1.8</v>
          </cell>
          <cell r="AG1041">
            <v>2.7E-2</v>
          </cell>
          <cell r="AH1041">
            <v>0</v>
          </cell>
          <cell r="AI1041">
            <v>0.49</v>
          </cell>
          <cell r="AJ1041">
            <v>22.4</v>
          </cell>
          <cell r="AK1041">
            <v>5.3</v>
          </cell>
          <cell r="AL1041">
            <v>0.17</v>
          </cell>
          <cell r="AM1041">
            <v>3.1</v>
          </cell>
          <cell r="AN1041">
            <v>0</v>
          </cell>
          <cell r="AO1041">
            <v>0</v>
          </cell>
          <cell r="AP1041">
            <v>0</v>
          </cell>
          <cell r="AQ1041">
            <v>0</v>
          </cell>
          <cell r="AR1041">
            <v>0</v>
          </cell>
          <cell r="AS1041">
            <v>0</v>
          </cell>
          <cell r="AT1041">
            <v>656</v>
          </cell>
          <cell r="AU1041">
            <v>0</v>
          </cell>
          <cell r="AV1041">
            <v>867</v>
          </cell>
          <cell r="AW1041">
            <v>31</v>
          </cell>
          <cell r="AX1041">
            <v>25</v>
          </cell>
          <cell r="AY1041">
            <v>266</v>
          </cell>
          <cell r="AZ1041">
            <v>2.5085000000000002</v>
          </cell>
          <cell r="BA1041" t="str">
            <v>D2103209</v>
          </cell>
          <cell r="BB1041" t="str">
            <v>CONFORM</v>
          </cell>
          <cell r="BC1041" t="str">
            <v>CONFORM</v>
          </cell>
          <cell r="BD1041" t="str">
            <v>CONFORM</v>
          </cell>
          <cell r="BE1041" t="str">
            <v>CONFORM</v>
          </cell>
          <cell r="BF1041" t="str">
            <v>CONFORM</v>
          </cell>
        </row>
        <row r="1042">
          <cell r="A1042">
            <v>44284</v>
          </cell>
          <cell r="B1042" t="str">
            <v>D2103210-1</v>
          </cell>
          <cell r="C1042" t="str">
            <v>024/21</v>
          </cell>
          <cell r="D1042">
            <v>2</v>
          </cell>
          <cell r="E1042">
            <v>44284</v>
          </cell>
          <cell r="F1042" t="str">
            <v>DC</v>
          </cell>
          <cell r="G1042" t="str">
            <v>On Time</v>
          </cell>
          <cell r="H1042">
            <v>2408098906</v>
          </cell>
          <cell r="I1042">
            <v>44280</v>
          </cell>
          <cell r="J1042" t="str">
            <v>TKM</v>
          </cell>
          <cell r="K1042" t="str">
            <v>D2103210</v>
          </cell>
          <cell r="L1042">
            <v>1</v>
          </cell>
          <cell r="M1042">
            <v>691279</v>
          </cell>
          <cell r="N1042">
            <v>861011</v>
          </cell>
          <cell r="O1042" t="str">
            <v xml:space="preserve">1.4462 UNS S31803/S32205 </v>
          </cell>
          <cell r="P1042" t="str">
            <v>2205</v>
          </cell>
          <cell r="Q1042">
            <v>3.1139999999999999</v>
          </cell>
          <cell r="R1042">
            <v>3.109</v>
          </cell>
          <cell r="S1042">
            <v>4.7E-2</v>
          </cell>
          <cell r="T1042">
            <v>4.7100000000000003E-2</v>
          </cell>
          <cell r="U1042">
            <v>4.7750000000000001E-2</v>
          </cell>
          <cell r="V1042">
            <v>4.7425000000000002E-2</v>
          </cell>
          <cell r="W1042" t="str">
            <v>SO</v>
          </cell>
          <cell r="X1042">
            <v>5800</v>
          </cell>
          <cell r="Y1042">
            <v>6</v>
          </cell>
          <cell r="Z1042">
            <v>310.42603296938557</v>
          </cell>
          <cell r="AA1042" t="str">
            <v>3.114X0.047-2205</v>
          </cell>
          <cell r="AB1042" t="str">
            <v>WACN007910120B300051</v>
          </cell>
          <cell r="AC1042" t="str">
            <v>D2103210</v>
          </cell>
          <cell r="AD1042">
            <v>861011</v>
          </cell>
          <cell r="AE1042">
            <v>1.9E-2</v>
          </cell>
          <cell r="AF1042">
            <v>1.8</v>
          </cell>
          <cell r="AG1042">
            <v>2.7E-2</v>
          </cell>
          <cell r="AH1042">
            <v>0</v>
          </cell>
          <cell r="AI1042">
            <v>0.49</v>
          </cell>
          <cell r="AJ1042">
            <v>22.4</v>
          </cell>
          <cell r="AK1042">
            <v>5.3</v>
          </cell>
          <cell r="AL1042">
            <v>0.17</v>
          </cell>
          <cell r="AM1042">
            <v>3.1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  <cell r="AR1042">
            <v>0</v>
          </cell>
          <cell r="AS1042">
            <v>0</v>
          </cell>
          <cell r="AT1042">
            <v>656</v>
          </cell>
          <cell r="AU1042">
            <v>0</v>
          </cell>
          <cell r="AV1042">
            <v>867</v>
          </cell>
          <cell r="AW1042">
            <v>31</v>
          </cell>
          <cell r="AX1042">
            <v>25</v>
          </cell>
          <cell r="AY1042">
            <v>266</v>
          </cell>
          <cell r="AZ1042">
            <v>2.5085000000000002</v>
          </cell>
          <cell r="BA1042" t="str">
            <v>D2103210</v>
          </cell>
          <cell r="BB1042" t="str">
            <v>CONFORM</v>
          </cell>
          <cell r="BC1042" t="str">
            <v>CONFORM</v>
          </cell>
          <cell r="BD1042" t="str">
            <v>CONFORM</v>
          </cell>
          <cell r="BE1042" t="str">
            <v>CONFORM</v>
          </cell>
          <cell r="BF1042" t="str">
            <v>CONFORM</v>
          </cell>
        </row>
        <row r="1043">
          <cell r="A1043">
            <v>44284</v>
          </cell>
          <cell r="B1043" t="str">
            <v>D2103210-2</v>
          </cell>
          <cell r="C1043" t="str">
            <v>024/21</v>
          </cell>
          <cell r="D1043">
            <v>2</v>
          </cell>
          <cell r="E1043">
            <v>44284</v>
          </cell>
          <cell r="F1043" t="str">
            <v>DC</v>
          </cell>
          <cell r="G1043" t="str">
            <v>On Time</v>
          </cell>
          <cell r="H1043">
            <v>2408098906</v>
          </cell>
          <cell r="I1043">
            <v>44280</v>
          </cell>
          <cell r="J1043" t="str">
            <v>TKM</v>
          </cell>
          <cell r="K1043" t="str">
            <v>D2103210</v>
          </cell>
          <cell r="L1043">
            <v>2</v>
          </cell>
          <cell r="M1043">
            <v>691278</v>
          </cell>
          <cell r="N1043">
            <v>861011</v>
          </cell>
          <cell r="O1043" t="str">
            <v xml:space="preserve">1.4462 UNS S31803/S32205 </v>
          </cell>
          <cell r="P1043" t="str">
            <v>2205</v>
          </cell>
          <cell r="Q1043">
            <v>3.1139999999999999</v>
          </cell>
          <cell r="R1043">
            <v>3.1150000000000002</v>
          </cell>
          <cell r="S1043">
            <v>4.7E-2</v>
          </cell>
          <cell r="T1043">
            <v>4.6850000000000003E-2</v>
          </cell>
          <cell r="U1043">
            <v>4.7800000000000002E-2</v>
          </cell>
          <cell r="V1043">
            <v>4.7325000000000006E-2</v>
          </cell>
          <cell r="W1043" t="str">
            <v>SO</v>
          </cell>
          <cell r="X1043">
            <v>5890</v>
          </cell>
          <cell r="Y1043">
            <v>6</v>
          </cell>
          <cell r="Z1043">
            <v>315.2429886533933</v>
          </cell>
          <cell r="AA1043" t="str">
            <v>3.114X0.047-2205</v>
          </cell>
          <cell r="AB1043" t="str">
            <v>WACN007910120B300051</v>
          </cell>
          <cell r="AC1043" t="str">
            <v>D2103210</v>
          </cell>
          <cell r="AD1043">
            <v>861011</v>
          </cell>
          <cell r="AE1043">
            <v>1.9E-2</v>
          </cell>
          <cell r="AF1043">
            <v>1.8</v>
          </cell>
          <cell r="AG1043">
            <v>2.7E-2</v>
          </cell>
          <cell r="AH1043">
            <v>0</v>
          </cell>
          <cell r="AI1043">
            <v>0.49</v>
          </cell>
          <cell r="AJ1043">
            <v>22.4</v>
          </cell>
          <cell r="AK1043">
            <v>5.3</v>
          </cell>
          <cell r="AL1043">
            <v>0.17</v>
          </cell>
          <cell r="AM1043">
            <v>3.1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  <cell r="AR1043">
            <v>0</v>
          </cell>
          <cell r="AS1043">
            <v>0</v>
          </cell>
          <cell r="AT1043">
            <v>656</v>
          </cell>
          <cell r="AU1043">
            <v>0</v>
          </cell>
          <cell r="AV1043">
            <v>867</v>
          </cell>
          <cell r="AW1043">
            <v>31</v>
          </cell>
          <cell r="AX1043">
            <v>25</v>
          </cell>
          <cell r="AY1043">
            <v>266</v>
          </cell>
          <cell r="AZ1043">
            <v>2.5085000000000002</v>
          </cell>
          <cell r="BA1043" t="str">
            <v>D2103210</v>
          </cell>
          <cell r="BB1043" t="str">
            <v>CONFORM</v>
          </cell>
          <cell r="BC1043" t="str">
            <v>CONFORM</v>
          </cell>
          <cell r="BD1043" t="str">
            <v>CONFORM</v>
          </cell>
          <cell r="BE1043" t="str">
            <v>CONFORM</v>
          </cell>
          <cell r="BF1043" t="str">
            <v>CONFORM</v>
          </cell>
        </row>
        <row r="1044">
          <cell r="A1044">
            <v>44284</v>
          </cell>
          <cell r="B1044" t="str">
            <v>D2103210-3</v>
          </cell>
          <cell r="C1044" t="str">
            <v>024/21</v>
          </cell>
          <cell r="D1044">
            <v>2</v>
          </cell>
          <cell r="E1044">
            <v>44284</v>
          </cell>
          <cell r="F1044" t="str">
            <v>DC</v>
          </cell>
          <cell r="G1044" t="str">
            <v>On Time</v>
          </cell>
          <cell r="H1044">
            <v>2408098906</v>
          </cell>
          <cell r="I1044">
            <v>44280</v>
          </cell>
          <cell r="J1044" t="str">
            <v>TKM</v>
          </cell>
          <cell r="K1044" t="str">
            <v>D2103210</v>
          </cell>
          <cell r="L1044">
            <v>3</v>
          </cell>
          <cell r="M1044">
            <v>692674</v>
          </cell>
          <cell r="N1044">
            <v>861011</v>
          </cell>
          <cell r="O1044" t="str">
            <v xml:space="preserve">1.4462 UNS S31803/S32205 </v>
          </cell>
          <cell r="P1044" t="str">
            <v>2205</v>
          </cell>
          <cell r="Q1044">
            <v>3.1139999999999999</v>
          </cell>
          <cell r="R1044">
            <v>3.1080000000000001</v>
          </cell>
          <cell r="S1044">
            <v>4.7E-2</v>
          </cell>
          <cell r="T1044">
            <v>4.7500000000000001E-2</v>
          </cell>
          <cell r="U1044">
            <v>4.7300000000000002E-2</v>
          </cell>
          <cell r="V1044">
            <v>4.7399999999999998E-2</v>
          </cell>
          <cell r="W1044" t="str">
            <v>SO</v>
          </cell>
          <cell r="X1044">
            <v>5292</v>
          </cell>
          <cell r="Y1044">
            <v>6</v>
          </cell>
          <cell r="Z1044">
            <v>283.23699421965318</v>
          </cell>
          <cell r="AA1044" t="str">
            <v>3.114X0.047-2205</v>
          </cell>
          <cell r="AB1044" t="str">
            <v>WACN007910120B300051</v>
          </cell>
          <cell r="AC1044" t="str">
            <v>D2103210</v>
          </cell>
          <cell r="AD1044">
            <v>861011</v>
          </cell>
          <cell r="AE1044">
            <v>1.9E-2</v>
          </cell>
          <cell r="AF1044">
            <v>1.8</v>
          </cell>
          <cell r="AG1044">
            <v>2.7E-2</v>
          </cell>
          <cell r="AH1044">
            <v>0</v>
          </cell>
          <cell r="AI1044">
            <v>0.49</v>
          </cell>
          <cell r="AJ1044">
            <v>22.4</v>
          </cell>
          <cell r="AK1044">
            <v>5.3</v>
          </cell>
          <cell r="AL1044">
            <v>0.17</v>
          </cell>
          <cell r="AM1044">
            <v>3.1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  <cell r="AR1044">
            <v>0</v>
          </cell>
          <cell r="AS1044">
            <v>0</v>
          </cell>
          <cell r="AT1044">
            <v>656</v>
          </cell>
          <cell r="AU1044">
            <v>0</v>
          </cell>
          <cell r="AV1044">
            <v>867</v>
          </cell>
          <cell r="AW1044">
            <v>31</v>
          </cell>
          <cell r="AX1044">
            <v>25</v>
          </cell>
          <cell r="AY1044">
            <v>266</v>
          </cell>
          <cell r="AZ1044">
            <v>2.5085000000000002</v>
          </cell>
          <cell r="BA1044" t="str">
            <v>D2103210</v>
          </cell>
          <cell r="BB1044" t="str">
            <v>CONFORM</v>
          </cell>
          <cell r="BC1044" t="str">
            <v>CONFORM</v>
          </cell>
          <cell r="BD1044" t="str">
            <v>CONFORM</v>
          </cell>
          <cell r="BE1044" t="str">
            <v>CONFORM</v>
          </cell>
          <cell r="BF1044" t="str">
            <v>CONFORM</v>
          </cell>
        </row>
        <row r="1045">
          <cell r="A1045">
            <v>44291</v>
          </cell>
          <cell r="B1045" t="str">
            <v>D2104024-1</v>
          </cell>
          <cell r="C1045" t="str">
            <v>027/21</v>
          </cell>
          <cell r="D1045">
            <v>4</v>
          </cell>
          <cell r="E1045">
            <v>44291</v>
          </cell>
          <cell r="F1045" t="str">
            <v>DC</v>
          </cell>
          <cell r="G1045" t="str">
            <v>On Time</v>
          </cell>
          <cell r="H1045">
            <v>200</v>
          </cell>
          <cell r="I1045">
            <v>44260</v>
          </cell>
          <cell r="J1045" t="str">
            <v>ADTI</v>
          </cell>
          <cell r="K1045" t="str">
            <v>D2104024</v>
          </cell>
          <cell r="L1045">
            <v>1</v>
          </cell>
          <cell r="M1045">
            <v>71412730</v>
          </cell>
          <cell r="N1045">
            <v>714127</v>
          </cell>
          <cell r="O1045" t="str">
            <v xml:space="preserve">1.4306 TP304L </v>
          </cell>
          <cell r="P1045" t="str">
            <v>304L</v>
          </cell>
          <cell r="Q1045">
            <v>3.1139999999999999</v>
          </cell>
          <cell r="R1045">
            <v>3.1179999999999999</v>
          </cell>
          <cell r="S1045">
            <v>4.7E-2</v>
          </cell>
          <cell r="T1045">
            <v>4.725E-2</v>
          </cell>
          <cell r="U1045">
            <v>4.7649999999999998E-2</v>
          </cell>
          <cell r="V1045">
            <v>4.7449999999999999E-2</v>
          </cell>
          <cell r="W1045" t="str">
            <v>SO</v>
          </cell>
          <cell r="X1045">
            <v>3686</v>
          </cell>
          <cell r="Y1045">
            <v>2</v>
          </cell>
          <cell r="Z1045">
            <v>591.84328837508031</v>
          </cell>
          <cell r="AA1045" t="str">
            <v>3.114X0.047-304L</v>
          </cell>
          <cell r="AB1045" t="str">
            <v>WAAC007910120B300030</v>
          </cell>
          <cell r="AC1045" t="str">
            <v>D2104024</v>
          </cell>
          <cell r="AD1045">
            <v>714127</v>
          </cell>
          <cell r="AE1045">
            <v>1.9E-2</v>
          </cell>
          <cell r="AF1045">
            <v>1.57</v>
          </cell>
          <cell r="AG1045">
            <v>3.1E-2</v>
          </cell>
          <cell r="AH1045">
            <v>3.0000000000000001E-3</v>
          </cell>
          <cell r="AI1045">
            <v>0.44</v>
          </cell>
          <cell r="AJ1045">
            <v>18.100000000000001</v>
          </cell>
          <cell r="AK1045">
            <v>8</v>
          </cell>
          <cell r="AL1045">
            <v>7.2999999999999995E-2</v>
          </cell>
          <cell r="AM1045">
            <v>0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  <cell r="AR1045">
            <v>0.16300000000000001</v>
          </cell>
          <cell r="AS1045">
            <v>0</v>
          </cell>
          <cell r="AT1045">
            <v>318</v>
          </cell>
          <cell r="AU1045">
            <v>335</v>
          </cell>
          <cell r="AV1045">
            <v>649</v>
          </cell>
          <cell r="AW1045">
            <v>51</v>
          </cell>
          <cell r="AX1045">
            <v>87</v>
          </cell>
          <cell r="AY1045">
            <v>172</v>
          </cell>
          <cell r="AZ1045">
            <v>1.478</v>
          </cell>
          <cell r="BA1045" t="str">
            <v>D2104024</v>
          </cell>
          <cell r="BB1045" t="str">
            <v>CONFORM</v>
          </cell>
          <cell r="BC1045" t="str">
            <v>CONFORM</v>
          </cell>
          <cell r="BD1045" t="str">
            <v>CONFORM</v>
          </cell>
          <cell r="BE1045" t="str">
            <v>CONFORM</v>
          </cell>
          <cell r="BF1045" t="str">
            <v>CONFORM</v>
          </cell>
        </row>
        <row r="1046">
          <cell r="A1046">
            <v>44291</v>
          </cell>
          <cell r="B1046" t="str">
            <v>D2104024-2</v>
          </cell>
          <cell r="C1046" t="str">
            <v>027/21</v>
          </cell>
          <cell r="D1046">
            <v>4</v>
          </cell>
          <cell r="E1046">
            <v>44291</v>
          </cell>
          <cell r="F1046" t="str">
            <v>DC</v>
          </cell>
          <cell r="G1046" t="str">
            <v>On Time</v>
          </cell>
          <cell r="H1046">
            <v>200</v>
          </cell>
          <cell r="I1046">
            <v>44260</v>
          </cell>
          <cell r="J1046" t="str">
            <v>ADTI</v>
          </cell>
          <cell r="K1046" t="str">
            <v>D2104024</v>
          </cell>
          <cell r="L1046">
            <v>2</v>
          </cell>
          <cell r="M1046">
            <v>71412730</v>
          </cell>
          <cell r="N1046">
            <v>714127</v>
          </cell>
          <cell r="O1046" t="str">
            <v xml:space="preserve">1.4306 TP304L </v>
          </cell>
          <cell r="P1046" t="str">
            <v>304L</v>
          </cell>
          <cell r="Q1046">
            <v>3.1139999999999999</v>
          </cell>
          <cell r="R1046">
            <v>0.13600000000000001</v>
          </cell>
          <cell r="S1046">
            <v>4.7E-2</v>
          </cell>
          <cell r="T1046">
            <v>4.7300000000000002E-2</v>
          </cell>
          <cell r="U1046">
            <v>4.6949999999999999E-2</v>
          </cell>
          <cell r="V1046">
            <v>4.7125E-2</v>
          </cell>
          <cell r="W1046" t="str">
            <v>SO</v>
          </cell>
          <cell r="X1046">
            <v>5767</v>
          </cell>
          <cell r="Y1046">
            <v>3</v>
          </cell>
          <cell r="Z1046">
            <v>617.31963177049886</v>
          </cell>
          <cell r="AA1046" t="str">
            <v>3.114X0.047-304L</v>
          </cell>
          <cell r="AB1046" t="str">
            <v>WAAC007910120B300030</v>
          </cell>
          <cell r="AC1046" t="str">
            <v>D2104024</v>
          </cell>
          <cell r="AD1046">
            <v>714127</v>
          </cell>
          <cell r="AE1046">
            <v>1.9E-2</v>
          </cell>
          <cell r="AF1046">
            <v>1.57</v>
          </cell>
          <cell r="AG1046">
            <v>3.1E-2</v>
          </cell>
          <cell r="AH1046">
            <v>3.0000000000000001E-3</v>
          </cell>
          <cell r="AI1046">
            <v>0.44</v>
          </cell>
          <cell r="AJ1046">
            <v>18.100000000000001</v>
          </cell>
          <cell r="AK1046">
            <v>8</v>
          </cell>
          <cell r="AL1046">
            <v>7.2999999999999995E-2</v>
          </cell>
          <cell r="AM1046">
            <v>0</v>
          </cell>
          <cell r="AN1046">
            <v>0</v>
          </cell>
          <cell r="AO1046">
            <v>0</v>
          </cell>
          <cell r="AP1046">
            <v>0</v>
          </cell>
          <cell r="AQ1046">
            <v>0</v>
          </cell>
          <cell r="AR1046">
            <v>0.16300000000000001</v>
          </cell>
          <cell r="AS1046">
            <v>0</v>
          </cell>
          <cell r="AT1046">
            <v>318</v>
          </cell>
          <cell r="AU1046">
            <v>335</v>
          </cell>
          <cell r="AV1046">
            <v>649</v>
          </cell>
          <cell r="AW1046">
            <v>51</v>
          </cell>
          <cell r="AX1046">
            <v>87</v>
          </cell>
          <cell r="AY1046">
            <v>172</v>
          </cell>
          <cell r="AZ1046">
            <v>1.478</v>
          </cell>
          <cell r="BA1046" t="str">
            <v>D2104024</v>
          </cell>
          <cell r="BB1046" t="str">
            <v>CONFORM</v>
          </cell>
          <cell r="BC1046" t="str">
            <v>CONFORM</v>
          </cell>
          <cell r="BD1046" t="str">
            <v>CONFORM</v>
          </cell>
          <cell r="BE1046" t="str">
            <v>CONFORM</v>
          </cell>
          <cell r="BF1046" t="str">
            <v>CONFORM</v>
          </cell>
        </row>
        <row r="1047">
          <cell r="A1047">
            <v>44291</v>
          </cell>
          <cell r="B1047" t="str">
            <v>D2104024-3</v>
          </cell>
          <cell r="C1047" t="str">
            <v>027/21</v>
          </cell>
          <cell r="D1047">
            <v>4</v>
          </cell>
          <cell r="E1047">
            <v>44291</v>
          </cell>
          <cell r="F1047" t="str">
            <v>DC</v>
          </cell>
          <cell r="G1047" t="str">
            <v>On Time</v>
          </cell>
          <cell r="H1047">
            <v>200</v>
          </cell>
          <cell r="I1047">
            <v>44260</v>
          </cell>
          <cell r="J1047" t="str">
            <v>ADTI</v>
          </cell>
          <cell r="K1047" t="str">
            <v>D2104024</v>
          </cell>
          <cell r="L1047">
            <v>3</v>
          </cell>
          <cell r="M1047">
            <v>71412730</v>
          </cell>
          <cell r="N1047">
            <v>714127</v>
          </cell>
          <cell r="O1047" t="str">
            <v xml:space="preserve">1.4306 TP304L </v>
          </cell>
          <cell r="P1047" t="str">
            <v>304L</v>
          </cell>
          <cell r="Q1047">
            <v>3.1139999999999999</v>
          </cell>
          <cell r="R1047">
            <v>3.1160000000000001</v>
          </cell>
          <cell r="S1047">
            <v>4.7E-2</v>
          </cell>
          <cell r="T1047">
            <v>4.7899999999999998E-2</v>
          </cell>
          <cell r="U1047">
            <v>4.7500000000000001E-2</v>
          </cell>
          <cell r="V1047">
            <v>4.7699999999999999E-2</v>
          </cell>
          <cell r="W1047" t="str">
            <v>SO</v>
          </cell>
          <cell r="X1047">
            <v>5767</v>
          </cell>
          <cell r="Y1047">
            <v>3</v>
          </cell>
          <cell r="Z1047">
            <v>617.31963177049886</v>
          </cell>
          <cell r="AA1047" t="str">
            <v>3.114X0.047-304L</v>
          </cell>
          <cell r="AB1047" t="str">
            <v>WAAC007910120B300030</v>
          </cell>
          <cell r="AC1047" t="str">
            <v>D2104024</v>
          </cell>
          <cell r="AD1047">
            <v>714127</v>
          </cell>
          <cell r="AE1047">
            <v>1.9E-2</v>
          </cell>
          <cell r="AF1047">
            <v>1.57</v>
          </cell>
          <cell r="AG1047">
            <v>3.1E-2</v>
          </cell>
          <cell r="AH1047">
            <v>3.0000000000000001E-3</v>
          </cell>
          <cell r="AI1047">
            <v>0.44</v>
          </cell>
          <cell r="AJ1047">
            <v>18.100000000000001</v>
          </cell>
          <cell r="AK1047">
            <v>8</v>
          </cell>
          <cell r="AL1047">
            <v>7.2999999999999995E-2</v>
          </cell>
          <cell r="AM1047">
            <v>0</v>
          </cell>
          <cell r="AN1047">
            <v>0</v>
          </cell>
          <cell r="AO1047">
            <v>0</v>
          </cell>
          <cell r="AP1047">
            <v>0</v>
          </cell>
          <cell r="AQ1047">
            <v>0</v>
          </cell>
          <cell r="AR1047">
            <v>0.16300000000000001</v>
          </cell>
          <cell r="AS1047">
            <v>0</v>
          </cell>
          <cell r="AT1047">
            <v>318</v>
          </cell>
          <cell r="AU1047">
            <v>335</v>
          </cell>
          <cell r="AV1047">
            <v>649</v>
          </cell>
          <cell r="AW1047">
            <v>51</v>
          </cell>
          <cell r="AX1047">
            <v>87</v>
          </cell>
          <cell r="AY1047">
            <v>172</v>
          </cell>
          <cell r="AZ1047">
            <v>1.478</v>
          </cell>
          <cell r="BA1047" t="str">
            <v>D2104024</v>
          </cell>
          <cell r="BB1047" t="str">
            <v>CONFORM</v>
          </cell>
          <cell r="BC1047" t="str">
            <v>CONFORM</v>
          </cell>
          <cell r="BD1047" t="str">
            <v>CONFORM</v>
          </cell>
          <cell r="BE1047" t="str">
            <v>CONFORM</v>
          </cell>
          <cell r="BF1047" t="str">
            <v>CONFORM</v>
          </cell>
        </row>
        <row r="1048">
          <cell r="A1048">
            <v>44291</v>
          </cell>
          <cell r="B1048" t="str">
            <v>D2104024-4</v>
          </cell>
          <cell r="C1048" t="str">
            <v>027/21</v>
          </cell>
          <cell r="D1048">
            <v>4</v>
          </cell>
          <cell r="E1048">
            <v>44291</v>
          </cell>
          <cell r="F1048" t="str">
            <v>DC</v>
          </cell>
          <cell r="G1048" t="str">
            <v>On Time</v>
          </cell>
          <cell r="H1048">
            <v>200</v>
          </cell>
          <cell r="I1048">
            <v>44260</v>
          </cell>
          <cell r="J1048" t="str">
            <v>ADTI</v>
          </cell>
          <cell r="K1048" t="str">
            <v>D2104024</v>
          </cell>
          <cell r="L1048">
            <v>4</v>
          </cell>
          <cell r="M1048">
            <v>71412730</v>
          </cell>
          <cell r="N1048">
            <v>714127</v>
          </cell>
          <cell r="O1048" t="str">
            <v xml:space="preserve">1.4306 TP304L </v>
          </cell>
          <cell r="P1048" t="str">
            <v>304L</v>
          </cell>
          <cell r="Q1048">
            <v>3.1139999999999999</v>
          </cell>
          <cell r="R1048">
            <v>3.1280000000000001</v>
          </cell>
          <cell r="S1048">
            <v>4.7E-2</v>
          </cell>
          <cell r="T1048">
            <v>4.8300000000000003E-2</v>
          </cell>
          <cell r="U1048">
            <v>4.7800000000000002E-2</v>
          </cell>
          <cell r="V1048">
            <v>4.8050000000000002E-2</v>
          </cell>
          <cell r="W1048" t="str">
            <v>SO</v>
          </cell>
          <cell r="X1048">
            <v>5763</v>
          </cell>
          <cell r="Y1048">
            <v>3</v>
          </cell>
          <cell r="Z1048">
            <v>616.8914579319204</v>
          </cell>
          <cell r="AA1048" t="str">
            <v>3.114X0.047-304L</v>
          </cell>
          <cell r="AB1048" t="str">
            <v>WAAC007910120B300030</v>
          </cell>
          <cell r="AC1048" t="str">
            <v>D2104024</v>
          </cell>
          <cell r="AD1048">
            <v>714127</v>
          </cell>
          <cell r="AE1048">
            <v>1.9E-2</v>
          </cell>
          <cell r="AF1048">
            <v>1.57</v>
          </cell>
          <cell r="AG1048">
            <v>3.1E-2</v>
          </cell>
          <cell r="AH1048">
            <v>3.0000000000000001E-3</v>
          </cell>
          <cell r="AI1048">
            <v>0.44</v>
          </cell>
          <cell r="AJ1048">
            <v>18.100000000000001</v>
          </cell>
          <cell r="AK1048">
            <v>8</v>
          </cell>
          <cell r="AL1048">
            <v>7.2999999999999995E-2</v>
          </cell>
          <cell r="AM1048">
            <v>0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  <cell r="AR1048">
            <v>0.16300000000000001</v>
          </cell>
          <cell r="AS1048">
            <v>0</v>
          </cell>
          <cell r="AT1048">
            <v>318</v>
          </cell>
          <cell r="AU1048">
            <v>335</v>
          </cell>
          <cell r="AV1048">
            <v>649</v>
          </cell>
          <cell r="AW1048">
            <v>51</v>
          </cell>
          <cell r="AX1048">
            <v>87</v>
          </cell>
          <cell r="AY1048">
            <v>172</v>
          </cell>
          <cell r="AZ1048">
            <v>1.478</v>
          </cell>
          <cell r="BA1048" t="str">
            <v>D2104024</v>
          </cell>
          <cell r="BB1048" t="str">
            <v>CONFORM</v>
          </cell>
          <cell r="BC1048" t="str">
            <v>CONFORM</v>
          </cell>
          <cell r="BD1048" t="str">
            <v>CONFORM</v>
          </cell>
          <cell r="BE1048" t="str">
            <v>CONFORM</v>
          </cell>
          <cell r="BF1048" t="str">
            <v>CONFORM</v>
          </cell>
        </row>
        <row r="1049">
          <cell r="A1049">
            <v>44291</v>
          </cell>
          <cell r="B1049" t="str">
            <v>D2104025-1</v>
          </cell>
          <cell r="C1049" t="str">
            <v>027/21</v>
          </cell>
          <cell r="D1049">
            <v>2</v>
          </cell>
          <cell r="E1049">
            <v>44291</v>
          </cell>
          <cell r="F1049" t="str">
            <v>DC</v>
          </cell>
          <cell r="G1049" t="str">
            <v>On Time</v>
          </cell>
          <cell r="H1049">
            <v>200</v>
          </cell>
          <cell r="I1049">
            <v>44260</v>
          </cell>
          <cell r="J1049" t="str">
            <v>ADTI</v>
          </cell>
          <cell r="K1049" t="str">
            <v>D2104025</v>
          </cell>
          <cell r="L1049">
            <v>1</v>
          </cell>
          <cell r="M1049">
            <v>71412730</v>
          </cell>
          <cell r="N1049">
            <v>714127</v>
          </cell>
          <cell r="O1049" t="str">
            <v xml:space="preserve">1.4306 TP304L </v>
          </cell>
          <cell r="P1049" t="str">
            <v>304L</v>
          </cell>
          <cell r="Q1049">
            <v>2.323</v>
          </cell>
          <cell r="R1049">
            <v>2.323</v>
          </cell>
          <cell r="S1049">
            <v>4.7E-2</v>
          </cell>
          <cell r="T1049">
            <v>4.7449999999999999E-2</v>
          </cell>
          <cell r="U1049">
            <v>4.7649999999999998E-2</v>
          </cell>
          <cell r="V1049">
            <v>4.7549999999999995E-2</v>
          </cell>
          <cell r="W1049" t="str">
            <v>SO</v>
          </cell>
          <cell r="X1049">
            <v>5494</v>
          </cell>
          <cell r="Y1049">
            <v>4</v>
          </cell>
          <cell r="Z1049">
            <v>591.26130004304775</v>
          </cell>
          <cell r="AA1049" t="str">
            <v>2.323X0.047-304L</v>
          </cell>
          <cell r="AB1049" t="str">
            <v>WAAC005900120B300050</v>
          </cell>
          <cell r="AC1049" t="str">
            <v>D2104025</v>
          </cell>
          <cell r="AD1049">
            <v>714127</v>
          </cell>
          <cell r="AE1049">
            <v>1.9E-2</v>
          </cell>
          <cell r="AF1049">
            <v>1.57</v>
          </cell>
          <cell r="AG1049">
            <v>3.1E-2</v>
          </cell>
          <cell r="AH1049">
            <v>3.0000000000000001E-3</v>
          </cell>
          <cell r="AI1049">
            <v>0.44</v>
          </cell>
          <cell r="AJ1049">
            <v>18.100000000000001</v>
          </cell>
          <cell r="AK1049">
            <v>8</v>
          </cell>
          <cell r="AL1049">
            <v>7.2999999999999995E-2</v>
          </cell>
          <cell r="AM1049">
            <v>0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  <cell r="AR1049">
            <v>0.16300000000000001</v>
          </cell>
          <cell r="AS1049">
            <v>0</v>
          </cell>
          <cell r="AT1049">
            <v>318</v>
          </cell>
          <cell r="AU1049">
            <v>335</v>
          </cell>
          <cell r="AV1049">
            <v>649</v>
          </cell>
          <cell r="AW1049">
            <v>51</v>
          </cell>
          <cell r="AX1049">
            <v>87</v>
          </cell>
          <cell r="AY1049">
            <v>172</v>
          </cell>
          <cell r="AZ1049">
            <v>1.478</v>
          </cell>
          <cell r="BA1049" t="str">
            <v>D2104025</v>
          </cell>
          <cell r="BB1049" t="str">
            <v>CONFORM</v>
          </cell>
          <cell r="BC1049" t="str">
            <v>CONFORM</v>
          </cell>
          <cell r="BD1049" t="str">
            <v>CONFORM</v>
          </cell>
          <cell r="BE1049" t="str">
            <v>CONFORM</v>
          </cell>
          <cell r="BF1049" t="str">
            <v>CONFORM</v>
          </cell>
        </row>
        <row r="1050">
          <cell r="A1050">
            <v>44291</v>
          </cell>
          <cell r="B1050" t="str">
            <v>D2104025-2</v>
          </cell>
          <cell r="C1050" t="str">
            <v>027/21</v>
          </cell>
          <cell r="D1050">
            <v>2</v>
          </cell>
          <cell r="E1050">
            <v>44291</v>
          </cell>
          <cell r="F1050" t="str">
            <v>DC</v>
          </cell>
          <cell r="G1050" t="str">
            <v>On Time</v>
          </cell>
          <cell r="H1050">
            <v>200</v>
          </cell>
          <cell r="I1050">
            <v>44260</v>
          </cell>
          <cell r="J1050" t="str">
            <v>ADTI</v>
          </cell>
          <cell r="K1050" t="str">
            <v>D2104025</v>
          </cell>
          <cell r="L1050">
            <v>2</v>
          </cell>
          <cell r="M1050">
            <v>71412730</v>
          </cell>
          <cell r="N1050">
            <v>714127</v>
          </cell>
          <cell r="O1050" t="str">
            <v xml:space="preserve">1.4306 TP304L </v>
          </cell>
          <cell r="P1050" t="str">
            <v>304L</v>
          </cell>
          <cell r="Q1050">
            <v>2.323</v>
          </cell>
          <cell r="R1050">
            <v>3.3245</v>
          </cell>
          <cell r="S1050">
            <v>4.7E-2</v>
          </cell>
          <cell r="T1050">
            <v>4.7300000000000002E-2</v>
          </cell>
          <cell r="U1050">
            <v>4.7449999999999999E-2</v>
          </cell>
          <cell r="V1050">
            <v>4.7375E-2</v>
          </cell>
          <cell r="W1050" t="str">
            <v>SO</v>
          </cell>
          <cell r="X1050">
            <v>5688</v>
          </cell>
          <cell r="Y1050">
            <v>4</v>
          </cell>
          <cell r="Z1050">
            <v>612.1394748170469</v>
          </cell>
          <cell r="AA1050" t="str">
            <v>2.323X0.047-304L</v>
          </cell>
          <cell r="AB1050" t="str">
            <v>WAAC005900120B300050</v>
          </cell>
          <cell r="AC1050" t="str">
            <v>D2104025</v>
          </cell>
          <cell r="AD1050">
            <v>714127</v>
          </cell>
          <cell r="AE1050">
            <v>1.9E-2</v>
          </cell>
          <cell r="AF1050">
            <v>1.57</v>
          </cell>
          <cell r="AG1050">
            <v>3.1E-2</v>
          </cell>
          <cell r="AH1050">
            <v>3.0000000000000001E-3</v>
          </cell>
          <cell r="AI1050">
            <v>0.44</v>
          </cell>
          <cell r="AJ1050">
            <v>18.100000000000001</v>
          </cell>
          <cell r="AK1050">
            <v>8</v>
          </cell>
          <cell r="AL1050">
            <v>7.2999999999999995E-2</v>
          </cell>
          <cell r="AM1050">
            <v>0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  <cell r="AR1050">
            <v>0.16300000000000001</v>
          </cell>
          <cell r="AS1050">
            <v>0</v>
          </cell>
          <cell r="AT1050">
            <v>318</v>
          </cell>
          <cell r="AU1050">
            <v>335</v>
          </cell>
          <cell r="AV1050">
            <v>649</v>
          </cell>
          <cell r="AW1050">
            <v>51</v>
          </cell>
          <cell r="AX1050">
            <v>87</v>
          </cell>
          <cell r="AY1050">
            <v>172</v>
          </cell>
          <cell r="AZ1050">
            <v>1.478</v>
          </cell>
          <cell r="BA1050" t="str">
            <v>D2104025</v>
          </cell>
          <cell r="BB1050" t="str">
            <v>CONFORM</v>
          </cell>
          <cell r="BC1050" t="str">
            <v>CONFORM</v>
          </cell>
          <cell r="BD1050" t="str">
            <v>CONFORM</v>
          </cell>
          <cell r="BE1050" t="str">
            <v>CONFORM</v>
          </cell>
          <cell r="BF1050" t="str">
            <v>CONFORM</v>
          </cell>
        </row>
        <row r="1051">
          <cell r="A1051">
            <v>44291</v>
          </cell>
          <cell r="B1051" t="str">
            <v>D2104026-1</v>
          </cell>
          <cell r="C1051" t="str">
            <v>027/21</v>
          </cell>
          <cell r="D1051">
            <v>6</v>
          </cell>
          <cell r="E1051">
            <v>44291</v>
          </cell>
          <cell r="F1051" t="str">
            <v>DC</v>
          </cell>
          <cell r="G1051" t="str">
            <v>On Time</v>
          </cell>
          <cell r="H1051">
            <v>200</v>
          </cell>
          <cell r="I1051">
            <v>44260</v>
          </cell>
          <cell r="J1051" t="str">
            <v>ADTI</v>
          </cell>
          <cell r="K1051" t="str">
            <v>D2104026</v>
          </cell>
          <cell r="L1051">
            <v>1</v>
          </cell>
          <cell r="M1051">
            <v>71412730</v>
          </cell>
          <cell r="N1051">
            <v>714127</v>
          </cell>
          <cell r="O1051" t="str">
            <v xml:space="preserve">1.4306 TP304L </v>
          </cell>
          <cell r="P1051" t="str">
            <v>304L</v>
          </cell>
          <cell r="Q1051">
            <v>3.9129999999999998</v>
          </cell>
          <cell r="R1051">
            <v>3.9159999999999999</v>
          </cell>
          <cell r="S1051">
            <v>4.7E-2</v>
          </cell>
          <cell r="T1051">
            <v>4.7350000000000003E-2</v>
          </cell>
          <cell r="U1051">
            <v>4.7149999999999997E-2</v>
          </cell>
          <cell r="V1051">
            <v>4.725E-2</v>
          </cell>
          <cell r="W1051" t="str">
            <v>SO</v>
          </cell>
          <cell r="X1051">
            <v>2394</v>
          </cell>
          <cell r="Y1051">
            <v>1</v>
          </cell>
          <cell r="Z1051">
            <v>611.80679785330949</v>
          </cell>
          <cell r="AA1051" t="str">
            <v>3.913X0.047-304L</v>
          </cell>
          <cell r="AB1051" t="str">
            <v>WAAC009940120B300053</v>
          </cell>
          <cell r="AC1051" t="str">
            <v>D2104026</v>
          </cell>
          <cell r="AD1051">
            <v>714127</v>
          </cell>
          <cell r="AE1051">
            <v>1.9E-2</v>
          </cell>
          <cell r="AF1051">
            <v>1.57</v>
          </cell>
          <cell r="AG1051">
            <v>3.1E-2</v>
          </cell>
          <cell r="AH1051">
            <v>3.0000000000000001E-3</v>
          </cell>
          <cell r="AI1051">
            <v>0.44</v>
          </cell>
          <cell r="AJ1051">
            <v>18.100000000000001</v>
          </cell>
          <cell r="AK1051">
            <v>8</v>
          </cell>
          <cell r="AL1051">
            <v>7.2999999999999995E-2</v>
          </cell>
          <cell r="AM1051">
            <v>0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  <cell r="AR1051">
            <v>0.16300000000000001</v>
          </cell>
          <cell r="AS1051">
            <v>0</v>
          </cell>
          <cell r="AT1051">
            <v>318</v>
          </cell>
          <cell r="AU1051">
            <v>335</v>
          </cell>
          <cell r="AV1051">
            <v>649</v>
          </cell>
          <cell r="AW1051">
            <v>51</v>
          </cell>
          <cell r="AX1051">
            <v>87</v>
          </cell>
          <cell r="AY1051">
            <v>172</v>
          </cell>
          <cell r="AZ1051">
            <v>1.478</v>
          </cell>
          <cell r="BA1051" t="str">
            <v>D2104026</v>
          </cell>
          <cell r="BB1051" t="str">
            <v>CONFORM</v>
          </cell>
          <cell r="BC1051" t="str">
            <v>CONFORM</v>
          </cell>
          <cell r="BD1051" t="str">
            <v>CONFORM</v>
          </cell>
          <cell r="BE1051" t="str">
            <v>CONFORM</v>
          </cell>
          <cell r="BF1051" t="str">
            <v>CONFORM</v>
          </cell>
        </row>
        <row r="1052">
          <cell r="A1052">
            <v>44291</v>
          </cell>
          <cell r="B1052" t="str">
            <v>D2104026-2</v>
          </cell>
          <cell r="C1052" t="str">
            <v>027/21</v>
          </cell>
          <cell r="D1052">
            <v>6</v>
          </cell>
          <cell r="E1052">
            <v>44291</v>
          </cell>
          <cell r="F1052" t="str">
            <v>DC</v>
          </cell>
          <cell r="G1052" t="str">
            <v>On Time</v>
          </cell>
          <cell r="H1052">
            <v>200</v>
          </cell>
          <cell r="I1052">
            <v>44260</v>
          </cell>
          <cell r="J1052" t="str">
            <v>ADTI</v>
          </cell>
          <cell r="K1052" t="str">
            <v>D2104026</v>
          </cell>
          <cell r="L1052">
            <v>2</v>
          </cell>
          <cell r="M1052">
            <v>71412730</v>
          </cell>
          <cell r="N1052">
            <v>714127</v>
          </cell>
          <cell r="O1052" t="str">
            <v xml:space="preserve">1.4306 TP304L </v>
          </cell>
          <cell r="P1052" t="str">
            <v>304L</v>
          </cell>
          <cell r="Q1052">
            <v>3.9129999999999998</v>
          </cell>
          <cell r="R1052">
            <v>3.923</v>
          </cell>
          <cell r="S1052">
            <v>4.7E-2</v>
          </cell>
          <cell r="T1052">
            <v>4.7500000000000001E-2</v>
          </cell>
          <cell r="U1052">
            <v>4.7300000000000002E-2</v>
          </cell>
          <cell r="V1052">
            <v>4.7399999999999998E-2</v>
          </cell>
          <cell r="W1052" t="str">
            <v>SO</v>
          </cell>
          <cell r="X1052">
            <v>4819</v>
          </cell>
          <cell r="Y1052">
            <v>2</v>
          </cell>
          <cell r="Z1052">
            <v>615.76795297725528</v>
          </cell>
          <cell r="AA1052" t="str">
            <v>3.913X0.047-304L</v>
          </cell>
          <cell r="AB1052" t="str">
            <v>WAAC009940120B300053</v>
          </cell>
          <cell r="AC1052" t="str">
            <v>D2104026</v>
          </cell>
          <cell r="AD1052">
            <v>714127</v>
          </cell>
          <cell r="AE1052">
            <v>1.9E-2</v>
          </cell>
          <cell r="AF1052">
            <v>1.57</v>
          </cell>
          <cell r="AG1052">
            <v>3.1E-2</v>
          </cell>
          <cell r="AH1052">
            <v>3.0000000000000001E-3</v>
          </cell>
          <cell r="AI1052">
            <v>0.44</v>
          </cell>
          <cell r="AJ1052">
            <v>18.100000000000001</v>
          </cell>
          <cell r="AK1052">
            <v>8</v>
          </cell>
          <cell r="AL1052">
            <v>7.2999999999999995E-2</v>
          </cell>
          <cell r="AM1052">
            <v>0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  <cell r="AR1052">
            <v>0.16300000000000001</v>
          </cell>
          <cell r="AS1052">
            <v>0</v>
          </cell>
          <cell r="AT1052">
            <v>318</v>
          </cell>
          <cell r="AU1052">
            <v>335</v>
          </cell>
          <cell r="AV1052">
            <v>649</v>
          </cell>
          <cell r="AW1052">
            <v>51</v>
          </cell>
          <cell r="AX1052">
            <v>87</v>
          </cell>
          <cell r="AY1052">
            <v>172</v>
          </cell>
          <cell r="AZ1052">
            <v>1.478</v>
          </cell>
          <cell r="BA1052" t="str">
            <v>D2104026</v>
          </cell>
          <cell r="BB1052" t="str">
            <v>CONFORM</v>
          </cell>
          <cell r="BC1052" t="str">
            <v>CONFORM</v>
          </cell>
          <cell r="BD1052" t="str">
            <v>CONFORM</v>
          </cell>
          <cell r="BE1052" t="str">
            <v>CONFORM</v>
          </cell>
          <cell r="BF1052" t="str">
            <v>CONFORM</v>
          </cell>
        </row>
        <row r="1053">
          <cell r="A1053">
            <v>44291</v>
          </cell>
          <cell r="B1053" t="str">
            <v>D2104027-1</v>
          </cell>
          <cell r="C1053" t="str">
            <v>027/21</v>
          </cell>
          <cell r="D1053">
            <v>1</v>
          </cell>
          <cell r="E1053">
            <v>44291</v>
          </cell>
          <cell r="F1053" t="str">
            <v>DC</v>
          </cell>
          <cell r="G1053" t="str">
            <v>On Time</v>
          </cell>
          <cell r="H1053">
            <v>200</v>
          </cell>
          <cell r="I1053">
            <v>44260</v>
          </cell>
          <cell r="J1053" t="str">
            <v>ADTI</v>
          </cell>
          <cell r="K1053" t="str">
            <v>D2104027</v>
          </cell>
          <cell r="L1053">
            <v>1</v>
          </cell>
          <cell r="M1053">
            <v>659231</v>
          </cell>
          <cell r="N1053" t="str">
            <v>0538784</v>
          </cell>
          <cell r="O1053" t="str">
            <v xml:space="preserve">1.4401/1.4404 TP316/316L </v>
          </cell>
          <cell r="P1053" t="str">
            <v>316L</v>
          </cell>
          <cell r="Q1053">
            <v>1.52</v>
          </cell>
          <cell r="R1053">
            <v>1.5355000000000001</v>
          </cell>
          <cell r="S1053">
            <v>4.7E-2</v>
          </cell>
          <cell r="T1053">
            <v>4.8349999999999997E-2</v>
          </cell>
          <cell r="U1053">
            <v>4.7750000000000001E-2</v>
          </cell>
          <cell r="V1053">
            <v>4.8049999999999995E-2</v>
          </cell>
          <cell r="W1053" t="str">
            <v>SO</v>
          </cell>
          <cell r="X1053">
            <v>2526</v>
          </cell>
          <cell r="Y1053">
            <v>2</v>
          </cell>
          <cell r="Z1053">
            <v>830.92105263157896</v>
          </cell>
          <cell r="AA1053" t="str">
            <v>1.52X0.047-316L</v>
          </cell>
          <cell r="AB1053" t="str">
            <v>WAAF003860120B300071</v>
          </cell>
          <cell r="AC1053" t="str">
            <v>D2104027</v>
          </cell>
          <cell r="AD1053" t="str">
            <v>0538784</v>
          </cell>
          <cell r="AE1053">
            <v>2.3E-2</v>
          </cell>
          <cell r="AF1053">
            <v>1.04</v>
          </cell>
          <cell r="AG1053">
            <v>2.9000000000000001E-2</v>
          </cell>
          <cell r="AH1053">
            <v>1E-3</v>
          </cell>
          <cell r="AI1053">
            <v>0.37</v>
          </cell>
          <cell r="AJ1053">
            <v>16.8</v>
          </cell>
          <cell r="AK1053">
            <v>10.1</v>
          </cell>
          <cell r="AL1053">
            <v>4.4999999999999998E-2</v>
          </cell>
          <cell r="AM1053">
            <v>2.0699999999999998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  <cell r="AR1053">
            <v>0.45</v>
          </cell>
          <cell r="AS1053">
            <v>0</v>
          </cell>
          <cell r="AT1053">
            <v>290</v>
          </cell>
          <cell r="AU1053">
            <v>313</v>
          </cell>
          <cell r="AV1053">
            <v>617</v>
          </cell>
          <cell r="AW1053">
            <v>54</v>
          </cell>
          <cell r="AX1053">
            <v>83</v>
          </cell>
          <cell r="AY1053">
            <v>159</v>
          </cell>
          <cell r="AZ1053">
            <v>2.024</v>
          </cell>
          <cell r="BA1053" t="str">
            <v>D2104027</v>
          </cell>
          <cell r="BB1053" t="str">
            <v>CONFORM</v>
          </cell>
          <cell r="BC1053" t="str">
            <v>CONFORM</v>
          </cell>
          <cell r="BD1053" t="str">
            <v>CONFORM</v>
          </cell>
          <cell r="BE1053" t="str">
            <v>CONFORM</v>
          </cell>
          <cell r="BF1053" t="str">
            <v>CONFORM</v>
          </cell>
        </row>
        <row r="1054">
          <cell r="A1054">
            <v>44291</v>
          </cell>
          <cell r="B1054" t="str">
            <v>D2104028-1</v>
          </cell>
          <cell r="C1054" t="str">
            <v>027/21</v>
          </cell>
          <cell r="D1054">
            <v>5</v>
          </cell>
          <cell r="E1054">
            <v>44291</v>
          </cell>
          <cell r="F1054" t="str">
            <v>DC</v>
          </cell>
          <cell r="G1054" t="str">
            <v>On Time</v>
          </cell>
          <cell r="H1054">
            <v>201</v>
          </cell>
          <cell r="I1054">
            <v>44260</v>
          </cell>
          <cell r="J1054" t="str">
            <v>ADTI</v>
          </cell>
          <cell r="K1054" t="str">
            <v>D2104028</v>
          </cell>
          <cell r="L1054">
            <v>1</v>
          </cell>
          <cell r="M1054">
            <v>45114</v>
          </cell>
          <cell r="N1054">
            <v>45114</v>
          </cell>
          <cell r="O1054" t="str">
            <v xml:space="preserve">1.4401/1.4404 TP316/316L </v>
          </cell>
          <cell r="P1054" t="str">
            <v>316L</v>
          </cell>
          <cell r="Q1054">
            <v>3.177</v>
          </cell>
          <cell r="R1054">
            <v>3.1779999999999999</v>
          </cell>
          <cell r="S1054">
            <v>2.7E-2</v>
          </cell>
          <cell r="T1054">
            <v>2.6800000000000001E-2</v>
          </cell>
          <cell r="U1054">
            <v>2.6800000000000001E-2</v>
          </cell>
          <cell r="V1054">
            <v>2.6800000000000001E-2</v>
          </cell>
          <cell r="W1054" t="str">
            <v>SO</v>
          </cell>
          <cell r="X1054">
            <v>4418</v>
          </cell>
          <cell r="Y1054">
            <v>3</v>
          </cell>
          <cell r="Z1054">
            <v>463.54002727940406</v>
          </cell>
          <cell r="AA1054" t="str">
            <v>3.177X0.027-316L</v>
          </cell>
          <cell r="AB1054" t="str">
            <v>WAAF008070070B300046</v>
          </cell>
          <cell r="AC1054" t="str">
            <v>D2104028</v>
          </cell>
          <cell r="AD1054">
            <v>45114</v>
          </cell>
          <cell r="AE1054">
            <v>1.6E-2</v>
          </cell>
          <cell r="AF1054">
            <v>0.86</v>
          </cell>
          <cell r="AG1054">
            <v>3.5999999999999997E-2</v>
          </cell>
          <cell r="AH1054">
            <v>1E-3</v>
          </cell>
          <cell r="AI1054">
            <v>0.55000000000000004</v>
          </cell>
          <cell r="AJ1054">
            <v>16.8</v>
          </cell>
          <cell r="AK1054">
            <v>10.1</v>
          </cell>
          <cell r="AL1054">
            <v>4.7E-2</v>
          </cell>
          <cell r="AM1054">
            <v>2.04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  <cell r="AR1054">
            <v>0</v>
          </cell>
          <cell r="AS1054">
            <v>0</v>
          </cell>
          <cell r="AT1054">
            <v>284</v>
          </cell>
          <cell r="AU1054">
            <v>318</v>
          </cell>
          <cell r="AV1054">
            <v>610</v>
          </cell>
          <cell r="AW1054">
            <v>57</v>
          </cell>
          <cell r="AX1054">
            <v>163</v>
          </cell>
          <cell r="AY1054">
            <v>163</v>
          </cell>
          <cell r="AZ1054">
            <v>1.7709999999999999</v>
          </cell>
          <cell r="BA1054" t="str">
            <v>D2104028</v>
          </cell>
          <cell r="BB1054" t="str">
            <v>CONFORM</v>
          </cell>
          <cell r="BC1054" t="str">
            <v>CONFORM</v>
          </cell>
          <cell r="BD1054" t="str">
            <v>CONFORM</v>
          </cell>
          <cell r="BE1054" t="str">
            <v>CONFORM</v>
          </cell>
          <cell r="BF1054" t="str">
            <v>CONFORM</v>
          </cell>
        </row>
        <row r="1055">
          <cell r="A1055">
            <v>44291</v>
          </cell>
          <cell r="B1055" t="str">
            <v>D2104028-2</v>
          </cell>
          <cell r="C1055" t="str">
            <v>027/21</v>
          </cell>
          <cell r="D1055">
            <v>5</v>
          </cell>
          <cell r="E1055">
            <v>44291</v>
          </cell>
          <cell r="F1055" t="str">
            <v>DC</v>
          </cell>
          <cell r="G1055" t="str">
            <v>On Time</v>
          </cell>
          <cell r="H1055">
            <v>201</v>
          </cell>
          <cell r="I1055">
            <v>44260</v>
          </cell>
          <cell r="J1055" t="str">
            <v>ADTI</v>
          </cell>
          <cell r="K1055" t="str">
            <v>D2104028</v>
          </cell>
          <cell r="L1055">
            <v>2</v>
          </cell>
          <cell r="M1055">
            <v>45114</v>
          </cell>
          <cell r="N1055">
            <v>45114</v>
          </cell>
          <cell r="O1055" t="str">
            <v xml:space="preserve">1.4401/1.4404 TP316/316L </v>
          </cell>
          <cell r="P1055" t="str">
            <v>316L</v>
          </cell>
          <cell r="Q1055">
            <v>3.177</v>
          </cell>
          <cell r="R1055">
            <v>3.1749999999999998</v>
          </cell>
          <cell r="S1055">
            <v>2.7E-2</v>
          </cell>
          <cell r="T1055">
            <v>2.6800000000000001E-2</v>
          </cell>
          <cell r="U1055">
            <v>2.69E-2</v>
          </cell>
          <cell r="V1055">
            <v>2.6849999999999999E-2</v>
          </cell>
          <cell r="W1055" t="str">
            <v>SO</v>
          </cell>
          <cell r="X1055">
            <v>4347</v>
          </cell>
          <cell r="Y1055">
            <v>3</v>
          </cell>
          <cell r="Z1055">
            <v>456.09065155807366</v>
          </cell>
          <cell r="AA1055" t="str">
            <v>3.177X0.027-316L</v>
          </cell>
          <cell r="AB1055" t="str">
            <v>WAAF008070070B300046</v>
          </cell>
          <cell r="AC1055" t="str">
            <v>D2104028</v>
          </cell>
          <cell r="AD1055">
            <v>45114</v>
          </cell>
          <cell r="AE1055">
            <v>1.6E-2</v>
          </cell>
          <cell r="AF1055">
            <v>0.86</v>
          </cell>
          <cell r="AG1055">
            <v>3.5999999999999997E-2</v>
          </cell>
          <cell r="AH1055">
            <v>1E-3</v>
          </cell>
          <cell r="AI1055">
            <v>0.55000000000000004</v>
          </cell>
          <cell r="AJ1055">
            <v>16.8</v>
          </cell>
          <cell r="AK1055">
            <v>10.1</v>
          </cell>
          <cell r="AL1055">
            <v>4.7E-2</v>
          </cell>
          <cell r="AM1055">
            <v>2.04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  <cell r="AR1055">
            <v>0</v>
          </cell>
          <cell r="AS1055">
            <v>0</v>
          </cell>
          <cell r="AT1055">
            <v>284</v>
          </cell>
          <cell r="AU1055">
            <v>318</v>
          </cell>
          <cell r="AV1055">
            <v>610</v>
          </cell>
          <cell r="AW1055">
            <v>57</v>
          </cell>
          <cell r="AX1055">
            <v>163</v>
          </cell>
          <cell r="AY1055">
            <v>163</v>
          </cell>
          <cell r="AZ1055">
            <v>1.7709999999999999</v>
          </cell>
          <cell r="BA1055" t="str">
            <v>D2104028</v>
          </cell>
          <cell r="BB1055" t="str">
            <v>CONFORM</v>
          </cell>
          <cell r="BC1055" t="str">
            <v>CONFORM</v>
          </cell>
          <cell r="BD1055" t="str">
            <v>CONFORM</v>
          </cell>
          <cell r="BE1055" t="str">
            <v>CONFORM</v>
          </cell>
          <cell r="BF1055" t="str">
            <v>CONFORM</v>
          </cell>
        </row>
        <row r="1056">
          <cell r="A1056">
            <v>44291</v>
          </cell>
          <cell r="B1056" t="str">
            <v>D2104028-3</v>
          </cell>
          <cell r="C1056" t="str">
            <v>027/21</v>
          </cell>
          <cell r="D1056">
            <v>5</v>
          </cell>
          <cell r="E1056">
            <v>44291</v>
          </cell>
          <cell r="F1056" t="str">
            <v>DC</v>
          </cell>
          <cell r="G1056" t="str">
            <v>On Time</v>
          </cell>
          <cell r="H1056">
            <v>201</v>
          </cell>
          <cell r="I1056">
            <v>44260</v>
          </cell>
          <cell r="J1056" t="str">
            <v>ADTI</v>
          </cell>
          <cell r="K1056" t="str">
            <v>D2104028</v>
          </cell>
          <cell r="L1056">
            <v>3</v>
          </cell>
          <cell r="M1056">
            <v>45114</v>
          </cell>
          <cell r="N1056">
            <v>45114</v>
          </cell>
          <cell r="O1056" t="str">
            <v xml:space="preserve">1.4401/1.4404 TP316/316L </v>
          </cell>
          <cell r="P1056" t="str">
            <v>316L</v>
          </cell>
          <cell r="Q1056">
            <v>3.177</v>
          </cell>
          <cell r="R1056">
            <v>3.1789999999999998</v>
          </cell>
          <cell r="S1056">
            <v>2.7E-2</v>
          </cell>
          <cell r="T1056">
            <v>2.7150000000000001E-2</v>
          </cell>
          <cell r="U1056">
            <v>2.69E-2</v>
          </cell>
          <cell r="V1056">
            <v>2.7025E-2</v>
          </cell>
          <cell r="W1056" t="str">
            <v>SO</v>
          </cell>
          <cell r="X1056">
            <v>3984</v>
          </cell>
          <cell r="Y1056">
            <v>3</v>
          </cell>
          <cell r="Z1056">
            <v>418.00440667296192</v>
          </cell>
          <cell r="AA1056" t="str">
            <v>3.177X0.027-316L</v>
          </cell>
          <cell r="AB1056" t="str">
            <v>WAAF008070070B300046</v>
          </cell>
          <cell r="AC1056" t="str">
            <v>D2104028</v>
          </cell>
          <cell r="AD1056">
            <v>45114</v>
          </cell>
          <cell r="AE1056">
            <v>1.6E-2</v>
          </cell>
          <cell r="AF1056">
            <v>0.86</v>
          </cell>
          <cell r="AG1056">
            <v>3.5999999999999997E-2</v>
          </cell>
          <cell r="AH1056">
            <v>1E-3</v>
          </cell>
          <cell r="AI1056">
            <v>0.55000000000000004</v>
          </cell>
          <cell r="AJ1056">
            <v>16.8</v>
          </cell>
          <cell r="AK1056">
            <v>10.1</v>
          </cell>
          <cell r="AL1056">
            <v>4.7E-2</v>
          </cell>
          <cell r="AM1056">
            <v>2.04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  <cell r="AR1056">
            <v>0</v>
          </cell>
          <cell r="AS1056">
            <v>0</v>
          </cell>
          <cell r="AT1056">
            <v>284</v>
          </cell>
          <cell r="AU1056">
            <v>318</v>
          </cell>
          <cell r="AV1056">
            <v>610</v>
          </cell>
          <cell r="AW1056">
            <v>57</v>
          </cell>
          <cell r="AX1056">
            <v>163</v>
          </cell>
          <cell r="AY1056">
            <v>163</v>
          </cell>
          <cell r="AZ1056">
            <v>1.7709999999999999</v>
          </cell>
          <cell r="BA1056" t="str">
            <v>D2104028</v>
          </cell>
          <cell r="BB1056" t="str">
            <v>CONFORM</v>
          </cell>
          <cell r="BC1056" t="str">
            <v>CONFORM</v>
          </cell>
          <cell r="BD1056" t="str">
            <v>CONFORM</v>
          </cell>
          <cell r="BE1056" t="str">
            <v>CONFORM</v>
          </cell>
          <cell r="BF1056" t="str">
            <v>CONFORM</v>
          </cell>
        </row>
        <row r="1057">
          <cell r="A1057">
            <v>44291</v>
          </cell>
          <cell r="B1057" t="str">
            <v>D2104029-1</v>
          </cell>
          <cell r="C1057" t="str">
            <v>027/21</v>
          </cell>
          <cell r="D1057">
            <v>3</v>
          </cell>
          <cell r="E1057">
            <v>44291</v>
          </cell>
          <cell r="F1057" t="str">
            <v>DC</v>
          </cell>
          <cell r="G1057" t="str">
            <v>On Time</v>
          </cell>
          <cell r="H1057">
            <v>201</v>
          </cell>
          <cell r="I1057">
            <v>44260</v>
          </cell>
          <cell r="J1057" t="str">
            <v>ADTI</v>
          </cell>
          <cell r="K1057" t="str">
            <v>D2104029</v>
          </cell>
          <cell r="L1057">
            <v>1</v>
          </cell>
          <cell r="M1057">
            <v>25013</v>
          </cell>
          <cell r="N1057">
            <v>25013</v>
          </cell>
          <cell r="O1057" t="str">
            <v xml:space="preserve">1.4306 TP304L </v>
          </cell>
          <cell r="P1057" t="str">
            <v>304L</v>
          </cell>
          <cell r="Q1057">
            <v>2.3860000000000001</v>
          </cell>
          <cell r="R1057">
            <v>2.3862999999999999</v>
          </cell>
          <cell r="S1057">
            <v>2.7E-2</v>
          </cell>
          <cell r="T1057">
            <v>2.8400000000000002E-2</v>
          </cell>
          <cell r="U1057">
            <v>2.75E-2</v>
          </cell>
          <cell r="V1057">
            <v>2.7950000000000003E-2</v>
          </cell>
          <cell r="W1057" t="str">
            <v>SO</v>
          </cell>
          <cell r="X1057">
            <v>3838</v>
          </cell>
          <cell r="Y1057">
            <v>2</v>
          </cell>
          <cell r="Z1057">
            <v>804.27493713327738</v>
          </cell>
          <cell r="AA1057" t="str">
            <v>2.386X0.027-304L</v>
          </cell>
          <cell r="AB1057" t="str">
            <v>WAAC006060070B300126</v>
          </cell>
          <cell r="AC1057" t="str">
            <v>D2104029</v>
          </cell>
          <cell r="AD1057">
            <v>25013</v>
          </cell>
          <cell r="AE1057">
            <v>1.4999999999999999E-2</v>
          </cell>
          <cell r="AF1057">
            <v>1.31</v>
          </cell>
          <cell r="AG1057">
            <v>2.7E-2</v>
          </cell>
          <cell r="AH1057">
            <v>1E-3</v>
          </cell>
          <cell r="AI1057">
            <v>0.37</v>
          </cell>
          <cell r="AJ1057">
            <v>18.3</v>
          </cell>
          <cell r="AK1057">
            <v>9.5</v>
          </cell>
          <cell r="AL1057">
            <v>0.04</v>
          </cell>
          <cell r="AM1057">
            <v>0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  <cell r="AR1057">
            <v>0</v>
          </cell>
          <cell r="AS1057">
            <v>0</v>
          </cell>
          <cell r="AT1057">
            <v>255</v>
          </cell>
          <cell r="AU1057">
            <v>283</v>
          </cell>
          <cell r="AV1057">
            <v>608</v>
          </cell>
          <cell r="AW1057">
            <v>57</v>
          </cell>
          <cell r="AX1057">
            <v>141</v>
          </cell>
          <cell r="AY1057">
            <v>141</v>
          </cell>
          <cell r="AZ1057">
            <v>1.6020000000000001</v>
          </cell>
          <cell r="BA1057" t="str">
            <v>D2104029</v>
          </cell>
          <cell r="BB1057" t="str">
            <v>CONFORM</v>
          </cell>
          <cell r="BC1057" t="str">
            <v>CONFORM</v>
          </cell>
          <cell r="BD1057" t="str">
            <v>CONFORM</v>
          </cell>
          <cell r="BE1057" t="str">
            <v>CONFORM</v>
          </cell>
          <cell r="BF1057" t="str">
            <v>CONFORM</v>
          </cell>
        </row>
        <row r="1058">
          <cell r="A1058">
            <v>44291</v>
          </cell>
          <cell r="B1058" t="str">
            <v>D2104029-2</v>
          </cell>
          <cell r="C1058" t="str">
            <v>027/21</v>
          </cell>
          <cell r="D1058">
            <v>3</v>
          </cell>
          <cell r="E1058">
            <v>44291</v>
          </cell>
          <cell r="F1058" t="str">
            <v>DC</v>
          </cell>
          <cell r="G1058" t="str">
            <v>On Time</v>
          </cell>
          <cell r="H1058">
            <v>201</v>
          </cell>
          <cell r="I1058">
            <v>44260</v>
          </cell>
          <cell r="J1058" t="str">
            <v>ADTI</v>
          </cell>
          <cell r="K1058" t="str">
            <v>D2104029</v>
          </cell>
          <cell r="L1058">
            <v>2</v>
          </cell>
          <cell r="M1058">
            <v>25013</v>
          </cell>
          <cell r="N1058">
            <v>25013</v>
          </cell>
          <cell r="O1058" t="str">
            <v xml:space="preserve">1.4306 TP304L </v>
          </cell>
          <cell r="P1058" t="str">
            <v>304L</v>
          </cell>
          <cell r="Q1058">
            <v>2.3860000000000001</v>
          </cell>
          <cell r="R1058">
            <v>2.3864999999999998</v>
          </cell>
          <cell r="S1058">
            <v>2.7E-2</v>
          </cell>
          <cell r="T1058">
            <v>2.6849999999999999E-2</v>
          </cell>
          <cell r="U1058">
            <v>2.7699999999999999E-2</v>
          </cell>
          <cell r="V1058">
            <v>2.7275000000000001E-2</v>
          </cell>
          <cell r="W1058" t="str">
            <v>SO</v>
          </cell>
          <cell r="X1058">
            <v>3842</v>
          </cell>
          <cell r="Y1058">
            <v>2</v>
          </cell>
          <cell r="Z1058">
            <v>805.1131601005867</v>
          </cell>
          <cell r="AA1058" t="str">
            <v>2.386X0.027-304L</v>
          </cell>
          <cell r="AB1058" t="str">
            <v>WAAC006060070B300126</v>
          </cell>
          <cell r="AC1058" t="str">
            <v>D2104029</v>
          </cell>
          <cell r="AD1058">
            <v>25013</v>
          </cell>
          <cell r="AE1058">
            <v>1.4999999999999999E-2</v>
          </cell>
          <cell r="AF1058">
            <v>1.31</v>
          </cell>
          <cell r="AG1058">
            <v>2.7E-2</v>
          </cell>
          <cell r="AH1058">
            <v>1E-3</v>
          </cell>
          <cell r="AI1058">
            <v>0.37</v>
          </cell>
          <cell r="AJ1058">
            <v>18.3</v>
          </cell>
          <cell r="AK1058">
            <v>9.5</v>
          </cell>
          <cell r="AL1058">
            <v>0.04</v>
          </cell>
          <cell r="AM1058">
            <v>0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  <cell r="AR1058">
            <v>0</v>
          </cell>
          <cell r="AS1058">
            <v>0</v>
          </cell>
          <cell r="AT1058">
            <v>255</v>
          </cell>
          <cell r="AU1058">
            <v>283</v>
          </cell>
          <cell r="AV1058">
            <v>608</v>
          </cell>
          <cell r="AW1058">
            <v>57</v>
          </cell>
          <cell r="AX1058">
            <v>141</v>
          </cell>
          <cell r="AY1058">
            <v>141</v>
          </cell>
          <cell r="AZ1058">
            <v>1.6020000000000001</v>
          </cell>
          <cell r="BA1058" t="str">
            <v>D2104029</v>
          </cell>
          <cell r="BB1058" t="str">
            <v>CONFORM</v>
          </cell>
          <cell r="BC1058" t="str">
            <v>CONFORM</v>
          </cell>
          <cell r="BD1058" t="str">
            <v>CONFORM</v>
          </cell>
          <cell r="BE1058" t="str">
            <v>CONFORM</v>
          </cell>
          <cell r="BF1058" t="str">
            <v>CONFORM</v>
          </cell>
        </row>
        <row r="1059">
          <cell r="A1059">
            <v>44291</v>
          </cell>
          <cell r="B1059" t="str">
            <v>D2104029-3</v>
          </cell>
          <cell r="C1059" t="str">
            <v>027/21</v>
          </cell>
          <cell r="D1059">
            <v>3</v>
          </cell>
          <cell r="E1059">
            <v>44291</v>
          </cell>
          <cell r="F1059" t="str">
            <v>DC</v>
          </cell>
          <cell r="G1059" t="str">
            <v>On Time</v>
          </cell>
          <cell r="H1059">
            <v>201</v>
          </cell>
          <cell r="I1059">
            <v>44260</v>
          </cell>
          <cell r="J1059" t="str">
            <v>ADTI</v>
          </cell>
          <cell r="K1059" t="str">
            <v>D2104029</v>
          </cell>
          <cell r="L1059">
            <v>3</v>
          </cell>
          <cell r="M1059">
            <v>25013</v>
          </cell>
          <cell r="N1059">
            <v>25013</v>
          </cell>
          <cell r="O1059" t="str">
            <v xml:space="preserve">1.4306 TP304L </v>
          </cell>
          <cell r="P1059" t="str">
            <v>304L</v>
          </cell>
          <cell r="Q1059">
            <v>2.3860000000000001</v>
          </cell>
          <cell r="R1059">
            <v>2.3864999999999998</v>
          </cell>
          <cell r="S1059">
            <v>2.7E-2</v>
          </cell>
          <cell r="T1059">
            <v>2.6249999999999999E-2</v>
          </cell>
          <cell r="U1059">
            <v>2.75E-2</v>
          </cell>
          <cell r="V1059">
            <v>2.6875E-2</v>
          </cell>
          <cell r="W1059" t="str">
            <v>SO</v>
          </cell>
          <cell r="X1059">
            <v>3836</v>
          </cell>
          <cell r="Y1059">
            <v>2</v>
          </cell>
          <cell r="Z1059">
            <v>803.85582564962272</v>
          </cell>
          <cell r="AA1059" t="str">
            <v>2.386X0.027-304L</v>
          </cell>
          <cell r="AB1059" t="str">
            <v>WAAC006060070B300126</v>
          </cell>
          <cell r="AC1059" t="str">
            <v>D2104029</v>
          </cell>
          <cell r="AD1059">
            <v>25013</v>
          </cell>
          <cell r="AE1059">
            <v>1.4999999999999999E-2</v>
          </cell>
          <cell r="AF1059">
            <v>1.31</v>
          </cell>
          <cell r="AG1059">
            <v>2.7E-2</v>
          </cell>
          <cell r="AH1059">
            <v>1E-3</v>
          </cell>
          <cell r="AI1059">
            <v>0.37</v>
          </cell>
          <cell r="AJ1059">
            <v>18.3</v>
          </cell>
          <cell r="AK1059">
            <v>9.5</v>
          </cell>
          <cell r="AL1059">
            <v>0.04</v>
          </cell>
          <cell r="AM1059">
            <v>0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  <cell r="AR1059">
            <v>0</v>
          </cell>
          <cell r="AS1059">
            <v>0</v>
          </cell>
          <cell r="AT1059">
            <v>255</v>
          </cell>
          <cell r="AU1059">
            <v>283</v>
          </cell>
          <cell r="AV1059">
            <v>608</v>
          </cell>
          <cell r="AW1059">
            <v>57</v>
          </cell>
          <cell r="AX1059">
            <v>141</v>
          </cell>
          <cell r="AY1059">
            <v>141</v>
          </cell>
          <cell r="AZ1059">
            <v>1.6020000000000001</v>
          </cell>
          <cell r="BA1059" t="str">
            <v>D2104029</v>
          </cell>
          <cell r="BB1059" t="str">
            <v>CONFORM</v>
          </cell>
          <cell r="BC1059" t="str">
            <v>CONFORM</v>
          </cell>
          <cell r="BD1059" t="str">
            <v>CONFORM</v>
          </cell>
          <cell r="BE1059" t="str">
            <v>CONFORM</v>
          </cell>
          <cell r="BF1059" t="str">
            <v>CONFORM</v>
          </cell>
        </row>
        <row r="1060">
          <cell r="A1060">
            <v>44291</v>
          </cell>
          <cell r="B1060" t="str">
            <v>D2104029-4</v>
          </cell>
          <cell r="C1060" t="str">
            <v>027/21</v>
          </cell>
          <cell r="D1060">
            <v>3</v>
          </cell>
          <cell r="E1060">
            <v>44291</v>
          </cell>
          <cell r="F1060" t="str">
            <v>DC</v>
          </cell>
          <cell r="G1060" t="str">
            <v>On Time</v>
          </cell>
          <cell r="H1060">
            <v>201</v>
          </cell>
          <cell r="I1060">
            <v>44260</v>
          </cell>
          <cell r="J1060" t="str">
            <v>ADTI</v>
          </cell>
          <cell r="K1060" t="str">
            <v>D2104029</v>
          </cell>
          <cell r="L1060">
            <v>4</v>
          </cell>
          <cell r="M1060">
            <v>25013</v>
          </cell>
          <cell r="N1060">
            <v>25013</v>
          </cell>
          <cell r="O1060" t="str">
            <v xml:space="preserve">1.4306 TP304L </v>
          </cell>
          <cell r="P1060" t="str">
            <v>304L</v>
          </cell>
          <cell r="Q1060">
            <v>2.3860000000000001</v>
          </cell>
          <cell r="R1060">
            <v>2.3839999999999999</v>
          </cell>
          <cell r="S1060">
            <v>2.7E-2</v>
          </cell>
          <cell r="T1060">
            <v>2.64E-2</v>
          </cell>
          <cell r="U1060">
            <v>2.7E-2</v>
          </cell>
          <cell r="V1060">
            <v>2.6700000000000002E-2</v>
          </cell>
          <cell r="W1060" t="str">
            <v>SO</v>
          </cell>
          <cell r="X1060">
            <v>3832</v>
          </cell>
          <cell r="Y1060">
            <v>2</v>
          </cell>
          <cell r="Z1060">
            <v>803.01760268231351</v>
          </cell>
          <cell r="AA1060" t="str">
            <v>2.386X0.027-304L</v>
          </cell>
          <cell r="AB1060" t="str">
            <v>WAAC006060070B300126</v>
          </cell>
          <cell r="AC1060" t="str">
            <v>D2104029</v>
          </cell>
          <cell r="AD1060">
            <v>25013</v>
          </cell>
          <cell r="AE1060">
            <v>1.4999999999999999E-2</v>
          </cell>
          <cell r="AF1060">
            <v>1.31</v>
          </cell>
          <cell r="AG1060">
            <v>2.7E-2</v>
          </cell>
          <cell r="AH1060">
            <v>1E-3</v>
          </cell>
          <cell r="AI1060">
            <v>0.37</v>
          </cell>
          <cell r="AJ1060">
            <v>18.3</v>
          </cell>
          <cell r="AK1060">
            <v>9.5</v>
          </cell>
          <cell r="AL1060">
            <v>0.04</v>
          </cell>
          <cell r="AM1060">
            <v>0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  <cell r="AR1060">
            <v>0</v>
          </cell>
          <cell r="AS1060">
            <v>0</v>
          </cell>
          <cell r="AT1060">
            <v>255</v>
          </cell>
          <cell r="AU1060">
            <v>283</v>
          </cell>
          <cell r="AV1060">
            <v>608</v>
          </cell>
          <cell r="AW1060">
            <v>57</v>
          </cell>
          <cell r="AX1060">
            <v>141</v>
          </cell>
          <cell r="AY1060">
            <v>141</v>
          </cell>
          <cell r="AZ1060">
            <v>1.6020000000000001</v>
          </cell>
          <cell r="BA1060" t="str">
            <v>D2104029</v>
          </cell>
          <cell r="BB1060" t="str">
            <v>CONFORM</v>
          </cell>
          <cell r="BC1060" t="str">
            <v>CONFORM</v>
          </cell>
          <cell r="BD1060" t="str">
            <v>CONFORM</v>
          </cell>
          <cell r="BE1060" t="str">
            <v>CONFORM</v>
          </cell>
          <cell r="BF1060" t="str">
            <v>CONFORM</v>
          </cell>
        </row>
        <row r="1061">
          <cell r="A1061">
            <v>44292</v>
          </cell>
          <cell r="B1061" t="str">
            <v>D2104030-1</v>
          </cell>
          <cell r="C1061" t="str">
            <v>031/21</v>
          </cell>
          <cell r="D1061">
            <v>1</v>
          </cell>
          <cell r="E1061">
            <v>44287</v>
          </cell>
          <cell r="F1061" t="str">
            <v>DC</v>
          </cell>
          <cell r="G1061" t="str">
            <v>On Time</v>
          </cell>
          <cell r="H1061">
            <v>2408126385</v>
          </cell>
          <cell r="I1061">
            <v>44291</v>
          </cell>
          <cell r="J1061" t="str">
            <v>TKM</v>
          </cell>
          <cell r="K1061" t="str">
            <v>D2104030</v>
          </cell>
          <cell r="L1061">
            <v>1</v>
          </cell>
          <cell r="M1061" t="str">
            <v>03K66JBD</v>
          </cell>
          <cell r="N1061" t="str">
            <v>K66J</v>
          </cell>
          <cell r="O1061" t="str">
            <v xml:space="preserve">1.4306 TP304L </v>
          </cell>
          <cell r="P1061" t="str">
            <v>304L</v>
          </cell>
          <cell r="Q1061">
            <v>4.6849999999999996</v>
          </cell>
          <cell r="R1061">
            <v>4.6825000000000001</v>
          </cell>
          <cell r="S1061">
            <v>4.7E-2</v>
          </cell>
          <cell r="T1061">
            <v>4.8250000000000001E-2</v>
          </cell>
          <cell r="U1061">
            <v>4.6249999999999999E-2</v>
          </cell>
          <cell r="V1061">
            <v>4.725E-2</v>
          </cell>
          <cell r="W1061" t="str">
            <v>SO</v>
          </cell>
          <cell r="X1061">
            <v>4320</v>
          </cell>
          <cell r="Y1061">
            <v>4</v>
          </cell>
          <cell r="Z1061">
            <v>230.52294557097122</v>
          </cell>
          <cell r="AA1061" t="str">
            <v>4.685X0.047-304L</v>
          </cell>
          <cell r="AB1061" t="str">
            <v>WAAC011900120B300062</v>
          </cell>
          <cell r="AC1061" t="str">
            <v>D2104030</v>
          </cell>
          <cell r="AD1061" t="str">
            <v>K66J</v>
          </cell>
          <cell r="AE1061">
            <v>1.54E-2</v>
          </cell>
          <cell r="AF1061">
            <v>1.78</v>
          </cell>
          <cell r="AG1061">
            <v>3.3000000000000002E-2</v>
          </cell>
          <cell r="AH1061">
            <v>1E-3</v>
          </cell>
          <cell r="AI1061">
            <v>0.24</v>
          </cell>
          <cell r="AJ1061">
            <v>18.100000000000001</v>
          </cell>
          <cell r="AK1061">
            <v>8</v>
          </cell>
          <cell r="AL1061">
            <v>8.4000000000000005E-2</v>
          </cell>
          <cell r="AM1061">
            <v>0.43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  <cell r="AR1061">
            <v>0.41899999999999998</v>
          </cell>
          <cell r="AS1061">
            <v>0</v>
          </cell>
          <cell r="AT1061">
            <v>293</v>
          </cell>
          <cell r="AU1061">
            <v>0</v>
          </cell>
          <cell r="AV1061">
            <v>651</v>
          </cell>
          <cell r="AW1061">
            <v>52</v>
          </cell>
          <cell r="AX1061">
            <v>80</v>
          </cell>
          <cell r="AY1061">
            <v>150</v>
          </cell>
          <cell r="AZ1061">
            <v>1.78</v>
          </cell>
          <cell r="BA1061" t="str">
            <v>D2104030</v>
          </cell>
          <cell r="BB1061" t="str">
            <v>CONFORM</v>
          </cell>
          <cell r="BC1061" t="str">
            <v>CONFORM</v>
          </cell>
          <cell r="BD1061" t="str">
            <v>CONFORM</v>
          </cell>
          <cell r="BE1061" t="str">
            <v>CONFORM</v>
          </cell>
          <cell r="BF1061" t="str">
            <v>CONFORM</v>
          </cell>
        </row>
        <row r="1062">
          <cell r="A1062">
            <v>44292</v>
          </cell>
          <cell r="B1062" t="str">
            <v>D2104030-2</v>
          </cell>
          <cell r="C1062" t="str">
            <v>031/21</v>
          </cell>
          <cell r="D1062">
            <v>1</v>
          </cell>
          <cell r="E1062">
            <v>44287</v>
          </cell>
          <cell r="F1062" t="str">
            <v>DC</v>
          </cell>
          <cell r="G1062" t="str">
            <v>On Time</v>
          </cell>
          <cell r="H1062">
            <v>2408126385</v>
          </cell>
          <cell r="I1062">
            <v>44291</v>
          </cell>
          <cell r="J1062" t="str">
            <v>TKM</v>
          </cell>
          <cell r="K1062" t="str">
            <v>D2104030</v>
          </cell>
          <cell r="L1062">
            <v>2</v>
          </cell>
          <cell r="M1062" t="str">
            <v>03K66JBD</v>
          </cell>
          <cell r="N1062" t="str">
            <v>K66J</v>
          </cell>
          <cell r="O1062" t="str">
            <v xml:space="preserve">1.4306 TP304L </v>
          </cell>
          <cell r="P1062" t="str">
            <v>304L</v>
          </cell>
          <cell r="Q1062">
            <v>4.6849999999999996</v>
          </cell>
          <cell r="R1062">
            <v>4.6805000000000003</v>
          </cell>
          <cell r="S1062">
            <v>4.7E-2</v>
          </cell>
          <cell r="T1062">
            <v>4.6249999999999999E-2</v>
          </cell>
          <cell r="U1062">
            <v>4.6699999999999998E-2</v>
          </cell>
          <cell r="V1062">
            <v>4.6475000000000002E-2</v>
          </cell>
          <cell r="W1062" t="str">
            <v>SO</v>
          </cell>
          <cell r="X1062">
            <v>4316</v>
          </cell>
          <cell r="Y1062">
            <v>4</v>
          </cell>
          <cell r="Z1062">
            <v>230.30949839914624</v>
          </cell>
          <cell r="AA1062" t="str">
            <v>4.685X0.047-304L</v>
          </cell>
          <cell r="AB1062" t="str">
            <v>WAAC011900120B300062</v>
          </cell>
          <cell r="AC1062" t="str">
            <v>D2104030</v>
          </cell>
          <cell r="AD1062" t="str">
            <v>K66J</v>
          </cell>
          <cell r="AE1062">
            <v>1.54E-2</v>
          </cell>
          <cell r="AF1062">
            <v>1.78</v>
          </cell>
          <cell r="AG1062">
            <v>3.3000000000000002E-2</v>
          </cell>
          <cell r="AH1062">
            <v>1E-3</v>
          </cell>
          <cell r="AI1062">
            <v>0.24</v>
          </cell>
          <cell r="AJ1062">
            <v>18.100000000000001</v>
          </cell>
          <cell r="AK1062">
            <v>8</v>
          </cell>
          <cell r="AL1062">
            <v>8.4000000000000005E-2</v>
          </cell>
          <cell r="AM1062">
            <v>0.43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  <cell r="AR1062">
            <v>0.41899999999999998</v>
          </cell>
          <cell r="AS1062">
            <v>0</v>
          </cell>
          <cell r="AT1062">
            <v>293</v>
          </cell>
          <cell r="AU1062">
            <v>0</v>
          </cell>
          <cell r="AV1062">
            <v>651</v>
          </cell>
          <cell r="AW1062">
            <v>52</v>
          </cell>
          <cell r="AX1062">
            <v>80</v>
          </cell>
          <cell r="AY1062">
            <v>150</v>
          </cell>
          <cell r="AZ1062">
            <v>1.78</v>
          </cell>
          <cell r="BA1062" t="str">
            <v>D2104030</v>
          </cell>
          <cell r="BB1062" t="str">
            <v>CONFORM</v>
          </cell>
          <cell r="BC1062" t="str">
            <v>CONFORM</v>
          </cell>
          <cell r="BD1062" t="str">
            <v>CONFORM</v>
          </cell>
          <cell r="BE1062" t="str">
            <v>CONFORM</v>
          </cell>
          <cell r="BF1062" t="str">
            <v>CONFORM</v>
          </cell>
        </row>
        <row r="1063">
          <cell r="A1063">
            <v>44292</v>
          </cell>
          <cell r="B1063" t="str">
            <v>D2104030-3</v>
          </cell>
          <cell r="C1063" t="str">
            <v>031/21</v>
          </cell>
          <cell r="D1063">
            <v>1</v>
          </cell>
          <cell r="E1063">
            <v>44287</v>
          </cell>
          <cell r="F1063" t="str">
            <v>DC</v>
          </cell>
          <cell r="G1063" t="str">
            <v>On Time</v>
          </cell>
          <cell r="H1063">
            <v>2408126385</v>
          </cell>
          <cell r="I1063">
            <v>44291</v>
          </cell>
          <cell r="J1063" t="str">
            <v>TKM</v>
          </cell>
          <cell r="K1063" t="str">
            <v>D2104030</v>
          </cell>
          <cell r="L1063">
            <v>3</v>
          </cell>
          <cell r="M1063" t="str">
            <v>03K66JBD</v>
          </cell>
          <cell r="N1063" t="str">
            <v>K66J</v>
          </cell>
          <cell r="O1063" t="str">
            <v xml:space="preserve">1.4306 TP304L </v>
          </cell>
          <cell r="P1063" t="str">
            <v>304L</v>
          </cell>
          <cell r="Q1063">
            <v>4.6849999999999996</v>
          </cell>
          <cell r="R1063">
            <v>4.6875</v>
          </cell>
          <cell r="S1063">
            <v>4.7E-2</v>
          </cell>
          <cell r="T1063">
            <v>4.5999999999999999E-2</v>
          </cell>
          <cell r="U1063">
            <v>4.6399999999999997E-2</v>
          </cell>
          <cell r="V1063">
            <v>4.6199999999999998E-2</v>
          </cell>
          <cell r="W1063" t="str">
            <v>SO</v>
          </cell>
          <cell r="X1063">
            <v>4312</v>
          </cell>
          <cell r="Y1063">
            <v>4</v>
          </cell>
          <cell r="Z1063">
            <v>230.09605122732125</v>
          </cell>
          <cell r="AA1063" t="str">
            <v>4.685X0.047-304L</v>
          </cell>
          <cell r="AB1063" t="str">
            <v>WAAC011900120B300062</v>
          </cell>
          <cell r="AC1063" t="str">
            <v>D2104030</v>
          </cell>
          <cell r="AD1063" t="str">
            <v>K66J</v>
          </cell>
          <cell r="AE1063">
            <v>1.54E-2</v>
          </cell>
          <cell r="AF1063">
            <v>1.78</v>
          </cell>
          <cell r="AG1063">
            <v>3.3000000000000002E-2</v>
          </cell>
          <cell r="AH1063">
            <v>1E-3</v>
          </cell>
          <cell r="AI1063">
            <v>0.24</v>
          </cell>
          <cell r="AJ1063">
            <v>18.100000000000001</v>
          </cell>
          <cell r="AK1063">
            <v>8</v>
          </cell>
          <cell r="AL1063">
            <v>8.4000000000000005E-2</v>
          </cell>
          <cell r="AM1063">
            <v>0.43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  <cell r="AR1063">
            <v>0.41899999999999998</v>
          </cell>
          <cell r="AS1063">
            <v>0</v>
          </cell>
          <cell r="AT1063">
            <v>293</v>
          </cell>
          <cell r="AU1063">
            <v>0</v>
          </cell>
          <cell r="AV1063">
            <v>651</v>
          </cell>
          <cell r="AW1063">
            <v>52</v>
          </cell>
          <cell r="AX1063">
            <v>80</v>
          </cell>
          <cell r="AY1063">
            <v>150</v>
          </cell>
          <cell r="AZ1063">
            <v>1.78</v>
          </cell>
          <cell r="BA1063" t="str">
            <v>D2104030</v>
          </cell>
          <cell r="BB1063" t="str">
            <v>CONFORM</v>
          </cell>
          <cell r="BC1063" t="str">
            <v>CONFORM</v>
          </cell>
          <cell r="BD1063" t="str">
            <v>CONFORM</v>
          </cell>
          <cell r="BE1063" t="str">
            <v>CONFORM</v>
          </cell>
          <cell r="BF1063" t="str">
            <v>CONFORM</v>
          </cell>
        </row>
        <row r="1064">
          <cell r="A1064">
            <v>44305</v>
          </cell>
          <cell r="B1064" t="str">
            <v>D2104094-1</v>
          </cell>
          <cell r="C1064" t="str">
            <v>033/21</v>
          </cell>
          <cell r="D1064">
            <v>1</v>
          </cell>
          <cell r="E1064">
            <v>44291</v>
          </cell>
          <cell r="F1064" t="str">
            <v>AS</v>
          </cell>
          <cell r="G1064" t="str">
            <v>Late</v>
          </cell>
          <cell r="H1064">
            <v>2408154182</v>
          </cell>
          <cell r="I1064">
            <v>44305</v>
          </cell>
          <cell r="J1064" t="str">
            <v>TKM</v>
          </cell>
          <cell r="K1064" t="str">
            <v>D2104094</v>
          </cell>
          <cell r="L1064">
            <v>1</v>
          </cell>
          <cell r="M1064" t="str">
            <v>S385112F1</v>
          </cell>
          <cell r="N1064" t="str">
            <v>L23D</v>
          </cell>
          <cell r="O1064" t="str">
            <v xml:space="preserve">1.4306 TP304L </v>
          </cell>
          <cell r="P1064" t="str">
            <v>304L</v>
          </cell>
          <cell r="Q1064">
            <v>4.6849999999999996</v>
          </cell>
          <cell r="R1064">
            <v>4.6680000000000001</v>
          </cell>
          <cell r="S1064">
            <v>4.7E-2</v>
          </cell>
          <cell r="T1064">
            <v>0.05</v>
          </cell>
          <cell r="U1064">
            <v>5.0250000000000003E-2</v>
          </cell>
          <cell r="V1064">
            <v>5.0125000000000003E-2</v>
          </cell>
          <cell r="W1064" t="str">
            <v>SO</v>
          </cell>
          <cell r="X1064">
            <v>2305</v>
          </cell>
          <cell r="Y1064">
            <v>2</v>
          </cell>
          <cell r="Z1064">
            <v>245.99786552828178</v>
          </cell>
          <cell r="AA1064" t="str">
            <v>4.685X0.047-304L</v>
          </cell>
          <cell r="AB1064" t="str">
            <v>WAAC011900120B300062</v>
          </cell>
          <cell r="AC1064" t="str">
            <v>D2104094</v>
          </cell>
          <cell r="AD1064" t="str">
            <v>L23D</v>
          </cell>
          <cell r="AE1064">
            <v>1.7000000000000001E-2</v>
          </cell>
          <cell r="AF1064">
            <v>1.34</v>
          </cell>
          <cell r="AG1064">
            <v>2.9000000000000001E-2</v>
          </cell>
          <cell r="AH1064">
            <v>1E-3</v>
          </cell>
          <cell r="AI1064">
            <v>0.28100000000000003</v>
          </cell>
          <cell r="AJ1064">
            <v>18.100000000000001</v>
          </cell>
          <cell r="AK1064">
            <v>9.1</v>
          </cell>
          <cell r="AL1064">
            <v>0</v>
          </cell>
          <cell r="AM1064">
            <v>0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  <cell r="AR1064">
            <v>0</v>
          </cell>
          <cell r="AS1064">
            <v>0</v>
          </cell>
          <cell r="AT1064">
            <v>240</v>
          </cell>
          <cell r="AU1064">
            <v>0</v>
          </cell>
          <cell r="AV1064">
            <v>594</v>
          </cell>
          <cell r="AW1064">
            <v>58</v>
          </cell>
          <cell r="AX1064">
            <v>76</v>
          </cell>
          <cell r="AY1064">
            <v>139</v>
          </cell>
          <cell r="AZ1064">
            <v>2.4900000000000002</v>
          </cell>
          <cell r="BA1064" t="str">
            <v>D2104094</v>
          </cell>
          <cell r="BB1064" t="str">
            <v>CONFORM</v>
          </cell>
          <cell r="BC1064" t="str">
            <v>CONFORM</v>
          </cell>
          <cell r="BD1064" t="str">
            <v>CONFORM</v>
          </cell>
          <cell r="BE1064" t="str">
            <v>CONFORM</v>
          </cell>
          <cell r="BF1064" t="str">
            <v>CONFORM</v>
          </cell>
        </row>
        <row r="1065">
          <cell r="A1065">
            <v>44305</v>
          </cell>
          <cell r="B1065" t="str">
            <v>D2104094-2</v>
          </cell>
          <cell r="C1065" t="str">
            <v>033/21</v>
          </cell>
          <cell r="D1065">
            <v>1</v>
          </cell>
          <cell r="E1065">
            <v>44291</v>
          </cell>
          <cell r="F1065" t="str">
            <v>AS</v>
          </cell>
          <cell r="G1065" t="str">
            <v>Late</v>
          </cell>
          <cell r="H1065">
            <v>2408154182</v>
          </cell>
          <cell r="I1065">
            <v>44305</v>
          </cell>
          <cell r="J1065" t="str">
            <v>TKM</v>
          </cell>
          <cell r="K1065" t="str">
            <v>D2104094</v>
          </cell>
          <cell r="L1065">
            <v>2</v>
          </cell>
          <cell r="M1065" t="str">
            <v>S385112F1</v>
          </cell>
          <cell r="N1065" t="str">
            <v>L23D</v>
          </cell>
          <cell r="O1065" t="str">
            <v xml:space="preserve">1.4306 TP304L </v>
          </cell>
          <cell r="P1065" t="str">
            <v>304L</v>
          </cell>
          <cell r="Q1065">
            <v>4.6849999999999996</v>
          </cell>
          <cell r="R1065">
            <v>4.68</v>
          </cell>
          <cell r="S1065">
            <v>4.7E-2</v>
          </cell>
          <cell r="T1065">
            <v>4.99E-2</v>
          </cell>
          <cell r="U1065">
            <v>4.99E-2</v>
          </cell>
          <cell r="V1065">
            <v>4.99E-2</v>
          </cell>
          <cell r="W1065" t="str">
            <v>SO</v>
          </cell>
          <cell r="X1065">
            <v>2305</v>
          </cell>
          <cell r="Y1065">
            <v>2</v>
          </cell>
          <cell r="Z1065">
            <v>245.99786552828178</v>
          </cell>
          <cell r="AA1065" t="str">
            <v>4.685X0.047-304L</v>
          </cell>
          <cell r="AB1065" t="str">
            <v>WAAC011900120B300062</v>
          </cell>
          <cell r="AC1065" t="str">
            <v>D2104094</v>
          </cell>
          <cell r="AD1065" t="str">
            <v>L23D</v>
          </cell>
          <cell r="AE1065">
            <v>1.7000000000000001E-2</v>
          </cell>
          <cell r="AF1065">
            <v>1.34</v>
          </cell>
          <cell r="AG1065">
            <v>2.9000000000000001E-2</v>
          </cell>
          <cell r="AH1065">
            <v>1E-3</v>
          </cell>
          <cell r="AI1065">
            <v>0.28100000000000003</v>
          </cell>
          <cell r="AJ1065">
            <v>18.100000000000001</v>
          </cell>
          <cell r="AK1065">
            <v>9.1</v>
          </cell>
          <cell r="AL1065">
            <v>0</v>
          </cell>
          <cell r="AM1065">
            <v>0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  <cell r="AR1065">
            <v>0</v>
          </cell>
          <cell r="AS1065">
            <v>0</v>
          </cell>
          <cell r="AT1065">
            <v>240</v>
          </cell>
          <cell r="AU1065">
            <v>0</v>
          </cell>
          <cell r="AV1065">
            <v>594</v>
          </cell>
          <cell r="AW1065">
            <v>58</v>
          </cell>
          <cell r="AX1065">
            <v>76</v>
          </cell>
          <cell r="AY1065">
            <v>139</v>
          </cell>
          <cell r="AZ1065">
            <v>2.4900000000000002</v>
          </cell>
          <cell r="BA1065" t="str">
            <v>D2104094</v>
          </cell>
          <cell r="BB1065" t="str">
            <v>CONFORM</v>
          </cell>
          <cell r="BC1065" t="str">
            <v>CONFORM</v>
          </cell>
          <cell r="BD1065" t="str">
            <v>CONFORM</v>
          </cell>
          <cell r="BE1065" t="str">
            <v>CONFORM</v>
          </cell>
          <cell r="BF1065" t="str">
            <v>CONFORM</v>
          </cell>
        </row>
        <row r="1066">
          <cell r="A1066">
            <v>44306</v>
          </cell>
          <cell r="B1066" t="str">
            <v>D2104101-1</v>
          </cell>
          <cell r="C1066" t="str">
            <v>034/21</v>
          </cell>
          <cell r="D1066">
            <v>1</v>
          </cell>
          <cell r="E1066">
            <v>44306</v>
          </cell>
          <cell r="F1066" t="str">
            <v>AS</v>
          </cell>
          <cell r="G1066" t="str">
            <v>On Time</v>
          </cell>
          <cell r="H1066" t="str">
            <v>176646-1</v>
          </cell>
          <cell r="I1066">
            <v>44302</v>
          </cell>
          <cell r="J1066" t="str">
            <v>UPM</v>
          </cell>
          <cell r="K1066" t="str">
            <v>D2104101</v>
          </cell>
          <cell r="L1066">
            <v>1</v>
          </cell>
          <cell r="M1066" t="str">
            <v>04J99C</v>
          </cell>
          <cell r="N1066" t="str">
            <v>J99C</v>
          </cell>
          <cell r="O1066" t="str">
            <v xml:space="preserve">1.4306 TP304L </v>
          </cell>
          <cell r="P1066" t="str">
            <v>304L</v>
          </cell>
          <cell r="Q1066">
            <v>2.3620000000000001</v>
          </cell>
          <cell r="R1066">
            <v>2.3650000000000002</v>
          </cell>
          <cell r="S1066">
            <v>3.5000000000000003E-2</v>
          </cell>
          <cell r="T1066">
            <v>3.5450000000000002E-2</v>
          </cell>
          <cell r="U1066">
            <v>3.5249999999999997E-2</v>
          </cell>
          <cell r="V1066">
            <v>3.5349999999999999E-2</v>
          </cell>
          <cell r="W1066" t="str">
            <v>JM</v>
          </cell>
          <cell r="X1066">
            <v>2830</v>
          </cell>
          <cell r="Y1066">
            <v>5</v>
          </cell>
          <cell r="Z1066">
            <v>239.62743437764604</v>
          </cell>
          <cell r="AA1066" t="str">
            <v>2.362X0.035-304L</v>
          </cell>
          <cell r="AB1066" t="str">
            <v>WAAC006000090B200104</v>
          </cell>
          <cell r="AC1066" t="str">
            <v>D2104101</v>
          </cell>
          <cell r="AD1066" t="str">
            <v>J99C</v>
          </cell>
          <cell r="AE1066">
            <v>1.8499999999999999E-2</v>
          </cell>
          <cell r="AF1066">
            <v>1.8839999999999999</v>
          </cell>
          <cell r="AG1066">
            <v>3.1E-2</v>
          </cell>
          <cell r="AH1066">
            <v>1E-3</v>
          </cell>
          <cell r="AI1066">
            <v>0.29899999999999999</v>
          </cell>
          <cell r="AJ1066">
            <v>18.100000000000001</v>
          </cell>
          <cell r="AK1066">
            <v>8.1</v>
          </cell>
          <cell r="AL1066">
            <v>0.1</v>
          </cell>
          <cell r="AM1066">
            <v>0.39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  <cell r="AR1066">
            <v>0.49399999999999999</v>
          </cell>
          <cell r="AS1066">
            <v>0</v>
          </cell>
          <cell r="AT1066">
            <v>313</v>
          </cell>
          <cell r="AU1066">
            <v>0</v>
          </cell>
          <cell r="AV1066">
            <v>659</v>
          </cell>
          <cell r="AW1066">
            <v>48</v>
          </cell>
          <cell r="AX1066">
            <v>82</v>
          </cell>
          <cell r="AY1066">
            <v>156</v>
          </cell>
          <cell r="AZ1066">
            <v>1.94</v>
          </cell>
          <cell r="BA1066" t="str">
            <v>D2104101</v>
          </cell>
          <cell r="BB1066" t="str">
            <v>CONFORM</v>
          </cell>
          <cell r="BC1066" t="str">
            <v>CONFORM</v>
          </cell>
          <cell r="BD1066" t="str">
            <v>CONFORM</v>
          </cell>
          <cell r="BE1066" t="str">
            <v>CONFORM</v>
          </cell>
          <cell r="BF1066" t="str">
            <v>CONFORM</v>
          </cell>
        </row>
        <row r="1067">
          <cell r="A1067">
            <v>44313</v>
          </cell>
          <cell r="B1067" t="str">
            <v>D2104164-1</v>
          </cell>
          <cell r="C1067" t="str">
            <v>032/21</v>
          </cell>
          <cell r="D1067">
            <v>2</v>
          </cell>
          <cell r="E1067">
            <v>44313</v>
          </cell>
          <cell r="F1067" t="str">
            <v>DC</v>
          </cell>
          <cell r="G1067" t="str">
            <v>On Time</v>
          </cell>
          <cell r="H1067">
            <v>239</v>
          </cell>
          <cell r="I1067">
            <v>44273</v>
          </cell>
          <cell r="J1067" t="str">
            <v>ADTI</v>
          </cell>
          <cell r="K1067" t="str">
            <v>D2104164</v>
          </cell>
          <cell r="L1067">
            <v>1</v>
          </cell>
          <cell r="M1067" t="str">
            <v>A2103131</v>
          </cell>
          <cell r="N1067" t="str">
            <v>0460702</v>
          </cell>
          <cell r="O1067" t="str">
            <v xml:space="preserve">1.4306 TP304L </v>
          </cell>
          <cell r="P1067" t="str">
            <v>304L</v>
          </cell>
          <cell r="Q1067">
            <v>3.0670000000000002</v>
          </cell>
          <cell r="R1067">
            <v>3.0680000000000001</v>
          </cell>
          <cell r="S1067">
            <v>6.3E-2</v>
          </cell>
          <cell r="T1067">
            <v>6.25E-2</v>
          </cell>
          <cell r="U1067">
            <v>6.6199999999999995E-2</v>
          </cell>
          <cell r="V1067">
            <v>6.4349999999999991E-2</v>
          </cell>
          <cell r="W1067" t="str">
            <v>SO</v>
          </cell>
          <cell r="X1067">
            <v>5719</v>
          </cell>
          <cell r="Y1067">
            <v>2</v>
          </cell>
          <cell r="Z1067">
            <v>932.34431040104334</v>
          </cell>
          <cell r="AA1067" t="str">
            <v>3.067X0.063-304L</v>
          </cell>
          <cell r="AB1067" t="str">
            <v>WAAC007790160B300089</v>
          </cell>
          <cell r="AC1067" t="str">
            <v>D2104164</v>
          </cell>
          <cell r="AD1067" t="str">
            <v>0460702</v>
          </cell>
          <cell r="AE1067">
            <v>2.5000000000000001E-2</v>
          </cell>
          <cell r="AF1067">
            <v>1.69</v>
          </cell>
          <cell r="AG1067">
            <v>2.8000000000000001E-2</v>
          </cell>
          <cell r="AH1067">
            <v>1E-3</v>
          </cell>
          <cell r="AI1067">
            <v>0.36</v>
          </cell>
          <cell r="AJ1067">
            <v>18.100000000000001</v>
          </cell>
          <cell r="AK1067">
            <v>8.1</v>
          </cell>
          <cell r="AL1067">
            <v>6.9000000000000006E-2</v>
          </cell>
          <cell r="AM1067">
            <v>0.28000000000000003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  <cell r="AR1067">
            <v>0.32</v>
          </cell>
          <cell r="AS1067">
            <v>0</v>
          </cell>
          <cell r="AT1067">
            <v>283</v>
          </cell>
          <cell r="AU1067">
            <v>315</v>
          </cell>
          <cell r="AV1067">
            <v>654</v>
          </cell>
          <cell r="AW1067">
            <v>58</v>
          </cell>
          <cell r="AX1067">
            <v>81</v>
          </cell>
          <cell r="AY1067">
            <v>153</v>
          </cell>
          <cell r="AZ1067">
            <v>1.5304</v>
          </cell>
          <cell r="BA1067" t="str">
            <v>D2104164</v>
          </cell>
          <cell r="BB1067" t="str">
            <v>CONFORM</v>
          </cell>
          <cell r="BC1067" t="str">
            <v>CONFORM</v>
          </cell>
          <cell r="BD1067" t="str">
            <v>CONFORM</v>
          </cell>
          <cell r="BE1067" t="str">
            <v>CONFORM</v>
          </cell>
          <cell r="BF1067" t="str">
            <v>CONFORM</v>
          </cell>
        </row>
        <row r="1068">
          <cell r="A1068">
            <v>44313</v>
          </cell>
          <cell r="B1068" t="str">
            <v>D2104164-2</v>
          </cell>
          <cell r="C1068" t="str">
            <v>032/21</v>
          </cell>
          <cell r="D1068">
            <v>2</v>
          </cell>
          <cell r="E1068">
            <v>44313</v>
          </cell>
          <cell r="F1068" t="str">
            <v>DC</v>
          </cell>
          <cell r="G1068" t="str">
            <v>On Time</v>
          </cell>
          <cell r="H1068">
            <v>239</v>
          </cell>
          <cell r="I1068">
            <v>44273</v>
          </cell>
          <cell r="J1068" t="str">
            <v>ADTI</v>
          </cell>
          <cell r="K1068" t="str">
            <v>D2104164</v>
          </cell>
          <cell r="L1068">
            <v>2</v>
          </cell>
          <cell r="M1068" t="str">
            <v>A2103131</v>
          </cell>
          <cell r="N1068" t="str">
            <v>0460702</v>
          </cell>
          <cell r="O1068" t="str">
            <v xml:space="preserve">1.4306 TP304L </v>
          </cell>
          <cell r="P1068" t="str">
            <v>304L</v>
          </cell>
          <cell r="Q1068">
            <v>3.0670000000000002</v>
          </cell>
          <cell r="R1068">
            <v>3.0670000000000002</v>
          </cell>
          <cell r="S1068">
            <v>6.3E-2</v>
          </cell>
          <cell r="T1068">
            <v>6.2600000000000003E-2</v>
          </cell>
          <cell r="U1068">
            <v>6.2399999999999997E-2</v>
          </cell>
          <cell r="V1068">
            <v>6.25E-2</v>
          </cell>
          <cell r="W1068" t="str">
            <v>SO</v>
          </cell>
          <cell r="X1068">
            <v>5701</v>
          </cell>
          <cell r="Y1068">
            <v>2</v>
          </cell>
          <cell r="Z1068">
            <v>929.40984675578738</v>
          </cell>
          <cell r="AA1068" t="str">
            <v>3.067X0.063-304L</v>
          </cell>
          <cell r="AB1068" t="str">
            <v>WAAC007790160B300089</v>
          </cell>
          <cell r="AC1068" t="str">
            <v>D2104164</v>
          </cell>
          <cell r="AD1068" t="str">
            <v>0460702</v>
          </cell>
          <cell r="AE1068">
            <v>2.5000000000000001E-2</v>
          </cell>
          <cell r="AF1068">
            <v>1.69</v>
          </cell>
          <cell r="AG1068">
            <v>2.8000000000000001E-2</v>
          </cell>
          <cell r="AH1068">
            <v>1E-3</v>
          </cell>
          <cell r="AI1068">
            <v>0.36</v>
          </cell>
          <cell r="AJ1068">
            <v>18.100000000000001</v>
          </cell>
          <cell r="AK1068">
            <v>8.1</v>
          </cell>
          <cell r="AL1068">
            <v>6.9000000000000006E-2</v>
          </cell>
          <cell r="AM1068">
            <v>0.28000000000000003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  <cell r="AR1068">
            <v>0.32</v>
          </cell>
          <cell r="AS1068">
            <v>0</v>
          </cell>
          <cell r="AT1068">
            <v>283</v>
          </cell>
          <cell r="AU1068">
            <v>315</v>
          </cell>
          <cell r="AV1068">
            <v>654</v>
          </cell>
          <cell r="AW1068">
            <v>58</v>
          </cell>
          <cell r="AX1068">
            <v>81</v>
          </cell>
          <cell r="AY1068">
            <v>153</v>
          </cell>
          <cell r="AZ1068">
            <v>1.5304</v>
          </cell>
          <cell r="BA1068" t="str">
            <v>D2104164</v>
          </cell>
          <cell r="BB1068" t="str">
            <v>CONFORM</v>
          </cell>
          <cell r="BC1068" t="str">
            <v>CONFORM</v>
          </cell>
          <cell r="BD1068" t="str">
            <v>CONFORM</v>
          </cell>
          <cell r="BE1068" t="str">
            <v>CONFORM</v>
          </cell>
          <cell r="BF1068" t="str">
            <v>CONFORM</v>
          </cell>
        </row>
        <row r="1069">
          <cell r="A1069">
            <v>44313</v>
          </cell>
          <cell r="B1069" t="str">
            <v>D2104164-3</v>
          </cell>
          <cell r="C1069" t="str">
            <v>032/21</v>
          </cell>
          <cell r="D1069">
            <v>2</v>
          </cell>
          <cell r="E1069">
            <v>44313</v>
          </cell>
          <cell r="F1069" t="str">
            <v>DC</v>
          </cell>
          <cell r="G1069" t="str">
            <v>On Time</v>
          </cell>
          <cell r="H1069">
            <v>239</v>
          </cell>
          <cell r="I1069">
            <v>44273</v>
          </cell>
          <cell r="J1069" t="str">
            <v>ADTI</v>
          </cell>
          <cell r="K1069" t="str">
            <v>D2104164</v>
          </cell>
          <cell r="L1069">
            <v>3</v>
          </cell>
          <cell r="M1069" t="str">
            <v>A2103131</v>
          </cell>
          <cell r="N1069" t="str">
            <v>0460702</v>
          </cell>
          <cell r="O1069" t="str">
            <v xml:space="preserve">1.4306 TP304L </v>
          </cell>
          <cell r="P1069" t="str">
            <v>304L</v>
          </cell>
          <cell r="Q1069">
            <v>3.0670000000000002</v>
          </cell>
          <cell r="R1069">
            <v>3.0655000000000001</v>
          </cell>
          <cell r="S1069">
            <v>6.3E-2</v>
          </cell>
          <cell r="T1069">
            <v>6.3200000000000006E-2</v>
          </cell>
          <cell r="U1069">
            <v>6.2449999999999999E-2</v>
          </cell>
          <cell r="V1069">
            <v>6.2825000000000006E-2</v>
          </cell>
          <cell r="W1069" t="str">
            <v>SO</v>
          </cell>
          <cell r="X1069">
            <v>5719</v>
          </cell>
          <cell r="Y1069">
            <v>2</v>
          </cell>
          <cell r="Z1069">
            <v>932.34431040104334</v>
          </cell>
          <cell r="AA1069" t="str">
            <v>3.067X0.063-304L</v>
          </cell>
          <cell r="AB1069" t="str">
            <v>WAAC007790160B300089</v>
          </cell>
          <cell r="AC1069" t="str">
            <v>D2104164</v>
          </cell>
          <cell r="AD1069" t="str">
            <v>0460702</v>
          </cell>
          <cell r="AE1069">
            <v>2.5000000000000001E-2</v>
          </cell>
          <cell r="AF1069">
            <v>1.69</v>
          </cell>
          <cell r="AG1069">
            <v>2.8000000000000001E-2</v>
          </cell>
          <cell r="AH1069">
            <v>1E-3</v>
          </cell>
          <cell r="AI1069">
            <v>0.36</v>
          </cell>
          <cell r="AJ1069">
            <v>18.100000000000001</v>
          </cell>
          <cell r="AK1069">
            <v>8.1</v>
          </cell>
          <cell r="AL1069">
            <v>6.9000000000000006E-2</v>
          </cell>
          <cell r="AM1069">
            <v>0.28000000000000003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  <cell r="AR1069">
            <v>0.32</v>
          </cell>
          <cell r="AS1069">
            <v>0</v>
          </cell>
          <cell r="AT1069">
            <v>283</v>
          </cell>
          <cell r="AU1069">
            <v>315</v>
          </cell>
          <cell r="AV1069">
            <v>654</v>
          </cell>
          <cell r="AW1069">
            <v>58</v>
          </cell>
          <cell r="AX1069">
            <v>81</v>
          </cell>
          <cell r="AY1069">
            <v>153</v>
          </cell>
          <cell r="AZ1069">
            <v>1.5304</v>
          </cell>
          <cell r="BA1069" t="str">
            <v>D2104164</v>
          </cell>
          <cell r="BB1069" t="str">
            <v>CONFORM</v>
          </cell>
          <cell r="BC1069" t="str">
            <v>CONFORM</v>
          </cell>
          <cell r="BD1069" t="str">
            <v>CONFORM</v>
          </cell>
          <cell r="BE1069" t="str">
            <v>CONFORM</v>
          </cell>
          <cell r="BF1069" t="str">
            <v>CONFORM</v>
          </cell>
        </row>
        <row r="1070">
          <cell r="A1070">
            <v>44313</v>
          </cell>
          <cell r="B1070" t="str">
            <v>D2104164-4</v>
          </cell>
          <cell r="C1070" t="str">
            <v>032/21</v>
          </cell>
          <cell r="D1070">
            <v>2</v>
          </cell>
          <cell r="E1070">
            <v>44313</v>
          </cell>
          <cell r="F1070" t="str">
            <v>DC</v>
          </cell>
          <cell r="G1070" t="str">
            <v>On Time</v>
          </cell>
          <cell r="H1070">
            <v>239</v>
          </cell>
          <cell r="I1070">
            <v>44273</v>
          </cell>
          <cell r="J1070" t="str">
            <v>ADTI</v>
          </cell>
          <cell r="K1070" t="str">
            <v>D2104164</v>
          </cell>
          <cell r="L1070">
            <v>4</v>
          </cell>
          <cell r="M1070" t="str">
            <v>A2103131</v>
          </cell>
          <cell r="N1070" t="str">
            <v>0460702</v>
          </cell>
          <cell r="O1070" t="str">
            <v xml:space="preserve">1.4306 TP304L </v>
          </cell>
          <cell r="P1070" t="str">
            <v>304L</v>
          </cell>
          <cell r="Q1070">
            <v>3.0670000000000002</v>
          </cell>
          <cell r="R1070">
            <v>3.0665</v>
          </cell>
          <cell r="S1070">
            <v>6.3E-2</v>
          </cell>
          <cell r="T1070">
            <v>6.2149999999999997E-2</v>
          </cell>
          <cell r="U1070">
            <v>6.2799999999999995E-2</v>
          </cell>
          <cell r="V1070">
            <v>6.2474999999999996E-2</v>
          </cell>
          <cell r="W1070" t="str">
            <v>SO</v>
          </cell>
          <cell r="X1070">
            <v>5710</v>
          </cell>
          <cell r="Y1070">
            <v>2</v>
          </cell>
          <cell r="Z1070">
            <v>930.87707857841531</v>
          </cell>
          <cell r="AA1070" t="str">
            <v>3.067X0.063-304L</v>
          </cell>
          <cell r="AB1070" t="str">
            <v>WAAC007790160B300089</v>
          </cell>
          <cell r="AC1070" t="str">
            <v>D2104164</v>
          </cell>
          <cell r="AD1070" t="str">
            <v>0460702</v>
          </cell>
          <cell r="AE1070">
            <v>2.5000000000000001E-2</v>
          </cell>
          <cell r="AF1070">
            <v>1.69</v>
          </cell>
          <cell r="AG1070">
            <v>2.8000000000000001E-2</v>
          </cell>
          <cell r="AH1070">
            <v>1E-3</v>
          </cell>
          <cell r="AI1070">
            <v>0.36</v>
          </cell>
          <cell r="AJ1070">
            <v>18.100000000000001</v>
          </cell>
          <cell r="AK1070">
            <v>8.1</v>
          </cell>
          <cell r="AL1070">
            <v>6.9000000000000006E-2</v>
          </cell>
          <cell r="AM1070">
            <v>0.28000000000000003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  <cell r="AR1070">
            <v>0.32</v>
          </cell>
          <cell r="AS1070">
            <v>0</v>
          </cell>
          <cell r="AT1070">
            <v>283</v>
          </cell>
          <cell r="AU1070">
            <v>315</v>
          </cell>
          <cell r="AV1070">
            <v>654</v>
          </cell>
          <cell r="AW1070">
            <v>58</v>
          </cell>
          <cell r="AX1070">
            <v>81</v>
          </cell>
          <cell r="AY1070">
            <v>153</v>
          </cell>
          <cell r="AZ1070">
            <v>1.5304</v>
          </cell>
          <cell r="BA1070" t="str">
            <v>D2104164</v>
          </cell>
          <cell r="BB1070" t="str">
            <v>CONFORM</v>
          </cell>
          <cell r="BC1070" t="str">
            <v>CONFORM</v>
          </cell>
          <cell r="BD1070" t="str">
            <v>CONFORM</v>
          </cell>
          <cell r="BE1070" t="str">
            <v>CONFORM</v>
          </cell>
          <cell r="BF1070" t="str">
            <v>CONFORM</v>
          </cell>
        </row>
        <row r="1071">
          <cell r="A1071">
            <v>44313</v>
          </cell>
          <cell r="B1071" t="str">
            <v>D2104165-1</v>
          </cell>
          <cell r="C1071" t="str">
            <v>032/21</v>
          </cell>
          <cell r="D1071">
            <v>1</v>
          </cell>
          <cell r="E1071">
            <v>44313</v>
          </cell>
          <cell r="F1071" t="str">
            <v>DC</v>
          </cell>
          <cell r="G1071" t="str">
            <v>On Time</v>
          </cell>
          <cell r="H1071">
            <v>239</v>
          </cell>
          <cell r="I1071">
            <v>44273</v>
          </cell>
          <cell r="J1071" t="str">
            <v>ADTI</v>
          </cell>
          <cell r="K1071" t="str">
            <v>D2104165</v>
          </cell>
          <cell r="L1071">
            <v>1</v>
          </cell>
          <cell r="M1071" t="str">
            <v>A2103112</v>
          </cell>
          <cell r="N1071">
            <v>18383</v>
          </cell>
          <cell r="O1071" t="str">
            <v xml:space="preserve">1.4306 TP304L </v>
          </cell>
          <cell r="P1071" t="str">
            <v>304L</v>
          </cell>
          <cell r="Q1071">
            <v>3.0550000000000002</v>
          </cell>
          <cell r="R1071">
            <v>3.0550000000000002</v>
          </cell>
          <cell r="S1071">
            <v>6.7000000000000004E-2</v>
          </cell>
          <cell r="T1071">
            <v>6.8949999999999997E-2</v>
          </cell>
          <cell r="U1071">
            <v>6.9150000000000003E-2</v>
          </cell>
          <cell r="V1071">
            <v>6.905E-2</v>
          </cell>
          <cell r="W1071" t="str">
            <v>SO</v>
          </cell>
          <cell r="X1071">
            <v>2553</v>
          </cell>
          <cell r="Y1071">
            <v>2</v>
          </cell>
          <cell r="Z1071">
            <v>417.83960720130932</v>
          </cell>
          <cell r="AA1071" t="str">
            <v>3.055X0.067-304L</v>
          </cell>
          <cell r="AB1071" t="str">
            <v>WAAC007760170B300083</v>
          </cell>
          <cell r="AC1071" t="str">
            <v>D2104165</v>
          </cell>
          <cell r="AD1071">
            <v>18383</v>
          </cell>
          <cell r="AE1071">
            <v>2.8000000000000001E-2</v>
          </cell>
          <cell r="AF1071">
            <v>1.53</v>
          </cell>
          <cell r="AG1071">
            <v>2.5999999999999999E-2</v>
          </cell>
          <cell r="AH1071">
            <v>1E-3</v>
          </cell>
          <cell r="AI1071">
            <v>0.42</v>
          </cell>
          <cell r="AJ1071">
            <v>18.2</v>
          </cell>
          <cell r="AK1071">
            <v>8</v>
          </cell>
          <cell r="AL1071">
            <v>6.2E-2</v>
          </cell>
          <cell r="AM1071">
            <v>0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  <cell r="AR1071">
            <v>0</v>
          </cell>
          <cell r="AS1071">
            <v>0</v>
          </cell>
          <cell r="AT1071">
            <v>263</v>
          </cell>
          <cell r="AU1071">
            <v>293</v>
          </cell>
          <cell r="AV1071">
            <v>626</v>
          </cell>
          <cell r="AW1071">
            <v>62</v>
          </cell>
          <cell r="AX1071">
            <v>81</v>
          </cell>
          <cell r="AY1071">
            <v>153</v>
          </cell>
          <cell r="AZ1071">
            <v>1.5304</v>
          </cell>
          <cell r="BA1071" t="str">
            <v>D2104165</v>
          </cell>
          <cell r="BB1071" t="str">
            <v>CONFORM</v>
          </cell>
          <cell r="BC1071" t="str">
            <v>CONFORM</v>
          </cell>
          <cell r="BD1071" t="str">
            <v>CONFORM</v>
          </cell>
          <cell r="BE1071" t="str">
            <v>CONFORM</v>
          </cell>
          <cell r="BF1071" t="str">
            <v>CONFORM</v>
          </cell>
        </row>
        <row r="1072">
          <cell r="A1072">
            <v>44313</v>
          </cell>
          <cell r="B1072" t="str">
            <v>D2104165-2</v>
          </cell>
          <cell r="C1072" t="str">
            <v>032/21</v>
          </cell>
          <cell r="D1072">
            <v>1</v>
          </cell>
          <cell r="E1072">
            <v>44313</v>
          </cell>
          <cell r="F1072" t="str">
            <v>DC</v>
          </cell>
          <cell r="G1072" t="str">
            <v>On Time</v>
          </cell>
          <cell r="H1072">
            <v>239</v>
          </cell>
          <cell r="I1072">
            <v>44273</v>
          </cell>
          <cell r="J1072" t="str">
            <v>ADTI</v>
          </cell>
          <cell r="K1072" t="str">
            <v>D2104165</v>
          </cell>
          <cell r="L1072">
            <v>2</v>
          </cell>
          <cell r="M1072" t="str">
            <v>A2103112</v>
          </cell>
          <cell r="N1072">
            <v>18383</v>
          </cell>
          <cell r="O1072" t="str">
            <v xml:space="preserve">1.4306 TP304L </v>
          </cell>
          <cell r="P1072" t="str">
            <v>304L</v>
          </cell>
          <cell r="Q1072">
            <v>3.0550000000000002</v>
          </cell>
          <cell r="R1072">
            <v>3.0539999999999998</v>
          </cell>
          <cell r="S1072">
            <v>6.7000000000000004E-2</v>
          </cell>
          <cell r="T1072">
            <v>6.9500000000000006E-2</v>
          </cell>
          <cell r="U1072">
            <v>6.88E-2</v>
          </cell>
          <cell r="V1072">
            <v>6.9150000000000003E-2</v>
          </cell>
          <cell r="W1072" t="str">
            <v>SO</v>
          </cell>
          <cell r="X1072">
            <v>2568</v>
          </cell>
          <cell r="Y1072">
            <v>2</v>
          </cell>
          <cell r="Z1072">
            <v>420.29459901800323</v>
          </cell>
          <cell r="AA1072" t="str">
            <v>3.055X0.067-304L</v>
          </cell>
          <cell r="AB1072" t="str">
            <v>WAAC007760170B300083</v>
          </cell>
          <cell r="AC1072" t="str">
            <v>D2104165</v>
          </cell>
          <cell r="AD1072">
            <v>18383</v>
          </cell>
          <cell r="AE1072">
            <v>2.8000000000000001E-2</v>
          </cell>
          <cell r="AF1072">
            <v>1.53</v>
          </cell>
          <cell r="AG1072">
            <v>2.5999999999999999E-2</v>
          </cell>
          <cell r="AH1072">
            <v>1E-3</v>
          </cell>
          <cell r="AI1072">
            <v>0.42</v>
          </cell>
          <cell r="AJ1072">
            <v>18.2</v>
          </cell>
          <cell r="AK1072">
            <v>8</v>
          </cell>
          <cell r="AL1072">
            <v>6.2E-2</v>
          </cell>
          <cell r="AM1072">
            <v>0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  <cell r="AR1072">
            <v>0</v>
          </cell>
          <cell r="AS1072">
            <v>0</v>
          </cell>
          <cell r="AT1072">
            <v>263</v>
          </cell>
          <cell r="AU1072">
            <v>293</v>
          </cell>
          <cell r="AV1072">
            <v>626</v>
          </cell>
          <cell r="AW1072">
            <v>62</v>
          </cell>
          <cell r="AX1072">
            <v>81</v>
          </cell>
          <cell r="AY1072">
            <v>153</v>
          </cell>
          <cell r="AZ1072">
            <v>1.5304</v>
          </cell>
          <cell r="BA1072" t="str">
            <v>D2104165</v>
          </cell>
          <cell r="BB1072" t="str">
            <v>CONFORM</v>
          </cell>
          <cell r="BC1072" t="str">
            <v>CONFORM</v>
          </cell>
          <cell r="BD1072" t="str">
            <v>CONFORM</v>
          </cell>
          <cell r="BE1072" t="str">
            <v>CONFORM</v>
          </cell>
          <cell r="BF1072" t="str">
            <v>CONFORM</v>
          </cell>
        </row>
        <row r="1073">
          <cell r="A1073">
            <v>44313</v>
          </cell>
          <cell r="B1073" t="str">
            <v>D2104165-3</v>
          </cell>
          <cell r="C1073" t="str">
            <v>032/21</v>
          </cell>
          <cell r="D1073">
            <v>1</v>
          </cell>
          <cell r="E1073">
            <v>44313</v>
          </cell>
          <cell r="F1073" t="str">
            <v>DC</v>
          </cell>
          <cell r="G1073" t="str">
            <v>On Time</v>
          </cell>
          <cell r="H1073">
            <v>239</v>
          </cell>
          <cell r="I1073">
            <v>44273</v>
          </cell>
          <cell r="J1073" t="str">
            <v>ADTI</v>
          </cell>
          <cell r="K1073" t="str">
            <v>D2104165</v>
          </cell>
          <cell r="L1073">
            <v>3</v>
          </cell>
          <cell r="M1073" t="str">
            <v>A2103112</v>
          </cell>
          <cell r="N1073">
            <v>18383</v>
          </cell>
          <cell r="O1073" t="str">
            <v xml:space="preserve">1.4306 TP304L </v>
          </cell>
          <cell r="P1073" t="str">
            <v>304L</v>
          </cell>
          <cell r="Q1073">
            <v>3.0550000000000002</v>
          </cell>
          <cell r="R1073">
            <v>3.0535000000000001</v>
          </cell>
          <cell r="S1073">
            <v>6.7000000000000004E-2</v>
          </cell>
          <cell r="T1073">
            <v>6.9699999999999998E-2</v>
          </cell>
          <cell r="U1073">
            <v>6.9000000000000006E-2</v>
          </cell>
          <cell r="V1073">
            <v>6.9349999999999995E-2</v>
          </cell>
          <cell r="W1073" t="str">
            <v>SO</v>
          </cell>
          <cell r="X1073">
            <v>4037</v>
          </cell>
          <cell r="Y1073">
            <v>3</v>
          </cell>
          <cell r="Z1073">
            <v>440.48008728859793</v>
          </cell>
          <cell r="AA1073" t="str">
            <v>3.055X0.067-304L</v>
          </cell>
          <cell r="AB1073" t="str">
            <v>WAAC007760170B300083</v>
          </cell>
          <cell r="AC1073" t="str">
            <v>D2104165</v>
          </cell>
          <cell r="AD1073">
            <v>18383</v>
          </cell>
          <cell r="AE1073">
            <v>2.8000000000000001E-2</v>
          </cell>
          <cell r="AF1073">
            <v>1.53</v>
          </cell>
          <cell r="AG1073">
            <v>2.5999999999999999E-2</v>
          </cell>
          <cell r="AH1073">
            <v>1E-3</v>
          </cell>
          <cell r="AI1073">
            <v>0.42</v>
          </cell>
          <cell r="AJ1073">
            <v>18.2</v>
          </cell>
          <cell r="AK1073">
            <v>8</v>
          </cell>
          <cell r="AL1073">
            <v>6.2E-2</v>
          </cell>
          <cell r="AM1073">
            <v>0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  <cell r="AR1073">
            <v>0</v>
          </cell>
          <cell r="AS1073">
            <v>0</v>
          </cell>
          <cell r="AT1073">
            <v>263</v>
          </cell>
          <cell r="AU1073">
            <v>293</v>
          </cell>
          <cell r="AV1073">
            <v>626</v>
          </cell>
          <cell r="AW1073">
            <v>62</v>
          </cell>
          <cell r="AX1073">
            <v>81</v>
          </cell>
          <cell r="AY1073">
            <v>153</v>
          </cell>
          <cell r="AZ1073">
            <v>1.5304</v>
          </cell>
          <cell r="BA1073" t="str">
            <v>D2104165</v>
          </cell>
          <cell r="BB1073" t="str">
            <v>CONFORM</v>
          </cell>
          <cell r="BC1073" t="str">
            <v>CONFORM</v>
          </cell>
          <cell r="BD1073" t="str">
            <v>CONFORM</v>
          </cell>
          <cell r="BE1073" t="str">
            <v>CONFORM</v>
          </cell>
          <cell r="BF1073" t="str">
            <v>CONFORM</v>
          </cell>
        </row>
        <row r="1074">
          <cell r="A1074">
            <v>44313</v>
          </cell>
          <cell r="B1074" t="str">
            <v>D2104165-4</v>
          </cell>
          <cell r="C1074" t="str">
            <v>032/21</v>
          </cell>
          <cell r="D1074">
            <v>1</v>
          </cell>
          <cell r="E1074">
            <v>44313</v>
          </cell>
          <cell r="F1074" t="str">
            <v>DC</v>
          </cell>
          <cell r="G1074" t="str">
            <v>On Time</v>
          </cell>
          <cell r="H1074">
            <v>239</v>
          </cell>
          <cell r="I1074">
            <v>44273</v>
          </cell>
          <cell r="J1074" t="str">
            <v>ADTI</v>
          </cell>
          <cell r="K1074" t="str">
            <v>D2104165</v>
          </cell>
          <cell r="L1074">
            <v>4</v>
          </cell>
          <cell r="M1074" t="str">
            <v>A2103112</v>
          </cell>
          <cell r="N1074">
            <v>18383</v>
          </cell>
          <cell r="O1074" t="str">
            <v xml:space="preserve">1.4306 TP304L </v>
          </cell>
          <cell r="P1074" t="str">
            <v>304L</v>
          </cell>
          <cell r="Q1074">
            <v>3.0550000000000002</v>
          </cell>
          <cell r="R1074">
            <v>3.0539999999999998</v>
          </cell>
          <cell r="S1074">
            <v>6.7000000000000004E-2</v>
          </cell>
          <cell r="T1074">
            <v>6.9500000000000006E-2</v>
          </cell>
          <cell r="U1074">
            <v>6.9550000000000001E-2</v>
          </cell>
          <cell r="V1074">
            <v>6.9525000000000003E-2</v>
          </cell>
          <cell r="W1074" t="str">
            <v>SO</v>
          </cell>
          <cell r="X1074">
            <v>2687</v>
          </cell>
          <cell r="Y1074">
            <v>2</v>
          </cell>
          <cell r="Z1074">
            <v>439.77086743044185</v>
          </cell>
          <cell r="AA1074" t="str">
            <v>3.055X0.067-304L</v>
          </cell>
          <cell r="AB1074" t="str">
            <v>WAAC007760170B300083</v>
          </cell>
          <cell r="AC1074" t="str">
            <v>D2104165</v>
          </cell>
          <cell r="AD1074">
            <v>18383</v>
          </cell>
          <cell r="AE1074">
            <v>2.8000000000000001E-2</v>
          </cell>
          <cell r="AF1074">
            <v>1.53</v>
          </cell>
          <cell r="AG1074">
            <v>2.5999999999999999E-2</v>
          </cell>
          <cell r="AH1074">
            <v>1E-3</v>
          </cell>
          <cell r="AI1074">
            <v>0.42</v>
          </cell>
          <cell r="AJ1074">
            <v>18.2</v>
          </cell>
          <cell r="AK1074">
            <v>8</v>
          </cell>
          <cell r="AL1074">
            <v>6.2E-2</v>
          </cell>
          <cell r="AM1074">
            <v>0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  <cell r="AR1074">
            <v>0</v>
          </cell>
          <cell r="AS1074">
            <v>0</v>
          </cell>
          <cell r="AT1074">
            <v>263</v>
          </cell>
          <cell r="AU1074">
            <v>293</v>
          </cell>
          <cell r="AV1074">
            <v>626</v>
          </cell>
          <cell r="AW1074">
            <v>62</v>
          </cell>
          <cell r="AX1074">
            <v>81</v>
          </cell>
          <cell r="AY1074">
            <v>153</v>
          </cell>
          <cell r="AZ1074">
            <v>1.5304</v>
          </cell>
          <cell r="BA1074" t="str">
            <v>D2104165</v>
          </cell>
          <cell r="BB1074" t="str">
            <v>CONFORM</v>
          </cell>
          <cell r="BC1074" t="str">
            <v>CONFORM</v>
          </cell>
          <cell r="BD1074" t="str">
            <v>CONFORM</v>
          </cell>
          <cell r="BE1074" t="str">
            <v>CONFORM</v>
          </cell>
          <cell r="BF1074" t="str">
            <v>CONFORM</v>
          </cell>
        </row>
        <row r="1075">
          <cell r="A1075">
            <v>44313</v>
          </cell>
          <cell r="B1075" t="str">
            <v>D2104166-1</v>
          </cell>
          <cell r="C1075" t="str">
            <v>032/21</v>
          </cell>
          <cell r="D1075">
            <v>1</v>
          </cell>
          <cell r="E1075">
            <v>44313</v>
          </cell>
          <cell r="F1075" t="str">
            <v>DC</v>
          </cell>
          <cell r="G1075" t="str">
            <v>On Time</v>
          </cell>
          <cell r="H1075">
            <v>239</v>
          </cell>
          <cell r="I1075">
            <v>44273</v>
          </cell>
          <cell r="J1075" t="str">
            <v>ADTI</v>
          </cell>
          <cell r="K1075" t="str">
            <v>D2104166</v>
          </cell>
          <cell r="L1075">
            <v>1</v>
          </cell>
          <cell r="M1075" t="str">
            <v>A2103113</v>
          </cell>
          <cell r="N1075" t="str">
            <v>0537106</v>
          </cell>
          <cell r="O1075" t="str">
            <v xml:space="preserve">1.4306 TP304L </v>
          </cell>
          <cell r="P1075" t="str">
            <v>304L</v>
          </cell>
          <cell r="Q1075">
            <v>3.0550000000000002</v>
          </cell>
          <cell r="R1075">
            <v>3.0545</v>
          </cell>
          <cell r="S1075">
            <v>6.7000000000000004E-2</v>
          </cell>
          <cell r="T1075">
            <v>6.905E-2</v>
          </cell>
          <cell r="U1075">
            <v>6.9099999999999995E-2</v>
          </cell>
          <cell r="V1075">
            <v>6.9074999999999998E-2</v>
          </cell>
          <cell r="W1075" t="str">
            <v>SO</v>
          </cell>
          <cell r="X1075">
            <v>4162</v>
          </cell>
          <cell r="Y1075">
            <v>3</v>
          </cell>
          <cell r="Z1075">
            <v>454.11893071467534</v>
          </cell>
          <cell r="AA1075" t="str">
            <v>3.055X0.067-304L</v>
          </cell>
          <cell r="AB1075" t="str">
            <v>WAAC007760170B300083</v>
          </cell>
          <cell r="AC1075" t="str">
            <v>D2104166</v>
          </cell>
          <cell r="AD1075" t="str">
            <v>0537106</v>
          </cell>
          <cell r="AE1075">
            <v>0.03</v>
          </cell>
          <cell r="AF1075">
            <v>1.77</v>
          </cell>
          <cell r="AG1075">
            <v>3.3000000000000002E-2</v>
          </cell>
          <cell r="AH1075">
            <v>1E-3</v>
          </cell>
          <cell r="AI1075">
            <v>0.31</v>
          </cell>
          <cell r="AJ1075">
            <v>18.2</v>
          </cell>
          <cell r="AK1075">
            <v>8.0299999999999994</v>
          </cell>
          <cell r="AL1075">
            <v>6.5000000000000002E-2</v>
          </cell>
          <cell r="AM1075">
            <v>0.33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  <cell r="AR1075">
            <v>0.38</v>
          </cell>
          <cell r="AS1075">
            <v>0</v>
          </cell>
          <cell r="AT1075">
            <v>284</v>
          </cell>
          <cell r="AU1075">
            <v>311</v>
          </cell>
          <cell r="AV1075">
            <v>629</v>
          </cell>
          <cell r="AW1075">
            <v>58</v>
          </cell>
          <cell r="AX1075">
            <v>81</v>
          </cell>
          <cell r="AY1075">
            <v>153</v>
          </cell>
          <cell r="AZ1075">
            <v>1.5304</v>
          </cell>
          <cell r="BA1075" t="str">
            <v>D2104166</v>
          </cell>
          <cell r="BB1075" t="str">
            <v>CONFORM</v>
          </cell>
          <cell r="BC1075" t="str">
            <v>CONFORM</v>
          </cell>
          <cell r="BD1075" t="str">
            <v>CONFORM</v>
          </cell>
          <cell r="BE1075" t="str">
            <v>CONFORM</v>
          </cell>
          <cell r="BF1075" t="str">
            <v>CONFORM</v>
          </cell>
        </row>
        <row r="1076">
          <cell r="A1076">
            <v>44315</v>
          </cell>
          <cell r="B1076" t="str">
            <v>D2104167-1</v>
          </cell>
          <cell r="C1076" t="str">
            <v>111/20</v>
          </cell>
          <cell r="D1076">
            <v>1</v>
          </cell>
          <cell r="E1076">
            <v>44291</v>
          </cell>
          <cell r="F1076" t="str">
            <v>DC</v>
          </cell>
          <cell r="G1076" t="str">
            <v>Late</v>
          </cell>
          <cell r="H1076" t="str">
            <v>L448590</v>
          </cell>
          <cell r="I1076">
            <v>44309</v>
          </cell>
          <cell r="J1076" t="str">
            <v>ATI</v>
          </cell>
          <cell r="K1076" t="str">
            <v>D2104167</v>
          </cell>
          <cell r="L1076">
            <v>1</v>
          </cell>
          <cell r="M1076" t="str">
            <v>AAD23052</v>
          </cell>
          <cell r="N1076">
            <v>861988</v>
          </cell>
          <cell r="O1076" t="str">
            <v xml:space="preserve">2.4858 UNS N08825 </v>
          </cell>
          <cell r="P1076" t="str">
            <v>A825</v>
          </cell>
          <cell r="Q1076">
            <v>3.0670000000000002</v>
          </cell>
          <cell r="R1076">
            <v>3.0670000000000002</v>
          </cell>
          <cell r="S1076">
            <v>6.3E-2</v>
          </cell>
          <cell r="T1076">
            <v>6.2950000000000006E-2</v>
          </cell>
          <cell r="U1076">
            <v>6.2950000000000006E-2</v>
          </cell>
          <cell r="V1076">
            <v>6.2950000000000006E-2</v>
          </cell>
          <cell r="W1076" t="str">
            <v>SO</v>
          </cell>
          <cell r="X1076">
            <v>4842</v>
          </cell>
          <cell r="Y1076">
            <v>6</v>
          </cell>
          <cell r="Z1076">
            <v>263.12357352461686</v>
          </cell>
          <cell r="AA1076" t="str">
            <v>3.067X0.063-A825</v>
          </cell>
          <cell r="AB1076" t="str">
            <v>WABF007790160C600121</v>
          </cell>
          <cell r="AC1076" t="str">
            <v>D2104167</v>
          </cell>
          <cell r="AD1076">
            <v>861988</v>
          </cell>
          <cell r="AE1076">
            <v>8.0000000000000002E-3</v>
          </cell>
          <cell r="AF1076">
            <v>0.49</v>
          </cell>
          <cell r="AG1076">
            <v>1.6E-2</v>
          </cell>
          <cell r="AH1076">
            <v>0</v>
          </cell>
          <cell r="AI1076">
            <v>0.27</v>
          </cell>
          <cell r="AJ1076">
            <v>22.6</v>
          </cell>
          <cell r="AK1076">
            <v>38.6</v>
          </cell>
          <cell r="AL1076">
            <v>0</v>
          </cell>
          <cell r="AM1076">
            <v>3.25</v>
          </cell>
          <cell r="AN1076">
            <v>31.5</v>
          </cell>
          <cell r="AO1076">
            <v>0.09</v>
          </cell>
          <cell r="AP1076">
            <v>0</v>
          </cell>
          <cell r="AQ1076">
            <v>0</v>
          </cell>
          <cell r="AR1076">
            <v>1.99</v>
          </cell>
          <cell r="AS1076">
            <v>0.77</v>
          </cell>
          <cell r="AT1076">
            <v>342</v>
          </cell>
          <cell r="AU1076">
            <v>0</v>
          </cell>
          <cell r="AV1076">
            <v>643</v>
          </cell>
          <cell r="AW1076">
            <v>42</v>
          </cell>
          <cell r="AX1076">
            <v>82</v>
          </cell>
          <cell r="AY1076">
            <v>156</v>
          </cell>
          <cell r="AZ1076">
            <v>7.85</v>
          </cell>
          <cell r="BA1076" t="str">
            <v>D2104167</v>
          </cell>
          <cell r="BB1076" t="str">
            <v>CONFORM</v>
          </cell>
          <cell r="BC1076" t="str">
            <v>CONFORM</v>
          </cell>
          <cell r="BD1076" t="str">
            <v>CONFORM</v>
          </cell>
          <cell r="BE1076" t="str">
            <v>CONFORM</v>
          </cell>
          <cell r="BF1076" t="str">
            <v>CONFORM</v>
          </cell>
        </row>
        <row r="1077">
          <cell r="A1077">
            <v>44315</v>
          </cell>
          <cell r="B1077" t="str">
            <v>D2104167-2</v>
          </cell>
          <cell r="C1077" t="str">
            <v>111/20</v>
          </cell>
          <cell r="D1077">
            <v>1</v>
          </cell>
          <cell r="E1077">
            <v>44291</v>
          </cell>
          <cell r="F1077" t="str">
            <v>DC</v>
          </cell>
          <cell r="G1077" t="str">
            <v>Late</v>
          </cell>
          <cell r="H1077" t="str">
            <v>L448590</v>
          </cell>
          <cell r="I1077">
            <v>44309</v>
          </cell>
          <cell r="J1077" t="str">
            <v>ATI</v>
          </cell>
          <cell r="K1077" t="str">
            <v>D2104167</v>
          </cell>
          <cell r="L1077">
            <v>2</v>
          </cell>
          <cell r="M1077" t="str">
            <v>AAD23052</v>
          </cell>
          <cell r="N1077">
            <v>861988</v>
          </cell>
          <cell r="O1077" t="str">
            <v xml:space="preserve">2.4858 UNS N08825 </v>
          </cell>
          <cell r="P1077" t="str">
            <v>A825</v>
          </cell>
          <cell r="Q1077">
            <v>3.0670000000000002</v>
          </cell>
          <cell r="R1077">
            <v>3.0670000000000002</v>
          </cell>
          <cell r="S1077">
            <v>6.3E-2</v>
          </cell>
          <cell r="T1077">
            <v>6.2850000000000003E-2</v>
          </cell>
          <cell r="U1077">
            <v>6.3350000000000004E-2</v>
          </cell>
          <cell r="V1077">
            <v>6.3100000000000003E-2</v>
          </cell>
          <cell r="W1077" t="str">
            <v>SO</v>
          </cell>
          <cell r="X1077">
            <v>4842</v>
          </cell>
          <cell r="Y1077">
            <v>6</v>
          </cell>
          <cell r="Z1077">
            <v>263.12357352461686</v>
          </cell>
          <cell r="AA1077" t="str">
            <v>3.067X0.063-A825</v>
          </cell>
          <cell r="AB1077" t="str">
            <v>WABF007790160C600121</v>
          </cell>
          <cell r="AC1077" t="str">
            <v>D2104167</v>
          </cell>
          <cell r="AD1077">
            <v>861988</v>
          </cell>
          <cell r="AE1077">
            <v>8.0000000000000002E-3</v>
          </cell>
          <cell r="AF1077">
            <v>0.49</v>
          </cell>
          <cell r="AG1077">
            <v>1.6E-2</v>
          </cell>
          <cell r="AH1077">
            <v>0</v>
          </cell>
          <cell r="AI1077">
            <v>0.27</v>
          </cell>
          <cell r="AJ1077">
            <v>22.6</v>
          </cell>
          <cell r="AK1077">
            <v>38.6</v>
          </cell>
          <cell r="AL1077">
            <v>0</v>
          </cell>
          <cell r="AM1077">
            <v>3.25</v>
          </cell>
          <cell r="AN1077">
            <v>31.5</v>
          </cell>
          <cell r="AO1077">
            <v>0.09</v>
          </cell>
          <cell r="AP1077">
            <v>0</v>
          </cell>
          <cell r="AQ1077">
            <v>0</v>
          </cell>
          <cell r="AR1077">
            <v>1.99</v>
          </cell>
          <cell r="AS1077">
            <v>0.77</v>
          </cell>
          <cell r="AT1077">
            <v>342</v>
          </cell>
          <cell r="AU1077">
            <v>0</v>
          </cell>
          <cell r="AV1077">
            <v>643</v>
          </cell>
          <cell r="AW1077">
            <v>42</v>
          </cell>
          <cell r="AX1077">
            <v>82</v>
          </cell>
          <cell r="AY1077">
            <v>156</v>
          </cell>
          <cell r="AZ1077">
            <v>7.85</v>
          </cell>
          <cell r="BA1077" t="str">
            <v>D2104167</v>
          </cell>
          <cell r="BB1077" t="str">
            <v>CONFORM</v>
          </cell>
          <cell r="BC1077" t="str">
            <v>CONFORM</v>
          </cell>
          <cell r="BD1077" t="str">
            <v>CONFORM</v>
          </cell>
          <cell r="BE1077" t="str">
            <v>CONFORM</v>
          </cell>
          <cell r="BF1077" t="str">
            <v>CONFORM</v>
          </cell>
        </row>
        <row r="1078">
          <cell r="A1078">
            <v>44315</v>
          </cell>
          <cell r="B1078" t="str">
            <v>D2104167-3</v>
          </cell>
          <cell r="C1078" t="str">
            <v>111/20</v>
          </cell>
          <cell r="D1078">
            <v>1</v>
          </cell>
          <cell r="E1078">
            <v>44291</v>
          </cell>
          <cell r="F1078" t="str">
            <v>DC</v>
          </cell>
          <cell r="G1078" t="str">
            <v>Late</v>
          </cell>
          <cell r="H1078" t="str">
            <v>L448590</v>
          </cell>
          <cell r="I1078">
            <v>44309</v>
          </cell>
          <cell r="J1078" t="str">
            <v>ATI</v>
          </cell>
          <cell r="K1078" t="str">
            <v>D2104167</v>
          </cell>
          <cell r="L1078">
            <v>3</v>
          </cell>
          <cell r="M1078" t="str">
            <v>AAD23052</v>
          </cell>
          <cell r="N1078">
            <v>861988</v>
          </cell>
          <cell r="O1078" t="str">
            <v xml:space="preserve">2.4858 UNS N08825 </v>
          </cell>
          <cell r="P1078" t="str">
            <v>A825</v>
          </cell>
          <cell r="Q1078">
            <v>3.0670000000000002</v>
          </cell>
          <cell r="R1078">
            <v>3.0680000000000001</v>
          </cell>
          <cell r="S1078">
            <v>6.3E-2</v>
          </cell>
          <cell r="T1078">
            <v>6.1749999999999999E-2</v>
          </cell>
          <cell r="U1078">
            <v>6.1449999999999998E-2</v>
          </cell>
          <cell r="V1078">
            <v>6.1600000000000002E-2</v>
          </cell>
          <cell r="W1078" t="str">
            <v>SO</v>
          </cell>
          <cell r="X1078">
            <v>2421</v>
          </cell>
          <cell r="Y1078">
            <v>3</v>
          </cell>
          <cell r="Z1078">
            <v>263.12357352461686</v>
          </cell>
          <cell r="AA1078" t="str">
            <v>3.067X0.063-A825</v>
          </cell>
          <cell r="AB1078" t="str">
            <v>WABF007790160C600121</v>
          </cell>
          <cell r="AC1078" t="str">
            <v>D2104167</v>
          </cell>
          <cell r="AD1078">
            <v>861988</v>
          </cell>
          <cell r="AE1078">
            <v>8.0000000000000002E-3</v>
          </cell>
          <cell r="AF1078">
            <v>0.49</v>
          </cell>
          <cell r="AG1078">
            <v>1.6E-2</v>
          </cell>
          <cell r="AH1078">
            <v>0</v>
          </cell>
          <cell r="AI1078">
            <v>0.27</v>
          </cell>
          <cell r="AJ1078">
            <v>22.6</v>
          </cell>
          <cell r="AK1078">
            <v>38.6</v>
          </cell>
          <cell r="AL1078">
            <v>0</v>
          </cell>
          <cell r="AM1078">
            <v>3.25</v>
          </cell>
          <cell r="AN1078">
            <v>31.5</v>
          </cell>
          <cell r="AO1078">
            <v>0.09</v>
          </cell>
          <cell r="AP1078">
            <v>0</v>
          </cell>
          <cell r="AQ1078">
            <v>0</v>
          </cell>
          <cell r="AR1078">
            <v>1.99</v>
          </cell>
          <cell r="AS1078">
            <v>0.77</v>
          </cell>
          <cell r="AT1078">
            <v>342</v>
          </cell>
          <cell r="AU1078">
            <v>0</v>
          </cell>
          <cell r="AV1078">
            <v>643</v>
          </cell>
          <cell r="AW1078">
            <v>42</v>
          </cell>
          <cell r="AX1078">
            <v>82</v>
          </cell>
          <cell r="AY1078">
            <v>156</v>
          </cell>
          <cell r="AZ1078">
            <v>7.85</v>
          </cell>
          <cell r="BA1078" t="str">
            <v>D2104167</v>
          </cell>
          <cell r="BB1078" t="str">
            <v>CONFORM</v>
          </cell>
          <cell r="BC1078" t="str">
            <v>CONFORM</v>
          </cell>
          <cell r="BD1078" t="str">
            <v>CONFORM</v>
          </cell>
          <cell r="BE1078" t="str">
            <v>CONFORM</v>
          </cell>
          <cell r="BF1078" t="str">
            <v>CONFORM</v>
          </cell>
        </row>
        <row r="1079">
          <cell r="A1079">
            <v>44328</v>
          </cell>
          <cell r="B1079" t="str">
            <v>D2105104-1</v>
          </cell>
          <cell r="C1079" t="str">
            <v>111/20</v>
          </cell>
          <cell r="D1079">
            <v>1</v>
          </cell>
          <cell r="E1079">
            <v>44291</v>
          </cell>
          <cell r="F1079" t="str">
            <v>DC</v>
          </cell>
          <cell r="G1079" t="str">
            <v>Late</v>
          </cell>
          <cell r="H1079" t="str">
            <v>L451458</v>
          </cell>
          <cell r="I1079">
            <v>44327</v>
          </cell>
          <cell r="J1079" t="str">
            <v>ATI</v>
          </cell>
          <cell r="K1079" t="str">
            <v>D2105104</v>
          </cell>
          <cell r="L1079">
            <v>1</v>
          </cell>
          <cell r="M1079" t="str">
            <v>AAD23051</v>
          </cell>
          <cell r="N1079">
            <v>861988</v>
          </cell>
          <cell r="O1079" t="str">
            <v xml:space="preserve">2.4858 UNS N08825 </v>
          </cell>
          <cell r="P1079" t="str">
            <v>A825</v>
          </cell>
          <cell r="Q1079">
            <v>3.0670000000000002</v>
          </cell>
          <cell r="R1079">
            <v>3.0659999999999998</v>
          </cell>
          <cell r="S1079">
            <v>6.3E-2</v>
          </cell>
          <cell r="T1079">
            <v>6.4500000000000002E-2</v>
          </cell>
          <cell r="U1079">
            <v>6.3399999999999998E-2</v>
          </cell>
          <cell r="V1079">
            <v>6.3950000000000007E-2</v>
          </cell>
          <cell r="W1079" t="str">
            <v>BRS</v>
          </cell>
          <cell r="X1079">
            <v>4902</v>
          </cell>
          <cell r="Y1079">
            <v>3</v>
          </cell>
          <cell r="Z1079">
            <v>532.76817737202475</v>
          </cell>
          <cell r="AA1079" t="str">
            <v>3.067X0.063-A825</v>
          </cell>
          <cell r="AB1079" t="str">
            <v>WABF007790160C600121</v>
          </cell>
          <cell r="AC1079" t="str">
            <v>D2105104</v>
          </cell>
          <cell r="AD1079">
            <v>861988</v>
          </cell>
          <cell r="AE1079">
            <v>0.01</v>
          </cell>
          <cell r="AF1079">
            <v>0.49</v>
          </cell>
          <cell r="AG1079">
            <v>1.7000000000000001E-2</v>
          </cell>
          <cell r="AH1079">
            <v>0</v>
          </cell>
          <cell r="AI1079">
            <v>0.27</v>
          </cell>
          <cell r="AJ1079">
            <v>22.6</v>
          </cell>
          <cell r="AK1079">
            <v>38.700000000000003</v>
          </cell>
          <cell r="AL1079">
            <v>0</v>
          </cell>
          <cell r="AM1079">
            <v>3.24</v>
          </cell>
          <cell r="AN1079">
            <v>31.4</v>
          </cell>
          <cell r="AO1079">
            <v>0.09</v>
          </cell>
          <cell r="AP1079">
            <v>0</v>
          </cell>
          <cell r="AQ1079">
            <v>0</v>
          </cell>
          <cell r="AR1079">
            <v>1.99</v>
          </cell>
          <cell r="AS1079">
            <v>0.76</v>
          </cell>
          <cell r="AT1079">
            <v>342</v>
          </cell>
          <cell r="AU1079">
            <v>0</v>
          </cell>
          <cell r="AV1079">
            <v>646</v>
          </cell>
          <cell r="AW1079">
            <v>40</v>
          </cell>
          <cell r="AX1079">
            <v>82</v>
          </cell>
          <cell r="AY1079">
            <v>156</v>
          </cell>
          <cell r="AZ1079">
            <v>7.85</v>
          </cell>
          <cell r="BA1079" t="str">
            <v>D2105104</v>
          </cell>
          <cell r="BB1079" t="str">
            <v>CONFORM</v>
          </cell>
          <cell r="BC1079" t="str">
            <v>CONFORM</v>
          </cell>
          <cell r="BD1079" t="str">
            <v>CONFORM</v>
          </cell>
          <cell r="BE1079" t="str">
            <v>CONFORM</v>
          </cell>
          <cell r="BF1079" t="str">
            <v>CONFORM</v>
          </cell>
        </row>
        <row r="1080">
          <cell r="A1080">
            <v>44328</v>
          </cell>
          <cell r="B1080" t="str">
            <v>D2105104-2</v>
          </cell>
          <cell r="C1080" t="str">
            <v>111/20</v>
          </cell>
          <cell r="D1080">
            <v>1</v>
          </cell>
          <cell r="E1080">
            <v>44291</v>
          </cell>
          <cell r="F1080" t="str">
            <v>DC</v>
          </cell>
          <cell r="G1080" t="str">
            <v>Late</v>
          </cell>
          <cell r="H1080" t="str">
            <v>L451458</v>
          </cell>
          <cell r="I1080">
            <v>44327</v>
          </cell>
          <cell r="J1080" t="str">
            <v>ATI</v>
          </cell>
          <cell r="K1080" t="str">
            <v>D2105104</v>
          </cell>
          <cell r="L1080">
            <v>2</v>
          </cell>
          <cell r="M1080" t="str">
            <v>AAD23051</v>
          </cell>
          <cell r="N1080">
            <v>861988</v>
          </cell>
          <cell r="O1080" t="str">
            <v xml:space="preserve">2.4858 UNS N08825 </v>
          </cell>
          <cell r="P1080" t="str">
            <v>A825</v>
          </cell>
          <cell r="Q1080">
            <v>3.0670000000000002</v>
          </cell>
          <cell r="R1080">
            <v>3.0670000000000002</v>
          </cell>
          <cell r="S1080">
            <v>6.3E-2</v>
          </cell>
          <cell r="T1080">
            <v>6.3100000000000003E-2</v>
          </cell>
          <cell r="U1080">
            <v>6.3100000000000003E-2</v>
          </cell>
          <cell r="V1080">
            <v>6.3100000000000003E-2</v>
          </cell>
          <cell r="W1080" t="str">
            <v>BRS</v>
          </cell>
          <cell r="X1080">
            <v>4902</v>
          </cell>
          <cell r="Y1080">
            <v>3</v>
          </cell>
          <cell r="Z1080">
            <v>532.76817737202475</v>
          </cell>
          <cell r="AA1080" t="str">
            <v>3.067X0.063-A825</v>
          </cell>
          <cell r="AB1080" t="str">
            <v>WABF007790160C600121</v>
          </cell>
          <cell r="AC1080" t="str">
            <v>D2105104</v>
          </cell>
          <cell r="AD1080">
            <v>861988</v>
          </cell>
          <cell r="AE1080">
            <v>0.01</v>
          </cell>
          <cell r="AF1080">
            <v>0.49</v>
          </cell>
          <cell r="AG1080">
            <v>1.7000000000000001E-2</v>
          </cell>
          <cell r="AH1080">
            <v>0</v>
          </cell>
          <cell r="AI1080">
            <v>0.27</v>
          </cell>
          <cell r="AJ1080">
            <v>22.6</v>
          </cell>
          <cell r="AK1080">
            <v>38.700000000000003</v>
          </cell>
          <cell r="AL1080">
            <v>0</v>
          </cell>
          <cell r="AM1080">
            <v>3.24</v>
          </cell>
          <cell r="AN1080">
            <v>31.4</v>
          </cell>
          <cell r="AO1080">
            <v>0.09</v>
          </cell>
          <cell r="AP1080">
            <v>0</v>
          </cell>
          <cell r="AQ1080">
            <v>0</v>
          </cell>
          <cell r="AR1080">
            <v>1.99</v>
          </cell>
          <cell r="AS1080">
            <v>0.76</v>
          </cell>
          <cell r="AT1080">
            <v>342</v>
          </cell>
          <cell r="AU1080">
            <v>0</v>
          </cell>
          <cell r="AV1080">
            <v>646</v>
          </cell>
          <cell r="AW1080">
            <v>40</v>
          </cell>
          <cell r="AX1080">
            <v>82</v>
          </cell>
          <cell r="AY1080">
            <v>156</v>
          </cell>
          <cell r="AZ1080">
            <v>7.85</v>
          </cell>
          <cell r="BA1080" t="str">
            <v>D2105104</v>
          </cell>
          <cell r="BB1080" t="str">
            <v>CONFORM</v>
          </cell>
          <cell r="BC1080" t="str">
            <v>CONFORM</v>
          </cell>
          <cell r="BD1080" t="str">
            <v>CONFORM</v>
          </cell>
          <cell r="BE1080" t="str">
            <v>CONFORM</v>
          </cell>
          <cell r="BF1080" t="str">
            <v>CONFORM</v>
          </cell>
        </row>
        <row r="1081">
          <cell r="A1081">
            <v>44328</v>
          </cell>
          <cell r="B1081" t="str">
            <v>D2105104-3</v>
          </cell>
          <cell r="C1081" t="str">
            <v>111/20</v>
          </cell>
          <cell r="D1081">
            <v>1</v>
          </cell>
          <cell r="E1081">
            <v>44291</v>
          </cell>
          <cell r="F1081" t="str">
            <v>DC</v>
          </cell>
          <cell r="G1081" t="str">
            <v>Late</v>
          </cell>
          <cell r="H1081" t="str">
            <v>L451458</v>
          </cell>
          <cell r="I1081">
            <v>44327</v>
          </cell>
          <cell r="J1081" t="str">
            <v>ATI</v>
          </cell>
          <cell r="K1081" t="str">
            <v>D2105104</v>
          </cell>
          <cell r="L1081">
            <v>3</v>
          </cell>
          <cell r="M1081" t="str">
            <v>AAD23051</v>
          </cell>
          <cell r="N1081">
            <v>861988</v>
          </cell>
          <cell r="O1081" t="str">
            <v xml:space="preserve">2.4858 UNS N08825 </v>
          </cell>
          <cell r="P1081" t="str">
            <v>A825</v>
          </cell>
          <cell r="Q1081">
            <v>3.0670000000000002</v>
          </cell>
          <cell r="R1081">
            <v>3.0665</v>
          </cell>
          <cell r="S1081">
            <v>6.3E-2</v>
          </cell>
          <cell r="T1081">
            <v>6.2950000000000006E-2</v>
          </cell>
          <cell r="U1081">
            <v>6.2899999999999998E-2</v>
          </cell>
          <cell r="V1081">
            <v>6.2925000000000009E-2</v>
          </cell>
          <cell r="W1081" t="str">
            <v>BRS</v>
          </cell>
          <cell r="X1081">
            <v>4902</v>
          </cell>
          <cell r="Y1081">
            <v>3</v>
          </cell>
          <cell r="Z1081">
            <v>532.76817737202475</v>
          </cell>
          <cell r="AA1081" t="str">
            <v>3.067X0.063-A825</v>
          </cell>
          <cell r="AB1081" t="str">
            <v>WABF007790160C600121</v>
          </cell>
          <cell r="AC1081" t="str">
            <v>D2105104</v>
          </cell>
          <cell r="AD1081">
            <v>861988</v>
          </cell>
          <cell r="AE1081">
            <v>0.01</v>
          </cell>
          <cell r="AF1081">
            <v>0.49</v>
          </cell>
          <cell r="AG1081">
            <v>1.7000000000000001E-2</v>
          </cell>
          <cell r="AH1081">
            <v>0</v>
          </cell>
          <cell r="AI1081">
            <v>0.27</v>
          </cell>
          <cell r="AJ1081">
            <v>22.6</v>
          </cell>
          <cell r="AK1081">
            <v>38.700000000000003</v>
          </cell>
          <cell r="AL1081">
            <v>0</v>
          </cell>
          <cell r="AM1081">
            <v>3.24</v>
          </cell>
          <cell r="AN1081">
            <v>31.4</v>
          </cell>
          <cell r="AO1081">
            <v>0.09</v>
          </cell>
          <cell r="AP1081">
            <v>0</v>
          </cell>
          <cell r="AQ1081">
            <v>0</v>
          </cell>
          <cell r="AR1081">
            <v>1.99</v>
          </cell>
          <cell r="AS1081">
            <v>0.76</v>
          </cell>
          <cell r="AT1081">
            <v>342</v>
          </cell>
          <cell r="AU1081">
            <v>0</v>
          </cell>
          <cell r="AV1081">
            <v>646</v>
          </cell>
          <cell r="AW1081">
            <v>40</v>
          </cell>
          <cell r="AX1081">
            <v>82</v>
          </cell>
          <cell r="AY1081">
            <v>156</v>
          </cell>
          <cell r="AZ1081">
            <v>7.85</v>
          </cell>
          <cell r="BA1081" t="str">
            <v>D2105104</v>
          </cell>
          <cell r="BB1081" t="str">
            <v>CONFORM</v>
          </cell>
          <cell r="BC1081" t="str">
            <v>CONFORM</v>
          </cell>
          <cell r="BD1081" t="str">
            <v>CONFORM</v>
          </cell>
          <cell r="BE1081" t="str">
            <v>CONFORM</v>
          </cell>
          <cell r="BF1081" t="str">
            <v>CONFORM</v>
          </cell>
        </row>
        <row r="1082">
          <cell r="A1082">
            <v>44328</v>
          </cell>
          <cell r="B1082" t="str">
            <v>D2105104-4</v>
          </cell>
          <cell r="C1082" t="str">
            <v>111/20</v>
          </cell>
          <cell r="D1082">
            <v>1</v>
          </cell>
          <cell r="E1082">
            <v>44291</v>
          </cell>
          <cell r="F1082" t="str">
            <v>DC</v>
          </cell>
          <cell r="G1082" t="str">
            <v>Late</v>
          </cell>
          <cell r="H1082" t="str">
            <v>L451458</v>
          </cell>
          <cell r="I1082">
            <v>44327</v>
          </cell>
          <cell r="J1082" t="str">
            <v>ATI</v>
          </cell>
          <cell r="K1082" t="str">
            <v>D2105104</v>
          </cell>
          <cell r="L1082">
            <v>4</v>
          </cell>
          <cell r="M1082" t="str">
            <v>AAD23051</v>
          </cell>
          <cell r="N1082">
            <v>861988</v>
          </cell>
          <cell r="O1082" t="str">
            <v xml:space="preserve">2.4858 UNS N08825 </v>
          </cell>
          <cell r="P1082" t="str">
            <v>A825</v>
          </cell>
          <cell r="Q1082">
            <v>3.0670000000000002</v>
          </cell>
          <cell r="R1082">
            <v>3.0665</v>
          </cell>
          <cell r="S1082">
            <v>6.3E-2</v>
          </cell>
          <cell r="T1082">
            <v>6.3250000000000001E-2</v>
          </cell>
          <cell r="U1082">
            <v>6.2300000000000001E-2</v>
          </cell>
          <cell r="V1082">
            <v>6.2774999999999997E-2</v>
          </cell>
          <cell r="W1082" t="str">
            <v>BRS</v>
          </cell>
          <cell r="X1082">
            <v>4902</v>
          </cell>
          <cell r="Y1082">
            <v>3</v>
          </cell>
          <cell r="Z1082">
            <v>532.76817737202475</v>
          </cell>
          <cell r="AA1082" t="str">
            <v>3.067X0.063-A825</v>
          </cell>
          <cell r="AB1082" t="str">
            <v>WABF007790160C600121</v>
          </cell>
          <cell r="AC1082" t="str">
            <v>D2105104</v>
          </cell>
          <cell r="AD1082">
            <v>861988</v>
          </cell>
          <cell r="AE1082">
            <v>0.01</v>
          </cell>
          <cell r="AF1082">
            <v>0.49</v>
          </cell>
          <cell r="AG1082">
            <v>1.7000000000000001E-2</v>
          </cell>
          <cell r="AH1082">
            <v>0</v>
          </cell>
          <cell r="AI1082">
            <v>0.27</v>
          </cell>
          <cell r="AJ1082">
            <v>22.6</v>
          </cell>
          <cell r="AK1082">
            <v>38.700000000000003</v>
          </cell>
          <cell r="AL1082">
            <v>0</v>
          </cell>
          <cell r="AM1082">
            <v>3.24</v>
          </cell>
          <cell r="AN1082">
            <v>31.4</v>
          </cell>
          <cell r="AO1082">
            <v>0.09</v>
          </cell>
          <cell r="AP1082">
            <v>0</v>
          </cell>
          <cell r="AQ1082">
            <v>0</v>
          </cell>
          <cell r="AR1082">
            <v>1.99</v>
          </cell>
          <cell r="AS1082">
            <v>0.76</v>
          </cell>
          <cell r="AT1082">
            <v>342</v>
          </cell>
          <cell r="AU1082">
            <v>0</v>
          </cell>
          <cell r="AV1082">
            <v>646</v>
          </cell>
          <cell r="AW1082">
            <v>40</v>
          </cell>
          <cell r="AX1082">
            <v>82</v>
          </cell>
          <cell r="AY1082">
            <v>156</v>
          </cell>
          <cell r="AZ1082">
            <v>7.85</v>
          </cell>
          <cell r="BA1082" t="str">
            <v>D2105104</v>
          </cell>
          <cell r="BB1082" t="str">
            <v>CONFORM</v>
          </cell>
          <cell r="BC1082" t="str">
            <v>CONFORM</v>
          </cell>
          <cell r="BD1082" t="str">
            <v>CONFORM</v>
          </cell>
          <cell r="BE1082" t="str">
            <v>CONFORM</v>
          </cell>
          <cell r="BF1082" t="str">
            <v>CONFORM</v>
          </cell>
        </row>
        <row r="1083">
          <cell r="A1083">
            <v>44328</v>
          </cell>
          <cell r="B1083" t="str">
            <v>D2105104-5</v>
          </cell>
          <cell r="C1083" t="str">
            <v>111/20</v>
          </cell>
          <cell r="D1083">
            <v>1</v>
          </cell>
          <cell r="E1083">
            <v>44291</v>
          </cell>
          <cell r="F1083" t="str">
            <v>DC</v>
          </cell>
          <cell r="G1083" t="str">
            <v>Late</v>
          </cell>
          <cell r="H1083" t="str">
            <v>L451458</v>
          </cell>
          <cell r="I1083">
            <v>44327</v>
          </cell>
          <cell r="J1083" t="str">
            <v>ATI</v>
          </cell>
          <cell r="K1083" t="str">
            <v>D2105104</v>
          </cell>
          <cell r="L1083">
            <v>5</v>
          </cell>
          <cell r="M1083" t="str">
            <v>AAD23051</v>
          </cell>
          <cell r="N1083">
            <v>861988</v>
          </cell>
          <cell r="O1083" t="str">
            <v xml:space="preserve">2.4858 UNS N08825 </v>
          </cell>
          <cell r="P1083" t="str">
            <v>A825</v>
          </cell>
          <cell r="Q1083">
            <v>3.0670000000000002</v>
          </cell>
          <cell r="R1083">
            <v>3.0674999999999999</v>
          </cell>
          <cell r="S1083">
            <v>6.3E-2</v>
          </cell>
          <cell r="T1083">
            <v>6.3E-2</v>
          </cell>
          <cell r="U1083">
            <v>6.2649999999999997E-2</v>
          </cell>
          <cell r="V1083">
            <v>6.2824999999999992E-2</v>
          </cell>
          <cell r="W1083" t="str">
            <v>BRS</v>
          </cell>
          <cell r="X1083">
            <v>4902</v>
          </cell>
          <cell r="Y1083">
            <v>3</v>
          </cell>
          <cell r="Z1083">
            <v>532.76817737202475</v>
          </cell>
          <cell r="AA1083" t="str">
            <v>3.067X0.063-A825</v>
          </cell>
          <cell r="AB1083" t="str">
            <v>WABF007790160C600121</v>
          </cell>
          <cell r="AC1083" t="str">
            <v>D2105104</v>
          </cell>
          <cell r="AD1083">
            <v>861988</v>
          </cell>
          <cell r="AE1083">
            <v>0.01</v>
          </cell>
          <cell r="AF1083">
            <v>0.49</v>
          </cell>
          <cell r="AG1083">
            <v>1.7000000000000001E-2</v>
          </cell>
          <cell r="AH1083">
            <v>0</v>
          </cell>
          <cell r="AI1083">
            <v>0.27</v>
          </cell>
          <cell r="AJ1083">
            <v>22.6</v>
          </cell>
          <cell r="AK1083">
            <v>38.700000000000003</v>
          </cell>
          <cell r="AL1083">
            <v>0</v>
          </cell>
          <cell r="AM1083">
            <v>3.24</v>
          </cell>
          <cell r="AN1083">
            <v>31.4</v>
          </cell>
          <cell r="AO1083">
            <v>0.09</v>
          </cell>
          <cell r="AP1083">
            <v>0</v>
          </cell>
          <cell r="AQ1083">
            <v>0</v>
          </cell>
          <cell r="AR1083">
            <v>1.99</v>
          </cell>
          <cell r="AS1083">
            <v>0.76</v>
          </cell>
          <cell r="AT1083">
            <v>342</v>
          </cell>
          <cell r="AU1083">
            <v>0</v>
          </cell>
          <cell r="AV1083">
            <v>646</v>
          </cell>
          <cell r="AW1083">
            <v>40</v>
          </cell>
          <cell r="AX1083">
            <v>82</v>
          </cell>
          <cell r="AY1083">
            <v>156</v>
          </cell>
          <cell r="AZ1083">
            <v>7.85</v>
          </cell>
          <cell r="BA1083" t="str">
            <v>D2105104</v>
          </cell>
          <cell r="BB1083" t="str">
            <v>CONFORM</v>
          </cell>
          <cell r="BC1083" t="str">
            <v>CONFORM</v>
          </cell>
          <cell r="BD1083" t="str">
            <v>CONFORM</v>
          </cell>
          <cell r="BE1083" t="str">
            <v>CONFORM</v>
          </cell>
          <cell r="BF1083" t="str">
            <v>CONFORM</v>
          </cell>
        </row>
        <row r="1084">
          <cell r="A1084">
            <v>44328</v>
          </cell>
          <cell r="B1084" t="str">
            <v>D2105104-6</v>
          </cell>
          <cell r="C1084" t="str">
            <v>111/20</v>
          </cell>
          <cell r="D1084">
            <v>1</v>
          </cell>
          <cell r="E1084">
            <v>44291</v>
          </cell>
          <cell r="F1084" t="str">
            <v>DC</v>
          </cell>
          <cell r="G1084" t="str">
            <v>Late</v>
          </cell>
          <cell r="H1084" t="str">
            <v>L451458</v>
          </cell>
          <cell r="I1084">
            <v>44327</v>
          </cell>
          <cell r="J1084" t="str">
            <v>ATI</v>
          </cell>
          <cell r="K1084" t="str">
            <v>D2105104</v>
          </cell>
          <cell r="L1084">
            <v>6</v>
          </cell>
          <cell r="M1084" t="str">
            <v>AAD23051</v>
          </cell>
          <cell r="N1084">
            <v>861988</v>
          </cell>
          <cell r="O1084" t="str">
            <v xml:space="preserve">2.4858 UNS N08825 </v>
          </cell>
          <cell r="P1084" t="str">
            <v>A825</v>
          </cell>
          <cell r="Q1084">
            <v>3.0670000000000002</v>
          </cell>
          <cell r="R1084">
            <v>3.0670000000000002</v>
          </cell>
          <cell r="S1084">
            <v>6.3E-2</v>
          </cell>
          <cell r="T1084">
            <v>6.3149999999999998E-2</v>
          </cell>
          <cell r="U1084">
            <v>6.2899999999999998E-2</v>
          </cell>
          <cell r="V1084">
            <v>6.3024999999999998E-2</v>
          </cell>
          <cell r="W1084" t="str">
            <v>BRS</v>
          </cell>
          <cell r="X1084">
            <v>1634</v>
          </cell>
          <cell r="Y1084">
            <v>1</v>
          </cell>
          <cell r="Z1084">
            <v>532.76817737202475</v>
          </cell>
          <cell r="AA1084" t="str">
            <v>3.067X0.063-A825</v>
          </cell>
          <cell r="AB1084" t="str">
            <v>WABF007790160C600121</v>
          </cell>
          <cell r="AC1084" t="str">
            <v>D2105104</v>
          </cell>
          <cell r="AD1084">
            <v>861988</v>
          </cell>
          <cell r="AE1084">
            <v>0.01</v>
          </cell>
          <cell r="AF1084">
            <v>0.49</v>
          </cell>
          <cell r="AG1084">
            <v>1.7000000000000001E-2</v>
          </cell>
          <cell r="AH1084">
            <v>0</v>
          </cell>
          <cell r="AI1084">
            <v>0.27</v>
          </cell>
          <cell r="AJ1084">
            <v>22.6</v>
          </cell>
          <cell r="AK1084">
            <v>38.700000000000003</v>
          </cell>
          <cell r="AL1084">
            <v>0</v>
          </cell>
          <cell r="AM1084">
            <v>3.24</v>
          </cell>
          <cell r="AN1084">
            <v>31.4</v>
          </cell>
          <cell r="AO1084">
            <v>0.09</v>
          </cell>
          <cell r="AP1084">
            <v>0</v>
          </cell>
          <cell r="AQ1084">
            <v>0</v>
          </cell>
          <cell r="AR1084">
            <v>1.99</v>
          </cell>
          <cell r="AS1084">
            <v>0.76</v>
          </cell>
          <cell r="AT1084">
            <v>342</v>
          </cell>
          <cell r="AU1084">
            <v>0</v>
          </cell>
          <cell r="AV1084">
            <v>646</v>
          </cell>
          <cell r="AW1084">
            <v>40</v>
          </cell>
          <cell r="AX1084">
            <v>82</v>
          </cell>
          <cell r="AY1084">
            <v>156</v>
          </cell>
          <cell r="AZ1084">
            <v>7.85</v>
          </cell>
          <cell r="BA1084" t="str">
            <v>D2105104</v>
          </cell>
          <cell r="BB1084" t="str">
            <v>CONFORM</v>
          </cell>
          <cell r="BC1084" t="str">
            <v>CONFORM</v>
          </cell>
          <cell r="BD1084" t="str">
            <v>CONFORM</v>
          </cell>
          <cell r="BE1084" t="str">
            <v>CONFORM</v>
          </cell>
          <cell r="BF1084" t="str">
            <v>CONFORM</v>
          </cell>
        </row>
        <row r="1085">
          <cell r="A1085">
            <v>44335</v>
          </cell>
          <cell r="B1085" t="str">
            <v>D2105167-1</v>
          </cell>
          <cell r="C1085" t="str">
            <v>043/21</v>
          </cell>
          <cell r="D1085">
            <v>1</v>
          </cell>
          <cell r="E1085">
            <v>44334</v>
          </cell>
          <cell r="F1085" t="str">
            <v>DC</v>
          </cell>
          <cell r="G1085" t="str">
            <v>On Time</v>
          </cell>
          <cell r="H1085">
            <v>20210519016</v>
          </cell>
          <cell r="I1085">
            <v>44335</v>
          </cell>
          <cell r="J1085" t="str">
            <v>COILPLUS</v>
          </cell>
          <cell r="K1085" t="str">
            <v>D2105167</v>
          </cell>
          <cell r="L1085">
            <v>1</v>
          </cell>
          <cell r="M1085" t="str">
            <v>A274610</v>
          </cell>
          <cell r="N1085">
            <v>529562</v>
          </cell>
          <cell r="O1085" t="str">
            <v xml:space="preserve">1.4306 TP304L </v>
          </cell>
          <cell r="P1085" t="str">
            <v>304L</v>
          </cell>
          <cell r="Q1085">
            <v>4.6379999999999999</v>
          </cell>
          <cell r="R1085">
            <v>4.6390000000000002</v>
          </cell>
          <cell r="S1085">
            <v>6.3E-2</v>
          </cell>
          <cell r="T1085">
            <v>6.2199999999999998E-2</v>
          </cell>
          <cell r="U1085">
            <v>6.25E-2</v>
          </cell>
          <cell r="V1085">
            <v>6.2350000000000003E-2</v>
          </cell>
          <cell r="W1085" t="str">
            <v>BRS</v>
          </cell>
          <cell r="X1085">
            <v>4572</v>
          </cell>
          <cell r="Y1085">
            <v>2</v>
          </cell>
          <cell r="Z1085">
            <v>492.88486416558862</v>
          </cell>
          <cell r="AA1085" t="str">
            <v>4.638X0.063-304L</v>
          </cell>
          <cell r="AB1085" t="str">
            <v>WAAC006790160B300130</v>
          </cell>
          <cell r="AC1085" t="str">
            <v>D2105167</v>
          </cell>
          <cell r="AD1085">
            <v>529562</v>
          </cell>
          <cell r="AE1085">
            <v>2.4E-2</v>
          </cell>
          <cell r="AF1085">
            <v>1.33</v>
          </cell>
          <cell r="AG1085">
            <v>0.03</v>
          </cell>
          <cell r="AH1085">
            <v>1E-3</v>
          </cell>
          <cell r="AI1085">
            <v>0.37</v>
          </cell>
          <cell r="AJ1085">
            <v>18.100000000000001</v>
          </cell>
          <cell r="AK1085">
            <v>8</v>
          </cell>
          <cell r="AL1085">
            <v>6.7000000000000004E-2</v>
          </cell>
          <cell r="AM1085">
            <v>0.37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  <cell r="AR1085">
            <v>0.45</v>
          </cell>
          <cell r="AS1085">
            <v>0</v>
          </cell>
          <cell r="AT1085">
            <v>300</v>
          </cell>
          <cell r="AU1085">
            <v>0</v>
          </cell>
          <cell r="AV1085">
            <v>647</v>
          </cell>
          <cell r="AW1085">
            <v>53</v>
          </cell>
          <cell r="AX1085">
            <v>85</v>
          </cell>
          <cell r="AY1085">
            <v>165</v>
          </cell>
          <cell r="AZ1085">
            <v>8.5000000000000006E-2</v>
          </cell>
          <cell r="BA1085" t="str">
            <v>D2105167</v>
          </cell>
          <cell r="BB1085" t="str">
            <v>CONFORM</v>
          </cell>
          <cell r="BC1085" t="str">
            <v>CONFORM</v>
          </cell>
          <cell r="BD1085" t="str">
            <v>CONFORM</v>
          </cell>
          <cell r="BE1085" t="str">
            <v>CONFORM</v>
          </cell>
          <cell r="BF1085" t="str">
            <v>CONFORM</v>
          </cell>
        </row>
        <row r="1086">
          <cell r="A1086">
            <v>44335</v>
          </cell>
          <cell r="B1086" t="str">
            <v>D2105167-2</v>
          </cell>
          <cell r="C1086" t="str">
            <v>043/21</v>
          </cell>
          <cell r="D1086">
            <v>1</v>
          </cell>
          <cell r="E1086">
            <v>44334</v>
          </cell>
          <cell r="F1086" t="str">
            <v>DC</v>
          </cell>
          <cell r="G1086" t="str">
            <v>On Time</v>
          </cell>
          <cell r="H1086">
            <v>20210519016</v>
          </cell>
          <cell r="I1086">
            <v>44335</v>
          </cell>
          <cell r="J1086" t="str">
            <v>COILPLUS</v>
          </cell>
          <cell r="K1086" t="str">
            <v>D2105167</v>
          </cell>
          <cell r="L1086">
            <v>2</v>
          </cell>
          <cell r="M1086" t="str">
            <v>A274610</v>
          </cell>
          <cell r="N1086">
            <v>529562</v>
          </cell>
          <cell r="O1086" t="str">
            <v xml:space="preserve">1.4306 TP304L </v>
          </cell>
          <cell r="P1086" t="str">
            <v>304L</v>
          </cell>
          <cell r="Q1086">
            <v>4.6379999999999999</v>
          </cell>
          <cell r="R1086">
            <v>4.6399999999999997</v>
          </cell>
          <cell r="S1086">
            <v>6.3E-2</v>
          </cell>
          <cell r="T1086">
            <v>6.2149999999999997E-2</v>
          </cell>
          <cell r="U1086">
            <v>6.2E-2</v>
          </cell>
          <cell r="V1086">
            <v>6.2074999999999998E-2</v>
          </cell>
          <cell r="W1086" t="str">
            <v>BRS</v>
          </cell>
          <cell r="X1086">
            <v>4570</v>
          </cell>
          <cell r="Y1086">
            <v>2</v>
          </cell>
          <cell r="Z1086">
            <v>492.66925398878828</v>
          </cell>
          <cell r="AA1086" t="str">
            <v>4.638X0.063-304L</v>
          </cell>
          <cell r="AB1086" t="str">
            <v>WAAC006790160B300130</v>
          </cell>
          <cell r="AC1086" t="str">
            <v>D2105167</v>
          </cell>
          <cell r="AD1086">
            <v>529562</v>
          </cell>
          <cell r="AE1086">
            <v>2.4E-2</v>
          </cell>
          <cell r="AF1086">
            <v>1.33</v>
          </cell>
          <cell r="AG1086">
            <v>0.03</v>
          </cell>
          <cell r="AH1086">
            <v>1E-3</v>
          </cell>
          <cell r="AI1086">
            <v>0.37</v>
          </cell>
          <cell r="AJ1086">
            <v>18.100000000000001</v>
          </cell>
          <cell r="AK1086">
            <v>8</v>
          </cell>
          <cell r="AL1086">
            <v>6.7000000000000004E-2</v>
          </cell>
          <cell r="AM1086">
            <v>0.37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  <cell r="AR1086">
            <v>0.45</v>
          </cell>
          <cell r="AS1086">
            <v>0</v>
          </cell>
          <cell r="AT1086">
            <v>300</v>
          </cell>
          <cell r="AU1086">
            <v>0</v>
          </cell>
          <cell r="AV1086">
            <v>647</v>
          </cell>
          <cell r="AW1086">
            <v>53</v>
          </cell>
          <cell r="AX1086">
            <v>85</v>
          </cell>
          <cell r="AY1086">
            <v>165</v>
          </cell>
          <cell r="AZ1086">
            <v>8.5000000000000006E-2</v>
          </cell>
          <cell r="BA1086" t="str">
            <v>D2105167</v>
          </cell>
          <cell r="BB1086" t="str">
            <v>CONFORM</v>
          </cell>
          <cell r="BC1086" t="str">
            <v>CONFORM</v>
          </cell>
          <cell r="BD1086" t="str">
            <v>CONFORM</v>
          </cell>
          <cell r="BE1086" t="str">
            <v>CONFORM</v>
          </cell>
          <cell r="BF1086" t="str">
            <v>CONFORM</v>
          </cell>
        </row>
        <row r="1087">
          <cell r="A1087">
            <v>44335</v>
          </cell>
          <cell r="B1087" t="str">
            <v>D2105167-3</v>
          </cell>
          <cell r="C1087" t="str">
            <v>043/21</v>
          </cell>
          <cell r="D1087">
            <v>1</v>
          </cell>
          <cell r="E1087">
            <v>44334</v>
          </cell>
          <cell r="F1087" t="str">
            <v>DC</v>
          </cell>
          <cell r="G1087" t="str">
            <v>On Time</v>
          </cell>
          <cell r="H1087">
            <v>20210519016</v>
          </cell>
          <cell r="I1087">
            <v>44335</v>
          </cell>
          <cell r="J1087" t="str">
            <v>COILPLUS</v>
          </cell>
          <cell r="K1087" t="str">
            <v>D2105167</v>
          </cell>
          <cell r="L1087">
            <v>3</v>
          </cell>
          <cell r="M1087" t="str">
            <v>A274610</v>
          </cell>
          <cell r="N1087">
            <v>529562</v>
          </cell>
          <cell r="O1087" t="str">
            <v xml:space="preserve">1.4306 TP304L </v>
          </cell>
          <cell r="P1087" t="str">
            <v>304L</v>
          </cell>
          <cell r="Q1087">
            <v>4.6379999999999999</v>
          </cell>
          <cell r="R1087">
            <v>4.6390000000000002</v>
          </cell>
          <cell r="S1087">
            <v>6.3E-2</v>
          </cell>
          <cell r="T1087">
            <v>6.2700000000000006E-2</v>
          </cell>
          <cell r="U1087">
            <v>6.2149999999999997E-2</v>
          </cell>
          <cell r="V1087">
            <v>6.2425000000000001E-2</v>
          </cell>
          <cell r="W1087" t="str">
            <v>BRS</v>
          </cell>
          <cell r="X1087">
            <v>4578</v>
          </cell>
          <cell r="Y1087">
            <v>2</v>
          </cell>
          <cell r="Z1087">
            <v>493.53169469598964</v>
          </cell>
          <cell r="AA1087" t="str">
            <v>4.638X0.063-304L</v>
          </cell>
          <cell r="AB1087" t="str">
            <v>WAAC006790160B300130</v>
          </cell>
          <cell r="AC1087" t="str">
            <v>D2105167</v>
          </cell>
          <cell r="AD1087">
            <v>529562</v>
          </cell>
          <cell r="AE1087">
            <v>2.4E-2</v>
          </cell>
          <cell r="AF1087">
            <v>1.33</v>
          </cell>
          <cell r="AG1087">
            <v>0.03</v>
          </cell>
          <cell r="AH1087">
            <v>1E-3</v>
          </cell>
          <cell r="AI1087">
            <v>0.37</v>
          </cell>
          <cell r="AJ1087">
            <v>18.100000000000001</v>
          </cell>
          <cell r="AK1087">
            <v>8</v>
          </cell>
          <cell r="AL1087">
            <v>6.7000000000000004E-2</v>
          </cell>
          <cell r="AM1087">
            <v>0.37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  <cell r="AR1087">
            <v>0.45</v>
          </cell>
          <cell r="AS1087">
            <v>0</v>
          </cell>
          <cell r="AT1087">
            <v>300</v>
          </cell>
          <cell r="AU1087">
            <v>0</v>
          </cell>
          <cell r="AV1087">
            <v>647</v>
          </cell>
          <cell r="AW1087">
            <v>53</v>
          </cell>
          <cell r="AX1087">
            <v>85</v>
          </cell>
          <cell r="AY1087">
            <v>165</v>
          </cell>
          <cell r="AZ1087">
            <v>8.5000000000000006E-2</v>
          </cell>
          <cell r="BA1087" t="str">
            <v>D2105167</v>
          </cell>
          <cell r="BB1087" t="str">
            <v>CONFORM</v>
          </cell>
          <cell r="BC1087" t="str">
            <v>CONFORM</v>
          </cell>
          <cell r="BD1087" t="str">
            <v>CONFORM</v>
          </cell>
          <cell r="BE1087" t="str">
            <v>CONFORM</v>
          </cell>
          <cell r="BF1087" t="str">
            <v>CONFORM</v>
          </cell>
        </row>
        <row r="1088">
          <cell r="A1088">
            <v>44335</v>
          </cell>
          <cell r="B1088" t="str">
            <v>D2105168-1</v>
          </cell>
          <cell r="C1088" t="str">
            <v>043/21</v>
          </cell>
          <cell r="D1088">
            <v>2</v>
          </cell>
          <cell r="E1088">
            <v>44334</v>
          </cell>
          <cell r="F1088" t="str">
            <v>DC</v>
          </cell>
          <cell r="G1088" t="str">
            <v>On Time</v>
          </cell>
          <cell r="H1088">
            <v>20210519016</v>
          </cell>
          <cell r="I1088">
            <v>44335</v>
          </cell>
          <cell r="J1088" t="str">
            <v>COILPLUS</v>
          </cell>
          <cell r="K1088" t="str">
            <v>D2105168</v>
          </cell>
          <cell r="L1088">
            <v>1</v>
          </cell>
          <cell r="M1088" t="str">
            <v>A274610</v>
          </cell>
          <cell r="N1088">
            <v>529562</v>
          </cell>
          <cell r="O1088" t="str">
            <v xml:space="preserve">1.4306 TP304L </v>
          </cell>
          <cell r="P1088" t="str">
            <v>304L</v>
          </cell>
          <cell r="Q1088">
            <v>2.673</v>
          </cell>
          <cell r="R1088">
            <v>2.6720000000000002</v>
          </cell>
          <cell r="S1088">
            <v>6.3E-2</v>
          </cell>
          <cell r="T1088">
            <v>6.2899999999999998E-2</v>
          </cell>
          <cell r="U1088">
            <v>6.1749999999999999E-2</v>
          </cell>
          <cell r="V1088">
            <v>6.2324999999999998E-2</v>
          </cell>
          <cell r="W1088" t="str">
            <v>BRS</v>
          </cell>
          <cell r="X1088">
            <v>5264</v>
          </cell>
          <cell r="Y1088">
            <v>4</v>
          </cell>
          <cell r="Z1088">
            <v>492.33071455293674</v>
          </cell>
          <cell r="AA1088" t="str">
            <v>2.673X0.063-304L</v>
          </cell>
          <cell r="AB1088" t="str">
            <v>WAAC011780160B300129</v>
          </cell>
          <cell r="AC1088" t="str">
            <v>D2105168</v>
          </cell>
          <cell r="AD1088">
            <v>529562</v>
          </cell>
          <cell r="AE1088">
            <v>2.4E-2</v>
          </cell>
          <cell r="AF1088">
            <v>1.33</v>
          </cell>
          <cell r="AG1088">
            <v>0.03</v>
          </cell>
          <cell r="AH1088">
            <v>1E-3</v>
          </cell>
          <cell r="AI1088">
            <v>0.37</v>
          </cell>
          <cell r="AJ1088">
            <v>18.100000000000001</v>
          </cell>
          <cell r="AK1088">
            <v>8</v>
          </cell>
          <cell r="AL1088">
            <v>6.7000000000000004E-2</v>
          </cell>
          <cell r="AM1088">
            <v>0.37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  <cell r="AR1088">
            <v>0.45</v>
          </cell>
          <cell r="AS1088">
            <v>0</v>
          </cell>
          <cell r="AT1088">
            <v>300</v>
          </cell>
          <cell r="AU1088">
            <v>0</v>
          </cell>
          <cell r="AV1088">
            <v>647</v>
          </cell>
          <cell r="AW1088">
            <v>53</v>
          </cell>
          <cell r="AX1088">
            <v>85</v>
          </cell>
          <cell r="AY1088">
            <v>165</v>
          </cell>
          <cell r="AZ1088">
            <v>8.5000000000000006E-2</v>
          </cell>
          <cell r="BA1088" t="str">
            <v>D2105168</v>
          </cell>
          <cell r="BB1088" t="str">
            <v>CONFORM</v>
          </cell>
          <cell r="BC1088" t="str">
            <v>CONFORM</v>
          </cell>
          <cell r="BD1088" t="str">
            <v>CONFORM</v>
          </cell>
          <cell r="BE1088" t="str">
            <v>CONFORM</v>
          </cell>
          <cell r="BF1088" t="str">
            <v>CONFORM</v>
          </cell>
        </row>
        <row r="1089">
          <cell r="A1089">
            <v>44335</v>
          </cell>
          <cell r="B1089" t="str">
            <v>D2105168-2</v>
          </cell>
          <cell r="C1089" t="str">
            <v>043/21</v>
          </cell>
          <cell r="D1089">
            <v>2</v>
          </cell>
          <cell r="E1089">
            <v>44334</v>
          </cell>
          <cell r="F1089" t="str">
            <v>DC</v>
          </cell>
          <cell r="G1089" t="str">
            <v>On Time</v>
          </cell>
          <cell r="H1089">
            <v>20210519016</v>
          </cell>
          <cell r="I1089">
            <v>44335</v>
          </cell>
          <cell r="J1089" t="str">
            <v>COILPLUS</v>
          </cell>
          <cell r="K1089" t="str">
            <v>D2105168</v>
          </cell>
          <cell r="L1089">
            <v>2</v>
          </cell>
          <cell r="M1089" t="str">
            <v>A2104088</v>
          </cell>
          <cell r="N1089">
            <v>529562</v>
          </cell>
          <cell r="O1089" t="str">
            <v xml:space="preserve">1.4306 TP304L </v>
          </cell>
          <cell r="P1089" t="str">
            <v>304L</v>
          </cell>
          <cell r="Q1089">
            <v>2.673</v>
          </cell>
          <cell r="R1089">
            <v>2.6720000000000002</v>
          </cell>
          <cell r="S1089">
            <v>6.3E-2</v>
          </cell>
          <cell r="T1089">
            <v>6.2449999999999999E-2</v>
          </cell>
          <cell r="U1089">
            <v>6.3950000000000007E-2</v>
          </cell>
          <cell r="V1089">
            <v>6.3200000000000006E-2</v>
          </cell>
          <cell r="W1089" t="str">
            <v>BRS</v>
          </cell>
          <cell r="X1089">
            <v>3948</v>
          </cell>
          <cell r="Y1089">
            <v>3</v>
          </cell>
          <cell r="Z1089">
            <v>492.33071455293674</v>
          </cell>
          <cell r="AA1089" t="str">
            <v>2.673X0.063-304L</v>
          </cell>
          <cell r="AB1089" t="str">
            <v>WAAC011780160B300129</v>
          </cell>
          <cell r="AC1089" t="str">
            <v>D2105168</v>
          </cell>
          <cell r="AD1089">
            <v>529562</v>
          </cell>
          <cell r="AE1089">
            <v>2.4E-2</v>
          </cell>
          <cell r="AF1089">
            <v>1.33</v>
          </cell>
          <cell r="AG1089">
            <v>0.03</v>
          </cell>
          <cell r="AH1089">
            <v>1E-3</v>
          </cell>
          <cell r="AI1089">
            <v>0.37</v>
          </cell>
          <cell r="AJ1089">
            <v>18.100000000000001</v>
          </cell>
          <cell r="AK1089">
            <v>8</v>
          </cell>
          <cell r="AL1089">
            <v>6.7000000000000004E-2</v>
          </cell>
          <cell r="AM1089">
            <v>0.37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  <cell r="AR1089">
            <v>0.45</v>
          </cell>
          <cell r="AS1089">
            <v>0</v>
          </cell>
          <cell r="AT1089">
            <v>300</v>
          </cell>
          <cell r="AU1089">
            <v>0</v>
          </cell>
          <cell r="AV1089">
            <v>647</v>
          </cell>
          <cell r="AW1089">
            <v>53</v>
          </cell>
          <cell r="AX1089">
            <v>85</v>
          </cell>
          <cell r="AY1089">
            <v>165</v>
          </cell>
          <cell r="AZ1089">
            <v>8.5000000000000006E-2</v>
          </cell>
          <cell r="BA1089" t="str">
            <v>D2105168</v>
          </cell>
          <cell r="BB1089" t="str">
            <v>CONFORM</v>
          </cell>
          <cell r="BC1089" t="str">
            <v>CONFORM</v>
          </cell>
          <cell r="BD1089" t="str">
            <v>CONFORM</v>
          </cell>
          <cell r="BE1089" t="str">
            <v>CONFORM</v>
          </cell>
          <cell r="BF1089" t="str">
            <v>CONFORM</v>
          </cell>
        </row>
        <row r="1090">
          <cell r="A1090">
            <v>44343</v>
          </cell>
          <cell r="B1090" t="str">
            <v>D2105191-1</v>
          </cell>
          <cell r="C1090" t="str">
            <v>037/21</v>
          </cell>
          <cell r="D1090">
            <v>2</v>
          </cell>
          <cell r="E1090">
            <v>44337</v>
          </cell>
          <cell r="F1090" t="str">
            <v>DC</v>
          </cell>
          <cell r="G1090" t="str">
            <v>On Time</v>
          </cell>
          <cell r="H1090" t="str">
            <v>325 B</v>
          </cell>
          <cell r="I1090">
            <v>44306</v>
          </cell>
          <cell r="J1090" t="str">
            <v>ADTI</v>
          </cell>
          <cell r="K1090" t="str">
            <v>D2105191</v>
          </cell>
          <cell r="L1090">
            <v>1</v>
          </cell>
          <cell r="M1090" t="str">
            <v>A2104088</v>
          </cell>
          <cell r="N1090" t="str">
            <v>W2ZH</v>
          </cell>
          <cell r="O1090" t="str">
            <v xml:space="preserve">1.4306 TP304L </v>
          </cell>
          <cell r="P1090" t="str">
            <v>304L</v>
          </cell>
          <cell r="Q1090">
            <v>2.323</v>
          </cell>
          <cell r="R1090">
            <v>2.3214999999999999</v>
          </cell>
          <cell r="S1090">
            <v>4.7E-2</v>
          </cell>
          <cell r="T1090">
            <v>4.7500000000000001E-2</v>
          </cell>
          <cell r="U1090">
            <v>4.7849999999999997E-2</v>
          </cell>
          <cell r="V1090">
            <v>4.7674999999999995E-2</v>
          </cell>
          <cell r="W1090" t="str">
            <v>JM</v>
          </cell>
          <cell r="X1090">
            <v>3100</v>
          </cell>
          <cell r="Y1090">
            <v>2</v>
          </cell>
          <cell r="Z1090">
            <v>667.24063710718895</v>
          </cell>
          <cell r="AA1090" t="str">
            <v>2.323X0.047-304L</v>
          </cell>
          <cell r="AB1090" t="str">
            <v>WAAC005900120B300050</v>
          </cell>
          <cell r="AC1090" t="str">
            <v>D2105191</v>
          </cell>
          <cell r="AD1090" t="str">
            <v>W2ZH</v>
          </cell>
          <cell r="AE1090">
            <v>1.7999999999999999E-2</v>
          </cell>
          <cell r="AF1090">
            <v>1.76</v>
          </cell>
          <cell r="AG1090">
            <v>3.3000000000000002E-2</v>
          </cell>
          <cell r="AH1090">
            <v>1.4999999999999999E-2</v>
          </cell>
          <cell r="AI1090">
            <v>0.36</v>
          </cell>
          <cell r="AJ1090">
            <v>18.100000000000001</v>
          </cell>
          <cell r="AK1090">
            <v>8.1</v>
          </cell>
          <cell r="AL1090">
            <v>7.0000000000000007E-2</v>
          </cell>
          <cell r="AM1090">
            <v>0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  <cell r="AR1090">
            <v>0</v>
          </cell>
          <cell r="AS1090">
            <v>0</v>
          </cell>
          <cell r="AT1090">
            <v>303</v>
          </cell>
          <cell r="AU1090">
            <v>345</v>
          </cell>
          <cell r="AV1090">
            <v>644</v>
          </cell>
          <cell r="AW1090">
            <v>62</v>
          </cell>
          <cell r="AX1090">
            <v>83</v>
          </cell>
          <cell r="AY1090">
            <v>159</v>
          </cell>
          <cell r="AZ1090">
            <v>1.577</v>
          </cell>
          <cell r="BA1090" t="str">
            <v>D2105191</v>
          </cell>
          <cell r="BB1090" t="str">
            <v>CONFORM</v>
          </cell>
          <cell r="BC1090" t="str">
            <v>CONFORM</v>
          </cell>
          <cell r="BD1090" t="str">
            <v>CONFORM</v>
          </cell>
          <cell r="BE1090" t="str">
            <v>CONFORM</v>
          </cell>
          <cell r="BF1090" t="str">
            <v>CONFORM</v>
          </cell>
        </row>
        <row r="1091">
          <cell r="A1091">
            <v>44343</v>
          </cell>
          <cell r="B1091" t="str">
            <v>D2105191-2</v>
          </cell>
          <cell r="C1091" t="str">
            <v>037/21</v>
          </cell>
          <cell r="D1091">
            <v>2</v>
          </cell>
          <cell r="E1091">
            <v>44337</v>
          </cell>
          <cell r="F1091" t="str">
            <v>DC</v>
          </cell>
          <cell r="G1091" t="str">
            <v>On Time</v>
          </cell>
          <cell r="H1091" t="str">
            <v>325 B</v>
          </cell>
          <cell r="I1091">
            <v>44306</v>
          </cell>
          <cell r="J1091" t="str">
            <v>ADTI</v>
          </cell>
          <cell r="K1091" t="str">
            <v>D2105191</v>
          </cell>
          <cell r="L1091">
            <v>2</v>
          </cell>
          <cell r="M1091" t="str">
            <v>A2104088</v>
          </cell>
          <cell r="N1091" t="str">
            <v>W2ZH</v>
          </cell>
          <cell r="O1091" t="str">
            <v xml:space="preserve">1.4306 TP304L </v>
          </cell>
          <cell r="P1091" t="str">
            <v>304L</v>
          </cell>
          <cell r="Q1091">
            <v>2.323</v>
          </cell>
          <cell r="R1091">
            <v>2.3315000000000001</v>
          </cell>
          <cell r="S1091">
            <v>4.7E-2</v>
          </cell>
          <cell r="T1091">
            <v>4.7699999999999999E-2</v>
          </cell>
          <cell r="U1091">
            <v>4.7550000000000002E-2</v>
          </cell>
          <cell r="V1091">
            <v>4.7625000000000001E-2</v>
          </cell>
          <cell r="W1091" t="str">
            <v>JM</v>
          </cell>
          <cell r="X1091">
            <v>3086</v>
          </cell>
          <cell r="Y1091">
            <v>2</v>
          </cell>
          <cell r="Z1091">
            <v>664.2272922944469</v>
          </cell>
          <cell r="AA1091" t="str">
            <v>2.323X0.047-304L</v>
          </cell>
          <cell r="AB1091" t="str">
            <v>WAAC005900120B300050</v>
          </cell>
          <cell r="AC1091" t="str">
            <v>D2105191</v>
          </cell>
          <cell r="AD1091" t="str">
            <v>W2ZH</v>
          </cell>
          <cell r="AE1091">
            <v>1.7999999999999999E-2</v>
          </cell>
          <cell r="AF1091">
            <v>1.76</v>
          </cell>
          <cell r="AG1091">
            <v>3.3000000000000002E-2</v>
          </cell>
          <cell r="AH1091">
            <v>1.4999999999999999E-2</v>
          </cell>
          <cell r="AI1091">
            <v>0.36</v>
          </cell>
          <cell r="AJ1091">
            <v>18.100000000000001</v>
          </cell>
          <cell r="AK1091">
            <v>8.1</v>
          </cell>
          <cell r="AL1091">
            <v>7.0000000000000007E-2</v>
          </cell>
          <cell r="AM1091">
            <v>0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  <cell r="AR1091">
            <v>0</v>
          </cell>
          <cell r="AS1091">
            <v>0</v>
          </cell>
          <cell r="AT1091">
            <v>303</v>
          </cell>
          <cell r="AU1091">
            <v>345</v>
          </cell>
          <cell r="AV1091">
            <v>644</v>
          </cell>
          <cell r="AW1091">
            <v>62</v>
          </cell>
          <cell r="AX1091">
            <v>83</v>
          </cell>
          <cell r="AY1091">
            <v>159</v>
          </cell>
          <cell r="AZ1091">
            <v>1.577</v>
          </cell>
          <cell r="BA1091" t="str">
            <v>D2105191</v>
          </cell>
          <cell r="BB1091" t="str">
            <v>CONFORM</v>
          </cell>
          <cell r="BC1091" t="str">
            <v>CONFORM</v>
          </cell>
          <cell r="BD1091" t="str">
            <v>CONFORM</v>
          </cell>
          <cell r="BE1091" t="str">
            <v>CONFORM</v>
          </cell>
          <cell r="BF1091" t="str">
            <v>CONFORM</v>
          </cell>
        </row>
        <row r="1092">
          <cell r="A1092">
            <v>44343</v>
          </cell>
          <cell r="B1092" t="str">
            <v>D2105191-3</v>
          </cell>
          <cell r="C1092" t="str">
            <v>037/21</v>
          </cell>
          <cell r="D1092">
            <v>2</v>
          </cell>
          <cell r="E1092">
            <v>44337</v>
          </cell>
          <cell r="F1092" t="str">
            <v>DC</v>
          </cell>
          <cell r="G1092" t="str">
            <v>On Time</v>
          </cell>
          <cell r="H1092" t="str">
            <v>325 B</v>
          </cell>
          <cell r="I1092">
            <v>44306</v>
          </cell>
          <cell r="J1092" t="str">
            <v>ADTI</v>
          </cell>
          <cell r="K1092" t="str">
            <v>D2105191</v>
          </cell>
          <cell r="L1092">
            <v>3</v>
          </cell>
          <cell r="M1092" t="str">
            <v>A2104088</v>
          </cell>
          <cell r="N1092" t="str">
            <v>W2ZH</v>
          </cell>
          <cell r="O1092" t="str">
            <v xml:space="preserve">1.4306 TP304L </v>
          </cell>
          <cell r="P1092" t="str">
            <v>304L</v>
          </cell>
          <cell r="Q1092">
            <v>2.323</v>
          </cell>
          <cell r="R1092">
            <v>2.2949999999999999</v>
          </cell>
          <cell r="S1092">
            <v>4.7E-2</v>
          </cell>
          <cell r="T1092">
            <v>4.7750000000000001E-2</v>
          </cell>
          <cell r="U1092">
            <v>4.7500000000000001E-2</v>
          </cell>
          <cell r="V1092">
            <v>4.7625000000000001E-2</v>
          </cell>
          <cell r="W1092" t="str">
            <v>JM</v>
          </cell>
          <cell r="X1092">
            <v>1552</v>
          </cell>
          <cell r="Y1092">
            <v>1</v>
          </cell>
          <cell r="Z1092">
            <v>668.10159276797242</v>
          </cell>
          <cell r="AA1092" t="str">
            <v>2.323X0.047-304L</v>
          </cell>
          <cell r="AB1092" t="str">
            <v>WAAC005900120B300050</v>
          </cell>
          <cell r="AC1092" t="str">
            <v>D2105191</v>
          </cell>
          <cell r="AD1092" t="str">
            <v>W2ZH</v>
          </cell>
          <cell r="AE1092">
            <v>1.7999999999999999E-2</v>
          </cell>
          <cell r="AF1092">
            <v>1.76</v>
          </cell>
          <cell r="AG1092">
            <v>3.3000000000000002E-2</v>
          </cell>
          <cell r="AH1092">
            <v>1.4999999999999999E-2</v>
          </cell>
          <cell r="AI1092">
            <v>0.36</v>
          </cell>
          <cell r="AJ1092">
            <v>18.100000000000001</v>
          </cell>
          <cell r="AK1092">
            <v>8.1</v>
          </cell>
          <cell r="AL1092">
            <v>7.0000000000000007E-2</v>
          </cell>
          <cell r="AM1092">
            <v>0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  <cell r="AR1092">
            <v>0</v>
          </cell>
          <cell r="AS1092">
            <v>0</v>
          </cell>
          <cell r="AT1092">
            <v>303</v>
          </cell>
          <cell r="AU1092">
            <v>345</v>
          </cell>
          <cell r="AV1092">
            <v>644</v>
          </cell>
          <cell r="AW1092">
            <v>62</v>
          </cell>
          <cell r="AX1092">
            <v>83</v>
          </cell>
          <cell r="AY1092">
            <v>159</v>
          </cell>
          <cell r="AZ1092">
            <v>1.577</v>
          </cell>
          <cell r="BA1092" t="str">
            <v>D2105191</v>
          </cell>
          <cell r="BB1092" t="str">
            <v>CONFORM</v>
          </cell>
          <cell r="BC1092" t="str">
            <v>CONFORM</v>
          </cell>
          <cell r="BD1092" t="str">
            <v>CONFORM</v>
          </cell>
          <cell r="BE1092" t="str">
            <v>CONFORM</v>
          </cell>
          <cell r="BF1092" t="str">
            <v>CONFORM</v>
          </cell>
        </row>
        <row r="1093">
          <cell r="A1093">
            <v>44343</v>
          </cell>
          <cell r="B1093" t="str">
            <v>D2105191-4</v>
          </cell>
          <cell r="C1093" t="str">
            <v>037/21</v>
          </cell>
          <cell r="D1093">
            <v>2</v>
          </cell>
          <cell r="E1093">
            <v>44337</v>
          </cell>
          <cell r="F1093" t="str">
            <v>DC</v>
          </cell>
          <cell r="G1093" t="str">
            <v>On Time</v>
          </cell>
          <cell r="H1093" t="str">
            <v>325 B</v>
          </cell>
          <cell r="I1093">
            <v>44306</v>
          </cell>
          <cell r="J1093" t="str">
            <v>ADTI</v>
          </cell>
          <cell r="K1093" t="str">
            <v>D2105191</v>
          </cell>
          <cell r="L1093">
            <v>4</v>
          </cell>
          <cell r="M1093" t="str">
            <v>A2104088</v>
          </cell>
          <cell r="N1093" t="str">
            <v>W2ZH</v>
          </cell>
          <cell r="O1093" t="str">
            <v xml:space="preserve">1.4306 TP304L </v>
          </cell>
          <cell r="P1093" t="str">
            <v>304L</v>
          </cell>
          <cell r="Q1093">
            <v>2.323</v>
          </cell>
          <cell r="R1093">
            <v>2.3214999999999999</v>
          </cell>
          <cell r="S1093">
            <v>4.7E-2</v>
          </cell>
          <cell r="T1093">
            <v>4.725E-2</v>
          </cell>
          <cell r="U1093">
            <v>4.7800000000000002E-2</v>
          </cell>
          <cell r="V1093">
            <v>4.7524999999999998E-2</v>
          </cell>
          <cell r="W1093" t="str">
            <v>JM</v>
          </cell>
          <cell r="X1093">
            <v>3060</v>
          </cell>
          <cell r="Y1093">
            <v>2</v>
          </cell>
          <cell r="Z1093">
            <v>658.63108049935431</v>
          </cell>
          <cell r="AA1093" t="str">
            <v>2.323X0.047-304L</v>
          </cell>
          <cell r="AB1093" t="str">
            <v>WAAC005900120B300050</v>
          </cell>
          <cell r="AC1093" t="str">
            <v>D2105191</v>
          </cell>
          <cell r="AD1093" t="str">
            <v>W2ZH</v>
          </cell>
          <cell r="AE1093">
            <v>1.7999999999999999E-2</v>
          </cell>
          <cell r="AF1093">
            <v>1.76</v>
          </cell>
          <cell r="AG1093">
            <v>3.3000000000000002E-2</v>
          </cell>
          <cell r="AH1093">
            <v>1.4999999999999999E-2</v>
          </cell>
          <cell r="AI1093">
            <v>0.36</v>
          </cell>
          <cell r="AJ1093">
            <v>18.100000000000001</v>
          </cell>
          <cell r="AK1093">
            <v>8.1</v>
          </cell>
          <cell r="AL1093">
            <v>7.0000000000000007E-2</v>
          </cell>
          <cell r="AM1093">
            <v>0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  <cell r="AR1093">
            <v>0</v>
          </cell>
          <cell r="AS1093">
            <v>0</v>
          </cell>
          <cell r="AT1093">
            <v>303</v>
          </cell>
          <cell r="AU1093">
            <v>345</v>
          </cell>
          <cell r="AV1093">
            <v>644</v>
          </cell>
          <cell r="AW1093">
            <v>62</v>
          </cell>
          <cell r="AX1093">
            <v>83</v>
          </cell>
          <cell r="AY1093">
            <v>159</v>
          </cell>
          <cell r="AZ1093">
            <v>1.577</v>
          </cell>
          <cell r="BA1093" t="str">
            <v>D2105191</v>
          </cell>
          <cell r="BB1093" t="str">
            <v>CONFORM</v>
          </cell>
          <cell r="BC1093" t="str">
            <v>CONFORM</v>
          </cell>
          <cell r="BD1093" t="str">
            <v>CONFORM</v>
          </cell>
          <cell r="BE1093" t="str">
            <v>CONFORM</v>
          </cell>
          <cell r="BF1093" t="str">
            <v>CONFORM</v>
          </cell>
        </row>
        <row r="1094">
          <cell r="A1094">
            <v>44343</v>
          </cell>
          <cell r="B1094" t="str">
            <v>D2105192-1</v>
          </cell>
          <cell r="C1094" t="str">
            <v>037/21</v>
          </cell>
          <cell r="D1094">
            <v>2</v>
          </cell>
          <cell r="E1094">
            <v>44337</v>
          </cell>
          <cell r="F1094" t="str">
            <v>DC</v>
          </cell>
          <cell r="G1094" t="str">
            <v>On Time</v>
          </cell>
          <cell r="H1094" t="str">
            <v>325 B</v>
          </cell>
          <cell r="I1094">
            <v>44306</v>
          </cell>
          <cell r="J1094" t="str">
            <v>ADTI</v>
          </cell>
          <cell r="K1094" t="str">
            <v>D2105192</v>
          </cell>
          <cell r="L1094">
            <v>1</v>
          </cell>
          <cell r="M1094" t="str">
            <v>A2104089</v>
          </cell>
          <cell r="N1094">
            <v>714127</v>
          </cell>
          <cell r="O1094" t="str">
            <v xml:space="preserve">1.4306 TP304L </v>
          </cell>
          <cell r="P1094" t="str">
            <v>304L</v>
          </cell>
          <cell r="Q1094">
            <v>2.323</v>
          </cell>
          <cell r="R1094">
            <v>2.3420000000000001</v>
          </cell>
          <cell r="S1094">
            <v>4.7E-2</v>
          </cell>
          <cell r="T1094">
            <v>4.7300000000000002E-2</v>
          </cell>
          <cell r="U1094">
            <v>4.65E-2</v>
          </cell>
          <cell r="V1094">
            <v>4.6899999999999997E-2</v>
          </cell>
          <cell r="W1094" t="str">
            <v>JM</v>
          </cell>
          <cell r="X1094">
            <v>2399</v>
          </cell>
          <cell r="Y1094">
            <v>2</v>
          </cell>
          <cell r="Z1094">
            <v>516.35815755488591</v>
          </cell>
          <cell r="AA1094" t="str">
            <v>2.323X0.047-304L</v>
          </cell>
          <cell r="AB1094" t="str">
            <v>WAAC005900120B300050</v>
          </cell>
          <cell r="AC1094" t="str">
            <v>D2105192</v>
          </cell>
          <cell r="AD1094">
            <v>714127</v>
          </cell>
          <cell r="AE1094">
            <v>1.9E-2</v>
          </cell>
          <cell r="AF1094">
            <v>1.57</v>
          </cell>
          <cell r="AG1094">
            <v>3.1E-2</v>
          </cell>
          <cell r="AH1094">
            <v>3.0000000000000001E-3</v>
          </cell>
          <cell r="AI1094">
            <v>0.44</v>
          </cell>
          <cell r="AJ1094">
            <v>18.100000000000001</v>
          </cell>
          <cell r="AK1094">
            <v>8</v>
          </cell>
          <cell r="AL1094">
            <v>7.2999999999999995E-2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0.44</v>
          </cell>
          <cell r="AS1094">
            <v>0</v>
          </cell>
          <cell r="AT1094">
            <v>318</v>
          </cell>
          <cell r="AU1094">
            <v>335</v>
          </cell>
          <cell r="AV1094">
            <v>649</v>
          </cell>
          <cell r="AW1094">
            <v>51</v>
          </cell>
          <cell r="AX1094">
            <v>87</v>
          </cell>
          <cell r="AY1094">
            <v>172</v>
          </cell>
          <cell r="AZ1094">
            <v>1.577</v>
          </cell>
          <cell r="BA1094" t="str">
            <v>D2105192</v>
          </cell>
          <cell r="BB1094" t="str">
            <v>CONFORM</v>
          </cell>
          <cell r="BC1094" t="str">
            <v>CONFORM</v>
          </cell>
          <cell r="BD1094" t="str">
            <v>CONFORM</v>
          </cell>
          <cell r="BE1094" t="str">
            <v>CONFORM</v>
          </cell>
          <cell r="BF1094" t="str">
            <v>CONFORM</v>
          </cell>
        </row>
        <row r="1095">
          <cell r="A1095">
            <v>44343</v>
          </cell>
          <cell r="B1095" t="str">
            <v>D2105193-1</v>
          </cell>
          <cell r="C1095" t="str">
            <v>037/21</v>
          </cell>
          <cell r="D1095">
            <v>3</v>
          </cell>
          <cell r="E1095">
            <v>44337</v>
          </cell>
          <cell r="F1095" t="str">
            <v>DC</v>
          </cell>
          <cell r="G1095" t="str">
            <v>On Time</v>
          </cell>
          <cell r="H1095" t="str">
            <v>325 B</v>
          </cell>
          <cell r="I1095">
            <v>44306</v>
          </cell>
          <cell r="J1095" t="str">
            <v>ADTI</v>
          </cell>
          <cell r="K1095" t="str">
            <v>D2105193</v>
          </cell>
          <cell r="L1095">
            <v>1</v>
          </cell>
          <cell r="M1095" t="str">
            <v>A2104090</v>
          </cell>
          <cell r="N1095" t="str">
            <v>W2ZH</v>
          </cell>
          <cell r="O1095" t="str">
            <v xml:space="preserve">1.4306 TP304L </v>
          </cell>
          <cell r="P1095" t="str">
            <v>304L</v>
          </cell>
          <cell r="Q1095">
            <v>4.6849999999999996</v>
          </cell>
          <cell r="R1095">
            <v>4.6849999999999996</v>
          </cell>
          <cell r="S1095">
            <v>4.7E-2</v>
          </cell>
          <cell r="T1095">
            <v>4.8000000000000001E-2</v>
          </cell>
          <cell r="U1095">
            <v>4.7800000000000002E-2</v>
          </cell>
          <cell r="V1095">
            <v>4.7899999999999998E-2</v>
          </cell>
          <cell r="W1095" t="str">
            <v>JM</v>
          </cell>
          <cell r="X1095">
            <v>3135</v>
          </cell>
          <cell r="Y1095">
            <v>1</v>
          </cell>
          <cell r="Z1095">
            <v>669.15688367129144</v>
          </cell>
          <cell r="AA1095" t="str">
            <v>4.685X0.047-304L</v>
          </cell>
          <cell r="AB1095" t="str">
            <v>WAAC011900120B300062</v>
          </cell>
          <cell r="AC1095" t="str">
            <v>D2105193</v>
          </cell>
          <cell r="AD1095" t="str">
            <v>W2ZH</v>
          </cell>
          <cell r="AE1095">
            <v>1.7999999999999999E-2</v>
          </cell>
          <cell r="AF1095">
            <v>1.76</v>
          </cell>
          <cell r="AG1095">
            <v>3.3000000000000002E-2</v>
          </cell>
          <cell r="AH1095">
            <v>1.4999999999999999E-2</v>
          </cell>
          <cell r="AI1095">
            <v>0.36</v>
          </cell>
          <cell r="AJ1095">
            <v>18.100000000000001</v>
          </cell>
          <cell r="AK1095">
            <v>8.1</v>
          </cell>
          <cell r="AL1095">
            <v>7.0000000000000007E-2</v>
          </cell>
          <cell r="AM1095">
            <v>0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  <cell r="AR1095">
            <v>0</v>
          </cell>
          <cell r="AS1095">
            <v>0</v>
          </cell>
          <cell r="AT1095">
            <v>303</v>
          </cell>
          <cell r="AU1095">
            <v>345</v>
          </cell>
          <cell r="AV1095">
            <v>644</v>
          </cell>
          <cell r="AW1095">
            <v>62</v>
          </cell>
          <cell r="AX1095">
            <v>83</v>
          </cell>
          <cell r="AY1095">
            <v>159</v>
          </cell>
          <cell r="AZ1095">
            <v>1.577</v>
          </cell>
          <cell r="BA1095" t="str">
            <v>D2105193</v>
          </cell>
          <cell r="BB1095" t="str">
            <v>CONFORM</v>
          </cell>
          <cell r="BC1095" t="str">
            <v>CONFORM</v>
          </cell>
          <cell r="BD1095" t="str">
            <v>CONFORM</v>
          </cell>
          <cell r="BE1095" t="str">
            <v>CONFORM</v>
          </cell>
          <cell r="BF1095" t="str">
            <v>CONFORM</v>
          </cell>
        </row>
        <row r="1096">
          <cell r="A1096">
            <v>44343</v>
          </cell>
          <cell r="B1096" t="str">
            <v>D2105193-2</v>
          </cell>
          <cell r="C1096" t="str">
            <v>037/21</v>
          </cell>
          <cell r="D1096">
            <v>3</v>
          </cell>
          <cell r="E1096">
            <v>44337</v>
          </cell>
          <cell r="F1096" t="str">
            <v>DC</v>
          </cell>
          <cell r="G1096" t="str">
            <v>On Time</v>
          </cell>
          <cell r="H1096" t="str">
            <v>325 B</v>
          </cell>
          <cell r="I1096">
            <v>44306</v>
          </cell>
          <cell r="J1096" t="str">
            <v>ADTI</v>
          </cell>
          <cell r="K1096" t="str">
            <v>D2105193</v>
          </cell>
          <cell r="L1096">
            <v>2</v>
          </cell>
          <cell r="M1096" t="str">
            <v>A2104090</v>
          </cell>
          <cell r="N1096" t="str">
            <v>W2ZH</v>
          </cell>
          <cell r="O1096" t="str">
            <v xml:space="preserve">1.4306 TP304L </v>
          </cell>
          <cell r="P1096" t="str">
            <v>304L</v>
          </cell>
          <cell r="Q1096">
            <v>4.6849999999999996</v>
          </cell>
          <cell r="R1096">
            <v>4.6855000000000002</v>
          </cell>
          <cell r="S1096">
            <v>4.7E-2</v>
          </cell>
          <cell r="T1096">
            <v>4.7649999999999998E-2</v>
          </cell>
          <cell r="U1096">
            <v>4.7849999999999997E-2</v>
          </cell>
          <cell r="V1096">
            <v>4.7750000000000001E-2</v>
          </cell>
          <cell r="W1096" t="str">
            <v>JM</v>
          </cell>
          <cell r="X1096">
            <v>3131</v>
          </cell>
          <cell r="Y1096">
            <v>1</v>
          </cell>
          <cell r="Z1096">
            <v>668.30309498399151</v>
          </cell>
          <cell r="AA1096" t="str">
            <v>4.685X0.047-304L</v>
          </cell>
          <cell r="AB1096" t="str">
            <v>WAAC011900120B300062</v>
          </cell>
          <cell r="AC1096" t="str">
            <v>D2105193</v>
          </cell>
          <cell r="AD1096" t="str">
            <v>W2ZH</v>
          </cell>
          <cell r="AE1096">
            <v>1.7999999999999999E-2</v>
          </cell>
          <cell r="AF1096">
            <v>1.76</v>
          </cell>
          <cell r="AG1096">
            <v>3.3000000000000002E-2</v>
          </cell>
          <cell r="AH1096">
            <v>1.4999999999999999E-2</v>
          </cell>
          <cell r="AI1096">
            <v>0.36</v>
          </cell>
          <cell r="AJ1096">
            <v>18.100000000000001</v>
          </cell>
          <cell r="AK1096">
            <v>8.1</v>
          </cell>
          <cell r="AL1096">
            <v>7.0000000000000007E-2</v>
          </cell>
          <cell r="AM1096">
            <v>0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  <cell r="AR1096">
            <v>0</v>
          </cell>
          <cell r="AS1096">
            <v>0</v>
          </cell>
          <cell r="AT1096">
            <v>303</v>
          </cell>
          <cell r="AU1096">
            <v>345</v>
          </cell>
          <cell r="AV1096">
            <v>644</v>
          </cell>
          <cell r="AW1096">
            <v>62</v>
          </cell>
          <cell r="AX1096">
            <v>83</v>
          </cell>
          <cell r="AY1096">
            <v>159</v>
          </cell>
          <cell r="AZ1096">
            <v>1.577</v>
          </cell>
          <cell r="BA1096" t="str">
            <v>D2105193</v>
          </cell>
          <cell r="BB1096" t="str">
            <v>CONFORM</v>
          </cell>
          <cell r="BC1096" t="str">
            <v>CONFORM</v>
          </cell>
          <cell r="BD1096" t="str">
            <v>CONFORM</v>
          </cell>
          <cell r="BE1096" t="str">
            <v>CONFORM</v>
          </cell>
          <cell r="BF1096" t="str">
            <v>CONFORM</v>
          </cell>
        </row>
        <row r="1097">
          <cell r="A1097">
            <v>44343</v>
          </cell>
          <cell r="B1097" t="str">
            <v>D2105194-1</v>
          </cell>
          <cell r="C1097" t="str">
            <v>037/21</v>
          </cell>
          <cell r="D1097">
            <v>3</v>
          </cell>
          <cell r="E1097">
            <v>44337</v>
          </cell>
          <cell r="F1097" t="str">
            <v>DC</v>
          </cell>
          <cell r="G1097" t="str">
            <v>On Time</v>
          </cell>
          <cell r="H1097" t="str">
            <v>325 B</v>
          </cell>
          <cell r="I1097">
            <v>44306</v>
          </cell>
          <cell r="J1097" t="str">
            <v>ADTI</v>
          </cell>
          <cell r="K1097" t="str">
            <v>D2105194</v>
          </cell>
          <cell r="L1097">
            <v>1</v>
          </cell>
          <cell r="M1097" t="str">
            <v>A2104091</v>
          </cell>
          <cell r="N1097">
            <v>714127</v>
          </cell>
          <cell r="O1097" t="str">
            <v xml:space="preserve">1.4306 TP304L </v>
          </cell>
          <cell r="P1097" t="str">
            <v>304L</v>
          </cell>
          <cell r="Q1097">
            <v>4.6849999999999996</v>
          </cell>
          <cell r="R1097">
            <v>4.6864999999999997</v>
          </cell>
          <cell r="S1097">
            <v>4.7E-2</v>
          </cell>
          <cell r="T1097">
            <v>4.7449999999999999E-2</v>
          </cell>
          <cell r="U1097">
            <v>4.65E-2</v>
          </cell>
          <cell r="V1097">
            <v>4.6975000000000003E-2</v>
          </cell>
          <cell r="W1097" t="str">
            <v>JM</v>
          </cell>
          <cell r="X1097">
            <v>2425</v>
          </cell>
          <cell r="Y1097">
            <v>1</v>
          </cell>
          <cell r="Z1097">
            <v>517.60939167556035</v>
          </cell>
          <cell r="AA1097" t="str">
            <v>4.685X0.047-304L</v>
          </cell>
          <cell r="AB1097" t="str">
            <v>WAAC011900120B300062</v>
          </cell>
          <cell r="AC1097" t="str">
            <v>D2105194</v>
          </cell>
          <cell r="AD1097">
            <v>714127</v>
          </cell>
          <cell r="AE1097">
            <v>1.9E-2</v>
          </cell>
          <cell r="AF1097">
            <v>1.57</v>
          </cell>
          <cell r="AG1097">
            <v>3.1E-2</v>
          </cell>
          <cell r="AH1097">
            <v>3.0000000000000001E-3</v>
          </cell>
          <cell r="AI1097">
            <v>0.44</v>
          </cell>
          <cell r="AJ1097">
            <v>18.100000000000001</v>
          </cell>
          <cell r="AK1097">
            <v>8</v>
          </cell>
          <cell r="AL1097">
            <v>7.2999999999999995E-2</v>
          </cell>
          <cell r="AM1097">
            <v>0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  <cell r="AR1097">
            <v>0.44</v>
          </cell>
          <cell r="AS1097">
            <v>0</v>
          </cell>
          <cell r="AT1097">
            <v>318</v>
          </cell>
          <cell r="AU1097">
            <v>335</v>
          </cell>
          <cell r="AV1097">
            <v>649</v>
          </cell>
          <cell r="AW1097">
            <v>51</v>
          </cell>
          <cell r="AX1097">
            <v>87</v>
          </cell>
          <cell r="AY1097">
            <v>172</v>
          </cell>
          <cell r="AZ1097">
            <v>1.577</v>
          </cell>
          <cell r="BA1097" t="str">
            <v>D2105194</v>
          </cell>
          <cell r="BB1097" t="str">
            <v>CONFORM</v>
          </cell>
          <cell r="BC1097" t="str">
            <v>CONFORM</v>
          </cell>
          <cell r="BD1097" t="str">
            <v>CONFORM</v>
          </cell>
          <cell r="BE1097" t="str">
            <v>CONFORM</v>
          </cell>
          <cell r="BF1097" t="str">
            <v>CONFORM</v>
          </cell>
        </row>
        <row r="1098">
          <cell r="A1098">
            <v>44343</v>
          </cell>
          <cell r="B1098" t="str">
            <v>D2105194-2</v>
          </cell>
          <cell r="C1098" t="str">
            <v>037/21</v>
          </cell>
          <cell r="D1098">
            <v>3</v>
          </cell>
          <cell r="E1098">
            <v>44337</v>
          </cell>
          <cell r="F1098" t="str">
            <v>DC</v>
          </cell>
          <cell r="G1098" t="str">
            <v>On Time</v>
          </cell>
          <cell r="H1098" t="str">
            <v>325 B</v>
          </cell>
          <cell r="I1098">
            <v>44306</v>
          </cell>
          <cell r="J1098" t="str">
            <v>ADTI</v>
          </cell>
          <cell r="K1098" t="str">
            <v>D2105194</v>
          </cell>
          <cell r="L1098">
            <v>2</v>
          </cell>
          <cell r="M1098" t="str">
            <v>A2104091</v>
          </cell>
          <cell r="N1098">
            <v>714127</v>
          </cell>
          <cell r="O1098" t="str">
            <v xml:space="preserve">1.4306 TP304L </v>
          </cell>
          <cell r="P1098" t="str">
            <v>304L</v>
          </cell>
          <cell r="Q1098">
            <v>4.6849999999999996</v>
          </cell>
          <cell r="R1098">
            <v>4.6825000000000001</v>
          </cell>
          <cell r="S1098">
            <v>4.7E-2</v>
          </cell>
          <cell r="T1098">
            <v>4.725E-2</v>
          </cell>
          <cell r="U1098">
            <v>4.7500000000000001E-2</v>
          </cell>
          <cell r="V1098">
            <v>4.7375E-2</v>
          </cell>
          <cell r="W1098" t="str">
            <v>JM</v>
          </cell>
          <cell r="X1098">
            <v>2425</v>
          </cell>
          <cell r="Y1098">
            <v>1</v>
          </cell>
          <cell r="Z1098">
            <v>517.60939167556035</v>
          </cell>
          <cell r="AA1098" t="str">
            <v>4.685X0.047-304L</v>
          </cell>
          <cell r="AB1098" t="str">
            <v>WAAC011900120B300062</v>
          </cell>
          <cell r="AC1098" t="str">
            <v>D2105194</v>
          </cell>
          <cell r="AD1098">
            <v>714127</v>
          </cell>
          <cell r="AE1098">
            <v>1.9E-2</v>
          </cell>
          <cell r="AF1098">
            <v>1.57</v>
          </cell>
          <cell r="AG1098">
            <v>3.1E-2</v>
          </cell>
          <cell r="AH1098">
            <v>3.0000000000000001E-3</v>
          </cell>
          <cell r="AI1098">
            <v>0.44</v>
          </cell>
          <cell r="AJ1098">
            <v>18.100000000000001</v>
          </cell>
          <cell r="AK1098">
            <v>8</v>
          </cell>
          <cell r="AL1098">
            <v>7.2999999999999995E-2</v>
          </cell>
          <cell r="AM1098">
            <v>0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  <cell r="AR1098">
            <v>0.44</v>
          </cell>
          <cell r="AS1098">
            <v>0</v>
          </cell>
          <cell r="AT1098">
            <v>318</v>
          </cell>
          <cell r="AU1098">
            <v>335</v>
          </cell>
          <cell r="AV1098">
            <v>649</v>
          </cell>
          <cell r="AW1098">
            <v>51</v>
          </cell>
          <cell r="AX1098">
            <v>87</v>
          </cell>
          <cell r="AY1098">
            <v>172</v>
          </cell>
          <cell r="AZ1098">
            <v>1.577</v>
          </cell>
          <cell r="BA1098" t="str">
            <v>D2105194</v>
          </cell>
          <cell r="BB1098" t="str">
            <v>CONFORM</v>
          </cell>
          <cell r="BC1098" t="str">
            <v>CONFORM</v>
          </cell>
          <cell r="BD1098" t="str">
            <v>CONFORM</v>
          </cell>
          <cell r="BE1098" t="str">
            <v>CONFORM</v>
          </cell>
          <cell r="BF1098" t="str">
            <v>CONFORM</v>
          </cell>
        </row>
        <row r="1099">
          <cell r="A1099">
            <v>44343</v>
          </cell>
          <cell r="B1099" t="str">
            <v>D2105194-3</v>
          </cell>
          <cell r="C1099" t="str">
            <v>037/21</v>
          </cell>
          <cell r="D1099">
            <v>3</v>
          </cell>
          <cell r="E1099">
            <v>44337</v>
          </cell>
          <cell r="F1099" t="str">
            <v>DC</v>
          </cell>
          <cell r="G1099" t="str">
            <v>On Time</v>
          </cell>
          <cell r="H1099" t="str">
            <v>325 B</v>
          </cell>
          <cell r="I1099">
            <v>44306</v>
          </cell>
          <cell r="J1099" t="str">
            <v>ADTI</v>
          </cell>
          <cell r="K1099" t="str">
            <v>D2105194</v>
          </cell>
          <cell r="L1099">
            <v>3</v>
          </cell>
          <cell r="M1099" t="str">
            <v>A2104091</v>
          </cell>
          <cell r="N1099">
            <v>714127</v>
          </cell>
          <cell r="O1099" t="str">
            <v xml:space="preserve">1.4306 TP304L </v>
          </cell>
          <cell r="P1099" t="str">
            <v>304L</v>
          </cell>
          <cell r="Q1099">
            <v>4.6849999999999996</v>
          </cell>
          <cell r="R1099">
            <v>4.6870000000000003</v>
          </cell>
          <cell r="S1099">
            <v>4.7E-2</v>
          </cell>
          <cell r="T1099">
            <v>4.6649999999999997E-2</v>
          </cell>
          <cell r="U1099">
            <v>4.6300000000000001E-2</v>
          </cell>
          <cell r="V1099">
            <v>4.6475000000000002E-2</v>
          </cell>
          <cell r="W1099" t="str">
            <v>JM</v>
          </cell>
          <cell r="X1099">
            <v>2425</v>
          </cell>
          <cell r="Y1099">
            <v>1</v>
          </cell>
          <cell r="Z1099">
            <v>517.60939167556035</v>
          </cell>
          <cell r="AA1099" t="str">
            <v>4.685X0.047-304L</v>
          </cell>
          <cell r="AB1099" t="str">
            <v>WAAC011900120B300062</v>
          </cell>
          <cell r="AC1099" t="str">
            <v>D2105194</v>
          </cell>
          <cell r="AD1099">
            <v>714127</v>
          </cell>
          <cell r="AE1099">
            <v>1.9E-2</v>
          </cell>
          <cell r="AF1099">
            <v>1.57</v>
          </cell>
          <cell r="AG1099">
            <v>3.1E-2</v>
          </cell>
          <cell r="AH1099">
            <v>3.0000000000000001E-3</v>
          </cell>
          <cell r="AI1099">
            <v>0.44</v>
          </cell>
          <cell r="AJ1099">
            <v>18.100000000000001</v>
          </cell>
          <cell r="AK1099">
            <v>8</v>
          </cell>
          <cell r="AL1099">
            <v>7.2999999999999995E-2</v>
          </cell>
          <cell r="AM1099">
            <v>0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  <cell r="AR1099">
            <v>0.44</v>
          </cell>
          <cell r="AS1099">
            <v>0</v>
          </cell>
          <cell r="AT1099">
            <v>318</v>
          </cell>
          <cell r="AU1099">
            <v>335</v>
          </cell>
          <cell r="AV1099">
            <v>649</v>
          </cell>
          <cell r="AW1099">
            <v>51</v>
          </cell>
          <cell r="AX1099">
            <v>87</v>
          </cell>
          <cell r="AY1099">
            <v>172</v>
          </cell>
          <cell r="AZ1099">
            <v>1.577</v>
          </cell>
          <cell r="BA1099" t="str">
            <v>D2105194</v>
          </cell>
          <cell r="BB1099" t="str">
            <v>CONFORM</v>
          </cell>
          <cell r="BC1099" t="str">
            <v>CONFORM</v>
          </cell>
          <cell r="BD1099" t="str">
            <v>CONFORM</v>
          </cell>
          <cell r="BE1099" t="str">
            <v>CONFORM</v>
          </cell>
          <cell r="BF1099" t="str">
            <v>CONFORM</v>
          </cell>
        </row>
        <row r="1100">
          <cell r="A1100">
            <v>44343</v>
          </cell>
          <cell r="B1100" t="str">
            <v>D2105195-1</v>
          </cell>
          <cell r="C1100" t="str">
            <v>037/21</v>
          </cell>
          <cell r="D1100">
            <v>4</v>
          </cell>
          <cell r="E1100">
            <v>44337</v>
          </cell>
          <cell r="F1100" t="str">
            <v>DC</v>
          </cell>
          <cell r="G1100" t="str">
            <v>On Time</v>
          </cell>
          <cell r="H1100" t="str">
            <v>325 B</v>
          </cell>
          <cell r="I1100">
            <v>44306</v>
          </cell>
          <cell r="J1100" t="str">
            <v>ADTI</v>
          </cell>
          <cell r="K1100" t="str">
            <v>D2105195</v>
          </cell>
          <cell r="L1100">
            <v>1</v>
          </cell>
          <cell r="M1100" t="str">
            <v>A1901050</v>
          </cell>
          <cell r="N1100">
            <v>151512</v>
          </cell>
          <cell r="O1100" t="str">
            <v xml:space="preserve">UNS N08367   </v>
          </cell>
          <cell r="P1100" t="str">
            <v>N08367</v>
          </cell>
          <cell r="Q1100">
            <v>1.96</v>
          </cell>
          <cell r="R1100">
            <v>1.9704999999999999</v>
          </cell>
          <cell r="S1100">
            <v>3.5000000000000003E-2</v>
          </cell>
          <cell r="T1100">
            <v>3.4700000000000002E-2</v>
          </cell>
          <cell r="U1100">
            <v>3.4250000000000003E-2</v>
          </cell>
          <cell r="V1100">
            <v>3.4475000000000006E-2</v>
          </cell>
          <cell r="W1100" t="str">
            <v>JM</v>
          </cell>
          <cell r="X1100">
            <v>3137</v>
          </cell>
          <cell r="Y1100">
            <v>5</v>
          </cell>
          <cell r="Z1100">
            <v>320.10204081632651</v>
          </cell>
          <cell r="AA1100" t="str">
            <v>1.96X0.035-N08367</v>
          </cell>
          <cell r="AB1100" t="str">
            <v>WABN004980089B300128</v>
          </cell>
          <cell r="AC1100" t="str">
            <v>D2105195</v>
          </cell>
          <cell r="AD1100">
            <v>151512</v>
          </cell>
          <cell r="AE1100">
            <v>1.4E-2</v>
          </cell>
          <cell r="AF1100">
            <v>0.81</v>
          </cell>
          <cell r="AG1100">
            <v>1.7000000000000001E-2</v>
          </cell>
          <cell r="AH1100">
            <v>2E-3</v>
          </cell>
          <cell r="AI1100">
            <v>0.22</v>
          </cell>
          <cell r="AJ1100">
            <v>20.5</v>
          </cell>
          <cell r="AK1100">
            <v>24.8</v>
          </cell>
          <cell r="AL1100">
            <v>0.2</v>
          </cell>
          <cell r="AM1100">
            <v>6.51</v>
          </cell>
          <cell r="AN1100">
            <v>45.95</v>
          </cell>
          <cell r="AO1100">
            <v>0</v>
          </cell>
          <cell r="AP1100">
            <v>0</v>
          </cell>
          <cell r="AQ1100">
            <v>0</v>
          </cell>
          <cell r="AR1100">
            <v>0.66</v>
          </cell>
          <cell r="AS1100">
            <v>0</v>
          </cell>
          <cell r="AT1100">
            <v>384</v>
          </cell>
          <cell r="AU1100">
            <v>0</v>
          </cell>
          <cell r="AV1100">
            <v>752</v>
          </cell>
          <cell r="AW1100">
            <v>46</v>
          </cell>
          <cell r="AX1100">
            <v>89</v>
          </cell>
          <cell r="AY1100">
            <v>180</v>
          </cell>
          <cell r="AZ1100">
            <v>7.15</v>
          </cell>
          <cell r="BA1100" t="str">
            <v>D2105195</v>
          </cell>
          <cell r="BB1100" t="str">
            <v>CONFORM</v>
          </cell>
          <cell r="BC1100" t="str">
            <v>CONFORM</v>
          </cell>
          <cell r="BD1100" t="str">
            <v>CONFORM</v>
          </cell>
          <cell r="BE1100" t="str">
            <v>CONFORM</v>
          </cell>
          <cell r="BF1100" t="str">
            <v>CONFORM</v>
          </cell>
        </row>
        <row r="1101">
          <cell r="A1101">
            <v>44350</v>
          </cell>
          <cell r="B1101" t="str">
            <v>D2106007-1</v>
          </cell>
          <cell r="C1101" t="str">
            <v>037/21</v>
          </cell>
          <cell r="D1101">
            <v>1</v>
          </cell>
          <cell r="E1101">
            <v>44337</v>
          </cell>
          <cell r="F1101" t="str">
            <v>DC</v>
          </cell>
          <cell r="G1101" t="str">
            <v>Late</v>
          </cell>
          <cell r="H1101" t="str">
            <v>325 A</v>
          </cell>
          <cell r="I1101">
            <v>44306</v>
          </cell>
          <cell r="J1101" t="str">
            <v>ADTI</v>
          </cell>
          <cell r="K1101" t="str">
            <v>D2106007</v>
          </cell>
          <cell r="L1101">
            <v>1</v>
          </cell>
          <cell r="M1101" t="str">
            <v>A2104086</v>
          </cell>
          <cell r="N1101" t="str">
            <v>0460134</v>
          </cell>
          <cell r="O1101" t="str">
            <v xml:space="preserve">1.4306 TP304L </v>
          </cell>
          <cell r="P1101" t="str">
            <v>304L</v>
          </cell>
          <cell r="Q1101">
            <v>1.948</v>
          </cell>
          <cell r="R1101">
            <v>1.9490000000000001</v>
          </cell>
          <cell r="S1101">
            <v>3.5000000000000003E-2</v>
          </cell>
          <cell r="T1101">
            <v>3.5749999999999997E-2</v>
          </cell>
          <cell r="U1101">
            <v>3.6299999999999999E-2</v>
          </cell>
          <cell r="V1101">
            <v>3.6025000000000001E-2</v>
          </cell>
          <cell r="W1101" t="str">
            <v>BRS</v>
          </cell>
          <cell r="X1101">
            <v>1764</v>
          </cell>
          <cell r="Y1101">
            <v>1</v>
          </cell>
          <cell r="Z1101">
            <v>905.54414784394248</v>
          </cell>
          <cell r="AA1101" t="str">
            <v>1.948X0.035-304L</v>
          </cell>
          <cell r="AB1101" t="str">
            <v>WAAC004950089B200032</v>
          </cell>
          <cell r="AC1101" t="str">
            <v>D2106007</v>
          </cell>
          <cell r="AD1101" t="str">
            <v>0460134</v>
          </cell>
          <cell r="AE1101">
            <v>2.9000000000000001E-2</v>
          </cell>
          <cell r="AF1101">
            <v>1.72</v>
          </cell>
          <cell r="AG1101">
            <v>3.1E-2</v>
          </cell>
          <cell r="AH1101">
            <v>1E-3</v>
          </cell>
          <cell r="AI1101">
            <v>0.32</v>
          </cell>
          <cell r="AJ1101">
            <v>18</v>
          </cell>
          <cell r="AK1101">
            <v>8.1</v>
          </cell>
          <cell r="AL1101">
            <v>7.3999999999999996E-2</v>
          </cell>
          <cell r="AM1101">
            <v>0.37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  <cell r="AR1101">
            <v>0.39</v>
          </cell>
          <cell r="AS1101">
            <v>0</v>
          </cell>
          <cell r="AT1101">
            <v>313</v>
          </cell>
          <cell r="AU1101">
            <v>349</v>
          </cell>
          <cell r="AV1101">
            <v>643</v>
          </cell>
          <cell r="AW1101">
            <v>57</v>
          </cell>
          <cell r="AX1101">
            <v>85</v>
          </cell>
          <cell r="AY1101">
            <v>165</v>
          </cell>
          <cell r="AZ1101">
            <v>1.577</v>
          </cell>
          <cell r="BA1101" t="str">
            <v>D2106007</v>
          </cell>
          <cell r="BB1101" t="str">
            <v>CONFORM</v>
          </cell>
          <cell r="BC1101" t="str">
            <v>CONFORM</v>
          </cell>
          <cell r="BD1101" t="str">
            <v>CONFORM</v>
          </cell>
          <cell r="BE1101" t="str">
            <v>CONFORM</v>
          </cell>
          <cell r="BF1101" t="str">
            <v>CONFORM</v>
          </cell>
        </row>
        <row r="1102">
          <cell r="A1102">
            <v>44350</v>
          </cell>
          <cell r="B1102" t="str">
            <v>D2106007-2</v>
          </cell>
          <cell r="C1102" t="str">
            <v>037/21</v>
          </cell>
          <cell r="D1102">
            <v>1</v>
          </cell>
          <cell r="E1102">
            <v>44337</v>
          </cell>
          <cell r="F1102" t="str">
            <v>DC</v>
          </cell>
          <cell r="G1102" t="str">
            <v>Late</v>
          </cell>
          <cell r="H1102" t="str">
            <v>325 A</v>
          </cell>
          <cell r="I1102">
            <v>44306</v>
          </cell>
          <cell r="J1102" t="str">
            <v>ADTI</v>
          </cell>
          <cell r="K1102" t="str">
            <v>D2106007</v>
          </cell>
          <cell r="L1102">
            <v>2</v>
          </cell>
          <cell r="M1102" t="str">
            <v>A2104086</v>
          </cell>
          <cell r="N1102" t="str">
            <v>0460134</v>
          </cell>
          <cell r="O1102" t="str">
            <v xml:space="preserve">1.4306 TP304L </v>
          </cell>
          <cell r="P1102" t="str">
            <v>304L</v>
          </cell>
          <cell r="Q1102">
            <v>1.948</v>
          </cell>
          <cell r="R1102">
            <v>1.9495</v>
          </cell>
          <cell r="S1102">
            <v>3.5000000000000003E-2</v>
          </cell>
          <cell r="T1102">
            <v>3.4950000000000002E-2</v>
          </cell>
          <cell r="U1102">
            <v>3.49E-2</v>
          </cell>
          <cell r="V1102">
            <v>3.4924999999999998E-2</v>
          </cell>
          <cell r="W1102" t="str">
            <v>BRS</v>
          </cell>
          <cell r="X1102">
            <v>3558</v>
          </cell>
          <cell r="Y1102">
            <v>2</v>
          </cell>
          <cell r="Z1102">
            <v>913.24435318275152</v>
          </cell>
          <cell r="AA1102" t="str">
            <v>1.948X0.035-304L</v>
          </cell>
          <cell r="AB1102" t="str">
            <v>WAAC004950089B200032</v>
          </cell>
          <cell r="AC1102" t="str">
            <v>D2106007</v>
          </cell>
          <cell r="AD1102" t="str">
            <v>0460134</v>
          </cell>
          <cell r="AE1102">
            <v>2.9000000000000001E-2</v>
          </cell>
          <cell r="AF1102">
            <v>1.72</v>
          </cell>
          <cell r="AG1102">
            <v>3.1E-2</v>
          </cell>
          <cell r="AH1102">
            <v>1E-3</v>
          </cell>
          <cell r="AI1102">
            <v>0.32</v>
          </cell>
          <cell r="AJ1102">
            <v>18</v>
          </cell>
          <cell r="AK1102">
            <v>8.1</v>
          </cell>
          <cell r="AL1102">
            <v>7.3999999999999996E-2</v>
          </cell>
          <cell r="AM1102">
            <v>0.37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  <cell r="AR1102">
            <v>0.39</v>
          </cell>
          <cell r="AS1102">
            <v>0</v>
          </cell>
          <cell r="AT1102">
            <v>313</v>
          </cell>
          <cell r="AU1102">
            <v>349</v>
          </cell>
          <cell r="AV1102">
            <v>643</v>
          </cell>
          <cell r="AW1102">
            <v>57</v>
          </cell>
          <cell r="AX1102">
            <v>85</v>
          </cell>
          <cell r="AY1102">
            <v>165</v>
          </cell>
          <cell r="AZ1102">
            <v>1.577</v>
          </cell>
          <cell r="BA1102" t="str">
            <v>D2106007</v>
          </cell>
          <cell r="BB1102" t="str">
            <v>CONFORM</v>
          </cell>
          <cell r="BC1102" t="str">
            <v>CONFORM</v>
          </cell>
          <cell r="BD1102" t="str">
            <v>CONFORM</v>
          </cell>
          <cell r="BE1102" t="str">
            <v>CONFORM</v>
          </cell>
          <cell r="BF1102" t="str">
            <v>CONFORM</v>
          </cell>
        </row>
        <row r="1103">
          <cell r="A1103">
            <v>44350</v>
          </cell>
          <cell r="B1103" t="str">
            <v>D2106007-3</v>
          </cell>
          <cell r="C1103" t="str">
            <v>037/21</v>
          </cell>
          <cell r="D1103">
            <v>1</v>
          </cell>
          <cell r="E1103">
            <v>44337</v>
          </cell>
          <cell r="F1103" t="str">
            <v>DC</v>
          </cell>
          <cell r="G1103" t="str">
            <v>Late</v>
          </cell>
          <cell r="H1103" t="str">
            <v>325 A</v>
          </cell>
          <cell r="I1103">
            <v>44306</v>
          </cell>
          <cell r="J1103" t="str">
            <v>ADTI</v>
          </cell>
          <cell r="K1103" t="str">
            <v>D2106007</v>
          </cell>
          <cell r="L1103">
            <v>3</v>
          </cell>
          <cell r="M1103" t="str">
            <v>A2104086</v>
          </cell>
          <cell r="N1103" t="str">
            <v>0460134</v>
          </cell>
          <cell r="O1103" t="str">
            <v xml:space="preserve">1.4306 TP304L </v>
          </cell>
          <cell r="P1103" t="str">
            <v>304L</v>
          </cell>
          <cell r="Q1103">
            <v>1.948</v>
          </cell>
          <cell r="R1103">
            <v>1.9490000000000001</v>
          </cell>
          <cell r="S1103">
            <v>3.5000000000000003E-2</v>
          </cell>
          <cell r="T1103">
            <v>3.5349999999999999E-2</v>
          </cell>
          <cell r="U1103">
            <v>3.8649999999999997E-2</v>
          </cell>
          <cell r="V1103">
            <v>3.6999999999999998E-2</v>
          </cell>
          <cell r="W1103" t="str">
            <v>BRS</v>
          </cell>
          <cell r="X1103">
            <v>3576</v>
          </cell>
          <cell r="Y1103">
            <v>2</v>
          </cell>
          <cell r="Z1103">
            <v>917.86447638603693</v>
          </cell>
          <cell r="AA1103" t="str">
            <v>1.948X0.035-304L</v>
          </cell>
          <cell r="AB1103" t="str">
            <v>WAAC004950089B200032</v>
          </cell>
          <cell r="AC1103" t="str">
            <v>D2106007</v>
          </cell>
          <cell r="AD1103" t="str">
            <v>0460134</v>
          </cell>
          <cell r="AE1103">
            <v>2.9000000000000001E-2</v>
          </cell>
          <cell r="AF1103">
            <v>1.72</v>
          </cell>
          <cell r="AG1103">
            <v>3.1E-2</v>
          </cell>
          <cell r="AH1103">
            <v>1E-3</v>
          </cell>
          <cell r="AI1103">
            <v>0.32</v>
          </cell>
          <cell r="AJ1103">
            <v>18</v>
          </cell>
          <cell r="AK1103">
            <v>8.1</v>
          </cell>
          <cell r="AL1103">
            <v>7.3999999999999996E-2</v>
          </cell>
          <cell r="AM1103">
            <v>0.37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  <cell r="AR1103">
            <v>0.39</v>
          </cell>
          <cell r="AS1103">
            <v>0</v>
          </cell>
          <cell r="AT1103">
            <v>313</v>
          </cell>
          <cell r="AU1103">
            <v>349</v>
          </cell>
          <cell r="AV1103">
            <v>643</v>
          </cell>
          <cell r="AW1103">
            <v>57</v>
          </cell>
          <cell r="AX1103">
            <v>85</v>
          </cell>
          <cell r="AY1103">
            <v>165</v>
          </cell>
          <cell r="AZ1103">
            <v>1.577</v>
          </cell>
          <cell r="BA1103" t="str">
            <v>D2106007</v>
          </cell>
          <cell r="BB1103" t="str">
            <v>CONFORM</v>
          </cell>
          <cell r="BC1103" t="str">
            <v>CONFORM</v>
          </cell>
          <cell r="BD1103" t="str">
            <v>CONFORM</v>
          </cell>
          <cell r="BE1103" t="str">
            <v>CONFORM</v>
          </cell>
          <cell r="BF1103" t="str">
            <v>CONFORM</v>
          </cell>
        </row>
        <row r="1104">
          <cell r="A1104">
            <v>44350</v>
          </cell>
          <cell r="B1104" t="str">
            <v>D2106007-4</v>
          </cell>
          <cell r="C1104" t="str">
            <v>037/21</v>
          </cell>
          <cell r="D1104">
            <v>1</v>
          </cell>
          <cell r="E1104">
            <v>44337</v>
          </cell>
          <cell r="F1104" t="str">
            <v>DC</v>
          </cell>
          <cell r="G1104" t="str">
            <v>Late</v>
          </cell>
          <cell r="H1104" t="str">
            <v>325 A</v>
          </cell>
          <cell r="I1104">
            <v>44306</v>
          </cell>
          <cell r="J1104" t="str">
            <v>ADTI</v>
          </cell>
          <cell r="K1104" t="str">
            <v>D2106007</v>
          </cell>
          <cell r="L1104">
            <v>4</v>
          </cell>
          <cell r="M1104" t="str">
            <v>A2104086</v>
          </cell>
          <cell r="N1104" t="str">
            <v>0460134</v>
          </cell>
          <cell r="O1104" t="str">
            <v xml:space="preserve">1.4306 TP304L </v>
          </cell>
          <cell r="P1104" t="str">
            <v>304L</v>
          </cell>
          <cell r="Q1104">
            <v>1.948</v>
          </cell>
          <cell r="R1104">
            <v>1.9504999999999999</v>
          </cell>
          <cell r="S1104">
            <v>3.5000000000000003E-2</v>
          </cell>
          <cell r="T1104">
            <v>3.5349999999999999E-2</v>
          </cell>
          <cell r="U1104">
            <v>3.4450000000000001E-2</v>
          </cell>
          <cell r="V1104">
            <v>3.49E-2</v>
          </cell>
          <cell r="W1104" t="str">
            <v>BRS</v>
          </cell>
          <cell r="X1104">
            <v>3585</v>
          </cell>
          <cell r="Y1104">
            <v>2</v>
          </cell>
          <cell r="Z1104">
            <v>920.17453798767974</v>
          </cell>
          <cell r="AA1104" t="str">
            <v>1.948X0.035-304L</v>
          </cell>
          <cell r="AB1104" t="str">
            <v>WAAC004950089B200032</v>
          </cell>
          <cell r="AC1104" t="str">
            <v>D2106007</v>
          </cell>
          <cell r="AD1104" t="str">
            <v>0460134</v>
          </cell>
          <cell r="AE1104">
            <v>2.9000000000000001E-2</v>
          </cell>
          <cell r="AF1104">
            <v>1.72</v>
          </cell>
          <cell r="AG1104">
            <v>3.1E-2</v>
          </cell>
          <cell r="AH1104">
            <v>1E-3</v>
          </cell>
          <cell r="AI1104">
            <v>0.32</v>
          </cell>
          <cell r="AJ1104">
            <v>18</v>
          </cell>
          <cell r="AK1104">
            <v>8.1</v>
          </cell>
          <cell r="AL1104">
            <v>7.3999999999999996E-2</v>
          </cell>
          <cell r="AM1104">
            <v>0.37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  <cell r="AR1104">
            <v>0.39</v>
          </cell>
          <cell r="AS1104">
            <v>0</v>
          </cell>
          <cell r="AT1104">
            <v>313</v>
          </cell>
          <cell r="AU1104">
            <v>349</v>
          </cell>
          <cell r="AV1104">
            <v>643</v>
          </cell>
          <cell r="AW1104">
            <v>57</v>
          </cell>
          <cell r="AX1104">
            <v>85</v>
          </cell>
          <cell r="AY1104">
            <v>165</v>
          </cell>
          <cell r="AZ1104">
            <v>1.577</v>
          </cell>
          <cell r="BA1104" t="str">
            <v>D2106007</v>
          </cell>
          <cell r="BB1104" t="str">
            <v>CONFORM</v>
          </cell>
          <cell r="BC1104" t="str">
            <v>CONFORM</v>
          </cell>
          <cell r="BD1104" t="str">
            <v>CONFORM</v>
          </cell>
          <cell r="BE1104" t="str">
            <v>CONFORM</v>
          </cell>
          <cell r="BF1104" t="str">
            <v>CONFORM</v>
          </cell>
        </row>
        <row r="1105">
          <cell r="A1105">
            <v>44350</v>
          </cell>
          <cell r="B1105" t="str">
            <v>D2106007-5</v>
          </cell>
          <cell r="C1105" t="str">
            <v>037/21</v>
          </cell>
          <cell r="D1105">
            <v>1</v>
          </cell>
          <cell r="E1105">
            <v>44337</v>
          </cell>
          <cell r="F1105" t="str">
            <v>DC</v>
          </cell>
          <cell r="G1105" t="str">
            <v>Late</v>
          </cell>
          <cell r="H1105" t="str">
            <v>325 A</v>
          </cell>
          <cell r="I1105">
            <v>44306</v>
          </cell>
          <cell r="J1105" t="str">
            <v>ADTI</v>
          </cell>
          <cell r="K1105" t="str">
            <v>D2106007</v>
          </cell>
          <cell r="L1105">
            <v>5</v>
          </cell>
          <cell r="M1105" t="str">
            <v>A2104086</v>
          </cell>
          <cell r="N1105" t="str">
            <v>0460134</v>
          </cell>
          <cell r="O1105" t="str">
            <v xml:space="preserve">1.4306 TP304L </v>
          </cell>
          <cell r="P1105" t="str">
            <v>304L</v>
          </cell>
          <cell r="Q1105">
            <v>1.948</v>
          </cell>
          <cell r="R1105">
            <v>1.9475</v>
          </cell>
          <cell r="S1105">
            <v>3.5000000000000003E-2</v>
          </cell>
          <cell r="T1105">
            <v>3.5349999999999999E-2</v>
          </cell>
          <cell r="U1105">
            <v>3.9750000000000001E-2</v>
          </cell>
          <cell r="V1105">
            <v>3.755E-2</v>
          </cell>
          <cell r="W1105" t="str">
            <v>BRS</v>
          </cell>
          <cell r="X1105">
            <v>3589</v>
          </cell>
          <cell r="Y1105">
            <v>2</v>
          </cell>
          <cell r="Z1105">
            <v>921.20123203285425</v>
          </cell>
          <cell r="AA1105" t="str">
            <v>1.948X0.035-304L</v>
          </cell>
          <cell r="AB1105" t="str">
            <v>WAAC004950089B200032</v>
          </cell>
          <cell r="AC1105" t="str">
            <v>D2106007</v>
          </cell>
          <cell r="AD1105" t="str">
            <v>0460134</v>
          </cell>
          <cell r="AE1105">
            <v>2.9000000000000001E-2</v>
          </cell>
          <cell r="AF1105">
            <v>1.72</v>
          </cell>
          <cell r="AG1105">
            <v>3.1E-2</v>
          </cell>
          <cell r="AH1105">
            <v>1E-3</v>
          </cell>
          <cell r="AI1105">
            <v>0.32</v>
          </cell>
          <cell r="AJ1105">
            <v>18</v>
          </cell>
          <cell r="AK1105">
            <v>8.1</v>
          </cell>
          <cell r="AL1105">
            <v>7.3999999999999996E-2</v>
          </cell>
          <cell r="AM1105">
            <v>0.37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  <cell r="AR1105">
            <v>0.39</v>
          </cell>
          <cell r="AS1105">
            <v>0</v>
          </cell>
          <cell r="AT1105">
            <v>313</v>
          </cell>
          <cell r="AU1105">
            <v>349</v>
          </cell>
          <cell r="AV1105">
            <v>643</v>
          </cell>
          <cell r="AW1105">
            <v>57</v>
          </cell>
          <cell r="AX1105">
            <v>85</v>
          </cell>
          <cell r="AY1105">
            <v>165</v>
          </cell>
          <cell r="AZ1105">
            <v>1.577</v>
          </cell>
          <cell r="BA1105" t="str">
            <v>D2106007</v>
          </cell>
          <cell r="BB1105" t="str">
            <v>CONFORM</v>
          </cell>
          <cell r="BC1105" t="str">
            <v>CONFORM</v>
          </cell>
          <cell r="BD1105" t="str">
            <v>CONFORM</v>
          </cell>
          <cell r="BE1105" t="str">
            <v>CONFORM</v>
          </cell>
          <cell r="BF1105" t="str">
            <v>CONFORM</v>
          </cell>
        </row>
        <row r="1106">
          <cell r="A1106">
            <v>44350</v>
          </cell>
          <cell r="B1106" t="str">
            <v>D2106007-6</v>
          </cell>
          <cell r="C1106" t="str">
            <v>037/21</v>
          </cell>
          <cell r="D1106">
            <v>1</v>
          </cell>
          <cell r="E1106">
            <v>44337</v>
          </cell>
          <cell r="F1106" t="str">
            <v>DC</v>
          </cell>
          <cell r="G1106" t="str">
            <v>Late</v>
          </cell>
          <cell r="H1106" t="str">
            <v>325 A</v>
          </cell>
          <cell r="I1106">
            <v>44306</v>
          </cell>
          <cell r="J1106" t="str">
            <v>ADTI</v>
          </cell>
          <cell r="K1106" t="str">
            <v>D2106007</v>
          </cell>
          <cell r="L1106">
            <v>6</v>
          </cell>
          <cell r="M1106" t="str">
            <v>A2104086</v>
          </cell>
          <cell r="N1106" t="str">
            <v>0460134</v>
          </cell>
          <cell r="O1106" t="str">
            <v xml:space="preserve">1.4306 TP304L </v>
          </cell>
          <cell r="P1106" t="str">
            <v>304L</v>
          </cell>
          <cell r="Q1106">
            <v>1.948</v>
          </cell>
          <cell r="R1106">
            <v>1.9490000000000001</v>
          </cell>
          <cell r="S1106">
            <v>3.5000000000000003E-2</v>
          </cell>
          <cell r="T1106">
            <v>3.5900000000000001E-2</v>
          </cell>
          <cell r="U1106">
            <v>3.5900000000000001E-2</v>
          </cell>
          <cell r="V1106">
            <v>3.5900000000000001E-2</v>
          </cell>
          <cell r="W1106" t="str">
            <v>BRS</v>
          </cell>
          <cell r="X1106">
            <v>3607</v>
          </cell>
          <cell r="Y1106">
            <v>2</v>
          </cell>
          <cell r="Z1106">
            <v>925.82135523613965</v>
          </cell>
          <cell r="AA1106" t="str">
            <v>1.948X0.035-304L</v>
          </cell>
          <cell r="AB1106" t="str">
            <v>WAAC004950089B200032</v>
          </cell>
          <cell r="AC1106" t="str">
            <v>D2106007</v>
          </cell>
          <cell r="AD1106" t="str">
            <v>0460134</v>
          </cell>
          <cell r="AE1106">
            <v>2.9000000000000001E-2</v>
          </cell>
          <cell r="AF1106">
            <v>1.72</v>
          </cell>
          <cell r="AG1106">
            <v>3.1E-2</v>
          </cell>
          <cell r="AH1106">
            <v>1E-3</v>
          </cell>
          <cell r="AI1106">
            <v>0.32</v>
          </cell>
          <cell r="AJ1106">
            <v>18</v>
          </cell>
          <cell r="AK1106">
            <v>8.1</v>
          </cell>
          <cell r="AL1106">
            <v>7.3999999999999996E-2</v>
          </cell>
          <cell r="AM1106">
            <v>0.37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  <cell r="AR1106">
            <v>0.39</v>
          </cell>
          <cell r="AS1106">
            <v>0</v>
          </cell>
          <cell r="AT1106">
            <v>313</v>
          </cell>
          <cell r="AU1106">
            <v>349</v>
          </cell>
          <cell r="AV1106">
            <v>643</v>
          </cell>
          <cell r="AW1106">
            <v>57</v>
          </cell>
          <cell r="AX1106">
            <v>85</v>
          </cell>
          <cell r="AY1106">
            <v>165</v>
          </cell>
          <cell r="AZ1106">
            <v>1.577</v>
          </cell>
          <cell r="BA1106" t="str">
            <v>D2106007</v>
          </cell>
          <cell r="BB1106" t="str">
            <v>CONFORM</v>
          </cell>
          <cell r="BC1106" t="str">
            <v>CONFORM</v>
          </cell>
          <cell r="BD1106" t="str">
            <v>CONFORM</v>
          </cell>
          <cell r="BE1106" t="str">
            <v>CONFORM</v>
          </cell>
          <cell r="BF1106" t="str">
            <v>CONFORM</v>
          </cell>
        </row>
        <row r="1107">
          <cell r="A1107">
            <v>44350</v>
          </cell>
          <cell r="B1107" t="str">
            <v>D2106007-7</v>
          </cell>
          <cell r="C1107" t="str">
            <v>037/21</v>
          </cell>
          <cell r="D1107">
            <v>1</v>
          </cell>
          <cell r="E1107">
            <v>44337</v>
          </cell>
          <cell r="F1107" t="str">
            <v>DC</v>
          </cell>
          <cell r="G1107" t="str">
            <v>Late</v>
          </cell>
          <cell r="H1107" t="str">
            <v>325 A</v>
          </cell>
          <cell r="I1107">
            <v>44306</v>
          </cell>
          <cell r="J1107" t="str">
            <v>ADTI</v>
          </cell>
          <cell r="K1107" t="str">
            <v>D2106007</v>
          </cell>
          <cell r="L1107">
            <v>7</v>
          </cell>
          <cell r="M1107" t="str">
            <v>A2104086</v>
          </cell>
          <cell r="N1107" t="str">
            <v>0460134</v>
          </cell>
          <cell r="O1107" t="str">
            <v xml:space="preserve">1.4306 TP304L </v>
          </cell>
          <cell r="P1107" t="str">
            <v>304L</v>
          </cell>
          <cell r="Q1107">
            <v>1.948</v>
          </cell>
          <cell r="R1107">
            <v>1.9490000000000001</v>
          </cell>
          <cell r="S1107">
            <v>3.5000000000000003E-2</v>
          </cell>
          <cell r="T1107">
            <v>6.0999999999999999E-2</v>
          </cell>
          <cell r="U1107">
            <v>3.5749999999999997E-2</v>
          </cell>
          <cell r="V1107">
            <v>4.8375000000000001E-2</v>
          </cell>
          <cell r="W1107" t="str">
            <v>BRS</v>
          </cell>
          <cell r="X1107">
            <v>3611</v>
          </cell>
          <cell r="Y1107">
            <v>2</v>
          </cell>
          <cell r="Z1107">
            <v>926.84804928131416</v>
          </cell>
          <cell r="AA1107" t="str">
            <v>1.948X0.035-304L</v>
          </cell>
          <cell r="AB1107" t="str">
            <v>WAAC004950089B200032</v>
          </cell>
          <cell r="AC1107" t="str">
            <v>D2106007</v>
          </cell>
          <cell r="AD1107" t="str">
            <v>0460134</v>
          </cell>
          <cell r="AE1107">
            <v>2.9000000000000001E-2</v>
          </cell>
          <cell r="AF1107">
            <v>1.72</v>
          </cell>
          <cell r="AG1107">
            <v>3.1E-2</v>
          </cell>
          <cell r="AH1107">
            <v>1E-3</v>
          </cell>
          <cell r="AI1107">
            <v>0.32</v>
          </cell>
          <cell r="AJ1107">
            <v>18</v>
          </cell>
          <cell r="AK1107">
            <v>8.1</v>
          </cell>
          <cell r="AL1107">
            <v>7.3999999999999996E-2</v>
          </cell>
          <cell r="AM1107">
            <v>0.37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  <cell r="AR1107">
            <v>0.39</v>
          </cell>
          <cell r="AS1107">
            <v>0</v>
          </cell>
          <cell r="AT1107">
            <v>313</v>
          </cell>
          <cell r="AU1107">
            <v>349</v>
          </cell>
          <cell r="AV1107">
            <v>643</v>
          </cell>
          <cell r="AW1107">
            <v>57</v>
          </cell>
          <cell r="AX1107">
            <v>85</v>
          </cell>
          <cell r="AY1107">
            <v>165</v>
          </cell>
          <cell r="AZ1107">
            <v>1.577</v>
          </cell>
          <cell r="BA1107" t="str">
            <v>D2106007</v>
          </cell>
          <cell r="BB1107" t="str">
            <v>CONFORM</v>
          </cell>
          <cell r="BC1107" t="str">
            <v>CONFORM</v>
          </cell>
          <cell r="BD1107" t="str">
            <v>CONFORM</v>
          </cell>
          <cell r="BE1107" t="str">
            <v>CONFORM</v>
          </cell>
          <cell r="BF1107" t="str">
            <v>CONFORM</v>
          </cell>
        </row>
        <row r="1108">
          <cell r="A1108">
            <v>44350</v>
          </cell>
          <cell r="B1108" t="str">
            <v>D2106007-8</v>
          </cell>
          <cell r="C1108" t="str">
            <v>037/21</v>
          </cell>
          <cell r="D1108">
            <v>1</v>
          </cell>
          <cell r="E1108">
            <v>44337</v>
          </cell>
          <cell r="F1108" t="str">
            <v>DC</v>
          </cell>
          <cell r="G1108" t="str">
            <v>Late</v>
          </cell>
          <cell r="H1108" t="str">
            <v>325 A</v>
          </cell>
          <cell r="I1108">
            <v>44306</v>
          </cell>
          <cell r="J1108" t="str">
            <v>ADTI</v>
          </cell>
          <cell r="K1108" t="str">
            <v>D2106007</v>
          </cell>
          <cell r="L1108">
            <v>8</v>
          </cell>
          <cell r="M1108" t="str">
            <v>A2104086</v>
          </cell>
          <cell r="N1108" t="str">
            <v>0460134</v>
          </cell>
          <cell r="O1108" t="str">
            <v xml:space="preserve">1.4306 TP304L </v>
          </cell>
          <cell r="P1108" t="str">
            <v>304L</v>
          </cell>
          <cell r="Q1108">
            <v>1.948</v>
          </cell>
          <cell r="R1108">
            <v>1.9495</v>
          </cell>
          <cell r="S1108">
            <v>3.5000000000000003E-2</v>
          </cell>
          <cell r="T1108">
            <v>3.56E-2</v>
          </cell>
          <cell r="U1108">
            <v>3.705E-2</v>
          </cell>
          <cell r="V1108">
            <v>3.6324999999999996E-2</v>
          </cell>
          <cell r="W1108" t="str">
            <v>BRS</v>
          </cell>
          <cell r="X1108">
            <v>3611</v>
          </cell>
          <cell r="Y1108">
            <v>2</v>
          </cell>
          <cell r="Z1108">
            <v>926.84804928131416</v>
          </cell>
          <cell r="AA1108" t="str">
            <v>1.948X0.035-304L</v>
          </cell>
          <cell r="AB1108" t="str">
            <v>WAAC004950089B200032</v>
          </cell>
          <cell r="AC1108" t="str">
            <v>D2106007</v>
          </cell>
          <cell r="AD1108" t="str">
            <v>0460134</v>
          </cell>
          <cell r="AE1108">
            <v>2.9000000000000001E-2</v>
          </cell>
          <cell r="AF1108">
            <v>1.72</v>
          </cell>
          <cell r="AG1108">
            <v>3.1E-2</v>
          </cell>
          <cell r="AH1108">
            <v>1E-3</v>
          </cell>
          <cell r="AI1108">
            <v>0.32</v>
          </cell>
          <cell r="AJ1108">
            <v>18</v>
          </cell>
          <cell r="AK1108">
            <v>8.1</v>
          </cell>
          <cell r="AL1108">
            <v>7.3999999999999996E-2</v>
          </cell>
          <cell r="AM1108">
            <v>0.37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  <cell r="AR1108">
            <v>0.39</v>
          </cell>
          <cell r="AS1108">
            <v>0</v>
          </cell>
          <cell r="AT1108">
            <v>313</v>
          </cell>
          <cell r="AU1108">
            <v>349</v>
          </cell>
          <cell r="AV1108">
            <v>643</v>
          </cell>
          <cell r="AW1108">
            <v>57</v>
          </cell>
          <cell r="AX1108">
            <v>85</v>
          </cell>
          <cell r="AY1108">
            <v>165</v>
          </cell>
          <cell r="AZ1108">
            <v>1.577</v>
          </cell>
          <cell r="BA1108" t="str">
            <v>D2106007</v>
          </cell>
          <cell r="BB1108" t="str">
            <v>CONFORM</v>
          </cell>
          <cell r="BC1108" t="str">
            <v>CONFORM</v>
          </cell>
          <cell r="BD1108" t="str">
            <v>CONFORM</v>
          </cell>
          <cell r="BE1108" t="str">
            <v>CONFORM</v>
          </cell>
          <cell r="BF1108" t="str">
            <v>CONFORM</v>
          </cell>
        </row>
        <row r="1109">
          <cell r="A1109">
            <v>44350</v>
          </cell>
          <cell r="B1109" t="str">
            <v>D2106007-9</v>
          </cell>
          <cell r="C1109" t="str">
            <v>037/21</v>
          </cell>
          <cell r="D1109">
            <v>1</v>
          </cell>
          <cell r="E1109">
            <v>44337</v>
          </cell>
          <cell r="F1109" t="str">
            <v>DC</v>
          </cell>
          <cell r="G1109" t="str">
            <v>Late</v>
          </cell>
          <cell r="H1109" t="str">
            <v>325 A</v>
          </cell>
          <cell r="I1109">
            <v>44306</v>
          </cell>
          <cell r="J1109" t="str">
            <v>ADTI</v>
          </cell>
          <cell r="K1109" t="str">
            <v>D2106007</v>
          </cell>
          <cell r="L1109">
            <v>9</v>
          </cell>
          <cell r="M1109" t="str">
            <v>A2104086</v>
          </cell>
          <cell r="N1109" t="str">
            <v>0460134</v>
          </cell>
          <cell r="O1109" t="str">
            <v xml:space="preserve">1.4306 TP304L </v>
          </cell>
          <cell r="P1109" t="str">
            <v>304L</v>
          </cell>
          <cell r="Q1109">
            <v>1.948</v>
          </cell>
          <cell r="R1109">
            <v>1.9490000000000001</v>
          </cell>
          <cell r="S1109">
            <v>3.5000000000000003E-2</v>
          </cell>
          <cell r="T1109">
            <v>3.585E-2</v>
          </cell>
          <cell r="U1109">
            <v>3.755E-2</v>
          </cell>
          <cell r="V1109">
            <v>3.6699999999999997E-2</v>
          </cell>
          <cell r="W1109" t="str">
            <v>BRS</v>
          </cell>
          <cell r="X1109">
            <v>3607</v>
          </cell>
          <cell r="Y1109">
            <v>2</v>
          </cell>
          <cell r="Z1109">
            <v>925.82135523613965</v>
          </cell>
          <cell r="AA1109" t="str">
            <v>1.948X0.035-304L</v>
          </cell>
          <cell r="AB1109" t="str">
            <v>WAAC004950089B200032</v>
          </cell>
          <cell r="AC1109" t="str">
            <v>D2106007</v>
          </cell>
          <cell r="AD1109" t="str">
            <v>0460134</v>
          </cell>
          <cell r="AE1109">
            <v>2.9000000000000001E-2</v>
          </cell>
          <cell r="AF1109">
            <v>1.72</v>
          </cell>
          <cell r="AG1109">
            <v>3.1E-2</v>
          </cell>
          <cell r="AH1109">
            <v>1E-3</v>
          </cell>
          <cell r="AI1109">
            <v>0.32</v>
          </cell>
          <cell r="AJ1109">
            <v>18</v>
          </cell>
          <cell r="AK1109">
            <v>8.1</v>
          </cell>
          <cell r="AL1109">
            <v>7.3999999999999996E-2</v>
          </cell>
          <cell r="AM1109">
            <v>0.37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  <cell r="AR1109">
            <v>0.39</v>
          </cell>
          <cell r="AS1109">
            <v>0</v>
          </cell>
          <cell r="AT1109">
            <v>313</v>
          </cell>
          <cell r="AU1109">
            <v>349</v>
          </cell>
          <cell r="AV1109">
            <v>643</v>
          </cell>
          <cell r="AW1109">
            <v>57</v>
          </cell>
          <cell r="AX1109">
            <v>85</v>
          </cell>
          <cell r="AY1109">
            <v>165</v>
          </cell>
          <cell r="AZ1109">
            <v>1.577</v>
          </cell>
          <cell r="BA1109" t="str">
            <v>D2106007</v>
          </cell>
          <cell r="BB1109" t="str">
            <v>CONFORM</v>
          </cell>
          <cell r="BC1109" t="str">
            <v>CONFORM</v>
          </cell>
          <cell r="BD1109" t="str">
            <v>CONFORM</v>
          </cell>
          <cell r="BE1109" t="str">
            <v>CONFORM</v>
          </cell>
          <cell r="BF1109" t="str">
            <v>CONFORM</v>
          </cell>
        </row>
        <row r="1110">
          <cell r="A1110">
            <v>44350</v>
          </cell>
          <cell r="B1110" t="str">
            <v>D2106007-10</v>
          </cell>
          <cell r="C1110" t="str">
            <v>037/21</v>
          </cell>
          <cell r="D1110">
            <v>1</v>
          </cell>
          <cell r="E1110">
            <v>44337</v>
          </cell>
          <cell r="F1110" t="str">
            <v>DC</v>
          </cell>
          <cell r="G1110" t="str">
            <v>Late</v>
          </cell>
          <cell r="H1110" t="str">
            <v>325 A</v>
          </cell>
          <cell r="I1110">
            <v>44306</v>
          </cell>
          <cell r="J1110" t="str">
            <v>ADTI</v>
          </cell>
          <cell r="K1110" t="str">
            <v>D2106007</v>
          </cell>
          <cell r="L1110">
            <v>10</v>
          </cell>
          <cell r="M1110" t="str">
            <v>A2104086</v>
          </cell>
          <cell r="N1110" t="str">
            <v>0460134</v>
          </cell>
          <cell r="O1110" t="str">
            <v xml:space="preserve">1.4306 TP304L </v>
          </cell>
          <cell r="P1110" t="str">
            <v>304L</v>
          </cell>
          <cell r="Q1110">
            <v>1.948</v>
          </cell>
          <cell r="R1110">
            <v>1.9490000000000001</v>
          </cell>
          <cell r="S1110">
            <v>3.5000000000000003E-2</v>
          </cell>
          <cell r="T1110">
            <v>3.5450000000000002E-2</v>
          </cell>
          <cell r="U1110">
            <v>3.8449999999999998E-2</v>
          </cell>
          <cell r="V1110">
            <v>3.6949999999999997E-2</v>
          </cell>
          <cell r="W1110" t="str">
            <v>BRS</v>
          </cell>
          <cell r="X1110">
            <v>3608</v>
          </cell>
          <cell r="Y1110">
            <v>2</v>
          </cell>
          <cell r="Z1110">
            <v>926.07802874743334</v>
          </cell>
          <cell r="AA1110" t="str">
            <v>1.948X0.035-304L</v>
          </cell>
          <cell r="AB1110" t="str">
            <v>WAAC004950089B200032</v>
          </cell>
          <cell r="AC1110" t="str">
            <v>D2106007</v>
          </cell>
          <cell r="AD1110" t="str">
            <v>0460134</v>
          </cell>
          <cell r="AE1110">
            <v>2.9000000000000001E-2</v>
          </cell>
          <cell r="AF1110">
            <v>1.72</v>
          </cell>
          <cell r="AG1110">
            <v>3.1E-2</v>
          </cell>
          <cell r="AH1110">
            <v>1E-3</v>
          </cell>
          <cell r="AI1110">
            <v>0.32</v>
          </cell>
          <cell r="AJ1110">
            <v>18</v>
          </cell>
          <cell r="AK1110">
            <v>8.1</v>
          </cell>
          <cell r="AL1110">
            <v>7.3999999999999996E-2</v>
          </cell>
          <cell r="AM1110">
            <v>0.37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  <cell r="AR1110">
            <v>0.39</v>
          </cell>
          <cell r="AS1110">
            <v>0</v>
          </cell>
          <cell r="AT1110">
            <v>313</v>
          </cell>
          <cell r="AU1110">
            <v>349</v>
          </cell>
          <cell r="AV1110">
            <v>643</v>
          </cell>
          <cell r="AW1110">
            <v>57</v>
          </cell>
          <cell r="AX1110">
            <v>85</v>
          </cell>
          <cell r="AY1110">
            <v>165</v>
          </cell>
          <cell r="AZ1110">
            <v>1.577</v>
          </cell>
          <cell r="BA1110" t="str">
            <v>D2106007</v>
          </cell>
          <cell r="BB1110" t="str">
            <v>CONFORM</v>
          </cell>
          <cell r="BC1110" t="str">
            <v>CONFORM</v>
          </cell>
          <cell r="BD1110" t="str">
            <v>CONFORM</v>
          </cell>
          <cell r="BE1110" t="str">
            <v>CONFORM</v>
          </cell>
          <cell r="BF1110" t="str">
            <v>CONFORM</v>
          </cell>
        </row>
        <row r="1111">
          <cell r="A1111">
            <v>44350</v>
          </cell>
          <cell r="B1111" t="str">
            <v>D2106008-1</v>
          </cell>
          <cell r="C1111" t="str">
            <v>037/21</v>
          </cell>
          <cell r="D1111">
            <v>1</v>
          </cell>
          <cell r="E1111">
            <v>44337</v>
          </cell>
          <cell r="F1111" t="str">
            <v>DC</v>
          </cell>
          <cell r="G1111" t="str">
            <v>Late</v>
          </cell>
          <cell r="H1111" t="str">
            <v>325 A</v>
          </cell>
          <cell r="I1111">
            <v>44306</v>
          </cell>
          <cell r="J1111" t="str">
            <v>ADTI</v>
          </cell>
          <cell r="K1111" t="str">
            <v>D2106008</v>
          </cell>
          <cell r="L1111">
            <v>1</v>
          </cell>
          <cell r="M1111" t="str">
            <v>A2104087</v>
          </cell>
          <cell r="N1111">
            <v>27646</v>
          </cell>
          <cell r="O1111" t="str">
            <v xml:space="preserve">1.4306 TP304L </v>
          </cell>
          <cell r="P1111" t="str">
            <v>304L</v>
          </cell>
          <cell r="Q1111">
            <v>1.948</v>
          </cell>
          <cell r="R1111">
            <v>1.9495</v>
          </cell>
          <cell r="S1111">
            <v>3.5000000000000003E-2</v>
          </cell>
          <cell r="T1111">
            <v>3.5650000000000001E-2</v>
          </cell>
          <cell r="U1111">
            <v>3.8649999999999997E-2</v>
          </cell>
          <cell r="V1111">
            <v>3.7150000000000002E-2</v>
          </cell>
          <cell r="W1111" t="str">
            <v>BRS</v>
          </cell>
          <cell r="X1111">
            <v>2892</v>
          </cell>
          <cell r="Y1111">
            <v>2</v>
          </cell>
          <cell r="Z1111">
            <v>742.29979466119096</v>
          </cell>
          <cell r="AA1111" t="str">
            <v>1.948X0.035-304L</v>
          </cell>
          <cell r="AB1111" t="str">
            <v>WAAC004950089B200032</v>
          </cell>
          <cell r="AC1111" t="str">
            <v>D2106008</v>
          </cell>
          <cell r="AD1111">
            <v>27646</v>
          </cell>
          <cell r="AE1111">
            <v>2.5999999999999999E-2</v>
          </cell>
          <cell r="AF1111">
            <v>1.56</v>
          </cell>
          <cell r="AG1111">
            <v>3.6999999999999998E-2</v>
          </cell>
          <cell r="AH1111">
            <v>2E-3</v>
          </cell>
          <cell r="AI1111">
            <v>0.43</v>
          </cell>
          <cell r="AJ1111">
            <v>18.2</v>
          </cell>
          <cell r="AK1111">
            <v>8.1</v>
          </cell>
          <cell r="AL1111">
            <v>6.7000000000000004E-2</v>
          </cell>
          <cell r="AM1111">
            <v>0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  <cell r="AR1111">
            <v>0.59</v>
          </cell>
          <cell r="AS1111">
            <v>0</v>
          </cell>
          <cell r="AT1111">
            <v>267</v>
          </cell>
          <cell r="AU1111">
            <v>296</v>
          </cell>
          <cell r="AV1111">
            <v>616</v>
          </cell>
          <cell r="AW1111">
            <v>64</v>
          </cell>
          <cell r="AX1111">
            <v>79</v>
          </cell>
          <cell r="AY1111">
            <v>147</v>
          </cell>
          <cell r="AZ1111">
            <v>1.577</v>
          </cell>
          <cell r="BA1111" t="str">
            <v>D2106008</v>
          </cell>
          <cell r="BB1111" t="str">
            <v>CONFORM</v>
          </cell>
          <cell r="BC1111" t="str">
            <v>CONFORM</v>
          </cell>
          <cell r="BD1111" t="str">
            <v>CONFORM</v>
          </cell>
          <cell r="BE1111" t="str">
            <v>CONFORM</v>
          </cell>
          <cell r="BF1111" t="str">
            <v>CONFORM</v>
          </cell>
        </row>
        <row r="1112">
          <cell r="A1112">
            <v>44350</v>
          </cell>
          <cell r="B1112" t="str">
            <v>D2106008-2</v>
          </cell>
          <cell r="C1112" t="str">
            <v>037/21</v>
          </cell>
          <cell r="D1112">
            <v>1</v>
          </cell>
          <cell r="E1112">
            <v>44337</v>
          </cell>
          <cell r="F1112" t="str">
            <v>DC</v>
          </cell>
          <cell r="G1112" t="str">
            <v>Late</v>
          </cell>
          <cell r="H1112" t="str">
            <v>325 A</v>
          </cell>
          <cell r="I1112">
            <v>44306</v>
          </cell>
          <cell r="J1112" t="str">
            <v>ADTI</v>
          </cell>
          <cell r="K1112" t="str">
            <v>D2106008</v>
          </cell>
          <cell r="L1112">
            <v>2</v>
          </cell>
          <cell r="M1112" t="str">
            <v>A2104087</v>
          </cell>
          <cell r="N1112">
            <v>27646</v>
          </cell>
          <cell r="O1112" t="str">
            <v xml:space="preserve">1.4306 TP304L </v>
          </cell>
          <cell r="P1112" t="str">
            <v>304L</v>
          </cell>
          <cell r="Q1112">
            <v>1.948</v>
          </cell>
          <cell r="R1112">
            <v>1.9475</v>
          </cell>
          <cell r="S1112">
            <v>3.5000000000000003E-2</v>
          </cell>
          <cell r="T1112">
            <v>3.5650000000000001E-2</v>
          </cell>
          <cell r="U1112">
            <v>3.5499999999999997E-2</v>
          </cell>
          <cell r="V1112">
            <v>3.5574999999999996E-2</v>
          </cell>
          <cell r="W1112" t="str">
            <v>BRS</v>
          </cell>
          <cell r="X1112">
            <v>4321</v>
          </cell>
          <cell r="Y1112">
            <v>3</v>
          </cell>
          <cell r="Z1112">
            <v>739.39082819986311</v>
          </cell>
          <cell r="AA1112" t="str">
            <v>1.948X0.035-304L</v>
          </cell>
          <cell r="AB1112" t="str">
            <v>WAAC004950089B200032</v>
          </cell>
          <cell r="AC1112" t="str">
            <v>D2106008</v>
          </cell>
          <cell r="AD1112">
            <v>27646</v>
          </cell>
          <cell r="AE1112">
            <v>2.5999999999999999E-2</v>
          </cell>
          <cell r="AF1112">
            <v>1.56</v>
          </cell>
          <cell r="AG1112">
            <v>3.6999999999999998E-2</v>
          </cell>
          <cell r="AH1112">
            <v>2E-3</v>
          </cell>
          <cell r="AI1112">
            <v>0.43</v>
          </cell>
          <cell r="AJ1112">
            <v>18.2</v>
          </cell>
          <cell r="AK1112">
            <v>8.1</v>
          </cell>
          <cell r="AL1112">
            <v>6.7000000000000004E-2</v>
          </cell>
          <cell r="AM1112">
            <v>0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  <cell r="AR1112">
            <v>0.59</v>
          </cell>
          <cell r="AS1112">
            <v>0</v>
          </cell>
          <cell r="AT1112">
            <v>267</v>
          </cell>
          <cell r="AU1112">
            <v>296</v>
          </cell>
          <cell r="AV1112">
            <v>616</v>
          </cell>
          <cell r="AW1112">
            <v>64</v>
          </cell>
          <cell r="AX1112">
            <v>79</v>
          </cell>
          <cell r="AY1112">
            <v>147</v>
          </cell>
          <cell r="AZ1112">
            <v>1.577</v>
          </cell>
          <cell r="BA1112" t="str">
            <v>D2106008</v>
          </cell>
          <cell r="BB1112" t="str">
            <v>CONFORM</v>
          </cell>
          <cell r="BC1112" t="str">
            <v>CONFORM</v>
          </cell>
          <cell r="BD1112" t="str">
            <v>CONFORM</v>
          </cell>
          <cell r="BE1112" t="str">
            <v>CONFORM</v>
          </cell>
          <cell r="BF1112" t="str">
            <v>CONFORM</v>
          </cell>
        </row>
        <row r="1113">
          <cell r="A1113">
            <v>44354</v>
          </cell>
          <cell r="B1113" t="str">
            <v>D2106043-1</v>
          </cell>
          <cell r="C1113" t="str">
            <v>049/21</v>
          </cell>
          <cell r="D1113">
            <v>1</v>
          </cell>
          <cell r="E1113">
            <v>44357</v>
          </cell>
          <cell r="F1113" t="str">
            <v>SO</v>
          </cell>
          <cell r="G1113" t="str">
            <v>On Time</v>
          </cell>
          <cell r="H1113" t="str">
            <v>180955-1</v>
          </cell>
          <cell r="I1113">
            <v>44350</v>
          </cell>
          <cell r="J1113" t="str">
            <v>UPMET</v>
          </cell>
          <cell r="K1113" t="str">
            <v>D2106043</v>
          </cell>
          <cell r="L1113">
            <v>1</v>
          </cell>
          <cell r="M1113" t="str">
            <v>AAD18515</v>
          </cell>
          <cell r="N1113">
            <v>529837</v>
          </cell>
          <cell r="O1113" t="str">
            <v>2.4856 UNS N06625</v>
          </cell>
          <cell r="P1113" t="str">
            <v>A625</v>
          </cell>
          <cell r="Q1113">
            <v>3.1539999999999999</v>
          </cell>
          <cell r="R1113">
            <v>3.1539999999999999</v>
          </cell>
          <cell r="S1113">
            <v>3.5999999999999997E-2</v>
          </cell>
          <cell r="T1113">
            <v>3.4200000000000001E-2</v>
          </cell>
          <cell r="U1113">
            <v>3.3700000000000001E-2</v>
          </cell>
          <cell r="V1113">
            <v>3.3950000000000001E-2</v>
          </cell>
          <cell r="W1113" t="str">
            <v>BRS</v>
          </cell>
          <cell r="X1113">
            <v>1379</v>
          </cell>
          <cell r="Y1113">
            <v>4</v>
          </cell>
          <cell r="Z1113">
            <v>109.30564362714014</v>
          </cell>
          <cell r="AA1113" t="str">
            <v>3.154X0.036-A625</v>
          </cell>
          <cell r="AB1113" t="str">
            <v>WABG008000092B900136</v>
          </cell>
          <cell r="AC1113" t="str">
            <v>D2106043</v>
          </cell>
          <cell r="AD1113">
            <v>529837</v>
          </cell>
          <cell r="AE1113">
            <v>0.04</v>
          </cell>
          <cell r="AF1113">
            <v>0.32</v>
          </cell>
          <cell r="AG1113">
            <v>8.0000000000000002E-3</v>
          </cell>
          <cell r="AH1113">
            <v>2.0000000000000001E-4</v>
          </cell>
          <cell r="AI1113">
            <v>0.16</v>
          </cell>
          <cell r="AJ1113">
            <v>22.1</v>
          </cell>
          <cell r="AK1113">
            <v>60.8</v>
          </cell>
          <cell r="AL1113">
            <v>0</v>
          </cell>
          <cell r="AM1113">
            <v>8.39</v>
          </cell>
          <cell r="AN1113">
            <v>4.1900000000000004</v>
          </cell>
          <cell r="AO1113">
            <v>0.26</v>
          </cell>
          <cell r="AP1113">
            <v>3.37</v>
          </cell>
          <cell r="AQ1113">
            <v>0.01</v>
          </cell>
          <cell r="AR1113">
            <v>0.08</v>
          </cell>
          <cell r="AS1113">
            <v>0.22</v>
          </cell>
          <cell r="AT1113">
            <v>457</v>
          </cell>
          <cell r="AU1113">
            <v>0</v>
          </cell>
          <cell r="AV1113">
            <v>936</v>
          </cell>
          <cell r="AW1113">
            <v>52</v>
          </cell>
          <cell r="AX1113">
            <v>75</v>
          </cell>
          <cell r="AY1113">
            <v>137</v>
          </cell>
          <cell r="AZ1113">
            <v>6.15</v>
          </cell>
          <cell r="BA1113" t="str">
            <v>D2106043</v>
          </cell>
          <cell r="BB1113" t="str">
            <v>CONFORM</v>
          </cell>
          <cell r="BC1113" t="str">
            <v>CONFORM</v>
          </cell>
          <cell r="BD1113" t="str">
            <v>CONFORM</v>
          </cell>
          <cell r="BE1113" t="str">
            <v>CONFORM</v>
          </cell>
          <cell r="BF1113" t="str">
            <v>CONFORM</v>
          </cell>
        </row>
        <row r="1114">
          <cell r="A1114">
            <v>44354</v>
          </cell>
          <cell r="B1114" t="str">
            <v>D2106043-2</v>
          </cell>
          <cell r="C1114" t="str">
            <v>049/21</v>
          </cell>
          <cell r="D1114">
            <v>1</v>
          </cell>
          <cell r="E1114">
            <v>44357</v>
          </cell>
          <cell r="F1114" t="str">
            <v>SO</v>
          </cell>
          <cell r="G1114" t="str">
            <v>On Time</v>
          </cell>
          <cell r="H1114" t="str">
            <v>180955-1</v>
          </cell>
          <cell r="I1114">
            <v>44350</v>
          </cell>
          <cell r="J1114" t="str">
            <v>UPMET</v>
          </cell>
          <cell r="K1114" t="str">
            <v>D2106043</v>
          </cell>
          <cell r="L1114">
            <v>2</v>
          </cell>
          <cell r="M1114" t="str">
            <v>AAD18515</v>
          </cell>
          <cell r="N1114">
            <v>529837</v>
          </cell>
          <cell r="O1114" t="str">
            <v>2.4856 UNS N06625</v>
          </cell>
          <cell r="P1114" t="str">
            <v>A625</v>
          </cell>
          <cell r="Q1114">
            <v>3.1539999999999999</v>
          </cell>
          <cell r="R1114">
            <v>3.1539999999999999</v>
          </cell>
          <cell r="S1114">
            <v>3.5999999999999997E-2</v>
          </cell>
          <cell r="T1114">
            <v>3.4700000000000002E-2</v>
          </cell>
          <cell r="U1114">
            <v>3.4599999999999999E-2</v>
          </cell>
          <cell r="V1114">
            <v>3.465E-2</v>
          </cell>
          <cell r="W1114" t="str">
            <v>BRS</v>
          </cell>
          <cell r="X1114">
            <v>1383</v>
          </cell>
          <cell r="Y1114">
            <v>4</v>
          </cell>
          <cell r="Z1114">
            <v>109.62270133164236</v>
          </cell>
          <cell r="AA1114" t="str">
            <v>3.154X0.036-A625</v>
          </cell>
          <cell r="AB1114" t="str">
            <v>WABG008000092B900136</v>
          </cell>
          <cell r="AC1114" t="str">
            <v>D2106043</v>
          </cell>
          <cell r="AD1114">
            <v>529837</v>
          </cell>
          <cell r="AE1114">
            <v>0.04</v>
          </cell>
          <cell r="AF1114">
            <v>0.32</v>
          </cell>
          <cell r="AG1114">
            <v>8.0000000000000002E-3</v>
          </cell>
          <cell r="AH1114">
            <v>2.0000000000000001E-4</v>
          </cell>
          <cell r="AI1114">
            <v>0.16</v>
          </cell>
          <cell r="AJ1114">
            <v>22.1</v>
          </cell>
          <cell r="AK1114">
            <v>60.8</v>
          </cell>
          <cell r="AL1114">
            <v>0</v>
          </cell>
          <cell r="AM1114">
            <v>8.39</v>
          </cell>
          <cell r="AN1114">
            <v>4.1900000000000004</v>
          </cell>
          <cell r="AO1114">
            <v>0.26</v>
          </cell>
          <cell r="AP1114">
            <v>3.37</v>
          </cell>
          <cell r="AQ1114">
            <v>0.01</v>
          </cell>
          <cell r="AR1114">
            <v>0.08</v>
          </cell>
          <cell r="AS1114">
            <v>0.22</v>
          </cell>
          <cell r="AT1114">
            <v>457</v>
          </cell>
          <cell r="AU1114">
            <v>0</v>
          </cell>
          <cell r="AV1114">
            <v>936</v>
          </cell>
          <cell r="AW1114">
            <v>52</v>
          </cell>
          <cell r="AX1114">
            <v>75</v>
          </cell>
          <cell r="AY1114">
            <v>137</v>
          </cell>
          <cell r="AZ1114">
            <v>6.15</v>
          </cell>
          <cell r="BA1114" t="str">
            <v>D2106043</v>
          </cell>
          <cell r="BB1114" t="str">
            <v>CONFORM</v>
          </cell>
          <cell r="BC1114" t="str">
            <v>CONFORM</v>
          </cell>
          <cell r="BD1114" t="str">
            <v>CONFORM</v>
          </cell>
          <cell r="BE1114" t="str">
            <v>CONFORM</v>
          </cell>
          <cell r="BF1114" t="str">
            <v>CONFORM</v>
          </cell>
        </row>
        <row r="1115">
          <cell r="A1115">
            <v>44354</v>
          </cell>
          <cell r="B1115" t="str">
            <v>D2106043-3</v>
          </cell>
          <cell r="C1115" t="str">
            <v>049/21</v>
          </cell>
          <cell r="D1115">
            <v>1</v>
          </cell>
          <cell r="E1115">
            <v>44357</v>
          </cell>
          <cell r="F1115" t="str">
            <v>SO</v>
          </cell>
          <cell r="G1115" t="str">
            <v>On Time</v>
          </cell>
          <cell r="H1115" t="str">
            <v>180955-1</v>
          </cell>
          <cell r="I1115">
            <v>44350</v>
          </cell>
          <cell r="J1115" t="str">
            <v>UPMET</v>
          </cell>
          <cell r="K1115" t="str">
            <v>D2106043</v>
          </cell>
          <cell r="L1115">
            <v>3</v>
          </cell>
          <cell r="M1115" t="str">
            <v>AAD18515</v>
          </cell>
          <cell r="N1115">
            <v>529837</v>
          </cell>
          <cell r="O1115" t="str">
            <v>2.4856 UNS N06625</v>
          </cell>
          <cell r="P1115" t="str">
            <v>A625</v>
          </cell>
          <cell r="Q1115">
            <v>3.1539999999999999</v>
          </cell>
          <cell r="R1115">
            <v>3.1539999999999999</v>
          </cell>
          <cell r="S1115">
            <v>3.5999999999999997E-2</v>
          </cell>
          <cell r="T1115">
            <v>3.6549999999999999E-2</v>
          </cell>
          <cell r="U1115">
            <v>3.5249999999999997E-2</v>
          </cell>
          <cell r="V1115">
            <v>3.5900000000000001E-2</v>
          </cell>
          <cell r="W1115" t="str">
            <v>BRS</v>
          </cell>
          <cell r="X1115">
            <v>1377</v>
          </cell>
          <cell r="Y1115">
            <v>4</v>
          </cell>
          <cell r="Z1115">
            <v>109.14711477488903</v>
          </cell>
          <cell r="AA1115" t="str">
            <v>3.154X0.036-A625</v>
          </cell>
          <cell r="AB1115" t="str">
            <v>WABG008000092B900136</v>
          </cell>
          <cell r="AC1115" t="str">
            <v>D2106043</v>
          </cell>
          <cell r="AD1115">
            <v>529837</v>
          </cell>
          <cell r="AE1115">
            <v>0.04</v>
          </cell>
          <cell r="AF1115">
            <v>0.32</v>
          </cell>
          <cell r="AG1115">
            <v>8.0000000000000002E-3</v>
          </cell>
          <cell r="AH1115">
            <v>2.0000000000000001E-4</v>
          </cell>
          <cell r="AI1115">
            <v>0.16</v>
          </cell>
          <cell r="AJ1115">
            <v>22.1</v>
          </cell>
          <cell r="AK1115">
            <v>60.8</v>
          </cell>
          <cell r="AL1115">
            <v>0</v>
          </cell>
          <cell r="AM1115">
            <v>8.39</v>
          </cell>
          <cell r="AN1115">
            <v>4.1900000000000004</v>
          </cell>
          <cell r="AO1115">
            <v>0.26</v>
          </cell>
          <cell r="AP1115">
            <v>3.37</v>
          </cell>
          <cell r="AQ1115">
            <v>0.01</v>
          </cell>
          <cell r="AR1115">
            <v>0.08</v>
          </cell>
          <cell r="AS1115">
            <v>0.22</v>
          </cell>
          <cell r="AT1115">
            <v>457</v>
          </cell>
          <cell r="AU1115">
            <v>0</v>
          </cell>
          <cell r="AV1115">
            <v>936</v>
          </cell>
          <cell r="AW1115">
            <v>52</v>
          </cell>
          <cell r="AX1115">
            <v>75</v>
          </cell>
          <cell r="AY1115">
            <v>137</v>
          </cell>
          <cell r="AZ1115">
            <v>6.15</v>
          </cell>
          <cell r="BA1115" t="str">
            <v>D2106043</v>
          </cell>
          <cell r="BB1115" t="str">
            <v>CONFORM</v>
          </cell>
          <cell r="BC1115" t="str">
            <v>CONFORM</v>
          </cell>
          <cell r="BD1115" t="str">
            <v>CONFORM</v>
          </cell>
          <cell r="BE1115" t="str">
            <v>CONFORM</v>
          </cell>
          <cell r="BF1115" t="str">
            <v>CONFORM</v>
          </cell>
        </row>
        <row r="1116">
          <cell r="A1116">
            <v>44354</v>
          </cell>
          <cell r="B1116" t="str">
            <v>D2106044-1</v>
          </cell>
          <cell r="C1116" t="str">
            <v>049/21</v>
          </cell>
          <cell r="D1116">
            <v>1</v>
          </cell>
          <cell r="E1116">
            <v>44357</v>
          </cell>
          <cell r="F1116" t="str">
            <v>SO</v>
          </cell>
          <cell r="G1116" t="str">
            <v>On Time</v>
          </cell>
          <cell r="H1116" t="str">
            <v>180955-1</v>
          </cell>
          <cell r="I1116">
            <v>44350</v>
          </cell>
          <cell r="J1116" t="str">
            <v>UPMET</v>
          </cell>
          <cell r="K1116" t="str">
            <v>D2106044</v>
          </cell>
          <cell r="L1116">
            <v>1</v>
          </cell>
          <cell r="M1116">
            <v>56429</v>
          </cell>
          <cell r="N1116" t="str">
            <v>NX6255AG</v>
          </cell>
          <cell r="O1116" t="str">
            <v>2.4856 UNS N06625</v>
          </cell>
          <cell r="P1116" t="str">
            <v>A625</v>
          </cell>
          <cell r="Q1116">
            <v>3.1539999999999999</v>
          </cell>
          <cell r="R1116">
            <v>3.1560000000000001</v>
          </cell>
          <cell r="S1116">
            <v>3.5999999999999997E-2</v>
          </cell>
          <cell r="T1116">
            <v>3.6299999999999999E-2</v>
          </cell>
          <cell r="U1116">
            <v>3.61E-2</v>
          </cell>
          <cell r="V1116">
            <v>3.6199999999999996E-2</v>
          </cell>
          <cell r="W1116" t="str">
            <v>BRS</v>
          </cell>
          <cell r="X1116">
            <v>1287</v>
          </cell>
          <cell r="Y1116">
            <v>4</v>
          </cell>
          <cell r="Z1116">
            <v>102.0133164235891</v>
          </cell>
          <cell r="AA1116" t="str">
            <v>3.154X0.036-A625</v>
          </cell>
          <cell r="AB1116" t="str">
            <v>WABG008000092B900136</v>
          </cell>
          <cell r="AC1116" t="str">
            <v>D2106044</v>
          </cell>
          <cell r="AD1116" t="str">
            <v>NX6255AG</v>
          </cell>
          <cell r="AE1116">
            <v>0.02</v>
          </cell>
          <cell r="AF1116">
            <v>0.14000000000000001</v>
          </cell>
          <cell r="AG1116">
            <v>6.0000000000000001E-3</v>
          </cell>
          <cell r="AH1116">
            <v>2.0000000000000001E-4</v>
          </cell>
          <cell r="AI1116">
            <v>0.12</v>
          </cell>
          <cell r="AJ1116">
            <v>22.6</v>
          </cell>
          <cell r="AK1116">
            <v>59.9</v>
          </cell>
          <cell r="AL1116">
            <v>0</v>
          </cell>
          <cell r="AM1116">
            <v>8.98</v>
          </cell>
          <cell r="AN1116">
            <v>4.05</v>
          </cell>
          <cell r="AO1116">
            <v>0.11</v>
          </cell>
          <cell r="AP1116">
            <v>3.47</v>
          </cell>
          <cell r="AQ1116">
            <v>1E-3</v>
          </cell>
          <cell r="AR1116">
            <v>0</v>
          </cell>
          <cell r="AS1116">
            <v>0.24</v>
          </cell>
          <cell r="AT1116">
            <v>576</v>
          </cell>
          <cell r="AU1116">
            <v>0</v>
          </cell>
          <cell r="AV1116">
            <v>951</v>
          </cell>
          <cell r="AW1116">
            <v>48</v>
          </cell>
          <cell r="AX1116">
            <v>80</v>
          </cell>
          <cell r="AY1116">
            <v>150</v>
          </cell>
          <cell r="AZ1116">
            <v>6.15</v>
          </cell>
          <cell r="BA1116" t="str">
            <v>D2106044</v>
          </cell>
          <cell r="BB1116" t="str">
            <v>CONFORM</v>
          </cell>
          <cell r="BC1116" t="str">
            <v>CONFORM</v>
          </cell>
          <cell r="BD1116" t="str">
            <v>CONFORM</v>
          </cell>
          <cell r="BE1116" t="str">
            <v>CONFORM</v>
          </cell>
          <cell r="BF1116" t="str">
            <v>CONFORM</v>
          </cell>
        </row>
        <row r="1117">
          <cell r="A1117">
            <v>44354</v>
          </cell>
          <cell r="B1117" t="str">
            <v>D2106044-2</v>
          </cell>
          <cell r="C1117" t="str">
            <v>049/21</v>
          </cell>
          <cell r="D1117">
            <v>1</v>
          </cell>
          <cell r="E1117">
            <v>44357</v>
          </cell>
          <cell r="F1117" t="str">
            <v>SO</v>
          </cell>
          <cell r="G1117" t="str">
            <v>On Time</v>
          </cell>
          <cell r="H1117" t="str">
            <v>180955-1</v>
          </cell>
          <cell r="I1117">
            <v>44350</v>
          </cell>
          <cell r="J1117" t="str">
            <v>UPMET</v>
          </cell>
          <cell r="K1117" t="str">
            <v>D2106044</v>
          </cell>
          <cell r="L1117">
            <v>2</v>
          </cell>
          <cell r="M1117">
            <v>56429</v>
          </cell>
          <cell r="N1117" t="str">
            <v>NX6255AG</v>
          </cell>
          <cell r="O1117" t="str">
            <v>2.4856 UNS N06625</v>
          </cell>
          <cell r="P1117" t="str">
            <v>A625</v>
          </cell>
          <cell r="Q1117">
            <v>3.1539999999999999</v>
          </cell>
          <cell r="R1117">
            <v>3.1539999999999999</v>
          </cell>
          <cell r="S1117">
            <v>3.5999999999999997E-2</v>
          </cell>
          <cell r="T1117">
            <v>3.5999999999999997E-2</v>
          </cell>
          <cell r="U1117">
            <v>3.6200000000000003E-2</v>
          </cell>
          <cell r="V1117">
            <v>3.61E-2</v>
          </cell>
          <cell r="W1117" t="str">
            <v>BRS</v>
          </cell>
          <cell r="X1117">
            <v>1338</v>
          </cell>
          <cell r="Y1117">
            <v>4</v>
          </cell>
          <cell r="Z1117">
            <v>106.0558021559924</v>
          </cell>
          <cell r="AA1117" t="str">
            <v>3.154X0.036-A625</v>
          </cell>
          <cell r="AB1117" t="str">
            <v>WABG008000092B900136</v>
          </cell>
          <cell r="AC1117" t="str">
            <v>D2106044</v>
          </cell>
          <cell r="AD1117" t="str">
            <v>NX6255AG</v>
          </cell>
          <cell r="AE1117">
            <v>0.02</v>
          </cell>
          <cell r="AF1117">
            <v>0.14000000000000001</v>
          </cell>
          <cell r="AG1117">
            <v>6.0000000000000001E-3</v>
          </cell>
          <cell r="AH1117">
            <v>2.0000000000000001E-4</v>
          </cell>
          <cell r="AI1117">
            <v>0.12</v>
          </cell>
          <cell r="AJ1117">
            <v>22.6</v>
          </cell>
          <cell r="AK1117">
            <v>59.9</v>
          </cell>
          <cell r="AL1117">
            <v>0</v>
          </cell>
          <cell r="AM1117">
            <v>8.98</v>
          </cell>
          <cell r="AN1117">
            <v>4.05</v>
          </cell>
          <cell r="AO1117">
            <v>0.11</v>
          </cell>
          <cell r="AP1117">
            <v>3.47</v>
          </cell>
          <cell r="AQ1117">
            <v>1E-3</v>
          </cell>
          <cell r="AR1117">
            <v>0</v>
          </cell>
          <cell r="AS1117">
            <v>0.24</v>
          </cell>
          <cell r="AT1117">
            <v>576</v>
          </cell>
          <cell r="AU1117">
            <v>0</v>
          </cell>
          <cell r="AV1117">
            <v>951</v>
          </cell>
          <cell r="AW1117">
            <v>48</v>
          </cell>
          <cell r="AX1117">
            <v>80</v>
          </cell>
          <cell r="AY1117">
            <v>150</v>
          </cell>
          <cell r="AZ1117">
            <v>6.15</v>
          </cell>
          <cell r="BA1117" t="str">
            <v>D2106044</v>
          </cell>
          <cell r="BB1117" t="str">
            <v>CONFORM</v>
          </cell>
          <cell r="BC1117" t="str">
            <v>CONFORM</v>
          </cell>
          <cell r="BD1117" t="str">
            <v>CONFORM</v>
          </cell>
          <cell r="BE1117" t="str">
            <v>CONFORM</v>
          </cell>
          <cell r="BF1117" t="str">
            <v>CONFORM</v>
          </cell>
        </row>
        <row r="1118">
          <cell r="A1118">
            <v>44354</v>
          </cell>
          <cell r="B1118" t="str">
            <v>D2106044-3</v>
          </cell>
          <cell r="C1118" t="str">
            <v>049/21</v>
          </cell>
          <cell r="D1118">
            <v>1</v>
          </cell>
          <cell r="E1118">
            <v>44357</v>
          </cell>
          <cell r="F1118" t="str">
            <v>SO</v>
          </cell>
          <cell r="G1118" t="str">
            <v>On Time</v>
          </cell>
          <cell r="H1118" t="str">
            <v>180955-1</v>
          </cell>
          <cell r="I1118">
            <v>44350</v>
          </cell>
          <cell r="J1118" t="str">
            <v>UPMET</v>
          </cell>
          <cell r="K1118" t="str">
            <v>D2106044</v>
          </cell>
          <cell r="L1118">
            <v>3</v>
          </cell>
          <cell r="M1118">
            <v>56429</v>
          </cell>
          <cell r="N1118" t="str">
            <v>NX6255AG</v>
          </cell>
          <cell r="O1118" t="str">
            <v>2.4856 UNS N06625</v>
          </cell>
          <cell r="P1118" t="str">
            <v>A625</v>
          </cell>
          <cell r="Q1118">
            <v>3.1539999999999999</v>
          </cell>
          <cell r="R1118">
            <v>3.1560000000000001</v>
          </cell>
          <cell r="S1118">
            <v>3.5999999999999997E-2</v>
          </cell>
          <cell r="T1118">
            <v>3.6400000000000002E-2</v>
          </cell>
          <cell r="U1118">
            <v>3.5749999999999997E-2</v>
          </cell>
          <cell r="V1118">
            <v>3.6074999999999996E-2</v>
          </cell>
          <cell r="W1118" t="str">
            <v>BRS</v>
          </cell>
          <cell r="X1118">
            <v>999</v>
          </cell>
          <cell r="Y1118">
            <v>3</v>
          </cell>
          <cell r="Z1118">
            <v>105.58021559923907</v>
          </cell>
          <cell r="AA1118" t="str">
            <v>3.154X0.036-A625</v>
          </cell>
          <cell r="AB1118" t="str">
            <v>WABG008000092B900136</v>
          </cell>
          <cell r="AC1118" t="str">
            <v>D2106044</v>
          </cell>
          <cell r="AD1118" t="str">
            <v>NX6255AG</v>
          </cell>
          <cell r="AE1118">
            <v>0.02</v>
          </cell>
          <cell r="AF1118">
            <v>0.14000000000000001</v>
          </cell>
          <cell r="AG1118">
            <v>6.0000000000000001E-3</v>
          </cell>
          <cell r="AH1118">
            <v>2.0000000000000001E-4</v>
          </cell>
          <cell r="AI1118">
            <v>0.12</v>
          </cell>
          <cell r="AJ1118">
            <v>22.6</v>
          </cell>
          <cell r="AK1118">
            <v>59.9</v>
          </cell>
          <cell r="AL1118">
            <v>0</v>
          </cell>
          <cell r="AM1118">
            <v>8.98</v>
          </cell>
          <cell r="AN1118">
            <v>4.05</v>
          </cell>
          <cell r="AO1118">
            <v>0.11</v>
          </cell>
          <cell r="AP1118">
            <v>3.47</v>
          </cell>
          <cell r="AQ1118">
            <v>1E-3</v>
          </cell>
          <cell r="AR1118">
            <v>0</v>
          </cell>
          <cell r="AS1118">
            <v>0.24</v>
          </cell>
          <cell r="AT1118">
            <v>576</v>
          </cell>
          <cell r="AU1118">
            <v>0</v>
          </cell>
          <cell r="AV1118">
            <v>951</v>
          </cell>
          <cell r="AW1118">
            <v>48</v>
          </cell>
          <cell r="AX1118">
            <v>80</v>
          </cell>
          <cell r="AY1118">
            <v>150</v>
          </cell>
          <cell r="AZ1118">
            <v>6.15</v>
          </cell>
          <cell r="BA1118" t="str">
            <v>D2106044</v>
          </cell>
          <cell r="BB1118" t="str">
            <v>CONFORM</v>
          </cell>
          <cell r="BC1118" t="str">
            <v>CONFORM</v>
          </cell>
          <cell r="BD1118" t="str">
            <v>CONFORM</v>
          </cell>
          <cell r="BE1118" t="str">
            <v>CONFORM</v>
          </cell>
          <cell r="BF1118" t="str">
            <v>CONFORM</v>
          </cell>
        </row>
        <row r="1119">
          <cell r="A1119">
            <v>44355</v>
          </cell>
          <cell r="B1119" t="str">
            <v>D2106045-1</v>
          </cell>
          <cell r="C1119" t="str">
            <v>046/21</v>
          </cell>
          <cell r="D1119">
            <v>1</v>
          </cell>
          <cell r="E1119">
            <v>44351</v>
          </cell>
          <cell r="F1119" t="str">
            <v>DC</v>
          </cell>
          <cell r="G1119" t="str">
            <v>On Time</v>
          </cell>
          <cell r="H1119">
            <v>389</v>
          </cell>
          <cell r="I1119">
            <v>44327</v>
          </cell>
          <cell r="J1119" t="str">
            <v>ADTI</v>
          </cell>
          <cell r="K1119" t="str">
            <v>D2106045</v>
          </cell>
          <cell r="L1119">
            <v>1</v>
          </cell>
          <cell r="M1119" t="str">
            <v>A2105049</v>
          </cell>
          <cell r="N1119">
            <v>19454</v>
          </cell>
          <cell r="O1119" t="str">
            <v xml:space="preserve">1.4306 TP304L </v>
          </cell>
          <cell r="P1119" t="str">
            <v>304L</v>
          </cell>
          <cell r="Q1119">
            <v>1.913</v>
          </cell>
          <cell r="R1119">
            <v>1.9119999999999999</v>
          </cell>
          <cell r="S1119">
            <v>4.7E-2</v>
          </cell>
          <cell r="T1119">
            <v>4.6379999999999998E-2</v>
          </cell>
          <cell r="U1119">
            <v>4.6800000000000001E-2</v>
          </cell>
          <cell r="V1119">
            <v>4.6589999999999999E-2</v>
          </cell>
          <cell r="W1119" t="str">
            <v>BRS</v>
          </cell>
          <cell r="X1119">
            <v>1376</v>
          </cell>
          <cell r="Y1119">
            <v>1</v>
          </cell>
          <cell r="Z1119">
            <v>719.28907475169888</v>
          </cell>
          <cell r="AA1119" t="str">
            <v>1.913X0.047-304L</v>
          </cell>
          <cell r="AB1119" t="str">
            <v>WAAC004860119B300023</v>
          </cell>
          <cell r="AC1119" t="str">
            <v>D2106045</v>
          </cell>
          <cell r="AD1119">
            <v>19454</v>
          </cell>
          <cell r="AE1119">
            <v>2.3E-2</v>
          </cell>
          <cell r="AF1119">
            <v>1.55</v>
          </cell>
          <cell r="AG1119">
            <v>3.2000000000000001E-2</v>
          </cell>
          <cell r="AH1119">
            <v>1E-3</v>
          </cell>
          <cell r="AI1119">
            <v>0.39</v>
          </cell>
          <cell r="AJ1119">
            <v>18.399999999999999</v>
          </cell>
          <cell r="AK1119">
            <v>8</v>
          </cell>
          <cell r="AL1119">
            <v>5.8999999999999997E-2</v>
          </cell>
          <cell r="AM1119">
            <v>0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  <cell r="AR1119">
            <v>0</v>
          </cell>
          <cell r="AS1119">
            <v>0</v>
          </cell>
          <cell r="AT1119">
            <v>275</v>
          </cell>
          <cell r="AU1119">
            <v>307</v>
          </cell>
          <cell r="AV1119">
            <v>614</v>
          </cell>
          <cell r="AW1119">
            <v>61</v>
          </cell>
          <cell r="AX1119">
            <v>81</v>
          </cell>
          <cell r="AY1119">
            <v>153</v>
          </cell>
          <cell r="AZ1119">
            <v>1.7058</v>
          </cell>
          <cell r="BA1119" t="str">
            <v>D2106045</v>
          </cell>
          <cell r="BB1119" t="str">
            <v>CONFORM</v>
          </cell>
          <cell r="BC1119" t="str">
            <v>CONFORM</v>
          </cell>
          <cell r="BD1119" t="str">
            <v>CONFORM</v>
          </cell>
          <cell r="BE1119" t="str">
            <v>CONFORM</v>
          </cell>
          <cell r="BF1119" t="str">
            <v>CONFORM</v>
          </cell>
        </row>
        <row r="1120">
          <cell r="A1120">
            <v>44355</v>
          </cell>
          <cell r="B1120" t="str">
            <v>D2106045-2</v>
          </cell>
          <cell r="C1120" t="str">
            <v>046/21</v>
          </cell>
          <cell r="D1120">
            <v>1</v>
          </cell>
          <cell r="E1120">
            <v>44351</v>
          </cell>
          <cell r="F1120" t="str">
            <v>DC</v>
          </cell>
          <cell r="G1120" t="str">
            <v>On Time</v>
          </cell>
          <cell r="H1120">
            <v>389</v>
          </cell>
          <cell r="I1120">
            <v>44327</v>
          </cell>
          <cell r="J1120" t="str">
            <v>ADTI</v>
          </cell>
          <cell r="K1120" t="str">
            <v>D2106045</v>
          </cell>
          <cell r="L1120">
            <v>2</v>
          </cell>
          <cell r="M1120" t="str">
            <v>A2105049</v>
          </cell>
          <cell r="N1120">
            <v>19454</v>
          </cell>
          <cell r="O1120" t="str">
            <v xml:space="preserve">1.4306 TP304L </v>
          </cell>
          <cell r="P1120" t="str">
            <v>304L</v>
          </cell>
          <cell r="Q1120">
            <v>1.913</v>
          </cell>
          <cell r="R1120">
            <v>1.9135</v>
          </cell>
          <cell r="S1120">
            <v>4.7E-2</v>
          </cell>
          <cell r="T1120">
            <v>4.6100000000000002E-2</v>
          </cell>
          <cell r="U1120">
            <v>4.6249999999999999E-2</v>
          </cell>
          <cell r="V1120">
            <v>4.6175000000000001E-2</v>
          </cell>
          <cell r="W1120" t="str">
            <v>BRS</v>
          </cell>
          <cell r="X1120">
            <v>1393</v>
          </cell>
          <cell r="Y1120">
            <v>1</v>
          </cell>
          <cell r="Z1120">
            <v>728.17564035546263</v>
          </cell>
          <cell r="AA1120" t="str">
            <v>1.913X0.047-304L</v>
          </cell>
          <cell r="AB1120" t="str">
            <v>WAAC004860119B300023</v>
          </cell>
          <cell r="AC1120" t="str">
            <v>D2106045</v>
          </cell>
          <cell r="AD1120">
            <v>19454</v>
          </cell>
          <cell r="AE1120">
            <v>2.3E-2</v>
          </cell>
          <cell r="AF1120">
            <v>1.55</v>
          </cell>
          <cell r="AG1120">
            <v>3.2000000000000001E-2</v>
          </cell>
          <cell r="AH1120">
            <v>1E-3</v>
          </cell>
          <cell r="AI1120">
            <v>0.39</v>
          </cell>
          <cell r="AJ1120">
            <v>18.399999999999999</v>
          </cell>
          <cell r="AK1120">
            <v>8</v>
          </cell>
          <cell r="AL1120">
            <v>5.8999999999999997E-2</v>
          </cell>
          <cell r="AM1120">
            <v>0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  <cell r="AR1120">
            <v>0</v>
          </cell>
          <cell r="AS1120">
            <v>0</v>
          </cell>
          <cell r="AT1120">
            <v>275</v>
          </cell>
          <cell r="AU1120">
            <v>307</v>
          </cell>
          <cell r="AV1120">
            <v>614</v>
          </cell>
          <cell r="AW1120">
            <v>61</v>
          </cell>
          <cell r="AX1120">
            <v>81</v>
          </cell>
          <cell r="AY1120">
            <v>153</v>
          </cell>
          <cell r="AZ1120">
            <v>1.7058</v>
          </cell>
          <cell r="BA1120" t="str">
            <v>D2106045</v>
          </cell>
          <cell r="BB1120" t="str">
            <v>CONFORM</v>
          </cell>
          <cell r="BC1120" t="str">
            <v>CONFORM</v>
          </cell>
          <cell r="BD1120" t="str">
            <v>CONFORM</v>
          </cell>
          <cell r="BE1120" t="str">
            <v>CONFORM</v>
          </cell>
          <cell r="BF1120" t="str">
            <v>CONFORM</v>
          </cell>
        </row>
        <row r="1121">
          <cell r="A1121">
            <v>44355</v>
          </cell>
          <cell r="B1121" t="str">
            <v>D2106045-3</v>
          </cell>
          <cell r="C1121" t="str">
            <v>046/21</v>
          </cell>
          <cell r="D1121">
            <v>1</v>
          </cell>
          <cell r="E1121">
            <v>44351</v>
          </cell>
          <cell r="F1121" t="str">
            <v>DC</v>
          </cell>
          <cell r="G1121" t="str">
            <v>On Time</v>
          </cell>
          <cell r="H1121">
            <v>389</v>
          </cell>
          <cell r="I1121">
            <v>44327</v>
          </cell>
          <cell r="J1121" t="str">
            <v>ADTI</v>
          </cell>
          <cell r="K1121" t="str">
            <v>D2106045</v>
          </cell>
          <cell r="L1121">
            <v>3</v>
          </cell>
          <cell r="M1121" t="str">
            <v>A2105049</v>
          </cell>
          <cell r="N1121">
            <v>19454</v>
          </cell>
          <cell r="O1121" t="str">
            <v xml:space="preserve">1.4306 TP304L </v>
          </cell>
          <cell r="P1121" t="str">
            <v>304L</v>
          </cell>
          <cell r="Q1121">
            <v>1.913</v>
          </cell>
          <cell r="R1121">
            <v>1.913</v>
          </cell>
          <cell r="S1121">
            <v>4.7E-2</v>
          </cell>
          <cell r="T1121">
            <v>4.5650000000000003E-2</v>
          </cell>
          <cell r="U1121">
            <v>4.6399999999999997E-2</v>
          </cell>
          <cell r="V1121">
            <v>4.6024999999999996E-2</v>
          </cell>
          <cell r="W1121" t="str">
            <v>BRS</v>
          </cell>
          <cell r="X1121">
            <v>4167</v>
          </cell>
          <cell r="Y1121">
            <v>3</v>
          </cell>
          <cell r="Z1121">
            <v>726.08468374281233</v>
          </cell>
          <cell r="AA1121" t="str">
            <v>1.913X0.047-304L</v>
          </cell>
          <cell r="AB1121" t="str">
            <v>WAAC004860119B300023</v>
          </cell>
          <cell r="AC1121" t="str">
            <v>D2106045</v>
          </cell>
          <cell r="AD1121">
            <v>19454</v>
          </cell>
          <cell r="AE1121">
            <v>2.3E-2</v>
          </cell>
          <cell r="AF1121">
            <v>1.55</v>
          </cell>
          <cell r="AG1121">
            <v>3.2000000000000001E-2</v>
          </cell>
          <cell r="AH1121">
            <v>1E-3</v>
          </cell>
          <cell r="AI1121">
            <v>0.39</v>
          </cell>
          <cell r="AJ1121">
            <v>18.399999999999999</v>
          </cell>
          <cell r="AK1121">
            <v>8</v>
          </cell>
          <cell r="AL1121">
            <v>5.8999999999999997E-2</v>
          </cell>
          <cell r="AM1121">
            <v>0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  <cell r="AR1121">
            <v>0</v>
          </cell>
          <cell r="AS1121">
            <v>0</v>
          </cell>
          <cell r="AT1121">
            <v>275</v>
          </cell>
          <cell r="AU1121">
            <v>307</v>
          </cell>
          <cell r="AV1121">
            <v>614</v>
          </cell>
          <cell r="AW1121">
            <v>61</v>
          </cell>
          <cell r="AX1121">
            <v>81</v>
          </cell>
          <cell r="AY1121">
            <v>153</v>
          </cell>
          <cell r="AZ1121">
            <v>1.7058</v>
          </cell>
          <cell r="BA1121" t="str">
            <v>D2106045</v>
          </cell>
          <cell r="BB1121" t="str">
            <v>CONFORM</v>
          </cell>
          <cell r="BC1121" t="str">
            <v>CONFORM</v>
          </cell>
          <cell r="BD1121" t="str">
            <v>CONFORM</v>
          </cell>
          <cell r="BE1121" t="str">
            <v>CONFORM</v>
          </cell>
          <cell r="BF1121" t="str">
            <v>CONFORM</v>
          </cell>
        </row>
        <row r="1122">
          <cell r="A1122">
            <v>44355</v>
          </cell>
          <cell r="B1122" t="str">
            <v>D2106045-4</v>
          </cell>
          <cell r="C1122" t="str">
            <v>046/21</v>
          </cell>
          <cell r="D1122">
            <v>1</v>
          </cell>
          <cell r="E1122">
            <v>44351</v>
          </cell>
          <cell r="F1122" t="str">
            <v>DC</v>
          </cell>
          <cell r="G1122" t="str">
            <v>On Time</v>
          </cell>
          <cell r="H1122">
            <v>389</v>
          </cell>
          <cell r="I1122">
            <v>44327</v>
          </cell>
          <cell r="J1122" t="str">
            <v>ADTI</v>
          </cell>
          <cell r="K1122" t="str">
            <v>D2106045</v>
          </cell>
          <cell r="L1122">
            <v>4</v>
          </cell>
          <cell r="M1122" t="str">
            <v>A2105049</v>
          </cell>
          <cell r="N1122">
            <v>19454</v>
          </cell>
          <cell r="O1122" t="str">
            <v xml:space="preserve">1.4306 TP304L </v>
          </cell>
          <cell r="P1122" t="str">
            <v>304L</v>
          </cell>
          <cell r="Q1122">
            <v>1.913</v>
          </cell>
          <cell r="R1122">
            <v>1.9119999999999999</v>
          </cell>
          <cell r="S1122">
            <v>4.7E-2</v>
          </cell>
          <cell r="T1122">
            <v>4.6449999999999998E-2</v>
          </cell>
          <cell r="U1122">
            <v>4.5600000000000002E-2</v>
          </cell>
          <cell r="V1122">
            <v>4.6024999999999996E-2</v>
          </cell>
          <cell r="W1122" t="str">
            <v>BRS</v>
          </cell>
          <cell r="X1122">
            <v>4145</v>
          </cell>
          <cell r="Y1122">
            <v>3</v>
          </cell>
          <cell r="Z1122">
            <v>722.25126328628687</v>
          </cell>
          <cell r="AA1122" t="str">
            <v>1.913X0.047-304L</v>
          </cell>
          <cell r="AB1122" t="str">
            <v>WAAC004860119B300023</v>
          </cell>
          <cell r="AC1122" t="str">
            <v>D2106045</v>
          </cell>
          <cell r="AD1122">
            <v>19454</v>
          </cell>
          <cell r="AE1122">
            <v>2.3E-2</v>
          </cell>
          <cell r="AF1122">
            <v>1.55</v>
          </cell>
          <cell r="AG1122">
            <v>3.2000000000000001E-2</v>
          </cell>
          <cell r="AH1122">
            <v>1E-3</v>
          </cell>
          <cell r="AI1122">
            <v>0.39</v>
          </cell>
          <cell r="AJ1122">
            <v>18.399999999999999</v>
          </cell>
          <cell r="AK1122">
            <v>8</v>
          </cell>
          <cell r="AL1122">
            <v>5.8999999999999997E-2</v>
          </cell>
          <cell r="AM1122">
            <v>0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  <cell r="AR1122">
            <v>0</v>
          </cell>
          <cell r="AS1122">
            <v>0</v>
          </cell>
          <cell r="AT1122">
            <v>275</v>
          </cell>
          <cell r="AU1122">
            <v>307</v>
          </cell>
          <cell r="AV1122">
            <v>614</v>
          </cell>
          <cell r="AW1122">
            <v>61</v>
          </cell>
          <cell r="AX1122">
            <v>81</v>
          </cell>
          <cell r="AY1122">
            <v>153</v>
          </cell>
          <cell r="AZ1122">
            <v>1.7058</v>
          </cell>
          <cell r="BA1122" t="str">
            <v>D2106045</v>
          </cell>
          <cell r="BB1122" t="str">
            <v>CONFORM</v>
          </cell>
          <cell r="BC1122" t="str">
            <v>CONFORM</v>
          </cell>
          <cell r="BD1122" t="str">
            <v>CONFORM</v>
          </cell>
          <cell r="BE1122" t="str">
            <v>CONFORM</v>
          </cell>
          <cell r="BF1122" t="str">
            <v>CONFORM</v>
          </cell>
        </row>
        <row r="1123">
          <cell r="A1123">
            <v>44355</v>
          </cell>
          <cell r="B1123" t="str">
            <v>D2106045-5</v>
          </cell>
          <cell r="C1123" t="str">
            <v>046/21</v>
          </cell>
          <cell r="D1123">
            <v>1</v>
          </cell>
          <cell r="E1123">
            <v>44351</v>
          </cell>
          <cell r="F1123" t="str">
            <v>DC</v>
          </cell>
          <cell r="G1123" t="str">
            <v>On Time</v>
          </cell>
          <cell r="H1123">
            <v>389</v>
          </cell>
          <cell r="I1123">
            <v>44327</v>
          </cell>
          <cell r="J1123" t="str">
            <v>ADTI</v>
          </cell>
          <cell r="K1123" t="str">
            <v>D2106045</v>
          </cell>
          <cell r="L1123">
            <v>5</v>
          </cell>
          <cell r="M1123" t="str">
            <v>A2105049</v>
          </cell>
          <cell r="N1123">
            <v>19454</v>
          </cell>
          <cell r="O1123" t="str">
            <v xml:space="preserve">1.4306 TP304L </v>
          </cell>
          <cell r="P1123" t="str">
            <v>304L</v>
          </cell>
          <cell r="Q1123">
            <v>1.913</v>
          </cell>
          <cell r="R1123">
            <v>1.9125000000000001</v>
          </cell>
          <cell r="S1123">
            <v>4.7E-2</v>
          </cell>
          <cell r="T1123">
            <v>4.5650000000000003E-2</v>
          </cell>
          <cell r="U1123">
            <v>4.6100000000000002E-2</v>
          </cell>
          <cell r="V1123">
            <v>4.5874999999999999E-2</v>
          </cell>
          <cell r="W1123" t="str">
            <v>BRS</v>
          </cell>
          <cell r="X1123">
            <v>4158</v>
          </cell>
          <cell r="Y1123">
            <v>3</v>
          </cell>
          <cell r="Z1123">
            <v>724.51646628332458</v>
          </cell>
          <cell r="AA1123" t="str">
            <v>1.913X0.047-304L</v>
          </cell>
          <cell r="AB1123" t="str">
            <v>WAAC004860119B300023</v>
          </cell>
          <cell r="AC1123" t="str">
            <v>D2106045</v>
          </cell>
          <cell r="AD1123">
            <v>19454</v>
          </cell>
          <cell r="AE1123">
            <v>2.3E-2</v>
          </cell>
          <cell r="AF1123">
            <v>1.55</v>
          </cell>
          <cell r="AG1123">
            <v>3.2000000000000001E-2</v>
          </cell>
          <cell r="AH1123">
            <v>1E-3</v>
          </cell>
          <cell r="AI1123">
            <v>0.39</v>
          </cell>
          <cell r="AJ1123">
            <v>18.399999999999999</v>
          </cell>
          <cell r="AK1123">
            <v>8</v>
          </cell>
          <cell r="AL1123">
            <v>5.8999999999999997E-2</v>
          </cell>
          <cell r="AM1123">
            <v>0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  <cell r="AR1123">
            <v>0</v>
          </cell>
          <cell r="AS1123">
            <v>0</v>
          </cell>
          <cell r="AT1123">
            <v>275</v>
          </cell>
          <cell r="AU1123">
            <v>307</v>
          </cell>
          <cell r="AV1123">
            <v>614</v>
          </cell>
          <cell r="AW1123">
            <v>61</v>
          </cell>
          <cell r="AX1123">
            <v>81</v>
          </cell>
          <cell r="AY1123">
            <v>153</v>
          </cell>
          <cell r="AZ1123">
            <v>1.7058</v>
          </cell>
          <cell r="BA1123" t="str">
            <v>D2106045</v>
          </cell>
          <cell r="BB1123" t="str">
            <v>CONFORM</v>
          </cell>
          <cell r="BC1123" t="str">
            <v>CONFORM</v>
          </cell>
          <cell r="BD1123" t="str">
            <v>CONFORM</v>
          </cell>
          <cell r="BE1123" t="str">
            <v>CONFORM</v>
          </cell>
          <cell r="BF1123" t="str">
            <v>CONFORM</v>
          </cell>
        </row>
        <row r="1124">
          <cell r="A1124">
            <v>44355</v>
          </cell>
          <cell r="B1124" t="str">
            <v>D2106046-1</v>
          </cell>
          <cell r="C1124" t="str">
            <v>046/21</v>
          </cell>
          <cell r="D1124">
            <v>2</v>
          </cell>
          <cell r="E1124">
            <v>44351</v>
          </cell>
          <cell r="F1124" t="str">
            <v>DC</v>
          </cell>
          <cell r="G1124" t="str">
            <v>On Time</v>
          </cell>
          <cell r="H1124">
            <v>389</v>
          </cell>
          <cell r="I1124">
            <v>44327</v>
          </cell>
          <cell r="J1124" t="str">
            <v>ADTI</v>
          </cell>
          <cell r="K1124" t="str">
            <v>D2106046</v>
          </cell>
          <cell r="L1124">
            <v>1</v>
          </cell>
          <cell r="M1124" t="str">
            <v>A2105050</v>
          </cell>
          <cell r="N1124" t="str">
            <v>019820</v>
          </cell>
          <cell r="O1124" t="str">
            <v xml:space="preserve">1.4306 TP304L </v>
          </cell>
          <cell r="P1124" t="str">
            <v>304L</v>
          </cell>
          <cell r="Q1124">
            <v>2.323</v>
          </cell>
          <cell r="R1124">
            <v>2.3250000000000002</v>
          </cell>
          <cell r="S1124">
            <v>4.7E-2</v>
          </cell>
          <cell r="T1124">
            <v>4.795E-2</v>
          </cell>
          <cell r="U1124">
            <v>4.7699999999999999E-2</v>
          </cell>
          <cell r="V1124">
            <v>4.7824999999999999E-2</v>
          </cell>
          <cell r="W1124" t="str">
            <v>BRS</v>
          </cell>
          <cell r="X1124">
            <v>2575</v>
          </cell>
          <cell r="Y1124">
            <v>4</v>
          </cell>
          <cell r="Z1124">
            <v>277.12010331467928</v>
          </cell>
          <cell r="AA1124" t="str">
            <v>2.323X0.047-304L</v>
          </cell>
          <cell r="AB1124" t="str">
            <v>WAAC005900120B300050</v>
          </cell>
          <cell r="AC1124" t="str">
            <v>D2106046</v>
          </cell>
          <cell r="AD1124" t="str">
            <v>019820</v>
          </cell>
          <cell r="AE1124">
            <v>2.5999999999999999E-2</v>
          </cell>
          <cell r="AF1124">
            <v>1.35</v>
          </cell>
          <cell r="AG1124">
            <v>3.1E-2</v>
          </cell>
          <cell r="AH1124">
            <v>2E-3</v>
          </cell>
          <cell r="AI1124">
            <v>0.41</v>
          </cell>
          <cell r="AJ1124">
            <v>18</v>
          </cell>
          <cell r="AK1124">
            <v>8</v>
          </cell>
          <cell r="AL1124">
            <v>6.8000000000000005E-2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0.34</v>
          </cell>
          <cell r="AS1124">
            <v>0</v>
          </cell>
          <cell r="AT1124">
            <v>273</v>
          </cell>
          <cell r="AU1124">
            <v>306</v>
          </cell>
          <cell r="AV1124">
            <v>639</v>
          </cell>
          <cell r="AW1124">
            <v>57</v>
          </cell>
          <cell r="AX1124">
            <v>83</v>
          </cell>
          <cell r="AY1124">
            <v>159</v>
          </cell>
          <cell r="AZ1124">
            <v>1.7057</v>
          </cell>
          <cell r="BA1124" t="str">
            <v>D2106046</v>
          </cell>
          <cell r="BB1124" t="str">
            <v>CONFORM</v>
          </cell>
          <cell r="BC1124" t="str">
            <v>CONFORM</v>
          </cell>
          <cell r="BD1124" t="str">
            <v>CONFORM</v>
          </cell>
          <cell r="BE1124" t="str">
            <v>CONFORM</v>
          </cell>
          <cell r="BF1124" t="str">
            <v>CONFORM</v>
          </cell>
        </row>
        <row r="1125">
          <cell r="A1125">
            <v>44355</v>
          </cell>
          <cell r="B1125" t="str">
            <v>D2106047-1</v>
          </cell>
          <cell r="C1125" t="str">
            <v>046/21</v>
          </cell>
          <cell r="D1125">
            <v>2</v>
          </cell>
          <cell r="E1125">
            <v>44351</v>
          </cell>
          <cell r="F1125" t="str">
            <v>DC</v>
          </cell>
          <cell r="G1125" t="str">
            <v>On Time</v>
          </cell>
          <cell r="H1125">
            <v>389</v>
          </cell>
          <cell r="I1125">
            <v>44327</v>
          </cell>
          <cell r="J1125" t="str">
            <v>ADTI</v>
          </cell>
          <cell r="K1125" t="str">
            <v>D2106047</v>
          </cell>
          <cell r="L1125">
            <v>1</v>
          </cell>
          <cell r="M1125" t="str">
            <v>A2105051</v>
          </cell>
          <cell r="N1125">
            <v>19454</v>
          </cell>
          <cell r="O1125" t="str">
            <v xml:space="preserve">1.4306 TP304L </v>
          </cell>
          <cell r="P1125" t="str">
            <v>304L</v>
          </cell>
          <cell r="Q1125">
            <v>2.323</v>
          </cell>
          <cell r="R1125">
            <v>2.3224999999999998</v>
          </cell>
          <cell r="S1125">
            <v>4.7E-2</v>
          </cell>
          <cell r="T1125">
            <v>4.5999999999999999E-2</v>
          </cell>
          <cell r="U1125">
            <v>4.6050000000000001E-2</v>
          </cell>
          <cell r="V1125">
            <v>4.6024999999999996E-2</v>
          </cell>
          <cell r="W1125" t="str">
            <v>BRS</v>
          </cell>
          <cell r="X1125">
            <v>3382</v>
          </cell>
          <cell r="Y1125">
            <v>2</v>
          </cell>
          <cell r="Z1125">
            <v>727.93801119242357</v>
          </cell>
          <cell r="AA1125" t="str">
            <v>2.323X0.047-304L</v>
          </cell>
          <cell r="AB1125" t="str">
            <v>WAAC005900120B300050</v>
          </cell>
          <cell r="AC1125" t="str">
            <v>D2106047</v>
          </cell>
          <cell r="AD1125">
            <v>19454</v>
          </cell>
          <cell r="AE1125">
            <v>2.3E-2</v>
          </cell>
          <cell r="AF1125">
            <v>1.55</v>
          </cell>
          <cell r="AG1125">
            <v>3.2000000000000001E-2</v>
          </cell>
          <cell r="AH1125">
            <v>1E-3</v>
          </cell>
          <cell r="AI1125">
            <v>0.39</v>
          </cell>
          <cell r="AJ1125">
            <v>18.399999999999999</v>
          </cell>
          <cell r="AK1125">
            <v>8</v>
          </cell>
          <cell r="AL1125">
            <v>5.8999999999999997E-2</v>
          </cell>
          <cell r="AM1125">
            <v>0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  <cell r="AR1125">
            <v>0</v>
          </cell>
          <cell r="AS1125">
            <v>0</v>
          </cell>
          <cell r="AT1125">
            <v>275</v>
          </cell>
          <cell r="AU1125">
            <v>307</v>
          </cell>
          <cell r="AV1125">
            <v>614</v>
          </cell>
          <cell r="AW1125">
            <v>61</v>
          </cell>
          <cell r="AX1125">
            <v>81</v>
          </cell>
          <cell r="AY1125">
            <v>153</v>
          </cell>
          <cell r="AZ1125">
            <v>1.7057</v>
          </cell>
          <cell r="BA1125" t="str">
            <v>D2106047</v>
          </cell>
          <cell r="BB1125" t="str">
            <v>CONFORM</v>
          </cell>
          <cell r="BC1125" t="str">
            <v>CONFORM</v>
          </cell>
          <cell r="BD1125" t="str">
            <v>CONFORM</v>
          </cell>
          <cell r="BE1125" t="str">
            <v>CONFORM</v>
          </cell>
          <cell r="BF1125" t="str">
            <v>CONFORM</v>
          </cell>
        </row>
        <row r="1126">
          <cell r="A1126">
            <v>44355</v>
          </cell>
          <cell r="B1126" t="str">
            <v>D2106047-2</v>
          </cell>
          <cell r="C1126" t="str">
            <v>046/21</v>
          </cell>
          <cell r="D1126">
            <v>2</v>
          </cell>
          <cell r="E1126">
            <v>44351</v>
          </cell>
          <cell r="F1126" t="str">
            <v>DC</v>
          </cell>
          <cell r="G1126" t="str">
            <v>On Time</v>
          </cell>
          <cell r="H1126">
            <v>389</v>
          </cell>
          <cell r="I1126">
            <v>44327</v>
          </cell>
          <cell r="J1126" t="str">
            <v>ADTI</v>
          </cell>
          <cell r="K1126" t="str">
            <v>D2106047</v>
          </cell>
          <cell r="L1126">
            <v>2</v>
          </cell>
          <cell r="M1126" t="str">
            <v>A2105051</v>
          </cell>
          <cell r="N1126">
            <v>19454</v>
          </cell>
          <cell r="O1126" t="str">
            <v xml:space="preserve">1.4306 TP304L </v>
          </cell>
          <cell r="P1126" t="str">
            <v>304L</v>
          </cell>
          <cell r="Q1126">
            <v>2.323</v>
          </cell>
          <cell r="R1126">
            <v>2.323</v>
          </cell>
          <cell r="S1126">
            <v>4.7E-2</v>
          </cell>
          <cell r="T1126">
            <v>4.6199999999999998E-2</v>
          </cell>
          <cell r="U1126">
            <v>4.725E-2</v>
          </cell>
          <cell r="V1126">
            <v>4.6725000000000003E-2</v>
          </cell>
          <cell r="W1126" t="str">
            <v>BRS</v>
          </cell>
          <cell r="X1126">
            <v>3382</v>
          </cell>
          <cell r="Y1126">
            <v>2</v>
          </cell>
          <cell r="Z1126">
            <v>727.93801119242357</v>
          </cell>
          <cell r="AA1126" t="str">
            <v>2.323X0.047-304L</v>
          </cell>
          <cell r="AB1126" t="str">
            <v>WAAC005900120B300050</v>
          </cell>
          <cell r="AC1126" t="str">
            <v>D2106047</v>
          </cell>
          <cell r="AD1126">
            <v>19454</v>
          </cell>
          <cell r="AE1126">
            <v>2.3E-2</v>
          </cell>
          <cell r="AF1126">
            <v>1.55</v>
          </cell>
          <cell r="AG1126">
            <v>3.2000000000000001E-2</v>
          </cell>
          <cell r="AH1126">
            <v>1E-3</v>
          </cell>
          <cell r="AI1126">
            <v>0.39</v>
          </cell>
          <cell r="AJ1126">
            <v>18.399999999999999</v>
          </cell>
          <cell r="AK1126">
            <v>8</v>
          </cell>
          <cell r="AL1126">
            <v>5.8999999999999997E-2</v>
          </cell>
          <cell r="AM1126">
            <v>0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  <cell r="AR1126">
            <v>0</v>
          </cell>
          <cell r="AS1126">
            <v>0</v>
          </cell>
          <cell r="AT1126">
            <v>275</v>
          </cell>
          <cell r="AU1126">
            <v>307</v>
          </cell>
          <cell r="AV1126">
            <v>614</v>
          </cell>
          <cell r="AW1126">
            <v>61</v>
          </cell>
          <cell r="AX1126">
            <v>81</v>
          </cell>
          <cell r="AY1126">
            <v>153</v>
          </cell>
          <cell r="AZ1126">
            <v>1.7057</v>
          </cell>
          <cell r="BA1126" t="str">
            <v>D2106047</v>
          </cell>
          <cell r="BB1126" t="str">
            <v>CONFORM</v>
          </cell>
          <cell r="BC1126" t="str">
            <v>CONFORM</v>
          </cell>
          <cell r="BD1126" t="str">
            <v>CONFORM</v>
          </cell>
          <cell r="BE1126" t="str">
            <v>CONFORM</v>
          </cell>
          <cell r="BF1126" t="str">
            <v>CONFORM</v>
          </cell>
        </row>
        <row r="1127">
          <cell r="A1127">
            <v>44355</v>
          </cell>
          <cell r="B1127" t="str">
            <v>D2106048-1</v>
          </cell>
          <cell r="C1127" t="str">
            <v>045/21</v>
          </cell>
          <cell r="D1127">
            <v>3</v>
          </cell>
          <cell r="E1127">
            <v>44351</v>
          </cell>
          <cell r="F1127" t="str">
            <v>DC</v>
          </cell>
          <cell r="G1127" t="str">
            <v>On Time</v>
          </cell>
          <cell r="H1127" t="str">
            <v>385 B</v>
          </cell>
          <cell r="I1127">
            <v>44327</v>
          </cell>
          <cell r="J1127" t="str">
            <v>ADTI</v>
          </cell>
          <cell r="K1127" t="str">
            <v>D2106048</v>
          </cell>
          <cell r="L1127">
            <v>1</v>
          </cell>
          <cell r="M1127" t="str">
            <v>A2105038</v>
          </cell>
          <cell r="N1127">
            <v>84810</v>
          </cell>
          <cell r="O1127" t="str">
            <v xml:space="preserve">1.4306 TP304L </v>
          </cell>
          <cell r="P1127" t="str">
            <v>304L</v>
          </cell>
          <cell r="Q1127">
            <v>3.9129999999999998</v>
          </cell>
          <cell r="R1127">
            <v>1.9135</v>
          </cell>
          <cell r="S1127">
            <v>4.7E-2</v>
          </cell>
          <cell r="T1127">
            <v>4.6550000000000001E-2</v>
          </cell>
          <cell r="U1127">
            <v>4.7149999999999997E-2</v>
          </cell>
          <cell r="V1127">
            <v>4.6850000000000003E-2</v>
          </cell>
          <cell r="W1127" t="str">
            <v>BRS</v>
          </cell>
          <cell r="X1127">
            <v>2729</v>
          </cell>
          <cell r="Y1127">
            <v>1</v>
          </cell>
          <cell r="Z1127">
            <v>697.41886020955792</v>
          </cell>
          <cell r="AA1127" t="str">
            <v>3.913X0.047-304L</v>
          </cell>
          <cell r="AB1127" t="str">
            <v>WAAC009940120B300053</v>
          </cell>
          <cell r="AC1127" t="str">
            <v>D2106048</v>
          </cell>
          <cell r="AD1127">
            <v>84810</v>
          </cell>
          <cell r="AE1127">
            <v>2.1000000000000001E-2</v>
          </cell>
          <cell r="AF1127">
            <v>1.57</v>
          </cell>
          <cell r="AG1127">
            <v>3.4000000000000002E-2</v>
          </cell>
          <cell r="AH1127">
            <v>1E-3</v>
          </cell>
          <cell r="AI1127">
            <v>0.42</v>
          </cell>
          <cell r="AJ1127">
            <v>18.2</v>
          </cell>
          <cell r="AK1127">
            <v>8.1999999999999993</v>
          </cell>
          <cell r="AL1127">
            <v>5.2999999999999999E-2</v>
          </cell>
          <cell r="AM1127">
            <v>0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  <cell r="AR1127">
            <v>0</v>
          </cell>
          <cell r="AS1127">
            <v>0</v>
          </cell>
          <cell r="AT1127">
            <v>274</v>
          </cell>
          <cell r="AU1127">
            <v>307</v>
          </cell>
          <cell r="AV1127">
            <v>618</v>
          </cell>
          <cell r="AW1127">
            <v>61</v>
          </cell>
          <cell r="AX1127">
            <v>82</v>
          </cell>
          <cell r="AY1127">
            <v>156</v>
          </cell>
          <cell r="AZ1127">
            <v>1.7059</v>
          </cell>
          <cell r="BA1127" t="str">
            <v>D2106048</v>
          </cell>
          <cell r="BB1127" t="str">
            <v>CONFORM</v>
          </cell>
          <cell r="BC1127" t="str">
            <v>CONFORM</v>
          </cell>
          <cell r="BD1127" t="str">
            <v>CONFORM</v>
          </cell>
          <cell r="BE1127" t="str">
            <v>CONFORM</v>
          </cell>
          <cell r="BF1127" t="str">
            <v>CONFORM</v>
          </cell>
        </row>
        <row r="1128">
          <cell r="A1128">
            <v>44355</v>
          </cell>
          <cell r="B1128" t="str">
            <v>D2106048-2</v>
          </cell>
          <cell r="C1128" t="str">
            <v>045/21</v>
          </cell>
          <cell r="D1128">
            <v>3</v>
          </cell>
          <cell r="E1128">
            <v>44351</v>
          </cell>
          <cell r="F1128" t="str">
            <v>DC</v>
          </cell>
          <cell r="G1128" t="str">
            <v>On Time</v>
          </cell>
          <cell r="H1128" t="str">
            <v>385 B</v>
          </cell>
          <cell r="I1128">
            <v>44327</v>
          </cell>
          <cell r="J1128" t="str">
            <v>ADTI</v>
          </cell>
          <cell r="K1128" t="str">
            <v>D2106048</v>
          </cell>
          <cell r="L1128">
            <v>2</v>
          </cell>
          <cell r="M1128" t="str">
            <v>A2105038</v>
          </cell>
          <cell r="N1128">
            <v>84810</v>
          </cell>
          <cell r="O1128" t="str">
            <v xml:space="preserve">1.4306 TP304L </v>
          </cell>
          <cell r="P1128" t="str">
            <v>304L</v>
          </cell>
          <cell r="Q1128">
            <v>3.9129999999999998</v>
          </cell>
          <cell r="R1128">
            <v>1.9139999999999999</v>
          </cell>
          <cell r="S1128">
            <v>4.7E-2</v>
          </cell>
          <cell r="T1128">
            <v>4.675E-2</v>
          </cell>
          <cell r="U1128">
            <v>5.3100000000000001E-2</v>
          </cell>
          <cell r="V1128">
            <v>4.9924999999999997E-2</v>
          </cell>
          <cell r="W1128" t="str">
            <v>BRS</v>
          </cell>
          <cell r="X1128">
            <v>2720</v>
          </cell>
          <cell r="Y1128">
            <v>1</v>
          </cell>
          <cell r="Z1128">
            <v>695.11883465371841</v>
          </cell>
          <cell r="AA1128" t="str">
            <v>3.913X0.047-304L</v>
          </cell>
          <cell r="AB1128" t="str">
            <v>WAAC009940120B300053</v>
          </cell>
          <cell r="AC1128" t="str">
            <v>D2106048</v>
          </cell>
          <cell r="AD1128">
            <v>84810</v>
          </cell>
          <cell r="AE1128">
            <v>2.1000000000000001E-2</v>
          </cell>
          <cell r="AF1128">
            <v>1.57</v>
          </cell>
          <cell r="AG1128">
            <v>3.4000000000000002E-2</v>
          </cell>
          <cell r="AH1128">
            <v>1E-3</v>
          </cell>
          <cell r="AI1128">
            <v>0.42</v>
          </cell>
          <cell r="AJ1128">
            <v>18.2</v>
          </cell>
          <cell r="AK1128">
            <v>8.1999999999999993</v>
          </cell>
          <cell r="AL1128">
            <v>5.2999999999999999E-2</v>
          </cell>
          <cell r="AM1128">
            <v>0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  <cell r="AR1128">
            <v>0</v>
          </cell>
          <cell r="AS1128">
            <v>0</v>
          </cell>
          <cell r="AT1128">
            <v>274</v>
          </cell>
          <cell r="AU1128">
            <v>307</v>
          </cell>
          <cell r="AV1128">
            <v>618</v>
          </cell>
          <cell r="AW1128">
            <v>61</v>
          </cell>
          <cell r="AX1128">
            <v>82</v>
          </cell>
          <cell r="AY1128">
            <v>156</v>
          </cell>
          <cell r="AZ1128">
            <v>1.7059</v>
          </cell>
          <cell r="BA1128" t="str">
            <v>D2106048</v>
          </cell>
          <cell r="BB1128" t="str">
            <v>CONFORM</v>
          </cell>
          <cell r="BC1128" t="str">
            <v>CONFORM</v>
          </cell>
          <cell r="BD1128" t="str">
            <v>CONFORM</v>
          </cell>
          <cell r="BE1128" t="str">
            <v>CONFORM</v>
          </cell>
          <cell r="BF1128" t="str">
            <v>CONFORM</v>
          </cell>
        </row>
        <row r="1129">
          <cell r="A1129">
            <v>44355</v>
          </cell>
          <cell r="B1129" t="str">
            <v>D2106048-3</v>
          </cell>
          <cell r="C1129" t="str">
            <v>045/21</v>
          </cell>
          <cell r="D1129">
            <v>3</v>
          </cell>
          <cell r="E1129">
            <v>44351</v>
          </cell>
          <cell r="F1129" t="str">
            <v>DC</v>
          </cell>
          <cell r="G1129" t="str">
            <v>On Time</v>
          </cell>
          <cell r="H1129" t="str">
            <v>385 B</v>
          </cell>
          <cell r="I1129">
            <v>44327</v>
          </cell>
          <cell r="J1129" t="str">
            <v>ADTI</v>
          </cell>
          <cell r="K1129" t="str">
            <v>D2106048</v>
          </cell>
          <cell r="L1129">
            <v>3</v>
          </cell>
          <cell r="M1129" t="str">
            <v>A2105038</v>
          </cell>
          <cell r="N1129">
            <v>84810</v>
          </cell>
          <cell r="O1129" t="str">
            <v xml:space="preserve">1.4306 TP304L </v>
          </cell>
          <cell r="P1129" t="str">
            <v>304L</v>
          </cell>
          <cell r="Q1129">
            <v>3.9129999999999998</v>
          </cell>
          <cell r="R1129">
            <v>1.9135</v>
          </cell>
          <cell r="S1129">
            <v>4.7E-2</v>
          </cell>
          <cell r="T1129">
            <v>4.6399999999999997E-2</v>
          </cell>
          <cell r="U1129">
            <v>4.6449999999999998E-2</v>
          </cell>
          <cell r="V1129">
            <v>4.6424999999999994E-2</v>
          </cell>
          <cell r="W1129" t="str">
            <v>BRS</v>
          </cell>
          <cell r="X1129">
            <v>2716</v>
          </cell>
          <cell r="Y1129">
            <v>1</v>
          </cell>
          <cell r="Z1129">
            <v>694.09660107334525</v>
          </cell>
          <cell r="AA1129" t="str">
            <v>3.913X0.047-304L</v>
          </cell>
          <cell r="AB1129" t="str">
            <v>WAAC009940120B300053</v>
          </cell>
          <cell r="AC1129" t="str">
            <v>D2106048</v>
          </cell>
          <cell r="AD1129">
            <v>84810</v>
          </cell>
          <cell r="AE1129">
            <v>2.1000000000000001E-2</v>
          </cell>
          <cell r="AF1129">
            <v>1.57</v>
          </cell>
          <cell r="AG1129">
            <v>3.4000000000000002E-2</v>
          </cell>
          <cell r="AH1129">
            <v>1E-3</v>
          </cell>
          <cell r="AI1129">
            <v>0.42</v>
          </cell>
          <cell r="AJ1129">
            <v>18.2</v>
          </cell>
          <cell r="AK1129">
            <v>8.1999999999999993</v>
          </cell>
          <cell r="AL1129">
            <v>5.2999999999999999E-2</v>
          </cell>
          <cell r="AM1129">
            <v>0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  <cell r="AR1129">
            <v>0</v>
          </cell>
          <cell r="AS1129">
            <v>0</v>
          </cell>
          <cell r="AT1129">
            <v>274</v>
          </cell>
          <cell r="AU1129">
            <v>307</v>
          </cell>
          <cell r="AV1129">
            <v>618</v>
          </cell>
          <cell r="AW1129">
            <v>61</v>
          </cell>
          <cell r="AX1129">
            <v>82</v>
          </cell>
          <cell r="AY1129">
            <v>156</v>
          </cell>
          <cell r="AZ1129">
            <v>1.7059</v>
          </cell>
          <cell r="BA1129" t="str">
            <v>D2106048</v>
          </cell>
          <cell r="BB1129" t="str">
            <v>CONFORM</v>
          </cell>
          <cell r="BC1129" t="str">
            <v>CONFORM</v>
          </cell>
          <cell r="BD1129" t="str">
            <v>CONFORM</v>
          </cell>
          <cell r="BE1129" t="str">
            <v>CONFORM</v>
          </cell>
          <cell r="BF1129" t="str">
            <v>CONFORM</v>
          </cell>
        </row>
        <row r="1130">
          <cell r="A1130">
            <v>44355</v>
          </cell>
          <cell r="B1130" t="str">
            <v>D2106049-1</v>
          </cell>
          <cell r="C1130" t="str">
            <v>045/21</v>
          </cell>
          <cell r="D1130">
            <v>1</v>
          </cell>
          <cell r="E1130">
            <v>44351</v>
          </cell>
          <cell r="F1130" t="str">
            <v>DC</v>
          </cell>
          <cell r="G1130" t="str">
            <v>On Time</v>
          </cell>
          <cell r="H1130" t="str">
            <v>385 B</v>
          </cell>
          <cell r="I1130">
            <v>44327</v>
          </cell>
          <cell r="J1130" t="str">
            <v>ADTI</v>
          </cell>
          <cell r="K1130" t="str">
            <v>D2106049</v>
          </cell>
          <cell r="L1130">
            <v>1</v>
          </cell>
          <cell r="M1130" t="str">
            <v>A2105040</v>
          </cell>
          <cell r="N1130">
            <v>84810</v>
          </cell>
          <cell r="O1130" t="str">
            <v xml:space="preserve">1.4306 TP304L </v>
          </cell>
          <cell r="P1130" t="str">
            <v>304L</v>
          </cell>
          <cell r="Q1130">
            <v>1.913</v>
          </cell>
          <cell r="R1130">
            <v>1.9125000000000001</v>
          </cell>
          <cell r="S1130">
            <v>4.7E-2</v>
          </cell>
          <cell r="T1130">
            <v>4.6100000000000002E-2</v>
          </cell>
          <cell r="U1130">
            <v>5.185E-2</v>
          </cell>
          <cell r="V1130">
            <v>4.8975000000000005E-2</v>
          </cell>
          <cell r="W1130" t="str">
            <v>BRS</v>
          </cell>
          <cell r="X1130">
            <v>2623</v>
          </cell>
          <cell r="Y1130">
            <v>2</v>
          </cell>
          <cell r="Z1130">
            <v>685.57239937271299</v>
          </cell>
          <cell r="AA1130" t="str">
            <v>1.913X0.047-304L</v>
          </cell>
          <cell r="AB1130" t="str">
            <v>WAAC004860119B300023</v>
          </cell>
          <cell r="AC1130" t="str">
            <v>D2106049</v>
          </cell>
          <cell r="AD1130">
            <v>84810</v>
          </cell>
          <cell r="AE1130">
            <v>2.1000000000000001E-2</v>
          </cell>
          <cell r="AF1130">
            <v>1.57</v>
          </cell>
          <cell r="AG1130">
            <v>3.4000000000000002E-2</v>
          </cell>
          <cell r="AH1130">
            <v>1E-3</v>
          </cell>
          <cell r="AI1130">
            <v>0.42</v>
          </cell>
          <cell r="AJ1130">
            <v>18.2</v>
          </cell>
          <cell r="AK1130">
            <v>8.1999999999999993</v>
          </cell>
          <cell r="AL1130">
            <v>5.2999999999999999E-2</v>
          </cell>
          <cell r="AM1130">
            <v>0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  <cell r="AR1130">
            <v>0</v>
          </cell>
          <cell r="AS1130">
            <v>0</v>
          </cell>
          <cell r="AT1130">
            <v>274</v>
          </cell>
          <cell r="AU1130">
            <v>307</v>
          </cell>
          <cell r="AV1130">
            <v>618</v>
          </cell>
          <cell r="AW1130">
            <v>61</v>
          </cell>
          <cell r="AX1130">
            <v>82</v>
          </cell>
          <cell r="AY1130">
            <v>156</v>
          </cell>
          <cell r="AZ1130">
            <v>1.706</v>
          </cell>
          <cell r="BA1130" t="str">
            <v>D2106049</v>
          </cell>
          <cell r="BB1130" t="str">
            <v>CONFORM</v>
          </cell>
          <cell r="BC1130" t="str">
            <v>CONFORM</v>
          </cell>
          <cell r="BD1130" t="str">
            <v>CONFORM</v>
          </cell>
          <cell r="BE1130" t="str">
            <v>CONFORM</v>
          </cell>
          <cell r="BF1130" t="str">
            <v>CONFORM</v>
          </cell>
        </row>
        <row r="1131">
          <cell r="A1131">
            <v>44356</v>
          </cell>
          <cell r="B1131" t="str">
            <v>D2106053-1</v>
          </cell>
          <cell r="C1131" t="str">
            <v>045/21</v>
          </cell>
          <cell r="D1131">
            <v>2</v>
          </cell>
          <cell r="E1131">
            <v>44351</v>
          </cell>
          <cell r="F1131" t="str">
            <v>DC</v>
          </cell>
          <cell r="G1131" t="str">
            <v>On Time</v>
          </cell>
          <cell r="H1131" t="str">
            <v>385 A</v>
          </cell>
          <cell r="I1131">
            <v>44327</v>
          </cell>
          <cell r="J1131" t="str">
            <v>ADTI</v>
          </cell>
          <cell r="K1131" t="str">
            <v>D2106053</v>
          </cell>
          <cell r="L1131">
            <v>1</v>
          </cell>
          <cell r="M1131" t="str">
            <v>A2105039</v>
          </cell>
          <cell r="N1131">
            <v>84810</v>
          </cell>
          <cell r="O1131" t="str">
            <v xml:space="preserve">1.4306 TP304L </v>
          </cell>
          <cell r="P1131" t="str">
            <v>304L</v>
          </cell>
          <cell r="Q1131">
            <v>2.323</v>
          </cell>
          <cell r="R1131">
            <v>2.3254999999999999</v>
          </cell>
          <cell r="S1131">
            <v>4.7E-2</v>
          </cell>
          <cell r="T1131">
            <v>4.6449999999999998E-2</v>
          </cell>
          <cell r="U1131">
            <v>4.725E-2</v>
          </cell>
          <cell r="V1131">
            <v>4.6850000000000003E-2</v>
          </cell>
          <cell r="W1131" t="str">
            <v>BRS</v>
          </cell>
          <cell r="X1131">
            <v>3219</v>
          </cell>
          <cell r="Y1131">
            <v>2</v>
          </cell>
          <cell r="Z1131">
            <v>692.85406801549721</v>
          </cell>
          <cell r="AA1131" t="str">
            <v>2.323X0.047-304L</v>
          </cell>
          <cell r="AB1131" t="str">
            <v>WAAC005900120B300050</v>
          </cell>
          <cell r="AC1131" t="str">
            <v>D2106053</v>
          </cell>
          <cell r="AD1131">
            <v>84810</v>
          </cell>
          <cell r="AE1131">
            <v>2.1000000000000001E-2</v>
          </cell>
          <cell r="AF1131">
            <v>1.57</v>
          </cell>
          <cell r="AG1131">
            <v>3.4000000000000002E-2</v>
          </cell>
          <cell r="AH1131">
            <v>1E-3</v>
          </cell>
          <cell r="AI1131">
            <v>0.42</v>
          </cell>
          <cell r="AJ1131">
            <v>18.2</v>
          </cell>
          <cell r="AK1131">
            <v>8.1999999999999993</v>
          </cell>
          <cell r="AL1131">
            <v>5.2999999999999999E-2</v>
          </cell>
          <cell r="AM1131">
            <v>0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  <cell r="AR1131">
            <v>0</v>
          </cell>
          <cell r="AS1131">
            <v>0</v>
          </cell>
          <cell r="AT1131">
            <v>274</v>
          </cell>
          <cell r="AU1131">
            <v>307</v>
          </cell>
          <cell r="AV1131">
            <v>618</v>
          </cell>
          <cell r="AW1131">
            <v>61</v>
          </cell>
          <cell r="AX1131">
            <v>82</v>
          </cell>
          <cell r="AY1131">
            <v>156</v>
          </cell>
          <cell r="AZ1131">
            <v>1.7059</v>
          </cell>
          <cell r="BA1131" t="str">
            <v>D2106053</v>
          </cell>
          <cell r="BB1131" t="str">
            <v>CONFORM</v>
          </cell>
          <cell r="BC1131" t="str">
            <v>CONFORM</v>
          </cell>
          <cell r="BD1131" t="str">
            <v>CONFORM</v>
          </cell>
          <cell r="BE1131" t="str">
            <v>CONFORM</v>
          </cell>
          <cell r="BF1131" t="str">
            <v>CONFORM</v>
          </cell>
        </row>
        <row r="1132">
          <cell r="A1132">
            <v>44356</v>
          </cell>
          <cell r="B1132" t="str">
            <v>D2106053-2</v>
          </cell>
          <cell r="C1132" t="str">
            <v>045/21</v>
          </cell>
          <cell r="D1132">
            <v>2</v>
          </cell>
          <cell r="E1132">
            <v>44351</v>
          </cell>
          <cell r="F1132" t="str">
            <v>DC</v>
          </cell>
          <cell r="G1132" t="str">
            <v>On Time</v>
          </cell>
          <cell r="H1132" t="str">
            <v>385 A</v>
          </cell>
          <cell r="I1132">
            <v>44327</v>
          </cell>
          <cell r="J1132" t="str">
            <v>ADTI</v>
          </cell>
          <cell r="K1132" t="str">
            <v>D2106053</v>
          </cell>
          <cell r="L1132">
            <v>2</v>
          </cell>
          <cell r="M1132" t="str">
            <v>A2105039</v>
          </cell>
          <cell r="N1132">
            <v>84810</v>
          </cell>
          <cell r="O1132" t="str">
            <v xml:space="preserve">1.4306 TP304L </v>
          </cell>
          <cell r="P1132" t="str">
            <v>304L</v>
          </cell>
          <cell r="Q1132">
            <v>2.323</v>
          </cell>
          <cell r="R1132">
            <v>2.3250000000000002</v>
          </cell>
          <cell r="S1132">
            <v>4.7E-2</v>
          </cell>
          <cell r="T1132">
            <v>4.65E-2</v>
          </cell>
          <cell r="U1132">
            <v>4.6399999999999997E-2</v>
          </cell>
          <cell r="V1132">
            <v>4.6449999999999998E-2</v>
          </cell>
          <cell r="W1132" t="str">
            <v>BRS</v>
          </cell>
          <cell r="X1132">
            <v>3210</v>
          </cell>
          <cell r="Y1132">
            <v>2</v>
          </cell>
          <cell r="Z1132">
            <v>690.91691777873439</v>
          </cell>
          <cell r="AA1132" t="str">
            <v>2.323X0.047-304L</v>
          </cell>
          <cell r="AB1132" t="str">
            <v>WAAC005900120B300050</v>
          </cell>
          <cell r="AC1132" t="str">
            <v>D2106053</v>
          </cell>
          <cell r="AD1132">
            <v>84810</v>
          </cell>
          <cell r="AE1132">
            <v>2.1000000000000001E-2</v>
          </cell>
          <cell r="AF1132">
            <v>1.57</v>
          </cell>
          <cell r="AG1132">
            <v>3.4000000000000002E-2</v>
          </cell>
          <cell r="AH1132">
            <v>1E-3</v>
          </cell>
          <cell r="AI1132">
            <v>0.42</v>
          </cell>
          <cell r="AJ1132">
            <v>18.2</v>
          </cell>
          <cell r="AK1132">
            <v>8.1999999999999993</v>
          </cell>
          <cell r="AL1132">
            <v>5.2999999999999999E-2</v>
          </cell>
          <cell r="AM1132">
            <v>0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  <cell r="AR1132">
            <v>0</v>
          </cell>
          <cell r="AS1132">
            <v>0</v>
          </cell>
          <cell r="AT1132">
            <v>274</v>
          </cell>
          <cell r="AU1132">
            <v>307</v>
          </cell>
          <cell r="AV1132">
            <v>618</v>
          </cell>
          <cell r="AW1132">
            <v>61</v>
          </cell>
          <cell r="AX1132">
            <v>82</v>
          </cell>
          <cell r="AY1132">
            <v>156</v>
          </cell>
          <cell r="AZ1132">
            <v>1.7059</v>
          </cell>
          <cell r="BA1132" t="str">
            <v>D2106053</v>
          </cell>
          <cell r="BB1132" t="str">
            <v>CONFORM</v>
          </cell>
          <cell r="BC1132" t="str">
            <v>CONFORM</v>
          </cell>
          <cell r="BD1132" t="str">
            <v>CONFORM</v>
          </cell>
          <cell r="BE1132" t="str">
            <v>CONFORM</v>
          </cell>
          <cell r="BF1132" t="str">
            <v>CONFORM</v>
          </cell>
        </row>
        <row r="1133">
          <cell r="A1133">
            <v>44356</v>
          </cell>
          <cell r="B1133" t="str">
            <v>D2106054-1</v>
          </cell>
          <cell r="C1133" t="str">
            <v>045/21</v>
          </cell>
          <cell r="D1133">
            <v>4</v>
          </cell>
          <cell r="E1133">
            <v>44351</v>
          </cell>
          <cell r="F1133" t="str">
            <v>DC</v>
          </cell>
          <cell r="G1133" t="str">
            <v>On Time</v>
          </cell>
          <cell r="H1133" t="str">
            <v>385 A</v>
          </cell>
          <cell r="I1133">
            <v>44327</v>
          </cell>
          <cell r="J1133" t="str">
            <v>ADTI</v>
          </cell>
          <cell r="K1133" t="str">
            <v>D2106054</v>
          </cell>
          <cell r="L1133">
            <v>1</v>
          </cell>
          <cell r="M1133" t="str">
            <v>A2105041</v>
          </cell>
          <cell r="N1133">
            <v>84810</v>
          </cell>
          <cell r="O1133" t="str">
            <v xml:space="preserve">1.4306 TP304L </v>
          </cell>
          <cell r="P1133" t="str">
            <v>304L</v>
          </cell>
          <cell r="Q1133">
            <v>4.6849999999999996</v>
          </cell>
          <cell r="R1133">
            <v>4.6859999999999999</v>
          </cell>
          <cell r="S1133">
            <v>4.7E-2</v>
          </cell>
          <cell r="T1133">
            <v>4.6449999999999998E-2</v>
          </cell>
          <cell r="U1133">
            <v>4.8849999999999998E-2</v>
          </cell>
          <cell r="V1133">
            <v>4.7649999999999998E-2</v>
          </cell>
          <cell r="W1133" t="str">
            <v>BRS</v>
          </cell>
          <cell r="X1133">
            <v>3263</v>
          </cell>
          <cell r="Y1133">
            <v>1</v>
          </cell>
          <cell r="Z1133">
            <v>696.47812166488802</v>
          </cell>
          <cell r="AA1133" t="str">
            <v>4.685X0.047-304L</v>
          </cell>
          <cell r="AB1133" t="str">
            <v>WAAC011900120B300062</v>
          </cell>
          <cell r="AC1133" t="str">
            <v>D2106054</v>
          </cell>
          <cell r="AD1133">
            <v>84810</v>
          </cell>
          <cell r="AE1133">
            <v>2.1000000000000001E-2</v>
          </cell>
          <cell r="AF1133">
            <v>1.57</v>
          </cell>
          <cell r="AG1133">
            <v>3.4000000000000002E-2</v>
          </cell>
          <cell r="AH1133">
            <v>1E-3</v>
          </cell>
          <cell r="AI1133">
            <v>0.42</v>
          </cell>
          <cell r="AJ1133">
            <v>18.2</v>
          </cell>
          <cell r="AK1133">
            <v>8.1999999999999993</v>
          </cell>
          <cell r="AL1133">
            <v>5.2999999999999999E-2</v>
          </cell>
          <cell r="AM1133">
            <v>0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  <cell r="AR1133">
            <v>0</v>
          </cell>
          <cell r="AS1133">
            <v>0</v>
          </cell>
          <cell r="AT1133">
            <v>274</v>
          </cell>
          <cell r="AU1133">
            <v>307</v>
          </cell>
          <cell r="AV1133">
            <v>618</v>
          </cell>
          <cell r="AW1133">
            <v>61</v>
          </cell>
          <cell r="AX1133">
            <v>82</v>
          </cell>
          <cell r="AY1133">
            <v>156</v>
          </cell>
          <cell r="AZ1133">
            <v>1.7057</v>
          </cell>
          <cell r="BA1133" t="str">
            <v>D2106054</v>
          </cell>
          <cell r="BB1133" t="str">
            <v>CONFORM</v>
          </cell>
          <cell r="BC1133" t="str">
            <v>CONFORM</v>
          </cell>
          <cell r="BD1133" t="str">
            <v>CONFORM</v>
          </cell>
          <cell r="BE1133" t="str">
            <v>CONFORM</v>
          </cell>
          <cell r="BF1133" t="str">
            <v>CONFORM</v>
          </cell>
        </row>
        <row r="1134">
          <cell r="A1134">
            <v>44356</v>
          </cell>
          <cell r="B1134" t="str">
            <v>D2106054-2</v>
          </cell>
          <cell r="C1134" t="str">
            <v>045/21</v>
          </cell>
          <cell r="D1134">
            <v>4</v>
          </cell>
          <cell r="E1134">
            <v>44351</v>
          </cell>
          <cell r="F1134" t="str">
            <v>DC</v>
          </cell>
          <cell r="G1134" t="str">
            <v>On Time</v>
          </cell>
          <cell r="H1134" t="str">
            <v>385 A</v>
          </cell>
          <cell r="I1134">
            <v>44327</v>
          </cell>
          <cell r="J1134" t="str">
            <v>ADTI</v>
          </cell>
          <cell r="K1134" t="str">
            <v>D2106054</v>
          </cell>
          <cell r="L1134">
            <v>2</v>
          </cell>
          <cell r="M1134" t="str">
            <v>A2105041</v>
          </cell>
          <cell r="N1134">
            <v>84810</v>
          </cell>
          <cell r="O1134" t="str">
            <v xml:space="preserve">1.4306 TP304L </v>
          </cell>
          <cell r="P1134" t="str">
            <v>304L</v>
          </cell>
          <cell r="Q1134">
            <v>4.6849999999999996</v>
          </cell>
          <cell r="R1134">
            <v>4.6844999999999999</v>
          </cell>
          <cell r="S1134">
            <v>4.7E-2</v>
          </cell>
          <cell r="T1134">
            <v>4.6699999999999998E-2</v>
          </cell>
          <cell r="U1134">
            <v>4.7E-2</v>
          </cell>
          <cell r="V1134">
            <v>4.6850000000000003E-2</v>
          </cell>
          <cell r="W1134" t="str">
            <v>BRS</v>
          </cell>
          <cell r="X1134">
            <v>3267</v>
          </cell>
          <cell r="Y1134">
            <v>1</v>
          </cell>
          <cell r="Z1134">
            <v>697.33191035218795</v>
          </cell>
          <cell r="AA1134" t="str">
            <v>4.685X0.047-304L</v>
          </cell>
          <cell r="AB1134" t="str">
            <v>WAAC011900120B300062</v>
          </cell>
          <cell r="AC1134" t="str">
            <v>D2106054</v>
          </cell>
          <cell r="AD1134">
            <v>84810</v>
          </cell>
          <cell r="AE1134">
            <v>2.1000000000000001E-2</v>
          </cell>
          <cell r="AF1134">
            <v>1.57</v>
          </cell>
          <cell r="AG1134">
            <v>3.4000000000000002E-2</v>
          </cell>
          <cell r="AH1134">
            <v>1E-3</v>
          </cell>
          <cell r="AI1134">
            <v>0.42</v>
          </cell>
          <cell r="AJ1134">
            <v>18.2</v>
          </cell>
          <cell r="AK1134">
            <v>8.1999999999999993</v>
          </cell>
          <cell r="AL1134">
            <v>5.2999999999999999E-2</v>
          </cell>
          <cell r="AM1134">
            <v>0</v>
          </cell>
          <cell r="AN1134">
            <v>0</v>
          </cell>
          <cell r="AO1134">
            <v>0</v>
          </cell>
          <cell r="AP1134">
            <v>0</v>
          </cell>
          <cell r="AQ1134">
            <v>0</v>
          </cell>
          <cell r="AR1134">
            <v>0</v>
          </cell>
          <cell r="AS1134">
            <v>0</v>
          </cell>
          <cell r="AT1134">
            <v>274</v>
          </cell>
          <cell r="AU1134">
            <v>307</v>
          </cell>
          <cell r="AV1134">
            <v>618</v>
          </cell>
          <cell r="AW1134">
            <v>61</v>
          </cell>
          <cell r="AX1134">
            <v>82</v>
          </cell>
          <cell r="AY1134">
            <v>156</v>
          </cell>
          <cell r="AZ1134">
            <v>1.7057</v>
          </cell>
          <cell r="BA1134" t="str">
            <v>D2106054</v>
          </cell>
          <cell r="BB1134" t="str">
            <v>CONFORM</v>
          </cell>
          <cell r="BC1134" t="str">
            <v>CONFORM</v>
          </cell>
          <cell r="BD1134" t="str">
            <v>CONFORM</v>
          </cell>
          <cell r="BE1134" t="str">
            <v>CONFORM</v>
          </cell>
          <cell r="BF1134" t="str">
            <v>CONFORM</v>
          </cell>
        </row>
        <row r="1135">
          <cell r="A1135">
            <v>44356</v>
          </cell>
          <cell r="B1135" t="str">
            <v>D2106054-3</v>
          </cell>
          <cell r="C1135" t="str">
            <v>045/21</v>
          </cell>
          <cell r="D1135">
            <v>4</v>
          </cell>
          <cell r="E1135">
            <v>44351</v>
          </cell>
          <cell r="F1135" t="str">
            <v>DC</v>
          </cell>
          <cell r="G1135" t="str">
            <v>On Time</v>
          </cell>
          <cell r="H1135" t="str">
            <v>385 A</v>
          </cell>
          <cell r="I1135">
            <v>44327</v>
          </cell>
          <cell r="J1135" t="str">
            <v>ADTI</v>
          </cell>
          <cell r="K1135" t="str">
            <v>D2106054</v>
          </cell>
          <cell r="L1135">
            <v>3</v>
          </cell>
          <cell r="M1135" t="str">
            <v>A2105041</v>
          </cell>
          <cell r="N1135">
            <v>84810</v>
          </cell>
          <cell r="O1135" t="str">
            <v xml:space="preserve">1.4306 TP304L </v>
          </cell>
          <cell r="P1135" t="str">
            <v>304L</v>
          </cell>
          <cell r="Q1135">
            <v>4.6849999999999996</v>
          </cell>
          <cell r="R1135">
            <v>4.6859999999999999</v>
          </cell>
          <cell r="S1135">
            <v>4.7E-2</v>
          </cell>
          <cell r="T1135">
            <v>4.6699999999999998E-2</v>
          </cell>
          <cell r="U1135">
            <v>4.9149999999999999E-2</v>
          </cell>
          <cell r="V1135">
            <v>4.7924999999999995E-2</v>
          </cell>
          <cell r="W1135" t="str">
            <v>BRS</v>
          </cell>
          <cell r="X1135">
            <v>3267</v>
          </cell>
          <cell r="Y1135">
            <v>1</v>
          </cell>
          <cell r="Z1135">
            <v>697.33191035218795</v>
          </cell>
          <cell r="AA1135" t="str">
            <v>4.685X0.047-304L</v>
          </cell>
          <cell r="AB1135" t="str">
            <v>WAAC011900120B300062</v>
          </cell>
          <cell r="AC1135" t="str">
            <v>D2106054</v>
          </cell>
          <cell r="AD1135">
            <v>84810</v>
          </cell>
          <cell r="AE1135">
            <v>2.1000000000000001E-2</v>
          </cell>
          <cell r="AF1135">
            <v>1.57</v>
          </cell>
          <cell r="AG1135">
            <v>3.4000000000000002E-2</v>
          </cell>
          <cell r="AH1135">
            <v>1E-3</v>
          </cell>
          <cell r="AI1135">
            <v>0.42</v>
          </cell>
          <cell r="AJ1135">
            <v>18.2</v>
          </cell>
          <cell r="AK1135">
            <v>8.1999999999999993</v>
          </cell>
          <cell r="AL1135">
            <v>5.2999999999999999E-2</v>
          </cell>
          <cell r="AM1135">
            <v>0</v>
          </cell>
          <cell r="AN1135">
            <v>0</v>
          </cell>
          <cell r="AO1135">
            <v>0</v>
          </cell>
          <cell r="AP1135">
            <v>0</v>
          </cell>
          <cell r="AQ1135">
            <v>0</v>
          </cell>
          <cell r="AR1135">
            <v>0</v>
          </cell>
          <cell r="AS1135">
            <v>0</v>
          </cell>
          <cell r="AT1135">
            <v>274</v>
          </cell>
          <cell r="AU1135">
            <v>307</v>
          </cell>
          <cell r="AV1135">
            <v>618</v>
          </cell>
          <cell r="AW1135">
            <v>61</v>
          </cell>
          <cell r="AX1135">
            <v>82</v>
          </cell>
          <cell r="AY1135">
            <v>156</v>
          </cell>
          <cell r="AZ1135">
            <v>1.7057</v>
          </cell>
          <cell r="BA1135" t="str">
            <v>D2106054</v>
          </cell>
          <cell r="BB1135" t="str">
            <v>CONFORM</v>
          </cell>
          <cell r="BC1135" t="str">
            <v>CONFORM</v>
          </cell>
          <cell r="BD1135" t="str">
            <v>CONFORM</v>
          </cell>
          <cell r="BE1135" t="str">
            <v>CONFORM</v>
          </cell>
          <cell r="BF1135" t="str">
            <v>CONFORM</v>
          </cell>
        </row>
        <row r="1136">
          <cell r="A1136">
            <v>44356</v>
          </cell>
          <cell r="B1136" t="str">
            <v>D2106054-4</v>
          </cell>
          <cell r="C1136" t="str">
            <v>045/21</v>
          </cell>
          <cell r="D1136">
            <v>4</v>
          </cell>
          <cell r="E1136">
            <v>44351</v>
          </cell>
          <cell r="F1136" t="str">
            <v>DC</v>
          </cell>
          <cell r="G1136" t="str">
            <v>On Time</v>
          </cell>
          <cell r="H1136" t="str">
            <v>385 A</v>
          </cell>
          <cell r="I1136">
            <v>44327</v>
          </cell>
          <cell r="J1136" t="str">
            <v>ADTI</v>
          </cell>
          <cell r="K1136" t="str">
            <v>D2106054</v>
          </cell>
          <cell r="L1136">
            <v>4</v>
          </cell>
          <cell r="M1136" t="str">
            <v>A2105041</v>
          </cell>
          <cell r="N1136">
            <v>84810</v>
          </cell>
          <cell r="O1136" t="str">
            <v xml:space="preserve">1.4306 TP304L </v>
          </cell>
          <cell r="P1136" t="str">
            <v>304L</v>
          </cell>
          <cell r="Q1136">
            <v>4.6849999999999996</v>
          </cell>
          <cell r="R1136">
            <v>4.6859999999999999</v>
          </cell>
          <cell r="S1136">
            <v>4.7E-2</v>
          </cell>
          <cell r="T1136">
            <v>4.7E-2</v>
          </cell>
          <cell r="U1136">
            <v>4.5999999999999999E-2</v>
          </cell>
          <cell r="V1136">
            <v>4.65E-2</v>
          </cell>
          <cell r="W1136" t="str">
            <v>BRS</v>
          </cell>
          <cell r="X1136">
            <v>3210</v>
          </cell>
          <cell r="Y1136">
            <v>1</v>
          </cell>
          <cell r="Z1136">
            <v>685.16542155816444</v>
          </cell>
          <cell r="AA1136" t="str">
            <v>4.685X0.047-304L</v>
          </cell>
          <cell r="AB1136" t="str">
            <v>WAAC011900120B300062</v>
          </cell>
          <cell r="AC1136" t="str">
            <v>D2106054</v>
          </cell>
          <cell r="AD1136">
            <v>84810</v>
          </cell>
          <cell r="AE1136">
            <v>2.1000000000000001E-2</v>
          </cell>
          <cell r="AF1136">
            <v>1.57</v>
          </cell>
          <cell r="AG1136">
            <v>3.4000000000000002E-2</v>
          </cell>
          <cell r="AH1136">
            <v>1E-3</v>
          </cell>
          <cell r="AI1136">
            <v>0.42</v>
          </cell>
          <cell r="AJ1136">
            <v>18.2</v>
          </cell>
          <cell r="AK1136">
            <v>8.1999999999999993</v>
          </cell>
          <cell r="AL1136">
            <v>5.2999999999999999E-2</v>
          </cell>
          <cell r="AM1136">
            <v>0</v>
          </cell>
          <cell r="AN1136">
            <v>0</v>
          </cell>
          <cell r="AO1136">
            <v>0</v>
          </cell>
          <cell r="AP1136">
            <v>0</v>
          </cell>
          <cell r="AQ1136">
            <v>0</v>
          </cell>
          <cell r="AR1136">
            <v>0</v>
          </cell>
          <cell r="AS1136">
            <v>0</v>
          </cell>
          <cell r="AT1136">
            <v>274</v>
          </cell>
          <cell r="AU1136">
            <v>307</v>
          </cell>
          <cell r="AV1136">
            <v>618</v>
          </cell>
          <cell r="AW1136">
            <v>61</v>
          </cell>
          <cell r="AX1136">
            <v>82</v>
          </cell>
          <cell r="AY1136">
            <v>156</v>
          </cell>
          <cell r="AZ1136">
            <v>1.7057</v>
          </cell>
          <cell r="BA1136" t="str">
            <v>D2106054</v>
          </cell>
          <cell r="BB1136" t="str">
            <v>CONFORM</v>
          </cell>
          <cell r="BC1136" t="str">
            <v>CONFORM</v>
          </cell>
          <cell r="BD1136" t="str">
            <v>CONFORM</v>
          </cell>
          <cell r="BE1136" t="str">
            <v>CONFORM</v>
          </cell>
          <cell r="BF1136" t="str">
            <v>CONFORM</v>
          </cell>
        </row>
        <row r="1137">
          <cell r="A1137">
            <v>44356</v>
          </cell>
          <cell r="B1137" t="str">
            <v>D2106054-5</v>
          </cell>
          <cell r="C1137" t="str">
            <v>045/21</v>
          </cell>
          <cell r="D1137">
            <v>4</v>
          </cell>
          <cell r="E1137">
            <v>44351</v>
          </cell>
          <cell r="F1137" t="str">
            <v>DC</v>
          </cell>
          <cell r="G1137" t="str">
            <v>On Time</v>
          </cell>
          <cell r="H1137" t="str">
            <v>385 A</v>
          </cell>
          <cell r="I1137">
            <v>44327</v>
          </cell>
          <cell r="J1137" t="str">
            <v>ADTI</v>
          </cell>
          <cell r="K1137" t="str">
            <v>D2106054</v>
          </cell>
          <cell r="L1137">
            <v>5</v>
          </cell>
          <cell r="M1137" t="str">
            <v>A2105041</v>
          </cell>
          <cell r="N1137">
            <v>84810</v>
          </cell>
          <cell r="O1137" t="str">
            <v xml:space="preserve">1.4306 TP304L </v>
          </cell>
          <cell r="P1137" t="str">
            <v>304L</v>
          </cell>
          <cell r="Q1137">
            <v>4.6849999999999996</v>
          </cell>
          <cell r="R1137">
            <v>4.6835000000000004</v>
          </cell>
          <cell r="S1137">
            <v>4.7E-2</v>
          </cell>
          <cell r="T1137">
            <v>4.5999999999999999E-2</v>
          </cell>
          <cell r="U1137">
            <v>4.8000000000000001E-2</v>
          </cell>
          <cell r="V1137">
            <v>4.7E-2</v>
          </cell>
          <cell r="W1137" t="str">
            <v>BRS</v>
          </cell>
          <cell r="X1137">
            <v>3241</v>
          </cell>
          <cell r="Y1137">
            <v>1</v>
          </cell>
          <cell r="Z1137">
            <v>691.7822838847386</v>
          </cell>
          <cell r="AA1137" t="str">
            <v>4.685X0.047-304L</v>
          </cell>
          <cell r="AB1137" t="str">
            <v>WAAC011900120B300062</v>
          </cell>
          <cell r="AC1137" t="str">
            <v>D2106054</v>
          </cell>
          <cell r="AD1137">
            <v>84810</v>
          </cell>
          <cell r="AE1137">
            <v>2.1000000000000001E-2</v>
          </cell>
          <cell r="AF1137">
            <v>1.57</v>
          </cell>
          <cell r="AG1137">
            <v>3.4000000000000002E-2</v>
          </cell>
          <cell r="AH1137">
            <v>1E-3</v>
          </cell>
          <cell r="AI1137">
            <v>0.42</v>
          </cell>
          <cell r="AJ1137">
            <v>18.2</v>
          </cell>
          <cell r="AK1137">
            <v>8.1999999999999993</v>
          </cell>
          <cell r="AL1137">
            <v>5.2999999999999999E-2</v>
          </cell>
          <cell r="AM1137">
            <v>0</v>
          </cell>
          <cell r="AN1137">
            <v>0</v>
          </cell>
          <cell r="AO1137">
            <v>0</v>
          </cell>
          <cell r="AP1137">
            <v>0</v>
          </cell>
          <cell r="AQ1137">
            <v>0</v>
          </cell>
          <cell r="AR1137">
            <v>0</v>
          </cell>
          <cell r="AS1137">
            <v>0</v>
          </cell>
          <cell r="AT1137">
            <v>274</v>
          </cell>
          <cell r="AU1137">
            <v>307</v>
          </cell>
          <cell r="AV1137">
            <v>618</v>
          </cell>
          <cell r="AW1137">
            <v>61</v>
          </cell>
          <cell r="AX1137">
            <v>82</v>
          </cell>
          <cell r="AY1137">
            <v>156</v>
          </cell>
          <cell r="AZ1137">
            <v>1.7057</v>
          </cell>
          <cell r="BA1137" t="str">
            <v>D2106054</v>
          </cell>
          <cell r="BB1137" t="str">
            <v>CONFORM</v>
          </cell>
          <cell r="BC1137" t="str">
            <v>CONFORM</v>
          </cell>
          <cell r="BD1137" t="str">
            <v>CONFORM</v>
          </cell>
          <cell r="BE1137" t="str">
            <v>CONFORM</v>
          </cell>
          <cell r="BF1137" t="str">
            <v>CONFORM</v>
          </cell>
        </row>
        <row r="1138">
          <cell r="A1138">
            <v>44356</v>
          </cell>
          <cell r="B1138" t="str">
            <v>D2106054-6</v>
          </cell>
          <cell r="C1138" t="str">
            <v>045/21</v>
          </cell>
          <cell r="D1138">
            <v>4</v>
          </cell>
          <cell r="E1138">
            <v>44351</v>
          </cell>
          <cell r="F1138" t="str">
            <v>DC</v>
          </cell>
          <cell r="G1138" t="str">
            <v>On Time</v>
          </cell>
          <cell r="H1138" t="str">
            <v>385 A</v>
          </cell>
          <cell r="I1138">
            <v>44327</v>
          </cell>
          <cell r="J1138" t="str">
            <v>ADTI</v>
          </cell>
          <cell r="K1138" t="str">
            <v>D2106054</v>
          </cell>
          <cell r="L1138">
            <v>6</v>
          </cell>
          <cell r="M1138" t="str">
            <v>A2105041</v>
          </cell>
          <cell r="N1138">
            <v>84810</v>
          </cell>
          <cell r="O1138" t="str">
            <v xml:space="preserve">1.4306 TP304L </v>
          </cell>
          <cell r="P1138" t="str">
            <v>304L</v>
          </cell>
          <cell r="Q1138">
            <v>4.6849999999999996</v>
          </cell>
          <cell r="R1138">
            <v>4.6849999999999996</v>
          </cell>
          <cell r="S1138">
            <v>4.7E-2</v>
          </cell>
          <cell r="T1138">
            <v>4.6199999999999998E-2</v>
          </cell>
          <cell r="U1138">
            <v>4.8899999999999999E-2</v>
          </cell>
          <cell r="V1138">
            <v>4.7549999999999995E-2</v>
          </cell>
          <cell r="W1138" t="str">
            <v>BRS</v>
          </cell>
          <cell r="X1138">
            <v>3250</v>
          </cell>
          <cell r="Y1138">
            <v>1</v>
          </cell>
          <cell r="Z1138">
            <v>693.70330843116335</v>
          </cell>
          <cell r="AA1138" t="str">
            <v>4.685X0.047-304L</v>
          </cell>
          <cell r="AB1138" t="str">
            <v>WAAC011900120B300062</v>
          </cell>
          <cell r="AC1138" t="str">
            <v>D2106054</v>
          </cell>
          <cell r="AD1138">
            <v>84810</v>
          </cell>
          <cell r="AE1138">
            <v>2.1000000000000001E-2</v>
          </cell>
          <cell r="AF1138">
            <v>1.57</v>
          </cell>
          <cell r="AG1138">
            <v>3.4000000000000002E-2</v>
          </cell>
          <cell r="AH1138">
            <v>1E-3</v>
          </cell>
          <cell r="AI1138">
            <v>0.42</v>
          </cell>
          <cell r="AJ1138">
            <v>18.2</v>
          </cell>
          <cell r="AK1138">
            <v>8.1999999999999993</v>
          </cell>
          <cell r="AL1138">
            <v>5.2999999999999999E-2</v>
          </cell>
          <cell r="AM1138">
            <v>0</v>
          </cell>
          <cell r="AN1138">
            <v>0</v>
          </cell>
          <cell r="AO1138">
            <v>0</v>
          </cell>
          <cell r="AP1138">
            <v>0</v>
          </cell>
          <cell r="AQ1138">
            <v>0</v>
          </cell>
          <cell r="AR1138">
            <v>0</v>
          </cell>
          <cell r="AS1138">
            <v>0</v>
          </cell>
          <cell r="AT1138">
            <v>274</v>
          </cell>
          <cell r="AU1138">
            <v>307</v>
          </cell>
          <cell r="AV1138">
            <v>618</v>
          </cell>
          <cell r="AW1138">
            <v>61</v>
          </cell>
          <cell r="AX1138">
            <v>82</v>
          </cell>
          <cell r="AY1138">
            <v>156</v>
          </cell>
          <cell r="AZ1138">
            <v>1.7057</v>
          </cell>
          <cell r="BA1138" t="str">
            <v>D2106054</v>
          </cell>
          <cell r="BB1138" t="str">
            <v>CONFORM</v>
          </cell>
          <cell r="BC1138" t="str">
            <v>CONFORM</v>
          </cell>
          <cell r="BD1138" t="str">
            <v>CONFORM</v>
          </cell>
          <cell r="BE1138" t="str">
            <v>CONFORM</v>
          </cell>
          <cell r="BF1138" t="str">
            <v>CONFORM</v>
          </cell>
        </row>
        <row r="1139">
          <cell r="A1139">
            <v>44356</v>
          </cell>
          <cell r="B1139" t="str">
            <v>D2106054-7</v>
          </cell>
          <cell r="C1139" t="str">
            <v>045/21</v>
          </cell>
          <cell r="D1139">
            <v>4</v>
          </cell>
          <cell r="E1139">
            <v>44351</v>
          </cell>
          <cell r="F1139" t="str">
            <v>DC</v>
          </cell>
          <cell r="G1139" t="str">
            <v>On Time</v>
          </cell>
          <cell r="H1139" t="str">
            <v>385 A</v>
          </cell>
          <cell r="I1139">
            <v>44327</v>
          </cell>
          <cell r="J1139" t="str">
            <v>ADTI</v>
          </cell>
          <cell r="K1139" t="str">
            <v>D2106054</v>
          </cell>
          <cell r="L1139">
            <v>7</v>
          </cell>
          <cell r="M1139" t="str">
            <v>A2105041</v>
          </cell>
          <cell r="N1139">
            <v>84810</v>
          </cell>
          <cell r="O1139" t="str">
            <v xml:space="preserve">1.4306 TP304L </v>
          </cell>
          <cell r="P1139" t="str">
            <v>304L</v>
          </cell>
          <cell r="Q1139">
            <v>4.6849999999999996</v>
          </cell>
          <cell r="R1139">
            <v>4.6844999999999999</v>
          </cell>
          <cell r="S1139">
            <v>4.7E-2</v>
          </cell>
          <cell r="T1139">
            <v>4.7E-2</v>
          </cell>
          <cell r="U1139">
            <v>4.7350000000000003E-2</v>
          </cell>
          <cell r="V1139">
            <v>4.7175000000000002E-2</v>
          </cell>
          <cell r="W1139" t="str">
            <v>BRS</v>
          </cell>
          <cell r="X1139">
            <v>3254</v>
          </cell>
          <cell r="Y1139">
            <v>1</v>
          </cell>
          <cell r="Z1139">
            <v>694.55709711846328</v>
          </cell>
          <cell r="AA1139" t="str">
            <v>4.685X0.047-304L</v>
          </cell>
          <cell r="AB1139" t="str">
            <v>WAAC011900120B300062</v>
          </cell>
          <cell r="AC1139" t="str">
            <v>D2106054</v>
          </cell>
          <cell r="AD1139">
            <v>84810</v>
          </cell>
          <cell r="AE1139">
            <v>2.1000000000000001E-2</v>
          </cell>
          <cell r="AF1139">
            <v>1.57</v>
          </cell>
          <cell r="AG1139">
            <v>3.4000000000000002E-2</v>
          </cell>
          <cell r="AH1139">
            <v>1E-3</v>
          </cell>
          <cell r="AI1139">
            <v>0.42</v>
          </cell>
          <cell r="AJ1139">
            <v>18.2</v>
          </cell>
          <cell r="AK1139">
            <v>8.1999999999999993</v>
          </cell>
          <cell r="AL1139">
            <v>5.2999999999999999E-2</v>
          </cell>
          <cell r="AM1139">
            <v>0</v>
          </cell>
          <cell r="AN1139">
            <v>0</v>
          </cell>
          <cell r="AO1139">
            <v>0</v>
          </cell>
          <cell r="AP1139">
            <v>0</v>
          </cell>
          <cell r="AQ1139">
            <v>0</v>
          </cell>
          <cell r="AR1139">
            <v>0</v>
          </cell>
          <cell r="AS1139">
            <v>0</v>
          </cell>
          <cell r="AT1139">
            <v>274</v>
          </cell>
          <cell r="AU1139">
            <v>307</v>
          </cell>
          <cell r="AV1139">
            <v>618</v>
          </cell>
          <cell r="AW1139">
            <v>61</v>
          </cell>
          <cell r="AX1139">
            <v>82</v>
          </cell>
          <cell r="AY1139">
            <v>156</v>
          </cell>
          <cell r="AZ1139">
            <v>1.7057</v>
          </cell>
          <cell r="BA1139" t="str">
            <v>D2106054</v>
          </cell>
          <cell r="BB1139" t="str">
            <v>CONFORM</v>
          </cell>
          <cell r="BC1139" t="str">
            <v>CONFORM</v>
          </cell>
          <cell r="BD1139" t="str">
            <v>CONFORM</v>
          </cell>
          <cell r="BE1139" t="str">
            <v>CONFORM</v>
          </cell>
          <cell r="BF1139" t="str">
            <v>CONFORM</v>
          </cell>
        </row>
        <row r="1140">
          <cell r="A1140">
            <v>44364</v>
          </cell>
          <cell r="B1140" t="str">
            <v>D2106120-1</v>
          </cell>
          <cell r="C1140" t="str">
            <v>053/21</v>
          </cell>
          <cell r="D1140">
            <v>1</v>
          </cell>
          <cell r="E1140">
            <v>44364</v>
          </cell>
          <cell r="F1140" t="str">
            <v>DC</v>
          </cell>
          <cell r="G1140" t="str">
            <v>On Time</v>
          </cell>
          <cell r="H1140">
            <v>2408269602</v>
          </cell>
          <cell r="I1140">
            <v>44364</v>
          </cell>
          <cell r="J1140" t="str">
            <v>TKM</v>
          </cell>
          <cell r="K1140" t="str">
            <v>D2106120</v>
          </cell>
          <cell r="L1140">
            <v>1</v>
          </cell>
          <cell r="M1140">
            <v>3311907</v>
          </cell>
          <cell r="N1140">
            <v>531093</v>
          </cell>
          <cell r="O1140" t="str">
            <v xml:space="preserve">1.4401/1.4404 TP316/316L </v>
          </cell>
          <cell r="P1140" t="str">
            <v>316L</v>
          </cell>
          <cell r="Q1140">
            <v>2.2240000000000002</v>
          </cell>
          <cell r="R1140">
            <v>2.2174999999999998</v>
          </cell>
          <cell r="S1140">
            <v>7.9000000000000001E-2</v>
          </cell>
          <cell r="T1140">
            <v>7.8850000000000003E-2</v>
          </cell>
          <cell r="U1140">
            <v>7.8450000000000006E-2</v>
          </cell>
          <cell r="V1140">
            <v>7.8649999999999998E-2</v>
          </cell>
          <cell r="W1140" t="str">
            <v>BRS</v>
          </cell>
          <cell r="X1140">
            <v>1412</v>
          </cell>
          <cell r="Y1140">
            <v>2</v>
          </cell>
          <cell r="Z1140">
            <v>317.44604316546759</v>
          </cell>
          <cell r="AA1140" t="str">
            <v>2.224X0.079-316L</v>
          </cell>
          <cell r="AB1140" t="str">
            <v>WAAF005650200B300138</v>
          </cell>
          <cell r="AC1140" t="str">
            <v>D2106120</v>
          </cell>
          <cell r="AD1140">
            <v>531093</v>
          </cell>
          <cell r="AE1140">
            <v>2.3E-2</v>
          </cell>
          <cell r="AF1140">
            <v>1.42</v>
          </cell>
          <cell r="AG1140">
            <v>0.03</v>
          </cell>
          <cell r="AH1140">
            <v>1E-3</v>
          </cell>
          <cell r="AI1140">
            <v>0.4</v>
          </cell>
          <cell r="AJ1140">
            <v>16.7</v>
          </cell>
          <cell r="AK1140">
            <v>10</v>
          </cell>
          <cell r="AL1140">
            <v>3.2000000000000001E-2</v>
          </cell>
          <cell r="AM1140">
            <v>2.0099999999999998</v>
          </cell>
          <cell r="AN1140">
            <v>0</v>
          </cell>
          <cell r="AO1140">
            <v>0</v>
          </cell>
          <cell r="AP1140">
            <v>0</v>
          </cell>
          <cell r="AQ1140">
            <v>0</v>
          </cell>
          <cell r="AR1140">
            <v>0.35</v>
          </cell>
          <cell r="AS1140">
            <v>0</v>
          </cell>
          <cell r="AT1140">
            <v>305</v>
          </cell>
          <cell r="AU1140">
            <v>0</v>
          </cell>
          <cell r="AV1140">
            <v>618</v>
          </cell>
          <cell r="AW1140">
            <v>51</v>
          </cell>
          <cell r="AX1140">
            <v>82</v>
          </cell>
          <cell r="AY1140">
            <v>156</v>
          </cell>
          <cell r="AZ1140">
            <v>0.15</v>
          </cell>
          <cell r="BA1140" t="str">
            <v>D2106120</v>
          </cell>
          <cell r="BB1140" t="str">
            <v>CONFORM</v>
          </cell>
          <cell r="BC1140" t="str">
            <v>CONFORM</v>
          </cell>
          <cell r="BD1140" t="str">
            <v>CONFORM</v>
          </cell>
          <cell r="BE1140" t="str">
            <v>CONFORM</v>
          </cell>
          <cell r="BF1140" t="str">
            <v>CONFORM</v>
          </cell>
        </row>
        <row r="1141">
          <cell r="A1141">
            <v>44364</v>
          </cell>
          <cell r="B1141" t="str">
            <v>D2106120-2</v>
          </cell>
          <cell r="C1141" t="str">
            <v>053/21</v>
          </cell>
          <cell r="D1141">
            <v>1</v>
          </cell>
          <cell r="E1141">
            <v>44364</v>
          </cell>
          <cell r="F1141" t="str">
            <v>DC</v>
          </cell>
          <cell r="G1141" t="str">
            <v>On Time</v>
          </cell>
          <cell r="H1141">
            <v>2408269602</v>
          </cell>
          <cell r="I1141">
            <v>44364</v>
          </cell>
          <cell r="J1141" t="str">
            <v>TKM</v>
          </cell>
          <cell r="K1141" t="str">
            <v>D2106120</v>
          </cell>
          <cell r="L1141">
            <v>2</v>
          </cell>
          <cell r="M1141">
            <v>3311907</v>
          </cell>
          <cell r="N1141">
            <v>531093</v>
          </cell>
          <cell r="O1141" t="str">
            <v xml:space="preserve">1.4401/1.4404 TP316/316L </v>
          </cell>
          <cell r="P1141" t="str">
            <v>316L</v>
          </cell>
          <cell r="Q1141">
            <v>2.2240000000000002</v>
          </cell>
          <cell r="R1141">
            <v>2.218</v>
          </cell>
          <cell r="S1141">
            <v>7.9000000000000001E-2</v>
          </cell>
          <cell r="T1141">
            <v>7.85E-2</v>
          </cell>
          <cell r="U1141">
            <v>8.0199999999999994E-2</v>
          </cell>
          <cell r="V1141">
            <v>7.9350000000000004E-2</v>
          </cell>
          <cell r="W1141" t="str">
            <v>BRS</v>
          </cell>
          <cell r="X1141">
            <v>1420</v>
          </cell>
          <cell r="Y1141">
            <v>2</v>
          </cell>
          <cell r="Z1141">
            <v>319.24460431654671</v>
          </cell>
          <cell r="AA1141" t="str">
            <v>2.224X0.079-316L</v>
          </cell>
          <cell r="AB1141" t="str">
            <v>WAAF005650200B300138</v>
          </cell>
          <cell r="AC1141" t="str">
            <v>D2106120</v>
          </cell>
          <cell r="AD1141">
            <v>531093</v>
          </cell>
          <cell r="AE1141">
            <v>2.3E-2</v>
          </cell>
          <cell r="AF1141">
            <v>1.42</v>
          </cell>
          <cell r="AG1141">
            <v>0.03</v>
          </cell>
          <cell r="AH1141">
            <v>1E-3</v>
          </cell>
          <cell r="AI1141">
            <v>0.4</v>
          </cell>
          <cell r="AJ1141">
            <v>16.7</v>
          </cell>
          <cell r="AK1141">
            <v>10</v>
          </cell>
          <cell r="AL1141">
            <v>3.2000000000000001E-2</v>
          </cell>
          <cell r="AM1141">
            <v>2.0099999999999998</v>
          </cell>
          <cell r="AN1141">
            <v>0</v>
          </cell>
          <cell r="AO1141">
            <v>0</v>
          </cell>
          <cell r="AP1141">
            <v>0</v>
          </cell>
          <cell r="AQ1141">
            <v>0</v>
          </cell>
          <cell r="AR1141">
            <v>0.35</v>
          </cell>
          <cell r="AS1141">
            <v>0</v>
          </cell>
          <cell r="AT1141">
            <v>305</v>
          </cell>
          <cell r="AU1141">
            <v>0</v>
          </cell>
          <cell r="AV1141">
            <v>618</v>
          </cell>
          <cell r="AW1141">
            <v>51</v>
          </cell>
          <cell r="AX1141">
            <v>82</v>
          </cell>
          <cell r="AY1141">
            <v>156</v>
          </cell>
          <cell r="AZ1141">
            <v>0.15</v>
          </cell>
          <cell r="BA1141" t="str">
            <v>D2106120</v>
          </cell>
          <cell r="BB1141" t="str">
            <v>CONFORM</v>
          </cell>
          <cell r="BC1141" t="str">
            <v>CONFORM</v>
          </cell>
          <cell r="BD1141" t="str">
            <v>CONFORM</v>
          </cell>
          <cell r="BE1141" t="str">
            <v>CONFORM</v>
          </cell>
          <cell r="BF1141" t="str">
            <v>CONFORM</v>
          </cell>
        </row>
        <row r="1142">
          <cell r="A1142">
            <v>44364</v>
          </cell>
          <cell r="B1142" t="str">
            <v>D2106120-3</v>
          </cell>
          <cell r="C1142" t="str">
            <v>053/21</v>
          </cell>
          <cell r="D1142">
            <v>1</v>
          </cell>
          <cell r="E1142">
            <v>44364</v>
          </cell>
          <cell r="F1142" t="str">
            <v>DC</v>
          </cell>
          <cell r="G1142" t="str">
            <v>On Time</v>
          </cell>
          <cell r="H1142">
            <v>2408269602</v>
          </cell>
          <cell r="I1142">
            <v>44364</v>
          </cell>
          <cell r="J1142" t="str">
            <v>TKM</v>
          </cell>
          <cell r="K1142" t="str">
            <v>D2106120</v>
          </cell>
          <cell r="L1142">
            <v>3</v>
          </cell>
          <cell r="M1142">
            <v>3311907</v>
          </cell>
          <cell r="N1142">
            <v>531093</v>
          </cell>
          <cell r="O1142" t="str">
            <v xml:space="preserve">1.4401/1.4404 TP316/316L </v>
          </cell>
          <cell r="P1142" t="str">
            <v>316L</v>
          </cell>
          <cell r="Q1142">
            <v>2.2240000000000002</v>
          </cell>
          <cell r="R1142">
            <v>2.2244999999999999</v>
          </cell>
          <cell r="S1142">
            <v>7.9000000000000001E-2</v>
          </cell>
          <cell r="T1142">
            <v>7.9200000000000007E-2</v>
          </cell>
          <cell r="U1142">
            <v>8.1040000000000001E-2</v>
          </cell>
          <cell r="V1142">
            <v>8.0119999999999997E-2</v>
          </cell>
          <cell r="W1142" t="str">
            <v>BRS</v>
          </cell>
          <cell r="X1142">
            <v>1414</v>
          </cell>
          <cell r="Y1142">
            <v>2</v>
          </cell>
          <cell r="Z1142">
            <v>317.89568345323738</v>
          </cell>
          <cell r="AA1142" t="str">
            <v>2.224X0.079-316L</v>
          </cell>
          <cell r="AB1142" t="str">
            <v>WAAF005650200B300138</v>
          </cell>
          <cell r="AC1142" t="str">
            <v>D2106120</v>
          </cell>
          <cell r="AD1142">
            <v>531093</v>
          </cell>
          <cell r="AE1142">
            <v>2.3E-2</v>
          </cell>
          <cell r="AF1142">
            <v>1.42</v>
          </cell>
          <cell r="AG1142">
            <v>0.03</v>
          </cell>
          <cell r="AH1142">
            <v>1E-3</v>
          </cell>
          <cell r="AI1142">
            <v>0.4</v>
          </cell>
          <cell r="AJ1142">
            <v>16.7</v>
          </cell>
          <cell r="AK1142">
            <v>10</v>
          </cell>
          <cell r="AL1142">
            <v>3.2000000000000001E-2</v>
          </cell>
          <cell r="AM1142">
            <v>2.0099999999999998</v>
          </cell>
          <cell r="AN1142">
            <v>0</v>
          </cell>
          <cell r="AO1142">
            <v>0</v>
          </cell>
          <cell r="AP1142">
            <v>0</v>
          </cell>
          <cell r="AQ1142">
            <v>0</v>
          </cell>
          <cell r="AR1142">
            <v>0.35</v>
          </cell>
          <cell r="AS1142">
            <v>0</v>
          </cell>
          <cell r="AT1142">
            <v>305</v>
          </cell>
          <cell r="AU1142">
            <v>0</v>
          </cell>
          <cell r="AV1142">
            <v>618</v>
          </cell>
          <cell r="AW1142">
            <v>51</v>
          </cell>
          <cell r="AX1142">
            <v>82</v>
          </cell>
          <cell r="AY1142">
            <v>156</v>
          </cell>
          <cell r="AZ1142">
            <v>0.15</v>
          </cell>
          <cell r="BA1142" t="str">
            <v>D2106120</v>
          </cell>
          <cell r="BB1142" t="str">
            <v>CONFORM</v>
          </cell>
          <cell r="BC1142" t="str">
            <v>CONFORM</v>
          </cell>
          <cell r="BD1142" t="str">
            <v>CONFORM</v>
          </cell>
          <cell r="BE1142" t="str">
            <v>CONFORM</v>
          </cell>
          <cell r="BF1142" t="str">
            <v>CONFORM</v>
          </cell>
        </row>
        <row r="1143">
          <cell r="A1143">
            <v>44364</v>
          </cell>
          <cell r="B1143" t="str">
            <v>D2106120-4</v>
          </cell>
          <cell r="C1143" t="str">
            <v>053/21</v>
          </cell>
          <cell r="D1143">
            <v>1</v>
          </cell>
          <cell r="E1143">
            <v>44364</v>
          </cell>
          <cell r="F1143" t="str">
            <v>DC</v>
          </cell>
          <cell r="G1143" t="str">
            <v>On Time</v>
          </cell>
          <cell r="H1143">
            <v>2408269602</v>
          </cell>
          <cell r="I1143">
            <v>44364</v>
          </cell>
          <cell r="J1143" t="str">
            <v>TKM</v>
          </cell>
          <cell r="K1143" t="str">
            <v>D2106120</v>
          </cell>
          <cell r="L1143">
            <v>4</v>
          </cell>
          <cell r="M1143">
            <v>3311907</v>
          </cell>
          <cell r="N1143">
            <v>531093</v>
          </cell>
          <cell r="O1143" t="str">
            <v xml:space="preserve">1.4401/1.4404 TP316/316L </v>
          </cell>
          <cell r="P1143" t="str">
            <v>316L</v>
          </cell>
          <cell r="Q1143">
            <v>2.2240000000000002</v>
          </cell>
          <cell r="R1143">
            <v>2.2214999999999998</v>
          </cell>
          <cell r="S1143">
            <v>7.9000000000000001E-2</v>
          </cell>
          <cell r="T1143">
            <v>9.06E-2</v>
          </cell>
          <cell r="U1143">
            <v>8.0549999999999997E-2</v>
          </cell>
          <cell r="V1143">
            <v>8.5574999999999998E-2</v>
          </cell>
          <cell r="W1143" t="str">
            <v>BRS</v>
          </cell>
          <cell r="X1143">
            <v>1406</v>
          </cell>
          <cell r="Y1143">
            <v>2</v>
          </cell>
          <cell r="Z1143">
            <v>316.09712230215825</v>
          </cell>
          <cell r="AA1143" t="str">
            <v>2.224X0.079-316L</v>
          </cell>
          <cell r="AB1143" t="str">
            <v>WAAF005650200B300138</v>
          </cell>
          <cell r="AC1143" t="str">
            <v>D2106120</v>
          </cell>
          <cell r="AD1143">
            <v>531093</v>
          </cell>
          <cell r="AE1143">
            <v>2.3E-2</v>
          </cell>
          <cell r="AF1143">
            <v>1.42</v>
          </cell>
          <cell r="AG1143">
            <v>0.03</v>
          </cell>
          <cell r="AH1143">
            <v>1E-3</v>
          </cell>
          <cell r="AI1143">
            <v>0.4</v>
          </cell>
          <cell r="AJ1143">
            <v>16.7</v>
          </cell>
          <cell r="AK1143">
            <v>10</v>
          </cell>
          <cell r="AL1143">
            <v>3.2000000000000001E-2</v>
          </cell>
          <cell r="AM1143">
            <v>2.0099999999999998</v>
          </cell>
          <cell r="AN1143">
            <v>0</v>
          </cell>
          <cell r="AO1143">
            <v>0</v>
          </cell>
          <cell r="AP1143">
            <v>0</v>
          </cell>
          <cell r="AQ1143">
            <v>0</v>
          </cell>
          <cell r="AR1143">
            <v>0.35</v>
          </cell>
          <cell r="AS1143">
            <v>0</v>
          </cell>
          <cell r="AT1143">
            <v>305</v>
          </cell>
          <cell r="AU1143">
            <v>0</v>
          </cell>
          <cell r="AV1143">
            <v>618</v>
          </cell>
          <cell r="AW1143">
            <v>51</v>
          </cell>
          <cell r="AX1143">
            <v>82</v>
          </cell>
          <cell r="AY1143">
            <v>156</v>
          </cell>
          <cell r="AZ1143">
            <v>0.15</v>
          </cell>
          <cell r="BA1143" t="str">
            <v>D2106120</v>
          </cell>
          <cell r="BB1143" t="str">
            <v>CONFORM</v>
          </cell>
          <cell r="BC1143" t="str">
            <v>CONFORM</v>
          </cell>
          <cell r="BD1143" t="str">
            <v>CONFORM</v>
          </cell>
          <cell r="BE1143" t="str">
            <v>CONFORM</v>
          </cell>
          <cell r="BF1143" t="str">
            <v>CONFORM</v>
          </cell>
        </row>
        <row r="1144">
          <cell r="A1144">
            <v>44364</v>
          </cell>
          <cell r="B1144" t="str">
            <v>D2106120-5</v>
          </cell>
          <cell r="C1144" t="str">
            <v>053/21</v>
          </cell>
          <cell r="D1144">
            <v>1</v>
          </cell>
          <cell r="E1144">
            <v>44364</v>
          </cell>
          <cell r="F1144" t="str">
            <v>DC</v>
          </cell>
          <cell r="G1144" t="str">
            <v>On Time</v>
          </cell>
          <cell r="H1144">
            <v>2408269602</v>
          </cell>
          <cell r="I1144">
            <v>44364</v>
          </cell>
          <cell r="J1144" t="str">
            <v>TKM</v>
          </cell>
          <cell r="K1144" t="str">
            <v>D2106120</v>
          </cell>
          <cell r="L1144">
            <v>5</v>
          </cell>
          <cell r="M1144">
            <v>3311907</v>
          </cell>
          <cell r="N1144">
            <v>531093</v>
          </cell>
          <cell r="O1144" t="str">
            <v xml:space="preserve">1.4401/1.4404 TP316/316L </v>
          </cell>
          <cell r="P1144" t="str">
            <v>316L</v>
          </cell>
          <cell r="Q1144">
            <v>2.2240000000000002</v>
          </cell>
          <cell r="R1144">
            <v>2.2200000000000002</v>
          </cell>
          <cell r="S1144">
            <v>7.9000000000000001E-2</v>
          </cell>
          <cell r="T1144">
            <v>7.8600000000000003E-2</v>
          </cell>
          <cell r="U1144">
            <v>8.1199999999999994E-2</v>
          </cell>
          <cell r="V1144">
            <v>7.9899999999999999E-2</v>
          </cell>
          <cell r="W1144" t="str">
            <v>BRS</v>
          </cell>
          <cell r="X1144">
            <v>1420</v>
          </cell>
          <cell r="Y1144">
            <v>2</v>
          </cell>
          <cell r="Z1144">
            <v>319.24460431654671</v>
          </cell>
          <cell r="AA1144" t="str">
            <v>2.224X0.079-316L</v>
          </cell>
          <cell r="AB1144" t="str">
            <v>WAAF005650200B300138</v>
          </cell>
          <cell r="AC1144" t="str">
            <v>D2106120</v>
          </cell>
          <cell r="AD1144">
            <v>531093</v>
          </cell>
          <cell r="AE1144">
            <v>2.3E-2</v>
          </cell>
          <cell r="AF1144">
            <v>1.42</v>
          </cell>
          <cell r="AG1144">
            <v>0.03</v>
          </cell>
          <cell r="AH1144">
            <v>1E-3</v>
          </cell>
          <cell r="AI1144">
            <v>0.4</v>
          </cell>
          <cell r="AJ1144">
            <v>16.7</v>
          </cell>
          <cell r="AK1144">
            <v>10</v>
          </cell>
          <cell r="AL1144">
            <v>3.2000000000000001E-2</v>
          </cell>
          <cell r="AM1144">
            <v>2.0099999999999998</v>
          </cell>
          <cell r="AN1144">
            <v>0</v>
          </cell>
          <cell r="AO1144">
            <v>0</v>
          </cell>
          <cell r="AP1144">
            <v>0</v>
          </cell>
          <cell r="AQ1144">
            <v>0</v>
          </cell>
          <cell r="AR1144">
            <v>0.35</v>
          </cell>
          <cell r="AS1144">
            <v>0</v>
          </cell>
          <cell r="AT1144">
            <v>305</v>
          </cell>
          <cell r="AU1144">
            <v>0</v>
          </cell>
          <cell r="AV1144">
            <v>618</v>
          </cell>
          <cell r="AW1144">
            <v>51</v>
          </cell>
          <cell r="AX1144">
            <v>82</v>
          </cell>
          <cell r="AY1144">
            <v>156</v>
          </cell>
          <cell r="AZ1144">
            <v>0.15</v>
          </cell>
          <cell r="BA1144" t="str">
            <v>D2106120</v>
          </cell>
          <cell r="BB1144" t="str">
            <v>CONFORM</v>
          </cell>
          <cell r="BC1144" t="str">
            <v>CONFORM</v>
          </cell>
          <cell r="BD1144" t="str">
            <v>CONFORM</v>
          </cell>
          <cell r="BE1144" t="str">
            <v>CONFORM</v>
          </cell>
          <cell r="BF1144" t="str">
            <v>CONFORM</v>
          </cell>
        </row>
        <row r="1145">
          <cell r="A1145">
            <v>44364</v>
          </cell>
          <cell r="B1145" t="str">
            <v>D2106120-6</v>
          </cell>
          <cell r="C1145" t="str">
            <v>053/21</v>
          </cell>
          <cell r="D1145">
            <v>1</v>
          </cell>
          <cell r="E1145">
            <v>44364</v>
          </cell>
          <cell r="F1145" t="str">
            <v>DC</v>
          </cell>
          <cell r="G1145" t="str">
            <v>On Time</v>
          </cell>
          <cell r="H1145">
            <v>2408269602</v>
          </cell>
          <cell r="I1145">
            <v>44364</v>
          </cell>
          <cell r="J1145" t="str">
            <v>TKM</v>
          </cell>
          <cell r="K1145" t="str">
            <v>D2106120</v>
          </cell>
          <cell r="L1145">
            <v>6</v>
          </cell>
          <cell r="M1145">
            <v>3311907</v>
          </cell>
          <cell r="N1145">
            <v>531093</v>
          </cell>
          <cell r="O1145" t="str">
            <v xml:space="preserve">1.4401/1.4404 TP316/316L </v>
          </cell>
          <cell r="P1145" t="str">
            <v>316L</v>
          </cell>
          <cell r="Q1145">
            <v>2.2240000000000002</v>
          </cell>
          <cell r="R1145">
            <v>2.2195</v>
          </cell>
          <cell r="S1145">
            <v>7.9000000000000001E-2</v>
          </cell>
          <cell r="T1145">
            <v>7.9450000000000007E-2</v>
          </cell>
          <cell r="U1145">
            <v>8.1799999999999998E-2</v>
          </cell>
          <cell r="V1145">
            <v>8.0625000000000002E-2</v>
          </cell>
          <cell r="W1145" t="str">
            <v>BRS</v>
          </cell>
          <cell r="X1145">
            <v>1408</v>
          </cell>
          <cell r="Y1145">
            <v>2</v>
          </cell>
          <cell r="Z1145">
            <v>316.54676258992805</v>
          </cell>
          <cell r="AA1145" t="str">
            <v>2.224X0.079-316L</v>
          </cell>
          <cell r="AB1145" t="str">
            <v>WAAF005650200B300138</v>
          </cell>
          <cell r="AC1145" t="str">
            <v>D2106120</v>
          </cell>
          <cell r="AD1145">
            <v>531093</v>
          </cell>
          <cell r="AE1145">
            <v>2.3E-2</v>
          </cell>
          <cell r="AF1145">
            <v>1.42</v>
          </cell>
          <cell r="AG1145">
            <v>0.03</v>
          </cell>
          <cell r="AH1145">
            <v>1E-3</v>
          </cell>
          <cell r="AI1145">
            <v>0.4</v>
          </cell>
          <cell r="AJ1145">
            <v>16.7</v>
          </cell>
          <cell r="AK1145">
            <v>10</v>
          </cell>
          <cell r="AL1145">
            <v>3.2000000000000001E-2</v>
          </cell>
          <cell r="AM1145">
            <v>2.0099999999999998</v>
          </cell>
          <cell r="AN1145">
            <v>0</v>
          </cell>
          <cell r="AO1145">
            <v>0</v>
          </cell>
          <cell r="AP1145">
            <v>0</v>
          </cell>
          <cell r="AQ1145">
            <v>0</v>
          </cell>
          <cell r="AR1145">
            <v>0.35</v>
          </cell>
          <cell r="AS1145">
            <v>0</v>
          </cell>
          <cell r="AT1145">
            <v>305</v>
          </cell>
          <cell r="AU1145">
            <v>0</v>
          </cell>
          <cell r="AV1145">
            <v>618</v>
          </cell>
          <cell r="AW1145">
            <v>51</v>
          </cell>
          <cell r="AX1145">
            <v>82</v>
          </cell>
          <cell r="AY1145">
            <v>156</v>
          </cell>
          <cell r="AZ1145">
            <v>0.15</v>
          </cell>
          <cell r="BA1145" t="str">
            <v>D2106120</v>
          </cell>
          <cell r="BB1145" t="str">
            <v>CONFORM</v>
          </cell>
          <cell r="BC1145" t="str">
            <v>CONFORM</v>
          </cell>
          <cell r="BD1145" t="str">
            <v>CONFORM</v>
          </cell>
          <cell r="BE1145" t="str">
            <v>CONFORM</v>
          </cell>
          <cell r="BF1145" t="str">
            <v>CONFORM</v>
          </cell>
        </row>
        <row r="1146">
          <cell r="A1146">
            <v>44364</v>
          </cell>
          <cell r="B1146" t="str">
            <v>D2106120-7</v>
          </cell>
          <cell r="C1146" t="str">
            <v>053/21</v>
          </cell>
          <cell r="D1146">
            <v>1</v>
          </cell>
          <cell r="E1146">
            <v>44364</v>
          </cell>
          <cell r="F1146" t="str">
            <v>DC</v>
          </cell>
          <cell r="G1146" t="str">
            <v>On Time</v>
          </cell>
          <cell r="H1146">
            <v>2408269602</v>
          </cell>
          <cell r="I1146">
            <v>44364</v>
          </cell>
          <cell r="J1146" t="str">
            <v>TKM</v>
          </cell>
          <cell r="K1146" t="str">
            <v>D2106120</v>
          </cell>
          <cell r="L1146">
            <v>7</v>
          </cell>
          <cell r="M1146">
            <v>3311907</v>
          </cell>
          <cell r="N1146">
            <v>531093</v>
          </cell>
          <cell r="O1146" t="str">
            <v xml:space="preserve">1.4401/1.4404 TP316/316L </v>
          </cell>
          <cell r="P1146" t="str">
            <v>316L</v>
          </cell>
          <cell r="Q1146">
            <v>2.2240000000000002</v>
          </cell>
          <cell r="R1146">
            <v>2.2235</v>
          </cell>
          <cell r="S1146">
            <v>7.9000000000000001E-2</v>
          </cell>
          <cell r="T1146">
            <v>7.8E-2</v>
          </cell>
          <cell r="U1146">
            <v>7.9149999999999998E-2</v>
          </cell>
          <cell r="V1146">
            <v>7.8575000000000006E-2</v>
          </cell>
          <cell r="W1146" t="str">
            <v>BRS</v>
          </cell>
          <cell r="X1146">
            <v>700</v>
          </cell>
          <cell r="Y1146">
            <v>1</v>
          </cell>
          <cell r="Z1146">
            <v>314.74820143884887</v>
          </cell>
          <cell r="AA1146" t="str">
            <v>2.224X0.079-316L</v>
          </cell>
          <cell r="AB1146" t="str">
            <v>WAAF005650200B300138</v>
          </cell>
          <cell r="AC1146" t="str">
            <v>D2106120</v>
          </cell>
          <cell r="AD1146">
            <v>531093</v>
          </cell>
          <cell r="AE1146">
            <v>2.3E-2</v>
          </cell>
          <cell r="AF1146">
            <v>1.42</v>
          </cell>
          <cell r="AG1146">
            <v>0.03</v>
          </cell>
          <cell r="AH1146">
            <v>1E-3</v>
          </cell>
          <cell r="AI1146">
            <v>0.4</v>
          </cell>
          <cell r="AJ1146">
            <v>16.7</v>
          </cell>
          <cell r="AK1146">
            <v>10</v>
          </cell>
          <cell r="AL1146">
            <v>3.2000000000000001E-2</v>
          </cell>
          <cell r="AM1146">
            <v>2.0099999999999998</v>
          </cell>
          <cell r="AN1146">
            <v>0</v>
          </cell>
          <cell r="AO1146">
            <v>0</v>
          </cell>
          <cell r="AP1146">
            <v>0</v>
          </cell>
          <cell r="AQ1146">
            <v>0</v>
          </cell>
          <cell r="AR1146">
            <v>0.35</v>
          </cell>
          <cell r="AS1146">
            <v>0</v>
          </cell>
          <cell r="AT1146">
            <v>305</v>
          </cell>
          <cell r="AU1146">
            <v>0</v>
          </cell>
          <cell r="AV1146">
            <v>618</v>
          </cell>
          <cell r="AW1146">
            <v>51</v>
          </cell>
          <cell r="AX1146">
            <v>82</v>
          </cell>
          <cell r="AY1146">
            <v>156</v>
          </cell>
          <cell r="AZ1146">
            <v>0.15</v>
          </cell>
          <cell r="BA1146" t="str">
            <v>D2106120</v>
          </cell>
          <cell r="BB1146" t="str">
            <v>CONFORM</v>
          </cell>
          <cell r="BC1146" t="str">
            <v>CONFORM</v>
          </cell>
          <cell r="BD1146" t="str">
            <v>CONFORM</v>
          </cell>
          <cell r="BE1146" t="str">
            <v>CONFORM</v>
          </cell>
          <cell r="BF1146" t="str">
            <v>CONFORM</v>
          </cell>
        </row>
        <row r="1147">
          <cell r="A1147">
            <v>44364</v>
          </cell>
          <cell r="B1147" t="str">
            <v>D2106121-1</v>
          </cell>
          <cell r="C1147" t="str">
            <v>053/21</v>
          </cell>
          <cell r="D1147">
            <v>2</v>
          </cell>
          <cell r="E1147">
            <v>44364</v>
          </cell>
          <cell r="F1147" t="str">
            <v>DC</v>
          </cell>
          <cell r="G1147" t="str">
            <v>On Time</v>
          </cell>
          <cell r="H1147">
            <v>2408269602</v>
          </cell>
          <cell r="I1147">
            <v>44364</v>
          </cell>
          <cell r="J1147" t="str">
            <v>TKM</v>
          </cell>
          <cell r="K1147" t="str">
            <v>D2106121</v>
          </cell>
          <cell r="L1147">
            <v>1</v>
          </cell>
          <cell r="M1147">
            <v>3311907</v>
          </cell>
          <cell r="N1147">
            <v>531093</v>
          </cell>
          <cell r="O1147" t="str">
            <v xml:space="preserve">1.4401/1.4404 TP316/316L </v>
          </cell>
          <cell r="P1147" t="str">
            <v>316L</v>
          </cell>
          <cell r="Q1147">
            <v>2.2989999999999999</v>
          </cell>
          <cell r="R1147">
            <v>2.2945000000000002</v>
          </cell>
          <cell r="S1147">
            <v>0.08</v>
          </cell>
          <cell r="T1147">
            <v>7.8399999999999997E-2</v>
          </cell>
          <cell r="U1147">
            <v>7.8700000000000006E-2</v>
          </cell>
          <cell r="V1147">
            <v>7.8550000000000009E-2</v>
          </cell>
          <cell r="W1147" t="str">
            <v>BRS</v>
          </cell>
          <cell r="X1147">
            <v>1480</v>
          </cell>
          <cell r="Y1147">
            <v>2</v>
          </cell>
          <cell r="Z1147">
            <v>321.87907785993912</v>
          </cell>
          <cell r="AA1147" t="str">
            <v>2.299X0.08-316L</v>
          </cell>
          <cell r="AB1147" t="str">
            <v>WAAF005840203B300137</v>
          </cell>
          <cell r="AC1147" t="str">
            <v>D2106121</v>
          </cell>
          <cell r="AD1147">
            <v>531093</v>
          </cell>
          <cell r="AE1147">
            <v>2.3E-2</v>
          </cell>
          <cell r="AF1147">
            <v>1.42</v>
          </cell>
          <cell r="AG1147">
            <v>0.03</v>
          </cell>
          <cell r="AH1147">
            <v>1E-3</v>
          </cell>
          <cell r="AI1147">
            <v>0.4</v>
          </cell>
          <cell r="AJ1147">
            <v>16.7</v>
          </cell>
          <cell r="AK1147">
            <v>10</v>
          </cell>
          <cell r="AL1147">
            <v>3.2000000000000001E-2</v>
          </cell>
          <cell r="AM1147">
            <v>2.0099999999999998</v>
          </cell>
          <cell r="AN1147">
            <v>0</v>
          </cell>
          <cell r="AO1147">
            <v>0</v>
          </cell>
          <cell r="AP1147">
            <v>0</v>
          </cell>
          <cell r="AQ1147">
            <v>0</v>
          </cell>
          <cell r="AR1147">
            <v>0.35</v>
          </cell>
          <cell r="AS1147">
            <v>0</v>
          </cell>
          <cell r="AT1147">
            <v>305</v>
          </cell>
          <cell r="AU1147">
            <v>0</v>
          </cell>
          <cell r="AV1147">
            <v>618</v>
          </cell>
          <cell r="AW1147">
            <v>51</v>
          </cell>
          <cell r="AX1147">
            <v>82</v>
          </cell>
          <cell r="AY1147">
            <v>156</v>
          </cell>
          <cell r="AZ1147">
            <v>0.15</v>
          </cell>
          <cell r="BA1147" t="str">
            <v>D2106121</v>
          </cell>
          <cell r="BB1147" t="str">
            <v>CONFORM</v>
          </cell>
          <cell r="BC1147" t="str">
            <v>CONFORM</v>
          </cell>
          <cell r="BD1147" t="str">
            <v>CONFORM</v>
          </cell>
          <cell r="BE1147" t="str">
            <v>CONFORM</v>
          </cell>
          <cell r="BF1147" t="str">
            <v>CONFORM</v>
          </cell>
        </row>
        <row r="1148">
          <cell r="A1148">
            <v>44364</v>
          </cell>
          <cell r="B1148" t="str">
            <v>D2106121-2</v>
          </cell>
          <cell r="C1148" t="str">
            <v>053/21</v>
          </cell>
          <cell r="D1148">
            <v>2</v>
          </cell>
          <cell r="E1148">
            <v>44364</v>
          </cell>
          <cell r="F1148" t="str">
            <v>DC</v>
          </cell>
          <cell r="G1148" t="str">
            <v>On Time</v>
          </cell>
          <cell r="H1148">
            <v>2408269602</v>
          </cell>
          <cell r="I1148">
            <v>44364</v>
          </cell>
          <cell r="J1148" t="str">
            <v>TKM</v>
          </cell>
          <cell r="K1148" t="str">
            <v>D2106121</v>
          </cell>
          <cell r="L1148">
            <v>2</v>
          </cell>
          <cell r="M1148">
            <v>3311907</v>
          </cell>
          <cell r="N1148">
            <v>531093</v>
          </cell>
          <cell r="O1148" t="str">
            <v xml:space="preserve">1.4401/1.4404 TP316/316L </v>
          </cell>
          <cell r="P1148" t="str">
            <v>316L</v>
          </cell>
          <cell r="Q1148">
            <v>2.2989999999999999</v>
          </cell>
          <cell r="R1148">
            <v>2.294</v>
          </cell>
          <cell r="S1148">
            <v>0.08</v>
          </cell>
          <cell r="T1148">
            <v>7.8399999999999997E-2</v>
          </cell>
          <cell r="U1148">
            <v>7.9299999999999995E-2</v>
          </cell>
          <cell r="V1148">
            <v>7.8850000000000003E-2</v>
          </cell>
          <cell r="W1148" t="str">
            <v>BRS</v>
          </cell>
          <cell r="X1148">
            <v>1486</v>
          </cell>
          <cell r="Y1148">
            <v>2</v>
          </cell>
          <cell r="Z1148">
            <v>323.18399304045238</v>
          </cell>
          <cell r="AA1148" t="str">
            <v>2.299X0.08-316L</v>
          </cell>
          <cell r="AB1148" t="str">
            <v>WAAF005840203B300137</v>
          </cell>
          <cell r="AC1148" t="str">
            <v>D2106121</v>
          </cell>
          <cell r="AD1148">
            <v>531093</v>
          </cell>
          <cell r="AE1148">
            <v>2.3E-2</v>
          </cell>
          <cell r="AF1148">
            <v>1.42</v>
          </cell>
          <cell r="AG1148">
            <v>0.03</v>
          </cell>
          <cell r="AH1148">
            <v>1E-3</v>
          </cell>
          <cell r="AI1148">
            <v>0.4</v>
          </cell>
          <cell r="AJ1148">
            <v>16.7</v>
          </cell>
          <cell r="AK1148">
            <v>10</v>
          </cell>
          <cell r="AL1148">
            <v>3.2000000000000001E-2</v>
          </cell>
          <cell r="AM1148">
            <v>2.0099999999999998</v>
          </cell>
          <cell r="AN1148">
            <v>0</v>
          </cell>
          <cell r="AO1148">
            <v>0</v>
          </cell>
          <cell r="AP1148">
            <v>0</v>
          </cell>
          <cell r="AQ1148">
            <v>0</v>
          </cell>
          <cell r="AR1148">
            <v>0.35</v>
          </cell>
          <cell r="AS1148">
            <v>0</v>
          </cell>
          <cell r="AT1148">
            <v>305</v>
          </cell>
          <cell r="AU1148">
            <v>0</v>
          </cell>
          <cell r="AV1148">
            <v>618</v>
          </cell>
          <cell r="AW1148">
            <v>51</v>
          </cell>
          <cell r="AX1148">
            <v>82</v>
          </cell>
          <cell r="AY1148">
            <v>156</v>
          </cell>
          <cell r="AZ1148">
            <v>0.15</v>
          </cell>
          <cell r="BA1148" t="str">
            <v>D2106121</v>
          </cell>
          <cell r="BB1148" t="str">
            <v>CONFORM</v>
          </cell>
          <cell r="BC1148" t="str">
            <v>CONFORM</v>
          </cell>
          <cell r="BD1148" t="str">
            <v>CONFORM</v>
          </cell>
          <cell r="BE1148" t="str">
            <v>CONFORM</v>
          </cell>
          <cell r="BF1148" t="str">
            <v>CONFORM</v>
          </cell>
        </row>
        <row r="1149">
          <cell r="A1149">
            <v>44364</v>
          </cell>
          <cell r="B1149" t="str">
            <v>D2106121-3</v>
          </cell>
          <cell r="C1149" t="str">
            <v>053/21</v>
          </cell>
          <cell r="D1149">
            <v>2</v>
          </cell>
          <cell r="E1149">
            <v>44364</v>
          </cell>
          <cell r="F1149" t="str">
            <v>DC</v>
          </cell>
          <cell r="G1149" t="str">
            <v>On Time</v>
          </cell>
          <cell r="H1149">
            <v>2408269602</v>
          </cell>
          <cell r="I1149">
            <v>44364</v>
          </cell>
          <cell r="J1149" t="str">
            <v>TKM</v>
          </cell>
          <cell r="K1149" t="str">
            <v>D2106121</v>
          </cell>
          <cell r="L1149">
            <v>3</v>
          </cell>
          <cell r="M1149">
            <v>3311907</v>
          </cell>
          <cell r="N1149">
            <v>531093</v>
          </cell>
          <cell r="O1149" t="str">
            <v xml:space="preserve">1.4401/1.4404 TP316/316L </v>
          </cell>
          <cell r="P1149" t="str">
            <v>316L</v>
          </cell>
          <cell r="Q1149">
            <v>2.2989999999999999</v>
          </cell>
          <cell r="R1149">
            <v>2.2945000000000002</v>
          </cell>
          <cell r="S1149">
            <v>0.08</v>
          </cell>
          <cell r="T1149">
            <v>8.0049999999999996E-2</v>
          </cell>
          <cell r="U1149">
            <v>8.1030000000000005E-2</v>
          </cell>
          <cell r="V1149">
            <v>8.054E-2</v>
          </cell>
          <cell r="W1149" t="str">
            <v>BRS</v>
          </cell>
          <cell r="X1149">
            <v>1470</v>
          </cell>
          <cell r="Y1149">
            <v>2</v>
          </cell>
          <cell r="Z1149">
            <v>319.70421922575031</v>
          </cell>
          <cell r="AA1149" t="str">
            <v>2.299X0.08-316L</v>
          </cell>
          <cell r="AB1149" t="str">
            <v>WAAF005840203B300137</v>
          </cell>
          <cell r="AC1149" t="str">
            <v>D2106121</v>
          </cell>
          <cell r="AD1149">
            <v>531093</v>
          </cell>
          <cell r="AE1149">
            <v>2.3E-2</v>
          </cell>
          <cell r="AF1149">
            <v>1.42</v>
          </cell>
          <cell r="AG1149">
            <v>0.03</v>
          </cell>
          <cell r="AH1149">
            <v>1E-3</v>
          </cell>
          <cell r="AI1149">
            <v>0.4</v>
          </cell>
          <cell r="AJ1149">
            <v>16.7</v>
          </cell>
          <cell r="AK1149">
            <v>10</v>
          </cell>
          <cell r="AL1149">
            <v>3.2000000000000001E-2</v>
          </cell>
          <cell r="AM1149">
            <v>2.0099999999999998</v>
          </cell>
          <cell r="AN1149">
            <v>0</v>
          </cell>
          <cell r="AO1149">
            <v>0</v>
          </cell>
          <cell r="AP1149">
            <v>0</v>
          </cell>
          <cell r="AQ1149">
            <v>0</v>
          </cell>
          <cell r="AR1149">
            <v>0.35</v>
          </cell>
          <cell r="AS1149">
            <v>0</v>
          </cell>
          <cell r="AT1149">
            <v>305</v>
          </cell>
          <cell r="AU1149">
            <v>0</v>
          </cell>
          <cell r="AV1149">
            <v>618</v>
          </cell>
          <cell r="AW1149">
            <v>51</v>
          </cell>
          <cell r="AX1149">
            <v>82</v>
          </cell>
          <cell r="AY1149">
            <v>156</v>
          </cell>
          <cell r="AZ1149">
            <v>0.15</v>
          </cell>
          <cell r="BA1149" t="str">
            <v>D2106121</v>
          </cell>
          <cell r="BB1149" t="str">
            <v>CONFORM</v>
          </cell>
          <cell r="BC1149" t="str">
            <v>CONFORM</v>
          </cell>
          <cell r="BD1149" t="str">
            <v>CONFORM</v>
          </cell>
          <cell r="BE1149" t="str">
            <v>CONFORM</v>
          </cell>
          <cell r="BF1149" t="str">
            <v>CONFORM</v>
          </cell>
        </row>
        <row r="1150">
          <cell r="A1150">
            <v>44364</v>
          </cell>
          <cell r="B1150" t="str">
            <v>D2106121-4</v>
          </cell>
          <cell r="C1150" t="str">
            <v>053/21</v>
          </cell>
          <cell r="D1150">
            <v>2</v>
          </cell>
          <cell r="E1150">
            <v>44364</v>
          </cell>
          <cell r="F1150" t="str">
            <v>DC</v>
          </cell>
          <cell r="G1150" t="str">
            <v>On Time</v>
          </cell>
          <cell r="H1150">
            <v>2408269602</v>
          </cell>
          <cell r="I1150">
            <v>44364</v>
          </cell>
          <cell r="J1150" t="str">
            <v>TKM</v>
          </cell>
          <cell r="K1150" t="str">
            <v>D2106121</v>
          </cell>
          <cell r="L1150">
            <v>4</v>
          </cell>
          <cell r="M1150">
            <v>3311907</v>
          </cell>
          <cell r="N1150">
            <v>531093</v>
          </cell>
          <cell r="O1150" t="str">
            <v xml:space="preserve">1.4401/1.4404 TP316/316L </v>
          </cell>
          <cell r="P1150" t="str">
            <v>316L</v>
          </cell>
          <cell r="Q1150">
            <v>2.2989999999999999</v>
          </cell>
          <cell r="R1150">
            <v>2.2949999999999999</v>
          </cell>
          <cell r="S1150">
            <v>0.08</v>
          </cell>
          <cell r="T1150">
            <v>8.0549999999999997E-2</v>
          </cell>
          <cell r="U1150">
            <v>7.9299999999999995E-2</v>
          </cell>
          <cell r="V1150">
            <v>7.9924999999999996E-2</v>
          </cell>
          <cell r="W1150" t="str">
            <v>BRS</v>
          </cell>
          <cell r="X1150">
            <v>736</v>
          </cell>
          <cell r="Y1150">
            <v>1</v>
          </cell>
          <cell r="Z1150">
            <v>320.13919095258808</v>
          </cell>
          <cell r="AA1150" t="str">
            <v>2.299X0.08-316L</v>
          </cell>
          <cell r="AB1150" t="str">
            <v>WAAF005840203B300137</v>
          </cell>
          <cell r="AC1150" t="str">
            <v>D2106121</v>
          </cell>
          <cell r="AD1150">
            <v>531093</v>
          </cell>
          <cell r="AE1150">
            <v>2.3E-2</v>
          </cell>
          <cell r="AF1150">
            <v>1.42</v>
          </cell>
          <cell r="AG1150">
            <v>0.03</v>
          </cell>
          <cell r="AH1150">
            <v>1E-3</v>
          </cell>
          <cell r="AI1150">
            <v>0.4</v>
          </cell>
          <cell r="AJ1150">
            <v>16.7</v>
          </cell>
          <cell r="AK1150">
            <v>10</v>
          </cell>
          <cell r="AL1150">
            <v>3.2000000000000001E-2</v>
          </cell>
          <cell r="AM1150">
            <v>2.0099999999999998</v>
          </cell>
          <cell r="AN1150">
            <v>0</v>
          </cell>
          <cell r="AO1150">
            <v>0</v>
          </cell>
          <cell r="AP1150">
            <v>0</v>
          </cell>
          <cell r="AQ1150">
            <v>0</v>
          </cell>
          <cell r="AR1150">
            <v>0.35</v>
          </cell>
          <cell r="AS1150">
            <v>0</v>
          </cell>
          <cell r="AT1150">
            <v>305</v>
          </cell>
          <cell r="AU1150">
            <v>0</v>
          </cell>
          <cell r="AV1150">
            <v>618</v>
          </cell>
          <cell r="AW1150">
            <v>51</v>
          </cell>
          <cell r="AX1150">
            <v>82</v>
          </cell>
          <cell r="AY1150">
            <v>156</v>
          </cell>
          <cell r="AZ1150">
            <v>0.15</v>
          </cell>
          <cell r="BA1150" t="str">
            <v>D2106121</v>
          </cell>
          <cell r="BB1150" t="str">
            <v>CONFORM</v>
          </cell>
          <cell r="BC1150" t="str">
            <v>CONFORM</v>
          </cell>
          <cell r="BD1150" t="str">
            <v>CONFORM</v>
          </cell>
          <cell r="BE1150" t="str">
            <v>CONFORM</v>
          </cell>
          <cell r="BF1150" t="str">
            <v>CONFORM</v>
          </cell>
        </row>
        <row r="1151">
          <cell r="A1151">
            <v>44368</v>
          </cell>
          <cell r="B1151" t="str">
            <v>D2106148-1</v>
          </cell>
          <cell r="C1151" t="str">
            <v>047/21</v>
          </cell>
          <cell r="D1151">
            <v>4</v>
          </cell>
          <cell r="E1151">
            <v>44366</v>
          </cell>
          <cell r="F1151" t="str">
            <v>SO</v>
          </cell>
          <cell r="G1151" t="str">
            <v>On Time</v>
          </cell>
          <cell r="H1151" t="str">
            <v>413 A</v>
          </cell>
          <cell r="I1151">
            <v>44342</v>
          </cell>
          <cell r="J1151" t="str">
            <v>ADTI</v>
          </cell>
          <cell r="K1151" t="str">
            <v>D2106148</v>
          </cell>
          <cell r="L1151">
            <v>1</v>
          </cell>
          <cell r="M1151" t="str">
            <v>A2105108</v>
          </cell>
          <cell r="N1151" t="str">
            <v>019820</v>
          </cell>
          <cell r="O1151" t="str">
            <v xml:space="preserve">1.4306 TP304L </v>
          </cell>
          <cell r="P1151" t="str">
            <v>304L</v>
          </cell>
          <cell r="Q1151">
            <v>3.9129999999999998</v>
          </cell>
          <cell r="R1151">
            <v>3.915</v>
          </cell>
          <cell r="S1151">
            <v>4.7E-2</v>
          </cell>
          <cell r="T1151">
            <v>4.65E-2</v>
          </cell>
          <cell r="U1151">
            <v>4.675E-2</v>
          </cell>
          <cell r="V1151">
            <v>4.6625E-2</v>
          </cell>
          <cell r="W1151" t="str">
            <v>BRS</v>
          </cell>
          <cell r="X1151">
            <v>3779</v>
          </cell>
          <cell r="Y1151">
            <v>2</v>
          </cell>
          <cell r="Z1151">
            <v>482.87758752875033</v>
          </cell>
          <cell r="AA1151" t="str">
            <v>3.913X0.047-304L</v>
          </cell>
          <cell r="AB1151" t="str">
            <v>WAAC009940120B300053</v>
          </cell>
          <cell r="AC1151" t="str">
            <v>D2106148</v>
          </cell>
          <cell r="AD1151" t="str">
            <v>019820</v>
          </cell>
          <cell r="AE1151">
            <v>2.5999999999999999E-2</v>
          </cell>
          <cell r="AF1151">
            <v>1.35</v>
          </cell>
          <cell r="AG1151">
            <v>3.1E-2</v>
          </cell>
          <cell r="AH1151">
            <v>2E-3</v>
          </cell>
          <cell r="AI1151">
            <v>0.41</v>
          </cell>
          <cell r="AJ1151">
            <v>18</v>
          </cell>
          <cell r="AK1151">
            <v>8</v>
          </cell>
          <cell r="AL1151">
            <v>6.8000000000000005E-2</v>
          </cell>
          <cell r="AM1151">
            <v>0</v>
          </cell>
          <cell r="AN1151">
            <v>0</v>
          </cell>
          <cell r="AO1151">
            <v>0</v>
          </cell>
          <cell r="AP1151">
            <v>0</v>
          </cell>
          <cell r="AQ1151">
            <v>0</v>
          </cell>
          <cell r="AR1151">
            <v>0.34</v>
          </cell>
          <cell r="AS1151">
            <v>0</v>
          </cell>
          <cell r="AT1151">
            <v>273</v>
          </cell>
          <cell r="AU1151">
            <v>306</v>
          </cell>
          <cell r="AV1151">
            <v>639</v>
          </cell>
          <cell r="AW1151">
            <v>57</v>
          </cell>
          <cell r="AX1151">
            <v>83</v>
          </cell>
          <cell r="AY1151">
            <v>159</v>
          </cell>
          <cell r="AZ1151">
            <v>1.7703</v>
          </cell>
          <cell r="BA1151" t="str">
            <v>D2106148</v>
          </cell>
          <cell r="BB1151" t="str">
            <v>CONFORM</v>
          </cell>
          <cell r="BC1151" t="str">
            <v>CONFORM</v>
          </cell>
          <cell r="BD1151" t="str">
            <v>CONFORM</v>
          </cell>
          <cell r="BE1151" t="str">
            <v>CONFORM</v>
          </cell>
          <cell r="BF1151" t="str">
            <v>CONFORM</v>
          </cell>
        </row>
        <row r="1152">
          <cell r="A1152">
            <v>44368</v>
          </cell>
          <cell r="B1152" t="str">
            <v>D2106148-2</v>
          </cell>
          <cell r="C1152" t="str">
            <v>047/21</v>
          </cell>
          <cell r="D1152">
            <v>4</v>
          </cell>
          <cell r="E1152">
            <v>44366</v>
          </cell>
          <cell r="F1152" t="str">
            <v>SO</v>
          </cell>
          <cell r="G1152" t="str">
            <v>On Time</v>
          </cell>
          <cell r="H1152" t="str">
            <v>413 A</v>
          </cell>
          <cell r="I1152">
            <v>44342</v>
          </cell>
          <cell r="J1152" t="str">
            <v>ADTI</v>
          </cell>
          <cell r="K1152" t="str">
            <v>D2106148</v>
          </cell>
          <cell r="L1152">
            <v>2</v>
          </cell>
          <cell r="M1152" t="str">
            <v>A2105108</v>
          </cell>
          <cell r="N1152" t="str">
            <v>019820</v>
          </cell>
          <cell r="O1152" t="str">
            <v xml:space="preserve">1.4306 TP304L </v>
          </cell>
          <cell r="P1152" t="str">
            <v>304L</v>
          </cell>
          <cell r="Q1152">
            <v>3.9129999999999998</v>
          </cell>
          <cell r="R1152">
            <v>3.9340000000000002</v>
          </cell>
          <cell r="S1152">
            <v>4.7E-2</v>
          </cell>
          <cell r="T1152">
            <v>4.6800000000000001E-2</v>
          </cell>
          <cell r="U1152">
            <v>4.6550000000000001E-2</v>
          </cell>
          <cell r="V1152">
            <v>4.6675000000000001E-2</v>
          </cell>
          <cell r="W1152" t="str">
            <v>BRS</v>
          </cell>
          <cell r="X1152">
            <v>3770</v>
          </cell>
          <cell r="Y1152">
            <v>2</v>
          </cell>
          <cell r="Z1152">
            <v>481.72757475083057</v>
          </cell>
          <cell r="AA1152" t="str">
            <v>3.913X0.047-304L</v>
          </cell>
          <cell r="AB1152" t="str">
            <v>WAAC009940120B300053</v>
          </cell>
          <cell r="AC1152" t="str">
            <v>D2106148</v>
          </cell>
          <cell r="AD1152" t="str">
            <v>019820</v>
          </cell>
          <cell r="AE1152">
            <v>2.5999999999999999E-2</v>
          </cell>
          <cell r="AF1152">
            <v>1.35</v>
          </cell>
          <cell r="AG1152">
            <v>3.1E-2</v>
          </cell>
          <cell r="AH1152">
            <v>2E-3</v>
          </cell>
          <cell r="AI1152">
            <v>0.41</v>
          </cell>
          <cell r="AJ1152">
            <v>18</v>
          </cell>
          <cell r="AK1152">
            <v>8</v>
          </cell>
          <cell r="AL1152">
            <v>6.8000000000000005E-2</v>
          </cell>
          <cell r="AM1152">
            <v>0</v>
          </cell>
          <cell r="AN1152">
            <v>0</v>
          </cell>
          <cell r="AO1152">
            <v>0</v>
          </cell>
          <cell r="AP1152">
            <v>0</v>
          </cell>
          <cell r="AQ1152">
            <v>0</v>
          </cell>
          <cell r="AR1152">
            <v>0.34</v>
          </cell>
          <cell r="AS1152">
            <v>0</v>
          </cell>
          <cell r="AT1152">
            <v>273</v>
          </cell>
          <cell r="AU1152">
            <v>306</v>
          </cell>
          <cell r="AV1152">
            <v>639</v>
          </cell>
          <cell r="AW1152">
            <v>57</v>
          </cell>
          <cell r="AX1152">
            <v>83</v>
          </cell>
          <cell r="AY1152">
            <v>159</v>
          </cell>
          <cell r="AZ1152">
            <v>1.7703</v>
          </cell>
          <cell r="BA1152" t="str">
            <v>D2106148</v>
          </cell>
          <cell r="BB1152" t="str">
            <v>CONFORM</v>
          </cell>
          <cell r="BC1152" t="str">
            <v>CONFORM</v>
          </cell>
          <cell r="BD1152" t="str">
            <v>CONFORM</v>
          </cell>
          <cell r="BE1152" t="str">
            <v>CONFORM</v>
          </cell>
          <cell r="BF1152" t="str">
            <v>CONFORM</v>
          </cell>
        </row>
        <row r="1153">
          <cell r="A1153">
            <v>44368</v>
          </cell>
          <cell r="B1153" t="str">
            <v>D2106148-3</v>
          </cell>
          <cell r="C1153" t="str">
            <v>047/21</v>
          </cell>
          <cell r="D1153">
            <v>4</v>
          </cell>
          <cell r="E1153">
            <v>44366</v>
          </cell>
          <cell r="F1153" t="str">
            <v>SO</v>
          </cell>
          <cell r="G1153" t="str">
            <v>On Time</v>
          </cell>
          <cell r="H1153" t="str">
            <v>413 A</v>
          </cell>
          <cell r="I1153">
            <v>44342</v>
          </cell>
          <cell r="J1153" t="str">
            <v>ADTI</v>
          </cell>
          <cell r="K1153" t="str">
            <v>D2106148</v>
          </cell>
          <cell r="L1153">
            <v>3</v>
          </cell>
          <cell r="M1153" t="str">
            <v>A2105108</v>
          </cell>
          <cell r="N1153" t="str">
            <v>019820</v>
          </cell>
          <cell r="O1153" t="str">
            <v xml:space="preserve">1.4306 TP304L </v>
          </cell>
          <cell r="P1153" t="str">
            <v>304L</v>
          </cell>
          <cell r="Q1153">
            <v>3.9129999999999998</v>
          </cell>
          <cell r="R1153">
            <v>3.91</v>
          </cell>
          <cell r="S1153">
            <v>4.7E-2</v>
          </cell>
          <cell r="T1153">
            <v>4.6899999999999997E-2</v>
          </cell>
          <cell r="U1153">
            <v>4.6449999999999998E-2</v>
          </cell>
          <cell r="V1153">
            <v>4.6674999999999994E-2</v>
          </cell>
          <cell r="W1153" t="str">
            <v>BRS</v>
          </cell>
          <cell r="X1153">
            <v>3765</v>
          </cell>
          <cell r="Y1153">
            <v>2</v>
          </cell>
          <cell r="Z1153">
            <v>481.08867876309739</v>
          </cell>
          <cell r="AA1153" t="str">
            <v>3.913X0.047-304L</v>
          </cell>
          <cell r="AB1153" t="str">
            <v>WAAC009940120B300053</v>
          </cell>
          <cell r="AC1153" t="str">
            <v>D2106148</v>
          </cell>
          <cell r="AD1153" t="str">
            <v>019820</v>
          </cell>
          <cell r="AE1153">
            <v>2.5999999999999999E-2</v>
          </cell>
          <cell r="AF1153">
            <v>1.35</v>
          </cell>
          <cell r="AG1153">
            <v>3.1E-2</v>
          </cell>
          <cell r="AH1153">
            <v>2E-3</v>
          </cell>
          <cell r="AI1153">
            <v>0.41</v>
          </cell>
          <cell r="AJ1153">
            <v>18</v>
          </cell>
          <cell r="AK1153">
            <v>8</v>
          </cell>
          <cell r="AL1153">
            <v>6.8000000000000005E-2</v>
          </cell>
          <cell r="AM1153">
            <v>0</v>
          </cell>
          <cell r="AN1153">
            <v>0</v>
          </cell>
          <cell r="AO1153">
            <v>0</v>
          </cell>
          <cell r="AP1153">
            <v>0</v>
          </cell>
          <cell r="AQ1153">
            <v>0</v>
          </cell>
          <cell r="AR1153">
            <v>0.34</v>
          </cell>
          <cell r="AS1153">
            <v>0</v>
          </cell>
          <cell r="AT1153">
            <v>273</v>
          </cell>
          <cell r="AU1153">
            <v>306</v>
          </cell>
          <cell r="AV1153">
            <v>639</v>
          </cell>
          <cell r="AW1153">
            <v>57</v>
          </cell>
          <cell r="AX1153">
            <v>83</v>
          </cell>
          <cell r="AY1153">
            <v>159</v>
          </cell>
          <cell r="AZ1153">
            <v>1.7703</v>
          </cell>
          <cell r="BA1153" t="str">
            <v>D2106148</v>
          </cell>
          <cell r="BB1153" t="str">
            <v>CONFORM</v>
          </cell>
          <cell r="BC1153" t="str">
            <v>CONFORM</v>
          </cell>
          <cell r="BD1153" t="str">
            <v>CONFORM</v>
          </cell>
          <cell r="BE1153" t="str">
            <v>CONFORM</v>
          </cell>
          <cell r="BF1153" t="str">
            <v>CONFORM</v>
          </cell>
        </row>
        <row r="1154">
          <cell r="A1154">
            <v>44368</v>
          </cell>
          <cell r="B1154" t="str">
            <v>D2106148-4</v>
          </cell>
          <cell r="C1154" t="str">
            <v>047/21</v>
          </cell>
          <cell r="D1154">
            <v>4</v>
          </cell>
          <cell r="E1154">
            <v>44366</v>
          </cell>
          <cell r="F1154" t="str">
            <v>SO</v>
          </cell>
          <cell r="G1154" t="str">
            <v>On Time</v>
          </cell>
          <cell r="H1154" t="str">
            <v>413 A</v>
          </cell>
          <cell r="I1154">
            <v>44342</v>
          </cell>
          <cell r="J1154" t="str">
            <v>ADTI</v>
          </cell>
          <cell r="K1154" t="str">
            <v>D2106148</v>
          </cell>
          <cell r="L1154">
            <v>4</v>
          </cell>
          <cell r="M1154" t="str">
            <v>A2105108</v>
          </cell>
          <cell r="N1154" t="str">
            <v>019820</v>
          </cell>
          <cell r="O1154" t="str">
            <v xml:space="preserve">1.4306 TP304L </v>
          </cell>
          <cell r="P1154" t="str">
            <v>304L</v>
          </cell>
          <cell r="Q1154">
            <v>3.9129999999999998</v>
          </cell>
          <cell r="R1154">
            <v>3.9180000000000001</v>
          </cell>
          <cell r="S1154">
            <v>4.7E-2</v>
          </cell>
          <cell r="T1154">
            <v>4.675E-2</v>
          </cell>
          <cell r="U1154">
            <v>4.6899999999999997E-2</v>
          </cell>
          <cell r="V1154">
            <v>4.6824999999999999E-2</v>
          </cell>
          <cell r="W1154" t="str">
            <v>BRS</v>
          </cell>
          <cell r="X1154">
            <v>3765</v>
          </cell>
          <cell r="Y1154">
            <v>2</v>
          </cell>
          <cell r="Z1154">
            <v>481.08867876309739</v>
          </cell>
          <cell r="AA1154" t="str">
            <v>3.913X0.047-304L</v>
          </cell>
          <cell r="AB1154" t="str">
            <v>WAAC009940120B300053</v>
          </cell>
          <cell r="AC1154" t="str">
            <v>D2106148</v>
          </cell>
          <cell r="AD1154" t="str">
            <v>019820</v>
          </cell>
          <cell r="AE1154">
            <v>2.5999999999999999E-2</v>
          </cell>
          <cell r="AF1154">
            <v>1.35</v>
          </cell>
          <cell r="AG1154">
            <v>3.1E-2</v>
          </cell>
          <cell r="AH1154">
            <v>2E-3</v>
          </cell>
          <cell r="AI1154">
            <v>0.41</v>
          </cell>
          <cell r="AJ1154">
            <v>18</v>
          </cell>
          <cell r="AK1154">
            <v>8</v>
          </cell>
          <cell r="AL1154">
            <v>6.8000000000000005E-2</v>
          </cell>
          <cell r="AM1154">
            <v>0</v>
          </cell>
          <cell r="AN1154">
            <v>0</v>
          </cell>
          <cell r="AO1154">
            <v>0</v>
          </cell>
          <cell r="AP1154">
            <v>0</v>
          </cell>
          <cell r="AQ1154">
            <v>0</v>
          </cell>
          <cell r="AR1154">
            <v>0.34</v>
          </cell>
          <cell r="AS1154">
            <v>0</v>
          </cell>
          <cell r="AT1154">
            <v>273</v>
          </cell>
          <cell r="AU1154">
            <v>306</v>
          </cell>
          <cell r="AV1154">
            <v>639</v>
          </cell>
          <cell r="AW1154">
            <v>57</v>
          </cell>
          <cell r="AX1154">
            <v>83</v>
          </cell>
          <cell r="AY1154">
            <v>159</v>
          </cell>
          <cell r="AZ1154">
            <v>1.7703</v>
          </cell>
          <cell r="BA1154" t="str">
            <v>D2106148</v>
          </cell>
          <cell r="BB1154" t="str">
            <v>CONFORM</v>
          </cell>
          <cell r="BC1154" t="str">
            <v>CONFORM</v>
          </cell>
          <cell r="BD1154" t="str">
            <v>CONFORM</v>
          </cell>
          <cell r="BE1154" t="str">
            <v>CONFORM</v>
          </cell>
          <cell r="BF1154" t="str">
            <v>CONFORM</v>
          </cell>
        </row>
        <row r="1155">
          <cell r="A1155">
            <v>44368</v>
          </cell>
          <cell r="B1155" t="str">
            <v>D2106148-5</v>
          </cell>
          <cell r="C1155" t="str">
            <v>047/21</v>
          </cell>
          <cell r="D1155">
            <v>4</v>
          </cell>
          <cell r="E1155">
            <v>44366</v>
          </cell>
          <cell r="F1155" t="str">
            <v>SO</v>
          </cell>
          <cell r="G1155" t="str">
            <v>On Time</v>
          </cell>
          <cell r="H1155" t="str">
            <v>413 A</v>
          </cell>
          <cell r="I1155">
            <v>44342</v>
          </cell>
          <cell r="J1155" t="str">
            <v>ADTI</v>
          </cell>
          <cell r="K1155" t="str">
            <v>D2106148</v>
          </cell>
          <cell r="L1155">
            <v>5</v>
          </cell>
          <cell r="M1155" t="str">
            <v>A2105108</v>
          </cell>
          <cell r="N1155" t="str">
            <v>019820</v>
          </cell>
          <cell r="O1155" t="str">
            <v xml:space="preserve">1.4306 TP304L </v>
          </cell>
          <cell r="P1155" t="str">
            <v>304L</v>
          </cell>
          <cell r="Q1155">
            <v>3.9129999999999998</v>
          </cell>
          <cell r="R1155">
            <v>3.8929999999999998</v>
          </cell>
          <cell r="S1155">
            <v>4.7E-2</v>
          </cell>
          <cell r="T1155">
            <v>4.6350000000000002E-2</v>
          </cell>
          <cell r="U1155">
            <v>4.6199999999999998E-2</v>
          </cell>
          <cell r="V1155">
            <v>4.6274999999999997E-2</v>
          </cell>
          <cell r="W1155" t="str">
            <v>BRS</v>
          </cell>
          <cell r="X1155">
            <v>3770</v>
          </cell>
          <cell r="Y1155">
            <v>2</v>
          </cell>
          <cell r="Z1155">
            <v>481.72757475083057</v>
          </cell>
          <cell r="AA1155" t="str">
            <v>3.913X0.047-304L</v>
          </cell>
          <cell r="AB1155" t="str">
            <v>WAAC009940120B300053</v>
          </cell>
          <cell r="AC1155" t="str">
            <v>D2106148</v>
          </cell>
          <cell r="AD1155" t="str">
            <v>019820</v>
          </cell>
          <cell r="AE1155">
            <v>2.5999999999999999E-2</v>
          </cell>
          <cell r="AF1155">
            <v>1.35</v>
          </cell>
          <cell r="AG1155">
            <v>3.1E-2</v>
          </cell>
          <cell r="AH1155">
            <v>2E-3</v>
          </cell>
          <cell r="AI1155">
            <v>0.41</v>
          </cell>
          <cell r="AJ1155">
            <v>18</v>
          </cell>
          <cell r="AK1155">
            <v>8</v>
          </cell>
          <cell r="AL1155">
            <v>6.8000000000000005E-2</v>
          </cell>
          <cell r="AM1155">
            <v>0</v>
          </cell>
          <cell r="AN1155">
            <v>0</v>
          </cell>
          <cell r="AO1155">
            <v>0</v>
          </cell>
          <cell r="AP1155">
            <v>0</v>
          </cell>
          <cell r="AQ1155">
            <v>0</v>
          </cell>
          <cell r="AR1155">
            <v>0.34</v>
          </cell>
          <cell r="AS1155">
            <v>0</v>
          </cell>
          <cell r="AT1155">
            <v>273</v>
          </cell>
          <cell r="AU1155">
            <v>306</v>
          </cell>
          <cell r="AV1155">
            <v>639</v>
          </cell>
          <cell r="AW1155">
            <v>57</v>
          </cell>
          <cell r="AX1155">
            <v>83</v>
          </cell>
          <cell r="AY1155">
            <v>159</v>
          </cell>
          <cell r="AZ1155">
            <v>1.7703</v>
          </cell>
          <cell r="BA1155" t="str">
            <v>D2106148</v>
          </cell>
          <cell r="BB1155" t="str">
            <v>CONFORM</v>
          </cell>
          <cell r="BC1155" t="str">
            <v>CONFORM</v>
          </cell>
          <cell r="BD1155" t="str">
            <v>CONFORM</v>
          </cell>
          <cell r="BE1155" t="str">
            <v>CONFORM</v>
          </cell>
          <cell r="BF1155" t="str">
            <v>CONFORM</v>
          </cell>
        </row>
        <row r="1156">
          <cell r="A1156">
            <v>44368</v>
          </cell>
          <cell r="B1156" t="str">
            <v>D2106148-6</v>
          </cell>
          <cell r="C1156" t="str">
            <v>047/21</v>
          </cell>
          <cell r="D1156">
            <v>4</v>
          </cell>
          <cell r="E1156">
            <v>44366</v>
          </cell>
          <cell r="F1156" t="str">
            <v>SO</v>
          </cell>
          <cell r="G1156" t="str">
            <v>On Time</v>
          </cell>
          <cell r="H1156" t="str">
            <v>413 A</v>
          </cell>
          <cell r="I1156">
            <v>44342</v>
          </cell>
          <cell r="J1156" t="str">
            <v>ADTI</v>
          </cell>
          <cell r="K1156" t="str">
            <v>D2106148</v>
          </cell>
          <cell r="L1156">
            <v>6</v>
          </cell>
          <cell r="M1156" t="str">
            <v>A2105108</v>
          </cell>
          <cell r="N1156" t="str">
            <v>019820</v>
          </cell>
          <cell r="O1156" t="str">
            <v xml:space="preserve">1.4306 TP304L </v>
          </cell>
          <cell r="P1156" t="str">
            <v>304L</v>
          </cell>
          <cell r="Q1156">
            <v>3.9129999999999998</v>
          </cell>
          <cell r="R1156">
            <v>3.8849999999999998</v>
          </cell>
          <cell r="S1156">
            <v>4.7E-2</v>
          </cell>
          <cell r="T1156">
            <v>4.6350000000000002E-2</v>
          </cell>
          <cell r="U1156">
            <v>4.9099999999999998E-2</v>
          </cell>
          <cell r="V1156">
            <v>4.7725000000000004E-2</v>
          </cell>
          <cell r="W1156" t="str">
            <v>BRS</v>
          </cell>
          <cell r="X1156">
            <v>3765</v>
          </cell>
          <cell r="Y1156">
            <v>2</v>
          </cell>
          <cell r="Z1156">
            <v>481.08867876309739</v>
          </cell>
          <cell r="AA1156" t="str">
            <v>3.913X0.047-304L</v>
          </cell>
          <cell r="AB1156" t="str">
            <v>WAAC009940120B300053</v>
          </cell>
          <cell r="AC1156" t="str">
            <v>D2106148</v>
          </cell>
          <cell r="AD1156" t="str">
            <v>019820</v>
          </cell>
          <cell r="AE1156">
            <v>2.5999999999999999E-2</v>
          </cell>
          <cell r="AF1156">
            <v>1.35</v>
          </cell>
          <cell r="AG1156">
            <v>3.1E-2</v>
          </cell>
          <cell r="AH1156">
            <v>2E-3</v>
          </cell>
          <cell r="AI1156">
            <v>0.41</v>
          </cell>
          <cell r="AJ1156">
            <v>18</v>
          </cell>
          <cell r="AK1156">
            <v>8</v>
          </cell>
          <cell r="AL1156">
            <v>6.8000000000000005E-2</v>
          </cell>
          <cell r="AM1156">
            <v>0</v>
          </cell>
          <cell r="AN1156">
            <v>0</v>
          </cell>
          <cell r="AO1156">
            <v>0</v>
          </cell>
          <cell r="AP1156">
            <v>0</v>
          </cell>
          <cell r="AQ1156">
            <v>0</v>
          </cell>
          <cell r="AR1156">
            <v>0.34</v>
          </cell>
          <cell r="AS1156">
            <v>0</v>
          </cell>
          <cell r="AT1156">
            <v>273</v>
          </cell>
          <cell r="AU1156">
            <v>306</v>
          </cell>
          <cell r="AV1156">
            <v>639</v>
          </cell>
          <cell r="AW1156">
            <v>57</v>
          </cell>
          <cell r="AX1156">
            <v>83</v>
          </cell>
          <cell r="AY1156">
            <v>159</v>
          </cell>
          <cell r="AZ1156">
            <v>1.7703</v>
          </cell>
          <cell r="BA1156" t="str">
            <v>D2106148</v>
          </cell>
          <cell r="BB1156" t="str">
            <v>CONFORM</v>
          </cell>
          <cell r="BC1156" t="str">
            <v>CONFORM</v>
          </cell>
          <cell r="BD1156" t="str">
            <v>CONFORM</v>
          </cell>
          <cell r="BE1156" t="str">
            <v>CONFORM</v>
          </cell>
          <cell r="BF1156" t="str">
            <v>CONFORM</v>
          </cell>
        </row>
        <row r="1157">
          <cell r="A1157">
            <v>44368</v>
          </cell>
          <cell r="B1157" t="str">
            <v>D2106148-7</v>
          </cell>
          <cell r="C1157" t="str">
            <v>047/21</v>
          </cell>
          <cell r="D1157">
            <v>4</v>
          </cell>
          <cell r="E1157">
            <v>44366</v>
          </cell>
          <cell r="F1157" t="str">
            <v>SO</v>
          </cell>
          <cell r="G1157" t="str">
            <v>On Time</v>
          </cell>
          <cell r="H1157" t="str">
            <v>413 A</v>
          </cell>
          <cell r="I1157">
            <v>44342</v>
          </cell>
          <cell r="J1157" t="str">
            <v>ADTI</v>
          </cell>
          <cell r="K1157" t="str">
            <v>D2106148</v>
          </cell>
          <cell r="L1157">
            <v>7</v>
          </cell>
          <cell r="M1157" t="str">
            <v>A2105108</v>
          </cell>
          <cell r="N1157" t="str">
            <v>019820</v>
          </cell>
          <cell r="O1157" t="str">
            <v xml:space="preserve">1.4306 TP304L </v>
          </cell>
          <cell r="P1157" t="str">
            <v>304L</v>
          </cell>
          <cell r="Q1157">
            <v>3.9129999999999998</v>
          </cell>
          <cell r="R1157">
            <v>3.89</v>
          </cell>
          <cell r="S1157">
            <v>4.7E-2</v>
          </cell>
          <cell r="T1157">
            <v>4.6399999999999997E-2</v>
          </cell>
          <cell r="U1157">
            <v>4.65E-2</v>
          </cell>
          <cell r="V1157">
            <v>4.6449999999999998E-2</v>
          </cell>
          <cell r="W1157" t="str">
            <v>BRS</v>
          </cell>
          <cell r="X1157">
            <v>3779</v>
          </cell>
          <cell r="Y1157">
            <v>2</v>
          </cell>
          <cell r="Z1157">
            <v>482.87758752875033</v>
          </cell>
          <cell r="AA1157" t="str">
            <v>3.913X0.047-304L</v>
          </cell>
          <cell r="AB1157" t="str">
            <v>WAAC009940120B300053</v>
          </cell>
          <cell r="AC1157" t="str">
            <v>D2106148</v>
          </cell>
          <cell r="AD1157" t="str">
            <v>019820</v>
          </cell>
          <cell r="AE1157">
            <v>2.5999999999999999E-2</v>
          </cell>
          <cell r="AF1157">
            <v>1.35</v>
          </cell>
          <cell r="AG1157">
            <v>3.1E-2</v>
          </cell>
          <cell r="AH1157">
            <v>2E-3</v>
          </cell>
          <cell r="AI1157">
            <v>0.41</v>
          </cell>
          <cell r="AJ1157">
            <v>18</v>
          </cell>
          <cell r="AK1157">
            <v>8</v>
          </cell>
          <cell r="AL1157">
            <v>6.8000000000000005E-2</v>
          </cell>
          <cell r="AM1157">
            <v>0</v>
          </cell>
          <cell r="AN1157">
            <v>0</v>
          </cell>
          <cell r="AO1157">
            <v>0</v>
          </cell>
          <cell r="AP1157">
            <v>0</v>
          </cell>
          <cell r="AQ1157">
            <v>0</v>
          </cell>
          <cell r="AR1157">
            <v>0.34</v>
          </cell>
          <cell r="AS1157">
            <v>0</v>
          </cell>
          <cell r="AT1157">
            <v>273</v>
          </cell>
          <cell r="AU1157">
            <v>306</v>
          </cell>
          <cell r="AV1157">
            <v>639</v>
          </cell>
          <cell r="AW1157">
            <v>57</v>
          </cell>
          <cell r="AX1157">
            <v>83</v>
          </cell>
          <cell r="AY1157">
            <v>159</v>
          </cell>
          <cell r="AZ1157">
            <v>1.7703</v>
          </cell>
          <cell r="BA1157" t="str">
            <v>D2106148</v>
          </cell>
          <cell r="BB1157" t="str">
            <v>CONFORM</v>
          </cell>
          <cell r="BC1157" t="str">
            <v>CONFORM</v>
          </cell>
          <cell r="BD1157" t="str">
            <v>CONFORM</v>
          </cell>
          <cell r="BE1157" t="str">
            <v>CONFORM</v>
          </cell>
          <cell r="BF1157" t="str">
            <v>CONFORM</v>
          </cell>
        </row>
        <row r="1158">
          <cell r="A1158">
            <v>44368</v>
          </cell>
          <cell r="B1158" t="str">
            <v>D2106148-8</v>
          </cell>
          <cell r="C1158" t="str">
            <v>047/21</v>
          </cell>
          <cell r="D1158">
            <v>4</v>
          </cell>
          <cell r="E1158">
            <v>44366</v>
          </cell>
          <cell r="F1158" t="str">
            <v>SO</v>
          </cell>
          <cell r="G1158" t="str">
            <v>On Time</v>
          </cell>
          <cell r="H1158" t="str">
            <v>413 A</v>
          </cell>
          <cell r="I1158">
            <v>44342</v>
          </cell>
          <cell r="J1158" t="str">
            <v>ADTI</v>
          </cell>
          <cell r="K1158" t="str">
            <v>D2106148</v>
          </cell>
          <cell r="L1158">
            <v>8</v>
          </cell>
          <cell r="M1158" t="str">
            <v>A2105108</v>
          </cell>
          <cell r="N1158" t="str">
            <v>019820</v>
          </cell>
          <cell r="O1158" t="str">
            <v xml:space="preserve">1.4306 TP304L </v>
          </cell>
          <cell r="P1158" t="str">
            <v>304L</v>
          </cell>
          <cell r="Q1158">
            <v>3.9129999999999998</v>
          </cell>
          <cell r="R1158">
            <v>3.9049999999999998</v>
          </cell>
          <cell r="S1158">
            <v>4.7E-2</v>
          </cell>
          <cell r="T1158">
            <v>4.6800000000000001E-2</v>
          </cell>
          <cell r="U1158">
            <v>4.7550000000000002E-2</v>
          </cell>
          <cell r="V1158">
            <v>4.7175000000000002E-2</v>
          </cell>
          <cell r="W1158" t="str">
            <v>BRS</v>
          </cell>
          <cell r="X1158">
            <v>1900</v>
          </cell>
          <cell r="Y1158">
            <v>1</v>
          </cell>
          <cell r="Z1158">
            <v>485.56095067722976</v>
          </cell>
          <cell r="AA1158" t="str">
            <v>3.913X0.047-304L</v>
          </cell>
          <cell r="AB1158" t="str">
            <v>WAAC009940120B300053</v>
          </cell>
          <cell r="AC1158" t="str">
            <v>D2106148</v>
          </cell>
          <cell r="AD1158" t="str">
            <v>019820</v>
          </cell>
          <cell r="AE1158">
            <v>2.5999999999999999E-2</v>
          </cell>
          <cell r="AF1158">
            <v>1.35</v>
          </cell>
          <cell r="AG1158">
            <v>3.1E-2</v>
          </cell>
          <cell r="AH1158">
            <v>2E-3</v>
          </cell>
          <cell r="AI1158">
            <v>0.41</v>
          </cell>
          <cell r="AJ1158">
            <v>18</v>
          </cell>
          <cell r="AK1158">
            <v>8</v>
          </cell>
          <cell r="AL1158">
            <v>6.8000000000000005E-2</v>
          </cell>
          <cell r="AM1158">
            <v>0</v>
          </cell>
          <cell r="AN1158">
            <v>0</v>
          </cell>
          <cell r="AO1158">
            <v>0</v>
          </cell>
          <cell r="AP1158">
            <v>0</v>
          </cell>
          <cell r="AQ1158">
            <v>0</v>
          </cell>
          <cell r="AR1158">
            <v>0.34</v>
          </cell>
          <cell r="AS1158">
            <v>0</v>
          </cell>
          <cell r="AT1158">
            <v>273</v>
          </cell>
          <cell r="AU1158">
            <v>306</v>
          </cell>
          <cell r="AV1158">
            <v>639</v>
          </cell>
          <cell r="AW1158">
            <v>57</v>
          </cell>
          <cell r="AX1158">
            <v>83</v>
          </cell>
          <cell r="AY1158">
            <v>159</v>
          </cell>
          <cell r="AZ1158">
            <v>1.7703</v>
          </cell>
          <cell r="BA1158" t="str">
            <v>D2106148</v>
          </cell>
          <cell r="BB1158" t="str">
            <v>CONFORM</v>
          </cell>
          <cell r="BC1158" t="str">
            <v>CONFORM</v>
          </cell>
          <cell r="BD1158" t="str">
            <v>CONFORM</v>
          </cell>
          <cell r="BE1158" t="str">
            <v>CONFORM</v>
          </cell>
          <cell r="BF1158" t="str">
            <v>CONFORM</v>
          </cell>
        </row>
        <row r="1159">
          <cell r="A1159">
            <v>44368</v>
          </cell>
          <cell r="B1159" t="str">
            <v>D2106149-1</v>
          </cell>
          <cell r="C1159" t="str">
            <v>047/21</v>
          </cell>
          <cell r="D1159">
            <v>1</v>
          </cell>
          <cell r="E1159">
            <v>44366</v>
          </cell>
          <cell r="F1159" t="str">
            <v>SO</v>
          </cell>
          <cell r="G1159" t="str">
            <v>On Time</v>
          </cell>
          <cell r="H1159" t="str">
            <v>413 A</v>
          </cell>
          <cell r="I1159">
            <v>44342</v>
          </cell>
          <cell r="J1159" t="str">
            <v>ADTI</v>
          </cell>
          <cell r="K1159" t="str">
            <v>D2106149</v>
          </cell>
          <cell r="L1159">
            <v>1</v>
          </cell>
          <cell r="M1159" t="str">
            <v>A2105131</v>
          </cell>
          <cell r="N1159" t="str">
            <v>0460137</v>
          </cell>
          <cell r="O1159" t="str">
            <v xml:space="preserve">1.4306 TP304L </v>
          </cell>
          <cell r="P1159" t="str">
            <v>304L</v>
          </cell>
          <cell r="Q1159">
            <v>2.2759999999999998</v>
          </cell>
          <cell r="R1159">
            <v>2.2759999999999998</v>
          </cell>
          <cell r="S1159">
            <v>6.3E-2</v>
          </cell>
          <cell r="T1159">
            <v>0.06</v>
          </cell>
          <cell r="U1159">
            <v>6.6000000000000003E-2</v>
          </cell>
          <cell r="V1159">
            <v>6.3E-2</v>
          </cell>
          <cell r="W1159" t="str">
            <v>BRS</v>
          </cell>
          <cell r="X1159">
            <v>2910</v>
          </cell>
          <cell r="Y1159">
            <v>3</v>
          </cell>
          <cell r="Z1159">
            <v>426.18629173989461</v>
          </cell>
          <cell r="AA1159" t="str">
            <v>2.276X0.063-304L</v>
          </cell>
          <cell r="AB1159" t="str">
            <v>WAAC005780160B300010</v>
          </cell>
          <cell r="AC1159" t="str">
            <v>D2106149</v>
          </cell>
          <cell r="AD1159" t="str">
            <v>0460137</v>
          </cell>
          <cell r="AE1159">
            <v>2.4E-2</v>
          </cell>
          <cell r="AF1159">
            <v>1.64</v>
          </cell>
          <cell r="AG1159">
            <v>3.1E-2</v>
          </cell>
          <cell r="AH1159">
            <v>1E-3</v>
          </cell>
          <cell r="AI1159">
            <v>0.32</v>
          </cell>
          <cell r="AJ1159">
            <v>18</v>
          </cell>
          <cell r="AK1159">
            <v>8.1</v>
          </cell>
          <cell r="AL1159">
            <v>7.0000000000000007E-2</v>
          </cell>
          <cell r="AM1159">
            <v>0.33</v>
          </cell>
          <cell r="AN1159">
            <v>0</v>
          </cell>
          <cell r="AO1159">
            <v>0</v>
          </cell>
          <cell r="AP1159">
            <v>0</v>
          </cell>
          <cell r="AQ1159">
            <v>0</v>
          </cell>
          <cell r="AR1159">
            <v>0.39</v>
          </cell>
          <cell r="AS1159">
            <v>0</v>
          </cell>
          <cell r="AT1159">
            <v>266</v>
          </cell>
          <cell r="AU1159">
            <v>297</v>
          </cell>
          <cell r="AV1159">
            <v>602</v>
          </cell>
          <cell r="AW1159">
            <v>60</v>
          </cell>
          <cell r="AX1159">
            <v>79</v>
          </cell>
          <cell r="AY1159">
            <v>147</v>
          </cell>
          <cell r="AZ1159">
            <v>1.7701</v>
          </cell>
          <cell r="BA1159" t="str">
            <v>D2106149</v>
          </cell>
          <cell r="BB1159" t="str">
            <v>CONFORM</v>
          </cell>
          <cell r="BC1159" t="str">
            <v>CONFORM</v>
          </cell>
          <cell r="BD1159" t="str">
            <v>CONFORM</v>
          </cell>
          <cell r="BE1159" t="str">
            <v>CONFORM</v>
          </cell>
          <cell r="BF1159" t="str">
            <v>CONFORM</v>
          </cell>
        </row>
        <row r="1160">
          <cell r="A1160">
            <v>44368</v>
          </cell>
          <cell r="B1160" t="str">
            <v>D2106149-2</v>
          </cell>
          <cell r="C1160" t="str">
            <v>047/21</v>
          </cell>
          <cell r="D1160">
            <v>1</v>
          </cell>
          <cell r="E1160">
            <v>44366</v>
          </cell>
          <cell r="F1160" t="str">
            <v>SO</v>
          </cell>
          <cell r="G1160" t="str">
            <v>On Time</v>
          </cell>
          <cell r="H1160" t="str">
            <v>413 A</v>
          </cell>
          <cell r="I1160">
            <v>44342</v>
          </cell>
          <cell r="J1160" t="str">
            <v>ADTI</v>
          </cell>
          <cell r="K1160" t="str">
            <v>D2106149</v>
          </cell>
          <cell r="L1160">
            <v>2</v>
          </cell>
          <cell r="M1160" t="str">
            <v>A2105131</v>
          </cell>
          <cell r="N1160" t="str">
            <v>0460137</v>
          </cell>
          <cell r="O1160" t="str">
            <v xml:space="preserve">1.4306 TP304L </v>
          </cell>
          <cell r="P1160" t="str">
            <v>304L</v>
          </cell>
          <cell r="Q1160">
            <v>2.2759999999999998</v>
          </cell>
          <cell r="R1160">
            <v>2.2945000000000002</v>
          </cell>
          <cell r="S1160">
            <v>6.3E-2</v>
          </cell>
          <cell r="T1160">
            <v>5.9150000000000001E-2</v>
          </cell>
          <cell r="U1160">
            <v>5.91E-2</v>
          </cell>
          <cell r="V1160">
            <v>5.9124999999999997E-2</v>
          </cell>
          <cell r="W1160" t="str">
            <v>BRS</v>
          </cell>
          <cell r="X1160">
            <v>2910</v>
          </cell>
          <cell r="Y1160">
            <v>3</v>
          </cell>
          <cell r="Z1160">
            <v>426.18629173989461</v>
          </cell>
          <cell r="AA1160" t="str">
            <v>2.276X0.063-304L</v>
          </cell>
          <cell r="AB1160" t="str">
            <v>WAAC005780160B300010</v>
          </cell>
          <cell r="AC1160" t="str">
            <v>D2106149</v>
          </cell>
          <cell r="AD1160" t="str">
            <v>0460137</v>
          </cell>
          <cell r="AE1160">
            <v>2.4E-2</v>
          </cell>
          <cell r="AF1160">
            <v>1.64</v>
          </cell>
          <cell r="AG1160">
            <v>3.1E-2</v>
          </cell>
          <cell r="AH1160">
            <v>1E-3</v>
          </cell>
          <cell r="AI1160">
            <v>0.32</v>
          </cell>
          <cell r="AJ1160">
            <v>18</v>
          </cell>
          <cell r="AK1160">
            <v>8.1</v>
          </cell>
          <cell r="AL1160">
            <v>7.0000000000000007E-2</v>
          </cell>
          <cell r="AM1160">
            <v>0.33</v>
          </cell>
          <cell r="AN1160">
            <v>0</v>
          </cell>
          <cell r="AO1160">
            <v>0</v>
          </cell>
          <cell r="AP1160">
            <v>0</v>
          </cell>
          <cell r="AQ1160">
            <v>0</v>
          </cell>
          <cell r="AR1160">
            <v>0.39</v>
          </cell>
          <cell r="AS1160">
            <v>0</v>
          </cell>
          <cell r="AT1160">
            <v>266</v>
          </cell>
          <cell r="AU1160">
            <v>297</v>
          </cell>
          <cell r="AV1160">
            <v>602</v>
          </cell>
          <cell r="AW1160">
            <v>60</v>
          </cell>
          <cell r="AX1160">
            <v>79</v>
          </cell>
          <cell r="AY1160">
            <v>147</v>
          </cell>
          <cell r="AZ1160">
            <v>1.7701</v>
          </cell>
          <cell r="BA1160" t="str">
            <v>D2106149</v>
          </cell>
          <cell r="BB1160" t="str">
            <v>CONFORM</v>
          </cell>
          <cell r="BC1160" t="str">
            <v>CONFORM</v>
          </cell>
          <cell r="BD1160" t="str">
            <v>CONFORM</v>
          </cell>
          <cell r="BE1160" t="str">
            <v>CONFORM</v>
          </cell>
          <cell r="BF1160" t="str">
            <v>CONFORM</v>
          </cell>
        </row>
        <row r="1161">
          <cell r="A1161">
            <v>44368</v>
          </cell>
          <cell r="B1161" t="str">
            <v>D2106149-3</v>
          </cell>
          <cell r="C1161" t="str">
            <v>047/21</v>
          </cell>
          <cell r="D1161">
            <v>1</v>
          </cell>
          <cell r="E1161">
            <v>44366</v>
          </cell>
          <cell r="F1161" t="str">
            <v>SO</v>
          </cell>
          <cell r="G1161" t="str">
            <v>On Time</v>
          </cell>
          <cell r="H1161" t="str">
            <v>413 A</v>
          </cell>
          <cell r="I1161">
            <v>44342</v>
          </cell>
          <cell r="J1161" t="str">
            <v>ADTI</v>
          </cell>
          <cell r="K1161" t="str">
            <v>D2106149</v>
          </cell>
          <cell r="L1161">
            <v>3</v>
          </cell>
          <cell r="M1161" t="str">
            <v>A2105131</v>
          </cell>
          <cell r="N1161" t="str">
            <v>0460137</v>
          </cell>
          <cell r="O1161" t="str">
            <v xml:space="preserve">1.4306 TP304L </v>
          </cell>
          <cell r="P1161" t="str">
            <v>304L</v>
          </cell>
          <cell r="Q1161">
            <v>2.2759999999999998</v>
          </cell>
          <cell r="R1161">
            <v>2.2570000000000001</v>
          </cell>
          <cell r="S1161">
            <v>6.3E-2</v>
          </cell>
          <cell r="T1161">
            <v>6.1100000000000002E-2</v>
          </cell>
          <cell r="U1161">
            <v>5.91E-2</v>
          </cell>
          <cell r="V1161">
            <v>6.0100000000000001E-2</v>
          </cell>
          <cell r="W1161" t="str">
            <v>BRS</v>
          </cell>
          <cell r="X1161">
            <v>2910</v>
          </cell>
          <cell r="Y1161">
            <v>3</v>
          </cell>
          <cell r="Z1161">
            <v>426.18629173989461</v>
          </cell>
          <cell r="AA1161" t="str">
            <v>2.276X0.063-304L</v>
          </cell>
          <cell r="AB1161" t="str">
            <v>WAAC005780160B300010</v>
          </cell>
          <cell r="AC1161" t="str">
            <v>D2106149</v>
          </cell>
          <cell r="AD1161" t="str">
            <v>0460137</v>
          </cell>
          <cell r="AE1161">
            <v>2.4E-2</v>
          </cell>
          <cell r="AF1161">
            <v>1.64</v>
          </cell>
          <cell r="AG1161">
            <v>3.1E-2</v>
          </cell>
          <cell r="AH1161">
            <v>1E-3</v>
          </cell>
          <cell r="AI1161">
            <v>0.32</v>
          </cell>
          <cell r="AJ1161">
            <v>18</v>
          </cell>
          <cell r="AK1161">
            <v>8.1</v>
          </cell>
          <cell r="AL1161">
            <v>7.0000000000000007E-2</v>
          </cell>
          <cell r="AM1161">
            <v>0.33</v>
          </cell>
          <cell r="AN1161">
            <v>0</v>
          </cell>
          <cell r="AO1161">
            <v>0</v>
          </cell>
          <cell r="AP1161">
            <v>0</v>
          </cell>
          <cell r="AQ1161">
            <v>0</v>
          </cell>
          <cell r="AR1161">
            <v>0.39</v>
          </cell>
          <cell r="AS1161">
            <v>0</v>
          </cell>
          <cell r="AT1161">
            <v>266</v>
          </cell>
          <cell r="AU1161">
            <v>297</v>
          </cell>
          <cell r="AV1161">
            <v>602</v>
          </cell>
          <cell r="AW1161">
            <v>60</v>
          </cell>
          <cell r="AX1161">
            <v>79</v>
          </cell>
          <cell r="AY1161">
            <v>147</v>
          </cell>
          <cell r="AZ1161">
            <v>1.7701</v>
          </cell>
          <cell r="BA1161" t="str">
            <v>D2106149</v>
          </cell>
          <cell r="BB1161" t="str">
            <v>CONFORM</v>
          </cell>
          <cell r="BC1161" t="str">
            <v>CONFORM</v>
          </cell>
          <cell r="BD1161" t="str">
            <v>CONFORM</v>
          </cell>
          <cell r="BE1161" t="str">
            <v>CONFORM</v>
          </cell>
          <cell r="BF1161" t="str">
            <v>CONFORM</v>
          </cell>
        </row>
        <row r="1162">
          <cell r="A1162">
            <v>44368</v>
          </cell>
          <cell r="B1162" t="str">
            <v>D2106149-4</v>
          </cell>
          <cell r="C1162" t="str">
            <v>047/21</v>
          </cell>
          <cell r="D1162">
            <v>1</v>
          </cell>
          <cell r="E1162">
            <v>44366</v>
          </cell>
          <cell r="F1162" t="str">
            <v>SO</v>
          </cell>
          <cell r="G1162" t="str">
            <v>On Time</v>
          </cell>
          <cell r="H1162" t="str">
            <v>413 A</v>
          </cell>
          <cell r="I1162">
            <v>44342</v>
          </cell>
          <cell r="J1162" t="str">
            <v>ADTI</v>
          </cell>
          <cell r="K1162" t="str">
            <v>D2106149</v>
          </cell>
          <cell r="L1162">
            <v>4</v>
          </cell>
          <cell r="M1162" t="str">
            <v>A2105131</v>
          </cell>
          <cell r="N1162" t="str">
            <v>0460137</v>
          </cell>
          <cell r="O1162" t="str">
            <v xml:space="preserve">1.4306 TP304L </v>
          </cell>
          <cell r="P1162" t="str">
            <v>304L</v>
          </cell>
          <cell r="Q1162">
            <v>2.2759999999999998</v>
          </cell>
          <cell r="R1162">
            <v>2.2669999999999999</v>
          </cell>
          <cell r="S1162">
            <v>6.3E-2</v>
          </cell>
          <cell r="T1162">
            <v>6.0299999999999999E-2</v>
          </cell>
          <cell r="U1162">
            <v>5.9700000000000003E-2</v>
          </cell>
          <cell r="V1162">
            <v>0.06</v>
          </cell>
          <cell r="W1162" t="str">
            <v>BRS</v>
          </cell>
          <cell r="X1162">
            <v>3867</v>
          </cell>
          <cell r="Y1162">
            <v>4</v>
          </cell>
          <cell r="Z1162">
            <v>424.75834797891042</v>
          </cell>
          <cell r="AA1162" t="str">
            <v>2.276X0.063-304L</v>
          </cell>
          <cell r="AB1162" t="str">
            <v>WAAC005780160B300010</v>
          </cell>
          <cell r="AC1162" t="str">
            <v>D2106149</v>
          </cell>
          <cell r="AD1162" t="str">
            <v>0460137</v>
          </cell>
          <cell r="AE1162">
            <v>2.4E-2</v>
          </cell>
          <cell r="AF1162">
            <v>1.64</v>
          </cell>
          <cell r="AG1162">
            <v>3.1E-2</v>
          </cell>
          <cell r="AH1162">
            <v>1E-3</v>
          </cell>
          <cell r="AI1162">
            <v>0.32</v>
          </cell>
          <cell r="AJ1162">
            <v>18</v>
          </cell>
          <cell r="AK1162">
            <v>8.1</v>
          </cell>
          <cell r="AL1162">
            <v>7.0000000000000007E-2</v>
          </cell>
          <cell r="AM1162">
            <v>0.33</v>
          </cell>
          <cell r="AN1162">
            <v>0</v>
          </cell>
          <cell r="AO1162">
            <v>0</v>
          </cell>
          <cell r="AP1162">
            <v>0</v>
          </cell>
          <cell r="AQ1162">
            <v>0</v>
          </cell>
          <cell r="AR1162">
            <v>0.39</v>
          </cell>
          <cell r="AS1162">
            <v>0</v>
          </cell>
          <cell r="AT1162">
            <v>266</v>
          </cell>
          <cell r="AU1162">
            <v>297</v>
          </cell>
          <cell r="AV1162">
            <v>602</v>
          </cell>
          <cell r="AW1162">
            <v>60</v>
          </cell>
          <cell r="AX1162">
            <v>79</v>
          </cell>
          <cell r="AY1162">
            <v>147</v>
          </cell>
          <cell r="AZ1162">
            <v>1.7701</v>
          </cell>
          <cell r="BA1162" t="str">
            <v>D2106149</v>
          </cell>
          <cell r="BB1162" t="str">
            <v>CONFORM</v>
          </cell>
          <cell r="BC1162" t="str">
            <v>CONFORM</v>
          </cell>
          <cell r="BD1162" t="str">
            <v>CONFORM</v>
          </cell>
          <cell r="BE1162" t="str">
            <v>CONFORM</v>
          </cell>
          <cell r="BF1162" t="str">
            <v>CONFORM</v>
          </cell>
        </row>
        <row r="1163">
          <cell r="A1163">
            <v>44368</v>
          </cell>
          <cell r="B1163" t="str">
            <v>D2106150-1</v>
          </cell>
          <cell r="C1163" t="str">
            <v>047/21</v>
          </cell>
          <cell r="D1163">
            <v>5</v>
          </cell>
          <cell r="E1163">
            <v>44366</v>
          </cell>
          <cell r="F1163" t="str">
            <v>SO</v>
          </cell>
          <cell r="G1163" t="str">
            <v>On Time</v>
          </cell>
          <cell r="H1163" t="str">
            <v>413 A</v>
          </cell>
          <cell r="I1163">
            <v>44342</v>
          </cell>
          <cell r="J1163" t="str">
            <v>ADTI</v>
          </cell>
          <cell r="K1163" t="str">
            <v>D2106150</v>
          </cell>
          <cell r="L1163">
            <v>1</v>
          </cell>
          <cell r="M1163" t="str">
            <v>A2105118</v>
          </cell>
          <cell r="N1163">
            <v>24284</v>
          </cell>
          <cell r="O1163" t="str">
            <v xml:space="preserve">1.4401/1.4404 TP316/316L </v>
          </cell>
          <cell r="P1163" t="str">
            <v>316L</v>
          </cell>
          <cell r="Q1163">
            <v>2.3620000000000001</v>
          </cell>
          <cell r="R1163">
            <v>2.3479999999999999</v>
          </cell>
          <cell r="S1163">
            <v>3.5000000000000003E-2</v>
          </cell>
          <cell r="T1163">
            <v>3.5400000000000001E-2</v>
          </cell>
          <cell r="U1163">
            <v>3.5400000000000001E-2</v>
          </cell>
          <cell r="V1163">
            <v>3.5400000000000001E-2</v>
          </cell>
          <cell r="W1163" t="str">
            <v>BRS</v>
          </cell>
          <cell r="X1163">
            <v>2262</v>
          </cell>
          <cell r="Y1163">
            <v>2</v>
          </cell>
          <cell r="Z1163">
            <v>478.83149872988992</v>
          </cell>
          <cell r="AA1163" t="str">
            <v>2.362X0.035-316L</v>
          </cell>
          <cell r="AB1163" t="str">
            <v>WAAF006000090B300084</v>
          </cell>
          <cell r="AC1163" t="str">
            <v>D2106150</v>
          </cell>
          <cell r="AD1163">
            <v>24284</v>
          </cell>
          <cell r="AE1163">
            <v>0.02</v>
          </cell>
          <cell r="AF1163">
            <v>0.93</v>
          </cell>
          <cell r="AG1163">
            <v>3.4000000000000002E-2</v>
          </cell>
          <cell r="AH1163">
            <v>1E-3</v>
          </cell>
          <cell r="AI1163">
            <v>0.47</v>
          </cell>
          <cell r="AJ1163">
            <v>17</v>
          </cell>
          <cell r="AK1163">
            <v>10.1</v>
          </cell>
          <cell r="AL1163">
            <v>3.2000000000000001E-2</v>
          </cell>
          <cell r="AM1163">
            <v>2.0299999999999998</v>
          </cell>
          <cell r="AN1163">
            <v>0</v>
          </cell>
          <cell r="AO1163">
            <v>0</v>
          </cell>
          <cell r="AP1163">
            <v>0</v>
          </cell>
          <cell r="AQ1163">
            <v>0</v>
          </cell>
          <cell r="AR1163">
            <v>0</v>
          </cell>
          <cell r="AS1163">
            <v>0</v>
          </cell>
          <cell r="AT1163">
            <v>287</v>
          </cell>
          <cell r="AU1163">
            <v>313</v>
          </cell>
          <cell r="AV1163">
            <v>623</v>
          </cell>
          <cell r="AW1163">
            <v>55</v>
          </cell>
          <cell r="AX1163">
            <v>79</v>
          </cell>
          <cell r="AY1163">
            <v>147</v>
          </cell>
          <cell r="AZ1163">
            <v>1.6444000000000001</v>
          </cell>
          <cell r="BA1163" t="str">
            <v>D2106150</v>
          </cell>
          <cell r="BB1163" t="str">
            <v>CONFORM</v>
          </cell>
          <cell r="BC1163" t="str">
            <v>CONFORM</v>
          </cell>
          <cell r="BD1163" t="str">
            <v>CONFORM</v>
          </cell>
          <cell r="BE1163" t="str">
            <v>CONFORM</v>
          </cell>
          <cell r="BF1163" t="str">
            <v>CONFORM</v>
          </cell>
        </row>
        <row r="1164">
          <cell r="A1164">
            <v>44370</v>
          </cell>
          <cell r="B1164" t="str">
            <v>D2106185-1</v>
          </cell>
          <cell r="C1164" t="str">
            <v>047/21</v>
          </cell>
          <cell r="D1164">
            <v>2</v>
          </cell>
          <cell r="E1164">
            <v>44366</v>
          </cell>
          <cell r="F1164" t="str">
            <v>SO</v>
          </cell>
          <cell r="G1164" t="str">
            <v>On Time</v>
          </cell>
          <cell r="H1164" t="str">
            <v>413 B</v>
          </cell>
          <cell r="I1164">
            <v>44342</v>
          </cell>
          <cell r="J1164" t="str">
            <v>ADTI</v>
          </cell>
          <cell r="K1164" t="str">
            <v>D2106185</v>
          </cell>
          <cell r="L1164">
            <v>1</v>
          </cell>
          <cell r="M1164" t="str">
            <v>A2105051</v>
          </cell>
          <cell r="N1164">
            <v>19454</v>
          </cell>
          <cell r="O1164" t="str">
            <v xml:space="preserve">1.4306 TP304L </v>
          </cell>
          <cell r="P1164" t="str">
            <v>304L</v>
          </cell>
          <cell r="Q1164">
            <v>2.323</v>
          </cell>
          <cell r="R1164">
            <v>2.3275000000000001</v>
          </cell>
          <cell r="S1164">
            <v>4.7E-2</v>
          </cell>
          <cell r="T1164">
            <v>4.6550000000000001E-2</v>
          </cell>
          <cell r="U1164">
            <v>4.6649999999999997E-2</v>
          </cell>
          <cell r="V1164">
            <v>4.6600000000000003E-2</v>
          </cell>
          <cell r="W1164" t="str">
            <v>JM</v>
          </cell>
          <cell r="X1164">
            <v>3386</v>
          </cell>
          <cell r="Y1164">
            <v>2</v>
          </cell>
          <cell r="Z1164">
            <v>728.79896685320705</v>
          </cell>
          <cell r="AA1164" t="str">
            <v>2.323X0.047-304L</v>
          </cell>
          <cell r="AB1164" t="str">
            <v>WAAC005900120B300050</v>
          </cell>
          <cell r="AC1164" t="str">
            <v>D2106185</v>
          </cell>
          <cell r="AD1164">
            <v>19454</v>
          </cell>
          <cell r="AE1164">
            <v>2.3E-2</v>
          </cell>
          <cell r="AF1164">
            <v>1.55</v>
          </cell>
          <cell r="AG1164">
            <v>3.2000000000000001E-2</v>
          </cell>
          <cell r="AH1164">
            <v>1E-3</v>
          </cell>
          <cell r="AI1164">
            <v>0.39</v>
          </cell>
          <cell r="AJ1164">
            <v>18.399999999999999</v>
          </cell>
          <cell r="AK1164">
            <v>8</v>
          </cell>
          <cell r="AL1164">
            <v>5.8999999999999997E-2</v>
          </cell>
          <cell r="AM1164">
            <v>0</v>
          </cell>
          <cell r="AN1164">
            <v>0</v>
          </cell>
          <cell r="AO1164">
            <v>0</v>
          </cell>
          <cell r="AP1164">
            <v>0</v>
          </cell>
          <cell r="AQ1164">
            <v>0</v>
          </cell>
          <cell r="AR1164">
            <v>0</v>
          </cell>
          <cell r="AS1164">
            <v>0</v>
          </cell>
          <cell r="AT1164">
            <v>275</v>
          </cell>
          <cell r="AU1164">
            <v>307</v>
          </cell>
          <cell r="AV1164">
            <v>614</v>
          </cell>
          <cell r="AW1164">
            <v>61</v>
          </cell>
          <cell r="AX1164">
            <v>81</v>
          </cell>
          <cell r="AY1164">
            <v>153</v>
          </cell>
          <cell r="AZ1164">
            <v>1.7131000000000001</v>
          </cell>
          <cell r="BA1164" t="str">
            <v>D2106185</v>
          </cell>
          <cell r="BB1164" t="str">
            <v>CONFORM</v>
          </cell>
          <cell r="BC1164" t="str">
            <v>CONFORM</v>
          </cell>
          <cell r="BD1164" t="str">
            <v>CONFORM</v>
          </cell>
          <cell r="BE1164" t="str">
            <v>CONFORM</v>
          </cell>
          <cell r="BF1164" t="str">
            <v>CONFORM</v>
          </cell>
        </row>
        <row r="1165">
          <cell r="A1165">
            <v>44370</v>
          </cell>
          <cell r="B1165" t="str">
            <v>D2106185-2</v>
          </cell>
          <cell r="C1165" t="str">
            <v>047/21</v>
          </cell>
          <cell r="D1165">
            <v>2</v>
          </cell>
          <cell r="E1165">
            <v>44366</v>
          </cell>
          <cell r="F1165" t="str">
            <v>SO</v>
          </cell>
          <cell r="G1165" t="str">
            <v>On Time</v>
          </cell>
          <cell r="H1165" t="str">
            <v>413 B</v>
          </cell>
          <cell r="I1165">
            <v>44342</v>
          </cell>
          <cell r="J1165" t="str">
            <v>ADTI</v>
          </cell>
          <cell r="K1165" t="str">
            <v>D2106185</v>
          </cell>
          <cell r="L1165">
            <v>2</v>
          </cell>
          <cell r="M1165" t="str">
            <v>A2105051</v>
          </cell>
          <cell r="N1165">
            <v>19454</v>
          </cell>
          <cell r="O1165" t="str">
            <v xml:space="preserve">1.4306 TP304L </v>
          </cell>
          <cell r="P1165" t="str">
            <v>304L</v>
          </cell>
          <cell r="Q1165">
            <v>2.323</v>
          </cell>
          <cell r="R1165">
            <v>2.3235000000000001</v>
          </cell>
          <cell r="S1165">
            <v>4.7E-2</v>
          </cell>
          <cell r="T1165">
            <v>4.6449999999999998E-2</v>
          </cell>
          <cell r="U1165">
            <v>4.6449999999999998E-2</v>
          </cell>
          <cell r="V1165">
            <v>4.6449999999999998E-2</v>
          </cell>
          <cell r="W1165" t="str">
            <v>JM</v>
          </cell>
          <cell r="X1165">
            <v>3386</v>
          </cell>
          <cell r="Y1165">
            <v>2</v>
          </cell>
          <cell r="Z1165">
            <v>728.79896685320705</v>
          </cell>
          <cell r="AA1165" t="str">
            <v>2.323X0.047-304L</v>
          </cell>
          <cell r="AB1165" t="str">
            <v>WAAC005900120B300050</v>
          </cell>
          <cell r="AC1165" t="str">
            <v>D2106185</v>
          </cell>
          <cell r="AD1165">
            <v>19454</v>
          </cell>
          <cell r="AE1165">
            <v>2.3E-2</v>
          </cell>
          <cell r="AF1165">
            <v>1.55</v>
          </cell>
          <cell r="AG1165">
            <v>3.2000000000000001E-2</v>
          </cell>
          <cell r="AH1165">
            <v>1E-3</v>
          </cell>
          <cell r="AI1165">
            <v>0.39</v>
          </cell>
          <cell r="AJ1165">
            <v>18.399999999999999</v>
          </cell>
          <cell r="AK1165">
            <v>8</v>
          </cell>
          <cell r="AL1165">
            <v>5.8999999999999997E-2</v>
          </cell>
          <cell r="AM1165">
            <v>0</v>
          </cell>
          <cell r="AN1165">
            <v>0</v>
          </cell>
          <cell r="AO1165">
            <v>0</v>
          </cell>
          <cell r="AP1165">
            <v>0</v>
          </cell>
          <cell r="AQ1165">
            <v>0</v>
          </cell>
          <cell r="AR1165">
            <v>0</v>
          </cell>
          <cell r="AS1165">
            <v>0</v>
          </cell>
          <cell r="AT1165">
            <v>275</v>
          </cell>
          <cell r="AU1165">
            <v>307</v>
          </cell>
          <cell r="AV1165">
            <v>614</v>
          </cell>
          <cell r="AW1165">
            <v>61</v>
          </cell>
          <cell r="AX1165">
            <v>81</v>
          </cell>
          <cell r="AY1165">
            <v>153</v>
          </cell>
          <cell r="AZ1165">
            <v>1.7131000000000001</v>
          </cell>
          <cell r="BA1165" t="str">
            <v>D2106185</v>
          </cell>
          <cell r="BB1165" t="str">
            <v>CONFORM</v>
          </cell>
          <cell r="BC1165" t="str">
            <v>CONFORM</v>
          </cell>
          <cell r="BD1165" t="str">
            <v>CONFORM</v>
          </cell>
          <cell r="BE1165" t="str">
            <v>CONFORM</v>
          </cell>
          <cell r="BF1165" t="str">
            <v>CONFORM</v>
          </cell>
        </row>
        <row r="1166">
          <cell r="A1166">
            <v>44370</v>
          </cell>
          <cell r="B1166" t="str">
            <v>D2106185-3</v>
          </cell>
          <cell r="C1166" t="str">
            <v>047/21</v>
          </cell>
          <cell r="D1166">
            <v>2</v>
          </cell>
          <cell r="E1166">
            <v>44366</v>
          </cell>
          <cell r="F1166" t="str">
            <v>SO</v>
          </cell>
          <cell r="G1166" t="str">
            <v>On Time</v>
          </cell>
          <cell r="H1166" t="str">
            <v>413 B</v>
          </cell>
          <cell r="I1166">
            <v>44342</v>
          </cell>
          <cell r="J1166" t="str">
            <v>ADTI</v>
          </cell>
          <cell r="K1166" t="str">
            <v>D2106185</v>
          </cell>
          <cell r="L1166">
            <v>3</v>
          </cell>
          <cell r="M1166" t="str">
            <v>A2105051</v>
          </cell>
          <cell r="N1166">
            <v>19454</v>
          </cell>
          <cell r="O1166" t="str">
            <v xml:space="preserve">1.4306 TP304L </v>
          </cell>
          <cell r="P1166" t="str">
            <v>304L</v>
          </cell>
          <cell r="Q1166">
            <v>2.323</v>
          </cell>
          <cell r="R1166">
            <v>2.3294999999999999</v>
          </cell>
          <cell r="S1166">
            <v>4.7E-2</v>
          </cell>
          <cell r="T1166">
            <v>4.6199999999999998E-2</v>
          </cell>
          <cell r="U1166">
            <v>4.675E-2</v>
          </cell>
          <cell r="V1166">
            <v>4.6475000000000002E-2</v>
          </cell>
          <cell r="W1166" t="str">
            <v>JM</v>
          </cell>
          <cell r="X1166">
            <v>3377</v>
          </cell>
          <cell r="Y1166">
            <v>2</v>
          </cell>
          <cell r="Z1166">
            <v>726.86181661644423</v>
          </cell>
          <cell r="AA1166" t="str">
            <v>2.323X0.047-304L</v>
          </cell>
          <cell r="AB1166" t="str">
            <v>WAAC005900120B300050</v>
          </cell>
          <cell r="AC1166" t="str">
            <v>D2106185</v>
          </cell>
          <cell r="AD1166">
            <v>19454</v>
          </cell>
          <cell r="AE1166">
            <v>2.3E-2</v>
          </cell>
          <cell r="AF1166">
            <v>1.55</v>
          </cell>
          <cell r="AG1166">
            <v>3.2000000000000001E-2</v>
          </cell>
          <cell r="AH1166">
            <v>1E-3</v>
          </cell>
          <cell r="AI1166">
            <v>0.39</v>
          </cell>
          <cell r="AJ1166">
            <v>18.399999999999999</v>
          </cell>
          <cell r="AK1166">
            <v>8</v>
          </cell>
          <cell r="AL1166">
            <v>5.8999999999999997E-2</v>
          </cell>
          <cell r="AM1166">
            <v>0</v>
          </cell>
          <cell r="AN1166">
            <v>0</v>
          </cell>
          <cell r="AO1166">
            <v>0</v>
          </cell>
          <cell r="AP1166">
            <v>0</v>
          </cell>
          <cell r="AQ1166">
            <v>0</v>
          </cell>
          <cell r="AR1166">
            <v>0</v>
          </cell>
          <cell r="AS1166">
            <v>0</v>
          </cell>
          <cell r="AT1166">
            <v>275</v>
          </cell>
          <cell r="AU1166">
            <v>307</v>
          </cell>
          <cell r="AV1166">
            <v>614</v>
          </cell>
          <cell r="AW1166">
            <v>61</v>
          </cell>
          <cell r="AX1166">
            <v>81</v>
          </cell>
          <cell r="AY1166">
            <v>153</v>
          </cell>
          <cell r="AZ1166">
            <v>1.7131000000000001</v>
          </cell>
          <cell r="BA1166" t="str">
            <v>D2106185</v>
          </cell>
          <cell r="BB1166" t="str">
            <v>CONFORM</v>
          </cell>
          <cell r="BC1166" t="str">
            <v>CONFORM</v>
          </cell>
          <cell r="BD1166" t="str">
            <v>CONFORM</v>
          </cell>
          <cell r="BE1166" t="str">
            <v>CONFORM</v>
          </cell>
          <cell r="BF1166" t="str">
            <v>CONFORM</v>
          </cell>
        </row>
        <row r="1167">
          <cell r="A1167">
            <v>44370</v>
          </cell>
          <cell r="B1167" t="str">
            <v>D2106185-4</v>
          </cell>
          <cell r="C1167" t="str">
            <v>047/21</v>
          </cell>
          <cell r="D1167">
            <v>2</v>
          </cell>
          <cell r="E1167">
            <v>44366</v>
          </cell>
          <cell r="F1167" t="str">
            <v>SO</v>
          </cell>
          <cell r="G1167" t="str">
            <v>On Time</v>
          </cell>
          <cell r="H1167" t="str">
            <v>413 B</v>
          </cell>
          <cell r="I1167">
            <v>44342</v>
          </cell>
          <cell r="J1167" t="str">
            <v>ADTI</v>
          </cell>
          <cell r="K1167" t="str">
            <v>D2106185</v>
          </cell>
          <cell r="L1167">
            <v>4</v>
          </cell>
          <cell r="M1167" t="str">
            <v>A2105051</v>
          </cell>
          <cell r="N1167">
            <v>19454</v>
          </cell>
          <cell r="O1167" t="str">
            <v xml:space="preserve">1.4306 TP304L </v>
          </cell>
          <cell r="P1167" t="str">
            <v>304L</v>
          </cell>
          <cell r="Q1167">
            <v>2.323</v>
          </cell>
          <cell r="R1167">
            <v>2.331</v>
          </cell>
          <cell r="S1167">
            <v>4.7E-2</v>
          </cell>
          <cell r="T1167">
            <v>4.7E-2</v>
          </cell>
          <cell r="U1167">
            <v>4.6550000000000001E-2</v>
          </cell>
          <cell r="V1167">
            <v>4.6774999999999997E-2</v>
          </cell>
          <cell r="W1167" t="str">
            <v>JM</v>
          </cell>
          <cell r="X1167">
            <v>3369</v>
          </cell>
          <cell r="Y1167">
            <v>2</v>
          </cell>
          <cell r="Z1167">
            <v>725.13990529487728</v>
          </cell>
          <cell r="AA1167" t="str">
            <v>2.323X0.047-304L</v>
          </cell>
          <cell r="AB1167" t="str">
            <v>WAAC005900120B300050</v>
          </cell>
          <cell r="AC1167" t="str">
            <v>D2106185</v>
          </cell>
          <cell r="AD1167">
            <v>19454</v>
          </cell>
          <cell r="AE1167">
            <v>2.3E-2</v>
          </cell>
          <cell r="AF1167">
            <v>1.55</v>
          </cell>
          <cell r="AG1167">
            <v>3.2000000000000001E-2</v>
          </cell>
          <cell r="AH1167">
            <v>1E-3</v>
          </cell>
          <cell r="AI1167">
            <v>0.39</v>
          </cell>
          <cell r="AJ1167">
            <v>18.399999999999999</v>
          </cell>
          <cell r="AK1167">
            <v>8</v>
          </cell>
          <cell r="AL1167">
            <v>5.8999999999999997E-2</v>
          </cell>
          <cell r="AM1167">
            <v>0</v>
          </cell>
          <cell r="AN1167">
            <v>0</v>
          </cell>
          <cell r="AO1167">
            <v>0</v>
          </cell>
          <cell r="AP1167">
            <v>0</v>
          </cell>
          <cell r="AQ1167">
            <v>0</v>
          </cell>
          <cell r="AR1167">
            <v>0</v>
          </cell>
          <cell r="AS1167">
            <v>0</v>
          </cell>
          <cell r="AT1167">
            <v>275</v>
          </cell>
          <cell r="AU1167">
            <v>307</v>
          </cell>
          <cell r="AV1167">
            <v>614</v>
          </cell>
          <cell r="AW1167">
            <v>61</v>
          </cell>
          <cell r="AX1167">
            <v>81</v>
          </cell>
          <cell r="AY1167">
            <v>153</v>
          </cell>
          <cell r="AZ1167">
            <v>1.7131000000000001</v>
          </cell>
          <cell r="BA1167" t="str">
            <v>D2106185</v>
          </cell>
          <cell r="BB1167" t="str">
            <v>CONFORM</v>
          </cell>
          <cell r="BC1167" t="str">
            <v>CONFORM</v>
          </cell>
          <cell r="BD1167" t="str">
            <v>CONFORM</v>
          </cell>
          <cell r="BE1167" t="str">
            <v>CONFORM</v>
          </cell>
          <cell r="BF1167" t="str">
            <v>CONFORM</v>
          </cell>
        </row>
        <row r="1168">
          <cell r="A1168">
            <v>44370</v>
          </cell>
          <cell r="B1168" t="str">
            <v>D2106185-5</v>
          </cell>
          <cell r="C1168" t="str">
            <v>047/21</v>
          </cell>
          <cell r="D1168">
            <v>2</v>
          </cell>
          <cell r="E1168">
            <v>44366</v>
          </cell>
          <cell r="F1168" t="str">
            <v>SO</v>
          </cell>
          <cell r="G1168" t="str">
            <v>On Time</v>
          </cell>
          <cell r="H1168" t="str">
            <v>413 B</v>
          </cell>
          <cell r="I1168">
            <v>44342</v>
          </cell>
          <cell r="J1168" t="str">
            <v>ADTI</v>
          </cell>
          <cell r="K1168" t="str">
            <v>D2106185</v>
          </cell>
          <cell r="L1168">
            <v>5</v>
          </cell>
          <cell r="M1168" t="str">
            <v>A2105051</v>
          </cell>
          <cell r="N1168">
            <v>19454</v>
          </cell>
          <cell r="O1168" t="str">
            <v xml:space="preserve">1.4306 TP304L </v>
          </cell>
          <cell r="P1168" t="str">
            <v>304L</v>
          </cell>
          <cell r="Q1168">
            <v>2.323</v>
          </cell>
          <cell r="R1168">
            <v>2.327</v>
          </cell>
          <cell r="S1168">
            <v>4.7E-2</v>
          </cell>
          <cell r="T1168">
            <v>4.5850000000000002E-2</v>
          </cell>
          <cell r="U1168">
            <v>4.6350000000000002E-2</v>
          </cell>
          <cell r="V1168">
            <v>4.6100000000000002E-2</v>
          </cell>
          <cell r="W1168" t="str">
            <v>JM</v>
          </cell>
          <cell r="X1168">
            <v>3364</v>
          </cell>
          <cell r="Y1168">
            <v>2</v>
          </cell>
          <cell r="Z1168">
            <v>724.06371071889794</v>
          </cell>
          <cell r="AA1168" t="str">
            <v>2.323X0.047-304L</v>
          </cell>
          <cell r="AB1168" t="str">
            <v>WAAC005900120B300050</v>
          </cell>
          <cell r="AC1168" t="str">
            <v>D2106185</v>
          </cell>
          <cell r="AD1168">
            <v>19454</v>
          </cell>
          <cell r="AE1168">
            <v>2.3E-2</v>
          </cell>
          <cell r="AF1168">
            <v>1.55</v>
          </cell>
          <cell r="AG1168">
            <v>3.2000000000000001E-2</v>
          </cell>
          <cell r="AH1168">
            <v>1E-3</v>
          </cell>
          <cell r="AI1168">
            <v>0.39</v>
          </cell>
          <cell r="AJ1168">
            <v>18.399999999999999</v>
          </cell>
          <cell r="AK1168">
            <v>8</v>
          </cell>
          <cell r="AL1168">
            <v>5.8999999999999997E-2</v>
          </cell>
          <cell r="AM1168">
            <v>0</v>
          </cell>
          <cell r="AN1168">
            <v>0</v>
          </cell>
          <cell r="AO1168">
            <v>0</v>
          </cell>
          <cell r="AP1168">
            <v>0</v>
          </cell>
          <cell r="AQ1168">
            <v>0</v>
          </cell>
          <cell r="AR1168">
            <v>0</v>
          </cell>
          <cell r="AS1168">
            <v>0</v>
          </cell>
          <cell r="AT1168">
            <v>275</v>
          </cell>
          <cell r="AU1168">
            <v>307</v>
          </cell>
          <cell r="AV1168">
            <v>614</v>
          </cell>
          <cell r="AW1168">
            <v>61</v>
          </cell>
          <cell r="AX1168">
            <v>81</v>
          </cell>
          <cell r="AY1168">
            <v>153</v>
          </cell>
          <cell r="AZ1168">
            <v>1.7131000000000001</v>
          </cell>
          <cell r="BA1168" t="str">
            <v>D2106185</v>
          </cell>
          <cell r="BB1168" t="str">
            <v>CONFORM</v>
          </cell>
          <cell r="BC1168" t="str">
            <v>CONFORM</v>
          </cell>
          <cell r="BD1168" t="str">
            <v>CONFORM</v>
          </cell>
          <cell r="BE1168" t="str">
            <v>CONFORM</v>
          </cell>
          <cell r="BF1168" t="str">
            <v>CONFORM</v>
          </cell>
        </row>
        <row r="1169">
          <cell r="A1169">
            <v>44370</v>
          </cell>
          <cell r="B1169" t="str">
            <v>D2106185-6</v>
          </cell>
          <cell r="C1169" t="str">
            <v>047/21</v>
          </cell>
          <cell r="D1169">
            <v>2</v>
          </cell>
          <cell r="E1169">
            <v>44366</v>
          </cell>
          <cell r="F1169" t="str">
            <v>SO</v>
          </cell>
          <cell r="G1169" t="str">
            <v>On Time</v>
          </cell>
          <cell r="H1169" t="str">
            <v>413 B</v>
          </cell>
          <cell r="I1169">
            <v>44342</v>
          </cell>
          <cell r="J1169" t="str">
            <v>ADTI</v>
          </cell>
          <cell r="K1169" t="str">
            <v>D2106185</v>
          </cell>
          <cell r="L1169">
            <v>6</v>
          </cell>
          <cell r="M1169" t="str">
            <v>A2105051</v>
          </cell>
          <cell r="N1169">
            <v>19454</v>
          </cell>
          <cell r="O1169" t="str">
            <v xml:space="preserve">1.4306 TP304L </v>
          </cell>
          <cell r="P1169" t="str">
            <v>304L</v>
          </cell>
          <cell r="Q1169">
            <v>2.323</v>
          </cell>
          <cell r="R1169">
            <v>2.3075000000000001</v>
          </cell>
          <cell r="S1169">
            <v>4.7E-2</v>
          </cell>
          <cell r="T1169">
            <v>4.6050000000000001E-2</v>
          </cell>
          <cell r="U1169">
            <v>4.6199999999999998E-2</v>
          </cell>
          <cell r="V1169">
            <v>4.6124999999999999E-2</v>
          </cell>
          <cell r="W1169" t="str">
            <v>JM</v>
          </cell>
          <cell r="X1169">
            <v>3359</v>
          </cell>
          <cell r="Y1169">
            <v>2</v>
          </cell>
          <cell r="Z1169">
            <v>722.98751614291871</v>
          </cell>
          <cell r="AA1169" t="str">
            <v>2.323X0.047-304L</v>
          </cell>
          <cell r="AB1169" t="str">
            <v>WAAC005900120B300050</v>
          </cell>
          <cell r="AC1169" t="str">
            <v>D2106185</v>
          </cell>
          <cell r="AD1169">
            <v>19454</v>
          </cell>
          <cell r="AE1169">
            <v>2.3E-2</v>
          </cell>
          <cell r="AF1169">
            <v>1.55</v>
          </cell>
          <cell r="AG1169">
            <v>3.2000000000000001E-2</v>
          </cell>
          <cell r="AH1169">
            <v>1E-3</v>
          </cell>
          <cell r="AI1169">
            <v>0.39</v>
          </cell>
          <cell r="AJ1169">
            <v>18.399999999999999</v>
          </cell>
          <cell r="AK1169">
            <v>8</v>
          </cell>
          <cell r="AL1169">
            <v>5.8999999999999997E-2</v>
          </cell>
          <cell r="AM1169">
            <v>0</v>
          </cell>
          <cell r="AN1169">
            <v>0</v>
          </cell>
          <cell r="AO1169">
            <v>0</v>
          </cell>
          <cell r="AP1169">
            <v>0</v>
          </cell>
          <cell r="AQ1169">
            <v>0</v>
          </cell>
          <cell r="AR1169">
            <v>0</v>
          </cell>
          <cell r="AS1169">
            <v>0</v>
          </cell>
          <cell r="AT1169">
            <v>275</v>
          </cell>
          <cell r="AU1169">
            <v>307</v>
          </cell>
          <cell r="AV1169">
            <v>614</v>
          </cell>
          <cell r="AW1169">
            <v>61</v>
          </cell>
          <cell r="AX1169">
            <v>81</v>
          </cell>
          <cell r="AY1169">
            <v>153</v>
          </cell>
          <cell r="AZ1169">
            <v>1.7131000000000001</v>
          </cell>
          <cell r="BA1169" t="str">
            <v>D2106185</v>
          </cell>
          <cell r="BB1169" t="str">
            <v>CONFORM</v>
          </cell>
          <cell r="BC1169" t="str">
            <v>CONFORM</v>
          </cell>
          <cell r="BD1169" t="str">
            <v>CONFORM</v>
          </cell>
          <cell r="BE1169" t="str">
            <v>CONFORM</v>
          </cell>
          <cell r="BF1169" t="str">
            <v>CONFORM</v>
          </cell>
        </row>
        <row r="1170">
          <cell r="A1170">
            <v>44370</v>
          </cell>
          <cell r="B1170" t="str">
            <v>D2106186-1</v>
          </cell>
          <cell r="C1170" t="str">
            <v>047/21</v>
          </cell>
          <cell r="D1170">
            <v>4</v>
          </cell>
          <cell r="E1170">
            <v>44366</v>
          </cell>
          <cell r="F1170" t="str">
            <v>SO</v>
          </cell>
          <cell r="G1170" t="str">
            <v>On Time</v>
          </cell>
          <cell r="H1170" t="str">
            <v>413 B</v>
          </cell>
          <cell r="I1170">
            <v>44342</v>
          </cell>
          <cell r="J1170" t="str">
            <v>ADTI</v>
          </cell>
          <cell r="K1170" t="str">
            <v>D2106186</v>
          </cell>
          <cell r="L1170">
            <v>1</v>
          </cell>
          <cell r="M1170" t="str">
            <v>A2105052</v>
          </cell>
          <cell r="N1170" t="str">
            <v>019820</v>
          </cell>
          <cell r="O1170" t="str">
            <v xml:space="preserve">1.4306 TP304L </v>
          </cell>
          <cell r="P1170" t="str">
            <v>304L</v>
          </cell>
          <cell r="Q1170">
            <v>3.9129999999999998</v>
          </cell>
          <cell r="R1170">
            <v>3.0908500000000001</v>
          </cell>
          <cell r="S1170">
            <v>4.7E-2</v>
          </cell>
          <cell r="T1170">
            <v>4.7849999999999997E-2</v>
          </cell>
          <cell r="U1170">
            <v>4.7899999999999998E-2</v>
          </cell>
          <cell r="V1170">
            <v>4.7875000000000001E-2</v>
          </cell>
          <cell r="W1170" t="str">
            <v>JM</v>
          </cell>
          <cell r="X1170">
            <v>1080</v>
          </cell>
          <cell r="Y1170">
            <v>1</v>
          </cell>
          <cell r="Z1170">
            <v>276.00306670074116</v>
          </cell>
          <cell r="AA1170" t="str">
            <v>3.913X0.047-304L</v>
          </cell>
          <cell r="AB1170" t="str">
            <v>WAAC009940120B300053</v>
          </cell>
          <cell r="AC1170" t="str">
            <v>D2106186</v>
          </cell>
          <cell r="AD1170" t="str">
            <v>019820</v>
          </cell>
          <cell r="AE1170">
            <v>2.5999999999999999E-2</v>
          </cell>
          <cell r="AF1170">
            <v>1.35</v>
          </cell>
          <cell r="AG1170">
            <v>3.1E-2</v>
          </cell>
          <cell r="AH1170">
            <v>2E-3</v>
          </cell>
          <cell r="AI1170">
            <v>0.41</v>
          </cell>
          <cell r="AJ1170">
            <v>18</v>
          </cell>
          <cell r="AK1170">
            <v>8</v>
          </cell>
          <cell r="AL1170">
            <v>6.8000000000000005E-2</v>
          </cell>
          <cell r="AM1170">
            <v>0</v>
          </cell>
          <cell r="AN1170">
            <v>0</v>
          </cell>
          <cell r="AO1170">
            <v>0</v>
          </cell>
          <cell r="AP1170">
            <v>0</v>
          </cell>
          <cell r="AQ1170">
            <v>0</v>
          </cell>
          <cell r="AR1170">
            <v>0.34</v>
          </cell>
          <cell r="AS1170">
            <v>0</v>
          </cell>
          <cell r="AT1170">
            <v>273</v>
          </cell>
          <cell r="AU1170">
            <v>306</v>
          </cell>
          <cell r="AV1170">
            <v>639</v>
          </cell>
          <cell r="AW1170">
            <v>57</v>
          </cell>
          <cell r="AX1170">
            <v>83</v>
          </cell>
          <cell r="AY1170">
            <v>159</v>
          </cell>
          <cell r="AZ1170">
            <v>1.7703</v>
          </cell>
          <cell r="BA1170" t="str">
            <v>D2106186</v>
          </cell>
          <cell r="BB1170" t="str">
            <v>CONFORM</v>
          </cell>
          <cell r="BC1170" t="str">
            <v>CONFORM</v>
          </cell>
          <cell r="BD1170" t="str">
            <v>CONFORM</v>
          </cell>
          <cell r="BE1170" t="str">
            <v>CONFORM</v>
          </cell>
          <cell r="BF1170" t="str">
            <v>CONFORM</v>
          </cell>
        </row>
        <row r="1171">
          <cell r="A1171">
            <v>44370</v>
          </cell>
          <cell r="B1171" t="str">
            <v>D2106187-1</v>
          </cell>
          <cell r="C1171" t="str">
            <v>047/21</v>
          </cell>
          <cell r="D1171">
            <v>3</v>
          </cell>
          <cell r="E1171">
            <v>44366</v>
          </cell>
          <cell r="F1171" t="str">
            <v>SO</v>
          </cell>
          <cell r="G1171" t="str">
            <v>On Time</v>
          </cell>
          <cell r="H1171" t="str">
            <v>413 B</v>
          </cell>
          <cell r="I1171">
            <v>44342</v>
          </cell>
          <cell r="J1171" t="str">
            <v>ADTI</v>
          </cell>
          <cell r="K1171" t="str">
            <v>D2106187</v>
          </cell>
          <cell r="L1171">
            <v>1</v>
          </cell>
          <cell r="M1171" t="str">
            <v>A2105065</v>
          </cell>
          <cell r="N1171">
            <v>25013</v>
          </cell>
          <cell r="O1171" t="str">
            <v xml:space="preserve">1.4306 TP304L </v>
          </cell>
          <cell r="P1171" t="str">
            <v>304L</v>
          </cell>
          <cell r="Q1171">
            <v>2.7829999999999999</v>
          </cell>
          <cell r="R1171">
            <v>2.7669999999999999</v>
          </cell>
          <cell r="S1171">
            <v>2.7E-2</v>
          </cell>
          <cell r="T1171">
            <v>2.7099999999999999E-2</v>
          </cell>
          <cell r="U1171">
            <v>2.7400000000000001E-2</v>
          </cell>
          <cell r="V1171">
            <v>2.725E-2</v>
          </cell>
          <cell r="W1171" t="str">
            <v>JM</v>
          </cell>
          <cell r="X1171">
            <v>4420</v>
          </cell>
          <cell r="Y1171">
            <v>2</v>
          </cell>
          <cell r="Z1171">
            <v>794.10707869205896</v>
          </cell>
          <cell r="AA1171" t="str">
            <v>2.783X0.027-304L</v>
          </cell>
          <cell r="AB1171" t="str">
            <v>WAAC007070070B200133</v>
          </cell>
          <cell r="AC1171" t="str">
            <v>D2106187</v>
          </cell>
          <cell r="AD1171">
            <v>25013</v>
          </cell>
          <cell r="AE1171">
            <v>1.4999999999999999E-2</v>
          </cell>
          <cell r="AF1171">
            <v>1.31</v>
          </cell>
          <cell r="AG1171">
            <v>2.7E-2</v>
          </cell>
          <cell r="AH1171">
            <v>1E-3</v>
          </cell>
          <cell r="AI1171">
            <v>0.37</v>
          </cell>
          <cell r="AJ1171">
            <v>18.3</v>
          </cell>
          <cell r="AK1171">
            <v>9.5</v>
          </cell>
          <cell r="AL1171">
            <v>0.04</v>
          </cell>
          <cell r="AM1171">
            <v>0</v>
          </cell>
          <cell r="AN1171">
            <v>0</v>
          </cell>
          <cell r="AO1171">
            <v>0</v>
          </cell>
          <cell r="AP1171">
            <v>0</v>
          </cell>
          <cell r="AQ1171">
            <v>0</v>
          </cell>
          <cell r="AR1171">
            <v>0</v>
          </cell>
          <cell r="AS1171">
            <v>0</v>
          </cell>
          <cell r="AT1171">
            <v>248</v>
          </cell>
          <cell r="AU1171">
            <v>278</v>
          </cell>
          <cell r="AV1171">
            <v>605</v>
          </cell>
          <cell r="AW1171">
            <v>59</v>
          </cell>
          <cell r="AX1171">
            <v>139</v>
          </cell>
          <cell r="AY1171">
            <v>139</v>
          </cell>
          <cell r="AZ1171">
            <v>1.7426999999999999</v>
          </cell>
          <cell r="BA1171" t="str">
            <v>D2106187</v>
          </cell>
          <cell r="BB1171" t="str">
            <v>CONFORM</v>
          </cell>
          <cell r="BC1171" t="str">
            <v>CONFORM</v>
          </cell>
          <cell r="BD1171" t="str">
            <v>CONFORM</v>
          </cell>
          <cell r="BE1171" t="str">
            <v>CONFORM</v>
          </cell>
          <cell r="BF1171" t="str">
            <v>CONFORM</v>
          </cell>
        </row>
        <row r="1172">
          <cell r="A1172">
            <v>44370</v>
          </cell>
          <cell r="B1172" t="str">
            <v>D2106188-1</v>
          </cell>
          <cell r="C1172" t="str">
            <v>047/21</v>
          </cell>
          <cell r="D1172">
            <v>3</v>
          </cell>
          <cell r="E1172">
            <v>44366</v>
          </cell>
          <cell r="F1172" t="str">
            <v>SO</v>
          </cell>
          <cell r="G1172" t="str">
            <v>On Time</v>
          </cell>
          <cell r="H1172" t="str">
            <v>413 B</v>
          </cell>
          <cell r="I1172">
            <v>44342</v>
          </cell>
          <cell r="J1172" t="str">
            <v>ADTI</v>
          </cell>
          <cell r="K1172" t="str">
            <v>D2106188</v>
          </cell>
          <cell r="L1172">
            <v>1</v>
          </cell>
          <cell r="M1172" t="str">
            <v>A2105066</v>
          </cell>
          <cell r="N1172" t="str">
            <v>0539301</v>
          </cell>
          <cell r="O1172" t="str">
            <v xml:space="preserve">1.4306 TP304L </v>
          </cell>
          <cell r="P1172" t="str">
            <v>304L</v>
          </cell>
          <cell r="Q1172">
            <v>2.7829999999999999</v>
          </cell>
          <cell r="R1172">
            <v>2.7835000000000001</v>
          </cell>
          <cell r="S1172">
            <v>2.7E-2</v>
          </cell>
          <cell r="T1172">
            <v>2.6849999999999999E-2</v>
          </cell>
          <cell r="U1172">
            <v>2.7699999999999999E-2</v>
          </cell>
          <cell r="V1172">
            <v>2.7275000000000001E-2</v>
          </cell>
          <cell r="W1172" t="str">
            <v>JM</v>
          </cell>
          <cell r="X1172">
            <v>838</v>
          </cell>
          <cell r="Y1172">
            <v>1</v>
          </cell>
          <cell r="Z1172">
            <v>301.11390585698888</v>
          </cell>
          <cell r="AA1172" t="str">
            <v>2.783X0.027-304L</v>
          </cell>
          <cell r="AB1172" t="str">
            <v>WAAC007070070B200133</v>
          </cell>
          <cell r="AC1172" t="str">
            <v>D2106188</v>
          </cell>
          <cell r="AD1172" t="str">
            <v>0539301</v>
          </cell>
          <cell r="AE1172">
            <v>2.5000000000000001E-2</v>
          </cell>
          <cell r="AF1172">
            <v>1.73</v>
          </cell>
          <cell r="AG1172">
            <v>3.2000000000000001E-2</v>
          </cell>
          <cell r="AH1172">
            <v>1E-3</v>
          </cell>
          <cell r="AI1172">
            <v>0.34</v>
          </cell>
          <cell r="AJ1172">
            <v>18.100000000000001</v>
          </cell>
          <cell r="AK1172">
            <v>8</v>
          </cell>
          <cell r="AL1172">
            <v>6.9000000000000006E-2</v>
          </cell>
          <cell r="AM1172">
            <v>0</v>
          </cell>
          <cell r="AN1172">
            <v>0</v>
          </cell>
          <cell r="AO1172">
            <v>0</v>
          </cell>
          <cell r="AP1172">
            <v>0</v>
          </cell>
          <cell r="AQ1172">
            <v>0</v>
          </cell>
          <cell r="AR1172">
            <v>0.38</v>
          </cell>
          <cell r="AS1172">
            <v>0</v>
          </cell>
          <cell r="AT1172">
            <v>263</v>
          </cell>
          <cell r="AU1172">
            <v>296</v>
          </cell>
          <cell r="AV1172">
            <v>635</v>
          </cell>
          <cell r="AW1172">
            <v>61</v>
          </cell>
          <cell r="AX1172">
            <v>71</v>
          </cell>
          <cell r="AY1172">
            <v>127</v>
          </cell>
          <cell r="AZ1172">
            <v>1.7426999999999999</v>
          </cell>
          <cell r="BA1172" t="str">
            <v>D2106188</v>
          </cell>
          <cell r="BB1172" t="str">
            <v>CONFORM</v>
          </cell>
          <cell r="BC1172" t="str">
            <v>CONFORM</v>
          </cell>
          <cell r="BD1172" t="str">
            <v>CONFORM</v>
          </cell>
          <cell r="BE1172" t="str">
            <v>CONFORM</v>
          </cell>
          <cell r="BF1172" t="str">
            <v>CONFORM</v>
          </cell>
        </row>
        <row r="1173">
          <cell r="A1173">
            <v>44370</v>
          </cell>
          <cell r="B1173" t="str">
            <v>D2106189-1</v>
          </cell>
          <cell r="C1173" t="str">
            <v>047/21</v>
          </cell>
          <cell r="D1173">
            <v>3</v>
          </cell>
          <cell r="E1173">
            <v>44366</v>
          </cell>
          <cell r="F1173" t="str">
            <v>SO</v>
          </cell>
          <cell r="G1173" t="str">
            <v>On Time</v>
          </cell>
          <cell r="H1173" t="str">
            <v>413 B</v>
          </cell>
          <cell r="I1173">
            <v>44342</v>
          </cell>
          <cell r="J1173" t="str">
            <v>ADTI</v>
          </cell>
          <cell r="K1173" t="str">
            <v>D2106189</v>
          </cell>
          <cell r="L1173">
            <v>1</v>
          </cell>
          <cell r="M1173" t="str">
            <v>A2105067</v>
          </cell>
          <cell r="N1173" t="str">
            <v>0461104</v>
          </cell>
          <cell r="O1173" t="str">
            <v xml:space="preserve">1.4306 TP304L </v>
          </cell>
          <cell r="P1173" t="str">
            <v>304L</v>
          </cell>
          <cell r="Q1173">
            <v>2.7829999999999999</v>
          </cell>
          <cell r="R1173">
            <v>2.774</v>
          </cell>
          <cell r="S1173">
            <v>2.7E-2</v>
          </cell>
          <cell r="T1173">
            <v>2.6700000000000002E-2</v>
          </cell>
          <cell r="U1173">
            <v>2.7050000000000001E-2</v>
          </cell>
          <cell r="V1173">
            <v>2.6875000000000003E-2</v>
          </cell>
          <cell r="W1173" t="str">
            <v>JM</v>
          </cell>
          <cell r="X1173">
            <v>716</v>
          </cell>
          <cell r="Y1173">
            <v>1</v>
          </cell>
          <cell r="Z1173">
            <v>257.27632051742722</v>
          </cell>
          <cell r="AA1173" t="str">
            <v>2.783X0.027-304L</v>
          </cell>
          <cell r="AB1173" t="str">
            <v>WAAC007070070B200133</v>
          </cell>
          <cell r="AC1173" t="str">
            <v>D2106189</v>
          </cell>
          <cell r="AD1173" t="str">
            <v>0461104</v>
          </cell>
          <cell r="AE1173">
            <v>0.03</v>
          </cell>
          <cell r="AF1173">
            <v>1.68</v>
          </cell>
          <cell r="AG1173">
            <v>2.5999999999999999E-2</v>
          </cell>
          <cell r="AH1173">
            <v>1E-3</v>
          </cell>
          <cell r="AI1173">
            <v>0.37</v>
          </cell>
          <cell r="AJ1173">
            <v>18.2</v>
          </cell>
          <cell r="AK1173">
            <v>8.1</v>
          </cell>
          <cell r="AL1173">
            <v>7.4999999999999997E-2</v>
          </cell>
          <cell r="AM1173">
            <v>0</v>
          </cell>
          <cell r="AN1173">
            <v>0</v>
          </cell>
          <cell r="AO1173">
            <v>0</v>
          </cell>
          <cell r="AP1173">
            <v>0</v>
          </cell>
          <cell r="AQ1173">
            <v>0</v>
          </cell>
          <cell r="AR1173">
            <v>0.19</v>
          </cell>
          <cell r="AS1173">
            <v>0</v>
          </cell>
          <cell r="AT1173">
            <v>293</v>
          </cell>
          <cell r="AU1173">
            <v>322</v>
          </cell>
          <cell r="AV1173">
            <v>657</v>
          </cell>
          <cell r="AW1173">
            <v>56</v>
          </cell>
          <cell r="AX1173">
            <v>81</v>
          </cell>
          <cell r="AY1173">
            <v>153</v>
          </cell>
          <cell r="AZ1173">
            <v>1.7426999999999999</v>
          </cell>
          <cell r="BA1173" t="str">
            <v>D2106189</v>
          </cell>
          <cell r="BB1173" t="str">
            <v>CONFORM</v>
          </cell>
          <cell r="BC1173" t="str">
            <v>CONFORM</v>
          </cell>
          <cell r="BD1173" t="str">
            <v>CONFORM</v>
          </cell>
          <cell r="BE1173" t="str">
            <v>CONFORM</v>
          </cell>
          <cell r="BF1173" t="str">
            <v>CONFORM</v>
          </cell>
        </row>
        <row r="1174">
          <cell r="A1174">
            <v>44370</v>
          </cell>
          <cell r="B1174" t="str">
            <v>D2106190-1</v>
          </cell>
          <cell r="C1174" t="str">
            <v>047/21</v>
          </cell>
          <cell r="D1174">
            <v>5</v>
          </cell>
          <cell r="E1174">
            <v>44366</v>
          </cell>
          <cell r="F1174" t="str">
            <v>SO</v>
          </cell>
          <cell r="G1174" t="str">
            <v>On Time</v>
          </cell>
          <cell r="H1174" t="str">
            <v>413 B</v>
          </cell>
          <cell r="I1174">
            <v>44342</v>
          </cell>
          <cell r="J1174" t="str">
            <v>ADTI</v>
          </cell>
          <cell r="K1174" t="str">
            <v>D2106190</v>
          </cell>
          <cell r="L1174">
            <v>1</v>
          </cell>
          <cell r="M1174" t="str">
            <v>A2105114</v>
          </cell>
          <cell r="N1174">
            <v>24284</v>
          </cell>
          <cell r="O1174" t="str">
            <v xml:space="preserve">1.4401/1.4404 TP316/316L </v>
          </cell>
          <cell r="P1174" t="str">
            <v>316L</v>
          </cell>
          <cell r="Q1174">
            <v>2.3620000000000001</v>
          </cell>
          <cell r="R1174">
            <v>2.3479999999999999</v>
          </cell>
          <cell r="S1174">
            <v>3.5000000000000003E-2</v>
          </cell>
          <cell r="T1174">
            <v>3.6049999999999999E-2</v>
          </cell>
          <cell r="U1174">
            <v>3.7350000000000001E-2</v>
          </cell>
          <cell r="V1174">
            <v>3.6699999999999997E-2</v>
          </cell>
          <cell r="W1174" t="str">
            <v>JM</v>
          </cell>
          <cell r="X1174">
            <v>2231</v>
          </cell>
          <cell r="Y1174">
            <v>2</v>
          </cell>
          <cell r="Z1174">
            <v>472.2692633361558</v>
          </cell>
          <cell r="AA1174" t="str">
            <v>2.362X0.035-316L</v>
          </cell>
          <cell r="AB1174" t="str">
            <v>WAAF006000090B300084</v>
          </cell>
          <cell r="AC1174" t="str">
            <v>D2106190</v>
          </cell>
          <cell r="AD1174">
            <v>24284</v>
          </cell>
          <cell r="AE1174">
            <v>0.02</v>
          </cell>
          <cell r="AF1174">
            <v>0.93</v>
          </cell>
          <cell r="AG1174">
            <v>3.4000000000000002E-2</v>
          </cell>
          <cell r="AH1174">
            <v>1E-3</v>
          </cell>
          <cell r="AI1174">
            <v>0.47</v>
          </cell>
          <cell r="AJ1174">
            <v>17</v>
          </cell>
          <cell r="AK1174">
            <v>10.1</v>
          </cell>
          <cell r="AL1174">
            <v>3.2000000000000001E-2</v>
          </cell>
          <cell r="AM1174">
            <v>2.0299999999999998</v>
          </cell>
          <cell r="AN1174">
            <v>0</v>
          </cell>
          <cell r="AO1174">
            <v>0</v>
          </cell>
          <cell r="AP1174">
            <v>0</v>
          </cell>
          <cell r="AQ1174">
            <v>0</v>
          </cell>
          <cell r="AR1174">
            <v>0</v>
          </cell>
          <cell r="AS1174">
            <v>0</v>
          </cell>
          <cell r="AT1174">
            <v>287</v>
          </cell>
          <cell r="AU1174">
            <v>313</v>
          </cell>
          <cell r="AV1174">
            <v>623</v>
          </cell>
          <cell r="AW1174">
            <v>55</v>
          </cell>
          <cell r="AX1174">
            <v>79</v>
          </cell>
          <cell r="AY1174">
            <v>147</v>
          </cell>
          <cell r="AZ1174">
            <v>1.6444000000000001</v>
          </cell>
          <cell r="BA1174" t="str">
            <v>D2106190</v>
          </cell>
          <cell r="BB1174" t="str">
            <v>CONFORM</v>
          </cell>
          <cell r="BC1174" t="str">
            <v>CONFORM</v>
          </cell>
          <cell r="BD1174" t="str">
            <v>CONFORM</v>
          </cell>
          <cell r="BE1174" t="str">
            <v>CONFORM</v>
          </cell>
          <cell r="BF1174" t="str">
            <v>CONFORM</v>
          </cell>
        </row>
        <row r="1175">
          <cell r="A1175">
            <v>44370</v>
          </cell>
          <cell r="B1175" t="str">
            <v>D2106191-1</v>
          </cell>
          <cell r="C1175" t="str">
            <v>047/21</v>
          </cell>
          <cell r="D1175">
            <v>5</v>
          </cell>
          <cell r="E1175">
            <v>44366</v>
          </cell>
          <cell r="F1175" t="str">
            <v>SO</v>
          </cell>
          <cell r="G1175" t="str">
            <v>On Time</v>
          </cell>
          <cell r="H1175" t="str">
            <v>413 B</v>
          </cell>
          <cell r="I1175">
            <v>44342</v>
          </cell>
          <cell r="J1175" t="str">
            <v>ADTI</v>
          </cell>
          <cell r="K1175" t="str">
            <v>D2106191</v>
          </cell>
          <cell r="L1175">
            <v>1</v>
          </cell>
          <cell r="M1175" t="str">
            <v>A2105116</v>
          </cell>
          <cell r="N1175">
            <v>24430</v>
          </cell>
          <cell r="O1175" t="str">
            <v xml:space="preserve">1.4401/1.4404 TP316/316L </v>
          </cell>
          <cell r="P1175" t="str">
            <v>316L</v>
          </cell>
          <cell r="Q1175">
            <v>2.3620000000000001</v>
          </cell>
          <cell r="R1175">
            <v>2.3450000000000002</v>
          </cell>
          <cell r="S1175">
            <v>3.5000000000000003E-2</v>
          </cell>
          <cell r="T1175">
            <v>3.6150000000000002E-2</v>
          </cell>
          <cell r="U1175">
            <v>3.4849999999999999E-2</v>
          </cell>
          <cell r="V1175">
            <v>3.5500000000000004E-2</v>
          </cell>
          <cell r="W1175" t="str">
            <v>JM</v>
          </cell>
          <cell r="X1175">
            <v>2244</v>
          </cell>
          <cell r="Y1175">
            <v>2</v>
          </cell>
          <cell r="Z1175">
            <v>475.0211685012701</v>
          </cell>
          <cell r="AA1175" t="str">
            <v>2.362X0.035-316L</v>
          </cell>
          <cell r="AB1175" t="str">
            <v>WAAF006000090B300084</v>
          </cell>
          <cell r="AC1175" t="str">
            <v>D2106191</v>
          </cell>
          <cell r="AD1175">
            <v>24430</v>
          </cell>
          <cell r="AE1175">
            <v>5.5E-2</v>
          </cell>
          <cell r="AF1175">
            <v>0.9</v>
          </cell>
          <cell r="AG1175">
            <v>3.4000000000000002E-2</v>
          </cell>
          <cell r="AH1175">
            <v>1E-3</v>
          </cell>
          <cell r="AI1175">
            <v>0.51</v>
          </cell>
          <cell r="AJ1175">
            <v>17.3</v>
          </cell>
          <cell r="AK1175">
            <v>10</v>
          </cell>
          <cell r="AL1175">
            <v>3.2000000000000001E-2</v>
          </cell>
          <cell r="AM1175">
            <v>2.04</v>
          </cell>
          <cell r="AN1175">
            <v>0</v>
          </cell>
          <cell r="AO1175">
            <v>0</v>
          </cell>
          <cell r="AP1175">
            <v>0</v>
          </cell>
          <cell r="AQ1175">
            <v>0</v>
          </cell>
          <cell r="AR1175">
            <v>0</v>
          </cell>
          <cell r="AS1175">
            <v>0</v>
          </cell>
          <cell r="AT1175">
            <v>293</v>
          </cell>
          <cell r="AU1175">
            <v>318</v>
          </cell>
          <cell r="AV1175">
            <v>632</v>
          </cell>
          <cell r="AW1175">
            <v>55</v>
          </cell>
          <cell r="AX1175">
            <v>150</v>
          </cell>
          <cell r="AY1175">
            <v>150</v>
          </cell>
          <cell r="AZ1175">
            <v>1.6444000000000001</v>
          </cell>
          <cell r="BA1175" t="str">
            <v>D2106191</v>
          </cell>
          <cell r="BB1175" t="str">
            <v>CONFORM</v>
          </cell>
          <cell r="BC1175" t="str">
            <v>CONFORM</v>
          </cell>
          <cell r="BD1175" t="str">
            <v>CONFORM</v>
          </cell>
          <cell r="BE1175" t="str">
            <v>CONFORM</v>
          </cell>
          <cell r="BF1175" t="str">
            <v>CONFORM</v>
          </cell>
        </row>
        <row r="1176">
          <cell r="A1176">
            <v>44375</v>
          </cell>
          <cell r="B1176" t="str">
            <v>D2106231-1</v>
          </cell>
          <cell r="C1176" t="str">
            <v>041/21</v>
          </cell>
          <cell r="D1176">
            <v>1</v>
          </cell>
          <cell r="E1176">
            <v>44354</v>
          </cell>
          <cell r="F1176" t="str">
            <v>DC</v>
          </cell>
          <cell r="G1176" t="str">
            <v>Late</v>
          </cell>
          <cell r="H1176" t="str">
            <v>375 A</v>
          </cell>
          <cell r="I1176">
            <v>44327</v>
          </cell>
          <cell r="J1176" t="str">
            <v>ADTI</v>
          </cell>
          <cell r="K1176" t="str">
            <v>D2106231</v>
          </cell>
          <cell r="L1176">
            <v>1</v>
          </cell>
          <cell r="M1176" t="str">
            <v>A2105009</v>
          </cell>
          <cell r="N1176" t="str">
            <v>0539118</v>
          </cell>
          <cell r="O1176" t="str">
            <v xml:space="preserve">1.4306 TP304L </v>
          </cell>
          <cell r="P1176" t="str">
            <v>304L</v>
          </cell>
          <cell r="Q1176">
            <v>3.1539999999999999</v>
          </cell>
          <cell r="R1176">
            <v>3.1555</v>
          </cell>
          <cell r="S1176">
            <v>3.5000000000000003E-2</v>
          </cell>
          <cell r="T1176">
            <v>3.5249999999999997E-2</v>
          </cell>
          <cell r="U1176">
            <v>3.7600000000000001E-2</v>
          </cell>
          <cell r="V1176">
            <v>3.6424999999999999E-2</v>
          </cell>
          <cell r="W1176" t="str">
            <v>BRS</v>
          </cell>
          <cell r="X1176">
            <v>4352</v>
          </cell>
          <cell r="Y1176">
            <v>3</v>
          </cell>
          <cell r="Z1176">
            <v>459.94504333121967</v>
          </cell>
          <cell r="AA1176" t="str">
            <v>3.154X0.035-304L</v>
          </cell>
          <cell r="AB1176" t="str">
            <v>WAAC008010090B300097</v>
          </cell>
          <cell r="AC1176" t="str">
            <v>D2106231</v>
          </cell>
          <cell r="AD1176" t="str">
            <v>0539118</v>
          </cell>
          <cell r="AE1176">
            <v>2.1999999999999999E-2</v>
          </cell>
          <cell r="AF1176">
            <v>1.7</v>
          </cell>
          <cell r="AG1176">
            <v>2.4E-2</v>
          </cell>
          <cell r="AH1176">
            <v>1E-3</v>
          </cell>
          <cell r="AI1176">
            <v>0.33</v>
          </cell>
          <cell r="AJ1176">
            <v>18.100000000000001</v>
          </cell>
          <cell r="AK1176">
            <v>8</v>
          </cell>
          <cell r="AL1176">
            <v>7.4999999999999997E-2</v>
          </cell>
          <cell r="AM1176">
            <v>0</v>
          </cell>
          <cell r="AN1176">
            <v>0</v>
          </cell>
          <cell r="AO1176">
            <v>0</v>
          </cell>
          <cell r="AP1176">
            <v>0</v>
          </cell>
          <cell r="AQ1176">
            <v>0</v>
          </cell>
          <cell r="AR1176">
            <v>0.24</v>
          </cell>
          <cell r="AS1176">
            <v>0</v>
          </cell>
          <cell r="AT1176">
            <v>294</v>
          </cell>
          <cell r="AU1176">
            <v>329</v>
          </cell>
          <cell r="AV1176">
            <v>634</v>
          </cell>
          <cell r="AW1176">
            <v>57</v>
          </cell>
          <cell r="AX1176">
            <v>78</v>
          </cell>
          <cell r="AY1176">
            <v>144</v>
          </cell>
          <cell r="AZ1176">
            <v>1.6621999999999999</v>
          </cell>
          <cell r="BA1176" t="str">
            <v>D2106231</v>
          </cell>
          <cell r="BB1176" t="str">
            <v>CONFORM</v>
          </cell>
          <cell r="BC1176" t="str">
            <v>CONFORM</v>
          </cell>
          <cell r="BD1176" t="str">
            <v>CONFORM</v>
          </cell>
          <cell r="BE1176" t="str">
            <v>CONFORM</v>
          </cell>
          <cell r="BF1176" t="str">
            <v>CONFORM</v>
          </cell>
        </row>
        <row r="1177">
          <cell r="A1177">
            <v>44375</v>
          </cell>
          <cell r="B1177" t="str">
            <v>D2106231-2</v>
          </cell>
          <cell r="C1177" t="str">
            <v>041/21</v>
          </cell>
          <cell r="D1177">
            <v>1</v>
          </cell>
          <cell r="E1177">
            <v>44354</v>
          </cell>
          <cell r="F1177" t="str">
            <v>DC</v>
          </cell>
          <cell r="G1177" t="str">
            <v>Late</v>
          </cell>
          <cell r="H1177" t="str">
            <v>375 A</v>
          </cell>
          <cell r="I1177">
            <v>44327</v>
          </cell>
          <cell r="J1177" t="str">
            <v>ADTI</v>
          </cell>
          <cell r="K1177" t="str">
            <v>D2106231</v>
          </cell>
          <cell r="L1177">
            <v>2</v>
          </cell>
          <cell r="M1177" t="str">
            <v>A2105009</v>
          </cell>
          <cell r="N1177" t="str">
            <v>0539118</v>
          </cell>
          <cell r="O1177" t="str">
            <v xml:space="preserve">1.4306 TP304L </v>
          </cell>
          <cell r="P1177" t="str">
            <v>304L</v>
          </cell>
          <cell r="Q1177">
            <v>3.1539999999999999</v>
          </cell>
          <cell r="R1177">
            <v>3.1560000000000001</v>
          </cell>
          <cell r="S1177">
            <v>3.5000000000000003E-2</v>
          </cell>
          <cell r="T1177">
            <v>3.3649999999999999E-2</v>
          </cell>
          <cell r="U1177">
            <v>3.5450000000000002E-2</v>
          </cell>
          <cell r="V1177">
            <v>3.4549999999999997E-2</v>
          </cell>
          <cell r="W1177" t="str">
            <v>BRS</v>
          </cell>
          <cell r="X1177">
            <v>4405</v>
          </cell>
          <cell r="Y1177">
            <v>3</v>
          </cell>
          <cell r="Z1177">
            <v>465.54639611075879</v>
          </cell>
          <cell r="AA1177" t="str">
            <v>3.154X0.035-304L</v>
          </cell>
          <cell r="AB1177" t="str">
            <v>WAAC008010090B300097</v>
          </cell>
          <cell r="AC1177" t="str">
            <v>D2106231</v>
          </cell>
          <cell r="AD1177" t="str">
            <v>0539118</v>
          </cell>
          <cell r="AE1177">
            <v>2.1999999999999999E-2</v>
          </cell>
          <cell r="AF1177">
            <v>1.7</v>
          </cell>
          <cell r="AG1177">
            <v>2.4E-2</v>
          </cell>
          <cell r="AH1177">
            <v>1E-3</v>
          </cell>
          <cell r="AI1177">
            <v>0.33</v>
          </cell>
          <cell r="AJ1177">
            <v>18.100000000000001</v>
          </cell>
          <cell r="AK1177">
            <v>8</v>
          </cell>
          <cell r="AL1177">
            <v>7.4999999999999997E-2</v>
          </cell>
          <cell r="AM1177">
            <v>0</v>
          </cell>
          <cell r="AN1177">
            <v>0</v>
          </cell>
          <cell r="AO1177">
            <v>0</v>
          </cell>
          <cell r="AP1177">
            <v>0</v>
          </cell>
          <cell r="AQ1177">
            <v>0</v>
          </cell>
          <cell r="AR1177">
            <v>0.24</v>
          </cell>
          <cell r="AS1177">
            <v>0</v>
          </cell>
          <cell r="AT1177">
            <v>294</v>
          </cell>
          <cell r="AU1177">
            <v>329</v>
          </cell>
          <cell r="AV1177">
            <v>634</v>
          </cell>
          <cell r="AW1177">
            <v>57</v>
          </cell>
          <cell r="AX1177">
            <v>78</v>
          </cell>
          <cell r="AY1177">
            <v>144</v>
          </cell>
          <cell r="AZ1177">
            <v>1.6621999999999999</v>
          </cell>
          <cell r="BA1177" t="str">
            <v>D2106231</v>
          </cell>
          <cell r="BB1177" t="str">
            <v>CONFORM</v>
          </cell>
          <cell r="BC1177" t="str">
            <v>CONFORM</v>
          </cell>
          <cell r="BD1177" t="str">
            <v>CONFORM</v>
          </cell>
          <cell r="BE1177" t="str">
            <v>CONFORM</v>
          </cell>
          <cell r="BF1177" t="str">
            <v>CONFORM</v>
          </cell>
        </row>
        <row r="1178">
          <cell r="A1178">
            <v>44375</v>
          </cell>
          <cell r="B1178" t="str">
            <v>D2106231-3</v>
          </cell>
          <cell r="C1178" t="str">
            <v>041/21</v>
          </cell>
          <cell r="D1178">
            <v>1</v>
          </cell>
          <cell r="E1178">
            <v>44354</v>
          </cell>
          <cell r="F1178" t="str">
            <v>DC</v>
          </cell>
          <cell r="G1178" t="str">
            <v>Late</v>
          </cell>
          <cell r="H1178" t="str">
            <v>375 A</v>
          </cell>
          <cell r="I1178">
            <v>44327</v>
          </cell>
          <cell r="J1178" t="str">
            <v>ADTI</v>
          </cell>
          <cell r="K1178" t="str">
            <v>D2106231</v>
          </cell>
          <cell r="L1178">
            <v>3</v>
          </cell>
          <cell r="M1178" t="str">
            <v>A2105009</v>
          </cell>
          <cell r="N1178" t="str">
            <v>0539118</v>
          </cell>
          <cell r="O1178" t="str">
            <v xml:space="preserve">1.4306 TP304L </v>
          </cell>
          <cell r="P1178" t="str">
            <v>304L</v>
          </cell>
          <cell r="Q1178">
            <v>3.1539999999999999</v>
          </cell>
          <cell r="R1178">
            <v>3.1604999999999999</v>
          </cell>
          <cell r="S1178">
            <v>3.5000000000000003E-2</v>
          </cell>
          <cell r="T1178">
            <v>3.3500000000000002E-2</v>
          </cell>
          <cell r="U1178">
            <v>3.5549999999999998E-2</v>
          </cell>
          <cell r="V1178">
            <v>3.4525E-2</v>
          </cell>
          <cell r="W1178" t="str">
            <v>BRS</v>
          </cell>
          <cell r="X1178">
            <v>4400</v>
          </cell>
          <cell r="Y1178">
            <v>3</v>
          </cell>
          <cell r="Z1178">
            <v>465.01796660325516</v>
          </cell>
          <cell r="AA1178" t="str">
            <v>3.154X0.035-304L</v>
          </cell>
          <cell r="AB1178" t="str">
            <v>WAAC008010090B300097</v>
          </cell>
          <cell r="AC1178" t="str">
            <v>D2106231</v>
          </cell>
          <cell r="AD1178" t="str">
            <v>0539118</v>
          </cell>
          <cell r="AE1178">
            <v>2.1999999999999999E-2</v>
          </cell>
          <cell r="AF1178">
            <v>1.7</v>
          </cell>
          <cell r="AG1178">
            <v>2.4E-2</v>
          </cell>
          <cell r="AH1178">
            <v>1E-3</v>
          </cell>
          <cell r="AI1178">
            <v>0.33</v>
          </cell>
          <cell r="AJ1178">
            <v>18.100000000000001</v>
          </cell>
          <cell r="AK1178">
            <v>8</v>
          </cell>
          <cell r="AL1178">
            <v>7.4999999999999997E-2</v>
          </cell>
          <cell r="AM1178">
            <v>0</v>
          </cell>
          <cell r="AN1178">
            <v>0</v>
          </cell>
          <cell r="AO1178">
            <v>0</v>
          </cell>
          <cell r="AP1178">
            <v>0</v>
          </cell>
          <cell r="AQ1178">
            <v>0</v>
          </cell>
          <cell r="AR1178">
            <v>0.24</v>
          </cell>
          <cell r="AS1178">
            <v>0</v>
          </cell>
          <cell r="AT1178">
            <v>294</v>
          </cell>
          <cell r="AU1178">
            <v>329</v>
          </cell>
          <cell r="AV1178">
            <v>634</v>
          </cell>
          <cell r="AW1178">
            <v>57</v>
          </cell>
          <cell r="AX1178">
            <v>78</v>
          </cell>
          <cell r="AY1178">
            <v>144</v>
          </cell>
          <cell r="AZ1178">
            <v>1.6621999999999999</v>
          </cell>
          <cell r="BA1178" t="str">
            <v>D2106231</v>
          </cell>
          <cell r="BB1178" t="str">
            <v>CONFORM</v>
          </cell>
          <cell r="BC1178" t="str">
            <v>CONFORM</v>
          </cell>
          <cell r="BD1178" t="str">
            <v>CONFORM</v>
          </cell>
          <cell r="BE1178" t="str">
            <v>CONFORM</v>
          </cell>
          <cell r="BF1178" t="str">
            <v>CONFORM</v>
          </cell>
        </row>
        <row r="1179">
          <cell r="A1179">
            <v>44375</v>
          </cell>
          <cell r="B1179" t="str">
            <v>D2106231-4</v>
          </cell>
          <cell r="C1179" t="str">
            <v>041/21</v>
          </cell>
          <cell r="D1179">
            <v>1</v>
          </cell>
          <cell r="E1179">
            <v>44354</v>
          </cell>
          <cell r="F1179" t="str">
            <v>DC</v>
          </cell>
          <cell r="G1179" t="str">
            <v>Late</v>
          </cell>
          <cell r="H1179" t="str">
            <v>375 A</v>
          </cell>
          <cell r="I1179">
            <v>44327</v>
          </cell>
          <cell r="J1179" t="str">
            <v>ADTI</v>
          </cell>
          <cell r="K1179" t="str">
            <v>D2106231</v>
          </cell>
          <cell r="L1179">
            <v>4</v>
          </cell>
          <cell r="M1179" t="str">
            <v>A2105009</v>
          </cell>
          <cell r="N1179" t="str">
            <v>0539118</v>
          </cell>
          <cell r="O1179" t="str">
            <v xml:space="preserve">1.4306 TP304L </v>
          </cell>
          <cell r="P1179" t="str">
            <v>304L</v>
          </cell>
          <cell r="Q1179">
            <v>3.1539999999999999</v>
          </cell>
          <cell r="R1179">
            <v>3.1549999999999998</v>
          </cell>
          <cell r="S1179">
            <v>3.5000000000000003E-2</v>
          </cell>
          <cell r="T1179">
            <v>3.465E-2</v>
          </cell>
          <cell r="U1179">
            <v>3.5150000000000001E-2</v>
          </cell>
          <cell r="V1179">
            <v>3.49E-2</v>
          </cell>
          <cell r="W1179" t="str">
            <v>BRS</v>
          </cell>
          <cell r="X1179">
            <v>4352</v>
          </cell>
          <cell r="Y1179">
            <v>3</v>
          </cell>
          <cell r="Z1179">
            <v>459.94504333121967</v>
          </cell>
          <cell r="AA1179" t="str">
            <v>3.154X0.035-304L</v>
          </cell>
          <cell r="AB1179" t="str">
            <v>WAAC008010090B300097</v>
          </cell>
          <cell r="AC1179" t="str">
            <v>D2106231</v>
          </cell>
          <cell r="AD1179" t="str">
            <v>0539118</v>
          </cell>
          <cell r="AE1179">
            <v>2.1999999999999999E-2</v>
          </cell>
          <cell r="AF1179">
            <v>1.7</v>
          </cell>
          <cell r="AG1179">
            <v>2.4E-2</v>
          </cell>
          <cell r="AH1179">
            <v>1E-3</v>
          </cell>
          <cell r="AI1179">
            <v>0.33</v>
          </cell>
          <cell r="AJ1179">
            <v>18.100000000000001</v>
          </cell>
          <cell r="AK1179">
            <v>8</v>
          </cell>
          <cell r="AL1179">
            <v>7.4999999999999997E-2</v>
          </cell>
          <cell r="AM1179">
            <v>0</v>
          </cell>
          <cell r="AN1179">
            <v>0</v>
          </cell>
          <cell r="AO1179">
            <v>0</v>
          </cell>
          <cell r="AP1179">
            <v>0</v>
          </cell>
          <cell r="AQ1179">
            <v>0</v>
          </cell>
          <cell r="AR1179">
            <v>0.24</v>
          </cell>
          <cell r="AS1179">
            <v>0</v>
          </cell>
          <cell r="AT1179">
            <v>294</v>
          </cell>
          <cell r="AU1179">
            <v>329</v>
          </cell>
          <cell r="AV1179">
            <v>634</v>
          </cell>
          <cell r="AW1179">
            <v>57</v>
          </cell>
          <cell r="AX1179">
            <v>78</v>
          </cell>
          <cell r="AY1179">
            <v>144</v>
          </cell>
          <cell r="AZ1179">
            <v>1.6621999999999999</v>
          </cell>
          <cell r="BA1179" t="str">
            <v>D2106231</v>
          </cell>
          <cell r="BB1179" t="str">
            <v>CONFORM</v>
          </cell>
          <cell r="BC1179" t="str">
            <v>CONFORM</v>
          </cell>
          <cell r="BD1179" t="str">
            <v>CONFORM</v>
          </cell>
          <cell r="BE1179" t="str">
            <v>CONFORM</v>
          </cell>
          <cell r="BF1179" t="str">
            <v>CONFORM</v>
          </cell>
        </row>
        <row r="1180">
          <cell r="A1180">
            <v>44375</v>
          </cell>
          <cell r="B1180" t="str">
            <v>D2106231-5</v>
          </cell>
          <cell r="C1180" t="str">
            <v>041/21</v>
          </cell>
          <cell r="D1180">
            <v>1</v>
          </cell>
          <cell r="E1180">
            <v>44354</v>
          </cell>
          <cell r="F1180" t="str">
            <v>DC</v>
          </cell>
          <cell r="G1180" t="str">
            <v>Late</v>
          </cell>
          <cell r="H1180" t="str">
            <v>375 A</v>
          </cell>
          <cell r="I1180">
            <v>44327</v>
          </cell>
          <cell r="J1180" t="str">
            <v>ADTI</v>
          </cell>
          <cell r="K1180" t="str">
            <v>D2106231</v>
          </cell>
          <cell r="L1180">
            <v>5</v>
          </cell>
          <cell r="M1180" t="str">
            <v>A2105009</v>
          </cell>
          <cell r="N1180" t="str">
            <v>0539118</v>
          </cell>
          <cell r="O1180" t="str">
            <v xml:space="preserve">1.4306 TP304L </v>
          </cell>
          <cell r="P1180" t="str">
            <v>304L</v>
          </cell>
          <cell r="Q1180">
            <v>3.1539999999999999</v>
          </cell>
          <cell r="R1180">
            <v>3.1549999999999998</v>
          </cell>
          <cell r="S1180">
            <v>3.5000000000000003E-2</v>
          </cell>
          <cell r="T1180">
            <v>3.3550000000000003E-2</v>
          </cell>
          <cell r="U1180">
            <v>3.5749999999999997E-2</v>
          </cell>
          <cell r="V1180">
            <v>3.465E-2</v>
          </cell>
          <cell r="W1180" t="str">
            <v>BRS</v>
          </cell>
          <cell r="X1180">
            <v>2919</v>
          </cell>
          <cell r="Y1180">
            <v>2</v>
          </cell>
          <cell r="Z1180">
            <v>462.74571972098926</v>
          </cell>
          <cell r="AA1180" t="str">
            <v>3.154X0.035-304L</v>
          </cell>
          <cell r="AB1180" t="str">
            <v>WAAC008010090B300097</v>
          </cell>
          <cell r="AC1180" t="str">
            <v>D2106231</v>
          </cell>
          <cell r="AD1180" t="str">
            <v>0539118</v>
          </cell>
          <cell r="AE1180">
            <v>2.1999999999999999E-2</v>
          </cell>
          <cell r="AF1180">
            <v>1.7</v>
          </cell>
          <cell r="AG1180">
            <v>2.4E-2</v>
          </cell>
          <cell r="AH1180">
            <v>1E-3</v>
          </cell>
          <cell r="AI1180">
            <v>0.33</v>
          </cell>
          <cell r="AJ1180">
            <v>18.100000000000001</v>
          </cell>
          <cell r="AK1180">
            <v>8</v>
          </cell>
          <cell r="AL1180">
            <v>7.4999999999999997E-2</v>
          </cell>
          <cell r="AM1180">
            <v>0</v>
          </cell>
          <cell r="AN1180">
            <v>0</v>
          </cell>
          <cell r="AO1180">
            <v>0</v>
          </cell>
          <cell r="AP1180">
            <v>0</v>
          </cell>
          <cell r="AQ1180">
            <v>0</v>
          </cell>
          <cell r="AR1180">
            <v>0.24</v>
          </cell>
          <cell r="AS1180">
            <v>0</v>
          </cell>
          <cell r="AT1180">
            <v>294</v>
          </cell>
          <cell r="AU1180">
            <v>329</v>
          </cell>
          <cell r="AV1180">
            <v>634</v>
          </cell>
          <cell r="AW1180">
            <v>57</v>
          </cell>
          <cell r="AX1180">
            <v>78</v>
          </cell>
          <cell r="AY1180">
            <v>144</v>
          </cell>
          <cell r="AZ1180">
            <v>1.6621999999999999</v>
          </cell>
          <cell r="BA1180" t="str">
            <v>D2106231</v>
          </cell>
          <cell r="BB1180" t="str">
            <v>CONFORM</v>
          </cell>
          <cell r="BC1180" t="str">
            <v>CONFORM</v>
          </cell>
          <cell r="BD1180" t="str">
            <v>CONFORM</v>
          </cell>
          <cell r="BE1180" t="str">
            <v>CONFORM</v>
          </cell>
          <cell r="BF1180" t="str">
            <v>CONFORM</v>
          </cell>
        </row>
        <row r="1181">
          <cell r="A1181">
            <v>44375</v>
          </cell>
          <cell r="B1181" t="str">
            <v>D2106231-6</v>
          </cell>
          <cell r="C1181" t="str">
            <v>041/21</v>
          </cell>
          <cell r="D1181">
            <v>1</v>
          </cell>
          <cell r="E1181">
            <v>44354</v>
          </cell>
          <cell r="F1181" t="str">
            <v>DC</v>
          </cell>
          <cell r="G1181" t="str">
            <v>Late</v>
          </cell>
          <cell r="H1181" t="str">
            <v>375 A</v>
          </cell>
          <cell r="I1181">
            <v>44327</v>
          </cell>
          <cell r="J1181" t="str">
            <v>ADTI</v>
          </cell>
          <cell r="K1181" t="str">
            <v>D2106231</v>
          </cell>
          <cell r="L1181">
            <v>6</v>
          </cell>
          <cell r="M1181" t="str">
            <v>A2105009</v>
          </cell>
          <cell r="N1181" t="str">
            <v>0539118</v>
          </cell>
          <cell r="O1181" t="str">
            <v xml:space="preserve">1.4306 TP304L </v>
          </cell>
          <cell r="P1181" t="str">
            <v>304L</v>
          </cell>
          <cell r="Q1181">
            <v>3.1539999999999999</v>
          </cell>
          <cell r="R1181">
            <v>3.1539999999999999</v>
          </cell>
          <cell r="S1181">
            <v>3.5000000000000003E-2</v>
          </cell>
          <cell r="T1181">
            <v>3.415E-2</v>
          </cell>
          <cell r="U1181">
            <v>3.5249999999999997E-2</v>
          </cell>
          <cell r="V1181">
            <v>3.4699999999999995E-2</v>
          </cell>
          <cell r="W1181" t="str">
            <v>BRS</v>
          </cell>
          <cell r="X1181">
            <v>2914</v>
          </cell>
          <cell r="Y1181">
            <v>2</v>
          </cell>
          <cell r="Z1181">
            <v>461.95307545973367</v>
          </cell>
          <cell r="AA1181" t="str">
            <v>3.154X0.035-304L</v>
          </cell>
          <cell r="AB1181" t="str">
            <v>WAAC008010090B300097</v>
          </cell>
          <cell r="AC1181" t="str">
            <v>D2106231</v>
          </cell>
          <cell r="AD1181" t="str">
            <v>0539118</v>
          </cell>
          <cell r="AE1181">
            <v>2.1999999999999999E-2</v>
          </cell>
          <cell r="AF1181">
            <v>1.7</v>
          </cell>
          <cell r="AG1181">
            <v>2.4E-2</v>
          </cell>
          <cell r="AH1181">
            <v>1E-3</v>
          </cell>
          <cell r="AI1181">
            <v>0.33</v>
          </cell>
          <cell r="AJ1181">
            <v>18.100000000000001</v>
          </cell>
          <cell r="AK1181">
            <v>8</v>
          </cell>
          <cell r="AL1181">
            <v>7.4999999999999997E-2</v>
          </cell>
          <cell r="AM1181">
            <v>0</v>
          </cell>
          <cell r="AN1181">
            <v>0</v>
          </cell>
          <cell r="AO1181">
            <v>0</v>
          </cell>
          <cell r="AP1181">
            <v>0</v>
          </cell>
          <cell r="AQ1181">
            <v>0</v>
          </cell>
          <cell r="AR1181">
            <v>0.24</v>
          </cell>
          <cell r="AS1181">
            <v>0</v>
          </cell>
          <cell r="AT1181">
            <v>294</v>
          </cell>
          <cell r="AU1181">
            <v>329</v>
          </cell>
          <cell r="AV1181">
            <v>634</v>
          </cell>
          <cell r="AW1181">
            <v>57</v>
          </cell>
          <cell r="AX1181">
            <v>78</v>
          </cell>
          <cell r="AY1181">
            <v>144</v>
          </cell>
          <cell r="AZ1181">
            <v>1.6621999999999999</v>
          </cell>
          <cell r="BA1181" t="str">
            <v>D2106231</v>
          </cell>
          <cell r="BB1181" t="str">
            <v>CONFORM</v>
          </cell>
          <cell r="BC1181" t="str">
            <v>CONFORM</v>
          </cell>
          <cell r="BD1181" t="str">
            <v>CONFORM</v>
          </cell>
          <cell r="BE1181" t="str">
            <v>CONFORM</v>
          </cell>
          <cell r="BF1181" t="str">
            <v>CONFORM</v>
          </cell>
        </row>
        <row r="1182">
          <cell r="A1182">
            <v>44375</v>
          </cell>
          <cell r="B1182" t="str">
            <v>D2106231-7</v>
          </cell>
          <cell r="C1182" t="str">
            <v>041/21</v>
          </cell>
          <cell r="D1182">
            <v>1</v>
          </cell>
          <cell r="E1182">
            <v>44354</v>
          </cell>
          <cell r="F1182" t="str">
            <v>DC</v>
          </cell>
          <cell r="G1182" t="str">
            <v>Late</v>
          </cell>
          <cell r="H1182" t="str">
            <v>375 A</v>
          </cell>
          <cell r="I1182">
            <v>44327</v>
          </cell>
          <cell r="J1182" t="str">
            <v>ADTI</v>
          </cell>
          <cell r="K1182" t="str">
            <v>D2106231</v>
          </cell>
          <cell r="L1182">
            <v>7</v>
          </cell>
          <cell r="M1182" t="str">
            <v>A2105009</v>
          </cell>
          <cell r="N1182" t="str">
            <v>0539118</v>
          </cell>
          <cell r="O1182" t="str">
            <v xml:space="preserve">1.4306 TP304L </v>
          </cell>
          <cell r="P1182" t="str">
            <v>304L</v>
          </cell>
          <cell r="Q1182">
            <v>3.1539999999999999</v>
          </cell>
          <cell r="R1182">
            <v>3.1564999999999999</v>
          </cell>
          <cell r="S1182">
            <v>3.5000000000000003E-2</v>
          </cell>
          <cell r="T1182">
            <v>3.6549999999999999E-2</v>
          </cell>
          <cell r="U1182">
            <v>3.5499999999999997E-2</v>
          </cell>
          <cell r="V1182">
            <v>3.6025000000000001E-2</v>
          </cell>
          <cell r="W1182" t="str">
            <v>BRS</v>
          </cell>
          <cell r="X1182">
            <v>4370</v>
          </cell>
          <cell r="Y1182">
            <v>3</v>
          </cell>
          <cell r="Z1182">
            <v>461.84738955823298</v>
          </cell>
          <cell r="AA1182" t="str">
            <v>3.154X0.035-304L</v>
          </cell>
          <cell r="AB1182" t="str">
            <v>WAAC008010090B300097</v>
          </cell>
          <cell r="AC1182" t="str">
            <v>D2106231</v>
          </cell>
          <cell r="AD1182" t="str">
            <v>0539118</v>
          </cell>
          <cell r="AE1182">
            <v>2.1999999999999999E-2</v>
          </cell>
          <cell r="AF1182">
            <v>1.7</v>
          </cell>
          <cell r="AG1182">
            <v>2.4E-2</v>
          </cell>
          <cell r="AH1182">
            <v>1E-3</v>
          </cell>
          <cell r="AI1182">
            <v>0.33</v>
          </cell>
          <cell r="AJ1182">
            <v>18.100000000000001</v>
          </cell>
          <cell r="AK1182">
            <v>8</v>
          </cell>
          <cell r="AL1182">
            <v>7.4999999999999997E-2</v>
          </cell>
          <cell r="AM1182">
            <v>0</v>
          </cell>
          <cell r="AN1182">
            <v>0</v>
          </cell>
          <cell r="AO1182">
            <v>0</v>
          </cell>
          <cell r="AP1182">
            <v>0</v>
          </cell>
          <cell r="AQ1182">
            <v>0</v>
          </cell>
          <cell r="AR1182">
            <v>0.24</v>
          </cell>
          <cell r="AS1182">
            <v>0</v>
          </cell>
          <cell r="AT1182">
            <v>294</v>
          </cell>
          <cell r="AU1182">
            <v>329</v>
          </cell>
          <cell r="AV1182">
            <v>634</v>
          </cell>
          <cell r="AW1182">
            <v>57</v>
          </cell>
          <cell r="AX1182">
            <v>78</v>
          </cell>
          <cell r="AY1182">
            <v>144</v>
          </cell>
          <cell r="AZ1182">
            <v>1.6621999999999999</v>
          </cell>
          <cell r="BA1182" t="str">
            <v>D2106231</v>
          </cell>
          <cell r="BB1182" t="str">
            <v>CONFORM</v>
          </cell>
          <cell r="BC1182" t="str">
            <v>CONFORM</v>
          </cell>
          <cell r="BD1182" t="str">
            <v>CONFORM</v>
          </cell>
          <cell r="BE1182" t="str">
            <v>CONFORM</v>
          </cell>
          <cell r="BF1182" t="str">
            <v>CONFORM</v>
          </cell>
        </row>
        <row r="1183">
          <cell r="A1183">
            <v>44375</v>
          </cell>
          <cell r="B1183" t="str">
            <v>D2106231-8</v>
          </cell>
          <cell r="C1183" t="str">
            <v>041/21</v>
          </cell>
          <cell r="D1183">
            <v>1</v>
          </cell>
          <cell r="E1183">
            <v>44354</v>
          </cell>
          <cell r="F1183" t="str">
            <v>DC</v>
          </cell>
          <cell r="G1183" t="str">
            <v>Late</v>
          </cell>
          <cell r="H1183" t="str">
            <v>375 A</v>
          </cell>
          <cell r="I1183">
            <v>44327</v>
          </cell>
          <cell r="J1183" t="str">
            <v>ADTI</v>
          </cell>
          <cell r="K1183" t="str">
            <v>D2106231</v>
          </cell>
          <cell r="L1183">
            <v>8</v>
          </cell>
          <cell r="M1183" t="str">
            <v>A2105012</v>
          </cell>
          <cell r="N1183" t="str">
            <v>0539118</v>
          </cell>
          <cell r="O1183" t="str">
            <v xml:space="preserve">1.4306 TP304L </v>
          </cell>
          <cell r="P1183" t="str">
            <v>304L</v>
          </cell>
          <cell r="Q1183">
            <v>3.1539999999999999</v>
          </cell>
          <cell r="R1183">
            <v>3.1539999999999999</v>
          </cell>
          <cell r="S1183">
            <v>3.5000000000000003E-2</v>
          </cell>
          <cell r="T1183">
            <v>3.3750000000000002E-2</v>
          </cell>
          <cell r="U1183">
            <v>3.56E-2</v>
          </cell>
          <cell r="V1183">
            <v>3.4674999999999997E-2</v>
          </cell>
          <cell r="W1183" t="str">
            <v>BRS</v>
          </cell>
          <cell r="X1183">
            <v>4374</v>
          </cell>
          <cell r="Y1183">
            <v>3</v>
          </cell>
          <cell r="Z1183">
            <v>462.27013316423592</v>
          </cell>
          <cell r="AA1183" t="str">
            <v>3.154X0.035-304L</v>
          </cell>
          <cell r="AB1183" t="str">
            <v>WAAC008010090B300097</v>
          </cell>
          <cell r="AC1183" t="str">
            <v>D2106231</v>
          </cell>
          <cell r="AD1183" t="str">
            <v>0539118</v>
          </cell>
          <cell r="AE1183">
            <v>2.1999999999999999E-2</v>
          </cell>
          <cell r="AF1183">
            <v>1.7</v>
          </cell>
          <cell r="AG1183">
            <v>2.4E-2</v>
          </cell>
          <cell r="AH1183">
            <v>1E-3</v>
          </cell>
          <cell r="AI1183">
            <v>0.33</v>
          </cell>
          <cell r="AJ1183">
            <v>18.100000000000001</v>
          </cell>
          <cell r="AK1183">
            <v>8</v>
          </cell>
          <cell r="AL1183">
            <v>7.4999999999999997E-2</v>
          </cell>
          <cell r="AM1183">
            <v>0</v>
          </cell>
          <cell r="AN1183">
            <v>0</v>
          </cell>
          <cell r="AO1183">
            <v>0</v>
          </cell>
          <cell r="AP1183">
            <v>0</v>
          </cell>
          <cell r="AQ1183">
            <v>0</v>
          </cell>
          <cell r="AR1183">
            <v>0.24</v>
          </cell>
          <cell r="AS1183">
            <v>0</v>
          </cell>
          <cell r="AT1183">
            <v>294</v>
          </cell>
          <cell r="AU1183">
            <v>329</v>
          </cell>
          <cell r="AV1183">
            <v>634</v>
          </cell>
          <cell r="AW1183">
            <v>57</v>
          </cell>
          <cell r="AX1183">
            <v>78</v>
          </cell>
          <cell r="AY1183">
            <v>144</v>
          </cell>
          <cell r="AZ1183">
            <v>1.6621999999999999</v>
          </cell>
          <cell r="BA1183" t="str">
            <v>D2106231</v>
          </cell>
          <cell r="BB1183" t="str">
            <v>CONFORM</v>
          </cell>
          <cell r="BC1183" t="str">
            <v>CONFORM</v>
          </cell>
          <cell r="BD1183" t="str">
            <v>CONFORM</v>
          </cell>
          <cell r="BE1183" t="str">
            <v>CONFORM</v>
          </cell>
          <cell r="BF1183" t="str">
            <v>CONFORM</v>
          </cell>
        </row>
        <row r="1184">
          <cell r="A1184">
            <v>44375</v>
          </cell>
          <cell r="B1184" t="str">
            <v>D2106231-9</v>
          </cell>
          <cell r="C1184" t="str">
            <v>041/21</v>
          </cell>
          <cell r="D1184">
            <v>1</v>
          </cell>
          <cell r="E1184">
            <v>44354</v>
          </cell>
          <cell r="F1184" t="str">
            <v>DC</v>
          </cell>
          <cell r="G1184" t="str">
            <v>Late</v>
          </cell>
          <cell r="H1184" t="str">
            <v>375 A</v>
          </cell>
          <cell r="I1184">
            <v>44327</v>
          </cell>
          <cell r="J1184" t="str">
            <v>ADTI</v>
          </cell>
          <cell r="K1184" t="str">
            <v>D2106231</v>
          </cell>
          <cell r="L1184">
            <v>9</v>
          </cell>
          <cell r="M1184" t="str">
            <v>A2105012</v>
          </cell>
          <cell r="N1184" t="str">
            <v>0539118</v>
          </cell>
          <cell r="O1184" t="str">
            <v xml:space="preserve">1.4306 TP304L </v>
          </cell>
          <cell r="P1184" t="str">
            <v>304L</v>
          </cell>
          <cell r="Q1184">
            <v>3.1539999999999999</v>
          </cell>
          <cell r="R1184">
            <v>3.1549999999999998</v>
          </cell>
          <cell r="S1184">
            <v>3.5000000000000003E-2</v>
          </cell>
          <cell r="T1184">
            <v>3.5650000000000001E-2</v>
          </cell>
          <cell r="U1184">
            <v>3.6549999999999999E-2</v>
          </cell>
          <cell r="V1184">
            <v>3.61E-2</v>
          </cell>
          <cell r="W1184" t="str">
            <v>BRS</v>
          </cell>
          <cell r="X1184">
            <v>2937</v>
          </cell>
          <cell r="Y1184">
            <v>2</v>
          </cell>
          <cell r="Z1184">
            <v>465.59923906150919</v>
          </cell>
          <cell r="AA1184" t="str">
            <v>3.154X0.035-304L</v>
          </cell>
          <cell r="AB1184" t="str">
            <v>WAAC008010090B300097</v>
          </cell>
          <cell r="AC1184" t="str">
            <v>D2106231</v>
          </cell>
          <cell r="AD1184" t="str">
            <v>0539118</v>
          </cell>
          <cell r="AE1184">
            <v>2.1999999999999999E-2</v>
          </cell>
          <cell r="AF1184">
            <v>1.7</v>
          </cell>
          <cell r="AG1184">
            <v>2.4E-2</v>
          </cell>
          <cell r="AH1184">
            <v>1E-3</v>
          </cell>
          <cell r="AI1184">
            <v>0.33</v>
          </cell>
          <cell r="AJ1184">
            <v>18.100000000000001</v>
          </cell>
          <cell r="AK1184">
            <v>8</v>
          </cell>
          <cell r="AL1184">
            <v>7.4999999999999997E-2</v>
          </cell>
          <cell r="AM1184">
            <v>0</v>
          </cell>
          <cell r="AN1184">
            <v>0</v>
          </cell>
          <cell r="AO1184">
            <v>0</v>
          </cell>
          <cell r="AP1184">
            <v>0</v>
          </cell>
          <cell r="AQ1184">
            <v>0</v>
          </cell>
          <cell r="AR1184">
            <v>0.24</v>
          </cell>
          <cell r="AS1184">
            <v>0</v>
          </cell>
          <cell r="AT1184">
            <v>294</v>
          </cell>
          <cell r="AU1184">
            <v>329</v>
          </cell>
          <cell r="AV1184">
            <v>634</v>
          </cell>
          <cell r="AW1184">
            <v>57</v>
          </cell>
          <cell r="AX1184">
            <v>78</v>
          </cell>
          <cell r="AY1184">
            <v>144</v>
          </cell>
          <cell r="AZ1184">
            <v>1.6621999999999999</v>
          </cell>
          <cell r="BA1184" t="str">
            <v>D2106231</v>
          </cell>
          <cell r="BB1184" t="str">
            <v>CONFORM</v>
          </cell>
          <cell r="BC1184" t="str">
            <v>CONFORM</v>
          </cell>
          <cell r="BD1184" t="str">
            <v>CONFORM</v>
          </cell>
          <cell r="BE1184" t="str">
            <v>CONFORM</v>
          </cell>
          <cell r="BF1184" t="str">
            <v>CONFORM</v>
          </cell>
        </row>
        <row r="1185">
          <cell r="A1185">
            <v>44375</v>
          </cell>
          <cell r="B1185" t="str">
            <v>D2106231-10</v>
          </cell>
          <cell r="C1185" t="str">
            <v>041/21</v>
          </cell>
          <cell r="D1185">
            <v>1</v>
          </cell>
          <cell r="E1185">
            <v>44354</v>
          </cell>
          <cell r="F1185" t="str">
            <v>DC</v>
          </cell>
          <cell r="G1185" t="str">
            <v>Late</v>
          </cell>
          <cell r="H1185" t="str">
            <v>375 A</v>
          </cell>
          <cell r="I1185">
            <v>44327</v>
          </cell>
          <cell r="J1185" t="str">
            <v>ADTI</v>
          </cell>
          <cell r="K1185" t="str">
            <v>D2106231</v>
          </cell>
          <cell r="L1185">
            <v>10</v>
          </cell>
          <cell r="M1185" t="str">
            <v>A2105019</v>
          </cell>
          <cell r="N1185" t="str">
            <v>0539118</v>
          </cell>
          <cell r="O1185" t="str">
            <v xml:space="preserve">1.4306 TP304L </v>
          </cell>
          <cell r="P1185" t="str">
            <v>304L</v>
          </cell>
          <cell r="Q1185">
            <v>3.1539999999999999</v>
          </cell>
          <cell r="R1185">
            <v>3.1539999999999999</v>
          </cell>
          <cell r="S1185">
            <v>3.5000000000000003E-2</v>
          </cell>
          <cell r="T1185">
            <v>3.3750000000000002E-2</v>
          </cell>
          <cell r="U1185">
            <v>3.5450000000000002E-2</v>
          </cell>
          <cell r="V1185">
            <v>3.4600000000000006E-2</v>
          </cell>
          <cell r="W1185" t="str">
            <v>BRS</v>
          </cell>
          <cell r="X1185">
            <v>2937</v>
          </cell>
          <cell r="Y1185">
            <v>2</v>
          </cell>
          <cell r="Z1185">
            <v>465.59923906150919</v>
          </cell>
          <cell r="AA1185" t="str">
            <v>3.154X0.035-304L</v>
          </cell>
          <cell r="AB1185" t="str">
            <v>WAAC008010090B300097</v>
          </cell>
          <cell r="AC1185" t="str">
            <v>D2106231</v>
          </cell>
          <cell r="AD1185" t="str">
            <v>0539118</v>
          </cell>
          <cell r="AE1185">
            <v>2.1999999999999999E-2</v>
          </cell>
          <cell r="AF1185">
            <v>1.7</v>
          </cell>
          <cell r="AG1185">
            <v>2.4E-2</v>
          </cell>
          <cell r="AH1185">
            <v>1E-3</v>
          </cell>
          <cell r="AI1185">
            <v>0.33</v>
          </cell>
          <cell r="AJ1185">
            <v>18.100000000000001</v>
          </cell>
          <cell r="AK1185">
            <v>8</v>
          </cell>
          <cell r="AL1185">
            <v>7.4999999999999997E-2</v>
          </cell>
          <cell r="AM1185">
            <v>0</v>
          </cell>
          <cell r="AN1185">
            <v>0</v>
          </cell>
          <cell r="AO1185">
            <v>0</v>
          </cell>
          <cell r="AP1185">
            <v>0</v>
          </cell>
          <cell r="AQ1185">
            <v>0</v>
          </cell>
          <cell r="AR1185">
            <v>0.24</v>
          </cell>
          <cell r="AS1185">
            <v>0</v>
          </cell>
          <cell r="AT1185">
            <v>294</v>
          </cell>
          <cell r="AU1185">
            <v>329</v>
          </cell>
          <cell r="AV1185">
            <v>634</v>
          </cell>
          <cell r="AW1185">
            <v>57</v>
          </cell>
          <cell r="AX1185">
            <v>78</v>
          </cell>
          <cell r="AY1185">
            <v>144</v>
          </cell>
          <cell r="AZ1185">
            <v>1.6621999999999999</v>
          </cell>
          <cell r="BA1185" t="str">
            <v>D2106231</v>
          </cell>
          <cell r="BB1185" t="str">
            <v>CONFORM</v>
          </cell>
          <cell r="BC1185" t="str">
            <v>CONFORM</v>
          </cell>
          <cell r="BD1185" t="str">
            <v>CONFORM</v>
          </cell>
          <cell r="BE1185" t="str">
            <v>CONFORM</v>
          </cell>
          <cell r="BF1185" t="str">
            <v>CONFORM</v>
          </cell>
        </row>
        <row r="1186">
          <cell r="A1186">
            <v>44375</v>
          </cell>
          <cell r="B1186" t="str">
            <v>D2106232-1</v>
          </cell>
          <cell r="C1186" t="str">
            <v>041/21</v>
          </cell>
          <cell r="D1186">
            <v>1</v>
          </cell>
          <cell r="E1186">
            <v>44354</v>
          </cell>
          <cell r="F1186" t="str">
            <v>DC</v>
          </cell>
          <cell r="G1186" t="str">
            <v>Late</v>
          </cell>
          <cell r="H1186" t="str">
            <v>375 A</v>
          </cell>
          <cell r="I1186">
            <v>44327</v>
          </cell>
          <cell r="J1186" t="str">
            <v>ADTI</v>
          </cell>
          <cell r="K1186" t="str">
            <v>D2106232</v>
          </cell>
          <cell r="L1186">
            <v>1</v>
          </cell>
          <cell r="M1186" t="str">
            <v>A2105013</v>
          </cell>
          <cell r="N1186" t="str">
            <v>0461369</v>
          </cell>
          <cell r="O1186" t="str">
            <v xml:space="preserve">1.4306 TP304L </v>
          </cell>
          <cell r="P1186" t="str">
            <v>304L</v>
          </cell>
          <cell r="Q1186">
            <v>3.1539999999999999</v>
          </cell>
          <cell r="R1186">
            <v>3.1539999999999999</v>
          </cell>
          <cell r="S1186">
            <v>3.5000000000000003E-2</v>
          </cell>
          <cell r="T1186">
            <v>3.4450000000000001E-2</v>
          </cell>
          <cell r="U1186">
            <v>3.5200000000000002E-2</v>
          </cell>
          <cell r="V1186">
            <v>3.4825000000000002E-2</v>
          </cell>
          <cell r="W1186" t="str">
            <v>BRS</v>
          </cell>
          <cell r="X1186">
            <v>860</v>
          </cell>
          <cell r="Y1186">
            <v>1</v>
          </cell>
          <cell r="Z1186">
            <v>272.66962587190869</v>
          </cell>
          <cell r="AA1186" t="str">
            <v>3.154X0.035-304L</v>
          </cell>
          <cell r="AB1186" t="str">
            <v>WAAC008010090B300097</v>
          </cell>
          <cell r="AC1186" t="str">
            <v>D2106232</v>
          </cell>
          <cell r="AD1186" t="str">
            <v>0461369</v>
          </cell>
          <cell r="AE1186">
            <v>2.8000000000000001E-2</v>
          </cell>
          <cell r="AF1186">
            <v>1.7</v>
          </cell>
          <cell r="AG1186">
            <v>2.9000000000000001E-2</v>
          </cell>
          <cell r="AH1186">
            <v>1E-3</v>
          </cell>
          <cell r="AI1186">
            <v>0.33</v>
          </cell>
          <cell r="AJ1186">
            <v>18.100000000000001</v>
          </cell>
          <cell r="AK1186">
            <v>8.1</v>
          </cell>
          <cell r="AL1186">
            <v>7.3999999999999996E-2</v>
          </cell>
          <cell r="AM1186">
            <v>0</v>
          </cell>
          <cell r="AN1186">
            <v>0</v>
          </cell>
          <cell r="AO1186">
            <v>0</v>
          </cell>
          <cell r="AP1186">
            <v>0</v>
          </cell>
          <cell r="AQ1186">
            <v>0</v>
          </cell>
          <cell r="AR1186">
            <v>0.35</v>
          </cell>
          <cell r="AS1186">
            <v>0</v>
          </cell>
          <cell r="AT1186">
            <v>278</v>
          </cell>
          <cell r="AU1186">
            <v>307</v>
          </cell>
          <cell r="AV1186">
            <v>624</v>
          </cell>
          <cell r="AW1186">
            <v>57</v>
          </cell>
          <cell r="AX1186">
            <v>79</v>
          </cell>
          <cell r="AY1186">
            <v>147</v>
          </cell>
          <cell r="AZ1186">
            <v>1.6621999999999999</v>
          </cell>
          <cell r="BA1186" t="str">
            <v>D2106232</v>
          </cell>
          <cell r="BB1186" t="str">
            <v>CONFORM</v>
          </cell>
          <cell r="BC1186" t="str">
            <v>CONFORM</v>
          </cell>
          <cell r="BD1186" t="str">
            <v>CONFORM</v>
          </cell>
          <cell r="BE1186" t="str">
            <v>CONFORM</v>
          </cell>
          <cell r="BF1186" t="str">
            <v>CONFORM</v>
          </cell>
        </row>
        <row r="1187">
          <cell r="A1187">
            <v>44375</v>
          </cell>
          <cell r="B1187" t="str">
            <v>D2106233-1</v>
          </cell>
          <cell r="C1187" t="str">
            <v>041/21</v>
          </cell>
          <cell r="D1187">
            <v>3</v>
          </cell>
          <cell r="E1187">
            <v>44354</v>
          </cell>
          <cell r="F1187" t="str">
            <v>DC</v>
          </cell>
          <cell r="G1187" t="str">
            <v>Late</v>
          </cell>
          <cell r="H1187" t="str">
            <v>375 A</v>
          </cell>
          <cell r="I1187">
            <v>44327</v>
          </cell>
          <cell r="J1187" t="str">
            <v>ADTI</v>
          </cell>
          <cell r="K1187" t="str">
            <v>D2106233</v>
          </cell>
          <cell r="L1187">
            <v>1</v>
          </cell>
          <cell r="M1187" t="str">
            <v>A2006093</v>
          </cell>
          <cell r="N1187" t="str">
            <v>0100401</v>
          </cell>
          <cell r="O1187" t="str">
            <v xml:space="preserve">1.4306 TP304L </v>
          </cell>
          <cell r="P1187" t="str">
            <v>304L</v>
          </cell>
          <cell r="Q1187">
            <v>1.96</v>
          </cell>
          <cell r="R1187">
            <v>1.9604999999999999</v>
          </cell>
          <cell r="S1187">
            <v>3.5000000000000003E-2</v>
          </cell>
          <cell r="T1187">
            <v>3.4700000000000002E-2</v>
          </cell>
          <cell r="U1187">
            <v>3.5150000000000001E-2</v>
          </cell>
          <cell r="V1187">
            <v>3.4924999999999998E-2</v>
          </cell>
          <cell r="W1187" t="str">
            <v>BRS</v>
          </cell>
          <cell r="X1187">
            <v>2271</v>
          </cell>
          <cell r="Y1187">
            <v>2</v>
          </cell>
          <cell r="Z1187">
            <v>579.33673469387759</v>
          </cell>
          <cell r="AA1187" t="str">
            <v>1.96X0.035-304L</v>
          </cell>
          <cell r="AB1187" t="str">
            <v>WAAC004980089B300006</v>
          </cell>
          <cell r="AC1187" t="str">
            <v>D2106233</v>
          </cell>
          <cell r="AD1187" t="str">
            <v>0100401</v>
          </cell>
          <cell r="AE1187">
            <v>2.5000000000000001E-2</v>
          </cell>
          <cell r="AF1187">
            <v>1.7</v>
          </cell>
          <cell r="AG1187">
            <v>3.3000000000000002E-2</v>
          </cell>
          <cell r="AH1187">
            <v>1E-3</v>
          </cell>
          <cell r="AI1187">
            <v>0.35</v>
          </cell>
          <cell r="AJ1187">
            <v>18.100000000000001</v>
          </cell>
          <cell r="AK1187">
            <v>8</v>
          </cell>
          <cell r="AL1187">
            <v>6.2E-2</v>
          </cell>
          <cell r="AM1187">
            <v>0</v>
          </cell>
          <cell r="AN1187">
            <v>0</v>
          </cell>
          <cell r="AO1187">
            <v>0</v>
          </cell>
          <cell r="AP1187">
            <v>0</v>
          </cell>
          <cell r="AQ1187">
            <v>0</v>
          </cell>
          <cell r="AR1187">
            <v>0.02</v>
          </cell>
          <cell r="AS1187">
            <v>0</v>
          </cell>
          <cell r="AT1187">
            <v>255</v>
          </cell>
          <cell r="AU1187">
            <v>289</v>
          </cell>
          <cell r="AV1187">
            <v>617</v>
          </cell>
          <cell r="AW1187">
            <v>60</v>
          </cell>
          <cell r="AX1187">
            <v>81</v>
          </cell>
          <cell r="AY1187">
            <v>153</v>
          </cell>
          <cell r="AZ1187">
            <v>1.24</v>
          </cell>
          <cell r="BA1187" t="str">
            <v>D2106233</v>
          </cell>
          <cell r="BB1187" t="str">
            <v>CONFORM</v>
          </cell>
          <cell r="BC1187" t="str">
            <v>CONFORM</v>
          </cell>
          <cell r="BD1187" t="str">
            <v>CONFORM</v>
          </cell>
          <cell r="BE1187" t="str">
            <v>CONFORM</v>
          </cell>
          <cell r="BF1187" t="str">
            <v>CONFORM</v>
          </cell>
        </row>
        <row r="1188">
          <cell r="A1188">
            <v>44375</v>
          </cell>
          <cell r="B1188" t="str">
            <v>D2106234-1</v>
          </cell>
          <cell r="C1188" t="str">
            <v>041/21</v>
          </cell>
          <cell r="D1188">
            <v>2</v>
          </cell>
          <cell r="E1188">
            <v>44354</v>
          </cell>
          <cell r="F1188" t="str">
            <v>DC</v>
          </cell>
          <cell r="G1188" t="str">
            <v>Late</v>
          </cell>
          <cell r="H1188" t="str">
            <v>375 B</v>
          </cell>
          <cell r="I1188">
            <v>44327</v>
          </cell>
          <cell r="J1188" t="str">
            <v>ADTI</v>
          </cell>
          <cell r="K1188" t="str">
            <v>D2106234</v>
          </cell>
          <cell r="L1188">
            <v>1</v>
          </cell>
          <cell r="M1188" t="str">
            <v>A2104177</v>
          </cell>
          <cell r="N1188" t="str">
            <v>510641</v>
          </cell>
          <cell r="O1188" t="str">
            <v xml:space="preserve">1.4401/1.4404 TP316/316L </v>
          </cell>
          <cell r="P1188" t="str">
            <v>316L</v>
          </cell>
          <cell r="Q1188">
            <v>3.1139999999999999</v>
          </cell>
          <cell r="R1188">
            <v>3.1145</v>
          </cell>
          <cell r="S1188">
            <v>4.7E-2</v>
          </cell>
          <cell r="T1188">
            <v>4.6850000000000003E-2</v>
          </cell>
          <cell r="U1188">
            <v>4.9399999999999999E-2</v>
          </cell>
          <cell r="V1188">
            <v>4.8125000000000001E-2</v>
          </cell>
          <cell r="W1188" t="str">
            <v>BRS</v>
          </cell>
          <cell r="X1188">
            <v>3854</v>
          </cell>
          <cell r="Y1188">
            <v>3</v>
          </cell>
          <cell r="Z1188">
            <v>412.54549347034902</v>
          </cell>
          <cell r="AA1188" t="str">
            <v>3.114X0.047-316L</v>
          </cell>
          <cell r="AB1188" t="str">
            <v>WAAF007910120B300049</v>
          </cell>
          <cell r="AC1188" t="str">
            <v>D2106234</v>
          </cell>
          <cell r="AD1188" t="str">
            <v>510641</v>
          </cell>
          <cell r="AE1188">
            <v>1.7999999999999999E-2</v>
          </cell>
          <cell r="AF1188">
            <v>1.26</v>
          </cell>
          <cell r="AG1188">
            <v>0.03</v>
          </cell>
          <cell r="AH1188">
            <v>1E-3</v>
          </cell>
          <cell r="AI1188">
            <v>0.54</v>
          </cell>
          <cell r="AJ1188">
            <v>17</v>
          </cell>
          <cell r="AK1188">
            <v>10.3</v>
          </cell>
          <cell r="AL1188">
            <v>4.4999999999999998E-2</v>
          </cell>
          <cell r="AM1188">
            <v>0</v>
          </cell>
          <cell r="AN1188">
            <v>0</v>
          </cell>
          <cell r="AO1188">
            <v>0</v>
          </cell>
          <cell r="AP1188">
            <v>0</v>
          </cell>
          <cell r="AQ1188">
            <v>0</v>
          </cell>
          <cell r="AR1188">
            <v>0</v>
          </cell>
          <cell r="AS1188">
            <v>0</v>
          </cell>
          <cell r="AT1188">
            <v>277</v>
          </cell>
          <cell r="AU1188">
            <v>298</v>
          </cell>
          <cell r="AV1188">
            <v>603</v>
          </cell>
          <cell r="AW1188">
            <v>60</v>
          </cell>
          <cell r="AX1188">
            <v>79</v>
          </cell>
          <cell r="AY1188">
            <v>147</v>
          </cell>
          <cell r="AZ1188">
            <v>2.1674000000000002</v>
          </cell>
          <cell r="BA1188" t="str">
            <v>D2106234</v>
          </cell>
          <cell r="BB1188" t="str">
            <v>CONFORM</v>
          </cell>
          <cell r="BC1188" t="str">
            <v>CONFORM</v>
          </cell>
          <cell r="BD1188" t="str">
            <v>CONFORM</v>
          </cell>
          <cell r="BE1188" t="str">
            <v>CONFORM</v>
          </cell>
          <cell r="BF1188" t="str">
            <v>CONFORM</v>
          </cell>
        </row>
        <row r="1189">
          <cell r="A1189">
            <v>44375</v>
          </cell>
          <cell r="B1189" t="str">
            <v>D2106234-2</v>
          </cell>
          <cell r="C1189" t="str">
            <v>041/21</v>
          </cell>
          <cell r="D1189">
            <v>2</v>
          </cell>
          <cell r="E1189">
            <v>44354</v>
          </cell>
          <cell r="F1189" t="str">
            <v>DC</v>
          </cell>
          <cell r="G1189" t="str">
            <v>Late</v>
          </cell>
          <cell r="H1189" t="str">
            <v>375 B</v>
          </cell>
          <cell r="I1189">
            <v>44327</v>
          </cell>
          <cell r="J1189" t="str">
            <v>ADTI</v>
          </cell>
          <cell r="K1189" t="str">
            <v>D2106234</v>
          </cell>
          <cell r="L1189">
            <v>2</v>
          </cell>
          <cell r="M1189" t="str">
            <v>A2104179</v>
          </cell>
          <cell r="N1189" t="str">
            <v>510641</v>
          </cell>
          <cell r="O1189" t="str">
            <v xml:space="preserve">1.4401/1.4404 TP316/316L </v>
          </cell>
          <cell r="P1189" t="str">
            <v>316L</v>
          </cell>
          <cell r="Q1189">
            <v>3.1139999999999999</v>
          </cell>
          <cell r="R1189">
            <v>3.1154999999999999</v>
          </cell>
          <cell r="S1189">
            <v>4.7E-2</v>
          </cell>
          <cell r="T1189">
            <v>4.82E-2</v>
          </cell>
          <cell r="U1189">
            <v>5.1900000000000002E-2</v>
          </cell>
          <cell r="V1189">
            <v>5.0049999999999997E-2</v>
          </cell>
          <cell r="W1189" t="str">
            <v>BRS</v>
          </cell>
          <cell r="X1189">
            <v>4065</v>
          </cell>
          <cell r="Y1189">
            <v>3</v>
          </cell>
          <cell r="Z1189">
            <v>435.13166345536291</v>
          </cell>
          <cell r="AA1189" t="str">
            <v>3.114X0.047-316L</v>
          </cell>
          <cell r="AB1189" t="str">
            <v>WAAF007910120B300049</v>
          </cell>
          <cell r="AC1189" t="str">
            <v>D2106234</v>
          </cell>
          <cell r="AD1189" t="str">
            <v>510641</v>
          </cell>
          <cell r="AE1189">
            <v>1.7999999999999999E-2</v>
          </cell>
          <cell r="AF1189">
            <v>1.26</v>
          </cell>
          <cell r="AG1189">
            <v>0.03</v>
          </cell>
          <cell r="AH1189">
            <v>1E-3</v>
          </cell>
          <cell r="AI1189">
            <v>0.54</v>
          </cell>
          <cell r="AJ1189">
            <v>17</v>
          </cell>
          <cell r="AK1189">
            <v>10.3</v>
          </cell>
          <cell r="AL1189">
            <v>4.4999999999999998E-2</v>
          </cell>
          <cell r="AM1189">
            <v>0</v>
          </cell>
          <cell r="AN1189">
            <v>0</v>
          </cell>
          <cell r="AO1189">
            <v>0</v>
          </cell>
          <cell r="AP1189">
            <v>0</v>
          </cell>
          <cell r="AQ1189">
            <v>0</v>
          </cell>
          <cell r="AR1189">
            <v>0</v>
          </cell>
          <cell r="AS1189">
            <v>0</v>
          </cell>
          <cell r="AT1189">
            <v>277</v>
          </cell>
          <cell r="AU1189">
            <v>298</v>
          </cell>
          <cell r="AV1189">
            <v>603</v>
          </cell>
          <cell r="AW1189">
            <v>60</v>
          </cell>
          <cell r="AX1189">
            <v>79</v>
          </cell>
          <cell r="AY1189">
            <v>147</v>
          </cell>
          <cell r="AZ1189">
            <v>2.1674000000000002</v>
          </cell>
          <cell r="BA1189" t="str">
            <v>D2106234</v>
          </cell>
          <cell r="BB1189" t="str">
            <v>CONFORM</v>
          </cell>
          <cell r="BC1189" t="str">
            <v>CONFORM</v>
          </cell>
          <cell r="BD1189" t="str">
            <v>CONFORM</v>
          </cell>
          <cell r="BE1189" t="str">
            <v>CONFORM</v>
          </cell>
          <cell r="BF1189" t="str">
            <v>CONFORM</v>
          </cell>
        </row>
        <row r="1190">
          <cell r="A1190">
            <v>44375</v>
          </cell>
          <cell r="B1190" t="str">
            <v>D2106234-3</v>
          </cell>
          <cell r="C1190" t="str">
            <v>041/21</v>
          </cell>
          <cell r="D1190">
            <v>2</v>
          </cell>
          <cell r="E1190">
            <v>44354</v>
          </cell>
          <cell r="F1190" t="str">
            <v>DC</v>
          </cell>
          <cell r="G1190" t="str">
            <v>Late</v>
          </cell>
          <cell r="H1190" t="str">
            <v>375 B</v>
          </cell>
          <cell r="I1190">
            <v>44327</v>
          </cell>
          <cell r="J1190" t="str">
            <v>ADTI</v>
          </cell>
          <cell r="K1190" t="str">
            <v>D2106234</v>
          </cell>
          <cell r="L1190">
            <v>3</v>
          </cell>
          <cell r="M1190" t="str">
            <v>A2104179</v>
          </cell>
          <cell r="N1190" t="str">
            <v>510641</v>
          </cell>
          <cell r="O1190" t="str">
            <v xml:space="preserve">1.4401/1.4404 TP316/316L </v>
          </cell>
          <cell r="P1190" t="str">
            <v>316L</v>
          </cell>
          <cell r="Q1190">
            <v>3.1139999999999999</v>
          </cell>
          <cell r="R1190">
            <v>3.1135000000000002</v>
          </cell>
          <cell r="S1190">
            <v>4.7E-2</v>
          </cell>
          <cell r="T1190">
            <v>4.8649999999999999E-2</v>
          </cell>
          <cell r="U1190">
            <v>4.965E-2</v>
          </cell>
          <cell r="V1190">
            <v>4.9149999999999999E-2</v>
          </cell>
          <cell r="W1190" t="str">
            <v>BRS</v>
          </cell>
          <cell r="X1190">
            <v>4074</v>
          </cell>
          <cell r="Y1190">
            <v>3</v>
          </cell>
          <cell r="Z1190">
            <v>436.09505459216444</v>
          </cell>
          <cell r="AA1190" t="str">
            <v>3.114X0.047-316L</v>
          </cell>
          <cell r="AB1190" t="str">
            <v>WAAF007910120B300049</v>
          </cell>
          <cell r="AC1190" t="str">
            <v>D2106234</v>
          </cell>
          <cell r="AD1190" t="str">
            <v>510641</v>
          </cell>
          <cell r="AE1190">
            <v>1.7999999999999999E-2</v>
          </cell>
          <cell r="AF1190">
            <v>1.26</v>
          </cell>
          <cell r="AG1190">
            <v>0.03</v>
          </cell>
          <cell r="AH1190">
            <v>1E-3</v>
          </cell>
          <cell r="AI1190">
            <v>0.54</v>
          </cell>
          <cell r="AJ1190">
            <v>17</v>
          </cell>
          <cell r="AK1190">
            <v>10.3</v>
          </cell>
          <cell r="AL1190">
            <v>4.4999999999999998E-2</v>
          </cell>
          <cell r="AM1190">
            <v>0</v>
          </cell>
          <cell r="AN1190">
            <v>0</v>
          </cell>
          <cell r="AO1190">
            <v>0</v>
          </cell>
          <cell r="AP1190">
            <v>0</v>
          </cell>
          <cell r="AQ1190">
            <v>0</v>
          </cell>
          <cell r="AR1190">
            <v>0</v>
          </cell>
          <cell r="AS1190">
            <v>0</v>
          </cell>
          <cell r="AT1190">
            <v>277</v>
          </cell>
          <cell r="AU1190">
            <v>298</v>
          </cell>
          <cell r="AV1190">
            <v>603</v>
          </cell>
          <cell r="AW1190">
            <v>60</v>
          </cell>
          <cell r="AX1190">
            <v>79</v>
          </cell>
          <cell r="AY1190">
            <v>147</v>
          </cell>
          <cell r="AZ1190">
            <v>2.1674000000000002</v>
          </cell>
          <cell r="BA1190" t="str">
            <v>D2106234</v>
          </cell>
          <cell r="BB1190" t="str">
            <v>CONFORM</v>
          </cell>
          <cell r="BC1190" t="str">
            <v>CONFORM</v>
          </cell>
          <cell r="BD1190" t="str">
            <v>CONFORM</v>
          </cell>
          <cell r="BE1190" t="str">
            <v>CONFORM</v>
          </cell>
          <cell r="BF1190" t="str">
            <v>CONFORM</v>
          </cell>
        </row>
        <row r="1191">
          <cell r="A1191">
            <v>44375</v>
          </cell>
          <cell r="B1191" t="str">
            <v>D2106234-4</v>
          </cell>
          <cell r="C1191" t="str">
            <v>041/21</v>
          </cell>
          <cell r="D1191">
            <v>2</v>
          </cell>
          <cell r="E1191">
            <v>44354</v>
          </cell>
          <cell r="F1191" t="str">
            <v>DC</v>
          </cell>
          <cell r="G1191" t="str">
            <v>Late</v>
          </cell>
          <cell r="H1191" t="str">
            <v>375 B</v>
          </cell>
          <cell r="I1191">
            <v>44327</v>
          </cell>
          <cell r="J1191" t="str">
            <v>ADTI</v>
          </cell>
          <cell r="K1191" t="str">
            <v>D2106234</v>
          </cell>
          <cell r="L1191">
            <v>4</v>
          </cell>
          <cell r="M1191" t="str">
            <v>A2104179</v>
          </cell>
          <cell r="N1191" t="str">
            <v>510641</v>
          </cell>
          <cell r="O1191" t="str">
            <v xml:space="preserve">1.4401/1.4404 TP316/316L </v>
          </cell>
          <cell r="P1191" t="str">
            <v>316L</v>
          </cell>
          <cell r="Q1191">
            <v>3.1139999999999999</v>
          </cell>
          <cell r="R1191">
            <v>3.1145</v>
          </cell>
          <cell r="S1191">
            <v>4.7E-2</v>
          </cell>
          <cell r="T1191">
            <v>4.7750000000000001E-2</v>
          </cell>
          <cell r="U1191">
            <v>4.9099999999999998E-2</v>
          </cell>
          <cell r="V1191">
            <v>4.8424999999999996E-2</v>
          </cell>
          <cell r="W1191" t="str">
            <v>BRS</v>
          </cell>
          <cell r="X1191">
            <v>4065</v>
          </cell>
          <cell r="Y1191">
            <v>3</v>
          </cell>
          <cell r="Z1191">
            <v>435.13166345536291</v>
          </cell>
          <cell r="AA1191" t="str">
            <v>3.114X0.047-316L</v>
          </cell>
          <cell r="AB1191" t="str">
            <v>WAAF007910120B300049</v>
          </cell>
          <cell r="AC1191" t="str">
            <v>D2106234</v>
          </cell>
          <cell r="AD1191" t="str">
            <v>510641</v>
          </cell>
          <cell r="AE1191">
            <v>1.7999999999999999E-2</v>
          </cell>
          <cell r="AF1191">
            <v>1.26</v>
          </cell>
          <cell r="AG1191">
            <v>0.03</v>
          </cell>
          <cell r="AH1191">
            <v>1E-3</v>
          </cell>
          <cell r="AI1191">
            <v>0.54</v>
          </cell>
          <cell r="AJ1191">
            <v>17</v>
          </cell>
          <cell r="AK1191">
            <v>10.3</v>
          </cell>
          <cell r="AL1191">
            <v>4.4999999999999998E-2</v>
          </cell>
          <cell r="AM1191">
            <v>0</v>
          </cell>
          <cell r="AN1191">
            <v>0</v>
          </cell>
          <cell r="AO1191">
            <v>0</v>
          </cell>
          <cell r="AP1191">
            <v>0</v>
          </cell>
          <cell r="AQ1191">
            <v>0</v>
          </cell>
          <cell r="AR1191">
            <v>0</v>
          </cell>
          <cell r="AS1191">
            <v>0</v>
          </cell>
          <cell r="AT1191">
            <v>277</v>
          </cell>
          <cell r="AU1191">
            <v>298</v>
          </cell>
          <cell r="AV1191">
            <v>603</v>
          </cell>
          <cell r="AW1191">
            <v>60</v>
          </cell>
          <cell r="AX1191">
            <v>79</v>
          </cell>
          <cell r="AY1191">
            <v>147</v>
          </cell>
          <cell r="AZ1191">
            <v>2.1674000000000002</v>
          </cell>
          <cell r="BA1191" t="str">
            <v>D2106234</v>
          </cell>
          <cell r="BB1191" t="str">
            <v>CONFORM</v>
          </cell>
          <cell r="BC1191" t="str">
            <v>CONFORM</v>
          </cell>
          <cell r="BD1191" t="str">
            <v>CONFORM</v>
          </cell>
          <cell r="BE1191" t="str">
            <v>CONFORM</v>
          </cell>
          <cell r="BF1191" t="str">
            <v>CONFORM</v>
          </cell>
        </row>
        <row r="1192">
          <cell r="A1192">
            <v>44375</v>
          </cell>
          <cell r="B1192" t="str">
            <v>D2106234-5</v>
          </cell>
          <cell r="C1192" t="str">
            <v>041/21</v>
          </cell>
          <cell r="D1192">
            <v>2</v>
          </cell>
          <cell r="E1192">
            <v>44354</v>
          </cell>
          <cell r="F1192" t="str">
            <v>DC</v>
          </cell>
          <cell r="G1192" t="str">
            <v>Late</v>
          </cell>
          <cell r="H1192" t="str">
            <v>375 B</v>
          </cell>
          <cell r="I1192">
            <v>44327</v>
          </cell>
          <cell r="J1192" t="str">
            <v>ADTI</v>
          </cell>
          <cell r="K1192" t="str">
            <v>D2106234</v>
          </cell>
          <cell r="L1192">
            <v>5</v>
          </cell>
          <cell r="M1192" t="str">
            <v>A2104179</v>
          </cell>
          <cell r="N1192" t="str">
            <v>510641</v>
          </cell>
          <cell r="O1192" t="str">
            <v xml:space="preserve">1.4401/1.4404 TP316/316L </v>
          </cell>
          <cell r="P1192" t="str">
            <v>316L</v>
          </cell>
          <cell r="Q1192">
            <v>3.1139999999999999</v>
          </cell>
          <cell r="R1192">
            <v>3.1150000000000002</v>
          </cell>
          <cell r="S1192">
            <v>4.7E-2</v>
          </cell>
          <cell r="T1192">
            <v>4.7800000000000002E-2</v>
          </cell>
          <cell r="U1192">
            <v>4.99E-2</v>
          </cell>
          <cell r="V1192">
            <v>4.8850000000000005E-2</v>
          </cell>
          <cell r="W1192" t="str">
            <v>BRS</v>
          </cell>
          <cell r="X1192">
            <v>4061</v>
          </cell>
          <cell r="Y1192">
            <v>3</v>
          </cell>
          <cell r="Z1192">
            <v>434.70348961678445</v>
          </cell>
          <cell r="AA1192" t="str">
            <v>3.114X0.047-316L</v>
          </cell>
          <cell r="AB1192" t="str">
            <v>WAAF007910120B300049</v>
          </cell>
          <cell r="AC1192" t="str">
            <v>D2106234</v>
          </cell>
          <cell r="AD1192" t="str">
            <v>510641</v>
          </cell>
          <cell r="AE1192">
            <v>1.7999999999999999E-2</v>
          </cell>
          <cell r="AF1192">
            <v>1.26</v>
          </cell>
          <cell r="AG1192">
            <v>0.03</v>
          </cell>
          <cell r="AH1192">
            <v>1E-3</v>
          </cell>
          <cell r="AI1192">
            <v>0.54</v>
          </cell>
          <cell r="AJ1192">
            <v>17</v>
          </cell>
          <cell r="AK1192">
            <v>10.3</v>
          </cell>
          <cell r="AL1192">
            <v>4.4999999999999998E-2</v>
          </cell>
          <cell r="AM1192">
            <v>0</v>
          </cell>
          <cell r="AN1192">
            <v>0</v>
          </cell>
          <cell r="AO1192">
            <v>0</v>
          </cell>
          <cell r="AP1192">
            <v>0</v>
          </cell>
          <cell r="AQ1192">
            <v>0</v>
          </cell>
          <cell r="AR1192">
            <v>0</v>
          </cell>
          <cell r="AS1192">
            <v>0</v>
          </cell>
          <cell r="AT1192">
            <v>277</v>
          </cell>
          <cell r="AU1192">
            <v>298</v>
          </cell>
          <cell r="AV1192">
            <v>603</v>
          </cell>
          <cell r="AW1192">
            <v>60</v>
          </cell>
          <cell r="AX1192">
            <v>79</v>
          </cell>
          <cell r="AY1192">
            <v>147</v>
          </cell>
          <cell r="AZ1192">
            <v>2.1674000000000002</v>
          </cell>
          <cell r="BA1192" t="str">
            <v>D2106234</v>
          </cell>
          <cell r="BB1192" t="str">
            <v>CONFORM</v>
          </cell>
          <cell r="BC1192" t="str">
            <v>CONFORM</v>
          </cell>
          <cell r="BD1192" t="str">
            <v>CONFORM</v>
          </cell>
          <cell r="BE1192" t="str">
            <v>CONFORM</v>
          </cell>
          <cell r="BF1192" t="str">
            <v>CONFORM</v>
          </cell>
        </row>
        <row r="1193">
          <cell r="A1193">
            <v>44375</v>
          </cell>
          <cell r="B1193" t="str">
            <v>D2106234-6</v>
          </cell>
          <cell r="C1193" t="str">
            <v>041/21</v>
          </cell>
          <cell r="D1193">
            <v>2</v>
          </cell>
          <cell r="E1193">
            <v>44354</v>
          </cell>
          <cell r="F1193" t="str">
            <v>DC</v>
          </cell>
          <cell r="G1193" t="str">
            <v>Late</v>
          </cell>
          <cell r="H1193" t="str">
            <v>375 B</v>
          </cell>
          <cell r="I1193">
            <v>44327</v>
          </cell>
          <cell r="J1193" t="str">
            <v>ADTI</v>
          </cell>
          <cell r="K1193" t="str">
            <v>D2106234</v>
          </cell>
          <cell r="L1193">
            <v>6</v>
          </cell>
          <cell r="M1193" t="str">
            <v>A2104179</v>
          </cell>
          <cell r="N1193" t="str">
            <v>510641</v>
          </cell>
          <cell r="O1193" t="str">
            <v xml:space="preserve">1.4401/1.4404 TP316/316L </v>
          </cell>
          <cell r="P1193" t="str">
            <v>316L</v>
          </cell>
          <cell r="Q1193">
            <v>3.1139999999999999</v>
          </cell>
          <cell r="R1193">
            <v>3.1145</v>
          </cell>
          <cell r="S1193">
            <v>4.7E-2</v>
          </cell>
          <cell r="T1193">
            <v>4.7649999999999998E-2</v>
          </cell>
          <cell r="U1193">
            <v>4.9549999999999997E-2</v>
          </cell>
          <cell r="V1193">
            <v>4.8599999999999997E-2</v>
          </cell>
          <cell r="W1193" t="str">
            <v>BRS</v>
          </cell>
          <cell r="X1193">
            <v>4061</v>
          </cell>
          <cell r="Y1193">
            <v>3</v>
          </cell>
          <cell r="Z1193">
            <v>434.70348961678445</v>
          </cell>
          <cell r="AA1193" t="str">
            <v>3.114X0.047-316L</v>
          </cell>
          <cell r="AB1193" t="str">
            <v>WAAF007910120B300049</v>
          </cell>
          <cell r="AC1193" t="str">
            <v>D2106234</v>
          </cell>
          <cell r="AD1193" t="str">
            <v>510641</v>
          </cell>
          <cell r="AE1193">
            <v>1.7999999999999999E-2</v>
          </cell>
          <cell r="AF1193">
            <v>1.26</v>
          </cell>
          <cell r="AG1193">
            <v>0.03</v>
          </cell>
          <cell r="AH1193">
            <v>1E-3</v>
          </cell>
          <cell r="AI1193">
            <v>0.54</v>
          </cell>
          <cell r="AJ1193">
            <v>17</v>
          </cell>
          <cell r="AK1193">
            <v>10.3</v>
          </cell>
          <cell r="AL1193">
            <v>4.4999999999999998E-2</v>
          </cell>
          <cell r="AM1193">
            <v>0</v>
          </cell>
          <cell r="AN1193">
            <v>0</v>
          </cell>
          <cell r="AO1193">
            <v>0</v>
          </cell>
          <cell r="AP1193">
            <v>0</v>
          </cell>
          <cell r="AQ1193">
            <v>0</v>
          </cell>
          <cell r="AR1193">
            <v>0</v>
          </cell>
          <cell r="AS1193">
            <v>0</v>
          </cell>
          <cell r="AT1193">
            <v>277</v>
          </cell>
          <cell r="AU1193">
            <v>298</v>
          </cell>
          <cell r="AV1193">
            <v>603</v>
          </cell>
          <cell r="AW1193">
            <v>60</v>
          </cell>
          <cell r="AX1193">
            <v>79</v>
          </cell>
          <cell r="AY1193">
            <v>147</v>
          </cell>
          <cell r="AZ1193">
            <v>2.1674000000000002</v>
          </cell>
          <cell r="BA1193" t="str">
            <v>D2106234</v>
          </cell>
          <cell r="BB1193" t="str">
            <v>CONFORM</v>
          </cell>
          <cell r="BC1193" t="str">
            <v>CONFORM</v>
          </cell>
          <cell r="BD1193" t="str">
            <v>CONFORM</v>
          </cell>
          <cell r="BE1193" t="str">
            <v>CONFORM</v>
          </cell>
          <cell r="BF1193" t="str">
            <v>CONFORM</v>
          </cell>
        </row>
        <row r="1194">
          <cell r="A1194">
            <v>44375</v>
          </cell>
          <cell r="B1194" t="str">
            <v>D2106234-7</v>
          </cell>
          <cell r="C1194" t="str">
            <v>041/21</v>
          </cell>
          <cell r="D1194">
            <v>2</v>
          </cell>
          <cell r="E1194">
            <v>44354</v>
          </cell>
          <cell r="F1194" t="str">
            <v>DC</v>
          </cell>
          <cell r="G1194" t="str">
            <v>Late</v>
          </cell>
          <cell r="H1194" t="str">
            <v>375 B</v>
          </cell>
          <cell r="I1194">
            <v>44327</v>
          </cell>
          <cell r="J1194" t="str">
            <v>ADTI</v>
          </cell>
          <cell r="K1194" t="str">
            <v>D2106234</v>
          </cell>
          <cell r="L1194">
            <v>7</v>
          </cell>
          <cell r="M1194" t="str">
            <v>A2104179</v>
          </cell>
          <cell r="N1194" t="str">
            <v>510641</v>
          </cell>
          <cell r="O1194" t="str">
            <v xml:space="preserve">1.4401/1.4404 TP316/316L </v>
          </cell>
          <cell r="P1194" t="str">
            <v>316L</v>
          </cell>
          <cell r="Q1194">
            <v>3.1139999999999999</v>
          </cell>
          <cell r="R1194">
            <v>3.1179999999999999</v>
          </cell>
          <cell r="S1194">
            <v>4.7E-2</v>
          </cell>
          <cell r="T1194">
            <v>4.6600000000000003E-2</v>
          </cell>
          <cell r="U1194">
            <v>4.8250000000000001E-2</v>
          </cell>
          <cell r="V1194">
            <v>4.7425000000000002E-2</v>
          </cell>
          <cell r="W1194" t="str">
            <v>BRS</v>
          </cell>
          <cell r="X1194">
            <v>3858</v>
          </cell>
          <cell r="Y1194">
            <v>3</v>
          </cell>
          <cell r="Z1194">
            <v>412.97366730892742</v>
          </cell>
          <cell r="AA1194" t="str">
            <v>3.114X0.047-316L</v>
          </cell>
          <cell r="AB1194" t="str">
            <v>WAAF007910120B300049</v>
          </cell>
          <cell r="AC1194" t="str">
            <v>D2106234</v>
          </cell>
          <cell r="AD1194" t="str">
            <v>510641</v>
          </cell>
          <cell r="AE1194">
            <v>1.7999999999999999E-2</v>
          </cell>
          <cell r="AF1194">
            <v>1.26</v>
          </cell>
          <cell r="AG1194">
            <v>0.03</v>
          </cell>
          <cell r="AH1194">
            <v>1E-3</v>
          </cell>
          <cell r="AI1194">
            <v>0.54</v>
          </cell>
          <cell r="AJ1194">
            <v>17</v>
          </cell>
          <cell r="AK1194">
            <v>10.3</v>
          </cell>
          <cell r="AL1194">
            <v>4.4999999999999998E-2</v>
          </cell>
          <cell r="AM1194">
            <v>0</v>
          </cell>
          <cell r="AN1194">
            <v>0</v>
          </cell>
          <cell r="AO1194">
            <v>0</v>
          </cell>
          <cell r="AP1194">
            <v>0</v>
          </cell>
          <cell r="AQ1194">
            <v>0</v>
          </cell>
          <cell r="AR1194">
            <v>0</v>
          </cell>
          <cell r="AS1194">
            <v>0</v>
          </cell>
          <cell r="AT1194">
            <v>277</v>
          </cell>
          <cell r="AU1194">
            <v>298</v>
          </cell>
          <cell r="AV1194">
            <v>603</v>
          </cell>
          <cell r="AW1194">
            <v>60</v>
          </cell>
          <cell r="AX1194">
            <v>79</v>
          </cell>
          <cell r="AY1194">
            <v>147</v>
          </cell>
          <cell r="AZ1194">
            <v>2.1674000000000002</v>
          </cell>
          <cell r="BA1194" t="str">
            <v>D2106234</v>
          </cell>
          <cell r="BB1194" t="str">
            <v>CONFORM</v>
          </cell>
          <cell r="BC1194" t="str">
            <v>CONFORM</v>
          </cell>
          <cell r="BD1194" t="str">
            <v>CONFORM</v>
          </cell>
          <cell r="BE1194" t="str">
            <v>CONFORM</v>
          </cell>
          <cell r="BF1194" t="str">
            <v>CONFORM</v>
          </cell>
        </row>
        <row r="1195">
          <cell r="A1195">
            <v>44375</v>
          </cell>
          <cell r="B1195" t="str">
            <v>D2106234-8</v>
          </cell>
          <cell r="C1195" t="str">
            <v>041/21</v>
          </cell>
          <cell r="D1195">
            <v>2</v>
          </cell>
          <cell r="E1195">
            <v>44354</v>
          </cell>
          <cell r="F1195" t="str">
            <v>DC</v>
          </cell>
          <cell r="G1195" t="str">
            <v>Late</v>
          </cell>
          <cell r="H1195" t="str">
            <v>375 B</v>
          </cell>
          <cell r="I1195">
            <v>44327</v>
          </cell>
          <cell r="J1195" t="str">
            <v>ADTI</v>
          </cell>
          <cell r="K1195" t="str">
            <v>D2106234</v>
          </cell>
          <cell r="L1195">
            <v>8</v>
          </cell>
          <cell r="M1195" t="str">
            <v>A2104179</v>
          </cell>
          <cell r="N1195" t="str">
            <v>510641</v>
          </cell>
          <cell r="O1195" t="str">
            <v xml:space="preserve">1.4401/1.4404 TP316/316L </v>
          </cell>
          <cell r="P1195" t="str">
            <v>316L</v>
          </cell>
          <cell r="Q1195">
            <v>3.1139999999999999</v>
          </cell>
          <cell r="R1195">
            <v>3.1139999999999999</v>
          </cell>
          <cell r="S1195">
            <v>4.7E-2</v>
          </cell>
          <cell r="T1195">
            <v>4.7300000000000002E-2</v>
          </cell>
          <cell r="U1195">
            <v>4.9200000000000001E-2</v>
          </cell>
          <cell r="V1195">
            <v>4.8250000000000001E-2</v>
          </cell>
          <cell r="W1195" t="str">
            <v>BRS</v>
          </cell>
          <cell r="X1195">
            <v>3858</v>
          </cell>
          <cell r="Y1195">
            <v>3</v>
          </cell>
          <cell r="Z1195">
            <v>412.97366730892742</v>
          </cell>
          <cell r="AA1195" t="str">
            <v>3.114X0.047-316L</v>
          </cell>
          <cell r="AB1195" t="str">
            <v>WAAF007910120B300049</v>
          </cell>
          <cell r="AC1195" t="str">
            <v>D2106234</v>
          </cell>
          <cell r="AD1195" t="str">
            <v>510641</v>
          </cell>
          <cell r="AE1195">
            <v>1.7999999999999999E-2</v>
          </cell>
          <cell r="AF1195">
            <v>1.26</v>
          </cell>
          <cell r="AG1195">
            <v>0.03</v>
          </cell>
          <cell r="AH1195">
            <v>1E-3</v>
          </cell>
          <cell r="AI1195">
            <v>0.54</v>
          </cell>
          <cell r="AJ1195">
            <v>17</v>
          </cell>
          <cell r="AK1195">
            <v>10.3</v>
          </cell>
          <cell r="AL1195">
            <v>4.4999999999999998E-2</v>
          </cell>
          <cell r="AM1195">
            <v>0</v>
          </cell>
          <cell r="AN1195">
            <v>0</v>
          </cell>
          <cell r="AO1195">
            <v>0</v>
          </cell>
          <cell r="AP1195">
            <v>0</v>
          </cell>
          <cell r="AQ1195">
            <v>0</v>
          </cell>
          <cell r="AR1195">
            <v>0</v>
          </cell>
          <cell r="AS1195">
            <v>0</v>
          </cell>
          <cell r="AT1195">
            <v>277</v>
          </cell>
          <cell r="AU1195">
            <v>298</v>
          </cell>
          <cell r="AV1195">
            <v>603</v>
          </cell>
          <cell r="AW1195">
            <v>60</v>
          </cell>
          <cell r="AX1195">
            <v>79</v>
          </cell>
          <cell r="AY1195">
            <v>147</v>
          </cell>
          <cell r="AZ1195">
            <v>2.1674000000000002</v>
          </cell>
          <cell r="BA1195" t="str">
            <v>D2106234</v>
          </cell>
          <cell r="BB1195" t="str">
            <v>CONFORM</v>
          </cell>
          <cell r="BC1195" t="str">
            <v>CONFORM</v>
          </cell>
          <cell r="BD1195" t="str">
            <v>CONFORM</v>
          </cell>
          <cell r="BE1195" t="str">
            <v>CONFORM</v>
          </cell>
          <cell r="BF1195" t="str">
            <v>CONFORM</v>
          </cell>
        </row>
        <row r="1196">
          <cell r="A1196">
            <v>44375</v>
          </cell>
          <cell r="B1196" t="str">
            <v>D2106234-9</v>
          </cell>
          <cell r="C1196" t="str">
            <v>041/21</v>
          </cell>
          <cell r="D1196">
            <v>2</v>
          </cell>
          <cell r="E1196">
            <v>44354</v>
          </cell>
          <cell r="F1196" t="str">
            <v>DC</v>
          </cell>
          <cell r="G1196" t="str">
            <v>Late</v>
          </cell>
          <cell r="H1196" t="str">
            <v>375 B</v>
          </cell>
          <cell r="I1196">
            <v>44327</v>
          </cell>
          <cell r="J1196" t="str">
            <v>ADTI</v>
          </cell>
          <cell r="K1196" t="str">
            <v>D2106234</v>
          </cell>
          <cell r="L1196">
            <v>9</v>
          </cell>
          <cell r="M1196" t="str">
            <v>A2104179</v>
          </cell>
          <cell r="N1196" t="str">
            <v>510641</v>
          </cell>
          <cell r="O1196" t="str">
            <v xml:space="preserve">1.4401/1.4404 TP316/316L </v>
          </cell>
          <cell r="P1196" t="str">
            <v>316L</v>
          </cell>
          <cell r="Q1196">
            <v>3.1139999999999999</v>
          </cell>
          <cell r="R1196">
            <v>3.1145</v>
          </cell>
          <cell r="S1196">
            <v>4.7E-2</v>
          </cell>
          <cell r="T1196">
            <v>4.7500000000000001E-2</v>
          </cell>
          <cell r="U1196">
            <v>4.9950000000000001E-2</v>
          </cell>
          <cell r="V1196">
            <v>4.8725000000000004E-2</v>
          </cell>
          <cell r="W1196" t="str">
            <v>BRS</v>
          </cell>
          <cell r="X1196">
            <v>3862</v>
          </cell>
          <cell r="Y1196">
            <v>3</v>
          </cell>
          <cell r="Z1196">
            <v>413.40184114750588</v>
          </cell>
          <cell r="AA1196" t="str">
            <v>3.114X0.047-316L</v>
          </cell>
          <cell r="AB1196" t="str">
            <v>WAAF007910120B300049</v>
          </cell>
          <cell r="AC1196" t="str">
            <v>D2106234</v>
          </cell>
          <cell r="AD1196" t="str">
            <v>510641</v>
          </cell>
          <cell r="AE1196">
            <v>1.7999999999999999E-2</v>
          </cell>
          <cell r="AF1196">
            <v>1.26</v>
          </cell>
          <cell r="AG1196">
            <v>0.03</v>
          </cell>
          <cell r="AH1196">
            <v>1E-3</v>
          </cell>
          <cell r="AI1196">
            <v>0.54</v>
          </cell>
          <cell r="AJ1196">
            <v>17</v>
          </cell>
          <cell r="AK1196">
            <v>10.3</v>
          </cell>
          <cell r="AL1196">
            <v>4.4999999999999998E-2</v>
          </cell>
          <cell r="AM1196">
            <v>0</v>
          </cell>
          <cell r="AN1196">
            <v>0</v>
          </cell>
          <cell r="AO1196">
            <v>0</v>
          </cell>
          <cell r="AP1196">
            <v>0</v>
          </cell>
          <cell r="AQ1196">
            <v>0</v>
          </cell>
          <cell r="AR1196">
            <v>0</v>
          </cell>
          <cell r="AS1196">
            <v>0</v>
          </cell>
          <cell r="AT1196">
            <v>277</v>
          </cell>
          <cell r="AU1196">
            <v>298</v>
          </cell>
          <cell r="AV1196">
            <v>603</v>
          </cell>
          <cell r="AW1196">
            <v>60</v>
          </cell>
          <cell r="AX1196">
            <v>79</v>
          </cell>
          <cell r="AY1196">
            <v>147</v>
          </cell>
          <cell r="AZ1196">
            <v>2.1674000000000002</v>
          </cell>
          <cell r="BA1196" t="str">
            <v>D2106234</v>
          </cell>
          <cell r="BB1196" t="str">
            <v>CONFORM</v>
          </cell>
          <cell r="BC1196" t="str">
            <v>CONFORM</v>
          </cell>
          <cell r="BD1196" t="str">
            <v>CONFORM</v>
          </cell>
          <cell r="BE1196" t="str">
            <v>CONFORM</v>
          </cell>
          <cell r="BF1196" t="str">
            <v>CONFORM</v>
          </cell>
        </row>
        <row r="1197">
          <cell r="A1197">
            <v>44375</v>
          </cell>
          <cell r="B1197" t="str">
            <v>D2106234-10</v>
          </cell>
          <cell r="C1197" t="str">
            <v>041/21</v>
          </cell>
          <cell r="D1197">
            <v>2</v>
          </cell>
          <cell r="E1197">
            <v>44354</v>
          </cell>
          <cell r="F1197" t="str">
            <v>DC</v>
          </cell>
          <cell r="G1197" t="str">
            <v>Late</v>
          </cell>
          <cell r="H1197" t="str">
            <v>375 B</v>
          </cell>
          <cell r="I1197">
            <v>44327</v>
          </cell>
          <cell r="J1197" t="str">
            <v>ADTI</v>
          </cell>
          <cell r="K1197" t="str">
            <v>D2106234</v>
          </cell>
          <cell r="L1197">
            <v>10</v>
          </cell>
          <cell r="M1197" t="str">
            <v>A2104179</v>
          </cell>
          <cell r="N1197" t="str">
            <v>510641</v>
          </cell>
          <cell r="O1197" t="str">
            <v xml:space="preserve">1.4401/1.4404 TP316/316L </v>
          </cell>
          <cell r="P1197" t="str">
            <v>316L</v>
          </cell>
          <cell r="Q1197">
            <v>3.1139999999999999</v>
          </cell>
          <cell r="R1197">
            <v>3.1145</v>
          </cell>
          <cell r="S1197">
            <v>4.7E-2</v>
          </cell>
          <cell r="T1197">
            <v>4.6850000000000003E-2</v>
          </cell>
          <cell r="U1197">
            <v>5.1549999999999999E-2</v>
          </cell>
          <cell r="V1197">
            <v>4.9200000000000001E-2</v>
          </cell>
          <cell r="W1197" t="str">
            <v>BRS</v>
          </cell>
          <cell r="X1197">
            <v>3854</v>
          </cell>
          <cell r="Y1197">
            <v>3</v>
          </cell>
          <cell r="Z1197">
            <v>412.54549347034902</v>
          </cell>
          <cell r="AA1197" t="str">
            <v>3.114X0.047-316L</v>
          </cell>
          <cell r="AB1197" t="str">
            <v>WAAF007910120B300049</v>
          </cell>
          <cell r="AC1197" t="str">
            <v>D2106234</v>
          </cell>
          <cell r="AD1197" t="str">
            <v>510641</v>
          </cell>
          <cell r="AE1197">
            <v>1.7999999999999999E-2</v>
          </cell>
          <cell r="AF1197">
            <v>1.26</v>
          </cell>
          <cell r="AG1197">
            <v>0.03</v>
          </cell>
          <cell r="AH1197">
            <v>1E-3</v>
          </cell>
          <cell r="AI1197">
            <v>0.54</v>
          </cell>
          <cell r="AJ1197">
            <v>17</v>
          </cell>
          <cell r="AK1197">
            <v>10.3</v>
          </cell>
          <cell r="AL1197">
            <v>4.4999999999999998E-2</v>
          </cell>
          <cell r="AM1197">
            <v>0</v>
          </cell>
          <cell r="AN1197">
            <v>0</v>
          </cell>
          <cell r="AO1197">
            <v>0</v>
          </cell>
          <cell r="AP1197">
            <v>0</v>
          </cell>
          <cell r="AQ1197">
            <v>0</v>
          </cell>
          <cell r="AR1197">
            <v>0</v>
          </cell>
          <cell r="AS1197">
            <v>0</v>
          </cell>
          <cell r="AT1197">
            <v>277</v>
          </cell>
          <cell r="AU1197">
            <v>298</v>
          </cell>
          <cell r="AV1197">
            <v>603</v>
          </cell>
          <cell r="AW1197">
            <v>60</v>
          </cell>
          <cell r="AX1197">
            <v>79</v>
          </cell>
          <cell r="AY1197">
            <v>147</v>
          </cell>
          <cell r="AZ1197">
            <v>2.1674000000000002</v>
          </cell>
          <cell r="BA1197" t="str">
            <v>D2106234</v>
          </cell>
          <cell r="BB1197" t="str">
            <v>CONFORM</v>
          </cell>
          <cell r="BC1197" t="str">
            <v>CONFORM</v>
          </cell>
          <cell r="BD1197" t="str">
            <v>CONFORM</v>
          </cell>
          <cell r="BE1197" t="str">
            <v>CONFORM</v>
          </cell>
          <cell r="BF1197" t="str">
            <v>CONFORM</v>
          </cell>
        </row>
        <row r="1198">
          <cell r="A1198">
            <v>44389</v>
          </cell>
          <cell r="B1198" t="str">
            <v>D2107062-1</v>
          </cell>
          <cell r="C1198" t="str">
            <v>051/21</v>
          </cell>
          <cell r="D1198">
            <v>1</v>
          </cell>
          <cell r="E1198">
            <v>44383</v>
          </cell>
          <cell r="F1198" t="str">
            <v>DC</v>
          </cell>
          <cell r="G1198" t="str">
            <v>On Time</v>
          </cell>
          <cell r="H1198">
            <v>449</v>
          </cell>
          <cell r="I1198">
            <v>44354</v>
          </cell>
          <cell r="J1198" t="str">
            <v>ADTI</v>
          </cell>
          <cell r="K1198" t="str">
            <v>D2107062</v>
          </cell>
          <cell r="L1198">
            <v>1</v>
          </cell>
          <cell r="M1198" t="str">
            <v>A2105112</v>
          </cell>
          <cell r="N1198" t="str">
            <v>24284</v>
          </cell>
          <cell r="O1198" t="str">
            <v xml:space="preserve">1.4401/1.4404 TP316/316L </v>
          </cell>
          <cell r="P1198" t="str">
            <v>316L</v>
          </cell>
          <cell r="Q1198">
            <v>2.3620000000000001</v>
          </cell>
          <cell r="R1198">
            <v>2.3624999999999998</v>
          </cell>
          <cell r="S1198">
            <v>3.5000000000000003E-2</v>
          </cell>
          <cell r="T1198">
            <v>3.6499999999999998E-2</v>
          </cell>
          <cell r="U1198">
            <v>3.7350000000000001E-2</v>
          </cell>
          <cell r="V1198">
            <v>3.6924999999999999E-2</v>
          </cell>
          <cell r="W1198" t="str">
            <v>BRS</v>
          </cell>
          <cell r="X1198">
            <v>6345</v>
          </cell>
          <cell r="Y1198">
            <v>6</v>
          </cell>
          <cell r="Z1198">
            <v>447.71380186282812</v>
          </cell>
          <cell r="AA1198" t="str">
            <v>2.362X0.035-316L</v>
          </cell>
          <cell r="AB1198" t="str">
            <v>WAAF006000090B300084</v>
          </cell>
          <cell r="AC1198" t="str">
            <v>D2107062</v>
          </cell>
          <cell r="AD1198" t="str">
            <v>24284</v>
          </cell>
          <cell r="AE1198">
            <v>0.02</v>
          </cell>
          <cell r="AF1198">
            <v>0.93</v>
          </cell>
          <cell r="AG1198">
            <v>3.4000000000000002E-2</v>
          </cell>
          <cell r="AH1198">
            <v>1E-3</v>
          </cell>
          <cell r="AI1198">
            <v>0.47</v>
          </cell>
          <cell r="AJ1198">
            <v>17</v>
          </cell>
          <cell r="AK1198">
            <v>10.1</v>
          </cell>
          <cell r="AL1198">
            <v>3.2000000000000001E-2</v>
          </cell>
          <cell r="AM1198">
            <v>2.0299999999999998</v>
          </cell>
          <cell r="AN1198">
            <v>0</v>
          </cell>
          <cell r="AO1198">
            <v>0</v>
          </cell>
          <cell r="AP1198">
            <v>0</v>
          </cell>
          <cell r="AQ1198">
            <v>0</v>
          </cell>
          <cell r="AR1198">
            <v>0</v>
          </cell>
          <cell r="AS1198">
            <v>0</v>
          </cell>
          <cell r="AT1198">
            <v>287</v>
          </cell>
          <cell r="AU1198">
            <v>313</v>
          </cell>
          <cell r="AV1198">
            <v>623</v>
          </cell>
          <cell r="AW1198">
            <v>55</v>
          </cell>
          <cell r="AX1198">
            <v>79</v>
          </cell>
          <cell r="AY1198">
            <v>147</v>
          </cell>
          <cell r="AZ1198">
            <v>1.6073999999999999</v>
          </cell>
          <cell r="BA1198" t="str">
            <v>D2107062</v>
          </cell>
          <cell r="BB1198" t="str">
            <v>CONFORM</v>
          </cell>
          <cell r="BC1198" t="str">
            <v>CONFORM</v>
          </cell>
          <cell r="BD1198" t="str">
            <v>CONFORM</v>
          </cell>
          <cell r="BE1198" t="str">
            <v>CONFORM</v>
          </cell>
          <cell r="BF1198" t="str">
            <v>CONFORM</v>
          </cell>
        </row>
        <row r="1199">
          <cell r="A1199">
            <v>44389</v>
          </cell>
          <cell r="B1199" t="str">
            <v>D2107063-1</v>
          </cell>
          <cell r="C1199" t="str">
            <v>051/21</v>
          </cell>
          <cell r="D1199">
            <v>2</v>
          </cell>
          <cell r="E1199">
            <v>44383</v>
          </cell>
          <cell r="F1199" t="str">
            <v>DC</v>
          </cell>
          <cell r="G1199" t="str">
            <v>On Time</v>
          </cell>
          <cell r="H1199">
            <v>449</v>
          </cell>
          <cell r="I1199">
            <v>44354</v>
          </cell>
          <cell r="J1199" t="str">
            <v>ADTI</v>
          </cell>
          <cell r="K1199" t="str">
            <v>D2107063</v>
          </cell>
          <cell r="L1199">
            <v>1</v>
          </cell>
          <cell r="M1199" t="str">
            <v>A2105059</v>
          </cell>
          <cell r="N1199" t="str">
            <v>24284</v>
          </cell>
          <cell r="O1199" t="str">
            <v xml:space="preserve">1.4401/1.4404 TP316/316L </v>
          </cell>
          <cell r="P1199" t="str">
            <v>316L</v>
          </cell>
          <cell r="Q1199">
            <v>1.948</v>
          </cell>
          <cell r="R1199">
            <v>1.944</v>
          </cell>
          <cell r="S1199">
            <v>3.5000000000000003E-2</v>
          </cell>
          <cell r="T1199">
            <v>3.4299999999999997E-2</v>
          </cell>
          <cell r="U1199">
            <v>3.6299999999999999E-2</v>
          </cell>
          <cell r="V1199">
            <v>3.5299999999999998E-2</v>
          </cell>
          <cell r="W1199" t="str">
            <v>BRS</v>
          </cell>
          <cell r="X1199">
            <v>1949</v>
          </cell>
          <cell r="Y1199">
            <v>3</v>
          </cell>
          <cell r="Z1199">
            <v>333.5044490075291</v>
          </cell>
          <cell r="AA1199" t="str">
            <v>1.948X0.035-316L</v>
          </cell>
          <cell r="AB1199" t="str">
            <v>WAAF004950089B200132</v>
          </cell>
          <cell r="AC1199" t="str">
            <v>D2107063</v>
          </cell>
          <cell r="AD1199" t="str">
            <v>24284</v>
          </cell>
          <cell r="AE1199">
            <v>0.02</v>
          </cell>
          <cell r="AF1199">
            <v>0.93</v>
          </cell>
          <cell r="AG1199">
            <v>3.4000000000000002E-2</v>
          </cell>
          <cell r="AH1199">
            <v>1E-3</v>
          </cell>
          <cell r="AI1199">
            <v>0.47</v>
          </cell>
          <cell r="AJ1199">
            <v>17</v>
          </cell>
          <cell r="AK1199">
            <v>10.1</v>
          </cell>
          <cell r="AL1199">
            <v>3.2000000000000001E-2</v>
          </cell>
          <cell r="AM1199">
            <v>2.0299999999999998</v>
          </cell>
          <cell r="AN1199">
            <v>0</v>
          </cell>
          <cell r="AO1199">
            <v>0</v>
          </cell>
          <cell r="AP1199">
            <v>0</v>
          </cell>
          <cell r="AQ1199">
            <v>0</v>
          </cell>
          <cell r="AR1199">
            <v>0</v>
          </cell>
          <cell r="AS1199">
            <v>0</v>
          </cell>
          <cell r="AT1199">
            <v>287</v>
          </cell>
          <cell r="AU1199">
            <v>313</v>
          </cell>
          <cell r="AV1199">
            <v>623</v>
          </cell>
          <cell r="AW1199">
            <v>55</v>
          </cell>
          <cell r="AX1199">
            <v>79</v>
          </cell>
          <cell r="AY1199">
            <v>147</v>
          </cell>
          <cell r="AZ1199">
            <v>1.6075999999999999</v>
          </cell>
          <cell r="BA1199" t="str">
            <v>D2107063</v>
          </cell>
          <cell r="BB1199" t="str">
            <v>CONFORM</v>
          </cell>
          <cell r="BC1199" t="str">
            <v>CONFORM</v>
          </cell>
          <cell r="BD1199" t="str">
            <v>CONFORM</v>
          </cell>
          <cell r="BE1199" t="str">
            <v>CONFORM</v>
          </cell>
          <cell r="BF1199" t="str">
            <v>CONFORM</v>
          </cell>
        </row>
        <row r="1200">
          <cell r="A1200">
            <v>44389</v>
          </cell>
          <cell r="B1200" t="str">
            <v>D2107063-2</v>
          </cell>
          <cell r="C1200" t="str">
            <v>051/21</v>
          </cell>
          <cell r="D1200">
            <v>2</v>
          </cell>
          <cell r="E1200">
            <v>44383</v>
          </cell>
          <cell r="F1200" t="str">
            <v>DC</v>
          </cell>
          <cell r="G1200" t="str">
            <v>On Time</v>
          </cell>
          <cell r="H1200">
            <v>449</v>
          </cell>
          <cell r="I1200">
            <v>44354</v>
          </cell>
          <cell r="J1200" t="str">
            <v>ADTI</v>
          </cell>
          <cell r="K1200" t="str">
            <v>D2107063</v>
          </cell>
          <cell r="L1200">
            <v>2</v>
          </cell>
          <cell r="M1200" t="str">
            <v>A2105113</v>
          </cell>
          <cell r="N1200" t="str">
            <v>24284</v>
          </cell>
          <cell r="O1200" t="str">
            <v xml:space="preserve">1.4401/1.4404 TP316/316L </v>
          </cell>
          <cell r="P1200" t="str">
            <v>316L</v>
          </cell>
          <cell r="Q1200">
            <v>1.948</v>
          </cell>
          <cell r="R1200">
            <v>1.9464999999999999</v>
          </cell>
          <cell r="S1200">
            <v>3.5000000000000003E-2</v>
          </cell>
          <cell r="T1200">
            <v>3.3750000000000002E-2</v>
          </cell>
          <cell r="U1200">
            <v>3.56E-2</v>
          </cell>
          <cell r="V1200">
            <v>3.4674999999999997E-2</v>
          </cell>
          <cell r="W1200" t="str">
            <v>BRS</v>
          </cell>
          <cell r="X1200">
            <v>1834</v>
          </cell>
          <cell r="Y1200">
            <v>2</v>
          </cell>
          <cell r="Z1200">
            <v>470.73921971252565</v>
          </cell>
          <cell r="AA1200" t="str">
            <v>1.948X0.035-316L</v>
          </cell>
          <cell r="AB1200" t="str">
            <v>WAAF004950089B200132</v>
          </cell>
          <cell r="AC1200" t="str">
            <v>D2107063</v>
          </cell>
          <cell r="AD1200" t="str">
            <v>24284</v>
          </cell>
          <cell r="AE1200">
            <v>0.02</v>
          </cell>
          <cell r="AF1200">
            <v>0.93</v>
          </cell>
          <cell r="AG1200">
            <v>3.4000000000000002E-2</v>
          </cell>
          <cell r="AH1200">
            <v>1E-3</v>
          </cell>
          <cell r="AI1200">
            <v>0.47</v>
          </cell>
          <cell r="AJ1200">
            <v>17</v>
          </cell>
          <cell r="AK1200">
            <v>10.1</v>
          </cell>
          <cell r="AL1200">
            <v>3.2000000000000001E-2</v>
          </cell>
          <cell r="AM1200">
            <v>2.0299999999999998</v>
          </cell>
          <cell r="AN1200">
            <v>0</v>
          </cell>
          <cell r="AO1200">
            <v>0</v>
          </cell>
          <cell r="AP1200">
            <v>0</v>
          </cell>
          <cell r="AQ1200">
            <v>0</v>
          </cell>
          <cell r="AR1200">
            <v>0</v>
          </cell>
          <cell r="AS1200">
            <v>0</v>
          </cell>
          <cell r="AT1200">
            <v>287</v>
          </cell>
          <cell r="AU1200">
            <v>313</v>
          </cell>
          <cell r="AV1200">
            <v>623</v>
          </cell>
          <cell r="AW1200">
            <v>55</v>
          </cell>
          <cell r="AX1200">
            <v>79</v>
          </cell>
          <cell r="AY1200">
            <v>147</v>
          </cell>
          <cell r="AZ1200">
            <v>1.6075999999999999</v>
          </cell>
          <cell r="BA1200" t="str">
            <v>D2107063</v>
          </cell>
          <cell r="BB1200" t="str">
            <v>CONFORM</v>
          </cell>
          <cell r="BC1200" t="str">
            <v>CONFORM</v>
          </cell>
          <cell r="BD1200" t="str">
            <v>CONFORM</v>
          </cell>
          <cell r="BE1200" t="str">
            <v>CONFORM</v>
          </cell>
          <cell r="BF1200" t="str">
            <v>CONFORM</v>
          </cell>
        </row>
        <row r="1201">
          <cell r="A1201">
            <v>44389</v>
          </cell>
          <cell r="B1201" t="str">
            <v>D2107063-3</v>
          </cell>
          <cell r="C1201" t="str">
            <v>051/21</v>
          </cell>
          <cell r="D1201">
            <v>2</v>
          </cell>
          <cell r="E1201">
            <v>44383</v>
          </cell>
          <cell r="F1201" t="str">
            <v>DC</v>
          </cell>
          <cell r="G1201" t="str">
            <v>On Time</v>
          </cell>
          <cell r="H1201">
            <v>449</v>
          </cell>
          <cell r="I1201">
            <v>44354</v>
          </cell>
          <cell r="J1201" t="str">
            <v>ADTI</v>
          </cell>
          <cell r="K1201" t="str">
            <v>D2107063</v>
          </cell>
          <cell r="L1201">
            <v>3</v>
          </cell>
          <cell r="M1201" t="str">
            <v>A2105117</v>
          </cell>
          <cell r="N1201" t="str">
            <v>24284</v>
          </cell>
          <cell r="O1201" t="str">
            <v xml:space="preserve">1.4401/1.4404 TP316/316L </v>
          </cell>
          <cell r="P1201" t="str">
            <v>316L</v>
          </cell>
          <cell r="Q1201">
            <v>1.948</v>
          </cell>
          <cell r="R1201">
            <v>1.944</v>
          </cell>
          <cell r="S1201">
            <v>3.5000000000000003E-2</v>
          </cell>
          <cell r="T1201">
            <v>3.3950000000000001E-2</v>
          </cell>
          <cell r="U1201">
            <v>3.5749999999999997E-2</v>
          </cell>
          <cell r="V1201">
            <v>3.4849999999999999E-2</v>
          </cell>
          <cell r="W1201" t="str">
            <v>BRS</v>
          </cell>
          <cell r="X1201">
            <v>1861</v>
          </cell>
          <cell r="Y1201">
            <v>2</v>
          </cell>
          <cell r="Z1201">
            <v>477.66940451745381</v>
          </cell>
          <cell r="AA1201" t="str">
            <v>1.948X0.035-316L</v>
          </cell>
          <cell r="AB1201" t="str">
            <v>WAAF004950089B200132</v>
          </cell>
          <cell r="AC1201" t="str">
            <v>D2107063</v>
          </cell>
          <cell r="AD1201" t="str">
            <v>24284</v>
          </cell>
          <cell r="AE1201">
            <v>0.02</v>
          </cell>
          <cell r="AF1201">
            <v>0.93</v>
          </cell>
          <cell r="AG1201">
            <v>3.4000000000000002E-2</v>
          </cell>
          <cell r="AH1201">
            <v>1E-3</v>
          </cell>
          <cell r="AI1201">
            <v>0.47</v>
          </cell>
          <cell r="AJ1201">
            <v>17</v>
          </cell>
          <cell r="AK1201">
            <v>10.1</v>
          </cell>
          <cell r="AL1201">
            <v>3.2000000000000001E-2</v>
          </cell>
          <cell r="AM1201">
            <v>2.0299999999999998</v>
          </cell>
          <cell r="AN1201">
            <v>0</v>
          </cell>
          <cell r="AO1201">
            <v>0</v>
          </cell>
          <cell r="AP1201">
            <v>0</v>
          </cell>
          <cell r="AQ1201">
            <v>0</v>
          </cell>
          <cell r="AR1201">
            <v>0</v>
          </cell>
          <cell r="AS1201">
            <v>0</v>
          </cell>
          <cell r="AT1201">
            <v>287</v>
          </cell>
          <cell r="AU1201">
            <v>313</v>
          </cell>
          <cell r="AV1201">
            <v>623</v>
          </cell>
          <cell r="AW1201">
            <v>55</v>
          </cell>
          <cell r="AX1201">
            <v>79</v>
          </cell>
          <cell r="AY1201">
            <v>147</v>
          </cell>
          <cell r="AZ1201">
            <v>1.6075999999999999</v>
          </cell>
          <cell r="BA1201" t="str">
            <v>D2107063</v>
          </cell>
          <cell r="BB1201" t="str">
            <v>CONFORM</v>
          </cell>
          <cell r="BC1201" t="str">
            <v>CONFORM</v>
          </cell>
          <cell r="BD1201" t="str">
            <v>CONFORM</v>
          </cell>
          <cell r="BE1201" t="str">
            <v>CONFORM</v>
          </cell>
          <cell r="BF1201" t="str">
            <v>CONFORM</v>
          </cell>
        </row>
        <row r="1202">
          <cell r="A1202">
            <v>44389</v>
          </cell>
          <cell r="B1202" t="str">
            <v>D2107063-4</v>
          </cell>
          <cell r="C1202" t="str">
            <v>051/21</v>
          </cell>
          <cell r="D1202">
            <v>2</v>
          </cell>
          <cell r="E1202">
            <v>44383</v>
          </cell>
          <cell r="F1202" t="str">
            <v>DC</v>
          </cell>
          <cell r="G1202" t="str">
            <v>On Time</v>
          </cell>
          <cell r="H1202">
            <v>449</v>
          </cell>
          <cell r="I1202">
            <v>44354</v>
          </cell>
          <cell r="J1202" t="str">
            <v>ADTI</v>
          </cell>
          <cell r="K1202" t="str">
            <v>D2107063</v>
          </cell>
          <cell r="L1202">
            <v>4</v>
          </cell>
          <cell r="M1202" t="str">
            <v>A2105111</v>
          </cell>
          <cell r="N1202" t="str">
            <v>24284</v>
          </cell>
          <cell r="O1202" t="str">
            <v xml:space="preserve">1.4401/1.4404 TP316/316L </v>
          </cell>
          <cell r="P1202" t="str">
            <v>316L</v>
          </cell>
          <cell r="Q1202">
            <v>1.948</v>
          </cell>
          <cell r="R1202">
            <v>1.946</v>
          </cell>
          <cell r="S1202">
            <v>3.5000000000000003E-2</v>
          </cell>
          <cell r="T1202">
            <v>3.4099999999999998E-2</v>
          </cell>
          <cell r="U1202">
            <v>3.6049999999999999E-2</v>
          </cell>
          <cell r="V1202">
            <v>3.5074999999999995E-2</v>
          </cell>
          <cell r="W1202" t="str">
            <v>BRS</v>
          </cell>
          <cell r="X1202">
            <v>3505</v>
          </cell>
          <cell r="Y1202">
            <v>4</v>
          </cell>
          <cell r="Z1202">
            <v>449.82032854209444</v>
          </cell>
          <cell r="AA1202" t="str">
            <v>1.948X0.035-316L</v>
          </cell>
          <cell r="AB1202" t="str">
            <v>WAAF004950089B200132</v>
          </cell>
          <cell r="AC1202" t="str">
            <v>D2107063</v>
          </cell>
          <cell r="AD1202" t="str">
            <v>24284</v>
          </cell>
          <cell r="AE1202">
            <v>0.02</v>
          </cell>
          <cell r="AF1202">
            <v>0.93</v>
          </cell>
          <cell r="AG1202">
            <v>3.4000000000000002E-2</v>
          </cell>
          <cell r="AH1202">
            <v>1E-3</v>
          </cell>
          <cell r="AI1202">
            <v>0.47</v>
          </cell>
          <cell r="AJ1202">
            <v>17</v>
          </cell>
          <cell r="AK1202">
            <v>10.1</v>
          </cell>
          <cell r="AL1202">
            <v>3.2000000000000001E-2</v>
          </cell>
          <cell r="AM1202">
            <v>2.0299999999999998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  <cell r="AS1202">
            <v>0</v>
          </cell>
          <cell r="AT1202">
            <v>287</v>
          </cell>
          <cell r="AU1202">
            <v>313</v>
          </cell>
          <cell r="AV1202">
            <v>623</v>
          </cell>
          <cell r="AW1202">
            <v>55</v>
          </cell>
          <cell r="AX1202">
            <v>79</v>
          </cell>
          <cell r="AY1202">
            <v>147</v>
          </cell>
          <cell r="AZ1202">
            <v>1.6075999999999999</v>
          </cell>
          <cell r="BA1202" t="str">
            <v>D2107063</v>
          </cell>
          <cell r="BB1202" t="str">
            <v>CONFORM</v>
          </cell>
          <cell r="BC1202" t="str">
            <v>CONFORM</v>
          </cell>
          <cell r="BD1202" t="str">
            <v>CONFORM</v>
          </cell>
          <cell r="BE1202" t="str">
            <v>CONFORM</v>
          </cell>
          <cell r="BF1202" t="str">
            <v>CONFORM</v>
          </cell>
        </row>
        <row r="1203">
          <cell r="A1203">
            <v>44389</v>
          </cell>
          <cell r="B1203" t="str">
            <v>D2107064-1</v>
          </cell>
          <cell r="C1203" t="str">
            <v>051/21</v>
          </cell>
          <cell r="D1203">
            <v>2</v>
          </cell>
          <cell r="E1203">
            <v>44383</v>
          </cell>
          <cell r="F1203" t="str">
            <v>DC</v>
          </cell>
          <cell r="G1203" t="str">
            <v>On Time</v>
          </cell>
          <cell r="H1203">
            <v>449</v>
          </cell>
          <cell r="I1203">
            <v>44354</v>
          </cell>
          <cell r="J1203" t="str">
            <v>ADTI</v>
          </cell>
          <cell r="K1203" t="str">
            <v>D2107064</v>
          </cell>
          <cell r="L1203">
            <v>1</v>
          </cell>
          <cell r="M1203" t="str">
            <v>A2105115</v>
          </cell>
          <cell r="N1203" t="str">
            <v>24430</v>
          </cell>
          <cell r="O1203" t="str">
            <v xml:space="preserve">1.4401/1.4404 TP316/316L </v>
          </cell>
          <cell r="P1203" t="str">
            <v>316L</v>
          </cell>
          <cell r="Q1203">
            <v>1.948</v>
          </cell>
          <cell r="R1203">
            <v>1.946</v>
          </cell>
          <cell r="S1203">
            <v>3.5000000000000003E-2</v>
          </cell>
          <cell r="T1203">
            <v>3.3450000000000001E-2</v>
          </cell>
          <cell r="U1203">
            <v>3.5299999999999998E-2</v>
          </cell>
          <cell r="V1203">
            <v>3.4375000000000003E-2</v>
          </cell>
          <cell r="W1203" t="str">
            <v>BRS</v>
          </cell>
          <cell r="X1203">
            <v>1843</v>
          </cell>
          <cell r="Y1203">
            <v>2</v>
          </cell>
          <cell r="Z1203">
            <v>473.04928131416841</v>
          </cell>
          <cell r="AA1203" t="str">
            <v>1.948X0.035-316L</v>
          </cell>
          <cell r="AB1203" t="str">
            <v>WAAF004950089B200132</v>
          </cell>
          <cell r="AC1203" t="str">
            <v>D2107064</v>
          </cell>
          <cell r="AD1203" t="str">
            <v>24430</v>
          </cell>
          <cell r="AE1203">
            <v>5.5E-2</v>
          </cell>
          <cell r="AF1203">
            <v>0.9</v>
          </cell>
          <cell r="AG1203">
            <v>3.4000000000000002E-2</v>
          </cell>
          <cell r="AH1203">
            <v>1E-3</v>
          </cell>
          <cell r="AI1203">
            <v>0.51</v>
          </cell>
          <cell r="AJ1203">
            <v>17.3</v>
          </cell>
          <cell r="AK1203">
            <v>10</v>
          </cell>
          <cell r="AL1203">
            <v>3.2000000000000001E-2</v>
          </cell>
          <cell r="AM1203">
            <v>2.04</v>
          </cell>
          <cell r="AN1203">
            <v>0</v>
          </cell>
          <cell r="AO1203">
            <v>0</v>
          </cell>
          <cell r="AP1203">
            <v>0</v>
          </cell>
          <cell r="AQ1203">
            <v>0</v>
          </cell>
          <cell r="AR1203">
            <v>0</v>
          </cell>
          <cell r="AS1203">
            <v>0</v>
          </cell>
          <cell r="AT1203">
            <v>293</v>
          </cell>
          <cell r="AU1203">
            <v>318</v>
          </cell>
          <cell r="AV1203">
            <v>632</v>
          </cell>
          <cell r="AW1203">
            <v>55</v>
          </cell>
          <cell r="AX1203">
            <v>150</v>
          </cell>
          <cell r="AY1203">
            <v>150</v>
          </cell>
          <cell r="AZ1203">
            <v>1.6075999999999999</v>
          </cell>
          <cell r="BA1203" t="str">
            <v>D2107064</v>
          </cell>
          <cell r="BB1203" t="str">
            <v>CONFORM</v>
          </cell>
          <cell r="BC1203" t="str">
            <v>CONFORM</v>
          </cell>
          <cell r="BD1203" t="str">
            <v>CONFORM</v>
          </cell>
          <cell r="BE1203" t="str">
            <v>CONFORM</v>
          </cell>
          <cell r="BF1203" t="str">
            <v>CONFORM</v>
          </cell>
        </row>
        <row r="1204">
          <cell r="A1204">
            <v>44389</v>
          </cell>
          <cell r="B1204" t="str">
            <v>D2107065-1</v>
          </cell>
          <cell r="C1204" t="str">
            <v>051/21</v>
          </cell>
          <cell r="D1204">
            <v>3</v>
          </cell>
          <cell r="E1204">
            <v>44383</v>
          </cell>
          <cell r="F1204" t="str">
            <v>DC</v>
          </cell>
          <cell r="G1204" t="str">
            <v>On Time</v>
          </cell>
          <cell r="H1204">
            <v>449</v>
          </cell>
          <cell r="I1204">
            <v>44354</v>
          </cell>
          <cell r="J1204" t="str">
            <v>ADTI</v>
          </cell>
          <cell r="K1204" t="str">
            <v>D2107065</v>
          </cell>
          <cell r="L1204">
            <v>1</v>
          </cell>
          <cell r="M1204" t="str">
            <v>A2102003</v>
          </cell>
          <cell r="N1204" t="str">
            <v>0460343</v>
          </cell>
          <cell r="O1204" t="str">
            <v xml:space="preserve">1.4306 TP304L </v>
          </cell>
          <cell r="P1204" t="str">
            <v>304L</v>
          </cell>
          <cell r="Q1204">
            <v>3.1139999999999999</v>
          </cell>
          <cell r="R1204">
            <v>3.1120000000000001</v>
          </cell>
          <cell r="S1204">
            <v>4.7E-2</v>
          </cell>
          <cell r="T1204">
            <v>4.4999999999999998E-2</v>
          </cell>
          <cell r="U1204">
            <v>4.6699999999999998E-2</v>
          </cell>
          <cell r="V1204">
            <v>4.5850000000000002E-2</v>
          </cell>
          <cell r="W1204" t="str">
            <v>BRS</v>
          </cell>
          <cell r="X1204">
            <v>2337</v>
          </cell>
          <cell r="Y1204">
            <v>3</v>
          </cell>
          <cell r="Z1204">
            <v>250.16056518946692</v>
          </cell>
          <cell r="AA1204" t="str">
            <v>3.114X0.047-304L</v>
          </cell>
          <cell r="AB1204" t="str">
            <v>WAAC007910120B300030</v>
          </cell>
          <cell r="AC1204" t="str">
            <v>D2107065</v>
          </cell>
          <cell r="AD1204" t="str">
            <v>0460343</v>
          </cell>
          <cell r="AE1204">
            <v>2.3E-2</v>
          </cell>
          <cell r="AF1204">
            <v>1.68</v>
          </cell>
          <cell r="AG1204">
            <v>2.7E-2</v>
          </cell>
          <cell r="AH1204">
            <v>1E-3</v>
          </cell>
          <cell r="AI1204">
            <v>0.31</v>
          </cell>
          <cell r="AJ1204">
            <v>18.100000000000001</v>
          </cell>
          <cell r="AK1204">
            <v>8</v>
          </cell>
          <cell r="AL1204">
            <v>7.1999999999999995E-2</v>
          </cell>
          <cell r="AM1204">
            <v>0.28000000000000003</v>
          </cell>
          <cell r="AN1204">
            <v>0</v>
          </cell>
          <cell r="AO1204">
            <v>0</v>
          </cell>
          <cell r="AP1204">
            <v>0</v>
          </cell>
          <cell r="AQ1204">
            <v>0</v>
          </cell>
          <cell r="AR1204">
            <v>0.51</v>
          </cell>
          <cell r="AS1204">
            <v>0</v>
          </cell>
          <cell r="AT1204">
            <v>289</v>
          </cell>
          <cell r="AU1204">
            <v>324</v>
          </cell>
          <cell r="AV1204">
            <v>639</v>
          </cell>
          <cell r="AW1204">
            <v>58</v>
          </cell>
          <cell r="AX1204">
            <v>84</v>
          </cell>
          <cell r="AY1204">
            <v>162</v>
          </cell>
          <cell r="AZ1204">
            <v>1.4536</v>
          </cell>
          <cell r="BA1204" t="str">
            <v>D2107065</v>
          </cell>
          <cell r="BB1204" t="str">
            <v>CONFORM</v>
          </cell>
          <cell r="BC1204" t="str">
            <v>CONFORM</v>
          </cell>
          <cell r="BD1204" t="str">
            <v>CONFORM</v>
          </cell>
          <cell r="BE1204" t="str">
            <v>CONFORM</v>
          </cell>
          <cell r="BF1204" t="str">
            <v>CONFORM</v>
          </cell>
        </row>
        <row r="1205">
          <cell r="A1205">
            <v>44389</v>
          </cell>
          <cell r="B1205" t="str">
            <v>D2107065-2</v>
          </cell>
          <cell r="C1205" t="str">
            <v>051/21</v>
          </cell>
          <cell r="D1205">
            <v>3</v>
          </cell>
          <cell r="E1205">
            <v>44383</v>
          </cell>
          <cell r="F1205" t="str">
            <v>DC</v>
          </cell>
          <cell r="G1205" t="str">
            <v>On Time</v>
          </cell>
          <cell r="H1205">
            <v>449</v>
          </cell>
          <cell r="I1205">
            <v>44354</v>
          </cell>
          <cell r="J1205" t="str">
            <v>ADTI</v>
          </cell>
          <cell r="K1205" t="str">
            <v>D2107065</v>
          </cell>
          <cell r="L1205">
            <v>2</v>
          </cell>
          <cell r="M1205" t="str">
            <v>A2102003</v>
          </cell>
          <cell r="N1205" t="str">
            <v>0460343</v>
          </cell>
          <cell r="O1205" t="str">
            <v xml:space="preserve">1.4306 TP304L </v>
          </cell>
          <cell r="P1205" t="str">
            <v>304L</v>
          </cell>
          <cell r="Q1205">
            <v>3.1139999999999999</v>
          </cell>
          <cell r="R1205">
            <v>3.1114999999999999</v>
          </cell>
          <cell r="S1205">
            <v>4.7E-2</v>
          </cell>
          <cell r="T1205">
            <v>4.4850000000000001E-2</v>
          </cell>
          <cell r="U1205">
            <v>4.7350000000000003E-2</v>
          </cell>
          <cell r="V1205">
            <v>4.6100000000000002E-2</v>
          </cell>
          <cell r="W1205" t="str">
            <v>BRS</v>
          </cell>
          <cell r="X1205">
            <v>3461</v>
          </cell>
          <cell r="Y1205">
            <v>4</v>
          </cell>
          <cell r="Z1205">
            <v>277.85806037251126</v>
          </cell>
          <cell r="AA1205" t="str">
            <v>3.114X0.047-304L</v>
          </cell>
          <cell r="AB1205" t="str">
            <v>WAAC007910120B300030</v>
          </cell>
          <cell r="AC1205" t="str">
            <v>D2107065</v>
          </cell>
          <cell r="AD1205" t="str">
            <v>0460343</v>
          </cell>
          <cell r="AE1205">
            <v>2.3E-2</v>
          </cell>
          <cell r="AF1205">
            <v>1.68</v>
          </cell>
          <cell r="AG1205">
            <v>2.7E-2</v>
          </cell>
          <cell r="AH1205">
            <v>1E-3</v>
          </cell>
          <cell r="AI1205">
            <v>0.31</v>
          </cell>
          <cell r="AJ1205">
            <v>18.100000000000001</v>
          </cell>
          <cell r="AK1205">
            <v>8</v>
          </cell>
          <cell r="AL1205">
            <v>7.1999999999999995E-2</v>
          </cell>
          <cell r="AM1205">
            <v>0.28000000000000003</v>
          </cell>
          <cell r="AN1205">
            <v>0</v>
          </cell>
          <cell r="AO1205">
            <v>0</v>
          </cell>
          <cell r="AP1205">
            <v>0</v>
          </cell>
          <cell r="AQ1205">
            <v>0</v>
          </cell>
          <cell r="AR1205">
            <v>0.51</v>
          </cell>
          <cell r="AS1205">
            <v>0</v>
          </cell>
          <cell r="AT1205">
            <v>289</v>
          </cell>
          <cell r="AU1205">
            <v>324</v>
          </cell>
          <cell r="AV1205">
            <v>639</v>
          </cell>
          <cell r="AW1205">
            <v>58</v>
          </cell>
          <cell r="AX1205">
            <v>84</v>
          </cell>
          <cell r="AY1205">
            <v>162</v>
          </cell>
          <cell r="AZ1205">
            <v>1.4536</v>
          </cell>
          <cell r="BA1205" t="str">
            <v>D2107065</v>
          </cell>
          <cell r="BB1205" t="str">
            <v>CONFORM</v>
          </cell>
          <cell r="BC1205" t="str">
            <v>CONFORM</v>
          </cell>
          <cell r="BD1205" t="str">
            <v>CONFORM</v>
          </cell>
          <cell r="BE1205" t="str">
            <v>CONFORM</v>
          </cell>
          <cell r="BF1205" t="str">
            <v>CONFORM</v>
          </cell>
        </row>
        <row r="1206">
          <cell r="A1206">
            <v>44389</v>
          </cell>
          <cell r="B1206" t="str">
            <v>D2107066-1</v>
          </cell>
          <cell r="C1206" t="str">
            <v>051/21</v>
          </cell>
          <cell r="D1206">
            <v>4</v>
          </cell>
          <cell r="E1206">
            <v>44383</v>
          </cell>
          <cell r="F1206" t="str">
            <v>DC</v>
          </cell>
          <cell r="G1206" t="str">
            <v>On Time</v>
          </cell>
          <cell r="H1206">
            <v>449</v>
          </cell>
          <cell r="I1206">
            <v>44354</v>
          </cell>
          <cell r="J1206" t="str">
            <v>ADTI</v>
          </cell>
          <cell r="K1206" t="str">
            <v>D2107066</v>
          </cell>
          <cell r="L1206">
            <v>1</v>
          </cell>
          <cell r="M1206" t="str">
            <v>A2105221</v>
          </cell>
          <cell r="N1206" t="str">
            <v>0529904</v>
          </cell>
          <cell r="O1206" t="str">
            <v xml:space="preserve">1.4306 TP304L </v>
          </cell>
          <cell r="P1206" t="str">
            <v>304L</v>
          </cell>
          <cell r="Q1206">
            <v>3.1539999999999999</v>
          </cell>
          <cell r="R1206">
            <v>3.1555</v>
          </cell>
          <cell r="S1206">
            <v>3.5000000000000003E-2</v>
          </cell>
          <cell r="T1206">
            <v>3.3399999999999999E-2</v>
          </cell>
          <cell r="U1206">
            <v>3.5950000000000003E-2</v>
          </cell>
          <cell r="V1206">
            <v>3.4674999999999997E-2</v>
          </cell>
          <cell r="W1206" t="str">
            <v>BRS</v>
          </cell>
          <cell r="X1206">
            <v>5787</v>
          </cell>
          <cell r="Y1206">
            <v>4</v>
          </cell>
          <cell r="Z1206">
            <v>458.70323398858591</v>
          </cell>
          <cell r="AA1206" t="str">
            <v>3.154X0.035-304L</v>
          </cell>
          <cell r="AB1206" t="str">
            <v>WAAC008010090B300097</v>
          </cell>
          <cell r="AC1206" t="str">
            <v>D2107066</v>
          </cell>
          <cell r="AD1206" t="str">
            <v>0529904</v>
          </cell>
          <cell r="AE1206">
            <v>2.3E-2</v>
          </cell>
          <cell r="AF1206">
            <v>1.73</v>
          </cell>
          <cell r="AG1206">
            <v>2.9000000000000001E-2</v>
          </cell>
          <cell r="AH1206">
            <v>1E-3</v>
          </cell>
          <cell r="AI1206">
            <v>0.32</v>
          </cell>
          <cell r="AJ1206">
            <v>18.100000000000001</v>
          </cell>
          <cell r="AK1206">
            <v>8.1</v>
          </cell>
          <cell r="AL1206">
            <v>6.5000000000000002E-2</v>
          </cell>
          <cell r="AM1206">
            <v>0.21</v>
          </cell>
          <cell r="AN1206">
            <v>0</v>
          </cell>
          <cell r="AO1206">
            <v>0</v>
          </cell>
          <cell r="AP1206">
            <v>0</v>
          </cell>
          <cell r="AQ1206">
            <v>0</v>
          </cell>
          <cell r="AR1206">
            <v>0.18</v>
          </cell>
          <cell r="AS1206">
            <v>0</v>
          </cell>
          <cell r="AT1206">
            <v>273</v>
          </cell>
          <cell r="AU1206">
            <v>307</v>
          </cell>
          <cell r="AV1206">
            <v>613</v>
          </cell>
          <cell r="AW1206">
            <v>54</v>
          </cell>
          <cell r="AX1206">
            <v>80</v>
          </cell>
          <cell r="AY1206">
            <v>150</v>
          </cell>
          <cell r="AZ1206">
            <v>1.8527</v>
          </cell>
          <cell r="BA1206" t="str">
            <v>D2107066</v>
          </cell>
          <cell r="BB1206" t="str">
            <v>NOT CONFORM</v>
          </cell>
          <cell r="BC1206" t="str">
            <v>CONFORM</v>
          </cell>
          <cell r="BD1206" t="str">
            <v>CONFORM</v>
          </cell>
          <cell r="BE1206" t="str">
            <v>CONFORM</v>
          </cell>
          <cell r="BF1206" t="str">
            <v>CONFORM</v>
          </cell>
        </row>
        <row r="1207">
          <cell r="A1207">
            <v>44389</v>
          </cell>
          <cell r="B1207" t="str">
            <v>D2107067-1</v>
          </cell>
          <cell r="C1207" t="str">
            <v>051/21</v>
          </cell>
          <cell r="D1207">
            <v>4</v>
          </cell>
          <cell r="E1207">
            <v>44383</v>
          </cell>
          <cell r="F1207" t="str">
            <v>DC</v>
          </cell>
          <cell r="G1207" t="str">
            <v>On Time</v>
          </cell>
          <cell r="H1207">
            <v>449</v>
          </cell>
          <cell r="I1207">
            <v>44354</v>
          </cell>
          <cell r="J1207" t="str">
            <v>ADTI</v>
          </cell>
          <cell r="K1207" t="str">
            <v>D2107067</v>
          </cell>
          <cell r="L1207">
            <v>1</v>
          </cell>
          <cell r="M1207" t="str">
            <v>A2105222</v>
          </cell>
          <cell r="N1207" t="str">
            <v>0100079</v>
          </cell>
          <cell r="O1207" t="str">
            <v xml:space="preserve">1.4306 TP304L </v>
          </cell>
          <cell r="P1207" t="str">
            <v>304L</v>
          </cell>
          <cell r="Q1207">
            <v>3.1539999999999999</v>
          </cell>
          <cell r="R1207">
            <v>3.1555</v>
          </cell>
          <cell r="S1207">
            <v>3.5000000000000003E-2</v>
          </cell>
          <cell r="T1207">
            <v>3.5400000000000001E-2</v>
          </cell>
          <cell r="U1207">
            <v>3.635E-2</v>
          </cell>
          <cell r="V1207">
            <v>3.5875000000000004E-2</v>
          </cell>
          <cell r="W1207" t="str">
            <v>BRS</v>
          </cell>
          <cell r="X1207">
            <v>4414</v>
          </cell>
          <cell r="Y1207">
            <v>3</v>
          </cell>
          <cell r="Z1207">
            <v>466.49756922426548</v>
          </cell>
          <cell r="AA1207" t="str">
            <v>3.154X0.035-304L</v>
          </cell>
          <cell r="AB1207" t="str">
            <v>WAAC008010090B300097</v>
          </cell>
          <cell r="AC1207" t="str">
            <v>D2107067</v>
          </cell>
          <cell r="AD1207" t="str">
            <v>0100079</v>
          </cell>
          <cell r="AE1207">
            <v>1.7999999999999999E-2</v>
          </cell>
          <cell r="AF1207">
            <v>1.57</v>
          </cell>
          <cell r="AG1207">
            <v>3.2000000000000001E-2</v>
          </cell>
          <cell r="AH1207">
            <v>2E-3</v>
          </cell>
          <cell r="AI1207">
            <v>0.43</v>
          </cell>
          <cell r="AJ1207">
            <v>18.100000000000001</v>
          </cell>
          <cell r="AK1207">
            <v>8</v>
          </cell>
          <cell r="AL1207">
            <v>4.5999999999999999E-2</v>
          </cell>
          <cell r="AM1207">
            <v>2.1000000000000001E-2</v>
          </cell>
          <cell r="AN1207">
            <v>0</v>
          </cell>
          <cell r="AO1207">
            <v>0</v>
          </cell>
          <cell r="AP1207">
            <v>0</v>
          </cell>
          <cell r="AQ1207">
            <v>0</v>
          </cell>
          <cell r="AR1207">
            <v>0</v>
          </cell>
          <cell r="AS1207">
            <v>0</v>
          </cell>
          <cell r="AT1207">
            <v>274</v>
          </cell>
          <cell r="AU1207">
            <v>308</v>
          </cell>
          <cell r="AV1207">
            <v>649</v>
          </cell>
          <cell r="AW1207">
            <v>49</v>
          </cell>
          <cell r="AX1207">
            <v>81</v>
          </cell>
          <cell r="AY1207">
            <v>153</v>
          </cell>
          <cell r="AZ1207">
            <v>1.8527</v>
          </cell>
          <cell r="BA1207" t="str">
            <v>D2107067</v>
          </cell>
          <cell r="BB1207" t="str">
            <v>CONFORM</v>
          </cell>
          <cell r="BC1207" t="str">
            <v>CONFORM</v>
          </cell>
          <cell r="BD1207" t="str">
            <v>CONFORM</v>
          </cell>
          <cell r="BE1207" t="str">
            <v>CONFORM</v>
          </cell>
          <cell r="BF1207" t="str">
            <v>CONFORM</v>
          </cell>
        </row>
        <row r="1208">
          <cell r="A1208">
            <v>44389</v>
          </cell>
          <cell r="B1208" t="str">
            <v>D2107068-1</v>
          </cell>
          <cell r="C1208" t="str">
            <v>051/21</v>
          </cell>
          <cell r="D1208">
            <v>4</v>
          </cell>
          <cell r="E1208">
            <v>44383</v>
          </cell>
          <cell r="F1208" t="str">
            <v>DC</v>
          </cell>
          <cell r="G1208" t="str">
            <v>On Time</v>
          </cell>
          <cell r="H1208">
            <v>449</v>
          </cell>
          <cell r="I1208">
            <v>44354</v>
          </cell>
          <cell r="J1208" t="str">
            <v>ADTI</v>
          </cell>
          <cell r="K1208" t="str">
            <v>D2107068</v>
          </cell>
          <cell r="L1208">
            <v>1</v>
          </cell>
          <cell r="M1208" t="str">
            <v>A2105223</v>
          </cell>
          <cell r="N1208" t="str">
            <v>0529903</v>
          </cell>
          <cell r="O1208" t="str">
            <v xml:space="preserve">1.4306 TP304L </v>
          </cell>
          <cell r="P1208" t="str">
            <v>304L</v>
          </cell>
          <cell r="Q1208">
            <v>3.1539999999999999</v>
          </cell>
          <cell r="R1208">
            <v>3.1564999999999999</v>
          </cell>
          <cell r="S1208">
            <v>3.5000000000000003E-2</v>
          </cell>
          <cell r="T1208">
            <v>3.3349999999999998E-2</v>
          </cell>
          <cell r="U1208">
            <v>3.5950000000000003E-2</v>
          </cell>
          <cell r="V1208">
            <v>3.465E-2</v>
          </cell>
          <cell r="W1208" t="str">
            <v>BRS</v>
          </cell>
          <cell r="X1208">
            <v>4577</v>
          </cell>
          <cell r="Y1208">
            <v>4</v>
          </cell>
          <cell r="Z1208">
            <v>362.79327837666455</v>
          </cell>
          <cell r="AA1208" t="str">
            <v>3.154X0.035-304L</v>
          </cell>
          <cell r="AB1208" t="str">
            <v>WAAC008010090B300097</v>
          </cell>
          <cell r="AC1208" t="str">
            <v>D2107068</v>
          </cell>
          <cell r="AD1208" t="str">
            <v>0529903</v>
          </cell>
          <cell r="AE1208">
            <v>2.5999999999999999E-2</v>
          </cell>
          <cell r="AF1208">
            <v>1.72</v>
          </cell>
          <cell r="AG1208">
            <v>2.8000000000000001E-2</v>
          </cell>
          <cell r="AH1208">
            <v>1E-3</v>
          </cell>
          <cell r="AI1208">
            <v>0.33</v>
          </cell>
          <cell r="AJ1208">
            <v>18.100000000000001</v>
          </cell>
          <cell r="AK1208">
            <v>8</v>
          </cell>
          <cell r="AL1208">
            <v>6.0999999999999999E-2</v>
          </cell>
          <cell r="AM1208">
            <v>0.19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0.19</v>
          </cell>
          <cell r="AS1208">
            <v>0</v>
          </cell>
          <cell r="AT1208">
            <v>268</v>
          </cell>
          <cell r="AU1208">
            <v>301</v>
          </cell>
          <cell r="AV1208">
            <v>617</v>
          </cell>
          <cell r="AW1208">
            <v>57</v>
          </cell>
          <cell r="AX1208">
            <v>77</v>
          </cell>
          <cell r="AY1208">
            <v>141</v>
          </cell>
          <cell r="AZ1208">
            <v>1.8527</v>
          </cell>
          <cell r="BA1208" t="str">
            <v>D2107068</v>
          </cell>
          <cell r="BB1208" t="str">
            <v>CONFORM</v>
          </cell>
          <cell r="BC1208" t="str">
            <v>CONFORM</v>
          </cell>
          <cell r="BD1208" t="str">
            <v>CONFORM</v>
          </cell>
          <cell r="BE1208" t="str">
            <v>CONFORM</v>
          </cell>
          <cell r="BF1208" t="str">
            <v>CONFORM</v>
          </cell>
        </row>
        <row r="1209">
          <cell r="A1209">
            <v>44389</v>
          </cell>
          <cell r="B1209" t="str">
            <v>D2107068-2</v>
          </cell>
          <cell r="C1209" t="str">
            <v>051/21</v>
          </cell>
          <cell r="D1209">
            <v>4</v>
          </cell>
          <cell r="E1209">
            <v>44383</v>
          </cell>
          <cell r="F1209" t="str">
            <v>DC</v>
          </cell>
          <cell r="G1209" t="str">
            <v>On Time</v>
          </cell>
          <cell r="H1209">
            <v>449</v>
          </cell>
          <cell r="I1209">
            <v>44354</v>
          </cell>
          <cell r="J1209" t="str">
            <v>ADTI</v>
          </cell>
          <cell r="K1209" t="str">
            <v>D2107068</v>
          </cell>
          <cell r="L1209">
            <v>2</v>
          </cell>
          <cell r="M1209" t="str">
            <v>A2105223</v>
          </cell>
          <cell r="N1209" t="str">
            <v>0529903</v>
          </cell>
          <cell r="O1209" t="str">
            <v xml:space="preserve">1.4306 TP304L </v>
          </cell>
          <cell r="P1209" t="str">
            <v>304L</v>
          </cell>
          <cell r="Q1209">
            <v>3.1539999999999999</v>
          </cell>
          <cell r="R1209">
            <v>3.1560000000000001</v>
          </cell>
          <cell r="S1209">
            <v>3.5000000000000003E-2</v>
          </cell>
          <cell r="T1209">
            <v>3.3950000000000001E-2</v>
          </cell>
          <cell r="U1209">
            <v>3.6799999999999999E-2</v>
          </cell>
          <cell r="V1209">
            <v>3.5375000000000004E-2</v>
          </cell>
          <cell r="W1209" t="str">
            <v>BRS</v>
          </cell>
          <cell r="X1209">
            <v>4608</v>
          </cell>
          <cell r="Y1209">
            <v>4</v>
          </cell>
          <cell r="Z1209">
            <v>365.25047558655677</v>
          </cell>
          <cell r="AA1209" t="str">
            <v>3.154X0.035-304L</v>
          </cell>
          <cell r="AB1209" t="str">
            <v>WAAC008010090B300097</v>
          </cell>
          <cell r="AC1209" t="str">
            <v>D2107068</v>
          </cell>
          <cell r="AD1209" t="str">
            <v>0529903</v>
          </cell>
          <cell r="AE1209">
            <v>2.5999999999999999E-2</v>
          </cell>
          <cell r="AF1209">
            <v>1.72</v>
          </cell>
          <cell r="AG1209">
            <v>2.8000000000000001E-2</v>
          </cell>
          <cell r="AH1209">
            <v>1E-3</v>
          </cell>
          <cell r="AI1209">
            <v>0.33</v>
          </cell>
          <cell r="AJ1209">
            <v>18.100000000000001</v>
          </cell>
          <cell r="AK1209">
            <v>8</v>
          </cell>
          <cell r="AL1209">
            <v>6.0999999999999999E-2</v>
          </cell>
          <cell r="AM1209">
            <v>0.19</v>
          </cell>
          <cell r="AN1209">
            <v>0</v>
          </cell>
          <cell r="AO1209">
            <v>0</v>
          </cell>
          <cell r="AP1209">
            <v>0</v>
          </cell>
          <cell r="AQ1209">
            <v>0</v>
          </cell>
          <cell r="AR1209">
            <v>0.19</v>
          </cell>
          <cell r="AS1209">
            <v>0</v>
          </cell>
          <cell r="AT1209">
            <v>268</v>
          </cell>
          <cell r="AU1209">
            <v>301</v>
          </cell>
          <cell r="AV1209">
            <v>617</v>
          </cell>
          <cell r="AW1209">
            <v>57</v>
          </cell>
          <cell r="AX1209">
            <v>77</v>
          </cell>
          <cell r="AY1209">
            <v>141</v>
          </cell>
          <cell r="AZ1209">
            <v>1.8527</v>
          </cell>
          <cell r="BA1209" t="str">
            <v>D2107068</v>
          </cell>
          <cell r="BB1209" t="str">
            <v>CONFORM</v>
          </cell>
          <cell r="BC1209" t="str">
            <v>CONFORM</v>
          </cell>
          <cell r="BD1209" t="str">
            <v>CONFORM</v>
          </cell>
          <cell r="BE1209" t="str">
            <v>CONFORM</v>
          </cell>
          <cell r="BF1209" t="str">
            <v>CONFORM</v>
          </cell>
        </row>
        <row r="1210">
          <cell r="A1210">
            <v>44393</v>
          </cell>
          <cell r="B1210" t="str">
            <v>D2107114-1</v>
          </cell>
          <cell r="C1210" t="str">
            <v>055/21</v>
          </cell>
          <cell r="D1210">
            <v>1</v>
          </cell>
          <cell r="E1210">
            <v>44393</v>
          </cell>
          <cell r="F1210" t="str">
            <v>DC</v>
          </cell>
          <cell r="G1210" t="str">
            <v>On Time</v>
          </cell>
          <cell r="H1210">
            <v>481</v>
          </cell>
          <cell r="I1210">
            <v>44363</v>
          </cell>
          <cell r="J1210" t="str">
            <v>ADTI</v>
          </cell>
          <cell r="K1210" t="str">
            <v>D2107114</v>
          </cell>
          <cell r="L1210">
            <v>1</v>
          </cell>
          <cell r="M1210" t="str">
            <v>A2105225</v>
          </cell>
          <cell r="N1210" t="str">
            <v>0100079</v>
          </cell>
          <cell r="O1210" t="str">
            <v xml:space="preserve">1.4306 TP304L </v>
          </cell>
          <cell r="P1210" t="str">
            <v>304L</v>
          </cell>
          <cell r="Q1210">
            <v>3.1539999999999999</v>
          </cell>
          <cell r="R1210">
            <v>3.157</v>
          </cell>
          <cell r="S1210">
            <v>3.5000000000000003E-2</v>
          </cell>
          <cell r="T1210">
            <v>3.5049999999999998E-2</v>
          </cell>
          <cell r="U1210">
            <v>3.7100000000000001E-2</v>
          </cell>
          <cell r="V1210">
            <v>3.6074999999999996E-2</v>
          </cell>
          <cell r="W1210" t="str">
            <v>BRS</v>
          </cell>
          <cell r="X1210">
            <v>4306</v>
          </cell>
          <cell r="Y1210">
            <v>3</v>
          </cell>
          <cell r="Z1210">
            <v>455.08349186218555</v>
          </cell>
          <cell r="AA1210" t="str">
            <v>3.154X0.035-304L</v>
          </cell>
          <cell r="AB1210" t="str">
            <v>WAAC008010090B300097</v>
          </cell>
          <cell r="AC1210" t="str">
            <v>D2107114</v>
          </cell>
          <cell r="AD1210" t="str">
            <v>0100079</v>
          </cell>
          <cell r="AE1210">
            <v>1.7999999999999999E-2</v>
          </cell>
          <cell r="AF1210">
            <v>1.57</v>
          </cell>
          <cell r="AG1210">
            <v>3.2000000000000001E-2</v>
          </cell>
          <cell r="AH1210">
            <v>2E-3</v>
          </cell>
          <cell r="AI1210">
            <v>0.43</v>
          </cell>
          <cell r="AJ1210">
            <v>18.100000000000001</v>
          </cell>
          <cell r="AK1210">
            <v>8</v>
          </cell>
          <cell r="AL1210">
            <v>4.5999999999999999E-2</v>
          </cell>
          <cell r="AM1210">
            <v>2.1000000000000001E-2</v>
          </cell>
          <cell r="AN1210">
            <v>0</v>
          </cell>
          <cell r="AO1210">
            <v>0</v>
          </cell>
          <cell r="AP1210">
            <v>0</v>
          </cell>
          <cell r="AQ1210">
            <v>0</v>
          </cell>
          <cell r="AR1210">
            <v>0</v>
          </cell>
          <cell r="AS1210">
            <v>0</v>
          </cell>
          <cell r="AT1210">
            <v>274</v>
          </cell>
          <cell r="AU1210">
            <v>308</v>
          </cell>
          <cell r="AV1210">
            <v>649</v>
          </cell>
          <cell r="AW1210">
            <v>49</v>
          </cell>
          <cell r="AX1210">
            <v>81</v>
          </cell>
          <cell r="AY1210">
            <v>153</v>
          </cell>
          <cell r="AZ1210">
            <v>1.8487</v>
          </cell>
          <cell r="BA1210" t="str">
            <v>D2107114</v>
          </cell>
          <cell r="BB1210" t="str">
            <v>CONFORM</v>
          </cell>
          <cell r="BC1210" t="str">
            <v>CONFORM</v>
          </cell>
          <cell r="BD1210" t="str">
            <v>CONFORM</v>
          </cell>
          <cell r="BE1210" t="str">
            <v>CONFORM</v>
          </cell>
          <cell r="BF1210" t="str">
            <v>CONFORM</v>
          </cell>
        </row>
        <row r="1211">
          <cell r="A1211">
            <v>44393</v>
          </cell>
          <cell r="B1211" t="str">
            <v>D2107115-1</v>
          </cell>
          <cell r="C1211" t="str">
            <v>055/21</v>
          </cell>
          <cell r="D1211">
            <v>2</v>
          </cell>
          <cell r="E1211">
            <v>44393</v>
          </cell>
          <cell r="F1211" t="str">
            <v>DC</v>
          </cell>
          <cell r="G1211" t="str">
            <v>On Time</v>
          </cell>
          <cell r="H1211">
            <v>481</v>
          </cell>
          <cell r="I1211">
            <v>44363</v>
          </cell>
          <cell r="J1211" t="str">
            <v>ADTI</v>
          </cell>
          <cell r="K1211" t="str">
            <v>D2107115</v>
          </cell>
          <cell r="L1211">
            <v>1</v>
          </cell>
          <cell r="M1211" t="str">
            <v>A2106018</v>
          </cell>
          <cell r="N1211" t="str">
            <v>0460137</v>
          </cell>
          <cell r="O1211" t="str">
            <v xml:space="preserve">1.4306 TP304L </v>
          </cell>
          <cell r="P1211" t="str">
            <v>304L</v>
          </cell>
          <cell r="Q1211">
            <v>4.6379999999999999</v>
          </cell>
          <cell r="R1211">
            <v>4.6375000000000002</v>
          </cell>
          <cell r="S1211">
            <v>6.3E-2</v>
          </cell>
          <cell r="T1211">
            <v>5.8049999999999997E-2</v>
          </cell>
          <cell r="U1211">
            <v>6.0249999999999998E-2</v>
          </cell>
          <cell r="V1211">
            <v>5.9149999999999994E-2</v>
          </cell>
          <cell r="W1211" t="str">
            <v>BRS</v>
          </cell>
          <cell r="X1211">
            <v>3911</v>
          </cell>
          <cell r="Y1211">
            <v>2</v>
          </cell>
          <cell r="Z1211">
            <v>421.62570073307461</v>
          </cell>
          <cell r="AA1211" t="str">
            <v>4.638X0.063-304L</v>
          </cell>
          <cell r="AB1211" t="str">
            <v>WAAC006790160B300130</v>
          </cell>
          <cell r="AC1211" t="str">
            <v>D2107115</v>
          </cell>
          <cell r="AD1211" t="str">
            <v>0460137</v>
          </cell>
          <cell r="AE1211">
            <v>2.4E-2</v>
          </cell>
          <cell r="AF1211">
            <v>1.64</v>
          </cell>
          <cell r="AG1211">
            <v>3.1E-2</v>
          </cell>
          <cell r="AH1211">
            <v>1E-3</v>
          </cell>
          <cell r="AI1211">
            <v>0.32</v>
          </cell>
          <cell r="AJ1211">
            <v>18</v>
          </cell>
          <cell r="AK1211">
            <v>8.1</v>
          </cell>
          <cell r="AL1211">
            <v>7.0000000000000007E-2</v>
          </cell>
          <cell r="AM1211">
            <v>0.33</v>
          </cell>
          <cell r="AN1211">
            <v>0</v>
          </cell>
          <cell r="AO1211">
            <v>0</v>
          </cell>
          <cell r="AP1211">
            <v>0</v>
          </cell>
          <cell r="AQ1211">
            <v>0</v>
          </cell>
          <cell r="AR1211">
            <v>0.39</v>
          </cell>
          <cell r="AS1211">
            <v>0</v>
          </cell>
          <cell r="AT1211">
            <v>266</v>
          </cell>
          <cell r="AU1211">
            <v>297</v>
          </cell>
          <cell r="AV1211">
            <v>302</v>
          </cell>
          <cell r="AW1211">
            <v>60</v>
          </cell>
          <cell r="AX1211">
            <v>79</v>
          </cell>
          <cell r="AY1211">
            <v>147</v>
          </cell>
          <cell r="AZ1211">
            <v>1.7918000000000001</v>
          </cell>
          <cell r="BA1211" t="str">
            <v>D2107115</v>
          </cell>
          <cell r="BB1211" t="str">
            <v>CONFORM</v>
          </cell>
          <cell r="BC1211" t="str">
            <v>CONFORM</v>
          </cell>
          <cell r="BD1211" t="str">
            <v>CONFORM</v>
          </cell>
          <cell r="BE1211" t="str">
            <v>CONFORM</v>
          </cell>
          <cell r="BF1211" t="str">
            <v>CONFORM</v>
          </cell>
        </row>
        <row r="1212">
          <cell r="A1212">
            <v>44393</v>
          </cell>
          <cell r="B1212" t="str">
            <v>D2107115-2</v>
          </cell>
          <cell r="C1212" t="str">
            <v>055/21</v>
          </cell>
          <cell r="D1212">
            <v>2</v>
          </cell>
          <cell r="E1212">
            <v>44393</v>
          </cell>
          <cell r="F1212" t="str">
            <v>DC</v>
          </cell>
          <cell r="G1212" t="str">
            <v>On Time</v>
          </cell>
          <cell r="H1212">
            <v>481</v>
          </cell>
          <cell r="I1212">
            <v>44363</v>
          </cell>
          <cell r="J1212" t="str">
            <v>ADTI</v>
          </cell>
          <cell r="K1212" t="str">
            <v>D2107115</v>
          </cell>
          <cell r="L1212">
            <v>2</v>
          </cell>
          <cell r="M1212" t="str">
            <v>A2106020</v>
          </cell>
          <cell r="N1212" t="str">
            <v>0460137</v>
          </cell>
          <cell r="O1212" t="str">
            <v xml:space="preserve">1.4306 TP304L </v>
          </cell>
          <cell r="P1212" t="str">
            <v>304L</v>
          </cell>
          <cell r="Q1212">
            <v>4.6379999999999999</v>
          </cell>
          <cell r="R1212">
            <v>4.6280000000000001</v>
          </cell>
          <cell r="S1212">
            <v>6.3E-2</v>
          </cell>
          <cell r="T1212">
            <v>5.8749999999999997E-2</v>
          </cell>
          <cell r="U1212">
            <v>6.1650000000000003E-2</v>
          </cell>
          <cell r="V1212">
            <v>6.0200000000000004E-2</v>
          </cell>
          <cell r="W1212" t="str">
            <v>BRS</v>
          </cell>
          <cell r="X1212">
            <v>4339</v>
          </cell>
          <cell r="Y1212">
            <v>2</v>
          </cell>
          <cell r="Z1212">
            <v>467.76627856834841</v>
          </cell>
          <cell r="AA1212" t="str">
            <v>4.638X0.063-304L</v>
          </cell>
          <cell r="AB1212" t="str">
            <v>WAAC006790160B300130</v>
          </cell>
          <cell r="AC1212" t="str">
            <v>D2107115</v>
          </cell>
          <cell r="AD1212" t="str">
            <v>0460137</v>
          </cell>
          <cell r="AE1212">
            <v>2.4E-2</v>
          </cell>
          <cell r="AF1212">
            <v>1.64</v>
          </cell>
          <cell r="AG1212">
            <v>3.1E-2</v>
          </cell>
          <cell r="AH1212">
            <v>1E-3</v>
          </cell>
          <cell r="AI1212">
            <v>0.32</v>
          </cell>
          <cell r="AJ1212">
            <v>18</v>
          </cell>
          <cell r="AK1212">
            <v>8.1</v>
          </cell>
          <cell r="AL1212">
            <v>7.0000000000000007E-2</v>
          </cell>
          <cell r="AM1212">
            <v>0.33</v>
          </cell>
          <cell r="AN1212">
            <v>0</v>
          </cell>
          <cell r="AO1212">
            <v>0</v>
          </cell>
          <cell r="AP1212">
            <v>0</v>
          </cell>
          <cell r="AQ1212">
            <v>0</v>
          </cell>
          <cell r="AR1212">
            <v>0.39</v>
          </cell>
          <cell r="AS1212">
            <v>0</v>
          </cell>
          <cell r="AT1212">
            <v>266</v>
          </cell>
          <cell r="AU1212">
            <v>297</v>
          </cell>
          <cell r="AV1212">
            <v>302</v>
          </cell>
          <cell r="AW1212">
            <v>60</v>
          </cell>
          <cell r="AX1212">
            <v>79</v>
          </cell>
          <cell r="AY1212">
            <v>147</v>
          </cell>
          <cell r="AZ1212">
            <v>1.7918000000000001</v>
          </cell>
          <cell r="BA1212" t="str">
            <v>D2107115</v>
          </cell>
          <cell r="BB1212" t="str">
            <v>CONFORM</v>
          </cell>
          <cell r="BC1212" t="str">
            <v>CONFORM</v>
          </cell>
          <cell r="BD1212" t="str">
            <v>CONFORM</v>
          </cell>
          <cell r="BE1212" t="str">
            <v>CONFORM</v>
          </cell>
          <cell r="BF1212" t="str">
            <v>CONFORM</v>
          </cell>
        </row>
        <row r="1213">
          <cell r="A1213">
            <v>44393</v>
          </cell>
          <cell r="B1213" t="str">
            <v>D2107115-3</v>
          </cell>
          <cell r="C1213" t="str">
            <v>055/21</v>
          </cell>
          <cell r="D1213">
            <v>2</v>
          </cell>
          <cell r="E1213">
            <v>44393</v>
          </cell>
          <cell r="F1213" t="str">
            <v>DC</v>
          </cell>
          <cell r="G1213" t="str">
            <v>On Time</v>
          </cell>
          <cell r="H1213">
            <v>481</v>
          </cell>
          <cell r="I1213">
            <v>44363</v>
          </cell>
          <cell r="J1213" t="str">
            <v>ADTI</v>
          </cell>
          <cell r="K1213" t="str">
            <v>D2107115</v>
          </cell>
          <cell r="L1213">
            <v>3</v>
          </cell>
          <cell r="M1213" t="str">
            <v>A2106020</v>
          </cell>
          <cell r="N1213" t="str">
            <v>0460137</v>
          </cell>
          <cell r="O1213" t="str">
            <v xml:space="preserve">1.4306 TP304L </v>
          </cell>
          <cell r="P1213" t="str">
            <v>304L</v>
          </cell>
          <cell r="Q1213">
            <v>4.6379999999999999</v>
          </cell>
          <cell r="R1213">
            <v>4.6429999999999998</v>
          </cell>
          <cell r="S1213">
            <v>6.3E-2</v>
          </cell>
          <cell r="T1213">
            <v>6.2649999999999997E-2</v>
          </cell>
          <cell r="U1213">
            <v>6.1400000000000003E-2</v>
          </cell>
          <cell r="V1213">
            <v>6.2024999999999997E-2</v>
          </cell>
          <cell r="W1213" t="str">
            <v>BRS</v>
          </cell>
          <cell r="X1213">
            <v>4361</v>
          </cell>
          <cell r="Y1213">
            <v>2</v>
          </cell>
          <cell r="Z1213">
            <v>470.1379905131522</v>
          </cell>
          <cell r="AA1213" t="str">
            <v>4.638X0.063-304L</v>
          </cell>
          <cell r="AB1213" t="str">
            <v>WAAC006790160B300130</v>
          </cell>
          <cell r="AC1213" t="str">
            <v>D2107115</v>
          </cell>
          <cell r="AD1213" t="str">
            <v>0460137</v>
          </cell>
          <cell r="AE1213">
            <v>2.4E-2</v>
          </cell>
          <cell r="AF1213">
            <v>1.64</v>
          </cell>
          <cell r="AG1213">
            <v>3.1E-2</v>
          </cell>
          <cell r="AH1213">
            <v>1E-3</v>
          </cell>
          <cell r="AI1213">
            <v>0.32</v>
          </cell>
          <cell r="AJ1213">
            <v>18</v>
          </cell>
          <cell r="AK1213">
            <v>8.1</v>
          </cell>
          <cell r="AL1213">
            <v>7.0000000000000007E-2</v>
          </cell>
          <cell r="AM1213">
            <v>0.33</v>
          </cell>
          <cell r="AN1213">
            <v>0</v>
          </cell>
          <cell r="AO1213">
            <v>0</v>
          </cell>
          <cell r="AP1213">
            <v>0</v>
          </cell>
          <cell r="AQ1213">
            <v>0</v>
          </cell>
          <cell r="AR1213">
            <v>0.39</v>
          </cell>
          <cell r="AS1213">
            <v>0</v>
          </cell>
          <cell r="AT1213">
            <v>266</v>
          </cell>
          <cell r="AU1213">
            <v>297</v>
          </cell>
          <cell r="AV1213">
            <v>302</v>
          </cell>
          <cell r="AW1213">
            <v>60</v>
          </cell>
          <cell r="AX1213">
            <v>79</v>
          </cell>
          <cell r="AY1213">
            <v>147</v>
          </cell>
          <cell r="AZ1213">
            <v>1.7918000000000001</v>
          </cell>
          <cell r="BA1213" t="str">
            <v>D2107115</v>
          </cell>
          <cell r="BB1213" t="str">
            <v>CONFORM</v>
          </cell>
          <cell r="BC1213" t="str">
            <v>CONFORM</v>
          </cell>
          <cell r="BD1213" t="str">
            <v>CONFORM</v>
          </cell>
          <cell r="BE1213" t="str">
            <v>CONFORM</v>
          </cell>
          <cell r="BF1213" t="str">
            <v>CONFORM</v>
          </cell>
        </row>
        <row r="1214">
          <cell r="A1214">
            <v>44393</v>
          </cell>
          <cell r="B1214" t="str">
            <v>D2107115-4</v>
          </cell>
          <cell r="C1214" t="str">
            <v>055/21</v>
          </cell>
          <cell r="D1214">
            <v>2</v>
          </cell>
          <cell r="E1214">
            <v>44393</v>
          </cell>
          <cell r="F1214" t="str">
            <v>DC</v>
          </cell>
          <cell r="G1214" t="str">
            <v>On Time</v>
          </cell>
          <cell r="H1214">
            <v>481</v>
          </cell>
          <cell r="I1214">
            <v>44363</v>
          </cell>
          <cell r="J1214" t="str">
            <v>ADTI</v>
          </cell>
          <cell r="K1214" t="str">
            <v>D2107115</v>
          </cell>
          <cell r="L1214">
            <v>4</v>
          </cell>
          <cell r="M1214" t="str">
            <v>A2106020</v>
          </cell>
          <cell r="N1214" t="str">
            <v>0460137</v>
          </cell>
          <cell r="O1214" t="str">
            <v xml:space="preserve">1.4306 TP304L </v>
          </cell>
          <cell r="P1214" t="str">
            <v>304L</v>
          </cell>
          <cell r="Q1214">
            <v>4.6379999999999999</v>
          </cell>
          <cell r="R1214">
            <v>4.6355000000000004</v>
          </cell>
          <cell r="S1214">
            <v>6.3E-2</v>
          </cell>
          <cell r="T1214">
            <v>6.4049999999999996E-2</v>
          </cell>
          <cell r="U1214">
            <v>6.2050000000000001E-2</v>
          </cell>
          <cell r="V1214">
            <v>6.3049999999999995E-2</v>
          </cell>
          <cell r="W1214" t="str">
            <v>BRS</v>
          </cell>
          <cell r="X1214">
            <v>4356</v>
          </cell>
          <cell r="Y1214">
            <v>2</v>
          </cell>
          <cell r="Z1214">
            <v>469.59896507115138</v>
          </cell>
          <cell r="AA1214" t="str">
            <v>4.638X0.063-304L</v>
          </cell>
          <cell r="AB1214" t="str">
            <v>WAAC006790160B300130</v>
          </cell>
          <cell r="AC1214" t="str">
            <v>D2107115</v>
          </cell>
          <cell r="AD1214" t="str">
            <v>0460137</v>
          </cell>
          <cell r="AE1214">
            <v>2.4E-2</v>
          </cell>
          <cell r="AF1214">
            <v>1.64</v>
          </cell>
          <cell r="AG1214">
            <v>3.1E-2</v>
          </cell>
          <cell r="AH1214">
            <v>1E-3</v>
          </cell>
          <cell r="AI1214">
            <v>0.32</v>
          </cell>
          <cell r="AJ1214">
            <v>18</v>
          </cell>
          <cell r="AK1214">
            <v>8.1</v>
          </cell>
          <cell r="AL1214">
            <v>7.0000000000000007E-2</v>
          </cell>
          <cell r="AM1214">
            <v>0.33</v>
          </cell>
          <cell r="AN1214">
            <v>0</v>
          </cell>
          <cell r="AO1214">
            <v>0</v>
          </cell>
          <cell r="AP1214">
            <v>0</v>
          </cell>
          <cell r="AQ1214">
            <v>0</v>
          </cell>
          <cell r="AR1214">
            <v>0.39</v>
          </cell>
          <cell r="AS1214">
            <v>0</v>
          </cell>
          <cell r="AT1214">
            <v>266</v>
          </cell>
          <cell r="AU1214">
            <v>297</v>
          </cell>
          <cell r="AV1214">
            <v>302</v>
          </cell>
          <cell r="AW1214">
            <v>60</v>
          </cell>
          <cell r="AX1214">
            <v>79</v>
          </cell>
          <cell r="AY1214">
            <v>147</v>
          </cell>
          <cell r="AZ1214">
            <v>1.7918000000000001</v>
          </cell>
          <cell r="BA1214" t="str">
            <v>D2107115</v>
          </cell>
          <cell r="BB1214" t="str">
            <v>CONFORM</v>
          </cell>
          <cell r="BC1214" t="str">
            <v>CONFORM</v>
          </cell>
          <cell r="BD1214" t="str">
            <v>CONFORM</v>
          </cell>
          <cell r="BE1214" t="str">
            <v>CONFORM</v>
          </cell>
          <cell r="BF1214" t="str">
            <v>CONFORM</v>
          </cell>
        </row>
        <row r="1215">
          <cell r="A1215">
            <v>44393</v>
          </cell>
          <cell r="B1215" t="str">
            <v>D2107115-5</v>
          </cell>
          <cell r="C1215" t="str">
            <v>055/21</v>
          </cell>
          <cell r="D1215">
            <v>2</v>
          </cell>
          <cell r="E1215">
            <v>44393</v>
          </cell>
          <cell r="F1215" t="str">
            <v>DC</v>
          </cell>
          <cell r="G1215" t="str">
            <v>On Time</v>
          </cell>
          <cell r="H1215">
            <v>481</v>
          </cell>
          <cell r="I1215">
            <v>44363</v>
          </cell>
          <cell r="J1215" t="str">
            <v>ADTI</v>
          </cell>
          <cell r="K1215" t="str">
            <v>D2107115</v>
          </cell>
          <cell r="L1215">
            <v>5</v>
          </cell>
          <cell r="M1215" t="str">
            <v>A2106020</v>
          </cell>
          <cell r="N1215" t="str">
            <v>0460137</v>
          </cell>
          <cell r="O1215" t="str">
            <v xml:space="preserve">1.4306 TP304L </v>
          </cell>
          <cell r="P1215" t="str">
            <v>304L</v>
          </cell>
          <cell r="Q1215">
            <v>4.6379999999999999</v>
          </cell>
          <cell r="R1215">
            <v>4.6369999999999996</v>
          </cell>
          <cell r="S1215">
            <v>6.3E-2</v>
          </cell>
          <cell r="T1215">
            <v>5.8250000000000003E-2</v>
          </cell>
          <cell r="U1215">
            <v>0.06</v>
          </cell>
          <cell r="V1215">
            <v>5.9124999999999997E-2</v>
          </cell>
          <cell r="W1215" t="str">
            <v>BRS</v>
          </cell>
          <cell r="X1215">
            <v>4361</v>
          </cell>
          <cell r="Y1215">
            <v>2</v>
          </cell>
          <cell r="Z1215">
            <v>470.1379905131522</v>
          </cell>
          <cell r="AA1215" t="str">
            <v>4.638X0.063-304L</v>
          </cell>
          <cell r="AB1215" t="str">
            <v>WAAC006790160B300130</v>
          </cell>
          <cell r="AC1215" t="str">
            <v>D2107115</v>
          </cell>
          <cell r="AD1215" t="str">
            <v>0460137</v>
          </cell>
          <cell r="AE1215">
            <v>2.4E-2</v>
          </cell>
          <cell r="AF1215">
            <v>1.64</v>
          </cell>
          <cell r="AG1215">
            <v>3.1E-2</v>
          </cell>
          <cell r="AH1215">
            <v>1E-3</v>
          </cell>
          <cell r="AI1215">
            <v>0.32</v>
          </cell>
          <cell r="AJ1215">
            <v>18</v>
          </cell>
          <cell r="AK1215">
            <v>8.1</v>
          </cell>
          <cell r="AL1215">
            <v>7.0000000000000007E-2</v>
          </cell>
          <cell r="AM1215">
            <v>0.33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0.39</v>
          </cell>
          <cell r="AS1215">
            <v>0</v>
          </cell>
          <cell r="AT1215">
            <v>266</v>
          </cell>
          <cell r="AU1215">
            <v>297</v>
          </cell>
          <cell r="AV1215">
            <v>302</v>
          </cell>
          <cell r="AW1215">
            <v>60</v>
          </cell>
          <cell r="AX1215">
            <v>79</v>
          </cell>
          <cell r="AY1215">
            <v>147</v>
          </cell>
          <cell r="AZ1215">
            <v>1.7918000000000001</v>
          </cell>
          <cell r="BA1215" t="str">
            <v>D2107115</v>
          </cell>
          <cell r="BB1215" t="str">
            <v>CONFORM</v>
          </cell>
          <cell r="BC1215" t="str">
            <v>CONFORM</v>
          </cell>
          <cell r="BD1215" t="str">
            <v>CONFORM</v>
          </cell>
          <cell r="BE1215" t="str">
            <v>CONFORM</v>
          </cell>
          <cell r="BF1215" t="str">
            <v>CONFORM</v>
          </cell>
        </row>
        <row r="1216">
          <cell r="A1216">
            <v>44393</v>
          </cell>
          <cell r="B1216" t="str">
            <v>D2107115-6</v>
          </cell>
          <cell r="C1216" t="str">
            <v>055/21</v>
          </cell>
          <cell r="D1216">
            <v>2</v>
          </cell>
          <cell r="E1216">
            <v>44393</v>
          </cell>
          <cell r="F1216" t="str">
            <v>DC</v>
          </cell>
          <cell r="G1216" t="str">
            <v>On Time</v>
          </cell>
          <cell r="H1216">
            <v>481</v>
          </cell>
          <cell r="I1216">
            <v>44363</v>
          </cell>
          <cell r="J1216" t="str">
            <v>ADTI</v>
          </cell>
          <cell r="K1216" t="str">
            <v>D2107115</v>
          </cell>
          <cell r="L1216">
            <v>6</v>
          </cell>
          <cell r="M1216" t="str">
            <v>A2106020</v>
          </cell>
          <cell r="N1216" t="str">
            <v>0460137</v>
          </cell>
          <cell r="O1216" t="str">
            <v xml:space="preserve">1.4306 TP304L </v>
          </cell>
          <cell r="P1216" t="str">
            <v>304L</v>
          </cell>
          <cell r="Q1216">
            <v>4.6379999999999999</v>
          </cell>
          <cell r="R1216">
            <v>4.6384999999999996</v>
          </cell>
          <cell r="S1216">
            <v>6.3E-2</v>
          </cell>
          <cell r="T1216">
            <v>6.1800000000000001E-2</v>
          </cell>
          <cell r="U1216">
            <v>6.0949999999999997E-2</v>
          </cell>
          <cell r="V1216">
            <v>6.1374999999999999E-2</v>
          </cell>
          <cell r="W1216" t="str">
            <v>BRS</v>
          </cell>
          <cell r="X1216">
            <v>2178</v>
          </cell>
          <cell r="Y1216">
            <v>1</v>
          </cell>
          <cell r="Z1216">
            <v>469.59896507115138</v>
          </cell>
          <cell r="AA1216" t="str">
            <v>4.638X0.063-304L</v>
          </cell>
          <cell r="AB1216" t="str">
            <v>WAAC006790160B300130</v>
          </cell>
          <cell r="AC1216" t="str">
            <v>D2107115</v>
          </cell>
          <cell r="AD1216" t="str">
            <v>0460137</v>
          </cell>
          <cell r="AE1216">
            <v>2.4E-2</v>
          </cell>
          <cell r="AF1216">
            <v>1.64</v>
          </cell>
          <cell r="AG1216">
            <v>3.1E-2</v>
          </cell>
          <cell r="AH1216">
            <v>1E-3</v>
          </cell>
          <cell r="AI1216">
            <v>0.32</v>
          </cell>
          <cell r="AJ1216">
            <v>18</v>
          </cell>
          <cell r="AK1216">
            <v>8.1</v>
          </cell>
          <cell r="AL1216">
            <v>7.0000000000000007E-2</v>
          </cell>
          <cell r="AM1216">
            <v>0.33</v>
          </cell>
          <cell r="AN1216">
            <v>0</v>
          </cell>
          <cell r="AO1216">
            <v>0</v>
          </cell>
          <cell r="AP1216">
            <v>0</v>
          </cell>
          <cell r="AQ1216">
            <v>0</v>
          </cell>
          <cell r="AR1216">
            <v>0.39</v>
          </cell>
          <cell r="AS1216">
            <v>0</v>
          </cell>
          <cell r="AT1216">
            <v>266</v>
          </cell>
          <cell r="AU1216">
            <v>297</v>
          </cell>
          <cell r="AV1216">
            <v>302</v>
          </cell>
          <cell r="AW1216">
            <v>60</v>
          </cell>
          <cell r="AX1216">
            <v>79</v>
          </cell>
          <cell r="AY1216">
            <v>147</v>
          </cell>
          <cell r="AZ1216">
            <v>1.7918000000000001</v>
          </cell>
          <cell r="BA1216" t="str">
            <v>D2107115</v>
          </cell>
          <cell r="BB1216" t="str">
            <v>CONFORM</v>
          </cell>
          <cell r="BC1216" t="str">
            <v>CONFORM</v>
          </cell>
          <cell r="BD1216" t="str">
            <v>CONFORM</v>
          </cell>
          <cell r="BE1216" t="str">
            <v>CONFORM</v>
          </cell>
          <cell r="BF1216" t="str">
            <v>CONFORM</v>
          </cell>
        </row>
        <row r="1217">
          <cell r="A1217">
            <v>44393</v>
          </cell>
          <cell r="B1217" t="str">
            <v>D2107116-1</v>
          </cell>
          <cell r="C1217" t="str">
            <v>055/21</v>
          </cell>
          <cell r="D1217">
            <v>3</v>
          </cell>
          <cell r="E1217">
            <v>44393</v>
          </cell>
          <cell r="F1217" t="str">
            <v>DC</v>
          </cell>
          <cell r="G1217" t="str">
            <v>On Time</v>
          </cell>
          <cell r="H1217">
            <v>481</v>
          </cell>
          <cell r="I1217">
            <v>44363</v>
          </cell>
          <cell r="J1217" t="str">
            <v>ADTI</v>
          </cell>
          <cell r="K1217" t="str">
            <v>D2107116</v>
          </cell>
          <cell r="L1217">
            <v>1</v>
          </cell>
          <cell r="M1217" t="str">
            <v>A2106017</v>
          </cell>
          <cell r="N1217" t="str">
            <v>0460137</v>
          </cell>
          <cell r="O1217" t="str">
            <v xml:space="preserve">1.4306 TP304L </v>
          </cell>
          <cell r="P1217" t="str">
            <v>304L</v>
          </cell>
          <cell r="Q1217">
            <v>2.2759999999999998</v>
          </cell>
          <cell r="R1217">
            <v>2.2755000000000001</v>
          </cell>
          <cell r="S1217">
            <v>6.3E-2</v>
          </cell>
          <cell r="T1217">
            <v>5.9900000000000002E-2</v>
          </cell>
          <cell r="U1217">
            <v>5.9749999999999998E-2</v>
          </cell>
          <cell r="V1217">
            <v>5.9825000000000003E-2</v>
          </cell>
          <cell r="W1217" t="str">
            <v>BRS</v>
          </cell>
          <cell r="X1217">
            <v>2897</v>
          </cell>
          <cell r="Y1217">
            <v>3</v>
          </cell>
          <cell r="Z1217">
            <v>424.28236672524901</v>
          </cell>
          <cell r="AA1217" t="str">
            <v>2.276X0.063-304L</v>
          </cell>
          <cell r="AB1217" t="str">
            <v>WAAC005780160B300010</v>
          </cell>
          <cell r="AC1217" t="str">
            <v>D2107116</v>
          </cell>
          <cell r="AD1217" t="str">
            <v>0460137</v>
          </cell>
          <cell r="AE1217">
            <v>2.4E-2</v>
          </cell>
          <cell r="AF1217">
            <v>1.64</v>
          </cell>
          <cell r="AG1217">
            <v>3.1E-2</v>
          </cell>
          <cell r="AH1217">
            <v>1E-3</v>
          </cell>
          <cell r="AI1217">
            <v>0.32</v>
          </cell>
          <cell r="AJ1217">
            <v>18</v>
          </cell>
          <cell r="AK1217">
            <v>8.1</v>
          </cell>
          <cell r="AL1217">
            <v>7.0000000000000007E-2</v>
          </cell>
          <cell r="AM1217">
            <v>0.33</v>
          </cell>
          <cell r="AN1217">
            <v>0</v>
          </cell>
          <cell r="AO1217">
            <v>0</v>
          </cell>
          <cell r="AP1217">
            <v>0</v>
          </cell>
          <cell r="AQ1217">
            <v>0</v>
          </cell>
          <cell r="AR1217">
            <v>0.39</v>
          </cell>
          <cell r="AS1217">
            <v>0</v>
          </cell>
          <cell r="AT1217">
            <v>266</v>
          </cell>
          <cell r="AU1217">
            <v>297</v>
          </cell>
          <cell r="AV1217">
            <v>302</v>
          </cell>
          <cell r="AW1217">
            <v>60</v>
          </cell>
          <cell r="AX1217">
            <v>79</v>
          </cell>
          <cell r="AY1217">
            <v>147</v>
          </cell>
          <cell r="AZ1217">
            <v>1.7916000000000001</v>
          </cell>
          <cell r="BA1217" t="str">
            <v>D2107116</v>
          </cell>
          <cell r="BB1217" t="str">
            <v>CONFORM</v>
          </cell>
          <cell r="BC1217" t="str">
            <v>CONFORM</v>
          </cell>
          <cell r="BD1217" t="str">
            <v>CONFORM</v>
          </cell>
          <cell r="BE1217" t="str">
            <v>CONFORM</v>
          </cell>
          <cell r="BF1217" t="str">
            <v>CONFORM</v>
          </cell>
        </row>
        <row r="1218">
          <cell r="A1218">
            <v>44393</v>
          </cell>
          <cell r="B1218" t="str">
            <v>D2107116-2</v>
          </cell>
          <cell r="C1218" t="str">
            <v>055/21</v>
          </cell>
          <cell r="D1218">
            <v>3</v>
          </cell>
          <cell r="E1218">
            <v>44393</v>
          </cell>
          <cell r="F1218" t="str">
            <v>DC</v>
          </cell>
          <cell r="G1218" t="str">
            <v>On Time</v>
          </cell>
          <cell r="H1218">
            <v>481</v>
          </cell>
          <cell r="I1218">
            <v>44363</v>
          </cell>
          <cell r="J1218" t="str">
            <v>ADTI</v>
          </cell>
          <cell r="K1218" t="str">
            <v>D2107116</v>
          </cell>
          <cell r="L1218">
            <v>2</v>
          </cell>
          <cell r="M1218" t="str">
            <v>A2106017</v>
          </cell>
          <cell r="N1218" t="str">
            <v>0460137</v>
          </cell>
          <cell r="O1218" t="str">
            <v xml:space="preserve">1.4306 TP304L </v>
          </cell>
          <cell r="P1218" t="str">
            <v>304L</v>
          </cell>
          <cell r="Q1218">
            <v>2.2759999999999998</v>
          </cell>
          <cell r="R1218">
            <v>2.2759999999999998</v>
          </cell>
          <cell r="S1218">
            <v>6.3E-2</v>
          </cell>
          <cell r="T1218">
            <v>5.8200000000000002E-2</v>
          </cell>
          <cell r="U1218">
            <v>5.9650000000000002E-2</v>
          </cell>
          <cell r="V1218">
            <v>5.8925000000000005E-2</v>
          </cell>
          <cell r="W1218" t="str">
            <v>BRS</v>
          </cell>
          <cell r="X1218">
            <v>2910</v>
          </cell>
          <cell r="Y1218">
            <v>3</v>
          </cell>
          <cell r="Z1218">
            <v>426.18629173989461</v>
          </cell>
          <cell r="AA1218" t="str">
            <v>2.276X0.063-304L</v>
          </cell>
          <cell r="AB1218" t="str">
            <v>WAAC005780160B300010</v>
          </cell>
          <cell r="AC1218" t="str">
            <v>D2107116</v>
          </cell>
          <cell r="AD1218" t="str">
            <v>0460137</v>
          </cell>
          <cell r="AE1218">
            <v>2.4E-2</v>
          </cell>
          <cell r="AF1218">
            <v>1.64</v>
          </cell>
          <cell r="AG1218">
            <v>3.1E-2</v>
          </cell>
          <cell r="AH1218">
            <v>1E-3</v>
          </cell>
          <cell r="AI1218">
            <v>0.32</v>
          </cell>
          <cell r="AJ1218">
            <v>18</v>
          </cell>
          <cell r="AK1218">
            <v>8.1</v>
          </cell>
          <cell r="AL1218">
            <v>7.0000000000000007E-2</v>
          </cell>
          <cell r="AM1218">
            <v>0.33</v>
          </cell>
          <cell r="AN1218">
            <v>0</v>
          </cell>
          <cell r="AO1218">
            <v>0</v>
          </cell>
          <cell r="AP1218">
            <v>0</v>
          </cell>
          <cell r="AQ1218">
            <v>0</v>
          </cell>
          <cell r="AR1218">
            <v>0.39</v>
          </cell>
          <cell r="AS1218">
            <v>0</v>
          </cell>
          <cell r="AT1218">
            <v>266</v>
          </cell>
          <cell r="AU1218">
            <v>297</v>
          </cell>
          <cell r="AV1218">
            <v>302</v>
          </cell>
          <cell r="AW1218">
            <v>60</v>
          </cell>
          <cell r="AX1218">
            <v>79</v>
          </cell>
          <cell r="AY1218">
            <v>147</v>
          </cell>
          <cell r="AZ1218">
            <v>1.7916000000000001</v>
          </cell>
          <cell r="BA1218" t="str">
            <v>D2107116</v>
          </cell>
          <cell r="BB1218" t="str">
            <v>CONFORM</v>
          </cell>
          <cell r="BC1218" t="str">
            <v>CONFORM</v>
          </cell>
          <cell r="BD1218" t="str">
            <v>CONFORM</v>
          </cell>
          <cell r="BE1218" t="str">
            <v>CONFORM</v>
          </cell>
          <cell r="BF1218" t="str">
            <v>CONFORM</v>
          </cell>
        </row>
        <row r="1219">
          <cell r="A1219">
            <v>44393</v>
          </cell>
          <cell r="B1219" t="str">
            <v>D2107116-3</v>
          </cell>
          <cell r="C1219" t="str">
            <v>055/21</v>
          </cell>
          <cell r="D1219">
            <v>3</v>
          </cell>
          <cell r="E1219">
            <v>44393</v>
          </cell>
          <cell r="F1219" t="str">
            <v>DC</v>
          </cell>
          <cell r="G1219" t="str">
            <v>On Time</v>
          </cell>
          <cell r="H1219">
            <v>481</v>
          </cell>
          <cell r="I1219">
            <v>44363</v>
          </cell>
          <cell r="J1219" t="str">
            <v>ADTI</v>
          </cell>
          <cell r="K1219" t="str">
            <v>D2107116</v>
          </cell>
          <cell r="L1219">
            <v>3</v>
          </cell>
          <cell r="M1219" t="str">
            <v>A2106017</v>
          </cell>
          <cell r="N1219" t="str">
            <v>0460137</v>
          </cell>
          <cell r="O1219" t="str">
            <v xml:space="preserve">1.4306 TP304L </v>
          </cell>
          <cell r="P1219" t="str">
            <v>304L</v>
          </cell>
          <cell r="Q1219">
            <v>2.2759999999999998</v>
          </cell>
          <cell r="R1219">
            <v>2.274</v>
          </cell>
          <cell r="S1219">
            <v>6.3E-2</v>
          </cell>
          <cell r="T1219">
            <v>5.8250000000000003E-2</v>
          </cell>
          <cell r="U1219">
            <v>5.9499999999999997E-2</v>
          </cell>
          <cell r="V1219">
            <v>5.8874999999999997E-2</v>
          </cell>
          <cell r="W1219" t="str">
            <v>BRS</v>
          </cell>
          <cell r="X1219">
            <v>2910</v>
          </cell>
          <cell r="Y1219">
            <v>3</v>
          </cell>
          <cell r="Z1219">
            <v>426.18629173989461</v>
          </cell>
          <cell r="AA1219" t="str">
            <v>2.276X0.063-304L</v>
          </cell>
          <cell r="AB1219" t="str">
            <v>WAAC005780160B300010</v>
          </cell>
          <cell r="AC1219" t="str">
            <v>D2107116</v>
          </cell>
          <cell r="AD1219" t="str">
            <v>0460137</v>
          </cell>
          <cell r="AE1219">
            <v>2.4E-2</v>
          </cell>
          <cell r="AF1219">
            <v>1.64</v>
          </cell>
          <cell r="AG1219">
            <v>3.1E-2</v>
          </cell>
          <cell r="AH1219">
            <v>1E-3</v>
          </cell>
          <cell r="AI1219">
            <v>0.32</v>
          </cell>
          <cell r="AJ1219">
            <v>18</v>
          </cell>
          <cell r="AK1219">
            <v>8.1</v>
          </cell>
          <cell r="AL1219">
            <v>7.0000000000000007E-2</v>
          </cell>
          <cell r="AM1219">
            <v>0.33</v>
          </cell>
          <cell r="AN1219">
            <v>0</v>
          </cell>
          <cell r="AO1219">
            <v>0</v>
          </cell>
          <cell r="AP1219">
            <v>0</v>
          </cell>
          <cell r="AQ1219">
            <v>0</v>
          </cell>
          <cell r="AR1219">
            <v>0.39</v>
          </cell>
          <cell r="AS1219">
            <v>0</v>
          </cell>
          <cell r="AT1219">
            <v>266</v>
          </cell>
          <cell r="AU1219">
            <v>297</v>
          </cell>
          <cell r="AV1219">
            <v>302</v>
          </cell>
          <cell r="AW1219">
            <v>60</v>
          </cell>
          <cell r="AX1219">
            <v>79</v>
          </cell>
          <cell r="AY1219">
            <v>147</v>
          </cell>
          <cell r="AZ1219">
            <v>1.7916000000000001</v>
          </cell>
          <cell r="BA1219" t="str">
            <v>D2107116</v>
          </cell>
          <cell r="BB1219" t="str">
            <v>CONFORM</v>
          </cell>
          <cell r="BC1219" t="str">
            <v>CONFORM</v>
          </cell>
          <cell r="BD1219" t="str">
            <v>CONFORM</v>
          </cell>
          <cell r="BE1219" t="str">
            <v>CONFORM</v>
          </cell>
          <cell r="BF1219" t="str">
            <v>CONFORM</v>
          </cell>
        </row>
        <row r="1220">
          <cell r="A1220">
            <v>44393</v>
          </cell>
          <cell r="B1220" t="str">
            <v>D2107117-1</v>
          </cell>
          <cell r="C1220" t="str">
            <v>055/21</v>
          </cell>
          <cell r="D1220">
            <v>4</v>
          </cell>
          <cell r="E1220">
            <v>44393</v>
          </cell>
          <cell r="F1220" t="str">
            <v>DC</v>
          </cell>
          <cell r="G1220" t="str">
            <v>On Time</v>
          </cell>
          <cell r="H1220">
            <v>481</v>
          </cell>
          <cell r="I1220">
            <v>44363</v>
          </cell>
          <cell r="J1220" t="str">
            <v>ADTI</v>
          </cell>
          <cell r="K1220" t="str">
            <v>D2107117</v>
          </cell>
          <cell r="L1220">
            <v>1</v>
          </cell>
          <cell r="M1220" t="str">
            <v>A2106019</v>
          </cell>
          <cell r="N1220" t="str">
            <v>0539111</v>
          </cell>
          <cell r="O1220" t="str">
            <v xml:space="preserve">1.4401/1.4404 TP316/316L </v>
          </cell>
          <cell r="P1220" t="str">
            <v>316L</v>
          </cell>
          <cell r="Q1220">
            <v>2.323</v>
          </cell>
          <cell r="R1220">
            <v>2.3245</v>
          </cell>
          <cell r="S1220">
            <v>4.7E-2</v>
          </cell>
          <cell r="T1220">
            <v>4.6600000000000003E-2</v>
          </cell>
          <cell r="U1220">
            <v>4.7649999999999998E-2</v>
          </cell>
          <cell r="V1220">
            <v>4.7125E-2</v>
          </cell>
          <cell r="W1220" t="str">
            <v>BRS</v>
          </cell>
          <cell r="X1220">
            <v>2685</v>
          </cell>
          <cell r="Y1220">
            <v>2</v>
          </cell>
          <cell r="Z1220">
            <v>577.91648730090401</v>
          </cell>
          <cell r="AA1220" t="str">
            <v>2.323X0.047-316L</v>
          </cell>
          <cell r="AB1220" t="str">
            <v>WAAF005900120B300027</v>
          </cell>
          <cell r="AC1220" t="str">
            <v>D2107117</v>
          </cell>
          <cell r="AD1220" t="str">
            <v>0539111</v>
          </cell>
          <cell r="AE1220">
            <v>2.1000000000000001E-2</v>
          </cell>
          <cell r="AF1220">
            <v>1.0900000000000001</v>
          </cell>
          <cell r="AG1220">
            <v>2.8000000000000001E-2</v>
          </cell>
          <cell r="AH1220">
            <v>1E-3</v>
          </cell>
          <cell r="AI1220">
            <v>0.33</v>
          </cell>
          <cell r="AJ1220">
            <v>16.7</v>
          </cell>
          <cell r="AK1220">
            <v>10.1</v>
          </cell>
          <cell r="AL1220">
            <v>0.05</v>
          </cell>
          <cell r="AM1220">
            <v>2.02</v>
          </cell>
          <cell r="AN1220">
            <v>0</v>
          </cell>
          <cell r="AO1220">
            <v>0</v>
          </cell>
          <cell r="AP1220">
            <v>0</v>
          </cell>
          <cell r="AQ1220">
            <v>0</v>
          </cell>
          <cell r="AR1220">
            <v>0.47</v>
          </cell>
          <cell r="AS1220">
            <v>0</v>
          </cell>
          <cell r="AT1220">
            <v>280</v>
          </cell>
          <cell r="AU1220">
            <v>309</v>
          </cell>
          <cell r="AV1220">
            <v>600</v>
          </cell>
          <cell r="AW1220">
            <v>59</v>
          </cell>
          <cell r="AX1220">
            <v>78</v>
          </cell>
          <cell r="AY1220">
            <v>144</v>
          </cell>
          <cell r="AZ1220">
            <v>2.3319999999999999</v>
          </cell>
          <cell r="BA1220" t="str">
            <v>D2107117</v>
          </cell>
          <cell r="BB1220" t="str">
            <v>CONFORM</v>
          </cell>
          <cell r="BC1220" t="str">
            <v>CONFORM</v>
          </cell>
          <cell r="BD1220" t="str">
            <v>CONFORM</v>
          </cell>
          <cell r="BE1220" t="str">
            <v>CONFORM</v>
          </cell>
          <cell r="BF1220" t="str">
            <v>CONFORM</v>
          </cell>
        </row>
        <row r="1221">
          <cell r="A1221">
            <v>44393</v>
          </cell>
          <cell r="B1221" t="str">
            <v>D2107117-2</v>
          </cell>
          <cell r="C1221" t="str">
            <v>055/21</v>
          </cell>
          <cell r="D1221">
            <v>4</v>
          </cell>
          <cell r="E1221">
            <v>44393</v>
          </cell>
          <cell r="F1221" t="str">
            <v>DC</v>
          </cell>
          <cell r="G1221" t="str">
            <v>On Time</v>
          </cell>
          <cell r="H1221">
            <v>481</v>
          </cell>
          <cell r="I1221">
            <v>44363</v>
          </cell>
          <cell r="J1221" t="str">
            <v>ADTI</v>
          </cell>
          <cell r="K1221" t="str">
            <v>D2107117</v>
          </cell>
          <cell r="L1221">
            <v>2</v>
          </cell>
          <cell r="M1221" t="str">
            <v>A2106019</v>
          </cell>
          <cell r="N1221" t="str">
            <v>0539111</v>
          </cell>
          <cell r="O1221" t="str">
            <v xml:space="preserve">1.4401/1.4404 TP316/316L </v>
          </cell>
          <cell r="P1221" t="str">
            <v>316L</v>
          </cell>
          <cell r="Q1221">
            <v>2.323</v>
          </cell>
          <cell r="R1221">
            <v>2.3210000000000002</v>
          </cell>
          <cell r="S1221">
            <v>4.7E-2</v>
          </cell>
          <cell r="T1221">
            <v>4.5650000000000003E-2</v>
          </cell>
          <cell r="U1221">
            <v>4.7500000000000001E-2</v>
          </cell>
          <cell r="V1221">
            <v>4.6575000000000005E-2</v>
          </cell>
          <cell r="W1221" t="str">
            <v>BRS</v>
          </cell>
          <cell r="X1221">
            <v>4039</v>
          </cell>
          <cell r="Y1221">
            <v>3</v>
          </cell>
          <cell r="Z1221">
            <v>579.56665231740567</v>
          </cell>
          <cell r="AA1221" t="str">
            <v>2.323X0.047-316L</v>
          </cell>
          <cell r="AB1221" t="str">
            <v>WAAF005900120B300027</v>
          </cell>
          <cell r="AC1221" t="str">
            <v>D2107117</v>
          </cell>
          <cell r="AD1221" t="str">
            <v>0539111</v>
          </cell>
          <cell r="AE1221">
            <v>2.1000000000000001E-2</v>
          </cell>
          <cell r="AF1221">
            <v>1.0900000000000001</v>
          </cell>
          <cell r="AG1221">
            <v>2.8000000000000001E-2</v>
          </cell>
          <cell r="AH1221">
            <v>1E-3</v>
          </cell>
          <cell r="AI1221">
            <v>0.33</v>
          </cell>
          <cell r="AJ1221">
            <v>16.7</v>
          </cell>
          <cell r="AK1221">
            <v>10.1</v>
          </cell>
          <cell r="AL1221">
            <v>0.05</v>
          </cell>
          <cell r="AM1221">
            <v>2.02</v>
          </cell>
          <cell r="AN1221">
            <v>0</v>
          </cell>
          <cell r="AO1221">
            <v>0</v>
          </cell>
          <cell r="AP1221">
            <v>0</v>
          </cell>
          <cell r="AQ1221">
            <v>0</v>
          </cell>
          <cell r="AR1221">
            <v>0.47</v>
          </cell>
          <cell r="AS1221">
            <v>0</v>
          </cell>
          <cell r="AT1221">
            <v>280</v>
          </cell>
          <cell r="AU1221">
            <v>309</v>
          </cell>
          <cell r="AV1221">
            <v>600</v>
          </cell>
          <cell r="AW1221">
            <v>59</v>
          </cell>
          <cell r="AX1221">
            <v>78</v>
          </cell>
          <cell r="AY1221">
            <v>144</v>
          </cell>
          <cell r="AZ1221">
            <v>2.3319999999999999</v>
          </cell>
          <cell r="BA1221" t="str">
            <v>D2107117</v>
          </cell>
          <cell r="BB1221" t="str">
            <v>CONFORM</v>
          </cell>
          <cell r="BC1221" t="str">
            <v>CONFORM</v>
          </cell>
          <cell r="BD1221" t="str">
            <v>CONFORM</v>
          </cell>
          <cell r="BE1221" t="str">
            <v>CONFORM</v>
          </cell>
          <cell r="BF1221" t="str">
            <v>CONFORM</v>
          </cell>
        </row>
        <row r="1222">
          <cell r="A1222">
            <v>44400</v>
          </cell>
          <cell r="B1222" t="str">
            <v>D2107187-1</v>
          </cell>
          <cell r="C1222" t="str">
            <v>063/21</v>
          </cell>
          <cell r="D1222">
            <v>1</v>
          </cell>
          <cell r="E1222">
            <v>44400</v>
          </cell>
          <cell r="F1222" t="str">
            <v>DC</v>
          </cell>
          <cell r="G1222" t="str">
            <v>On Time</v>
          </cell>
          <cell r="H1222">
            <v>520</v>
          </cell>
          <cell r="I1222">
            <v>44372</v>
          </cell>
          <cell r="J1222" t="str">
            <v>ADTI</v>
          </cell>
          <cell r="K1222" t="str">
            <v>D2107187</v>
          </cell>
          <cell r="L1222">
            <v>1</v>
          </cell>
          <cell r="M1222" t="str">
            <v>A2106019</v>
          </cell>
          <cell r="N1222" t="str">
            <v>0539111</v>
          </cell>
          <cell r="O1222" t="str">
            <v xml:space="preserve">1.4401/1.4404 TP316/316L </v>
          </cell>
          <cell r="P1222" t="str">
            <v>316L</v>
          </cell>
          <cell r="Q1222">
            <v>2.323</v>
          </cell>
          <cell r="R1222">
            <v>2.3239999999999998</v>
          </cell>
          <cell r="S1222">
            <v>4.7E-2</v>
          </cell>
          <cell r="T1222">
            <v>4.6350000000000002E-2</v>
          </cell>
          <cell r="U1222">
            <v>4.7699999999999999E-2</v>
          </cell>
          <cell r="V1222">
            <v>4.7024999999999997E-2</v>
          </cell>
          <cell r="W1222" t="str">
            <v>BRS</v>
          </cell>
          <cell r="X1222">
            <v>2685</v>
          </cell>
          <cell r="Y1222">
            <v>2</v>
          </cell>
          <cell r="Z1222">
            <v>577.91648730090401</v>
          </cell>
          <cell r="AA1222" t="str">
            <v>2.323X0.047-316L</v>
          </cell>
          <cell r="AB1222" t="str">
            <v>WAAF005900120B300027</v>
          </cell>
          <cell r="AC1222" t="str">
            <v>D2107187</v>
          </cell>
          <cell r="AD1222" t="str">
            <v>0539111</v>
          </cell>
          <cell r="AE1222">
            <v>2.1000000000000001E-2</v>
          </cell>
          <cell r="AF1222">
            <v>1.0900000000000001</v>
          </cell>
          <cell r="AG1222">
            <v>2.8000000000000001E-2</v>
          </cell>
          <cell r="AH1222">
            <v>1E-3</v>
          </cell>
          <cell r="AI1222">
            <v>0.33</v>
          </cell>
          <cell r="AJ1222">
            <v>16.7</v>
          </cell>
          <cell r="AK1222">
            <v>10.1</v>
          </cell>
          <cell r="AL1222">
            <v>0.05</v>
          </cell>
          <cell r="AM1222">
            <v>2.02</v>
          </cell>
          <cell r="AN1222">
            <v>0</v>
          </cell>
          <cell r="AO1222">
            <v>0</v>
          </cell>
          <cell r="AP1222">
            <v>0</v>
          </cell>
          <cell r="AQ1222">
            <v>0</v>
          </cell>
          <cell r="AR1222">
            <v>0.47</v>
          </cell>
          <cell r="AS1222">
            <v>0</v>
          </cell>
          <cell r="AT1222">
            <v>280</v>
          </cell>
          <cell r="AU1222">
            <v>309</v>
          </cell>
          <cell r="AV1222">
            <v>600</v>
          </cell>
          <cell r="AW1222">
            <v>59</v>
          </cell>
          <cell r="AX1222">
            <v>78</v>
          </cell>
          <cell r="AY1222">
            <v>144</v>
          </cell>
          <cell r="AZ1222">
            <v>2.278</v>
          </cell>
          <cell r="BA1222" t="str">
            <v>D2107187</v>
          </cell>
          <cell r="BB1222" t="str">
            <v>CONFORM</v>
          </cell>
          <cell r="BC1222" t="str">
            <v>CONFORM</v>
          </cell>
          <cell r="BD1222" t="str">
            <v>CONFORM</v>
          </cell>
          <cell r="BE1222" t="str">
            <v>CONFORM</v>
          </cell>
        </row>
        <row r="1223">
          <cell r="A1223">
            <v>44400</v>
          </cell>
          <cell r="B1223" t="str">
            <v>D2107188-1</v>
          </cell>
          <cell r="C1223" t="str">
            <v>063/21</v>
          </cell>
          <cell r="D1223">
            <v>2</v>
          </cell>
          <cell r="E1223">
            <v>44400</v>
          </cell>
          <cell r="F1223" t="str">
            <v>DC</v>
          </cell>
          <cell r="G1223" t="str">
            <v>On Time</v>
          </cell>
          <cell r="H1223">
            <v>520</v>
          </cell>
          <cell r="I1223">
            <v>44372</v>
          </cell>
          <cell r="J1223" t="str">
            <v>ADTI</v>
          </cell>
          <cell r="K1223" t="str">
            <v>D2107188</v>
          </cell>
          <cell r="L1223">
            <v>1</v>
          </cell>
          <cell r="M1223" t="str">
            <v>A2106140</v>
          </cell>
          <cell r="N1223" t="str">
            <v>0538704</v>
          </cell>
          <cell r="O1223" t="str">
            <v xml:space="preserve">1.4401/1.4404 TP316/316L </v>
          </cell>
          <cell r="P1223" t="str">
            <v>316L</v>
          </cell>
          <cell r="Q1223">
            <v>3.9129999999999998</v>
          </cell>
          <cell r="R1223">
            <v>3.9129999999999998</v>
          </cell>
          <cell r="S1223">
            <v>4.7E-2</v>
          </cell>
          <cell r="T1223">
            <v>4.65E-2</v>
          </cell>
          <cell r="U1223">
            <v>4.65E-2</v>
          </cell>
          <cell r="V1223">
            <v>4.65E-2</v>
          </cell>
          <cell r="W1223" t="str">
            <v>BRS</v>
          </cell>
          <cell r="X1223">
            <v>3589</v>
          </cell>
          <cell r="Y1223">
            <v>2</v>
          </cell>
          <cell r="Z1223">
            <v>458.59953999488886</v>
          </cell>
          <cell r="AA1223" t="str">
            <v>3.913X0.047-316L</v>
          </cell>
          <cell r="AB1223" t="str">
            <v>WAAF009940120B300054</v>
          </cell>
          <cell r="AC1223" t="str">
            <v>D2107188</v>
          </cell>
          <cell r="AD1223" t="str">
            <v>0538704</v>
          </cell>
          <cell r="AE1223">
            <v>1.9E-2</v>
          </cell>
          <cell r="AF1223">
            <v>1.02</v>
          </cell>
          <cell r="AG1223">
            <v>3.3000000000000002E-2</v>
          </cell>
          <cell r="AH1223">
            <v>1E-3</v>
          </cell>
          <cell r="AI1223">
            <v>0.38</v>
          </cell>
          <cell r="AJ1223">
            <v>16.7</v>
          </cell>
          <cell r="AK1223">
            <v>10</v>
          </cell>
          <cell r="AL1223">
            <v>4.4999999999999998E-2</v>
          </cell>
          <cell r="AM1223">
            <v>2.02</v>
          </cell>
          <cell r="AN1223">
            <v>0</v>
          </cell>
          <cell r="AO1223">
            <v>0</v>
          </cell>
          <cell r="AP1223">
            <v>0</v>
          </cell>
          <cell r="AQ1223">
            <v>0</v>
          </cell>
          <cell r="AR1223">
            <v>0.5</v>
          </cell>
          <cell r="AS1223">
            <v>0</v>
          </cell>
          <cell r="AT1223">
            <v>268</v>
          </cell>
          <cell r="AU1223">
            <v>293</v>
          </cell>
          <cell r="AV1223">
            <v>603</v>
          </cell>
          <cell r="AW1223">
            <v>60</v>
          </cell>
          <cell r="AX1223">
            <v>78</v>
          </cell>
          <cell r="AY1223">
            <v>144</v>
          </cell>
          <cell r="AZ1223">
            <v>2.3891</v>
          </cell>
          <cell r="BA1223" t="str">
            <v>D2107188</v>
          </cell>
          <cell r="BB1223" t="str">
            <v>CONFORM</v>
          </cell>
          <cell r="BC1223" t="str">
            <v>CONFORM</v>
          </cell>
          <cell r="BD1223" t="str">
            <v>CONFORM</v>
          </cell>
          <cell r="BE1223" t="str">
            <v>CONFORM</v>
          </cell>
        </row>
        <row r="1224">
          <cell r="A1224">
            <v>44400</v>
          </cell>
          <cell r="B1224" t="str">
            <v>D2107188-2</v>
          </cell>
          <cell r="C1224" t="str">
            <v>063/21</v>
          </cell>
          <cell r="D1224">
            <v>2</v>
          </cell>
          <cell r="E1224">
            <v>44400</v>
          </cell>
          <cell r="F1224" t="str">
            <v>DC</v>
          </cell>
          <cell r="G1224" t="str">
            <v>On Time</v>
          </cell>
          <cell r="H1224">
            <v>520</v>
          </cell>
          <cell r="I1224">
            <v>44372</v>
          </cell>
          <cell r="J1224" t="str">
            <v>ADTI</v>
          </cell>
          <cell r="K1224" t="str">
            <v>D2107188</v>
          </cell>
          <cell r="L1224">
            <v>2</v>
          </cell>
          <cell r="M1224" t="str">
            <v>A2106140</v>
          </cell>
          <cell r="N1224" t="str">
            <v>0538704</v>
          </cell>
          <cell r="O1224" t="str">
            <v xml:space="preserve">1.4401/1.4404 TP316/316L </v>
          </cell>
          <cell r="P1224" t="str">
            <v>316L</v>
          </cell>
          <cell r="Q1224">
            <v>3.9129999999999998</v>
          </cell>
          <cell r="R1224">
            <v>3.9125000000000001</v>
          </cell>
          <cell r="S1224">
            <v>4.7E-2</v>
          </cell>
          <cell r="T1224">
            <v>4.6649999999999997E-2</v>
          </cell>
          <cell r="U1224">
            <v>4.6350000000000002E-2</v>
          </cell>
          <cell r="V1224">
            <v>4.65E-2</v>
          </cell>
          <cell r="W1224" t="str">
            <v>BRS</v>
          </cell>
          <cell r="X1224">
            <v>3598</v>
          </cell>
          <cell r="Y1224">
            <v>2</v>
          </cell>
          <cell r="Z1224">
            <v>459.74955277280861</v>
          </cell>
          <cell r="AA1224" t="str">
            <v>3.913X0.047-316L</v>
          </cell>
          <cell r="AB1224" t="str">
            <v>WAAF009940120B300054</v>
          </cell>
          <cell r="AC1224" t="str">
            <v>D2107188</v>
          </cell>
          <cell r="AD1224" t="str">
            <v>0538704</v>
          </cell>
          <cell r="AE1224">
            <v>1.9E-2</v>
          </cell>
          <cell r="AF1224">
            <v>1.02</v>
          </cell>
          <cell r="AG1224">
            <v>3.3000000000000002E-2</v>
          </cell>
          <cell r="AH1224">
            <v>1E-3</v>
          </cell>
          <cell r="AI1224">
            <v>0.38</v>
          </cell>
          <cell r="AJ1224">
            <v>16.7</v>
          </cell>
          <cell r="AK1224">
            <v>10</v>
          </cell>
          <cell r="AL1224">
            <v>4.4999999999999998E-2</v>
          </cell>
          <cell r="AM1224">
            <v>2.02</v>
          </cell>
          <cell r="AN1224">
            <v>0</v>
          </cell>
          <cell r="AO1224">
            <v>0</v>
          </cell>
          <cell r="AP1224">
            <v>0</v>
          </cell>
          <cell r="AQ1224">
            <v>0</v>
          </cell>
          <cell r="AR1224">
            <v>0.5</v>
          </cell>
          <cell r="AS1224">
            <v>0</v>
          </cell>
          <cell r="AT1224">
            <v>268</v>
          </cell>
          <cell r="AU1224">
            <v>293</v>
          </cell>
          <cell r="AV1224">
            <v>603</v>
          </cell>
          <cell r="AW1224">
            <v>60</v>
          </cell>
          <cell r="AX1224">
            <v>78</v>
          </cell>
          <cell r="AY1224">
            <v>144</v>
          </cell>
          <cell r="AZ1224">
            <v>2.3891</v>
          </cell>
          <cell r="BA1224" t="str">
            <v>D2107188</v>
          </cell>
          <cell r="BB1224" t="str">
            <v>CONFORM</v>
          </cell>
          <cell r="BC1224" t="str">
            <v>CONFORM</v>
          </cell>
          <cell r="BD1224" t="str">
            <v>CONFORM</v>
          </cell>
          <cell r="BE1224" t="str">
            <v>CONFORM</v>
          </cell>
        </row>
        <row r="1225">
          <cell r="A1225">
            <v>44400</v>
          </cell>
          <cell r="B1225" t="str">
            <v>D2107188-3</v>
          </cell>
          <cell r="C1225" t="str">
            <v>063/21</v>
          </cell>
          <cell r="D1225">
            <v>2</v>
          </cell>
          <cell r="E1225">
            <v>44400</v>
          </cell>
          <cell r="F1225" t="str">
            <v>DC</v>
          </cell>
          <cell r="G1225" t="str">
            <v>On Time</v>
          </cell>
          <cell r="H1225">
            <v>520</v>
          </cell>
          <cell r="I1225">
            <v>44372</v>
          </cell>
          <cell r="J1225" t="str">
            <v>ADTI</v>
          </cell>
          <cell r="K1225" t="str">
            <v>D2107188</v>
          </cell>
          <cell r="L1225">
            <v>3</v>
          </cell>
          <cell r="M1225" t="str">
            <v>A2106140</v>
          </cell>
          <cell r="N1225" t="str">
            <v>0538704</v>
          </cell>
          <cell r="O1225" t="str">
            <v xml:space="preserve">1.4401/1.4404 TP316/316L </v>
          </cell>
          <cell r="P1225" t="str">
            <v>316L</v>
          </cell>
          <cell r="Q1225">
            <v>3.9129999999999998</v>
          </cell>
          <cell r="R1225">
            <v>3.125</v>
          </cell>
          <cell r="S1225">
            <v>4.7E-2</v>
          </cell>
          <cell r="T1225">
            <v>4.65E-2</v>
          </cell>
          <cell r="U1225">
            <v>4.6550000000000001E-2</v>
          </cell>
          <cell r="V1225">
            <v>4.6524999999999997E-2</v>
          </cell>
          <cell r="W1225" t="str">
            <v>BRS</v>
          </cell>
          <cell r="X1225">
            <v>3593</v>
          </cell>
          <cell r="Y1225">
            <v>2</v>
          </cell>
          <cell r="Z1225">
            <v>459.11065678507543</v>
          </cell>
          <cell r="AA1225" t="str">
            <v>3.913X0.047-316L</v>
          </cell>
          <cell r="AB1225" t="str">
            <v>WAAF009940120B300054</v>
          </cell>
          <cell r="AC1225" t="str">
            <v>D2107188</v>
          </cell>
          <cell r="AD1225" t="str">
            <v>0538704</v>
          </cell>
          <cell r="AE1225">
            <v>1.9E-2</v>
          </cell>
          <cell r="AF1225">
            <v>1.02</v>
          </cell>
          <cell r="AG1225">
            <v>3.3000000000000002E-2</v>
          </cell>
          <cell r="AH1225">
            <v>1E-3</v>
          </cell>
          <cell r="AI1225">
            <v>0.38</v>
          </cell>
          <cell r="AJ1225">
            <v>16.7</v>
          </cell>
          <cell r="AK1225">
            <v>10</v>
          </cell>
          <cell r="AL1225">
            <v>4.4999999999999998E-2</v>
          </cell>
          <cell r="AM1225">
            <v>2.02</v>
          </cell>
          <cell r="AN1225">
            <v>0</v>
          </cell>
          <cell r="AO1225">
            <v>0</v>
          </cell>
          <cell r="AP1225">
            <v>0</v>
          </cell>
          <cell r="AQ1225">
            <v>0</v>
          </cell>
          <cell r="AR1225">
            <v>0.5</v>
          </cell>
          <cell r="AS1225">
            <v>0</v>
          </cell>
          <cell r="AT1225">
            <v>268</v>
          </cell>
          <cell r="AU1225">
            <v>293</v>
          </cell>
          <cell r="AV1225">
            <v>603</v>
          </cell>
          <cell r="AW1225">
            <v>60</v>
          </cell>
          <cell r="AX1225">
            <v>78</v>
          </cell>
          <cell r="AY1225">
            <v>144</v>
          </cell>
          <cell r="AZ1225">
            <v>2.3891</v>
          </cell>
          <cell r="BA1225" t="str">
            <v>D2107188</v>
          </cell>
          <cell r="BB1225" t="str">
            <v>CONFORM</v>
          </cell>
          <cell r="BC1225" t="str">
            <v>CONFORM</v>
          </cell>
          <cell r="BD1225" t="str">
            <v>CONFORM</v>
          </cell>
          <cell r="BE1225" t="str">
            <v>CONFORM</v>
          </cell>
        </row>
        <row r="1226">
          <cell r="A1226">
            <v>44400</v>
          </cell>
          <cell r="B1226" t="str">
            <v>D2107188-4</v>
          </cell>
          <cell r="C1226" t="str">
            <v>063/21</v>
          </cell>
          <cell r="D1226">
            <v>2</v>
          </cell>
          <cell r="E1226">
            <v>44400</v>
          </cell>
          <cell r="F1226" t="str">
            <v>DC</v>
          </cell>
          <cell r="G1226" t="str">
            <v>On Time</v>
          </cell>
          <cell r="H1226">
            <v>520</v>
          </cell>
          <cell r="I1226">
            <v>44372</v>
          </cell>
          <cell r="J1226" t="str">
            <v>ADTI</v>
          </cell>
          <cell r="K1226" t="str">
            <v>D2107188</v>
          </cell>
          <cell r="L1226">
            <v>4</v>
          </cell>
          <cell r="M1226" t="str">
            <v>A2106140</v>
          </cell>
          <cell r="N1226" t="str">
            <v>0538704</v>
          </cell>
          <cell r="O1226" t="str">
            <v xml:space="preserve">1.4401/1.4404 TP316/316L </v>
          </cell>
          <cell r="P1226" t="str">
            <v>316L</v>
          </cell>
          <cell r="Q1226">
            <v>3.9129999999999998</v>
          </cell>
          <cell r="R1226">
            <v>3.9129999999999998</v>
          </cell>
          <cell r="S1226">
            <v>4.7E-2</v>
          </cell>
          <cell r="T1226">
            <v>4.6699999999999998E-2</v>
          </cell>
          <cell r="U1226">
            <v>4.6649999999999997E-2</v>
          </cell>
          <cell r="V1226">
            <v>4.6674999999999994E-2</v>
          </cell>
          <cell r="W1226" t="str">
            <v>BRS</v>
          </cell>
          <cell r="X1226">
            <v>3593</v>
          </cell>
          <cell r="Y1226">
            <v>2</v>
          </cell>
          <cell r="Z1226">
            <v>459.11065678507543</v>
          </cell>
          <cell r="AA1226" t="str">
            <v>3.913X0.047-316L</v>
          </cell>
          <cell r="AB1226" t="str">
            <v>WAAF009940120B300054</v>
          </cell>
          <cell r="AC1226" t="str">
            <v>D2107188</v>
          </cell>
          <cell r="AD1226" t="str">
            <v>0538704</v>
          </cell>
          <cell r="AE1226">
            <v>1.9E-2</v>
          </cell>
          <cell r="AF1226">
            <v>1.02</v>
          </cell>
          <cell r="AG1226">
            <v>3.3000000000000002E-2</v>
          </cell>
          <cell r="AH1226">
            <v>1E-3</v>
          </cell>
          <cell r="AI1226">
            <v>0.38</v>
          </cell>
          <cell r="AJ1226">
            <v>16.7</v>
          </cell>
          <cell r="AK1226">
            <v>10</v>
          </cell>
          <cell r="AL1226">
            <v>4.4999999999999998E-2</v>
          </cell>
          <cell r="AM1226">
            <v>2.02</v>
          </cell>
          <cell r="AN1226">
            <v>0</v>
          </cell>
          <cell r="AO1226">
            <v>0</v>
          </cell>
          <cell r="AP1226">
            <v>0</v>
          </cell>
          <cell r="AQ1226">
            <v>0</v>
          </cell>
          <cell r="AR1226">
            <v>0.5</v>
          </cell>
          <cell r="AS1226">
            <v>0</v>
          </cell>
          <cell r="AT1226">
            <v>268</v>
          </cell>
          <cell r="AU1226">
            <v>293</v>
          </cell>
          <cell r="AV1226">
            <v>603</v>
          </cell>
          <cell r="AW1226">
            <v>60</v>
          </cell>
          <cell r="AX1226">
            <v>78</v>
          </cell>
          <cell r="AY1226">
            <v>144</v>
          </cell>
          <cell r="AZ1226">
            <v>2.3891</v>
          </cell>
          <cell r="BA1226" t="str">
            <v>D2107188</v>
          </cell>
          <cell r="BB1226" t="str">
            <v>CONFORM</v>
          </cell>
          <cell r="BC1226" t="str">
            <v>CONFORM</v>
          </cell>
          <cell r="BD1226" t="str">
            <v>CONFORM</v>
          </cell>
          <cell r="BE1226" t="str">
            <v>CONFORM</v>
          </cell>
        </row>
        <row r="1227">
          <cell r="A1227">
            <v>44400</v>
          </cell>
          <cell r="B1227" t="str">
            <v>D2107188-5</v>
          </cell>
          <cell r="C1227" t="str">
            <v>063/21</v>
          </cell>
          <cell r="D1227">
            <v>2</v>
          </cell>
          <cell r="E1227">
            <v>44400</v>
          </cell>
          <cell r="F1227" t="str">
            <v>DC</v>
          </cell>
          <cell r="G1227" t="str">
            <v>On Time</v>
          </cell>
          <cell r="H1227">
            <v>520</v>
          </cell>
          <cell r="I1227">
            <v>44372</v>
          </cell>
          <cell r="J1227" t="str">
            <v>ADTI</v>
          </cell>
          <cell r="K1227" t="str">
            <v>D2107188</v>
          </cell>
          <cell r="L1227">
            <v>5</v>
          </cell>
          <cell r="M1227" t="str">
            <v>A2106140</v>
          </cell>
          <cell r="N1227" t="str">
            <v>0538704</v>
          </cell>
          <cell r="O1227" t="str">
            <v xml:space="preserve">1.4401/1.4404 TP316/316L </v>
          </cell>
          <cell r="P1227" t="str">
            <v>316L</v>
          </cell>
          <cell r="Q1227">
            <v>3.9129999999999998</v>
          </cell>
          <cell r="R1227">
            <v>3.9119999999999999</v>
          </cell>
          <cell r="S1227">
            <v>4.7E-2</v>
          </cell>
          <cell r="T1227">
            <v>4.5850000000000002E-2</v>
          </cell>
          <cell r="U1227">
            <v>4.5699999999999998E-2</v>
          </cell>
          <cell r="V1227">
            <v>4.5774999999999996E-2</v>
          </cell>
          <cell r="W1227" t="str">
            <v>BRS</v>
          </cell>
          <cell r="X1227">
            <v>3779</v>
          </cell>
          <cell r="Y1227">
            <v>1</v>
          </cell>
          <cell r="Z1227">
            <v>965.75517505750065</v>
          </cell>
          <cell r="AA1227" t="str">
            <v>3.913X0.047-316L</v>
          </cell>
          <cell r="AB1227" t="str">
            <v>WAAF009940120B300054</v>
          </cell>
          <cell r="AC1227" t="str">
            <v>D2107188</v>
          </cell>
          <cell r="AD1227" t="str">
            <v>0538704</v>
          </cell>
          <cell r="AE1227">
            <v>1.9E-2</v>
          </cell>
          <cell r="AF1227">
            <v>1.02</v>
          </cell>
          <cell r="AG1227">
            <v>3.3000000000000002E-2</v>
          </cell>
          <cell r="AH1227">
            <v>1E-3</v>
          </cell>
          <cell r="AI1227">
            <v>0.38</v>
          </cell>
          <cell r="AJ1227">
            <v>16.7</v>
          </cell>
          <cell r="AK1227">
            <v>10</v>
          </cell>
          <cell r="AL1227">
            <v>4.4999999999999998E-2</v>
          </cell>
          <cell r="AM1227">
            <v>2.02</v>
          </cell>
          <cell r="AN1227">
            <v>0</v>
          </cell>
          <cell r="AO1227">
            <v>0</v>
          </cell>
          <cell r="AP1227">
            <v>0</v>
          </cell>
          <cell r="AQ1227">
            <v>0</v>
          </cell>
          <cell r="AR1227">
            <v>0.5</v>
          </cell>
          <cell r="AS1227">
            <v>0</v>
          </cell>
          <cell r="AT1227">
            <v>268</v>
          </cell>
          <cell r="AU1227">
            <v>293</v>
          </cell>
          <cell r="AV1227">
            <v>603</v>
          </cell>
          <cell r="AW1227">
            <v>60</v>
          </cell>
          <cell r="AX1227">
            <v>78</v>
          </cell>
          <cell r="AY1227">
            <v>144</v>
          </cell>
          <cell r="AZ1227">
            <v>2.3891</v>
          </cell>
          <cell r="BA1227" t="str">
            <v>D2107188</v>
          </cell>
          <cell r="BB1227" t="str">
            <v>CONFORM</v>
          </cell>
          <cell r="BC1227" t="str">
            <v>CONFORM</v>
          </cell>
          <cell r="BD1227" t="str">
            <v>CONFORM</v>
          </cell>
          <cell r="BE1227" t="str">
            <v>CONFORM</v>
          </cell>
        </row>
        <row r="1228">
          <cell r="A1228">
            <v>44417</v>
          </cell>
          <cell r="B1228" t="str">
            <v>D2108020-1</v>
          </cell>
          <cell r="C1228" t="str">
            <v>028/21</v>
          </cell>
          <cell r="D1228">
            <v>1</v>
          </cell>
          <cell r="E1228">
            <v>44317</v>
          </cell>
          <cell r="F1228" t="str">
            <v>DC</v>
          </cell>
          <cell r="G1228" t="str">
            <v>Late</v>
          </cell>
          <cell r="H1228" t="str">
            <v>L465699</v>
          </cell>
          <cell r="I1228">
            <v>44413</v>
          </cell>
          <cell r="J1228" t="str">
            <v>ATI</v>
          </cell>
          <cell r="K1228" t="str">
            <v>D2108020</v>
          </cell>
          <cell r="L1228">
            <v>1</v>
          </cell>
          <cell r="M1228" t="str">
            <v>AAD27807</v>
          </cell>
          <cell r="N1228" t="str">
            <v>530108</v>
          </cell>
          <cell r="O1228" t="str">
            <v xml:space="preserve">2.4602 UNS N06022 </v>
          </cell>
          <cell r="P1228" t="str">
            <v>N06022</v>
          </cell>
          <cell r="Q1228">
            <v>2.2240000000000002</v>
          </cell>
          <cell r="S1228">
            <v>7.9000000000000001E-2</v>
          </cell>
          <cell r="V1228" t="str">
            <v/>
          </cell>
          <cell r="X1228">
            <v>3636</v>
          </cell>
          <cell r="Y1228">
            <v>6</v>
          </cell>
          <cell r="Z1228">
            <v>272.48201438848918</v>
          </cell>
          <cell r="AA1228" t="str">
            <v>2.224X0.079-N06022</v>
          </cell>
          <cell r="AB1228" t="str">
            <v>WABI005650200C400127</v>
          </cell>
          <cell r="AC1228" t="str">
            <v>D2108020</v>
          </cell>
          <cell r="AD1228" t="str">
            <v>530108</v>
          </cell>
          <cell r="AE1228">
            <v>4.0000000000000001E-3</v>
          </cell>
          <cell r="AF1228">
            <v>0.24</v>
          </cell>
          <cell r="AG1228">
            <v>0.01</v>
          </cell>
          <cell r="AH1228">
            <v>0</v>
          </cell>
          <cell r="AI1228">
            <v>0.03</v>
          </cell>
          <cell r="AJ1228">
            <v>21</v>
          </cell>
          <cell r="AK1228" t="str">
            <v>BAL</v>
          </cell>
          <cell r="AL1228">
            <v>0</v>
          </cell>
          <cell r="AM1228">
            <v>13.2</v>
          </cell>
          <cell r="AN1228">
            <v>4.8499999999999996</v>
          </cell>
          <cell r="AO1228">
            <v>0</v>
          </cell>
          <cell r="AP1228">
            <v>0</v>
          </cell>
          <cell r="AQ1228">
            <v>0</v>
          </cell>
          <cell r="AR1228">
            <v>0</v>
          </cell>
          <cell r="AS1228">
            <v>0</v>
          </cell>
          <cell r="AT1228">
            <v>383</v>
          </cell>
          <cell r="AU1228">
            <v>383</v>
          </cell>
          <cell r="AV1228">
            <v>803</v>
          </cell>
          <cell r="AW1228">
            <v>58</v>
          </cell>
          <cell r="AX1228">
            <v>91</v>
          </cell>
          <cell r="AY1228">
            <v>190</v>
          </cell>
          <cell r="AZ1228">
            <v>12.5</v>
          </cell>
          <cell r="BA1228" t="str">
            <v>D2108020</v>
          </cell>
          <cell r="BB1228" t="str">
            <v>NOT CONFORM</v>
          </cell>
          <cell r="BC1228" t="str">
            <v>NOT CONFORM</v>
          </cell>
          <cell r="BD1228" t="str">
            <v>CONFORM</v>
          </cell>
          <cell r="BE1228" t="str">
            <v>NOT CONFORM</v>
          </cell>
        </row>
        <row r="1229">
          <cell r="A1229">
            <v>44417</v>
          </cell>
          <cell r="B1229" t="str">
            <v>D2108020-2</v>
          </cell>
          <cell r="C1229" t="str">
            <v>028/21</v>
          </cell>
          <cell r="D1229">
            <v>1</v>
          </cell>
          <cell r="E1229">
            <v>44317</v>
          </cell>
          <cell r="F1229" t="str">
            <v>DC</v>
          </cell>
          <cell r="G1229" t="str">
            <v>Late</v>
          </cell>
          <cell r="H1229" t="str">
            <v>L465699</v>
          </cell>
          <cell r="I1229">
            <v>44413</v>
          </cell>
          <cell r="J1229" t="str">
            <v>ATI</v>
          </cell>
          <cell r="K1229" t="str">
            <v>D2108020</v>
          </cell>
          <cell r="L1229">
            <v>2</v>
          </cell>
          <cell r="M1229" t="str">
            <v>AAD27807</v>
          </cell>
          <cell r="N1229" t="str">
            <v>530108</v>
          </cell>
          <cell r="O1229" t="str">
            <v xml:space="preserve">2.4602 UNS N06022 </v>
          </cell>
          <cell r="P1229" t="str">
            <v>N06022</v>
          </cell>
          <cell r="Q1229">
            <v>2.2240000000000002</v>
          </cell>
          <cell r="S1229">
            <v>7.9000000000000001E-2</v>
          </cell>
          <cell r="V1229" t="str">
            <v/>
          </cell>
          <cell r="X1229">
            <v>3020</v>
          </cell>
          <cell r="Y1229">
            <v>5</v>
          </cell>
          <cell r="Z1229">
            <v>271.58273381294964</v>
          </cell>
          <cell r="AA1229" t="str">
            <v>2.224X0.079-N06022</v>
          </cell>
          <cell r="AB1229" t="str">
            <v>WABI005650200C400127</v>
          </cell>
          <cell r="AC1229" t="str">
            <v>D2108020</v>
          </cell>
          <cell r="AD1229" t="str">
            <v>530108</v>
          </cell>
          <cell r="AE1229">
            <v>4.0000000000000001E-3</v>
          </cell>
          <cell r="AF1229">
            <v>0.24</v>
          </cell>
          <cell r="AG1229">
            <v>0.01</v>
          </cell>
          <cell r="AH1229">
            <v>0</v>
          </cell>
          <cell r="AI1229">
            <v>0.03</v>
          </cell>
          <cell r="AJ1229">
            <v>21</v>
          </cell>
          <cell r="AK1229" t="str">
            <v>BAL</v>
          </cell>
          <cell r="AL1229">
            <v>0</v>
          </cell>
          <cell r="AM1229">
            <v>13.2</v>
          </cell>
          <cell r="AN1229">
            <v>4.8499999999999996</v>
          </cell>
          <cell r="AO1229">
            <v>0</v>
          </cell>
          <cell r="AP1229">
            <v>0</v>
          </cell>
          <cell r="AQ1229">
            <v>0</v>
          </cell>
          <cell r="AR1229">
            <v>0</v>
          </cell>
          <cell r="AS1229">
            <v>0</v>
          </cell>
          <cell r="AT1229">
            <v>383</v>
          </cell>
          <cell r="AU1229">
            <v>383</v>
          </cell>
          <cell r="AV1229">
            <v>803</v>
          </cell>
          <cell r="AW1229">
            <v>58</v>
          </cell>
          <cell r="AX1229">
            <v>91</v>
          </cell>
          <cell r="AY1229">
            <v>190</v>
          </cell>
          <cell r="AZ1229">
            <v>12.5</v>
          </cell>
          <cell r="BA1229" t="str">
            <v>D2108020</v>
          </cell>
          <cell r="BB1229" t="str">
            <v>NOT CONFORM</v>
          </cell>
          <cell r="BC1229" t="str">
            <v>NOT CONFORM</v>
          </cell>
          <cell r="BD1229" t="str">
            <v>CONFORM</v>
          </cell>
          <cell r="BE1229" t="str">
            <v>NOT CONFORM</v>
          </cell>
        </row>
        <row r="1230">
          <cell r="A1230">
            <v>44419</v>
          </cell>
          <cell r="B1230" t="str">
            <v>D2108021-1</v>
          </cell>
          <cell r="C1230" t="str">
            <v>065-21</v>
          </cell>
          <cell r="D1230">
            <v>1</v>
          </cell>
          <cell r="E1230">
            <v>44418</v>
          </cell>
          <cell r="F1230" t="str">
            <v>DC</v>
          </cell>
          <cell r="G1230" t="str">
            <v>On Time</v>
          </cell>
          <cell r="H1230" t="str">
            <v>20210811021</v>
          </cell>
          <cell r="I1230">
            <v>44419</v>
          </cell>
          <cell r="J1230" t="str">
            <v>COILPLUS</v>
          </cell>
          <cell r="K1230" t="str">
            <v>D2108021</v>
          </cell>
          <cell r="L1230">
            <v>1</v>
          </cell>
          <cell r="M1230">
            <v>3277188</v>
          </cell>
          <cell r="N1230" t="str">
            <v>529843</v>
          </cell>
          <cell r="O1230" t="str">
            <v xml:space="preserve">1.4401/1.4404 TP316/316L </v>
          </cell>
          <cell r="P1230" t="str">
            <v>316L</v>
          </cell>
          <cell r="Q1230">
            <v>3.8620000000000001</v>
          </cell>
          <cell r="S1230">
            <v>6.3E-2</v>
          </cell>
          <cell r="V1230" t="str">
            <v/>
          </cell>
          <cell r="X1230">
            <v>4500</v>
          </cell>
          <cell r="Y1230">
            <v>3</v>
          </cell>
          <cell r="Z1230" t="str">
            <v/>
          </cell>
          <cell r="AA1230" t="str">
            <v>3.862X0.063-316L</v>
          </cell>
          <cell r="AB1230" t="str">
            <v>WAAF009810160B300094</v>
          </cell>
          <cell r="AC1230" t="str">
            <v/>
          </cell>
          <cell r="AD1230" t="str">
            <v>529843</v>
          </cell>
          <cell r="AE1230">
            <v>2.8000000000000001E-2</v>
          </cell>
          <cell r="AF1230">
            <v>1.45</v>
          </cell>
          <cell r="AG1230">
            <v>0.03</v>
          </cell>
          <cell r="AH1230">
            <v>1E-3</v>
          </cell>
          <cell r="AI1230">
            <v>0.43</v>
          </cell>
          <cell r="AJ1230">
            <v>16.5</v>
          </cell>
          <cell r="AK1230">
            <v>10.1</v>
          </cell>
          <cell r="AL1230">
            <v>3.6999999999999998E-2</v>
          </cell>
          <cell r="AM1230">
            <v>2.04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0.42</v>
          </cell>
          <cell r="AS1230">
            <v>0</v>
          </cell>
          <cell r="AT1230">
            <v>304</v>
          </cell>
          <cell r="AU1230">
            <v>0</v>
          </cell>
          <cell r="AV1230">
            <v>636</v>
          </cell>
          <cell r="AW1230">
            <v>54</v>
          </cell>
          <cell r="AX1230">
            <v>81</v>
          </cell>
          <cell r="AY1230">
            <v>153</v>
          </cell>
          <cell r="AZ1230">
            <v>8.5000000000000006E-2</v>
          </cell>
          <cell r="BA1230" t="str">
            <v/>
          </cell>
        </row>
        <row r="1231">
          <cell r="A1231">
            <v>44419</v>
          </cell>
          <cell r="B1231" t="str">
            <v>D2108021-2</v>
          </cell>
          <cell r="C1231" t="str">
            <v>065-21</v>
          </cell>
          <cell r="D1231">
            <v>1</v>
          </cell>
          <cell r="E1231">
            <v>44418</v>
          </cell>
          <cell r="F1231" t="str">
            <v>DC</v>
          </cell>
          <cell r="G1231" t="str">
            <v>On Time</v>
          </cell>
          <cell r="H1231" t="str">
            <v>20210811021</v>
          </cell>
          <cell r="I1231">
            <v>44419</v>
          </cell>
          <cell r="J1231" t="str">
            <v>COILPLUS</v>
          </cell>
          <cell r="K1231" t="str">
            <v>D2108021</v>
          </cell>
          <cell r="L1231">
            <v>2</v>
          </cell>
          <cell r="M1231">
            <v>3277188</v>
          </cell>
          <cell r="N1231" t="str">
            <v>529494</v>
          </cell>
          <cell r="O1231" t="str">
            <v xml:space="preserve">1.4401/1.4404 TP316/316L </v>
          </cell>
          <cell r="P1231" t="str">
            <v>316L</v>
          </cell>
          <cell r="Q1231">
            <v>3.8620000000000001</v>
          </cell>
          <cell r="S1231">
            <v>6.3E-2</v>
          </cell>
          <cell r="V1231" t="str">
            <v/>
          </cell>
          <cell r="X1231">
            <v>4506</v>
          </cell>
          <cell r="Y1231">
            <v>3</v>
          </cell>
          <cell r="Z1231" t="str">
            <v/>
          </cell>
          <cell r="AA1231" t="str">
            <v>3.862X0.063-316L</v>
          </cell>
          <cell r="AB1231" t="str">
            <v>WAAF009810160B300094</v>
          </cell>
          <cell r="AC1231" t="str">
            <v/>
          </cell>
          <cell r="AD1231" t="str">
            <v>529494</v>
          </cell>
          <cell r="AE1231">
            <v>2.5000000000000001E-2</v>
          </cell>
          <cell r="AF1231">
            <v>1.52</v>
          </cell>
          <cell r="AG1231">
            <v>3.2000000000000001E-2</v>
          </cell>
          <cell r="AH1231">
            <v>1E-3</v>
          </cell>
          <cell r="AI1231">
            <v>0.39</v>
          </cell>
          <cell r="AJ1231">
            <v>16.8</v>
          </cell>
          <cell r="AK1231">
            <v>10</v>
          </cell>
          <cell r="AL1231">
            <v>3.6999999999999998E-2</v>
          </cell>
          <cell r="AM1231">
            <v>2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0.43</v>
          </cell>
          <cell r="AS1231">
            <v>0</v>
          </cell>
          <cell r="AT1231">
            <v>305</v>
          </cell>
          <cell r="AU1231">
            <v>0</v>
          </cell>
          <cell r="AV1231">
            <v>633</v>
          </cell>
          <cell r="AW1231">
            <v>49</v>
          </cell>
          <cell r="AX1231">
            <v>82</v>
          </cell>
          <cell r="AY1231">
            <v>156</v>
          </cell>
          <cell r="AZ1231">
            <v>8.5000000000000006E-2</v>
          </cell>
          <cell r="BA1231" t="str">
            <v/>
          </cell>
        </row>
        <row r="1232">
          <cell r="A1232">
            <v>44419</v>
          </cell>
          <cell r="B1232" t="str">
            <v>D2108021-3</v>
          </cell>
          <cell r="C1232" t="str">
            <v>065-21</v>
          </cell>
          <cell r="D1232">
            <v>1</v>
          </cell>
          <cell r="E1232">
            <v>44418</v>
          </cell>
          <cell r="F1232" t="str">
            <v>DC</v>
          </cell>
          <cell r="G1232" t="str">
            <v>On Time</v>
          </cell>
          <cell r="H1232" t="str">
            <v>20210811021</v>
          </cell>
          <cell r="I1232">
            <v>44419</v>
          </cell>
          <cell r="J1232" t="str">
            <v>COILPLUS</v>
          </cell>
          <cell r="K1232" t="str">
            <v>D2108021</v>
          </cell>
          <cell r="L1232">
            <v>3</v>
          </cell>
          <cell r="M1232">
            <v>3277188</v>
          </cell>
          <cell r="N1232" t="str">
            <v>529494</v>
          </cell>
          <cell r="O1232" t="str">
            <v xml:space="preserve">1.4401/1.4404 TP316/316L </v>
          </cell>
          <cell r="P1232" t="str">
            <v>316L</v>
          </cell>
          <cell r="Q1232">
            <v>3.8620000000000001</v>
          </cell>
          <cell r="S1232">
            <v>6.3E-2</v>
          </cell>
          <cell r="V1232" t="str">
            <v/>
          </cell>
          <cell r="X1232">
            <v>4506</v>
          </cell>
          <cell r="Y1232">
            <v>3</v>
          </cell>
          <cell r="Z1232" t="str">
            <v/>
          </cell>
          <cell r="AA1232" t="str">
            <v>3.862X0.063-316L</v>
          </cell>
          <cell r="AB1232" t="str">
            <v>WAAF009810160B300094</v>
          </cell>
          <cell r="AC1232" t="str">
            <v/>
          </cell>
          <cell r="AD1232" t="str">
            <v>529494</v>
          </cell>
          <cell r="AE1232">
            <v>2.5000000000000001E-2</v>
          </cell>
          <cell r="AF1232">
            <v>1.52</v>
          </cell>
          <cell r="AG1232">
            <v>3.2000000000000001E-2</v>
          </cell>
          <cell r="AH1232">
            <v>1E-3</v>
          </cell>
          <cell r="AI1232">
            <v>0.39</v>
          </cell>
          <cell r="AJ1232">
            <v>16.8</v>
          </cell>
          <cell r="AK1232">
            <v>10</v>
          </cell>
          <cell r="AL1232">
            <v>3.6999999999999998E-2</v>
          </cell>
          <cell r="AM1232">
            <v>2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0.43</v>
          </cell>
          <cell r="AS1232">
            <v>0</v>
          </cell>
          <cell r="AT1232">
            <v>305</v>
          </cell>
          <cell r="AU1232">
            <v>0</v>
          </cell>
          <cell r="AV1232">
            <v>633</v>
          </cell>
          <cell r="AW1232">
            <v>49</v>
          </cell>
          <cell r="AX1232">
            <v>82</v>
          </cell>
          <cell r="AY1232">
            <v>156</v>
          </cell>
          <cell r="AZ1232">
            <v>8.5000000000000006E-2</v>
          </cell>
          <cell r="BA1232" t="str">
            <v/>
          </cell>
        </row>
        <row r="1233">
          <cell r="A1233">
            <v>44419</v>
          </cell>
          <cell r="B1233" t="str">
            <v>D2108021-4</v>
          </cell>
          <cell r="C1233" t="str">
            <v>065-21</v>
          </cell>
          <cell r="D1233">
            <v>1</v>
          </cell>
          <cell r="E1233">
            <v>44418</v>
          </cell>
          <cell r="F1233" t="str">
            <v>DC</v>
          </cell>
          <cell r="G1233" t="str">
            <v>On Time</v>
          </cell>
          <cell r="H1233" t="str">
            <v>20210811021</v>
          </cell>
          <cell r="I1233">
            <v>44419</v>
          </cell>
          <cell r="J1233" t="str">
            <v>COILPLUS</v>
          </cell>
          <cell r="K1233" t="str">
            <v>D2108021</v>
          </cell>
          <cell r="L1233">
            <v>4</v>
          </cell>
          <cell r="M1233">
            <v>3277188</v>
          </cell>
          <cell r="N1233" t="str">
            <v>529494</v>
          </cell>
          <cell r="O1233" t="str">
            <v xml:space="preserve">1.4401/1.4404 TP316/316L </v>
          </cell>
          <cell r="P1233" t="str">
            <v>316L</v>
          </cell>
          <cell r="Q1233">
            <v>3.8620000000000001</v>
          </cell>
          <cell r="S1233">
            <v>6.3E-2</v>
          </cell>
          <cell r="V1233" t="str">
            <v/>
          </cell>
          <cell r="X1233">
            <v>2990</v>
          </cell>
          <cell r="Y1233">
            <v>2</v>
          </cell>
          <cell r="Z1233" t="str">
            <v/>
          </cell>
          <cell r="AA1233" t="str">
            <v>3.862X0.063-316L</v>
          </cell>
          <cell r="AB1233" t="str">
            <v>WAAF009810160B300094</v>
          </cell>
          <cell r="AC1233" t="str">
            <v/>
          </cell>
          <cell r="AD1233" t="str">
            <v>529494</v>
          </cell>
          <cell r="AE1233">
            <v>2.5000000000000001E-2</v>
          </cell>
          <cell r="AF1233">
            <v>1.52</v>
          </cell>
          <cell r="AG1233">
            <v>3.2000000000000001E-2</v>
          </cell>
          <cell r="AH1233">
            <v>1E-3</v>
          </cell>
          <cell r="AI1233">
            <v>0.39</v>
          </cell>
          <cell r="AJ1233">
            <v>16.8</v>
          </cell>
          <cell r="AK1233">
            <v>10</v>
          </cell>
          <cell r="AL1233">
            <v>3.6999999999999998E-2</v>
          </cell>
          <cell r="AM1233">
            <v>2</v>
          </cell>
          <cell r="AN1233">
            <v>0</v>
          </cell>
          <cell r="AO1233">
            <v>0</v>
          </cell>
          <cell r="AP1233">
            <v>0</v>
          </cell>
          <cell r="AQ1233">
            <v>0</v>
          </cell>
          <cell r="AR1233">
            <v>0.43</v>
          </cell>
          <cell r="AS1233">
            <v>0</v>
          </cell>
          <cell r="AT1233">
            <v>305</v>
          </cell>
          <cell r="AU1233">
            <v>0</v>
          </cell>
          <cell r="AV1233">
            <v>633</v>
          </cell>
          <cell r="AW1233">
            <v>49</v>
          </cell>
          <cell r="AX1233">
            <v>82</v>
          </cell>
          <cell r="AY1233">
            <v>156</v>
          </cell>
          <cell r="AZ1233">
            <v>8.5000000000000006E-2</v>
          </cell>
          <cell r="BA1233" t="str">
            <v/>
          </cell>
        </row>
        <row r="1234">
          <cell r="A1234">
            <v>44419</v>
          </cell>
          <cell r="B1234" t="str">
            <v>D2108022-1</v>
          </cell>
          <cell r="C1234" t="str">
            <v>067-21</v>
          </cell>
          <cell r="D1234">
            <v>1</v>
          </cell>
          <cell r="E1234">
            <v>44418</v>
          </cell>
          <cell r="F1234" t="str">
            <v>DC</v>
          </cell>
          <cell r="G1234" t="str">
            <v>On Time</v>
          </cell>
          <cell r="H1234" t="str">
            <v>20210811021</v>
          </cell>
          <cell r="I1234">
            <v>44419</v>
          </cell>
          <cell r="J1234" t="str">
            <v>COILPLUS</v>
          </cell>
          <cell r="K1234" t="str">
            <v>D2108022</v>
          </cell>
          <cell r="L1234">
            <v>5</v>
          </cell>
          <cell r="M1234">
            <v>3277188</v>
          </cell>
          <cell r="N1234" t="str">
            <v>529494</v>
          </cell>
          <cell r="O1234" t="str">
            <v xml:space="preserve">1.4401/1.4404 TP316/316L </v>
          </cell>
          <cell r="P1234" t="str">
            <v>316L</v>
          </cell>
          <cell r="Q1234">
            <v>3.8620000000000001</v>
          </cell>
          <cell r="S1234">
            <v>6.3E-2</v>
          </cell>
          <cell r="V1234" t="str">
            <v/>
          </cell>
          <cell r="X1234">
            <v>3910</v>
          </cell>
          <cell r="Y1234">
            <v>2</v>
          </cell>
          <cell r="Z1234" t="str">
            <v/>
          </cell>
          <cell r="AA1234" t="str">
            <v>3.862X0.063-316L</v>
          </cell>
          <cell r="AB1234" t="str">
            <v>WAAF009810160B300094</v>
          </cell>
          <cell r="AC1234" t="str">
            <v/>
          </cell>
          <cell r="AD1234" t="str">
            <v>529494</v>
          </cell>
          <cell r="AE1234">
            <v>2.5000000000000001E-2</v>
          </cell>
          <cell r="AF1234">
            <v>1.52</v>
          </cell>
          <cell r="AG1234">
            <v>3.2000000000000001E-2</v>
          </cell>
          <cell r="AH1234">
            <v>1E-3</v>
          </cell>
          <cell r="AI1234">
            <v>0.39</v>
          </cell>
          <cell r="AJ1234">
            <v>16.8</v>
          </cell>
          <cell r="AK1234">
            <v>10</v>
          </cell>
          <cell r="AL1234">
            <v>3.6999999999999998E-2</v>
          </cell>
          <cell r="AM1234">
            <v>2</v>
          </cell>
          <cell r="AN1234">
            <v>0</v>
          </cell>
          <cell r="AO1234">
            <v>0</v>
          </cell>
          <cell r="AP1234">
            <v>0</v>
          </cell>
          <cell r="AQ1234">
            <v>0</v>
          </cell>
          <cell r="AR1234">
            <v>0.43</v>
          </cell>
          <cell r="AS1234">
            <v>0</v>
          </cell>
          <cell r="AT1234">
            <v>305</v>
          </cell>
          <cell r="AU1234">
            <v>0</v>
          </cell>
          <cell r="AV1234">
            <v>633</v>
          </cell>
          <cell r="AW1234">
            <v>49</v>
          </cell>
          <cell r="AX1234">
            <v>82</v>
          </cell>
          <cell r="AY1234">
            <v>156</v>
          </cell>
          <cell r="AZ1234">
            <v>8.5000000000000006E-2</v>
          </cell>
          <cell r="BA1234" t="str">
            <v/>
          </cell>
        </row>
        <row r="1235">
          <cell r="A1235">
            <v>44420</v>
          </cell>
          <cell r="B1235" t="str">
            <v>-</v>
          </cell>
          <cell r="C1235" t="str">
            <v>067-21</v>
          </cell>
          <cell r="D1235">
            <v>1</v>
          </cell>
          <cell r="E1235" t="str">
            <v/>
          </cell>
          <cell r="F1235" t="str">
            <v>DC</v>
          </cell>
          <cell r="G1235" t="str">
            <v/>
          </cell>
          <cell r="H1235">
            <v>20210812024</v>
          </cell>
          <cell r="I1235">
            <v>44420</v>
          </cell>
          <cell r="J1235" t="str">
            <v/>
          </cell>
          <cell r="K1235" t="str">
            <v>D2108022</v>
          </cell>
          <cell r="L1235">
            <v>2</v>
          </cell>
          <cell r="M1235">
            <v>3284367</v>
          </cell>
          <cell r="N1235" t="str">
            <v>529843</v>
          </cell>
          <cell r="O1235" t="str">
            <v/>
          </cell>
          <cell r="P1235" t="str">
            <v>316L</v>
          </cell>
          <cell r="Q1235">
            <v>3.8620000000000001</v>
          </cell>
          <cell r="S1235">
            <v>6.3E-2</v>
          </cell>
          <cell r="V1235" t="str">
            <v/>
          </cell>
          <cell r="X1235">
            <v>5892</v>
          </cell>
          <cell r="Y1235">
            <v>3</v>
          </cell>
          <cell r="Z1235" t="str">
            <v/>
          </cell>
          <cell r="AA1235" t="str">
            <v/>
          </cell>
          <cell r="AB1235" t="str">
            <v>WAAF009810160B300094</v>
          </cell>
          <cell r="AC1235" t="str">
            <v/>
          </cell>
          <cell r="AD1235" t="str">
            <v/>
          </cell>
          <cell r="AE1235">
            <v>2.8000000000000001E-2</v>
          </cell>
          <cell r="AF1235">
            <v>1.45</v>
          </cell>
          <cell r="AG1235">
            <v>0.03</v>
          </cell>
          <cell r="AH1235">
            <v>1E-3</v>
          </cell>
          <cell r="AI1235">
            <v>0.43</v>
          </cell>
          <cell r="AJ1235">
            <v>16.5</v>
          </cell>
          <cell r="AK1235">
            <v>10.1</v>
          </cell>
          <cell r="AL1235">
            <v>4.1000000000000002E-2</v>
          </cell>
          <cell r="AM1235">
            <v>2.04</v>
          </cell>
          <cell r="AN1235">
            <v>0</v>
          </cell>
          <cell r="AO1235">
            <v>0</v>
          </cell>
          <cell r="AP1235">
            <v>0</v>
          </cell>
          <cell r="AQ1235">
            <v>0</v>
          </cell>
          <cell r="AR1235">
            <v>0.42</v>
          </cell>
          <cell r="AS1235">
            <v>0</v>
          </cell>
          <cell r="AT1235">
            <v>304</v>
          </cell>
          <cell r="AU1235">
            <v>0</v>
          </cell>
          <cell r="AV1235">
            <v>636</v>
          </cell>
          <cell r="AW1235">
            <v>54</v>
          </cell>
          <cell r="AX1235">
            <v>81</v>
          </cell>
          <cell r="AY1235" t="str">
            <v/>
          </cell>
          <cell r="AZ1235" t="str">
            <v/>
          </cell>
          <cell r="BA1235" t="str">
            <v/>
          </cell>
        </row>
        <row r="1236">
          <cell r="A1236">
            <v>44420</v>
          </cell>
          <cell r="B1236" t="str">
            <v>-</v>
          </cell>
          <cell r="C1236" t="str">
            <v>067-21</v>
          </cell>
          <cell r="D1236">
            <v>1</v>
          </cell>
          <cell r="E1236" t="str">
            <v/>
          </cell>
          <cell r="F1236" t="str">
            <v>DC</v>
          </cell>
          <cell r="G1236" t="str">
            <v/>
          </cell>
          <cell r="H1236">
            <v>20210812024</v>
          </cell>
          <cell r="I1236">
            <v>44420</v>
          </cell>
          <cell r="J1236" t="str">
            <v/>
          </cell>
          <cell r="K1236" t="str">
            <v>D2108022</v>
          </cell>
          <cell r="L1236">
            <v>3</v>
          </cell>
          <cell r="M1236">
            <v>3284367</v>
          </cell>
          <cell r="N1236" t="str">
            <v>529843</v>
          </cell>
          <cell r="O1236" t="str">
            <v/>
          </cell>
          <cell r="P1236" t="str">
            <v>316L</v>
          </cell>
          <cell r="Q1236">
            <v>3.8620000000000001</v>
          </cell>
          <cell r="S1236">
            <v>6.3E-2</v>
          </cell>
          <cell r="V1236" t="str">
            <v/>
          </cell>
          <cell r="X1236">
            <v>5876</v>
          </cell>
          <cell r="Y1236">
            <v>3</v>
          </cell>
          <cell r="Z1236" t="str">
            <v/>
          </cell>
          <cell r="AA1236" t="str">
            <v/>
          </cell>
          <cell r="AB1236" t="str">
            <v>WAAF009810160B300094</v>
          </cell>
          <cell r="AC1236" t="str">
            <v/>
          </cell>
          <cell r="AD1236" t="str">
            <v/>
          </cell>
          <cell r="AE1236">
            <v>2.8000000000000001E-2</v>
          </cell>
          <cell r="AF1236">
            <v>1.45</v>
          </cell>
          <cell r="AG1236">
            <v>0.03</v>
          </cell>
          <cell r="AH1236">
            <v>1E-3</v>
          </cell>
          <cell r="AI1236">
            <v>0.43</v>
          </cell>
          <cell r="AJ1236">
            <v>16.5</v>
          </cell>
          <cell r="AK1236">
            <v>10.1</v>
          </cell>
          <cell r="AL1236">
            <v>4.1000000000000002E-2</v>
          </cell>
          <cell r="AM1236">
            <v>2.04</v>
          </cell>
          <cell r="AN1236">
            <v>0</v>
          </cell>
          <cell r="AO1236">
            <v>0</v>
          </cell>
          <cell r="AP1236">
            <v>0</v>
          </cell>
          <cell r="AQ1236">
            <v>0</v>
          </cell>
          <cell r="AR1236">
            <v>0.42</v>
          </cell>
          <cell r="AS1236">
            <v>0</v>
          </cell>
          <cell r="AT1236">
            <v>304</v>
          </cell>
          <cell r="AU1236">
            <v>0</v>
          </cell>
          <cell r="AV1236">
            <v>636</v>
          </cell>
          <cell r="AW1236">
            <v>54</v>
          </cell>
          <cell r="AX1236">
            <v>81</v>
          </cell>
          <cell r="AY1236" t="str">
            <v/>
          </cell>
          <cell r="AZ1236" t="str">
            <v/>
          </cell>
          <cell r="BA1236" t="str">
            <v/>
          </cell>
        </row>
        <row r="1237">
          <cell r="A1237">
            <v>44420</v>
          </cell>
          <cell r="B1237" t="str">
            <v>-</v>
          </cell>
          <cell r="C1237" t="str">
            <v>067-21</v>
          </cell>
          <cell r="D1237">
            <v>1</v>
          </cell>
          <cell r="E1237" t="str">
            <v/>
          </cell>
          <cell r="F1237" t="str">
            <v>DC</v>
          </cell>
          <cell r="G1237" t="str">
            <v/>
          </cell>
          <cell r="H1237">
            <v>20210812024</v>
          </cell>
          <cell r="I1237">
            <v>44420</v>
          </cell>
          <cell r="J1237" t="str">
            <v/>
          </cell>
          <cell r="K1237" t="str">
            <v>D2108022</v>
          </cell>
          <cell r="L1237">
            <v>4</v>
          </cell>
          <cell r="M1237">
            <v>3284367</v>
          </cell>
          <cell r="N1237" t="str">
            <v>529843</v>
          </cell>
          <cell r="O1237" t="str">
            <v/>
          </cell>
          <cell r="P1237" t="str">
            <v>316L</v>
          </cell>
          <cell r="Q1237">
            <v>3.8620000000000001</v>
          </cell>
          <cell r="S1237">
            <v>6.3E-2</v>
          </cell>
          <cell r="V1237" t="str">
            <v/>
          </cell>
          <cell r="X1237">
            <v>5896</v>
          </cell>
          <cell r="Y1237">
            <v>3</v>
          </cell>
          <cell r="Z1237" t="str">
            <v/>
          </cell>
          <cell r="AA1237" t="str">
            <v/>
          </cell>
          <cell r="AB1237" t="str">
            <v>WAAF009810160B300094</v>
          </cell>
          <cell r="AC1237" t="str">
            <v/>
          </cell>
          <cell r="AD1237" t="str">
            <v/>
          </cell>
          <cell r="AE1237">
            <v>2.8000000000000001E-2</v>
          </cell>
          <cell r="AF1237">
            <v>1.45</v>
          </cell>
          <cell r="AG1237">
            <v>0.03</v>
          </cell>
          <cell r="AH1237">
            <v>1E-3</v>
          </cell>
          <cell r="AI1237">
            <v>0.43</v>
          </cell>
          <cell r="AJ1237">
            <v>16.5</v>
          </cell>
          <cell r="AK1237">
            <v>10.1</v>
          </cell>
          <cell r="AL1237">
            <v>4.1000000000000002E-2</v>
          </cell>
          <cell r="AM1237">
            <v>2.04</v>
          </cell>
          <cell r="AN1237">
            <v>0</v>
          </cell>
          <cell r="AO1237">
            <v>0</v>
          </cell>
          <cell r="AP1237">
            <v>0</v>
          </cell>
          <cell r="AQ1237">
            <v>0</v>
          </cell>
          <cell r="AR1237">
            <v>0.42</v>
          </cell>
          <cell r="AS1237">
            <v>0</v>
          </cell>
          <cell r="AT1237">
            <v>304</v>
          </cell>
          <cell r="AU1237">
            <v>0</v>
          </cell>
          <cell r="AV1237">
            <v>636</v>
          </cell>
          <cell r="AW1237">
            <v>54</v>
          </cell>
          <cell r="AX1237">
            <v>81</v>
          </cell>
          <cell r="AY1237" t="str">
            <v/>
          </cell>
          <cell r="AZ1237" t="str">
            <v/>
          </cell>
          <cell r="BA1237" t="str">
            <v/>
          </cell>
        </row>
        <row r="1238">
          <cell r="A1238">
            <v>44420</v>
          </cell>
          <cell r="B1238" t="str">
            <v>-</v>
          </cell>
          <cell r="C1238" t="str">
            <v>067-21</v>
          </cell>
          <cell r="D1238">
            <v>2</v>
          </cell>
          <cell r="E1238" t="str">
            <v/>
          </cell>
          <cell r="F1238" t="str">
            <v>DC</v>
          </cell>
          <cell r="G1238" t="str">
            <v/>
          </cell>
          <cell r="H1238">
            <v>20210812024</v>
          </cell>
          <cell r="I1238">
            <v>44420</v>
          </cell>
          <cell r="J1238" t="str">
            <v/>
          </cell>
          <cell r="K1238" t="str">
            <v>D2108024</v>
          </cell>
          <cell r="L1238">
            <v>1</v>
          </cell>
          <cell r="M1238">
            <v>3284367</v>
          </cell>
          <cell r="N1238" t="str">
            <v>529843</v>
          </cell>
          <cell r="O1238" t="str">
            <v/>
          </cell>
          <cell r="P1238" t="str">
            <v>316L</v>
          </cell>
          <cell r="Q1238">
            <v>2.2759999999999998</v>
          </cell>
          <cell r="S1238">
            <v>6.3E-2</v>
          </cell>
          <cell r="V1238" t="str">
            <v/>
          </cell>
          <cell r="X1238">
            <v>2296</v>
          </cell>
          <cell r="Y1238">
            <v>2</v>
          </cell>
          <cell r="Z1238" t="str">
            <v/>
          </cell>
          <cell r="AA1238" t="str">
            <v/>
          </cell>
          <cell r="AB1238" t="str">
            <v>WAAF005780160B300013</v>
          </cell>
          <cell r="AC1238" t="str">
            <v/>
          </cell>
          <cell r="AD1238" t="str">
            <v/>
          </cell>
          <cell r="AE1238">
            <v>2.8000000000000001E-2</v>
          </cell>
          <cell r="AF1238">
            <v>1.45</v>
          </cell>
          <cell r="AG1238">
            <v>0.03</v>
          </cell>
          <cell r="AH1238">
            <v>1E-3</v>
          </cell>
          <cell r="AI1238">
            <v>0.43</v>
          </cell>
          <cell r="AJ1238">
            <v>16.5</v>
          </cell>
          <cell r="AK1238">
            <v>10.1</v>
          </cell>
          <cell r="AL1238">
            <v>4.1000000000000002E-2</v>
          </cell>
          <cell r="AM1238">
            <v>2.04</v>
          </cell>
          <cell r="AN1238">
            <v>0</v>
          </cell>
          <cell r="AO1238">
            <v>0</v>
          </cell>
          <cell r="AP1238">
            <v>0</v>
          </cell>
          <cell r="AQ1238">
            <v>0</v>
          </cell>
          <cell r="AR1238">
            <v>0.42</v>
          </cell>
          <cell r="AS1238">
            <v>0</v>
          </cell>
          <cell r="AT1238">
            <v>304</v>
          </cell>
          <cell r="AU1238">
            <v>0</v>
          </cell>
          <cell r="AV1238">
            <v>636</v>
          </cell>
          <cell r="AW1238">
            <v>54</v>
          </cell>
          <cell r="AX1238">
            <v>81</v>
          </cell>
          <cell r="AY1238" t="str">
            <v/>
          </cell>
          <cell r="AZ1238" t="str">
            <v/>
          </cell>
          <cell r="BA1238" t="str">
            <v/>
          </cell>
        </row>
        <row r="1239">
          <cell r="A1239">
            <v>44420</v>
          </cell>
          <cell r="B1239" t="str">
            <v>-</v>
          </cell>
          <cell r="C1239" t="str">
            <v>065-21</v>
          </cell>
          <cell r="D1239">
            <v>2</v>
          </cell>
          <cell r="E1239" t="str">
            <v/>
          </cell>
          <cell r="F1239" t="str">
            <v>DC</v>
          </cell>
          <cell r="G1239" t="str">
            <v/>
          </cell>
          <cell r="H1239">
            <v>20210812024</v>
          </cell>
          <cell r="I1239">
            <v>44420</v>
          </cell>
          <cell r="J1239" t="str">
            <v/>
          </cell>
          <cell r="K1239" t="str">
            <v>D2108023</v>
          </cell>
          <cell r="L1239">
            <v>1</v>
          </cell>
          <cell r="M1239">
            <v>3277188</v>
          </cell>
          <cell r="N1239" t="str">
            <v>529494</v>
          </cell>
          <cell r="O1239" t="str">
            <v/>
          </cell>
          <cell r="P1239" t="str">
            <v>316L</v>
          </cell>
          <cell r="Q1239">
            <v>2.2759999999999998</v>
          </cell>
          <cell r="S1239">
            <v>6.3E-2</v>
          </cell>
          <cell r="V1239" t="str">
            <v/>
          </cell>
          <cell r="X1239">
            <v>1768</v>
          </cell>
          <cell r="Y1239">
            <v>2</v>
          </cell>
          <cell r="Z1239" t="str">
            <v/>
          </cell>
          <cell r="AA1239" t="str">
            <v/>
          </cell>
          <cell r="AB1239" t="str">
            <v>WAAF005780160B300013</v>
          </cell>
          <cell r="AC1239" t="str">
            <v/>
          </cell>
          <cell r="AD1239" t="str">
            <v/>
          </cell>
          <cell r="AE1239">
            <v>2.5000000000000001E-2</v>
          </cell>
          <cell r="AF1239">
            <v>1.52</v>
          </cell>
          <cell r="AG1239">
            <v>3.2000000000000001E-2</v>
          </cell>
          <cell r="AH1239">
            <v>1E-3</v>
          </cell>
          <cell r="AI1239">
            <v>0.39</v>
          </cell>
          <cell r="AJ1239">
            <v>16.8</v>
          </cell>
          <cell r="AK1239">
            <v>10</v>
          </cell>
          <cell r="AL1239">
            <v>3.6999999999999998E-2</v>
          </cell>
          <cell r="AM1239">
            <v>2</v>
          </cell>
          <cell r="AN1239">
            <v>0</v>
          </cell>
          <cell r="AO1239">
            <v>0</v>
          </cell>
          <cell r="AP1239">
            <v>0</v>
          </cell>
          <cell r="AQ1239">
            <v>0</v>
          </cell>
          <cell r="AR1239">
            <v>0.43</v>
          </cell>
          <cell r="AS1239">
            <v>0</v>
          </cell>
          <cell r="AT1239">
            <v>305</v>
          </cell>
          <cell r="AU1239">
            <v>0</v>
          </cell>
          <cell r="AV1239">
            <v>633</v>
          </cell>
          <cell r="AW1239">
            <v>49</v>
          </cell>
          <cell r="AX1239">
            <v>82</v>
          </cell>
          <cell r="AY1239" t="str">
            <v/>
          </cell>
          <cell r="AZ1239" t="str">
            <v/>
          </cell>
          <cell r="BA1239" t="str">
            <v/>
          </cell>
        </row>
        <row r="1240">
          <cell r="A1240">
            <v>44420</v>
          </cell>
          <cell r="B1240" t="str">
            <v>-</v>
          </cell>
          <cell r="C1240" t="str">
            <v>066-21</v>
          </cell>
          <cell r="D1240">
            <v>2</v>
          </cell>
          <cell r="E1240" t="str">
            <v/>
          </cell>
          <cell r="F1240" t="str">
            <v>DC</v>
          </cell>
          <cell r="G1240" t="str">
            <v/>
          </cell>
          <cell r="H1240">
            <v>20210812024</v>
          </cell>
          <cell r="I1240">
            <v>44420</v>
          </cell>
          <cell r="J1240" t="str">
            <v/>
          </cell>
          <cell r="K1240" t="str">
            <v>D2108023</v>
          </cell>
          <cell r="L1240">
            <v>2</v>
          </cell>
          <cell r="M1240">
            <v>3277188</v>
          </cell>
          <cell r="N1240" t="str">
            <v>529494</v>
          </cell>
          <cell r="O1240" t="str">
            <v/>
          </cell>
          <cell r="P1240" t="str">
            <v>316L</v>
          </cell>
          <cell r="Q1240">
            <v>2.2759999999999998</v>
          </cell>
          <cell r="S1240">
            <v>6.3E-2</v>
          </cell>
          <cell r="V1240" t="str">
            <v/>
          </cell>
          <cell r="X1240">
            <v>1758</v>
          </cell>
          <cell r="Y1240">
            <v>2</v>
          </cell>
          <cell r="Z1240" t="str">
            <v/>
          </cell>
          <cell r="AA1240" t="str">
            <v/>
          </cell>
          <cell r="AB1240" t="str">
            <v>WAAF005780160B300013</v>
          </cell>
          <cell r="AC1240" t="str">
            <v/>
          </cell>
          <cell r="AD1240" t="str">
            <v/>
          </cell>
          <cell r="AE1240">
            <v>2.5000000000000001E-2</v>
          </cell>
          <cell r="AF1240">
            <v>1.52</v>
          </cell>
          <cell r="AG1240">
            <v>3.2000000000000001E-2</v>
          </cell>
          <cell r="AH1240">
            <v>1E-3</v>
          </cell>
          <cell r="AI1240">
            <v>0.39</v>
          </cell>
          <cell r="AJ1240">
            <v>16.8</v>
          </cell>
          <cell r="AK1240">
            <v>10</v>
          </cell>
          <cell r="AL1240">
            <v>3.6999999999999998E-2</v>
          </cell>
          <cell r="AM1240">
            <v>2</v>
          </cell>
          <cell r="AN1240">
            <v>0</v>
          </cell>
          <cell r="AO1240">
            <v>0</v>
          </cell>
          <cell r="AP1240">
            <v>0</v>
          </cell>
          <cell r="AQ1240">
            <v>0</v>
          </cell>
          <cell r="AR1240">
            <v>0.43</v>
          </cell>
          <cell r="AS1240">
            <v>0</v>
          </cell>
          <cell r="AT1240">
            <v>305</v>
          </cell>
          <cell r="AU1240">
            <v>0</v>
          </cell>
          <cell r="AV1240">
            <v>633</v>
          </cell>
          <cell r="AW1240">
            <v>49</v>
          </cell>
          <cell r="AX1240">
            <v>82</v>
          </cell>
          <cell r="AY1240" t="str">
            <v/>
          </cell>
          <cell r="AZ1240" t="str">
            <v/>
          </cell>
          <cell r="BA1240" t="str">
            <v/>
          </cell>
        </row>
        <row r="1241">
          <cell r="A1241">
            <v>44420</v>
          </cell>
          <cell r="B1241" t="str">
            <v>-</v>
          </cell>
          <cell r="C1241" t="str">
            <v>066-21</v>
          </cell>
          <cell r="D1241">
            <v>1</v>
          </cell>
          <cell r="E1241" t="str">
            <v/>
          </cell>
          <cell r="F1241" t="str">
            <v>DC</v>
          </cell>
          <cell r="G1241" t="str">
            <v/>
          </cell>
          <cell r="H1241">
            <v>20210812024</v>
          </cell>
          <cell r="I1241">
            <v>44420</v>
          </cell>
          <cell r="J1241" t="str">
            <v/>
          </cell>
          <cell r="K1241" t="str">
            <v>D2108025</v>
          </cell>
          <cell r="L1241">
            <v>1</v>
          </cell>
          <cell r="M1241">
            <v>3277188</v>
          </cell>
          <cell r="N1241" t="str">
            <v>529494</v>
          </cell>
          <cell r="O1241" t="str">
            <v/>
          </cell>
          <cell r="P1241" t="str">
            <v>316L</v>
          </cell>
          <cell r="Q1241">
            <v>3.8620000000000001</v>
          </cell>
          <cell r="S1241">
            <v>6.3E-2</v>
          </cell>
          <cell r="V1241" t="str">
            <v/>
          </cell>
          <cell r="X1241">
            <v>2998</v>
          </cell>
          <cell r="Y1241">
            <v>2</v>
          </cell>
          <cell r="Z1241" t="str">
            <v/>
          </cell>
          <cell r="AA1241" t="str">
            <v/>
          </cell>
          <cell r="AB1241" t="str">
            <v>WAAF009810160B300094</v>
          </cell>
          <cell r="AC1241" t="str">
            <v/>
          </cell>
          <cell r="AD1241" t="str">
            <v/>
          </cell>
          <cell r="AE1241">
            <v>2.5000000000000001E-2</v>
          </cell>
          <cell r="AF1241">
            <v>1.52</v>
          </cell>
          <cell r="AG1241">
            <v>3.2000000000000001E-2</v>
          </cell>
          <cell r="AH1241">
            <v>1E-3</v>
          </cell>
          <cell r="AI1241">
            <v>0.39</v>
          </cell>
          <cell r="AJ1241">
            <v>16.8</v>
          </cell>
          <cell r="AK1241">
            <v>10</v>
          </cell>
          <cell r="AL1241">
            <v>3.6999999999999998E-2</v>
          </cell>
          <cell r="AM1241">
            <v>2</v>
          </cell>
          <cell r="AN1241">
            <v>0</v>
          </cell>
          <cell r="AO1241">
            <v>0</v>
          </cell>
          <cell r="AP1241">
            <v>0</v>
          </cell>
          <cell r="AQ1241">
            <v>0</v>
          </cell>
          <cell r="AR1241">
            <v>0.43</v>
          </cell>
          <cell r="AS1241">
            <v>0</v>
          </cell>
          <cell r="AT1241">
            <v>305</v>
          </cell>
          <cell r="AU1241">
            <v>0</v>
          </cell>
          <cell r="AV1241">
            <v>633</v>
          </cell>
          <cell r="AW1241">
            <v>49</v>
          </cell>
          <cell r="AX1241">
            <v>82</v>
          </cell>
          <cell r="AY1241" t="str">
            <v/>
          </cell>
          <cell r="AZ1241" t="str">
            <v/>
          </cell>
          <cell r="BA1241" t="str">
            <v/>
          </cell>
        </row>
        <row r="1242">
          <cell r="A1242">
            <v>44420</v>
          </cell>
          <cell r="B1242" t="str">
            <v>-</v>
          </cell>
          <cell r="C1242" t="str">
            <v>066-21</v>
          </cell>
          <cell r="D1242">
            <v>1</v>
          </cell>
          <cell r="E1242" t="str">
            <v/>
          </cell>
          <cell r="F1242" t="str">
            <v>DC</v>
          </cell>
          <cell r="G1242" t="str">
            <v/>
          </cell>
          <cell r="H1242">
            <v>20210812024</v>
          </cell>
          <cell r="I1242">
            <v>44420</v>
          </cell>
          <cell r="J1242" t="str">
            <v/>
          </cell>
          <cell r="K1242" t="str">
            <v>D2108025</v>
          </cell>
          <cell r="L1242">
            <v>2</v>
          </cell>
          <cell r="M1242">
            <v>3277188</v>
          </cell>
          <cell r="N1242" t="str">
            <v>529494</v>
          </cell>
          <cell r="O1242" t="str">
            <v/>
          </cell>
          <cell r="P1242" t="str">
            <v>316L</v>
          </cell>
          <cell r="Q1242">
            <v>3.8620000000000001</v>
          </cell>
          <cell r="S1242">
            <v>6.3E-2</v>
          </cell>
          <cell r="V1242" t="str">
            <v/>
          </cell>
          <cell r="X1242">
            <v>4500</v>
          </cell>
          <cell r="Y1242">
            <v>3</v>
          </cell>
          <cell r="Z1242" t="str">
            <v/>
          </cell>
          <cell r="AA1242" t="str">
            <v/>
          </cell>
          <cell r="AB1242" t="str">
            <v>WAAF009810160B300094</v>
          </cell>
          <cell r="AC1242" t="str">
            <v/>
          </cell>
          <cell r="AD1242" t="str">
            <v/>
          </cell>
          <cell r="AE1242">
            <v>2.5000000000000001E-2</v>
          </cell>
          <cell r="AF1242">
            <v>1.52</v>
          </cell>
          <cell r="AG1242">
            <v>3.2000000000000001E-2</v>
          </cell>
          <cell r="AH1242">
            <v>1E-3</v>
          </cell>
          <cell r="AI1242">
            <v>0.39</v>
          </cell>
          <cell r="AJ1242">
            <v>16.8</v>
          </cell>
          <cell r="AK1242">
            <v>10</v>
          </cell>
          <cell r="AL1242">
            <v>3.6999999999999998E-2</v>
          </cell>
          <cell r="AM1242">
            <v>2</v>
          </cell>
          <cell r="AN1242">
            <v>0</v>
          </cell>
          <cell r="AO1242">
            <v>0</v>
          </cell>
          <cell r="AP1242">
            <v>0</v>
          </cell>
          <cell r="AQ1242">
            <v>0</v>
          </cell>
          <cell r="AR1242">
            <v>0.43</v>
          </cell>
          <cell r="AS1242">
            <v>0</v>
          </cell>
          <cell r="AT1242">
            <v>305</v>
          </cell>
          <cell r="AU1242">
            <v>0</v>
          </cell>
          <cell r="AV1242">
            <v>633</v>
          </cell>
          <cell r="AW1242">
            <v>49</v>
          </cell>
          <cell r="AX1242">
            <v>82</v>
          </cell>
          <cell r="AY1242" t="str">
            <v/>
          </cell>
          <cell r="AZ1242" t="str">
            <v/>
          </cell>
          <cell r="BA1242" t="str">
            <v/>
          </cell>
        </row>
        <row r="1243">
          <cell r="A1243">
            <v>44420</v>
          </cell>
          <cell r="B1243" t="str">
            <v>-</v>
          </cell>
          <cell r="C1243" t="str">
            <v>066-21</v>
          </cell>
          <cell r="D1243">
            <v>1</v>
          </cell>
          <cell r="E1243" t="str">
            <v/>
          </cell>
          <cell r="F1243" t="str">
            <v>DC</v>
          </cell>
          <cell r="G1243" t="str">
            <v/>
          </cell>
          <cell r="H1243">
            <v>20210812024</v>
          </cell>
          <cell r="I1243">
            <v>44420</v>
          </cell>
          <cell r="J1243" t="str">
            <v/>
          </cell>
          <cell r="K1243" t="str">
            <v>D2108025</v>
          </cell>
          <cell r="L1243">
            <v>3</v>
          </cell>
          <cell r="M1243">
            <v>3277188</v>
          </cell>
          <cell r="N1243" t="str">
            <v>529494</v>
          </cell>
          <cell r="O1243" t="str">
            <v/>
          </cell>
          <cell r="P1243" t="str">
            <v>316L</v>
          </cell>
          <cell r="Q1243">
            <v>3.8620000000000001</v>
          </cell>
          <cell r="S1243">
            <v>6.3E-2</v>
          </cell>
          <cell r="V1243" t="str">
            <v/>
          </cell>
          <cell r="X1243">
            <v>4508</v>
          </cell>
          <cell r="Y1243">
            <v>3</v>
          </cell>
          <cell r="Z1243" t="str">
            <v/>
          </cell>
          <cell r="AA1243" t="str">
            <v/>
          </cell>
          <cell r="AB1243" t="str">
            <v>WAAF009810160B300094</v>
          </cell>
          <cell r="AC1243" t="str">
            <v/>
          </cell>
          <cell r="AD1243" t="str">
            <v/>
          </cell>
          <cell r="AE1243">
            <v>2.5000000000000001E-2</v>
          </cell>
          <cell r="AF1243">
            <v>1.52</v>
          </cell>
          <cell r="AG1243">
            <v>3.2000000000000001E-2</v>
          </cell>
          <cell r="AH1243">
            <v>1E-3</v>
          </cell>
          <cell r="AI1243">
            <v>0.39</v>
          </cell>
          <cell r="AJ1243">
            <v>16.8</v>
          </cell>
          <cell r="AK1243">
            <v>10</v>
          </cell>
          <cell r="AL1243">
            <v>3.6999999999999998E-2</v>
          </cell>
          <cell r="AM1243">
            <v>2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0.43</v>
          </cell>
          <cell r="AS1243">
            <v>0</v>
          </cell>
          <cell r="AT1243">
            <v>305</v>
          </cell>
          <cell r="AU1243">
            <v>0</v>
          </cell>
          <cell r="AV1243">
            <v>633</v>
          </cell>
          <cell r="AW1243">
            <v>49</v>
          </cell>
          <cell r="AX1243">
            <v>82</v>
          </cell>
          <cell r="AY1243" t="str">
            <v/>
          </cell>
          <cell r="AZ1243" t="str">
            <v/>
          </cell>
          <cell r="BA1243" t="str">
            <v/>
          </cell>
        </row>
        <row r="1244">
          <cell r="A1244">
            <v>44420</v>
          </cell>
          <cell r="B1244" t="str">
            <v>-</v>
          </cell>
          <cell r="C1244" t="str">
            <v>066-21</v>
          </cell>
          <cell r="D1244">
            <v>1</v>
          </cell>
          <cell r="E1244" t="str">
            <v/>
          </cell>
          <cell r="F1244" t="str">
            <v>DC</v>
          </cell>
          <cell r="G1244" t="str">
            <v/>
          </cell>
          <cell r="H1244">
            <v>20210812024</v>
          </cell>
          <cell r="I1244">
            <v>44420</v>
          </cell>
          <cell r="J1244" t="str">
            <v/>
          </cell>
          <cell r="K1244" t="str">
            <v>D2108025</v>
          </cell>
          <cell r="L1244">
            <v>4</v>
          </cell>
          <cell r="M1244">
            <v>3277188</v>
          </cell>
          <cell r="N1244" t="str">
            <v>529494</v>
          </cell>
          <cell r="O1244" t="str">
            <v/>
          </cell>
          <cell r="P1244" t="str">
            <v>316L</v>
          </cell>
          <cell r="Q1244">
            <v>3.8620000000000001</v>
          </cell>
          <cell r="S1244">
            <v>6.3E-2</v>
          </cell>
          <cell r="V1244" t="str">
            <v/>
          </cell>
          <cell r="X1244">
            <v>4512</v>
          </cell>
          <cell r="Y1244">
            <v>3</v>
          </cell>
          <cell r="Z1244" t="str">
            <v/>
          </cell>
          <cell r="AA1244" t="str">
            <v/>
          </cell>
          <cell r="AB1244" t="str">
            <v>WAAF009810160B300094</v>
          </cell>
          <cell r="AC1244" t="str">
            <v/>
          </cell>
          <cell r="AD1244" t="str">
            <v/>
          </cell>
          <cell r="AE1244">
            <v>2.5000000000000001E-2</v>
          </cell>
          <cell r="AF1244">
            <v>1.52</v>
          </cell>
          <cell r="AG1244">
            <v>3.2000000000000001E-2</v>
          </cell>
          <cell r="AH1244">
            <v>1E-3</v>
          </cell>
          <cell r="AI1244">
            <v>0.39</v>
          </cell>
          <cell r="AJ1244">
            <v>16.8</v>
          </cell>
          <cell r="AK1244">
            <v>10</v>
          </cell>
          <cell r="AL1244">
            <v>3.6999999999999998E-2</v>
          </cell>
          <cell r="AM1244">
            <v>2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0.43</v>
          </cell>
          <cell r="AS1244">
            <v>0</v>
          </cell>
          <cell r="AT1244">
            <v>305</v>
          </cell>
          <cell r="AU1244">
            <v>0</v>
          </cell>
          <cell r="AV1244">
            <v>633</v>
          </cell>
          <cell r="AW1244">
            <v>49</v>
          </cell>
          <cell r="AX1244">
            <v>82</v>
          </cell>
          <cell r="AY1244" t="str">
            <v/>
          </cell>
          <cell r="AZ1244" t="str">
            <v/>
          </cell>
          <cell r="BA1244" t="str">
            <v/>
          </cell>
        </row>
        <row r="1245">
          <cell r="B1245" t="str">
            <v>-</v>
          </cell>
          <cell r="E1245" t="str">
            <v/>
          </cell>
          <cell r="G1245" t="str">
            <v/>
          </cell>
          <cell r="J1245" t="str">
            <v/>
          </cell>
          <cell r="O1245" t="str">
            <v/>
          </cell>
          <cell r="P1245" t="str">
            <v/>
          </cell>
          <cell r="Q1245" t="str">
            <v/>
          </cell>
          <cell r="S1245" t="str">
            <v/>
          </cell>
          <cell r="V1245" t="str">
            <v/>
          </cell>
          <cell r="Z1245" t="str">
            <v/>
          </cell>
          <cell r="AA1245" t="str">
            <v/>
          </cell>
          <cell r="AB1245" t="str">
            <v/>
          </cell>
          <cell r="AC1245" t="str">
            <v/>
          </cell>
          <cell r="AD1245" t="str">
            <v/>
          </cell>
          <cell r="AY1245" t="str">
            <v/>
          </cell>
          <cell r="AZ1245" t="str">
            <v/>
          </cell>
          <cell r="BA1245" t="str">
            <v/>
          </cell>
        </row>
        <row r="1246">
          <cell r="B1246" t="str">
            <v>-</v>
          </cell>
          <cell r="E1246" t="str">
            <v/>
          </cell>
          <cell r="G1246" t="str">
            <v/>
          </cell>
          <cell r="J1246" t="str">
            <v/>
          </cell>
          <cell r="O1246" t="str">
            <v/>
          </cell>
          <cell r="P1246" t="str">
            <v/>
          </cell>
          <cell r="Q1246" t="str">
            <v/>
          </cell>
          <cell r="S1246" t="str">
            <v/>
          </cell>
          <cell r="V1246" t="str">
            <v/>
          </cell>
          <cell r="Z1246" t="str">
            <v/>
          </cell>
          <cell r="AA1246" t="str">
            <v/>
          </cell>
          <cell r="AB1246" t="str">
            <v/>
          </cell>
          <cell r="AC1246" t="str">
            <v/>
          </cell>
          <cell r="AD1246" t="str">
            <v/>
          </cell>
          <cell r="AY1246" t="str">
            <v/>
          </cell>
          <cell r="AZ1246" t="str">
            <v/>
          </cell>
          <cell r="BA1246" t="str">
            <v/>
          </cell>
        </row>
        <row r="1247">
          <cell r="B1247" t="str">
            <v>-</v>
          </cell>
          <cell r="E1247" t="str">
            <v/>
          </cell>
          <cell r="G1247" t="str">
            <v/>
          </cell>
          <cell r="J1247" t="str">
            <v/>
          </cell>
          <cell r="O1247" t="str">
            <v/>
          </cell>
          <cell r="P1247" t="str">
            <v/>
          </cell>
          <cell r="Q1247" t="str">
            <v/>
          </cell>
          <cell r="S1247" t="str">
            <v/>
          </cell>
          <cell r="V1247" t="str">
            <v/>
          </cell>
          <cell r="Z1247" t="str">
            <v/>
          </cell>
          <cell r="AA1247" t="str">
            <v/>
          </cell>
          <cell r="AB1247" t="str">
            <v/>
          </cell>
          <cell r="AC1247" t="str">
            <v/>
          </cell>
          <cell r="AD1247" t="str">
            <v/>
          </cell>
          <cell r="AY1247" t="str">
            <v/>
          </cell>
          <cell r="AZ1247" t="str">
            <v/>
          </cell>
          <cell r="BA1247" t="str">
            <v/>
          </cell>
        </row>
        <row r="1248">
          <cell r="B1248" t="str">
            <v>-</v>
          </cell>
          <cell r="E1248" t="str">
            <v/>
          </cell>
          <cell r="G1248" t="str">
            <v/>
          </cell>
          <cell r="J1248" t="str">
            <v/>
          </cell>
          <cell r="O1248" t="str">
            <v/>
          </cell>
          <cell r="P1248" t="str">
            <v/>
          </cell>
          <cell r="Q1248" t="str">
            <v/>
          </cell>
          <cell r="S1248" t="str">
            <v/>
          </cell>
          <cell r="V1248" t="str">
            <v/>
          </cell>
          <cell r="Z1248" t="str">
            <v/>
          </cell>
          <cell r="AA1248" t="str">
            <v/>
          </cell>
          <cell r="AB1248" t="str">
            <v/>
          </cell>
          <cell r="AC1248" t="str">
            <v/>
          </cell>
          <cell r="AD1248" t="str">
            <v/>
          </cell>
          <cell r="AY1248" t="str">
            <v/>
          </cell>
          <cell r="AZ1248" t="str">
            <v/>
          </cell>
          <cell r="BA1248" t="str">
            <v/>
          </cell>
        </row>
        <row r="1249">
          <cell r="B1249" t="str">
            <v>-</v>
          </cell>
          <cell r="E1249" t="str">
            <v/>
          </cell>
          <cell r="G1249" t="str">
            <v/>
          </cell>
          <cell r="J1249" t="str">
            <v/>
          </cell>
          <cell r="O1249" t="str">
            <v/>
          </cell>
          <cell r="P1249" t="str">
            <v/>
          </cell>
          <cell r="Q1249" t="str">
            <v/>
          </cell>
          <cell r="S1249" t="str">
            <v/>
          </cell>
          <cell r="V1249" t="str">
            <v/>
          </cell>
          <cell r="Z1249" t="str">
            <v/>
          </cell>
          <cell r="AA1249" t="str">
            <v/>
          </cell>
          <cell r="AB1249" t="str">
            <v/>
          </cell>
          <cell r="AC1249" t="str">
            <v/>
          </cell>
          <cell r="AD1249" t="str">
            <v/>
          </cell>
          <cell r="AY1249" t="str">
            <v/>
          </cell>
          <cell r="AZ1249" t="str">
            <v/>
          </cell>
          <cell r="BA1249" t="str">
            <v/>
          </cell>
        </row>
        <row r="1250">
          <cell r="B1250" t="str">
            <v>-</v>
          </cell>
          <cell r="E1250" t="str">
            <v/>
          </cell>
          <cell r="G1250" t="str">
            <v/>
          </cell>
          <cell r="J1250" t="str">
            <v/>
          </cell>
          <cell r="O1250" t="str">
            <v/>
          </cell>
          <cell r="P1250" t="str">
            <v/>
          </cell>
          <cell r="Q1250" t="str">
            <v/>
          </cell>
          <cell r="S1250" t="str">
            <v/>
          </cell>
          <cell r="V1250" t="str">
            <v/>
          </cell>
          <cell r="Z1250" t="str">
            <v/>
          </cell>
          <cell r="AA1250" t="str">
            <v/>
          </cell>
          <cell r="AB1250" t="str">
            <v/>
          </cell>
          <cell r="AC1250" t="str">
            <v/>
          </cell>
          <cell r="AD1250" t="str">
            <v/>
          </cell>
          <cell r="AY1250" t="str">
            <v/>
          </cell>
          <cell r="AZ1250" t="str">
            <v/>
          </cell>
          <cell r="BA1250" t="str">
            <v/>
          </cell>
        </row>
        <row r="1251">
          <cell r="B1251" t="str">
            <v>-</v>
          </cell>
          <cell r="E1251" t="str">
            <v/>
          </cell>
          <cell r="G1251" t="str">
            <v/>
          </cell>
          <cell r="J1251" t="str">
            <v/>
          </cell>
          <cell r="O1251" t="str">
            <v/>
          </cell>
          <cell r="P1251" t="str">
            <v/>
          </cell>
          <cell r="Q1251" t="str">
            <v/>
          </cell>
          <cell r="S1251" t="str">
            <v/>
          </cell>
          <cell r="V1251" t="str">
            <v/>
          </cell>
          <cell r="Z1251" t="str">
            <v/>
          </cell>
          <cell r="AA1251" t="str">
            <v/>
          </cell>
          <cell r="AB1251" t="str">
            <v/>
          </cell>
          <cell r="AC1251" t="str">
            <v/>
          </cell>
          <cell r="AD1251" t="str">
            <v/>
          </cell>
          <cell r="AY1251" t="str">
            <v/>
          </cell>
          <cell r="AZ1251" t="str">
            <v/>
          </cell>
          <cell r="BA1251" t="str">
            <v/>
          </cell>
        </row>
        <row r="1252">
          <cell r="B1252" t="str">
            <v>-</v>
          </cell>
          <cell r="E1252" t="str">
            <v/>
          </cell>
          <cell r="G1252" t="str">
            <v/>
          </cell>
          <cell r="J1252" t="str">
            <v/>
          </cell>
          <cell r="O1252" t="str">
            <v/>
          </cell>
          <cell r="P1252" t="str">
            <v/>
          </cell>
          <cell r="Q1252" t="str">
            <v/>
          </cell>
          <cell r="S1252" t="str">
            <v/>
          </cell>
          <cell r="V1252" t="str">
            <v/>
          </cell>
          <cell r="Z1252" t="str">
            <v/>
          </cell>
          <cell r="AA1252" t="str">
            <v/>
          </cell>
          <cell r="AB1252" t="str">
            <v/>
          </cell>
          <cell r="AC1252" t="str">
            <v/>
          </cell>
          <cell r="AD1252" t="str">
            <v/>
          </cell>
          <cell r="AY1252" t="str">
            <v/>
          </cell>
          <cell r="AZ1252" t="str">
            <v/>
          </cell>
          <cell r="BA1252" t="str">
            <v/>
          </cell>
        </row>
        <row r="1253">
          <cell r="B1253" t="str">
            <v>-</v>
          </cell>
          <cell r="E1253" t="str">
            <v/>
          </cell>
          <cell r="G1253" t="str">
            <v/>
          </cell>
          <cell r="J1253" t="str">
            <v/>
          </cell>
          <cell r="O1253" t="str">
            <v/>
          </cell>
          <cell r="P1253" t="str">
            <v/>
          </cell>
          <cell r="Q1253" t="str">
            <v/>
          </cell>
          <cell r="S1253" t="str">
            <v/>
          </cell>
          <cell r="V1253" t="str">
            <v/>
          </cell>
          <cell r="Z1253" t="str">
            <v/>
          </cell>
          <cell r="AA1253" t="str">
            <v/>
          </cell>
          <cell r="AB1253" t="str">
            <v/>
          </cell>
          <cell r="AC1253" t="str">
            <v/>
          </cell>
          <cell r="AD1253" t="str">
            <v/>
          </cell>
          <cell r="AY1253" t="str">
            <v/>
          </cell>
          <cell r="AZ1253" t="str">
            <v/>
          </cell>
          <cell r="BA1253" t="str">
            <v/>
          </cell>
        </row>
        <row r="1254">
          <cell r="B1254" t="str">
            <v>-</v>
          </cell>
          <cell r="E1254" t="str">
            <v/>
          </cell>
          <cell r="G1254" t="str">
            <v/>
          </cell>
          <cell r="J1254" t="str">
            <v/>
          </cell>
          <cell r="O1254" t="str">
            <v/>
          </cell>
          <cell r="P1254" t="str">
            <v/>
          </cell>
          <cell r="Q1254" t="str">
            <v/>
          </cell>
          <cell r="S1254" t="str">
            <v/>
          </cell>
          <cell r="V1254" t="str">
            <v/>
          </cell>
          <cell r="Z1254" t="str">
            <v/>
          </cell>
          <cell r="AA1254" t="str">
            <v/>
          </cell>
          <cell r="AB1254" t="str">
            <v/>
          </cell>
          <cell r="AC1254" t="str">
            <v/>
          </cell>
          <cell r="AD1254" t="str">
            <v/>
          </cell>
          <cell r="AY1254" t="str">
            <v/>
          </cell>
          <cell r="AZ1254" t="str">
            <v/>
          </cell>
          <cell r="BA1254" t="str">
            <v/>
          </cell>
        </row>
        <row r="1255">
          <cell r="B1255" t="str">
            <v>-</v>
          </cell>
          <cell r="E1255" t="str">
            <v/>
          </cell>
          <cell r="G1255" t="str">
            <v/>
          </cell>
          <cell r="J1255" t="str">
            <v/>
          </cell>
          <cell r="O1255" t="str">
            <v/>
          </cell>
          <cell r="P1255" t="str">
            <v/>
          </cell>
          <cell r="Q1255" t="str">
            <v/>
          </cell>
          <cell r="S1255" t="str">
            <v/>
          </cell>
          <cell r="V1255" t="str">
            <v/>
          </cell>
          <cell r="Z1255" t="str">
            <v/>
          </cell>
          <cell r="AA1255" t="str">
            <v/>
          </cell>
          <cell r="AB1255" t="str">
            <v/>
          </cell>
          <cell r="AC1255" t="str">
            <v/>
          </cell>
          <cell r="AD1255" t="str">
            <v/>
          </cell>
          <cell r="AY1255" t="str">
            <v/>
          </cell>
          <cell r="AZ1255" t="str">
            <v/>
          </cell>
          <cell r="BA1255" t="str">
            <v/>
          </cell>
        </row>
        <row r="1256">
          <cell r="B1256" t="str">
            <v>-</v>
          </cell>
          <cell r="E1256" t="str">
            <v/>
          </cell>
          <cell r="G1256" t="str">
            <v/>
          </cell>
          <cell r="J1256" t="str">
            <v/>
          </cell>
          <cell r="O1256" t="str">
            <v/>
          </cell>
          <cell r="P1256" t="str">
            <v/>
          </cell>
          <cell r="Q1256" t="str">
            <v/>
          </cell>
          <cell r="S1256" t="str">
            <v/>
          </cell>
          <cell r="V1256" t="str">
            <v/>
          </cell>
          <cell r="Z1256" t="str">
            <v/>
          </cell>
          <cell r="AA1256" t="str">
            <v/>
          </cell>
          <cell r="AB1256" t="str">
            <v/>
          </cell>
          <cell r="AC1256" t="str">
            <v/>
          </cell>
          <cell r="AD1256" t="str">
            <v/>
          </cell>
          <cell r="AY1256" t="str">
            <v/>
          </cell>
          <cell r="AZ1256" t="str">
            <v/>
          </cell>
          <cell r="BA1256" t="str">
            <v/>
          </cell>
        </row>
        <row r="1257">
          <cell r="B1257" t="str">
            <v>-</v>
          </cell>
          <cell r="E1257" t="str">
            <v/>
          </cell>
          <cell r="G1257" t="str">
            <v/>
          </cell>
          <cell r="J1257" t="str">
            <v/>
          </cell>
          <cell r="O1257" t="str">
            <v/>
          </cell>
          <cell r="P1257" t="str">
            <v/>
          </cell>
          <cell r="Q1257" t="str">
            <v/>
          </cell>
          <cell r="S1257" t="str">
            <v/>
          </cell>
          <cell r="V1257" t="str">
            <v/>
          </cell>
          <cell r="Z1257" t="str">
            <v/>
          </cell>
          <cell r="AA1257" t="str">
            <v/>
          </cell>
          <cell r="AB1257" t="str">
            <v/>
          </cell>
          <cell r="AC1257" t="str">
            <v/>
          </cell>
          <cell r="AD1257" t="str">
            <v/>
          </cell>
          <cell r="AY1257" t="str">
            <v/>
          </cell>
          <cell r="AZ1257" t="str">
            <v/>
          </cell>
          <cell r="BA1257" t="str">
            <v/>
          </cell>
        </row>
        <row r="1258">
          <cell r="B1258" t="str">
            <v>-</v>
          </cell>
          <cell r="E1258" t="str">
            <v/>
          </cell>
          <cell r="G1258" t="str">
            <v/>
          </cell>
          <cell r="J1258" t="str">
            <v/>
          </cell>
          <cell r="O1258" t="str">
            <v/>
          </cell>
          <cell r="P1258" t="str">
            <v/>
          </cell>
          <cell r="Q1258" t="str">
            <v/>
          </cell>
          <cell r="S1258" t="str">
            <v/>
          </cell>
          <cell r="V1258" t="str">
            <v/>
          </cell>
          <cell r="Z1258" t="str">
            <v/>
          </cell>
          <cell r="AA1258" t="str">
            <v/>
          </cell>
          <cell r="AB1258" t="str">
            <v/>
          </cell>
          <cell r="AC1258" t="str">
            <v/>
          </cell>
          <cell r="AD1258" t="str">
            <v/>
          </cell>
          <cell r="AY1258" t="str">
            <v/>
          </cell>
          <cell r="AZ1258" t="str">
            <v/>
          </cell>
          <cell r="BA1258" t="str">
            <v/>
          </cell>
        </row>
        <row r="1259">
          <cell r="B1259" t="str">
            <v>-</v>
          </cell>
          <cell r="E1259" t="str">
            <v/>
          </cell>
          <cell r="G1259" t="str">
            <v/>
          </cell>
          <cell r="J1259" t="str">
            <v/>
          </cell>
          <cell r="O1259" t="str">
            <v/>
          </cell>
          <cell r="P1259" t="str">
            <v/>
          </cell>
          <cell r="Q1259" t="str">
            <v/>
          </cell>
          <cell r="S1259" t="str">
            <v/>
          </cell>
          <cell r="V1259" t="str">
            <v/>
          </cell>
          <cell r="Z1259" t="str">
            <v/>
          </cell>
          <cell r="AA1259" t="str">
            <v/>
          </cell>
          <cell r="AB1259" t="str">
            <v/>
          </cell>
          <cell r="AC1259" t="str">
            <v/>
          </cell>
          <cell r="AD1259" t="str">
            <v/>
          </cell>
          <cell r="AY1259" t="str">
            <v/>
          </cell>
          <cell r="AZ1259" t="str">
            <v/>
          </cell>
          <cell r="BA1259" t="str">
            <v/>
          </cell>
        </row>
        <row r="1260">
          <cell r="B1260" t="str">
            <v>-</v>
          </cell>
          <cell r="E1260" t="str">
            <v/>
          </cell>
          <cell r="G1260" t="str">
            <v/>
          </cell>
          <cell r="J1260" t="str">
            <v/>
          </cell>
          <cell r="O1260" t="str">
            <v/>
          </cell>
          <cell r="P1260" t="str">
            <v/>
          </cell>
          <cell r="Q1260" t="str">
            <v/>
          </cell>
          <cell r="S1260" t="str">
            <v/>
          </cell>
          <cell r="V1260" t="str">
            <v/>
          </cell>
          <cell r="Z1260" t="str">
            <v/>
          </cell>
          <cell r="AA1260" t="str">
            <v/>
          </cell>
          <cell r="AB1260" t="str">
            <v/>
          </cell>
          <cell r="AC1260" t="str">
            <v/>
          </cell>
          <cell r="AD1260" t="str">
            <v/>
          </cell>
          <cell r="AY1260" t="str">
            <v/>
          </cell>
          <cell r="AZ1260" t="str">
            <v/>
          </cell>
          <cell r="BA1260" t="str">
            <v/>
          </cell>
        </row>
        <row r="1261">
          <cell r="B1261" t="str">
            <v>-</v>
          </cell>
          <cell r="E1261" t="str">
            <v/>
          </cell>
          <cell r="G1261" t="str">
            <v/>
          </cell>
          <cell r="J1261" t="str">
            <v/>
          </cell>
          <cell r="O1261" t="str">
            <v/>
          </cell>
          <cell r="P1261" t="str">
            <v/>
          </cell>
          <cell r="Q1261" t="str">
            <v/>
          </cell>
          <cell r="S1261" t="str">
            <v/>
          </cell>
          <cell r="V1261" t="str">
            <v/>
          </cell>
          <cell r="Z1261" t="str">
            <v/>
          </cell>
          <cell r="AA1261" t="str">
            <v/>
          </cell>
          <cell r="AB1261" t="str">
            <v/>
          </cell>
          <cell r="AC1261" t="str">
            <v/>
          </cell>
          <cell r="AD1261" t="str">
            <v/>
          </cell>
          <cell r="AY1261" t="str">
            <v/>
          </cell>
          <cell r="AZ1261" t="str">
            <v/>
          </cell>
          <cell r="BA1261" t="str">
            <v/>
          </cell>
        </row>
        <row r="1262">
          <cell r="B1262" t="str">
            <v>-</v>
          </cell>
          <cell r="E1262" t="str">
            <v/>
          </cell>
          <cell r="G1262" t="str">
            <v/>
          </cell>
          <cell r="J1262" t="str">
            <v/>
          </cell>
          <cell r="O1262" t="str">
            <v/>
          </cell>
          <cell r="P1262" t="str">
            <v/>
          </cell>
          <cell r="Q1262" t="str">
            <v/>
          </cell>
          <cell r="S1262" t="str">
            <v/>
          </cell>
          <cell r="V1262" t="str">
            <v/>
          </cell>
          <cell r="Z1262" t="str">
            <v/>
          </cell>
          <cell r="AA1262" t="str">
            <v/>
          </cell>
          <cell r="AB1262" t="str">
            <v/>
          </cell>
          <cell r="AC1262" t="str">
            <v/>
          </cell>
          <cell r="AD1262" t="str">
            <v/>
          </cell>
          <cell r="AY1262" t="str">
            <v/>
          </cell>
          <cell r="AZ1262" t="str">
            <v/>
          </cell>
          <cell r="BA1262" t="str">
            <v/>
          </cell>
        </row>
        <row r="1263">
          <cell r="B1263" t="str">
            <v>-</v>
          </cell>
          <cell r="E1263" t="str">
            <v/>
          </cell>
          <cell r="G1263" t="str">
            <v/>
          </cell>
          <cell r="J1263" t="str">
            <v/>
          </cell>
          <cell r="O1263" t="str">
            <v/>
          </cell>
          <cell r="P1263" t="str">
            <v/>
          </cell>
          <cell r="Q1263" t="str">
            <v/>
          </cell>
          <cell r="S1263" t="str">
            <v/>
          </cell>
          <cell r="V1263" t="str">
            <v/>
          </cell>
          <cell r="Z1263" t="str">
            <v/>
          </cell>
          <cell r="AA1263" t="str">
            <v/>
          </cell>
          <cell r="AB1263" t="str">
            <v/>
          </cell>
          <cell r="AC1263" t="str">
            <v/>
          </cell>
          <cell r="AD1263" t="str">
            <v/>
          </cell>
          <cell r="AY1263" t="str">
            <v/>
          </cell>
          <cell r="AZ1263" t="str">
            <v/>
          </cell>
          <cell r="BA1263" t="str">
            <v/>
          </cell>
        </row>
        <row r="1264">
          <cell r="B1264" t="str">
            <v>-</v>
          </cell>
          <cell r="E1264" t="str">
            <v/>
          </cell>
          <cell r="G1264" t="str">
            <v/>
          </cell>
          <cell r="J1264" t="str">
            <v/>
          </cell>
          <cell r="O1264" t="str">
            <v/>
          </cell>
          <cell r="P1264" t="str">
            <v/>
          </cell>
          <cell r="Q1264" t="str">
            <v/>
          </cell>
          <cell r="S1264" t="str">
            <v/>
          </cell>
          <cell r="V1264" t="str">
            <v/>
          </cell>
          <cell r="Z1264" t="str">
            <v/>
          </cell>
          <cell r="AA1264" t="str">
            <v/>
          </cell>
          <cell r="AB1264" t="str">
            <v/>
          </cell>
          <cell r="AC1264" t="str">
            <v/>
          </cell>
          <cell r="AD1264" t="str">
            <v/>
          </cell>
          <cell r="AY1264" t="str">
            <v/>
          </cell>
          <cell r="AZ1264" t="str">
            <v/>
          </cell>
          <cell r="BA1264" t="str">
            <v/>
          </cell>
        </row>
        <row r="1265">
          <cell r="B1265" t="str">
            <v>-</v>
          </cell>
          <cell r="E1265" t="str">
            <v/>
          </cell>
          <cell r="G1265" t="str">
            <v/>
          </cell>
          <cell r="J1265" t="str">
            <v/>
          </cell>
          <cell r="O1265" t="str">
            <v/>
          </cell>
          <cell r="P1265" t="str">
            <v/>
          </cell>
          <cell r="Q1265" t="str">
            <v/>
          </cell>
          <cell r="S1265" t="str">
            <v/>
          </cell>
          <cell r="V1265" t="str">
            <v/>
          </cell>
          <cell r="Z1265" t="str">
            <v/>
          </cell>
          <cell r="AA1265" t="str">
            <v/>
          </cell>
          <cell r="AB1265" t="str">
            <v/>
          </cell>
          <cell r="AC1265" t="str">
            <v/>
          </cell>
          <cell r="AD1265" t="str">
            <v/>
          </cell>
          <cell r="AY1265" t="str">
            <v/>
          </cell>
          <cell r="AZ1265" t="str">
            <v/>
          </cell>
          <cell r="BA1265" t="str">
            <v/>
          </cell>
        </row>
        <row r="1266">
          <cell r="B1266" t="str">
            <v>-</v>
          </cell>
          <cell r="E1266" t="str">
            <v/>
          </cell>
          <cell r="G1266" t="str">
            <v/>
          </cell>
          <cell r="J1266" t="str">
            <v/>
          </cell>
          <cell r="O1266" t="str">
            <v/>
          </cell>
          <cell r="P1266" t="str">
            <v/>
          </cell>
          <cell r="Q1266" t="str">
            <v/>
          </cell>
          <cell r="S1266" t="str">
            <v/>
          </cell>
          <cell r="V1266" t="str">
            <v/>
          </cell>
          <cell r="Z1266" t="str">
            <v/>
          </cell>
          <cell r="AA1266" t="str">
            <v/>
          </cell>
          <cell r="AB1266" t="str">
            <v/>
          </cell>
          <cell r="AC1266" t="str">
            <v/>
          </cell>
          <cell r="AD1266" t="str">
            <v/>
          </cell>
          <cell r="AY1266" t="str">
            <v/>
          </cell>
          <cell r="AZ1266" t="str">
            <v/>
          </cell>
          <cell r="BA1266" t="str">
            <v/>
          </cell>
        </row>
        <row r="1267">
          <cell r="B1267" t="str">
            <v>-</v>
          </cell>
          <cell r="E1267" t="str">
            <v/>
          </cell>
          <cell r="G1267" t="str">
            <v/>
          </cell>
          <cell r="J1267" t="str">
            <v/>
          </cell>
          <cell r="O1267" t="str">
            <v/>
          </cell>
          <cell r="P1267" t="str">
            <v/>
          </cell>
          <cell r="Q1267" t="str">
            <v/>
          </cell>
          <cell r="S1267" t="str">
            <v/>
          </cell>
          <cell r="V1267" t="str">
            <v/>
          </cell>
          <cell r="Z1267" t="str">
            <v/>
          </cell>
          <cell r="AA1267" t="str">
            <v/>
          </cell>
          <cell r="AB1267" t="str">
            <v/>
          </cell>
          <cell r="AC1267" t="str">
            <v/>
          </cell>
          <cell r="AD1267" t="str">
            <v/>
          </cell>
          <cell r="AY1267" t="str">
            <v/>
          </cell>
          <cell r="AZ1267" t="str">
            <v/>
          </cell>
          <cell r="BA1267" t="str">
            <v/>
          </cell>
        </row>
        <row r="1268">
          <cell r="B1268" t="str">
            <v>-</v>
          </cell>
          <cell r="E1268" t="str">
            <v/>
          </cell>
          <cell r="G1268" t="str">
            <v/>
          </cell>
          <cell r="J1268" t="str">
            <v/>
          </cell>
          <cell r="O1268" t="str">
            <v/>
          </cell>
          <cell r="P1268" t="str">
            <v/>
          </cell>
          <cell r="Q1268" t="str">
            <v/>
          </cell>
          <cell r="S1268" t="str">
            <v/>
          </cell>
          <cell r="V1268" t="str">
            <v/>
          </cell>
          <cell r="Z1268" t="str">
            <v/>
          </cell>
          <cell r="AA1268" t="str">
            <v/>
          </cell>
          <cell r="AB1268" t="str">
            <v/>
          </cell>
          <cell r="AC1268" t="str">
            <v/>
          </cell>
          <cell r="AD1268" t="str">
            <v/>
          </cell>
          <cell r="AY1268" t="str">
            <v/>
          </cell>
          <cell r="AZ1268" t="str">
            <v/>
          </cell>
          <cell r="BA1268" t="str">
            <v/>
          </cell>
        </row>
        <row r="1269">
          <cell r="B1269" t="str">
            <v>-</v>
          </cell>
          <cell r="E1269" t="str">
            <v/>
          </cell>
          <cell r="G1269" t="str">
            <v/>
          </cell>
          <cell r="J1269" t="str">
            <v/>
          </cell>
          <cell r="O1269" t="str">
            <v/>
          </cell>
          <cell r="P1269" t="str">
            <v/>
          </cell>
          <cell r="Q1269" t="str">
            <v/>
          </cell>
          <cell r="S1269" t="str">
            <v/>
          </cell>
          <cell r="V1269" t="str">
            <v/>
          </cell>
          <cell r="Z1269" t="str">
            <v/>
          </cell>
          <cell r="AA1269" t="str">
            <v/>
          </cell>
          <cell r="AB1269" t="str">
            <v/>
          </cell>
          <cell r="AC1269" t="str">
            <v/>
          </cell>
          <cell r="AD1269" t="str">
            <v/>
          </cell>
          <cell r="AY1269" t="str">
            <v/>
          </cell>
          <cell r="AZ1269" t="str">
            <v/>
          </cell>
          <cell r="BA1269" t="str">
            <v/>
          </cell>
        </row>
        <row r="1270">
          <cell r="B1270" t="str">
            <v>-</v>
          </cell>
          <cell r="E1270" t="str">
            <v/>
          </cell>
          <cell r="G1270" t="str">
            <v/>
          </cell>
          <cell r="J1270" t="str">
            <v/>
          </cell>
          <cell r="O1270" t="str">
            <v/>
          </cell>
          <cell r="P1270" t="str">
            <v/>
          </cell>
          <cell r="Q1270" t="str">
            <v/>
          </cell>
          <cell r="S1270" t="str">
            <v/>
          </cell>
          <cell r="V1270" t="str">
            <v/>
          </cell>
          <cell r="Z1270" t="str">
            <v/>
          </cell>
          <cell r="AA1270" t="str">
            <v/>
          </cell>
          <cell r="AB1270" t="str">
            <v/>
          </cell>
          <cell r="AC1270" t="str">
            <v/>
          </cell>
          <cell r="AD1270" t="str">
            <v/>
          </cell>
          <cell r="AY1270" t="str">
            <v/>
          </cell>
          <cell r="AZ1270" t="str">
            <v/>
          </cell>
          <cell r="BA1270" t="str">
            <v/>
          </cell>
        </row>
        <row r="1271">
          <cell r="B1271" t="str">
            <v>-</v>
          </cell>
          <cell r="E1271" t="str">
            <v/>
          </cell>
          <cell r="G1271" t="str">
            <v/>
          </cell>
          <cell r="J1271" t="str">
            <v/>
          </cell>
          <cell r="O1271" t="str">
            <v/>
          </cell>
          <cell r="P1271" t="str">
            <v/>
          </cell>
          <cell r="Q1271" t="str">
            <v/>
          </cell>
          <cell r="S1271" t="str">
            <v/>
          </cell>
          <cell r="V1271" t="str">
            <v/>
          </cell>
          <cell r="Z1271" t="str">
            <v/>
          </cell>
          <cell r="AA1271" t="str">
            <v/>
          </cell>
          <cell r="AB1271" t="str">
            <v/>
          </cell>
          <cell r="AC1271" t="str">
            <v/>
          </cell>
          <cell r="AD1271" t="str">
            <v/>
          </cell>
          <cell r="AY1271" t="str">
            <v/>
          </cell>
          <cell r="AZ1271" t="str">
            <v/>
          </cell>
          <cell r="BA1271" t="str">
            <v/>
          </cell>
        </row>
        <row r="1272">
          <cell r="B1272" t="str">
            <v>-</v>
          </cell>
          <cell r="E1272" t="str">
            <v/>
          </cell>
          <cell r="G1272" t="str">
            <v/>
          </cell>
          <cell r="J1272" t="str">
            <v/>
          </cell>
          <cell r="O1272" t="str">
            <v/>
          </cell>
          <cell r="P1272" t="str">
            <v/>
          </cell>
          <cell r="Q1272" t="str">
            <v/>
          </cell>
          <cell r="S1272" t="str">
            <v/>
          </cell>
          <cell r="V1272" t="str">
            <v/>
          </cell>
          <cell r="Z1272" t="str">
            <v/>
          </cell>
          <cell r="AA1272" t="str">
            <v/>
          </cell>
          <cell r="AB1272" t="str">
            <v/>
          </cell>
          <cell r="AC1272" t="str">
            <v/>
          </cell>
          <cell r="AD1272" t="str">
            <v/>
          </cell>
          <cell r="AY1272" t="str">
            <v/>
          </cell>
          <cell r="AZ1272" t="str">
            <v/>
          </cell>
          <cell r="BA1272" t="str">
            <v/>
          </cell>
        </row>
        <row r="1273">
          <cell r="B1273" t="str">
            <v>-</v>
          </cell>
          <cell r="E1273" t="str">
            <v/>
          </cell>
          <cell r="G1273" t="str">
            <v/>
          </cell>
          <cell r="J1273" t="str">
            <v/>
          </cell>
          <cell r="O1273" t="str">
            <v/>
          </cell>
          <cell r="P1273" t="str">
            <v/>
          </cell>
          <cell r="Q1273" t="str">
            <v/>
          </cell>
          <cell r="S1273" t="str">
            <v/>
          </cell>
          <cell r="V1273" t="str">
            <v/>
          </cell>
          <cell r="Z1273" t="str">
            <v/>
          </cell>
          <cell r="AA1273" t="str">
            <v/>
          </cell>
          <cell r="AB1273" t="str">
            <v/>
          </cell>
          <cell r="AC1273" t="str">
            <v/>
          </cell>
          <cell r="AD1273" t="str">
            <v/>
          </cell>
          <cell r="AY1273" t="str">
            <v/>
          </cell>
          <cell r="AZ1273" t="str">
            <v/>
          </cell>
          <cell r="BA1273" t="str">
            <v/>
          </cell>
        </row>
        <row r="1274">
          <cell r="B1274" t="str">
            <v>-</v>
          </cell>
          <cell r="E1274" t="str">
            <v/>
          </cell>
          <cell r="G1274" t="str">
            <v/>
          </cell>
          <cell r="J1274" t="str">
            <v/>
          </cell>
          <cell r="O1274" t="str">
            <v/>
          </cell>
          <cell r="P1274" t="str">
            <v/>
          </cell>
          <cell r="Q1274" t="str">
            <v/>
          </cell>
          <cell r="S1274" t="str">
            <v/>
          </cell>
          <cell r="V1274" t="str">
            <v/>
          </cell>
          <cell r="Z1274" t="str">
            <v/>
          </cell>
          <cell r="AA1274" t="str">
            <v/>
          </cell>
          <cell r="AB1274" t="str">
            <v/>
          </cell>
          <cell r="AC1274" t="str">
            <v/>
          </cell>
          <cell r="AD1274" t="str">
            <v/>
          </cell>
          <cell r="AY1274" t="str">
            <v/>
          </cell>
          <cell r="AZ1274" t="str">
            <v/>
          </cell>
          <cell r="BA1274" t="str">
            <v/>
          </cell>
        </row>
        <row r="1275">
          <cell r="B1275" t="str">
            <v>-</v>
          </cell>
          <cell r="E1275" t="str">
            <v/>
          </cell>
          <cell r="G1275" t="str">
            <v/>
          </cell>
          <cell r="J1275" t="str">
            <v/>
          </cell>
          <cell r="O1275" t="str">
            <v/>
          </cell>
          <cell r="P1275" t="str">
            <v/>
          </cell>
          <cell r="Q1275" t="str">
            <v/>
          </cell>
          <cell r="S1275" t="str">
            <v/>
          </cell>
          <cell r="V1275" t="str">
            <v/>
          </cell>
          <cell r="Z1275" t="str">
            <v/>
          </cell>
          <cell r="AA1275" t="str">
            <v/>
          </cell>
          <cell r="AB1275" t="str">
            <v/>
          </cell>
          <cell r="AC1275" t="str">
            <v/>
          </cell>
          <cell r="AD1275" t="str">
            <v/>
          </cell>
          <cell r="AY1275" t="str">
            <v/>
          </cell>
          <cell r="AZ1275" t="str">
            <v/>
          </cell>
          <cell r="BA1275" t="str">
            <v/>
          </cell>
        </row>
        <row r="1276">
          <cell r="B1276" t="str">
            <v>-</v>
          </cell>
          <cell r="E1276" t="str">
            <v/>
          </cell>
          <cell r="G1276" t="str">
            <v/>
          </cell>
          <cell r="J1276" t="str">
            <v/>
          </cell>
          <cell r="O1276" t="str">
            <v/>
          </cell>
          <cell r="P1276" t="str">
            <v/>
          </cell>
          <cell r="Q1276" t="str">
            <v/>
          </cell>
          <cell r="S1276" t="str">
            <v/>
          </cell>
          <cell r="V1276" t="str">
            <v/>
          </cell>
          <cell r="Z1276" t="str">
            <v/>
          </cell>
          <cell r="AA1276" t="str">
            <v/>
          </cell>
          <cell r="AB1276" t="str">
            <v/>
          </cell>
          <cell r="AC1276" t="str">
            <v/>
          </cell>
          <cell r="AD1276" t="str">
            <v/>
          </cell>
          <cell r="AY1276" t="str">
            <v/>
          </cell>
          <cell r="AZ1276" t="str">
            <v/>
          </cell>
          <cell r="BA1276" t="str">
            <v/>
          </cell>
        </row>
        <row r="1277">
          <cell r="B1277" t="str">
            <v>-</v>
          </cell>
          <cell r="E1277" t="str">
            <v/>
          </cell>
          <cell r="G1277" t="str">
            <v/>
          </cell>
          <cell r="J1277" t="str">
            <v/>
          </cell>
          <cell r="O1277" t="str">
            <v/>
          </cell>
          <cell r="P1277" t="str">
            <v/>
          </cell>
          <cell r="Q1277" t="str">
            <v/>
          </cell>
          <cell r="S1277" t="str">
            <v/>
          </cell>
          <cell r="V1277" t="str">
            <v/>
          </cell>
          <cell r="Z1277" t="str">
            <v/>
          </cell>
          <cell r="AA1277" t="str">
            <v/>
          </cell>
          <cell r="AB1277" t="str">
            <v/>
          </cell>
          <cell r="AC1277" t="str">
            <v/>
          </cell>
          <cell r="AD1277" t="str">
            <v/>
          </cell>
          <cell r="AY1277" t="str">
            <v/>
          </cell>
          <cell r="AZ1277" t="str">
            <v/>
          </cell>
          <cell r="BA1277" t="str">
            <v/>
          </cell>
        </row>
        <row r="1278">
          <cell r="B1278" t="str">
            <v>-</v>
          </cell>
          <cell r="E1278" t="str">
            <v/>
          </cell>
          <cell r="G1278" t="str">
            <v/>
          </cell>
          <cell r="J1278" t="str">
            <v/>
          </cell>
          <cell r="O1278" t="str">
            <v/>
          </cell>
          <cell r="P1278" t="str">
            <v/>
          </cell>
          <cell r="Q1278" t="str">
            <v/>
          </cell>
          <cell r="S1278" t="str">
            <v/>
          </cell>
          <cell r="V1278" t="str">
            <v/>
          </cell>
          <cell r="Z1278" t="str">
            <v/>
          </cell>
          <cell r="AA1278" t="str">
            <v/>
          </cell>
          <cell r="AB1278" t="str">
            <v/>
          </cell>
          <cell r="AC1278" t="str">
            <v/>
          </cell>
          <cell r="AD1278" t="str">
            <v/>
          </cell>
          <cell r="AY1278" t="str">
            <v/>
          </cell>
          <cell r="AZ1278" t="str">
            <v/>
          </cell>
          <cell r="BA1278" t="str">
            <v/>
          </cell>
        </row>
        <row r="1279">
          <cell r="B1279" t="str">
            <v>-</v>
          </cell>
          <cell r="E1279" t="str">
            <v/>
          </cell>
          <cell r="G1279" t="str">
            <v/>
          </cell>
          <cell r="J1279" t="str">
            <v/>
          </cell>
          <cell r="O1279" t="str">
            <v/>
          </cell>
          <cell r="P1279" t="str">
            <v/>
          </cell>
          <cell r="Q1279" t="str">
            <v/>
          </cell>
          <cell r="S1279" t="str">
            <v/>
          </cell>
          <cell r="V1279" t="str">
            <v/>
          </cell>
          <cell r="Z1279" t="str">
            <v/>
          </cell>
          <cell r="AA1279" t="str">
            <v/>
          </cell>
          <cell r="AB1279" t="str">
            <v/>
          </cell>
          <cell r="AC1279" t="str">
            <v/>
          </cell>
          <cell r="AD1279" t="str">
            <v/>
          </cell>
          <cell r="AY1279" t="str">
            <v/>
          </cell>
          <cell r="AZ1279" t="str">
            <v/>
          </cell>
          <cell r="BA1279" t="str">
            <v/>
          </cell>
        </row>
        <row r="1280">
          <cell r="B1280" t="str">
            <v>-</v>
          </cell>
          <cell r="E1280" t="str">
            <v/>
          </cell>
          <cell r="G1280" t="str">
            <v/>
          </cell>
          <cell r="J1280" t="str">
            <v/>
          </cell>
          <cell r="O1280" t="str">
            <v/>
          </cell>
          <cell r="P1280" t="str">
            <v/>
          </cell>
          <cell r="Q1280" t="str">
            <v/>
          </cell>
          <cell r="S1280" t="str">
            <v/>
          </cell>
          <cell r="V1280" t="str">
            <v/>
          </cell>
          <cell r="Z1280" t="str">
            <v/>
          </cell>
          <cell r="AA1280" t="str">
            <v/>
          </cell>
          <cell r="AB1280" t="str">
            <v/>
          </cell>
          <cell r="AC1280" t="str">
            <v/>
          </cell>
          <cell r="AD1280" t="str">
            <v/>
          </cell>
          <cell r="AY1280" t="str">
            <v/>
          </cell>
          <cell r="AZ1280" t="str">
            <v/>
          </cell>
          <cell r="BA1280" t="str">
            <v/>
          </cell>
        </row>
        <row r="1281">
          <cell r="B1281" t="str">
            <v>-</v>
          </cell>
          <cell r="E1281" t="str">
            <v/>
          </cell>
          <cell r="G1281" t="str">
            <v/>
          </cell>
          <cell r="J1281" t="str">
            <v/>
          </cell>
          <cell r="O1281" t="str">
            <v/>
          </cell>
          <cell r="P1281" t="str">
            <v/>
          </cell>
          <cell r="Q1281" t="str">
            <v/>
          </cell>
          <cell r="S1281" t="str">
            <v/>
          </cell>
          <cell r="V1281" t="str">
            <v/>
          </cell>
          <cell r="Z1281" t="str">
            <v/>
          </cell>
          <cell r="AA1281" t="str">
            <v/>
          </cell>
          <cell r="AB1281" t="str">
            <v/>
          </cell>
          <cell r="AC1281" t="str">
            <v/>
          </cell>
          <cell r="AD1281" t="str">
            <v/>
          </cell>
          <cell r="AY1281" t="str">
            <v/>
          </cell>
          <cell r="AZ1281" t="str">
            <v/>
          </cell>
          <cell r="BA1281" t="str">
            <v/>
          </cell>
        </row>
        <row r="1282">
          <cell r="B1282" t="str">
            <v>-</v>
          </cell>
          <cell r="E1282" t="str">
            <v/>
          </cell>
          <cell r="G1282" t="str">
            <v/>
          </cell>
          <cell r="J1282" t="str">
            <v/>
          </cell>
          <cell r="O1282" t="str">
            <v/>
          </cell>
          <cell r="P1282" t="str">
            <v/>
          </cell>
          <cell r="Q1282" t="str">
            <v/>
          </cell>
          <cell r="S1282" t="str">
            <v/>
          </cell>
          <cell r="V1282" t="str">
            <v/>
          </cell>
          <cell r="Z1282" t="str">
            <v/>
          </cell>
          <cell r="AA1282" t="str">
            <v/>
          </cell>
          <cell r="AB1282" t="str">
            <v/>
          </cell>
          <cell r="AC1282" t="str">
            <v/>
          </cell>
          <cell r="AD1282" t="str">
            <v/>
          </cell>
          <cell r="AY1282" t="str">
            <v/>
          </cell>
          <cell r="AZ1282" t="str">
            <v/>
          </cell>
          <cell r="BA1282" t="str">
            <v/>
          </cell>
        </row>
        <row r="1283">
          <cell r="B1283" t="str">
            <v>-</v>
          </cell>
          <cell r="E1283" t="str">
            <v/>
          </cell>
          <cell r="G1283" t="str">
            <v/>
          </cell>
          <cell r="J1283" t="str">
            <v/>
          </cell>
          <cell r="O1283" t="str">
            <v/>
          </cell>
          <cell r="P1283" t="str">
            <v/>
          </cell>
          <cell r="Q1283" t="str">
            <v/>
          </cell>
          <cell r="S1283" t="str">
            <v/>
          </cell>
          <cell r="V1283" t="str">
            <v/>
          </cell>
          <cell r="Z1283" t="str">
            <v/>
          </cell>
          <cell r="AA1283" t="str">
            <v/>
          </cell>
          <cell r="AB1283" t="str">
            <v/>
          </cell>
          <cell r="AC1283" t="str">
            <v/>
          </cell>
          <cell r="AD1283" t="str">
            <v/>
          </cell>
          <cell r="AY1283" t="str">
            <v/>
          </cell>
          <cell r="AZ1283" t="str">
            <v/>
          </cell>
          <cell r="BA1283" t="str">
            <v/>
          </cell>
        </row>
        <row r="1284">
          <cell r="B1284" t="str">
            <v>-</v>
          </cell>
          <cell r="E1284" t="str">
            <v/>
          </cell>
          <cell r="G1284" t="str">
            <v/>
          </cell>
          <cell r="J1284" t="str">
            <v/>
          </cell>
          <cell r="O1284" t="str">
            <v/>
          </cell>
          <cell r="P1284" t="str">
            <v/>
          </cell>
          <cell r="Q1284" t="str">
            <v/>
          </cell>
          <cell r="S1284" t="str">
            <v/>
          </cell>
          <cell r="V1284" t="str">
            <v/>
          </cell>
          <cell r="Z1284" t="str">
            <v/>
          </cell>
          <cell r="AA1284" t="str">
            <v/>
          </cell>
          <cell r="AB1284" t="str">
            <v/>
          </cell>
          <cell r="AC1284" t="str">
            <v/>
          </cell>
          <cell r="AD1284" t="str">
            <v/>
          </cell>
          <cell r="AY1284" t="str">
            <v/>
          </cell>
          <cell r="AZ1284" t="str">
            <v/>
          </cell>
          <cell r="BA1284" t="str">
            <v/>
          </cell>
        </row>
        <row r="1285">
          <cell r="B1285" t="str">
            <v>-</v>
          </cell>
          <cell r="E1285" t="str">
            <v/>
          </cell>
          <cell r="G1285" t="str">
            <v/>
          </cell>
          <cell r="J1285" t="str">
            <v/>
          </cell>
          <cell r="O1285" t="str">
            <v/>
          </cell>
          <cell r="P1285" t="str">
            <v/>
          </cell>
          <cell r="Q1285" t="str">
            <v/>
          </cell>
          <cell r="S1285" t="str">
            <v/>
          </cell>
          <cell r="V1285" t="str">
            <v/>
          </cell>
          <cell r="Z1285" t="str">
            <v/>
          </cell>
          <cell r="AA1285" t="str">
            <v/>
          </cell>
          <cell r="AB1285" t="str">
            <v/>
          </cell>
          <cell r="AC1285" t="str">
            <v/>
          </cell>
          <cell r="AD1285" t="str">
            <v/>
          </cell>
          <cell r="AY1285" t="str">
            <v/>
          </cell>
          <cell r="AZ1285" t="str">
            <v/>
          </cell>
          <cell r="BA1285" t="str">
            <v/>
          </cell>
        </row>
        <row r="1286">
          <cell r="B1286" t="str">
            <v>-</v>
          </cell>
          <cell r="E1286" t="str">
            <v/>
          </cell>
          <cell r="G1286" t="str">
            <v/>
          </cell>
          <cell r="J1286" t="str">
            <v/>
          </cell>
          <cell r="O1286" t="str">
            <v/>
          </cell>
          <cell r="P1286" t="str">
            <v/>
          </cell>
          <cell r="Q1286" t="str">
            <v/>
          </cell>
          <cell r="S1286" t="str">
            <v/>
          </cell>
          <cell r="V1286" t="str">
            <v/>
          </cell>
          <cell r="Z1286" t="str">
            <v/>
          </cell>
          <cell r="AA1286" t="str">
            <v/>
          </cell>
          <cell r="AB1286" t="str">
            <v/>
          </cell>
          <cell r="AC1286" t="str">
            <v/>
          </cell>
          <cell r="AD1286" t="str">
            <v/>
          </cell>
          <cell r="AY1286" t="str">
            <v/>
          </cell>
          <cell r="AZ1286" t="str">
            <v/>
          </cell>
          <cell r="BA1286" t="str">
            <v/>
          </cell>
        </row>
        <row r="1287">
          <cell r="B1287" t="str">
            <v>-</v>
          </cell>
          <cell r="E1287" t="str">
            <v/>
          </cell>
          <cell r="G1287" t="str">
            <v/>
          </cell>
          <cell r="J1287" t="str">
            <v/>
          </cell>
          <cell r="O1287" t="str">
            <v/>
          </cell>
          <cell r="P1287" t="str">
            <v/>
          </cell>
          <cell r="Q1287" t="str">
            <v/>
          </cell>
          <cell r="S1287" t="str">
            <v/>
          </cell>
          <cell r="V1287" t="str">
            <v/>
          </cell>
          <cell r="Z1287" t="str">
            <v/>
          </cell>
          <cell r="AA1287" t="str">
            <v/>
          </cell>
          <cell r="AB1287" t="str">
            <v/>
          </cell>
          <cell r="AC1287" t="str">
            <v/>
          </cell>
          <cell r="AD1287" t="str">
            <v/>
          </cell>
          <cell r="AY1287" t="str">
            <v/>
          </cell>
          <cell r="AZ1287" t="str">
            <v/>
          </cell>
          <cell r="BA1287" t="str">
            <v/>
          </cell>
        </row>
        <row r="1288">
          <cell r="B1288" t="str">
            <v>-</v>
          </cell>
          <cell r="E1288" t="str">
            <v/>
          </cell>
          <cell r="G1288" t="str">
            <v/>
          </cell>
          <cell r="J1288" t="str">
            <v/>
          </cell>
          <cell r="O1288" t="str">
            <v/>
          </cell>
          <cell r="P1288" t="str">
            <v/>
          </cell>
          <cell r="Q1288" t="str">
            <v/>
          </cell>
          <cell r="S1288" t="str">
            <v/>
          </cell>
          <cell r="V1288" t="str">
            <v/>
          </cell>
          <cell r="Z1288" t="str">
            <v/>
          </cell>
          <cell r="AA1288" t="str">
            <v/>
          </cell>
          <cell r="AB1288" t="str">
            <v/>
          </cell>
          <cell r="AC1288" t="str">
            <v/>
          </cell>
          <cell r="AD1288" t="str">
            <v/>
          </cell>
          <cell r="AY1288" t="str">
            <v/>
          </cell>
          <cell r="AZ1288" t="str">
            <v/>
          </cell>
          <cell r="BA1288" t="str">
            <v/>
          </cell>
        </row>
        <row r="1289">
          <cell r="B1289" t="str">
            <v>-</v>
          </cell>
          <cell r="E1289" t="str">
            <v/>
          </cell>
          <cell r="G1289" t="str">
            <v/>
          </cell>
          <cell r="J1289" t="str">
            <v/>
          </cell>
          <cell r="O1289" t="str">
            <v/>
          </cell>
          <cell r="P1289" t="str">
            <v/>
          </cell>
          <cell r="Q1289" t="str">
            <v/>
          </cell>
          <cell r="S1289" t="str">
            <v/>
          </cell>
          <cell r="V1289" t="str">
            <v/>
          </cell>
          <cell r="Z1289" t="str">
            <v/>
          </cell>
          <cell r="AA1289" t="str">
            <v/>
          </cell>
          <cell r="AB1289" t="str">
            <v/>
          </cell>
          <cell r="AC1289" t="str">
            <v/>
          </cell>
          <cell r="AD1289" t="str">
            <v/>
          </cell>
          <cell r="AY1289" t="str">
            <v/>
          </cell>
          <cell r="AZ1289" t="str">
            <v/>
          </cell>
          <cell r="BA1289" t="str">
            <v/>
          </cell>
        </row>
        <row r="1290">
          <cell r="B1290" t="str">
            <v>-</v>
          </cell>
          <cell r="E1290" t="str">
            <v/>
          </cell>
          <cell r="G1290" t="str">
            <v/>
          </cell>
          <cell r="J1290" t="str">
            <v/>
          </cell>
          <cell r="O1290" t="str">
            <v/>
          </cell>
          <cell r="P1290" t="str">
            <v/>
          </cell>
          <cell r="Q1290" t="str">
            <v/>
          </cell>
          <cell r="S1290" t="str">
            <v/>
          </cell>
          <cell r="V1290" t="str">
            <v/>
          </cell>
          <cell r="Z1290" t="str">
            <v/>
          </cell>
          <cell r="AA1290" t="str">
            <v/>
          </cell>
          <cell r="AB1290" t="str">
            <v/>
          </cell>
          <cell r="AC1290" t="str">
            <v/>
          </cell>
          <cell r="AD1290" t="str">
            <v/>
          </cell>
          <cell r="AY1290" t="str">
            <v/>
          </cell>
          <cell r="AZ1290" t="str">
            <v/>
          </cell>
          <cell r="BA1290" t="str">
            <v/>
          </cell>
        </row>
        <row r="1291">
          <cell r="B1291" t="str">
            <v>-</v>
          </cell>
          <cell r="E1291" t="str">
            <v/>
          </cell>
          <cell r="G1291" t="str">
            <v/>
          </cell>
          <cell r="J1291" t="str">
            <v/>
          </cell>
          <cell r="O1291" t="str">
            <v/>
          </cell>
          <cell r="P1291" t="str">
            <v/>
          </cell>
          <cell r="Q1291" t="str">
            <v/>
          </cell>
          <cell r="S1291" t="str">
            <v/>
          </cell>
          <cell r="V1291" t="str">
            <v/>
          </cell>
          <cell r="Z1291" t="str">
            <v/>
          </cell>
          <cell r="AA1291" t="str">
            <v/>
          </cell>
          <cell r="AB1291" t="str">
            <v/>
          </cell>
          <cell r="AC1291" t="str">
            <v/>
          </cell>
          <cell r="AD1291" t="str">
            <v/>
          </cell>
          <cell r="AY1291" t="str">
            <v/>
          </cell>
          <cell r="AZ1291" t="str">
            <v/>
          </cell>
          <cell r="BA1291" t="str">
            <v/>
          </cell>
        </row>
        <row r="1292">
          <cell r="B1292" t="str">
            <v>-</v>
          </cell>
          <cell r="E1292" t="str">
            <v/>
          </cell>
          <cell r="G1292" t="str">
            <v/>
          </cell>
          <cell r="J1292" t="str">
            <v/>
          </cell>
          <cell r="O1292" t="str">
            <v/>
          </cell>
          <cell r="P1292" t="str">
            <v/>
          </cell>
          <cell r="Q1292" t="str">
            <v/>
          </cell>
          <cell r="S1292" t="str">
            <v/>
          </cell>
          <cell r="V1292" t="str">
            <v/>
          </cell>
          <cell r="Z1292" t="str">
            <v/>
          </cell>
          <cell r="AA1292" t="str">
            <v/>
          </cell>
          <cell r="AB1292" t="str">
            <v/>
          </cell>
          <cell r="AC1292" t="str">
            <v/>
          </cell>
          <cell r="AD1292" t="str">
            <v/>
          </cell>
          <cell r="AY1292" t="str">
            <v/>
          </cell>
          <cell r="AZ1292" t="str">
            <v/>
          </cell>
          <cell r="BA1292" t="str">
            <v/>
          </cell>
        </row>
        <row r="1293">
          <cell r="B1293" t="str">
            <v>-</v>
          </cell>
          <cell r="E1293" t="str">
            <v/>
          </cell>
          <cell r="G1293" t="str">
            <v/>
          </cell>
          <cell r="J1293" t="str">
            <v/>
          </cell>
          <cell r="O1293" t="str">
            <v/>
          </cell>
          <cell r="P1293" t="str">
            <v/>
          </cell>
          <cell r="Q1293" t="str">
            <v/>
          </cell>
          <cell r="S1293" t="str">
            <v/>
          </cell>
          <cell r="V1293" t="str">
            <v/>
          </cell>
          <cell r="Z1293" t="str">
            <v/>
          </cell>
          <cell r="AA1293" t="str">
            <v/>
          </cell>
          <cell r="AB1293" t="str">
            <v/>
          </cell>
          <cell r="AC1293" t="str">
            <v/>
          </cell>
          <cell r="AD1293" t="str">
            <v/>
          </cell>
          <cell r="AY1293" t="str">
            <v/>
          </cell>
          <cell r="AZ1293" t="str">
            <v/>
          </cell>
          <cell r="BA1293" t="str">
            <v/>
          </cell>
        </row>
        <row r="1294">
          <cell r="B1294" t="str">
            <v>-</v>
          </cell>
          <cell r="E1294" t="str">
            <v/>
          </cell>
          <cell r="G1294" t="str">
            <v/>
          </cell>
          <cell r="J1294" t="str">
            <v/>
          </cell>
          <cell r="O1294" t="str">
            <v/>
          </cell>
          <cell r="P1294" t="str">
            <v/>
          </cell>
          <cell r="Q1294" t="str">
            <v/>
          </cell>
          <cell r="S1294" t="str">
            <v/>
          </cell>
          <cell r="V1294" t="str">
            <v/>
          </cell>
          <cell r="Z1294" t="str">
            <v/>
          </cell>
          <cell r="AA1294" t="str">
            <v/>
          </cell>
          <cell r="AB1294" t="str">
            <v/>
          </cell>
          <cell r="AC1294" t="str">
            <v/>
          </cell>
          <cell r="AD1294" t="str">
            <v/>
          </cell>
          <cell r="AY1294" t="str">
            <v/>
          </cell>
          <cell r="AZ1294" t="str">
            <v/>
          </cell>
          <cell r="BA1294" t="str">
            <v/>
          </cell>
        </row>
        <row r="1295">
          <cell r="B1295" t="str">
            <v>-</v>
          </cell>
          <cell r="E1295" t="str">
            <v/>
          </cell>
          <cell r="G1295" t="str">
            <v/>
          </cell>
          <cell r="J1295" t="str">
            <v/>
          </cell>
          <cell r="O1295" t="str">
            <v/>
          </cell>
          <cell r="P1295" t="str">
            <v/>
          </cell>
          <cell r="Q1295" t="str">
            <v/>
          </cell>
          <cell r="S1295" t="str">
            <v/>
          </cell>
          <cell r="V1295" t="str">
            <v/>
          </cell>
          <cell r="Z1295" t="str">
            <v/>
          </cell>
          <cell r="AA1295" t="str">
            <v/>
          </cell>
          <cell r="AB1295" t="str">
            <v/>
          </cell>
          <cell r="AC1295" t="str">
            <v/>
          </cell>
          <cell r="AD1295" t="str">
            <v/>
          </cell>
          <cell r="AY1295" t="str">
            <v/>
          </cell>
          <cell r="AZ1295" t="str">
            <v/>
          </cell>
          <cell r="BA1295" t="str">
            <v/>
          </cell>
        </row>
        <row r="1296">
          <cell r="B1296" t="str">
            <v>-</v>
          </cell>
          <cell r="E1296" t="str">
            <v/>
          </cell>
          <cell r="G1296" t="str">
            <v/>
          </cell>
          <cell r="J1296" t="str">
            <v/>
          </cell>
          <cell r="O1296" t="str">
            <v/>
          </cell>
          <cell r="P1296" t="str">
            <v/>
          </cell>
          <cell r="Q1296" t="str">
            <v/>
          </cell>
          <cell r="S1296" t="str">
            <v/>
          </cell>
          <cell r="V1296" t="str">
            <v/>
          </cell>
          <cell r="Z1296" t="str">
            <v/>
          </cell>
          <cell r="AA1296" t="str">
            <v/>
          </cell>
          <cell r="AB1296" t="str">
            <v/>
          </cell>
          <cell r="AC1296" t="str">
            <v/>
          </cell>
          <cell r="AD1296" t="str">
            <v/>
          </cell>
          <cell r="AY1296" t="str">
            <v/>
          </cell>
          <cell r="AZ1296" t="str">
            <v/>
          </cell>
          <cell r="BA1296" t="str">
            <v/>
          </cell>
        </row>
        <row r="1297">
          <cell r="B1297" t="str">
            <v>-</v>
          </cell>
          <cell r="E1297" t="str">
            <v/>
          </cell>
          <cell r="G1297" t="str">
            <v/>
          </cell>
          <cell r="J1297" t="str">
            <v/>
          </cell>
          <cell r="O1297" t="str">
            <v/>
          </cell>
          <cell r="P1297" t="str">
            <v/>
          </cell>
          <cell r="Q1297" t="str">
            <v/>
          </cell>
          <cell r="S1297" t="str">
            <v/>
          </cell>
          <cell r="V1297" t="str">
            <v/>
          </cell>
          <cell r="Z1297" t="str">
            <v/>
          </cell>
          <cell r="AA1297" t="str">
            <v/>
          </cell>
          <cell r="AB1297" t="str">
            <v/>
          </cell>
          <cell r="AC1297" t="str">
            <v/>
          </cell>
          <cell r="AD1297" t="str">
            <v/>
          </cell>
          <cell r="AY1297" t="str">
            <v/>
          </cell>
          <cell r="AZ1297" t="str">
            <v/>
          </cell>
          <cell r="BA1297" t="str">
            <v/>
          </cell>
        </row>
        <row r="1298">
          <cell r="B1298" t="str">
            <v>-</v>
          </cell>
          <cell r="E1298" t="str">
            <v/>
          </cell>
          <cell r="G1298" t="str">
            <v/>
          </cell>
          <cell r="J1298" t="str">
            <v/>
          </cell>
          <cell r="O1298" t="str">
            <v/>
          </cell>
          <cell r="P1298" t="str">
            <v/>
          </cell>
          <cell r="Q1298" t="str">
            <v/>
          </cell>
          <cell r="S1298" t="str">
            <v/>
          </cell>
          <cell r="V1298" t="str">
            <v/>
          </cell>
          <cell r="Z1298" t="str">
            <v/>
          </cell>
          <cell r="AA1298" t="str">
            <v/>
          </cell>
          <cell r="AB1298" t="str">
            <v/>
          </cell>
          <cell r="AC1298" t="str">
            <v/>
          </cell>
          <cell r="AD1298" t="str">
            <v/>
          </cell>
          <cell r="AY1298" t="str">
            <v/>
          </cell>
          <cell r="AZ1298" t="str">
            <v/>
          </cell>
          <cell r="BA1298" t="str">
            <v/>
          </cell>
        </row>
        <row r="1299">
          <cell r="B1299" t="str">
            <v>-</v>
          </cell>
          <cell r="E1299" t="str">
            <v/>
          </cell>
          <cell r="G1299" t="str">
            <v/>
          </cell>
          <cell r="J1299" t="str">
            <v/>
          </cell>
          <cell r="O1299" t="str">
            <v/>
          </cell>
          <cell r="P1299" t="str">
            <v/>
          </cell>
          <cell r="Q1299" t="str">
            <v/>
          </cell>
          <cell r="S1299" t="str">
            <v/>
          </cell>
          <cell r="V1299" t="str">
            <v/>
          </cell>
          <cell r="Z1299" t="str">
            <v/>
          </cell>
          <cell r="AA1299" t="str">
            <v/>
          </cell>
          <cell r="AB1299" t="str">
            <v/>
          </cell>
          <cell r="AC1299" t="str">
            <v/>
          </cell>
          <cell r="AD1299" t="str">
            <v/>
          </cell>
          <cell r="AY1299" t="str">
            <v/>
          </cell>
          <cell r="AZ1299" t="str">
            <v/>
          </cell>
          <cell r="BA1299" t="str">
            <v/>
          </cell>
        </row>
        <row r="1300">
          <cell r="B1300" t="str">
            <v>-</v>
          </cell>
          <cell r="E1300" t="str">
            <v/>
          </cell>
          <cell r="G1300" t="str">
            <v/>
          </cell>
          <cell r="J1300" t="str">
            <v/>
          </cell>
          <cell r="O1300" t="str">
            <v/>
          </cell>
          <cell r="P1300" t="str">
            <v/>
          </cell>
          <cell r="Q1300" t="str">
            <v/>
          </cell>
          <cell r="S1300" t="str">
            <v/>
          </cell>
          <cell r="V1300" t="str">
            <v/>
          </cell>
          <cell r="Z1300" t="str">
            <v/>
          </cell>
          <cell r="AA1300" t="str">
            <v/>
          </cell>
          <cell r="AB1300" t="str">
            <v/>
          </cell>
          <cell r="AC1300" t="str">
            <v/>
          </cell>
          <cell r="AD1300" t="str">
            <v/>
          </cell>
          <cell r="AY1300" t="str">
            <v/>
          </cell>
          <cell r="AZ1300" t="str">
            <v/>
          </cell>
          <cell r="BA1300" t="str">
            <v/>
          </cell>
        </row>
        <row r="1301">
          <cell r="B1301" t="str">
            <v>-</v>
          </cell>
          <cell r="E1301" t="str">
            <v/>
          </cell>
          <cell r="G1301" t="str">
            <v/>
          </cell>
          <cell r="J1301" t="str">
            <v/>
          </cell>
          <cell r="O1301" t="str">
            <v/>
          </cell>
          <cell r="P1301" t="str">
            <v/>
          </cell>
          <cell r="Q1301" t="str">
            <v/>
          </cell>
          <cell r="S1301" t="str">
            <v/>
          </cell>
          <cell r="V1301" t="str">
            <v/>
          </cell>
          <cell r="Z1301" t="str">
            <v/>
          </cell>
          <cell r="AA1301" t="str">
            <v/>
          </cell>
          <cell r="AB1301" t="str">
            <v/>
          </cell>
          <cell r="AC1301" t="str">
            <v/>
          </cell>
          <cell r="AD1301" t="str">
            <v/>
          </cell>
          <cell r="AY1301" t="str">
            <v/>
          </cell>
          <cell r="AZ1301" t="str">
            <v/>
          </cell>
          <cell r="BA1301" t="str">
            <v/>
          </cell>
        </row>
        <row r="1302">
          <cell r="B1302" t="str">
            <v>-</v>
          </cell>
          <cell r="E1302" t="str">
            <v/>
          </cell>
          <cell r="G1302" t="str">
            <v/>
          </cell>
          <cell r="J1302" t="str">
            <v/>
          </cell>
          <cell r="O1302" t="str">
            <v/>
          </cell>
          <cell r="P1302" t="str">
            <v/>
          </cell>
          <cell r="Q1302" t="str">
            <v/>
          </cell>
          <cell r="S1302" t="str">
            <v/>
          </cell>
          <cell r="V1302" t="str">
            <v/>
          </cell>
          <cell r="Z1302" t="str">
            <v/>
          </cell>
          <cell r="AA1302" t="str">
            <v/>
          </cell>
          <cell r="AB1302" t="str">
            <v/>
          </cell>
          <cell r="AC1302" t="str">
            <v/>
          </cell>
          <cell r="AD1302" t="str">
            <v/>
          </cell>
          <cell r="AY1302" t="str">
            <v/>
          </cell>
          <cell r="AZ1302" t="str">
            <v/>
          </cell>
          <cell r="BA1302" t="str">
            <v/>
          </cell>
        </row>
        <row r="1303">
          <cell r="B1303" t="str">
            <v>-</v>
          </cell>
          <cell r="E1303" t="str">
            <v/>
          </cell>
          <cell r="G1303" t="str">
            <v/>
          </cell>
          <cell r="J1303" t="str">
            <v/>
          </cell>
          <cell r="O1303" t="str">
            <v/>
          </cell>
          <cell r="P1303" t="str">
            <v/>
          </cell>
          <cell r="Q1303" t="str">
            <v/>
          </cell>
          <cell r="S1303" t="str">
            <v/>
          </cell>
          <cell r="V1303" t="str">
            <v/>
          </cell>
          <cell r="Z1303" t="str">
            <v/>
          </cell>
          <cell r="AA1303" t="str">
            <v/>
          </cell>
          <cell r="AB1303" t="str">
            <v/>
          </cell>
          <cell r="AC1303" t="str">
            <v/>
          </cell>
          <cell r="AD1303" t="str">
            <v/>
          </cell>
          <cell r="AY1303" t="str">
            <v/>
          </cell>
          <cell r="AZ1303" t="str">
            <v/>
          </cell>
          <cell r="BA1303" t="str">
            <v/>
          </cell>
        </row>
        <row r="1304">
          <cell r="B1304" t="str">
            <v>-</v>
          </cell>
          <cell r="E1304" t="str">
            <v/>
          </cell>
          <cell r="G1304" t="str">
            <v/>
          </cell>
          <cell r="J1304" t="str">
            <v/>
          </cell>
          <cell r="O1304" t="str">
            <v/>
          </cell>
          <cell r="P1304" t="str">
            <v/>
          </cell>
          <cell r="Q1304" t="str">
            <v/>
          </cell>
          <cell r="S1304" t="str">
            <v/>
          </cell>
          <cell r="V1304" t="str">
            <v/>
          </cell>
          <cell r="Z1304" t="str">
            <v/>
          </cell>
          <cell r="AA1304" t="str">
            <v/>
          </cell>
          <cell r="AB1304" t="str">
            <v/>
          </cell>
          <cell r="AC1304" t="str">
            <v/>
          </cell>
          <cell r="AD1304" t="str">
            <v/>
          </cell>
          <cell r="AY1304" t="str">
            <v/>
          </cell>
          <cell r="AZ1304" t="str">
            <v/>
          </cell>
          <cell r="BA1304" t="str">
            <v/>
          </cell>
        </row>
        <row r="1305">
          <cell r="B1305" t="str">
            <v>-</v>
          </cell>
          <cell r="E1305" t="str">
            <v/>
          </cell>
          <cell r="G1305" t="str">
            <v/>
          </cell>
          <cell r="J1305" t="str">
            <v/>
          </cell>
          <cell r="O1305" t="str">
            <v/>
          </cell>
          <cell r="P1305" t="str">
            <v/>
          </cell>
          <cell r="Q1305" t="str">
            <v/>
          </cell>
          <cell r="S1305" t="str">
            <v/>
          </cell>
          <cell r="V1305" t="str">
            <v/>
          </cell>
          <cell r="Z1305" t="str">
            <v/>
          </cell>
          <cell r="AA1305" t="str">
            <v/>
          </cell>
          <cell r="AB1305" t="str">
            <v/>
          </cell>
          <cell r="AC1305" t="str">
            <v/>
          </cell>
          <cell r="AD1305" t="str">
            <v/>
          </cell>
          <cell r="AY1305" t="str">
            <v/>
          </cell>
          <cell r="AZ1305" t="str">
            <v/>
          </cell>
          <cell r="BA1305" t="str">
            <v/>
          </cell>
        </row>
        <row r="1306">
          <cell r="B1306" t="str">
            <v>-</v>
          </cell>
          <cell r="E1306" t="str">
            <v/>
          </cell>
          <cell r="G1306" t="str">
            <v/>
          </cell>
          <cell r="J1306" t="str">
            <v/>
          </cell>
          <cell r="O1306" t="str">
            <v/>
          </cell>
          <cell r="P1306" t="str">
            <v/>
          </cell>
          <cell r="Q1306" t="str">
            <v/>
          </cell>
          <cell r="S1306" t="str">
            <v/>
          </cell>
          <cell r="V1306" t="str">
            <v/>
          </cell>
          <cell r="Z1306" t="str">
            <v/>
          </cell>
          <cell r="AA1306" t="str">
            <v/>
          </cell>
          <cell r="AB1306" t="str">
            <v/>
          </cell>
          <cell r="AC1306" t="str">
            <v/>
          </cell>
          <cell r="AD1306" t="str">
            <v/>
          </cell>
          <cell r="AY1306" t="str">
            <v/>
          </cell>
          <cell r="AZ1306" t="str">
            <v/>
          </cell>
          <cell r="BA1306" t="str">
            <v/>
          </cell>
        </row>
        <row r="1307">
          <cell r="B1307" t="str">
            <v>-</v>
          </cell>
          <cell r="E1307" t="str">
            <v/>
          </cell>
          <cell r="G1307" t="str">
            <v/>
          </cell>
          <cell r="J1307" t="str">
            <v/>
          </cell>
          <cell r="O1307" t="str">
            <v/>
          </cell>
          <cell r="P1307" t="str">
            <v/>
          </cell>
          <cell r="Q1307" t="str">
            <v/>
          </cell>
          <cell r="S1307" t="str">
            <v/>
          </cell>
          <cell r="V1307" t="str">
            <v/>
          </cell>
          <cell r="Z1307" t="str">
            <v/>
          </cell>
          <cell r="AA1307" t="str">
            <v/>
          </cell>
          <cell r="AB1307" t="str">
            <v/>
          </cell>
          <cell r="AC1307" t="str">
            <v/>
          </cell>
          <cell r="AD1307" t="str">
            <v/>
          </cell>
          <cell r="AY1307" t="str">
            <v/>
          </cell>
          <cell r="AZ1307" t="str">
            <v/>
          </cell>
          <cell r="BA1307" t="str">
            <v/>
          </cell>
        </row>
        <row r="1308">
          <cell r="B1308" t="str">
            <v>-</v>
          </cell>
          <cell r="E1308" t="str">
            <v/>
          </cell>
          <cell r="G1308" t="str">
            <v/>
          </cell>
          <cell r="J1308" t="str">
            <v/>
          </cell>
          <cell r="O1308" t="str">
            <v/>
          </cell>
          <cell r="P1308" t="str">
            <v/>
          </cell>
          <cell r="Q1308" t="str">
            <v/>
          </cell>
          <cell r="S1308" t="str">
            <v/>
          </cell>
          <cell r="V1308" t="str">
            <v/>
          </cell>
          <cell r="Z1308" t="str">
            <v/>
          </cell>
          <cell r="AA1308" t="str">
            <v/>
          </cell>
          <cell r="AB1308" t="str">
            <v/>
          </cell>
          <cell r="AC1308" t="str">
            <v/>
          </cell>
          <cell r="AD1308" t="str">
            <v/>
          </cell>
          <cell r="AY1308" t="str">
            <v/>
          </cell>
          <cell r="AZ1308" t="str">
            <v/>
          </cell>
          <cell r="BA1308" t="str">
            <v/>
          </cell>
        </row>
        <row r="1309">
          <cell r="B1309" t="str">
            <v>-</v>
          </cell>
          <cell r="E1309" t="str">
            <v/>
          </cell>
          <cell r="G1309" t="str">
            <v/>
          </cell>
          <cell r="J1309" t="str">
            <v/>
          </cell>
          <cell r="O1309" t="str">
            <v/>
          </cell>
          <cell r="P1309" t="str">
            <v/>
          </cell>
          <cell r="Q1309" t="str">
            <v/>
          </cell>
          <cell r="S1309" t="str">
            <v/>
          </cell>
          <cell r="V1309" t="str">
            <v/>
          </cell>
          <cell r="Z1309" t="str">
            <v/>
          </cell>
          <cell r="AA1309" t="str">
            <v/>
          </cell>
          <cell r="AB1309" t="str">
            <v/>
          </cell>
          <cell r="AC1309" t="str">
            <v/>
          </cell>
          <cell r="AD1309" t="str">
            <v/>
          </cell>
          <cell r="AY1309" t="str">
            <v/>
          </cell>
          <cell r="AZ1309" t="str">
            <v/>
          </cell>
          <cell r="BA1309" t="str">
            <v/>
          </cell>
        </row>
        <row r="1310">
          <cell r="B1310" t="str">
            <v>-</v>
          </cell>
          <cell r="E1310" t="str">
            <v/>
          </cell>
          <cell r="G1310" t="str">
            <v/>
          </cell>
          <cell r="J1310" t="str">
            <v/>
          </cell>
          <cell r="O1310" t="str">
            <v/>
          </cell>
          <cell r="P1310" t="str">
            <v/>
          </cell>
          <cell r="Q1310" t="str">
            <v/>
          </cell>
          <cell r="S1310" t="str">
            <v/>
          </cell>
          <cell r="V1310" t="str">
            <v/>
          </cell>
          <cell r="Z1310" t="str">
            <v/>
          </cell>
          <cell r="AA1310" t="str">
            <v/>
          </cell>
          <cell r="AB1310" t="str">
            <v/>
          </cell>
          <cell r="AC1310" t="str">
            <v/>
          </cell>
          <cell r="AD1310" t="str">
            <v/>
          </cell>
          <cell r="AY1310" t="str">
            <v/>
          </cell>
          <cell r="AZ1310" t="str">
            <v/>
          </cell>
          <cell r="BA1310" t="str">
            <v/>
          </cell>
        </row>
        <row r="1311">
          <cell r="B1311" t="str">
            <v>-</v>
          </cell>
          <cell r="E1311" t="str">
            <v/>
          </cell>
          <cell r="G1311" t="str">
            <v/>
          </cell>
          <cell r="J1311" t="str">
            <v/>
          </cell>
          <cell r="O1311" t="str">
            <v/>
          </cell>
          <cell r="P1311" t="str">
            <v/>
          </cell>
          <cell r="Q1311" t="str">
            <v/>
          </cell>
          <cell r="S1311" t="str">
            <v/>
          </cell>
          <cell r="V1311" t="str">
            <v/>
          </cell>
          <cell r="Z1311" t="str">
            <v/>
          </cell>
          <cell r="AA1311" t="str">
            <v/>
          </cell>
          <cell r="AB1311" t="str">
            <v/>
          </cell>
          <cell r="AC1311" t="str">
            <v/>
          </cell>
          <cell r="AD1311" t="str">
            <v/>
          </cell>
          <cell r="AY1311" t="str">
            <v/>
          </cell>
          <cell r="AZ1311" t="str">
            <v/>
          </cell>
          <cell r="BA1311" t="str">
            <v/>
          </cell>
        </row>
        <row r="1312">
          <cell r="B1312" t="str">
            <v>-</v>
          </cell>
          <cell r="E1312" t="str">
            <v/>
          </cell>
          <cell r="G1312" t="str">
            <v/>
          </cell>
          <cell r="J1312" t="str">
            <v/>
          </cell>
          <cell r="O1312" t="str">
            <v/>
          </cell>
          <cell r="P1312" t="str">
            <v/>
          </cell>
          <cell r="Q1312" t="str">
            <v/>
          </cell>
          <cell r="S1312" t="str">
            <v/>
          </cell>
          <cell r="V1312" t="str">
            <v/>
          </cell>
          <cell r="Z1312" t="str">
            <v/>
          </cell>
          <cell r="AA1312" t="str">
            <v/>
          </cell>
          <cell r="AB1312" t="str">
            <v/>
          </cell>
          <cell r="AC1312" t="str">
            <v/>
          </cell>
          <cell r="AD1312" t="str">
            <v/>
          </cell>
          <cell r="AY1312" t="str">
            <v/>
          </cell>
          <cell r="AZ1312" t="str">
            <v/>
          </cell>
          <cell r="BA1312" t="str">
            <v/>
          </cell>
        </row>
        <row r="1313">
          <cell r="B1313" t="str">
            <v>-</v>
          </cell>
          <cell r="E1313" t="str">
            <v/>
          </cell>
          <cell r="G1313" t="str">
            <v/>
          </cell>
          <cell r="J1313" t="str">
            <v/>
          </cell>
          <cell r="O1313" t="str">
            <v/>
          </cell>
          <cell r="P1313" t="str">
            <v/>
          </cell>
          <cell r="Q1313" t="str">
            <v/>
          </cell>
          <cell r="S1313" t="str">
            <v/>
          </cell>
          <cell r="V1313" t="str">
            <v/>
          </cell>
          <cell r="Z1313" t="str">
            <v/>
          </cell>
          <cell r="AA1313" t="str">
            <v/>
          </cell>
          <cell r="AB1313" t="str">
            <v/>
          </cell>
          <cell r="AC1313" t="str">
            <v/>
          </cell>
          <cell r="AD1313" t="str">
            <v/>
          </cell>
          <cell r="AY1313" t="str">
            <v/>
          </cell>
          <cell r="AZ1313" t="str">
            <v/>
          </cell>
          <cell r="BA1313" t="str">
            <v/>
          </cell>
        </row>
        <row r="1314">
          <cell r="B1314" t="str">
            <v>-</v>
          </cell>
          <cell r="E1314" t="str">
            <v/>
          </cell>
          <cell r="G1314" t="str">
            <v/>
          </cell>
          <cell r="J1314" t="str">
            <v/>
          </cell>
          <cell r="O1314" t="str">
            <v/>
          </cell>
          <cell r="P1314" t="str">
            <v/>
          </cell>
          <cell r="Q1314" t="str">
            <v/>
          </cell>
          <cell r="S1314" t="str">
            <v/>
          </cell>
          <cell r="V1314" t="str">
            <v/>
          </cell>
          <cell r="Z1314" t="str">
            <v/>
          </cell>
          <cell r="AA1314" t="str">
            <v/>
          </cell>
          <cell r="AB1314" t="str">
            <v/>
          </cell>
          <cell r="AC1314" t="str">
            <v/>
          </cell>
          <cell r="AD1314" t="str">
            <v/>
          </cell>
          <cell r="AY1314" t="str">
            <v/>
          </cell>
          <cell r="AZ1314" t="str">
            <v/>
          </cell>
          <cell r="BA1314" t="str">
            <v/>
          </cell>
        </row>
        <row r="1315">
          <cell r="B1315" t="str">
            <v>-</v>
          </cell>
          <cell r="E1315" t="str">
            <v/>
          </cell>
          <cell r="G1315" t="str">
            <v/>
          </cell>
          <cell r="J1315" t="str">
            <v/>
          </cell>
          <cell r="O1315" t="str">
            <v/>
          </cell>
          <cell r="P1315" t="str">
            <v/>
          </cell>
          <cell r="Q1315" t="str">
            <v/>
          </cell>
          <cell r="S1315" t="str">
            <v/>
          </cell>
          <cell r="V1315" t="str">
            <v/>
          </cell>
          <cell r="Z1315" t="str">
            <v/>
          </cell>
          <cell r="AA1315" t="str">
            <v/>
          </cell>
          <cell r="AB1315" t="str">
            <v/>
          </cell>
          <cell r="AC1315" t="str">
            <v/>
          </cell>
          <cell r="AD1315" t="str">
            <v/>
          </cell>
          <cell r="AY1315" t="str">
            <v/>
          </cell>
          <cell r="AZ1315" t="str">
            <v/>
          </cell>
          <cell r="BA1315" t="str">
            <v/>
          </cell>
        </row>
        <row r="1316">
          <cell r="B1316" t="str">
            <v>-</v>
          </cell>
          <cell r="E1316" t="str">
            <v/>
          </cell>
          <cell r="G1316" t="str">
            <v/>
          </cell>
          <cell r="J1316" t="str">
            <v/>
          </cell>
          <cell r="O1316" t="str">
            <v/>
          </cell>
          <cell r="P1316" t="str">
            <v/>
          </cell>
          <cell r="Q1316" t="str">
            <v/>
          </cell>
          <cell r="S1316" t="str">
            <v/>
          </cell>
          <cell r="V1316" t="str">
            <v/>
          </cell>
          <cell r="Z1316" t="str">
            <v/>
          </cell>
          <cell r="AA1316" t="str">
            <v/>
          </cell>
          <cell r="AB1316" t="str">
            <v/>
          </cell>
          <cell r="AC1316" t="str">
            <v/>
          </cell>
          <cell r="AD1316" t="str">
            <v/>
          </cell>
          <cell r="AY1316" t="str">
            <v/>
          </cell>
          <cell r="AZ1316" t="str">
            <v/>
          </cell>
          <cell r="BA1316" t="str">
            <v/>
          </cell>
        </row>
        <row r="1317">
          <cell r="B1317" t="str">
            <v>-</v>
          </cell>
          <cell r="E1317" t="str">
            <v/>
          </cell>
          <cell r="G1317" t="str">
            <v/>
          </cell>
          <cell r="J1317" t="str">
            <v/>
          </cell>
          <cell r="O1317" t="str">
            <v/>
          </cell>
          <cell r="P1317" t="str">
            <v/>
          </cell>
          <cell r="Q1317" t="str">
            <v/>
          </cell>
          <cell r="S1317" t="str">
            <v/>
          </cell>
          <cell r="V1317" t="str">
            <v/>
          </cell>
          <cell r="Z1317" t="str">
            <v/>
          </cell>
          <cell r="AA1317" t="str">
            <v/>
          </cell>
          <cell r="AB1317" t="str">
            <v/>
          </cell>
          <cell r="AC1317" t="str">
            <v/>
          </cell>
          <cell r="AD1317" t="str">
            <v/>
          </cell>
          <cell r="AY1317" t="str">
            <v/>
          </cell>
          <cell r="AZ1317" t="str">
            <v/>
          </cell>
          <cell r="BA1317" t="str">
            <v/>
          </cell>
        </row>
        <row r="1318">
          <cell r="B1318" t="str">
            <v>-</v>
          </cell>
          <cell r="E1318" t="str">
            <v/>
          </cell>
          <cell r="G1318" t="str">
            <v/>
          </cell>
          <cell r="J1318" t="str">
            <v/>
          </cell>
          <cell r="O1318" t="str">
            <v/>
          </cell>
          <cell r="P1318" t="str">
            <v/>
          </cell>
          <cell r="Q1318" t="str">
            <v/>
          </cell>
          <cell r="S1318" t="str">
            <v/>
          </cell>
          <cell r="V1318" t="str">
            <v/>
          </cell>
          <cell r="Z1318" t="str">
            <v/>
          </cell>
          <cell r="AA1318" t="str">
            <v/>
          </cell>
          <cell r="AB1318" t="str">
            <v/>
          </cell>
          <cell r="AC1318" t="str">
            <v/>
          </cell>
          <cell r="AD1318" t="str">
            <v/>
          </cell>
          <cell r="AY1318" t="str">
            <v/>
          </cell>
          <cell r="AZ1318" t="str">
            <v/>
          </cell>
          <cell r="BA1318" t="str">
            <v/>
          </cell>
        </row>
        <row r="1319">
          <cell r="B1319" t="str">
            <v>-</v>
          </cell>
          <cell r="E1319" t="str">
            <v/>
          </cell>
          <cell r="G1319" t="str">
            <v/>
          </cell>
          <cell r="J1319" t="str">
            <v/>
          </cell>
          <cell r="O1319" t="str">
            <v/>
          </cell>
          <cell r="P1319" t="str">
            <v/>
          </cell>
          <cell r="Q1319" t="str">
            <v/>
          </cell>
          <cell r="S1319" t="str">
            <v/>
          </cell>
          <cell r="V1319" t="str">
            <v/>
          </cell>
          <cell r="Z1319" t="str">
            <v/>
          </cell>
          <cell r="AA1319" t="str">
            <v/>
          </cell>
          <cell r="AB1319" t="str">
            <v/>
          </cell>
          <cell r="AC1319" t="str">
            <v/>
          </cell>
          <cell r="AD1319" t="str">
            <v/>
          </cell>
          <cell r="AY1319" t="str">
            <v/>
          </cell>
          <cell r="AZ1319" t="str">
            <v/>
          </cell>
          <cell r="BA1319" t="str">
            <v/>
          </cell>
        </row>
        <row r="1320">
          <cell r="B1320" t="str">
            <v>-</v>
          </cell>
          <cell r="E1320" t="str">
            <v/>
          </cell>
          <cell r="G1320" t="str">
            <v/>
          </cell>
          <cell r="J1320" t="str">
            <v/>
          </cell>
          <cell r="O1320" t="str">
            <v/>
          </cell>
          <cell r="P1320" t="str">
            <v/>
          </cell>
          <cell r="Q1320" t="str">
            <v/>
          </cell>
          <cell r="S1320" t="str">
            <v/>
          </cell>
          <cell r="V1320" t="str">
            <v/>
          </cell>
          <cell r="Z1320" t="str">
            <v/>
          </cell>
          <cell r="AA1320" t="str">
            <v/>
          </cell>
          <cell r="AB1320" t="str">
            <v/>
          </cell>
          <cell r="AC1320" t="str">
            <v/>
          </cell>
          <cell r="AD1320" t="str">
            <v/>
          </cell>
          <cell r="AY1320" t="str">
            <v/>
          </cell>
          <cell r="AZ1320" t="str">
            <v/>
          </cell>
          <cell r="BA1320" t="str">
            <v/>
          </cell>
        </row>
        <row r="1321">
          <cell r="B1321" t="str">
            <v>-</v>
          </cell>
          <cell r="E1321" t="str">
            <v/>
          </cell>
          <cell r="G1321" t="str">
            <v/>
          </cell>
          <cell r="J1321" t="str">
            <v/>
          </cell>
          <cell r="O1321" t="str">
            <v/>
          </cell>
          <cell r="P1321" t="str">
            <v/>
          </cell>
          <cell r="Q1321" t="str">
            <v/>
          </cell>
          <cell r="S1321" t="str">
            <v/>
          </cell>
          <cell r="V1321" t="str">
            <v/>
          </cell>
          <cell r="Z1321" t="str">
            <v/>
          </cell>
          <cell r="AA1321" t="str">
            <v/>
          </cell>
          <cell r="AB1321" t="str">
            <v/>
          </cell>
          <cell r="AC1321" t="str">
            <v/>
          </cell>
          <cell r="AD1321" t="str">
            <v/>
          </cell>
          <cell r="AY1321" t="str">
            <v/>
          </cell>
          <cell r="AZ1321" t="str">
            <v/>
          </cell>
          <cell r="BA1321" t="str">
            <v/>
          </cell>
        </row>
        <row r="1322">
          <cell r="B1322" t="str">
            <v>-</v>
          </cell>
          <cell r="E1322" t="str">
            <v/>
          </cell>
          <cell r="G1322" t="str">
            <v/>
          </cell>
          <cell r="J1322" t="str">
            <v/>
          </cell>
          <cell r="O1322" t="str">
            <v/>
          </cell>
          <cell r="P1322" t="str">
            <v/>
          </cell>
          <cell r="Q1322" t="str">
            <v/>
          </cell>
          <cell r="S1322" t="str">
            <v/>
          </cell>
          <cell r="V1322" t="str">
            <v/>
          </cell>
          <cell r="Z1322" t="str">
            <v/>
          </cell>
          <cell r="AA1322" t="str">
            <v/>
          </cell>
          <cell r="AB1322" t="str">
            <v/>
          </cell>
          <cell r="AC1322" t="str">
            <v/>
          </cell>
          <cell r="AD1322" t="str">
            <v/>
          </cell>
          <cell r="AY1322" t="str">
            <v/>
          </cell>
          <cell r="AZ1322" t="str">
            <v/>
          </cell>
          <cell r="BA1322" t="str">
            <v/>
          </cell>
        </row>
        <row r="1323">
          <cell r="B1323" t="str">
            <v>-</v>
          </cell>
          <cell r="E1323" t="str">
            <v/>
          </cell>
          <cell r="G1323" t="str">
            <v/>
          </cell>
          <cell r="J1323" t="str">
            <v/>
          </cell>
          <cell r="O1323" t="str">
            <v/>
          </cell>
          <cell r="P1323" t="str">
            <v/>
          </cell>
          <cell r="Q1323" t="str">
            <v/>
          </cell>
          <cell r="S1323" t="str">
            <v/>
          </cell>
          <cell r="V1323" t="str">
            <v/>
          </cell>
          <cell r="Z1323" t="str">
            <v/>
          </cell>
          <cell r="AA1323" t="str">
            <v/>
          </cell>
          <cell r="AB1323" t="str">
            <v/>
          </cell>
          <cell r="AC1323" t="str">
            <v/>
          </cell>
          <cell r="AD1323" t="str">
            <v/>
          </cell>
          <cell r="AY1323" t="str">
            <v/>
          </cell>
          <cell r="AZ1323" t="str">
            <v/>
          </cell>
          <cell r="BA1323" t="str">
            <v/>
          </cell>
        </row>
        <row r="1324">
          <cell r="B1324" t="str">
            <v>-</v>
          </cell>
          <cell r="E1324" t="str">
            <v/>
          </cell>
          <cell r="G1324" t="str">
            <v/>
          </cell>
          <cell r="J1324" t="str">
            <v/>
          </cell>
          <cell r="O1324" t="str">
            <v/>
          </cell>
          <cell r="P1324" t="str">
            <v/>
          </cell>
          <cell r="Q1324" t="str">
            <v/>
          </cell>
          <cell r="S1324" t="str">
            <v/>
          </cell>
          <cell r="V1324" t="str">
            <v/>
          </cell>
          <cell r="Z1324" t="str">
            <v/>
          </cell>
          <cell r="AA1324" t="str">
            <v/>
          </cell>
          <cell r="AB1324" t="str">
            <v/>
          </cell>
          <cell r="AC1324" t="str">
            <v/>
          </cell>
          <cell r="AD1324" t="str">
            <v/>
          </cell>
          <cell r="AY1324" t="str">
            <v/>
          </cell>
          <cell r="AZ1324" t="str">
            <v/>
          </cell>
          <cell r="BA1324" t="str">
            <v/>
          </cell>
        </row>
        <row r="1325">
          <cell r="B1325" t="str">
            <v>-</v>
          </cell>
          <cell r="E1325" t="str">
            <v/>
          </cell>
          <cell r="G1325" t="str">
            <v/>
          </cell>
          <cell r="J1325" t="str">
            <v/>
          </cell>
          <cell r="O1325" t="str">
            <v/>
          </cell>
          <cell r="P1325" t="str">
            <v/>
          </cell>
          <cell r="Q1325" t="str">
            <v/>
          </cell>
          <cell r="S1325" t="str">
            <v/>
          </cell>
          <cell r="V1325" t="str">
            <v/>
          </cell>
          <cell r="Z1325" t="str">
            <v/>
          </cell>
          <cell r="AA1325" t="str">
            <v/>
          </cell>
          <cell r="AB1325" t="str">
            <v/>
          </cell>
          <cell r="AC1325" t="str">
            <v/>
          </cell>
          <cell r="AD1325" t="str">
            <v/>
          </cell>
          <cell r="AY1325" t="str">
            <v/>
          </cell>
          <cell r="AZ1325" t="str">
            <v/>
          </cell>
          <cell r="BA1325" t="str">
            <v/>
          </cell>
        </row>
        <row r="1326">
          <cell r="B1326" t="str">
            <v>-</v>
          </cell>
          <cell r="E1326" t="str">
            <v/>
          </cell>
          <cell r="G1326" t="str">
            <v/>
          </cell>
          <cell r="J1326" t="str">
            <v/>
          </cell>
          <cell r="O1326" t="str">
            <v/>
          </cell>
          <cell r="P1326" t="str">
            <v/>
          </cell>
          <cell r="Q1326" t="str">
            <v/>
          </cell>
          <cell r="S1326" t="str">
            <v/>
          </cell>
          <cell r="V1326" t="str">
            <v/>
          </cell>
          <cell r="Z1326" t="str">
            <v/>
          </cell>
          <cell r="AA1326" t="str">
            <v/>
          </cell>
          <cell r="AB1326" t="str">
            <v/>
          </cell>
          <cell r="AC1326" t="str">
            <v/>
          </cell>
          <cell r="AD1326" t="str">
            <v/>
          </cell>
          <cell r="AY1326" t="str">
            <v/>
          </cell>
          <cell r="AZ1326" t="str">
            <v/>
          </cell>
          <cell r="BA1326" t="str">
            <v/>
          </cell>
        </row>
        <row r="1327">
          <cell r="B1327" t="str">
            <v>-</v>
          </cell>
          <cell r="E1327" t="str">
            <v/>
          </cell>
          <cell r="G1327" t="str">
            <v/>
          </cell>
          <cell r="J1327" t="str">
            <v/>
          </cell>
          <cell r="O1327" t="str">
            <v/>
          </cell>
          <cell r="P1327" t="str">
            <v/>
          </cell>
          <cell r="Q1327" t="str">
            <v/>
          </cell>
          <cell r="S1327" t="str">
            <v/>
          </cell>
          <cell r="V1327" t="str">
            <v/>
          </cell>
          <cell r="Z1327" t="str">
            <v/>
          </cell>
          <cell r="AA1327" t="str">
            <v/>
          </cell>
          <cell r="AB1327" t="str">
            <v/>
          </cell>
          <cell r="AC1327" t="str">
            <v/>
          </cell>
          <cell r="AD1327" t="str">
            <v/>
          </cell>
          <cell r="AY1327" t="str">
            <v/>
          </cell>
          <cell r="AZ1327" t="str">
            <v/>
          </cell>
          <cell r="BA1327" t="str">
            <v/>
          </cell>
        </row>
        <row r="1328">
          <cell r="B1328" t="str">
            <v>-</v>
          </cell>
          <cell r="E1328" t="str">
            <v/>
          </cell>
          <cell r="G1328" t="str">
            <v/>
          </cell>
          <cell r="J1328" t="str">
            <v/>
          </cell>
          <cell r="O1328" t="str">
            <v/>
          </cell>
          <cell r="P1328" t="str">
            <v/>
          </cell>
          <cell r="Q1328" t="str">
            <v/>
          </cell>
          <cell r="S1328" t="str">
            <v/>
          </cell>
          <cell r="V1328" t="str">
            <v/>
          </cell>
          <cell r="Z1328" t="str">
            <v/>
          </cell>
          <cell r="AA1328" t="str">
            <v/>
          </cell>
          <cell r="AB1328" t="str">
            <v/>
          </cell>
          <cell r="AC1328" t="str">
            <v/>
          </cell>
          <cell r="AD1328" t="str">
            <v/>
          </cell>
          <cell r="AY1328" t="str">
            <v/>
          </cell>
          <cell r="AZ1328" t="str">
            <v/>
          </cell>
          <cell r="BA1328" t="str">
            <v/>
          </cell>
        </row>
        <row r="1329">
          <cell r="B1329" t="str">
            <v>-</v>
          </cell>
          <cell r="E1329" t="str">
            <v/>
          </cell>
          <cell r="G1329" t="str">
            <v/>
          </cell>
          <cell r="J1329" t="str">
            <v/>
          </cell>
          <cell r="O1329" t="str">
            <v/>
          </cell>
          <cell r="P1329" t="str">
            <v/>
          </cell>
          <cell r="Q1329" t="str">
            <v/>
          </cell>
          <cell r="S1329" t="str">
            <v/>
          </cell>
          <cell r="V1329" t="str">
            <v/>
          </cell>
          <cell r="Z1329" t="str">
            <v/>
          </cell>
          <cell r="AA1329" t="str">
            <v/>
          </cell>
          <cell r="AB1329" t="str">
            <v/>
          </cell>
          <cell r="AC1329" t="str">
            <v/>
          </cell>
          <cell r="AD1329" t="str">
            <v/>
          </cell>
          <cell r="AY1329" t="str">
            <v/>
          </cell>
          <cell r="AZ1329" t="str">
            <v/>
          </cell>
          <cell r="BA1329" t="str">
            <v/>
          </cell>
        </row>
        <row r="1330">
          <cell r="B1330" t="str">
            <v>-</v>
          </cell>
          <cell r="E1330" t="str">
            <v/>
          </cell>
          <cell r="G1330" t="str">
            <v/>
          </cell>
          <cell r="J1330" t="str">
            <v/>
          </cell>
          <cell r="O1330" t="str">
            <v/>
          </cell>
          <cell r="P1330" t="str">
            <v/>
          </cell>
          <cell r="Q1330" t="str">
            <v/>
          </cell>
          <cell r="S1330" t="str">
            <v/>
          </cell>
          <cell r="V1330" t="str">
            <v/>
          </cell>
          <cell r="Z1330" t="str">
            <v/>
          </cell>
          <cell r="AA1330" t="str">
            <v/>
          </cell>
          <cell r="AB1330" t="str">
            <v/>
          </cell>
          <cell r="AC1330" t="str">
            <v/>
          </cell>
          <cell r="AD1330" t="str">
            <v/>
          </cell>
          <cell r="AY1330" t="str">
            <v/>
          </cell>
          <cell r="AZ1330" t="str">
            <v/>
          </cell>
          <cell r="BA1330" t="str">
            <v/>
          </cell>
        </row>
        <row r="1331">
          <cell r="B1331" t="str">
            <v>-</v>
          </cell>
          <cell r="E1331" t="str">
            <v/>
          </cell>
          <cell r="G1331" t="str">
            <v/>
          </cell>
          <cell r="J1331" t="str">
            <v/>
          </cell>
          <cell r="O1331" t="str">
            <v/>
          </cell>
          <cell r="P1331" t="str">
            <v/>
          </cell>
          <cell r="Q1331" t="str">
            <v/>
          </cell>
          <cell r="S1331" t="str">
            <v/>
          </cell>
          <cell r="V1331" t="str">
            <v/>
          </cell>
          <cell r="Z1331" t="str">
            <v/>
          </cell>
          <cell r="AA1331" t="str">
            <v/>
          </cell>
          <cell r="AB1331" t="str">
            <v/>
          </cell>
          <cell r="AC1331" t="str">
            <v/>
          </cell>
          <cell r="AD1331" t="str">
            <v/>
          </cell>
          <cell r="AY1331" t="str">
            <v/>
          </cell>
          <cell r="AZ1331" t="str">
            <v/>
          </cell>
          <cell r="BA1331" t="str">
            <v/>
          </cell>
        </row>
        <row r="1332">
          <cell r="B1332" t="str">
            <v>-</v>
          </cell>
          <cell r="E1332" t="str">
            <v/>
          </cell>
          <cell r="G1332" t="str">
            <v/>
          </cell>
          <cell r="J1332" t="str">
            <v/>
          </cell>
          <cell r="O1332" t="str">
            <v/>
          </cell>
          <cell r="P1332" t="str">
            <v/>
          </cell>
          <cell r="Q1332" t="str">
            <v/>
          </cell>
          <cell r="S1332" t="str">
            <v/>
          </cell>
          <cell r="V1332" t="str">
            <v/>
          </cell>
          <cell r="Z1332" t="str">
            <v/>
          </cell>
          <cell r="AA1332" t="str">
            <v/>
          </cell>
          <cell r="AB1332" t="str">
            <v/>
          </cell>
          <cell r="AC1332" t="str">
            <v/>
          </cell>
          <cell r="AD1332" t="str">
            <v/>
          </cell>
          <cell r="AY1332" t="str">
            <v/>
          </cell>
          <cell r="AZ1332" t="str">
            <v/>
          </cell>
          <cell r="BA1332" t="str">
            <v/>
          </cell>
        </row>
        <row r="1333">
          <cell r="B1333" t="str">
            <v>-</v>
          </cell>
          <cell r="E1333" t="str">
            <v/>
          </cell>
          <cell r="G1333" t="str">
            <v/>
          </cell>
          <cell r="J1333" t="str">
            <v/>
          </cell>
          <cell r="O1333" t="str">
            <v/>
          </cell>
          <cell r="P1333" t="str">
            <v/>
          </cell>
          <cell r="Q1333" t="str">
            <v/>
          </cell>
          <cell r="S1333" t="str">
            <v/>
          </cell>
          <cell r="V1333" t="str">
            <v/>
          </cell>
          <cell r="Z1333" t="str">
            <v/>
          </cell>
          <cell r="AA1333" t="str">
            <v/>
          </cell>
          <cell r="AB1333" t="str">
            <v/>
          </cell>
          <cell r="AC1333" t="str">
            <v/>
          </cell>
          <cell r="AD1333" t="str">
            <v/>
          </cell>
          <cell r="AY1333" t="str">
            <v/>
          </cell>
          <cell r="AZ1333" t="str">
            <v/>
          </cell>
          <cell r="BA1333" t="str">
            <v/>
          </cell>
        </row>
        <row r="1334">
          <cell r="B1334" t="str">
            <v>-</v>
          </cell>
          <cell r="E1334" t="str">
            <v/>
          </cell>
          <cell r="G1334" t="str">
            <v/>
          </cell>
          <cell r="J1334" t="str">
            <v/>
          </cell>
          <cell r="O1334" t="str">
            <v/>
          </cell>
          <cell r="P1334" t="str">
            <v/>
          </cell>
          <cell r="Q1334" t="str">
            <v/>
          </cell>
          <cell r="S1334" t="str">
            <v/>
          </cell>
          <cell r="V1334" t="str">
            <v/>
          </cell>
          <cell r="Z1334" t="str">
            <v/>
          </cell>
          <cell r="AA1334" t="str">
            <v/>
          </cell>
          <cell r="AB1334" t="str">
            <v/>
          </cell>
          <cell r="AC1334" t="str">
            <v/>
          </cell>
          <cell r="AD1334" t="str">
            <v/>
          </cell>
          <cell r="AY1334" t="str">
            <v/>
          </cell>
          <cell r="AZ1334" t="str">
            <v/>
          </cell>
          <cell r="BA1334" t="str">
            <v/>
          </cell>
        </row>
        <row r="1335">
          <cell r="B1335" t="str">
            <v>-</v>
          </cell>
          <cell r="E1335" t="str">
            <v/>
          </cell>
          <cell r="G1335" t="str">
            <v/>
          </cell>
          <cell r="J1335" t="str">
            <v/>
          </cell>
          <cell r="O1335" t="str">
            <v/>
          </cell>
          <cell r="P1335" t="str">
            <v/>
          </cell>
          <cell r="Q1335" t="str">
            <v/>
          </cell>
          <cell r="S1335" t="str">
            <v/>
          </cell>
          <cell r="V1335" t="str">
            <v/>
          </cell>
          <cell r="Z1335" t="str">
            <v/>
          </cell>
          <cell r="AA1335" t="str">
            <v/>
          </cell>
          <cell r="AB1335" t="str">
            <v/>
          </cell>
          <cell r="AC1335" t="str">
            <v/>
          </cell>
          <cell r="AD1335" t="str">
            <v/>
          </cell>
          <cell r="AY1335" t="str">
            <v/>
          </cell>
          <cell r="AZ1335" t="str">
            <v/>
          </cell>
          <cell r="BA1335" t="str">
            <v/>
          </cell>
        </row>
        <row r="1336">
          <cell r="B1336" t="str">
            <v>-</v>
          </cell>
          <cell r="E1336" t="str">
            <v/>
          </cell>
          <cell r="G1336" t="str">
            <v/>
          </cell>
          <cell r="J1336" t="str">
            <v/>
          </cell>
          <cell r="O1336" t="str">
            <v/>
          </cell>
          <cell r="P1336" t="str">
            <v/>
          </cell>
          <cell r="Q1336" t="str">
            <v/>
          </cell>
          <cell r="S1336" t="str">
            <v/>
          </cell>
          <cell r="V1336" t="str">
            <v/>
          </cell>
          <cell r="Z1336" t="str">
            <v/>
          </cell>
          <cell r="AA1336" t="str">
            <v/>
          </cell>
          <cell r="AB1336" t="str">
            <v/>
          </cell>
          <cell r="AC1336" t="str">
            <v/>
          </cell>
          <cell r="AD1336" t="str">
            <v/>
          </cell>
          <cell r="AY1336" t="str">
            <v/>
          </cell>
          <cell r="AZ1336" t="str">
            <v/>
          </cell>
          <cell r="BA1336" t="str">
            <v/>
          </cell>
        </row>
        <row r="1337">
          <cell r="B1337" t="str">
            <v>-</v>
          </cell>
          <cell r="E1337" t="str">
            <v/>
          </cell>
          <cell r="G1337" t="str">
            <v/>
          </cell>
          <cell r="J1337" t="str">
            <v/>
          </cell>
          <cell r="O1337" t="str">
            <v/>
          </cell>
          <cell r="P1337" t="str">
            <v/>
          </cell>
          <cell r="Q1337" t="str">
            <v/>
          </cell>
          <cell r="S1337" t="str">
            <v/>
          </cell>
          <cell r="V1337" t="str">
            <v/>
          </cell>
          <cell r="Z1337" t="str">
            <v/>
          </cell>
          <cell r="AA1337" t="str">
            <v/>
          </cell>
          <cell r="AB1337" t="str">
            <v/>
          </cell>
          <cell r="AC1337" t="str">
            <v/>
          </cell>
          <cell r="AD1337" t="str">
            <v/>
          </cell>
          <cell r="AY1337" t="str">
            <v/>
          </cell>
          <cell r="AZ1337" t="str">
            <v/>
          </cell>
          <cell r="BA1337" t="str">
            <v/>
          </cell>
        </row>
        <row r="1338">
          <cell r="B1338" t="str">
            <v>-</v>
          </cell>
          <cell r="E1338" t="str">
            <v/>
          </cell>
          <cell r="G1338" t="str">
            <v/>
          </cell>
          <cell r="J1338" t="str">
            <v/>
          </cell>
          <cell r="O1338" t="str">
            <v/>
          </cell>
          <cell r="P1338" t="str">
            <v/>
          </cell>
          <cell r="Q1338" t="str">
            <v/>
          </cell>
          <cell r="S1338" t="str">
            <v/>
          </cell>
          <cell r="V1338" t="str">
            <v/>
          </cell>
          <cell r="Z1338" t="str">
            <v/>
          </cell>
          <cell r="AA1338" t="str">
            <v/>
          </cell>
          <cell r="AB1338" t="str">
            <v/>
          </cell>
          <cell r="AC1338" t="str">
            <v/>
          </cell>
          <cell r="AD1338" t="str">
            <v/>
          </cell>
          <cell r="AY1338" t="str">
            <v/>
          </cell>
          <cell r="AZ1338" t="str">
            <v/>
          </cell>
          <cell r="BA1338" t="str">
            <v/>
          </cell>
        </row>
        <row r="1339">
          <cell r="B1339" t="str">
            <v>-</v>
          </cell>
          <cell r="E1339" t="str">
            <v/>
          </cell>
          <cell r="G1339" t="str">
            <v/>
          </cell>
          <cell r="J1339" t="str">
            <v/>
          </cell>
          <cell r="O1339" t="str">
            <v/>
          </cell>
          <cell r="P1339" t="str">
            <v/>
          </cell>
          <cell r="Q1339" t="str">
            <v/>
          </cell>
          <cell r="S1339" t="str">
            <v/>
          </cell>
          <cell r="V1339" t="str">
            <v/>
          </cell>
          <cell r="Z1339" t="str">
            <v/>
          </cell>
          <cell r="AA1339" t="str">
            <v/>
          </cell>
          <cell r="AB1339" t="str">
            <v/>
          </cell>
          <cell r="AC1339" t="str">
            <v/>
          </cell>
          <cell r="AD1339" t="str">
            <v/>
          </cell>
          <cell r="AY1339" t="str">
            <v/>
          </cell>
          <cell r="AZ1339" t="str">
            <v/>
          </cell>
          <cell r="BA1339" t="str">
            <v/>
          </cell>
        </row>
        <row r="1340">
          <cell r="B1340" t="str">
            <v>-</v>
          </cell>
          <cell r="E1340" t="str">
            <v/>
          </cell>
          <cell r="G1340" t="str">
            <v/>
          </cell>
          <cell r="J1340" t="str">
            <v/>
          </cell>
          <cell r="O1340" t="str">
            <v/>
          </cell>
          <cell r="P1340" t="str">
            <v/>
          </cell>
          <cell r="Q1340" t="str">
            <v/>
          </cell>
          <cell r="S1340" t="str">
            <v/>
          </cell>
          <cell r="V1340" t="str">
            <v/>
          </cell>
          <cell r="Z1340" t="str">
            <v/>
          </cell>
          <cell r="AA1340" t="str">
            <v/>
          </cell>
          <cell r="AB1340" t="str">
            <v/>
          </cell>
          <cell r="AC1340" t="str">
            <v/>
          </cell>
          <cell r="AD1340" t="str">
            <v/>
          </cell>
          <cell r="AY1340" t="str">
            <v/>
          </cell>
          <cell r="AZ1340" t="str">
            <v/>
          </cell>
          <cell r="BA1340" t="str">
            <v/>
          </cell>
        </row>
        <row r="1341">
          <cell r="B1341" t="str">
            <v>-</v>
          </cell>
          <cell r="E1341" t="str">
            <v/>
          </cell>
          <cell r="G1341" t="str">
            <v/>
          </cell>
          <cell r="J1341" t="str">
            <v/>
          </cell>
          <cell r="O1341" t="str">
            <v/>
          </cell>
          <cell r="P1341" t="str">
            <v/>
          </cell>
          <cell r="Q1341" t="str">
            <v/>
          </cell>
          <cell r="S1341" t="str">
            <v/>
          </cell>
          <cell r="V1341" t="str">
            <v/>
          </cell>
          <cell r="Z1341" t="str">
            <v/>
          </cell>
          <cell r="AA1341" t="str">
            <v/>
          </cell>
          <cell r="AB1341" t="str">
            <v/>
          </cell>
          <cell r="AC1341" t="str">
            <v/>
          </cell>
          <cell r="AD1341" t="str">
            <v/>
          </cell>
          <cell r="AY1341" t="str">
            <v/>
          </cell>
          <cell r="AZ1341" t="str">
            <v/>
          </cell>
          <cell r="BA1341" t="str">
            <v/>
          </cell>
        </row>
        <row r="1342">
          <cell r="B1342" t="str">
            <v>-</v>
          </cell>
          <cell r="E1342" t="str">
            <v/>
          </cell>
          <cell r="G1342" t="str">
            <v/>
          </cell>
          <cell r="J1342" t="str">
            <v/>
          </cell>
          <cell r="O1342" t="str">
            <v/>
          </cell>
          <cell r="P1342" t="str">
            <v/>
          </cell>
          <cell r="Q1342" t="str">
            <v/>
          </cell>
          <cell r="S1342" t="str">
            <v/>
          </cell>
          <cell r="V1342" t="str">
            <v/>
          </cell>
          <cell r="Z1342" t="str">
            <v/>
          </cell>
          <cell r="AA1342" t="str">
            <v/>
          </cell>
          <cell r="AB1342" t="str">
            <v/>
          </cell>
          <cell r="AC1342" t="str">
            <v/>
          </cell>
          <cell r="AD1342" t="str">
            <v/>
          </cell>
          <cell r="AY1342" t="str">
            <v/>
          </cell>
          <cell r="AZ1342" t="str">
            <v/>
          </cell>
          <cell r="BA1342" t="str">
            <v/>
          </cell>
        </row>
        <row r="1343">
          <cell r="B1343" t="str">
            <v>-</v>
          </cell>
          <cell r="E1343" t="str">
            <v/>
          </cell>
          <cell r="G1343" t="str">
            <v/>
          </cell>
          <cell r="J1343" t="str">
            <v/>
          </cell>
          <cell r="O1343" t="str">
            <v/>
          </cell>
          <cell r="P1343" t="str">
            <v/>
          </cell>
          <cell r="Q1343" t="str">
            <v/>
          </cell>
          <cell r="S1343" t="str">
            <v/>
          </cell>
          <cell r="V1343" t="str">
            <v/>
          </cell>
          <cell r="Z1343" t="str">
            <v/>
          </cell>
          <cell r="AA1343" t="str">
            <v/>
          </cell>
          <cell r="AB1343" t="str">
            <v/>
          </cell>
          <cell r="AC1343" t="str">
            <v/>
          </cell>
          <cell r="AD1343" t="str">
            <v/>
          </cell>
          <cell r="AY1343" t="str">
            <v/>
          </cell>
          <cell r="AZ1343" t="str">
            <v/>
          </cell>
          <cell r="BA1343" t="str">
            <v/>
          </cell>
        </row>
        <row r="1344">
          <cell r="B1344" t="str">
            <v>-</v>
          </cell>
          <cell r="E1344" t="str">
            <v/>
          </cell>
          <cell r="G1344" t="str">
            <v/>
          </cell>
          <cell r="J1344" t="str">
            <v/>
          </cell>
          <cell r="O1344" t="str">
            <v/>
          </cell>
          <cell r="P1344" t="str">
            <v/>
          </cell>
          <cell r="Q1344" t="str">
            <v/>
          </cell>
          <cell r="S1344" t="str">
            <v/>
          </cell>
          <cell r="V1344" t="str">
            <v/>
          </cell>
          <cell r="Z1344" t="str">
            <v/>
          </cell>
          <cell r="AA1344" t="str">
            <v/>
          </cell>
          <cell r="AB1344" t="str">
            <v/>
          </cell>
          <cell r="AC1344" t="str">
            <v/>
          </cell>
          <cell r="AD1344" t="str">
            <v/>
          </cell>
          <cell r="AY1344" t="str">
            <v/>
          </cell>
          <cell r="AZ1344" t="str">
            <v/>
          </cell>
          <cell r="BA1344" t="str">
            <v/>
          </cell>
        </row>
        <row r="1345">
          <cell r="B1345" t="str">
            <v>-</v>
          </cell>
          <cell r="E1345" t="str">
            <v/>
          </cell>
          <cell r="G1345" t="str">
            <v/>
          </cell>
          <cell r="J1345" t="str">
            <v/>
          </cell>
          <cell r="O1345" t="str">
            <v/>
          </cell>
          <cell r="P1345" t="str">
            <v/>
          </cell>
          <cell r="Q1345" t="str">
            <v/>
          </cell>
          <cell r="S1345" t="str">
            <v/>
          </cell>
          <cell r="V1345" t="str">
            <v/>
          </cell>
          <cell r="Z1345" t="str">
            <v/>
          </cell>
          <cell r="AA1345" t="str">
            <v/>
          </cell>
          <cell r="AB1345" t="str">
            <v/>
          </cell>
          <cell r="AC1345" t="str">
            <v/>
          </cell>
          <cell r="AD1345" t="str">
            <v/>
          </cell>
          <cell r="AY1345" t="str">
            <v/>
          </cell>
          <cell r="AZ1345" t="str">
            <v/>
          </cell>
          <cell r="BA1345" t="str">
            <v/>
          </cell>
        </row>
        <row r="1346">
          <cell r="B1346" t="str">
            <v>-</v>
          </cell>
          <cell r="E1346" t="str">
            <v/>
          </cell>
          <cell r="G1346" t="str">
            <v/>
          </cell>
          <cell r="J1346" t="str">
            <v/>
          </cell>
          <cell r="O1346" t="str">
            <v/>
          </cell>
          <cell r="P1346" t="str">
            <v/>
          </cell>
          <cell r="Q1346" t="str">
            <v/>
          </cell>
          <cell r="S1346" t="str">
            <v/>
          </cell>
          <cell r="V1346" t="str">
            <v/>
          </cell>
          <cell r="Z1346" t="str">
            <v/>
          </cell>
          <cell r="AA1346" t="str">
            <v/>
          </cell>
          <cell r="AB1346" t="str">
            <v/>
          </cell>
          <cell r="AC1346" t="str">
            <v/>
          </cell>
          <cell r="AD1346" t="str">
            <v/>
          </cell>
          <cell r="AY1346" t="str">
            <v/>
          </cell>
          <cell r="AZ1346" t="str">
            <v/>
          </cell>
          <cell r="BA1346" t="str">
            <v/>
          </cell>
        </row>
        <row r="1347">
          <cell r="B1347" t="str">
            <v>-</v>
          </cell>
          <cell r="E1347" t="str">
            <v/>
          </cell>
          <cell r="G1347" t="str">
            <v/>
          </cell>
          <cell r="J1347" t="str">
            <v/>
          </cell>
          <cell r="O1347" t="str">
            <v/>
          </cell>
          <cell r="P1347" t="str">
            <v/>
          </cell>
          <cell r="Q1347" t="str">
            <v/>
          </cell>
          <cell r="S1347" t="str">
            <v/>
          </cell>
          <cell r="V1347" t="str">
            <v/>
          </cell>
          <cell r="Z1347" t="str">
            <v/>
          </cell>
          <cell r="AA1347" t="str">
            <v/>
          </cell>
          <cell r="AB1347" t="str">
            <v/>
          </cell>
          <cell r="AC1347" t="str">
            <v/>
          </cell>
          <cell r="AD1347" t="str">
            <v/>
          </cell>
          <cell r="AY1347" t="str">
            <v/>
          </cell>
          <cell r="AZ1347" t="str">
            <v/>
          </cell>
          <cell r="BA1347" t="str">
            <v/>
          </cell>
        </row>
        <row r="1348">
          <cell r="B1348" t="str">
            <v>-</v>
          </cell>
          <cell r="E1348" t="str">
            <v/>
          </cell>
          <cell r="G1348" t="str">
            <v/>
          </cell>
          <cell r="J1348" t="str">
            <v/>
          </cell>
          <cell r="O1348" t="str">
            <v/>
          </cell>
          <cell r="P1348" t="str">
            <v/>
          </cell>
          <cell r="Q1348" t="str">
            <v/>
          </cell>
          <cell r="S1348" t="str">
            <v/>
          </cell>
          <cell r="V1348" t="str">
            <v/>
          </cell>
          <cell r="Z1348" t="str">
            <v/>
          </cell>
          <cell r="AA1348" t="str">
            <v/>
          </cell>
          <cell r="AB1348" t="str">
            <v/>
          </cell>
          <cell r="AC1348" t="str">
            <v/>
          </cell>
          <cell r="AD1348" t="str">
            <v/>
          </cell>
          <cell r="AY1348" t="str">
            <v/>
          </cell>
          <cell r="AZ1348" t="str">
            <v/>
          </cell>
          <cell r="BA1348" t="str">
            <v/>
          </cell>
        </row>
        <row r="1349">
          <cell r="B1349" t="str">
            <v>-</v>
          </cell>
          <cell r="E1349" t="str">
            <v/>
          </cell>
          <cell r="G1349" t="str">
            <v/>
          </cell>
          <cell r="J1349" t="str">
            <v/>
          </cell>
          <cell r="O1349" t="str">
            <v/>
          </cell>
          <cell r="P1349" t="str">
            <v/>
          </cell>
          <cell r="Q1349" t="str">
            <v/>
          </cell>
          <cell r="S1349" t="str">
            <v/>
          </cell>
          <cell r="V1349" t="str">
            <v/>
          </cell>
          <cell r="Z1349" t="str">
            <v/>
          </cell>
          <cell r="AA1349" t="str">
            <v/>
          </cell>
          <cell r="AB1349" t="str">
            <v/>
          </cell>
          <cell r="AC1349" t="str">
            <v/>
          </cell>
          <cell r="AD1349" t="str">
            <v/>
          </cell>
          <cell r="AY1349" t="str">
            <v/>
          </cell>
          <cell r="AZ1349" t="str">
            <v/>
          </cell>
          <cell r="BA1349" t="str">
            <v/>
          </cell>
        </row>
        <row r="1350">
          <cell r="B1350" t="str">
            <v>-</v>
          </cell>
          <cell r="E1350" t="str">
            <v/>
          </cell>
          <cell r="G1350" t="str">
            <v/>
          </cell>
          <cell r="J1350" t="str">
            <v/>
          </cell>
          <cell r="O1350" t="str">
            <v/>
          </cell>
          <cell r="P1350" t="str">
            <v/>
          </cell>
          <cell r="Q1350" t="str">
            <v/>
          </cell>
          <cell r="S1350" t="str">
            <v/>
          </cell>
          <cell r="V1350" t="str">
            <v/>
          </cell>
          <cell r="Z1350" t="str">
            <v/>
          </cell>
          <cell r="AA1350" t="str">
            <v/>
          </cell>
          <cell r="AB1350" t="str">
            <v/>
          </cell>
          <cell r="AC1350" t="str">
            <v/>
          </cell>
          <cell r="AD1350" t="str">
            <v/>
          </cell>
          <cell r="AY1350" t="str">
            <v/>
          </cell>
          <cell r="AZ1350" t="str">
            <v/>
          </cell>
          <cell r="BA1350" t="str">
            <v/>
          </cell>
        </row>
        <row r="1351">
          <cell r="B1351" t="str">
            <v>-</v>
          </cell>
          <cell r="E1351" t="str">
            <v/>
          </cell>
          <cell r="G1351" t="str">
            <v/>
          </cell>
          <cell r="J1351" t="str">
            <v/>
          </cell>
          <cell r="O1351" t="str">
            <v/>
          </cell>
          <cell r="P1351" t="str">
            <v/>
          </cell>
          <cell r="Q1351" t="str">
            <v/>
          </cell>
          <cell r="S1351" t="str">
            <v/>
          </cell>
          <cell r="V1351" t="str">
            <v/>
          </cell>
          <cell r="Z1351" t="str">
            <v/>
          </cell>
          <cell r="AA1351" t="str">
            <v/>
          </cell>
          <cell r="AB1351" t="str">
            <v/>
          </cell>
          <cell r="AC1351" t="str">
            <v/>
          </cell>
          <cell r="AD1351" t="str">
            <v/>
          </cell>
          <cell r="AY1351" t="str">
            <v/>
          </cell>
          <cell r="AZ1351" t="str">
            <v/>
          </cell>
          <cell r="BA1351" t="str">
            <v/>
          </cell>
        </row>
        <row r="1352">
          <cell r="B1352" t="str">
            <v>-</v>
          </cell>
          <cell r="E1352" t="str">
            <v/>
          </cell>
          <cell r="G1352" t="str">
            <v/>
          </cell>
          <cell r="J1352" t="str">
            <v/>
          </cell>
          <cell r="O1352" t="str">
            <v/>
          </cell>
          <cell r="P1352" t="str">
            <v/>
          </cell>
          <cell r="Q1352" t="str">
            <v/>
          </cell>
          <cell r="S1352" t="str">
            <v/>
          </cell>
          <cell r="V1352" t="str">
            <v/>
          </cell>
          <cell r="Z1352" t="str">
            <v/>
          </cell>
          <cell r="AA1352" t="str">
            <v/>
          </cell>
          <cell r="AB1352" t="str">
            <v/>
          </cell>
          <cell r="AC1352" t="str">
            <v/>
          </cell>
          <cell r="AD1352" t="str">
            <v/>
          </cell>
          <cell r="AY1352" t="str">
            <v/>
          </cell>
          <cell r="AZ1352" t="str">
            <v/>
          </cell>
          <cell r="BA1352" t="str">
            <v/>
          </cell>
        </row>
        <row r="1353">
          <cell r="B1353" t="str">
            <v>-</v>
          </cell>
          <cell r="E1353" t="str">
            <v/>
          </cell>
          <cell r="G1353" t="str">
            <v/>
          </cell>
          <cell r="J1353" t="str">
            <v/>
          </cell>
          <cell r="O1353" t="str">
            <v/>
          </cell>
          <cell r="P1353" t="str">
            <v/>
          </cell>
          <cell r="Q1353" t="str">
            <v/>
          </cell>
          <cell r="S1353" t="str">
            <v/>
          </cell>
          <cell r="V1353" t="str">
            <v/>
          </cell>
          <cell r="Z1353" t="str">
            <v/>
          </cell>
          <cell r="AA1353" t="str">
            <v/>
          </cell>
          <cell r="AB1353" t="str">
            <v/>
          </cell>
          <cell r="AC1353" t="str">
            <v/>
          </cell>
          <cell r="AD1353" t="str">
            <v/>
          </cell>
          <cell r="AY1353" t="str">
            <v/>
          </cell>
          <cell r="AZ1353" t="str">
            <v/>
          </cell>
          <cell r="BA1353" t="str">
            <v/>
          </cell>
        </row>
        <row r="1354">
          <cell r="B1354" t="str">
            <v>-</v>
          </cell>
          <cell r="E1354" t="str">
            <v/>
          </cell>
          <cell r="G1354" t="str">
            <v/>
          </cell>
          <cell r="J1354" t="str">
            <v/>
          </cell>
          <cell r="O1354" t="str">
            <v/>
          </cell>
          <cell r="P1354" t="str">
            <v/>
          </cell>
          <cell r="Q1354" t="str">
            <v/>
          </cell>
          <cell r="S1354" t="str">
            <v/>
          </cell>
          <cell r="V1354" t="str">
            <v/>
          </cell>
          <cell r="Z1354" t="str">
            <v/>
          </cell>
          <cell r="AA1354" t="str">
            <v/>
          </cell>
          <cell r="AB1354" t="str">
            <v/>
          </cell>
          <cell r="AC1354" t="str">
            <v/>
          </cell>
          <cell r="AD1354" t="str">
            <v/>
          </cell>
          <cell r="AY1354" t="str">
            <v/>
          </cell>
          <cell r="AZ1354" t="str">
            <v/>
          </cell>
          <cell r="BA1354" t="str">
            <v/>
          </cell>
        </row>
        <row r="1355">
          <cell r="B1355" t="str">
            <v>-</v>
          </cell>
          <cell r="E1355" t="str">
            <v/>
          </cell>
          <cell r="G1355" t="str">
            <v/>
          </cell>
          <cell r="J1355" t="str">
            <v/>
          </cell>
          <cell r="O1355" t="str">
            <v/>
          </cell>
          <cell r="P1355" t="str">
            <v/>
          </cell>
          <cell r="Q1355" t="str">
            <v/>
          </cell>
          <cell r="S1355" t="str">
            <v/>
          </cell>
          <cell r="V1355" t="str">
            <v/>
          </cell>
          <cell r="Z1355" t="str">
            <v/>
          </cell>
          <cell r="AA1355" t="str">
            <v/>
          </cell>
          <cell r="AB1355" t="str">
            <v/>
          </cell>
          <cell r="AC1355" t="str">
            <v/>
          </cell>
          <cell r="AD1355" t="str">
            <v/>
          </cell>
          <cell r="AY1355" t="str">
            <v/>
          </cell>
          <cell r="AZ1355" t="str">
            <v/>
          </cell>
          <cell r="BA1355" t="str">
            <v/>
          </cell>
        </row>
        <row r="1356">
          <cell r="B1356" t="str">
            <v>-</v>
          </cell>
          <cell r="E1356" t="str">
            <v/>
          </cell>
          <cell r="G1356" t="str">
            <v/>
          </cell>
          <cell r="J1356" t="str">
            <v/>
          </cell>
          <cell r="O1356" t="str">
            <v/>
          </cell>
          <cell r="P1356" t="str">
            <v/>
          </cell>
          <cell r="Q1356" t="str">
            <v/>
          </cell>
          <cell r="S1356" t="str">
            <v/>
          </cell>
          <cell r="V1356" t="str">
            <v/>
          </cell>
          <cell r="Z1356" t="str">
            <v/>
          </cell>
          <cell r="AA1356" t="str">
            <v/>
          </cell>
          <cell r="AB1356" t="str">
            <v/>
          </cell>
          <cell r="AC1356" t="str">
            <v/>
          </cell>
          <cell r="AD1356" t="str">
            <v/>
          </cell>
          <cell r="AY1356" t="str">
            <v/>
          </cell>
          <cell r="AZ1356" t="str">
            <v/>
          </cell>
          <cell r="BA1356" t="str">
            <v/>
          </cell>
        </row>
        <row r="1357">
          <cell r="B1357" t="str">
            <v>-</v>
          </cell>
          <cell r="E1357" t="str">
            <v/>
          </cell>
          <cell r="G1357" t="str">
            <v/>
          </cell>
          <cell r="J1357" t="str">
            <v/>
          </cell>
          <cell r="O1357" t="str">
            <v/>
          </cell>
          <cell r="P1357" t="str">
            <v/>
          </cell>
          <cell r="Q1357" t="str">
            <v/>
          </cell>
          <cell r="S1357" t="str">
            <v/>
          </cell>
          <cell r="V1357" t="str">
            <v/>
          </cell>
          <cell r="Z1357" t="str">
            <v/>
          </cell>
          <cell r="AA1357" t="str">
            <v/>
          </cell>
          <cell r="AB1357" t="str">
            <v/>
          </cell>
          <cell r="AC1357" t="str">
            <v/>
          </cell>
          <cell r="AD1357" t="str">
            <v/>
          </cell>
          <cell r="AY1357" t="str">
            <v/>
          </cell>
          <cell r="AZ1357" t="str">
            <v/>
          </cell>
          <cell r="BA1357" t="str">
            <v/>
          </cell>
        </row>
        <row r="1358">
          <cell r="B1358" t="str">
            <v>-</v>
          </cell>
          <cell r="E1358" t="str">
            <v/>
          </cell>
          <cell r="G1358" t="str">
            <v/>
          </cell>
          <cell r="J1358" t="str">
            <v/>
          </cell>
          <cell r="O1358" t="str">
            <v/>
          </cell>
          <cell r="P1358" t="str">
            <v/>
          </cell>
          <cell r="Q1358" t="str">
            <v/>
          </cell>
          <cell r="S1358" t="str">
            <v/>
          </cell>
          <cell r="V1358" t="str">
            <v/>
          </cell>
          <cell r="Z1358" t="str">
            <v/>
          </cell>
          <cell r="AA1358" t="str">
            <v/>
          </cell>
          <cell r="AB1358" t="str">
            <v/>
          </cell>
          <cell r="AC1358" t="str">
            <v/>
          </cell>
          <cell r="AD1358" t="str">
            <v/>
          </cell>
          <cell r="AY1358" t="str">
            <v/>
          </cell>
          <cell r="AZ1358" t="str">
            <v/>
          </cell>
          <cell r="BA1358" t="str">
            <v/>
          </cell>
        </row>
        <row r="1359">
          <cell r="B1359" t="str">
            <v>-</v>
          </cell>
          <cell r="E1359" t="str">
            <v/>
          </cell>
          <cell r="G1359" t="str">
            <v/>
          </cell>
          <cell r="J1359" t="str">
            <v/>
          </cell>
          <cell r="O1359" t="str">
            <v/>
          </cell>
          <cell r="P1359" t="str">
            <v/>
          </cell>
          <cell r="Q1359" t="str">
            <v/>
          </cell>
          <cell r="S1359" t="str">
            <v/>
          </cell>
          <cell r="V1359" t="str">
            <v/>
          </cell>
          <cell r="Z1359" t="str">
            <v/>
          </cell>
          <cell r="AA1359" t="str">
            <v/>
          </cell>
          <cell r="AB1359" t="str">
            <v/>
          </cell>
          <cell r="AC1359" t="str">
            <v/>
          </cell>
          <cell r="AD1359" t="str">
            <v/>
          </cell>
          <cell r="AY1359" t="str">
            <v/>
          </cell>
          <cell r="AZ1359" t="str">
            <v/>
          </cell>
          <cell r="BA1359" t="str">
            <v/>
          </cell>
        </row>
        <row r="1360">
          <cell r="B1360" t="str">
            <v>-</v>
          </cell>
          <cell r="E1360" t="str">
            <v/>
          </cell>
          <cell r="G1360" t="str">
            <v/>
          </cell>
          <cell r="J1360" t="str">
            <v/>
          </cell>
          <cell r="O1360" t="str">
            <v/>
          </cell>
          <cell r="P1360" t="str">
            <v/>
          </cell>
          <cell r="Q1360" t="str">
            <v/>
          </cell>
          <cell r="S1360" t="str">
            <v/>
          </cell>
          <cell r="V1360" t="str">
            <v/>
          </cell>
          <cell r="Z1360" t="str">
            <v/>
          </cell>
          <cell r="AA1360" t="str">
            <v/>
          </cell>
          <cell r="AB1360" t="str">
            <v/>
          </cell>
          <cell r="AC1360" t="str">
            <v/>
          </cell>
          <cell r="AD1360" t="str">
            <v/>
          </cell>
          <cell r="AY1360" t="str">
            <v/>
          </cell>
          <cell r="AZ1360" t="str">
            <v/>
          </cell>
          <cell r="BA1360" t="str">
            <v/>
          </cell>
        </row>
        <row r="1361">
          <cell r="B1361" t="str">
            <v>-</v>
          </cell>
          <cell r="E1361" t="str">
            <v/>
          </cell>
          <cell r="G1361" t="str">
            <v/>
          </cell>
          <cell r="J1361" t="str">
            <v/>
          </cell>
          <cell r="O1361" t="str">
            <v/>
          </cell>
          <cell r="P1361" t="str">
            <v/>
          </cell>
          <cell r="Q1361" t="str">
            <v/>
          </cell>
          <cell r="S1361" t="str">
            <v/>
          </cell>
          <cell r="V1361" t="str">
            <v/>
          </cell>
          <cell r="Z1361" t="str">
            <v/>
          </cell>
          <cell r="AA1361" t="str">
            <v/>
          </cell>
          <cell r="AB1361" t="str">
            <v/>
          </cell>
          <cell r="AC1361" t="str">
            <v/>
          </cell>
          <cell r="AD1361" t="str">
            <v/>
          </cell>
          <cell r="AY1361" t="str">
            <v/>
          </cell>
          <cell r="AZ1361" t="str">
            <v/>
          </cell>
          <cell r="BA1361" t="str">
            <v/>
          </cell>
        </row>
        <row r="1362">
          <cell r="B1362" t="str">
            <v>-</v>
          </cell>
          <cell r="E1362" t="str">
            <v/>
          </cell>
          <cell r="G1362" t="str">
            <v/>
          </cell>
          <cell r="J1362" t="str">
            <v/>
          </cell>
          <cell r="O1362" t="str">
            <v/>
          </cell>
          <cell r="P1362" t="str">
            <v/>
          </cell>
          <cell r="Q1362" t="str">
            <v/>
          </cell>
          <cell r="S1362" t="str">
            <v/>
          </cell>
          <cell r="V1362" t="str">
            <v/>
          </cell>
          <cell r="Z1362" t="str">
            <v/>
          </cell>
          <cell r="AA1362" t="str">
            <v/>
          </cell>
          <cell r="AB1362" t="str">
            <v/>
          </cell>
          <cell r="AC1362" t="str">
            <v/>
          </cell>
          <cell r="AD1362" t="str">
            <v/>
          </cell>
          <cell r="AY1362" t="str">
            <v/>
          </cell>
          <cell r="AZ1362" t="str">
            <v/>
          </cell>
          <cell r="BA1362" t="str">
            <v/>
          </cell>
        </row>
        <row r="1363">
          <cell r="B1363" t="str">
            <v>-</v>
          </cell>
          <cell r="E1363" t="str">
            <v/>
          </cell>
          <cell r="G1363" t="str">
            <v/>
          </cell>
          <cell r="J1363" t="str">
            <v/>
          </cell>
          <cell r="O1363" t="str">
            <v/>
          </cell>
          <cell r="P1363" t="str">
            <v/>
          </cell>
          <cell r="Q1363" t="str">
            <v/>
          </cell>
          <cell r="S1363" t="str">
            <v/>
          </cell>
          <cell r="V1363" t="str">
            <v/>
          </cell>
          <cell r="Z1363" t="str">
            <v/>
          </cell>
          <cell r="AA1363" t="str">
            <v/>
          </cell>
          <cell r="AB1363" t="str">
            <v/>
          </cell>
          <cell r="AC1363" t="str">
            <v/>
          </cell>
          <cell r="AD1363" t="str">
            <v/>
          </cell>
          <cell r="AY1363" t="str">
            <v/>
          </cell>
          <cell r="AZ1363" t="str">
            <v/>
          </cell>
          <cell r="BA1363" t="str">
            <v/>
          </cell>
        </row>
        <row r="1364">
          <cell r="B1364" t="str">
            <v>-</v>
          </cell>
          <cell r="E1364" t="str">
            <v/>
          </cell>
          <cell r="G1364" t="str">
            <v/>
          </cell>
          <cell r="J1364" t="str">
            <v/>
          </cell>
          <cell r="O1364" t="str">
            <v/>
          </cell>
          <cell r="P1364" t="str">
            <v/>
          </cell>
          <cell r="Q1364" t="str">
            <v/>
          </cell>
          <cell r="S1364" t="str">
            <v/>
          </cell>
          <cell r="V1364" t="str">
            <v/>
          </cell>
          <cell r="Z1364" t="str">
            <v/>
          </cell>
          <cell r="AA1364" t="str">
            <v/>
          </cell>
          <cell r="AB1364" t="str">
            <v/>
          </cell>
          <cell r="AC1364" t="str">
            <v/>
          </cell>
          <cell r="AD1364" t="str">
            <v/>
          </cell>
          <cell r="AY1364" t="str">
            <v/>
          </cell>
          <cell r="AZ1364" t="str">
            <v/>
          </cell>
          <cell r="BA1364" t="str">
            <v/>
          </cell>
        </row>
        <row r="1365">
          <cell r="B1365" t="str">
            <v>-</v>
          </cell>
          <cell r="E1365" t="str">
            <v/>
          </cell>
          <cell r="G1365" t="str">
            <v/>
          </cell>
          <cell r="J1365" t="str">
            <v/>
          </cell>
          <cell r="O1365" t="str">
            <v/>
          </cell>
          <cell r="P1365" t="str">
            <v/>
          </cell>
          <cell r="Q1365" t="str">
            <v/>
          </cell>
          <cell r="S1365" t="str">
            <v/>
          </cell>
          <cell r="V1365" t="str">
            <v/>
          </cell>
          <cell r="Z1365" t="str">
            <v/>
          </cell>
          <cell r="AA1365" t="str">
            <v/>
          </cell>
          <cell r="AB1365" t="str">
            <v/>
          </cell>
          <cell r="AC1365" t="str">
            <v/>
          </cell>
          <cell r="AD1365" t="str">
            <v/>
          </cell>
          <cell r="AY1365" t="str">
            <v/>
          </cell>
          <cell r="AZ1365" t="str">
            <v/>
          </cell>
          <cell r="BA1365" t="str">
            <v/>
          </cell>
        </row>
        <row r="1366">
          <cell r="B1366" t="str">
            <v>-</v>
          </cell>
          <cell r="E1366" t="str">
            <v/>
          </cell>
          <cell r="G1366" t="str">
            <v/>
          </cell>
          <cell r="J1366" t="str">
            <v/>
          </cell>
          <cell r="O1366" t="str">
            <v/>
          </cell>
          <cell r="P1366" t="str">
            <v/>
          </cell>
          <cell r="Q1366" t="str">
            <v/>
          </cell>
          <cell r="S1366" t="str">
            <v/>
          </cell>
          <cell r="V1366" t="str">
            <v/>
          </cell>
          <cell r="Z1366" t="str">
            <v/>
          </cell>
          <cell r="AA1366" t="str">
            <v/>
          </cell>
          <cell r="AB1366" t="str">
            <v/>
          </cell>
          <cell r="AC1366" t="str">
            <v/>
          </cell>
          <cell r="AD1366" t="str">
            <v/>
          </cell>
          <cell r="AY1366" t="str">
            <v/>
          </cell>
          <cell r="AZ1366" t="str">
            <v/>
          </cell>
          <cell r="BA1366" t="str">
            <v/>
          </cell>
        </row>
        <row r="1367">
          <cell r="B1367" t="str">
            <v>-</v>
          </cell>
          <cell r="E1367" t="str">
            <v/>
          </cell>
          <cell r="G1367" t="str">
            <v/>
          </cell>
          <cell r="J1367" t="str">
            <v/>
          </cell>
          <cell r="O1367" t="str">
            <v/>
          </cell>
          <cell r="P1367" t="str">
            <v/>
          </cell>
          <cell r="Q1367" t="str">
            <v/>
          </cell>
          <cell r="S1367" t="str">
            <v/>
          </cell>
          <cell r="V1367" t="str">
            <v/>
          </cell>
          <cell r="Z1367" t="str">
            <v/>
          </cell>
          <cell r="AA1367" t="str">
            <v/>
          </cell>
          <cell r="AB1367" t="str">
            <v/>
          </cell>
          <cell r="AC1367" t="str">
            <v/>
          </cell>
          <cell r="AD1367" t="str">
            <v/>
          </cell>
          <cell r="AY1367" t="str">
            <v/>
          </cell>
          <cell r="AZ1367" t="str">
            <v/>
          </cell>
          <cell r="BA1367" t="str">
            <v/>
          </cell>
        </row>
        <row r="1368">
          <cell r="B1368" t="str">
            <v>-</v>
          </cell>
          <cell r="E1368" t="str">
            <v/>
          </cell>
          <cell r="G1368" t="str">
            <v/>
          </cell>
          <cell r="J1368" t="str">
            <v/>
          </cell>
          <cell r="O1368" t="str">
            <v/>
          </cell>
          <cell r="P1368" t="str">
            <v/>
          </cell>
          <cell r="Q1368" t="str">
            <v/>
          </cell>
          <cell r="S1368" t="str">
            <v/>
          </cell>
          <cell r="V1368" t="str">
            <v/>
          </cell>
          <cell r="Z1368" t="str">
            <v/>
          </cell>
          <cell r="AA1368" t="str">
            <v/>
          </cell>
          <cell r="AB1368" t="str">
            <v/>
          </cell>
          <cell r="AC1368" t="str">
            <v/>
          </cell>
          <cell r="AD1368" t="str">
            <v/>
          </cell>
          <cell r="AY1368" t="str">
            <v/>
          </cell>
          <cell r="AZ1368" t="str">
            <v/>
          </cell>
          <cell r="BA1368" t="str">
            <v/>
          </cell>
        </row>
        <row r="1369">
          <cell r="B1369" t="str">
            <v>-</v>
          </cell>
          <cell r="E1369" t="str">
            <v/>
          </cell>
          <cell r="G1369" t="str">
            <v/>
          </cell>
          <cell r="J1369" t="str">
            <v/>
          </cell>
          <cell r="O1369" t="str">
            <v/>
          </cell>
          <cell r="P1369" t="str">
            <v/>
          </cell>
          <cell r="Q1369" t="str">
            <v/>
          </cell>
          <cell r="S1369" t="str">
            <v/>
          </cell>
          <cell r="V1369" t="str">
            <v/>
          </cell>
          <cell r="Z1369" t="str">
            <v/>
          </cell>
          <cell r="AA1369" t="str">
            <v/>
          </cell>
          <cell r="AB1369" t="str">
            <v/>
          </cell>
          <cell r="AC1369" t="str">
            <v/>
          </cell>
          <cell r="AD1369" t="str">
            <v/>
          </cell>
          <cell r="AY1369" t="str">
            <v/>
          </cell>
          <cell r="AZ1369" t="str">
            <v/>
          </cell>
          <cell r="BA1369" t="str">
            <v/>
          </cell>
        </row>
        <row r="1370">
          <cell r="B1370" t="str">
            <v>-</v>
          </cell>
          <cell r="E1370" t="str">
            <v/>
          </cell>
          <cell r="G1370" t="str">
            <v/>
          </cell>
          <cell r="J1370" t="str">
            <v/>
          </cell>
          <cell r="O1370" t="str">
            <v/>
          </cell>
          <cell r="P1370" t="str">
            <v/>
          </cell>
          <cell r="Q1370" t="str">
            <v/>
          </cell>
          <cell r="S1370" t="str">
            <v/>
          </cell>
          <cell r="V1370" t="str">
            <v/>
          </cell>
          <cell r="Z1370" t="str">
            <v/>
          </cell>
          <cell r="AA1370" t="str">
            <v/>
          </cell>
          <cell r="AB1370" t="str">
            <v/>
          </cell>
          <cell r="AC1370" t="str">
            <v/>
          </cell>
          <cell r="AD1370" t="str">
            <v/>
          </cell>
          <cell r="AY1370" t="str">
            <v/>
          </cell>
          <cell r="AZ1370" t="str">
            <v/>
          </cell>
          <cell r="BA1370" t="str">
            <v/>
          </cell>
        </row>
        <row r="1371">
          <cell r="B1371" t="str">
            <v>-</v>
          </cell>
          <cell r="E1371" t="str">
            <v/>
          </cell>
          <cell r="G1371" t="str">
            <v/>
          </cell>
          <cell r="J1371" t="str">
            <v/>
          </cell>
          <cell r="O1371" t="str">
            <v/>
          </cell>
          <cell r="P1371" t="str">
            <v/>
          </cell>
          <cell r="Q1371" t="str">
            <v/>
          </cell>
          <cell r="S1371" t="str">
            <v/>
          </cell>
          <cell r="V1371" t="str">
            <v/>
          </cell>
          <cell r="Z1371" t="str">
            <v/>
          </cell>
          <cell r="AA1371" t="str">
            <v/>
          </cell>
          <cell r="AB1371" t="str">
            <v/>
          </cell>
          <cell r="AC1371" t="str">
            <v/>
          </cell>
          <cell r="AD1371" t="str">
            <v/>
          </cell>
          <cell r="AY1371" t="str">
            <v/>
          </cell>
          <cell r="AZ1371" t="str">
            <v/>
          </cell>
          <cell r="BA1371" t="str">
            <v/>
          </cell>
        </row>
        <row r="1372">
          <cell r="B1372" t="str">
            <v>-</v>
          </cell>
          <cell r="E1372" t="str">
            <v/>
          </cell>
          <cell r="G1372" t="str">
            <v/>
          </cell>
          <cell r="J1372" t="str">
            <v/>
          </cell>
          <cell r="O1372" t="str">
            <v/>
          </cell>
          <cell r="P1372" t="str">
            <v/>
          </cell>
          <cell r="Q1372" t="str">
            <v/>
          </cell>
          <cell r="S1372" t="str">
            <v/>
          </cell>
          <cell r="V1372" t="str">
            <v/>
          </cell>
          <cell r="Z1372" t="str">
            <v/>
          </cell>
          <cell r="AA1372" t="str">
            <v/>
          </cell>
          <cell r="AB1372" t="str">
            <v/>
          </cell>
          <cell r="AC1372" t="str">
            <v/>
          </cell>
          <cell r="AD1372" t="str">
            <v/>
          </cell>
          <cell r="AY1372" t="str">
            <v/>
          </cell>
          <cell r="AZ1372" t="str">
            <v/>
          </cell>
          <cell r="BA1372" t="str">
            <v/>
          </cell>
        </row>
        <row r="1373">
          <cell r="B1373" t="str">
            <v>-</v>
          </cell>
          <cell r="E1373" t="str">
            <v/>
          </cell>
          <cell r="G1373" t="str">
            <v/>
          </cell>
          <cell r="J1373" t="str">
            <v/>
          </cell>
          <cell r="O1373" t="str">
            <v/>
          </cell>
          <cell r="P1373" t="str">
            <v/>
          </cell>
          <cell r="Q1373" t="str">
            <v/>
          </cell>
          <cell r="S1373" t="str">
            <v/>
          </cell>
          <cell r="V1373" t="str">
            <v/>
          </cell>
          <cell r="Z1373" t="str">
            <v/>
          </cell>
          <cell r="AA1373" t="str">
            <v/>
          </cell>
          <cell r="AB1373" t="str">
            <v/>
          </cell>
          <cell r="AC1373" t="str">
            <v/>
          </cell>
          <cell r="AD1373" t="str">
            <v/>
          </cell>
          <cell r="AY1373" t="str">
            <v/>
          </cell>
          <cell r="AZ1373" t="str">
            <v/>
          </cell>
          <cell r="BA1373" t="str">
            <v/>
          </cell>
        </row>
        <row r="1374">
          <cell r="B1374" t="str">
            <v>-</v>
          </cell>
          <cell r="E1374" t="str">
            <v/>
          </cell>
          <cell r="G1374" t="str">
            <v/>
          </cell>
          <cell r="J1374" t="str">
            <v/>
          </cell>
          <cell r="O1374" t="str">
            <v/>
          </cell>
          <cell r="P1374" t="str">
            <v/>
          </cell>
          <cell r="Q1374" t="str">
            <v/>
          </cell>
          <cell r="S1374" t="str">
            <v/>
          </cell>
          <cell r="V1374" t="str">
            <v/>
          </cell>
          <cell r="Z1374" t="str">
            <v/>
          </cell>
          <cell r="AA1374" t="str">
            <v/>
          </cell>
          <cell r="AB1374" t="str">
            <v/>
          </cell>
          <cell r="AC1374" t="str">
            <v/>
          </cell>
          <cell r="AD1374" t="str">
            <v/>
          </cell>
          <cell r="AY1374" t="str">
            <v/>
          </cell>
          <cell r="AZ1374" t="str">
            <v/>
          </cell>
          <cell r="BA1374" t="str">
            <v/>
          </cell>
        </row>
        <row r="1375">
          <cell r="B1375" t="str">
            <v>-</v>
          </cell>
          <cell r="E1375" t="str">
            <v/>
          </cell>
          <cell r="G1375" t="str">
            <v/>
          </cell>
          <cell r="J1375" t="str">
            <v/>
          </cell>
          <cell r="O1375" t="str">
            <v/>
          </cell>
          <cell r="P1375" t="str">
            <v/>
          </cell>
          <cell r="Q1375" t="str">
            <v/>
          </cell>
          <cell r="S1375" t="str">
            <v/>
          </cell>
          <cell r="V1375" t="str">
            <v/>
          </cell>
          <cell r="Z1375" t="str">
            <v/>
          </cell>
          <cell r="AA1375" t="str">
            <v/>
          </cell>
          <cell r="AB1375" t="str">
            <v/>
          </cell>
          <cell r="AC1375" t="str">
            <v/>
          </cell>
          <cell r="AD1375" t="str">
            <v/>
          </cell>
          <cell r="AY1375" t="str">
            <v/>
          </cell>
          <cell r="AZ1375" t="str">
            <v/>
          </cell>
          <cell r="BA1375" t="str">
            <v/>
          </cell>
        </row>
        <row r="1376">
          <cell r="B1376" t="str">
            <v>-</v>
          </cell>
          <cell r="E1376" t="str">
            <v/>
          </cell>
          <cell r="G1376" t="str">
            <v/>
          </cell>
          <cell r="J1376" t="str">
            <v/>
          </cell>
          <cell r="O1376" t="str">
            <v/>
          </cell>
          <cell r="P1376" t="str">
            <v/>
          </cell>
          <cell r="Q1376" t="str">
            <v/>
          </cell>
          <cell r="S1376" t="str">
            <v/>
          </cell>
          <cell r="V1376" t="str">
            <v/>
          </cell>
          <cell r="Z1376" t="str">
            <v/>
          </cell>
          <cell r="AA1376" t="str">
            <v/>
          </cell>
          <cell r="AB1376" t="str">
            <v/>
          </cell>
          <cell r="AC1376" t="str">
            <v/>
          </cell>
          <cell r="AD1376" t="str">
            <v/>
          </cell>
          <cell r="AY1376" t="str">
            <v/>
          </cell>
          <cell r="AZ1376" t="str">
            <v/>
          </cell>
          <cell r="BA1376" t="str">
            <v/>
          </cell>
        </row>
        <row r="1377">
          <cell r="B1377" t="str">
            <v>-</v>
          </cell>
          <cell r="E1377" t="str">
            <v/>
          </cell>
          <cell r="G1377" t="str">
            <v/>
          </cell>
          <cell r="J1377" t="str">
            <v/>
          </cell>
          <cell r="O1377" t="str">
            <v/>
          </cell>
          <cell r="P1377" t="str">
            <v/>
          </cell>
          <cell r="Q1377" t="str">
            <v/>
          </cell>
          <cell r="S1377" t="str">
            <v/>
          </cell>
          <cell r="V1377" t="str">
            <v/>
          </cell>
          <cell r="Z1377" t="str">
            <v/>
          </cell>
          <cell r="AA1377" t="str">
            <v/>
          </cell>
          <cell r="AB1377" t="str">
            <v/>
          </cell>
          <cell r="AC1377" t="str">
            <v/>
          </cell>
          <cell r="AD1377" t="str">
            <v/>
          </cell>
          <cell r="AY1377" t="str">
            <v/>
          </cell>
          <cell r="AZ1377" t="str">
            <v/>
          </cell>
          <cell r="BA1377" t="str">
            <v/>
          </cell>
        </row>
        <row r="1378">
          <cell r="B1378" t="str">
            <v>-</v>
          </cell>
          <cell r="E1378" t="str">
            <v/>
          </cell>
          <cell r="G1378" t="str">
            <v/>
          </cell>
          <cell r="J1378" t="str">
            <v/>
          </cell>
          <cell r="O1378" t="str">
            <v/>
          </cell>
          <cell r="P1378" t="str">
            <v/>
          </cell>
          <cell r="Q1378" t="str">
            <v/>
          </cell>
          <cell r="S1378" t="str">
            <v/>
          </cell>
          <cell r="V1378" t="str">
            <v/>
          </cell>
          <cell r="Z1378" t="str">
            <v/>
          </cell>
          <cell r="AA1378" t="str">
            <v/>
          </cell>
          <cell r="AB1378" t="str">
            <v/>
          </cell>
          <cell r="AC1378" t="str">
            <v/>
          </cell>
          <cell r="AD1378" t="str">
            <v/>
          </cell>
          <cell r="AY1378" t="str">
            <v/>
          </cell>
          <cell r="AZ1378" t="str">
            <v/>
          </cell>
          <cell r="BA1378" t="str">
            <v/>
          </cell>
        </row>
        <row r="1379">
          <cell r="B1379" t="str">
            <v>-</v>
          </cell>
          <cell r="E1379" t="str">
            <v/>
          </cell>
          <cell r="G1379" t="str">
            <v/>
          </cell>
          <cell r="J1379" t="str">
            <v/>
          </cell>
          <cell r="O1379" t="str">
            <v/>
          </cell>
          <cell r="P1379" t="str">
            <v/>
          </cell>
          <cell r="Q1379" t="str">
            <v/>
          </cell>
          <cell r="S1379" t="str">
            <v/>
          </cell>
          <cell r="V1379" t="str">
            <v/>
          </cell>
          <cell r="Z1379" t="str">
            <v/>
          </cell>
          <cell r="AA1379" t="str">
            <v/>
          </cell>
          <cell r="AB1379" t="str">
            <v/>
          </cell>
          <cell r="AC1379" t="str">
            <v/>
          </cell>
          <cell r="AD1379" t="str">
            <v/>
          </cell>
          <cell r="AY1379" t="str">
            <v/>
          </cell>
          <cell r="AZ1379" t="str">
            <v/>
          </cell>
          <cell r="BA1379" t="str">
            <v/>
          </cell>
        </row>
        <row r="1380">
          <cell r="B1380" t="str">
            <v>-</v>
          </cell>
          <cell r="E1380" t="str">
            <v/>
          </cell>
          <cell r="G1380" t="str">
            <v/>
          </cell>
          <cell r="J1380" t="str">
            <v/>
          </cell>
          <cell r="O1380" t="str">
            <v/>
          </cell>
          <cell r="P1380" t="str">
            <v/>
          </cell>
          <cell r="Q1380" t="str">
            <v/>
          </cell>
          <cell r="S1380" t="str">
            <v/>
          </cell>
          <cell r="V1380" t="str">
            <v/>
          </cell>
          <cell r="Z1380" t="str">
            <v/>
          </cell>
          <cell r="AA1380" t="str">
            <v/>
          </cell>
          <cell r="AB1380" t="str">
            <v/>
          </cell>
          <cell r="AC1380" t="str">
            <v/>
          </cell>
          <cell r="AD1380" t="str">
            <v/>
          </cell>
          <cell r="AY1380" t="str">
            <v/>
          </cell>
          <cell r="AZ1380" t="str">
            <v/>
          </cell>
          <cell r="BA1380" t="str">
            <v/>
          </cell>
        </row>
        <row r="1381">
          <cell r="B1381" t="str">
            <v>-</v>
          </cell>
          <cell r="E1381" t="str">
            <v/>
          </cell>
          <cell r="G1381" t="str">
            <v/>
          </cell>
          <cell r="J1381" t="str">
            <v/>
          </cell>
          <cell r="O1381" t="str">
            <v/>
          </cell>
          <cell r="P1381" t="str">
            <v/>
          </cell>
          <cell r="Q1381" t="str">
            <v/>
          </cell>
          <cell r="S1381" t="str">
            <v/>
          </cell>
          <cell r="V1381" t="str">
            <v/>
          </cell>
          <cell r="Z1381" t="str">
            <v/>
          </cell>
          <cell r="AA1381" t="str">
            <v/>
          </cell>
          <cell r="AB1381" t="str">
            <v/>
          </cell>
          <cell r="AC1381" t="str">
            <v/>
          </cell>
          <cell r="AD1381" t="str">
            <v/>
          </cell>
          <cell r="AY1381" t="str">
            <v/>
          </cell>
          <cell r="AZ1381" t="str">
            <v/>
          </cell>
          <cell r="BA1381" t="str">
            <v/>
          </cell>
        </row>
        <row r="1382">
          <cell r="B1382" t="str">
            <v>-</v>
          </cell>
          <cell r="E1382" t="str">
            <v/>
          </cell>
          <cell r="G1382" t="str">
            <v/>
          </cell>
          <cell r="J1382" t="str">
            <v/>
          </cell>
          <cell r="O1382" t="str">
            <v/>
          </cell>
          <cell r="P1382" t="str">
            <v/>
          </cell>
          <cell r="Q1382" t="str">
            <v/>
          </cell>
          <cell r="S1382" t="str">
            <v/>
          </cell>
          <cell r="V1382" t="str">
            <v/>
          </cell>
          <cell r="Z1382" t="str">
            <v/>
          </cell>
          <cell r="AA1382" t="str">
            <v/>
          </cell>
          <cell r="AB1382" t="str">
            <v/>
          </cell>
          <cell r="AC1382" t="str">
            <v/>
          </cell>
          <cell r="AD1382" t="str">
            <v/>
          </cell>
          <cell r="AY1382" t="str">
            <v/>
          </cell>
          <cell r="AZ1382" t="str">
            <v/>
          </cell>
          <cell r="BA1382" t="str">
            <v/>
          </cell>
        </row>
        <row r="1383">
          <cell r="B1383" t="str">
            <v>-</v>
          </cell>
          <cell r="E1383" t="str">
            <v/>
          </cell>
          <cell r="G1383" t="str">
            <v/>
          </cell>
          <cell r="J1383" t="str">
            <v/>
          </cell>
          <cell r="O1383" t="str">
            <v/>
          </cell>
          <cell r="P1383" t="str">
            <v/>
          </cell>
          <cell r="Q1383" t="str">
            <v/>
          </cell>
          <cell r="S1383" t="str">
            <v/>
          </cell>
          <cell r="V1383" t="str">
            <v/>
          </cell>
          <cell r="Z1383" t="str">
            <v/>
          </cell>
          <cell r="AA1383" t="str">
            <v/>
          </cell>
          <cell r="AB1383" t="str">
            <v/>
          </cell>
          <cell r="AC1383" t="str">
            <v/>
          </cell>
          <cell r="AD1383" t="str">
            <v/>
          </cell>
          <cell r="AY1383" t="str">
            <v/>
          </cell>
          <cell r="AZ1383" t="str">
            <v/>
          </cell>
          <cell r="BA1383" t="str">
            <v/>
          </cell>
        </row>
        <row r="1384">
          <cell r="B1384" t="str">
            <v>-</v>
          </cell>
          <cell r="E1384" t="str">
            <v/>
          </cell>
          <cell r="G1384" t="str">
            <v/>
          </cell>
          <cell r="J1384" t="str">
            <v/>
          </cell>
          <cell r="O1384" t="str">
            <v/>
          </cell>
          <cell r="P1384" t="str">
            <v/>
          </cell>
          <cell r="Q1384" t="str">
            <v/>
          </cell>
          <cell r="S1384" t="str">
            <v/>
          </cell>
          <cell r="V1384" t="str">
            <v/>
          </cell>
          <cell r="Z1384" t="str">
            <v/>
          </cell>
          <cell r="AA1384" t="str">
            <v/>
          </cell>
          <cell r="AB1384" t="str">
            <v/>
          </cell>
          <cell r="AC1384" t="str">
            <v/>
          </cell>
          <cell r="AD1384" t="str">
            <v/>
          </cell>
          <cell r="AY1384" t="str">
            <v/>
          </cell>
          <cell r="AZ1384" t="str">
            <v/>
          </cell>
          <cell r="BA1384" t="str">
            <v/>
          </cell>
        </row>
        <row r="1385">
          <cell r="B1385" t="str">
            <v>-</v>
          </cell>
          <cell r="E1385" t="str">
            <v/>
          </cell>
          <cell r="G1385" t="str">
            <v/>
          </cell>
          <cell r="J1385" t="str">
            <v/>
          </cell>
          <cell r="O1385" t="str">
            <v/>
          </cell>
          <cell r="P1385" t="str">
            <v/>
          </cell>
          <cell r="Q1385" t="str">
            <v/>
          </cell>
          <cell r="S1385" t="str">
            <v/>
          </cell>
          <cell r="V1385" t="str">
            <v/>
          </cell>
          <cell r="Z1385" t="str">
            <v/>
          </cell>
          <cell r="AA1385" t="str">
            <v/>
          </cell>
          <cell r="AB1385" t="str">
            <v/>
          </cell>
          <cell r="AC1385" t="str">
            <v/>
          </cell>
          <cell r="AD1385" t="str">
            <v/>
          </cell>
          <cell r="AY1385" t="str">
            <v/>
          </cell>
          <cell r="AZ1385" t="str">
            <v/>
          </cell>
          <cell r="BA1385" t="str">
            <v/>
          </cell>
        </row>
        <row r="1386">
          <cell r="B1386" t="str">
            <v>-</v>
          </cell>
          <cell r="E1386" t="str">
            <v/>
          </cell>
          <cell r="G1386" t="str">
            <v/>
          </cell>
          <cell r="J1386" t="str">
            <v/>
          </cell>
          <cell r="O1386" t="str">
            <v/>
          </cell>
          <cell r="P1386" t="str">
            <v/>
          </cell>
          <cell r="Q1386" t="str">
            <v/>
          </cell>
          <cell r="S1386" t="str">
            <v/>
          </cell>
          <cell r="V1386" t="str">
            <v/>
          </cell>
          <cell r="Z1386" t="str">
            <v/>
          </cell>
          <cell r="AA1386" t="str">
            <v/>
          </cell>
          <cell r="AB1386" t="str">
            <v/>
          </cell>
          <cell r="AC1386" t="str">
            <v/>
          </cell>
          <cell r="AD1386" t="str">
            <v/>
          </cell>
          <cell r="AY1386" t="str">
            <v/>
          </cell>
          <cell r="AZ1386" t="str">
            <v/>
          </cell>
          <cell r="BA1386" t="str">
            <v/>
          </cell>
        </row>
        <row r="1387">
          <cell r="B1387" t="str">
            <v>-</v>
          </cell>
          <cell r="E1387" t="str">
            <v/>
          </cell>
          <cell r="G1387" t="str">
            <v/>
          </cell>
          <cell r="J1387" t="str">
            <v/>
          </cell>
          <cell r="O1387" t="str">
            <v/>
          </cell>
          <cell r="P1387" t="str">
            <v/>
          </cell>
          <cell r="Q1387" t="str">
            <v/>
          </cell>
          <cell r="S1387" t="str">
            <v/>
          </cell>
          <cell r="V1387" t="str">
            <v/>
          </cell>
          <cell r="Z1387" t="str">
            <v/>
          </cell>
          <cell r="AA1387" t="str">
            <v/>
          </cell>
          <cell r="AB1387" t="str">
            <v/>
          </cell>
          <cell r="AC1387" t="str">
            <v/>
          </cell>
          <cell r="AD1387" t="str">
            <v/>
          </cell>
          <cell r="AY1387" t="str">
            <v/>
          </cell>
          <cell r="AZ1387" t="str">
            <v/>
          </cell>
          <cell r="BA1387" t="str">
            <v/>
          </cell>
        </row>
        <row r="1388">
          <cell r="B1388" t="str">
            <v>-</v>
          </cell>
          <cell r="E1388" t="str">
            <v/>
          </cell>
          <cell r="G1388" t="str">
            <v/>
          </cell>
          <cell r="J1388" t="str">
            <v/>
          </cell>
          <cell r="O1388" t="str">
            <v/>
          </cell>
          <cell r="P1388" t="str">
            <v/>
          </cell>
          <cell r="Q1388" t="str">
            <v/>
          </cell>
          <cell r="S1388" t="str">
            <v/>
          </cell>
          <cell r="V1388" t="str">
            <v/>
          </cell>
          <cell r="Z1388" t="str">
            <v/>
          </cell>
          <cell r="AA1388" t="str">
            <v/>
          </cell>
          <cell r="AB1388" t="str">
            <v/>
          </cell>
          <cell r="AC1388" t="str">
            <v/>
          </cell>
          <cell r="AD1388" t="str">
            <v/>
          </cell>
          <cell r="AY1388" t="str">
            <v/>
          </cell>
          <cell r="AZ1388" t="str">
            <v/>
          </cell>
          <cell r="BA1388" t="str">
            <v/>
          </cell>
        </row>
        <row r="1389">
          <cell r="B1389" t="str">
            <v>-</v>
          </cell>
          <cell r="E1389" t="str">
            <v/>
          </cell>
          <cell r="G1389" t="str">
            <v/>
          </cell>
          <cell r="J1389" t="str">
            <v/>
          </cell>
          <cell r="O1389" t="str">
            <v/>
          </cell>
          <cell r="P1389" t="str">
            <v/>
          </cell>
          <cell r="Q1389" t="str">
            <v/>
          </cell>
          <cell r="S1389" t="str">
            <v/>
          </cell>
          <cell r="V1389" t="str">
            <v/>
          </cell>
          <cell r="Z1389" t="str">
            <v/>
          </cell>
          <cell r="AA1389" t="str">
            <v/>
          </cell>
          <cell r="AB1389" t="str">
            <v/>
          </cell>
          <cell r="AC1389" t="str">
            <v/>
          </cell>
          <cell r="AD1389" t="str">
            <v/>
          </cell>
          <cell r="AY1389" t="str">
            <v/>
          </cell>
          <cell r="AZ1389" t="str">
            <v/>
          </cell>
          <cell r="BA1389" t="str">
            <v/>
          </cell>
        </row>
        <row r="1390">
          <cell r="B1390" t="str">
            <v>-</v>
          </cell>
          <cell r="E1390" t="str">
            <v/>
          </cell>
          <cell r="G1390" t="str">
            <v/>
          </cell>
          <cell r="J1390" t="str">
            <v/>
          </cell>
          <cell r="O1390" t="str">
            <v/>
          </cell>
          <cell r="P1390" t="str">
            <v/>
          </cell>
          <cell r="Q1390" t="str">
            <v/>
          </cell>
          <cell r="S1390" t="str">
            <v/>
          </cell>
          <cell r="V1390" t="str">
            <v/>
          </cell>
          <cell r="Z1390" t="str">
            <v/>
          </cell>
          <cell r="AA1390" t="str">
            <v/>
          </cell>
          <cell r="AB1390" t="str">
            <v/>
          </cell>
          <cell r="AC1390" t="str">
            <v/>
          </cell>
          <cell r="AD1390" t="str">
            <v/>
          </cell>
          <cell r="AY1390" t="str">
            <v/>
          </cell>
          <cell r="AZ1390" t="str">
            <v/>
          </cell>
          <cell r="BA1390" t="str">
            <v/>
          </cell>
        </row>
        <row r="1391">
          <cell r="B1391" t="str">
            <v>-</v>
          </cell>
          <cell r="E1391" t="str">
            <v/>
          </cell>
          <cell r="G1391" t="str">
            <v/>
          </cell>
          <cell r="J1391" t="str">
            <v/>
          </cell>
          <cell r="O1391" t="str">
            <v/>
          </cell>
          <cell r="P1391" t="str">
            <v/>
          </cell>
          <cell r="Q1391" t="str">
            <v/>
          </cell>
          <cell r="S1391" t="str">
            <v/>
          </cell>
          <cell r="V1391" t="str">
            <v/>
          </cell>
          <cell r="Z1391" t="str">
            <v/>
          </cell>
          <cell r="AA1391" t="str">
            <v/>
          </cell>
          <cell r="AB1391" t="str">
            <v/>
          </cell>
          <cell r="AC1391" t="str">
            <v/>
          </cell>
          <cell r="AD1391" t="str">
            <v/>
          </cell>
          <cell r="AY1391" t="str">
            <v/>
          </cell>
          <cell r="AZ1391" t="str">
            <v/>
          </cell>
          <cell r="BA1391" t="str">
            <v/>
          </cell>
        </row>
        <row r="1392">
          <cell r="B1392" t="str">
            <v>-</v>
          </cell>
          <cell r="E1392" t="str">
            <v/>
          </cell>
          <cell r="G1392" t="str">
            <v/>
          </cell>
          <cell r="J1392" t="str">
            <v/>
          </cell>
          <cell r="O1392" t="str">
            <v/>
          </cell>
          <cell r="P1392" t="str">
            <v/>
          </cell>
          <cell r="Q1392" t="str">
            <v/>
          </cell>
          <cell r="S1392" t="str">
            <v/>
          </cell>
          <cell r="V1392" t="str">
            <v/>
          </cell>
          <cell r="Z1392" t="str">
            <v/>
          </cell>
          <cell r="AA1392" t="str">
            <v/>
          </cell>
          <cell r="AB1392" t="str">
            <v/>
          </cell>
          <cell r="AC1392" t="str">
            <v/>
          </cell>
          <cell r="AD1392" t="str">
            <v/>
          </cell>
          <cell r="AY1392" t="str">
            <v/>
          </cell>
          <cell r="AZ1392" t="str">
            <v/>
          </cell>
          <cell r="BA1392" t="str">
            <v/>
          </cell>
        </row>
        <row r="1393">
          <cell r="B1393" t="str">
            <v>-</v>
          </cell>
          <cell r="E1393" t="str">
            <v/>
          </cell>
          <cell r="G1393" t="str">
            <v/>
          </cell>
          <cell r="J1393" t="str">
            <v/>
          </cell>
          <cell r="O1393" t="str">
            <v/>
          </cell>
          <cell r="P1393" t="str">
            <v/>
          </cell>
          <cell r="Q1393" t="str">
            <v/>
          </cell>
          <cell r="S1393" t="str">
            <v/>
          </cell>
          <cell r="V1393" t="str">
            <v/>
          </cell>
          <cell r="Z1393" t="str">
            <v/>
          </cell>
          <cell r="AA1393" t="str">
            <v/>
          </cell>
          <cell r="AB1393" t="str">
            <v/>
          </cell>
          <cell r="AC1393" t="str">
            <v/>
          </cell>
          <cell r="AD1393" t="str">
            <v/>
          </cell>
          <cell r="AY1393" t="str">
            <v/>
          </cell>
          <cell r="AZ1393" t="str">
            <v/>
          </cell>
          <cell r="BA1393" t="str">
            <v/>
          </cell>
        </row>
        <row r="1394">
          <cell r="B1394" t="str">
            <v>-</v>
          </cell>
          <cell r="E1394" t="str">
            <v/>
          </cell>
          <cell r="G1394" t="str">
            <v/>
          </cell>
          <cell r="J1394" t="str">
            <v/>
          </cell>
          <cell r="O1394" t="str">
            <v/>
          </cell>
          <cell r="P1394" t="str">
            <v/>
          </cell>
          <cell r="Q1394" t="str">
            <v/>
          </cell>
          <cell r="S1394" t="str">
            <v/>
          </cell>
          <cell r="V1394" t="str">
            <v/>
          </cell>
          <cell r="Z1394" t="str">
            <v/>
          </cell>
          <cell r="AA1394" t="str">
            <v/>
          </cell>
          <cell r="AB1394" t="str">
            <v/>
          </cell>
          <cell r="AC1394" t="str">
            <v/>
          </cell>
          <cell r="AD1394" t="str">
            <v/>
          </cell>
          <cell r="AY1394" t="str">
            <v/>
          </cell>
          <cell r="AZ1394" t="str">
            <v/>
          </cell>
          <cell r="BA1394" t="str">
            <v/>
          </cell>
        </row>
        <row r="1395">
          <cell r="B1395" t="str">
            <v>-</v>
          </cell>
          <cell r="E1395" t="str">
            <v/>
          </cell>
          <cell r="G1395" t="str">
            <v/>
          </cell>
          <cell r="J1395" t="str">
            <v/>
          </cell>
          <cell r="O1395" t="str">
            <v/>
          </cell>
          <cell r="P1395" t="str">
            <v/>
          </cell>
          <cell r="Q1395" t="str">
            <v/>
          </cell>
          <cell r="S1395" t="str">
            <v/>
          </cell>
          <cell r="V1395" t="str">
            <v/>
          </cell>
          <cell r="Z1395" t="str">
            <v/>
          </cell>
          <cell r="AA1395" t="str">
            <v/>
          </cell>
          <cell r="AB1395" t="str">
            <v/>
          </cell>
          <cell r="AC1395" t="str">
            <v/>
          </cell>
          <cell r="AD1395" t="str">
            <v/>
          </cell>
          <cell r="AY1395" t="str">
            <v/>
          </cell>
          <cell r="AZ1395" t="str">
            <v/>
          </cell>
          <cell r="BA1395" t="str">
            <v/>
          </cell>
        </row>
        <row r="1396">
          <cell r="B1396" t="str">
            <v>-</v>
          </cell>
          <cell r="E1396" t="str">
            <v/>
          </cell>
          <cell r="G1396" t="str">
            <v/>
          </cell>
          <cell r="J1396" t="str">
            <v/>
          </cell>
          <cell r="O1396" t="str">
            <v/>
          </cell>
          <cell r="P1396" t="str">
            <v/>
          </cell>
          <cell r="Q1396" t="str">
            <v/>
          </cell>
          <cell r="S1396" t="str">
            <v/>
          </cell>
          <cell r="V1396" t="str">
            <v/>
          </cell>
          <cell r="Z1396" t="str">
            <v/>
          </cell>
          <cell r="AA1396" t="str">
            <v/>
          </cell>
          <cell r="AB1396" t="str">
            <v/>
          </cell>
          <cell r="AC1396" t="str">
            <v/>
          </cell>
          <cell r="AD1396" t="str">
            <v/>
          </cell>
          <cell r="AY1396" t="str">
            <v/>
          </cell>
          <cell r="AZ1396" t="str">
            <v/>
          </cell>
          <cell r="BA1396" t="str">
            <v/>
          </cell>
        </row>
        <row r="1397">
          <cell r="B1397" t="str">
            <v>-</v>
          </cell>
          <cell r="E1397" t="str">
            <v/>
          </cell>
          <cell r="G1397" t="str">
            <v/>
          </cell>
          <cell r="J1397" t="str">
            <v/>
          </cell>
          <cell r="O1397" t="str">
            <v/>
          </cell>
          <cell r="P1397" t="str">
            <v/>
          </cell>
          <cell r="Q1397" t="str">
            <v/>
          </cell>
          <cell r="S1397" t="str">
            <v/>
          </cell>
          <cell r="V1397" t="str">
            <v/>
          </cell>
          <cell r="Z1397" t="str">
            <v/>
          </cell>
          <cell r="AA1397" t="str">
            <v/>
          </cell>
          <cell r="AB1397" t="str">
            <v/>
          </cell>
          <cell r="AC1397" t="str">
            <v/>
          </cell>
          <cell r="AD1397" t="str">
            <v/>
          </cell>
          <cell r="AY1397" t="str">
            <v/>
          </cell>
          <cell r="AZ1397" t="str">
            <v/>
          </cell>
          <cell r="BA1397" t="str">
            <v/>
          </cell>
        </row>
        <row r="1398">
          <cell r="B1398" t="str">
            <v>-</v>
          </cell>
          <cell r="E1398" t="str">
            <v/>
          </cell>
          <cell r="G1398" t="str">
            <v/>
          </cell>
          <cell r="J1398" t="str">
            <v/>
          </cell>
          <cell r="O1398" t="str">
            <v/>
          </cell>
          <cell r="P1398" t="str">
            <v/>
          </cell>
          <cell r="Q1398" t="str">
            <v/>
          </cell>
          <cell r="S1398" t="str">
            <v/>
          </cell>
          <cell r="V1398" t="str">
            <v/>
          </cell>
          <cell r="Z1398" t="str">
            <v/>
          </cell>
          <cell r="AA1398" t="str">
            <v/>
          </cell>
          <cell r="AB1398" t="str">
            <v/>
          </cell>
          <cell r="AC1398" t="str">
            <v/>
          </cell>
          <cell r="AD1398" t="str">
            <v/>
          </cell>
          <cell r="AY1398" t="str">
            <v/>
          </cell>
          <cell r="AZ1398" t="str">
            <v/>
          </cell>
          <cell r="BA1398" t="str">
            <v/>
          </cell>
        </row>
        <row r="1399">
          <cell r="B1399" t="str">
            <v>-</v>
          </cell>
          <cell r="E1399" t="str">
            <v/>
          </cell>
          <cell r="G1399" t="str">
            <v/>
          </cell>
          <cell r="J1399" t="str">
            <v/>
          </cell>
          <cell r="O1399" t="str">
            <v/>
          </cell>
          <cell r="P1399" t="str">
            <v/>
          </cell>
          <cell r="Q1399" t="str">
            <v/>
          </cell>
          <cell r="S1399" t="str">
            <v/>
          </cell>
          <cell r="V1399" t="str">
            <v/>
          </cell>
          <cell r="Z1399" t="str">
            <v/>
          </cell>
          <cell r="AA1399" t="str">
            <v/>
          </cell>
          <cell r="AB1399" t="str">
            <v/>
          </cell>
          <cell r="AC1399" t="str">
            <v/>
          </cell>
          <cell r="AD1399" t="str">
            <v/>
          </cell>
          <cell r="AY1399" t="str">
            <v/>
          </cell>
          <cell r="AZ1399" t="str">
            <v/>
          </cell>
          <cell r="BA1399" t="str">
            <v/>
          </cell>
        </row>
        <row r="1400">
          <cell r="B1400" t="str">
            <v>-</v>
          </cell>
          <cell r="E1400" t="str">
            <v/>
          </cell>
          <cell r="G1400" t="str">
            <v/>
          </cell>
          <cell r="J1400" t="str">
            <v/>
          </cell>
          <cell r="O1400" t="str">
            <v/>
          </cell>
          <cell r="P1400" t="str">
            <v/>
          </cell>
          <cell r="Q1400" t="str">
            <v/>
          </cell>
          <cell r="S1400" t="str">
            <v/>
          </cell>
          <cell r="V1400" t="str">
            <v/>
          </cell>
          <cell r="Z1400" t="str">
            <v/>
          </cell>
          <cell r="AA1400" t="str">
            <v/>
          </cell>
          <cell r="AB1400" t="str">
            <v/>
          </cell>
          <cell r="AC1400" t="str">
            <v/>
          </cell>
          <cell r="AD1400" t="str">
            <v/>
          </cell>
          <cell r="AY1400" t="str">
            <v/>
          </cell>
          <cell r="AZ1400" t="str">
            <v/>
          </cell>
          <cell r="BA1400" t="str">
            <v/>
          </cell>
        </row>
        <row r="1401">
          <cell r="B1401" t="str">
            <v>-</v>
          </cell>
          <cell r="E1401" t="str">
            <v/>
          </cell>
          <cell r="G1401" t="str">
            <v/>
          </cell>
          <cell r="J1401" t="str">
            <v/>
          </cell>
          <cell r="O1401" t="str">
            <v/>
          </cell>
          <cell r="P1401" t="str">
            <v/>
          </cell>
          <cell r="Q1401" t="str">
            <v/>
          </cell>
          <cell r="S1401" t="str">
            <v/>
          </cell>
          <cell r="V1401" t="str">
            <v/>
          </cell>
          <cell r="Z1401" t="str">
            <v/>
          </cell>
          <cell r="AA1401" t="str">
            <v/>
          </cell>
          <cell r="AB1401" t="str">
            <v/>
          </cell>
          <cell r="AC1401" t="str">
            <v/>
          </cell>
          <cell r="AD1401" t="str">
            <v/>
          </cell>
          <cell r="AY1401" t="str">
            <v/>
          </cell>
          <cell r="AZ1401" t="str">
            <v/>
          </cell>
          <cell r="BA1401" t="str">
            <v/>
          </cell>
        </row>
        <row r="1402">
          <cell r="B1402" t="str">
            <v>-</v>
          </cell>
          <cell r="E1402" t="str">
            <v/>
          </cell>
          <cell r="G1402" t="str">
            <v/>
          </cell>
          <cell r="J1402" t="str">
            <v/>
          </cell>
          <cell r="O1402" t="str">
            <v/>
          </cell>
          <cell r="P1402" t="str">
            <v/>
          </cell>
          <cell r="Q1402" t="str">
            <v/>
          </cell>
          <cell r="S1402" t="str">
            <v/>
          </cell>
          <cell r="V1402" t="str">
            <v/>
          </cell>
          <cell r="Z1402" t="str">
            <v/>
          </cell>
          <cell r="AA1402" t="str">
            <v/>
          </cell>
          <cell r="AB1402" t="str">
            <v/>
          </cell>
          <cell r="AC1402" t="str">
            <v/>
          </cell>
          <cell r="AD1402" t="str">
            <v/>
          </cell>
          <cell r="AY1402" t="str">
            <v/>
          </cell>
          <cell r="AZ1402" t="str">
            <v/>
          </cell>
          <cell r="BA1402" t="str">
            <v/>
          </cell>
        </row>
        <row r="1403">
          <cell r="B1403" t="str">
            <v>-</v>
          </cell>
          <cell r="E1403" t="str">
            <v/>
          </cell>
          <cell r="G1403" t="str">
            <v/>
          </cell>
          <cell r="J1403" t="str">
            <v/>
          </cell>
          <cell r="O1403" t="str">
            <v/>
          </cell>
          <cell r="P1403" t="str">
            <v/>
          </cell>
          <cell r="Q1403" t="str">
            <v/>
          </cell>
          <cell r="S1403" t="str">
            <v/>
          </cell>
          <cell r="V1403" t="str">
            <v/>
          </cell>
          <cell r="Z1403" t="str">
            <v/>
          </cell>
          <cell r="AA1403" t="str">
            <v/>
          </cell>
          <cell r="AB1403" t="str">
            <v/>
          </cell>
          <cell r="AC1403" t="str">
            <v/>
          </cell>
          <cell r="AD1403" t="str">
            <v/>
          </cell>
          <cell r="AY1403" t="str">
            <v/>
          </cell>
          <cell r="AZ1403" t="str">
            <v/>
          </cell>
          <cell r="BA1403" t="str">
            <v/>
          </cell>
        </row>
        <row r="1404">
          <cell r="B1404" t="str">
            <v>-</v>
          </cell>
          <cell r="E1404" t="str">
            <v/>
          </cell>
          <cell r="G1404" t="str">
            <v/>
          </cell>
          <cell r="J1404" t="str">
            <v/>
          </cell>
          <cell r="O1404" t="str">
            <v/>
          </cell>
          <cell r="P1404" t="str">
            <v/>
          </cell>
          <cell r="Q1404" t="str">
            <v/>
          </cell>
          <cell r="S1404" t="str">
            <v/>
          </cell>
          <cell r="V1404" t="str">
            <v/>
          </cell>
          <cell r="Z1404" t="str">
            <v/>
          </cell>
          <cell r="AA1404" t="str">
            <v/>
          </cell>
          <cell r="AB1404" t="str">
            <v/>
          </cell>
          <cell r="AC1404" t="str">
            <v/>
          </cell>
          <cell r="AD1404" t="str">
            <v/>
          </cell>
          <cell r="AY1404" t="str">
            <v/>
          </cell>
          <cell r="AZ1404" t="str">
            <v/>
          </cell>
          <cell r="BA1404" t="str">
            <v/>
          </cell>
        </row>
        <row r="1405">
          <cell r="B1405" t="str">
            <v>-</v>
          </cell>
          <cell r="E1405" t="str">
            <v/>
          </cell>
          <cell r="G1405" t="str">
            <v/>
          </cell>
          <cell r="J1405" t="str">
            <v/>
          </cell>
          <cell r="O1405" t="str">
            <v/>
          </cell>
          <cell r="P1405" t="str">
            <v/>
          </cell>
          <cell r="Q1405" t="str">
            <v/>
          </cell>
          <cell r="S1405" t="str">
            <v/>
          </cell>
          <cell r="V1405" t="str">
            <v/>
          </cell>
          <cell r="Z1405" t="str">
            <v/>
          </cell>
          <cell r="AA1405" t="str">
            <v/>
          </cell>
          <cell r="AB1405" t="str">
            <v/>
          </cell>
          <cell r="AC1405" t="str">
            <v/>
          </cell>
          <cell r="AD1405" t="str">
            <v/>
          </cell>
          <cell r="AY1405" t="str">
            <v/>
          </cell>
          <cell r="AZ1405" t="str">
            <v/>
          </cell>
          <cell r="BA1405" t="str">
            <v/>
          </cell>
        </row>
        <row r="1406">
          <cell r="B1406" t="str">
            <v>-</v>
          </cell>
          <cell r="E1406" t="str">
            <v/>
          </cell>
          <cell r="G1406" t="str">
            <v/>
          </cell>
          <cell r="J1406" t="str">
            <v/>
          </cell>
          <cell r="O1406" t="str">
            <v/>
          </cell>
          <cell r="P1406" t="str">
            <v/>
          </cell>
          <cell r="Q1406" t="str">
            <v/>
          </cell>
          <cell r="S1406" t="str">
            <v/>
          </cell>
          <cell r="V1406" t="str">
            <v/>
          </cell>
          <cell r="Z1406" t="str">
            <v/>
          </cell>
          <cell r="AA1406" t="str">
            <v/>
          </cell>
          <cell r="AB1406" t="str">
            <v/>
          </cell>
          <cell r="AC1406" t="str">
            <v/>
          </cell>
          <cell r="AD1406" t="str">
            <v/>
          </cell>
          <cell r="AY1406" t="str">
            <v/>
          </cell>
          <cell r="AZ1406" t="str">
            <v/>
          </cell>
          <cell r="BA1406" t="str">
            <v/>
          </cell>
        </row>
        <row r="1407">
          <cell r="B1407" t="str">
            <v>-</v>
          </cell>
          <cell r="E1407" t="str">
            <v/>
          </cell>
          <cell r="G1407" t="str">
            <v/>
          </cell>
          <cell r="J1407" t="str">
            <v/>
          </cell>
          <cell r="O1407" t="str">
            <v/>
          </cell>
          <cell r="P1407" t="str">
            <v/>
          </cell>
          <cell r="Q1407" t="str">
            <v/>
          </cell>
          <cell r="S1407" t="str">
            <v/>
          </cell>
          <cell r="V1407" t="str">
            <v/>
          </cell>
          <cell r="Z1407" t="str">
            <v/>
          </cell>
          <cell r="AA1407" t="str">
            <v/>
          </cell>
          <cell r="AB1407" t="str">
            <v/>
          </cell>
          <cell r="AC1407" t="str">
            <v/>
          </cell>
          <cell r="AD1407" t="str">
            <v/>
          </cell>
          <cell r="AY1407" t="str">
            <v/>
          </cell>
          <cell r="AZ1407" t="str">
            <v/>
          </cell>
          <cell r="BA1407" t="str">
            <v/>
          </cell>
        </row>
        <row r="1408">
          <cell r="B1408" t="str">
            <v>-</v>
          </cell>
          <cell r="E1408" t="str">
            <v/>
          </cell>
          <cell r="G1408" t="str">
            <v/>
          </cell>
          <cell r="J1408" t="str">
            <v/>
          </cell>
          <cell r="O1408" t="str">
            <v/>
          </cell>
          <cell r="P1408" t="str">
            <v/>
          </cell>
          <cell r="Q1408" t="str">
            <v/>
          </cell>
          <cell r="S1408" t="str">
            <v/>
          </cell>
          <cell r="V1408" t="str">
            <v/>
          </cell>
          <cell r="Z1408" t="str">
            <v/>
          </cell>
          <cell r="AA1408" t="str">
            <v/>
          </cell>
          <cell r="AB1408" t="str">
            <v/>
          </cell>
          <cell r="AC1408" t="str">
            <v/>
          </cell>
          <cell r="AD1408" t="str">
            <v/>
          </cell>
          <cell r="AY1408" t="str">
            <v/>
          </cell>
          <cell r="AZ1408" t="str">
            <v/>
          </cell>
          <cell r="BA1408" t="str">
            <v/>
          </cell>
        </row>
        <row r="1409">
          <cell r="B1409" t="str">
            <v>-</v>
          </cell>
          <cell r="E1409" t="str">
            <v/>
          </cell>
          <cell r="G1409" t="str">
            <v/>
          </cell>
          <cell r="J1409" t="str">
            <v/>
          </cell>
          <cell r="O1409" t="str">
            <v/>
          </cell>
          <cell r="P1409" t="str">
            <v/>
          </cell>
          <cell r="Q1409" t="str">
            <v/>
          </cell>
          <cell r="S1409" t="str">
            <v/>
          </cell>
          <cell r="V1409" t="str">
            <v/>
          </cell>
          <cell r="Z1409" t="str">
            <v/>
          </cell>
          <cell r="AA1409" t="str">
            <v/>
          </cell>
          <cell r="AB1409" t="str">
            <v/>
          </cell>
          <cell r="AC1409" t="str">
            <v/>
          </cell>
          <cell r="AD1409" t="str">
            <v/>
          </cell>
          <cell r="AY1409" t="str">
            <v/>
          </cell>
          <cell r="AZ1409" t="str">
            <v/>
          </cell>
          <cell r="BA1409" t="str">
            <v/>
          </cell>
        </row>
        <row r="1410">
          <cell r="B1410" t="str">
            <v>-</v>
          </cell>
          <cell r="E1410" t="str">
            <v/>
          </cell>
          <cell r="G1410" t="str">
            <v/>
          </cell>
          <cell r="J1410" t="str">
            <v/>
          </cell>
          <cell r="O1410" t="str">
            <v/>
          </cell>
          <cell r="P1410" t="str">
            <v/>
          </cell>
          <cell r="Q1410" t="str">
            <v/>
          </cell>
          <cell r="S1410" t="str">
            <v/>
          </cell>
          <cell r="V1410" t="str">
            <v/>
          </cell>
          <cell r="Z1410" t="str">
            <v/>
          </cell>
          <cell r="AA1410" t="str">
            <v/>
          </cell>
          <cell r="AB1410" t="str">
            <v/>
          </cell>
          <cell r="AC1410" t="str">
            <v/>
          </cell>
          <cell r="AD1410" t="str">
            <v/>
          </cell>
          <cell r="AY1410" t="str">
            <v/>
          </cell>
          <cell r="AZ1410" t="str">
            <v/>
          </cell>
          <cell r="BA1410" t="str">
            <v/>
          </cell>
        </row>
        <row r="1411">
          <cell r="B1411" t="str">
            <v>-</v>
          </cell>
          <cell r="E1411" t="str">
            <v/>
          </cell>
          <cell r="G1411" t="str">
            <v/>
          </cell>
          <cell r="J1411" t="str">
            <v/>
          </cell>
          <cell r="O1411" t="str">
            <v/>
          </cell>
          <cell r="P1411" t="str">
            <v/>
          </cell>
          <cell r="Q1411" t="str">
            <v/>
          </cell>
          <cell r="S1411" t="str">
            <v/>
          </cell>
          <cell r="V1411" t="str">
            <v/>
          </cell>
          <cell r="Z1411" t="str">
            <v/>
          </cell>
          <cell r="AA1411" t="str">
            <v/>
          </cell>
          <cell r="AB1411" t="str">
            <v/>
          </cell>
          <cell r="AC1411" t="str">
            <v/>
          </cell>
          <cell r="AD1411" t="str">
            <v/>
          </cell>
          <cell r="AY1411" t="str">
            <v/>
          </cell>
          <cell r="AZ1411" t="str">
            <v/>
          </cell>
          <cell r="BA1411" t="str">
            <v/>
          </cell>
        </row>
        <row r="1412">
          <cell r="B1412" t="str">
            <v>-</v>
          </cell>
          <cell r="E1412" t="str">
            <v/>
          </cell>
          <cell r="G1412" t="str">
            <v/>
          </cell>
          <cell r="J1412" t="str">
            <v/>
          </cell>
          <cell r="O1412" t="str">
            <v/>
          </cell>
          <cell r="P1412" t="str">
            <v/>
          </cell>
          <cell r="Q1412" t="str">
            <v/>
          </cell>
          <cell r="S1412" t="str">
            <v/>
          </cell>
          <cell r="V1412" t="str">
            <v/>
          </cell>
          <cell r="Z1412" t="str">
            <v/>
          </cell>
          <cell r="AA1412" t="str">
            <v/>
          </cell>
          <cell r="AB1412" t="str">
            <v/>
          </cell>
          <cell r="AC1412" t="str">
            <v/>
          </cell>
          <cell r="AD1412" t="str">
            <v/>
          </cell>
          <cell r="AY1412" t="str">
            <v/>
          </cell>
          <cell r="AZ1412" t="str">
            <v/>
          </cell>
          <cell r="BA1412" t="str">
            <v/>
          </cell>
        </row>
        <row r="1413">
          <cell r="B1413" t="str">
            <v>-</v>
          </cell>
          <cell r="E1413" t="str">
            <v/>
          </cell>
          <cell r="G1413" t="str">
            <v/>
          </cell>
          <cell r="J1413" t="str">
            <v/>
          </cell>
          <cell r="O1413" t="str">
            <v/>
          </cell>
          <cell r="P1413" t="str">
            <v/>
          </cell>
          <cell r="Q1413" t="str">
            <v/>
          </cell>
          <cell r="S1413" t="str">
            <v/>
          </cell>
          <cell r="V1413" t="str">
            <v/>
          </cell>
          <cell r="Z1413" t="str">
            <v/>
          </cell>
          <cell r="AA1413" t="str">
            <v/>
          </cell>
          <cell r="AB1413" t="str">
            <v/>
          </cell>
          <cell r="AC1413" t="str">
            <v/>
          </cell>
          <cell r="AD1413" t="str">
            <v/>
          </cell>
          <cell r="AY1413" t="str">
            <v/>
          </cell>
          <cell r="AZ1413" t="str">
            <v/>
          </cell>
          <cell r="BA1413" t="str">
            <v/>
          </cell>
        </row>
        <row r="1414">
          <cell r="B1414" t="str">
            <v>-</v>
          </cell>
          <cell r="E1414" t="str">
            <v/>
          </cell>
          <cell r="G1414" t="str">
            <v/>
          </cell>
          <cell r="J1414" t="str">
            <v/>
          </cell>
          <cell r="O1414" t="str">
            <v/>
          </cell>
          <cell r="P1414" t="str">
            <v/>
          </cell>
          <cell r="Q1414" t="str">
            <v/>
          </cell>
          <cell r="S1414" t="str">
            <v/>
          </cell>
          <cell r="V1414" t="str">
            <v/>
          </cell>
          <cell r="Z1414" t="str">
            <v/>
          </cell>
          <cell r="AA1414" t="str">
            <v/>
          </cell>
          <cell r="AB1414" t="str">
            <v/>
          </cell>
          <cell r="AC1414" t="str">
            <v/>
          </cell>
          <cell r="AD1414" t="str">
            <v/>
          </cell>
          <cell r="AY1414" t="str">
            <v/>
          </cell>
          <cell r="AZ1414" t="str">
            <v/>
          </cell>
          <cell r="BA1414" t="str">
            <v/>
          </cell>
        </row>
        <row r="1415">
          <cell r="B1415" t="str">
            <v>-</v>
          </cell>
          <cell r="E1415" t="str">
            <v/>
          </cell>
          <cell r="G1415" t="str">
            <v/>
          </cell>
          <cell r="J1415" t="str">
            <v/>
          </cell>
          <cell r="O1415" t="str">
            <v/>
          </cell>
          <cell r="P1415" t="str">
            <v/>
          </cell>
          <cell r="Q1415" t="str">
            <v/>
          </cell>
          <cell r="S1415" t="str">
            <v/>
          </cell>
          <cell r="V1415" t="str">
            <v/>
          </cell>
          <cell r="Z1415" t="str">
            <v/>
          </cell>
          <cell r="AA1415" t="str">
            <v/>
          </cell>
          <cell r="AB1415" t="str">
            <v/>
          </cell>
          <cell r="AC1415" t="str">
            <v/>
          </cell>
          <cell r="AD1415" t="str">
            <v/>
          </cell>
          <cell r="AY1415" t="str">
            <v/>
          </cell>
          <cell r="AZ1415" t="str">
            <v/>
          </cell>
          <cell r="BA1415" t="str">
            <v/>
          </cell>
        </row>
        <row r="1416">
          <cell r="B1416" t="str">
            <v>-</v>
          </cell>
          <cell r="E1416" t="str">
            <v/>
          </cell>
          <cell r="G1416" t="str">
            <v/>
          </cell>
          <cell r="J1416" t="str">
            <v/>
          </cell>
          <cell r="O1416" t="str">
            <v/>
          </cell>
          <cell r="P1416" t="str">
            <v/>
          </cell>
          <cell r="Q1416" t="str">
            <v/>
          </cell>
          <cell r="S1416" t="str">
            <v/>
          </cell>
          <cell r="V1416" t="str">
            <v/>
          </cell>
          <cell r="Z1416" t="str">
            <v/>
          </cell>
          <cell r="AA1416" t="str">
            <v/>
          </cell>
          <cell r="AB1416" t="str">
            <v/>
          </cell>
          <cell r="AC1416" t="str">
            <v/>
          </cell>
          <cell r="AD1416" t="str">
            <v/>
          </cell>
          <cell r="AY1416" t="str">
            <v/>
          </cell>
          <cell r="AZ1416" t="str">
            <v/>
          </cell>
          <cell r="BA1416" t="str">
            <v/>
          </cell>
        </row>
        <row r="1417">
          <cell r="B1417" t="str">
            <v>-</v>
          </cell>
          <cell r="E1417" t="str">
            <v/>
          </cell>
          <cell r="G1417" t="str">
            <v/>
          </cell>
          <cell r="J1417" t="str">
            <v/>
          </cell>
          <cell r="O1417" t="str">
            <v/>
          </cell>
          <cell r="P1417" t="str">
            <v/>
          </cell>
          <cell r="Q1417" t="str">
            <v/>
          </cell>
          <cell r="S1417" t="str">
            <v/>
          </cell>
          <cell r="V1417" t="str">
            <v/>
          </cell>
          <cell r="Z1417" t="str">
            <v/>
          </cell>
          <cell r="AA1417" t="str">
            <v/>
          </cell>
          <cell r="AB1417" t="str">
            <v/>
          </cell>
          <cell r="AC1417" t="str">
            <v/>
          </cell>
          <cell r="AD1417" t="str">
            <v/>
          </cell>
          <cell r="AY1417" t="str">
            <v/>
          </cell>
          <cell r="AZ1417" t="str">
            <v/>
          </cell>
          <cell r="BA1417" t="str">
            <v/>
          </cell>
        </row>
        <row r="1418">
          <cell r="B1418" t="str">
            <v>-</v>
          </cell>
          <cell r="E1418" t="str">
            <v/>
          </cell>
          <cell r="G1418" t="str">
            <v/>
          </cell>
          <cell r="J1418" t="str">
            <v/>
          </cell>
          <cell r="O1418" t="str">
            <v/>
          </cell>
          <cell r="P1418" t="str">
            <v/>
          </cell>
          <cell r="Q1418" t="str">
            <v/>
          </cell>
          <cell r="S1418" t="str">
            <v/>
          </cell>
          <cell r="V1418" t="str">
            <v/>
          </cell>
          <cell r="Z1418" t="str">
            <v/>
          </cell>
          <cell r="AA1418" t="str">
            <v/>
          </cell>
          <cell r="AB1418" t="str">
            <v/>
          </cell>
          <cell r="AC1418" t="str">
            <v/>
          </cell>
          <cell r="AD1418" t="str">
            <v/>
          </cell>
          <cell r="AY1418" t="str">
            <v/>
          </cell>
          <cell r="AZ1418" t="str">
            <v/>
          </cell>
          <cell r="BA1418" t="str">
            <v/>
          </cell>
        </row>
        <row r="1419">
          <cell r="B1419" t="str">
            <v>-</v>
          </cell>
          <cell r="E1419" t="str">
            <v/>
          </cell>
          <cell r="G1419" t="str">
            <v/>
          </cell>
          <cell r="J1419" t="str">
            <v/>
          </cell>
          <cell r="O1419" t="str">
            <v/>
          </cell>
          <cell r="P1419" t="str">
            <v/>
          </cell>
          <cell r="Q1419" t="str">
            <v/>
          </cell>
          <cell r="S1419" t="str">
            <v/>
          </cell>
          <cell r="V1419" t="str">
            <v/>
          </cell>
          <cell r="Z1419" t="str">
            <v/>
          </cell>
          <cell r="AA1419" t="str">
            <v/>
          </cell>
          <cell r="AB1419" t="str">
            <v/>
          </cell>
          <cell r="AC1419" t="str">
            <v/>
          </cell>
          <cell r="AD1419" t="str">
            <v/>
          </cell>
          <cell r="AY1419" t="str">
            <v/>
          </cell>
          <cell r="AZ1419" t="str">
            <v/>
          </cell>
          <cell r="BA1419" t="str">
            <v/>
          </cell>
        </row>
        <row r="1420">
          <cell r="B1420" t="str">
            <v>-</v>
          </cell>
          <cell r="E1420" t="str">
            <v/>
          </cell>
          <cell r="G1420" t="str">
            <v/>
          </cell>
          <cell r="J1420" t="str">
            <v/>
          </cell>
          <cell r="O1420" t="str">
            <v/>
          </cell>
          <cell r="P1420" t="str">
            <v/>
          </cell>
          <cell r="Q1420" t="str">
            <v/>
          </cell>
          <cell r="S1420" t="str">
            <v/>
          </cell>
          <cell r="V1420" t="str">
            <v/>
          </cell>
          <cell r="Z1420" t="str">
            <v/>
          </cell>
          <cell r="AA1420" t="str">
            <v/>
          </cell>
          <cell r="AB1420" t="str">
            <v/>
          </cell>
          <cell r="AC1420" t="str">
            <v/>
          </cell>
          <cell r="AD1420" t="str">
            <v/>
          </cell>
          <cell r="AY1420" t="str">
            <v/>
          </cell>
          <cell r="AZ1420" t="str">
            <v/>
          </cell>
          <cell r="BA1420" t="str">
            <v/>
          </cell>
        </row>
        <row r="1421">
          <cell r="B1421" t="str">
            <v>-</v>
          </cell>
          <cell r="E1421" t="str">
            <v/>
          </cell>
          <cell r="G1421" t="str">
            <v/>
          </cell>
          <cell r="J1421" t="str">
            <v/>
          </cell>
          <cell r="O1421" t="str">
            <v/>
          </cell>
          <cell r="P1421" t="str">
            <v/>
          </cell>
          <cell r="Q1421" t="str">
            <v/>
          </cell>
          <cell r="S1421" t="str">
            <v/>
          </cell>
          <cell r="V1421" t="str">
            <v/>
          </cell>
          <cell r="Z1421" t="str">
            <v/>
          </cell>
          <cell r="AA1421" t="str">
            <v/>
          </cell>
          <cell r="AB1421" t="str">
            <v/>
          </cell>
          <cell r="AC1421" t="str">
            <v/>
          </cell>
          <cell r="AD1421" t="str">
            <v/>
          </cell>
          <cell r="AY1421" t="str">
            <v/>
          </cell>
          <cell r="AZ1421" t="str">
            <v/>
          </cell>
          <cell r="BA1421" t="str">
            <v/>
          </cell>
        </row>
        <row r="1422">
          <cell r="B1422" t="str">
            <v>-</v>
          </cell>
          <cell r="E1422" t="str">
            <v/>
          </cell>
          <cell r="G1422" t="str">
            <v/>
          </cell>
          <cell r="J1422" t="str">
            <v/>
          </cell>
          <cell r="O1422" t="str">
            <v/>
          </cell>
          <cell r="P1422" t="str">
            <v/>
          </cell>
          <cell r="Q1422" t="str">
            <v/>
          </cell>
          <cell r="S1422" t="str">
            <v/>
          </cell>
          <cell r="V1422" t="str">
            <v/>
          </cell>
          <cell r="Z1422" t="str">
            <v/>
          </cell>
          <cell r="AA1422" t="str">
            <v/>
          </cell>
          <cell r="AB1422" t="str">
            <v/>
          </cell>
          <cell r="AC1422" t="str">
            <v/>
          </cell>
          <cell r="AD1422" t="str">
            <v/>
          </cell>
          <cell r="AY1422" t="str">
            <v/>
          </cell>
          <cell r="AZ1422" t="str">
            <v/>
          </cell>
          <cell r="BA1422" t="str">
            <v/>
          </cell>
        </row>
        <row r="1423">
          <cell r="B1423" t="str">
            <v>-</v>
          </cell>
          <cell r="E1423" t="str">
            <v/>
          </cell>
          <cell r="G1423" t="str">
            <v/>
          </cell>
          <cell r="J1423" t="str">
            <v/>
          </cell>
          <cell r="O1423" t="str">
            <v/>
          </cell>
          <cell r="P1423" t="str">
            <v/>
          </cell>
          <cell r="Q1423" t="str">
            <v/>
          </cell>
          <cell r="S1423" t="str">
            <v/>
          </cell>
          <cell r="V1423" t="str">
            <v/>
          </cell>
          <cell r="Z1423" t="str">
            <v/>
          </cell>
          <cell r="AA1423" t="str">
            <v/>
          </cell>
          <cell r="AB1423" t="str">
            <v/>
          </cell>
          <cell r="AC1423" t="str">
            <v/>
          </cell>
          <cell r="AD1423" t="str">
            <v/>
          </cell>
          <cell r="AY1423" t="str">
            <v/>
          </cell>
          <cell r="AZ1423" t="str">
            <v/>
          </cell>
          <cell r="BA1423" t="str">
            <v/>
          </cell>
        </row>
        <row r="1424">
          <cell r="B1424" t="str">
            <v>-</v>
          </cell>
          <cell r="E1424" t="str">
            <v/>
          </cell>
          <cell r="G1424" t="str">
            <v/>
          </cell>
          <cell r="J1424" t="str">
            <v/>
          </cell>
          <cell r="O1424" t="str">
            <v/>
          </cell>
          <cell r="P1424" t="str">
            <v/>
          </cell>
          <cell r="Q1424" t="str">
            <v/>
          </cell>
          <cell r="S1424" t="str">
            <v/>
          </cell>
          <cell r="V1424" t="str">
            <v/>
          </cell>
          <cell r="Z1424" t="str">
            <v/>
          </cell>
          <cell r="AA1424" t="str">
            <v/>
          </cell>
          <cell r="AB1424" t="str">
            <v/>
          </cell>
          <cell r="AC1424" t="str">
            <v/>
          </cell>
          <cell r="AD1424" t="str">
            <v/>
          </cell>
          <cell r="AY1424" t="str">
            <v/>
          </cell>
          <cell r="AZ1424" t="str">
            <v/>
          </cell>
          <cell r="BA1424" t="str">
            <v/>
          </cell>
        </row>
        <row r="1425">
          <cell r="B1425" t="str">
            <v>-</v>
          </cell>
          <cell r="E1425" t="str">
            <v/>
          </cell>
          <cell r="G1425" t="str">
            <v/>
          </cell>
          <cell r="J1425" t="str">
            <v/>
          </cell>
          <cell r="O1425" t="str">
            <v/>
          </cell>
          <cell r="P1425" t="str">
            <v/>
          </cell>
          <cell r="Q1425" t="str">
            <v/>
          </cell>
          <cell r="S1425" t="str">
            <v/>
          </cell>
          <cell r="V1425" t="str">
            <v/>
          </cell>
          <cell r="Z1425" t="str">
            <v/>
          </cell>
          <cell r="AA1425" t="str">
            <v/>
          </cell>
          <cell r="AB1425" t="str">
            <v/>
          </cell>
          <cell r="AC1425" t="str">
            <v/>
          </cell>
          <cell r="AD1425" t="str">
            <v/>
          </cell>
          <cell r="AY1425" t="str">
            <v/>
          </cell>
          <cell r="AZ1425" t="str">
            <v/>
          </cell>
          <cell r="BA1425" t="str">
            <v/>
          </cell>
        </row>
        <row r="1426">
          <cell r="B1426" t="str">
            <v>-</v>
          </cell>
          <cell r="E1426" t="str">
            <v/>
          </cell>
          <cell r="G1426" t="str">
            <v/>
          </cell>
          <cell r="J1426" t="str">
            <v/>
          </cell>
          <cell r="O1426" t="str">
            <v/>
          </cell>
          <cell r="P1426" t="str">
            <v/>
          </cell>
          <cell r="Q1426" t="str">
            <v/>
          </cell>
          <cell r="S1426" t="str">
            <v/>
          </cell>
          <cell r="V1426" t="str">
            <v/>
          </cell>
          <cell r="Z1426" t="str">
            <v/>
          </cell>
          <cell r="AA1426" t="str">
            <v/>
          </cell>
          <cell r="AB1426" t="str">
            <v/>
          </cell>
          <cell r="AC1426" t="str">
            <v/>
          </cell>
          <cell r="AD1426" t="str">
            <v/>
          </cell>
          <cell r="AY1426" t="str">
            <v/>
          </cell>
          <cell r="AZ1426" t="str">
            <v/>
          </cell>
          <cell r="BA1426" t="str">
            <v/>
          </cell>
        </row>
        <row r="1427">
          <cell r="B1427" t="str">
            <v>-</v>
          </cell>
          <cell r="E1427" t="str">
            <v/>
          </cell>
          <cell r="G1427" t="str">
            <v/>
          </cell>
          <cell r="J1427" t="str">
            <v/>
          </cell>
          <cell r="O1427" t="str">
            <v/>
          </cell>
          <cell r="P1427" t="str">
            <v/>
          </cell>
          <cell r="Q1427" t="str">
            <v/>
          </cell>
          <cell r="S1427" t="str">
            <v/>
          </cell>
          <cell r="V1427" t="str">
            <v/>
          </cell>
          <cell r="Z1427" t="str">
            <v/>
          </cell>
          <cell r="AA1427" t="str">
            <v/>
          </cell>
          <cell r="AB1427" t="str">
            <v/>
          </cell>
          <cell r="AC1427" t="str">
            <v/>
          </cell>
          <cell r="AD1427" t="str">
            <v/>
          </cell>
          <cell r="AY1427" t="str">
            <v/>
          </cell>
          <cell r="AZ1427" t="str">
            <v/>
          </cell>
          <cell r="BA1427" t="str">
            <v/>
          </cell>
        </row>
        <row r="1428">
          <cell r="B1428" t="str">
            <v>-</v>
          </cell>
          <cell r="E1428" t="str">
            <v/>
          </cell>
          <cell r="G1428" t="str">
            <v/>
          </cell>
          <cell r="J1428" t="str">
            <v/>
          </cell>
          <cell r="O1428" t="str">
            <v/>
          </cell>
          <cell r="P1428" t="str">
            <v/>
          </cell>
          <cell r="Q1428" t="str">
            <v/>
          </cell>
          <cell r="S1428" t="str">
            <v/>
          </cell>
          <cell r="V1428" t="str">
            <v/>
          </cell>
          <cell r="Z1428" t="str">
            <v/>
          </cell>
          <cell r="AA1428" t="str">
            <v/>
          </cell>
          <cell r="AB1428" t="str">
            <v/>
          </cell>
          <cell r="AC1428" t="str">
            <v/>
          </cell>
          <cell r="AD1428" t="str">
            <v/>
          </cell>
          <cell r="AY1428" t="str">
            <v/>
          </cell>
          <cell r="AZ1428" t="str">
            <v/>
          </cell>
          <cell r="BA1428" t="str">
            <v/>
          </cell>
        </row>
        <row r="1429">
          <cell r="B1429" t="str">
            <v>-</v>
          </cell>
          <cell r="E1429" t="str">
            <v/>
          </cell>
          <cell r="G1429" t="str">
            <v/>
          </cell>
          <cell r="J1429" t="str">
            <v/>
          </cell>
          <cell r="O1429" t="str">
            <v/>
          </cell>
          <cell r="P1429" t="str">
            <v/>
          </cell>
          <cell r="Q1429" t="str">
            <v/>
          </cell>
          <cell r="S1429" t="str">
            <v/>
          </cell>
          <cell r="V1429" t="str">
            <v/>
          </cell>
          <cell r="Z1429" t="str">
            <v/>
          </cell>
          <cell r="AA1429" t="str">
            <v/>
          </cell>
          <cell r="AB1429" t="str">
            <v/>
          </cell>
          <cell r="AC1429" t="str">
            <v/>
          </cell>
          <cell r="AD1429" t="str">
            <v/>
          </cell>
          <cell r="AY1429" t="str">
            <v/>
          </cell>
          <cell r="AZ1429" t="str">
            <v/>
          </cell>
          <cell r="BA1429" t="str">
            <v/>
          </cell>
        </row>
        <row r="1430">
          <cell r="B1430" t="str">
            <v>-</v>
          </cell>
          <cell r="E1430" t="str">
            <v/>
          </cell>
          <cell r="G1430" t="str">
            <v/>
          </cell>
          <cell r="J1430" t="str">
            <v/>
          </cell>
          <cell r="O1430" t="str">
            <v/>
          </cell>
          <cell r="P1430" t="str">
            <v/>
          </cell>
          <cell r="Q1430" t="str">
            <v/>
          </cell>
          <cell r="S1430" t="str">
            <v/>
          </cell>
          <cell r="V1430" t="str">
            <v/>
          </cell>
          <cell r="Z1430" t="str">
            <v/>
          </cell>
          <cell r="AA1430" t="str">
            <v/>
          </cell>
          <cell r="AB1430" t="str">
            <v/>
          </cell>
          <cell r="AC1430" t="str">
            <v/>
          </cell>
          <cell r="AD1430" t="str">
            <v/>
          </cell>
          <cell r="AY1430" t="str">
            <v/>
          </cell>
          <cell r="AZ1430" t="str">
            <v/>
          </cell>
          <cell r="BA1430" t="str">
            <v/>
          </cell>
        </row>
        <row r="1431">
          <cell r="B1431" t="str">
            <v>-</v>
          </cell>
          <cell r="E1431" t="str">
            <v/>
          </cell>
          <cell r="G1431" t="str">
            <v/>
          </cell>
          <cell r="J1431" t="str">
            <v/>
          </cell>
          <cell r="O1431" t="str">
            <v/>
          </cell>
          <cell r="P1431" t="str">
            <v/>
          </cell>
          <cell r="Q1431" t="str">
            <v/>
          </cell>
          <cell r="S1431" t="str">
            <v/>
          </cell>
          <cell r="V1431" t="str">
            <v/>
          </cell>
          <cell r="Z1431" t="str">
            <v/>
          </cell>
          <cell r="AA1431" t="str">
            <v/>
          </cell>
          <cell r="AB1431" t="str">
            <v/>
          </cell>
          <cell r="AC1431" t="str">
            <v/>
          </cell>
          <cell r="AD1431" t="str">
            <v/>
          </cell>
          <cell r="AY1431" t="str">
            <v/>
          </cell>
          <cell r="AZ1431" t="str">
            <v/>
          </cell>
          <cell r="BA1431" t="str">
            <v/>
          </cell>
        </row>
        <row r="1432">
          <cell r="B1432" t="str">
            <v>-</v>
          </cell>
          <cell r="E1432" t="str">
            <v/>
          </cell>
          <cell r="G1432" t="str">
            <v/>
          </cell>
          <cell r="J1432" t="str">
            <v/>
          </cell>
          <cell r="O1432" t="str">
            <v/>
          </cell>
          <cell r="P1432" t="str">
            <v/>
          </cell>
          <cell r="Q1432" t="str">
            <v/>
          </cell>
          <cell r="S1432" t="str">
            <v/>
          </cell>
          <cell r="V1432" t="str">
            <v/>
          </cell>
          <cell r="Z1432" t="str">
            <v/>
          </cell>
          <cell r="AA1432" t="str">
            <v/>
          </cell>
          <cell r="AB1432" t="str">
            <v/>
          </cell>
          <cell r="AC1432" t="str">
            <v/>
          </cell>
          <cell r="AD1432" t="str">
            <v/>
          </cell>
          <cell r="AY1432" t="str">
            <v/>
          </cell>
          <cell r="AZ1432" t="str">
            <v/>
          </cell>
          <cell r="BA1432" t="str">
            <v/>
          </cell>
        </row>
        <row r="1433">
          <cell r="B1433" t="str">
            <v>-</v>
          </cell>
          <cell r="E1433" t="str">
            <v/>
          </cell>
          <cell r="G1433" t="str">
            <v/>
          </cell>
          <cell r="J1433" t="str">
            <v/>
          </cell>
          <cell r="O1433" t="str">
            <v/>
          </cell>
          <cell r="P1433" t="str">
            <v/>
          </cell>
          <cell r="Q1433" t="str">
            <v/>
          </cell>
          <cell r="S1433" t="str">
            <v/>
          </cell>
          <cell r="V1433" t="str">
            <v/>
          </cell>
          <cell r="Z1433" t="str">
            <v/>
          </cell>
          <cell r="AA1433" t="str">
            <v/>
          </cell>
          <cell r="AB1433" t="str">
            <v/>
          </cell>
          <cell r="AC1433" t="str">
            <v/>
          </cell>
          <cell r="AD1433" t="str">
            <v/>
          </cell>
          <cell r="AY1433" t="str">
            <v/>
          </cell>
          <cell r="AZ1433" t="str">
            <v/>
          </cell>
          <cell r="BA1433" t="str">
            <v/>
          </cell>
        </row>
        <row r="1434">
          <cell r="B1434" t="str">
            <v>-</v>
          </cell>
          <cell r="E1434" t="str">
            <v/>
          </cell>
          <cell r="G1434" t="str">
            <v/>
          </cell>
          <cell r="J1434" t="str">
            <v/>
          </cell>
          <cell r="O1434" t="str">
            <v/>
          </cell>
          <cell r="P1434" t="str">
            <v/>
          </cell>
          <cell r="Q1434" t="str">
            <v/>
          </cell>
          <cell r="S1434" t="str">
            <v/>
          </cell>
          <cell r="V1434" t="str">
            <v/>
          </cell>
          <cell r="Z1434" t="str">
            <v/>
          </cell>
          <cell r="AA1434" t="str">
            <v/>
          </cell>
          <cell r="AB1434" t="str">
            <v/>
          </cell>
          <cell r="AC1434" t="str">
            <v/>
          </cell>
          <cell r="AD1434" t="str">
            <v/>
          </cell>
          <cell r="AY1434" t="str">
            <v/>
          </cell>
          <cell r="AZ1434" t="str">
            <v/>
          </cell>
          <cell r="BA1434" t="str">
            <v/>
          </cell>
        </row>
        <row r="1435">
          <cell r="B1435" t="str">
            <v>-</v>
          </cell>
          <cell r="E1435" t="str">
            <v/>
          </cell>
          <cell r="G1435" t="str">
            <v/>
          </cell>
          <cell r="J1435" t="str">
            <v/>
          </cell>
          <cell r="O1435" t="str">
            <v/>
          </cell>
          <cell r="P1435" t="str">
            <v/>
          </cell>
          <cell r="Q1435" t="str">
            <v/>
          </cell>
          <cell r="S1435" t="str">
            <v/>
          </cell>
          <cell r="V1435" t="str">
            <v/>
          </cell>
          <cell r="Z1435" t="str">
            <v/>
          </cell>
          <cell r="AA1435" t="str">
            <v/>
          </cell>
          <cell r="AB1435" t="str">
            <v/>
          </cell>
          <cell r="AC1435" t="str">
            <v/>
          </cell>
          <cell r="AD1435" t="str">
            <v/>
          </cell>
          <cell r="AY1435" t="str">
            <v/>
          </cell>
          <cell r="AZ1435" t="str">
            <v/>
          </cell>
          <cell r="BA1435" t="str">
            <v/>
          </cell>
        </row>
        <row r="1436">
          <cell r="B1436" t="str">
            <v>-</v>
          </cell>
          <cell r="E1436" t="str">
            <v/>
          </cell>
          <cell r="G1436" t="str">
            <v/>
          </cell>
          <cell r="J1436" t="str">
            <v/>
          </cell>
          <cell r="O1436" t="str">
            <v/>
          </cell>
          <cell r="P1436" t="str">
            <v/>
          </cell>
          <cell r="Q1436" t="str">
            <v/>
          </cell>
          <cell r="S1436" t="str">
            <v/>
          </cell>
          <cell r="V1436" t="str">
            <v/>
          </cell>
          <cell r="Z1436" t="str">
            <v/>
          </cell>
          <cell r="AA1436" t="str">
            <v/>
          </cell>
          <cell r="AB1436" t="str">
            <v/>
          </cell>
          <cell r="AC1436" t="str">
            <v/>
          </cell>
          <cell r="AD1436" t="str">
            <v/>
          </cell>
          <cell r="AY1436" t="str">
            <v/>
          </cell>
          <cell r="AZ1436" t="str">
            <v/>
          </cell>
          <cell r="BA1436" t="str">
            <v/>
          </cell>
        </row>
        <row r="1437">
          <cell r="B1437" t="str">
            <v>-</v>
          </cell>
          <cell r="E1437" t="str">
            <v/>
          </cell>
          <cell r="G1437" t="str">
            <v/>
          </cell>
          <cell r="J1437" t="str">
            <v/>
          </cell>
          <cell r="O1437" t="str">
            <v/>
          </cell>
          <cell r="P1437" t="str">
            <v/>
          </cell>
          <cell r="Q1437" t="str">
            <v/>
          </cell>
          <cell r="S1437" t="str">
            <v/>
          </cell>
          <cell r="V1437" t="str">
            <v/>
          </cell>
          <cell r="Z1437" t="str">
            <v/>
          </cell>
          <cell r="AA1437" t="str">
            <v/>
          </cell>
          <cell r="AB1437" t="str">
            <v/>
          </cell>
          <cell r="AC1437" t="str">
            <v/>
          </cell>
          <cell r="AD1437" t="str">
            <v/>
          </cell>
          <cell r="AY1437" t="str">
            <v/>
          </cell>
          <cell r="AZ1437" t="str">
            <v/>
          </cell>
          <cell r="BA1437" t="str">
            <v/>
          </cell>
        </row>
        <row r="1438">
          <cell r="B1438" t="str">
            <v>-</v>
          </cell>
          <cell r="E1438" t="str">
            <v/>
          </cell>
          <cell r="G1438" t="str">
            <v/>
          </cell>
          <cell r="J1438" t="str">
            <v/>
          </cell>
          <cell r="O1438" t="str">
            <v/>
          </cell>
          <cell r="P1438" t="str">
            <v/>
          </cell>
          <cell r="Q1438" t="str">
            <v/>
          </cell>
          <cell r="S1438" t="str">
            <v/>
          </cell>
          <cell r="V1438" t="str">
            <v/>
          </cell>
          <cell r="Z1438" t="str">
            <v/>
          </cell>
          <cell r="AA1438" t="str">
            <v/>
          </cell>
          <cell r="AB1438" t="str">
            <v/>
          </cell>
          <cell r="AC1438" t="str">
            <v/>
          </cell>
          <cell r="AD1438" t="str">
            <v/>
          </cell>
          <cell r="AY1438" t="str">
            <v/>
          </cell>
          <cell r="AZ1438" t="str">
            <v/>
          </cell>
          <cell r="BA1438" t="str">
            <v/>
          </cell>
        </row>
        <row r="1439">
          <cell r="B1439" t="str">
            <v>-</v>
          </cell>
          <cell r="E1439" t="str">
            <v/>
          </cell>
          <cell r="G1439" t="str">
            <v/>
          </cell>
          <cell r="J1439" t="str">
            <v/>
          </cell>
          <cell r="O1439" t="str">
            <v/>
          </cell>
          <cell r="P1439" t="str">
            <v/>
          </cell>
          <cell r="Q1439" t="str">
            <v/>
          </cell>
          <cell r="S1439" t="str">
            <v/>
          </cell>
          <cell r="V1439" t="str">
            <v/>
          </cell>
          <cell r="Z1439" t="str">
            <v/>
          </cell>
          <cell r="AA1439" t="str">
            <v/>
          </cell>
          <cell r="AB1439" t="str">
            <v/>
          </cell>
          <cell r="AC1439" t="str">
            <v/>
          </cell>
          <cell r="AD1439" t="str">
            <v/>
          </cell>
          <cell r="AY1439" t="str">
            <v/>
          </cell>
          <cell r="AZ1439" t="str">
            <v/>
          </cell>
          <cell r="BA1439" t="str">
            <v/>
          </cell>
        </row>
        <row r="1440">
          <cell r="B1440" t="str">
            <v>-</v>
          </cell>
          <cell r="E1440" t="str">
            <v/>
          </cell>
          <cell r="G1440" t="str">
            <v/>
          </cell>
          <cell r="J1440" t="str">
            <v/>
          </cell>
          <cell r="O1440" t="str">
            <v/>
          </cell>
          <cell r="P1440" t="str">
            <v/>
          </cell>
          <cell r="Q1440" t="str">
            <v/>
          </cell>
          <cell r="S1440" t="str">
            <v/>
          </cell>
          <cell r="V1440" t="str">
            <v/>
          </cell>
          <cell r="Z1440" t="str">
            <v/>
          </cell>
          <cell r="AA1440" t="str">
            <v/>
          </cell>
          <cell r="AB1440" t="str">
            <v/>
          </cell>
          <cell r="AC1440" t="str">
            <v/>
          </cell>
          <cell r="AD1440" t="str">
            <v/>
          </cell>
          <cell r="AY1440" t="str">
            <v/>
          </cell>
          <cell r="AZ1440" t="str">
            <v/>
          </cell>
          <cell r="BA1440" t="str">
            <v/>
          </cell>
        </row>
        <row r="1441">
          <cell r="B1441" t="str">
            <v>-</v>
          </cell>
          <cell r="E1441" t="str">
            <v/>
          </cell>
          <cell r="G1441" t="str">
            <v/>
          </cell>
          <cell r="J1441" t="str">
            <v/>
          </cell>
          <cell r="O1441" t="str">
            <v/>
          </cell>
          <cell r="P1441" t="str">
            <v/>
          </cell>
          <cell r="Q1441" t="str">
            <v/>
          </cell>
          <cell r="S1441" t="str">
            <v/>
          </cell>
          <cell r="V1441" t="str">
            <v/>
          </cell>
          <cell r="Z1441" t="str">
            <v/>
          </cell>
          <cell r="AA1441" t="str">
            <v/>
          </cell>
          <cell r="AB1441" t="str">
            <v/>
          </cell>
          <cell r="AC1441" t="str">
            <v/>
          </cell>
          <cell r="AD1441" t="str">
            <v/>
          </cell>
          <cell r="AY1441" t="str">
            <v/>
          </cell>
          <cell r="AZ1441" t="str">
            <v/>
          </cell>
          <cell r="BA1441" t="str">
            <v/>
          </cell>
        </row>
        <row r="1442">
          <cell r="B1442" t="str">
            <v>-</v>
          </cell>
          <cell r="E1442" t="str">
            <v/>
          </cell>
          <cell r="G1442" t="str">
            <v/>
          </cell>
          <cell r="J1442" t="str">
            <v/>
          </cell>
          <cell r="O1442" t="str">
            <v/>
          </cell>
          <cell r="P1442" t="str">
            <v/>
          </cell>
          <cell r="Q1442" t="str">
            <v/>
          </cell>
          <cell r="S1442" t="str">
            <v/>
          </cell>
          <cell r="V1442" t="str">
            <v/>
          </cell>
          <cell r="Z1442" t="str">
            <v/>
          </cell>
          <cell r="AA1442" t="str">
            <v/>
          </cell>
          <cell r="AB1442" t="str">
            <v/>
          </cell>
          <cell r="AC1442" t="str">
            <v/>
          </cell>
          <cell r="AD1442" t="str">
            <v/>
          </cell>
          <cell r="AY1442" t="str">
            <v/>
          </cell>
          <cell r="AZ1442" t="str">
            <v/>
          </cell>
          <cell r="BA1442" t="str">
            <v/>
          </cell>
        </row>
        <row r="1443">
          <cell r="B1443" t="str">
            <v>-</v>
          </cell>
          <cell r="E1443" t="str">
            <v/>
          </cell>
          <cell r="G1443" t="str">
            <v/>
          </cell>
          <cell r="J1443" t="str">
            <v/>
          </cell>
          <cell r="O1443" t="str">
            <v/>
          </cell>
          <cell r="P1443" t="str">
            <v/>
          </cell>
          <cell r="Q1443" t="str">
            <v/>
          </cell>
          <cell r="S1443" t="str">
            <v/>
          </cell>
          <cell r="V1443" t="str">
            <v/>
          </cell>
          <cell r="Z1443" t="str">
            <v/>
          </cell>
          <cell r="AA1443" t="str">
            <v/>
          </cell>
          <cell r="AB1443" t="str">
            <v/>
          </cell>
          <cell r="AC1443" t="str">
            <v/>
          </cell>
          <cell r="AD1443" t="str">
            <v/>
          </cell>
          <cell r="AY1443" t="str">
            <v/>
          </cell>
          <cell r="AZ1443" t="str">
            <v/>
          </cell>
          <cell r="BA1443" t="str">
            <v/>
          </cell>
        </row>
        <row r="1444">
          <cell r="B1444" t="str">
            <v>-</v>
          </cell>
          <cell r="E1444" t="str">
            <v/>
          </cell>
          <cell r="G1444" t="str">
            <v/>
          </cell>
          <cell r="J1444" t="str">
            <v/>
          </cell>
          <cell r="O1444" t="str">
            <v/>
          </cell>
          <cell r="P1444" t="str">
            <v/>
          </cell>
          <cell r="Q1444" t="str">
            <v/>
          </cell>
          <cell r="S1444" t="str">
            <v/>
          </cell>
          <cell r="V1444" t="str">
            <v/>
          </cell>
          <cell r="Z1444" t="str">
            <v/>
          </cell>
          <cell r="AA1444" t="str">
            <v/>
          </cell>
          <cell r="AB1444" t="str">
            <v/>
          </cell>
          <cell r="AC1444" t="str">
            <v/>
          </cell>
          <cell r="AD1444" t="str">
            <v/>
          </cell>
          <cell r="AY1444" t="str">
            <v/>
          </cell>
          <cell r="AZ1444" t="str">
            <v/>
          </cell>
          <cell r="BA1444" t="str">
            <v/>
          </cell>
        </row>
        <row r="1445">
          <cell r="B1445" t="str">
            <v>-</v>
          </cell>
          <cell r="E1445" t="str">
            <v/>
          </cell>
          <cell r="G1445" t="str">
            <v/>
          </cell>
          <cell r="J1445" t="str">
            <v/>
          </cell>
          <cell r="O1445" t="str">
            <v/>
          </cell>
          <cell r="P1445" t="str">
            <v/>
          </cell>
          <cell r="Q1445" t="str">
            <v/>
          </cell>
          <cell r="S1445" t="str">
            <v/>
          </cell>
          <cell r="V1445" t="str">
            <v/>
          </cell>
          <cell r="Z1445" t="str">
            <v/>
          </cell>
          <cell r="AA1445" t="str">
            <v/>
          </cell>
          <cell r="AB1445" t="str">
            <v/>
          </cell>
          <cell r="AC1445" t="str">
            <v/>
          </cell>
          <cell r="AD1445" t="str">
            <v/>
          </cell>
          <cell r="AY1445" t="str">
            <v/>
          </cell>
          <cell r="AZ1445" t="str">
            <v/>
          </cell>
          <cell r="BA1445" t="str">
            <v/>
          </cell>
        </row>
        <row r="1446">
          <cell r="B1446" t="str">
            <v>-</v>
          </cell>
          <cell r="E1446" t="str">
            <v/>
          </cell>
          <cell r="G1446" t="str">
            <v/>
          </cell>
          <cell r="J1446" t="str">
            <v/>
          </cell>
          <cell r="O1446" t="str">
            <v/>
          </cell>
          <cell r="P1446" t="str">
            <v/>
          </cell>
          <cell r="Q1446" t="str">
            <v/>
          </cell>
          <cell r="S1446" t="str">
            <v/>
          </cell>
          <cell r="V1446" t="str">
            <v/>
          </cell>
          <cell r="Z1446" t="str">
            <v/>
          </cell>
          <cell r="AA1446" t="str">
            <v/>
          </cell>
          <cell r="AB1446" t="str">
            <v/>
          </cell>
          <cell r="AC1446" t="str">
            <v/>
          </cell>
          <cell r="AD1446" t="str">
            <v/>
          </cell>
          <cell r="AY1446" t="str">
            <v/>
          </cell>
          <cell r="AZ1446" t="str">
            <v/>
          </cell>
          <cell r="BA1446" t="str">
            <v/>
          </cell>
        </row>
        <row r="1447">
          <cell r="B1447" t="str">
            <v>-</v>
          </cell>
          <cell r="E1447" t="str">
            <v/>
          </cell>
          <cell r="G1447" t="str">
            <v/>
          </cell>
          <cell r="J1447" t="str">
            <v/>
          </cell>
          <cell r="O1447" t="str">
            <v/>
          </cell>
          <cell r="P1447" t="str">
            <v/>
          </cell>
          <cell r="Q1447" t="str">
            <v/>
          </cell>
          <cell r="S1447" t="str">
            <v/>
          </cell>
          <cell r="V1447" t="str">
            <v/>
          </cell>
          <cell r="Z1447" t="str">
            <v/>
          </cell>
          <cell r="AA1447" t="str">
            <v/>
          </cell>
          <cell r="AB1447" t="str">
            <v/>
          </cell>
          <cell r="AC1447" t="str">
            <v/>
          </cell>
          <cell r="AD1447" t="str">
            <v/>
          </cell>
          <cell r="AY1447" t="str">
            <v/>
          </cell>
          <cell r="AZ1447" t="str">
            <v/>
          </cell>
          <cell r="BA1447" t="str">
            <v/>
          </cell>
        </row>
        <row r="1448">
          <cell r="B1448" t="str">
            <v>-</v>
          </cell>
          <cell r="E1448" t="str">
            <v/>
          </cell>
          <cell r="G1448" t="str">
            <v/>
          </cell>
          <cell r="J1448" t="str">
            <v/>
          </cell>
          <cell r="O1448" t="str">
            <v/>
          </cell>
          <cell r="P1448" t="str">
            <v/>
          </cell>
          <cell r="Q1448" t="str">
            <v/>
          </cell>
          <cell r="S1448" t="str">
            <v/>
          </cell>
          <cell r="V1448" t="str">
            <v/>
          </cell>
          <cell r="Z1448" t="str">
            <v/>
          </cell>
          <cell r="AA1448" t="str">
            <v/>
          </cell>
          <cell r="AB1448" t="str">
            <v/>
          </cell>
          <cell r="AC1448" t="str">
            <v/>
          </cell>
          <cell r="AD1448" t="str">
            <v/>
          </cell>
          <cell r="AY1448" t="str">
            <v/>
          </cell>
          <cell r="AZ1448" t="str">
            <v/>
          </cell>
          <cell r="BA1448" t="str">
            <v/>
          </cell>
        </row>
        <row r="1449">
          <cell r="B1449" t="str">
            <v>-</v>
          </cell>
          <cell r="E1449" t="str">
            <v/>
          </cell>
          <cell r="G1449" t="str">
            <v/>
          </cell>
          <cell r="J1449" t="str">
            <v/>
          </cell>
          <cell r="O1449" t="str">
            <v/>
          </cell>
          <cell r="P1449" t="str">
            <v/>
          </cell>
          <cell r="Q1449" t="str">
            <v/>
          </cell>
          <cell r="S1449" t="str">
            <v/>
          </cell>
          <cell r="V1449" t="str">
            <v/>
          </cell>
          <cell r="Z1449" t="str">
            <v/>
          </cell>
          <cell r="AA1449" t="str">
            <v/>
          </cell>
          <cell r="AB1449" t="str">
            <v/>
          </cell>
          <cell r="AC1449" t="str">
            <v/>
          </cell>
          <cell r="AD1449" t="str">
            <v/>
          </cell>
          <cell r="AY1449" t="str">
            <v/>
          </cell>
          <cell r="AZ1449" t="str">
            <v/>
          </cell>
          <cell r="BA1449" t="str">
            <v/>
          </cell>
        </row>
        <row r="1450">
          <cell r="B1450" t="str">
            <v>-</v>
          </cell>
          <cell r="E1450" t="str">
            <v/>
          </cell>
          <cell r="G1450" t="str">
            <v/>
          </cell>
          <cell r="J1450" t="str">
            <v/>
          </cell>
          <cell r="O1450" t="str">
            <v/>
          </cell>
          <cell r="P1450" t="str">
            <v/>
          </cell>
          <cell r="Q1450" t="str">
            <v/>
          </cell>
          <cell r="S1450" t="str">
            <v/>
          </cell>
          <cell r="V1450" t="str">
            <v/>
          </cell>
          <cell r="Z1450" t="str">
            <v/>
          </cell>
          <cell r="AA1450" t="str">
            <v/>
          </cell>
          <cell r="AB1450" t="str">
            <v/>
          </cell>
          <cell r="AC1450" t="str">
            <v/>
          </cell>
          <cell r="AD1450" t="str">
            <v/>
          </cell>
          <cell r="AY1450" t="str">
            <v/>
          </cell>
          <cell r="AZ1450" t="str">
            <v/>
          </cell>
          <cell r="BA1450" t="str">
            <v/>
          </cell>
        </row>
        <row r="1451">
          <cell r="B1451" t="str">
            <v>-</v>
          </cell>
          <cell r="E1451" t="str">
            <v/>
          </cell>
          <cell r="G1451" t="str">
            <v/>
          </cell>
          <cell r="J1451" t="str">
            <v/>
          </cell>
          <cell r="O1451" t="str">
            <v/>
          </cell>
          <cell r="P1451" t="str">
            <v/>
          </cell>
          <cell r="Q1451" t="str">
            <v/>
          </cell>
          <cell r="S1451" t="str">
            <v/>
          </cell>
          <cell r="V1451" t="str">
            <v/>
          </cell>
          <cell r="Z1451" t="str">
            <v/>
          </cell>
          <cell r="AA1451" t="str">
            <v/>
          </cell>
          <cell r="AB1451" t="str">
            <v/>
          </cell>
          <cell r="AC1451" t="str">
            <v/>
          </cell>
          <cell r="AD1451" t="str">
            <v/>
          </cell>
          <cell r="AY1451" t="str">
            <v/>
          </cell>
          <cell r="AZ1451" t="str">
            <v/>
          </cell>
          <cell r="BA1451" t="str">
            <v/>
          </cell>
        </row>
        <row r="1452">
          <cell r="B1452" t="str">
            <v>-</v>
          </cell>
          <cell r="E1452" t="str">
            <v/>
          </cell>
          <cell r="G1452" t="str">
            <v/>
          </cell>
          <cell r="J1452" t="str">
            <v/>
          </cell>
          <cell r="O1452" t="str">
            <v/>
          </cell>
          <cell r="P1452" t="str">
            <v/>
          </cell>
          <cell r="Q1452" t="str">
            <v/>
          </cell>
          <cell r="S1452" t="str">
            <v/>
          </cell>
          <cell r="V1452" t="str">
            <v/>
          </cell>
          <cell r="Z1452" t="str">
            <v/>
          </cell>
          <cell r="AA1452" t="str">
            <v/>
          </cell>
          <cell r="AB1452" t="str">
            <v/>
          </cell>
          <cell r="AC1452" t="str">
            <v/>
          </cell>
          <cell r="AD1452" t="str">
            <v/>
          </cell>
          <cell r="AY1452" t="str">
            <v/>
          </cell>
          <cell r="AZ1452" t="str">
            <v/>
          </cell>
          <cell r="BA1452" t="str">
            <v/>
          </cell>
        </row>
        <row r="1453">
          <cell r="B1453" t="str">
            <v>-</v>
          </cell>
          <cell r="E1453" t="str">
            <v/>
          </cell>
          <cell r="G1453" t="str">
            <v/>
          </cell>
          <cell r="J1453" t="str">
            <v/>
          </cell>
          <cell r="O1453" t="str">
            <v/>
          </cell>
          <cell r="P1453" t="str">
            <v/>
          </cell>
          <cell r="Q1453" t="str">
            <v/>
          </cell>
          <cell r="S1453" t="str">
            <v/>
          </cell>
          <cell r="V1453" t="str">
            <v/>
          </cell>
          <cell r="Z1453" t="str">
            <v/>
          </cell>
          <cell r="AA1453" t="str">
            <v/>
          </cell>
          <cell r="AB1453" t="str">
            <v/>
          </cell>
          <cell r="AC1453" t="str">
            <v/>
          </cell>
          <cell r="AD1453" t="str">
            <v/>
          </cell>
          <cell r="AY1453" t="str">
            <v/>
          </cell>
          <cell r="AZ1453" t="str">
            <v/>
          </cell>
          <cell r="BA1453" t="str">
            <v/>
          </cell>
        </row>
        <row r="1454">
          <cell r="B1454" t="str">
            <v>-</v>
          </cell>
          <cell r="E1454" t="str">
            <v/>
          </cell>
          <cell r="G1454" t="str">
            <v/>
          </cell>
          <cell r="J1454" t="str">
            <v/>
          </cell>
          <cell r="O1454" t="str">
            <v/>
          </cell>
          <cell r="P1454" t="str">
            <v/>
          </cell>
          <cell r="Q1454" t="str">
            <v/>
          </cell>
          <cell r="S1454" t="str">
            <v/>
          </cell>
          <cell r="V1454" t="str">
            <v/>
          </cell>
          <cell r="Z1454" t="str">
            <v/>
          </cell>
          <cell r="AA1454" t="str">
            <v/>
          </cell>
          <cell r="AB1454" t="str">
            <v/>
          </cell>
          <cell r="AC1454" t="str">
            <v/>
          </cell>
          <cell r="AD1454" t="str">
            <v/>
          </cell>
          <cell r="AY1454" t="str">
            <v/>
          </cell>
          <cell r="AZ1454" t="str">
            <v/>
          </cell>
          <cell r="BA1454" t="str">
            <v/>
          </cell>
        </row>
        <row r="1455">
          <cell r="B1455" t="str">
            <v>-</v>
          </cell>
          <cell r="E1455" t="str">
            <v/>
          </cell>
          <cell r="G1455" t="str">
            <v/>
          </cell>
          <cell r="J1455" t="str">
            <v/>
          </cell>
          <cell r="O1455" t="str">
            <v/>
          </cell>
          <cell r="P1455" t="str">
            <v/>
          </cell>
          <cell r="Q1455" t="str">
            <v/>
          </cell>
          <cell r="S1455" t="str">
            <v/>
          </cell>
          <cell r="V1455" t="str">
            <v/>
          </cell>
          <cell r="Z1455" t="str">
            <v/>
          </cell>
          <cell r="AA1455" t="str">
            <v/>
          </cell>
          <cell r="AB1455" t="str">
            <v/>
          </cell>
          <cell r="AC1455" t="str">
            <v/>
          </cell>
          <cell r="AD1455" t="str">
            <v/>
          </cell>
          <cell r="AY1455" t="str">
            <v/>
          </cell>
          <cell r="AZ1455" t="str">
            <v/>
          </cell>
          <cell r="BA1455" t="str">
            <v/>
          </cell>
        </row>
        <row r="1456">
          <cell r="B1456" t="str">
            <v>-</v>
          </cell>
          <cell r="E1456" t="str">
            <v/>
          </cell>
          <cell r="G1456" t="str">
            <v/>
          </cell>
          <cell r="J1456" t="str">
            <v/>
          </cell>
          <cell r="O1456" t="str">
            <v/>
          </cell>
          <cell r="P1456" t="str">
            <v/>
          </cell>
          <cell r="Q1456" t="str">
            <v/>
          </cell>
          <cell r="S1456" t="str">
            <v/>
          </cell>
          <cell r="V1456" t="str">
            <v/>
          </cell>
          <cell r="Z1456" t="str">
            <v/>
          </cell>
          <cell r="AA1456" t="str">
            <v/>
          </cell>
          <cell r="AB1456" t="str">
            <v/>
          </cell>
          <cell r="AC1456" t="str">
            <v/>
          </cell>
          <cell r="AD1456" t="str">
            <v/>
          </cell>
          <cell r="AY1456" t="str">
            <v/>
          </cell>
          <cell r="AZ1456" t="str">
            <v/>
          </cell>
          <cell r="BA1456" t="str">
            <v/>
          </cell>
        </row>
        <row r="1457">
          <cell r="B1457" t="str">
            <v>-</v>
          </cell>
          <cell r="E1457" t="str">
            <v/>
          </cell>
          <cell r="G1457" t="str">
            <v/>
          </cell>
          <cell r="J1457" t="str">
            <v/>
          </cell>
          <cell r="O1457" t="str">
            <v/>
          </cell>
          <cell r="P1457" t="str">
            <v/>
          </cell>
          <cell r="Q1457" t="str">
            <v/>
          </cell>
          <cell r="S1457" t="str">
            <v/>
          </cell>
          <cell r="V1457" t="str">
            <v/>
          </cell>
          <cell r="Z1457" t="str">
            <v/>
          </cell>
          <cell r="AA1457" t="str">
            <v/>
          </cell>
          <cell r="AB1457" t="str">
            <v/>
          </cell>
          <cell r="AC1457" t="str">
            <v/>
          </cell>
          <cell r="AD1457" t="str">
            <v/>
          </cell>
          <cell r="AY1457" t="str">
            <v/>
          </cell>
          <cell r="AZ1457" t="str">
            <v/>
          </cell>
          <cell r="BA1457" t="str">
            <v/>
          </cell>
        </row>
        <row r="1458">
          <cell r="B1458" t="str">
            <v>-</v>
          </cell>
          <cell r="E1458" t="str">
            <v/>
          </cell>
          <cell r="G1458" t="str">
            <v/>
          </cell>
          <cell r="J1458" t="str">
            <v/>
          </cell>
          <cell r="O1458" t="str">
            <v/>
          </cell>
          <cell r="P1458" t="str">
            <v/>
          </cell>
          <cell r="Q1458" t="str">
            <v/>
          </cell>
          <cell r="S1458" t="str">
            <v/>
          </cell>
          <cell r="V1458" t="str">
            <v/>
          </cell>
          <cell r="Z1458" t="str">
            <v/>
          </cell>
          <cell r="AA1458" t="str">
            <v/>
          </cell>
          <cell r="AB1458" t="str">
            <v/>
          </cell>
          <cell r="AC1458" t="str">
            <v/>
          </cell>
          <cell r="AD1458" t="str">
            <v/>
          </cell>
          <cell r="AY1458" t="str">
            <v/>
          </cell>
          <cell r="AZ1458" t="str">
            <v/>
          </cell>
          <cell r="BA1458" t="str">
            <v/>
          </cell>
        </row>
        <row r="1459">
          <cell r="B1459" t="str">
            <v>-</v>
          </cell>
          <cell r="E1459" t="str">
            <v/>
          </cell>
          <cell r="G1459" t="str">
            <v/>
          </cell>
          <cell r="J1459" t="str">
            <v/>
          </cell>
          <cell r="O1459" t="str">
            <v/>
          </cell>
          <cell r="P1459" t="str">
            <v/>
          </cell>
          <cell r="Q1459" t="str">
            <v/>
          </cell>
          <cell r="S1459" t="str">
            <v/>
          </cell>
          <cell r="V1459" t="str">
            <v/>
          </cell>
          <cell r="Z1459" t="str">
            <v/>
          </cell>
          <cell r="AA1459" t="str">
            <v/>
          </cell>
          <cell r="AB1459" t="str">
            <v/>
          </cell>
          <cell r="AC1459" t="str">
            <v/>
          </cell>
          <cell r="AD1459" t="str">
            <v/>
          </cell>
          <cell r="AY1459" t="str">
            <v/>
          </cell>
          <cell r="AZ1459" t="str">
            <v/>
          </cell>
          <cell r="BA1459" t="str">
            <v/>
          </cell>
        </row>
        <row r="1460">
          <cell r="B1460" t="str">
            <v>-</v>
          </cell>
          <cell r="E1460" t="str">
            <v/>
          </cell>
          <cell r="G1460" t="str">
            <v/>
          </cell>
          <cell r="J1460" t="str">
            <v/>
          </cell>
          <cell r="O1460" t="str">
            <v/>
          </cell>
          <cell r="P1460" t="str">
            <v/>
          </cell>
          <cell r="Q1460" t="str">
            <v/>
          </cell>
          <cell r="S1460" t="str">
            <v/>
          </cell>
          <cell r="V1460" t="str">
            <v/>
          </cell>
          <cell r="Z1460" t="str">
            <v/>
          </cell>
          <cell r="AA1460" t="str">
            <v/>
          </cell>
          <cell r="AB1460" t="str">
            <v/>
          </cell>
          <cell r="AC1460" t="str">
            <v/>
          </cell>
          <cell r="AD1460" t="str">
            <v/>
          </cell>
          <cell r="AY1460" t="str">
            <v/>
          </cell>
          <cell r="AZ1460" t="str">
            <v/>
          </cell>
          <cell r="BA1460" t="str">
            <v/>
          </cell>
        </row>
        <row r="1461">
          <cell r="B1461" t="str">
            <v>-</v>
          </cell>
          <cell r="E1461" t="str">
            <v/>
          </cell>
          <cell r="G1461" t="str">
            <v/>
          </cell>
          <cell r="J1461" t="str">
            <v/>
          </cell>
          <cell r="O1461" t="str">
            <v/>
          </cell>
          <cell r="P1461" t="str">
            <v/>
          </cell>
          <cell r="Q1461" t="str">
            <v/>
          </cell>
          <cell r="S1461" t="str">
            <v/>
          </cell>
          <cell r="V1461" t="str">
            <v/>
          </cell>
          <cell r="Z1461" t="str">
            <v/>
          </cell>
          <cell r="AA1461" t="str">
            <v/>
          </cell>
          <cell r="AB1461" t="str">
            <v/>
          </cell>
          <cell r="AC1461" t="str">
            <v/>
          </cell>
          <cell r="AD1461" t="str">
            <v/>
          </cell>
          <cell r="AY1461" t="str">
            <v/>
          </cell>
          <cell r="AZ1461" t="str">
            <v/>
          </cell>
          <cell r="BA1461" t="str">
            <v/>
          </cell>
        </row>
        <row r="1462">
          <cell r="B1462" t="str">
            <v>-</v>
          </cell>
          <cell r="E1462" t="str">
            <v/>
          </cell>
          <cell r="G1462" t="str">
            <v/>
          </cell>
          <cell r="J1462" t="str">
            <v/>
          </cell>
          <cell r="O1462" t="str">
            <v/>
          </cell>
          <cell r="P1462" t="str">
            <v/>
          </cell>
          <cell r="Q1462" t="str">
            <v/>
          </cell>
          <cell r="S1462" t="str">
            <v/>
          </cell>
          <cell r="V1462" t="str">
            <v/>
          </cell>
          <cell r="Z1462" t="str">
            <v/>
          </cell>
          <cell r="AA1462" t="str">
            <v/>
          </cell>
          <cell r="AB1462" t="str">
            <v/>
          </cell>
          <cell r="AC1462" t="str">
            <v/>
          </cell>
          <cell r="AD1462" t="str">
            <v/>
          </cell>
          <cell r="AY1462" t="str">
            <v/>
          </cell>
          <cell r="AZ1462" t="str">
            <v/>
          </cell>
          <cell r="BA1462" t="str">
            <v/>
          </cell>
        </row>
        <row r="1463">
          <cell r="B1463" t="str">
            <v>-</v>
          </cell>
          <cell r="E1463" t="str">
            <v/>
          </cell>
          <cell r="G1463" t="str">
            <v/>
          </cell>
          <cell r="J1463" t="str">
            <v/>
          </cell>
          <cell r="O1463" t="str">
            <v/>
          </cell>
          <cell r="P1463" t="str">
            <v/>
          </cell>
          <cell r="Q1463" t="str">
            <v/>
          </cell>
          <cell r="S1463" t="str">
            <v/>
          </cell>
          <cell r="V1463" t="str">
            <v/>
          </cell>
          <cell r="Z1463" t="str">
            <v/>
          </cell>
          <cell r="AA1463" t="str">
            <v/>
          </cell>
          <cell r="AB1463" t="str">
            <v/>
          </cell>
          <cell r="AC1463" t="str">
            <v/>
          </cell>
          <cell r="AD1463" t="str">
            <v/>
          </cell>
          <cell r="AY1463" t="str">
            <v/>
          </cell>
          <cell r="AZ1463" t="str">
            <v/>
          </cell>
          <cell r="BA1463" t="str">
            <v/>
          </cell>
        </row>
        <row r="1464">
          <cell r="B1464" t="str">
            <v>-</v>
          </cell>
          <cell r="E1464" t="str">
            <v/>
          </cell>
          <cell r="G1464" t="str">
            <v/>
          </cell>
          <cell r="J1464" t="str">
            <v/>
          </cell>
          <cell r="O1464" t="str">
            <v/>
          </cell>
          <cell r="P1464" t="str">
            <v/>
          </cell>
          <cell r="Q1464" t="str">
            <v/>
          </cell>
          <cell r="S1464" t="str">
            <v/>
          </cell>
          <cell r="V1464" t="str">
            <v/>
          </cell>
          <cell r="Z1464" t="str">
            <v/>
          </cell>
          <cell r="AA1464" t="str">
            <v/>
          </cell>
          <cell r="AB1464" t="str">
            <v/>
          </cell>
          <cell r="AC1464" t="str">
            <v/>
          </cell>
          <cell r="AD1464" t="str">
            <v/>
          </cell>
          <cell r="AY1464" t="str">
            <v/>
          </cell>
          <cell r="AZ1464" t="str">
            <v/>
          </cell>
          <cell r="BA1464" t="str">
            <v/>
          </cell>
        </row>
        <row r="1465">
          <cell r="B1465" t="str">
            <v>-</v>
          </cell>
          <cell r="E1465" t="str">
            <v/>
          </cell>
          <cell r="G1465" t="str">
            <v/>
          </cell>
          <cell r="J1465" t="str">
            <v/>
          </cell>
          <cell r="O1465" t="str">
            <v/>
          </cell>
          <cell r="P1465" t="str">
            <v/>
          </cell>
          <cell r="Q1465" t="str">
            <v/>
          </cell>
          <cell r="S1465" t="str">
            <v/>
          </cell>
          <cell r="V1465" t="str">
            <v/>
          </cell>
          <cell r="Z1465" t="str">
            <v/>
          </cell>
          <cell r="AA1465" t="str">
            <v/>
          </cell>
          <cell r="AB1465" t="str">
            <v/>
          </cell>
          <cell r="AC1465" t="str">
            <v/>
          </cell>
          <cell r="AD1465" t="str">
            <v/>
          </cell>
          <cell r="AY1465" t="str">
            <v/>
          </cell>
          <cell r="AZ1465" t="str">
            <v/>
          </cell>
          <cell r="BA1465" t="str">
            <v/>
          </cell>
        </row>
        <row r="1466">
          <cell r="B1466" t="str">
            <v>-</v>
          </cell>
          <cell r="E1466" t="str">
            <v/>
          </cell>
          <cell r="G1466" t="str">
            <v/>
          </cell>
          <cell r="J1466" t="str">
            <v/>
          </cell>
          <cell r="O1466" t="str">
            <v/>
          </cell>
          <cell r="P1466" t="str">
            <v/>
          </cell>
          <cell r="Q1466" t="str">
            <v/>
          </cell>
          <cell r="S1466" t="str">
            <v/>
          </cell>
          <cell r="V1466" t="str">
            <v/>
          </cell>
          <cell r="Z1466" t="str">
            <v/>
          </cell>
          <cell r="AA1466" t="str">
            <v/>
          </cell>
          <cell r="AB1466" t="str">
            <v/>
          </cell>
          <cell r="AC1466" t="str">
            <v/>
          </cell>
          <cell r="AD1466" t="str">
            <v/>
          </cell>
          <cell r="AY1466" t="str">
            <v/>
          </cell>
          <cell r="AZ1466" t="str">
            <v/>
          </cell>
          <cell r="BA1466" t="str">
            <v/>
          </cell>
        </row>
        <row r="1467">
          <cell r="B1467" t="str">
            <v>-</v>
          </cell>
          <cell r="E1467" t="str">
            <v/>
          </cell>
          <cell r="G1467" t="str">
            <v/>
          </cell>
          <cell r="J1467" t="str">
            <v/>
          </cell>
          <cell r="O1467" t="str">
            <v/>
          </cell>
          <cell r="P1467" t="str">
            <v/>
          </cell>
          <cell r="Q1467" t="str">
            <v/>
          </cell>
          <cell r="S1467" t="str">
            <v/>
          </cell>
          <cell r="V1467" t="str">
            <v/>
          </cell>
          <cell r="Z1467" t="str">
            <v/>
          </cell>
          <cell r="AA1467" t="str">
            <v/>
          </cell>
          <cell r="AB1467" t="str">
            <v/>
          </cell>
          <cell r="AC1467" t="str">
            <v/>
          </cell>
          <cell r="AD1467" t="str">
            <v/>
          </cell>
          <cell r="AY1467" t="str">
            <v/>
          </cell>
          <cell r="AZ1467" t="str">
            <v/>
          </cell>
          <cell r="BA1467" t="str">
            <v/>
          </cell>
        </row>
        <row r="1468">
          <cell r="B1468" t="str">
            <v>-</v>
          </cell>
          <cell r="E1468" t="str">
            <v/>
          </cell>
          <cell r="G1468" t="str">
            <v/>
          </cell>
          <cell r="J1468" t="str">
            <v/>
          </cell>
          <cell r="O1468" t="str">
            <v/>
          </cell>
          <cell r="P1468" t="str">
            <v/>
          </cell>
          <cell r="Q1468" t="str">
            <v/>
          </cell>
          <cell r="S1468" t="str">
            <v/>
          </cell>
          <cell r="V1468" t="str">
            <v/>
          </cell>
          <cell r="Z1468" t="str">
            <v/>
          </cell>
          <cell r="AA1468" t="str">
            <v/>
          </cell>
          <cell r="AB1468" t="str">
            <v/>
          </cell>
          <cell r="AC1468" t="str">
            <v/>
          </cell>
          <cell r="AD1468" t="str">
            <v/>
          </cell>
          <cell r="AY1468" t="str">
            <v/>
          </cell>
          <cell r="AZ1468" t="str">
            <v/>
          </cell>
          <cell r="BA1468" t="str">
            <v/>
          </cell>
        </row>
        <row r="1469">
          <cell r="B1469" t="str">
            <v>-</v>
          </cell>
          <cell r="E1469" t="str">
            <v/>
          </cell>
          <cell r="G1469" t="str">
            <v/>
          </cell>
          <cell r="J1469" t="str">
            <v/>
          </cell>
          <cell r="O1469" t="str">
            <v/>
          </cell>
          <cell r="P1469" t="str">
            <v/>
          </cell>
          <cell r="Q1469" t="str">
            <v/>
          </cell>
          <cell r="S1469" t="str">
            <v/>
          </cell>
          <cell r="V1469" t="str">
            <v/>
          </cell>
          <cell r="Z1469" t="str">
            <v/>
          </cell>
          <cell r="AA1469" t="str">
            <v/>
          </cell>
          <cell r="AB1469" t="str">
            <v/>
          </cell>
          <cell r="AC1469" t="str">
            <v/>
          </cell>
          <cell r="AD1469" t="str">
            <v/>
          </cell>
          <cell r="AY1469" t="str">
            <v/>
          </cell>
          <cell r="AZ1469" t="str">
            <v/>
          </cell>
          <cell r="BA1469" t="str">
            <v/>
          </cell>
        </row>
        <row r="1470">
          <cell r="B1470" t="str">
            <v>-</v>
          </cell>
          <cell r="E1470" t="str">
            <v/>
          </cell>
          <cell r="G1470" t="str">
            <v/>
          </cell>
          <cell r="J1470" t="str">
            <v/>
          </cell>
          <cell r="O1470" t="str">
            <v/>
          </cell>
          <cell r="P1470" t="str">
            <v/>
          </cell>
          <cell r="Q1470" t="str">
            <v/>
          </cell>
          <cell r="S1470" t="str">
            <v/>
          </cell>
          <cell r="V1470" t="str">
            <v/>
          </cell>
          <cell r="Z1470" t="str">
            <v/>
          </cell>
          <cell r="AA1470" t="str">
            <v/>
          </cell>
          <cell r="AB1470" t="str">
            <v/>
          </cell>
          <cell r="AC1470" t="str">
            <v/>
          </cell>
          <cell r="AD1470" t="str">
            <v/>
          </cell>
          <cell r="AY1470" t="str">
            <v/>
          </cell>
          <cell r="AZ1470" t="str">
            <v/>
          </cell>
          <cell r="BA1470" t="str">
            <v/>
          </cell>
        </row>
        <row r="1471">
          <cell r="B1471" t="str">
            <v>-</v>
          </cell>
          <cell r="E1471" t="str">
            <v/>
          </cell>
          <cell r="G1471" t="str">
            <v/>
          </cell>
          <cell r="J1471" t="str">
            <v/>
          </cell>
          <cell r="O1471" t="str">
            <v/>
          </cell>
          <cell r="P1471" t="str">
            <v/>
          </cell>
          <cell r="Q1471" t="str">
            <v/>
          </cell>
          <cell r="S1471" t="str">
            <v/>
          </cell>
          <cell r="V1471" t="str">
            <v/>
          </cell>
          <cell r="Z1471" t="str">
            <v/>
          </cell>
          <cell r="AA1471" t="str">
            <v/>
          </cell>
          <cell r="AB1471" t="str">
            <v/>
          </cell>
          <cell r="AC1471" t="str">
            <v/>
          </cell>
          <cell r="AD1471" t="str">
            <v/>
          </cell>
          <cell r="AY1471" t="str">
            <v/>
          </cell>
          <cell r="AZ1471" t="str">
            <v/>
          </cell>
          <cell r="BA1471" t="str">
            <v/>
          </cell>
        </row>
        <row r="1472">
          <cell r="B1472" t="str">
            <v>-</v>
          </cell>
          <cell r="E1472" t="str">
            <v/>
          </cell>
          <cell r="G1472" t="str">
            <v/>
          </cell>
          <cell r="J1472" t="str">
            <v/>
          </cell>
          <cell r="O1472" t="str">
            <v/>
          </cell>
          <cell r="P1472" t="str">
            <v/>
          </cell>
          <cell r="Q1472" t="str">
            <v/>
          </cell>
          <cell r="S1472" t="str">
            <v/>
          </cell>
          <cell r="V1472" t="str">
            <v/>
          </cell>
          <cell r="Z1472" t="str">
            <v/>
          </cell>
          <cell r="AA1472" t="str">
            <v/>
          </cell>
          <cell r="AB1472" t="str">
            <v/>
          </cell>
          <cell r="AC1472" t="str">
            <v/>
          </cell>
          <cell r="AD1472" t="str">
            <v/>
          </cell>
          <cell r="AY1472" t="str">
            <v/>
          </cell>
          <cell r="AZ1472" t="str">
            <v/>
          </cell>
          <cell r="BA1472" t="str">
            <v/>
          </cell>
        </row>
        <row r="1473">
          <cell r="B1473" t="str">
            <v>-</v>
          </cell>
          <cell r="E1473" t="str">
            <v/>
          </cell>
          <cell r="G1473" t="str">
            <v/>
          </cell>
          <cell r="J1473" t="str">
            <v/>
          </cell>
          <cell r="O1473" t="str">
            <v/>
          </cell>
          <cell r="P1473" t="str">
            <v/>
          </cell>
          <cell r="Q1473" t="str">
            <v/>
          </cell>
          <cell r="S1473" t="str">
            <v/>
          </cell>
          <cell r="V1473" t="str">
            <v/>
          </cell>
          <cell r="Z1473" t="str">
            <v/>
          </cell>
          <cell r="AA1473" t="str">
            <v/>
          </cell>
          <cell r="AB1473" t="str">
            <v/>
          </cell>
          <cell r="AC1473" t="str">
            <v/>
          </cell>
          <cell r="AD1473" t="str">
            <v/>
          </cell>
          <cell r="AY1473" t="str">
            <v/>
          </cell>
          <cell r="AZ1473" t="str">
            <v/>
          </cell>
          <cell r="BA1473" t="str">
            <v/>
          </cell>
        </row>
        <row r="1474">
          <cell r="B1474" t="str">
            <v>-</v>
          </cell>
          <cell r="E1474" t="str">
            <v/>
          </cell>
          <cell r="G1474" t="str">
            <v/>
          </cell>
          <cell r="J1474" t="str">
            <v/>
          </cell>
          <cell r="O1474" t="str">
            <v/>
          </cell>
          <cell r="P1474" t="str">
            <v/>
          </cell>
          <cell r="Q1474" t="str">
            <v/>
          </cell>
          <cell r="S1474" t="str">
            <v/>
          </cell>
          <cell r="V1474" t="str">
            <v/>
          </cell>
          <cell r="Z1474" t="str">
            <v/>
          </cell>
          <cell r="AA1474" t="str">
            <v/>
          </cell>
          <cell r="AB1474" t="str">
            <v/>
          </cell>
          <cell r="AC1474" t="str">
            <v/>
          </cell>
          <cell r="AD1474" t="str">
            <v/>
          </cell>
          <cell r="AY1474" t="str">
            <v/>
          </cell>
          <cell r="AZ1474" t="str">
            <v/>
          </cell>
          <cell r="BA1474" t="str">
            <v/>
          </cell>
        </row>
        <row r="1475">
          <cell r="B1475" t="str">
            <v>-</v>
          </cell>
          <cell r="E1475" t="str">
            <v/>
          </cell>
          <cell r="G1475" t="str">
            <v/>
          </cell>
          <cell r="J1475" t="str">
            <v/>
          </cell>
          <cell r="O1475" t="str">
            <v/>
          </cell>
          <cell r="P1475" t="str">
            <v/>
          </cell>
          <cell r="Q1475" t="str">
            <v/>
          </cell>
          <cell r="S1475" t="str">
            <v/>
          </cell>
          <cell r="V1475" t="str">
            <v/>
          </cell>
          <cell r="Z1475" t="str">
            <v/>
          </cell>
          <cell r="AA1475" t="str">
            <v/>
          </cell>
          <cell r="AB1475" t="str">
            <v/>
          </cell>
          <cell r="AC1475" t="str">
            <v/>
          </cell>
          <cell r="AD1475" t="str">
            <v/>
          </cell>
          <cell r="AY1475" t="str">
            <v/>
          </cell>
          <cell r="AZ1475" t="str">
            <v/>
          </cell>
          <cell r="BA1475" t="str">
            <v/>
          </cell>
        </row>
        <row r="1476">
          <cell r="B1476" t="str">
            <v>-</v>
          </cell>
          <cell r="E1476" t="str">
            <v/>
          </cell>
          <cell r="G1476" t="str">
            <v/>
          </cell>
          <cell r="J1476" t="str">
            <v/>
          </cell>
          <cell r="O1476" t="str">
            <v/>
          </cell>
          <cell r="P1476" t="str">
            <v/>
          </cell>
          <cell r="Q1476" t="str">
            <v/>
          </cell>
          <cell r="S1476" t="str">
            <v/>
          </cell>
          <cell r="V1476" t="str">
            <v/>
          </cell>
          <cell r="Z1476" t="str">
            <v/>
          </cell>
          <cell r="AA1476" t="str">
            <v/>
          </cell>
          <cell r="AB1476" t="str">
            <v/>
          </cell>
          <cell r="AC1476" t="str">
            <v/>
          </cell>
          <cell r="AD1476" t="str">
            <v/>
          </cell>
          <cell r="AY1476" t="str">
            <v/>
          </cell>
          <cell r="AZ1476" t="str">
            <v/>
          </cell>
          <cell r="BA1476" t="str">
            <v/>
          </cell>
        </row>
        <row r="1477">
          <cell r="B1477" t="str">
            <v>-</v>
          </cell>
          <cell r="E1477" t="str">
            <v/>
          </cell>
          <cell r="G1477" t="str">
            <v/>
          </cell>
          <cell r="J1477" t="str">
            <v/>
          </cell>
          <cell r="O1477" t="str">
            <v/>
          </cell>
          <cell r="P1477" t="str">
            <v/>
          </cell>
          <cell r="Q1477" t="str">
            <v/>
          </cell>
          <cell r="S1477" t="str">
            <v/>
          </cell>
          <cell r="V1477" t="str">
            <v/>
          </cell>
          <cell r="Z1477" t="str">
            <v/>
          </cell>
          <cell r="AA1477" t="str">
            <v/>
          </cell>
          <cell r="AB1477" t="str">
            <v/>
          </cell>
          <cell r="AC1477" t="str">
            <v/>
          </cell>
          <cell r="AD1477" t="str">
            <v/>
          </cell>
          <cell r="AY1477" t="str">
            <v/>
          </cell>
          <cell r="AZ1477" t="str">
            <v/>
          </cell>
          <cell r="BA1477" t="str">
            <v/>
          </cell>
        </row>
        <row r="1478">
          <cell r="B1478" t="str">
            <v>-</v>
          </cell>
          <cell r="E1478" t="str">
            <v/>
          </cell>
          <cell r="G1478" t="str">
            <v/>
          </cell>
          <cell r="J1478" t="str">
            <v/>
          </cell>
          <cell r="O1478" t="str">
            <v/>
          </cell>
          <cell r="P1478" t="str">
            <v/>
          </cell>
          <cell r="Q1478" t="str">
            <v/>
          </cell>
          <cell r="S1478" t="str">
            <v/>
          </cell>
          <cell r="V1478" t="str">
            <v/>
          </cell>
          <cell r="Z1478" t="str">
            <v/>
          </cell>
          <cell r="AA1478" t="str">
            <v/>
          </cell>
          <cell r="AB1478" t="str">
            <v/>
          </cell>
          <cell r="AC1478" t="str">
            <v/>
          </cell>
          <cell r="AD1478" t="str">
            <v/>
          </cell>
          <cell r="AY1478" t="str">
            <v/>
          </cell>
          <cell r="AZ1478" t="str">
            <v/>
          </cell>
          <cell r="BA1478" t="str">
            <v/>
          </cell>
        </row>
        <row r="1479">
          <cell r="B1479" t="str">
            <v>-</v>
          </cell>
          <cell r="E1479" t="str">
            <v/>
          </cell>
          <cell r="G1479" t="str">
            <v/>
          </cell>
          <cell r="J1479" t="str">
            <v/>
          </cell>
          <cell r="O1479" t="str">
            <v/>
          </cell>
          <cell r="P1479" t="str">
            <v/>
          </cell>
          <cell r="Q1479" t="str">
            <v/>
          </cell>
          <cell r="S1479" t="str">
            <v/>
          </cell>
          <cell r="V1479" t="str">
            <v/>
          </cell>
          <cell r="Z1479" t="str">
            <v/>
          </cell>
          <cell r="AA1479" t="str">
            <v/>
          </cell>
          <cell r="AB1479" t="str">
            <v/>
          </cell>
          <cell r="AC1479" t="str">
            <v/>
          </cell>
          <cell r="AD1479" t="str">
            <v/>
          </cell>
          <cell r="AY1479" t="str">
            <v/>
          </cell>
          <cell r="AZ1479" t="str">
            <v/>
          </cell>
          <cell r="BA1479" t="str">
            <v/>
          </cell>
        </row>
        <row r="1480">
          <cell r="B1480" t="str">
            <v>-</v>
          </cell>
          <cell r="E1480" t="str">
            <v/>
          </cell>
          <cell r="G1480" t="str">
            <v/>
          </cell>
          <cell r="J1480" t="str">
            <v/>
          </cell>
          <cell r="O1480" t="str">
            <v/>
          </cell>
          <cell r="P1480" t="str">
            <v/>
          </cell>
          <cell r="Q1480" t="str">
            <v/>
          </cell>
          <cell r="S1480" t="str">
            <v/>
          </cell>
          <cell r="V1480" t="str">
            <v/>
          </cell>
          <cell r="Z1480" t="str">
            <v/>
          </cell>
          <cell r="AA1480" t="str">
            <v/>
          </cell>
          <cell r="AB1480" t="str">
            <v/>
          </cell>
          <cell r="AC1480" t="str">
            <v/>
          </cell>
          <cell r="AD1480" t="str">
            <v/>
          </cell>
          <cell r="AY1480" t="str">
            <v/>
          </cell>
          <cell r="AZ1480" t="str">
            <v/>
          </cell>
          <cell r="BA1480" t="str">
            <v/>
          </cell>
        </row>
        <row r="1481">
          <cell r="B1481" t="str">
            <v>-</v>
          </cell>
          <cell r="E1481" t="str">
            <v/>
          </cell>
          <cell r="G1481" t="str">
            <v/>
          </cell>
          <cell r="J1481" t="str">
            <v/>
          </cell>
          <cell r="O1481" t="str">
            <v/>
          </cell>
          <cell r="P1481" t="str">
            <v/>
          </cell>
          <cell r="Q1481" t="str">
            <v/>
          </cell>
          <cell r="S1481" t="str">
            <v/>
          </cell>
          <cell r="V1481" t="str">
            <v/>
          </cell>
          <cell r="Z1481" t="str">
            <v/>
          </cell>
          <cell r="AA1481" t="str">
            <v/>
          </cell>
          <cell r="AB1481" t="str">
            <v/>
          </cell>
          <cell r="AC1481" t="str">
            <v/>
          </cell>
          <cell r="AD1481" t="str">
            <v/>
          </cell>
          <cell r="AY1481" t="str">
            <v/>
          </cell>
          <cell r="AZ1481" t="str">
            <v/>
          </cell>
          <cell r="BA1481" t="str">
            <v/>
          </cell>
        </row>
        <row r="1482">
          <cell r="B1482" t="str">
            <v>-</v>
          </cell>
          <cell r="E1482" t="str">
            <v/>
          </cell>
          <cell r="G1482" t="str">
            <v/>
          </cell>
          <cell r="J1482" t="str">
            <v/>
          </cell>
          <cell r="O1482" t="str">
            <v/>
          </cell>
          <cell r="P1482" t="str">
            <v/>
          </cell>
          <cell r="Q1482" t="str">
            <v/>
          </cell>
          <cell r="S1482" t="str">
            <v/>
          </cell>
          <cell r="V1482" t="str">
            <v/>
          </cell>
          <cell r="Z1482" t="str">
            <v/>
          </cell>
          <cell r="AA1482" t="str">
            <v/>
          </cell>
          <cell r="AB1482" t="str">
            <v/>
          </cell>
          <cell r="AC1482" t="str">
            <v/>
          </cell>
          <cell r="AD1482" t="str">
            <v/>
          </cell>
          <cell r="AY1482" t="str">
            <v/>
          </cell>
          <cell r="AZ1482" t="str">
            <v/>
          </cell>
          <cell r="BA1482" t="str">
            <v/>
          </cell>
        </row>
        <row r="1483">
          <cell r="B1483" t="str">
            <v>-</v>
          </cell>
          <cell r="E1483" t="str">
            <v/>
          </cell>
          <cell r="G1483" t="str">
            <v/>
          </cell>
          <cell r="J1483" t="str">
            <v/>
          </cell>
          <cell r="O1483" t="str">
            <v/>
          </cell>
          <cell r="P1483" t="str">
            <v/>
          </cell>
          <cell r="Q1483" t="str">
            <v/>
          </cell>
          <cell r="S1483" t="str">
            <v/>
          </cell>
          <cell r="V1483" t="str">
            <v/>
          </cell>
          <cell r="Z1483" t="str">
            <v/>
          </cell>
          <cell r="AA1483" t="str">
            <v/>
          </cell>
          <cell r="AB1483" t="str">
            <v/>
          </cell>
          <cell r="AC1483" t="str">
            <v/>
          </cell>
          <cell r="AD1483" t="str">
            <v/>
          </cell>
          <cell r="AY1483" t="str">
            <v/>
          </cell>
          <cell r="AZ1483" t="str">
            <v/>
          </cell>
          <cell r="BA1483" t="str">
            <v/>
          </cell>
        </row>
        <row r="1484">
          <cell r="B1484" t="str">
            <v>-</v>
          </cell>
          <cell r="E1484" t="str">
            <v/>
          </cell>
          <cell r="G1484" t="str">
            <v/>
          </cell>
          <cell r="J1484" t="str">
            <v/>
          </cell>
          <cell r="O1484" t="str">
            <v/>
          </cell>
          <cell r="P1484" t="str">
            <v/>
          </cell>
          <cell r="Q1484" t="str">
            <v/>
          </cell>
          <cell r="S1484" t="str">
            <v/>
          </cell>
          <cell r="V1484" t="str">
            <v/>
          </cell>
          <cell r="Z1484" t="str">
            <v/>
          </cell>
          <cell r="AA1484" t="str">
            <v/>
          </cell>
          <cell r="AB1484" t="str">
            <v/>
          </cell>
          <cell r="AC1484" t="str">
            <v/>
          </cell>
          <cell r="AD1484" t="str">
            <v/>
          </cell>
          <cell r="AY1484" t="str">
            <v/>
          </cell>
          <cell r="AZ1484" t="str">
            <v/>
          </cell>
          <cell r="BA1484" t="str">
            <v/>
          </cell>
        </row>
        <row r="1485">
          <cell r="B1485" t="str">
            <v>-</v>
          </cell>
          <cell r="E1485" t="str">
            <v/>
          </cell>
          <cell r="G1485" t="str">
            <v/>
          </cell>
          <cell r="J1485" t="str">
            <v/>
          </cell>
          <cell r="O1485" t="str">
            <v/>
          </cell>
          <cell r="P1485" t="str">
            <v/>
          </cell>
          <cell r="Q1485" t="str">
            <v/>
          </cell>
          <cell r="S1485" t="str">
            <v/>
          </cell>
          <cell r="V1485" t="str">
            <v/>
          </cell>
          <cell r="Z1485" t="str">
            <v/>
          </cell>
          <cell r="AA1485" t="str">
            <v/>
          </cell>
          <cell r="AB1485" t="str">
            <v/>
          </cell>
          <cell r="AC1485" t="str">
            <v/>
          </cell>
          <cell r="AD1485" t="str">
            <v/>
          </cell>
          <cell r="AY1485" t="str">
            <v/>
          </cell>
          <cell r="AZ1485" t="str">
            <v/>
          </cell>
          <cell r="BA1485" t="str">
            <v/>
          </cell>
        </row>
        <row r="1486">
          <cell r="B1486" t="str">
            <v>-</v>
          </cell>
          <cell r="E1486" t="str">
            <v/>
          </cell>
          <cell r="G1486" t="str">
            <v/>
          </cell>
          <cell r="J1486" t="str">
            <v/>
          </cell>
          <cell r="O1486" t="str">
            <v/>
          </cell>
          <cell r="P1486" t="str">
            <v/>
          </cell>
          <cell r="Q1486" t="str">
            <v/>
          </cell>
          <cell r="S1486" t="str">
            <v/>
          </cell>
          <cell r="V1486" t="str">
            <v/>
          </cell>
          <cell r="Z1486" t="str">
            <v/>
          </cell>
          <cell r="AA1486" t="str">
            <v/>
          </cell>
          <cell r="AB1486" t="str">
            <v/>
          </cell>
          <cell r="AC1486" t="str">
            <v/>
          </cell>
          <cell r="AD1486" t="str">
            <v/>
          </cell>
          <cell r="AY1486" t="str">
            <v/>
          </cell>
          <cell r="AZ1486" t="str">
            <v/>
          </cell>
          <cell r="BA1486" t="str">
            <v/>
          </cell>
        </row>
        <row r="1487">
          <cell r="B1487" t="str">
            <v>-</v>
          </cell>
          <cell r="E1487" t="str">
            <v/>
          </cell>
          <cell r="G1487" t="str">
            <v/>
          </cell>
          <cell r="J1487" t="str">
            <v/>
          </cell>
          <cell r="O1487" t="str">
            <v/>
          </cell>
          <cell r="P1487" t="str">
            <v/>
          </cell>
          <cell r="Q1487" t="str">
            <v/>
          </cell>
          <cell r="S1487" t="str">
            <v/>
          </cell>
          <cell r="V1487" t="str">
            <v/>
          </cell>
          <cell r="Z1487" t="str">
            <v/>
          </cell>
          <cell r="AA1487" t="str">
            <v/>
          </cell>
          <cell r="AB1487" t="str">
            <v/>
          </cell>
          <cell r="AC1487" t="str">
            <v/>
          </cell>
          <cell r="AD1487" t="str">
            <v/>
          </cell>
          <cell r="AY1487" t="str">
            <v/>
          </cell>
          <cell r="AZ1487" t="str">
            <v/>
          </cell>
          <cell r="BA1487" t="str">
            <v/>
          </cell>
        </row>
        <row r="1488">
          <cell r="B1488" t="str">
            <v>-</v>
          </cell>
          <cell r="E1488" t="str">
            <v/>
          </cell>
          <cell r="G1488" t="str">
            <v/>
          </cell>
          <cell r="J1488" t="str">
            <v/>
          </cell>
          <cell r="O1488" t="str">
            <v/>
          </cell>
          <cell r="P1488" t="str">
            <v/>
          </cell>
          <cell r="Q1488" t="str">
            <v/>
          </cell>
          <cell r="S1488" t="str">
            <v/>
          </cell>
          <cell r="V1488" t="str">
            <v/>
          </cell>
          <cell r="Z1488" t="str">
            <v/>
          </cell>
          <cell r="AA1488" t="str">
            <v/>
          </cell>
          <cell r="AB1488" t="str">
            <v/>
          </cell>
          <cell r="AC1488" t="str">
            <v/>
          </cell>
          <cell r="AD1488" t="str">
            <v/>
          </cell>
          <cell r="AY1488" t="str">
            <v/>
          </cell>
          <cell r="AZ1488" t="str">
            <v/>
          </cell>
          <cell r="BA1488" t="str">
            <v/>
          </cell>
        </row>
        <row r="1489">
          <cell r="B1489" t="str">
            <v>-</v>
          </cell>
          <cell r="E1489" t="str">
            <v/>
          </cell>
          <cell r="G1489" t="str">
            <v/>
          </cell>
          <cell r="J1489" t="str">
            <v/>
          </cell>
          <cell r="O1489" t="str">
            <v/>
          </cell>
          <cell r="P1489" t="str">
            <v/>
          </cell>
          <cell r="Q1489" t="str">
            <v/>
          </cell>
          <cell r="S1489" t="str">
            <v/>
          </cell>
          <cell r="V1489" t="str">
            <v/>
          </cell>
          <cell r="Z1489" t="str">
            <v/>
          </cell>
          <cell r="AA1489" t="str">
            <v/>
          </cell>
          <cell r="AB1489" t="str">
            <v/>
          </cell>
          <cell r="AC1489" t="str">
            <v/>
          </cell>
          <cell r="AD1489" t="str">
            <v/>
          </cell>
          <cell r="AY1489" t="str">
            <v/>
          </cell>
          <cell r="AZ1489" t="str">
            <v/>
          </cell>
          <cell r="BA1489" t="str">
            <v/>
          </cell>
        </row>
        <row r="1490">
          <cell r="B1490" t="str">
            <v>-</v>
          </cell>
          <cell r="E1490" t="str">
            <v/>
          </cell>
          <cell r="G1490" t="str">
            <v/>
          </cell>
          <cell r="J1490" t="str">
            <v/>
          </cell>
          <cell r="O1490" t="str">
            <v/>
          </cell>
          <cell r="P1490" t="str">
            <v/>
          </cell>
          <cell r="Q1490" t="str">
            <v/>
          </cell>
          <cell r="S1490" t="str">
            <v/>
          </cell>
          <cell r="V1490" t="str">
            <v/>
          </cell>
          <cell r="Z1490" t="str">
            <v/>
          </cell>
          <cell r="AA1490" t="str">
            <v/>
          </cell>
          <cell r="AB1490" t="str">
            <v/>
          </cell>
          <cell r="AC1490" t="str">
            <v/>
          </cell>
          <cell r="AD1490" t="str">
            <v/>
          </cell>
          <cell r="AY1490" t="str">
            <v/>
          </cell>
          <cell r="AZ1490" t="str">
            <v/>
          </cell>
          <cell r="BA1490" t="str">
            <v/>
          </cell>
        </row>
        <row r="1491">
          <cell r="B1491" t="str">
            <v>-</v>
          </cell>
          <cell r="E1491" t="str">
            <v/>
          </cell>
          <cell r="G1491" t="str">
            <v/>
          </cell>
          <cell r="J1491" t="str">
            <v/>
          </cell>
          <cell r="O1491" t="str">
            <v/>
          </cell>
          <cell r="P1491" t="str">
            <v/>
          </cell>
          <cell r="Q1491" t="str">
            <v/>
          </cell>
          <cell r="S1491" t="str">
            <v/>
          </cell>
          <cell r="V1491" t="str">
            <v/>
          </cell>
          <cell r="Z1491" t="str">
            <v/>
          </cell>
          <cell r="AA1491" t="str">
            <v/>
          </cell>
          <cell r="AB1491" t="str">
            <v/>
          </cell>
          <cell r="AC1491" t="str">
            <v/>
          </cell>
          <cell r="AD1491" t="str">
            <v/>
          </cell>
          <cell r="AY1491" t="str">
            <v/>
          </cell>
          <cell r="AZ1491" t="str">
            <v/>
          </cell>
          <cell r="BA1491" t="str">
            <v/>
          </cell>
        </row>
        <row r="1492">
          <cell r="B1492" t="str">
            <v>-</v>
          </cell>
          <cell r="E1492" t="str">
            <v/>
          </cell>
          <cell r="G1492" t="str">
            <v/>
          </cell>
          <cell r="J1492" t="str">
            <v/>
          </cell>
          <cell r="O1492" t="str">
            <v/>
          </cell>
          <cell r="P1492" t="str">
            <v/>
          </cell>
          <cell r="Q1492" t="str">
            <v/>
          </cell>
          <cell r="S1492" t="str">
            <v/>
          </cell>
          <cell r="V1492" t="str">
            <v/>
          </cell>
          <cell r="Z1492" t="str">
            <v/>
          </cell>
          <cell r="AA1492" t="str">
            <v/>
          </cell>
          <cell r="AB1492" t="str">
            <v/>
          </cell>
          <cell r="AC1492" t="str">
            <v/>
          </cell>
          <cell r="AD1492" t="str">
            <v/>
          </cell>
          <cell r="AY1492" t="str">
            <v/>
          </cell>
          <cell r="AZ1492" t="str">
            <v/>
          </cell>
          <cell r="BA1492" t="str">
            <v/>
          </cell>
        </row>
        <row r="1493">
          <cell r="B1493" t="str">
            <v>-</v>
          </cell>
          <cell r="E1493" t="str">
            <v/>
          </cell>
          <cell r="G1493" t="str">
            <v/>
          </cell>
          <cell r="J1493" t="str">
            <v/>
          </cell>
          <cell r="O1493" t="str">
            <v/>
          </cell>
          <cell r="P1493" t="str">
            <v/>
          </cell>
          <cell r="Q1493" t="str">
            <v/>
          </cell>
          <cell r="S1493" t="str">
            <v/>
          </cell>
          <cell r="V1493" t="str">
            <v/>
          </cell>
          <cell r="Z1493" t="str">
            <v/>
          </cell>
          <cell r="AA1493" t="str">
            <v/>
          </cell>
          <cell r="AB1493" t="str">
            <v/>
          </cell>
          <cell r="AC1493" t="str">
            <v/>
          </cell>
          <cell r="AD1493" t="str">
            <v/>
          </cell>
          <cell r="AY1493" t="str">
            <v/>
          </cell>
          <cell r="AZ1493" t="str">
            <v/>
          </cell>
          <cell r="BA1493" t="str">
            <v/>
          </cell>
        </row>
        <row r="1494">
          <cell r="B1494" t="str">
            <v>-</v>
          </cell>
          <cell r="E1494" t="str">
            <v/>
          </cell>
          <cell r="G1494" t="str">
            <v/>
          </cell>
          <cell r="J1494" t="str">
            <v/>
          </cell>
          <cell r="O1494" t="str">
            <v/>
          </cell>
          <cell r="P1494" t="str">
            <v/>
          </cell>
          <cell r="Q1494" t="str">
            <v/>
          </cell>
          <cell r="S1494" t="str">
            <v/>
          </cell>
          <cell r="V1494" t="str">
            <v/>
          </cell>
          <cell r="Z1494" t="str">
            <v/>
          </cell>
          <cell r="AA1494" t="str">
            <v/>
          </cell>
          <cell r="AB1494" t="str">
            <v/>
          </cell>
          <cell r="AC1494" t="str">
            <v/>
          </cell>
          <cell r="AD1494" t="str">
            <v/>
          </cell>
          <cell r="AY1494" t="str">
            <v/>
          </cell>
          <cell r="AZ1494" t="str">
            <v/>
          </cell>
          <cell r="BA1494" t="str">
            <v/>
          </cell>
        </row>
        <row r="1495">
          <cell r="B1495" t="str">
            <v>-</v>
          </cell>
          <cell r="E1495" t="str">
            <v/>
          </cell>
          <cell r="G1495" t="str">
            <v/>
          </cell>
          <cell r="J1495" t="str">
            <v/>
          </cell>
          <cell r="O1495" t="str">
            <v/>
          </cell>
          <cell r="P1495" t="str">
            <v/>
          </cell>
          <cell r="Q1495" t="str">
            <v/>
          </cell>
          <cell r="S1495" t="str">
            <v/>
          </cell>
          <cell r="V1495" t="str">
            <v/>
          </cell>
          <cell r="Z1495" t="str">
            <v/>
          </cell>
          <cell r="AA1495" t="str">
            <v/>
          </cell>
          <cell r="AB1495" t="str">
            <v/>
          </cell>
          <cell r="AC1495" t="str">
            <v/>
          </cell>
          <cell r="AD1495" t="str">
            <v/>
          </cell>
          <cell r="AY1495" t="str">
            <v/>
          </cell>
          <cell r="AZ1495" t="str">
            <v/>
          </cell>
          <cell r="BA1495" t="str">
            <v/>
          </cell>
        </row>
        <row r="1496">
          <cell r="B1496" t="str">
            <v>-</v>
          </cell>
          <cell r="E1496" t="str">
            <v/>
          </cell>
          <cell r="G1496" t="str">
            <v/>
          </cell>
          <cell r="J1496" t="str">
            <v/>
          </cell>
          <cell r="O1496" t="str">
            <v/>
          </cell>
          <cell r="P1496" t="str">
            <v/>
          </cell>
          <cell r="Q1496" t="str">
            <v/>
          </cell>
          <cell r="S1496" t="str">
            <v/>
          </cell>
          <cell r="V1496" t="str">
            <v/>
          </cell>
          <cell r="Z1496" t="str">
            <v/>
          </cell>
          <cell r="AA1496" t="str">
            <v/>
          </cell>
          <cell r="AB1496" t="str">
            <v/>
          </cell>
          <cell r="AC1496" t="str">
            <v/>
          </cell>
          <cell r="AD1496" t="str">
            <v/>
          </cell>
          <cell r="AY1496" t="str">
            <v/>
          </cell>
          <cell r="AZ1496" t="str">
            <v/>
          </cell>
          <cell r="BA1496" t="str">
            <v/>
          </cell>
        </row>
        <row r="1497">
          <cell r="B1497" t="str">
            <v>-</v>
          </cell>
          <cell r="E1497" t="str">
            <v/>
          </cell>
          <cell r="G1497" t="str">
            <v/>
          </cell>
          <cell r="J1497" t="str">
            <v/>
          </cell>
          <cell r="O1497" t="str">
            <v/>
          </cell>
          <cell r="P1497" t="str">
            <v/>
          </cell>
          <cell r="Q1497" t="str">
            <v/>
          </cell>
          <cell r="S1497" t="str">
            <v/>
          </cell>
          <cell r="V1497" t="str">
            <v/>
          </cell>
          <cell r="Z1497" t="str">
            <v/>
          </cell>
          <cell r="AA1497" t="str">
            <v/>
          </cell>
          <cell r="AB1497" t="str">
            <v/>
          </cell>
          <cell r="AC1497" t="str">
            <v/>
          </cell>
          <cell r="AD1497" t="str">
            <v/>
          </cell>
          <cell r="AY1497" t="str">
            <v/>
          </cell>
          <cell r="AZ1497" t="str">
            <v/>
          </cell>
          <cell r="BA1497" t="str">
            <v/>
          </cell>
        </row>
        <row r="1498">
          <cell r="B1498" t="str">
            <v>-</v>
          </cell>
          <cell r="E1498" t="str">
            <v/>
          </cell>
          <cell r="G1498" t="str">
            <v/>
          </cell>
          <cell r="J1498" t="str">
            <v/>
          </cell>
          <cell r="O1498" t="str">
            <v/>
          </cell>
          <cell r="P1498" t="str">
            <v/>
          </cell>
          <cell r="Q1498" t="str">
            <v/>
          </cell>
          <cell r="S1498" t="str">
            <v/>
          </cell>
          <cell r="V1498" t="str">
            <v/>
          </cell>
          <cell r="Z1498" t="str">
            <v/>
          </cell>
          <cell r="AA1498" t="str">
            <v/>
          </cell>
          <cell r="AB1498" t="str">
            <v/>
          </cell>
          <cell r="AC1498" t="str">
            <v/>
          </cell>
          <cell r="AD1498" t="str">
            <v/>
          </cell>
          <cell r="AY1498" t="str">
            <v/>
          </cell>
          <cell r="AZ1498" t="str">
            <v/>
          </cell>
          <cell r="BA1498" t="str">
            <v/>
          </cell>
        </row>
        <row r="1499">
          <cell r="B1499" t="str">
            <v>-</v>
          </cell>
          <cell r="E1499" t="str">
            <v/>
          </cell>
          <cell r="G1499" t="str">
            <v/>
          </cell>
          <cell r="J1499" t="str">
            <v/>
          </cell>
          <cell r="O1499" t="str">
            <v/>
          </cell>
          <cell r="P1499" t="str">
            <v/>
          </cell>
          <cell r="Q1499" t="str">
            <v/>
          </cell>
          <cell r="S1499" t="str">
            <v/>
          </cell>
          <cell r="V1499" t="str">
            <v/>
          </cell>
          <cell r="Z1499" t="str">
            <v/>
          </cell>
          <cell r="AA1499" t="str">
            <v/>
          </cell>
          <cell r="AB1499" t="str">
            <v/>
          </cell>
          <cell r="AC1499" t="str">
            <v/>
          </cell>
          <cell r="AD1499" t="str">
            <v/>
          </cell>
          <cell r="AY1499" t="str">
            <v/>
          </cell>
          <cell r="AZ1499" t="str">
            <v/>
          </cell>
          <cell r="BA1499" t="str">
            <v/>
          </cell>
        </row>
        <row r="1500">
          <cell r="B1500" t="str">
            <v>-</v>
          </cell>
          <cell r="E1500" t="str">
            <v/>
          </cell>
          <cell r="G1500" t="str">
            <v/>
          </cell>
          <cell r="J1500" t="str">
            <v/>
          </cell>
          <cell r="O1500" t="str">
            <v/>
          </cell>
          <cell r="P1500" t="str">
            <v/>
          </cell>
          <cell r="Q1500" t="str">
            <v/>
          </cell>
          <cell r="S1500" t="str">
            <v/>
          </cell>
          <cell r="V1500" t="str">
            <v/>
          </cell>
          <cell r="Z1500" t="str">
            <v/>
          </cell>
          <cell r="AA1500" t="str">
            <v/>
          </cell>
          <cell r="AB1500" t="str">
            <v/>
          </cell>
          <cell r="AC1500" t="str">
            <v/>
          </cell>
          <cell r="AD1500" t="str">
            <v/>
          </cell>
          <cell r="AY1500" t="str">
            <v/>
          </cell>
          <cell r="AZ1500" t="str">
            <v/>
          </cell>
          <cell r="BA1500" t="str">
            <v/>
          </cell>
        </row>
        <row r="1501">
          <cell r="B1501" t="str">
            <v>-</v>
          </cell>
          <cell r="E1501" t="str">
            <v/>
          </cell>
          <cell r="G1501" t="str">
            <v/>
          </cell>
          <cell r="J1501" t="str">
            <v/>
          </cell>
          <cell r="O1501" t="str">
            <v/>
          </cell>
          <cell r="P1501" t="str">
            <v/>
          </cell>
          <cell r="Q1501" t="str">
            <v/>
          </cell>
          <cell r="S1501" t="str">
            <v/>
          </cell>
          <cell r="V1501" t="str">
            <v/>
          </cell>
          <cell r="Z1501" t="str">
            <v/>
          </cell>
          <cell r="AA1501" t="str">
            <v/>
          </cell>
          <cell r="AB1501" t="str">
            <v/>
          </cell>
          <cell r="AC1501" t="str">
            <v/>
          </cell>
          <cell r="AD1501" t="str">
            <v/>
          </cell>
          <cell r="AY1501" t="str">
            <v/>
          </cell>
          <cell r="AZ1501" t="str">
            <v/>
          </cell>
          <cell r="BA1501" t="str">
            <v/>
          </cell>
        </row>
        <row r="1502">
          <cell r="B1502" t="str">
            <v>-</v>
          </cell>
          <cell r="E1502" t="str">
            <v/>
          </cell>
          <cell r="G1502" t="str">
            <v/>
          </cell>
          <cell r="J1502" t="str">
            <v/>
          </cell>
          <cell r="O1502" t="str">
            <v/>
          </cell>
          <cell r="P1502" t="str">
            <v/>
          </cell>
          <cell r="Q1502" t="str">
            <v/>
          </cell>
          <cell r="S1502" t="str">
            <v/>
          </cell>
          <cell r="V1502" t="str">
            <v/>
          </cell>
          <cell r="Z1502" t="str">
            <v/>
          </cell>
          <cell r="AA1502" t="str">
            <v/>
          </cell>
          <cell r="AB1502" t="str">
            <v/>
          </cell>
          <cell r="AC1502" t="str">
            <v/>
          </cell>
          <cell r="AD1502" t="str">
            <v/>
          </cell>
          <cell r="AY1502" t="str">
            <v/>
          </cell>
          <cell r="AZ1502" t="str">
            <v/>
          </cell>
          <cell r="BA1502" t="str">
            <v/>
          </cell>
        </row>
        <row r="1503">
          <cell r="B1503" t="str">
            <v>-</v>
          </cell>
          <cell r="E1503" t="str">
            <v/>
          </cell>
          <cell r="G1503" t="str">
            <v/>
          </cell>
          <cell r="J1503" t="str">
            <v/>
          </cell>
          <cell r="O1503" t="str">
            <v/>
          </cell>
          <cell r="P1503" t="str">
            <v/>
          </cell>
          <cell r="Q1503" t="str">
            <v/>
          </cell>
          <cell r="S1503" t="str">
            <v/>
          </cell>
          <cell r="V1503" t="str">
            <v/>
          </cell>
          <cell r="Z1503" t="str">
            <v/>
          </cell>
          <cell r="AA1503" t="str">
            <v/>
          </cell>
          <cell r="AB1503" t="str">
            <v/>
          </cell>
          <cell r="AC1503" t="str">
            <v/>
          </cell>
          <cell r="AD1503" t="str">
            <v/>
          </cell>
          <cell r="AY1503" t="str">
            <v/>
          </cell>
          <cell r="AZ1503" t="str">
            <v/>
          </cell>
          <cell r="BA1503" t="str">
            <v/>
          </cell>
        </row>
        <row r="1504">
          <cell r="B1504" t="str">
            <v>-</v>
          </cell>
          <cell r="E1504" t="str">
            <v/>
          </cell>
          <cell r="G1504" t="str">
            <v/>
          </cell>
          <cell r="J1504" t="str">
            <v/>
          </cell>
          <cell r="O1504" t="str">
            <v/>
          </cell>
          <cell r="P1504" t="str">
            <v/>
          </cell>
          <cell r="Q1504" t="str">
            <v/>
          </cell>
          <cell r="S1504" t="str">
            <v/>
          </cell>
          <cell r="V1504" t="str">
            <v/>
          </cell>
          <cell r="Z1504" t="str">
            <v/>
          </cell>
          <cell r="AA1504" t="str">
            <v/>
          </cell>
          <cell r="AB1504" t="str">
            <v/>
          </cell>
          <cell r="AC1504" t="str">
            <v/>
          </cell>
          <cell r="AD1504" t="str">
            <v/>
          </cell>
          <cell r="AY1504" t="str">
            <v/>
          </cell>
          <cell r="AZ1504" t="str">
            <v/>
          </cell>
          <cell r="BA1504" t="str">
            <v/>
          </cell>
        </row>
        <row r="1505">
          <cell r="B1505" t="str">
            <v>-</v>
          </cell>
          <cell r="E1505" t="str">
            <v/>
          </cell>
          <cell r="G1505" t="str">
            <v/>
          </cell>
          <cell r="J1505" t="str">
            <v/>
          </cell>
          <cell r="O1505" t="str">
            <v/>
          </cell>
          <cell r="P1505" t="str">
            <v/>
          </cell>
          <cell r="Q1505" t="str">
            <v/>
          </cell>
          <cell r="S1505" t="str">
            <v/>
          </cell>
          <cell r="V1505" t="str">
            <v/>
          </cell>
          <cell r="Z1505" t="str">
            <v/>
          </cell>
          <cell r="AA1505" t="str">
            <v/>
          </cell>
          <cell r="AB1505" t="str">
            <v/>
          </cell>
          <cell r="AC1505" t="str">
            <v/>
          </cell>
          <cell r="AD1505" t="str">
            <v/>
          </cell>
          <cell r="AY1505" t="str">
            <v/>
          </cell>
          <cell r="AZ1505" t="str">
            <v/>
          </cell>
          <cell r="BA1505" t="str">
            <v/>
          </cell>
        </row>
        <row r="1506">
          <cell r="B1506" t="str">
            <v>-</v>
          </cell>
          <cell r="E1506" t="str">
            <v/>
          </cell>
          <cell r="G1506" t="str">
            <v/>
          </cell>
          <cell r="J1506" t="str">
            <v/>
          </cell>
          <cell r="O1506" t="str">
            <v/>
          </cell>
          <cell r="P1506" t="str">
            <v/>
          </cell>
          <cell r="Q1506" t="str">
            <v/>
          </cell>
          <cell r="S1506" t="str">
            <v/>
          </cell>
          <cell r="V1506" t="str">
            <v/>
          </cell>
          <cell r="Z1506" t="str">
            <v/>
          </cell>
          <cell r="AA1506" t="str">
            <v/>
          </cell>
          <cell r="AB1506" t="str">
            <v/>
          </cell>
          <cell r="AC1506" t="str">
            <v/>
          </cell>
          <cell r="AD1506" t="str">
            <v/>
          </cell>
          <cell r="AY1506" t="str">
            <v/>
          </cell>
          <cell r="AZ1506" t="str">
            <v/>
          </cell>
          <cell r="BA1506" t="str">
            <v/>
          </cell>
        </row>
        <row r="1507">
          <cell r="B1507" t="str">
            <v>-</v>
          </cell>
          <cell r="E1507" t="str">
            <v/>
          </cell>
          <cell r="G1507" t="str">
            <v/>
          </cell>
          <cell r="J1507" t="str">
            <v/>
          </cell>
          <cell r="O1507" t="str">
            <v/>
          </cell>
          <cell r="P1507" t="str">
            <v/>
          </cell>
          <cell r="Q1507" t="str">
            <v/>
          </cell>
          <cell r="S1507" t="str">
            <v/>
          </cell>
          <cell r="V1507" t="str">
            <v/>
          </cell>
          <cell r="Z1507" t="str">
            <v/>
          </cell>
          <cell r="AA1507" t="str">
            <v/>
          </cell>
          <cell r="AB1507" t="str">
            <v/>
          </cell>
          <cell r="AC1507" t="str">
            <v/>
          </cell>
          <cell r="AD1507" t="str">
            <v/>
          </cell>
          <cell r="AY1507" t="str">
            <v/>
          </cell>
          <cell r="AZ1507" t="str">
            <v/>
          </cell>
          <cell r="BA1507" t="str">
            <v/>
          </cell>
        </row>
        <row r="1508">
          <cell r="B1508" t="str">
            <v>-</v>
          </cell>
          <cell r="E1508" t="str">
            <v/>
          </cell>
          <cell r="G1508" t="str">
            <v/>
          </cell>
          <cell r="J1508" t="str">
            <v/>
          </cell>
          <cell r="O1508" t="str">
            <v/>
          </cell>
          <cell r="P1508" t="str">
            <v/>
          </cell>
          <cell r="Q1508" t="str">
            <v/>
          </cell>
          <cell r="S1508" t="str">
            <v/>
          </cell>
          <cell r="V1508" t="str">
            <v/>
          </cell>
          <cell r="Z1508" t="str">
            <v/>
          </cell>
          <cell r="AA1508" t="str">
            <v/>
          </cell>
          <cell r="AB1508" t="str">
            <v/>
          </cell>
          <cell r="AC1508" t="str">
            <v/>
          </cell>
          <cell r="AD1508" t="str">
            <v/>
          </cell>
          <cell r="AY1508" t="str">
            <v/>
          </cell>
          <cell r="AZ1508" t="str">
            <v/>
          </cell>
          <cell r="BA1508" t="str">
            <v/>
          </cell>
        </row>
        <row r="1509">
          <cell r="B1509" t="str">
            <v>-</v>
          </cell>
          <cell r="E1509" t="str">
            <v/>
          </cell>
          <cell r="G1509" t="str">
            <v/>
          </cell>
          <cell r="J1509" t="str">
            <v/>
          </cell>
          <cell r="O1509" t="str">
            <v/>
          </cell>
          <cell r="P1509" t="str">
            <v/>
          </cell>
          <cell r="Q1509" t="str">
            <v/>
          </cell>
          <cell r="S1509" t="str">
            <v/>
          </cell>
          <cell r="V1509" t="str">
            <v/>
          </cell>
          <cell r="Z1509" t="str">
            <v/>
          </cell>
          <cell r="AA1509" t="str">
            <v/>
          </cell>
          <cell r="AB1509" t="str">
            <v/>
          </cell>
          <cell r="AC1509" t="str">
            <v/>
          </cell>
          <cell r="AD1509" t="str">
            <v/>
          </cell>
          <cell r="AY1509" t="str">
            <v/>
          </cell>
          <cell r="AZ1509" t="str">
            <v/>
          </cell>
          <cell r="BA1509" t="str">
            <v/>
          </cell>
        </row>
        <row r="1510">
          <cell r="B1510" t="str">
            <v>-</v>
          </cell>
          <cell r="E1510" t="str">
            <v/>
          </cell>
          <cell r="G1510" t="str">
            <v/>
          </cell>
          <cell r="J1510" t="str">
            <v/>
          </cell>
          <cell r="O1510" t="str">
            <v/>
          </cell>
          <cell r="P1510" t="str">
            <v/>
          </cell>
          <cell r="Q1510" t="str">
            <v/>
          </cell>
          <cell r="S1510" t="str">
            <v/>
          </cell>
          <cell r="V1510" t="str">
            <v/>
          </cell>
          <cell r="Z1510" t="str">
            <v/>
          </cell>
          <cell r="AA1510" t="str">
            <v/>
          </cell>
          <cell r="AB1510" t="str">
            <v/>
          </cell>
          <cell r="AC1510" t="str">
            <v/>
          </cell>
          <cell r="AD1510" t="str">
            <v/>
          </cell>
          <cell r="AY1510" t="str">
            <v/>
          </cell>
          <cell r="AZ1510" t="str">
            <v/>
          </cell>
          <cell r="BA1510" t="str">
            <v/>
          </cell>
        </row>
        <row r="1511">
          <cell r="B1511" t="str">
            <v>-</v>
          </cell>
          <cell r="E1511" t="str">
            <v/>
          </cell>
          <cell r="G1511" t="str">
            <v/>
          </cell>
          <cell r="J1511" t="str">
            <v/>
          </cell>
          <cell r="O1511" t="str">
            <v/>
          </cell>
          <cell r="P1511" t="str">
            <v/>
          </cell>
          <cell r="Q1511" t="str">
            <v/>
          </cell>
          <cell r="S1511" t="str">
            <v/>
          </cell>
          <cell r="V1511" t="str">
            <v/>
          </cell>
          <cell r="Z1511" t="str">
            <v/>
          </cell>
          <cell r="AA1511" t="str">
            <v/>
          </cell>
          <cell r="AB1511" t="str">
            <v/>
          </cell>
          <cell r="AC1511" t="str">
            <v/>
          </cell>
          <cell r="AD1511" t="str">
            <v/>
          </cell>
          <cell r="AY1511" t="str">
            <v/>
          </cell>
          <cell r="AZ1511" t="str">
            <v/>
          </cell>
          <cell r="BA1511" t="str">
            <v/>
          </cell>
        </row>
        <row r="1512">
          <cell r="B1512" t="str">
            <v>-</v>
          </cell>
          <cell r="E1512" t="str">
            <v/>
          </cell>
          <cell r="G1512" t="str">
            <v/>
          </cell>
          <cell r="J1512" t="str">
            <v/>
          </cell>
          <cell r="O1512" t="str">
            <v/>
          </cell>
          <cell r="P1512" t="str">
            <v/>
          </cell>
          <cell r="Q1512" t="str">
            <v/>
          </cell>
          <cell r="S1512" t="str">
            <v/>
          </cell>
          <cell r="V1512" t="str">
            <v/>
          </cell>
          <cell r="Z1512" t="str">
            <v/>
          </cell>
          <cell r="AA1512" t="str">
            <v/>
          </cell>
          <cell r="AB1512" t="str">
            <v/>
          </cell>
          <cell r="AC1512" t="str">
            <v/>
          </cell>
          <cell r="AD1512" t="str">
            <v/>
          </cell>
          <cell r="AY1512" t="str">
            <v/>
          </cell>
          <cell r="AZ1512" t="str">
            <v/>
          </cell>
          <cell r="BA1512" t="str">
            <v/>
          </cell>
        </row>
        <row r="1513">
          <cell r="B1513" t="str">
            <v>-</v>
          </cell>
          <cell r="E1513" t="str">
            <v/>
          </cell>
          <cell r="G1513" t="str">
            <v/>
          </cell>
          <cell r="J1513" t="str">
            <v/>
          </cell>
          <cell r="O1513" t="str">
            <v/>
          </cell>
          <cell r="P1513" t="str">
            <v/>
          </cell>
          <cell r="Q1513" t="str">
            <v/>
          </cell>
          <cell r="S1513" t="str">
            <v/>
          </cell>
          <cell r="V1513" t="str">
            <v/>
          </cell>
          <cell r="Z1513" t="str">
            <v/>
          </cell>
          <cell r="AA1513" t="str">
            <v/>
          </cell>
          <cell r="AB1513" t="str">
            <v/>
          </cell>
          <cell r="AC1513" t="str">
            <v/>
          </cell>
          <cell r="AD1513" t="str">
            <v/>
          </cell>
          <cell r="AY1513" t="str">
            <v/>
          </cell>
          <cell r="AZ1513" t="str">
            <v/>
          </cell>
          <cell r="BA1513" t="str">
            <v/>
          </cell>
        </row>
        <row r="1514">
          <cell r="B1514" t="str">
            <v>-</v>
          </cell>
          <cell r="E1514" t="str">
            <v/>
          </cell>
          <cell r="G1514" t="str">
            <v/>
          </cell>
          <cell r="J1514" t="str">
            <v/>
          </cell>
          <cell r="O1514" t="str">
            <v/>
          </cell>
          <cell r="P1514" t="str">
            <v/>
          </cell>
          <cell r="Q1514" t="str">
            <v/>
          </cell>
          <cell r="S1514" t="str">
            <v/>
          </cell>
          <cell r="V1514" t="str">
            <v/>
          </cell>
          <cell r="Z1514" t="str">
            <v/>
          </cell>
          <cell r="AA1514" t="str">
            <v/>
          </cell>
          <cell r="AB1514" t="str">
            <v/>
          </cell>
          <cell r="AC1514" t="str">
            <v/>
          </cell>
          <cell r="AD1514" t="str">
            <v/>
          </cell>
          <cell r="AY1514" t="str">
            <v/>
          </cell>
          <cell r="AZ1514" t="str">
            <v/>
          </cell>
          <cell r="BA1514" t="str">
            <v/>
          </cell>
        </row>
        <row r="1515">
          <cell r="B1515" t="str">
            <v>-</v>
          </cell>
          <cell r="E1515" t="str">
            <v/>
          </cell>
          <cell r="G1515" t="str">
            <v/>
          </cell>
          <cell r="J1515" t="str">
            <v/>
          </cell>
          <cell r="O1515" t="str">
            <v/>
          </cell>
          <cell r="P1515" t="str">
            <v/>
          </cell>
          <cell r="Q1515" t="str">
            <v/>
          </cell>
          <cell r="S1515" t="str">
            <v/>
          </cell>
          <cell r="V1515" t="str">
            <v/>
          </cell>
          <cell r="Z1515" t="str">
            <v/>
          </cell>
          <cell r="AA1515" t="str">
            <v/>
          </cell>
          <cell r="AB1515" t="str">
            <v/>
          </cell>
          <cell r="AC1515" t="str">
            <v/>
          </cell>
          <cell r="AD1515" t="str">
            <v/>
          </cell>
          <cell r="AY1515" t="str">
            <v/>
          </cell>
          <cell r="AZ1515" t="str">
            <v/>
          </cell>
          <cell r="BA1515" t="str">
            <v/>
          </cell>
        </row>
        <row r="1516">
          <cell r="B1516" t="str">
            <v>-</v>
          </cell>
          <cell r="E1516" t="str">
            <v/>
          </cell>
          <cell r="G1516" t="str">
            <v/>
          </cell>
          <cell r="J1516" t="str">
            <v/>
          </cell>
          <cell r="O1516" t="str">
            <v/>
          </cell>
          <cell r="P1516" t="str">
            <v/>
          </cell>
          <cell r="Q1516" t="str">
            <v/>
          </cell>
          <cell r="S1516" t="str">
            <v/>
          </cell>
          <cell r="V1516" t="str">
            <v/>
          </cell>
          <cell r="Z1516" t="str">
            <v/>
          </cell>
          <cell r="AA1516" t="str">
            <v/>
          </cell>
          <cell r="AB1516" t="str">
            <v/>
          </cell>
          <cell r="AC1516" t="str">
            <v/>
          </cell>
          <cell r="AD1516" t="str">
            <v/>
          </cell>
          <cell r="AY1516" t="str">
            <v/>
          </cell>
          <cell r="AZ1516" t="str">
            <v/>
          </cell>
          <cell r="BA1516" t="str">
            <v/>
          </cell>
        </row>
        <row r="1517">
          <cell r="B1517" t="str">
            <v>-</v>
          </cell>
          <cell r="E1517" t="str">
            <v/>
          </cell>
          <cell r="G1517" t="str">
            <v/>
          </cell>
          <cell r="J1517" t="str">
            <v/>
          </cell>
          <cell r="O1517" t="str">
            <v/>
          </cell>
          <cell r="P1517" t="str">
            <v/>
          </cell>
          <cell r="Q1517" t="str">
            <v/>
          </cell>
          <cell r="S1517" t="str">
            <v/>
          </cell>
          <cell r="V1517" t="str">
            <v/>
          </cell>
          <cell r="Z1517" t="str">
            <v/>
          </cell>
          <cell r="AA1517" t="str">
            <v/>
          </cell>
          <cell r="AB1517" t="str">
            <v/>
          </cell>
          <cell r="AC1517" t="str">
            <v/>
          </cell>
          <cell r="AD1517" t="str">
            <v/>
          </cell>
          <cell r="AY1517" t="str">
            <v/>
          </cell>
          <cell r="AZ1517" t="str">
            <v/>
          </cell>
          <cell r="BA1517" t="str">
            <v/>
          </cell>
        </row>
        <row r="1518">
          <cell r="B1518" t="str">
            <v>-</v>
          </cell>
          <cell r="E1518" t="str">
            <v/>
          </cell>
          <cell r="G1518" t="str">
            <v/>
          </cell>
          <cell r="J1518" t="str">
            <v/>
          </cell>
          <cell r="O1518" t="str">
            <v/>
          </cell>
          <cell r="P1518" t="str">
            <v/>
          </cell>
          <cell r="Q1518" t="str">
            <v/>
          </cell>
          <cell r="S1518" t="str">
            <v/>
          </cell>
          <cell r="V1518" t="str">
            <v/>
          </cell>
          <cell r="Z1518" t="str">
            <v/>
          </cell>
          <cell r="AA1518" t="str">
            <v/>
          </cell>
          <cell r="AB1518" t="str">
            <v/>
          </cell>
          <cell r="AC1518" t="str">
            <v/>
          </cell>
          <cell r="AD1518" t="str">
            <v/>
          </cell>
          <cell r="AY1518" t="str">
            <v/>
          </cell>
          <cell r="AZ1518" t="str">
            <v/>
          </cell>
          <cell r="BA1518" t="str">
            <v/>
          </cell>
        </row>
        <row r="1519">
          <cell r="B1519" t="str">
            <v>-</v>
          </cell>
          <cell r="E1519" t="str">
            <v/>
          </cell>
          <cell r="G1519" t="str">
            <v/>
          </cell>
          <cell r="J1519" t="str">
            <v/>
          </cell>
          <cell r="O1519" t="str">
            <v/>
          </cell>
          <cell r="P1519" t="str">
            <v/>
          </cell>
          <cell r="Q1519" t="str">
            <v/>
          </cell>
          <cell r="S1519" t="str">
            <v/>
          </cell>
          <cell r="V1519" t="str">
            <v/>
          </cell>
          <cell r="Z1519" t="str">
            <v/>
          </cell>
          <cell r="AA1519" t="str">
            <v/>
          </cell>
          <cell r="AB1519" t="str">
            <v/>
          </cell>
          <cell r="AC1519" t="str">
            <v/>
          </cell>
          <cell r="AD1519" t="str">
            <v/>
          </cell>
          <cell r="AY1519" t="str">
            <v/>
          </cell>
          <cell r="AZ1519" t="str">
            <v/>
          </cell>
          <cell r="BA1519" t="str">
            <v/>
          </cell>
        </row>
        <row r="1520">
          <cell r="B1520" t="str">
            <v>-</v>
          </cell>
          <cell r="E1520" t="str">
            <v/>
          </cell>
          <cell r="G1520" t="str">
            <v/>
          </cell>
          <cell r="J1520" t="str">
            <v/>
          </cell>
          <cell r="O1520" t="str">
            <v/>
          </cell>
          <cell r="P1520" t="str">
            <v/>
          </cell>
          <cell r="Q1520" t="str">
            <v/>
          </cell>
          <cell r="S1520" t="str">
            <v/>
          </cell>
          <cell r="V1520" t="str">
            <v/>
          </cell>
          <cell r="Z1520" t="str">
            <v/>
          </cell>
          <cell r="AA1520" t="str">
            <v/>
          </cell>
          <cell r="AB1520" t="str">
            <v/>
          </cell>
          <cell r="AC1520" t="str">
            <v/>
          </cell>
          <cell r="AD1520" t="str">
            <v/>
          </cell>
          <cell r="AY1520" t="str">
            <v/>
          </cell>
          <cell r="AZ1520" t="str">
            <v/>
          </cell>
          <cell r="BA1520" t="str">
            <v/>
          </cell>
        </row>
        <row r="1521">
          <cell r="B1521" t="str">
            <v>-</v>
          </cell>
          <cell r="E1521" t="str">
            <v/>
          </cell>
          <cell r="G1521" t="str">
            <v/>
          </cell>
          <cell r="J1521" t="str">
            <v/>
          </cell>
          <cell r="O1521" t="str">
            <v/>
          </cell>
          <cell r="P1521" t="str">
            <v/>
          </cell>
          <cell r="Q1521" t="str">
            <v/>
          </cell>
          <cell r="S1521" t="str">
            <v/>
          </cell>
          <cell r="V1521" t="str">
            <v/>
          </cell>
          <cell r="Z1521" t="str">
            <v/>
          </cell>
          <cell r="AA1521" t="str">
            <v/>
          </cell>
          <cell r="AB1521" t="str">
            <v/>
          </cell>
          <cell r="AC1521" t="str">
            <v/>
          </cell>
          <cell r="AD1521" t="str">
            <v/>
          </cell>
          <cell r="AY1521" t="str">
            <v/>
          </cell>
          <cell r="AZ1521" t="str">
            <v/>
          </cell>
          <cell r="BA1521" t="str">
            <v/>
          </cell>
        </row>
        <row r="1522">
          <cell r="B1522" t="str">
            <v>-</v>
          </cell>
          <cell r="E1522" t="str">
            <v/>
          </cell>
          <cell r="G1522" t="str">
            <v/>
          </cell>
          <cell r="J1522" t="str">
            <v/>
          </cell>
          <cell r="O1522" t="str">
            <v/>
          </cell>
          <cell r="P1522" t="str">
            <v/>
          </cell>
          <cell r="Q1522" t="str">
            <v/>
          </cell>
          <cell r="S1522" t="str">
            <v/>
          </cell>
          <cell r="V1522" t="str">
            <v/>
          </cell>
          <cell r="Z1522" t="str">
            <v/>
          </cell>
          <cell r="AA1522" t="str">
            <v/>
          </cell>
          <cell r="AB1522" t="str">
            <v/>
          </cell>
          <cell r="AC1522" t="str">
            <v/>
          </cell>
          <cell r="AD1522" t="str">
            <v/>
          </cell>
          <cell r="AY1522" t="str">
            <v/>
          </cell>
          <cell r="AZ1522" t="str">
            <v/>
          </cell>
          <cell r="BA1522" t="str">
            <v/>
          </cell>
        </row>
        <row r="1523">
          <cell r="B1523" t="str">
            <v>-</v>
          </cell>
          <cell r="E1523" t="str">
            <v/>
          </cell>
          <cell r="G1523" t="str">
            <v/>
          </cell>
          <cell r="J1523" t="str">
            <v/>
          </cell>
          <cell r="O1523" t="str">
            <v/>
          </cell>
          <cell r="P1523" t="str">
            <v/>
          </cell>
          <cell r="Q1523" t="str">
            <v/>
          </cell>
          <cell r="S1523" t="str">
            <v/>
          </cell>
          <cell r="V1523" t="str">
            <v/>
          </cell>
          <cell r="Z1523" t="str">
            <v/>
          </cell>
          <cell r="AA1523" t="str">
            <v/>
          </cell>
          <cell r="AB1523" t="str">
            <v/>
          </cell>
          <cell r="AC1523" t="str">
            <v/>
          </cell>
          <cell r="AD1523" t="str">
            <v/>
          </cell>
          <cell r="AY1523" t="str">
            <v/>
          </cell>
          <cell r="AZ1523" t="str">
            <v/>
          </cell>
          <cell r="BA1523" t="str">
            <v/>
          </cell>
        </row>
        <row r="1524">
          <cell r="B1524" t="str">
            <v>-</v>
          </cell>
          <cell r="E1524" t="str">
            <v/>
          </cell>
          <cell r="G1524" t="str">
            <v/>
          </cell>
          <cell r="J1524" t="str">
            <v/>
          </cell>
          <cell r="O1524" t="str">
            <v/>
          </cell>
          <cell r="P1524" t="str">
            <v/>
          </cell>
          <cell r="Q1524" t="str">
            <v/>
          </cell>
          <cell r="S1524" t="str">
            <v/>
          </cell>
          <cell r="V1524" t="str">
            <v/>
          </cell>
          <cell r="Z1524" t="str">
            <v/>
          </cell>
          <cell r="AA1524" t="str">
            <v/>
          </cell>
          <cell r="AB1524" t="str">
            <v/>
          </cell>
          <cell r="AC1524" t="str">
            <v/>
          </cell>
          <cell r="AD1524" t="str">
            <v/>
          </cell>
          <cell r="AY1524" t="str">
            <v/>
          </cell>
          <cell r="AZ1524" t="str">
            <v/>
          </cell>
          <cell r="BA1524" t="str">
            <v/>
          </cell>
        </row>
        <row r="1525">
          <cell r="B1525" t="str">
            <v>-</v>
          </cell>
          <cell r="E1525" t="str">
            <v/>
          </cell>
          <cell r="G1525" t="str">
            <v/>
          </cell>
          <cell r="J1525" t="str">
            <v/>
          </cell>
          <cell r="O1525" t="str">
            <v/>
          </cell>
          <cell r="P1525" t="str">
            <v/>
          </cell>
          <cell r="Q1525" t="str">
            <v/>
          </cell>
          <cell r="S1525" t="str">
            <v/>
          </cell>
          <cell r="V1525" t="str">
            <v/>
          </cell>
          <cell r="Z1525" t="str">
            <v/>
          </cell>
          <cell r="AA1525" t="str">
            <v/>
          </cell>
          <cell r="AB1525" t="str">
            <v/>
          </cell>
          <cell r="AC1525" t="str">
            <v/>
          </cell>
          <cell r="AD1525" t="str">
            <v/>
          </cell>
          <cell r="AY1525" t="str">
            <v/>
          </cell>
          <cell r="AZ1525" t="str">
            <v/>
          </cell>
          <cell r="BA1525" t="str">
            <v/>
          </cell>
        </row>
        <row r="1526">
          <cell r="B1526" t="str">
            <v>-</v>
          </cell>
          <cell r="E1526" t="str">
            <v/>
          </cell>
          <cell r="G1526" t="str">
            <v/>
          </cell>
          <cell r="J1526" t="str">
            <v/>
          </cell>
          <cell r="O1526" t="str">
            <v/>
          </cell>
          <cell r="P1526" t="str">
            <v/>
          </cell>
          <cell r="Q1526" t="str">
            <v/>
          </cell>
          <cell r="S1526" t="str">
            <v/>
          </cell>
          <cell r="V1526" t="str">
            <v/>
          </cell>
          <cell r="Z1526" t="str">
            <v/>
          </cell>
          <cell r="AA1526" t="str">
            <v/>
          </cell>
          <cell r="AB1526" t="str">
            <v/>
          </cell>
          <cell r="AC1526" t="str">
            <v/>
          </cell>
          <cell r="AD1526" t="str">
            <v/>
          </cell>
          <cell r="AY1526" t="str">
            <v/>
          </cell>
          <cell r="AZ1526" t="str">
            <v/>
          </cell>
          <cell r="BA1526" t="str">
            <v/>
          </cell>
        </row>
        <row r="1527">
          <cell r="B1527" t="str">
            <v>-</v>
          </cell>
          <cell r="E1527" t="str">
            <v/>
          </cell>
          <cell r="G1527" t="str">
            <v/>
          </cell>
          <cell r="J1527" t="str">
            <v/>
          </cell>
          <cell r="O1527" t="str">
            <v/>
          </cell>
          <cell r="P1527" t="str">
            <v/>
          </cell>
          <cell r="Q1527" t="str">
            <v/>
          </cell>
          <cell r="S1527" t="str">
            <v/>
          </cell>
          <cell r="V1527" t="str">
            <v/>
          </cell>
          <cell r="Z1527" t="str">
            <v/>
          </cell>
          <cell r="AA1527" t="str">
            <v/>
          </cell>
          <cell r="AB1527" t="str">
            <v/>
          </cell>
          <cell r="AC1527" t="str">
            <v/>
          </cell>
          <cell r="AD1527" t="str">
            <v/>
          </cell>
          <cell r="AY1527" t="str">
            <v/>
          </cell>
          <cell r="AZ1527" t="str">
            <v/>
          </cell>
          <cell r="BA1527" t="str">
            <v/>
          </cell>
        </row>
        <row r="1528">
          <cell r="B1528" t="str">
            <v>-</v>
          </cell>
          <cell r="E1528" t="str">
            <v/>
          </cell>
          <cell r="G1528" t="str">
            <v/>
          </cell>
          <cell r="J1528" t="str">
            <v/>
          </cell>
          <cell r="O1528" t="str">
            <v/>
          </cell>
          <cell r="P1528" t="str">
            <v/>
          </cell>
          <cell r="Q1528" t="str">
            <v/>
          </cell>
          <cell r="S1528" t="str">
            <v/>
          </cell>
          <cell r="V1528" t="str">
            <v/>
          </cell>
          <cell r="Z1528" t="str">
            <v/>
          </cell>
          <cell r="AA1528" t="str">
            <v/>
          </cell>
          <cell r="AB1528" t="str">
            <v/>
          </cell>
          <cell r="AC1528" t="str">
            <v/>
          </cell>
          <cell r="AD1528" t="str">
            <v/>
          </cell>
          <cell r="AY1528" t="str">
            <v/>
          </cell>
          <cell r="AZ1528" t="str">
            <v/>
          </cell>
          <cell r="BA1528" t="str">
            <v/>
          </cell>
        </row>
        <row r="1529">
          <cell r="B1529" t="str">
            <v>-</v>
          </cell>
          <cell r="E1529" t="str">
            <v/>
          </cell>
          <cell r="G1529" t="str">
            <v/>
          </cell>
          <cell r="J1529" t="str">
            <v/>
          </cell>
          <cell r="O1529" t="str">
            <v/>
          </cell>
          <cell r="P1529" t="str">
            <v/>
          </cell>
          <cell r="Q1529" t="str">
            <v/>
          </cell>
          <cell r="S1529" t="str">
            <v/>
          </cell>
          <cell r="V1529" t="str">
            <v/>
          </cell>
          <cell r="Z1529" t="str">
            <v/>
          </cell>
          <cell r="AA1529" t="str">
            <v/>
          </cell>
          <cell r="AB1529" t="str">
            <v/>
          </cell>
          <cell r="AC1529" t="str">
            <v/>
          </cell>
          <cell r="AD1529" t="str">
            <v/>
          </cell>
          <cell r="AY1529" t="str">
            <v/>
          </cell>
          <cell r="AZ1529" t="str">
            <v/>
          </cell>
          <cell r="BA1529" t="str">
            <v/>
          </cell>
        </row>
        <row r="1530">
          <cell r="B1530" t="str">
            <v>-</v>
          </cell>
          <cell r="E1530" t="str">
            <v/>
          </cell>
          <cell r="G1530" t="str">
            <v/>
          </cell>
          <cell r="J1530" t="str">
            <v/>
          </cell>
          <cell r="O1530" t="str">
            <v/>
          </cell>
          <cell r="P1530" t="str">
            <v/>
          </cell>
          <cell r="Q1530" t="str">
            <v/>
          </cell>
          <cell r="S1530" t="str">
            <v/>
          </cell>
          <cell r="V1530" t="str">
            <v/>
          </cell>
          <cell r="Z1530" t="str">
            <v/>
          </cell>
          <cell r="AA1530" t="str">
            <v/>
          </cell>
          <cell r="AB1530" t="str">
            <v/>
          </cell>
          <cell r="AC1530" t="str">
            <v/>
          </cell>
          <cell r="AD1530" t="str">
            <v/>
          </cell>
          <cell r="AY1530" t="str">
            <v/>
          </cell>
          <cell r="AZ1530" t="str">
            <v/>
          </cell>
          <cell r="BA1530" t="str">
            <v/>
          </cell>
        </row>
        <row r="1531">
          <cell r="B1531" t="str">
            <v>-</v>
          </cell>
          <cell r="E1531" t="str">
            <v/>
          </cell>
          <cell r="G1531" t="str">
            <v/>
          </cell>
          <cell r="J1531" t="str">
            <v/>
          </cell>
          <cell r="O1531" t="str">
            <v/>
          </cell>
          <cell r="P1531" t="str">
            <v/>
          </cell>
          <cell r="Q1531" t="str">
            <v/>
          </cell>
          <cell r="S1531" t="str">
            <v/>
          </cell>
          <cell r="V1531" t="str">
            <v/>
          </cell>
          <cell r="Z1531" t="str">
            <v/>
          </cell>
          <cell r="AA1531" t="str">
            <v/>
          </cell>
          <cell r="AB1531" t="str">
            <v/>
          </cell>
          <cell r="AC1531" t="str">
            <v/>
          </cell>
          <cell r="AD1531" t="str">
            <v/>
          </cell>
          <cell r="AY1531" t="str">
            <v/>
          </cell>
          <cell r="AZ1531" t="str">
            <v/>
          </cell>
          <cell r="BA1531" t="str">
            <v/>
          </cell>
        </row>
        <row r="1532">
          <cell r="B1532" t="str">
            <v>-</v>
          </cell>
          <cell r="E1532" t="str">
            <v/>
          </cell>
          <cell r="G1532" t="str">
            <v/>
          </cell>
          <cell r="J1532" t="str">
            <v/>
          </cell>
          <cell r="O1532" t="str">
            <v/>
          </cell>
          <cell r="P1532" t="str">
            <v/>
          </cell>
          <cell r="Q1532" t="str">
            <v/>
          </cell>
          <cell r="S1532" t="str">
            <v/>
          </cell>
          <cell r="V1532" t="str">
            <v/>
          </cell>
          <cell r="Z1532" t="str">
            <v/>
          </cell>
          <cell r="AA1532" t="str">
            <v/>
          </cell>
          <cell r="AB1532" t="str">
            <v/>
          </cell>
          <cell r="AC1532" t="str">
            <v/>
          </cell>
          <cell r="AD1532" t="str">
            <v/>
          </cell>
          <cell r="AY1532" t="str">
            <v/>
          </cell>
          <cell r="AZ1532" t="str">
            <v/>
          </cell>
          <cell r="BA1532" t="str">
            <v/>
          </cell>
        </row>
        <row r="1533">
          <cell r="B1533" t="str">
            <v>-</v>
          </cell>
          <cell r="E1533" t="str">
            <v/>
          </cell>
          <cell r="G1533" t="str">
            <v/>
          </cell>
          <cell r="J1533" t="str">
            <v/>
          </cell>
          <cell r="O1533" t="str">
            <v/>
          </cell>
          <cell r="P1533" t="str">
            <v/>
          </cell>
          <cell r="Q1533" t="str">
            <v/>
          </cell>
          <cell r="S1533" t="str">
            <v/>
          </cell>
          <cell r="V1533" t="str">
            <v/>
          </cell>
          <cell r="Z1533" t="str">
            <v/>
          </cell>
          <cell r="AA1533" t="str">
            <v/>
          </cell>
          <cell r="AB1533" t="str">
            <v/>
          </cell>
          <cell r="AC1533" t="str">
            <v/>
          </cell>
          <cell r="AD1533" t="str">
            <v/>
          </cell>
          <cell r="AY1533" t="str">
            <v/>
          </cell>
          <cell r="AZ1533" t="str">
            <v/>
          </cell>
          <cell r="BA1533" t="str">
            <v/>
          </cell>
        </row>
        <row r="1534">
          <cell r="B1534" t="str">
            <v>-</v>
          </cell>
          <cell r="E1534" t="str">
            <v/>
          </cell>
          <cell r="G1534" t="str">
            <v/>
          </cell>
          <cell r="J1534" t="str">
            <v/>
          </cell>
          <cell r="O1534" t="str">
            <v/>
          </cell>
          <cell r="P1534" t="str">
            <v/>
          </cell>
          <cell r="Q1534" t="str">
            <v/>
          </cell>
          <cell r="S1534" t="str">
            <v/>
          </cell>
          <cell r="V1534" t="str">
            <v/>
          </cell>
          <cell r="Z1534" t="str">
            <v/>
          </cell>
          <cell r="AA1534" t="str">
            <v/>
          </cell>
          <cell r="AB1534" t="str">
            <v/>
          </cell>
          <cell r="AC1534" t="str">
            <v/>
          </cell>
          <cell r="AD1534" t="str">
            <v/>
          </cell>
          <cell r="AY1534" t="str">
            <v/>
          </cell>
          <cell r="AZ1534" t="str">
            <v/>
          </cell>
          <cell r="BA1534" t="str">
            <v/>
          </cell>
        </row>
        <row r="1535">
          <cell r="B1535" t="str">
            <v>-</v>
          </cell>
          <cell r="E1535" t="str">
            <v/>
          </cell>
          <cell r="G1535" t="str">
            <v/>
          </cell>
          <cell r="J1535" t="str">
            <v/>
          </cell>
          <cell r="O1535" t="str">
            <v/>
          </cell>
          <cell r="P1535" t="str">
            <v/>
          </cell>
          <cell r="Q1535" t="str">
            <v/>
          </cell>
          <cell r="S1535" t="str">
            <v/>
          </cell>
          <cell r="V1535" t="str">
            <v/>
          </cell>
          <cell r="Z1535" t="str">
            <v/>
          </cell>
          <cell r="AA1535" t="str">
            <v/>
          </cell>
          <cell r="AB1535" t="str">
            <v/>
          </cell>
          <cell r="AC1535" t="str">
            <v/>
          </cell>
          <cell r="AD1535" t="str">
            <v/>
          </cell>
          <cell r="AY1535" t="str">
            <v/>
          </cell>
          <cell r="AZ1535" t="str">
            <v/>
          </cell>
          <cell r="BA1535" t="str">
            <v/>
          </cell>
        </row>
        <row r="1536">
          <cell r="B1536" t="str">
            <v>-</v>
          </cell>
          <cell r="E1536" t="str">
            <v/>
          </cell>
          <cell r="G1536" t="str">
            <v/>
          </cell>
          <cell r="J1536" t="str">
            <v/>
          </cell>
          <cell r="O1536" t="str">
            <v/>
          </cell>
          <cell r="P1536" t="str">
            <v/>
          </cell>
          <cell r="Q1536" t="str">
            <v/>
          </cell>
          <cell r="S1536" t="str">
            <v/>
          </cell>
          <cell r="V1536" t="str">
            <v/>
          </cell>
          <cell r="Z1536" t="str">
            <v/>
          </cell>
          <cell r="AA1536" t="str">
            <v/>
          </cell>
          <cell r="AB1536" t="str">
            <v/>
          </cell>
          <cell r="AC1536" t="str">
            <v/>
          </cell>
          <cell r="AD1536" t="str">
            <v/>
          </cell>
          <cell r="AY1536" t="str">
            <v/>
          </cell>
          <cell r="AZ1536" t="str">
            <v/>
          </cell>
          <cell r="BA1536" t="str">
            <v/>
          </cell>
        </row>
        <row r="1537">
          <cell r="B1537" t="str">
            <v>-</v>
          </cell>
          <cell r="E1537" t="str">
            <v/>
          </cell>
          <cell r="G1537" t="str">
            <v/>
          </cell>
          <cell r="J1537" t="str">
            <v/>
          </cell>
          <cell r="O1537" t="str">
            <v/>
          </cell>
          <cell r="P1537" t="str">
            <v/>
          </cell>
          <cell r="Q1537" t="str">
            <v/>
          </cell>
          <cell r="S1537" t="str">
            <v/>
          </cell>
          <cell r="V1537" t="str">
            <v/>
          </cell>
          <cell r="Z1537" t="str">
            <v/>
          </cell>
          <cell r="AA1537" t="str">
            <v/>
          </cell>
          <cell r="AB1537" t="str">
            <v/>
          </cell>
          <cell r="AC1537" t="str">
            <v/>
          </cell>
          <cell r="AD1537" t="str">
            <v/>
          </cell>
          <cell r="AY1537" t="str">
            <v/>
          </cell>
          <cell r="AZ1537" t="str">
            <v/>
          </cell>
          <cell r="BA1537" t="str">
            <v/>
          </cell>
        </row>
        <row r="1538">
          <cell r="B1538" t="str">
            <v>-</v>
          </cell>
          <cell r="E1538" t="str">
            <v/>
          </cell>
          <cell r="G1538" t="str">
            <v/>
          </cell>
          <cell r="J1538" t="str">
            <v/>
          </cell>
          <cell r="O1538" t="str">
            <v/>
          </cell>
          <cell r="P1538" t="str">
            <v/>
          </cell>
          <cell r="Q1538" t="str">
            <v/>
          </cell>
          <cell r="S1538" t="str">
            <v/>
          </cell>
          <cell r="V1538" t="str">
            <v/>
          </cell>
          <cell r="Z1538" t="str">
            <v/>
          </cell>
          <cell r="AA1538" t="str">
            <v/>
          </cell>
          <cell r="AB1538" t="str">
            <v/>
          </cell>
          <cell r="AC1538" t="str">
            <v/>
          </cell>
          <cell r="AD1538" t="str">
            <v/>
          </cell>
          <cell r="AY1538" t="str">
            <v/>
          </cell>
          <cell r="AZ1538" t="str">
            <v/>
          </cell>
          <cell r="BA1538" t="str">
            <v/>
          </cell>
        </row>
        <row r="1539">
          <cell r="B1539" t="str">
            <v>-</v>
          </cell>
          <cell r="E1539" t="str">
            <v/>
          </cell>
          <cell r="G1539" t="str">
            <v/>
          </cell>
          <cell r="J1539" t="str">
            <v/>
          </cell>
          <cell r="O1539" t="str">
            <v/>
          </cell>
          <cell r="P1539" t="str">
            <v/>
          </cell>
          <cell r="Q1539" t="str">
            <v/>
          </cell>
          <cell r="S1539" t="str">
            <v/>
          </cell>
          <cell r="V1539" t="str">
            <v/>
          </cell>
          <cell r="Z1539" t="str">
            <v/>
          </cell>
          <cell r="AA1539" t="str">
            <v/>
          </cell>
          <cell r="AB1539" t="str">
            <v/>
          </cell>
          <cell r="AC1539" t="str">
            <v/>
          </cell>
          <cell r="AD1539" t="str">
            <v/>
          </cell>
          <cell r="AY1539" t="str">
            <v/>
          </cell>
          <cell r="AZ1539" t="str">
            <v/>
          </cell>
          <cell r="BA1539" t="str">
            <v/>
          </cell>
        </row>
        <row r="1540">
          <cell r="B1540" t="str">
            <v>-</v>
          </cell>
          <cell r="E1540" t="str">
            <v/>
          </cell>
          <cell r="G1540" t="str">
            <v/>
          </cell>
          <cell r="J1540" t="str">
            <v/>
          </cell>
          <cell r="O1540" t="str">
            <v/>
          </cell>
          <cell r="P1540" t="str">
            <v/>
          </cell>
          <cell r="Q1540" t="str">
            <v/>
          </cell>
          <cell r="S1540" t="str">
            <v/>
          </cell>
          <cell r="V1540" t="str">
            <v/>
          </cell>
          <cell r="Z1540" t="str">
            <v/>
          </cell>
          <cell r="AA1540" t="str">
            <v/>
          </cell>
          <cell r="AB1540" t="str">
            <v/>
          </cell>
          <cell r="AC1540" t="str">
            <v/>
          </cell>
          <cell r="AD1540" t="str">
            <v/>
          </cell>
          <cell r="AY1540" t="str">
            <v/>
          </cell>
          <cell r="AZ1540" t="str">
            <v/>
          </cell>
          <cell r="BA1540" t="str">
            <v/>
          </cell>
        </row>
        <row r="1541">
          <cell r="B1541" t="str">
            <v>-</v>
          </cell>
          <cell r="E1541" t="str">
            <v/>
          </cell>
          <cell r="G1541" t="str">
            <v/>
          </cell>
          <cell r="J1541" t="str">
            <v/>
          </cell>
          <cell r="O1541" t="str">
            <v/>
          </cell>
          <cell r="P1541" t="str">
            <v/>
          </cell>
          <cell r="Q1541" t="str">
            <v/>
          </cell>
          <cell r="S1541" t="str">
            <v/>
          </cell>
          <cell r="V1541" t="str">
            <v/>
          </cell>
          <cell r="Z1541" t="str">
            <v/>
          </cell>
          <cell r="AA1541" t="str">
            <v/>
          </cell>
          <cell r="AB1541" t="str">
            <v/>
          </cell>
          <cell r="AC1541" t="str">
            <v/>
          </cell>
          <cell r="AD1541" t="str">
            <v/>
          </cell>
          <cell r="AY1541" t="str">
            <v/>
          </cell>
          <cell r="AZ1541" t="str">
            <v/>
          </cell>
          <cell r="BA1541" t="str">
            <v/>
          </cell>
        </row>
        <row r="1542">
          <cell r="B1542" t="str">
            <v>-</v>
          </cell>
          <cell r="E1542" t="str">
            <v/>
          </cell>
          <cell r="G1542" t="str">
            <v/>
          </cell>
          <cell r="J1542" t="str">
            <v/>
          </cell>
          <cell r="O1542" t="str">
            <v/>
          </cell>
          <cell r="P1542" t="str">
            <v/>
          </cell>
          <cell r="Q1542" t="str">
            <v/>
          </cell>
          <cell r="S1542" t="str">
            <v/>
          </cell>
          <cell r="V1542" t="str">
            <v/>
          </cell>
          <cell r="Z1542" t="str">
            <v/>
          </cell>
          <cell r="AA1542" t="str">
            <v/>
          </cell>
          <cell r="AB1542" t="str">
            <v/>
          </cell>
          <cell r="AC1542" t="str">
            <v/>
          </cell>
          <cell r="AD1542" t="str">
            <v/>
          </cell>
          <cell r="AY1542" t="str">
            <v/>
          </cell>
          <cell r="AZ1542" t="str">
            <v/>
          </cell>
          <cell r="BA1542" t="str">
            <v/>
          </cell>
        </row>
        <row r="1543">
          <cell r="B1543" t="str">
            <v>-</v>
          </cell>
          <cell r="E1543" t="str">
            <v/>
          </cell>
          <cell r="G1543" t="str">
            <v/>
          </cell>
          <cell r="J1543" t="str">
            <v/>
          </cell>
          <cell r="O1543" t="str">
            <v/>
          </cell>
          <cell r="P1543" t="str">
            <v/>
          </cell>
          <cell r="Q1543" t="str">
            <v/>
          </cell>
          <cell r="S1543" t="str">
            <v/>
          </cell>
          <cell r="V1543" t="str">
            <v/>
          </cell>
          <cell r="Z1543" t="str">
            <v/>
          </cell>
          <cell r="AA1543" t="str">
            <v/>
          </cell>
          <cell r="AB1543" t="str">
            <v/>
          </cell>
          <cell r="AC1543" t="str">
            <v/>
          </cell>
          <cell r="AD1543" t="str">
            <v/>
          </cell>
          <cell r="AY1543" t="str">
            <v/>
          </cell>
          <cell r="AZ1543" t="str">
            <v/>
          </cell>
          <cell r="BA1543" t="str">
            <v/>
          </cell>
        </row>
        <row r="1544">
          <cell r="B1544" t="str">
            <v>-</v>
          </cell>
          <cell r="E1544" t="str">
            <v/>
          </cell>
          <cell r="G1544" t="str">
            <v/>
          </cell>
          <cell r="J1544" t="str">
            <v/>
          </cell>
          <cell r="O1544" t="str">
            <v/>
          </cell>
          <cell r="P1544" t="str">
            <v/>
          </cell>
          <cell r="Q1544" t="str">
            <v/>
          </cell>
          <cell r="S1544" t="str">
            <v/>
          </cell>
          <cell r="V1544" t="str">
            <v/>
          </cell>
          <cell r="Z1544" t="str">
            <v/>
          </cell>
          <cell r="AA1544" t="str">
            <v/>
          </cell>
          <cell r="AB1544" t="str">
            <v/>
          </cell>
          <cell r="AC1544" t="str">
            <v/>
          </cell>
          <cell r="AD1544" t="str">
            <v/>
          </cell>
          <cell r="AY1544" t="str">
            <v/>
          </cell>
          <cell r="AZ1544" t="str">
            <v/>
          </cell>
          <cell r="BA1544" t="str">
            <v/>
          </cell>
        </row>
        <row r="1545">
          <cell r="B1545" t="str">
            <v>-</v>
          </cell>
          <cell r="E1545" t="str">
            <v/>
          </cell>
          <cell r="G1545" t="str">
            <v/>
          </cell>
          <cell r="J1545" t="str">
            <v/>
          </cell>
          <cell r="O1545" t="str">
            <v/>
          </cell>
          <cell r="P1545" t="str">
            <v/>
          </cell>
          <cell r="Q1545" t="str">
            <v/>
          </cell>
          <cell r="S1545" t="str">
            <v/>
          </cell>
          <cell r="V1545" t="str">
            <v/>
          </cell>
          <cell r="Z1545" t="str">
            <v/>
          </cell>
          <cell r="AA1545" t="str">
            <v/>
          </cell>
          <cell r="AB1545" t="str">
            <v/>
          </cell>
          <cell r="AC1545" t="str">
            <v/>
          </cell>
          <cell r="AD1545" t="str">
            <v/>
          </cell>
          <cell r="AY1545" t="str">
            <v/>
          </cell>
          <cell r="AZ1545" t="str">
            <v/>
          </cell>
          <cell r="BA1545" t="str">
            <v/>
          </cell>
        </row>
        <row r="1546">
          <cell r="B1546" t="str">
            <v>-</v>
          </cell>
          <cell r="E1546" t="str">
            <v/>
          </cell>
          <cell r="G1546" t="str">
            <v/>
          </cell>
          <cell r="J1546" t="str">
            <v/>
          </cell>
          <cell r="O1546" t="str">
            <v/>
          </cell>
          <cell r="P1546" t="str">
            <v/>
          </cell>
          <cell r="Q1546" t="str">
            <v/>
          </cell>
          <cell r="S1546" t="str">
            <v/>
          </cell>
          <cell r="V1546" t="str">
            <v/>
          </cell>
          <cell r="Z1546" t="str">
            <v/>
          </cell>
          <cell r="AA1546" t="str">
            <v/>
          </cell>
          <cell r="AB1546" t="str">
            <v/>
          </cell>
          <cell r="AC1546" t="str">
            <v/>
          </cell>
          <cell r="AD1546" t="str">
            <v/>
          </cell>
          <cell r="AY1546" t="str">
            <v/>
          </cell>
          <cell r="AZ1546" t="str">
            <v/>
          </cell>
          <cell r="BA1546" t="str">
            <v/>
          </cell>
        </row>
        <row r="1547">
          <cell r="B1547" t="str">
            <v>-</v>
          </cell>
          <cell r="E1547" t="str">
            <v/>
          </cell>
          <cell r="G1547" t="str">
            <v/>
          </cell>
          <cell r="J1547" t="str">
            <v/>
          </cell>
          <cell r="O1547" t="str">
            <v/>
          </cell>
          <cell r="P1547" t="str">
            <v/>
          </cell>
          <cell r="Q1547" t="str">
            <v/>
          </cell>
          <cell r="S1547" t="str">
            <v/>
          </cell>
          <cell r="V1547" t="str">
            <v/>
          </cell>
          <cell r="Z1547" t="str">
            <v/>
          </cell>
          <cell r="AA1547" t="str">
            <v/>
          </cell>
          <cell r="AB1547" t="str">
            <v/>
          </cell>
          <cell r="AC1547" t="str">
            <v/>
          </cell>
          <cell r="AD1547" t="str">
            <v/>
          </cell>
          <cell r="AY1547" t="str">
            <v/>
          </cell>
          <cell r="AZ1547" t="str">
            <v/>
          </cell>
          <cell r="BA1547" t="str">
            <v/>
          </cell>
        </row>
        <row r="1548">
          <cell r="B1548" t="str">
            <v>-</v>
          </cell>
          <cell r="E1548" t="str">
            <v/>
          </cell>
          <cell r="G1548" t="str">
            <v/>
          </cell>
          <cell r="J1548" t="str">
            <v/>
          </cell>
          <cell r="O1548" t="str">
            <v/>
          </cell>
          <cell r="P1548" t="str">
            <v/>
          </cell>
          <cell r="Q1548" t="str">
            <v/>
          </cell>
          <cell r="S1548" t="str">
            <v/>
          </cell>
          <cell r="V1548" t="str">
            <v/>
          </cell>
          <cell r="Z1548" t="str">
            <v/>
          </cell>
          <cell r="AA1548" t="str">
            <v/>
          </cell>
          <cell r="AB1548" t="str">
            <v/>
          </cell>
          <cell r="AC1548" t="str">
            <v/>
          </cell>
          <cell r="AD1548" t="str">
            <v/>
          </cell>
          <cell r="AY1548" t="str">
            <v/>
          </cell>
          <cell r="AZ1548" t="str">
            <v/>
          </cell>
          <cell r="BA1548" t="str">
            <v/>
          </cell>
        </row>
        <row r="1549">
          <cell r="B1549" t="str">
            <v>-</v>
          </cell>
          <cell r="E1549" t="str">
            <v/>
          </cell>
          <cell r="G1549" t="str">
            <v/>
          </cell>
          <cell r="J1549" t="str">
            <v/>
          </cell>
          <cell r="O1549" t="str">
            <v/>
          </cell>
          <cell r="P1549" t="str">
            <v/>
          </cell>
          <cell r="Q1549" t="str">
            <v/>
          </cell>
          <cell r="S1549" t="str">
            <v/>
          </cell>
          <cell r="V1549" t="str">
            <v/>
          </cell>
          <cell r="Z1549" t="str">
            <v/>
          </cell>
          <cell r="AA1549" t="str">
            <v/>
          </cell>
          <cell r="AB1549" t="str">
            <v/>
          </cell>
          <cell r="AC1549" t="str">
            <v/>
          </cell>
          <cell r="AD1549" t="str">
            <v/>
          </cell>
          <cell r="AY1549" t="str">
            <v/>
          </cell>
          <cell r="AZ1549" t="str">
            <v/>
          </cell>
          <cell r="BA1549" t="str">
            <v/>
          </cell>
        </row>
        <row r="1550">
          <cell r="B1550" t="str">
            <v>-</v>
          </cell>
          <cell r="E1550" t="str">
            <v/>
          </cell>
          <cell r="G1550" t="str">
            <v/>
          </cell>
          <cell r="J1550" t="str">
            <v/>
          </cell>
          <cell r="O1550" t="str">
            <v/>
          </cell>
          <cell r="P1550" t="str">
            <v/>
          </cell>
          <cell r="Q1550" t="str">
            <v/>
          </cell>
          <cell r="S1550" t="str">
            <v/>
          </cell>
          <cell r="V1550" t="str">
            <v/>
          </cell>
          <cell r="Z1550" t="str">
            <v/>
          </cell>
          <cell r="AA1550" t="str">
            <v/>
          </cell>
          <cell r="AB1550" t="str">
            <v/>
          </cell>
          <cell r="AC1550" t="str">
            <v/>
          </cell>
          <cell r="AD1550" t="str">
            <v/>
          </cell>
          <cell r="AY1550" t="str">
            <v/>
          </cell>
          <cell r="AZ1550" t="str">
            <v/>
          </cell>
          <cell r="BA1550" t="str">
            <v/>
          </cell>
        </row>
        <row r="1551">
          <cell r="B1551" t="str">
            <v>-</v>
          </cell>
          <cell r="E1551" t="str">
            <v/>
          </cell>
          <cell r="G1551" t="str">
            <v/>
          </cell>
          <cell r="J1551" t="str">
            <v/>
          </cell>
          <cell r="O1551" t="str">
            <v/>
          </cell>
          <cell r="P1551" t="str">
            <v/>
          </cell>
          <cell r="Q1551" t="str">
            <v/>
          </cell>
          <cell r="S1551" t="str">
            <v/>
          </cell>
          <cell r="V1551" t="str">
            <v/>
          </cell>
          <cell r="Z1551" t="str">
            <v/>
          </cell>
          <cell r="AA1551" t="str">
            <v/>
          </cell>
          <cell r="AB1551" t="str">
            <v/>
          </cell>
          <cell r="AC1551" t="str">
            <v/>
          </cell>
          <cell r="AD1551" t="str">
            <v/>
          </cell>
          <cell r="AY1551" t="str">
            <v/>
          </cell>
          <cell r="AZ1551" t="str">
            <v/>
          </cell>
          <cell r="BA1551" t="str">
            <v/>
          </cell>
        </row>
        <row r="1552">
          <cell r="B1552" t="str">
            <v>-</v>
          </cell>
          <cell r="E1552" t="str">
            <v/>
          </cell>
          <cell r="G1552" t="str">
            <v/>
          </cell>
          <cell r="J1552" t="str">
            <v/>
          </cell>
          <cell r="O1552" t="str">
            <v/>
          </cell>
          <cell r="P1552" t="str">
            <v/>
          </cell>
          <cell r="Q1552" t="str">
            <v/>
          </cell>
          <cell r="S1552" t="str">
            <v/>
          </cell>
          <cell r="V1552" t="str">
            <v/>
          </cell>
          <cell r="Z1552" t="str">
            <v/>
          </cell>
          <cell r="AA1552" t="str">
            <v/>
          </cell>
          <cell r="AB1552" t="str">
            <v/>
          </cell>
          <cell r="AC1552" t="str">
            <v/>
          </cell>
          <cell r="AD1552" t="str">
            <v/>
          </cell>
          <cell r="AY1552" t="str">
            <v/>
          </cell>
          <cell r="AZ1552" t="str">
            <v/>
          </cell>
          <cell r="BA1552" t="str">
            <v/>
          </cell>
        </row>
        <row r="1553">
          <cell r="B1553" t="str">
            <v>-</v>
          </cell>
          <cell r="E1553" t="str">
            <v/>
          </cell>
          <cell r="G1553" t="str">
            <v/>
          </cell>
          <cell r="J1553" t="str">
            <v/>
          </cell>
          <cell r="O1553" t="str">
            <v/>
          </cell>
          <cell r="P1553" t="str">
            <v/>
          </cell>
          <cell r="Q1553" t="str">
            <v/>
          </cell>
          <cell r="S1553" t="str">
            <v/>
          </cell>
          <cell r="V1553" t="str">
            <v/>
          </cell>
          <cell r="Z1553" t="str">
            <v/>
          </cell>
          <cell r="AA1553" t="str">
            <v/>
          </cell>
          <cell r="AB1553" t="str">
            <v/>
          </cell>
          <cell r="AC1553" t="str">
            <v/>
          </cell>
          <cell r="AD1553" t="str">
            <v/>
          </cell>
          <cell r="AY1553" t="str">
            <v/>
          </cell>
          <cell r="AZ1553" t="str">
            <v/>
          </cell>
          <cell r="BA1553" t="str">
            <v/>
          </cell>
        </row>
        <row r="1554">
          <cell r="B1554" t="str">
            <v>-</v>
          </cell>
          <cell r="E1554" t="str">
            <v/>
          </cell>
          <cell r="G1554" t="str">
            <v/>
          </cell>
          <cell r="J1554" t="str">
            <v/>
          </cell>
          <cell r="O1554" t="str">
            <v/>
          </cell>
          <cell r="P1554" t="str">
            <v/>
          </cell>
          <cell r="Q1554" t="str">
            <v/>
          </cell>
          <cell r="S1554" t="str">
            <v/>
          </cell>
          <cell r="V1554" t="str">
            <v/>
          </cell>
          <cell r="Z1554" t="str">
            <v/>
          </cell>
          <cell r="AA1554" t="str">
            <v/>
          </cell>
          <cell r="AB1554" t="str">
            <v/>
          </cell>
          <cell r="AC1554" t="str">
            <v/>
          </cell>
          <cell r="AD1554" t="str">
            <v/>
          </cell>
          <cell r="AY1554" t="str">
            <v/>
          </cell>
          <cell r="AZ1554" t="str">
            <v/>
          </cell>
          <cell r="BA1554" t="str">
            <v/>
          </cell>
        </row>
        <row r="1555">
          <cell r="B1555" t="str">
            <v>-</v>
          </cell>
          <cell r="E1555" t="str">
            <v/>
          </cell>
          <cell r="G1555" t="str">
            <v/>
          </cell>
          <cell r="J1555" t="str">
            <v/>
          </cell>
          <cell r="O1555" t="str">
            <v/>
          </cell>
          <cell r="P1555" t="str">
            <v/>
          </cell>
          <cell r="Q1555" t="str">
            <v/>
          </cell>
          <cell r="S1555" t="str">
            <v/>
          </cell>
          <cell r="V1555" t="str">
            <v/>
          </cell>
          <cell r="Z1555" t="str">
            <v/>
          </cell>
          <cell r="AA1555" t="str">
            <v/>
          </cell>
          <cell r="AB1555" t="str">
            <v/>
          </cell>
          <cell r="AC1555" t="str">
            <v/>
          </cell>
          <cell r="AD1555" t="str">
            <v/>
          </cell>
          <cell r="AY1555" t="str">
            <v/>
          </cell>
          <cell r="AZ1555" t="str">
            <v/>
          </cell>
          <cell r="BA1555" t="str">
            <v/>
          </cell>
        </row>
        <row r="1556">
          <cell r="B1556" t="str">
            <v>-</v>
          </cell>
          <cell r="E1556" t="str">
            <v/>
          </cell>
          <cell r="G1556" t="str">
            <v/>
          </cell>
          <cell r="J1556" t="str">
            <v/>
          </cell>
          <cell r="O1556" t="str">
            <v/>
          </cell>
          <cell r="P1556" t="str">
            <v/>
          </cell>
          <cell r="Q1556" t="str">
            <v/>
          </cell>
          <cell r="S1556" t="str">
            <v/>
          </cell>
          <cell r="V1556" t="str">
            <v/>
          </cell>
          <cell r="Z1556" t="str">
            <v/>
          </cell>
          <cell r="AA1556" t="str">
            <v/>
          </cell>
          <cell r="AB1556" t="str">
            <v/>
          </cell>
          <cell r="AC1556" t="str">
            <v/>
          </cell>
          <cell r="AD1556" t="str">
            <v/>
          </cell>
          <cell r="AY1556" t="str">
            <v/>
          </cell>
          <cell r="AZ1556" t="str">
            <v/>
          </cell>
          <cell r="BA1556" t="str">
            <v/>
          </cell>
        </row>
        <row r="1557">
          <cell r="B1557" t="str">
            <v>-</v>
          </cell>
          <cell r="E1557" t="str">
            <v/>
          </cell>
          <cell r="G1557" t="str">
            <v/>
          </cell>
          <cell r="J1557" t="str">
            <v/>
          </cell>
          <cell r="O1557" t="str">
            <v/>
          </cell>
          <cell r="P1557" t="str">
            <v/>
          </cell>
          <cell r="Q1557" t="str">
            <v/>
          </cell>
          <cell r="S1557" t="str">
            <v/>
          </cell>
          <cell r="V1557" t="str">
            <v/>
          </cell>
          <cell r="Z1557" t="str">
            <v/>
          </cell>
          <cell r="AA1557" t="str">
            <v/>
          </cell>
          <cell r="AB1557" t="str">
            <v/>
          </cell>
          <cell r="AC1557" t="str">
            <v/>
          </cell>
          <cell r="AD1557" t="str">
            <v/>
          </cell>
          <cell r="AY1557" t="str">
            <v/>
          </cell>
          <cell r="AZ1557" t="str">
            <v/>
          </cell>
          <cell r="BA1557" t="str">
            <v/>
          </cell>
        </row>
        <row r="1558">
          <cell r="B1558" t="str">
            <v>-</v>
          </cell>
          <cell r="E1558" t="str">
            <v/>
          </cell>
          <cell r="G1558" t="str">
            <v/>
          </cell>
          <cell r="J1558" t="str">
            <v/>
          </cell>
          <cell r="O1558" t="str">
            <v/>
          </cell>
          <cell r="P1558" t="str">
            <v/>
          </cell>
          <cell r="Q1558" t="str">
            <v/>
          </cell>
          <cell r="S1558" t="str">
            <v/>
          </cell>
          <cell r="V1558" t="str">
            <v/>
          </cell>
          <cell r="Z1558" t="str">
            <v/>
          </cell>
          <cell r="AA1558" t="str">
            <v/>
          </cell>
          <cell r="AB1558" t="str">
            <v/>
          </cell>
          <cell r="AC1558" t="str">
            <v/>
          </cell>
          <cell r="AD1558" t="str">
            <v/>
          </cell>
          <cell r="AY1558" t="str">
            <v/>
          </cell>
          <cell r="AZ1558" t="str">
            <v/>
          </cell>
          <cell r="BA1558" t="str">
            <v/>
          </cell>
        </row>
        <row r="1559">
          <cell r="B1559" t="str">
            <v>-</v>
          </cell>
          <cell r="E1559" t="str">
            <v/>
          </cell>
          <cell r="G1559" t="str">
            <v/>
          </cell>
          <cell r="J1559" t="str">
            <v/>
          </cell>
          <cell r="O1559" t="str">
            <v/>
          </cell>
          <cell r="P1559" t="str">
            <v/>
          </cell>
          <cell r="Q1559" t="str">
            <v/>
          </cell>
          <cell r="S1559" t="str">
            <v/>
          </cell>
          <cell r="V1559" t="str">
            <v/>
          </cell>
          <cell r="Z1559" t="str">
            <v/>
          </cell>
          <cell r="AA1559" t="str">
            <v/>
          </cell>
          <cell r="AB1559" t="str">
            <v/>
          </cell>
          <cell r="AC1559" t="str">
            <v/>
          </cell>
          <cell r="AD1559" t="str">
            <v/>
          </cell>
          <cell r="AY1559" t="str">
            <v/>
          </cell>
          <cell r="AZ1559" t="str">
            <v/>
          </cell>
          <cell r="BA1559" t="str">
            <v/>
          </cell>
        </row>
        <row r="1560">
          <cell r="B1560" t="str">
            <v>-</v>
          </cell>
          <cell r="E1560" t="str">
            <v/>
          </cell>
          <cell r="G1560" t="str">
            <v/>
          </cell>
          <cell r="J1560" t="str">
            <v/>
          </cell>
          <cell r="O1560" t="str">
            <v/>
          </cell>
          <cell r="P1560" t="str">
            <v/>
          </cell>
          <cell r="Q1560" t="str">
            <v/>
          </cell>
          <cell r="S1560" t="str">
            <v/>
          </cell>
          <cell r="V1560" t="str">
            <v/>
          </cell>
          <cell r="Z1560" t="str">
            <v/>
          </cell>
          <cell r="AA1560" t="str">
            <v/>
          </cell>
          <cell r="AB1560" t="str">
            <v/>
          </cell>
          <cell r="AC1560" t="str">
            <v/>
          </cell>
          <cell r="AD1560" t="str">
            <v/>
          </cell>
          <cell r="AY1560" t="str">
            <v/>
          </cell>
          <cell r="AZ1560" t="str">
            <v/>
          </cell>
          <cell r="BA1560" t="str">
            <v/>
          </cell>
        </row>
        <row r="1561">
          <cell r="B1561" t="str">
            <v>-</v>
          </cell>
          <cell r="E1561" t="str">
            <v/>
          </cell>
          <cell r="G1561" t="str">
            <v/>
          </cell>
          <cell r="J1561" t="str">
            <v/>
          </cell>
          <cell r="O1561" t="str">
            <v/>
          </cell>
          <cell r="P1561" t="str">
            <v/>
          </cell>
          <cell r="Q1561" t="str">
            <v/>
          </cell>
          <cell r="S1561" t="str">
            <v/>
          </cell>
          <cell r="V1561" t="str">
            <v/>
          </cell>
          <cell r="Z1561" t="str">
            <v/>
          </cell>
          <cell r="AA1561" t="str">
            <v/>
          </cell>
          <cell r="AB1561" t="str">
            <v/>
          </cell>
          <cell r="AC1561" t="str">
            <v/>
          </cell>
          <cell r="AD1561" t="str">
            <v/>
          </cell>
          <cell r="AY1561" t="str">
            <v/>
          </cell>
          <cell r="AZ1561" t="str">
            <v/>
          </cell>
          <cell r="BA1561" t="str">
            <v/>
          </cell>
        </row>
        <row r="1562">
          <cell r="B1562" t="str">
            <v>-</v>
          </cell>
          <cell r="E1562" t="str">
            <v/>
          </cell>
          <cell r="G1562" t="str">
            <v/>
          </cell>
          <cell r="J1562" t="str">
            <v/>
          </cell>
          <cell r="O1562" t="str">
            <v/>
          </cell>
          <cell r="P1562" t="str">
            <v/>
          </cell>
          <cell r="Q1562" t="str">
            <v/>
          </cell>
          <cell r="S1562" t="str">
            <v/>
          </cell>
          <cell r="V1562" t="str">
            <v/>
          </cell>
          <cell r="Z1562" t="str">
            <v/>
          </cell>
          <cell r="AA1562" t="str">
            <v/>
          </cell>
          <cell r="AB1562" t="str">
            <v/>
          </cell>
          <cell r="AC1562" t="str">
            <v/>
          </cell>
          <cell r="AD1562" t="str">
            <v/>
          </cell>
          <cell r="AY1562" t="str">
            <v/>
          </cell>
          <cell r="AZ1562" t="str">
            <v/>
          </cell>
          <cell r="BA1562" t="str">
            <v/>
          </cell>
        </row>
        <row r="1563">
          <cell r="B1563" t="str">
            <v>-</v>
          </cell>
          <cell r="E1563" t="str">
            <v/>
          </cell>
          <cell r="G1563" t="str">
            <v/>
          </cell>
          <cell r="J1563" t="str">
            <v/>
          </cell>
          <cell r="O1563" t="str">
            <v/>
          </cell>
          <cell r="P1563" t="str">
            <v/>
          </cell>
          <cell r="Q1563" t="str">
            <v/>
          </cell>
          <cell r="S1563" t="str">
            <v/>
          </cell>
          <cell r="V1563" t="str">
            <v/>
          </cell>
          <cell r="Z1563" t="str">
            <v/>
          </cell>
          <cell r="AA1563" t="str">
            <v/>
          </cell>
          <cell r="AB1563" t="str">
            <v/>
          </cell>
          <cell r="AC1563" t="str">
            <v/>
          </cell>
          <cell r="AD1563" t="str">
            <v/>
          </cell>
          <cell r="AY1563" t="str">
            <v/>
          </cell>
          <cell r="AZ1563" t="str">
            <v/>
          </cell>
          <cell r="BA1563" t="str">
            <v/>
          </cell>
        </row>
        <row r="1564">
          <cell r="B1564" t="str">
            <v>-</v>
          </cell>
          <cell r="E1564" t="str">
            <v/>
          </cell>
          <cell r="G1564" t="str">
            <v/>
          </cell>
          <cell r="J1564" t="str">
            <v/>
          </cell>
          <cell r="O1564" t="str">
            <v/>
          </cell>
          <cell r="P1564" t="str">
            <v/>
          </cell>
          <cell r="Q1564" t="str">
            <v/>
          </cell>
          <cell r="S1564" t="str">
            <v/>
          </cell>
          <cell r="V1564" t="str">
            <v/>
          </cell>
          <cell r="Z1564" t="str">
            <v/>
          </cell>
          <cell r="AA1564" t="str">
            <v/>
          </cell>
          <cell r="AB1564" t="str">
            <v/>
          </cell>
          <cell r="AC1564" t="str">
            <v/>
          </cell>
          <cell r="AD1564" t="str">
            <v/>
          </cell>
          <cell r="AY1564" t="str">
            <v/>
          </cell>
          <cell r="AZ1564" t="str">
            <v/>
          </cell>
          <cell r="BA1564" t="str">
            <v/>
          </cell>
        </row>
        <row r="1565">
          <cell r="B1565" t="str">
            <v>-</v>
          </cell>
          <cell r="E1565" t="str">
            <v/>
          </cell>
          <cell r="G1565" t="str">
            <v/>
          </cell>
          <cell r="J1565" t="str">
            <v/>
          </cell>
          <cell r="O1565" t="str">
            <v/>
          </cell>
          <cell r="P1565" t="str">
            <v/>
          </cell>
          <cell r="Q1565" t="str">
            <v/>
          </cell>
          <cell r="S1565" t="str">
            <v/>
          </cell>
          <cell r="V1565" t="str">
            <v/>
          </cell>
          <cell r="Z1565" t="str">
            <v/>
          </cell>
          <cell r="AA1565" t="str">
            <v/>
          </cell>
          <cell r="AB1565" t="str">
            <v/>
          </cell>
          <cell r="AC1565" t="str">
            <v/>
          </cell>
          <cell r="AD1565" t="str">
            <v/>
          </cell>
          <cell r="AY1565" t="str">
            <v/>
          </cell>
          <cell r="AZ1565" t="str">
            <v/>
          </cell>
          <cell r="BA1565" t="str">
            <v/>
          </cell>
        </row>
        <row r="1566">
          <cell r="B1566" t="str">
            <v>-</v>
          </cell>
          <cell r="E1566" t="str">
            <v/>
          </cell>
          <cell r="G1566" t="str">
            <v/>
          </cell>
          <cell r="J1566" t="str">
            <v/>
          </cell>
          <cell r="O1566" t="str">
            <v/>
          </cell>
          <cell r="P1566" t="str">
            <v/>
          </cell>
          <cell r="Q1566" t="str">
            <v/>
          </cell>
          <cell r="S1566" t="str">
            <v/>
          </cell>
          <cell r="V1566" t="str">
            <v/>
          </cell>
          <cell r="Z1566" t="str">
            <v/>
          </cell>
          <cell r="AA1566" t="str">
            <v/>
          </cell>
          <cell r="AB1566" t="str">
            <v/>
          </cell>
          <cell r="AC1566" t="str">
            <v/>
          </cell>
          <cell r="AD1566" t="str">
            <v/>
          </cell>
          <cell r="AY1566" t="str">
            <v/>
          </cell>
          <cell r="AZ1566" t="str">
            <v/>
          </cell>
          <cell r="BA1566" t="str">
            <v/>
          </cell>
        </row>
        <row r="1567">
          <cell r="B1567" t="str">
            <v>-</v>
          </cell>
          <cell r="E1567" t="str">
            <v/>
          </cell>
          <cell r="G1567" t="str">
            <v/>
          </cell>
          <cell r="J1567" t="str">
            <v/>
          </cell>
          <cell r="O1567" t="str">
            <v/>
          </cell>
          <cell r="P1567" t="str">
            <v/>
          </cell>
          <cell r="Q1567" t="str">
            <v/>
          </cell>
          <cell r="S1567" t="str">
            <v/>
          </cell>
          <cell r="V1567" t="str">
            <v/>
          </cell>
          <cell r="Z1567" t="str">
            <v/>
          </cell>
          <cell r="AA1567" t="str">
            <v/>
          </cell>
          <cell r="AB1567" t="str">
            <v/>
          </cell>
          <cell r="AC1567" t="str">
            <v/>
          </cell>
          <cell r="AD1567" t="str">
            <v/>
          </cell>
          <cell r="AY1567" t="str">
            <v/>
          </cell>
          <cell r="AZ1567" t="str">
            <v/>
          </cell>
          <cell r="BA1567" t="str">
            <v/>
          </cell>
        </row>
        <row r="1568">
          <cell r="B1568" t="str">
            <v>-</v>
          </cell>
          <cell r="E1568" t="str">
            <v/>
          </cell>
          <cell r="G1568" t="str">
            <v/>
          </cell>
          <cell r="J1568" t="str">
            <v/>
          </cell>
          <cell r="O1568" t="str">
            <v/>
          </cell>
          <cell r="P1568" t="str">
            <v/>
          </cell>
          <cell r="Q1568" t="str">
            <v/>
          </cell>
          <cell r="S1568" t="str">
            <v/>
          </cell>
          <cell r="V1568" t="str">
            <v/>
          </cell>
          <cell r="Z1568" t="str">
            <v/>
          </cell>
          <cell r="AA1568" t="str">
            <v/>
          </cell>
          <cell r="AB1568" t="str">
            <v/>
          </cell>
          <cell r="AC1568" t="str">
            <v/>
          </cell>
          <cell r="AD1568" t="str">
            <v/>
          </cell>
          <cell r="AY1568" t="str">
            <v/>
          </cell>
          <cell r="AZ1568" t="str">
            <v/>
          </cell>
          <cell r="BA1568" t="str">
            <v/>
          </cell>
        </row>
        <row r="1569">
          <cell r="B1569" t="str">
            <v>-</v>
          </cell>
          <cell r="E1569" t="str">
            <v/>
          </cell>
          <cell r="G1569" t="str">
            <v/>
          </cell>
          <cell r="J1569" t="str">
            <v/>
          </cell>
          <cell r="O1569" t="str">
            <v/>
          </cell>
          <cell r="P1569" t="str">
            <v/>
          </cell>
          <cell r="Q1569" t="str">
            <v/>
          </cell>
          <cell r="S1569" t="str">
            <v/>
          </cell>
          <cell r="V1569" t="str">
            <v/>
          </cell>
          <cell r="Z1569" t="str">
            <v/>
          </cell>
          <cell r="AA1569" t="str">
            <v/>
          </cell>
          <cell r="AB1569" t="str">
            <v/>
          </cell>
          <cell r="AC1569" t="str">
            <v/>
          </cell>
          <cell r="AD1569" t="str">
            <v/>
          </cell>
          <cell r="AY1569" t="str">
            <v/>
          </cell>
          <cell r="AZ1569" t="str">
            <v/>
          </cell>
          <cell r="BA1569" t="str">
            <v/>
          </cell>
        </row>
        <row r="1570">
          <cell r="B1570" t="str">
            <v>-</v>
          </cell>
          <cell r="E1570" t="str">
            <v/>
          </cell>
          <cell r="G1570" t="str">
            <v/>
          </cell>
          <cell r="J1570" t="str">
            <v/>
          </cell>
          <cell r="O1570" t="str">
            <v/>
          </cell>
          <cell r="P1570" t="str">
            <v/>
          </cell>
          <cell r="Q1570" t="str">
            <v/>
          </cell>
          <cell r="S1570" t="str">
            <v/>
          </cell>
          <cell r="V1570" t="str">
            <v/>
          </cell>
          <cell r="Z1570" t="str">
            <v/>
          </cell>
          <cell r="AA1570" t="str">
            <v/>
          </cell>
          <cell r="AB1570" t="str">
            <v/>
          </cell>
          <cell r="AC1570" t="str">
            <v/>
          </cell>
          <cell r="AD1570" t="str">
            <v/>
          </cell>
          <cell r="AY1570" t="str">
            <v/>
          </cell>
          <cell r="AZ1570" t="str">
            <v/>
          </cell>
          <cell r="BA1570" t="str">
            <v/>
          </cell>
        </row>
        <row r="1571">
          <cell r="B1571" t="str">
            <v>-</v>
          </cell>
          <cell r="E1571" t="str">
            <v/>
          </cell>
          <cell r="G1571" t="str">
            <v/>
          </cell>
          <cell r="J1571" t="str">
            <v/>
          </cell>
          <cell r="O1571" t="str">
            <v/>
          </cell>
          <cell r="P1571" t="str">
            <v/>
          </cell>
          <cell r="Q1571" t="str">
            <v/>
          </cell>
          <cell r="S1571" t="str">
            <v/>
          </cell>
          <cell r="V1571" t="str">
            <v/>
          </cell>
          <cell r="Z1571" t="str">
            <v/>
          </cell>
          <cell r="AA1571" t="str">
            <v/>
          </cell>
          <cell r="AB1571" t="str">
            <v/>
          </cell>
          <cell r="AC1571" t="str">
            <v/>
          </cell>
          <cell r="AD1571" t="str">
            <v/>
          </cell>
          <cell r="AY1571" t="str">
            <v/>
          </cell>
          <cell r="AZ1571" t="str">
            <v/>
          </cell>
          <cell r="BA1571" t="str">
            <v/>
          </cell>
        </row>
        <row r="1572">
          <cell r="B1572" t="str">
            <v>-</v>
          </cell>
          <cell r="E1572" t="str">
            <v/>
          </cell>
          <cell r="G1572" t="str">
            <v/>
          </cell>
          <cell r="J1572" t="str">
            <v/>
          </cell>
          <cell r="O1572" t="str">
            <v/>
          </cell>
          <cell r="P1572" t="str">
            <v/>
          </cell>
          <cell r="Q1572" t="str">
            <v/>
          </cell>
          <cell r="S1572" t="str">
            <v/>
          </cell>
          <cell r="V1572" t="str">
            <v/>
          </cell>
          <cell r="Z1572" t="str">
            <v/>
          </cell>
          <cell r="AA1572" t="str">
            <v/>
          </cell>
          <cell r="AB1572" t="str">
            <v/>
          </cell>
          <cell r="AC1572" t="str">
            <v/>
          </cell>
          <cell r="AD1572" t="str">
            <v/>
          </cell>
          <cell r="AY1572" t="str">
            <v/>
          </cell>
          <cell r="AZ1572" t="str">
            <v/>
          </cell>
          <cell r="BA1572" t="str">
            <v/>
          </cell>
        </row>
        <row r="1573">
          <cell r="B1573" t="str">
            <v>-</v>
          </cell>
          <cell r="E1573" t="str">
            <v/>
          </cell>
          <cell r="G1573" t="str">
            <v/>
          </cell>
          <cell r="J1573" t="str">
            <v/>
          </cell>
          <cell r="O1573" t="str">
            <v/>
          </cell>
          <cell r="P1573" t="str">
            <v/>
          </cell>
          <cell r="Q1573" t="str">
            <v/>
          </cell>
          <cell r="S1573" t="str">
            <v/>
          </cell>
          <cell r="V1573" t="str">
            <v/>
          </cell>
          <cell r="Z1573" t="str">
            <v/>
          </cell>
          <cell r="AA1573" t="str">
            <v/>
          </cell>
          <cell r="AB1573" t="str">
            <v/>
          </cell>
          <cell r="AC1573" t="str">
            <v/>
          </cell>
          <cell r="AD1573" t="str">
            <v/>
          </cell>
          <cell r="AY1573" t="str">
            <v/>
          </cell>
          <cell r="AZ1573" t="str">
            <v/>
          </cell>
          <cell r="BA1573" t="str">
            <v/>
          </cell>
        </row>
        <row r="1574">
          <cell r="B1574" t="str">
            <v>-</v>
          </cell>
          <cell r="E1574" t="str">
            <v/>
          </cell>
          <cell r="G1574" t="str">
            <v/>
          </cell>
          <cell r="J1574" t="str">
            <v/>
          </cell>
          <cell r="O1574" t="str">
            <v/>
          </cell>
          <cell r="P1574" t="str">
            <v/>
          </cell>
          <cell r="Q1574" t="str">
            <v/>
          </cell>
          <cell r="S1574" t="str">
            <v/>
          </cell>
          <cell r="V1574" t="str">
            <v/>
          </cell>
          <cell r="Z1574" t="str">
            <v/>
          </cell>
          <cell r="AA1574" t="str">
            <v/>
          </cell>
          <cell r="AB1574" t="str">
            <v/>
          </cell>
          <cell r="AC1574" t="str">
            <v/>
          </cell>
          <cell r="AD1574" t="str">
            <v/>
          </cell>
          <cell r="AY1574" t="str">
            <v/>
          </cell>
          <cell r="AZ1574" t="str">
            <v/>
          </cell>
          <cell r="BA1574" t="str">
            <v/>
          </cell>
        </row>
        <row r="1575">
          <cell r="B1575" t="str">
            <v>-</v>
          </cell>
          <cell r="E1575" t="str">
            <v/>
          </cell>
          <cell r="G1575" t="str">
            <v/>
          </cell>
          <cell r="J1575" t="str">
            <v/>
          </cell>
          <cell r="O1575" t="str">
            <v/>
          </cell>
          <cell r="P1575" t="str">
            <v/>
          </cell>
          <cell r="Q1575" t="str">
            <v/>
          </cell>
          <cell r="S1575" t="str">
            <v/>
          </cell>
          <cell r="V1575" t="str">
            <v/>
          </cell>
          <cell r="Z1575" t="str">
            <v/>
          </cell>
          <cell r="AA1575" t="str">
            <v/>
          </cell>
          <cell r="AB1575" t="str">
            <v/>
          </cell>
          <cell r="AC1575" t="str">
            <v/>
          </cell>
          <cell r="AD1575" t="str">
            <v/>
          </cell>
          <cell r="AY1575" t="str">
            <v/>
          </cell>
          <cell r="AZ1575" t="str">
            <v/>
          </cell>
          <cell r="BA1575" t="str">
            <v/>
          </cell>
        </row>
        <row r="1576">
          <cell r="B1576" t="str">
            <v>-</v>
          </cell>
          <cell r="E1576" t="str">
            <v/>
          </cell>
          <cell r="G1576" t="str">
            <v/>
          </cell>
          <cell r="J1576" t="str">
            <v/>
          </cell>
          <cell r="O1576" t="str">
            <v/>
          </cell>
          <cell r="P1576" t="str">
            <v/>
          </cell>
          <cell r="Q1576" t="str">
            <v/>
          </cell>
          <cell r="S1576" t="str">
            <v/>
          </cell>
          <cell r="V1576" t="str">
            <v/>
          </cell>
          <cell r="Z1576" t="str">
            <v/>
          </cell>
          <cell r="AA1576" t="str">
            <v/>
          </cell>
          <cell r="AB1576" t="str">
            <v/>
          </cell>
          <cell r="AC1576" t="str">
            <v/>
          </cell>
          <cell r="AD1576" t="str">
            <v/>
          </cell>
          <cell r="AY1576" t="str">
            <v/>
          </cell>
          <cell r="AZ1576" t="str">
            <v/>
          </cell>
          <cell r="BA1576" t="str">
            <v/>
          </cell>
        </row>
        <row r="1577">
          <cell r="B1577" t="str">
            <v>-</v>
          </cell>
          <cell r="E1577" t="str">
            <v/>
          </cell>
          <cell r="G1577" t="str">
            <v/>
          </cell>
          <cell r="J1577" t="str">
            <v/>
          </cell>
          <cell r="O1577" t="str">
            <v/>
          </cell>
          <cell r="P1577" t="str">
            <v/>
          </cell>
          <cell r="Q1577" t="str">
            <v/>
          </cell>
          <cell r="S1577" t="str">
            <v/>
          </cell>
          <cell r="V1577" t="str">
            <v/>
          </cell>
          <cell r="Z1577" t="str">
            <v/>
          </cell>
          <cell r="AA1577" t="str">
            <v/>
          </cell>
          <cell r="AB1577" t="str">
            <v/>
          </cell>
          <cell r="AC1577" t="str">
            <v/>
          </cell>
          <cell r="AD1577" t="str">
            <v/>
          </cell>
          <cell r="AY1577" t="str">
            <v/>
          </cell>
          <cell r="AZ1577" t="str">
            <v/>
          </cell>
          <cell r="BA1577" t="str">
            <v/>
          </cell>
        </row>
        <row r="1578">
          <cell r="B1578" t="str">
            <v>-</v>
          </cell>
          <cell r="E1578" t="str">
            <v/>
          </cell>
          <cell r="G1578" t="str">
            <v/>
          </cell>
          <cell r="J1578" t="str">
            <v/>
          </cell>
          <cell r="O1578" t="str">
            <v/>
          </cell>
          <cell r="P1578" t="str">
            <v/>
          </cell>
          <cell r="Q1578" t="str">
            <v/>
          </cell>
          <cell r="S1578" t="str">
            <v/>
          </cell>
          <cell r="V1578" t="str">
            <v/>
          </cell>
          <cell r="Z1578" t="str">
            <v/>
          </cell>
          <cell r="AA1578" t="str">
            <v/>
          </cell>
          <cell r="AB1578" t="str">
            <v/>
          </cell>
          <cell r="AC1578" t="str">
            <v/>
          </cell>
          <cell r="AD1578" t="str">
            <v/>
          </cell>
          <cell r="AY1578" t="str">
            <v/>
          </cell>
          <cell r="AZ1578" t="str">
            <v/>
          </cell>
          <cell r="BA1578" t="str">
            <v/>
          </cell>
        </row>
        <row r="1579">
          <cell r="B1579" t="str">
            <v>-</v>
          </cell>
          <cell r="E1579" t="str">
            <v/>
          </cell>
          <cell r="G1579" t="str">
            <v/>
          </cell>
          <cell r="J1579" t="str">
            <v/>
          </cell>
          <cell r="O1579" t="str">
            <v/>
          </cell>
          <cell r="P1579" t="str">
            <v/>
          </cell>
          <cell r="Q1579" t="str">
            <v/>
          </cell>
          <cell r="S1579" t="str">
            <v/>
          </cell>
          <cell r="V1579" t="str">
            <v/>
          </cell>
          <cell r="Z1579" t="str">
            <v/>
          </cell>
          <cell r="AA1579" t="str">
            <v/>
          </cell>
          <cell r="AB1579" t="str">
            <v/>
          </cell>
          <cell r="AC1579" t="str">
            <v/>
          </cell>
          <cell r="AD1579" t="str">
            <v/>
          </cell>
          <cell r="AY1579" t="str">
            <v/>
          </cell>
          <cell r="AZ1579" t="str">
            <v/>
          </cell>
          <cell r="BA1579" t="str">
            <v/>
          </cell>
        </row>
        <row r="1580">
          <cell r="B1580" t="str">
            <v>-</v>
          </cell>
          <cell r="E1580" t="str">
            <v/>
          </cell>
          <cell r="G1580" t="str">
            <v/>
          </cell>
          <cell r="J1580" t="str">
            <v/>
          </cell>
          <cell r="O1580" t="str">
            <v/>
          </cell>
          <cell r="P1580" t="str">
            <v/>
          </cell>
          <cell r="Q1580" t="str">
            <v/>
          </cell>
          <cell r="S1580" t="str">
            <v/>
          </cell>
          <cell r="V1580" t="str">
            <v/>
          </cell>
          <cell r="Z1580" t="str">
            <v/>
          </cell>
          <cell r="AA1580" t="str">
            <v/>
          </cell>
          <cell r="AB1580" t="str">
            <v/>
          </cell>
          <cell r="AC1580" t="str">
            <v/>
          </cell>
          <cell r="AD1580" t="str">
            <v/>
          </cell>
          <cell r="AY1580" t="str">
            <v/>
          </cell>
          <cell r="AZ1580" t="str">
            <v/>
          </cell>
          <cell r="BA1580" t="str">
            <v/>
          </cell>
        </row>
        <row r="1581">
          <cell r="B1581" t="str">
            <v>-</v>
          </cell>
          <cell r="E1581" t="str">
            <v/>
          </cell>
          <cell r="G1581" t="str">
            <v/>
          </cell>
          <cell r="J1581" t="str">
            <v/>
          </cell>
          <cell r="O1581" t="str">
            <v/>
          </cell>
          <cell r="P1581" t="str">
            <v/>
          </cell>
          <cell r="Q1581" t="str">
            <v/>
          </cell>
          <cell r="S1581" t="str">
            <v/>
          </cell>
          <cell r="V1581" t="str">
            <v/>
          </cell>
          <cell r="Z1581" t="str">
            <v/>
          </cell>
          <cell r="AA1581" t="str">
            <v/>
          </cell>
          <cell r="AB1581" t="str">
            <v/>
          </cell>
          <cell r="AC1581" t="str">
            <v/>
          </cell>
          <cell r="AD1581" t="str">
            <v/>
          </cell>
          <cell r="AY1581" t="str">
            <v/>
          </cell>
          <cell r="AZ1581" t="str">
            <v/>
          </cell>
          <cell r="BA1581" t="str">
            <v/>
          </cell>
        </row>
        <row r="1582">
          <cell r="B1582" t="str">
            <v>-</v>
          </cell>
          <cell r="E1582" t="str">
            <v/>
          </cell>
          <cell r="G1582" t="str">
            <v/>
          </cell>
          <cell r="J1582" t="str">
            <v/>
          </cell>
          <cell r="O1582" t="str">
            <v/>
          </cell>
          <cell r="P1582" t="str">
            <v/>
          </cell>
          <cell r="Q1582" t="str">
            <v/>
          </cell>
          <cell r="S1582" t="str">
            <v/>
          </cell>
          <cell r="V1582" t="str">
            <v/>
          </cell>
          <cell r="Z1582" t="str">
            <v/>
          </cell>
          <cell r="AA1582" t="str">
            <v/>
          </cell>
          <cell r="AB1582" t="str">
            <v/>
          </cell>
          <cell r="AC1582" t="str">
            <v/>
          </cell>
          <cell r="AD1582" t="str">
            <v/>
          </cell>
          <cell r="AY1582" t="str">
            <v/>
          </cell>
          <cell r="AZ1582" t="str">
            <v/>
          </cell>
          <cell r="BA1582" t="str">
            <v/>
          </cell>
        </row>
        <row r="1583">
          <cell r="B1583" t="str">
            <v>-</v>
          </cell>
          <cell r="E1583" t="str">
            <v/>
          </cell>
          <cell r="G1583" t="str">
            <v/>
          </cell>
          <cell r="J1583" t="str">
            <v/>
          </cell>
          <cell r="O1583" t="str">
            <v/>
          </cell>
          <cell r="P1583" t="str">
            <v/>
          </cell>
          <cell r="Q1583" t="str">
            <v/>
          </cell>
          <cell r="S1583" t="str">
            <v/>
          </cell>
          <cell r="V1583" t="str">
            <v/>
          </cell>
          <cell r="Z1583" t="str">
            <v/>
          </cell>
          <cell r="AA1583" t="str">
            <v/>
          </cell>
          <cell r="AB1583" t="str">
            <v/>
          </cell>
          <cell r="AC1583" t="str">
            <v/>
          </cell>
          <cell r="AD1583" t="str">
            <v/>
          </cell>
          <cell r="AY1583" t="str">
            <v/>
          </cell>
          <cell r="AZ1583" t="str">
            <v/>
          </cell>
          <cell r="BA1583" t="str">
            <v/>
          </cell>
        </row>
        <row r="1584">
          <cell r="B1584" t="str">
            <v>-</v>
          </cell>
          <cell r="E1584" t="str">
            <v/>
          </cell>
          <cell r="G1584" t="str">
            <v/>
          </cell>
          <cell r="J1584" t="str">
            <v/>
          </cell>
          <cell r="O1584" t="str">
            <v/>
          </cell>
          <cell r="P1584" t="str">
            <v/>
          </cell>
          <cell r="Q1584" t="str">
            <v/>
          </cell>
          <cell r="S1584" t="str">
            <v/>
          </cell>
          <cell r="V1584" t="str">
            <v/>
          </cell>
          <cell r="Z1584" t="str">
            <v/>
          </cell>
          <cell r="AA1584" t="str">
            <v/>
          </cell>
          <cell r="AB1584" t="str">
            <v/>
          </cell>
          <cell r="AC1584" t="str">
            <v/>
          </cell>
          <cell r="AD1584" t="str">
            <v/>
          </cell>
          <cell r="AY1584" t="str">
            <v/>
          </cell>
          <cell r="AZ1584" t="str">
            <v/>
          </cell>
          <cell r="BA1584" t="str">
            <v/>
          </cell>
        </row>
        <row r="1585">
          <cell r="B1585" t="str">
            <v>-</v>
          </cell>
          <cell r="E1585" t="str">
            <v/>
          </cell>
          <cell r="G1585" t="str">
            <v/>
          </cell>
          <cell r="J1585" t="str">
            <v/>
          </cell>
          <cell r="O1585" t="str">
            <v/>
          </cell>
          <cell r="P1585" t="str">
            <v/>
          </cell>
          <cell r="Q1585" t="str">
            <v/>
          </cell>
          <cell r="S1585" t="str">
            <v/>
          </cell>
          <cell r="V1585" t="str">
            <v/>
          </cell>
          <cell r="Z1585" t="str">
            <v/>
          </cell>
          <cell r="AA1585" t="str">
            <v/>
          </cell>
          <cell r="AB1585" t="str">
            <v/>
          </cell>
          <cell r="AC1585" t="str">
            <v/>
          </cell>
          <cell r="AD1585" t="str">
            <v/>
          </cell>
          <cell r="AY1585" t="str">
            <v/>
          </cell>
          <cell r="AZ1585" t="str">
            <v/>
          </cell>
          <cell r="BA1585" t="str">
            <v/>
          </cell>
        </row>
        <row r="1586">
          <cell r="B1586" t="str">
            <v>-</v>
          </cell>
          <cell r="E1586" t="str">
            <v/>
          </cell>
          <cell r="G1586" t="str">
            <v/>
          </cell>
          <cell r="J1586" t="str">
            <v/>
          </cell>
          <cell r="O1586" t="str">
            <v/>
          </cell>
          <cell r="P1586" t="str">
            <v/>
          </cell>
          <cell r="Q1586" t="str">
            <v/>
          </cell>
          <cell r="S1586" t="str">
            <v/>
          </cell>
          <cell r="V1586" t="str">
            <v/>
          </cell>
          <cell r="Z1586" t="str">
            <v/>
          </cell>
          <cell r="AA1586" t="str">
            <v/>
          </cell>
          <cell r="AB1586" t="str">
            <v/>
          </cell>
          <cell r="AC1586" t="str">
            <v/>
          </cell>
          <cell r="AD1586" t="str">
            <v/>
          </cell>
          <cell r="AY1586" t="str">
            <v/>
          </cell>
          <cell r="AZ1586" t="str">
            <v/>
          </cell>
          <cell r="BA1586" t="str">
            <v/>
          </cell>
        </row>
        <row r="1587">
          <cell r="B1587" t="str">
            <v>-</v>
          </cell>
          <cell r="E1587" t="str">
            <v/>
          </cell>
          <cell r="G1587" t="str">
            <v/>
          </cell>
          <cell r="J1587" t="str">
            <v/>
          </cell>
          <cell r="O1587" t="str">
            <v/>
          </cell>
          <cell r="P1587" t="str">
            <v/>
          </cell>
          <cell r="Q1587" t="str">
            <v/>
          </cell>
          <cell r="S1587" t="str">
            <v/>
          </cell>
          <cell r="V1587" t="str">
            <v/>
          </cell>
          <cell r="Z1587" t="str">
            <v/>
          </cell>
          <cell r="AA1587" t="str">
            <v/>
          </cell>
          <cell r="AB1587" t="str">
            <v/>
          </cell>
          <cell r="AC1587" t="str">
            <v/>
          </cell>
          <cell r="AD1587" t="str">
            <v/>
          </cell>
          <cell r="AY1587" t="str">
            <v/>
          </cell>
          <cell r="AZ1587" t="str">
            <v/>
          </cell>
          <cell r="BA1587" t="str">
            <v/>
          </cell>
        </row>
        <row r="1588">
          <cell r="B1588" t="str">
            <v>-</v>
          </cell>
          <cell r="E1588" t="str">
            <v/>
          </cell>
          <cell r="G1588" t="str">
            <v/>
          </cell>
          <cell r="J1588" t="str">
            <v/>
          </cell>
          <cell r="O1588" t="str">
            <v/>
          </cell>
          <cell r="P1588" t="str">
            <v/>
          </cell>
          <cell r="Q1588" t="str">
            <v/>
          </cell>
          <cell r="S1588" t="str">
            <v/>
          </cell>
          <cell r="V1588" t="str">
            <v/>
          </cell>
          <cell r="Z1588" t="str">
            <v/>
          </cell>
          <cell r="AA1588" t="str">
            <v/>
          </cell>
          <cell r="AB1588" t="str">
            <v/>
          </cell>
          <cell r="AC1588" t="str">
            <v/>
          </cell>
          <cell r="AD1588" t="str">
            <v/>
          </cell>
          <cell r="AY1588" t="str">
            <v/>
          </cell>
          <cell r="AZ1588" t="str">
            <v/>
          </cell>
          <cell r="BA1588" t="str">
            <v/>
          </cell>
        </row>
        <row r="1589">
          <cell r="B1589" t="str">
            <v>-</v>
          </cell>
          <cell r="E1589" t="str">
            <v/>
          </cell>
          <cell r="G1589" t="str">
            <v/>
          </cell>
          <cell r="J1589" t="str">
            <v/>
          </cell>
          <cell r="O1589" t="str">
            <v/>
          </cell>
          <cell r="P1589" t="str">
            <v/>
          </cell>
          <cell r="Q1589" t="str">
            <v/>
          </cell>
          <cell r="S1589" t="str">
            <v/>
          </cell>
          <cell r="V1589" t="str">
            <v/>
          </cell>
          <cell r="Z1589" t="str">
            <v/>
          </cell>
          <cell r="AA1589" t="str">
            <v/>
          </cell>
          <cell r="AB1589" t="str">
            <v/>
          </cell>
          <cell r="AC1589" t="str">
            <v/>
          </cell>
          <cell r="AD1589" t="str">
            <v/>
          </cell>
          <cell r="AY1589" t="str">
            <v/>
          </cell>
          <cell r="AZ1589" t="str">
            <v/>
          </cell>
          <cell r="BA1589" t="str">
            <v/>
          </cell>
        </row>
        <row r="1590">
          <cell r="B1590" t="str">
            <v>-</v>
          </cell>
          <cell r="E1590" t="str">
            <v/>
          </cell>
          <cell r="G1590" t="str">
            <v/>
          </cell>
          <cell r="J1590" t="str">
            <v/>
          </cell>
          <cell r="O1590" t="str">
            <v/>
          </cell>
          <cell r="P1590" t="str">
            <v/>
          </cell>
          <cell r="Q1590" t="str">
            <v/>
          </cell>
          <cell r="S1590" t="str">
            <v/>
          </cell>
          <cell r="V1590" t="str">
            <v/>
          </cell>
          <cell r="Z1590" t="str">
            <v/>
          </cell>
          <cell r="AA1590" t="str">
            <v/>
          </cell>
          <cell r="AB1590" t="str">
            <v/>
          </cell>
          <cell r="AC1590" t="str">
            <v/>
          </cell>
          <cell r="AD1590" t="str">
            <v/>
          </cell>
          <cell r="AY1590" t="str">
            <v/>
          </cell>
          <cell r="AZ1590" t="str">
            <v/>
          </cell>
          <cell r="BA1590" t="str">
            <v/>
          </cell>
        </row>
        <row r="1591">
          <cell r="B1591" t="str">
            <v>-</v>
          </cell>
          <cell r="E1591" t="str">
            <v/>
          </cell>
          <cell r="G1591" t="str">
            <v/>
          </cell>
          <cell r="J1591" t="str">
            <v/>
          </cell>
          <cell r="O1591" t="str">
            <v/>
          </cell>
          <cell r="P1591" t="str">
            <v/>
          </cell>
          <cell r="Q1591" t="str">
            <v/>
          </cell>
          <cell r="S1591" t="str">
            <v/>
          </cell>
          <cell r="V1591" t="str">
            <v/>
          </cell>
          <cell r="Z1591" t="str">
            <v/>
          </cell>
          <cell r="AA1591" t="str">
            <v/>
          </cell>
          <cell r="AB1591" t="str">
            <v/>
          </cell>
          <cell r="AC1591" t="str">
            <v/>
          </cell>
          <cell r="AD1591" t="str">
            <v/>
          </cell>
          <cell r="AY1591" t="str">
            <v/>
          </cell>
          <cell r="AZ1591" t="str">
            <v/>
          </cell>
          <cell r="BA1591" t="str">
            <v/>
          </cell>
        </row>
        <row r="1592">
          <cell r="B1592" t="str">
            <v>-</v>
          </cell>
          <cell r="E1592" t="str">
            <v/>
          </cell>
          <cell r="G1592" t="str">
            <v/>
          </cell>
          <cell r="J1592" t="str">
            <v/>
          </cell>
          <cell r="O1592" t="str">
            <v/>
          </cell>
          <cell r="P1592" t="str">
            <v/>
          </cell>
          <cell r="Q1592" t="str">
            <v/>
          </cell>
          <cell r="S1592" t="str">
            <v/>
          </cell>
          <cell r="V1592" t="str">
            <v/>
          </cell>
          <cell r="Z1592" t="str">
            <v/>
          </cell>
          <cell r="AA1592" t="str">
            <v/>
          </cell>
          <cell r="AB1592" t="str">
            <v/>
          </cell>
          <cell r="AC1592" t="str">
            <v/>
          </cell>
          <cell r="AD1592" t="str">
            <v/>
          </cell>
          <cell r="AY1592" t="str">
            <v/>
          </cell>
          <cell r="AZ1592" t="str">
            <v/>
          </cell>
          <cell r="BA1592" t="str">
            <v/>
          </cell>
        </row>
        <row r="1593">
          <cell r="B1593" t="str">
            <v>-</v>
          </cell>
          <cell r="E1593" t="str">
            <v/>
          </cell>
          <cell r="G1593" t="str">
            <v/>
          </cell>
          <cell r="J1593" t="str">
            <v/>
          </cell>
          <cell r="O1593" t="str">
            <v/>
          </cell>
          <cell r="P1593" t="str">
            <v/>
          </cell>
          <cell r="Q1593" t="str">
            <v/>
          </cell>
          <cell r="S1593" t="str">
            <v/>
          </cell>
          <cell r="V1593" t="str">
            <v/>
          </cell>
          <cell r="Z1593" t="str">
            <v/>
          </cell>
          <cell r="AA1593" t="str">
            <v/>
          </cell>
          <cell r="AB1593" t="str">
            <v/>
          </cell>
          <cell r="AC1593" t="str">
            <v/>
          </cell>
          <cell r="AD1593" t="str">
            <v/>
          </cell>
          <cell r="AY1593" t="str">
            <v/>
          </cell>
          <cell r="AZ1593" t="str">
            <v/>
          </cell>
          <cell r="BA1593" t="str">
            <v/>
          </cell>
        </row>
        <row r="1594">
          <cell r="B1594" t="str">
            <v>-</v>
          </cell>
          <cell r="E1594" t="str">
            <v/>
          </cell>
          <cell r="G1594" t="str">
            <v/>
          </cell>
          <cell r="J1594" t="str">
            <v/>
          </cell>
          <cell r="O1594" t="str">
            <v/>
          </cell>
          <cell r="P1594" t="str">
            <v/>
          </cell>
          <cell r="Q1594" t="str">
            <v/>
          </cell>
          <cell r="S1594" t="str">
            <v/>
          </cell>
          <cell r="V1594" t="str">
            <v/>
          </cell>
          <cell r="Z1594" t="str">
            <v/>
          </cell>
          <cell r="AA1594" t="str">
            <v/>
          </cell>
          <cell r="AB1594" t="str">
            <v/>
          </cell>
          <cell r="AC1594" t="str">
            <v/>
          </cell>
          <cell r="AD1594" t="str">
            <v/>
          </cell>
          <cell r="AY1594" t="str">
            <v/>
          </cell>
          <cell r="AZ1594" t="str">
            <v/>
          </cell>
          <cell r="BA1594" t="str">
            <v/>
          </cell>
        </row>
        <row r="1595">
          <cell r="B1595" t="str">
            <v>-</v>
          </cell>
          <cell r="E1595" t="str">
            <v/>
          </cell>
          <cell r="G1595" t="str">
            <v/>
          </cell>
          <cell r="J1595" t="str">
            <v/>
          </cell>
          <cell r="O1595" t="str">
            <v/>
          </cell>
          <cell r="P1595" t="str">
            <v/>
          </cell>
          <cell r="Q1595" t="str">
            <v/>
          </cell>
          <cell r="S1595" t="str">
            <v/>
          </cell>
          <cell r="V1595" t="str">
            <v/>
          </cell>
          <cell r="Z1595" t="str">
            <v/>
          </cell>
          <cell r="AA1595" t="str">
            <v/>
          </cell>
          <cell r="AB1595" t="str">
            <v/>
          </cell>
          <cell r="AC1595" t="str">
            <v/>
          </cell>
          <cell r="AD1595" t="str">
            <v/>
          </cell>
          <cell r="AY1595" t="str">
            <v/>
          </cell>
          <cell r="AZ1595" t="str">
            <v/>
          </cell>
          <cell r="BA1595" t="str">
            <v/>
          </cell>
        </row>
        <row r="1596">
          <cell r="B1596" t="str">
            <v>-</v>
          </cell>
          <cell r="E1596" t="str">
            <v/>
          </cell>
          <cell r="G1596" t="str">
            <v/>
          </cell>
          <cell r="J1596" t="str">
            <v/>
          </cell>
          <cell r="O1596" t="str">
            <v/>
          </cell>
          <cell r="P1596" t="str">
            <v/>
          </cell>
          <cell r="Q1596" t="str">
            <v/>
          </cell>
          <cell r="S1596" t="str">
            <v/>
          </cell>
          <cell r="V1596" t="str">
            <v/>
          </cell>
          <cell r="Z1596" t="str">
            <v/>
          </cell>
          <cell r="AA1596" t="str">
            <v/>
          </cell>
          <cell r="AB1596" t="str">
            <v/>
          </cell>
          <cell r="AC1596" t="str">
            <v/>
          </cell>
          <cell r="AD1596" t="str">
            <v/>
          </cell>
          <cell r="AY1596" t="str">
            <v/>
          </cell>
          <cell r="AZ1596" t="str">
            <v/>
          </cell>
          <cell r="BA1596" t="str">
            <v/>
          </cell>
        </row>
        <row r="1597">
          <cell r="B1597" t="str">
            <v>-</v>
          </cell>
          <cell r="E1597" t="str">
            <v/>
          </cell>
          <cell r="G1597" t="str">
            <v/>
          </cell>
          <cell r="J1597" t="str">
            <v/>
          </cell>
          <cell r="O1597" t="str">
            <v/>
          </cell>
          <cell r="P1597" t="str">
            <v/>
          </cell>
          <cell r="Q1597" t="str">
            <v/>
          </cell>
          <cell r="S1597" t="str">
            <v/>
          </cell>
          <cell r="V1597" t="str">
            <v/>
          </cell>
          <cell r="Z1597" t="str">
            <v/>
          </cell>
          <cell r="AA1597" t="str">
            <v/>
          </cell>
          <cell r="AB1597" t="str">
            <v/>
          </cell>
          <cell r="AC1597" t="str">
            <v/>
          </cell>
          <cell r="AD1597" t="str">
            <v/>
          </cell>
          <cell r="AY1597" t="str">
            <v/>
          </cell>
          <cell r="AZ1597" t="str">
            <v/>
          </cell>
          <cell r="BA1597" t="str">
            <v/>
          </cell>
        </row>
        <row r="1598">
          <cell r="B1598" t="str">
            <v>-</v>
          </cell>
          <cell r="E1598" t="str">
            <v/>
          </cell>
          <cell r="G1598" t="str">
            <v/>
          </cell>
          <cell r="J1598" t="str">
            <v/>
          </cell>
          <cell r="O1598" t="str">
            <v/>
          </cell>
          <cell r="P1598" t="str">
            <v/>
          </cell>
          <cell r="Q1598" t="str">
            <v/>
          </cell>
          <cell r="S1598" t="str">
            <v/>
          </cell>
          <cell r="V1598" t="str">
            <v/>
          </cell>
          <cell r="Z1598" t="str">
            <v/>
          </cell>
          <cell r="AA1598" t="str">
            <v/>
          </cell>
          <cell r="AB1598" t="str">
            <v/>
          </cell>
          <cell r="AC1598" t="str">
            <v/>
          </cell>
          <cell r="AD1598" t="str">
            <v/>
          </cell>
          <cell r="AY1598" t="str">
            <v/>
          </cell>
          <cell r="AZ1598" t="str">
            <v/>
          </cell>
          <cell r="BA1598" t="str">
            <v/>
          </cell>
        </row>
        <row r="1599">
          <cell r="B1599" t="str">
            <v>-</v>
          </cell>
          <cell r="E1599" t="str">
            <v/>
          </cell>
          <cell r="G1599" t="str">
            <v/>
          </cell>
          <cell r="J1599" t="str">
            <v/>
          </cell>
          <cell r="O1599" t="str">
            <v/>
          </cell>
          <cell r="P1599" t="str">
            <v/>
          </cell>
          <cell r="Q1599" t="str">
            <v/>
          </cell>
          <cell r="S1599" t="str">
            <v/>
          </cell>
          <cell r="V1599" t="str">
            <v/>
          </cell>
          <cell r="Z1599" t="str">
            <v/>
          </cell>
          <cell r="AA1599" t="str">
            <v/>
          </cell>
          <cell r="AB1599" t="str">
            <v/>
          </cell>
          <cell r="AC1599" t="str">
            <v/>
          </cell>
          <cell r="AD1599" t="str">
            <v/>
          </cell>
          <cell r="AY1599" t="str">
            <v/>
          </cell>
          <cell r="AZ1599" t="str">
            <v/>
          </cell>
          <cell r="BA1599" t="str">
            <v/>
          </cell>
        </row>
        <row r="1600">
          <cell r="B1600" t="str">
            <v>-</v>
          </cell>
          <cell r="E1600" t="str">
            <v/>
          </cell>
          <cell r="G1600" t="str">
            <v/>
          </cell>
          <cell r="J1600" t="str">
            <v/>
          </cell>
          <cell r="O1600" t="str">
            <v/>
          </cell>
          <cell r="P1600" t="str">
            <v/>
          </cell>
          <cell r="Q1600" t="str">
            <v/>
          </cell>
          <cell r="S1600" t="str">
            <v/>
          </cell>
          <cell r="V1600" t="str">
            <v/>
          </cell>
          <cell r="Z1600" t="str">
            <v/>
          </cell>
          <cell r="AA1600" t="str">
            <v/>
          </cell>
          <cell r="AB1600" t="str">
            <v/>
          </cell>
          <cell r="AC1600" t="str">
            <v/>
          </cell>
          <cell r="AD1600" t="str">
            <v/>
          </cell>
          <cell r="AY1600" t="str">
            <v/>
          </cell>
          <cell r="AZ1600" t="str">
            <v/>
          </cell>
          <cell r="BA1600" t="str">
            <v/>
          </cell>
        </row>
        <row r="1601">
          <cell r="B1601" t="str">
            <v>-</v>
          </cell>
          <cell r="E1601" t="str">
            <v/>
          </cell>
          <cell r="G1601" t="str">
            <v/>
          </cell>
          <cell r="J1601" t="str">
            <v/>
          </cell>
          <cell r="O1601" t="str">
            <v/>
          </cell>
          <cell r="P1601" t="str">
            <v/>
          </cell>
          <cell r="Q1601" t="str">
            <v/>
          </cell>
          <cell r="S1601" t="str">
            <v/>
          </cell>
          <cell r="V1601" t="str">
            <v/>
          </cell>
          <cell r="Z1601" t="str">
            <v/>
          </cell>
          <cell r="AA1601" t="str">
            <v/>
          </cell>
          <cell r="AB1601" t="str">
            <v/>
          </cell>
          <cell r="AC1601" t="str">
            <v/>
          </cell>
          <cell r="AD1601" t="str">
            <v/>
          </cell>
          <cell r="AY1601" t="str">
            <v/>
          </cell>
          <cell r="AZ1601" t="str">
            <v/>
          </cell>
          <cell r="BA1601" t="str">
            <v/>
          </cell>
        </row>
        <row r="1602">
          <cell r="B1602" t="str">
            <v>-</v>
          </cell>
          <cell r="E1602" t="str">
            <v/>
          </cell>
          <cell r="G1602" t="str">
            <v/>
          </cell>
          <cell r="J1602" t="str">
            <v/>
          </cell>
          <cell r="O1602" t="str">
            <v/>
          </cell>
          <cell r="P1602" t="str">
            <v/>
          </cell>
          <cell r="Q1602" t="str">
            <v/>
          </cell>
          <cell r="S1602" t="str">
            <v/>
          </cell>
          <cell r="V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Y1602" t="str">
            <v/>
          </cell>
          <cell r="AZ1602" t="str">
            <v/>
          </cell>
          <cell r="BA1602" t="str">
            <v/>
          </cell>
        </row>
        <row r="1603">
          <cell r="B1603" t="str">
            <v>-</v>
          </cell>
          <cell r="E1603" t="str">
            <v/>
          </cell>
          <cell r="G1603" t="str">
            <v/>
          </cell>
          <cell r="J1603" t="str">
            <v/>
          </cell>
          <cell r="O1603" t="str">
            <v/>
          </cell>
          <cell r="P1603" t="str">
            <v/>
          </cell>
          <cell r="Q1603" t="str">
            <v/>
          </cell>
          <cell r="S1603" t="str">
            <v/>
          </cell>
          <cell r="V1603" t="str">
            <v/>
          </cell>
          <cell r="Z1603" t="str">
            <v/>
          </cell>
          <cell r="AA1603" t="str">
            <v/>
          </cell>
          <cell r="AB1603" t="str">
            <v/>
          </cell>
          <cell r="AC1603" t="str">
            <v/>
          </cell>
          <cell r="AD1603" t="str">
            <v/>
          </cell>
          <cell r="AY1603" t="str">
            <v/>
          </cell>
          <cell r="AZ1603" t="str">
            <v/>
          </cell>
          <cell r="BA1603" t="str">
            <v/>
          </cell>
        </row>
        <row r="1604">
          <cell r="B1604" t="str">
            <v>-</v>
          </cell>
          <cell r="E1604" t="str">
            <v/>
          </cell>
          <cell r="G1604" t="str">
            <v/>
          </cell>
          <cell r="J1604" t="str">
            <v/>
          </cell>
          <cell r="O1604" t="str">
            <v/>
          </cell>
          <cell r="P1604" t="str">
            <v/>
          </cell>
          <cell r="Q1604" t="str">
            <v/>
          </cell>
          <cell r="S1604" t="str">
            <v/>
          </cell>
          <cell r="V1604" t="str">
            <v/>
          </cell>
          <cell r="Z1604" t="str">
            <v/>
          </cell>
          <cell r="AA1604" t="str">
            <v/>
          </cell>
          <cell r="AB1604" t="str">
            <v/>
          </cell>
          <cell r="AC1604" t="str">
            <v/>
          </cell>
          <cell r="AD1604" t="str">
            <v/>
          </cell>
          <cell r="AY1604" t="str">
            <v/>
          </cell>
          <cell r="AZ1604" t="str">
            <v/>
          </cell>
          <cell r="BA1604" t="str">
            <v/>
          </cell>
        </row>
        <row r="1605">
          <cell r="B1605" t="str">
            <v>-</v>
          </cell>
          <cell r="E1605" t="str">
            <v/>
          </cell>
          <cell r="G1605" t="str">
            <v/>
          </cell>
          <cell r="J1605" t="str">
            <v/>
          </cell>
          <cell r="O1605" t="str">
            <v/>
          </cell>
          <cell r="P1605" t="str">
            <v/>
          </cell>
          <cell r="Q1605" t="str">
            <v/>
          </cell>
          <cell r="S1605" t="str">
            <v/>
          </cell>
          <cell r="V1605" t="str">
            <v/>
          </cell>
          <cell r="Z1605" t="str">
            <v/>
          </cell>
          <cell r="AA1605" t="str">
            <v/>
          </cell>
          <cell r="AB1605" t="str">
            <v/>
          </cell>
          <cell r="AC1605" t="str">
            <v/>
          </cell>
          <cell r="AD1605" t="str">
            <v/>
          </cell>
          <cell r="AY1605" t="str">
            <v/>
          </cell>
          <cell r="AZ1605" t="str">
            <v/>
          </cell>
          <cell r="BA1605" t="str">
            <v/>
          </cell>
        </row>
        <row r="1606">
          <cell r="B1606" t="str">
            <v>-</v>
          </cell>
          <cell r="E1606" t="str">
            <v/>
          </cell>
          <cell r="G1606" t="str">
            <v/>
          </cell>
          <cell r="J1606" t="str">
            <v/>
          </cell>
          <cell r="O1606" t="str">
            <v/>
          </cell>
          <cell r="P1606" t="str">
            <v/>
          </cell>
          <cell r="Q1606" t="str">
            <v/>
          </cell>
          <cell r="S1606" t="str">
            <v/>
          </cell>
          <cell r="V1606" t="str">
            <v/>
          </cell>
          <cell r="Z1606" t="str">
            <v/>
          </cell>
          <cell r="AA1606" t="str">
            <v/>
          </cell>
          <cell r="AB1606" t="str">
            <v/>
          </cell>
          <cell r="AC1606" t="str">
            <v/>
          </cell>
          <cell r="AD1606" t="str">
            <v/>
          </cell>
          <cell r="AY1606" t="str">
            <v/>
          </cell>
          <cell r="AZ1606" t="str">
            <v/>
          </cell>
          <cell r="BA1606" t="str">
            <v/>
          </cell>
        </row>
        <row r="1607">
          <cell r="B1607" t="str">
            <v>-</v>
          </cell>
          <cell r="E1607" t="str">
            <v/>
          </cell>
          <cell r="G1607" t="str">
            <v/>
          </cell>
          <cell r="J1607" t="str">
            <v/>
          </cell>
          <cell r="O1607" t="str">
            <v/>
          </cell>
          <cell r="P1607" t="str">
            <v/>
          </cell>
          <cell r="Q1607" t="str">
            <v/>
          </cell>
          <cell r="S1607" t="str">
            <v/>
          </cell>
          <cell r="V1607" t="str">
            <v/>
          </cell>
          <cell r="Z1607" t="str">
            <v/>
          </cell>
          <cell r="AA1607" t="str">
            <v/>
          </cell>
          <cell r="AB1607" t="str">
            <v/>
          </cell>
          <cell r="AC1607" t="str">
            <v/>
          </cell>
          <cell r="AD1607" t="str">
            <v/>
          </cell>
          <cell r="AY1607" t="str">
            <v/>
          </cell>
          <cell r="AZ1607" t="str">
            <v/>
          </cell>
          <cell r="BA1607" t="str">
            <v/>
          </cell>
        </row>
        <row r="1608">
          <cell r="B1608" t="str">
            <v>-</v>
          </cell>
          <cell r="E1608" t="str">
            <v/>
          </cell>
          <cell r="G1608" t="str">
            <v/>
          </cell>
          <cell r="J1608" t="str">
            <v/>
          </cell>
          <cell r="O1608" t="str">
            <v/>
          </cell>
          <cell r="P1608" t="str">
            <v/>
          </cell>
          <cell r="Q1608" t="str">
            <v/>
          </cell>
          <cell r="S1608" t="str">
            <v/>
          </cell>
          <cell r="V1608" t="str">
            <v/>
          </cell>
          <cell r="Z1608" t="str">
            <v/>
          </cell>
          <cell r="AA1608" t="str">
            <v/>
          </cell>
          <cell r="AB1608" t="str">
            <v/>
          </cell>
          <cell r="AC1608" t="str">
            <v/>
          </cell>
          <cell r="AD1608" t="str">
            <v/>
          </cell>
          <cell r="AY1608" t="str">
            <v/>
          </cell>
          <cell r="AZ1608" t="str">
            <v/>
          </cell>
          <cell r="BA1608" t="str">
            <v/>
          </cell>
        </row>
        <row r="1609">
          <cell r="B1609" t="str">
            <v>-</v>
          </cell>
          <cell r="E1609" t="str">
            <v/>
          </cell>
          <cell r="G1609" t="str">
            <v/>
          </cell>
          <cell r="J1609" t="str">
            <v/>
          </cell>
          <cell r="O1609" t="str">
            <v/>
          </cell>
          <cell r="P1609" t="str">
            <v/>
          </cell>
          <cell r="Q1609" t="str">
            <v/>
          </cell>
          <cell r="S1609" t="str">
            <v/>
          </cell>
          <cell r="V1609" t="str">
            <v/>
          </cell>
          <cell r="Z1609" t="str">
            <v/>
          </cell>
          <cell r="AA1609" t="str">
            <v/>
          </cell>
          <cell r="AB1609" t="str">
            <v/>
          </cell>
          <cell r="AC1609" t="str">
            <v/>
          </cell>
          <cell r="AD1609" t="str">
            <v/>
          </cell>
          <cell r="AY1609" t="str">
            <v/>
          </cell>
          <cell r="AZ1609" t="str">
            <v/>
          </cell>
          <cell r="BA1609" t="str">
            <v/>
          </cell>
        </row>
        <row r="1610">
          <cell r="B1610" t="str">
            <v>-</v>
          </cell>
          <cell r="E1610" t="str">
            <v/>
          </cell>
          <cell r="G1610" t="str">
            <v/>
          </cell>
          <cell r="J1610" t="str">
            <v/>
          </cell>
          <cell r="O1610" t="str">
            <v/>
          </cell>
          <cell r="P1610" t="str">
            <v/>
          </cell>
          <cell r="Q1610" t="str">
            <v/>
          </cell>
          <cell r="S1610" t="str">
            <v/>
          </cell>
          <cell r="V1610" t="str">
            <v/>
          </cell>
          <cell r="Z1610" t="str">
            <v/>
          </cell>
          <cell r="AA1610" t="str">
            <v/>
          </cell>
          <cell r="AB1610" t="str">
            <v/>
          </cell>
          <cell r="AC1610" t="str">
            <v/>
          </cell>
          <cell r="AD1610" t="str">
            <v/>
          </cell>
          <cell r="AY1610" t="str">
            <v/>
          </cell>
          <cell r="AZ1610" t="str">
            <v/>
          </cell>
          <cell r="BA1610" t="str">
            <v/>
          </cell>
        </row>
        <row r="1611">
          <cell r="B1611" t="str">
            <v>-</v>
          </cell>
          <cell r="E1611" t="str">
            <v/>
          </cell>
          <cell r="G1611" t="str">
            <v/>
          </cell>
          <cell r="J1611" t="str">
            <v/>
          </cell>
          <cell r="O1611" t="str">
            <v/>
          </cell>
          <cell r="P1611" t="str">
            <v/>
          </cell>
          <cell r="Q1611" t="str">
            <v/>
          </cell>
          <cell r="S1611" t="str">
            <v/>
          </cell>
          <cell r="V1611" t="str">
            <v/>
          </cell>
          <cell r="Z1611" t="str">
            <v/>
          </cell>
          <cell r="AA1611" t="str">
            <v/>
          </cell>
          <cell r="AB1611" t="str">
            <v/>
          </cell>
          <cell r="AC1611" t="str">
            <v/>
          </cell>
          <cell r="AD1611" t="str">
            <v/>
          </cell>
          <cell r="AY1611" t="str">
            <v/>
          </cell>
          <cell r="AZ1611" t="str">
            <v/>
          </cell>
          <cell r="BA1611" t="str">
            <v/>
          </cell>
        </row>
        <row r="1612">
          <cell r="B1612" t="str">
            <v>-</v>
          </cell>
          <cell r="E1612" t="str">
            <v/>
          </cell>
          <cell r="G1612" t="str">
            <v/>
          </cell>
          <cell r="J1612" t="str">
            <v/>
          </cell>
          <cell r="O1612" t="str">
            <v/>
          </cell>
          <cell r="P1612" t="str">
            <v/>
          </cell>
          <cell r="Q1612" t="str">
            <v/>
          </cell>
          <cell r="S1612" t="str">
            <v/>
          </cell>
          <cell r="V1612" t="str">
            <v/>
          </cell>
          <cell r="Z1612" t="str">
            <v/>
          </cell>
          <cell r="AA1612" t="str">
            <v/>
          </cell>
          <cell r="AB1612" t="str">
            <v/>
          </cell>
          <cell r="AC1612" t="str">
            <v/>
          </cell>
          <cell r="AD1612" t="str">
            <v/>
          </cell>
          <cell r="AY1612" t="str">
            <v/>
          </cell>
          <cell r="AZ1612" t="str">
            <v/>
          </cell>
          <cell r="BA1612" t="str">
            <v/>
          </cell>
        </row>
        <row r="1613">
          <cell r="B1613" t="str">
            <v>-</v>
          </cell>
          <cell r="E1613" t="str">
            <v/>
          </cell>
          <cell r="G1613" t="str">
            <v/>
          </cell>
          <cell r="J1613" t="str">
            <v/>
          </cell>
          <cell r="O1613" t="str">
            <v/>
          </cell>
          <cell r="P1613" t="str">
            <v/>
          </cell>
          <cell r="Q1613" t="str">
            <v/>
          </cell>
          <cell r="S1613" t="str">
            <v/>
          </cell>
          <cell r="V1613" t="str">
            <v/>
          </cell>
          <cell r="Z1613" t="str">
            <v/>
          </cell>
          <cell r="AA1613" t="str">
            <v/>
          </cell>
          <cell r="AB1613" t="str">
            <v/>
          </cell>
          <cell r="AC1613" t="str">
            <v/>
          </cell>
          <cell r="AD1613" t="str">
            <v/>
          </cell>
          <cell r="AY1613" t="str">
            <v/>
          </cell>
          <cell r="AZ1613" t="str">
            <v/>
          </cell>
          <cell r="BA1613" t="str">
            <v/>
          </cell>
        </row>
        <row r="1614">
          <cell r="B1614" t="str">
            <v>-</v>
          </cell>
          <cell r="E1614" t="str">
            <v/>
          </cell>
          <cell r="G1614" t="str">
            <v/>
          </cell>
          <cell r="J1614" t="str">
            <v/>
          </cell>
          <cell r="O1614" t="str">
            <v/>
          </cell>
          <cell r="P1614" t="str">
            <v/>
          </cell>
          <cell r="Q1614" t="str">
            <v/>
          </cell>
          <cell r="S1614" t="str">
            <v/>
          </cell>
          <cell r="V1614" t="str">
            <v/>
          </cell>
          <cell r="Z1614" t="str">
            <v/>
          </cell>
          <cell r="AA1614" t="str">
            <v/>
          </cell>
          <cell r="AB1614" t="str">
            <v/>
          </cell>
          <cell r="AC1614" t="str">
            <v/>
          </cell>
          <cell r="AD1614" t="str">
            <v/>
          </cell>
          <cell r="AY1614" t="str">
            <v/>
          </cell>
          <cell r="AZ1614" t="str">
            <v/>
          </cell>
          <cell r="BA1614" t="str">
            <v/>
          </cell>
        </row>
        <row r="1615">
          <cell r="B1615" t="str">
            <v>-</v>
          </cell>
          <cell r="E1615" t="str">
            <v/>
          </cell>
          <cell r="G1615" t="str">
            <v/>
          </cell>
          <cell r="J1615" t="str">
            <v/>
          </cell>
          <cell r="O1615" t="str">
            <v/>
          </cell>
          <cell r="P1615" t="str">
            <v/>
          </cell>
          <cell r="Q1615" t="str">
            <v/>
          </cell>
          <cell r="S1615" t="str">
            <v/>
          </cell>
          <cell r="V1615" t="str">
            <v/>
          </cell>
          <cell r="Z1615" t="str">
            <v/>
          </cell>
          <cell r="AA1615" t="str">
            <v/>
          </cell>
          <cell r="AB1615" t="str">
            <v/>
          </cell>
          <cell r="AC1615" t="str">
            <v/>
          </cell>
          <cell r="AD1615" t="str">
            <v/>
          </cell>
          <cell r="AY1615" t="str">
            <v/>
          </cell>
          <cell r="AZ1615" t="str">
            <v/>
          </cell>
          <cell r="BA1615" t="str">
            <v/>
          </cell>
        </row>
        <row r="1616">
          <cell r="B1616" t="str">
            <v>-</v>
          </cell>
          <cell r="E1616" t="str">
            <v/>
          </cell>
          <cell r="G1616" t="str">
            <v/>
          </cell>
          <cell r="J1616" t="str">
            <v/>
          </cell>
          <cell r="O1616" t="str">
            <v/>
          </cell>
          <cell r="P1616" t="str">
            <v/>
          </cell>
          <cell r="Q1616" t="str">
            <v/>
          </cell>
          <cell r="S1616" t="str">
            <v/>
          </cell>
          <cell r="V1616" t="str">
            <v/>
          </cell>
          <cell r="Z1616" t="str">
            <v/>
          </cell>
          <cell r="AA1616" t="str">
            <v/>
          </cell>
          <cell r="AB1616" t="str">
            <v/>
          </cell>
          <cell r="AC1616" t="str">
            <v/>
          </cell>
          <cell r="AD1616" t="str">
            <v/>
          </cell>
          <cell r="AY1616" t="str">
            <v/>
          </cell>
          <cell r="AZ1616" t="str">
            <v/>
          </cell>
          <cell r="BA1616" t="str">
            <v/>
          </cell>
        </row>
        <row r="1617">
          <cell r="B1617" t="str">
            <v>-</v>
          </cell>
          <cell r="E1617" t="str">
            <v/>
          </cell>
          <cell r="G1617" t="str">
            <v/>
          </cell>
          <cell r="J1617" t="str">
            <v/>
          </cell>
          <cell r="O1617" t="str">
            <v/>
          </cell>
          <cell r="P1617" t="str">
            <v/>
          </cell>
          <cell r="Q1617" t="str">
            <v/>
          </cell>
          <cell r="S1617" t="str">
            <v/>
          </cell>
          <cell r="V1617" t="str">
            <v/>
          </cell>
          <cell r="Z1617" t="str">
            <v/>
          </cell>
          <cell r="AA1617" t="str">
            <v/>
          </cell>
          <cell r="AB1617" t="str">
            <v/>
          </cell>
          <cell r="AC1617" t="str">
            <v/>
          </cell>
          <cell r="AD1617" t="str">
            <v/>
          </cell>
          <cell r="AY1617" t="str">
            <v/>
          </cell>
          <cell r="AZ1617" t="str">
            <v/>
          </cell>
          <cell r="BA1617" t="str">
            <v/>
          </cell>
        </row>
        <row r="1618">
          <cell r="B1618" t="str">
            <v>-</v>
          </cell>
          <cell r="E1618" t="str">
            <v/>
          </cell>
          <cell r="G1618" t="str">
            <v/>
          </cell>
          <cell r="J1618" t="str">
            <v/>
          </cell>
          <cell r="O1618" t="str">
            <v/>
          </cell>
          <cell r="P1618" t="str">
            <v/>
          </cell>
          <cell r="Q1618" t="str">
            <v/>
          </cell>
          <cell r="S1618" t="str">
            <v/>
          </cell>
          <cell r="V1618" t="str">
            <v/>
          </cell>
          <cell r="Z1618" t="str">
            <v/>
          </cell>
          <cell r="AA1618" t="str">
            <v/>
          </cell>
          <cell r="AB1618" t="str">
            <v/>
          </cell>
          <cell r="AC1618" t="str">
            <v/>
          </cell>
          <cell r="AD1618" t="str">
            <v/>
          </cell>
          <cell r="AY1618" t="str">
            <v/>
          </cell>
          <cell r="AZ1618" t="str">
            <v/>
          </cell>
          <cell r="BA1618" t="str">
            <v/>
          </cell>
        </row>
        <row r="1619">
          <cell r="B1619" t="str">
            <v>-</v>
          </cell>
          <cell r="E1619" t="str">
            <v/>
          </cell>
          <cell r="G1619" t="str">
            <v/>
          </cell>
          <cell r="J1619" t="str">
            <v/>
          </cell>
          <cell r="O1619" t="str">
            <v/>
          </cell>
          <cell r="P1619" t="str">
            <v/>
          </cell>
          <cell r="Q1619" t="str">
            <v/>
          </cell>
          <cell r="S1619" t="str">
            <v/>
          </cell>
          <cell r="V1619" t="str">
            <v/>
          </cell>
          <cell r="Z1619" t="str">
            <v/>
          </cell>
          <cell r="AA1619" t="str">
            <v/>
          </cell>
          <cell r="AB1619" t="str">
            <v/>
          </cell>
          <cell r="AC1619" t="str">
            <v/>
          </cell>
          <cell r="AD1619" t="str">
            <v/>
          </cell>
          <cell r="AY1619" t="str">
            <v/>
          </cell>
          <cell r="AZ1619" t="str">
            <v/>
          </cell>
          <cell r="BA1619" t="str">
            <v/>
          </cell>
        </row>
        <row r="1620">
          <cell r="B1620" t="str">
            <v>-</v>
          </cell>
          <cell r="E1620" t="str">
            <v/>
          </cell>
          <cell r="G1620" t="str">
            <v/>
          </cell>
          <cell r="J1620" t="str">
            <v/>
          </cell>
          <cell r="O1620" t="str">
            <v/>
          </cell>
          <cell r="P1620" t="str">
            <v/>
          </cell>
          <cell r="Q1620" t="str">
            <v/>
          </cell>
          <cell r="S1620" t="str">
            <v/>
          </cell>
          <cell r="V1620" t="str">
            <v/>
          </cell>
          <cell r="Z1620" t="str">
            <v/>
          </cell>
          <cell r="AA1620" t="str">
            <v/>
          </cell>
          <cell r="AB1620" t="str">
            <v/>
          </cell>
          <cell r="AC1620" t="str">
            <v/>
          </cell>
          <cell r="AD1620" t="str">
            <v/>
          </cell>
          <cell r="AY1620" t="str">
            <v/>
          </cell>
          <cell r="AZ1620" t="str">
            <v/>
          </cell>
          <cell r="BA1620" t="str">
            <v/>
          </cell>
        </row>
        <row r="1621">
          <cell r="B1621" t="str">
            <v>-</v>
          </cell>
          <cell r="E1621" t="str">
            <v/>
          </cell>
          <cell r="G1621" t="str">
            <v/>
          </cell>
          <cell r="J1621" t="str">
            <v/>
          </cell>
          <cell r="O1621" t="str">
            <v/>
          </cell>
          <cell r="P1621" t="str">
            <v/>
          </cell>
          <cell r="Q1621" t="str">
            <v/>
          </cell>
          <cell r="S1621" t="str">
            <v/>
          </cell>
          <cell r="V1621" t="str">
            <v/>
          </cell>
          <cell r="Z1621" t="str">
            <v/>
          </cell>
          <cell r="AA1621" t="str">
            <v/>
          </cell>
          <cell r="AB1621" t="str">
            <v/>
          </cell>
          <cell r="AC1621" t="str">
            <v/>
          </cell>
          <cell r="AD1621" t="str">
            <v/>
          </cell>
          <cell r="AY1621" t="str">
            <v/>
          </cell>
          <cell r="AZ1621" t="str">
            <v/>
          </cell>
          <cell r="BA1621" t="str">
            <v/>
          </cell>
        </row>
        <row r="1622">
          <cell r="B1622" t="str">
            <v>-</v>
          </cell>
          <cell r="E1622" t="str">
            <v/>
          </cell>
          <cell r="G1622" t="str">
            <v/>
          </cell>
          <cell r="J1622" t="str">
            <v/>
          </cell>
          <cell r="O1622" t="str">
            <v/>
          </cell>
          <cell r="P1622" t="str">
            <v/>
          </cell>
          <cell r="Q1622" t="str">
            <v/>
          </cell>
          <cell r="S1622" t="str">
            <v/>
          </cell>
          <cell r="V1622" t="str">
            <v/>
          </cell>
          <cell r="Z1622" t="str">
            <v/>
          </cell>
          <cell r="AA1622" t="str">
            <v/>
          </cell>
          <cell r="AB1622" t="str">
            <v/>
          </cell>
          <cell r="AC1622" t="str">
            <v/>
          </cell>
          <cell r="AD1622" t="str">
            <v/>
          </cell>
          <cell r="AY1622" t="str">
            <v/>
          </cell>
          <cell r="AZ1622" t="str">
            <v/>
          </cell>
          <cell r="BA1622" t="str">
            <v/>
          </cell>
        </row>
        <row r="1623">
          <cell r="B1623" t="str">
            <v>-</v>
          </cell>
          <cell r="E1623" t="str">
            <v/>
          </cell>
          <cell r="G1623" t="str">
            <v/>
          </cell>
          <cell r="J1623" t="str">
            <v/>
          </cell>
          <cell r="O1623" t="str">
            <v/>
          </cell>
          <cell r="P1623" t="str">
            <v/>
          </cell>
          <cell r="Q1623" t="str">
            <v/>
          </cell>
          <cell r="S1623" t="str">
            <v/>
          </cell>
          <cell r="V1623" t="str">
            <v/>
          </cell>
          <cell r="Z1623" t="str">
            <v/>
          </cell>
          <cell r="AA1623" t="str">
            <v/>
          </cell>
          <cell r="AB1623" t="str">
            <v/>
          </cell>
          <cell r="AC1623" t="str">
            <v/>
          </cell>
          <cell r="AD1623" t="str">
            <v/>
          </cell>
          <cell r="AY1623" t="str">
            <v/>
          </cell>
          <cell r="AZ1623" t="str">
            <v/>
          </cell>
          <cell r="BA1623" t="str">
            <v/>
          </cell>
        </row>
        <row r="1624">
          <cell r="B1624" t="str">
            <v>-</v>
          </cell>
          <cell r="E1624" t="str">
            <v/>
          </cell>
          <cell r="G1624" t="str">
            <v/>
          </cell>
          <cell r="J1624" t="str">
            <v/>
          </cell>
          <cell r="O1624" t="str">
            <v/>
          </cell>
          <cell r="P1624" t="str">
            <v/>
          </cell>
          <cell r="Q1624" t="str">
            <v/>
          </cell>
          <cell r="S1624" t="str">
            <v/>
          </cell>
          <cell r="V1624" t="str">
            <v/>
          </cell>
          <cell r="Z1624" t="str">
            <v/>
          </cell>
          <cell r="AA1624" t="str">
            <v/>
          </cell>
          <cell r="AB1624" t="str">
            <v/>
          </cell>
          <cell r="AC1624" t="str">
            <v/>
          </cell>
          <cell r="AD1624" t="str">
            <v/>
          </cell>
          <cell r="AY1624" t="str">
            <v/>
          </cell>
          <cell r="AZ1624" t="str">
            <v/>
          </cell>
          <cell r="BA1624" t="str">
            <v/>
          </cell>
        </row>
        <row r="1625">
          <cell r="B1625" t="str">
            <v>-</v>
          </cell>
          <cell r="E1625" t="str">
            <v/>
          </cell>
          <cell r="G1625" t="str">
            <v/>
          </cell>
          <cell r="J1625" t="str">
            <v/>
          </cell>
          <cell r="O1625" t="str">
            <v/>
          </cell>
          <cell r="P1625" t="str">
            <v/>
          </cell>
          <cell r="Q1625" t="str">
            <v/>
          </cell>
          <cell r="S1625" t="str">
            <v/>
          </cell>
          <cell r="V1625" t="str">
            <v/>
          </cell>
          <cell r="Z1625" t="str">
            <v/>
          </cell>
          <cell r="AA1625" t="str">
            <v/>
          </cell>
          <cell r="AB1625" t="str">
            <v/>
          </cell>
          <cell r="AC1625" t="str">
            <v/>
          </cell>
          <cell r="AD1625" t="str">
            <v/>
          </cell>
          <cell r="AY1625" t="str">
            <v/>
          </cell>
          <cell r="AZ1625" t="str">
            <v/>
          </cell>
          <cell r="BA1625" t="str">
            <v/>
          </cell>
        </row>
        <row r="1626">
          <cell r="B1626" t="str">
            <v>-</v>
          </cell>
          <cell r="E1626" t="str">
            <v/>
          </cell>
          <cell r="G1626" t="str">
            <v/>
          </cell>
          <cell r="J1626" t="str">
            <v/>
          </cell>
          <cell r="O1626" t="str">
            <v/>
          </cell>
          <cell r="P1626" t="str">
            <v/>
          </cell>
          <cell r="Q1626" t="str">
            <v/>
          </cell>
          <cell r="S1626" t="str">
            <v/>
          </cell>
          <cell r="V1626" t="str">
            <v/>
          </cell>
          <cell r="Z1626" t="str">
            <v/>
          </cell>
          <cell r="AA1626" t="str">
            <v/>
          </cell>
          <cell r="AB1626" t="str">
            <v/>
          </cell>
          <cell r="AC1626" t="str">
            <v/>
          </cell>
          <cell r="AD1626" t="str">
            <v/>
          </cell>
          <cell r="AY1626" t="str">
            <v/>
          </cell>
          <cell r="AZ1626" t="str">
            <v/>
          </cell>
          <cell r="BA1626" t="str">
            <v/>
          </cell>
        </row>
        <row r="1627">
          <cell r="B1627" t="str">
            <v>-</v>
          </cell>
          <cell r="E1627" t="str">
            <v/>
          </cell>
          <cell r="G1627" t="str">
            <v/>
          </cell>
          <cell r="J1627" t="str">
            <v/>
          </cell>
          <cell r="O1627" t="str">
            <v/>
          </cell>
          <cell r="P1627" t="str">
            <v/>
          </cell>
          <cell r="Q1627" t="str">
            <v/>
          </cell>
          <cell r="S1627" t="str">
            <v/>
          </cell>
          <cell r="V1627" t="str">
            <v/>
          </cell>
          <cell r="Z1627" t="str">
            <v/>
          </cell>
          <cell r="AA1627" t="str">
            <v/>
          </cell>
          <cell r="AB1627" t="str">
            <v/>
          </cell>
          <cell r="AC1627" t="str">
            <v/>
          </cell>
          <cell r="AD1627" t="str">
            <v/>
          </cell>
          <cell r="AY1627" t="str">
            <v/>
          </cell>
          <cell r="AZ1627" t="str">
            <v/>
          </cell>
          <cell r="BA1627" t="str">
            <v/>
          </cell>
        </row>
        <row r="1628">
          <cell r="B1628" t="str">
            <v>-</v>
          </cell>
          <cell r="E1628" t="str">
            <v/>
          </cell>
          <cell r="G1628" t="str">
            <v/>
          </cell>
          <cell r="J1628" t="str">
            <v/>
          </cell>
          <cell r="O1628" t="str">
            <v/>
          </cell>
          <cell r="P1628" t="str">
            <v/>
          </cell>
          <cell r="Q1628" t="str">
            <v/>
          </cell>
          <cell r="S1628" t="str">
            <v/>
          </cell>
          <cell r="V1628" t="str">
            <v/>
          </cell>
          <cell r="Z1628" t="str">
            <v/>
          </cell>
          <cell r="AA1628" t="str">
            <v/>
          </cell>
          <cell r="AB1628" t="str">
            <v/>
          </cell>
          <cell r="AC1628" t="str">
            <v/>
          </cell>
          <cell r="AD1628" t="str">
            <v/>
          </cell>
          <cell r="AY1628" t="str">
            <v/>
          </cell>
          <cell r="AZ1628" t="str">
            <v/>
          </cell>
          <cell r="BA1628" t="str">
            <v/>
          </cell>
        </row>
        <row r="1629">
          <cell r="B1629" t="str">
            <v>-</v>
          </cell>
          <cell r="E1629" t="str">
            <v/>
          </cell>
          <cell r="G1629" t="str">
            <v/>
          </cell>
          <cell r="J1629" t="str">
            <v/>
          </cell>
          <cell r="O1629" t="str">
            <v/>
          </cell>
          <cell r="P1629" t="str">
            <v/>
          </cell>
          <cell r="Q1629" t="str">
            <v/>
          </cell>
          <cell r="S1629" t="str">
            <v/>
          </cell>
          <cell r="V1629" t="str">
            <v/>
          </cell>
          <cell r="Z1629" t="str">
            <v/>
          </cell>
          <cell r="AA1629" t="str">
            <v/>
          </cell>
          <cell r="AB1629" t="str">
            <v/>
          </cell>
          <cell r="AC1629" t="str">
            <v/>
          </cell>
          <cell r="AD1629" t="str">
            <v/>
          </cell>
          <cell r="AY1629" t="str">
            <v/>
          </cell>
          <cell r="AZ1629" t="str">
            <v/>
          </cell>
          <cell r="BA1629" t="str">
            <v/>
          </cell>
        </row>
        <row r="1630">
          <cell r="B1630" t="str">
            <v>-</v>
          </cell>
          <cell r="E1630" t="str">
            <v/>
          </cell>
          <cell r="G1630" t="str">
            <v/>
          </cell>
          <cell r="J1630" t="str">
            <v/>
          </cell>
          <cell r="O1630" t="str">
            <v/>
          </cell>
          <cell r="P1630" t="str">
            <v/>
          </cell>
          <cell r="Q1630" t="str">
            <v/>
          </cell>
          <cell r="S1630" t="str">
            <v/>
          </cell>
          <cell r="V1630" t="str">
            <v/>
          </cell>
          <cell r="Z1630" t="str">
            <v/>
          </cell>
          <cell r="AA1630" t="str">
            <v/>
          </cell>
          <cell r="AB1630" t="str">
            <v/>
          </cell>
          <cell r="AC1630" t="str">
            <v/>
          </cell>
          <cell r="AD1630" t="str">
            <v/>
          </cell>
          <cell r="AY1630" t="str">
            <v/>
          </cell>
          <cell r="AZ1630" t="str">
            <v/>
          </cell>
          <cell r="BA1630" t="str">
            <v/>
          </cell>
        </row>
        <row r="1631">
          <cell r="B1631" t="str">
            <v>-</v>
          </cell>
          <cell r="E1631" t="str">
            <v/>
          </cell>
          <cell r="G1631" t="str">
            <v/>
          </cell>
          <cell r="J1631" t="str">
            <v/>
          </cell>
          <cell r="O1631" t="str">
            <v/>
          </cell>
          <cell r="P1631" t="str">
            <v/>
          </cell>
          <cell r="Q1631" t="str">
            <v/>
          </cell>
          <cell r="S1631" t="str">
            <v/>
          </cell>
          <cell r="V1631" t="str">
            <v/>
          </cell>
          <cell r="Z1631" t="str">
            <v/>
          </cell>
          <cell r="AA1631" t="str">
            <v/>
          </cell>
          <cell r="AB1631" t="str">
            <v/>
          </cell>
          <cell r="AC1631" t="str">
            <v/>
          </cell>
          <cell r="AD1631" t="str">
            <v/>
          </cell>
          <cell r="AY1631" t="str">
            <v/>
          </cell>
          <cell r="AZ1631" t="str">
            <v/>
          </cell>
          <cell r="BA1631" t="str">
            <v/>
          </cell>
        </row>
        <row r="1632">
          <cell r="B1632" t="str">
            <v>-</v>
          </cell>
          <cell r="E1632" t="str">
            <v/>
          </cell>
          <cell r="G1632" t="str">
            <v/>
          </cell>
          <cell r="J1632" t="str">
            <v/>
          </cell>
          <cell r="O1632" t="str">
            <v/>
          </cell>
          <cell r="P1632" t="str">
            <v/>
          </cell>
          <cell r="Q1632" t="str">
            <v/>
          </cell>
          <cell r="S1632" t="str">
            <v/>
          </cell>
          <cell r="V1632" t="str">
            <v/>
          </cell>
          <cell r="Z1632" t="str">
            <v/>
          </cell>
          <cell r="AA1632" t="str">
            <v/>
          </cell>
          <cell r="AB1632" t="str">
            <v/>
          </cell>
          <cell r="AC1632" t="str">
            <v/>
          </cell>
          <cell r="AD1632" t="str">
            <v/>
          </cell>
          <cell r="AY1632" t="str">
            <v/>
          </cell>
          <cell r="AZ1632" t="str">
            <v/>
          </cell>
          <cell r="BA1632" t="str">
            <v/>
          </cell>
        </row>
        <row r="1633">
          <cell r="B1633" t="str">
            <v>-</v>
          </cell>
          <cell r="E1633" t="str">
            <v/>
          </cell>
          <cell r="G1633" t="str">
            <v/>
          </cell>
          <cell r="J1633" t="str">
            <v/>
          </cell>
          <cell r="O1633" t="str">
            <v/>
          </cell>
          <cell r="P1633" t="str">
            <v/>
          </cell>
          <cell r="Q1633" t="str">
            <v/>
          </cell>
          <cell r="S1633" t="str">
            <v/>
          </cell>
          <cell r="V1633" t="str">
            <v/>
          </cell>
          <cell r="Z1633" t="str">
            <v/>
          </cell>
          <cell r="AA1633" t="str">
            <v/>
          </cell>
          <cell r="AB1633" t="str">
            <v/>
          </cell>
          <cell r="AC1633" t="str">
            <v/>
          </cell>
          <cell r="AD1633" t="str">
            <v/>
          </cell>
          <cell r="AY1633" t="str">
            <v/>
          </cell>
          <cell r="AZ1633" t="str">
            <v/>
          </cell>
          <cell r="BA1633" t="str">
            <v/>
          </cell>
        </row>
        <row r="1634">
          <cell r="B1634" t="str">
            <v>-</v>
          </cell>
          <cell r="E1634" t="str">
            <v/>
          </cell>
          <cell r="G1634" t="str">
            <v/>
          </cell>
          <cell r="J1634" t="str">
            <v/>
          </cell>
          <cell r="O1634" t="str">
            <v/>
          </cell>
          <cell r="P1634" t="str">
            <v/>
          </cell>
          <cell r="Q1634" t="str">
            <v/>
          </cell>
          <cell r="S1634" t="str">
            <v/>
          </cell>
          <cell r="V1634" t="str">
            <v/>
          </cell>
          <cell r="Z1634" t="str">
            <v/>
          </cell>
          <cell r="AA1634" t="str">
            <v/>
          </cell>
          <cell r="AB1634" t="str">
            <v/>
          </cell>
          <cell r="AC1634" t="str">
            <v/>
          </cell>
          <cell r="AD1634" t="str">
            <v/>
          </cell>
          <cell r="AY1634" t="str">
            <v/>
          </cell>
          <cell r="AZ1634" t="str">
            <v/>
          </cell>
          <cell r="BA1634" t="str">
            <v/>
          </cell>
        </row>
        <row r="1635">
          <cell r="B1635" t="str">
            <v>-</v>
          </cell>
          <cell r="E1635" t="str">
            <v/>
          </cell>
          <cell r="G1635" t="str">
            <v/>
          </cell>
          <cell r="J1635" t="str">
            <v/>
          </cell>
          <cell r="O1635" t="str">
            <v/>
          </cell>
          <cell r="P1635" t="str">
            <v/>
          </cell>
          <cell r="Q1635" t="str">
            <v/>
          </cell>
          <cell r="S1635" t="str">
            <v/>
          </cell>
          <cell r="V1635" t="str">
            <v/>
          </cell>
          <cell r="Z1635" t="str">
            <v/>
          </cell>
          <cell r="AA1635" t="str">
            <v/>
          </cell>
          <cell r="AB1635" t="str">
            <v/>
          </cell>
          <cell r="AC1635" t="str">
            <v/>
          </cell>
          <cell r="AD1635" t="str">
            <v/>
          </cell>
          <cell r="AY1635" t="str">
            <v/>
          </cell>
          <cell r="AZ1635" t="str">
            <v/>
          </cell>
          <cell r="BA1635" t="str">
            <v/>
          </cell>
        </row>
        <row r="1636">
          <cell r="B1636" t="str">
            <v>-</v>
          </cell>
          <cell r="E1636" t="str">
            <v/>
          </cell>
          <cell r="G1636" t="str">
            <v/>
          </cell>
          <cell r="J1636" t="str">
            <v/>
          </cell>
          <cell r="O1636" t="str">
            <v/>
          </cell>
          <cell r="P1636" t="str">
            <v/>
          </cell>
          <cell r="Q1636" t="str">
            <v/>
          </cell>
          <cell r="S1636" t="str">
            <v/>
          </cell>
          <cell r="V1636" t="str">
            <v/>
          </cell>
          <cell r="Z1636" t="str">
            <v/>
          </cell>
          <cell r="AA1636" t="str">
            <v/>
          </cell>
          <cell r="AB1636" t="str">
            <v/>
          </cell>
          <cell r="AC1636" t="str">
            <v/>
          </cell>
          <cell r="AD1636" t="str">
            <v/>
          </cell>
          <cell r="AY1636" t="str">
            <v/>
          </cell>
          <cell r="AZ1636" t="str">
            <v/>
          </cell>
          <cell r="BA1636" t="str">
            <v/>
          </cell>
        </row>
        <row r="1637">
          <cell r="B1637" t="str">
            <v>-</v>
          </cell>
          <cell r="E1637" t="str">
            <v/>
          </cell>
          <cell r="G1637" t="str">
            <v/>
          </cell>
          <cell r="J1637" t="str">
            <v/>
          </cell>
          <cell r="O1637" t="str">
            <v/>
          </cell>
          <cell r="P1637" t="str">
            <v/>
          </cell>
          <cell r="Q1637" t="str">
            <v/>
          </cell>
          <cell r="S1637" t="str">
            <v/>
          </cell>
          <cell r="V1637" t="str">
            <v/>
          </cell>
          <cell r="Z1637" t="str">
            <v/>
          </cell>
          <cell r="AA1637" t="str">
            <v/>
          </cell>
          <cell r="AB1637" t="str">
            <v/>
          </cell>
          <cell r="AC1637" t="str">
            <v/>
          </cell>
          <cell r="AD1637" t="str">
            <v/>
          </cell>
          <cell r="AY1637" t="str">
            <v/>
          </cell>
          <cell r="AZ1637" t="str">
            <v/>
          </cell>
          <cell r="BA1637" t="str">
            <v/>
          </cell>
        </row>
        <row r="1638">
          <cell r="B1638" t="str">
            <v>-</v>
          </cell>
          <cell r="E1638" t="str">
            <v/>
          </cell>
          <cell r="G1638" t="str">
            <v/>
          </cell>
          <cell r="J1638" t="str">
            <v/>
          </cell>
          <cell r="O1638" t="str">
            <v/>
          </cell>
          <cell r="P1638" t="str">
            <v/>
          </cell>
          <cell r="Q1638" t="str">
            <v/>
          </cell>
          <cell r="S1638" t="str">
            <v/>
          </cell>
          <cell r="V1638" t="str">
            <v/>
          </cell>
          <cell r="Z1638" t="str">
            <v/>
          </cell>
          <cell r="AA1638" t="str">
            <v/>
          </cell>
          <cell r="AB1638" t="str">
            <v/>
          </cell>
          <cell r="AC1638" t="str">
            <v/>
          </cell>
          <cell r="AD1638" t="str">
            <v/>
          </cell>
          <cell r="AY1638" t="str">
            <v/>
          </cell>
          <cell r="AZ1638" t="str">
            <v/>
          </cell>
          <cell r="BA1638" t="str">
            <v/>
          </cell>
        </row>
        <row r="1639">
          <cell r="B1639" t="str">
            <v>-</v>
          </cell>
          <cell r="E1639" t="str">
            <v/>
          </cell>
          <cell r="G1639" t="str">
            <v/>
          </cell>
          <cell r="J1639" t="str">
            <v/>
          </cell>
          <cell r="O1639" t="str">
            <v/>
          </cell>
          <cell r="P1639" t="str">
            <v/>
          </cell>
          <cell r="Q1639" t="str">
            <v/>
          </cell>
          <cell r="S1639" t="str">
            <v/>
          </cell>
          <cell r="V1639" t="str">
            <v/>
          </cell>
          <cell r="Z1639" t="str">
            <v/>
          </cell>
          <cell r="AA1639" t="str">
            <v/>
          </cell>
          <cell r="AB1639" t="str">
            <v/>
          </cell>
          <cell r="AC1639" t="str">
            <v/>
          </cell>
          <cell r="AD1639" t="str">
            <v/>
          </cell>
          <cell r="AY1639" t="str">
            <v/>
          </cell>
          <cell r="AZ1639" t="str">
            <v/>
          </cell>
          <cell r="BA1639" t="str">
            <v/>
          </cell>
        </row>
        <row r="1640">
          <cell r="B1640" t="str">
            <v>-</v>
          </cell>
          <cell r="E1640" t="str">
            <v/>
          </cell>
          <cell r="G1640" t="str">
            <v/>
          </cell>
          <cell r="J1640" t="str">
            <v/>
          </cell>
          <cell r="O1640" t="str">
            <v/>
          </cell>
          <cell r="P1640" t="str">
            <v/>
          </cell>
          <cell r="Q1640" t="str">
            <v/>
          </cell>
          <cell r="S1640" t="str">
            <v/>
          </cell>
          <cell r="V1640" t="str">
            <v/>
          </cell>
          <cell r="Z1640" t="str">
            <v/>
          </cell>
          <cell r="AA1640" t="str">
            <v/>
          </cell>
          <cell r="AB1640" t="str">
            <v/>
          </cell>
          <cell r="AC1640" t="str">
            <v/>
          </cell>
          <cell r="AD1640" t="str">
            <v/>
          </cell>
          <cell r="AY1640" t="str">
            <v/>
          </cell>
          <cell r="AZ1640" t="str">
            <v/>
          </cell>
          <cell r="BA1640" t="str">
            <v/>
          </cell>
        </row>
        <row r="1641">
          <cell r="B1641" t="str">
            <v>-</v>
          </cell>
          <cell r="E1641" t="str">
            <v/>
          </cell>
          <cell r="G1641" t="str">
            <v/>
          </cell>
          <cell r="J1641" t="str">
            <v/>
          </cell>
          <cell r="O1641" t="str">
            <v/>
          </cell>
          <cell r="P1641" t="str">
            <v/>
          </cell>
          <cell r="Q1641" t="str">
            <v/>
          </cell>
          <cell r="S1641" t="str">
            <v/>
          </cell>
          <cell r="V1641" t="str">
            <v/>
          </cell>
          <cell r="Z1641" t="str">
            <v/>
          </cell>
          <cell r="AA1641" t="str">
            <v/>
          </cell>
          <cell r="AB1641" t="str">
            <v/>
          </cell>
          <cell r="AC1641" t="str">
            <v/>
          </cell>
          <cell r="AD1641" t="str">
            <v/>
          </cell>
          <cell r="AY1641" t="str">
            <v/>
          </cell>
          <cell r="AZ1641" t="str">
            <v/>
          </cell>
          <cell r="BA1641" t="str">
            <v/>
          </cell>
        </row>
        <row r="1642">
          <cell r="B1642" t="str">
            <v>-</v>
          </cell>
          <cell r="E1642" t="str">
            <v/>
          </cell>
          <cell r="G1642" t="str">
            <v/>
          </cell>
          <cell r="J1642" t="str">
            <v/>
          </cell>
          <cell r="O1642" t="str">
            <v/>
          </cell>
          <cell r="P1642" t="str">
            <v/>
          </cell>
          <cell r="Q1642" t="str">
            <v/>
          </cell>
          <cell r="S1642" t="str">
            <v/>
          </cell>
          <cell r="V1642" t="str">
            <v/>
          </cell>
          <cell r="Z1642" t="str">
            <v/>
          </cell>
          <cell r="AA1642" t="str">
            <v/>
          </cell>
          <cell r="AB1642" t="str">
            <v/>
          </cell>
          <cell r="AC1642" t="str">
            <v/>
          </cell>
          <cell r="AD1642" t="str">
            <v/>
          </cell>
          <cell r="AY1642" t="str">
            <v/>
          </cell>
          <cell r="AZ1642" t="str">
            <v/>
          </cell>
          <cell r="BA1642" t="str">
            <v/>
          </cell>
        </row>
        <row r="1643">
          <cell r="B1643" t="str">
            <v>-</v>
          </cell>
          <cell r="E1643" t="str">
            <v/>
          </cell>
          <cell r="G1643" t="str">
            <v/>
          </cell>
          <cell r="J1643" t="str">
            <v/>
          </cell>
          <cell r="O1643" t="str">
            <v/>
          </cell>
          <cell r="P1643" t="str">
            <v/>
          </cell>
          <cell r="Q1643" t="str">
            <v/>
          </cell>
          <cell r="S1643" t="str">
            <v/>
          </cell>
          <cell r="V1643" t="str">
            <v/>
          </cell>
          <cell r="Z1643" t="str">
            <v/>
          </cell>
          <cell r="AA1643" t="str">
            <v/>
          </cell>
          <cell r="AB1643" t="str">
            <v/>
          </cell>
          <cell r="AC1643" t="str">
            <v/>
          </cell>
          <cell r="AD1643" t="str">
            <v/>
          </cell>
          <cell r="AY1643" t="str">
            <v/>
          </cell>
          <cell r="AZ1643" t="str">
            <v/>
          </cell>
          <cell r="BA1643" t="str">
            <v/>
          </cell>
        </row>
        <row r="1644">
          <cell r="B1644" t="str">
            <v>-</v>
          </cell>
          <cell r="E1644" t="str">
            <v/>
          </cell>
          <cell r="G1644" t="str">
            <v/>
          </cell>
          <cell r="J1644" t="str">
            <v/>
          </cell>
          <cell r="O1644" t="str">
            <v/>
          </cell>
          <cell r="P1644" t="str">
            <v/>
          </cell>
          <cell r="Q1644" t="str">
            <v/>
          </cell>
          <cell r="S1644" t="str">
            <v/>
          </cell>
          <cell r="V1644" t="str">
            <v/>
          </cell>
          <cell r="Z1644" t="str">
            <v/>
          </cell>
          <cell r="AA1644" t="str">
            <v/>
          </cell>
          <cell r="AB1644" t="str">
            <v/>
          </cell>
          <cell r="AC1644" t="str">
            <v/>
          </cell>
          <cell r="AD1644" t="str">
            <v/>
          </cell>
          <cell r="AY1644" t="str">
            <v/>
          </cell>
          <cell r="AZ1644" t="str">
            <v/>
          </cell>
          <cell r="BA1644" t="str">
            <v/>
          </cell>
        </row>
        <row r="1645">
          <cell r="B1645" t="str">
            <v>-</v>
          </cell>
          <cell r="E1645" t="str">
            <v/>
          </cell>
          <cell r="G1645" t="str">
            <v/>
          </cell>
          <cell r="J1645" t="str">
            <v/>
          </cell>
          <cell r="O1645" t="str">
            <v/>
          </cell>
          <cell r="P1645" t="str">
            <v/>
          </cell>
          <cell r="Q1645" t="str">
            <v/>
          </cell>
          <cell r="S1645" t="str">
            <v/>
          </cell>
          <cell r="V1645" t="str">
            <v/>
          </cell>
          <cell r="Z1645" t="str">
            <v/>
          </cell>
          <cell r="AA1645" t="str">
            <v/>
          </cell>
          <cell r="AB1645" t="str">
            <v/>
          </cell>
          <cell r="AC1645" t="str">
            <v/>
          </cell>
          <cell r="AD1645" t="str">
            <v/>
          </cell>
          <cell r="AY1645" t="str">
            <v/>
          </cell>
          <cell r="AZ1645" t="str">
            <v/>
          </cell>
          <cell r="BA1645" t="str">
            <v/>
          </cell>
        </row>
        <row r="1646">
          <cell r="B1646" t="str">
            <v>-</v>
          </cell>
          <cell r="E1646" t="str">
            <v/>
          </cell>
          <cell r="G1646" t="str">
            <v/>
          </cell>
          <cell r="J1646" t="str">
            <v/>
          </cell>
          <cell r="O1646" t="str">
            <v/>
          </cell>
          <cell r="P1646" t="str">
            <v/>
          </cell>
          <cell r="Q1646" t="str">
            <v/>
          </cell>
          <cell r="S1646" t="str">
            <v/>
          </cell>
          <cell r="V1646" t="str">
            <v/>
          </cell>
          <cell r="Z1646" t="str">
            <v/>
          </cell>
          <cell r="AA1646" t="str">
            <v/>
          </cell>
          <cell r="AB1646" t="str">
            <v/>
          </cell>
          <cell r="AC1646" t="str">
            <v/>
          </cell>
          <cell r="AD1646" t="str">
            <v/>
          </cell>
          <cell r="AY1646" t="str">
            <v/>
          </cell>
          <cell r="AZ1646" t="str">
            <v/>
          </cell>
          <cell r="BA1646" t="str">
            <v/>
          </cell>
        </row>
        <row r="1647">
          <cell r="B1647" t="str">
            <v>-</v>
          </cell>
          <cell r="E1647" t="str">
            <v/>
          </cell>
          <cell r="G1647" t="str">
            <v/>
          </cell>
          <cell r="J1647" t="str">
            <v/>
          </cell>
          <cell r="O1647" t="str">
            <v/>
          </cell>
          <cell r="P1647" t="str">
            <v/>
          </cell>
          <cell r="Q1647" t="str">
            <v/>
          </cell>
          <cell r="S1647" t="str">
            <v/>
          </cell>
          <cell r="V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 t="str">
            <v/>
          </cell>
          <cell r="AD1647" t="str">
            <v/>
          </cell>
          <cell r="AY1647" t="str">
            <v/>
          </cell>
          <cell r="AZ1647" t="str">
            <v/>
          </cell>
          <cell r="BA1647" t="str">
            <v/>
          </cell>
        </row>
        <row r="1648">
          <cell r="B1648" t="str">
            <v>-</v>
          </cell>
          <cell r="E1648" t="str">
            <v/>
          </cell>
          <cell r="G1648" t="str">
            <v/>
          </cell>
          <cell r="J1648" t="str">
            <v/>
          </cell>
          <cell r="O1648" t="str">
            <v/>
          </cell>
          <cell r="P1648" t="str">
            <v/>
          </cell>
          <cell r="Q1648" t="str">
            <v/>
          </cell>
          <cell r="S1648" t="str">
            <v/>
          </cell>
          <cell r="V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 t="str">
            <v/>
          </cell>
          <cell r="AD1648" t="str">
            <v/>
          </cell>
          <cell r="AY1648" t="str">
            <v/>
          </cell>
          <cell r="AZ1648" t="str">
            <v/>
          </cell>
          <cell r="BA1648" t="str">
            <v/>
          </cell>
        </row>
        <row r="1649">
          <cell r="B1649" t="str">
            <v>-</v>
          </cell>
          <cell r="E1649" t="str">
            <v/>
          </cell>
          <cell r="G1649" t="str">
            <v/>
          </cell>
          <cell r="J1649" t="str">
            <v/>
          </cell>
          <cell r="O1649" t="str">
            <v/>
          </cell>
          <cell r="P1649" t="str">
            <v/>
          </cell>
          <cell r="Q1649" t="str">
            <v/>
          </cell>
          <cell r="S1649" t="str">
            <v/>
          </cell>
          <cell r="V1649" t="str">
            <v/>
          </cell>
          <cell r="Z1649" t="str">
            <v/>
          </cell>
          <cell r="AA1649" t="str">
            <v/>
          </cell>
          <cell r="AB1649" t="str">
            <v/>
          </cell>
          <cell r="AC1649" t="str">
            <v/>
          </cell>
          <cell r="AD1649" t="str">
            <v/>
          </cell>
          <cell r="AY1649" t="str">
            <v/>
          </cell>
          <cell r="AZ1649" t="str">
            <v/>
          </cell>
          <cell r="BA1649" t="str">
            <v/>
          </cell>
        </row>
        <row r="1650">
          <cell r="B1650" t="str">
            <v>-</v>
          </cell>
          <cell r="E1650" t="str">
            <v/>
          </cell>
          <cell r="G1650" t="str">
            <v/>
          </cell>
          <cell r="J1650" t="str">
            <v/>
          </cell>
          <cell r="O1650" t="str">
            <v/>
          </cell>
          <cell r="P1650" t="str">
            <v/>
          </cell>
          <cell r="Q1650" t="str">
            <v/>
          </cell>
          <cell r="S1650" t="str">
            <v/>
          </cell>
          <cell r="V1650" t="str">
            <v/>
          </cell>
          <cell r="Z1650" t="str">
            <v/>
          </cell>
          <cell r="AA1650" t="str">
            <v/>
          </cell>
          <cell r="AB1650" t="str">
            <v/>
          </cell>
          <cell r="AC1650" t="str">
            <v/>
          </cell>
          <cell r="AD1650" t="str">
            <v/>
          </cell>
          <cell r="AY1650" t="str">
            <v/>
          </cell>
          <cell r="AZ1650" t="str">
            <v/>
          </cell>
          <cell r="BA1650" t="str">
            <v/>
          </cell>
        </row>
        <row r="1651">
          <cell r="B1651" t="str">
            <v>-</v>
          </cell>
          <cell r="E1651" t="str">
            <v/>
          </cell>
          <cell r="G1651" t="str">
            <v/>
          </cell>
          <cell r="J1651" t="str">
            <v/>
          </cell>
          <cell r="O1651" t="str">
            <v/>
          </cell>
          <cell r="P1651" t="str">
            <v/>
          </cell>
          <cell r="Q1651" t="str">
            <v/>
          </cell>
          <cell r="S1651" t="str">
            <v/>
          </cell>
          <cell r="V1651" t="str">
            <v/>
          </cell>
          <cell r="Z1651" t="str">
            <v/>
          </cell>
          <cell r="AA1651" t="str">
            <v/>
          </cell>
          <cell r="AB1651" t="str">
            <v/>
          </cell>
          <cell r="AC1651" t="str">
            <v/>
          </cell>
          <cell r="AD1651" t="str">
            <v/>
          </cell>
          <cell r="AY1651" t="str">
            <v/>
          </cell>
          <cell r="AZ1651" t="str">
            <v/>
          </cell>
          <cell r="BA1651" t="str">
            <v/>
          </cell>
        </row>
        <row r="1652">
          <cell r="B1652" t="str">
            <v>-</v>
          </cell>
          <cell r="E1652" t="str">
            <v/>
          </cell>
          <cell r="G1652" t="str">
            <v/>
          </cell>
          <cell r="J1652" t="str">
            <v/>
          </cell>
          <cell r="O1652" t="str">
            <v/>
          </cell>
          <cell r="P1652" t="str">
            <v/>
          </cell>
          <cell r="Q1652" t="str">
            <v/>
          </cell>
          <cell r="S1652" t="str">
            <v/>
          </cell>
          <cell r="V1652" t="str">
            <v/>
          </cell>
          <cell r="Z1652" t="str">
            <v/>
          </cell>
          <cell r="AA1652" t="str">
            <v/>
          </cell>
          <cell r="AB1652" t="str">
            <v/>
          </cell>
          <cell r="AC1652" t="str">
            <v/>
          </cell>
          <cell r="AD1652" t="str">
            <v/>
          </cell>
          <cell r="AY1652" t="str">
            <v/>
          </cell>
          <cell r="AZ1652" t="str">
            <v/>
          </cell>
          <cell r="BA1652" t="str">
            <v/>
          </cell>
        </row>
        <row r="1653">
          <cell r="B1653" t="str">
            <v>-</v>
          </cell>
          <cell r="E1653" t="str">
            <v/>
          </cell>
          <cell r="G1653" t="str">
            <v/>
          </cell>
          <cell r="J1653" t="str">
            <v/>
          </cell>
          <cell r="O1653" t="str">
            <v/>
          </cell>
          <cell r="P1653" t="str">
            <v/>
          </cell>
          <cell r="Q1653" t="str">
            <v/>
          </cell>
          <cell r="S1653" t="str">
            <v/>
          </cell>
          <cell r="V1653" t="str">
            <v/>
          </cell>
          <cell r="Z1653" t="str">
            <v/>
          </cell>
          <cell r="AA1653" t="str">
            <v/>
          </cell>
          <cell r="AB1653" t="str">
            <v/>
          </cell>
          <cell r="AC1653" t="str">
            <v/>
          </cell>
          <cell r="AD1653" t="str">
            <v/>
          </cell>
          <cell r="AY1653" t="str">
            <v/>
          </cell>
          <cell r="AZ1653" t="str">
            <v/>
          </cell>
          <cell r="BA1653" t="str">
            <v/>
          </cell>
        </row>
        <row r="1654">
          <cell r="B1654" t="str">
            <v>-</v>
          </cell>
          <cell r="E1654" t="str">
            <v/>
          </cell>
          <cell r="G1654" t="str">
            <v/>
          </cell>
          <cell r="J1654" t="str">
            <v/>
          </cell>
          <cell r="O1654" t="str">
            <v/>
          </cell>
          <cell r="P1654" t="str">
            <v/>
          </cell>
          <cell r="Q1654" t="str">
            <v/>
          </cell>
          <cell r="S1654" t="str">
            <v/>
          </cell>
          <cell r="V1654" t="str">
            <v/>
          </cell>
          <cell r="Z1654" t="str">
            <v/>
          </cell>
          <cell r="AA1654" t="str">
            <v/>
          </cell>
          <cell r="AB1654" t="str">
            <v/>
          </cell>
          <cell r="AC1654" t="str">
            <v/>
          </cell>
          <cell r="AD1654" t="str">
            <v/>
          </cell>
          <cell r="AY1654" t="str">
            <v/>
          </cell>
          <cell r="AZ1654" t="str">
            <v/>
          </cell>
          <cell r="BA1654" t="str">
            <v/>
          </cell>
        </row>
        <row r="1655">
          <cell r="B1655" t="str">
            <v>-</v>
          </cell>
          <cell r="E1655" t="str">
            <v/>
          </cell>
          <cell r="G1655" t="str">
            <v/>
          </cell>
          <cell r="J1655" t="str">
            <v/>
          </cell>
          <cell r="O1655" t="str">
            <v/>
          </cell>
          <cell r="P1655" t="str">
            <v/>
          </cell>
          <cell r="Q1655" t="str">
            <v/>
          </cell>
          <cell r="S1655" t="str">
            <v/>
          </cell>
          <cell r="V1655" t="str">
            <v/>
          </cell>
          <cell r="Z1655" t="str">
            <v/>
          </cell>
          <cell r="AA1655" t="str">
            <v/>
          </cell>
          <cell r="AB1655" t="str">
            <v/>
          </cell>
          <cell r="AC1655" t="str">
            <v/>
          </cell>
          <cell r="AD1655" t="str">
            <v/>
          </cell>
          <cell r="AY1655" t="str">
            <v/>
          </cell>
          <cell r="AZ1655" t="str">
            <v/>
          </cell>
          <cell r="BA1655" t="str">
            <v/>
          </cell>
        </row>
        <row r="1656">
          <cell r="B1656" t="str">
            <v>-</v>
          </cell>
          <cell r="E1656" t="str">
            <v/>
          </cell>
          <cell r="G1656" t="str">
            <v/>
          </cell>
          <cell r="J1656" t="str">
            <v/>
          </cell>
          <cell r="O1656" t="str">
            <v/>
          </cell>
          <cell r="P1656" t="str">
            <v/>
          </cell>
          <cell r="Q1656" t="str">
            <v/>
          </cell>
          <cell r="S1656" t="str">
            <v/>
          </cell>
          <cell r="V1656" t="str">
            <v/>
          </cell>
          <cell r="Z1656" t="str">
            <v/>
          </cell>
          <cell r="AA1656" t="str">
            <v/>
          </cell>
          <cell r="AB1656" t="str">
            <v/>
          </cell>
          <cell r="AC1656" t="str">
            <v/>
          </cell>
          <cell r="AD1656" t="str">
            <v/>
          </cell>
          <cell r="AY1656" t="str">
            <v/>
          </cell>
          <cell r="AZ1656" t="str">
            <v/>
          </cell>
          <cell r="BA1656" t="str">
            <v/>
          </cell>
        </row>
        <row r="1657">
          <cell r="B1657" t="str">
            <v>-</v>
          </cell>
          <cell r="E1657" t="str">
            <v/>
          </cell>
          <cell r="G1657" t="str">
            <v/>
          </cell>
          <cell r="J1657" t="str">
            <v/>
          </cell>
          <cell r="O1657" t="str">
            <v/>
          </cell>
          <cell r="P1657" t="str">
            <v/>
          </cell>
          <cell r="Q1657" t="str">
            <v/>
          </cell>
          <cell r="S1657" t="str">
            <v/>
          </cell>
          <cell r="V1657" t="str">
            <v/>
          </cell>
          <cell r="Z1657" t="str">
            <v/>
          </cell>
          <cell r="AA1657" t="str">
            <v/>
          </cell>
          <cell r="AB1657" t="str">
            <v/>
          </cell>
          <cell r="AC1657" t="str">
            <v/>
          </cell>
          <cell r="AD1657" t="str">
            <v/>
          </cell>
          <cell r="AY1657" t="str">
            <v/>
          </cell>
          <cell r="AZ1657" t="str">
            <v/>
          </cell>
          <cell r="BA1657" t="str">
            <v/>
          </cell>
        </row>
        <row r="1658">
          <cell r="B1658" t="str">
            <v>-</v>
          </cell>
          <cell r="E1658" t="str">
            <v/>
          </cell>
          <cell r="G1658" t="str">
            <v/>
          </cell>
          <cell r="J1658" t="str">
            <v/>
          </cell>
          <cell r="O1658" t="str">
            <v/>
          </cell>
          <cell r="P1658" t="str">
            <v/>
          </cell>
          <cell r="Q1658" t="str">
            <v/>
          </cell>
          <cell r="S1658" t="str">
            <v/>
          </cell>
          <cell r="V1658" t="str">
            <v/>
          </cell>
          <cell r="Z1658" t="str">
            <v/>
          </cell>
          <cell r="AA1658" t="str">
            <v/>
          </cell>
          <cell r="AB1658" t="str">
            <v/>
          </cell>
          <cell r="AC1658" t="str">
            <v/>
          </cell>
          <cell r="AD1658" t="str">
            <v/>
          </cell>
          <cell r="AY1658" t="str">
            <v/>
          </cell>
          <cell r="AZ1658" t="str">
            <v/>
          </cell>
          <cell r="BA1658" t="str">
            <v/>
          </cell>
        </row>
        <row r="1659">
          <cell r="B1659" t="str">
            <v>-</v>
          </cell>
          <cell r="E1659" t="str">
            <v/>
          </cell>
          <cell r="G1659" t="str">
            <v/>
          </cell>
          <cell r="J1659" t="str">
            <v/>
          </cell>
          <cell r="O1659" t="str">
            <v/>
          </cell>
          <cell r="P1659" t="str">
            <v/>
          </cell>
          <cell r="Q1659" t="str">
            <v/>
          </cell>
          <cell r="S1659" t="str">
            <v/>
          </cell>
          <cell r="V1659" t="str">
            <v/>
          </cell>
          <cell r="Z1659" t="str">
            <v/>
          </cell>
          <cell r="AA1659" t="str">
            <v/>
          </cell>
          <cell r="AB1659" t="str">
            <v/>
          </cell>
          <cell r="AC1659" t="str">
            <v/>
          </cell>
          <cell r="AD1659" t="str">
            <v/>
          </cell>
          <cell r="AY1659" t="str">
            <v/>
          </cell>
          <cell r="AZ1659" t="str">
            <v/>
          </cell>
          <cell r="BA1659" t="str">
            <v/>
          </cell>
        </row>
        <row r="1660">
          <cell r="B1660" t="str">
            <v>-</v>
          </cell>
          <cell r="E1660" t="str">
            <v/>
          </cell>
          <cell r="G1660" t="str">
            <v/>
          </cell>
          <cell r="J1660" t="str">
            <v/>
          </cell>
          <cell r="O1660" t="str">
            <v/>
          </cell>
          <cell r="P1660" t="str">
            <v/>
          </cell>
          <cell r="Q1660" t="str">
            <v/>
          </cell>
          <cell r="S1660" t="str">
            <v/>
          </cell>
          <cell r="V1660" t="str">
            <v/>
          </cell>
          <cell r="Z1660" t="str">
            <v/>
          </cell>
          <cell r="AA1660" t="str">
            <v/>
          </cell>
          <cell r="AB1660" t="str">
            <v/>
          </cell>
          <cell r="AC1660" t="str">
            <v/>
          </cell>
          <cell r="AD1660" t="str">
            <v/>
          </cell>
          <cell r="AY1660" t="str">
            <v/>
          </cell>
          <cell r="AZ1660" t="str">
            <v/>
          </cell>
          <cell r="BA1660" t="str">
            <v/>
          </cell>
        </row>
        <row r="1661">
          <cell r="B1661" t="str">
            <v>-</v>
          </cell>
          <cell r="E1661" t="str">
            <v/>
          </cell>
          <cell r="G1661" t="str">
            <v/>
          </cell>
          <cell r="J1661" t="str">
            <v/>
          </cell>
          <cell r="O1661" t="str">
            <v/>
          </cell>
          <cell r="P1661" t="str">
            <v/>
          </cell>
          <cell r="Q1661" t="str">
            <v/>
          </cell>
          <cell r="S1661" t="str">
            <v/>
          </cell>
          <cell r="V1661" t="str">
            <v/>
          </cell>
          <cell r="Z1661" t="str">
            <v/>
          </cell>
          <cell r="AA1661" t="str">
            <v/>
          </cell>
          <cell r="AB1661" t="str">
            <v/>
          </cell>
          <cell r="AC1661" t="str">
            <v/>
          </cell>
          <cell r="AD1661" t="str">
            <v/>
          </cell>
          <cell r="AY1661" t="str">
            <v/>
          </cell>
          <cell r="AZ1661" t="str">
            <v/>
          </cell>
          <cell r="BA1661" t="str">
            <v/>
          </cell>
        </row>
        <row r="1662">
          <cell r="B1662" t="str">
            <v>-</v>
          </cell>
          <cell r="E1662" t="str">
            <v/>
          </cell>
          <cell r="G1662" t="str">
            <v/>
          </cell>
          <cell r="J1662" t="str">
            <v/>
          </cell>
          <cell r="O1662" t="str">
            <v/>
          </cell>
          <cell r="P1662" t="str">
            <v/>
          </cell>
          <cell r="Q1662" t="str">
            <v/>
          </cell>
          <cell r="S1662" t="str">
            <v/>
          </cell>
          <cell r="V1662" t="str">
            <v/>
          </cell>
          <cell r="Z1662" t="str">
            <v/>
          </cell>
          <cell r="AA1662" t="str">
            <v/>
          </cell>
          <cell r="AB1662" t="str">
            <v/>
          </cell>
          <cell r="AC1662" t="str">
            <v/>
          </cell>
          <cell r="AD1662" t="str">
            <v/>
          </cell>
          <cell r="AY1662" t="str">
            <v/>
          </cell>
          <cell r="AZ1662" t="str">
            <v/>
          </cell>
          <cell r="BA1662" t="str">
            <v/>
          </cell>
        </row>
        <row r="1663">
          <cell r="B1663" t="str">
            <v>-</v>
          </cell>
          <cell r="E1663" t="str">
            <v/>
          </cell>
          <cell r="G1663" t="str">
            <v/>
          </cell>
          <cell r="J1663" t="str">
            <v/>
          </cell>
          <cell r="O1663" t="str">
            <v/>
          </cell>
          <cell r="P1663" t="str">
            <v/>
          </cell>
          <cell r="Q1663" t="str">
            <v/>
          </cell>
          <cell r="S1663" t="str">
            <v/>
          </cell>
          <cell r="V1663" t="str">
            <v/>
          </cell>
          <cell r="Z1663" t="str">
            <v/>
          </cell>
          <cell r="AA1663" t="str">
            <v/>
          </cell>
          <cell r="AB1663" t="str">
            <v/>
          </cell>
          <cell r="AC1663" t="str">
            <v/>
          </cell>
          <cell r="AD1663" t="str">
            <v/>
          </cell>
          <cell r="AY1663" t="str">
            <v/>
          </cell>
          <cell r="AZ1663" t="str">
            <v/>
          </cell>
          <cell r="BA1663" t="str">
            <v/>
          </cell>
        </row>
        <row r="1664">
          <cell r="B1664" t="str">
            <v>-</v>
          </cell>
          <cell r="E1664" t="str">
            <v/>
          </cell>
          <cell r="G1664" t="str">
            <v/>
          </cell>
          <cell r="J1664" t="str">
            <v/>
          </cell>
          <cell r="O1664" t="str">
            <v/>
          </cell>
          <cell r="P1664" t="str">
            <v/>
          </cell>
          <cell r="Q1664" t="str">
            <v/>
          </cell>
          <cell r="S1664" t="str">
            <v/>
          </cell>
          <cell r="V1664" t="str">
            <v/>
          </cell>
          <cell r="Z1664" t="str">
            <v/>
          </cell>
          <cell r="AA1664" t="str">
            <v/>
          </cell>
          <cell r="AB1664" t="str">
            <v/>
          </cell>
          <cell r="AC1664" t="str">
            <v/>
          </cell>
          <cell r="AD1664" t="str">
            <v/>
          </cell>
          <cell r="AY1664" t="str">
            <v/>
          </cell>
          <cell r="AZ1664" t="str">
            <v/>
          </cell>
          <cell r="BA1664" t="str">
            <v/>
          </cell>
        </row>
        <row r="1665">
          <cell r="B1665" t="str">
            <v>-</v>
          </cell>
          <cell r="E1665" t="str">
            <v/>
          </cell>
          <cell r="G1665" t="str">
            <v/>
          </cell>
          <cell r="J1665" t="str">
            <v/>
          </cell>
          <cell r="O1665" t="str">
            <v/>
          </cell>
          <cell r="P1665" t="str">
            <v/>
          </cell>
          <cell r="Q1665" t="str">
            <v/>
          </cell>
          <cell r="S1665" t="str">
            <v/>
          </cell>
          <cell r="V1665" t="str">
            <v/>
          </cell>
          <cell r="Z1665" t="str">
            <v/>
          </cell>
          <cell r="AA1665" t="str">
            <v/>
          </cell>
          <cell r="AB1665" t="str">
            <v/>
          </cell>
          <cell r="AC1665" t="str">
            <v/>
          </cell>
          <cell r="AD1665" t="str">
            <v/>
          </cell>
          <cell r="AY1665" t="str">
            <v/>
          </cell>
          <cell r="AZ1665" t="str">
            <v/>
          </cell>
          <cell r="BA1665" t="str">
            <v/>
          </cell>
        </row>
        <row r="1666">
          <cell r="B1666" t="str">
            <v>-</v>
          </cell>
          <cell r="E1666" t="str">
            <v/>
          </cell>
          <cell r="G1666" t="str">
            <v/>
          </cell>
          <cell r="J1666" t="str">
            <v/>
          </cell>
          <cell r="O1666" t="str">
            <v/>
          </cell>
          <cell r="P1666" t="str">
            <v/>
          </cell>
          <cell r="Q1666" t="str">
            <v/>
          </cell>
          <cell r="S1666" t="str">
            <v/>
          </cell>
          <cell r="V1666" t="str">
            <v/>
          </cell>
          <cell r="Z1666" t="str">
            <v/>
          </cell>
          <cell r="AA1666" t="str">
            <v/>
          </cell>
          <cell r="AB1666" t="str">
            <v/>
          </cell>
          <cell r="AC1666" t="str">
            <v/>
          </cell>
          <cell r="AD1666" t="str">
            <v/>
          </cell>
          <cell r="AY1666" t="str">
            <v/>
          </cell>
          <cell r="AZ1666" t="str">
            <v/>
          </cell>
          <cell r="BA1666" t="str">
            <v/>
          </cell>
        </row>
        <row r="1667">
          <cell r="B1667" t="str">
            <v>-</v>
          </cell>
          <cell r="E1667" t="str">
            <v/>
          </cell>
          <cell r="G1667" t="str">
            <v/>
          </cell>
          <cell r="J1667" t="str">
            <v/>
          </cell>
          <cell r="O1667" t="str">
            <v/>
          </cell>
          <cell r="P1667" t="str">
            <v/>
          </cell>
          <cell r="Q1667" t="str">
            <v/>
          </cell>
          <cell r="S1667" t="str">
            <v/>
          </cell>
          <cell r="V1667" t="str">
            <v/>
          </cell>
          <cell r="Z1667" t="str">
            <v/>
          </cell>
          <cell r="AA1667" t="str">
            <v/>
          </cell>
          <cell r="AB1667" t="str">
            <v/>
          </cell>
          <cell r="AC1667" t="str">
            <v/>
          </cell>
          <cell r="AD1667" t="str">
            <v/>
          </cell>
          <cell r="AY1667" t="str">
            <v/>
          </cell>
          <cell r="AZ1667" t="str">
            <v/>
          </cell>
          <cell r="BA1667" t="str">
            <v/>
          </cell>
        </row>
        <row r="1668">
          <cell r="B1668" t="str">
            <v>-</v>
          </cell>
          <cell r="E1668" t="str">
            <v/>
          </cell>
          <cell r="G1668" t="str">
            <v/>
          </cell>
          <cell r="J1668" t="str">
            <v/>
          </cell>
          <cell r="O1668" t="str">
            <v/>
          </cell>
          <cell r="P1668" t="str">
            <v/>
          </cell>
          <cell r="Q1668" t="str">
            <v/>
          </cell>
          <cell r="S1668" t="str">
            <v/>
          </cell>
          <cell r="V1668" t="str">
            <v/>
          </cell>
          <cell r="Z1668" t="str">
            <v/>
          </cell>
          <cell r="AA1668" t="str">
            <v/>
          </cell>
          <cell r="AB1668" t="str">
            <v/>
          </cell>
          <cell r="AC1668" t="str">
            <v/>
          </cell>
          <cell r="AD1668" t="str">
            <v/>
          </cell>
          <cell r="AY1668" t="str">
            <v/>
          </cell>
          <cell r="AZ1668" t="str">
            <v/>
          </cell>
          <cell r="BA1668" t="str">
            <v/>
          </cell>
        </row>
        <row r="1669">
          <cell r="B1669" t="str">
            <v>-</v>
          </cell>
          <cell r="E1669" t="str">
            <v/>
          </cell>
          <cell r="G1669" t="str">
            <v/>
          </cell>
          <cell r="J1669" t="str">
            <v/>
          </cell>
          <cell r="O1669" t="str">
            <v/>
          </cell>
          <cell r="P1669" t="str">
            <v/>
          </cell>
          <cell r="Q1669" t="str">
            <v/>
          </cell>
          <cell r="S1669" t="str">
            <v/>
          </cell>
          <cell r="V1669" t="str">
            <v/>
          </cell>
          <cell r="Z1669" t="str">
            <v/>
          </cell>
          <cell r="AA1669" t="str">
            <v/>
          </cell>
          <cell r="AB1669" t="str">
            <v/>
          </cell>
          <cell r="AC1669" t="str">
            <v/>
          </cell>
          <cell r="AD1669" t="str">
            <v/>
          </cell>
          <cell r="AY1669" t="str">
            <v/>
          </cell>
          <cell r="AZ1669" t="str">
            <v/>
          </cell>
          <cell r="BA1669" t="str">
            <v/>
          </cell>
        </row>
        <row r="1670">
          <cell r="B1670" t="str">
            <v>-</v>
          </cell>
          <cell r="E1670" t="str">
            <v/>
          </cell>
          <cell r="G1670" t="str">
            <v/>
          </cell>
          <cell r="J1670" t="str">
            <v/>
          </cell>
          <cell r="O1670" t="str">
            <v/>
          </cell>
          <cell r="P1670" t="str">
            <v/>
          </cell>
          <cell r="Q1670" t="str">
            <v/>
          </cell>
          <cell r="S1670" t="str">
            <v/>
          </cell>
          <cell r="V1670" t="str">
            <v/>
          </cell>
          <cell r="Z1670" t="str">
            <v/>
          </cell>
          <cell r="AA1670" t="str">
            <v/>
          </cell>
          <cell r="AB1670" t="str">
            <v/>
          </cell>
          <cell r="AC1670" t="str">
            <v/>
          </cell>
          <cell r="AD1670" t="str">
            <v/>
          </cell>
          <cell r="AY1670" t="str">
            <v/>
          </cell>
          <cell r="AZ1670" t="str">
            <v/>
          </cell>
          <cell r="BA1670" t="str">
            <v/>
          </cell>
        </row>
        <row r="1671">
          <cell r="B1671" t="str">
            <v>-</v>
          </cell>
          <cell r="E1671" t="str">
            <v/>
          </cell>
          <cell r="G1671" t="str">
            <v/>
          </cell>
          <cell r="J1671" t="str">
            <v/>
          </cell>
          <cell r="O1671" t="str">
            <v/>
          </cell>
          <cell r="P1671" t="str">
            <v/>
          </cell>
          <cell r="Q1671" t="str">
            <v/>
          </cell>
          <cell r="S1671" t="str">
            <v/>
          </cell>
          <cell r="V1671" t="str">
            <v/>
          </cell>
          <cell r="Z1671" t="str">
            <v/>
          </cell>
          <cell r="AA1671" t="str">
            <v/>
          </cell>
          <cell r="AB1671" t="str">
            <v/>
          </cell>
          <cell r="AC1671" t="str">
            <v/>
          </cell>
          <cell r="AD1671" t="str">
            <v/>
          </cell>
          <cell r="AY1671" t="str">
            <v/>
          </cell>
          <cell r="AZ1671" t="str">
            <v/>
          </cell>
          <cell r="BA1671" t="str">
            <v/>
          </cell>
        </row>
        <row r="1672">
          <cell r="B1672" t="str">
            <v>-</v>
          </cell>
          <cell r="E1672" t="str">
            <v/>
          </cell>
          <cell r="G1672" t="str">
            <v/>
          </cell>
          <cell r="J1672" t="str">
            <v/>
          </cell>
          <cell r="O1672" t="str">
            <v/>
          </cell>
          <cell r="P1672" t="str">
            <v/>
          </cell>
          <cell r="Q1672" t="str">
            <v/>
          </cell>
          <cell r="S1672" t="str">
            <v/>
          </cell>
          <cell r="V1672" t="str">
            <v/>
          </cell>
          <cell r="Z1672" t="str">
            <v/>
          </cell>
          <cell r="AA1672" t="str">
            <v/>
          </cell>
          <cell r="AB1672" t="str">
            <v/>
          </cell>
          <cell r="AC1672" t="str">
            <v/>
          </cell>
          <cell r="AD1672" t="str">
            <v/>
          </cell>
          <cell r="AY1672" t="str">
            <v/>
          </cell>
          <cell r="AZ1672" t="str">
            <v/>
          </cell>
          <cell r="BA1672" t="str">
            <v/>
          </cell>
        </row>
        <row r="1673">
          <cell r="B1673" t="str">
            <v>-</v>
          </cell>
          <cell r="E1673" t="str">
            <v/>
          </cell>
          <cell r="G1673" t="str">
            <v/>
          </cell>
          <cell r="J1673" t="str">
            <v/>
          </cell>
          <cell r="O1673" t="str">
            <v/>
          </cell>
          <cell r="P1673" t="str">
            <v/>
          </cell>
          <cell r="Q1673" t="str">
            <v/>
          </cell>
          <cell r="S1673" t="str">
            <v/>
          </cell>
          <cell r="V1673" t="str">
            <v/>
          </cell>
          <cell r="Z1673" t="str">
            <v/>
          </cell>
          <cell r="AA1673" t="str">
            <v/>
          </cell>
          <cell r="AB1673" t="str">
            <v/>
          </cell>
          <cell r="AC1673" t="str">
            <v/>
          </cell>
          <cell r="AD1673" t="str">
            <v/>
          </cell>
          <cell r="AY1673" t="str">
            <v/>
          </cell>
          <cell r="AZ1673" t="str">
            <v/>
          </cell>
          <cell r="BA1673" t="str">
            <v/>
          </cell>
        </row>
        <row r="1674">
          <cell r="B1674" t="str">
            <v>-</v>
          </cell>
          <cell r="E1674" t="str">
            <v/>
          </cell>
          <cell r="G1674" t="str">
            <v/>
          </cell>
          <cell r="J1674" t="str">
            <v/>
          </cell>
          <cell r="O1674" t="str">
            <v/>
          </cell>
          <cell r="P1674" t="str">
            <v/>
          </cell>
          <cell r="Q1674" t="str">
            <v/>
          </cell>
          <cell r="S1674" t="str">
            <v/>
          </cell>
          <cell r="V1674" t="str">
            <v/>
          </cell>
          <cell r="Z1674" t="str">
            <v/>
          </cell>
          <cell r="AA1674" t="str">
            <v/>
          </cell>
          <cell r="AB1674" t="str">
            <v/>
          </cell>
          <cell r="AC1674" t="str">
            <v/>
          </cell>
          <cell r="AD1674" t="str">
            <v/>
          </cell>
          <cell r="AY1674" t="str">
            <v/>
          </cell>
          <cell r="AZ1674" t="str">
            <v/>
          </cell>
          <cell r="BA1674" t="str">
            <v/>
          </cell>
        </row>
        <row r="1675">
          <cell r="B1675" t="str">
            <v>-</v>
          </cell>
          <cell r="E1675" t="str">
            <v/>
          </cell>
          <cell r="G1675" t="str">
            <v/>
          </cell>
          <cell r="J1675" t="str">
            <v/>
          </cell>
          <cell r="O1675" t="str">
            <v/>
          </cell>
          <cell r="P1675" t="str">
            <v/>
          </cell>
          <cell r="Q1675" t="str">
            <v/>
          </cell>
          <cell r="S1675" t="str">
            <v/>
          </cell>
          <cell r="V1675" t="str">
            <v/>
          </cell>
          <cell r="Z1675" t="str">
            <v/>
          </cell>
          <cell r="AA1675" t="str">
            <v/>
          </cell>
          <cell r="AB1675" t="str">
            <v/>
          </cell>
          <cell r="AC1675" t="str">
            <v/>
          </cell>
          <cell r="AD1675" t="str">
            <v/>
          </cell>
          <cell r="AY1675" t="str">
            <v/>
          </cell>
          <cell r="AZ1675" t="str">
            <v/>
          </cell>
          <cell r="BA1675" t="str">
            <v/>
          </cell>
        </row>
        <row r="1676">
          <cell r="B1676" t="str">
            <v>-</v>
          </cell>
          <cell r="E1676" t="str">
            <v/>
          </cell>
          <cell r="G1676" t="str">
            <v/>
          </cell>
          <cell r="J1676" t="str">
            <v/>
          </cell>
          <cell r="O1676" t="str">
            <v/>
          </cell>
          <cell r="P1676" t="str">
            <v/>
          </cell>
          <cell r="Q1676" t="str">
            <v/>
          </cell>
          <cell r="S1676" t="str">
            <v/>
          </cell>
          <cell r="V1676" t="str">
            <v/>
          </cell>
          <cell r="Z1676" t="str">
            <v/>
          </cell>
          <cell r="AA1676" t="str">
            <v/>
          </cell>
          <cell r="AB1676" t="str">
            <v/>
          </cell>
          <cell r="AC1676" t="str">
            <v/>
          </cell>
          <cell r="AD1676" t="str">
            <v/>
          </cell>
          <cell r="AY1676" t="str">
            <v/>
          </cell>
          <cell r="AZ1676" t="str">
            <v/>
          </cell>
          <cell r="BA1676" t="str">
            <v/>
          </cell>
        </row>
        <row r="1677">
          <cell r="B1677" t="str">
            <v>-</v>
          </cell>
          <cell r="E1677" t="str">
            <v/>
          </cell>
          <cell r="G1677" t="str">
            <v/>
          </cell>
          <cell r="J1677" t="str">
            <v/>
          </cell>
          <cell r="O1677" t="str">
            <v/>
          </cell>
          <cell r="P1677" t="str">
            <v/>
          </cell>
          <cell r="Q1677" t="str">
            <v/>
          </cell>
          <cell r="S1677" t="str">
            <v/>
          </cell>
          <cell r="V1677" t="str">
            <v/>
          </cell>
          <cell r="Z1677" t="str">
            <v/>
          </cell>
          <cell r="AA1677" t="str">
            <v/>
          </cell>
          <cell r="AB1677" t="str">
            <v/>
          </cell>
          <cell r="AC1677" t="str">
            <v/>
          </cell>
          <cell r="AD1677" t="str">
            <v/>
          </cell>
          <cell r="AY1677" t="str">
            <v/>
          </cell>
          <cell r="AZ1677" t="str">
            <v/>
          </cell>
          <cell r="BA1677" t="str">
            <v/>
          </cell>
        </row>
        <row r="1678">
          <cell r="B1678" t="str">
            <v>-</v>
          </cell>
          <cell r="E1678" t="str">
            <v/>
          </cell>
          <cell r="G1678" t="str">
            <v/>
          </cell>
          <cell r="J1678" t="str">
            <v/>
          </cell>
          <cell r="O1678" t="str">
            <v/>
          </cell>
          <cell r="P1678" t="str">
            <v/>
          </cell>
          <cell r="Q1678" t="str">
            <v/>
          </cell>
          <cell r="S1678" t="str">
            <v/>
          </cell>
          <cell r="V1678" t="str">
            <v/>
          </cell>
          <cell r="Z1678" t="str">
            <v/>
          </cell>
          <cell r="AA1678" t="str">
            <v/>
          </cell>
          <cell r="AB1678" t="str">
            <v/>
          </cell>
          <cell r="AC1678" t="str">
            <v/>
          </cell>
          <cell r="AD1678" t="str">
            <v/>
          </cell>
          <cell r="AY1678" t="str">
            <v/>
          </cell>
          <cell r="AZ1678" t="str">
            <v/>
          </cell>
          <cell r="BA1678" t="str">
            <v/>
          </cell>
        </row>
        <row r="1679">
          <cell r="B1679" t="str">
            <v>-</v>
          </cell>
          <cell r="E1679" t="str">
            <v/>
          </cell>
          <cell r="G1679" t="str">
            <v/>
          </cell>
          <cell r="J1679" t="str">
            <v/>
          </cell>
          <cell r="O1679" t="str">
            <v/>
          </cell>
          <cell r="P1679" t="str">
            <v/>
          </cell>
          <cell r="Q1679" t="str">
            <v/>
          </cell>
          <cell r="S1679" t="str">
            <v/>
          </cell>
          <cell r="V1679" t="str">
            <v/>
          </cell>
          <cell r="Z1679" t="str">
            <v/>
          </cell>
          <cell r="AA1679" t="str">
            <v/>
          </cell>
          <cell r="AB1679" t="str">
            <v/>
          </cell>
          <cell r="AC1679" t="str">
            <v/>
          </cell>
          <cell r="AD1679" t="str">
            <v/>
          </cell>
          <cell r="AY1679" t="str">
            <v/>
          </cell>
          <cell r="AZ1679" t="str">
            <v/>
          </cell>
          <cell r="BA1679" t="str">
            <v/>
          </cell>
        </row>
        <row r="1680">
          <cell r="B1680" t="str">
            <v>-</v>
          </cell>
          <cell r="E1680" t="str">
            <v/>
          </cell>
          <cell r="G1680" t="str">
            <v/>
          </cell>
          <cell r="J1680" t="str">
            <v/>
          </cell>
          <cell r="O1680" t="str">
            <v/>
          </cell>
          <cell r="P1680" t="str">
            <v/>
          </cell>
          <cell r="Q1680" t="str">
            <v/>
          </cell>
          <cell r="S1680" t="str">
            <v/>
          </cell>
          <cell r="V1680" t="str">
            <v/>
          </cell>
          <cell r="Z1680" t="str">
            <v/>
          </cell>
          <cell r="AA1680" t="str">
            <v/>
          </cell>
          <cell r="AB1680" t="str">
            <v/>
          </cell>
          <cell r="AC1680" t="str">
            <v/>
          </cell>
          <cell r="AD1680" t="str">
            <v/>
          </cell>
          <cell r="AY1680" t="str">
            <v/>
          </cell>
          <cell r="AZ1680" t="str">
            <v/>
          </cell>
          <cell r="BA1680" t="str">
            <v/>
          </cell>
        </row>
        <row r="1681">
          <cell r="B1681" t="str">
            <v>-</v>
          </cell>
          <cell r="E1681" t="str">
            <v/>
          </cell>
          <cell r="G1681" t="str">
            <v/>
          </cell>
          <cell r="J1681" t="str">
            <v/>
          </cell>
          <cell r="O1681" t="str">
            <v/>
          </cell>
          <cell r="P1681" t="str">
            <v/>
          </cell>
          <cell r="Q1681" t="str">
            <v/>
          </cell>
          <cell r="S1681" t="str">
            <v/>
          </cell>
          <cell r="V1681" t="str">
            <v/>
          </cell>
          <cell r="Z1681" t="str">
            <v/>
          </cell>
          <cell r="AA1681" t="str">
            <v/>
          </cell>
          <cell r="AB1681" t="str">
            <v/>
          </cell>
          <cell r="AC1681" t="str">
            <v/>
          </cell>
          <cell r="AD1681" t="str">
            <v/>
          </cell>
          <cell r="AY1681" t="str">
            <v/>
          </cell>
          <cell r="AZ1681" t="str">
            <v/>
          </cell>
          <cell r="BA1681" t="str">
            <v/>
          </cell>
        </row>
        <row r="1682">
          <cell r="B1682" t="str">
            <v>-</v>
          </cell>
          <cell r="E1682" t="str">
            <v/>
          </cell>
          <cell r="G1682" t="str">
            <v/>
          </cell>
          <cell r="J1682" t="str">
            <v/>
          </cell>
          <cell r="O1682" t="str">
            <v/>
          </cell>
          <cell r="P1682" t="str">
            <v/>
          </cell>
          <cell r="Q1682" t="str">
            <v/>
          </cell>
          <cell r="S1682" t="str">
            <v/>
          </cell>
          <cell r="V1682" t="str">
            <v/>
          </cell>
          <cell r="Z1682" t="str">
            <v/>
          </cell>
          <cell r="AA1682" t="str">
            <v/>
          </cell>
          <cell r="AB1682" t="str">
            <v/>
          </cell>
          <cell r="AC1682" t="str">
            <v/>
          </cell>
          <cell r="AD1682" t="str">
            <v/>
          </cell>
          <cell r="AY1682" t="str">
            <v/>
          </cell>
          <cell r="AZ1682" t="str">
            <v/>
          </cell>
          <cell r="BA1682" t="str">
            <v/>
          </cell>
        </row>
        <row r="1683">
          <cell r="B1683" t="str">
            <v>-</v>
          </cell>
          <cell r="E1683" t="str">
            <v/>
          </cell>
          <cell r="G1683" t="str">
            <v/>
          </cell>
          <cell r="J1683" t="str">
            <v/>
          </cell>
          <cell r="O1683" t="str">
            <v/>
          </cell>
          <cell r="P1683" t="str">
            <v/>
          </cell>
          <cell r="Q1683" t="str">
            <v/>
          </cell>
          <cell r="S1683" t="str">
            <v/>
          </cell>
          <cell r="V1683" t="str">
            <v/>
          </cell>
          <cell r="Z1683" t="str">
            <v/>
          </cell>
          <cell r="AA1683" t="str">
            <v/>
          </cell>
          <cell r="AB1683" t="str">
            <v/>
          </cell>
          <cell r="AC1683" t="str">
            <v/>
          </cell>
          <cell r="AD1683" t="str">
            <v/>
          </cell>
          <cell r="AY1683" t="str">
            <v/>
          </cell>
          <cell r="AZ1683" t="str">
            <v/>
          </cell>
          <cell r="BA1683" t="str">
            <v/>
          </cell>
        </row>
        <row r="1684">
          <cell r="B1684" t="str">
            <v>-</v>
          </cell>
          <cell r="E1684" t="str">
            <v/>
          </cell>
          <cell r="G1684" t="str">
            <v/>
          </cell>
          <cell r="J1684" t="str">
            <v/>
          </cell>
          <cell r="O1684" t="str">
            <v/>
          </cell>
          <cell r="P1684" t="str">
            <v/>
          </cell>
          <cell r="Q1684" t="str">
            <v/>
          </cell>
          <cell r="S1684" t="str">
            <v/>
          </cell>
          <cell r="V1684" t="str">
            <v/>
          </cell>
          <cell r="Z1684" t="str">
            <v/>
          </cell>
          <cell r="AA1684" t="str">
            <v/>
          </cell>
          <cell r="AB1684" t="str">
            <v/>
          </cell>
          <cell r="AC1684" t="str">
            <v/>
          </cell>
          <cell r="AD1684" t="str">
            <v/>
          </cell>
          <cell r="AY1684" t="str">
            <v/>
          </cell>
          <cell r="AZ1684" t="str">
            <v/>
          </cell>
          <cell r="BA1684" t="str">
            <v/>
          </cell>
        </row>
        <row r="1685">
          <cell r="B1685" t="str">
            <v>-</v>
          </cell>
          <cell r="E1685" t="str">
            <v/>
          </cell>
          <cell r="G1685" t="str">
            <v/>
          </cell>
          <cell r="J1685" t="str">
            <v/>
          </cell>
          <cell r="O1685" t="str">
            <v/>
          </cell>
          <cell r="P1685" t="str">
            <v/>
          </cell>
          <cell r="Q1685" t="str">
            <v/>
          </cell>
          <cell r="S1685" t="str">
            <v/>
          </cell>
          <cell r="V1685" t="str">
            <v/>
          </cell>
          <cell r="Z1685" t="str">
            <v/>
          </cell>
          <cell r="AA1685" t="str">
            <v/>
          </cell>
          <cell r="AB1685" t="str">
            <v/>
          </cell>
          <cell r="AC1685" t="str">
            <v/>
          </cell>
          <cell r="AD1685" t="str">
            <v/>
          </cell>
          <cell r="AY1685" t="str">
            <v/>
          </cell>
          <cell r="AZ1685" t="str">
            <v/>
          </cell>
          <cell r="BA1685" t="str">
            <v/>
          </cell>
        </row>
        <row r="1686">
          <cell r="B1686" t="str">
            <v>-</v>
          </cell>
          <cell r="E1686" t="str">
            <v/>
          </cell>
          <cell r="G1686" t="str">
            <v/>
          </cell>
          <cell r="J1686" t="str">
            <v/>
          </cell>
          <cell r="O1686" t="str">
            <v/>
          </cell>
          <cell r="P1686" t="str">
            <v/>
          </cell>
          <cell r="Q1686" t="str">
            <v/>
          </cell>
          <cell r="S1686" t="str">
            <v/>
          </cell>
          <cell r="V1686" t="str">
            <v/>
          </cell>
          <cell r="Z1686" t="str">
            <v/>
          </cell>
          <cell r="AA1686" t="str">
            <v/>
          </cell>
          <cell r="AB1686" t="str">
            <v/>
          </cell>
          <cell r="AC1686" t="str">
            <v/>
          </cell>
          <cell r="AD1686" t="str">
            <v/>
          </cell>
          <cell r="AY1686" t="str">
            <v/>
          </cell>
          <cell r="AZ1686" t="str">
            <v/>
          </cell>
          <cell r="BA1686" t="str">
            <v/>
          </cell>
        </row>
        <row r="1687">
          <cell r="B1687" t="str">
            <v>-</v>
          </cell>
          <cell r="E1687" t="str">
            <v/>
          </cell>
          <cell r="G1687" t="str">
            <v/>
          </cell>
          <cell r="J1687" t="str">
            <v/>
          </cell>
          <cell r="O1687" t="str">
            <v/>
          </cell>
          <cell r="P1687" t="str">
            <v/>
          </cell>
          <cell r="Q1687" t="str">
            <v/>
          </cell>
          <cell r="S1687" t="str">
            <v/>
          </cell>
          <cell r="V1687" t="str">
            <v/>
          </cell>
          <cell r="Z1687" t="str">
            <v/>
          </cell>
          <cell r="AA1687" t="str">
            <v/>
          </cell>
          <cell r="AB1687" t="str">
            <v/>
          </cell>
          <cell r="AC1687" t="str">
            <v/>
          </cell>
          <cell r="AD1687" t="str">
            <v/>
          </cell>
          <cell r="AY1687" t="str">
            <v/>
          </cell>
          <cell r="AZ1687" t="str">
            <v/>
          </cell>
          <cell r="BA1687" t="str">
            <v/>
          </cell>
        </row>
        <row r="1688">
          <cell r="B1688" t="str">
            <v>-</v>
          </cell>
          <cell r="E1688" t="str">
            <v/>
          </cell>
          <cell r="G1688" t="str">
            <v/>
          </cell>
          <cell r="J1688" t="str">
            <v/>
          </cell>
          <cell r="O1688" t="str">
            <v/>
          </cell>
          <cell r="P1688" t="str">
            <v/>
          </cell>
          <cell r="Q1688" t="str">
            <v/>
          </cell>
          <cell r="S1688" t="str">
            <v/>
          </cell>
          <cell r="V1688" t="str">
            <v/>
          </cell>
          <cell r="Z1688" t="str">
            <v/>
          </cell>
          <cell r="AA1688" t="str">
            <v/>
          </cell>
          <cell r="AB1688" t="str">
            <v/>
          </cell>
          <cell r="AC1688" t="str">
            <v/>
          </cell>
          <cell r="AD1688" t="str">
            <v/>
          </cell>
          <cell r="AY1688" t="str">
            <v/>
          </cell>
          <cell r="AZ1688" t="str">
            <v/>
          </cell>
          <cell r="BA1688" t="str">
            <v/>
          </cell>
        </row>
        <row r="1689">
          <cell r="B1689" t="str">
            <v>-</v>
          </cell>
          <cell r="E1689" t="str">
            <v/>
          </cell>
          <cell r="G1689" t="str">
            <v/>
          </cell>
          <cell r="J1689" t="str">
            <v/>
          </cell>
          <cell r="O1689" t="str">
            <v/>
          </cell>
          <cell r="P1689" t="str">
            <v/>
          </cell>
          <cell r="Q1689" t="str">
            <v/>
          </cell>
          <cell r="S1689" t="str">
            <v/>
          </cell>
          <cell r="V1689" t="str">
            <v/>
          </cell>
          <cell r="Z1689" t="str">
            <v/>
          </cell>
          <cell r="AA1689" t="str">
            <v/>
          </cell>
          <cell r="AB1689" t="str">
            <v/>
          </cell>
          <cell r="AC1689" t="str">
            <v/>
          </cell>
          <cell r="AD1689" t="str">
            <v/>
          </cell>
          <cell r="AY1689" t="str">
            <v/>
          </cell>
          <cell r="AZ1689" t="str">
            <v/>
          </cell>
          <cell r="BA1689" t="str">
            <v/>
          </cell>
        </row>
        <row r="1690">
          <cell r="B1690" t="str">
            <v>-</v>
          </cell>
          <cell r="E1690" t="str">
            <v/>
          </cell>
          <cell r="G1690" t="str">
            <v/>
          </cell>
          <cell r="J1690" t="str">
            <v/>
          </cell>
          <cell r="O1690" t="str">
            <v/>
          </cell>
          <cell r="P1690" t="str">
            <v/>
          </cell>
          <cell r="Q1690" t="str">
            <v/>
          </cell>
          <cell r="S1690" t="str">
            <v/>
          </cell>
          <cell r="V1690" t="str">
            <v/>
          </cell>
          <cell r="Z1690" t="str">
            <v/>
          </cell>
          <cell r="AA1690" t="str">
            <v/>
          </cell>
          <cell r="AB1690" t="str">
            <v/>
          </cell>
          <cell r="AC1690" t="str">
            <v/>
          </cell>
          <cell r="AD1690" t="str">
            <v/>
          </cell>
          <cell r="AY1690" t="str">
            <v/>
          </cell>
          <cell r="AZ1690" t="str">
            <v/>
          </cell>
          <cell r="BA1690" t="str">
            <v/>
          </cell>
        </row>
        <row r="1691">
          <cell r="B1691" t="str">
            <v>-</v>
          </cell>
          <cell r="E1691" t="str">
            <v/>
          </cell>
          <cell r="G1691" t="str">
            <v/>
          </cell>
          <cell r="J1691" t="str">
            <v/>
          </cell>
          <cell r="O1691" t="str">
            <v/>
          </cell>
          <cell r="P1691" t="str">
            <v/>
          </cell>
          <cell r="Q1691" t="str">
            <v/>
          </cell>
          <cell r="S1691" t="str">
            <v/>
          </cell>
          <cell r="V1691" t="str">
            <v/>
          </cell>
          <cell r="Z1691" t="str">
            <v/>
          </cell>
          <cell r="AA1691" t="str">
            <v/>
          </cell>
          <cell r="AB1691" t="str">
            <v/>
          </cell>
          <cell r="AC1691" t="str">
            <v/>
          </cell>
          <cell r="AD1691" t="str">
            <v/>
          </cell>
          <cell r="AY1691" t="str">
            <v/>
          </cell>
          <cell r="AZ1691" t="str">
            <v/>
          </cell>
          <cell r="BA1691" t="str">
            <v/>
          </cell>
        </row>
        <row r="1692">
          <cell r="B1692" t="str">
            <v>-</v>
          </cell>
          <cell r="E1692" t="str">
            <v/>
          </cell>
          <cell r="G1692" t="str">
            <v/>
          </cell>
          <cell r="J1692" t="str">
            <v/>
          </cell>
          <cell r="O1692" t="str">
            <v/>
          </cell>
          <cell r="P1692" t="str">
            <v/>
          </cell>
          <cell r="Q1692" t="str">
            <v/>
          </cell>
          <cell r="S1692" t="str">
            <v/>
          </cell>
          <cell r="V1692" t="str">
            <v/>
          </cell>
          <cell r="Z1692" t="str">
            <v/>
          </cell>
          <cell r="AA1692" t="str">
            <v/>
          </cell>
          <cell r="AB1692" t="str">
            <v/>
          </cell>
          <cell r="AC1692" t="str">
            <v/>
          </cell>
          <cell r="AD1692" t="str">
            <v/>
          </cell>
          <cell r="AY1692" t="str">
            <v/>
          </cell>
          <cell r="AZ1692" t="str">
            <v/>
          </cell>
          <cell r="BA1692" t="str">
            <v/>
          </cell>
        </row>
        <row r="1693">
          <cell r="B1693" t="str">
            <v>-</v>
          </cell>
          <cell r="E1693" t="str">
            <v/>
          </cell>
          <cell r="G1693" t="str">
            <v/>
          </cell>
          <cell r="J1693" t="str">
            <v/>
          </cell>
          <cell r="O1693" t="str">
            <v/>
          </cell>
          <cell r="P1693" t="str">
            <v/>
          </cell>
          <cell r="Q1693" t="str">
            <v/>
          </cell>
          <cell r="S1693" t="str">
            <v/>
          </cell>
          <cell r="V1693" t="str">
            <v/>
          </cell>
          <cell r="Z1693" t="str">
            <v/>
          </cell>
          <cell r="AA1693" t="str">
            <v/>
          </cell>
          <cell r="AB1693" t="str">
            <v/>
          </cell>
          <cell r="AC1693" t="str">
            <v/>
          </cell>
          <cell r="AD1693" t="str">
            <v/>
          </cell>
          <cell r="AY1693" t="str">
            <v/>
          </cell>
          <cell r="AZ1693" t="str">
            <v/>
          </cell>
          <cell r="BA1693" t="str">
            <v/>
          </cell>
        </row>
        <row r="1694">
          <cell r="B1694" t="str">
            <v>-</v>
          </cell>
          <cell r="E1694" t="str">
            <v/>
          </cell>
          <cell r="G1694" t="str">
            <v/>
          </cell>
          <cell r="J1694" t="str">
            <v/>
          </cell>
          <cell r="O1694" t="str">
            <v/>
          </cell>
          <cell r="P1694" t="str">
            <v/>
          </cell>
          <cell r="Q1694" t="str">
            <v/>
          </cell>
          <cell r="S1694" t="str">
            <v/>
          </cell>
          <cell r="V1694" t="str">
            <v/>
          </cell>
          <cell r="Z1694" t="str">
            <v/>
          </cell>
          <cell r="AA1694" t="str">
            <v/>
          </cell>
          <cell r="AB1694" t="str">
            <v/>
          </cell>
          <cell r="AC1694" t="str">
            <v/>
          </cell>
          <cell r="AD1694" t="str">
            <v/>
          </cell>
          <cell r="AY1694" t="str">
            <v/>
          </cell>
          <cell r="AZ1694" t="str">
            <v/>
          </cell>
          <cell r="BA1694" t="str">
            <v/>
          </cell>
        </row>
        <row r="1695">
          <cell r="B1695" t="str">
            <v>-</v>
          </cell>
          <cell r="E1695" t="str">
            <v/>
          </cell>
          <cell r="G1695" t="str">
            <v/>
          </cell>
          <cell r="J1695" t="str">
            <v/>
          </cell>
          <cell r="O1695" t="str">
            <v/>
          </cell>
          <cell r="P1695" t="str">
            <v/>
          </cell>
          <cell r="Q1695" t="str">
            <v/>
          </cell>
          <cell r="S1695" t="str">
            <v/>
          </cell>
          <cell r="V1695" t="str">
            <v/>
          </cell>
          <cell r="Z1695" t="str">
            <v/>
          </cell>
          <cell r="AA1695" t="str">
            <v/>
          </cell>
          <cell r="AB1695" t="str">
            <v/>
          </cell>
          <cell r="AC1695" t="str">
            <v/>
          </cell>
          <cell r="AD1695" t="str">
            <v/>
          </cell>
          <cell r="AY1695" t="str">
            <v/>
          </cell>
          <cell r="AZ1695" t="str">
            <v/>
          </cell>
          <cell r="BA1695" t="str">
            <v/>
          </cell>
        </row>
        <row r="1696">
          <cell r="B1696" t="str">
            <v>-</v>
          </cell>
          <cell r="E1696" t="str">
            <v/>
          </cell>
          <cell r="G1696" t="str">
            <v/>
          </cell>
          <cell r="J1696" t="str">
            <v/>
          </cell>
          <cell r="O1696" t="str">
            <v/>
          </cell>
          <cell r="P1696" t="str">
            <v/>
          </cell>
          <cell r="Q1696" t="str">
            <v/>
          </cell>
          <cell r="S1696" t="str">
            <v/>
          </cell>
          <cell r="V1696" t="str">
            <v/>
          </cell>
          <cell r="Z1696" t="str">
            <v/>
          </cell>
          <cell r="AA1696" t="str">
            <v/>
          </cell>
          <cell r="AB1696" t="str">
            <v/>
          </cell>
          <cell r="AC1696" t="str">
            <v/>
          </cell>
          <cell r="AD1696" t="str">
            <v/>
          </cell>
          <cell r="AY1696" t="str">
            <v/>
          </cell>
          <cell r="AZ1696" t="str">
            <v/>
          </cell>
          <cell r="BA1696" t="str">
            <v/>
          </cell>
        </row>
        <row r="1697">
          <cell r="B1697" t="str">
            <v>-</v>
          </cell>
          <cell r="E1697" t="str">
            <v/>
          </cell>
          <cell r="G1697" t="str">
            <v/>
          </cell>
          <cell r="J1697" t="str">
            <v/>
          </cell>
          <cell r="O1697" t="str">
            <v/>
          </cell>
          <cell r="P1697" t="str">
            <v/>
          </cell>
          <cell r="Q1697" t="str">
            <v/>
          </cell>
          <cell r="S1697" t="str">
            <v/>
          </cell>
          <cell r="V1697" t="str">
            <v/>
          </cell>
          <cell r="Z1697" t="str">
            <v/>
          </cell>
          <cell r="AA1697" t="str">
            <v/>
          </cell>
          <cell r="AB1697" t="str">
            <v/>
          </cell>
          <cell r="AC1697" t="str">
            <v/>
          </cell>
          <cell r="AD1697" t="str">
            <v/>
          </cell>
          <cell r="AY1697" t="str">
            <v/>
          </cell>
          <cell r="AZ1697" t="str">
            <v/>
          </cell>
          <cell r="BA1697" t="str">
            <v/>
          </cell>
        </row>
        <row r="1698">
          <cell r="B1698" t="str">
            <v>-</v>
          </cell>
          <cell r="E1698" t="str">
            <v/>
          </cell>
          <cell r="G1698" t="str">
            <v/>
          </cell>
          <cell r="J1698" t="str">
            <v/>
          </cell>
          <cell r="O1698" t="str">
            <v/>
          </cell>
          <cell r="P1698" t="str">
            <v/>
          </cell>
          <cell r="Q1698" t="str">
            <v/>
          </cell>
          <cell r="S1698" t="str">
            <v/>
          </cell>
          <cell r="V1698" t="str">
            <v/>
          </cell>
          <cell r="Z1698" t="str">
            <v/>
          </cell>
          <cell r="AA1698" t="str">
            <v/>
          </cell>
          <cell r="AB1698" t="str">
            <v/>
          </cell>
          <cell r="AC1698" t="str">
            <v/>
          </cell>
          <cell r="AD1698" t="str">
            <v/>
          </cell>
          <cell r="AY1698" t="str">
            <v/>
          </cell>
          <cell r="AZ1698" t="str">
            <v/>
          </cell>
          <cell r="BA1698" t="str">
            <v/>
          </cell>
        </row>
        <row r="1699">
          <cell r="B1699" t="str">
            <v>-</v>
          </cell>
          <cell r="E1699" t="str">
            <v/>
          </cell>
          <cell r="G1699" t="str">
            <v/>
          </cell>
          <cell r="J1699" t="str">
            <v/>
          </cell>
          <cell r="O1699" t="str">
            <v/>
          </cell>
          <cell r="P1699" t="str">
            <v/>
          </cell>
          <cell r="Q1699" t="str">
            <v/>
          </cell>
          <cell r="S1699" t="str">
            <v/>
          </cell>
          <cell r="V1699" t="str">
            <v/>
          </cell>
          <cell r="Z1699" t="str">
            <v/>
          </cell>
          <cell r="AA1699" t="str">
            <v/>
          </cell>
          <cell r="AB1699" t="str">
            <v/>
          </cell>
          <cell r="AC1699" t="str">
            <v/>
          </cell>
          <cell r="AD1699" t="str">
            <v/>
          </cell>
          <cell r="AY1699" t="str">
            <v/>
          </cell>
          <cell r="AZ1699" t="str">
            <v/>
          </cell>
          <cell r="BA1699" t="str">
            <v/>
          </cell>
        </row>
        <row r="1700">
          <cell r="B1700" t="str">
            <v>-</v>
          </cell>
          <cell r="E1700" t="str">
            <v/>
          </cell>
          <cell r="G1700" t="str">
            <v/>
          </cell>
          <cell r="J1700" t="str">
            <v/>
          </cell>
          <cell r="O1700" t="str">
            <v/>
          </cell>
          <cell r="P1700" t="str">
            <v/>
          </cell>
          <cell r="Q1700" t="str">
            <v/>
          </cell>
          <cell r="S1700" t="str">
            <v/>
          </cell>
          <cell r="V1700" t="str">
            <v/>
          </cell>
          <cell r="Z1700" t="str">
            <v/>
          </cell>
          <cell r="AA1700" t="str">
            <v/>
          </cell>
          <cell r="AB1700" t="str">
            <v/>
          </cell>
          <cell r="AC1700" t="str">
            <v/>
          </cell>
          <cell r="AD1700" t="str">
            <v/>
          </cell>
          <cell r="AY1700" t="str">
            <v/>
          </cell>
          <cell r="AZ1700" t="str">
            <v/>
          </cell>
          <cell r="BA1700" t="str">
            <v/>
          </cell>
        </row>
        <row r="1701">
          <cell r="B1701" t="str">
            <v>-</v>
          </cell>
          <cell r="E1701" t="str">
            <v/>
          </cell>
          <cell r="G1701" t="str">
            <v/>
          </cell>
          <cell r="J1701" t="str">
            <v/>
          </cell>
          <cell r="O1701" t="str">
            <v/>
          </cell>
          <cell r="P1701" t="str">
            <v/>
          </cell>
          <cell r="Q1701" t="str">
            <v/>
          </cell>
          <cell r="S1701" t="str">
            <v/>
          </cell>
          <cell r="V1701" t="str">
            <v/>
          </cell>
          <cell r="Z1701" t="str">
            <v/>
          </cell>
          <cell r="AA1701" t="str">
            <v/>
          </cell>
          <cell r="AB1701" t="str">
            <v/>
          </cell>
          <cell r="AC1701" t="str">
            <v/>
          </cell>
          <cell r="AD1701" t="str">
            <v/>
          </cell>
          <cell r="AY1701" t="str">
            <v/>
          </cell>
          <cell r="AZ1701" t="str">
            <v/>
          </cell>
          <cell r="BA1701" t="str">
            <v/>
          </cell>
        </row>
        <row r="1702">
          <cell r="B1702" t="str">
            <v>-</v>
          </cell>
          <cell r="E1702" t="str">
            <v/>
          </cell>
          <cell r="G1702" t="str">
            <v/>
          </cell>
          <cell r="J1702" t="str">
            <v/>
          </cell>
          <cell r="O1702" t="str">
            <v/>
          </cell>
          <cell r="P1702" t="str">
            <v/>
          </cell>
          <cell r="Q1702" t="str">
            <v/>
          </cell>
          <cell r="S1702" t="str">
            <v/>
          </cell>
          <cell r="V1702" t="str">
            <v/>
          </cell>
          <cell r="Z1702" t="str">
            <v/>
          </cell>
          <cell r="AA1702" t="str">
            <v/>
          </cell>
          <cell r="AB1702" t="str">
            <v/>
          </cell>
          <cell r="AC1702" t="str">
            <v/>
          </cell>
          <cell r="AD1702" t="str">
            <v/>
          </cell>
          <cell r="AY1702" t="str">
            <v/>
          </cell>
          <cell r="AZ1702" t="str">
            <v/>
          </cell>
          <cell r="BA1702" t="str">
            <v/>
          </cell>
        </row>
        <row r="1703">
          <cell r="B1703" t="str">
            <v>-</v>
          </cell>
          <cell r="E1703" t="str">
            <v/>
          </cell>
          <cell r="G1703" t="str">
            <v/>
          </cell>
          <cell r="J1703" t="str">
            <v/>
          </cell>
          <cell r="O1703" t="str">
            <v/>
          </cell>
          <cell r="P1703" t="str">
            <v/>
          </cell>
          <cell r="Q1703" t="str">
            <v/>
          </cell>
          <cell r="S1703" t="str">
            <v/>
          </cell>
          <cell r="V1703" t="str">
            <v/>
          </cell>
          <cell r="Z1703" t="str">
            <v/>
          </cell>
          <cell r="AA1703" t="str">
            <v/>
          </cell>
          <cell r="AB1703" t="str">
            <v/>
          </cell>
          <cell r="AC1703" t="str">
            <v/>
          </cell>
          <cell r="AD1703" t="str">
            <v/>
          </cell>
          <cell r="AY1703" t="str">
            <v/>
          </cell>
          <cell r="AZ1703" t="str">
            <v/>
          </cell>
          <cell r="BA1703" t="str">
            <v/>
          </cell>
        </row>
        <row r="1704">
          <cell r="B1704" t="str">
            <v>-</v>
          </cell>
          <cell r="E1704" t="str">
            <v/>
          </cell>
          <cell r="G1704" t="str">
            <v/>
          </cell>
          <cell r="J1704" t="str">
            <v/>
          </cell>
          <cell r="O1704" t="str">
            <v/>
          </cell>
          <cell r="P1704" t="str">
            <v/>
          </cell>
          <cell r="Q1704" t="str">
            <v/>
          </cell>
          <cell r="S1704" t="str">
            <v/>
          </cell>
          <cell r="V1704" t="str">
            <v/>
          </cell>
          <cell r="Z1704" t="str">
            <v/>
          </cell>
          <cell r="AA1704" t="str">
            <v/>
          </cell>
          <cell r="AB1704" t="str">
            <v/>
          </cell>
          <cell r="AC1704" t="str">
            <v/>
          </cell>
          <cell r="AD1704" t="str">
            <v/>
          </cell>
          <cell r="AY1704" t="str">
            <v/>
          </cell>
          <cell r="AZ1704" t="str">
            <v/>
          </cell>
          <cell r="BA1704" t="str">
            <v/>
          </cell>
        </row>
        <row r="1705">
          <cell r="B1705" t="str">
            <v>-</v>
          </cell>
          <cell r="E1705" t="str">
            <v/>
          </cell>
          <cell r="G1705" t="str">
            <v/>
          </cell>
          <cell r="J1705" t="str">
            <v/>
          </cell>
          <cell r="O1705" t="str">
            <v/>
          </cell>
          <cell r="P1705" t="str">
            <v/>
          </cell>
          <cell r="Q1705" t="str">
            <v/>
          </cell>
          <cell r="S1705" t="str">
            <v/>
          </cell>
          <cell r="V1705" t="str">
            <v/>
          </cell>
          <cell r="Z1705" t="str">
            <v/>
          </cell>
          <cell r="AA1705" t="str">
            <v/>
          </cell>
          <cell r="AB1705" t="str">
            <v/>
          </cell>
          <cell r="AC1705" t="str">
            <v/>
          </cell>
          <cell r="AD1705" t="str">
            <v/>
          </cell>
          <cell r="AY1705" t="str">
            <v/>
          </cell>
          <cell r="AZ1705" t="str">
            <v/>
          </cell>
          <cell r="BA1705" t="str">
            <v/>
          </cell>
        </row>
        <row r="1706">
          <cell r="B1706" t="str">
            <v>-</v>
          </cell>
          <cell r="E1706" t="str">
            <v/>
          </cell>
          <cell r="G1706" t="str">
            <v/>
          </cell>
          <cell r="J1706" t="str">
            <v/>
          </cell>
          <cell r="O1706" t="str">
            <v/>
          </cell>
          <cell r="P1706" t="str">
            <v/>
          </cell>
          <cell r="Q1706" t="str">
            <v/>
          </cell>
          <cell r="S1706" t="str">
            <v/>
          </cell>
          <cell r="V1706" t="str">
            <v/>
          </cell>
          <cell r="Z1706" t="str">
            <v/>
          </cell>
          <cell r="AA1706" t="str">
            <v/>
          </cell>
          <cell r="AB1706" t="str">
            <v/>
          </cell>
          <cell r="AC1706" t="str">
            <v/>
          </cell>
          <cell r="AD1706" t="str">
            <v/>
          </cell>
          <cell r="AY1706" t="str">
            <v/>
          </cell>
          <cell r="AZ1706" t="str">
            <v/>
          </cell>
          <cell r="BA1706" t="str">
            <v/>
          </cell>
        </row>
        <row r="1707">
          <cell r="B1707" t="str">
            <v>-</v>
          </cell>
          <cell r="E1707" t="str">
            <v/>
          </cell>
          <cell r="G1707" t="str">
            <v/>
          </cell>
          <cell r="J1707" t="str">
            <v/>
          </cell>
          <cell r="O1707" t="str">
            <v/>
          </cell>
          <cell r="P1707" t="str">
            <v/>
          </cell>
          <cell r="Q1707" t="str">
            <v/>
          </cell>
          <cell r="S1707" t="str">
            <v/>
          </cell>
          <cell r="V1707" t="str">
            <v/>
          </cell>
          <cell r="Z1707" t="str">
            <v/>
          </cell>
          <cell r="AA1707" t="str">
            <v/>
          </cell>
          <cell r="AB1707" t="str">
            <v/>
          </cell>
          <cell r="AC1707" t="str">
            <v/>
          </cell>
          <cell r="AD1707" t="str">
            <v/>
          </cell>
          <cell r="AY1707" t="str">
            <v/>
          </cell>
          <cell r="AZ1707" t="str">
            <v/>
          </cell>
          <cell r="BA1707" t="str">
            <v/>
          </cell>
        </row>
        <row r="1708">
          <cell r="B1708" t="str">
            <v>-</v>
          </cell>
          <cell r="E1708" t="str">
            <v/>
          </cell>
          <cell r="G1708" t="str">
            <v/>
          </cell>
          <cell r="J1708" t="str">
            <v/>
          </cell>
          <cell r="O1708" t="str">
            <v/>
          </cell>
          <cell r="P1708" t="str">
            <v/>
          </cell>
          <cell r="Q1708" t="str">
            <v/>
          </cell>
          <cell r="S1708" t="str">
            <v/>
          </cell>
          <cell r="V1708" t="str">
            <v/>
          </cell>
          <cell r="Z1708" t="str">
            <v/>
          </cell>
          <cell r="AA1708" t="str">
            <v/>
          </cell>
          <cell r="AB1708" t="str">
            <v/>
          </cell>
          <cell r="AC1708" t="str">
            <v/>
          </cell>
          <cell r="AD1708" t="str">
            <v/>
          </cell>
          <cell r="AY1708" t="str">
            <v/>
          </cell>
          <cell r="AZ1708" t="str">
            <v/>
          </cell>
          <cell r="BA1708" t="str">
            <v/>
          </cell>
        </row>
        <row r="1709">
          <cell r="B1709" t="str">
            <v>-</v>
          </cell>
          <cell r="E1709" t="str">
            <v/>
          </cell>
          <cell r="G1709" t="str">
            <v/>
          </cell>
          <cell r="J1709" t="str">
            <v/>
          </cell>
          <cell r="O1709" t="str">
            <v/>
          </cell>
          <cell r="P1709" t="str">
            <v/>
          </cell>
          <cell r="Q1709" t="str">
            <v/>
          </cell>
          <cell r="S1709" t="str">
            <v/>
          </cell>
          <cell r="V1709" t="str">
            <v/>
          </cell>
          <cell r="Z1709" t="str">
            <v/>
          </cell>
          <cell r="AA1709" t="str">
            <v/>
          </cell>
          <cell r="AB1709" t="str">
            <v/>
          </cell>
          <cell r="AC1709" t="str">
            <v/>
          </cell>
          <cell r="AD1709" t="str">
            <v/>
          </cell>
          <cell r="AY1709" t="str">
            <v/>
          </cell>
          <cell r="AZ1709" t="str">
            <v/>
          </cell>
          <cell r="BA1709" t="str">
            <v/>
          </cell>
        </row>
        <row r="1710">
          <cell r="B1710" t="str">
            <v>-</v>
          </cell>
          <cell r="E1710" t="str">
            <v/>
          </cell>
          <cell r="G1710" t="str">
            <v/>
          </cell>
          <cell r="J1710" t="str">
            <v/>
          </cell>
          <cell r="O1710" t="str">
            <v/>
          </cell>
          <cell r="P1710" t="str">
            <v/>
          </cell>
          <cell r="Q1710" t="str">
            <v/>
          </cell>
          <cell r="S1710" t="str">
            <v/>
          </cell>
          <cell r="V1710" t="str">
            <v/>
          </cell>
          <cell r="Z1710" t="str">
            <v/>
          </cell>
          <cell r="AA1710" t="str">
            <v/>
          </cell>
          <cell r="AB1710" t="str">
            <v/>
          </cell>
          <cell r="AC1710" t="str">
            <v/>
          </cell>
          <cell r="AD1710" t="str">
            <v/>
          </cell>
          <cell r="AY1710" t="str">
            <v/>
          </cell>
          <cell r="AZ1710" t="str">
            <v/>
          </cell>
          <cell r="BA1710" t="str">
            <v/>
          </cell>
        </row>
        <row r="1711">
          <cell r="B1711" t="str">
            <v>-</v>
          </cell>
          <cell r="E1711" t="str">
            <v/>
          </cell>
          <cell r="G1711" t="str">
            <v/>
          </cell>
          <cell r="J1711" t="str">
            <v/>
          </cell>
          <cell r="O1711" t="str">
            <v/>
          </cell>
          <cell r="P1711" t="str">
            <v/>
          </cell>
          <cell r="Q1711" t="str">
            <v/>
          </cell>
          <cell r="S1711" t="str">
            <v/>
          </cell>
          <cell r="V1711" t="str">
            <v/>
          </cell>
          <cell r="Z1711" t="str">
            <v/>
          </cell>
          <cell r="AA1711" t="str">
            <v/>
          </cell>
          <cell r="AB1711" t="str">
            <v/>
          </cell>
          <cell r="AC1711" t="str">
            <v/>
          </cell>
          <cell r="AD1711" t="str">
            <v/>
          </cell>
          <cell r="AY1711" t="str">
            <v/>
          </cell>
          <cell r="AZ1711" t="str">
            <v/>
          </cell>
          <cell r="BA1711" t="str">
            <v/>
          </cell>
        </row>
        <row r="1712">
          <cell r="B1712" t="str">
            <v>-</v>
          </cell>
          <cell r="E1712" t="str">
            <v/>
          </cell>
          <cell r="G1712" t="str">
            <v/>
          </cell>
          <cell r="J1712" t="str">
            <v/>
          </cell>
          <cell r="O1712" t="str">
            <v/>
          </cell>
          <cell r="P1712" t="str">
            <v/>
          </cell>
          <cell r="Q1712" t="str">
            <v/>
          </cell>
          <cell r="S1712" t="str">
            <v/>
          </cell>
          <cell r="V1712" t="str">
            <v/>
          </cell>
          <cell r="Z1712" t="str">
            <v/>
          </cell>
          <cell r="AA1712" t="str">
            <v/>
          </cell>
          <cell r="AB1712" t="str">
            <v/>
          </cell>
          <cell r="AC1712" t="str">
            <v/>
          </cell>
          <cell r="AD1712" t="str">
            <v/>
          </cell>
          <cell r="AY1712" t="str">
            <v/>
          </cell>
          <cell r="AZ1712" t="str">
            <v/>
          </cell>
          <cell r="BA1712" t="str">
            <v/>
          </cell>
        </row>
        <row r="1713">
          <cell r="B1713" t="str">
            <v>-</v>
          </cell>
          <cell r="E1713" t="str">
            <v/>
          </cell>
          <cell r="G1713" t="str">
            <v/>
          </cell>
          <cell r="J1713" t="str">
            <v/>
          </cell>
          <cell r="O1713" t="str">
            <v/>
          </cell>
          <cell r="P1713" t="str">
            <v/>
          </cell>
          <cell r="Q1713" t="str">
            <v/>
          </cell>
          <cell r="S1713" t="str">
            <v/>
          </cell>
          <cell r="V1713" t="str">
            <v/>
          </cell>
          <cell r="Z1713" t="str">
            <v/>
          </cell>
          <cell r="AA1713" t="str">
            <v/>
          </cell>
          <cell r="AB1713" t="str">
            <v/>
          </cell>
          <cell r="AC1713" t="str">
            <v/>
          </cell>
          <cell r="AD1713" t="str">
            <v/>
          </cell>
          <cell r="AY1713" t="str">
            <v/>
          </cell>
          <cell r="AZ1713" t="str">
            <v/>
          </cell>
          <cell r="BA1713" t="str">
            <v/>
          </cell>
        </row>
        <row r="1714">
          <cell r="B1714" t="str">
            <v>-</v>
          </cell>
          <cell r="E1714" t="str">
            <v/>
          </cell>
          <cell r="G1714" t="str">
            <v/>
          </cell>
          <cell r="J1714" t="str">
            <v/>
          </cell>
          <cell r="O1714" t="str">
            <v/>
          </cell>
          <cell r="P1714" t="str">
            <v/>
          </cell>
          <cell r="Q1714" t="str">
            <v/>
          </cell>
          <cell r="S1714" t="str">
            <v/>
          </cell>
          <cell r="V1714" t="str">
            <v/>
          </cell>
          <cell r="Z1714" t="str">
            <v/>
          </cell>
          <cell r="AA1714" t="str">
            <v/>
          </cell>
          <cell r="AB1714" t="str">
            <v/>
          </cell>
          <cell r="AC1714" t="str">
            <v/>
          </cell>
          <cell r="AD1714" t="str">
            <v/>
          </cell>
          <cell r="AY1714" t="str">
            <v/>
          </cell>
          <cell r="AZ1714" t="str">
            <v/>
          </cell>
          <cell r="BA1714" t="str">
            <v/>
          </cell>
        </row>
        <row r="1715">
          <cell r="B1715" t="str">
            <v>-</v>
          </cell>
          <cell r="E1715" t="str">
            <v/>
          </cell>
          <cell r="G1715" t="str">
            <v/>
          </cell>
          <cell r="J1715" t="str">
            <v/>
          </cell>
          <cell r="O1715" t="str">
            <v/>
          </cell>
          <cell r="P1715" t="str">
            <v/>
          </cell>
          <cell r="Q1715" t="str">
            <v/>
          </cell>
          <cell r="S1715" t="str">
            <v/>
          </cell>
          <cell r="V1715" t="str">
            <v/>
          </cell>
          <cell r="Z1715" t="str">
            <v/>
          </cell>
          <cell r="AA1715" t="str">
            <v/>
          </cell>
          <cell r="AB1715" t="str">
            <v/>
          </cell>
          <cell r="AC1715" t="str">
            <v/>
          </cell>
          <cell r="AD1715" t="str">
            <v/>
          </cell>
          <cell r="AY1715" t="str">
            <v/>
          </cell>
          <cell r="AZ1715" t="str">
            <v/>
          </cell>
          <cell r="BA1715" t="str">
            <v/>
          </cell>
        </row>
        <row r="1716">
          <cell r="B1716" t="str">
            <v>-</v>
          </cell>
          <cell r="E1716" t="str">
            <v/>
          </cell>
          <cell r="G1716" t="str">
            <v/>
          </cell>
          <cell r="J1716" t="str">
            <v/>
          </cell>
          <cell r="O1716" t="str">
            <v/>
          </cell>
          <cell r="P1716" t="str">
            <v/>
          </cell>
          <cell r="Q1716" t="str">
            <v/>
          </cell>
          <cell r="S1716" t="str">
            <v/>
          </cell>
          <cell r="V1716" t="str">
            <v/>
          </cell>
          <cell r="Z1716" t="str">
            <v/>
          </cell>
          <cell r="AA1716" t="str">
            <v/>
          </cell>
          <cell r="AB1716" t="str">
            <v/>
          </cell>
          <cell r="AC1716" t="str">
            <v/>
          </cell>
          <cell r="AD1716" t="str">
            <v/>
          </cell>
          <cell r="AY1716" t="str">
            <v/>
          </cell>
          <cell r="AZ1716" t="str">
            <v/>
          </cell>
          <cell r="BA1716" t="str">
            <v/>
          </cell>
        </row>
        <row r="1717">
          <cell r="B1717" t="str">
            <v>-</v>
          </cell>
          <cell r="E1717" t="str">
            <v/>
          </cell>
          <cell r="G1717" t="str">
            <v/>
          </cell>
          <cell r="J1717" t="str">
            <v/>
          </cell>
          <cell r="O1717" t="str">
            <v/>
          </cell>
          <cell r="P1717" t="str">
            <v/>
          </cell>
          <cell r="Q1717" t="str">
            <v/>
          </cell>
          <cell r="S1717" t="str">
            <v/>
          </cell>
          <cell r="V1717" t="str">
            <v/>
          </cell>
          <cell r="Z1717" t="str">
            <v/>
          </cell>
          <cell r="AA1717" t="str">
            <v/>
          </cell>
          <cell r="AB1717" t="str">
            <v/>
          </cell>
          <cell r="AC1717" t="str">
            <v/>
          </cell>
          <cell r="AD1717" t="str">
            <v/>
          </cell>
          <cell r="AY1717" t="str">
            <v/>
          </cell>
          <cell r="AZ1717" t="str">
            <v/>
          </cell>
          <cell r="BA1717" t="str">
            <v/>
          </cell>
        </row>
        <row r="1718">
          <cell r="B1718" t="str">
            <v>-</v>
          </cell>
          <cell r="E1718" t="str">
            <v/>
          </cell>
          <cell r="G1718" t="str">
            <v/>
          </cell>
          <cell r="J1718" t="str">
            <v/>
          </cell>
          <cell r="O1718" t="str">
            <v/>
          </cell>
          <cell r="P1718" t="str">
            <v/>
          </cell>
          <cell r="Q1718" t="str">
            <v/>
          </cell>
          <cell r="S1718" t="str">
            <v/>
          </cell>
          <cell r="V1718" t="str">
            <v/>
          </cell>
          <cell r="Z1718" t="str">
            <v/>
          </cell>
          <cell r="AA1718" t="str">
            <v/>
          </cell>
          <cell r="AB1718" t="str">
            <v/>
          </cell>
          <cell r="AC1718" t="str">
            <v/>
          </cell>
          <cell r="AD1718" t="str">
            <v/>
          </cell>
          <cell r="AY1718" t="str">
            <v/>
          </cell>
          <cell r="AZ1718" t="str">
            <v/>
          </cell>
          <cell r="BA1718" t="str">
            <v/>
          </cell>
        </row>
        <row r="1719">
          <cell r="B1719" t="str">
            <v>-</v>
          </cell>
          <cell r="E1719" t="str">
            <v/>
          </cell>
          <cell r="G1719" t="str">
            <v/>
          </cell>
          <cell r="J1719" t="str">
            <v/>
          </cell>
          <cell r="O1719" t="str">
            <v/>
          </cell>
          <cell r="P1719" t="str">
            <v/>
          </cell>
          <cell r="Q1719" t="str">
            <v/>
          </cell>
          <cell r="S1719" t="str">
            <v/>
          </cell>
          <cell r="V1719" t="str">
            <v/>
          </cell>
          <cell r="Z1719" t="str">
            <v/>
          </cell>
          <cell r="AA1719" t="str">
            <v/>
          </cell>
          <cell r="AB1719" t="str">
            <v/>
          </cell>
          <cell r="AC1719" t="str">
            <v/>
          </cell>
          <cell r="AD1719" t="str">
            <v/>
          </cell>
          <cell r="AY1719" t="str">
            <v/>
          </cell>
          <cell r="AZ1719" t="str">
            <v/>
          </cell>
          <cell r="BA1719" t="str">
            <v/>
          </cell>
        </row>
        <row r="1720">
          <cell r="B1720" t="str">
            <v>-</v>
          </cell>
          <cell r="E1720" t="str">
            <v/>
          </cell>
          <cell r="G1720" t="str">
            <v/>
          </cell>
          <cell r="J1720" t="str">
            <v/>
          </cell>
          <cell r="O1720" t="str">
            <v/>
          </cell>
          <cell r="P1720" t="str">
            <v/>
          </cell>
          <cell r="Q1720" t="str">
            <v/>
          </cell>
          <cell r="S1720" t="str">
            <v/>
          </cell>
          <cell r="V1720" t="str">
            <v/>
          </cell>
          <cell r="Z1720" t="str">
            <v/>
          </cell>
          <cell r="AA1720" t="str">
            <v/>
          </cell>
          <cell r="AB1720" t="str">
            <v/>
          </cell>
          <cell r="AC1720" t="str">
            <v/>
          </cell>
          <cell r="AD1720" t="str">
            <v/>
          </cell>
          <cell r="AY1720" t="str">
            <v/>
          </cell>
          <cell r="AZ1720" t="str">
            <v/>
          </cell>
          <cell r="BA1720" t="str">
            <v/>
          </cell>
        </row>
        <row r="1721">
          <cell r="B1721" t="str">
            <v>-</v>
          </cell>
          <cell r="E1721" t="str">
            <v/>
          </cell>
          <cell r="G1721" t="str">
            <v/>
          </cell>
          <cell r="J1721" t="str">
            <v/>
          </cell>
          <cell r="O1721" t="str">
            <v/>
          </cell>
          <cell r="P1721" t="str">
            <v/>
          </cell>
          <cell r="Q1721" t="str">
            <v/>
          </cell>
          <cell r="S1721" t="str">
            <v/>
          </cell>
          <cell r="V1721" t="str">
            <v/>
          </cell>
          <cell r="Z1721" t="str">
            <v/>
          </cell>
          <cell r="AA1721" t="str">
            <v/>
          </cell>
          <cell r="AB1721" t="str">
            <v/>
          </cell>
          <cell r="AC1721" t="str">
            <v/>
          </cell>
          <cell r="AD1721" t="str">
            <v/>
          </cell>
          <cell r="AY1721" t="str">
            <v/>
          </cell>
          <cell r="AZ1721" t="str">
            <v/>
          </cell>
          <cell r="BA1721" t="str">
            <v/>
          </cell>
        </row>
        <row r="1722">
          <cell r="B1722" t="str">
            <v>-</v>
          </cell>
          <cell r="E1722" t="str">
            <v/>
          </cell>
          <cell r="G1722" t="str">
            <v/>
          </cell>
          <cell r="J1722" t="str">
            <v/>
          </cell>
          <cell r="O1722" t="str">
            <v/>
          </cell>
          <cell r="P1722" t="str">
            <v/>
          </cell>
          <cell r="Q1722" t="str">
            <v/>
          </cell>
          <cell r="S1722" t="str">
            <v/>
          </cell>
          <cell r="V1722" t="str">
            <v/>
          </cell>
          <cell r="Z1722" t="str">
            <v/>
          </cell>
          <cell r="AA1722" t="str">
            <v/>
          </cell>
          <cell r="AB1722" t="str">
            <v/>
          </cell>
          <cell r="AC1722" t="str">
            <v/>
          </cell>
          <cell r="AD1722" t="str">
            <v/>
          </cell>
          <cell r="AY1722" t="str">
            <v/>
          </cell>
          <cell r="AZ1722" t="str">
            <v/>
          </cell>
          <cell r="BA1722" t="str">
            <v/>
          </cell>
        </row>
        <row r="1723">
          <cell r="B1723" t="str">
            <v>-</v>
          </cell>
          <cell r="E1723" t="str">
            <v/>
          </cell>
          <cell r="G1723" t="str">
            <v/>
          </cell>
          <cell r="J1723" t="str">
            <v/>
          </cell>
          <cell r="O1723" t="str">
            <v/>
          </cell>
          <cell r="P1723" t="str">
            <v/>
          </cell>
          <cell r="Q1723" t="str">
            <v/>
          </cell>
          <cell r="S1723" t="str">
            <v/>
          </cell>
          <cell r="V1723" t="str">
            <v/>
          </cell>
          <cell r="Z1723" t="str">
            <v/>
          </cell>
          <cell r="AA1723" t="str">
            <v/>
          </cell>
          <cell r="AB1723" t="str">
            <v/>
          </cell>
          <cell r="AC1723" t="str">
            <v/>
          </cell>
          <cell r="AD1723" t="str">
            <v/>
          </cell>
          <cell r="AY1723" t="str">
            <v/>
          </cell>
          <cell r="AZ1723" t="str">
            <v/>
          </cell>
          <cell r="BA1723" t="str">
            <v/>
          </cell>
        </row>
        <row r="1724">
          <cell r="B1724" t="str">
            <v>-</v>
          </cell>
          <cell r="E1724" t="str">
            <v/>
          </cell>
          <cell r="G1724" t="str">
            <v/>
          </cell>
          <cell r="J1724" t="str">
            <v/>
          </cell>
          <cell r="O1724" t="str">
            <v/>
          </cell>
          <cell r="P1724" t="str">
            <v/>
          </cell>
          <cell r="Q1724" t="str">
            <v/>
          </cell>
          <cell r="S1724" t="str">
            <v/>
          </cell>
          <cell r="V1724" t="str">
            <v/>
          </cell>
          <cell r="Z1724" t="str">
            <v/>
          </cell>
          <cell r="AA1724" t="str">
            <v/>
          </cell>
          <cell r="AB1724" t="str">
            <v/>
          </cell>
          <cell r="AC1724" t="str">
            <v/>
          </cell>
          <cell r="AD1724" t="str">
            <v/>
          </cell>
          <cell r="AY1724" t="str">
            <v/>
          </cell>
          <cell r="AZ1724" t="str">
            <v/>
          </cell>
          <cell r="BA1724" t="str">
            <v/>
          </cell>
        </row>
        <row r="1725">
          <cell r="B1725" t="str">
            <v>-</v>
          </cell>
          <cell r="E1725" t="str">
            <v/>
          </cell>
          <cell r="G1725" t="str">
            <v/>
          </cell>
          <cell r="J1725" t="str">
            <v/>
          </cell>
          <cell r="O1725" t="str">
            <v/>
          </cell>
          <cell r="P1725" t="str">
            <v/>
          </cell>
          <cell r="Q1725" t="str">
            <v/>
          </cell>
          <cell r="S1725" t="str">
            <v/>
          </cell>
          <cell r="V1725" t="str">
            <v/>
          </cell>
          <cell r="Z1725" t="str">
            <v/>
          </cell>
          <cell r="AA1725" t="str">
            <v/>
          </cell>
          <cell r="AB1725" t="str">
            <v/>
          </cell>
          <cell r="AC1725" t="str">
            <v/>
          </cell>
          <cell r="AD1725" t="str">
            <v/>
          </cell>
          <cell r="AY1725" t="str">
            <v/>
          </cell>
          <cell r="AZ1725" t="str">
            <v/>
          </cell>
          <cell r="BA1725" t="str">
            <v/>
          </cell>
        </row>
        <row r="1726">
          <cell r="B1726" t="str">
            <v>-</v>
          </cell>
          <cell r="E1726" t="str">
            <v/>
          </cell>
          <cell r="G1726" t="str">
            <v/>
          </cell>
          <cell r="J1726" t="str">
            <v/>
          </cell>
          <cell r="O1726" t="str">
            <v/>
          </cell>
          <cell r="P1726" t="str">
            <v/>
          </cell>
          <cell r="Q1726" t="str">
            <v/>
          </cell>
          <cell r="S1726" t="str">
            <v/>
          </cell>
          <cell r="V1726" t="str">
            <v/>
          </cell>
          <cell r="Z1726" t="str">
            <v/>
          </cell>
          <cell r="AA1726" t="str">
            <v/>
          </cell>
          <cell r="AB1726" t="str">
            <v/>
          </cell>
          <cell r="AC1726" t="str">
            <v/>
          </cell>
          <cell r="AD1726" t="str">
            <v/>
          </cell>
          <cell r="AY1726" t="str">
            <v/>
          </cell>
          <cell r="AZ1726" t="str">
            <v/>
          </cell>
          <cell r="BA1726" t="str">
            <v/>
          </cell>
        </row>
        <row r="1727">
          <cell r="B1727" t="str">
            <v>-</v>
          </cell>
          <cell r="E1727" t="str">
            <v/>
          </cell>
          <cell r="G1727" t="str">
            <v/>
          </cell>
          <cell r="J1727" t="str">
            <v/>
          </cell>
          <cell r="O1727" t="str">
            <v/>
          </cell>
          <cell r="P1727" t="str">
            <v/>
          </cell>
          <cell r="Q1727" t="str">
            <v/>
          </cell>
          <cell r="S1727" t="str">
            <v/>
          </cell>
          <cell r="V1727" t="str">
            <v/>
          </cell>
          <cell r="Z1727" t="str">
            <v/>
          </cell>
          <cell r="AA1727" t="str">
            <v/>
          </cell>
          <cell r="AB1727" t="str">
            <v/>
          </cell>
          <cell r="AC1727" t="str">
            <v/>
          </cell>
          <cell r="AD1727" t="str">
            <v/>
          </cell>
          <cell r="AY1727" t="str">
            <v/>
          </cell>
          <cell r="AZ1727" t="str">
            <v/>
          </cell>
          <cell r="BA1727" t="str">
            <v/>
          </cell>
        </row>
        <row r="1728">
          <cell r="B1728" t="str">
            <v>-</v>
          </cell>
          <cell r="E1728" t="str">
            <v/>
          </cell>
          <cell r="G1728" t="str">
            <v/>
          </cell>
          <cell r="J1728" t="str">
            <v/>
          </cell>
          <cell r="O1728" t="str">
            <v/>
          </cell>
          <cell r="P1728" t="str">
            <v/>
          </cell>
          <cell r="Q1728" t="str">
            <v/>
          </cell>
          <cell r="S1728" t="str">
            <v/>
          </cell>
          <cell r="V1728" t="str">
            <v/>
          </cell>
          <cell r="Z1728" t="str">
            <v/>
          </cell>
          <cell r="AA1728" t="str">
            <v/>
          </cell>
          <cell r="AB1728" t="str">
            <v/>
          </cell>
          <cell r="AC1728" t="str">
            <v/>
          </cell>
          <cell r="AD1728" t="str">
            <v/>
          </cell>
          <cell r="AY1728" t="str">
            <v/>
          </cell>
          <cell r="AZ1728" t="str">
            <v/>
          </cell>
          <cell r="BA1728" t="str">
            <v/>
          </cell>
        </row>
        <row r="1729">
          <cell r="B1729" t="str">
            <v>-</v>
          </cell>
          <cell r="E1729" t="str">
            <v/>
          </cell>
          <cell r="G1729" t="str">
            <v/>
          </cell>
          <cell r="J1729" t="str">
            <v/>
          </cell>
          <cell r="O1729" t="str">
            <v/>
          </cell>
          <cell r="P1729" t="str">
            <v/>
          </cell>
          <cell r="Q1729" t="str">
            <v/>
          </cell>
          <cell r="S1729" t="str">
            <v/>
          </cell>
          <cell r="V1729" t="str">
            <v/>
          </cell>
          <cell r="Z1729" t="str">
            <v/>
          </cell>
          <cell r="AA1729" t="str">
            <v/>
          </cell>
          <cell r="AB1729" t="str">
            <v/>
          </cell>
          <cell r="AC1729" t="str">
            <v/>
          </cell>
          <cell r="AD1729" t="str">
            <v/>
          </cell>
          <cell r="AY1729" t="str">
            <v/>
          </cell>
          <cell r="AZ1729" t="str">
            <v/>
          </cell>
          <cell r="BA1729" t="str">
            <v/>
          </cell>
        </row>
        <row r="1730">
          <cell r="B1730" t="str">
            <v>-</v>
          </cell>
          <cell r="E1730" t="str">
            <v/>
          </cell>
          <cell r="G1730" t="str">
            <v/>
          </cell>
          <cell r="J1730" t="str">
            <v/>
          </cell>
          <cell r="O1730" t="str">
            <v/>
          </cell>
          <cell r="P1730" t="str">
            <v/>
          </cell>
          <cell r="Q1730" t="str">
            <v/>
          </cell>
          <cell r="S1730" t="str">
            <v/>
          </cell>
          <cell r="V1730" t="str">
            <v/>
          </cell>
          <cell r="Z1730" t="str">
            <v/>
          </cell>
          <cell r="AA1730" t="str">
            <v/>
          </cell>
          <cell r="AB1730" t="str">
            <v/>
          </cell>
          <cell r="AC1730" t="str">
            <v/>
          </cell>
          <cell r="AD1730" t="str">
            <v/>
          </cell>
          <cell r="AY1730" t="str">
            <v/>
          </cell>
          <cell r="AZ1730" t="str">
            <v/>
          </cell>
          <cell r="BA1730" t="str">
            <v/>
          </cell>
        </row>
        <row r="1731">
          <cell r="B1731" t="str">
            <v>-</v>
          </cell>
          <cell r="E1731" t="str">
            <v/>
          </cell>
          <cell r="G1731" t="str">
            <v/>
          </cell>
          <cell r="J1731" t="str">
            <v/>
          </cell>
          <cell r="O1731" t="str">
            <v/>
          </cell>
          <cell r="P1731" t="str">
            <v/>
          </cell>
          <cell r="Q1731" t="str">
            <v/>
          </cell>
          <cell r="S1731" t="str">
            <v/>
          </cell>
          <cell r="V1731" t="str">
            <v/>
          </cell>
          <cell r="Z1731" t="str">
            <v/>
          </cell>
          <cell r="AA1731" t="str">
            <v/>
          </cell>
          <cell r="AB1731" t="str">
            <v/>
          </cell>
          <cell r="AC1731" t="str">
            <v/>
          </cell>
          <cell r="AD1731" t="str">
            <v/>
          </cell>
          <cell r="AY1731" t="str">
            <v/>
          </cell>
          <cell r="AZ1731" t="str">
            <v/>
          </cell>
          <cell r="BA1731" t="str">
            <v/>
          </cell>
        </row>
        <row r="1732">
          <cell r="B1732" t="str">
            <v>-</v>
          </cell>
          <cell r="E1732" t="str">
            <v/>
          </cell>
          <cell r="G1732" t="str">
            <v/>
          </cell>
          <cell r="J1732" t="str">
            <v/>
          </cell>
          <cell r="O1732" t="str">
            <v/>
          </cell>
          <cell r="P1732" t="str">
            <v/>
          </cell>
          <cell r="Q1732" t="str">
            <v/>
          </cell>
          <cell r="S1732" t="str">
            <v/>
          </cell>
          <cell r="V1732" t="str">
            <v/>
          </cell>
          <cell r="Z1732" t="str">
            <v/>
          </cell>
          <cell r="AA1732" t="str">
            <v/>
          </cell>
          <cell r="AB1732" t="str">
            <v/>
          </cell>
          <cell r="AC1732" t="str">
            <v/>
          </cell>
          <cell r="AD1732" t="str">
            <v/>
          </cell>
          <cell r="AY1732" t="str">
            <v/>
          </cell>
          <cell r="AZ1732" t="str">
            <v/>
          </cell>
          <cell r="BA1732" t="str">
            <v/>
          </cell>
        </row>
        <row r="1733">
          <cell r="B1733" t="str">
            <v>-</v>
          </cell>
          <cell r="E1733" t="str">
            <v/>
          </cell>
          <cell r="G1733" t="str">
            <v/>
          </cell>
          <cell r="J1733" t="str">
            <v/>
          </cell>
          <cell r="O1733" t="str">
            <v/>
          </cell>
          <cell r="P1733" t="str">
            <v/>
          </cell>
          <cell r="Q1733" t="str">
            <v/>
          </cell>
          <cell r="S1733" t="str">
            <v/>
          </cell>
          <cell r="V1733" t="str">
            <v/>
          </cell>
          <cell r="Z1733" t="str">
            <v/>
          </cell>
          <cell r="AA1733" t="str">
            <v/>
          </cell>
          <cell r="AB1733" t="str">
            <v/>
          </cell>
          <cell r="AC1733" t="str">
            <v/>
          </cell>
          <cell r="AD1733" t="str">
            <v/>
          </cell>
          <cell r="AY1733" t="str">
            <v/>
          </cell>
          <cell r="AZ1733" t="str">
            <v/>
          </cell>
          <cell r="BA1733" t="str">
            <v/>
          </cell>
        </row>
        <row r="1734">
          <cell r="B1734" t="str">
            <v>-</v>
          </cell>
          <cell r="E1734" t="str">
            <v/>
          </cell>
          <cell r="G1734" t="str">
            <v/>
          </cell>
          <cell r="J1734" t="str">
            <v/>
          </cell>
          <cell r="O1734" t="str">
            <v/>
          </cell>
          <cell r="P1734" t="str">
            <v/>
          </cell>
          <cell r="Q1734" t="str">
            <v/>
          </cell>
          <cell r="S1734" t="str">
            <v/>
          </cell>
          <cell r="V1734" t="str">
            <v/>
          </cell>
          <cell r="Z1734" t="str">
            <v/>
          </cell>
          <cell r="AA1734" t="str">
            <v/>
          </cell>
          <cell r="AB1734" t="str">
            <v/>
          </cell>
          <cell r="AC1734" t="str">
            <v/>
          </cell>
          <cell r="AD1734" t="str">
            <v/>
          </cell>
          <cell r="AY1734" t="str">
            <v/>
          </cell>
          <cell r="AZ1734" t="str">
            <v/>
          </cell>
          <cell r="BA1734" t="str">
            <v/>
          </cell>
        </row>
        <row r="1735">
          <cell r="B1735" t="str">
            <v>-</v>
          </cell>
          <cell r="E1735" t="str">
            <v/>
          </cell>
          <cell r="G1735" t="str">
            <v/>
          </cell>
          <cell r="J1735" t="str">
            <v/>
          </cell>
          <cell r="O1735" t="str">
            <v/>
          </cell>
          <cell r="P1735" t="str">
            <v/>
          </cell>
          <cell r="Q1735" t="str">
            <v/>
          </cell>
          <cell r="S1735" t="str">
            <v/>
          </cell>
          <cell r="V1735" t="str">
            <v/>
          </cell>
          <cell r="Z1735" t="str">
            <v/>
          </cell>
          <cell r="AA1735" t="str">
            <v/>
          </cell>
          <cell r="AB1735" t="str">
            <v/>
          </cell>
          <cell r="AC1735" t="str">
            <v/>
          </cell>
          <cell r="AD1735" t="str">
            <v/>
          </cell>
          <cell r="AY1735" t="str">
            <v/>
          </cell>
          <cell r="AZ1735" t="str">
            <v/>
          </cell>
          <cell r="BA1735" t="str">
            <v/>
          </cell>
        </row>
        <row r="1736">
          <cell r="B1736" t="str">
            <v>-</v>
          </cell>
          <cell r="E1736" t="str">
            <v/>
          </cell>
          <cell r="G1736" t="str">
            <v/>
          </cell>
          <cell r="J1736" t="str">
            <v/>
          </cell>
          <cell r="O1736" t="str">
            <v/>
          </cell>
          <cell r="P1736" t="str">
            <v/>
          </cell>
          <cell r="Q1736" t="str">
            <v/>
          </cell>
          <cell r="S1736" t="str">
            <v/>
          </cell>
          <cell r="V1736" t="str">
            <v/>
          </cell>
          <cell r="Z1736" t="str">
            <v/>
          </cell>
          <cell r="AA1736" t="str">
            <v/>
          </cell>
          <cell r="AB1736" t="str">
            <v/>
          </cell>
          <cell r="AC1736" t="str">
            <v/>
          </cell>
          <cell r="AD1736" t="str">
            <v/>
          </cell>
          <cell r="AY1736" t="str">
            <v/>
          </cell>
          <cell r="AZ1736" t="str">
            <v/>
          </cell>
          <cell r="BA1736" t="str">
            <v/>
          </cell>
        </row>
        <row r="1737">
          <cell r="B1737" t="str">
            <v>-</v>
          </cell>
          <cell r="E1737" t="str">
            <v/>
          </cell>
          <cell r="G1737" t="str">
            <v/>
          </cell>
          <cell r="J1737" t="str">
            <v/>
          </cell>
          <cell r="O1737" t="str">
            <v/>
          </cell>
          <cell r="P1737" t="str">
            <v/>
          </cell>
          <cell r="Q1737" t="str">
            <v/>
          </cell>
          <cell r="S1737" t="str">
            <v/>
          </cell>
          <cell r="V1737" t="str">
            <v/>
          </cell>
          <cell r="Z1737" t="str">
            <v/>
          </cell>
          <cell r="AA1737" t="str">
            <v/>
          </cell>
          <cell r="AB1737" t="str">
            <v/>
          </cell>
          <cell r="AC1737" t="str">
            <v/>
          </cell>
          <cell r="AD1737" t="str">
            <v/>
          </cell>
          <cell r="AY1737" t="str">
            <v/>
          </cell>
          <cell r="AZ1737" t="str">
            <v/>
          </cell>
          <cell r="BA1737" t="str">
            <v/>
          </cell>
        </row>
        <row r="1738">
          <cell r="B1738" t="str">
            <v>-</v>
          </cell>
          <cell r="E1738" t="str">
            <v/>
          </cell>
          <cell r="G1738" t="str">
            <v/>
          </cell>
          <cell r="J1738" t="str">
            <v/>
          </cell>
          <cell r="O1738" t="str">
            <v/>
          </cell>
          <cell r="P1738" t="str">
            <v/>
          </cell>
          <cell r="Q1738" t="str">
            <v/>
          </cell>
          <cell r="S1738" t="str">
            <v/>
          </cell>
          <cell r="V1738" t="str">
            <v/>
          </cell>
          <cell r="Z1738" t="str">
            <v/>
          </cell>
          <cell r="AA1738" t="str">
            <v/>
          </cell>
          <cell r="AB1738" t="str">
            <v/>
          </cell>
          <cell r="AC1738" t="str">
            <v/>
          </cell>
          <cell r="AD1738" t="str">
            <v/>
          </cell>
          <cell r="AY1738" t="str">
            <v/>
          </cell>
          <cell r="AZ1738" t="str">
            <v/>
          </cell>
          <cell r="BA1738" t="str">
            <v/>
          </cell>
        </row>
        <row r="1739">
          <cell r="B1739" t="str">
            <v>-</v>
          </cell>
          <cell r="E1739" t="str">
            <v/>
          </cell>
          <cell r="G1739" t="str">
            <v/>
          </cell>
          <cell r="J1739" t="str">
            <v/>
          </cell>
          <cell r="O1739" t="str">
            <v/>
          </cell>
          <cell r="P1739" t="str">
            <v/>
          </cell>
          <cell r="Q1739" t="str">
            <v/>
          </cell>
          <cell r="S1739" t="str">
            <v/>
          </cell>
          <cell r="V1739" t="str">
            <v/>
          </cell>
          <cell r="Z1739" t="str">
            <v/>
          </cell>
          <cell r="AA1739" t="str">
            <v/>
          </cell>
          <cell r="AB1739" t="str">
            <v/>
          </cell>
          <cell r="AC1739" t="str">
            <v/>
          </cell>
          <cell r="AD1739" t="str">
            <v/>
          </cell>
          <cell r="AY1739" t="str">
            <v/>
          </cell>
          <cell r="AZ1739" t="str">
            <v/>
          </cell>
          <cell r="BA1739" t="str">
            <v/>
          </cell>
        </row>
        <row r="1740">
          <cell r="B1740" t="str">
            <v>-</v>
          </cell>
          <cell r="E1740" t="str">
            <v/>
          </cell>
          <cell r="G1740" t="str">
            <v/>
          </cell>
          <cell r="J1740" t="str">
            <v/>
          </cell>
          <cell r="O1740" t="str">
            <v/>
          </cell>
          <cell r="P1740" t="str">
            <v/>
          </cell>
          <cell r="Q1740" t="str">
            <v/>
          </cell>
          <cell r="S1740" t="str">
            <v/>
          </cell>
          <cell r="V1740" t="str">
            <v/>
          </cell>
          <cell r="Z1740" t="str">
            <v/>
          </cell>
          <cell r="AA1740" t="str">
            <v/>
          </cell>
          <cell r="AB1740" t="str">
            <v/>
          </cell>
          <cell r="AC1740" t="str">
            <v/>
          </cell>
          <cell r="AD1740" t="str">
            <v/>
          </cell>
          <cell r="AY1740" t="str">
            <v/>
          </cell>
          <cell r="AZ1740" t="str">
            <v/>
          </cell>
          <cell r="BA1740" t="str">
            <v/>
          </cell>
        </row>
        <row r="1741">
          <cell r="B1741" t="str">
            <v>-</v>
          </cell>
          <cell r="E1741" t="str">
            <v/>
          </cell>
          <cell r="G1741" t="str">
            <v/>
          </cell>
          <cell r="J1741" t="str">
            <v/>
          </cell>
          <cell r="O1741" t="str">
            <v/>
          </cell>
          <cell r="P1741" t="str">
            <v/>
          </cell>
          <cell r="Q1741" t="str">
            <v/>
          </cell>
          <cell r="S1741" t="str">
            <v/>
          </cell>
          <cell r="V1741" t="str">
            <v/>
          </cell>
          <cell r="Z1741" t="str">
            <v/>
          </cell>
          <cell r="AA1741" t="str">
            <v/>
          </cell>
          <cell r="AB1741" t="str">
            <v/>
          </cell>
          <cell r="AC1741" t="str">
            <v/>
          </cell>
          <cell r="AD1741" t="str">
            <v/>
          </cell>
          <cell r="AY1741" t="str">
            <v/>
          </cell>
          <cell r="AZ1741" t="str">
            <v/>
          </cell>
          <cell r="BA1741" t="str">
            <v/>
          </cell>
        </row>
        <row r="1742">
          <cell r="B1742" t="str">
            <v>-</v>
          </cell>
          <cell r="E1742" t="str">
            <v/>
          </cell>
          <cell r="G1742" t="str">
            <v/>
          </cell>
          <cell r="J1742" t="str">
            <v/>
          </cell>
          <cell r="O1742" t="str">
            <v/>
          </cell>
          <cell r="P1742" t="str">
            <v/>
          </cell>
          <cell r="Q1742" t="str">
            <v/>
          </cell>
          <cell r="S1742" t="str">
            <v/>
          </cell>
          <cell r="V1742" t="str">
            <v/>
          </cell>
          <cell r="Z1742" t="str">
            <v/>
          </cell>
          <cell r="AA1742" t="str">
            <v/>
          </cell>
          <cell r="AB1742" t="str">
            <v/>
          </cell>
          <cell r="AC1742" t="str">
            <v/>
          </cell>
          <cell r="AD1742" t="str">
            <v/>
          </cell>
          <cell r="AY1742" t="str">
            <v/>
          </cell>
          <cell r="AZ1742" t="str">
            <v/>
          </cell>
          <cell r="BA1742" t="str">
            <v/>
          </cell>
        </row>
        <row r="1743">
          <cell r="B1743" t="str">
            <v>-</v>
          </cell>
          <cell r="E1743" t="str">
            <v/>
          </cell>
          <cell r="G1743" t="str">
            <v/>
          </cell>
          <cell r="J1743" t="str">
            <v/>
          </cell>
          <cell r="O1743" t="str">
            <v/>
          </cell>
          <cell r="P1743" t="str">
            <v/>
          </cell>
          <cell r="Q1743" t="str">
            <v/>
          </cell>
          <cell r="S1743" t="str">
            <v/>
          </cell>
          <cell r="V1743" t="str">
            <v/>
          </cell>
          <cell r="Z1743" t="str">
            <v/>
          </cell>
          <cell r="AA1743" t="str">
            <v/>
          </cell>
          <cell r="AB1743" t="str">
            <v/>
          </cell>
          <cell r="AC1743" t="str">
            <v/>
          </cell>
          <cell r="AD1743" t="str">
            <v/>
          </cell>
          <cell r="AY1743" t="str">
            <v/>
          </cell>
          <cell r="AZ1743" t="str">
            <v/>
          </cell>
          <cell r="BA1743" t="str">
            <v/>
          </cell>
        </row>
        <row r="1744">
          <cell r="B1744" t="str">
            <v>-</v>
          </cell>
          <cell r="E1744" t="str">
            <v/>
          </cell>
          <cell r="G1744" t="str">
            <v/>
          </cell>
          <cell r="J1744" t="str">
            <v/>
          </cell>
          <cell r="O1744" t="str">
            <v/>
          </cell>
          <cell r="P1744" t="str">
            <v/>
          </cell>
          <cell r="Q1744" t="str">
            <v/>
          </cell>
          <cell r="S1744" t="str">
            <v/>
          </cell>
          <cell r="V1744" t="str">
            <v/>
          </cell>
          <cell r="Z1744" t="str">
            <v/>
          </cell>
          <cell r="AA1744" t="str">
            <v/>
          </cell>
          <cell r="AB1744" t="str">
            <v/>
          </cell>
          <cell r="AC1744" t="str">
            <v/>
          </cell>
          <cell r="AD1744" t="str">
            <v/>
          </cell>
          <cell r="AY1744" t="str">
            <v/>
          </cell>
          <cell r="AZ1744" t="str">
            <v/>
          </cell>
          <cell r="BA1744" t="str">
            <v/>
          </cell>
        </row>
        <row r="1745">
          <cell r="B1745" t="str">
            <v>-</v>
          </cell>
          <cell r="E1745" t="str">
            <v/>
          </cell>
          <cell r="G1745" t="str">
            <v/>
          </cell>
          <cell r="J1745" t="str">
            <v/>
          </cell>
          <cell r="O1745" t="str">
            <v/>
          </cell>
          <cell r="P1745" t="str">
            <v/>
          </cell>
          <cell r="Q1745" t="str">
            <v/>
          </cell>
          <cell r="S1745" t="str">
            <v/>
          </cell>
          <cell r="V1745" t="str">
            <v/>
          </cell>
          <cell r="Z1745" t="str">
            <v/>
          </cell>
          <cell r="AA1745" t="str">
            <v/>
          </cell>
          <cell r="AB1745" t="str">
            <v/>
          </cell>
          <cell r="AC1745" t="str">
            <v/>
          </cell>
          <cell r="AD1745" t="str">
            <v/>
          </cell>
          <cell r="AY1745" t="str">
            <v/>
          </cell>
          <cell r="AZ1745" t="str">
            <v/>
          </cell>
          <cell r="BA1745" t="str">
            <v/>
          </cell>
        </row>
        <row r="1746">
          <cell r="B1746" t="str">
            <v>-</v>
          </cell>
          <cell r="E1746" t="str">
            <v/>
          </cell>
          <cell r="G1746" t="str">
            <v/>
          </cell>
          <cell r="J1746" t="str">
            <v/>
          </cell>
          <cell r="O1746" t="str">
            <v/>
          </cell>
          <cell r="P1746" t="str">
            <v/>
          </cell>
          <cell r="Q1746" t="str">
            <v/>
          </cell>
          <cell r="S1746" t="str">
            <v/>
          </cell>
          <cell r="V1746" t="str">
            <v/>
          </cell>
          <cell r="Z1746" t="str">
            <v/>
          </cell>
          <cell r="AA1746" t="str">
            <v/>
          </cell>
          <cell r="AB1746" t="str">
            <v/>
          </cell>
          <cell r="AC1746" t="str">
            <v/>
          </cell>
          <cell r="AD1746" t="str">
            <v/>
          </cell>
          <cell r="AY1746" t="str">
            <v/>
          </cell>
          <cell r="AZ1746" t="str">
            <v/>
          </cell>
          <cell r="BA1746" t="str">
            <v/>
          </cell>
        </row>
        <row r="1747">
          <cell r="B1747" t="str">
            <v>-</v>
          </cell>
          <cell r="E1747" t="str">
            <v/>
          </cell>
          <cell r="G1747" t="str">
            <v/>
          </cell>
          <cell r="J1747" t="str">
            <v/>
          </cell>
          <cell r="O1747" t="str">
            <v/>
          </cell>
          <cell r="P1747" t="str">
            <v/>
          </cell>
          <cell r="Q1747" t="str">
            <v/>
          </cell>
          <cell r="S1747" t="str">
            <v/>
          </cell>
          <cell r="V1747" t="str">
            <v/>
          </cell>
          <cell r="Z1747" t="str">
            <v/>
          </cell>
          <cell r="AA1747" t="str">
            <v/>
          </cell>
          <cell r="AB1747" t="str">
            <v/>
          </cell>
          <cell r="AC1747" t="str">
            <v/>
          </cell>
          <cell r="AD1747" t="str">
            <v/>
          </cell>
          <cell r="AY1747" t="str">
            <v/>
          </cell>
          <cell r="AZ1747" t="str">
            <v/>
          </cell>
          <cell r="BA1747" t="str">
            <v/>
          </cell>
        </row>
        <row r="1748">
          <cell r="B1748" t="str">
            <v>-</v>
          </cell>
          <cell r="E1748" t="str">
            <v/>
          </cell>
          <cell r="G1748" t="str">
            <v/>
          </cell>
          <cell r="J1748" t="str">
            <v/>
          </cell>
          <cell r="O1748" t="str">
            <v/>
          </cell>
          <cell r="P1748" t="str">
            <v/>
          </cell>
          <cell r="Q1748" t="str">
            <v/>
          </cell>
          <cell r="S1748" t="str">
            <v/>
          </cell>
          <cell r="V1748" t="str">
            <v/>
          </cell>
          <cell r="Z1748" t="str">
            <v/>
          </cell>
          <cell r="AA1748" t="str">
            <v/>
          </cell>
          <cell r="AB1748" t="str">
            <v/>
          </cell>
          <cell r="AC1748" t="str">
            <v/>
          </cell>
          <cell r="AD1748" t="str">
            <v/>
          </cell>
          <cell r="AY1748" t="str">
            <v/>
          </cell>
          <cell r="AZ1748" t="str">
            <v/>
          </cell>
          <cell r="BA1748" t="str">
            <v/>
          </cell>
        </row>
        <row r="1749">
          <cell r="B1749" t="str">
            <v>-</v>
          </cell>
          <cell r="E1749" t="str">
            <v/>
          </cell>
          <cell r="G1749" t="str">
            <v/>
          </cell>
          <cell r="J1749" t="str">
            <v/>
          </cell>
          <cell r="O1749" t="str">
            <v/>
          </cell>
          <cell r="P1749" t="str">
            <v/>
          </cell>
          <cell r="Q1749" t="str">
            <v/>
          </cell>
          <cell r="S1749" t="str">
            <v/>
          </cell>
          <cell r="V1749" t="str">
            <v/>
          </cell>
          <cell r="Z1749" t="str">
            <v/>
          </cell>
          <cell r="AA1749" t="str">
            <v/>
          </cell>
          <cell r="AB1749" t="str">
            <v/>
          </cell>
          <cell r="AC1749" t="str">
            <v/>
          </cell>
          <cell r="AD1749" t="str">
            <v/>
          </cell>
          <cell r="AY1749" t="str">
            <v/>
          </cell>
          <cell r="AZ1749" t="str">
            <v/>
          </cell>
          <cell r="BA1749" t="str">
            <v/>
          </cell>
        </row>
        <row r="1750">
          <cell r="B1750" t="str">
            <v>-</v>
          </cell>
          <cell r="E1750" t="str">
            <v/>
          </cell>
          <cell r="G1750" t="str">
            <v/>
          </cell>
          <cell r="J1750" t="str">
            <v/>
          </cell>
          <cell r="O1750" t="str">
            <v/>
          </cell>
          <cell r="P1750" t="str">
            <v/>
          </cell>
          <cell r="Q1750" t="str">
            <v/>
          </cell>
          <cell r="S1750" t="str">
            <v/>
          </cell>
          <cell r="V1750" t="str">
            <v/>
          </cell>
          <cell r="Z1750" t="str">
            <v/>
          </cell>
          <cell r="AA1750" t="str">
            <v/>
          </cell>
          <cell r="AB1750" t="str">
            <v/>
          </cell>
          <cell r="AC1750" t="str">
            <v/>
          </cell>
          <cell r="AD1750" t="str">
            <v/>
          </cell>
          <cell r="AY1750" t="str">
            <v/>
          </cell>
          <cell r="AZ1750" t="str">
            <v/>
          </cell>
          <cell r="BA1750" t="str">
            <v/>
          </cell>
        </row>
        <row r="1751">
          <cell r="B1751" t="str">
            <v>-</v>
          </cell>
          <cell r="E1751" t="str">
            <v/>
          </cell>
          <cell r="G1751" t="str">
            <v/>
          </cell>
          <cell r="J1751" t="str">
            <v/>
          </cell>
          <cell r="O1751" t="str">
            <v/>
          </cell>
          <cell r="P1751" t="str">
            <v/>
          </cell>
          <cell r="Q1751" t="str">
            <v/>
          </cell>
          <cell r="S1751" t="str">
            <v/>
          </cell>
          <cell r="V1751" t="str">
            <v/>
          </cell>
          <cell r="Z1751" t="str">
            <v/>
          </cell>
          <cell r="AA1751" t="str">
            <v/>
          </cell>
          <cell r="AB1751" t="str">
            <v/>
          </cell>
          <cell r="AC1751" t="str">
            <v/>
          </cell>
          <cell r="AD1751" t="str">
            <v/>
          </cell>
          <cell r="AY1751" t="str">
            <v/>
          </cell>
          <cell r="AZ1751" t="str">
            <v/>
          </cell>
          <cell r="BA1751" t="str">
            <v/>
          </cell>
        </row>
        <row r="1752">
          <cell r="B1752" t="str">
            <v>-</v>
          </cell>
          <cell r="E1752" t="str">
            <v/>
          </cell>
          <cell r="G1752" t="str">
            <v/>
          </cell>
          <cell r="J1752" t="str">
            <v/>
          </cell>
          <cell r="O1752" t="str">
            <v/>
          </cell>
          <cell r="P1752" t="str">
            <v/>
          </cell>
          <cell r="Q1752" t="str">
            <v/>
          </cell>
          <cell r="S1752" t="str">
            <v/>
          </cell>
          <cell r="V1752" t="str">
            <v/>
          </cell>
          <cell r="Z1752" t="str">
            <v/>
          </cell>
          <cell r="AA1752" t="str">
            <v/>
          </cell>
          <cell r="AB1752" t="str">
            <v/>
          </cell>
          <cell r="AC1752" t="str">
            <v/>
          </cell>
          <cell r="AD1752" t="str">
            <v/>
          </cell>
          <cell r="AY1752" t="str">
            <v/>
          </cell>
          <cell r="AZ1752" t="str">
            <v/>
          </cell>
          <cell r="BA1752" t="str">
            <v/>
          </cell>
        </row>
        <row r="1753">
          <cell r="B1753" t="str">
            <v>-</v>
          </cell>
          <cell r="E1753" t="str">
            <v/>
          </cell>
          <cell r="G1753" t="str">
            <v/>
          </cell>
          <cell r="J1753" t="str">
            <v/>
          </cell>
          <cell r="O1753" t="str">
            <v/>
          </cell>
          <cell r="P1753" t="str">
            <v/>
          </cell>
          <cell r="Q1753" t="str">
            <v/>
          </cell>
          <cell r="S1753" t="str">
            <v/>
          </cell>
          <cell r="V1753" t="str">
            <v/>
          </cell>
          <cell r="Z1753" t="str">
            <v/>
          </cell>
          <cell r="AA1753" t="str">
            <v/>
          </cell>
          <cell r="AB1753" t="str">
            <v/>
          </cell>
          <cell r="AC1753" t="str">
            <v/>
          </cell>
          <cell r="AD1753" t="str">
            <v/>
          </cell>
          <cell r="AY1753" t="str">
            <v/>
          </cell>
          <cell r="AZ1753" t="str">
            <v/>
          </cell>
          <cell r="BA1753" t="str">
            <v/>
          </cell>
        </row>
        <row r="1754">
          <cell r="B1754" t="str">
            <v>-</v>
          </cell>
          <cell r="E1754" t="str">
            <v/>
          </cell>
          <cell r="G1754" t="str">
            <v/>
          </cell>
          <cell r="J1754" t="str">
            <v/>
          </cell>
          <cell r="O1754" t="str">
            <v/>
          </cell>
          <cell r="P1754" t="str">
            <v/>
          </cell>
          <cell r="Q1754" t="str">
            <v/>
          </cell>
          <cell r="S1754" t="str">
            <v/>
          </cell>
          <cell r="V1754" t="str">
            <v/>
          </cell>
          <cell r="Z1754" t="str">
            <v/>
          </cell>
          <cell r="AA1754" t="str">
            <v/>
          </cell>
          <cell r="AB1754" t="str">
            <v/>
          </cell>
          <cell r="AC1754" t="str">
            <v/>
          </cell>
          <cell r="AD1754" t="str">
            <v/>
          </cell>
          <cell r="AY1754" t="str">
            <v/>
          </cell>
          <cell r="AZ1754" t="str">
            <v/>
          </cell>
          <cell r="BA1754" t="str">
            <v/>
          </cell>
        </row>
        <row r="1755">
          <cell r="B1755" t="str">
            <v>-</v>
          </cell>
          <cell r="E1755" t="str">
            <v/>
          </cell>
          <cell r="G1755" t="str">
            <v/>
          </cell>
          <cell r="J1755" t="str">
            <v/>
          </cell>
          <cell r="O1755" t="str">
            <v/>
          </cell>
          <cell r="P1755" t="str">
            <v/>
          </cell>
          <cell r="Q1755" t="str">
            <v/>
          </cell>
          <cell r="S1755" t="str">
            <v/>
          </cell>
          <cell r="V1755" t="str">
            <v/>
          </cell>
          <cell r="Z1755" t="str">
            <v/>
          </cell>
          <cell r="AA1755" t="str">
            <v/>
          </cell>
          <cell r="AB1755" t="str">
            <v/>
          </cell>
          <cell r="AC1755" t="str">
            <v/>
          </cell>
          <cell r="AD1755" t="str">
            <v/>
          </cell>
          <cell r="AY1755" t="str">
            <v/>
          </cell>
          <cell r="AZ1755" t="str">
            <v/>
          </cell>
          <cell r="BA1755" t="str">
            <v/>
          </cell>
        </row>
        <row r="1756">
          <cell r="B1756" t="str">
            <v>-</v>
          </cell>
          <cell r="E1756" t="str">
            <v/>
          </cell>
          <cell r="G1756" t="str">
            <v/>
          </cell>
          <cell r="J1756" t="str">
            <v/>
          </cell>
          <cell r="O1756" t="str">
            <v/>
          </cell>
          <cell r="P1756" t="str">
            <v/>
          </cell>
          <cell r="Q1756" t="str">
            <v/>
          </cell>
          <cell r="S1756" t="str">
            <v/>
          </cell>
          <cell r="V1756" t="str">
            <v/>
          </cell>
          <cell r="Z1756" t="str">
            <v/>
          </cell>
          <cell r="AA1756" t="str">
            <v/>
          </cell>
          <cell r="AB1756" t="str">
            <v/>
          </cell>
          <cell r="AC1756" t="str">
            <v/>
          </cell>
          <cell r="AD1756" t="str">
            <v/>
          </cell>
          <cell r="AY1756" t="str">
            <v/>
          </cell>
          <cell r="AZ1756" t="str">
            <v/>
          </cell>
          <cell r="BA1756" t="str">
            <v/>
          </cell>
        </row>
        <row r="1757">
          <cell r="B1757" t="str">
            <v>-</v>
          </cell>
          <cell r="E1757" t="str">
            <v/>
          </cell>
          <cell r="G1757" t="str">
            <v/>
          </cell>
          <cell r="J1757" t="str">
            <v/>
          </cell>
          <cell r="O1757" t="str">
            <v/>
          </cell>
          <cell r="P1757" t="str">
            <v/>
          </cell>
          <cell r="Q1757" t="str">
            <v/>
          </cell>
          <cell r="S1757" t="str">
            <v/>
          </cell>
          <cell r="V1757" t="str">
            <v/>
          </cell>
          <cell r="Z1757" t="str">
            <v/>
          </cell>
          <cell r="AA1757" t="str">
            <v/>
          </cell>
          <cell r="AB1757" t="str">
            <v/>
          </cell>
          <cell r="AC1757" t="str">
            <v/>
          </cell>
          <cell r="AD1757" t="str">
            <v/>
          </cell>
          <cell r="AY1757" t="str">
            <v/>
          </cell>
          <cell r="AZ1757" t="str">
            <v/>
          </cell>
          <cell r="BA1757" t="str">
            <v/>
          </cell>
        </row>
        <row r="1758">
          <cell r="B1758" t="str">
            <v>-</v>
          </cell>
          <cell r="E1758" t="str">
            <v/>
          </cell>
          <cell r="G1758" t="str">
            <v/>
          </cell>
          <cell r="J1758" t="str">
            <v/>
          </cell>
          <cell r="O1758" t="str">
            <v/>
          </cell>
          <cell r="P1758" t="str">
            <v/>
          </cell>
          <cell r="Q1758" t="str">
            <v/>
          </cell>
          <cell r="S1758" t="str">
            <v/>
          </cell>
          <cell r="V1758" t="str">
            <v/>
          </cell>
          <cell r="Z1758" t="str">
            <v/>
          </cell>
          <cell r="AA1758" t="str">
            <v/>
          </cell>
          <cell r="AB1758" t="str">
            <v/>
          </cell>
          <cell r="AC1758" t="str">
            <v/>
          </cell>
          <cell r="AD1758" t="str">
            <v/>
          </cell>
          <cell r="AY1758" t="str">
            <v/>
          </cell>
          <cell r="AZ1758" t="str">
            <v/>
          </cell>
          <cell r="BA1758" t="str">
            <v/>
          </cell>
        </row>
        <row r="1759">
          <cell r="B1759" t="str">
            <v>-</v>
          </cell>
          <cell r="E1759" t="str">
            <v/>
          </cell>
          <cell r="G1759" t="str">
            <v/>
          </cell>
          <cell r="J1759" t="str">
            <v/>
          </cell>
          <cell r="O1759" t="str">
            <v/>
          </cell>
          <cell r="P1759" t="str">
            <v/>
          </cell>
          <cell r="Q1759" t="str">
            <v/>
          </cell>
          <cell r="S1759" t="str">
            <v/>
          </cell>
          <cell r="V1759" t="str">
            <v/>
          </cell>
          <cell r="Z1759" t="str">
            <v/>
          </cell>
          <cell r="AA1759" t="str">
            <v/>
          </cell>
          <cell r="AB1759" t="str">
            <v/>
          </cell>
          <cell r="AC1759" t="str">
            <v/>
          </cell>
          <cell r="AD1759" t="str">
            <v/>
          </cell>
          <cell r="AY1759" t="str">
            <v/>
          </cell>
          <cell r="AZ1759" t="str">
            <v/>
          </cell>
          <cell r="BA1759" t="str">
            <v/>
          </cell>
        </row>
        <row r="1760">
          <cell r="B1760" t="str">
            <v>-</v>
          </cell>
          <cell r="E1760" t="str">
            <v/>
          </cell>
          <cell r="G1760" t="str">
            <v/>
          </cell>
          <cell r="J1760" t="str">
            <v/>
          </cell>
          <cell r="O1760" t="str">
            <v/>
          </cell>
          <cell r="P1760" t="str">
            <v/>
          </cell>
          <cell r="Q1760" t="str">
            <v/>
          </cell>
          <cell r="S1760" t="str">
            <v/>
          </cell>
          <cell r="V1760" t="str">
            <v/>
          </cell>
          <cell r="Z1760" t="str">
            <v/>
          </cell>
          <cell r="AA1760" t="str">
            <v/>
          </cell>
          <cell r="AB1760" t="str">
            <v/>
          </cell>
          <cell r="AC1760" t="str">
            <v/>
          </cell>
          <cell r="AD1760" t="str">
            <v/>
          </cell>
          <cell r="AY1760" t="str">
            <v/>
          </cell>
          <cell r="AZ1760" t="str">
            <v/>
          </cell>
          <cell r="BA1760" t="str">
            <v/>
          </cell>
        </row>
        <row r="1761">
          <cell r="B1761" t="str">
            <v>-</v>
          </cell>
          <cell r="E1761" t="str">
            <v/>
          </cell>
          <cell r="G1761" t="str">
            <v/>
          </cell>
          <cell r="J1761" t="str">
            <v/>
          </cell>
          <cell r="O1761" t="str">
            <v/>
          </cell>
          <cell r="P1761" t="str">
            <v/>
          </cell>
          <cell r="Q1761" t="str">
            <v/>
          </cell>
          <cell r="S1761" t="str">
            <v/>
          </cell>
          <cell r="V1761" t="str">
            <v/>
          </cell>
          <cell r="Z1761" t="str">
            <v/>
          </cell>
          <cell r="AA1761" t="str">
            <v/>
          </cell>
          <cell r="AB1761" t="str">
            <v/>
          </cell>
          <cell r="AC1761" t="str">
            <v/>
          </cell>
          <cell r="AD1761" t="str">
            <v/>
          </cell>
          <cell r="AY1761" t="str">
            <v/>
          </cell>
          <cell r="AZ1761" t="str">
            <v/>
          </cell>
          <cell r="BA1761" t="str">
            <v/>
          </cell>
        </row>
        <row r="1762">
          <cell r="B1762" t="str">
            <v>-</v>
          </cell>
          <cell r="E1762" t="str">
            <v/>
          </cell>
          <cell r="G1762" t="str">
            <v/>
          </cell>
          <cell r="J1762" t="str">
            <v/>
          </cell>
          <cell r="O1762" t="str">
            <v/>
          </cell>
          <cell r="P1762" t="str">
            <v/>
          </cell>
          <cell r="Q1762" t="str">
            <v/>
          </cell>
          <cell r="S1762" t="str">
            <v/>
          </cell>
          <cell r="V1762" t="str">
            <v/>
          </cell>
          <cell r="Z1762" t="str">
            <v/>
          </cell>
          <cell r="AA1762" t="str">
            <v/>
          </cell>
          <cell r="AB1762" t="str">
            <v/>
          </cell>
          <cell r="AC1762" t="str">
            <v/>
          </cell>
          <cell r="AD1762" t="str">
            <v/>
          </cell>
          <cell r="AY1762" t="str">
            <v/>
          </cell>
          <cell r="AZ1762" t="str">
            <v/>
          </cell>
          <cell r="BA1762" t="str">
            <v/>
          </cell>
        </row>
        <row r="1763">
          <cell r="B1763" t="str">
            <v>-</v>
          </cell>
          <cell r="E1763" t="str">
            <v/>
          </cell>
          <cell r="G1763" t="str">
            <v/>
          </cell>
          <cell r="J1763" t="str">
            <v/>
          </cell>
          <cell r="O1763" t="str">
            <v/>
          </cell>
          <cell r="P1763" t="str">
            <v/>
          </cell>
          <cell r="Q1763" t="str">
            <v/>
          </cell>
          <cell r="S1763" t="str">
            <v/>
          </cell>
          <cell r="V1763" t="str">
            <v/>
          </cell>
          <cell r="Z1763" t="str">
            <v/>
          </cell>
          <cell r="AA1763" t="str">
            <v/>
          </cell>
          <cell r="AB1763" t="str">
            <v/>
          </cell>
          <cell r="AC1763" t="str">
            <v/>
          </cell>
          <cell r="AD1763" t="str">
            <v/>
          </cell>
          <cell r="AY1763" t="str">
            <v/>
          </cell>
          <cell r="AZ1763" t="str">
            <v/>
          </cell>
          <cell r="BA1763" t="str">
            <v/>
          </cell>
        </row>
        <row r="1764">
          <cell r="B1764" t="str">
            <v>-</v>
          </cell>
          <cell r="E1764" t="str">
            <v/>
          </cell>
          <cell r="G1764" t="str">
            <v/>
          </cell>
          <cell r="J1764" t="str">
            <v/>
          </cell>
          <cell r="O1764" t="str">
            <v/>
          </cell>
          <cell r="P1764" t="str">
            <v/>
          </cell>
          <cell r="Q1764" t="str">
            <v/>
          </cell>
          <cell r="S1764" t="str">
            <v/>
          </cell>
          <cell r="V1764" t="str">
            <v/>
          </cell>
          <cell r="Z1764" t="str">
            <v/>
          </cell>
          <cell r="AA1764" t="str">
            <v/>
          </cell>
          <cell r="AB1764" t="str">
            <v/>
          </cell>
          <cell r="AC1764" t="str">
            <v/>
          </cell>
          <cell r="AD1764" t="str">
            <v/>
          </cell>
          <cell r="AY1764" t="str">
            <v/>
          </cell>
          <cell r="AZ1764" t="str">
            <v/>
          </cell>
          <cell r="BA1764" t="str">
            <v/>
          </cell>
        </row>
        <row r="1765">
          <cell r="B1765" t="str">
            <v>-</v>
          </cell>
          <cell r="E1765" t="str">
            <v/>
          </cell>
          <cell r="G1765" t="str">
            <v/>
          </cell>
          <cell r="J1765" t="str">
            <v/>
          </cell>
          <cell r="O1765" t="str">
            <v/>
          </cell>
          <cell r="P1765" t="str">
            <v/>
          </cell>
          <cell r="Q1765" t="str">
            <v/>
          </cell>
          <cell r="S1765" t="str">
            <v/>
          </cell>
          <cell r="V1765" t="str">
            <v/>
          </cell>
          <cell r="Z1765" t="str">
            <v/>
          </cell>
          <cell r="AA1765" t="str">
            <v/>
          </cell>
          <cell r="AB1765" t="str">
            <v/>
          </cell>
          <cell r="AC1765" t="str">
            <v/>
          </cell>
          <cell r="AD1765" t="str">
            <v/>
          </cell>
          <cell r="AY1765" t="str">
            <v/>
          </cell>
          <cell r="AZ1765" t="str">
            <v/>
          </cell>
          <cell r="BA1765" t="str">
            <v/>
          </cell>
        </row>
        <row r="1766">
          <cell r="B1766" t="str">
            <v>-</v>
          </cell>
          <cell r="E1766" t="str">
            <v/>
          </cell>
          <cell r="G1766" t="str">
            <v/>
          </cell>
          <cell r="J1766" t="str">
            <v/>
          </cell>
          <cell r="O1766" t="str">
            <v/>
          </cell>
          <cell r="P1766" t="str">
            <v/>
          </cell>
          <cell r="Q1766" t="str">
            <v/>
          </cell>
          <cell r="S1766" t="str">
            <v/>
          </cell>
          <cell r="V1766" t="str">
            <v/>
          </cell>
          <cell r="Z1766" t="str">
            <v/>
          </cell>
          <cell r="AA1766" t="str">
            <v/>
          </cell>
          <cell r="AB1766" t="str">
            <v/>
          </cell>
          <cell r="AC1766" t="str">
            <v/>
          </cell>
          <cell r="AD1766" t="str">
            <v/>
          </cell>
          <cell r="AY1766" t="str">
            <v/>
          </cell>
          <cell r="AZ1766" t="str">
            <v/>
          </cell>
          <cell r="BA1766" t="str">
            <v/>
          </cell>
        </row>
        <row r="1767">
          <cell r="B1767" t="str">
            <v>-</v>
          </cell>
          <cell r="E1767" t="str">
            <v/>
          </cell>
          <cell r="G1767" t="str">
            <v/>
          </cell>
          <cell r="J1767" t="str">
            <v/>
          </cell>
          <cell r="O1767" t="str">
            <v/>
          </cell>
          <cell r="P1767" t="str">
            <v/>
          </cell>
          <cell r="Q1767" t="str">
            <v/>
          </cell>
          <cell r="S1767" t="str">
            <v/>
          </cell>
          <cell r="V1767" t="str">
            <v/>
          </cell>
          <cell r="Z1767" t="str">
            <v/>
          </cell>
          <cell r="AA1767" t="str">
            <v/>
          </cell>
          <cell r="AB1767" t="str">
            <v/>
          </cell>
          <cell r="AC1767" t="str">
            <v/>
          </cell>
          <cell r="AD1767" t="str">
            <v/>
          </cell>
          <cell r="AY1767" t="str">
            <v/>
          </cell>
          <cell r="AZ1767" t="str">
            <v/>
          </cell>
          <cell r="BA1767" t="str">
            <v/>
          </cell>
        </row>
        <row r="1768">
          <cell r="B1768" t="str">
            <v>-</v>
          </cell>
          <cell r="E1768" t="str">
            <v/>
          </cell>
          <cell r="G1768" t="str">
            <v/>
          </cell>
          <cell r="J1768" t="str">
            <v/>
          </cell>
          <cell r="O1768" t="str">
            <v/>
          </cell>
          <cell r="P1768" t="str">
            <v/>
          </cell>
          <cell r="Q1768" t="str">
            <v/>
          </cell>
          <cell r="S1768" t="str">
            <v/>
          </cell>
          <cell r="V1768" t="str">
            <v/>
          </cell>
          <cell r="Z1768" t="str">
            <v/>
          </cell>
          <cell r="AA1768" t="str">
            <v/>
          </cell>
          <cell r="AB1768" t="str">
            <v/>
          </cell>
          <cell r="AC1768" t="str">
            <v/>
          </cell>
          <cell r="AD1768" t="str">
            <v/>
          </cell>
          <cell r="AY1768" t="str">
            <v/>
          </cell>
          <cell r="AZ1768" t="str">
            <v/>
          </cell>
          <cell r="BA1768" t="str">
            <v/>
          </cell>
        </row>
        <row r="1769">
          <cell r="B1769" t="str">
            <v>-</v>
          </cell>
          <cell r="E1769" t="str">
            <v/>
          </cell>
          <cell r="G1769" t="str">
            <v/>
          </cell>
          <cell r="J1769" t="str">
            <v/>
          </cell>
          <cell r="O1769" t="str">
            <v/>
          </cell>
          <cell r="P1769" t="str">
            <v/>
          </cell>
          <cell r="Q1769" t="str">
            <v/>
          </cell>
          <cell r="S1769" t="str">
            <v/>
          </cell>
          <cell r="V1769" t="str">
            <v/>
          </cell>
          <cell r="Z1769" t="str">
            <v/>
          </cell>
          <cell r="AA1769" t="str">
            <v/>
          </cell>
          <cell r="AB1769" t="str">
            <v/>
          </cell>
          <cell r="AC1769" t="str">
            <v/>
          </cell>
          <cell r="AD1769" t="str">
            <v/>
          </cell>
          <cell r="AY1769" t="str">
            <v/>
          </cell>
          <cell r="AZ1769" t="str">
            <v/>
          </cell>
          <cell r="BA1769" t="str">
            <v/>
          </cell>
        </row>
        <row r="1770">
          <cell r="B1770" t="str">
            <v>-</v>
          </cell>
          <cell r="E1770" t="str">
            <v/>
          </cell>
          <cell r="G1770" t="str">
            <v/>
          </cell>
          <cell r="J1770" t="str">
            <v/>
          </cell>
          <cell r="O1770" t="str">
            <v/>
          </cell>
          <cell r="P1770" t="str">
            <v/>
          </cell>
          <cell r="Q1770" t="str">
            <v/>
          </cell>
          <cell r="S1770" t="str">
            <v/>
          </cell>
          <cell r="V1770" t="str">
            <v/>
          </cell>
          <cell r="Z1770" t="str">
            <v/>
          </cell>
          <cell r="AA1770" t="str">
            <v/>
          </cell>
          <cell r="AB1770" t="str">
            <v/>
          </cell>
          <cell r="AC1770" t="str">
            <v/>
          </cell>
          <cell r="AD1770" t="str">
            <v/>
          </cell>
          <cell r="AY1770" t="str">
            <v/>
          </cell>
          <cell r="AZ1770" t="str">
            <v/>
          </cell>
          <cell r="BA1770" t="str">
            <v/>
          </cell>
        </row>
        <row r="1771">
          <cell r="B1771" t="str">
            <v>-</v>
          </cell>
          <cell r="E1771" t="str">
            <v/>
          </cell>
          <cell r="G1771" t="str">
            <v/>
          </cell>
          <cell r="J1771" t="str">
            <v/>
          </cell>
          <cell r="O1771" t="str">
            <v/>
          </cell>
          <cell r="P1771" t="str">
            <v/>
          </cell>
          <cell r="Q1771" t="str">
            <v/>
          </cell>
          <cell r="S1771" t="str">
            <v/>
          </cell>
          <cell r="V1771" t="str">
            <v/>
          </cell>
          <cell r="Z1771" t="str">
            <v/>
          </cell>
          <cell r="AA1771" t="str">
            <v/>
          </cell>
          <cell r="AB1771" t="str">
            <v/>
          </cell>
          <cell r="AC1771" t="str">
            <v/>
          </cell>
          <cell r="AD1771" t="str">
            <v/>
          </cell>
          <cell r="AY1771" t="str">
            <v/>
          </cell>
          <cell r="AZ1771" t="str">
            <v/>
          </cell>
          <cell r="BA1771" t="str">
            <v/>
          </cell>
        </row>
        <row r="1772">
          <cell r="B1772" t="str">
            <v>-</v>
          </cell>
          <cell r="E1772" t="str">
            <v/>
          </cell>
          <cell r="G1772" t="str">
            <v/>
          </cell>
          <cell r="J1772" t="str">
            <v/>
          </cell>
          <cell r="O1772" t="str">
            <v/>
          </cell>
          <cell r="P1772" t="str">
            <v/>
          </cell>
          <cell r="Q1772" t="str">
            <v/>
          </cell>
          <cell r="S1772" t="str">
            <v/>
          </cell>
          <cell r="V1772" t="str">
            <v/>
          </cell>
          <cell r="Z1772" t="str">
            <v/>
          </cell>
          <cell r="AA1772" t="str">
            <v/>
          </cell>
          <cell r="AB1772" t="str">
            <v/>
          </cell>
          <cell r="AC1772" t="str">
            <v/>
          </cell>
          <cell r="AD1772" t="str">
            <v/>
          </cell>
          <cell r="AY1772" t="str">
            <v/>
          </cell>
          <cell r="AZ1772" t="str">
            <v/>
          </cell>
          <cell r="BA1772" t="str">
            <v/>
          </cell>
        </row>
        <row r="1773">
          <cell r="B1773" t="str">
            <v>-</v>
          </cell>
          <cell r="E1773" t="str">
            <v/>
          </cell>
          <cell r="G1773" t="str">
            <v/>
          </cell>
          <cell r="J1773" t="str">
            <v/>
          </cell>
          <cell r="O1773" t="str">
            <v/>
          </cell>
          <cell r="P1773" t="str">
            <v/>
          </cell>
          <cell r="Q1773" t="str">
            <v/>
          </cell>
          <cell r="S1773" t="str">
            <v/>
          </cell>
          <cell r="V1773" t="str">
            <v/>
          </cell>
          <cell r="Z1773" t="str">
            <v/>
          </cell>
          <cell r="AA1773" t="str">
            <v/>
          </cell>
          <cell r="AB1773" t="str">
            <v/>
          </cell>
          <cell r="AC1773" t="str">
            <v/>
          </cell>
          <cell r="AD1773" t="str">
            <v/>
          </cell>
          <cell r="AY1773" t="str">
            <v/>
          </cell>
          <cell r="AZ1773" t="str">
            <v/>
          </cell>
          <cell r="BA1773" t="str">
            <v/>
          </cell>
        </row>
        <row r="1774">
          <cell r="B1774" t="str">
            <v>-</v>
          </cell>
          <cell r="E1774" t="str">
            <v/>
          </cell>
          <cell r="G1774" t="str">
            <v/>
          </cell>
          <cell r="J1774" t="str">
            <v/>
          </cell>
          <cell r="O1774" t="str">
            <v/>
          </cell>
          <cell r="P1774" t="str">
            <v/>
          </cell>
          <cell r="Q1774" t="str">
            <v/>
          </cell>
          <cell r="S1774" t="str">
            <v/>
          </cell>
          <cell r="V1774" t="str">
            <v/>
          </cell>
          <cell r="Z1774" t="str">
            <v/>
          </cell>
          <cell r="AA1774" t="str">
            <v/>
          </cell>
          <cell r="AB1774" t="str">
            <v/>
          </cell>
          <cell r="AC1774" t="str">
            <v/>
          </cell>
          <cell r="AD1774" t="str">
            <v/>
          </cell>
          <cell r="AY1774" t="str">
            <v/>
          </cell>
          <cell r="AZ1774" t="str">
            <v/>
          </cell>
          <cell r="BA1774" t="str">
            <v/>
          </cell>
        </row>
        <row r="1775">
          <cell r="B1775" t="str">
            <v>-</v>
          </cell>
          <cell r="E1775" t="str">
            <v/>
          </cell>
          <cell r="G1775" t="str">
            <v/>
          </cell>
          <cell r="J1775" t="str">
            <v/>
          </cell>
          <cell r="O1775" t="str">
            <v/>
          </cell>
          <cell r="P1775" t="str">
            <v/>
          </cell>
          <cell r="Q1775" t="str">
            <v/>
          </cell>
          <cell r="S1775" t="str">
            <v/>
          </cell>
          <cell r="V1775" t="str">
            <v/>
          </cell>
          <cell r="Z1775" t="str">
            <v/>
          </cell>
          <cell r="AA1775" t="str">
            <v/>
          </cell>
          <cell r="AB1775" t="str">
            <v/>
          </cell>
          <cell r="AC1775" t="str">
            <v/>
          </cell>
          <cell r="AD1775" t="str">
            <v/>
          </cell>
          <cell r="AY1775" t="str">
            <v/>
          </cell>
          <cell r="AZ1775" t="str">
            <v/>
          </cell>
          <cell r="BA1775" t="str">
            <v/>
          </cell>
        </row>
        <row r="1776">
          <cell r="B1776" t="str">
            <v>-</v>
          </cell>
          <cell r="E1776" t="str">
            <v/>
          </cell>
          <cell r="G1776" t="str">
            <v/>
          </cell>
          <cell r="J1776" t="str">
            <v/>
          </cell>
          <cell r="O1776" t="str">
            <v/>
          </cell>
          <cell r="P1776" t="str">
            <v/>
          </cell>
          <cell r="Q1776" t="str">
            <v/>
          </cell>
          <cell r="S1776" t="str">
            <v/>
          </cell>
          <cell r="V1776" t="str">
            <v/>
          </cell>
          <cell r="Z1776" t="str">
            <v/>
          </cell>
          <cell r="AA1776" t="str">
            <v/>
          </cell>
          <cell r="AB1776" t="str">
            <v/>
          </cell>
          <cell r="AC1776" t="str">
            <v/>
          </cell>
          <cell r="AD1776" t="str">
            <v/>
          </cell>
          <cell r="AY1776" t="str">
            <v/>
          </cell>
          <cell r="AZ1776" t="str">
            <v/>
          </cell>
          <cell r="BA1776" t="str">
            <v/>
          </cell>
        </row>
        <row r="1777">
          <cell r="B1777" t="str">
            <v>-</v>
          </cell>
          <cell r="E1777" t="str">
            <v/>
          </cell>
          <cell r="G1777" t="str">
            <v/>
          </cell>
          <cell r="J1777" t="str">
            <v/>
          </cell>
          <cell r="O1777" t="str">
            <v/>
          </cell>
          <cell r="P1777" t="str">
            <v/>
          </cell>
          <cell r="Q1777" t="str">
            <v/>
          </cell>
          <cell r="S1777" t="str">
            <v/>
          </cell>
          <cell r="V1777" t="str">
            <v/>
          </cell>
          <cell r="Z1777" t="str">
            <v/>
          </cell>
          <cell r="AA1777" t="str">
            <v/>
          </cell>
          <cell r="AB1777" t="str">
            <v/>
          </cell>
          <cell r="AC1777" t="str">
            <v/>
          </cell>
          <cell r="AD1777" t="str">
            <v/>
          </cell>
          <cell r="AY1777" t="str">
            <v/>
          </cell>
          <cell r="AZ1777" t="str">
            <v/>
          </cell>
          <cell r="BA1777" t="str">
            <v/>
          </cell>
        </row>
        <row r="1778">
          <cell r="B1778" t="str">
            <v>-</v>
          </cell>
          <cell r="E1778" t="str">
            <v/>
          </cell>
          <cell r="G1778" t="str">
            <v/>
          </cell>
          <cell r="J1778" t="str">
            <v/>
          </cell>
          <cell r="O1778" t="str">
            <v/>
          </cell>
          <cell r="P1778" t="str">
            <v/>
          </cell>
          <cell r="Q1778" t="str">
            <v/>
          </cell>
          <cell r="S1778" t="str">
            <v/>
          </cell>
          <cell r="V1778" t="str">
            <v/>
          </cell>
          <cell r="Z1778" t="str">
            <v/>
          </cell>
          <cell r="AA1778" t="str">
            <v/>
          </cell>
          <cell r="AB1778" t="str">
            <v/>
          </cell>
          <cell r="AC1778" t="str">
            <v/>
          </cell>
          <cell r="AD1778" t="str">
            <v/>
          </cell>
          <cell r="AY1778" t="str">
            <v/>
          </cell>
          <cell r="AZ1778" t="str">
            <v/>
          </cell>
          <cell r="BA1778" t="str">
            <v/>
          </cell>
        </row>
        <row r="1779">
          <cell r="B1779" t="str">
            <v>-</v>
          </cell>
          <cell r="E1779" t="str">
            <v/>
          </cell>
          <cell r="G1779" t="str">
            <v/>
          </cell>
          <cell r="J1779" t="str">
            <v/>
          </cell>
          <cell r="O1779" t="str">
            <v/>
          </cell>
          <cell r="P1779" t="str">
            <v/>
          </cell>
          <cell r="Q1779" t="str">
            <v/>
          </cell>
          <cell r="S1779" t="str">
            <v/>
          </cell>
          <cell r="V1779" t="str">
            <v/>
          </cell>
          <cell r="Z1779" t="str">
            <v/>
          </cell>
          <cell r="AA1779" t="str">
            <v/>
          </cell>
          <cell r="AB1779" t="str">
            <v/>
          </cell>
          <cell r="AC1779" t="str">
            <v/>
          </cell>
          <cell r="AD1779" t="str">
            <v/>
          </cell>
          <cell r="AY1779" t="str">
            <v/>
          </cell>
          <cell r="AZ1779" t="str">
            <v/>
          </cell>
          <cell r="BA1779" t="str">
            <v/>
          </cell>
        </row>
        <row r="1780">
          <cell r="B1780" t="str">
            <v>-</v>
          </cell>
          <cell r="E1780" t="str">
            <v/>
          </cell>
          <cell r="G1780" t="str">
            <v/>
          </cell>
          <cell r="J1780" t="str">
            <v/>
          </cell>
          <cell r="O1780" t="str">
            <v/>
          </cell>
          <cell r="P1780" t="str">
            <v/>
          </cell>
          <cell r="Q1780" t="str">
            <v/>
          </cell>
          <cell r="S1780" t="str">
            <v/>
          </cell>
          <cell r="V1780" t="str">
            <v/>
          </cell>
          <cell r="Z1780" t="str">
            <v/>
          </cell>
          <cell r="AA1780" t="str">
            <v/>
          </cell>
          <cell r="AB1780" t="str">
            <v/>
          </cell>
          <cell r="AC1780" t="str">
            <v/>
          </cell>
          <cell r="AD1780" t="str">
            <v/>
          </cell>
          <cell r="AY1780" t="str">
            <v/>
          </cell>
          <cell r="AZ1780" t="str">
            <v/>
          </cell>
          <cell r="BA1780" t="str">
            <v/>
          </cell>
        </row>
        <row r="1781">
          <cell r="B1781" t="str">
            <v>-</v>
          </cell>
          <cell r="E1781" t="str">
            <v/>
          </cell>
          <cell r="G1781" t="str">
            <v/>
          </cell>
          <cell r="J1781" t="str">
            <v/>
          </cell>
          <cell r="O1781" t="str">
            <v/>
          </cell>
          <cell r="P1781" t="str">
            <v/>
          </cell>
          <cell r="Q1781" t="str">
            <v/>
          </cell>
          <cell r="S1781" t="str">
            <v/>
          </cell>
          <cell r="V1781" t="str">
            <v/>
          </cell>
          <cell r="Z1781" t="str">
            <v/>
          </cell>
          <cell r="AA1781" t="str">
            <v/>
          </cell>
          <cell r="AB1781" t="str">
            <v/>
          </cell>
          <cell r="AC1781" t="str">
            <v/>
          </cell>
          <cell r="AD1781" t="str">
            <v/>
          </cell>
          <cell r="AY1781" t="str">
            <v/>
          </cell>
          <cell r="AZ1781" t="str">
            <v/>
          </cell>
          <cell r="BA1781" t="str">
            <v/>
          </cell>
        </row>
        <row r="1782">
          <cell r="B1782" t="str">
            <v>-</v>
          </cell>
          <cell r="E1782" t="str">
            <v/>
          </cell>
          <cell r="G1782" t="str">
            <v/>
          </cell>
          <cell r="J1782" t="str">
            <v/>
          </cell>
          <cell r="O1782" t="str">
            <v/>
          </cell>
          <cell r="P1782" t="str">
            <v/>
          </cell>
          <cell r="Q1782" t="str">
            <v/>
          </cell>
          <cell r="S1782" t="str">
            <v/>
          </cell>
          <cell r="V1782" t="str">
            <v/>
          </cell>
          <cell r="Z1782" t="str">
            <v/>
          </cell>
          <cell r="AA1782" t="str">
            <v/>
          </cell>
          <cell r="AB1782" t="str">
            <v/>
          </cell>
          <cell r="AC1782" t="str">
            <v/>
          </cell>
          <cell r="AD1782" t="str">
            <v/>
          </cell>
          <cell r="AY1782" t="str">
            <v/>
          </cell>
          <cell r="AZ1782" t="str">
            <v/>
          </cell>
          <cell r="BA1782" t="str">
            <v/>
          </cell>
        </row>
        <row r="1783">
          <cell r="B1783" t="str">
            <v>-</v>
          </cell>
          <cell r="E1783" t="str">
            <v/>
          </cell>
          <cell r="G1783" t="str">
            <v/>
          </cell>
          <cell r="J1783" t="str">
            <v/>
          </cell>
          <cell r="O1783" t="str">
            <v/>
          </cell>
          <cell r="P1783" t="str">
            <v/>
          </cell>
          <cell r="Q1783" t="str">
            <v/>
          </cell>
          <cell r="S1783" t="str">
            <v/>
          </cell>
          <cell r="V1783" t="str">
            <v/>
          </cell>
          <cell r="Z1783" t="str">
            <v/>
          </cell>
          <cell r="AA1783" t="str">
            <v/>
          </cell>
          <cell r="AB1783" t="str">
            <v/>
          </cell>
          <cell r="AC1783" t="str">
            <v/>
          </cell>
          <cell r="AD1783" t="str">
            <v/>
          </cell>
          <cell r="AY1783" t="str">
            <v/>
          </cell>
          <cell r="AZ1783" t="str">
            <v/>
          </cell>
          <cell r="BA1783" t="str">
            <v/>
          </cell>
        </row>
        <row r="1784">
          <cell r="B1784" t="str">
            <v>-</v>
          </cell>
          <cell r="E1784" t="str">
            <v/>
          </cell>
          <cell r="G1784" t="str">
            <v/>
          </cell>
          <cell r="J1784" t="str">
            <v/>
          </cell>
          <cell r="O1784" t="str">
            <v/>
          </cell>
          <cell r="P1784" t="str">
            <v/>
          </cell>
          <cell r="Q1784" t="str">
            <v/>
          </cell>
          <cell r="S1784" t="str">
            <v/>
          </cell>
          <cell r="V1784" t="str">
            <v/>
          </cell>
          <cell r="Z1784" t="str">
            <v/>
          </cell>
          <cell r="AA1784" t="str">
            <v/>
          </cell>
          <cell r="AB1784" t="str">
            <v/>
          </cell>
          <cell r="AC1784" t="str">
            <v/>
          </cell>
          <cell r="AD1784" t="str">
            <v/>
          </cell>
          <cell r="AY1784" t="str">
            <v/>
          </cell>
          <cell r="AZ1784" t="str">
            <v/>
          </cell>
          <cell r="BA1784" t="str">
            <v/>
          </cell>
        </row>
        <row r="1785">
          <cell r="B1785" t="str">
            <v>-</v>
          </cell>
          <cell r="E1785" t="str">
            <v/>
          </cell>
          <cell r="G1785" t="str">
            <v/>
          </cell>
          <cell r="J1785" t="str">
            <v/>
          </cell>
          <cell r="O1785" t="str">
            <v/>
          </cell>
          <cell r="P1785" t="str">
            <v/>
          </cell>
          <cell r="Q1785" t="str">
            <v/>
          </cell>
          <cell r="S1785" t="str">
            <v/>
          </cell>
          <cell r="V1785" t="str">
            <v/>
          </cell>
          <cell r="Z1785" t="str">
            <v/>
          </cell>
          <cell r="AA1785" t="str">
            <v/>
          </cell>
          <cell r="AB1785" t="str">
            <v/>
          </cell>
          <cell r="AC1785" t="str">
            <v/>
          </cell>
          <cell r="AD1785" t="str">
            <v/>
          </cell>
          <cell r="AY1785" t="str">
            <v/>
          </cell>
          <cell r="AZ1785" t="str">
            <v/>
          </cell>
          <cell r="BA1785" t="str">
            <v/>
          </cell>
        </row>
        <row r="1786">
          <cell r="B1786" t="str">
            <v>-</v>
          </cell>
          <cell r="E1786" t="str">
            <v/>
          </cell>
          <cell r="G1786" t="str">
            <v/>
          </cell>
          <cell r="J1786" t="str">
            <v/>
          </cell>
          <cell r="O1786" t="str">
            <v/>
          </cell>
          <cell r="P1786" t="str">
            <v/>
          </cell>
          <cell r="Q1786" t="str">
            <v/>
          </cell>
          <cell r="S1786" t="str">
            <v/>
          </cell>
          <cell r="V1786" t="str">
            <v/>
          </cell>
          <cell r="Z1786" t="str">
            <v/>
          </cell>
          <cell r="AA1786" t="str">
            <v/>
          </cell>
          <cell r="AB1786" t="str">
            <v/>
          </cell>
          <cell r="AC1786" t="str">
            <v/>
          </cell>
          <cell r="AD1786" t="str">
            <v/>
          </cell>
          <cell r="AY1786" t="str">
            <v/>
          </cell>
          <cell r="AZ1786" t="str">
            <v/>
          </cell>
          <cell r="BA1786" t="str">
            <v/>
          </cell>
        </row>
        <row r="1787">
          <cell r="B1787" t="str">
            <v>-</v>
          </cell>
          <cell r="E1787" t="str">
            <v/>
          </cell>
          <cell r="G1787" t="str">
            <v/>
          </cell>
          <cell r="J1787" t="str">
            <v/>
          </cell>
          <cell r="O1787" t="str">
            <v/>
          </cell>
          <cell r="P1787" t="str">
            <v/>
          </cell>
          <cell r="Q1787" t="str">
            <v/>
          </cell>
          <cell r="S1787" t="str">
            <v/>
          </cell>
          <cell r="V1787" t="str">
            <v/>
          </cell>
          <cell r="Z1787" t="str">
            <v/>
          </cell>
          <cell r="AA1787" t="str">
            <v/>
          </cell>
          <cell r="AB1787" t="str">
            <v/>
          </cell>
          <cell r="AC1787" t="str">
            <v/>
          </cell>
          <cell r="AD1787" t="str">
            <v/>
          </cell>
          <cell r="AY1787" t="str">
            <v/>
          </cell>
          <cell r="AZ1787" t="str">
            <v/>
          </cell>
          <cell r="BA1787" t="str">
            <v/>
          </cell>
        </row>
        <row r="1788">
          <cell r="B1788" t="str">
            <v>-</v>
          </cell>
          <cell r="E1788" t="str">
            <v/>
          </cell>
          <cell r="G1788" t="str">
            <v/>
          </cell>
          <cell r="J1788" t="str">
            <v/>
          </cell>
          <cell r="O1788" t="str">
            <v/>
          </cell>
          <cell r="P1788" t="str">
            <v/>
          </cell>
          <cell r="Q1788" t="str">
            <v/>
          </cell>
          <cell r="S1788" t="str">
            <v/>
          </cell>
          <cell r="V1788" t="str">
            <v/>
          </cell>
          <cell r="Z1788" t="str">
            <v/>
          </cell>
          <cell r="AA1788" t="str">
            <v/>
          </cell>
          <cell r="AB1788" t="str">
            <v/>
          </cell>
          <cell r="AC1788" t="str">
            <v/>
          </cell>
          <cell r="AD1788" t="str">
            <v/>
          </cell>
          <cell r="AY1788" t="str">
            <v/>
          </cell>
          <cell r="AZ1788" t="str">
            <v/>
          </cell>
          <cell r="BA1788" t="str">
            <v/>
          </cell>
        </row>
        <row r="1789">
          <cell r="B1789" t="str">
            <v>-</v>
          </cell>
          <cell r="E1789" t="str">
            <v/>
          </cell>
          <cell r="G1789" t="str">
            <v/>
          </cell>
          <cell r="J1789" t="str">
            <v/>
          </cell>
          <cell r="O1789" t="str">
            <v/>
          </cell>
          <cell r="P1789" t="str">
            <v/>
          </cell>
          <cell r="Q1789" t="str">
            <v/>
          </cell>
          <cell r="S1789" t="str">
            <v/>
          </cell>
          <cell r="V1789" t="str">
            <v/>
          </cell>
          <cell r="Z1789" t="str">
            <v/>
          </cell>
          <cell r="AA1789" t="str">
            <v/>
          </cell>
          <cell r="AB1789" t="str">
            <v/>
          </cell>
          <cell r="AC1789" t="str">
            <v/>
          </cell>
          <cell r="AD1789" t="str">
            <v/>
          </cell>
          <cell r="AY1789" t="str">
            <v/>
          </cell>
          <cell r="AZ1789" t="str">
            <v/>
          </cell>
          <cell r="BA1789" t="str">
            <v/>
          </cell>
        </row>
        <row r="1790">
          <cell r="B1790" t="str">
            <v>-</v>
          </cell>
          <cell r="E1790" t="str">
            <v/>
          </cell>
          <cell r="G1790" t="str">
            <v/>
          </cell>
          <cell r="J1790" t="str">
            <v/>
          </cell>
          <cell r="O1790" t="str">
            <v/>
          </cell>
          <cell r="P1790" t="str">
            <v/>
          </cell>
          <cell r="Q1790" t="str">
            <v/>
          </cell>
          <cell r="S1790" t="str">
            <v/>
          </cell>
          <cell r="V1790" t="str">
            <v/>
          </cell>
          <cell r="Z1790" t="str">
            <v/>
          </cell>
          <cell r="AA1790" t="str">
            <v/>
          </cell>
          <cell r="AB1790" t="str">
            <v/>
          </cell>
          <cell r="AC1790" t="str">
            <v/>
          </cell>
          <cell r="AD1790" t="str">
            <v/>
          </cell>
          <cell r="AY1790" t="str">
            <v/>
          </cell>
          <cell r="AZ1790" t="str">
            <v/>
          </cell>
          <cell r="BA1790" t="str">
            <v/>
          </cell>
        </row>
        <row r="1791">
          <cell r="B1791" t="str">
            <v>-</v>
          </cell>
          <cell r="E1791" t="str">
            <v/>
          </cell>
          <cell r="G1791" t="str">
            <v/>
          </cell>
          <cell r="J1791" t="str">
            <v/>
          </cell>
          <cell r="O1791" t="str">
            <v/>
          </cell>
          <cell r="P1791" t="str">
            <v/>
          </cell>
          <cell r="Q1791" t="str">
            <v/>
          </cell>
          <cell r="S1791" t="str">
            <v/>
          </cell>
          <cell r="V1791" t="str">
            <v/>
          </cell>
          <cell r="Z1791" t="str">
            <v/>
          </cell>
          <cell r="AA1791" t="str">
            <v/>
          </cell>
          <cell r="AB1791" t="str">
            <v/>
          </cell>
          <cell r="AC1791" t="str">
            <v/>
          </cell>
          <cell r="AD1791" t="str">
            <v/>
          </cell>
          <cell r="AY1791" t="str">
            <v/>
          </cell>
          <cell r="AZ1791" t="str">
            <v/>
          </cell>
          <cell r="BA1791" t="str">
            <v/>
          </cell>
        </row>
        <row r="1792">
          <cell r="B1792" t="str">
            <v>-</v>
          </cell>
          <cell r="E1792" t="str">
            <v/>
          </cell>
          <cell r="G1792" t="str">
            <v/>
          </cell>
          <cell r="J1792" t="str">
            <v/>
          </cell>
          <cell r="O1792" t="str">
            <v/>
          </cell>
          <cell r="P1792" t="str">
            <v/>
          </cell>
          <cell r="Q1792" t="str">
            <v/>
          </cell>
          <cell r="S1792" t="str">
            <v/>
          </cell>
          <cell r="V1792" t="str">
            <v/>
          </cell>
          <cell r="Z1792" t="str">
            <v/>
          </cell>
          <cell r="AA1792" t="str">
            <v/>
          </cell>
          <cell r="AB1792" t="str">
            <v/>
          </cell>
          <cell r="AC1792" t="str">
            <v/>
          </cell>
          <cell r="AD1792" t="str">
            <v/>
          </cell>
          <cell r="AY1792" t="str">
            <v/>
          </cell>
          <cell r="AZ1792" t="str">
            <v/>
          </cell>
          <cell r="BA1792" t="str">
            <v/>
          </cell>
        </row>
        <row r="1793">
          <cell r="B1793" t="str">
            <v>-</v>
          </cell>
          <cell r="E1793" t="str">
            <v/>
          </cell>
          <cell r="G1793" t="str">
            <v/>
          </cell>
          <cell r="J1793" t="str">
            <v/>
          </cell>
          <cell r="O1793" t="str">
            <v/>
          </cell>
          <cell r="P1793" t="str">
            <v/>
          </cell>
          <cell r="Q1793" t="str">
            <v/>
          </cell>
          <cell r="S1793" t="str">
            <v/>
          </cell>
          <cell r="V1793" t="str">
            <v/>
          </cell>
          <cell r="Z1793" t="str">
            <v/>
          </cell>
          <cell r="AA1793" t="str">
            <v/>
          </cell>
          <cell r="AB1793" t="str">
            <v/>
          </cell>
          <cell r="AC1793" t="str">
            <v/>
          </cell>
          <cell r="AD1793" t="str">
            <v/>
          </cell>
          <cell r="AY1793" t="str">
            <v/>
          </cell>
          <cell r="AZ1793" t="str">
            <v/>
          </cell>
          <cell r="BA1793" t="str">
            <v/>
          </cell>
        </row>
        <row r="1794">
          <cell r="B1794" t="str">
            <v>-</v>
          </cell>
          <cell r="E1794" t="str">
            <v/>
          </cell>
          <cell r="G1794" t="str">
            <v/>
          </cell>
          <cell r="J1794" t="str">
            <v/>
          </cell>
          <cell r="O1794" t="str">
            <v/>
          </cell>
          <cell r="P1794" t="str">
            <v/>
          </cell>
          <cell r="Q1794" t="str">
            <v/>
          </cell>
          <cell r="S1794" t="str">
            <v/>
          </cell>
          <cell r="V1794" t="str">
            <v/>
          </cell>
          <cell r="Z1794" t="str">
            <v/>
          </cell>
          <cell r="AA1794" t="str">
            <v/>
          </cell>
          <cell r="AB1794" t="str">
            <v/>
          </cell>
          <cell r="AC1794" t="str">
            <v/>
          </cell>
          <cell r="AD1794" t="str">
            <v/>
          </cell>
          <cell r="AY1794" t="str">
            <v/>
          </cell>
          <cell r="AZ1794" t="str">
            <v/>
          </cell>
          <cell r="BA1794" t="str">
            <v/>
          </cell>
        </row>
        <row r="1795">
          <cell r="B1795" t="str">
            <v>-</v>
          </cell>
          <cell r="E1795" t="str">
            <v/>
          </cell>
          <cell r="G1795" t="str">
            <v/>
          </cell>
          <cell r="J1795" t="str">
            <v/>
          </cell>
          <cell r="O1795" t="str">
            <v/>
          </cell>
          <cell r="P1795" t="str">
            <v/>
          </cell>
          <cell r="Q1795" t="str">
            <v/>
          </cell>
          <cell r="S1795" t="str">
            <v/>
          </cell>
          <cell r="V1795" t="str">
            <v/>
          </cell>
          <cell r="Z1795" t="str">
            <v/>
          </cell>
          <cell r="AA1795" t="str">
            <v/>
          </cell>
          <cell r="AB1795" t="str">
            <v/>
          </cell>
          <cell r="AC1795" t="str">
            <v/>
          </cell>
          <cell r="AD1795" t="str">
            <v/>
          </cell>
          <cell r="AY1795" t="str">
            <v/>
          </cell>
          <cell r="AZ1795" t="str">
            <v/>
          </cell>
          <cell r="BA1795" t="str">
            <v/>
          </cell>
        </row>
        <row r="1796">
          <cell r="B1796" t="str">
            <v>-</v>
          </cell>
          <cell r="E1796" t="str">
            <v/>
          </cell>
          <cell r="G1796" t="str">
            <v/>
          </cell>
          <cell r="J1796" t="str">
            <v/>
          </cell>
          <cell r="O1796" t="str">
            <v/>
          </cell>
          <cell r="P1796" t="str">
            <v/>
          </cell>
          <cell r="Q1796" t="str">
            <v/>
          </cell>
          <cell r="S1796" t="str">
            <v/>
          </cell>
          <cell r="V1796" t="str">
            <v/>
          </cell>
          <cell r="Z1796" t="str">
            <v/>
          </cell>
          <cell r="AA1796" t="str">
            <v/>
          </cell>
          <cell r="AB1796" t="str">
            <v/>
          </cell>
          <cell r="AC1796" t="str">
            <v/>
          </cell>
          <cell r="AD1796" t="str">
            <v/>
          </cell>
          <cell r="AY1796" t="str">
            <v/>
          </cell>
          <cell r="AZ1796" t="str">
            <v/>
          </cell>
          <cell r="BA1796" t="str">
            <v/>
          </cell>
        </row>
        <row r="1797">
          <cell r="B1797" t="str">
            <v>-</v>
          </cell>
          <cell r="E1797" t="str">
            <v/>
          </cell>
          <cell r="G1797" t="str">
            <v/>
          </cell>
          <cell r="J1797" t="str">
            <v/>
          </cell>
          <cell r="O1797" t="str">
            <v/>
          </cell>
          <cell r="P1797" t="str">
            <v/>
          </cell>
          <cell r="Q1797" t="str">
            <v/>
          </cell>
          <cell r="S1797" t="str">
            <v/>
          </cell>
          <cell r="V1797" t="str">
            <v/>
          </cell>
          <cell r="Z1797" t="str">
            <v/>
          </cell>
          <cell r="AA1797" t="str">
            <v/>
          </cell>
          <cell r="AB1797" t="str">
            <v/>
          </cell>
          <cell r="AC1797" t="str">
            <v/>
          </cell>
          <cell r="AD1797" t="str">
            <v/>
          </cell>
          <cell r="AY1797" t="str">
            <v/>
          </cell>
          <cell r="AZ1797" t="str">
            <v/>
          </cell>
          <cell r="BA1797" t="str">
            <v/>
          </cell>
        </row>
        <row r="1798">
          <cell r="B1798" t="str">
            <v>-</v>
          </cell>
          <cell r="E1798" t="str">
            <v/>
          </cell>
          <cell r="G1798" t="str">
            <v/>
          </cell>
          <cell r="J1798" t="str">
            <v/>
          </cell>
          <cell r="O1798" t="str">
            <v/>
          </cell>
          <cell r="P1798" t="str">
            <v/>
          </cell>
          <cell r="Q1798" t="str">
            <v/>
          </cell>
          <cell r="S1798" t="str">
            <v/>
          </cell>
          <cell r="V1798" t="str">
            <v/>
          </cell>
          <cell r="Z1798" t="str">
            <v/>
          </cell>
          <cell r="AA1798" t="str">
            <v/>
          </cell>
          <cell r="AB1798" t="str">
            <v/>
          </cell>
          <cell r="AC1798" t="str">
            <v/>
          </cell>
          <cell r="AD1798" t="str">
            <v/>
          </cell>
          <cell r="AY1798" t="str">
            <v/>
          </cell>
          <cell r="AZ1798" t="str">
            <v/>
          </cell>
          <cell r="BA1798" t="str">
            <v/>
          </cell>
        </row>
        <row r="1799">
          <cell r="B1799" t="str">
            <v>-</v>
          </cell>
          <cell r="E1799" t="str">
            <v/>
          </cell>
          <cell r="G1799" t="str">
            <v/>
          </cell>
          <cell r="J1799" t="str">
            <v/>
          </cell>
          <cell r="O1799" t="str">
            <v/>
          </cell>
          <cell r="P1799" t="str">
            <v/>
          </cell>
          <cell r="Q1799" t="str">
            <v/>
          </cell>
          <cell r="S1799" t="str">
            <v/>
          </cell>
          <cell r="V1799" t="str">
            <v/>
          </cell>
          <cell r="Z1799" t="str">
            <v/>
          </cell>
          <cell r="AA1799" t="str">
            <v/>
          </cell>
          <cell r="AB1799" t="str">
            <v/>
          </cell>
          <cell r="AC1799" t="str">
            <v/>
          </cell>
          <cell r="AD1799" t="str">
            <v/>
          </cell>
          <cell r="AY1799" t="str">
            <v/>
          </cell>
          <cell r="AZ1799" t="str">
            <v/>
          </cell>
          <cell r="BA1799" t="str">
            <v/>
          </cell>
        </row>
        <row r="1800">
          <cell r="B1800" t="str">
            <v>-</v>
          </cell>
          <cell r="E1800" t="str">
            <v/>
          </cell>
          <cell r="G1800" t="str">
            <v/>
          </cell>
          <cell r="J1800" t="str">
            <v/>
          </cell>
          <cell r="O1800" t="str">
            <v/>
          </cell>
          <cell r="P1800" t="str">
            <v/>
          </cell>
          <cell r="Q1800" t="str">
            <v/>
          </cell>
          <cell r="S1800" t="str">
            <v/>
          </cell>
          <cell r="V1800" t="str">
            <v/>
          </cell>
          <cell r="Z1800" t="str">
            <v/>
          </cell>
          <cell r="AA1800" t="str">
            <v/>
          </cell>
          <cell r="AB1800" t="str">
            <v/>
          </cell>
          <cell r="AC1800" t="str">
            <v/>
          </cell>
          <cell r="AD1800" t="str">
            <v/>
          </cell>
          <cell r="AY1800" t="str">
            <v/>
          </cell>
          <cell r="AZ1800" t="str">
            <v/>
          </cell>
          <cell r="BA1800" t="str">
            <v/>
          </cell>
        </row>
        <row r="1801">
          <cell r="B1801" t="str">
            <v>-</v>
          </cell>
          <cell r="E1801" t="str">
            <v/>
          </cell>
          <cell r="G1801" t="str">
            <v/>
          </cell>
          <cell r="J1801" t="str">
            <v/>
          </cell>
          <cell r="O1801" t="str">
            <v/>
          </cell>
          <cell r="P1801" t="str">
            <v/>
          </cell>
          <cell r="Q1801" t="str">
            <v/>
          </cell>
          <cell r="S1801" t="str">
            <v/>
          </cell>
          <cell r="V1801" t="str">
            <v/>
          </cell>
          <cell r="Z1801" t="str">
            <v/>
          </cell>
          <cell r="AA1801" t="str">
            <v/>
          </cell>
          <cell r="AB1801" t="str">
            <v/>
          </cell>
          <cell r="AC1801" t="str">
            <v/>
          </cell>
          <cell r="AD1801" t="str">
            <v/>
          </cell>
          <cell r="AY1801" t="str">
            <v/>
          </cell>
          <cell r="AZ1801" t="str">
            <v/>
          </cell>
          <cell r="BA1801" t="str">
            <v/>
          </cell>
        </row>
        <row r="1802">
          <cell r="B1802" t="str">
            <v>-</v>
          </cell>
          <cell r="E1802" t="str">
            <v/>
          </cell>
          <cell r="G1802" t="str">
            <v/>
          </cell>
          <cell r="J1802" t="str">
            <v/>
          </cell>
          <cell r="O1802" t="str">
            <v/>
          </cell>
          <cell r="P1802" t="str">
            <v/>
          </cell>
          <cell r="Q1802" t="str">
            <v/>
          </cell>
          <cell r="S1802" t="str">
            <v/>
          </cell>
          <cell r="V1802" t="str">
            <v/>
          </cell>
          <cell r="Z1802" t="str">
            <v/>
          </cell>
          <cell r="AA1802" t="str">
            <v/>
          </cell>
          <cell r="AB1802" t="str">
            <v/>
          </cell>
          <cell r="AC1802" t="str">
            <v/>
          </cell>
          <cell r="AD1802" t="str">
            <v/>
          </cell>
          <cell r="AY1802" t="str">
            <v/>
          </cell>
          <cell r="AZ1802" t="str">
            <v/>
          </cell>
          <cell r="BA1802" t="str">
            <v/>
          </cell>
        </row>
        <row r="1803">
          <cell r="B1803" t="str">
            <v>-</v>
          </cell>
          <cell r="E1803" t="str">
            <v/>
          </cell>
          <cell r="G1803" t="str">
            <v/>
          </cell>
          <cell r="J1803" t="str">
            <v/>
          </cell>
          <cell r="O1803" t="str">
            <v/>
          </cell>
          <cell r="P1803" t="str">
            <v/>
          </cell>
          <cell r="Q1803" t="str">
            <v/>
          </cell>
          <cell r="S1803" t="str">
            <v/>
          </cell>
          <cell r="V1803" t="str">
            <v/>
          </cell>
          <cell r="Z1803" t="str">
            <v/>
          </cell>
          <cell r="AA1803" t="str">
            <v/>
          </cell>
          <cell r="AB1803" t="str">
            <v/>
          </cell>
          <cell r="AC1803" t="str">
            <v/>
          </cell>
          <cell r="AD1803" t="str">
            <v/>
          </cell>
          <cell r="AY1803" t="str">
            <v/>
          </cell>
          <cell r="AZ1803" t="str">
            <v/>
          </cell>
          <cell r="BA1803" t="str">
            <v/>
          </cell>
        </row>
        <row r="1804">
          <cell r="B1804" t="str">
            <v>-</v>
          </cell>
          <cell r="E1804" t="str">
            <v/>
          </cell>
          <cell r="G1804" t="str">
            <v/>
          </cell>
          <cell r="J1804" t="str">
            <v/>
          </cell>
          <cell r="O1804" t="str">
            <v/>
          </cell>
          <cell r="P1804" t="str">
            <v/>
          </cell>
          <cell r="Q1804" t="str">
            <v/>
          </cell>
          <cell r="S1804" t="str">
            <v/>
          </cell>
          <cell r="V1804" t="str">
            <v/>
          </cell>
          <cell r="Z1804" t="str">
            <v/>
          </cell>
          <cell r="AA1804" t="str">
            <v/>
          </cell>
          <cell r="AB1804" t="str">
            <v/>
          </cell>
          <cell r="AC1804" t="str">
            <v/>
          </cell>
          <cell r="AD1804" t="str">
            <v/>
          </cell>
          <cell r="AY1804" t="str">
            <v/>
          </cell>
          <cell r="AZ1804" t="str">
            <v/>
          </cell>
          <cell r="BA1804" t="str">
            <v/>
          </cell>
        </row>
        <row r="1805">
          <cell r="B1805" t="str">
            <v>-</v>
          </cell>
          <cell r="E1805" t="str">
            <v/>
          </cell>
          <cell r="G1805" t="str">
            <v/>
          </cell>
          <cell r="J1805" t="str">
            <v/>
          </cell>
          <cell r="O1805" t="str">
            <v/>
          </cell>
          <cell r="P1805" t="str">
            <v/>
          </cell>
          <cell r="Q1805" t="str">
            <v/>
          </cell>
          <cell r="S1805" t="str">
            <v/>
          </cell>
          <cell r="V1805" t="str">
            <v/>
          </cell>
          <cell r="Z1805" t="str">
            <v/>
          </cell>
          <cell r="AA1805" t="str">
            <v/>
          </cell>
          <cell r="AB1805" t="str">
            <v/>
          </cell>
          <cell r="AC1805" t="str">
            <v/>
          </cell>
          <cell r="AD1805" t="str">
            <v/>
          </cell>
          <cell r="AY1805" t="str">
            <v/>
          </cell>
          <cell r="AZ1805" t="str">
            <v/>
          </cell>
          <cell r="BA1805" t="str">
            <v/>
          </cell>
        </row>
        <row r="1806">
          <cell r="B1806" t="str">
            <v>-</v>
          </cell>
          <cell r="E1806" t="str">
            <v/>
          </cell>
          <cell r="G1806" t="str">
            <v/>
          </cell>
          <cell r="J1806" t="str">
            <v/>
          </cell>
          <cell r="O1806" t="str">
            <v/>
          </cell>
          <cell r="P1806" t="str">
            <v/>
          </cell>
          <cell r="Q1806" t="str">
            <v/>
          </cell>
          <cell r="S1806" t="str">
            <v/>
          </cell>
          <cell r="V1806" t="str">
            <v/>
          </cell>
          <cell r="Z1806" t="str">
            <v/>
          </cell>
          <cell r="AA1806" t="str">
            <v/>
          </cell>
          <cell r="AB1806" t="str">
            <v/>
          </cell>
          <cell r="AC1806" t="str">
            <v/>
          </cell>
          <cell r="AD1806" t="str">
            <v/>
          </cell>
          <cell r="AY1806" t="str">
            <v/>
          </cell>
          <cell r="AZ1806" t="str">
            <v/>
          </cell>
          <cell r="BA1806" t="str">
            <v/>
          </cell>
        </row>
        <row r="1807">
          <cell r="B1807" t="str">
            <v>-</v>
          </cell>
          <cell r="E1807" t="str">
            <v/>
          </cell>
          <cell r="G1807" t="str">
            <v/>
          </cell>
          <cell r="J1807" t="str">
            <v/>
          </cell>
          <cell r="O1807" t="str">
            <v/>
          </cell>
          <cell r="P1807" t="str">
            <v/>
          </cell>
          <cell r="Q1807" t="str">
            <v/>
          </cell>
          <cell r="S1807" t="str">
            <v/>
          </cell>
          <cell r="V1807" t="str">
            <v/>
          </cell>
          <cell r="Z1807" t="str">
            <v/>
          </cell>
          <cell r="AA1807" t="str">
            <v/>
          </cell>
          <cell r="AB1807" t="str">
            <v/>
          </cell>
          <cell r="AC1807" t="str">
            <v/>
          </cell>
          <cell r="AD1807" t="str">
            <v/>
          </cell>
          <cell r="AY1807" t="str">
            <v/>
          </cell>
          <cell r="AZ1807" t="str">
            <v/>
          </cell>
          <cell r="BA1807" t="str">
            <v/>
          </cell>
        </row>
        <row r="1808">
          <cell r="B1808" t="str">
            <v>-</v>
          </cell>
          <cell r="E1808" t="str">
            <v/>
          </cell>
          <cell r="G1808" t="str">
            <v/>
          </cell>
          <cell r="J1808" t="str">
            <v/>
          </cell>
          <cell r="O1808" t="str">
            <v/>
          </cell>
          <cell r="P1808" t="str">
            <v/>
          </cell>
          <cell r="Q1808" t="str">
            <v/>
          </cell>
          <cell r="S1808" t="str">
            <v/>
          </cell>
          <cell r="V1808" t="str">
            <v/>
          </cell>
          <cell r="Z1808" t="str">
            <v/>
          </cell>
          <cell r="AA1808" t="str">
            <v/>
          </cell>
          <cell r="AB1808" t="str">
            <v/>
          </cell>
          <cell r="AC1808" t="str">
            <v/>
          </cell>
          <cell r="AD1808" t="str">
            <v/>
          </cell>
          <cell r="AY1808" t="str">
            <v/>
          </cell>
          <cell r="AZ1808" t="str">
            <v/>
          </cell>
          <cell r="BA1808" t="str">
            <v/>
          </cell>
        </row>
        <row r="1809">
          <cell r="B1809" t="str">
            <v>-</v>
          </cell>
          <cell r="E1809" t="str">
            <v/>
          </cell>
          <cell r="G1809" t="str">
            <v/>
          </cell>
          <cell r="J1809" t="str">
            <v/>
          </cell>
          <cell r="O1809" t="str">
            <v/>
          </cell>
          <cell r="P1809" t="str">
            <v/>
          </cell>
          <cell r="Q1809" t="str">
            <v/>
          </cell>
          <cell r="S1809" t="str">
            <v/>
          </cell>
          <cell r="V1809" t="str">
            <v/>
          </cell>
          <cell r="Z1809" t="str">
            <v/>
          </cell>
          <cell r="AA1809" t="str">
            <v/>
          </cell>
          <cell r="AB1809" t="str">
            <v/>
          </cell>
          <cell r="AC1809" t="str">
            <v/>
          </cell>
          <cell r="AD1809" t="str">
            <v/>
          </cell>
          <cell r="AY1809" t="str">
            <v/>
          </cell>
          <cell r="AZ1809" t="str">
            <v/>
          </cell>
          <cell r="BA1809" t="str">
            <v/>
          </cell>
        </row>
        <row r="1810">
          <cell r="B1810" t="str">
            <v>-</v>
          </cell>
          <cell r="E1810" t="str">
            <v/>
          </cell>
          <cell r="G1810" t="str">
            <v/>
          </cell>
          <cell r="J1810" t="str">
            <v/>
          </cell>
          <cell r="O1810" t="str">
            <v/>
          </cell>
          <cell r="P1810" t="str">
            <v/>
          </cell>
          <cell r="Q1810" t="str">
            <v/>
          </cell>
          <cell r="S1810" t="str">
            <v/>
          </cell>
          <cell r="V1810" t="str">
            <v/>
          </cell>
          <cell r="Z1810" t="str">
            <v/>
          </cell>
          <cell r="AA1810" t="str">
            <v/>
          </cell>
          <cell r="AB1810" t="str">
            <v/>
          </cell>
          <cell r="AC1810" t="str">
            <v/>
          </cell>
          <cell r="AD1810" t="str">
            <v/>
          </cell>
          <cell r="AY1810" t="str">
            <v/>
          </cell>
          <cell r="AZ1810" t="str">
            <v/>
          </cell>
          <cell r="BA1810" t="str">
            <v/>
          </cell>
        </row>
        <row r="1811">
          <cell r="B1811" t="str">
            <v>-</v>
          </cell>
          <cell r="E1811" t="str">
            <v/>
          </cell>
          <cell r="G1811" t="str">
            <v/>
          </cell>
          <cell r="J1811" t="str">
            <v/>
          </cell>
          <cell r="O1811" t="str">
            <v/>
          </cell>
          <cell r="P1811" t="str">
            <v/>
          </cell>
          <cell r="Q1811" t="str">
            <v/>
          </cell>
          <cell r="S1811" t="str">
            <v/>
          </cell>
          <cell r="V1811" t="str">
            <v/>
          </cell>
          <cell r="Z1811" t="str">
            <v/>
          </cell>
          <cell r="AA1811" t="str">
            <v/>
          </cell>
          <cell r="AB1811" t="str">
            <v/>
          </cell>
          <cell r="AC1811" t="str">
            <v/>
          </cell>
          <cell r="AD1811" t="str">
            <v/>
          </cell>
          <cell r="AY1811" t="str">
            <v/>
          </cell>
          <cell r="AZ1811" t="str">
            <v/>
          </cell>
          <cell r="BA1811" t="str">
            <v/>
          </cell>
        </row>
        <row r="1812">
          <cell r="B1812" t="str">
            <v>-</v>
          </cell>
          <cell r="E1812" t="str">
            <v/>
          </cell>
          <cell r="G1812" t="str">
            <v/>
          </cell>
          <cell r="J1812" t="str">
            <v/>
          </cell>
          <cell r="O1812" t="str">
            <v/>
          </cell>
          <cell r="P1812" t="str">
            <v/>
          </cell>
          <cell r="Q1812" t="str">
            <v/>
          </cell>
          <cell r="S1812" t="str">
            <v/>
          </cell>
          <cell r="V1812" t="str">
            <v/>
          </cell>
          <cell r="Z1812" t="str">
            <v/>
          </cell>
          <cell r="AA1812" t="str">
            <v/>
          </cell>
          <cell r="AB1812" t="str">
            <v/>
          </cell>
          <cell r="AC1812" t="str">
            <v/>
          </cell>
          <cell r="AD1812" t="str">
            <v/>
          </cell>
          <cell r="AY1812" t="str">
            <v/>
          </cell>
          <cell r="AZ1812" t="str">
            <v/>
          </cell>
          <cell r="BA1812" t="str">
            <v/>
          </cell>
        </row>
        <row r="1813">
          <cell r="B1813" t="str">
            <v>-</v>
          </cell>
          <cell r="E1813" t="str">
            <v/>
          </cell>
          <cell r="G1813" t="str">
            <v/>
          </cell>
          <cell r="J1813" t="str">
            <v/>
          </cell>
          <cell r="O1813" t="str">
            <v/>
          </cell>
          <cell r="P1813" t="str">
            <v/>
          </cell>
          <cell r="Q1813" t="str">
            <v/>
          </cell>
          <cell r="S1813" t="str">
            <v/>
          </cell>
          <cell r="V1813" t="str">
            <v/>
          </cell>
          <cell r="Z1813" t="str">
            <v/>
          </cell>
          <cell r="AA1813" t="str">
            <v/>
          </cell>
          <cell r="AB1813" t="str">
            <v/>
          </cell>
          <cell r="AC1813" t="str">
            <v/>
          </cell>
          <cell r="AD1813" t="str">
            <v/>
          </cell>
          <cell r="AY1813" t="str">
            <v/>
          </cell>
          <cell r="AZ1813" t="str">
            <v/>
          </cell>
          <cell r="BA1813" t="str">
            <v/>
          </cell>
        </row>
        <row r="1814">
          <cell r="B1814" t="str">
            <v>-</v>
          </cell>
          <cell r="E1814" t="str">
            <v/>
          </cell>
          <cell r="G1814" t="str">
            <v/>
          </cell>
          <cell r="J1814" t="str">
            <v/>
          </cell>
          <cell r="O1814" t="str">
            <v/>
          </cell>
          <cell r="P1814" t="str">
            <v/>
          </cell>
          <cell r="Q1814" t="str">
            <v/>
          </cell>
          <cell r="S1814" t="str">
            <v/>
          </cell>
          <cell r="V1814" t="str">
            <v/>
          </cell>
          <cell r="Z1814" t="str">
            <v/>
          </cell>
          <cell r="AA1814" t="str">
            <v/>
          </cell>
          <cell r="AB1814" t="str">
            <v/>
          </cell>
          <cell r="AC1814" t="str">
            <v/>
          </cell>
          <cell r="AD1814" t="str">
            <v/>
          </cell>
          <cell r="AY1814" t="str">
            <v/>
          </cell>
          <cell r="AZ1814" t="str">
            <v/>
          </cell>
          <cell r="BA1814" t="str">
            <v/>
          </cell>
        </row>
        <row r="1815">
          <cell r="B1815" t="str">
            <v>-</v>
          </cell>
          <cell r="E1815" t="str">
            <v/>
          </cell>
          <cell r="G1815" t="str">
            <v/>
          </cell>
          <cell r="J1815" t="str">
            <v/>
          </cell>
          <cell r="O1815" t="str">
            <v/>
          </cell>
          <cell r="P1815" t="str">
            <v/>
          </cell>
          <cell r="Q1815" t="str">
            <v/>
          </cell>
          <cell r="S1815" t="str">
            <v/>
          </cell>
          <cell r="V1815" t="str">
            <v/>
          </cell>
          <cell r="Z1815" t="str">
            <v/>
          </cell>
          <cell r="AA1815" t="str">
            <v/>
          </cell>
          <cell r="AB1815" t="str">
            <v/>
          </cell>
          <cell r="AC1815" t="str">
            <v/>
          </cell>
          <cell r="AD1815" t="str">
            <v/>
          </cell>
          <cell r="AY1815" t="str">
            <v/>
          </cell>
          <cell r="AZ1815" t="str">
            <v/>
          </cell>
          <cell r="BA1815" t="str">
            <v/>
          </cell>
        </row>
        <row r="1816">
          <cell r="B1816" t="str">
            <v>-</v>
          </cell>
          <cell r="E1816" t="str">
            <v/>
          </cell>
          <cell r="G1816" t="str">
            <v/>
          </cell>
          <cell r="J1816" t="str">
            <v/>
          </cell>
          <cell r="O1816" t="str">
            <v/>
          </cell>
          <cell r="P1816" t="str">
            <v/>
          </cell>
          <cell r="Q1816" t="str">
            <v/>
          </cell>
          <cell r="S1816" t="str">
            <v/>
          </cell>
          <cell r="V1816" t="str">
            <v/>
          </cell>
          <cell r="Z1816" t="str">
            <v/>
          </cell>
          <cell r="AA1816" t="str">
            <v/>
          </cell>
          <cell r="AB1816" t="str">
            <v/>
          </cell>
          <cell r="AC1816" t="str">
            <v/>
          </cell>
          <cell r="AD1816" t="str">
            <v/>
          </cell>
          <cell r="AY1816" t="str">
            <v/>
          </cell>
          <cell r="AZ1816" t="str">
            <v/>
          </cell>
          <cell r="BA1816" t="str">
            <v/>
          </cell>
        </row>
        <row r="1817">
          <cell r="B1817" t="str">
            <v>-</v>
          </cell>
          <cell r="E1817" t="str">
            <v/>
          </cell>
          <cell r="G1817" t="str">
            <v/>
          </cell>
          <cell r="J1817" t="str">
            <v/>
          </cell>
          <cell r="O1817" t="str">
            <v/>
          </cell>
          <cell r="P1817" t="str">
            <v/>
          </cell>
          <cell r="Q1817" t="str">
            <v/>
          </cell>
          <cell r="S1817" t="str">
            <v/>
          </cell>
          <cell r="V1817" t="str">
            <v/>
          </cell>
          <cell r="Z1817" t="str">
            <v/>
          </cell>
          <cell r="AA1817" t="str">
            <v/>
          </cell>
          <cell r="AB1817" t="str">
            <v/>
          </cell>
          <cell r="AC1817" t="str">
            <v/>
          </cell>
          <cell r="AD1817" t="str">
            <v/>
          </cell>
          <cell r="AY1817" t="str">
            <v/>
          </cell>
          <cell r="AZ1817" t="str">
            <v/>
          </cell>
          <cell r="BA1817" t="str">
            <v/>
          </cell>
        </row>
        <row r="1818">
          <cell r="B1818" t="str">
            <v>-</v>
          </cell>
          <cell r="E1818" t="str">
            <v/>
          </cell>
          <cell r="G1818" t="str">
            <v/>
          </cell>
          <cell r="J1818" t="str">
            <v/>
          </cell>
          <cell r="O1818" t="str">
            <v/>
          </cell>
          <cell r="P1818" t="str">
            <v/>
          </cell>
          <cell r="Q1818" t="str">
            <v/>
          </cell>
          <cell r="S1818" t="str">
            <v/>
          </cell>
          <cell r="V1818" t="str">
            <v/>
          </cell>
          <cell r="Z1818" t="str">
            <v/>
          </cell>
          <cell r="AA1818" t="str">
            <v/>
          </cell>
          <cell r="AB1818" t="str">
            <v/>
          </cell>
          <cell r="AC1818" t="str">
            <v/>
          </cell>
          <cell r="AD1818" t="str">
            <v/>
          </cell>
          <cell r="AY1818" t="str">
            <v/>
          </cell>
          <cell r="AZ1818" t="str">
            <v/>
          </cell>
          <cell r="BA1818" t="str">
            <v/>
          </cell>
        </row>
        <row r="1819">
          <cell r="B1819" t="str">
            <v>-</v>
          </cell>
          <cell r="E1819" t="str">
            <v/>
          </cell>
          <cell r="G1819" t="str">
            <v/>
          </cell>
          <cell r="J1819" t="str">
            <v/>
          </cell>
          <cell r="O1819" t="str">
            <v/>
          </cell>
          <cell r="P1819" t="str">
            <v/>
          </cell>
          <cell r="Q1819" t="str">
            <v/>
          </cell>
          <cell r="S1819" t="str">
            <v/>
          </cell>
          <cell r="V1819" t="str">
            <v/>
          </cell>
          <cell r="Z1819" t="str">
            <v/>
          </cell>
          <cell r="AA1819" t="str">
            <v/>
          </cell>
          <cell r="AB1819" t="str">
            <v/>
          </cell>
          <cell r="AC1819" t="str">
            <v/>
          </cell>
          <cell r="AD1819" t="str">
            <v/>
          </cell>
          <cell r="AY1819" t="str">
            <v/>
          </cell>
          <cell r="AZ1819" t="str">
            <v/>
          </cell>
          <cell r="BA1819" t="str">
            <v/>
          </cell>
        </row>
        <row r="1820">
          <cell r="B1820" t="str">
            <v>-</v>
          </cell>
          <cell r="E1820" t="str">
            <v/>
          </cell>
          <cell r="G1820" t="str">
            <v/>
          </cell>
          <cell r="J1820" t="str">
            <v/>
          </cell>
          <cell r="O1820" t="str">
            <v/>
          </cell>
          <cell r="P1820" t="str">
            <v/>
          </cell>
          <cell r="Q1820" t="str">
            <v/>
          </cell>
          <cell r="S1820" t="str">
            <v/>
          </cell>
          <cell r="V1820" t="str">
            <v/>
          </cell>
          <cell r="Z1820" t="str">
            <v/>
          </cell>
          <cell r="AA1820" t="str">
            <v/>
          </cell>
          <cell r="AB1820" t="str">
            <v/>
          </cell>
          <cell r="AC1820" t="str">
            <v/>
          </cell>
          <cell r="AD1820" t="str">
            <v/>
          </cell>
          <cell r="AY1820" t="str">
            <v/>
          </cell>
          <cell r="AZ1820" t="str">
            <v/>
          </cell>
          <cell r="BA1820" t="str">
            <v/>
          </cell>
        </row>
        <row r="1821">
          <cell r="B1821" t="str">
            <v>-</v>
          </cell>
          <cell r="E1821" t="str">
            <v/>
          </cell>
          <cell r="G1821" t="str">
            <v/>
          </cell>
          <cell r="J1821" t="str">
            <v/>
          </cell>
          <cell r="O1821" t="str">
            <v/>
          </cell>
          <cell r="P1821" t="str">
            <v/>
          </cell>
          <cell r="Q1821" t="str">
            <v/>
          </cell>
          <cell r="S1821" t="str">
            <v/>
          </cell>
          <cell r="V1821" t="str">
            <v/>
          </cell>
          <cell r="Z1821" t="str">
            <v/>
          </cell>
          <cell r="AA1821" t="str">
            <v/>
          </cell>
          <cell r="AB1821" t="str">
            <v/>
          </cell>
          <cell r="AC1821" t="str">
            <v/>
          </cell>
          <cell r="AD1821" t="str">
            <v/>
          </cell>
          <cell r="AY1821" t="str">
            <v/>
          </cell>
          <cell r="AZ1821" t="str">
            <v/>
          </cell>
          <cell r="BA1821" t="str">
            <v/>
          </cell>
        </row>
        <row r="1822">
          <cell r="B1822" t="str">
            <v>-</v>
          </cell>
          <cell r="E1822" t="str">
            <v/>
          </cell>
          <cell r="G1822" t="str">
            <v/>
          </cell>
          <cell r="J1822" t="str">
            <v/>
          </cell>
          <cell r="O1822" t="str">
            <v/>
          </cell>
          <cell r="P1822" t="str">
            <v/>
          </cell>
          <cell r="Q1822" t="str">
            <v/>
          </cell>
          <cell r="S1822" t="str">
            <v/>
          </cell>
          <cell r="V1822" t="str">
            <v/>
          </cell>
          <cell r="Z1822" t="str">
            <v/>
          </cell>
          <cell r="AA1822" t="str">
            <v/>
          </cell>
          <cell r="AB1822" t="str">
            <v/>
          </cell>
          <cell r="AC1822" t="str">
            <v/>
          </cell>
          <cell r="AD1822" t="str">
            <v/>
          </cell>
          <cell r="AY1822" t="str">
            <v/>
          </cell>
          <cell r="AZ1822" t="str">
            <v/>
          </cell>
          <cell r="BA1822" t="str">
            <v/>
          </cell>
        </row>
        <row r="1823">
          <cell r="B1823" t="str">
            <v>-</v>
          </cell>
          <cell r="E1823" t="str">
            <v/>
          </cell>
          <cell r="G1823" t="str">
            <v/>
          </cell>
          <cell r="J1823" t="str">
            <v/>
          </cell>
          <cell r="O1823" t="str">
            <v/>
          </cell>
          <cell r="P1823" t="str">
            <v/>
          </cell>
          <cell r="Q1823" t="str">
            <v/>
          </cell>
          <cell r="S1823" t="str">
            <v/>
          </cell>
          <cell r="V1823" t="str">
            <v/>
          </cell>
          <cell r="Z1823" t="str">
            <v/>
          </cell>
          <cell r="AA1823" t="str">
            <v/>
          </cell>
          <cell r="AB1823" t="str">
            <v/>
          </cell>
          <cell r="AC1823" t="str">
            <v/>
          </cell>
          <cell r="AD1823" t="str">
            <v/>
          </cell>
          <cell r="AY1823" t="str">
            <v/>
          </cell>
          <cell r="AZ1823" t="str">
            <v/>
          </cell>
          <cell r="BA1823" t="str">
            <v/>
          </cell>
        </row>
        <row r="1824">
          <cell r="B1824" t="str">
            <v>-</v>
          </cell>
          <cell r="E1824" t="str">
            <v/>
          </cell>
          <cell r="G1824" t="str">
            <v/>
          </cell>
          <cell r="J1824" t="str">
            <v/>
          </cell>
          <cell r="O1824" t="str">
            <v/>
          </cell>
          <cell r="P1824" t="str">
            <v/>
          </cell>
          <cell r="Q1824" t="str">
            <v/>
          </cell>
          <cell r="S1824" t="str">
            <v/>
          </cell>
          <cell r="V1824" t="str">
            <v/>
          </cell>
          <cell r="Z1824" t="str">
            <v/>
          </cell>
          <cell r="AA1824" t="str">
            <v/>
          </cell>
          <cell r="AB1824" t="str">
            <v/>
          </cell>
          <cell r="AC1824" t="str">
            <v/>
          </cell>
          <cell r="AD1824" t="str">
            <v/>
          </cell>
          <cell r="AY1824" t="str">
            <v/>
          </cell>
          <cell r="AZ1824" t="str">
            <v/>
          </cell>
          <cell r="BA1824" t="str">
            <v/>
          </cell>
        </row>
        <row r="1825">
          <cell r="B1825" t="str">
            <v>-</v>
          </cell>
          <cell r="E1825" t="str">
            <v/>
          </cell>
          <cell r="G1825" t="str">
            <v/>
          </cell>
          <cell r="J1825" t="str">
            <v/>
          </cell>
          <cell r="O1825" t="str">
            <v/>
          </cell>
          <cell r="P1825" t="str">
            <v/>
          </cell>
          <cell r="Q1825" t="str">
            <v/>
          </cell>
          <cell r="S1825" t="str">
            <v/>
          </cell>
          <cell r="V1825" t="str">
            <v/>
          </cell>
          <cell r="Z1825" t="str">
            <v/>
          </cell>
          <cell r="AA1825" t="str">
            <v/>
          </cell>
          <cell r="AB1825" t="str">
            <v/>
          </cell>
          <cell r="AC1825" t="str">
            <v/>
          </cell>
          <cell r="AD1825" t="str">
            <v/>
          </cell>
          <cell r="AY1825" t="str">
            <v/>
          </cell>
          <cell r="AZ1825" t="str">
            <v/>
          </cell>
          <cell r="BA1825" t="str">
            <v/>
          </cell>
        </row>
        <row r="1826">
          <cell r="B1826" t="str">
            <v>-</v>
          </cell>
          <cell r="E1826" t="str">
            <v/>
          </cell>
          <cell r="G1826" t="str">
            <v/>
          </cell>
          <cell r="J1826" t="str">
            <v/>
          </cell>
          <cell r="O1826" t="str">
            <v/>
          </cell>
          <cell r="P1826" t="str">
            <v/>
          </cell>
          <cell r="Q1826" t="str">
            <v/>
          </cell>
          <cell r="S1826" t="str">
            <v/>
          </cell>
          <cell r="V1826" t="str">
            <v/>
          </cell>
          <cell r="Z1826" t="str">
            <v/>
          </cell>
          <cell r="AA1826" t="str">
            <v/>
          </cell>
          <cell r="AB1826" t="str">
            <v/>
          </cell>
          <cell r="AC1826" t="str">
            <v/>
          </cell>
          <cell r="AD1826" t="str">
            <v/>
          </cell>
          <cell r="AY1826" t="str">
            <v/>
          </cell>
          <cell r="AZ1826" t="str">
            <v/>
          </cell>
          <cell r="BA1826" t="str">
            <v/>
          </cell>
        </row>
        <row r="1827">
          <cell r="B1827" t="str">
            <v>-</v>
          </cell>
          <cell r="E1827" t="str">
            <v/>
          </cell>
          <cell r="G1827" t="str">
            <v/>
          </cell>
          <cell r="J1827" t="str">
            <v/>
          </cell>
          <cell r="O1827" t="str">
            <v/>
          </cell>
          <cell r="P1827" t="str">
            <v/>
          </cell>
          <cell r="Q1827" t="str">
            <v/>
          </cell>
          <cell r="S1827" t="str">
            <v/>
          </cell>
          <cell r="V1827" t="str">
            <v/>
          </cell>
          <cell r="Z1827" t="str">
            <v/>
          </cell>
          <cell r="AA1827" t="str">
            <v/>
          </cell>
          <cell r="AB1827" t="str">
            <v/>
          </cell>
          <cell r="AC1827" t="str">
            <v/>
          </cell>
          <cell r="AD1827" t="str">
            <v/>
          </cell>
          <cell r="AY1827" t="str">
            <v/>
          </cell>
          <cell r="AZ1827" t="str">
            <v/>
          </cell>
          <cell r="BA1827" t="str">
            <v/>
          </cell>
        </row>
        <row r="1828">
          <cell r="B1828" t="str">
            <v>-</v>
          </cell>
          <cell r="E1828" t="str">
            <v/>
          </cell>
          <cell r="G1828" t="str">
            <v/>
          </cell>
          <cell r="J1828" t="str">
            <v/>
          </cell>
          <cell r="O1828" t="str">
            <v/>
          </cell>
          <cell r="P1828" t="str">
            <v/>
          </cell>
          <cell r="Q1828" t="str">
            <v/>
          </cell>
          <cell r="S1828" t="str">
            <v/>
          </cell>
          <cell r="V1828" t="str">
            <v/>
          </cell>
          <cell r="Z1828" t="str">
            <v/>
          </cell>
          <cell r="AA1828" t="str">
            <v/>
          </cell>
          <cell r="AB1828" t="str">
            <v/>
          </cell>
          <cell r="AC1828" t="str">
            <v/>
          </cell>
          <cell r="AD1828" t="str">
            <v/>
          </cell>
          <cell r="AY1828" t="str">
            <v/>
          </cell>
          <cell r="AZ1828" t="str">
            <v/>
          </cell>
          <cell r="BA1828" t="str">
            <v/>
          </cell>
        </row>
        <row r="1829">
          <cell r="B1829" t="str">
            <v>-</v>
          </cell>
          <cell r="E1829" t="str">
            <v/>
          </cell>
          <cell r="G1829" t="str">
            <v/>
          </cell>
          <cell r="J1829" t="str">
            <v/>
          </cell>
          <cell r="O1829" t="str">
            <v/>
          </cell>
          <cell r="P1829" t="str">
            <v/>
          </cell>
          <cell r="Q1829" t="str">
            <v/>
          </cell>
          <cell r="S1829" t="str">
            <v/>
          </cell>
          <cell r="V1829" t="str">
            <v/>
          </cell>
          <cell r="Z1829" t="str">
            <v/>
          </cell>
          <cell r="AA1829" t="str">
            <v/>
          </cell>
          <cell r="AB1829" t="str">
            <v/>
          </cell>
          <cell r="AC1829" t="str">
            <v/>
          </cell>
          <cell r="AD1829" t="str">
            <v/>
          </cell>
          <cell r="AY1829" t="str">
            <v/>
          </cell>
          <cell r="AZ1829" t="str">
            <v/>
          </cell>
          <cell r="BA1829" t="str">
            <v/>
          </cell>
        </row>
        <row r="1830">
          <cell r="B1830" t="str">
            <v>-</v>
          </cell>
          <cell r="E1830" t="str">
            <v/>
          </cell>
          <cell r="G1830" t="str">
            <v/>
          </cell>
          <cell r="J1830" t="str">
            <v/>
          </cell>
          <cell r="O1830" t="str">
            <v/>
          </cell>
          <cell r="P1830" t="str">
            <v/>
          </cell>
          <cell r="Q1830" t="str">
            <v/>
          </cell>
          <cell r="S1830" t="str">
            <v/>
          </cell>
          <cell r="V1830" t="str">
            <v/>
          </cell>
          <cell r="Z1830" t="str">
            <v/>
          </cell>
          <cell r="AA1830" t="str">
            <v/>
          </cell>
          <cell r="AB1830" t="str">
            <v/>
          </cell>
          <cell r="AC1830" t="str">
            <v/>
          </cell>
          <cell r="AD1830" t="str">
            <v/>
          </cell>
          <cell r="AY1830" t="str">
            <v/>
          </cell>
          <cell r="AZ1830" t="str">
            <v/>
          </cell>
          <cell r="BA1830" t="str">
            <v/>
          </cell>
        </row>
        <row r="1831">
          <cell r="B1831" t="str">
            <v>-</v>
          </cell>
          <cell r="E1831" t="str">
            <v/>
          </cell>
          <cell r="G1831" t="str">
            <v/>
          </cell>
          <cell r="J1831" t="str">
            <v/>
          </cell>
          <cell r="O1831" t="str">
            <v/>
          </cell>
          <cell r="P1831" t="str">
            <v/>
          </cell>
          <cell r="Q1831" t="str">
            <v/>
          </cell>
          <cell r="S1831" t="str">
            <v/>
          </cell>
          <cell r="V1831" t="str">
            <v/>
          </cell>
          <cell r="Z1831" t="str">
            <v/>
          </cell>
          <cell r="AA1831" t="str">
            <v/>
          </cell>
          <cell r="AB1831" t="str">
            <v/>
          </cell>
          <cell r="AC1831" t="str">
            <v/>
          </cell>
          <cell r="AD1831" t="str">
            <v/>
          </cell>
          <cell r="AY1831" t="str">
            <v/>
          </cell>
          <cell r="AZ1831" t="str">
            <v/>
          </cell>
          <cell r="BA1831" t="str">
            <v/>
          </cell>
        </row>
        <row r="1832">
          <cell r="B1832" t="str">
            <v>-</v>
          </cell>
          <cell r="E1832" t="str">
            <v/>
          </cell>
          <cell r="G1832" t="str">
            <v/>
          </cell>
          <cell r="J1832" t="str">
            <v/>
          </cell>
          <cell r="O1832" t="str">
            <v/>
          </cell>
          <cell r="P1832" t="str">
            <v/>
          </cell>
          <cell r="Q1832" t="str">
            <v/>
          </cell>
          <cell r="S1832" t="str">
            <v/>
          </cell>
          <cell r="V1832" t="str">
            <v/>
          </cell>
          <cell r="Z1832" t="str">
            <v/>
          </cell>
          <cell r="AA1832" t="str">
            <v/>
          </cell>
          <cell r="AB1832" t="str">
            <v/>
          </cell>
          <cell r="AC1832" t="str">
            <v/>
          </cell>
          <cell r="AD1832" t="str">
            <v/>
          </cell>
          <cell r="AY1832" t="str">
            <v/>
          </cell>
          <cell r="AZ1832" t="str">
            <v/>
          </cell>
          <cell r="BA1832" t="str">
            <v/>
          </cell>
        </row>
        <row r="1833">
          <cell r="B1833" t="str">
            <v>-</v>
          </cell>
          <cell r="E1833" t="str">
            <v/>
          </cell>
          <cell r="G1833" t="str">
            <v/>
          </cell>
          <cell r="J1833" t="str">
            <v/>
          </cell>
          <cell r="O1833" t="str">
            <v/>
          </cell>
          <cell r="P1833" t="str">
            <v/>
          </cell>
          <cell r="Q1833" t="str">
            <v/>
          </cell>
          <cell r="S1833" t="str">
            <v/>
          </cell>
          <cell r="V1833" t="str">
            <v/>
          </cell>
          <cell r="Z1833" t="str">
            <v/>
          </cell>
          <cell r="AA1833" t="str">
            <v/>
          </cell>
          <cell r="AB1833" t="str">
            <v/>
          </cell>
          <cell r="AC1833" t="str">
            <v/>
          </cell>
          <cell r="AD1833" t="str">
            <v/>
          </cell>
          <cell r="AY1833" t="str">
            <v/>
          </cell>
          <cell r="AZ1833" t="str">
            <v/>
          </cell>
          <cell r="BA1833" t="str">
            <v/>
          </cell>
        </row>
        <row r="1834">
          <cell r="B1834" t="str">
            <v>-</v>
          </cell>
          <cell r="E1834" t="str">
            <v/>
          </cell>
          <cell r="G1834" t="str">
            <v/>
          </cell>
          <cell r="J1834" t="str">
            <v/>
          </cell>
          <cell r="O1834" t="str">
            <v/>
          </cell>
          <cell r="P1834" t="str">
            <v/>
          </cell>
          <cell r="Q1834" t="str">
            <v/>
          </cell>
          <cell r="S1834" t="str">
            <v/>
          </cell>
          <cell r="V1834" t="str">
            <v/>
          </cell>
          <cell r="Z1834" t="str">
            <v/>
          </cell>
          <cell r="AA1834" t="str">
            <v/>
          </cell>
          <cell r="AB1834" t="str">
            <v/>
          </cell>
          <cell r="AC1834" t="str">
            <v/>
          </cell>
          <cell r="AD1834" t="str">
            <v/>
          </cell>
          <cell r="AY1834" t="str">
            <v/>
          </cell>
          <cell r="AZ1834" t="str">
            <v/>
          </cell>
          <cell r="BA1834" t="str">
            <v/>
          </cell>
        </row>
        <row r="1835">
          <cell r="B1835" t="str">
            <v>-</v>
          </cell>
          <cell r="E1835" t="str">
            <v/>
          </cell>
          <cell r="G1835" t="str">
            <v/>
          </cell>
          <cell r="J1835" t="str">
            <v/>
          </cell>
          <cell r="O1835" t="str">
            <v/>
          </cell>
          <cell r="P1835" t="str">
            <v/>
          </cell>
          <cell r="Q1835" t="str">
            <v/>
          </cell>
          <cell r="S1835" t="str">
            <v/>
          </cell>
          <cell r="V1835" t="str">
            <v/>
          </cell>
          <cell r="Z1835" t="str">
            <v/>
          </cell>
          <cell r="AA1835" t="str">
            <v/>
          </cell>
          <cell r="AB1835" t="str">
            <v/>
          </cell>
          <cell r="AC1835" t="str">
            <v/>
          </cell>
          <cell r="AD1835" t="str">
            <v/>
          </cell>
          <cell r="AY1835" t="str">
            <v/>
          </cell>
          <cell r="AZ1835" t="str">
            <v/>
          </cell>
          <cell r="BA1835" t="str">
            <v/>
          </cell>
        </row>
        <row r="1836">
          <cell r="B1836" t="str">
            <v>-</v>
          </cell>
          <cell r="E1836" t="str">
            <v/>
          </cell>
          <cell r="G1836" t="str">
            <v/>
          </cell>
          <cell r="J1836" t="str">
            <v/>
          </cell>
          <cell r="O1836" t="str">
            <v/>
          </cell>
          <cell r="P1836" t="str">
            <v/>
          </cell>
          <cell r="Q1836" t="str">
            <v/>
          </cell>
          <cell r="S1836" t="str">
            <v/>
          </cell>
          <cell r="V1836" t="str">
            <v/>
          </cell>
          <cell r="Z1836" t="str">
            <v/>
          </cell>
          <cell r="AA1836" t="str">
            <v/>
          </cell>
          <cell r="AB1836" t="str">
            <v/>
          </cell>
          <cell r="AC1836" t="str">
            <v/>
          </cell>
          <cell r="AD1836" t="str">
            <v/>
          </cell>
          <cell r="AY1836" t="str">
            <v/>
          </cell>
          <cell r="AZ1836" t="str">
            <v/>
          </cell>
          <cell r="BA1836" t="str">
            <v/>
          </cell>
        </row>
        <row r="1837">
          <cell r="B1837" t="str">
            <v>-</v>
          </cell>
          <cell r="E1837" t="str">
            <v/>
          </cell>
          <cell r="G1837" t="str">
            <v/>
          </cell>
          <cell r="J1837" t="str">
            <v/>
          </cell>
          <cell r="O1837" t="str">
            <v/>
          </cell>
          <cell r="P1837" t="str">
            <v/>
          </cell>
          <cell r="Q1837" t="str">
            <v/>
          </cell>
          <cell r="S1837" t="str">
            <v/>
          </cell>
          <cell r="V1837" t="str">
            <v/>
          </cell>
          <cell r="Z1837" t="str">
            <v/>
          </cell>
          <cell r="AA1837" t="str">
            <v/>
          </cell>
          <cell r="AB1837" t="str">
            <v/>
          </cell>
          <cell r="AC1837" t="str">
            <v/>
          </cell>
          <cell r="AD1837" t="str">
            <v/>
          </cell>
          <cell r="AY1837" t="str">
            <v/>
          </cell>
          <cell r="AZ1837" t="str">
            <v/>
          </cell>
          <cell r="BA1837" t="str">
            <v/>
          </cell>
        </row>
        <row r="1838">
          <cell r="B1838" t="str">
            <v>-</v>
          </cell>
          <cell r="E1838" t="str">
            <v/>
          </cell>
          <cell r="G1838" t="str">
            <v/>
          </cell>
          <cell r="J1838" t="str">
            <v/>
          </cell>
          <cell r="O1838" t="str">
            <v/>
          </cell>
          <cell r="P1838" t="str">
            <v/>
          </cell>
          <cell r="Q1838" t="str">
            <v/>
          </cell>
          <cell r="S1838" t="str">
            <v/>
          </cell>
          <cell r="V1838" t="str">
            <v/>
          </cell>
          <cell r="Z1838" t="str">
            <v/>
          </cell>
          <cell r="AA1838" t="str">
            <v/>
          </cell>
          <cell r="AB1838" t="str">
            <v/>
          </cell>
          <cell r="AC1838" t="str">
            <v/>
          </cell>
          <cell r="AD1838" t="str">
            <v/>
          </cell>
          <cell r="AY1838" t="str">
            <v/>
          </cell>
          <cell r="AZ1838" t="str">
            <v/>
          </cell>
          <cell r="BA1838" t="str">
            <v/>
          </cell>
        </row>
        <row r="1839">
          <cell r="B1839" t="str">
            <v>-</v>
          </cell>
          <cell r="E1839" t="str">
            <v/>
          </cell>
          <cell r="G1839" t="str">
            <v/>
          </cell>
          <cell r="J1839" t="str">
            <v/>
          </cell>
          <cell r="O1839" t="str">
            <v/>
          </cell>
          <cell r="P1839" t="str">
            <v/>
          </cell>
          <cell r="Q1839" t="str">
            <v/>
          </cell>
          <cell r="S1839" t="str">
            <v/>
          </cell>
          <cell r="V1839" t="str">
            <v/>
          </cell>
          <cell r="Z1839" t="str">
            <v/>
          </cell>
          <cell r="AA1839" t="str">
            <v/>
          </cell>
          <cell r="AB1839" t="str">
            <v/>
          </cell>
          <cell r="AC1839" t="str">
            <v/>
          </cell>
          <cell r="AD1839" t="str">
            <v/>
          </cell>
          <cell r="AY1839" t="str">
            <v/>
          </cell>
          <cell r="AZ1839" t="str">
            <v/>
          </cell>
          <cell r="BA1839" t="str">
            <v/>
          </cell>
        </row>
        <row r="1840">
          <cell r="B1840" t="str">
            <v>-</v>
          </cell>
          <cell r="E1840" t="str">
            <v/>
          </cell>
          <cell r="G1840" t="str">
            <v/>
          </cell>
          <cell r="J1840" t="str">
            <v/>
          </cell>
          <cell r="O1840" t="str">
            <v/>
          </cell>
          <cell r="P1840" t="str">
            <v/>
          </cell>
          <cell r="Q1840" t="str">
            <v/>
          </cell>
          <cell r="S1840" t="str">
            <v/>
          </cell>
          <cell r="V1840" t="str">
            <v/>
          </cell>
          <cell r="Z1840" t="str">
            <v/>
          </cell>
          <cell r="AA1840" t="str">
            <v/>
          </cell>
          <cell r="AB1840" t="str">
            <v/>
          </cell>
          <cell r="AC1840" t="str">
            <v/>
          </cell>
          <cell r="AD1840" t="str">
            <v/>
          </cell>
          <cell r="AY1840" t="str">
            <v/>
          </cell>
          <cell r="AZ1840" t="str">
            <v/>
          </cell>
          <cell r="BA1840" t="str">
            <v/>
          </cell>
        </row>
        <row r="1841">
          <cell r="B1841" t="str">
            <v>-</v>
          </cell>
          <cell r="E1841" t="str">
            <v/>
          </cell>
          <cell r="G1841" t="str">
            <v/>
          </cell>
          <cell r="J1841" t="str">
            <v/>
          </cell>
          <cell r="O1841" t="str">
            <v/>
          </cell>
          <cell r="P1841" t="str">
            <v/>
          </cell>
          <cell r="Q1841" t="str">
            <v/>
          </cell>
          <cell r="S1841" t="str">
            <v/>
          </cell>
          <cell r="V1841" t="str">
            <v/>
          </cell>
          <cell r="Z1841" t="str">
            <v/>
          </cell>
          <cell r="AA1841" t="str">
            <v/>
          </cell>
          <cell r="AB1841" t="str">
            <v/>
          </cell>
          <cell r="AC1841" t="str">
            <v/>
          </cell>
          <cell r="AD1841" t="str">
            <v/>
          </cell>
          <cell r="AY1841" t="str">
            <v/>
          </cell>
          <cell r="AZ1841" t="str">
            <v/>
          </cell>
          <cell r="BA1841" t="str">
            <v/>
          </cell>
        </row>
        <row r="1842">
          <cell r="B1842" t="str">
            <v>-</v>
          </cell>
          <cell r="E1842" t="str">
            <v/>
          </cell>
          <cell r="G1842" t="str">
            <v/>
          </cell>
          <cell r="J1842" t="str">
            <v/>
          </cell>
          <cell r="O1842" t="str">
            <v/>
          </cell>
          <cell r="P1842" t="str">
            <v/>
          </cell>
          <cell r="Q1842" t="str">
            <v/>
          </cell>
          <cell r="S1842" t="str">
            <v/>
          </cell>
          <cell r="V1842" t="str">
            <v/>
          </cell>
          <cell r="Z1842" t="str">
            <v/>
          </cell>
          <cell r="AA1842" t="str">
            <v/>
          </cell>
          <cell r="AB1842" t="str">
            <v/>
          </cell>
          <cell r="AC1842" t="str">
            <v/>
          </cell>
          <cell r="AD1842" t="str">
            <v/>
          </cell>
          <cell r="AY1842" t="str">
            <v/>
          </cell>
          <cell r="AZ1842" t="str">
            <v/>
          </cell>
          <cell r="BA1842" t="str">
            <v/>
          </cell>
        </row>
        <row r="1843">
          <cell r="B1843" t="str">
            <v>-</v>
          </cell>
          <cell r="E1843" t="str">
            <v/>
          </cell>
          <cell r="G1843" t="str">
            <v/>
          </cell>
          <cell r="J1843" t="str">
            <v/>
          </cell>
          <cell r="O1843" t="str">
            <v/>
          </cell>
          <cell r="P1843" t="str">
            <v/>
          </cell>
          <cell r="Q1843" t="str">
            <v/>
          </cell>
          <cell r="S1843" t="str">
            <v/>
          </cell>
          <cell r="V1843" t="str">
            <v/>
          </cell>
          <cell r="Z1843" t="str">
            <v/>
          </cell>
          <cell r="AA1843" t="str">
            <v/>
          </cell>
          <cell r="AB1843" t="str">
            <v/>
          </cell>
          <cell r="AC1843" t="str">
            <v/>
          </cell>
          <cell r="AD1843" t="str">
            <v/>
          </cell>
          <cell r="AY1843" t="str">
            <v/>
          </cell>
          <cell r="AZ1843" t="str">
            <v/>
          </cell>
          <cell r="BA1843" t="str">
            <v/>
          </cell>
        </row>
        <row r="1844">
          <cell r="B1844" t="str">
            <v>-</v>
          </cell>
          <cell r="E1844" t="str">
            <v/>
          </cell>
          <cell r="G1844" t="str">
            <v/>
          </cell>
          <cell r="J1844" t="str">
            <v/>
          </cell>
          <cell r="O1844" t="str">
            <v/>
          </cell>
          <cell r="P1844" t="str">
            <v/>
          </cell>
          <cell r="Q1844" t="str">
            <v/>
          </cell>
          <cell r="S1844" t="str">
            <v/>
          </cell>
          <cell r="V1844" t="str">
            <v/>
          </cell>
          <cell r="Z1844" t="str">
            <v/>
          </cell>
          <cell r="AA1844" t="str">
            <v/>
          </cell>
          <cell r="AB1844" t="str">
            <v/>
          </cell>
          <cell r="AC1844" t="str">
            <v/>
          </cell>
          <cell r="AD1844" t="str">
            <v/>
          </cell>
          <cell r="AY1844" t="str">
            <v/>
          </cell>
          <cell r="AZ1844" t="str">
            <v/>
          </cell>
          <cell r="BA1844" t="str">
            <v/>
          </cell>
        </row>
        <row r="1845">
          <cell r="B1845" t="str">
            <v>-</v>
          </cell>
          <cell r="E1845" t="str">
            <v/>
          </cell>
          <cell r="G1845" t="str">
            <v/>
          </cell>
          <cell r="J1845" t="str">
            <v/>
          </cell>
          <cell r="O1845" t="str">
            <v/>
          </cell>
          <cell r="P1845" t="str">
            <v/>
          </cell>
          <cell r="Q1845" t="str">
            <v/>
          </cell>
          <cell r="S1845" t="str">
            <v/>
          </cell>
          <cell r="V1845" t="str">
            <v/>
          </cell>
          <cell r="Z1845" t="str">
            <v/>
          </cell>
          <cell r="AA1845" t="str">
            <v/>
          </cell>
          <cell r="AB1845" t="str">
            <v/>
          </cell>
          <cell r="AC1845" t="str">
            <v/>
          </cell>
          <cell r="AD1845" t="str">
            <v/>
          </cell>
          <cell r="AY1845" t="str">
            <v/>
          </cell>
          <cell r="AZ1845" t="str">
            <v/>
          </cell>
          <cell r="BA1845" t="str">
            <v/>
          </cell>
        </row>
        <row r="1846">
          <cell r="B1846" t="str">
            <v>-</v>
          </cell>
          <cell r="E1846" t="str">
            <v/>
          </cell>
          <cell r="G1846" t="str">
            <v/>
          </cell>
          <cell r="J1846" t="str">
            <v/>
          </cell>
          <cell r="O1846" t="str">
            <v/>
          </cell>
          <cell r="P1846" t="str">
            <v/>
          </cell>
          <cell r="Q1846" t="str">
            <v/>
          </cell>
          <cell r="S1846" t="str">
            <v/>
          </cell>
          <cell r="V1846" t="str">
            <v/>
          </cell>
          <cell r="Z1846" t="str">
            <v/>
          </cell>
          <cell r="AA1846" t="str">
            <v/>
          </cell>
          <cell r="AB1846" t="str">
            <v/>
          </cell>
          <cell r="AC1846" t="str">
            <v/>
          </cell>
          <cell r="AD1846" t="str">
            <v/>
          </cell>
          <cell r="AY1846" t="str">
            <v/>
          </cell>
          <cell r="AZ1846" t="str">
            <v/>
          </cell>
          <cell r="BA1846" t="str">
            <v/>
          </cell>
        </row>
        <row r="1847">
          <cell r="B1847" t="str">
            <v>-</v>
          </cell>
          <cell r="E1847" t="str">
            <v/>
          </cell>
          <cell r="G1847" t="str">
            <v/>
          </cell>
          <cell r="J1847" t="str">
            <v/>
          </cell>
          <cell r="O1847" t="str">
            <v/>
          </cell>
          <cell r="P1847" t="str">
            <v/>
          </cell>
          <cell r="Q1847" t="str">
            <v/>
          </cell>
          <cell r="S1847" t="str">
            <v/>
          </cell>
          <cell r="V1847" t="str">
            <v/>
          </cell>
          <cell r="Z1847" t="str">
            <v/>
          </cell>
          <cell r="AA1847" t="str">
            <v/>
          </cell>
          <cell r="AB1847" t="str">
            <v/>
          </cell>
          <cell r="AC1847" t="str">
            <v/>
          </cell>
          <cell r="AD1847" t="str">
            <v/>
          </cell>
          <cell r="AY1847" t="str">
            <v/>
          </cell>
          <cell r="AZ1847" t="str">
            <v/>
          </cell>
          <cell r="BA1847" t="str">
            <v/>
          </cell>
        </row>
        <row r="1848">
          <cell r="B1848" t="str">
            <v>-</v>
          </cell>
          <cell r="E1848" t="str">
            <v/>
          </cell>
          <cell r="G1848" t="str">
            <v/>
          </cell>
          <cell r="J1848" t="str">
            <v/>
          </cell>
          <cell r="O1848" t="str">
            <v/>
          </cell>
          <cell r="P1848" t="str">
            <v/>
          </cell>
          <cell r="Q1848" t="str">
            <v/>
          </cell>
          <cell r="S1848" t="str">
            <v/>
          </cell>
          <cell r="V1848" t="str">
            <v/>
          </cell>
          <cell r="Z1848" t="str">
            <v/>
          </cell>
          <cell r="AA1848" t="str">
            <v/>
          </cell>
          <cell r="AB1848" t="str">
            <v/>
          </cell>
          <cell r="AC1848" t="str">
            <v/>
          </cell>
          <cell r="AD1848" t="str">
            <v/>
          </cell>
          <cell r="AY1848" t="str">
            <v/>
          </cell>
          <cell r="AZ1848" t="str">
            <v/>
          </cell>
          <cell r="BA1848" t="str">
            <v/>
          </cell>
        </row>
        <row r="1849">
          <cell r="B1849" t="str">
            <v>-</v>
          </cell>
          <cell r="E1849" t="str">
            <v/>
          </cell>
          <cell r="G1849" t="str">
            <v/>
          </cell>
          <cell r="J1849" t="str">
            <v/>
          </cell>
          <cell r="O1849" t="str">
            <v/>
          </cell>
          <cell r="P1849" t="str">
            <v/>
          </cell>
          <cell r="Q1849" t="str">
            <v/>
          </cell>
          <cell r="S1849" t="str">
            <v/>
          </cell>
          <cell r="V1849" t="str">
            <v/>
          </cell>
          <cell r="Z1849" t="str">
            <v/>
          </cell>
          <cell r="AA1849" t="str">
            <v/>
          </cell>
          <cell r="AB1849" t="str">
            <v/>
          </cell>
          <cell r="AC1849" t="str">
            <v/>
          </cell>
          <cell r="AD1849" t="str">
            <v/>
          </cell>
          <cell r="AY1849" t="str">
            <v/>
          </cell>
          <cell r="AZ1849" t="str">
            <v/>
          </cell>
          <cell r="BA1849" t="str">
            <v/>
          </cell>
        </row>
        <row r="1850">
          <cell r="B1850" t="str">
            <v>-</v>
          </cell>
          <cell r="E1850" t="str">
            <v/>
          </cell>
          <cell r="G1850" t="str">
            <v/>
          </cell>
          <cell r="J1850" t="str">
            <v/>
          </cell>
          <cell r="O1850" t="str">
            <v/>
          </cell>
          <cell r="P1850" t="str">
            <v/>
          </cell>
          <cell r="Q1850" t="str">
            <v/>
          </cell>
          <cell r="S1850" t="str">
            <v/>
          </cell>
          <cell r="V1850" t="str">
            <v/>
          </cell>
          <cell r="Z1850" t="str">
            <v/>
          </cell>
          <cell r="AA1850" t="str">
            <v/>
          </cell>
          <cell r="AB1850" t="str">
            <v/>
          </cell>
          <cell r="AC1850" t="str">
            <v/>
          </cell>
          <cell r="AD1850" t="str">
            <v/>
          </cell>
          <cell r="AY1850" t="str">
            <v/>
          </cell>
          <cell r="AZ1850" t="str">
            <v/>
          </cell>
          <cell r="BA1850" t="str">
            <v/>
          </cell>
        </row>
        <row r="1851">
          <cell r="B1851" t="str">
            <v>-</v>
          </cell>
          <cell r="E1851" t="str">
            <v/>
          </cell>
          <cell r="G1851" t="str">
            <v/>
          </cell>
          <cell r="J1851" t="str">
            <v/>
          </cell>
          <cell r="O1851" t="str">
            <v/>
          </cell>
          <cell r="P1851" t="str">
            <v/>
          </cell>
          <cell r="Q1851" t="str">
            <v/>
          </cell>
          <cell r="S1851" t="str">
            <v/>
          </cell>
          <cell r="V1851" t="str">
            <v/>
          </cell>
          <cell r="Z1851" t="str">
            <v/>
          </cell>
          <cell r="AA1851" t="str">
            <v/>
          </cell>
          <cell r="AB1851" t="str">
            <v/>
          </cell>
          <cell r="AC1851" t="str">
            <v/>
          </cell>
          <cell r="AD1851" t="str">
            <v/>
          </cell>
          <cell r="AY1851" t="str">
            <v/>
          </cell>
          <cell r="AZ1851" t="str">
            <v/>
          </cell>
          <cell r="BA1851" t="str">
            <v/>
          </cell>
        </row>
        <row r="1852">
          <cell r="B1852" t="str">
            <v>-</v>
          </cell>
          <cell r="E1852" t="str">
            <v/>
          </cell>
          <cell r="G1852" t="str">
            <v/>
          </cell>
          <cell r="J1852" t="str">
            <v/>
          </cell>
          <cell r="O1852" t="str">
            <v/>
          </cell>
          <cell r="P1852" t="str">
            <v/>
          </cell>
          <cell r="Q1852" t="str">
            <v/>
          </cell>
          <cell r="S1852" t="str">
            <v/>
          </cell>
          <cell r="V1852" t="str">
            <v/>
          </cell>
          <cell r="Z1852" t="str">
            <v/>
          </cell>
          <cell r="AA1852" t="str">
            <v/>
          </cell>
          <cell r="AB1852" t="str">
            <v/>
          </cell>
          <cell r="AC1852" t="str">
            <v/>
          </cell>
          <cell r="AD1852" t="str">
            <v/>
          </cell>
          <cell r="AY1852" t="str">
            <v/>
          </cell>
          <cell r="AZ1852" t="str">
            <v/>
          </cell>
          <cell r="BA1852" t="str">
            <v/>
          </cell>
        </row>
        <row r="1853">
          <cell r="B1853" t="str">
            <v>-</v>
          </cell>
          <cell r="E1853" t="str">
            <v/>
          </cell>
          <cell r="G1853" t="str">
            <v/>
          </cell>
          <cell r="J1853" t="str">
            <v/>
          </cell>
          <cell r="O1853" t="str">
            <v/>
          </cell>
          <cell r="P1853" t="str">
            <v/>
          </cell>
          <cell r="Q1853" t="str">
            <v/>
          </cell>
          <cell r="S1853" t="str">
            <v/>
          </cell>
          <cell r="V1853" t="str">
            <v/>
          </cell>
          <cell r="Z1853" t="str">
            <v/>
          </cell>
          <cell r="AA1853" t="str">
            <v/>
          </cell>
          <cell r="AB1853" t="str">
            <v/>
          </cell>
          <cell r="AC1853" t="str">
            <v/>
          </cell>
          <cell r="AD1853" t="str">
            <v/>
          </cell>
          <cell r="AY1853" t="str">
            <v/>
          </cell>
          <cell r="AZ1853" t="str">
            <v/>
          </cell>
          <cell r="BA1853" t="str">
            <v/>
          </cell>
        </row>
        <row r="1854">
          <cell r="B1854" t="str">
            <v>-</v>
          </cell>
          <cell r="E1854" t="str">
            <v/>
          </cell>
          <cell r="G1854" t="str">
            <v/>
          </cell>
          <cell r="J1854" t="str">
            <v/>
          </cell>
          <cell r="O1854" t="str">
            <v/>
          </cell>
          <cell r="P1854" t="str">
            <v/>
          </cell>
          <cell r="Q1854" t="str">
            <v/>
          </cell>
          <cell r="S1854" t="str">
            <v/>
          </cell>
          <cell r="V1854" t="str">
            <v/>
          </cell>
          <cell r="Z1854" t="str">
            <v/>
          </cell>
          <cell r="AA1854" t="str">
            <v/>
          </cell>
          <cell r="AB1854" t="str">
            <v/>
          </cell>
          <cell r="AC1854" t="str">
            <v/>
          </cell>
          <cell r="AD1854" t="str">
            <v/>
          </cell>
          <cell r="AY1854" t="str">
            <v/>
          </cell>
          <cell r="AZ1854" t="str">
            <v/>
          </cell>
          <cell r="BA1854" t="str">
            <v/>
          </cell>
        </row>
        <row r="1855">
          <cell r="B1855" t="str">
            <v>-</v>
          </cell>
          <cell r="E1855" t="str">
            <v/>
          </cell>
          <cell r="G1855" t="str">
            <v/>
          </cell>
          <cell r="J1855" t="str">
            <v/>
          </cell>
          <cell r="O1855" t="str">
            <v/>
          </cell>
          <cell r="P1855" t="str">
            <v/>
          </cell>
          <cell r="Q1855" t="str">
            <v/>
          </cell>
          <cell r="S1855" t="str">
            <v/>
          </cell>
          <cell r="V1855" t="str">
            <v/>
          </cell>
          <cell r="Z1855" t="str">
            <v/>
          </cell>
          <cell r="AA1855" t="str">
            <v/>
          </cell>
          <cell r="AB1855" t="str">
            <v/>
          </cell>
          <cell r="AC1855" t="str">
            <v/>
          </cell>
          <cell r="AD1855" t="str">
            <v/>
          </cell>
          <cell r="AY1855" t="str">
            <v/>
          </cell>
          <cell r="AZ1855" t="str">
            <v/>
          </cell>
          <cell r="BA1855" t="str">
            <v/>
          </cell>
        </row>
        <row r="1856">
          <cell r="B1856" t="str">
            <v>-</v>
          </cell>
          <cell r="E1856" t="str">
            <v/>
          </cell>
          <cell r="G1856" t="str">
            <v/>
          </cell>
          <cell r="J1856" t="str">
            <v/>
          </cell>
          <cell r="O1856" t="str">
            <v/>
          </cell>
          <cell r="P1856" t="str">
            <v/>
          </cell>
          <cell r="Q1856" t="str">
            <v/>
          </cell>
          <cell r="S1856" t="str">
            <v/>
          </cell>
          <cell r="V1856" t="str">
            <v/>
          </cell>
          <cell r="Z1856" t="str">
            <v/>
          </cell>
          <cell r="AA1856" t="str">
            <v/>
          </cell>
          <cell r="AB1856" t="str">
            <v/>
          </cell>
          <cell r="AC1856" t="str">
            <v/>
          </cell>
          <cell r="AD1856" t="str">
            <v/>
          </cell>
          <cell r="AY1856" t="str">
            <v/>
          </cell>
          <cell r="AZ1856" t="str">
            <v/>
          </cell>
          <cell r="BA1856" t="str">
            <v/>
          </cell>
        </row>
        <row r="1857">
          <cell r="B1857" t="str">
            <v>-</v>
          </cell>
          <cell r="E1857" t="str">
            <v/>
          </cell>
          <cell r="G1857" t="str">
            <v/>
          </cell>
          <cell r="J1857" t="str">
            <v/>
          </cell>
          <cell r="O1857" t="str">
            <v/>
          </cell>
          <cell r="P1857" t="str">
            <v/>
          </cell>
          <cell r="Q1857" t="str">
            <v/>
          </cell>
          <cell r="S1857" t="str">
            <v/>
          </cell>
          <cell r="V1857" t="str">
            <v/>
          </cell>
          <cell r="Z1857" t="str">
            <v/>
          </cell>
          <cell r="AA1857" t="str">
            <v/>
          </cell>
          <cell r="AB1857" t="str">
            <v/>
          </cell>
          <cell r="AC1857" t="str">
            <v/>
          </cell>
          <cell r="AD1857" t="str">
            <v/>
          </cell>
          <cell r="AY1857" t="str">
            <v/>
          </cell>
          <cell r="AZ1857" t="str">
            <v/>
          </cell>
          <cell r="BA1857" t="str">
            <v/>
          </cell>
        </row>
        <row r="1858">
          <cell r="B1858" t="str">
            <v>-</v>
          </cell>
          <cell r="E1858" t="str">
            <v/>
          </cell>
          <cell r="G1858" t="str">
            <v/>
          </cell>
          <cell r="J1858" t="str">
            <v/>
          </cell>
          <cell r="O1858" t="str">
            <v/>
          </cell>
          <cell r="P1858" t="str">
            <v/>
          </cell>
          <cell r="Q1858" t="str">
            <v/>
          </cell>
          <cell r="S1858" t="str">
            <v/>
          </cell>
          <cell r="V1858" t="str">
            <v/>
          </cell>
          <cell r="Z1858" t="str">
            <v/>
          </cell>
          <cell r="AA1858" t="str">
            <v/>
          </cell>
          <cell r="AB1858" t="str">
            <v/>
          </cell>
          <cell r="AC1858" t="str">
            <v/>
          </cell>
          <cell r="AD1858" t="str">
            <v/>
          </cell>
          <cell r="AY1858" t="str">
            <v/>
          </cell>
          <cell r="AZ1858" t="str">
            <v/>
          </cell>
          <cell r="BA1858" t="str">
            <v/>
          </cell>
        </row>
        <row r="1859">
          <cell r="B1859" t="str">
            <v>-</v>
          </cell>
          <cell r="E1859" t="str">
            <v/>
          </cell>
          <cell r="G1859" t="str">
            <v/>
          </cell>
          <cell r="J1859" t="str">
            <v/>
          </cell>
          <cell r="O1859" t="str">
            <v/>
          </cell>
          <cell r="P1859" t="str">
            <v/>
          </cell>
          <cell r="Q1859" t="str">
            <v/>
          </cell>
          <cell r="S1859" t="str">
            <v/>
          </cell>
          <cell r="V1859" t="str">
            <v/>
          </cell>
          <cell r="Z1859" t="str">
            <v/>
          </cell>
          <cell r="AA1859" t="str">
            <v/>
          </cell>
          <cell r="AB1859" t="str">
            <v/>
          </cell>
          <cell r="AC1859" t="str">
            <v/>
          </cell>
          <cell r="AD1859" t="str">
            <v/>
          </cell>
          <cell r="AY1859" t="str">
            <v/>
          </cell>
          <cell r="AZ1859" t="str">
            <v/>
          </cell>
          <cell r="BA1859" t="str">
            <v/>
          </cell>
        </row>
        <row r="1860">
          <cell r="B1860" t="str">
            <v>-</v>
          </cell>
          <cell r="E1860" t="str">
            <v/>
          </cell>
          <cell r="G1860" t="str">
            <v/>
          </cell>
          <cell r="J1860" t="str">
            <v/>
          </cell>
          <cell r="O1860" t="str">
            <v/>
          </cell>
          <cell r="P1860" t="str">
            <v/>
          </cell>
          <cell r="Q1860" t="str">
            <v/>
          </cell>
          <cell r="S1860" t="str">
            <v/>
          </cell>
          <cell r="V1860" t="str">
            <v/>
          </cell>
          <cell r="Z1860" t="str">
            <v/>
          </cell>
          <cell r="AA1860" t="str">
            <v/>
          </cell>
          <cell r="AB1860" t="str">
            <v/>
          </cell>
          <cell r="AC1860" t="str">
            <v/>
          </cell>
          <cell r="AD1860" t="str">
            <v/>
          </cell>
          <cell r="AY1860" t="str">
            <v/>
          </cell>
          <cell r="AZ1860" t="str">
            <v/>
          </cell>
          <cell r="BA1860" t="str">
            <v/>
          </cell>
        </row>
        <row r="1861">
          <cell r="B1861" t="str">
            <v>-</v>
          </cell>
          <cell r="E1861" t="str">
            <v/>
          </cell>
          <cell r="G1861" t="str">
            <v/>
          </cell>
          <cell r="J1861" t="str">
            <v/>
          </cell>
          <cell r="O1861" t="str">
            <v/>
          </cell>
          <cell r="P1861" t="str">
            <v/>
          </cell>
          <cell r="Q1861" t="str">
            <v/>
          </cell>
          <cell r="S1861" t="str">
            <v/>
          </cell>
          <cell r="V1861" t="str">
            <v/>
          </cell>
          <cell r="Z1861" t="str">
            <v/>
          </cell>
          <cell r="AA1861" t="str">
            <v/>
          </cell>
          <cell r="AB1861" t="str">
            <v/>
          </cell>
          <cell r="AC1861" t="str">
            <v/>
          </cell>
          <cell r="AD1861" t="str">
            <v/>
          </cell>
          <cell r="AY1861" t="str">
            <v/>
          </cell>
          <cell r="AZ1861" t="str">
            <v/>
          </cell>
          <cell r="BA1861" t="str">
            <v/>
          </cell>
        </row>
        <row r="1862">
          <cell r="B1862" t="str">
            <v>-</v>
          </cell>
          <cell r="E1862" t="str">
            <v/>
          </cell>
          <cell r="G1862" t="str">
            <v/>
          </cell>
          <cell r="J1862" t="str">
            <v/>
          </cell>
          <cell r="O1862" t="str">
            <v/>
          </cell>
          <cell r="P1862" t="str">
            <v/>
          </cell>
          <cell r="Q1862" t="str">
            <v/>
          </cell>
          <cell r="S1862" t="str">
            <v/>
          </cell>
          <cell r="V1862" t="str">
            <v/>
          </cell>
          <cell r="Z1862" t="str">
            <v/>
          </cell>
          <cell r="AA1862" t="str">
            <v/>
          </cell>
          <cell r="AB1862" t="str">
            <v/>
          </cell>
          <cell r="AC1862" t="str">
            <v/>
          </cell>
          <cell r="AD1862" t="str">
            <v/>
          </cell>
          <cell r="AY1862" t="str">
            <v/>
          </cell>
          <cell r="AZ1862" t="str">
            <v/>
          </cell>
          <cell r="BA1862" t="str">
            <v/>
          </cell>
        </row>
        <row r="1863">
          <cell r="B1863" t="str">
            <v>-</v>
          </cell>
          <cell r="E1863" t="str">
            <v/>
          </cell>
          <cell r="G1863" t="str">
            <v/>
          </cell>
          <cell r="J1863" t="str">
            <v/>
          </cell>
          <cell r="O1863" t="str">
            <v/>
          </cell>
          <cell r="P1863" t="str">
            <v/>
          </cell>
          <cell r="Q1863" t="str">
            <v/>
          </cell>
          <cell r="S1863" t="str">
            <v/>
          </cell>
          <cell r="V1863" t="str">
            <v/>
          </cell>
          <cell r="Z1863" t="str">
            <v/>
          </cell>
          <cell r="AA1863" t="str">
            <v/>
          </cell>
          <cell r="AB1863" t="str">
            <v/>
          </cell>
          <cell r="AC1863" t="str">
            <v/>
          </cell>
          <cell r="AD1863" t="str">
            <v/>
          </cell>
          <cell r="AY1863" t="str">
            <v/>
          </cell>
          <cell r="AZ1863" t="str">
            <v/>
          </cell>
          <cell r="BA1863" t="str">
            <v/>
          </cell>
        </row>
        <row r="1864">
          <cell r="B1864" t="str">
            <v>-</v>
          </cell>
          <cell r="E1864" t="str">
            <v/>
          </cell>
          <cell r="G1864" t="str">
            <v/>
          </cell>
          <cell r="J1864" t="str">
            <v/>
          </cell>
          <cell r="O1864" t="str">
            <v/>
          </cell>
          <cell r="P1864" t="str">
            <v/>
          </cell>
          <cell r="Q1864" t="str">
            <v/>
          </cell>
          <cell r="S1864" t="str">
            <v/>
          </cell>
          <cell r="V1864" t="str">
            <v/>
          </cell>
          <cell r="Z1864" t="str">
            <v/>
          </cell>
          <cell r="AA1864" t="str">
            <v/>
          </cell>
          <cell r="AB1864" t="str">
            <v/>
          </cell>
          <cell r="AC1864" t="str">
            <v/>
          </cell>
          <cell r="AD1864" t="str">
            <v/>
          </cell>
          <cell r="AY1864" t="str">
            <v/>
          </cell>
          <cell r="AZ1864" t="str">
            <v/>
          </cell>
          <cell r="BA1864" t="str">
            <v/>
          </cell>
        </row>
        <row r="1865">
          <cell r="B1865" t="str">
            <v>-</v>
          </cell>
          <cell r="E1865" t="str">
            <v/>
          </cell>
          <cell r="G1865" t="str">
            <v/>
          </cell>
          <cell r="J1865" t="str">
            <v/>
          </cell>
          <cell r="O1865" t="str">
            <v/>
          </cell>
          <cell r="P1865" t="str">
            <v/>
          </cell>
          <cell r="Q1865" t="str">
            <v/>
          </cell>
          <cell r="S1865" t="str">
            <v/>
          </cell>
          <cell r="V1865" t="str">
            <v/>
          </cell>
          <cell r="Z1865" t="str">
            <v/>
          </cell>
          <cell r="AA1865" t="str">
            <v/>
          </cell>
          <cell r="AB1865" t="str">
            <v/>
          </cell>
          <cell r="AC1865" t="str">
            <v/>
          </cell>
          <cell r="AD1865" t="str">
            <v/>
          </cell>
          <cell r="AY1865" t="str">
            <v/>
          </cell>
          <cell r="AZ1865" t="str">
            <v/>
          </cell>
          <cell r="BA1865" t="str">
            <v/>
          </cell>
        </row>
        <row r="1866">
          <cell r="B1866" t="str">
            <v>-</v>
          </cell>
          <cell r="E1866" t="str">
            <v/>
          </cell>
          <cell r="G1866" t="str">
            <v/>
          </cell>
          <cell r="J1866" t="str">
            <v/>
          </cell>
          <cell r="O1866" t="str">
            <v/>
          </cell>
          <cell r="P1866" t="str">
            <v/>
          </cell>
          <cell r="Q1866" t="str">
            <v/>
          </cell>
          <cell r="S1866" t="str">
            <v/>
          </cell>
          <cell r="V1866" t="str">
            <v/>
          </cell>
          <cell r="Z1866" t="str">
            <v/>
          </cell>
          <cell r="AA1866" t="str">
            <v/>
          </cell>
          <cell r="AB1866" t="str">
            <v/>
          </cell>
          <cell r="AC1866" t="str">
            <v/>
          </cell>
          <cell r="AD1866" t="str">
            <v/>
          </cell>
          <cell r="AY1866" t="str">
            <v/>
          </cell>
          <cell r="AZ1866" t="str">
            <v/>
          </cell>
          <cell r="BA1866" t="str">
            <v/>
          </cell>
        </row>
        <row r="1867">
          <cell r="B1867" t="str">
            <v>-</v>
          </cell>
          <cell r="E1867" t="str">
            <v/>
          </cell>
          <cell r="G1867" t="str">
            <v/>
          </cell>
          <cell r="J1867" t="str">
            <v/>
          </cell>
          <cell r="O1867" t="str">
            <v/>
          </cell>
          <cell r="P1867" t="str">
            <v/>
          </cell>
          <cell r="Q1867" t="str">
            <v/>
          </cell>
          <cell r="S1867" t="str">
            <v/>
          </cell>
          <cell r="V1867" t="str">
            <v/>
          </cell>
          <cell r="Z1867" t="str">
            <v/>
          </cell>
          <cell r="AA1867" t="str">
            <v/>
          </cell>
          <cell r="AB1867" t="str">
            <v/>
          </cell>
          <cell r="AC1867" t="str">
            <v/>
          </cell>
          <cell r="AD1867" t="str">
            <v/>
          </cell>
          <cell r="AY1867" t="str">
            <v/>
          </cell>
          <cell r="AZ1867" t="str">
            <v/>
          </cell>
          <cell r="BA1867" t="str">
            <v/>
          </cell>
        </row>
        <row r="1868">
          <cell r="B1868" t="str">
            <v>-</v>
          </cell>
          <cell r="E1868" t="str">
            <v/>
          </cell>
          <cell r="G1868" t="str">
            <v/>
          </cell>
          <cell r="J1868" t="str">
            <v/>
          </cell>
          <cell r="O1868" t="str">
            <v/>
          </cell>
          <cell r="P1868" t="str">
            <v/>
          </cell>
          <cell r="Q1868" t="str">
            <v/>
          </cell>
          <cell r="S1868" t="str">
            <v/>
          </cell>
          <cell r="V1868" t="str">
            <v/>
          </cell>
          <cell r="Z1868" t="str">
            <v/>
          </cell>
          <cell r="AA1868" t="str">
            <v/>
          </cell>
          <cell r="AB1868" t="str">
            <v/>
          </cell>
          <cell r="AC1868" t="str">
            <v/>
          </cell>
          <cell r="AD1868" t="str">
            <v/>
          </cell>
          <cell r="AY1868" t="str">
            <v/>
          </cell>
          <cell r="AZ1868" t="str">
            <v/>
          </cell>
          <cell r="BA1868" t="str">
            <v/>
          </cell>
        </row>
        <row r="1869">
          <cell r="B1869" t="str">
            <v>-</v>
          </cell>
          <cell r="E1869" t="str">
            <v/>
          </cell>
          <cell r="G1869" t="str">
            <v/>
          </cell>
          <cell r="J1869" t="str">
            <v/>
          </cell>
          <cell r="O1869" t="str">
            <v/>
          </cell>
          <cell r="P1869" t="str">
            <v/>
          </cell>
          <cell r="Q1869" t="str">
            <v/>
          </cell>
          <cell r="S1869" t="str">
            <v/>
          </cell>
          <cell r="V1869" t="str">
            <v/>
          </cell>
          <cell r="Z1869" t="str">
            <v/>
          </cell>
          <cell r="AA1869" t="str">
            <v/>
          </cell>
          <cell r="AB1869" t="str">
            <v/>
          </cell>
          <cell r="AC1869" t="str">
            <v/>
          </cell>
          <cell r="AD1869" t="str">
            <v/>
          </cell>
          <cell r="AY1869" t="str">
            <v/>
          </cell>
          <cell r="AZ1869" t="str">
            <v/>
          </cell>
          <cell r="BA1869" t="str">
            <v/>
          </cell>
        </row>
        <row r="1870">
          <cell r="B1870" t="str">
            <v>-</v>
          </cell>
          <cell r="E1870" t="str">
            <v/>
          </cell>
          <cell r="G1870" t="str">
            <v/>
          </cell>
          <cell r="J1870" t="str">
            <v/>
          </cell>
          <cell r="O1870" t="str">
            <v/>
          </cell>
          <cell r="P1870" t="str">
            <v/>
          </cell>
          <cell r="Q1870" t="str">
            <v/>
          </cell>
          <cell r="S1870" t="str">
            <v/>
          </cell>
          <cell r="V1870" t="str">
            <v/>
          </cell>
          <cell r="Z1870" t="str">
            <v/>
          </cell>
          <cell r="AA1870" t="str">
            <v/>
          </cell>
          <cell r="AB1870" t="str">
            <v/>
          </cell>
          <cell r="AC1870" t="str">
            <v/>
          </cell>
          <cell r="AD1870" t="str">
            <v/>
          </cell>
          <cell r="AY1870" t="str">
            <v/>
          </cell>
          <cell r="AZ1870" t="str">
            <v/>
          </cell>
          <cell r="BA1870" t="str">
            <v/>
          </cell>
        </row>
        <row r="1871">
          <cell r="B1871" t="str">
            <v>-</v>
          </cell>
          <cell r="E1871" t="str">
            <v/>
          </cell>
          <cell r="G1871" t="str">
            <v/>
          </cell>
          <cell r="J1871" t="str">
            <v/>
          </cell>
          <cell r="O1871" t="str">
            <v/>
          </cell>
          <cell r="P1871" t="str">
            <v/>
          </cell>
          <cell r="Q1871" t="str">
            <v/>
          </cell>
          <cell r="S1871" t="str">
            <v/>
          </cell>
          <cell r="V1871" t="str">
            <v/>
          </cell>
          <cell r="Z1871" t="str">
            <v/>
          </cell>
          <cell r="AA1871" t="str">
            <v/>
          </cell>
          <cell r="AB1871" t="str">
            <v/>
          </cell>
          <cell r="AC1871" t="str">
            <v/>
          </cell>
          <cell r="AD1871" t="str">
            <v/>
          </cell>
          <cell r="AY1871" t="str">
            <v/>
          </cell>
          <cell r="AZ1871" t="str">
            <v/>
          </cell>
          <cell r="BA1871" t="str">
            <v/>
          </cell>
        </row>
        <row r="1872">
          <cell r="B1872" t="str">
            <v>-</v>
          </cell>
          <cell r="E1872" t="str">
            <v/>
          </cell>
          <cell r="G1872" t="str">
            <v/>
          </cell>
          <cell r="J1872" t="str">
            <v/>
          </cell>
          <cell r="O1872" t="str">
            <v/>
          </cell>
          <cell r="P1872" t="str">
            <v/>
          </cell>
          <cell r="Q1872" t="str">
            <v/>
          </cell>
          <cell r="S1872" t="str">
            <v/>
          </cell>
          <cell r="V1872" t="str">
            <v/>
          </cell>
          <cell r="Z1872" t="str">
            <v/>
          </cell>
          <cell r="AA1872" t="str">
            <v/>
          </cell>
          <cell r="AB1872" t="str">
            <v/>
          </cell>
          <cell r="AC1872" t="str">
            <v/>
          </cell>
          <cell r="AD1872" t="str">
            <v/>
          </cell>
          <cell r="AY1872" t="str">
            <v/>
          </cell>
          <cell r="AZ1872" t="str">
            <v/>
          </cell>
          <cell r="BA1872" t="str">
            <v/>
          </cell>
        </row>
        <row r="1873">
          <cell r="B1873" t="str">
            <v>-</v>
          </cell>
          <cell r="E1873" t="str">
            <v/>
          </cell>
          <cell r="G1873" t="str">
            <v/>
          </cell>
          <cell r="J1873" t="str">
            <v/>
          </cell>
          <cell r="O1873" t="str">
            <v/>
          </cell>
          <cell r="P1873" t="str">
            <v/>
          </cell>
          <cell r="Q1873" t="str">
            <v/>
          </cell>
          <cell r="S1873" t="str">
            <v/>
          </cell>
          <cell r="V1873" t="str">
            <v/>
          </cell>
          <cell r="Z1873" t="str">
            <v/>
          </cell>
          <cell r="AA1873" t="str">
            <v/>
          </cell>
          <cell r="AB1873" t="str">
            <v/>
          </cell>
          <cell r="AC1873" t="str">
            <v/>
          </cell>
          <cell r="AD1873" t="str">
            <v/>
          </cell>
          <cell r="AY1873" t="str">
            <v/>
          </cell>
          <cell r="AZ1873" t="str">
            <v/>
          </cell>
          <cell r="BA1873" t="str">
            <v/>
          </cell>
        </row>
        <row r="1874">
          <cell r="B1874" t="str">
            <v>-</v>
          </cell>
          <cell r="E1874" t="str">
            <v/>
          </cell>
          <cell r="G1874" t="str">
            <v/>
          </cell>
          <cell r="J1874" t="str">
            <v/>
          </cell>
          <cell r="O1874" t="str">
            <v/>
          </cell>
          <cell r="P1874" t="str">
            <v/>
          </cell>
          <cell r="Q1874" t="str">
            <v/>
          </cell>
          <cell r="S1874" t="str">
            <v/>
          </cell>
          <cell r="V1874" t="str">
            <v/>
          </cell>
          <cell r="Z1874" t="str">
            <v/>
          </cell>
          <cell r="AA1874" t="str">
            <v/>
          </cell>
          <cell r="AB1874" t="str">
            <v/>
          </cell>
          <cell r="AC1874" t="str">
            <v/>
          </cell>
          <cell r="AD1874" t="str">
            <v/>
          </cell>
          <cell r="AY1874" t="str">
            <v/>
          </cell>
          <cell r="AZ1874" t="str">
            <v/>
          </cell>
          <cell r="BA1874" t="str">
            <v/>
          </cell>
        </row>
        <row r="1875">
          <cell r="B1875" t="str">
            <v>-</v>
          </cell>
          <cell r="E1875" t="str">
            <v/>
          </cell>
          <cell r="G1875" t="str">
            <v/>
          </cell>
          <cell r="J1875" t="str">
            <v/>
          </cell>
          <cell r="O1875" t="str">
            <v/>
          </cell>
          <cell r="P1875" t="str">
            <v/>
          </cell>
          <cell r="Q1875" t="str">
            <v/>
          </cell>
          <cell r="S1875" t="str">
            <v/>
          </cell>
          <cell r="V1875" t="str">
            <v/>
          </cell>
          <cell r="Z1875" t="str">
            <v/>
          </cell>
          <cell r="AA1875" t="str">
            <v/>
          </cell>
          <cell r="AB1875" t="str">
            <v/>
          </cell>
          <cell r="AC1875" t="str">
            <v/>
          </cell>
          <cell r="AD1875" t="str">
            <v/>
          </cell>
          <cell r="AY1875" t="str">
            <v/>
          </cell>
          <cell r="AZ1875" t="str">
            <v/>
          </cell>
          <cell r="BA1875" t="str">
            <v/>
          </cell>
        </row>
        <row r="1876">
          <cell r="B1876" t="str">
            <v>-</v>
          </cell>
          <cell r="E1876" t="str">
            <v/>
          </cell>
          <cell r="G1876" t="str">
            <v/>
          </cell>
          <cell r="J1876" t="str">
            <v/>
          </cell>
          <cell r="O1876" t="str">
            <v/>
          </cell>
          <cell r="P1876" t="str">
            <v/>
          </cell>
          <cell r="Q1876" t="str">
            <v/>
          </cell>
          <cell r="S1876" t="str">
            <v/>
          </cell>
          <cell r="V1876" t="str">
            <v/>
          </cell>
          <cell r="Z1876" t="str">
            <v/>
          </cell>
          <cell r="AA1876" t="str">
            <v/>
          </cell>
          <cell r="AB1876" t="str">
            <v/>
          </cell>
          <cell r="AC1876" t="str">
            <v/>
          </cell>
          <cell r="AD1876" t="str">
            <v/>
          </cell>
          <cell r="AY1876" t="str">
            <v/>
          </cell>
          <cell r="AZ1876" t="str">
            <v/>
          </cell>
          <cell r="BA1876" t="str">
            <v/>
          </cell>
        </row>
        <row r="1877">
          <cell r="B1877" t="str">
            <v>-</v>
          </cell>
          <cell r="E1877" t="str">
            <v/>
          </cell>
          <cell r="G1877" t="str">
            <v/>
          </cell>
          <cell r="J1877" t="str">
            <v/>
          </cell>
          <cell r="O1877" t="str">
            <v/>
          </cell>
          <cell r="P1877" t="str">
            <v/>
          </cell>
          <cell r="Q1877" t="str">
            <v/>
          </cell>
          <cell r="S1877" t="str">
            <v/>
          </cell>
          <cell r="V1877" t="str">
            <v/>
          </cell>
          <cell r="Z1877" t="str">
            <v/>
          </cell>
          <cell r="AA1877" t="str">
            <v/>
          </cell>
          <cell r="AB1877" t="str">
            <v/>
          </cell>
          <cell r="AC1877" t="str">
            <v/>
          </cell>
          <cell r="AD1877" t="str">
            <v/>
          </cell>
          <cell r="AY1877" t="str">
            <v/>
          </cell>
          <cell r="AZ1877" t="str">
            <v/>
          </cell>
          <cell r="BA1877" t="str">
            <v/>
          </cell>
        </row>
        <row r="1878">
          <cell r="B1878" t="str">
            <v>-</v>
          </cell>
          <cell r="E1878" t="str">
            <v/>
          </cell>
          <cell r="G1878" t="str">
            <v/>
          </cell>
          <cell r="J1878" t="str">
            <v/>
          </cell>
          <cell r="O1878" t="str">
            <v/>
          </cell>
          <cell r="P1878" t="str">
            <v/>
          </cell>
          <cell r="Q1878" t="str">
            <v/>
          </cell>
          <cell r="S1878" t="str">
            <v/>
          </cell>
          <cell r="V1878" t="str">
            <v/>
          </cell>
          <cell r="Z1878" t="str">
            <v/>
          </cell>
          <cell r="AA1878" t="str">
            <v/>
          </cell>
          <cell r="AB1878" t="str">
            <v/>
          </cell>
          <cell r="AC1878" t="str">
            <v/>
          </cell>
          <cell r="AD1878" t="str">
            <v/>
          </cell>
          <cell r="AY1878" t="str">
            <v/>
          </cell>
          <cell r="AZ1878" t="str">
            <v/>
          </cell>
          <cell r="BA1878" t="str">
            <v/>
          </cell>
        </row>
        <row r="1879">
          <cell r="B1879" t="str">
            <v>-</v>
          </cell>
          <cell r="E1879" t="str">
            <v/>
          </cell>
          <cell r="G1879" t="str">
            <v/>
          </cell>
          <cell r="J1879" t="str">
            <v/>
          </cell>
          <cell r="O1879" t="str">
            <v/>
          </cell>
          <cell r="P1879" t="str">
            <v/>
          </cell>
          <cell r="Q1879" t="str">
            <v/>
          </cell>
          <cell r="S1879" t="str">
            <v/>
          </cell>
          <cell r="V1879" t="str">
            <v/>
          </cell>
          <cell r="Z1879" t="str">
            <v/>
          </cell>
          <cell r="AA1879" t="str">
            <v/>
          </cell>
          <cell r="AB1879" t="str">
            <v/>
          </cell>
          <cell r="AC1879" t="str">
            <v/>
          </cell>
          <cell r="AD1879" t="str">
            <v/>
          </cell>
          <cell r="AY1879" t="str">
            <v/>
          </cell>
          <cell r="AZ1879" t="str">
            <v/>
          </cell>
          <cell r="BA1879" t="str">
            <v/>
          </cell>
        </row>
        <row r="1880">
          <cell r="B1880" t="str">
            <v>-</v>
          </cell>
          <cell r="E1880" t="str">
            <v/>
          </cell>
          <cell r="G1880" t="str">
            <v/>
          </cell>
          <cell r="J1880" t="str">
            <v/>
          </cell>
          <cell r="O1880" t="str">
            <v/>
          </cell>
          <cell r="P1880" t="str">
            <v/>
          </cell>
          <cell r="Q1880" t="str">
            <v/>
          </cell>
          <cell r="S1880" t="str">
            <v/>
          </cell>
          <cell r="V1880" t="str">
            <v/>
          </cell>
          <cell r="Z1880" t="str">
            <v/>
          </cell>
          <cell r="AA1880" t="str">
            <v/>
          </cell>
          <cell r="AB1880" t="str">
            <v/>
          </cell>
          <cell r="AC1880" t="str">
            <v/>
          </cell>
          <cell r="AD1880" t="str">
            <v/>
          </cell>
          <cell r="AY1880" t="str">
            <v/>
          </cell>
          <cell r="AZ1880" t="str">
            <v/>
          </cell>
          <cell r="BA1880" t="str">
            <v/>
          </cell>
        </row>
        <row r="1881">
          <cell r="B1881" t="str">
            <v>-</v>
          </cell>
          <cell r="E1881" t="str">
            <v/>
          </cell>
          <cell r="G1881" t="str">
            <v/>
          </cell>
          <cell r="J1881" t="str">
            <v/>
          </cell>
          <cell r="O1881" t="str">
            <v/>
          </cell>
          <cell r="P1881" t="str">
            <v/>
          </cell>
          <cell r="Q1881" t="str">
            <v/>
          </cell>
          <cell r="S1881" t="str">
            <v/>
          </cell>
          <cell r="V1881" t="str">
            <v/>
          </cell>
          <cell r="Z1881" t="str">
            <v/>
          </cell>
          <cell r="AA1881" t="str">
            <v/>
          </cell>
          <cell r="AB1881" t="str">
            <v/>
          </cell>
          <cell r="AC1881" t="str">
            <v/>
          </cell>
          <cell r="AD1881" t="str">
            <v/>
          </cell>
          <cell r="AY1881" t="str">
            <v/>
          </cell>
          <cell r="AZ1881" t="str">
            <v/>
          </cell>
          <cell r="BA1881" t="str">
            <v/>
          </cell>
        </row>
        <row r="1882">
          <cell r="B1882" t="str">
            <v>-</v>
          </cell>
          <cell r="E1882" t="str">
            <v/>
          </cell>
          <cell r="G1882" t="str">
            <v/>
          </cell>
          <cell r="J1882" t="str">
            <v/>
          </cell>
          <cell r="O1882" t="str">
            <v/>
          </cell>
          <cell r="P1882" t="str">
            <v/>
          </cell>
          <cell r="Q1882" t="str">
            <v/>
          </cell>
          <cell r="S1882" t="str">
            <v/>
          </cell>
          <cell r="V1882" t="str">
            <v/>
          </cell>
          <cell r="Z1882" t="str">
            <v/>
          </cell>
          <cell r="AA1882" t="str">
            <v/>
          </cell>
          <cell r="AB1882" t="str">
            <v/>
          </cell>
          <cell r="AC1882" t="str">
            <v/>
          </cell>
          <cell r="AD1882" t="str">
            <v/>
          </cell>
          <cell r="AY1882" t="str">
            <v/>
          </cell>
          <cell r="AZ1882" t="str">
            <v/>
          </cell>
          <cell r="BA1882" t="str">
            <v/>
          </cell>
        </row>
        <row r="1883">
          <cell r="B1883" t="str">
            <v>-</v>
          </cell>
          <cell r="E1883" t="str">
            <v/>
          </cell>
          <cell r="G1883" t="str">
            <v/>
          </cell>
          <cell r="J1883" t="str">
            <v/>
          </cell>
          <cell r="O1883" t="str">
            <v/>
          </cell>
          <cell r="P1883" t="str">
            <v/>
          </cell>
          <cell r="Q1883" t="str">
            <v/>
          </cell>
          <cell r="S1883" t="str">
            <v/>
          </cell>
          <cell r="V1883" t="str">
            <v/>
          </cell>
          <cell r="Z1883" t="str">
            <v/>
          </cell>
          <cell r="AA1883" t="str">
            <v/>
          </cell>
          <cell r="AB1883" t="str">
            <v/>
          </cell>
          <cell r="AC1883" t="str">
            <v/>
          </cell>
          <cell r="AD1883" t="str">
            <v/>
          </cell>
          <cell r="AY1883" t="str">
            <v/>
          </cell>
          <cell r="AZ1883" t="str">
            <v/>
          </cell>
          <cell r="BA1883" t="str">
            <v/>
          </cell>
        </row>
        <row r="1884">
          <cell r="B1884" t="str">
            <v>-</v>
          </cell>
          <cell r="E1884" t="str">
            <v/>
          </cell>
          <cell r="G1884" t="str">
            <v/>
          </cell>
          <cell r="J1884" t="str">
            <v/>
          </cell>
          <cell r="O1884" t="str">
            <v/>
          </cell>
          <cell r="P1884" t="str">
            <v/>
          </cell>
          <cell r="Q1884" t="str">
            <v/>
          </cell>
          <cell r="S1884" t="str">
            <v/>
          </cell>
          <cell r="V1884" t="str">
            <v/>
          </cell>
          <cell r="Z1884" t="str">
            <v/>
          </cell>
          <cell r="AA1884" t="str">
            <v/>
          </cell>
          <cell r="AB1884" t="str">
            <v/>
          </cell>
          <cell r="AC1884" t="str">
            <v/>
          </cell>
          <cell r="AD1884" t="str">
            <v/>
          </cell>
          <cell r="AY1884" t="str">
            <v/>
          </cell>
          <cell r="AZ1884" t="str">
            <v/>
          </cell>
          <cell r="BA1884" t="str">
            <v/>
          </cell>
        </row>
        <row r="1885">
          <cell r="B1885" t="str">
            <v>-</v>
          </cell>
          <cell r="E1885" t="str">
            <v/>
          </cell>
          <cell r="G1885" t="str">
            <v/>
          </cell>
          <cell r="J1885" t="str">
            <v/>
          </cell>
          <cell r="O1885" t="str">
            <v/>
          </cell>
          <cell r="P1885" t="str">
            <v/>
          </cell>
          <cell r="Q1885" t="str">
            <v/>
          </cell>
          <cell r="S1885" t="str">
            <v/>
          </cell>
          <cell r="V1885" t="str">
            <v/>
          </cell>
          <cell r="Z1885" t="str">
            <v/>
          </cell>
          <cell r="AA1885" t="str">
            <v/>
          </cell>
          <cell r="AB1885" t="str">
            <v/>
          </cell>
          <cell r="AC1885" t="str">
            <v/>
          </cell>
          <cell r="AD1885" t="str">
            <v/>
          </cell>
          <cell r="AY1885" t="str">
            <v/>
          </cell>
          <cell r="AZ1885" t="str">
            <v/>
          </cell>
          <cell r="BA1885" t="str">
            <v/>
          </cell>
        </row>
        <row r="1886">
          <cell r="B1886" t="str">
            <v>-</v>
          </cell>
          <cell r="E1886" t="str">
            <v/>
          </cell>
          <cell r="G1886" t="str">
            <v/>
          </cell>
          <cell r="J1886" t="str">
            <v/>
          </cell>
          <cell r="O1886" t="str">
            <v/>
          </cell>
          <cell r="P1886" t="str">
            <v/>
          </cell>
          <cell r="Q1886" t="str">
            <v/>
          </cell>
          <cell r="S1886" t="str">
            <v/>
          </cell>
          <cell r="V1886" t="str">
            <v/>
          </cell>
          <cell r="Z1886" t="str">
            <v/>
          </cell>
          <cell r="AA1886" t="str">
            <v/>
          </cell>
          <cell r="AB1886" t="str">
            <v/>
          </cell>
          <cell r="AC1886" t="str">
            <v/>
          </cell>
          <cell r="AD1886" t="str">
            <v/>
          </cell>
          <cell r="AY1886" t="str">
            <v/>
          </cell>
          <cell r="AZ1886" t="str">
            <v/>
          </cell>
          <cell r="BA1886" t="str">
            <v/>
          </cell>
        </row>
        <row r="1887">
          <cell r="B1887" t="str">
            <v>-</v>
          </cell>
          <cell r="E1887" t="str">
            <v/>
          </cell>
          <cell r="G1887" t="str">
            <v/>
          </cell>
          <cell r="J1887" t="str">
            <v/>
          </cell>
          <cell r="O1887" t="str">
            <v/>
          </cell>
          <cell r="P1887" t="str">
            <v/>
          </cell>
          <cell r="Q1887" t="str">
            <v/>
          </cell>
          <cell r="S1887" t="str">
            <v/>
          </cell>
          <cell r="V1887" t="str">
            <v/>
          </cell>
          <cell r="Z1887" t="str">
            <v/>
          </cell>
          <cell r="AA1887" t="str">
            <v/>
          </cell>
          <cell r="AB1887" t="str">
            <v/>
          </cell>
          <cell r="AC1887" t="str">
            <v/>
          </cell>
          <cell r="AD1887" t="str">
            <v/>
          </cell>
          <cell r="AY1887" t="str">
            <v/>
          </cell>
          <cell r="AZ1887" t="str">
            <v/>
          </cell>
          <cell r="BA1887" t="str">
            <v/>
          </cell>
        </row>
        <row r="1888">
          <cell r="B1888" t="str">
            <v>-</v>
          </cell>
          <cell r="E1888" t="str">
            <v/>
          </cell>
          <cell r="G1888" t="str">
            <v/>
          </cell>
          <cell r="J1888" t="str">
            <v/>
          </cell>
          <cell r="O1888" t="str">
            <v/>
          </cell>
          <cell r="P1888" t="str">
            <v/>
          </cell>
          <cell r="Q1888" t="str">
            <v/>
          </cell>
          <cell r="S1888" t="str">
            <v/>
          </cell>
          <cell r="V1888" t="str">
            <v/>
          </cell>
          <cell r="Z1888" t="str">
            <v/>
          </cell>
          <cell r="AA1888" t="str">
            <v/>
          </cell>
          <cell r="AB1888" t="str">
            <v/>
          </cell>
          <cell r="AC1888" t="str">
            <v/>
          </cell>
          <cell r="AD1888" t="str">
            <v/>
          </cell>
          <cell r="AY1888" t="str">
            <v/>
          </cell>
          <cell r="AZ1888" t="str">
            <v/>
          </cell>
          <cell r="BA1888" t="str">
            <v/>
          </cell>
        </row>
        <row r="1889">
          <cell r="B1889" t="str">
            <v>-</v>
          </cell>
          <cell r="E1889" t="str">
            <v/>
          </cell>
          <cell r="G1889" t="str">
            <v/>
          </cell>
          <cell r="J1889" t="str">
            <v/>
          </cell>
          <cell r="O1889" t="str">
            <v/>
          </cell>
          <cell r="P1889" t="str">
            <v/>
          </cell>
          <cell r="Q1889" t="str">
            <v/>
          </cell>
          <cell r="S1889" t="str">
            <v/>
          </cell>
          <cell r="V1889" t="str">
            <v/>
          </cell>
          <cell r="Z1889" t="str">
            <v/>
          </cell>
          <cell r="AA1889" t="str">
            <v/>
          </cell>
          <cell r="AB1889" t="str">
            <v/>
          </cell>
          <cell r="AC1889" t="str">
            <v/>
          </cell>
          <cell r="AD1889" t="str">
            <v/>
          </cell>
          <cell r="AY1889" t="str">
            <v/>
          </cell>
          <cell r="AZ1889" t="str">
            <v/>
          </cell>
          <cell r="BA1889" t="str">
            <v/>
          </cell>
        </row>
        <row r="1890">
          <cell r="B1890" t="str">
            <v>-</v>
          </cell>
          <cell r="E1890" t="str">
            <v/>
          </cell>
          <cell r="G1890" t="str">
            <v/>
          </cell>
          <cell r="J1890" t="str">
            <v/>
          </cell>
          <cell r="O1890" t="str">
            <v/>
          </cell>
          <cell r="P1890" t="str">
            <v/>
          </cell>
          <cell r="Q1890" t="str">
            <v/>
          </cell>
          <cell r="S1890" t="str">
            <v/>
          </cell>
          <cell r="V1890" t="str">
            <v/>
          </cell>
          <cell r="Z1890" t="str">
            <v/>
          </cell>
          <cell r="AA1890" t="str">
            <v/>
          </cell>
          <cell r="AB1890" t="str">
            <v/>
          </cell>
          <cell r="AC1890" t="str">
            <v/>
          </cell>
          <cell r="AD1890" t="str">
            <v/>
          </cell>
          <cell r="AY1890" t="str">
            <v/>
          </cell>
          <cell r="AZ1890" t="str">
            <v/>
          </cell>
          <cell r="BA1890" t="str">
            <v/>
          </cell>
        </row>
        <row r="1891">
          <cell r="B1891" t="str">
            <v>-</v>
          </cell>
          <cell r="E1891" t="str">
            <v/>
          </cell>
          <cell r="G1891" t="str">
            <v/>
          </cell>
          <cell r="J1891" t="str">
            <v/>
          </cell>
          <cell r="O1891" t="str">
            <v/>
          </cell>
          <cell r="P1891" t="str">
            <v/>
          </cell>
          <cell r="Q1891" t="str">
            <v/>
          </cell>
          <cell r="S1891" t="str">
            <v/>
          </cell>
          <cell r="V1891" t="str">
            <v/>
          </cell>
          <cell r="Z1891" t="str">
            <v/>
          </cell>
          <cell r="AA1891" t="str">
            <v/>
          </cell>
          <cell r="AB1891" t="str">
            <v/>
          </cell>
          <cell r="AC1891" t="str">
            <v/>
          </cell>
          <cell r="AD1891" t="str">
            <v/>
          </cell>
          <cell r="AY1891" t="str">
            <v/>
          </cell>
          <cell r="AZ1891" t="str">
            <v/>
          </cell>
          <cell r="BA1891" t="str">
            <v/>
          </cell>
        </row>
        <row r="1892">
          <cell r="B1892" t="str">
            <v>-</v>
          </cell>
          <cell r="E1892" t="str">
            <v/>
          </cell>
          <cell r="G1892" t="str">
            <v/>
          </cell>
          <cell r="J1892" t="str">
            <v/>
          </cell>
          <cell r="O1892" t="str">
            <v/>
          </cell>
          <cell r="P1892" t="str">
            <v/>
          </cell>
          <cell r="Q1892" t="str">
            <v/>
          </cell>
          <cell r="S1892" t="str">
            <v/>
          </cell>
          <cell r="V1892" t="str">
            <v/>
          </cell>
          <cell r="Z1892" t="str">
            <v/>
          </cell>
          <cell r="AA1892" t="str">
            <v/>
          </cell>
          <cell r="AB1892" t="str">
            <v/>
          </cell>
          <cell r="AC1892" t="str">
            <v/>
          </cell>
          <cell r="AD1892" t="str">
            <v/>
          </cell>
          <cell r="AY1892" t="str">
            <v/>
          </cell>
          <cell r="AZ1892" t="str">
            <v/>
          </cell>
          <cell r="BA1892" t="str">
            <v/>
          </cell>
        </row>
        <row r="1893">
          <cell r="B1893" t="str">
            <v>-</v>
          </cell>
          <cell r="E1893" t="str">
            <v/>
          </cell>
          <cell r="G1893" t="str">
            <v/>
          </cell>
          <cell r="J1893" t="str">
            <v/>
          </cell>
          <cell r="O1893" t="str">
            <v/>
          </cell>
          <cell r="P1893" t="str">
            <v/>
          </cell>
          <cell r="Q1893" t="str">
            <v/>
          </cell>
          <cell r="S1893" t="str">
            <v/>
          </cell>
          <cell r="V1893" t="str">
            <v/>
          </cell>
          <cell r="Z1893" t="str">
            <v/>
          </cell>
          <cell r="AA1893" t="str">
            <v/>
          </cell>
          <cell r="AB1893" t="str">
            <v/>
          </cell>
          <cell r="AC1893" t="str">
            <v/>
          </cell>
          <cell r="AD1893" t="str">
            <v/>
          </cell>
          <cell r="AY1893" t="str">
            <v/>
          </cell>
          <cell r="AZ1893" t="str">
            <v/>
          </cell>
          <cell r="BA1893" t="str">
            <v/>
          </cell>
        </row>
        <row r="1894">
          <cell r="B1894" t="str">
            <v>-</v>
          </cell>
          <cell r="E1894" t="str">
            <v/>
          </cell>
          <cell r="G1894" t="str">
            <v/>
          </cell>
          <cell r="J1894" t="str">
            <v/>
          </cell>
          <cell r="O1894" t="str">
            <v/>
          </cell>
          <cell r="P1894" t="str">
            <v/>
          </cell>
          <cell r="Q1894" t="str">
            <v/>
          </cell>
          <cell r="S1894" t="str">
            <v/>
          </cell>
          <cell r="V1894" t="str">
            <v/>
          </cell>
          <cell r="Z1894" t="str">
            <v/>
          </cell>
          <cell r="AA1894" t="str">
            <v/>
          </cell>
          <cell r="AB1894" t="str">
            <v/>
          </cell>
          <cell r="AC1894" t="str">
            <v/>
          </cell>
          <cell r="AD1894" t="str">
            <v/>
          </cell>
          <cell r="AY1894" t="str">
            <v/>
          </cell>
          <cell r="AZ1894" t="str">
            <v/>
          </cell>
          <cell r="BA1894" t="str">
            <v/>
          </cell>
        </row>
        <row r="1895">
          <cell r="B1895" t="str">
            <v>-</v>
          </cell>
          <cell r="E1895" t="str">
            <v/>
          </cell>
          <cell r="G1895" t="str">
            <v/>
          </cell>
          <cell r="J1895" t="str">
            <v/>
          </cell>
          <cell r="O1895" t="str">
            <v/>
          </cell>
          <cell r="P1895" t="str">
            <v/>
          </cell>
          <cell r="Q1895" t="str">
            <v/>
          </cell>
          <cell r="S1895" t="str">
            <v/>
          </cell>
          <cell r="V1895" t="str">
            <v/>
          </cell>
          <cell r="Z1895" t="str">
            <v/>
          </cell>
          <cell r="AA1895" t="str">
            <v/>
          </cell>
          <cell r="AB1895" t="str">
            <v/>
          </cell>
          <cell r="AC1895" t="str">
            <v/>
          </cell>
          <cell r="AD1895" t="str">
            <v/>
          </cell>
          <cell r="AY1895" t="str">
            <v/>
          </cell>
          <cell r="AZ1895" t="str">
            <v/>
          </cell>
          <cell r="BA1895" t="str">
            <v/>
          </cell>
        </row>
        <row r="1896">
          <cell r="B1896" t="str">
            <v>-</v>
          </cell>
          <cell r="E1896" t="str">
            <v/>
          </cell>
          <cell r="G1896" t="str">
            <v/>
          </cell>
          <cell r="J1896" t="str">
            <v/>
          </cell>
          <cell r="O1896" t="str">
            <v/>
          </cell>
          <cell r="P1896" t="str">
            <v/>
          </cell>
          <cell r="Q1896" t="str">
            <v/>
          </cell>
          <cell r="S1896" t="str">
            <v/>
          </cell>
          <cell r="V1896" t="str">
            <v/>
          </cell>
          <cell r="Z1896" t="str">
            <v/>
          </cell>
          <cell r="AA1896" t="str">
            <v/>
          </cell>
          <cell r="AB1896" t="str">
            <v/>
          </cell>
          <cell r="AC1896" t="str">
            <v/>
          </cell>
          <cell r="AD1896" t="str">
            <v/>
          </cell>
          <cell r="AY1896" t="str">
            <v/>
          </cell>
          <cell r="AZ1896" t="str">
            <v/>
          </cell>
          <cell r="BA1896" t="str">
            <v/>
          </cell>
        </row>
        <row r="1897">
          <cell r="B1897" t="str">
            <v>-</v>
          </cell>
          <cell r="E1897" t="str">
            <v/>
          </cell>
          <cell r="G1897" t="str">
            <v/>
          </cell>
          <cell r="J1897" t="str">
            <v/>
          </cell>
          <cell r="O1897" t="str">
            <v/>
          </cell>
          <cell r="P1897" t="str">
            <v/>
          </cell>
          <cell r="Q1897" t="str">
            <v/>
          </cell>
          <cell r="S1897" t="str">
            <v/>
          </cell>
          <cell r="V1897" t="str">
            <v/>
          </cell>
          <cell r="Z1897" t="str">
            <v/>
          </cell>
          <cell r="AA1897" t="str">
            <v/>
          </cell>
          <cell r="AB1897" t="str">
            <v/>
          </cell>
          <cell r="AC1897" t="str">
            <v/>
          </cell>
          <cell r="AD1897" t="str">
            <v/>
          </cell>
          <cell r="AY1897" t="str">
            <v/>
          </cell>
          <cell r="AZ1897" t="str">
            <v/>
          </cell>
          <cell r="BA1897" t="str">
            <v/>
          </cell>
        </row>
        <row r="1898">
          <cell r="B1898" t="str">
            <v>-</v>
          </cell>
          <cell r="E1898" t="str">
            <v/>
          </cell>
          <cell r="G1898" t="str">
            <v/>
          </cell>
          <cell r="J1898" t="str">
            <v/>
          </cell>
          <cell r="O1898" t="str">
            <v/>
          </cell>
          <cell r="P1898" t="str">
            <v/>
          </cell>
          <cell r="Q1898" t="str">
            <v/>
          </cell>
          <cell r="S1898" t="str">
            <v/>
          </cell>
          <cell r="V1898" t="str">
            <v/>
          </cell>
          <cell r="Z1898" t="str">
            <v/>
          </cell>
          <cell r="AA1898" t="str">
            <v/>
          </cell>
          <cell r="AB1898" t="str">
            <v/>
          </cell>
          <cell r="AC1898" t="str">
            <v/>
          </cell>
          <cell r="AD1898" t="str">
            <v/>
          </cell>
          <cell r="AY1898" t="str">
            <v/>
          </cell>
          <cell r="AZ1898" t="str">
            <v/>
          </cell>
          <cell r="BA1898" t="str">
            <v/>
          </cell>
        </row>
        <row r="1899">
          <cell r="B1899" t="str">
            <v>-</v>
          </cell>
          <cell r="E1899" t="str">
            <v/>
          </cell>
          <cell r="G1899" t="str">
            <v/>
          </cell>
          <cell r="J1899" t="str">
            <v/>
          </cell>
          <cell r="O1899" t="str">
            <v/>
          </cell>
          <cell r="P1899" t="str">
            <v/>
          </cell>
          <cell r="Q1899" t="str">
            <v/>
          </cell>
          <cell r="S1899" t="str">
            <v/>
          </cell>
          <cell r="V1899" t="str">
            <v/>
          </cell>
          <cell r="Z1899" t="str">
            <v/>
          </cell>
          <cell r="AA1899" t="str">
            <v/>
          </cell>
          <cell r="AB1899" t="str">
            <v/>
          </cell>
          <cell r="AC1899" t="str">
            <v/>
          </cell>
          <cell r="AD1899" t="str">
            <v/>
          </cell>
          <cell r="AY1899" t="str">
            <v/>
          </cell>
          <cell r="AZ1899" t="str">
            <v/>
          </cell>
          <cell r="BA1899" t="str">
            <v/>
          </cell>
        </row>
        <row r="1900">
          <cell r="B1900" t="str">
            <v>-</v>
          </cell>
          <cell r="E1900" t="str">
            <v/>
          </cell>
          <cell r="G1900" t="str">
            <v/>
          </cell>
          <cell r="J1900" t="str">
            <v/>
          </cell>
          <cell r="O1900" t="str">
            <v/>
          </cell>
          <cell r="P1900" t="str">
            <v/>
          </cell>
          <cell r="Q1900" t="str">
            <v/>
          </cell>
          <cell r="S1900" t="str">
            <v/>
          </cell>
          <cell r="V1900" t="str">
            <v/>
          </cell>
          <cell r="Z1900" t="str">
            <v/>
          </cell>
          <cell r="AA1900" t="str">
            <v/>
          </cell>
          <cell r="AB1900" t="str">
            <v/>
          </cell>
          <cell r="AC1900" t="str">
            <v/>
          </cell>
          <cell r="AD1900" t="str">
            <v/>
          </cell>
          <cell r="AY1900" t="str">
            <v/>
          </cell>
          <cell r="AZ1900" t="str">
            <v/>
          </cell>
          <cell r="BA1900" t="str">
            <v/>
          </cell>
        </row>
        <row r="1901">
          <cell r="B1901" t="str">
            <v>-</v>
          </cell>
          <cell r="E1901" t="str">
            <v/>
          </cell>
          <cell r="G1901" t="str">
            <v/>
          </cell>
          <cell r="J1901" t="str">
            <v/>
          </cell>
          <cell r="O1901" t="str">
            <v/>
          </cell>
          <cell r="P1901" t="str">
            <v/>
          </cell>
          <cell r="Q1901" t="str">
            <v/>
          </cell>
          <cell r="S1901" t="str">
            <v/>
          </cell>
          <cell r="V1901" t="str">
            <v/>
          </cell>
          <cell r="Z1901" t="str">
            <v/>
          </cell>
          <cell r="AA1901" t="str">
            <v/>
          </cell>
          <cell r="AB1901" t="str">
            <v/>
          </cell>
          <cell r="AC1901" t="str">
            <v/>
          </cell>
          <cell r="AD1901" t="str">
            <v/>
          </cell>
          <cell r="AY1901" t="str">
            <v/>
          </cell>
          <cell r="AZ1901" t="str">
            <v/>
          </cell>
          <cell r="BA1901" t="str">
            <v/>
          </cell>
        </row>
        <row r="1902">
          <cell r="B1902" t="str">
            <v>-</v>
          </cell>
          <cell r="E1902" t="str">
            <v/>
          </cell>
          <cell r="G1902" t="str">
            <v/>
          </cell>
          <cell r="J1902" t="str">
            <v/>
          </cell>
          <cell r="O1902" t="str">
            <v/>
          </cell>
          <cell r="P1902" t="str">
            <v/>
          </cell>
          <cell r="Q1902" t="str">
            <v/>
          </cell>
          <cell r="S1902" t="str">
            <v/>
          </cell>
          <cell r="V1902" t="str">
            <v/>
          </cell>
          <cell r="Z1902" t="str">
            <v/>
          </cell>
          <cell r="AA1902" t="str">
            <v/>
          </cell>
          <cell r="AB1902" t="str">
            <v/>
          </cell>
          <cell r="AC1902" t="str">
            <v/>
          </cell>
          <cell r="AD1902" t="str">
            <v/>
          </cell>
          <cell r="AY1902" t="str">
            <v/>
          </cell>
          <cell r="AZ1902" t="str">
            <v/>
          </cell>
          <cell r="BA1902" t="str">
            <v/>
          </cell>
        </row>
        <row r="1903">
          <cell r="B1903" t="str">
            <v>-</v>
          </cell>
          <cell r="E1903" t="str">
            <v/>
          </cell>
          <cell r="G1903" t="str">
            <v/>
          </cell>
          <cell r="J1903" t="str">
            <v/>
          </cell>
          <cell r="O1903" t="str">
            <v/>
          </cell>
          <cell r="P1903" t="str">
            <v/>
          </cell>
          <cell r="Q1903" t="str">
            <v/>
          </cell>
          <cell r="S1903" t="str">
            <v/>
          </cell>
          <cell r="V1903" t="str">
            <v/>
          </cell>
          <cell r="Z1903" t="str">
            <v/>
          </cell>
          <cell r="AA1903" t="str">
            <v/>
          </cell>
          <cell r="AB1903" t="str">
            <v/>
          </cell>
          <cell r="AC1903" t="str">
            <v/>
          </cell>
          <cell r="AD1903" t="str">
            <v/>
          </cell>
          <cell r="AY1903" t="str">
            <v/>
          </cell>
          <cell r="AZ1903" t="str">
            <v/>
          </cell>
          <cell r="BA1903" t="str">
            <v/>
          </cell>
        </row>
        <row r="1904">
          <cell r="B1904" t="str">
            <v>-</v>
          </cell>
          <cell r="E1904" t="str">
            <v/>
          </cell>
          <cell r="G1904" t="str">
            <v/>
          </cell>
          <cell r="J1904" t="str">
            <v/>
          </cell>
          <cell r="O1904" t="str">
            <v/>
          </cell>
          <cell r="P1904" t="str">
            <v/>
          </cell>
          <cell r="Q1904" t="str">
            <v/>
          </cell>
          <cell r="S1904" t="str">
            <v/>
          </cell>
          <cell r="V1904" t="str">
            <v/>
          </cell>
          <cell r="Z1904" t="str">
            <v/>
          </cell>
          <cell r="AA1904" t="str">
            <v/>
          </cell>
          <cell r="AB1904" t="str">
            <v/>
          </cell>
          <cell r="AC1904" t="str">
            <v/>
          </cell>
          <cell r="AD1904" t="str">
            <v/>
          </cell>
          <cell r="AY1904" t="str">
            <v/>
          </cell>
          <cell r="AZ1904" t="str">
            <v/>
          </cell>
          <cell r="BA1904" t="str">
            <v/>
          </cell>
        </row>
        <row r="1905">
          <cell r="B1905" t="str">
            <v>-</v>
          </cell>
          <cell r="E1905" t="str">
            <v/>
          </cell>
          <cell r="G1905" t="str">
            <v/>
          </cell>
          <cell r="J1905" t="str">
            <v/>
          </cell>
          <cell r="O1905" t="str">
            <v/>
          </cell>
          <cell r="P1905" t="str">
            <v/>
          </cell>
          <cell r="Q1905" t="str">
            <v/>
          </cell>
          <cell r="S1905" t="str">
            <v/>
          </cell>
          <cell r="V1905" t="str">
            <v/>
          </cell>
          <cell r="Z1905" t="str">
            <v/>
          </cell>
          <cell r="AA1905" t="str">
            <v/>
          </cell>
          <cell r="AB1905" t="str">
            <v/>
          </cell>
          <cell r="AC1905" t="str">
            <v/>
          </cell>
          <cell r="AD1905" t="str">
            <v/>
          </cell>
          <cell r="AY1905" t="str">
            <v/>
          </cell>
          <cell r="AZ1905" t="str">
            <v/>
          </cell>
          <cell r="BA1905" t="str">
            <v/>
          </cell>
        </row>
        <row r="1906">
          <cell r="B1906" t="str">
            <v>-</v>
          </cell>
          <cell r="E1906" t="str">
            <v/>
          </cell>
          <cell r="G1906" t="str">
            <v/>
          </cell>
          <cell r="J1906" t="str">
            <v/>
          </cell>
          <cell r="O1906" t="str">
            <v/>
          </cell>
          <cell r="P1906" t="str">
            <v/>
          </cell>
          <cell r="Q1906" t="str">
            <v/>
          </cell>
          <cell r="S1906" t="str">
            <v/>
          </cell>
          <cell r="V1906" t="str">
            <v/>
          </cell>
          <cell r="Z1906" t="str">
            <v/>
          </cell>
          <cell r="AA1906" t="str">
            <v/>
          </cell>
          <cell r="AB1906" t="str">
            <v/>
          </cell>
          <cell r="AC1906" t="str">
            <v/>
          </cell>
          <cell r="AD1906" t="str">
            <v/>
          </cell>
          <cell r="AY1906" t="str">
            <v/>
          </cell>
          <cell r="AZ1906" t="str">
            <v/>
          </cell>
          <cell r="BA1906" t="str">
            <v/>
          </cell>
        </row>
        <row r="1907">
          <cell r="B1907" t="str">
            <v>-</v>
          </cell>
          <cell r="E1907" t="str">
            <v/>
          </cell>
          <cell r="G1907" t="str">
            <v/>
          </cell>
          <cell r="J1907" t="str">
            <v/>
          </cell>
          <cell r="O1907" t="str">
            <v/>
          </cell>
          <cell r="P1907" t="str">
            <v/>
          </cell>
          <cell r="Q1907" t="str">
            <v/>
          </cell>
          <cell r="S1907" t="str">
            <v/>
          </cell>
          <cell r="V1907" t="str">
            <v/>
          </cell>
          <cell r="Z1907" t="str">
            <v/>
          </cell>
          <cell r="AA1907" t="str">
            <v/>
          </cell>
          <cell r="AB1907" t="str">
            <v/>
          </cell>
          <cell r="AC1907" t="str">
            <v/>
          </cell>
          <cell r="AD1907" t="str">
            <v/>
          </cell>
          <cell r="AY1907" t="str">
            <v/>
          </cell>
          <cell r="AZ1907" t="str">
            <v/>
          </cell>
          <cell r="BA1907" t="str">
            <v/>
          </cell>
        </row>
        <row r="1908">
          <cell r="B1908" t="str">
            <v>-</v>
          </cell>
          <cell r="E1908" t="str">
            <v/>
          </cell>
          <cell r="G1908" t="str">
            <v/>
          </cell>
          <cell r="J1908" t="str">
            <v/>
          </cell>
          <cell r="O1908" t="str">
            <v/>
          </cell>
          <cell r="P1908" t="str">
            <v/>
          </cell>
          <cell r="Q1908" t="str">
            <v/>
          </cell>
          <cell r="S1908" t="str">
            <v/>
          </cell>
          <cell r="V1908" t="str">
            <v/>
          </cell>
          <cell r="Z1908" t="str">
            <v/>
          </cell>
          <cell r="AA1908" t="str">
            <v/>
          </cell>
          <cell r="AB1908" t="str">
            <v/>
          </cell>
          <cell r="AC1908" t="str">
            <v/>
          </cell>
          <cell r="AD1908" t="str">
            <v/>
          </cell>
          <cell r="AY1908" t="str">
            <v/>
          </cell>
          <cell r="AZ1908" t="str">
            <v/>
          </cell>
          <cell r="BA1908" t="str">
            <v/>
          </cell>
        </row>
        <row r="1909">
          <cell r="B1909" t="str">
            <v>-</v>
          </cell>
          <cell r="E1909" t="str">
            <v/>
          </cell>
          <cell r="G1909" t="str">
            <v/>
          </cell>
          <cell r="J1909" t="str">
            <v/>
          </cell>
          <cell r="O1909" t="str">
            <v/>
          </cell>
          <cell r="P1909" t="str">
            <v/>
          </cell>
          <cell r="Q1909" t="str">
            <v/>
          </cell>
          <cell r="S1909" t="str">
            <v/>
          </cell>
          <cell r="V1909" t="str">
            <v/>
          </cell>
          <cell r="Z1909" t="str">
            <v/>
          </cell>
          <cell r="AA1909" t="str">
            <v/>
          </cell>
          <cell r="AB1909" t="str">
            <v/>
          </cell>
          <cell r="AC1909" t="str">
            <v/>
          </cell>
          <cell r="AD1909" t="str">
            <v/>
          </cell>
          <cell r="AY1909" t="str">
            <v/>
          </cell>
          <cell r="AZ1909" t="str">
            <v/>
          </cell>
          <cell r="BA1909" t="str">
            <v/>
          </cell>
        </row>
        <row r="1910">
          <cell r="B1910" t="str">
            <v>-</v>
          </cell>
          <cell r="E1910" t="str">
            <v/>
          </cell>
          <cell r="G1910" t="str">
            <v/>
          </cell>
          <cell r="J1910" t="str">
            <v/>
          </cell>
          <cell r="O1910" t="str">
            <v/>
          </cell>
          <cell r="P1910" t="str">
            <v/>
          </cell>
          <cell r="Q1910" t="str">
            <v/>
          </cell>
          <cell r="S1910" t="str">
            <v/>
          </cell>
          <cell r="V1910" t="str">
            <v/>
          </cell>
          <cell r="Z1910" t="str">
            <v/>
          </cell>
          <cell r="AA1910" t="str">
            <v/>
          </cell>
          <cell r="AB1910" t="str">
            <v/>
          </cell>
          <cell r="AC1910" t="str">
            <v/>
          </cell>
          <cell r="AD1910" t="str">
            <v/>
          </cell>
          <cell r="AY1910" t="str">
            <v/>
          </cell>
          <cell r="AZ1910" t="str">
            <v/>
          </cell>
          <cell r="BA1910" t="str">
            <v/>
          </cell>
        </row>
        <row r="1911">
          <cell r="B1911" t="str">
            <v>-</v>
          </cell>
          <cell r="E1911" t="str">
            <v/>
          </cell>
          <cell r="G1911" t="str">
            <v/>
          </cell>
          <cell r="J1911" t="str">
            <v/>
          </cell>
          <cell r="O1911" t="str">
            <v/>
          </cell>
          <cell r="P1911" t="str">
            <v/>
          </cell>
          <cell r="Q1911" t="str">
            <v/>
          </cell>
          <cell r="S1911" t="str">
            <v/>
          </cell>
          <cell r="V1911" t="str">
            <v/>
          </cell>
          <cell r="Z1911" t="str">
            <v/>
          </cell>
          <cell r="AA1911" t="str">
            <v/>
          </cell>
          <cell r="AB1911" t="str">
            <v/>
          </cell>
          <cell r="AC1911" t="str">
            <v/>
          </cell>
          <cell r="AD1911" t="str">
            <v/>
          </cell>
          <cell r="AY1911" t="str">
            <v/>
          </cell>
          <cell r="AZ1911" t="str">
            <v/>
          </cell>
          <cell r="BA1911" t="str">
            <v/>
          </cell>
        </row>
        <row r="1912">
          <cell r="B1912" t="str">
            <v>-</v>
          </cell>
          <cell r="E1912" t="str">
            <v/>
          </cell>
          <cell r="G1912" t="str">
            <v/>
          </cell>
          <cell r="J1912" t="str">
            <v/>
          </cell>
          <cell r="O1912" t="str">
            <v/>
          </cell>
          <cell r="P1912" t="str">
            <v/>
          </cell>
          <cell r="Q1912" t="str">
            <v/>
          </cell>
          <cell r="S1912" t="str">
            <v/>
          </cell>
          <cell r="V1912" t="str">
            <v/>
          </cell>
          <cell r="Z1912" t="str">
            <v/>
          </cell>
          <cell r="AA1912" t="str">
            <v/>
          </cell>
          <cell r="AB1912" t="str">
            <v/>
          </cell>
          <cell r="AC1912" t="str">
            <v/>
          </cell>
          <cell r="AD1912" t="str">
            <v/>
          </cell>
          <cell r="AY1912" t="str">
            <v/>
          </cell>
          <cell r="AZ1912" t="str">
            <v/>
          </cell>
          <cell r="BA1912" t="str">
            <v/>
          </cell>
        </row>
        <row r="1913">
          <cell r="B1913" t="str">
            <v>-</v>
          </cell>
          <cell r="E1913" t="str">
            <v/>
          </cell>
          <cell r="G1913" t="str">
            <v/>
          </cell>
          <cell r="J1913" t="str">
            <v/>
          </cell>
          <cell r="O1913" t="str">
            <v/>
          </cell>
          <cell r="P1913" t="str">
            <v/>
          </cell>
          <cell r="Q1913" t="str">
            <v/>
          </cell>
          <cell r="S1913" t="str">
            <v/>
          </cell>
          <cell r="V1913" t="str">
            <v/>
          </cell>
          <cell r="Z1913" t="str">
            <v/>
          </cell>
          <cell r="AA1913" t="str">
            <v/>
          </cell>
          <cell r="AB1913" t="str">
            <v/>
          </cell>
          <cell r="AC1913" t="str">
            <v/>
          </cell>
          <cell r="AD1913" t="str">
            <v/>
          </cell>
          <cell r="AY1913" t="str">
            <v/>
          </cell>
          <cell r="AZ1913" t="str">
            <v/>
          </cell>
          <cell r="BA1913" t="str">
            <v/>
          </cell>
        </row>
        <row r="1914">
          <cell r="B1914" t="str">
            <v>-</v>
          </cell>
          <cell r="E1914" t="str">
            <v/>
          </cell>
          <cell r="G1914" t="str">
            <v/>
          </cell>
          <cell r="J1914" t="str">
            <v/>
          </cell>
          <cell r="O1914" t="str">
            <v/>
          </cell>
          <cell r="P1914" t="str">
            <v/>
          </cell>
          <cell r="Q1914" t="str">
            <v/>
          </cell>
          <cell r="S1914" t="str">
            <v/>
          </cell>
          <cell r="V1914" t="str">
            <v/>
          </cell>
          <cell r="Z1914" t="str">
            <v/>
          </cell>
          <cell r="AA1914" t="str">
            <v/>
          </cell>
          <cell r="AB1914" t="str">
            <v/>
          </cell>
          <cell r="AC1914" t="str">
            <v/>
          </cell>
          <cell r="AD1914" t="str">
            <v/>
          </cell>
          <cell r="AY1914" t="str">
            <v/>
          </cell>
          <cell r="AZ1914" t="str">
            <v/>
          </cell>
          <cell r="BA1914" t="str">
            <v/>
          </cell>
        </row>
        <row r="1915">
          <cell r="B1915" t="str">
            <v>-</v>
          </cell>
          <cell r="E1915" t="str">
            <v/>
          </cell>
          <cell r="G1915" t="str">
            <v/>
          </cell>
          <cell r="J1915" t="str">
            <v/>
          </cell>
          <cell r="O1915" t="str">
            <v/>
          </cell>
          <cell r="P1915" t="str">
            <v/>
          </cell>
          <cell r="Q1915" t="str">
            <v/>
          </cell>
          <cell r="S1915" t="str">
            <v/>
          </cell>
          <cell r="V1915" t="str">
            <v/>
          </cell>
          <cell r="Z1915" t="str">
            <v/>
          </cell>
          <cell r="AA1915" t="str">
            <v/>
          </cell>
          <cell r="AB1915" t="str">
            <v/>
          </cell>
          <cell r="AC1915" t="str">
            <v/>
          </cell>
          <cell r="AD1915" t="str">
            <v/>
          </cell>
          <cell r="AY1915" t="str">
            <v/>
          </cell>
          <cell r="AZ1915" t="str">
            <v/>
          </cell>
          <cell r="BA1915" t="str">
            <v/>
          </cell>
        </row>
        <row r="1916">
          <cell r="B1916" t="str">
            <v>-</v>
          </cell>
          <cell r="E1916" t="str">
            <v/>
          </cell>
          <cell r="G1916" t="str">
            <v/>
          </cell>
          <cell r="J1916" t="str">
            <v/>
          </cell>
          <cell r="O1916" t="str">
            <v/>
          </cell>
          <cell r="P1916" t="str">
            <v/>
          </cell>
          <cell r="Q1916" t="str">
            <v/>
          </cell>
          <cell r="S1916" t="str">
            <v/>
          </cell>
          <cell r="V1916" t="str">
            <v/>
          </cell>
          <cell r="Z1916" t="str">
            <v/>
          </cell>
          <cell r="AA1916" t="str">
            <v/>
          </cell>
          <cell r="AB1916" t="str">
            <v/>
          </cell>
          <cell r="AC1916" t="str">
            <v/>
          </cell>
          <cell r="AD1916" t="str">
            <v/>
          </cell>
          <cell r="AY1916" t="str">
            <v/>
          </cell>
          <cell r="AZ1916" t="str">
            <v/>
          </cell>
          <cell r="BA1916" t="str">
            <v/>
          </cell>
        </row>
        <row r="1917">
          <cell r="B1917" t="str">
            <v>-</v>
          </cell>
          <cell r="E1917" t="str">
            <v/>
          </cell>
          <cell r="G1917" t="str">
            <v/>
          </cell>
          <cell r="J1917" t="str">
            <v/>
          </cell>
          <cell r="O1917" t="str">
            <v/>
          </cell>
          <cell r="P1917" t="str">
            <v/>
          </cell>
          <cell r="Q1917" t="str">
            <v/>
          </cell>
          <cell r="S1917" t="str">
            <v/>
          </cell>
          <cell r="V1917" t="str">
            <v/>
          </cell>
          <cell r="Z1917" t="str">
            <v/>
          </cell>
          <cell r="AA1917" t="str">
            <v/>
          </cell>
          <cell r="AB1917" t="str">
            <v/>
          </cell>
          <cell r="AC1917" t="str">
            <v/>
          </cell>
          <cell r="AD1917" t="str">
            <v/>
          </cell>
          <cell r="AY1917" t="str">
            <v/>
          </cell>
          <cell r="AZ1917" t="str">
            <v/>
          </cell>
          <cell r="BA1917" t="str">
            <v/>
          </cell>
        </row>
        <row r="1918">
          <cell r="B1918" t="str">
            <v>-</v>
          </cell>
          <cell r="E1918" t="str">
            <v/>
          </cell>
          <cell r="G1918" t="str">
            <v/>
          </cell>
          <cell r="J1918" t="str">
            <v/>
          </cell>
          <cell r="O1918" t="str">
            <v/>
          </cell>
          <cell r="P1918" t="str">
            <v/>
          </cell>
          <cell r="Q1918" t="str">
            <v/>
          </cell>
          <cell r="S1918" t="str">
            <v/>
          </cell>
          <cell r="V1918" t="str">
            <v/>
          </cell>
          <cell r="Z1918" t="str">
            <v/>
          </cell>
          <cell r="AA1918" t="str">
            <v/>
          </cell>
          <cell r="AB1918" t="str">
            <v/>
          </cell>
          <cell r="AC1918" t="str">
            <v/>
          </cell>
          <cell r="AD1918" t="str">
            <v/>
          </cell>
          <cell r="AY1918" t="str">
            <v/>
          </cell>
          <cell r="AZ1918" t="str">
            <v/>
          </cell>
          <cell r="BA1918" t="str">
            <v/>
          </cell>
        </row>
        <row r="1919">
          <cell r="B1919" t="str">
            <v>-</v>
          </cell>
          <cell r="E1919" t="str">
            <v/>
          </cell>
          <cell r="G1919" t="str">
            <v/>
          </cell>
          <cell r="J1919" t="str">
            <v/>
          </cell>
          <cell r="O1919" t="str">
            <v/>
          </cell>
          <cell r="P1919" t="str">
            <v/>
          </cell>
          <cell r="Q1919" t="str">
            <v/>
          </cell>
          <cell r="S1919" t="str">
            <v/>
          </cell>
          <cell r="V1919" t="str">
            <v/>
          </cell>
          <cell r="Z1919" t="str">
            <v/>
          </cell>
          <cell r="AA1919" t="str">
            <v/>
          </cell>
          <cell r="AB1919" t="str">
            <v/>
          </cell>
          <cell r="AC1919" t="str">
            <v/>
          </cell>
          <cell r="AD1919" t="str">
            <v/>
          </cell>
          <cell r="AY1919" t="str">
            <v/>
          </cell>
          <cell r="AZ1919" t="str">
            <v/>
          </cell>
          <cell r="BA1919" t="str">
            <v/>
          </cell>
        </row>
        <row r="1920">
          <cell r="B1920" t="str">
            <v>-</v>
          </cell>
          <cell r="E1920" t="str">
            <v/>
          </cell>
          <cell r="G1920" t="str">
            <v/>
          </cell>
          <cell r="J1920" t="str">
            <v/>
          </cell>
          <cell r="O1920" t="str">
            <v/>
          </cell>
          <cell r="P1920" t="str">
            <v/>
          </cell>
          <cell r="Q1920" t="str">
            <v/>
          </cell>
          <cell r="S1920" t="str">
            <v/>
          </cell>
          <cell r="V1920" t="str">
            <v/>
          </cell>
          <cell r="Z1920" t="str">
            <v/>
          </cell>
          <cell r="AA1920" t="str">
            <v/>
          </cell>
          <cell r="AB1920" t="str">
            <v/>
          </cell>
          <cell r="AC1920" t="str">
            <v/>
          </cell>
          <cell r="AD1920" t="str">
            <v/>
          </cell>
          <cell r="AY1920" t="str">
            <v/>
          </cell>
          <cell r="AZ1920" t="str">
            <v/>
          </cell>
          <cell r="BA1920" t="str">
            <v/>
          </cell>
        </row>
        <row r="1921">
          <cell r="B1921" t="str">
            <v>-</v>
          </cell>
          <cell r="E1921" t="str">
            <v/>
          </cell>
          <cell r="G1921" t="str">
            <v/>
          </cell>
          <cell r="J1921" t="str">
            <v/>
          </cell>
          <cell r="O1921" t="str">
            <v/>
          </cell>
          <cell r="P1921" t="str">
            <v/>
          </cell>
          <cell r="Q1921" t="str">
            <v/>
          </cell>
          <cell r="S1921" t="str">
            <v/>
          </cell>
          <cell r="V1921" t="str">
            <v/>
          </cell>
          <cell r="Z1921" t="str">
            <v/>
          </cell>
          <cell r="AA1921" t="str">
            <v/>
          </cell>
          <cell r="AB1921" t="str">
            <v/>
          </cell>
          <cell r="AC1921" t="str">
            <v/>
          </cell>
          <cell r="AD1921" t="str">
            <v/>
          </cell>
          <cell r="AY1921" t="str">
            <v/>
          </cell>
          <cell r="AZ1921" t="str">
            <v/>
          </cell>
          <cell r="BA1921" t="str">
            <v/>
          </cell>
        </row>
        <row r="1922">
          <cell r="B1922" t="str">
            <v>-</v>
          </cell>
          <cell r="E1922" t="str">
            <v/>
          </cell>
          <cell r="G1922" t="str">
            <v/>
          </cell>
          <cell r="J1922" t="str">
            <v/>
          </cell>
          <cell r="O1922" t="str">
            <v/>
          </cell>
          <cell r="P1922" t="str">
            <v/>
          </cell>
          <cell r="Q1922" t="str">
            <v/>
          </cell>
          <cell r="S1922" t="str">
            <v/>
          </cell>
          <cell r="V1922" t="str">
            <v/>
          </cell>
          <cell r="Z1922" t="str">
            <v/>
          </cell>
          <cell r="AA1922" t="str">
            <v/>
          </cell>
          <cell r="AB1922" t="str">
            <v/>
          </cell>
          <cell r="AC1922" t="str">
            <v/>
          </cell>
          <cell r="AD1922" t="str">
            <v/>
          </cell>
          <cell r="AY1922" t="str">
            <v/>
          </cell>
          <cell r="AZ1922" t="str">
            <v/>
          </cell>
          <cell r="BA1922" t="str">
            <v/>
          </cell>
        </row>
        <row r="1923">
          <cell r="B1923" t="str">
            <v>-</v>
          </cell>
          <cell r="E1923" t="str">
            <v/>
          </cell>
          <cell r="G1923" t="str">
            <v/>
          </cell>
          <cell r="J1923" t="str">
            <v/>
          </cell>
          <cell r="O1923" t="str">
            <v/>
          </cell>
          <cell r="P1923" t="str">
            <v/>
          </cell>
          <cell r="Q1923" t="str">
            <v/>
          </cell>
          <cell r="S1923" t="str">
            <v/>
          </cell>
          <cell r="V1923" t="str">
            <v/>
          </cell>
          <cell r="Z1923" t="str">
            <v/>
          </cell>
          <cell r="AA1923" t="str">
            <v/>
          </cell>
          <cell r="AB1923" t="str">
            <v/>
          </cell>
          <cell r="AC1923" t="str">
            <v/>
          </cell>
          <cell r="AD1923" t="str">
            <v/>
          </cell>
          <cell r="AY1923" t="str">
            <v/>
          </cell>
          <cell r="AZ1923" t="str">
            <v/>
          </cell>
          <cell r="BA1923" t="str">
            <v/>
          </cell>
        </row>
        <row r="1924">
          <cell r="B1924" t="str">
            <v>-</v>
          </cell>
          <cell r="E1924" t="str">
            <v/>
          </cell>
          <cell r="G1924" t="str">
            <v/>
          </cell>
          <cell r="J1924" t="str">
            <v/>
          </cell>
          <cell r="O1924" t="str">
            <v/>
          </cell>
          <cell r="P1924" t="str">
            <v/>
          </cell>
          <cell r="Q1924" t="str">
            <v/>
          </cell>
          <cell r="S1924" t="str">
            <v/>
          </cell>
          <cell r="V1924" t="str">
            <v/>
          </cell>
          <cell r="Z1924" t="str">
            <v/>
          </cell>
          <cell r="AA1924" t="str">
            <v/>
          </cell>
          <cell r="AB1924" t="str">
            <v/>
          </cell>
          <cell r="AC1924" t="str">
            <v/>
          </cell>
          <cell r="AD1924" t="str">
            <v/>
          </cell>
          <cell r="AY1924" t="str">
            <v/>
          </cell>
          <cell r="AZ1924" t="str">
            <v/>
          </cell>
          <cell r="BA1924" t="str">
            <v/>
          </cell>
        </row>
        <row r="1925">
          <cell r="B1925" t="str">
            <v>-</v>
          </cell>
          <cell r="E1925" t="str">
            <v/>
          </cell>
          <cell r="G1925" t="str">
            <v/>
          </cell>
          <cell r="J1925" t="str">
            <v/>
          </cell>
          <cell r="O1925" t="str">
            <v/>
          </cell>
          <cell r="P1925" t="str">
            <v/>
          </cell>
          <cell r="Q1925" t="str">
            <v/>
          </cell>
          <cell r="S1925" t="str">
            <v/>
          </cell>
          <cell r="V1925" t="str">
            <v/>
          </cell>
          <cell r="Z1925" t="str">
            <v/>
          </cell>
          <cell r="AA1925" t="str">
            <v/>
          </cell>
          <cell r="AB1925" t="str">
            <v/>
          </cell>
          <cell r="AC1925" t="str">
            <v/>
          </cell>
          <cell r="AD1925" t="str">
            <v/>
          </cell>
          <cell r="AY1925" t="str">
            <v/>
          </cell>
          <cell r="AZ1925" t="str">
            <v/>
          </cell>
          <cell r="BA1925" t="str">
            <v/>
          </cell>
        </row>
        <row r="1926">
          <cell r="B1926" t="str">
            <v>-</v>
          </cell>
          <cell r="E1926" t="str">
            <v/>
          </cell>
          <cell r="G1926" t="str">
            <v/>
          </cell>
          <cell r="J1926" t="str">
            <v/>
          </cell>
          <cell r="O1926" t="str">
            <v/>
          </cell>
          <cell r="P1926" t="str">
            <v/>
          </cell>
          <cell r="Q1926" t="str">
            <v/>
          </cell>
          <cell r="S1926" t="str">
            <v/>
          </cell>
          <cell r="V1926" t="str">
            <v/>
          </cell>
          <cell r="Z1926" t="str">
            <v/>
          </cell>
          <cell r="AA1926" t="str">
            <v/>
          </cell>
          <cell r="AB1926" t="str">
            <v/>
          </cell>
          <cell r="AC1926" t="str">
            <v/>
          </cell>
          <cell r="AD1926" t="str">
            <v/>
          </cell>
          <cell r="AY1926" t="str">
            <v/>
          </cell>
          <cell r="AZ1926" t="str">
            <v/>
          </cell>
          <cell r="BA1926" t="str">
            <v/>
          </cell>
        </row>
        <row r="1927">
          <cell r="B1927" t="str">
            <v>-</v>
          </cell>
          <cell r="E1927" t="str">
            <v/>
          </cell>
          <cell r="G1927" t="str">
            <v/>
          </cell>
          <cell r="J1927" t="str">
            <v/>
          </cell>
          <cell r="O1927" t="str">
            <v/>
          </cell>
          <cell r="P1927" t="str">
            <v/>
          </cell>
          <cell r="Q1927" t="str">
            <v/>
          </cell>
          <cell r="S1927" t="str">
            <v/>
          </cell>
          <cell r="V1927" t="str">
            <v/>
          </cell>
          <cell r="Z1927" t="str">
            <v/>
          </cell>
          <cell r="AA1927" t="str">
            <v/>
          </cell>
          <cell r="AB1927" t="str">
            <v/>
          </cell>
          <cell r="AC1927" t="str">
            <v/>
          </cell>
          <cell r="AD1927" t="str">
            <v/>
          </cell>
          <cell r="AY1927" t="str">
            <v/>
          </cell>
          <cell r="AZ1927" t="str">
            <v/>
          </cell>
          <cell r="BA1927" t="str">
            <v/>
          </cell>
        </row>
        <row r="1928">
          <cell r="B1928" t="str">
            <v>-</v>
          </cell>
          <cell r="E1928" t="str">
            <v/>
          </cell>
          <cell r="G1928" t="str">
            <v/>
          </cell>
          <cell r="J1928" t="str">
            <v/>
          </cell>
          <cell r="O1928" t="str">
            <v/>
          </cell>
          <cell r="P1928" t="str">
            <v/>
          </cell>
          <cell r="Q1928" t="str">
            <v/>
          </cell>
          <cell r="S1928" t="str">
            <v/>
          </cell>
          <cell r="V1928" t="str">
            <v/>
          </cell>
          <cell r="Z1928" t="str">
            <v/>
          </cell>
          <cell r="AA1928" t="str">
            <v/>
          </cell>
          <cell r="AB1928" t="str">
            <v/>
          </cell>
          <cell r="AC1928" t="str">
            <v/>
          </cell>
          <cell r="AD1928" t="str">
            <v/>
          </cell>
          <cell r="AY1928" t="str">
            <v/>
          </cell>
          <cell r="AZ1928" t="str">
            <v/>
          </cell>
          <cell r="BA1928" t="str">
            <v/>
          </cell>
        </row>
        <row r="1929">
          <cell r="B1929" t="str">
            <v>-</v>
          </cell>
          <cell r="E1929" t="str">
            <v/>
          </cell>
          <cell r="G1929" t="str">
            <v/>
          </cell>
          <cell r="J1929" t="str">
            <v/>
          </cell>
          <cell r="O1929" t="str">
            <v/>
          </cell>
          <cell r="P1929" t="str">
            <v/>
          </cell>
          <cell r="Q1929" t="str">
            <v/>
          </cell>
          <cell r="S1929" t="str">
            <v/>
          </cell>
          <cell r="V1929" t="str">
            <v/>
          </cell>
          <cell r="Z1929" t="str">
            <v/>
          </cell>
          <cell r="AA1929" t="str">
            <v/>
          </cell>
          <cell r="AB1929" t="str">
            <v/>
          </cell>
          <cell r="AC1929" t="str">
            <v/>
          </cell>
          <cell r="AD1929" t="str">
            <v/>
          </cell>
          <cell r="AY1929" t="str">
            <v/>
          </cell>
          <cell r="AZ1929" t="str">
            <v/>
          </cell>
          <cell r="BA1929" t="str">
            <v/>
          </cell>
        </row>
        <row r="1930">
          <cell r="B1930" t="str">
            <v>-</v>
          </cell>
          <cell r="E1930" t="str">
            <v/>
          </cell>
          <cell r="G1930" t="str">
            <v/>
          </cell>
          <cell r="J1930" t="str">
            <v/>
          </cell>
          <cell r="O1930" t="str">
            <v/>
          </cell>
          <cell r="P1930" t="str">
            <v/>
          </cell>
          <cell r="Q1930" t="str">
            <v/>
          </cell>
          <cell r="S1930" t="str">
            <v/>
          </cell>
          <cell r="V1930" t="str">
            <v/>
          </cell>
          <cell r="Z1930" t="str">
            <v/>
          </cell>
          <cell r="AA1930" t="str">
            <v/>
          </cell>
          <cell r="AB1930" t="str">
            <v/>
          </cell>
          <cell r="AC1930" t="str">
            <v/>
          </cell>
          <cell r="AD1930" t="str">
            <v/>
          </cell>
          <cell r="AY1930" t="str">
            <v/>
          </cell>
          <cell r="AZ1930" t="str">
            <v/>
          </cell>
          <cell r="BA1930" t="str">
            <v/>
          </cell>
        </row>
        <row r="1931">
          <cell r="B1931" t="str">
            <v>-</v>
          </cell>
          <cell r="E1931" t="str">
            <v/>
          </cell>
          <cell r="G1931" t="str">
            <v/>
          </cell>
          <cell r="J1931" t="str">
            <v/>
          </cell>
          <cell r="O1931" t="str">
            <v/>
          </cell>
          <cell r="P1931" t="str">
            <v/>
          </cell>
          <cell r="Q1931" t="str">
            <v/>
          </cell>
          <cell r="S1931" t="str">
            <v/>
          </cell>
          <cell r="V1931" t="str">
            <v/>
          </cell>
          <cell r="Z1931" t="str">
            <v/>
          </cell>
          <cell r="AA1931" t="str">
            <v/>
          </cell>
          <cell r="AB1931" t="str">
            <v/>
          </cell>
          <cell r="AC1931" t="str">
            <v/>
          </cell>
          <cell r="AD1931" t="str">
            <v/>
          </cell>
          <cell r="AY1931" t="str">
            <v/>
          </cell>
          <cell r="AZ1931" t="str">
            <v/>
          </cell>
          <cell r="BA1931" t="str">
            <v/>
          </cell>
        </row>
        <row r="1932">
          <cell r="B1932" t="str">
            <v>-</v>
          </cell>
          <cell r="E1932" t="str">
            <v/>
          </cell>
          <cell r="G1932" t="str">
            <v/>
          </cell>
          <cell r="J1932" t="str">
            <v/>
          </cell>
          <cell r="O1932" t="str">
            <v/>
          </cell>
          <cell r="P1932" t="str">
            <v/>
          </cell>
          <cell r="Q1932" t="str">
            <v/>
          </cell>
          <cell r="S1932" t="str">
            <v/>
          </cell>
          <cell r="V1932" t="str">
            <v/>
          </cell>
          <cell r="Z1932" t="str">
            <v/>
          </cell>
          <cell r="AA1932" t="str">
            <v/>
          </cell>
          <cell r="AB1932" t="str">
            <v/>
          </cell>
          <cell r="AC1932" t="str">
            <v/>
          </cell>
          <cell r="AD1932" t="str">
            <v/>
          </cell>
          <cell r="AY1932" t="str">
            <v/>
          </cell>
          <cell r="AZ1932" t="str">
            <v/>
          </cell>
          <cell r="BA1932" t="str">
            <v/>
          </cell>
        </row>
        <row r="1933">
          <cell r="B1933" t="str">
            <v>-</v>
          </cell>
          <cell r="E1933" t="str">
            <v/>
          </cell>
          <cell r="G1933" t="str">
            <v/>
          </cell>
          <cell r="J1933" t="str">
            <v/>
          </cell>
          <cell r="O1933" t="str">
            <v/>
          </cell>
          <cell r="P1933" t="str">
            <v/>
          </cell>
          <cell r="Q1933" t="str">
            <v/>
          </cell>
          <cell r="S1933" t="str">
            <v/>
          </cell>
          <cell r="V1933" t="str">
            <v/>
          </cell>
          <cell r="Z1933" t="str">
            <v/>
          </cell>
          <cell r="AA1933" t="str">
            <v/>
          </cell>
          <cell r="AB1933" t="str">
            <v/>
          </cell>
          <cell r="AC1933" t="str">
            <v/>
          </cell>
          <cell r="AD1933" t="str">
            <v/>
          </cell>
          <cell r="AY1933" t="str">
            <v/>
          </cell>
          <cell r="AZ1933" t="str">
            <v/>
          </cell>
          <cell r="BA1933" t="str">
            <v/>
          </cell>
        </row>
        <row r="1934">
          <cell r="B1934" t="str">
            <v>-</v>
          </cell>
          <cell r="E1934" t="str">
            <v/>
          </cell>
          <cell r="G1934" t="str">
            <v/>
          </cell>
          <cell r="J1934" t="str">
            <v/>
          </cell>
          <cell r="O1934" t="str">
            <v/>
          </cell>
          <cell r="P1934" t="str">
            <v/>
          </cell>
          <cell r="Q1934" t="str">
            <v/>
          </cell>
          <cell r="S1934" t="str">
            <v/>
          </cell>
          <cell r="V1934" t="str">
            <v/>
          </cell>
          <cell r="Z1934" t="str">
            <v/>
          </cell>
          <cell r="AA1934" t="str">
            <v/>
          </cell>
          <cell r="AB1934" t="str">
            <v/>
          </cell>
          <cell r="AC1934" t="str">
            <v/>
          </cell>
          <cell r="AD1934" t="str">
            <v/>
          </cell>
          <cell r="AY1934" t="str">
            <v/>
          </cell>
          <cell r="AZ1934" t="str">
            <v/>
          </cell>
          <cell r="BA1934" t="str">
            <v/>
          </cell>
        </row>
        <row r="1935">
          <cell r="B1935" t="str">
            <v>-</v>
          </cell>
          <cell r="E1935" t="str">
            <v/>
          </cell>
          <cell r="G1935" t="str">
            <v/>
          </cell>
          <cell r="J1935" t="str">
            <v/>
          </cell>
          <cell r="O1935" t="str">
            <v/>
          </cell>
          <cell r="P1935" t="str">
            <v/>
          </cell>
          <cell r="Q1935" t="str">
            <v/>
          </cell>
          <cell r="S1935" t="str">
            <v/>
          </cell>
          <cell r="V1935" t="str">
            <v/>
          </cell>
          <cell r="Z1935" t="str">
            <v/>
          </cell>
          <cell r="AA1935" t="str">
            <v/>
          </cell>
          <cell r="AB1935" t="str">
            <v/>
          </cell>
          <cell r="AC1935" t="str">
            <v/>
          </cell>
          <cell r="AD1935" t="str">
            <v/>
          </cell>
          <cell r="AY1935" t="str">
            <v/>
          </cell>
          <cell r="AZ1935" t="str">
            <v/>
          </cell>
          <cell r="BA1935" t="str">
            <v/>
          </cell>
        </row>
        <row r="1936">
          <cell r="B1936" t="str">
            <v>-</v>
          </cell>
          <cell r="E1936" t="str">
            <v/>
          </cell>
          <cell r="G1936" t="str">
            <v/>
          </cell>
          <cell r="J1936" t="str">
            <v/>
          </cell>
          <cell r="O1936" t="str">
            <v/>
          </cell>
          <cell r="P1936" t="str">
            <v/>
          </cell>
          <cell r="Q1936" t="str">
            <v/>
          </cell>
          <cell r="S1936" t="str">
            <v/>
          </cell>
          <cell r="V1936" t="str">
            <v/>
          </cell>
          <cell r="Z1936" t="str">
            <v/>
          </cell>
          <cell r="AA1936" t="str">
            <v/>
          </cell>
          <cell r="AB1936" t="str">
            <v/>
          </cell>
          <cell r="AC1936" t="str">
            <v/>
          </cell>
          <cell r="AD1936" t="str">
            <v/>
          </cell>
          <cell r="AY1936" t="str">
            <v/>
          </cell>
          <cell r="AZ1936" t="str">
            <v/>
          </cell>
          <cell r="BA1936" t="str">
            <v/>
          </cell>
        </row>
        <row r="1937">
          <cell r="B1937" t="str">
            <v>-</v>
          </cell>
          <cell r="E1937" t="str">
            <v/>
          </cell>
          <cell r="G1937" t="str">
            <v/>
          </cell>
          <cell r="J1937" t="str">
            <v/>
          </cell>
          <cell r="O1937" t="str">
            <v/>
          </cell>
          <cell r="P1937" t="str">
            <v/>
          </cell>
          <cell r="Q1937" t="str">
            <v/>
          </cell>
          <cell r="S1937" t="str">
            <v/>
          </cell>
          <cell r="V1937" t="str">
            <v/>
          </cell>
          <cell r="Z1937" t="str">
            <v/>
          </cell>
          <cell r="AA1937" t="str">
            <v/>
          </cell>
          <cell r="AB1937" t="str">
            <v/>
          </cell>
          <cell r="AC1937" t="str">
            <v/>
          </cell>
          <cell r="AD1937" t="str">
            <v/>
          </cell>
          <cell r="AY1937" t="str">
            <v/>
          </cell>
          <cell r="AZ1937" t="str">
            <v/>
          </cell>
          <cell r="BA1937" t="str">
            <v/>
          </cell>
        </row>
        <row r="1938">
          <cell r="B1938" t="str">
            <v>-</v>
          </cell>
          <cell r="E1938" t="str">
            <v/>
          </cell>
          <cell r="G1938" t="str">
            <v/>
          </cell>
          <cell r="J1938" t="str">
            <v/>
          </cell>
          <cell r="O1938" t="str">
            <v/>
          </cell>
          <cell r="P1938" t="str">
            <v/>
          </cell>
          <cell r="Q1938" t="str">
            <v/>
          </cell>
          <cell r="S1938" t="str">
            <v/>
          </cell>
          <cell r="V1938" t="str">
            <v/>
          </cell>
          <cell r="Z1938" t="str">
            <v/>
          </cell>
          <cell r="AA1938" t="str">
            <v/>
          </cell>
          <cell r="AB1938" t="str">
            <v/>
          </cell>
          <cell r="AC1938" t="str">
            <v/>
          </cell>
          <cell r="AD1938" t="str">
            <v/>
          </cell>
          <cell r="AY1938" t="str">
            <v/>
          </cell>
          <cell r="AZ1938" t="str">
            <v/>
          </cell>
          <cell r="BA1938" t="str">
            <v/>
          </cell>
        </row>
        <row r="1939">
          <cell r="B1939" t="str">
            <v>-</v>
          </cell>
          <cell r="E1939" t="str">
            <v/>
          </cell>
          <cell r="G1939" t="str">
            <v/>
          </cell>
          <cell r="J1939" t="str">
            <v/>
          </cell>
          <cell r="O1939" t="str">
            <v/>
          </cell>
          <cell r="P1939" t="str">
            <v/>
          </cell>
          <cell r="Q1939" t="str">
            <v/>
          </cell>
          <cell r="S1939" t="str">
            <v/>
          </cell>
          <cell r="V1939" t="str">
            <v/>
          </cell>
          <cell r="Z1939" t="str">
            <v/>
          </cell>
          <cell r="AA1939" t="str">
            <v/>
          </cell>
          <cell r="AB1939" t="str">
            <v/>
          </cell>
          <cell r="AC1939" t="str">
            <v/>
          </cell>
          <cell r="AD1939" t="str">
            <v/>
          </cell>
          <cell r="AY1939" t="str">
            <v/>
          </cell>
          <cell r="AZ1939" t="str">
            <v/>
          </cell>
          <cell r="BA1939" t="str">
            <v/>
          </cell>
        </row>
        <row r="1940">
          <cell r="B1940" t="str">
            <v>-</v>
          </cell>
          <cell r="E1940" t="str">
            <v/>
          </cell>
          <cell r="G1940" t="str">
            <v/>
          </cell>
          <cell r="J1940" t="str">
            <v/>
          </cell>
          <cell r="O1940" t="str">
            <v/>
          </cell>
          <cell r="P1940" t="str">
            <v/>
          </cell>
          <cell r="Q1940" t="str">
            <v/>
          </cell>
          <cell r="S1940" t="str">
            <v/>
          </cell>
          <cell r="V1940" t="str">
            <v/>
          </cell>
          <cell r="Z1940" t="str">
            <v/>
          </cell>
          <cell r="AA1940" t="str">
            <v/>
          </cell>
          <cell r="AB1940" t="str">
            <v/>
          </cell>
          <cell r="AC1940" t="str">
            <v/>
          </cell>
          <cell r="AD1940" t="str">
            <v/>
          </cell>
          <cell r="AY1940" t="str">
            <v/>
          </cell>
          <cell r="AZ1940" t="str">
            <v/>
          </cell>
          <cell r="BA1940" t="str">
            <v/>
          </cell>
        </row>
        <row r="1941">
          <cell r="B1941" t="str">
            <v>-</v>
          </cell>
          <cell r="E1941" t="str">
            <v/>
          </cell>
          <cell r="G1941" t="str">
            <v/>
          </cell>
          <cell r="J1941" t="str">
            <v/>
          </cell>
          <cell r="O1941" t="str">
            <v/>
          </cell>
          <cell r="P1941" t="str">
            <v/>
          </cell>
          <cell r="Q1941" t="str">
            <v/>
          </cell>
          <cell r="S1941" t="str">
            <v/>
          </cell>
          <cell r="V1941" t="str">
            <v/>
          </cell>
          <cell r="Z1941" t="str">
            <v/>
          </cell>
          <cell r="AA1941" t="str">
            <v/>
          </cell>
          <cell r="AB1941" t="str">
            <v/>
          </cell>
          <cell r="AC1941" t="str">
            <v/>
          </cell>
          <cell r="AD1941" t="str">
            <v/>
          </cell>
          <cell r="AY1941" t="str">
            <v/>
          </cell>
          <cell r="AZ1941" t="str">
            <v/>
          </cell>
          <cell r="BA1941" t="str">
            <v/>
          </cell>
        </row>
        <row r="1942">
          <cell r="B1942" t="str">
            <v>-</v>
          </cell>
          <cell r="E1942" t="str">
            <v/>
          </cell>
          <cell r="G1942" t="str">
            <v/>
          </cell>
          <cell r="J1942" t="str">
            <v/>
          </cell>
          <cell r="O1942" t="str">
            <v/>
          </cell>
          <cell r="P1942" t="str">
            <v/>
          </cell>
          <cell r="Q1942" t="str">
            <v/>
          </cell>
          <cell r="S1942" t="str">
            <v/>
          </cell>
          <cell r="V1942" t="str">
            <v/>
          </cell>
          <cell r="Z1942" t="str">
            <v/>
          </cell>
          <cell r="AA1942" t="str">
            <v/>
          </cell>
          <cell r="AB1942" t="str">
            <v/>
          </cell>
          <cell r="AC1942" t="str">
            <v/>
          </cell>
          <cell r="AD1942" t="str">
            <v/>
          </cell>
          <cell r="AY1942" t="str">
            <v/>
          </cell>
          <cell r="AZ1942" t="str">
            <v/>
          </cell>
          <cell r="BA1942" t="str">
            <v/>
          </cell>
        </row>
        <row r="1943">
          <cell r="B1943" t="str">
            <v>-</v>
          </cell>
          <cell r="E1943" t="str">
            <v/>
          </cell>
          <cell r="G1943" t="str">
            <v/>
          </cell>
          <cell r="J1943" t="str">
            <v/>
          </cell>
          <cell r="O1943" t="str">
            <v/>
          </cell>
          <cell r="P1943" t="str">
            <v/>
          </cell>
          <cell r="Q1943" t="str">
            <v/>
          </cell>
          <cell r="S1943" t="str">
            <v/>
          </cell>
          <cell r="V1943" t="str">
            <v/>
          </cell>
          <cell r="Z1943" t="str">
            <v/>
          </cell>
          <cell r="AA1943" t="str">
            <v/>
          </cell>
          <cell r="AB1943" t="str">
            <v/>
          </cell>
          <cell r="AC1943" t="str">
            <v/>
          </cell>
          <cell r="AD1943" t="str">
            <v/>
          </cell>
          <cell r="AY1943" t="str">
            <v/>
          </cell>
          <cell r="AZ1943" t="str">
            <v/>
          </cell>
          <cell r="BA1943" t="str">
            <v/>
          </cell>
        </row>
        <row r="1944">
          <cell r="B1944" t="str">
            <v>-</v>
          </cell>
          <cell r="E1944" t="str">
            <v/>
          </cell>
          <cell r="G1944" t="str">
            <v/>
          </cell>
          <cell r="J1944" t="str">
            <v/>
          </cell>
          <cell r="O1944" t="str">
            <v/>
          </cell>
          <cell r="P1944" t="str">
            <v/>
          </cell>
          <cell r="Q1944" t="str">
            <v/>
          </cell>
          <cell r="S1944" t="str">
            <v/>
          </cell>
          <cell r="V1944" t="str">
            <v/>
          </cell>
          <cell r="Z1944" t="str">
            <v/>
          </cell>
          <cell r="AA1944" t="str">
            <v/>
          </cell>
          <cell r="AB1944" t="str">
            <v/>
          </cell>
          <cell r="AC1944" t="str">
            <v/>
          </cell>
          <cell r="AD1944" t="str">
            <v/>
          </cell>
          <cell r="AY1944" t="str">
            <v/>
          </cell>
          <cell r="AZ1944" t="str">
            <v/>
          </cell>
          <cell r="BA1944" t="str">
            <v/>
          </cell>
        </row>
        <row r="1945">
          <cell r="B1945" t="str">
            <v>-</v>
          </cell>
          <cell r="E1945" t="str">
            <v/>
          </cell>
          <cell r="G1945" t="str">
            <v/>
          </cell>
          <cell r="J1945" t="str">
            <v/>
          </cell>
          <cell r="O1945" t="str">
            <v/>
          </cell>
          <cell r="P1945" t="str">
            <v/>
          </cell>
          <cell r="Q1945" t="str">
            <v/>
          </cell>
          <cell r="S1945" t="str">
            <v/>
          </cell>
          <cell r="V1945" t="str">
            <v/>
          </cell>
          <cell r="Z1945" t="str">
            <v/>
          </cell>
          <cell r="AA1945" t="str">
            <v/>
          </cell>
          <cell r="AB1945" t="str">
            <v/>
          </cell>
          <cell r="AC1945" t="str">
            <v/>
          </cell>
          <cell r="AD1945" t="str">
            <v/>
          </cell>
          <cell r="AY1945" t="str">
            <v/>
          </cell>
          <cell r="AZ1945" t="str">
            <v/>
          </cell>
          <cell r="BA1945" t="str">
            <v/>
          </cell>
        </row>
        <row r="1946">
          <cell r="B1946" t="str">
            <v>-</v>
          </cell>
          <cell r="E1946" t="str">
            <v/>
          </cell>
          <cell r="G1946" t="str">
            <v/>
          </cell>
          <cell r="J1946" t="str">
            <v/>
          </cell>
          <cell r="O1946" t="str">
            <v/>
          </cell>
          <cell r="P1946" t="str">
            <v/>
          </cell>
          <cell r="Q1946" t="str">
            <v/>
          </cell>
          <cell r="S1946" t="str">
            <v/>
          </cell>
          <cell r="V1946" t="str">
            <v/>
          </cell>
          <cell r="Z1946" t="str">
            <v/>
          </cell>
          <cell r="AA1946" t="str">
            <v/>
          </cell>
          <cell r="AB1946" t="str">
            <v/>
          </cell>
          <cell r="AC1946" t="str">
            <v/>
          </cell>
          <cell r="AD1946" t="str">
            <v/>
          </cell>
          <cell r="AY1946" t="str">
            <v/>
          </cell>
          <cell r="AZ1946" t="str">
            <v/>
          </cell>
          <cell r="BA1946" t="str">
            <v/>
          </cell>
        </row>
        <row r="1947">
          <cell r="B1947" t="str">
            <v>-</v>
          </cell>
          <cell r="E1947" t="str">
            <v/>
          </cell>
          <cell r="G1947" t="str">
            <v/>
          </cell>
          <cell r="J1947" t="str">
            <v/>
          </cell>
          <cell r="O1947" t="str">
            <v/>
          </cell>
          <cell r="P1947" t="str">
            <v/>
          </cell>
          <cell r="Q1947" t="str">
            <v/>
          </cell>
          <cell r="S1947" t="str">
            <v/>
          </cell>
          <cell r="V1947" t="str">
            <v/>
          </cell>
          <cell r="Z1947" t="str">
            <v/>
          </cell>
          <cell r="AA1947" t="str">
            <v/>
          </cell>
          <cell r="AB1947" t="str">
            <v/>
          </cell>
          <cell r="AC1947" t="str">
            <v/>
          </cell>
          <cell r="AD1947" t="str">
            <v/>
          </cell>
          <cell r="AY1947" t="str">
            <v/>
          </cell>
          <cell r="AZ1947" t="str">
            <v/>
          </cell>
          <cell r="BA1947" t="str">
            <v/>
          </cell>
        </row>
        <row r="1948">
          <cell r="B1948" t="str">
            <v>-</v>
          </cell>
          <cell r="E1948" t="str">
            <v/>
          </cell>
          <cell r="G1948" t="str">
            <v/>
          </cell>
          <cell r="J1948" t="str">
            <v/>
          </cell>
          <cell r="O1948" t="str">
            <v/>
          </cell>
          <cell r="P1948" t="str">
            <v/>
          </cell>
          <cell r="Q1948" t="str">
            <v/>
          </cell>
          <cell r="S1948" t="str">
            <v/>
          </cell>
          <cell r="V1948" t="str">
            <v/>
          </cell>
          <cell r="Z1948" t="str">
            <v/>
          </cell>
          <cell r="AA1948" t="str">
            <v/>
          </cell>
          <cell r="AB1948" t="str">
            <v/>
          </cell>
          <cell r="AC1948" t="str">
            <v/>
          </cell>
          <cell r="AD1948" t="str">
            <v/>
          </cell>
          <cell r="AY1948" t="str">
            <v/>
          </cell>
          <cell r="AZ1948" t="str">
            <v/>
          </cell>
          <cell r="BA1948" t="str">
            <v/>
          </cell>
        </row>
        <row r="1949">
          <cell r="B1949" t="str">
            <v>-</v>
          </cell>
          <cell r="E1949" t="str">
            <v/>
          </cell>
          <cell r="G1949" t="str">
            <v/>
          </cell>
          <cell r="J1949" t="str">
            <v/>
          </cell>
          <cell r="O1949" t="str">
            <v/>
          </cell>
          <cell r="P1949" t="str">
            <v/>
          </cell>
          <cell r="Q1949" t="str">
            <v/>
          </cell>
          <cell r="S1949" t="str">
            <v/>
          </cell>
          <cell r="V1949" t="str">
            <v/>
          </cell>
          <cell r="Z1949" t="str">
            <v/>
          </cell>
          <cell r="AA1949" t="str">
            <v/>
          </cell>
          <cell r="AB1949" t="str">
            <v/>
          </cell>
          <cell r="AC1949" t="str">
            <v/>
          </cell>
          <cell r="AD1949" t="str">
            <v/>
          </cell>
          <cell r="AY1949" t="str">
            <v/>
          </cell>
          <cell r="AZ1949" t="str">
            <v/>
          </cell>
          <cell r="BA1949" t="str">
            <v/>
          </cell>
        </row>
        <row r="1950">
          <cell r="B1950" t="str">
            <v>-</v>
          </cell>
          <cell r="E1950" t="str">
            <v/>
          </cell>
          <cell r="G1950" t="str">
            <v/>
          </cell>
          <cell r="J1950" t="str">
            <v/>
          </cell>
          <cell r="O1950" t="str">
            <v/>
          </cell>
          <cell r="P1950" t="str">
            <v/>
          </cell>
          <cell r="Q1950" t="str">
            <v/>
          </cell>
          <cell r="S1950" t="str">
            <v/>
          </cell>
          <cell r="V1950" t="str">
            <v/>
          </cell>
          <cell r="Z1950" t="str">
            <v/>
          </cell>
          <cell r="AA1950" t="str">
            <v/>
          </cell>
          <cell r="AB1950" t="str">
            <v/>
          </cell>
          <cell r="AC1950" t="str">
            <v/>
          </cell>
          <cell r="AD1950" t="str">
            <v/>
          </cell>
          <cell r="AY1950" t="str">
            <v/>
          </cell>
          <cell r="AZ1950" t="str">
            <v/>
          </cell>
          <cell r="BA1950" t="str">
            <v/>
          </cell>
        </row>
        <row r="1951">
          <cell r="B1951" t="str">
            <v>-</v>
          </cell>
          <cell r="E1951" t="str">
            <v/>
          </cell>
          <cell r="G1951" t="str">
            <v/>
          </cell>
          <cell r="J1951" t="str">
            <v/>
          </cell>
          <cell r="O1951" t="str">
            <v/>
          </cell>
          <cell r="P1951" t="str">
            <v/>
          </cell>
          <cell r="Q1951" t="str">
            <v/>
          </cell>
          <cell r="S1951" t="str">
            <v/>
          </cell>
          <cell r="V1951" t="str">
            <v/>
          </cell>
          <cell r="Z1951" t="str">
            <v/>
          </cell>
          <cell r="AA1951" t="str">
            <v/>
          </cell>
          <cell r="AB1951" t="str">
            <v/>
          </cell>
          <cell r="AC1951" t="str">
            <v/>
          </cell>
          <cell r="AD1951" t="str">
            <v/>
          </cell>
          <cell r="AY1951" t="str">
            <v/>
          </cell>
          <cell r="AZ1951" t="str">
            <v/>
          </cell>
          <cell r="BA1951" t="str">
            <v/>
          </cell>
        </row>
        <row r="1952">
          <cell r="B1952" t="str">
            <v>-</v>
          </cell>
          <cell r="E1952" t="str">
            <v/>
          </cell>
          <cell r="G1952" t="str">
            <v/>
          </cell>
          <cell r="J1952" t="str">
            <v/>
          </cell>
          <cell r="O1952" t="str">
            <v/>
          </cell>
          <cell r="P1952" t="str">
            <v/>
          </cell>
          <cell r="Q1952" t="str">
            <v/>
          </cell>
          <cell r="S1952" t="str">
            <v/>
          </cell>
          <cell r="V1952" t="str">
            <v/>
          </cell>
          <cell r="Z1952" t="str">
            <v/>
          </cell>
          <cell r="AA1952" t="str">
            <v/>
          </cell>
          <cell r="AB1952" t="str">
            <v/>
          </cell>
          <cell r="AC1952" t="str">
            <v/>
          </cell>
          <cell r="AD1952" t="str">
            <v/>
          </cell>
          <cell r="AY1952" t="str">
            <v/>
          </cell>
          <cell r="AZ1952" t="str">
            <v/>
          </cell>
          <cell r="BA1952" t="str">
            <v/>
          </cell>
        </row>
        <row r="1953">
          <cell r="B1953" t="str">
            <v>-</v>
          </cell>
          <cell r="E1953" t="str">
            <v/>
          </cell>
          <cell r="G1953" t="str">
            <v/>
          </cell>
          <cell r="J1953" t="str">
            <v/>
          </cell>
          <cell r="O1953" t="str">
            <v/>
          </cell>
          <cell r="P1953" t="str">
            <v/>
          </cell>
          <cell r="Q1953" t="str">
            <v/>
          </cell>
          <cell r="S1953" t="str">
            <v/>
          </cell>
          <cell r="V1953" t="str">
            <v/>
          </cell>
          <cell r="Z1953" t="str">
            <v/>
          </cell>
          <cell r="AA1953" t="str">
            <v/>
          </cell>
          <cell r="AB1953" t="str">
            <v/>
          </cell>
          <cell r="AC1953" t="str">
            <v/>
          </cell>
          <cell r="AD1953" t="str">
            <v/>
          </cell>
          <cell r="AY1953" t="str">
            <v/>
          </cell>
          <cell r="AZ1953" t="str">
            <v/>
          </cell>
          <cell r="BA1953" t="str">
            <v/>
          </cell>
        </row>
        <row r="1954">
          <cell r="B1954" t="str">
            <v>-</v>
          </cell>
          <cell r="E1954" t="str">
            <v/>
          </cell>
          <cell r="G1954" t="str">
            <v/>
          </cell>
          <cell r="J1954" t="str">
            <v/>
          </cell>
          <cell r="O1954" t="str">
            <v/>
          </cell>
          <cell r="P1954" t="str">
            <v/>
          </cell>
          <cell r="Q1954" t="str">
            <v/>
          </cell>
          <cell r="S1954" t="str">
            <v/>
          </cell>
          <cell r="V1954" t="str">
            <v/>
          </cell>
          <cell r="Z1954" t="str">
            <v/>
          </cell>
          <cell r="AA1954" t="str">
            <v/>
          </cell>
          <cell r="AB1954" t="str">
            <v/>
          </cell>
          <cell r="AC1954" t="str">
            <v/>
          </cell>
          <cell r="AD1954" t="str">
            <v/>
          </cell>
          <cell r="AY1954" t="str">
            <v/>
          </cell>
          <cell r="AZ1954" t="str">
            <v/>
          </cell>
          <cell r="BA1954" t="str">
            <v/>
          </cell>
        </row>
        <row r="1955">
          <cell r="B1955" t="str">
            <v>-</v>
          </cell>
          <cell r="E1955" t="str">
            <v/>
          </cell>
          <cell r="G1955" t="str">
            <v/>
          </cell>
          <cell r="J1955" t="str">
            <v/>
          </cell>
          <cell r="O1955" t="str">
            <v/>
          </cell>
          <cell r="P1955" t="str">
            <v/>
          </cell>
          <cell r="Q1955" t="str">
            <v/>
          </cell>
          <cell r="S1955" t="str">
            <v/>
          </cell>
          <cell r="V1955" t="str">
            <v/>
          </cell>
          <cell r="Z1955" t="str">
            <v/>
          </cell>
          <cell r="AA1955" t="str">
            <v/>
          </cell>
          <cell r="AB1955" t="str">
            <v/>
          </cell>
          <cell r="AC1955" t="str">
            <v/>
          </cell>
          <cell r="AD1955" t="str">
            <v/>
          </cell>
          <cell r="AY1955" t="str">
            <v/>
          </cell>
          <cell r="AZ1955" t="str">
            <v/>
          </cell>
          <cell r="BA1955" t="str">
            <v/>
          </cell>
        </row>
        <row r="1956">
          <cell r="B1956" t="str">
            <v>-</v>
          </cell>
          <cell r="E1956" t="str">
            <v/>
          </cell>
          <cell r="G1956" t="str">
            <v/>
          </cell>
          <cell r="J1956" t="str">
            <v/>
          </cell>
          <cell r="O1956" t="str">
            <v/>
          </cell>
          <cell r="P1956" t="str">
            <v/>
          </cell>
          <cell r="Q1956" t="str">
            <v/>
          </cell>
          <cell r="S1956" t="str">
            <v/>
          </cell>
          <cell r="V1956" t="str">
            <v/>
          </cell>
          <cell r="Z1956" t="str">
            <v/>
          </cell>
          <cell r="AA1956" t="str">
            <v/>
          </cell>
          <cell r="AB1956" t="str">
            <v/>
          </cell>
          <cell r="AC1956" t="str">
            <v/>
          </cell>
          <cell r="AD1956" t="str">
            <v/>
          </cell>
          <cell r="AY1956" t="str">
            <v/>
          </cell>
          <cell r="AZ1956" t="str">
            <v/>
          </cell>
          <cell r="BA1956" t="str">
            <v/>
          </cell>
        </row>
        <row r="1957">
          <cell r="B1957" t="str">
            <v>-</v>
          </cell>
          <cell r="E1957" t="str">
            <v/>
          </cell>
          <cell r="G1957" t="str">
            <v/>
          </cell>
          <cell r="J1957" t="str">
            <v/>
          </cell>
          <cell r="O1957" t="str">
            <v/>
          </cell>
          <cell r="P1957" t="str">
            <v/>
          </cell>
          <cell r="Q1957" t="str">
            <v/>
          </cell>
          <cell r="S1957" t="str">
            <v/>
          </cell>
          <cell r="V1957" t="str">
            <v/>
          </cell>
          <cell r="Z1957" t="str">
            <v/>
          </cell>
          <cell r="AA1957" t="str">
            <v/>
          </cell>
          <cell r="AB1957" t="str">
            <v/>
          </cell>
          <cell r="AC1957" t="str">
            <v/>
          </cell>
          <cell r="AD1957" t="str">
            <v/>
          </cell>
          <cell r="AY1957" t="str">
            <v/>
          </cell>
          <cell r="AZ1957" t="str">
            <v/>
          </cell>
          <cell r="BA1957" t="str">
            <v/>
          </cell>
        </row>
        <row r="1958">
          <cell r="B1958" t="str">
            <v>-</v>
          </cell>
          <cell r="E1958" t="str">
            <v/>
          </cell>
          <cell r="G1958" t="str">
            <v/>
          </cell>
          <cell r="J1958" t="str">
            <v/>
          </cell>
          <cell r="O1958" t="str">
            <v/>
          </cell>
          <cell r="P1958" t="str">
            <v/>
          </cell>
          <cell r="Q1958" t="str">
            <v/>
          </cell>
          <cell r="S1958" t="str">
            <v/>
          </cell>
          <cell r="V1958" t="str">
            <v/>
          </cell>
          <cell r="Z1958" t="str">
            <v/>
          </cell>
          <cell r="AA1958" t="str">
            <v/>
          </cell>
          <cell r="AB1958" t="str">
            <v/>
          </cell>
          <cell r="AC1958" t="str">
            <v/>
          </cell>
          <cell r="AD1958" t="str">
            <v/>
          </cell>
          <cell r="AY1958" t="str">
            <v/>
          </cell>
          <cell r="AZ1958" t="str">
            <v/>
          </cell>
          <cell r="BA1958" t="str">
            <v/>
          </cell>
        </row>
        <row r="1959">
          <cell r="B1959" t="str">
            <v>-</v>
          </cell>
          <cell r="E1959" t="str">
            <v/>
          </cell>
          <cell r="G1959" t="str">
            <v/>
          </cell>
          <cell r="J1959" t="str">
            <v/>
          </cell>
          <cell r="O1959" t="str">
            <v/>
          </cell>
          <cell r="P1959" t="str">
            <v/>
          </cell>
          <cell r="Q1959" t="str">
            <v/>
          </cell>
          <cell r="S1959" t="str">
            <v/>
          </cell>
          <cell r="V1959" t="str">
            <v/>
          </cell>
          <cell r="Z1959" t="str">
            <v/>
          </cell>
          <cell r="AA1959" t="str">
            <v/>
          </cell>
          <cell r="AB1959" t="str">
            <v/>
          </cell>
          <cell r="AC1959" t="str">
            <v/>
          </cell>
          <cell r="AD1959" t="str">
            <v/>
          </cell>
          <cell r="AY1959" t="str">
            <v/>
          </cell>
          <cell r="AZ1959" t="str">
            <v/>
          </cell>
          <cell r="BA1959" t="str">
            <v/>
          </cell>
        </row>
        <row r="1960">
          <cell r="B1960" t="str">
            <v>-</v>
          </cell>
          <cell r="E1960" t="str">
            <v/>
          </cell>
          <cell r="G1960" t="str">
            <v/>
          </cell>
          <cell r="J1960" t="str">
            <v/>
          </cell>
          <cell r="O1960" t="str">
            <v/>
          </cell>
          <cell r="P1960" t="str">
            <v/>
          </cell>
          <cell r="Q1960" t="str">
            <v/>
          </cell>
          <cell r="S1960" t="str">
            <v/>
          </cell>
          <cell r="V1960" t="str">
            <v/>
          </cell>
          <cell r="Z1960" t="str">
            <v/>
          </cell>
          <cell r="AA1960" t="str">
            <v/>
          </cell>
          <cell r="AB1960" t="str">
            <v/>
          </cell>
          <cell r="AC1960" t="str">
            <v/>
          </cell>
          <cell r="AD1960" t="str">
            <v/>
          </cell>
          <cell r="AY1960" t="str">
            <v/>
          </cell>
          <cell r="AZ1960" t="str">
            <v/>
          </cell>
          <cell r="BA1960" t="str">
            <v/>
          </cell>
        </row>
        <row r="1961">
          <cell r="B1961" t="str">
            <v>-</v>
          </cell>
          <cell r="E1961" t="str">
            <v/>
          </cell>
          <cell r="G1961" t="str">
            <v/>
          </cell>
          <cell r="J1961" t="str">
            <v/>
          </cell>
          <cell r="O1961" t="str">
            <v/>
          </cell>
          <cell r="P1961" t="str">
            <v/>
          </cell>
          <cell r="Q1961" t="str">
            <v/>
          </cell>
          <cell r="S1961" t="str">
            <v/>
          </cell>
          <cell r="V1961" t="str">
            <v/>
          </cell>
          <cell r="Z1961" t="str">
            <v/>
          </cell>
          <cell r="AA1961" t="str">
            <v/>
          </cell>
          <cell r="AB1961" t="str">
            <v/>
          </cell>
          <cell r="AC1961" t="str">
            <v/>
          </cell>
          <cell r="AD1961" t="str">
            <v/>
          </cell>
          <cell r="AY1961" t="str">
            <v/>
          </cell>
          <cell r="AZ1961" t="str">
            <v/>
          </cell>
          <cell r="BA1961" t="str">
            <v/>
          </cell>
        </row>
        <row r="1962">
          <cell r="B1962" t="str">
            <v>-</v>
          </cell>
          <cell r="E1962" t="str">
            <v/>
          </cell>
          <cell r="G1962" t="str">
            <v/>
          </cell>
          <cell r="J1962" t="str">
            <v/>
          </cell>
          <cell r="O1962" t="str">
            <v/>
          </cell>
          <cell r="P1962" t="str">
            <v/>
          </cell>
          <cell r="Q1962" t="str">
            <v/>
          </cell>
          <cell r="S1962" t="str">
            <v/>
          </cell>
          <cell r="V1962" t="str">
            <v/>
          </cell>
          <cell r="Z1962" t="str">
            <v/>
          </cell>
          <cell r="AA1962" t="str">
            <v/>
          </cell>
          <cell r="AB1962" t="str">
            <v/>
          </cell>
          <cell r="AC1962" t="str">
            <v/>
          </cell>
          <cell r="AD1962" t="str">
            <v/>
          </cell>
          <cell r="AY1962" t="str">
            <v/>
          </cell>
          <cell r="AZ1962" t="str">
            <v/>
          </cell>
          <cell r="BA1962" t="str">
            <v/>
          </cell>
        </row>
        <row r="1963">
          <cell r="B1963" t="str">
            <v>-</v>
          </cell>
          <cell r="E1963" t="str">
            <v/>
          </cell>
          <cell r="G1963" t="str">
            <v/>
          </cell>
          <cell r="J1963" t="str">
            <v/>
          </cell>
          <cell r="O1963" t="str">
            <v/>
          </cell>
          <cell r="P1963" t="str">
            <v/>
          </cell>
          <cell r="Q1963" t="str">
            <v/>
          </cell>
          <cell r="S1963" t="str">
            <v/>
          </cell>
          <cell r="V1963" t="str">
            <v/>
          </cell>
          <cell r="Z1963" t="str">
            <v/>
          </cell>
          <cell r="AA1963" t="str">
            <v/>
          </cell>
          <cell r="AB1963" t="str">
            <v/>
          </cell>
          <cell r="AC1963" t="str">
            <v/>
          </cell>
          <cell r="AD1963" t="str">
            <v/>
          </cell>
          <cell r="AY1963" t="str">
            <v/>
          </cell>
          <cell r="AZ1963" t="str">
            <v/>
          </cell>
          <cell r="BA1963" t="str">
            <v/>
          </cell>
        </row>
        <row r="1964">
          <cell r="B1964" t="str">
            <v>-</v>
          </cell>
          <cell r="E1964" t="str">
            <v/>
          </cell>
          <cell r="G1964" t="str">
            <v/>
          </cell>
          <cell r="J1964" t="str">
            <v/>
          </cell>
          <cell r="O1964" t="str">
            <v/>
          </cell>
          <cell r="P1964" t="str">
            <v/>
          </cell>
          <cell r="Q1964" t="str">
            <v/>
          </cell>
          <cell r="S1964" t="str">
            <v/>
          </cell>
          <cell r="V1964" t="str">
            <v/>
          </cell>
          <cell r="Z1964" t="str">
            <v/>
          </cell>
          <cell r="AA1964" t="str">
            <v/>
          </cell>
          <cell r="AB1964" t="str">
            <v/>
          </cell>
          <cell r="AC1964" t="str">
            <v/>
          </cell>
          <cell r="AD1964" t="str">
            <v/>
          </cell>
          <cell r="AY1964" t="str">
            <v/>
          </cell>
          <cell r="AZ1964" t="str">
            <v/>
          </cell>
          <cell r="BA1964" t="str">
            <v/>
          </cell>
        </row>
        <row r="1965">
          <cell r="B1965" t="str">
            <v>-</v>
          </cell>
          <cell r="E1965" t="str">
            <v/>
          </cell>
          <cell r="G1965" t="str">
            <v/>
          </cell>
          <cell r="J1965" t="str">
            <v/>
          </cell>
          <cell r="O1965" t="str">
            <v/>
          </cell>
          <cell r="P1965" t="str">
            <v/>
          </cell>
          <cell r="Q1965" t="str">
            <v/>
          </cell>
          <cell r="S1965" t="str">
            <v/>
          </cell>
          <cell r="V1965" t="str">
            <v/>
          </cell>
          <cell r="Z1965" t="str">
            <v/>
          </cell>
          <cell r="AA1965" t="str">
            <v/>
          </cell>
          <cell r="AB1965" t="str">
            <v/>
          </cell>
          <cell r="AC1965" t="str">
            <v/>
          </cell>
          <cell r="AD1965" t="str">
            <v/>
          </cell>
          <cell r="AY1965" t="str">
            <v/>
          </cell>
          <cell r="AZ1965" t="str">
            <v/>
          </cell>
          <cell r="BA1965" t="str">
            <v/>
          </cell>
        </row>
        <row r="1966">
          <cell r="B1966" t="str">
            <v>-</v>
          </cell>
          <cell r="E1966" t="str">
            <v/>
          </cell>
          <cell r="G1966" t="str">
            <v/>
          </cell>
          <cell r="J1966" t="str">
            <v/>
          </cell>
          <cell r="O1966" t="str">
            <v/>
          </cell>
          <cell r="P1966" t="str">
            <v/>
          </cell>
          <cell r="Q1966" t="str">
            <v/>
          </cell>
          <cell r="S1966" t="str">
            <v/>
          </cell>
          <cell r="V1966" t="str">
            <v/>
          </cell>
          <cell r="Z1966" t="str">
            <v/>
          </cell>
          <cell r="AA1966" t="str">
            <v/>
          </cell>
          <cell r="AB1966" t="str">
            <v/>
          </cell>
          <cell r="AC1966" t="str">
            <v/>
          </cell>
          <cell r="AD1966" t="str">
            <v/>
          </cell>
          <cell r="AY1966" t="str">
            <v/>
          </cell>
          <cell r="AZ1966" t="str">
            <v/>
          </cell>
          <cell r="BA1966" t="str">
            <v/>
          </cell>
        </row>
        <row r="1967">
          <cell r="B1967" t="str">
            <v>-</v>
          </cell>
          <cell r="E1967" t="str">
            <v/>
          </cell>
          <cell r="G1967" t="str">
            <v/>
          </cell>
          <cell r="J1967" t="str">
            <v/>
          </cell>
          <cell r="O1967" t="str">
            <v/>
          </cell>
          <cell r="P1967" t="str">
            <v/>
          </cell>
          <cell r="Q1967" t="str">
            <v/>
          </cell>
          <cell r="S1967" t="str">
            <v/>
          </cell>
          <cell r="V1967" t="str">
            <v/>
          </cell>
          <cell r="Z1967" t="str">
            <v/>
          </cell>
          <cell r="AA1967" t="str">
            <v/>
          </cell>
          <cell r="AB1967" t="str">
            <v/>
          </cell>
          <cell r="AC1967" t="str">
            <v/>
          </cell>
          <cell r="AD1967" t="str">
            <v/>
          </cell>
          <cell r="AY1967" t="str">
            <v/>
          </cell>
          <cell r="AZ1967" t="str">
            <v/>
          </cell>
          <cell r="BA1967" t="str">
            <v/>
          </cell>
        </row>
        <row r="1968">
          <cell r="B1968" t="str">
            <v>-</v>
          </cell>
          <cell r="E1968" t="str">
            <v/>
          </cell>
          <cell r="G1968" t="str">
            <v/>
          </cell>
          <cell r="J1968" t="str">
            <v/>
          </cell>
          <cell r="O1968" t="str">
            <v/>
          </cell>
          <cell r="P1968" t="str">
            <v/>
          </cell>
          <cell r="Q1968" t="str">
            <v/>
          </cell>
          <cell r="S1968" t="str">
            <v/>
          </cell>
          <cell r="V1968" t="str">
            <v/>
          </cell>
          <cell r="Z1968" t="str">
            <v/>
          </cell>
          <cell r="AA1968" t="str">
            <v/>
          </cell>
          <cell r="AB1968" t="str">
            <v/>
          </cell>
          <cell r="AC1968" t="str">
            <v/>
          </cell>
          <cell r="AD1968" t="str">
            <v/>
          </cell>
          <cell r="AY1968" t="str">
            <v/>
          </cell>
          <cell r="AZ1968" t="str">
            <v/>
          </cell>
          <cell r="BA1968" t="str">
            <v/>
          </cell>
        </row>
        <row r="1969">
          <cell r="B1969" t="str">
            <v>-</v>
          </cell>
          <cell r="E1969" t="str">
            <v/>
          </cell>
          <cell r="G1969" t="str">
            <v/>
          </cell>
          <cell r="J1969" t="str">
            <v/>
          </cell>
          <cell r="O1969" t="str">
            <v/>
          </cell>
          <cell r="P1969" t="str">
            <v/>
          </cell>
          <cell r="Q1969" t="str">
            <v/>
          </cell>
          <cell r="S1969" t="str">
            <v/>
          </cell>
          <cell r="V1969" t="str">
            <v/>
          </cell>
          <cell r="Z1969" t="str">
            <v/>
          </cell>
          <cell r="AA1969" t="str">
            <v/>
          </cell>
          <cell r="AB1969" t="str">
            <v/>
          </cell>
          <cell r="AC1969" t="str">
            <v/>
          </cell>
          <cell r="AD1969" t="str">
            <v/>
          </cell>
          <cell r="AY1969" t="str">
            <v/>
          </cell>
          <cell r="AZ1969" t="str">
            <v/>
          </cell>
          <cell r="BA1969" t="str">
            <v/>
          </cell>
        </row>
        <row r="1970">
          <cell r="B1970" t="str">
            <v>-</v>
          </cell>
          <cell r="E1970" t="str">
            <v/>
          </cell>
          <cell r="G1970" t="str">
            <v/>
          </cell>
          <cell r="J1970" t="str">
            <v/>
          </cell>
          <cell r="O1970" t="str">
            <v/>
          </cell>
          <cell r="P1970" t="str">
            <v/>
          </cell>
          <cell r="Q1970" t="str">
            <v/>
          </cell>
          <cell r="S1970" t="str">
            <v/>
          </cell>
          <cell r="V1970" t="str">
            <v/>
          </cell>
          <cell r="Z1970" t="str">
            <v/>
          </cell>
          <cell r="AA1970" t="str">
            <v/>
          </cell>
          <cell r="AB1970" t="str">
            <v/>
          </cell>
          <cell r="AC1970" t="str">
            <v/>
          </cell>
          <cell r="AD1970" t="str">
            <v/>
          </cell>
          <cell r="AY1970" t="str">
            <v/>
          </cell>
          <cell r="AZ1970" t="str">
            <v/>
          </cell>
          <cell r="BA1970" t="str">
            <v/>
          </cell>
        </row>
        <row r="1971">
          <cell r="B1971" t="str">
            <v>-</v>
          </cell>
          <cell r="E1971" t="str">
            <v/>
          </cell>
          <cell r="G1971" t="str">
            <v/>
          </cell>
          <cell r="J1971" t="str">
            <v/>
          </cell>
          <cell r="O1971" t="str">
            <v/>
          </cell>
          <cell r="P1971" t="str">
            <v/>
          </cell>
          <cell r="Q1971" t="str">
            <v/>
          </cell>
          <cell r="S1971" t="str">
            <v/>
          </cell>
          <cell r="V1971" t="str">
            <v/>
          </cell>
          <cell r="Z1971" t="str">
            <v/>
          </cell>
          <cell r="AA1971" t="str">
            <v/>
          </cell>
          <cell r="AB1971" t="str">
            <v/>
          </cell>
          <cell r="AC1971" t="str">
            <v/>
          </cell>
          <cell r="AD1971" t="str">
            <v/>
          </cell>
          <cell r="AY1971" t="str">
            <v/>
          </cell>
          <cell r="AZ1971" t="str">
            <v/>
          </cell>
          <cell r="BA1971" t="str">
            <v/>
          </cell>
        </row>
        <row r="1972">
          <cell r="B1972" t="str">
            <v>-</v>
          </cell>
          <cell r="E1972" t="str">
            <v/>
          </cell>
          <cell r="G1972" t="str">
            <v/>
          </cell>
          <cell r="J1972" t="str">
            <v/>
          </cell>
          <cell r="O1972" t="str">
            <v/>
          </cell>
          <cell r="P1972" t="str">
            <v/>
          </cell>
          <cell r="Q1972" t="str">
            <v/>
          </cell>
          <cell r="S1972" t="str">
            <v/>
          </cell>
          <cell r="V1972" t="str">
            <v/>
          </cell>
          <cell r="Z1972" t="str">
            <v/>
          </cell>
          <cell r="AA1972" t="str">
            <v/>
          </cell>
          <cell r="AB1972" t="str">
            <v/>
          </cell>
          <cell r="AC1972" t="str">
            <v/>
          </cell>
          <cell r="AD1972" t="str">
            <v/>
          </cell>
          <cell r="AY1972" t="str">
            <v/>
          </cell>
          <cell r="AZ1972" t="str">
            <v/>
          </cell>
          <cell r="BA1972" t="str">
            <v/>
          </cell>
        </row>
        <row r="1973">
          <cell r="B1973" t="str">
            <v>-</v>
          </cell>
          <cell r="E1973" t="str">
            <v/>
          </cell>
          <cell r="G1973" t="str">
            <v/>
          </cell>
          <cell r="J1973" t="str">
            <v/>
          </cell>
          <cell r="O1973" t="str">
            <v/>
          </cell>
          <cell r="P1973" t="str">
            <v/>
          </cell>
          <cell r="Q1973" t="str">
            <v/>
          </cell>
          <cell r="S1973" t="str">
            <v/>
          </cell>
          <cell r="V1973" t="str">
            <v/>
          </cell>
          <cell r="Z1973" t="str">
            <v/>
          </cell>
          <cell r="AA1973" t="str">
            <v/>
          </cell>
          <cell r="AB1973" t="str">
            <v/>
          </cell>
          <cell r="AC1973" t="str">
            <v/>
          </cell>
          <cell r="AD1973" t="str">
            <v/>
          </cell>
          <cell r="AY1973" t="str">
            <v/>
          </cell>
          <cell r="AZ1973" t="str">
            <v/>
          </cell>
          <cell r="BA1973" t="str">
            <v/>
          </cell>
        </row>
        <row r="1974">
          <cell r="B1974" t="str">
            <v>-</v>
          </cell>
          <cell r="E1974" t="str">
            <v/>
          </cell>
          <cell r="G1974" t="str">
            <v/>
          </cell>
          <cell r="J1974" t="str">
            <v/>
          </cell>
          <cell r="O1974" t="str">
            <v/>
          </cell>
          <cell r="P1974" t="str">
            <v/>
          </cell>
          <cell r="Q1974" t="str">
            <v/>
          </cell>
          <cell r="S1974" t="str">
            <v/>
          </cell>
          <cell r="V1974" t="str">
            <v/>
          </cell>
          <cell r="Z1974" t="str">
            <v/>
          </cell>
          <cell r="AA1974" t="str">
            <v/>
          </cell>
          <cell r="AB1974" t="str">
            <v/>
          </cell>
          <cell r="AC1974" t="str">
            <v/>
          </cell>
          <cell r="AD1974" t="str">
            <v/>
          </cell>
          <cell r="AY1974" t="str">
            <v/>
          </cell>
          <cell r="AZ1974" t="str">
            <v/>
          </cell>
          <cell r="BA1974" t="str">
            <v/>
          </cell>
        </row>
        <row r="1975">
          <cell r="B1975" t="str">
            <v>-</v>
          </cell>
          <cell r="E1975" t="str">
            <v/>
          </cell>
          <cell r="G1975" t="str">
            <v/>
          </cell>
          <cell r="J1975" t="str">
            <v/>
          </cell>
          <cell r="O1975" t="str">
            <v/>
          </cell>
          <cell r="P1975" t="str">
            <v/>
          </cell>
          <cell r="Q1975" t="str">
            <v/>
          </cell>
          <cell r="S1975" t="str">
            <v/>
          </cell>
          <cell r="V1975" t="str">
            <v/>
          </cell>
          <cell r="Z1975" t="str">
            <v/>
          </cell>
          <cell r="AA1975" t="str">
            <v/>
          </cell>
          <cell r="AB1975" t="str">
            <v/>
          </cell>
          <cell r="AC1975" t="str">
            <v/>
          </cell>
          <cell r="AD1975" t="str">
            <v/>
          </cell>
          <cell r="AY1975" t="str">
            <v/>
          </cell>
          <cell r="AZ1975" t="str">
            <v/>
          </cell>
          <cell r="BA1975" t="str">
            <v/>
          </cell>
        </row>
        <row r="1976">
          <cell r="B1976" t="str">
            <v>-</v>
          </cell>
          <cell r="E1976" t="str">
            <v/>
          </cell>
          <cell r="G1976" t="str">
            <v/>
          </cell>
          <cell r="J1976" t="str">
            <v/>
          </cell>
          <cell r="O1976" t="str">
            <v/>
          </cell>
          <cell r="P1976" t="str">
            <v/>
          </cell>
          <cell r="Q1976" t="str">
            <v/>
          </cell>
          <cell r="S1976" t="str">
            <v/>
          </cell>
          <cell r="V1976" t="str">
            <v/>
          </cell>
          <cell r="Z1976" t="str">
            <v/>
          </cell>
          <cell r="AA1976" t="str">
            <v/>
          </cell>
          <cell r="AB1976" t="str">
            <v/>
          </cell>
          <cell r="AC1976" t="str">
            <v/>
          </cell>
          <cell r="AD1976" t="str">
            <v/>
          </cell>
          <cell r="AY1976" t="str">
            <v/>
          </cell>
          <cell r="AZ1976" t="str">
            <v/>
          </cell>
          <cell r="BA1976" t="str">
            <v/>
          </cell>
        </row>
        <row r="1977">
          <cell r="B1977" t="str">
            <v>-</v>
          </cell>
          <cell r="E1977" t="str">
            <v/>
          </cell>
          <cell r="G1977" t="str">
            <v/>
          </cell>
          <cell r="J1977" t="str">
            <v/>
          </cell>
          <cell r="O1977" t="str">
            <v/>
          </cell>
          <cell r="P1977" t="str">
            <v/>
          </cell>
          <cell r="Q1977" t="str">
            <v/>
          </cell>
          <cell r="S1977" t="str">
            <v/>
          </cell>
          <cell r="V1977" t="str">
            <v/>
          </cell>
          <cell r="Z1977" t="str">
            <v/>
          </cell>
          <cell r="AA1977" t="str">
            <v/>
          </cell>
          <cell r="AB1977" t="str">
            <v/>
          </cell>
          <cell r="AC1977" t="str">
            <v/>
          </cell>
          <cell r="AD1977" t="str">
            <v/>
          </cell>
          <cell r="AY1977" t="str">
            <v/>
          </cell>
          <cell r="AZ1977" t="str">
            <v/>
          </cell>
          <cell r="BA1977" t="str">
            <v/>
          </cell>
        </row>
        <row r="1978">
          <cell r="B1978" t="str">
            <v>-</v>
          </cell>
          <cell r="E1978" t="str">
            <v/>
          </cell>
          <cell r="G1978" t="str">
            <v/>
          </cell>
          <cell r="J1978" t="str">
            <v/>
          </cell>
          <cell r="O1978" t="str">
            <v/>
          </cell>
          <cell r="P1978" t="str">
            <v/>
          </cell>
          <cell r="Q1978" t="str">
            <v/>
          </cell>
          <cell r="S1978" t="str">
            <v/>
          </cell>
          <cell r="V1978" t="str">
            <v/>
          </cell>
          <cell r="Z1978" t="str">
            <v/>
          </cell>
          <cell r="AA1978" t="str">
            <v/>
          </cell>
          <cell r="AB1978" t="str">
            <v/>
          </cell>
          <cell r="AC1978" t="str">
            <v/>
          </cell>
          <cell r="AD1978" t="str">
            <v/>
          </cell>
          <cell r="AY1978" t="str">
            <v/>
          </cell>
          <cell r="AZ1978" t="str">
            <v/>
          </cell>
          <cell r="BA1978" t="str">
            <v/>
          </cell>
        </row>
        <row r="1979">
          <cell r="B1979" t="str">
            <v>-</v>
          </cell>
          <cell r="E1979" t="str">
            <v/>
          </cell>
          <cell r="G1979" t="str">
            <v/>
          </cell>
          <cell r="J1979" t="str">
            <v/>
          </cell>
          <cell r="O1979" t="str">
            <v/>
          </cell>
          <cell r="P1979" t="str">
            <v/>
          </cell>
          <cell r="Q1979" t="str">
            <v/>
          </cell>
          <cell r="S1979" t="str">
            <v/>
          </cell>
          <cell r="V1979" t="str">
            <v/>
          </cell>
          <cell r="Z1979" t="str">
            <v/>
          </cell>
          <cell r="AA1979" t="str">
            <v/>
          </cell>
          <cell r="AB1979" t="str">
            <v/>
          </cell>
          <cell r="AC1979" t="str">
            <v/>
          </cell>
          <cell r="AD1979" t="str">
            <v/>
          </cell>
          <cell r="AY1979" t="str">
            <v/>
          </cell>
          <cell r="AZ1979" t="str">
            <v/>
          </cell>
          <cell r="BA1979" t="str">
            <v/>
          </cell>
        </row>
        <row r="1980">
          <cell r="B1980" t="str">
            <v>-</v>
          </cell>
          <cell r="E1980" t="str">
            <v/>
          </cell>
          <cell r="G1980" t="str">
            <v/>
          </cell>
          <cell r="J1980" t="str">
            <v/>
          </cell>
          <cell r="O1980" t="str">
            <v/>
          </cell>
          <cell r="P1980" t="str">
            <v/>
          </cell>
          <cell r="Q1980" t="str">
            <v/>
          </cell>
          <cell r="S1980" t="str">
            <v/>
          </cell>
          <cell r="V1980" t="str">
            <v/>
          </cell>
          <cell r="Z1980" t="str">
            <v/>
          </cell>
          <cell r="AA1980" t="str">
            <v/>
          </cell>
          <cell r="AB1980" t="str">
            <v/>
          </cell>
          <cell r="AC1980" t="str">
            <v/>
          </cell>
          <cell r="AD1980" t="str">
            <v/>
          </cell>
          <cell r="AY1980" t="str">
            <v/>
          </cell>
          <cell r="AZ1980" t="str">
            <v/>
          </cell>
          <cell r="BA1980" t="str">
            <v/>
          </cell>
        </row>
        <row r="1981">
          <cell r="B1981" t="str">
            <v>-</v>
          </cell>
          <cell r="E1981" t="str">
            <v/>
          </cell>
          <cell r="G1981" t="str">
            <v/>
          </cell>
          <cell r="J1981" t="str">
            <v/>
          </cell>
          <cell r="O1981" t="str">
            <v/>
          </cell>
          <cell r="P1981" t="str">
            <v/>
          </cell>
          <cell r="Q1981" t="str">
            <v/>
          </cell>
          <cell r="S1981" t="str">
            <v/>
          </cell>
          <cell r="V1981" t="str">
            <v/>
          </cell>
          <cell r="Z1981" t="str">
            <v/>
          </cell>
          <cell r="AA1981" t="str">
            <v/>
          </cell>
          <cell r="AB1981" t="str">
            <v/>
          </cell>
          <cell r="AC1981" t="str">
            <v/>
          </cell>
          <cell r="AD1981" t="str">
            <v/>
          </cell>
          <cell r="AY1981" t="str">
            <v/>
          </cell>
          <cell r="AZ1981" t="str">
            <v/>
          </cell>
          <cell r="BA1981" t="str">
            <v/>
          </cell>
        </row>
        <row r="1982">
          <cell r="B1982" t="str">
            <v>-</v>
          </cell>
          <cell r="E1982" t="str">
            <v/>
          </cell>
          <cell r="G1982" t="str">
            <v/>
          </cell>
          <cell r="J1982" t="str">
            <v/>
          </cell>
          <cell r="O1982" t="str">
            <v/>
          </cell>
          <cell r="P1982" t="str">
            <v/>
          </cell>
          <cell r="Q1982" t="str">
            <v/>
          </cell>
          <cell r="S1982" t="str">
            <v/>
          </cell>
          <cell r="V1982" t="str">
            <v/>
          </cell>
          <cell r="Z1982" t="str">
            <v/>
          </cell>
          <cell r="AA1982" t="str">
            <v/>
          </cell>
          <cell r="AB1982" t="str">
            <v/>
          </cell>
          <cell r="AC1982" t="str">
            <v/>
          </cell>
          <cell r="AD1982" t="str">
            <v/>
          </cell>
          <cell r="AY1982" t="str">
            <v/>
          </cell>
          <cell r="AZ1982" t="str">
            <v/>
          </cell>
          <cell r="BA1982" t="str">
            <v/>
          </cell>
        </row>
        <row r="1983">
          <cell r="B1983" t="str">
            <v>-</v>
          </cell>
          <cell r="E1983" t="str">
            <v/>
          </cell>
          <cell r="G1983" t="str">
            <v/>
          </cell>
          <cell r="J1983" t="str">
            <v/>
          </cell>
          <cell r="O1983" t="str">
            <v/>
          </cell>
          <cell r="P1983" t="str">
            <v/>
          </cell>
          <cell r="Q1983" t="str">
            <v/>
          </cell>
          <cell r="S1983" t="str">
            <v/>
          </cell>
          <cell r="V1983" t="str">
            <v/>
          </cell>
          <cell r="Z1983" t="str">
            <v/>
          </cell>
          <cell r="AA1983" t="str">
            <v/>
          </cell>
          <cell r="AB1983" t="str">
            <v/>
          </cell>
          <cell r="AC1983" t="str">
            <v/>
          </cell>
          <cell r="AD1983" t="str">
            <v/>
          </cell>
          <cell r="AY1983" t="str">
            <v/>
          </cell>
          <cell r="AZ1983" t="str">
            <v/>
          </cell>
          <cell r="BA1983" t="str">
            <v/>
          </cell>
        </row>
        <row r="1984">
          <cell r="B1984" t="str">
            <v>-</v>
          </cell>
          <cell r="E1984" t="str">
            <v/>
          </cell>
          <cell r="G1984" t="str">
            <v/>
          </cell>
          <cell r="J1984" t="str">
            <v/>
          </cell>
          <cell r="O1984" t="str">
            <v/>
          </cell>
          <cell r="P1984" t="str">
            <v/>
          </cell>
          <cell r="Q1984" t="str">
            <v/>
          </cell>
          <cell r="S1984" t="str">
            <v/>
          </cell>
          <cell r="V1984" t="str">
            <v/>
          </cell>
          <cell r="Z1984" t="str">
            <v/>
          </cell>
          <cell r="AA1984" t="str">
            <v/>
          </cell>
          <cell r="AB1984" t="str">
            <v/>
          </cell>
          <cell r="AC1984" t="str">
            <v/>
          </cell>
          <cell r="AD1984" t="str">
            <v/>
          </cell>
          <cell r="AY1984" t="str">
            <v/>
          </cell>
          <cell r="AZ1984" t="str">
            <v/>
          </cell>
          <cell r="BA1984" t="str">
            <v/>
          </cell>
        </row>
        <row r="1985">
          <cell r="B1985" t="str">
            <v>-</v>
          </cell>
          <cell r="E1985" t="str">
            <v/>
          </cell>
          <cell r="G1985" t="str">
            <v/>
          </cell>
          <cell r="J1985" t="str">
            <v/>
          </cell>
          <cell r="O1985" t="str">
            <v/>
          </cell>
          <cell r="P1985" t="str">
            <v/>
          </cell>
          <cell r="Q1985" t="str">
            <v/>
          </cell>
          <cell r="S1985" t="str">
            <v/>
          </cell>
          <cell r="V1985" t="str">
            <v/>
          </cell>
          <cell r="Z1985" t="str">
            <v/>
          </cell>
          <cell r="AA1985" t="str">
            <v/>
          </cell>
          <cell r="AB1985" t="str">
            <v/>
          </cell>
          <cell r="AC1985" t="str">
            <v/>
          </cell>
          <cell r="AD1985" t="str">
            <v/>
          </cell>
          <cell r="AY1985" t="str">
            <v/>
          </cell>
          <cell r="AZ1985" t="str">
            <v/>
          </cell>
          <cell r="BA1985" t="str">
            <v/>
          </cell>
        </row>
        <row r="1986">
          <cell r="B1986" t="str">
            <v>-</v>
          </cell>
          <cell r="E1986" t="str">
            <v/>
          </cell>
          <cell r="G1986" t="str">
            <v/>
          </cell>
          <cell r="J1986" t="str">
            <v/>
          </cell>
          <cell r="O1986" t="str">
            <v/>
          </cell>
          <cell r="P1986" t="str">
            <v/>
          </cell>
          <cell r="Q1986" t="str">
            <v/>
          </cell>
          <cell r="S1986" t="str">
            <v/>
          </cell>
          <cell r="V1986" t="str">
            <v/>
          </cell>
          <cell r="Z1986" t="str">
            <v/>
          </cell>
          <cell r="AA1986" t="str">
            <v/>
          </cell>
          <cell r="AB1986" t="str">
            <v/>
          </cell>
          <cell r="AC1986" t="str">
            <v/>
          </cell>
          <cell r="AD1986" t="str">
            <v/>
          </cell>
          <cell r="AY1986" t="str">
            <v/>
          </cell>
          <cell r="AZ1986" t="str">
            <v/>
          </cell>
          <cell r="BA1986" t="str">
            <v/>
          </cell>
        </row>
        <row r="1987">
          <cell r="B1987" t="str">
            <v>-</v>
          </cell>
          <cell r="E1987" t="str">
            <v/>
          </cell>
          <cell r="G1987" t="str">
            <v/>
          </cell>
          <cell r="J1987" t="str">
            <v/>
          </cell>
          <cell r="O1987" t="str">
            <v/>
          </cell>
          <cell r="P1987" t="str">
            <v/>
          </cell>
          <cell r="Q1987" t="str">
            <v/>
          </cell>
          <cell r="S1987" t="str">
            <v/>
          </cell>
          <cell r="V1987" t="str">
            <v/>
          </cell>
          <cell r="Z1987" t="str">
            <v/>
          </cell>
          <cell r="AA1987" t="str">
            <v/>
          </cell>
          <cell r="AB1987" t="str">
            <v/>
          </cell>
          <cell r="AC1987" t="str">
            <v/>
          </cell>
          <cell r="AD1987" t="str">
            <v/>
          </cell>
          <cell r="AY1987" t="str">
            <v/>
          </cell>
          <cell r="AZ1987" t="str">
            <v/>
          </cell>
          <cell r="BA1987" t="str">
            <v/>
          </cell>
        </row>
        <row r="1988">
          <cell r="B1988" t="str">
            <v>-</v>
          </cell>
          <cell r="E1988" t="str">
            <v/>
          </cell>
          <cell r="G1988" t="str">
            <v/>
          </cell>
          <cell r="J1988" t="str">
            <v/>
          </cell>
          <cell r="O1988" t="str">
            <v/>
          </cell>
          <cell r="P1988" t="str">
            <v/>
          </cell>
          <cell r="Q1988" t="str">
            <v/>
          </cell>
          <cell r="S1988" t="str">
            <v/>
          </cell>
          <cell r="V1988" t="str">
            <v/>
          </cell>
          <cell r="Z1988" t="str">
            <v/>
          </cell>
          <cell r="AA1988" t="str">
            <v/>
          </cell>
          <cell r="AB1988" t="str">
            <v/>
          </cell>
          <cell r="AC1988" t="str">
            <v/>
          </cell>
          <cell r="AD1988" t="str">
            <v/>
          </cell>
          <cell r="AY1988" t="str">
            <v/>
          </cell>
          <cell r="AZ1988" t="str">
            <v/>
          </cell>
          <cell r="BA1988" t="str">
            <v/>
          </cell>
        </row>
        <row r="1989">
          <cell r="B1989" t="str">
            <v>-</v>
          </cell>
          <cell r="E1989" t="str">
            <v/>
          </cell>
          <cell r="G1989" t="str">
            <v/>
          </cell>
          <cell r="J1989" t="str">
            <v/>
          </cell>
          <cell r="O1989" t="str">
            <v/>
          </cell>
          <cell r="P1989" t="str">
            <v/>
          </cell>
          <cell r="Q1989" t="str">
            <v/>
          </cell>
          <cell r="S1989" t="str">
            <v/>
          </cell>
          <cell r="V1989" t="str">
            <v/>
          </cell>
          <cell r="Z1989" t="str">
            <v/>
          </cell>
          <cell r="AA1989" t="str">
            <v/>
          </cell>
          <cell r="AB1989" t="str">
            <v/>
          </cell>
          <cell r="AC1989" t="str">
            <v/>
          </cell>
          <cell r="AD1989" t="str">
            <v/>
          </cell>
          <cell r="AY1989" t="str">
            <v/>
          </cell>
          <cell r="AZ1989" t="str">
            <v/>
          </cell>
          <cell r="BA1989" t="str">
            <v/>
          </cell>
        </row>
        <row r="1990">
          <cell r="B1990" t="str">
            <v>-</v>
          </cell>
          <cell r="E1990" t="str">
            <v/>
          </cell>
          <cell r="G1990" t="str">
            <v/>
          </cell>
          <cell r="J1990" t="str">
            <v/>
          </cell>
          <cell r="O1990" t="str">
            <v/>
          </cell>
          <cell r="P1990" t="str">
            <v/>
          </cell>
          <cell r="Q1990" t="str">
            <v/>
          </cell>
          <cell r="S1990" t="str">
            <v/>
          </cell>
          <cell r="V1990" t="str">
            <v/>
          </cell>
          <cell r="Z1990" t="str">
            <v/>
          </cell>
          <cell r="AA1990" t="str">
            <v/>
          </cell>
          <cell r="AB1990" t="str">
            <v/>
          </cell>
          <cell r="AC1990" t="str">
            <v/>
          </cell>
          <cell r="AD1990" t="str">
            <v/>
          </cell>
          <cell r="AY1990" t="str">
            <v/>
          </cell>
          <cell r="AZ1990" t="str">
            <v/>
          </cell>
          <cell r="BA1990" t="str">
            <v/>
          </cell>
        </row>
        <row r="1991">
          <cell r="B1991" t="str">
            <v>-</v>
          </cell>
          <cell r="E1991" t="str">
            <v/>
          </cell>
          <cell r="G1991" t="str">
            <v/>
          </cell>
          <cell r="J1991" t="str">
            <v/>
          </cell>
          <cell r="O1991" t="str">
            <v/>
          </cell>
          <cell r="P1991" t="str">
            <v/>
          </cell>
          <cell r="Q1991" t="str">
            <v/>
          </cell>
          <cell r="S1991" t="str">
            <v/>
          </cell>
          <cell r="V1991" t="str">
            <v/>
          </cell>
          <cell r="Z1991" t="str">
            <v/>
          </cell>
          <cell r="AA1991" t="str">
            <v/>
          </cell>
          <cell r="AB1991" t="str">
            <v/>
          </cell>
          <cell r="AC1991" t="str">
            <v/>
          </cell>
          <cell r="AD1991" t="str">
            <v/>
          </cell>
          <cell r="AY1991" t="str">
            <v/>
          </cell>
          <cell r="AZ1991" t="str">
            <v/>
          </cell>
          <cell r="BA1991" t="str">
            <v/>
          </cell>
        </row>
        <row r="1992">
          <cell r="B1992" t="str">
            <v>-</v>
          </cell>
          <cell r="E1992" t="str">
            <v/>
          </cell>
          <cell r="G1992" t="str">
            <v/>
          </cell>
          <cell r="J1992" t="str">
            <v/>
          </cell>
          <cell r="O1992" t="str">
            <v/>
          </cell>
          <cell r="P1992" t="str">
            <v/>
          </cell>
          <cell r="Q1992" t="str">
            <v/>
          </cell>
          <cell r="S1992" t="str">
            <v/>
          </cell>
          <cell r="V1992" t="str">
            <v/>
          </cell>
          <cell r="Z1992" t="str">
            <v/>
          </cell>
          <cell r="AA1992" t="str">
            <v/>
          </cell>
          <cell r="AB1992" t="str">
            <v/>
          </cell>
          <cell r="AC1992" t="str">
            <v/>
          </cell>
          <cell r="AD1992" t="str">
            <v/>
          </cell>
          <cell r="AY1992" t="str">
            <v/>
          </cell>
          <cell r="AZ1992" t="str">
            <v/>
          </cell>
          <cell r="BA1992" t="str">
            <v/>
          </cell>
        </row>
        <row r="1993">
          <cell r="B1993" t="str">
            <v>-</v>
          </cell>
          <cell r="E1993" t="str">
            <v/>
          </cell>
          <cell r="G1993" t="str">
            <v/>
          </cell>
          <cell r="J1993" t="str">
            <v/>
          </cell>
          <cell r="O1993" t="str">
            <v/>
          </cell>
          <cell r="P1993" t="str">
            <v/>
          </cell>
          <cell r="Q1993" t="str">
            <v/>
          </cell>
          <cell r="S1993" t="str">
            <v/>
          </cell>
          <cell r="V1993" t="str">
            <v/>
          </cell>
          <cell r="Z1993" t="str">
            <v/>
          </cell>
          <cell r="AA1993" t="str">
            <v/>
          </cell>
          <cell r="AB1993" t="str">
            <v/>
          </cell>
          <cell r="AC1993" t="str">
            <v/>
          </cell>
          <cell r="AD1993" t="str">
            <v/>
          </cell>
          <cell r="AY1993" t="str">
            <v/>
          </cell>
          <cell r="AZ1993" t="str">
            <v/>
          </cell>
          <cell r="BA1993" t="str">
            <v/>
          </cell>
        </row>
        <row r="1994">
          <cell r="B1994" t="str">
            <v>-</v>
          </cell>
          <cell r="E1994" t="str">
            <v/>
          </cell>
          <cell r="G1994" t="str">
            <v/>
          </cell>
          <cell r="J1994" t="str">
            <v/>
          </cell>
          <cell r="O1994" t="str">
            <v/>
          </cell>
          <cell r="P1994" t="str">
            <v/>
          </cell>
          <cell r="Q1994" t="str">
            <v/>
          </cell>
          <cell r="S1994" t="str">
            <v/>
          </cell>
          <cell r="V1994" t="str">
            <v/>
          </cell>
          <cell r="Z1994" t="str">
            <v/>
          </cell>
          <cell r="AA1994" t="str">
            <v/>
          </cell>
          <cell r="AB1994" t="str">
            <v/>
          </cell>
          <cell r="AC1994" t="str">
            <v/>
          </cell>
          <cell r="AD1994" t="str">
            <v/>
          </cell>
          <cell r="AY1994" t="str">
            <v/>
          </cell>
          <cell r="AZ1994" t="str">
            <v/>
          </cell>
          <cell r="BA1994" t="str">
            <v/>
          </cell>
        </row>
        <row r="1995">
          <cell r="B1995" t="str">
            <v>-</v>
          </cell>
          <cell r="E1995" t="str">
            <v/>
          </cell>
          <cell r="G1995" t="str">
            <v/>
          </cell>
          <cell r="J1995" t="str">
            <v/>
          </cell>
          <cell r="O1995" t="str">
            <v/>
          </cell>
          <cell r="P1995" t="str">
            <v/>
          </cell>
          <cell r="Q1995" t="str">
            <v/>
          </cell>
          <cell r="S1995" t="str">
            <v/>
          </cell>
          <cell r="V1995" t="str">
            <v/>
          </cell>
          <cell r="Z1995" t="str">
            <v/>
          </cell>
          <cell r="AA1995" t="str">
            <v/>
          </cell>
          <cell r="AB1995" t="str">
            <v/>
          </cell>
          <cell r="AC1995" t="str">
            <v/>
          </cell>
          <cell r="AD1995" t="str">
            <v/>
          </cell>
          <cell r="AY1995" t="str">
            <v/>
          </cell>
          <cell r="AZ1995" t="str">
            <v/>
          </cell>
          <cell r="BA1995" t="str">
            <v/>
          </cell>
        </row>
        <row r="1996">
          <cell r="B1996" t="str">
            <v>-</v>
          </cell>
          <cell r="E1996" t="str">
            <v/>
          </cell>
          <cell r="G1996" t="str">
            <v/>
          </cell>
          <cell r="J1996" t="str">
            <v/>
          </cell>
          <cell r="O1996" t="str">
            <v/>
          </cell>
          <cell r="P1996" t="str">
            <v/>
          </cell>
          <cell r="Q1996" t="str">
            <v/>
          </cell>
          <cell r="S1996" t="str">
            <v/>
          </cell>
          <cell r="V1996" t="str">
            <v/>
          </cell>
          <cell r="Z1996" t="str">
            <v/>
          </cell>
          <cell r="AA1996" t="str">
            <v/>
          </cell>
          <cell r="AB1996" t="str">
            <v/>
          </cell>
          <cell r="AC1996" t="str">
            <v/>
          </cell>
          <cell r="AD1996" t="str">
            <v/>
          </cell>
          <cell r="AY1996" t="str">
            <v/>
          </cell>
          <cell r="AZ1996" t="str">
            <v/>
          </cell>
          <cell r="BA1996" t="str">
            <v/>
          </cell>
        </row>
        <row r="1997">
          <cell r="B1997" t="str">
            <v>-</v>
          </cell>
          <cell r="E1997" t="str">
            <v/>
          </cell>
          <cell r="G1997" t="str">
            <v/>
          </cell>
          <cell r="J1997" t="str">
            <v/>
          </cell>
          <cell r="O1997" t="str">
            <v/>
          </cell>
          <cell r="P1997" t="str">
            <v/>
          </cell>
          <cell r="Q1997" t="str">
            <v/>
          </cell>
          <cell r="S1997" t="str">
            <v/>
          </cell>
          <cell r="V1997" t="str">
            <v/>
          </cell>
          <cell r="Z1997" t="str">
            <v/>
          </cell>
          <cell r="AA1997" t="str">
            <v/>
          </cell>
          <cell r="AB1997" t="str">
            <v/>
          </cell>
          <cell r="AC1997" t="str">
            <v/>
          </cell>
          <cell r="AD1997" t="str">
            <v/>
          </cell>
          <cell r="AY1997" t="str">
            <v/>
          </cell>
          <cell r="AZ1997" t="str">
            <v/>
          </cell>
          <cell r="BA1997" t="str">
            <v/>
          </cell>
        </row>
        <row r="1998">
          <cell r="B1998" t="str">
            <v>-</v>
          </cell>
          <cell r="E1998" t="str">
            <v/>
          </cell>
          <cell r="G1998" t="str">
            <v/>
          </cell>
          <cell r="J1998" t="str">
            <v/>
          </cell>
          <cell r="O1998" t="str">
            <v/>
          </cell>
          <cell r="P1998" t="str">
            <v/>
          </cell>
          <cell r="Q1998" t="str">
            <v/>
          </cell>
          <cell r="S1998" t="str">
            <v/>
          </cell>
          <cell r="V1998" t="str">
            <v/>
          </cell>
          <cell r="Z1998" t="str">
            <v/>
          </cell>
          <cell r="AA1998" t="str">
            <v/>
          </cell>
          <cell r="AB1998" t="str">
            <v/>
          </cell>
          <cell r="AC1998" t="str">
            <v/>
          </cell>
          <cell r="AD1998" t="str">
            <v/>
          </cell>
          <cell r="AY1998" t="str">
            <v/>
          </cell>
          <cell r="AZ1998" t="str">
            <v/>
          </cell>
          <cell r="BA1998" t="str">
            <v/>
          </cell>
        </row>
        <row r="1999">
          <cell r="B1999" t="str">
            <v>-</v>
          </cell>
          <cell r="E1999" t="str">
            <v/>
          </cell>
          <cell r="G1999" t="str">
            <v/>
          </cell>
          <cell r="J1999" t="str">
            <v/>
          </cell>
          <cell r="O1999" t="str">
            <v/>
          </cell>
          <cell r="P1999" t="str">
            <v/>
          </cell>
          <cell r="Q1999" t="str">
            <v/>
          </cell>
          <cell r="S1999" t="str">
            <v/>
          </cell>
          <cell r="V1999" t="str">
            <v/>
          </cell>
          <cell r="Z1999" t="str">
            <v/>
          </cell>
          <cell r="AA1999" t="str">
            <v/>
          </cell>
          <cell r="AB1999" t="str">
            <v/>
          </cell>
          <cell r="AC1999" t="str">
            <v/>
          </cell>
          <cell r="AD1999" t="str">
            <v/>
          </cell>
          <cell r="AY1999" t="str">
            <v/>
          </cell>
          <cell r="AZ1999" t="str">
            <v/>
          </cell>
          <cell r="BA1999" t="str">
            <v/>
          </cell>
        </row>
        <row r="2000">
          <cell r="B2000" t="str">
            <v>-</v>
          </cell>
          <cell r="E2000" t="str">
            <v/>
          </cell>
          <cell r="G2000" t="str">
            <v/>
          </cell>
          <cell r="J2000" t="str">
            <v/>
          </cell>
          <cell r="O2000" t="str">
            <v/>
          </cell>
          <cell r="P2000" t="str">
            <v/>
          </cell>
          <cell r="Q2000" t="str">
            <v/>
          </cell>
          <cell r="S2000" t="str">
            <v/>
          </cell>
          <cell r="V2000" t="str">
            <v/>
          </cell>
          <cell r="Z2000" t="str">
            <v/>
          </cell>
          <cell r="AA2000" t="str">
            <v/>
          </cell>
          <cell r="AB2000" t="str">
            <v/>
          </cell>
          <cell r="AC2000" t="str">
            <v/>
          </cell>
          <cell r="AD2000" t="str">
            <v/>
          </cell>
          <cell r="AY2000" t="str">
            <v/>
          </cell>
          <cell r="AZ2000" t="str">
            <v/>
          </cell>
          <cell r="BA2000" t="str">
            <v/>
          </cell>
        </row>
        <row r="2001">
          <cell r="B2001" t="str">
            <v>-</v>
          </cell>
          <cell r="E2001" t="str">
            <v/>
          </cell>
          <cell r="G2001" t="str">
            <v/>
          </cell>
          <cell r="J2001" t="str">
            <v/>
          </cell>
          <cell r="O2001" t="str">
            <v/>
          </cell>
          <cell r="P2001" t="str">
            <v/>
          </cell>
          <cell r="Q2001" t="str">
            <v/>
          </cell>
          <cell r="S2001" t="str">
            <v/>
          </cell>
          <cell r="V2001" t="str">
            <v/>
          </cell>
          <cell r="Z2001" t="str">
            <v/>
          </cell>
          <cell r="AA2001" t="str">
            <v/>
          </cell>
          <cell r="AB2001" t="str">
            <v/>
          </cell>
          <cell r="AC2001" t="str">
            <v/>
          </cell>
          <cell r="AD2001" t="str">
            <v/>
          </cell>
          <cell r="AY2001" t="str">
            <v/>
          </cell>
          <cell r="AZ2001" t="str">
            <v/>
          </cell>
          <cell r="BA2001" t="str">
            <v/>
          </cell>
        </row>
        <row r="2002">
          <cell r="B2002" t="str">
            <v>-</v>
          </cell>
          <cell r="E2002" t="str">
            <v/>
          </cell>
          <cell r="G2002" t="str">
            <v/>
          </cell>
          <cell r="J2002" t="str">
            <v/>
          </cell>
          <cell r="O2002" t="str">
            <v/>
          </cell>
          <cell r="P2002" t="str">
            <v/>
          </cell>
          <cell r="Q2002" t="str">
            <v/>
          </cell>
          <cell r="S2002" t="str">
            <v/>
          </cell>
          <cell r="V2002" t="str">
            <v/>
          </cell>
          <cell r="Z2002" t="str">
            <v/>
          </cell>
          <cell r="AA2002" t="str">
            <v/>
          </cell>
          <cell r="AB2002" t="str">
            <v/>
          </cell>
          <cell r="AC2002" t="str">
            <v/>
          </cell>
          <cell r="AD2002" t="str">
            <v/>
          </cell>
          <cell r="AY2002" t="str">
            <v/>
          </cell>
          <cell r="AZ2002" t="str">
            <v/>
          </cell>
          <cell r="BA2002" t="str">
            <v/>
          </cell>
        </row>
        <row r="2003">
          <cell r="B2003" t="str">
            <v>-</v>
          </cell>
          <cell r="E2003" t="str">
            <v/>
          </cell>
          <cell r="G2003" t="str">
            <v/>
          </cell>
          <cell r="J2003" t="str">
            <v/>
          </cell>
          <cell r="O2003" t="str">
            <v/>
          </cell>
          <cell r="P2003" t="str">
            <v/>
          </cell>
          <cell r="Q2003" t="str">
            <v/>
          </cell>
          <cell r="S2003" t="str">
            <v/>
          </cell>
          <cell r="V2003" t="str">
            <v/>
          </cell>
          <cell r="Z2003" t="str">
            <v/>
          </cell>
          <cell r="AA2003" t="str">
            <v/>
          </cell>
          <cell r="AB2003" t="str">
            <v/>
          </cell>
          <cell r="AC2003" t="str">
            <v/>
          </cell>
          <cell r="AD2003" t="str">
            <v/>
          </cell>
          <cell r="AY2003" t="str">
            <v/>
          </cell>
          <cell r="AZ2003" t="str">
            <v/>
          </cell>
          <cell r="BA2003" t="str">
            <v/>
          </cell>
        </row>
        <row r="2004">
          <cell r="B2004" t="str">
            <v>-</v>
          </cell>
          <cell r="E2004" t="str">
            <v/>
          </cell>
          <cell r="G2004" t="str">
            <v/>
          </cell>
          <cell r="J2004" t="str">
            <v/>
          </cell>
          <cell r="O2004" t="str">
            <v/>
          </cell>
          <cell r="P2004" t="str">
            <v/>
          </cell>
          <cell r="Q2004" t="str">
            <v/>
          </cell>
          <cell r="S2004" t="str">
            <v/>
          </cell>
          <cell r="V2004" t="str">
            <v/>
          </cell>
          <cell r="Z2004" t="str">
            <v/>
          </cell>
          <cell r="AA2004" t="str">
            <v/>
          </cell>
          <cell r="AB2004" t="str">
            <v/>
          </cell>
          <cell r="AC2004" t="str">
            <v/>
          </cell>
          <cell r="AD2004" t="str">
            <v/>
          </cell>
          <cell r="AY2004" t="str">
            <v/>
          </cell>
          <cell r="AZ2004" t="str">
            <v/>
          </cell>
          <cell r="BA2004" t="str">
            <v/>
          </cell>
        </row>
        <row r="2005">
          <cell r="B2005" t="str">
            <v>-</v>
          </cell>
          <cell r="E2005" t="str">
            <v/>
          </cell>
          <cell r="G2005" t="str">
            <v/>
          </cell>
          <cell r="J2005" t="str">
            <v/>
          </cell>
          <cell r="O2005" t="str">
            <v/>
          </cell>
          <cell r="P2005" t="str">
            <v/>
          </cell>
          <cell r="Q2005" t="str">
            <v/>
          </cell>
          <cell r="S2005" t="str">
            <v/>
          </cell>
          <cell r="V2005" t="str">
            <v/>
          </cell>
          <cell r="Z2005" t="str">
            <v/>
          </cell>
          <cell r="AA2005" t="str">
            <v/>
          </cell>
          <cell r="AB2005" t="str">
            <v/>
          </cell>
          <cell r="AC2005" t="str">
            <v/>
          </cell>
          <cell r="AD2005" t="str">
            <v/>
          </cell>
          <cell r="AY2005" t="str">
            <v/>
          </cell>
          <cell r="AZ2005" t="str">
            <v/>
          </cell>
          <cell r="BA2005" t="str">
            <v/>
          </cell>
        </row>
        <row r="2006">
          <cell r="B2006" t="str">
            <v>-</v>
          </cell>
          <cell r="E2006" t="str">
            <v/>
          </cell>
          <cell r="G2006" t="str">
            <v/>
          </cell>
          <cell r="J2006" t="str">
            <v/>
          </cell>
          <cell r="O2006" t="str">
            <v/>
          </cell>
          <cell r="P2006" t="str">
            <v/>
          </cell>
          <cell r="Q2006" t="str">
            <v/>
          </cell>
          <cell r="S2006" t="str">
            <v/>
          </cell>
          <cell r="V2006" t="str">
            <v/>
          </cell>
          <cell r="Z2006" t="str">
            <v/>
          </cell>
          <cell r="AA2006" t="str">
            <v/>
          </cell>
          <cell r="AB2006" t="str">
            <v/>
          </cell>
          <cell r="AC2006" t="str">
            <v/>
          </cell>
          <cell r="AD2006" t="str">
            <v/>
          </cell>
          <cell r="AY2006" t="str">
            <v/>
          </cell>
          <cell r="AZ2006" t="str">
            <v/>
          </cell>
          <cell r="BA2006" t="str">
            <v/>
          </cell>
        </row>
        <row r="2007">
          <cell r="B2007" t="str">
            <v>-</v>
          </cell>
          <cell r="E2007" t="str">
            <v/>
          </cell>
          <cell r="G2007" t="str">
            <v/>
          </cell>
          <cell r="J2007" t="str">
            <v/>
          </cell>
          <cell r="O2007" t="str">
            <v/>
          </cell>
          <cell r="P2007" t="str">
            <v/>
          </cell>
          <cell r="Q2007" t="str">
            <v/>
          </cell>
          <cell r="S2007" t="str">
            <v/>
          </cell>
          <cell r="V2007" t="str">
            <v/>
          </cell>
          <cell r="Z2007" t="str">
            <v/>
          </cell>
          <cell r="AA2007" t="str">
            <v/>
          </cell>
          <cell r="AB2007" t="str">
            <v/>
          </cell>
          <cell r="AC2007" t="str">
            <v/>
          </cell>
          <cell r="AD2007" t="str">
            <v/>
          </cell>
          <cell r="AY2007" t="str">
            <v/>
          </cell>
          <cell r="AZ2007" t="str">
            <v/>
          </cell>
          <cell r="BA2007" t="str">
            <v/>
          </cell>
        </row>
        <row r="2008">
          <cell r="B2008" t="str">
            <v>-</v>
          </cell>
          <cell r="E2008" t="str">
            <v/>
          </cell>
          <cell r="G2008" t="str">
            <v/>
          </cell>
          <cell r="J2008" t="str">
            <v/>
          </cell>
          <cell r="O2008" t="str">
            <v/>
          </cell>
          <cell r="P2008" t="str">
            <v/>
          </cell>
          <cell r="Q2008" t="str">
            <v/>
          </cell>
          <cell r="S2008" t="str">
            <v/>
          </cell>
          <cell r="V2008" t="str">
            <v/>
          </cell>
          <cell r="Z2008" t="str">
            <v/>
          </cell>
          <cell r="AA2008" t="str">
            <v/>
          </cell>
          <cell r="AB2008" t="str">
            <v/>
          </cell>
          <cell r="AC2008" t="str">
            <v/>
          </cell>
          <cell r="AD2008" t="str">
            <v/>
          </cell>
          <cell r="AY2008" t="str">
            <v/>
          </cell>
          <cell r="AZ2008" t="str">
            <v/>
          </cell>
          <cell r="BA2008" t="str">
            <v/>
          </cell>
        </row>
        <row r="2009">
          <cell r="B2009" t="str">
            <v>-</v>
          </cell>
          <cell r="E2009" t="str">
            <v/>
          </cell>
          <cell r="G2009" t="str">
            <v/>
          </cell>
          <cell r="J2009" t="str">
            <v/>
          </cell>
          <cell r="O2009" t="str">
            <v/>
          </cell>
          <cell r="P2009" t="str">
            <v/>
          </cell>
          <cell r="Q2009" t="str">
            <v/>
          </cell>
          <cell r="S2009" t="str">
            <v/>
          </cell>
          <cell r="V2009" t="str">
            <v/>
          </cell>
          <cell r="Z2009" t="str">
            <v/>
          </cell>
          <cell r="AA2009" t="str">
            <v/>
          </cell>
          <cell r="AB2009" t="str">
            <v/>
          </cell>
          <cell r="AC2009" t="str">
            <v/>
          </cell>
          <cell r="AD2009" t="str">
            <v/>
          </cell>
          <cell r="AY2009" t="str">
            <v/>
          </cell>
          <cell r="AZ2009" t="str">
            <v/>
          </cell>
          <cell r="BA2009" t="str">
            <v/>
          </cell>
        </row>
        <row r="2010">
          <cell r="B2010" t="str">
            <v>-</v>
          </cell>
          <cell r="E2010" t="str">
            <v/>
          </cell>
          <cell r="G2010" t="str">
            <v/>
          </cell>
          <cell r="J2010" t="str">
            <v/>
          </cell>
          <cell r="O2010" t="str">
            <v/>
          </cell>
          <cell r="P2010" t="str">
            <v/>
          </cell>
          <cell r="Q2010" t="str">
            <v/>
          </cell>
          <cell r="S2010" t="str">
            <v/>
          </cell>
          <cell r="V2010" t="str">
            <v/>
          </cell>
          <cell r="Z2010" t="str">
            <v/>
          </cell>
          <cell r="AA2010" t="str">
            <v/>
          </cell>
          <cell r="AB2010" t="str">
            <v/>
          </cell>
          <cell r="AC2010" t="str">
            <v/>
          </cell>
          <cell r="AD2010" t="str">
            <v/>
          </cell>
          <cell r="AY2010" t="str">
            <v/>
          </cell>
          <cell r="AZ2010" t="str">
            <v/>
          </cell>
          <cell r="BA2010" t="str">
            <v/>
          </cell>
        </row>
        <row r="2011">
          <cell r="B2011" t="str">
            <v>-</v>
          </cell>
          <cell r="E2011" t="str">
            <v/>
          </cell>
          <cell r="G2011" t="str">
            <v/>
          </cell>
          <cell r="J2011" t="str">
            <v/>
          </cell>
          <cell r="O2011" t="str">
            <v/>
          </cell>
          <cell r="P2011" t="str">
            <v/>
          </cell>
          <cell r="Q2011" t="str">
            <v/>
          </cell>
          <cell r="S2011" t="str">
            <v/>
          </cell>
          <cell r="V2011" t="str">
            <v/>
          </cell>
          <cell r="Z2011" t="str">
            <v/>
          </cell>
          <cell r="AA2011" t="str">
            <v/>
          </cell>
          <cell r="AB2011" t="str">
            <v/>
          </cell>
          <cell r="AC2011" t="str">
            <v/>
          </cell>
          <cell r="AD2011" t="str">
            <v/>
          </cell>
          <cell r="AY2011" t="str">
            <v/>
          </cell>
          <cell r="AZ2011" t="str">
            <v/>
          </cell>
          <cell r="BA2011" t="str">
            <v/>
          </cell>
        </row>
        <row r="2012">
          <cell r="B2012" t="str">
            <v>-</v>
          </cell>
          <cell r="E2012" t="str">
            <v/>
          </cell>
          <cell r="G2012" t="str">
            <v/>
          </cell>
          <cell r="J2012" t="str">
            <v/>
          </cell>
          <cell r="O2012" t="str">
            <v/>
          </cell>
          <cell r="P2012" t="str">
            <v/>
          </cell>
          <cell r="Q2012" t="str">
            <v/>
          </cell>
          <cell r="S2012" t="str">
            <v/>
          </cell>
          <cell r="V2012" t="str">
            <v/>
          </cell>
          <cell r="Z2012" t="str">
            <v/>
          </cell>
          <cell r="AA2012" t="str">
            <v/>
          </cell>
          <cell r="AB2012" t="str">
            <v/>
          </cell>
          <cell r="AC2012" t="str">
            <v/>
          </cell>
          <cell r="AD2012" t="str">
            <v/>
          </cell>
          <cell r="AY2012" t="str">
            <v/>
          </cell>
          <cell r="AZ2012" t="str">
            <v/>
          </cell>
          <cell r="BA2012" t="str">
            <v/>
          </cell>
        </row>
        <row r="2013">
          <cell r="B2013" t="str">
            <v>-</v>
          </cell>
          <cell r="E2013" t="str">
            <v/>
          </cell>
          <cell r="G2013" t="str">
            <v/>
          </cell>
          <cell r="J2013" t="str">
            <v/>
          </cell>
          <cell r="O2013" t="str">
            <v/>
          </cell>
          <cell r="P2013" t="str">
            <v/>
          </cell>
          <cell r="Q2013" t="str">
            <v/>
          </cell>
          <cell r="S2013" t="str">
            <v/>
          </cell>
          <cell r="V2013" t="str">
            <v/>
          </cell>
          <cell r="Z2013" t="str">
            <v/>
          </cell>
          <cell r="AA2013" t="str">
            <v/>
          </cell>
          <cell r="AB2013" t="str">
            <v/>
          </cell>
          <cell r="AC2013" t="str">
            <v/>
          </cell>
          <cell r="AD2013" t="str">
            <v/>
          </cell>
          <cell r="AY2013" t="str">
            <v/>
          </cell>
          <cell r="AZ2013" t="str">
            <v/>
          </cell>
          <cell r="BA2013" t="str">
            <v/>
          </cell>
        </row>
        <row r="2014">
          <cell r="B2014" t="str">
            <v>-</v>
          </cell>
          <cell r="E2014" t="str">
            <v/>
          </cell>
          <cell r="G2014" t="str">
            <v/>
          </cell>
          <cell r="J2014" t="str">
            <v/>
          </cell>
          <cell r="O2014" t="str">
            <v/>
          </cell>
          <cell r="P2014" t="str">
            <v/>
          </cell>
          <cell r="Q2014" t="str">
            <v/>
          </cell>
          <cell r="S2014" t="str">
            <v/>
          </cell>
          <cell r="V2014" t="str">
            <v/>
          </cell>
          <cell r="Z2014" t="str">
            <v/>
          </cell>
          <cell r="AA2014" t="str">
            <v/>
          </cell>
          <cell r="AB2014" t="str">
            <v/>
          </cell>
          <cell r="AC2014" t="str">
            <v/>
          </cell>
          <cell r="AD2014" t="str">
            <v/>
          </cell>
          <cell r="AY2014" t="str">
            <v/>
          </cell>
          <cell r="AZ2014" t="str">
            <v/>
          </cell>
          <cell r="BA2014" t="str">
            <v/>
          </cell>
        </row>
        <row r="2015">
          <cell r="B2015" t="str">
            <v>-</v>
          </cell>
          <cell r="E2015" t="str">
            <v/>
          </cell>
          <cell r="G2015" t="str">
            <v/>
          </cell>
          <cell r="J2015" t="str">
            <v/>
          </cell>
          <cell r="O2015" t="str">
            <v/>
          </cell>
          <cell r="P2015" t="str">
            <v/>
          </cell>
          <cell r="Q2015" t="str">
            <v/>
          </cell>
          <cell r="S2015" t="str">
            <v/>
          </cell>
          <cell r="V2015" t="str">
            <v/>
          </cell>
          <cell r="Z2015" t="str">
            <v/>
          </cell>
          <cell r="AA2015" t="str">
            <v/>
          </cell>
          <cell r="AB2015" t="str">
            <v/>
          </cell>
          <cell r="AC2015" t="str">
            <v/>
          </cell>
          <cell r="AD2015" t="str">
            <v/>
          </cell>
          <cell r="AY2015" t="str">
            <v/>
          </cell>
          <cell r="AZ2015" t="str">
            <v/>
          </cell>
          <cell r="BA2015" t="str">
            <v/>
          </cell>
        </row>
        <row r="2016">
          <cell r="B2016" t="str">
            <v>-</v>
          </cell>
          <cell r="E2016" t="str">
            <v/>
          </cell>
          <cell r="G2016" t="str">
            <v/>
          </cell>
          <cell r="J2016" t="str">
            <v/>
          </cell>
          <cell r="O2016" t="str">
            <v/>
          </cell>
          <cell r="P2016" t="str">
            <v/>
          </cell>
          <cell r="Q2016" t="str">
            <v/>
          </cell>
          <cell r="S2016" t="str">
            <v/>
          </cell>
          <cell r="V2016" t="str">
            <v/>
          </cell>
          <cell r="Z2016" t="str">
            <v/>
          </cell>
          <cell r="AA2016" t="str">
            <v/>
          </cell>
          <cell r="AB2016" t="str">
            <v/>
          </cell>
          <cell r="AC2016" t="str">
            <v/>
          </cell>
          <cell r="AD2016" t="str">
            <v/>
          </cell>
          <cell r="AY2016" t="str">
            <v/>
          </cell>
          <cell r="AZ2016" t="str">
            <v/>
          </cell>
          <cell r="BA2016" t="str">
            <v/>
          </cell>
        </row>
        <row r="2017">
          <cell r="B2017" t="str">
            <v>-</v>
          </cell>
          <cell r="E2017" t="str">
            <v/>
          </cell>
          <cell r="G2017" t="str">
            <v/>
          </cell>
          <cell r="J2017" t="str">
            <v/>
          </cell>
          <cell r="O2017" t="str">
            <v/>
          </cell>
          <cell r="P2017" t="str">
            <v/>
          </cell>
          <cell r="Q2017" t="str">
            <v/>
          </cell>
          <cell r="S2017" t="str">
            <v/>
          </cell>
          <cell r="V2017" t="str">
            <v/>
          </cell>
          <cell r="Z2017" t="str">
            <v/>
          </cell>
          <cell r="AA2017" t="str">
            <v/>
          </cell>
          <cell r="AB2017" t="str">
            <v/>
          </cell>
          <cell r="AC2017" t="str">
            <v/>
          </cell>
          <cell r="AD2017" t="str">
            <v/>
          </cell>
          <cell r="AY2017" t="str">
            <v/>
          </cell>
          <cell r="AZ2017" t="str">
            <v/>
          </cell>
          <cell r="BA2017" t="str">
            <v/>
          </cell>
        </row>
        <row r="2018">
          <cell r="B2018" t="str">
            <v>-</v>
          </cell>
          <cell r="E2018" t="str">
            <v/>
          </cell>
          <cell r="G2018" t="str">
            <v/>
          </cell>
          <cell r="J2018" t="str">
            <v/>
          </cell>
          <cell r="O2018" t="str">
            <v/>
          </cell>
          <cell r="P2018" t="str">
            <v/>
          </cell>
          <cell r="Q2018" t="str">
            <v/>
          </cell>
          <cell r="S2018" t="str">
            <v/>
          </cell>
          <cell r="V2018" t="str">
            <v/>
          </cell>
          <cell r="Z2018" t="str">
            <v/>
          </cell>
          <cell r="AA2018" t="str">
            <v/>
          </cell>
          <cell r="AB2018" t="str">
            <v/>
          </cell>
          <cell r="AC2018" t="str">
            <v/>
          </cell>
          <cell r="AD2018" t="str">
            <v/>
          </cell>
          <cell r="AY2018" t="str">
            <v/>
          </cell>
          <cell r="AZ2018" t="str">
            <v/>
          </cell>
          <cell r="BA2018" t="str">
            <v/>
          </cell>
        </row>
        <row r="2019">
          <cell r="B2019" t="str">
            <v>-</v>
          </cell>
          <cell r="E2019" t="str">
            <v/>
          </cell>
          <cell r="G2019" t="str">
            <v/>
          </cell>
          <cell r="J2019" t="str">
            <v/>
          </cell>
          <cell r="O2019" t="str">
            <v/>
          </cell>
          <cell r="P2019" t="str">
            <v/>
          </cell>
          <cell r="Q2019" t="str">
            <v/>
          </cell>
          <cell r="S2019" t="str">
            <v/>
          </cell>
          <cell r="V2019" t="str">
            <v/>
          </cell>
          <cell r="Z2019" t="str">
            <v/>
          </cell>
          <cell r="AA2019" t="str">
            <v/>
          </cell>
          <cell r="AB2019" t="str">
            <v/>
          </cell>
          <cell r="AC2019" t="str">
            <v/>
          </cell>
          <cell r="AD2019" t="str">
            <v/>
          </cell>
          <cell r="AY2019" t="str">
            <v/>
          </cell>
          <cell r="AZ2019" t="str">
            <v/>
          </cell>
          <cell r="BA2019" t="str">
            <v/>
          </cell>
        </row>
        <row r="2020">
          <cell r="B2020" t="str">
            <v>-</v>
          </cell>
          <cell r="E2020" t="str">
            <v/>
          </cell>
          <cell r="G2020" t="str">
            <v/>
          </cell>
          <cell r="J2020" t="str">
            <v/>
          </cell>
          <cell r="O2020" t="str">
            <v/>
          </cell>
          <cell r="P2020" t="str">
            <v/>
          </cell>
          <cell r="Q2020" t="str">
            <v/>
          </cell>
          <cell r="S2020" t="str">
            <v/>
          </cell>
          <cell r="V2020" t="str">
            <v/>
          </cell>
          <cell r="Z2020" t="str">
            <v/>
          </cell>
          <cell r="AA2020" t="str">
            <v/>
          </cell>
          <cell r="AB2020" t="str">
            <v/>
          </cell>
          <cell r="AC2020" t="str">
            <v/>
          </cell>
          <cell r="AD2020" t="str">
            <v/>
          </cell>
          <cell r="AY2020" t="str">
            <v/>
          </cell>
          <cell r="AZ2020" t="str">
            <v/>
          </cell>
          <cell r="BA2020" t="str">
            <v/>
          </cell>
        </row>
        <row r="2021">
          <cell r="B2021" t="str">
            <v>-</v>
          </cell>
          <cell r="E2021" t="str">
            <v/>
          </cell>
          <cell r="G2021" t="str">
            <v/>
          </cell>
          <cell r="J2021" t="str">
            <v/>
          </cell>
          <cell r="O2021" t="str">
            <v/>
          </cell>
          <cell r="P2021" t="str">
            <v/>
          </cell>
          <cell r="Q2021" t="str">
            <v/>
          </cell>
          <cell r="S2021" t="str">
            <v/>
          </cell>
          <cell r="V2021" t="str">
            <v/>
          </cell>
          <cell r="Z2021" t="str">
            <v/>
          </cell>
          <cell r="AA2021" t="str">
            <v/>
          </cell>
          <cell r="AB2021" t="str">
            <v/>
          </cell>
          <cell r="AC2021" t="str">
            <v/>
          </cell>
          <cell r="AD2021" t="str">
            <v/>
          </cell>
          <cell r="AY2021" t="str">
            <v/>
          </cell>
          <cell r="AZ2021" t="str">
            <v/>
          </cell>
          <cell r="BA2021" t="str">
            <v/>
          </cell>
        </row>
        <row r="2022">
          <cell r="B2022" t="str">
            <v>-</v>
          </cell>
          <cell r="E2022" t="str">
            <v/>
          </cell>
          <cell r="G2022" t="str">
            <v/>
          </cell>
          <cell r="J2022" t="str">
            <v/>
          </cell>
          <cell r="O2022" t="str">
            <v/>
          </cell>
          <cell r="P2022" t="str">
            <v/>
          </cell>
          <cell r="Q2022" t="str">
            <v/>
          </cell>
          <cell r="S2022" t="str">
            <v/>
          </cell>
          <cell r="V2022" t="str">
            <v/>
          </cell>
          <cell r="Z2022" t="str">
            <v/>
          </cell>
          <cell r="AA2022" t="str">
            <v/>
          </cell>
          <cell r="AB2022" t="str">
            <v/>
          </cell>
          <cell r="AC2022" t="str">
            <v/>
          </cell>
          <cell r="AD2022" t="str">
            <v/>
          </cell>
          <cell r="AY2022" t="str">
            <v/>
          </cell>
          <cell r="AZ2022" t="str">
            <v/>
          </cell>
          <cell r="BA2022" t="str">
            <v/>
          </cell>
        </row>
        <row r="2023">
          <cell r="B2023" t="str">
            <v>-</v>
          </cell>
          <cell r="E2023" t="str">
            <v/>
          </cell>
          <cell r="G2023" t="str">
            <v/>
          </cell>
          <cell r="J2023" t="str">
            <v/>
          </cell>
          <cell r="O2023" t="str">
            <v/>
          </cell>
          <cell r="P2023" t="str">
            <v/>
          </cell>
          <cell r="Q2023" t="str">
            <v/>
          </cell>
          <cell r="S2023" t="str">
            <v/>
          </cell>
          <cell r="V2023" t="str">
            <v/>
          </cell>
          <cell r="Z2023" t="str">
            <v/>
          </cell>
          <cell r="AA2023" t="str">
            <v/>
          </cell>
          <cell r="AB2023" t="str">
            <v/>
          </cell>
          <cell r="AC2023" t="str">
            <v/>
          </cell>
          <cell r="AD2023" t="str">
            <v/>
          </cell>
          <cell r="AY2023" t="str">
            <v/>
          </cell>
          <cell r="AZ2023" t="str">
            <v/>
          </cell>
          <cell r="BA2023" t="str">
            <v/>
          </cell>
        </row>
        <row r="2024">
          <cell r="B2024" t="str">
            <v>-</v>
          </cell>
          <cell r="E2024" t="str">
            <v/>
          </cell>
          <cell r="G2024" t="str">
            <v/>
          </cell>
          <cell r="J2024" t="str">
            <v/>
          </cell>
          <cell r="O2024" t="str">
            <v/>
          </cell>
          <cell r="P2024" t="str">
            <v/>
          </cell>
          <cell r="Q2024" t="str">
            <v/>
          </cell>
          <cell r="S2024" t="str">
            <v/>
          </cell>
          <cell r="V2024" t="str">
            <v/>
          </cell>
          <cell r="Z2024" t="str">
            <v/>
          </cell>
          <cell r="AA2024" t="str">
            <v/>
          </cell>
          <cell r="AB2024" t="str">
            <v/>
          </cell>
          <cell r="AC2024" t="str">
            <v/>
          </cell>
          <cell r="AD2024" t="str">
            <v/>
          </cell>
          <cell r="AY2024" t="str">
            <v/>
          </cell>
          <cell r="AZ2024" t="str">
            <v/>
          </cell>
          <cell r="BA2024" t="str">
            <v/>
          </cell>
        </row>
        <row r="2025">
          <cell r="B2025" t="str">
            <v>-</v>
          </cell>
          <cell r="E2025" t="str">
            <v/>
          </cell>
          <cell r="G2025" t="str">
            <v/>
          </cell>
          <cell r="J2025" t="str">
            <v/>
          </cell>
          <cell r="O2025" t="str">
            <v/>
          </cell>
          <cell r="P2025" t="str">
            <v/>
          </cell>
          <cell r="Q2025" t="str">
            <v/>
          </cell>
          <cell r="S2025" t="str">
            <v/>
          </cell>
          <cell r="V2025" t="str">
            <v/>
          </cell>
          <cell r="Z2025" t="str">
            <v/>
          </cell>
          <cell r="AA2025" t="str">
            <v/>
          </cell>
          <cell r="AB2025" t="str">
            <v/>
          </cell>
          <cell r="AC2025" t="str">
            <v/>
          </cell>
          <cell r="AD2025" t="str">
            <v/>
          </cell>
          <cell r="AY2025" t="str">
            <v/>
          </cell>
          <cell r="AZ2025" t="str">
            <v/>
          </cell>
          <cell r="BA2025" t="str">
            <v/>
          </cell>
        </row>
        <row r="2026">
          <cell r="B2026" t="str">
            <v>-</v>
          </cell>
          <cell r="E2026" t="str">
            <v/>
          </cell>
          <cell r="G2026" t="str">
            <v/>
          </cell>
          <cell r="J2026" t="str">
            <v/>
          </cell>
          <cell r="O2026" t="str">
            <v/>
          </cell>
          <cell r="P2026" t="str">
            <v/>
          </cell>
          <cell r="Q2026" t="str">
            <v/>
          </cell>
          <cell r="S2026" t="str">
            <v/>
          </cell>
          <cell r="V2026" t="str">
            <v/>
          </cell>
          <cell r="Z2026" t="str">
            <v/>
          </cell>
          <cell r="AA2026" t="str">
            <v/>
          </cell>
          <cell r="AB2026" t="str">
            <v/>
          </cell>
          <cell r="AC2026" t="str">
            <v/>
          </cell>
          <cell r="AD2026" t="str">
            <v/>
          </cell>
          <cell r="AY2026" t="str">
            <v/>
          </cell>
          <cell r="AZ2026" t="str">
            <v/>
          </cell>
          <cell r="BA2026" t="str">
            <v/>
          </cell>
        </row>
        <row r="2027">
          <cell r="B2027" t="str">
            <v>-</v>
          </cell>
          <cell r="E2027" t="str">
            <v/>
          </cell>
          <cell r="G2027" t="str">
            <v/>
          </cell>
          <cell r="J2027" t="str">
            <v/>
          </cell>
          <cell r="O2027" t="str">
            <v/>
          </cell>
          <cell r="P2027" t="str">
            <v/>
          </cell>
          <cell r="Q2027" t="str">
            <v/>
          </cell>
          <cell r="S2027" t="str">
            <v/>
          </cell>
          <cell r="V2027" t="str">
            <v/>
          </cell>
          <cell r="Z2027" t="str">
            <v/>
          </cell>
          <cell r="AA2027" t="str">
            <v/>
          </cell>
          <cell r="AB2027" t="str">
            <v/>
          </cell>
          <cell r="AC2027" t="str">
            <v/>
          </cell>
          <cell r="AD2027" t="str">
            <v/>
          </cell>
          <cell r="AY2027" t="str">
            <v/>
          </cell>
          <cell r="AZ2027" t="str">
            <v/>
          </cell>
          <cell r="BA2027" t="str">
            <v/>
          </cell>
        </row>
        <row r="2028">
          <cell r="B2028" t="str">
            <v>-</v>
          </cell>
          <cell r="E2028" t="str">
            <v/>
          </cell>
          <cell r="G2028" t="str">
            <v/>
          </cell>
          <cell r="J2028" t="str">
            <v/>
          </cell>
          <cell r="O2028" t="str">
            <v/>
          </cell>
          <cell r="P2028" t="str">
            <v/>
          </cell>
          <cell r="Q2028" t="str">
            <v/>
          </cell>
          <cell r="S2028" t="str">
            <v/>
          </cell>
          <cell r="V2028" t="str">
            <v/>
          </cell>
          <cell r="Z2028" t="str">
            <v/>
          </cell>
          <cell r="AA2028" t="str">
            <v/>
          </cell>
          <cell r="AB2028" t="str">
            <v/>
          </cell>
          <cell r="AC2028" t="str">
            <v/>
          </cell>
          <cell r="AD2028" t="str">
            <v/>
          </cell>
          <cell r="AY2028" t="str">
            <v/>
          </cell>
          <cell r="AZ2028" t="str">
            <v/>
          </cell>
          <cell r="BA2028" t="str">
            <v/>
          </cell>
        </row>
        <row r="2029">
          <cell r="B2029" t="str">
            <v>-</v>
          </cell>
          <cell r="E2029" t="str">
            <v/>
          </cell>
          <cell r="G2029" t="str">
            <v/>
          </cell>
          <cell r="J2029" t="str">
            <v/>
          </cell>
          <cell r="O2029" t="str">
            <v/>
          </cell>
          <cell r="P2029" t="str">
            <v/>
          </cell>
          <cell r="Q2029" t="str">
            <v/>
          </cell>
          <cell r="S2029" t="str">
            <v/>
          </cell>
          <cell r="V2029" t="str">
            <v/>
          </cell>
          <cell r="Z2029" t="str">
            <v/>
          </cell>
          <cell r="AA2029" t="str">
            <v/>
          </cell>
          <cell r="AB2029" t="str">
            <v/>
          </cell>
          <cell r="AC2029" t="str">
            <v/>
          </cell>
          <cell r="AD2029" t="str">
            <v/>
          </cell>
          <cell r="AY2029" t="str">
            <v/>
          </cell>
          <cell r="AZ2029" t="str">
            <v/>
          </cell>
          <cell r="BA2029" t="str">
            <v/>
          </cell>
        </row>
        <row r="2030">
          <cell r="B2030" t="str">
            <v>-</v>
          </cell>
          <cell r="E2030" t="str">
            <v/>
          </cell>
          <cell r="G2030" t="str">
            <v/>
          </cell>
          <cell r="J2030" t="str">
            <v/>
          </cell>
          <cell r="O2030" t="str">
            <v/>
          </cell>
          <cell r="P2030" t="str">
            <v/>
          </cell>
          <cell r="Q2030" t="str">
            <v/>
          </cell>
          <cell r="S2030" t="str">
            <v/>
          </cell>
          <cell r="V2030" t="str">
            <v/>
          </cell>
          <cell r="Z2030" t="str">
            <v/>
          </cell>
          <cell r="AA2030" t="str">
            <v/>
          </cell>
          <cell r="AB2030" t="str">
            <v/>
          </cell>
          <cell r="AC2030" t="str">
            <v/>
          </cell>
          <cell r="AD2030" t="str">
            <v/>
          </cell>
          <cell r="AY2030" t="str">
            <v/>
          </cell>
          <cell r="AZ2030" t="str">
            <v/>
          </cell>
          <cell r="BA2030" t="str">
            <v/>
          </cell>
        </row>
        <row r="2031">
          <cell r="B2031" t="str">
            <v>-</v>
          </cell>
          <cell r="E2031" t="str">
            <v/>
          </cell>
          <cell r="G2031" t="str">
            <v/>
          </cell>
          <cell r="J2031" t="str">
            <v/>
          </cell>
          <cell r="O2031" t="str">
            <v/>
          </cell>
          <cell r="P2031" t="str">
            <v/>
          </cell>
          <cell r="Q2031" t="str">
            <v/>
          </cell>
          <cell r="S2031" t="str">
            <v/>
          </cell>
          <cell r="V2031" t="str">
            <v/>
          </cell>
          <cell r="Z2031" t="str">
            <v/>
          </cell>
          <cell r="AA2031" t="str">
            <v/>
          </cell>
          <cell r="AB2031" t="str">
            <v/>
          </cell>
          <cell r="AC2031" t="str">
            <v/>
          </cell>
          <cell r="AD2031" t="str">
            <v/>
          </cell>
          <cell r="AY2031" t="str">
            <v/>
          </cell>
          <cell r="AZ2031" t="str">
            <v/>
          </cell>
          <cell r="BA2031" t="str">
            <v/>
          </cell>
        </row>
        <row r="2032">
          <cell r="B2032" t="str">
            <v>-</v>
          </cell>
          <cell r="E2032" t="str">
            <v/>
          </cell>
          <cell r="G2032" t="str">
            <v/>
          </cell>
          <cell r="J2032" t="str">
            <v/>
          </cell>
          <cell r="O2032" t="str">
            <v/>
          </cell>
          <cell r="P2032" t="str">
            <v/>
          </cell>
          <cell r="Q2032" t="str">
            <v/>
          </cell>
          <cell r="S2032" t="str">
            <v/>
          </cell>
          <cell r="V2032" t="str">
            <v/>
          </cell>
          <cell r="Z2032" t="str">
            <v/>
          </cell>
          <cell r="AA2032" t="str">
            <v/>
          </cell>
          <cell r="AB2032" t="str">
            <v/>
          </cell>
          <cell r="AC2032" t="str">
            <v/>
          </cell>
          <cell r="AD2032" t="str">
            <v/>
          </cell>
          <cell r="AY2032" t="str">
            <v/>
          </cell>
          <cell r="AZ2032" t="str">
            <v/>
          </cell>
          <cell r="BA2032" t="str">
            <v/>
          </cell>
        </row>
        <row r="2033">
          <cell r="B2033" t="str">
            <v>-</v>
          </cell>
          <cell r="E2033" t="str">
            <v/>
          </cell>
          <cell r="G2033" t="str">
            <v/>
          </cell>
          <cell r="J2033" t="str">
            <v/>
          </cell>
          <cell r="O2033" t="str">
            <v/>
          </cell>
          <cell r="P2033" t="str">
            <v/>
          </cell>
          <cell r="Q2033" t="str">
            <v/>
          </cell>
          <cell r="S2033" t="str">
            <v/>
          </cell>
          <cell r="V2033" t="str">
            <v/>
          </cell>
          <cell r="Z2033" t="str">
            <v/>
          </cell>
          <cell r="AA2033" t="str">
            <v/>
          </cell>
          <cell r="AB2033" t="str">
            <v/>
          </cell>
          <cell r="AC2033" t="str">
            <v/>
          </cell>
          <cell r="AD2033" t="str">
            <v/>
          </cell>
          <cell r="AY2033" t="str">
            <v/>
          </cell>
          <cell r="AZ2033" t="str">
            <v/>
          </cell>
          <cell r="BA2033" t="str">
            <v/>
          </cell>
        </row>
        <row r="2034">
          <cell r="B2034" t="str">
            <v>-</v>
          </cell>
          <cell r="E2034" t="str">
            <v/>
          </cell>
          <cell r="G2034" t="str">
            <v/>
          </cell>
          <cell r="J2034" t="str">
            <v/>
          </cell>
          <cell r="O2034" t="str">
            <v/>
          </cell>
          <cell r="P2034" t="str">
            <v/>
          </cell>
          <cell r="Q2034" t="str">
            <v/>
          </cell>
          <cell r="S2034" t="str">
            <v/>
          </cell>
          <cell r="V2034" t="str">
            <v/>
          </cell>
          <cell r="Z2034" t="str">
            <v/>
          </cell>
          <cell r="AA2034" t="str">
            <v/>
          </cell>
          <cell r="AB2034" t="str">
            <v/>
          </cell>
          <cell r="AC2034" t="str">
            <v/>
          </cell>
          <cell r="AD2034" t="str">
            <v/>
          </cell>
          <cell r="AY2034" t="str">
            <v/>
          </cell>
          <cell r="AZ2034" t="str">
            <v/>
          </cell>
          <cell r="BA2034" t="str">
            <v/>
          </cell>
        </row>
        <row r="2035">
          <cell r="B2035" t="str">
            <v>-</v>
          </cell>
          <cell r="E2035" t="str">
            <v/>
          </cell>
          <cell r="G2035" t="str">
            <v/>
          </cell>
          <cell r="J2035" t="str">
            <v/>
          </cell>
          <cell r="O2035" t="str">
            <v/>
          </cell>
          <cell r="P2035" t="str">
            <v/>
          </cell>
          <cell r="Q2035" t="str">
            <v/>
          </cell>
          <cell r="S2035" t="str">
            <v/>
          </cell>
          <cell r="V2035" t="str">
            <v/>
          </cell>
          <cell r="Z2035" t="str">
            <v/>
          </cell>
          <cell r="AA2035" t="str">
            <v/>
          </cell>
          <cell r="AB2035" t="str">
            <v/>
          </cell>
          <cell r="AC2035" t="str">
            <v/>
          </cell>
          <cell r="AD2035" t="str">
            <v/>
          </cell>
          <cell r="AY2035" t="str">
            <v/>
          </cell>
          <cell r="AZ2035" t="str">
            <v/>
          </cell>
          <cell r="BA2035" t="str">
            <v/>
          </cell>
        </row>
        <row r="2036">
          <cell r="B2036" t="str">
            <v>-</v>
          </cell>
          <cell r="E2036" t="str">
            <v/>
          </cell>
          <cell r="G2036" t="str">
            <v/>
          </cell>
          <cell r="J2036" t="str">
            <v/>
          </cell>
          <cell r="O2036" t="str">
            <v/>
          </cell>
          <cell r="P2036" t="str">
            <v/>
          </cell>
          <cell r="Q2036" t="str">
            <v/>
          </cell>
          <cell r="S2036" t="str">
            <v/>
          </cell>
          <cell r="V2036" t="str">
            <v/>
          </cell>
          <cell r="Z2036" t="str">
            <v/>
          </cell>
          <cell r="AA2036" t="str">
            <v/>
          </cell>
          <cell r="AB2036" t="str">
            <v/>
          </cell>
          <cell r="AC2036" t="str">
            <v/>
          </cell>
          <cell r="AD2036" t="str">
            <v/>
          </cell>
          <cell r="AY2036" t="str">
            <v/>
          </cell>
          <cell r="AZ2036" t="str">
            <v/>
          </cell>
          <cell r="BA2036" t="str">
            <v/>
          </cell>
        </row>
        <row r="2037">
          <cell r="B2037" t="str">
            <v>-</v>
          </cell>
          <cell r="E2037" t="str">
            <v/>
          </cell>
          <cell r="G2037" t="str">
            <v/>
          </cell>
          <cell r="J2037" t="str">
            <v/>
          </cell>
          <cell r="O2037" t="str">
            <v/>
          </cell>
          <cell r="P2037" t="str">
            <v/>
          </cell>
          <cell r="Q2037" t="str">
            <v/>
          </cell>
          <cell r="S2037" t="str">
            <v/>
          </cell>
          <cell r="V2037" t="str">
            <v/>
          </cell>
          <cell r="Z2037" t="str">
            <v/>
          </cell>
          <cell r="AA2037" t="str">
            <v/>
          </cell>
          <cell r="AB2037" t="str">
            <v/>
          </cell>
          <cell r="AC2037" t="str">
            <v/>
          </cell>
          <cell r="AD2037" t="str">
            <v/>
          </cell>
          <cell r="AY2037" t="str">
            <v/>
          </cell>
          <cell r="AZ2037" t="str">
            <v/>
          </cell>
          <cell r="BA2037" t="str">
            <v/>
          </cell>
        </row>
        <row r="2038">
          <cell r="B2038" t="str">
            <v>-</v>
          </cell>
          <cell r="E2038" t="str">
            <v/>
          </cell>
          <cell r="G2038" t="str">
            <v/>
          </cell>
          <cell r="J2038" t="str">
            <v/>
          </cell>
          <cell r="O2038" t="str">
            <v/>
          </cell>
          <cell r="P2038" t="str">
            <v/>
          </cell>
          <cell r="Q2038" t="str">
            <v/>
          </cell>
          <cell r="S2038" t="str">
            <v/>
          </cell>
          <cell r="V2038" t="str">
            <v/>
          </cell>
          <cell r="Z2038" t="str">
            <v/>
          </cell>
          <cell r="AA2038" t="str">
            <v/>
          </cell>
          <cell r="AB2038" t="str">
            <v/>
          </cell>
          <cell r="AC2038" t="str">
            <v/>
          </cell>
          <cell r="AD2038" t="str">
            <v/>
          </cell>
          <cell r="AY2038" t="str">
            <v/>
          </cell>
          <cell r="AZ2038" t="str">
            <v/>
          </cell>
          <cell r="BA2038" t="str">
            <v/>
          </cell>
        </row>
        <row r="2039">
          <cell r="B2039" t="str">
            <v>-</v>
          </cell>
          <cell r="E2039" t="str">
            <v/>
          </cell>
          <cell r="G2039" t="str">
            <v/>
          </cell>
          <cell r="J2039" t="str">
            <v/>
          </cell>
          <cell r="O2039" t="str">
            <v/>
          </cell>
          <cell r="P2039" t="str">
            <v/>
          </cell>
          <cell r="Q2039" t="str">
            <v/>
          </cell>
          <cell r="S2039" t="str">
            <v/>
          </cell>
          <cell r="V2039" t="str">
            <v/>
          </cell>
          <cell r="Z2039" t="str">
            <v/>
          </cell>
          <cell r="AA2039" t="str">
            <v/>
          </cell>
          <cell r="AB2039" t="str">
            <v/>
          </cell>
          <cell r="AC2039" t="str">
            <v/>
          </cell>
          <cell r="AD2039" t="str">
            <v/>
          </cell>
          <cell r="AY2039" t="str">
            <v/>
          </cell>
          <cell r="AZ2039" t="str">
            <v/>
          </cell>
          <cell r="BA2039" t="str">
            <v/>
          </cell>
        </row>
        <row r="2040">
          <cell r="B2040" t="str">
            <v>-</v>
          </cell>
          <cell r="E2040" t="str">
            <v/>
          </cell>
          <cell r="G2040" t="str">
            <v/>
          </cell>
          <cell r="J2040" t="str">
            <v/>
          </cell>
          <cell r="O2040" t="str">
            <v/>
          </cell>
          <cell r="P2040" t="str">
            <v/>
          </cell>
          <cell r="Q2040" t="str">
            <v/>
          </cell>
          <cell r="S2040" t="str">
            <v/>
          </cell>
          <cell r="V2040" t="str">
            <v/>
          </cell>
          <cell r="Z2040" t="str">
            <v/>
          </cell>
          <cell r="AA2040" t="str">
            <v/>
          </cell>
          <cell r="AB2040" t="str">
            <v/>
          </cell>
          <cell r="AC2040" t="str">
            <v/>
          </cell>
          <cell r="AD2040" t="str">
            <v/>
          </cell>
          <cell r="AY2040" t="str">
            <v/>
          </cell>
          <cell r="AZ2040" t="str">
            <v/>
          </cell>
          <cell r="BA2040" t="str">
            <v/>
          </cell>
        </row>
        <row r="2041">
          <cell r="B2041" t="str">
            <v>-</v>
          </cell>
          <cell r="E2041" t="str">
            <v/>
          </cell>
          <cell r="G2041" t="str">
            <v/>
          </cell>
          <cell r="J2041" t="str">
            <v/>
          </cell>
          <cell r="O2041" t="str">
            <v/>
          </cell>
          <cell r="P2041" t="str">
            <v/>
          </cell>
          <cell r="Q2041" t="str">
            <v/>
          </cell>
          <cell r="S2041" t="str">
            <v/>
          </cell>
          <cell r="V2041" t="str">
            <v/>
          </cell>
          <cell r="Z2041" t="str">
            <v/>
          </cell>
          <cell r="AA2041" t="str">
            <v/>
          </cell>
          <cell r="AB2041" t="str">
            <v/>
          </cell>
          <cell r="AC2041" t="str">
            <v/>
          </cell>
          <cell r="AD2041" t="str">
            <v/>
          </cell>
          <cell r="AY2041" t="str">
            <v/>
          </cell>
          <cell r="AZ2041" t="str">
            <v/>
          </cell>
          <cell r="BA2041" t="str">
            <v/>
          </cell>
        </row>
        <row r="2042">
          <cell r="B2042" t="str">
            <v>-</v>
          </cell>
          <cell r="E2042" t="str">
            <v/>
          </cell>
          <cell r="G2042" t="str">
            <v/>
          </cell>
          <cell r="J2042" t="str">
            <v/>
          </cell>
          <cell r="O2042" t="str">
            <v/>
          </cell>
          <cell r="P2042" t="str">
            <v/>
          </cell>
          <cell r="Q2042" t="str">
            <v/>
          </cell>
          <cell r="S2042" t="str">
            <v/>
          </cell>
          <cell r="V2042" t="str">
            <v/>
          </cell>
          <cell r="Z2042" t="str">
            <v/>
          </cell>
          <cell r="AA2042" t="str">
            <v/>
          </cell>
          <cell r="AB2042" t="str">
            <v/>
          </cell>
          <cell r="AC2042" t="str">
            <v/>
          </cell>
          <cell r="AD2042" t="str">
            <v/>
          </cell>
          <cell r="AY2042" t="str">
            <v/>
          </cell>
          <cell r="AZ2042" t="str">
            <v/>
          </cell>
          <cell r="BA2042" t="str">
            <v/>
          </cell>
        </row>
        <row r="2043">
          <cell r="B2043" t="str">
            <v>-</v>
          </cell>
          <cell r="E2043" t="str">
            <v/>
          </cell>
          <cell r="G2043" t="str">
            <v/>
          </cell>
          <cell r="J2043" t="str">
            <v/>
          </cell>
          <cell r="O2043" t="str">
            <v/>
          </cell>
          <cell r="P2043" t="str">
            <v/>
          </cell>
          <cell r="Q2043" t="str">
            <v/>
          </cell>
          <cell r="S2043" t="str">
            <v/>
          </cell>
          <cell r="V2043" t="str">
            <v/>
          </cell>
          <cell r="Z2043" t="str">
            <v/>
          </cell>
          <cell r="AA2043" t="str">
            <v/>
          </cell>
          <cell r="AB2043" t="str">
            <v/>
          </cell>
          <cell r="AC2043" t="str">
            <v/>
          </cell>
          <cell r="AD2043" t="str">
            <v/>
          </cell>
          <cell r="AY2043" t="str">
            <v/>
          </cell>
          <cell r="AZ2043" t="str">
            <v/>
          </cell>
          <cell r="BA2043" t="str">
            <v/>
          </cell>
        </row>
        <row r="2044">
          <cell r="B2044" t="str">
            <v>-</v>
          </cell>
          <cell r="E2044" t="str">
            <v/>
          </cell>
          <cell r="G2044" t="str">
            <v/>
          </cell>
          <cell r="J2044" t="str">
            <v/>
          </cell>
          <cell r="O2044" t="str">
            <v/>
          </cell>
          <cell r="P2044" t="str">
            <v/>
          </cell>
          <cell r="Q2044" t="str">
            <v/>
          </cell>
          <cell r="S2044" t="str">
            <v/>
          </cell>
          <cell r="V2044" t="str">
            <v/>
          </cell>
          <cell r="Z2044" t="str">
            <v/>
          </cell>
          <cell r="AA2044" t="str">
            <v/>
          </cell>
          <cell r="AB2044" t="str">
            <v/>
          </cell>
          <cell r="AC2044" t="str">
            <v/>
          </cell>
          <cell r="AD2044" t="str">
            <v/>
          </cell>
          <cell r="AY2044" t="str">
            <v/>
          </cell>
          <cell r="AZ2044" t="str">
            <v/>
          </cell>
          <cell r="BA2044" t="str">
            <v/>
          </cell>
        </row>
        <row r="2045">
          <cell r="B2045" t="str">
            <v>-</v>
          </cell>
          <cell r="E2045" t="str">
            <v/>
          </cell>
          <cell r="G2045" t="str">
            <v/>
          </cell>
          <cell r="J2045" t="str">
            <v/>
          </cell>
          <cell r="O2045" t="str">
            <v/>
          </cell>
          <cell r="P2045" t="str">
            <v/>
          </cell>
          <cell r="Q2045" t="str">
            <v/>
          </cell>
          <cell r="S2045" t="str">
            <v/>
          </cell>
          <cell r="V2045" t="str">
            <v/>
          </cell>
          <cell r="Z2045" t="str">
            <v/>
          </cell>
          <cell r="AA2045" t="str">
            <v/>
          </cell>
          <cell r="AB2045" t="str">
            <v/>
          </cell>
          <cell r="AC2045" t="str">
            <v/>
          </cell>
          <cell r="AD2045" t="str">
            <v/>
          </cell>
          <cell r="AY2045" t="str">
            <v/>
          </cell>
          <cell r="AZ2045" t="str">
            <v/>
          </cell>
          <cell r="BA2045" t="str">
            <v/>
          </cell>
        </row>
        <row r="2046">
          <cell r="B2046" t="str">
            <v>-</v>
          </cell>
          <cell r="E2046" t="str">
            <v/>
          </cell>
          <cell r="G2046" t="str">
            <v/>
          </cell>
          <cell r="J2046" t="str">
            <v/>
          </cell>
          <cell r="O2046" t="str">
            <v/>
          </cell>
          <cell r="P2046" t="str">
            <v/>
          </cell>
          <cell r="Q2046" t="str">
            <v/>
          </cell>
          <cell r="S2046" t="str">
            <v/>
          </cell>
          <cell r="V2046" t="str">
            <v/>
          </cell>
          <cell r="Z2046" t="str">
            <v/>
          </cell>
          <cell r="AA2046" t="str">
            <v/>
          </cell>
          <cell r="AB2046" t="str">
            <v/>
          </cell>
          <cell r="AC2046" t="str">
            <v/>
          </cell>
          <cell r="AD2046" t="str">
            <v/>
          </cell>
          <cell r="AY2046" t="str">
            <v/>
          </cell>
          <cell r="AZ2046" t="str">
            <v/>
          </cell>
          <cell r="BA2046" t="str">
            <v/>
          </cell>
        </row>
        <row r="2047">
          <cell r="B2047" t="str">
            <v>-</v>
          </cell>
          <cell r="E2047" t="str">
            <v/>
          </cell>
          <cell r="G2047" t="str">
            <v/>
          </cell>
          <cell r="J2047" t="str">
            <v/>
          </cell>
          <cell r="O2047" t="str">
            <v/>
          </cell>
          <cell r="P2047" t="str">
            <v/>
          </cell>
          <cell r="Q2047" t="str">
            <v/>
          </cell>
          <cell r="S2047" t="str">
            <v/>
          </cell>
          <cell r="V2047" t="str">
            <v/>
          </cell>
          <cell r="Z2047" t="str">
            <v/>
          </cell>
          <cell r="AA2047" t="str">
            <v/>
          </cell>
          <cell r="AB2047" t="str">
            <v/>
          </cell>
          <cell r="AC2047" t="str">
            <v/>
          </cell>
          <cell r="AD2047" t="str">
            <v/>
          </cell>
          <cell r="AY2047" t="str">
            <v/>
          </cell>
          <cell r="AZ2047" t="str">
            <v/>
          </cell>
          <cell r="BA2047" t="str">
            <v/>
          </cell>
        </row>
        <row r="2048">
          <cell r="B2048" t="str">
            <v>-</v>
          </cell>
          <cell r="E2048" t="str">
            <v/>
          </cell>
          <cell r="G2048" t="str">
            <v/>
          </cell>
          <cell r="J2048" t="str">
            <v/>
          </cell>
          <cell r="O2048" t="str">
            <v/>
          </cell>
          <cell r="P2048" t="str">
            <v/>
          </cell>
          <cell r="Q2048" t="str">
            <v/>
          </cell>
          <cell r="S2048" t="str">
            <v/>
          </cell>
          <cell r="V2048" t="str">
            <v/>
          </cell>
          <cell r="Z2048" t="str">
            <v/>
          </cell>
          <cell r="AA2048" t="str">
            <v/>
          </cell>
          <cell r="AB2048" t="str">
            <v/>
          </cell>
          <cell r="AC2048" t="str">
            <v/>
          </cell>
          <cell r="AD2048" t="str">
            <v/>
          </cell>
          <cell r="AY2048" t="str">
            <v/>
          </cell>
          <cell r="AZ2048" t="str">
            <v/>
          </cell>
          <cell r="BA2048" t="str">
            <v/>
          </cell>
        </row>
        <row r="2049">
          <cell r="B2049" t="str">
            <v>-</v>
          </cell>
          <cell r="E2049" t="str">
            <v/>
          </cell>
          <cell r="G2049" t="str">
            <v/>
          </cell>
          <cell r="J2049" t="str">
            <v/>
          </cell>
          <cell r="O2049" t="str">
            <v/>
          </cell>
          <cell r="P2049" t="str">
            <v/>
          </cell>
          <cell r="Q2049" t="str">
            <v/>
          </cell>
          <cell r="S2049" t="str">
            <v/>
          </cell>
          <cell r="V2049" t="str">
            <v/>
          </cell>
          <cell r="Z2049" t="str">
            <v/>
          </cell>
          <cell r="AA2049" t="str">
            <v/>
          </cell>
          <cell r="AB2049" t="str">
            <v/>
          </cell>
          <cell r="AC2049" t="str">
            <v/>
          </cell>
          <cell r="AD2049" t="str">
            <v/>
          </cell>
          <cell r="AY2049" t="str">
            <v/>
          </cell>
          <cell r="AZ2049" t="str">
            <v/>
          </cell>
          <cell r="BA2049" t="str">
            <v/>
          </cell>
        </row>
        <row r="2050">
          <cell r="B2050" t="str">
            <v>-</v>
          </cell>
          <cell r="E2050" t="str">
            <v/>
          </cell>
          <cell r="G2050" t="str">
            <v/>
          </cell>
          <cell r="J2050" t="str">
            <v/>
          </cell>
          <cell r="O2050" t="str">
            <v/>
          </cell>
          <cell r="P2050" t="str">
            <v/>
          </cell>
          <cell r="Q2050" t="str">
            <v/>
          </cell>
          <cell r="S2050" t="str">
            <v/>
          </cell>
          <cell r="V2050" t="str">
            <v/>
          </cell>
          <cell r="Z2050" t="str">
            <v/>
          </cell>
          <cell r="AA2050" t="str">
            <v/>
          </cell>
          <cell r="AB2050" t="str">
            <v/>
          </cell>
          <cell r="AC2050" t="str">
            <v/>
          </cell>
          <cell r="AD2050" t="str">
            <v/>
          </cell>
          <cell r="AY2050" t="str">
            <v/>
          </cell>
          <cell r="AZ2050" t="str">
            <v/>
          </cell>
          <cell r="BA2050" t="str">
            <v/>
          </cell>
        </row>
        <row r="2051">
          <cell r="B2051" t="str">
            <v>-</v>
          </cell>
          <cell r="E2051" t="str">
            <v/>
          </cell>
          <cell r="G2051" t="str">
            <v/>
          </cell>
          <cell r="J2051" t="str">
            <v/>
          </cell>
          <cell r="O2051" t="str">
            <v/>
          </cell>
          <cell r="P2051" t="str">
            <v/>
          </cell>
          <cell r="Q2051" t="str">
            <v/>
          </cell>
          <cell r="S2051" t="str">
            <v/>
          </cell>
          <cell r="V2051" t="str">
            <v/>
          </cell>
          <cell r="Z2051" t="str">
            <v/>
          </cell>
          <cell r="AA2051" t="str">
            <v/>
          </cell>
          <cell r="AB2051" t="str">
            <v/>
          </cell>
          <cell r="AC2051" t="str">
            <v/>
          </cell>
          <cell r="AD2051" t="str">
            <v/>
          </cell>
          <cell r="AY2051" t="str">
            <v/>
          </cell>
          <cell r="AZ2051" t="str">
            <v/>
          </cell>
          <cell r="BA2051" t="str">
            <v/>
          </cell>
        </row>
        <row r="2052">
          <cell r="B2052" t="str">
            <v>-</v>
          </cell>
          <cell r="E2052" t="str">
            <v/>
          </cell>
          <cell r="G2052" t="str">
            <v/>
          </cell>
          <cell r="J2052" t="str">
            <v/>
          </cell>
          <cell r="O2052" t="str">
            <v/>
          </cell>
          <cell r="P2052" t="str">
            <v/>
          </cell>
          <cell r="Q2052" t="str">
            <v/>
          </cell>
          <cell r="S2052" t="str">
            <v/>
          </cell>
          <cell r="V2052" t="str">
            <v/>
          </cell>
          <cell r="Z2052" t="str">
            <v/>
          </cell>
          <cell r="AA2052" t="str">
            <v/>
          </cell>
          <cell r="AB2052" t="str">
            <v/>
          </cell>
          <cell r="AC2052" t="str">
            <v/>
          </cell>
          <cell r="AD2052" t="str">
            <v/>
          </cell>
          <cell r="AY2052" t="str">
            <v/>
          </cell>
          <cell r="AZ2052" t="str">
            <v/>
          </cell>
          <cell r="BA2052" t="str">
            <v/>
          </cell>
        </row>
        <row r="2053">
          <cell r="B2053" t="str">
            <v>-</v>
          </cell>
          <cell r="E2053" t="str">
            <v/>
          </cell>
          <cell r="G2053" t="str">
            <v/>
          </cell>
          <cell r="J2053" t="str">
            <v/>
          </cell>
          <cell r="O2053" t="str">
            <v/>
          </cell>
          <cell r="P2053" t="str">
            <v/>
          </cell>
          <cell r="Q2053" t="str">
            <v/>
          </cell>
          <cell r="S2053" t="str">
            <v/>
          </cell>
          <cell r="V2053" t="str">
            <v/>
          </cell>
          <cell r="Z2053" t="str">
            <v/>
          </cell>
          <cell r="AA2053" t="str">
            <v/>
          </cell>
          <cell r="AB2053" t="str">
            <v/>
          </cell>
          <cell r="AC2053" t="str">
            <v/>
          </cell>
          <cell r="AD2053" t="str">
            <v/>
          </cell>
          <cell r="AY2053" t="str">
            <v/>
          </cell>
          <cell r="AZ2053" t="str">
            <v/>
          </cell>
          <cell r="BA2053" t="str">
            <v/>
          </cell>
        </row>
        <row r="2054">
          <cell r="B2054" t="str">
            <v>-</v>
          </cell>
          <cell r="E2054" t="str">
            <v/>
          </cell>
          <cell r="G2054" t="str">
            <v/>
          </cell>
          <cell r="J2054" t="str">
            <v/>
          </cell>
          <cell r="O2054" t="str">
            <v/>
          </cell>
          <cell r="P2054" t="str">
            <v/>
          </cell>
          <cell r="Q2054" t="str">
            <v/>
          </cell>
          <cell r="S2054" t="str">
            <v/>
          </cell>
          <cell r="V2054" t="str">
            <v/>
          </cell>
          <cell r="Z2054" t="str">
            <v/>
          </cell>
          <cell r="AA2054" t="str">
            <v/>
          </cell>
          <cell r="AB2054" t="str">
            <v/>
          </cell>
          <cell r="AC2054" t="str">
            <v/>
          </cell>
          <cell r="AD2054" t="str">
            <v/>
          </cell>
          <cell r="AY2054" t="str">
            <v/>
          </cell>
          <cell r="AZ2054" t="str">
            <v/>
          </cell>
          <cell r="BA2054" t="str">
            <v/>
          </cell>
        </row>
        <row r="2055">
          <cell r="B2055" t="str">
            <v>-</v>
          </cell>
          <cell r="E2055" t="str">
            <v/>
          </cell>
          <cell r="G2055" t="str">
            <v/>
          </cell>
          <cell r="J2055" t="str">
            <v/>
          </cell>
          <cell r="O2055" t="str">
            <v/>
          </cell>
          <cell r="P2055" t="str">
            <v/>
          </cell>
          <cell r="Q2055" t="str">
            <v/>
          </cell>
          <cell r="S2055" t="str">
            <v/>
          </cell>
          <cell r="V2055" t="str">
            <v/>
          </cell>
          <cell r="Z2055" t="str">
            <v/>
          </cell>
          <cell r="AA2055" t="str">
            <v/>
          </cell>
          <cell r="AB2055" t="str">
            <v/>
          </cell>
          <cell r="AC2055" t="str">
            <v/>
          </cell>
          <cell r="AD2055" t="str">
            <v/>
          </cell>
          <cell r="AY2055" t="str">
            <v/>
          </cell>
          <cell r="AZ2055" t="str">
            <v/>
          </cell>
          <cell r="BA2055" t="str">
            <v/>
          </cell>
        </row>
        <row r="2056">
          <cell r="B2056" t="str">
            <v>-</v>
          </cell>
          <cell r="E2056" t="str">
            <v/>
          </cell>
          <cell r="G2056" t="str">
            <v/>
          </cell>
          <cell r="J2056" t="str">
            <v/>
          </cell>
          <cell r="O2056" t="str">
            <v/>
          </cell>
          <cell r="P2056" t="str">
            <v/>
          </cell>
          <cell r="Q2056" t="str">
            <v/>
          </cell>
          <cell r="S2056" t="str">
            <v/>
          </cell>
          <cell r="V2056" t="str">
            <v/>
          </cell>
          <cell r="Z2056" t="str">
            <v/>
          </cell>
          <cell r="AA2056" t="str">
            <v/>
          </cell>
          <cell r="AB2056" t="str">
            <v/>
          </cell>
          <cell r="AC2056" t="str">
            <v/>
          </cell>
          <cell r="AD2056" t="str">
            <v/>
          </cell>
          <cell r="AY2056" t="str">
            <v/>
          </cell>
          <cell r="AZ2056" t="str">
            <v/>
          </cell>
          <cell r="BA2056" t="str">
            <v/>
          </cell>
        </row>
        <row r="2057">
          <cell r="B2057" t="str">
            <v>-</v>
          </cell>
          <cell r="E2057" t="str">
            <v/>
          </cell>
          <cell r="G2057" t="str">
            <v/>
          </cell>
          <cell r="J2057" t="str">
            <v/>
          </cell>
          <cell r="O2057" t="str">
            <v/>
          </cell>
          <cell r="P2057" t="str">
            <v/>
          </cell>
          <cell r="Q2057" t="str">
            <v/>
          </cell>
          <cell r="S2057" t="str">
            <v/>
          </cell>
          <cell r="V2057" t="str">
            <v/>
          </cell>
          <cell r="Z2057" t="str">
            <v/>
          </cell>
          <cell r="AA2057" t="str">
            <v/>
          </cell>
          <cell r="AB2057" t="str">
            <v/>
          </cell>
          <cell r="AC2057" t="str">
            <v/>
          </cell>
          <cell r="AD2057" t="str">
            <v/>
          </cell>
          <cell r="AY2057" t="str">
            <v/>
          </cell>
          <cell r="AZ2057" t="str">
            <v/>
          </cell>
          <cell r="BA2057" t="str">
            <v/>
          </cell>
        </row>
        <row r="2058">
          <cell r="B2058" t="str">
            <v>-</v>
          </cell>
          <cell r="E2058" t="str">
            <v/>
          </cell>
          <cell r="G2058" t="str">
            <v/>
          </cell>
          <cell r="J2058" t="str">
            <v/>
          </cell>
          <cell r="O2058" t="str">
            <v/>
          </cell>
          <cell r="P2058" t="str">
            <v/>
          </cell>
          <cell r="Q2058" t="str">
            <v/>
          </cell>
          <cell r="S2058" t="str">
            <v/>
          </cell>
          <cell r="V2058" t="str">
            <v/>
          </cell>
          <cell r="Z2058" t="str">
            <v/>
          </cell>
          <cell r="AA2058" t="str">
            <v/>
          </cell>
          <cell r="AB2058" t="str">
            <v/>
          </cell>
          <cell r="AC2058" t="str">
            <v/>
          </cell>
          <cell r="AD2058" t="str">
            <v/>
          </cell>
          <cell r="AY2058" t="str">
            <v/>
          </cell>
          <cell r="AZ2058" t="str">
            <v/>
          </cell>
          <cell r="BA2058" t="str">
            <v/>
          </cell>
        </row>
        <row r="2059">
          <cell r="B2059" t="str">
            <v>-</v>
          </cell>
          <cell r="E2059" t="str">
            <v/>
          </cell>
          <cell r="G2059" t="str">
            <v/>
          </cell>
          <cell r="J2059" t="str">
            <v/>
          </cell>
          <cell r="O2059" t="str">
            <v/>
          </cell>
          <cell r="P2059" t="str">
            <v/>
          </cell>
          <cell r="Q2059" t="str">
            <v/>
          </cell>
          <cell r="S2059" t="str">
            <v/>
          </cell>
          <cell r="V2059" t="str">
            <v/>
          </cell>
          <cell r="Z2059" t="str">
            <v/>
          </cell>
          <cell r="AA2059" t="str">
            <v/>
          </cell>
          <cell r="AB2059" t="str">
            <v/>
          </cell>
          <cell r="AC2059" t="str">
            <v/>
          </cell>
          <cell r="AD2059" t="str">
            <v/>
          </cell>
          <cell r="AY2059" t="str">
            <v/>
          </cell>
          <cell r="AZ2059" t="str">
            <v/>
          </cell>
          <cell r="BA2059" t="str">
            <v/>
          </cell>
        </row>
        <row r="2060">
          <cell r="B2060" t="str">
            <v>-</v>
          </cell>
          <cell r="E2060" t="str">
            <v/>
          </cell>
          <cell r="G2060" t="str">
            <v/>
          </cell>
          <cell r="J2060" t="str">
            <v/>
          </cell>
          <cell r="O2060" t="str">
            <v/>
          </cell>
          <cell r="P2060" t="str">
            <v/>
          </cell>
          <cell r="Q2060" t="str">
            <v/>
          </cell>
          <cell r="S2060" t="str">
            <v/>
          </cell>
          <cell r="V2060" t="str">
            <v/>
          </cell>
          <cell r="Z2060" t="str">
            <v/>
          </cell>
          <cell r="AA2060" t="str">
            <v/>
          </cell>
          <cell r="AB2060" t="str">
            <v/>
          </cell>
          <cell r="AC2060" t="str">
            <v/>
          </cell>
          <cell r="AD2060" t="str">
            <v/>
          </cell>
          <cell r="AY2060" t="str">
            <v/>
          </cell>
          <cell r="AZ2060" t="str">
            <v/>
          </cell>
          <cell r="BA2060" t="str">
            <v/>
          </cell>
        </row>
        <row r="2061">
          <cell r="B2061" t="str">
            <v>-</v>
          </cell>
          <cell r="E2061" t="str">
            <v/>
          </cell>
          <cell r="G2061" t="str">
            <v/>
          </cell>
          <cell r="J2061" t="str">
            <v/>
          </cell>
          <cell r="O2061" t="str">
            <v/>
          </cell>
          <cell r="P2061" t="str">
            <v/>
          </cell>
          <cell r="Q2061" t="str">
            <v/>
          </cell>
          <cell r="S2061" t="str">
            <v/>
          </cell>
          <cell r="V2061" t="str">
            <v/>
          </cell>
          <cell r="Z2061" t="str">
            <v/>
          </cell>
          <cell r="AA2061" t="str">
            <v/>
          </cell>
          <cell r="AB2061" t="str">
            <v/>
          </cell>
          <cell r="AC2061" t="str">
            <v/>
          </cell>
          <cell r="AD2061" t="str">
            <v/>
          </cell>
          <cell r="AY2061" t="str">
            <v/>
          </cell>
          <cell r="AZ2061" t="str">
            <v/>
          </cell>
          <cell r="BA2061" t="str">
            <v/>
          </cell>
        </row>
        <row r="2062">
          <cell r="B2062" t="str">
            <v>-</v>
          </cell>
          <cell r="E2062" t="str">
            <v/>
          </cell>
          <cell r="G2062" t="str">
            <v/>
          </cell>
          <cell r="J2062" t="str">
            <v/>
          </cell>
          <cell r="O2062" t="str">
            <v/>
          </cell>
          <cell r="P2062" t="str">
            <v/>
          </cell>
          <cell r="Q2062" t="str">
            <v/>
          </cell>
          <cell r="S2062" t="str">
            <v/>
          </cell>
          <cell r="V2062" t="str">
            <v/>
          </cell>
          <cell r="Z2062" t="str">
            <v/>
          </cell>
          <cell r="AA2062" t="str">
            <v/>
          </cell>
          <cell r="AB2062" t="str">
            <v/>
          </cell>
          <cell r="AC2062" t="str">
            <v/>
          </cell>
          <cell r="AD2062" t="str">
            <v/>
          </cell>
          <cell r="AY2062" t="str">
            <v/>
          </cell>
          <cell r="AZ2062" t="str">
            <v/>
          </cell>
          <cell r="BA2062" t="str">
            <v/>
          </cell>
        </row>
        <row r="2063">
          <cell r="B2063" t="str">
            <v>-</v>
          </cell>
          <cell r="E2063" t="str">
            <v/>
          </cell>
          <cell r="G2063" t="str">
            <v/>
          </cell>
          <cell r="J2063" t="str">
            <v/>
          </cell>
          <cell r="O2063" t="str">
            <v/>
          </cell>
          <cell r="P2063" t="str">
            <v/>
          </cell>
          <cell r="Q2063" t="str">
            <v/>
          </cell>
          <cell r="S2063" t="str">
            <v/>
          </cell>
          <cell r="V2063" t="str">
            <v/>
          </cell>
          <cell r="Z2063" t="str">
            <v/>
          </cell>
          <cell r="AA2063" t="str">
            <v/>
          </cell>
          <cell r="AB2063" t="str">
            <v/>
          </cell>
          <cell r="AC2063" t="str">
            <v/>
          </cell>
          <cell r="AD2063" t="str">
            <v/>
          </cell>
          <cell r="AY2063" t="str">
            <v/>
          </cell>
          <cell r="AZ2063" t="str">
            <v/>
          </cell>
          <cell r="BA2063" t="str">
            <v/>
          </cell>
        </row>
        <row r="2064">
          <cell r="B2064" t="str">
            <v>-</v>
          </cell>
          <cell r="E2064" t="str">
            <v/>
          </cell>
          <cell r="G2064" t="str">
            <v/>
          </cell>
          <cell r="J2064" t="str">
            <v/>
          </cell>
          <cell r="O2064" t="str">
            <v/>
          </cell>
          <cell r="P2064" t="str">
            <v/>
          </cell>
          <cell r="Q2064" t="str">
            <v/>
          </cell>
          <cell r="S2064" t="str">
            <v/>
          </cell>
          <cell r="V2064" t="str">
            <v/>
          </cell>
          <cell r="Z2064" t="str">
            <v/>
          </cell>
          <cell r="AA2064" t="str">
            <v/>
          </cell>
          <cell r="AB2064" t="str">
            <v/>
          </cell>
          <cell r="AC2064" t="str">
            <v/>
          </cell>
          <cell r="AD2064" t="str">
            <v/>
          </cell>
          <cell r="AY2064" t="str">
            <v/>
          </cell>
          <cell r="AZ2064" t="str">
            <v/>
          </cell>
          <cell r="BA2064" t="str">
            <v/>
          </cell>
        </row>
        <row r="2065">
          <cell r="B2065" t="str">
            <v>-</v>
          </cell>
          <cell r="E2065" t="str">
            <v/>
          </cell>
          <cell r="G2065" t="str">
            <v/>
          </cell>
          <cell r="J2065" t="str">
            <v/>
          </cell>
          <cell r="O2065" t="str">
            <v/>
          </cell>
          <cell r="P2065" t="str">
            <v/>
          </cell>
          <cell r="Q2065" t="str">
            <v/>
          </cell>
          <cell r="S2065" t="str">
            <v/>
          </cell>
          <cell r="V2065" t="str">
            <v/>
          </cell>
          <cell r="Z2065" t="str">
            <v/>
          </cell>
          <cell r="AA2065" t="str">
            <v/>
          </cell>
          <cell r="AB2065" t="str">
            <v/>
          </cell>
          <cell r="AC2065" t="str">
            <v/>
          </cell>
          <cell r="AD2065" t="str">
            <v/>
          </cell>
          <cell r="AY2065" t="str">
            <v/>
          </cell>
          <cell r="AZ2065" t="str">
            <v/>
          </cell>
          <cell r="BA2065" t="str">
            <v/>
          </cell>
        </row>
        <row r="2066">
          <cell r="B2066" t="str">
            <v>-</v>
          </cell>
          <cell r="E2066" t="str">
            <v/>
          </cell>
          <cell r="G2066" t="str">
            <v/>
          </cell>
          <cell r="J2066" t="str">
            <v/>
          </cell>
          <cell r="O2066" t="str">
            <v/>
          </cell>
          <cell r="P2066" t="str">
            <v/>
          </cell>
          <cell r="Q2066" t="str">
            <v/>
          </cell>
          <cell r="S2066" t="str">
            <v/>
          </cell>
          <cell r="V2066" t="str">
            <v/>
          </cell>
          <cell r="Z2066" t="str">
            <v/>
          </cell>
          <cell r="AA2066" t="str">
            <v/>
          </cell>
          <cell r="AB2066" t="str">
            <v/>
          </cell>
          <cell r="AC2066" t="str">
            <v/>
          </cell>
          <cell r="AD2066" t="str">
            <v/>
          </cell>
          <cell r="AY2066" t="str">
            <v/>
          </cell>
          <cell r="AZ2066" t="str">
            <v/>
          </cell>
          <cell r="BA2066" t="str">
            <v/>
          </cell>
        </row>
        <row r="2067">
          <cell r="B2067" t="str">
            <v>-</v>
          </cell>
          <cell r="E2067" t="str">
            <v/>
          </cell>
          <cell r="G2067" t="str">
            <v/>
          </cell>
          <cell r="J2067" t="str">
            <v/>
          </cell>
          <cell r="O2067" t="str">
            <v/>
          </cell>
          <cell r="P2067" t="str">
            <v/>
          </cell>
          <cell r="Q2067" t="str">
            <v/>
          </cell>
          <cell r="S2067" t="str">
            <v/>
          </cell>
          <cell r="V2067" t="str">
            <v/>
          </cell>
          <cell r="Z2067" t="str">
            <v/>
          </cell>
          <cell r="AA2067" t="str">
            <v/>
          </cell>
          <cell r="AB2067" t="str">
            <v/>
          </cell>
          <cell r="AC2067" t="str">
            <v/>
          </cell>
          <cell r="AD2067" t="str">
            <v/>
          </cell>
          <cell r="AY2067" t="str">
            <v/>
          </cell>
          <cell r="AZ2067" t="str">
            <v/>
          </cell>
          <cell r="BA2067" t="str">
            <v/>
          </cell>
        </row>
        <row r="2068">
          <cell r="B2068" t="str">
            <v>-</v>
          </cell>
          <cell r="E2068" t="str">
            <v/>
          </cell>
          <cell r="G2068" t="str">
            <v/>
          </cell>
          <cell r="J2068" t="str">
            <v/>
          </cell>
          <cell r="O2068" t="str">
            <v/>
          </cell>
          <cell r="P2068" t="str">
            <v/>
          </cell>
          <cell r="Q2068" t="str">
            <v/>
          </cell>
          <cell r="S2068" t="str">
            <v/>
          </cell>
          <cell r="V2068" t="str">
            <v/>
          </cell>
          <cell r="Z2068" t="str">
            <v/>
          </cell>
          <cell r="AA2068" t="str">
            <v/>
          </cell>
          <cell r="AB2068" t="str">
            <v/>
          </cell>
          <cell r="AC2068" t="str">
            <v/>
          </cell>
          <cell r="AD2068" t="str">
            <v/>
          </cell>
          <cell r="AY2068" t="str">
            <v/>
          </cell>
          <cell r="AZ2068" t="str">
            <v/>
          </cell>
          <cell r="BA2068" t="str">
            <v/>
          </cell>
        </row>
        <row r="2069">
          <cell r="B2069" t="str">
            <v>-</v>
          </cell>
          <cell r="E2069" t="str">
            <v/>
          </cell>
          <cell r="G2069" t="str">
            <v/>
          </cell>
          <cell r="J2069" t="str">
            <v/>
          </cell>
          <cell r="O2069" t="str">
            <v/>
          </cell>
          <cell r="P2069" t="str">
            <v/>
          </cell>
          <cell r="Q2069" t="str">
            <v/>
          </cell>
          <cell r="S2069" t="str">
            <v/>
          </cell>
          <cell r="V2069" t="str">
            <v/>
          </cell>
          <cell r="Z2069" t="str">
            <v/>
          </cell>
          <cell r="AA2069" t="str">
            <v/>
          </cell>
          <cell r="AB2069" t="str">
            <v/>
          </cell>
          <cell r="AC2069" t="str">
            <v/>
          </cell>
          <cell r="AD2069" t="str">
            <v/>
          </cell>
          <cell r="AY2069" t="str">
            <v/>
          </cell>
          <cell r="AZ2069" t="str">
            <v/>
          </cell>
          <cell r="BA2069" t="str">
            <v/>
          </cell>
        </row>
        <row r="2070">
          <cell r="B2070" t="str">
            <v>-</v>
          </cell>
          <cell r="E2070" t="str">
            <v/>
          </cell>
          <cell r="G2070" t="str">
            <v/>
          </cell>
          <cell r="J2070" t="str">
            <v/>
          </cell>
          <cell r="O2070" t="str">
            <v/>
          </cell>
          <cell r="P2070" t="str">
            <v/>
          </cell>
          <cell r="Q2070" t="str">
            <v/>
          </cell>
          <cell r="S2070" t="str">
            <v/>
          </cell>
          <cell r="V2070" t="str">
            <v/>
          </cell>
          <cell r="Z2070" t="str">
            <v/>
          </cell>
          <cell r="AA2070" t="str">
            <v/>
          </cell>
          <cell r="AB2070" t="str">
            <v/>
          </cell>
          <cell r="AC2070" t="str">
            <v/>
          </cell>
          <cell r="AD2070" t="str">
            <v/>
          </cell>
          <cell r="AY2070" t="str">
            <v/>
          </cell>
          <cell r="AZ2070" t="str">
            <v/>
          </cell>
          <cell r="BA2070" t="str">
            <v/>
          </cell>
        </row>
        <row r="2071">
          <cell r="B2071" t="str">
            <v>-</v>
          </cell>
          <cell r="E2071" t="str">
            <v/>
          </cell>
          <cell r="G2071" t="str">
            <v/>
          </cell>
          <cell r="J2071" t="str">
            <v/>
          </cell>
          <cell r="O2071" t="str">
            <v/>
          </cell>
          <cell r="P2071" t="str">
            <v/>
          </cell>
          <cell r="Q2071" t="str">
            <v/>
          </cell>
          <cell r="S2071" t="str">
            <v/>
          </cell>
          <cell r="V2071" t="str">
            <v/>
          </cell>
          <cell r="Z2071" t="str">
            <v/>
          </cell>
          <cell r="AA2071" t="str">
            <v/>
          </cell>
          <cell r="AB2071" t="str">
            <v/>
          </cell>
          <cell r="AC2071" t="str">
            <v/>
          </cell>
          <cell r="AD2071" t="str">
            <v/>
          </cell>
          <cell r="AY2071" t="str">
            <v/>
          </cell>
          <cell r="AZ2071" t="str">
            <v/>
          </cell>
          <cell r="BA2071" t="str">
            <v/>
          </cell>
        </row>
        <row r="2072">
          <cell r="B2072" t="str">
            <v>-</v>
          </cell>
          <cell r="E2072" t="str">
            <v/>
          </cell>
          <cell r="G2072" t="str">
            <v/>
          </cell>
          <cell r="J2072" t="str">
            <v/>
          </cell>
          <cell r="O2072" t="str">
            <v/>
          </cell>
          <cell r="P2072" t="str">
            <v/>
          </cell>
          <cell r="Q2072" t="str">
            <v/>
          </cell>
          <cell r="S2072" t="str">
            <v/>
          </cell>
          <cell r="V2072" t="str">
            <v/>
          </cell>
          <cell r="Z2072" t="str">
            <v/>
          </cell>
          <cell r="AA2072" t="str">
            <v/>
          </cell>
          <cell r="AB2072" t="str">
            <v/>
          </cell>
          <cell r="AC2072" t="str">
            <v/>
          </cell>
          <cell r="AD2072" t="str">
            <v/>
          </cell>
          <cell r="AY2072" t="str">
            <v/>
          </cell>
          <cell r="AZ2072" t="str">
            <v/>
          </cell>
          <cell r="BA2072" t="str">
            <v/>
          </cell>
        </row>
        <row r="2073">
          <cell r="B2073" t="str">
            <v>-</v>
          </cell>
          <cell r="E2073" t="str">
            <v/>
          </cell>
          <cell r="G2073" t="str">
            <v/>
          </cell>
          <cell r="J2073" t="str">
            <v/>
          </cell>
          <cell r="O2073" t="str">
            <v/>
          </cell>
          <cell r="P2073" t="str">
            <v/>
          </cell>
          <cell r="Q2073" t="str">
            <v/>
          </cell>
          <cell r="S2073" t="str">
            <v/>
          </cell>
          <cell r="V2073" t="str">
            <v/>
          </cell>
          <cell r="Z2073" t="str">
            <v/>
          </cell>
          <cell r="AA2073" t="str">
            <v/>
          </cell>
          <cell r="AB2073" t="str">
            <v/>
          </cell>
          <cell r="AC2073" t="str">
            <v/>
          </cell>
          <cell r="AD2073" t="str">
            <v/>
          </cell>
          <cell r="AY2073" t="str">
            <v/>
          </cell>
          <cell r="AZ2073" t="str">
            <v/>
          </cell>
          <cell r="BA2073" t="str">
            <v/>
          </cell>
        </row>
        <row r="2074">
          <cell r="B2074" t="str">
            <v>-</v>
          </cell>
          <cell r="E2074" t="str">
            <v/>
          </cell>
          <cell r="G2074" t="str">
            <v/>
          </cell>
          <cell r="J2074" t="str">
            <v/>
          </cell>
          <cell r="O2074" t="str">
            <v/>
          </cell>
          <cell r="P2074" t="str">
            <v/>
          </cell>
          <cell r="Q2074" t="str">
            <v/>
          </cell>
          <cell r="S2074" t="str">
            <v/>
          </cell>
          <cell r="V2074" t="str">
            <v/>
          </cell>
          <cell r="Z2074" t="str">
            <v/>
          </cell>
          <cell r="AA2074" t="str">
            <v/>
          </cell>
          <cell r="AB2074" t="str">
            <v/>
          </cell>
          <cell r="AC2074" t="str">
            <v/>
          </cell>
          <cell r="AD2074" t="str">
            <v/>
          </cell>
          <cell r="AY2074" t="str">
            <v/>
          </cell>
          <cell r="AZ2074" t="str">
            <v/>
          </cell>
          <cell r="BA2074" t="str">
            <v/>
          </cell>
        </row>
        <row r="2075">
          <cell r="B2075" t="str">
            <v>-</v>
          </cell>
          <cell r="E2075" t="str">
            <v/>
          </cell>
          <cell r="G2075" t="str">
            <v/>
          </cell>
          <cell r="J2075" t="str">
            <v/>
          </cell>
          <cell r="O2075" t="str">
            <v/>
          </cell>
          <cell r="P2075" t="str">
            <v/>
          </cell>
          <cell r="Q2075" t="str">
            <v/>
          </cell>
          <cell r="S2075" t="str">
            <v/>
          </cell>
          <cell r="V2075" t="str">
            <v/>
          </cell>
          <cell r="Z2075" t="str">
            <v/>
          </cell>
          <cell r="AA2075" t="str">
            <v/>
          </cell>
          <cell r="AB2075" t="str">
            <v/>
          </cell>
          <cell r="AC2075" t="str">
            <v/>
          </cell>
          <cell r="AD2075" t="str">
            <v/>
          </cell>
          <cell r="AY2075" t="str">
            <v/>
          </cell>
          <cell r="AZ2075" t="str">
            <v/>
          </cell>
          <cell r="BA2075" t="str">
            <v/>
          </cell>
        </row>
        <row r="2076">
          <cell r="B2076" t="str">
            <v>-</v>
          </cell>
          <cell r="E2076" t="str">
            <v/>
          </cell>
          <cell r="G2076" t="str">
            <v/>
          </cell>
          <cell r="J2076" t="str">
            <v/>
          </cell>
          <cell r="O2076" t="str">
            <v/>
          </cell>
          <cell r="P2076" t="str">
            <v/>
          </cell>
          <cell r="Q2076" t="str">
            <v/>
          </cell>
          <cell r="S2076" t="str">
            <v/>
          </cell>
          <cell r="V2076" t="str">
            <v/>
          </cell>
          <cell r="Z2076" t="str">
            <v/>
          </cell>
          <cell r="AA2076" t="str">
            <v/>
          </cell>
          <cell r="AB2076" t="str">
            <v/>
          </cell>
          <cell r="AC2076" t="str">
            <v/>
          </cell>
          <cell r="AD2076" t="str">
            <v/>
          </cell>
          <cell r="AY2076" t="str">
            <v/>
          </cell>
          <cell r="AZ2076" t="str">
            <v/>
          </cell>
          <cell r="BA2076" t="str">
            <v/>
          </cell>
        </row>
        <row r="2077">
          <cell r="B2077" t="str">
            <v>-</v>
          </cell>
          <cell r="E2077" t="str">
            <v/>
          </cell>
          <cell r="G2077" t="str">
            <v/>
          </cell>
          <cell r="J2077" t="str">
            <v/>
          </cell>
          <cell r="O2077" t="str">
            <v/>
          </cell>
          <cell r="P2077" t="str">
            <v/>
          </cell>
          <cell r="Q2077" t="str">
            <v/>
          </cell>
          <cell r="S2077" t="str">
            <v/>
          </cell>
          <cell r="V2077" t="str">
            <v/>
          </cell>
          <cell r="Z2077" t="str">
            <v/>
          </cell>
          <cell r="AA2077" t="str">
            <v/>
          </cell>
          <cell r="AB2077" t="str">
            <v/>
          </cell>
          <cell r="AC2077" t="str">
            <v/>
          </cell>
          <cell r="AD2077" t="str">
            <v/>
          </cell>
          <cell r="AY2077" t="str">
            <v/>
          </cell>
          <cell r="AZ2077" t="str">
            <v/>
          </cell>
          <cell r="BA2077" t="str">
            <v/>
          </cell>
        </row>
        <row r="2078">
          <cell r="B2078" t="str">
            <v>-</v>
          </cell>
          <cell r="E2078" t="str">
            <v/>
          </cell>
          <cell r="G2078" t="str">
            <v/>
          </cell>
          <cell r="J2078" t="str">
            <v/>
          </cell>
          <cell r="O2078" t="str">
            <v/>
          </cell>
          <cell r="P2078" t="str">
            <v/>
          </cell>
          <cell r="Q2078" t="str">
            <v/>
          </cell>
          <cell r="S2078" t="str">
            <v/>
          </cell>
          <cell r="V2078" t="str">
            <v/>
          </cell>
          <cell r="Z2078" t="str">
            <v/>
          </cell>
          <cell r="AA2078" t="str">
            <v/>
          </cell>
          <cell r="AB2078" t="str">
            <v/>
          </cell>
          <cell r="AC2078" t="str">
            <v/>
          </cell>
          <cell r="AD2078" t="str">
            <v/>
          </cell>
          <cell r="AY2078" t="str">
            <v/>
          </cell>
          <cell r="AZ2078" t="str">
            <v/>
          </cell>
          <cell r="BA2078" t="str">
            <v/>
          </cell>
        </row>
        <row r="2079">
          <cell r="B2079" t="str">
            <v>-</v>
          </cell>
          <cell r="E2079" t="str">
            <v/>
          </cell>
          <cell r="G2079" t="str">
            <v/>
          </cell>
          <cell r="J2079" t="str">
            <v/>
          </cell>
          <cell r="O2079" t="str">
            <v/>
          </cell>
          <cell r="P2079" t="str">
            <v/>
          </cell>
          <cell r="Q2079" t="str">
            <v/>
          </cell>
          <cell r="S2079" t="str">
            <v/>
          </cell>
          <cell r="V2079" t="str">
            <v/>
          </cell>
          <cell r="Z2079" t="str">
            <v/>
          </cell>
          <cell r="AA2079" t="str">
            <v/>
          </cell>
          <cell r="AB2079" t="str">
            <v/>
          </cell>
          <cell r="AC2079" t="str">
            <v/>
          </cell>
          <cell r="AD2079" t="str">
            <v/>
          </cell>
          <cell r="AY2079" t="str">
            <v/>
          </cell>
          <cell r="AZ2079" t="str">
            <v/>
          </cell>
          <cell r="BA2079" t="str">
            <v/>
          </cell>
        </row>
        <row r="2080">
          <cell r="B2080" t="str">
            <v>-</v>
          </cell>
          <cell r="E2080" t="str">
            <v/>
          </cell>
          <cell r="G2080" t="str">
            <v/>
          </cell>
          <cell r="J2080" t="str">
            <v/>
          </cell>
          <cell r="O2080" t="str">
            <v/>
          </cell>
          <cell r="P2080" t="str">
            <v/>
          </cell>
          <cell r="Q2080" t="str">
            <v/>
          </cell>
          <cell r="S2080" t="str">
            <v/>
          </cell>
          <cell r="V2080" t="str">
            <v/>
          </cell>
          <cell r="Z2080" t="str">
            <v/>
          </cell>
          <cell r="AA2080" t="str">
            <v/>
          </cell>
          <cell r="AB2080" t="str">
            <v/>
          </cell>
          <cell r="AC2080" t="str">
            <v/>
          </cell>
          <cell r="AD2080" t="str">
            <v/>
          </cell>
          <cell r="AY2080" t="str">
            <v/>
          </cell>
          <cell r="AZ2080" t="str">
            <v/>
          </cell>
          <cell r="BA2080" t="str">
            <v/>
          </cell>
        </row>
        <row r="2081">
          <cell r="B2081" t="str">
            <v>-</v>
          </cell>
          <cell r="E2081" t="str">
            <v/>
          </cell>
          <cell r="G2081" t="str">
            <v/>
          </cell>
          <cell r="J2081" t="str">
            <v/>
          </cell>
          <cell r="O2081" t="str">
            <v/>
          </cell>
          <cell r="P2081" t="str">
            <v/>
          </cell>
          <cell r="Q2081" t="str">
            <v/>
          </cell>
          <cell r="S2081" t="str">
            <v/>
          </cell>
          <cell r="V2081" t="str">
            <v/>
          </cell>
          <cell r="Z2081" t="str">
            <v/>
          </cell>
          <cell r="AA2081" t="str">
            <v/>
          </cell>
          <cell r="AB2081" t="str">
            <v/>
          </cell>
          <cell r="AC2081" t="str">
            <v/>
          </cell>
          <cell r="AD2081" t="str">
            <v/>
          </cell>
          <cell r="AY2081" t="str">
            <v/>
          </cell>
          <cell r="AZ2081" t="str">
            <v/>
          </cell>
          <cell r="BA2081" t="str">
            <v/>
          </cell>
        </row>
        <row r="2082">
          <cell r="B2082" t="str">
            <v>-</v>
          </cell>
          <cell r="E2082" t="str">
            <v/>
          </cell>
          <cell r="G2082" t="str">
            <v/>
          </cell>
          <cell r="J2082" t="str">
            <v/>
          </cell>
          <cell r="O2082" t="str">
            <v/>
          </cell>
          <cell r="P2082" t="str">
            <v/>
          </cell>
          <cell r="Q2082" t="str">
            <v/>
          </cell>
          <cell r="S2082" t="str">
            <v/>
          </cell>
          <cell r="V2082" t="str">
            <v/>
          </cell>
          <cell r="Z2082" t="str">
            <v/>
          </cell>
          <cell r="AA2082" t="str">
            <v/>
          </cell>
          <cell r="AB2082" t="str">
            <v/>
          </cell>
          <cell r="AC2082" t="str">
            <v/>
          </cell>
          <cell r="AD2082" t="str">
            <v/>
          </cell>
          <cell r="AY2082" t="str">
            <v/>
          </cell>
          <cell r="AZ2082" t="str">
            <v/>
          </cell>
          <cell r="BA2082" t="str">
            <v/>
          </cell>
        </row>
        <row r="2083">
          <cell r="B2083" t="str">
            <v>-</v>
          </cell>
          <cell r="E2083" t="str">
            <v/>
          </cell>
          <cell r="G2083" t="str">
            <v/>
          </cell>
          <cell r="J2083" t="str">
            <v/>
          </cell>
          <cell r="O2083" t="str">
            <v/>
          </cell>
          <cell r="P2083" t="str">
            <v/>
          </cell>
          <cell r="Q2083" t="str">
            <v/>
          </cell>
          <cell r="S2083" t="str">
            <v/>
          </cell>
          <cell r="V2083" t="str">
            <v/>
          </cell>
          <cell r="Z2083" t="str">
            <v/>
          </cell>
          <cell r="AA2083" t="str">
            <v/>
          </cell>
          <cell r="AB2083" t="str">
            <v/>
          </cell>
          <cell r="AC2083" t="str">
            <v/>
          </cell>
          <cell r="AD2083" t="str">
            <v/>
          </cell>
          <cell r="AY2083" t="str">
            <v/>
          </cell>
          <cell r="AZ2083" t="str">
            <v/>
          </cell>
          <cell r="BA2083" t="str">
            <v/>
          </cell>
        </row>
        <row r="2084">
          <cell r="B2084" t="str">
            <v>-</v>
          </cell>
          <cell r="E2084" t="str">
            <v/>
          </cell>
          <cell r="G2084" t="str">
            <v/>
          </cell>
          <cell r="J2084" t="str">
            <v/>
          </cell>
          <cell r="O2084" t="str">
            <v/>
          </cell>
          <cell r="P2084" t="str">
            <v/>
          </cell>
          <cell r="Q2084" t="str">
            <v/>
          </cell>
          <cell r="S2084" t="str">
            <v/>
          </cell>
          <cell r="V2084" t="str">
            <v/>
          </cell>
          <cell r="Z2084" t="str">
            <v/>
          </cell>
          <cell r="AA2084" t="str">
            <v/>
          </cell>
          <cell r="AB2084" t="str">
            <v/>
          </cell>
          <cell r="AC2084" t="str">
            <v/>
          </cell>
          <cell r="AD2084" t="str">
            <v/>
          </cell>
          <cell r="AY2084" t="str">
            <v/>
          </cell>
          <cell r="AZ2084" t="str">
            <v/>
          </cell>
          <cell r="BA2084" t="str">
            <v/>
          </cell>
        </row>
        <row r="2085">
          <cell r="B2085" t="str">
            <v>-</v>
          </cell>
          <cell r="E2085" t="str">
            <v/>
          </cell>
          <cell r="G2085" t="str">
            <v/>
          </cell>
          <cell r="J2085" t="str">
            <v/>
          </cell>
          <cell r="O2085" t="str">
            <v/>
          </cell>
          <cell r="P2085" t="str">
            <v/>
          </cell>
          <cell r="Q2085" t="str">
            <v/>
          </cell>
          <cell r="S2085" t="str">
            <v/>
          </cell>
          <cell r="V2085" t="str">
            <v/>
          </cell>
          <cell r="Z2085" t="str">
            <v/>
          </cell>
          <cell r="AA2085" t="str">
            <v/>
          </cell>
          <cell r="AB2085" t="str">
            <v/>
          </cell>
          <cell r="AC2085" t="str">
            <v/>
          </cell>
          <cell r="AD2085" t="str">
            <v/>
          </cell>
          <cell r="AY2085" t="str">
            <v/>
          </cell>
          <cell r="AZ2085" t="str">
            <v/>
          </cell>
          <cell r="BA2085" t="str">
            <v/>
          </cell>
        </row>
        <row r="2086">
          <cell r="B2086" t="str">
            <v>-</v>
          </cell>
          <cell r="E2086" t="str">
            <v/>
          </cell>
          <cell r="G2086" t="str">
            <v/>
          </cell>
          <cell r="J2086" t="str">
            <v/>
          </cell>
          <cell r="O2086" t="str">
            <v/>
          </cell>
          <cell r="P2086" t="str">
            <v/>
          </cell>
          <cell r="Q2086" t="str">
            <v/>
          </cell>
          <cell r="S2086" t="str">
            <v/>
          </cell>
          <cell r="V2086" t="str">
            <v/>
          </cell>
          <cell r="Z2086" t="str">
            <v/>
          </cell>
          <cell r="AA2086" t="str">
            <v/>
          </cell>
          <cell r="AB2086" t="str">
            <v/>
          </cell>
          <cell r="AC2086" t="str">
            <v/>
          </cell>
          <cell r="AD2086" t="str">
            <v/>
          </cell>
          <cell r="AY2086" t="str">
            <v/>
          </cell>
          <cell r="AZ2086" t="str">
            <v/>
          </cell>
          <cell r="BA2086" t="str">
            <v/>
          </cell>
        </row>
        <row r="2087">
          <cell r="B2087" t="str">
            <v>-</v>
          </cell>
          <cell r="E2087" t="str">
            <v/>
          </cell>
          <cell r="G2087" t="str">
            <v/>
          </cell>
          <cell r="J2087" t="str">
            <v/>
          </cell>
          <cell r="O2087" t="str">
            <v/>
          </cell>
          <cell r="P2087" t="str">
            <v/>
          </cell>
          <cell r="Q2087" t="str">
            <v/>
          </cell>
          <cell r="S2087" t="str">
            <v/>
          </cell>
          <cell r="V2087" t="str">
            <v/>
          </cell>
          <cell r="Z2087" t="str">
            <v/>
          </cell>
          <cell r="AA2087" t="str">
            <v/>
          </cell>
          <cell r="AB2087" t="str">
            <v/>
          </cell>
          <cell r="AC2087" t="str">
            <v/>
          </cell>
          <cell r="AD2087" t="str">
            <v/>
          </cell>
          <cell r="AY2087" t="str">
            <v/>
          </cell>
          <cell r="AZ2087" t="str">
            <v/>
          </cell>
          <cell r="BA2087" t="str">
            <v/>
          </cell>
        </row>
        <row r="2088">
          <cell r="B2088" t="str">
            <v>-</v>
          </cell>
          <cell r="E2088" t="str">
            <v/>
          </cell>
          <cell r="G2088" t="str">
            <v/>
          </cell>
          <cell r="J2088" t="str">
            <v/>
          </cell>
          <cell r="O2088" t="str">
            <v/>
          </cell>
          <cell r="P2088" t="str">
            <v/>
          </cell>
          <cell r="Q2088" t="str">
            <v/>
          </cell>
          <cell r="S2088" t="str">
            <v/>
          </cell>
          <cell r="V2088" t="str">
            <v/>
          </cell>
          <cell r="Z2088" t="str">
            <v/>
          </cell>
          <cell r="AA2088" t="str">
            <v/>
          </cell>
          <cell r="AB2088" t="str">
            <v/>
          </cell>
          <cell r="AC2088" t="str">
            <v/>
          </cell>
          <cell r="AD2088" t="str">
            <v/>
          </cell>
          <cell r="AY2088" t="str">
            <v/>
          </cell>
          <cell r="AZ2088" t="str">
            <v/>
          </cell>
          <cell r="BA2088" t="str">
            <v/>
          </cell>
        </row>
        <row r="2089">
          <cell r="B2089" t="str">
            <v>-</v>
          </cell>
          <cell r="E2089" t="str">
            <v/>
          </cell>
          <cell r="G2089" t="str">
            <v/>
          </cell>
          <cell r="J2089" t="str">
            <v/>
          </cell>
          <cell r="O2089" t="str">
            <v/>
          </cell>
          <cell r="P2089" t="str">
            <v/>
          </cell>
          <cell r="Q2089" t="str">
            <v/>
          </cell>
          <cell r="S2089" t="str">
            <v/>
          </cell>
          <cell r="V2089" t="str">
            <v/>
          </cell>
          <cell r="Z2089" t="str">
            <v/>
          </cell>
          <cell r="AA2089" t="str">
            <v/>
          </cell>
          <cell r="AB2089" t="str">
            <v/>
          </cell>
          <cell r="AC2089" t="str">
            <v/>
          </cell>
          <cell r="AD2089" t="str">
            <v/>
          </cell>
          <cell r="AY2089" t="str">
            <v/>
          </cell>
          <cell r="AZ2089" t="str">
            <v/>
          </cell>
          <cell r="BA2089" t="str">
            <v/>
          </cell>
        </row>
        <row r="2090">
          <cell r="B2090" t="str">
            <v>-</v>
          </cell>
          <cell r="E2090" t="str">
            <v/>
          </cell>
          <cell r="G2090" t="str">
            <v/>
          </cell>
          <cell r="J2090" t="str">
            <v/>
          </cell>
          <cell r="O2090" t="str">
            <v/>
          </cell>
          <cell r="P2090" t="str">
            <v/>
          </cell>
          <cell r="Q2090" t="str">
            <v/>
          </cell>
          <cell r="S2090" t="str">
            <v/>
          </cell>
          <cell r="V2090" t="str">
            <v/>
          </cell>
          <cell r="Z2090" t="str">
            <v/>
          </cell>
          <cell r="AA2090" t="str">
            <v/>
          </cell>
          <cell r="AB2090" t="str">
            <v/>
          </cell>
          <cell r="AC2090" t="str">
            <v/>
          </cell>
          <cell r="AD2090" t="str">
            <v/>
          </cell>
          <cell r="AY2090" t="str">
            <v/>
          </cell>
          <cell r="AZ2090" t="str">
            <v/>
          </cell>
          <cell r="BA2090" t="str">
            <v/>
          </cell>
        </row>
        <row r="2091">
          <cell r="B2091" t="str">
            <v>-</v>
          </cell>
          <cell r="E2091" t="str">
            <v/>
          </cell>
          <cell r="G2091" t="str">
            <v/>
          </cell>
          <cell r="J2091" t="str">
            <v/>
          </cell>
          <cell r="O2091" t="str">
            <v/>
          </cell>
          <cell r="P2091" t="str">
            <v/>
          </cell>
          <cell r="Q2091" t="str">
            <v/>
          </cell>
          <cell r="S2091" t="str">
            <v/>
          </cell>
          <cell r="V2091" t="str">
            <v/>
          </cell>
          <cell r="Z2091" t="str">
            <v/>
          </cell>
          <cell r="AA2091" t="str">
            <v/>
          </cell>
          <cell r="AB2091" t="str">
            <v/>
          </cell>
          <cell r="AC2091" t="str">
            <v/>
          </cell>
          <cell r="AD2091" t="str">
            <v/>
          </cell>
          <cell r="AY2091" t="str">
            <v/>
          </cell>
          <cell r="AZ2091" t="str">
            <v/>
          </cell>
          <cell r="BA2091" t="str">
            <v/>
          </cell>
        </row>
        <row r="2092">
          <cell r="B2092" t="str">
            <v>-</v>
          </cell>
          <cell r="E2092" t="str">
            <v/>
          </cell>
          <cell r="G2092" t="str">
            <v/>
          </cell>
          <cell r="J2092" t="str">
            <v/>
          </cell>
          <cell r="O2092" t="str">
            <v/>
          </cell>
          <cell r="P2092" t="str">
            <v/>
          </cell>
          <cell r="Q2092" t="str">
            <v/>
          </cell>
          <cell r="S2092" t="str">
            <v/>
          </cell>
          <cell r="V2092" t="str">
            <v/>
          </cell>
          <cell r="Z2092" t="str">
            <v/>
          </cell>
          <cell r="AA2092" t="str">
            <v/>
          </cell>
          <cell r="AB2092" t="str">
            <v/>
          </cell>
          <cell r="AC2092" t="str">
            <v/>
          </cell>
          <cell r="AD2092" t="str">
            <v/>
          </cell>
          <cell r="AY2092" t="str">
            <v/>
          </cell>
          <cell r="AZ2092" t="str">
            <v/>
          </cell>
          <cell r="BA2092" t="str">
            <v/>
          </cell>
        </row>
        <row r="2093">
          <cell r="B2093" t="str">
            <v>-</v>
          </cell>
          <cell r="E2093" t="str">
            <v/>
          </cell>
          <cell r="G2093" t="str">
            <v/>
          </cell>
          <cell r="J2093" t="str">
            <v/>
          </cell>
          <cell r="O2093" t="str">
            <v/>
          </cell>
          <cell r="P2093" t="str">
            <v/>
          </cell>
          <cell r="Q2093" t="str">
            <v/>
          </cell>
          <cell r="S2093" t="str">
            <v/>
          </cell>
          <cell r="V2093" t="str">
            <v/>
          </cell>
          <cell r="Z2093" t="str">
            <v/>
          </cell>
          <cell r="AA2093" t="str">
            <v/>
          </cell>
          <cell r="AB2093" t="str">
            <v/>
          </cell>
          <cell r="AC2093" t="str">
            <v/>
          </cell>
          <cell r="AD2093" t="str">
            <v/>
          </cell>
          <cell r="AY2093" t="str">
            <v/>
          </cell>
          <cell r="AZ2093" t="str">
            <v/>
          </cell>
          <cell r="BA2093" t="str">
            <v/>
          </cell>
        </row>
        <row r="2094">
          <cell r="B2094" t="str">
            <v>-</v>
          </cell>
          <cell r="E2094" t="str">
            <v/>
          </cell>
          <cell r="G2094" t="str">
            <v/>
          </cell>
          <cell r="J2094" t="str">
            <v/>
          </cell>
          <cell r="O2094" t="str">
            <v/>
          </cell>
          <cell r="P2094" t="str">
            <v/>
          </cell>
          <cell r="Q2094" t="str">
            <v/>
          </cell>
          <cell r="S2094" t="str">
            <v/>
          </cell>
          <cell r="V2094" t="str">
            <v/>
          </cell>
          <cell r="Z2094" t="str">
            <v/>
          </cell>
          <cell r="AA2094" t="str">
            <v/>
          </cell>
          <cell r="AB2094" t="str">
            <v/>
          </cell>
          <cell r="AC2094" t="str">
            <v/>
          </cell>
          <cell r="AD2094" t="str">
            <v/>
          </cell>
          <cell r="AY2094" t="str">
            <v/>
          </cell>
          <cell r="AZ2094" t="str">
            <v/>
          </cell>
          <cell r="BA2094" t="str">
            <v/>
          </cell>
        </row>
        <row r="2095">
          <cell r="B2095" t="str">
            <v>-</v>
          </cell>
          <cell r="E2095" t="str">
            <v/>
          </cell>
          <cell r="G2095" t="str">
            <v/>
          </cell>
          <cell r="J2095" t="str">
            <v/>
          </cell>
          <cell r="O2095" t="str">
            <v/>
          </cell>
          <cell r="P2095" t="str">
            <v/>
          </cell>
          <cell r="Q2095" t="str">
            <v/>
          </cell>
          <cell r="S2095" t="str">
            <v/>
          </cell>
          <cell r="V2095" t="str">
            <v/>
          </cell>
          <cell r="Z2095" t="str">
            <v/>
          </cell>
          <cell r="AA2095" t="str">
            <v/>
          </cell>
          <cell r="AB2095" t="str">
            <v/>
          </cell>
          <cell r="AC2095" t="str">
            <v/>
          </cell>
          <cell r="AD2095" t="str">
            <v/>
          </cell>
          <cell r="AY2095" t="str">
            <v/>
          </cell>
          <cell r="AZ2095" t="str">
            <v/>
          </cell>
          <cell r="BA2095" t="str">
            <v/>
          </cell>
        </row>
        <row r="2096">
          <cell r="B2096" t="str">
            <v>-</v>
          </cell>
          <cell r="E2096" t="str">
            <v/>
          </cell>
          <cell r="G2096" t="str">
            <v/>
          </cell>
          <cell r="J2096" t="str">
            <v/>
          </cell>
          <cell r="O2096" t="str">
            <v/>
          </cell>
          <cell r="P2096" t="str">
            <v/>
          </cell>
          <cell r="Q2096" t="str">
            <v/>
          </cell>
          <cell r="S2096" t="str">
            <v/>
          </cell>
          <cell r="V2096" t="str">
            <v/>
          </cell>
          <cell r="Z2096" t="str">
            <v/>
          </cell>
          <cell r="AA2096" t="str">
            <v/>
          </cell>
          <cell r="AB2096" t="str">
            <v/>
          </cell>
          <cell r="AC2096" t="str">
            <v/>
          </cell>
          <cell r="AD2096" t="str">
            <v/>
          </cell>
          <cell r="AY2096" t="str">
            <v/>
          </cell>
          <cell r="AZ2096" t="str">
            <v/>
          </cell>
          <cell r="BA2096" t="str">
            <v/>
          </cell>
        </row>
        <row r="2097">
          <cell r="B2097" t="str">
            <v>-</v>
          </cell>
          <cell r="E2097" t="str">
            <v/>
          </cell>
          <cell r="G2097" t="str">
            <v/>
          </cell>
          <cell r="J2097" t="str">
            <v/>
          </cell>
          <cell r="O2097" t="str">
            <v/>
          </cell>
          <cell r="P2097" t="str">
            <v/>
          </cell>
          <cell r="Q2097" t="str">
            <v/>
          </cell>
          <cell r="S2097" t="str">
            <v/>
          </cell>
          <cell r="V2097" t="str">
            <v/>
          </cell>
          <cell r="Z2097" t="str">
            <v/>
          </cell>
          <cell r="AA2097" t="str">
            <v/>
          </cell>
          <cell r="AB2097" t="str">
            <v/>
          </cell>
          <cell r="AC2097" t="str">
            <v/>
          </cell>
          <cell r="AD2097" t="str">
            <v/>
          </cell>
          <cell r="AY2097" t="str">
            <v/>
          </cell>
          <cell r="AZ2097" t="str">
            <v/>
          </cell>
          <cell r="BA2097" t="str">
            <v/>
          </cell>
        </row>
        <row r="2098">
          <cell r="B2098" t="str">
            <v>-</v>
          </cell>
          <cell r="E2098" t="str">
            <v/>
          </cell>
          <cell r="G2098" t="str">
            <v/>
          </cell>
          <cell r="J2098" t="str">
            <v/>
          </cell>
          <cell r="O2098" t="str">
            <v/>
          </cell>
          <cell r="P2098" t="str">
            <v/>
          </cell>
          <cell r="Q2098" t="str">
            <v/>
          </cell>
          <cell r="S2098" t="str">
            <v/>
          </cell>
          <cell r="V2098" t="str">
            <v/>
          </cell>
          <cell r="Z2098" t="str">
            <v/>
          </cell>
          <cell r="AA2098" t="str">
            <v/>
          </cell>
          <cell r="AB2098" t="str">
            <v/>
          </cell>
          <cell r="AC2098" t="str">
            <v/>
          </cell>
          <cell r="AD2098" t="str">
            <v/>
          </cell>
          <cell r="AY2098" t="str">
            <v/>
          </cell>
          <cell r="AZ2098" t="str">
            <v/>
          </cell>
          <cell r="BA2098" t="str">
            <v/>
          </cell>
        </row>
        <row r="2099">
          <cell r="B2099" t="str">
            <v>-</v>
          </cell>
          <cell r="E2099" t="str">
            <v/>
          </cell>
          <cell r="G2099" t="str">
            <v/>
          </cell>
          <cell r="J2099" t="str">
            <v/>
          </cell>
          <cell r="O2099" t="str">
            <v/>
          </cell>
          <cell r="P2099" t="str">
            <v/>
          </cell>
          <cell r="Q2099" t="str">
            <v/>
          </cell>
          <cell r="S2099" t="str">
            <v/>
          </cell>
          <cell r="V2099" t="str">
            <v/>
          </cell>
          <cell r="Z2099" t="str">
            <v/>
          </cell>
          <cell r="AA2099" t="str">
            <v/>
          </cell>
          <cell r="AB2099" t="str">
            <v/>
          </cell>
          <cell r="AC2099" t="str">
            <v/>
          </cell>
          <cell r="AD2099" t="str">
            <v/>
          </cell>
          <cell r="AY2099" t="str">
            <v/>
          </cell>
          <cell r="AZ2099" t="str">
            <v/>
          </cell>
          <cell r="BA2099" t="str">
            <v/>
          </cell>
        </row>
        <row r="2100">
          <cell r="B2100" t="str">
            <v>-</v>
          </cell>
          <cell r="E2100" t="str">
            <v/>
          </cell>
          <cell r="G2100" t="str">
            <v/>
          </cell>
          <cell r="J2100" t="str">
            <v/>
          </cell>
          <cell r="O2100" t="str">
            <v/>
          </cell>
          <cell r="P2100" t="str">
            <v/>
          </cell>
          <cell r="Q2100" t="str">
            <v/>
          </cell>
          <cell r="S2100" t="str">
            <v/>
          </cell>
          <cell r="V2100" t="str">
            <v/>
          </cell>
          <cell r="Z2100" t="str">
            <v/>
          </cell>
          <cell r="AA2100" t="str">
            <v/>
          </cell>
          <cell r="AB2100" t="str">
            <v/>
          </cell>
          <cell r="AC2100" t="str">
            <v/>
          </cell>
          <cell r="AD2100" t="str">
            <v/>
          </cell>
          <cell r="AY2100" t="str">
            <v/>
          </cell>
          <cell r="AZ2100" t="str">
            <v/>
          </cell>
          <cell r="BA2100" t="str">
            <v/>
          </cell>
        </row>
        <row r="2101">
          <cell r="B2101" t="str">
            <v>-</v>
          </cell>
          <cell r="E2101" t="str">
            <v/>
          </cell>
          <cell r="G2101" t="str">
            <v/>
          </cell>
          <cell r="J2101" t="str">
            <v/>
          </cell>
          <cell r="O2101" t="str">
            <v/>
          </cell>
          <cell r="P2101" t="str">
            <v/>
          </cell>
          <cell r="Q2101" t="str">
            <v/>
          </cell>
          <cell r="S2101" t="str">
            <v/>
          </cell>
          <cell r="V2101" t="str">
            <v/>
          </cell>
          <cell r="Z2101" t="str">
            <v/>
          </cell>
          <cell r="AA2101" t="str">
            <v/>
          </cell>
          <cell r="AB2101" t="str">
            <v/>
          </cell>
          <cell r="AC2101" t="str">
            <v/>
          </cell>
          <cell r="AD2101" t="str">
            <v/>
          </cell>
          <cell r="AY2101" t="str">
            <v/>
          </cell>
          <cell r="AZ2101" t="str">
            <v/>
          </cell>
          <cell r="BA2101" t="str">
            <v/>
          </cell>
        </row>
        <row r="2102">
          <cell r="B2102" t="str">
            <v>-</v>
          </cell>
          <cell r="E2102" t="str">
            <v/>
          </cell>
          <cell r="G2102" t="str">
            <v/>
          </cell>
          <cell r="J2102" t="str">
            <v/>
          </cell>
          <cell r="O2102" t="str">
            <v/>
          </cell>
          <cell r="P2102" t="str">
            <v/>
          </cell>
          <cell r="Q2102" t="str">
            <v/>
          </cell>
          <cell r="S2102" t="str">
            <v/>
          </cell>
          <cell r="V2102" t="str">
            <v/>
          </cell>
          <cell r="Z2102" t="str">
            <v/>
          </cell>
          <cell r="AA2102" t="str">
            <v/>
          </cell>
          <cell r="AB2102" t="str">
            <v/>
          </cell>
          <cell r="AC2102" t="str">
            <v/>
          </cell>
          <cell r="AD2102" t="str">
            <v/>
          </cell>
          <cell r="AY2102" t="str">
            <v/>
          </cell>
          <cell r="AZ2102" t="str">
            <v/>
          </cell>
          <cell r="BA2102" t="str">
            <v/>
          </cell>
        </row>
        <row r="2103">
          <cell r="B2103" t="str">
            <v>-</v>
          </cell>
          <cell r="E2103" t="str">
            <v/>
          </cell>
          <cell r="G2103" t="str">
            <v/>
          </cell>
          <cell r="J2103" t="str">
            <v/>
          </cell>
          <cell r="O2103" t="str">
            <v/>
          </cell>
          <cell r="P2103" t="str">
            <v/>
          </cell>
          <cell r="Q2103" t="str">
            <v/>
          </cell>
          <cell r="S2103" t="str">
            <v/>
          </cell>
          <cell r="V2103" t="str">
            <v/>
          </cell>
          <cell r="Z2103" t="str">
            <v/>
          </cell>
          <cell r="AA2103" t="str">
            <v/>
          </cell>
          <cell r="AB2103" t="str">
            <v/>
          </cell>
          <cell r="AC2103" t="str">
            <v/>
          </cell>
          <cell r="AD2103" t="str">
            <v/>
          </cell>
          <cell r="AY2103" t="str">
            <v/>
          </cell>
          <cell r="AZ2103" t="str">
            <v/>
          </cell>
          <cell r="BA2103" t="str">
            <v/>
          </cell>
        </row>
        <row r="2104">
          <cell r="B2104" t="str">
            <v>-</v>
          </cell>
          <cell r="E2104" t="str">
            <v/>
          </cell>
          <cell r="G2104" t="str">
            <v/>
          </cell>
          <cell r="J2104" t="str">
            <v/>
          </cell>
          <cell r="O2104" t="str">
            <v/>
          </cell>
          <cell r="P2104" t="str">
            <v/>
          </cell>
          <cell r="Q2104" t="str">
            <v/>
          </cell>
          <cell r="S2104" t="str">
            <v/>
          </cell>
          <cell r="V2104" t="str">
            <v/>
          </cell>
          <cell r="Z2104" t="str">
            <v/>
          </cell>
          <cell r="AA2104" t="str">
            <v/>
          </cell>
          <cell r="AB2104" t="str">
            <v/>
          </cell>
          <cell r="AC2104" t="str">
            <v/>
          </cell>
          <cell r="AD2104" t="str">
            <v/>
          </cell>
          <cell r="AY2104" t="str">
            <v/>
          </cell>
          <cell r="AZ2104" t="str">
            <v/>
          </cell>
          <cell r="BA2104" t="str">
            <v/>
          </cell>
        </row>
        <row r="2105">
          <cell r="B2105" t="str">
            <v>-</v>
          </cell>
          <cell r="E2105" t="str">
            <v/>
          </cell>
          <cell r="G2105" t="str">
            <v/>
          </cell>
          <cell r="J2105" t="str">
            <v/>
          </cell>
          <cell r="O2105" t="str">
            <v/>
          </cell>
          <cell r="P2105" t="str">
            <v/>
          </cell>
          <cell r="Q2105" t="str">
            <v/>
          </cell>
          <cell r="S2105" t="str">
            <v/>
          </cell>
          <cell r="V2105" t="str">
            <v/>
          </cell>
          <cell r="Z2105" t="str">
            <v/>
          </cell>
          <cell r="AA2105" t="str">
            <v/>
          </cell>
          <cell r="AB2105" t="str">
            <v/>
          </cell>
          <cell r="AC2105" t="str">
            <v/>
          </cell>
          <cell r="AD2105" t="str">
            <v/>
          </cell>
          <cell r="AY2105" t="str">
            <v/>
          </cell>
          <cell r="AZ2105" t="str">
            <v/>
          </cell>
          <cell r="BA2105" t="str">
            <v/>
          </cell>
        </row>
        <row r="2106">
          <cell r="B2106" t="str">
            <v>-</v>
          </cell>
          <cell r="E2106" t="str">
            <v/>
          </cell>
          <cell r="G2106" t="str">
            <v/>
          </cell>
          <cell r="J2106" t="str">
            <v/>
          </cell>
          <cell r="O2106" t="str">
            <v/>
          </cell>
          <cell r="P2106" t="str">
            <v/>
          </cell>
          <cell r="Q2106" t="str">
            <v/>
          </cell>
          <cell r="S2106" t="str">
            <v/>
          </cell>
          <cell r="V2106" t="str">
            <v/>
          </cell>
          <cell r="Z2106" t="str">
            <v/>
          </cell>
          <cell r="AA2106" t="str">
            <v/>
          </cell>
          <cell r="AB2106" t="str">
            <v/>
          </cell>
          <cell r="AC2106" t="str">
            <v/>
          </cell>
          <cell r="AD2106" t="str">
            <v/>
          </cell>
          <cell r="AY2106" t="str">
            <v/>
          </cell>
          <cell r="AZ2106" t="str">
            <v/>
          </cell>
          <cell r="BA2106" t="str">
            <v/>
          </cell>
        </row>
        <row r="2107">
          <cell r="B2107" t="str">
            <v>-</v>
          </cell>
          <cell r="E2107" t="str">
            <v/>
          </cell>
          <cell r="G2107" t="str">
            <v/>
          </cell>
          <cell r="J2107" t="str">
            <v/>
          </cell>
          <cell r="O2107" t="str">
            <v/>
          </cell>
          <cell r="P2107" t="str">
            <v/>
          </cell>
          <cell r="Q2107" t="str">
            <v/>
          </cell>
          <cell r="S2107" t="str">
            <v/>
          </cell>
          <cell r="V2107" t="str">
            <v/>
          </cell>
          <cell r="Z2107" t="str">
            <v/>
          </cell>
          <cell r="AA2107" t="str">
            <v/>
          </cell>
          <cell r="AB2107" t="str">
            <v/>
          </cell>
          <cell r="AC2107" t="str">
            <v/>
          </cell>
          <cell r="AD2107" t="str">
            <v/>
          </cell>
          <cell r="AY2107" t="str">
            <v/>
          </cell>
          <cell r="AZ2107" t="str">
            <v/>
          </cell>
          <cell r="BA2107" t="str">
            <v/>
          </cell>
        </row>
        <row r="2108">
          <cell r="B2108" t="str">
            <v>-</v>
          </cell>
          <cell r="E2108" t="str">
            <v/>
          </cell>
          <cell r="G2108" t="str">
            <v/>
          </cell>
          <cell r="J2108" t="str">
            <v/>
          </cell>
          <cell r="O2108" t="str">
            <v/>
          </cell>
          <cell r="P2108" t="str">
            <v/>
          </cell>
          <cell r="Q2108" t="str">
            <v/>
          </cell>
          <cell r="S2108" t="str">
            <v/>
          </cell>
          <cell r="V2108" t="str">
            <v/>
          </cell>
          <cell r="Z2108" t="str">
            <v/>
          </cell>
          <cell r="AA2108" t="str">
            <v/>
          </cell>
          <cell r="AB2108" t="str">
            <v/>
          </cell>
          <cell r="AC2108" t="str">
            <v/>
          </cell>
          <cell r="AD2108" t="str">
            <v/>
          </cell>
          <cell r="AY2108" t="str">
            <v/>
          </cell>
          <cell r="AZ2108" t="str">
            <v/>
          </cell>
          <cell r="BA2108" t="str">
            <v/>
          </cell>
        </row>
        <row r="2109">
          <cell r="B2109" t="str">
            <v>-</v>
          </cell>
          <cell r="E2109" t="str">
            <v/>
          </cell>
          <cell r="G2109" t="str">
            <v/>
          </cell>
          <cell r="J2109" t="str">
            <v/>
          </cell>
          <cell r="O2109" t="str">
            <v/>
          </cell>
          <cell r="P2109" t="str">
            <v/>
          </cell>
          <cell r="Q2109" t="str">
            <v/>
          </cell>
          <cell r="S2109" t="str">
            <v/>
          </cell>
          <cell r="V2109" t="str">
            <v/>
          </cell>
          <cell r="Z2109" t="str">
            <v/>
          </cell>
          <cell r="AA2109" t="str">
            <v/>
          </cell>
          <cell r="AB2109" t="str">
            <v/>
          </cell>
          <cell r="AC2109" t="str">
            <v/>
          </cell>
          <cell r="AD2109" t="str">
            <v/>
          </cell>
          <cell r="AY2109" t="str">
            <v/>
          </cell>
          <cell r="AZ2109" t="str">
            <v/>
          </cell>
          <cell r="BA2109" t="str">
            <v/>
          </cell>
        </row>
        <row r="2110">
          <cell r="B2110" t="str">
            <v>-</v>
          </cell>
          <cell r="E2110" t="str">
            <v/>
          </cell>
          <cell r="G2110" t="str">
            <v/>
          </cell>
          <cell r="J2110" t="str">
            <v/>
          </cell>
          <cell r="O2110" t="str">
            <v/>
          </cell>
          <cell r="P2110" t="str">
            <v/>
          </cell>
          <cell r="Q2110" t="str">
            <v/>
          </cell>
          <cell r="S2110" t="str">
            <v/>
          </cell>
          <cell r="V2110" t="str">
            <v/>
          </cell>
          <cell r="Z2110" t="str">
            <v/>
          </cell>
          <cell r="AA2110" t="str">
            <v/>
          </cell>
          <cell r="AB2110" t="str">
            <v/>
          </cell>
          <cell r="AC2110" t="str">
            <v/>
          </cell>
          <cell r="AD2110" t="str">
            <v/>
          </cell>
          <cell r="AY2110" t="str">
            <v/>
          </cell>
          <cell r="AZ2110" t="str">
            <v/>
          </cell>
          <cell r="BA2110" t="str">
            <v/>
          </cell>
        </row>
        <row r="2111">
          <cell r="B2111" t="str">
            <v>-</v>
          </cell>
          <cell r="E2111" t="str">
            <v/>
          </cell>
          <cell r="G2111" t="str">
            <v/>
          </cell>
          <cell r="J2111" t="str">
            <v/>
          </cell>
          <cell r="O2111" t="str">
            <v/>
          </cell>
          <cell r="P2111" t="str">
            <v/>
          </cell>
          <cell r="Q2111" t="str">
            <v/>
          </cell>
          <cell r="S2111" t="str">
            <v/>
          </cell>
          <cell r="V2111" t="str">
            <v/>
          </cell>
          <cell r="Z2111" t="str">
            <v/>
          </cell>
          <cell r="AA2111" t="str">
            <v/>
          </cell>
          <cell r="AB2111" t="str">
            <v/>
          </cell>
          <cell r="AC2111" t="str">
            <v/>
          </cell>
          <cell r="AD2111" t="str">
            <v/>
          </cell>
          <cell r="AY2111" t="str">
            <v/>
          </cell>
          <cell r="AZ2111" t="str">
            <v/>
          </cell>
          <cell r="BA2111" t="str">
            <v/>
          </cell>
        </row>
        <row r="2112">
          <cell r="B2112" t="str">
            <v>-</v>
          </cell>
          <cell r="E2112" t="str">
            <v/>
          </cell>
          <cell r="G2112" t="str">
            <v/>
          </cell>
          <cell r="J2112" t="str">
            <v/>
          </cell>
          <cell r="O2112" t="str">
            <v/>
          </cell>
          <cell r="P2112" t="str">
            <v/>
          </cell>
          <cell r="Q2112" t="str">
            <v/>
          </cell>
          <cell r="S2112" t="str">
            <v/>
          </cell>
          <cell r="V2112" t="str">
            <v/>
          </cell>
          <cell r="Z2112" t="str">
            <v/>
          </cell>
          <cell r="AA2112" t="str">
            <v/>
          </cell>
          <cell r="AB2112" t="str">
            <v/>
          </cell>
          <cell r="AC2112" t="str">
            <v/>
          </cell>
          <cell r="AD2112" t="str">
            <v/>
          </cell>
          <cell r="AY2112" t="str">
            <v/>
          </cell>
          <cell r="AZ2112" t="str">
            <v/>
          </cell>
          <cell r="BA2112" t="str">
            <v/>
          </cell>
        </row>
        <row r="2113">
          <cell r="B2113" t="str">
            <v>-</v>
          </cell>
          <cell r="E2113" t="str">
            <v/>
          </cell>
          <cell r="G2113" t="str">
            <v/>
          </cell>
          <cell r="J2113" t="str">
            <v/>
          </cell>
          <cell r="O2113" t="str">
            <v/>
          </cell>
          <cell r="P2113" t="str">
            <v/>
          </cell>
          <cell r="Q2113" t="str">
            <v/>
          </cell>
          <cell r="S2113" t="str">
            <v/>
          </cell>
          <cell r="V2113" t="str">
            <v/>
          </cell>
          <cell r="Z2113" t="str">
            <v/>
          </cell>
          <cell r="AA2113" t="str">
            <v/>
          </cell>
          <cell r="AB2113" t="str">
            <v/>
          </cell>
          <cell r="AC2113" t="str">
            <v/>
          </cell>
          <cell r="AD2113" t="str">
            <v/>
          </cell>
          <cell r="AY2113" t="str">
            <v/>
          </cell>
          <cell r="AZ2113" t="str">
            <v/>
          </cell>
          <cell r="BA2113" t="str">
            <v/>
          </cell>
        </row>
        <row r="2114">
          <cell r="B2114" t="str">
            <v>-</v>
          </cell>
          <cell r="E2114" t="str">
            <v/>
          </cell>
          <cell r="G2114" t="str">
            <v/>
          </cell>
          <cell r="J2114" t="str">
            <v/>
          </cell>
          <cell r="O2114" t="str">
            <v/>
          </cell>
          <cell r="P2114" t="str">
            <v/>
          </cell>
          <cell r="Q2114" t="str">
            <v/>
          </cell>
          <cell r="S2114" t="str">
            <v/>
          </cell>
          <cell r="V2114" t="str">
            <v/>
          </cell>
          <cell r="Z2114" t="str">
            <v/>
          </cell>
          <cell r="AA2114" t="str">
            <v/>
          </cell>
          <cell r="AB2114" t="str">
            <v/>
          </cell>
          <cell r="AC2114" t="str">
            <v/>
          </cell>
          <cell r="AD2114" t="str">
            <v/>
          </cell>
          <cell r="AY2114" t="str">
            <v/>
          </cell>
          <cell r="AZ2114" t="str">
            <v/>
          </cell>
          <cell r="BA2114" t="str">
            <v/>
          </cell>
        </row>
        <row r="2115">
          <cell r="B2115" t="str">
            <v>-</v>
          </cell>
          <cell r="E2115" t="str">
            <v/>
          </cell>
          <cell r="G2115" t="str">
            <v/>
          </cell>
          <cell r="J2115" t="str">
            <v/>
          </cell>
          <cell r="O2115" t="str">
            <v/>
          </cell>
          <cell r="P2115" t="str">
            <v/>
          </cell>
          <cell r="Q2115" t="str">
            <v/>
          </cell>
          <cell r="S2115" t="str">
            <v/>
          </cell>
          <cell r="V2115" t="str">
            <v/>
          </cell>
          <cell r="Z2115" t="str">
            <v/>
          </cell>
          <cell r="AA2115" t="str">
            <v/>
          </cell>
          <cell r="AB2115" t="str">
            <v/>
          </cell>
          <cell r="AC2115" t="str">
            <v/>
          </cell>
          <cell r="AD2115" t="str">
            <v/>
          </cell>
          <cell r="AY2115" t="str">
            <v/>
          </cell>
          <cell r="AZ2115" t="str">
            <v/>
          </cell>
          <cell r="BA2115" t="str">
            <v/>
          </cell>
        </row>
        <row r="2116">
          <cell r="B2116" t="str">
            <v>-</v>
          </cell>
          <cell r="E2116" t="str">
            <v/>
          </cell>
          <cell r="G2116" t="str">
            <v/>
          </cell>
          <cell r="J2116" t="str">
            <v/>
          </cell>
          <cell r="O2116" t="str">
            <v/>
          </cell>
          <cell r="P2116" t="str">
            <v/>
          </cell>
          <cell r="Q2116" t="str">
            <v/>
          </cell>
          <cell r="S2116" t="str">
            <v/>
          </cell>
          <cell r="V2116" t="str">
            <v/>
          </cell>
          <cell r="Z2116" t="str">
            <v/>
          </cell>
          <cell r="AA2116" t="str">
            <v/>
          </cell>
          <cell r="AB2116" t="str">
            <v/>
          </cell>
          <cell r="AC2116" t="str">
            <v/>
          </cell>
          <cell r="AD2116" t="str">
            <v/>
          </cell>
          <cell r="AY2116" t="str">
            <v/>
          </cell>
          <cell r="AZ2116" t="str">
            <v/>
          </cell>
          <cell r="BA2116" t="str">
            <v/>
          </cell>
        </row>
        <row r="2117">
          <cell r="B2117" t="str">
            <v>-</v>
          </cell>
          <cell r="E2117" t="str">
            <v/>
          </cell>
          <cell r="G2117" t="str">
            <v/>
          </cell>
          <cell r="J2117" t="str">
            <v/>
          </cell>
          <cell r="O2117" t="str">
            <v/>
          </cell>
          <cell r="P2117" t="str">
            <v/>
          </cell>
          <cell r="Q2117" t="str">
            <v/>
          </cell>
          <cell r="S2117" t="str">
            <v/>
          </cell>
          <cell r="V2117" t="str">
            <v/>
          </cell>
          <cell r="Z2117" t="str">
            <v/>
          </cell>
          <cell r="AA2117" t="str">
            <v/>
          </cell>
          <cell r="AB2117" t="str">
            <v/>
          </cell>
          <cell r="AC2117" t="str">
            <v/>
          </cell>
          <cell r="AD2117" t="str">
            <v/>
          </cell>
          <cell r="AY2117" t="str">
            <v/>
          </cell>
          <cell r="AZ2117" t="str">
            <v/>
          </cell>
          <cell r="BA2117" t="str">
            <v/>
          </cell>
        </row>
        <row r="2118">
          <cell r="B2118" t="str">
            <v>-</v>
          </cell>
          <cell r="E2118" t="str">
            <v/>
          </cell>
          <cell r="G2118" t="str">
            <v/>
          </cell>
          <cell r="J2118" t="str">
            <v/>
          </cell>
          <cell r="O2118" t="str">
            <v/>
          </cell>
          <cell r="P2118" t="str">
            <v/>
          </cell>
          <cell r="Q2118" t="str">
            <v/>
          </cell>
          <cell r="S2118" t="str">
            <v/>
          </cell>
          <cell r="V2118" t="str">
            <v/>
          </cell>
          <cell r="Z2118" t="str">
            <v/>
          </cell>
          <cell r="AA2118" t="str">
            <v/>
          </cell>
          <cell r="AB2118" t="str">
            <v/>
          </cell>
          <cell r="AC2118" t="str">
            <v/>
          </cell>
          <cell r="AD2118" t="str">
            <v/>
          </cell>
          <cell r="AY2118" t="str">
            <v/>
          </cell>
          <cell r="AZ2118" t="str">
            <v/>
          </cell>
          <cell r="BA2118" t="str">
            <v/>
          </cell>
        </row>
        <row r="2119">
          <cell r="B2119" t="str">
            <v>-</v>
          </cell>
          <cell r="E2119" t="str">
            <v/>
          </cell>
          <cell r="G2119" t="str">
            <v/>
          </cell>
          <cell r="J2119" t="str">
            <v/>
          </cell>
          <cell r="O2119" t="str">
            <v/>
          </cell>
          <cell r="P2119" t="str">
            <v/>
          </cell>
          <cell r="Q2119" t="str">
            <v/>
          </cell>
          <cell r="S2119" t="str">
            <v/>
          </cell>
          <cell r="V2119" t="str">
            <v/>
          </cell>
          <cell r="Z2119" t="str">
            <v/>
          </cell>
          <cell r="AA2119" t="str">
            <v/>
          </cell>
          <cell r="AB2119" t="str">
            <v/>
          </cell>
          <cell r="AC2119" t="str">
            <v/>
          </cell>
          <cell r="AD2119" t="str">
            <v/>
          </cell>
          <cell r="AY2119" t="str">
            <v/>
          </cell>
          <cell r="AZ2119" t="str">
            <v/>
          </cell>
          <cell r="BA2119" t="str">
            <v/>
          </cell>
        </row>
        <row r="2120">
          <cell r="B2120" t="str">
            <v>-</v>
          </cell>
          <cell r="E2120" t="str">
            <v/>
          </cell>
          <cell r="G2120" t="str">
            <v/>
          </cell>
          <cell r="J2120" t="str">
            <v/>
          </cell>
          <cell r="O2120" t="str">
            <v/>
          </cell>
          <cell r="P2120" t="str">
            <v/>
          </cell>
          <cell r="Q2120" t="str">
            <v/>
          </cell>
          <cell r="S2120" t="str">
            <v/>
          </cell>
          <cell r="V2120" t="str">
            <v/>
          </cell>
          <cell r="Z2120" t="str">
            <v/>
          </cell>
          <cell r="AA2120" t="str">
            <v/>
          </cell>
          <cell r="AB2120" t="str">
            <v/>
          </cell>
          <cell r="AC2120" t="str">
            <v/>
          </cell>
          <cell r="AD2120" t="str">
            <v/>
          </cell>
          <cell r="AY2120" t="str">
            <v/>
          </cell>
          <cell r="AZ2120" t="str">
            <v/>
          </cell>
          <cell r="BA2120" t="str">
            <v/>
          </cell>
        </row>
        <row r="2121">
          <cell r="B2121" t="str">
            <v>-</v>
          </cell>
          <cell r="E2121" t="str">
            <v/>
          </cell>
          <cell r="G2121" t="str">
            <v/>
          </cell>
          <cell r="J2121" t="str">
            <v/>
          </cell>
          <cell r="O2121" t="str">
            <v/>
          </cell>
          <cell r="P2121" t="str">
            <v/>
          </cell>
          <cell r="Q2121" t="str">
            <v/>
          </cell>
          <cell r="S2121" t="str">
            <v/>
          </cell>
          <cell r="V2121" t="str">
            <v/>
          </cell>
          <cell r="Z2121" t="str">
            <v/>
          </cell>
          <cell r="AA2121" t="str">
            <v/>
          </cell>
          <cell r="AB2121" t="str">
            <v/>
          </cell>
          <cell r="AC2121" t="str">
            <v/>
          </cell>
          <cell r="AD2121" t="str">
            <v/>
          </cell>
          <cell r="AY2121" t="str">
            <v/>
          </cell>
          <cell r="AZ2121" t="str">
            <v/>
          </cell>
          <cell r="BA2121" t="str">
            <v/>
          </cell>
        </row>
        <row r="2122">
          <cell r="B2122" t="str">
            <v>-</v>
          </cell>
          <cell r="E2122" t="str">
            <v/>
          </cell>
          <cell r="G2122" t="str">
            <v/>
          </cell>
          <cell r="J2122" t="str">
            <v/>
          </cell>
          <cell r="O2122" t="str">
            <v/>
          </cell>
          <cell r="P2122" t="str">
            <v/>
          </cell>
          <cell r="Q2122" t="str">
            <v/>
          </cell>
          <cell r="S2122" t="str">
            <v/>
          </cell>
          <cell r="V2122" t="str">
            <v/>
          </cell>
          <cell r="Z2122" t="str">
            <v/>
          </cell>
          <cell r="AA2122" t="str">
            <v/>
          </cell>
          <cell r="AB2122" t="str">
            <v/>
          </cell>
          <cell r="AC2122" t="str">
            <v/>
          </cell>
          <cell r="AD2122" t="str">
            <v/>
          </cell>
          <cell r="AY2122" t="str">
            <v/>
          </cell>
          <cell r="AZ2122" t="str">
            <v/>
          </cell>
          <cell r="BA2122" t="str">
            <v/>
          </cell>
        </row>
        <row r="2123">
          <cell r="B2123" t="str">
            <v>-</v>
          </cell>
          <cell r="E2123" t="str">
            <v/>
          </cell>
          <cell r="G2123" t="str">
            <v/>
          </cell>
          <cell r="J2123" t="str">
            <v/>
          </cell>
          <cell r="O2123" t="str">
            <v/>
          </cell>
          <cell r="P2123" t="str">
            <v/>
          </cell>
          <cell r="Q2123" t="str">
            <v/>
          </cell>
          <cell r="S2123" t="str">
            <v/>
          </cell>
          <cell r="V2123" t="str">
            <v/>
          </cell>
          <cell r="Z2123" t="str">
            <v/>
          </cell>
          <cell r="AA2123" t="str">
            <v/>
          </cell>
          <cell r="AB2123" t="str">
            <v/>
          </cell>
          <cell r="AC2123" t="str">
            <v/>
          </cell>
          <cell r="AD2123" t="str">
            <v/>
          </cell>
          <cell r="AY2123" t="str">
            <v/>
          </cell>
          <cell r="AZ2123" t="str">
            <v/>
          </cell>
          <cell r="BA2123" t="str">
            <v/>
          </cell>
        </row>
        <row r="2124">
          <cell r="B2124" t="str">
            <v>-</v>
          </cell>
          <cell r="E2124" t="str">
            <v/>
          </cell>
          <cell r="G2124" t="str">
            <v/>
          </cell>
          <cell r="J2124" t="str">
            <v/>
          </cell>
          <cell r="O2124" t="str">
            <v/>
          </cell>
          <cell r="P2124" t="str">
            <v/>
          </cell>
          <cell r="Q2124" t="str">
            <v/>
          </cell>
          <cell r="S2124" t="str">
            <v/>
          </cell>
          <cell r="V2124" t="str">
            <v/>
          </cell>
          <cell r="Z2124" t="str">
            <v/>
          </cell>
          <cell r="AA2124" t="str">
            <v/>
          </cell>
          <cell r="AB2124" t="str">
            <v/>
          </cell>
          <cell r="AC2124" t="str">
            <v/>
          </cell>
          <cell r="AD2124" t="str">
            <v/>
          </cell>
          <cell r="AY2124" t="str">
            <v/>
          </cell>
          <cell r="AZ2124" t="str">
            <v/>
          </cell>
          <cell r="BA2124" t="str">
            <v/>
          </cell>
        </row>
        <row r="2125">
          <cell r="B2125" t="str">
            <v>-</v>
          </cell>
          <cell r="E2125" t="str">
            <v/>
          </cell>
          <cell r="G2125" t="str">
            <v/>
          </cell>
          <cell r="J2125" t="str">
            <v/>
          </cell>
          <cell r="O2125" t="str">
            <v/>
          </cell>
          <cell r="P2125" t="str">
            <v/>
          </cell>
          <cell r="Q2125" t="str">
            <v/>
          </cell>
          <cell r="S2125" t="str">
            <v/>
          </cell>
          <cell r="V2125" t="str">
            <v/>
          </cell>
          <cell r="Z2125" t="str">
            <v/>
          </cell>
          <cell r="AA2125" t="str">
            <v/>
          </cell>
          <cell r="AB2125" t="str">
            <v/>
          </cell>
          <cell r="AC2125" t="str">
            <v/>
          </cell>
          <cell r="AD2125" t="str">
            <v/>
          </cell>
          <cell r="AY2125" t="str">
            <v/>
          </cell>
          <cell r="AZ2125" t="str">
            <v/>
          </cell>
          <cell r="BA2125" t="str">
            <v/>
          </cell>
        </row>
        <row r="2126">
          <cell r="B2126" t="str">
            <v>-</v>
          </cell>
          <cell r="E2126" t="str">
            <v/>
          </cell>
          <cell r="G2126" t="str">
            <v/>
          </cell>
          <cell r="J2126" t="str">
            <v/>
          </cell>
          <cell r="O2126" t="str">
            <v/>
          </cell>
          <cell r="P2126" t="str">
            <v/>
          </cell>
          <cell r="Q2126" t="str">
            <v/>
          </cell>
          <cell r="S2126" t="str">
            <v/>
          </cell>
          <cell r="V2126" t="str">
            <v/>
          </cell>
          <cell r="Z2126" t="str">
            <v/>
          </cell>
          <cell r="AA2126" t="str">
            <v/>
          </cell>
          <cell r="AB2126" t="str">
            <v/>
          </cell>
          <cell r="AC2126" t="str">
            <v/>
          </cell>
          <cell r="AD2126" t="str">
            <v/>
          </cell>
          <cell r="AY2126" t="str">
            <v/>
          </cell>
          <cell r="AZ2126" t="str">
            <v/>
          </cell>
          <cell r="BA2126" t="str">
            <v/>
          </cell>
        </row>
        <row r="2127">
          <cell r="B2127" t="str">
            <v>-</v>
          </cell>
          <cell r="E2127" t="str">
            <v/>
          </cell>
          <cell r="G2127" t="str">
            <v/>
          </cell>
          <cell r="J2127" t="str">
            <v/>
          </cell>
          <cell r="O2127" t="str">
            <v/>
          </cell>
          <cell r="P2127" t="str">
            <v/>
          </cell>
          <cell r="Q2127" t="str">
            <v/>
          </cell>
          <cell r="S2127" t="str">
            <v/>
          </cell>
          <cell r="V2127" t="str">
            <v/>
          </cell>
          <cell r="Z2127" t="str">
            <v/>
          </cell>
          <cell r="AA2127" t="str">
            <v/>
          </cell>
          <cell r="AB2127" t="str">
            <v/>
          </cell>
          <cell r="AC2127" t="str">
            <v/>
          </cell>
          <cell r="AD2127" t="str">
            <v/>
          </cell>
          <cell r="AY2127" t="str">
            <v/>
          </cell>
          <cell r="AZ2127" t="str">
            <v/>
          </cell>
          <cell r="BA2127" t="str">
            <v/>
          </cell>
        </row>
        <row r="2128">
          <cell r="B2128" t="str">
            <v>-</v>
          </cell>
          <cell r="E2128" t="str">
            <v/>
          </cell>
          <cell r="G2128" t="str">
            <v/>
          </cell>
          <cell r="J2128" t="str">
            <v/>
          </cell>
          <cell r="O2128" t="str">
            <v/>
          </cell>
          <cell r="P2128" t="str">
            <v/>
          </cell>
          <cell r="Q2128" t="str">
            <v/>
          </cell>
          <cell r="S2128" t="str">
            <v/>
          </cell>
          <cell r="V2128" t="str">
            <v/>
          </cell>
          <cell r="Z2128" t="str">
            <v/>
          </cell>
          <cell r="AA2128" t="str">
            <v/>
          </cell>
          <cell r="AB2128" t="str">
            <v/>
          </cell>
          <cell r="AC2128" t="str">
            <v/>
          </cell>
          <cell r="AD2128" t="str">
            <v/>
          </cell>
          <cell r="AY2128" t="str">
            <v/>
          </cell>
          <cell r="AZ2128" t="str">
            <v/>
          </cell>
          <cell r="BA2128" t="str">
            <v/>
          </cell>
        </row>
        <row r="2129">
          <cell r="B2129" t="str">
            <v>-</v>
          </cell>
          <cell r="E2129" t="str">
            <v/>
          </cell>
          <cell r="G2129" t="str">
            <v/>
          </cell>
          <cell r="J2129" t="str">
            <v/>
          </cell>
          <cell r="O2129" t="str">
            <v/>
          </cell>
          <cell r="P2129" t="str">
            <v/>
          </cell>
          <cell r="Q2129" t="str">
            <v/>
          </cell>
          <cell r="S2129" t="str">
            <v/>
          </cell>
          <cell r="V2129" t="str">
            <v/>
          </cell>
          <cell r="Z2129" t="str">
            <v/>
          </cell>
          <cell r="AA2129" t="str">
            <v/>
          </cell>
          <cell r="AB2129" t="str">
            <v/>
          </cell>
          <cell r="AC2129" t="str">
            <v/>
          </cell>
          <cell r="AD2129" t="str">
            <v/>
          </cell>
          <cell r="AY2129" t="str">
            <v/>
          </cell>
          <cell r="AZ2129" t="str">
            <v/>
          </cell>
          <cell r="BA2129" t="str">
            <v/>
          </cell>
        </row>
        <row r="2130">
          <cell r="B2130" t="str">
            <v>-</v>
          </cell>
          <cell r="E2130" t="str">
            <v/>
          </cell>
          <cell r="G2130" t="str">
            <v/>
          </cell>
          <cell r="J2130" t="str">
            <v/>
          </cell>
          <cell r="O2130" t="str">
            <v/>
          </cell>
          <cell r="P2130" t="str">
            <v/>
          </cell>
          <cell r="Q2130" t="str">
            <v/>
          </cell>
          <cell r="S2130" t="str">
            <v/>
          </cell>
          <cell r="V2130" t="str">
            <v/>
          </cell>
          <cell r="Z2130" t="str">
            <v/>
          </cell>
          <cell r="AA2130" t="str">
            <v/>
          </cell>
          <cell r="AB2130" t="str">
            <v/>
          </cell>
          <cell r="AC2130" t="str">
            <v/>
          </cell>
          <cell r="AD2130" t="str">
            <v/>
          </cell>
          <cell r="AY2130" t="str">
            <v/>
          </cell>
          <cell r="AZ2130" t="str">
            <v/>
          </cell>
          <cell r="BA2130" t="str">
            <v/>
          </cell>
        </row>
        <row r="2131">
          <cell r="B2131" t="str">
            <v>-</v>
          </cell>
          <cell r="E2131" t="str">
            <v/>
          </cell>
          <cell r="G2131" t="str">
            <v/>
          </cell>
          <cell r="J2131" t="str">
            <v/>
          </cell>
          <cell r="O2131" t="str">
            <v/>
          </cell>
          <cell r="P2131" t="str">
            <v/>
          </cell>
          <cell r="Q2131" t="str">
            <v/>
          </cell>
          <cell r="S2131" t="str">
            <v/>
          </cell>
          <cell r="V2131" t="str">
            <v/>
          </cell>
          <cell r="Z2131" t="str">
            <v/>
          </cell>
          <cell r="AA2131" t="str">
            <v/>
          </cell>
          <cell r="AB2131" t="str">
            <v/>
          </cell>
          <cell r="AC2131" t="str">
            <v/>
          </cell>
          <cell r="AD2131" t="str">
            <v/>
          </cell>
          <cell r="AY2131" t="str">
            <v/>
          </cell>
          <cell r="AZ2131" t="str">
            <v/>
          </cell>
          <cell r="BA2131" t="str">
            <v/>
          </cell>
        </row>
        <row r="2132">
          <cell r="B2132" t="str">
            <v>-</v>
          </cell>
          <cell r="E2132" t="str">
            <v/>
          </cell>
          <cell r="G2132" t="str">
            <v/>
          </cell>
          <cell r="J2132" t="str">
            <v/>
          </cell>
          <cell r="O2132" t="str">
            <v/>
          </cell>
          <cell r="P2132" t="str">
            <v/>
          </cell>
          <cell r="Q2132" t="str">
            <v/>
          </cell>
          <cell r="S2132" t="str">
            <v/>
          </cell>
          <cell r="V2132" t="str">
            <v/>
          </cell>
          <cell r="Z2132" t="str">
            <v/>
          </cell>
          <cell r="AA2132" t="str">
            <v/>
          </cell>
          <cell r="AB2132" t="str">
            <v/>
          </cell>
          <cell r="AC2132" t="str">
            <v/>
          </cell>
          <cell r="AD2132" t="str">
            <v/>
          </cell>
          <cell r="AY2132" t="str">
            <v/>
          </cell>
          <cell r="AZ2132" t="str">
            <v/>
          </cell>
          <cell r="BA2132" t="str">
            <v/>
          </cell>
        </row>
        <row r="2133">
          <cell r="B2133" t="str">
            <v>-</v>
          </cell>
          <cell r="E2133" t="str">
            <v/>
          </cell>
          <cell r="G2133" t="str">
            <v/>
          </cell>
          <cell r="J2133" t="str">
            <v/>
          </cell>
          <cell r="O2133" t="str">
            <v/>
          </cell>
          <cell r="P2133" t="str">
            <v/>
          </cell>
          <cell r="Q2133" t="str">
            <v/>
          </cell>
          <cell r="S2133" t="str">
            <v/>
          </cell>
          <cell r="V2133" t="str">
            <v/>
          </cell>
          <cell r="Z2133" t="str">
            <v/>
          </cell>
          <cell r="AA2133" t="str">
            <v/>
          </cell>
          <cell r="AB2133" t="str">
            <v/>
          </cell>
          <cell r="AC2133" t="str">
            <v/>
          </cell>
          <cell r="AD2133" t="str">
            <v/>
          </cell>
          <cell r="AY2133" t="str">
            <v/>
          </cell>
          <cell r="AZ2133" t="str">
            <v/>
          </cell>
          <cell r="BA2133" t="str">
            <v/>
          </cell>
        </row>
        <row r="2134">
          <cell r="B2134" t="str">
            <v>-</v>
          </cell>
          <cell r="E2134" t="str">
            <v/>
          </cell>
          <cell r="G2134" t="str">
            <v/>
          </cell>
          <cell r="J2134" t="str">
            <v/>
          </cell>
          <cell r="O2134" t="str">
            <v/>
          </cell>
          <cell r="P2134" t="str">
            <v/>
          </cell>
          <cell r="Q2134" t="str">
            <v/>
          </cell>
          <cell r="S2134" t="str">
            <v/>
          </cell>
          <cell r="V2134" t="str">
            <v/>
          </cell>
          <cell r="Z2134" t="str">
            <v/>
          </cell>
          <cell r="AA2134" t="str">
            <v/>
          </cell>
          <cell r="AB2134" t="str">
            <v/>
          </cell>
          <cell r="AC2134" t="str">
            <v/>
          </cell>
          <cell r="AD2134" t="str">
            <v/>
          </cell>
          <cell r="AY2134" t="str">
            <v/>
          </cell>
          <cell r="AZ2134" t="str">
            <v/>
          </cell>
          <cell r="BA2134" t="str">
            <v/>
          </cell>
        </row>
        <row r="2135">
          <cell r="B2135" t="str">
            <v>-</v>
          </cell>
          <cell r="E2135" t="str">
            <v/>
          </cell>
          <cell r="G2135" t="str">
            <v/>
          </cell>
          <cell r="J2135" t="str">
            <v/>
          </cell>
          <cell r="O2135" t="str">
            <v/>
          </cell>
          <cell r="P2135" t="str">
            <v/>
          </cell>
          <cell r="Q2135" t="str">
            <v/>
          </cell>
          <cell r="S2135" t="str">
            <v/>
          </cell>
          <cell r="V2135" t="str">
            <v/>
          </cell>
          <cell r="Z2135" t="str">
            <v/>
          </cell>
          <cell r="AA2135" t="str">
            <v/>
          </cell>
          <cell r="AB2135" t="str">
            <v/>
          </cell>
          <cell r="AC2135" t="str">
            <v/>
          </cell>
          <cell r="AD2135" t="str">
            <v/>
          </cell>
          <cell r="AY2135" t="str">
            <v/>
          </cell>
          <cell r="AZ2135" t="str">
            <v/>
          </cell>
          <cell r="BA2135" t="str">
            <v/>
          </cell>
        </row>
        <row r="2136">
          <cell r="B2136" t="str">
            <v>-</v>
          </cell>
          <cell r="E2136" t="str">
            <v/>
          </cell>
          <cell r="G2136" t="str">
            <v/>
          </cell>
          <cell r="J2136" t="str">
            <v/>
          </cell>
          <cell r="O2136" t="str">
            <v/>
          </cell>
          <cell r="P2136" t="str">
            <v/>
          </cell>
          <cell r="Q2136" t="str">
            <v/>
          </cell>
          <cell r="S2136" t="str">
            <v/>
          </cell>
          <cell r="V2136" t="str">
            <v/>
          </cell>
          <cell r="Z2136" t="str">
            <v/>
          </cell>
          <cell r="AA2136" t="str">
            <v/>
          </cell>
          <cell r="AB2136" t="str">
            <v/>
          </cell>
          <cell r="AC2136" t="str">
            <v/>
          </cell>
          <cell r="AD2136" t="str">
            <v/>
          </cell>
          <cell r="AY2136" t="str">
            <v/>
          </cell>
          <cell r="AZ2136" t="str">
            <v/>
          </cell>
          <cell r="BA2136" t="str">
            <v/>
          </cell>
        </row>
        <row r="2137">
          <cell r="B2137" t="str">
            <v>-</v>
          </cell>
          <cell r="E2137" t="str">
            <v/>
          </cell>
          <cell r="G2137" t="str">
            <v/>
          </cell>
          <cell r="J2137" t="str">
            <v/>
          </cell>
          <cell r="O2137" t="str">
            <v/>
          </cell>
          <cell r="P2137" t="str">
            <v/>
          </cell>
          <cell r="Q2137" t="str">
            <v/>
          </cell>
          <cell r="S2137" t="str">
            <v/>
          </cell>
          <cell r="V2137" t="str">
            <v/>
          </cell>
          <cell r="Z2137" t="str">
            <v/>
          </cell>
          <cell r="AA2137" t="str">
            <v/>
          </cell>
          <cell r="AB2137" t="str">
            <v/>
          </cell>
          <cell r="AC2137" t="str">
            <v/>
          </cell>
          <cell r="AD2137" t="str">
            <v/>
          </cell>
          <cell r="AY2137" t="str">
            <v/>
          </cell>
          <cell r="AZ2137" t="str">
            <v/>
          </cell>
          <cell r="BA2137" t="str">
            <v/>
          </cell>
        </row>
        <row r="2138">
          <cell r="B2138" t="str">
            <v>-</v>
          </cell>
          <cell r="E2138" t="str">
            <v/>
          </cell>
          <cell r="G2138" t="str">
            <v/>
          </cell>
          <cell r="J2138" t="str">
            <v/>
          </cell>
          <cell r="O2138" t="str">
            <v/>
          </cell>
          <cell r="P2138" t="str">
            <v/>
          </cell>
          <cell r="Q2138" t="str">
            <v/>
          </cell>
          <cell r="S2138" t="str">
            <v/>
          </cell>
          <cell r="V2138" t="str">
            <v/>
          </cell>
          <cell r="Z2138" t="str">
            <v/>
          </cell>
          <cell r="AA2138" t="str">
            <v/>
          </cell>
          <cell r="AB2138" t="str">
            <v/>
          </cell>
          <cell r="AC2138" t="str">
            <v/>
          </cell>
          <cell r="AD2138" t="str">
            <v/>
          </cell>
          <cell r="AY2138" t="str">
            <v/>
          </cell>
          <cell r="AZ2138" t="str">
            <v/>
          </cell>
          <cell r="BA2138" t="str">
            <v/>
          </cell>
        </row>
        <row r="2139">
          <cell r="B2139" t="str">
            <v>-</v>
          </cell>
          <cell r="E2139" t="str">
            <v/>
          </cell>
          <cell r="G2139" t="str">
            <v/>
          </cell>
          <cell r="J2139" t="str">
            <v/>
          </cell>
          <cell r="O2139" t="str">
            <v/>
          </cell>
          <cell r="P2139" t="str">
            <v/>
          </cell>
          <cell r="Q2139" t="str">
            <v/>
          </cell>
          <cell r="S2139" t="str">
            <v/>
          </cell>
          <cell r="V2139" t="str">
            <v/>
          </cell>
          <cell r="Z2139" t="str">
            <v/>
          </cell>
          <cell r="AA2139" t="str">
            <v/>
          </cell>
          <cell r="AB2139" t="str">
            <v/>
          </cell>
          <cell r="AC2139" t="str">
            <v/>
          </cell>
          <cell r="AD2139" t="str">
            <v/>
          </cell>
          <cell r="AY2139" t="str">
            <v/>
          </cell>
          <cell r="AZ2139" t="str">
            <v/>
          </cell>
          <cell r="BA2139" t="str">
            <v/>
          </cell>
        </row>
        <row r="2140">
          <cell r="B2140" t="str">
            <v>-</v>
          </cell>
          <cell r="E2140" t="str">
            <v/>
          </cell>
          <cell r="G2140" t="str">
            <v/>
          </cell>
          <cell r="J2140" t="str">
            <v/>
          </cell>
          <cell r="O2140" t="str">
            <v/>
          </cell>
          <cell r="P2140" t="str">
            <v/>
          </cell>
          <cell r="Q2140" t="str">
            <v/>
          </cell>
          <cell r="S2140" t="str">
            <v/>
          </cell>
          <cell r="V2140" t="str">
            <v/>
          </cell>
          <cell r="Z2140" t="str">
            <v/>
          </cell>
          <cell r="AA2140" t="str">
            <v/>
          </cell>
          <cell r="AB2140" t="str">
            <v/>
          </cell>
          <cell r="AC2140" t="str">
            <v/>
          </cell>
          <cell r="AD2140" t="str">
            <v/>
          </cell>
          <cell r="AY2140" t="str">
            <v/>
          </cell>
          <cell r="AZ2140" t="str">
            <v/>
          </cell>
          <cell r="BA2140" t="str">
            <v/>
          </cell>
        </row>
        <row r="2141">
          <cell r="B2141" t="str">
            <v>-</v>
          </cell>
          <cell r="E2141" t="str">
            <v/>
          </cell>
          <cell r="G2141" t="str">
            <v/>
          </cell>
          <cell r="J2141" t="str">
            <v/>
          </cell>
          <cell r="O2141" t="str">
            <v/>
          </cell>
          <cell r="P2141" t="str">
            <v/>
          </cell>
          <cell r="Q2141" t="str">
            <v/>
          </cell>
          <cell r="S2141" t="str">
            <v/>
          </cell>
          <cell r="V2141" t="str">
            <v/>
          </cell>
          <cell r="Z2141" t="str">
            <v/>
          </cell>
          <cell r="AA2141" t="str">
            <v/>
          </cell>
          <cell r="AB2141" t="str">
            <v/>
          </cell>
          <cell r="AC2141" t="str">
            <v/>
          </cell>
          <cell r="AD2141" t="str">
            <v/>
          </cell>
          <cell r="AY2141" t="str">
            <v/>
          </cell>
          <cell r="AZ2141" t="str">
            <v/>
          </cell>
          <cell r="BA2141" t="str">
            <v/>
          </cell>
        </row>
        <row r="2142">
          <cell r="B2142" t="str">
            <v>-</v>
          </cell>
          <cell r="E2142" t="str">
            <v/>
          </cell>
          <cell r="G2142" t="str">
            <v/>
          </cell>
          <cell r="J2142" t="str">
            <v/>
          </cell>
          <cell r="O2142" t="str">
            <v/>
          </cell>
          <cell r="P2142" t="str">
            <v/>
          </cell>
          <cell r="Q2142" t="str">
            <v/>
          </cell>
          <cell r="S2142" t="str">
            <v/>
          </cell>
          <cell r="V2142" t="str">
            <v/>
          </cell>
          <cell r="Z2142" t="str">
            <v/>
          </cell>
          <cell r="AA2142" t="str">
            <v/>
          </cell>
          <cell r="AB2142" t="str">
            <v/>
          </cell>
          <cell r="AC2142" t="str">
            <v/>
          </cell>
          <cell r="AD2142" t="str">
            <v/>
          </cell>
          <cell r="AY2142" t="str">
            <v/>
          </cell>
          <cell r="AZ2142" t="str">
            <v/>
          </cell>
          <cell r="BA2142" t="str">
            <v/>
          </cell>
        </row>
        <row r="2143">
          <cell r="B2143" t="str">
            <v>-</v>
          </cell>
          <cell r="E2143" t="str">
            <v/>
          </cell>
          <cell r="G2143" t="str">
            <v/>
          </cell>
          <cell r="J2143" t="str">
            <v/>
          </cell>
          <cell r="O2143" t="str">
            <v/>
          </cell>
          <cell r="P2143" t="str">
            <v/>
          </cell>
          <cell r="Q2143" t="str">
            <v/>
          </cell>
          <cell r="S2143" t="str">
            <v/>
          </cell>
          <cell r="V2143" t="str">
            <v/>
          </cell>
          <cell r="Z2143" t="str">
            <v/>
          </cell>
          <cell r="AA2143" t="str">
            <v/>
          </cell>
          <cell r="AB2143" t="str">
            <v/>
          </cell>
          <cell r="AC2143" t="str">
            <v/>
          </cell>
          <cell r="AD2143" t="str">
            <v/>
          </cell>
          <cell r="AY2143" t="str">
            <v/>
          </cell>
          <cell r="AZ2143" t="str">
            <v/>
          </cell>
          <cell r="BA2143" t="str">
            <v/>
          </cell>
        </row>
        <row r="2144">
          <cell r="B2144" t="str">
            <v>-</v>
          </cell>
          <cell r="E2144" t="str">
            <v/>
          </cell>
          <cell r="G2144" t="str">
            <v/>
          </cell>
          <cell r="J2144" t="str">
            <v/>
          </cell>
          <cell r="O2144" t="str">
            <v/>
          </cell>
          <cell r="P2144" t="str">
            <v/>
          </cell>
          <cell r="Q2144" t="str">
            <v/>
          </cell>
          <cell r="S2144" t="str">
            <v/>
          </cell>
          <cell r="V2144" t="str">
            <v/>
          </cell>
          <cell r="Z2144" t="str">
            <v/>
          </cell>
          <cell r="AA2144" t="str">
            <v/>
          </cell>
          <cell r="AB2144" t="str">
            <v/>
          </cell>
          <cell r="AC2144" t="str">
            <v/>
          </cell>
          <cell r="AD2144" t="str">
            <v/>
          </cell>
          <cell r="AY2144" t="str">
            <v/>
          </cell>
          <cell r="AZ2144" t="str">
            <v/>
          </cell>
          <cell r="BA2144" t="str">
            <v/>
          </cell>
        </row>
        <row r="2145">
          <cell r="B2145" t="str">
            <v>-</v>
          </cell>
          <cell r="E2145" t="str">
            <v/>
          </cell>
          <cell r="G2145" t="str">
            <v/>
          </cell>
          <cell r="J2145" t="str">
            <v/>
          </cell>
          <cell r="O2145" t="str">
            <v/>
          </cell>
          <cell r="P2145" t="str">
            <v/>
          </cell>
          <cell r="Q2145" t="str">
            <v/>
          </cell>
          <cell r="S2145" t="str">
            <v/>
          </cell>
          <cell r="V2145" t="str">
            <v/>
          </cell>
          <cell r="Z2145" t="str">
            <v/>
          </cell>
          <cell r="AA2145" t="str">
            <v/>
          </cell>
          <cell r="AB2145" t="str">
            <v/>
          </cell>
          <cell r="AC2145" t="str">
            <v/>
          </cell>
          <cell r="AD2145" t="str">
            <v/>
          </cell>
          <cell r="AY2145" t="str">
            <v/>
          </cell>
          <cell r="AZ2145" t="str">
            <v/>
          </cell>
          <cell r="BA2145" t="str">
            <v/>
          </cell>
        </row>
        <row r="2146">
          <cell r="B2146" t="str">
            <v>-</v>
          </cell>
          <cell r="E2146" t="str">
            <v/>
          </cell>
          <cell r="G2146" t="str">
            <v/>
          </cell>
          <cell r="J2146" t="str">
            <v/>
          </cell>
          <cell r="O2146" t="str">
            <v/>
          </cell>
          <cell r="P2146" t="str">
            <v/>
          </cell>
          <cell r="Q2146" t="str">
            <v/>
          </cell>
          <cell r="S2146" t="str">
            <v/>
          </cell>
          <cell r="V2146" t="str">
            <v/>
          </cell>
          <cell r="Z2146" t="str">
            <v/>
          </cell>
          <cell r="AA2146" t="str">
            <v/>
          </cell>
          <cell r="AB2146" t="str">
            <v/>
          </cell>
          <cell r="AC2146" t="str">
            <v/>
          </cell>
          <cell r="AD2146" t="str">
            <v/>
          </cell>
          <cell r="AY2146" t="str">
            <v/>
          </cell>
          <cell r="AZ2146" t="str">
            <v/>
          </cell>
          <cell r="BA2146" t="str">
            <v/>
          </cell>
        </row>
        <row r="2147">
          <cell r="B2147" t="str">
            <v>-</v>
          </cell>
          <cell r="E2147" t="str">
            <v/>
          </cell>
          <cell r="G2147" t="str">
            <v/>
          </cell>
          <cell r="J2147" t="str">
            <v/>
          </cell>
          <cell r="O2147" t="str">
            <v/>
          </cell>
          <cell r="P2147" t="str">
            <v/>
          </cell>
          <cell r="Q2147" t="str">
            <v/>
          </cell>
          <cell r="S2147" t="str">
            <v/>
          </cell>
          <cell r="V2147" t="str">
            <v/>
          </cell>
          <cell r="Z2147" t="str">
            <v/>
          </cell>
          <cell r="AA2147" t="str">
            <v/>
          </cell>
          <cell r="AB2147" t="str">
            <v/>
          </cell>
          <cell r="AC2147" t="str">
            <v/>
          </cell>
          <cell r="AD2147" t="str">
            <v/>
          </cell>
          <cell r="AY2147" t="str">
            <v/>
          </cell>
          <cell r="AZ2147" t="str">
            <v/>
          </cell>
          <cell r="BA2147" t="str">
            <v/>
          </cell>
        </row>
        <row r="2148">
          <cell r="B2148" t="str">
            <v>-</v>
          </cell>
          <cell r="E2148" t="str">
            <v/>
          </cell>
          <cell r="G2148" t="str">
            <v/>
          </cell>
          <cell r="J2148" t="str">
            <v/>
          </cell>
          <cell r="O2148" t="str">
            <v/>
          </cell>
          <cell r="P2148" t="str">
            <v/>
          </cell>
          <cell r="Q2148" t="str">
            <v/>
          </cell>
          <cell r="S2148" t="str">
            <v/>
          </cell>
          <cell r="V2148" t="str">
            <v/>
          </cell>
          <cell r="Z2148" t="str">
            <v/>
          </cell>
          <cell r="AA2148" t="str">
            <v/>
          </cell>
          <cell r="AB2148" t="str">
            <v/>
          </cell>
          <cell r="AC2148" t="str">
            <v/>
          </cell>
          <cell r="AD2148" t="str">
            <v/>
          </cell>
          <cell r="AY2148" t="str">
            <v/>
          </cell>
          <cell r="AZ2148" t="str">
            <v/>
          </cell>
          <cell r="BA2148" t="str">
            <v/>
          </cell>
        </row>
        <row r="2149">
          <cell r="B2149" t="str">
            <v>-</v>
          </cell>
          <cell r="E2149" t="str">
            <v/>
          </cell>
          <cell r="G2149" t="str">
            <v/>
          </cell>
          <cell r="J2149" t="str">
            <v/>
          </cell>
          <cell r="O2149" t="str">
            <v/>
          </cell>
          <cell r="P2149" t="str">
            <v/>
          </cell>
          <cell r="Q2149" t="str">
            <v/>
          </cell>
          <cell r="S2149" t="str">
            <v/>
          </cell>
          <cell r="V2149" t="str">
            <v/>
          </cell>
          <cell r="Z2149" t="str">
            <v/>
          </cell>
          <cell r="AA2149" t="str">
            <v/>
          </cell>
          <cell r="AB2149" t="str">
            <v/>
          </cell>
          <cell r="AC2149" t="str">
            <v/>
          </cell>
          <cell r="AD2149" t="str">
            <v/>
          </cell>
          <cell r="AY2149" t="str">
            <v/>
          </cell>
          <cell r="AZ2149" t="str">
            <v/>
          </cell>
          <cell r="BA2149" t="str">
            <v/>
          </cell>
        </row>
        <row r="2150">
          <cell r="B2150" t="str">
            <v>-</v>
          </cell>
          <cell r="E2150" t="str">
            <v/>
          </cell>
          <cell r="G2150" t="str">
            <v/>
          </cell>
          <cell r="J2150" t="str">
            <v/>
          </cell>
          <cell r="O2150" t="str">
            <v/>
          </cell>
          <cell r="P2150" t="str">
            <v/>
          </cell>
          <cell r="Q2150" t="str">
            <v/>
          </cell>
          <cell r="S2150" t="str">
            <v/>
          </cell>
          <cell r="V2150" t="str">
            <v/>
          </cell>
          <cell r="Z2150" t="str">
            <v/>
          </cell>
          <cell r="AA2150" t="str">
            <v/>
          </cell>
          <cell r="AB2150" t="str">
            <v/>
          </cell>
          <cell r="AC2150" t="str">
            <v/>
          </cell>
          <cell r="AD2150" t="str">
            <v/>
          </cell>
          <cell r="AY2150" t="str">
            <v/>
          </cell>
          <cell r="AZ2150" t="str">
            <v/>
          </cell>
          <cell r="BA2150" t="str">
            <v/>
          </cell>
        </row>
        <row r="2151">
          <cell r="B2151" t="str">
            <v>-</v>
          </cell>
          <cell r="E2151" t="str">
            <v/>
          </cell>
          <cell r="G2151" t="str">
            <v/>
          </cell>
          <cell r="J2151" t="str">
            <v/>
          </cell>
          <cell r="O2151" t="str">
            <v/>
          </cell>
          <cell r="P2151" t="str">
            <v/>
          </cell>
          <cell r="Q2151" t="str">
            <v/>
          </cell>
          <cell r="S2151" t="str">
            <v/>
          </cell>
          <cell r="V2151" t="str">
            <v/>
          </cell>
          <cell r="Z2151" t="str">
            <v/>
          </cell>
          <cell r="AA2151" t="str">
            <v/>
          </cell>
          <cell r="AB2151" t="str">
            <v/>
          </cell>
          <cell r="AC2151" t="str">
            <v/>
          </cell>
          <cell r="AD2151" t="str">
            <v/>
          </cell>
          <cell r="AY2151" t="str">
            <v/>
          </cell>
          <cell r="AZ2151" t="str">
            <v/>
          </cell>
          <cell r="BA2151" t="str">
            <v/>
          </cell>
        </row>
        <row r="2152">
          <cell r="B2152" t="str">
            <v>-</v>
          </cell>
          <cell r="E2152" t="str">
            <v/>
          </cell>
          <cell r="G2152" t="str">
            <v/>
          </cell>
          <cell r="J2152" t="str">
            <v/>
          </cell>
          <cell r="O2152" t="str">
            <v/>
          </cell>
          <cell r="P2152" t="str">
            <v/>
          </cell>
          <cell r="Q2152" t="str">
            <v/>
          </cell>
          <cell r="S2152" t="str">
            <v/>
          </cell>
          <cell r="V2152" t="str">
            <v/>
          </cell>
          <cell r="Z2152" t="str">
            <v/>
          </cell>
          <cell r="AA2152" t="str">
            <v/>
          </cell>
          <cell r="AB2152" t="str">
            <v/>
          </cell>
          <cell r="AC2152" t="str">
            <v/>
          </cell>
          <cell r="AD2152" t="str">
            <v/>
          </cell>
          <cell r="AY2152" t="str">
            <v/>
          </cell>
          <cell r="AZ2152" t="str">
            <v/>
          </cell>
          <cell r="BA2152" t="str">
            <v/>
          </cell>
        </row>
        <row r="2153">
          <cell r="B2153" t="str">
            <v>-</v>
          </cell>
          <cell r="E2153" t="str">
            <v/>
          </cell>
          <cell r="G2153" t="str">
            <v/>
          </cell>
          <cell r="J2153" t="str">
            <v/>
          </cell>
          <cell r="O2153" t="str">
            <v/>
          </cell>
          <cell r="P2153" t="str">
            <v/>
          </cell>
          <cell r="Q2153" t="str">
            <v/>
          </cell>
          <cell r="S2153" t="str">
            <v/>
          </cell>
          <cell r="V2153" t="str">
            <v/>
          </cell>
          <cell r="Z2153" t="str">
            <v/>
          </cell>
          <cell r="AA2153" t="str">
            <v/>
          </cell>
          <cell r="AB2153" t="str">
            <v/>
          </cell>
          <cell r="AC2153" t="str">
            <v/>
          </cell>
          <cell r="AD2153" t="str">
            <v/>
          </cell>
          <cell r="AY2153" t="str">
            <v/>
          </cell>
          <cell r="AZ2153" t="str">
            <v/>
          </cell>
          <cell r="BA2153" t="str">
            <v/>
          </cell>
        </row>
        <row r="2154">
          <cell r="B2154" t="str">
            <v>-</v>
          </cell>
          <cell r="E2154" t="str">
            <v/>
          </cell>
          <cell r="G2154" t="str">
            <v/>
          </cell>
          <cell r="J2154" t="str">
            <v/>
          </cell>
          <cell r="O2154" t="str">
            <v/>
          </cell>
          <cell r="P2154" t="str">
            <v/>
          </cell>
          <cell r="Q2154" t="str">
            <v/>
          </cell>
          <cell r="S2154" t="str">
            <v/>
          </cell>
          <cell r="V2154" t="str">
            <v/>
          </cell>
          <cell r="Z2154" t="str">
            <v/>
          </cell>
          <cell r="AA2154" t="str">
            <v/>
          </cell>
          <cell r="AB2154" t="str">
            <v/>
          </cell>
          <cell r="AC2154" t="str">
            <v/>
          </cell>
          <cell r="AD2154" t="str">
            <v/>
          </cell>
          <cell r="AY2154" t="str">
            <v/>
          </cell>
          <cell r="AZ2154" t="str">
            <v/>
          </cell>
          <cell r="BA2154" t="str">
            <v/>
          </cell>
        </row>
        <row r="2155">
          <cell r="B2155" t="str">
            <v>-</v>
          </cell>
          <cell r="E2155" t="str">
            <v/>
          </cell>
          <cell r="G2155" t="str">
            <v/>
          </cell>
          <cell r="J2155" t="str">
            <v/>
          </cell>
          <cell r="O2155" t="str">
            <v/>
          </cell>
          <cell r="P2155" t="str">
            <v/>
          </cell>
          <cell r="Q2155" t="str">
            <v/>
          </cell>
          <cell r="S2155" t="str">
            <v/>
          </cell>
          <cell r="V2155" t="str">
            <v/>
          </cell>
          <cell r="Z2155" t="str">
            <v/>
          </cell>
          <cell r="AA2155" t="str">
            <v/>
          </cell>
          <cell r="AB2155" t="str">
            <v/>
          </cell>
          <cell r="AC2155" t="str">
            <v/>
          </cell>
          <cell r="AD2155" t="str">
            <v/>
          </cell>
          <cell r="AY2155" t="str">
            <v/>
          </cell>
          <cell r="AZ2155" t="str">
            <v/>
          </cell>
          <cell r="BA2155" t="str">
            <v/>
          </cell>
        </row>
        <row r="2156">
          <cell r="B2156" t="str">
            <v>-</v>
          </cell>
          <cell r="E2156" t="str">
            <v/>
          </cell>
          <cell r="G2156" t="str">
            <v/>
          </cell>
          <cell r="J2156" t="str">
            <v/>
          </cell>
          <cell r="O2156" t="str">
            <v/>
          </cell>
          <cell r="P2156" t="str">
            <v/>
          </cell>
          <cell r="Q2156" t="str">
            <v/>
          </cell>
          <cell r="S2156" t="str">
            <v/>
          </cell>
          <cell r="V2156" t="str">
            <v/>
          </cell>
          <cell r="Z2156" t="str">
            <v/>
          </cell>
          <cell r="AA2156" t="str">
            <v/>
          </cell>
          <cell r="AB2156" t="str">
            <v/>
          </cell>
          <cell r="AC2156" t="str">
            <v/>
          </cell>
          <cell r="AD2156" t="str">
            <v/>
          </cell>
          <cell r="AY2156" t="str">
            <v/>
          </cell>
          <cell r="AZ2156" t="str">
            <v/>
          </cell>
          <cell r="BA2156" t="str">
            <v/>
          </cell>
        </row>
        <row r="2157">
          <cell r="B2157" t="str">
            <v>-</v>
          </cell>
          <cell r="E2157" t="str">
            <v/>
          </cell>
          <cell r="G2157" t="str">
            <v/>
          </cell>
          <cell r="J2157" t="str">
            <v/>
          </cell>
          <cell r="O2157" t="str">
            <v/>
          </cell>
          <cell r="P2157" t="str">
            <v/>
          </cell>
          <cell r="Q2157" t="str">
            <v/>
          </cell>
          <cell r="S2157" t="str">
            <v/>
          </cell>
          <cell r="V2157" t="str">
            <v/>
          </cell>
          <cell r="Z2157" t="str">
            <v/>
          </cell>
          <cell r="AA2157" t="str">
            <v/>
          </cell>
          <cell r="AB2157" t="str">
            <v/>
          </cell>
          <cell r="AC2157" t="str">
            <v/>
          </cell>
          <cell r="AD2157" t="str">
            <v/>
          </cell>
          <cell r="AY2157" t="str">
            <v/>
          </cell>
          <cell r="AZ2157" t="str">
            <v/>
          </cell>
          <cell r="BA2157" t="str">
            <v/>
          </cell>
        </row>
        <row r="2158">
          <cell r="B2158" t="str">
            <v>-</v>
          </cell>
          <cell r="E2158" t="str">
            <v/>
          </cell>
          <cell r="G2158" t="str">
            <v/>
          </cell>
          <cell r="J2158" t="str">
            <v/>
          </cell>
          <cell r="O2158" t="str">
            <v/>
          </cell>
          <cell r="P2158" t="str">
            <v/>
          </cell>
          <cell r="Q2158" t="str">
            <v/>
          </cell>
          <cell r="S2158" t="str">
            <v/>
          </cell>
          <cell r="V2158" t="str">
            <v/>
          </cell>
          <cell r="Z2158" t="str">
            <v/>
          </cell>
          <cell r="AA2158" t="str">
            <v/>
          </cell>
          <cell r="AB2158" t="str">
            <v/>
          </cell>
          <cell r="AC2158" t="str">
            <v/>
          </cell>
          <cell r="AD2158" t="str">
            <v/>
          </cell>
          <cell r="AY2158" t="str">
            <v/>
          </cell>
          <cell r="AZ2158" t="str">
            <v/>
          </cell>
          <cell r="BA2158" t="str">
            <v/>
          </cell>
        </row>
        <row r="2159">
          <cell r="B2159" t="str">
            <v>-</v>
          </cell>
          <cell r="E2159" t="str">
            <v/>
          </cell>
          <cell r="G2159" t="str">
            <v/>
          </cell>
          <cell r="J2159" t="str">
            <v/>
          </cell>
          <cell r="O2159" t="str">
            <v/>
          </cell>
          <cell r="P2159" t="str">
            <v/>
          </cell>
          <cell r="Q2159" t="str">
            <v/>
          </cell>
          <cell r="S2159" t="str">
            <v/>
          </cell>
          <cell r="V2159" t="str">
            <v/>
          </cell>
          <cell r="Z2159" t="str">
            <v/>
          </cell>
          <cell r="AA2159" t="str">
            <v/>
          </cell>
          <cell r="AB2159" t="str">
            <v/>
          </cell>
          <cell r="AC2159" t="str">
            <v/>
          </cell>
          <cell r="AD2159" t="str">
            <v/>
          </cell>
          <cell r="AY2159" t="str">
            <v/>
          </cell>
          <cell r="AZ2159" t="str">
            <v/>
          </cell>
          <cell r="BA2159" t="str">
            <v/>
          </cell>
        </row>
        <row r="2160">
          <cell r="B2160" t="str">
            <v>-</v>
          </cell>
          <cell r="E2160" t="str">
            <v/>
          </cell>
          <cell r="G2160" t="str">
            <v/>
          </cell>
          <cell r="J2160" t="str">
            <v/>
          </cell>
          <cell r="O2160" t="str">
            <v/>
          </cell>
          <cell r="P2160" t="str">
            <v/>
          </cell>
          <cell r="Q2160" t="str">
            <v/>
          </cell>
          <cell r="S2160" t="str">
            <v/>
          </cell>
          <cell r="V2160" t="str">
            <v/>
          </cell>
          <cell r="Z2160" t="str">
            <v/>
          </cell>
          <cell r="AA2160" t="str">
            <v/>
          </cell>
          <cell r="AB2160" t="str">
            <v/>
          </cell>
          <cell r="AC2160" t="str">
            <v/>
          </cell>
          <cell r="AD2160" t="str">
            <v/>
          </cell>
          <cell r="AY2160" t="str">
            <v/>
          </cell>
          <cell r="AZ2160" t="str">
            <v/>
          </cell>
          <cell r="BA2160" t="str">
            <v/>
          </cell>
        </row>
        <row r="2161">
          <cell r="B2161" t="str">
            <v>-</v>
          </cell>
          <cell r="E2161" t="str">
            <v/>
          </cell>
          <cell r="G2161" t="str">
            <v/>
          </cell>
          <cell r="J2161" t="str">
            <v/>
          </cell>
          <cell r="O2161" t="str">
            <v/>
          </cell>
          <cell r="P2161" t="str">
            <v/>
          </cell>
          <cell r="Q2161" t="str">
            <v/>
          </cell>
          <cell r="S2161" t="str">
            <v/>
          </cell>
          <cell r="V2161" t="str">
            <v/>
          </cell>
          <cell r="Z2161" t="str">
            <v/>
          </cell>
          <cell r="AA2161" t="str">
            <v/>
          </cell>
          <cell r="AB2161" t="str">
            <v/>
          </cell>
          <cell r="AC2161" t="str">
            <v/>
          </cell>
          <cell r="AD2161" t="str">
            <v/>
          </cell>
          <cell r="AY2161" t="str">
            <v/>
          </cell>
          <cell r="AZ2161" t="str">
            <v/>
          </cell>
          <cell r="BA2161" t="str">
            <v/>
          </cell>
        </row>
        <row r="2162">
          <cell r="B2162" t="str">
            <v>-</v>
          </cell>
          <cell r="E2162" t="str">
            <v/>
          </cell>
          <cell r="G2162" t="str">
            <v/>
          </cell>
          <cell r="J2162" t="str">
            <v/>
          </cell>
          <cell r="O2162" t="str">
            <v/>
          </cell>
          <cell r="P2162" t="str">
            <v/>
          </cell>
          <cell r="Q2162" t="str">
            <v/>
          </cell>
          <cell r="S2162" t="str">
            <v/>
          </cell>
          <cell r="V2162" t="str">
            <v/>
          </cell>
          <cell r="Z2162" t="str">
            <v/>
          </cell>
          <cell r="AA2162" t="str">
            <v/>
          </cell>
          <cell r="AB2162" t="str">
            <v/>
          </cell>
          <cell r="AC2162" t="str">
            <v/>
          </cell>
          <cell r="AD2162" t="str">
            <v/>
          </cell>
          <cell r="AY2162" t="str">
            <v/>
          </cell>
          <cell r="AZ2162" t="str">
            <v/>
          </cell>
          <cell r="BA2162" t="str">
            <v/>
          </cell>
        </row>
        <row r="2163">
          <cell r="B2163" t="str">
            <v>-</v>
          </cell>
          <cell r="E2163" t="str">
            <v/>
          </cell>
          <cell r="G2163" t="str">
            <v/>
          </cell>
          <cell r="J2163" t="str">
            <v/>
          </cell>
          <cell r="O2163" t="str">
            <v/>
          </cell>
          <cell r="P2163" t="str">
            <v/>
          </cell>
          <cell r="Q2163" t="str">
            <v/>
          </cell>
          <cell r="S2163" t="str">
            <v/>
          </cell>
          <cell r="V2163" t="str">
            <v/>
          </cell>
          <cell r="Z2163" t="str">
            <v/>
          </cell>
          <cell r="AA2163" t="str">
            <v/>
          </cell>
          <cell r="AB2163" t="str">
            <v/>
          </cell>
          <cell r="AC2163" t="str">
            <v/>
          </cell>
          <cell r="AD2163" t="str">
            <v/>
          </cell>
          <cell r="AY2163" t="str">
            <v/>
          </cell>
          <cell r="AZ2163" t="str">
            <v/>
          </cell>
          <cell r="BA2163" t="str">
            <v/>
          </cell>
        </row>
        <row r="2164">
          <cell r="B2164" t="str">
            <v>-</v>
          </cell>
          <cell r="E2164" t="str">
            <v/>
          </cell>
          <cell r="G2164" t="str">
            <v/>
          </cell>
          <cell r="J2164" t="str">
            <v/>
          </cell>
          <cell r="O2164" t="str">
            <v/>
          </cell>
          <cell r="P2164" t="str">
            <v/>
          </cell>
          <cell r="Q2164" t="str">
            <v/>
          </cell>
          <cell r="S2164" t="str">
            <v/>
          </cell>
          <cell r="V2164" t="str">
            <v/>
          </cell>
          <cell r="Z2164" t="str">
            <v/>
          </cell>
          <cell r="AA2164" t="str">
            <v/>
          </cell>
          <cell r="AB2164" t="str">
            <v/>
          </cell>
          <cell r="AC2164" t="str">
            <v/>
          </cell>
          <cell r="AD2164" t="str">
            <v/>
          </cell>
          <cell r="AY2164" t="str">
            <v/>
          </cell>
          <cell r="AZ2164" t="str">
            <v/>
          </cell>
          <cell r="BA2164" t="str">
            <v/>
          </cell>
        </row>
        <row r="2165">
          <cell r="B2165" t="str">
            <v>-</v>
          </cell>
          <cell r="E2165" t="str">
            <v/>
          </cell>
          <cell r="G2165" t="str">
            <v/>
          </cell>
          <cell r="J2165" t="str">
            <v/>
          </cell>
          <cell r="O2165" t="str">
            <v/>
          </cell>
          <cell r="P2165" t="str">
            <v/>
          </cell>
          <cell r="Q2165" t="str">
            <v/>
          </cell>
          <cell r="S2165" t="str">
            <v/>
          </cell>
          <cell r="V2165" t="str">
            <v/>
          </cell>
          <cell r="Z2165" t="str">
            <v/>
          </cell>
          <cell r="AA2165" t="str">
            <v/>
          </cell>
          <cell r="AB2165" t="str">
            <v/>
          </cell>
          <cell r="AC2165" t="str">
            <v/>
          </cell>
          <cell r="AD2165" t="str">
            <v/>
          </cell>
          <cell r="AY2165" t="str">
            <v/>
          </cell>
          <cell r="AZ2165" t="str">
            <v/>
          </cell>
          <cell r="BA2165" t="str">
            <v/>
          </cell>
        </row>
        <row r="2166">
          <cell r="B2166" t="str">
            <v>-</v>
          </cell>
          <cell r="E2166" t="str">
            <v/>
          </cell>
          <cell r="G2166" t="str">
            <v/>
          </cell>
          <cell r="J2166" t="str">
            <v/>
          </cell>
          <cell r="O2166" t="str">
            <v/>
          </cell>
          <cell r="P2166" t="str">
            <v/>
          </cell>
          <cell r="Q2166" t="str">
            <v/>
          </cell>
          <cell r="S2166" t="str">
            <v/>
          </cell>
          <cell r="V2166" t="str">
            <v/>
          </cell>
          <cell r="Z2166" t="str">
            <v/>
          </cell>
          <cell r="AA2166" t="str">
            <v/>
          </cell>
          <cell r="AB2166" t="str">
            <v/>
          </cell>
          <cell r="AC2166" t="str">
            <v/>
          </cell>
          <cell r="AD2166" t="str">
            <v/>
          </cell>
          <cell r="AY2166" t="str">
            <v/>
          </cell>
          <cell r="AZ2166" t="str">
            <v/>
          </cell>
          <cell r="BA2166" t="str">
            <v/>
          </cell>
        </row>
        <row r="2167">
          <cell r="B2167" t="str">
            <v>-</v>
          </cell>
          <cell r="E2167" t="str">
            <v/>
          </cell>
          <cell r="G2167" t="str">
            <v/>
          </cell>
          <cell r="J2167" t="str">
            <v/>
          </cell>
          <cell r="O2167" t="str">
            <v/>
          </cell>
          <cell r="P2167" t="str">
            <v/>
          </cell>
          <cell r="Q2167" t="str">
            <v/>
          </cell>
          <cell r="S2167" t="str">
            <v/>
          </cell>
          <cell r="V2167" t="str">
            <v/>
          </cell>
          <cell r="Z2167" t="str">
            <v/>
          </cell>
          <cell r="AA2167" t="str">
            <v/>
          </cell>
          <cell r="AB2167" t="str">
            <v/>
          </cell>
          <cell r="AC2167" t="str">
            <v/>
          </cell>
          <cell r="AD2167" t="str">
            <v/>
          </cell>
          <cell r="AY2167" t="str">
            <v/>
          </cell>
          <cell r="AZ2167" t="str">
            <v/>
          </cell>
          <cell r="BA2167" t="str">
            <v/>
          </cell>
        </row>
        <row r="2168">
          <cell r="B2168" t="str">
            <v>-</v>
          </cell>
          <cell r="E2168" t="str">
            <v/>
          </cell>
          <cell r="G2168" t="str">
            <v/>
          </cell>
          <cell r="J2168" t="str">
            <v/>
          </cell>
          <cell r="O2168" t="str">
            <v/>
          </cell>
          <cell r="P2168" t="str">
            <v/>
          </cell>
          <cell r="Q2168" t="str">
            <v/>
          </cell>
          <cell r="S2168" t="str">
            <v/>
          </cell>
          <cell r="V2168" t="str">
            <v/>
          </cell>
          <cell r="Z2168" t="str">
            <v/>
          </cell>
          <cell r="AA2168" t="str">
            <v/>
          </cell>
          <cell r="AB2168" t="str">
            <v/>
          </cell>
          <cell r="AC2168" t="str">
            <v/>
          </cell>
          <cell r="AD2168" t="str">
            <v/>
          </cell>
          <cell r="AY2168" t="str">
            <v/>
          </cell>
          <cell r="AZ2168" t="str">
            <v/>
          </cell>
          <cell r="BA2168" t="str">
            <v/>
          </cell>
        </row>
        <row r="2169">
          <cell r="B2169" t="str">
            <v>-</v>
          </cell>
          <cell r="E2169" t="str">
            <v/>
          </cell>
          <cell r="G2169" t="str">
            <v/>
          </cell>
          <cell r="J2169" t="str">
            <v/>
          </cell>
          <cell r="O2169" t="str">
            <v/>
          </cell>
          <cell r="P2169" t="str">
            <v/>
          </cell>
          <cell r="Q2169" t="str">
            <v/>
          </cell>
          <cell r="S2169" t="str">
            <v/>
          </cell>
          <cell r="V2169" t="str">
            <v/>
          </cell>
          <cell r="Z2169" t="str">
            <v/>
          </cell>
          <cell r="AA2169" t="str">
            <v/>
          </cell>
          <cell r="AB2169" t="str">
            <v/>
          </cell>
          <cell r="AC2169" t="str">
            <v/>
          </cell>
          <cell r="AD2169" t="str">
            <v/>
          </cell>
          <cell r="AY2169" t="str">
            <v/>
          </cell>
          <cell r="AZ2169" t="str">
            <v/>
          </cell>
          <cell r="BA2169" t="str">
            <v/>
          </cell>
        </row>
        <row r="2170">
          <cell r="B2170" t="str">
            <v>-</v>
          </cell>
          <cell r="E2170" t="str">
            <v/>
          </cell>
          <cell r="G2170" t="str">
            <v/>
          </cell>
          <cell r="J2170" t="str">
            <v/>
          </cell>
          <cell r="O2170" t="str">
            <v/>
          </cell>
          <cell r="P2170" t="str">
            <v/>
          </cell>
          <cell r="Q2170" t="str">
            <v/>
          </cell>
          <cell r="S2170" t="str">
            <v/>
          </cell>
          <cell r="V2170" t="str">
            <v/>
          </cell>
          <cell r="Z2170" t="str">
            <v/>
          </cell>
          <cell r="AA2170" t="str">
            <v/>
          </cell>
          <cell r="AB2170" t="str">
            <v/>
          </cell>
          <cell r="AC2170" t="str">
            <v/>
          </cell>
          <cell r="AD2170" t="str">
            <v/>
          </cell>
          <cell r="AY2170" t="str">
            <v/>
          </cell>
          <cell r="AZ2170" t="str">
            <v/>
          </cell>
          <cell r="BA2170" t="str">
            <v/>
          </cell>
        </row>
        <row r="2171">
          <cell r="B2171" t="str">
            <v>-</v>
          </cell>
          <cell r="E2171" t="str">
            <v/>
          </cell>
          <cell r="G2171" t="str">
            <v/>
          </cell>
          <cell r="J2171" t="str">
            <v/>
          </cell>
          <cell r="O2171" t="str">
            <v/>
          </cell>
          <cell r="P2171" t="str">
            <v/>
          </cell>
          <cell r="Q2171" t="str">
            <v/>
          </cell>
          <cell r="S2171" t="str">
            <v/>
          </cell>
          <cell r="V2171" t="str">
            <v/>
          </cell>
          <cell r="Z2171" t="str">
            <v/>
          </cell>
          <cell r="AA2171" t="str">
            <v/>
          </cell>
          <cell r="AB2171" t="str">
            <v/>
          </cell>
          <cell r="AC2171" t="str">
            <v/>
          </cell>
          <cell r="AD2171" t="str">
            <v/>
          </cell>
          <cell r="AY2171" t="str">
            <v/>
          </cell>
          <cell r="AZ2171" t="str">
            <v/>
          </cell>
          <cell r="BA2171" t="str">
            <v/>
          </cell>
        </row>
        <row r="2172">
          <cell r="B2172" t="str">
            <v>-</v>
          </cell>
          <cell r="E2172" t="str">
            <v/>
          </cell>
          <cell r="G2172" t="str">
            <v/>
          </cell>
          <cell r="J2172" t="str">
            <v/>
          </cell>
          <cell r="O2172" t="str">
            <v/>
          </cell>
          <cell r="P2172" t="str">
            <v/>
          </cell>
          <cell r="Q2172" t="str">
            <v/>
          </cell>
          <cell r="S2172" t="str">
            <v/>
          </cell>
          <cell r="V2172" t="str">
            <v/>
          </cell>
          <cell r="Z2172" t="str">
            <v/>
          </cell>
          <cell r="AA2172" t="str">
            <v/>
          </cell>
          <cell r="AB2172" t="str">
            <v/>
          </cell>
          <cell r="AC2172" t="str">
            <v/>
          </cell>
          <cell r="AD2172" t="str">
            <v/>
          </cell>
          <cell r="AY2172" t="str">
            <v/>
          </cell>
          <cell r="AZ2172" t="str">
            <v/>
          </cell>
          <cell r="BA2172" t="str">
            <v/>
          </cell>
        </row>
        <row r="2173">
          <cell r="B2173" t="str">
            <v>-</v>
          </cell>
          <cell r="E2173" t="str">
            <v/>
          </cell>
          <cell r="G2173" t="str">
            <v/>
          </cell>
          <cell r="J2173" t="str">
            <v/>
          </cell>
          <cell r="O2173" t="str">
            <v/>
          </cell>
          <cell r="P2173" t="str">
            <v/>
          </cell>
          <cell r="Q2173" t="str">
            <v/>
          </cell>
          <cell r="S2173" t="str">
            <v/>
          </cell>
          <cell r="V2173" t="str">
            <v/>
          </cell>
          <cell r="Z2173" t="str">
            <v/>
          </cell>
          <cell r="AA2173" t="str">
            <v/>
          </cell>
          <cell r="AB2173" t="str">
            <v/>
          </cell>
          <cell r="AC2173" t="str">
            <v/>
          </cell>
          <cell r="AD2173" t="str">
            <v/>
          </cell>
          <cell r="AY2173" t="str">
            <v/>
          </cell>
          <cell r="AZ2173" t="str">
            <v/>
          </cell>
          <cell r="BA2173" t="str">
            <v/>
          </cell>
        </row>
        <row r="2174">
          <cell r="B2174" t="str">
            <v>-</v>
          </cell>
          <cell r="E2174" t="str">
            <v/>
          </cell>
          <cell r="G2174" t="str">
            <v/>
          </cell>
          <cell r="J2174" t="str">
            <v/>
          </cell>
          <cell r="O2174" t="str">
            <v/>
          </cell>
          <cell r="P2174" t="str">
            <v/>
          </cell>
          <cell r="Q2174" t="str">
            <v/>
          </cell>
          <cell r="S2174" t="str">
            <v/>
          </cell>
          <cell r="V2174" t="str">
            <v/>
          </cell>
          <cell r="Z2174" t="str">
            <v/>
          </cell>
          <cell r="AA2174" t="str">
            <v/>
          </cell>
          <cell r="AB2174" t="str">
            <v/>
          </cell>
          <cell r="AC2174" t="str">
            <v/>
          </cell>
          <cell r="AD2174" t="str">
            <v/>
          </cell>
          <cell r="AY2174" t="str">
            <v/>
          </cell>
          <cell r="AZ2174" t="str">
            <v/>
          </cell>
          <cell r="BA2174" t="str">
            <v/>
          </cell>
        </row>
        <row r="2175">
          <cell r="B2175" t="str">
            <v>-</v>
          </cell>
          <cell r="E2175" t="str">
            <v/>
          </cell>
          <cell r="G2175" t="str">
            <v/>
          </cell>
          <cell r="J2175" t="str">
            <v/>
          </cell>
          <cell r="O2175" t="str">
            <v/>
          </cell>
          <cell r="P2175" t="str">
            <v/>
          </cell>
          <cell r="Q2175" t="str">
            <v/>
          </cell>
          <cell r="S2175" t="str">
            <v/>
          </cell>
          <cell r="V2175" t="str">
            <v/>
          </cell>
          <cell r="Z2175" t="str">
            <v/>
          </cell>
          <cell r="AA2175" t="str">
            <v/>
          </cell>
          <cell r="AB2175" t="str">
            <v/>
          </cell>
          <cell r="AC2175" t="str">
            <v/>
          </cell>
          <cell r="AD2175" t="str">
            <v/>
          </cell>
          <cell r="AY2175" t="str">
            <v/>
          </cell>
          <cell r="AZ2175" t="str">
            <v/>
          </cell>
          <cell r="BA2175" t="str">
            <v/>
          </cell>
        </row>
        <row r="2176">
          <cell r="B2176" t="str">
            <v>-</v>
          </cell>
          <cell r="E2176" t="str">
            <v/>
          </cell>
          <cell r="G2176" t="str">
            <v/>
          </cell>
          <cell r="J2176" t="str">
            <v/>
          </cell>
          <cell r="O2176" t="str">
            <v/>
          </cell>
          <cell r="P2176" t="str">
            <v/>
          </cell>
          <cell r="Q2176" t="str">
            <v/>
          </cell>
          <cell r="S2176" t="str">
            <v/>
          </cell>
          <cell r="V2176" t="str">
            <v/>
          </cell>
          <cell r="Z2176" t="str">
            <v/>
          </cell>
          <cell r="AA2176" t="str">
            <v/>
          </cell>
          <cell r="AB2176" t="str">
            <v/>
          </cell>
          <cell r="AC2176" t="str">
            <v/>
          </cell>
          <cell r="AD2176" t="str">
            <v/>
          </cell>
          <cell r="AY2176" t="str">
            <v/>
          </cell>
          <cell r="AZ2176" t="str">
            <v/>
          </cell>
          <cell r="BA2176" t="str">
            <v/>
          </cell>
        </row>
        <row r="2177">
          <cell r="B2177" t="str">
            <v>-</v>
          </cell>
          <cell r="E2177" t="str">
            <v/>
          </cell>
          <cell r="G2177" t="str">
            <v/>
          </cell>
          <cell r="J2177" t="str">
            <v/>
          </cell>
          <cell r="O2177" t="str">
            <v/>
          </cell>
          <cell r="P2177" t="str">
            <v/>
          </cell>
          <cell r="Q2177" t="str">
            <v/>
          </cell>
          <cell r="S2177" t="str">
            <v/>
          </cell>
          <cell r="V2177" t="str">
            <v/>
          </cell>
          <cell r="Z2177" t="str">
            <v/>
          </cell>
          <cell r="AA2177" t="str">
            <v/>
          </cell>
          <cell r="AB2177" t="str">
            <v/>
          </cell>
          <cell r="AC2177" t="str">
            <v/>
          </cell>
          <cell r="AD2177" t="str">
            <v/>
          </cell>
          <cell r="AY2177" t="str">
            <v/>
          </cell>
          <cell r="AZ2177" t="str">
            <v/>
          </cell>
          <cell r="BA2177" t="str">
            <v/>
          </cell>
        </row>
        <row r="2178">
          <cell r="B2178" t="str">
            <v>-</v>
          </cell>
          <cell r="E2178" t="str">
            <v/>
          </cell>
          <cell r="G2178" t="str">
            <v/>
          </cell>
          <cell r="J2178" t="str">
            <v/>
          </cell>
          <cell r="O2178" t="str">
            <v/>
          </cell>
          <cell r="P2178" t="str">
            <v/>
          </cell>
          <cell r="Q2178" t="str">
            <v/>
          </cell>
          <cell r="S2178" t="str">
            <v/>
          </cell>
          <cell r="V2178" t="str">
            <v/>
          </cell>
          <cell r="Z2178" t="str">
            <v/>
          </cell>
          <cell r="AA2178" t="str">
            <v/>
          </cell>
          <cell r="AB2178" t="str">
            <v/>
          </cell>
          <cell r="AC2178" t="str">
            <v/>
          </cell>
          <cell r="AD2178" t="str">
            <v/>
          </cell>
          <cell r="AY2178" t="str">
            <v/>
          </cell>
          <cell r="AZ2178" t="str">
            <v/>
          </cell>
          <cell r="BA2178" t="str">
            <v/>
          </cell>
        </row>
        <row r="2179">
          <cell r="B2179" t="str">
            <v>-</v>
          </cell>
          <cell r="E2179" t="str">
            <v/>
          </cell>
          <cell r="G2179" t="str">
            <v/>
          </cell>
          <cell r="J2179" t="str">
            <v/>
          </cell>
          <cell r="O2179" t="str">
            <v/>
          </cell>
          <cell r="P2179" t="str">
            <v/>
          </cell>
          <cell r="Q2179" t="str">
            <v/>
          </cell>
          <cell r="S2179" t="str">
            <v/>
          </cell>
          <cell r="V2179" t="str">
            <v/>
          </cell>
          <cell r="Z2179" t="str">
            <v/>
          </cell>
          <cell r="AA2179" t="str">
            <v/>
          </cell>
          <cell r="AB2179" t="str">
            <v/>
          </cell>
          <cell r="AC2179" t="str">
            <v/>
          </cell>
          <cell r="AD2179" t="str">
            <v/>
          </cell>
          <cell r="AY2179" t="str">
            <v/>
          </cell>
          <cell r="AZ2179" t="str">
            <v/>
          </cell>
          <cell r="BA2179" t="str">
            <v/>
          </cell>
        </row>
        <row r="2180">
          <cell r="B2180" t="str">
            <v>-</v>
          </cell>
          <cell r="E2180" t="str">
            <v/>
          </cell>
          <cell r="G2180" t="str">
            <v/>
          </cell>
          <cell r="J2180" t="str">
            <v/>
          </cell>
          <cell r="O2180" t="str">
            <v/>
          </cell>
          <cell r="P2180" t="str">
            <v/>
          </cell>
          <cell r="Q2180" t="str">
            <v/>
          </cell>
          <cell r="S2180" t="str">
            <v/>
          </cell>
          <cell r="V2180" t="str">
            <v/>
          </cell>
          <cell r="Z2180" t="str">
            <v/>
          </cell>
          <cell r="AA2180" t="str">
            <v/>
          </cell>
          <cell r="AB2180" t="str">
            <v/>
          </cell>
          <cell r="AC2180" t="str">
            <v/>
          </cell>
          <cell r="AD2180" t="str">
            <v/>
          </cell>
          <cell r="AY2180" t="str">
            <v/>
          </cell>
          <cell r="AZ2180" t="str">
            <v/>
          </cell>
          <cell r="BA2180" t="str">
            <v/>
          </cell>
        </row>
        <row r="2181">
          <cell r="B2181" t="str">
            <v>-</v>
          </cell>
          <cell r="E2181" t="str">
            <v/>
          </cell>
          <cell r="G2181" t="str">
            <v/>
          </cell>
          <cell r="J2181" t="str">
            <v/>
          </cell>
          <cell r="O2181" t="str">
            <v/>
          </cell>
          <cell r="P2181" t="str">
            <v/>
          </cell>
          <cell r="Q2181" t="str">
            <v/>
          </cell>
          <cell r="S2181" t="str">
            <v/>
          </cell>
          <cell r="V2181" t="str">
            <v/>
          </cell>
          <cell r="Z2181" t="str">
            <v/>
          </cell>
          <cell r="AA2181" t="str">
            <v/>
          </cell>
          <cell r="AB2181" t="str">
            <v/>
          </cell>
          <cell r="AC2181" t="str">
            <v/>
          </cell>
          <cell r="AD2181" t="str">
            <v/>
          </cell>
          <cell r="AY2181" t="str">
            <v/>
          </cell>
          <cell r="AZ2181" t="str">
            <v/>
          </cell>
          <cell r="BA2181" t="str">
            <v/>
          </cell>
        </row>
        <row r="2182">
          <cell r="B2182" t="str">
            <v>-</v>
          </cell>
          <cell r="E2182" t="str">
            <v/>
          </cell>
          <cell r="G2182" t="str">
            <v/>
          </cell>
          <cell r="J2182" t="str">
            <v/>
          </cell>
          <cell r="O2182" t="str">
            <v/>
          </cell>
          <cell r="P2182" t="str">
            <v/>
          </cell>
          <cell r="Q2182" t="str">
            <v/>
          </cell>
          <cell r="S2182" t="str">
            <v/>
          </cell>
          <cell r="V2182" t="str">
            <v/>
          </cell>
          <cell r="Z2182" t="str">
            <v/>
          </cell>
          <cell r="AA2182" t="str">
            <v/>
          </cell>
          <cell r="AB2182" t="str">
            <v/>
          </cell>
          <cell r="AC2182" t="str">
            <v/>
          </cell>
          <cell r="AD2182" t="str">
            <v/>
          </cell>
          <cell r="AY2182" t="str">
            <v/>
          </cell>
          <cell r="AZ2182" t="str">
            <v/>
          </cell>
          <cell r="BA2182" t="str">
            <v/>
          </cell>
        </row>
        <row r="2183">
          <cell r="B2183" t="str">
            <v>-</v>
          </cell>
          <cell r="E2183" t="str">
            <v/>
          </cell>
          <cell r="G2183" t="str">
            <v/>
          </cell>
          <cell r="J2183" t="str">
            <v/>
          </cell>
          <cell r="O2183" t="str">
            <v/>
          </cell>
          <cell r="P2183" t="str">
            <v/>
          </cell>
          <cell r="Q2183" t="str">
            <v/>
          </cell>
          <cell r="S2183" t="str">
            <v/>
          </cell>
          <cell r="V2183" t="str">
            <v/>
          </cell>
          <cell r="Z2183" t="str">
            <v/>
          </cell>
          <cell r="AA2183" t="str">
            <v/>
          </cell>
          <cell r="AB2183" t="str">
            <v/>
          </cell>
          <cell r="AC2183" t="str">
            <v/>
          </cell>
          <cell r="AD2183" t="str">
            <v/>
          </cell>
          <cell r="AY2183" t="str">
            <v/>
          </cell>
          <cell r="AZ2183" t="str">
            <v/>
          </cell>
          <cell r="BA2183" t="str">
            <v/>
          </cell>
        </row>
        <row r="2184">
          <cell r="B2184" t="str">
            <v>-</v>
          </cell>
          <cell r="E2184" t="str">
            <v/>
          </cell>
          <cell r="G2184" t="str">
            <v/>
          </cell>
          <cell r="J2184" t="str">
            <v/>
          </cell>
          <cell r="O2184" t="str">
            <v/>
          </cell>
          <cell r="P2184" t="str">
            <v/>
          </cell>
          <cell r="Q2184" t="str">
            <v/>
          </cell>
          <cell r="S2184" t="str">
            <v/>
          </cell>
          <cell r="V2184" t="str">
            <v/>
          </cell>
          <cell r="Z2184" t="str">
            <v/>
          </cell>
          <cell r="AA2184" t="str">
            <v/>
          </cell>
          <cell r="AB2184" t="str">
            <v/>
          </cell>
          <cell r="AC2184" t="str">
            <v/>
          </cell>
          <cell r="AD2184" t="str">
            <v/>
          </cell>
          <cell r="AY2184" t="str">
            <v/>
          </cell>
          <cell r="AZ2184" t="str">
            <v/>
          </cell>
          <cell r="BA2184" t="str">
            <v/>
          </cell>
        </row>
        <row r="2185">
          <cell r="B2185" t="str">
            <v>-</v>
          </cell>
          <cell r="E2185" t="str">
            <v/>
          </cell>
          <cell r="G2185" t="str">
            <v/>
          </cell>
          <cell r="J2185" t="str">
            <v/>
          </cell>
          <cell r="O2185" t="str">
            <v/>
          </cell>
          <cell r="P2185" t="str">
            <v/>
          </cell>
          <cell r="Q2185" t="str">
            <v/>
          </cell>
          <cell r="S2185" t="str">
            <v/>
          </cell>
          <cell r="V2185" t="str">
            <v/>
          </cell>
          <cell r="Z2185" t="str">
            <v/>
          </cell>
          <cell r="AA2185" t="str">
            <v/>
          </cell>
          <cell r="AB2185" t="str">
            <v/>
          </cell>
          <cell r="AC2185" t="str">
            <v/>
          </cell>
          <cell r="AD2185" t="str">
            <v/>
          </cell>
          <cell r="AY2185" t="str">
            <v/>
          </cell>
          <cell r="AZ2185" t="str">
            <v/>
          </cell>
          <cell r="BA2185" t="str">
            <v/>
          </cell>
        </row>
        <row r="2186">
          <cell r="B2186" t="str">
            <v>-</v>
          </cell>
          <cell r="E2186" t="str">
            <v/>
          </cell>
          <cell r="G2186" t="str">
            <v/>
          </cell>
          <cell r="J2186" t="str">
            <v/>
          </cell>
          <cell r="O2186" t="str">
            <v/>
          </cell>
          <cell r="P2186" t="str">
            <v/>
          </cell>
          <cell r="Q2186" t="str">
            <v/>
          </cell>
          <cell r="S2186" t="str">
            <v/>
          </cell>
          <cell r="V2186" t="str">
            <v/>
          </cell>
          <cell r="Z2186" t="str">
            <v/>
          </cell>
          <cell r="AA2186" t="str">
            <v/>
          </cell>
          <cell r="AB2186" t="str">
            <v/>
          </cell>
          <cell r="AC2186" t="str">
            <v/>
          </cell>
          <cell r="AD2186" t="str">
            <v/>
          </cell>
          <cell r="AY2186" t="str">
            <v/>
          </cell>
          <cell r="AZ2186" t="str">
            <v/>
          </cell>
          <cell r="BA2186" t="str">
            <v/>
          </cell>
        </row>
        <row r="2187">
          <cell r="B2187" t="str">
            <v>-</v>
          </cell>
          <cell r="E2187" t="str">
            <v/>
          </cell>
          <cell r="G2187" t="str">
            <v/>
          </cell>
          <cell r="J2187" t="str">
            <v/>
          </cell>
          <cell r="O2187" t="str">
            <v/>
          </cell>
          <cell r="P2187" t="str">
            <v/>
          </cell>
          <cell r="Q2187" t="str">
            <v/>
          </cell>
          <cell r="S2187" t="str">
            <v/>
          </cell>
          <cell r="V2187" t="str">
            <v/>
          </cell>
          <cell r="Z2187" t="str">
            <v/>
          </cell>
          <cell r="AA2187" t="str">
            <v/>
          </cell>
          <cell r="AB2187" t="str">
            <v/>
          </cell>
          <cell r="AC2187" t="str">
            <v/>
          </cell>
          <cell r="AD2187" t="str">
            <v/>
          </cell>
          <cell r="AY2187" t="str">
            <v/>
          </cell>
          <cell r="AZ2187" t="str">
            <v/>
          </cell>
          <cell r="BA2187" t="str">
            <v/>
          </cell>
        </row>
        <row r="2188">
          <cell r="B2188" t="str">
            <v>-</v>
          </cell>
          <cell r="E2188" t="str">
            <v/>
          </cell>
          <cell r="G2188" t="str">
            <v/>
          </cell>
          <cell r="J2188" t="str">
            <v/>
          </cell>
          <cell r="O2188" t="str">
            <v/>
          </cell>
          <cell r="P2188" t="str">
            <v/>
          </cell>
          <cell r="Q2188" t="str">
            <v/>
          </cell>
          <cell r="S2188" t="str">
            <v/>
          </cell>
          <cell r="V2188" t="str">
            <v/>
          </cell>
          <cell r="Z2188" t="str">
            <v/>
          </cell>
          <cell r="AA2188" t="str">
            <v/>
          </cell>
          <cell r="AB2188" t="str">
            <v/>
          </cell>
          <cell r="AC2188" t="str">
            <v/>
          </cell>
          <cell r="AD2188" t="str">
            <v/>
          </cell>
          <cell r="AY2188" t="str">
            <v/>
          </cell>
          <cell r="AZ2188" t="str">
            <v/>
          </cell>
          <cell r="BA2188" t="str">
            <v/>
          </cell>
        </row>
        <row r="2189">
          <cell r="B2189" t="str">
            <v>-</v>
          </cell>
          <cell r="E2189" t="str">
            <v/>
          </cell>
          <cell r="G2189" t="str">
            <v/>
          </cell>
          <cell r="J2189" t="str">
            <v/>
          </cell>
          <cell r="O2189" t="str">
            <v/>
          </cell>
          <cell r="P2189" t="str">
            <v/>
          </cell>
          <cell r="Q2189" t="str">
            <v/>
          </cell>
          <cell r="S2189" t="str">
            <v/>
          </cell>
          <cell r="V2189" t="str">
            <v/>
          </cell>
          <cell r="Z2189" t="str">
            <v/>
          </cell>
          <cell r="AA2189" t="str">
            <v/>
          </cell>
          <cell r="AB2189" t="str">
            <v/>
          </cell>
          <cell r="AC2189" t="str">
            <v/>
          </cell>
          <cell r="AD2189" t="str">
            <v/>
          </cell>
          <cell r="AY2189" t="str">
            <v/>
          </cell>
          <cell r="AZ2189" t="str">
            <v/>
          </cell>
          <cell r="BA2189" t="str">
            <v/>
          </cell>
        </row>
        <row r="2190">
          <cell r="B2190" t="str">
            <v>-</v>
          </cell>
          <cell r="E2190" t="str">
            <v/>
          </cell>
          <cell r="G2190" t="str">
            <v/>
          </cell>
          <cell r="J2190" t="str">
            <v/>
          </cell>
          <cell r="O2190" t="str">
            <v/>
          </cell>
          <cell r="P2190" t="str">
            <v/>
          </cell>
          <cell r="Q2190" t="str">
            <v/>
          </cell>
          <cell r="S2190" t="str">
            <v/>
          </cell>
          <cell r="V2190" t="str">
            <v/>
          </cell>
          <cell r="Z2190" t="str">
            <v/>
          </cell>
          <cell r="AA2190" t="str">
            <v/>
          </cell>
          <cell r="AB2190" t="str">
            <v/>
          </cell>
          <cell r="AC2190" t="str">
            <v/>
          </cell>
          <cell r="AD2190" t="str">
            <v/>
          </cell>
          <cell r="AY2190" t="str">
            <v/>
          </cell>
          <cell r="AZ2190" t="str">
            <v/>
          </cell>
          <cell r="BA2190" t="str">
            <v/>
          </cell>
        </row>
        <row r="2191">
          <cell r="B2191" t="str">
            <v>-</v>
          </cell>
          <cell r="E2191" t="str">
            <v/>
          </cell>
          <cell r="G2191" t="str">
            <v/>
          </cell>
          <cell r="J2191" t="str">
            <v/>
          </cell>
          <cell r="O2191" t="str">
            <v/>
          </cell>
          <cell r="P2191" t="str">
            <v/>
          </cell>
          <cell r="Q2191" t="str">
            <v/>
          </cell>
          <cell r="S2191" t="str">
            <v/>
          </cell>
          <cell r="V2191" t="str">
            <v/>
          </cell>
          <cell r="Z2191" t="str">
            <v/>
          </cell>
          <cell r="AA2191" t="str">
            <v/>
          </cell>
          <cell r="AB2191" t="str">
            <v/>
          </cell>
          <cell r="AC2191" t="str">
            <v/>
          </cell>
          <cell r="AD2191" t="str">
            <v/>
          </cell>
          <cell r="AY2191" t="str">
            <v/>
          </cell>
          <cell r="AZ2191" t="str">
            <v/>
          </cell>
          <cell r="BA2191" t="str">
            <v/>
          </cell>
        </row>
        <row r="2192">
          <cell r="B2192" t="str">
            <v>-</v>
          </cell>
          <cell r="E2192" t="str">
            <v/>
          </cell>
          <cell r="G2192" t="str">
            <v/>
          </cell>
          <cell r="J2192" t="str">
            <v/>
          </cell>
          <cell r="O2192" t="str">
            <v/>
          </cell>
          <cell r="P2192" t="str">
            <v/>
          </cell>
          <cell r="Q2192" t="str">
            <v/>
          </cell>
          <cell r="S2192" t="str">
            <v/>
          </cell>
          <cell r="V2192" t="str">
            <v/>
          </cell>
          <cell r="Z2192" t="str">
            <v/>
          </cell>
          <cell r="AA2192" t="str">
            <v/>
          </cell>
          <cell r="AB2192" t="str">
            <v/>
          </cell>
          <cell r="AC2192" t="str">
            <v/>
          </cell>
          <cell r="AD2192" t="str">
            <v/>
          </cell>
          <cell r="AY2192" t="str">
            <v/>
          </cell>
          <cell r="AZ2192" t="str">
            <v/>
          </cell>
          <cell r="BA2192" t="str">
            <v/>
          </cell>
        </row>
        <row r="2193">
          <cell r="B2193" t="str">
            <v>-</v>
          </cell>
          <cell r="E2193" t="str">
            <v/>
          </cell>
          <cell r="G2193" t="str">
            <v/>
          </cell>
          <cell r="J2193" t="str">
            <v/>
          </cell>
          <cell r="O2193" t="str">
            <v/>
          </cell>
          <cell r="P2193" t="str">
            <v/>
          </cell>
          <cell r="Q2193" t="str">
            <v/>
          </cell>
          <cell r="S2193" t="str">
            <v/>
          </cell>
          <cell r="V2193" t="str">
            <v/>
          </cell>
          <cell r="Z2193" t="str">
            <v/>
          </cell>
          <cell r="AA2193" t="str">
            <v/>
          </cell>
          <cell r="AB2193" t="str">
            <v/>
          </cell>
          <cell r="AC2193" t="str">
            <v/>
          </cell>
          <cell r="AD2193" t="str">
            <v/>
          </cell>
          <cell r="AY2193" t="str">
            <v/>
          </cell>
          <cell r="AZ2193" t="str">
            <v/>
          </cell>
          <cell r="BA2193" t="str">
            <v/>
          </cell>
        </row>
        <row r="2194">
          <cell r="B2194" t="str">
            <v>-</v>
          </cell>
          <cell r="E2194" t="str">
            <v/>
          </cell>
          <cell r="G2194" t="str">
            <v/>
          </cell>
          <cell r="J2194" t="str">
            <v/>
          </cell>
          <cell r="O2194" t="str">
            <v/>
          </cell>
          <cell r="P2194" t="str">
            <v/>
          </cell>
          <cell r="Q2194" t="str">
            <v/>
          </cell>
          <cell r="S2194" t="str">
            <v/>
          </cell>
          <cell r="V2194" t="str">
            <v/>
          </cell>
          <cell r="Z2194" t="str">
            <v/>
          </cell>
          <cell r="AA2194" t="str">
            <v/>
          </cell>
          <cell r="AB2194" t="str">
            <v/>
          </cell>
          <cell r="AC2194" t="str">
            <v/>
          </cell>
          <cell r="AD2194" t="str">
            <v/>
          </cell>
          <cell r="AY2194" t="str">
            <v/>
          </cell>
          <cell r="AZ2194" t="str">
            <v/>
          </cell>
          <cell r="BA2194" t="str">
            <v/>
          </cell>
        </row>
        <row r="2195">
          <cell r="B2195" t="str">
            <v>-</v>
          </cell>
          <cell r="E2195" t="str">
            <v/>
          </cell>
          <cell r="G2195" t="str">
            <v/>
          </cell>
          <cell r="J2195" t="str">
            <v/>
          </cell>
          <cell r="O2195" t="str">
            <v/>
          </cell>
          <cell r="P2195" t="str">
            <v/>
          </cell>
          <cell r="Q2195" t="str">
            <v/>
          </cell>
          <cell r="S2195" t="str">
            <v/>
          </cell>
          <cell r="V2195" t="str">
            <v/>
          </cell>
          <cell r="Z2195" t="str">
            <v/>
          </cell>
          <cell r="AA2195" t="str">
            <v/>
          </cell>
          <cell r="AB2195" t="str">
            <v/>
          </cell>
          <cell r="AC2195" t="str">
            <v/>
          </cell>
          <cell r="AD2195" t="str">
            <v/>
          </cell>
          <cell r="AY2195" t="str">
            <v/>
          </cell>
          <cell r="AZ2195" t="str">
            <v/>
          </cell>
          <cell r="BA2195" t="str">
            <v/>
          </cell>
        </row>
        <row r="2196">
          <cell r="B2196" t="str">
            <v>-</v>
          </cell>
          <cell r="E2196" t="str">
            <v/>
          </cell>
          <cell r="G2196" t="str">
            <v/>
          </cell>
          <cell r="J2196" t="str">
            <v/>
          </cell>
          <cell r="O2196" t="str">
            <v/>
          </cell>
          <cell r="P2196" t="str">
            <v/>
          </cell>
          <cell r="Q2196" t="str">
            <v/>
          </cell>
          <cell r="S2196" t="str">
            <v/>
          </cell>
          <cell r="V2196" t="str">
            <v/>
          </cell>
          <cell r="Z2196" t="str">
            <v/>
          </cell>
          <cell r="AA2196" t="str">
            <v/>
          </cell>
          <cell r="AB2196" t="str">
            <v/>
          </cell>
          <cell r="AC2196" t="str">
            <v/>
          </cell>
          <cell r="AD2196" t="str">
            <v/>
          </cell>
          <cell r="AY2196" t="str">
            <v/>
          </cell>
          <cell r="AZ2196" t="str">
            <v/>
          </cell>
          <cell r="BA2196" t="str">
            <v/>
          </cell>
        </row>
        <row r="2197">
          <cell r="B2197" t="str">
            <v>-</v>
          </cell>
          <cell r="E2197" t="str">
            <v/>
          </cell>
          <cell r="G2197" t="str">
            <v/>
          </cell>
          <cell r="J2197" t="str">
            <v/>
          </cell>
          <cell r="O2197" t="str">
            <v/>
          </cell>
          <cell r="P2197" t="str">
            <v/>
          </cell>
          <cell r="Q2197" t="str">
            <v/>
          </cell>
          <cell r="S2197" t="str">
            <v/>
          </cell>
          <cell r="V2197" t="str">
            <v/>
          </cell>
          <cell r="Z2197" t="str">
            <v/>
          </cell>
          <cell r="AA2197" t="str">
            <v/>
          </cell>
          <cell r="AB2197" t="str">
            <v/>
          </cell>
          <cell r="AC2197" t="str">
            <v/>
          </cell>
          <cell r="AD2197" t="str">
            <v/>
          </cell>
          <cell r="AY2197" t="str">
            <v/>
          </cell>
          <cell r="AZ2197" t="str">
            <v/>
          </cell>
          <cell r="BA2197" t="str">
            <v/>
          </cell>
        </row>
        <row r="2198">
          <cell r="B2198" t="str">
            <v>-</v>
          </cell>
          <cell r="E2198" t="str">
            <v/>
          </cell>
          <cell r="G2198" t="str">
            <v/>
          </cell>
          <cell r="J2198" t="str">
            <v/>
          </cell>
          <cell r="O2198" t="str">
            <v/>
          </cell>
          <cell r="P2198" t="str">
            <v/>
          </cell>
          <cell r="Q2198" t="str">
            <v/>
          </cell>
          <cell r="S2198" t="str">
            <v/>
          </cell>
          <cell r="V2198" t="str">
            <v/>
          </cell>
          <cell r="Z2198" t="str">
            <v/>
          </cell>
          <cell r="AA2198" t="str">
            <v/>
          </cell>
          <cell r="AB2198" t="str">
            <v/>
          </cell>
          <cell r="AC2198" t="str">
            <v/>
          </cell>
          <cell r="AD2198" t="str">
            <v/>
          </cell>
          <cell r="AY2198" t="str">
            <v/>
          </cell>
          <cell r="AZ2198" t="str">
            <v/>
          </cell>
          <cell r="BA2198" t="str">
            <v/>
          </cell>
        </row>
        <row r="2199">
          <cell r="B2199" t="str">
            <v>-</v>
          </cell>
          <cell r="E2199" t="str">
            <v/>
          </cell>
          <cell r="G2199" t="str">
            <v/>
          </cell>
          <cell r="J2199" t="str">
            <v/>
          </cell>
          <cell r="O2199" t="str">
            <v/>
          </cell>
          <cell r="P2199" t="str">
            <v/>
          </cell>
          <cell r="Q2199" t="str">
            <v/>
          </cell>
          <cell r="S2199" t="str">
            <v/>
          </cell>
          <cell r="V2199" t="str">
            <v/>
          </cell>
          <cell r="Z2199" t="str">
            <v/>
          </cell>
          <cell r="AA2199" t="str">
            <v/>
          </cell>
          <cell r="AB2199" t="str">
            <v/>
          </cell>
          <cell r="AC2199" t="str">
            <v/>
          </cell>
          <cell r="AD2199" t="str">
            <v/>
          </cell>
          <cell r="AY2199" t="str">
            <v/>
          </cell>
          <cell r="AZ2199" t="str">
            <v/>
          </cell>
          <cell r="BA2199" t="str">
            <v/>
          </cell>
        </row>
        <row r="2200">
          <cell r="B2200" t="str">
            <v>-</v>
          </cell>
          <cell r="E2200" t="str">
            <v/>
          </cell>
          <cell r="G2200" t="str">
            <v/>
          </cell>
          <cell r="J2200" t="str">
            <v/>
          </cell>
          <cell r="O2200" t="str">
            <v/>
          </cell>
          <cell r="P2200" t="str">
            <v/>
          </cell>
          <cell r="Q2200" t="str">
            <v/>
          </cell>
          <cell r="S2200" t="str">
            <v/>
          </cell>
          <cell r="V2200" t="str">
            <v/>
          </cell>
          <cell r="Z2200" t="str">
            <v/>
          </cell>
          <cell r="AA2200" t="str">
            <v/>
          </cell>
          <cell r="AB2200" t="str">
            <v/>
          </cell>
          <cell r="AC2200" t="str">
            <v/>
          </cell>
          <cell r="AD2200" t="str">
            <v/>
          </cell>
          <cell r="AY2200" t="str">
            <v/>
          </cell>
          <cell r="AZ2200" t="str">
            <v/>
          </cell>
          <cell r="BA2200" t="str">
            <v/>
          </cell>
        </row>
        <row r="2201">
          <cell r="B2201" t="str">
            <v>-</v>
          </cell>
          <cell r="E2201" t="str">
            <v/>
          </cell>
          <cell r="G2201" t="str">
            <v/>
          </cell>
          <cell r="J2201" t="str">
            <v/>
          </cell>
          <cell r="O2201" t="str">
            <v/>
          </cell>
          <cell r="P2201" t="str">
            <v/>
          </cell>
          <cell r="Q2201" t="str">
            <v/>
          </cell>
          <cell r="S2201" t="str">
            <v/>
          </cell>
          <cell r="V2201" t="str">
            <v/>
          </cell>
          <cell r="Z2201" t="str">
            <v/>
          </cell>
          <cell r="AA2201" t="str">
            <v/>
          </cell>
          <cell r="AB2201" t="str">
            <v/>
          </cell>
          <cell r="AC2201" t="str">
            <v/>
          </cell>
          <cell r="AD2201" t="str">
            <v/>
          </cell>
          <cell r="AY2201" t="str">
            <v/>
          </cell>
          <cell r="AZ2201" t="str">
            <v/>
          </cell>
          <cell r="BA2201" t="str">
            <v/>
          </cell>
        </row>
        <row r="2202">
          <cell r="B2202" t="str">
            <v>-</v>
          </cell>
          <cell r="E2202" t="str">
            <v/>
          </cell>
          <cell r="G2202" t="str">
            <v/>
          </cell>
          <cell r="J2202" t="str">
            <v/>
          </cell>
          <cell r="O2202" t="str">
            <v/>
          </cell>
          <cell r="P2202" t="str">
            <v/>
          </cell>
          <cell r="Q2202" t="str">
            <v/>
          </cell>
          <cell r="S2202" t="str">
            <v/>
          </cell>
          <cell r="V2202" t="str">
            <v/>
          </cell>
          <cell r="Z2202" t="str">
            <v/>
          </cell>
          <cell r="AA2202" t="str">
            <v/>
          </cell>
          <cell r="AB2202" t="str">
            <v/>
          </cell>
          <cell r="AC2202" t="str">
            <v/>
          </cell>
          <cell r="AD2202" t="str">
            <v/>
          </cell>
          <cell r="AY2202" t="str">
            <v/>
          </cell>
          <cell r="AZ2202" t="str">
            <v/>
          </cell>
          <cell r="BA2202" t="str">
            <v/>
          </cell>
        </row>
        <row r="2203">
          <cell r="B2203" t="str">
            <v>-</v>
          </cell>
          <cell r="E2203" t="str">
            <v/>
          </cell>
          <cell r="G2203" t="str">
            <v/>
          </cell>
          <cell r="J2203" t="str">
            <v/>
          </cell>
          <cell r="O2203" t="str">
            <v/>
          </cell>
          <cell r="P2203" t="str">
            <v/>
          </cell>
          <cell r="Q2203" t="str">
            <v/>
          </cell>
          <cell r="S2203" t="str">
            <v/>
          </cell>
          <cell r="V2203" t="str">
            <v/>
          </cell>
          <cell r="Z2203" t="str">
            <v/>
          </cell>
          <cell r="AA2203" t="str">
            <v/>
          </cell>
          <cell r="AB2203" t="str">
            <v/>
          </cell>
          <cell r="AC2203" t="str">
            <v/>
          </cell>
          <cell r="AD2203" t="str">
            <v/>
          </cell>
          <cell r="AY2203" t="str">
            <v/>
          </cell>
          <cell r="AZ2203" t="str">
            <v/>
          </cell>
          <cell r="BA2203" t="str">
            <v/>
          </cell>
        </row>
        <row r="2204">
          <cell r="B2204" t="str">
            <v>-</v>
          </cell>
          <cell r="E2204" t="str">
            <v/>
          </cell>
          <cell r="G2204" t="str">
            <v/>
          </cell>
          <cell r="J2204" t="str">
            <v/>
          </cell>
          <cell r="O2204" t="str">
            <v/>
          </cell>
          <cell r="P2204" t="str">
            <v/>
          </cell>
          <cell r="Q2204" t="str">
            <v/>
          </cell>
          <cell r="S2204" t="str">
            <v/>
          </cell>
          <cell r="V2204" t="str">
            <v/>
          </cell>
          <cell r="Z2204" t="str">
            <v/>
          </cell>
          <cell r="AA2204" t="str">
            <v/>
          </cell>
          <cell r="AB2204" t="str">
            <v/>
          </cell>
          <cell r="AC2204" t="str">
            <v/>
          </cell>
          <cell r="AD2204" t="str">
            <v/>
          </cell>
          <cell r="AY2204" t="str">
            <v/>
          </cell>
          <cell r="AZ2204" t="str">
            <v/>
          </cell>
          <cell r="BA2204" t="str">
            <v/>
          </cell>
        </row>
        <row r="2205">
          <cell r="B2205" t="str">
            <v>-</v>
          </cell>
          <cell r="E2205" t="str">
            <v/>
          </cell>
          <cell r="G2205" t="str">
            <v/>
          </cell>
          <cell r="J2205" t="str">
            <v/>
          </cell>
          <cell r="O2205" t="str">
            <v/>
          </cell>
          <cell r="P2205" t="str">
            <v/>
          </cell>
          <cell r="Q2205" t="str">
            <v/>
          </cell>
          <cell r="S2205" t="str">
            <v/>
          </cell>
          <cell r="V2205" t="str">
            <v/>
          </cell>
          <cell r="Z2205" t="str">
            <v/>
          </cell>
          <cell r="AA2205" t="str">
            <v/>
          </cell>
          <cell r="AB2205" t="str">
            <v/>
          </cell>
          <cell r="AC2205" t="str">
            <v/>
          </cell>
          <cell r="AD2205" t="str">
            <v/>
          </cell>
          <cell r="AY2205" t="str">
            <v/>
          </cell>
          <cell r="AZ2205" t="str">
            <v/>
          </cell>
          <cell r="BA2205" t="str">
            <v/>
          </cell>
        </row>
        <row r="2206">
          <cell r="B2206" t="str">
            <v>-</v>
          </cell>
          <cell r="E2206" t="str">
            <v/>
          </cell>
          <cell r="G2206" t="str">
            <v/>
          </cell>
          <cell r="J2206" t="str">
            <v/>
          </cell>
          <cell r="O2206" t="str">
            <v/>
          </cell>
          <cell r="P2206" t="str">
            <v/>
          </cell>
          <cell r="Q2206" t="str">
            <v/>
          </cell>
          <cell r="S2206" t="str">
            <v/>
          </cell>
          <cell r="V2206" t="str">
            <v/>
          </cell>
          <cell r="Z2206" t="str">
            <v/>
          </cell>
          <cell r="AA2206" t="str">
            <v/>
          </cell>
          <cell r="AB2206" t="str">
            <v/>
          </cell>
          <cell r="AC2206" t="str">
            <v/>
          </cell>
          <cell r="AD2206" t="str">
            <v/>
          </cell>
          <cell r="AY2206" t="str">
            <v/>
          </cell>
          <cell r="AZ2206" t="str">
            <v/>
          </cell>
          <cell r="BA2206" t="str">
            <v/>
          </cell>
        </row>
        <row r="2207">
          <cell r="B2207" t="str">
            <v>-</v>
          </cell>
          <cell r="E2207" t="str">
            <v/>
          </cell>
          <cell r="G2207" t="str">
            <v/>
          </cell>
          <cell r="J2207" t="str">
            <v/>
          </cell>
          <cell r="O2207" t="str">
            <v/>
          </cell>
          <cell r="P2207" t="str">
            <v/>
          </cell>
          <cell r="Q2207" t="str">
            <v/>
          </cell>
          <cell r="S2207" t="str">
            <v/>
          </cell>
          <cell r="V2207" t="str">
            <v/>
          </cell>
          <cell r="Z2207" t="str">
            <v/>
          </cell>
          <cell r="AA2207" t="str">
            <v/>
          </cell>
          <cell r="AB2207" t="str">
            <v/>
          </cell>
          <cell r="AC2207" t="str">
            <v/>
          </cell>
          <cell r="AD2207" t="str">
            <v/>
          </cell>
          <cell r="AY2207" t="str">
            <v/>
          </cell>
          <cell r="AZ2207" t="str">
            <v/>
          </cell>
          <cell r="BA2207" t="str">
            <v/>
          </cell>
        </row>
        <row r="2208">
          <cell r="B2208" t="str">
            <v>-</v>
          </cell>
          <cell r="E2208" t="str">
            <v/>
          </cell>
          <cell r="G2208" t="str">
            <v/>
          </cell>
          <cell r="J2208" t="str">
            <v/>
          </cell>
          <cell r="O2208" t="str">
            <v/>
          </cell>
          <cell r="P2208" t="str">
            <v/>
          </cell>
          <cell r="Q2208" t="str">
            <v/>
          </cell>
          <cell r="S2208" t="str">
            <v/>
          </cell>
          <cell r="V2208" t="str">
            <v/>
          </cell>
          <cell r="Z2208" t="str">
            <v/>
          </cell>
          <cell r="AA2208" t="str">
            <v/>
          </cell>
          <cell r="AB2208" t="str">
            <v/>
          </cell>
          <cell r="AC2208" t="str">
            <v/>
          </cell>
          <cell r="AD2208" t="str">
            <v/>
          </cell>
          <cell r="AY2208" t="str">
            <v/>
          </cell>
          <cell r="AZ2208" t="str">
            <v/>
          </cell>
          <cell r="BA2208" t="str">
            <v/>
          </cell>
        </row>
        <row r="2209">
          <cell r="B2209" t="str">
            <v>-</v>
          </cell>
          <cell r="E2209" t="str">
            <v/>
          </cell>
          <cell r="G2209" t="str">
            <v/>
          </cell>
          <cell r="J2209" t="str">
            <v/>
          </cell>
          <cell r="O2209" t="str">
            <v/>
          </cell>
          <cell r="P2209" t="str">
            <v/>
          </cell>
          <cell r="Q2209" t="str">
            <v/>
          </cell>
          <cell r="S2209" t="str">
            <v/>
          </cell>
          <cell r="V2209" t="str">
            <v/>
          </cell>
          <cell r="Z2209" t="str">
            <v/>
          </cell>
          <cell r="AA2209" t="str">
            <v/>
          </cell>
          <cell r="AB2209" t="str">
            <v/>
          </cell>
          <cell r="AC2209" t="str">
            <v/>
          </cell>
          <cell r="AD2209" t="str">
            <v/>
          </cell>
          <cell r="AY2209" t="str">
            <v/>
          </cell>
          <cell r="AZ2209" t="str">
            <v/>
          </cell>
          <cell r="BA2209" t="str">
            <v/>
          </cell>
        </row>
        <row r="2210">
          <cell r="B2210" t="str">
            <v>-</v>
          </cell>
          <cell r="E2210" t="str">
            <v/>
          </cell>
          <cell r="G2210" t="str">
            <v/>
          </cell>
          <cell r="J2210" t="str">
            <v/>
          </cell>
          <cell r="O2210" t="str">
            <v/>
          </cell>
          <cell r="P2210" t="str">
            <v/>
          </cell>
          <cell r="Q2210" t="str">
            <v/>
          </cell>
          <cell r="S2210" t="str">
            <v/>
          </cell>
          <cell r="V2210" t="str">
            <v/>
          </cell>
          <cell r="Z2210" t="str">
            <v/>
          </cell>
          <cell r="AA2210" t="str">
            <v/>
          </cell>
          <cell r="AB2210" t="str">
            <v/>
          </cell>
          <cell r="AC2210" t="str">
            <v/>
          </cell>
          <cell r="AD2210" t="str">
            <v/>
          </cell>
          <cell r="AY2210" t="str">
            <v/>
          </cell>
          <cell r="AZ2210" t="str">
            <v/>
          </cell>
          <cell r="BA2210" t="str">
            <v/>
          </cell>
        </row>
        <row r="2211">
          <cell r="B2211" t="str">
            <v>-</v>
          </cell>
          <cell r="E2211" t="str">
            <v/>
          </cell>
          <cell r="G2211" t="str">
            <v/>
          </cell>
          <cell r="J2211" t="str">
            <v/>
          </cell>
          <cell r="O2211" t="str">
            <v/>
          </cell>
          <cell r="P2211" t="str">
            <v/>
          </cell>
          <cell r="Q2211" t="str">
            <v/>
          </cell>
          <cell r="S2211" t="str">
            <v/>
          </cell>
          <cell r="V2211" t="str">
            <v/>
          </cell>
          <cell r="Z2211" t="str">
            <v/>
          </cell>
          <cell r="AA2211" t="str">
            <v/>
          </cell>
          <cell r="AB2211" t="str">
            <v/>
          </cell>
          <cell r="AC2211" t="str">
            <v/>
          </cell>
          <cell r="AD2211" t="str">
            <v/>
          </cell>
          <cell r="AY2211" t="str">
            <v/>
          </cell>
          <cell r="AZ2211" t="str">
            <v/>
          </cell>
          <cell r="BA2211" t="str">
            <v/>
          </cell>
        </row>
        <row r="2212">
          <cell r="B2212" t="str">
            <v>-</v>
          </cell>
          <cell r="E2212" t="str">
            <v/>
          </cell>
          <cell r="G2212" t="str">
            <v/>
          </cell>
          <cell r="J2212" t="str">
            <v/>
          </cell>
          <cell r="O2212" t="str">
            <v/>
          </cell>
          <cell r="P2212" t="str">
            <v/>
          </cell>
          <cell r="Q2212" t="str">
            <v/>
          </cell>
          <cell r="S2212" t="str">
            <v/>
          </cell>
          <cell r="V2212" t="str">
            <v/>
          </cell>
          <cell r="Z2212" t="str">
            <v/>
          </cell>
          <cell r="AA2212" t="str">
            <v/>
          </cell>
          <cell r="AB2212" t="str">
            <v/>
          </cell>
          <cell r="AC2212" t="str">
            <v/>
          </cell>
          <cell r="AD2212" t="str">
            <v/>
          </cell>
          <cell r="AY2212" t="str">
            <v/>
          </cell>
          <cell r="AZ2212" t="str">
            <v/>
          </cell>
          <cell r="BA2212" t="str">
            <v/>
          </cell>
        </row>
        <row r="2213">
          <cell r="B2213" t="str">
            <v>-</v>
          </cell>
          <cell r="E2213" t="str">
            <v/>
          </cell>
          <cell r="G2213" t="str">
            <v/>
          </cell>
          <cell r="J2213" t="str">
            <v/>
          </cell>
          <cell r="O2213" t="str">
            <v/>
          </cell>
          <cell r="P2213" t="str">
            <v/>
          </cell>
          <cell r="Q2213" t="str">
            <v/>
          </cell>
          <cell r="S2213" t="str">
            <v/>
          </cell>
          <cell r="V2213" t="str">
            <v/>
          </cell>
          <cell r="Z2213" t="str">
            <v/>
          </cell>
          <cell r="AA2213" t="str">
            <v/>
          </cell>
          <cell r="AB2213" t="str">
            <v/>
          </cell>
          <cell r="AC2213" t="str">
            <v/>
          </cell>
          <cell r="AD2213" t="str">
            <v/>
          </cell>
          <cell r="AY2213" t="str">
            <v/>
          </cell>
          <cell r="AZ2213" t="str">
            <v/>
          </cell>
          <cell r="BA2213" t="str">
            <v/>
          </cell>
        </row>
        <row r="2214">
          <cell r="B2214" t="str">
            <v>-</v>
          </cell>
          <cell r="E2214" t="str">
            <v/>
          </cell>
          <cell r="G2214" t="str">
            <v/>
          </cell>
          <cell r="J2214" t="str">
            <v/>
          </cell>
          <cell r="O2214" t="str">
            <v/>
          </cell>
          <cell r="P2214" t="str">
            <v/>
          </cell>
          <cell r="Q2214" t="str">
            <v/>
          </cell>
          <cell r="S2214" t="str">
            <v/>
          </cell>
          <cell r="V2214" t="str">
            <v/>
          </cell>
          <cell r="Z2214" t="str">
            <v/>
          </cell>
          <cell r="AA2214" t="str">
            <v/>
          </cell>
          <cell r="AB2214" t="str">
            <v/>
          </cell>
          <cell r="AC2214" t="str">
            <v/>
          </cell>
          <cell r="AD2214" t="str">
            <v/>
          </cell>
          <cell r="AY2214" t="str">
            <v/>
          </cell>
          <cell r="AZ2214" t="str">
            <v/>
          </cell>
          <cell r="BA2214" t="str">
            <v/>
          </cell>
        </row>
        <row r="2215">
          <cell r="B2215" t="str">
            <v>-</v>
          </cell>
          <cell r="E2215" t="str">
            <v/>
          </cell>
          <cell r="G2215" t="str">
            <v/>
          </cell>
          <cell r="J2215" t="str">
            <v/>
          </cell>
          <cell r="O2215" t="str">
            <v/>
          </cell>
          <cell r="P2215" t="str">
            <v/>
          </cell>
          <cell r="Q2215" t="str">
            <v/>
          </cell>
          <cell r="S2215" t="str">
            <v/>
          </cell>
          <cell r="V2215" t="str">
            <v/>
          </cell>
          <cell r="Z2215" t="str">
            <v/>
          </cell>
          <cell r="AA2215" t="str">
            <v/>
          </cell>
          <cell r="AB2215" t="str">
            <v/>
          </cell>
          <cell r="AC2215" t="str">
            <v/>
          </cell>
          <cell r="AD2215" t="str">
            <v/>
          </cell>
          <cell r="AY2215" t="str">
            <v/>
          </cell>
          <cell r="AZ2215" t="str">
            <v/>
          </cell>
          <cell r="BA2215" t="str">
            <v/>
          </cell>
        </row>
        <row r="2216">
          <cell r="B2216" t="str">
            <v>-</v>
          </cell>
          <cell r="E2216" t="str">
            <v/>
          </cell>
          <cell r="G2216" t="str">
            <v/>
          </cell>
          <cell r="J2216" t="str">
            <v/>
          </cell>
          <cell r="O2216" t="str">
            <v/>
          </cell>
          <cell r="P2216" t="str">
            <v/>
          </cell>
          <cell r="Q2216" t="str">
            <v/>
          </cell>
          <cell r="S2216" t="str">
            <v/>
          </cell>
          <cell r="V2216" t="str">
            <v/>
          </cell>
          <cell r="Z2216" t="str">
            <v/>
          </cell>
          <cell r="AA2216" t="str">
            <v/>
          </cell>
          <cell r="AB2216" t="str">
            <v/>
          </cell>
          <cell r="AC2216" t="str">
            <v/>
          </cell>
          <cell r="AD2216" t="str">
            <v/>
          </cell>
          <cell r="AY2216" t="str">
            <v/>
          </cell>
          <cell r="AZ2216" t="str">
            <v/>
          </cell>
          <cell r="BA2216" t="str">
            <v/>
          </cell>
        </row>
        <row r="2217">
          <cell r="B2217" t="str">
            <v>-</v>
          </cell>
          <cell r="E2217" t="str">
            <v/>
          </cell>
          <cell r="G2217" t="str">
            <v/>
          </cell>
          <cell r="J2217" t="str">
            <v/>
          </cell>
          <cell r="O2217" t="str">
            <v/>
          </cell>
          <cell r="P2217" t="str">
            <v/>
          </cell>
          <cell r="Q2217" t="str">
            <v/>
          </cell>
          <cell r="S2217" t="str">
            <v/>
          </cell>
          <cell r="V2217" t="str">
            <v/>
          </cell>
          <cell r="Z2217" t="str">
            <v/>
          </cell>
          <cell r="AA2217" t="str">
            <v/>
          </cell>
          <cell r="AB2217" t="str">
            <v/>
          </cell>
          <cell r="AC2217" t="str">
            <v/>
          </cell>
          <cell r="AD2217" t="str">
            <v/>
          </cell>
          <cell r="AY2217" t="str">
            <v/>
          </cell>
          <cell r="AZ2217" t="str">
            <v/>
          </cell>
          <cell r="BA2217" t="str">
            <v/>
          </cell>
        </row>
        <row r="2218">
          <cell r="B2218" t="str">
            <v>-</v>
          </cell>
          <cell r="E2218" t="str">
            <v/>
          </cell>
          <cell r="G2218" t="str">
            <v/>
          </cell>
          <cell r="J2218" t="str">
            <v/>
          </cell>
          <cell r="O2218" t="str">
            <v/>
          </cell>
          <cell r="P2218" t="str">
            <v/>
          </cell>
          <cell r="Q2218" t="str">
            <v/>
          </cell>
          <cell r="S2218" t="str">
            <v/>
          </cell>
          <cell r="V2218" t="str">
            <v/>
          </cell>
          <cell r="Z2218" t="str">
            <v/>
          </cell>
          <cell r="AA2218" t="str">
            <v/>
          </cell>
          <cell r="AB2218" t="str">
            <v/>
          </cell>
          <cell r="AC2218" t="str">
            <v/>
          </cell>
          <cell r="AD2218" t="str">
            <v/>
          </cell>
          <cell r="AY2218" t="str">
            <v/>
          </cell>
          <cell r="AZ2218" t="str">
            <v/>
          </cell>
          <cell r="BA2218" t="str">
            <v/>
          </cell>
        </row>
        <row r="2219">
          <cell r="B2219" t="str">
            <v>-</v>
          </cell>
          <cell r="E2219" t="str">
            <v/>
          </cell>
          <cell r="G2219" t="str">
            <v/>
          </cell>
          <cell r="J2219" t="str">
            <v/>
          </cell>
          <cell r="O2219" t="str">
            <v/>
          </cell>
          <cell r="P2219" t="str">
            <v/>
          </cell>
          <cell r="Q2219" t="str">
            <v/>
          </cell>
          <cell r="S2219" t="str">
            <v/>
          </cell>
          <cell r="V2219" t="str">
            <v/>
          </cell>
          <cell r="Z2219" t="str">
            <v/>
          </cell>
          <cell r="AA2219" t="str">
            <v/>
          </cell>
          <cell r="AB2219" t="str">
            <v/>
          </cell>
          <cell r="AC2219" t="str">
            <v/>
          </cell>
          <cell r="AD2219" t="str">
            <v/>
          </cell>
          <cell r="AY2219" t="str">
            <v/>
          </cell>
          <cell r="AZ2219" t="str">
            <v/>
          </cell>
          <cell r="BA2219" t="str">
            <v/>
          </cell>
        </row>
        <row r="2220">
          <cell r="B2220" t="str">
            <v>-</v>
          </cell>
          <cell r="E2220" t="str">
            <v/>
          </cell>
          <cell r="G2220" t="str">
            <v/>
          </cell>
          <cell r="J2220" t="str">
            <v/>
          </cell>
          <cell r="O2220" t="str">
            <v/>
          </cell>
          <cell r="P2220" t="str">
            <v/>
          </cell>
          <cell r="Q2220" t="str">
            <v/>
          </cell>
          <cell r="S2220" t="str">
            <v/>
          </cell>
          <cell r="V2220" t="str">
            <v/>
          </cell>
          <cell r="Z2220" t="str">
            <v/>
          </cell>
          <cell r="AA2220" t="str">
            <v/>
          </cell>
          <cell r="AB2220" t="str">
            <v/>
          </cell>
          <cell r="AC2220" t="str">
            <v/>
          </cell>
          <cell r="AD2220" t="str">
            <v/>
          </cell>
          <cell r="AY2220" t="str">
            <v/>
          </cell>
          <cell r="AZ2220" t="str">
            <v/>
          </cell>
          <cell r="BA2220" t="str">
            <v/>
          </cell>
        </row>
        <row r="2221">
          <cell r="B2221" t="str">
            <v>-</v>
          </cell>
          <cell r="E2221" t="str">
            <v/>
          </cell>
          <cell r="G2221" t="str">
            <v/>
          </cell>
          <cell r="J2221" t="str">
            <v/>
          </cell>
          <cell r="O2221" t="str">
            <v/>
          </cell>
          <cell r="P2221" t="str">
            <v/>
          </cell>
          <cell r="Q2221" t="str">
            <v/>
          </cell>
          <cell r="S2221" t="str">
            <v/>
          </cell>
          <cell r="V2221" t="str">
            <v/>
          </cell>
          <cell r="Z2221" t="str">
            <v/>
          </cell>
          <cell r="AA2221" t="str">
            <v/>
          </cell>
          <cell r="AB2221" t="str">
            <v/>
          </cell>
          <cell r="AC2221" t="str">
            <v/>
          </cell>
          <cell r="AD2221" t="str">
            <v/>
          </cell>
          <cell r="AY2221" t="str">
            <v/>
          </cell>
          <cell r="AZ2221" t="str">
            <v/>
          </cell>
          <cell r="BA2221" t="str">
            <v/>
          </cell>
        </row>
        <row r="2222">
          <cell r="B2222" t="str">
            <v>-</v>
          </cell>
          <cell r="E2222" t="str">
            <v/>
          </cell>
          <cell r="G2222" t="str">
            <v/>
          </cell>
          <cell r="J2222" t="str">
            <v/>
          </cell>
          <cell r="O2222" t="str">
            <v/>
          </cell>
          <cell r="P2222" t="str">
            <v/>
          </cell>
          <cell r="Q2222" t="str">
            <v/>
          </cell>
          <cell r="S2222" t="str">
            <v/>
          </cell>
          <cell r="V2222" t="str">
            <v/>
          </cell>
          <cell r="Z2222" t="str">
            <v/>
          </cell>
          <cell r="AA2222" t="str">
            <v/>
          </cell>
          <cell r="AB2222" t="str">
            <v/>
          </cell>
          <cell r="AC2222" t="str">
            <v/>
          </cell>
          <cell r="AD2222" t="str">
            <v/>
          </cell>
          <cell r="AY2222" t="str">
            <v/>
          </cell>
          <cell r="AZ2222" t="str">
            <v/>
          </cell>
          <cell r="BA2222" t="str">
            <v/>
          </cell>
        </row>
        <row r="2223">
          <cell r="B2223" t="str">
            <v>-</v>
          </cell>
          <cell r="E2223" t="str">
            <v/>
          </cell>
          <cell r="G2223" t="str">
            <v/>
          </cell>
          <cell r="J2223" t="str">
            <v/>
          </cell>
          <cell r="O2223" t="str">
            <v/>
          </cell>
          <cell r="P2223" t="str">
            <v/>
          </cell>
          <cell r="Q2223" t="str">
            <v/>
          </cell>
          <cell r="S2223" t="str">
            <v/>
          </cell>
          <cell r="V2223" t="str">
            <v/>
          </cell>
          <cell r="Z2223" t="str">
            <v/>
          </cell>
          <cell r="AA2223" t="str">
            <v/>
          </cell>
          <cell r="AB2223" t="str">
            <v/>
          </cell>
          <cell r="AC2223" t="str">
            <v/>
          </cell>
          <cell r="AD2223" t="str">
            <v/>
          </cell>
          <cell r="AY2223" t="str">
            <v/>
          </cell>
          <cell r="AZ2223" t="str">
            <v/>
          </cell>
          <cell r="BA2223" t="str">
            <v/>
          </cell>
        </row>
        <row r="2224">
          <cell r="B2224" t="str">
            <v>-</v>
          </cell>
          <cell r="E2224" t="str">
            <v/>
          </cell>
          <cell r="G2224" t="str">
            <v/>
          </cell>
          <cell r="J2224" t="str">
            <v/>
          </cell>
          <cell r="O2224" t="str">
            <v/>
          </cell>
          <cell r="P2224" t="str">
            <v/>
          </cell>
          <cell r="Q2224" t="str">
            <v/>
          </cell>
          <cell r="S2224" t="str">
            <v/>
          </cell>
          <cell r="V2224" t="str">
            <v/>
          </cell>
          <cell r="Z2224" t="str">
            <v/>
          </cell>
          <cell r="AA2224" t="str">
            <v/>
          </cell>
          <cell r="AB2224" t="str">
            <v/>
          </cell>
          <cell r="AC2224" t="str">
            <v/>
          </cell>
          <cell r="AD2224" t="str">
            <v/>
          </cell>
          <cell r="AY2224" t="str">
            <v/>
          </cell>
          <cell r="AZ2224" t="str">
            <v/>
          </cell>
          <cell r="BA2224" t="str">
            <v/>
          </cell>
        </row>
        <row r="2225">
          <cell r="B2225" t="str">
            <v>-</v>
          </cell>
          <cell r="E2225" t="str">
            <v/>
          </cell>
          <cell r="G2225" t="str">
            <v/>
          </cell>
          <cell r="J2225" t="str">
            <v/>
          </cell>
          <cell r="O2225" t="str">
            <v/>
          </cell>
          <cell r="P2225" t="str">
            <v/>
          </cell>
          <cell r="Q2225" t="str">
            <v/>
          </cell>
          <cell r="S2225" t="str">
            <v/>
          </cell>
          <cell r="V2225" t="str">
            <v/>
          </cell>
          <cell r="Z2225" t="str">
            <v/>
          </cell>
          <cell r="AA2225" t="str">
            <v/>
          </cell>
          <cell r="AB2225" t="str">
            <v/>
          </cell>
          <cell r="AC2225" t="str">
            <v/>
          </cell>
          <cell r="AD2225" t="str">
            <v/>
          </cell>
          <cell r="AY2225" t="str">
            <v/>
          </cell>
          <cell r="AZ2225" t="str">
            <v/>
          </cell>
          <cell r="BA2225" t="str">
            <v/>
          </cell>
        </row>
        <row r="2226">
          <cell r="B2226" t="str">
            <v>-</v>
          </cell>
          <cell r="E2226" t="str">
            <v/>
          </cell>
          <cell r="G2226" t="str">
            <v/>
          </cell>
          <cell r="J2226" t="str">
            <v/>
          </cell>
          <cell r="O2226" t="str">
            <v/>
          </cell>
          <cell r="P2226" t="str">
            <v/>
          </cell>
          <cell r="Q2226" t="str">
            <v/>
          </cell>
          <cell r="S2226" t="str">
            <v/>
          </cell>
          <cell r="V2226" t="str">
            <v/>
          </cell>
          <cell r="Z2226" t="str">
            <v/>
          </cell>
          <cell r="AA2226" t="str">
            <v/>
          </cell>
          <cell r="AB2226" t="str">
            <v/>
          </cell>
          <cell r="AC2226" t="str">
            <v/>
          </cell>
          <cell r="AD2226" t="str">
            <v/>
          </cell>
          <cell r="AY2226" t="str">
            <v/>
          </cell>
          <cell r="AZ2226" t="str">
            <v/>
          </cell>
          <cell r="BA2226" t="str">
            <v/>
          </cell>
        </row>
        <row r="2227">
          <cell r="B2227" t="str">
            <v>-</v>
          </cell>
          <cell r="E2227" t="str">
            <v/>
          </cell>
          <cell r="G2227" t="str">
            <v/>
          </cell>
          <cell r="J2227" t="str">
            <v/>
          </cell>
          <cell r="O2227" t="str">
            <v/>
          </cell>
          <cell r="P2227" t="str">
            <v/>
          </cell>
          <cell r="Q2227" t="str">
            <v/>
          </cell>
          <cell r="S2227" t="str">
            <v/>
          </cell>
          <cell r="V2227" t="str">
            <v/>
          </cell>
          <cell r="Z2227" t="str">
            <v/>
          </cell>
          <cell r="AA2227" t="str">
            <v/>
          </cell>
          <cell r="AB2227" t="str">
            <v/>
          </cell>
          <cell r="AC2227" t="str">
            <v/>
          </cell>
          <cell r="AD2227" t="str">
            <v/>
          </cell>
          <cell r="AY2227" t="str">
            <v/>
          </cell>
          <cell r="AZ2227" t="str">
            <v/>
          </cell>
          <cell r="BA2227" t="str">
            <v/>
          </cell>
        </row>
        <row r="2228">
          <cell r="B2228" t="str">
            <v>-</v>
          </cell>
          <cell r="E2228" t="str">
            <v/>
          </cell>
          <cell r="G2228" t="str">
            <v/>
          </cell>
          <cell r="J2228" t="str">
            <v/>
          </cell>
          <cell r="O2228" t="str">
            <v/>
          </cell>
          <cell r="P2228" t="str">
            <v/>
          </cell>
          <cell r="Q2228" t="str">
            <v/>
          </cell>
          <cell r="S2228" t="str">
            <v/>
          </cell>
          <cell r="V2228" t="str">
            <v/>
          </cell>
          <cell r="Z2228" t="str">
            <v/>
          </cell>
          <cell r="AA2228" t="str">
            <v/>
          </cell>
          <cell r="AB2228" t="str">
            <v/>
          </cell>
          <cell r="AC2228" t="str">
            <v/>
          </cell>
          <cell r="AD2228" t="str">
            <v/>
          </cell>
          <cell r="AY2228" t="str">
            <v/>
          </cell>
          <cell r="AZ2228" t="str">
            <v/>
          </cell>
          <cell r="BA2228" t="str">
            <v/>
          </cell>
        </row>
        <row r="2229">
          <cell r="B2229" t="str">
            <v>-</v>
          </cell>
          <cell r="E2229" t="str">
            <v/>
          </cell>
          <cell r="G2229" t="str">
            <v/>
          </cell>
          <cell r="J2229" t="str">
            <v/>
          </cell>
          <cell r="O2229" t="str">
            <v/>
          </cell>
          <cell r="P2229" t="str">
            <v/>
          </cell>
          <cell r="Q2229" t="str">
            <v/>
          </cell>
          <cell r="S2229" t="str">
            <v/>
          </cell>
          <cell r="V2229" t="str">
            <v/>
          </cell>
          <cell r="Z2229" t="str">
            <v/>
          </cell>
          <cell r="AA2229" t="str">
            <v/>
          </cell>
          <cell r="AB2229" t="str">
            <v/>
          </cell>
          <cell r="AC2229" t="str">
            <v/>
          </cell>
          <cell r="AD2229" t="str">
            <v/>
          </cell>
          <cell r="AY2229" t="str">
            <v/>
          </cell>
          <cell r="AZ2229" t="str">
            <v/>
          </cell>
          <cell r="BA2229" t="str">
            <v/>
          </cell>
        </row>
        <row r="2230">
          <cell r="B2230" t="str">
            <v>-</v>
          </cell>
          <cell r="E2230" t="str">
            <v/>
          </cell>
          <cell r="G2230" t="str">
            <v/>
          </cell>
          <cell r="J2230" t="str">
            <v/>
          </cell>
          <cell r="O2230" t="str">
            <v/>
          </cell>
          <cell r="P2230" t="str">
            <v/>
          </cell>
          <cell r="Q2230" t="str">
            <v/>
          </cell>
          <cell r="S2230" t="str">
            <v/>
          </cell>
          <cell r="V2230" t="str">
            <v/>
          </cell>
          <cell r="Z2230" t="str">
            <v/>
          </cell>
          <cell r="AA2230" t="str">
            <v/>
          </cell>
          <cell r="AB2230" t="str">
            <v/>
          </cell>
          <cell r="AC2230" t="str">
            <v/>
          </cell>
          <cell r="AD2230" t="str">
            <v/>
          </cell>
          <cell r="AY2230" t="str">
            <v/>
          </cell>
          <cell r="AZ2230" t="str">
            <v/>
          </cell>
          <cell r="BA2230" t="str">
            <v/>
          </cell>
        </row>
        <row r="2231">
          <cell r="B2231" t="str">
            <v>-</v>
          </cell>
          <cell r="E2231" t="str">
            <v/>
          </cell>
          <cell r="G2231" t="str">
            <v/>
          </cell>
          <cell r="J2231" t="str">
            <v/>
          </cell>
          <cell r="O2231" t="str">
            <v/>
          </cell>
          <cell r="P2231" t="str">
            <v/>
          </cell>
          <cell r="Q2231" t="str">
            <v/>
          </cell>
          <cell r="S2231" t="str">
            <v/>
          </cell>
          <cell r="V2231" t="str">
            <v/>
          </cell>
          <cell r="Z2231" t="str">
            <v/>
          </cell>
          <cell r="AA2231" t="str">
            <v/>
          </cell>
          <cell r="AB2231" t="str">
            <v/>
          </cell>
          <cell r="AC2231" t="str">
            <v/>
          </cell>
          <cell r="AD2231" t="str">
            <v/>
          </cell>
          <cell r="AY2231" t="str">
            <v/>
          </cell>
          <cell r="AZ2231" t="str">
            <v/>
          </cell>
          <cell r="BA2231" t="str">
            <v/>
          </cell>
        </row>
        <row r="2232">
          <cell r="B2232" t="str">
            <v>-</v>
          </cell>
          <cell r="E2232" t="str">
            <v/>
          </cell>
          <cell r="G2232" t="str">
            <v/>
          </cell>
          <cell r="J2232" t="str">
            <v/>
          </cell>
          <cell r="O2232" t="str">
            <v/>
          </cell>
          <cell r="P2232" t="str">
            <v/>
          </cell>
          <cell r="Q2232" t="str">
            <v/>
          </cell>
          <cell r="S2232" t="str">
            <v/>
          </cell>
          <cell r="V2232" t="str">
            <v/>
          </cell>
          <cell r="Z2232" t="str">
            <v/>
          </cell>
          <cell r="AA2232" t="str">
            <v/>
          </cell>
          <cell r="AB2232" t="str">
            <v/>
          </cell>
          <cell r="AC2232" t="str">
            <v/>
          </cell>
          <cell r="AD2232" t="str">
            <v/>
          </cell>
          <cell r="AY2232" t="str">
            <v/>
          </cell>
          <cell r="AZ2232" t="str">
            <v/>
          </cell>
          <cell r="BA2232" t="str">
            <v/>
          </cell>
        </row>
        <row r="2233">
          <cell r="B2233" t="str">
            <v>-</v>
          </cell>
          <cell r="E2233" t="str">
            <v/>
          </cell>
          <cell r="G2233" t="str">
            <v/>
          </cell>
          <cell r="J2233" t="str">
            <v/>
          </cell>
          <cell r="O2233" t="str">
            <v/>
          </cell>
          <cell r="P2233" t="str">
            <v/>
          </cell>
          <cell r="Q2233" t="str">
            <v/>
          </cell>
          <cell r="S2233" t="str">
            <v/>
          </cell>
          <cell r="V2233" t="str">
            <v/>
          </cell>
          <cell r="Z2233" t="str">
            <v/>
          </cell>
          <cell r="AA2233" t="str">
            <v/>
          </cell>
          <cell r="AB2233" t="str">
            <v/>
          </cell>
          <cell r="AC2233" t="str">
            <v/>
          </cell>
          <cell r="AD2233" t="str">
            <v/>
          </cell>
          <cell r="AY2233" t="str">
            <v/>
          </cell>
          <cell r="AZ2233" t="str">
            <v/>
          </cell>
          <cell r="BA2233" t="str">
            <v/>
          </cell>
        </row>
        <row r="2234">
          <cell r="B2234" t="str">
            <v>-</v>
          </cell>
          <cell r="E2234" t="str">
            <v/>
          </cell>
          <cell r="G2234" t="str">
            <v/>
          </cell>
          <cell r="J2234" t="str">
            <v/>
          </cell>
          <cell r="O2234" t="str">
            <v/>
          </cell>
          <cell r="P2234" t="str">
            <v/>
          </cell>
          <cell r="Q2234" t="str">
            <v/>
          </cell>
          <cell r="S2234" t="str">
            <v/>
          </cell>
          <cell r="V2234" t="str">
            <v/>
          </cell>
          <cell r="Z2234" t="str">
            <v/>
          </cell>
          <cell r="AA2234" t="str">
            <v/>
          </cell>
          <cell r="AB2234" t="str">
            <v/>
          </cell>
          <cell r="AC2234" t="str">
            <v/>
          </cell>
          <cell r="AD2234" t="str">
            <v/>
          </cell>
          <cell r="AY2234" t="str">
            <v/>
          </cell>
          <cell r="AZ2234" t="str">
            <v/>
          </cell>
          <cell r="BA2234" t="str">
            <v/>
          </cell>
        </row>
        <row r="2235">
          <cell r="B2235" t="str">
            <v>-</v>
          </cell>
          <cell r="E2235" t="str">
            <v/>
          </cell>
          <cell r="G2235" t="str">
            <v/>
          </cell>
          <cell r="J2235" t="str">
            <v/>
          </cell>
          <cell r="O2235" t="str">
            <v/>
          </cell>
          <cell r="P2235" t="str">
            <v/>
          </cell>
          <cell r="Q2235" t="str">
            <v/>
          </cell>
          <cell r="S2235" t="str">
            <v/>
          </cell>
          <cell r="V2235" t="str">
            <v/>
          </cell>
          <cell r="Z2235" t="str">
            <v/>
          </cell>
          <cell r="AA2235" t="str">
            <v/>
          </cell>
          <cell r="AB2235" t="str">
            <v/>
          </cell>
          <cell r="AC2235" t="str">
            <v/>
          </cell>
          <cell r="AD2235" t="str">
            <v/>
          </cell>
          <cell r="AY2235" t="str">
            <v/>
          </cell>
          <cell r="AZ2235" t="str">
            <v/>
          </cell>
          <cell r="BA2235" t="str">
            <v/>
          </cell>
        </row>
        <row r="2236">
          <cell r="B2236" t="str">
            <v>-</v>
          </cell>
          <cell r="E2236" t="str">
            <v/>
          </cell>
          <cell r="G2236" t="str">
            <v/>
          </cell>
          <cell r="J2236" t="str">
            <v/>
          </cell>
          <cell r="O2236" t="str">
            <v/>
          </cell>
          <cell r="P2236" t="str">
            <v/>
          </cell>
          <cell r="Q2236" t="str">
            <v/>
          </cell>
          <cell r="S2236" t="str">
            <v/>
          </cell>
          <cell r="V2236" t="str">
            <v/>
          </cell>
          <cell r="Z2236" t="str">
            <v/>
          </cell>
          <cell r="AA2236" t="str">
            <v/>
          </cell>
          <cell r="AB2236" t="str">
            <v/>
          </cell>
          <cell r="AC2236" t="str">
            <v/>
          </cell>
          <cell r="AD2236" t="str">
            <v/>
          </cell>
          <cell r="AY2236" t="str">
            <v/>
          </cell>
          <cell r="AZ2236" t="str">
            <v/>
          </cell>
          <cell r="BA2236" t="str">
            <v/>
          </cell>
        </row>
        <row r="2237">
          <cell r="B2237" t="str">
            <v>-</v>
          </cell>
          <cell r="E2237" t="str">
            <v/>
          </cell>
          <cell r="G2237" t="str">
            <v/>
          </cell>
          <cell r="J2237" t="str">
            <v/>
          </cell>
          <cell r="O2237" t="str">
            <v/>
          </cell>
          <cell r="P2237" t="str">
            <v/>
          </cell>
          <cell r="Q2237" t="str">
            <v/>
          </cell>
          <cell r="S2237" t="str">
            <v/>
          </cell>
          <cell r="V2237" t="str">
            <v/>
          </cell>
          <cell r="Z2237" t="str">
            <v/>
          </cell>
          <cell r="AA2237" t="str">
            <v/>
          </cell>
          <cell r="AB2237" t="str">
            <v/>
          </cell>
          <cell r="AC2237" t="str">
            <v/>
          </cell>
          <cell r="AD2237" t="str">
            <v/>
          </cell>
          <cell r="AY2237" t="str">
            <v/>
          </cell>
          <cell r="AZ2237" t="str">
            <v/>
          </cell>
          <cell r="BA2237" t="str">
            <v/>
          </cell>
        </row>
        <row r="2238">
          <cell r="B2238" t="str">
            <v>-</v>
          </cell>
          <cell r="E2238" t="str">
            <v/>
          </cell>
          <cell r="G2238" t="str">
            <v/>
          </cell>
          <cell r="J2238" t="str">
            <v/>
          </cell>
          <cell r="O2238" t="str">
            <v/>
          </cell>
          <cell r="P2238" t="str">
            <v/>
          </cell>
          <cell r="Q2238" t="str">
            <v/>
          </cell>
          <cell r="S2238" t="str">
            <v/>
          </cell>
          <cell r="V2238" t="str">
            <v/>
          </cell>
          <cell r="Z2238" t="str">
            <v/>
          </cell>
          <cell r="AA2238" t="str">
            <v/>
          </cell>
          <cell r="AB2238" t="str">
            <v/>
          </cell>
          <cell r="AC2238" t="str">
            <v/>
          </cell>
          <cell r="AD2238" t="str">
            <v/>
          </cell>
          <cell r="AY2238" t="str">
            <v/>
          </cell>
          <cell r="AZ2238" t="str">
            <v/>
          </cell>
          <cell r="BA2238" t="str">
            <v/>
          </cell>
        </row>
        <row r="2239">
          <cell r="B2239" t="str">
            <v>-</v>
          </cell>
          <cell r="E2239" t="str">
            <v/>
          </cell>
          <cell r="G2239" t="str">
            <v/>
          </cell>
          <cell r="J2239" t="str">
            <v/>
          </cell>
          <cell r="O2239" t="str">
            <v/>
          </cell>
          <cell r="P2239" t="str">
            <v/>
          </cell>
          <cell r="Q2239" t="str">
            <v/>
          </cell>
          <cell r="S2239" t="str">
            <v/>
          </cell>
          <cell r="V2239" t="str">
            <v/>
          </cell>
          <cell r="Z2239" t="str">
            <v/>
          </cell>
          <cell r="AA2239" t="str">
            <v/>
          </cell>
          <cell r="AB2239" t="str">
            <v/>
          </cell>
          <cell r="AC2239" t="str">
            <v/>
          </cell>
          <cell r="AD2239" t="str">
            <v/>
          </cell>
          <cell r="AY2239" t="str">
            <v/>
          </cell>
          <cell r="AZ2239" t="str">
            <v/>
          </cell>
          <cell r="BA2239" t="str">
            <v/>
          </cell>
        </row>
        <row r="2240">
          <cell r="B2240" t="str">
            <v>-</v>
          </cell>
          <cell r="E2240" t="str">
            <v/>
          </cell>
          <cell r="G2240" t="str">
            <v/>
          </cell>
          <cell r="J2240" t="str">
            <v/>
          </cell>
          <cell r="O2240" t="str">
            <v/>
          </cell>
          <cell r="P2240" t="str">
            <v/>
          </cell>
          <cell r="Q2240" t="str">
            <v/>
          </cell>
          <cell r="S2240" t="str">
            <v/>
          </cell>
          <cell r="V2240" t="str">
            <v/>
          </cell>
          <cell r="Z2240" t="str">
            <v/>
          </cell>
          <cell r="AA2240" t="str">
            <v/>
          </cell>
          <cell r="AB2240" t="str">
            <v/>
          </cell>
          <cell r="AC2240" t="str">
            <v/>
          </cell>
          <cell r="AD2240" t="str">
            <v/>
          </cell>
          <cell r="AY2240" t="str">
            <v/>
          </cell>
          <cell r="AZ2240" t="str">
            <v/>
          </cell>
          <cell r="BA2240" t="str">
            <v/>
          </cell>
        </row>
        <row r="2241">
          <cell r="B2241" t="str">
            <v>-</v>
          </cell>
          <cell r="E2241" t="str">
            <v/>
          </cell>
          <cell r="G2241" t="str">
            <v/>
          </cell>
          <cell r="J2241" t="str">
            <v/>
          </cell>
          <cell r="O2241" t="str">
            <v/>
          </cell>
          <cell r="P2241" t="str">
            <v/>
          </cell>
          <cell r="Q2241" t="str">
            <v/>
          </cell>
          <cell r="S2241" t="str">
            <v/>
          </cell>
          <cell r="V2241" t="str">
            <v/>
          </cell>
          <cell r="Z2241" t="str">
            <v/>
          </cell>
          <cell r="AA2241" t="str">
            <v/>
          </cell>
          <cell r="AB2241" t="str">
            <v/>
          </cell>
          <cell r="AC2241" t="str">
            <v/>
          </cell>
          <cell r="AD2241" t="str">
            <v/>
          </cell>
          <cell r="AY2241" t="str">
            <v/>
          </cell>
          <cell r="AZ2241" t="str">
            <v/>
          </cell>
          <cell r="BA2241" t="str">
            <v/>
          </cell>
        </row>
        <row r="2242">
          <cell r="B2242" t="str">
            <v>-</v>
          </cell>
          <cell r="E2242" t="str">
            <v/>
          </cell>
          <cell r="G2242" t="str">
            <v/>
          </cell>
          <cell r="J2242" t="str">
            <v/>
          </cell>
          <cell r="O2242" t="str">
            <v/>
          </cell>
          <cell r="P2242" t="str">
            <v/>
          </cell>
          <cell r="Q2242" t="str">
            <v/>
          </cell>
          <cell r="S2242" t="str">
            <v/>
          </cell>
          <cell r="V2242" t="str">
            <v/>
          </cell>
          <cell r="Z2242" t="str">
            <v/>
          </cell>
          <cell r="AA2242" t="str">
            <v/>
          </cell>
          <cell r="AB2242" t="str">
            <v/>
          </cell>
          <cell r="AC2242" t="str">
            <v/>
          </cell>
          <cell r="AD2242" t="str">
            <v/>
          </cell>
          <cell r="AY2242" t="str">
            <v/>
          </cell>
          <cell r="AZ2242" t="str">
            <v/>
          </cell>
          <cell r="BA2242" t="str">
            <v/>
          </cell>
        </row>
        <row r="2243">
          <cell r="B2243" t="str">
            <v>-</v>
          </cell>
          <cell r="E2243" t="str">
            <v/>
          </cell>
          <cell r="G2243" t="str">
            <v/>
          </cell>
          <cell r="J2243" t="str">
            <v/>
          </cell>
          <cell r="O2243" t="str">
            <v/>
          </cell>
          <cell r="P2243" t="str">
            <v/>
          </cell>
          <cell r="Q2243" t="str">
            <v/>
          </cell>
          <cell r="S2243" t="str">
            <v/>
          </cell>
          <cell r="V2243" t="str">
            <v/>
          </cell>
          <cell r="Z2243" t="str">
            <v/>
          </cell>
          <cell r="AA2243" t="str">
            <v/>
          </cell>
          <cell r="AB2243" t="str">
            <v/>
          </cell>
          <cell r="AC2243" t="str">
            <v/>
          </cell>
          <cell r="AD2243" t="str">
            <v/>
          </cell>
          <cell r="AY2243" t="str">
            <v/>
          </cell>
          <cell r="AZ2243" t="str">
            <v/>
          </cell>
          <cell r="BA2243" t="str">
            <v/>
          </cell>
        </row>
        <row r="2244">
          <cell r="B2244" t="str">
            <v>-</v>
          </cell>
          <cell r="E2244" t="str">
            <v/>
          </cell>
          <cell r="G2244" t="str">
            <v/>
          </cell>
          <cell r="J2244" t="str">
            <v/>
          </cell>
          <cell r="O2244" t="str">
            <v/>
          </cell>
          <cell r="P2244" t="str">
            <v/>
          </cell>
          <cell r="Q2244" t="str">
            <v/>
          </cell>
          <cell r="S2244" t="str">
            <v/>
          </cell>
          <cell r="V2244" t="str">
            <v/>
          </cell>
          <cell r="Z2244" t="str">
            <v/>
          </cell>
          <cell r="AA2244" t="str">
            <v/>
          </cell>
          <cell r="AB2244" t="str">
            <v/>
          </cell>
          <cell r="AC2244" t="str">
            <v/>
          </cell>
          <cell r="AD2244" t="str">
            <v/>
          </cell>
          <cell r="AY2244" t="str">
            <v/>
          </cell>
          <cell r="AZ2244" t="str">
            <v/>
          </cell>
          <cell r="BA2244" t="str">
            <v/>
          </cell>
        </row>
        <row r="2245">
          <cell r="B2245" t="str">
            <v>-</v>
          </cell>
          <cell r="E2245" t="str">
            <v/>
          </cell>
          <cell r="G2245" t="str">
            <v/>
          </cell>
          <cell r="J2245" t="str">
            <v/>
          </cell>
          <cell r="O2245" t="str">
            <v/>
          </cell>
          <cell r="P2245" t="str">
            <v/>
          </cell>
          <cell r="Q2245" t="str">
            <v/>
          </cell>
          <cell r="S2245" t="str">
            <v/>
          </cell>
          <cell r="V2245" t="str">
            <v/>
          </cell>
          <cell r="Z2245" t="str">
            <v/>
          </cell>
          <cell r="AA2245" t="str">
            <v/>
          </cell>
          <cell r="AB2245" t="str">
            <v/>
          </cell>
          <cell r="AC2245" t="str">
            <v/>
          </cell>
          <cell r="AD2245" t="str">
            <v/>
          </cell>
          <cell r="AY2245" t="str">
            <v/>
          </cell>
          <cell r="AZ2245" t="str">
            <v/>
          </cell>
          <cell r="BA2245" t="str">
            <v/>
          </cell>
        </row>
        <row r="2246">
          <cell r="B2246" t="str">
            <v>-</v>
          </cell>
          <cell r="E2246" t="str">
            <v/>
          </cell>
          <cell r="G2246" t="str">
            <v/>
          </cell>
          <cell r="J2246" t="str">
            <v/>
          </cell>
          <cell r="O2246" t="str">
            <v/>
          </cell>
          <cell r="P2246" t="str">
            <v/>
          </cell>
          <cell r="Q2246" t="str">
            <v/>
          </cell>
          <cell r="S2246" t="str">
            <v/>
          </cell>
          <cell r="V2246" t="str">
            <v/>
          </cell>
          <cell r="Z2246" t="str">
            <v/>
          </cell>
          <cell r="AA2246" t="str">
            <v/>
          </cell>
          <cell r="AB2246" t="str">
            <v/>
          </cell>
          <cell r="AC2246" t="str">
            <v/>
          </cell>
          <cell r="AD2246" t="str">
            <v/>
          </cell>
          <cell r="AY2246" t="str">
            <v/>
          </cell>
          <cell r="AZ2246" t="str">
            <v/>
          </cell>
          <cell r="BA2246" t="str">
            <v/>
          </cell>
        </row>
        <row r="2247">
          <cell r="B2247" t="str">
            <v>-</v>
          </cell>
          <cell r="E2247" t="str">
            <v/>
          </cell>
          <cell r="G2247" t="str">
            <v/>
          </cell>
          <cell r="J2247" t="str">
            <v/>
          </cell>
          <cell r="O2247" t="str">
            <v/>
          </cell>
          <cell r="P2247" t="str">
            <v/>
          </cell>
          <cell r="Q2247" t="str">
            <v/>
          </cell>
          <cell r="S2247" t="str">
            <v/>
          </cell>
          <cell r="V2247" t="str">
            <v/>
          </cell>
          <cell r="Z2247" t="str">
            <v/>
          </cell>
          <cell r="AA2247" t="str">
            <v/>
          </cell>
          <cell r="AB2247" t="str">
            <v/>
          </cell>
          <cell r="AC2247" t="str">
            <v/>
          </cell>
          <cell r="AD2247" t="str">
            <v/>
          </cell>
          <cell r="AY2247" t="str">
            <v/>
          </cell>
          <cell r="AZ2247" t="str">
            <v/>
          </cell>
          <cell r="BA2247" t="str">
            <v/>
          </cell>
        </row>
        <row r="2248">
          <cell r="B2248" t="str">
            <v>-</v>
          </cell>
          <cell r="E2248" t="str">
            <v/>
          </cell>
          <cell r="G2248" t="str">
            <v/>
          </cell>
          <cell r="J2248" t="str">
            <v/>
          </cell>
          <cell r="O2248" t="str">
            <v/>
          </cell>
          <cell r="P2248" t="str">
            <v/>
          </cell>
          <cell r="Q2248" t="str">
            <v/>
          </cell>
          <cell r="S2248" t="str">
            <v/>
          </cell>
          <cell r="V2248" t="str">
            <v/>
          </cell>
          <cell r="Z2248" t="str">
            <v/>
          </cell>
          <cell r="AA2248" t="str">
            <v/>
          </cell>
          <cell r="AB2248" t="str">
            <v/>
          </cell>
          <cell r="AC2248" t="str">
            <v/>
          </cell>
          <cell r="AD2248" t="str">
            <v/>
          </cell>
          <cell r="AY2248" t="str">
            <v/>
          </cell>
          <cell r="AZ2248" t="str">
            <v/>
          </cell>
          <cell r="BA2248" t="str">
            <v/>
          </cell>
        </row>
        <row r="2249">
          <cell r="B2249" t="str">
            <v>-</v>
          </cell>
          <cell r="E2249" t="str">
            <v/>
          </cell>
          <cell r="G2249" t="str">
            <v/>
          </cell>
          <cell r="J2249" t="str">
            <v/>
          </cell>
          <cell r="O2249" t="str">
            <v/>
          </cell>
          <cell r="P2249" t="str">
            <v/>
          </cell>
          <cell r="Q2249" t="str">
            <v/>
          </cell>
          <cell r="S2249" t="str">
            <v/>
          </cell>
          <cell r="V2249" t="str">
            <v/>
          </cell>
          <cell r="Z2249" t="str">
            <v/>
          </cell>
          <cell r="AA2249" t="str">
            <v/>
          </cell>
          <cell r="AB2249" t="str">
            <v/>
          </cell>
          <cell r="AC2249" t="str">
            <v/>
          </cell>
          <cell r="AD2249" t="str">
            <v/>
          </cell>
          <cell r="AY2249" t="str">
            <v/>
          </cell>
          <cell r="AZ2249" t="str">
            <v/>
          </cell>
          <cell r="BA2249" t="str">
            <v/>
          </cell>
        </row>
        <row r="2250">
          <cell r="B2250" t="str">
            <v>-</v>
          </cell>
          <cell r="E2250" t="str">
            <v/>
          </cell>
          <cell r="G2250" t="str">
            <v/>
          </cell>
          <cell r="J2250" t="str">
            <v/>
          </cell>
          <cell r="O2250" t="str">
            <v/>
          </cell>
          <cell r="P2250" t="str">
            <v/>
          </cell>
          <cell r="Q2250" t="str">
            <v/>
          </cell>
          <cell r="S2250" t="str">
            <v/>
          </cell>
          <cell r="V2250" t="str">
            <v/>
          </cell>
          <cell r="Z2250" t="str">
            <v/>
          </cell>
          <cell r="AA2250" t="str">
            <v/>
          </cell>
          <cell r="AB2250" t="str">
            <v/>
          </cell>
          <cell r="AC2250" t="str">
            <v/>
          </cell>
          <cell r="AD2250" t="str">
            <v/>
          </cell>
          <cell r="AY2250" t="str">
            <v/>
          </cell>
          <cell r="AZ2250" t="str">
            <v/>
          </cell>
          <cell r="BA2250" t="str">
            <v/>
          </cell>
        </row>
        <row r="2251">
          <cell r="B2251" t="str">
            <v>-</v>
          </cell>
          <cell r="E2251" t="str">
            <v/>
          </cell>
          <cell r="G2251" t="str">
            <v/>
          </cell>
          <cell r="J2251" t="str">
            <v/>
          </cell>
          <cell r="O2251" t="str">
            <v/>
          </cell>
          <cell r="P2251" t="str">
            <v/>
          </cell>
          <cell r="Q2251" t="str">
            <v/>
          </cell>
          <cell r="S2251" t="str">
            <v/>
          </cell>
          <cell r="V2251" t="str">
            <v/>
          </cell>
          <cell r="Z2251" t="str">
            <v/>
          </cell>
          <cell r="AA2251" t="str">
            <v/>
          </cell>
          <cell r="AB2251" t="str">
            <v/>
          </cell>
          <cell r="AC2251" t="str">
            <v/>
          </cell>
          <cell r="AD2251" t="str">
            <v/>
          </cell>
          <cell r="AY2251" t="str">
            <v/>
          </cell>
          <cell r="AZ2251" t="str">
            <v/>
          </cell>
          <cell r="BA2251" t="str">
            <v/>
          </cell>
        </row>
        <row r="2252">
          <cell r="B2252" t="str">
            <v>-</v>
          </cell>
          <cell r="E2252" t="str">
            <v/>
          </cell>
          <cell r="G2252" t="str">
            <v/>
          </cell>
          <cell r="J2252" t="str">
            <v/>
          </cell>
          <cell r="O2252" t="str">
            <v/>
          </cell>
          <cell r="P2252" t="str">
            <v/>
          </cell>
          <cell r="Q2252" t="str">
            <v/>
          </cell>
          <cell r="S2252" t="str">
            <v/>
          </cell>
          <cell r="V2252" t="str">
            <v/>
          </cell>
          <cell r="Z2252" t="str">
            <v/>
          </cell>
          <cell r="AA2252" t="str">
            <v/>
          </cell>
          <cell r="AB2252" t="str">
            <v/>
          </cell>
          <cell r="AC2252" t="str">
            <v/>
          </cell>
          <cell r="AD2252" t="str">
            <v/>
          </cell>
          <cell r="AY2252" t="str">
            <v/>
          </cell>
          <cell r="AZ2252" t="str">
            <v/>
          </cell>
          <cell r="BA2252" t="str">
            <v/>
          </cell>
        </row>
        <row r="2253">
          <cell r="B2253" t="str">
            <v>-</v>
          </cell>
          <cell r="E2253" t="str">
            <v/>
          </cell>
          <cell r="G2253" t="str">
            <v/>
          </cell>
          <cell r="J2253" t="str">
            <v/>
          </cell>
          <cell r="O2253" t="str">
            <v/>
          </cell>
          <cell r="P2253" t="str">
            <v/>
          </cell>
          <cell r="Q2253" t="str">
            <v/>
          </cell>
          <cell r="S2253" t="str">
            <v/>
          </cell>
          <cell r="V2253" t="str">
            <v/>
          </cell>
          <cell r="Z2253" t="str">
            <v/>
          </cell>
          <cell r="AA2253" t="str">
            <v/>
          </cell>
          <cell r="AB2253" t="str">
            <v/>
          </cell>
          <cell r="AC2253" t="str">
            <v/>
          </cell>
          <cell r="AD2253" t="str">
            <v/>
          </cell>
          <cell r="AY2253" t="str">
            <v/>
          </cell>
          <cell r="AZ2253" t="str">
            <v/>
          </cell>
          <cell r="BA2253" t="str">
            <v/>
          </cell>
        </row>
        <row r="2254">
          <cell r="B2254" t="str">
            <v>-</v>
          </cell>
          <cell r="E2254" t="str">
            <v/>
          </cell>
          <cell r="G2254" t="str">
            <v/>
          </cell>
          <cell r="J2254" t="str">
            <v/>
          </cell>
          <cell r="O2254" t="str">
            <v/>
          </cell>
          <cell r="P2254" t="str">
            <v/>
          </cell>
          <cell r="Q2254" t="str">
            <v/>
          </cell>
          <cell r="S2254" t="str">
            <v/>
          </cell>
          <cell r="V2254" t="str">
            <v/>
          </cell>
          <cell r="Z2254" t="str">
            <v/>
          </cell>
          <cell r="AA2254" t="str">
            <v/>
          </cell>
          <cell r="AB2254" t="str">
            <v/>
          </cell>
          <cell r="AC2254" t="str">
            <v/>
          </cell>
          <cell r="AD2254" t="str">
            <v/>
          </cell>
          <cell r="AY2254" t="str">
            <v/>
          </cell>
          <cell r="AZ2254" t="str">
            <v/>
          </cell>
          <cell r="BA2254" t="str">
            <v/>
          </cell>
        </row>
        <row r="2255">
          <cell r="B2255" t="str">
            <v>-</v>
          </cell>
          <cell r="E2255" t="str">
            <v/>
          </cell>
          <cell r="G2255" t="str">
            <v/>
          </cell>
          <cell r="J2255" t="str">
            <v/>
          </cell>
          <cell r="O2255" t="str">
            <v/>
          </cell>
          <cell r="P2255" t="str">
            <v/>
          </cell>
          <cell r="Q2255" t="str">
            <v/>
          </cell>
          <cell r="S2255" t="str">
            <v/>
          </cell>
          <cell r="V2255" t="str">
            <v/>
          </cell>
          <cell r="Z2255" t="str">
            <v/>
          </cell>
          <cell r="AA2255" t="str">
            <v/>
          </cell>
          <cell r="AB2255" t="str">
            <v/>
          </cell>
          <cell r="AC2255" t="str">
            <v/>
          </cell>
          <cell r="AD2255" t="str">
            <v/>
          </cell>
          <cell r="AY2255" t="str">
            <v/>
          </cell>
          <cell r="AZ2255" t="str">
            <v/>
          </cell>
          <cell r="BA2255" t="str">
            <v/>
          </cell>
        </row>
        <row r="2256">
          <cell r="B2256" t="str">
            <v>-</v>
          </cell>
          <cell r="E2256" t="str">
            <v/>
          </cell>
          <cell r="G2256" t="str">
            <v/>
          </cell>
          <cell r="J2256" t="str">
            <v/>
          </cell>
          <cell r="O2256" t="str">
            <v/>
          </cell>
          <cell r="P2256" t="str">
            <v/>
          </cell>
          <cell r="Q2256" t="str">
            <v/>
          </cell>
          <cell r="S2256" t="str">
            <v/>
          </cell>
          <cell r="V2256" t="str">
            <v/>
          </cell>
          <cell r="Z2256" t="str">
            <v/>
          </cell>
          <cell r="AA2256" t="str">
            <v/>
          </cell>
          <cell r="AB2256" t="str">
            <v/>
          </cell>
          <cell r="AC2256" t="str">
            <v/>
          </cell>
          <cell r="AD2256" t="str">
            <v/>
          </cell>
          <cell r="AY2256" t="str">
            <v/>
          </cell>
          <cell r="AZ2256" t="str">
            <v/>
          </cell>
          <cell r="BA2256" t="str">
            <v/>
          </cell>
        </row>
        <row r="2257">
          <cell r="B2257" t="str">
            <v>-</v>
          </cell>
          <cell r="E2257" t="str">
            <v/>
          </cell>
          <cell r="G2257" t="str">
            <v/>
          </cell>
          <cell r="J2257" t="str">
            <v/>
          </cell>
          <cell r="O2257" t="str">
            <v/>
          </cell>
          <cell r="P2257" t="str">
            <v/>
          </cell>
          <cell r="Q2257" t="str">
            <v/>
          </cell>
          <cell r="S2257" t="str">
            <v/>
          </cell>
          <cell r="V2257" t="str">
            <v/>
          </cell>
          <cell r="Z2257" t="str">
            <v/>
          </cell>
          <cell r="AA2257" t="str">
            <v/>
          </cell>
          <cell r="AB2257" t="str">
            <v/>
          </cell>
          <cell r="AC2257" t="str">
            <v/>
          </cell>
          <cell r="AD2257" t="str">
            <v/>
          </cell>
          <cell r="AY2257" t="str">
            <v/>
          </cell>
          <cell r="AZ2257" t="str">
            <v/>
          </cell>
          <cell r="BA2257" t="str">
            <v/>
          </cell>
        </row>
        <row r="2258">
          <cell r="B2258" t="str">
            <v>-</v>
          </cell>
          <cell r="E2258" t="str">
            <v/>
          </cell>
          <cell r="G2258" t="str">
            <v/>
          </cell>
          <cell r="J2258" t="str">
            <v/>
          </cell>
          <cell r="O2258" t="str">
            <v/>
          </cell>
          <cell r="P2258" t="str">
            <v/>
          </cell>
          <cell r="Q2258" t="str">
            <v/>
          </cell>
          <cell r="S2258" t="str">
            <v/>
          </cell>
          <cell r="V2258" t="str">
            <v/>
          </cell>
          <cell r="Z2258" t="str">
            <v/>
          </cell>
          <cell r="AA2258" t="str">
            <v/>
          </cell>
          <cell r="AB2258" t="str">
            <v/>
          </cell>
          <cell r="AC2258" t="str">
            <v/>
          </cell>
          <cell r="AD2258" t="str">
            <v/>
          </cell>
          <cell r="AY2258" t="str">
            <v/>
          </cell>
          <cell r="AZ2258" t="str">
            <v/>
          </cell>
          <cell r="BA2258" t="str">
            <v/>
          </cell>
        </row>
        <row r="2259">
          <cell r="B2259" t="str">
            <v>-</v>
          </cell>
          <cell r="E2259" t="str">
            <v/>
          </cell>
          <cell r="G2259" t="str">
            <v/>
          </cell>
          <cell r="J2259" t="str">
            <v/>
          </cell>
          <cell r="O2259" t="str">
            <v/>
          </cell>
          <cell r="P2259" t="str">
            <v/>
          </cell>
          <cell r="Q2259" t="str">
            <v/>
          </cell>
          <cell r="S2259" t="str">
            <v/>
          </cell>
          <cell r="V2259" t="str">
            <v/>
          </cell>
          <cell r="Z2259" t="str">
            <v/>
          </cell>
          <cell r="AA2259" t="str">
            <v/>
          </cell>
          <cell r="AB2259" t="str">
            <v/>
          </cell>
          <cell r="AC2259" t="str">
            <v/>
          </cell>
          <cell r="AD2259" t="str">
            <v/>
          </cell>
          <cell r="AY2259" t="str">
            <v/>
          </cell>
          <cell r="AZ2259" t="str">
            <v/>
          </cell>
          <cell r="BA2259" t="str">
            <v/>
          </cell>
        </row>
        <row r="2260">
          <cell r="B2260" t="str">
            <v>-</v>
          </cell>
          <cell r="E2260" t="str">
            <v/>
          </cell>
          <cell r="G2260" t="str">
            <v/>
          </cell>
          <cell r="J2260" t="str">
            <v/>
          </cell>
          <cell r="O2260" t="str">
            <v/>
          </cell>
          <cell r="P2260" t="str">
            <v/>
          </cell>
          <cell r="Q2260" t="str">
            <v/>
          </cell>
          <cell r="S2260" t="str">
            <v/>
          </cell>
          <cell r="V2260" t="str">
            <v/>
          </cell>
          <cell r="Z2260" t="str">
            <v/>
          </cell>
          <cell r="AA2260" t="str">
            <v/>
          </cell>
          <cell r="AB2260" t="str">
            <v/>
          </cell>
          <cell r="AC2260" t="str">
            <v/>
          </cell>
          <cell r="AD2260" t="str">
            <v/>
          </cell>
          <cell r="AY2260" t="str">
            <v/>
          </cell>
          <cell r="AZ2260" t="str">
            <v/>
          </cell>
          <cell r="BA2260" t="str">
            <v/>
          </cell>
        </row>
        <row r="2261">
          <cell r="B2261" t="str">
            <v>-</v>
          </cell>
          <cell r="E2261" t="str">
            <v/>
          </cell>
          <cell r="G2261" t="str">
            <v/>
          </cell>
          <cell r="J2261" t="str">
            <v/>
          </cell>
          <cell r="O2261" t="str">
            <v/>
          </cell>
          <cell r="P2261" t="str">
            <v/>
          </cell>
          <cell r="Q2261" t="str">
            <v/>
          </cell>
          <cell r="S2261" t="str">
            <v/>
          </cell>
          <cell r="V2261" t="str">
            <v/>
          </cell>
          <cell r="Z2261" t="str">
            <v/>
          </cell>
          <cell r="AA2261" t="str">
            <v/>
          </cell>
          <cell r="AB2261" t="str">
            <v/>
          </cell>
          <cell r="AC2261" t="str">
            <v/>
          </cell>
          <cell r="AD2261" t="str">
            <v/>
          </cell>
          <cell r="AY2261" t="str">
            <v/>
          </cell>
          <cell r="AZ2261" t="str">
            <v/>
          </cell>
          <cell r="BA2261" t="str">
            <v/>
          </cell>
        </row>
        <row r="2262">
          <cell r="B2262" t="str">
            <v>-</v>
          </cell>
          <cell r="E2262" t="str">
            <v/>
          </cell>
          <cell r="G2262" t="str">
            <v/>
          </cell>
          <cell r="J2262" t="str">
            <v/>
          </cell>
          <cell r="O2262" t="str">
            <v/>
          </cell>
          <cell r="P2262" t="str">
            <v/>
          </cell>
          <cell r="Q2262" t="str">
            <v/>
          </cell>
          <cell r="S2262" t="str">
            <v/>
          </cell>
          <cell r="V2262" t="str">
            <v/>
          </cell>
          <cell r="Z2262" t="str">
            <v/>
          </cell>
          <cell r="AA2262" t="str">
            <v/>
          </cell>
          <cell r="AB2262" t="str">
            <v/>
          </cell>
          <cell r="AC2262" t="str">
            <v/>
          </cell>
          <cell r="AD2262" t="str">
            <v/>
          </cell>
          <cell r="AY2262" t="str">
            <v/>
          </cell>
          <cell r="AZ2262" t="str">
            <v/>
          </cell>
          <cell r="BA2262" t="str">
            <v/>
          </cell>
        </row>
        <row r="2263">
          <cell r="B2263" t="str">
            <v>-</v>
          </cell>
          <cell r="E2263" t="str">
            <v/>
          </cell>
          <cell r="G2263" t="str">
            <v/>
          </cell>
          <cell r="J2263" t="str">
            <v/>
          </cell>
          <cell r="O2263" t="str">
            <v/>
          </cell>
          <cell r="P2263" t="str">
            <v/>
          </cell>
          <cell r="Q2263" t="str">
            <v/>
          </cell>
          <cell r="S2263" t="str">
            <v/>
          </cell>
          <cell r="V2263" t="str">
            <v/>
          </cell>
          <cell r="Z2263" t="str">
            <v/>
          </cell>
          <cell r="AA2263" t="str">
            <v/>
          </cell>
          <cell r="AB2263" t="str">
            <v/>
          </cell>
          <cell r="AC2263" t="str">
            <v/>
          </cell>
          <cell r="AD2263" t="str">
            <v/>
          </cell>
          <cell r="AY2263" t="str">
            <v/>
          </cell>
          <cell r="AZ2263" t="str">
            <v/>
          </cell>
          <cell r="BA2263" t="str">
            <v/>
          </cell>
        </row>
        <row r="2264">
          <cell r="B2264" t="str">
            <v>-</v>
          </cell>
          <cell r="E2264" t="str">
            <v/>
          </cell>
          <cell r="G2264" t="str">
            <v/>
          </cell>
          <cell r="J2264" t="str">
            <v/>
          </cell>
          <cell r="O2264" t="str">
            <v/>
          </cell>
          <cell r="P2264" t="str">
            <v/>
          </cell>
          <cell r="Q2264" t="str">
            <v/>
          </cell>
          <cell r="S2264" t="str">
            <v/>
          </cell>
          <cell r="V2264" t="str">
            <v/>
          </cell>
          <cell r="Z2264" t="str">
            <v/>
          </cell>
          <cell r="AA2264" t="str">
            <v/>
          </cell>
          <cell r="AB2264" t="str">
            <v/>
          </cell>
          <cell r="AC2264" t="str">
            <v/>
          </cell>
          <cell r="AD2264" t="str">
            <v/>
          </cell>
          <cell r="AY2264" t="str">
            <v/>
          </cell>
          <cell r="AZ2264" t="str">
            <v/>
          </cell>
          <cell r="BA2264" t="str">
            <v/>
          </cell>
        </row>
        <row r="2265">
          <cell r="B2265" t="str">
            <v>-</v>
          </cell>
          <cell r="E2265" t="str">
            <v/>
          </cell>
          <cell r="G2265" t="str">
            <v/>
          </cell>
          <cell r="J2265" t="str">
            <v/>
          </cell>
          <cell r="O2265" t="str">
            <v/>
          </cell>
          <cell r="P2265" t="str">
            <v/>
          </cell>
          <cell r="Q2265" t="str">
            <v/>
          </cell>
          <cell r="S2265" t="str">
            <v/>
          </cell>
          <cell r="V2265" t="str">
            <v/>
          </cell>
          <cell r="Z2265" t="str">
            <v/>
          </cell>
          <cell r="AA2265" t="str">
            <v/>
          </cell>
          <cell r="AB2265" t="str">
            <v/>
          </cell>
          <cell r="AC2265" t="str">
            <v/>
          </cell>
          <cell r="AD2265" t="str">
            <v/>
          </cell>
          <cell r="AY2265" t="str">
            <v/>
          </cell>
          <cell r="AZ2265" t="str">
            <v/>
          </cell>
          <cell r="BA2265" t="str">
            <v/>
          </cell>
        </row>
        <row r="2266">
          <cell r="B2266" t="str">
            <v>-</v>
          </cell>
          <cell r="E2266" t="str">
            <v/>
          </cell>
          <cell r="G2266" t="str">
            <v/>
          </cell>
          <cell r="J2266" t="str">
            <v/>
          </cell>
          <cell r="O2266" t="str">
            <v/>
          </cell>
          <cell r="P2266" t="str">
            <v/>
          </cell>
          <cell r="Q2266" t="str">
            <v/>
          </cell>
          <cell r="S2266" t="str">
            <v/>
          </cell>
          <cell r="V2266" t="str">
            <v/>
          </cell>
          <cell r="Z2266" t="str">
            <v/>
          </cell>
          <cell r="AA2266" t="str">
            <v/>
          </cell>
          <cell r="AB2266" t="str">
            <v/>
          </cell>
          <cell r="AC2266" t="str">
            <v/>
          </cell>
          <cell r="AD2266" t="str">
            <v/>
          </cell>
          <cell r="AY2266" t="str">
            <v/>
          </cell>
          <cell r="AZ2266" t="str">
            <v/>
          </cell>
          <cell r="BA2266" t="str">
            <v/>
          </cell>
        </row>
        <row r="2267">
          <cell r="B2267" t="str">
            <v>-</v>
          </cell>
          <cell r="E2267" t="str">
            <v/>
          </cell>
          <cell r="G2267" t="str">
            <v/>
          </cell>
          <cell r="J2267" t="str">
            <v/>
          </cell>
          <cell r="O2267" t="str">
            <v/>
          </cell>
          <cell r="P2267" t="str">
            <v/>
          </cell>
          <cell r="Q2267" t="str">
            <v/>
          </cell>
          <cell r="S2267" t="str">
            <v/>
          </cell>
          <cell r="V2267" t="str">
            <v/>
          </cell>
          <cell r="Z2267" t="str">
            <v/>
          </cell>
          <cell r="AA2267" t="str">
            <v/>
          </cell>
          <cell r="AB2267" t="str">
            <v/>
          </cell>
          <cell r="AC2267" t="str">
            <v/>
          </cell>
          <cell r="AD2267" t="str">
            <v/>
          </cell>
          <cell r="AY2267" t="str">
            <v/>
          </cell>
          <cell r="AZ2267" t="str">
            <v/>
          </cell>
          <cell r="BA2267" t="str">
            <v/>
          </cell>
        </row>
        <row r="2268">
          <cell r="B2268" t="str">
            <v>-</v>
          </cell>
          <cell r="E2268" t="str">
            <v/>
          </cell>
          <cell r="G2268" t="str">
            <v/>
          </cell>
          <cell r="J2268" t="str">
            <v/>
          </cell>
          <cell r="O2268" t="str">
            <v/>
          </cell>
          <cell r="P2268" t="str">
            <v/>
          </cell>
          <cell r="Q2268" t="str">
            <v/>
          </cell>
          <cell r="S2268" t="str">
            <v/>
          </cell>
          <cell r="V2268" t="str">
            <v/>
          </cell>
          <cell r="Z2268" t="str">
            <v/>
          </cell>
          <cell r="AA2268" t="str">
            <v/>
          </cell>
          <cell r="AB2268" t="str">
            <v/>
          </cell>
          <cell r="AC2268" t="str">
            <v/>
          </cell>
          <cell r="AD2268" t="str">
            <v/>
          </cell>
          <cell r="AY2268" t="str">
            <v/>
          </cell>
          <cell r="AZ2268" t="str">
            <v/>
          </cell>
          <cell r="BA2268" t="str">
            <v/>
          </cell>
        </row>
        <row r="2269">
          <cell r="B2269" t="str">
            <v>-</v>
          </cell>
          <cell r="E2269" t="str">
            <v/>
          </cell>
          <cell r="G2269" t="str">
            <v/>
          </cell>
          <cell r="J2269" t="str">
            <v/>
          </cell>
          <cell r="O2269" t="str">
            <v/>
          </cell>
          <cell r="P2269" t="str">
            <v/>
          </cell>
          <cell r="Q2269" t="str">
            <v/>
          </cell>
          <cell r="S2269" t="str">
            <v/>
          </cell>
          <cell r="V2269" t="str">
            <v/>
          </cell>
          <cell r="Z2269" t="str">
            <v/>
          </cell>
          <cell r="AA2269" t="str">
            <v/>
          </cell>
          <cell r="AB2269" t="str">
            <v/>
          </cell>
          <cell r="AC2269" t="str">
            <v/>
          </cell>
          <cell r="AD2269" t="str">
            <v/>
          </cell>
          <cell r="AY2269" t="str">
            <v/>
          </cell>
          <cell r="AZ2269" t="str">
            <v/>
          </cell>
          <cell r="BA2269" t="str">
            <v/>
          </cell>
        </row>
        <row r="2270">
          <cell r="B2270" t="str">
            <v>-</v>
          </cell>
          <cell r="E2270" t="str">
            <v/>
          </cell>
          <cell r="G2270" t="str">
            <v/>
          </cell>
          <cell r="J2270" t="str">
            <v/>
          </cell>
          <cell r="O2270" t="str">
            <v/>
          </cell>
          <cell r="P2270" t="str">
            <v/>
          </cell>
          <cell r="Q2270" t="str">
            <v/>
          </cell>
          <cell r="S2270" t="str">
            <v/>
          </cell>
          <cell r="V2270" t="str">
            <v/>
          </cell>
          <cell r="Z2270" t="str">
            <v/>
          </cell>
          <cell r="AA2270" t="str">
            <v/>
          </cell>
          <cell r="AB2270" t="str">
            <v/>
          </cell>
          <cell r="AC2270" t="str">
            <v/>
          </cell>
          <cell r="AD2270" t="str">
            <v/>
          </cell>
          <cell r="AY2270" t="str">
            <v/>
          </cell>
          <cell r="AZ2270" t="str">
            <v/>
          </cell>
          <cell r="BA2270" t="str">
            <v/>
          </cell>
        </row>
        <row r="2271">
          <cell r="B2271" t="str">
            <v>-</v>
          </cell>
          <cell r="E2271" t="str">
            <v/>
          </cell>
          <cell r="G2271" t="str">
            <v/>
          </cell>
          <cell r="J2271" t="str">
            <v/>
          </cell>
          <cell r="O2271" t="str">
            <v/>
          </cell>
          <cell r="P2271" t="str">
            <v/>
          </cell>
          <cell r="Q2271" t="str">
            <v/>
          </cell>
          <cell r="S2271" t="str">
            <v/>
          </cell>
          <cell r="V2271" t="str">
            <v/>
          </cell>
          <cell r="Z2271" t="str">
            <v/>
          </cell>
          <cell r="AA2271" t="str">
            <v/>
          </cell>
          <cell r="AB2271" t="str">
            <v/>
          </cell>
          <cell r="AC2271" t="str">
            <v/>
          </cell>
          <cell r="AD2271" t="str">
            <v/>
          </cell>
          <cell r="AY2271" t="str">
            <v/>
          </cell>
          <cell r="AZ2271" t="str">
            <v/>
          </cell>
          <cell r="BA2271" t="str">
            <v/>
          </cell>
        </row>
        <row r="2272">
          <cell r="B2272" t="str">
            <v>-</v>
          </cell>
          <cell r="E2272" t="str">
            <v/>
          </cell>
          <cell r="G2272" t="str">
            <v/>
          </cell>
          <cell r="J2272" t="str">
            <v/>
          </cell>
          <cell r="O2272" t="str">
            <v/>
          </cell>
          <cell r="P2272" t="str">
            <v/>
          </cell>
          <cell r="Q2272" t="str">
            <v/>
          </cell>
          <cell r="S2272" t="str">
            <v/>
          </cell>
          <cell r="V2272" t="str">
            <v/>
          </cell>
          <cell r="Z2272" t="str">
            <v/>
          </cell>
          <cell r="AA2272" t="str">
            <v/>
          </cell>
          <cell r="AB2272" t="str">
            <v/>
          </cell>
          <cell r="AC2272" t="str">
            <v/>
          </cell>
          <cell r="AD2272" t="str">
            <v/>
          </cell>
          <cell r="AY2272" t="str">
            <v/>
          </cell>
          <cell r="AZ2272" t="str">
            <v/>
          </cell>
          <cell r="BA2272" t="str">
            <v/>
          </cell>
        </row>
        <row r="2273">
          <cell r="B2273" t="str">
            <v>-</v>
          </cell>
          <cell r="E2273" t="str">
            <v/>
          </cell>
          <cell r="G2273" t="str">
            <v/>
          </cell>
          <cell r="J2273" t="str">
            <v/>
          </cell>
          <cell r="O2273" t="str">
            <v/>
          </cell>
          <cell r="P2273" t="str">
            <v/>
          </cell>
          <cell r="Q2273" t="str">
            <v/>
          </cell>
          <cell r="S2273" t="str">
            <v/>
          </cell>
          <cell r="V2273" t="str">
            <v/>
          </cell>
          <cell r="Z2273" t="str">
            <v/>
          </cell>
          <cell r="AA2273" t="str">
            <v/>
          </cell>
          <cell r="AB2273" t="str">
            <v/>
          </cell>
          <cell r="AC2273" t="str">
            <v/>
          </cell>
          <cell r="AD2273" t="str">
            <v/>
          </cell>
          <cell r="AY2273" t="str">
            <v/>
          </cell>
          <cell r="AZ2273" t="str">
            <v/>
          </cell>
          <cell r="BA2273" t="str">
            <v/>
          </cell>
        </row>
        <row r="2274">
          <cell r="B2274" t="str">
            <v>-</v>
          </cell>
          <cell r="E2274" t="str">
            <v/>
          </cell>
          <cell r="G2274" t="str">
            <v/>
          </cell>
          <cell r="J2274" t="str">
            <v/>
          </cell>
          <cell r="O2274" t="str">
            <v/>
          </cell>
          <cell r="P2274" t="str">
            <v/>
          </cell>
          <cell r="Q2274" t="str">
            <v/>
          </cell>
          <cell r="S2274" t="str">
            <v/>
          </cell>
          <cell r="V2274" t="str">
            <v/>
          </cell>
          <cell r="Z2274" t="str">
            <v/>
          </cell>
          <cell r="AA2274" t="str">
            <v/>
          </cell>
          <cell r="AB2274" t="str">
            <v/>
          </cell>
          <cell r="AC2274" t="str">
            <v/>
          </cell>
          <cell r="AD2274" t="str">
            <v/>
          </cell>
          <cell r="AY2274" t="str">
            <v/>
          </cell>
          <cell r="AZ2274" t="str">
            <v/>
          </cell>
          <cell r="BA2274" t="str">
            <v/>
          </cell>
        </row>
        <row r="2275">
          <cell r="B2275" t="str">
            <v>-</v>
          </cell>
          <cell r="E2275" t="str">
            <v/>
          </cell>
          <cell r="G2275" t="str">
            <v/>
          </cell>
          <cell r="J2275" t="str">
            <v/>
          </cell>
          <cell r="O2275" t="str">
            <v/>
          </cell>
          <cell r="P2275" t="str">
            <v/>
          </cell>
          <cell r="Q2275" t="str">
            <v/>
          </cell>
          <cell r="S2275" t="str">
            <v/>
          </cell>
          <cell r="V2275" t="str">
            <v/>
          </cell>
          <cell r="Z2275" t="str">
            <v/>
          </cell>
          <cell r="AA2275" t="str">
            <v/>
          </cell>
          <cell r="AB2275" t="str">
            <v/>
          </cell>
          <cell r="AC2275" t="str">
            <v/>
          </cell>
          <cell r="AD2275" t="str">
            <v/>
          </cell>
          <cell r="AY2275" t="str">
            <v/>
          </cell>
          <cell r="AZ2275" t="str">
            <v/>
          </cell>
          <cell r="BA2275" t="str">
            <v/>
          </cell>
        </row>
        <row r="2276">
          <cell r="B2276" t="str">
            <v>-</v>
          </cell>
          <cell r="E2276" t="str">
            <v/>
          </cell>
          <cell r="G2276" t="str">
            <v/>
          </cell>
          <cell r="J2276" t="str">
            <v/>
          </cell>
          <cell r="O2276" t="str">
            <v/>
          </cell>
          <cell r="P2276" t="str">
            <v/>
          </cell>
          <cell r="Q2276" t="str">
            <v/>
          </cell>
          <cell r="S2276" t="str">
            <v/>
          </cell>
          <cell r="V2276" t="str">
            <v/>
          </cell>
          <cell r="Z2276" t="str">
            <v/>
          </cell>
          <cell r="AA2276" t="str">
            <v/>
          </cell>
          <cell r="AB2276" t="str">
            <v/>
          </cell>
          <cell r="AC2276" t="str">
            <v/>
          </cell>
          <cell r="AD2276" t="str">
            <v/>
          </cell>
          <cell r="AY2276" t="str">
            <v/>
          </cell>
          <cell r="AZ2276" t="str">
            <v/>
          </cell>
          <cell r="BA2276" t="str">
            <v/>
          </cell>
        </row>
        <row r="2277">
          <cell r="B2277" t="str">
            <v>-</v>
          </cell>
          <cell r="E2277" t="str">
            <v/>
          </cell>
          <cell r="G2277" t="str">
            <v/>
          </cell>
          <cell r="J2277" t="str">
            <v/>
          </cell>
          <cell r="O2277" t="str">
            <v/>
          </cell>
          <cell r="P2277" t="str">
            <v/>
          </cell>
          <cell r="Q2277" t="str">
            <v/>
          </cell>
          <cell r="S2277" t="str">
            <v/>
          </cell>
          <cell r="V2277" t="str">
            <v/>
          </cell>
          <cell r="Z2277" t="str">
            <v/>
          </cell>
          <cell r="AA2277" t="str">
            <v/>
          </cell>
          <cell r="AB2277" t="str">
            <v/>
          </cell>
          <cell r="AC2277" t="str">
            <v/>
          </cell>
          <cell r="AD2277" t="str">
            <v/>
          </cell>
          <cell r="AY2277" t="str">
            <v/>
          </cell>
          <cell r="AZ2277" t="str">
            <v/>
          </cell>
          <cell r="BA2277" t="str">
            <v/>
          </cell>
        </row>
        <row r="2278">
          <cell r="B2278" t="str">
            <v>-</v>
          </cell>
          <cell r="E2278" t="str">
            <v/>
          </cell>
          <cell r="G2278" t="str">
            <v/>
          </cell>
          <cell r="J2278" t="str">
            <v/>
          </cell>
          <cell r="O2278" t="str">
            <v/>
          </cell>
          <cell r="P2278" t="str">
            <v/>
          </cell>
          <cell r="Q2278" t="str">
            <v/>
          </cell>
          <cell r="S2278" t="str">
            <v/>
          </cell>
          <cell r="V2278" t="str">
            <v/>
          </cell>
          <cell r="Z2278" t="str">
            <v/>
          </cell>
          <cell r="AA2278" t="str">
            <v/>
          </cell>
          <cell r="AB2278" t="str">
            <v/>
          </cell>
          <cell r="AC2278" t="str">
            <v/>
          </cell>
          <cell r="AD2278" t="str">
            <v/>
          </cell>
          <cell r="AY2278" t="str">
            <v/>
          </cell>
          <cell r="AZ2278" t="str">
            <v/>
          </cell>
          <cell r="BA2278" t="str">
            <v/>
          </cell>
        </row>
        <row r="2279">
          <cell r="B2279" t="str">
            <v>-</v>
          </cell>
          <cell r="E2279" t="str">
            <v/>
          </cell>
          <cell r="G2279" t="str">
            <v/>
          </cell>
          <cell r="J2279" t="str">
            <v/>
          </cell>
          <cell r="O2279" t="str">
            <v/>
          </cell>
          <cell r="P2279" t="str">
            <v/>
          </cell>
          <cell r="Q2279" t="str">
            <v/>
          </cell>
          <cell r="S2279" t="str">
            <v/>
          </cell>
          <cell r="V2279" t="str">
            <v/>
          </cell>
          <cell r="Z2279" t="str">
            <v/>
          </cell>
          <cell r="AA2279" t="str">
            <v/>
          </cell>
          <cell r="AB2279" t="str">
            <v/>
          </cell>
          <cell r="AC2279" t="str">
            <v/>
          </cell>
          <cell r="AD2279" t="str">
            <v/>
          </cell>
          <cell r="AY2279" t="str">
            <v/>
          </cell>
          <cell r="AZ2279" t="str">
            <v/>
          </cell>
          <cell r="BA2279" t="str">
            <v/>
          </cell>
        </row>
        <row r="2280">
          <cell r="B2280" t="str">
            <v>-</v>
          </cell>
          <cell r="E2280" t="str">
            <v/>
          </cell>
          <cell r="G2280" t="str">
            <v/>
          </cell>
          <cell r="J2280" t="str">
            <v/>
          </cell>
          <cell r="O2280" t="str">
            <v/>
          </cell>
          <cell r="P2280" t="str">
            <v/>
          </cell>
          <cell r="Q2280" t="str">
            <v/>
          </cell>
          <cell r="S2280" t="str">
            <v/>
          </cell>
          <cell r="V2280" t="str">
            <v/>
          </cell>
          <cell r="Z2280" t="str">
            <v/>
          </cell>
          <cell r="AA2280" t="str">
            <v/>
          </cell>
          <cell r="AB2280" t="str">
            <v/>
          </cell>
          <cell r="AC2280" t="str">
            <v/>
          </cell>
          <cell r="AD2280" t="str">
            <v/>
          </cell>
          <cell r="AY2280" t="str">
            <v/>
          </cell>
          <cell r="AZ2280" t="str">
            <v/>
          </cell>
          <cell r="BA2280" t="str">
            <v/>
          </cell>
        </row>
        <row r="2281">
          <cell r="B2281" t="str">
            <v>-</v>
          </cell>
          <cell r="E2281" t="str">
            <v/>
          </cell>
          <cell r="G2281" t="str">
            <v/>
          </cell>
          <cell r="J2281" t="str">
            <v/>
          </cell>
          <cell r="O2281" t="str">
            <v/>
          </cell>
          <cell r="P2281" t="str">
            <v/>
          </cell>
          <cell r="Q2281" t="str">
            <v/>
          </cell>
          <cell r="S2281" t="str">
            <v/>
          </cell>
          <cell r="V2281" t="str">
            <v/>
          </cell>
          <cell r="Z2281" t="str">
            <v/>
          </cell>
          <cell r="AA2281" t="str">
            <v/>
          </cell>
          <cell r="AB2281" t="str">
            <v/>
          </cell>
          <cell r="AC2281" t="str">
            <v/>
          </cell>
          <cell r="AD2281" t="str">
            <v/>
          </cell>
          <cell r="AY2281" t="str">
            <v/>
          </cell>
          <cell r="AZ2281" t="str">
            <v/>
          </cell>
          <cell r="BA2281" t="str">
            <v/>
          </cell>
        </row>
        <row r="2282">
          <cell r="B2282" t="str">
            <v>-</v>
          </cell>
          <cell r="E2282" t="str">
            <v/>
          </cell>
          <cell r="G2282" t="str">
            <v/>
          </cell>
          <cell r="J2282" t="str">
            <v/>
          </cell>
          <cell r="O2282" t="str">
            <v/>
          </cell>
          <cell r="P2282" t="str">
            <v/>
          </cell>
          <cell r="Q2282" t="str">
            <v/>
          </cell>
          <cell r="S2282" t="str">
            <v/>
          </cell>
          <cell r="V2282" t="str">
            <v/>
          </cell>
          <cell r="Z2282" t="str">
            <v/>
          </cell>
          <cell r="AA2282" t="str">
            <v/>
          </cell>
          <cell r="AB2282" t="str">
            <v/>
          </cell>
          <cell r="AC2282" t="str">
            <v/>
          </cell>
          <cell r="AD2282" t="str">
            <v/>
          </cell>
          <cell r="AY2282" t="str">
            <v/>
          </cell>
          <cell r="AZ2282" t="str">
            <v/>
          </cell>
          <cell r="BA2282" t="str">
            <v/>
          </cell>
        </row>
        <row r="2283">
          <cell r="B2283" t="str">
            <v>-</v>
          </cell>
          <cell r="E2283" t="str">
            <v/>
          </cell>
          <cell r="G2283" t="str">
            <v/>
          </cell>
          <cell r="J2283" t="str">
            <v/>
          </cell>
          <cell r="O2283" t="str">
            <v/>
          </cell>
          <cell r="P2283" t="str">
            <v/>
          </cell>
          <cell r="Q2283" t="str">
            <v/>
          </cell>
          <cell r="S2283" t="str">
            <v/>
          </cell>
          <cell r="V2283" t="str">
            <v/>
          </cell>
          <cell r="Z2283" t="str">
            <v/>
          </cell>
          <cell r="AA2283" t="str">
            <v/>
          </cell>
          <cell r="AB2283" t="str">
            <v/>
          </cell>
          <cell r="AC2283" t="str">
            <v/>
          </cell>
          <cell r="AD2283" t="str">
            <v/>
          </cell>
          <cell r="AY2283" t="str">
            <v/>
          </cell>
          <cell r="AZ2283" t="str">
            <v/>
          </cell>
          <cell r="BA2283" t="str">
            <v/>
          </cell>
        </row>
        <row r="2284">
          <cell r="B2284" t="str">
            <v>-</v>
          </cell>
          <cell r="E2284" t="str">
            <v/>
          </cell>
          <cell r="G2284" t="str">
            <v/>
          </cell>
          <cell r="J2284" t="str">
            <v/>
          </cell>
          <cell r="O2284" t="str">
            <v/>
          </cell>
          <cell r="P2284" t="str">
            <v/>
          </cell>
          <cell r="Q2284" t="str">
            <v/>
          </cell>
          <cell r="S2284" t="str">
            <v/>
          </cell>
          <cell r="V2284" t="str">
            <v/>
          </cell>
          <cell r="Z2284" t="str">
            <v/>
          </cell>
          <cell r="AA2284" t="str">
            <v/>
          </cell>
          <cell r="AB2284" t="str">
            <v/>
          </cell>
          <cell r="AC2284" t="str">
            <v/>
          </cell>
          <cell r="AD2284" t="str">
            <v/>
          </cell>
          <cell r="AY2284" t="str">
            <v/>
          </cell>
          <cell r="AZ2284" t="str">
            <v/>
          </cell>
          <cell r="BA2284" t="str">
            <v/>
          </cell>
        </row>
        <row r="2285">
          <cell r="B2285" t="str">
            <v>-</v>
          </cell>
          <cell r="E2285" t="str">
            <v/>
          </cell>
          <cell r="G2285" t="str">
            <v/>
          </cell>
          <cell r="J2285" t="str">
            <v/>
          </cell>
          <cell r="O2285" t="str">
            <v/>
          </cell>
          <cell r="P2285" t="str">
            <v/>
          </cell>
          <cell r="Q2285" t="str">
            <v/>
          </cell>
          <cell r="S2285" t="str">
            <v/>
          </cell>
          <cell r="V2285" t="str">
            <v/>
          </cell>
          <cell r="Z2285" t="str">
            <v/>
          </cell>
          <cell r="AA2285" t="str">
            <v/>
          </cell>
          <cell r="AB2285" t="str">
            <v/>
          </cell>
          <cell r="AC2285" t="str">
            <v/>
          </cell>
          <cell r="AD2285" t="str">
            <v/>
          </cell>
          <cell r="AY2285" t="str">
            <v/>
          </cell>
          <cell r="AZ2285" t="str">
            <v/>
          </cell>
          <cell r="BA2285" t="str">
            <v/>
          </cell>
        </row>
        <row r="2286">
          <cell r="B2286" t="str">
            <v>-</v>
          </cell>
          <cell r="E2286" t="str">
            <v/>
          </cell>
          <cell r="G2286" t="str">
            <v/>
          </cell>
          <cell r="J2286" t="str">
            <v/>
          </cell>
          <cell r="O2286" t="str">
            <v/>
          </cell>
          <cell r="P2286" t="str">
            <v/>
          </cell>
          <cell r="Q2286" t="str">
            <v/>
          </cell>
          <cell r="S2286" t="str">
            <v/>
          </cell>
          <cell r="V2286" t="str">
            <v/>
          </cell>
          <cell r="Z2286" t="str">
            <v/>
          </cell>
          <cell r="AA2286" t="str">
            <v/>
          </cell>
          <cell r="AB2286" t="str">
            <v/>
          </cell>
          <cell r="AC2286" t="str">
            <v/>
          </cell>
          <cell r="AD2286" t="str">
            <v/>
          </cell>
          <cell r="AY2286" t="str">
            <v/>
          </cell>
          <cell r="AZ2286" t="str">
            <v/>
          </cell>
          <cell r="BA2286" t="str">
            <v/>
          </cell>
        </row>
        <row r="2287">
          <cell r="B2287" t="str">
            <v>-</v>
          </cell>
          <cell r="E2287" t="str">
            <v/>
          </cell>
          <cell r="G2287" t="str">
            <v/>
          </cell>
          <cell r="J2287" t="str">
            <v/>
          </cell>
          <cell r="O2287" t="str">
            <v/>
          </cell>
          <cell r="P2287" t="str">
            <v/>
          </cell>
          <cell r="Q2287" t="str">
            <v/>
          </cell>
          <cell r="S2287" t="str">
            <v/>
          </cell>
          <cell r="V2287" t="str">
            <v/>
          </cell>
          <cell r="Z2287" t="str">
            <v/>
          </cell>
          <cell r="AA2287" t="str">
            <v/>
          </cell>
          <cell r="AB2287" t="str">
            <v/>
          </cell>
          <cell r="AC2287" t="str">
            <v/>
          </cell>
          <cell r="AD2287" t="str">
            <v/>
          </cell>
          <cell r="AY2287" t="str">
            <v/>
          </cell>
          <cell r="AZ2287" t="str">
            <v/>
          </cell>
          <cell r="BA2287" t="str">
            <v/>
          </cell>
        </row>
        <row r="2288">
          <cell r="B2288" t="str">
            <v>-</v>
          </cell>
          <cell r="E2288" t="str">
            <v/>
          </cell>
          <cell r="G2288" t="str">
            <v/>
          </cell>
          <cell r="J2288" t="str">
            <v/>
          </cell>
          <cell r="O2288" t="str">
            <v/>
          </cell>
          <cell r="P2288" t="str">
            <v/>
          </cell>
          <cell r="Q2288" t="str">
            <v/>
          </cell>
          <cell r="S2288" t="str">
            <v/>
          </cell>
          <cell r="V2288" t="str">
            <v/>
          </cell>
          <cell r="Z2288" t="str">
            <v/>
          </cell>
          <cell r="AA2288" t="str">
            <v/>
          </cell>
          <cell r="AB2288" t="str">
            <v/>
          </cell>
          <cell r="AC2288" t="str">
            <v/>
          </cell>
          <cell r="AD2288" t="str">
            <v/>
          </cell>
          <cell r="AY2288" t="str">
            <v/>
          </cell>
          <cell r="AZ2288" t="str">
            <v/>
          </cell>
          <cell r="BA2288" t="str">
            <v/>
          </cell>
        </row>
        <row r="2289">
          <cell r="B2289" t="str">
            <v>-</v>
          </cell>
          <cell r="E2289" t="str">
            <v/>
          </cell>
          <cell r="G2289" t="str">
            <v/>
          </cell>
          <cell r="J2289" t="str">
            <v/>
          </cell>
          <cell r="O2289" t="str">
            <v/>
          </cell>
          <cell r="P2289" t="str">
            <v/>
          </cell>
          <cell r="Q2289" t="str">
            <v/>
          </cell>
          <cell r="S2289" t="str">
            <v/>
          </cell>
          <cell r="V2289" t="str">
            <v/>
          </cell>
          <cell r="Z2289" t="str">
            <v/>
          </cell>
          <cell r="AA2289" t="str">
            <v/>
          </cell>
          <cell r="AB2289" t="str">
            <v/>
          </cell>
          <cell r="AC2289" t="str">
            <v/>
          </cell>
          <cell r="AD2289" t="str">
            <v/>
          </cell>
          <cell r="AY2289" t="str">
            <v/>
          </cell>
          <cell r="AZ2289" t="str">
            <v/>
          </cell>
          <cell r="BA2289" t="str">
            <v/>
          </cell>
        </row>
        <row r="2290">
          <cell r="B2290" t="str">
            <v>-</v>
          </cell>
          <cell r="E2290" t="str">
            <v/>
          </cell>
          <cell r="G2290" t="str">
            <v/>
          </cell>
          <cell r="J2290" t="str">
            <v/>
          </cell>
          <cell r="O2290" t="str">
            <v/>
          </cell>
          <cell r="P2290" t="str">
            <v/>
          </cell>
          <cell r="Q2290" t="str">
            <v/>
          </cell>
          <cell r="S2290" t="str">
            <v/>
          </cell>
          <cell r="V2290" t="str">
            <v/>
          </cell>
          <cell r="Z2290" t="str">
            <v/>
          </cell>
          <cell r="AA2290" t="str">
            <v/>
          </cell>
          <cell r="AB2290" t="str">
            <v/>
          </cell>
          <cell r="AC2290" t="str">
            <v/>
          </cell>
          <cell r="AD2290" t="str">
            <v/>
          </cell>
          <cell r="AY2290" t="str">
            <v/>
          </cell>
          <cell r="AZ2290" t="str">
            <v/>
          </cell>
          <cell r="BA2290" t="str">
            <v/>
          </cell>
        </row>
        <row r="2291">
          <cell r="B2291" t="str">
            <v>-</v>
          </cell>
          <cell r="E2291" t="str">
            <v/>
          </cell>
          <cell r="G2291" t="str">
            <v/>
          </cell>
          <cell r="J2291" t="str">
            <v/>
          </cell>
          <cell r="O2291" t="str">
            <v/>
          </cell>
          <cell r="P2291" t="str">
            <v/>
          </cell>
          <cell r="Q2291" t="str">
            <v/>
          </cell>
          <cell r="S2291" t="str">
            <v/>
          </cell>
          <cell r="V2291" t="str">
            <v/>
          </cell>
          <cell r="Z2291" t="str">
            <v/>
          </cell>
          <cell r="AA2291" t="str">
            <v/>
          </cell>
          <cell r="AB2291" t="str">
            <v/>
          </cell>
          <cell r="AC2291" t="str">
            <v/>
          </cell>
          <cell r="AD2291" t="str">
            <v/>
          </cell>
          <cell r="AY2291" t="str">
            <v/>
          </cell>
          <cell r="AZ2291" t="str">
            <v/>
          </cell>
          <cell r="BA2291" t="str">
            <v/>
          </cell>
        </row>
        <row r="2292">
          <cell r="B2292" t="str">
            <v>-</v>
          </cell>
          <cell r="E2292" t="str">
            <v/>
          </cell>
          <cell r="G2292" t="str">
            <v/>
          </cell>
          <cell r="J2292" t="str">
            <v/>
          </cell>
          <cell r="O2292" t="str">
            <v/>
          </cell>
          <cell r="P2292" t="str">
            <v/>
          </cell>
          <cell r="Q2292" t="str">
            <v/>
          </cell>
          <cell r="S2292" t="str">
            <v/>
          </cell>
          <cell r="V2292" t="str">
            <v/>
          </cell>
          <cell r="Z2292" t="str">
            <v/>
          </cell>
          <cell r="AA2292" t="str">
            <v/>
          </cell>
          <cell r="AB2292" t="str">
            <v/>
          </cell>
          <cell r="AC2292" t="str">
            <v/>
          </cell>
          <cell r="AD2292" t="str">
            <v/>
          </cell>
          <cell r="AY2292" t="str">
            <v/>
          </cell>
          <cell r="AZ2292" t="str">
            <v/>
          </cell>
          <cell r="BA2292" t="str">
            <v/>
          </cell>
        </row>
        <row r="2293">
          <cell r="B2293" t="str">
            <v>-</v>
          </cell>
          <cell r="E2293" t="str">
            <v/>
          </cell>
          <cell r="G2293" t="str">
            <v/>
          </cell>
          <cell r="J2293" t="str">
            <v/>
          </cell>
          <cell r="O2293" t="str">
            <v/>
          </cell>
          <cell r="P2293" t="str">
            <v/>
          </cell>
          <cell r="Q2293" t="str">
            <v/>
          </cell>
          <cell r="S2293" t="str">
            <v/>
          </cell>
          <cell r="V2293" t="str">
            <v/>
          </cell>
          <cell r="Z2293" t="str">
            <v/>
          </cell>
          <cell r="AA2293" t="str">
            <v/>
          </cell>
          <cell r="AB2293" t="str">
            <v/>
          </cell>
          <cell r="AC2293" t="str">
            <v/>
          </cell>
          <cell r="AD2293" t="str">
            <v/>
          </cell>
          <cell r="AY2293" t="str">
            <v/>
          </cell>
          <cell r="AZ2293" t="str">
            <v/>
          </cell>
          <cell r="BA2293" t="str">
            <v/>
          </cell>
        </row>
        <row r="2294">
          <cell r="B2294" t="str">
            <v>-</v>
          </cell>
          <cell r="E2294" t="str">
            <v/>
          </cell>
          <cell r="G2294" t="str">
            <v/>
          </cell>
          <cell r="J2294" t="str">
            <v/>
          </cell>
          <cell r="O2294" t="str">
            <v/>
          </cell>
          <cell r="P2294" t="str">
            <v/>
          </cell>
          <cell r="Q2294" t="str">
            <v/>
          </cell>
          <cell r="S2294" t="str">
            <v/>
          </cell>
          <cell r="V2294" t="str">
            <v/>
          </cell>
          <cell r="Z2294" t="str">
            <v/>
          </cell>
          <cell r="AA2294" t="str">
            <v/>
          </cell>
          <cell r="AB2294" t="str">
            <v/>
          </cell>
          <cell r="AC2294" t="str">
            <v/>
          </cell>
          <cell r="AD2294" t="str">
            <v/>
          </cell>
          <cell r="AY2294" t="str">
            <v/>
          </cell>
          <cell r="AZ2294" t="str">
            <v/>
          </cell>
          <cell r="BA2294" t="str">
            <v/>
          </cell>
        </row>
        <row r="2295">
          <cell r="B2295" t="str">
            <v>-</v>
          </cell>
          <cell r="E2295" t="str">
            <v/>
          </cell>
          <cell r="G2295" t="str">
            <v/>
          </cell>
          <cell r="J2295" t="str">
            <v/>
          </cell>
          <cell r="O2295" t="str">
            <v/>
          </cell>
          <cell r="P2295" t="str">
            <v/>
          </cell>
          <cell r="Q2295" t="str">
            <v/>
          </cell>
          <cell r="S2295" t="str">
            <v/>
          </cell>
          <cell r="V2295" t="str">
            <v/>
          </cell>
          <cell r="Z2295" t="str">
            <v/>
          </cell>
          <cell r="AA2295" t="str">
            <v/>
          </cell>
          <cell r="AB2295" t="str">
            <v/>
          </cell>
          <cell r="AC2295" t="str">
            <v/>
          </cell>
          <cell r="AD2295" t="str">
            <v/>
          </cell>
          <cell r="AY2295" t="str">
            <v/>
          </cell>
          <cell r="AZ2295" t="str">
            <v/>
          </cell>
          <cell r="BA2295" t="str">
            <v/>
          </cell>
        </row>
        <row r="2296">
          <cell r="B2296" t="str">
            <v>-</v>
          </cell>
          <cell r="E2296" t="str">
            <v/>
          </cell>
          <cell r="G2296" t="str">
            <v/>
          </cell>
          <cell r="J2296" t="str">
            <v/>
          </cell>
          <cell r="O2296" t="str">
            <v/>
          </cell>
          <cell r="P2296" t="str">
            <v/>
          </cell>
          <cell r="Q2296" t="str">
            <v/>
          </cell>
          <cell r="S2296" t="str">
            <v/>
          </cell>
          <cell r="V2296" t="str">
            <v/>
          </cell>
          <cell r="Z2296" t="str">
            <v/>
          </cell>
          <cell r="AA2296" t="str">
            <v/>
          </cell>
          <cell r="AB2296" t="str">
            <v/>
          </cell>
          <cell r="AC2296" t="str">
            <v/>
          </cell>
          <cell r="AD2296" t="str">
            <v/>
          </cell>
          <cell r="AY2296" t="str">
            <v/>
          </cell>
          <cell r="AZ2296" t="str">
            <v/>
          </cell>
          <cell r="BA2296" t="str">
            <v/>
          </cell>
        </row>
        <row r="2297">
          <cell r="B2297" t="str">
            <v>-</v>
          </cell>
          <cell r="E2297" t="str">
            <v/>
          </cell>
          <cell r="G2297" t="str">
            <v/>
          </cell>
          <cell r="J2297" t="str">
            <v/>
          </cell>
          <cell r="O2297" t="str">
            <v/>
          </cell>
          <cell r="P2297" t="str">
            <v/>
          </cell>
          <cell r="Q2297" t="str">
            <v/>
          </cell>
          <cell r="S2297" t="str">
            <v/>
          </cell>
          <cell r="V2297" t="str">
            <v/>
          </cell>
          <cell r="Z2297" t="str">
            <v/>
          </cell>
          <cell r="AA2297" t="str">
            <v/>
          </cell>
          <cell r="AB2297" t="str">
            <v/>
          </cell>
          <cell r="AC2297" t="str">
            <v/>
          </cell>
          <cell r="AD2297" t="str">
            <v/>
          </cell>
          <cell r="AY2297" t="str">
            <v/>
          </cell>
          <cell r="AZ2297" t="str">
            <v/>
          </cell>
          <cell r="BA2297" t="str">
            <v/>
          </cell>
        </row>
        <row r="2298">
          <cell r="B2298" t="str">
            <v>-</v>
          </cell>
          <cell r="E2298" t="str">
            <v/>
          </cell>
          <cell r="G2298" t="str">
            <v/>
          </cell>
          <cell r="J2298" t="str">
            <v/>
          </cell>
          <cell r="O2298" t="str">
            <v/>
          </cell>
          <cell r="P2298" t="str">
            <v/>
          </cell>
          <cell r="Q2298" t="str">
            <v/>
          </cell>
          <cell r="S2298" t="str">
            <v/>
          </cell>
          <cell r="V2298" t="str">
            <v/>
          </cell>
          <cell r="Z2298" t="str">
            <v/>
          </cell>
          <cell r="AA2298" t="str">
            <v/>
          </cell>
          <cell r="AB2298" t="str">
            <v/>
          </cell>
          <cell r="AC2298" t="str">
            <v/>
          </cell>
          <cell r="AD2298" t="str">
            <v/>
          </cell>
          <cell r="AY2298" t="str">
            <v/>
          </cell>
          <cell r="AZ2298" t="str">
            <v/>
          </cell>
          <cell r="BA2298" t="str">
            <v/>
          </cell>
        </row>
        <row r="2299">
          <cell r="B2299" t="str">
            <v>-</v>
          </cell>
          <cell r="E2299" t="str">
            <v/>
          </cell>
          <cell r="G2299" t="str">
            <v/>
          </cell>
          <cell r="J2299" t="str">
            <v/>
          </cell>
          <cell r="O2299" t="str">
            <v/>
          </cell>
          <cell r="P2299" t="str">
            <v/>
          </cell>
          <cell r="Q2299" t="str">
            <v/>
          </cell>
          <cell r="S2299" t="str">
            <v/>
          </cell>
          <cell r="V2299" t="str">
            <v/>
          </cell>
          <cell r="Z2299" t="str">
            <v/>
          </cell>
          <cell r="AA2299" t="str">
            <v/>
          </cell>
          <cell r="AB2299" t="str">
            <v/>
          </cell>
          <cell r="AC2299" t="str">
            <v/>
          </cell>
          <cell r="AD2299" t="str">
            <v/>
          </cell>
          <cell r="AY2299" t="str">
            <v/>
          </cell>
          <cell r="AZ2299" t="str">
            <v/>
          </cell>
          <cell r="BA2299" t="str">
            <v/>
          </cell>
        </row>
        <row r="2300">
          <cell r="B2300" t="str">
            <v>-</v>
          </cell>
          <cell r="E2300" t="str">
            <v/>
          </cell>
          <cell r="G2300" t="str">
            <v/>
          </cell>
          <cell r="J2300" t="str">
            <v/>
          </cell>
          <cell r="O2300" t="str">
            <v/>
          </cell>
          <cell r="P2300" t="str">
            <v/>
          </cell>
          <cell r="Q2300" t="str">
            <v/>
          </cell>
          <cell r="S2300" t="str">
            <v/>
          </cell>
          <cell r="V2300" t="str">
            <v/>
          </cell>
          <cell r="Z2300" t="str">
            <v/>
          </cell>
          <cell r="AA2300" t="str">
            <v/>
          </cell>
          <cell r="AB2300" t="str">
            <v/>
          </cell>
          <cell r="AC2300" t="str">
            <v/>
          </cell>
          <cell r="AD2300" t="str">
            <v/>
          </cell>
          <cell r="AY2300" t="str">
            <v/>
          </cell>
          <cell r="AZ2300" t="str">
            <v/>
          </cell>
          <cell r="BA2300" t="str">
            <v/>
          </cell>
        </row>
        <row r="2301">
          <cell r="B2301" t="str">
            <v>-</v>
          </cell>
          <cell r="E2301" t="str">
            <v/>
          </cell>
          <cell r="G2301" t="str">
            <v/>
          </cell>
          <cell r="J2301" t="str">
            <v/>
          </cell>
          <cell r="O2301" t="str">
            <v/>
          </cell>
          <cell r="P2301" t="str">
            <v/>
          </cell>
          <cell r="Q2301" t="str">
            <v/>
          </cell>
          <cell r="S2301" t="str">
            <v/>
          </cell>
          <cell r="V2301" t="str">
            <v/>
          </cell>
          <cell r="Z2301" t="str">
            <v/>
          </cell>
          <cell r="AA2301" t="str">
            <v/>
          </cell>
          <cell r="AB2301" t="str">
            <v/>
          </cell>
          <cell r="AC2301" t="str">
            <v/>
          </cell>
          <cell r="AD2301" t="str">
            <v/>
          </cell>
          <cell r="AY2301" t="str">
            <v/>
          </cell>
          <cell r="AZ2301" t="str">
            <v/>
          </cell>
          <cell r="BA2301" t="str">
            <v/>
          </cell>
        </row>
        <row r="2302">
          <cell r="B2302" t="str">
            <v>-</v>
          </cell>
          <cell r="E2302" t="str">
            <v/>
          </cell>
          <cell r="G2302" t="str">
            <v/>
          </cell>
          <cell r="J2302" t="str">
            <v/>
          </cell>
          <cell r="O2302" t="str">
            <v/>
          </cell>
          <cell r="P2302" t="str">
            <v/>
          </cell>
          <cell r="Q2302" t="str">
            <v/>
          </cell>
          <cell r="S2302" t="str">
            <v/>
          </cell>
          <cell r="V2302" t="str">
            <v/>
          </cell>
          <cell r="Z2302" t="str">
            <v/>
          </cell>
          <cell r="AA2302" t="str">
            <v/>
          </cell>
          <cell r="AB2302" t="str">
            <v/>
          </cell>
          <cell r="AC2302" t="str">
            <v/>
          </cell>
          <cell r="AD2302" t="str">
            <v/>
          </cell>
          <cell r="AY2302" t="str">
            <v/>
          </cell>
          <cell r="AZ2302" t="str">
            <v/>
          </cell>
          <cell r="BA2302" t="str">
            <v/>
          </cell>
        </row>
        <row r="2303">
          <cell r="B2303" t="str">
            <v>-</v>
          </cell>
          <cell r="E2303" t="str">
            <v/>
          </cell>
          <cell r="G2303" t="str">
            <v/>
          </cell>
          <cell r="J2303" t="str">
            <v/>
          </cell>
          <cell r="O2303" t="str">
            <v/>
          </cell>
          <cell r="P2303" t="str">
            <v/>
          </cell>
          <cell r="Q2303" t="str">
            <v/>
          </cell>
          <cell r="S2303" t="str">
            <v/>
          </cell>
          <cell r="V2303" t="str">
            <v/>
          </cell>
          <cell r="Z2303" t="str">
            <v/>
          </cell>
          <cell r="AA2303" t="str">
            <v/>
          </cell>
          <cell r="AB2303" t="str">
            <v/>
          </cell>
          <cell r="AC2303" t="str">
            <v/>
          </cell>
          <cell r="AD2303" t="str">
            <v/>
          </cell>
          <cell r="AY2303" t="str">
            <v/>
          </cell>
          <cell r="AZ2303" t="str">
            <v/>
          </cell>
          <cell r="BA2303" t="str">
            <v/>
          </cell>
        </row>
        <row r="2304">
          <cell r="B2304" t="str">
            <v>-</v>
          </cell>
          <cell r="E2304" t="str">
            <v/>
          </cell>
          <cell r="G2304" t="str">
            <v/>
          </cell>
          <cell r="J2304" t="str">
            <v/>
          </cell>
          <cell r="O2304" t="str">
            <v/>
          </cell>
          <cell r="P2304" t="str">
            <v/>
          </cell>
          <cell r="Q2304" t="str">
            <v/>
          </cell>
          <cell r="S2304" t="str">
            <v/>
          </cell>
          <cell r="V2304" t="str">
            <v/>
          </cell>
          <cell r="Z2304" t="str">
            <v/>
          </cell>
          <cell r="AA2304" t="str">
            <v/>
          </cell>
          <cell r="AB2304" t="str">
            <v/>
          </cell>
          <cell r="AC2304" t="str">
            <v/>
          </cell>
          <cell r="AD2304" t="str">
            <v/>
          </cell>
          <cell r="AY2304" t="str">
            <v/>
          </cell>
          <cell r="AZ2304" t="str">
            <v/>
          </cell>
          <cell r="BA2304" t="str">
            <v/>
          </cell>
        </row>
        <row r="2305">
          <cell r="B2305" t="str">
            <v>-</v>
          </cell>
          <cell r="E2305" t="str">
            <v/>
          </cell>
          <cell r="G2305" t="str">
            <v/>
          </cell>
          <cell r="J2305" t="str">
            <v/>
          </cell>
          <cell r="O2305" t="str">
            <v/>
          </cell>
          <cell r="P2305" t="str">
            <v/>
          </cell>
          <cell r="Q2305" t="str">
            <v/>
          </cell>
          <cell r="S2305" t="str">
            <v/>
          </cell>
          <cell r="V2305" t="str">
            <v/>
          </cell>
          <cell r="Z2305" t="str">
            <v/>
          </cell>
          <cell r="AA2305" t="str">
            <v/>
          </cell>
          <cell r="AB2305" t="str">
            <v/>
          </cell>
          <cell r="AC2305" t="str">
            <v/>
          </cell>
          <cell r="AD2305" t="str">
            <v/>
          </cell>
          <cell r="AY2305" t="str">
            <v/>
          </cell>
          <cell r="AZ2305" t="str">
            <v/>
          </cell>
          <cell r="BA2305" t="str">
            <v/>
          </cell>
        </row>
        <row r="2306">
          <cell r="B2306" t="str">
            <v>-</v>
          </cell>
          <cell r="E2306" t="str">
            <v/>
          </cell>
          <cell r="G2306" t="str">
            <v/>
          </cell>
          <cell r="J2306" t="str">
            <v/>
          </cell>
          <cell r="O2306" t="str">
            <v/>
          </cell>
          <cell r="P2306" t="str">
            <v/>
          </cell>
          <cell r="Q2306" t="str">
            <v/>
          </cell>
          <cell r="S2306" t="str">
            <v/>
          </cell>
          <cell r="V2306" t="str">
            <v/>
          </cell>
          <cell r="Z2306" t="str">
            <v/>
          </cell>
          <cell r="AA2306" t="str">
            <v/>
          </cell>
          <cell r="AB2306" t="str">
            <v/>
          </cell>
          <cell r="AC2306" t="str">
            <v/>
          </cell>
          <cell r="AD2306" t="str">
            <v/>
          </cell>
          <cell r="AY2306" t="str">
            <v/>
          </cell>
          <cell r="AZ2306" t="str">
            <v/>
          </cell>
          <cell r="BA2306" t="str">
            <v/>
          </cell>
        </row>
        <row r="2307">
          <cell r="B2307" t="str">
            <v>-</v>
          </cell>
          <cell r="E2307" t="str">
            <v/>
          </cell>
          <cell r="G2307" t="str">
            <v/>
          </cell>
          <cell r="J2307" t="str">
            <v/>
          </cell>
          <cell r="O2307" t="str">
            <v/>
          </cell>
          <cell r="P2307" t="str">
            <v/>
          </cell>
          <cell r="Q2307" t="str">
            <v/>
          </cell>
          <cell r="S2307" t="str">
            <v/>
          </cell>
          <cell r="V2307" t="str">
            <v/>
          </cell>
          <cell r="Z2307" t="str">
            <v/>
          </cell>
          <cell r="AA2307" t="str">
            <v/>
          </cell>
          <cell r="AB2307" t="str">
            <v/>
          </cell>
          <cell r="AC2307" t="str">
            <v/>
          </cell>
          <cell r="AD2307" t="str">
            <v/>
          </cell>
          <cell r="AY2307" t="str">
            <v/>
          </cell>
          <cell r="AZ2307" t="str">
            <v/>
          </cell>
          <cell r="BA2307" t="str">
            <v/>
          </cell>
        </row>
        <row r="2308">
          <cell r="B2308" t="str">
            <v>-</v>
          </cell>
          <cell r="E2308" t="str">
            <v/>
          </cell>
          <cell r="G2308" t="str">
            <v/>
          </cell>
          <cell r="J2308" t="str">
            <v/>
          </cell>
          <cell r="O2308" t="str">
            <v/>
          </cell>
          <cell r="P2308" t="str">
            <v/>
          </cell>
          <cell r="Q2308" t="str">
            <v/>
          </cell>
          <cell r="S2308" t="str">
            <v/>
          </cell>
          <cell r="V2308" t="str">
            <v/>
          </cell>
          <cell r="Z2308" t="str">
            <v/>
          </cell>
          <cell r="AA2308" t="str">
            <v/>
          </cell>
          <cell r="AB2308" t="str">
            <v/>
          </cell>
          <cell r="AC2308" t="str">
            <v/>
          </cell>
          <cell r="AD2308" t="str">
            <v/>
          </cell>
          <cell r="AY2308" t="str">
            <v/>
          </cell>
          <cell r="AZ2308" t="str">
            <v/>
          </cell>
          <cell r="BA2308" t="str">
            <v/>
          </cell>
        </row>
        <row r="2309">
          <cell r="B2309" t="str">
            <v>-</v>
          </cell>
          <cell r="E2309" t="str">
            <v/>
          </cell>
          <cell r="G2309" t="str">
            <v/>
          </cell>
          <cell r="J2309" t="str">
            <v/>
          </cell>
          <cell r="O2309" t="str">
            <v/>
          </cell>
          <cell r="P2309" t="str">
            <v/>
          </cell>
          <cell r="Q2309" t="str">
            <v/>
          </cell>
          <cell r="S2309" t="str">
            <v/>
          </cell>
          <cell r="V2309" t="str">
            <v/>
          </cell>
          <cell r="Z2309" t="str">
            <v/>
          </cell>
          <cell r="AA2309" t="str">
            <v/>
          </cell>
          <cell r="AB2309" t="str">
            <v/>
          </cell>
          <cell r="AC2309" t="str">
            <v/>
          </cell>
          <cell r="AD2309" t="str">
            <v/>
          </cell>
          <cell r="AY2309" t="str">
            <v/>
          </cell>
          <cell r="AZ2309" t="str">
            <v/>
          </cell>
          <cell r="BA2309" t="str">
            <v/>
          </cell>
        </row>
        <row r="2310">
          <cell r="B2310" t="str">
            <v>-</v>
          </cell>
          <cell r="E2310" t="str">
            <v/>
          </cell>
          <cell r="G2310" t="str">
            <v/>
          </cell>
          <cell r="J2310" t="str">
            <v/>
          </cell>
          <cell r="O2310" t="str">
            <v/>
          </cell>
          <cell r="P2310" t="str">
            <v/>
          </cell>
          <cell r="Q2310" t="str">
            <v/>
          </cell>
          <cell r="S2310" t="str">
            <v/>
          </cell>
          <cell r="V2310" t="str">
            <v/>
          </cell>
          <cell r="Z2310" t="str">
            <v/>
          </cell>
          <cell r="AA2310" t="str">
            <v/>
          </cell>
          <cell r="AB2310" t="str">
            <v/>
          </cell>
          <cell r="AC2310" t="str">
            <v/>
          </cell>
          <cell r="AD2310" t="str">
            <v/>
          </cell>
          <cell r="AY2310" t="str">
            <v/>
          </cell>
          <cell r="AZ2310" t="str">
            <v/>
          </cell>
          <cell r="BA2310" t="str">
            <v/>
          </cell>
        </row>
        <row r="2311">
          <cell r="B2311" t="str">
            <v>-</v>
          </cell>
          <cell r="E2311" t="str">
            <v/>
          </cell>
          <cell r="G2311" t="str">
            <v/>
          </cell>
          <cell r="J2311" t="str">
            <v/>
          </cell>
          <cell r="O2311" t="str">
            <v/>
          </cell>
          <cell r="P2311" t="str">
            <v/>
          </cell>
          <cell r="Q2311" t="str">
            <v/>
          </cell>
          <cell r="S2311" t="str">
            <v/>
          </cell>
          <cell r="V2311" t="str">
            <v/>
          </cell>
          <cell r="Z2311" t="str">
            <v/>
          </cell>
          <cell r="AA2311" t="str">
            <v/>
          </cell>
          <cell r="AB2311" t="str">
            <v/>
          </cell>
          <cell r="AC2311" t="str">
            <v/>
          </cell>
          <cell r="AD2311" t="str">
            <v/>
          </cell>
          <cell r="AY2311" t="str">
            <v/>
          </cell>
          <cell r="AZ2311" t="str">
            <v/>
          </cell>
          <cell r="BA2311" t="str">
            <v/>
          </cell>
        </row>
        <row r="2312">
          <cell r="B2312" t="str">
            <v>-</v>
          </cell>
          <cell r="E2312" t="str">
            <v/>
          </cell>
          <cell r="G2312" t="str">
            <v/>
          </cell>
          <cell r="J2312" t="str">
            <v/>
          </cell>
          <cell r="O2312" t="str">
            <v/>
          </cell>
          <cell r="P2312" t="str">
            <v/>
          </cell>
          <cell r="Q2312" t="str">
            <v/>
          </cell>
          <cell r="S2312" t="str">
            <v/>
          </cell>
          <cell r="V2312" t="str">
            <v/>
          </cell>
          <cell r="Z2312" t="str">
            <v/>
          </cell>
          <cell r="AA2312" t="str">
            <v/>
          </cell>
          <cell r="AB2312" t="str">
            <v/>
          </cell>
          <cell r="AC2312" t="str">
            <v/>
          </cell>
          <cell r="AD2312" t="str">
            <v/>
          </cell>
          <cell r="AY2312" t="str">
            <v/>
          </cell>
          <cell r="AZ2312" t="str">
            <v/>
          </cell>
          <cell r="BA2312" t="str">
            <v/>
          </cell>
        </row>
        <row r="2313">
          <cell r="B2313" t="str">
            <v>-</v>
          </cell>
          <cell r="E2313" t="str">
            <v/>
          </cell>
          <cell r="G2313" t="str">
            <v/>
          </cell>
          <cell r="J2313" t="str">
            <v/>
          </cell>
          <cell r="O2313" t="str">
            <v/>
          </cell>
          <cell r="P2313" t="str">
            <v/>
          </cell>
          <cell r="Q2313" t="str">
            <v/>
          </cell>
          <cell r="S2313" t="str">
            <v/>
          </cell>
          <cell r="V2313" t="str">
            <v/>
          </cell>
          <cell r="Z2313" t="str">
            <v/>
          </cell>
          <cell r="AA2313" t="str">
            <v/>
          </cell>
          <cell r="AB2313" t="str">
            <v/>
          </cell>
          <cell r="AC2313" t="str">
            <v/>
          </cell>
          <cell r="AD2313" t="str">
            <v/>
          </cell>
          <cell r="AY2313" t="str">
            <v/>
          </cell>
          <cell r="AZ2313" t="str">
            <v/>
          </cell>
          <cell r="BA2313" t="str">
            <v/>
          </cell>
        </row>
        <row r="2314">
          <cell r="B2314" t="str">
            <v>-</v>
          </cell>
          <cell r="E2314" t="str">
            <v/>
          </cell>
          <cell r="G2314" t="str">
            <v/>
          </cell>
          <cell r="J2314" t="str">
            <v/>
          </cell>
          <cell r="O2314" t="str">
            <v/>
          </cell>
          <cell r="P2314" t="str">
            <v/>
          </cell>
          <cell r="Q2314" t="str">
            <v/>
          </cell>
          <cell r="S2314" t="str">
            <v/>
          </cell>
          <cell r="V2314" t="str">
            <v/>
          </cell>
          <cell r="Z2314" t="str">
            <v/>
          </cell>
          <cell r="AA2314" t="str">
            <v/>
          </cell>
          <cell r="AB2314" t="str">
            <v/>
          </cell>
          <cell r="AC2314" t="str">
            <v/>
          </cell>
          <cell r="AD2314" t="str">
            <v/>
          </cell>
          <cell r="AY2314" t="str">
            <v/>
          </cell>
          <cell r="AZ2314" t="str">
            <v/>
          </cell>
          <cell r="BA2314" t="str">
            <v/>
          </cell>
        </row>
        <row r="2315">
          <cell r="B2315" t="str">
            <v>-</v>
          </cell>
          <cell r="E2315" t="str">
            <v/>
          </cell>
          <cell r="G2315" t="str">
            <v/>
          </cell>
          <cell r="J2315" t="str">
            <v/>
          </cell>
          <cell r="O2315" t="str">
            <v/>
          </cell>
          <cell r="P2315" t="str">
            <v/>
          </cell>
          <cell r="Q2315" t="str">
            <v/>
          </cell>
          <cell r="S2315" t="str">
            <v/>
          </cell>
          <cell r="V2315" t="str">
            <v/>
          </cell>
          <cell r="Z2315" t="str">
            <v/>
          </cell>
          <cell r="AA2315" t="str">
            <v/>
          </cell>
          <cell r="AB2315" t="str">
            <v/>
          </cell>
          <cell r="AC2315" t="str">
            <v/>
          </cell>
          <cell r="AD2315" t="str">
            <v/>
          </cell>
          <cell r="AY2315" t="str">
            <v/>
          </cell>
          <cell r="AZ2315" t="str">
            <v/>
          </cell>
          <cell r="BA2315" t="str">
            <v/>
          </cell>
        </row>
        <row r="2316">
          <cell r="B2316" t="str">
            <v>-</v>
          </cell>
          <cell r="E2316" t="str">
            <v/>
          </cell>
          <cell r="G2316" t="str">
            <v/>
          </cell>
          <cell r="J2316" t="str">
            <v/>
          </cell>
          <cell r="O2316" t="str">
            <v/>
          </cell>
          <cell r="P2316" t="str">
            <v/>
          </cell>
          <cell r="Q2316" t="str">
            <v/>
          </cell>
          <cell r="S2316" t="str">
            <v/>
          </cell>
          <cell r="V2316" t="str">
            <v/>
          </cell>
          <cell r="Z2316" t="str">
            <v/>
          </cell>
          <cell r="AA2316" t="str">
            <v/>
          </cell>
          <cell r="AB2316" t="str">
            <v/>
          </cell>
          <cell r="AC2316" t="str">
            <v/>
          </cell>
          <cell r="AD2316" t="str">
            <v/>
          </cell>
          <cell r="AY2316" t="str">
            <v/>
          </cell>
          <cell r="AZ2316" t="str">
            <v/>
          </cell>
          <cell r="BA2316" t="str">
            <v/>
          </cell>
        </row>
        <row r="2317">
          <cell r="B2317" t="str">
            <v>-</v>
          </cell>
          <cell r="E2317" t="str">
            <v/>
          </cell>
          <cell r="G2317" t="str">
            <v/>
          </cell>
          <cell r="J2317" t="str">
            <v/>
          </cell>
          <cell r="O2317" t="str">
            <v/>
          </cell>
          <cell r="P2317" t="str">
            <v/>
          </cell>
          <cell r="Q2317" t="str">
            <v/>
          </cell>
          <cell r="S2317" t="str">
            <v/>
          </cell>
          <cell r="V2317" t="str">
            <v/>
          </cell>
          <cell r="Z2317" t="str">
            <v/>
          </cell>
          <cell r="AA2317" t="str">
            <v/>
          </cell>
          <cell r="AB2317" t="str">
            <v/>
          </cell>
          <cell r="AC2317" t="str">
            <v/>
          </cell>
          <cell r="AD2317" t="str">
            <v/>
          </cell>
          <cell r="AY2317" t="str">
            <v/>
          </cell>
          <cell r="AZ2317" t="str">
            <v/>
          </cell>
          <cell r="BA2317" t="str">
            <v/>
          </cell>
        </row>
        <row r="2318">
          <cell r="B2318" t="str">
            <v>-</v>
          </cell>
          <cell r="E2318" t="str">
            <v/>
          </cell>
          <cell r="G2318" t="str">
            <v/>
          </cell>
          <cell r="J2318" t="str">
            <v/>
          </cell>
          <cell r="O2318" t="str">
            <v/>
          </cell>
          <cell r="P2318" t="str">
            <v/>
          </cell>
          <cell r="Q2318" t="str">
            <v/>
          </cell>
          <cell r="S2318" t="str">
            <v/>
          </cell>
          <cell r="V2318" t="str">
            <v/>
          </cell>
          <cell r="Z2318" t="str">
            <v/>
          </cell>
          <cell r="AA2318" t="str">
            <v/>
          </cell>
          <cell r="AB2318" t="str">
            <v/>
          </cell>
          <cell r="AC2318" t="str">
            <v/>
          </cell>
          <cell r="AD2318" t="str">
            <v/>
          </cell>
          <cell r="AY2318" t="str">
            <v/>
          </cell>
          <cell r="AZ2318" t="str">
            <v/>
          </cell>
          <cell r="BA2318" t="str">
            <v/>
          </cell>
        </row>
        <row r="2319">
          <cell r="B2319" t="str">
            <v>-</v>
          </cell>
          <cell r="E2319" t="str">
            <v/>
          </cell>
          <cell r="G2319" t="str">
            <v/>
          </cell>
          <cell r="J2319" t="str">
            <v/>
          </cell>
          <cell r="O2319" t="str">
            <v/>
          </cell>
          <cell r="P2319" t="str">
            <v/>
          </cell>
          <cell r="Q2319" t="str">
            <v/>
          </cell>
          <cell r="S2319" t="str">
            <v/>
          </cell>
          <cell r="V2319" t="str">
            <v/>
          </cell>
          <cell r="Z2319" t="str">
            <v/>
          </cell>
          <cell r="AA2319" t="str">
            <v/>
          </cell>
          <cell r="AB2319" t="str">
            <v/>
          </cell>
          <cell r="AC2319" t="str">
            <v/>
          </cell>
          <cell r="AD2319" t="str">
            <v/>
          </cell>
          <cell r="AY2319" t="str">
            <v/>
          </cell>
          <cell r="AZ2319" t="str">
            <v/>
          </cell>
          <cell r="BA2319" t="str">
            <v/>
          </cell>
        </row>
        <row r="2320">
          <cell r="B2320" t="str">
            <v>-</v>
          </cell>
          <cell r="E2320" t="str">
            <v/>
          </cell>
          <cell r="G2320" t="str">
            <v/>
          </cell>
          <cell r="J2320" t="str">
            <v/>
          </cell>
          <cell r="O2320" t="str">
            <v/>
          </cell>
          <cell r="P2320" t="str">
            <v/>
          </cell>
          <cell r="Q2320" t="str">
            <v/>
          </cell>
          <cell r="S2320" t="str">
            <v/>
          </cell>
          <cell r="V2320" t="str">
            <v/>
          </cell>
          <cell r="Z2320" t="str">
            <v/>
          </cell>
          <cell r="AA2320" t="str">
            <v/>
          </cell>
          <cell r="AB2320" t="str">
            <v/>
          </cell>
          <cell r="AC2320" t="str">
            <v/>
          </cell>
          <cell r="AD2320" t="str">
            <v/>
          </cell>
          <cell r="AY2320" t="str">
            <v/>
          </cell>
          <cell r="AZ2320" t="str">
            <v/>
          </cell>
          <cell r="BA2320" t="str">
            <v/>
          </cell>
        </row>
        <row r="2321">
          <cell r="B2321" t="str">
            <v>-</v>
          </cell>
          <cell r="E2321" t="str">
            <v/>
          </cell>
          <cell r="G2321" t="str">
            <v/>
          </cell>
          <cell r="J2321" t="str">
            <v/>
          </cell>
          <cell r="O2321" t="str">
            <v/>
          </cell>
          <cell r="P2321" t="str">
            <v/>
          </cell>
          <cell r="Q2321" t="str">
            <v/>
          </cell>
          <cell r="S2321" t="str">
            <v/>
          </cell>
          <cell r="V2321" t="str">
            <v/>
          </cell>
          <cell r="Z2321" t="str">
            <v/>
          </cell>
          <cell r="AA2321" t="str">
            <v/>
          </cell>
          <cell r="AB2321" t="str">
            <v/>
          </cell>
          <cell r="AC2321" t="str">
            <v/>
          </cell>
          <cell r="AD2321" t="str">
            <v/>
          </cell>
          <cell r="AY2321" t="str">
            <v/>
          </cell>
          <cell r="AZ2321" t="str">
            <v/>
          </cell>
          <cell r="BA2321" t="str">
            <v/>
          </cell>
        </row>
        <row r="2322">
          <cell r="B2322" t="str">
            <v>-</v>
          </cell>
          <cell r="E2322" t="str">
            <v/>
          </cell>
          <cell r="G2322" t="str">
            <v/>
          </cell>
          <cell r="J2322" t="str">
            <v/>
          </cell>
          <cell r="O2322" t="str">
            <v/>
          </cell>
          <cell r="P2322" t="str">
            <v/>
          </cell>
          <cell r="Q2322" t="str">
            <v/>
          </cell>
          <cell r="S2322" t="str">
            <v/>
          </cell>
          <cell r="V2322" t="str">
            <v/>
          </cell>
          <cell r="Z2322" t="str">
            <v/>
          </cell>
          <cell r="AA2322" t="str">
            <v/>
          </cell>
          <cell r="AB2322" t="str">
            <v/>
          </cell>
          <cell r="AC2322" t="str">
            <v/>
          </cell>
          <cell r="AD2322" t="str">
            <v/>
          </cell>
          <cell r="AY2322" t="str">
            <v/>
          </cell>
          <cell r="AZ2322" t="str">
            <v/>
          </cell>
          <cell r="BA2322" t="str">
            <v/>
          </cell>
        </row>
        <row r="2323">
          <cell r="B2323" t="str">
            <v>-</v>
          </cell>
          <cell r="E2323" t="str">
            <v/>
          </cell>
          <cell r="G2323" t="str">
            <v/>
          </cell>
          <cell r="J2323" t="str">
            <v/>
          </cell>
          <cell r="O2323" t="str">
            <v/>
          </cell>
          <cell r="P2323" t="str">
            <v/>
          </cell>
          <cell r="Q2323" t="str">
            <v/>
          </cell>
          <cell r="S2323" t="str">
            <v/>
          </cell>
          <cell r="V2323" t="str">
            <v/>
          </cell>
          <cell r="Z2323" t="str">
            <v/>
          </cell>
          <cell r="AA2323" t="str">
            <v/>
          </cell>
          <cell r="AB2323" t="str">
            <v/>
          </cell>
          <cell r="AC2323" t="str">
            <v/>
          </cell>
          <cell r="AD2323" t="str">
            <v/>
          </cell>
          <cell r="AY2323" t="str">
            <v/>
          </cell>
          <cell r="AZ2323" t="str">
            <v/>
          </cell>
          <cell r="BA2323" t="str">
            <v/>
          </cell>
        </row>
        <row r="2324">
          <cell r="B2324" t="str">
            <v>-</v>
          </cell>
          <cell r="E2324" t="str">
            <v/>
          </cell>
          <cell r="G2324" t="str">
            <v/>
          </cell>
          <cell r="J2324" t="str">
            <v/>
          </cell>
          <cell r="O2324" t="str">
            <v/>
          </cell>
          <cell r="P2324" t="str">
            <v/>
          </cell>
          <cell r="Q2324" t="str">
            <v/>
          </cell>
          <cell r="S2324" t="str">
            <v/>
          </cell>
          <cell r="V2324" t="str">
            <v/>
          </cell>
          <cell r="Z2324" t="str">
            <v/>
          </cell>
          <cell r="AA2324" t="str">
            <v/>
          </cell>
          <cell r="AB2324" t="str">
            <v/>
          </cell>
          <cell r="AC2324" t="str">
            <v/>
          </cell>
          <cell r="AD2324" t="str">
            <v/>
          </cell>
          <cell r="AY2324" t="str">
            <v/>
          </cell>
          <cell r="AZ2324" t="str">
            <v/>
          </cell>
          <cell r="BA2324" t="str">
            <v/>
          </cell>
        </row>
        <row r="2325">
          <cell r="B2325" t="str">
            <v>-</v>
          </cell>
          <cell r="E2325" t="str">
            <v/>
          </cell>
          <cell r="G2325" t="str">
            <v/>
          </cell>
          <cell r="J2325" t="str">
            <v/>
          </cell>
          <cell r="O2325" t="str">
            <v/>
          </cell>
          <cell r="P2325" t="str">
            <v/>
          </cell>
          <cell r="Q2325" t="str">
            <v/>
          </cell>
          <cell r="S2325" t="str">
            <v/>
          </cell>
          <cell r="V2325" t="str">
            <v/>
          </cell>
          <cell r="Z2325" t="str">
            <v/>
          </cell>
          <cell r="AA2325" t="str">
            <v/>
          </cell>
          <cell r="AB2325" t="str">
            <v/>
          </cell>
          <cell r="AC2325" t="str">
            <v/>
          </cell>
          <cell r="AD2325" t="str">
            <v/>
          </cell>
          <cell r="AY2325" t="str">
            <v/>
          </cell>
          <cell r="AZ2325" t="str">
            <v/>
          </cell>
          <cell r="BA2325" t="str">
            <v/>
          </cell>
        </row>
        <row r="2326">
          <cell r="B2326" t="str">
            <v>-</v>
          </cell>
          <cell r="E2326" t="str">
            <v/>
          </cell>
          <cell r="G2326" t="str">
            <v/>
          </cell>
          <cell r="J2326" t="str">
            <v/>
          </cell>
          <cell r="O2326" t="str">
            <v/>
          </cell>
          <cell r="P2326" t="str">
            <v/>
          </cell>
          <cell r="Q2326" t="str">
            <v/>
          </cell>
          <cell r="S2326" t="str">
            <v/>
          </cell>
          <cell r="V2326" t="str">
            <v/>
          </cell>
          <cell r="Z2326" t="str">
            <v/>
          </cell>
          <cell r="AA2326" t="str">
            <v/>
          </cell>
          <cell r="AB2326" t="str">
            <v/>
          </cell>
          <cell r="AC2326" t="str">
            <v/>
          </cell>
          <cell r="AD2326" t="str">
            <v/>
          </cell>
          <cell r="AY2326" t="str">
            <v/>
          </cell>
          <cell r="AZ2326" t="str">
            <v/>
          </cell>
          <cell r="BA2326" t="str">
            <v/>
          </cell>
        </row>
        <row r="2327">
          <cell r="B2327" t="str">
            <v>-</v>
          </cell>
          <cell r="E2327" t="str">
            <v/>
          </cell>
          <cell r="G2327" t="str">
            <v/>
          </cell>
          <cell r="J2327" t="str">
            <v/>
          </cell>
          <cell r="O2327" t="str">
            <v/>
          </cell>
          <cell r="P2327" t="str">
            <v/>
          </cell>
          <cell r="Q2327" t="str">
            <v/>
          </cell>
          <cell r="S2327" t="str">
            <v/>
          </cell>
          <cell r="V2327" t="str">
            <v/>
          </cell>
          <cell r="Z2327" t="str">
            <v/>
          </cell>
          <cell r="AA2327" t="str">
            <v/>
          </cell>
          <cell r="AB2327" t="str">
            <v/>
          </cell>
          <cell r="AC2327" t="str">
            <v/>
          </cell>
          <cell r="AD2327" t="str">
            <v/>
          </cell>
          <cell r="AY2327" t="str">
            <v/>
          </cell>
          <cell r="AZ2327" t="str">
            <v/>
          </cell>
          <cell r="BA2327" t="str">
            <v/>
          </cell>
        </row>
        <row r="2328">
          <cell r="B2328" t="str">
            <v>-</v>
          </cell>
          <cell r="E2328" t="str">
            <v/>
          </cell>
          <cell r="G2328" t="str">
            <v/>
          </cell>
          <cell r="J2328" t="str">
            <v/>
          </cell>
          <cell r="O2328" t="str">
            <v/>
          </cell>
          <cell r="P2328" t="str">
            <v/>
          </cell>
          <cell r="Q2328" t="str">
            <v/>
          </cell>
          <cell r="S2328" t="str">
            <v/>
          </cell>
          <cell r="V2328" t="str">
            <v/>
          </cell>
          <cell r="Z2328" t="str">
            <v/>
          </cell>
          <cell r="AA2328" t="str">
            <v/>
          </cell>
          <cell r="AB2328" t="str">
            <v/>
          </cell>
          <cell r="AC2328" t="str">
            <v/>
          </cell>
          <cell r="AD2328" t="str">
            <v/>
          </cell>
          <cell r="AY2328" t="str">
            <v/>
          </cell>
          <cell r="AZ2328" t="str">
            <v/>
          </cell>
          <cell r="BA2328" t="str">
            <v/>
          </cell>
        </row>
        <row r="2329">
          <cell r="B2329" t="str">
            <v>-</v>
          </cell>
          <cell r="E2329" t="str">
            <v/>
          </cell>
          <cell r="G2329" t="str">
            <v/>
          </cell>
          <cell r="J2329" t="str">
            <v/>
          </cell>
          <cell r="O2329" t="str">
            <v/>
          </cell>
          <cell r="P2329" t="str">
            <v/>
          </cell>
          <cell r="Q2329" t="str">
            <v/>
          </cell>
          <cell r="S2329" t="str">
            <v/>
          </cell>
          <cell r="V2329" t="str">
            <v/>
          </cell>
          <cell r="Z2329" t="str">
            <v/>
          </cell>
          <cell r="AA2329" t="str">
            <v/>
          </cell>
          <cell r="AB2329" t="str">
            <v/>
          </cell>
          <cell r="AC2329" t="str">
            <v/>
          </cell>
          <cell r="AD2329" t="str">
            <v/>
          </cell>
          <cell r="AY2329" t="str">
            <v/>
          </cell>
          <cell r="AZ2329" t="str">
            <v/>
          </cell>
          <cell r="BA2329" t="str">
            <v/>
          </cell>
        </row>
        <row r="2330">
          <cell r="B2330" t="str">
            <v>-</v>
          </cell>
          <cell r="E2330" t="str">
            <v/>
          </cell>
          <cell r="G2330" t="str">
            <v/>
          </cell>
          <cell r="J2330" t="str">
            <v/>
          </cell>
          <cell r="O2330" t="str">
            <v/>
          </cell>
          <cell r="P2330" t="str">
            <v/>
          </cell>
          <cell r="Q2330" t="str">
            <v/>
          </cell>
          <cell r="S2330" t="str">
            <v/>
          </cell>
          <cell r="V2330" t="str">
            <v/>
          </cell>
          <cell r="Z2330" t="str">
            <v/>
          </cell>
          <cell r="AA2330" t="str">
            <v/>
          </cell>
          <cell r="AB2330" t="str">
            <v/>
          </cell>
          <cell r="AC2330" t="str">
            <v/>
          </cell>
          <cell r="AD2330" t="str">
            <v/>
          </cell>
          <cell r="AY2330" t="str">
            <v/>
          </cell>
          <cell r="AZ2330" t="str">
            <v/>
          </cell>
          <cell r="BA2330" t="str">
            <v/>
          </cell>
        </row>
        <row r="2331">
          <cell r="B2331" t="str">
            <v>-</v>
          </cell>
          <cell r="E2331" t="str">
            <v/>
          </cell>
          <cell r="G2331" t="str">
            <v/>
          </cell>
          <cell r="J2331" t="str">
            <v/>
          </cell>
          <cell r="O2331" t="str">
            <v/>
          </cell>
          <cell r="P2331" t="str">
            <v/>
          </cell>
          <cell r="Q2331" t="str">
            <v/>
          </cell>
          <cell r="S2331" t="str">
            <v/>
          </cell>
          <cell r="V2331" t="str">
            <v/>
          </cell>
          <cell r="Z2331" t="str">
            <v/>
          </cell>
          <cell r="AA2331" t="str">
            <v/>
          </cell>
          <cell r="AB2331" t="str">
            <v/>
          </cell>
          <cell r="AC2331" t="str">
            <v/>
          </cell>
          <cell r="AD2331" t="str">
            <v/>
          </cell>
          <cell r="AY2331" t="str">
            <v/>
          </cell>
          <cell r="AZ2331" t="str">
            <v/>
          </cell>
          <cell r="BA2331" t="str">
            <v/>
          </cell>
        </row>
        <row r="2332">
          <cell r="B2332" t="str">
            <v>-</v>
          </cell>
          <cell r="E2332" t="str">
            <v/>
          </cell>
          <cell r="G2332" t="str">
            <v/>
          </cell>
          <cell r="J2332" t="str">
            <v/>
          </cell>
          <cell r="O2332" t="str">
            <v/>
          </cell>
          <cell r="P2332" t="str">
            <v/>
          </cell>
          <cell r="Q2332" t="str">
            <v/>
          </cell>
          <cell r="S2332" t="str">
            <v/>
          </cell>
          <cell r="V2332" t="str">
            <v/>
          </cell>
          <cell r="Z2332" t="str">
            <v/>
          </cell>
          <cell r="AA2332" t="str">
            <v/>
          </cell>
          <cell r="AB2332" t="str">
            <v/>
          </cell>
          <cell r="AC2332" t="str">
            <v/>
          </cell>
          <cell r="AD2332" t="str">
            <v/>
          </cell>
          <cell r="AY2332" t="str">
            <v/>
          </cell>
          <cell r="AZ2332" t="str">
            <v/>
          </cell>
          <cell r="BA2332" t="str">
            <v/>
          </cell>
        </row>
        <row r="2333">
          <cell r="B2333" t="str">
            <v>-</v>
          </cell>
          <cell r="E2333" t="str">
            <v/>
          </cell>
          <cell r="G2333" t="str">
            <v/>
          </cell>
          <cell r="J2333" t="str">
            <v/>
          </cell>
          <cell r="O2333" t="str">
            <v/>
          </cell>
          <cell r="P2333" t="str">
            <v/>
          </cell>
          <cell r="Q2333" t="str">
            <v/>
          </cell>
          <cell r="S2333" t="str">
            <v/>
          </cell>
          <cell r="V2333" t="str">
            <v/>
          </cell>
          <cell r="Z2333" t="str">
            <v/>
          </cell>
          <cell r="AA2333" t="str">
            <v/>
          </cell>
          <cell r="AB2333" t="str">
            <v/>
          </cell>
          <cell r="AC2333" t="str">
            <v/>
          </cell>
          <cell r="AD2333" t="str">
            <v/>
          </cell>
          <cell r="AY2333" t="str">
            <v/>
          </cell>
          <cell r="AZ2333" t="str">
            <v/>
          </cell>
          <cell r="BA2333" t="str">
            <v/>
          </cell>
        </row>
        <row r="2334">
          <cell r="B2334" t="str">
            <v>-</v>
          </cell>
          <cell r="E2334" t="str">
            <v/>
          </cell>
          <cell r="G2334" t="str">
            <v/>
          </cell>
          <cell r="J2334" t="str">
            <v/>
          </cell>
          <cell r="O2334" t="str">
            <v/>
          </cell>
          <cell r="P2334" t="str">
            <v/>
          </cell>
          <cell r="Q2334" t="str">
            <v/>
          </cell>
          <cell r="S2334" t="str">
            <v/>
          </cell>
          <cell r="V2334" t="str">
            <v/>
          </cell>
          <cell r="Z2334" t="str">
            <v/>
          </cell>
          <cell r="AA2334" t="str">
            <v/>
          </cell>
          <cell r="AB2334" t="str">
            <v/>
          </cell>
          <cell r="AC2334" t="str">
            <v/>
          </cell>
          <cell r="AD2334" t="str">
            <v/>
          </cell>
          <cell r="AY2334" t="str">
            <v/>
          </cell>
          <cell r="AZ2334" t="str">
            <v/>
          </cell>
          <cell r="BA2334" t="str">
            <v/>
          </cell>
        </row>
        <row r="2335">
          <cell r="B2335" t="str">
            <v>-</v>
          </cell>
          <cell r="E2335" t="str">
            <v/>
          </cell>
          <cell r="G2335" t="str">
            <v/>
          </cell>
          <cell r="J2335" t="str">
            <v/>
          </cell>
          <cell r="O2335" t="str">
            <v/>
          </cell>
          <cell r="P2335" t="str">
            <v/>
          </cell>
          <cell r="Q2335" t="str">
            <v/>
          </cell>
          <cell r="S2335" t="str">
            <v/>
          </cell>
          <cell r="V2335" t="str">
            <v/>
          </cell>
          <cell r="Z2335" t="str">
            <v/>
          </cell>
          <cell r="AA2335" t="str">
            <v/>
          </cell>
          <cell r="AB2335" t="str">
            <v/>
          </cell>
          <cell r="AC2335" t="str">
            <v/>
          </cell>
          <cell r="AD2335" t="str">
            <v/>
          </cell>
          <cell r="AY2335" t="str">
            <v/>
          </cell>
          <cell r="AZ2335" t="str">
            <v/>
          </cell>
          <cell r="BA2335" t="str">
            <v/>
          </cell>
        </row>
        <row r="2336">
          <cell r="B2336" t="str">
            <v>-</v>
          </cell>
          <cell r="E2336" t="str">
            <v/>
          </cell>
          <cell r="G2336" t="str">
            <v/>
          </cell>
          <cell r="J2336" t="str">
            <v/>
          </cell>
          <cell r="O2336" t="str">
            <v/>
          </cell>
          <cell r="P2336" t="str">
            <v/>
          </cell>
          <cell r="Q2336" t="str">
            <v/>
          </cell>
          <cell r="S2336" t="str">
            <v/>
          </cell>
          <cell r="V2336" t="str">
            <v/>
          </cell>
          <cell r="Z2336" t="str">
            <v/>
          </cell>
          <cell r="AA2336" t="str">
            <v/>
          </cell>
          <cell r="AB2336" t="str">
            <v/>
          </cell>
          <cell r="AC2336" t="str">
            <v/>
          </cell>
          <cell r="AD2336" t="str">
            <v/>
          </cell>
          <cell r="AY2336" t="str">
            <v/>
          </cell>
          <cell r="AZ2336" t="str">
            <v/>
          </cell>
          <cell r="BA2336" t="str">
            <v/>
          </cell>
        </row>
        <row r="2337">
          <cell r="B2337" t="str">
            <v>-</v>
          </cell>
          <cell r="E2337" t="str">
            <v/>
          </cell>
          <cell r="G2337" t="str">
            <v/>
          </cell>
          <cell r="J2337" t="str">
            <v/>
          </cell>
          <cell r="O2337" t="str">
            <v/>
          </cell>
          <cell r="P2337" t="str">
            <v/>
          </cell>
          <cell r="Q2337" t="str">
            <v/>
          </cell>
          <cell r="S2337" t="str">
            <v/>
          </cell>
          <cell r="V2337" t="str">
            <v/>
          </cell>
          <cell r="Z2337" t="str">
            <v/>
          </cell>
          <cell r="AA2337" t="str">
            <v/>
          </cell>
          <cell r="AB2337" t="str">
            <v/>
          </cell>
          <cell r="AC2337" t="str">
            <v/>
          </cell>
          <cell r="AD2337" t="str">
            <v/>
          </cell>
          <cell r="AY2337" t="str">
            <v/>
          </cell>
          <cell r="AZ2337" t="str">
            <v/>
          </cell>
          <cell r="BA2337" t="str">
            <v/>
          </cell>
        </row>
        <row r="2338">
          <cell r="B2338" t="str">
            <v>-</v>
          </cell>
          <cell r="E2338" t="str">
            <v/>
          </cell>
          <cell r="G2338" t="str">
            <v/>
          </cell>
          <cell r="J2338" t="str">
            <v/>
          </cell>
          <cell r="O2338" t="str">
            <v/>
          </cell>
          <cell r="P2338" t="str">
            <v/>
          </cell>
          <cell r="Q2338" t="str">
            <v/>
          </cell>
          <cell r="S2338" t="str">
            <v/>
          </cell>
          <cell r="V2338" t="str">
            <v/>
          </cell>
          <cell r="Z2338" t="str">
            <v/>
          </cell>
          <cell r="AA2338" t="str">
            <v/>
          </cell>
          <cell r="AB2338" t="str">
            <v/>
          </cell>
          <cell r="AC2338" t="str">
            <v/>
          </cell>
          <cell r="AD2338" t="str">
            <v/>
          </cell>
          <cell r="AY2338" t="str">
            <v/>
          </cell>
          <cell r="AZ2338" t="str">
            <v/>
          </cell>
          <cell r="BA2338" t="str">
            <v/>
          </cell>
        </row>
        <row r="2339">
          <cell r="B2339" t="str">
            <v>-</v>
          </cell>
          <cell r="E2339" t="str">
            <v/>
          </cell>
          <cell r="G2339" t="str">
            <v/>
          </cell>
          <cell r="J2339" t="str">
            <v/>
          </cell>
          <cell r="O2339" t="str">
            <v/>
          </cell>
          <cell r="P2339" t="str">
            <v/>
          </cell>
          <cell r="Q2339" t="str">
            <v/>
          </cell>
          <cell r="S2339" t="str">
            <v/>
          </cell>
          <cell r="V2339" t="str">
            <v/>
          </cell>
          <cell r="Z2339" t="str">
            <v/>
          </cell>
          <cell r="AA2339" t="str">
            <v/>
          </cell>
          <cell r="AB2339" t="str">
            <v/>
          </cell>
          <cell r="AC2339" t="str">
            <v/>
          </cell>
          <cell r="AD2339" t="str">
            <v/>
          </cell>
          <cell r="AY2339" t="str">
            <v/>
          </cell>
          <cell r="AZ2339" t="str">
            <v/>
          </cell>
          <cell r="BA2339" t="str">
            <v/>
          </cell>
        </row>
        <row r="2340">
          <cell r="B2340" t="str">
            <v>-</v>
          </cell>
          <cell r="E2340" t="str">
            <v/>
          </cell>
          <cell r="G2340" t="str">
            <v/>
          </cell>
          <cell r="J2340" t="str">
            <v/>
          </cell>
          <cell r="O2340" t="str">
            <v/>
          </cell>
          <cell r="P2340" t="str">
            <v/>
          </cell>
          <cell r="Q2340" t="str">
            <v/>
          </cell>
          <cell r="S2340" t="str">
            <v/>
          </cell>
          <cell r="V2340" t="str">
            <v/>
          </cell>
          <cell r="Z2340" t="str">
            <v/>
          </cell>
          <cell r="AA2340" t="str">
            <v/>
          </cell>
          <cell r="AB2340" t="str">
            <v/>
          </cell>
          <cell r="AC2340" t="str">
            <v/>
          </cell>
          <cell r="AD2340" t="str">
            <v/>
          </cell>
          <cell r="AY2340" t="str">
            <v/>
          </cell>
          <cell r="AZ2340" t="str">
            <v/>
          </cell>
          <cell r="BA2340" t="str">
            <v/>
          </cell>
        </row>
        <row r="2341">
          <cell r="B2341" t="str">
            <v>-</v>
          </cell>
          <cell r="E2341" t="str">
            <v/>
          </cell>
          <cell r="G2341" t="str">
            <v/>
          </cell>
          <cell r="J2341" t="str">
            <v/>
          </cell>
          <cell r="O2341" t="str">
            <v/>
          </cell>
          <cell r="P2341" t="str">
            <v/>
          </cell>
          <cell r="Q2341" t="str">
            <v/>
          </cell>
          <cell r="S2341" t="str">
            <v/>
          </cell>
          <cell r="V2341" t="str">
            <v/>
          </cell>
          <cell r="Z2341" t="str">
            <v/>
          </cell>
          <cell r="AA2341" t="str">
            <v/>
          </cell>
          <cell r="AB2341" t="str">
            <v/>
          </cell>
          <cell r="AC2341" t="str">
            <v/>
          </cell>
          <cell r="AD2341" t="str">
            <v/>
          </cell>
          <cell r="AY2341" t="str">
            <v/>
          </cell>
          <cell r="AZ2341" t="str">
            <v/>
          </cell>
          <cell r="BA2341" t="str">
            <v/>
          </cell>
        </row>
        <row r="2342">
          <cell r="B2342" t="str">
            <v>-</v>
          </cell>
          <cell r="E2342" t="str">
            <v/>
          </cell>
          <cell r="G2342" t="str">
            <v/>
          </cell>
          <cell r="J2342" t="str">
            <v/>
          </cell>
          <cell r="O2342" t="str">
            <v/>
          </cell>
          <cell r="P2342" t="str">
            <v/>
          </cell>
          <cell r="Q2342" t="str">
            <v/>
          </cell>
          <cell r="S2342" t="str">
            <v/>
          </cell>
          <cell r="V2342" t="str">
            <v/>
          </cell>
          <cell r="Z2342" t="str">
            <v/>
          </cell>
          <cell r="AA2342" t="str">
            <v/>
          </cell>
          <cell r="AB2342" t="str">
            <v/>
          </cell>
          <cell r="AC2342" t="str">
            <v/>
          </cell>
          <cell r="AD2342" t="str">
            <v/>
          </cell>
          <cell r="AY2342" t="str">
            <v/>
          </cell>
          <cell r="AZ2342" t="str">
            <v/>
          </cell>
          <cell r="BA2342" t="str">
            <v/>
          </cell>
        </row>
        <row r="2343">
          <cell r="B2343" t="str">
            <v>-</v>
          </cell>
          <cell r="E2343" t="str">
            <v/>
          </cell>
          <cell r="G2343" t="str">
            <v/>
          </cell>
          <cell r="J2343" t="str">
            <v/>
          </cell>
          <cell r="O2343" t="str">
            <v/>
          </cell>
          <cell r="P2343" t="str">
            <v/>
          </cell>
          <cell r="Q2343" t="str">
            <v/>
          </cell>
          <cell r="S2343" t="str">
            <v/>
          </cell>
          <cell r="V2343" t="str">
            <v/>
          </cell>
          <cell r="Z2343" t="str">
            <v/>
          </cell>
          <cell r="AA2343" t="str">
            <v/>
          </cell>
          <cell r="AB2343" t="str">
            <v/>
          </cell>
          <cell r="AC2343" t="str">
            <v/>
          </cell>
          <cell r="AD2343" t="str">
            <v/>
          </cell>
          <cell r="AY2343" t="str">
            <v/>
          </cell>
          <cell r="AZ2343" t="str">
            <v/>
          </cell>
          <cell r="BA2343" t="str">
            <v/>
          </cell>
        </row>
        <row r="2344">
          <cell r="B2344" t="str">
            <v>-</v>
          </cell>
          <cell r="E2344" t="str">
            <v/>
          </cell>
          <cell r="G2344" t="str">
            <v/>
          </cell>
          <cell r="J2344" t="str">
            <v/>
          </cell>
          <cell r="O2344" t="str">
            <v/>
          </cell>
          <cell r="P2344" t="str">
            <v/>
          </cell>
          <cell r="Q2344" t="str">
            <v/>
          </cell>
          <cell r="S2344" t="str">
            <v/>
          </cell>
          <cell r="V2344" t="str">
            <v/>
          </cell>
          <cell r="Z2344" t="str">
            <v/>
          </cell>
          <cell r="AA2344" t="str">
            <v/>
          </cell>
          <cell r="AB2344" t="str">
            <v/>
          </cell>
          <cell r="AC2344" t="str">
            <v/>
          </cell>
          <cell r="AD2344" t="str">
            <v/>
          </cell>
          <cell r="AY2344" t="str">
            <v/>
          </cell>
          <cell r="AZ2344" t="str">
            <v/>
          </cell>
          <cell r="BA2344" t="str">
            <v/>
          </cell>
        </row>
        <row r="2345">
          <cell r="B2345" t="str">
            <v>-</v>
          </cell>
          <cell r="E2345" t="str">
            <v/>
          </cell>
          <cell r="G2345" t="str">
            <v/>
          </cell>
          <cell r="J2345" t="str">
            <v/>
          </cell>
          <cell r="O2345" t="str">
            <v/>
          </cell>
          <cell r="P2345" t="str">
            <v/>
          </cell>
          <cell r="Q2345" t="str">
            <v/>
          </cell>
          <cell r="S2345" t="str">
            <v/>
          </cell>
          <cell r="V2345" t="str">
            <v/>
          </cell>
          <cell r="Z2345" t="str">
            <v/>
          </cell>
          <cell r="AA2345" t="str">
            <v/>
          </cell>
          <cell r="AB2345" t="str">
            <v/>
          </cell>
          <cell r="AC2345" t="str">
            <v/>
          </cell>
          <cell r="AD2345" t="str">
            <v/>
          </cell>
          <cell r="AY2345" t="str">
            <v/>
          </cell>
          <cell r="AZ2345" t="str">
            <v/>
          </cell>
          <cell r="BA2345" t="str">
            <v/>
          </cell>
        </row>
        <row r="2346">
          <cell r="B2346" t="str">
            <v>-</v>
          </cell>
          <cell r="E2346" t="str">
            <v/>
          </cell>
          <cell r="G2346" t="str">
            <v/>
          </cell>
          <cell r="J2346" t="str">
            <v/>
          </cell>
          <cell r="O2346" t="str">
            <v/>
          </cell>
          <cell r="P2346" t="str">
            <v/>
          </cell>
          <cell r="Q2346" t="str">
            <v/>
          </cell>
          <cell r="S2346" t="str">
            <v/>
          </cell>
          <cell r="V2346" t="str">
            <v/>
          </cell>
          <cell r="Z2346" t="str">
            <v/>
          </cell>
          <cell r="AA2346" t="str">
            <v/>
          </cell>
          <cell r="AB2346" t="str">
            <v/>
          </cell>
          <cell r="AC2346" t="str">
            <v/>
          </cell>
          <cell r="AD2346" t="str">
            <v/>
          </cell>
          <cell r="AY2346" t="str">
            <v/>
          </cell>
          <cell r="AZ2346" t="str">
            <v/>
          </cell>
          <cell r="BA2346" t="str">
            <v/>
          </cell>
        </row>
        <row r="2347">
          <cell r="B2347" t="str">
            <v>-</v>
          </cell>
          <cell r="E2347" t="str">
            <v/>
          </cell>
          <cell r="G2347" t="str">
            <v/>
          </cell>
          <cell r="J2347" t="str">
            <v/>
          </cell>
          <cell r="O2347" t="str">
            <v/>
          </cell>
          <cell r="P2347" t="str">
            <v/>
          </cell>
          <cell r="Q2347" t="str">
            <v/>
          </cell>
          <cell r="S2347" t="str">
            <v/>
          </cell>
          <cell r="V2347" t="str">
            <v/>
          </cell>
          <cell r="Z2347" t="str">
            <v/>
          </cell>
          <cell r="AA2347" t="str">
            <v/>
          </cell>
          <cell r="AB2347" t="str">
            <v/>
          </cell>
          <cell r="AC2347" t="str">
            <v/>
          </cell>
          <cell r="AD2347" t="str">
            <v/>
          </cell>
          <cell r="AY2347" t="str">
            <v/>
          </cell>
          <cell r="AZ2347" t="str">
            <v/>
          </cell>
          <cell r="BA2347" t="str">
            <v/>
          </cell>
        </row>
        <row r="2348">
          <cell r="B2348" t="str">
            <v>-</v>
          </cell>
          <cell r="E2348" t="str">
            <v/>
          </cell>
          <cell r="G2348" t="str">
            <v/>
          </cell>
          <cell r="J2348" t="str">
            <v/>
          </cell>
          <cell r="O2348" t="str">
            <v/>
          </cell>
          <cell r="P2348" t="str">
            <v/>
          </cell>
          <cell r="Q2348" t="str">
            <v/>
          </cell>
          <cell r="S2348" t="str">
            <v/>
          </cell>
          <cell r="V2348" t="str">
            <v/>
          </cell>
          <cell r="Z2348" t="str">
            <v/>
          </cell>
          <cell r="AA2348" t="str">
            <v/>
          </cell>
          <cell r="AB2348" t="str">
            <v/>
          </cell>
          <cell r="AC2348" t="str">
            <v/>
          </cell>
          <cell r="AD2348" t="str">
            <v/>
          </cell>
          <cell r="AY2348" t="str">
            <v/>
          </cell>
          <cell r="AZ2348" t="str">
            <v/>
          </cell>
          <cell r="BA2348" t="str">
            <v/>
          </cell>
        </row>
        <row r="2349">
          <cell r="B2349" t="str">
            <v>-</v>
          </cell>
          <cell r="E2349" t="str">
            <v/>
          </cell>
          <cell r="G2349" t="str">
            <v/>
          </cell>
          <cell r="J2349" t="str">
            <v/>
          </cell>
          <cell r="O2349" t="str">
            <v/>
          </cell>
          <cell r="P2349" t="str">
            <v/>
          </cell>
          <cell r="Q2349" t="str">
            <v/>
          </cell>
          <cell r="S2349" t="str">
            <v/>
          </cell>
          <cell r="V2349" t="str">
            <v/>
          </cell>
          <cell r="Z2349" t="str">
            <v/>
          </cell>
          <cell r="AA2349" t="str">
            <v/>
          </cell>
          <cell r="AB2349" t="str">
            <v/>
          </cell>
          <cell r="AC2349" t="str">
            <v/>
          </cell>
          <cell r="AD2349" t="str">
            <v/>
          </cell>
          <cell r="AY2349" t="str">
            <v/>
          </cell>
          <cell r="AZ2349" t="str">
            <v/>
          </cell>
          <cell r="BA2349" t="str">
            <v/>
          </cell>
        </row>
        <row r="2350">
          <cell r="B2350" t="str">
            <v>-</v>
          </cell>
          <cell r="E2350" t="str">
            <v/>
          </cell>
          <cell r="G2350" t="str">
            <v/>
          </cell>
          <cell r="J2350" t="str">
            <v/>
          </cell>
          <cell r="O2350" t="str">
            <v/>
          </cell>
          <cell r="P2350" t="str">
            <v/>
          </cell>
          <cell r="Q2350" t="str">
            <v/>
          </cell>
          <cell r="S2350" t="str">
            <v/>
          </cell>
          <cell r="V2350" t="str">
            <v/>
          </cell>
          <cell r="Z2350" t="str">
            <v/>
          </cell>
          <cell r="AA2350" t="str">
            <v/>
          </cell>
          <cell r="AB2350" t="str">
            <v/>
          </cell>
          <cell r="AC2350" t="str">
            <v/>
          </cell>
          <cell r="AD2350" t="str">
            <v/>
          </cell>
          <cell r="AY2350" t="str">
            <v/>
          </cell>
          <cell r="AZ2350" t="str">
            <v/>
          </cell>
          <cell r="BA2350" t="str">
            <v/>
          </cell>
        </row>
        <row r="2351">
          <cell r="B2351" t="str">
            <v>-</v>
          </cell>
          <cell r="E2351" t="str">
            <v/>
          </cell>
          <cell r="G2351" t="str">
            <v/>
          </cell>
          <cell r="J2351" t="str">
            <v/>
          </cell>
          <cell r="O2351" t="str">
            <v/>
          </cell>
          <cell r="P2351" t="str">
            <v/>
          </cell>
          <cell r="Q2351" t="str">
            <v/>
          </cell>
          <cell r="S2351" t="str">
            <v/>
          </cell>
          <cell r="V2351" t="str">
            <v/>
          </cell>
          <cell r="Z2351" t="str">
            <v/>
          </cell>
          <cell r="AA2351" t="str">
            <v/>
          </cell>
          <cell r="AB2351" t="str">
            <v/>
          </cell>
          <cell r="AC2351" t="str">
            <v/>
          </cell>
          <cell r="AD2351" t="str">
            <v/>
          </cell>
          <cell r="AY2351" t="str">
            <v/>
          </cell>
          <cell r="AZ2351" t="str">
            <v/>
          </cell>
          <cell r="BA2351" t="str">
            <v/>
          </cell>
        </row>
        <row r="2352">
          <cell r="B2352" t="str">
            <v>-</v>
          </cell>
          <cell r="E2352" t="str">
            <v/>
          </cell>
          <cell r="G2352" t="str">
            <v/>
          </cell>
          <cell r="J2352" t="str">
            <v/>
          </cell>
          <cell r="O2352" t="str">
            <v/>
          </cell>
          <cell r="P2352" t="str">
            <v/>
          </cell>
          <cell r="Q2352" t="str">
            <v/>
          </cell>
          <cell r="S2352" t="str">
            <v/>
          </cell>
          <cell r="V2352" t="str">
            <v/>
          </cell>
          <cell r="Z2352" t="str">
            <v/>
          </cell>
          <cell r="AA2352" t="str">
            <v/>
          </cell>
          <cell r="AB2352" t="str">
            <v/>
          </cell>
          <cell r="AC2352" t="str">
            <v/>
          </cell>
          <cell r="AD2352" t="str">
            <v/>
          </cell>
          <cell r="AY2352" t="str">
            <v/>
          </cell>
          <cell r="AZ2352" t="str">
            <v/>
          </cell>
          <cell r="BA2352" t="str">
            <v/>
          </cell>
        </row>
        <row r="2353">
          <cell r="B2353" t="str">
            <v>-</v>
          </cell>
          <cell r="E2353" t="str">
            <v/>
          </cell>
          <cell r="G2353" t="str">
            <v/>
          </cell>
          <cell r="J2353" t="str">
            <v/>
          </cell>
          <cell r="O2353" t="str">
            <v/>
          </cell>
          <cell r="P2353" t="str">
            <v/>
          </cell>
          <cell r="Q2353" t="str">
            <v/>
          </cell>
          <cell r="S2353" t="str">
            <v/>
          </cell>
          <cell r="V2353" t="str">
            <v/>
          </cell>
          <cell r="Z2353" t="str">
            <v/>
          </cell>
          <cell r="AA2353" t="str">
            <v/>
          </cell>
          <cell r="AB2353" t="str">
            <v/>
          </cell>
          <cell r="AC2353" t="str">
            <v/>
          </cell>
          <cell r="AD2353" t="str">
            <v/>
          </cell>
          <cell r="AY2353" t="str">
            <v/>
          </cell>
          <cell r="AZ2353" t="str">
            <v/>
          </cell>
          <cell r="BA2353" t="str">
            <v/>
          </cell>
        </row>
        <row r="2354">
          <cell r="B2354" t="str">
            <v>-</v>
          </cell>
          <cell r="E2354" t="str">
            <v/>
          </cell>
          <cell r="G2354" t="str">
            <v/>
          </cell>
          <cell r="J2354" t="str">
            <v/>
          </cell>
          <cell r="O2354" t="str">
            <v/>
          </cell>
          <cell r="P2354" t="str">
            <v/>
          </cell>
          <cell r="Q2354" t="str">
            <v/>
          </cell>
          <cell r="S2354" t="str">
            <v/>
          </cell>
          <cell r="V2354" t="str">
            <v/>
          </cell>
          <cell r="Z2354" t="str">
            <v/>
          </cell>
          <cell r="AA2354" t="str">
            <v/>
          </cell>
          <cell r="AB2354" t="str">
            <v/>
          </cell>
          <cell r="AC2354" t="str">
            <v/>
          </cell>
          <cell r="AD2354" t="str">
            <v/>
          </cell>
          <cell r="AY2354" t="str">
            <v/>
          </cell>
          <cell r="AZ2354" t="str">
            <v/>
          </cell>
          <cell r="BA2354" t="str">
            <v/>
          </cell>
        </row>
        <row r="2355">
          <cell r="B2355" t="str">
            <v>-</v>
          </cell>
          <cell r="E2355" t="str">
            <v/>
          </cell>
          <cell r="G2355" t="str">
            <v/>
          </cell>
          <cell r="J2355" t="str">
            <v/>
          </cell>
          <cell r="O2355" t="str">
            <v/>
          </cell>
          <cell r="P2355" t="str">
            <v/>
          </cell>
          <cell r="Q2355" t="str">
            <v/>
          </cell>
          <cell r="S2355" t="str">
            <v/>
          </cell>
          <cell r="V2355" t="str">
            <v/>
          </cell>
          <cell r="Z2355" t="str">
            <v/>
          </cell>
          <cell r="AA2355" t="str">
            <v/>
          </cell>
          <cell r="AB2355" t="str">
            <v/>
          </cell>
          <cell r="AC2355" t="str">
            <v/>
          </cell>
          <cell r="AD2355" t="str">
            <v/>
          </cell>
          <cell r="AY2355" t="str">
            <v/>
          </cell>
          <cell r="AZ2355" t="str">
            <v/>
          </cell>
          <cell r="BA2355" t="str">
            <v/>
          </cell>
        </row>
        <row r="2356">
          <cell r="B2356" t="str">
            <v>-</v>
          </cell>
          <cell r="E2356" t="str">
            <v/>
          </cell>
          <cell r="G2356" t="str">
            <v/>
          </cell>
          <cell r="J2356" t="str">
            <v/>
          </cell>
          <cell r="O2356" t="str">
            <v/>
          </cell>
          <cell r="P2356" t="str">
            <v/>
          </cell>
          <cell r="Q2356" t="str">
            <v/>
          </cell>
          <cell r="S2356" t="str">
            <v/>
          </cell>
          <cell r="V2356" t="str">
            <v/>
          </cell>
          <cell r="Z2356" t="str">
            <v/>
          </cell>
          <cell r="AA2356" t="str">
            <v/>
          </cell>
          <cell r="AB2356" t="str">
            <v/>
          </cell>
          <cell r="AC2356" t="str">
            <v/>
          </cell>
          <cell r="AD2356" t="str">
            <v/>
          </cell>
          <cell r="AY2356" t="str">
            <v/>
          </cell>
          <cell r="AZ2356" t="str">
            <v/>
          </cell>
          <cell r="BA2356" t="str">
            <v/>
          </cell>
        </row>
        <row r="2357">
          <cell r="B2357" t="str">
            <v>-</v>
          </cell>
          <cell r="E2357" t="str">
            <v/>
          </cell>
          <cell r="G2357" t="str">
            <v/>
          </cell>
          <cell r="J2357" t="str">
            <v/>
          </cell>
          <cell r="O2357" t="str">
            <v/>
          </cell>
          <cell r="P2357" t="str">
            <v/>
          </cell>
          <cell r="Q2357" t="str">
            <v/>
          </cell>
          <cell r="S2357" t="str">
            <v/>
          </cell>
          <cell r="V2357" t="str">
            <v/>
          </cell>
          <cell r="Z2357" t="str">
            <v/>
          </cell>
          <cell r="AA2357" t="str">
            <v/>
          </cell>
          <cell r="AB2357" t="str">
            <v/>
          </cell>
          <cell r="AC2357" t="str">
            <v/>
          </cell>
          <cell r="AD2357" t="str">
            <v/>
          </cell>
          <cell r="AY2357" t="str">
            <v/>
          </cell>
          <cell r="AZ2357" t="str">
            <v/>
          </cell>
          <cell r="BA2357" t="str">
            <v/>
          </cell>
        </row>
        <row r="2358">
          <cell r="B2358" t="str">
            <v>-</v>
          </cell>
          <cell r="E2358" t="str">
            <v/>
          </cell>
          <cell r="G2358" t="str">
            <v/>
          </cell>
          <cell r="J2358" t="str">
            <v/>
          </cell>
          <cell r="O2358" t="str">
            <v/>
          </cell>
          <cell r="P2358" t="str">
            <v/>
          </cell>
          <cell r="Q2358" t="str">
            <v/>
          </cell>
          <cell r="S2358" t="str">
            <v/>
          </cell>
          <cell r="V2358" t="str">
            <v/>
          </cell>
          <cell r="Z2358" t="str">
            <v/>
          </cell>
          <cell r="AA2358" t="str">
            <v/>
          </cell>
          <cell r="AB2358" t="str">
            <v/>
          </cell>
          <cell r="AC2358" t="str">
            <v/>
          </cell>
          <cell r="AD2358" t="str">
            <v/>
          </cell>
          <cell r="AY2358" t="str">
            <v/>
          </cell>
          <cell r="AZ2358" t="str">
            <v/>
          </cell>
          <cell r="BA2358" t="str">
            <v/>
          </cell>
        </row>
        <row r="2359">
          <cell r="B2359" t="str">
            <v>-</v>
          </cell>
          <cell r="E2359" t="str">
            <v/>
          </cell>
          <cell r="G2359" t="str">
            <v/>
          </cell>
          <cell r="J2359" t="str">
            <v/>
          </cell>
          <cell r="O2359" t="str">
            <v/>
          </cell>
          <cell r="P2359" t="str">
            <v/>
          </cell>
          <cell r="Q2359" t="str">
            <v/>
          </cell>
          <cell r="S2359" t="str">
            <v/>
          </cell>
          <cell r="V2359" t="str">
            <v/>
          </cell>
          <cell r="Z2359" t="str">
            <v/>
          </cell>
          <cell r="AA2359" t="str">
            <v/>
          </cell>
          <cell r="AB2359" t="str">
            <v/>
          </cell>
          <cell r="AC2359" t="str">
            <v/>
          </cell>
          <cell r="AD2359" t="str">
            <v/>
          </cell>
          <cell r="AY2359" t="str">
            <v/>
          </cell>
          <cell r="AZ2359" t="str">
            <v/>
          </cell>
          <cell r="BA2359" t="str">
            <v/>
          </cell>
        </row>
        <row r="2360">
          <cell r="B2360" t="str">
            <v>-</v>
          </cell>
          <cell r="E2360" t="str">
            <v/>
          </cell>
          <cell r="G2360" t="str">
            <v/>
          </cell>
          <cell r="J2360" t="str">
            <v/>
          </cell>
          <cell r="O2360" t="str">
            <v/>
          </cell>
          <cell r="P2360" t="str">
            <v/>
          </cell>
          <cell r="Q2360" t="str">
            <v/>
          </cell>
          <cell r="S2360" t="str">
            <v/>
          </cell>
          <cell r="V2360" t="str">
            <v/>
          </cell>
          <cell r="Z2360" t="str">
            <v/>
          </cell>
          <cell r="AA2360" t="str">
            <v/>
          </cell>
          <cell r="AB2360" t="str">
            <v/>
          </cell>
          <cell r="AC2360" t="str">
            <v/>
          </cell>
          <cell r="AD2360" t="str">
            <v/>
          </cell>
          <cell r="AY2360" t="str">
            <v/>
          </cell>
          <cell r="AZ2360" t="str">
            <v/>
          </cell>
          <cell r="BA2360" t="str">
            <v/>
          </cell>
        </row>
        <row r="2361">
          <cell r="B2361" t="str">
            <v>-</v>
          </cell>
          <cell r="E2361" t="str">
            <v/>
          </cell>
          <cell r="G2361" t="str">
            <v/>
          </cell>
          <cell r="J2361" t="str">
            <v/>
          </cell>
          <cell r="O2361" t="str">
            <v/>
          </cell>
          <cell r="P2361" t="str">
            <v/>
          </cell>
          <cell r="Q2361" t="str">
            <v/>
          </cell>
          <cell r="S2361" t="str">
            <v/>
          </cell>
          <cell r="V2361" t="str">
            <v/>
          </cell>
          <cell r="Z2361" t="str">
            <v/>
          </cell>
          <cell r="AA2361" t="str">
            <v/>
          </cell>
          <cell r="AB2361" t="str">
            <v/>
          </cell>
          <cell r="AC2361" t="str">
            <v/>
          </cell>
          <cell r="AD2361" t="str">
            <v/>
          </cell>
          <cell r="AY2361" t="str">
            <v/>
          </cell>
          <cell r="AZ2361" t="str">
            <v/>
          </cell>
          <cell r="BA2361" t="str">
            <v/>
          </cell>
        </row>
        <row r="2362">
          <cell r="B2362" t="str">
            <v>-</v>
          </cell>
          <cell r="E2362" t="str">
            <v/>
          </cell>
          <cell r="G2362" t="str">
            <v/>
          </cell>
          <cell r="J2362" t="str">
            <v/>
          </cell>
          <cell r="O2362" t="str">
            <v/>
          </cell>
          <cell r="P2362" t="str">
            <v/>
          </cell>
          <cell r="Q2362" t="str">
            <v/>
          </cell>
          <cell r="S2362" t="str">
            <v/>
          </cell>
          <cell r="V2362" t="str">
            <v/>
          </cell>
          <cell r="Z2362" t="str">
            <v/>
          </cell>
          <cell r="AA2362" t="str">
            <v/>
          </cell>
          <cell r="AB2362" t="str">
            <v/>
          </cell>
          <cell r="AC2362" t="str">
            <v/>
          </cell>
          <cell r="AD2362" t="str">
            <v/>
          </cell>
          <cell r="AY2362" t="str">
            <v/>
          </cell>
          <cell r="AZ2362" t="str">
            <v/>
          </cell>
          <cell r="BA2362" t="str">
            <v/>
          </cell>
        </row>
        <row r="2363">
          <cell r="B2363" t="str">
            <v>-</v>
          </cell>
          <cell r="E2363" t="str">
            <v/>
          </cell>
          <cell r="G2363" t="str">
            <v/>
          </cell>
          <cell r="J2363" t="str">
            <v/>
          </cell>
          <cell r="O2363" t="str">
            <v/>
          </cell>
          <cell r="P2363" t="str">
            <v/>
          </cell>
          <cell r="Q2363" t="str">
            <v/>
          </cell>
          <cell r="S2363" t="str">
            <v/>
          </cell>
          <cell r="V2363" t="str">
            <v/>
          </cell>
          <cell r="Z2363" t="str">
            <v/>
          </cell>
          <cell r="AA2363" t="str">
            <v/>
          </cell>
          <cell r="AB2363" t="str">
            <v/>
          </cell>
          <cell r="AC2363" t="str">
            <v/>
          </cell>
          <cell r="AD2363" t="str">
            <v/>
          </cell>
          <cell r="AY2363" t="str">
            <v/>
          </cell>
          <cell r="AZ2363" t="str">
            <v/>
          </cell>
          <cell r="BA2363" t="str">
            <v/>
          </cell>
        </row>
        <row r="2364">
          <cell r="B2364" t="str">
            <v>-</v>
          </cell>
          <cell r="E2364" t="str">
            <v/>
          </cell>
          <cell r="G2364" t="str">
            <v/>
          </cell>
          <cell r="J2364" t="str">
            <v/>
          </cell>
          <cell r="O2364" t="str">
            <v/>
          </cell>
          <cell r="P2364" t="str">
            <v/>
          </cell>
          <cell r="Q2364" t="str">
            <v/>
          </cell>
          <cell r="S2364" t="str">
            <v/>
          </cell>
          <cell r="V2364" t="str">
            <v/>
          </cell>
          <cell r="Z2364" t="str">
            <v/>
          </cell>
          <cell r="AA2364" t="str">
            <v/>
          </cell>
          <cell r="AB2364" t="str">
            <v/>
          </cell>
          <cell r="AC2364" t="str">
            <v/>
          </cell>
          <cell r="AD2364" t="str">
            <v/>
          </cell>
          <cell r="AY2364" t="str">
            <v/>
          </cell>
          <cell r="AZ2364" t="str">
            <v/>
          </cell>
          <cell r="BA2364" t="str">
            <v/>
          </cell>
        </row>
        <row r="2365">
          <cell r="B2365" t="str">
            <v>-</v>
          </cell>
          <cell r="E2365" t="str">
            <v/>
          </cell>
          <cell r="G2365" t="str">
            <v/>
          </cell>
          <cell r="J2365" t="str">
            <v/>
          </cell>
          <cell r="O2365" t="str">
            <v/>
          </cell>
          <cell r="P2365" t="str">
            <v/>
          </cell>
          <cell r="Q2365" t="str">
            <v/>
          </cell>
          <cell r="S2365" t="str">
            <v/>
          </cell>
          <cell r="V2365" t="str">
            <v/>
          </cell>
          <cell r="Z2365" t="str">
            <v/>
          </cell>
          <cell r="AA2365" t="str">
            <v/>
          </cell>
          <cell r="AB2365" t="str">
            <v/>
          </cell>
          <cell r="AC2365" t="str">
            <v/>
          </cell>
          <cell r="AD2365" t="str">
            <v/>
          </cell>
          <cell r="AY2365" t="str">
            <v/>
          </cell>
          <cell r="AZ2365" t="str">
            <v/>
          </cell>
          <cell r="BA2365" t="str">
            <v/>
          </cell>
        </row>
        <row r="2366">
          <cell r="B2366" t="str">
            <v>-</v>
          </cell>
          <cell r="E2366" t="str">
            <v/>
          </cell>
          <cell r="G2366" t="str">
            <v/>
          </cell>
          <cell r="J2366" t="str">
            <v/>
          </cell>
          <cell r="O2366" t="str">
            <v/>
          </cell>
          <cell r="P2366" t="str">
            <v/>
          </cell>
          <cell r="Q2366" t="str">
            <v/>
          </cell>
          <cell r="S2366" t="str">
            <v/>
          </cell>
          <cell r="V2366" t="str">
            <v/>
          </cell>
          <cell r="Z2366" t="str">
            <v/>
          </cell>
          <cell r="AA2366" t="str">
            <v/>
          </cell>
          <cell r="AB2366" t="str">
            <v/>
          </cell>
          <cell r="AC2366" t="str">
            <v/>
          </cell>
          <cell r="AD2366" t="str">
            <v/>
          </cell>
          <cell r="AY2366" t="str">
            <v/>
          </cell>
          <cell r="AZ2366" t="str">
            <v/>
          </cell>
          <cell r="BA2366" t="str">
            <v/>
          </cell>
        </row>
        <row r="2367">
          <cell r="B2367" t="str">
            <v>-</v>
          </cell>
          <cell r="E2367" t="str">
            <v/>
          </cell>
          <cell r="G2367" t="str">
            <v/>
          </cell>
          <cell r="J2367" t="str">
            <v/>
          </cell>
          <cell r="O2367" t="str">
            <v/>
          </cell>
          <cell r="P2367" t="str">
            <v/>
          </cell>
          <cell r="Q2367" t="str">
            <v/>
          </cell>
          <cell r="S2367" t="str">
            <v/>
          </cell>
          <cell r="V2367" t="str">
            <v/>
          </cell>
          <cell r="Z2367" t="str">
            <v/>
          </cell>
          <cell r="AA2367" t="str">
            <v/>
          </cell>
          <cell r="AB2367" t="str">
            <v/>
          </cell>
          <cell r="AC2367" t="str">
            <v/>
          </cell>
          <cell r="AD2367" t="str">
            <v/>
          </cell>
          <cell r="AY2367" t="str">
            <v/>
          </cell>
          <cell r="AZ2367" t="str">
            <v/>
          </cell>
          <cell r="BA2367" t="str">
            <v/>
          </cell>
        </row>
        <row r="2368">
          <cell r="B2368" t="str">
            <v>-</v>
          </cell>
          <cell r="E2368" t="str">
            <v/>
          </cell>
          <cell r="G2368" t="str">
            <v/>
          </cell>
          <cell r="J2368" t="str">
            <v/>
          </cell>
          <cell r="O2368" t="str">
            <v/>
          </cell>
          <cell r="P2368" t="str">
            <v/>
          </cell>
          <cell r="Q2368" t="str">
            <v/>
          </cell>
          <cell r="S2368" t="str">
            <v/>
          </cell>
          <cell r="V2368" t="str">
            <v/>
          </cell>
          <cell r="Z2368" t="str">
            <v/>
          </cell>
          <cell r="AA2368" t="str">
            <v/>
          </cell>
          <cell r="AB2368" t="str">
            <v/>
          </cell>
          <cell r="AC2368" t="str">
            <v/>
          </cell>
          <cell r="AD2368" t="str">
            <v/>
          </cell>
          <cell r="AY2368" t="str">
            <v/>
          </cell>
          <cell r="AZ2368" t="str">
            <v/>
          </cell>
          <cell r="BA2368" t="str">
            <v/>
          </cell>
        </row>
        <row r="2369">
          <cell r="B2369" t="str">
            <v>-</v>
          </cell>
          <cell r="E2369" t="str">
            <v/>
          </cell>
          <cell r="G2369" t="str">
            <v/>
          </cell>
          <cell r="J2369" t="str">
            <v/>
          </cell>
          <cell r="O2369" t="str">
            <v/>
          </cell>
          <cell r="P2369" t="str">
            <v/>
          </cell>
          <cell r="Q2369" t="str">
            <v/>
          </cell>
          <cell r="S2369" t="str">
            <v/>
          </cell>
          <cell r="V2369" t="str">
            <v/>
          </cell>
          <cell r="Z2369" t="str">
            <v/>
          </cell>
          <cell r="AA2369" t="str">
            <v/>
          </cell>
          <cell r="AB2369" t="str">
            <v/>
          </cell>
          <cell r="AC2369" t="str">
            <v/>
          </cell>
          <cell r="AD2369" t="str">
            <v/>
          </cell>
          <cell r="AY2369" t="str">
            <v/>
          </cell>
          <cell r="AZ2369" t="str">
            <v/>
          </cell>
          <cell r="BA2369" t="str">
            <v/>
          </cell>
        </row>
        <row r="2370">
          <cell r="B2370" t="str">
            <v>-</v>
          </cell>
          <cell r="E2370" t="str">
            <v/>
          </cell>
          <cell r="G2370" t="str">
            <v/>
          </cell>
          <cell r="J2370" t="str">
            <v/>
          </cell>
          <cell r="O2370" t="str">
            <v/>
          </cell>
          <cell r="P2370" t="str">
            <v/>
          </cell>
          <cell r="Q2370" t="str">
            <v/>
          </cell>
          <cell r="S2370" t="str">
            <v/>
          </cell>
          <cell r="V2370" t="str">
            <v/>
          </cell>
          <cell r="Z2370" t="str">
            <v/>
          </cell>
          <cell r="AA2370" t="str">
            <v/>
          </cell>
          <cell r="AB2370" t="str">
            <v/>
          </cell>
          <cell r="AC2370" t="str">
            <v/>
          </cell>
          <cell r="AD2370" t="str">
            <v/>
          </cell>
          <cell r="AY2370" t="str">
            <v/>
          </cell>
          <cell r="AZ2370" t="str">
            <v/>
          </cell>
          <cell r="BA2370" t="str">
            <v/>
          </cell>
        </row>
        <row r="2371">
          <cell r="B2371" t="str">
            <v>-</v>
          </cell>
          <cell r="E2371" t="str">
            <v/>
          </cell>
          <cell r="G2371" t="str">
            <v/>
          </cell>
          <cell r="J2371" t="str">
            <v/>
          </cell>
          <cell r="O2371" t="str">
            <v/>
          </cell>
          <cell r="P2371" t="str">
            <v/>
          </cell>
          <cell r="Q2371" t="str">
            <v/>
          </cell>
          <cell r="S2371" t="str">
            <v/>
          </cell>
          <cell r="V2371" t="str">
            <v/>
          </cell>
          <cell r="Z2371" t="str">
            <v/>
          </cell>
          <cell r="AA2371" t="str">
            <v/>
          </cell>
          <cell r="AB2371" t="str">
            <v/>
          </cell>
          <cell r="AC2371" t="str">
            <v/>
          </cell>
          <cell r="AD2371" t="str">
            <v/>
          </cell>
          <cell r="AY2371" t="str">
            <v/>
          </cell>
          <cell r="AZ2371" t="str">
            <v/>
          </cell>
          <cell r="BA2371" t="str">
            <v/>
          </cell>
        </row>
        <row r="2372">
          <cell r="B2372" t="str">
            <v>-</v>
          </cell>
          <cell r="E2372" t="str">
            <v/>
          </cell>
          <cell r="G2372" t="str">
            <v/>
          </cell>
          <cell r="J2372" t="str">
            <v/>
          </cell>
          <cell r="O2372" t="str">
            <v/>
          </cell>
          <cell r="P2372" t="str">
            <v/>
          </cell>
          <cell r="Q2372" t="str">
            <v/>
          </cell>
          <cell r="S2372" t="str">
            <v/>
          </cell>
          <cell r="V2372" t="str">
            <v/>
          </cell>
          <cell r="Z2372" t="str">
            <v/>
          </cell>
          <cell r="AA2372" t="str">
            <v/>
          </cell>
          <cell r="AB2372" t="str">
            <v/>
          </cell>
          <cell r="AC2372" t="str">
            <v/>
          </cell>
          <cell r="AD2372" t="str">
            <v/>
          </cell>
          <cell r="AY2372" t="str">
            <v/>
          </cell>
          <cell r="AZ2372" t="str">
            <v/>
          </cell>
          <cell r="BA2372" t="str">
            <v/>
          </cell>
        </row>
        <row r="2373">
          <cell r="B2373" t="str">
            <v>-</v>
          </cell>
          <cell r="E2373" t="str">
            <v/>
          </cell>
          <cell r="G2373" t="str">
            <v/>
          </cell>
          <cell r="J2373" t="str">
            <v/>
          </cell>
          <cell r="O2373" t="str">
            <v/>
          </cell>
          <cell r="P2373" t="str">
            <v/>
          </cell>
          <cell r="Q2373" t="str">
            <v/>
          </cell>
          <cell r="S2373" t="str">
            <v/>
          </cell>
          <cell r="V2373" t="str">
            <v/>
          </cell>
          <cell r="Z2373" t="str">
            <v/>
          </cell>
          <cell r="AA2373" t="str">
            <v/>
          </cell>
          <cell r="AB2373" t="str">
            <v/>
          </cell>
          <cell r="AC2373" t="str">
            <v/>
          </cell>
          <cell r="AD2373" t="str">
            <v/>
          </cell>
          <cell r="AY2373" t="str">
            <v/>
          </cell>
          <cell r="AZ2373" t="str">
            <v/>
          </cell>
          <cell r="BA2373" t="str">
            <v/>
          </cell>
        </row>
        <row r="2374">
          <cell r="B2374" t="str">
            <v>-</v>
          </cell>
          <cell r="E2374" t="str">
            <v/>
          </cell>
          <cell r="G2374" t="str">
            <v/>
          </cell>
          <cell r="J2374" t="str">
            <v/>
          </cell>
          <cell r="O2374" t="str">
            <v/>
          </cell>
          <cell r="P2374" t="str">
            <v/>
          </cell>
          <cell r="Q2374" t="str">
            <v/>
          </cell>
          <cell r="S2374" t="str">
            <v/>
          </cell>
          <cell r="V2374" t="str">
            <v/>
          </cell>
          <cell r="Z2374" t="str">
            <v/>
          </cell>
          <cell r="AA2374" t="str">
            <v/>
          </cell>
          <cell r="AB2374" t="str">
            <v/>
          </cell>
          <cell r="AC2374" t="str">
            <v/>
          </cell>
          <cell r="AD2374" t="str">
            <v/>
          </cell>
          <cell r="AY2374" t="str">
            <v/>
          </cell>
          <cell r="AZ2374" t="str">
            <v/>
          </cell>
          <cell r="BA2374" t="str">
            <v/>
          </cell>
        </row>
        <row r="2375">
          <cell r="B2375" t="str">
            <v>-</v>
          </cell>
          <cell r="E2375" t="str">
            <v/>
          </cell>
          <cell r="G2375" t="str">
            <v/>
          </cell>
          <cell r="J2375" t="str">
            <v/>
          </cell>
          <cell r="O2375" t="str">
            <v/>
          </cell>
          <cell r="P2375" t="str">
            <v/>
          </cell>
          <cell r="Q2375" t="str">
            <v/>
          </cell>
          <cell r="S2375" t="str">
            <v/>
          </cell>
          <cell r="V2375" t="str">
            <v/>
          </cell>
          <cell r="Z2375" t="str">
            <v/>
          </cell>
          <cell r="AA2375" t="str">
            <v/>
          </cell>
          <cell r="AB2375" t="str">
            <v/>
          </cell>
          <cell r="AC2375" t="str">
            <v/>
          </cell>
          <cell r="AD2375" t="str">
            <v/>
          </cell>
          <cell r="AY2375" t="str">
            <v/>
          </cell>
          <cell r="AZ2375" t="str">
            <v/>
          </cell>
          <cell r="BA2375" t="str">
            <v/>
          </cell>
        </row>
        <row r="2376">
          <cell r="B2376" t="str">
            <v>-</v>
          </cell>
          <cell r="E2376" t="str">
            <v/>
          </cell>
          <cell r="G2376" t="str">
            <v/>
          </cell>
          <cell r="J2376" t="str">
            <v/>
          </cell>
          <cell r="O2376" t="str">
            <v/>
          </cell>
          <cell r="P2376" t="str">
            <v/>
          </cell>
          <cell r="Q2376" t="str">
            <v/>
          </cell>
          <cell r="S2376" t="str">
            <v/>
          </cell>
          <cell r="V2376" t="str">
            <v/>
          </cell>
          <cell r="Z2376" t="str">
            <v/>
          </cell>
          <cell r="AA2376" t="str">
            <v/>
          </cell>
          <cell r="AB2376" t="str">
            <v/>
          </cell>
          <cell r="AC2376" t="str">
            <v/>
          </cell>
          <cell r="AD2376" t="str">
            <v/>
          </cell>
          <cell r="AY2376" t="str">
            <v/>
          </cell>
          <cell r="AZ2376" t="str">
            <v/>
          </cell>
          <cell r="BA2376" t="str">
            <v/>
          </cell>
        </row>
        <row r="2377">
          <cell r="B2377" t="str">
            <v>-</v>
          </cell>
          <cell r="E2377" t="str">
            <v/>
          </cell>
          <cell r="G2377" t="str">
            <v/>
          </cell>
          <cell r="J2377" t="str">
            <v/>
          </cell>
          <cell r="O2377" t="str">
            <v/>
          </cell>
          <cell r="P2377" t="str">
            <v/>
          </cell>
          <cell r="Q2377" t="str">
            <v/>
          </cell>
          <cell r="S2377" t="str">
            <v/>
          </cell>
          <cell r="V2377" t="str">
            <v/>
          </cell>
          <cell r="Z2377" t="str">
            <v/>
          </cell>
          <cell r="AA2377" t="str">
            <v/>
          </cell>
          <cell r="AB2377" t="str">
            <v/>
          </cell>
          <cell r="AC2377" t="str">
            <v/>
          </cell>
          <cell r="AD2377" t="str">
            <v/>
          </cell>
          <cell r="AY2377" t="str">
            <v/>
          </cell>
          <cell r="AZ2377" t="str">
            <v/>
          </cell>
          <cell r="BA2377" t="str">
            <v/>
          </cell>
        </row>
        <row r="2378">
          <cell r="B2378" t="str">
            <v>-</v>
          </cell>
          <cell r="E2378" t="str">
            <v/>
          </cell>
          <cell r="G2378" t="str">
            <v/>
          </cell>
          <cell r="J2378" t="str">
            <v/>
          </cell>
          <cell r="O2378" t="str">
            <v/>
          </cell>
          <cell r="P2378" t="str">
            <v/>
          </cell>
          <cell r="Q2378" t="str">
            <v/>
          </cell>
          <cell r="S2378" t="str">
            <v/>
          </cell>
          <cell r="V2378" t="str">
            <v/>
          </cell>
          <cell r="Z2378" t="str">
            <v/>
          </cell>
          <cell r="AA2378" t="str">
            <v/>
          </cell>
          <cell r="AB2378" t="str">
            <v/>
          </cell>
          <cell r="AC2378" t="str">
            <v/>
          </cell>
          <cell r="AD2378" t="str">
            <v/>
          </cell>
          <cell r="AY2378" t="str">
            <v/>
          </cell>
          <cell r="AZ2378" t="str">
            <v/>
          </cell>
          <cell r="BA2378" t="str">
            <v/>
          </cell>
        </row>
        <row r="2379">
          <cell r="B2379" t="str">
            <v>-</v>
          </cell>
          <cell r="E2379" t="str">
            <v/>
          </cell>
          <cell r="G2379" t="str">
            <v/>
          </cell>
          <cell r="J2379" t="str">
            <v/>
          </cell>
          <cell r="O2379" t="str">
            <v/>
          </cell>
          <cell r="P2379" t="str">
            <v/>
          </cell>
          <cell r="Q2379" t="str">
            <v/>
          </cell>
          <cell r="S2379" t="str">
            <v/>
          </cell>
          <cell r="V2379" t="str">
            <v/>
          </cell>
          <cell r="Z2379" t="str">
            <v/>
          </cell>
          <cell r="AA2379" t="str">
            <v/>
          </cell>
          <cell r="AB2379" t="str">
            <v/>
          </cell>
          <cell r="AC2379" t="str">
            <v/>
          </cell>
          <cell r="AD2379" t="str">
            <v/>
          </cell>
          <cell r="AY2379" t="str">
            <v/>
          </cell>
          <cell r="AZ2379" t="str">
            <v/>
          </cell>
          <cell r="BA2379" t="str">
            <v/>
          </cell>
        </row>
        <row r="2380">
          <cell r="B2380" t="str">
            <v>-</v>
          </cell>
          <cell r="E2380" t="str">
            <v/>
          </cell>
          <cell r="G2380" t="str">
            <v/>
          </cell>
          <cell r="J2380" t="str">
            <v/>
          </cell>
          <cell r="O2380" t="str">
            <v/>
          </cell>
          <cell r="P2380" t="str">
            <v/>
          </cell>
          <cell r="Q2380" t="str">
            <v/>
          </cell>
          <cell r="S2380" t="str">
            <v/>
          </cell>
          <cell r="V2380" t="str">
            <v/>
          </cell>
          <cell r="Z2380" t="str">
            <v/>
          </cell>
          <cell r="AA2380" t="str">
            <v/>
          </cell>
          <cell r="AB2380" t="str">
            <v/>
          </cell>
          <cell r="AC2380" t="str">
            <v/>
          </cell>
          <cell r="AD2380" t="str">
            <v/>
          </cell>
          <cell r="AY2380" t="str">
            <v/>
          </cell>
          <cell r="AZ2380" t="str">
            <v/>
          </cell>
          <cell r="BA2380" t="str">
            <v/>
          </cell>
        </row>
        <row r="2381">
          <cell r="B2381" t="str">
            <v>-</v>
          </cell>
          <cell r="E2381" t="str">
            <v/>
          </cell>
          <cell r="G2381" t="str">
            <v/>
          </cell>
          <cell r="J2381" t="str">
            <v/>
          </cell>
          <cell r="O2381" t="str">
            <v/>
          </cell>
          <cell r="P2381" t="str">
            <v/>
          </cell>
          <cell r="Q2381" t="str">
            <v/>
          </cell>
          <cell r="S2381" t="str">
            <v/>
          </cell>
          <cell r="V2381" t="str">
            <v/>
          </cell>
          <cell r="Z2381" t="str">
            <v/>
          </cell>
          <cell r="AA2381" t="str">
            <v/>
          </cell>
          <cell r="AB2381" t="str">
            <v/>
          </cell>
          <cell r="AC2381" t="str">
            <v/>
          </cell>
          <cell r="AD2381" t="str">
            <v/>
          </cell>
          <cell r="AY2381" t="str">
            <v/>
          </cell>
          <cell r="AZ2381" t="str">
            <v/>
          </cell>
          <cell r="BA2381" t="str">
            <v/>
          </cell>
        </row>
        <row r="2382">
          <cell r="B2382" t="str">
            <v>-</v>
          </cell>
          <cell r="E2382" t="str">
            <v/>
          </cell>
          <cell r="G2382" t="str">
            <v/>
          </cell>
          <cell r="J2382" t="str">
            <v/>
          </cell>
          <cell r="O2382" t="str">
            <v/>
          </cell>
          <cell r="P2382" t="str">
            <v/>
          </cell>
          <cell r="Q2382" t="str">
            <v/>
          </cell>
          <cell r="S2382" t="str">
            <v/>
          </cell>
          <cell r="V2382" t="str">
            <v/>
          </cell>
          <cell r="Z2382" t="str">
            <v/>
          </cell>
          <cell r="AA2382" t="str">
            <v/>
          </cell>
          <cell r="AB2382" t="str">
            <v/>
          </cell>
          <cell r="AC2382" t="str">
            <v/>
          </cell>
          <cell r="AD2382" t="str">
            <v/>
          </cell>
          <cell r="AY2382" t="str">
            <v/>
          </cell>
          <cell r="AZ2382" t="str">
            <v/>
          </cell>
          <cell r="BA2382" t="str">
            <v/>
          </cell>
        </row>
        <row r="2383">
          <cell r="B2383" t="str">
            <v>-</v>
          </cell>
          <cell r="E2383" t="str">
            <v/>
          </cell>
          <cell r="G2383" t="str">
            <v/>
          </cell>
          <cell r="J2383" t="str">
            <v/>
          </cell>
          <cell r="O2383" t="str">
            <v/>
          </cell>
          <cell r="P2383" t="str">
            <v/>
          </cell>
          <cell r="Q2383" t="str">
            <v/>
          </cell>
          <cell r="S2383" t="str">
            <v/>
          </cell>
          <cell r="V2383" t="str">
            <v/>
          </cell>
          <cell r="Z2383" t="str">
            <v/>
          </cell>
          <cell r="AA2383" t="str">
            <v/>
          </cell>
          <cell r="AB2383" t="str">
            <v/>
          </cell>
          <cell r="AC2383" t="str">
            <v/>
          </cell>
          <cell r="AD2383" t="str">
            <v/>
          </cell>
          <cell r="AY2383" t="str">
            <v/>
          </cell>
          <cell r="AZ2383" t="str">
            <v/>
          </cell>
          <cell r="BA2383" t="str">
            <v/>
          </cell>
        </row>
        <row r="2384">
          <cell r="B2384" t="str">
            <v>-</v>
          </cell>
          <cell r="E2384" t="str">
            <v/>
          </cell>
          <cell r="G2384" t="str">
            <v/>
          </cell>
          <cell r="J2384" t="str">
            <v/>
          </cell>
          <cell r="O2384" t="str">
            <v/>
          </cell>
          <cell r="P2384" t="str">
            <v/>
          </cell>
          <cell r="Q2384" t="str">
            <v/>
          </cell>
          <cell r="S2384" t="str">
            <v/>
          </cell>
          <cell r="V2384" t="str">
            <v/>
          </cell>
          <cell r="Z2384" t="str">
            <v/>
          </cell>
          <cell r="AA2384" t="str">
            <v/>
          </cell>
          <cell r="AB2384" t="str">
            <v/>
          </cell>
          <cell r="AC2384" t="str">
            <v/>
          </cell>
          <cell r="AD2384" t="str">
            <v/>
          </cell>
          <cell r="AY2384" t="str">
            <v/>
          </cell>
          <cell r="AZ2384" t="str">
            <v/>
          </cell>
          <cell r="BA2384" t="str">
            <v/>
          </cell>
        </row>
        <row r="2385">
          <cell r="B2385" t="str">
            <v>-</v>
          </cell>
          <cell r="E2385" t="str">
            <v/>
          </cell>
          <cell r="G2385" t="str">
            <v/>
          </cell>
          <cell r="J2385" t="str">
            <v/>
          </cell>
          <cell r="O2385" t="str">
            <v/>
          </cell>
          <cell r="P2385" t="str">
            <v/>
          </cell>
          <cell r="Q2385" t="str">
            <v/>
          </cell>
          <cell r="S2385" t="str">
            <v/>
          </cell>
          <cell r="V2385" t="str">
            <v/>
          </cell>
          <cell r="Z2385" t="str">
            <v/>
          </cell>
          <cell r="AA2385" t="str">
            <v/>
          </cell>
          <cell r="AB2385" t="str">
            <v/>
          </cell>
          <cell r="AC2385" t="str">
            <v/>
          </cell>
          <cell r="AD2385" t="str">
            <v/>
          </cell>
          <cell r="AY2385" t="str">
            <v/>
          </cell>
          <cell r="AZ2385" t="str">
            <v/>
          </cell>
          <cell r="BA2385" t="str">
            <v/>
          </cell>
        </row>
        <row r="2386">
          <cell r="B2386" t="str">
            <v>-</v>
          </cell>
          <cell r="E2386" t="str">
            <v/>
          </cell>
          <cell r="G2386" t="str">
            <v/>
          </cell>
          <cell r="J2386" t="str">
            <v/>
          </cell>
          <cell r="O2386" t="str">
            <v/>
          </cell>
          <cell r="P2386" t="str">
            <v/>
          </cell>
          <cell r="Q2386" t="str">
            <v/>
          </cell>
          <cell r="S2386" t="str">
            <v/>
          </cell>
          <cell r="V2386" t="str">
            <v/>
          </cell>
          <cell r="Z2386" t="str">
            <v/>
          </cell>
          <cell r="AA2386" t="str">
            <v/>
          </cell>
          <cell r="AB2386" t="str">
            <v/>
          </cell>
          <cell r="AC2386" t="str">
            <v/>
          </cell>
          <cell r="AD2386" t="str">
            <v/>
          </cell>
          <cell r="AY2386" t="str">
            <v/>
          </cell>
          <cell r="AZ2386" t="str">
            <v/>
          </cell>
          <cell r="BA2386" t="str">
            <v/>
          </cell>
        </row>
        <row r="2387">
          <cell r="B2387" t="str">
            <v>-</v>
          </cell>
          <cell r="E2387" t="str">
            <v/>
          </cell>
          <cell r="G2387" t="str">
            <v/>
          </cell>
          <cell r="J2387" t="str">
            <v/>
          </cell>
          <cell r="O2387" t="str">
            <v/>
          </cell>
          <cell r="P2387" t="str">
            <v/>
          </cell>
          <cell r="Q2387" t="str">
            <v/>
          </cell>
          <cell r="S2387" t="str">
            <v/>
          </cell>
          <cell r="V2387" t="str">
            <v/>
          </cell>
          <cell r="Z2387" t="str">
            <v/>
          </cell>
          <cell r="AA2387" t="str">
            <v/>
          </cell>
          <cell r="AB2387" t="str">
            <v/>
          </cell>
          <cell r="AC2387" t="str">
            <v/>
          </cell>
          <cell r="AD2387" t="str">
            <v/>
          </cell>
          <cell r="AY2387" t="str">
            <v/>
          </cell>
          <cell r="AZ2387" t="str">
            <v/>
          </cell>
          <cell r="BA2387" t="str">
            <v/>
          </cell>
        </row>
        <row r="2388">
          <cell r="B2388" t="str">
            <v>-</v>
          </cell>
          <cell r="E2388" t="str">
            <v/>
          </cell>
          <cell r="G2388" t="str">
            <v/>
          </cell>
          <cell r="J2388" t="str">
            <v/>
          </cell>
          <cell r="O2388" t="str">
            <v/>
          </cell>
          <cell r="P2388" t="str">
            <v/>
          </cell>
          <cell r="Q2388" t="str">
            <v/>
          </cell>
          <cell r="S2388" t="str">
            <v/>
          </cell>
          <cell r="V2388" t="str">
            <v/>
          </cell>
          <cell r="Z2388" t="str">
            <v/>
          </cell>
          <cell r="AA2388" t="str">
            <v/>
          </cell>
          <cell r="AB2388" t="str">
            <v/>
          </cell>
          <cell r="AC2388" t="str">
            <v/>
          </cell>
          <cell r="AD2388" t="str">
            <v/>
          </cell>
          <cell r="AY2388" t="str">
            <v/>
          </cell>
          <cell r="AZ2388" t="str">
            <v/>
          </cell>
          <cell r="BA2388" t="str">
            <v/>
          </cell>
        </row>
        <row r="2389">
          <cell r="B2389" t="str">
            <v>-</v>
          </cell>
          <cell r="E2389" t="str">
            <v/>
          </cell>
          <cell r="G2389" t="str">
            <v/>
          </cell>
          <cell r="J2389" t="str">
            <v/>
          </cell>
          <cell r="O2389" t="str">
            <v/>
          </cell>
          <cell r="P2389" t="str">
            <v/>
          </cell>
          <cell r="Q2389" t="str">
            <v/>
          </cell>
          <cell r="S2389" t="str">
            <v/>
          </cell>
          <cell r="V2389" t="str">
            <v/>
          </cell>
          <cell r="Z2389" t="str">
            <v/>
          </cell>
          <cell r="AA2389" t="str">
            <v/>
          </cell>
          <cell r="AB2389" t="str">
            <v/>
          </cell>
          <cell r="AC2389" t="str">
            <v/>
          </cell>
          <cell r="AD2389" t="str">
            <v/>
          </cell>
          <cell r="AY2389" t="str">
            <v/>
          </cell>
          <cell r="AZ2389" t="str">
            <v/>
          </cell>
          <cell r="BA2389" t="str">
            <v/>
          </cell>
        </row>
        <row r="2390">
          <cell r="B2390" t="str">
            <v>-</v>
          </cell>
          <cell r="E2390" t="str">
            <v/>
          </cell>
          <cell r="G2390" t="str">
            <v/>
          </cell>
          <cell r="J2390" t="str">
            <v/>
          </cell>
          <cell r="O2390" t="str">
            <v/>
          </cell>
          <cell r="P2390" t="str">
            <v/>
          </cell>
          <cell r="Q2390" t="str">
            <v/>
          </cell>
          <cell r="S2390" t="str">
            <v/>
          </cell>
          <cell r="V2390" t="str">
            <v/>
          </cell>
          <cell r="Z2390" t="str">
            <v/>
          </cell>
          <cell r="AA2390" t="str">
            <v/>
          </cell>
          <cell r="AB2390" t="str">
            <v/>
          </cell>
          <cell r="AC2390" t="str">
            <v/>
          </cell>
          <cell r="AD2390" t="str">
            <v/>
          </cell>
          <cell r="AY2390" t="str">
            <v/>
          </cell>
          <cell r="AZ2390" t="str">
            <v/>
          </cell>
          <cell r="BA2390" t="str">
            <v/>
          </cell>
        </row>
        <row r="2391">
          <cell r="B2391" t="str">
            <v>-</v>
          </cell>
          <cell r="E2391" t="str">
            <v/>
          </cell>
          <cell r="G2391" t="str">
            <v/>
          </cell>
          <cell r="J2391" t="str">
            <v/>
          </cell>
          <cell r="O2391" t="str">
            <v/>
          </cell>
          <cell r="P2391" t="str">
            <v/>
          </cell>
          <cell r="Q2391" t="str">
            <v/>
          </cell>
          <cell r="S2391" t="str">
            <v/>
          </cell>
          <cell r="V2391" t="str">
            <v/>
          </cell>
          <cell r="Z2391" t="str">
            <v/>
          </cell>
          <cell r="AA2391" t="str">
            <v/>
          </cell>
          <cell r="AB2391" t="str">
            <v/>
          </cell>
          <cell r="AC2391" t="str">
            <v/>
          </cell>
          <cell r="AD2391" t="str">
            <v/>
          </cell>
          <cell r="AY2391" t="str">
            <v/>
          </cell>
          <cell r="AZ2391" t="str">
            <v/>
          </cell>
          <cell r="BA2391" t="str">
            <v/>
          </cell>
        </row>
        <row r="2392">
          <cell r="B2392" t="str">
            <v>-</v>
          </cell>
          <cell r="E2392" t="str">
            <v/>
          </cell>
          <cell r="G2392" t="str">
            <v/>
          </cell>
          <cell r="J2392" t="str">
            <v/>
          </cell>
          <cell r="O2392" t="str">
            <v/>
          </cell>
          <cell r="P2392" t="str">
            <v/>
          </cell>
          <cell r="Q2392" t="str">
            <v/>
          </cell>
          <cell r="S2392" t="str">
            <v/>
          </cell>
          <cell r="V2392" t="str">
            <v/>
          </cell>
          <cell r="Z2392" t="str">
            <v/>
          </cell>
          <cell r="AA2392" t="str">
            <v/>
          </cell>
          <cell r="AB2392" t="str">
            <v/>
          </cell>
          <cell r="AC2392" t="str">
            <v/>
          </cell>
          <cell r="AD2392" t="str">
            <v/>
          </cell>
          <cell r="AY2392" t="str">
            <v/>
          </cell>
          <cell r="AZ2392" t="str">
            <v/>
          </cell>
          <cell r="BA2392" t="str">
            <v/>
          </cell>
        </row>
        <row r="2393">
          <cell r="B2393" t="str">
            <v>-</v>
          </cell>
          <cell r="E2393" t="str">
            <v/>
          </cell>
          <cell r="G2393" t="str">
            <v/>
          </cell>
          <cell r="J2393" t="str">
            <v/>
          </cell>
          <cell r="O2393" t="str">
            <v/>
          </cell>
          <cell r="P2393" t="str">
            <v/>
          </cell>
          <cell r="Q2393" t="str">
            <v/>
          </cell>
          <cell r="S2393" t="str">
            <v/>
          </cell>
          <cell r="V2393" t="str">
            <v/>
          </cell>
          <cell r="Z2393" t="str">
            <v/>
          </cell>
          <cell r="AA2393" t="str">
            <v/>
          </cell>
          <cell r="AB2393" t="str">
            <v/>
          </cell>
          <cell r="AC2393" t="str">
            <v/>
          </cell>
          <cell r="AD2393" t="str">
            <v/>
          </cell>
          <cell r="AY2393" t="str">
            <v/>
          </cell>
          <cell r="AZ2393" t="str">
            <v/>
          </cell>
          <cell r="BA2393" t="str">
            <v/>
          </cell>
        </row>
        <row r="2394">
          <cell r="B2394" t="str">
            <v>-</v>
          </cell>
          <cell r="E2394" t="str">
            <v/>
          </cell>
          <cell r="G2394" t="str">
            <v/>
          </cell>
          <cell r="J2394" t="str">
            <v/>
          </cell>
          <cell r="O2394" t="str">
            <v/>
          </cell>
          <cell r="P2394" t="str">
            <v/>
          </cell>
          <cell r="Q2394" t="str">
            <v/>
          </cell>
          <cell r="S2394" t="str">
            <v/>
          </cell>
          <cell r="V2394" t="str">
            <v/>
          </cell>
          <cell r="Z2394" t="str">
            <v/>
          </cell>
          <cell r="AA2394" t="str">
            <v/>
          </cell>
          <cell r="AB2394" t="str">
            <v/>
          </cell>
          <cell r="AC2394" t="str">
            <v/>
          </cell>
          <cell r="AD2394" t="str">
            <v/>
          </cell>
          <cell r="AY2394" t="str">
            <v/>
          </cell>
          <cell r="AZ2394" t="str">
            <v/>
          </cell>
          <cell r="BA2394" t="str">
            <v/>
          </cell>
        </row>
        <row r="2395">
          <cell r="B2395" t="str">
            <v>-</v>
          </cell>
          <cell r="E2395" t="str">
            <v/>
          </cell>
          <cell r="G2395" t="str">
            <v/>
          </cell>
          <cell r="J2395" t="str">
            <v/>
          </cell>
          <cell r="O2395" t="str">
            <v/>
          </cell>
          <cell r="P2395" t="str">
            <v/>
          </cell>
          <cell r="Q2395" t="str">
            <v/>
          </cell>
          <cell r="S2395" t="str">
            <v/>
          </cell>
          <cell r="V2395" t="str">
            <v/>
          </cell>
          <cell r="Z2395" t="str">
            <v/>
          </cell>
          <cell r="AA2395" t="str">
            <v/>
          </cell>
          <cell r="AB2395" t="str">
            <v/>
          </cell>
          <cell r="AC2395" t="str">
            <v/>
          </cell>
          <cell r="AD2395" t="str">
            <v/>
          </cell>
          <cell r="AY2395" t="str">
            <v/>
          </cell>
          <cell r="AZ2395" t="str">
            <v/>
          </cell>
          <cell r="BA2395" t="str">
            <v/>
          </cell>
        </row>
        <row r="2396">
          <cell r="B2396" t="str">
            <v>-</v>
          </cell>
          <cell r="E2396" t="str">
            <v/>
          </cell>
          <cell r="G2396" t="str">
            <v/>
          </cell>
          <cell r="J2396" t="str">
            <v/>
          </cell>
          <cell r="O2396" t="str">
            <v/>
          </cell>
          <cell r="P2396" t="str">
            <v/>
          </cell>
          <cell r="Q2396" t="str">
            <v/>
          </cell>
          <cell r="S2396" t="str">
            <v/>
          </cell>
          <cell r="V2396" t="str">
            <v/>
          </cell>
          <cell r="Z2396" t="str">
            <v/>
          </cell>
          <cell r="AA2396" t="str">
            <v/>
          </cell>
          <cell r="AB2396" t="str">
            <v/>
          </cell>
          <cell r="AC2396" t="str">
            <v/>
          </cell>
          <cell r="AD2396" t="str">
            <v/>
          </cell>
          <cell r="AY2396" t="str">
            <v/>
          </cell>
          <cell r="AZ2396" t="str">
            <v/>
          </cell>
          <cell r="BA2396" t="str">
            <v/>
          </cell>
        </row>
        <row r="2397">
          <cell r="B2397" t="str">
            <v>-</v>
          </cell>
          <cell r="E2397" t="str">
            <v/>
          </cell>
          <cell r="G2397" t="str">
            <v/>
          </cell>
          <cell r="J2397" t="str">
            <v/>
          </cell>
          <cell r="O2397" t="str">
            <v/>
          </cell>
          <cell r="P2397" t="str">
            <v/>
          </cell>
          <cell r="Q2397" t="str">
            <v/>
          </cell>
          <cell r="S2397" t="str">
            <v/>
          </cell>
          <cell r="V2397" t="str">
            <v/>
          </cell>
          <cell r="Z2397" t="str">
            <v/>
          </cell>
          <cell r="AA2397" t="str">
            <v/>
          </cell>
          <cell r="AB2397" t="str">
            <v/>
          </cell>
          <cell r="AC2397" t="str">
            <v/>
          </cell>
          <cell r="AD2397" t="str">
            <v/>
          </cell>
          <cell r="AY2397" t="str">
            <v/>
          </cell>
          <cell r="AZ2397" t="str">
            <v/>
          </cell>
          <cell r="BA2397" t="str">
            <v/>
          </cell>
        </row>
        <row r="2398">
          <cell r="B2398" t="str">
            <v>-</v>
          </cell>
          <cell r="E2398" t="str">
            <v/>
          </cell>
          <cell r="G2398" t="str">
            <v/>
          </cell>
          <cell r="J2398" t="str">
            <v/>
          </cell>
          <cell r="O2398" t="str">
            <v/>
          </cell>
          <cell r="P2398" t="str">
            <v/>
          </cell>
          <cell r="Q2398" t="str">
            <v/>
          </cell>
          <cell r="S2398" t="str">
            <v/>
          </cell>
          <cell r="V2398" t="str">
            <v/>
          </cell>
          <cell r="Z2398" t="str">
            <v/>
          </cell>
          <cell r="AA2398" t="str">
            <v/>
          </cell>
          <cell r="AB2398" t="str">
            <v/>
          </cell>
          <cell r="AC2398" t="str">
            <v/>
          </cell>
          <cell r="AD2398" t="str">
            <v/>
          </cell>
          <cell r="AY2398" t="str">
            <v/>
          </cell>
          <cell r="AZ2398" t="str">
            <v/>
          </cell>
          <cell r="BA2398" t="str">
            <v/>
          </cell>
        </row>
        <row r="2399">
          <cell r="B2399" t="str">
            <v>-</v>
          </cell>
          <cell r="E2399" t="str">
            <v/>
          </cell>
          <cell r="G2399" t="str">
            <v/>
          </cell>
          <cell r="J2399" t="str">
            <v/>
          </cell>
          <cell r="O2399" t="str">
            <v/>
          </cell>
          <cell r="P2399" t="str">
            <v/>
          </cell>
          <cell r="Q2399" t="str">
            <v/>
          </cell>
          <cell r="S2399" t="str">
            <v/>
          </cell>
          <cell r="V2399" t="str">
            <v/>
          </cell>
          <cell r="Z2399" t="str">
            <v/>
          </cell>
          <cell r="AA2399" t="str">
            <v/>
          </cell>
          <cell r="AB2399" t="str">
            <v/>
          </cell>
          <cell r="AC2399" t="str">
            <v/>
          </cell>
          <cell r="AD2399" t="str">
            <v/>
          </cell>
          <cell r="AY2399" t="str">
            <v/>
          </cell>
          <cell r="AZ2399" t="str">
            <v/>
          </cell>
          <cell r="BA2399" t="str">
            <v/>
          </cell>
        </row>
        <row r="2400">
          <cell r="B2400" t="str">
            <v>-</v>
          </cell>
          <cell r="E2400" t="str">
            <v/>
          </cell>
          <cell r="G2400" t="str">
            <v/>
          </cell>
          <cell r="J2400" t="str">
            <v/>
          </cell>
          <cell r="O2400" t="str">
            <v/>
          </cell>
          <cell r="P2400" t="str">
            <v/>
          </cell>
          <cell r="Q2400" t="str">
            <v/>
          </cell>
          <cell r="S2400" t="str">
            <v/>
          </cell>
          <cell r="V2400" t="str">
            <v/>
          </cell>
          <cell r="Z2400" t="str">
            <v/>
          </cell>
          <cell r="AA2400" t="str">
            <v/>
          </cell>
          <cell r="AB2400" t="str">
            <v/>
          </cell>
          <cell r="AC2400" t="str">
            <v/>
          </cell>
          <cell r="AD2400" t="str">
            <v/>
          </cell>
          <cell r="AY2400" t="str">
            <v/>
          </cell>
          <cell r="AZ2400" t="str">
            <v/>
          </cell>
          <cell r="BA2400" t="str">
            <v/>
          </cell>
        </row>
        <row r="2401">
          <cell r="B2401" t="str">
            <v>-</v>
          </cell>
          <cell r="E2401" t="str">
            <v/>
          </cell>
          <cell r="G2401" t="str">
            <v/>
          </cell>
          <cell r="J2401" t="str">
            <v/>
          </cell>
          <cell r="O2401" t="str">
            <v/>
          </cell>
          <cell r="P2401" t="str">
            <v/>
          </cell>
          <cell r="Q2401" t="str">
            <v/>
          </cell>
          <cell r="S2401" t="str">
            <v/>
          </cell>
          <cell r="V2401" t="str">
            <v/>
          </cell>
          <cell r="Z2401" t="str">
            <v/>
          </cell>
          <cell r="AA2401" t="str">
            <v/>
          </cell>
          <cell r="AB2401" t="str">
            <v/>
          </cell>
          <cell r="AC2401" t="str">
            <v/>
          </cell>
          <cell r="AD2401" t="str">
            <v/>
          </cell>
          <cell r="AY2401" t="str">
            <v/>
          </cell>
          <cell r="AZ2401" t="str">
            <v/>
          </cell>
          <cell r="BA2401" t="str">
            <v/>
          </cell>
        </row>
        <row r="2402">
          <cell r="B2402" t="str">
            <v>-</v>
          </cell>
          <cell r="E2402" t="str">
            <v/>
          </cell>
          <cell r="G2402" t="str">
            <v/>
          </cell>
          <cell r="J2402" t="str">
            <v/>
          </cell>
          <cell r="O2402" t="str">
            <v/>
          </cell>
          <cell r="P2402" t="str">
            <v/>
          </cell>
          <cell r="Q2402" t="str">
            <v/>
          </cell>
          <cell r="S2402" t="str">
            <v/>
          </cell>
          <cell r="V2402" t="str">
            <v/>
          </cell>
          <cell r="Z2402" t="str">
            <v/>
          </cell>
          <cell r="AA2402" t="str">
            <v/>
          </cell>
          <cell r="AB2402" t="str">
            <v/>
          </cell>
          <cell r="AC2402" t="str">
            <v/>
          </cell>
          <cell r="AD2402" t="str">
            <v/>
          </cell>
          <cell r="AY2402" t="str">
            <v/>
          </cell>
          <cell r="AZ2402" t="str">
            <v/>
          </cell>
          <cell r="BA2402" t="str">
            <v/>
          </cell>
        </row>
        <row r="2403">
          <cell r="B2403" t="str">
            <v>-</v>
          </cell>
          <cell r="E2403" t="str">
            <v/>
          </cell>
          <cell r="G2403" t="str">
            <v/>
          </cell>
          <cell r="J2403" t="str">
            <v/>
          </cell>
          <cell r="O2403" t="str">
            <v/>
          </cell>
          <cell r="P2403" t="str">
            <v/>
          </cell>
          <cell r="Q2403" t="str">
            <v/>
          </cell>
          <cell r="S2403" t="str">
            <v/>
          </cell>
          <cell r="V2403" t="str">
            <v/>
          </cell>
          <cell r="Z2403" t="str">
            <v/>
          </cell>
          <cell r="AA2403" t="str">
            <v/>
          </cell>
          <cell r="AB2403" t="str">
            <v/>
          </cell>
          <cell r="AC2403" t="str">
            <v/>
          </cell>
          <cell r="AD2403" t="str">
            <v/>
          </cell>
          <cell r="AY2403" t="str">
            <v/>
          </cell>
          <cell r="AZ2403" t="str">
            <v/>
          </cell>
          <cell r="BA2403" t="str">
            <v/>
          </cell>
        </row>
        <row r="2404">
          <cell r="B2404" t="str">
            <v>-</v>
          </cell>
          <cell r="E2404" t="str">
            <v/>
          </cell>
          <cell r="G2404" t="str">
            <v/>
          </cell>
          <cell r="J2404" t="str">
            <v/>
          </cell>
          <cell r="O2404" t="str">
            <v/>
          </cell>
          <cell r="P2404" t="str">
            <v/>
          </cell>
          <cell r="Q2404" t="str">
            <v/>
          </cell>
          <cell r="S2404" t="str">
            <v/>
          </cell>
          <cell r="V2404" t="str">
            <v/>
          </cell>
          <cell r="Z2404" t="str">
            <v/>
          </cell>
          <cell r="AA2404" t="str">
            <v/>
          </cell>
          <cell r="AB2404" t="str">
            <v/>
          </cell>
          <cell r="AC2404" t="str">
            <v/>
          </cell>
          <cell r="AD2404" t="str">
            <v/>
          </cell>
          <cell r="AY2404" t="str">
            <v/>
          </cell>
          <cell r="AZ2404" t="str">
            <v/>
          </cell>
          <cell r="BA2404" t="str">
            <v/>
          </cell>
        </row>
        <row r="2405">
          <cell r="B2405" t="str">
            <v>-</v>
          </cell>
          <cell r="E2405" t="str">
            <v/>
          </cell>
          <cell r="G2405" t="str">
            <v/>
          </cell>
          <cell r="J2405" t="str">
            <v/>
          </cell>
          <cell r="O2405" t="str">
            <v/>
          </cell>
          <cell r="P2405" t="str">
            <v/>
          </cell>
          <cell r="Q2405" t="str">
            <v/>
          </cell>
          <cell r="S2405" t="str">
            <v/>
          </cell>
          <cell r="V2405" t="str">
            <v/>
          </cell>
          <cell r="Z2405" t="str">
            <v/>
          </cell>
          <cell r="AA2405" t="str">
            <v/>
          </cell>
          <cell r="AB2405" t="str">
            <v/>
          </cell>
          <cell r="AC2405" t="str">
            <v/>
          </cell>
          <cell r="AD2405" t="str">
            <v/>
          </cell>
          <cell r="AY2405" t="str">
            <v/>
          </cell>
          <cell r="AZ2405" t="str">
            <v/>
          </cell>
          <cell r="BA2405" t="str">
            <v/>
          </cell>
        </row>
        <row r="2406">
          <cell r="B2406" t="str">
            <v>-</v>
          </cell>
          <cell r="E2406" t="str">
            <v/>
          </cell>
          <cell r="G2406" t="str">
            <v/>
          </cell>
          <cell r="J2406" t="str">
            <v/>
          </cell>
          <cell r="O2406" t="str">
            <v/>
          </cell>
          <cell r="P2406" t="str">
            <v/>
          </cell>
          <cell r="Q2406" t="str">
            <v/>
          </cell>
          <cell r="S2406" t="str">
            <v/>
          </cell>
          <cell r="V2406" t="str">
            <v/>
          </cell>
          <cell r="Z2406" t="str">
            <v/>
          </cell>
          <cell r="AA2406" t="str">
            <v/>
          </cell>
          <cell r="AB2406" t="str">
            <v/>
          </cell>
          <cell r="AC2406" t="str">
            <v/>
          </cell>
          <cell r="AD2406" t="str">
            <v/>
          </cell>
          <cell r="AY2406" t="str">
            <v/>
          </cell>
          <cell r="AZ2406" t="str">
            <v/>
          </cell>
          <cell r="BA2406" t="str">
            <v/>
          </cell>
        </row>
        <row r="2407">
          <cell r="B2407" t="str">
            <v>-</v>
          </cell>
          <cell r="E2407" t="str">
            <v/>
          </cell>
          <cell r="G2407" t="str">
            <v/>
          </cell>
          <cell r="J2407" t="str">
            <v/>
          </cell>
          <cell r="O2407" t="str">
            <v/>
          </cell>
          <cell r="P2407" t="str">
            <v/>
          </cell>
          <cell r="Q2407" t="str">
            <v/>
          </cell>
          <cell r="S2407" t="str">
            <v/>
          </cell>
          <cell r="V2407" t="str">
            <v/>
          </cell>
          <cell r="Z2407" t="str">
            <v/>
          </cell>
          <cell r="AA2407" t="str">
            <v/>
          </cell>
          <cell r="AB2407" t="str">
            <v/>
          </cell>
          <cell r="AC2407" t="str">
            <v/>
          </cell>
          <cell r="AD2407" t="str">
            <v/>
          </cell>
          <cell r="AY2407" t="str">
            <v/>
          </cell>
          <cell r="AZ2407" t="str">
            <v/>
          </cell>
          <cell r="BA2407" t="str">
            <v/>
          </cell>
        </row>
        <row r="2408">
          <cell r="B2408" t="str">
            <v>-</v>
          </cell>
          <cell r="E2408" t="str">
            <v/>
          </cell>
          <cell r="G2408" t="str">
            <v/>
          </cell>
          <cell r="J2408" t="str">
            <v/>
          </cell>
          <cell r="O2408" t="str">
            <v/>
          </cell>
          <cell r="P2408" t="str">
            <v/>
          </cell>
          <cell r="Q2408" t="str">
            <v/>
          </cell>
          <cell r="S2408" t="str">
            <v/>
          </cell>
          <cell r="V2408" t="str">
            <v/>
          </cell>
          <cell r="Z2408" t="str">
            <v/>
          </cell>
          <cell r="AA2408" t="str">
            <v/>
          </cell>
          <cell r="AB2408" t="str">
            <v/>
          </cell>
          <cell r="AC2408" t="str">
            <v/>
          </cell>
          <cell r="AD2408" t="str">
            <v/>
          </cell>
          <cell r="AY2408" t="str">
            <v/>
          </cell>
          <cell r="AZ2408" t="str">
            <v/>
          </cell>
          <cell r="BA2408" t="str">
            <v/>
          </cell>
        </row>
        <row r="2409">
          <cell r="B2409" t="str">
            <v>-</v>
          </cell>
          <cell r="E2409" t="str">
            <v/>
          </cell>
          <cell r="G2409" t="str">
            <v/>
          </cell>
          <cell r="J2409" t="str">
            <v/>
          </cell>
          <cell r="O2409" t="str">
            <v/>
          </cell>
          <cell r="P2409" t="str">
            <v/>
          </cell>
          <cell r="Q2409" t="str">
            <v/>
          </cell>
          <cell r="S2409" t="str">
            <v/>
          </cell>
          <cell r="V2409" t="str">
            <v/>
          </cell>
          <cell r="Z2409" t="str">
            <v/>
          </cell>
          <cell r="AA2409" t="str">
            <v/>
          </cell>
          <cell r="AB2409" t="str">
            <v/>
          </cell>
          <cell r="AC2409" t="str">
            <v/>
          </cell>
          <cell r="AD2409" t="str">
            <v/>
          </cell>
          <cell r="AY2409" t="str">
            <v/>
          </cell>
          <cell r="AZ2409" t="str">
            <v/>
          </cell>
          <cell r="BA2409" t="str">
            <v/>
          </cell>
        </row>
        <row r="2410">
          <cell r="B2410" t="str">
            <v>-</v>
          </cell>
          <cell r="E2410" t="str">
            <v/>
          </cell>
          <cell r="G2410" t="str">
            <v/>
          </cell>
          <cell r="J2410" t="str">
            <v/>
          </cell>
          <cell r="O2410" t="str">
            <v/>
          </cell>
          <cell r="P2410" t="str">
            <v/>
          </cell>
          <cell r="Q2410" t="str">
            <v/>
          </cell>
          <cell r="S2410" t="str">
            <v/>
          </cell>
          <cell r="V2410" t="str">
            <v/>
          </cell>
          <cell r="Z2410" t="str">
            <v/>
          </cell>
          <cell r="AA2410" t="str">
            <v/>
          </cell>
          <cell r="AB2410" t="str">
            <v/>
          </cell>
          <cell r="AC2410" t="str">
            <v/>
          </cell>
          <cell r="AD2410" t="str">
            <v/>
          </cell>
          <cell r="AY2410" t="str">
            <v/>
          </cell>
          <cell r="AZ2410" t="str">
            <v/>
          </cell>
          <cell r="BA2410" t="str">
            <v/>
          </cell>
        </row>
        <row r="2411">
          <cell r="B2411" t="str">
            <v>-</v>
          </cell>
          <cell r="E2411" t="str">
            <v/>
          </cell>
          <cell r="G2411" t="str">
            <v/>
          </cell>
          <cell r="J2411" t="str">
            <v/>
          </cell>
          <cell r="O2411" t="str">
            <v/>
          </cell>
          <cell r="P2411" t="str">
            <v/>
          </cell>
          <cell r="Q2411" t="str">
            <v/>
          </cell>
          <cell r="S2411" t="str">
            <v/>
          </cell>
          <cell r="V2411" t="str">
            <v/>
          </cell>
          <cell r="Z2411" t="str">
            <v/>
          </cell>
          <cell r="AA2411" t="str">
            <v/>
          </cell>
          <cell r="AB2411" t="str">
            <v/>
          </cell>
          <cell r="AC2411" t="str">
            <v/>
          </cell>
          <cell r="AD2411" t="str">
            <v/>
          </cell>
          <cell r="AY2411" t="str">
            <v/>
          </cell>
          <cell r="AZ2411" t="str">
            <v/>
          </cell>
          <cell r="BA2411" t="str">
            <v/>
          </cell>
        </row>
        <row r="2412">
          <cell r="B2412" t="str">
            <v>-</v>
          </cell>
          <cell r="E2412" t="str">
            <v/>
          </cell>
          <cell r="G2412" t="str">
            <v/>
          </cell>
          <cell r="J2412" t="str">
            <v/>
          </cell>
          <cell r="O2412" t="str">
            <v/>
          </cell>
          <cell r="P2412" t="str">
            <v/>
          </cell>
          <cell r="Q2412" t="str">
            <v/>
          </cell>
          <cell r="S2412" t="str">
            <v/>
          </cell>
          <cell r="V2412" t="str">
            <v/>
          </cell>
          <cell r="Z2412" t="str">
            <v/>
          </cell>
          <cell r="AA2412" t="str">
            <v/>
          </cell>
          <cell r="AB2412" t="str">
            <v/>
          </cell>
          <cell r="AC2412" t="str">
            <v/>
          </cell>
          <cell r="AD2412" t="str">
            <v/>
          </cell>
          <cell r="AY2412" t="str">
            <v/>
          </cell>
          <cell r="AZ2412" t="str">
            <v/>
          </cell>
          <cell r="BA2412" t="str">
            <v/>
          </cell>
        </row>
        <row r="2413">
          <cell r="B2413" t="str">
            <v>-</v>
          </cell>
          <cell r="E2413" t="str">
            <v/>
          </cell>
          <cell r="G2413" t="str">
            <v/>
          </cell>
          <cell r="J2413" t="str">
            <v/>
          </cell>
          <cell r="O2413" t="str">
            <v/>
          </cell>
          <cell r="P2413" t="str">
            <v/>
          </cell>
          <cell r="Q2413" t="str">
            <v/>
          </cell>
          <cell r="S2413" t="str">
            <v/>
          </cell>
          <cell r="V2413" t="str">
            <v/>
          </cell>
          <cell r="Z2413" t="str">
            <v/>
          </cell>
          <cell r="AA2413" t="str">
            <v/>
          </cell>
          <cell r="AB2413" t="str">
            <v/>
          </cell>
          <cell r="AC2413" t="str">
            <v/>
          </cell>
          <cell r="AD2413" t="str">
            <v/>
          </cell>
          <cell r="AY2413" t="str">
            <v/>
          </cell>
          <cell r="AZ2413" t="str">
            <v/>
          </cell>
          <cell r="BA2413" t="str">
            <v/>
          </cell>
        </row>
        <row r="2414">
          <cell r="B2414" t="str">
            <v>-</v>
          </cell>
          <cell r="E2414" t="str">
            <v/>
          </cell>
          <cell r="G2414" t="str">
            <v/>
          </cell>
          <cell r="J2414" t="str">
            <v/>
          </cell>
          <cell r="O2414" t="str">
            <v/>
          </cell>
          <cell r="P2414" t="str">
            <v/>
          </cell>
          <cell r="Q2414" t="str">
            <v/>
          </cell>
          <cell r="S2414" t="str">
            <v/>
          </cell>
          <cell r="V2414" t="str">
            <v/>
          </cell>
          <cell r="Z2414" t="str">
            <v/>
          </cell>
          <cell r="AA2414" t="str">
            <v/>
          </cell>
          <cell r="AB2414" t="str">
            <v/>
          </cell>
          <cell r="AC2414" t="str">
            <v/>
          </cell>
          <cell r="AD2414" t="str">
            <v/>
          </cell>
          <cell r="AY2414" t="str">
            <v/>
          </cell>
          <cell r="AZ2414" t="str">
            <v/>
          </cell>
          <cell r="BA2414" t="str">
            <v/>
          </cell>
        </row>
        <row r="2415">
          <cell r="B2415" t="str">
            <v>-</v>
          </cell>
          <cell r="E2415" t="str">
            <v/>
          </cell>
          <cell r="G2415" t="str">
            <v/>
          </cell>
          <cell r="J2415" t="str">
            <v/>
          </cell>
          <cell r="O2415" t="str">
            <v/>
          </cell>
          <cell r="P2415" t="str">
            <v/>
          </cell>
          <cell r="Q2415" t="str">
            <v/>
          </cell>
          <cell r="S2415" t="str">
            <v/>
          </cell>
          <cell r="V2415" t="str">
            <v/>
          </cell>
          <cell r="Z2415" t="str">
            <v/>
          </cell>
          <cell r="AA2415" t="str">
            <v/>
          </cell>
          <cell r="AB2415" t="str">
            <v/>
          </cell>
          <cell r="AC2415" t="str">
            <v/>
          </cell>
          <cell r="AD2415" t="str">
            <v/>
          </cell>
          <cell r="AY2415" t="str">
            <v/>
          </cell>
          <cell r="AZ2415" t="str">
            <v/>
          </cell>
          <cell r="BA2415" t="str">
            <v/>
          </cell>
        </row>
        <row r="2416">
          <cell r="B2416" t="str">
            <v>-</v>
          </cell>
          <cell r="E2416" t="str">
            <v/>
          </cell>
          <cell r="G2416" t="str">
            <v/>
          </cell>
          <cell r="J2416" t="str">
            <v/>
          </cell>
          <cell r="O2416" t="str">
            <v/>
          </cell>
          <cell r="P2416" t="str">
            <v/>
          </cell>
          <cell r="Q2416" t="str">
            <v/>
          </cell>
          <cell r="S2416" t="str">
            <v/>
          </cell>
          <cell r="V2416" t="str">
            <v/>
          </cell>
          <cell r="Z2416" t="str">
            <v/>
          </cell>
          <cell r="AA2416" t="str">
            <v/>
          </cell>
          <cell r="AB2416" t="str">
            <v/>
          </cell>
          <cell r="AC2416" t="str">
            <v/>
          </cell>
          <cell r="AD2416" t="str">
            <v/>
          </cell>
          <cell r="AY2416" t="str">
            <v/>
          </cell>
          <cell r="AZ2416" t="str">
            <v/>
          </cell>
          <cell r="BA2416" t="str">
            <v/>
          </cell>
        </row>
        <row r="2417">
          <cell r="B2417" t="str">
            <v>-</v>
          </cell>
          <cell r="E2417" t="str">
            <v/>
          </cell>
          <cell r="G2417" t="str">
            <v/>
          </cell>
          <cell r="J2417" t="str">
            <v/>
          </cell>
          <cell r="O2417" t="str">
            <v/>
          </cell>
          <cell r="P2417" t="str">
            <v/>
          </cell>
          <cell r="Q2417" t="str">
            <v/>
          </cell>
          <cell r="S2417" t="str">
            <v/>
          </cell>
          <cell r="V2417" t="str">
            <v/>
          </cell>
          <cell r="Z2417" t="str">
            <v/>
          </cell>
          <cell r="AA2417" t="str">
            <v/>
          </cell>
          <cell r="AB2417" t="str">
            <v/>
          </cell>
          <cell r="AC2417" t="str">
            <v/>
          </cell>
          <cell r="AD2417" t="str">
            <v/>
          </cell>
          <cell r="AY2417" t="str">
            <v/>
          </cell>
          <cell r="AZ2417" t="str">
            <v/>
          </cell>
          <cell r="BA2417" t="str">
            <v/>
          </cell>
        </row>
        <row r="2418">
          <cell r="B2418" t="str">
            <v>-</v>
          </cell>
          <cell r="E2418" t="str">
            <v/>
          </cell>
          <cell r="G2418" t="str">
            <v/>
          </cell>
          <cell r="J2418" t="str">
            <v/>
          </cell>
          <cell r="O2418" t="str">
            <v/>
          </cell>
          <cell r="P2418" t="str">
            <v/>
          </cell>
          <cell r="Q2418" t="str">
            <v/>
          </cell>
          <cell r="S2418" t="str">
            <v/>
          </cell>
          <cell r="V2418" t="str">
            <v/>
          </cell>
          <cell r="Z2418" t="str">
            <v/>
          </cell>
          <cell r="AA2418" t="str">
            <v/>
          </cell>
          <cell r="AB2418" t="str">
            <v/>
          </cell>
          <cell r="AC2418" t="str">
            <v/>
          </cell>
          <cell r="AD2418" t="str">
            <v/>
          </cell>
          <cell r="AY2418" t="str">
            <v/>
          </cell>
          <cell r="AZ2418" t="str">
            <v/>
          </cell>
          <cell r="BA2418" t="str">
            <v/>
          </cell>
        </row>
        <row r="2419">
          <cell r="B2419" t="str">
            <v>-</v>
          </cell>
          <cell r="E2419" t="str">
            <v/>
          </cell>
          <cell r="G2419" t="str">
            <v/>
          </cell>
          <cell r="J2419" t="str">
            <v/>
          </cell>
          <cell r="O2419" t="str">
            <v/>
          </cell>
          <cell r="P2419" t="str">
            <v/>
          </cell>
          <cell r="Q2419" t="str">
            <v/>
          </cell>
          <cell r="S2419" t="str">
            <v/>
          </cell>
          <cell r="V2419" t="str">
            <v/>
          </cell>
          <cell r="Z2419" t="str">
            <v/>
          </cell>
          <cell r="AA2419" t="str">
            <v/>
          </cell>
          <cell r="AB2419" t="str">
            <v/>
          </cell>
          <cell r="AC2419" t="str">
            <v/>
          </cell>
          <cell r="AD2419" t="str">
            <v/>
          </cell>
          <cell r="AY2419" t="str">
            <v/>
          </cell>
          <cell r="AZ2419" t="str">
            <v/>
          </cell>
          <cell r="BA2419" t="str">
            <v/>
          </cell>
        </row>
        <row r="2420">
          <cell r="B2420" t="str">
            <v>-</v>
          </cell>
          <cell r="E2420" t="str">
            <v/>
          </cell>
          <cell r="G2420" t="str">
            <v/>
          </cell>
          <cell r="J2420" t="str">
            <v/>
          </cell>
          <cell r="O2420" t="str">
            <v/>
          </cell>
          <cell r="P2420" t="str">
            <v/>
          </cell>
          <cell r="Q2420" t="str">
            <v/>
          </cell>
          <cell r="S2420" t="str">
            <v/>
          </cell>
          <cell r="V2420" t="str">
            <v/>
          </cell>
          <cell r="Z2420" t="str">
            <v/>
          </cell>
          <cell r="AA2420" t="str">
            <v/>
          </cell>
          <cell r="AB2420" t="str">
            <v/>
          </cell>
          <cell r="AC2420" t="str">
            <v/>
          </cell>
          <cell r="AD2420" t="str">
            <v/>
          </cell>
          <cell r="AY2420" t="str">
            <v/>
          </cell>
          <cell r="AZ2420" t="str">
            <v/>
          </cell>
          <cell r="BA2420" t="str">
            <v/>
          </cell>
        </row>
        <row r="2421">
          <cell r="B2421" t="str">
            <v>-</v>
          </cell>
          <cell r="E2421" t="str">
            <v/>
          </cell>
          <cell r="G2421" t="str">
            <v/>
          </cell>
          <cell r="J2421" t="str">
            <v/>
          </cell>
          <cell r="O2421" t="str">
            <v/>
          </cell>
          <cell r="P2421" t="str">
            <v/>
          </cell>
          <cell r="Q2421" t="str">
            <v/>
          </cell>
          <cell r="S2421" t="str">
            <v/>
          </cell>
          <cell r="V2421" t="str">
            <v/>
          </cell>
          <cell r="Z2421" t="str">
            <v/>
          </cell>
          <cell r="AA2421" t="str">
            <v/>
          </cell>
          <cell r="AB2421" t="str">
            <v/>
          </cell>
          <cell r="AC2421" t="str">
            <v/>
          </cell>
          <cell r="AD2421" t="str">
            <v/>
          </cell>
          <cell r="AY2421" t="str">
            <v/>
          </cell>
          <cell r="AZ2421" t="str">
            <v/>
          </cell>
          <cell r="BA2421" t="str">
            <v/>
          </cell>
        </row>
        <row r="2422">
          <cell r="B2422" t="str">
            <v>-</v>
          </cell>
          <cell r="E2422" t="str">
            <v/>
          </cell>
          <cell r="G2422" t="str">
            <v/>
          </cell>
          <cell r="J2422" t="str">
            <v/>
          </cell>
          <cell r="O2422" t="str">
            <v/>
          </cell>
          <cell r="P2422" t="str">
            <v/>
          </cell>
          <cell r="Q2422" t="str">
            <v/>
          </cell>
          <cell r="S2422" t="str">
            <v/>
          </cell>
          <cell r="V2422" t="str">
            <v/>
          </cell>
          <cell r="Z2422" t="str">
            <v/>
          </cell>
          <cell r="AA2422" t="str">
            <v/>
          </cell>
          <cell r="AB2422" t="str">
            <v/>
          </cell>
          <cell r="AC2422" t="str">
            <v/>
          </cell>
          <cell r="AD2422" t="str">
            <v/>
          </cell>
          <cell r="AY2422" t="str">
            <v/>
          </cell>
          <cell r="AZ2422" t="str">
            <v/>
          </cell>
          <cell r="BA2422" t="str">
            <v/>
          </cell>
        </row>
        <row r="2423">
          <cell r="B2423" t="str">
            <v>-</v>
          </cell>
          <cell r="E2423" t="str">
            <v/>
          </cell>
          <cell r="G2423" t="str">
            <v/>
          </cell>
          <cell r="J2423" t="str">
            <v/>
          </cell>
          <cell r="O2423" t="str">
            <v/>
          </cell>
          <cell r="P2423" t="str">
            <v/>
          </cell>
          <cell r="Q2423" t="str">
            <v/>
          </cell>
          <cell r="S2423" t="str">
            <v/>
          </cell>
          <cell r="V2423" t="str">
            <v/>
          </cell>
          <cell r="Z2423" t="str">
            <v/>
          </cell>
          <cell r="AA2423" t="str">
            <v/>
          </cell>
          <cell r="AB2423" t="str">
            <v/>
          </cell>
          <cell r="AC2423" t="str">
            <v/>
          </cell>
          <cell r="AD2423" t="str">
            <v/>
          </cell>
          <cell r="AY2423" t="str">
            <v/>
          </cell>
          <cell r="AZ2423" t="str">
            <v/>
          </cell>
          <cell r="BA2423" t="str">
            <v/>
          </cell>
        </row>
        <row r="2424">
          <cell r="B2424" t="str">
            <v>-</v>
          </cell>
          <cell r="E2424" t="str">
            <v/>
          </cell>
          <cell r="G2424" t="str">
            <v/>
          </cell>
          <cell r="J2424" t="str">
            <v/>
          </cell>
          <cell r="O2424" t="str">
            <v/>
          </cell>
          <cell r="P2424" t="str">
            <v/>
          </cell>
          <cell r="Q2424" t="str">
            <v/>
          </cell>
          <cell r="S2424" t="str">
            <v/>
          </cell>
          <cell r="V2424" t="str">
            <v/>
          </cell>
          <cell r="Z2424" t="str">
            <v/>
          </cell>
          <cell r="AA2424" t="str">
            <v/>
          </cell>
          <cell r="AB2424" t="str">
            <v/>
          </cell>
          <cell r="AC2424" t="str">
            <v/>
          </cell>
          <cell r="AD2424" t="str">
            <v/>
          </cell>
          <cell r="AY2424" t="str">
            <v/>
          </cell>
          <cell r="AZ2424" t="str">
            <v/>
          </cell>
          <cell r="BA2424" t="str">
            <v/>
          </cell>
        </row>
        <row r="2425">
          <cell r="B2425" t="str">
            <v>-</v>
          </cell>
          <cell r="E2425" t="str">
            <v/>
          </cell>
          <cell r="G2425" t="str">
            <v/>
          </cell>
          <cell r="J2425" t="str">
            <v/>
          </cell>
          <cell r="O2425" t="str">
            <v/>
          </cell>
          <cell r="P2425" t="str">
            <v/>
          </cell>
          <cell r="Q2425" t="str">
            <v/>
          </cell>
          <cell r="S2425" t="str">
            <v/>
          </cell>
          <cell r="V2425" t="str">
            <v/>
          </cell>
          <cell r="Z2425" t="str">
            <v/>
          </cell>
          <cell r="AA2425" t="str">
            <v/>
          </cell>
          <cell r="AB2425" t="str">
            <v/>
          </cell>
          <cell r="AC2425" t="str">
            <v/>
          </cell>
          <cell r="AD2425" t="str">
            <v/>
          </cell>
          <cell r="AY2425" t="str">
            <v/>
          </cell>
          <cell r="AZ2425" t="str">
            <v/>
          </cell>
          <cell r="BA2425" t="str">
            <v/>
          </cell>
        </row>
        <row r="2426">
          <cell r="B2426" t="str">
            <v>-</v>
          </cell>
          <cell r="E2426" t="str">
            <v/>
          </cell>
          <cell r="G2426" t="str">
            <v/>
          </cell>
          <cell r="J2426" t="str">
            <v/>
          </cell>
          <cell r="O2426" t="str">
            <v/>
          </cell>
          <cell r="P2426" t="str">
            <v/>
          </cell>
          <cell r="Q2426" t="str">
            <v/>
          </cell>
          <cell r="S2426" t="str">
            <v/>
          </cell>
          <cell r="V2426" t="str">
            <v/>
          </cell>
          <cell r="Z2426" t="str">
            <v/>
          </cell>
          <cell r="AA2426" t="str">
            <v/>
          </cell>
          <cell r="AB2426" t="str">
            <v/>
          </cell>
          <cell r="AC2426" t="str">
            <v/>
          </cell>
          <cell r="AD2426" t="str">
            <v/>
          </cell>
          <cell r="AY2426" t="str">
            <v/>
          </cell>
          <cell r="AZ2426" t="str">
            <v/>
          </cell>
          <cell r="BA2426" t="str">
            <v/>
          </cell>
        </row>
        <row r="2427">
          <cell r="B2427" t="str">
            <v>-</v>
          </cell>
          <cell r="E2427" t="str">
            <v/>
          </cell>
          <cell r="G2427" t="str">
            <v/>
          </cell>
          <cell r="J2427" t="str">
            <v/>
          </cell>
          <cell r="O2427" t="str">
            <v/>
          </cell>
          <cell r="P2427" t="str">
            <v/>
          </cell>
          <cell r="Q2427" t="str">
            <v/>
          </cell>
          <cell r="S2427" t="str">
            <v/>
          </cell>
          <cell r="V2427" t="str">
            <v/>
          </cell>
          <cell r="Z2427" t="str">
            <v/>
          </cell>
          <cell r="AA2427" t="str">
            <v/>
          </cell>
          <cell r="AB2427" t="str">
            <v/>
          </cell>
          <cell r="AC2427" t="str">
            <v/>
          </cell>
          <cell r="AD2427" t="str">
            <v/>
          </cell>
          <cell r="AY2427" t="str">
            <v/>
          </cell>
          <cell r="AZ2427" t="str">
            <v/>
          </cell>
          <cell r="BA2427" t="str">
            <v/>
          </cell>
        </row>
        <row r="2428">
          <cell r="B2428" t="str">
            <v>-</v>
          </cell>
          <cell r="E2428" t="str">
            <v/>
          </cell>
          <cell r="G2428" t="str">
            <v/>
          </cell>
          <cell r="J2428" t="str">
            <v/>
          </cell>
          <cell r="O2428" t="str">
            <v/>
          </cell>
          <cell r="P2428" t="str">
            <v/>
          </cell>
          <cell r="Q2428" t="str">
            <v/>
          </cell>
          <cell r="S2428" t="str">
            <v/>
          </cell>
          <cell r="V2428" t="str">
            <v/>
          </cell>
          <cell r="Z2428" t="str">
            <v/>
          </cell>
          <cell r="AA2428" t="str">
            <v/>
          </cell>
          <cell r="AB2428" t="str">
            <v/>
          </cell>
          <cell r="AC2428" t="str">
            <v/>
          </cell>
          <cell r="AD2428" t="str">
            <v/>
          </cell>
          <cell r="AY2428" t="str">
            <v/>
          </cell>
          <cell r="AZ2428" t="str">
            <v/>
          </cell>
          <cell r="BA2428" t="str">
            <v/>
          </cell>
        </row>
        <row r="2429">
          <cell r="B2429" t="str">
            <v>-</v>
          </cell>
          <cell r="E2429" t="str">
            <v/>
          </cell>
          <cell r="G2429" t="str">
            <v/>
          </cell>
          <cell r="J2429" t="str">
            <v/>
          </cell>
          <cell r="O2429" t="str">
            <v/>
          </cell>
          <cell r="P2429" t="str">
            <v/>
          </cell>
          <cell r="Q2429" t="str">
            <v/>
          </cell>
          <cell r="S2429" t="str">
            <v/>
          </cell>
          <cell r="V2429" t="str">
            <v/>
          </cell>
          <cell r="Z2429" t="str">
            <v/>
          </cell>
          <cell r="AA2429" t="str">
            <v/>
          </cell>
          <cell r="AB2429" t="str">
            <v/>
          </cell>
          <cell r="AC2429" t="str">
            <v/>
          </cell>
          <cell r="AD2429" t="str">
            <v/>
          </cell>
          <cell r="AY2429" t="str">
            <v/>
          </cell>
          <cell r="AZ2429" t="str">
            <v/>
          </cell>
          <cell r="BA2429" t="str">
            <v/>
          </cell>
        </row>
        <row r="2430">
          <cell r="B2430" t="str">
            <v>-</v>
          </cell>
          <cell r="E2430" t="str">
            <v/>
          </cell>
          <cell r="G2430" t="str">
            <v/>
          </cell>
          <cell r="J2430" t="str">
            <v/>
          </cell>
          <cell r="O2430" t="str">
            <v/>
          </cell>
          <cell r="P2430" t="str">
            <v/>
          </cell>
          <cell r="Q2430" t="str">
            <v/>
          </cell>
          <cell r="S2430" t="str">
            <v/>
          </cell>
          <cell r="V2430" t="str">
            <v/>
          </cell>
          <cell r="Z2430" t="str">
            <v/>
          </cell>
          <cell r="AA2430" t="str">
            <v/>
          </cell>
          <cell r="AB2430" t="str">
            <v/>
          </cell>
          <cell r="AC2430" t="str">
            <v/>
          </cell>
          <cell r="AD2430" t="str">
            <v/>
          </cell>
          <cell r="AY2430" t="str">
            <v/>
          </cell>
          <cell r="AZ2430" t="str">
            <v/>
          </cell>
          <cell r="BA2430" t="str">
            <v/>
          </cell>
        </row>
        <row r="2431">
          <cell r="B2431" t="str">
            <v>-</v>
          </cell>
          <cell r="E2431" t="str">
            <v/>
          </cell>
          <cell r="G2431" t="str">
            <v/>
          </cell>
          <cell r="J2431" t="str">
            <v/>
          </cell>
          <cell r="O2431" t="str">
            <v/>
          </cell>
          <cell r="P2431" t="str">
            <v/>
          </cell>
          <cell r="Q2431" t="str">
            <v/>
          </cell>
          <cell r="S2431" t="str">
            <v/>
          </cell>
          <cell r="V2431" t="str">
            <v/>
          </cell>
          <cell r="Z2431" t="str">
            <v/>
          </cell>
          <cell r="AA2431" t="str">
            <v/>
          </cell>
          <cell r="AB2431" t="str">
            <v/>
          </cell>
          <cell r="AC2431" t="str">
            <v/>
          </cell>
          <cell r="AD2431" t="str">
            <v/>
          </cell>
          <cell r="AY2431" t="str">
            <v/>
          </cell>
          <cell r="AZ2431" t="str">
            <v/>
          </cell>
          <cell r="BA2431" t="str">
            <v/>
          </cell>
        </row>
        <row r="2432">
          <cell r="B2432" t="str">
            <v>-</v>
          </cell>
          <cell r="E2432" t="str">
            <v/>
          </cell>
          <cell r="G2432" t="str">
            <v/>
          </cell>
          <cell r="J2432" t="str">
            <v/>
          </cell>
          <cell r="O2432" t="str">
            <v/>
          </cell>
          <cell r="P2432" t="str">
            <v/>
          </cell>
          <cell r="Q2432" t="str">
            <v/>
          </cell>
          <cell r="S2432" t="str">
            <v/>
          </cell>
          <cell r="V2432" t="str">
            <v/>
          </cell>
          <cell r="Z2432" t="str">
            <v/>
          </cell>
          <cell r="AA2432" t="str">
            <v/>
          </cell>
          <cell r="AB2432" t="str">
            <v/>
          </cell>
          <cell r="AC2432" t="str">
            <v/>
          </cell>
          <cell r="AD2432" t="str">
            <v/>
          </cell>
          <cell r="AY2432" t="str">
            <v/>
          </cell>
          <cell r="AZ2432" t="str">
            <v/>
          </cell>
          <cell r="BA2432" t="str">
            <v/>
          </cell>
        </row>
        <row r="2433">
          <cell r="B2433" t="str">
            <v>-</v>
          </cell>
          <cell r="E2433" t="str">
            <v/>
          </cell>
          <cell r="G2433" t="str">
            <v/>
          </cell>
          <cell r="J2433" t="str">
            <v/>
          </cell>
          <cell r="O2433" t="str">
            <v/>
          </cell>
          <cell r="P2433" t="str">
            <v/>
          </cell>
          <cell r="Q2433" t="str">
            <v/>
          </cell>
          <cell r="S2433" t="str">
            <v/>
          </cell>
          <cell r="V2433" t="str">
            <v/>
          </cell>
          <cell r="Z2433" t="str">
            <v/>
          </cell>
          <cell r="AA2433" t="str">
            <v/>
          </cell>
          <cell r="AB2433" t="str">
            <v/>
          </cell>
          <cell r="AC2433" t="str">
            <v/>
          </cell>
          <cell r="AD2433" t="str">
            <v/>
          </cell>
          <cell r="AY2433" t="str">
            <v/>
          </cell>
          <cell r="AZ2433" t="str">
            <v/>
          </cell>
          <cell r="BA2433" t="str">
            <v/>
          </cell>
        </row>
        <row r="2434">
          <cell r="B2434" t="str">
            <v>-</v>
          </cell>
          <cell r="E2434" t="str">
            <v/>
          </cell>
          <cell r="G2434" t="str">
            <v/>
          </cell>
          <cell r="J2434" t="str">
            <v/>
          </cell>
          <cell r="O2434" t="str">
            <v/>
          </cell>
          <cell r="P2434" t="str">
            <v/>
          </cell>
          <cell r="Q2434" t="str">
            <v/>
          </cell>
          <cell r="S2434" t="str">
            <v/>
          </cell>
          <cell r="V2434" t="str">
            <v/>
          </cell>
          <cell r="Z2434" t="str">
            <v/>
          </cell>
          <cell r="AA2434" t="str">
            <v/>
          </cell>
          <cell r="AB2434" t="str">
            <v/>
          </cell>
          <cell r="AC2434" t="str">
            <v/>
          </cell>
          <cell r="AD2434" t="str">
            <v/>
          </cell>
          <cell r="AY2434" t="str">
            <v/>
          </cell>
          <cell r="AZ2434" t="str">
            <v/>
          </cell>
          <cell r="BA2434" t="str">
            <v/>
          </cell>
        </row>
        <row r="2435">
          <cell r="B2435" t="str">
            <v>-</v>
          </cell>
          <cell r="E2435" t="str">
            <v/>
          </cell>
          <cell r="G2435" t="str">
            <v/>
          </cell>
          <cell r="J2435" t="str">
            <v/>
          </cell>
          <cell r="O2435" t="str">
            <v/>
          </cell>
          <cell r="P2435" t="str">
            <v/>
          </cell>
          <cell r="Q2435" t="str">
            <v/>
          </cell>
          <cell r="S2435" t="str">
            <v/>
          </cell>
          <cell r="V2435" t="str">
            <v/>
          </cell>
          <cell r="Z2435" t="str">
            <v/>
          </cell>
          <cell r="AA2435" t="str">
            <v/>
          </cell>
          <cell r="AB2435" t="str">
            <v/>
          </cell>
          <cell r="AC2435" t="str">
            <v/>
          </cell>
          <cell r="AD2435" t="str">
            <v/>
          </cell>
          <cell r="AY2435" t="str">
            <v/>
          </cell>
          <cell r="AZ2435" t="str">
            <v/>
          </cell>
          <cell r="BA2435" t="str">
            <v/>
          </cell>
        </row>
        <row r="2436">
          <cell r="B2436" t="str">
            <v>-</v>
          </cell>
          <cell r="E2436" t="str">
            <v/>
          </cell>
          <cell r="G2436" t="str">
            <v/>
          </cell>
          <cell r="J2436" t="str">
            <v/>
          </cell>
          <cell r="O2436" t="str">
            <v/>
          </cell>
          <cell r="P2436" t="str">
            <v/>
          </cell>
          <cell r="Q2436" t="str">
            <v/>
          </cell>
          <cell r="S2436" t="str">
            <v/>
          </cell>
          <cell r="V2436" t="str">
            <v/>
          </cell>
          <cell r="Z2436" t="str">
            <v/>
          </cell>
          <cell r="AA2436" t="str">
            <v/>
          </cell>
          <cell r="AB2436" t="str">
            <v/>
          </cell>
          <cell r="AC2436" t="str">
            <v/>
          </cell>
          <cell r="AD2436" t="str">
            <v/>
          </cell>
          <cell r="AY2436" t="str">
            <v/>
          </cell>
          <cell r="AZ2436" t="str">
            <v/>
          </cell>
          <cell r="BA2436" t="str">
            <v/>
          </cell>
        </row>
        <row r="2437">
          <cell r="B2437" t="str">
            <v>-</v>
          </cell>
          <cell r="E2437" t="str">
            <v/>
          </cell>
          <cell r="G2437" t="str">
            <v/>
          </cell>
          <cell r="J2437" t="str">
            <v/>
          </cell>
          <cell r="O2437" t="str">
            <v/>
          </cell>
          <cell r="P2437" t="str">
            <v/>
          </cell>
          <cell r="Q2437" t="str">
            <v/>
          </cell>
          <cell r="S2437" t="str">
            <v/>
          </cell>
          <cell r="V2437" t="str">
            <v/>
          </cell>
          <cell r="Z2437" t="str">
            <v/>
          </cell>
          <cell r="AA2437" t="str">
            <v/>
          </cell>
          <cell r="AB2437" t="str">
            <v/>
          </cell>
          <cell r="AC2437" t="str">
            <v/>
          </cell>
          <cell r="AD2437" t="str">
            <v/>
          </cell>
          <cell r="AY2437" t="str">
            <v/>
          </cell>
          <cell r="AZ2437" t="str">
            <v/>
          </cell>
          <cell r="BA2437" t="str">
            <v/>
          </cell>
        </row>
        <row r="2438">
          <cell r="B2438" t="str">
            <v>-</v>
          </cell>
          <cell r="E2438" t="str">
            <v/>
          </cell>
          <cell r="G2438" t="str">
            <v/>
          </cell>
          <cell r="J2438" t="str">
            <v/>
          </cell>
          <cell r="O2438" t="str">
            <v/>
          </cell>
          <cell r="P2438" t="str">
            <v/>
          </cell>
          <cell r="Q2438" t="str">
            <v/>
          </cell>
          <cell r="S2438" t="str">
            <v/>
          </cell>
          <cell r="V2438" t="str">
            <v/>
          </cell>
          <cell r="Z2438" t="str">
            <v/>
          </cell>
          <cell r="AA2438" t="str">
            <v/>
          </cell>
          <cell r="AB2438" t="str">
            <v/>
          </cell>
          <cell r="AC2438" t="str">
            <v/>
          </cell>
          <cell r="AD2438" t="str">
            <v/>
          </cell>
          <cell r="AY2438" t="str">
            <v/>
          </cell>
          <cell r="AZ2438" t="str">
            <v/>
          </cell>
          <cell r="BA2438" t="str">
            <v/>
          </cell>
        </row>
        <row r="2439">
          <cell r="B2439" t="str">
            <v>-</v>
          </cell>
          <cell r="E2439" t="str">
            <v/>
          </cell>
          <cell r="G2439" t="str">
            <v/>
          </cell>
          <cell r="J2439" t="str">
            <v/>
          </cell>
          <cell r="O2439" t="str">
            <v/>
          </cell>
          <cell r="P2439" t="str">
            <v/>
          </cell>
          <cell r="Q2439" t="str">
            <v/>
          </cell>
          <cell r="S2439" t="str">
            <v/>
          </cell>
          <cell r="V2439" t="str">
            <v/>
          </cell>
          <cell r="Z2439" t="str">
            <v/>
          </cell>
          <cell r="AA2439" t="str">
            <v/>
          </cell>
          <cell r="AB2439" t="str">
            <v/>
          </cell>
          <cell r="AC2439" t="str">
            <v/>
          </cell>
          <cell r="AD2439" t="str">
            <v/>
          </cell>
          <cell r="AY2439" t="str">
            <v/>
          </cell>
          <cell r="AZ2439" t="str">
            <v/>
          </cell>
          <cell r="BA2439" t="str">
            <v/>
          </cell>
        </row>
        <row r="2440">
          <cell r="B2440" t="str">
            <v>-</v>
          </cell>
          <cell r="E2440" t="str">
            <v/>
          </cell>
          <cell r="G2440" t="str">
            <v/>
          </cell>
          <cell r="J2440" t="str">
            <v/>
          </cell>
          <cell r="O2440" t="str">
            <v/>
          </cell>
          <cell r="P2440" t="str">
            <v/>
          </cell>
          <cell r="Q2440" t="str">
            <v/>
          </cell>
          <cell r="S2440" t="str">
            <v/>
          </cell>
          <cell r="V2440" t="str">
            <v/>
          </cell>
          <cell r="Z2440" t="str">
            <v/>
          </cell>
          <cell r="AA2440" t="str">
            <v/>
          </cell>
          <cell r="AB2440" t="str">
            <v/>
          </cell>
          <cell r="AC2440" t="str">
            <v/>
          </cell>
          <cell r="AD2440" t="str">
            <v/>
          </cell>
          <cell r="AY2440" t="str">
            <v/>
          </cell>
          <cell r="AZ2440" t="str">
            <v/>
          </cell>
          <cell r="BA2440" t="str">
            <v/>
          </cell>
        </row>
        <row r="2441">
          <cell r="B2441" t="str">
            <v>-</v>
          </cell>
          <cell r="E2441" t="str">
            <v/>
          </cell>
          <cell r="G2441" t="str">
            <v/>
          </cell>
          <cell r="J2441" t="str">
            <v/>
          </cell>
          <cell r="O2441" t="str">
            <v/>
          </cell>
          <cell r="P2441" t="str">
            <v/>
          </cell>
          <cell r="Q2441" t="str">
            <v/>
          </cell>
          <cell r="S2441" t="str">
            <v/>
          </cell>
          <cell r="V2441" t="str">
            <v/>
          </cell>
          <cell r="Z2441" t="str">
            <v/>
          </cell>
          <cell r="AA2441" t="str">
            <v/>
          </cell>
          <cell r="AB2441" t="str">
            <v/>
          </cell>
          <cell r="AC2441" t="str">
            <v/>
          </cell>
          <cell r="AD2441" t="str">
            <v/>
          </cell>
          <cell r="AY2441" t="str">
            <v/>
          </cell>
          <cell r="AZ2441" t="str">
            <v/>
          </cell>
          <cell r="BA2441" t="str">
            <v/>
          </cell>
        </row>
        <row r="2442">
          <cell r="B2442" t="str">
            <v>-</v>
          </cell>
          <cell r="E2442" t="str">
            <v/>
          </cell>
          <cell r="G2442" t="str">
            <v/>
          </cell>
          <cell r="J2442" t="str">
            <v/>
          </cell>
          <cell r="O2442" t="str">
            <v/>
          </cell>
          <cell r="P2442" t="str">
            <v/>
          </cell>
          <cell r="Q2442" t="str">
            <v/>
          </cell>
          <cell r="S2442" t="str">
            <v/>
          </cell>
          <cell r="V2442" t="str">
            <v/>
          </cell>
          <cell r="Z2442" t="str">
            <v/>
          </cell>
          <cell r="AA2442" t="str">
            <v/>
          </cell>
          <cell r="AB2442" t="str">
            <v/>
          </cell>
          <cell r="AC2442" t="str">
            <v/>
          </cell>
          <cell r="AD2442" t="str">
            <v/>
          </cell>
          <cell r="AY2442" t="str">
            <v/>
          </cell>
          <cell r="AZ2442" t="str">
            <v/>
          </cell>
          <cell r="BA2442" t="str">
            <v/>
          </cell>
        </row>
        <row r="2443">
          <cell r="B2443" t="str">
            <v>-</v>
          </cell>
          <cell r="E2443" t="str">
            <v/>
          </cell>
          <cell r="G2443" t="str">
            <v/>
          </cell>
          <cell r="J2443" t="str">
            <v/>
          </cell>
          <cell r="O2443" t="str">
            <v/>
          </cell>
          <cell r="P2443" t="str">
            <v/>
          </cell>
          <cell r="Q2443" t="str">
            <v/>
          </cell>
          <cell r="S2443" t="str">
            <v/>
          </cell>
          <cell r="V2443" t="str">
            <v/>
          </cell>
          <cell r="Z2443" t="str">
            <v/>
          </cell>
          <cell r="AA2443" t="str">
            <v/>
          </cell>
          <cell r="AB2443" t="str">
            <v/>
          </cell>
          <cell r="AC2443" t="str">
            <v/>
          </cell>
          <cell r="AD2443" t="str">
            <v/>
          </cell>
          <cell r="AY2443" t="str">
            <v/>
          </cell>
          <cell r="AZ2443" t="str">
            <v/>
          </cell>
          <cell r="BA2443" t="str">
            <v/>
          </cell>
        </row>
        <row r="2444">
          <cell r="B2444" t="str">
            <v>-</v>
          </cell>
          <cell r="E2444" t="str">
            <v/>
          </cell>
          <cell r="G2444" t="str">
            <v/>
          </cell>
          <cell r="J2444" t="str">
            <v/>
          </cell>
          <cell r="O2444" t="str">
            <v/>
          </cell>
          <cell r="P2444" t="str">
            <v/>
          </cell>
          <cell r="Q2444" t="str">
            <v/>
          </cell>
          <cell r="S2444" t="str">
            <v/>
          </cell>
          <cell r="V2444" t="str">
            <v/>
          </cell>
          <cell r="Z2444" t="str">
            <v/>
          </cell>
          <cell r="AA2444" t="str">
            <v/>
          </cell>
          <cell r="AB2444" t="str">
            <v/>
          </cell>
          <cell r="AC2444" t="str">
            <v/>
          </cell>
          <cell r="AD2444" t="str">
            <v/>
          </cell>
          <cell r="AY2444" t="str">
            <v/>
          </cell>
          <cell r="AZ2444" t="str">
            <v/>
          </cell>
          <cell r="BA2444" t="str">
            <v/>
          </cell>
        </row>
        <row r="2445">
          <cell r="B2445" t="str">
            <v>-</v>
          </cell>
          <cell r="E2445" t="str">
            <v/>
          </cell>
          <cell r="G2445" t="str">
            <v/>
          </cell>
          <cell r="J2445" t="str">
            <v/>
          </cell>
          <cell r="O2445" t="str">
            <v/>
          </cell>
          <cell r="P2445" t="str">
            <v/>
          </cell>
          <cell r="Q2445" t="str">
            <v/>
          </cell>
          <cell r="S2445" t="str">
            <v/>
          </cell>
          <cell r="V2445" t="str">
            <v/>
          </cell>
          <cell r="Z2445" t="str">
            <v/>
          </cell>
          <cell r="AA2445" t="str">
            <v/>
          </cell>
          <cell r="AB2445" t="str">
            <v/>
          </cell>
          <cell r="AC2445" t="str">
            <v/>
          </cell>
          <cell r="AD2445" t="str">
            <v/>
          </cell>
          <cell r="AY2445" t="str">
            <v/>
          </cell>
          <cell r="AZ2445" t="str">
            <v/>
          </cell>
          <cell r="BA2445" t="str">
            <v/>
          </cell>
        </row>
        <row r="2446">
          <cell r="B2446" t="str">
            <v>-</v>
          </cell>
          <cell r="E2446" t="str">
            <v/>
          </cell>
          <cell r="G2446" t="str">
            <v/>
          </cell>
          <cell r="J2446" t="str">
            <v/>
          </cell>
          <cell r="O2446" t="str">
            <v/>
          </cell>
          <cell r="P2446" t="str">
            <v/>
          </cell>
          <cell r="Q2446" t="str">
            <v/>
          </cell>
          <cell r="S2446" t="str">
            <v/>
          </cell>
          <cell r="V2446" t="str">
            <v/>
          </cell>
          <cell r="Z2446" t="str">
            <v/>
          </cell>
          <cell r="AA2446" t="str">
            <v/>
          </cell>
          <cell r="AB2446" t="str">
            <v/>
          </cell>
          <cell r="AC2446" t="str">
            <v/>
          </cell>
          <cell r="AD2446" t="str">
            <v/>
          </cell>
          <cell r="AY2446" t="str">
            <v/>
          </cell>
          <cell r="AZ2446" t="str">
            <v/>
          </cell>
          <cell r="BA2446" t="str">
            <v/>
          </cell>
        </row>
        <row r="2447">
          <cell r="B2447" t="str">
            <v>-</v>
          </cell>
          <cell r="E2447" t="str">
            <v/>
          </cell>
          <cell r="G2447" t="str">
            <v/>
          </cell>
          <cell r="J2447" t="str">
            <v/>
          </cell>
          <cell r="O2447" t="str">
            <v/>
          </cell>
          <cell r="P2447" t="str">
            <v/>
          </cell>
          <cell r="Q2447" t="str">
            <v/>
          </cell>
          <cell r="S2447" t="str">
            <v/>
          </cell>
          <cell r="V2447" t="str">
            <v/>
          </cell>
          <cell r="Z2447" t="str">
            <v/>
          </cell>
          <cell r="AA2447" t="str">
            <v/>
          </cell>
          <cell r="AB2447" t="str">
            <v/>
          </cell>
          <cell r="AC2447" t="str">
            <v/>
          </cell>
          <cell r="AD2447" t="str">
            <v/>
          </cell>
          <cell r="AY2447" t="str">
            <v/>
          </cell>
          <cell r="AZ2447" t="str">
            <v/>
          </cell>
          <cell r="BA2447" t="str">
            <v/>
          </cell>
        </row>
        <row r="2448">
          <cell r="B2448" t="str">
            <v>-</v>
          </cell>
          <cell r="E2448" t="str">
            <v/>
          </cell>
          <cell r="G2448" t="str">
            <v/>
          </cell>
          <cell r="J2448" t="str">
            <v/>
          </cell>
          <cell r="O2448" t="str">
            <v/>
          </cell>
          <cell r="P2448" t="str">
            <v/>
          </cell>
          <cell r="Q2448" t="str">
            <v/>
          </cell>
          <cell r="S2448" t="str">
            <v/>
          </cell>
          <cell r="V2448" t="str">
            <v/>
          </cell>
          <cell r="Z2448" t="str">
            <v/>
          </cell>
          <cell r="AA2448" t="str">
            <v/>
          </cell>
          <cell r="AB2448" t="str">
            <v/>
          </cell>
          <cell r="AC2448" t="str">
            <v/>
          </cell>
          <cell r="AD2448" t="str">
            <v/>
          </cell>
          <cell r="AY2448" t="str">
            <v/>
          </cell>
          <cell r="AZ2448" t="str">
            <v/>
          </cell>
          <cell r="BA2448" t="str">
            <v/>
          </cell>
        </row>
        <row r="2449">
          <cell r="B2449" t="str">
            <v>-</v>
          </cell>
          <cell r="E2449" t="str">
            <v/>
          </cell>
          <cell r="G2449" t="str">
            <v/>
          </cell>
          <cell r="J2449" t="str">
            <v/>
          </cell>
          <cell r="O2449" t="str">
            <v/>
          </cell>
          <cell r="P2449" t="str">
            <v/>
          </cell>
          <cell r="Q2449" t="str">
            <v/>
          </cell>
          <cell r="S2449" t="str">
            <v/>
          </cell>
          <cell r="V2449" t="str">
            <v/>
          </cell>
          <cell r="Z2449" t="str">
            <v/>
          </cell>
          <cell r="AA2449" t="str">
            <v/>
          </cell>
          <cell r="AB2449" t="str">
            <v/>
          </cell>
          <cell r="AC2449" t="str">
            <v/>
          </cell>
          <cell r="AD2449" t="str">
            <v/>
          </cell>
          <cell r="AY2449" t="str">
            <v/>
          </cell>
          <cell r="AZ2449" t="str">
            <v/>
          </cell>
          <cell r="BA2449" t="str">
            <v/>
          </cell>
        </row>
        <row r="2450">
          <cell r="B2450" t="str">
            <v>-</v>
          </cell>
          <cell r="E2450" t="str">
            <v/>
          </cell>
          <cell r="G2450" t="str">
            <v/>
          </cell>
          <cell r="J2450" t="str">
            <v/>
          </cell>
          <cell r="O2450" t="str">
            <v/>
          </cell>
          <cell r="P2450" t="str">
            <v/>
          </cell>
          <cell r="Q2450" t="str">
            <v/>
          </cell>
          <cell r="S2450" t="str">
            <v/>
          </cell>
          <cell r="V2450" t="str">
            <v/>
          </cell>
          <cell r="Z2450" t="str">
            <v/>
          </cell>
          <cell r="AA2450" t="str">
            <v/>
          </cell>
          <cell r="AB2450" t="str">
            <v/>
          </cell>
          <cell r="AC2450" t="str">
            <v/>
          </cell>
          <cell r="AD2450" t="str">
            <v/>
          </cell>
          <cell r="AY2450" t="str">
            <v/>
          </cell>
          <cell r="AZ2450" t="str">
            <v/>
          </cell>
          <cell r="BA2450" t="str">
            <v/>
          </cell>
        </row>
        <row r="2451">
          <cell r="B2451" t="str">
            <v>-</v>
          </cell>
          <cell r="E2451" t="str">
            <v/>
          </cell>
          <cell r="G2451" t="str">
            <v/>
          </cell>
          <cell r="J2451" t="str">
            <v/>
          </cell>
          <cell r="O2451" t="str">
            <v/>
          </cell>
          <cell r="P2451" t="str">
            <v/>
          </cell>
          <cell r="Q2451" t="str">
            <v/>
          </cell>
          <cell r="S2451" t="str">
            <v/>
          </cell>
          <cell r="V2451" t="str">
            <v/>
          </cell>
          <cell r="Z2451" t="str">
            <v/>
          </cell>
          <cell r="AA2451" t="str">
            <v/>
          </cell>
          <cell r="AB2451" t="str">
            <v/>
          </cell>
          <cell r="AC2451" t="str">
            <v/>
          </cell>
          <cell r="AD2451" t="str">
            <v/>
          </cell>
          <cell r="AY2451" t="str">
            <v/>
          </cell>
          <cell r="AZ2451" t="str">
            <v/>
          </cell>
          <cell r="BA2451" t="str">
            <v/>
          </cell>
        </row>
        <row r="2452">
          <cell r="B2452" t="str">
            <v>-</v>
          </cell>
          <cell r="E2452" t="str">
            <v/>
          </cell>
          <cell r="G2452" t="str">
            <v/>
          </cell>
          <cell r="J2452" t="str">
            <v/>
          </cell>
          <cell r="O2452" t="str">
            <v/>
          </cell>
          <cell r="P2452" t="str">
            <v/>
          </cell>
          <cell r="Q2452" t="str">
            <v/>
          </cell>
          <cell r="S2452" t="str">
            <v/>
          </cell>
          <cell r="V2452" t="str">
            <v/>
          </cell>
          <cell r="Z2452" t="str">
            <v/>
          </cell>
          <cell r="AA2452" t="str">
            <v/>
          </cell>
          <cell r="AB2452" t="str">
            <v/>
          </cell>
          <cell r="AC2452" t="str">
            <v/>
          </cell>
          <cell r="AD2452" t="str">
            <v/>
          </cell>
          <cell r="AY2452" t="str">
            <v/>
          </cell>
          <cell r="AZ2452" t="str">
            <v/>
          </cell>
          <cell r="BA2452" t="str">
            <v/>
          </cell>
        </row>
        <row r="2453">
          <cell r="B2453" t="str">
            <v>-</v>
          </cell>
          <cell r="E2453" t="str">
            <v/>
          </cell>
          <cell r="G2453" t="str">
            <v/>
          </cell>
          <cell r="J2453" t="str">
            <v/>
          </cell>
          <cell r="O2453" t="str">
            <v/>
          </cell>
          <cell r="P2453" t="str">
            <v/>
          </cell>
          <cell r="Q2453" t="str">
            <v/>
          </cell>
          <cell r="S2453" t="str">
            <v/>
          </cell>
          <cell r="V2453" t="str">
            <v/>
          </cell>
          <cell r="Z2453" t="str">
            <v/>
          </cell>
          <cell r="AA2453" t="str">
            <v/>
          </cell>
          <cell r="AB2453" t="str">
            <v/>
          </cell>
          <cell r="AC2453" t="str">
            <v/>
          </cell>
          <cell r="AD2453" t="str">
            <v/>
          </cell>
          <cell r="AY2453" t="str">
            <v/>
          </cell>
          <cell r="AZ2453" t="str">
            <v/>
          </cell>
          <cell r="BA2453" t="str">
            <v/>
          </cell>
        </row>
        <row r="2454">
          <cell r="B2454" t="str">
            <v>-</v>
          </cell>
          <cell r="E2454" t="str">
            <v/>
          </cell>
          <cell r="G2454" t="str">
            <v/>
          </cell>
          <cell r="J2454" t="str">
            <v/>
          </cell>
          <cell r="O2454" t="str">
            <v/>
          </cell>
          <cell r="P2454" t="str">
            <v/>
          </cell>
          <cell r="Q2454" t="str">
            <v/>
          </cell>
          <cell r="S2454" t="str">
            <v/>
          </cell>
          <cell r="V2454" t="str">
            <v/>
          </cell>
          <cell r="Z2454" t="str">
            <v/>
          </cell>
          <cell r="AA2454" t="str">
            <v/>
          </cell>
          <cell r="AB2454" t="str">
            <v/>
          </cell>
          <cell r="AC2454" t="str">
            <v/>
          </cell>
          <cell r="AD2454" t="str">
            <v/>
          </cell>
          <cell r="AY2454" t="str">
            <v/>
          </cell>
          <cell r="AZ2454" t="str">
            <v/>
          </cell>
          <cell r="BA2454" t="str">
            <v/>
          </cell>
        </row>
        <row r="2455">
          <cell r="B2455" t="str">
            <v>-</v>
          </cell>
          <cell r="E2455" t="str">
            <v/>
          </cell>
          <cell r="G2455" t="str">
            <v/>
          </cell>
          <cell r="J2455" t="str">
            <v/>
          </cell>
          <cell r="O2455" t="str">
            <v/>
          </cell>
          <cell r="P2455" t="str">
            <v/>
          </cell>
          <cell r="Q2455" t="str">
            <v/>
          </cell>
          <cell r="S2455" t="str">
            <v/>
          </cell>
          <cell r="V2455" t="str">
            <v/>
          </cell>
          <cell r="Z2455" t="str">
            <v/>
          </cell>
          <cell r="AA2455" t="str">
            <v/>
          </cell>
          <cell r="AB2455" t="str">
            <v/>
          </cell>
          <cell r="AC2455" t="str">
            <v/>
          </cell>
          <cell r="AD2455" t="str">
            <v/>
          </cell>
          <cell r="AY2455" t="str">
            <v/>
          </cell>
          <cell r="AZ2455" t="str">
            <v/>
          </cell>
          <cell r="BA2455" t="str">
            <v/>
          </cell>
        </row>
        <row r="2456">
          <cell r="B2456" t="str">
            <v>-</v>
          </cell>
          <cell r="E2456" t="str">
            <v/>
          </cell>
          <cell r="G2456" t="str">
            <v/>
          </cell>
          <cell r="J2456" t="str">
            <v/>
          </cell>
          <cell r="O2456" t="str">
            <v/>
          </cell>
          <cell r="P2456" t="str">
            <v/>
          </cell>
          <cell r="Q2456" t="str">
            <v/>
          </cell>
          <cell r="S2456" t="str">
            <v/>
          </cell>
          <cell r="V2456" t="str">
            <v/>
          </cell>
          <cell r="Z2456" t="str">
            <v/>
          </cell>
          <cell r="AA2456" t="str">
            <v/>
          </cell>
          <cell r="AB2456" t="str">
            <v/>
          </cell>
          <cell r="AC2456" t="str">
            <v/>
          </cell>
          <cell r="AD2456" t="str">
            <v/>
          </cell>
          <cell r="AY2456" t="str">
            <v/>
          </cell>
          <cell r="AZ2456" t="str">
            <v/>
          </cell>
          <cell r="BA2456" t="str">
            <v/>
          </cell>
        </row>
        <row r="2457">
          <cell r="B2457" t="str">
            <v>-</v>
          </cell>
          <cell r="E2457" t="str">
            <v/>
          </cell>
          <cell r="G2457" t="str">
            <v/>
          </cell>
          <cell r="J2457" t="str">
            <v/>
          </cell>
          <cell r="O2457" t="str">
            <v/>
          </cell>
          <cell r="P2457" t="str">
            <v/>
          </cell>
          <cell r="Q2457" t="str">
            <v/>
          </cell>
          <cell r="S2457" t="str">
            <v/>
          </cell>
          <cell r="V2457" t="str">
            <v/>
          </cell>
          <cell r="Z2457" t="str">
            <v/>
          </cell>
          <cell r="AA2457" t="str">
            <v/>
          </cell>
          <cell r="AB2457" t="str">
            <v/>
          </cell>
          <cell r="AC2457" t="str">
            <v/>
          </cell>
          <cell r="AD2457" t="str">
            <v/>
          </cell>
          <cell r="AY2457" t="str">
            <v/>
          </cell>
          <cell r="AZ2457" t="str">
            <v/>
          </cell>
          <cell r="BA2457" t="str">
            <v/>
          </cell>
        </row>
        <row r="2458">
          <cell r="B2458" t="str">
            <v>-</v>
          </cell>
          <cell r="E2458" t="str">
            <v/>
          </cell>
          <cell r="G2458" t="str">
            <v/>
          </cell>
          <cell r="J2458" t="str">
            <v/>
          </cell>
          <cell r="O2458" t="str">
            <v/>
          </cell>
          <cell r="P2458" t="str">
            <v/>
          </cell>
          <cell r="Q2458" t="str">
            <v/>
          </cell>
          <cell r="S2458" t="str">
            <v/>
          </cell>
          <cell r="V2458" t="str">
            <v/>
          </cell>
          <cell r="Z2458" t="str">
            <v/>
          </cell>
          <cell r="AA2458" t="str">
            <v/>
          </cell>
          <cell r="AB2458" t="str">
            <v/>
          </cell>
          <cell r="AC2458" t="str">
            <v/>
          </cell>
          <cell r="AD2458" t="str">
            <v/>
          </cell>
          <cell r="AY2458" t="str">
            <v/>
          </cell>
          <cell r="AZ2458" t="str">
            <v/>
          </cell>
          <cell r="BA2458" t="str">
            <v/>
          </cell>
        </row>
        <row r="2459">
          <cell r="B2459" t="str">
            <v>-</v>
          </cell>
          <cell r="E2459" t="str">
            <v/>
          </cell>
          <cell r="G2459" t="str">
            <v/>
          </cell>
          <cell r="J2459" t="str">
            <v/>
          </cell>
          <cell r="O2459" t="str">
            <v/>
          </cell>
          <cell r="P2459" t="str">
            <v/>
          </cell>
          <cell r="Q2459" t="str">
            <v/>
          </cell>
          <cell r="S2459" t="str">
            <v/>
          </cell>
          <cell r="V2459" t="str">
            <v/>
          </cell>
          <cell r="Z2459" t="str">
            <v/>
          </cell>
          <cell r="AA2459" t="str">
            <v/>
          </cell>
          <cell r="AB2459" t="str">
            <v/>
          </cell>
          <cell r="AC2459" t="str">
            <v/>
          </cell>
          <cell r="AD2459" t="str">
            <v/>
          </cell>
          <cell r="AY2459" t="str">
            <v/>
          </cell>
          <cell r="AZ2459" t="str">
            <v/>
          </cell>
          <cell r="BA2459" t="str">
            <v/>
          </cell>
        </row>
        <row r="2460">
          <cell r="B2460" t="str">
            <v>-</v>
          </cell>
          <cell r="E2460" t="str">
            <v/>
          </cell>
          <cell r="G2460" t="str">
            <v/>
          </cell>
          <cell r="J2460" t="str">
            <v/>
          </cell>
          <cell r="O2460" t="str">
            <v/>
          </cell>
          <cell r="P2460" t="str">
            <v/>
          </cell>
          <cell r="Q2460" t="str">
            <v/>
          </cell>
          <cell r="S2460" t="str">
            <v/>
          </cell>
          <cell r="V2460" t="str">
            <v/>
          </cell>
          <cell r="Z2460" t="str">
            <v/>
          </cell>
          <cell r="AA2460" t="str">
            <v/>
          </cell>
          <cell r="AB2460" t="str">
            <v/>
          </cell>
          <cell r="AC2460" t="str">
            <v/>
          </cell>
          <cell r="AD2460" t="str">
            <v/>
          </cell>
          <cell r="AY2460" t="str">
            <v/>
          </cell>
          <cell r="AZ2460" t="str">
            <v/>
          </cell>
          <cell r="BA2460" t="str">
            <v/>
          </cell>
        </row>
        <row r="2461">
          <cell r="B2461" t="str">
            <v>-</v>
          </cell>
          <cell r="E2461" t="str">
            <v/>
          </cell>
          <cell r="G2461" t="str">
            <v/>
          </cell>
          <cell r="J2461" t="str">
            <v/>
          </cell>
          <cell r="O2461" t="str">
            <v/>
          </cell>
          <cell r="P2461" t="str">
            <v/>
          </cell>
          <cell r="Q2461" t="str">
            <v/>
          </cell>
          <cell r="S2461" t="str">
            <v/>
          </cell>
          <cell r="V2461" t="str">
            <v/>
          </cell>
          <cell r="Z2461" t="str">
            <v/>
          </cell>
          <cell r="AA2461" t="str">
            <v/>
          </cell>
          <cell r="AB2461" t="str">
            <v/>
          </cell>
          <cell r="AC2461" t="str">
            <v/>
          </cell>
          <cell r="AD2461" t="str">
            <v/>
          </cell>
          <cell r="AY2461" t="str">
            <v/>
          </cell>
          <cell r="AZ2461" t="str">
            <v/>
          </cell>
          <cell r="BA2461" t="str">
            <v/>
          </cell>
        </row>
        <row r="2462">
          <cell r="B2462" t="str">
            <v>-</v>
          </cell>
          <cell r="E2462" t="str">
            <v/>
          </cell>
          <cell r="G2462" t="str">
            <v/>
          </cell>
          <cell r="J2462" t="str">
            <v/>
          </cell>
          <cell r="O2462" t="str">
            <v/>
          </cell>
          <cell r="P2462" t="str">
            <v/>
          </cell>
          <cell r="Q2462" t="str">
            <v/>
          </cell>
          <cell r="S2462" t="str">
            <v/>
          </cell>
          <cell r="V2462" t="str">
            <v/>
          </cell>
          <cell r="Z2462" t="str">
            <v/>
          </cell>
          <cell r="AA2462" t="str">
            <v/>
          </cell>
          <cell r="AB2462" t="str">
            <v/>
          </cell>
          <cell r="AC2462" t="str">
            <v/>
          </cell>
          <cell r="AD2462" t="str">
            <v/>
          </cell>
          <cell r="AY2462" t="str">
            <v/>
          </cell>
          <cell r="AZ2462" t="str">
            <v/>
          </cell>
          <cell r="BA2462" t="str">
            <v/>
          </cell>
        </row>
        <row r="2463">
          <cell r="B2463" t="str">
            <v>-</v>
          </cell>
          <cell r="E2463" t="str">
            <v/>
          </cell>
          <cell r="G2463" t="str">
            <v/>
          </cell>
          <cell r="J2463" t="str">
            <v/>
          </cell>
          <cell r="O2463" t="str">
            <v/>
          </cell>
          <cell r="P2463" t="str">
            <v/>
          </cell>
          <cell r="Q2463" t="str">
            <v/>
          </cell>
          <cell r="S2463" t="str">
            <v/>
          </cell>
          <cell r="V2463" t="str">
            <v/>
          </cell>
          <cell r="Z2463" t="str">
            <v/>
          </cell>
          <cell r="AA2463" t="str">
            <v/>
          </cell>
          <cell r="AB2463" t="str">
            <v/>
          </cell>
          <cell r="AC2463" t="str">
            <v/>
          </cell>
          <cell r="AD2463" t="str">
            <v/>
          </cell>
          <cell r="AY2463" t="str">
            <v/>
          </cell>
          <cell r="AZ2463" t="str">
            <v/>
          </cell>
          <cell r="BA2463" t="str">
            <v/>
          </cell>
        </row>
        <row r="2464">
          <cell r="B2464" t="str">
            <v>-</v>
          </cell>
          <cell r="E2464" t="str">
            <v/>
          </cell>
          <cell r="G2464" t="str">
            <v/>
          </cell>
          <cell r="J2464" t="str">
            <v/>
          </cell>
          <cell r="O2464" t="str">
            <v/>
          </cell>
          <cell r="P2464" t="str">
            <v/>
          </cell>
          <cell r="Q2464" t="str">
            <v/>
          </cell>
          <cell r="S2464" t="str">
            <v/>
          </cell>
          <cell r="V2464" t="str">
            <v/>
          </cell>
          <cell r="Z2464" t="str">
            <v/>
          </cell>
          <cell r="AA2464" t="str">
            <v/>
          </cell>
          <cell r="AB2464" t="str">
            <v/>
          </cell>
          <cell r="AC2464" t="str">
            <v/>
          </cell>
          <cell r="AD2464" t="str">
            <v/>
          </cell>
          <cell r="AY2464" t="str">
            <v/>
          </cell>
          <cell r="AZ2464" t="str">
            <v/>
          </cell>
          <cell r="BA2464" t="str">
            <v/>
          </cell>
        </row>
        <row r="2465">
          <cell r="B2465" t="str">
            <v>-</v>
          </cell>
          <cell r="E2465" t="str">
            <v/>
          </cell>
          <cell r="G2465" t="str">
            <v/>
          </cell>
          <cell r="J2465" t="str">
            <v/>
          </cell>
          <cell r="O2465" t="str">
            <v/>
          </cell>
          <cell r="P2465" t="str">
            <v/>
          </cell>
          <cell r="Q2465" t="str">
            <v/>
          </cell>
          <cell r="S2465" t="str">
            <v/>
          </cell>
          <cell r="V2465" t="str">
            <v/>
          </cell>
          <cell r="Z2465" t="str">
            <v/>
          </cell>
          <cell r="AA2465" t="str">
            <v/>
          </cell>
          <cell r="AB2465" t="str">
            <v/>
          </cell>
          <cell r="AC2465" t="str">
            <v/>
          </cell>
          <cell r="AD2465" t="str">
            <v/>
          </cell>
          <cell r="AY2465" t="str">
            <v/>
          </cell>
          <cell r="AZ2465" t="str">
            <v/>
          </cell>
          <cell r="BA2465" t="str">
            <v/>
          </cell>
        </row>
        <row r="2466">
          <cell r="B2466" t="str">
            <v>-</v>
          </cell>
          <cell r="E2466" t="str">
            <v/>
          </cell>
          <cell r="G2466" t="str">
            <v/>
          </cell>
          <cell r="J2466" t="str">
            <v/>
          </cell>
          <cell r="O2466" t="str">
            <v/>
          </cell>
          <cell r="P2466" t="str">
            <v/>
          </cell>
          <cell r="Q2466" t="str">
            <v/>
          </cell>
          <cell r="S2466" t="str">
            <v/>
          </cell>
          <cell r="V2466" t="str">
            <v/>
          </cell>
          <cell r="Z2466" t="str">
            <v/>
          </cell>
          <cell r="AA2466" t="str">
            <v/>
          </cell>
          <cell r="AB2466" t="str">
            <v/>
          </cell>
          <cell r="AC2466" t="str">
            <v/>
          </cell>
          <cell r="AD2466" t="str">
            <v/>
          </cell>
          <cell r="AY2466" t="str">
            <v/>
          </cell>
          <cell r="AZ2466" t="str">
            <v/>
          </cell>
          <cell r="BA2466" t="str">
            <v/>
          </cell>
        </row>
        <row r="2467">
          <cell r="B2467" t="str">
            <v>-</v>
          </cell>
          <cell r="E2467" t="str">
            <v/>
          </cell>
          <cell r="G2467" t="str">
            <v/>
          </cell>
          <cell r="J2467" t="str">
            <v/>
          </cell>
          <cell r="O2467" t="str">
            <v/>
          </cell>
          <cell r="P2467" t="str">
            <v/>
          </cell>
          <cell r="Q2467" t="str">
            <v/>
          </cell>
          <cell r="S2467" t="str">
            <v/>
          </cell>
          <cell r="V2467" t="str">
            <v/>
          </cell>
          <cell r="Z2467" t="str">
            <v/>
          </cell>
          <cell r="AA2467" t="str">
            <v/>
          </cell>
          <cell r="AB2467" t="str">
            <v/>
          </cell>
          <cell r="AC2467" t="str">
            <v/>
          </cell>
          <cell r="AD2467" t="str">
            <v/>
          </cell>
          <cell r="AY2467" t="str">
            <v/>
          </cell>
          <cell r="AZ2467" t="str">
            <v/>
          </cell>
          <cell r="BA2467" t="str">
            <v/>
          </cell>
        </row>
        <row r="2468">
          <cell r="B2468" t="str">
            <v>-</v>
          </cell>
          <cell r="E2468" t="str">
            <v/>
          </cell>
          <cell r="G2468" t="str">
            <v/>
          </cell>
          <cell r="J2468" t="str">
            <v/>
          </cell>
          <cell r="O2468" t="str">
            <v/>
          </cell>
          <cell r="P2468" t="str">
            <v/>
          </cell>
          <cell r="Q2468" t="str">
            <v/>
          </cell>
          <cell r="S2468" t="str">
            <v/>
          </cell>
          <cell r="V2468" t="str">
            <v/>
          </cell>
          <cell r="Z2468" t="str">
            <v/>
          </cell>
          <cell r="AA2468" t="str">
            <v/>
          </cell>
          <cell r="AB2468" t="str">
            <v/>
          </cell>
          <cell r="AC2468" t="str">
            <v/>
          </cell>
          <cell r="AD2468" t="str">
            <v/>
          </cell>
          <cell r="AY2468" t="str">
            <v/>
          </cell>
          <cell r="AZ2468" t="str">
            <v/>
          </cell>
          <cell r="BA2468" t="str">
            <v/>
          </cell>
        </row>
        <row r="2469">
          <cell r="B2469" t="str">
            <v>-</v>
          </cell>
          <cell r="E2469" t="str">
            <v/>
          </cell>
          <cell r="G2469" t="str">
            <v/>
          </cell>
          <cell r="J2469" t="str">
            <v/>
          </cell>
          <cell r="O2469" t="str">
            <v/>
          </cell>
          <cell r="P2469" t="str">
            <v/>
          </cell>
          <cell r="Q2469" t="str">
            <v/>
          </cell>
          <cell r="S2469" t="str">
            <v/>
          </cell>
          <cell r="V2469" t="str">
            <v/>
          </cell>
          <cell r="Z2469" t="str">
            <v/>
          </cell>
          <cell r="AA2469" t="str">
            <v/>
          </cell>
          <cell r="AB2469" t="str">
            <v/>
          </cell>
          <cell r="AC2469" t="str">
            <v/>
          </cell>
          <cell r="AD2469" t="str">
            <v/>
          </cell>
          <cell r="AY2469" t="str">
            <v/>
          </cell>
          <cell r="AZ2469" t="str">
            <v/>
          </cell>
          <cell r="BA2469" t="str">
            <v/>
          </cell>
        </row>
        <row r="2470">
          <cell r="B2470" t="str">
            <v>-</v>
          </cell>
          <cell r="E2470" t="str">
            <v/>
          </cell>
          <cell r="G2470" t="str">
            <v/>
          </cell>
          <cell r="J2470" t="str">
            <v/>
          </cell>
          <cell r="O2470" t="str">
            <v/>
          </cell>
          <cell r="P2470" t="str">
            <v/>
          </cell>
          <cell r="Q2470" t="str">
            <v/>
          </cell>
          <cell r="S2470" t="str">
            <v/>
          </cell>
          <cell r="V2470" t="str">
            <v/>
          </cell>
          <cell r="Z2470" t="str">
            <v/>
          </cell>
          <cell r="AA2470" t="str">
            <v/>
          </cell>
          <cell r="AB2470" t="str">
            <v/>
          </cell>
          <cell r="AC2470" t="str">
            <v/>
          </cell>
          <cell r="AD2470" t="str">
            <v/>
          </cell>
          <cell r="AY2470" t="str">
            <v/>
          </cell>
          <cell r="AZ2470" t="str">
            <v/>
          </cell>
          <cell r="BA2470" t="str">
            <v/>
          </cell>
        </row>
        <row r="2471">
          <cell r="B2471" t="str">
            <v>-</v>
          </cell>
          <cell r="E2471" t="str">
            <v/>
          </cell>
          <cell r="G2471" t="str">
            <v/>
          </cell>
          <cell r="J2471" t="str">
            <v/>
          </cell>
          <cell r="O2471" t="str">
            <v/>
          </cell>
          <cell r="P2471" t="str">
            <v/>
          </cell>
          <cell r="Q2471" t="str">
            <v/>
          </cell>
          <cell r="S2471" t="str">
            <v/>
          </cell>
          <cell r="V2471" t="str">
            <v/>
          </cell>
          <cell r="Z2471" t="str">
            <v/>
          </cell>
          <cell r="AA2471" t="str">
            <v/>
          </cell>
          <cell r="AB2471" t="str">
            <v/>
          </cell>
          <cell r="AC2471" t="str">
            <v/>
          </cell>
          <cell r="AD2471" t="str">
            <v/>
          </cell>
          <cell r="AY2471" t="str">
            <v/>
          </cell>
          <cell r="AZ2471" t="str">
            <v/>
          </cell>
          <cell r="BA2471" t="str">
            <v/>
          </cell>
        </row>
        <row r="2472">
          <cell r="B2472" t="str">
            <v>-</v>
          </cell>
          <cell r="E2472" t="str">
            <v/>
          </cell>
          <cell r="G2472" t="str">
            <v/>
          </cell>
          <cell r="J2472" t="str">
            <v/>
          </cell>
          <cell r="O2472" t="str">
            <v/>
          </cell>
          <cell r="P2472" t="str">
            <v/>
          </cell>
          <cell r="Q2472" t="str">
            <v/>
          </cell>
          <cell r="S2472" t="str">
            <v/>
          </cell>
          <cell r="V2472" t="str">
            <v/>
          </cell>
          <cell r="Z2472" t="str">
            <v/>
          </cell>
          <cell r="AA2472" t="str">
            <v/>
          </cell>
          <cell r="AB2472" t="str">
            <v/>
          </cell>
          <cell r="AC2472" t="str">
            <v/>
          </cell>
          <cell r="AD2472" t="str">
            <v/>
          </cell>
          <cell r="AY2472" t="str">
            <v/>
          </cell>
          <cell r="AZ2472" t="str">
            <v/>
          </cell>
          <cell r="BA2472" t="str">
            <v/>
          </cell>
        </row>
        <row r="2473">
          <cell r="B2473" t="str">
            <v>-</v>
          </cell>
          <cell r="E2473" t="str">
            <v/>
          </cell>
          <cell r="G2473" t="str">
            <v/>
          </cell>
          <cell r="J2473" t="str">
            <v/>
          </cell>
          <cell r="O2473" t="str">
            <v/>
          </cell>
          <cell r="P2473" t="str">
            <v/>
          </cell>
          <cell r="Q2473" t="str">
            <v/>
          </cell>
          <cell r="S2473" t="str">
            <v/>
          </cell>
          <cell r="V2473" t="str">
            <v/>
          </cell>
          <cell r="Z2473" t="str">
            <v/>
          </cell>
          <cell r="AA2473" t="str">
            <v/>
          </cell>
          <cell r="AB2473" t="str">
            <v/>
          </cell>
          <cell r="AC2473" t="str">
            <v/>
          </cell>
          <cell r="AD2473" t="str">
            <v/>
          </cell>
          <cell r="AY2473" t="str">
            <v/>
          </cell>
          <cell r="AZ2473" t="str">
            <v/>
          </cell>
          <cell r="BA2473" t="str">
            <v/>
          </cell>
        </row>
        <row r="2474">
          <cell r="B2474" t="str">
            <v>-</v>
          </cell>
          <cell r="E2474" t="str">
            <v/>
          </cell>
          <cell r="G2474" t="str">
            <v/>
          </cell>
          <cell r="J2474" t="str">
            <v/>
          </cell>
          <cell r="O2474" t="str">
            <v/>
          </cell>
          <cell r="P2474" t="str">
            <v/>
          </cell>
          <cell r="Q2474" t="str">
            <v/>
          </cell>
          <cell r="S2474" t="str">
            <v/>
          </cell>
          <cell r="V2474" t="str">
            <v/>
          </cell>
          <cell r="Z2474" t="str">
            <v/>
          </cell>
          <cell r="AA2474" t="str">
            <v/>
          </cell>
          <cell r="AB2474" t="str">
            <v/>
          </cell>
          <cell r="AC2474" t="str">
            <v/>
          </cell>
          <cell r="AD2474" t="str">
            <v/>
          </cell>
          <cell r="AY2474" t="str">
            <v/>
          </cell>
          <cell r="AZ2474" t="str">
            <v/>
          </cell>
          <cell r="BA2474" t="str">
            <v/>
          </cell>
        </row>
        <row r="2475">
          <cell r="B2475" t="str">
            <v>-</v>
          </cell>
          <cell r="E2475" t="str">
            <v/>
          </cell>
          <cell r="G2475" t="str">
            <v/>
          </cell>
          <cell r="J2475" t="str">
            <v/>
          </cell>
          <cell r="O2475" t="str">
            <v/>
          </cell>
          <cell r="P2475" t="str">
            <v/>
          </cell>
          <cell r="Q2475" t="str">
            <v/>
          </cell>
          <cell r="S2475" t="str">
            <v/>
          </cell>
          <cell r="V2475" t="str">
            <v/>
          </cell>
          <cell r="Z2475" t="str">
            <v/>
          </cell>
          <cell r="AA2475" t="str">
            <v/>
          </cell>
          <cell r="AB2475" t="str">
            <v/>
          </cell>
          <cell r="AC2475" t="str">
            <v/>
          </cell>
          <cell r="AD2475" t="str">
            <v/>
          </cell>
          <cell r="AY2475" t="str">
            <v/>
          </cell>
          <cell r="AZ2475" t="str">
            <v/>
          </cell>
          <cell r="BA2475" t="str">
            <v/>
          </cell>
        </row>
        <row r="2476">
          <cell r="B2476" t="str">
            <v>-</v>
          </cell>
          <cell r="E2476" t="str">
            <v/>
          </cell>
          <cell r="G2476" t="str">
            <v/>
          </cell>
          <cell r="J2476" t="str">
            <v/>
          </cell>
          <cell r="O2476" t="str">
            <v/>
          </cell>
          <cell r="P2476" t="str">
            <v/>
          </cell>
          <cell r="Q2476" t="str">
            <v/>
          </cell>
          <cell r="S2476" t="str">
            <v/>
          </cell>
          <cell r="V2476" t="str">
            <v/>
          </cell>
          <cell r="Z2476" t="str">
            <v/>
          </cell>
          <cell r="AA2476" t="str">
            <v/>
          </cell>
          <cell r="AB2476" t="str">
            <v/>
          </cell>
          <cell r="AC2476" t="str">
            <v/>
          </cell>
          <cell r="AD2476" t="str">
            <v/>
          </cell>
          <cell r="AY2476" t="str">
            <v/>
          </cell>
          <cell r="AZ2476" t="str">
            <v/>
          </cell>
          <cell r="BA2476" t="str">
            <v/>
          </cell>
        </row>
        <row r="2477">
          <cell r="B2477" t="str">
            <v>-</v>
          </cell>
          <cell r="E2477" t="str">
            <v/>
          </cell>
          <cell r="G2477" t="str">
            <v/>
          </cell>
          <cell r="J2477" t="str">
            <v/>
          </cell>
          <cell r="O2477" t="str">
            <v/>
          </cell>
          <cell r="P2477" t="str">
            <v/>
          </cell>
          <cell r="Q2477" t="str">
            <v/>
          </cell>
          <cell r="S2477" t="str">
            <v/>
          </cell>
          <cell r="V2477" t="str">
            <v/>
          </cell>
          <cell r="Z2477" t="str">
            <v/>
          </cell>
          <cell r="AA2477" t="str">
            <v/>
          </cell>
          <cell r="AB2477" t="str">
            <v/>
          </cell>
          <cell r="AC2477" t="str">
            <v/>
          </cell>
          <cell r="AD2477" t="str">
            <v/>
          </cell>
          <cell r="AY2477" t="str">
            <v/>
          </cell>
          <cell r="AZ2477" t="str">
            <v/>
          </cell>
          <cell r="BA2477" t="str">
            <v/>
          </cell>
        </row>
        <row r="2478">
          <cell r="B2478" t="str">
            <v>-</v>
          </cell>
          <cell r="E2478" t="str">
            <v/>
          </cell>
          <cell r="G2478" t="str">
            <v/>
          </cell>
          <cell r="J2478" t="str">
            <v/>
          </cell>
          <cell r="O2478" t="str">
            <v/>
          </cell>
          <cell r="P2478" t="str">
            <v/>
          </cell>
          <cell r="Q2478" t="str">
            <v/>
          </cell>
          <cell r="S2478" t="str">
            <v/>
          </cell>
          <cell r="V2478" t="str">
            <v/>
          </cell>
          <cell r="Z2478" t="str">
            <v/>
          </cell>
          <cell r="AA2478" t="str">
            <v/>
          </cell>
          <cell r="AB2478" t="str">
            <v/>
          </cell>
          <cell r="AC2478" t="str">
            <v/>
          </cell>
          <cell r="AD2478" t="str">
            <v/>
          </cell>
          <cell r="AY2478" t="str">
            <v/>
          </cell>
          <cell r="AZ2478" t="str">
            <v/>
          </cell>
          <cell r="BA2478" t="str">
            <v/>
          </cell>
        </row>
        <row r="2479">
          <cell r="B2479" t="str">
            <v>-</v>
          </cell>
          <cell r="E2479" t="str">
            <v/>
          </cell>
          <cell r="G2479" t="str">
            <v/>
          </cell>
          <cell r="J2479" t="str">
            <v/>
          </cell>
          <cell r="O2479" t="str">
            <v/>
          </cell>
          <cell r="P2479" t="str">
            <v/>
          </cell>
          <cell r="Q2479" t="str">
            <v/>
          </cell>
          <cell r="S2479" t="str">
            <v/>
          </cell>
          <cell r="V2479" t="str">
            <v/>
          </cell>
          <cell r="Z2479" t="str">
            <v/>
          </cell>
          <cell r="AA2479" t="str">
            <v/>
          </cell>
          <cell r="AB2479" t="str">
            <v/>
          </cell>
          <cell r="AC2479" t="str">
            <v/>
          </cell>
          <cell r="AD2479" t="str">
            <v/>
          </cell>
          <cell r="AY2479" t="str">
            <v/>
          </cell>
          <cell r="AZ2479" t="str">
            <v/>
          </cell>
          <cell r="BA2479" t="str">
            <v/>
          </cell>
        </row>
        <row r="2480">
          <cell r="B2480" t="str">
            <v>-</v>
          </cell>
          <cell r="E2480" t="str">
            <v/>
          </cell>
          <cell r="G2480" t="str">
            <v/>
          </cell>
          <cell r="J2480" t="str">
            <v/>
          </cell>
          <cell r="O2480" t="str">
            <v/>
          </cell>
          <cell r="P2480" t="str">
            <v/>
          </cell>
          <cell r="Q2480" t="str">
            <v/>
          </cell>
          <cell r="S2480" t="str">
            <v/>
          </cell>
          <cell r="V2480" t="str">
            <v/>
          </cell>
          <cell r="Z2480" t="str">
            <v/>
          </cell>
          <cell r="AA2480" t="str">
            <v/>
          </cell>
          <cell r="AB2480" t="str">
            <v/>
          </cell>
          <cell r="AC2480" t="str">
            <v/>
          </cell>
          <cell r="AD2480" t="str">
            <v/>
          </cell>
          <cell r="AY2480" t="str">
            <v/>
          </cell>
          <cell r="AZ2480" t="str">
            <v/>
          </cell>
          <cell r="BA2480" t="str">
            <v/>
          </cell>
        </row>
        <row r="2481">
          <cell r="B2481" t="str">
            <v>-</v>
          </cell>
          <cell r="E2481" t="str">
            <v/>
          </cell>
          <cell r="G2481" t="str">
            <v/>
          </cell>
          <cell r="J2481" t="str">
            <v/>
          </cell>
          <cell r="O2481" t="str">
            <v/>
          </cell>
          <cell r="P2481" t="str">
            <v/>
          </cell>
          <cell r="Q2481" t="str">
            <v/>
          </cell>
          <cell r="S2481" t="str">
            <v/>
          </cell>
          <cell r="V2481" t="str">
            <v/>
          </cell>
          <cell r="Z2481" t="str">
            <v/>
          </cell>
          <cell r="AA2481" t="str">
            <v/>
          </cell>
          <cell r="AB2481" t="str">
            <v/>
          </cell>
          <cell r="AC2481" t="str">
            <v/>
          </cell>
          <cell r="AD2481" t="str">
            <v/>
          </cell>
          <cell r="AY2481" t="str">
            <v/>
          </cell>
          <cell r="AZ2481" t="str">
            <v/>
          </cell>
          <cell r="BA2481" t="str">
            <v/>
          </cell>
        </row>
        <row r="2482">
          <cell r="B2482" t="str">
            <v>-</v>
          </cell>
          <cell r="E2482" t="str">
            <v/>
          </cell>
          <cell r="G2482" t="str">
            <v/>
          </cell>
          <cell r="J2482" t="str">
            <v/>
          </cell>
          <cell r="O2482" t="str">
            <v/>
          </cell>
          <cell r="P2482" t="str">
            <v/>
          </cell>
          <cell r="Q2482" t="str">
            <v/>
          </cell>
          <cell r="S2482" t="str">
            <v/>
          </cell>
          <cell r="V2482" t="str">
            <v/>
          </cell>
          <cell r="Z2482" t="str">
            <v/>
          </cell>
          <cell r="AA2482" t="str">
            <v/>
          </cell>
          <cell r="AB2482" t="str">
            <v/>
          </cell>
          <cell r="AC2482" t="str">
            <v/>
          </cell>
          <cell r="AD2482" t="str">
            <v/>
          </cell>
          <cell r="AY2482" t="str">
            <v/>
          </cell>
          <cell r="AZ2482" t="str">
            <v/>
          </cell>
          <cell r="BA2482" t="str">
            <v/>
          </cell>
        </row>
        <row r="2483">
          <cell r="B2483" t="str">
            <v>-</v>
          </cell>
          <cell r="E2483" t="str">
            <v/>
          </cell>
          <cell r="G2483" t="str">
            <v/>
          </cell>
          <cell r="J2483" t="str">
            <v/>
          </cell>
          <cell r="O2483" t="str">
            <v/>
          </cell>
          <cell r="P2483" t="str">
            <v/>
          </cell>
          <cell r="Q2483" t="str">
            <v/>
          </cell>
          <cell r="S2483" t="str">
            <v/>
          </cell>
          <cell r="V2483" t="str">
            <v/>
          </cell>
          <cell r="Z2483" t="str">
            <v/>
          </cell>
          <cell r="AA2483" t="str">
            <v/>
          </cell>
          <cell r="AB2483" t="str">
            <v/>
          </cell>
          <cell r="AC2483" t="str">
            <v/>
          </cell>
          <cell r="AD2483" t="str">
            <v/>
          </cell>
          <cell r="AY2483" t="str">
            <v/>
          </cell>
          <cell r="AZ2483" t="str">
            <v/>
          </cell>
          <cell r="BA2483" t="str">
            <v/>
          </cell>
        </row>
        <row r="2484">
          <cell r="B2484" t="str">
            <v>-</v>
          </cell>
          <cell r="E2484" t="str">
            <v/>
          </cell>
          <cell r="G2484" t="str">
            <v/>
          </cell>
          <cell r="J2484" t="str">
            <v/>
          </cell>
          <cell r="O2484" t="str">
            <v/>
          </cell>
          <cell r="P2484" t="str">
            <v/>
          </cell>
          <cell r="Q2484" t="str">
            <v/>
          </cell>
          <cell r="S2484" t="str">
            <v/>
          </cell>
          <cell r="V2484" t="str">
            <v/>
          </cell>
          <cell r="Z2484" t="str">
            <v/>
          </cell>
          <cell r="AA2484" t="str">
            <v/>
          </cell>
          <cell r="AB2484" t="str">
            <v/>
          </cell>
          <cell r="AC2484" t="str">
            <v/>
          </cell>
          <cell r="AD2484" t="str">
            <v/>
          </cell>
          <cell r="AY2484" t="str">
            <v/>
          </cell>
          <cell r="AZ2484" t="str">
            <v/>
          </cell>
          <cell r="BA2484" t="str">
            <v/>
          </cell>
        </row>
        <row r="2485">
          <cell r="B2485" t="str">
            <v>-</v>
          </cell>
          <cell r="E2485" t="str">
            <v/>
          </cell>
          <cell r="G2485" t="str">
            <v/>
          </cell>
          <cell r="J2485" t="str">
            <v/>
          </cell>
          <cell r="O2485" t="str">
            <v/>
          </cell>
          <cell r="P2485" t="str">
            <v/>
          </cell>
          <cell r="Q2485" t="str">
            <v/>
          </cell>
          <cell r="S2485" t="str">
            <v/>
          </cell>
          <cell r="V2485" t="str">
            <v/>
          </cell>
          <cell r="Z2485" t="str">
            <v/>
          </cell>
          <cell r="AA2485" t="str">
            <v/>
          </cell>
          <cell r="AB2485" t="str">
            <v/>
          </cell>
          <cell r="AC2485" t="str">
            <v/>
          </cell>
          <cell r="AD2485" t="str">
            <v/>
          </cell>
          <cell r="AY2485" t="str">
            <v/>
          </cell>
          <cell r="AZ2485" t="str">
            <v/>
          </cell>
          <cell r="BA2485" t="str">
            <v/>
          </cell>
        </row>
        <row r="2486">
          <cell r="B2486" t="str">
            <v>-</v>
          </cell>
          <cell r="E2486" t="str">
            <v/>
          </cell>
          <cell r="G2486" t="str">
            <v/>
          </cell>
          <cell r="J2486" t="str">
            <v/>
          </cell>
          <cell r="O2486" t="str">
            <v/>
          </cell>
          <cell r="P2486" t="str">
            <v/>
          </cell>
          <cell r="Q2486" t="str">
            <v/>
          </cell>
          <cell r="S2486" t="str">
            <v/>
          </cell>
          <cell r="V2486" t="str">
            <v/>
          </cell>
          <cell r="Z2486" t="str">
            <v/>
          </cell>
          <cell r="AA2486" t="str">
            <v/>
          </cell>
          <cell r="AB2486" t="str">
            <v/>
          </cell>
          <cell r="AC2486" t="str">
            <v/>
          </cell>
          <cell r="AD2486" t="str">
            <v/>
          </cell>
          <cell r="AY2486" t="str">
            <v/>
          </cell>
          <cell r="AZ2486" t="str">
            <v/>
          </cell>
          <cell r="BA2486" t="str">
            <v/>
          </cell>
        </row>
        <row r="2487">
          <cell r="B2487" t="str">
            <v>-</v>
          </cell>
          <cell r="E2487" t="str">
            <v/>
          </cell>
          <cell r="G2487" t="str">
            <v/>
          </cell>
          <cell r="J2487" t="str">
            <v/>
          </cell>
          <cell r="O2487" t="str">
            <v/>
          </cell>
          <cell r="P2487" t="str">
            <v/>
          </cell>
          <cell r="Q2487" t="str">
            <v/>
          </cell>
          <cell r="S2487" t="str">
            <v/>
          </cell>
          <cell r="V2487" t="str">
            <v/>
          </cell>
          <cell r="Z2487" t="str">
            <v/>
          </cell>
          <cell r="AA2487" t="str">
            <v/>
          </cell>
          <cell r="AB2487" t="str">
            <v/>
          </cell>
          <cell r="AC2487" t="str">
            <v/>
          </cell>
          <cell r="AD2487" t="str">
            <v/>
          </cell>
          <cell r="AY2487" t="str">
            <v/>
          </cell>
          <cell r="AZ2487" t="str">
            <v/>
          </cell>
          <cell r="BA2487" t="str">
            <v/>
          </cell>
        </row>
        <row r="2488">
          <cell r="B2488" t="str">
            <v>-</v>
          </cell>
          <cell r="E2488" t="str">
            <v/>
          </cell>
          <cell r="G2488" t="str">
            <v/>
          </cell>
          <cell r="J2488" t="str">
            <v/>
          </cell>
          <cell r="O2488" t="str">
            <v/>
          </cell>
          <cell r="P2488" t="str">
            <v/>
          </cell>
          <cell r="Q2488" t="str">
            <v/>
          </cell>
          <cell r="S2488" t="str">
            <v/>
          </cell>
          <cell r="V2488" t="str">
            <v/>
          </cell>
          <cell r="Z2488" t="str">
            <v/>
          </cell>
          <cell r="AA2488" t="str">
            <v/>
          </cell>
          <cell r="AB2488" t="str">
            <v/>
          </cell>
          <cell r="AC2488" t="str">
            <v/>
          </cell>
          <cell r="AD2488" t="str">
            <v/>
          </cell>
          <cell r="AY2488" t="str">
            <v/>
          </cell>
          <cell r="AZ2488" t="str">
            <v/>
          </cell>
          <cell r="BA2488" t="str">
            <v/>
          </cell>
        </row>
        <row r="2489">
          <cell r="B2489" t="str">
            <v>-</v>
          </cell>
          <cell r="E2489" t="str">
            <v/>
          </cell>
          <cell r="G2489" t="str">
            <v/>
          </cell>
          <cell r="J2489" t="str">
            <v/>
          </cell>
          <cell r="O2489" t="str">
            <v/>
          </cell>
          <cell r="P2489" t="str">
            <v/>
          </cell>
          <cell r="Q2489" t="str">
            <v/>
          </cell>
          <cell r="S2489" t="str">
            <v/>
          </cell>
          <cell r="V2489" t="str">
            <v/>
          </cell>
          <cell r="Z2489" t="str">
            <v/>
          </cell>
          <cell r="AA2489" t="str">
            <v/>
          </cell>
          <cell r="AB2489" t="str">
            <v/>
          </cell>
          <cell r="AC2489" t="str">
            <v/>
          </cell>
          <cell r="AD2489" t="str">
            <v/>
          </cell>
          <cell r="AY2489" t="str">
            <v/>
          </cell>
          <cell r="AZ2489" t="str">
            <v/>
          </cell>
          <cell r="BA2489" t="str">
            <v/>
          </cell>
        </row>
        <row r="2490">
          <cell r="B2490" t="str">
            <v>-</v>
          </cell>
          <cell r="E2490" t="str">
            <v/>
          </cell>
          <cell r="G2490" t="str">
            <v/>
          </cell>
          <cell r="J2490" t="str">
            <v/>
          </cell>
          <cell r="O2490" t="str">
            <v/>
          </cell>
          <cell r="P2490" t="str">
            <v/>
          </cell>
          <cell r="Q2490" t="str">
            <v/>
          </cell>
          <cell r="S2490" t="str">
            <v/>
          </cell>
          <cell r="V2490" t="str">
            <v/>
          </cell>
          <cell r="Z2490" t="str">
            <v/>
          </cell>
          <cell r="AA2490" t="str">
            <v/>
          </cell>
          <cell r="AB2490" t="str">
            <v/>
          </cell>
          <cell r="AC2490" t="str">
            <v/>
          </cell>
          <cell r="AD2490" t="str">
            <v/>
          </cell>
          <cell r="AY2490" t="str">
            <v/>
          </cell>
          <cell r="AZ2490" t="str">
            <v/>
          </cell>
          <cell r="BA2490" t="str">
            <v/>
          </cell>
        </row>
        <row r="2491">
          <cell r="B2491" t="str">
            <v>-</v>
          </cell>
          <cell r="E2491" t="str">
            <v/>
          </cell>
          <cell r="G2491" t="str">
            <v/>
          </cell>
          <cell r="J2491" t="str">
            <v/>
          </cell>
          <cell r="O2491" t="str">
            <v/>
          </cell>
          <cell r="P2491" t="str">
            <v/>
          </cell>
          <cell r="Q2491" t="str">
            <v/>
          </cell>
          <cell r="S2491" t="str">
            <v/>
          </cell>
          <cell r="V2491" t="str">
            <v/>
          </cell>
          <cell r="Z2491" t="str">
            <v/>
          </cell>
          <cell r="AA2491" t="str">
            <v/>
          </cell>
          <cell r="AB2491" t="str">
            <v/>
          </cell>
          <cell r="AC2491" t="str">
            <v/>
          </cell>
          <cell r="AD2491" t="str">
            <v/>
          </cell>
          <cell r="AY2491" t="str">
            <v/>
          </cell>
          <cell r="AZ2491" t="str">
            <v/>
          </cell>
          <cell r="BA2491" t="str">
            <v/>
          </cell>
        </row>
        <row r="2492">
          <cell r="B2492" t="str">
            <v>-</v>
          </cell>
          <cell r="E2492" t="str">
            <v/>
          </cell>
          <cell r="G2492" t="str">
            <v/>
          </cell>
          <cell r="J2492" t="str">
            <v/>
          </cell>
          <cell r="O2492" t="str">
            <v/>
          </cell>
          <cell r="P2492" t="str">
            <v/>
          </cell>
          <cell r="Q2492" t="str">
            <v/>
          </cell>
          <cell r="S2492" t="str">
            <v/>
          </cell>
          <cell r="V2492" t="str">
            <v/>
          </cell>
          <cell r="Z2492" t="str">
            <v/>
          </cell>
          <cell r="AA2492" t="str">
            <v/>
          </cell>
          <cell r="AB2492" t="str">
            <v/>
          </cell>
          <cell r="AC2492" t="str">
            <v/>
          </cell>
          <cell r="AD2492" t="str">
            <v/>
          </cell>
          <cell r="AY2492" t="str">
            <v/>
          </cell>
          <cell r="AZ2492" t="str">
            <v/>
          </cell>
          <cell r="BA2492" t="str">
            <v/>
          </cell>
        </row>
        <row r="2493">
          <cell r="B2493" t="str">
            <v>-</v>
          </cell>
          <cell r="E2493" t="str">
            <v/>
          </cell>
          <cell r="G2493" t="str">
            <v/>
          </cell>
          <cell r="J2493" t="str">
            <v/>
          </cell>
          <cell r="O2493" t="str">
            <v/>
          </cell>
          <cell r="P2493" t="str">
            <v/>
          </cell>
          <cell r="Q2493" t="str">
            <v/>
          </cell>
          <cell r="S2493" t="str">
            <v/>
          </cell>
          <cell r="V2493" t="str">
            <v/>
          </cell>
          <cell r="Z2493" t="str">
            <v/>
          </cell>
          <cell r="AA2493" t="str">
            <v/>
          </cell>
          <cell r="AB2493" t="str">
            <v/>
          </cell>
          <cell r="AC2493" t="str">
            <v/>
          </cell>
          <cell r="AD2493" t="str">
            <v/>
          </cell>
          <cell r="AY2493" t="str">
            <v/>
          </cell>
          <cell r="AZ2493" t="str">
            <v/>
          </cell>
          <cell r="BA2493" t="str">
            <v/>
          </cell>
        </row>
        <row r="2494">
          <cell r="B2494" t="str">
            <v>-</v>
          </cell>
          <cell r="E2494" t="str">
            <v/>
          </cell>
          <cell r="G2494" t="str">
            <v/>
          </cell>
          <cell r="J2494" t="str">
            <v/>
          </cell>
          <cell r="O2494" t="str">
            <v/>
          </cell>
          <cell r="P2494" t="str">
            <v/>
          </cell>
          <cell r="Q2494" t="str">
            <v/>
          </cell>
          <cell r="S2494" t="str">
            <v/>
          </cell>
          <cell r="V2494" t="str">
            <v/>
          </cell>
          <cell r="Z2494" t="str">
            <v/>
          </cell>
          <cell r="AA2494" t="str">
            <v/>
          </cell>
          <cell r="AB2494" t="str">
            <v/>
          </cell>
          <cell r="AC2494" t="str">
            <v/>
          </cell>
          <cell r="AD2494" t="str">
            <v/>
          </cell>
          <cell r="AY2494" t="str">
            <v/>
          </cell>
          <cell r="AZ2494" t="str">
            <v/>
          </cell>
          <cell r="BA2494" t="str">
            <v/>
          </cell>
        </row>
        <row r="2495">
          <cell r="B2495" t="str">
            <v>-</v>
          </cell>
          <cell r="E2495" t="str">
            <v/>
          </cell>
          <cell r="G2495" t="str">
            <v/>
          </cell>
          <cell r="J2495" t="str">
            <v/>
          </cell>
          <cell r="O2495" t="str">
            <v/>
          </cell>
          <cell r="P2495" t="str">
            <v/>
          </cell>
          <cell r="Q2495" t="str">
            <v/>
          </cell>
          <cell r="S2495" t="str">
            <v/>
          </cell>
          <cell r="V2495" t="str">
            <v/>
          </cell>
          <cell r="Z2495" t="str">
            <v/>
          </cell>
          <cell r="AA2495" t="str">
            <v/>
          </cell>
          <cell r="AB2495" t="str">
            <v/>
          </cell>
          <cell r="AC2495" t="str">
            <v/>
          </cell>
          <cell r="AD2495" t="str">
            <v/>
          </cell>
          <cell r="AY2495" t="str">
            <v/>
          </cell>
          <cell r="AZ2495" t="str">
            <v/>
          </cell>
          <cell r="BA2495" t="str">
            <v/>
          </cell>
        </row>
        <row r="2496">
          <cell r="B2496" t="str">
            <v>-</v>
          </cell>
          <cell r="E2496" t="str">
            <v/>
          </cell>
          <cell r="G2496" t="str">
            <v/>
          </cell>
          <cell r="J2496" t="str">
            <v/>
          </cell>
          <cell r="O2496" t="str">
            <v/>
          </cell>
          <cell r="P2496" t="str">
            <v/>
          </cell>
          <cell r="Q2496" t="str">
            <v/>
          </cell>
          <cell r="S2496" t="str">
            <v/>
          </cell>
          <cell r="V2496" t="str">
            <v/>
          </cell>
          <cell r="Z2496" t="str">
            <v/>
          </cell>
          <cell r="AA2496" t="str">
            <v/>
          </cell>
          <cell r="AB2496" t="str">
            <v/>
          </cell>
          <cell r="AC2496" t="str">
            <v/>
          </cell>
          <cell r="AD2496" t="str">
            <v/>
          </cell>
          <cell r="AY2496" t="str">
            <v/>
          </cell>
          <cell r="AZ2496" t="str">
            <v/>
          </cell>
          <cell r="BA2496" t="str">
            <v/>
          </cell>
        </row>
        <row r="2497">
          <cell r="B2497" t="str">
            <v>-</v>
          </cell>
          <cell r="E2497" t="str">
            <v/>
          </cell>
          <cell r="G2497" t="str">
            <v/>
          </cell>
          <cell r="J2497" t="str">
            <v/>
          </cell>
          <cell r="O2497" t="str">
            <v/>
          </cell>
          <cell r="P2497" t="str">
            <v/>
          </cell>
          <cell r="Q2497" t="str">
            <v/>
          </cell>
          <cell r="S2497" t="str">
            <v/>
          </cell>
          <cell r="V2497" t="str">
            <v/>
          </cell>
          <cell r="Z2497" t="str">
            <v/>
          </cell>
          <cell r="AA2497" t="str">
            <v/>
          </cell>
          <cell r="AB2497" t="str">
            <v/>
          </cell>
          <cell r="AC2497" t="str">
            <v/>
          </cell>
          <cell r="AD2497" t="str">
            <v/>
          </cell>
          <cell r="AY2497" t="str">
            <v/>
          </cell>
          <cell r="AZ2497" t="str">
            <v/>
          </cell>
          <cell r="BA2497" t="str">
            <v/>
          </cell>
        </row>
        <row r="2498">
          <cell r="B2498" t="str">
            <v>-</v>
          </cell>
          <cell r="E2498" t="str">
            <v/>
          </cell>
          <cell r="G2498" t="str">
            <v/>
          </cell>
          <cell r="J2498" t="str">
            <v/>
          </cell>
          <cell r="O2498" t="str">
            <v/>
          </cell>
          <cell r="P2498" t="str">
            <v/>
          </cell>
          <cell r="Q2498" t="str">
            <v/>
          </cell>
          <cell r="S2498" t="str">
            <v/>
          </cell>
          <cell r="V2498" t="str">
            <v/>
          </cell>
          <cell r="Z2498" t="str">
            <v/>
          </cell>
          <cell r="AA2498" t="str">
            <v/>
          </cell>
          <cell r="AB2498" t="str">
            <v/>
          </cell>
          <cell r="AC2498" t="str">
            <v/>
          </cell>
          <cell r="AD2498" t="str">
            <v/>
          </cell>
          <cell r="AY2498" t="str">
            <v/>
          </cell>
          <cell r="AZ2498" t="str">
            <v/>
          </cell>
          <cell r="BA2498" t="str">
            <v/>
          </cell>
        </row>
        <row r="2499">
          <cell r="B2499" t="str">
            <v>-</v>
          </cell>
          <cell r="E2499" t="str">
            <v/>
          </cell>
          <cell r="G2499" t="str">
            <v/>
          </cell>
          <cell r="J2499" t="str">
            <v/>
          </cell>
          <cell r="O2499" t="str">
            <v/>
          </cell>
          <cell r="P2499" t="str">
            <v/>
          </cell>
          <cell r="Q2499" t="str">
            <v/>
          </cell>
          <cell r="S2499" t="str">
            <v/>
          </cell>
          <cell r="V2499" t="str">
            <v/>
          </cell>
          <cell r="Z2499" t="str">
            <v/>
          </cell>
          <cell r="AA2499" t="str">
            <v/>
          </cell>
          <cell r="AB2499" t="str">
            <v/>
          </cell>
          <cell r="AC2499" t="str">
            <v/>
          </cell>
          <cell r="AD2499" t="str">
            <v/>
          </cell>
          <cell r="AY2499" t="str">
            <v/>
          </cell>
          <cell r="AZ2499" t="str">
            <v/>
          </cell>
          <cell r="BA2499" t="str">
            <v/>
          </cell>
        </row>
        <row r="2500">
          <cell r="B2500" t="str">
            <v>-</v>
          </cell>
          <cell r="E2500" t="str">
            <v/>
          </cell>
          <cell r="G2500" t="str">
            <v/>
          </cell>
          <cell r="J2500" t="str">
            <v/>
          </cell>
          <cell r="O2500" t="str">
            <v/>
          </cell>
          <cell r="P2500" t="str">
            <v/>
          </cell>
          <cell r="Q2500" t="str">
            <v/>
          </cell>
          <cell r="S2500" t="str">
            <v/>
          </cell>
          <cell r="V2500" t="str">
            <v/>
          </cell>
          <cell r="Z2500" t="str">
            <v/>
          </cell>
          <cell r="AA2500" t="str">
            <v/>
          </cell>
          <cell r="AB2500" t="str">
            <v/>
          </cell>
          <cell r="AC2500" t="str">
            <v/>
          </cell>
          <cell r="AD2500" t="str">
            <v/>
          </cell>
          <cell r="AY2500" t="str">
            <v/>
          </cell>
          <cell r="AZ2500" t="str">
            <v/>
          </cell>
          <cell r="BA2500" t="str">
            <v/>
          </cell>
        </row>
        <row r="2501">
          <cell r="B2501" t="str">
            <v>-</v>
          </cell>
          <cell r="E2501" t="str">
            <v/>
          </cell>
          <cell r="G2501" t="str">
            <v/>
          </cell>
          <cell r="J2501" t="str">
            <v/>
          </cell>
          <cell r="O2501" t="str">
            <v/>
          </cell>
          <cell r="P2501" t="str">
            <v/>
          </cell>
          <cell r="Q2501" t="str">
            <v/>
          </cell>
          <cell r="S2501" t="str">
            <v/>
          </cell>
          <cell r="V2501" t="str">
            <v/>
          </cell>
          <cell r="Z2501" t="str">
            <v/>
          </cell>
          <cell r="AA2501" t="str">
            <v/>
          </cell>
          <cell r="AB2501" t="str">
            <v/>
          </cell>
          <cell r="AC2501" t="str">
            <v/>
          </cell>
          <cell r="AD2501" t="str">
            <v/>
          </cell>
          <cell r="AY2501" t="str">
            <v/>
          </cell>
          <cell r="AZ2501" t="str">
            <v/>
          </cell>
          <cell r="BA2501" t="str">
            <v/>
          </cell>
        </row>
        <row r="2502">
          <cell r="B2502" t="str">
            <v>-</v>
          </cell>
          <cell r="E2502" t="str">
            <v/>
          </cell>
          <cell r="G2502" t="str">
            <v/>
          </cell>
          <cell r="J2502" t="str">
            <v/>
          </cell>
          <cell r="O2502" t="str">
            <v/>
          </cell>
          <cell r="P2502" t="str">
            <v/>
          </cell>
          <cell r="Q2502" t="str">
            <v/>
          </cell>
          <cell r="S2502" t="str">
            <v/>
          </cell>
          <cell r="V2502" t="str">
            <v/>
          </cell>
          <cell r="Z2502" t="str">
            <v/>
          </cell>
          <cell r="AA2502" t="str">
            <v/>
          </cell>
          <cell r="AB2502" t="str">
            <v/>
          </cell>
          <cell r="AC2502" t="str">
            <v/>
          </cell>
          <cell r="AD2502" t="str">
            <v/>
          </cell>
          <cell r="AY2502" t="str">
            <v/>
          </cell>
          <cell r="AZ2502" t="str">
            <v/>
          </cell>
          <cell r="BA2502" t="str">
            <v/>
          </cell>
        </row>
        <row r="2503">
          <cell r="B2503" t="str">
            <v>-</v>
          </cell>
          <cell r="E2503" t="str">
            <v/>
          </cell>
          <cell r="G2503" t="str">
            <v/>
          </cell>
          <cell r="J2503" t="str">
            <v/>
          </cell>
          <cell r="O2503" t="str">
            <v/>
          </cell>
          <cell r="P2503" t="str">
            <v/>
          </cell>
          <cell r="Q2503" t="str">
            <v/>
          </cell>
          <cell r="S2503" t="str">
            <v/>
          </cell>
          <cell r="V2503" t="str">
            <v/>
          </cell>
          <cell r="Z2503" t="str">
            <v/>
          </cell>
          <cell r="AA2503" t="str">
            <v/>
          </cell>
          <cell r="AB2503" t="str">
            <v/>
          </cell>
          <cell r="AC2503" t="str">
            <v/>
          </cell>
          <cell r="AD2503" t="str">
            <v/>
          </cell>
          <cell r="AY2503" t="str">
            <v/>
          </cell>
          <cell r="AZ2503" t="str">
            <v/>
          </cell>
          <cell r="BA2503" t="str">
            <v/>
          </cell>
        </row>
        <row r="2504">
          <cell r="B2504" t="str">
            <v>-</v>
          </cell>
          <cell r="E2504" t="str">
            <v/>
          </cell>
          <cell r="G2504" t="str">
            <v/>
          </cell>
          <cell r="J2504" t="str">
            <v/>
          </cell>
          <cell r="O2504" t="str">
            <v/>
          </cell>
          <cell r="P2504" t="str">
            <v/>
          </cell>
          <cell r="Q2504" t="str">
            <v/>
          </cell>
          <cell r="S2504" t="str">
            <v/>
          </cell>
          <cell r="V2504" t="str">
            <v/>
          </cell>
          <cell r="Z2504" t="str">
            <v/>
          </cell>
          <cell r="AA2504" t="str">
            <v/>
          </cell>
          <cell r="AB2504" t="str">
            <v/>
          </cell>
          <cell r="AC2504" t="str">
            <v/>
          </cell>
          <cell r="AD2504" t="str">
            <v/>
          </cell>
          <cell r="AY2504" t="str">
            <v/>
          </cell>
          <cell r="AZ2504" t="str">
            <v/>
          </cell>
          <cell r="BA2504" t="str">
            <v/>
          </cell>
        </row>
        <row r="2505">
          <cell r="B2505" t="str">
            <v>-</v>
          </cell>
          <cell r="E2505" t="str">
            <v/>
          </cell>
          <cell r="G2505" t="str">
            <v/>
          </cell>
          <cell r="J2505" t="str">
            <v/>
          </cell>
          <cell r="O2505" t="str">
            <v/>
          </cell>
          <cell r="P2505" t="str">
            <v/>
          </cell>
          <cell r="Q2505" t="str">
            <v/>
          </cell>
          <cell r="S2505" t="str">
            <v/>
          </cell>
          <cell r="V2505" t="str">
            <v/>
          </cell>
          <cell r="Z2505" t="str">
            <v/>
          </cell>
          <cell r="AA2505" t="str">
            <v/>
          </cell>
          <cell r="AB2505" t="str">
            <v/>
          </cell>
          <cell r="AC2505" t="str">
            <v/>
          </cell>
          <cell r="AD2505" t="str">
            <v/>
          </cell>
          <cell r="AY2505" t="str">
            <v/>
          </cell>
          <cell r="AZ2505" t="str">
            <v/>
          </cell>
          <cell r="BA2505" t="str">
            <v/>
          </cell>
        </row>
        <row r="2506">
          <cell r="B2506" t="str">
            <v>-</v>
          </cell>
          <cell r="E2506" t="str">
            <v/>
          </cell>
          <cell r="G2506" t="str">
            <v/>
          </cell>
          <cell r="J2506" t="str">
            <v/>
          </cell>
          <cell r="O2506" t="str">
            <v/>
          </cell>
          <cell r="P2506" t="str">
            <v/>
          </cell>
          <cell r="Q2506" t="str">
            <v/>
          </cell>
          <cell r="S2506" t="str">
            <v/>
          </cell>
          <cell r="V2506" t="str">
            <v/>
          </cell>
          <cell r="Z2506" t="str">
            <v/>
          </cell>
          <cell r="AA2506" t="str">
            <v/>
          </cell>
          <cell r="AB2506" t="str">
            <v/>
          </cell>
          <cell r="AC2506" t="str">
            <v/>
          </cell>
          <cell r="AD2506" t="str">
            <v/>
          </cell>
          <cell r="AY2506" t="str">
            <v/>
          </cell>
          <cell r="AZ2506" t="str">
            <v/>
          </cell>
          <cell r="BA2506" t="str">
            <v/>
          </cell>
        </row>
        <row r="2507">
          <cell r="B2507" t="str">
            <v>-</v>
          </cell>
          <cell r="E2507" t="str">
            <v/>
          </cell>
          <cell r="G2507" t="str">
            <v/>
          </cell>
          <cell r="J2507" t="str">
            <v/>
          </cell>
          <cell r="O2507" t="str">
            <v/>
          </cell>
          <cell r="P2507" t="str">
            <v/>
          </cell>
          <cell r="Q2507" t="str">
            <v/>
          </cell>
          <cell r="S2507" t="str">
            <v/>
          </cell>
          <cell r="V2507" t="str">
            <v/>
          </cell>
          <cell r="Z2507" t="str">
            <v/>
          </cell>
          <cell r="AA2507" t="str">
            <v/>
          </cell>
          <cell r="AB2507" t="str">
            <v/>
          </cell>
          <cell r="AC2507" t="str">
            <v/>
          </cell>
          <cell r="AD2507" t="str">
            <v/>
          </cell>
          <cell r="AY2507" t="str">
            <v/>
          </cell>
          <cell r="AZ2507" t="str">
            <v/>
          </cell>
          <cell r="BA2507" t="str">
            <v/>
          </cell>
        </row>
        <row r="2508">
          <cell r="B2508" t="str">
            <v>-</v>
          </cell>
          <cell r="E2508" t="str">
            <v/>
          </cell>
          <cell r="G2508" t="str">
            <v/>
          </cell>
          <cell r="J2508" t="str">
            <v/>
          </cell>
          <cell r="O2508" t="str">
            <v/>
          </cell>
          <cell r="P2508" t="str">
            <v/>
          </cell>
          <cell r="Q2508" t="str">
            <v/>
          </cell>
          <cell r="S2508" t="str">
            <v/>
          </cell>
          <cell r="V2508" t="str">
            <v/>
          </cell>
          <cell r="Z2508" t="str">
            <v/>
          </cell>
          <cell r="AA2508" t="str">
            <v/>
          </cell>
          <cell r="AB2508" t="str">
            <v/>
          </cell>
          <cell r="AC2508" t="str">
            <v/>
          </cell>
          <cell r="AD2508" t="str">
            <v/>
          </cell>
          <cell r="AY2508" t="str">
            <v/>
          </cell>
          <cell r="AZ2508" t="str">
            <v/>
          </cell>
          <cell r="BA2508" t="str">
            <v/>
          </cell>
        </row>
        <row r="2509">
          <cell r="B2509" t="str">
            <v>-</v>
          </cell>
          <cell r="E2509" t="str">
            <v/>
          </cell>
          <cell r="G2509" t="str">
            <v/>
          </cell>
          <cell r="J2509" t="str">
            <v/>
          </cell>
          <cell r="O2509" t="str">
            <v/>
          </cell>
          <cell r="P2509" t="str">
            <v/>
          </cell>
          <cell r="Q2509" t="str">
            <v/>
          </cell>
          <cell r="S2509" t="str">
            <v/>
          </cell>
          <cell r="V2509" t="str">
            <v/>
          </cell>
          <cell r="Z2509" t="str">
            <v/>
          </cell>
          <cell r="AA2509" t="str">
            <v/>
          </cell>
          <cell r="AB2509" t="str">
            <v/>
          </cell>
          <cell r="AC2509" t="str">
            <v/>
          </cell>
          <cell r="AD2509" t="str">
            <v/>
          </cell>
          <cell r="AY2509" t="str">
            <v/>
          </cell>
          <cell r="AZ2509" t="str">
            <v/>
          </cell>
          <cell r="BA2509" t="str">
            <v/>
          </cell>
        </row>
        <row r="2510">
          <cell r="B2510" t="str">
            <v>-</v>
          </cell>
          <cell r="E2510" t="str">
            <v/>
          </cell>
          <cell r="G2510" t="str">
            <v/>
          </cell>
          <cell r="J2510" t="str">
            <v/>
          </cell>
          <cell r="O2510" t="str">
            <v/>
          </cell>
          <cell r="P2510" t="str">
            <v/>
          </cell>
          <cell r="Q2510" t="str">
            <v/>
          </cell>
          <cell r="S2510" t="str">
            <v/>
          </cell>
          <cell r="V2510" t="str">
            <v/>
          </cell>
          <cell r="Z2510" t="str">
            <v/>
          </cell>
          <cell r="AA2510" t="str">
            <v/>
          </cell>
          <cell r="AB2510" t="str">
            <v/>
          </cell>
          <cell r="AC2510" t="str">
            <v/>
          </cell>
          <cell r="AD2510" t="str">
            <v/>
          </cell>
          <cell r="AY2510" t="str">
            <v/>
          </cell>
          <cell r="AZ2510" t="str">
            <v/>
          </cell>
          <cell r="BA2510" t="str">
            <v/>
          </cell>
        </row>
        <row r="2511">
          <cell r="B2511" t="str">
            <v>-</v>
          </cell>
          <cell r="E2511" t="str">
            <v/>
          </cell>
          <cell r="G2511" t="str">
            <v/>
          </cell>
          <cell r="J2511" t="str">
            <v/>
          </cell>
          <cell r="O2511" t="str">
            <v/>
          </cell>
          <cell r="P2511" t="str">
            <v/>
          </cell>
          <cell r="Q2511" t="str">
            <v/>
          </cell>
          <cell r="S2511" t="str">
            <v/>
          </cell>
          <cell r="V2511" t="str">
            <v/>
          </cell>
          <cell r="Z2511" t="str">
            <v/>
          </cell>
          <cell r="AA2511" t="str">
            <v/>
          </cell>
          <cell r="AB2511" t="str">
            <v/>
          </cell>
          <cell r="AC2511" t="str">
            <v/>
          </cell>
          <cell r="AD2511" t="str">
            <v/>
          </cell>
          <cell r="AY2511" t="str">
            <v/>
          </cell>
          <cell r="AZ2511" t="str">
            <v/>
          </cell>
          <cell r="BA2511" t="str">
            <v/>
          </cell>
        </row>
        <row r="2512">
          <cell r="B2512" t="str">
            <v>-</v>
          </cell>
          <cell r="E2512" t="str">
            <v/>
          </cell>
          <cell r="G2512" t="str">
            <v/>
          </cell>
          <cell r="J2512" t="str">
            <v/>
          </cell>
          <cell r="O2512" t="str">
            <v/>
          </cell>
          <cell r="P2512" t="str">
            <v/>
          </cell>
          <cell r="Q2512" t="str">
            <v/>
          </cell>
          <cell r="S2512" t="str">
            <v/>
          </cell>
          <cell r="V2512" t="str">
            <v/>
          </cell>
          <cell r="Z2512" t="str">
            <v/>
          </cell>
          <cell r="AA2512" t="str">
            <v/>
          </cell>
          <cell r="AB2512" t="str">
            <v/>
          </cell>
          <cell r="AC2512" t="str">
            <v/>
          </cell>
          <cell r="AD2512" t="str">
            <v/>
          </cell>
          <cell r="AY2512" t="str">
            <v/>
          </cell>
          <cell r="AZ2512" t="str">
            <v/>
          </cell>
          <cell r="BA2512" t="str">
            <v/>
          </cell>
        </row>
        <row r="2513">
          <cell r="B2513" t="str">
            <v>-</v>
          </cell>
          <cell r="E2513" t="str">
            <v/>
          </cell>
          <cell r="G2513" t="str">
            <v/>
          </cell>
          <cell r="J2513" t="str">
            <v/>
          </cell>
          <cell r="O2513" t="str">
            <v/>
          </cell>
          <cell r="P2513" t="str">
            <v/>
          </cell>
          <cell r="Q2513" t="str">
            <v/>
          </cell>
          <cell r="S2513" t="str">
            <v/>
          </cell>
          <cell r="V2513" t="str">
            <v/>
          </cell>
          <cell r="Z2513" t="str">
            <v/>
          </cell>
          <cell r="AA2513" t="str">
            <v/>
          </cell>
          <cell r="AB2513" t="str">
            <v/>
          </cell>
          <cell r="AC2513" t="str">
            <v/>
          </cell>
          <cell r="AD2513" t="str">
            <v/>
          </cell>
          <cell r="AY2513" t="str">
            <v/>
          </cell>
          <cell r="AZ2513" t="str">
            <v/>
          </cell>
          <cell r="BA2513" t="str">
            <v/>
          </cell>
        </row>
        <row r="2514">
          <cell r="B2514" t="str">
            <v>-</v>
          </cell>
          <cell r="E2514" t="str">
            <v/>
          </cell>
          <cell r="G2514" t="str">
            <v/>
          </cell>
          <cell r="J2514" t="str">
            <v/>
          </cell>
          <cell r="O2514" t="str">
            <v/>
          </cell>
          <cell r="P2514" t="str">
            <v/>
          </cell>
          <cell r="Q2514" t="str">
            <v/>
          </cell>
          <cell r="S2514" t="str">
            <v/>
          </cell>
          <cell r="V2514" t="str">
            <v/>
          </cell>
          <cell r="Z2514" t="str">
            <v/>
          </cell>
          <cell r="AA2514" t="str">
            <v/>
          </cell>
          <cell r="AB2514" t="str">
            <v/>
          </cell>
          <cell r="AC2514" t="str">
            <v/>
          </cell>
          <cell r="AD2514" t="str">
            <v/>
          </cell>
          <cell r="AY2514" t="str">
            <v/>
          </cell>
          <cell r="AZ2514" t="str">
            <v/>
          </cell>
          <cell r="BA2514" t="str">
            <v/>
          </cell>
        </row>
        <row r="2515">
          <cell r="B2515" t="str">
            <v>-</v>
          </cell>
          <cell r="E2515" t="str">
            <v/>
          </cell>
          <cell r="G2515" t="str">
            <v/>
          </cell>
          <cell r="J2515" t="str">
            <v/>
          </cell>
          <cell r="O2515" t="str">
            <v/>
          </cell>
          <cell r="P2515" t="str">
            <v/>
          </cell>
          <cell r="Q2515" t="str">
            <v/>
          </cell>
          <cell r="S2515" t="str">
            <v/>
          </cell>
          <cell r="V2515" t="str">
            <v/>
          </cell>
          <cell r="Z2515" t="str">
            <v/>
          </cell>
          <cell r="AA2515" t="str">
            <v/>
          </cell>
          <cell r="AB2515" t="str">
            <v/>
          </cell>
          <cell r="AC2515" t="str">
            <v/>
          </cell>
          <cell r="AD2515" t="str">
            <v/>
          </cell>
          <cell r="AY2515" t="str">
            <v/>
          </cell>
          <cell r="AZ2515" t="str">
            <v/>
          </cell>
          <cell r="BA2515" t="str">
            <v/>
          </cell>
        </row>
        <row r="2516">
          <cell r="B2516" t="str">
            <v>-</v>
          </cell>
          <cell r="E2516" t="str">
            <v/>
          </cell>
          <cell r="G2516" t="str">
            <v/>
          </cell>
          <cell r="J2516" t="str">
            <v/>
          </cell>
          <cell r="O2516" t="str">
            <v/>
          </cell>
          <cell r="P2516" t="str">
            <v/>
          </cell>
          <cell r="Q2516" t="str">
            <v/>
          </cell>
          <cell r="S2516" t="str">
            <v/>
          </cell>
          <cell r="V2516" t="str">
            <v/>
          </cell>
          <cell r="Z2516" t="str">
            <v/>
          </cell>
          <cell r="AA2516" t="str">
            <v/>
          </cell>
          <cell r="AB2516" t="str">
            <v/>
          </cell>
          <cell r="AC2516" t="str">
            <v/>
          </cell>
          <cell r="AD2516" t="str">
            <v/>
          </cell>
          <cell r="AY2516" t="str">
            <v/>
          </cell>
          <cell r="AZ2516" t="str">
            <v/>
          </cell>
          <cell r="BA2516" t="str">
            <v/>
          </cell>
        </row>
        <row r="2517">
          <cell r="B2517" t="str">
            <v>-</v>
          </cell>
          <cell r="E2517" t="str">
            <v/>
          </cell>
          <cell r="G2517" t="str">
            <v/>
          </cell>
          <cell r="J2517" t="str">
            <v/>
          </cell>
          <cell r="O2517" t="str">
            <v/>
          </cell>
          <cell r="P2517" t="str">
            <v/>
          </cell>
          <cell r="Q2517" t="str">
            <v/>
          </cell>
          <cell r="S2517" t="str">
            <v/>
          </cell>
          <cell r="V2517" t="str">
            <v/>
          </cell>
          <cell r="Z2517" t="str">
            <v/>
          </cell>
          <cell r="AA2517" t="str">
            <v/>
          </cell>
          <cell r="AB2517" t="str">
            <v/>
          </cell>
          <cell r="AC2517" t="str">
            <v/>
          </cell>
          <cell r="AD2517" t="str">
            <v/>
          </cell>
          <cell r="AY2517" t="str">
            <v/>
          </cell>
          <cell r="AZ2517" t="str">
            <v/>
          </cell>
          <cell r="BA2517" t="str">
            <v/>
          </cell>
        </row>
        <row r="2518">
          <cell r="B2518" t="str">
            <v>-</v>
          </cell>
          <cell r="E2518" t="str">
            <v/>
          </cell>
          <cell r="G2518" t="str">
            <v/>
          </cell>
          <cell r="J2518" t="str">
            <v/>
          </cell>
          <cell r="O2518" t="str">
            <v/>
          </cell>
          <cell r="P2518" t="str">
            <v/>
          </cell>
          <cell r="Q2518" t="str">
            <v/>
          </cell>
          <cell r="S2518" t="str">
            <v/>
          </cell>
          <cell r="V2518" t="str">
            <v/>
          </cell>
          <cell r="Z2518" t="str">
            <v/>
          </cell>
          <cell r="AA2518" t="str">
            <v/>
          </cell>
          <cell r="AB2518" t="str">
            <v/>
          </cell>
          <cell r="AC2518" t="str">
            <v/>
          </cell>
          <cell r="AD2518" t="str">
            <v/>
          </cell>
          <cell r="AY2518" t="str">
            <v/>
          </cell>
          <cell r="AZ2518" t="str">
            <v/>
          </cell>
          <cell r="BA2518" t="str">
            <v/>
          </cell>
        </row>
        <row r="2519">
          <cell r="B2519" t="str">
            <v>-</v>
          </cell>
          <cell r="E2519" t="str">
            <v/>
          </cell>
          <cell r="G2519" t="str">
            <v/>
          </cell>
          <cell r="J2519" t="str">
            <v/>
          </cell>
          <cell r="O2519" t="str">
            <v/>
          </cell>
          <cell r="P2519" t="str">
            <v/>
          </cell>
          <cell r="Q2519" t="str">
            <v/>
          </cell>
          <cell r="S2519" t="str">
            <v/>
          </cell>
          <cell r="V2519" t="str">
            <v/>
          </cell>
          <cell r="Z2519" t="str">
            <v/>
          </cell>
          <cell r="AA2519" t="str">
            <v/>
          </cell>
          <cell r="AB2519" t="str">
            <v/>
          </cell>
          <cell r="AC2519" t="str">
            <v/>
          </cell>
          <cell r="AD2519" t="str">
            <v/>
          </cell>
          <cell r="AY2519" t="str">
            <v/>
          </cell>
          <cell r="AZ2519" t="str">
            <v/>
          </cell>
          <cell r="BA2519" t="str">
            <v/>
          </cell>
        </row>
        <row r="2520">
          <cell r="B2520" t="str">
            <v>-</v>
          </cell>
          <cell r="E2520" t="str">
            <v/>
          </cell>
          <cell r="G2520" t="str">
            <v/>
          </cell>
          <cell r="J2520" t="str">
            <v/>
          </cell>
          <cell r="O2520" t="str">
            <v/>
          </cell>
          <cell r="P2520" t="str">
            <v/>
          </cell>
          <cell r="Q2520" t="str">
            <v/>
          </cell>
          <cell r="S2520" t="str">
            <v/>
          </cell>
          <cell r="V2520" t="str">
            <v/>
          </cell>
          <cell r="Z2520" t="str">
            <v/>
          </cell>
          <cell r="AA2520" t="str">
            <v/>
          </cell>
          <cell r="AB2520" t="str">
            <v/>
          </cell>
          <cell r="AC2520" t="str">
            <v/>
          </cell>
          <cell r="AD2520" t="str">
            <v/>
          </cell>
          <cell r="AY2520" t="str">
            <v/>
          </cell>
          <cell r="AZ2520" t="str">
            <v/>
          </cell>
          <cell r="BA2520" t="str">
            <v/>
          </cell>
        </row>
        <row r="2521">
          <cell r="B2521" t="str">
            <v>-</v>
          </cell>
          <cell r="E2521" t="str">
            <v/>
          </cell>
          <cell r="G2521" t="str">
            <v/>
          </cell>
          <cell r="J2521" t="str">
            <v/>
          </cell>
          <cell r="O2521" t="str">
            <v/>
          </cell>
          <cell r="P2521" t="str">
            <v/>
          </cell>
          <cell r="Q2521" t="str">
            <v/>
          </cell>
          <cell r="S2521" t="str">
            <v/>
          </cell>
          <cell r="V2521" t="str">
            <v/>
          </cell>
          <cell r="Z2521" t="str">
            <v/>
          </cell>
          <cell r="AA2521" t="str">
            <v/>
          </cell>
          <cell r="AB2521" t="str">
            <v/>
          </cell>
          <cell r="AC2521" t="str">
            <v/>
          </cell>
          <cell r="AD2521" t="str">
            <v/>
          </cell>
          <cell r="AY2521" t="str">
            <v/>
          </cell>
          <cell r="AZ2521" t="str">
            <v/>
          </cell>
          <cell r="BA2521" t="str">
            <v/>
          </cell>
        </row>
        <row r="2522">
          <cell r="B2522" t="str">
            <v>-</v>
          </cell>
          <cell r="E2522" t="str">
            <v/>
          </cell>
          <cell r="G2522" t="str">
            <v/>
          </cell>
          <cell r="J2522" t="str">
            <v/>
          </cell>
          <cell r="O2522" t="str">
            <v/>
          </cell>
          <cell r="P2522" t="str">
            <v/>
          </cell>
          <cell r="Q2522" t="str">
            <v/>
          </cell>
          <cell r="S2522" t="str">
            <v/>
          </cell>
          <cell r="V2522" t="str">
            <v/>
          </cell>
          <cell r="Z2522" t="str">
            <v/>
          </cell>
          <cell r="AA2522" t="str">
            <v/>
          </cell>
          <cell r="AB2522" t="str">
            <v/>
          </cell>
          <cell r="AC2522" t="str">
            <v/>
          </cell>
          <cell r="AD2522" t="str">
            <v/>
          </cell>
          <cell r="AY2522" t="str">
            <v/>
          </cell>
          <cell r="AZ2522" t="str">
            <v/>
          </cell>
          <cell r="BA2522" t="str">
            <v/>
          </cell>
        </row>
        <row r="2523">
          <cell r="B2523" t="str">
            <v>-</v>
          </cell>
          <cell r="E2523" t="str">
            <v/>
          </cell>
          <cell r="G2523" t="str">
            <v/>
          </cell>
          <cell r="J2523" t="str">
            <v/>
          </cell>
          <cell r="O2523" t="str">
            <v/>
          </cell>
          <cell r="P2523" t="str">
            <v/>
          </cell>
          <cell r="Q2523" t="str">
            <v/>
          </cell>
          <cell r="S2523" t="str">
            <v/>
          </cell>
          <cell r="V2523" t="str">
            <v/>
          </cell>
          <cell r="Z2523" t="str">
            <v/>
          </cell>
          <cell r="AA2523" t="str">
            <v/>
          </cell>
          <cell r="AB2523" t="str">
            <v/>
          </cell>
          <cell r="AC2523" t="str">
            <v/>
          </cell>
          <cell r="AD2523" t="str">
            <v/>
          </cell>
          <cell r="AY2523" t="str">
            <v/>
          </cell>
          <cell r="AZ2523" t="str">
            <v/>
          </cell>
          <cell r="BA2523" t="str">
            <v/>
          </cell>
        </row>
        <row r="2524">
          <cell r="B2524" t="str">
            <v>-</v>
          </cell>
          <cell r="E2524" t="str">
            <v/>
          </cell>
          <cell r="G2524" t="str">
            <v/>
          </cell>
          <cell r="J2524" t="str">
            <v/>
          </cell>
          <cell r="O2524" t="str">
            <v/>
          </cell>
          <cell r="P2524" t="str">
            <v/>
          </cell>
          <cell r="Q2524" t="str">
            <v/>
          </cell>
          <cell r="S2524" t="str">
            <v/>
          </cell>
          <cell r="V2524" t="str">
            <v/>
          </cell>
          <cell r="Z2524" t="str">
            <v/>
          </cell>
          <cell r="AA2524" t="str">
            <v/>
          </cell>
          <cell r="AB2524" t="str">
            <v/>
          </cell>
          <cell r="AC2524" t="str">
            <v/>
          </cell>
          <cell r="AD2524" t="str">
            <v/>
          </cell>
          <cell r="AY2524" t="str">
            <v/>
          </cell>
          <cell r="AZ2524" t="str">
            <v/>
          </cell>
          <cell r="BA2524" t="str">
            <v/>
          </cell>
        </row>
        <row r="2525">
          <cell r="B2525" t="str">
            <v>-</v>
          </cell>
          <cell r="E2525" t="str">
            <v/>
          </cell>
          <cell r="G2525" t="str">
            <v/>
          </cell>
          <cell r="J2525" t="str">
            <v/>
          </cell>
          <cell r="O2525" t="str">
            <v/>
          </cell>
          <cell r="P2525" t="str">
            <v/>
          </cell>
          <cell r="Q2525" t="str">
            <v/>
          </cell>
          <cell r="S2525" t="str">
            <v/>
          </cell>
          <cell r="V2525" t="str">
            <v/>
          </cell>
          <cell r="Z2525" t="str">
            <v/>
          </cell>
          <cell r="AA2525" t="str">
            <v/>
          </cell>
          <cell r="AB2525" t="str">
            <v/>
          </cell>
          <cell r="AC2525" t="str">
            <v/>
          </cell>
          <cell r="AD2525" t="str">
            <v/>
          </cell>
          <cell r="AY2525" t="str">
            <v/>
          </cell>
          <cell r="AZ2525" t="str">
            <v/>
          </cell>
          <cell r="BA2525" t="str">
            <v/>
          </cell>
        </row>
        <row r="2526">
          <cell r="B2526" t="str">
            <v>-</v>
          </cell>
          <cell r="E2526" t="str">
            <v/>
          </cell>
          <cell r="G2526" t="str">
            <v/>
          </cell>
          <cell r="J2526" t="str">
            <v/>
          </cell>
          <cell r="O2526" t="str">
            <v/>
          </cell>
          <cell r="P2526" t="str">
            <v/>
          </cell>
          <cell r="Q2526" t="str">
            <v/>
          </cell>
          <cell r="S2526" t="str">
            <v/>
          </cell>
          <cell r="V2526" t="str">
            <v/>
          </cell>
          <cell r="Z2526" t="str">
            <v/>
          </cell>
          <cell r="AA2526" t="str">
            <v/>
          </cell>
          <cell r="AB2526" t="str">
            <v/>
          </cell>
          <cell r="AC2526" t="str">
            <v/>
          </cell>
          <cell r="AD2526" t="str">
            <v/>
          </cell>
          <cell r="AY2526" t="str">
            <v/>
          </cell>
          <cell r="AZ2526" t="str">
            <v/>
          </cell>
          <cell r="BA2526" t="str">
            <v/>
          </cell>
        </row>
        <row r="2527">
          <cell r="B2527" t="str">
            <v>-</v>
          </cell>
          <cell r="E2527" t="str">
            <v/>
          </cell>
          <cell r="G2527" t="str">
            <v/>
          </cell>
          <cell r="J2527" t="str">
            <v/>
          </cell>
          <cell r="O2527" t="str">
            <v/>
          </cell>
          <cell r="P2527" t="str">
            <v/>
          </cell>
          <cell r="Q2527" t="str">
            <v/>
          </cell>
          <cell r="S2527" t="str">
            <v/>
          </cell>
          <cell r="V2527" t="str">
            <v/>
          </cell>
          <cell r="Z2527" t="str">
            <v/>
          </cell>
          <cell r="AA2527" t="str">
            <v/>
          </cell>
          <cell r="AB2527" t="str">
            <v/>
          </cell>
          <cell r="AC2527" t="str">
            <v/>
          </cell>
          <cell r="AD2527" t="str">
            <v/>
          </cell>
          <cell r="AY2527" t="str">
            <v/>
          </cell>
          <cell r="AZ2527" t="str">
            <v/>
          </cell>
          <cell r="BA2527" t="str">
            <v/>
          </cell>
        </row>
        <row r="2528">
          <cell r="B2528" t="str">
            <v>-</v>
          </cell>
          <cell r="E2528" t="str">
            <v/>
          </cell>
          <cell r="G2528" t="str">
            <v/>
          </cell>
          <cell r="J2528" t="str">
            <v/>
          </cell>
          <cell r="O2528" t="str">
            <v/>
          </cell>
          <cell r="P2528" t="str">
            <v/>
          </cell>
          <cell r="Q2528" t="str">
            <v/>
          </cell>
          <cell r="S2528" t="str">
            <v/>
          </cell>
          <cell r="V2528" t="str">
            <v/>
          </cell>
          <cell r="Z2528" t="str">
            <v/>
          </cell>
          <cell r="AA2528" t="str">
            <v/>
          </cell>
          <cell r="AB2528" t="str">
            <v/>
          </cell>
          <cell r="AC2528" t="str">
            <v/>
          </cell>
          <cell r="AD2528" t="str">
            <v/>
          </cell>
          <cell r="AY2528" t="str">
            <v/>
          </cell>
          <cell r="AZ2528" t="str">
            <v/>
          </cell>
          <cell r="BA2528" t="str">
            <v/>
          </cell>
        </row>
        <row r="2529">
          <cell r="B2529" t="str">
            <v>-</v>
          </cell>
          <cell r="E2529" t="str">
            <v/>
          </cell>
          <cell r="G2529" t="str">
            <v/>
          </cell>
          <cell r="J2529" t="str">
            <v/>
          </cell>
          <cell r="O2529" t="str">
            <v/>
          </cell>
          <cell r="P2529" t="str">
            <v/>
          </cell>
          <cell r="Q2529" t="str">
            <v/>
          </cell>
          <cell r="S2529" t="str">
            <v/>
          </cell>
          <cell r="V2529" t="str">
            <v/>
          </cell>
          <cell r="Z2529" t="str">
            <v/>
          </cell>
          <cell r="AA2529" t="str">
            <v/>
          </cell>
          <cell r="AB2529" t="str">
            <v/>
          </cell>
          <cell r="AC2529" t="str">
            <v/>
          </cell>
          <cell r="AD2529" t="str">
            <v/>
          </cell>
          <cell r="AY2529" t="str">
            <v/>
          </cell>
          <cell r="AZ2529" t="str">
            <v/>
          </cell>
          <cell r="BA2529" t="str">
            <v/>
          </cell>
        </row>
        <row r="2530">
          <cell r="B2530" t="str">
            <v>-</v>
          </cell>
          <cell r="E2530" t="str">
            <v/>
          </cell>
          <cell r="G2530" t="str">
            <v/>
          </cell>
          <cell r="J2530" t="str">
            <v/>
          </cell>
          <cell r="O2530" t="str">
            <v/>
          </cell>
          <cell r="P2530" t="str">
            <v/>
          </cell>
          <cell r="Q2530" t="str">
            <v/>
          </cell>
          <cell r="S2530" t="str">
            <v/>
          </cell>
          <cell r="V2530" t="str">
            <v/>
          </cell>
          <cell r="Z2530" t="str">
            <v/>
          </cell>
          <cell r="AA2530" t="str">
            <v/>
          </cell>
          <cell r="AB2530" t="str">
            <v/>
          </cell>
          <cell r="AC2530" t="str">
            <v/>
          </cell>
          <cell r="AD2530" t="str">
            <v/>
          </cell>
          <cell r="AY2530" t="str">
            <v/>
          </cell>
          <cell r="AZ2530" t="str">
            <v/>
          </cell>
          <cell r="BA2530" t="str">
            <v/>
          </cell>
        </row>
        <row r="2531">
          <cell r="B2531" t="str">
            <v>-</v>
          </cell>
          <cell r="E2531" t="str">
            <v/>
          </cell>
          <cell r="G2531" t="str">
            <v/>
          </cell>
          <cell r="J2531" t="str">
            <v/>
          </cell>
          <cell r="O2531" t="str">
            <v/>
          </cell>
          <cell r="P2531" t="str">
            <v/>
          </cell>
          <cell r="Q2531" t="str">
            <v/>
          </cell>
          <cell r="S2531" t="str">
            <v/>
          </cell>
          <cell r="V2531" t="str">
            <v/>
          </cell>
          <cell r="Z2531" t="str">
            <v/>
          </cell>
          <cell r="AA2531" t="str">
            <v/>
          </cell>
          <cell r="AB2531" t="str">
            <v/>
          </cell>
          <cell r="AC2531" t="str">
            <v/>
          </cell>
          <cell r="AD2531" t="str">
            <v/>
          </cell>
          <cell r="AY2531" t="str">
            <v/>
          </cell>
          <cell r="AZ2531" t="str">
            <v/>
          </cell>
          <cell r="BA2531" t="str">
            <v/>
          </cell>
        </row>
        <row r="2532">
          <cell r="B2532" t="str">
            <v>-</v>
          </cell>
          <cell r="E2532" t="str">
            <v/>
          </cell>
          <cell r="G2532" t="str">
            <v/>
          </cell>
          <cell r="J2532" t="str">
            <v/>
          </cell>
          <cell r="O2532" t="str">
            <v/>
          </cell>
          <cell r="P2532" t="str">
            <v/>
          </cell>
          <cell r="Q2532" t="str">
            <v/>
          </cell>
          <cell r="S2532" t="str">
            <v/>
          </cell>
          <cell r="V2532" t="str">
            <v/>
          </cell>
          <cell r="Z2532" t="str">
            <v/>
          </cell>
          <cell r="AA2532" t="str">
            <v/>
          </cell>
          <cell r="AB2532" t="str">
            <v/>
          </cell>
          <cell r="AC2532" t="str">
            <v/>
          </cell>
          <cell r="AD2532" t="str">
            <v/>
          </cell>
          <cell r="AY2532" t="str">
            <v/>
          </cell>
          <cell r="AZ2532" t="str">
            <v/>
          </cell>
          <cell r="BA2532" t="str">
            <v/>
          </cell>
        </row>
        <row r="2533">
          <cell r="B2533" t="str">
            <v>-</v>
          </cell>
          <cell r="E2533" t="str">
            <v/>
          </cell>
          <cell r="G2533" t="str">
            <v/>
          </cell>
          <cell r="J2533" t="str">
            <v/>
          </cell>
          <cell r="O2533" t="str">
            <v/>
          </cell>
          <cell r="P2533" t="str">
            <v/>
          </cell>
          <cell r="Q2533" t="str">
            <v/>
          </cell>
          <cell r="S2533" t="str">
            <v/>
          </cell>
          <cell r="V2533" t="str">
            <v/>
          </cell>
          <cell r="Z2533" t="str">
            <v/>
          </cell>
          <cell r="AA2533" t="str">
            <v/>
          </cell>
          <cell r="AB2533" t="str">
            <v/>
          </cell>
          <cell r="AC2533" t="str">
            <v/>
          </cell>
          <cell r="AD2533" t="str">
            <v/>
          </cell>
          <cell r="AY2533" t="str">
            <v/>
          </cell>
          <cell r="AZ2533" t="str">
            <v/>
          </cell>
          <cell r="BA2533" t="str">
            <v/>
          </cell>
        </row>
        <row r="2534">
          <cell r="B2534" t="str">
            <v>-</v>
          </cell>
          <cell r="E2534" t="str">
            <v/>
          </cell>
          <cell r="G2534" t="str">
            <v/>
          </cell>
          <cell r="J2534" t="str">
            <v/>
          </cell>
          <cell r="O2534" t="str">
            <v/>
          </cell>
          <cell r="P2534" t="str">
            <v/>
          </cell>
          <cell r="Q2534" t="str">
            <v/>
          </cell>
          <cell r="S2534" t="str">
            <v/>
          </cell>
          <cell r="V2534" t="str">
            <v/>
          </cell>
          <cell r="Z2534" t="str">
            <v/>
          </cell>
          <cell r="AA2534" t="str">
            <v/>
          </cell>
          <cell r="AB2534" t="str">
            <v/>
          </cell>
          <cell r="AC2534" t="str">
            <v/>
          </cell>
          <cell r="AD2534" t="str">
            <v/>
          </cell>
          <cell r="AY2534" t="str">
            <v/>
          </cell>
          <cell r="AZ2534" t="str">
            <v/>
          </cell>
          <cell r="BA2534" t="str">
            <v/>
          </cell>
        </row>
        <row r="2535">
          <cell r="B2535" t="str">
            <v>-</v>
          </cell>
          <cell r="E2535" t="str">
            <v/>
          </cell>
          <cell r="G2535" t="str">
            <v/>
          </cell>
          <cell r="J2535" t="str">
            <v/>
          </cell>
          <cell r="O2535" t="str">
            <v/>
          </cell>
          <cell r="P2535" t="str">
            <v/>
          </cell>
          <cell r="Q2535" t="str">
            <v/>
          </cell>
          <cell r="S2535" t="str">
            <v/>
          </cell>
          <cell r="V2535" t="str">
            <v/>
          </cell>
          <cell r="Z2535" t="str">
            <v/>
          </cell>
          <cell r="AA2535" t="str">
            <v/>
          </cell>
          <cell r="AB2535" t="str">
            <v/>
          </cell>
          <cell r="AC2535" t="str">
            <v/>
          </cell>
          <cell r="AD2535" t="str">
            <v/>
          </cell>
          <cell r="AY2535" t="str">
            <v/>
          </cell>
          <cell r="AZ2535" t="str">
            <v/>
          </cell>
          <cell r="BA2535" t="str">
            <v/>
          </cell>
        </row>
        <row r="2536">
          <cell r="B2536" t="str">
            <v>-</v>
          </cell>
          <cell r="E2536" t="str">
            <v/>
          </cell>
          <cell r="G2536" t="str">
            <v/>
          </cell>
          <cell r="J2536" t="str">
            <v/>
          </cell>
          <cell r="O2536" t="str">
            <v/>
          </cell>
          <cell r="P2536" t="str">
            <v/>
          </cell>
          <cell r="Q2536" t="str">
            <v/>
          </cell>
          <cell r="S2536" t="str">
            <v/>
          </cell>
          <cell r="V2536" t="str">
            <v/>
          </cell>
          <cell r="Z2536" t="str">
            <v/>
          </cell>
          <cell r="AA2536" t="str">
            <v/>
          </cell>
          <cell r="AB2536" t="str">
            <v/>
          </cell>
          <cell r="AC2536" t="str">
            <v/>
          </cell>
          <cell r="AD2536" t="str">
            <v/>
          </cell>
          <cell r="AY2536" t="str">
            <v/>
          </cell>
          <cell r="AZ2536" t="str">
            <v/>
          </cell>
          <cell r="BA2536" t="str">
            <v/>
          </cell>
        </row>
        <row r="2537">
          <cell r="B2537" t="str">
            <v>-</v>
          </cell>
          <cell r="E2537" t="str">
            <v/>
          </cell>
          <cell r="G2537" t="str">
            <v/>
          </cell>
          <cell r="J2537" t="str">
            <v/>
          </cell>
          <cell r="O2537" t="str">
            <v/>
          </cell>
          <cell r="P2537" t="str">
            <v/>
          </cell>
          <cell r="Q2537" t="str">
            <v/>
          </cell>
          <cell r="S2537" t="str">
            <v/>
          </cell>
          <cell r="V2537" t="str">
            <v/>
          </cell>
          <cell r="Z2537" t="str">
            <v/>
          </cell>
          <cell r="AA2537" t="str">
            <v/>
          </cell>
          <cell r="AB2537" t="str">
            <v/>
          </cell>
          <cell r="AC2537" t="str">
            <v/>
          </cell>
          <cell r="AD2537" t="str">
            <v/>
          </cell>
          <cell r="AY2537" t="str">
            <v/>
          </cell>
          <cell r="AZ2537" t="str">
            <v/>
          </cell>
          <cell r="BA2537" t="str">
            <v/>
          </cell>
        </row>
        <row r="2538">
          <cell r="B2538" t="str">
            <v>-</v>
          </cell>
          <cell r="E2538" t="str">
            <v/>
          </cell>
          <cell r="G2538" t="str">
            <v/>
          </cell>
          <cell r="J2538" t="str">
            <v/>
          </cell>
          <cell r="O2538" t="str">
            <v/>
          </cell>
          <cell r="P2538" t="str">
            <v/>
          </cell>
          <cell r="Q2538" t="str">
            <v/>
          </cell>
          <cell r="S2538" t="str">
            <v/>
          </cell>
          <cell r="V2538" t="str">
            <v/>
          </cell>
          <cell r="Z2538" t="str">
            <v/>
          </cell>
          <cell r="AA2538" t="str">
            <v/>
          </cell>
          <cell r="AB2538" t="str">
            <v/>
          </cell>
          <cell r="AC2538" t="str">
            <v/>
          </cell>
          <cell r="AD2538" t="str">
            <v/>
          </cell>
          <cell r="AY2538" t="str">
            <v/>
          </cell>
          <cell r="AZ2538" t="str">
            <v/>
          </cell>
          <cell r="BA2538" t="str">
            <v/>
          </cell>
        </row>
        <row r="2539">
          <cell r="B2539" t="str">
            <v>-</v>
          </cell>
          <cell r="E2539" t="str">
            <v/>
          </cell>
          <cell r="G2539" t="str">
            <v/>
          </cell>
          <cell r="J2539" t="str">
            <v/>
          </cell>
          <cell r="O2539" t="str">
            <v/>
          </cell>
          <cell r="P2539" t="str">
            <v/>
          </cell>
          <cell r="Q2539" t="str">
            <v/>
          </cell>
          <cell r="S2539" t="str">
            <v/>
          </cell>
          <cell r="V2539" t="str">
            <v/>
          </cell>
          <cell r="Z2539" t="str">
            <v/>
          </cell>
          <cell r="AA2539" t="str">
            <v/>
          </cell>
          <cell r="AB2539" t="str">
            <v/>
          </cell>
          <cell r="AC2539" t="str">
            <v/>
          </cell>
          <cell r="AD2539" t="str">
            <v/>
          </cell>
          <cell r="AY2539" t="str">
            <v/>
          </cell>
          <cell r="AZ2539" t="str">
            <v/>
          </cell>
          <cell r="BA2539" t="str">
            <v/>
          </cell>
        </row>
        <row r="2540">
          <cell r="B2540" t="str">
            <v>-</v>
          </cell>
          <cell r="E2540" t="str">
            <v/>
          </cell>
          <cell r="G2540" t="str">
            <v/>
          </cell>
          <cell r="J2540" t="str">
            <v/>
          </cell>
          <cell r="O2540" t="str">
            <v/>
          </cell>
          <cell r="P2540" t="str">
            <v/>
          </cell>
          <cell r="Q2540" t="str">
            <v/>
          </cell>
          <cell r="S2540" t="str">
            <v/>
          </cell>
          <cell r="V2540" t="str">
            <v/>
          </cell>
          <cell r="Z2540" t="str">
            <v/>
          </cell>
          <cell r="AA2540" t="str">
            <v/>
          </cell>
          <cell r="AB2540" t="str">
            <v/>
          </cell>
          <cell r="AC2540" t="str">
            <v/>
          </cell>
          <cell r="AD2540" t="str">
            <v/>
          </cell>
          <cell r="AY2540" t="str">
            <v/>
          </cell>
          <cell r="AZ2540" t="str">
            <v/>
          </cell>
          <cell r="BA2540" t="str">
            <v/>
          </cell>
        </row>
        <row r="2541">
          <cell r="B2541" t="str">
            <v>-</v>
          </cell>
          <cell r="E2541" t="str">
            <v/>
          </cell>
          <cell r="G2541" t="str">
            <v/>
          </cell>
          <cell r="J2541" t="str">
            <v/>
          </cell>
          <cell r="O2541" t="str">
            <v/>
          </cell>
          <cell r="P2541" t="str">
            <v/>
          </cell>
          <cell r="Q2541" t="str">
            <v/>
          </cell>
          <cell r="S2541" t="str">
            <v/>
          </cell>
          <cell r="V2541" t="str">
            <v/>
          </cell>
          <cell r="Z2541" t="str">
            <v/>
          </cell>
          <cell r="AA2541" t="str">
            <v/>
          </cell>
          <cell r="AB2541" t="str">
            <v/>
          </cell>
          <cell r="AC2541" t="str">
            <v/>
          </cell>
          <cell r="AD2541" t="str">
            <v/>
          </cell>
          <cell r="AY2541" t="str">
            <v/>
          </cell>
          <cell r="AZ2541" t="str">
            <v/>
          </cell>
          <cell r="BA2541" t="str">
            <v/>
          </cell>
        </row>
        <row r="2542">
          <cell r="B2542" t="str">
            <v>-</v>
          </cell>
          <cell r="E2542" t="str">
            <v/>
          </cell>
          <cell r="G2542" t="str">
            <v/>
          </cell>
          <cell r="J2542" t="str">
            <v/>
          </cell>
          <cell r="O2542" t="str">
            <v/>
          </cell>
          <cell r="P2542" t="str">
            <v/>
          </cell>
          <cell r="Q2542" t="str">
            <v/>
          </cell>
          <cell r="S2542" t="str">
            <v/>
          </cell>
          <cell r="V2542" t="str">
            <v/>
          </cell>
          <cell r="Z2542" t="str">
            <v/>
          </cell>
          <cell r="AA2542" t="str">
            <v/>
          </cell>
          <cell r="AB2542" t="str">
            <v/>
          </cell>
          <cell r="AC2542" t="str">
            <v/>
          </cell>
          <cell r="AD2542" t="str">
            <v/>
          </cell>
          <cell r="AY2542" t="str">
            <v/>
          </cell>
          <cell r="AZ2542" t="str">
            <v/>
          </cell>
          <cell r="BA2542" t="str">
            <v/>
          </cell>
        </row>
        <row r="2543">
          <cell r="B2543" t="str">
            <v>-</v>
          </cell>
          <cell r="E2543" t="str">
            <v/>
          </cell>
          <cell r="G2543" t="str">
            <v/>
          </cell>
          <cell r="J2543" t="str">
            <v/>
          </cell>
          <cell r="O2543" t="str">
            <v/>
          </cell>
          <cell r="P2543" t="str">
            <v/>
          </cell>
          <cell r="Q2543" t="str">
            <v/>
          </cell>
          <cell r="S2543" t="str">
            <v/>
          </cell>
          <cell r="V2543" t="str">
            <v/>
          </cell>
          <cell r="Z2543" t="str">
            <v/>
          </cell>
          <cell r="AA2543" t="str">
            <v/>
          </cell>
          <cell r="AB2543" t="str">
            <v/>
          </cell>
          <cell r="AC2543" t="str">
            <v/>
          </cell>
          <cell r="AD2543" t="str">
            <v/>
          </cell>
          <cell r="AY2543" t="str">
            <v/>
          </cell>
          <cell r="AZ2543" t="str">
            <v/>
          </cell>
          <cell r="BA2543" t="str">
            <v/>
          </cell>
        </row>
        <row r="2544">
          <cell r="B2544" t="str">
            <v>-</v>
          </cell>
          <cell r="E2544" t="str">
            <v/>
          </cell>
          <cell r="G2544" t="str">
            <v/>
          </cell>
          <cell r="J2544" t="str">
            <v/>
          </cell>
          <cell r="O2544" t="str">
            <v/>
          </cell>
          <cell r="P2544" t="str">
            <v/>
          </cell>
          <cell r="Q2544" t="str">
            <v/>
          </cell>
          <cell r="S2544" t="str">
            <v/>
          </cell>
          <cell r="V2544" t="str">
            <v/>
          </cell>
          <cell r="Z2544" t="str">
            <v/>
          </cell>
          <cell r="AA2544" t="str">
            <v/>
          </cell>
          <cell r="AB2544" t="str">
            <v/>
          </cell>
          <cell r="AC2544" t="str">
            <v/>
          </cell>
          <cell r="AD2544" t="str">
            <v/>
          </cell>
          <cell r="AY2544" t="str">
            <v/>
          </cell>
          <cell r="AZ2544" t="str">
            <v/>
          </cell>
          <cell r="BA2544" t="str">
            <v/>
          </cell>
        </row>
        <row r="2545">
          <cell r="B2545" t="str">
            <v>-</v>
          </cell>
          <cell r="E2545" t="str">
            <v/>
          </cell>
          <cell r="G2545" t="str">
            <v/>
          </cell>
          <cell r="J2545" t="str">
            <v/>
          </cell>
          <cell r="O2545" t="str">
            <v/>
          </cell>
          <cell r="P2545" t="str">
            <v/>
          </cell>
          <cell r="Q2545" t="str">
            <v/>
          </cell>
          <cell r="S2545" t="str">
            <v/>
          </cell>
          <cell r="V2545" t="str">
            <v/>
          </cell>
          <cell r="Z2545" t="str">
            <v/>
          </cell>
          <cell r="AA2545" t="str">
            <v/>
          </cell>
          <cell r="AB2545" t="str">
            <v/>
          </cell>
          <cell r="AC2545" t="str">
            <v/>
          </cell>
          <cell r="AD2545" t="str">
            <v/>
          </cell>
          <cell r="AY2545" t="str">
            <v/>
          </cell>
          <cell r="AZ2545" t="str">
            <v/>
          </cell>
          <cell r="BA2545" t="str">
            <v/>
          </cell>
        </row>
        <row r="2546">
          <cell r="B2546" t="str">
            <v>-</v>
          </cell>
          <cell r="E2546" t="str">
            <v/>
          </cell>
          <cell r="G2546" t="str">
            <v/>
          </cell>
          <cell r="J2546" t="str">
            <v/>
          </cell>
          <cell r="O2546" t="str">
            <v/>
          </cell>
          <cell r="P2546" t="str">
            <v/>
          </cell>
          <cell r="Q2546" t="str">
            <v/>
          </cell>
          <cell r="S2546" t="str">
            <v/>
          </cell>
          <cell r="V2546" t="str">
            <v/>
          </cell>
          <cell r="Z2546" t="str">
            <v/>
          </cell>
          <cell r="AA2546" t="str">
            <v/>
          </cell>
          <cell r="AB2546" t="str">
            <v/>
          </cell>
          <cell r="AC2546" t="str">
            <v/>
          </cell>
          <cell r="AD2546" t="str">
            <v/>
          </cell>
          <cell r="AY2546" t="str">
            <v/>
          </cell>
          <cell r="AZ2546" t="str">
            <v/>
          </cell>
          <cell r="BA2546" t="str">
            <v/>
          </cell>
        </row>
        <row r="2547">
          <cell r="B2547" t="str">
            <v>-</v>
          </cell>
          <cell r="E2547" t="str">
            <v/>
          </cell>
          <cell r="G2547" t="str">
            <v/>
          </cell>
          <cell r="J2547" t="str">
            <v/>
          </cell>
          <cell r="O2547" t="str">
            <v/>
          </cell>
          <cell r="P2547" t="str">
            <v/>
          </cell>
          <cell r="Q2547" t="str">
            <v/>
          </cell>
          <cell r="S2547" t="str">
            <v/>
          </cell>
          <cell r="V2547" t="str">
            <v/>
          </cell>
          <cell r="Z2547" t="str">
            <v/>
          </cell>
          <cell r="AA2547" t="str">
            <v/>
          </cell>
          <cell r="AB2547" t="str">
            <v/>
          </cell>
          <cell r="AC2547" t="str">
            <v/>
          </cell>
          <cell r="AD2547" t="str">
            <v/>
          </cell>
          <cell r="AY2547" t="str">
            <v/>
          </cell>
          <cell r="AZ2547" t="str">
            <v/>
          </cell>
          <cell r="BA2547" t="str">
            <v/>
          </cell>
        </row>
        <row r="2548">
          <cell r="B2548" t="str">
            <v>-</v>
          </cell>
          <cell r="E2548" t="str">
            <v/>
          </cell>
          <cell r="G2548" t="str">
            <v/>
          </cell>
          <cell r="J2548" t="str">
            <v/>
          </cell>
          <cell r="O2548" t="str">
            <v/>
          </cell>
          <cell r="P2548" t="str">
            <v/>
          </cell>
          <cell r="Q2548" t="str">
            <v/>
          </cell>
          <cell r="S2548" t="str">
            <v/>
          </cell>
          <cell r="V2548" t="str">
            <v/>
          </cell>
          <cell r="Z2548" t="str">
            <v/>
          </cell>
          <cell r="AA2548" t="str">
            <v/>
          </cell>
          <cell r="AB2548" t="str">
            <v/>
          </cell>
          <cell r="AC2548" t="str">
            <v/>
          </cell>
          <cell r="AD2548" t="str">
            <v/>
          </cell>
          <cell r="AY2548" t="str">
            <v/>
          </cell>
          <cell r="AZ2548" t="str">
            <v/>
          </cell>
          <cell r="BA2548" t="str">
            <v/>
          </cell>
        </row>
        <row r="2549">
          <cell r="B2549" t="str">
            <v>-</v>
          </cell>
          <cell r="E2549" t="str">
            <v/>
          </cell>
          <cell r="G2549" t="str">
            <v/>
          </cell>
          <cell r="J2549" t="str">
            <v/>
          </cell>
          <cell r="O2549" t="str">
            <v/>
          </cell>
          <cell r="P2549" t="str">
            <v/>
          </cell>
          <cell r="Q2549" t="str">
            <v/>
          </cell>
          <cell r="S2549" t="str">
            <v/>
          </cell>
          <cell r="V2549" t="str">
            <v/>
          </cell>
          <cell r="Z2549" t="str">
            <v/>
          </cell>
          <cell r="AA2549" t="str">
            <v/>
          </cell>
          <cell r="AB2549" t="str">
            <v/>
          </cell>
          <cell r="AC2549" t="str">
            <v/>
          </cell>
          <cell r="AD2549" t="str">
            <v/>
          </cell>
          <cell r="AY2549" t="str">
            <v/>
          </cell>
          <cell r="AZ2549" t="str">
            <v/>
          </cell>
          <cell r="BA2549" t="str">
            <v/>
          </cell>
        </row>
        <row r="2550">
          <cell r="B2550" t="str">
            <v>-</v>
          </cell>
          <cell r="E2550" t="str">
            <v/>
          </cell>
          <cell r="G2550" t="str">
            <v/>
          </cell>
          <cell r="J2550" t="str">
            <v/>
          </cell>
          <cell r="O2550" t="str">
            <v/>
          </cell>
          <cell r="P2550" t="str">
            <v/>
          </cell>
          <cell r="Q2550" t="str">
            <v/>
          </cell>
          <cell r="S2550" t="str">
            <v/>
          </cell>
          <cell r="V2550" t="str">
            <v/>
          </cell>
          <cell r="Z2550" t="str">
            <v/>
          </cell>
          <cell r="AA2550" t="str">
            <v/>
          </cell>
          <cell r="AB2550" t="str">
            <v/>
          </cell>
          <cell r="AC2550" t="str">
            <v/>
          </cell>
          <cell r="AD2550" t="str">
            <v/>
          </cell>
          <cell r="AY2550" t="str">
            <v/>
          </cell>
          <cell r="AZ2550" t="str">
            <v/>
          </cell>
          <cell r="BA2550" t="str">
            <v/>
          </cell>
        </row>
        <row r="2551">
          <cell r="B2551" t="str">
            <v>-</v>
          </cell>
          <cell r="E2551" t="str">
            <v/>
          </cell>
          <cell r="G2551" t="str">
            <v/>
          </cell>
          <cell r="J2551" t="str">
            <v/>
          </cell>
          <cell r="O2551" t="str">
            <v/>
          </cell>
          <cell r="P2551" t="str">
            <v/>
          </cell>
          <cell r="Q2551" t="str">
            <v/>
          </cell>
          <cell r="S2551" t="str">
            <v/>
          </cell>
          <cell r="V2551" t="str">
            <v/>
          </cell>
          <cell r="Z2551" t="str">
            <v/>
          </cell>
          <cell r="AA2551" t="str">
            <v/>
          </cell>
          <cell r="AB2551" t="str">
            <v/>
          </cell>
          <cell r="AC2551" t="str">
            <v/>
          </cell>
          <cell r="AD2551" t="str">
            <v/>
          </cell>
          <cell r="AY2551" t="str">
            <v/>
          </cell>
          <cell r="AZ2551" t="str">
            <v/>
          </cell>
          <cell r="BA2551" t="str">
            <v/>
          </cell>
        </row>
        <row r="2552">
          <cell r="B2552" t="str">
            <v>-</v>
          </cell>
          <cell r="E2552" t="str">
            <v/>
          </cell>
          <cell r="G2552" t="str">
            <v/>
          </cell>
          <cell r="J2552" t="str">
            <v/>
          </cell>
          <cell r="O2552" t="str">
            <v/>
          </cell>
          <cell r="P2552" t="str">
            <v/>
          </cell>
          <cell r="Q2552" t="str">
            <v/>
          </cell>
          <cell r="S2552" t="str">
            <v/>
          </cell>
          <cell r="V2552" t="str">
            <v/>
          </cell>
          <cell r="Z2552" t="str">
            <v/>
          </cell>
          <cell r="AA2552" t="str">
            <v/>
          </cell>
          <cell r="AB2552" t="str">
            <v/>
          </cell>
          <cell r="AC2552" t="str">
            <v/>
          </cell>
          <cell r="AD2552" t="str">
            <v/>
          </cell>
          <cell r="AY2552" t="str">
            <v/>
          </cell>
          <cell r="AZ2552" t="str">
            <v/>
          </cell>
          <cell r="BA2552" t="str">
            <v/>
          </cell>
        </row>
        <row r="2553">
          <cell r="B2553" t="str">
            <v>-</v>
          </cell>
          <cell r="E2553" t="str">
            <v/>
          </cell>
          <cell r="G2553" t="str">
            <v/>
          </cell>
          <cell r="J2553" t="str">
            <v/>
          </cell>
          <cell r="O2553" t="str">
            <v/>
          </cell>
          <cell r="P2553" t="str">
            <v/>
          </cell>
          <cell r="Q2553" t="str">
            <v/>
          </cell>
          <cell r="S2553" t="str">
            <v/>
          </cell>
          <cell r="V2553" t="str">
            <v/>
          </cell>
          <cell r="Z2553" t="str">
            <v/>
          </cell>
          <cell r="AA2553" t="str">
            <v/>
          </cell>
          <cell r="AB2553" t="str">
            <v/>
          </cell>
          <cell r="AC2553" t="str">
            <v/>
          </cell>
          <cell r="AD2553" t="str">
            <v/>
          </cell>
          <cell r="AY2553" t="str">
            <v/>
          </cell>
          <cell r="AZ2553" t="str">
            <v/>
          </cell>
          <cell r="BA2553" t="str">
            <v/>
          </cell>
        </row>
        <row r="2554">
          <cell r="B2554" t="str">
            <v>-</v>
          </cell>
          <cell r="E2554" t="str">
            <v/>
          </cell>
          <cell r="G2554" t="str">
            <v/>
          </cell>
          <cell r="J2554" t="str">
            <v/>
          </cell>
          <cell r="O2554" t="str">
            <v/>
          </cell>
          <cell r="P2554" t="str">
            <v/>
          </cell>
          <cell r="Q2554" t="str">
            <v/>
          </cell>
          <cell r="S2554" t="str">
            <v/>
          </cell>
          <cell r="V2554" t="str">
            <v/>
          </cell>
          <cell r="Z2554" t="str">
            <v/>
          </cell>
          <cell r="AA2554" t="str">
            <v/>
          </cell>
          <cell r="AB2554" t="str">
            <v/>
          </cell>
          <cell r="AC2554" t="str">
            <v/>
          </cell>
          <cell r="AD2554" t="str">
            <v/>
          </cell>
          <cell r="AY2554" t="str">
            <v/>
          </cell>
          <cell r="AZ2554" t="str">
            <v/>
          </cell>
          <cell r="BA2554" t="str">
            <v/>
          </cell>
        </row>
        <row r="2555">
          <cell r="B2555" t="str">
            <v>-</v>
          </cell>
          <cell r="E2555" t="str">
            <v/>
          </cell>
          <cell r="G2555" t="str">
            <v/>
          </cell>
          <cell r="J2555" t="str">
            <v/>
          </cell>
          <cell r="O2555" t="str">
            <v/>
          </cell>
          <cell r="P2555" t="str">
            <v/>
          </cell>
          <cell r="Q2555" t="str">
            <v/>
          </cell>
          <cell r="S2555" t="str">
            <v/>
          </cell>
          <cell r="V2555" t="str">
            <v/>
          </cell>
          <cell r="Z2555" t="str">
            <v/>
          </cell>
          <cell r="AA2555" t="str">
            <v/>
          </cell>
          <cell r="AB2555" t="str">
            <v/>
          </cell>
          <cell r="AC2555" t="str">
            <v/>
          </cell>
          <cell r="AD2555" t="str">
            <v/>
          </cell>
          <cell r="AY2555" t="str">
            <v/>
          </cell>
          <cell r="AZ2555" t="str">
            <v/>
          </cell>
          <cell r="BA2555" t="str">
            <v/>
          </cell>
        </row>
        <row r="2556">
          <cell r="B2556" t="str">
            <v>-</v>
          </cell>
          <cell r="E2556" t="str">
            <v/>
          </cell>
          <cell r="G2556" t="str">
            <v/>
          </cell>
          <cell r="J2556" t="str">
            <v/>
          </cell>
          <cell r="O2556" t="str">
            <v/>
          </cell>
          <cell r="P2556" t="str">
            <v/>
          </cell>
          <cell r="Q2556" t="str">
            <v/>
          </cell>
          <cell r="S2556" t="str">
            <v/>
          </cell>
          <cell r="V2556" t="str">
            <v/>
          </cell>
          <cell r="Z2556" t="str">
            <v/>
          </cell>
          <cell r="AA2556" t="str">
            <v/>
          </cell>
          <cell r="AB2556" t="str">
            <v/>
          </cell>
          <cell r="AC2556" t="str">
            <v/>
          </cell>
          <cell r="AD2556" t="str">
            <v/>
          </cell>
          <cell r="AY2556" t="str">
            <v/>
          </cell>
          <cell r="AZ2556" t="str">
            <v/>
          </cell>
          <cell r="BA2556" t="str">
            <v/>
          </cell>
        </row>
        <row r="2557">
          <cell r="B2557" t="str">
            <v>-</v>
          </cell>
          <cell r="E2557" t="str">
            <v/>
          </cell>
          <cell r="G2557" t="str">
            <v/>
          </cell>
          <cell r="J2557" t="str">
            <v/>
          </cell>
          <cell r="O2557" t="str">
            <v/>
          </cell>
          <cell r="P2557" t="str">
            <v/>
          </cell>
          <cell r="Q2557" t="str">
            <v/>
          </cell>
          <cell r="S2557" t="str">
            <v/>
          </cell>
          <cell r="V2557" t="str">
            <v/>
          </cell>
          <cell r="Z2557" t="str">
            <v/>
          </cell>
          <cell r="AA2557" t="str">
            <v/>
          </cell>
          <cell r="AB2557" t="str">
            <v/>
          </cell>
          <cell r="AC2557" t="str">
            <v/>
          </cell>
          <cell r="AD2557" t="str">
            <v/>
          </cell>
          <cell r="AY2557" t="str">
            <v/>
          </cell>
          <cell r="AZ2557" t="str">
            <v/>
          </cell>
          <cell r="BA2557" t="str">
            <v/>
          </cell>
        </row>
        <row r="2558">
          <cell r="B2558" t="str">
            <v>-</v>
          </cell>
          <cell r="E2558" t="str">
            <v/>
          </cell>
          <cell r="G2558" t="str">
            <v/>
          </cell>
          <cell r="J2558" t="str">
            <v/>
          </cell>
          <cell r="O2558" t="str">
            <v/>
          </cell>
          <cell r="P2558" t="str">
            <v/>
          </cell>
          <cell r="Q2558" t="str">
            <v/>
          </cell>
          <cell r="S2558" t="str">
            <v/>
          </cell>
          <cell r="V2558" t="str">
            <v/>
          </cell>
          <cell r="Z2558" t="str">
            <v/>
          </cell>
          <cell r="AA2558" t="str">
            <v/>
          </cell>
          <cell r="AB2558" t="str">
            <v/>
          </cell>
          <cell r="AC2558" t="str">
            <v/>
          </cell>
          <cell r="AD2558" t="str">
            <v/>
          </cell>
          <cell r="AY2558" t="str">
            <v/>
          </cell>
          <cell r="AZ2558" t="str">
            <v/>
          </cell>
          <cell r="BA2558" t="str">
            <v/>
          </cell>
        </row>
        <row r="2559">
          <cell r="B2559" t="str">
            <v>-</v>
          </cell>
          <cell r="E2559" t="str">
            <v/>
          </cell>
          <cell r="G2559" t="str">
            <v/>
          </cell>
          <cell r="J2559" t="str">
            <v/>
          </cell>
          <cell r="O2559" t="str">
            <v/>
          </cell>
          <cell r="P2559" t="str">
            <v/>
          </cell>
          <cell r="Q2559" t="str">
            <v/>
          </cell>
          <cell r="S2559" t="str">
            <v/>
          </cell>
          <cell r="V2559" t="str">
            <v/>
          </cell>
          <cell r="Z2559" t="str">
            <v/>
          </cell>
          <cell r="AA2559" t="str">
            <v/>
          </cell>
          <cell r="AB2559" t="str">
            <v/>
          </cell>
          <cell r="AC2559" t="str">
            <v/>
          </cell>
          <cell r="AD2559" t="str">
            <v/>
          </cell>
          <cell r="AY2559" t="str">
            <v/>
          </cell>
          <cell r="AZ2559" t="str">
            <v/>
          </cell>
          <cell r="BA2559" t="str">
            <v/>
          </cell>
        </row>
        <row r="2560">
          <cell r="B2560" t="str">
            <v>-</v>
          </cell>
          <cell r="E2560" t="str">
            <v/>
          </cell>
          <cell r="G2560" t="str">
            <v/>
          </cell>
          <cell r="J2560" t="str">
            <v/>
          </cell>
          <cell r="O2560" t="str">
            <v/>
          </cell>
          <cell r="P2560" t="str">
            <v/>
          </cell>
          <cell r="Q2560" t="str">
            <v/>
          </cell>
          <cell r="S2560" t="str">
            <v/>
          </cell>
          <cell r="V2560" t="str">
            <v/>
          </cell>
          <cell r="Z2560" t="str">
            <v/>
          </cell>
          <cell r="AA2560" t="str">
            <v/>
          </cell>
          <cell r="AB2560" t="str">
            <v/>
          </cell>
          <cell r="AC2560" t="str">
            <v/>
          </cell>
          <cell r="AD2560" t="str">
            <v/>
          </cell>
          <cell r="AY2560" t="str">
            <v/>
          </cell>
          <cell r="AZ2560" t="str">
            <v/>
          </cell>
          <cell r="BA2560" t="str">
            <v/>
          </cell>
        </row>
        <row r="2561">
          <cell r="B2561" t="str">
            <v>-</v>
          </cell>
          <cell r="E2561" t="str">
            <v/>
          </cell>
          <cell r="G2561" t="str">
            <v/>
          </cell>
          <cell r="J2561" t="str">
            <v/>
          </cell>
          <cell r="O2561" t="str">
            <v/>
          </cell>
          <cell r="P2561" t="str">
            <v/>
          </cell>
          <cell r="Q2561" t="str">
            <v/>
          </cell>
          <cell r="S2561" t="str">
            <v/>
          </cell>
          <cell r="V2561" t="str">
            <v/>
          </cell>
          <cell r="Z2561" t="str">
            <v/>
          </cell>
          <cell r="AA2561" t="str">
            <v/>
          </cell>
          <cell r="AB2561" t="str">
            <v/>
          </cell>
          <cell r="AC2561" t="str">
            <v/>
          </cell>
          <cell r="AD2561" t="str">
            <v/>
          </cell>
          <cell r="AY2561" t="str">
            <v/>
          </cell>
          <cell r="AZ2561" t="str">
            <v/>
          </cell>
          <cell r="BA2561" t="str">
            <v/>
          </cell>
        </row>
        <row r="2562">
          <cell r="B2562" t="str">
            <v>-</v>
          </cell>
          <cell r="E2562" t="str">
            <v/>
          </cell>
          <cell r="G2562" t="str">
            <v/>
          </cell>
          <cell r="J2562" t="str">
            <v/>
          </cell>
          <cell r="O2562" t="str">
            <v/>
          </cell>
          <cell r="P2562" t="str">
            <v/>
          </cell>
          <cell r="Q2562" t="str">
            <v/>
          </cell>
          <cell r="S2562" t="str">
            <v/>
          </cell>
          <cell r="V2562" t="str">
            <v/>
          </cell>
          <cell r="Z2562" t="str">
            <v/>
          </cell>
          <cell r="AA2562" t="str">
            <v/>
          </cell>
          <cell r="AB2562" t="str">
            <v/>
          </cell>
          <cell r="AC2562" t="str">
            <v/>
          </cell>
          <cell r="AD2562" t="str">
            <v/>
          </cell>
          <cell r="AY2562" t="str">
            <v/>
          </cell>
          <cell r="AZ2562" t="str">
            <v/>
          </cell>
          <cell r="BA2562" t="str">
            <v/>
          </cell>
        </row>
        <row r="2563">
          <cell r="B2563" t="str">
            <v>-</v>
          </cell>
          <cell r="E2563" t="str">
            <v/>
          </cell>
          <cell r="G2563" t="str">
            <v/>
          </cell>
          <cell r="J2563" t="str">
            <v/>
          </cell>
          <cell r="O2563" t="str">
            <v/>
          </cell>
          <cell r="P2563" t="str">
            <v/>
          </cell>
          <cell r="Q2563" t="str">
            <v/>
          </cell>
          <cell r="S2563" t="str">
            <v/>
          </cell>
          <cell r="V2563" t="str">
            <v/>
          </cell>
          <cell r="Z2563" t="str">
            <v/>
          </cell>
          <cell r="AA2563" t="str">
            <v/>
          </cell>
          <cell r="AB2563" t="str">
            <v/>
          </cell>
          <cell r="AC2563" t="str">
            <v/>
          </cell>
          <cell r="AD2563" t="str">
            <v/>
          </cell>
          <cell r="AY2563" t="str">
            <v/>
          </cell>
          <cell r="AZ2563" t="str">
            <v/>
          </cell>
          <cell r="BA2563" t="str">
            <v/>
          </cell>
        </row>
        <row r="2564">
          <cell r="B2564" t="str">
            <v>-</v>
          </cell>
          <cell r="E2564" t="str">
            <v/>
          </cell>
          <cell r="G2564" t="str">
            <v/>
          </cell>
          <cell r="J2564" t="str">
            <v/>
          </cell>
          <cell r="O2564" t="str">
            <v/>
          </cell>
          <cell r="P2564" t="str">
            <v/>
          </cell>
          <cell r="Q2564" t="str">
            <v/>
          </cell>
          <cell r="S2564" t="str">
            <v/>
          </cell>
          <cell r="V2564" t="str">
            <v/>
          </cell>
          <cell r="Z2564" t="str">
            <v/>
          </cell>
          <cell r="AA2564" t="str">
            <v/>
          </cell>
          <cell r="AB2564" t="str">
            <v/>
          </cell>
          <cell r="AC2564" t="str">
            <v/>
          </cell>
          <cell r="AD2564" t="str">
            <v/>
          </cell>
          <cell r="AY2564" t="str">
            <v/>
          </cell>
          <cell r="AZ2564" t="str">
            <v/>
          </cell>
          <cell r="BA2564" t="str">
            <v/>
          </cell>
        </row>
        <row r="2565">
          <cell r="B2565" t="str">
            <v>-</v>
          </cell>
          <cell r="E2565" t="str">
            <v/>
          </cell>
          <cell r="G2565" t="str">
            <v/>
          </cell>
          <cell r="J2565" t="str">
            <v/>
          </cell>
          <cell r="O2565" t="str">
            <v/>
          </cell>
          <cell r="P2565" t="str">
            <v/>
          </cell>
          <cell r="Q2565" t="str">
            <v/>
          </cell>
          <cell r="S2565" t="str">
            <v/>
          </cell>
          <cell r="V2565" t="str">
            <v/>
          </cell>
          <cell r="Z2565" t="str">
            <v/>
          </cell>
          <cell r="AA2565" t="str">
            <v/>
          </cell>
          <cell r="AB2565" t="str">
            <v/>
          </cell>
          <cell r="AC2565" t="str">
            <v/>
          </cell>
          <cell r="AD2565" t="str">
            <v/>
          </cell>
          <cell r="AY2565" t="str">
            <v/>
          </cell>
          <cell r="AZ2565" t="str">
            <v/>
          </cell>
          <cell r="BA2565" t="str">
            <v/>
          </cell>
        </row>
        <row r="2566">
          <cell r="B2566" t="str">
            <v>-</v>
          </cell>
          <cell r="E2566" t="str">
            <v/>
          </cell>
          <cell r="G2566" t="str">
            <v/>
          </cell>
          <cell r="J2566" t="str">
            <v/>
          </cell>
          <cell r="O2566" t="str">
            <v/>
          </cell>
          <cell r="P2566" t="str">
            <v/>
          </cell>
          <cell r="Q2566" t="str">
            <v/>
          </cell>
          <cell r="S2566" t="str">
            <v/>
          </cell>
          <cell r="V2566" t="str">
            <v/>
          </cell>
          <cell r="Z2566" t="str">
            <v/>
          </cell>
          <cell r="AA2566" t="str">
            <v/>
          </cell>
          <cell r="AB2566" t="str">
            <v/>
          </cell>
          <cell r="AC2566" t="str">
            <v/>
          </cell>
          <cell r="AD2566" t="str">
            <v/>
          </cell>
          <cell r="AY2566" t="str">
            <v/>
          </cell>
          <cell r="AZ2566" t="str">
            <v/>
          </cell>
          <cell r="BA2566" t="str">
            <v/>
          </cell>
        </row>
        <row r="2567">
          <cell r="B2567" t="str">
            <v>-</v>
          </cell>
          <cell r="E2567" t="str">
            <v/>
          </cell>
          <cell r="G2567" t="str">
            <v/>
          </cell>
          <cell r="J2567" t="str">
            <v/>
          </cell>
          <cell r="O2567" t="str">
            <v/>
          </cell>
          <cell r="P2567" t="str">
            <v/>
          </cell>
          <cell r="Q2567" t="str">
            <v/>
          </cell>
          <cell r="S2567" t="str">
            <v/>
          </cell>
          <cell r="V2567" t="str">
            <v/>
          </cell>
          <cell r="Z2567" t="str">
            <v/>
          </cell>
          <cell r="AA2567" t="str">
            <v/>
          </cell>
          <cell r="AB2567" t="str">
            <v/>
          </cell>
          <cell r="AC2567" t="str">
            <v/>
          </cell>
          <cell r="AD2567" t="str">
            <v/>
          </cell>
          <cell r="AY2567" t="str">
            <v/>
          </cell>
          <cell r="AZ2567" t="str">
            <v/>
          </cell>
          <cell r="BA2567" t="str">
            <v/>
          </cell>
        </row>
        <row r="2568">
          <cell r="B2568" t="str">
            <v>-</v>
          </cell>
          <cell r="E2568" t="str">
            <v/>
          </cell>
          <cell r="G2568" t="str">
            <v/>
          </cell>
          <cell r="J2568" t="str">
            <v/>
          </cell>
          <cell r="O2568" t="str">
            <v/>
          </cell>
          <cell r="P2568" t="str">
            <v/>
          </cell>
          <cell r="Q2568" t="str">
            <v/>
          </cell>
          <cell r="S2568" t="str">
            <v/>
          </cell>
          <cell r="V2568" t="str">
            <v/>
          </cell>
          <cell r="Z2568" t="str">
            <v/>
          </cell>
          <cell r="AA2568" t="str">
            <v/>
          </cell>
          <cell r="AB2568" t="str">
            <v/>
          </cell>
          <cell r="AC2568" t="str">
            <v/>
          </cell>
          <cell r="AD2568" t="str">
            <v/>
          </cell>
          <cell r="AY2568" t="str">
            <v/>
          </cell>
          <cell r="AZ2568" t="str">
            <v/>
          </cell>
          <cell r="BA2568" t="str">
            <v/>
          </cell>
        </row>
        <row r="2569">
          <cell r="B2569" t="str">
            <v>-</v>
          </cell>
          <cell r="E2569" t="str">
            <v/>
          </cell>
          <cell r="G2569" t="str">
            <v/>
          </cell>
          <cell r="J2569" t="str">
            <v/>
          </cell>
          <cell r="O2569" t="str">
            <v/>
          </cell>
          <cell r="P2569" t="str">
            <v/>
          </cell>
          <cell r="Q2569" t="str">
            <v/>
          </cell>
          <cell r="S2569" t="str">
            <v/>
          </cell>
          <cell r="V2569" t="str">
            <v/>
          </cell>
          <cell r="Z2569" t="str">
            <v/>
          </cell>
          <cell r="AA2569" t="str">
            <v/>
          </cell>
          <cell r="AB2569" t="str">
            <v/>
          </cell>
          <cell r="AC2569" t="str">
            <v/>
          </cell>
          <cell r="AD2569" t="str">
            <v/>
          </cell>
          <cell r="AY2569" t="str">
            <v/>
          </cell>
          <cell r="AZ2569" t="str">
            <v/>
          </cell>
          <cell r="BA2569" t="str">
            <v/>
          </cell>
        </row>
        <row r="2570">
          <cell r="B2570" t="str">
            <v>-</v>
          </cell>
          <cell r="E2570" t="str">
            <v/>
          </cell>
          <cell r="G2570" t="str">
            <v/>
          </cell>
          <cell r="J2570" t="str">
            <v/>
          </cell>
          <cell r="O2570" t="str">
            <v/>
          </cell>
          <cell r="P2570" t="str">
            <v/>
          </cell>
          <cell r="Q2570" t="str">
            <v/>
          </cell>
          <cell r="S2570" t="str">
            <v/>
          </cell>
          <cell r="V2570" t="str">
            <v/>
          </cell>
          <cell r="Z2570" t="str">
            <v/>
          </cell>
          <cell r="AA2570" t="str">
            <v/>
          </cell>
          <cell r="AB2570" t="str">
            <v/>
          </cell>
          <cell r="AC2570" t="str">
            <v/>
          </cell>
          <cell r="AD2570" t="str">
            <v/>
          </cell>
          <cell r="AY2570" t="str">
            <v/>
          </cell>
          <cell r="AZ2570" t="str">
            <v/>
          </cell>
          <cell r="BA2570" t="str">
            <v/>
          </cell>
        </row>
        <row r="2571">
          <cell r="B2571" t="str">
            <v>-</v>
          </cell>
          <cell r="E2571" t="str">
            <v/>
          </cell>
          <cell r="G2571" t="str">
            <v/>
          </cell>
          <cell r="J2571" t="str">
            <v/>
          </cell>
          <cell r="O2571" t="str">
            <v/>
          </cell>
          <cell r="P2571" t="str">
            <v/>
          </cell>
          <cell r="Q2571" t="str">
            <v/>
          </cell>
          <cell r="S2571" t="str">
            <v/>
          </cell>
          <cell r="V2571" t="str">
            <v/>
          </cell>
          <cell r="Z2571" t="str">
            <v/>
          </cell>
          <cell r="AA2571" t="str">
            <v/>
          </cell>
          <cell r="AB2571" t="str">
            <v/>
          </cell>
          <cell r="AC2571" t="str">
            <v/>
          </cell>
          <cell r="AD2571" t="str">
            <v/>
          </cell>
          <cell r="AY2571" t="str">
            <v/>
          </cell>
          <cell r="AZ2571" t="str">
            <v/>
          </cell>
          <cell r="BA2571" t="str">
            <v/>
          </cell>
        </row>
        <row r="2572">
          <cell r="B2572" t="str">
            <v>-</v>
          </cell>
          <cell r="E2572" t="str">
            <v/>
          </cell>
          <cell r="G2572" t="str">
            <v/>
          </cell>
          <cell r="J2572" t="str">
            <v/>
          </cell>
          <cell r="O2572" t="str">
            <v/>
          </cell>
          <cell r="P2572" t="str">
            <v/>
          </cell>
          <cell r="Q2572" t="str">
            <v/>
          </cell>
          <cell r="S2572" t="str">
            <v/>
          </cell>
          <cell r="V2572" t="str">
            <v/>
          </cell>
          <cell r="Z2572" t="str">
            <v/>
          </cell>
          <cell r="AA2572" t="str">
            <v/>
          </cell>
          <cell r="AB2572" t="str">
            <v/>
          </cell>
          <cell r="AC2572" t="str">
            <v/>
          </cell>
          <cell r="AD2572" t="str">
            <v/>
          </cell>
          <cell r="AY2572" t="str">
            <v/>
          </cell>
          <cell r="AZ2572" t="str">
            <v/>
          </cell>
          <cell r="BA2572" t="str">
            <v/>
          </cell>
        </row>
        <row r="2573">
          <cell r="B2573" t="str">
            <v>-</v>
          </cell>
          <cell r="E2573" t="str">
            <v/>
          </cell>
          <cell r="G2573" t="str">
            <v/>
          </cell>
          <cell r="J2573" t="str">
            <v/>
          </cell>
          <cell r="O2573" t="str">
            <v/>
          </cell>
          <cell r="P2573" t="str">
            <v/>
          </cell>
          <cell r="Q2573" t="str">
            <v/>
          </cell>
          <cell r="S2573" t="str">
            <v/>
          </cell>
          <cell r="V2573" t="str">
            <v/>
          </cell>
          <cell r="Z2573" t="str">
            <v/>
          </cell>
          <cell r="AA2573" t="str">
            <v/>
          </cell>
          <cell r="AB2573" t="str">
            <v/>
          </cell>
          <cell r="AC2573" t="str">
            <v/>
          </cell>
          <cell r="AD2573" t="str">
            <v/>
          </cell>
          <cell r="AY2573" t="str">
            <v/>
          </cell>
          <cell r="AZ2573" t="str">
            <v/>
          </cell>
          <cell r="BA2573" t="str">
            <v/>
          </cell>
        </row>
        <row r="2574">
          <cell r="B2574" t="str">
            <v>-</v>
          </cell>
          <cell r="E2574" t="str">
            <v/>
          </cell>
          <cell r="G2574" t="str">
            <v/>
          </cell>
          <cell r="J2574" t="str">
            <v/>
          </cell>
          <cell r="O2574" t="str">
            <v/>
          </cell>
          <cell r="P2574" t="str">
            <v/>
          </cell>
          <cell r="Q2574" t="str">
            <v/>
          </cell>
          <cell r="S2574" t="str">
            <v/>
          </cell>
          <cell r="V2574" t="str">
            <v/>
          </cell>
          <cell r="Z2574" t="str">
            <v/>
          </cell>
          <cell r="AA2574" t="str">
            <v/>
          </cell>
          <cell r="AB2574" t="str">
            <v/>
          </cell>
          <cell r="AC2574" t="str">
            <v/>
          </cell>
          <cell r="AD2574" t="str">
            <v/>
          </cell>
          <cell r="AY2574" t="str">
            <v/>
          </cell>
          <cell r="AZ2574" t="str">
            <v/>
          </cell>
          <cell r="BA2574" t="str">
            <v/>
          </cell>
        </row>
        <row r="2575">
          <cell r="B2575" t="str">
            <v>-</v>
          </cell>
          <cell r="E2575" t="str">
            <v/>
          </cell>
          <cell r="G2575" t="str">
            <v/>
          </cell>
          <cell r="J2575" t="str">
            <v/>
          </cell>
          <cell r="O2575" t="str">
            <v/>
          </cell>
          <cell r="P2575" t="str">
            <v/>
          </cell>
          <cell r="Q2575" t="str">
            <v/>
          </cell>
          <cell r="S2575" t="str">
            <v/>
          </cell>
          <cell r="V2575" t="str">
            <v/>
          </cell>
          <cell r="Z2575" t="str">
            <v/>
          </cell>
          <cell r="AA2575" t="str">
            <v/>
          </cell>
          <cell r="AB2575" t="str">
            <v/>
          </cell>
          <cell r="AC2575" t="str">
            <v/>
          </cell>
          <cell r="AD2575" t="str">
            <v/>
          </cell>
          <cell r="AY2575" t="str">
            <v/>
          </cell>
          <cell r="AZ2575" t="str">
            <v/>
          </cell>
          <cell r="BA2575" t="str">
            <v/>
          </cell>
        </row>
        <row r="2576">
          <cell r="B2576" t="str">
            <v>-</v>
          </cell>
          <cell r="E2576" t="str">
            <v/>
          </cell>
          <cell r="G2576" t="str">
            <v/>
          </cell>
          <cell r="J2576" t="str">
            <v/>
          </cell>
          <cell r="O2576" t="str">
            <v/>
          </cell>
          <cell r="P2576" t="str">
            <v/>
          </cell>
          <cell r="Q2576" t="str">
            <v/>
          </cell>
          <cell r="S2576" t="str">
            <v/>
          </cell>
          <cell r="V2576" t="str">
            <v/>
          </cell>
          <cell r="Z2576" t="str">
            <v/>
          </cell>
          <cell r="AA2576" t="str">
            <v/>
          </cell>
          <cell r="AB2576" t="str">
            <v/>
          </cell>
          <cell r="AC2576" t="str">
            <v/>
          </cell>
          <cell r="AD2576" t="str">
            <v/>
          </cell>
          <cell r="AY2576" t="str">
            <v/>
          </cell>
          <cell r="AZ2576" t="str">
            <v/>
          </cell>
          <cell r="BA2576" t="str">
            <v/>
          </cell>
        </row>
        <row r="2577">
          <cell r="B2577" t="str">
            <v>-</v>
          </cell>
          <cell r="E2577" t="str">
            <v/>
          </cell>
          <cell r="G2577" t="str">
            <v/>
          </cell>
          <cell r="J2577" t="str">
            <v/>
          </cell>
          <cell r="O2577" t="str">
            <v/>
          </cell>
          <cell r="P2577" t="str">
            <v/>
          </cell>
          <cell r="Q2577" t="str">
            <v/>
          </cell>
          <cell r="S2577" t="str">
            <v/>
          </cell>
          <cell r="V2577" t="str">
            <v/>
          </cell>
          <cell r="Z2577" t="str">
            <v/>
          </cell>
          <cell r="AA2577" t="str">
            <v/>
          </cell>
          <cell r="AB2577" t="str">
            <v/>
          </cell>
          <cell r="AC2577" t="str">
            <v/>
          </cell>
          <cell r="AD2577" t="str">
            <v/>
          </cell>
          <cell r="AY2577" t="str">
            <v/>
          </cell>
          <cell r="AZ2577" t="str">
            <v/>
          </cell>
          <cell r="BA2577" t="str">
            <v/>
          </cell>
        </row>
        <row r="2578">
          <cell r="B2578" t="str">
            <v>-</v>
          </cell>
          <cell r="E2578" t="str">
            <v/>
          </cell>
          <cell r="G2578" t="str">
            <v/>
          </cell>
          <cell r="J2578" t="str">
            <v/>
          </cell>
          <cell r="O2578" t="str">
            <v/>
          </cell>
          <cell r="P2578" t="str">
            <v/>
          </cell>
          <cell r="Q2578" t="str">
            <v/>
          </cell>
          <cell r="S2578" t="str">
            <v/>
          </cell>
          <cell r="V2578" t="str">
            <v/>
          </cell>
          <cell r="Z2578" t="str">
            <v/>
          </cell>
          <cell r="AA2578" t="str">
            <v/>
          </cell>
          <cell r="AB2578" t="str">
            <v/>
          </cell>
          <cell r="AC2578" t="str">
            <v/>
          </cell>
          <cell r="AD2578" t="str">
            <v/>
          </cell>
          <cell r="AY2578" t="str">
            <v/>
          </cell>
          <cell r="AZ2578" t="str">
            <v/>
          </cell>
          <cell r="BA2578" t="str">
            <v/>
          </cell>
        </row>
        <row r="2579">
          <cell r="B2579" t="str">
            <v>-</v>
          </cell>
          <cell r="E2579" t="str">
            <v/>
          </cell>
          <cell r="G2579" t="str">
            <v/>
          </cell>
          <cell r="J2579" t="str">
            <v/>
          </cell>
          <cell r="O2579" t="str">
            <v/>
          </cell>
          <cell r="P2579" t="str">
            <v/>
          </cell>
          <cell r="Q2579" t="str">
            <v/>
          </cell>
          <cell r="S2579" t="str">
            <v/>
          </cell>
          <cell r="V2579" t="str">
            <v/>
          </cell>
          <cell r="Z2579" t="str">
            <v/>
          </cell>
          <cell r="AA2579" t="str">
            <v/>
          </cell>
          <cell r="AB2579" t="str">
            <v/>
          </cell>
          <cell r="AC2579" t="str">
            <v/>
          </cell>
          <cell r="AD2579" t="str">
            <v/>
          </cell>
          <cell r="AY2579" t="str">
            <v/>
          </cell>
          <cell r="AZ2579" t="str">
            <v/>
          </cell>
          <cell r="BA2579" t="str">
            <v/>
          </cell>
        </row>
        <row r="2580">
          <cell r="B2580" t="str">
            <v>-</v>
          </cell>
          <cell r="E2580" t="str">
            <v/>
          </cell>
          <cell r="G2580" t="str">
            <v/>
          </cell>
          <cell r="J2580" t="str">
            <v/>
          </cell>
          <cell r="O2580" t="str">
            <v/>
          </cell>
          <cell r="P2580" t="str">
            <v/>
          </cell>
          <cell r="Q2580" t="str">
            <v/>
          </cell>
          <cell r="S2580" t="str">
            <v/>
          </cell>
          <cell r="V2580" t="str">
            <v/>
          </cell>
          <cell r="Z2580" t="str">
            <v/>
          </cell>
          <cell r="AA2580" t="str">
            <v/>
          </cell>
          <cell r="AB2580" t="str">
            <v/>
          </cell>
          <cell r="AC2580" t="str">
            <v/>
          </cell>
          <cell r="AD2580" t="str">
            <v/>
          </cell>
          <cell r="AY2580" t="str">
            <v/>
          </cell>
          <cell r="AZ2580" t="str">
            <v/>
          </cell>
          <cell r="BA2580" t="str">
            <v/>
          </cell>
        </row>
        <row r="2581">
          <cell r="B2581" t="str">
            <v>-</v>
          </cell>
          <cell r="E2581" t="str">
            <v/>
          </cell>
          <cell r="G2581" t="str">
            <v/>
          </cell>
          <cell r="J2581" t="str">
            <v/>
          </cell>
          <cell r="O2581" t="str">
            <v/>
          </cell>
          <cell r="P2581" t="str">
            <v/>
          </cell>
          <cell r="Q2581" t="str">
            <v/>
          </cell>
          <cell r="S2581" t="str">
            <v/>
          </cell>
          <cell r="V2581" t="str">
            <v/>
          </cell>
          <cell r="Z2581" t="str">
            <v/>
          </cell>
          <cell r="AA2581" t="str">
            <v/>
          </cell>
          <cell r="AB2581" t="str">
            <v/>
          </cell>
          <cell r="AC2581" t="str">
            <v/>
          </cell>
          <cell r="AD2581" t="str">
            <v/>
          </cell>
          <cell r="AY2581" t="str">
            <v/>
          </cell>
          <cell r="AZ2581" t="str">
            <v/>
          </cell>
          <cell r="BA2581" t="str">
            <v/>
          </cell>
        </row>
        <row r="2582">
          <cell r="B2582" t="str">
            <v>-</v>
          </cell>
          <cell r="E2582" t="str">
            <v/>
          </cell>
          <cell r="G2582" t="str">
            <v/>
          </cell>
          <cell r="J2582" t="str">
            <v/>
          </cell>
          <cell r="O2582" t="str">
            <v/>
          </cell>
          <cell r="P2582" t="str">
            <v/>
          </cell>
          <cell r="Q2582" t="str">
            <v/>
          </cell>
          <cell r="S2582" t="str">
            <v/>
          </cell>
          <cell r="V2582" t="str">
            <v/>
          </cell>
          <cell r="Z2582" t="str">
            <v/>
          </cell>
          <cell r="AA2582" t="str">
            <v/>
          </cell>
          <cell r="AB2582" t="str">
            <v/>
          </cell>
          <cell r="AC2582" t="str">
            <v/>
          </cell>
          <cell r="AD2582" t="str">
            <v/>
          </cell>
          <cell r="AY2582" t="str">
            <v/>
          </cell>
          <cell r="AZ2582" t="str">
            <v/>
          </cell>
          <cell r="BA2582" t="str">
            <v/>
          </cell>
        </row>
        <row r="2583">
          <cell r="B2583" t="str">
            <v>-</v>
          </cell>
          <cell r="E2583" t="str">
            <v/>
          </cell>
          <cell r="G2583" t="str">
            <v/>
          </cell>
          <cell r="J2583" t="str">
            <v/>
          </cell>
          <cell r="O2583" t="str">
            <v/>
          </cell>
          <cell r="P2583" t="str">
            <v/>
          </cell>
          <cell r="Q2583" t="str">
            <v/>
          </cell>
          <cell r="S2583" t="str">
            <v/>
          </cell>
          <cell r="V2583" t="str">
            <v/>
          </cell>
          <cell r="Z2583" t="str">
            <v/>
          </cell>
          <cell r="AA2583" t="str">
            <v/>
          </cell>
          <cell r="AB2583" t="str">
            <v/>
          </cell>
          <cell r="AC2583" t="str">
            <v/>
          </cell>
          <cell r="AD2583" t="str">
            <v/>
          </cell>
          <cell r="AY2583" t="str">
            <v/>
          </cell>
          <cell r="AZ2583" t="str">
            <v/>
          </cell>
          <cell r="BA2583" t="str">
            <v/>
          </cell>
        </row>
        <row r="2584">
          <cell r="B2584" t="str">
            <v>-</v>
          </cell>
          <cell r="E2584" t="str">
            <v/>
          </cell>
          <cell r="G2584" t="str">
            <v/>
          </cell>
          <cell r="J2584" t="str">
            <v/>
          </cell>
          <cell r="O2584" t="str">
            <v/>
          </cell>
          <cell r="P2584" t="str">
            <v/>
          </cell>
          <cell r="Q2584" t="str">
            <v/>
          </cell>
          <cell r="S2584" t="str">
            <v/>
          </cell>
          <cell r="V2584" t="str">
            <v/>
          </cell>
          <cell r="Z2584" t="str">
            <v/>
          </cell>
          <cell r="AA2584" t="str">
            <v/>
          </cell>
          <cell r="AB2584" t="str">
            <v/>
          </cell>
          <cell r="AC2584" t="str">
            <v/>
          </cell>
          <cell r="AD2584" t="str">
            <v/>
          </cell>
          <cell r="AY2584" t="str">
            <v/>
          </cell>
          <cell r="AZ2584" t="str">
            <v/>
          </cell>
          <cell r="BA2584" t="str">
            <v/>
          </cell>
        </row>
        <row r="2585">
          <cell r="B2585" t="str">
            <v>-</v>
          </cell>
          <cell r="E2585" t="str">
            <v/>
          </cell>
          <cell r="G2585" t="str">
            <v/>
          </cell>
          <cell r="J2585" t="str">
            <v/>
          </cell>
          <cell r="O2585" t="str">
            <v/>
          </cell>
          <cell r="P2585" t="str">
            <v/>
          </cell>
          <cell r="Q2585" t="str">
            <v/>
          </cell>
          <cell r="S2585" t="str">
            <v/>
          </cell>
          <cell r="V2585" t="str">
            <v/>
          </cell>
          <cell r="Z2585" t="str">
            <v/>
          </cell>
          <cell r="AA2585" t="str">
            <v/>
          </cell>
          <cell r="AB2585" t="str">
            <v/>
          </cell>
          <cell r="AC2585" t="str">
            <v/>
          </cell>
          <cell r="AD2585" t="str">
            <v/>
          </cell>
          <cell r="AY2585" t="str">
            <v/>
          </cell>
          <cell r="AZ2585" t="str">
            <v/>
          </cell>
          <cell r="BA2585" t="str">
            <v/>
          </cell>
        </row>
        <row r="2586">
          <cell r="B2586" t="str">
            <v>-</v>
          </cell>
          <cell r="E2586" t="str">
            <v/>
          </cell>
          <cell r="G2586" t="str">
            <v/>
          </cell>
          <cell r="J2586" t="str">
            <v/>
          </cell>
          <cell r="O2586" t="str">
            <v/>
          </cell>
          <cell r="P2586" t="str">
            <v/>
          </cell>
          <cell r="Q2586" t="str">
            <v/>
          </cell>
          <cell r="S2586" t="str">
            <v/>
          </cell>
          <cell r="V2586" t="str">
            <v/>
          </cell>
          <cell r="Z2586" t="str">
            <v/>
          </cell>
          <cell r="AA2586" t="str">
            <v/>
          </cell>
          <cell r="AB2586" t="str">
            <v/>
          </cell>
          <cell r="AC2586" t="str">
            <v/>
          </cell>
          <cell r="AD2586" t="str">
            <v/>
          </cell>
          <cell r="AY2586" t="str">
            <v/>
          </cell>
          <cell r="AZ2586" t="str">
            <v/>
          </cell>
          <cell r="BA2586" t="str">
            <v/>
          </cell>
        </row>
        <row r="2587">
          <cell r="B2587" t="str">
            <v>-</v>
          </cell>
          <cell r="E2587" t="str">
            <v/>
          </cell>
          <cell r="G2587" t="str">
            <v/>
          </cell>
          <cell r="J2587" t="str">
            <v/>
          </cell>
          <cell r="O2587" t="str">
            <v/>
          </cell>
          <cell r="P2587" t="str">
            <v/>
          </cell>
          <cell r="Q2587" t="str">
            <v/>
          </cell>
          <cell r="S2587" t="str">
            <v/>
          </cell>
          <cell r="V2587" t="str">
            <v/>
          </cell>
          <cell r="Z2587" t="str">
            <v/>
          </cell>
          <cell r="AA2587" t="str">
            <v/>
          </cell>
          <cell r="AB2587" t="str">
            <v/>
          </cell>
          <cell r="AC2587" t="str">
            <v/>
          </cell>
          <cell r="AD2587" t="str">
            <v/>
          </cell>
          <cell r="AY2587" t="str">
            <v/>
          </cell>
          <cell r="AZ2587" t="str">
            <v/>
          </cell>
          <cell r="BA2587" t="str">
            <v/>
          </cell>
        </row>
        <row r="2588">
          <cell r="B2588" t="str">
            <v>-</v>
          </cell>
          <cell r="E2588" t="str">
            <v/>
          </cell>
          <cell r="G2588" t="str">
            <v/>
          </cell>
          <cell r="J2588" t="str">
            <v/>
          </cell>
          <cell r="O2588" t="str">
            <v/>
          </cell>
          <cell r="P2588" t="str">
            <v/>
          </cell>
          <cell r="Q2588" t="str">
            <v/>
          </cell>
          <cell r="S2588" t="str">
            <v/>
          </cell>
          <cell r="V2588" t="str">
            <v/>
          </cell>
          <cell r="Z2588" t="str">
            <v/>
          </cell>
          <cell r="AA2588" t="str">
            <v/>
          </cell>
          <cell r="AB2588" t="str">
            <v/>
          </cell>
          <cell r="AC2588" t="str">
            <v/>
          </cell>
          <cell r="AD2588" t="str">
            <v/>
          </cell>
          <cell r="AY2588" t="str">
            <v/>
          </cell>
          <cell r="AZ2588" t="str">
            <v/>
          </cell>
          <cell r="BA2588" t="str">
            <v/>
          </cell>
        </row>
        <row r="2589">
          <cell r="B2589" t="str">
            <v>-</v>
          </cell>
          <cell r="E2589" t="str">
            <v/>
          </cell>
          <cell r="G2589" t="str">
            <v/>
          </cell>
          <cell r="J2589" t="str">
            <v/>
          </cell>
          <cell r="O2589" t="str">
            <v/>
          </cell>
          <cell r="P2589" t="str">
            <v/>
          </cell>
          <cell r="Q2589" t="str">
            <v/>
          </cell>
          <cell r="S2589" t="str">
            <v/>
          </cell>
          <cell r="V2589" t="str">
            <v/>
          </cell>
          <cell r="Z2589" t="str">
            <v/>
          </cell>
          <cell r="AA2589" t="str">
            <v/>
          </cell>
          <cell r="AB2589" t="str">
            <v/>
          </cell>
          <cell r="AC2589" t="str">
            <v/>
          </cell>
          <cell r="AD2589" t="str">
            <v/>
          </cell>
          <cell r="AY2589" t="str">
            <v/>
          </cell>
          <cell r="AZ2589" t="str">
            <v/>
          </cell>
          <cell r="BA2589" t="str">
            <v/>
          </cell>
        </row>
        <row r="2590">
          <cell r="B2590" t="str">
            <v>-</v>
          </cell>
          <cell r="E2590" t="str">
            <v/>
          </cell>
          <cell r="G2590" t="str">
            <v/>
          </cell>
          <cell r="J2590" t="str">
            <v/>
          </cell>
          <cell r="O2590" t="str">
            <v/>
          </cell>
          <cell r="P2590" t="str">
            <v/>
          </cell>
          <cell r="Q2590" t="str">
            <v/>
          </cell>
          <cell r="S2590" t="str">
            <v/>
          </cell>
          <cell r="V2590" t="str">
            <v/>
          </cell>
          <cell r="Z2590" t="str">
            <v/>
          </cell>
          <cell r="AA2590" t="str">
            <v/>
          </cell>
          <cell r="AB2590" t="str">
            <v/>
          </cell>
          <cell r="AC2590" t="str">
            <v/>
          </cell>
          <cell r="AD2590" t="str">
            <v/>
          </cell>
          <cell r="AY2590" t="str">
            <v/>
          </cell>
          <cell r="AZ2590" t="str">
            <v/>
          </cell>
          <cell r="BA2590" t="str">
            <v/>
          </cell>
        </row>
        <row r="2591">
          <cell r="B2591" t="str">
            <v>-</v>
          </cell>
          <cell r="E2591" t="str">
            <v/>
          </cell>
          <cell r="G2591" t="str">
            <v/>
          </cell>
          <cell r="J2591" t="str">
            <v/>
          </cell>
          <cell r="O2591" t="str">
            <v/>
          </cell>
          <cell r="P2591" t="str">
            <v/>
          </cell>
          <cell r="Q2591" t="str">
            <v/>
          </cell>
          <cell r="S2591" t="str">
            <v/>
          </cell>
          <cell r="V2591" t="str">
            <v/>
          </cell>
          <cell r="Z2591" t="str">
            <v/>
          </cell>
          <cell r="AA2591" t="str">
            <v/>
          </cell>
          <cell r="AB2591" t="str">
            <v/>
          </cell>
          <cell r="AC2591" t="str">
            <v/>
          </cell>
          <cell r="AD2591" t="str">
            <v/>
          </cell>
          <cell r="AY2591" t="str">
            <v/>
          </cell>
          <cell r="AZ2591" t="str">
            <v/>
          </cell>
          <cell r="BA2591" t="str">
            <v/>
          </cell>
        </row>
        <row r="2592">
          <cell r="B2592" t="str">
            <v>-</v>
          </cell>
          <cell r="E2592" t="str">
            <v/>
          </cell>
          <cell r="G2592" t="str">
            <v/>
          </cell>
          <cell r="J2592" t="str">
            <v/>
          </cell>
          <cell r="O2592" t="str">
            <v/>
          </cell>
          <cell r="P2592" t="str">
            <v/>
          </cell>
          <cell r="Q2592" t="str">
            <v/>
          </cell>
          <cell r="S2592" t="str">
            <v/>
          </cell>
          <cell r="V2592" t="str">
            <v/>
          </cell>
          <cell r="Z2592" t="str">
            <v/>
          </cell>
          <cell r="AA2592" t="str">
            <v/>
          </cell>
          <cell r="AB2592" t="str">
            <v/>
          </cell>
          <cell r="AC2592" t="str">
            <v/>
          </cell>
          <cell r="AD2592" t="str">
            <v/>
          </cell>
          <cell r="AY2592" t="str">
            <v/>
          </cell>
          <cell r="AZ2592" t="str">
            <v/>
          </cell>
          <cell r="BA2592" t="str">
            <v/>
          </cell>
        </row>
        <row r="2593">
          <cell r="B2593" t="str">
            <v>-</v>
          </cell>
          <cell r="E2593" t="str">
            <v/>
          </cell>
          <cell r="G2593" t="str">
            <v/>
          </cell>
          <cell r="J2593" t="str">
            <v/>
          </cell>
          <cell r="O2593" t="str">
            <v/>
          </cell>
          <cell r="P2593" t="str">
            <v/>
          </cell>
          <cell r="Q2593" t="str">
            <v/>
          </cell>
          <cell r="S2593" t="str">
            <v/>
          </cell>
          <cell r="V2593" t="str">
            <v/>
          </cell>
          <cell r="Z2593" t="str">
            <v/>
          </cell>
          <cell r="AA2593" t="str">
            <v/>
          </cell>
          <cell r="AB2593" t="str">
            <v/>
          </cell>
          <cell r="AC2593" t="str">
            <v/>
          </cell>
          <cell r="AD2593" t="str">
            <v/>
          </cell>
          <cell r="AY2593" t="str">
            <v/>
          </cell>
          <cell r="AZ2593" t="str">
            <v/>
          </cell>
          <cell r="BA2593" t="str">
            <v/>
          </cell>
        </row>
        <row r="2594">
          <cell r="B2594" t="str">
            <v>-</v>
          </cell>
          <cell r="E2594" t="str">
            <v/>
          </cell>
          <cell r="G2594" t="str">
            <v/>
          </cell>
          <cell r="J2594" t="str">
            <v/>
          </cell>
          <cell r="O2594" t="str">
            <v/>
          </cell>
          <cell r="P2594" t="str">
            <v/>
          </cell>
          <cell r="Q2594" t="str">
            <v/>
          </cell>
          <cell r="S2594" t="str">
            <v/>
          </cell>
          <cell r="V2594" t="str">
            <v/>
          </cell>
          <cell r="Z2594" t="str">
            <v/>
          </cell>
          <cell r="AA2594" t="str">
            <v/>
          </cell>
          <cell r="AB2594" t="str">
            <v/>
          </cell>
          <cell r="AC2594" t="str">
            <v/>
          </cell>
          <cell r="AD2594" t="str">
            <v/>
          </cell>
          <cell r="AY2594" t="str">
            <v/>
          </cell>
          <cell r="AZ2594" t="str">
            <v/>
          </cell>
          <cell r="BA2594" t="str">
            <v/>
          </cell>
        </row>
        <row r="2595">
          <cell r="B2595" t="str">
            <v>-</v>
          </cell>
          <cell r="E2595" t="str">
            <v/>
          </cell>
          <cell r="G2595" t="str">
            <v/>
          </cell>
          <cell r="J2595" t="str">
            <v/>
          </cell>
          <cell r="O2595" t="str">
            <v/>
          </cell>
          <cell r="P2595" t="str">
            <v/>
          </cell>
          <cell r="Q2595" t="str">
            <v/>
          </cell>
          <cell r="S2595" t="str">
            <v/>
          </cell>
          <cell r="V2595" t="str">
            <v/>
          </cell>
          <cell r="Z2595" t="str">
            <v/>
          </cell>
          <cell r="AA2595" t="str">
            <v/>
          </cell>
          <cell r="AB2595" t="str">
            <v/>
          </cell>
          <cell r="AC2595" t="str">
            <v/>
          </cell>
          <cell r="AD2595" t="str">
            <v/>
          </cell>
          <cell r="AY2595" t="str">
            <v/>
          </cell>
          <cell r="AZ2595" t="str">
            <v/>
          </cell>
          <cell r="BA2595" t="str">
            <v/>
          </cell>
        </row>
        <row r="2596">
          <cell r="B2596" t="str">
            <v>-</v>
          </cell>
          <cell r="E2596" t="str">
            <v/>
          </cell>
          <cell r="G2596" t="str">
            <v/>
          </cell>
          <cell r="J2596" t="str">
            <v/>
          </cell>
          <cell r="O2596" t="str">
            <v/>
          </cell>
          <cell r="P2596" t="str">
            <v/>
          </cell>
          <cell r="Q2596" t="str">
            <v/>
          </cell>
          <cell r="S2596" t="str">
            <v/>
          </cell>
          <cell r="V2596" t="str">
            <v/>
          </cell>
          <cell r="Z2596" t="str">
            <v/>
          </cell>
          <cell r="AA2596" t="str">
            <v/>
          </cell>
          <cell r="AB2596" t="str">
            <v/>
          </cell>
          <cell r="AC2596" t="str">
            <v/>
          </cell>
          <cell r="AD2596" t="str">
            <v/>
          </cell>
          <cell r="AY2596" t="str">
            <v/>
          </cell>
          <cell r="AZ2596" t="str">
            <v/>
          </cell>
          <cell r="BA2596" t="str">
            <v/>
          </cell>
        </row>
        <row r="2597">
          <cell r="B2597" t="str">
            <v>-</v>
          </cell>
          <cell r="E2597" t="str">
            <v/>
          </cell>
          <cell r="G2597" t="str">
            <v/>
          </cell>
          <cell r="J2597" t="str">
            <v/>
          </cell>
          <cell r="O2597" t="str">
            <v/>
          </cell>
          <cell r="P2597" t="str">
            <v/>
          </cell>
          <cell r="Q2597" t="str">
            <v/>
          </cell>
          <cell r="S2597" t="str">
            <v/>
          </cell>
          <cell r="V2597" t="str">
            <v/>
          </cell>
          <cell r="Z2597" t="str">
            <v/>
          </cell>
          <cell r="AA2597" t="str">
            <v/>
          </cell>
          <cell r="AB2597" t="str">
            <v/>
          </cell>
          <cell r="AC2597" t="str">
            <v/>
          </cell>
          <cell r="AD2597" t="str">
            <v/>
          </cell>
          <cell r="AY2597" t="str">
            <v/>
          </cell>
          <cell r="AZ2597" t="str">
            <v/>
          </cell>
          <cell r="BA2597" t="str">
            <v/>
          </cell>
        </row>
        <row r="2598">
          <cell r="B2598" t="str">
            <v>-</v>
          </cell>
          <cell r="E2598" t="str">
            <v/>
          </cell>
          <cell r="G2598" t="str">
            <v/>
          </cell>
          <cell r="J2598" t="str">
            <v/>
          </cell>
          <cell r="O2598" t="str">
            <v/>
          </cell>
          <cell r="P2598" t="str">
            <v/>
          </cell>
          <cell r="Q2598" t="str">
            <v/>
          </cell>
          <cell r="S2598" t="str">
            <v/>
          </cell>
          <cell r="V2598" t="str">
            <v/>
          </cell>
          <cell r="Z2598" t="str">
            <v/>
          </cell>
          <cell r="AA2598" t="str">
            <v/>
          </cell>
          <cell r="AB2598" t="str">
            <v/>
          </cell>
          <cell r="AC2598" t="str">
            <v/>
          </cell>
          <cell r="AD2598" t="str">
            <v/>
          </cell>
          <cell r="AY2598" t="str">
            <v/>
          </cell>
          <cell r="AZ2598" t="str">
            <v/>
          </cell>
          <cell r="BA2598" t="str">
            <v/>
          </cell>
        </row>
        <row r="2599">
          <cell r="B2599" t="str">
            <v>-</v>
          </cell>
          <cell r="E2599" t="str">
            <v/>
          </cell>
          <cell r="G2599" t="str">
            <v/>
          </cell>
          <cell r="J2599" t="str">
            <v/>
          </cell>
          <cell r="O2599" t="str">
            <v/>
          </cell>
          <cell r="P2599" t="str">
            <v/>
          </cell>
          <cell r="Q2599" t="str">
            <v/>
          </cell>
          <cell r="S2599" t="str">
            <v/>
          </cell>
          <cell r="V2599" t="str">
            <v/>
          </cell>
          <cell r="Z2599" t="str">
            <v/>
          </cell>
          <cell r="AA2599" t="str">
            <v/>
          </cell>
          <cell r="AB2599" t="str">
            <v/>
          </cell>
          <cell r="AC2599" t="str">
            <v/>
          </cell>
          <cell r="AD2599" t="str">
            <v/>
          </cell>
          <cell r="AY2599" t="str">
            <v/>
          </cell>
          <cell r="AZ2599" t="str">
            <v/>
          </cell>
          <cell r="BA2599" t="str">
            <v/>
          </cell>
        </row>
        <row r="2600">
          <cell r="B2600" t="str">
            <v>-</v>
          </cell>
          <cell r="E2600" t="str">
            <v/>
          </cell>
          <cell r="G2600" t="str">
            <v/>
          </cell>
          <cell r="J2600" t="str">
            <v/>
          </cell>
          <cell r="O2600" t="str">
            <v/>
          </cell>
          <cell r="P2600" t="str">
            <v/>
          </cell>
          <cell r="Q2600" t="str">
            <v/>
          </cell>
          <cell r="S2600" t="str">
            <v/>
          </cell>
          <cell r="V2600" t="str">
            <v/>
          </cell>
          <cell r="Z2600" t="str">
            <v/>
          </cell>
          <cell r="AA2600" t="str">
            <v/>
          </cell>
          <cell r="AB2600" t="str">
            <v/>
          </cell>
          <cell r="AC2600" t="str">
            <v/>
          </cell>
          <cell r="AD2600" t="str">
            <v/>
          </cell>
          <cell r="AY2600" t="str">
            <v/>
          </cell>
          <cell r="AZ2600" t="str">
            <v/>
          </cell>
          <cell r="BA2600" t="str">
            <v/>
          </cell>
        </row>
        <row r="2601">
          <cell r="B2601" t="str">
            <v>-</v>
          </cell>
          <cell r="E2601" t="str">
            <v/>
          </cell>
          <cell r="G2601" t="str">
            <v/>
          </cell>
          <cell r="J2601" t="str">
            <v/>
          </cell>
          <cell r="O2601" t="str">
            <v/>
          </cell>
          <cell r="P2601" t="str">
            <v/>
          </cell>
          <cell r="Q2601" t="str">
            <v/>
          </cell>
          <cell r="S2601" t="str">
            <v/>
          </cell>
          <cell r="V2601" t="str">
            <v/>
          </cell>
          <cell r="Z2601" t="str">
            <v/>
          </cell>
          <cell r="AA2601" t="str">
            <v/>
          </cell>
          <cell r="AB2601" t="str">
            <v/>
          </cell>
          <cell r="AC2601" t="str">
            <v/>
          </cell>
          <cell r="AD2601" t="str">
            <v/>
          </cell>
          <cell r="AY2601" t="str">
            <v/>
          </cell>
          <cell r="AZ2601" t="str">
            <v/>
          </cell>
          <cell r="BA2601" t="str">
            <v/>
          </cell>
        </row>
        <row r="2602">
          <cell r="B2602" t="str">
            <v>-</v>
          </cell>
          <cell r="E2602" t="str">
            <v/>
          </cell>
          <cell r="G2602" t="str">
            <v/>
          </cell>
          <cell r="J2602" t="str">
            <v/>
          </cell>
          <cell r="O2602" t="str">
            <v/>
          </cell>
          <cell r="P2602" t="str">
            <v/>
          </cell>
          <cell r="Q2602" t="str">
            <v/>
          </cell>
          <cell r="S2602" t="str">
            <v/>
          </cell>
          <cell r="V2602" t="str">
            <v/>
          </cell>
          <cell r="Z2602" t="str">
            <v/>
          </cell>
          <cell r="AA2602" t="str">
            <v/>
          </cell>
          <cell r="AB2602" t="str">
            <v/>
          </cell>
          <cell r="AC2602" t="str">
            <v/>
          </cell>
          <cell r="AD2602" t="str">
            <v/>
          </cell>
          <cell r="AY2602" t="str">
            <v/>
          </cell>
          <cell r="AZ2602" t="str">
            <v/>
          </cell>
          <cell r="BA2602" t="str">
            <v/>
          </cell>
        </row>
        <row r="2603">
          <cell r="B2603" t="str">
            <v>-</v>
          </cell>
          <cell r="E2603" t="str">
            <v/>
          </cell>
          <cell r="G2603" t="str">
            <v/>
          </cell>
          <cell r="J2603" t="str">
            <v/>
          </cell>
          <cell r="O2603" t="str">
            <v/>
          </cell>
          <cell r="P2603" t="str">
            <v/>
          </cell>
          <cell r="Q2603" t="str">
            <v/>
          </cell>
          <cell r="S2603" t="str">
            <v/>
          </cell>
          <cell r="V2603" t="str">
            <v/>
          </cell>
          <cell r="Z2603" t="str">
            <v/>
          </cell>
          <cell r="AA2603" t="str">
            <v/>
          </cell>
          <cell r="AB2603" t="str">
            <v/>
          </cell>
          <cell r="AC2603" t="str">
            <v/>
          </cell>
          <cell r="AD2603" t="str">
            <v/>
          </cell>
          <cell r="AY2603" t="str">
            <v/>
          </cell>
          <cell r="AZ2603" t="str">
            <v/>
          </cell>
          <cell r="BA2603" t="str">
            <v/>
          </cell>
        </row>
        <row r="2604">
          <cell r="B2604" t="str">
            <v>-</v>
          </cell>
          <cell r="E2604" t="str">
            <v/>
          </cell>
          <cell r="G2604" t="str">
            <v/>
          </cell>
          <cell r="J2604" t="str">
            <v/>
          </cell>
          <cell r="O2604" t="str">
            <v/>
          </cell>
          <cell r="P2604" t="str">
            <v/>
          </cell>
          <cell r="Q2604" t="str">
            <v/>
          </cell>
          <cell r="S2604" t="str">
            <v/>
          </cell>
          <cell r="V2604" t="str">
            <v/>
          </cell>
          <cell r="Z2604" t="str">
            <v/>
          </cell>
          <cell r="AA2604" t="str">
            <v/>
          </cell>
          <cell r="AB2604" t="str">
            <v/>
          </cell>
          <cell r="AC2604" t="str">
            <v/>
          </cell>
          <cell r="AD2604" t="str">
            <v/>
          </cell>
          <cell r="AY2604" t="str">
            <v/>
          </cell>
          <cell r="AZ2604" t="str">
            <v/>
          </cell>
          <cell r="BA2604" t="str">
            <v/>
          </cell>
        </row>
        <row r="2605">
          <cell r="B2605" t="str">
            <v>-</v>
          </cell>
          <cell r="E2605" t="str">
            <v/>
          </cell>
          <cell r="G2605" t="str">
            <v/>
          </cell>
          <cell r="J2605" t="str">
            <v/>
          </cell>
          <cell r="O2605" t="str">
            <v/>
          </cell>
          <cell r="P2605" t="str">
            <v/>
          </cell>
          <cell r="Q2605" t="str">
            <v/>
          </cell>
          <cell r="S2605" t="str">
            <v/>
          </cell>
          <cell r="V2605" t="str">
            <v/>
          </cell>
          <cell r="Z2605" t="str">
            <v/>
          </cell>
          <cell r="AA2605" t="str">
            <v/>
          </cell>
          <cell r="AB2605" t="str">
            <v/>
          </cell>
          <cell r="AC2605" t="str">
            <v/>
          </cell>
          <cell r="AD2605" t="str">
            <v/>
          </cell>
          <cell r="AY2605" t="str">
            <v/>
          </cell>
          <cell r="AZ2605" t="str">
            <v/>
          </cell>
          <cell r="BA2605" t="str">
            <v/>
          </cell>
        </row>
        <row r="2606">
          <cell r="B2606" t="str">
            <v>-</v>
          </cell>
          <cell r="E2606" t="str">
            <v/>
          </cell>
          <cell r="G2606" t="str">
            <v/>
          </cell>
          <cell r="J2606" t="str">
            <v/>
          </cell>
          <cell r="O2606" t="str">
            <v/>
          </cell>
          <cell r="P2606" t="str">
            <v/>
          </cell>
          <cell r="Q2606" t="str">
            <v/>
          </cell>
          <cell r="S2606" t="str">
            <v/>
          </cell>
          <cell r="V2606" t="str">
            <v/>
          </cell>
          <cell r="Z2606" t="str">
            <v/>
          </cell>
          <cell r="AA2606" t="str">
            <v/>
          </cell>
          <cell r="AB2606" t="str">
            <v/>
          </cell>
          <cell r="AC2606" t="str">
            <v/>
          </cell>
          <cell r="AD2606" t="str">
            <v/>
          </cell>
          <cell r="AY2606" t="str">
            <v/>
          </cell>
          <cell r="AZ2606" t="str">
            <v/>
          </cell>
          <cell r="BA2606" t="str">
            <v/>
          </cell>
        </row>
        <row r="2607">
          <cell r="B2607" t="str">
            <v>-</v>
          </cell>
          <cell r="E2607" t="str">
            <v/>
          </cell>
          <cell r="G2607" t="str">
            <v/>
          </cell>
          <cell r="J2607" t="str">
            <v/>
          </cell>
          <cell r="O2607" t="str">
            <v/>
          </cell>
          <cell r="P2607" t="str">
            <v/>
          </cell>
          <cell r="Q2607" t="str">
            <v/>
          </cell>
          <cell r="S2607" t="str">
            <v/>
          </cell>
          <cell r="V2607" t="str">
            <v/>
          </cell>
          <cell r="Z2607" t="str">
            <v/>
          </cell>
          <cell r="AA2607" t="str">
            <v/>
          </cell>
          <cell r="AB2607" t="str">
            <v/>
          </cell>
          <cell r="AC2607" t="str">
            <v/>
          </cell>
          <cell r="AD2607" t="str">
            <v/>
          </cell>
          <cell r="AY2607" t="str">
            <v/>
          </cell>
          <cell r="AZ2607" t="str">
            <v/>
          </cell>
          <cell r="BA2607" t="str">
            <v/>
          </cell>
        </row>
        <row r="2608">
          <cell r="B2608" t="str">
            <v>-</v>
          </cell>
          <cell r="E2608" t="str">
            <v/>
          </cell>
          <cell r="G2608" t="str">
            <v/>
          </cell>
          <cell r="J2608" t="str">
            <v/>
          </cell>
          <cell r="O2608" t="str">
            <v/>
          </cell>
          <cell r="P2608" t="str">
            <v/>
          </cell>
          <cell r="Q2608" t="str">
            <v/>
          </cell>
          <cell r="S2608" t="str">
            <v/>
          </cell>
          <cell r="V2608" t="str">
            <v/>
          </cell>
          <cell r="Z2608" t="str">
            <v/>
          </cell>
          <cell r="AA2608" t="str">
            <v/>
          </cell>
          <cell r="AB2608" t="str">
            <v/>
          </cell>
          <cell r="AC2608" t="str">
            <v/>
          </cell>
          <cell r="AD2608" t="str">
            <v/>
          </cell>
          <cell r="AY2608" t="str">
            <v/>
          </cell>
          <cell r="AZ2608" t="str">
            <v/>
          </cell>
          <cell r="BA2608" t="str">
            <v/>
          </cell>
        </row>
        <row r="2609">
          <cell r="B2609" t="str">
            <v>-</v>
          </cell>
          <cell r="E2609" t="str">
            <v/>
          </cell>
          <cell r="G2609" t="str">
            <v/>
          </cell>
          <cell r="J2609" t="str">
            <v/>
          </cell>
          <cell r="O2609" t="str">
            <v/>
          </cell>
          <cell r="P2609" t="str">
            <v/>
          </cell>
          <cell r="Q2609" t="str">
            <v/>
          </cell>
          <cell r="S2609" t="str">
            <v/>
          </cell>
          <cell r="V2609" t="str">
            <v/>
          </cell>
          <cell r="Z2609" t="str">
            <v/>
          </cell>
          <cell r="AA2609" t="str">
            <v/>
          </cell>
          <cell r="AB2609" t="str">
            <v/>
          </cell>
          <cell r="AC2609" t="str">
            <v/>
          </cell>
          <cell r="AD2609" t="str">
            <v/>
          </cell>
          <cell r="AY2609" t="str">
            <v/>
          </cell>
          <cell r="AZ2609" t="str">
            <v/>
          </cell>
          <cell r="BA2609" t="str">
            <v/>
          </cell>
        </row>
        <row r="2610">
          <cell r="B2610" t="str">
            <v>-</v>
          </cell>
          <cell r="E2610" t="str">
            <v/>
          </cell>
          <cell r="G2610" t="str">
            <v/>
          </cell>
          <cell r="J2610" t="str">
            <v/>
          </cell>
          <cell r="O2610" t="str">
            <v/>
          </cell>
          <cell r="P2610" t="str">
            <v/>
          </cell>
          <cell r="Q2610" t="str">
            <v/>
          </cell>
          <cell r="S2610" t="str">
            <v/>
          </cell>
          <cell r="V2610" t="str">
            <v/>
          </cell>
          <cell r="Z2610" t="str">
            <v/>
          </cell>
          <cell r="AA2610" t="str">
            <v/>
          </cell>
          <cell r="AB2610" t="str">
            <v/>
          </cell>
          <cell r="AC2610" t="str">
            <v/>
          </cell>
          <cell r="AD2610" t="str">
            <v/>
          </cell>
          <cell r="AY2610" t="str">
            <v/>
          </cell>
          <cell r="AZ2610" t="str">
            <v/>
          </cell>
          <cell r="BA2610" t="str">
            <v/>
          </cell>
        </row>
        <row r="2611">
          <cell r="B2611" t="str">
            <v>-</v>
          </cell>
          <cell r="E2611" t="str">
            <v/>
          </cell>
          <cell r="G2611" t="str">
            <v/>
          </cell>
          <cell r="J2611" t="str">
            <v/>
          </cell>
          <cell r="O2611" t="str">
            <v/>
          </cell>
          <cell r="P2611" t="str">
            <v/>
          </cell>
          <cell r="Q2611" t="str">
            <v/>
          </cell>
          <cell r="S2611" t="str">
            <v/>
          </cell>
          <cell r="V2611" t="str">
            <v/>
          </cell>
          <cell r="Z2611" t="str">
            <v/>
          </cell>
          <cell r="AA2611" t="str">
            <v/>
          </cell>
          <cell r="AB2611" t="str">
            <v/>
          </cell>
          <cell r="AC2611" t="str">
            <v/>
          </cell>
          <cell r="AD2611" t="str">
            <v/>
          </cell>
          <cell r="AY2611" t="str">
            <v/>
          </cell>
          <cell r="AZ2611" t="str">
            <v/>
          </cell>
          <cell r="BA2611" t="str">
            <v/>
          </cell>
        </row>
        <row r="2612">
          <cell r="B2612" t="str">
            <v>-</v>
          </cell>
          <cell r="E2612" t="str">
            <v/>
          </cell>
          <cell r="G2612" t="str">
            <v/>
          </cell>
          <cell r="J2612" t="str">
            <v/>
          </cell>
          <cell r="O2612" t="str">
            <v/>
          </cell>
          <cell r="P2612" t="str">
            <v/>
          </cell>
          <cell r="Q2612" t="str">
            <v/>
          </cell>
          <cell r="S2612" t="str">
            <v/>
          </cell>
          <cell r="V2612" t="str">
            <v/>
          </cell>
          <cell r="Z2612" t="str">
            <v/>
          </cell>
          <cell r="AA2612" t="str">
            <v/>
          </cell>
          <cell r="AB2612" t="str">
            <v/>
          </cell>
          <cell r="AC2612" t="str">
            <v/>
          </cell>
          <cell r="AD2612" t="str">
            <v/>
          </cell>
          <cell r="AY2612" t="str">
            <v/>
          </cell>
          <cell r="AZ2612" t="str">
            <v/>
          </cell>
          <cell r="BA2612" t="str">
            <v/>
          </cell>
        </row>
        <row r="2613">
          <cell r="B2613" t="str">
            <v>-</v>
          </cell>
          <cell r="E2613" t="str">
            <v/>
          </cell>
          <cell r="G2613" t="str">
            <v/>
          </cell>
          <cell r="J2613" t="str">
            <v/>
          </cell>
          <cell r="O2613" t="str">
            <v/>
          </cell>
          <cell r="P2613" t="str">
            <v/>
          </cell>
          <cell r="Q2613" t="str">
            <v/>
          </cell>
          <cell r="S2613" t="str">
            <v/>
          </cell>
          <cell r="V2613" t="str">
            <v/>
          </cell>
          <cell r="Z2613" t="str">
            <v/>
          </cell>
          <cell r="AA2613" t="str">
            <v/>
          </cell>
          <cell r="AB2613" t="str">
            <v/>
          </cell>
          <cell r="AC2613" t="str">
            <v/>
          </cell>
          <cell r="AD2613" t="str">
            <v/>
          </cell>
          <cell r="AY2613" t="str">
            <v/>
          </cell>
          <cell r="AZ2613" t="str">
            <v/>
          </cell>
          <cell r="BA2613" t="str">
            <v/>
          </cell>
        </row>
        <row r="2614">
          <cell r="B2614" t="str">
            <v>-</v>
          </cell>
          <cell r="E2614" t="str">
            <v/>
          </cell>
          <cell r="G2614" t="str">
            <v/>
          </cell>
          <cell r="J2614" t="str">
            <v/>
          </cell>
          <cell r="O2614" t="str">
            <v/>
          </cell>
          <cell r="P2614" t="str">
            <v/>
          </cell>
          <cell r="Q2614" t="str">
            <v/>
          </cell>
          <cell r="S2614" t="str">
            <v/>
          </cell>
          <cell r="V2614" t="str">
            <v/>
          </cell>
          <cell r="Z2614" t="str">
            <v/>
          </cell>
          <cell r="AA2614" t="str">
            <v/>
          </cell>
          <cell r="AB2614" t="str">
            <v/>
          </cell>
          <cell r="AC2614" t="str">
            <v/>
          </cell>
          <cell r="AD2614" t="str">
            <v/>
          </cell>
          <cell r="AY2614" t="str">
            <v/>
          </cell>
          <cell r="AZ2614" t="str">
            <v/>
          </cell>
          <cell r="BA2614" t="str">
            <v/>
          </cell>
        </row>
        <row r="2615">
          <cell r="B2615" t="str">
            <v>-</v>
          </cell>
          <cell r="E2615" t="str">
            <v/>
          </cell>
          <cell r="G2615" t="str">
            <v/>
          </cell>
          <cell r="J2615" t="str">
            <v/>
          </cell>
          <cell r="O2615" t="str">
            <v/>
          </cell>
          <cell r="P2615" t="str">
            <v/>
          </cell>
          <cell r="Q2615" t="str">
            <v/>
          </cell>
          <cell r="S2615" t="str">
            <v/>
          </cell>
          <cell r="V2615" t="str">
            <v/>
          </cell>
          <cell r="Z2615" t="str">
            <v/>
          </cell>
          <cell r="AA2615" t="str">
            <v/>
          </cell>
          <cell r="AB2615" t="str">
            <v/>
          </cell>
          <cell r="AC2615" t="str">
            <v/>
          </cell>
          <cell r="AD2615" t="str">
            <v/>
          </cell>
          <cell r="AY2615" t="str">
            <v/>
          </cell>
          <cell r="AZ2615" t="str">
            <v/>
          </cell>
          <cell r="BA2615" t="str">
            <v/>
          </cell>
        </row>
        <row r="2616">
          <cell r="B2616" t="str">
            <v>-</v>
          </cell>
          <cell r="E2616" t="str">
            <v/>
          </cell>
          <cell r="G2616" t="str">
            <v/>
          </cell>
          <cell r="J2616" t="str">
            <v/>
          </cell>
          <cell r="O2616" t="str">
            <v/>
          </cell>
          <cell r="P2616" t="str">
            <v/>
          </cell>
          <cell r="Q2616" t="str">
            <v/>
          </cell>
          <cell r="S2616" t="str">
            <v/>
          </cell>
          <cell r="V2616" t="str">
            <v/>
          </cell>
          <cell r="Z2616" t="str">
            <v/>
          </cell>
          <cell r="AA2616" t="str">
            <v/>
          </cell>
          <cell r="AB2616" t="str">
            <v/>
          </cell>
          <cell r="AC2616" t="str">
            <v/>
          </cell>
          <cell r="AD2616" t="str">
            <v/>
          </cell>
          <cell r="AY2616" t="str">
            <v/>
          </cell>
          <cell r="AZ2616" t="str">
            <v/>
          </cell>
          <cell r="BA2616" t="str">
            <v/>
          </cell>
        </row>
        <row r="2617">
          <cell r="B2617" t="str">
            <v>-</v>
          </cell>
          <cell r="E2617" t="str">
            <v/>
          </cell>
          <cell r="G2617" t="str">
            <v/>
          </cell>
          <cell r="J2617" t="str">
            <v/>
          </cell>
          <cell r="O2617" t="str">
            <v/>
          </cell>
          <cell r="P2617" t="str">
            <v/>
          </cell>
          <cell r="Q2617" t="str">
            <v/>
          </cell>
          <cell r="S2617" t="str">
            <v/>
          </cell>
          <cell r="V2617" t="str">
            <v/>
          </cell>
          <cell r="Z2617" t="str">
            <v/>
          </cell>
          <cell r="AA2617" t="str">
            <v/>
          </cell>
          <cell r="AB2617" t="str">
            <v/>
          </cell>
          <cell r="AC2617" t="str">
            <v/>
          </cell>
          <cell r="AD2617" t="str">
            <v/>
          </cell>
          <cell r="AY2617" t="str">
            <v/>
          </cell>
          <cell r="AZ2617" t="str">
            <v/>
          </cell>
          <cell r="BA2617" t="str">
            <v/>
          </cell>
        </row>
        <row r="2618">
          <cell r="B2618" t="str">
            <v>-</v>
          </cell>
          <cell r="E2618" t="str">
            <v/>
          </cell>
          <cell r="G2618" t="str">
            <v/>
          </cell>
          <cell r="J2618" t="str">
            <v/>
          </cell>
          <cell r="O2618" t="str">
            <v/>
          </cell>
          <cell r="P2618" t="str">
            <v/>
          </cell>
          <cell r="Q2618" t="str">
            <v/>
          </cell>
          <cell r="S2618" t="str">
            <v/>
          </cell>
          <cell r="V2618" t="str">
            <v/>
          </cell>
          <cell r="Z2618" t="str">
            <v/>
          </cell>
          <cell r="AA2618" t="str">
            <v/>
          </cell>
          <cell r="AB2618" t="str">
            <v/>
          </cell>
          <cell r="AC2618" t="str">
            <v/>
          </cell>
          <cell r="AD2618" t="str">
            <v/>
          </cell>
          <cell r="AY2618" t="str">
            <v/>
          </cell>
          <cell r="AZ2618" t="str">
            <v/>
          </cell>
          <cell r="BA2618" t="str">
            <v/>
          </cell>
        </row>
        <row r="2619">
          <cell r="B2619" t="str">
            <v>-</v>
          </cell>
          <cell r="E2619" t="str">
            <v/>
          </cell>
          <cell r="G2619" t="str">
            <v/>
          </cell>
          <cell r="J2619" t="str">
            <v/>
          </cell>
          <cell r="O2619" t="str">
            <v/>
          </cell>
          <cell r="P2619" t="str">
            <v/>
          </cell>
          <cell r="Q2619" t="str">
            <v/>
          </cell>
          <cell r="S2619" t="str">
            <v/>
          </cell>
          <cell r="V2619" t="str">
            <v/>
          </cell>
          <cell r="Z2619" t="str">
            <v/>
          </cell>
          <cell r="AA2619" t="str">
            <v/>
          </cell>
          <cell r="AB2619" t="str">
            <v/>
          </cell>
          <cell r="AC2619" t="str">
            <v/>
          </cell>
          <cell r="AD2619" t="str">
            <v/>
          </cell>
          <cell r="AY2619" t="str">
            <v/>
          </cell>
          <cell r="AZ2619" t="str">
            <v/>
          </cell>
          <cell r="BA2619" t="str">
            <v/>
          </cell>
        </row>
        <row r="2620">
          <cell r="B2620" t="str">
            <v>-</v>
          </cell>
          <cell r="E2620" t="str">
            <v/>
          </cell>
          <cell r="G2620" t="str">
            <v/>
          </cell>
          <cell r="J2620" t="str">
            <v/>
          </cell>
          <cell r="O2620" t="str">
            <v/>
          </cell>
          <cell r="P2620" t="str">
            <v/>
          </cell>
          <cell r="Q2620" t="str">
            <v/>
          </cell>
          <cell r="S2620" t="str">
            <v/>
          </cell>
          <cell r="V2620" t="str">
            <v/>
          </cell>
          <cell r="Z2620" t="str">
            <v/>
          </cell>
          <cell r="AA2620" t="str">
            <v/>
          </cell>
          <cell r="AB2620" t="str">
            <v/>
          </cell>
          <cell r="AC2620" t="str">
            <v/>
          </cell>
          <cell r="AD2620" t="str">
            <v/>
          </cell>
          <cell r="AY2620" t="str">
            <v/>
          </cell>
          <cell r="AZ2620" t="str">
            <v/>
          </cell>
          <cell r="BA2620" t="str">
            <v/>
          </cell>
        </row>
        <row r="2621">
          <cell r="B2621" t="str">
            <v>-</v>
          </cell>
          <cell r="E2621" t="str">
            <v/>
          </cell>
          <cell r="G2621" t="str">
            <v/>
          </cell>
          <cell r="J2621" t="str">
            <v/>
          </cell>
          <cell r="O2621" t="str">
            <v/>
          </cell>
          <cell r="P2621" t="str">
            <v/>
          </cell>
          <cell r="Q2621" t="str">
            <v/>
          </cell>
          <cell r="S2621" t="str">
            <v/>
          </cell>
          <cell r="V2621" t="str">
            <v/>
          </cell>
          <cell r="Z2621" t="str">
            <v/>
          </cell>
          <cell r="AA2621" t="str">
            <v/>
          </cell>
          <cell r="AB2621" t="str">
            <v/>
          </cell>
          <cell r="AC2621" t="str">
            <v/>
          </cell>
          <cell r="AD2621" t="str">
            <v/>
          </cell>
          <cell r="AY2621" t="str">
            <v/>
          </cell>
          <cell r="AZ2621" t="str">
            <v/>
          </cell>
          <cell r="BA2621" t="str">
            <v/>
          </cell>
        </row>
        <row r="2622">
          <cell r="B2622" t="str">
            <v>-</v>
          </cell>
          <cell r="E2622" t="str">
            <v/>
          </cell>
          <cell r="G2622" t="str">
            <v/>
          </cell>
          <cell r="J2622" t="str">
            <v/>
          </cell>
          <cell r="O2622" t="str">
            <v/>
          </cell>
          <cell r="P2622" t="str">
            <v/>
          </cell>
          <cell r="Q2622" t="str">
            <v/>
          </cell>
          <cell r="S2622" t="str">
            <v/>
          </cell>
          <cell r="V2622" t="str">
            <v/>
          </cell>
          <cell r="Z2622" t="str">
            <v/>
          </cell>
          <cell r="AA2622" t="str">
            <v/>
          </cell>
          <cell r="AB2622" t="str">
            <v/>
          </cell>
          <cell r="AC2622" t="str">
            <v/>
          </cell>
          <cell r="AD2622" t="str">
            <v/>
          </cell>
          <cell r="AY2622" t="str">
            <v/>
          </cell>
          <cell r="AZ2622" t="str">
            <v/>
          </cell>
          <cell r="BA2622" t="str">
            <v/>
          </cell>
        </row>
        <row r="2623">
          <cell r="B2623" t="str">
            <v>-</v>
          </cell>
          <cell r="E2623" t="str">
            <v/>
          </cell>
          <cell r="G2623" t="str">
            <v/>
          </cell>
          <cell r="J2623" t="str">
            <v/>
          </cell>
          <cell r="O2623" t="str">
            <v/>
          </cell>
          <cell r="P2623" t="str">
            <v/>
          </cell>
          <cell r="Q2623" t="str">
            <v/>
          </cell>
          <cell r="S2623" t="str">
            <v/>
          </cell>
          <cell r="V2623" t="str">
            <v/>
          </cell>
          <cell r="Z2623" t="str">
            <v/>
          </cell>
          <cell r="AA2623" t="str">
            <v/>
          </cell>
          <cell r="AB2623" t="str">
            <v/>
          </cell>
          <cell r="AC2623" t="str">
            <v/>
          </cell>
          <cell r="AD2623" t="str">
            <v/>
          </cell>
          <cell r="AY2623" t="str">
            <v/>
          </cell>
          <cell r="AZ2623" t="str">
            <v/>
          </cell>
          <cell r="BA2623" t="str">
            <v/>
          </cell>
        </row>
        <row r="2624">
          <cell r="B2624" t="str">
            <v>-</v>
          </cell>
          <cell r="E2624" t="str">
            <v/>
          </cell>
          <cell r="G2624" t="str">
            <v/>
          </cell>
          <cell r="J2624" t="str">
            <v/>
          </cell>
          <cell r="O2624" t="str">
            <v/>
          </cell>
          <cell r="P2624" t="str">
            <v/>
          </cell>
          <cell r="Q2624" t="str">
            <v/>
          </cell>
          <cell r="S2624" t="str">
            <v/>
          </cell>
          <cell r="V2624" t="str">
            <v/>
          </cell>
          <cell r="Z2624" t="str">
            <v/>
          </cell>
          <cell r="AA2624" t="str">
            <v/>
          </cell>
          <cell r="AB2624" t="str">
            <v/>
          </cell>
          <cell r="AC2624" t="str">
            <v/>
          </cell>
          <cell r="AD2624" t="str">
            <v/>
          </cell>
          <cell r="AY2624" t="str">
            <v/>
          </cell>
          <cell r="AZ2624" t="str">
            <v/>
          </cell>
          <cell r="BA2624" t="str">
            <v/>
          </cell>
        </row>
        <row r="2625">
          <cell r="B2625" t="str">
            <v>-</v>
          </cell>
          <cell r="E2625" t="str">
            <v/>
          </cell>
          <cell r="G2625" t="str">
            <v/>
          </cell>
          <cell r="J2625" t="str">
            <v/>
          </cell>
          <cell r="O2625" t="str">
            <v/>
          </cell>
          <cell r="P2625" t="str">
            <v/>
          </cell>
          <cell r="Q2625" t="str">
            <v/>
          </cell>
          <cell r="S2625" t="str">
            <v/>
          </cell>
          <cell r="V2625" t="str">
            <v/>
          </cell>
          <cell r="Z2625" t="str">
            <v/>
          </cell>
          <cell r="AA2625" t="str">
            <v/>
          </cell>
          <cell r="AB2625" t="str">
            <v/>
          </cell>
          <cell r="AC2625" t="str">
            <v/>
          </cell>
          <cell r="AD2625" t="str">
            <v/>
          </cell>
          <cell r="AY2625" t="str">
            <v/>
          </cell>
          <cell r="AZ2625" t="str">
            <v/>
          </cell>
          <cell r="BA2625" t="str">
            <v/>
          </cell>
        </row>
        <row r="2626">
          <cell r="B2626" t="str">
            <v>-</v>
          </cell>
          <cell r="E2626" t="str">
            <v/>
          </cell>
          <cell r="G2626" t="str">
            <v/>
          </cell>
          <cell r="J2626" t="str">
            <v/>
          </cell>
          <cell r="O2626" t="str">
            <v/>
          </cell>
          <cell r="P2626" t="str">
            <v/>
          </cell>
          <cell r="Q2626" t="str">
            <v/>
          </cell>
          <cell r="S2626" t="str">
            <v/>
          </cell>
          <cell r="V2626" t="str">
            <v/>
          </cell>
          <cell r="Z2626" t="str">
            <v/>
          </cell>
          <cell r="AA2626" t="str">
            <v/>
          </cell>
          <cell r="AB2626" t="str">
            <v/>
          </cell>
          <cell r="AC2626" t="str">
            <v/>
          </cell>
          <cell r="AD2626" t="str">
            <v/>
          </cell>
          <cell r="AY2626" t="str">
            <v/>
          </cell>
          <cell r="AZ2626" t="str">
            <v/>
          </cell>
          <cell r="BA2626" t="str">
            <v/>
          </cell>
        </row>
        <row r="2627">
          <cell r="B2627" t="str">
            <v>-</v>
          </cell>
          <cell r="E2627" t="str">
            <v/>
          </cell>
          <cell r="G2627" t="str">
            <v/>
          </cell>
          <cell r="J2627" t="str">
            <v/>
          </cell>
          <cell r="O2627" t="str">
            <v/>
          </cell>
          <cell r="P2627" t="str">
            <v/>
          </cell>
          <cell r="Q2627" t="str">
            <v/>
          </cell>
          <cell r="S2627" t="str">
            <v/>
          </cell>
          <cell r="V2627" t="str">
            <v/>
          </cell>
          <cell r="Z2627" t="str">
            <v/>
          </cell>
          <cell r="AA2627" t="str">
            <v/>
          </cell>
          <cell r="AB2627" t="str">
            <v/>
          </cell>
          <cell r="AC2627" t="str">
            <v/>
          </cell>
          <cell r="AD2627" t="str">
            <v/>
          </cell>
          <cell r="AY2627" t="str">
            <v/>
          </cell>
          <cell r="AZ2627" t="str">
            <v/>
          </cell>
          <cell r="BA2627" t="str">
            <v/>
          </cell>
        </row>
        <row r="2628">
          <cell r="B2628" t="str">
            <v>-</v>
          </cell>
          <cell r="E2628" t="str">
            <v/>
          </cell>
          <cell r="G2628" t="str">
            <v/>
          </cell>
          <cell r="J2628" t="str">
            <v/>
          </cell>
          <cell r="O2628" t="str">
            <v/>
          </cell>
          <cell r="P2628" t="str">
            <v/>
          </cell>
          <cell r="Q2628" t="str">
            <v/>
          </cell>
          <cell r="S2628" t="str">
            <v/>
          </cell>
          <cell r="V2628" t="str">
            <v/>
          </cell>
          <cell r="Z2628" t="str">
            <v/>
          </cell>
          <cell r="AA2628" t="str">
            <v/>
          </cell>
          <cell r="AB2628" t="str">
            <v/>
          </cell>
          <cell r="AC2628" t="str">
            <v/>
          </cell>
          <cell r="AD2628" t="str">
            <v/>
          </cell>
          <cell r="AY2628" t="str">
            <v/>
          </cell>
          <cell r="AZ2628" t="str">
            <v/>
          </cell>
          <cell r="BA2628" t="str">
            <v/>
          </cell>
        </row>
        <row r="2629">
          <cell r="B2629" t="str">
            <v>-</v>
          </cell>
          <cell r="E2629" t="str">
            <v/>
          </cell>
          <cell r="G2629" t="str">
            <v/>
          </cell>
          <cell r="J2629" t="str">
            <v/>
          </cell>
          <cell r="O2629" t="str">
            <v/>
          </cell>
          <cell r="P2629" t="str">
            <v/>
          </cell>
          <cell r="Q2629" t="str">
            <v/>
          </cell>
          <cell r="S2629" t="str">
            <v/>
          </cell>
          <cell r="V2629" t="str">
            <v/>
          </cell>
          <cell r="Z2629" t="str">
            <v/>
          </cell>
          <cell r="AA2629" t="str">
            <v/>
          </cell>
          <cell r="AB2629" t="str">
            <v/>
          </cell>
          <cell r="AC2629" t="str">
            <v/>
          </cell>
          <cell r="AD2629" t="str">
            <v/>
          </cell>
          <cell r="AY2629" t="str">
            <v/>
          </cell>
          <cell r="AZ2629" t="str">
            <v/>
          </cell>
          <cell r="BA2629" t="str">
            <v/>
          </cell>
        </row>
        <row r="2630">
          <cell r="B2630" t="str">
            <v>-</v>
          </cell>
          <cell r="E2630" t="str">
            <v/>
          </cell>
          <cell r="G2630" t="str">
            <v/>
          </cell>
          <cell r="J2630" t="str">
            <v/>
          </cell>
          <cell r="O2630" t="str">
            <v/>
          </cell>
          <cell r="P2630" t="str">
            <v/>
          </cell>
          <cell r="Q2630" t="str">
            <v/>
          </cell>
          <cell r="S2630" t="str">
            <v/>
          </cell>
          <cell r="V2630" t="str">
            <v/>
          </cell>
          <cell r="Z2630" t="str">
            <v/>
          </cell>
          <cell r="AA2630" t="str">
            <v/>
          </cell>
          <cell r="AB2630" t="str">
            <v/>
          </cell>
          <cell r="AC2630" t="str">
            <v/>
          </cell>
          <cell r="AD2630" t="str">
            <v/>
          </cell>
          <cell r="AY2630" t="str">
            <v/>
          </cell>
          <cell r="AZ2630" t="str">
            <v/>
          </cell>
          <cell r="BA2630" t="str">
            <v/>
          </cell>
        </row>
        <row r="2631">
          <cell r="B2631" t="str">
            <v>-</v>
          </cell>
          <cell r="E2631" t="str">
            <v/>
          </cell>
          <cell r="G2631" t="str">
            <v/>
          </cell>
          <cell r="J2631" t="str">
            <v/>
          </cell>
          <cell r="O2631" t="str">
            <v/>
          </cell>
          <cell r="P2631" t="str">
            <v/>
          </cell>
          <cell r="Q2631" t="str">
            <v/>
          </cell>
          <cell r="S2631" t="str">
            <v/>
          </cell>
          <cell r="V2631" t="str">
            <v/>
          </cell>
          <cell r="Z2631" t="str">
            <v/>
          </cell>
          <cell r="AA2631" t="str">
            <v/>
          </cell>
          <cell r="AB2631" t="str">
            <v/>
          </cell>
          <cell r="AC2631" t="str">
            <v/>
          </cell>
          <cell r="AD2631" t="str">
            <v/>
          </cell>
          <cell r="AY2631" t="str">
            <v/>
          </cell>
          <cell r="AZ2631" t="str">
            <v/>
          </cell>
          <cell r="BA2631" t="str">
            <v/>
          </cell>
        </row>
        <row r="2632">
          <cell r="B2632" t="str">
            <v>-</v>
          </cell>
          <cell r="E2632" t="str">
            <v/>
          </cell>
          <cell r="G2632" t="str">
            <v/>
          </cell>
          <cell r="J2632" t="str">
            <v/>
          </cell>
          <cell r="O2632" t="str">
            <v/>
          </cell>
          <cell r="P2632" t="str">
            <v/>
          </cell>
          <cell r="Q2632" t="str">
            <v/>
          </cell>
          <cell r="S2632" t="str">
            <v/>
          </cell>
          <cell r="V2632" t="str">
            <v/>
          </cell>
          <cell r="Z2632" t="str">
            <v/>
          </cell>
          <cell r="AA2632" t="str">
            <v/>
          </cell>
          <cell r="AB2632" t="str">
            <v/>
          </cell>
          <cell r="AC2632" t="str">
            <v/>
          </cell>
          <cell r="AD2632" t="str">
            <v/>
          </cell>
          <cell r="AY2632" t="str">
            <v/>
          </cell>
          <cell r="AZ2632" t="str">
            <v/>
          </cell>
          <cell r="BA2632" t="str">
            <v/>
          </cell>
        </row>
        <row r="2633">
          <cell r="B2633" t="str">
            <v>-</v>
          </cell>
          <cell r="E2633" t="str">
            <v/>
          </cell>
          <cell r="G2633" t="str">
            <v/>
          </cell>
          <cell r="J2633" t="str">
            <v/>
          </cell>
          <cell r="O2633" t="str">
            <v/>
          </cell>
          <cell r="P2633" t="str">
            <v/>
          </cell>
          <cell r="Q2633" t="str">
            <v/>
          </cell>
          <cell r="S2633" t="str">
            <v/>
          </cell>
          <cell r="V2633" t="str">
            <v/>
          </cell>
          <cell r="Z2633" t="str">
            <v/>
          </cell>
          <cell r="AA2633" t="str">
            <v/>
          </cell>
          <cell r="AB2633" t="str">
            <v/>
          </cell>
          <cell r="AC2633" t="str">
            <v/>
          </cell>
          <cell r="AD2633" t="str">
            <v/>
          </cell>
          <cell r="AY2633" t="str">
            <v/>
          </cell>
          <cell r="AZ2633" t="str">
            <v/>
          </cell>
          <cell r="BA2633" t="str">
            <v/>
          </cell>
        </row>
        <row r="2634">
          <cell r="B2634" t="str">
            <v>-</v>
          </cell>
          <cell r="E2634" t="str">
            <v/>
          </cell>
          <cell r="G2634" t="str">
            <v/>
          </cell>
          <cell r="J2634" t="str">
            <v/>
          </cell>
          <cell r="O2634" t="str">
            <v/>
          </cell>
          <cell r="P2634" t="str">
            <v/>
          </cell>
          <cell r="Q2634" t="str">
            <v/>
          </cell>
          <cell r="S2634" t="str">
            <v/>
          </cell>
          <cell r="V2634" t="str">
            <v/>
          </cell>
          <cell r="Z2634" t="str">
            <v/>
          </cell>
          <cell r="AA2634" t="str">
            <v/>
          </cell>
          <cell r="AB2634" t="str">
            <v/>
          </cell>
          <cell r="AC2634" t="str">
            <v/>
          </cell>
          <cell r="AD2634" t="str">
            <v/>
          </cell>
          <cell r="AY2634" t="str">
            <v/>
          </cell>
          <cell r="AZ2634" t="str">
            <v/>
          </cell>
          <cell r="BA2634" t="str">
            <v/>
          </cell>
        </row>
        <row r="2635">
          <cell r="B2635" t="str">
            <v>-</v>
          </cell>
          <cell r="E2635" t="str">
            <v/>
          </cell>
          <cell r="G2635" t="str">
            <v/>
          </cell>
          <cell r="J2635" t="str">
            <v/>
          </cell>
          <cell r="O2635" t="str">
            <v/>
          </cell>
          <cell r="P2635" t="str">
            <v/>
          </cell>
          <cell r="Q2635" t="str">
            <v/>
          </cell>
          <cell r="S2635" t="str">
            <v/>
          </cell>
          <cell r="V2635" t="str">
            <v/>
          </cell>
          <cell r="Z2635" t="str">
            <v/>
          </cell>
          <cell r="AA2635" t="str">
            <v/>
          </cell>
          <cell r="AB2635" t="str">
            <v/>
          </cell>
          <cell r="AC2635" t="str">
            <v/>
          </cell>
          <cell r="AD2635" t="str">
            <v/>
          </cell>
          <cell r="AY2635" t="str">
            <v/>
          </cell>
          <cell r="AZ2635" t="str">
            <v/>
          </cell>
          <cell r="BA2635" t="str">
            <v/>
          </cell>
        </row>
        <row r="2636">
          <cell r="B2636" t="str">
            <v>-</v>
          </cell>
          <cell r="E2636" t="str">
            <v/>
          </cell>
          <cell r="G2636" t="str">
            <v/>
          </cell>
          <cell r="J2636" t="str">
            <v/>
          </cell>
          <cell r="O2636" t="str">
            <v/>
          </cell>
          <cell r="P2636" t="str">
            <v/>
          </cell>
          <cell r="Q2636" t="str">
            <v/>
          </cell>
          <cell r="S2636" t="str">
            <v/>
          </cell>
          <cell r="V2636" t="str">
            <v/>
          </cell>
          <cell r="Z2636" t="str">
            <v/>
          </cell>
          <cell r="AA2636" t="str">
            <v/>
          </cell>
          <cell r="AB2636" t="str">
            <v/>
          </cell>
          <cell r="AC2636" t="str">
            <v/>
          </cell>
          <cell r="AD2636" t="str">
            <v/>
          </cell>
          <cell r="AY2636" t="str">
            <v/>
          </cell>
          <cell r="AZ2636" t="str">
            <v/>
          </cell>
          <cell r="BA2636" t="str">
            <v/>
          </cell>
        </row>
        <row r="2637">
          <cell r="B2637" t="str">
            <v>-</v>
          </cell>
          <cell r="E2637" t="str">
            <v/>
          </cell>
          <cell r="G2637" t="str">
            <v/>
          </cell>
          <cell r="J2637" t="str">
            <v/>
          </cell>
          <cell r="O2637" t="str">
            <v/>
          </cell>
          <cell r="P2637" t="str">
            <v/>
          </cell>
          <cell r="Q2637" t="str">
            <v/>
          </cell>
          <cell r="S2637" t="str">
            <v/>
          </cell>
          <cell r="V2637" t="str">
            <v/>
          </cell>
          <cell r="Z2637" t="str">
            <v/>
          </cell>
          <cell r="AA2637" t="str">
            <v/>
          </cell>
          <cell r="AB2637" t="str">
            <v/>
          </cell>
          <cell r="AC2637" t="str">
            <v/>
          </cell>
          <cell r="AD2637" t="str">
            <v/>
          </cell>
          <cell r="AY2637" t="str">
            <v/>
          </cell>
          <cell r="AZ2637" t="str">
            <v/>
          </cell>
          <cell r="BA2637" t="str">
            <v/>
          </cell>
        </row>
        <row r="2638">
          <cell r="B2638" t="str">
            <v>-</v>
          </cell>
          <cell r="E2638" t="str">
            <v/>
          </cell>
          <cell r="G2638" t="str">
            <v/>
          </cell>
          <cell r="J2638" t="str">
            <v/>
          </cell>
          <cell r="O2638" t="str">
            <v/>
          </cell>
          <cell r="P2638" t="str">
            <v/>
          </cell>
          <cell r="Q2638" t="str">
            <v/>
          </cell>
          <cell r="S2638" t="str">
            <v/>
          </cell>
          <cell r="V2638" t="str">
            <v/>
          </cell>
          <cell r="Z2638" t="str">
            <v/>
          </cell>
          <cell r="AA2638" t="str">
            <v/>
          </cell>
          <cell r="AB2638" t="str">
            <v/>
          </cell>
          <cell r="AC2638" t="str">
            <v/>
          </cell>
          <cell r="AD2638" t="str">
            <v/>
          </cell>
          <cell r="AY2638" t="str">
            <v/>
          </cell>
          <cell r="AZ2638" t="str">
            <v/>
          </cell>
          <cell r="BA2638" t="str">
            <v/>
          </cell>
        </row>
        <row r="2639">
          <cell r="B2639" t="str">
            <v>-</v>
          </cell>
          <cell r="E2639" t="str">
            <v/>
          </cell>
          <cell r="G2639" t="str">
            <v/>
          </cell>
          <cell r="J2639" t="str">
            <v/>
          </cell>
          <cell r="O2639" t="str">
            <v/>
          </cell>
          <cell r="P2639" t="str">
            <v/>
          </cell>
          <cell r="Q2639" t="str">
            <v/>
          </cell>
          <cell r="S2639" t="str">
            <v/>
          </cell>
          <cell r="V2639" t="str">
            <v/>
          </cell>
          <cell r="Z2639" t="str">
            <v/>
          </cell>
          <cell r="AA2639" t="str">
            <v/>
          </cell>
          <cell r="AB2639" t="str">
            <v/>
          </cell>
          <cell r="AC2639" t="str">
            <v/>
          </cell>
          <cell r="AD2639" t="str">
            <v/>
          </cell>
          <cell r="AY2639" t="str">
            <v/>
          </cell>
          <cell r="AZ2639" t="str">
            <v/>
          </cell>
          <cell r="BA2639" t="str">
            <v/>
          </cell>
        </row>
        <row r="2640">
          <cell r="B2640" t="str">
            <v>-</v>
          </cell>
          <cell r="E2640" t="str">
            <v/>
          </cell>
          <cell r="G2640" t="str">
            <v/>
          </cell>
          <cell r="J2640" t="str">
            <v/>
          </cell>
          <cell r="O2640" t="str">
            <v/>
          </cell>
          <cell r="P2640" t="str">
            <v/>
          </cell>
          <cell r="Q2640" t="str">
            <v/>
          </cell>
          <cell r="S2640" t="str">
            <v/>
          </cell>
          <cell r="V2640" t="str">
            <v/>
          </cell>
          <cell r="Z2640" t="str">
            <v/>
          </cell>
          <cell r="AA2640" t="str">
            <v/>
          </cell>
          <cell r="AB2640" t="str">
            <v/>
          </cell>
          <cell r="AC2640" t="str">
            <v/>
          </cell>
          <cell r="AD2640" t="str">
            <v/>
          </cell>
          <cell r="AY2640" t="str">
            <v/>
          </cell>
          <cell r="AZ2640" t="str">
            <v/>
          </cell>
          <cell r="BA2640" t="str">
            <v/>
          </cell>
        </row>
        <row r="2641">
          <cell r="B2641" t="str">
            <v>-</v>
          </cell>
          <cell r="E2641" t="str">
            <v/>
          </cell>
          <cell r="G2641" t="str">
            <v/>
          </cell>
          <cell r="J2641" t="str">
            <v/>
          </cell>
          <cell r="O2641" t="str">
            <v/>
          </cell>
          <cell r="P2641" t="str">
            <v/>
          </cell>
          <cell r="Q2641" t="str">
            <v/>
          </cell>
          <cell r="S2641" t="str">
            <v/>
          </cell>
          <cell r="V2641" t="str">
            <v/>
          </cell>
          <cell r="Z2641" t="str">
            <v/>
          </cell>
          <cell r="AA2641" t="str">
            <v/>
          </cell>
          <cell r="AB2641" t="str">
            <v/>
          </cell>
          <cell r="AC2641" t="str">
            <v/>
          </cell>
          <cell r="AD2641" t="str">
            <v/>
          </cell>
          <cell r="AY2641" t="str">
            <v/>
          </cell>
          <cell r="AZ2641" t="str">
            <v/>
          </cell>
          <cell r="BA2641" t="str">
            <v/>
          </cell>
        </row>
        <row r="2642">
          <cell r="B2642" t="str">
            <v>-</v>
          </cell>
          <cell r="E2642" t="str">
            <v/>
          </cell>
          <cell r="G2642" t="str">
            <v/>
          </cell>
          <cell r="J2642" t="str">
            <v/>
          </cell>
          <cell r="O2642" t="str">
            <v/>
          </cell>
          <cell r="P2642" t="str">
            <v/>
          </cell>
          <cell r="Q2642" t="str">
            <v/>
          </cell>
          <cell r="S2642" t="str">
            <v/>
          </cell>
          <cell r="V2642" t="str">
            <v/>
          </cell>
          <cell r="Z2642" t="str">
            <v/>
          </cell>
          <cell r="AA2642" t="str">
            <v/>
          </cell>
          <cell r="AB2642" t="str">
            <v/>
          </cell>
          <cell r="AC2642" t="str">
            <v/>
          </cell>
          <cell r="AD2642" t="str">
            <v/>
          </cell>
          <cell r="AY2642" t="str">
            <v/>
          </cell>
          <cell r="AZ2642" t="str">
            <v/>
          </cell>
          <cell r="BA2642" t="str">
            <v/>
          </cell>
        </row>
        <row r="2643">
          <cell r="B2643" t="str">
            <v>-</v>
          </cell>
          <cell r="E2643" t="str">
            <v/>
          </cell>
          <cell r="G2643" t="str">
            <v/>
          </cell>
          <cell r="J2643" t="str">
            <v/>
          </cell>
          <cell r="O2643" t="str">
            <v/>
          </cell>
          <cell r="P2643" t="str">
            <v/>
          </cell>
          <cell r="Q2643" t="str">
            <v/>
          </cell>
          <cell r="S2643" t="str">
            <v/>
          </cell>
          <cell r="V2643" t="str">
            <v/>
          </cell>
          <cell r="Z2643" t="str">
            <v/>
          </cell>
          <cell r="AA2643" t="str">
            <v/>
          </cell>
          <cell r="AB2643" t="str">
            <v/>
          </cell>
          <cell r="AC2643" t="str">
            <v/>
          </cell>
          <cell r="AD2643" t="str">
            <v/>
          </cell>
          <cell r="AY2643" t="str">
            <v/>
          </cell>
          <cell r="AZ2643" t="str">
            <v/>
          </cell>
          <cell r="BA2643" t="str">
            <v/>
          </cell>
        </row>
        <row r="2644">
          <cell r="B2644" t="str">
            <v>-</v>
          </cell>
          <cell r="E2644" t="str">
            <v/>
          </cell>
          <cell r="G2644" t="str">
            <v/>
          </cell>
          <cell r="J2644" t="str">
            <v/>
          </cell>
          <cell r="O2644" t="str">
            <v/>
          </cell>
          <cell r="P2644" t="str">
            <v/>
          </cell>
          <cell r="Q2644" t="str">
            <v/>
          </cell>
          <cell r="S2644" t="str">
            <v/>
          </cell>
          <cell r="V2644" t="str">
            <v/>
          </cell>
          <cell r="Z2644" t="str">
            <v/>
          </cell>
          <cell r="AA2644" t="str">
            <v/>
          </cell>
          <cell r="AB2644" t="str">
            <v/>
          </cell>
          <cell r="AC2644" t="str">
            <v/>
          </cell>
          <cell r="AD2644" t="str">
            <v/>
          </cell>
          <cell r="AY2644" t="str">
            <v/>
          </cell>
          <cell r="AZ2644" t="str">
            <v/>
          </cell>
          <cell r="BA2644" t="str">
            <v/>
          </cell>
        </row>
        <row r="2645">
          <cell r="B2645" t="str">
            <v>-</v>
          </cell>
          <cell r="E2645" t="str">
            <v/>
          </cell>
          <cell r="G2645" t="str">
            <v/>
          </cell>
          <cell r="J2645" t="str">
            <v/>
          </cell>
          <cell r="O2645" t="str">
            <v/>
          </cell>
          <cell r="P2645" t="str">
            <v/>
          </cell>
          <cell r="Q2645" t="str">
            <v/>
          </cell>
          <cell r="S2645" t="str">
            <v/>
          </cell>
          <cell r="V2645" t="str">
            <v/>
          </cell>
          <cell r="Z2645" t="str">
            <v/>
          </cell>
          <cell r="AA2645" t="str">
            <v/>
          </cell>
          <cell r="AB2645" t="str">
            <v/>
          </cell>
          <cell r="AC2645" t="str">
            <v/>
          </cell>
          <cell r="AD2645" t="str">
            <v/>
          </cell>
          <cell r="AY2645" t="str">
            <v/>
          </cell>
          <cell r="AZ2645" t="str">
            <v/>
          </cell>
          <cell r="BA2645" t="str">
            <v/>
          </cell>
        </row>
        <row r="2646">
          <cell r="B2646" t="str">
            <v>-</v>
          </cell>
          <cell r="E2646" t="str">
            <v/>
          </cell>
          <cell r="G2646" t="str">
            <v/>
          </cell>
          <cell r="J2646" t="str">
            <v/>
          </cell>
          <cell r="O2646" t="str">
            <v/>
          </cell>
          <cell r="P2646" t="str">
            <v/>
          </cell>
          <cell r="Q2646" t="str">
            <v/>
          </cell>
          <cell r="S2646" t="str">
            <v/>
          </cell>
          <cell r="V2646" t="str">
            <v/>
          </cell>
          <cell r="Z2646" t="str">
            <v/>
          </cell>
          <cell r="AA2646" t="str">
            <v/>
          </cell>
          <cell r="AB2646" t="str">
            <v/>
          </cell>
          <cell r="AC2646" t="str">
            <v/>
          </cell>
          <cell r="AD2646" t="str">
            <v/>
          </cell>
          <cell r="AY2646" t="str">
            <v/>
          </cell>
          <cell r="AZ2646" t="str">
            <v/>
          </cell>
          <cell r="BA2646" t="str">
            <v/>
          </cell>
        </row>
        <row r="2647">
          <cell r="B2647" t="str">
            <v>-</v>
          </cell>
          <cell r="E2647" t="str">
            <v/>
          </cell>
          <cell r="G2647" t="str">
            <v/>
          </cell>
          <cell r="J2647" t="str">
            <v/>
          </cell>
          <cell r="O2647" t="str">
            <v/>
          </cell>
          <cell r="P2647" t="str">
            <v/>
          </cell>
          <cell r="Q2647" t="str">
            <v/>
          </cell>
          <cell r="S2647" t="str">
            <v/>
          </cell>
          <cell r="V2647" t="str">
            <v/>
          </cell>
          <cell r="Z2647" t="str">
            <v/>
          </cell>
          <cell r="AA2647" t="str">
            <v/>
          </cell>
          <cell r="AB2647" t="str">
            <v/>
          </cell>
          <cell r="AC2647" t="str">
            <v/>
          </cell>
          <cell r="AD2647" t="str">
            <v/>
          </cell>
          <cell r="AY2647" t="str">
            <v/>
          </cell>
          <cell r="AZ2647" t="str">
            <v/>
          </cell>
          <cell r="BA2647" t="str">
            <v/>
          </cell>
        </row>
        <row r="2648">
          <cell r="B2648" t="str">
            <v>-</v>
          </cell>
          <cell r="E2648" t="str">
            <v/>
          </cell>
          <cell r="G2648" t="str">
            <v/>
          </cell>
          <cell r="J2648" t="str">
            <v/>
          </cell>
          <cell r="O2648" t="str">
            <v/>
          </cell>
          <cell r="P2648" t="str">
            <v/>
          </cell>
          <cell r="Q2648" t="str">
            <v/>
          </cell>
          <cell r="S2648" t="str">
            <v/>
          </cell>
          <cell r="V2648" t="str">
            <v/>
          </cell>
          <cell r="Z2648" t="str">
            <v/>
          </cell>
          <cell r="AA2648" t="str">
            <v/>
          </cell>
          <cell r="AB2648" t="str">
            <v/>
          </cell>
          <cell r="AC2648" t="str">
            <v/>
          </cell>
          <cell r="AD2648" t="str">
            <v/>
          </cell>
          <cell r="AY2648" t="str">
            <v/>
          </cell>
          <cell r="AZ2648" t="str">
            <v/>
          </cell>
          <cell r="BA2648" t="str">
            <v/>
          </cell>
        </row>
        <row r="2649">
          <cell r="B2649" t="str">
            <v>-</v>
          </cell>
          <cell r="E2649" t="str">
            <v/>
          </cell>
          <cell r="G2649" t="str">
            <v/>
          </cell>
          <cell r="J2649" t="str">
            <v/>
          </cell>
          <cell r="O2649" t="str">
            <v/>
          </cell>
          <cell r="P2649" t="str">
            <v/>
          </cell>
          <cell r="Q2649" t="str">
            <v/>
          </cell>
          <cell r="S2649" t="str">
            <v/>
          </cell>
          <cell r="V2649" t="str">
            <v/>
          </cell>
          <cell r="Z2649" t="str">
            <v/>
          </cell>
          <cell r="AA2649" t="str">
            <v/>
          </cell>
          <cell r="AB2649" t="str">
            <v/>
          </cell>
          <cell r="AC2649" t="str">
            <v/>
          </cell>
          <cell r="AD2649" t="str">
            <v/>
          </cell>
          <cell r="AY2649" t="str">
            <v/>
          </cell>
          <cell r="AZ2649" t="str">
            <v/>
          </cell>
          <cell r="BA2649" t="str">
            <v/>
          </cell>
        </row>
        <row r="2650">
          <cell r="B2650" t="str">
            <v>-</v>
          </cell>
          <cell r="E2650" t="str">
            <v/>
          </cell>
          <cell r="G2650" t="str">
            <v/>
          </cell>
          <cell r="J2650" t="str">
            <v/>
          </cell>
          <cell r="O2650" t="str">
            <v/>
          </cell>
          <cell r="P2650" t="str">
            <v/>
          </cell>
          <cell r="Q2650" t="str">
            <v/>
          </cell>
          <cell r="S2650" t="str">
            <v/>
          </cell>
          <cell r="V2650" t="str">
            <v/>
          </cell>
          <cell r="Z2650" t="str">
            <v/>
          </cell>
          <cell r="AA2650" t="str">
            <v/>
          </cell>
          <cell r="AB2650" t="str">
            <v/>
          </cell>
          <cell r="AC2650" t="str">
            <v/>
          </cell>
          <cell r="AD2650" t="str">
            <v/>
          </cell>
          <cell r="AY2650" t="str">
            <v/>
          </cell>
          <cell r="AZ2650" t="str">
            <v/>
          </cell>
          <cell r="BA2650" t="str">
            <v/>
          </cell>
        </row>
        <row r="2651">
          <cell r="B2651" t="str">
            <v>-</v>
          </cell>
          <cell r="E2651" t="str">
            <v/>
          </cell>
          <cell r="G2651" t="str">
            <v/>
          </cell>
          <cell r="J2651" t="str">
            <v/>
          </cell>
          <cell r="O2651" t="str">
            <v/>
          </cell>
          <cell r="P2651" t="str">
            <v/>
          </cell>
          <cell r="Q2651" t="str">
            <v/>
          </cell>
          <cell r="S2651" t="str">
            <v/>
          </cell>
          <cell r="V2651" t="str">
            <v/>
          </cell>
          <cell r="Z2651" t="str">
            <v/>
          </cell>
          <cell r="AA2651" t="str">
            <v/>
          </cell>
          <cell r="AB2651" t="str">
            <v/>
          </cell>
          <cell r="AC2651" t="str">
            <v/>
          </cell>
          <cell r="AD2651" t="str">
            <v/>
          </cell>
          <cell r="AY2651" t="str">
            <v/>
          </cell>
          <cell r="AZ2651" t="str">
            <v/>
          </cell>
          <cell r="BA2651" t="str">
            <v/>
          </cell>
        </row>
        <row r="2652">
          <cell r="B2652" t="str">
            <v>-</v>
          </cell>
          <cell r="E2652" t="str">
            <v/>
          </cell>
          <cell r="G2652" t="str">
            <v/>
          </cell>
          <cell r="J2652" t="str">
            <v/>
          </cell>
          <cell r="O2652" t="str">
            <v/>
          </cell>
          <cell r="P2652" t="str">
            <v/>
          </cell>
          <cell r="Q2652" t="str">
            <v/>
          </cell>
          <cell r="S2652" t="str">
            <v/>
          </cell>
          <cell r="V2652" t="str">
            <v/>
          </cell>
          <cell r="Z2652" t="str">
            <v/>
          </cell>
          <cell r="AA2652" t="str">
            <v/>
          </cell>
          <cell r="AB2652" t="str">
            <v/>
          </cell>
          <cell r="AC2652" t="str">
            <v/>
          </cell>
          <cell r="AD2652" t="str">
            <v/>
          </cell>
          <cell r="AY2652" t="str">
            <v/>
          </cell>
          <cell r="AZ2652" t="str">
            <v/>
          </cell>
          <cell r="BA2652" t="str">
            <v/>
          </cell>
        </row>
        <row r="2653">
          <cell r="B2653" t="str">
            <v>-</v>
          </cell>
          <cell r="E2653" t="str">
            <v/>
          </cell>
          <cell r="G2653" t="str">
            <v/>
          </cell>
          <cell r="J2653" t="str">
            <v/>
          </cell>
          <cell r="O2653" t="str">
            <v/>
          </cell>
          <cell r="P2653" t="str">
            <v/>
          </cell>
          <cell r="Q2653" t="str">
            <v/>
          </cell>
          <cell r="S2653" t="str">
            <v/>
          </cell>
          <cell r="V2653" t="str">
            <v/>
          </cell>
          <cell r="Z2653" t="str">
            <v/>
          </cell>
          <cell r="AA2653" t="str">
            <v/>
          </cell>
          <cell r="AB2653" t="str">
            <v/>
          </cell>
          <cell r="AC2653" t="str">
            <v/>
          </cell>
          <cell r="AD2653" t="str">
            <v/>
          </cell>
          <cell r="AY2653" t="str">
            <v/>
          </cell>
          <cell r="AZ2653" t="str">
            <v/>
          </cell>
          <cell r="BA2653" t="str">
            <v/>
          </cell>
        </row>
        <row r="2654">
          <cell r="B2654" t="str">
            <v>-</v>
          </cell>
          <cell r="E2654" t="str">
            <v/>
          </cell>
          <cell r="G2654" t="str">
            <v/>
          </cell>
          <cell r="J2654" t="str">
            <v/>
          </cell>
          <cell r="O2654" t="str">
            <v/>
          </cell>
          <cell r="P2654" t="str">
            <v/>
          </cell>
          <cell r="Q2654" t="str">
            <v/>
          </cell>
          <cell r="S2654" t="str">
            <v/>
          </cell>
          <cell r="V2654" t="str">
            <v/>
          </cell>
          <cell r="Z2654" t="str">
            <v/>
          </cell>
          <cell r="AA2654" t="str">
            <v/>
          </cell>
          <cell r="AB2654" t="str">
            <v/>
          </cell>
          <cell r="AC2654" t="str">
            <v/>
          </cell>
          <cell r="AD2654" t="str">
            <v/>
          </cell>
          <cell r="AY2654" t="str">
            <v/>
          </cell>
          <cell r="AZ2654" t="str">
            <v/>
          </cell>
          <cell r="BA2654" t="str">
            <v/>
          </cell>
        </row>
        <row r="2655">
          <cell r="B2655" t="str">
            <v>-</v>
          </cell>
          <cell r="E2655" t="str">
            <v/>
          </cell>
          <cell r="G2655" t="str">
            <v/>
          </cell>
          <cell r="J2655" t="str">
            <v/>
          </cell>
          <cell r="O2655" t="str">
            <v/>
          </cell>
          <cell r="P2655" t="str">
            <v/>
          </cell>
          <cell r="Q2655" t="str">
            <v/>
          </cell>
          <cell r="S2655" t="str">
            <v/>
          </cell>
          <cell r="V2655" t="str">
            <v/>
          </cell>
          <cell r="Z2655" t="str">
            <v/>
          </cell>
          <cell r="AA2655" t="str">
            <v/>
          </cell>
          <cell r="AB2655" t="str">
            <v/>
          </cell>
          <cell r="AC2655" t="str">
            <v/>
          </cell>
          <cell r="AD2655" t="str">
            <v/>
          </cell>
          <cell r="AY2655" t="str">
            <v/>
          </cell>
          <cell r="AZ2655" t="str">
            <v/>
          </cell>
          <cell r="BA2655" t="str">
            <v/>
          </cell>
        </row>
        <row r="2656">
          <cell r="B2656" t="str">
            <v>-</v>
          </cell>
          <cell r="E2656" t="str">
            <v/>
          </cell>
          <cell r="G2656" t="str">
            <v/>
          </cell>
          <cell r="J2656" t="str">
            <v/>
          </cell>
          <cell r="O2656" t="str">
            <v/>
          </cell>
          <cell r="P2656" t="str">
            <v/>
          </cell>
          <cell r="Q2656" t="str">
            <v/>
          </cell>
          <cell r="S2656" t="str">
            <v/>
          </cell>
          <cell r="V2656" t="str">
            <v/>
          </cell>
          <cell r="Z2656" t="str">
            <v/>
          </cell>
          <cell r="AA2656" t="str">
            <v/>
          </cell>
          <cell r="AB2656" t="str">
            <v/>
          </cell>
          <cell r="AC2656" t="str">
            <v/>
          </cell>
          <cell r="AD2656" t="str">
            <v/>
          </cell>
          <cell r="AY2656" t="str">
            <v/>
          </cell>
          <cell r="AZ2656" t="str">
            <v/>
          </cell>
          <cell r="BA2656" t="str">
            <v/>
          </cell>
        </row>
        <row r="2657">
          <cell r="B2657" t="str">
            <v>-</v>
          </cell>
          <cell r="E2657" t="str">
            <v/>
          </cell>
          <cell r="G2657" t="str">
            <v/>
          </cell>
          <cell r="J2657" t="str">
            <v/>
          </cell>
          <cell r="O2657" t="str">
            <v/>
          </cell>
          <cell r="P2657" t="str">
            <v/>
          </cell>
          <cell r="Q2657" t="str">
            <v/>
          </cell>
          <cell r="S2657" t="str">
            <v/>
          </cell>
          <cell r="V2657" t="str">
            <v/>
          </cell>
          <cell r="Z2657" t="str">
            <v/>
          </cell>
          <cell r="AA2657" t="str">
            <v/>
          </cell>
          <cell r="AB2657" t="str">
            <v/>
          </cell>
          <cell r="AC2657" t="str">
            <v/>
          </cell>
          <cell r="AD2657" t="str">
            <v/>
          </cell>
          <cell r="AY2657" t="str">
            <v/>
          </cell>
          <cell r="AZ2657" t="str">
            <v/>
          </cell>
          <cell r="BA2657" t="str">
            <v/>
          </cell>
        </row>
        <row r="2658">
          <cell r="B2658" t="str">
            <v>-</v>
          </cell>
          <cell r="E2658" t="str">
            <v/>
          </cell>
          <cell r="G2658" t="str">
            <v/>
          </cell>
          <cell r="J2658" t="str">
            <v/>
          </cell>
          <cell r="O2658" t="str">
            <v/>
          </cell>
          <cell r="P2658" t="str">
            <v/>
          </cell>
          <cell r="Q2658" t="str">
            <v/>
          </cell>
          <cell r="S2658" t="str">
            <v/>
          </cell>
          <cell r="V2658" t="str">
            <v/>
          </cell>
          <cell r="Z2658" t="str">
            <v/>
          </cell>
          <cell r="AA2658" t="str">
            <v/>
          </cell>
          <cell r="AB2658" t="str">
            <v/>
          </cell>
          <cell r="AC2658" t="str">
            <v/>
          </cell>
          <cell r="AD2658" t="str">
            <v/>
          </cell>
          <cell r="AY2658" t="str">
            <v/>
          </cell>
          <cell r="AZ2658" t="str">
            <v/>
          </cell>
          <cell r="BA2658" t="str">
            <v/>
          </cell>
        </row>
        <row r="2659">
          <cell r="B2659" t="str">
            <v>-</v>
          </cell>
          <cell r="E2659" t="str">
            <v/>
          </cell>
          <cell r="G2659" t="str">
            <v/>
          </cell>
          <cell r="J2659" t="str">
            <v/>
          </cell>
          <cell r="O2659" t="str">
            <v/>
          </cell>
          <cell r="P2659" t="str">
            <v/>
          </cell>
          <cell r="Q2659" t="str">
            <v/>
          </cell>
          <cell r="S2659" t="str">
            <v/>
          </cell>
          <cell r="V2659" t="str">
            <v/>
          </cell>
          <cell r="Z2659" t="str">
            <v/>
          </cell>
          <cell r="AA2659" t="str">
            <v/>
          </cell>
          <cell r="AB2659" t="str">
            <v/>
          </cell>
          <cell r="AC2659" t="str">
            <v/>
          </cell>
          <cell r="AD2659" t="str">
            <v/>
          </cell>
          <cell r="AY2659" t="str">
            <v/>
          </cell>
          <cell r="AZ2659" t="str">
            <v/>
          </cell>
          <cell r="BA2659" t="str">
            <v/>
          </cell>
        </row>
        <row r="2660">
          <cell r="B2660" t="str">
            <v>-</v>
          </cell>
          <cell r="E2660" t="str">
            <v/>
          </cell>
          <cell r="G2660" t="str">
            <v/>
          </cell>
          <cell r="J2660" t="str">
            <v/>
          </cell>
          <cell r="O2660" t="str">
            <v/>
          </cell>
          <cell r="P2660" t="str">
            <v/>
          </cell>
          <cell r="Q2660" t="str">
            <v/>
          </cell>
          <cell r="S2660" t="str">
            <v/>
          </cell>
          <cell r="V2660" t="str">
            <v/>
          </cell>
          <cell r="Z2660" t="str">
            <v/>
          </cell>
          <cell r="AA2660" t="str">
            <v/>
          </cell>
          <cell r="AB2660" t="str">
            <v/>
          </cell>
          <cell r="AC2660" t="str">
            <v/>
          </cell>
          <cell r="AD2660" t="str">
            <v/>
          </cell>
          <cell r="AY2660" t="str">
            <v/>
          </cell>
          <cell r="AZ2660" t="str">
            <v/>
          </cell>
          <cell r="BA2660" t="str">
            <v/>
          </cell>
        </row>
        <row r="2661">
          <cell r="B2661" t="str">
            <v>-</v>
          </cell>
          <cell r="E2661" t="str">
            <v/>
          </cell>
          <cell r="G2661" t="str">
            <v/>
          </cell>
          <cell r="J2661" t="str">
            <v/>
          </cell>
          <cell r="O2661" t="str">
            <v/>
          </cell>
          <cell r="P2661" t="str">
            <v/>
          </cell>
          <cell r="Q2661" t="str">
            <v/>
          </cell>
          <cell r="S2661" t="str">
            <v/>
          </cell>
          <cell r="V2661" t="str">
            <v/>
          </cell>
          <cell r="Z2661" t="str">
            <v/>
          </cell>
          <cell r="AA2661" t="str">
            <v/>
          </cell>
          <cell r="AB2661" t="str">
            <v/>
          </cell>
          <cell r="AC2661" t="str">
            <v/>
          </cell>
          <cell r="AD2661" t="str">
            <v/>
          </cell>
          <cell r="AY2661" t="str">
            <v/>
          </cell>
          <cell r="AZ2661" t="str">
            <v/>
          </cell>
          <cell r="BA2661" t="str">
            <v/>
          </cell>
        </row>
        <row r="2662">
          <cell r="B2662" t="str">
            <v>-</v>
          </cell>
          <cell r="E2662" t="str">
            <v/>
          </cell>
          <cell r="G2662" t="str">
            <v/>
          </cell>
          <cell r="J2662" t="str">
            <v/>
          </cell>
          <cell r="O2662" t="str">
            <v/>
          </cell>
          <cell r="P2662" t="str">
            <v/>
          </cell>
          <cell r="Q2662" t="str">
            <v/>
          </cell>
          <cell r="S2662" t="str">
            <v/>
          </cell>
          <cell r="V2662" t="str">
            <v/>
          </cell>
          <cell r="Z2662" t="str">
            <v/>
          </cell>
          <cell r="AA2662" t="str">
            <v/>
          </cell>
          <cell r="AB2662" t="str">
            <v/>
          </cell>
          <cell r="AC2662" t="str">
            <v/>
          </cell>
          <cell r="AD2662" t="str">
            <v/>
          </cell>
          <cell r="AY2662" t="str">
            <v/>
          </cell>
          <cell r="AZ2662" t="str">
            <v/>
          </cell>
          <cell r="BA2662" t="str">
            <v/>
          </cell>
        </row>
        <row r="2663">
          <cell r="B2663" t="str">
            <v>-</v>
          </cell>
          <cell r="E2663" t="str">
            <v/>
          </cell>
          <cell r="G2663" t="str">
            <v/>
          </cell>
          <cell r="J2663" t="str">
            <v/>
          </cell>
          <cell r="O2663" t="str">
            <v/>
          </cell>
          <cell r="P2663" t="str">
            <v/>
          </cell>
          <cell r="Q2663" t="str">
            <v/>
          </cell>
          <cell r="S2663" t="str">
            <v/>
          </cell>
          <cell r="V2663" t="str">
            <v/>
          </cell>
          <cell r="Z2663" t="str">
            <v/>
          </cell>
          <cell r="AA2663" t="str">
            <v/>
          </cell>
          <cell r="AB2663" t="str">
            <v/>
          </cell>
          <cell r="AC2663" t="str">
            <v/>
          </cell>
          <cell r="AD2663" t="str">
            <v/>
          </cell>
          <cell r="AY2663" t="str">
            <v/>
          </cell>
          <cell r="AZ2663" t="str">
            <v/>
          </cell>
          <cell r="BA2663" t="str">
            <v/>
          </cell>
        </row>
        <row r="2664">
          <cell r="B2664" t="str">
            <v>-</v>
          </cell>
          <cell r="E2664" t="str">
            <v/>
          </cell>
          <cell r="G2664" t="str">
            <v/>
          </cell>
          <cell r="J2664" t="str">
            <v/>
          </cell>
          <cell r="O2664" t="str">
            <v/>
          </cell>
          <cell r="P2664" t="str">
            <v/>
          </cell>
          <cell r="Q2664" t="str">
            <v/>
          </cell>
          <cell r="S2664" t="str">
            <v/>
          </cell>
          <cell r="V2664" t="str">
            <v/>
          </cell>
          <cell r="Z2664" t="str">
            <v/>
          </cell>
          <cell r="AA2664" t="str">
            <v/>
          </cell>
          <cell r="AB2664" t="str">
            <v/>
          </cell>
          <cell r="AC2664" t="str">
            <v/>
          </cell>
          <cell r="AD2664" t="str">
            <v/>
          </cell>
          <cell r="AY2664" t="str">
            <v/>
          </cell>
          <cell r="AZ2664" t="str">
            <v/>
          </cell>
          <cell r="BA2664" t="str">
            <v/>
          </cell>
        </row>
        <row r="2665">
          <cell r="B2665" t="str">
            <v>-</v>
          </cell>
          <cell r="E2665" t="str">
            <v/>
          </cell>
          <cell r="G2665" t="str">
            <v/>
          </cell>
          <cell r="J2665" t="str">
            <v/>
          </cell>
          <cell r="O2665" t="str">
            <v/>
          </cell>
          <cell r="P2665" t="str">
            <v/>
          </cell>
          <cell r="Q2665" t="str">
            <v/>
          </cell>
          <cell r="S2665" t="str">
            <v/>
          </cell>
          <cell r="V2665" t="str">
            <v/>
          </cell>
          <cell r="Z2665" t="str">
            <v/>
          </cell>
          <cell r="AA2665" t="str">
            <v/>
          </cell>
          <cell r="AB2665" t="str">
            <v/>
          </cell>
          <cell r="AC2665" t="str">
            <v/>
          </cell>
          <cell r="AD2665" t="str">
            <v/>
          </cell>
          <cell r="AY2665" t="str">
            <v/>
          </cell>
          <cell r="AZ2665" t="str">
            <v/>
          </cell>
          <cell r="BA2665" t="str">
            <v/>
          </cell>
        </row>
        <row r="2666">
          <cell r="B2666" t="str">
            <v>-</v>
          </cell>
          <cell r="E2666" t="str">
            <v/>
          </cell>
          <cell r="G2666" t="str">
            <v/>
          </cell>
          <cell r="J2666" t="str">
            <v/>
          </cell>
          <cell r="O2666" t="str">
            <v/>
          </cell>
          <cell r="P2666" t="str">
            <v/>
          </cell>
          <cell r="Q2666" t="str">
            <v/>
          </cell>
          <cell r="S2666" t="str">
            <v/>
          </cell>
          <cell r="V2666" t="str">
            <v/>
          </cell>
          <cell r="Z2666" t="str">
            <v/>
          </cell>
          <cell r="AA2666" t="str">
            <v/>
          </cell>
          <cell r="AB2666" t="str">
            <v/>
          </cell>
          <cell r="AC2666" t="str">
            <v/>
          </cell>
          <cell r="AD2666" t="str">
            <v/>
          </cell>
          <cell r="AY2666" t="str">
            <v/>
          </cell>
          <cell r="AZ2666" t="str">
            <v/>
          </cell>
          <cell r="BA2666" t="str">
            <v/>
          </cell>
        </row>
        <row r="2667">
          <cell r="B2667" t="str">
            <v>-</v>
          </cell>
          <cell r="E2667" t="str">
            <v/>
          </cell>
          <cell r="G2667" t="str">
            <v/>
          </cell>
          <cell r="J2667" t="str">
            <v/>
          </cell>
          <cell r="O2667" t="str">
            <v/>
          </cell>
          <cell r="P2667" t="str">
            <v/>
          </cell>
          <cell r="Q2667" t="str">
            <v/>
          </cell>
          <cell r="S2667" t="str">
            <v/>
          </cell>
          <cell r="V2667" t="str">
            <v/>
          </cell>
          <cell r="Z2667" t="str">
            <v/>
          </cell>
          <cell r="AA2667" t="str">
            <v/>
          </cell>
          <cell r="AB2667" t="str">
            <v/>
          </cell>
          <cell r="AC2667" t="str">
            <v/>
          </cell>
          <cell r="AD2667" t="str">
            <v/>
          </cell>
          <cell r="AY2667" t="str">
            <v/>
          </cell>
          <cell r="AZ2667" t="str">
            <v/>
          </cell>
          <cell r="BA2667" t="str">
            <v/>
          </cell>
        </row>
        <row r="2668">
          <cell r="B2668" t="str">
            <v>-</v>
          </cell>
          <cell r="E2668" t="str">
            <v/>
          </cell>
          <cell r="G2668" t="str">
            <v/>
          </cell>
          <cell r="J2668" t="str">
            <v/>
          </cell>
          <cell r="O2668" t="str">
            <v/>
          </cell>
          <cell r="P2668" t="str">
            <v/>
          </cell>
          <cell r="Q2668" t="str">
            <v/>
          </cell>
          <cell r="S2668" t="str">
            <v/>
          </cell>
          <cell r="V2668" t="str">
            <v/>
          </cell>
          <cell r="Z2668" t="str">
            <v/>
          </cell>
          <cell r="AA2668" t="str">
            <v/>
          </cell>
          <cell r="AB2668" t="str">
            <v/>
          </cell>
          <cell r="AC2668" t="str">
            <v/>
          </cell>
          <cell r="AD2668" t="str">
            <v/>
          </cell>
          <cell r="AY2668" t="str">
            <v/>
          </cell>
          <cell r="AZ2668" t="str">
            <v/>
          </cell>
          <cell r="BA2668" t="str">
            <v/>
          </cell>
        </row>
        <row r="2669">
          <cell r="B2669" t="str">
            <v>-</v>
          </cell>
          <cell r="E2669" t="str">
            <v/>
          </cell>
          <cell r="G2669" t="str">
            <v/>
          </cell>
          <cell r="J2669" t="str">
            <v/>
          </cell>
          <cell r="O2669" t="str">
            <v/>
          </cell>
          <cell r="P2669" t="str">
            <v/>
          </cell>
          <cell r="Q2669" t="str">
            <v/>
          </cell>
          <cell r="S2669" t="str">
            <v/>
          </cell>
          <cell r="V2669" t="str">
            <v/>
          </cell>
          <cell r="Z2669" t="str">
            <v/>
          </cell>
          <cell r="AA2669" t="str">
            <v/>
          </cell>
          <cell r="AB2669" t="str">
            <v/>
          </cell>
          <cell r="AC2669" t="str">
            <v/>
          </cell>
          <cell r="AD2669" t="str">
            <v/>
          </cell>
          <cell r="AY2669" t="str">
            <v/>
          </cell>
          <cell r="AZ2669" t="str">
            <v/>
          </cell>
          <cell r="BA2669" t="str">
            <v/>
          </cell>
        </row>
        <row r="2670">
          <cell r="B2670" t="str">
            <v>-</v>
          </cell>
          <cell r="E2670" t="str">
            <v/>
          </cell>
          <cell r="G2670" t="str">
            <v/>
          </cell>
          <cell r="J2670" t="str">
            <v/>
          </cell>
          <cell r="O2670" t="str">
            <v/>
          </cell>
          <cell r="P2670" t="str">
            <v/>
          </cell>
          <cell r="Q2670" t="str">
            <v/>
          </cell>
          <cell r="S2670" t="str">
            <v/>
          </cell>
          <cell r="V2670" t="str">
            <v/>
          </cell>
          <cell r="Z2670" t="str">
            <v/>
          </cell>
          <cell r="AA2670" t="str">
            <v/>
          </cell>
          <cell r="AB2670" t="str">
            <v/>
          </cell>
          <cell r="AC2670" t="str">
            <v/>
          </cell>
          <cell r="AD2670" t="str">
            <v/>
          </cell>
          <cell r="AY2670" t="str">
            <v/>
          </cell>
          <cell r="AZ2670" t="str">
            <v/>
          </cell>
          <cell r="BA2670" t="str">
            <v/>
          </cell>
        </row>
        <row r="2671">
          <cell r="B2671" t="str">
            <v>-</v>
          </cell>
          <cell r="E2671" t="str">
            <v/>
          </cell>
          <cell r="G2671" t="str">
            <v/>
          </cell>
          <cell r="J2671" t="str">
            <v/>
          </cell>
          <cell r="O2671" t="str">
            <v/>
          </cell>
          <cell r="P2671" t="str">
            <v/>
          </cell>
          <cell r="Q2671" t="str">
            <v/>
          </cell>
          <cell r="S2671" t="str">
            <v/>
          </cell>
          <cell r="V2671" t="str">
            <v/>
          </cell>
          <cell r="Z2671" t="str">
            <v/>
          </cell>
          <cell r="AA2671" t="str">
            <v/>
          </cell>
          <cell r="AB2671" t="str">
            <v/>
          </cell>
          <cell r="AC2671" t="str">
            <v/>
          </cell>
          <cell r="AD2671" t="str">
            <v/>
          </cell>
          <cell r="AY2671" t="str">
            <v/>
          </cell>
          <cell r="AZ2671" t="str">
            <v/>
          </cell>
          <cell r="BA2671" t="str">
            <v/>
          </cell>
        </row>
        <row r="2672">
          <cell r="B2672" t="str">
            <v>-</v>
          </cell>
          <cell r="E2672" t="str">
            <v/>
          </cell>
          <cell r="G2672" t="str">
            <v/>
          </cell>
          <cell r="J2672" t="str">
            <v/>
          </cell>
          <cell r="O2672" t="str">
            <v/>
          </cell>
          <cell r="P2672" t="str">
            <v/>
          </cell>
          <cell r="Q2672" t="str">
            <v/>
          </cell>
          <cell r="S2672" t="str">
            <v/>
          </cell>
          <cell r="V2672" t="str">
            <v/>
          </cell>
          <cell r="Z2672" t="str">
            <v/>
          </cell>
          <cell r="AA2672" t="str">
            <v/>
          </cell>
          <cell r="AB2672" t="str">
            <v/>
          </cell>
          <cell r="AC2672" t="str">
            <v/>
          </cell>
          <cell r="AD2672" t="str">
            <v/>
          </cell>
          <cell r="AY2672" t="str">
            <v/>
          </cell>
          <cell r="AZ2672" t="str">
            <v/>
          </cell>
          <cell r="BA2672" t="str">
            <v/>
          </cell>
        </row>
        <row r="2673">
          <cell r="B2673" t="str">
            <v>-</v>
          </cell>
          <cell r="E2673" t="str">
            <v/>
          </cell>
          <cell r="G2673" t="str">
            <v/>
          </cell>
          <cell r="J2673" t="str">
            <v/>
          </cell>
          <cell r="O2673" t="str">
            <v/>
          </cell>
          <cell r="P2673" t="str">
            <v/>
          </cell>
          <cell r="Q2673" t="str">
            <v/>
          </cell>
          <cell r="S2673" t="str">
            <v/>
          </cell>
          <cell r="V2673" t="str">
            <v/>
          </cell>
          <cell r="Z2673" t="str">
            <v/>
          </cell>
          <cell r="AA2673" t="str">
            <v/>
          </cell>
          <cell r="AB2673" t="str">
            <v/>
          </cell>
          <cell r="AC2673" t="str">
            <v/>
          </cell>
          <cell r="AD2673" t="str">
            <v/>
          </cell>
          <cell r="AY2673" t="str">
            <v/>
          </cell>
          <cell r="AZ2673" t="str">
            <v/>
          </cell>
          <cell r="BA2673" t="str">
            <v/>
          </cell>
        </row>
        <row r="2674">
          <cell r="B2674" t="str">
            <v>-</v>
          </cell>
          <cell r="E2674" t="str">
            <v/>
          </cell>
          <cell r="G2674" t="str">
            <v/>
          </cell>
          <cell r="J2674" t="str">
            <v/>
          </cell>
          <cell r="O2674" t="str">
            <v/>
          </cell>
          <cell r="P2674" t="str">
            <v/>
          </cell>
          <cell r="Q2674" t="str">
            <v/>
          </cell>
          <cell r="S2674" t="str">
            <v/>
          </cell>
          <cell r="V2674" t="str">
            <v/>
          </cell>
          <cell r="Z2674" t="str">
            <v/>
          </cell>
          <cell r="AA2674" t="str">
            <v/>
          </cell>
          <cell r="AB2674" t="str">
            <v/>
          </cell>
          <cell r="AC2674" t="str">
            <v/>
          </cell>
          <cell r="AD2674" t="str">
            <v/>
          </cell>
          <cell r="AY2674" t="str">
            <v/>
          </cell>
          <cell r="AZ2674" t="str">
            <v/>
          </cell>
          <cell r="BA2674" t="str">
            <v/>
          </cell>
        </row>
        <row r="2675">
          <cell r="B2675" t="str">
            <v>-</v>
          </cell>
          <cell r="E2675" t="str">
            <v/>
          </cell>
          <cell r="G2675" t="str">
            <v/>
          </cell>
          <cell r="J2675" t="str">
            <v/>
          </cell>
          <cell r="O2675" t="str">
            <v/>
          </cell>
          <cell r="P2675" t="str">
            <v/>
          </cell>
          <cell r="Q2675" t="str">
            <v/>
          </cell>
          <cell r="S2675" t="str">
            <v/>
          </cell>
          <cell r="V2675" t="str">
            <v/>
          </cell>
          <cell r="Z2675" t="str">
            <v/>
          </cell>
          <cell r="AA2675" t="str">
            <v/>
          </cell>
          <cell r="AB2675" t="str">
            <v/>
          </cell>
          <cell r="AC2675" t="str">
            <v/>
          </cell>
          <cell r="AD2675" t="str">
            <v/>
          </cell>
          <cell r="AY2675" t="str">
            <v/>
          </cell>
          <cell r="AZ2675" t="str">
            <v/>
          </cell>
          <cell r="BA2675" t="str">
            <v/>
          </cell>
        </row>
        <row r="2676">
          <cell r="B2676" t="str">
            <v>-</v>
          </cell>
          <cell r="E2676" t="str">
            <v/>
          </cell>
          <cell r="G2676" t="str">
            <v/>
          </cell>
          <cell r="J2676" t="str">
            <v/>
          </cell>
          <cell r="O2676" t="str">
            <v/>
          </cell>
          <cell r="P2676" t="str">
            <v/>
          </cell>
          <cell r="Q2676" t="str">
            <v/>
          </cell>
          <cell r="S2676" t="str">
            <v/>
          </cell>
          <cell r="V2676" t="str">
            <v/>
          </cell>
          <cell r="Z2676" t="str">
            <v/>
          </cell>
          <cell r="AA2676" t="str">
            <v/>
          </cell>
          <cell r="AB2676" t="str">
            <v/>
          </cell>
          <cell r="AC2676" t="str">
            <v/>
          </cell>
          <cell r="AD2676" t="str">
            <v/>
          </cell>
          <cell r="AY2676" t="str">
            <v/>
          </cell>
          <cell r="AZ2676" t="str">
            <v/>
          </cell>
          <cell r="BA2676" t="str">
            <v/>
          </cell>
        </row>
        <row r="2677">
          <cell r="B2677" t="str">
            <v>-</v>
          </cell>
          <cell r="E2677" t="str">
            <v/>
          </cell>
          <cell r="G2677" t="str">
            <v/>
          </cell>
          <cell r="J2677" t="str">
            <v/>
          </cell>
          <cell r="O2677" t="str">
            <v/>
          </cell>
          <cell r="P2677" t="str">
            <v/>
          </cell>
          <cell r="Q2677" t="str">
            <v/>
          </cell>
          <cell r="S2677" t="str">
            <v/>
          </cell>
          <cell r="V2677" t="str">
            <v/>
          </cell>
          <cell r="Z2677" t="str">
            <v/>
          </cell>
          <cell r="AA2677" t="str">
            <v/>
          </cell>
          <cell r="AB2677" t="str">
            <v/>
          </cell>
          <cell r="AC2677" t="str">
            <v/>
          </cell>
          <cell r="AD2677" t="str">
            <v/>
          </cell>
          <cell r="AY2677" t="str">
            <v/>
          </cell>
          <cell r="AZ2677" t="str">
            <v/>
          </cell>
          <cell r="BA2677" t="str">
            <v/>
          </cell>
        </row>
        <row r="2678">
          <cell r="B2678" t="str">
            <v>-</v>
          </cell>
          <cell r="E2678" t="str">
            <v/>
          </cell>
          <cell r="G2678" t="str">
            <v/>
          </cell>
          <cell r="J2678" t="str">
            <v/>
          </cell>
          <cell r="O2678" t="str">
            <v/>
          </cell>
          <cell r="P2678" t="str">
            <v/>
          </cell>
          <cell r="Q2678" t="str">
            <v/>
          </cell>
          <cell r="S2678" t="str">
            <v/>
          </cell>
          <cell r="V2678" t="str">
            <v/>
          </cell>
          <cell r="Z2678" t="str">
            <v/>
          </cell>
          <cell r="AA2678" t="str">
            <v/>
          </cell>
          <cell r="AB2678" t="str">
            <v/>
          </cell>
          <cell r="AC2678" t="str">
            <v/>
          </cell>
          <cell r="AD2678" t="str">
            <v/>
          </cell>
          <cell r="AY2678" t="str">
            <v/>
          </cell>
          <cell r="AZ2678" t="str">
            <v/>
          </cell>
          <cell r="BA2678" t="str">
            <v/>
          </cell>
        </row>
        <row r="2679">
          <cell r="B2679" t="str">
            <v>-</v>
          </cell>
          <cell r="E2679" t="str">
            <v/>
          </cell>
          <cell r="G2679" t="str">
            <v/>
          </cell>
          <cell r="J2679" t="str">
            <v/>
          </cell>
          <cell r="O2679" t="str">
            <v/>
          </cell>
          <cell r="P2679" t="str">
            <v/>
          </cell>
          <cell r="Q2679" t="str">
            <v/>
          </cell>
          <cell r="S2679" t="str">
            <v/>
          </cell>
          <cell r="V2679" t="str">
            <v/>
          </cell>
          <cell r="Z2679" t="str">
            <v/>
          </cell>
          <cell r="AA2679" t="str">
            <v/>
          </cell>
          <cell r="AB2679" t="str">
            <v/>
          </cell>
          <cell r="AC2679" t="str">
            <v/>
          </cell>
          <cell r="AD2679" t="str">
            <v/>
          </cell>
          <cell r="AY2679" t="str">
            <v/>
          </cell>
          <cell r="AZ2679" t="str">
            <v/>
          </cell>
          <cell r="BA2679" t="str">
            <v/>
          </cell>
        </row>
        <row r="2680">
          <cell r="B2680" t="str">
            <v>-</v>
          </cell>
          <cell r="E2680" t="str">
            <v/>
          </cell>
          <cell r="G2680" t="str">
            <v/>
          </cell>
          <cell r="J2680" t="str">
            <v/>
          </cell>
          <cell r="O2680" t="str">
            <v/>
          </cell>
          <cell r="P2680" t="str">
            <v/>
          </cell>
          <cell r="Q2680" t="str">
            <v/>
          </cell>
          <cell r="S2680" t="str">
            <v/>
          </cell>
          <cell r="V2680" t="str">
            <v/>
          </cell>
          <cell r="Z2680" t="str">
            <v/>
          </cell>
          <cell r="AA2680" t="str">
            <v/>
          </cell>
          <cell r="AB2680" t="str">
            <v/>
          </cell>
          <cell r="AC2680" t="str">
            <v/>
          </cell>
          <cell r="AD2680" t="str">
            <v/>
          </cell>
          <cell r="AY2680" t="str">
            <v/>
          </cell>
          <cell r="AZ2680" t="str">
            <v/>
          </cell>
          <cell r="BA2680" t="str">
            <v/>
          </cell>
        </row>
        <row r="2681">
          <cell r="B2681" t="str">
            <v>-</v>
          </cell>
          <cell r="E2681" t="str">
            <v/>
          </cell>
          <cell r="G2681" t="str">
            <v/>
          </cell>
          <cell r="J2681" t="str">
            <v/>
          </cell>
          <cell r="O2681" t="str">
            <v/>
          </cell>
          <cell r="P2681" t="str">
            <v/>
          </cell>
          <cell r="Q2681" t="str">
            <v/>
          </cell>
          <cell r="S2681" t="str">
            <v/>
          </cell>
          <cell r="V2681" t="str">
            <v/>
          </cell>
          <cell r="Z2681" t="str">
            <v/>
          </cell>
          <cell r="AA2681" t="str">
            <v/>
          </cell>
          <cell r="AB2681" t="str">
            <v/>
          </cell>
          <cell r="AC2681" t="str">
            <v/>
          </cell>
          <cell r="AD2681" t="str">
            <v/>
          </cell>
          <cell r="AY2681" t="str">
            <v/>
          </cell>
          <cell r="AZ2681" t="str">
            <v/>
          </cell>
          <cell r="BA2681" t="str">
            <v/>
          </cell>
        </row>
        <row r="2682">
          <cell r="B2682" t="str">
            <v>-</v>
          </cell>
          <cell r="E2682" t="str">
            <v/>
          </cell>
          <cell r="G2682" t="str">
            <v/>
          </cell>
          <cell r="J2682" t="str">
            <v/>
          </cell>
          <cell r="O2682" t="str">
            <v/>
          </cell>
          <cell r="P2682" t="str">
            <v/>
          </cell>
          <cell r="Q2682" t="str">
            <v/>
          </cell>
          <cell r="S2682" t="str">
            <v/>
          </cell>
          <cell r="V2682" t="str">
            <v/>
          </cell>
          <cell r="Z2682" t="str">
            <v/>
          </cell>
          <cell r="AA2682" t="str">
            <v/>
          </cell>
          <cell r="AB2682" t="str">
            <v/>
          </cell>
          <cell r="AC2682" t="str">
            <v/>
          </cell>
          <cell r="AD2682" t="str">
            <v/>
          </cell>
          <cell r="AY2682" t="str">
            <v/>
          </cell>
          <cell r="AZ2682" t="str">
            <v/>
          </cell>
          <cell r="BA2682" t="str">
            <v/>
          </cell>
        </row>
        <row r="2683">
          <cell r="B2683" t="str">
            <v>-</v>
          </cell>
          <cell r="E2683" t="str">
            <v/>
          </cell>
          <cell r="G2683" t="str">
            <v/>
          </cell>
          <cell r="J2683" t="str">
            <v/>
          </cell>
          <cell r="O2683" t="str">
            <v/>
          </cell>
          <cell r="P2683" t="str">
            <v/>
          </cell>
          <cell r="Q2683" t="str">
            <v/>
          </cell>
          <cell r="S2683" t="str">
            <v/>
          </cell>
          <cell r="V2683" t="str">
            <v/>
          </cell>
          <cell r="Z2683" t="str">
            <v/>
          </cell>
          <cell r="AA2683" t="str">
            <v/>
          </cell>
          <cell r="AB2683" t="str">
            <v/>
          </cell>
          <cell r="AC2683" t="str">
            <v/>
          </cell>
          <cell r="AD2683" t="str">
            <v/>
          </cell>
          <cell r="AY2683" t="str">
            <v/>
          </cell>
          <cell r="AZ2683" t="str">
            <v/>
          </cell>
          <cell r="BA2683" t="str">
            <v/>
          </cell>
        </row>
        <row r="2684">
          <cell r="B2684" t="str">
            <v>-</v>
          </cell>
          <cell r="E2684" t="str">
            <v/>
          </cell>
          <cell r="G2684" t="str">
            <v/>
          </cell>
          <cell r="J2684" t="str">
            <v/>
          </cell>
          <cell r="O2684" t="str">
            <v/>
          </cell>
          <cell r="P2684" t="str">
            <v/>
          </cell>
          <cell r="Q2684" t="str">
            <v/>
          </cell>
          <cell r="S2684" t="str">
            <v/>
          </cell>
          <cell r="V2684" t="str">
            <v/>
          </cell>
          <cell r="Z2684" t="str">
            <v/>
          </cell>
          <cell r="AA2684" t="str">
            <v/>
          </cell>
          <cell r="AB2684" t="str">
            <v/>
          </cell>
          <cell r="AC2684" t="str">
            <v/>
          </cell>
          <cell r="AD2684" t="str">
            <v/>
          </cell>
          <cell r="AY2684" t="str">
            <v/>
          </cell>
          <cell r="AZ2684" t="str">
            <v/>
          </cell>
          <cell r="BA2684" t="str">
            <v/>
          </cell>
        </row>
        <row r="2685">
          <cell r="B2685" t="str">
            <v>-</v>
          </cell>
          <cell r="E2685" t="str">
            <v/>
          </cell>
          <cell r="G2685" t="str">
            <v/>
          </cell>
          <cell r="J2685" t="str">
            <v/>
          </cell>
          <cell r="O2685" t="str">
            <v/>
          </cell>
          <cell r="P2685" t="str">
            <v/>
          </cell>
          <cell r="Q2685" t="str">
            <v/>
          </cell>
          <cell r="S2685" t="str">
            <v/>
          </cell>
          <cell r="V2685" t="str">
            <v/>
          </cell>
          <cell r="Z2685" t="str">
            <v/>
          </cell>
          <cell r="AA2685" t="str">
            <v/>
          </cell>
          <cell r="AB2685" t="str">
            <v/>
          </cell>
          <cell r="AC2685" t="str">
            <v/>
          </cell>
          <cell r="AD2685" t="str">
            <v/>
          </cell>
          <cell r="AY2685" t="str">
            <v/>
          </cell>
          <cell r="AZ2685" t="str">
            <v/>
          </cell>
          <cell r="BA2685" t="str">
            <v/>
          </cell>
        </row>
        <row r="2686">
          <cell r="B2686" t="str">
            <v>-</v>
          </cell>
          <cell r="E2686" t="str">
            <v/>
          </cell>
          <cell r="G2686" t="str">
            <v/>
          </cell>
          <cell r="J2686" t="str">
            <v/>
          </cell>
          <cell r="O2686" t="str">
            <v/>
          </cell>
          <cell r="P2686" t="str">
            <v/>
          </cell>
          <cell r="Q2686" t="str">
            <v/>
          </cell>
          <cell r="S2686" t="str">
            <v/>
          </cell>
          <cell r="V2686" t="str">
            <v/>
          </cell>
          <cell r="Z2686" t="str">
            <v/>
          </cell>
          <cell r="AA2686" t="str">
            <v/>
          </cell>
          <cell r="AB2686" t="str">
            <v/>
          </cell>
          <cell r="AC2686" t="str">
            <v/>
          </cell>
          <cell r="AD2686" t="str">
            <v/>
          </cell>
          <cell r="AY2686" t="str">
            <v/>
          </cell>
          <cell r="AZ2686" t="str">
            <v/>
          </cell>
          <cell r="BA2686" t="str">
            <v/>
          </cell>
        </row>
        <row r="2687">
          <cell r="B2687" t="str">
            <v>-</v>
          </cell>
          <cell r="E2687" t="str">
            <v/>
          </cell>
          <cell r="G2687" t="str">
            <v/>
          </cell>
          <cell r="J2687" t="str">
            <v/>
          </cell>
          <cell r="O2687" t="str">
            <v/>
          </cell>
          <cell r="P2687" t="str">
            <v/>
          </cell>
          <cell r="Q2687" t="str">
            <v/>
          </cell>
          <cell r="S2687" t="str">
            <v/>
          </cell>
          <cell r="V2687" t="str">
            <v/>
          </cell>
          <cell r="Z2687" t="str">
            <v/>
          </cell>
          <cell r="AA2687" t="str">
            <v/>
          </cell>
          <cell r="AB2687" t="str">
            <v/>
          </cell>
          <cell r="AC2687" t="str">
            <v/>
          </cell>
          <cell r="AD2687" t="str">
            <v/>
          </cell>
          <cell r="AY2687" t="str">
            <v/>
          </cell>
          <cell r="AZ2687" t="str">
            <v/>
          </cell>
          <cell r="BA2687" t="str">
            <v/>
          </cell>
        </row>
        <row r="2688">
          <cell r="B2688" t="str">
            <v>-</v>
          </cell>
          <cell r="E2688" t="str">
            <v/>
          </cell>
          <cell r="G2688" t="str">
            <v/>
          </cell>
          <cell r="J2688" t="str">
            <v/>
          </cell>
          <cell r="O2688" t="str">
            <v/>
          </cell>
          <cell r="P2688" t="str">
            <v/>
          </cell>
          <cell r="Q2688" t="str">
            <v/>
          </cell>
          <cell r="S2688" t="str">
            <v/>
          </cell>
          <cell r="V2688" t="str">
            <v/>
          </cell>
          <cell r="Z2688" t="str">
            <v/>
          </cell>
          <cell r="AA2688" t="str">
            <v/>
          </cell>
          <cell r="AB2688" t="str">
            <v/>
          </cell>
          <cell r="AC2688" t="str">
            <v/>
          </cell>
          <cell r="AD2688" t="str">
            <v/>
          </cell>
          <cell r="AY2688" t="str">
            <v/>
          </cell>
          <cell r="AZ2688" t="str">
            <v/>
          </cell>
          <cell r="BA2688" t="str">
            <v/>
          </cell>
        </row>
        <row r="2689">
          <cell r="B2689" t="str">
            <v>-</v>
          </cell>
          <cell r="E2689" t="str">
            <v/>
          </cell>
          <cell r="G2689" t="str">
            <v/>
          </cell>
          <cell r="J2689" t="str">
            <v/>
          </cell>
          <cell r="O2689" t="str">
            <v/>
          </cell>
          <cell r="P2689" t="str">
            <v/>
          </cell>
          <cell r="Q2689" t="str">
            <v/>
          </cell>
          <cell r="S2689" t="str">
            <v/>
          </cell>
          <cell r="V2689" t="str">
            <v/>
          </cell>
          <cell r="Z2689" t="str">
            <v/>
          </cell>
          <cell r="AA2689" t="str">
            <v/>
          </cell>
          <cell r="AB2689" t="str">
            <v/>
          </cell>
          <cell r="AC2689" t="str">
            <v/>
          </cell>
          <cell r="AD2689" t="str">
            <v/>
          </cell>
          <cell r="AY2689" t="str">
            <v/>
          </cell>
          <cell r="AZ2689" t="str">
            <v/>
          </cell>
          <cell r="BA2689" t="str">
            <v/>
          </cell>
        </row>
        <row r="2690">
          <cell r="B2690" t="str">
            <v>-</v>
          </cell>
          <cell r="E2690" t="str">
            <v/>
          </cell>
          <cell r="G2690" t="str">
            <v/>
          </cell>
          <cell r="J2690" t="str">
            <v/>
          </cell>
          <cell r="O2690" t="str">
            <v/>
          </cell>
          <cell r="P2690" t="str">
            <v/>
          </cell>
          <cell r="Q2690" t="str">
            <v/>
          </cell>
          <cell r="S2690" t="str">
            <v/>
          </cell>
          <cell r="V2690" t="str">
            <v/>
          </cell>
          <cell r="Z2690" t="str">
            <v/>
          </cell>
          <cell r="AA2690" t="str">
            <v/>
          </cell>
          <cell r="AB2690" t="str">
            <v/>
          </cell>
          <cell r="AC2690" t="str">
            <v/>
          </cell>
          <cell r="AD2690" t="str">
            <v/>
          </cell>
          <cell r="AY2690" t="str">
            <v/>
          </cell>
          <cell r="AZ2690" t="str">
            <v/>
          </cell>
          <cell r="BA2690" t="str">
            <v/>
          </cell>
        </row>
        <row r="2691">
          <cell r="B2691" t="str">
            <v>-</v>
          </cell>
          <cell r="E2691" t="str">
            <v/>
          </cell>
          <cell r="G2691" t="str">
            <v/>
          </cell>
          <cell r="J2691" t="str">
            <v/>
          </cell>
          <cell r="O2691" t="str">
            <v/>
          </cell>
          <cell r="P2691" t="str">
            <v/>
          </cell>
          <cell r="Q2691" t="str">
            <v/>
          </cell>
          <cell r="S2691" t="str">
            <v/>
          </cell>
          <cell r="V2691" t="str">
            <v/>
          </cell>
          <cell r="Z2691" t="str">
            <v/>
          </cell>
          <cell r="AA2691" t="str">
            <v/>
          </cell>
          <cell r="AB2691" t="str">
            <v/>
          </cell>
          <cell r="AC2691" t="str">
            <v/>
          </cell>
          <cell r="AD2691" t="str">
            <v/>
          </cell>
          <cell r="AY2691" t="str">
            <v/>
          </cell>
          <cell r="AZ2691" t="str">
            <v/>
          </cell>
          <cell r="BA2691" t="str">
            <v/>
          </cell>
        </row>
        <row r="2692">
          <cell r="B2692" t="str">
            <v>-</v>
          </cell>
          <cell r="E2692" t="str">
            <v/>
          </cell>
          <cell r="G2692" t="str">
            <v/>
          </cell>
          <cell r="J2692" t="str">
            <v/>
          </cell>
          <cell r="O2692" t="str">
            <v/>
          </cell>
          <cell r="P2692" t="str">
            <v/>
          </cell>
          <cell r="Q2692" t="str">
            <v/>
          </cell>
          <cell r="S2692" t="str">
            <v/>
          </cell>
          <cell r="V2692" t="str">
            <v/>
          </cell>
          <cell r="Z2692" t="str">
            <v/>
          </cell>
          <cell r="AA2692" t="str">
            <v/>
          </cell>
          <cell r="AB2692" t="str">
            <v/>
          </cell>
          <cell r="AC2692" t="str">
            <v/>
          </cell>
          <cell r="AD2692" t="str">
            <v/>
          </cell>
          <cell r="AY2692" t="str">
            <v/>
          </cell>
          <cell r="AZ2692" t="str">
            <v/>
          </cell>
          <cell r="BA2692" t="str">
            <v/>
          </cell>
        </row>
        <row r="2693">
          <cell r="B2693" t="str">
            <v>-</v>
          </cell>
          <cell r="E2693" t="str">
            <v/>
          </cell>
          <cell r="G2693" t="str">
            <v/>
          </cell>
          <cell r="J2693" t="str">
            <v/>
          </cell>
          <cell r="O2693" t="str">
            <v/>
          </cell>
          <cell r="P2693" t="str">
            <v/>
          </cell>
          <cell r="Q2693" t="str">
            <v/>
          </cell>
          <cell r="S2693" t="str">
            <v/>
          </cell>
          <cell r="V2693" t="str">
            <v/>
          </cell>
          <cell r="Z2693" t="str">
            <v/>
          </cell>
          <cell r="AA2693" t="str">
            <v/>
          </cell>
          <cell r="AB2693" t="str">
            <v/>
          </cell>
          <cell r="AC2693" t="str">
            <v/>
          </cell>
          <cell r="AD2693" t="str">
            <v/>
          </cell>
          <cell r="AY2693" t="str">
            <v/>
          </cell>
          <cell r="AZ2693" t="str">
            <v/>
          </cell>
          <cell r="BA2693" t="str">
            <v/>
          </cell>
        </row>
        <row r="2694">
          <cell r="B2694" t="str">
            <v>-</v>
          </cell>
          <cell r="E2694" t="str">
            <v/>
          </cell>
          <cell r="G2694" t="str">
            <v/>
          </cell>
          <cell r="J2694" t="str">
            <v/>
          </cell>
          <cell r="O2694" t="str">
            <v/>
          </cell>
          <cell r="P2694" t="str">
            <v/>
          </cell>
          <cell r="Q2694" t="str">
            <v/>
          </cell>
          <cell r="S2694" t="str">
            <v/>
          </cell>
          <cell r="V2694" t="str">
            <v/>
          </cell>
          <cell r="Z2694" t="str">
            <v/>
          </cell>
          <cell r="AA2694" t="str">
            <v/>
          </cell>
          <cell r="AB2694" t="str">
            <v/>
          </cell>
          <cell r="AC2694" t="str">
            <v/>
          </cell>
          <cell r="AD2694" t="str">
            <v/>
          </cell>
          <cell r="AY2694" t="str">
            <v/>
          </cell>
          <cell r="AZ2694" t="str">
            <v/>
          </cell>
          <cell r="BA2694" t="str">
            <v/>
          </cell>
        </row>
        <row r="2695">
          <cell r="B2695" t="str">
            <v>-</v>
          </cell>
          <cell r="E2695" t="str">
            <v/>
          </cell>
          <cell r="G2695" t="str">
            <v/>
          </cell>
          <cell r="J2695" t="str">
            <v/>
          </cell>
          <cell r="O2695" t="str">
            <v/>
          </cell>
          <cell r="P2695" t="str">
            <v/>
          </cell>
          <cell r="Q2695" t="str">
            <v/>
          </cell>
          <cell r="S2695" t="str">
            <v/>
          </cell>
          <cell r="V2695" t="str">
            <v/>
          </cell>
          <cell r="Z2695" t="str">
            <v/>
          </cell>
          <cell r="AA2695" t="str">
            <v/>
          </cell>
          <cell r="AB2695" t="str">
            <v/>
          </cell>
          <cell r="AC2695" t="str">
            <v/>
          </cell>
          <cell r="AD2695" t="str">
            <v/>
          </cell>
          <cell r="AY2695" t="str">
            <v/>
          </cell>
          <cell r="AZ2695" t="str">
            <v/>
          </cell>
          <cell r="BA2695" t="str">
            <v/>
          </cell>
        </row>
        <row r="2696">
          <cell r="B2696" t="str">
            <v>-</v>
          </cell>
          <cell r="E2696" t="str">
            <v/>
          </cell>
          <cell r="G2696" t="str">
            <v/>
          </cell>
          <cell r="J2696" t="str">
            <v/>
          </cell>
          <cell r="O2696" t="str">
            <v/>
          </cell>
          <cell r="P2696" t="str">
            <v/>
          </cell>
          <cell r="Q2696" t="str">
            <v/>
          </cell>
          <cell r="S2696" t="str">
            <v/>
          </cell>
          <cell r="V2696" t="str">
            <v/>
          </cell>
          <cell r="Z2696" t="str">
            <v/>
          </cell>
          <cell r="AA2696" t="str">
            <v/>
          </cell>
          <cell r="AB2696" t="str">
            <v/>
          </cell>
          <cell r="AC2696" t="str">
            <v/>
          </cell>
          <cell r="AD2696" t="str">
            <v/>
          </cell>
          <cell r="AY2696" t="str">
            <v/>
          </cell>
          <cell r="AZ2696" t="str">
            <v/>
          </cell>
          <cell r="BA2696" t="str">
            <v/>
          </cell>
        </row>
        <row r="2697">
          <cell r="B2697" t="str">
            <v>-</v>
          </cell>
          <cell r="E2697" t="str">
            <v/>
          </cell>
          <cell r="G2697" t="str">
            <v/>
          </cell>
          <cell r="J2697" t="str">
            <v/>
          </cell>
          <cell r="O2697" t="str">
            <v/>
          </cell>
          <cell r="P2697" t="str">
            <v/>
          </cell>
          <cell r="Q2697" t="str">
            <v/>
          </cell>
          <cell r="S2697" t="str">
            <v/>
          </cell>
          <cell r="V2697" t="str">
            <v/>
          </cell>
          <cell r="Z2697" t="str">
            <v/>
          </cell>
          <cell r="AA2697" t="str">
            <v/>
          </cell>
          <cell r="AB2697" t="str">
            <v/>
          </cell>
          <cell r="AC2697" t="str">
            <v/>
          </cell>
          <cell r="AD2697" t="str">
            <v/>
          </cell>
          <cell r="AY2697" t="str">
            <v/>
          </cell>
          <cell r="AZ2697" t="str">
            <v/>
          </cell>
          <cell r="BA2697" t="str">
            <v/>
          </cell>
        </row>
        <row r="2698">
          <cell r="B2698" t="str">
            <v>-</v>
          </cell>
          <cell r="E2698" t="str">
            <v/>
          </cell>
          <cell r="G2698" t="str">
            <v/>
          </cell>
          <cell r="J2698" t="str">
            <v/>
          </cell>
          <cell r="O2698" t="str">
            <v/>
          </cell>
          <cell r="P2698" t="str">
            <v/>
          </cell>
          <cell r="Q2698" t="str">
            <v/>
          </cell>
          <cell r="S2698" t="str">
            <v/>
          </cell>
          <cell r="V2698" t="str">
            <v/>
          </cell>
          <cell r="Z2698" t="str">
            <v/>
          </cell>
          <cell r="AA2698" t="str">
            <v/>
          </cell>
          <cell r="AB2698" t="str">
            <v/>
          </cell>
          <cell r="AC2698" t="str">
            <v/>
          </cell>
          <cell r="AD2698" t="str">
            <v/>
          </cell>
          <cell r="AY2698" t="str">
            <v/>
          </cell>
          <cell r="AZ2698" t="str">
            <v/>
          </cell>
          <cell r="BA2698" t="str">
            <v/>
          </cell>
        </row>
        <row r="2699">
          <cell r="B2699" t="str">
            <v>-</v>
          </cell>
          <cell r="E2699" t="str">
            <v/>
          </cell>
          <cell r="G2699" t="str">
            <v/>
          </cell>
          <cell r="J2699" t="str">
            <v/>
          </cell>
          <cell r="O2699" t="str">
            <v/>
          </cell>
          <cell r="P2699" t="str">
            <v/>
          </cell>
          <cell r="Q2699" t="str">
            <v/>
          </cell>
          <cell r="S2699" t="str">
            <v/>
          </cell>
          <cell r="V2699" t="str">
            <v/>
          </cell>
          <cell r="Z2699" t="str">
            <v/>
          </cell>
          <cell r="AA2699" t="str">
            <v/>
          </cell>
          <cell r="AB2699" t="str">
            <v/>
          </cell>
          <cell r="AC2699" t="str">
            <v/>
          </cell>
          <cell r="AD2699" t="str">
            <v/>
          </cell>
          <cell r="AY2699" t="str">
            <v/>
          </cell>
          <cell r="AZ2699" t="str">
            <v/>
          </cell>
          <cell r="BA2699" t="str">
            <v/>
          </cell>
        </row>
        <row r="2700">
          <cell r="B2700" t="str">
            <v>-</v>
          </cell>
          <cell r="E2700" t="str">
            <v/>
          </cell>
          <cell r="G2700" t="str">
            <v/>
          </cell>
          <cell r="J2700" t="str">
            <v/>
          </cell>
          <cell r="O2700" t="str">
            <v/>
          </cell>
          <cell r="P2700" t="str">
            <v/>
          </cell>
          <cell r="Q2700" t="str">
            <v/>
          </cell>
          <cell r="S2700" t="str">
            <v/>
          </cell>
          <cell r="V2700" t="str">
            <v/>
          </cell>
          <cell r="Z2700" t="str">
            <v/>
          </cell>
          <cell r="AA2700" t="str">
            <v/>
          </cell>
          <cell r="AB2700" t="str">
            <v/>
          </cell>
          <cell r="AC2700" t="str">
            <v/>
          </cell>
          <cell r="AD2700" t="str">
            <v/>
          </cell>
          <cell r="AY2700" t="str">
            <v/>
          </cell>
          <cell r="AZ2700" t="str">
            <v/>
          </cell>
          <cell r="BA2700" t="str">
            <v/>
          </cell>
        </row>
        <row r="2701">
          <cell r="B2701" t="str">
            <v>-</v>
          </cell>
          <cell r="E2701" t="str">
            <v/>
          </cell>
          <cell r="G2701" t="str">
            <v/>
          </cell>
          <cell r="J2701" t="str">
            <v/>
          </cell>
          <cell r="O2701" t="str">
            <v/>
          </cell>
          <cell r="P2701" t="str">
            <v/>
          </cell>
          <cell r="Q2701" t="str">
            <v/>
          </cell>
          <cell r="S2701" t="str">
            <v/>
          </cell>
          <cell r="V2701" t="str">
            <v/>
          </cell>
          <cell r="Z2701" t="str">
            <v/>
          </cell>
          <cell r="AA2701" t="str">
            <v/>
          </cell>
          <cell r="AB2701" t="str">
            <v/>
          </cell>
          <cell r="AC2701" t="str">
            <v/>
          </cell>
          <cell r="AD2701" t="str">
            <v/>
          </cell>
          <cell r="AY2701" t="str">
            <v/>
          </cell>
          <cell r="AZ2701" t="str">
            <v/>
          </cell>
          <cell r="BA2701" t="str">
            <v/>
          </cell>
        </row>
        <row r="2702">
          <cell r="B2702" t="str">
            <v>-</v>
          </cell>
          <cell r="E2702" t="str">
            <v/>
          </cell>
          <cell r="G2702" t="str">
            <v/>
          </cell>
          <cell r="J2702" t="str">
            <v/>
          </cell>
          <cell r="O2702" t="str">
            <v/>
          </cell>
          <cell r="P2702" t="str">
            <v/>
          </cell>
          <cell r="Q2702" t="str">
            <v/>
          </cell>
          <cell r="S2702" t="str">
            <v/>
          </cell>
          <cell r="V2702" t="str">
            <v/>
          </cell>
          <cell r="Z2702" t="str">
            <v/>
          </cell>
          <cell r="AA2702" t="str">
            <v/>
          </cell>
          <cell r="AB2702" t="str">
            <v/>
          </cell>
          <cell r="AC2702" t="str">
            <v/>
          </cell>
          <cell r="AD2702" t="str">
            <v/>
          </cell>
          <cell r="AY2702" t="str">
            <v/>
          </cell>
          <cell r="AZ2702" t="str">
            <v/>
          </cell>
          <cell r="BA2702" t="str">
            <v/>
          </cell>
        </row>
        <row r="2703">
          <cell r="B2703" t="str">
            <v>-</v>
          </cell>
          <cell r="E2703" t="str">
            <v/>
          </cell>
          <cell r="G2703" t="str">
            <v/>
          </cell>
          <cell r="J2703" t="str">
            <v/>
          </cell>
          <cell r="O2703" t="str">
            <v/>
          </cell>
          <cell r="P2703" t="str">
            <v/>
          </cell>
          <cell r="Q2703" t="str">
            <v/>
          </cell>
          <cell r="S2703" t="str">
            <v/>
          </cell>
          <cell r="V2703" t="str">
            <v/>
          </cell>
          <cell r="Z2703" t="str">
            <v/>
          </cell>
          <cell r="AA2703" t="str">
            <v/>
          </cell>
          <cell r="AB2703" t="str">
            <v/>
          </cell>
          <cell r="AC2703" t="str">
            <v/>
          </cell>
          <cell r="AD2703" t="str">
            <v/>
          </cell>
          <cell r="AY2703" t="str">
            <v/>
          </cell>
          <cell r="AZ2703" t="str">
            <v/>
          </cell>
          <cell r="BA2703" t="str">
            <v/>
          </cell>
        </row>
        <row r="2704">
          <cell r="B2704" t="str">
            <v>-</v>
          </cell>
          <cell r="E2704" t="str">
            <v/>
          </cell>
          <cell r="G2704" t="str">
            <v/>
          </cell>
          <cell r="J2704" t="str">
            <v/>
          </cell>
          <cell r="O2704" t="str">
            <v/>
          </cell>
          <cell r="P2704" t="str">
            <v/>
          </cell>
          <cell r="Q2704" t="str">
            <v/>
          </cell>
          <cell r="S2704" t="str">
            <v/>
          </cell>
          <cell r="V2704" t="str">
            <v/>
          </cell>
          <cell r="Z2704" t="str">
            <v/>
          </cell>
          <cell r="AA2704" t="str">
            <v/>
          </cell>
          <cell r="AB2704" t="str">
            <v/>
          </cell>
          <cell r="AC2704" t="str">
            <v/>
          </cell>
          <cell r="AD2704" t="str">
            <v/>
          </cell>
          <cell r="AY2704" t="str">
            <v/>
          </cell>
          <cell r="AZ2704" t="str">
            <v/>
          </cell>
          <cell r="BA2704" t="str">
            <v/>
          </cell>
        </row>
        <row r="2705">
          <cell r="B2705" t="str">
            <v>-</v>
          </cell>
          <cell r="E2705" t="str">
            <v/>
          </cell>
          <cell r="G2705" t="str">
            <v/>
          </cell>
          <cell r="J2705" t="str">
            <v/>
          </cell>
          <cell r="O2705" t="str">
            <v/>
          </cell>
          <cell r="P2705" t="str">
            <v/>
          </cell>
          <cell r="Q2705" t="str">
            <v/>
          </cell>
          <cell r="S2705" t="str">
            <v/>
          </cell>
          <cell r="V2705" t="str">
            <v/>
          </cell>
          <cell r="Z2705" t="str">
            <v/>
          </cell>
          <cell r="AA2705" t="str">
            <v/>
          </cell>
          <cell r="AB2705" t="str">
            <v/>
          </cell>
          <cell r="AC2705" t="str">
            <v/>
          </cell>
          <cell r="AD2705" t="str">
            <v/>
          </cell>
          <cell r="AY2705" t="str">
            <v/>
          </cell>
          <cell r="AZ2705" t="str">
            <v/>
          </cell>
          <cell r="BA2705" t="str">
            <v/>
          </cell>
        </row>
        <row r="2706">
          <cell r="B2706" t="str">
            <v>-</v>
          </cell>
          <cell r="E2706" t="str">
            <v/>
          </cell>
          <cell r="G2706" t="str">
            <v/>
          </cell>
          <cell r="J2706" t="str">
            <v/>
          </cell>
          <cell r="O2706" t="str">
            <v/>
          </cell>
          <cell r="P2706" t="str">
            <v/>
          </cell>
          <cell r="Q2706" t="str">
            <v/>
          </cell>
          <cell r="S2706" t="str">
            <v/>
          </cell>
          <cell r="V2706" t="str">
            <v/>
          </cell>
          <cell r="Z2706" t="str">
            <v/>
          </cell>
          <cell r="AA2706" t="str">
            <v/>
          </cell>
          <cell r="AB2706" t="str">
            <v/>
          </cell>
          <cell r="AC2706" t="str">
            <v/>
          </cell>
          <cell r="AD2706" t="str">
            <v/>
          </cell>
          <cell r="AY2706" t="str">
            <v/>
          </cell>
          <cell r="AZ2706" t="str">
            <v/>
          </cell>
          <cell r="BA2706" t="str">
            <v/>
          </cell>
        </row>
        <row r="2707">
          <cell r="B2707" t="str">
            <v>-</v>
          </cell>
          <cell r="E2707" t="str">
            <v/>
          </cell>
          <cell r="G2707" t="str">
            <v/>
          </cell>
          <cell r="J2707" t="str">
            <v/>
          </cell>
          <cell r="O2707" t="str">
            <v/>
          </cell>
          <cell r="P2707" t="str">
            <v/>
          </cell>
          <cell r="Q2707" t="str">
            <v/>
          </cell>
          <cell r="S2707" t="str">
            <v/>
          </cell>
          <cell r="V2707" t="str">
            <v/>
          </cell>
          <cell r="Z2707" t="str">
            <v/>
          </cell>
          <cell r="AA2707" t="str">
            <v/>
          </cell>
          <cell r="AB2707" t="str">
            <v/>
          </cell>
          <cell r="AC2707" t="str">
            <v/>
          </cell>
          <cell r="AD2707" t="str">
            <v/>
          </cell>
          <cell r="AY2707" t="str">
            <v/>
          </cell>
          <cell r="AZ2707" t="str">
            <v/>
          </cell>
          <cell r="BA2707" t="str">
            <v/>
          </cell>
        </row>
        <row r="2708">
          <cell r="B2708" t="str">
            <v>-</v>
          </cell>
          <cell r="E2708" t="str">
            <v/>
          </cell>
          <cell r="G2708" t="str">
            <v/>
          </cell>
          <cell r="J2708" t="str">
            <v/>
          </cell>
          <cell r="O2708" t="str">
            <v/>
          </cell>
          <cell r="P2708" t="str">
            <v/>
          </cell>
          <cell r="Q2708" t="str">
            <v/>
          </cell>
          <cell r="S2708" t="str">
            <v/>
          </cell>
          <cell r="V2708" t="str">
            <v/>
          </cell>
          <cell r="Z2708" t="str">
            <v/>
          </cell>
          <cell r="AA2708" t="str">
            <v/>
          </cell>
          <cell r="AB2708" t="str">
            <v/>
          </cell>
          <cell r="AC2708" t="str">
            <v/>
          </cell>
          <cell r="AD2708" t="str">
            <v/>
          </cell>
          <cell r="AY2708" t="str">
            <v/>
          </cell>
          <cell r="AZ2708" t="str">
            <v/>
          </cell>
          <cell r="BA2708" t="str">
            <v/>
          </cell>
        </row>
        <row r="2709">
          <cell r="B2709" t="str">
            <v>-</v>
          </cell>
          <cell r="E2709" t="str">
            <v/>
          </cell>
          <cell r="G2709" t="str">
            <v/>
          </cell>
          <cell r="J2709" t="str">
            <v/>
          </cell>
          <cell r="O2709" t="str">
            <v/>
          </cell>
          <cell r="P2709" t="str">
            <v/>
          </cell>
          <cell r="Q2709" t="str">
            <v/>
          </cell>
          <cell r="S2709" t="str">
            <v/>
          </cell>
          <cell r="V2709" t="str">
            <v/>
          </cell>
          <cell r="Z2709" t="str">
            <v/>
          </cell>
          <cell r="AA2709" t="str">
            <v/>
          </cell>
          <cell r="AB2709" t="str">
            <v/>
          </cell>
          <cell r="AC2709" t="str">
            <v/>
          </cell>
          <cell r="AD2709" t="str">
            <v/>
          </cell>
          <cell r="AY2709" t="str">
            <v/>
          </cell>
          <cell r="AZ2709" t="str">
            <v/>
          </cell>
          <cell r="BA2709" t="str">
            <v/>
          </cell>
        </row>
        <row r="2710">
          <cell r="B2710" t="str">
            <v>-</v>
          </cell>
          <cell r="E2710" t="str">
            <v/>
          </cell>
          <cell r="G2710" t="str">
            <v/>
          </cell>
          <cell r="J2710" t="str">
            <v/>
          </cell>
          <cell r="O2710" t="str">
            <v/>
          </cell>
          <cell r="P2710" t="str">
            <v/>
          </cell>
          <cell r="Q2710" t="str">
            <v/>
          </cell>
          <cell r="S2710" t="str">
            <v/>
          </cell>
          <cell r="V2710" t="str">
            <v/>
          </cell>
          <cell r="Z2710" t="str">
            <v/>
          </cell>
          <cell r="AA2710" t="str">
            <v/>
          </cell>
          <cell r="AB2710" t="str">
            <v/>
          </cell>
          <cell r="AC2710" t="str">
            <v/>
          </cell>
          <cell r="AD2710" t="str">
            <v/>
          </cell>
          <cell r="AY2710" t="str">
            <v/>
          </cell>
          <cell r="AZ2710" t="str">
            <v/>
          </cell>
          <cell r="BA2710" t="str">
            <v/>
          </cell>
        </row>
        <row r="2711">
          <cell r="B2711" t="str">
            <v>-</v>
          </cell>
          <cell r="E2711" t="str">
            <v/>
          </cell>
          <cell r="G2711" t="str">
            <v/>
          </cell>
          <cell r="J2711" t="str">
            <v/>
          </cell>
          <cell r="O2711" t="str">
            <v/>
          </cell>
          <cell r="P2711" t="str">
            <v/>
          </cell>
          <cell r="Q2711" t="str">
            <v/>
          </cell>
          <cell r="S2711" t="str">
            <v/>
          </cell>
          <cell r="V2711" t="str">
            <v/>
          </cell>
          <cell r="Z2711" t="str">
            <v/>
          </cell>
          <cell r="AA2711" t="str">
            <v/>
          </cell>
          <cell r="AB2711" t="str">
            <v/>
          </cell>
          <cell r="AC2711" t="str">
            <v/>
          </cell>
          <cell r="AD2711" t="str">
            <v/>
          </cell>
          <cell r="AY2711" t="str">
            <v/>
          </cell>
          <cell r="AZ2711" t="str">
            <v/>
          </cell>
          <cell r="BA2711" t="str">
            <v/>
          </cell>
        </row>
        <row r="2712">
          <cell r="B2712" t="str">
            <v>-</v>
          </cell>
          <cell r="E2712" t="str">
            <v/>
          </cell>
          <cell r="G2712" t="str">
            <v/>
          </cell>
          <cell r="J2712" t="str">
            <v/>
          </cell>
          <cell r="O2712" t="str">
            <v/>
          </cell>
          <cell r="P2712" t="str">
            <v/>
          </cell>
          <cell r="Q2712" t="str">
            <v/>
          </cell>
          <cell r="S2712" t="str">
            <v/>
          </cell>
          <cell r="V2712" t="str">
            <v/>
          </cell>
          <cell r="Z2712" t="str">
            <v/>
          </cell>
          <cell r="AA2712" t="str">
            <v/>
          </cell>
          <cell r="AB2712" t="str">
            <v/>
          </cell>
          <cell r="AC2712" t="str">
            <v/>
          </cell>
          <cell r="AD2712" t="str">
            <v/>
          </cell>
          <cell r="AY2712" t="str">
            <v/>
          </cell>
          <cell r="AZ2712" t="str">
            <v/>
          </cell>
          <cell r="BA2712" t="str">
            <v/>
          </cell>
        </row>
        <row r="2713">
          <cell r="B2713" t="str">
            <v>-</v>
          </cell>
          <cell r="E2713" t="str">
            <v/>
          </cell>
          <cell r="G2713" t="str">
            <v/>
          </cell>
          <cell r="J2713" t="str">
            <v/>
          </cell>
          <cell r="O2713" t="str">
            <v/>
          </cell>
          <cell r="P2713" t="str">
            <v/>
          </cell>
          <cell r="Q2713" t="str">
            <v/>
          </cell>
          <cell r="S2713" t="str">
            <v/>
          </cell>
          <cell r="V2713" t="str">
            <v/>
          </cell>
          <cell r="Z2713" t="str">
            <v/>
          </cell>
          <cell r="AA2713" t="str">
            <v/>
          </cell>
          <cell r="AB2713" t="str">
            <v/>
          </cell>
          <cell r="AC2713" t="str">
            <v/>
          </cell>
          <cell r="AD2713" t="str">
            <v/>
          </cell>
          <cell r="AY2713" t="str">
            <v/>
          </cell>
          <cell r="AZ2713" t="str">
            <v/>
          </cell>
          <cell r="BA2713" t="str">
            <v/>
          </cell>
        </row>
        <row r="2714">
          <cell r="B2714" t="str">
            <v>-</v>
          </cell>
          <cell r="E2714" t="str">
            <v/>
          </cell>
          <cell r="G2714" t="str">
            <v/>
          </cell>
          <cell r="J2714" t="str">
            <v/>
          </cell>
          <cell r="O2714" t="str">
            <v/>
          </cell>
          <cell r="P2714" t="str">
            <v/>
          </cell>
          <cell r="Q2714" t="str">
            <v/>
          </cell>
          <cell r="S2714" t="str">
            <v/>
          </cell>
          <cell r="V2714" t="str">
            <v/>
          </cell>
          <cell r="Z2714" t="str">
            <v/>
          </cell>
          <cell r="AA2714" t="str">
            <v/>
          </cell>
          <cell r="AB2714" t="str">
            <v/>
          </cell>
          <cell r="AC2714" t="str">
            <v/>
          </cell>
          <cell r="AD2714" t="str">
            <v/>
          </cell>
          <cell r="AY2714" t="str">
            <v/>
          </cell>
          <cell r="AZ2714" t="str">
            <v/>
          </cell>
          <cell r="BA2714" t="str">
            <v/>
          </cell>
        </row>
        <row r="2715">
          <cell r="B2715" t="str">
            <v>-</v>
          </cell>
          <cell r="E2715" t="str">
            <v/>
          </cell>
          <cell r="G2715" t="str">
            <v/>
          </cell>
          <cell r="J2715" t="str">
            <v/>
          </cell>
          <cell r="O2715" t="str">
            <v/>
          </cell>
          <cell r="P2715" t="str">
            <v/>
          </cell>
          <cell r="Q2715" t="str">
            <v/>
          </cell>
          <cell r="S2715" t="str">
            <v/>
          </cell>
          <cell r="V2715" t="str">
            <v/>
          </cell>
          <cell r="Z2715" t="str">
            <v/>
          </cell>
          <cell r="AA2715" t="str">
            <v/>
          </cell>
          <cell r="AB2715" t="str">
            <v/>
          </cell>
          <cell r="AC2715" t="str">
            <v/>
          </cell>
          <cell r="AD2715" t="str">
            <v/>
          </cell>
          <cell r="AY2715" t="str">
            <v/>
          </cell>
          <cell r="AZ2715" t="str">
            <v/>
          </cell>
          <cell r="BA2715" t="str">
            <v/>
          </cell>
        </row>
        <row r="2716">
          <cell r="B2716" t="str">
            <v>-</v>
          </cell>
          <cell r="E2716" t="str">
            <v/>
          </cell>
          <cell r="G2716" t="str">
            <v/>
          </cell>
          <cell r="J2716" t="str">
            <v/>
          </cell>
          <cell r="O2716" t="str">
            <v/>
          </cell>
          <cell r="P2716" t="str">
            <v/>
          </cell>
          <cell r="Q2716" t="str">
            <v/>
          </cell>
          <cell r="S2716" t="str">
            <v/>
          </cell>
          <cell r="V2716" t="str">
            <v/>
          </cell>
          <cell r="Z2716" t="str">
            <v/>
          </cell>
          <cell r="AA2716" t="str">
            <v/>
          </cell>
          <cell r="AB2716" t="str">
            <v/>
          </cell>
          <cell r="AC2716" t="str">
            <v/>
          </cell>
          <cell r="AD2716" t="str">
            <v/>
          </cell>
          <cell r="AY2716" t="str">
            <v/>
          </cell>
          <cell r="AZ2716" t="str">
            <v/>
          </cell>
          <cell r="BA2716" t="str">
            <v/>
          </cell>
        </row>
        <row r="2717">
          <cell r="B2717" t="str">
            <v>-</v>
          </cell>
          <cell r="E2717" t="str">
            <v/>
          </cell>
          <cell r="G2717" t="str">
            <v/>
          </cell>
          <cell r="J2717" t="str">
            <v/>
          </cell>
          <cell r="O2717" t="str">
            <v/>
          </cell>
          <cell r="P2717" t="str">
            <v/>
          </cell>
          <cell r="Q2717" t="str">
            <v/>
          </cell>
          <cell r="S2717" t="str">
            <v/>
          </cell>
          <cell r="V2717" t="str">
            <v/>
          </cell>
          <cell r="Z2717" t="str">
            <v/>
          </cell>
          <cell r="AA2717" t="str">
            <v/>
          </cell>
          <cell r="AB2717" t="str">
            <v/>
          </cell>
          <cell r="AC2717" t="str">
            <v/>
          </cell>
          <cell r="AD2717" t="str">
            <v/>
          </cell>
          <cell r="AY2717" t="str">
            <v/>
          </cell>
          <cell r="AZ2717" t="str">
            <v/>
          </cell>
          <cell r="BA2717" t="str">
            <v/>
          </cell>
        </row>
        <row r="2718">
          <cell r="B2718" t="str">
            <v>-</v>
          </cell>
          <cell r="E2718" t="str">
            <v/>
          </cell>
          <cell r="G2718" t="str">
            <v/>
          </cell>
          <cell r="J2718" t="str">
            <v/>
          </cell>
          <cell r="O2718" t="str">
            <v/>
          </cell>
          <cell r="P2718" t="str">
            <v/>
          </cell>
          <cell r="Q2718" t="str">
            <v/>
          </cell>
          <cell r="S2718" t="str">
            <v/>
          </cell>
          <cell r="V2718" t="str">
            <v/>
          </cell>
          <cell r="Z2718" t="str">
            <v/>
          </cell>
          <cell r="AA2718" t="str">
            <v/>
          </cell>
          <cell r="AB2718" t="str">
            <v/>
          </cell>
          <cell r="AC2718" t="str">
            <v/>
          </cell>
          <cell r="AD2718" t="str">
            <v/>
          </cell>
          <cell r="AY2718" t="str">
            <v/>
          </cell>
          <cell r="AZ2718" t="str">
            <v/>
          </cell>
          <cell r="BA2718" t="str">
            <v/>
          </cell>
        </row>
        <row r="2719">
          <cell r="B2719" t="str">
            <v>-</v>
          </cell>
          <cell r="E2719" t="str">
            <v/>
          </cell>
          <cell r="G2719" t="str">
            <v/>
          </cell>
          <cell r="J2719" t="str">
            <v/>
          </cell>
          <cell r="O2719" t="str">
            <v/>
          </cell>
          <cell r="P2719" t="str">
            <v/>
          </cell>
          <cell r="Q2719" t="str">
            <v/>
          </cell>
          <cell r="S2719" t="str">
            <v/>
          </cell>
          <cell r="V2719" t="str">
            <v/>
          </cell>
          <cell r="Z2719" t="str">
            <v/>
          </cell>
          <cell r="AA2719" t="str">
            <v/>
          </cell>
          <cell r="AB2719" t="str">
            <v/>
          </cell>
          <cell r="AC2719" t="str">
            <v/>
          </cell>
          <cell r="AD2719" t="str">
            <v/>
          </cell>
          <cell r="AY2719" t="str">
            <v/>
          </cell>
          <cell r="AZ2719" t="str">
            <v/>
          </cell>
          <cell r="BA2719" t="str">
            <v/>
          </cell>
        </row>
        <row r="2720">
          <cell r="B2720" t="str">
            <v>-</v>
          </cell>
          <cell r="E2720" t="str">
            <v/>
          </cell>
          <cell r="G2720" t="str">
            <v/>
          </cell>
          <cell r="J2720" t="str">
            <v/>
          </cell>
          <cell r="O2720" t="str">
            <v/>
          </cell>
          <cell r="P2720" t="str">
            <v/>
          </cell>
          <cell r="Q2720" t="str">
            <v/>
          </cell>
          <cell r="S2720" t="str">
            <v/>
          </cell>
          <cell r="V2720" t="str">
            <v/>
          </cell>
          <cell r="Z2720" t="str">
            <v/>
          </cell>
          <cell r="AA2720" t="str">
            <v/>
          </cell>
          <cell r="AB2720" t="str">
            <v/>
          </cell>
          <cell r="AC2720" t="str">
            <v/>
          </cell>
          <cell r="AD2720" t="str">
            <v/>
          </cell>
          <cell r="AY2720" t="str">
            <v/>
          </cell>
          <cell r="AZ2720" t="str">
            <v/>
          </cell>
          <cell r="BA2720" t="str">
            <v/>
          </cell>
        </row>
        <row r="2721">
          <cell r="B2721" t="str">
            <v>-</v>
          </cell>
          <cell r="E2721" t="str">
            <v/>
          </cell>
          <cell r="G2721" t="str">
            <v/>
          </cell>
          <cell r="J2721" t="str">
            <v/>
          </cell>
          <cell r="O2721" t="str">
            <v/>
          </cell>
          <cell r="P2721" t="str">
            <v/>
          </cell>
          <cell r="Q2721" t="str">
            <v/>
          </cell>
          <cell r="S2721" t="str">
            <v/>
          </cell>
          <cell r="V2721" t="str">
            <v/>
          </cell>
          <cell r="Z2721" t="str">
            <v/>
          </cell>
          <cell r="AA2721" t="str">
            <v/>
          </cell>
          <cell r="AB2721" t="str">
            <v/>
          </cell>
          <cell r="AC2721" t="str">
            <v/>
          </cell>
          <cell r="AD2721" t="str">
            <v/>
          </cell>
          <cell r="AY2721" t="str">
            <v/>
          </cell>
          <cell r="AZ2721" t="str">
            <v/>
          </cell>
          <cell r="BA2721" t="str">
            <v/>
          </cell>
        </row>
        <row r="2722">
          <cell r="B2722" t="str">
            <v>-</v>
          </cell>
          <cell r="E2722" t="str">
            <v/>
          </cell>
          <cell r="G2722" t="str">
            <v/>
          </cell>
          <cell r="J2722" t="str">
            <v/>
          </cell>
          <cell r="O2722" t="str">
            <v/>
          </cell>
          <cell r="P2722" t="str">
            <v/>
          </cell>
          <cell r="Q2722" t="str">
            <v/>
          </cell>
          <cell r="S2722" t="str">
            <v/>
          </cell>
          <cell r="V2722" t="str">
            <v/>
          </cell>
          <cell r="Z2722" t="str">
            <v/>
          </cell>
          <cell r="AA2722" t="str">
            <v/>
          </cell>
          <cell r="AB2722" t="str">
            <v/>
          </cell>
          <cell r="AC2722" t="str">
            <v/>
          </cell>
          <cell r="AD2722" t="str">
            <v/>
          </cell>
          <cell r="AY2722" t="str">
            <v/>
          </cell>
          <cell r="AZ2722" t="str">
            <v/>
          </cell>
          <cell r="BA2722" t="str">
            <v/>
          </cell>
        </row>
        <row r="2723">
          <cell r="B2723" t="str">
            <v>-</v>
          </cell>
          <cell r="E2723" t="str">
            <v/>
          </cell>
          <cell r="G2723" t="str">
            <v/>
          </cell>
          <cell r="J2723" t="str">
            <v/>
          </cell>
          <cell r="O2723" t="str">
            <v/>
          </cell>
          <cell r="P2723" t="str">
            <v/>
          </cell>
          <cell r="Q2723" t="str">
            <v/>
          </cell>
          <cell r="S2723" t="str">
            <v/>
          </cell>
          <cell r="V2723" t="str">
            <v/>
          </cell>
          <cell r="Z2723" t="str">
            <v/>
          </cell>
          <cell r="AA2723" t="str">
            <v/>
          </cell>
          <cell r="AB2723" t="str">
            <v/>
          </cell>
          <cell r="AC2723" t="str">
            <v/>
          </cell>
          <cell r="AD2723" t="str">
            <v/>
          </cell>
          <cell r="AY2723" t="str">
            <v/>
          </cell>
          <cell r="AZ2723" t="str">
            <v/>
          </cell>
          <cell r="BA2723" t="str">
            <v/>
          </cell>
        </row>
        <row r="2724">
          <cell r="B2724" t="str">
            <v>-</v>
          </cell>
          <cell r="E2724" t="str">
            <v/>
          </cell>
          <cell r="G2724" t="str">
            <v/>
          </cell>
          <cell r="J2724" t="str">
            <v/>
          </cell>
          <cell r="O2724" t="str">
            <v/>
          </cell>
          <cell r="P2724" t="str">
            <v/>
          </cell>
          <cell r="Q2724" t="str">
            <v/>
          </cell>
          <cell r="S2724" t="str">
            <v/>
          </cell>
          <cell r="V2724" t="str">
            <v/>
          </cell>
          <cell r="Z2724" t="str">
            <v/>
          </cell>
          <cell r="AA2724" t="str">
            <v/>
          </cell>
          <cell r="AB2724" t="str">
            <v/>
          </cell>
          <cell r="AC2724" t="str">
            <v/>
          </cell>
          <cell r="AD2724" t="str">
            <v/>
          </cell>
          <cell r="AY2724" t="str">
            <v/>
          </cell>
          <cell r="AZ2724" t="str">
            <v/>
          </cell>
          <cell r="BA2724" t="str">
            <v/>
          </cell>
        </row>
        <row r="2725">
          <cell r="B2725" t="str">
            <v>-</v>
          </cell>
          <cell r="E2725" t="str">
            <v/>
          </cell>
          <cell r="G2725" t="str">
            <v/>
          </cell>
          <cell r="J2725" t="str">
            <v/>
          </cell>
          <cell r="O2725" t="str">
            <v/>
          </cell>
          <cell r="P2725" t="str">
            <v/>
          </cell>
          <cell r="Q2725" t="str">
            <v/>
          </cell>
          <cell r="S2725" t="str">
            <v/>
          </cell>
          <cell r="V2725" t="str">
            <v/>
          </cell>
          <cell r="Z2725" t="str">
            <v/>
          </cell>
          <cell r="AA2725" t="str">
            <v/>
          </cell>
          <cell r="AB2725" t="str">
            <v/>
          </cell>
          <cell r="AC2725" t="str">
            <v/>
          </cell>
          <cell r="AD2725" t="str">
            <v/>
          </cell>
          <cell r="AY2725" t="str">
            <v/>
          </cell>
          <cell r="AZ2725" t="str">
            <v/>
          </cell>
          <cell r="BA2725" t="str">
            <v/>
          </cell>
        </row>
        <row r="2726">
          <cell r="B2726" t="str">
            <v>-</v>
          </cell>
          <cell r="E2726" t="str">
            <v/>
          </cell>
          <cell r="G2726" t="str">
            <v/>
          </cell>
          <cell r="J2726" t="str">
            <v/>
          </cell>
          <cell r="O2726" t="str">
            <v/>
          </cell>
          <cell r="P2726" t="str">
            <v/>
          </cell>
          <cell r="Q2726" t="str">
            <v/>
          </cell>
          <cell r="S2726" t="str">
            <v/>
          </cell>
          <cell r="V2726" t="str">
            <v/>
          </cell>
          <cell r="Z2726" t="str">
            <v/>
          </cell>
          <cell r="AA2726" t="str">
            <v/>
          </cell>
          <cell r="AB2726" t="str">
            <v/>
          </cell>
          <cell r="AC2726" t="str">
            <v/>
          </cell>
          <cell r="AD2726" t="str">
            <v/>
          </cell>
          <cell r="AY2726" t="str">
            <v/>
          </cell>
          <cell r="AZ2726" t="str">
            <v/>
          </cell>
          <cell r="BA2726" t="str">
            <v/>
          </cell>
        </row>
        <row r="2727">
          <cell r="B2727" t="str">
            <v>-</v>
          </cell>
          <cell r="E2727" t="str">
            <v/>
          </cell>
          <cell r="G2727" t="str">
            <v/>
          </cell>
          <cell r="J2727" t="str">
            <v/>
          </cell>
          <cell r="O2727" t="str">
            <v/>
          </cell>
          <cell r="P2727" t="str">
            <v/>
          </cell>
          <cell r="Q2727" t="str">
            <v/>
          </cell>
          <cell r="S2727" t="str">
            <v/>
          </cell>
          <cell r="V2727" t="str">
            <v/>
          </cell>
          <cell r="Z2727" t="str">
            <v/>
          </cell>
          <cell r="AA2727" t="str">
            <v/>
          </cell>
          <cell r="AB2727" t="str">
            <v/>
          </cell>
          <cell r="AC2727" t="str">
            <v/>
          </cell>
          <cell r="AD2727" t="str">
            <v/>
          </cell>
          <cell r="AY2727" t="str">
            <v/>
          </cell>
          <cell r="AZ2727" t="str">
            <v/>
          </cell>
          <cell r="BA2727" t="str">
            <v/>
          </cell>
        </row>
        <row r="2728">
          <cell r="B2728" t="str">
            <v>-</v>
          </cell>
          <cell r="E2728" t="str">
            <v/>
          </cell>
          <cell r="G2728" t="str">
            <v/>
          </cell>
          <cell r="J2728" t="str">
            <v/>
          </cell>
          <cell r="O2728" t="str">
            <v/>
          </cell>
          <cell r="P2728" t="str">
            <v/>
          </cell>
          <cell r="Q2728" t="str">
            <v/>
          </cell>
          <cell r="S2728" t="str">
            <v/>
          </cell>
          <cell r="V2728" t="str">
            <v/>
          </cell>
          <cell r="Z2728" t="str">
            <v/>
          </cell>
          <cell r="AA2728" t="str">
            <v/>
          </cell>
          <cell r="AB2728" t="str">
            <v/>
          </cell>
          <cell r="AC2728" t="str">
            <v/>
          </cell>
          <cell r="AD2728" t="str">
            <v/>
          </cell>
          <cell r="AY2728" t="str">
            <v/>
          </cell>
          <cell r="AZ2728" t="str">
            <v/>
          </cell>
          <cell r="BA2728" t="str">
            <v/>
          </cell>
        </row>
        <row r="2729">
          <cell r="B2729" t="str">
            <v>-</v>
          </cell>
          <cell r="E2729" t="str">
            <v/>
          </cell>
          <cell r="G2729" t="str">
            <v/>
          </cell>
          <cell r="J2729" t="str">
            <v/>
          </cell>
          <cell r="O2729" t="str">
            <v/>
          </cell>
          <cell r="P2729" t="str">
            <v/>
          </cell>
          <cell r="Q2729" t="str">
            <v/>
          </cell>
          <cell r="S2729" t="str">
            <v/>
          </cell>
          <cell r="V2729" t="str">
            <v/>
          </cell>
          <cell r="Z2729" t="str">
            <v/>
          </cell>
          <cell r="AA2729" t="str">
            <v/>
          </cell>
          <cell r="AB2729" t="str">
            <v/>
          </cell>
          <cell r="AC2729" t="str">
            <v/>
          </cell>
          <cell r="AD2729" t="str">
            <v/>
          </cell>
          <cell r="AY2729" t="str">
            <v/>
          </cell>
          <cell r="AZ2729" t="str">
            <v/>
          </cell>
          <cell r="BA2729" t="str">
            <v/>
          </cell>
        </row>
        <row r="2730">
          <cell r="B2730" t="str">
            <v>-</v>
          </cell>
          <cell r="E2730" t="str">
            <v/>
          </cell>
          <cell r="G2730" t="str">
            <v/>
          </cell>
          <cell r="J2730" t="str">
            <v/>
          </cell>
          <cell r="O2730" t="str">
            <v/>
          </cell>
          <cell r="P2730" t="str">
            <v/>
          </cell>
          <cell r="Q2730" t="str">
            <v/>
          </cell>
          <cell r="S2730" t="str">
            <v/>
          </cell>
          <cell r="V2730" t="str">
            <v/>
          </cell>
          <cell r="Z2730" t="str">
            <v/>
          </cell>
          <cell r="AA2730" t="str">
            <v/>
          </cell>
          <cell r="AB2730" t="str">
            <v/>
          </cell>
          <cell r="AC2730" t="str">
            <v/>
          </cell>
          <cell r="AD2730" t="str">
            <v/>
          </cell>
          <cell r="AY2730" t="str">
            <v/>
          </cell>
          <cell r="AZ2730" t="str">
            <v/>
          </cell>
          <cell r="BA2730" t="str">
            <v/>
          </cell>
        </row>
        <row r="2731">
          <cell r="B2731" t="str">
            <v>-</v>
          </cell>
          <cell r="E2731" t="str">
            <v/>
          </cell>
          <cell r="G2731" t="str">
            <v/>
          </cell>
          <cell r="J2731" t="str">
            <v/>
          </cell>
          <cell r="O2731" t="str">
            <v/>
          </cell>
          <cell r="P2731" t="str">
            <v/>
          </cell>
          <cell r="Q2731" t="str">
            <v/>
          </cell>
          <cell r="S2731" t="str">
            <v/>
          </cell>
          <cell r="V2731" t="str">
            <v/>
          </cell>
          <cell r="Z2731" t="str">
            <v/>
          </cell>
          <cell r="AA2731" t="str">
            <v/>
          </cell>
          <cell r="AB2731" t="str">
            <v/>
          </cell>
          <cell r="AC2731" t="str">
            <v/>
          </cell>
          <cell r="AD2731" t="str">
            <v/>
          </cell>
          <cell r="AY2731" t="str">
            <v/>
          </cell>
          <cell r="AZ2731" t="str">
            <v/>
          </cell>
          <cell r="BA2731" t="str">
            <v/>
          </cell>
        </row>
        <row r="2732">
          <cell r="B2732" t="str">
            <v>-</v>
          </cell>
          <cell r="E2732" t="str">
            <v/>
          </cell>
          <cell r="G2732" t="str">
            <v/>
          </cell>
          <cell r="J2732" t="str">
            <v/>
          </cell>
          <cell r="O2732" t="str">
            <v/>
          </cell>
          <cell r="P2732" t="str">
            <v/>
          </cell>
          <cell r="Q2732" t="str">
            <v/>
          </cell>
          <cell r="S2732" t="str">
            <v/>
          </cell>
          <cell r="V2732" t="str">
            <v/>
          </cell>
          <cell r="Z2732" t="str">
            <v/>
          </cell>
          <cell r="AA2732" t="str">
            <v/>
          </cell>
          <cell r="AB2732" t="str">
            <v/>
          </cell>
          <cell r="AC2732" t="str">
            <v/>
          </cell>
          <cell r="AD2732" t="str">
            <v/>
          </cell>
          <cell r="AY2732" t="str">
            <v/>
          </cell>
          <cell r="AZ2732" t="str">
            <v/>
          </cell>
          <cell r="BA2732" t="str">
            <v/>
          </cell>
        </row>
        <row r="2733">
          <cell r="B2733" t="str">
            <v>-</v>
          </cell>
          <cell r="E2733" t="str">
            <v/>
          </cell>
          <cell r="G2733" t="str">
            <v/>
          </cell>
          <cell r="J2733" t="str">
            <v/>
          </cell>
          <cell r="O2733" t="str">
            <v/>
          </cell>
          <cell r="P2733" t="str">
            <v/>
          </cell>
          <cell r="Q2733" t="str">
            <v/>
          </cell>
          <cell r="S2733" t="str">
            <v/>
          </cell>
          <cell r="V2733" t="str">
            <v/>
          </cell>
          <cell r="Z2733" t="str">
            <v/>
          </cell>
          <cell r="AA2733" t="str">
            <v/>
          </cell>
          <cell r="AB2733" t="str">
            <v/>
          </cell>
          <cell r="AC2733" t="str">
            <v/>
          </cell>
          <cell r="AD2733" t="str">
            <v/>
          </cell>
          <cell r="AY2733" t="str">
            <v/>
          </cell>
          <cell r="AZ2733" t="str">
            <v/>
          </cell>
          <cell r="BA2733" t="str">
            <v/>
          </cell>
        </row>
        <row r="2734">
          <cell r="B2734" t="str">
            <v>-</v>
          </cell>
          <cell r="E2734" t="str">
            <v/>
          </cell>
          <cell r="G2734" t="str">
            <v/>
          </cell>
          <cell r="J2734" t="str">
            <v/>
          </cell>
          <cell r="O2734" t="str">
            <v/>
          </cell>
          <cell r="P2734" t="str">
            <v/>
          </cell>
          <cell r="Q2734" t="str">
            <v/>
          </cell>
          <cell r="S2734" t="str">
            <v/>
          </cell>
          <cell r="V2734" t="str">
            <v/>
          </cell>
          <cell r="Z2734" t="str">
            <v/>
          </cell>
          <cell r="AA2734" t="str">
            <v/>
          </cell>
          <cell r="AB2734" t="str">
            <v/>
          </cell>
          <cell r="AC2734" t="str">
            <v/>
          </cell>
          <cell r="AD2734" t="str">
            <v/>
          </cell>
          <cell r="AY2734" t="str">
            <v/>
          </cell>
          <cell r="AZ2734" t="str">
            <v/>
          </cell>
          <cell r="BA2734" t="str">
            <v/>
          </cell>
        </row>
        <row r="2735">
          <cell r="B2735" t="str">
            <v>-</v>
          </cell>
          <cell r="E2735" t="str">
            <v/>
          </cell>
          <cell r="G2735" t="str">
            <v/>
          </cell>
          <cell r="J2735" t="str">
            <v/>
          </cell>
          <cell r="O2735" t="str">
            <v/>
          </cell>
          <cell r="P2735" t="str">
            <v/>
          </cell>
          <cell r="Q2735" t="str">
            <v/>
          </cell>
          <cell r="S2735" t="str">
            <v/>
          </cell>
          <cell r="V2735" t="str">
            <v/>
          </cell>
          <cell r="Z2735" t="str">
            <v/>
          </cell>
          <cell r="AA2735" t="str">
            <v/>
          </cell>
          <cell r="AB2735" t="str">
            <v/>
          </cell>
          <cell r="AC2735" t="str">
            <v/>
          </cell>
          <cell r="AD2735" t="str">
            <v/>
          </cell>
          <cell r="AY2735" t="str">
            <v/>
          </cell>
          <cell r="AZ2735" t="str">
            <v/>
          </cell>
          <cell r="BA2735" t="str">
            <v/>
          </cell>
        </row>
        <row r="2736">
          <cell r="B2736" t="str">
            <v>-</v>
          </cell>
          <cell r="E2736" t="str">
            <v/>
          </cell>
          <cell r="G2736" t="str">
            <v/>
          </cell>
          <cell r="J2736" t="str">
            <v/>
          </cell>
          <cell r="O2736" t="str">
            <v/>
          </cell>
          <cell r="P2736" t="str">
            <v/>
          </cell>
          <cell r="Q2736" t="str">
            <v/>
          </cell>
          <cell r="S2736" t="str">
            <v/>
          </cell>
          <cell r="V2736" t="str">
            <v/>
          </cell>
          <cell r="Z2736" t="str">
            <v/>
          </cell>
          <cell r="AA2736" t="str">
            <v/>
          </cell>
          <cell r="AB2736" t="str">
            <v/>
          </cell>
          <cell r="AC2736" t="str">
            <v/>
          </cell>
          <cell r="AD2736" t="str">
            <v/>
          </cell>
          <cell r="AY2736" t="str">
            <v/>
          </cell>
          <cell r="AZ2736" t="str">
            <v/>
          </cell>
          <cell r="BA2736" t="str">
            <v/>
          </cell>
        </row>
        <row r="2737">
          <cell r="B2737" t="str">
            <v>-</v>
          </cell>
          <cell r="E2737" t="str">
            <v/>
          </cell>
          <cell r="G2737" t="str">
            <v/>
          </cell>
          <cell r="J2737" t="str">
            <v/>
          </cell>
          <cell r="O2737" t="str">
            <v/>
          </cell>
          <cell r="P2737" t="str">
            <v/>
          </cell>
          <cell r="Q2737" t="str">
            <v/>
          </cell>
          <cell r="S2737" t="str">
            <v/>
          </cell>
          <cell r="V2737" t="str">
            <v/>
          </cell>
          <cell r="Z2737" t="str">
            <v/>
          </cell>
          <cell r="AA2737" t="str">
            <v/>
          </cell>
          <cell r="AB2737" t="str">
            <v/>
          </cell>
          <cell r="AC2737" t="str">
            <v/>
          </cell>
          <cell r="AD2737" t="str">
            <v/>
          </cell>
          <cell r="AY2737" t="str">
            <v/>
          </cell>
          <cell r="AZ2737" t="str">
            <v/>
          </cell>
          <cell r="BA2737" t="str">
            <v/>
          </cell>
        </row>
        <row r="2738">
          <cell r="B2738" t="str">
            <v>-</v>
          </cell>
          <cell r="E2738" t="str">
            <v/>
          </cell>
          <cell r="G2738" t="str">
            <v/>
          </cell>
          <cell r="J2738" t="str">
            <v/>
          </cell>
          <cell r="O2738" t="str">
            <v/>
          </cell>
          <cell r="P2738" t="str">
            <v/>
          </cell>
          <cell r="Q2738" t="str">
            <v/>
          </cell>
          <cell r="S2738" t="str">
            <v/>
          </cell>
          <cell r="V2738" t="str">
            <v/>
          </cell>
          <cell r="Z2738" t="str">
            <v/>
          </cell>
          <cell r="AA2738" t="str">
            <v/>
          </cell>
          <cell r="AB2738" t="str">
            <v/>
          </cell>
          <cell r="AC2738" t="str">
            <v/>
          </cell>
          <cell r="AD2738" t="str">
            <v/>
          </cell>
          <cell r="AY2738" t="str">
            <v/>
          </cell>
          <cell r="AZ2738" t="str">
            <v/>
          </cell>
          <cell r="BA2738" t="str">
            <v/>
          </cell>
        </row>
        <row r="2739">
          <cell r="B2739" t="str">
            <v>-</v>
          </cell>
          <cell r="E2739" t="str">
            <v/>
          </cell>
          <cell r="G2739" t="str">
            <v/>
          </cell>
          <cell r="J2739" t="str">
            <v/>
          </cell>
          <cell r="O2739" t="str">
            <v/>
          </cell>
          <cell r="P2739" t="str">
            <v/>
          </cell>
          <cell r="Q2739" t="str">
            <v/>
          </cell>
          <cell r="S2739" t="str">
            <v/>
          </cell>
          <cell r="V2739" t="str">
            <v/>
          </cell>
          <cell r="Z2739" t="str">
            <v/>
          </cell>
          <cell r="AA2739" t="str">
            <v/>
          </cell>
          <cell r="AB2739" t="str">
            <v/>
          </cell>
          <cell r="AC2739" t="str">
            <v/>
          </cell>
          <cell r="AD2739" t="str">
            <v/>
          </cell>
          <cell r="AY2739" t="str">
            <v/>
          </cell>
          <cell r="AZ2739" t="str">
            <v/>
          </cell>
          <cell r="BA2739" t="str">
            <v/>
          </cell>
        </row>
        <row r="2740">
          <cell r="B2740" t="str">
            <v>-</v>
          </cell>
          <cell r="E2740" t="str">
            <v/>
          </cell>
          <cell r="G2740" t="str">
            <v/>
          </cell>
          <cell r="J2740" t="str">
            <v/>
          </cell>
          <cell r="O2740" t="str">
            <v/>
          </cell>
          <cell r="P2740" t="str">
            <v/>
          </cell>
          <cell r="Q2740" t="str">
            <v/>
          </cell>
          <cell r="S2740" t="str">
            <v/>
          </cell>
          <cell r="V2740" t="str">
            <v/>
          </cell>
          <cell r="Z2740" t="str">
            <v/>
          </cell>
          <cell r="AA2740" t="str">
            <v/>
          </cell>
          <cell r="AB2740" t="str">
            <v/>
          </cell>
          <cell r="AC2740" t="str">
            <v/>
          </cell>
          <cell r="AD2740" t="str">
            <v/>
          </cell>
          <cell r="AY2740" t="str">
            <v/>
          </cell>
          <cell r="AZ2740" t="str">
            <v/>
          </cell>
          <cell r="BA2740" t="str">
            <v/>
          </cell>
        </row>
        <row r="2741">
          <cell r="B2741" t="str">
            <v>-</v>
          </cell>
          <cell r="E2741" t="str">
            <v/>
          </cell>
          <cell r="G2741" t="str">
            <v/>
          </cell>
          <cell r="J2741" t="str">
            <v/>
          </cell>
          <cell r="O2741" t="str">
            <v/>
          </cell>
          <cell r="P2741" t="str">
            <v/>
          </cell>
          <cell r="Q2741" t="str">
            <v/>
          </cell>
          <cell r="S2741" t="str">
            <v/>
          </cell>
          <cell r="V2741" t="str">
            <v/>
          </cell>
          <cell r="Z2741" t="str">
            <v/>
          </cell>
          <cell r="AA2741" t="str">
            <v/>
          </cell>
          <cell r="AB2741" t="str">
            <v/>
          </cell>
          <cell r="AC2741" t="str">
            <v/>
          </cell>
          <cell r="AD2741" t="str">
            <v/>
          </cell>
          <cell r="AY2741" t="str">
            <v/>
          </cell>
          <cell r="AZ2741" t="str">
            <v/>
          </cell>
          <cell r="BA2741" t="str">
            <v/>
          </cell>
        </row>
        <row r="2742">
          <cell r="B2742" t="str">
            <v>-</v>
          </cell>
          <cell r="E2742" t="str">
            <v/>
          </cell>
          <cell r="G2742" t="str">
            <v/>
          </cell>
          <cell r="J2742" t="str">
            <v/>
          </cell>
          <cell r="O2742" t="str">
            <v/>
          </cell>
          <cell r="P2742" t="str">
            <v/>
          </cell>
          <cell r="Q2742" t="str">
            <v/>
          </cell>
          <cell r="S2742" t="str">
            <v/>
          </cell>
          <cell r="V2742" t="str">
            <v/>
          </cell>
          <cell r="Z2742" t="str">
            <v/>
          </cell>
          <cell r="AA2742" t="str">
            <v/>
          </cell>
          <cell r="AB2742" t="str">
            <v/>
          </cell>
          <cell r="AC2742" t="str">
            <v/>
          </cell>
          <cell r="AD2742" t="str">
            <v/>
          </cell>
          <cell r="AY2742" t="str">
            <v/>
          </cell>
          <cell r="AZ2742" t="str">
            <v/>
          </cell>
          <cell r="BA2742" t="str">
            <v/>
          </cell>
        </row>
        <row r="2743">
          <cell r="B2743" t="str">
            <v>-</v>
          </cell>
          <cell r="E2743" t="str">
            <v/>
          </cell>
          <cell r="G2743" t="str">
            <v/>
          </cell>
          <cell r="J2743" t="str">
            <v/>
          </cell>
          <cell r="O2743" t="str">
            <v/>
          </cell>
          <cell r="P2743" t="str">
            <v/>
          </cell>
          <cell r="Q2743" t="str">
            <v/>
          </cell>
          <cell r="S2743" t="str">
            <v/>
          </cell>
          <cell r="V2743" t="str">
            <v/>
          </cell>
          <cell r="Z2743" t="str">
            <v/>
          </cell>
          <cell r="AA2743" t="str">
            <v/>
          </cell>
          <cell r="AB2743" t="str">
            <v/>
          </cell>
          <cell r="AC2743" t="str">
            <v/>
          </cell>
          <cell r="AD2743" t="str">
            <v/>
          </cell>
          <cell r="AY2743" t="str">
            <v/>
          </cell>
          <cell r="AZ2743" t="str">
            <v/>
          </cell>
          <cell r="BA2743" t="str">
            <v/>
          </cell>
        </row>
        <row r="2744">
          <cell r="B2744" t="str">
            <v>-</v>
          </cell>
          <cell r="E2744" t="str">
            <v/>
          </cell>
          <cell r="G2744" t="str">
            <v/>
          </cell>
          <cell r="J2744" t="str">
            <v/>
          </cell>
          <cell r="O2744" t="str">
            <v/>
          </cell>
          <cell r="P2744" t="str">
            <v/>
          </cell>
          <cell r="Q2744" t="str">
            <v/>
          </cell>
          <cell r="S2744" t="str">
            <v/>
          </cell>
          <cell r="V2744" t="str">
            <v/>
          </cell>
          <cell r="Z2744" t="str">
            <v/>
          </cell>
          <cell r="AA2744" t="str">
            <v/>
          </cell>
          <cell r="AB2744" t="str">
            <v/>
          </cell>
          <cell r="AC2744" t="str">
            <v/>
          </cell>
          <cell r="AD2744" t="str">
            <v/>
          </cell>
          <cell r="AY2744" t="str">
            <v/>
          </cell>
          <cell r="AZ2744" t="str">
            <v/>
          </cell>
          <cell r="BA2744" t="str">
            <v/>
          </cell>
        </row>
        <row r="2745">
          <cell r="B2745" t="str">
            <v>-</v>
          </cell>
          <cell r="E2745" t="str">
            <v/>
          </cell>
          <cell r="G2745" t="str">
            <v/>
          </cell>
          <cell r="J2745" t="str">
            <v/>
          </cell>
          <cell r="O2745" t="str">
            <v/>
          </cell>
          <cell r="P2745" t="str">
            <v/>
          </cell>
          <cell r="Q2745" t="str">
            <v/>
          </cell>
          <cell r="S2745" t="str">
            <v/>
          </cell>
          <cell r="V2745" t="str">
            <v/>
          </cell>
          <cell r="Z2745" t="str">
            <v/>
          </cell>
          <cell r="AA2745" t="str">
            <v/>
          </cell>
          <cell r="AB2745" t="str">
            <v/>
          </cell>
          <cell r="AC2745" t="str">
            <v/>
          </cell>
          <cell r="AD2745" t="str">
            <v/>
          </cell>
          <cell r="AY2745" t="str">
            <v/>
          </cell>
          <cell r="AZ2745" t="str">
            <v/>
          </cell>
          <cell r="BA2745" t="str">
            <v/>
          </cell>
        </row>
        <row r="2746">
          <cell r="B2746" t="str">
            <v>-</v>
          </cell>
          <cell r="E2746" t="str">
            <v/>
          </cell>
          <cell r="G2746" t="str">
            <v/>
          </cell>
          <cell r="J2746" t="str">
            <v/>
          </cell>
          <cell r="O2746" t="str">
            <v/>
          </cell>
          <cell r="P2746" t="str">
            <v/>
          </cell>
          <cell r="Q2746" t="str">
            <v/>
          </cell>
          <cell r="S2746" t="str">
            <v/>
          </cell>
          <cell r="V2746" t="str">
            <v/>
          </cell>
          <cell r="Z2746" t="str">
            <v/>
          </cell>
          <cell r="AA2746" t="str">
            <v/>
          </cell>
          <cell r="AB2746" t="str">
            <v/>
          </cell>
          <cell r="AC2746" t="str">
            <v/>
          </cell>
          <cell r="AD2746" t="str">
            <v/>
          </cell>
          <cell r="AY2746" t="str">
            <v/>
          </cell>
          <cell r="AZ2746" t="str">
            <v/>
          </cell>
          <cell r="BA2746" t="str">
            <v/>
          </cell>
        </row>
        <row r="2747">
          <cell r="B2747" t="str">
            <v>-</v>
          </cell>
          <cell r="E2747" t="str">
            <v/>
          </cell>
          <cell r="G2747" t="str">
            <v/>
          </cell>
          <cell r="J2747" t="str">
            <v/>
          </cell>
          <cell r="O2747" t="str">
            <v/>
          </cell>
          <cell r="P2747" t="str">
            <v/>
          </cell>
          <cell r="Q2747" t="str">
            <v/>
          </cell>
          <cell r="S2747" t="str">
            <v/>
          </cell>
          <cell r="V2747" t="str">
            <v/>
          </cell>
          <cell r="Z2747" t="str">
            <v/>
          </cell>
          <cell r="AA2747" t="str">
            <v/>
          </cell>
          <cell r="AB2747" t="str">
            <v/>
          </cell>
          <cell r="AC2747" t="str">
            <v/>
          </cell>
          <cell r="AD2747" t="str">
            <v/>
          </cell>
          <cell r="AY2747" t="str">
            <v/>
          </cell>
          <cell r="AZ2747" t="str">
            <v/>
          </cell>
          <cell r="BA2747" t="str">
            <v/>
          </cell>
        </row>
        <row r="2748">
          <cell r="B2748" t="str">
            <v>-</v>
          </cell>
          <cell r="E2748" t="str">
            <v/>
          </cell>
          <cell r="G2748" t="str">
            <v/>
          </cell>
          <cell r="J2748" t="str">
            <v/>
          </cell>
          <cell r="O2748" t="str">
            <v/>
          </cell>
          <cell r="P2748" t="str">
            <v/>
          </cell>
          <cell r="Q2748" t="str">
            <v/>
          </cell>
          <cell r="S2748" t="str">
            <v/>
          </cell>
          <cell r="V2748" t="str">
            <v/>
          </cell>
          <cell r="Z2748" t="str">
            <v/>
          </cell>
          <cell r="AA2748" t="str">
            <v/>
          </cell>
          <cell r="AB2748" t="str">
            <v/>
          </cell>
          <cell r="AC2748" t="str">
            <v/>
          </cell>
          <cell r="AD2748" t="str">
            <v/>
          </cell>
          <cell r="AY2748" t="str">
            <v/>
          </cell>
          <cell r="AZ2748" t="str">
            <v/>
          </cell>
          <cell r="BA2748" t="str">
            <v/>
          </cell>
        </row>
        <row r="2749">
          <cell r="B2749" t="str">
            <v>-</v>
          </cell>
          <cell r="E2749" t="str">
            <v/>
          </cell>
          <cell r="G2749" t="str">
            <v/>
          </cell>
          <cell r="J2749" t="str">
            <v/>
          </cell>
          <cell r="O2749" t="str">
            <v/>
          </cell>
          <cell r="P2749" t="str">
            <v/>
          </cell>
          <cell r="Q2749" t="str">
            <v/>
          </cell>
          <cell r="S2749" t="str">
            <v/>
          </cell>
          <cell r="V2749" t="str">
            <v/>
          </cell>
          <cell r="Z2749" t="str">
            <v/>
          </cell>
          <cell r="AA2749" t="str">
            <v/>
          </cell>
          <cell r="AB2749" t="str">
            <v/>
          </cell>
          <cell r="AC2749" t="str">
            <v/>
          </cell>
          <cell r="AD2749" t="str">
            <v/>
          </cell>
          <cell r="AY2749" t="str">
            <v/>
          </cell>
          <cell r="AZ2749" t="str">
            <v/>
          </cell>
          <cell r="BA2749" t="str">
            <v/>
          </cell>
        </row>
        <row r="2750">
          <cell r="B2750" t="str">
            <v>-</v>
          </cell>
          <cell r="E2750" t="str">
            <v/>
          </cell>
          <cell r="G2750" t="str">
            <v/>
          </cell>
          <cell r="J2750" t="str">
            <v/>
          </cell>
          <cell r="O2750" t="str">
            <v/>
          </cell>
          <cell r="P2750" t="str">
            <v/>
          </cell>
          <cell r="Q2750" t="str">
            <v/>
          </cell>
          <cell r="S2750" t="str">
            <v/>
          </cell>
          <cell r="V2750" t="str">
            <v/>
          </cell>
          <cell r="Z2750" t="str">
            <v/>
          </cell>
          <cell r="AA2750" t="str">
            <v/>
          </cell>
          <cell r="AB2750" t="str">
            <v/>
          </cell>
          <cell r="AC2750" t="str">
            <v/>
          </cell>
          <cell r="AD2750" t="str">
            <v/>
          </cell>
          <cell r="AY2750" t="str">
            <v/>
          </cell>
          <cell r="AZ2750" t="str">
            <v/>
          </cell>
          <cell r="BA2750" t="str">
            <v/>
          </cell>
        </row>
        <row r="2751">
          <cell r="B2751" t="str">
            <v>-</v>
          </cell>
          <cell r="E2751" t="str">
            <v/>
          </cell>
          <cell r="G2751" t="str">
            <v/>
          </cell>
          <cell r="J2751" t="str">
            <v/>
          </cell>
          <cell r="O2751" t="str">
            <v/>
          </cell>
          <cell r="P2751" t="str">
            <v/>
          </cell>
          <cell r="Q2751" t="str">
            <v/>
          </cell>
          <cell r="S2751" t="str">
            <v/>
          </cell>
          <cell r="V2751" t="str">
            <v/>
          </cell>
          <cell r="Z2751" t="str">
            <v/>
          </cell>
          <cell r="AA2751" t="str">
            <v/>
          </cell>
          <cell r="AB2751" t="str">
            <v/>
          </cell>
          <cell r="AC2751" t="str">
            <v/>
          </cell>
          <cell r="AD2751" t="str">
            <v/>
          </cell>
          <cell r="AY2751" t="str">
            <v/>
          </cell>
          <cell r="AZ2751" t="str">
            <v/>
          </cell>
          <cell r="BA2751" t="str">
            <v/>
          </cell>
        </row>
        <row r="2752">
          <cell r="B2752" t="str">
            <v>-</v>
          </cell>
          <cell r="E2752" t="str">
            <v/>
          </cell>
          <cell r="G2752" t="str">
            <v/>
          </cell>
          <cell r="J2752" t="str">
            <v/>
          </cell>
          <cell r="O2752" t="str">
            <v/>
          </cell>
          <cell r="P2752" t="str">
            <v/>
          </cell>
          <cell r="Q2752" t="str">
            <v/>
          </cell>
          <cell r="S2752" t="str">
            <v/>
          </cell>
          <cell r="V2752" t="str">
            <v/>
          </cell>
          <cell r="Z2752" t="str">
            <v/>
          </cell>
          <cell r="AA2752" t="str">
            <v/>
          </cell>
          <cell r="AB2752" t="str">
            <v/>
          </cell>
          <cell r="AC2752" t="str">
            <v/>
          </cell>
          <cell r="AD2752" t="str">
            <v/>
          </cell>
          <cell r="AY2752" t="str">
            <v/>
          </cell>
          <cell r="AZ2752" t="str">
            <v/>
          </cell>
          <cell r="BA2752" t="str">
            <v/>
          </cell>
        </row>
        <row r="2753">
          <cell r="B2753" t="str">
            <v>-</v>
          </cell>
          <cell r="E2753" t="str">
            <v/>
          </cell>
          <cell r="G2753" t="str">
            <v/>
          </cell>
          <cell r="J2753" t="str">
            <v/>
          </cell>
          <cell r="O2753" t="str">
            <v/>
          </cell>
          <cell r="P2753" t="str">
            <v/>
          </cell>
          <cell r="Q2753" t="str">
            <v/>
          </cell>
          <cell r="S2753" t="str">
            <v/>
          </cell>
          <cell r="V2753" t="str">
            <v/>
          </cell>
          <cell r="Z2753" t="str">
            <v/>
          </cell>
          <cell r="AA2753" t="str">
            <v/>
          </cell>
          <cell r="AB2753" t="str">
            <v/>
          </cell>
          <cell r="AC2753" t="str">
            <v/>
          </cell>
          <cell r="AD2753" t="str">
            <v/>
          </cell>
          <cell r="AY2753" t="str">
            <v/>
          </cell>
          <cell r="AZ2753" t="str">
            <v/>
          </cell>
          <cell r="BA2753" t="str">
            <v/>
          </cell>
        </row>
        <row r="2754">
          <cell r="B2754" t="str">
            <v>-</v>
          </cell>
          <cell r="E2754" t="str">
            <v/>
          </cell>
          <cell r="G2754" t="str">
            <v/>
          </cell>
          <cell r="J2754" t="str">
            <v/>
          </cell>
          <cell r="O2754" t="str">
            <v/>
          </cell>
          <cell r="P2754" t="str">
            <v/>
          </cell>
          <cell r="Q2754" t="str">
            <v/>
          </cell>
          <cell r="S2754" t="str">
            <v/>
          </cell>
          <cell r="V2754" t="str">
            <v/>
          </cell>
          <cell r="Z2754" t="str">
            <v/>
          </cell>
          <cell r="AA2754" t="str">
            <v/>
          </cell>
          <cell r="AB2754" t="str">
            <v/>
          </cell>
          <cell r="AC2754" t="str">
            <v/>
          </cell>
          <cell r="AD2754" t="str">
            <v/>
          </cell>
          <cell r="AY2754" t="str">
            <v/>
          </cell>
          <cell r="AZ2754" t="str">
            <v/>
          </cell>
          <cell r="BA2754" t="str">
            <v/>
          </cell>
        </row>
        <row r="2755">
          <cell r="B2755" t="str">
            <v>-</v>
          </cell>
          <cell r="E2755" t="str">
            <v/>
          </cell>
          <cell r="G2755" t="str">
            <v/>
          </cell>
          <cell r="J2755" t="str">
            <v/>
          </cell>
          <cell r="O2755" t="str">
            <v/>
          </cell>
          <cell r="P2755" t="str">
            <v/>
          </cell>
          <cell r="Q2755" t="str">
            <v/>
          </cell>
          <cell r="S2755" t="str">
            <v/>
          </cell>
          <cell r="V2755" t="str">
            <v/>
          </cell>
          <cell r="Z2755" t="str">
            <v/>
          </cell>
          <cell r="AA2755" t="str">
            <v/>
          </cell>
          <cell r="AB2755" t="str">
            <v/>
          </cell>
          <cell r="AC2755" t="str">
            <v/>
          </cell>
          <cell r="AD2755" t="str">
            <v/>
          </cell>
          <cell r="AY2755" t="str">
            <v/>
          </cell>
          <cell r="AZ2755" t="str">
            <v/>
          </cell>
          <cell r="BA2755" t="str">
            <v/>
          </cell>
        </row>
        <row r="2756">
          <cell r="B2756" t="str">
            <v>-</v>
          </cell>
          <cell r="E2756" t="str">
            <v/>
          </cell>
          <cell r="G2756" t="str">
            <v/>
          </cell>
          <cell r="J2756" t="str">
            <v/>
          </cell>
          <cell r="O2756" t="str">
            <v/>
          </cell>
          <cell r="P2756" t="str">
            <v/>
          </cell>
          <cell r="Q2756" t="str">
            <v/>
          </cell>
          <cell r="S2756" t="str">
            <v/>
          </cell>
          <cell r="V2756" t="str">
            <v/>
          </cell>
          <cell r="Z2756" t="str">
            <v/>
          </cell>
          <cell r="AA2756" t="str">
            <v/>
          </cell>
          <cell r="AB2756" t="str">
            <v/>
          </cell>
          <cell r="AC2756" t="str">
            <v/>
          </cell>
          <cell r="AD2756" t="str">
            <v/>
          </cell>
          <cell r="AY2756" t="str">
            <v/>
          </cell>
          <cell r="AZ2756" t="str">
            <v/>
          </cell>
          <cell r="BA2756" t="str">
            <v/>
          </cell>
        </row>
        <row r="2757">
          <cell r="B2757" t="str">
            <v>-</v>
          </cell>
          <cell r="E2757" t="str">
            <v/>
          </cell>
          <cell r="G2757" t="str">
            <v/>
          </cell>
          <cell r="J2757" t="str">
            <v/>
          </cell>
          <cell r="O2757" t="str">
            <v/>
          </cell>
          <cell r="P2757" t="str">
            <v/>
          </cell>
          <cell r="Q2757" t="str">
            <v/>
          </cell>
          <cell r="S2757" t="str">
            <v/>
          </cell>
          <cell r="V2757" t="str">
            <v/>
          </cell>
          <cell r="Z2757" t="str">
            <v/>
          </cell>
          <cell r="AA2757" t="str">
            <v/>
          </cell>
          <cell r="AB2757" t="str">
            <v/>
          </cell>
          <cell r="AC2757" t="str">
            <v/>
          </cell>
          <cell r="AD2757" t="str">
            <v/>
          </cell>
          <cell r="AY2757" t="str">
            <v/>
          </cell>
          <cell r="AZ2757" t="str">
            <v/>
          </cell>
          <cell r="BA2757" t="str">
            <v/>
          </cell>
        </row>
        <row r="2758">
          <cell r="B2758" t="str">
            <v>-</v>
          </cell>
          <cell r="E2758" t="str">
            <v/>
          </cell>
          <cell r="G2758" t="str">
            <v/>
          </cell>
          <cell r="J2758" t="str">
            <v/>
          </cell>
          <cell r="O2758" t="str">
            <v/>
          </cell>
          <cell r="P2758" t="str">
            <v/>
          </cell>
          <cell r="Q2758" t="str">
            <v/>
          </cell>
          <cell r="S2758" t="str">
            <v/>
          </cell>
          <cell r="V2758" t="str">
            <v/>
          </cell>
          <cell r="Z2758" t="str">
            <v/>
          </cell>
          <cell r="AA2758" t="str">
            <v/>
          </cell>
          <cell r="AB2758" t="str">
            <v/>
          </cell>
          <cell r="AC2758" t="str">
            <v/>
          </cell>
          <cell r="AD2758" t="str">
            <v/>
          </cell>
          <cell r="AY2758" t="str">
            <v/>
          </cell>
          <cell r="AZ2758" t="str">
            <v/>
          </cell>
          <cell r="BA2758" t="str">
            <v/>
          </cell>
        </row>
        <row r="2759">
          <cell r="B2759" t="str">
            <v>-</v>
          </cell>
          <cell r="E2759" t="str">
            <v/>
          </cell>
          <cell r="G2759" t="str">
            <v/>
          </cell>
          <cell r="J2759" t="str">
            <v/>
          </cell>
          <cell r="O2759" t="str">
            <v/>
          </cell>
          <cell r="P2759" t="str">
            <v/>
          </cell>
          <cell r="Q2759" t="str">
            <v/>
          </cell>
          <cell r="S2759" t="str">
            <v/>
          </cell>
          <cell r="V2759" t="str">
            <v/>
          </cell>
          <cell r="Z2759" t="str">
            <v/>
          </cell>
          <cell r="AA2759" t="str">
            <v/>
          </cell>
          <cell r="AB2759" t="str">
            <v/>
          </cell>
          <cell r="AC2759" t="str">
            <v/>
          </cell>
          <cell r="AD2759" t="str">
            <v/>
          </cell>
          <cell r="AY2759" t="str">
            <v/>
          </cell>
          <cell r="AZ2759" t="str">
            <v/>
          </cell>
          <cell r="BA2759" t="str">
            <v/>
          </cell>
        </row>
        <row r="2760">
          <cell r="B2760" t="str">
            <v>-</v>
          </cell>
          <cell r="E2760" t="str">
            <v/>
          </cell>
          <cell r="G2760" t="str">
            <v/>
          </cell>
          <cell r="J2760" t="str">
            <v/>
          </cell>
          <cell r="O2760" t="str">
            <v/>
          </cell>
          <cell r="P2760" t="str">
            <v/>
          </cell>
          <cell r="Q2760" t="str">
            <v/>
          </cell>
          <cell r="S2760" t="str">
            <v/>
          </cell>
          <cell r="V2760" t="str">
            <v/>
          </cell>
          <cell r="Z2760" t="str">
            <v/>
          </cell>
          <cell r="AA2760" t="str">
            <v/>
          </cell>
          <cell r="AB2760" t="str">
            <v/>
          </cell>
          <cell r="AC2760" t="str">
            <v/>
          </cell>
          <cell r="AD2760" t="str">
            <v/>
          </cell>
          <cell r="AY2760" t="str">
            <v/>
          </cell>
          <cell r="AZ2760" t="str">
            <v/>
          </cell>
          <cell r="BA2760" t="str">
            <v/>
          </cell>
        </row>
        <row r="2761">
          <cell r="B2761" t="str">
            <v>-</v>
          </cell>
          <cell r="E2761" t="str">
            <v/>
          </cell>
          <cell r="G2761" t="str">
            <v/>
          </cell>
          <cell r="J2761" t="str">
            <v/>
          </cell>
          <cell r="O2761" t="str">
            <v/>
          </cell>
          <cell r="P2761" t="str">
            <v/>
          </cell>
          <cell r="Q2761" t="str">
            <v/>
          </cell>
          <cell r="S2761" t="str">
            <v/>
          </cell>
          <cell r="V2761" t="str">
            <v/>
          </cell>
          <cell r="Z2761" t="str">
            <v/>
          </cell>
          <cell r="AA2761" t="str">
            <v/>
          </cell>
          <cell r="AB2761" t="str">
            <v/>
          </cell>
          <cell r="AC2761" t="str">
            <v/>
          </cell>
          <cell r="AD2761" t="str">
            <v/>
          </cell>
          <cell r="AY2761" t="str">
            <v/>
          </cell>
          <cell r="AZ2761" t="str">
            <v/>
          </cell>
          <cell r="BA2761" t="str">
            <v/>
          </cell>
        </row>
        <row r="2762">
          <cell r="B2762" t="str">
            <v>-</v>
          </cell>
          <cell r="E2762" t="str">
            <v/>
          </cell>
          <cell r="G2762" t="str">
            <v/>
          </cell>
          <cell r="J2762" t="str">
            <v/>
          </cell>
          <cell r="O2762" t="str">
            <v/>
          </cell>
          <cell r="P2762" t="str">
            <v/>
          </cell>
          <cell r="Q2762" t="str">
            <v/>
          </cell>
          <cell r="S2762" t="str">
            <v/>
          </cell>
          <cell r="V2762" t="str">
            <v/>
          </cell>
          <cell r="Z2762" t="str">
            <v/>
          </cell>
          <cell r="AA2762" t="str">
            <v/>
          </cell>
          <cell r="AB2762" t="str">
            <v/>
          </cell>
          <cell r="AC2762" t="str">
            <v/>
          </cell>
          <cell r="AD2762" t="str">
            <v/>
          </cell>
          <cell r="AY2762" t="str">
            <v/>
          </cell>
          <cell r="AZ2762" t="str">
            <v/>
          </cell>
          <cell r="BA2762" t="str">
            <v/>
          </cell>
        </row>
        <row r="2763">
          <cell r="B2763" t="str">
            <v>-</v>
          </cell>
          <cell r="E2763" t="str">
            <v/>
          </cell>
          <cell r="G2763" t="str">
            <v/>
          </cell>
          <cell r="J2763" t="str">
            <v/>
          </cell>
          <cell r="O2763" t="str">
            <v/>
          </cell>
          <cell r="P2763" t="str">
            <v/>
          </cell>
          <cell r="Q2763" t="str">
            <v/>
          </cell>
          <cell r="S2763" t="str">
            <v/>
          </cell>
          <cell r="V2763" t="str">
            <v/>
          </cell>
          <cell r="Z2763" t="str">
            <v/>
          </cell>
          <cell r="AA2763" t="str">
            <v/>
          </cell>
          <cell r="AB2763" t="str">
            <v/>
          </cell>
          <cell r="AC2763" t="str">
            <v/>
          </cell>
          <cell r="AD2763" t="str">
            <v/>
          </cell>
          <cell r="AY2763" t="str">
            <v/>
          </cell>
          <cell r="AZ2763" t="str">
            <v/>
          </cell>
          <cell r="BA2763" t="str">
            <v/>
          </cell>
        </row>
        <row r="2764">
          <cell r="B2764" t="str">
            <v>-</v>
          </cell>
          <cell r="E2764" t="str">
            <v/>
          </cell>
          <cell r="G2764" t="str">
            <v/>
          </cell>
          <cell r="J2764" t="str">
            <v/>
          </cell>
          <cell r="O2764" t="str">
            <v/>
          </cell>
          <cell r="P2764" t="str">
            <v/>
          </cell>
          <cell r="Q2764" t="str">
            <v/>
          </cell>
          <cell r="S2764" t="str">
            <v/>
          </cell>
          <cell r="V2764" t="str">
            <v/>
          </cell>
          <cell r="Z2764" t="str">
            <v/>
          </cell>
          <cell r="AA2764" t="str">
            <v/>
          </cell>
          <cell r="AB2764" t="str">
            <v/>
          </cell>
          <cell r="AC2764" t="str">
            <v/>
          </cell>
          <cell r="AD2764" t="str">
            <v/>
          </cell>
          <cell r="AY2764" t="str">
            <v/>
          </cell>
          <cell r="AZ2764" t="str">
            <v/>
          </cell>
          <cell r="BA2764" t="str">
            <v/>
          </cell>
        </row>
        <row r="2765">
          <cell r="B2765" t="str">
            <v>-</v>
          </cell>
          <cell r="E2765" t="str">
            <v/>
          </cell>
          <cell r="G2765" t="str">
            <v/>
          </cell>
          <cell r="J2765" t="str">
            <v/>
          </cell>
          <cell r="O2765" t="str">
            <v/>
          </cell>
          <cell r="P2765" t="str">
            <v/>
          </cell>
          <cell r="Q2765" t="str">
            <v/>
          </cell>
          <cell r="S2765" t="str">
            <v/>
          </cell>
          <cell r="V2765" t="str">
            <v/>
          </cell>
          <cell r="Z2765" t="str">
            <v/>
          </cell>
          <cell r="AA2765" t="str">
            <v/>
          </cell>
          <cell r="AB2765" t="str">
            <v/>
          </cell>
          <cell r="AC2765" t="str">
            <v/>
          </cell>
          <cell r="AD2765" t="str">
            <v/>
          </cell>
          <cell r="AY2765" t="str">
            <v/>
          </cell>
          <cell r="AZ2765" t="str">
            <v/>
          </cell>
          <cell r="BA2765" t="str">
            <v/>
          </cell>
        </row>
        <row r="2766">
          <cell r="B2766" t="str">
            <v>-</v>
          </cell>
          <cell r="E2766" t="str">
            <v/>
          </cell>
          <cell r="G2766" t="str">
            <v/>
          </cell>
          <cell r="J2766" t="str">
            <v/>
          </cell>
          <cell r="O2766" t="str">
            <v/>
          </cell>
          <cell r="P2766" t="str">
            <v/>
          </cell>
          <cell r="Q2766" t="str">
            <v/>
          </cell>
          <cell r="S2766" t="str">
            <v/>
          </cell>
          <cell r="V2766" t="str">
            <v/>
          </cell>
          <cell r="Z2766" t="str">
            <v/>
          </cell>
          <cell r="AA2766" t="str">
            <v/>
          </cell>
          <cell r="AB2766" t="str">
            <v/>
          </cell>
          <cell r="AC2766" t="str">
            <v/>
          </cell>
          <cell r="AD2766" t="str">
            <v/>
          </cell>
          <cell r="AY2766" t="str">
            <v/>
          </cell>
          <cell r="AZ2766" t="str">
            <v/>
          </cell>
          <cell r="BA2766" t="str">
            <v/>
          </cell>
        </row>
        <row r="2767">
          <cell r="B2767" t="str">
            <v>-</v>
          </cell>
          <cell r="E2767" t="str">
            <v/>
          </cell>
          <cell r="G2767" t="str">
            <v/>
          </cell>
          <cell r="J2767" t="str">
            <v/>
          </cell>
          <cell r="O2767" t="str">
            <v/>
          </cell>
          <cell r="P2767" t="str">
            <v/>
          </cell>
          <cell r="Q2767" t="str">
            <v/>
          </cell>
          <cell r="S2767" t="str">
            <v/>
          </cell>
          <cell r="V2767" t="str">
            <v/>
          </cell>
          <cell r="Z2767" t="str">
            <v/>
          </cell>
          <cell r="AA2767" t="str">
            <v/>
          </cell>
          <cell r="AB2767" t="str">
            <v/>
          </cell>
          <cell r="AC2767" t="str">
            <v/>
          </cell>
          <cell r="AD2767" t="str">
            <v/>
          </cell>
          <cell r="AY2767" t="str">
            <v/>
          </cell>
          <cell r="AZ2767" t="str">
            <v/>
          </cell>
          <cell r="BA2767" t="str">
            <v/>
          </cell>
        </row>
        <row r="2768">
          <cell r="B2768" t="str">
            <v>-</v>
          </cell>
          <cell r="E2768" t="str">
            <v/>
          </cell>
          <cell r="G2768" t="str">
            <v/>
          </cell>
          <cell r="J2768" t="str">
            <v/>
          </cell>
          <cell r="O2768" t="str">
            <v/>
          </cell>
          <cell r="P2768" t="str">
            <v/>
          </cell>
          <cell r="Q2768" t="str">
            <v/>
          </cell>
          <cell r="S2768" t="str">
            <v/>
          </cell>
          <cell r="V2768" t="str">
            <v/>
          </cell>
          <cell r="Z2768" t="str">
            <v/>
          </cell>
          <cell r="AA2768" t="str">
            <v/>
          </cell>
          <cell r="AB2768" t="str">
            <v/>
          </cell>
          <cell r="AC2768" t="str">
            <v/>
          </cell>
          <cell r="AD2768" t="str">
            <v/>
          </cell>
          <cell r="AY2768" t="str">
            <v/>
          </cell>
          <cell r="AZ2768" t="str">
            <v/>
          </cell>
          <cell r="BA2768" t="str">
            <v/>
          </cell>
        </row>
        <row r="2769">
          <cell r="B2769" t="str">
            <v>-</v>
          </cell>
          <cell r="E2769" t="str">
            <v/>
          </cell>
          <cell r="G2769" t="str">
            <v/>
          </cell>
          <cell r="J2769" t="str">
            <v/>
          </cell>
          <cell r="O2769" t="str">
            <v/>
          </cell>
          <cell r="P2769" t="str">
            <v/>
          </cell>
          <cell r="Q2769" t="str">
            <v/>
          </cell>
          <cell r="S2769" t="str">
            <v/>
          </cell>
          <cell r="V2769" t="str">
            <v/>
          </cell>
          <cell r="Z2769" t="str">
            <v/>
          </cell>
          <cell r="AA2769" t="str">
            <v/>
          </cell>
          <cell r="AB2769" t="str">
            <v/>
          </cell>
          <cell r="AC2769" t="str">
            <v/>
          </cell>
          <cell r="AD2769" t="str">
            <v/>
          </cell>
          <cell r="AY2769" t="str">
            <v/>
          </cell>
          <cell r="AZ2769" t="str">
            <v/>
          </cell>
          <cell r="BA2769" t="str">
            <v/>
          </cell>
        </row>
        <row r="2770">
          <cell r="B2770" t="str">
            <v>-</v>
          </cell>
          <cell r="E2770" t="str">
            <v/>
          </cell>
          <cell r="G2770" t="str">
            <v/>
          </cell>
          <cell r="J2770" t="str">
            <v/>
          </cell>
          <cell r="O2770" t="str">
            <v/>
          </cell>
          <cell r="P2770" t="str">
            <v/>
          </cell>
          <cell r="Q2770" t="str">
            <v/>
          </cell>
          <cell r="S2770" t="str">
            <v/>
          </cell>
          <cell r="V2770" t="str">
            <v/>
          </cell>
          <cell r="Z2770" t="str">
            <v/>
          </cell>
          <cell r="AA2770" t="str">
            <v/>
          </cell>
          <cell r="AB2770" t="str">
            <v/>
          </cell>
          <cell r="AC2770" t="str">
            <v/>
          </cell>
          <cell r="AD2770" t="str">
            <v/>
          </cell>
          <cell r="AY2770" t="str">
            <v/>
          </cell>
          <cell r="AZ2770" t="str">
            <v/>
          </cell>
          <cell r="BA2770" t="str">
            <v/>
          </cell>
        </row>
        <row r="2771">
          <cell r="B2771" t="str">
            <v>-</v>
          </cell>
          <cell r="E2771" t="str">
            <v/>
          </cell>
          <cell r="G2771" t="str">
            <v/>
          </cell>
          <cell r="J2771" t="str">
            <v/>
          </cell>
          <cell r="O2771" t="str">
            <v/>
          </cell>
          <cell r="P2771" t="str">
            <v/>
          </cell>
          <cell r="Q2771" t="str">
            <v/>
          </cell>
          <cell r="S2771" t="str">
            <v/>
          </cell>
          <cell r="V2771" t="str">
            <v/>
          </cell>
          <cell r="Z2771" t="str">
            <v/>
          </cell>
          <cell r="AA2771" t="str">
            <v/>
          </cell>
          <cell r="AB2771" t="str">
            <v/>
          </cell>
          <cell r="AC2771" t="str">
            <v/>
          </cell>
          <cell r="AD2771" t="str">
            <v/>
          </cell>
          <cell r="AY2771" t="str">
            <v/>
          </cell>
          <cell r="AZ2771" t="str">
            <v/>
          </cell>
          <cell r="BA2771" t="str">
            <v/>
          </cell>
        </row>
        <row r="2772">
          <cell r="B2772" t="str">
            <v>-</v>
          </cell>
          <cell r="E2772" t="str">
            <v/>
          </cell>
          <cell r="G2772" t="str">
            <v/>
          </cell>
          <cell r="J2772" t="str">
            <v/>
          </cell>
          <cell r="O2772" t="str">
            <v/>
          </cell>
          <cell r="P2772" t="str">
            <v/>
          </cell>
          <cell r="Q2772" t="str">
            <v/>
          </cell>
          <cell r="S2772" t="str">
            <v/>
          </cell>
          <cell r="V2772" t="str">
            <v/>
          </cell>
          <cell r="Z2772" t="str">
            <v/>
          </cell>
          <cell r="AA2772" t="str">
            <v/>
          </cell>
          <cell r="AB2772" t="str">
            <v/>
          </cell>
          <cell r="AC2772" t="str">
            <v/>
          </cell>
          <cell r="AD2772" t="str">
            <v/>
          </cell>
          <cell r="AY2772" t="str">
            <v/>
          </cell>
          <cell r="AZ2772" t="str">
            <v/>
          </cell>
          <cell r="BA2772" t="str">
            <v/>
          </cell>
        </row>
        <row r="2773">
          <cell r="B2773" t="str">
            <v>-</v>
          </cell>
          <cell r="E2773" t="str">
            <v/>
          </cell>
          <cell r="G2773" t="str">
            <v/>
          </cell>
          <cell r="J2773" t="str">
            <v/>
          </cell>
          <cell r="O2773" t="str">
            <v/>
          </cell>
          <cell r="P2773" t="str">
            <v/>
          </cell>
          <cell r="Q2773" t="str">
            <v/>
          </cell>
          <cell r="S2773" t="str">
            <v/>
          </cell>
          <cell r="V2773" t="str">
            <v/>
          </cell>
          <cell r="Z2773" t="str">
            <v/>
          </cell>
          <cell r="AA2773" t="str">
            <v/>
          </cell>
          <cell r="AB2773" t="str">
            <v/>
          </cell>
          <cell r="AC2773" t="str">
            <v/>
          </cell>
          <cell r="AD2773" t="str">
            <v/>
          </cell>
          <cell r="AY2773" t="str">
            <v/>
          </cell>
          <cell r="AZ2773" t="str">
            <v/>
          </cell>
          <cell r="BA2773" t="str">
            <v/>
          </cell>
        </row>
        <row r="2774">
          <cell r="B2774" t="str">
            <v>-</v>
          </cell>
          <cell r="E2774" t="str">
            <v/>
          </cell>
          <cell r="G2774" t="str">
            <v/>
          </cell>
          <cell r="J2774" t="str">
            <v/>
          </cell>
          <cell r="O2774" t="str">
            <v/>
          </cell>
          <cell r="P2774" t="str">
            <v/>
          </cell>
          <cell r="Q2774" t="str">
            <v/>
          </cell>
          <cell r="S2774" t="str">
            <v/>
          </cell>
          <cell r="V2774" t="str">
            <v/>
          </cell>
          <cell r="Z2774" t="str">
            <v/>
          </cell>
          <cell r="AA2774" t="str">
            <v/>
          </cell>
          <cell r="AB2774" t="str">
            <v/>
          </cell>
          <cell r="AC2774" t="str">
            <v/>
          </cell>
          <cell r="AD2774" t="str">
            <v/>
          </cell>
          <cell r="AY2774" t="str">
            <v/>
          </cell>
          <cell r="AZ2774" t="str">
            <v/>
          </cell>
          <cell r="BA2774" t="str">
            <v/>
          </cell>
        </row>
        <row r="2775">
          <cell r="B2775" t="str">
            <v>-</v>
          </cell>
          <cell r="E2775" t="str">
            <v/>
          </cell>
          <cell r="G2775" t="str">
            <v/>
          </cell>
          <cell r="J2775" t="str">
            <v/>
          </cell>
          <cell r="O2775" t="str">
            <v/>
          </cell>
          <cell r="P2775" t="str">
            <v/>
          </cell>
          <cell r="Q2775" t="str">
            <v/>
          </cell>
          <cell r="S2775" t="str">
            <v/>
          </cell>
          <cell r="V2775" t="str">
            <v/>
          </cell>
          <cell r="Z2775" t="str">
            <v/>
          </cell>
          <cell r="AA2775" t="str">
            <v/>
          </cell>
          <cell r="AB2775" t="str">
            <v/>
          </cell>
          <cell r="AC2775" t="str">
            <v/>
          </cell>
          <cell r="AD2775" t="str">
            <v/>
          </cell>
          <cell r="AY2775" t="str">
            <v/>
          </cell>
          <cell r="AZ2775" t="str">
            <v/>
          </cell>
          <cell r="BA2775" t="str">
            <v/>
          </cell>
        </row>
        <row r="2776">
          <cell r="B2776" t="str">
            <v>-</v>
          </cell>
          <cell r="E2776" t="str">
            <v/>
          </cell>
          <cell r="G2776" t="str">
            <v/>
          </cell>
          <cell r="J2776" t="str">
            <v/>
          </cell>
          <cell r="O2776" t="str">
            <v/>
          </cell>
          <cell r="P2776" t="str">
            <v/>
          </cell>
          <cell r="Q2776" t="str">
            <v/>
          </cell>
          <cell r="S2776" t="str">
            <v/>
          </cell>
          <cell r="V2776" t="str">
            <v/>
          </cell>
          <cell r="Z2776" t="str">
            <v/>
          </cell>
          <cell r="AA2776" t="str">
            <v/>
          </cell>
          <cell r="AB2776" t="str">
            <v/>
          </cell>
          <cell r="AC2776" t="str">
            <v/>
          </cell>
          <cell r="AD2776" t="str">
            <v/>
          </cell>
          <cell r="AY2776" t="str">
            <v/>
          </cell>
          <cell r="AZ2776" t="str">
            <v/>
          </cell>
          <cell r="BA2776" t="str">
            <v/>
          </cell>
        </row>
        <row r="2777">
          <cell r="B2777" t="str">
            <v>-</v>
          </cell>
          <cell r="E2777" t="str">
            <v/>
          </cell>
          <cell r="G2777" t="str">
            <v/>
          </cell>
          <cell r="J2777" t="str">
            <v/>
          </cell>
          <cell r="O2777" t="str">
            <v/>
          </cell>
          <cell r="P2777" t="str">
            <v/>
          </cell>
          <cell r="Q2777" t="str">
            <v/>
          </cell>
          <cell r="S2777" t="str">
            <v/>
          </cell>
          <cell r="V2777" t="str">
            <v/>
          </cell>
          <cell r="Z2777" t="str">
            <v/>
          </cell>
          <cell r="AA2777" t="str">
            <v/>
          </cell>
          <cell r="AB2777" t="str">
            <v/>
          </cell>
          <cell r="AC2777" t="str">
            <v/>
          </cell>
          <cell r="AD2777" t="str">
            <v/>
          </cell>
          <cell r="AY2777" t="str">
            <v/>
          </cell>
          <cell r="AZ2777" t="str">
            <v/>
          </cell>
          <cell r="BA2777" t="str">
            <v/>
          </cell>
        </row>
        <row r="2778">
          <cell r="B2778" t="str">
            <v>-</v>
          </cell>
          <cell r="E2778" t="str">
            <v/>
          </cell>
          <cell r="G2778" t="str">
            <v/>
          </cell>
          <cell r="J2778" t="str">
            <v/>
          </cell>
          <cell r="O2778" t="str">
            <v/>
          </cell>
          <cell r="P2778" t="str">
            <v/>
          </cell>
          <cell r="Q2778" t="str">
            <v/>
          </cell>
          <cell r="S2778" t="str">
            <v/>
          </cell>
          <cell r="V2778" t="str">
            <v/>
          </cell>
          <cell r="Z2778" t="str">
            <v/>
          </cell>
          <cell r="AA2778" t="str">
            <v/>
          </cell>
          <cell r="AB2778" t="str">
            <v/>
          </cell>
          <cell r="AC2778" t="str">
            <v/>
          </cell>
          <cell r="AD2778" t="str">
            <v/>
          </cell>
          <cell r="AY2778" t="str">
            <v/>
          </cell>
          <cell r="AZ2778" t="str">
            <v/>
          </cell>
          <cell r="BA2778" t="str">
            <v/>
          </cell>
        </row>
        <row r="2779">
          <cell r="B2779" t="str">
            <v>-</v>
          </cell>
          <cell r="E2779" t="str">
            <v/>
          </cell>
          <cell r="G2779" t="str">
            <v/>
          </cell>
          <cell r="J2779" t="str">
            <v/>
          </cell>
          <cell r="O2779" t="str">
            <v/>
          </cell>
          <cell r="P2779" t="str">
            <v/>
          </cell>
          <cell r="Q2779" t="str">
            <v/>
          </cell>
          <cell r="S2779" t="str">
            <v/>
          </cell>
          <cell r="V2779" t="str">
            <v/>
          </cell>
          <cell r="Z2779" t="str">
            <v/>
          </cell>
          <cell r="AA2779" t="str">
            <v/>
          </cell>
          <cell r="AB2779" t="str">
            <v/>
          </cell>
          <cell r="AC2779" t="str">
            <v/>
          </cell>
          <cell r="AD2779" t="str">
            <v/>
          </cell>
          <cell r="AY2779" t="str">
            <v/>
          </cell>
          <cell r="AZ2779" t="str">
            <v/>
          </cell>
          <cell r="BA2779" t="str">
            <v/>
          </cell>
        </row>
        <row r="2780">
          <cell r="B2780" t="str">
            <v>-</v>
          </cell>
          <cell r="E2780" t="str">
            <v/>
          </cell>
          <cell r="G2780" t="str">
            <v/>
          </cell>
          <cell r="J2780" t="str">
            <v/>
          </cell>
          <cell r="O2780" t="str">
            <v/>
          </cell>
          <cell r="P2780" t="str">
            <v/>
          </cell>
          <cell r="Q2780" t="str">
            <v/>
          </cell>
          <cell r="S2780" t="str">
            <v/>
          </cell>
          <cell r="V2780" t="str">
            <v/>
          </cell>
          <cell r="Z2780" t="str">
            <v/>
          </cell>
          <cell r="AA2780" t="str">
            <v/>
          </cell>
          <cell r="AB2780" t="str">
            <v/>
          </cell>
          <cell r="AC2780" t="str">
            <v/>
          </cell>
          <cell r="AD2780" t="str">
            <v/>
          </cell>
          <cell r="AY2780" t="str">
            <v/>
          </cell>
          <cell r="AZ2780" t="str">
            <v/>
          </cell>
          <cell r="BA2780" t="str">
            <v/>
          </cell>
        </row>
        <row r="2781">
          <cell r="B2781" t="str">
            <v>-</v>
          </cell>
          <cell r="E2781" t="str">
            <v/>
          </cell>
          <cell r="G2781" t="str">
            <v/>
          </cell>
          <cell r="J2781" t="str">
            <v/>
          </cell>
          <cell r="O2781" t="str">
            <v/>
          </cell>
          <cell r="P2781" t="str">
            <v/>
          </cell>
          <cell r="Q2781" t="str">
            <v/>
          </cell>
          <cell r="S2781" t="str">
            <v/>
          </cell>
          <cell r="V2781" t="str">
            <v/>
          </cell>
          <cell r="Z2781" t="str">
            <v/>
          </cell>
          <cell r="AA2781" t="str">
            <v/>
          </cell>
          <cell r="AB2781" t="str">
            <v/>
          </cell>
          <cell r="AC2781" t="str">
            <v/>
          </cell>
          <cell r="AD2781" t="str">
            <v/>
          </cell>
          <cell r="AY2781" t="str">
            <v/>
          </cell>
          <cell r="AZ2781" t="str">
            <v/>
          </cell>
          <cell r="BA2781" t="str">
            <v/>
          </cell>
        </row>
        <row r="2782">
          <cell r="B2782" t="str">
            <v>-</v>
          </cell>
          <cell r="E2782" t="str">
            <v/>
          </cell>
          <cell r="G2782" t="str">
            <v/>
          </cell>
          <cell r="J2782" t="str">
            <v/>
          </cell>
          <cell r="O2782" t="str">
            <v/>
          </cell>
          <cell r="P2782" t="str">
            <v/>
          </cell>
          <cell r="Q2782" t="str">
            <v/>
          </cell>
          <cell r="S2782" t="str">
            <v/>
          </cell>
          <cell r="V2782" t="str">
            <v/>
          </cell>
          <cell r="Z2782" t="str">
            <v/>
          </cell>
          <cell r="AA2782" t="str">
            <v/>
          </cell>
          <cell r="AB2782" t="str">
            <v/>
          </cell>
          <cell r="AC2782" t="str">
            <v/>
          </cell>
          <cell r="AD2782" t="str">
            <v/>
          </cell>
          <cell r="AY2782" t="str">
            <v/>
          </cell>
          <cell r="AZ2782" t="str">
            <v/>
          </cell>
          <cell r="BA2782" t="str">
            <v/>
          </cell>
        </row>
        <row r="2783">
          <cell r="B2783" t="str">
            <v>-</v>
          </cell>
          <cell r="E2783" t="str">
            <v/>
          </cell>
          <cell r="G2783" t="str">
            <v/>
          </cell>
          <cell r="J2783" t="str">
            <v/>
          </cell>
          <cell r="O2783" t="str">
            <v/>
          </cell>
          <cell r="P2783" t="str">
            <v/>
          </cell>
          <cell r="Q2783" t="str">
            <v/>
          </cell>
          <cell r="S2783" t="str">
            <v/>
          </cell>
          <cell r="V2783" t="str">
            <v/>
          </cell>
          <cell r="Z2783" t="str">
            <v/>
          </cell>
          <cell r="AA2783" t="str">
            <v/>
          </cell>
          <cell r="AB2783" t="str">
            <v/>
          </cell>
          <cell r="AC2783" t="str">
            <v/>
          </cell>
          <cell r="AD2783" t="str">
            <v/>
          </cell>
          <cell r="AY2783" t="str">
            <v/>
          </cell>
          <cell r="AZ2783" t="str">
            <v/>
          </cell>
          <cell r="BA2783" t="str">
            <v/>
          </cell>
        </row>
        <row r="2784">
          <cell r="B2784" t="str">
            <v>-</v>
          </cell>
          <cell r="E2784" t="str">
            <v/>
          </cell>
          <cell r="G2784" t="str">
            <v/>
          </cell>
          <cell r="J2784" t="str">
            <v/>
          </cell>
          <cell r="O2784" t="str">
            <v/>
          </cell>
          <cell r="P2784" t="str">
            <v/>
          </cell>
          <cell r="Q2784" t="str">
            <v/>
          </cell>
          <cell r="S2784" t="str">
            <v/>
          </cell>
          <cell r="V2784" t="str">
            <v/>
          </cell>
          <cell r="Z2784" t="str">
            <v/>
          </cell>
          <cell r="AA2784" t="str">
            <v/>
          </cell>
          <cell r="AB2784" t="str">
            <v/>
          </cell>
          <cell r="AC2784" t="str">
            <v/>
          </cell>
          <cell r="AD2784" t="str">
            <v/>
          </cell>
          <cell r="AY2784" t="str">
            <v/>
          </cell>
          <cell r="AZ2784" t="str">
            <v/>
          </cell>
          <cell r="BA2784" t="str">
            <v/>
          </cell>
        </row>
        <row r="2785">
          <cell r="B2785" t="str">
            <v>-</v>
          </cell>
          <cell r="E2785" t="str">
            <v/>
          </cell>
          <cell r="G2785" t="str">
            <v/>
          </cell>
          <cell r="J2785" t="str">
            <v/>
          </cell>
          <cell r="O2785" t="str">
            <v/>
          </cell>
          <cell r="P2785" t="str">
            <v/>
          </cell>
          <cell r="Q2785" t="str">
            <v/>
          </cell>
          <cell r="S2785" t="str">
            <v/>
          </cell>
          <cell r="V2785" t="str">
            <v/>
          </cell>
          <cell r="Z2785" t="str">
            <v/>
          </cell>
          <cell r="AA2785" t="str">
            <v/>
          </cell>
          <cell r="AB2785" t="str">
            <v/>
          </cell>
          <cell r="AC2785" t="str">
            <v/>
          </cell>
          <cell r="AD2785" t="str">
            <v/>
          </cell>
          <cell r="AY2785" t="str">
            <v/>
          </cell>
          <cell r="AZ2785" t="str">
            <v/>
          </cell>
          <cell r="BA2785" t="str">
            <v/>
          </cell>
        </row>
        <row r="2786">
          <cell r="B2786" t="str">
            <v>-</v>
          </cell>
          <cell r="E2786" t="str">
            <v/>
          </cell>
          <cell r="G2786" t="str">
            <v/>
          </cell>
          <cell r="J2786" t="str">
            <v/>
          </cell>
          <cell r="O2786" t="str">
            <v/>
          </cell>
          <cell r="P2786" t="str">
            <v/>
          </cell>
          <cell r="Q2786" t="str">
            <v/>
          </cell>
          <cell r="S2786" t="str">
            <v/>
          </cell>
          <cell r="V2786" t="str">
            <v/>
          </cell>
          <cell r="Z2786" t="str">
            <v/>
          </cell>
          <cell r="AA2786" t="str">
            <v/>
          </cell>
          <cell r="AB2786" t="str">
            <v/>
          </cell>
          <cell r="AC2786" t="str">
            <v/>
          </cell>
          <cell r="AD2786" t="str">
            <v/>
          </cell>
          <cell r="AY2786" t="str">
            <v/>
          </cell>
          <cell r="AZ2786" t="str">
            <v/>
          </cell>
          <cell r="BA2786" t="str">
            <v/>
          </cell>
        </row>
        <row r="2787">
          <cell r="B2787" t="str">
            <v>-</v>
          </cell>
          <cell r="E2787" t="str">
            <v/>
          </cell>
          <cell r="G2787" t="str">
            <v/>
          </cell>
          <cell r="J2787" t="str">
            <v/>
          </cell>
          <cell r="O2787" t="str">
            <v/>
          </cell>
          <cell r="P2787" t="str">
            <v/>
          </cell>
          <cell r="Q2787" t="str">
            <v/>
          </cell>
          <cell r="S2787" t="str">
            <v/>
          </cell>
          <cell r="V2787" t="str">
            <v/>
          </cell>
          <cell r="Z2787" t="str">
            <v/>
          </cell>
          <cell r="AA2787" t="str">
            <v/>
          </cell>
          <cell r="AB2787" t="str">
            <v/>
          </cell>
          <cell r="AC2787" t="str">
            <v/>
          </cell>
          <cell r="AD2787" t="str">
            <v/>
          </cell>
          <cell r="AY2787" t="str">
            <v/>
          </cell>
          <cell r="AZ2787" t="str">
            <v/>
          </cell>
          <cell r="BA2787" t="str">
            <v/>
          </cell>
        </row>
        <row r="2788">
          <cell r="B2788" t="str">
            <v>-</v>
          </cell>
          <cell r="E2788" t="str">
            <v/>
          </cell>
          <cell r="G2788" t="str">
            <v/>
          </cell>
          <cell r="J2788" t="str">
            <v/>
          </cell>
          <cell r="O2788" t="str">
            <v/>
          </cell>
          <cell r="P2788" t="str">
            <v/>
          </cell>
          <cell r="Q2788" t="str">
            <v/>
          </cell>
          <cell r="S2788" t="str">
            <v/>
          </cell>
          <cell r="V2788" t="str">
            <v/>
          </cell>
          <cell r="Z2788" t="str">
            <v/>
          </cell>
          <cell r="AA2788" t="str">
            <v/>
          </cell>
          <cell r="AB2788" t="str">
            <v/>
          </cell>
          <cell r="AC2788" t="str">
            <v/>
          </cell>
          <cell r="AD2788" t="str">
            <v/>
          </cell>
          <cell r="AY2788" t="str">
            <v/>
          </cell>
          <cell r="AZ2788" t="str">
            <v/>
          </cell>
          <cell r="BA2788" t="str">
            <v/>
          </cell>
        </row>
        <row r="2789">
          <cell r="B2789" t="str">
            <v>-</v>
          </cell>
          <cell r="E2789" t="str">
            <v/>
          </cell>
          <cell r="G2789" t="str">
            <v/>
          </cell>
          <cell r="J2789" t="str">
            <v/>
          </cell>
          <cell r="O2789" t="str">
            <v/>
          </cell>
          <cell r="P2789" t="str">
            <v/>
          </cell>
          <cell r="Q2789" t="str">
            <v/>
          </cell>
          <cell r="S2789" t="str">
            <v/>
          </cell>
          <cell r="V2789" t="str">
            <v/>
          </cell>
          <cell r="Z2789" t="str">
            <v/>
          </cell>
          <cell r="AA2789" t="str">
            <v/>
          </cell>
          <cell r="AB2789" t="str">
            <v/>
          </cell>
          <cell r="AC2789" t="str">
            <v/>
          </cell>
          <cell r="AD2789" t="str">
            <v/>
          </cell>
          <cell r="AY2789" t="str">
            <v/>
          </cell>
          <cell r="AZ2789" t="str">
            <v/>
          </cell>
          <cell r="BA2789" t="str">
            <v/>
          </cell>
        </row>
        <row r="2790">
          <cell r="B2790" t="str">
            <v>-</v>
          </cell>
          <cell r="E2790" t="str">
            <v/>
          </cell>
          <cell r="G2790" t="str">
            <v/>
          </cell>
          <cell r="J2790" t="str">
            <v/>
          </cell>
          <cell r="O2790" t="str">
            <v/>
          </cell>
          <cell r="P2790" t="str">
            <v/>
          </cell>
          <cell r="Q2790" t="str">
            <v/>
          </cell>
          <cell r="S2790" t="str">
            <v/>
          </cell>
          <cell r="V2790" t="str">
            <v/>
          </cell>
          <cell r="Z2790" t="str">
            <v/>
          </cell>
          <cell r="AA2790" t="str">
            <v/>
          </cell>
          <cell r="AB2790" t="str">
            <v/>
          </cell>
          <cell r="AC2790" t="str">
            <v/>
          </cell>
          <cell r="AD2790" t="str">
            <v/>
          </cell>
          <cell r="AY2790" t="str">
            <v/>
          </cell>
          <cell r="AZ2790" t="str">
            <v/>
          </cell>
          <cell r="BA2790" t="str">
            <v/>
          </cell>
        </row>
        <row r="2791">
          <cell r="B2791" t="str">
            <v>-</v>
          </cell>
          <cell r="E2791" t="str">
            <v/>
          </cell>
          <cell r="G2791" t="str">
            <v/>
          </cell>
          <cell r="J2791" t="str">
            <v/>
          </cell>
          <cell r="O2791" t="str">
            <v/>
          </cell>
          <cell r="P2791" t="str">
            <v/>
          </cell>
          <cell r="Q2791" t="str">
            <v/>
          </cell>
          <cell r="S2791" t="str">
            <v/>
          </cell>
          <cell r="V2791" t="str">
            <v/>
          </cell>
          <cell r="Z2791" t="str">
            <v/>
          </cell>
          <cell r="AA2791" t="str">
            <v/>
          </cell>
          <cell r="AB2791" t="str">
            <v/>
          </cell>
          <cell r="AC2791" t="str">
            <v/>
          </cell>
          <cell r="AD2791" t="str">
            <v/>
          </cell>
          <cell r="AY2791" t="str">
            <v/>
          </cell>
          <cell r="AZ2791" t="str">
            <v/>
          </cell>
          <cell r="BA2791" t="str">
            <v/>
          </cell>
        </row>
        <row r="2792">
          <cell r="B2792" t="str">
            <v>-</v>
          </cell>
          <cell r="E2792" t="str">
            <v/>
          </cell>
          <cell r="G2792" t="str">
            <v/>
          </cell>
          <cell r="J2792" t="str">
            <v/>
          </cell>
          <cell r="O2792" t="str">
            <v/>
          </cell>
          <cell r="P2792" t="str">
            <v/>
          </cell>
          <cell r="Q2792" t="str">
            <v/>
          </cell>
          <cell r="S2792" t="str">
            <v/>
          </cell>
          <cell r="V2792" t="str">
            <v/>
          </cell>
          <cell r="Z2792" t="str">
            <v/>
          </cell>
          <cell r="AA2792" t="str">
            <v/>
          </cell>
          <cell r="AB2792" t="str">
            <v/>
          </cell>
          <cell r="AC2792" t="str">
            <v/>
          </cell>
          <cell r="AD2792" t="str">
            <v/>
          </cell>
          <cell r="AY2792" t="str">
            <v/>
          </cell>
          <cell r="AZ2792" t="str">
            <v/>
          </cell>
          <cell r="BA2792" t="str">
            <v/>
          </cell>
        </row>
        <row r="2793">
          <cell r="B2793" t="str">
            <v>-</v>
          </cell>
          <cell r="E2793" t="str">
            <v/>
          </cell>
          <cell r="G2793" t="str">
            <v/>
          </cell>
          <cell r="J2793" t="str">
            <v/>
          </cell>
          <cell r="O2793" t="str">
            <v/>
          </cell>
          <cell r="P2793" t="str">
            <v/>
          </cell>
          <cell r="Q2793" t="str">
            <v/>
          </cell>
          <cell r="S2793" t="str">
            <v/>
          </cell>
          <cell r="V2793" t="str">
            <v/>
          </cell>
          <cell r="Z2793" t="str">
            <v/>
          </cell>
          <cell r="AA2793" t="str">
            <v/>
          </cell>
          <cell r="AB2793" t="str">
            <v/>
          </cell>
          <cell r="AC2793" t="str">
            <v/>
          </cell>
          <cell r="AD2793" t="str">
            <v/>
          </cell>
          <cell r="AY2793" t="str">
            <v/>
          </cell>
          <cell r="AZ2793" t="str">
            <v/>
          </cell>
          <cell r="BA2793" t="str">
            <v/>
          </cell>
        </row>
        <row r="2794">
          <cell r="B2794" t="str">
            <v>-</v>
          </cell>
          <cell r="E2794" t="str">
            <v/>
          </cell>
          <cell r="G2794" t="str">
            <v/>
          </cell>
          <cell r="J2794" t="str">
            <v/>
          </cell>
          <cell r="O2794" t="str">
            <v/>
          </cell>
          <cell r="P2794" t="str">
            <v/>
          </cell>
          <cell r="Q2794" t="str">
            <v/>
          </cell>
          <cell r="S2794" t="str">
            <v/>
          </cell>
          <cell r="V2794" t="str">
            <v/>
          </cell>
          <cell r="Z2794" t="str">
            <v/>
          </cell>
          <cell r="AA2794" t="str">
            <v/>
          </cell>
          <cell r="AB2794" t="str">
            <v/>
          </cell>
          <cell r="AC2794" t="str">
            <v/>
          </cell>
          <cell r="AD2794" t="str">
            <v/>
          </cell>
          <cell r="AY2794" t="str">
            <v/>
          </cell>
          <cell r="AZ2794" t="str">
            <v/>
          </cell>
          <cell r="BA2794" t="str">
            <v/>
          </cell>
        </row>
        <row r="2795">
          <cell r="B2795" t="str">
            <v>-</v>
          </cell>
          <cell r="E2795" t="str">
            <v/>
          </cell>
          <cell r="G2795" t="str">
            <v/>
          </cell>
          <cell r="J2795" t="str">
            <v/>
          </cell>
          <cell r="O2795" t="str">
            <v/>
          </cell>
          <cell r="P2795" t="str">
            <v/>
          </cell>
          <cell r="Q2795" t="str">
            <v/>
          </cell>
          <cell r="S2795" t="str">
            <v/>
          </cell>
          <cell r="V2795" t="str">
            <v/>
          </cell>
          <cell r="Z2795" t="str">
            <v/>
          </cell>
          <cell r="AA2795" t="str">
            <v/>
          </cell>
          <cell r="AB2795" t="str">
            <v/>
          </cell>
          <cell r="AC2795" t="str">
            <v/>
          </cell>
          <cell r="AD2795" t="str">
            <v/>
          </cell>
          <cell r="AY2795" t="str">
            <v/>
          </cell>
          <cell r="AZ2795" t="str">
            <v/>
          </cell>
          <cell r="BA2795" t="str">
            <v/>
          </cell>
        </row>
        <row r="2796">
          <cell r="B2796" t="str">
            <v>-</v>
          </cell>
          <cell r="E2796" t="str">
            <v/>
          </cell>
          <cell r="G2796" t="str">
            <v/>
          </cell>
          <cell r="J2796" t="str">
            <v/>
          </cell>
          <cell r="O2796" t="str">
            <v/>
          </cell>
          <cell r="P2796" t="str">
            <v/>
          </cell>
          <cell r="Q2796" t="str">
            <v/>
          </cell>
          <cell r="S2796" t="str">
            <v/>
          </cell>
          <cell r="V2796" t="str">
            <v/>
          </cell>
          <cell r="Z2796" t="str">
            <v/>
          </cell>
          <cell r="AA2796" t="str">
            <v/>
          </cell>
          <cell r="AB2796" t="str">
            <v/>
          </cell>
          <cell r="AC2796" t="str">
            <v/>
          </cell>
          <cell r="AD2796" t="str">
            <v/>
          </cell>
          <cell r="AY2796" t="str">
            <v/>
          </cell>
          <cell r="AZ2796" t="str">
            <v/>
          </cell>
          <cell r="BA2796" t="str">
            <v/>
          </cell>
        </row>
        <row r="2797">
          <cell r="B2797" t="str">
            <v>-</v>
          </cell>
          <cell r="E2797" t="str">
            <v/>
          </cell>
          <cell r="G2797" t="str">
            <v/>
          </cell>
          <cell r="J2797" t="str">
            <v/>
          </cell>
          <cell r="O2797" t="str">
            <v/>
          </cell>
          <cell r="P2797" t="str">
            <v/>
          </cell>
          <cell r="Q2797" t="str">
            <v/>
          </cell>
          <cell r="S2797" t="str">
            <v/>
          </cell>
          <cell r="V2797" t="str">
            <v/>
          </cell>
          <cell r="Z2797" t="str">
            <v/>
          </cell>
          <cell r="AA2797" t="str">
            <v/>
          </cell>
          <cell r="AB2797" t="str">
            <v/>
          </cell>
          <cell r="AC2797" t="str">
            <v/>
          </cell>
          <cell r="AD2797" t="str">
            <v/>
          </cell>
          <cell r="AY2797" t="str">
            <v/>
          </cell>
          <cell r="AZ2797" t="str">
            <v/>
          </cell>
          <cell r="BA2797" t="str">
            <v/>
          </cell>
        </row>
        <row r="2798">
          <cell r="B2798" t="str">
            <v>-</v>
          </cell>
          <cell r="E2798" t="str">
            <v/>
          </cell>
          <cell r="G2798" t="str">
            <v/>
          </cell>
          <cell r="J2798" t="str">
            <v/>
          </cell>
          <cell r="O2798" t="str">
            <v/>
          </cell>
          <cell r="P2798" t="str">
            <v/>
          </cell>
          <cell r="Q2798" t="str">
            <v/>
          </cell>
          <cell r="S2798" t="str">
            <v/>
          </cell>
          <cell r="V2798" t="str">
            <v/>
          </cell>
          <cell r="Z2798" t="str">
            <v/>
          </cell>
          <cell r="AA2798" t="str">
            <v/>
          </cell>
          <cell r="AB2798" t="str">
            <v/>
          </cell>
          <cell r="AC2798" t="str">
            <v/>
          </cell>
          <cell r="AD2798" t="str">
            <v/>
          </cell>
          <cell r="AY2798" t="str">
            <v/>
          </cell>
          <cell r="AZ2798" t="str">
            <v/>
          </cell>
          <cell r="BA2798" t="str">
            <v/>
          </cell>
        </row>
        <row r="2799">
          <cell r="B2799" t="str">
            <v>-</v>
          </cell>
          <cell r="E2799" t="str">
            <v/>
          </cell>
          <cell r="G2799" t="str">
            <v/>
          </cell>
          <cell r="J2799" t="str">
            <v/>
          </cell>
          <cell r="O2799" t="str">
            <v/>
          </cell>
          <cell r="P2799" t="str">
            <v/>
          </cell>
          <cell r="Q2799" t="str">
            <v/>
          </cell>
          <cell r="S2799" t="str">
            <v/>
          </cell>
          <cell r="V2799" t="str">
            <v/>
          </cell>
          <cell r="Z2799" t="str">
            <v/>
          </cell>
          <cell r="AA2799" t="str">
            <v/>
          </cell>
          <cell r="AB2799" t="str">
            <v/>
          </cell>
          <cell r="AC2799" t="str">
            <v/>
          </cell>
          <cell r="AD2799" t="str">
            <v/>
          </cell>
          <cell r="AY2799" t="str">
            <v/>
          </cell>
          <cell r="AZ2799" t="str">
            <v/>
          </cell>
          <cell r="BA2799" t="str">
            <v/>
          </cell>
        </row>
        <row r="2800">
          <cell r="B2800" t="str">
            <v>-</v>
          </cell>
          <cell r="E2800" t="str">
            <v/>
          </cell>
          <cell r="G2800" t="str">
            <v/>
          </cell>
          <cell r="J2800" t="str">
            <v/>
          </cell>
          <cell r="O2800" t="str">
            <v/>
          </cell>
          <cell r="P2800" t="str">
            <v/>
          </cell>
          <cell r="Q2800" t="str">
            <v/>
          </cell>
          <cell r="S2800" t="str">
            <v/>
          </cell>
          <cell r="V2800" t="str">
            <v/>
          </cell>
          <cell r="Z2800" t="str">
            <v/>
          </cell>
          <cell r="AA2800" t="str">
            <v/>
          </cell>
          <cell r="AB2800" t="str">
            <v/>
          </cell>
          <cell r="AC2800" t="str">
            <v/>
          </cell>
          <cell r="AD2800" t="str">
            <v/>
          </cell>
          <cell r="AY2800" t="str">
            <v/>
          </cell>
          <cell r="AZ2800" t="str">
            <v/>
          </cell>
          <cell r="BA2800" t="str">
            <v/>
          </cell>
        </row>
        <row r="2801">
          <cell r="B2801" t="str">
            <v>-</v>
          </cell>
          <cell r="E2801" t="str">
            <v/>
          </cell>
          <cell r="G2801" t="str">
            <v/>
          </cell>
          <cell r="J2801" t="str">
            <v/>
          </cell>
          <cell r="O2801" t="str">
            <v/>
          </cell>
          <cell r="P2801" t="str">
            <v/>
          </cell>
          <cell r="Q2801" t="str">
            <v/>
          </cell>
          <cell r="S2801" t="str">
            <v/>
          </cell>
          <cell r="V2801" t="str">
            <v/>
          </cell>
          <cell r="Z2801" t="str">
            <v/>
          </cell>
          <cell r="AA2801" t="str">
            <v/>
          </cell>
          <cell r="AB2801" t="str">
            <v/>
          </cell>
          <cell r="AC2801" t="str">
            <v/>
          </cell>
          <cell r="AD2801" t="str">
            <v/>
          </cell>
          <cell r="AY2801" t="str">
            <v/>
          </cell>
          <cell r="AZ2801" t="str">
            <v/>
          </cell>
          <cell r="BA2801" t="str">
            <v/>
          </cell>
        </row>
        <row r="2802">
          <cell r="B2802" t="str">
            <v>-</v>
          </cell>
          <cell r="E2802" t="str">
            <v/>
          </cell>
          <cell r="G2802" t="str">
            <v/>
          </cell>
          <cell r="J2802" t="str">
            <v/>
          </cell>
          <cell r="O2802" t="str">
            <v/>
          </cell>
          <cell r="P2802" t="str">
            <v/>
          </cell>
          <cell r="Q2802" t="str">
            <v/>
          </cell>
          <cell r="S2802" t="str">
            <v/>
          </cell>
          <cell r="V2802" t="str">
            <v/>
          </cell>
          <cell r="Z2802" t="str">
            <v/>
          </cell>
          <cell r="AA2802" t="str">
            <v/>
          </cell>
          <cell r="AB2802" t="str">
            <v/>
          </cell>
          <cell r="AC2802" t="str">
            <v/>
          </cell>
          <cell r="AD2802" t="str">
            <v/>
          </cell>
          <cell r="AY2802" t="str">
            <v/>
          </cell>
          <cell r="AZ2802" t="str">
            <v/>
          </cell>
          <cell r="BA2802" t="str">
            <v/>
          </cell>
        </row>
        <row r="2803">
          <cell r="B2803" t="str">
            <v>-</v>
          </cell>
          <cell r="E2803" t="str">
            <v/>
          </cell>
          <cell r="G2803" t="str">
            <v/>
          </cell>
          <cell r="J2803" t="str">
            <v/>
          </cell>
          <cell r="O2803" t="str">
            <v/>
          </cell>
          <cell r="P2803" t="str">
            <v/>
          </cell>
          <cell r="Q2803" t="str">
            <v/>
          </cell>
          <cell r="S2803" t="str">
            <v/>
          </cell>
          <cell r="V2803" t="str">
            <v/>
          </cell>
          <cell r="Z2803" t="str">
            <v/>
          </cell>
          <cell r="AA2803" t="str">
            <v/>
          </cell>
          <cell r="AB2803" t="str">
            <v/>
          </cell>
          <cell r="AC2803" t="str">
            <v/>
          </cell>
          <cell r="AD2803" t="str">
            <v/>
          </cell>
          <cell r="AY2803" t="str">
            <v/>
          </cell>
          <cell r="AZ2803" t="str">
            <v/>
          </cell>
          <cell r="BA2803" t="str">
            <v/>
          </cell>
        </row>
        <row r="2804">
          <cell r="B2804" t="str">
            <v>-</v>
          </cell>
          <cell r="E2804" t="str">
            <v/>
          </cell>
          <cell r="G2804" t="str">
            <v/>
          </cell>
          <cell r="J2804" t="str">
            <v/>
          </cell>
          <cell r="O2804" t="str">
            <v/>
          </cell>
          <cell r="P2804" t="str">
            <v/>
          </cell>
          <cell r="Q2804" t="str">
            <v/>
          </cell>
          <cell r="S2804" t="str">
            <v/>
          </cell>
          <cell r="V2804" t="str">
            <v/>
          </cell>
          <cell r="Z2804" t="str">
            <v/>
          </cell>
          <cell r="AA2804" t="str">
            <v/>
          </cell>
          <cell r="AB2804" t="str">
            <v/>
          </cell>
          <cell r="AC2804" t="str">
            <v/>
          </cell>
          <cell r="AD2804" t="str">
            <v/>
          </cell>
          <cell r="AY2804" t="str">
            <v/>
          </cell>
          <cell r="AZ2804" t="str">
            <v/>
          </cell>
          <cell r="BA2804" t="str">
            <v/>
          </cell>
        </row>
        <row r="2805">
          <cell r="B2805" t="str">
            <v>-</v>
          </cell>
          <cell r="E2805" t="str">
            <v/>
          </cell>
          <cell r="G2805" t="str">
            <v/>
          </cell>
          <cell r="J2805" t="str">
            <v/>
          </cell>
          <cell r="O2805" t="str">
            <v/>
          </cell>
          <cell r="P2805" t="str">
            <v/>
          </cell>
          <cell r="Q2805" t="str">
            <v/>
          </cell>
          <cell r="S2805" t="str">
            <v/>
          </cell>
          <cell r="V2805" t="str">
            <v/>
          </cell>
          <cell r="Z2805" t="str">
            <v/>
          </cell>
          <cell r="AA2805" t="str">
            <v/>
          </cell>
          <cell r="AB2805" t="str">
            <v/>
          </cell>
          <cell r="AC2805" t="str">
            <v/>
          </cell>
          <cell r="AD2805" t="str">
            <v/>
          </cell>
          <cell r="AY2805" t="str">
            <v/>
          </cell>
          <cell r="AZ2805" t="str">
            <v/>
          </cell>
          <cell r="BA2805" t="str">
            <v/>
          </cell>
        </row>
        <row r="2806">
          <cell r="B2806" t="str">
            <v>-</v>
          </cell>
          <cell r="E2806" t="str">
            <v/>
          </cell>
          <cell r="G2806" t="str">
            <v/>
          </cell>
          <cell r="J2806" t="str">
            <v/>
          </cell>
          <cell r="O2806" t="str">
            <v/>
          </cell>
          <cell r="P2806" t="str">
            <v/>
          </cell>
          <cell r="Q2806" t="str">
            <v/>
          </cell>
          <cell r="S2806" t="str">
            <v/>
          </cell>
          <cell r="V2806" t="str">
            <v/>
          </cell>
          <cell r="Z2806" t="str">
            <v/>
          </cell>
          <cell r="AA2806" t="str">
            <v/>
          </cell>
          <cell r="AB2806" t="str">
            <v/>
          </cell>
          <cell r="AC2806" t="str">
            <v/>
          </cell>
          <cell r="AD2806" t="str">
            <v/>
          </cell>
          <cell r="AY2806" t="str">
            <v/>
          </cell>
          <cell r="AZ2806" t="str">
            <v/>
          </cell>
          <cell r="BA2806" t="str">
            <v/>
          </cell>
        </row>
        <row r="2807">
          <cell r="B2807" t="str">
            <v>-</v>
          </cell>
          <cell r="E2807" t="str">
            <v/>
          </cell>
          <cell r="G2807" t="str">
            <v/>
          </cell>
          <cell r="J2807" t="str">
            <v/>
          </cell>
          <cell r="O2807" t="str">
            <v/>
          </cell>
          <cell r="P2807" t="str">
            <v/>
          </cell>
          <cell r="Q2807" t="str">
            <v/>
          </cell>
          <cell r="S2807" t="str">
            <v/>
          </cell>
          <cell r="V2807" t="str">
            <v/>
          </cell>
          <cell r="Z2807" t="str">
            <v/>
          </cell>
          <cell r="AA2807" t="str">
            <v/>
          </cell>
          <cell r="AB2807" t="str">
            <v/>
          </cell>
          <cell r="AC2807" t="str">
            <v/>
          </cell>
          <cell r="AD2807" t="str">
            <v/>
          </cell>
          <cell r="AY2807" t="str">
            <v/>
          </cell>
          <cell r="AZ2807" t="str">
            <v/>
          </cell>
          <cell r="BA2807" t="str">
            <v/>
          </cell>
        </row>
        <row r="2808">
          <cell r="B2808" t="str">
            <v>-</v>
          </cell>
          <cell r="E2808" t="str">
            <v/>
          </cell>
          <cell r="G2808" t="str">
            <v/>
          </cell>
          <cell r="J2808" t="str">
            <v/>
          </cell>
          <cell r="O2808" t="str">
            <v/>
          </cell>
          <cell r="P2808" t="str">
            <v/>
          </cell>
          <cell r="Q2808" t="str">
            <v/>
          </cell>
          <cell r="S2808" t="str">
            <v/>
          </cell>
          <cell r="V2808" t="str">
            <v/>
          </cell>
          <cell r="Z2808" t="str">
            <v/>
          </cell>
          <cell r="AA2808" t="str">
            <v/>
          </cell>
          <cell r="AB2808" t="str">
            <v/>
          </cell>
          <cell r="AC2808" t="str">
            <v/>
          </cell>
          <cell r="AD2808" t="str">
            <v/>
          </cell>
          <cell r="AY2808" t="str">
            <v/>
          </cell>
          <cell r="AZ2808" t="str">
            <v/>
          </cell>
          <cell r="BA2808" t="str">
            <v/>
          </cell>
        </row>
        <row r="2809">
          <cell r="B2809" t="str">
            <v>-</v>
          </cell>
          <cell r="E2809" t="str">
            <v/>
          </cell>
          <cell r="G2809" t="str">
            <v/>
          </cell>
          <cell r="J2809" t="str">
            <v/>
          </cell>
          <cell r="O2809" t="str">
            <v/>
          </cell>
          <cell r="P2809" t="str">
            <v/>
          </cell>
          <cell r="Q2809" t="str">
            <v/>
          </cell>
          <cell r="S2809" t="str">
            <v/>
          </cell>
          <cell r="V2809" t="str">
            <v/>
          </cell>
          <cell r="Z2809" t="str">
            <v/>
          </cell>
          <cell r="AA2809" t="str">
            <v/>
          </cell>
          <cell r="AB2809" t="str">
            <v/>
          </cell>
          <cell r="AC2809" t="str">
            <v/>
          </cell>
          <cell r="AD2809" t="str">
            <v/>
          </cell>
          <cell r="AY2809" t="str">
            <v/>
          </cell>
          <cell r="AZ2809" t="str">
            <v/>
          </cell>
          <cell r="BA2809" t="str">
            <v/>
          </cell>
        </row>
        <row r="2810">
          <cell r="B2810" t="str">
            <v>-</v>
          </cell>
          <cell r="E2810" t="str">
            <v/>
          </cell>
          <cell r="G2810" t="str">
            <v/>
          </cell>
          <cell r="J2810" t="str">
            <v/>
          </cell>
          <cell r="O2810" t="str">
            <v/>
          </cell>
          <cell r="P2810" t="str">
            <v/>
          </cell>
          <cell r="Q2810" t="str">
            <v/>
          </cell>
          <cell r="S2810" t="str">
            <v/>
          </cell>
          <cell r="V2810" t="str">
            <v/>
          </cell>
          <cell r="Z2810" t="str">
            <v/>
          </cell>
          <cell r="AA2810" t="str">
            <v/>
          </cell>
          <cell r="AB2810" t="str">
            <v/>
          </cell>
          <cell r="AC2810" t="str">
            <v/>
          </cell>
          <cell r="AD2810" t="str">
            <v/>
          </cell>
          <cell r="AY2810" t="str">
            <v/>
          </cell>
          <cell r="AZ2810" t="str">
            <v/>
          </cell>
          <cell r="BA2810" t="str">
            <v/>
          </cell>
        </row>
        <row r="2811">
          <cell r="B2811" t="str">
            <v>-</v>
          </cell>
          <cell r="E2811" t="str">
            <v/>
          </cell>
          <cell r="G2811" t="str">
            <v/>
          </cell>
          <cell r="J2811" t="str">
            <v/>
          </cell>
          <cell r="O2811" t="str">
            <v/>
          </cell>
          <cell r="P2811" t="str">
            <v/>
          </cell>
          <cell r="Q2811" t="str">
            <v/>
          </cell>
          <cell r="S2811" t="str">
            <v/>
          </cell>
          <cell r="V2811" t="str">
            <v/>
          </cell>
          <cell r="Z2811" t="str">
            <v/>
          </cell>
          <cell r="AA2811" t="str">
            <v/>
          </cell>
          <cell r="AB2811" t="str">
            <v/>
          </cell>
          <cell r="AC2811" t="str">
            <v/>
          </cell>
          <cell r="AD2811" t="str">
            <v/>
          </cell>
          <cell r="AY2811" t="str">
            <v/>
          </cell>
          <cell r="AZ2811" t="str">
            <v/>
          </cell>
          <cell r="BA2811" t="str">
            <v/>
          </cell>
        </row>
        <row r="2812">
          <cell r="B2812" t="str">
            <v>-</v>
          </cell>
          <cell r="E2812" t="str">
            <v/>
          </cell>
          <cell r="G2812" t="str">
            <v/>
          </cell>
          <cell r="J2812" t="str">
            <v/>
          </cell>
          <cell r="O2812" t="str">
            <v/>
          </cell>
          <cell r="P2812" t="str">
            <v/>
          </cell>
          <cell r="Q2812" t="str">
            <v/>
          </cell>
          <cell r="S2812" t="str">
            <v/>
          </cell>
          <cell r="V2812" t="str">
            <v/>
          </cell>
          <cell r="Z2812" t="str">
            <v/>
          </cell>
          <cell r="AA2812" t="str">
            <v/>
          </cell>
          <cell r="AB2812" t="str">
            <v/>
          </cell>
          <cell r="AC2812" t="str">
            <v/>
          </cell>
          <cell r="AD2812" t="str">
            <v/>
          </cell>
          <cell r="AY2812" t="str">
            <v/>
          </cell>
          <cell r="AZ2812" t="str">
            <v/>
          </cell>
          <cell r="BA2812" t="str">
            <v/>
          </cell>
        </row>
        <row r="2813">
          <cell r="B2813" t="str">
            <v>-</v>
          </cell>
          <cell r="E2813" t="str">
            <v/>
          </cell>
          <cell r="G2813" t="str">
            <v/>
          </cell>
          <cell r="J2813" t="str">
            <v/>
          </cell>
          <cell r="O2813" t="str">
            <v/>
          </cell>
          <cell r="P2813" t="str">
            <v/>
          </cell>
          <cell r="Q2813" t="str">
            <v/>
          </cell>
          <cell r="S2813" t="str">
            <v/>
          </cell>
          <cell r="V2813" t="str">
            <v/>
          </cell>
          <cell r="Z2813" t="str">
            <v/>
          </cell>
          <cell r="AA2813" t="str">
            <v/>
          </cell>
          <cell r="AB2813" t="str">
            <v/>
          </cell>
          <cell r="AC2813" t="str">
            <v/>
          </cell>
          <cell r="AD2813" t="str">
            <v/>
          </cell>
          <cell r="AY2813" t="str">
            <v/>
          </cell>
          <cell r="AZ2813" t="str">
            <v/>
          </cell>
          <cell r="BA2813" t="str">
            <v/>
          </cell>
        </row>
        <row r="2814">
          <cell r="B2814" t="str">
            <v>-</v>
          </cell>
          <cell r="E2814" t="str">
            <v/>
          </cell>
          <cell r="G2814" t="str">
            <v/>
          </cell>
          <cell r="J2814" t="str">
            <v/>
          </cell>
          <cell r="O2814" t="str">
            <v/>
          </cell>
          <cell r="P2814" t="str">
            <v/>
          </cell>
          <cell r="Q2814" t="str">
            <v/>
          </cell>
          <cell r="S2814" t="str">
            <v/>
          </cell>
          <cell r="V2814" t="str">
            <v/>
          </cell>
          <cell r="Z2814" t="str">
            <v/>
          </cell>
          <cell r="AA2814" t="str">
            <v/>
          </cell>
          <cell r="AB2814" t="str">
            <v/>
          </cell>
          <cell r="AC2814" t="str">
            <v/>
          </cell>
          <cell r="AD2814" t="str">
            <v/>
          </cell>
          <cell r="AY2814" t="str">
            <v/>
          </cell>
          <cell r="AZ2814" t="str">
            <v/>
          </cell>
          <cell r="BA2814" t="str">
            <v/>
          </cell>
        </row>
        <row r="2815">
          <cell r="B2815" t="str">
            <v>-</v>
          </cell>
          <cell r="E2815" t="str">
            <v/>
          </cell>
          <cell r="G2815" t="str">
            <v/>
          </cell>
          <cell r="J2815" t="str">
            <v/>
          </cell>
          <cell r="O2815" t="str">
            <v/>
          </cell>
          <cell r="P2815" t="str">
            <v/>
          </cell>
          <cell r="Q2815" t="str">
            <v/>
          </cell>
          <cell r="S2815" t="str">
            <v/>
          </cell>
          <cell r="V2815" t="str">
            <v/>
          </cell>
          <cell r="Z2815" t="str">
            <v/>
          </cell>
          <cell r="AA2815" t="str">
            <v/>
          </cell>
          <cell r="AB2815" t="str">
            <v/>
          </cell>
          <cell r="AC2815" t="str">
            <v/>
          </cell>
          <cell r="AD2815" t="str">
            <v/>
          </cell>
          <cell r="AY2815" t="str">
            <v/>
          </cell>
          <cell r="AZ2815" t="str">
            <v/>
          </cell>
          <cell r="BA2815" t="str">
            <v/>
          </cell>
        </row>
        <row r="2816">
          <cell r="B2816" t="str">
            <v>-</v>
          </cell>
          <cell r="E2816" t="str">
            <v/>
          </cell>
          <cell r="G2816" t="str">
            <v/>
          </cell>
          <cell r="J2816" t="str">
            <v/>
          </cell>
          <cell r="O2816" t="str">
            <v/>
          </cell>
          <cell r="P2816" t="str">
            <v/>
          </cell>
          <cell r="Q2816" t="str">
            <v/>
          </cell>
          <cell r="S2816" t="str">
            <v/>
          </cell>
          <cell r="V2816" t="str">
            <v/>
          </cell>
          <cell r="Z2816" t="str">
            <v/>
          </cell>
          <cell r="AA2816" t="str">
            <v/>
          </cell>
          <cell r="AB2816" t="str">
            <v/>
          </cell>
          <cell r="AC2816" t="str">
            <v/>
          </cell>
          <cell r="AD2816" t="str">
            <v/>
          </cell>
          <cell r="AY2816" t="str">
            <v/>
          </cell>
          <cell r="AZ2816" t="str">
            <v/>
          </cell>
          <cell r="BA2816" t="str">
            <v/>
          </cell>
        </row>
        <row r="2817">
          <cell r="B2817" t="str">
            <v>-</v>
          </cell>
          <cell r="E2817" t="str">
            <v/>
          </cell>
          <cell r="G2817" t="str">
            <v/>
          </cell>
          <cell r="J2817" t="str">
            <v/>
          </cell>
          <cell r="O2817" t="str">
            <v/>
          </cell>
          <cell r="P2817" t="str">
            <v/>
          </cell>
          <cell r="Q2817" t="str">
            <v/>
          </cell>
          <cell r="S2817" t="str">
            <v/>
          </cell>
          <cell r="V2817" t="str">
            <v/>
          </cell>
          <cell r="Z2817" t="str">
            <v/>
          </cell>
          <cell r="AA2817" t="str">
            <v/>
          </cell>
          <cell r="AB2817" t="str">
            <v/>
          </cell>
          <cell r="AC2817" t="str">
            <v/>
          </cell>
          <cell r="AD2817" t="str">
            <v/>
          </cell>
          <cell r="AY2817" t="str">
            <v/>
          </cell>
          <cell r="AZ2817" t="str">
            <v/>
          </cell>
          <cell r="BA2817" t="str">
            <v/>
          </cell>
        </row>
        <row r="2818">
          <cell r="B2818" t="str">
            <v>-</v>
          </cell>
          <cell r="E2818" t="str">
            <v/>
          </cell>
          <cell r="G2818" t="str">
            <v/>
          </cell>
          <cell r="J2818" t="str">
            <v/>
          </cell>
          <cell r="O2818" t="str">
            <v/>
          </cell>
          <cell r="P2818" t="str">
            <v/>
          </cell>
          <cell r="Q2818" t="str">
            <v/>
          </cell>
          <cell r="S2818" t="str">
            <v/>
          </cell>
          <cell r="V2818" t="str">
            <v/>
          </cell>
          <cell r="Z2818" t="str">
            <v/>
          </cell>
          <cell r="AA2818" t="str">
            <v/>
          </cell>
          <cell r="AB2818" t="str">
            <v/>
          </cell>
          <cell r="AC2818" t="str">
            <v/>
          </cell>
          <cell r="AD2818" t="str">
            <v/>
          </cell>
          <cell r="AY2818" t="str">
            <v/>
          </cell>
          <cell r="AZ2818" t="str">
            <v/>
          </cell>
          <cell r="BA2818" t="str">
            <v/>
          </cell>
        </row>
        <row r="2819">
          <cell r="B2819" t="str">
            <v>-</v>
          </cell>
          <cell r="E2819" t="str">
            <v/>
          </cell>
          <cell r="G2819" t="str">
            <v/>
          </cell>
          <cell r="J2819" t="str">
            <v/>
          </cell>
          <cell r="O2819" t="str">
            <v/>
          </cell>
          <cell r="P2819" t="str">
            <v/>
          </cell>
          <cell r="Q2819" t="str">
            <v/>
          </cell>
          <cell r="S2819" t="str">
            <v/>
          </cell>
          <cell r="V2819" t="str">
            <v/>
          </cell>
          <cell r="Z2819" t="str">
            <v/>
          </cell>
          <cell r="AA2819" t="str">
            <v/>
          </cell>
          <cell r="AB2819" t="str">
            <v/>
          </cell>
          <cell r="AC2819" t="str">
            <v/>
          </cell>
          <cell r="AD2819" t="str">
            <v/>
          </cell>
          <cell r="AY2819" t="str">
            <v/>
          </cell>
          <cell r="AZ2819" t="str">
            <v/>
          </cell>
          <cell r="BA2819" t="str">
            <v/>
          </cell>
        </row>
        <row r="2820">
          <cell r="B2820" t="str">
            <v>-</v>
          </cell>
          <cell r="E2820" t="str">
            <v/>
          </cell>
          <cell r="G2820" t="str">
            <v/>
          </cell>
          <cell r="J2820" t="str">
            <v/>
          </cell>
          <cell r="O2820" t="str">
            <v/>
          </cell>
          <cell r="P2820" t="str">
            <v/>
          </cell>
          <cell r="Q2820" t="str">
            <v/>
          </cell>
          <cell r="S2820" t="str">
            <v/>
          </cell>
          <cell r="V2820" t="str">
            <v/>
          </cell>
          <cell r="Z2820" t="str">
            <v/>
          </cell>
          <cell r="AA2820" t="str">
            <v/>
          </cell>
          <cell r="AB2820" t="str">
            <v/>
          </cell>
          <cell r="AC2820" t="str">
            <v/>
          </cell>
          <cell r="AD2820" t="str">
            <v/>
          </cell>
          <cell r="AY2820" t="str">
            <v/>
          </cell>
          <cell r="AZ2820" t="str">
            <v/>
          </cell>
          <cell r="BA2820" t="str">
            <v/>
          </cell>
        </row>
        <row r="2821">
          <cell r="B2821" t="str">
            <v>-</v>
          </cell>
          <cell r="E2821" t="str">
            <v/>
          </cell>
          <cell r="G2821" t="str">
            <v/>
          </cell>
          <cell r="J2821" t="str">
            <v/>
          </cell>
          <cell r="O2821" t="str">
            <v/>
          </cell>
          <cell r="P2821" t="str">
            <v/>
          </cell>
          <cell r="Q2821" t="str">
            <v/>
          </cell>
          <cell r="S2821" t="str">
            <v/>
          </cell>
          <cell r="V2821" t="str">
            <v/>
          </cell>
          <cell r="Z2821" t="str">
            <v/>
          </cell>
          <cell r="AA2821" t="str">
            <v/>
          </cell>
          <cell r="AB2821" t="str">
            <v/>
          </cell>
          <cell r="AC2821" t="str">
            <v/>
          </cell>
          <cell r="AD2821" t="str">
            <v/>
          </cell>
          <cell r="AY2821" t="str">
            <v/>
          </cell>
          <cell r="AZ2821" t="str">
            <v/>
          </cell>
          <cell r="BA2821" t="str">
            <v/>
          </cell>
        </row>
        <row r="2822">
          <cell r="B2822" t="str">
            <v>-</v>
          </cell>
          <cell r="E2822" t="str">
            <v/>
          </cell>
          <cell r="G2822" t="str">
            <v/>
          </cell>
          <cell r="J2822" t="str">
            <v/>
          </cell>
          <cell r="O2822" t="str">
            <v/>
          </cell>
          <cell r="P2822" t="str">
            <v/>
          </cell>
          <cell r="Q2822" t="str">
            <v/>
          </cell>
          <cell r="S2822" t="str">
            <v/>
          </cell>
          <cell r="V2822" t="str">
            <v/>
          </cell>
          <cell r="Z2822" t="str">
            <v/>
          </cell>
          <cell r="AA2822" t="str">
            <v/>
          </cell>
          <cell r="AB2822" t="str">
            <v/>
          </cell>
          <cell r="AC2822" t="str">
            <v/>
          </cell>
          <cell r="AD2822" t="str">
            <v/>
          </cell>
          <cell r="AY2822" t="str">
            <v/>
          </cell>
          <cell r="AZ2822" t="str">
            <v/>
          </cell>
          <cell r="BA2822" t="str">
            <v/>
          </cell>
        </row>
        <row r="2823">
          <cell r="B2823" t="str">
            <v>-</v>
          </cell>
          <cell r="E2823" t="str">
            <v/>
          </cell>
          <cell r="G2823" t="str">
            <v/>
          </cell>
          <cell r="J2823" t="str">
            <v/>
          </cell>
          <cell r="O2823" t="str">
            <v/>
          </cell>
          <cell r="P2823" t="str">
            <v/>
          </cell>
          <cell r="Q2823" t="str">
            <v/>
          </cell>
          <cell r="S2823" t="str">
            <v/>
          </cell>
          <cell r="V2823" t="str">
            <v/>
          </cell>
          <cell r="Z2823" t="str">
            <v/>
          </cell>
          <cell r="AA2823" t="str">
            <v/>
          </cell>
          <cell r="AB2823" t="str">
            <v/>
          </cell>
          <cell r="AC2823" t="str">
            <v/>
          </cell>
          <cell r="AD2823" t="str">
            <v/>
          </cell>
          <cell r="AY2823" t="str">
            <v/>
          </cell>
          <cell r="AZ2823" t="str">
            <v/>
          </cell>
          <cell r="BA2823" t="str">
            <v/>
          </cell>
        </row>
        <row r="2824">
          <cell r="B2824" t="str">
            <v>-</v>
          </cell>
          <cell r="E2824" t="str">
            <v/>
          </cell>
          <cell r="G2824" t="str">
            <v/>
          </cell>
          <cell r="J2824" t="str">
            <v/>
          </cell>
          <cell r="O2824" t="str">
            <v/>
          </cell>
          <cell r="P2824" t="str">
            <v/>
          </cell>
          <cell r="Q2824" t="str">
            <v/>
          </cell>
          <cell r="S2824" t="str">
            <v/>
          </cell>
          <cell r="V2824" t="str">
            <v/>
          </cell>
          <cell r="Z2824" t="str">
            <v/>
          </cell>
          <cell r="AA2824" t="str">
            <v/>
          </cell>
          <cell r="AB2824" t="str">
            <v/>
          </cell>
          <cell r="AC2824" t="str">
            <v/>
          </cell>
          <cell r="AD2824" t="str">
            <v/>
          </cell>
          <cell r="AY2824" t="str">
            <v/>
          </cell>
          <cell r="AZ2824" t="str">
            <v/>
          </cell>
          <cell r="BA2824" t="str">
            <v/>
          </cell>
        </row>
        <row r="2825">
          <cell r="B2825" t="str">
            <v>-</v>
          </cell>
          <cell r="E2825" t="str">
            <v/>
          </cell>
          <cell r="G2825" t="str">
            <v/>
          </cell>
          <cell r="J2825" t="str">
            <v/>
          </cell>
          <cell r="O2825" t="str">
            <v/>
          </cell>
          <cell r="P2825" t="str">
            <v/>
          </cell>
          <cell r="Q2825" t="str">
            <v/>
          </cell>
          <cell r="S2825" t="str">
            <v/>
          </cell>
          <cell r="V2825" t="str">
            <v/>
          </cell>
          <cell r="Z2825" t="str">
            <v/>
          </cell>
          <cell r="AA2825" t="str">
            <v/>
          </cell>
          <cell r="AB2825" t="str">
            <v/>
          </cell>
          <cell r="AC2825" t="str">
            <v/>
          </cell>
          <cell r="AD2825" t="str">
            <v/>
          </cell>
          <cell r="AY2825" t="str">
            <v/>
          </cell>
          <cell r="AZ2825" t="str">
            <v/>
          </cell>
          <cell r="BA2825" t="str">
            <v/>
          </cell>
        </row>
        <row r="2826">
          <cell r="B2826" t="str">
            <v>-</v>
          </cell>
          <cell r="E2826" t="str">
            <v/>
          </cell>
          <cell r="G2826" t="str">
            <v/>
          </cell>
          <cell r="J2826" t="str">
            <v/>
          </cell>
          <cell r="O2826" t="str">
            <v/>
          </cell>
          <cell r="P2826" t="str">
            <v/>
          </cell>
          <cell r="Q2826" t="str">
            <v/>
          </cell>
          <cell r="S2826" t="str">
            <v/>
          </cell>
          <cell r="V2826" t="str">
            <v/>
          </cell>
          <cell r="Z2826" t="str">
            <v/>
          </cell>
          <cell r="AA2826" t="str">
            <v/>
          </cell>
          <cell r="AB2826" t="str">
            <v/>
          </cell>
          <cell r="AC2826" t="str">
            <v/>
          </cell>
          <cell r="AD2826" t="str">
            <v/>
          </cell>
          <cell r="AY2826" t="str">
            <v/>
          </cell>
          <cell r="AZ2826" t="str">
            <v/>
          </cell>
          <cell r="BA2826" t="str">
            <v/>
          </cell>
        </row>
        <row r="2827">
          <cell r="B2827" t="str">
            <v>-</v>
          </cell>
          <cell r="E2827" t="str">
            <v/>
          </cell>
          <cell r="G2827" t="str">
            <v/>
          </cell>
          <cell r="J2827" t="str">
            <v/>
          </cell>
          <cell r="O2827" t="str">
            <v/>
          </cell>
          <cell r="P2827" t="str">
            <v/>
          </cell>
          <cell r="Q2827" t="str">
            <v/>
          </cell>
          <cell r="S2827" t="str">
            <v/>
          </cell>
          <cell r="V2827" t="str">
            <v/>
          </cell>
          <cell r="Z2827" t="str">
            <v/>
          </cell>
          <cell r="AA2827" t="str">
            <v/>
          </cell>
          <cell r="AB2827" t="str">
            <v/>
          </cell>
          <cell r="AC2827" t="str">
            <v/>
          </cell>
          <cell r="AD2827" t="str">
            <v/>
          </cell>
          <cell r="AY2827" t="str">
            <v/>
          </cell>
          <cell r="AZ2827" t="str">
            <v/>
          </cell>
          <cell r="BA2827" t="str">
            <v/>
          </cell>
        </row>
        <row r="2828">
          <cell r="B2828" t="str">
            <v>-</v>
          </cell>
          <cell r="E2828" t="str">
            <v/>
          </cell>
          <cell r="G2828" t="str">
            <v/>
          </cell>
          <cell r="J2828" t="str">
            <v/>
          </cell>
          <cell r="O2828" t="str">
            <v/>
          </cell>
          <cell r="P2828" t="str">
            <v/>
          </cell>
          <cell r="Q2828" t="str">
            <v/>
          </cell>
          <cell r="S2828" t="str">
            <v/>
          </cell>
          <cell r="V2828" t="str">
            <v/>
          </cell>
          <cell r="Z2828" t="str">
            <v/>
          </cell>
          <cell r="AA2828" t="str">
            <v/>
          </cell>
          <cell r="AB2828" t="str">
            <v/>
          </cell>
          <cell r="AC2828" t="str">
            <v/>
          </cell>
          <cell r="AD2828" t="str">
            <v/>
          </cell>
          <cell r="AY2828" t="str">
            <v/>
          </cell>
          <cell r="AZ2828" t="str">
            <v/>
          </cell>
          <cell r="BA2828" t="str">
            <v/>
          </cell>
        </row>
        <row r="2829">
          <cell r="B2829" t="str">
            <v>-</v>
          </cell>
          <cell r="E2829" t="str">
            <v/>
          </cell>
          <cell r="G2829" t="str">
            <v/>
          </cell>
          <cell r="J2829" t="str">
            <v/>
          </cell>
          <cell r="O2829" t="str">
            <v/>
          </cell>
          <cell r="P2829" t="str">
            <v/>
          </cell>
          <cell r="Q2829" t="str">
            <v/>
          </cell>
          <cell r="S2829" t="str">
            <v/>
          </cell>
          <cell r="V2829" t="str">
            <v/>
          </cell>
          <cell r="Z2829" t="str">
            <v/>
          </cell>
          <cell r="AA2829" t="str">
            <v/>
          </cell>
          <cell r="AB2829" t="str">
            <v/>
          </cell>
          <cell r="AC2829" t="str">
            <v/>
          </cell>
          <cell r="AD2829" t="str">
            <v/>
          </cell>
          <cell r="AY2829" t="str">
            <v/>
          </cell>
          <cell r="AZ2829" t="str">
            <v/>
          </cell>
          <cell r="BA2829" t="str">
            <v/>
          </cell>
        </row>
        <row r="2830">
          <cell r="B2830" t="str">
            <v>-</v>
          </cell>
          <cell r="E2830" t="str">
            <v/>
          </cell>
          <cell r="G2830" t="str">
            <v/>
          </cell>
          <cell r="J2830" t="str">
            <v/>
          </cell>
          <cell r="O2830" t="str">
            <v/>
          </cell>
          <cell r="P2830" t="str">
            <v/>
          </cell>
          <cell r="Q2830" t="str">
            <v/>
          </cell>
          <cell r="S2830" t="str">
            <v/>
          </cell>
          <cell r="V2830" t="str">
            <v/>
          </cell>
          <cell r="Z2830" t="str">
            <v/>
          </cell>
          <cell r="AA2830" t="str">
            <v/>
          </cell>
          <cell r="AB2830" t="str">
            <v/>
          </cell>
          <cell r="AC2830" t="str">
            <v/>
          </cell>
          <cell r="AD2830" t="str">
            <v/>
          </cell>
          <cell r="AY2830" t="str">
            <v/>
          </cell>
          <cell r="AZ2830" t="str">
            <v/>
          </cell>
          <cell r="BA2830" t="str">
            <v/>
          </cell>
        </row>
        <row r="2831">
          <cell r="B2831" t="str">
            <v>-</v>
          </cell>
          <cell r="E2831" t="str">
            <v/>
          </cell>
          <cell r="G2831" t="str">
            <v/>
          </cell>
          <cell r="J2831" t="str">
            <v/>
          </cell>
          <cell r="O2831" t="str">
            <v/>
          </cell>
          <cell r="P2831" t="str">
            <v/>
          </cell>
          <cell r="Q2831" t="str">
            <v/>
          </cell>
          <cell r="S2831" t="str">
            <v/>
          </cell>
          <cell r="V2831" t="str">
            <v/>
          </cell>
          <cell r="Z2831" t="str">
            <v/>
          </cell>
          <cell r="AA2831" t="str">
            <v/>
          </cell>
          <cell r="AB2831" t="str">
            <v/>
          </cell>
          <cell r="AC2831" t="str">
            <v/>
          </cell>
          <cell r="AD2831" t="str">
            <v/>
          </cell>
          <cell r="AY2831" t="str">
            <v/>
          </cell>
          <cell r="AZ2831" t="str">
            <v/>
          </cell>
          <cell r="BA2831" t="str">
            <v/>
          </cell>
        </row>
        <row r="2832">
          <cell r="B2832" t="str">
            <v>-</v>
          </cell>
          <cell r="E2832" t="str">
            <v/>
          </cell>
          <cell r="G2832" t="str">
            <v/>
          </cell>
          <cell r="J2832" t="str">
            <v/>
          </cell>
          <cell r="O2832" t="str">
            <v/>
          </cell>
          <cell r="P2832" t="str">
            <v/>
          </cell>
          <cell r="Q2832" t="str">
            <v/>
          </cell>
          <cell r="S2832" t="str">
            <v/>
          </cell>
          <cell r="V2832" t="str">
            <v/>
          </cell>
          <cell r="Z2832" t="str">
            <v/>
          </cell>
          <cell r="AA2832" t="str">
            <v/>
          </cell>
          <cell r="AB2832" t="str">
            <v/>
          </cell>
          <cell r="AC2832" t="str">
            <v/>
          </cell>
          <cell r="AD2832" t="str">
            <v/>
          </cell>
          <cell r="AY2832" t="str">
            <v/>
          </cell>
          <cell r="AZ2832" t="str">
            <v/>
          </cell>
          <cell r="BA2832" t="str">
            <v/>
          </cell>
        </row>
        <row r="2833">
          <cell r="B2833" t="str">
            <v>-</v>
          </cell>
          <cell r="E2833" t="str">
            <v/>
          </cell>
          <cell r="G2833" t="str">
            <v/>
          </cell>
          <cell r="J2833" t="str">
            <v/>
          </cell>
          <cell r="O2833" t="str">
            <v/>
          </cell>
          <cell r="P2833" t="str">
            <v/>
          </cell>
          <cell r="Q2833" t="str">
            <v/>
          </cell>
          <cell r="S2833" t="str">
            <v/>
          </cell>
          <cell r="V2833" t="str">
            <v/>
          </cell>
          <cell r="Z2833" t="str">
            <v/>
          </cell>
          <cell r="AA2833" t="str">
            <v/>
          </cell>
          <cell r="AB2833" t="str">
            <v/>
          </cell>
          <cell r="AC2833" t="str">
            <v/>
          </cell>
          <cell r="AD2833" t="str">
            <v/>
          </cell>
          <cell r="AY2833" t="str">
            <v/>
          </cell>
          <cell r="AZ2833" t="str">
            <v/>
          </cell>
          <cell r="BA2833" t="str">
            <v/>
          </cell>
        </row>
        <row r="2834">
          <cell r="B2834" t="str">
            <v>-</v>
          </cell>
          <cell r="E2834" t="str">
            <v/>
          </cell>
          <cell r="G2834" t="str">
            <v/>
          </cell>
          <cell r="J2834" t="str">
            <v/>
          </cell>
          <cell r="O2834" t="str">
            <v/>
          </cell>
          <cell r="P2834" t="str">
            <v/>
          </cell>
          <cell r="Q2834" t="str">
            <v/>
          </cell>
          <cell r="S2834" t="str">
            <v/>
          </cell>
          <cell r="V2834" t="str">
            <v/>
          </cell>
          <cell r="Z2834" t="str">
            <v/>
          </cell>
          <cell r="AA2834" t="str">
            <v/>
          </cell>
          <cell r="AB2834" t="str">
            <v/>
          </cell>
          <cell r="AC2834" t="str">
            <v/>
          </cell>
          <cell r="AD2834" t="str">
            <v/>
          </cell>
          <cell r="AY2834" t="str">
            <v/>
          </cell>
          <cell r="AZ2834" t="str">
            <v/>
          </cell>
          <cell r="BA2834" t="str">
            <v/>
          </cell>
        </row>
        <row r="2835">
          <cell r="B2835" t="str">
            <v>-</v>
          </cell>
          <cell r="E2835" t="str">
            <v/>
          </cell>
          <cell r="G2835" t="str">
            <v/>
          </cell>
          <cell r="J2835" t="str">
            <v/>
          </cell>
          <cell r="O2835" t="str">
            <v/>
          </cell>
          <cell r="P2835" t="str">
            <v/>
          </cell>
          <cell r="Q2835" t="str">
            <v/>
          </cell>
          <cell r="S2835" t="str">
            <v/>
          </cell>
          <cell r="V2835" t="str">
            <v/>
          </cell>
          <cell r="Z2835" t="str">
            <v/>
          </cell>
          <cell r="AA2835" t="str">
            <v/>
          </cell>
          <cell r="AB2835" t="str">
            <v/>
          </cell>
          <cell r="AC2835" t="str">
            <v/>
          </cell>
          <cell r="AD2835" t="str">
            <v/>
          </cell>
          <cell r="AY2835" t="str">
            <v/>
          </cell>
          <cell r="AZ2835" t="str">
            <v/>
          </cell>
          <cell r="BA2835" t="str">
            <v/>
          </cell>
        </row>
        <row r="2836">
          <cell r="B2836" t="str">
            <v>-</v>
          </cell>
          <cell r="E2836" t="str">
            <v/>
          </cell>
          <cell r="G2836" t="str">
            <v/>
          </cell>
          <cell r="J2836" t="str">
            <v/>
          </cell>
          <cell r="O2836" t="str">
            <v/>
          </cell>
          <cell r="P2836" t="str">
            <v/>
          </cell>
          <cell r="Q2836" t="str">
            <v/>
          </cell>
          <cell r="S2836" t="str">
            <v/>
          </cell>
          <cell r="V2836" t="str">
            <v/>
          </cell>
          <cell r="Z2836" t="str">
            <v/>
          </cell>
          <cell r="AA2836" t="str">
            <v/>
          </cell>
          <cell r="AB2836" t="str">
            <v/>
          </cell>
          <cell r="AC2836" t="str">
            <v/>
          </cell>
          <cell r="AD2836" t="str">
            <v/>
          </cell>
          <cell r="AY2836" t="str">
            <v/>
          </cell>
          <cell r="AZ2836" t="str">
            <v/>
          </cell>
          <cell r="BA2836" t="str">
            <v/>
          </cell>
        </row>
        <row r="2837">
          <cell r="B2837" t="str">
            <v>-</v>
          </cell>
          <cell r="E2837" t="str">
            <v/>
          </cell>
          <cell r="G2837" t="str">
            <v/>
          </cell>
          <cell r="J2837" t="str">
            <v/>
          </cell>
          <cell r="O2837" t="str">
            <v/>
          </cell>
          <cell r="P2837" t="str">
            <v/>
          </cell>
          <cell r="Q2837" t="str">
            <v/>
          </cell>
          <cell r="S2837" t="str">
            <v/>
          </cell>
          <cell r="V2837" t="str">
            <v/>
          </cell>
          <cell r="Z2837" t="str">
            <v/>
          </cell>
          <cell r="AA2837" t="str">
            <v/>
          </cell>
          <cell r="AB2837" t="str">
            <v/>
          </cell>
          <cell r="AC2837" t="str">
            <v/>
          </cell>
          <cell r="AD2837" t="str">
            <v/>
          </cell>
          <cell r="AY2837" t="str">
            <v/>
          </cell>
          <cell r="AZ2837" t="str">
            <v/>
          </cell>
          <cell r="BA2837" t="str">
            <v/>
          </cell>
        </row>
        <row r="2838">
          <cell r="B2838" t="str">
            <v>-</v>
          </cell>
          <cell r="E2838" t="str">
            <v/>
          </cell>
          <cell r="G2838" t="str">
            <v/>
          </cell>
          <cell r="J2838" t="str">
            <v/>
          </cell>
          <cell r="O2838" t="str">
            <v/>
          </cell>
          <cell r="P2838" t="str">
            <v/>
          </cell>
          <cell r="Q2838" t="str">
            <v/>
          </cell>
          <cell r="S2838" t="str">
            <v/>
          </cell>
          <cell r="V2838" t="str">
            <v/>
          </cell>
          <cell r="Z2838" t="str">
            <v/>
          </cell>
          <cell r="AA2838" t="str">
            <v/>
          </cell>
          <cell r="AB2838" t="str">
            <v/>
          </cell>
          <cell r="AC2838" t="str">
            <v/>
          </cell>
          <cell r="AD2838" t="str">
            <v/>
          </cell>
          <cell r="AY2838" t="str">
            <v/>
          </cell>
          <cell r="AZ2838" t="str">
            <v/>
          </cell>
          <cell r="BA2838" t="str">
            <v/>
          </cell>
        </row>
        <row r="2839">
          <cell r="B2839" t="str">
            <v>-</v>
          </cell>
          <cell r="E2839" t="str">
            <v/>
          </cell>
          <cell r="G2839" t="str">
            <v/>
          </cell>
          <cell r="J2839" t="str">
            <v/>
          </cell>
          <cell r="O2839" t="str">
            <v/>
          </cell>
          <cell r="P2839" t="str">
            <v/>
          </cell>
          <cell r="Q2839" t="str">
            <v/>
          </cell>
          <cell r="S2839" t="str">
            <v/>
          </cell>
          <cell r="V2839" t="str">
            <v/>
          </cell>
          <cell r="Z2839" t="str">
            <v/>
          </cell>
          <cell r="AA2839" t="str">
            <v/>
          </cell>
          <cell r="AB2839" t="str">
            <v/>
          </cell>
          <cell r="AC2839" t="str">
            <v/>
          </cell>
          <cell r="AD2839" t="str">
            <v/>
          </cell>
          <cell r="AY2839" t="str">
            <v/>
          </cell>
          <cell r="AZ2839" t="str">
            <v/>
          </cell>
          <cell r="BA2839" t="str">
            <v/>
          </cell>
        </row>
        <row r="2840">
          <cell r="B2840" t="str">
            <v>-</v>
          </cell>
          <cell r="E2840" t="str">
            <v/>
          </cell>
          <cell r="G2840" t="str">
            <v/>
          </cell>
          <cell r="J2840" t="str">
            <v/>
          </cell>
          <cell r="O2840" t="str">
            <v/>
          </cell>
          <cell r="P2840" t="str">
            <v/>
          </cell>
          <cell r="Q2840" t="str">
            <v/>
          </cell>
          <cell r="S2840" t="str">
            <v/>
          </cell>
          <cell r="V2840" t="str">
            <v/>
          </cell>
          <cell r="Z2840" t="str">
            <v/>
          </cell>
          <cell r="AA2840" t="str">
            <v/>
          </cell>
          <cell r="AB2840" t="str">
            <v/>
          </cell>
          <cell r="AC2840" t="str">
            <v/>
          </cell>
          <cell r="AD2840" t="str">
            <v/>
          </cell>
          <cell r="AY2840" t="str">
            <v/>
          </cell>
          <cell r="AZ2840" t="str">
            <v/>
          </cell>
          <cell r="BA2840" t="str">
            <v/>
          </cell>
        </row>
        <row r="2841">
          <cell r="B2841" t="str">
            <v>-</v>
          </cell>
          <cell r="E2841" t="str">
            <v/>
          </cell>
          <cell r="G2841" t="str">
            <v/>
          </cell>
          <cell r="J2841" t="str">
            <v/>
          </cell>
          <cell r="O2841" t="str">
            <v/>
          </cell>
          <cell r="P2841" t="str">
            <v/>
          </cell>
          <cell r="Q2841" t="str">
            <v/>
          </cell>
          <cell r="S2841" t="str">
            <v/>
          </cell>
          <cell r="V2841" t="str">
            <v/>
          </cell>
          <cell r="Z2841" t="str">
            <v/>
          </cell>
          <cell r="AA2841" t="str">
            <v/>
          </cell>
          <cell r="AB2841" t="str">
            <v/>
          </cell>
          <cell r="AC2841" t="str">
            <v/>
          </cell>
          <cell r="AD2841" t="str">
            <v/>
          </cell>
          <cell r="AY2841" t="str">
            <v/>
          </cell>
          <cell r="AZ2841" t="str">
            <v/>
          </cell>
          <cell r="BA2841" t="str">
            <v/>
          </cell>
        </row>
        <row r="2842">
          <cell r="B2842" t="str">
            <v>-</v>
          </cell>
          <cell r="E2842" t="str">
            <v/>
          </cell>
          <cell r="G2842" t="str">
            <v/>
          </cell>
          <cell r="J2842" t="str">
            <v/>
          </cell>
          <cell r="O2842" t="str">
            <v/>
          </cell>
          <cell r="P2842" t="str">
            <v/>
          </cell>
          <cell r="Q2842" t="str">
            <v/>
          </cell>
          <cell r="S2842" t="str">
            <v/>
          </cell>
          <cell r="V2842" t="str">
            <v/>
          </cell>
          <cell r="Z2842" t="str">
            <v/>
          </cell>
          <cell r="AA2842" t="str">
            <v/>
          </cell>
          <cell r="AB2842" t="str">
            <v/>
          </cell>
          <cell r="AC2842" t="str">
            <v/>
          </cell>
          <cell r="AD2842" t="str">
            <v/>
          </cell>
          <cell r="AY2842" t="str">
            <v/>
          </cell>
          <cell r="AZ2842" t="str">
            <v/>
          </cell>
          <cell r="BA2842" t="str">
            <v/>
          </cell>
        </row>
        <row r="2843">
          <cell r="B2843" t="str">
            <v>-</v>
          </cell>
          <cell r="E2843" t="str">
            <v/>
          </cell>
          <cell r="G2843" t="str">
            <v/>
          </cell>
          <cell r="J2843" t="str">
            <v/>
          </cell>
          <cell r="O2843" t="str">
            <v/>
          </cell>
          <cell r="P2843" t="str">
            <v/>
          </cell>
          <cell r="Q2843" t="str">
            <v/>
          </cell>
          <cell r="S2843" t="str">
            <v/>
          </cell>
          <cell r="V2843" t="str">
            <v/>
          </cell>
          <cell r="Z2843" t="str">
            <v/>
          </cell>
          <cell r="AA2843" t="str">
            <v/>
          </cell>
          <cell r="AB2843" t="str">
            <v/>
          </cell>
          <cell r="AC2843" t="str">
            <v/>
          </cell>
          <cell r="AD2843" t="str">
            <v/>
          </cell>
          <cell r="AY2843" t="str">
            <v/>
          </cell>
          <cell r="AZ2843" t="str">
            <v/>
          </cell>
          <cell r="BA2843" t="str">
            <v/>
          </cell>
        </row>
        <row r="2844">
          <cell r="B2844" t="str">
            <v>-</v>
          </cell>
          <cell r="E2844" t="str">
            <v/>
          </cell>
          <cell r="G2844" t="str">
            <v/>
          </cell>
          <cell r="J2844" t="str">
            <v/>
          </cell>
          <cell r="O2844" t="str">
            <v/>
          </cell>
          <cell r="P2844" t="str">
            <v/>
          </cell>
          <cell r="Q2844" t="str">
            <v/>
          </cell>
          <cell r="S2844" t="str">
            <v/>
          </cell>
          <cell r="V2844" t="str">
            <v/>
          </cell>
          <cell r="Z2844" t="str">
            <v/>
          </cell>
          <cell r="AA2844" t="str">
            <v/>
          </cell>
          <cell r="AB2844" t="str">
            <v/>
          </cell>
          <cell r="AC2844" t="str">
            <v/>
          </cell>
          <cell r="AD2844" t="str">
            <v/>
          </cell>
          <cell r="AY2844" t="str">
            <v/>
          </cell>
          <cell r="AZ2844" t="str">
            <v/>
          </cell>
          <cell r="BA2844" t="str">
            <v/>
          </cell>
        </row>
        <row r="2845">
          <cell r="B2845" t="str">
            <v>-</v>
          </cell>
          <cell r="E2845" t="str">
            <v/>
          </cell>
          <cell r="G2845" t="str">
            <v/>
          </cell>
          <cell r="J2845" t="str">
            <v/>
          </cell>
          <cell r="O2845" t="str">
            <v/>
          </cell>
          <cell r="P2845" t="str">
            <v/>
          </cell>
          <cell r="Q2845" t="str">
            <v/>
          </cell>
          <cell r="S2845" t="str">
            <v/>
          </cell>
          <cell r="V2845" t="str">
            <v/>
          </cell>
          <cell r="Z2845" t="str">
            <v/>
          </cell>
          <cell r="AA2845" t="str">
            <v/>
          </cell>
          <cell r="AB2845" t="str">
            <v/>
          </cell>
          <cell r="AC2845" t="str">
            <v/>
          </cell>
          <cell r="AD2845" t="str">
            <v/>
          </cell>
          <cell r="AY2845" t="str">
            <v/>
          </cell>
          <cell r="AZ2845" t="str">
            <v/>
          </cell>
          <cell r="BA2845" t="str">
            <v/>
          </cell>
        </row>
        <row r="2846">
          <cell r="B2846" t="str">
            <v>-</v>
          </cell>
          <cell r="E2846" t="str">
            <v/>
          </cell>
          <cell r="G2846" t="str">
            <v/>
          </cell>
          <cell r="J2846" t="str">
            <v/>
          </cell>
          <cell r="O2846" t="str">
            <v/>
          </cell>
          <cell r="P2846" t="str">
            <v/>
          </cell>
          <cell r="Q2846" t="str">
            <v/>
          </cell>
          <cell r="S2846" t="str">
            <v/>
          </cell>
          <cell r="V2846" t="str">
            <v/>
          </cell>
          <cell r="Z2846" t="str">
            <v/>
          </cell>
          <cell r="AA2846" t="str">
            <v/>
          </cell>
          <cell r="AB2846" t="str">
            <v/>
          </cell>
          <cell r="AC2846" t="str">
            <v/>
          </cell>
          <cell r="AD2846" t="str">
            <v/>
          </cell>
          <cell r="AY2846" t="str">
            <v/>
          </cell>
          <cell r="AZ2846" t="str">
            <v/>
          </cell>
          <cell r="BA2846" t="str">
            <v/>
          </cell>
        </row>
        <row r="2847">
          <cell r="B2847" t="str">
            <v>-</v>
          </cell>
          <cell r="E2847" t="str">
            <v/>
          </cell>
          <cell r="G2847" t="str">
            <v/>
          </cell>
          <cell r="J2847" t="str">
            <v/>
          </cell>
          <cell r="O2847" t="str">
            <v/>
          </cell>
          <cell r="P2847" t="str">
            <v/>
          </cell>
          <cell r="Q2847" t="str">
            <v/>
          </cell>
          <cell r="S2847" t="str">
            <v/>
          </cell>
          <cell r="V2847" t="str">
            <v/>
          </cell>
          <cell r="Z2847" t="str">
            <v/>
          </cell>
          <cell r="AA2847" t="str">
            <v/>
          </cell>
          <cell r="AB2847" t="str">
            <v/>
          </cell>
          <cell r="AC2847" t="str">
            <v/>
          </cell>
          <cell r="AD2847" t="str">
            <v/>
          </cell>
          <cell r="AY2847" t="str">
            <v/>
          </cell>
          <cell r="AZ2847" t="str">
            <v/>
          </cell>
          <cell r="BA2847" t="str">
            <v/>
          </cell>
        </row>
        <row r="2848">
          <cell r="B2848" t="str">
            <v>-</v>
          </cell>
          <cell r="E2848" t="str">
            <v/>
          </cell>
          <cell r="G2848" t="str">
            <v/>
          </cell>
          <cell r="J2848" t="str">
            <v/>
          </cell>
          <cell r="O2848" t="str">
            <v/>
          </cell>
          <cell r="P2848" t="str">
            <v/>
          </cell>
          <cell r="Q2848" t="str">
            <v/>
          </cell>
          <cell r="S2848" t="str">
            <v/>
          </cell>
          <cell r="V2848" t="str">
            <v/>
          </cell>
          <cell r="Z2848" t="str">
            <v/>
          </cell>
          <cell r="AA2848" t="str">
            <v/>
          </cell>
          <cell r="AB2848" t="str">
            <v/>
          </cell>
          <cell r="AC2848" t="str">
            <v/>
          </cell>
          <cell r="AD2848" t="str">
            <v/>
          </cell>
          <cell r="AY2848" t="str">
            <v/>
          </cell>
          <cell r="AZ2848" t="str">
            <v/>
          </cell>
          <cell r="BA2848" t="str">
            <v/>
          </cell>
        </row>
        <row r="2849">
          <cell r="B2849" t="str">
            <v>-</v>
          </cell>
          <cell r="E2849" t="str">
            <v/>
          </cell>
          <cell r="G2849" t="str">
            <v/>
          </cell>
          <cell r="J2849" t="str">
            <v/>
          </cell>
          <cell r="O2849" t="str">
            <v/>
          </cell>
          <cell r="P2849" t="str">
            <v/>
          </cell>
          <cell r="Q2849" t="str">
            <v/>
          </cell>
          <cell r="S2849" t="str">
            <v/>
          </cell>
          <cell r="V2849" t="str">
            <v/>
          </cell>
          <cell r="Z2849" t="str">
            <v/>
          </cell>
          <cell r="AA2849" t="str">
            <v/>
          </cell>
          <cell r="AB2849" t="str">
            <v/>
          </cell>
          <cell r="AC2849" t="str">
            <v/>
          </cell>
          <cell r="AD2849" t="str">
            <v/>
          </cell>
          <cell r="AY2849" t="str">
            <v/>
          </cell>
          <cell r="AZ2849" t="str">
            <v/>
          </cell>
          <cell r="BA2849" t="str">
            <v/>
          </cell>
        </row>
        <row r="2850">
          <cell r="B2850" t="str">
            <v>-</v>
          </cell>
          <cell r="E2850" t="str">
            <v/>
          </cell>
          <cell r="G2850" t="str">
            <v/>
          </cell>
          <cell r="J2850" t="str">
            <v/>
          </cell>
          <cell r="O2850" t="str">
            <v/>
          </cell>
          <cell r="P2850" t="str">
            <v/>
          </cell>
          <cell r="Q2850" t="str">
            <v/>
          </cell>
          <cell r="S2850" t="str">
            <v/>
          </cell>
          <cell r="V2850" t="str">
            <v/>
          </cell>
          <cell r="Z2850" t="str">
            <v/>
          </cell>
          <cell r="AA2850" t="str">
            <v/>
          </cell>
          <cell r="AB2850" t="str">
            <v/>
          </cell>
          <cell r="AC2850" t="str">
            <v/>
          </cell>
          <cell r="AD2850" t="str">
            <v/>
          </cell>
          <cell r="AY2850" t="str">
            <v/>
          </cell>
          <cell r="AZ2850" t="str">
            <v/>
          </cell>
          <cell r="BA2850" t="str">
            <v/>
          </cell>
        </row>
        <row r="2851">
          <cell r="B2851" t="str">
            <v>-</v>
          </cell>
          <cell r="E2851" t="str">
            <v/>
          </cell>
          <cell r="G2851" t="str">
            <v/>
          </cell>
          <cell r="J2851" t="str">
            <v/>
          </cell>
          <cell r="O2851" t="str">
            <v/>
          </cell>
          <cell r="P2851" t="str">
            <v/>
          </cell>
          <cell r="Q2851" t="str">
            <v/>
          </cell>
          <cell r="S2851" t="str">
            <v/>
          </cell>
          <cell r="V2851" t="str">
            <v/>
          </cell>
          <cell r="Z2851" t="str">
            <v/>
          </cell>
          <cell r="AA2851" t="str">
            <v/>
          </cell>
          <cell r="AB2851" t="str">
            <v/>
          </cell>
          <cell r="AC2851" t="str">
            <v/>
          </cell>
          <cell r="AD2851" t="str">
            <v/>
          </cell>
          <cell r="AY2851" t="str">
            <v/>
          </cell>
          <cell r="AZ2851" t="str">
            <v/>
          </cell>
          <cell r="BA2851" t="str">
            <v/>
          </cell>
        </row>
        <row r="2852">
          <cell r="B2852" t="str">
            <v>-</v>
          </cell>
          <cell r="E2852" t="str">
            <v/>
          </cell>
          <cell r="G2852" t="str">
            <v/>
          </cell>
          <cell r="J2852" t="str">
            <v/>
          </cell>
          <cell r="O2852" t="str">
            <v/>
          </cell>
          <cell r="P2852" t="str">
            <v/>
          </cell>
          <cell r="Q2852" t="str">
            <v/>
          </cell>
          <cell r="S2852" t="str">
            <v/>
          </cell>
          <cell r="V2852" t="str">
            <v/>
          </cell>
          <cell r="Z2852" t="str">
            <v/>
          </cell>
          <cell r="AA2852" t="str">
            <v/>
          </cell>
          <cell r="AB2852" t="str">
            <v/>
          </cell>
          <cell r="AC2852" t="str">
            <v/>
          </cell>
          <cell r="AD2852" t="str">
            <v/>
          </cell>
          <cell r="AY2852" t="str">
            <v/>
          </cell>
          <cell r="AZ2852" t="str">
            <v/>
          </cell>
          <cell r="BA2852" t="str">
            <v/>
          </cell>
        </row>
        <row r="2853">
          <cell r="B2853" t="str">
            <v>-</v>
          </cell>
          <cell r="E2853" t="str">
            <v/>
          </cell>
          <cell r="G2853" t="str">
            <v/>
          </cell>
          <cell r="J2853" t="str">
            <v/>
          </cell>
          <cell r="O2853" t="str">
            <v/>
          </cell>
          <cell r="P2853" t="str">
            <v/>
          </cell>
          <cell r="Q2853" t="str">
            <v/>
          </cell>
          <cell r="S2853" t="str">
            <v/>
          </cell>
          <cell r="V2853" t="str">
            <v/>
          </cell>
          <cell r="Z2853" t="str">
            <v/>
          </cell>
          <cell r="AA2853" t="str">
            <v/>
          </cell>
          <cell r="AB2853" t="str">
            <v/>
          </cell>
          <cell r="AC2853" t="str">
            <v/>
          </cell>
          <cell r="AD2853" t="str">
            <v/>
          </cell>
          <cell r="AY2853" t="str">
            <v/>
          </cell>
          <cell r="AZ2853" t="str">
            <v/>
          </cell>
          <cell r="BA2853" t="str">
            <v/>
          </cell>
        </row>
        <row r="2854">
          <cell r="B2854" t="str">
            <v>-</v>
          </cell>
          <cell r="E2854" t="str">
            <v/>
          </cell>
          <cell r="G2854" t="str">
            <v/>
          </cell>
          <cell r="J2854" t="str">
            <v/>
          </cell>
          <cell r="O2854" t="str">
            <v/>
          </cell>
          <cell r="P2854" t="str">
            <v/>
          </cell>
          <cell r="Q2854" t="str">
            <v/>
          </cell>
          <cell r="S2854" t="str">
            <v/>
          </cell>
          <cell r="V2854" t="str">
            <v/>
          </cell>
          <cell r="Z2854" t="str">
            <v/>
          </cell>
          <cell r="AA2854" t="str">
            <v/>
          </cell>
          <cell r="AB2854" t="str">
            <v/>
          </cell>
          <cell r="AC2854" t="str">
            <v/>
          </cell>
          <cell r="AD2854" t="str">
            <v/>
          </cell>
          <cell r="AY2854" t="str">
            <v/>
          </cell>
          <cell r="AZ2854" t="str">
            <v/>
          </cell>
          <cell r="BA2854" t="str">
            <v/>
          </cell>
        </row>
        <row r="2855">
          <cell r="B2855" t="str">
            <v>-</v>
          </cell>
          <cell r="E2855" t="str">
            <v/>
          </cell>
          <cell r="G2855" t="str">
            <v/>
          </cell>
          <cell r="J2855" t="str">
            <v/>
          </cell>
          <cell r="O2855" t="str">
            <v/>
          </cell>
          <cell r="P2855" t="str">
            <v/>
          </cell>
          <cell r="Q2855" t="str">
            <v/>
          </cell>
          <cell r="S2855" t="str">
            <v/>
          </cell>
          <cell r="V2855" t="str">
            <v/>
          </cell>
          <cell r="Z2855" t="str">
            <v/>
          </cell>
          <cell r="AA2855" t="str">
            <v/>
          </cell>
          <cell r="AB2855" t="str">
            <v/>
          </cell>
          <cell r="AC2855" t="str">
            <v/>
          </cell>
          <cell r="AD2855" t="str">
            <v/>
          </cell>
          <cell r="AY2855" t="str">
            <v/>
          </cell>
          <cell r="AZ2855" t="str">
            <v/>
          </cell>
          <cell r="BA2855" t="str">
            <v/>
          </cell>
        </row>
        <row r="2856">
          <cell r="B2856" t="str">
            <v>-</v>
          </cell>
          <cell r="E2856" t="str">
            <v/>
          </cell>
          <cell r="G2856" t="str">
            <v/>
          </cell>
          <cell r="J2856" t="str">
            <v/>
          </cell>
          <cell r="O2856" t="str">
            <v/>
          </cell>
          <cell r="P2856" t="str">
            <v/>
          </cell>
          <cell r="Q2856" t="str">
            <v/>
          </cell>
          <cell r="S2856" t="str">
            <v/>
          </cell>
          <cell r="V2856" t="str">
            <v/>
          </cell>
          <cell r="Z2856" t="str">
            <v/>
          </cell>
          <cell r="AA2856" t="str">
            <v/>
          </cell>
          <cell r="AB2856" t="str">
            <v/>
          </cell>
          <cell r="AC2856" t="str">
            <v/>
          </cell>
          <cell r="AD2856" t="str">
            <v/>
          </cell>
          <cell r="AY2856" t="str">
            <v/>
          </cell>
          <cell r="AZ2856" t="str">
            <v/>
          </cell>
          <cell r="BA2856" t="str">
            <v/>
          </cell>
        </row>
        <row r="2857">
          <cell r="B2857" t="str">
            <v>-</v>
          </cell>
          <cell r="E2857" t="str">
            <v/>
          </cell>
          <cell r="G2857" t="str">
            <v/>
          </cell>
          <cell r="J2857" t="str">
            <v/>
          </cell>
          <cell r="O2857" t="str">
            <v/>
          </cell>
          <cell r="P2857" t="str">
            <v/>
          </cell>
          <cell r="Q2857" t="str">
            <v/>
          </cell>
          <cell r="S2857" t="str">
            <v/>
          </cell>
          <cell r="V2857" t="str">
            <v/>
          </cell>
          <cell r="Z2857" t="str">
            <v/>
          </cell>
          <cell r="AA2857" t="str">
            <v/>
          </cell>
          <cell r="AB2857" t="str">
            <v/>
          </cell>
          <cell r="AC2857" t="str">
            <v/>
          </cell>
          <cell r="AD2857" t="str">
            <v/>
          </cell>
          <cell r="AY2857" t="str">
            <v/>
          </cell>
          <cell r="AZ2857" t="str">
            <v/>
          </cell>
          <cell r="BA2857" t="str">
            <v/>
          </cell>
        </row>
        <row r="2858">
          <cell r="B2858" t="str">
            <v>-</v>
          </cell>
          <cell r="E2858" t="str">
            <v/>
          </cell>
          <cell r="G2858" t="str">
            <v/>
          </cell>
          <cell r="J2858" t="str">
            <v/>
          </cell>
          <cell r="O2858" t="str">
            <v/>
          </cell>
          <cell r="P2858" t="str">
            <v/>
          </cell>
          <cell r="Q2858" t="str">
            <v/>
          </cell>
          <cell r="S2858" t="str">
            <v/>
          </cell>
          <cell r="V2858" t="str">
            <v/>
          </cell>
          <cell r="Z2858" t="str">
            <v/>
          </cell>
          <cell r="AA2858" t="str">
            <v/>
          </cell>
          <cell r="AB2858" t="str">
            <v/>
          </cell>
          <cell r="AC2858" t="str">
            <v/>
          </cell>
          <cell r="AD2858" t="str">
            <v/>
          </cell>
          <cell r="AY2858" t="str">
            <v/>
          </cell>
          <cell r="AZ2858" t="str">
            <v/>
          </cell>
          <cell r="BA2858" t="str">
            <v/>
          </cell>
        </row>
        <row r="2859">
          <cell r="B2859" t="str">
            <v>-</v>
          </cell>
          <cell r="E2859" t="str">
            <v/>
          </cell>
          <cell r="G2859" t="str">
            <v/>
          </cell>
          <cell r="J2859" t="str">
            <v/>
          </cell>
          <cell r="O2859" t="str">
            <v/>
          </cell>
          <cell r="P2859" t="str">
            <v/>
          </cell>
          <cell r="Q2859" t="str">
            <v/>
          </cell>
          <cell r="S2859" t="str">
            <v/>
          </cell>
          <cell r="V2859" t="str">
            <v/>
          </cell>
          <cell r="Z2859" t="str">
            <v/>
          </cell>
          <cell r="AA2859" t="str">
            <v/>
          </cell>
          <cell r="AB2859" t="str">
            <v/>
          </cell>
          <cell r="AC2859" t="str">
            <v/>
          </cell>
          <cell r="AD2859" t="str">
            <v/>
          </cell>
          <cell r="AY2859" t="str">
            <v/>
          </cell>
          <cell r="AZ2859" t="str">
            <v/>
          </cell>
          <cell r="BA2859" t="str">
            <v/>
          </cell>
        </row>
        <row r="2860">
          <cell r="B2860" t="str">
            <v>-</v>
          </cell>
          <cell r="E2860" t="str">
            <v/>
          </cell>
          <cell r="G2860" t="str">
            <v/>
          </cell>
          <cell r="J2860" t="str">
            <v/>
          </cell>
          <cell r="O2860" t="str">
            <v/>
          </cell>
          <cell r="P2860" t="str">
            <v/>
          </cell>
          <cell r="Q2860" t="str">
            <v/>
          </cell>
          <cell r="S2860" t="str">
            <v/>
          </cell>
          <cell r="V2860" t="str">
            <v/>
          </cell>
          <cell r="Z2860" t="str">
            <v/>
          </cell>
          <cell r="AA2860" t="str">
            <v/>
          </cell>
          <cell r="AB2860" t="str">
            <v/>
          </cell>
          <cell r="AC2860" t="str">
            <v/>
          </cell>
          <cell r="AD2860" t="str">
            <v/>
          </cell>
          <cell r="AY2860" t="str">
            <v/>
          </cell>
          <cell r="AZ2860" t="str">
            <v/>
          </cell>
          <cell r="BA2860" t="str">
            <v/>
          </cell>
        </row>
        <row r="2861">
          <cell r="B2861" t="str">
            <v>-</v>
          </cell>
          <cell r="E2861" t="str">
            <v/>
          </cell>
          <cell r="G2861" t="str">
            <v/>
          </cell>
          <cell r="J2861" t="str">
            <v/>
          </cell>
          <cell r="O2861" t="str">
            <v/>
          </cell>
          <cell r="P2861" t="str">
            <v/>
          </cell>
          <cell r="Q2861" t="str">
            <v/>
          </cell>
          <cell r="S2861" t="str">
            <v/>
          </cell>
          <cell r="V2861" t="str">
            <v/>
          </cell>
          <cell r="Z2861" t="str">
            <v/>
          </cell>
          <cell r="AA2861" t="str">
            <v/>
          </cell>
          <cell r="AB2861" t="str">
            <v/>
          </cell>
          <cell r="AC2861" t="str">
            <v/>
          </cell>
          <cell r="AD2861" t="str">
            <v/>
          </cell>
          <cell r="AY2861" t="str">
            <v/>
          </cell>
          <cell r="AZ2861" t="str">
            <v/>
          </cell>
          <cell r="BA2861" t="str">
            <v/>
          </cell>
        </row>
        <row r="2862">
          <cell r="B2862" t="str">
            <v>-</v>
          </cell>
          <cell r="E2862" t="str">
            <v/>
          </cell>
          <cell r="G2862" t="str">
            <v/>
          </cell>
          <cell r="J2862" t="str">
            <v/>
          </cell>
          <cell r="O2862" t="str">
            <v/>
          </cell>
          <cell r="P2862" t="str">
            <v/>
          </cell>
          <cell r="Q2862" t="str">
            <v/>
          </cell>
          <cell r="S2862" t="str">
            <v/>
          </cell>
          <cell r="V2862" t="str">
            <v/>
          </cell>
          <cell r="Z2862" t="str">
            <v/>
          </cell>
          <cell r="AA2862" t="str">
            <v/>
          </cell>
          <cell r="AB2862" t="str">
            <v/>
          </cell>
          <cell r="AC2862" t="str">
            <v/>
          </cell>
          <cell r="AD2862" t="str">
            <v/>
          </cell>
          <cell r="AY2862" t="str">
            <v/>
          </cell>
          <cell r="AZ2862" t="str">
            <v/>
          </cell>
          <cell r="BA2862" t="str">
            <v/>
          </cell>
        </row>
        <row r="2863">
          <cell r="B2863" t="str">
            <v>-</v>
          </cell>
          <cell r="E2863" t="str">
            <v/>
          </cell>
          <cell r="G2863" t="str">
            <v/>
          </cell>
          <cell r="J2863" t="str">
            <v/>
          </cell>
          <cell r="O2863" t="str">
            <v/>
          </cell>
          <cell r="P2863" t="str">
            <v/>
          </cell>
          <cell r="Q2863" t="str">
            <v/>
          </cell>
          <cell r="S2863" t="str">
            <v/>
          </cell>
          <cell r="V2863" t="str">
            <v/>
          </cell>
          <cell r="Z2863" t="str">
            <v/>
          </cell>
          <cell r="AA2863" t="str">
            <v/>
          </cell>
          <cell r="AB2863" t="str">
            <v/>
          </cell>
          <cell r="AC2863" t="str">
            <v/>
          </cell>
          <cell r="AD2863" t="str">
            <v/>
          </cell>
          <cell r="AY2863" t="str">
            <v/>
          </cell>
          <cell r="AZ2863" t="str">
            <v/>
          </cell>
          <cell r="BA2863" t="str">
            <v/>
          </cell>
        </row>
        <row r="2864">
          <cell r="B2864" t="str">
            <v>-</v>
          </cell>
          <cell r="E2864" t="str">
            <v/>
          </cell>
          <cell r="G2864" t="str">
            <v/>
          </cell>
          <cell r="J2864" t="str">
            <v/>
          </cell>
          <cell r="O2864" t="str">
            <v/>
          </cell>
          <cell r="P2864" t="str">
            <v/>
          </cell>
          <cell r="Q2864" t="str">
            <v/>
          </cell>
          <cell r="S2864" t="str">
            <v/>
          </cell>
          <cell r="V2864" t="str">
            <v/>
          </cell>
          <cell r="Z2864" t="str">
            <v/>
          </cell>
          <cell r="AA2864" t="str">
            <v/>
          </cell>
          <cell r="AB2864" t="str">
            <v/>
          </cell>
          <cell r="AC2864" t="str">
            <v/>
          </cell>
          <cell r="AD2864" t="str">
            <v/>
          </cell>
          <cell r="AY2864" t="str">
            <v/>
          </cell>
          <cell r="AZ2864" t="str">
            <v/>
          </cell>
          <cell r="BA2864" t="str">
            <v/>
          </cell>
        </row>
        <row r="2865">
          <cell r="B2865" t="str">
            <v>-</v>
          </cell>
          <cell r="E2865" t="str">
            <v/>
          </cell>
          <cell r="G2865" t="str">
            <v/>
          </cell>
          <cell r="J2865" t="str">
            <v/>
          </cell>
          <cell r="O2865" t="str">
            <v/>
          </cell>
          <cell r="P2865" t="str">
            <v/>
          </cell>
          <cell r="Q2865" t="str">
            <v/>
          </cell>
          <cell r="S2865" t="str">
            <v/>
          </cell>
          <cell r="V2865" t="str">
            <v/>
          </cell>
          <cell r="Z2865" t="str">
            <v/>
          </cell>
          <cell r="AA2865" t="str">
            <v/>
          </cell>
          <cell r="AB2865" t="str">
            <v/>
          </cell>
          <cell r="AC2865" t="str">
            <v/>
          </cell>
          <cell r="AD2865" t="str">
            <v/>
          </cell>
          <cell r="AY2865" t="str">
            <v/>
          </cell>
          <cell r="AZ2865" t="str">
            <v/>
          </cell>
          <cell r="BA2865" t="str">
            <v/>
          </cell>
        </row>
        <row r="2866">
          <cell r="B2866" t="str">
            <v>-</v>
          </cell>
          <cell r="E2866" t="str">
            <v/>
          </cell>
          <cell r="G2866" t="str">
            <v/>
          </cell>
          <cell r="J2866" t="str">
            <v/>
          </cell>
          <cell r="O2866" t="str">
            <v/>
          </cell>
          <cell r="P2866" t="str">
            <v/>
          </cell>
          <cell r="Q2866" t="str">
            <v/>
          </cell>
          <cell r="S2866" t="str">
            <v/>
          </cell>
          <cell r="V2866" t="str">
            <v/>
          </cell>
          <cell r="Z2866" t="str">
            <v/>
          </cell>
          <cell r="AA2866" t="str">
            <v/>
          </cell>
          <cell r="AB2866" t="str">
            <v/>
          </cell>
          <cell r="AC2866" t="str">
            <v/>
          </cell>
          <cell r="AD2866" t="str">
            <v/>
          </cell>
          <cell r="AY2866" t="str">
            <v/>
          </cell>
          <cell r="AZ2866" t="str">
            <v/>
          </cell>
          <cell r="BA2866" t="str">
            <v/>
          </cell>
        </row>
        <row r="2867">
          <cell r="B2867" t="str">
            <v>-</v>
          </cell>
          <cell r="E2867" t="str">
            <v/>
          </cell>
          <cell r="G2867" t="str">
            <v/>
          </cell>
          <cell r="J2867" t="str">
            <v/>
          </cell>
          <cell r="O2867" t="str">
            <v/>
          </cell>
          <cell r="P2867" t="str">
            <v/>
          </cell>
          <cell r="Q2867" t="str">
            <v/>
          </cell>
          <cell r="S2867" t="str">
            <v/>
          </cell>
          <cell r="V2867" t="str">
            <v/>
          </cell>
          <cell r="Z2867" t="str">
            <v/>
          </cell>
          <cell r="AA2867" t="str">
            <v/>
          </cell>
          <cell r="AB2867" t="str">
            <v/>
          </cell>
          <cell r="AC2867" t="str">
            <v/>
          </cell>
          <cell r="AD2867" t="str">
            <v/>
          </cell>
          <cell r="AY2867" t="str">
            <v/>
          </cell>
          <cell r="AZ2867" t="str">
            <v/>
          </cell>
          <cell r="BA2867" t="str">
            <v/>
          </cell>
        </row>
        <row r="2868">
          <cell r="B2868" t="str">
            <v>-</v>
          </cell>
          <cell r="E2868" t="str">
            <v/>
          </cell>
          <cell r="G2868" t="str">
            <v/>
          </cell>
          <cell r="J2868" t="str">
            <v/>
          </cell>
          <cell r="O2868" t="str">
            <v/>
          </cell>
          <cell r="P2868" t="str">
            <v/>
          </cell>
          <cell r="Q2868" t="str">
            <v/>
          </cell>
          <cell r="S2868" t="str">
            <v/>
          </cell>
          <cell r="V2868" t="str">
            <v/>
          </cell>
          <cell r="Z2868" t="str">
            <v/>
          </cell>
          <cell r="AA2868" t="str">
            <v/>
          </cell>
          <cell r="AB2868" t="str">
            <v/>
          </cell>
          <cell r="AC2868" t="str">
            <v/>
          </cell>
          <cell r="AD2868" t="str">
            <v/>
          </cell>
          <cell r="AY2868" t="str">
            <v/>
          </cell>
          <cell r="AZ2868" t="str">
            <v/>
          </cell>
          <cell r="BA2868" t="str">
            <v/>
          </cell>
        </row>
        <row r="2869">
          <cell r="B2869" t="str">
            <v>-</v>
          </cell>
          <cell r="E2869" t="str">
            <v/>
          </cell>
          <cell r="G2869" t="str">
            <v/>
          </cell>
          <cell r="J2869" t="str">
            <v/>
          </cell>
          <cell r="O2869" t="str">
            <v/>
          </cell>
          <cell r="P2869" t="str">
            <v/>
          </cell>
          <cell r="Q2869" t="str">
            <v/>
          </cell>
          <cell r="S2869" t="str">
            <v/>
          </cell>
          <cell r="V2869" t="str">
            <v/>
          </cell>
          <cell r="Z2869" t="str">
            <v/>
          </cell>
          <cell r="AA2869" t="str">
            <v/>
          </cell>
          <cell r="AB2869" t="str">
            <v/>
          </cell>
          <cell r="AC2869" t="str">
            <v/>
          </cell>
          <cell r="AD2869" t="str">
            <v/>
          </cell>
          <cell r="AY2869" t="str">
            <v/>
          </cell>
          <cell r="AZ2869" t="str">
            <v/>
          </cell>
          <cell r="BA2869" t="str">
            <v/>
          </cell>
        </row>
        <row r="2870">
          <cell r="B2870" t="str">
            <v>-</v>
          </cell>
          <cell r="E2870" t="str">
            <v/>
          </cell>
          <cell r="G2870" t="str">
            <v/>
          </cell>
          <cell r="J2870" t="str">
            <v/>
          </cell>
          <cell r="O2870" t="str">
            <v/>
          </cell>
          <cell r="P2870" t="str">
            <v/>
          </cell>
          <cell r="Q2870" t="str">
            <v/>
          </cell>
          <cell r="S2870" t="str">
            <v/>
          </cell>
          <cell r="V2870" t="str">
            <v/>
          </cell>
          <cell r="Z2870" t="str">
            <v/>
          </cell>
          <cell r="AA2870" t="str">
            <v/>
          </cell>
          <cell r="AB2870" t="str">
            <v/>
          </cell>
          <cell r="AC2870" t="str">
            <v/>
          </cell>
          <cell r="AD2870" t="str">
            <v/>
          </cell>
          <cell r="AY2870" t="str">
            <v/>
          </cell>
          <cell r="AZ2870" t="str">
            <v/>
          </cell>
          <cell r="BA2870" t="str">
            <v/>
          </cell>
        </row>
        <row r="2871">
          <cell r="B2871" t="str">
            <v>-</v>
          </cell>
          <cell r="E2871" t="str">
            <v/>
          </cell>
          <cell r="G2871" t="str">
            <v/>
          </cell>
          <cell r="J2871" t="str">
            <v/>
          </cell>
          <cell r="O2871" t="str">
            <v/>
          </cell>
          <cell r="P2871" t="str">
            <v/>
          </cell>
          <cell r="Q2871" t="str">
            <v/>
          </cell>
          <cell r="S2871" t="str">
            <v/>
          </cell>
          <cell r="V2871" t="str">
            <v/>
          </cell>
          <cell r="Z2871" t="str">
            <v/>
          </cell>
          <cell r="AA2871" t="str">
            <v/>
          </cell>
          <cell r="AB2871" t="str">
            <v/>
          </cell>
          <cell r="AC2871" t="str">
            <v/>
          </cell>
          <cell r="AD2871" t="str">
            <v/>
          </cell>
          <cell r="AY2871" t="str">
            <v/>
          </cell>
          <cell r="AZ2871" t="str">
            <v/>
          </cell>
          <cell r="BA2871" t="str">
            <v/>
          </cell>
        </row>
        <row r="2872">
          <cell r="B2872" t="str">
            <v>-</v>
          </cell>
          <cell r="E2872" t="str">
            <v/>
          </cell>
          <cell r="G2872" t="str">
            <v/>
          </cell>
          <cell r="J2872" t="str">
            <v/>
          </cell>
          <cell r="O2872" t="str">
            <v/>
          </cell>
          <cell r="P2872" t="str">
            <v/>
          </cell>
          <cell r="Q2872" t="str">
            <v/>
          </cell>
          <cell r="S2872" t="str">
            <v/>
          </cell>
          <cell r="V2872" t="str">
            <v/>
          </cell>
          <cell r="Z2872" t="str">
            <v/>
          </cell>
          <cell r="AA2872" t="str">
            <v/>
          </cell>
          <cell r="AB2872" t="str">
            <v/>
          </cell>
          <cell r="AC2872" t="str">
            <v/>
          </cell>
          <cell r="AD2872" t="str">
            <v/>
          </cell>
          <cell r="AY2872" t="str">
            <v/>
          </cell>
          <cell r="AZ2872" t="str">
            <v/>
          </cell>
          <cell r="BA2872" t="str">
            <v/>
          </cell>
        </row>
        <row r="2873">
          <cell r="B2873" t="str">
            <v>-</v>
          </cell>
          <cell r="E2873" t="str">
            <v/>
          </cell>
          <cell r="G2873" t="str">
            <v/>
          </cell>
          <cell r="J2873" t="str">
            <v/>
          </cell>
          <cell r="O2873" t="str">
            <v/>
          </cell>
          <cell r="P2873" t="str">
            <v/>
          </cell>
          <cell r="Q2873" t="str">
            <v/>
          </cell>
          <cell r="S2873" t="str">
            <v/>
          </cell>
          <cell r="V2873" t="str">
            <v/>
          </cell>
          <cell r="Z2873" t="str">
            <v/>
          </cell>
          <cell r="AA2873" t="str">
            <v/>
          </cell>
          <cell r="AB2873" t="str">
            <v/>
          </cell>
          <cell r="AC2873" t="str">
            <v/>
          </cell>
          <cell r="AD2873" t="str">
            <v/>
          </cell>
          <cell r="AY2873" t="str">
            <v/>
          </cell>
          <cell r="AZ2873" t="str">
            <v/>
          </cell>
          <cell r="BA2873" t="str">
            <v/>
          </cell>
        </row>
        <row r="2874">
          <cell r="B2874" t="str">
            <v>-</v>
          </cell>
          <cell r="E2874" t="str">
            <v/>
          </cell>
          <cell r="G2874" t="str">
            <v/>
          </cell>
          <cell r="J2874" t="str">
            <v/>
          </cell>
          <cell r="O2874" t="str">
            <v/>
          </cell>
          <cell r="P2874" t="str">
            <v/>
          </cell>
          <cell r="Q2874" t="str">
            <v/>
          </cell>
          <cell r="S2874" t="str">
            <v/>
          </cell>
          <cell r="V2874" t="str">
            <v/>
          </cell>
          <cell r="Z2874" t="str">
            <v/>
          </cell>
          <cell r="AA2874" t="str">
            <v/>
          </cell>
          <cell r="AB2874" t="str">
            <v/>
          </cell>
          <cell r="AC2874" t="str">
            <v/>
          </cell>
          <cell r="AD2874" t="str">
            <v/>
          </cell>
          <cell r="AY2874" t="str">
            <v/>
          </cell>
          <cell r="AZ2874" t="str">
            <v/>
          </cell>
          <cell r="BA2874" t="str">
            <v/>
          </cell>
        </row>
        <row r="2875">
          <cell r="B2875" t="str">
            <v>-</v>
          </cell>
          <cell r="E2875" t="str">
            <v/>
          </cell>
          <cell r="G2875" t="str">
            <v/>
          </cell>
          <cell r="J2875" t="str">
            <v/>
          </cell>
          <cell r="O2875" t="str">
            <v/>
          </cell>
          <cell r="P2875" t="str">
            <v/>
          </cell>
          <cell r="Q2875" t="str">
            <v/>
          </cell>
          <cell r="S2875" t="str">
            <v/>
          </cell>
          <cell r="V2875" t="str">
            <v/>
          </cell>
          <cell r="Z2875" t="str">
            <v/>
          </cell>
          <cell r="AA2875" t="str">
            <v/>
          </cell>
          <cell r="AB2875" t="str">
            <v/>
          </cell>
          <cell r="AC2875" t="str">
            <v/>
          </cell>
          <cell r="AD2875" t="str">
            <v/>
          </cell>
          <cell r="AY2875" t="str">
            <v/>
          </cell>
          <cell r="AZ2875" t="str">
            <v/>
          </cell>
          <cell r="BA2875" t="str">
            <v/>
          </cell>
        </row>
        <row r="2876">
          <cell r="B2876" t="str">
            <v>-</v>
          </cell>
          <cell r="E2876" t="str">
            <v/>
          </cell>
          <cell r="G2876" t="str">
            <v/>
          </cell>
          <cell r="J2876" t="str">
            <v/>
          </cell>
          <cell r="O2876" t="str">
            <v/>
          </cell>
          <cell r="P2876" t="str">
            <v/>
          </cell>
          <cell r="Q2876" t="str">
            <v/>
          </cell>
          <cell r="S2876" t="str">
            <v/>
          </cell>
          <cell r="V2876" t="str">
            <v/>
          </cell>
          <cell r="Z2876" t="str">
            <v/>
          </cell>
          <cell r="AA2876" t="str">
            <v/>
          </cell>
          <cell r="AB2876" t="str">
            <v/>
          </cell>
          <cell r="AC2876" t="str">
            <v/>
          </cell>
          <cell r="AD2876" t="str">
            <v/>
          </cell>
          <cell r="AY2876" t="str">
            <v/>
          </cell>
          <cell r="AZ2876" t="str">
            <v/>
          </cell>
          <cell r="BA2876" t="str">
            <v/>
          </cell>
        </row>
        <row r="2877">
          <cell r="B2877" t="str">
            <v>-</v>
          </cell>
          <cell r="E2877" t="str">
            <v/>
          </cell>
          <cell r="G2877" t="str">
            <v/>
          </cell>
          <cell r="J2877" t="str">
            <v/>
          </cell>
          <cell r="O2877" t="str">
            <v/>
          </cell>
          <cell r="P2877" t="str">
            <v/>
          </cell>
          <cell r="Q2877" t="str">
            <v/>
          </cell>
          <cell r="S2877" t="str">
            <v/>
          </cell>
          <cell r="V2877" t="str">
            <v/>
          </cell>
          <cell r="Z2877" t="str">
            <v/>
          </cell>
          <cell r="AA2877" t="str">
            <v/>
          </cell>
          <cell r="AB2877" t="str">
            <v/>
          </cell>
          <cell r="AC2877" t="str">
            <v/>
          </cell>
          <cell r="AD2877" t="str">
            <v/>
          </cell>
          <cell r="AY2877" t="str">
            <v/>
          </cell>
          <cell r="AZ2877" t="str">
            <v/>
          </cell>
          <cell r="BA2877" t="str">
            <v/>
          </cell>
        </row>
        <row r="2878">
          <cell r="B2878" t="str">
            <v>-</v>
          </cell>
          <cell r="E2878" t="str">
            <v/>
          </cell>
          <cell r="G2878" t="str">
            <v/>
          </cell>
          <cell r="J2878" t="str">
            <v/>
          </cell>
          <cell r="O2878" t="str">
            <v/>
          </cell>
          <cell r="P2878" t="str">
            <v/>
          </cell>
          <cell r="Q2878" t="str">
            <v/>
          </cell>
          <cell r="S2878" t="str">
            <v/>
          </cell>
          <cell r="V2878" t="str">
            <v/>
          </cell>
          <cell r="Z2878" t="str">
            <v/>
          </cell>
          <cell r="AA2878" t="str">
            <v/>
          </cell>
          <cell r="AB2878" t="str">
            <v/>
          </cell>
          <cell r="AC2878" t="str">
            <v/>
          </cell>
          <cell r="AD2878" t="str">
            <v/>
          </cell>
          <cell r="AY2878" t="str">
            <v/>
          </cell>
          <cell r="AZ2878" t="str">
            <v/>
          </cell>
          <cell r="BA2878" t="str">
            <v/>
          </cell>
        </row>
        <row r="2879">
          <cell r="B2879" t="str">
            <v>-</v>
          </cell>
          <cell r="E2879" t="str">
            <v/>
          </cell>
          <cell r="G2879" t="str">
            <v/>
          </cell>
          <cell r="J2879" t="str">
            <v/>
          </cell>
          <cell r="O2879" t="str">
            <v/>
          </cell>
          <cell r="P2879" t="str">
            <v/>
          </cell>
          <cell r="Q2879" t="str">
            <v/>
          </cell>
          <cell r="S2879" t="str">
            <v/>
          </cell>
          <cell r="V2879" t="str">
            <v/>
          </cell>
          <cell r="Z2879" t="str">
            <v/>
          </cell>
          <cell r="AA2879" t="str">
            <v/>
          </cell>
          <cell r="AB2879" t="str">
            <v/>
          </cell>
          <cell r="AC2879" t="str">
            <v/>
          </cell>
          <cell r="AD2879" t="str">
            <v/>
          </cell>
          <cell r="AY2879" t="str">
            <v/>
          </cell>
          <cell r="AZ2879" t="str">
            <v/>
          </cell>
          <cell r="BA2879" t="str">
            <v/>
          </cell>
        </row>
        <row r="2880">
          <cell r="B2880" t="str">
            <v>-</v>
          </cell>
          <cell r="E2880" t="str">
            <v/>
          </cell>
          <cell r="G2880" t="str">
            <v/>
          </cell>
          <cell r="J2880" t="str">
            <v/>
          </cell>
          <cell r="O2880" t="str">
            <v/>
          </cell>
          <cell r="P2880" t="str">
            <v/>
          </cell>
          <cell r="Q2880" t="str">
            <v/>
          </cell>
          <cell r="S2880" t="str">
            <v/>
          </cell>
          <cell r="V2880" t="str">
            <v/>
          </cell>
          <cell r="Z2880" t="str">
            <v/>
          </cell>
          <cell r="AA2880" t="str">
            <v/>
          </cell>
          <cell r="AB2880" t="str">
            <v/>
          </cell>
          <cell r="AC2880" t="str">
            <v/>
          </cell>
          <cell r="AD2880" t="str">
            <v/>
          </cell>
          <cell r="AY2880" t="str">
            <v/>
          </cell>
          <cell r="AZ2880" t="str">
            <v/>
          </cell>
          <cell r="BA2880" t="str">
            <v/>
          </cell>
        </row>
        <row r="2881">
          <cell r="B2881" t="str">
            <v>-</v>
          </cell>
          <cell r="E2881" t="str">
            <v/>
          </cell>
          <cell r="G2881" t="str">
            <v/>
          </cell>
          <cell r="J2881" t="str">
            <v/>
          </cell>
          <cell r="O2881" t="str">
            <v/>
          </cell>
          <cell r="P2881" t="str">
            <v/>
          </cell>
          <cell r="Q2881" t="str">
            <v/>
          </cell>
          <cell r="S2881" t="str">
            <v/>
          </cell>
          <cell r="V2881" t="str">
            <v/>
          </cell>
          <cell r="Z2881" t="str">
            <v/>
          </cell>
          <cell r="AA2881" t="str">
            <v/>
          </cell>
          <cell r="AB2881" t="str">
            <v/>
          </cell>
          <cell r="AC2881" t="str">
            <v/>
          </cell>
          <cell r="AD2881" t="str">
            <v/>
          </cell>
          <cell r="AY2881" t="str">
            <v/>
          </cell>
          <cell r="AZ2881" t="str">
            <v/>
          </cell>
          <cell r="BA2881" t="str">
            <v/>
          </cell>
        </row>
        <row r="2882">
          <cell r="B2882" t="str">
            <v>-</v>
          </cell>
          <cell r="E2882" t="str">
            <v/>
          </cell>
          <cell r="G2882" t="str">
            <v/>
          </cell>
          <cell r="J2882" t="str">
            <v/>
          </cell>
          <cell r="O2882" t="str">
            <v/>
          </cell>
          <cell r="P2882" t="str">
            <v/>
          </cell>
          <cell r="Q2882" t="str">
            <v/>
          </cell>
          <cell r="S2882" t="str">
            <v/>
          </cell>
          <cell r="V2882" t="str">
            <v/>
          </cell>
          <cell r="Z2882" t="str">
            <v/>
          </cell>
          <cell r="AA2882" t="str">
            <v/>
          </cell>
          <cell r="AB2882" t="str">
            <v/>
          </cell>
          <cell r="AC2882" t="str">
            <v/>
          </cell>
          <cell r="AD2882" t="str">
            <v/>
          </cell>
          <cell r="AY2882" t="str">
            <v/>
          </cell>
          <cell r="AZ2882" t="str">
            <v/>
          </cell>
          <cell r="BA2882" t="str">
            <v/>
          </cell>
        </row>
        <row r="2883">
          <cell r="B2883" t="str">
            <v>-</v>
          </cell>
          <cell r="E2883" t="str">
            <v/>
          </cell>
          <cell r="G2883" t="str">
            <v/>
          </cell>
          <cell r="J2883" t="str">
            <v/>
          </cell>
          <cell r="O2883" t="str">
            <v/>
          </cell>
          <cell r="P2883" t="str">
            <v/>
          </cell>
          <cell r="Q2883" t="str">
            <v/>
          </cell>
          <cell r="S2883" t="str">
            <v/>
          </cell>
          <cell r="V2883" t="str">
            <v/>
          </cell>
          <cell r="Z2883" t="str">
            <v/>
          </cell>
          <cell r="AA2883" t="str">
            <v/>
          </cell>
          <cell r="AB2883" t="str">
            <v/>
          </cell>
          <cell r="AC2883" t="str">
            <v/>
          </cell>
          <cell r="AD2883" t="str">
            <v/>
          </cell>
          <cell r="AY2883" t="str">
            <v/>
          </cell>
          <cell r="AZ2883" t="str">
            <v/>
          </cell>
          <cell r="BA2883" t="str">
            <v/>
          </cell>
        </row>
        <row r="2884">
          <cell r="B2884" t="str">
            <v>-</v>
          </cell>
          <cell r="E2884" t="str">
            <v/>
          </cell>
          <cell r="G2884" t="str">
            <v/>
          </cell>
          <cell r="J2884" t="str">
            <v/>
          </cell>
          <cell r="O2884" t="str">
            <v/>
          </cell>
          <cell r="P2884" t="str">
            <v/>
          </cell>
          <cell r="Q2884" t="str">
            <v/>
          </cell>
          <cell r="S2884" t="str">
            <v/>
          </cell>
          <cell r="V2884" t="str">
            <v/>
          </cell>
          <cell r="Z2884" t="str">
            <v/>
          </cell>
          <cell r="AA2884" t="str">
            <v/>
          </cell>
          <cell r="AB2884" t="str">
            <v/>
          </cell>
          <cell r="AC2884" t="str">
            <v/>
          </cell>
          <cell r="AD2884" t="str">
            <v/>
          </cell>
          <cell r="AY2884" t="str">
            <v/>
          </cell>
          <cell r="AZ2884" t="str">
            <v/>
          </cell>
          <cell r="BA2884" t="str">
            <v/>
          </cell>
        </row>
        <row r="2885">
          <cell r="B2885" t="str">
            <v>-</v>
          </cell>
          <cell r="E2885" t="str">
            <v/>
          </cell>
          <cell r="G2885" t="str">
            <v/>
          </cell>
          <cell r="J2885" t="str">
            <v/>
          </cell>
          <cell r="O2885" t="str">
            <v/>
          </cell>
          <cell r="P2885" t="str">
            <v/>
          </cell>
          <cell r="Q2885" t="str">
            <v/>
          </cell>
          <cell r="S2885" t="str">
            <v/>
          </cell>
          <cell r="V2885" t="str">
            <v/>
          </cell>
          <cell r="Z2885" t="str">
            <v/>
          </cell>
          <cell r="AA2885" t="str">
            <v/>
          </cell>
          <cell r="AB2885" t="str">
            <v/>
          </cell>
          <cell r="AC2885" t="str">
            <v/>
          </cell>
          <cell r="AD2885" t="str">
            <v/>
          </cell>
          <cell r="AY2885" t="str">
            <v/>
          </cell>
          <cell r="AZ2885" t="str">
            <v/>
          </cell>
          <cell r="BA2885" t="str">
            <v/>
          </cell>
        </row>
        <row r="2886">
          <cell r="B2886" t="str">
            <v>-</v>
          </cell>
          <cell r="E2886" t="str">
            <v/>
          </cell>
          <cell r="G2886" t="str">
            <v/>
          </cell>
          <cell r="J2886" t="str">
            <v/>
          </cell>
          <cell r="O2886" t="str">
            <v/>
          </cell>
          <cell r="P2886" t="str">
            <v/>
          </cell>
          <cell r="Q2886" t="str">
            <v/>
          </cell>
          <cell r="S2886" t="str">
            <v/>
          </cell>
          <cell r="V2886" t="str">
            <v/>
          </cell>
          <cell r="Z2886" t="str">
            <v/>
          </cell>
          <cell r="AA2886" t="str">
            <v/>
          </cell>
          <cell r="AB2886" t="str">
            <v/>
          </cell>
          <cell r="AC2886" t="str">
            <v/>
          </cell>
          <cell r="AD2886" t="str">
            <v/>
          </cell>
          <cell r="AY2886" t="str">
            <v/>
          </cell>
          <cell r="AZ2886" t="str">
            <v/>
          </cell>
          <cell r="BA2886" t="str">
            <v/>
          </cell>
        </row>
        <row r="2887">
          <cell r="B2887" t="str">
            <v>-</v>
          </cell>
          <cell r="E2887" t="str">
            <v/>
          </cell>
          <cell r="G2887" t="str">
            <v/>
          </cell>
          <cell r="J2887" t="str">
            <v/>
          </cell>
          <cell r="O2887" t="str">
            <v/>
          </cell>
          <cell r="P2887" t="str">
            <v/>
          </cell>
          <cell r="Q2887" t="str">
            <v/>
          </cell>
          <cell r="S2887" t="str">
            <v/>
          </cell>
          <cell r="V2887" t="str">
            <v/>
          </cell>
          <cell r="Z2887" t="str">
            <v/>
          </cell>
          <cell r="AA2887" t="str">
            <v/>
          </cell>
          <cell r="AB2887" t="str">
            <v/>
          </cell>
          <cell r="AC2887" t="str">
            <v/>
          </cell>
          <cell r="AD2887" t="str">
            <v/>
          </cell>
          <cell r="AY2887" t="str">
            <v/>
          </cell>
          <cell r="AZ2887" t="str">
            <v/>
          </cell>
          <cell r="BA2887" t="str">
            <v/>
          </cell>
        </row>
        <row r="2888">
          <cell r="B2888" t="str">
            <v>-</v>
          </cell>
          <cell r="E2888" t="str">
            <v/>
          </cell>
          <cell r="G2888" t="str">
            <v/>
          </cell>
          <cell r="J2888" t="str">
            <v/>
          </cell>
          <cell r="O2888" t="str">
            <v/>
          </cell>
          <cell r="P2888" t="str">
            <v/>
          </cell>
          <cell r="Q2888" t="str">
            <v/>
          </cell>
          <cell r="S2888" t="str">
            <v/>
          </cell>
          <cell r="V2888" t="str">
            <v/>
          </cell>
          <cell r="Z2888" t="str">
            <v/>
          </cell>
          <cell r="AA2888" t="str">
            <v/>
          </cell>
          <cell r="AB2888" t="str">
            <v/>
          </cell>
          <cell r="AC2888" t="str">
            <v/>
          </cell>
          <cell r="AD2888" t="str">
            <v/>
          </cell>
          <cell r="AY2888" t="str">
            <v/>
          </cell>
          <cell r="AZ2888" t="str">
            <v/>
          </cell>
          <cell r="BA2888" t="str">
            <v/>
          </cell>
        </row>
        <row r="2889">
          <cell r="B2889" t="str">
            <v>-</v>
          </cell>
          <cell r="E2889" t="str">
            <v/>
          </cell>
          <cell r="G2889" t="str">
            <v/>
          </cell>
          <cell r="J2889" t="str">
            <v/>
          </cell>
          <cell r="O2889" t="str">
            <v/>
          </cell>
          <cell r="P2889" t="str">
            <v/>
          </cell>
          <cell r="Q2889" t="str">
            <v/>
          </cell>
          <cell r="S2889" t="str">
            <v/>
          </cell>
          <cell r="V2889" t="str">
            <v/>
          </cell>
          <cell r="Z2889" t="str">
            <v/>
          </cell>
          <cell r="AA2889" t="str">
            <v/>
          </cell>
          <cell r="AB2889" t="str">
            <v/>
          </cell>
          <cell r="AC2889" t="str">
            <v/>
          </cell>
          <cell r="AD2889" t="str">
            <v/>
          </cell>
          <cell r="AY2889" t="str">
            <v/>
          </cell>
          <cell r="AZ2889" t="str">
            <v/>
          </cell>
          <cell r="BA2889" t="str">
            <v/>
          </cell>
        </row>
        <row r="2890">
          <cell r="B2890" t="str">
            <v>-</v>
          </cell>
          <cell r="E2890" t="str">
            <v/>
          </cell>
          <cell r="G2890" t="str">
            <v/>
          </cell>
          <cell r="J2890" t="str">
            <v/>
          </cell>
          <cell r="O2890" t="str">
            <v/>
          </cell>
          <cell r="P2890" t="str">
            <v/>
          </cell>
          <cell r="Q2890" t="str">
            <v/>
          </cell>
          <cell r="S2890" t="str">
            <v/>
          </cell>
          <cell r="V2890" t="str">
            <v/>
          </cell>
          <cell r="Z2890" t="str">
            <v/>
          </cell>
          <cell r="AA2890" t="str">
            <v/>
          </cell>
          <cell r="AB2890" t="str">
            <v/>
          </cell>
          <cell r="AC2890" t="str">
            <v/>
          </cell>
          <cell r="AD2890" t="str">
            <v/>
          </cell>
          <cell r="AY2890" t="str">
            <v/>
          </cell>
          <cell r="AZ2890" t="str">
            <v/>
          </cell>
          <cell r="BA2890" t="str">
            <v/>
          </cell>
        </row>
        <row r="2891">
          <cell r="B2891" t="str">
            <v>-</v>
          </cell>
          <cell r="E2891" t="str">
            <v/>
          </cell>
          <cell r="G2891" t="str">
            <v/>
          </cell>
          <cell r="J2891" t="str">
            <v/>
          </cell>
          <cell r="O2891" t="str">
            <v/>
          </cell>
          <cell r="P2891" t="str">
            <v/>
          </cell>
          <cell r="Q2891" t="str">
            <v/>
          </cell>
          <cell r="S2891" t="str">
            <v/>
          </cell>
          <cell r="V2891" t="str">
            <v/>
          </cell>
          <cell r="Z2891" t="str">
            <v/>
          </cell>
          <cell r="AA2891" t="str">
            <v/>
          </cell>
          <cell r="AB2891" t="str">
            <v/>
          </cell>
          <cell r="AC2891" t="str">
            <v/>
          </cell>
          <cell r="AD2891" t="str">
            <v/>
          </cell>
          <cell r="AY2891" t="str">
            <v/>
          </cell>
          <cell r="AZ2891" t="str">
            <v/>
          </cell>
          <cell r="BA2891" t="str">
            <v/>
          </cell>
        </row>
        <row r="2892">
          <cell r="B2892" t="str">
            <v>-</v>
          </cell>
          <cell r="E2892" t="str">
            <v/>
          </cell>
          <cell r="G2892" t="str">
            <v/>
          </cell>
          <cell r="J2892" t="str">
            <v/>
          </cell>
          <cell r="O2892" t="str">
            <v/>
          </cell>
          <cell r="P2892" t="str">
            <v/>
          </cell>
          <cell r="Q2892" t="str">
            <v/>
          </cell>
          <cell r="S2892" t="str">
            <v/>
          </cell>
          <cell r="V2892" t="str">
            <v/>
          </cell>
          <cell r="Z2892" t="str">
            <v/>
          </cell>
          <cell r="AA2892" t="str">
            <v/>
          </cell>
          <cell r="AB2892" t="str">
            <v/>
          </cell>
          <cell r="AC2892" t="str">
            <v/>
          </cell>
          <cell r="AD2892" t="str">
            <v/>
          </cell>
          <cell r="AY2892" t="str">
            <v/>
          </cell>
          <cell r="AZ2892" t="str">
            <v/>
          </cell>
          <cell r="BA2892" t="str">
            <v/>
          </cell>
        </row>
        <row r="2893">
          <cell r="B2893" t="str">
            <v>-</v>
          </cell>
          <cell r="E2893" t="str">
            <v/>
          </cell>
          <cell r="G2893" t="str">
            <v/>
          </cell>
          <cell r="J2893" t="str">
            <v/>
          </cell>
          <cell r="O2893" t="str">
            <v/>
          </cell>
          <cell r="P2893" t="str">
            <v/>
          </cell>
          <cell r="Q2893" t="str">
            <v/>
          </cell>
          <cell r="S2893" t="str">
            <v/>
          </cell>
          <cell r="V2893" t="str">
            <v/>
          </cell>
          <cell r="Z2893" t="str">
            <v/>
          </cell>
          <cell r="AA2893" t="str">
            <v/>
          </cell>
          <cell r="AB2893" t="str">
            <v/>
          </cell>
          <cell r="AC2893" t="str">
            <v/>
          </cell>
          <cell r="AD2893" t="str">
            <v/>
          </cell>
          <cell r="AY2893" t="str">
            <v/>
          </cell>
          <cell r="AZ2893" t="str">
            <v/>
          </cell>
          <cell r="BA2893" t="str">
            <v/>
          </cell>
        </row>
        <row r="2894">
          <cell r="B2894" t="str">
            <v>-</v>
          </cell>
          <cell r="E2894" t="str">
            <v/>
          </cell>
          <cell r="G2894" t="str">
            <v/>
          </cell>
          <cell r="J2894" t="str">
            <v/>
          </cell>
          <cell r="O2894" t="str">
            <v/>
          </cell>
          <cell r="P2894" t="str">
            <v/>
          </cell>
          <cell r="Q2894" t="str">
            <v/>
          </cell>
          <cell r="S2894" t="str">
            <v/>
          </cell>
          <cell r="V2894" t="str">
            <v/>
          </cell>
          <cell r="Z2894" t="str">
            <v/>
          </cell>
          <cell r="AA2894" t="str">
            <v/>
          </cell>
          <cell r="AB2894" t="str">
            <v/>
          </cell>
          <cell r="AC2894" t="str">
            <v/>
          </cell>
          <cell r="AD2894" t="str">
            <v/>
          </cell>
          <cell r="AY2894" t="str">
            <v/>
          </cell>
          <cell r="AZ2894" t="str">
            <v/>
          </cell>
          <cell r="BA2894" t="str">
            <v/>
          </cell>
        </row>
        <row r="2895">
          <cell r="B2895" t="str">
            <v>-</v>
          </cell>
          <cell r="E2895" t="str">
            <v/>
          </cell>
          <cell r="G2895" t="str">
            <v/>
          </cell>
          <cell r="J2895" t="str">
            <v/>
          </cell>
          <cell r="O2895" t="str">
            <v/>
          </cell>
          <cell r="P2895" t="str">
            <v/>
          </cell>
          <cell r="Q2895" t="str">
            <v/>
          </cell>
          <cell r="S2895" t="str">
            <v/>
          </cell>
          <cell r="V2895" t="str">
            <v/>
          </cell>
          <cell r="Z2895" t="str">
            <v/>
          </cell>
          <cell r="AA2895" t="str">
            <v/>
          </cell>
          <cell r="AB2895" t="str">
            <v/>
          </cell>
          <cell r="AC2895" t="str">
            <v/>
          </cell>
          <cell r="AD2895" t="str">
            <v/>
          </cell>
          <cell r="AY2895" t="str">
            <v/>
          </cell>
          <cell r="AZ2895" t="str">
            <v/>
          </cell>
          <cell r="BA2895" t="str">
            <v/>
          </cell>
        </row>
        <row r="2896">
          <cell r="B2896" t="str">
            <v>-</v>
          </cell>
          <cell r="E2896" t="str">
            <v/>
          </cell>
          <cell r="G2896" t="str">
            <v/>
          </cell>
          <cell r="J2896" t="str">
            <v/>
          </cell>
          <cell r="O2896" t="str">
            <v/>
          </cell>
          <cell r="P2896" t="str">
            <v/>
          </cell>
          <cell r="Q2896" t="str">
            <v/>
          </cell>
          <cell r="S2896" t="str">
            <v/>
          </cell>
          <cell r="V2896" t="str">
            <v/>
          </cell>
          <cell r="Z2896" t="str">
            <v/>
          </cell>
          <cell r="AA2896" t="str">
            <v/>
          </cell>
          <cell r="AB2896" t="str">
            <v/>
          </cell>
          <cell r="AC2896" t="str">
            <v/>
          </cell>
          <cell r="AD2896" t="str">
            <v/>
          </cell>
          <cell r="AY2896" t="str">
            <v/>
          </cell>
          <cell r="AZ2896" t="str">
            <v/>
          </cell>
          <cell r="BA2896" t="str">
            <v/>
          </cell>
        </row>
        <row r="2897">
          <cell r="B2897" t="str">
            <v>-</v>
          </cell>
          <cell r="E2897" t="str">
            <v/>
          </cell>
          <cell r="G2897" t="str">
            <v/>
          </cell>
          <cell r="J2897" t="str">
            <v/>
          </cell>
          <cell r="O2897" t="str">
            <v/>
          </cell>
          <cell r="P2897" t="str">
            <v/>
          </cell>
          <cell r="Q2897" t="str">
            <v/>
          </cell>
          <cell r="S2897" t="str">
            <v/>
          </cell>
          <cell r="V2897" t="str">
            <v/>
          </cell>
          <cell r="Z2897" t="str">
            <v/>
          </cell>
          <cell r="AA2897" t="str">
            <v/>
          </cell>
          <cell r="AB2897" t="str">
            <v/>
          </cell>
          <cell r="AC2897" t="str">
            <v/>
          </cell>
          <cell r="AD2897" t="str">
            <v/>
          </cell>
          <cell r="AY2897" t="str">
            <v/>
          </cell>
          <cell r="AZ2897" t="str">
            <v/>
          </cell>
          <cell r="BA2897" t="str">
            <v/>
          </cell>
        </row>
        <row r="2898">
          <cell r="B2898" t="str">
            <v>-</v>
          </cell>
          <cell r="E2898" t="str">
            <v/>
          </cell>
          <cell r="G2898" t="str">
            <v/>
          </cell>
          <cell r="J2898" t="str">
            <v/>
          </cell>
          <cell r="O2898" t="str">
            <v/>
          </cell>
          <cell r="P2898" t="str">
            <v/>
          </cell>
          <cell r="Q2898" t="str">
            <v/>
          </cell>
          <cell r="S2898" t="str">
            <v/>
          </cell>
          <cell r="V2898" t="str">
            <v/>
          </cell>
          <cell r="Z2898" t="str">
            <v/>
          </cell>
          <cell r="AA2898" t="str">
            <v/>
          </cell>
          <cell r="AB2898" t="str">
            <v/>
          </cell>
          <cell r="AC2898" t="str">
            <v/>
          </cell>
          <cell r="AD2898" t="str">
            <v/>
          </cell>
          <cell r="AY2898" t="str">
            <v/>
          </cell>
          <cell r="AZ2898" t="str">
            <v/>
          </cell>
          <cell r="BA2898" t="str">
            <v/>
          </cell>
        </row>
        <row r="2899">
          <cell r="B2899" t="str">
            <v>-</v>
          </cell>
          <cell r="E2899" t="str">
            <v/>
          </cell>
          <cell r="G2899" t="str">
            <v/>
          </cell>
          <cell r="J2899" t="str">
            <v/>
          </cell>
          <cell r="O2899" t="str">
            <v/>
          </cell>
          <cell r="P2899" t="str">
            <v/>
          </cell>
          <cell r="Q2899" t="str">
            <v/>
          </cell>
          <cell r="S2899" t="str">
            <v/>
          </cell>
          <cell r="V2899" t="str">
            <v/>
          </cell>
          <cell r="Z2899" t="str">
            <v/>
          </cell>
          <cell r="AA2899" t="str">
            <v/>
          </cell>
          <cell r="AB2899" t="str">
            <v/>
          </cell>
          <cell r="AC2899" t="str">
            <v/>
          </cell>
          <cell r="AD2899" t="str">
            <v/>
          </cell>
          <cell r="AY2899" t="str">
            <v/>
          </cell>
          <cell r="AZ2899" t="str">
            <v/>
          </cell>
          <cell r="BA2899" t="str">
            <v/>
          </cell>
        </row>
        <row r="2900">
          <cell r="B2900" t="str">
            <v>-</v>
          </cell>
          <cell r="E2900" t="str">
            <v/>
          </cell>
          <cell r="G2900" t="str">
            <v/>
          </cell>
          <cell r="J2900" t="str">
            <v/>
          </cell>
          <cell r="O2900" t="str">
            <v/>
          </cell>
          <cell r="P2900" t="str">
            <v/>
          </cell>
          <cell r="Q2900" t="str">
            <v/>
          </cell>
          <cell r="S2900" t="str">
            <v/>
          </cell>
          <cell r="V2900" t="str">
            <v/>
          </cell>
          <cell r="Z2900" t="str">
            <v/>
          </cell>
          <cell r="AA2900" t="str">
            <v/>
          </cell>
          <cell r="AB2900" t="str">
            <v/>
          </cell>
          <cell r="AC2900" t="str">
            <v/>
          </cell>
          <cell r="AD2900" t="str">
            <v/>
          </cell>
          <cell r="AY2900" t="str">
            <v/>
          </cell>
          <cell r="AZ2900" t="str">
            <v/>
          </cell>
          <cell r="BA2900" t="str">
            <v/>
          </cell>
        </row>
        <row r="2901">
          <cell r="B2901" t="str">
            <v>-</v>
          </cell>
          <cell r="E2901" t="str">
            <v/>
          </cell>
          <cell r="G2901" t="str">
            <v/>
          </cell>
          <cell r="J2901" t="str">
            <v/>
          </cell>
          <cell r="O2901" t="str">
            <v/>
          </cell>
          <cell r="P2901" t="str">
            <v/>
          </cell>
          <cell r="Q2901" t="str">
            <v/>
          </cell>
          <cell r="S2901" t="str">
            <v/>
          </cell>
          <cell r="V2901" t="str">
            <v/>
          </cell>
          <cell r="Z2901" t="str">
            <v/>
          </cell>
          <cell r="AA2901" t="str">
            <v/>
          </cell>
          <cell r="AB2901" t="str">
            <v/>
          </cell>
          <cell r="AC2901" t="str">
            <v/>
          </cell>
          <cell r="AD2901" t="str">
            <v/>
          </cell>
          <cell r="AY2901" t="str">
            <v/>
          </cell>
          <cell r="AZ2901" t="str">
            <v/>
          </cell>
          <cell r="BA2901" t="str">
            <v/>
          </cell>
        </row>
        <row r="2902">
          <cell r="B2902" t="str">
            <v>-</v>
          </cell>
          <cell r="E2902" t="str">
            <v/>
          </cell>
          <cell r="G2902" t="str">
            <v/>
          </cell>
          <cell r="J2902" t="str">
            <v/>
          </cell>
          <cell r="O2902" t="str">
            <v/>
          </cell>
          <cell r="P2902" t="str">
            <v/>
          </cell>
          <cell r="Q2902" t="str">
            <v/>
          </cell>
          <cell r="S2902" t="str">
            <v/>
          </cell>
          <cell r="V2902" t="str">
            <v/>
          </cell>
          <cell r="Z2902" t="str">
            <v/>
          </cell>
          <cell r="AA2902" t="str">
            <v/>
          </cell>
          <cell r="AB2902" t="str">
            <v/>
          </cell>
          <cell r="AC2902" t="str">
            <v/>
          </cell>
          <cell r="AD2902" t="str">
            <v/>
          </cell>
          <cell r="AY2902" t="str">
            <v/>
          </cell>
          <cell r="AZ2902" t="str">
            <v/>
          </cell>
          <cell r="BA2902" t="str">
            <v/>
          </cell>
        </row>
        <row r="2903">
          <cell r="B2903" t="str">
            <v>-</v>
          </cell>
          <cell r="E2903" t="str">
            <v/>
          </cell>
          <cell r="G2903" t="str">
            <v/>
          </cell>
          <cell r="J2903" t="str">
            <v/>
          </cell>
          <cell r="O2903" t="str">
            <v/>
          </cell>
          <cell r="P2903" t="str">
            <v/>
          </cell>
          <cell r="Q2903" t="str">
            <v/>
          </cell>
          <cell r="S2903" t="str">
            <v/>
          </cell>
          <cell r="V2903" t="str">
            <v/>
          </cell>
          <cell r="Z2903" t="str">
            <v/>
          </cell>
          <cell r="AA2903" t="str">
            <v/>
          </cell>
          <cell r="AB2903" t="str">
            <v/>
          </cell>
          <cell r="AC2903" t="str">
            <v/>
          </cell>
          <cell r="AD2903" t="str">
            <v/>
          </cell>
          <cell r="AY2903" t="str">
            <v/>
          </cell>
          <cell r="AZ2903" t="str">
            <v/>
          </cell>
          <cell r="BA2903" t="str">
            <v/>
          </cell>
        </row>
        <row r="2904">
          <cell r="B2904" t="str">
            <v>-</v>
          </cell>
          <cell r="E2904" t="str">
            <v/>
          </cell>
          <cell r="G2904" t="str">
            <v/>
          </cell>
          <cell r="J2904" t="str">
            <v/>
          </cell>
          <cell r="O2904" t="str">
            <v/>
          </cell>
          <cell r="P2904" t="str">
            <v/>
          </cell>
          <cell r="Q2904" t="str">
            <v/>
          </cell>
          <cell r="S2904" t="str">
            <v/>
          </cell>
          <cell r="V2904" t="str">
            <v/>
          </cell>
          <cell r="Z2904" t="str">
            <v/>
          </cell>
          <cell r="AA2904" t="str">
            <v/>
          </cell>
          <cell r="AB2904" t="str">
            <v/>
          </cell>
          <cell r="AC2904" t="str">
            <v/>
          </cell>
          <cell r="AD2904" t="str">
            <v/>
          </cell>
          <cell r="AY2904" t="str">
            <v/>
          </cell>
          <cell r="AZ2904" t="str">
            <v/>
          </cell>
          <cell r="BA2904" t="str">
            <v/>
          </cell>
        </row>
        <row r="2905">
          <cell r="B2905" t="str">
            <v>-</v>
          </cell>
          <cell r="E2905" t="str">
            <v/>
          </cell>
          <cell r="G2905" t="str">
            <v/>
          </cell>
          <cell r="J2905" t="str">
            <v/>
          </cell>
          <cell r="O2905" t="str">
            <v/>
          </cell>
          <cell r="P2905" t="str">
            <v/>
          </cell>
          <cell r="Q2905" t="str">
            <v/>
          </cell>
          <cell r="S2905" t="str">
            <v/>
          </cell>
          <cell r="V2905" t="str">
            <v/>
          </cell>
          <cell r="Z2905" t="str">
            <v/>
          </cell>
          <cell r="AA2905" t="str">
            <v/>
          </cell>
          <cell r="AB2905" t="str">
            <v/>
          </cell>
          <cell r="AC2905" t="str">
            <v/>
          </cell>
          <cell r="AD2905" t="str">
            <v/>
          </cell>
          <cell r="AY2905" t="str">
            <v/>
          </cell>
          <cell r="AZ2905" t="str">
            <v/>
          </cell>
          <cell r="BA2905" t="str">
            <v/>
          </cell>
        </row>
        <row r="2906">
          <cell r="B2906" t="str">
            <v>-</v>
          </cell>
          <cell r="E2906" t="str">
            <v/>
          </cell>
          <cell r="G2906" t="str">
            <v/>
          </cell>
          <cell r="J2906" t="str">
            <v/>
          </cell>
          <cell r="O2906" t="str">
            <v/>
          </cell>
          <cell r="P2906" t="str">
            <v/>
          </cell>
          <cell r="Q2906" t="str">
            <v/>
          </cell>
          <cell r="S2906" t="str">
            <v/>
          </cell>
          <cell r="V2906" t="str">
            <v/>
          </cell>
          <cell r="Z2906" t="str">
            <v/>
          </cell>
          <cell r="AA2906" t="str">
            <v/>
          </cell>
          <cell r="AB2906" t="str">
            <v/>
          </cell>
          <cell r="AC2906" t="str">
            <v/>
          </cell>
          <cell r="AD2906" t="str">
            <v/>
          </cell>
          <cell r="AY2906" t="str">
            <v/>
          </cell>
          <cell r="AZ2906" t="str">
            <v/>
          </cell>
          <cell r="BA2906" t="str">
            <v/>
          </cell>
        </row>
        <row r="2907">
          <cell r="B2907" t="str">
            <v>-</v>
          </cell>
          <cell r="E2907" t="str">
            <v/>
          </cell>
          <cell r="G2907" t="str">
            <v/>
          </cell>
          <cell r="J2907" t="str">
            <v/>
          </cell>
          <cell r="O2907" t="str">
            <v/>
          </cell>
          <cell r="P2907" t="str">
            <v/>
          </cell>
          <cell r="Q2907" t="str">
            <v/>
          </cell>
          <cell r="S2907" t="str">
            <v/>
          </cell>
          <cell r="V2907" t="str">
            <v/>
          </cell>
          <cell r="Z2907" t="str">
            <v/>
          </cell>
          <cell r="AA2907" t="str">
            <v/>
          </cell>
          <cell r="AB2907" t="str">
            <v/>
          </cell>
          <cell r="AC2907" t="str">
            <v/>
          </cell>
          <cell r="AD2907" t="str">
            <v/>
          </cell>
          <cell r="AY2907" t="str">
            <v/>
          </cell>
          <cell r="AZ2907" t="str">
            <v/>
          </cell>
          <cell r="BA2907" t="str">
            <v/>
          </cell>
        </row>
        <row r="2908">
          <cell r="B2908" t="str">
            <v>-</v>
          </cell>
          <cell r="E2908" t="str">
            <v/>
          </cell>
          <cell r="G2908" t="str">
            <v/>
          </cell>
          <cell r="J2908" t="str">
            <v/>
          </cell>
          <cell r="O2908" t="str">
            <v/>
          </cell>
          <cell r="P2908" t="str">
            <v/>
          </cell>
          <cell r="Q2908" t="str">
            <v/>
          </cell>
          <cell r="S2908" t="str">
            <v/>
          </cell>
          <cell r="V2908" t="str">
            <v/>
          </cell>
          <cell r="Z2908" t="str">
            <v/>
          </cell>
          <cell r="AA2908" t="str">
            <v/>
          </cell>
          <cell r="AB2908" t="str">
            <v/>
          </cell>
          <cell r="AC2908" t="str">
            <v/>
          </cell>
          <cell r="AD2908" t="str">
            <v/>
          </cell>
          <cell r="AY2908" t="str">
            <v/>
          </cell>
          <cell r="AZ2908" t="str">
            <v/>
          </cell>
          <cell r="BA2908" t="str">
            <v/>
          </cell>
        </row>
        <row r="2909">
          <cell r="B2909" t="str">
            <v>-</v>
          </cell>
          <cell r="E2909" t="str">
            <v/>
          </cell>
          <cell r="G2909" t="str">
            <v/>
          </cell>
          <cell r="J2909" t="str">
            <v/>
          </cell>
          <cell r="O2909" t="str">
            <v/>
          </cell>
          <cell r="P2909" t="str">
            <v/>
          </cell>
          <cell r="Q2909" t="str">
            <v/>
          </cell>
          <cell r="S2909" t="str">
            <v/>
          </cell>
          <cell r="V2909" t="str">
            <v/>
          </cell>
          <cell r="Z2909" t="str">
            <v/>
          </cell>
          <cell r="AA2909" t="str">
            <v/>
          </cell>
          <cell r="AB2909" t="str">
            <v/>
          </cell>
          <cell r="AC2909" t="str">
            <v/>
          </cell>
          <cell r="AD2909" t="str">
            <v/>
          </cell>
          <cell r="AY2909" t="str">
            <v/>
          </cell>
          <cell r="AZ2909" t="str">
            <v/>
          </cell>
          <cell r="BA2909" t="str">
            <v/>
          </cell>
        </row>
        <row r="2910">
          <cell r="B2910" t="str">
            <v>-</v>
          </cell>
          <cell r="E2910" t="str">
            <v/>
          </cell>
          <cell r="G2910" t="str">
            <v/>
          </cell>
          <cell r="J2910" t="str">
            <v/>
          </cell>
          <cell r="O2910" t="str">
            <v/>
          </cell>
          <cell r="P2910" t="str">
            <v/>
          </cell>
          <cell r="Q2910" t="str">
            <v/>
          </cell>
          <cell r="S2910" t="str">
            <v/>
          </cell>
          <cell r="V2910" t="str">
            <v/>
          </cell>
          <cell r="Z2910" t="str">
            <v/>
          </cell>
          <cell r="AA2910" t="str">
            <v/>
          </cell>
          <cell r="AB2910" t="str">
            <v/>
          </cell>
          <cell r="AC2910" t="str">
            <v/>
          </cell>
          <cell r="AD2910" t="str">
            <v/>
          </cell>
          <cell r="AY2910" t="str">
            <v/>
          </cell>
          <cell r="AZ2910" t="str">
            <v/>
          </cell>
          <cell r="BA2910" t="str">
            <v/>
          </cell>
        </row>
        <row r="2911">
          <cell r="B2911" t="str">
            <v>-</v>
          </cell>
          <cell r="E2911" t="str">
            <v/>
          </cell>
          <cell r="G2911" t="str">
            <v/>
          </cell>
          <cell r="J2911" t="str">
            <v/>
          </cell>
          <cell r="O2911" t="str">
            <v/>
          </cell>
          <cell r="P2911" t="str">
            <v/>
          </cell>
          <cell r="Q2911" t="str">
            <v/>
          </cell>
          <cell r="S2911" t="str">
            <v/>
          </cell>
          <cell r="V2911" t="str">
            <v/>
          </cell>
          <cell r="Z2911" t="str">
            <v/>
          </cell>
          <cell r="AA2911" t="str">
            <v/>
          </cell>
          <cell r="AB2911" t="str">
            <v/>
          </cell>
          <cell r="AC2911" t="str">
            <v/>
          </cell>
          <cell r="AD2911" t="str">
            <v/>
          </cell>
          <cell r="AY2911" t="str">
            <v/>
          </cell>
          <cell r="AZ2911" t="str">
            <v/>
          </cell>
          <cell r="BA2911" t="str">
            <v/>
          </cell>
        </row>
        <row r="2912">
          <cell r="B2912" t="str">
            <v>-</v>
          </cell>
          <cell r="E2912" t="str">
            <v/>
          </cell>
          <cell r="G2912" t="str">
            <v/>
          </cell>
          <cell r="J2912" t="str">
            <v/>
          </cell>
          <cell r="O2912" t="str">
            <v/>
          </cell>
          <cell r="P2912" t="str">
            <v/>
          </cell>
          <cell r="Q2912" t="str">
            <v/>
          </cell>
          <cell r="S2912" t="str">
            <v/>
          </cell>
          <cell r="V2912" t="str">
            <v/>
          </cell>
          <cell r="Z2912" t="str">
            <v/>
          </cell>
          <cell r="AA2912" t="str">
            <v/>
          </cell>
          <cell r="AB2912" t="str">
            <v/>
          </cell>
          <cell r="AC2912" t="str">
            <v/>
          </cell>
          <cell r="AD2912" t="str">
            <v/>
          </cell>
          <cell r="AY2912" t="str">
            <v/>
          </cell>
          <cell r="AZ2912" t="str">
            <v/>
          </cell>
          <cell r="BA2912" t="str">
            <v/>
          </cell>
        </row>
        <row r="2913">
          <cell r="B2913" t="str">
            <v>-</v>
          </cell>
          <cell r="E2913" t="str">
            <v/>
          </cell>
          <cell r="G2913" t="str">
            <v/>
          </cell>
          <cell r="J2913" t="str">
            <v/>
          </cell>
          <cell r="O2913" t="str">
            <v/>
          </cell>
          <cell r="P2913" t="str">
            <v/>
          </cell>
          <cell r="Q2913" t="str">
            <v/>
          </cell>
          <cell r="S2913" t="str">
            <v/>
          </cell>
          <cell r="V2913" t="str">
            <v/>
          </cell>
          <cell r="Z2913" t="str">
            <v/>
          </cell>
          <cell r="AA2913" t="str">
            <v/>
          </cell>
          <cell r="AB2913" t="str">
            <v/>
          </cell>
          <cell r="AC2913" t="str">
            <v/>
          </cell>
          <cell r="AD2913" t="str">
            <v/>
          </cell>
          <cell r="AY2913" t="str">
            <v/>
          </cell>
          <cell r="AZ2913" t="str">
            <v/>
          </cell>
          <cell r="BA2913" t="str">
            <v/>
          </cell>
        </row>
        <row r="2914">
          <cell r="B2914" t="str">
            <v>-</v>
          </cell>
          <cell r="E2914" t="str">
            <v/>
          </cell>
          <cell r="G2914" t="str">
            <v/>
          </cell>
          <cell r="J2914" t="str">
            <v/>
          </cell>
          <cell r="O2914" t="str">
            <v/>
          </cell>
          <cell r="P2914" t="str">
            <v/>
          </cell>
          <cell r="Q2914" t="str">
            <v/>
          </cell>
          <cell r="S2914" t="str">
            <v/>
          </cell>
          <cell r="V2914" t="str">
            <v/>
          </cell>
          <cell r="Z2914" t="str">
            <v/>
          </cell>
          <cell r="AA2914" t="str">
            <v/>
          </cell>
          <cell r="AB2914" t="str">
            <v/>
          </cell>
          <cell r="AC2914" t="str">
            <v/>
          </cell>
          <cell r="AD2914" t="str">
            <v/>
          </cell>
          <cell r="AY2914" t="str">
            <v/>
          </cell>
          <cell r="AZ2914" t="str">
            <v/>
          </cell>
          <cell r="BA2914" t="str">
            <v/>
          </cell>
        </row>
        <row r="2915">
          <cell r="B2915" t="str">
            <v>-</v>
          </cell>
          <cell r="E2915" t="str">
            <v/>
          </cell>
          <cell r="G2915" t="str">
            <v/>
          </cell>
          <cell r="J2915" t="str">
            <v/>
          </cell>
          <cell r="O2915" t="str">
            <v/>
          </cell>
          <cell r="P2915" t="str">
            <v/>
          </cell>
          <cell r="Q2915" t="str">
            <v/>
          </cell>
          <cell r="S2915" t="str">
            <v/>
          </cell>
          <cell r="V2915" t="str">
            <v/>
          </cell>
          <cell r="Z2915" t="str">
            <v/>
          </cell>
          <cell r="AA2915" t="str">
            <v/>
          </cell>
          <cell r="AB2915" t="str">
            <v/>
          </cell>
          <cell r="AC2915" t="str">
            <v/>
          </cell>
          <cell r="AD2915" t="str">
            <v/>
          </cell>
          <cell r="AY2915" t="str">
            <v/>
          </cell>
          <cell r="AZ2915" t="str">
            <v/>
          </cell>
          <cell r="BA2915" t="str">
            <v/>
          </cell>
        </row>
        <row r="2916">
          <cell r="B2916" t="str">
            <v>-</v>
          </cell>
          <cell r="E2916" t="str">
            <v/>
          </cell>
          <cell r="G2916" t="str">
            <v/>
          </cell>
          <cell r="J2916" t="str">
            <v/>
          </cell>
          <cell r="O2916" t="str">
            <v/>
          </cell>
          <cell r="P2916" t="str">
            <v/>
          </cell>
          <cell r="Q2916" t="str">
            <v/>
          </cell>
          <cell r="S2916" t="str">
            <v/>
          </cell>
          <cell r="V2916" t="str">
            <v/>
          </cell>
          <cell r="Z2916" t="str">
            <v/>
          </cell>
          <cell r="AA2916" t="str">
            <v/>
          </cell>
          <cell r="AB2916" t="str">
            <v/>
          </cell>
          <cell r="AC2916" t="str">
            <v/>
          </cell>
          <cell r="AD2916" t="str">
            <v/>
          </cell>
          <cell r="AY2916" t="str">
            <v/>
          </cell>
          <cell r="AZ2916" t="str">
            <v/>
          </cell>
          <cell r="BA2916" t="str">
            <v/>
          </cell>
        </row>
        <row r="2917">
          <cell r="B2917" t="str">
            <v>-</v>
          </cell>
          <cell r="E2917" t="str">
            <v/>
          </cell>
          <cell r="G2917" t="str">
            <v/>
          </cell>
          <cell r="J2917" t="str">
            <v/>
          </cell>
          <cell r="O2917" t="str">
            <v/>
          </cell>
          <cell r="P2917" t="str">
            <v/>
          </cell>
          <cell r="Q2917" t="str">
            <v/>
          </cell>
          <cell r="S2917" t="str">
            <v/>
          </cell>
          <cell r="V2917" t="str">
            <v/>
          </cell>
          <cell r="Z2917" t="str">
            <v/>
          </cell>
          <cell r="AA2917" t="str">
            <v/>
          </cell>
          <cell r="AB2917" t="str">
            <v/>
          </cell>
          <cell r="AC2917" t="str">
            <v/>
          </cell>
          <cell r="AD2917" t="str">
            <v/>
          </cell>
          <cell r="AY2917" t="str">
            <v/>
          </cell>
          <cell r="AZ2917" t="str">
            <v/>
          </cell>
          <cell r="BA2917" t="str">
            <v/>
          </cell>
        </row>
        <row r="2918">
          <cell r="B2918" t="str">
            <v>-</v>
          </cell>
          <cell r="E2918" t="str">
            <v/>
          </cell>
          <cell r="G2918" t="str">
            <v/>
          </cell>
          <cell r="J2918" t="str">
            <v/>
          </cell>
          <cell r="O2918" t="str">
            <v/>
          </cell>
          <cell r="P2918" t="str">
            <v/>
          </cell>
          <cell r="Q2918" t="str">
            <v/>
          </cell>
          <cell r="S2918" t="str">
            <v/>
          </cell>
          <cell r="V2918" t="str">
            <v/>
          </cell>
          <cell r="Z2918" t="str">
            <v/>
          </cell>
          <cell r="AA2918" t="str">
            <v/>
          </cell>
          <cell r="AB2918" t="str">
            <v/>
          </cell>
          <cell r="AC2918" t="str">
            <v/>
          </cell>
          <cell r="AD2918" t="str">
            <v/>
          </cell>
          <cell r="AY2918" t="str">
            <v/>
          </cell>
          <cell r="AZ2918" t="str">
            <v/>
          </cell>
          <cell r="BA2918" t="str">
            <v/>
          </cell>
        </row>
        <row r="2919">
          <cell r="B2919" t="str">
            <v>-</v>
          </cell>
          <cell r="E2919" t="str">
            <v/>
          </cell>
          <cell r="G2919" t="str">
            <v/>
          </cell>
          <cell r="J2919" t="str">
            <v/>
          </cell>
          <cell r="O2919" t="str">
            <v/>
          </cell>
          <cell r="P2919" t="str">
            <v/>
          </cell>
          <cell r="Q2919" t="str">
            <v/>
          </cell>
          <cell r="S2919" t="str">
            <v/>
          </cell>
          <cell r="V2919" t="str">
            <v/>
          </cell>
          <cell r="Z2919" t="str">
            <v/>
          </cell>
          <cell r="AA2919" t="str">
            <v/>
          </cell>
          <cell r="AB2919" t="str">
            <v/>
          </cell>
          <cell r="AC2919" t="str">
            <v/>
          </cell>
          <cell r="AD2919" t="str">
            <v/>
          </cell>
          <cell r="AY2919" t="str">
            <v/>
          </cell>
          <cell r="AZ2919" t="str">
            <v/>
          </cell>
          <cell r="BA2919" t="str">
            <v/>
          </cell>
        </row>
        <row r="2920">
          <cell r="B2920" t="str">
            <v>-</v>
          </cell>
          <cell r="E2920" t="str">
            <v/>
          </cell>
          <cell r="G2920" t="str">
            <v/>
          </cell>
          <cell r="J2920" t="str">
            <v/>
          </cell>
          <cell r="O2920" t="str">
            <v/>
          </cell>
          <cell r="P2920" t="str">
            <v/>
          </cell>
          <cell r="Q2920" t="str">
            <v/>
          </cell>
          <cell r="S2920" t="str">
            <v/>
          </cell>
          <cell r="V2920" t="str">
            <v/>
          </cell>
          <cell r="Z2920" t="str">
            <v/>
          </cell>
          <cell r="AA2920" t="str">
            <v/>
          </cell>
          <cell r="AB2920" t="str">
            <v/>
          </cell>
          <cell r="AC2920" t="str">
            <v/>
          </cell>
          <cell r="AD2920" t="str">
            <v/>
          </cell>
          <cell r="AY2920" t="str">
            <v/>
          </cell>
          <cell r="AZ2920" t="str">
            <v/>
          </cell>
          <cell r="BA2920" t="str">
            <v/>
          </cell>
        </row>
        <row r="2921">
          <cell r="B2921" t="str">
            <v>-</v>
          </cell>
          <cell r="E2921" t="str">
            <v/>
          </cell>
          <cell r="G2921" t="str">
            <v/>
          </cell>
          <cell r="J2921" t="str">
            <v/>
          </cell>
          <cell r="O2921" t="str">
            <v/>
          </cell>
          <cell r="P2921" t="str">
            <v/>
          </cell>
          <cell r="Q2921" t="str">
            <v/>
          </cell>
          <cell r="S2921" t="str">
            <v/>
          </cell>
          <cell r="V2921" t="str">
            <v/>
          </cell>
          <cell r="Z2921" t="str">
            <v/>
          </cell>
          <cell r="AA2921" t="str">
            <v/>
          </cell>
          <cell r="AB2921" t="str">
            <v/>
          </cell>
          <cell r="AC2921" t="str">
            <v/>
          </cell>
          <cell r="AD2921" t="str">
            <v/>
          </cell>
          <cell r="AY2921" t="str">
            <v/>
          </cell>
          <cell r="AZ2921" t="str">
            <v/>
          </cell>
          <cell r="BA2921" t="str">
            <v/>
          </cell>
        </row>
        <row r="2922">
          <cell r="B2922" t="str">
            <v>-</v>
          </cell>
          <cell r="E2922" t="str">
            <v/>
          </cell>
          <cell r="G2922" t="str">
            <v/>
          </cell>
          <cell r="J2922" t="str">
            <v/>
          </cell>
          <cell r="O2922" t="str">
            <v/>
          </cell>
          <cell r="P2922" t="str">
            <v/>
          </cell>
          <cell r="Q2922" t="str">
            <v/>
          </cell>
          <cell r="S2922" t="str">
            <v/>
          </cell>
          <cell r="V2922" t="str">
            <v/>
          </cell>
          <cell r="Z2922" t="str">
            <v/>
          </cell>
          <cell r="AA2922" t="str">
            <v/>
          </cell>
          <cell r="AB2922" t="str">
            <v/>
          </cell>
          <cell r="AC2922" t="str">
            <v/>
          </cell>
          <cell r="AD2922" t="str">
            <v/>
          </cell>
          <cell r="AY2922" t="str">
            <v/>
          </cell>
          <cell r="AZ2922" t="str">
            <v/>
          </cell>
          <cell r="BA2922" t="str">
            <v/>
          </cell>
        </row>
        <row r="2923">
          <cell r="B2923" t="str">
            <v>-</v>
          </cell>
          <cell r="E2923" t="str">
            <v/>
          </cell>
          <cell r="G2923" t="str">
            <v/>
          </cell>
          <cell r="J2923" t="str">
            <v/>
          </cell>
          <cell r="O2923" t="str">
            <v/>
          </cell>
          <cell r="P2923" t="str">
            <v/>
          </cell>
          <cell r="Q2923" t="str">
            <v/>
          </cell>
          <cell r="S2923" t="str">
            <v/>
          </cell>
          <cell r="V2923" t="str">
            <v/>
          </cell>
          <cell r="Z2923" t="str">
            <v/>
          </cell>
          <cell r="AA2923" t="str">
            <v/>
          </cell>
          <cell r="AB2923" t="str">
            <v/>
          </cell>
          <cell r="AC2923" t="str">
            <v/>
          </cell>
          <cell r="AD2923" t="str">
            <v/>
          </cell>
          <cell r="AY2923" t="str">
            <v/>
          </cell>
          <cell r="AZ2923" t="str">
            <v/>
          </cell>
          <cell r="BA2923" t="str">
            <v/>
          </cell>
        </row>
        <row r="2924">
          <cell r="B2924" t="str">
            <v>-</v>
          </cell>
          <cell r="E2924" t="str">
            <v/>
          </cell>
          <cell r="G2924" t="str">
            <v/>
          </cell>
          <cell r="J2924" t="str">
            <v/>
          </cell>
          <cell r="O2924" t="str">
            <v/>
          </cell>
          <cell r="P2924" t="str">
            <v/>
          </cell>
          <cell r="Q2924" t="str">
            <v/>
          </cell>
          <cell r="S2924" t="str">
            <v/>
          </cell>
          <cell r="V2924" t="str">
            <v/>
          </cell>
          <cell r="Z2924" t="str">
            <v/>
          </cell>
          <cell r="AA2924" t="str">
            <v/>
          </cell>
          <cell r="AB2924" t="str">
            <v/>
          </cell>
          <cell r="AC2924" t="str">
            <v/>
          </cell>
          <cell r="AD2924" t="str">
            <v/>
          </cell>
          <cell r="AY2924" t="str">
            <v/>
          </cell>
          <cell r="AZ2924" t="str">
            <v/>
          </cell>
          <cell r="BA2924" t="str">
            <v/>
          </cell>
        </row>
        <row r="2925">
          <cell r="B2925" t="str">
            <v>-</v>
          </cell>
          <cell r="E2925" t="str">
            <v/>
          </cell>
          <cell r="G2925" t="str">
            <v/>
          </cell>
          <cell r="J2925" t="str">
            <v/>
          </cell>
          <cell r="O2925" t="str">
            <v/>
          </cell>
          <cell r="P2925" t="str">
            <v/>
          </cell>
          <cell r="Q2925" t="str">
            <v/>
          </cell>
          <cell r="S2925" t="str">
            <v/>
          </cell>
          <cell r="V2925" t="str">
            <v/>
          </cell>
          <cell r="Z2925" t="str">
            <v/>
          </cell>
          <cell r="AA2925" t="str">
            <v/>
          </cell>
          <cell r="AB2925" t="str">
            <v/>
          </cell>
          <cell r="AC2925" t="str">
            <v/>
          </cell>
          <cell r="AD2925" t="str">
            <v/>
          </cell>
          <cell r="AY2925" t="str">
            <v/>
          </cell>
          <cell r="AZ2925" t="str">
            <v/>
          </cell>
          <cell r="BA2925" t="str">
            <v/>
          </cell>
        </row>
        <row r="2926">
          <cell r="B2926" t="str">
            <v>-</v>
          </cell>
          <cell r="E2926" t="str">
            <v/>
          </cell>
          <cell r="G2926" t="str">
            <v/>
          </cell>
          <cell r="J2926" t="str">
            <v/>
          </cell>
          <cell r="O2926" t="str">
            <v/>
          </cell>
          <cell r="P2926" t="str">
            <v/>
          </cell>
          <cell r="Q2926" t="str">
            <v/>
          </cell>
          <cell r="S2926" t="str">
            <v/>
          </cell>
          <cell r="V2926" t="str">
            <v/>
          </cell>
          <cell r="Z2926" t="str">
            <v/>
          </cell>
          <cell r="AA2926" t="str">
            <v/>
          </cell>
          <cell r="AB2926" t="str">
            <v/>
          </cell>
          <cell r="AC2926" t="str">
            <v/>
          </cell>
          <cell r="AD2926" t="str">
            <v/>
          </cell>
          <cell r="AY2926" t="str">
            <v/>
          </cell>
          <cell r="AZ2926" t="str">
            <v/>
          </cell>
          <cell r="BA2926" t="str">
            <v/>
          </cell>
        </row>
        <row r="2927">
          <cell r="B2927" t="str">
            <v>-</v>
          </cell>
          <cell r="E2927" t="str">
            <v/>
          </cell>
          <cell r="G2927" t="str">
            <v/>
          </cell>
          <cell r="J2927" t="str">
            <v/>
          </cell>
          <cell r="O2927" t="str">
            <v/>
          </cell>
          <cell r="P2927" t="str">
            <v/>
          </cell>
          <cell r="Q2927" t="str">
            <v/>
          </cell>
          <cell r="S2927" t="str">
            <v/>
          </cell>
          <cell r="V2927" t="str">
            <v/>
          </cell>
          <cell r="Z2927" t="str">
            <v/>
          </cell>
          <cell r="AA2927" t="str">
            <v/>
          </cell>
          <cell r="AB2927" t="str">
            <v/>
          </cell>
          <cell r="AC2927" t="str">
            <v/>
          </cell>
          <cell r="AD2927" t="str">
            <v/>
          </cell>
          <cell r="AY2927" t="str">
            <v/>
          </cell>
          <cell r="AZ2927" t="str">
            <v/>
          </cell>
          <cell r="BA2927" t="str">
            <v/>
          </cell>
        </row>
        <row r="2928">
          <cell r="B2928" t="str">
            <v>-</v>
          </cell>
          <cell r="E2928" t="str">
            <v/>
          </cell>
          <cell r="G2928" t="str">
            <v/>
          </cell>
          <cell r="J2928" t="str">
            <v/>
          </cell>
          <cell r="O2928" t="str">
            <v/>
          </cell>
          <cell r="P2928" t="str">
            <v/>
          </cell>
          <cell r="Q2928" t="str">
            <v/>
          </cell>
          <cell r="S2928" t="str">
            <v/>
          </cell>
          <cell r="V2928" t="str">
            <v/>
          </cell>
          <cell r="Z2928" t="str">
            <v/>
          </cell>
          <cell r="AA2928" t="str">
            <v/>
          </cell>
          <cell r="AB2928" t="str">
            <v/>
          </cell>
          <cell r="AC2928" t="str">
            <v/>
          </cell>
          <cell r="AD2928" t="str">
            <v/>
          </cell>
          <cell r="AY2928" t="str">
            <v/>
          </cell>
          <cell r="AZ2928" t="str">
            <v/>
          </cell>
          <cell r="BA2928" t="str">
            <v/>
          </cell>
        </row>
        <row r="2929">
          <cell r="B2929" t="str">
            <v>-</v>
          </cell>
          <cell r="E2929" t="str">
            <v/>
          </cell>
          <cell r="G2929" t="str">
            <v/>
          </cell>
          <cell r="J2929" t="str">
            <v/>
          </cell>
          <cell r="O2929" t="str">
            <v/>
          </cell>
          <cell r="P2929" t="str">
            <v/>
          </cell>
          <cell r="Q2929" t="str">
            <v/>
          </cell>
          <cell r="S2929" t="str">
            <v/>
          </cell>
          <cell r="V2929" t="str">
            <v/>
          </cell>
          <cell r="Z2929" t="str">
            <v/>
          </cell>
          <cell r="AA2929" t="str">
            <v/>
          </cell>
          <cell r="AB2929" t="str">
            <v/>
          </cell>
          <cell r="AC2929" t="str">
            <v/>
          </cell>
          <cell r="AD2929" t="str">
            <v/>
          </cell>
          <cell r="AY2929" t="str">
            <v/>
          </cell>
          <cell r="AZ2929" t="str">
            <v/>
          </cell>
          <cell r="BA2929" t="str">
            <v/>
          </cell>
        </row>
        <row r="2930">
          <cell r="B2930" t="str">
            <v>-</v>
          </cell>
          <cell r="E2930" t="str">
            <v/>
          </cell>
          <cell r="G2930" t="str">
            <v/>
          </cell>
          <cell r="J2930" t="str">
            <v/>
          </cell>
          <cell r="O2930" t="str">
            <v/>
          </cell>
          <cell r="P2930" t="str">
            <v/>
          </cell>
          <cell r="Q2930" t="str">
            <v/>
          </cell>
          <cell r="S2930" t="str">
            <v/>
          </cell>
          <cell r="V2930" t="str">
            <v/>
          </cell>
          <cell r="Z2930" t="str">
            <v/>
          </cell>
          <cell r="AA2930" t="str">
            <v/>
          </cell>
          <cell r="AB2930" t="str">
            <v/>
          </cell>
          <cell r="AC2930" t="str">
            <v/>
          </cell>
          <cell r="AD2930" t="str">
            <v/>
          </cell>
          <cell r="AY2930" t="str">
            <v/>
          </cell>
          <cell r="AZ2930" t="str">
            <v/>
          </cell>
          <cell r="BA2930" t="str">
            <v/>
          </cell>
        </row>
        <row r="2931">
          <cell r="B2931" t="str">
            <v>-</v>
          </cell>
          <cell r="E2931" t="str">
            <v/>
          </cell>
          <cell r="G2931" t="str">
            <v/>
          </cell>
          <cell r="J2931" t="str">
            <v/>
          </cell>
          <cell r="O2931" t="str">
            <v/>
          </cell>
          <cell r="P2931" t="str">
            <v/>
          </cell>
          <cell r="Q2931" t="str">
            <v/>
          </cell>
          <cell r="S2931" t="str">
            <v/>
          </cell>
          <cell r="V2931" t="str">
            <v/>
          </cell>
          <cell r="Z2931" t="str">
            <v/>
          </cell>
          <cell r="AA2931" t="str">
            <v/>
          </cell>
          <cell r="AB2931" t="str">
            <v/>
          </cell>
          <cell r="AC2931" t="str">
            <v/>
          </cell>
          <cell r="AD2931" t="str">
            <v/>
          </cell>
          <cell r="AY2931" t="str">
            <v/>
          </cell>
          <cell r="AZ2931" t="str">
            <v/>
          </cell>
          <cell r="BA2931" t="str">
            <v/>
          </cell>
        </row>
        <row r="2932">
          <cell r="B2932" t="str">
            <v>-</v>
          </cell>
          <cell r="E2932" t="str">
            <v/>
          </cell>
          <cell r="G2932" t="str">
            <v/>
          </cell>
          <cell r="J2932" t="str">
            <v/>
          </cell>
          <cell r="O2932" t="str">
            <v/>
          </cell>
          <cell r="P2932" t="str">
            <v/>
          </cell>
          <cell r="Q2932" t="str">
            <v/>
          </cell>
          <cell r="S2932" t="str">
            <v/>
          </cell>
          <cell r="V2932" t="str">
            <v/>
          </cell>
          <cell r="Z2932" t="str">
            <v/>
          </cell>
          <cell r="AA2932" t="str">
            <v/>
          </cell>
          <cell r="AB2932" t="str">
            <v/>
          </cell>
          <cell r="AC2932" t="str">
            <v/>
          </cell>
          <cell r="AD2932" t="str">
            <v/>
          </cell>
          <cell r="AY2932" t="str">
            <v/>
          </cell>
          <cell r="AZ2932" t="str">
            <v/>
          </cell>
          <cell r="BA2932" t="str">
            <v/>
          </cell>
        </row>
        <row r="2933">
          <cell r="B2933" t="str">
            <v>-</v>
          </cell>
          <cell r="E2933" t="str">
            <v/>
          </cell>
          <cell r="G2933" t="str">
            <v/>
          </cell>
          <cell r="J2933" t="str">
            <v/>
          </cell>
          <cell r="O2933" t="str">
            <v/>
          </cell>
          <cell r="P2933" t="str">
            <v/>
          </cell>
          <cell r="Q2933" t="str">
            <v/>
          </cell>
          <cell r="S2933" t="str">
            <v/>
          </cell>
          <cell r="V2933" t="str">
            <v/>
          </cell>
          <cell r="Z2933" t="str">
            <v/>
          </cell>
          <cell r="AA2933" t="str">
            <v/>
          </cell>
          <cell r="AB2933" t="str">
            <v/>
          </cell>
          <cell r="AC2933" t="str">
            <v/>
          </cell>
          <cell r="AD2933" t="str">
            <v/>
          </cell>
          <cell r="AY2933" t="str">
            <v/>
          </cell>
          <cell r="AZ2933" t="str">
            <v/>
          </cell>
          <cell r="BA2933" t="str">
            <v/>
          </cell>
        </row>
        <row r="2934">
          <cell r="B2934" t="str">
            <v>-</v>
          </cell>
          <cell r="E2934" t="str">
            <v/>
          </cell>
          <cell r="G2934" t="str">
            <v/>
          </cell>
          <cell r="J2934" t="str">
            <v/>
          </cell>
          <cell r="O2934" t="str">
            <v/>
          </cell>
          <cell r="P2934" t="str">
            <v/>
          </cell>
          <cell r="Q2934" t="str">
            <v/>
          </cell>
          <cell r="S2934" t="str">
            <v/>
          </cell>
          <cell r="V2934" t="str">
            <v/>
          </cell>
          <cell r="Z2934" t="str">
            <v/>
          </cell>
          <cell r="AA2934" t="str">
            <v/>
          </cell>
          <cell r="AB2934" t="str">
            <v/>
          </cell>
          <cell r="AC2934" t="str">
            <v/>
          </cell>
          <cell r="AD2934" t="str">
            <v/>
          </cell>
          <cell r="AY2934" t="str">
            <v/>
          </cell>
          <cell r="AZ2934" t="str">
            <v/>
          </cell>
          <cell r="BA2934" t="str">
            <v/>
          </cell>
        </row>
        <row r="2935">
          <cell r="B2935" t="str">
            <v>-</v>
          </cell>
          <cell r="E2935" t="str">
            <v/>
          </cell>
          <cell r="G2935" t="str">
            <v/>
          </cell>
          <cell r="J2935" t="str">
            <v/>
          </cell>
          <cell r="O2935" t="str">
            <v/>
          </cell>
          <cell r="P2935" t="str">
            <v/>
          </cell>
          <cell r="Q2935" t="str">
            <v/>
          </cell>
          <cell r="S2935" t="str">
            <v/>
          </cell>
          <cell r="V2935" t="str">
            <v/>
          </cell>
          <cell r="Z2935" t="str">
            <v/>
          </cell>
          <cell r="AA2935" t="str">
            <v/>
          </cell>
          <cell r="AB2935" t="str">
            <v/>
          </cell>
          <cell r="AC2935" t="str">
            <v/>
          </cell>
          <cell r="AD2935" t="str">
            <v/>
          </cell>
          <cell r="AY2935" t="str">
            <v/>
          </cell>
          <cell r="AZ2935" t="str">
            <v/>
          </cell>
          <cell r="BA2935" t="str">
            <v/>
          </cell>
        </row>
        <row r="2936">
          <cell r="B2936" t="str">
            <v>-</v>
          </cell>
          <cell r="E2936" t="str">
            <v/>
          </cell>
          <cell r="G2936" t="str">
            <v/>
          </cell>
          <cell r="J2936" t="str">
            <v/>
          </cell>
          <cell r="O2936" t="str">
            <v/>
          </cell>
          <cell r="P2936" t="str">
            <v/>
          </cell>
          <cell r="Q2936" t="str">
            <v/>
          </cell>
          <cell r="S2936" t="str">
            <v/>
          </cell>
          <cell r="V2936" t="str">
            <v/>
          </cell>
          <cell r="Z2936" t="str">
            <v/>
          </cell>
          <cell r="AA2936" t="str">
            <v/>
          </cell>
          <cell r="AB2936" t="str">
            <v/>
          </cell>
          <cell r="AC2936" t="str">
            <v/>
          </cell>
          <cell r="AD2936" t="str">
            <v/>
          </cell>
          <cell r="AY2936" t="str">
            <v/>
          </cell>
          <cell r="AZ2936" t="str">
            <v/>
          </cell>
          <cell r="BA2936" t="str">
            <v/>
          </cell>
        </row>
        <row r="2937">
          <cell r="B2937" t="str">
            <v>-</v>
          </cell>
          <cell r="E2937" t="str">
            <v/>
          </cell>
          <cell r="G2937" t="str">
            <v/>
          </cell>
          <cell r="J2937" t="str">
            <v/>
          </cell>
          <cell r="O2937" t="str">
            <v/>
          </cell>
          <cell r="P2937" t="str">
            <v/>
          </cell>
          <cell r="Q2937" t="str">
            <v/>
          </cell>
          <cell r="S2937" t="str">
            <v/>
          </cell>
          <cell r="V2937" t="str">
            <v/>
          </cell>
          <cell r="Z2937" t="str">
            <v/>
          </cell>
          <cell r="AA2937" t="str">
            <v/>
          </cell>
          <cell r="AB2937" t="str">
            <v/>
          </cell>
          <cell r="AC2937" t="str">
            <v/>
          </cell>
          <cell r="AD2937" t="str">
            <v/>
          </cell>
          <cell r="AY2937" t="str">
            <v/>
          </cell>
          <cell r="AZ2937" t="str">
            <v/>
          </cell>
          <cell r="BA2937" t="str">
            <v/>
          </cell>
        </row>
        <row r="2938">
          <cell r="B2938" t="str">
            <v>-</v>
          </cell>
          <cell r="E2938" t="str">
            <v/>
          </cell>
          <cell r="G2938" t="str">
            <v/>
          </cell>
          <cell r="J2938" t="str">
            <v/>
          </cell>
          <cell r="O2938" t="str">
            <v/>
          </cell>
          <cell r="P2938" t="str">
            <v/>
          </cell>
          <cell r="Q2938" t="str">
            <v/>
          </cell>
          <cell r="S2938" t="str">
            <v/>
          </cell>
          <cell r="V2938" t="str">
            <v/>
          </cell>
          <cell r="Z2938" t="str">
            <v/>
          </cell>
          <cell r="AA2938" t="str">
            <v/>
          </cell>
          <cell r="AB2938" t="str">
            <v/>
          </cell>
          <cell r="AC2938" t="str">
            <v/>
          </cell>
          <cell r="AD2938" t="str">
            <v/>
          </cell>
          <cell r="AY2938" t="str">
            <v/>
          </cell>
          <cell r="AZ2938" t="str">
            <v/>
          </cell>
          <cell r="BA2938" t="str">
            <v/>
          </cell>
        </row>
        <row r="2939">
          <cell r="B2939" t="str">
            <v>-</v>
          </cell>
          <cell r="E2939" t="str">
            <v/>
          </cell>
          <cell r="G2939" t="str">
            <v/>
          </cell>
          <cell r="J2939" t="str">
            <v/>
          </cell>
          <cell r="O2939" t="str">
            <v/>
          </cell>
          <cell r="P2939" t="str">
            <v/>
          </cell>
          <cell r="Q2939" t="str">
            <v/>
          </cell>
          <cell r="S2939" t="str">
            <v/>
          </cell>
          <cell r="V2939" t="str">
            <v/>
          </cell>
          <cell r="Z2939" t="str">
            <v/>
          </cell>
          <cell r="AA2939" t="str">
            <v/>
          </cell>
          <cell r="AB2939" t="str">
            <v/>
          </cell>
          <cell r="AC2939" t="str">
            <v/>
          </cell>
          <cell r="AD2939" t="str">
            <v/>
          </cell>
          <cell r="AY2939" t="str">
            <v/>
          </cell>
          <cell r="AZ2939" t="str">
            <v/>
          </cell>
          <cell r="BA2939" t="str">
            <v/>
          </cell>
        </row>
        <row r="2940">
          <cell r="B2940" t="str">
            <v>-</v>
          </cell>
          <cell r="E2940" t="str">
            <v/>
          </cell>
          <cell r="G2940" t="str">
            <v/>
          </cell>
          <cell r="J2940" t="str">
            <v/>
          </cell>
          <cell r="O2940" t="str">
            <v/>
          </cell>
          <cell r="P2940" t="str">
            <v/>
          </cell>
          <cell r="Q2940" t="str">
            <v/>
          </cell>
          <cell r="S2940" t="str">
            <v/>
          </cell>
          <cell r="V2940" t="str">
            <v/>
          </cell>
          <cell r="Z2940" t="str">
            <v/>
          </cell>
          <cell r="AA2940" t="str">
            <v/>
          </cell>
          <cell r="AB2940" t="str">
            <v/>
          </cell>
          <cell r="AC2940" t="str">
            <v/>
          </cell>
          <cell r="AD2940" t="str">
            <v/>
          </cell>
          <cell r="AY2940" t="str">
            <v/>
          </cell>
          <cell r="AZ2940" t="str">
            <v/>
          </cell>
          <cell r="BA2940" t="str">
            <v/>
          </cell>
        </row>
        <row r="2941">
          <cell r="B2941" t="str">
            <v>-</v>
          </cell>
          <cell r="E2941" t="str">
            <v/>
          </cell>
          <cell r="G2941" t="str">
            <v/>
          </cell>
          <cell r="J2941" t="str">
            <v/>
          </cell>
          <cell r="O2941" t="str">
            <v/>
          </cell>
          <cell r="P2941" t="str">
            <v/>
          </cell>
          <cell r="Q2941" t="str">
            <v/>
          </cell>
          <cell r="S2941" t="str">
            <v/>
          </cell>
          <cell r="V2941" t="str">
            <v/>
          </cell>
          <cell r="Z2941" t="str">
            <v/>
          </cell>
          <cell r="AA2941" t="str">
            <v/>
          </cell>
          <cell r="AB2941" t="str">
            <v/>
          </cell>
          <cell r="AC2941" t="str">
            <v/>
          </cell>
          <cell r="AD2941" t="str">
            <v/>
          </cell>
          <cell r="AY2941" t="str">
            <v/>
          </cell>
          <cell r="AZ2941" t="str">
            <v/>
          </cell>
          <cell r="BA2941" t="str">
            <v/>
          </cell>
        </row>
        <row r="2942">
          <cell r="B2942" t="str">
            <v>-</v>
          </cell>
          <cell r="E2942" t="str">
            <v/>
          </cell>
          <cell r="G2942" t="str">
            <v/>
          </cell>
          <cell r="J2942" t="str">
            <v/>
          </cell>
          <cell r="O2942" t="str">
            <v/>
          </cell>
          <cell r="P2942" t="str">
            <v/>
          </cell>
          <cell r="Q2942" t="str">
            <v/>
          </cell>
          <cell r="S2942" t="str">
            <v/>
          </cell>
          <cell r="V2942" t="str">
            <v/>
          </cell>
          <cell r="Z2942" t="str">
            <v/>
          </cell>
          <cell r="AA2942" t="str">
            <v/>
          </cell>
          <cell r="AB2942" t="str">
            <v/>
          </cell>
          <cell r="AC2942" t="str">
            <v/>
          </cell>
          <cell r="AD2942" t="str">
            <v/>
          </cell>
          <cell r="AY2942" t="str">
            <v/>
          </cell>
          <cell r="AZ2942" t="str">
            <v/>
          </cell>
          <cell r="BA2942" t="str">
            <v/>
          </cell>
        </row>
        <row r="2943">
          <cell r="B2943" t="str">
            <v>-</v>
          </cell>
          <cell r="E2943" t="str">
            <v/>
          </cell>
          <cell r="G2943" t="str">
            <v/>
          </cell>
          <cell r="J2943" t="str">
            <v/>
          </cell>
          <cell r="O2943" t="str">
            <v/>
          </cell>
          <cell r="P2943" t="str">
            <v/>
          </cell>
          <cell r="Q2943" t="str">
            <v/>
          </cell>
          <cell r="S2943" t="str">
            <v/>
          </cell>
          <cell r="V2943" t="str">
            <v/>
          </cell>
          <cell r="Z2943" t="str">
            <v/>
          </cell>
          <cell r="AA2943" t="str">
            <v/>
          </cell>
          <cell r="AB2943" t="str">
            <v/>
          </cell>
          <cell r="AC2943" t="str">
            <v/>
          </cell>
          <cell r="AD2943" t="str">
            <v/>
          </cell>
          <cell r="AY2943" t="str">
            <v/>
          </cell>
          <cell r="AZ2943" t="str">
            <v/>
          </cell>
          <cell r="BA2943" t="str">
            <v/>
          </cell>
        </row>
        <row r="2944">
          <cell r="B2944" t="str">
            <v>-</v>
          </cell>
          <cell r="E2944" t="str">
            <v/>
          </cell>
          <cell r="G2944" t="str">
            <v/>
          </cell>
          <cell r="J2944" t="str">
            <v/>
          </cell>
          <cell r="O2944" t="str">
            <v/>
          </cell>
          <cell r="P2944" t="str">
            <v/>
          </cell>
          <cell r="Q2944" t="str">
            <v/>
          </cell>
          <cell r="S2944" t="str">
            <v/>
          </cell>
          <cell r="V2944" t="str">
            <v/>
          </cell>
          <cell r="Z2944" t="str">
            <v/>
          </cell>
          <cell r="AA2944" t="str">
            <v/>
          </cell>
          <cell r="AB2944" t="str">
            <v/>
          </cell>
          <cell r="AC2944" t="str">
            <v/>
          </cell>
          <cell r="AD2944" t="str">
            <v/>
          </cell>
          <cell r="AY2944" t="str">
            <v/>
          </cell>
          <cell r="AZ2944" t="str">
            <v/>
          </cell>
          <cell r="BA2944" t="str">
            <v/>
          </cell>
        </row>
        <row r="2945">
          <cell r="B2945" t="str">
            <v>-</v>
          </cell>
          <cell r="E2945" t="str">
            <v/>
          </cell>
          <cell r="G2945" t="str">
            <v/>
          </cell>
          <cell r="J2945" t="str">
            <v/>
          </cell>
          <cell r="O2945" t="str">
            <v/>
          </cell>
          <cell r="P2945" t="str">
            <v/>
          </cell>
          <cell r="Q2945" t="str">
            <v/>
          </cell>
          <cell r="S2945" t="str">
            <v/>
          </cell>
          <cell r="V2945" t="str">
            <v/>
          </cell>
          <cell r="Z2945" t="str">
            <v/>
          </cell>
          <cell r="AA2945" t="str">
            <v/>
          </cell>
          <cell r="AB2945" t="str">
            <v/>
          </cell>
          <cell r="AC2945" t="str">
            <v/>
          </cell>
          <cell r="AD2945" t="str">
            <v/>
          </cell>
          <cell r="AY2945" t="str">
            <v/>
          </cell>
          <cell r="AZ2945" t="str">
            <v/>
          </cell>
          <cell r="BA2945" t="str">
            <v/>
          </cell>
        </row>
        <row r="2946">
          <cell r="B2946" t="str">
            <v>-</v>
          </cell>
          <cell r="E2946" t="str">
            <v/>
          </cell>
          <cell r="G2946" t="str">
            <v/>
          </cell>
          <cell r="J2946" t="str">
            <v/>
          </cell>
          <cell r="O2946" t="str">
            <v/>
          </cell>
          <cell r="P2946" t="str">
            <v/>
          </cell>
          <cell r="Q2946" t="str">
            <v/>
          </cell>
          <cell r="S2946" t="str">
            <v/>
          </cell>
          <cell r="V2946" t="str">
            <v/>
          </cell>
          <cell r="Z2946" t="str">
            <v/>
          </cell>
          <cell r="AA2946" t="str">
            <v/>
          </cell>
          <cell r="AB2946" t="str">
            <v/>
          </cell>
          <cell r="AC2946" t="str">
            <v/>
          </cell>
          <cell r="AD2946" t="str">
            <v/>
          </cell>
          <cell r="AY2946" t="str">
            <v/>
          </cell>
          <cell r="AZ2946" t="str">
            <v/>
          </cell>
          <cell r="BA2946" t="str">
            <v/>
          </cell>
        </row>
        <row r="2947">
          <cell r="B2947" t="str">
            <v>-</v>
          </cell>
          <cell r="E2947" t="str">
            <v/>
          </cell>
          <cell r="G2947" t="str">
            <v/>
          </cell>
          <cell r="J2947" t="str">
            <v/>
          </cell>
          <cell r="O2947" t="str">
            <v/>
          </cell>
          <cell r="P2947" t="str">
            <v/>
          </cell>
          <cell r="Q2947" t="str">
            <v/>
          </cell>
          <cell r="S2947" t="str">
            <v/>
          </cell>
          <cell r="V2947" t="str">
            <v/>
          </cell>
          <cell r="Z2947" t="str">
            <v/>
          </cell>
          <cell r="AA2947" t="str">
            <v/>
          </cell>
          <cell r="AB2947" t="str">
            <v/>
          </cell>
          <cell r="AC2947" t="str">
            <v/>
          </cell>
          <cell r="AD2947" t="str">
            <v/>
          </cell>
          <cell r="AY2947" t="str">
            <v/>
          </cell>
          <cell r="AZ2947" t="str">
            <v/>
          </cell>
          <cell r="BA2947" t="str">
            <v/>
          </cell>
        </row>
        <row r="2948">
          <cell r="B2948" t="str">
            <v>-</v>
          </cell>
          <cell r="E2948" t="str">
            <v/>
          </cell>
          <cell r="G2948" t="str">
            <v/>
          </cell>
          <cell r="J2948" t="str">
            <v/>
          </cell>
          <cell r="O2948" t="str">
            <v/>
          </cell>
          <cell r="P2948" t="str">
            <v/>
          </cell>
          <cell r="Q2948" t="str">
            <v/>
          </cell>
          <cell r="S2948" t="str">
            <v/>
          </cell>
          <cell r="V2948" t="str">
            <v/>
          </cell>
          <cell r="Z2948" t="str">
            <v/>
          </cell>
          <cell r="AA2948" t="str">
            <v/>
          </cell>
          <cell r="AB2948" t="str">
            <v/>
          </cell>
          <cell r="AC2948" t="str">
            <v/>
          </cell>
          <cell r="AD2948" t="str">
            <v/>
          </cell>
          <cell r="AY2948" t="str">
            <v/>
          </cell>
          <cell r="AZ2948" t="str">
            <v/>
          </cell>
          <cell r="BA2948" t="str">
            <v/>
          </cell>
        </row>
        <row r="2949">
          <cell r="B2949" t="str">
            <v>-</v>
          </cell>
          <cell r="E2949" t="str">
            <v/>
          </cell>
          <cell r="G2949" t="str">
            <v/>
          </cell>
          <cell r="J2949" t="str">
            <v/>
          </cell>
          <cell r="O2949" t="str">
            <v/>
          </cell>
          <cell r="P2949" t="str">
            <v/>
          </cell>
          <cell r="Q2949" t="str">
            <v/>
          </cell>
          <cell r="S2949" t="str">
            <v/>
          </cell>
          <cell r="V2949" t="str">
            <v/>
          </cell>
          <cell r="Z2949" t="str">
            <v/>
          </cell>
          <cell r="AA2949" t="str">
            <v/>
          </cell>
          <cell r="AB2949" t="str">
            <v/>
          </cell>
          <cell r="AC2949" t="str">
            <v/>
          </cell>
          <cell r="AD2949" t="str">
            <v/>
          </cell>
          <cell r="AY2949" t="str">
            <v/>
          </cell>
          <cell r="AZ2949" t="str">
            <v/>
          </cell>
          <cell r="BA2949" t="str">
            <v/>
          </cell>
        </row>
        <row r="2950">
          <cell r="B2950" t="str">
            <v>-</v>
          </cell>
          <cell r="E2950" t="str">
            <v/>
          </cell>
          <cell r="G2950" t="str">
            <v/>
          </cell>
          <cell r="J2950" t="str">
            <v/>
          </cell>
          <cell r="O2950" t="str">
            <v/>
          </cell>
          <cell r="P2950" t="str">
            <v/>
          </cell>
          <cell r="Q2950" t="str">
            <v/>
          </cell>
          <cell r="S2950" t="str">
            <v/>
          </cell>
          <cell r="V2950" t="str">
            <v/>
          </cell>
          <cell r="Z2950" t="str">
            <v/>
          </cell>
          <cell r="AA2950" t="str">
            <v/>
          </cell>
          <cell r="AB2950" t="str">
            <v/>
          </cell>
          <cell r="AC2950" t="str">
            <v/>
          </cell>
          <cell r="AD2950" t="str">
            <v/>
          </cell>
          <cell r="AY2950" t="str">
            <v/>
          </cell>
          <cell r="AZ2950" t="str">
            <v/>
          </cell>
          <cell r="BA2950" t="str">
            <v/>
          </cell>
        </row>
        <row r="2951">
          <cell r="B2951" t="str">
            <v>-</v>
          </cell>
          <cell r="E2951" t="str">
            <v/>
          </cell>
          <cell r="G2951" t="str">
            <v/>
          </cell>
          <cell r="J2951" t="str">
            <v/>
          </cell>
          <cell r="O2951" t="str">
            <v/>
          </cell>
          <cell r="P2951" t="str">
            <v/>
          </cell>
          <cell r="Q2951" t="str">
            <v/>
          </cell>
          <cell r="S2951" t="str">
            <v/>
          </cell>
          <cell r="V2951" t="str">
            <v/>
          </cell>
          <cell r="Z2951" t="str">
            <v/>
          </cell>
          <cell r="AA2951" t="str">
            <v/>
          </cell>
          <cell r="AB2951" t="str">
            <v/>
          </cell>
          <cell r="AC2951" t="str">
            <v/>
          </cell>
          <cell r="AD2951" t="str">
            <v/>
          </cell>
          <cell r="AY2951" t="str">
            <v/>
          </cell>
          <cell r="AZ2951" t="str">
            <v/>
          </cell>
          <cell r="BA2951" t="str">
            <v/>
          </cell>
        </row>
        <row r="2952">
          <cell r="B2952" t="str">
            <v>-</v>
          </cell>
          <cell r="E2952" t="str">
            <v/>
          </cell>
          <cell r="G2952" t="str">
            <v/>
          </cell>
          <cell r="J2952" t="str">
            <v/>
          </cell>
          <cell r="O2952" t="str">
            <v/>
          </cell>
          <cell r="P2952" t="str">
            <v/>
          </cell>
          <cell r="Q2952" t="str">
            <v/>
          </cell>
          <cell r="S2952" t="str">
            <v/>
          </cell>
          <cell r="V2952" t="str">
            <v/>
          </cell>
          <cell r="Z2952" t="str">
            <v/>
          </cell>
          <cell r="AA2952" t="str">
            <v/>
          </cell>
          <cell r="AB2952" t="str">
            <v/>
          </cell>
          <cell r="AC2952" t="str">
            <v/>
          </cell>
          <cell r="AD2952" t="str">
            <v/>
          </cell>
          <cell r="AY2952" t="str">
            <v/>
          </cell>
          <cell r="AZ2952" t="str">
            <v/>
          </cell>
          <cell r="BA2952" t="str">
            <v/>
          </cell>
        </row>
        <row r="2953">
          <cell r="B2953" t="str">
            <v>-</v>
          </cell>
          <cell r="E2953" t="str">
            <v/>
          </cell>
          <cell r="G2953" t="str">
            <v/>
          </cell>
          <cell r="J2953" t="str">
            <v/>
          </cell>
          <cell r="O2953" t="str">
            <v/>
          </cell>
          <cell r="P2953" t="str">
            <v/>
          </cell>
          <cell r="Q2953" t="str">
            <v/>
          </cell>
          <cell r="S2953" t="str">
            <v/>
          </cell>
          <cell r="V2953" t="str">
            <v/>
          </cell>
          <cell r="Z2953" t="str">
            <v/>
          </cell>
          <cell r="AA2953" t="str">
            <v/>
          </cell>
          <cell r="AB2953" t="str">
            <v/>
          </cell>
          <cell r="AC2953" t="str">
            <v/>
          </cell>
          <cell r="AD2953" t="str">
            <v/>
          </cell>
          <cell r="AY2953" t="str">
            <v/>
          </cell>
          <cell r="AZ2953" t="str">
            <v/>
          </cell>
          <cell r="BA2953" t="str">
            <v/>
          </cell>
        </row>
        <row r="2954">
          <cell r="B2954" t="str">
            <v>-</v>
          </cell>
          <cell r="E2954" t="str">
            <v/>
          </cell>
          <cell r="G2954" t="str">
            <v/>
          </cell>
          <cell r="J2954" t="str">
            <v/>
          </cell>
          <cell r="O2954" t="str">
            <v/>
          </cell>
          <cell r="P2954" t="str">
            <v/>
          </cell>
          <cell r="Q2954" t="str">
            <v/>
          </cell>
          <cell r="S2954" t="str">
            <v/>
          </cell>
          <cell r="V2954" t="str">
            <v/>
          </cell>
          <cell r="Z2954" t="str">
            <v/>
          </cell>
          <cell r="AA2954" t="str">
            <v/>
          </cell>
          <cell r="AB2954" t="str">
            <v/>
          </cell>
          <cell r="AC2954" t="str">
            <v/>
          </cell>
          <cell r="AD2954" t="str">
            <v/>
          </cell>
          <cell r="AY2954" t="str">
            <v/>
          </cell>
          <cell r="AZ2954" t="str">
            <v/>
          </cell>
          <cell r="BA2954" t="str">
            <v/>
          </cell>
        </row>
        <row r="2955">
          <cell r="B2955" t="str">
            <v>-</v>
          </cell>
          <cell r="E2955" t="str">
            <v/>
          </cell>
          <cell r="G2955" t="str">
            <v/>
          </cell>
          <cell r="J2955" t="str">
            <v/>
          </cell>
          <cell r="O2955" t="str">
            <v/>
          </cell>
          <cell r="P2955" t="str">
            <v/>
          </cell>
          <cell r="Q2955" t="str">
            <v/>
          </cell>
          <cell r="S2955" t="str">
            <v/>
          </cell>
          <cell r="V2955" t="str">
            <v/>
          </cell>
          <cell r="Z2955" t="str">
            <v/>
          </cell>
          <cell r="AA2955" t="str">
            <v/>
          </cell>
          <cell r="AB2955" t="str">
            <v/>
          </cell>
          <cell r="AC2955" t="str">
            <v/>
          </cell>
          <cell r="AD2955" t="str">
            <v/>
          </cell>
          <cell r="AY2955" t="str">
            <v/>
          </cell>
          <cell r="AZ2955" t="str">
            <v/>
          </cell>
          <cell r="BA2955" t="str">
            <v/>
          </cell>
        </row>
        <row r="2956">
          <cell r="B2956" t="str">
            <v>-</v>
          </cell>
          <cell r="E2956" t="str">
            <v/>
          </cell>
          <cell r="G2956" t="str">
            <v/>
          </cell>
          <cell r="J2956" t="str">
            <v/>
          </cell>
          <cell r="O2956" t="str">
            <v/>
          </cell>
          <cell r="P2956" t="str">
            <v/>
          </cell>
          <cell r="Q2956" t="str">
            <v/>
          </cell>
          <cell r="S2956" t="str">
            <v/>
          </cell>
          <cell r="V2956" t="str">
            <v/>
          </cell>
          <cell r="Z2956" t="str">
            <v/>
          </cell>
          <cell r="AA2956" t="str">
            <v/>
          </cell>
          <cell r="AB2956" t="str">
            <v/>
          </cell>
          <cell r="AC2956" t="str">
            <v/>
          </cell>
          <cell r="AD2956" t="str">
            <v/>
          </cell>
          <cell r="AY2956" t="str">
            <v/>
          </cell>
          <cell r="AZ2956" t="str">
            <v/>
          </cell>
          <cell r="BA2956" t="str">
            <v/>
          </cell>
        </row>
        <row r="2957">
          <cell r="B2957" t="str">
            <v>-</v>
          </cell>
          <cell r="E2957" t="str">
            <v/>
          </cell>
          <cell r="G2957" t="str">
            <v/>
          </cell>
          <cell r="J2957" t="str">
            <v/>
          </cell>
          <cell r="O2957" t="str">
            <v/>
          </cell>
          <cell r="P2957" t="str">
            <v/>
          </cell>
          <cell r="Q2957" t="str">
            <v/>
          </cell>
          <cell r="S2957" t="str">
            <v/>
          </cell>
          <cell r="V2957" t="str">
            <v/>
          </cell>
          <cell r="Z2957" t="str">
            <v/>
          </cell>
          <cell r="AA2957" t="str">
            <v/>
          </cell>
          <cell r="AB2957" t="str">
            <v/>
          </cell>
          <cell r="AC2957" t="str">
            <v/>
          </cell>
          <cell r="AD2957" t="str">
            <v/>
          </cell>
          <cell r="AY2957" t="str">
            <v/>
          </cell>
          <cell r="AZ2957" t="str">
            <v/>
          </cell>
          <cell r="BA2957" t="str">
            <v/>
          </cell>
        </row>
        <row r="2958">
          <cell r="B2958" t="str">
            <v>-</v>
          </cell>
          <cell r="E2958" t="str">
            <v/>
          </cell>
          <cell r="G2958" t="str">
            <v/>
          </cell>
          <cell r="J2958" t="str">
            <v/>
          </cell>
          <cell r="O2958" t="str">
            <v/>
          </cell>
          <cell r="P2958" t="str">
            <v/>
          </cell>
          <cell r="Q2958" t="str">
            <v/>
          </cell>
          <cell r="S2958" t="str">
            <v/>
          </cell>
          <cell r="V2958" t="str">
            <v/>
          </cell>
          <cell r="Z2958" t="str">
            <v/>
          </cell>
          <cell r="AA2958" t="str">
            <v/>
          </cell>
          <cell r="AB2958" t="str">
            <v/>
          </cell>
          <cell r="AC2958" t="str">
            <v/>
          </cell>
          <cell r="AD2958" t="str">
            <v/>
          </cell>
          <cell r="AY2958" t="str">
            <v/>
          </cell>
          <cell r="AZ2958" t="str">
            <v/>
          </cell>
          <cell r="BA2958" t="str">
            <v/>
          </cell>
        </row>
        <row r="2959">
          <cell r="B2959" t="str">
            <v>-</v>
          </cell>
          <cell r="E2959" t="str">
            <v/>
          </cell>
          <cell r="G2959" t="str">
            <v/>
          </cell>
          <cell r="J2959" t="str">
            <v/>
          </cell>
          <cell r="O2959" t="str">
            <v/>
          </cell>
          <cell r="P2959" t="str">
            <v/>
          </cell>
          <cell r="Q2959" t="str">
            <v/>
          </cell>
          <cell r="S2959" t="str">
            <v/>
          </cell>
          <cell r="V2959" t="str">
            <v/>
          </cell>
          <cell r="Z2959" t="str">
            <v/>
          </cell>
          <cell r="AA2959" t="str">
            <v/>
          </cell>
          <cell r="AB2959" t="str">
            <v/>
          </cell>
          <cell r="AC2959" t="str">
            <v/>
          </cell>
          <cell r="AD2959" t="str">
            <v/>
          </cell>
          <cell r="AY2959" t="str">
            <v/>
          </cell>
          <cell r="AZ2959" t="str">
            <v/>
          </cell>
          <cell r="BA2959" t="str">
            <v/>
          </cell>
        </row>
        <row r="2960">
          <cell r="B2960" t="str">
            <v>-</v>
          </cell>
          <cell r="E2960" t="str">
            <v/>
          </cell>
          <cell r="G2960" t="str">
            <v/>
          </cell>
          <cell r="J2960" t="str">
            <v/>
          </cell>
          <cell r="O2960" t="str">
            <v/>
          </cell>
          <cell r="P2960" t="str">
            <v/>
          </cell>
          <cell r="Q2960" t="str">
            <v/>
          </cell>
          <cell r="S2960" t="str">
            <v/>
          </cell>
          <cell r="V2960" t="str">
            <v/>
          </cell>
          <cell r="Z2960" t="str">
            <v/>
          </cell>
          <cell r="AA2960" t="str">
            <v/>
          </cell>
          <cell r="AB2960" t="str">
            <v/>
          </cell>
          <cell r="AC2960" t="str">
            <v/>
          </cell>
          <cell r="AD2960" t="str">
            <v/>
          </cell>
          <cell r="AY2960" t="str">
            <v/>
          </cell>
          <cell r="AZ2960" t="str">
            <v/>
          </cell>
          <cell r="BA2960" t="str">
            <v/>
          </cell>
        </row>
        <row r="2961">
          <cell r="B2961" t="str">
            <v>-</v>
          </cell>
          <cell r="E2961" t="str">
            <v/>
          </cell>
          <cell r="G2961" t="str">
            <v/>
          </cell>
          <cell r="J2961" t="str">
            <v/>
          </cell>
          <cell r="O2961" t="str">
            <v/>
          </cell>
          <cell r="P2961" t="str">
            <v/>
          </cell>
          <cell r="Q2961" t="str">
            <v/>
          </cell>
          <cell r="S2961" t="str">
            <v/>
          </cell>
          <cell r="V2961" t="str">
            <v/>
          </cell>
          <cell r="Z2961" t="str">
            <v/>
          </cell>
          <cell r="AA2961" t="str">
            <v/>
          </cell>
          <cell r="AB2961" t="str">
            <v/>
          </cell>
          <cell r="AC2961" t="str">
            <v/>
          </cell>
          <cell r="AD2961" t="str">
            <v/>
          </cell>
          <cell r="AY2961" t="str">
            <v/>
          </cell>
          <cell r="AZ2961" t="str">
            <v/>
          </cell>
          <cell r="BA2961" t="str">
            <v/>
          </cell>
        </row>
        <row r="2962">
          <cell r="B2962" t="str">
            <v>-</v>
          </cell>
          <cell r="E2962" t="str">
            <v/>
          </cell>
          <cell r="G2962" t="str">
            <v/>
          </cell>
          <cell r="J2962" t="str">
            <v/>
          </cell>
          <cell r="O2962" t="str">
            <v/>
          </cell>
          <cell r="P2962" t="str">
            <v/>
          </cell>
          <cell r="Q2962" t="str">
            <v/>
          </cell>
          <cell r="S2962" t="str">
            <v/>
          </cell>
          <cell r="V2962" t="str">
            <v/>
          </cell>
          <cell r="Z2962" t="str">
            <v/>
          </cell>
          <cell r="AA2962" t="str">
            <v/>
          </cell>
          <cell r="AB2962" t="str">
            <v/>
          </cell>
          <cell r="AC2962" t="str">
            <v/>
          </cell>
          <cell r="AD2962" t="str">
            <v/>
          </cell>
          <cell r="AY2962" t="str">
            <v/>
          </cell>
          <cell r="AZ2962" t="str">
            <v/>
          </cell>
          <cell r="BA2962" t="str">
            <v/>
          </cell>
        </row>
        <row r="2963">
          <cell r="B2963" t="str">
            <v>-</v>
          </cell>
          <cell r="E2963" t="str">
            <v/>
          </cell>
          <cell r="G2963" t="str">
            <v/>
          </cell>
          <cell r="J2963" t="str">
            <v/>
          </cell>
          <cell r="O2963" t="str">
            <v/>
          </cell>
          <cell r="P2963" t="str">
            <v/>
          </cell>
          <cell r="Q2963" t="str">
            <v/>
          </cell>
          <cell r="S2963" t="str">
            <v/>
          </cell>
          <cell r="V2963" t="str">
            <v/>
          </cell>
          <cell r="Z2963" t="str">
            <v/>
          </cell>
          <cell r="AA2963" t="str">
            <v/>
          </cell>
          <cell r="AB2963" t="str">
            <v/>
          </cell>
          <cell r="AC2963" t="str">
            <v/>
          </cell>
          <cell r="AD2963" t="str">
            <v/>
          </cell>
          <cell r="AY2963" t="str">
            <v/>
          </cell>
          <cell r="AZ2963" t="str">
            <v/>
          </cell>
          <cell r="BA2963" t="str">
            <v/>
          </cell>
        </row>
        <row r="2964">
          <cell r="B2964" t="str">
            <v>-</v>
          </cell>
          <cell r="E2964" t="str">
            <v/>
          </cell>
          <cell r="G2964" t="str">
            <v/>
          </cell>
          <cell r="J2964" t="str">
            <v/>
          </cell>
          <cell r="O2964" t="str">
            <v/>
          </cell>
          <cell r="P2964" t="str">
            <v/>
          </cell>
          <cell r="Q2964" t="str">
            <v/>
          </cell>
          <cell r="S2964" t="str">
            <v/>
          </cell>
          <cell r="V2964" t="str">
            <v/>
          </cell>
          <cell r="Z2964" t="str">
            <v/>
          </cell>
          <cell r="AA2964" t="str">
            <v/>
          </cell>
          <cell r="AB2964" t="str">
            <v/>
          </cell>
          <cell r="AC2964" t="str">
            <v/>
          </cell>
          <cell r="AD2964" t="str">
            <v/>
          </cell>
          <cell r="AY2964" t="str">
            <v/>
          </cell>
          <cell r="AZ2964" t="str">
            <v/>
          </cell>
          <cell r="BA2964" t="str">
            <v/>
          </cell>
        </row>
        <row r="2965">
          <cell r="B2965" t="str">
            <v>-</v>
          </cell>
          <cell r="E2965" t="str">
            <v/>
          </cell>
          <cell r="G2965" t="str">
            <v/>
          </cell>
          <cell r="J2965" t="str">
            <v/>
          </cell>
          <cell r="O2965" t="str">
            <v/>
          </cell>
          <cell r="P2965" t="str">
            <v/>
          </cell>
          <cell r="Q2965" t="str">
            <v/>
          </cell>
          <cell r="S2965" t="str">
            <v/>
          </cell>
          <cell r="V2965" t="str">
            <v/>
          </cell>
          <cell r="Z2965" t="str">
            <v/>
          </cell>
          <cell r="AA2965" t="str">
            <v/>
          </cell>
          <cell r="AB2965" t="str">
            <v/>
          </cell>
          <cell r="AC2965" t="str">
            <v/>
          </cell>
          <cell r="AD2965" t="str">
            <v/>
          </cell>
          <cell r="AY2965" t="str">
            <v/>
          </cell>
          <cell r="AZ2965" t="str">
            <v/>
          </cell>
          <cell r="BA2965" t="str">
            <v/>
          </cell>
        </row>
        <row r="2966">
          <cell r="B2966" t="str">
            <v>-</v>
          </cell>
          <cell r="E2966" t="str">
            <v/>
          </cell>
          <cell r="G2966" t="str">
            <v/>
          </cell>
          <cell r="J2966" t="str">
            <v/>
          </cell>
          <cell r="O2966" t="str">
            <v/>
          </cell>
          <cell r="P2966" t="str">
            <v/>
          </cell>
          <cell r="Q2966" t="str">
            <v/>
          </cell>
          <cell r="S2966" t="str">
            <v/>
          </cell>
          <cell r="V2966" t="str">
            <v/>
          </cell>
          <cell r="Z2966" t="str">
            <v/>
          </cell>
          <cell r="AA2966" t="str">
            <v/>
          </cell>
          <cell r="AB2966" t="str">
            <v/>
          </cell>
          <cell r="AC2966" t="str">
            <v/>
          </cell>
          <cell r="AD2966" t="str">
            <v/>
          </cell>
          <cell r="AY2966" t="str">
            <v/>
          </cell>
          <cell r="AZ2966" t="str">
            <v/>
          </cell>
          <cell r="BA2966" t="str">
            <v/>
          </cell>
        </row>
        <row r="2967">
          <cell r="B2967" t="str">
            <v>-</v>
          </cell>
          <cell r="E2967" t="str">
            <v/>
          </cell>
          <cell r="G2967" t="str">
            <v/>
          </cell>
          <cell r="J2967" t="str">
            <v/>
          </cell>
          <cell r="O2967" t="str">
            <v/>
          </cell>
          <cell r="P2967" t="str">
            <v/>
          </cell>
          <cell r="Q2967" t="str">
            <v/>
          </cell>
          <cell r="S2967" t="str">
            <v/>
          </cell>
          <cell r="V2967" t="str">
            <v/>
          </cell>
          <cell r="Z2967" t="str">
            <v/>
          </cell>
          <cell r="AA2967" t="str">
            <v/>
          </cell>
          <cell r="AB2967" t="str">
            <v/>
          </cell>
          <cell r="AC2967" t="str">
            <v/>
          </cell>
          <cell r="AD2967" t="str">
            <v/>
          </cell>
          <cell r="AY2967" t="str">
            <v/>
          </cell>
          <cell r="AZ2967" t="str">
            <v/>
          </cell>
          <cell r="BA2967" t="str">
            <v/>
          </cell>
        </row>
        <row r="2968">
          <cell r="B2968" t="str">
            <v>-</v>
          </cell>
          <cell r="E2968" t="str">
            <v/>
          </cell>
          <cell r="G2968" t="str">
            <v/>
          </cell>
          <cell r="J2968" t="str">
            <v/>
          </cell>
          <cell r="O2968" t="str">
            <v/>
          </cell>
          <cell r="P2968" t="str">
            <v/>
          </cell>
          <cell r="Q2968" t="str">
            <v/>
          </cell>
          <cell r="S2968" t="str">
            <v/>
          </cell>
          <cell r="V2968" t="str">
            <v/>
          </cell>
          <cell r="Z2968" t="str">
            <v/>
          </cell>
          <cell r="AA2968" t="str">
            <v/>
          </cell>
          <cell r="AB2968" t="str">
            <v/>
          </cell>
          <cell r="AC2968" t="str">
            <v/>
          </cell>
          <cell r="AD2968" t="str">
            <v/>
          </cell>
          <cell r="AY2968" t="str">
            <v/>
          </cell>
          <cell r="AZ2968" t="str">
            <v/>
          </cell>
          <cell r="BA2968" t="str">
            <v/>
          </cell>
        </row>
        <row r="2969">
          <cell r="B2969" t="str">
            <v>-</v>
          </cell>
          <cell r="E2969" t="str">
            <v/>
          </cell>
          <cell r="G2969" t="str">
            <v/>
          </cell>
          <cell r="J2969" t="str">
            <v/>
          </cell>
          <cell r="O2969" t="str">
            <v/>
          </cell>
          <cell r="P2969" t="str">
            <v/>
          </cell>
          <cell r="Q2969" t="str">
            <v/>
          </cell>
          <cell r="S2969" t="str">
            <v/>
          </cell>
          <cell r="V2969" t="str">
            <v/>
          </cell>
          <cell r="Z2969" t="str">
            <v/>
          </cell>
          <cell r="AA2969" t="str">
            <v/>
          </cell>
          <cell r="AB2969" t="str">
            <v/>
          </cell>
          <cell r="AC2969" t="str">
            <v/>
          </cell>
          <cell r="AD2969" t="str">
            <v/>
          </cell>
          <cell r="AY2969" t="str">
            <v/>
          </cell>
          <cell r="AZ2969" t="str">
            <v/>
          </cell>
          <cell r="BA2969" t="str">
            <v/>
          </cell>
        </row>
        <row r="2970">
          <cell r="B2970" t="str">
            <v>-</v>
          </cell>
          <cell r="E2970" t="str">
            <v/>
          </cell>
          <cell r="G2970" t="str">
            <v/>
          </cell>
          <cell r="J2970" t="str">
            <v/>
          </cell>
          <cell r="O2970" t="str">
            <v/>
          </cell>
          <cell r="P2970" t="str">
            <v/>
          </cell>
          <cell r="Q2970" t="str">
            <v/>
          </cell>
          <cell r="S2970" t="str">
            <v/>
          </cell>
          <cell r="V2970" t="str">
            <v/>
          </cell>
          <cell r="Z2970" t="str">
            <v/>
          </cell>
          <cell r="AA2970" t="str">
            <v/>
          </cell>
          <cell r="AB2970" t="str">
            <v/>
          </cell>
          <cell r="AC2970" t="str">
            <v/>
          </cell>
          <cell r="AD2970" t="str">
            <v/>
          </cell>
          <cell r="AY2970" t="str">
            <v/>
          </cell>
          <cell r="AZ2970" t="str">
            <v/>
          </cell>
          <cell r="BA2970" t="str">
            <v/>
          </cell>
        </row>
        <row r="2971">
          <cell r="B2971" t="str">
            <v>-</v>
          </cell>
          <cell r="E2971" t="str">
            <v/>
          </cell>
          <cell r="G2971" t="str">
            <v/>
          </cell>
          <cell r="J2971" t="str">
            <v/>
          </cell>
          <cell r="O2971" t="str">
            <v/>
          </cell>
          <cell r="P2971" t="str">
            <v/>
          </cell>
          <cell r="Q2971" t="str">
            <v/>
          </cell>
          <cell r="S2971" t="str">
            <v/>
          </cell>
          <cell r="V2971" t="str">
            <v/>
          </cell>
          <cell r="Z2971" t="str">
            <v/>
          </cell>
          <cell r="AA2971" t="str">
            <v/>
          </cell>
          <cell r="AB2971" t="str">
            <v/>
          </cell>
          <cell r="AC2971" t="str">
            <v/>
          </cell>
          <cell r="AD2971" t="str">
            <v/>
          </cell>
          <cell r="AY2971" t="str">
            <v/>
          </cell>
          <cell r="AZ2971" t="str">
            <v/>
          </cell>
          <cell r="BA2971" t="str">
            <v/>
          </cell>
        </row>
        <row r="2972">
          <cell r="B2972" t="str">
            <v>-</v>
          </cell>
          <cell r="E2972" t="str">
            <v/>
          </cell>
          <cell r="G2972" t="str">
            <v/>
          </cell>
          <cell r="J2972" t="str">
            <v/>
          </cell>
          <cell r="O2972" t="str">
            <v/>
          </cell>
          <cell r="P2972" t="str">
            <v/>
          </cell>
          <cell r="Q2972" t="str">
            <v/>
          </cell>
          <cell r="S2972" t="str">
            <v/>
          </cell>
          <cell r="V2972" t="str">
            <v/>
          </cell>
          <cell r="Z2972" t="str">
            <v/>
          </cell>
          <cell r="AA2972" t="str">
            <v/>
          </cell>
          <cell r="AB2972" t="str">
            <v/>
          </cell>
          <cell r="AC2972" t="str">
            <v/>
          </cell>
          <cell r="AD2972" t="str">
            <v/>
          </cell>
          <cell r="AY2972" t="str">
            <v/>
          </cell>
          <cell r="AZ2972" t="str">
            <v/>
          </cell>
          <cell r="BA2972" t="str">
            <v/>
          </cell>
        </row>
        <row r="2973">
          <cell r="B2973" t="str">
            <v>-</v>
          </cell>
          <cell r="E2973" t="str">
            <v/>
          </cell>
          <cell r="G2973" t="str">
            <v/>
          </cell>
          <cell r="J2973" t="str">
            <v/>
          </cell>
          <cell r="O2973" t="str">
            <v/>
          </cell>
          <cell r="P2973" t="str">
            <v/>
          </cell>
          <cell r="Q2973" t="str">
            <v/>
          </cell>
          <cell r="S2973" t="str">
            <v/>
          </cell>
          <cell r="V2973" t="str">
            <v/>
          </cell>
          <cell r="Z2973" t="str">
            <v/>
          </cell>
          <cell r="AA2973" t="str">
            <v/>
          </cell>
          <cell r="AB2973" t="str">
            <v/>
          </cell>
          <cell r="AC2973" t="str">
            <v/>
          </cell>
          <cell r="AD2973" t="str">
            <v/>
          </cell>
          <cell r="AY2973" t="str">
            <v/>
          </cell>
          <cell r="AZ2973" t="str">
            <v/>
          </cell>
          <cell r="BA2973" t="str">
            <v/>
          </cell>
        </row>
        <row r="2974">
          <cell r="B2974" t="str">
            <v>-</v>
          </cell>
          <cell r="E2974" t="str">
            <v/>
          </cell>
          <cell r="G2974" t="str">
            <v/>
          </cell>
          <cell r="J2974" t="str">
            <v/>
          </cell>
          <cell r="O2974" t="str">
            <v/>
          </cell>
          <cell r="P2974" t="str">
            <v/>
          </cell>
          <cell r="Q2974" t="str">
            <v/>
          </cell>
          <cell r="S2974" t="str">
            <v/>
          </cell>
          <cell r="V2974" t="str">
            <v/>
          </cell>
          <cell r="Z2974" t="str">
            <v/>
          </cell>
          <cell r="AA2974" t="str">
            <v/>
          </cell>
          <cell r="AB2974" t="str">
            <v/>
          </cell>
          <cell r="AC2974" t="str">
            <v/>
          </cell>
          <cell r="AD2974" t="str">
            <v/>
          </cell>
          <cell r="AY2974" t="str">
            <v/>
          </cell>
          <cell r="AZ2974" t="str">
            <v/>
          </cell>
          <cell r="BA2974" t="str">
            <v/>
          </cell>
        </row>
        <row r="2975">
          <cell r="B2975" t="str">
            <v>-</v>
          </cell>
          <cell r="E2975" t="str">
            <v/>
          </cell>
          <cell r="G2975" t="str">
            <v/>
          </cell>
          <cell r="J2975" t="str">
            <v/>
          </cell>
          <cell r="O2975" t="str">
            <v/>
          </cell>
          <cell r="P2975" t="str">
            <v/>
          </cell>
          <cell r="Q2975" t="str">
            <v/>
          </cell>
          <cell r="S2975" t="str">
            <v/>
          </cell>
          <cell r="V2975" t="str">
            <v/>
          </cell>
          <cell r="Z2975" t="str">
            <v/>
          </cell>
          <cell r="AA2975" t="str">
            <v/>
          </cell>
          <cell r="AB2975" t="str">
            <v/>
          </cell>
          <cell r="AC2975" t="str">
            <v/>
          </cell>
          <cell r="AD2975" t="str">
            <v/>
          </cell>
          <cell r="AY2975" t="str">
            <v/>
          </cell>
          <cell r="AZ2975" t="str">
            <v/>
          </cell>
          <cell r="BA2975" t="str">
            <v/>
          </cell>
        </row>
        <row r="2976">
          <cell r="B2976" t="str">
            <v>-</v>
          </cell>
          <cell r="E2976" t="str">
            <v/>
          </cell>
          <cell r="G2976" t="str">
            <v/>
          </cell>
          <cell r="J2976" t="str">
            <v/>
          </cell>
          <cell r="O2976" t="str">
            <v/>
          </cell>
          <cell r="P2976" t="str">
            <v/>
          </cell>
          <cell r="Q2976" t="str">
            <v/>
          </cell>
          <cell r="S2976" t="str">
            <v/>
          </cell>
          <cell r="V2976" t="str">
            <v/>
          </cell>
          <cell r="Z2976" t="str">
            <v/>
          </cell>
          <cell r="AA2976" t="str">
            <v/>
          </cell>
          <cell r="AB2976" t="str">
            <v/>
          </cell>
          <cell r="AC2976" t="str">
            <v/>
          </cell>
          <cell r="AD2976" t="str">
            <v/>
          </cell>
          <cell r="AY2976" t="str">
            <v/>
          </cell>
          <cell r="AZ2976" t="str">
            <v/>
          </cell>
          <cell r="BA2976" t="str">
            <v/>
          </cell>
        </row>
        <row r="2977">
          <cell r="B2977" t="str">
            <v>-</v>
          </cell>
          <cell r="E2977" t="str">
            <v/>
          </cell>
          <cell r="G2977" t="str">
            <v/>
          </cell>
          <cell r="J2977" t="str">
            <v/>
          </cell>
          <cell r="O2977" t="str">
            <v/>
          </cell>
          <cell r="P2977" t="str">
            <v/>
          </cell>
          <cell r="Q2977" t="str">
            <v/>
          </cell>
          <cell r="S2977" t="str">
            <v/>
          </cell>
          <cell r="V2977" t="str">
            <v/>
          </cell>
          <cell r="Z2977" t="str">
            <v/>
          </cell>
          <cell r="AA2977" t="str">
            <v/>
          </cell>
          <cell r="AB2977" t="str">
            <v/>
          </cell>
          <cell r="AC2977" t="str">
            <v/>
          </cell>
          <cell r="AD2977" t="str">
            <v/>
          </cell>
          <cell r="AY2977" t="str">
            <v/>
          </cell>
          <cell r="AZ2977" t="str">
            <v/>
          </cell>
          <cell r="BA2977" t="str">
            <v/>
          </cell>
        </row>
        <row r="2978">
          <cell r="B2978" t="str">
            <v>-</v>
          </cell>
          <cell r="E2978" t="str">
            <v/>
          </cell>
          <cell r="G2978" t="str">
            <v/>
          </cell>
          <cell r="J2978" t="str">
            <v/>
          </cell>
          <cell r="O2978" t="str">
            <v/>
          </cell>
          <cell r="P2978" t="str">
            <v/>
          </cell>
          <cell r="Q2978" t="str">
            <v/>
          </cell>
          <cell r="S2978" t="str">
            <v/>
          </cell>
          <cell r="V2978" t="str">
            <v/>
          </cell>
          <cell r="Z2978" t="str">
            <v/>
          </cell>
          <cell r="AA2978" t="str">
            <v/>
          </cell>
          <cell r="AB2978" t="str">
            <v/>
          </cell>
          <cell r="AC2978" t="str">
            <v/>
          </cell>
          <cell r="AD2978" t="str">
            <v/>
          </cell>
          <cell r="AY2978" t="str">
            <v/>
          </cell>
          <cell r="AZ2978" t="str">
            <v/>
          </cell>
          <cell r="BA2978" t="str">
            <v/>
          </cell>
        </row>
        <row r="2979">
          <cell r="B2979" t="str">
            <v>-</v>
          </cell>
          <cell r="E2979" t="str">
            <v/>
          </cell>
          <cell r="G2979" t="str">
            <v/>
          </cell>
          <cell r="J2979" t="str">
            <v/>
          </cell>
          <cell r="O2979" t="str">
            <v/>
          </cell>
          <cell r="P2979" t="str">
            <v/>
          </cell>
          <cell r="Q2979" t="str">
            <v/>
          </cell>
          <cell r="S2979" t="str">
            <v/>
          </cell>
          <cell r="V2979" t="str">
            <v/>
          </cell>
          <cell r="Z2979" t="str">
            <v/>
          </cell>
          <cell r="AA2979" t="str">
            <v/>
          </cell>
          <cell r="AB2979" t="str">
            <v/>
          </cell>
          <cell r="AC2979" t="str">
            <v/>
          </cell>
          <cell r="AD2979" t="str">
            <v/>
          </cell>
          <cell r="AY2979" t="str">
            <v/>
          </cell>
          <cell r="AZ2979" t="str">
            <v/>
          </cell>
          <cell r="BA2979" t="str">
            <v/>
          </cell>
        </row>
        <row r="2980">
          <cell r="B2980" t="str">
            <v>-</v>
          </cell>
          <cell r="E2980" t="str">
            <v/>
          </cell>
          <cell r="G2980" t="str">
            <v/>
          </cell>
          <cell r="J2980" t="str">
            <v/>
          </cell>
          <cell r="O2980" t="str">
            <v/>
          </cell>
          <cell r="P2980" t="str">
            <v/>
          </cell>
          <cell r="Q2980" t="str">
            <v/>
          </cell>
          <cell r="S2980" t="str">
            <v/>
          </cell>
          <cell r="V2980" t="str">
            <v/>
          </cell>
          <cell r="Z2980" t="str">
            <v/>
          </cell>
          <cell r="AA2980" t="str">
            <v/>
          </cell>
          <cell r="AB2980" t="str">
            <v/>
          </cell>
          <cell r="AC2980" t="str">
            <v/>
          </cell>
          <cell r="AD2980" t="str">
            <v/>
          </cell>
          <cell r="AY2980" t="str">
            <v/>
          </cell>
          <cell r="AZ2980" t="str">
            <v/>
          </cell>
          <cell r="BA2980" t="str">
            <v/>
          </cell>
        </row>
        <row r="2981">
          <cell r="B2981" t="str">
            <v>-</v>
          </cell>
          <cell r="E2981" t="str">
            <v/>
          </cell>
          <cell r="G2981" t="str">
            <v/>
          </cell>
          <cell r="J2981" t="str">
            <v/>
          </cell>
          <cell r="O2981" t="str">
            <v/>
          </cell>
          <cell r="P2981" t="str">
            <v/>
          </cell>
          <cell r="Q2981" t="str">
            <v/>
          </cell>
          <cell r="S2981" t="str">
            <v/>
          </cell>
          <cell r="V2981" t="str">
            <v/>
          </cell>
          <cell r="Z2981" t="str">
            <v/>
          </cell>
          <cell r="AA2981" t="str">
            <v/>
          </cell>
          <cell r="AB2981" t="str">
            <v/>
          </cell>
          <cell r="AC2981" t="str">
            <v/>
          </cell>
          <cell r="AD2981" t="str">
            <v/>
          </cell>
          <cell r="AY2981" t="str">
            <v/>
          </cell>
          <cell r="AZ2981" t="str">
            <v/>
          </cell>
          <cell r="BA2981" t="str">
            <v/>
          </cell>
        </row>
        <row r="2982">
          <cell r="B2982" t="str">
            <v>-</v>
          </cell>
          <cell r="E2982" t="str">
            <v/>
          </cell>
          <cell r="G2982" t="str">
            <v/>
          </cell>
          <cell r="J2982" t="str">
            <v/>
          </cell>
          <cell r="O2982" t="str">
            <v/>
          </cell>
          <cell r="P2982" t="str">
            <v/>
          </cell>
          <cell r="Q2982" t="str">
            <v/>
          </cell>
          <cell r="S2982" t="str">
            <v/>
          </cell>
          <cell r="V2982" t="str">
            <v/>
          </cell>
          <cell r="Z2982" t="str">
            <v/>
          </cell>
          <cell r="AA2982" t="str">
            <v/>
          </cell>
          <cell r="AB2982" t="str">
            <v/>
          </cell>
          <cell r="AC2982" t="str">
            <v/>
          </cell>
          <cell r="AD2982" t="str">
            <v/>
          </cell>
          <cell r="AY2982" t="str">
            <v/>
          </cell>
          <cell r="AZ2982" t="str">
            <v/>
          </cell>
          <cell r="BA2982" t="str">
            <v/>
          </cell>
        </row>
        <row r="2983">
          <cell r="B2983" t="str">
            <v>-</v>
          </cell>
          <cell r="E2983" t="str">
            <v/>
          </cell>
          <cell r="G2983" t="str">
            <v/>
          </cell>
          <cell r="J2983" t="str">
            <v/>
          </cell>
          <cell r="O2983" t="str">
            <v/>
          </cell>
          <cell r="P2983" t="str">
            <v/>
          </cell>
          <cell r="Q2983" t="str">
            <v/>
          </cell>
          <cell r="S2983" t="str">
            <v/>
          </cell>
          <cell r="V2983" t="str">
            <v/>
          </cell>
          <cell r="Z2983" t="str">
            <v/>
          </cell>
          <cell r="AA2983" t="str">
            <v/>
          </cell>
          <cell r="AB2983" t="str">
            <v/>
          </cell>
          <cell r="AC2983" t="str">
            <v/>
          </cell>
          <cell r="AD2983" t="str">
            <v/>
          </cell>
          <cell r="AY2983" t="str">
            <v/>
          </cell>
          <cell r="AZ2983" t="str">
            <v/>
          </cell>
          <cell r="BA2983" t="str">
            <v/>
          </cell>
        </row>
        <row r="2984">
          <cell r="B2984" t="str">
            <v>-</v>
          </cell>
          <cell r="E2984" t="str">
            <v/>
          </cell>
          <cell r="G2984" t="str">
            <v/>
          </cell>
          <cell r="J2984" t="str">
            <v/>
          </cell>
          <cell r="O2984" t="str">
            <v/>
          </cell>
          <cell r="P2984" t="str">
            <v/>
          </cell>
          <cell r="Q2984" t="str">
            <v/>
          </cell>
          <cell r="S2984" t="str">
            <v/>
          </cell>
          <cell r="V2984" t="str">
            <v/>
          </cell>
          <cell r="Z2984" t="str">
            <v/>
          </cell>
          <cell r="AA2984" t="str">
            <v/>
          </cell>
          <cell r="AB2984" t="str">
            <v/>
          </cell>
          <cell r="AC2984" t="str">
            <v/>
          </cell>
          <cell r="AD2984" t="str">
            <v/>
          </cell>
          <cell r="AY2984" t="str">
            <v/>
          </cell>
          <cell r="AZ2984" t="str">
            <v/>
          </cell>
          <cell r="BA2984" t="str">
            <v/>
          </cell>
        </row>
        <row r="2985">
          <cell r="B2985" t="str">
            <v>-</v>
          </cell>
          <cell r="E2985" t="str">
            <v/>
          </cell>
          <cell r="G2985" t="str">
            <v/>
          </cell>
          <cell r="J2985" t="str">
            <v/>
          </cell>
          <cell r="O2985" t="str">
            <v/>
          </cell>
          <cell r="P2985" t="str">
            <v/>
          </cell>
          <cell r="Q2985" t="str">
            <v/>
          </cell>
          <cell r="S2985" t="str">
            <v/>
          </cell>
          <cell r="V2985" t="str">
            <v/>
          </cell>
          <cell r="Z2985" t="str">
            <v/>
          </cell>
          <cell r="AA2985" t="str">
            <v/>
          </cell>
          <cell r="AB2985" t="str">
            <v/>
          </cell>
          <cell r="AC2985" t="str">
            <v/>
          </cell>
          <cell r="AD2985" t="str">
            <v/>
          </cell>
          <cell r="AY2985" t="str">
            <v/>
          </cell>
          <cell r="AZ2985" t="str">
            <v/>
          </cell>
          <cell r="BA2985" t="str">
            <v/>
          </cell>
        </row>
        <row r="2986">
          <cell r="B2986" t="str">
            <v>-</v>
          </cell>
          <cell r="E2986" t="str">
            <v/>
          </cell>
          <cell r="G2986" t="str">
            <v/>
          </cell>
          <cell r="J2986" t="str">
            <v/>
          </cell>
          <cell r="O2986" t="str">
            <v/>
          </cell>
          <cell r="P2986" t="str">
            <v/>
          </cell>
          <cell r="Q2986" t="str">
            <v/>
          </cell>
          <cell r="S2986" t="str">
            <v/>
          </cell>
          <cell r="V2986" t="str">
            <v/>
          </cell>
          <cell r="Z2986" t="str">
            <v/>
          </cell>
          <cell r="AA2986" t="str">
            <v/>
          </cell>
          <cell r="AB2986" t="str">
            <v/>
          </cell>
          <cell r="AC2986" t="str">
            <v/>
          </cell>
          <cell r="AD2986" t="str">
            <v/>
          </cell>
          <cell r="AY2986" t="str">
            <v/>
          </cell>
          <cell r="AZ2986" t="str">
            <v/>
          </cell>
          <cell r="BA2986" t="str">
            <v/>
          </cell>
        </row>
        <row r="2987">
          <cell r="B2987" t="str">
            <v>-</v>
          </cell>
          <cell r="E2987" t="str">
            <v/>
          </cell>
          <cell r="G2987" t="str">
            <v/>
          </cell>
          <cell r="J2987" t="str">
            <v/>
          </cell>
          <cell r="O2987" t="str">
            <v/>
          </cell>
          <cell r="P2987" t="str">
            <v/>
          </cell>
          <cell r="Q2987" t="str">
            <v/>
          </cell>
          <cell r="S2987" t="str">
            <v/>
          </cell>
          <cell r="V2987" t="str">
            <v/>
          </cell>
          <cell r="Z2987" t="str">
            <v/>
          </cell>
          <cell r="AA2987" t="str">
            <v/>
          </cell>
          <cell r="AB2987" t="str">
            <v/>
          </cell>
          <cell r="AC2987" t="str">
            <v/>
          </cell>
          <cell r="AD2987" t="str">
            <v/>
          </cell>
          <cell r="AY2987" t="str">
            <v/>
          </cell>
          <cell r="AZ2987" t="str">
            <v/>
          </cell>
          <cell r="BA2987" t="str">
            <v/>
          </cell>
        </row>
        <row r="2988">
          <cell r="B2988" t="str">
            <v>-</v>
          </cell>
          <cell r="E2988" t="str">
            <v/>
          </cell>
          <cell r="G2988" t="str">
            <v/>
          </cell>
          <cell r="J2988" t="str">
            <v/>
          </cell>
          <cell r="O2988" t="str">
            <v/>
          </cell>
          <cell r="P2988" t="str">
            <v/>
          </cell>
          <cell r="Q2988" t="str">
            <v/>
          </cell>
          <cell r="S2988" t="str">
            <v/>
          </cell>
          <cell r="V2988" t="str">
            <v/>
          </cell>
          <cell r="Z2988" t="str">
            <v/>
          </cell>
          <cell r="AA2988" t="str">
            <v/>
          </cell>
          <cell r="AB2988" t="str">
            <v/>
          </cell>
          <cell r="AC2988" t="str">
            <v/>
          </cell>
          <cell r="AD2988" t="str">
            <v/>
          </cell>
          <cell r="AY2988" t="str">
            <v/>
          </cell>
          <cell r="AZ2988" t="str">
            <v/>
          </cell>
          <cell r="BA2988" t="str">
            <v/>
          </cell>
        </row>
        <row r="2989">
          <cell r="B2989" t="str">
            <v>-</v>
          </cell>
          <cell r="E2989" t="str">
            <v/>
          </cell>
          <cell r="G2989" t="str">
            <v/>
          </cell>
          <cell r="J2989" t="str">
            <v/>
          </cell>
          <cell r="O2989" t="str">
            <v/>
          </cell>
          <cell r="P2989" t="str">
            <v/>
          </cell>
          <cell r="Q2989" t="str">
            <v/>
          </cell>
          <cell r="S2989" t="str">
            <v/>
          </cell>
          <cell r="V2989" t="str">
            <v/>
          </cell>
          <cell r="Z2989" t="str">
            <v/>
          </cell>
          <cell r="AA2989" t="str">
            <v/>
          </cell>
          <cell r="AB2989" t="str">
            <v/>
          </cell>
          <cell r="AC2989" t="str">
            <v/>
          </cell>
          <cell r="AD2989" t="str">
            <v/>
          </cell>
          <cell r="AY2989" t="str">
            <v/>
          </cell>
          <cell r="AZ2989" t="str">
            <v/>
          </cell>
          <cell r="BA2989" t="str">
            <v/>
          </cell>
        </row>
        <row r="2990">
          <cell r="B2990" t="str">
            <v>-</v>
          </cell>
          <cell r="E2990" t="str">
            <v/>
          </cell>
          <cell r="G2990" t="str">
            <v/>
          </cell>
          <cell r="J2990" t="str">
            <v/>
          </cell>
          <cell r="O2990" t="str">
            <v/>
          </cell>
          <cell r="P2990" t="str">
            <v/>
          </cell>
          <cell r="Q2990" t="str">
            <v/>
          </cell>
          <cell r="S2990" t="str">
            <v/>
          </cell>
          <cell r="V2990" t="str">
            <v/>
          </cell>
          <cell r="Z2990" t="str">
            <v/>
          </cell>
          <cell r="AA2990" t="str">
            <v/>
          </cell>
          <cell r="AB2990" t="str">
            <v/>
          </cell>
          <cell r="AC2990" t="str">
            <v/>
          </cell>
          <cell r="AD2990" t="str">
            <v/>
          </cell>
          <cell r="AY2990" t="str">
            <v/>
          </cell>
          <cell r="AZ2990" t="str">
            <v/>
          </cell>
          <cell r="BA2990" t="str">
            <v/>
          </cell>
        </row>
        <row r="2991">
          <cell r="B2991" t="str">
            <v>-</v>
          </cell>
          <cell r="E2991" t="str">
            <v/>
          </cell>
          <cell r="G2991" t="str">
            <v/>
          </cell>
          <cell r="J2991" t="str">
            <v/>
          </cell>
          <cell r="O2991" t="str">
            <v/>
          </cell>
          <cell r="P2991" t="str">
            <v/>
          </cell>
          <cell r="Q2991" t="str">
            <v/>
          </cell>
          <cell r="S2991" t="str">
            <v/>
          </cell>
          <cell r="V2991" t="str">
            <v/>
          </cell>
          <cell r="Z2991" t="str">
            <v/>
          </cell>
          <cell r="AA2991" t="str">
            <v/>
          </cell>
          <cell r="AB2991" t="str">
            <v/>
          </cell>
          <cell r="AC2991" t="str">
            <v/>
          </cell>
          <cell r="AD2991" t="str">
            <v/>
          </cell>
          <cell r="AY2991" t="str">
            <v/>
          </cell>
          <cell r="AZ2991" t="str">
            <v/>
          </cell>
          <cell r="BA2991" t="str">
            <v/>
          </cell>
        </row>
        <row r="2992">
          <cell r="B2992" t="str">
            <v>-</v>
          </cell>
          <cell r="E2992" t="str">
            <v/>
          </cell>
          <cell r="G2992" t="str">
            <v/>
          </cell>
          <cell r="J2992" t="str">
            <v/>
          </cell>
          <cell r="O2992" t="str">
            <v/>
          </cell>
          <cell r="P2992" t="str">
            <v/>
          </cell>
          <cell r="Q2992" t="str">
            <v/>
          </cell>
          <cell r="S2992" t="str">
            <v/>
          </cell>
          <cell r="V2992" t="str">
            <v/>
          </cell>
          <cell r="Z2992" t="str">
            <v/>
          </cell>
          <cell r="AA2992" t="str">
            <v/>
          </cell>
          <cell r="AB2992" t="str">
            <v/>
          </cell>
          <cell r="AC2992" t="str">
            <v/>
          </cell>
          <cell r="AD2992" t="str">
            <v/>
          </cell>
          <cell r="AY2992" t="str">
            <v/>
          </cell>
          <cell r="AZ2992" t="str">
            <v/>
          </cell>
          <cell r="BA2992" t="str">
            <v/>
          </cell>
        </row>
        <row r="2993">
          <cell r="B2993" t="str">
            <v>-</v>
          </cell>
          <cell r="E2993" t="str">
            <v/>
          </cell>
          <cell r="G2993" t="str">
            <v/>
          </cell>
          <cell r="J2993" t="str">
            <v/>
          </cell>
          <cell r="O2993" t="str">
            <v/>
          </cell>
          <cell r="P2993" t="str">
            <v/>
          </cell>
          <cell r="Q2993" t="str">
            <v/>
          </cell>
          <cell r="S2993" t="str">
            <v/>
          </cell>
          <cell r="V2993" t="str">
            <v/>
          </cell>
          <cell r="Z2993" t="str">
            <v/>
          </cell>
          <cell r="AA2993" t="str">
            <v/>
          </cell>
          <cell r="AB2993" t="str">
            <v/>
          </cell>
          <cell r="AC2993" t="str">
            <v/>
          </cell>
          <cell r="AD2993" t="str">
            <v/>
          </cell>
          <cell r="AY2993" t="str">
            <v/>
          </cell>
          <cell r="AZ2993" t="str">
            <v/>
          </cell>
          <cell r="BA2993" t="str">
            <v/>
          </cell>
        </row>
        <row r="2994">
          <cell r="B2994" t="str">
            <v>-</v>
          </cell>
          <cell r="E2994" t="str">
            <v/>
          </cell>
          <cell r="G2994" t="str">
            <v/>
          </cell>
          <cell r="J2994" t="str">
            <v/>
          </cell>
          <cell r="O2994" t="str">
            <v/>
          </cell>
          <cell r="P2994" t="str">
            <v/>
          </cell>
          <cell r="Q2994" t="str">
            <v/>
          </cell>
          <cell r="S2994" t="str">
            <v/>
          </cell>
          <cell r="V2994" t="str">
            <v/>
          </cell>
          <cell r="Z2994" t="str">
            <v/>
          </cell>
          <cell r="AA2994" t="str">
            <v/>
          </cell>
          <cell r="AB2994" t="str">
            <v/>
          </cell>
          <cell r="AC2994" t="str">
            <v/>
          </cell>
          <cell r="AD2994" t="str">
            <v/>
          </cell>
          <cell r="AY2994" t="str">
            <v/>
          </cell>
          <cell r="AZ2994" t="str">
            <v/>
          </cell>
          <cell r="BA2994" t="str">
            <v/>
          </cell>
        </row>
        <row r="2995">
          <cell r="B2995" t="str">
            <v>-</v>
          </cell>
          <cell r="E2995" t="str">
            <v/>
          </cell>
          <cell r="G2995" t="str">
            <v/>
          </cell>
          <cell r="J2995" t="str">
            <v/>
          </cell>
          <cell r="O2995" t="str">
            <v/>
          </cell>
          <cell r="P2995" t="str">
            <v/>
          </cell>
          <cell r="Q2995" t="str">
            <v/>
          </cell>
          <cell r="S2995" t="str">
            <v/>
          </cell>
          <cell r="V2995" t="str">
            <v/>
          </cell>
          <cell r="Z2995" t="str">
            <v/>
          </cell>
          <cell r="AA2995" t="str">
            <v/>
          </cell>
          <cell r="AB2995" t="str">
            <v/>
          </cell>
          <cell r="AC2995" t="str">
            <v/>
          </cell>
          <cell r="AD2995" t="str">
            <v/>
          </cell>
          <cell r="AY2995" t="str">
            <v/>
          </cell>
          <cell r="AZ2995" t="str">
            <v/>
          </cell>
          <cell r="BA2995" t="str">
            <v/>
          </cell>
        </row>
        <row r="2996">
          <cell r="B2996" t="str">
            <v>-</v>
          </cell>
          <cell r="E2996" t="str">
            <v/>
          </cell>
          <cell r="G2996" t="str">
            <v/>
          </cell>
          <cell r="J2996" t="str">
            <v/>
          </cell>
          <cell r="O2996" t="str">
            <v/>
          </cell>
          <cell r="P2996" t="str">
            <v/>
          </cell>
          <cell r="Q2996" t="str">
            <v/>
          </cell>
          <cell r="S2996" t="str">
            <v/>
          </cell>
          <cell r="V2996" t="str">
            <v/>
          </cell>
          <cell r="Z2996" t="str">
            <v/>
          </cell>
          <cell r="AA2996" t="str">
            <v/>
          </cell>
          <cell r="AB2996" t="str">
            <v/>
          </cell>
          <cell r="AC2996" t="str">
            <v/>
          </cell>
          <cell r="AD2996" t="str">
            <v/>
          </cell>
          <cell r="AY2996" t="str">
            <v/>
          </cell>
          <cell r="AZ2996" t="str">
            <v/>
          </cell>
          <cell r="BA2996" t="str">
            <v/>
          </cell>
        </row>
        <row r="2997">
          <cell r="B2997" t="str">
            <v>-</v>
          </cell>
          <cell r="E2997" t="str">
            <v/>
          </cell>
          <cell r="G2997" t="str">
            <v/>
          </cell>
          <cell r="J2997" t="str">
            <v/>
          </cell>
          <cell r="O2997" t="str">
            <v/>
          </cell>
          <cell r="P2997" t="str">
            <v/>
          </cell>
          <cell r="Q2997" t="str">
            <v/>
          </cell>
          <cell r="S2997" t="str">
            <v/>
          </cell>
          <cell r="V2997" t="str">
            <v/>
          </cell>
          <cell r="Z2997" t="str">
            <v/>
          </cell>
          <cell r="AA2997" t="str">
            <v/>
          </cell>
          <cell r="AB2997" t="str">
            <v/>
          </cell>
          <cell r="AC2997" t="str">
            <v/>
          </cell>
          <cell r="AD2997" t="str">
            <v/>
          </cell>
          <cell r="AY2997" t="str">
            <v/>
          </cell>
          <cell r="AZ2997" t="str">
            <v/>
          </cell>
          <cell r="BA2997" t="str">
            <v/>
          </cell>
        </row>
        <row r="2998">
          <cell r="B2998" t="str">
            <v>-</v>
          </cell>
          <cell r="E2998" t="str">
            <v/>
          </cell>
          <cell r="G2998" t="str">
            <v/>
          </cell>
          <cell r="J2998" t="str">
            <v/>
          </cell>
          <cell r="O2998" t="str">
            <v/>
          </cell>
          <cell r="P2998" t="str">
            <v/>
          </cell>
          <cell r="Q2998" t="str">
            <v/>
          </cell>
          <cell r="S2998" t="str">
            <v/>
          </cell>
          <cell r="V2998" t="str">
            <v/>
          </cell>
          <cell r="Z2998" t="str">
            <v/>
          </cell>
          <cell r="AA2998" t="str">
            <v/>
          </cell>
          <cell r="AB2998" t="str">
            <v/>
          </cell>
          <cell r="AC2998" t="str">
            <v/>
          </cell>
          <cell r="AD2998" t="str">
            <v/>
          </cell>
          <cell r="AY2998" t="str">
            <v/>
          </cell>
          <cell r="AZ2998" t="str">
            <v/>
          </cell>
          <cell r="BA2998" t="str">
            <v/>
          </cell>
        </row>
        <row r="2999">
          <cell r="B2999" t="str">
            <v>-</v>
          </cell>
          <cell r="E2999" t="str">
            <v/>
          </cell>
          <cell r="G2999" t="str">
            <v/>
          </cell>
          <cell r="J2999" t="str">
            <v/>
          </cell>
          <cell r="O2999" t="str">
            <v/>
          </cell>
          <cell r="P2999" t="str">
            <v/>
          </cell>
          <cell r="Q2999" t="str">
            <v/>
          </cell>
          <cell r="S2999" t="str">
            <v/>
          </cell>
          <cell r="V2999" t="str">
            <v/>
          </cell>
          <cell r="Z2999" t="str">
            <v/>
          </cell>
          <cell r="AA2999" t="str">
            <v/>
          </cell>
          <cell r="AB2999" t="str">
            <v/>
          </cell>
          <cell r="AC2999" t="str">
            <v/>
          </cell>
          <cell r="AD2999" t="str">
            <v/>
          </cell>
          <cell r="AY2999" t="str">
            <v/>
          </cell>
          <cell r="AZ2999" t="str">
            <v/>
          </cell>
          <cell r="BA2999" t="str">
            <v/>
          </cell>
        </row>
        <row r="3000">
          <cell r="B3000" t="str">
            <v>-</v>
          </cell>
          <cell r="E3000" t="str">
            <v/>
          </cell>
          <cell r="G3000" t="str">
            <v/>
          </cell>
          <cell r="J3000" t="str">
            <v/>
          </cell>
          <cell r="O3000" t="str">
            <v/>
          </cell>
          <cell r="P3000" t="str">
            <v/>
          </cell>
          <cell r="Q3000" t="str">
            <v/>
          </cell>
          <cell r="S3000" t="str">
            <v/>
          </cell>
          <cell r="V3000" t="str">
            <v/>
          </cell>
          <cell r="Z3000" t="str">
            <v/>
          </cell>
          <cell r="AA3000" t="str">
            <v/>
          </cell>
          <cell r="AB3000" t="str">
            <v/>
          </cell>
          <cell r="AC3000" t="str">
            <v/>
          </cell>
          <cell r="AD3000" t="str">
            <v/>
          </cell>
          <cell r="AY3000" t="str">
            <v/>
          </cell>
          <cell r="AZ3000" t="str">
            <v/>
          </cell>
          <cell r="BA3000" t="str">
            <v/>
          </cell>
        </row>
        <row r="3001">
          <cell r="B3001" t="str">
            <v>-</v>
          </cell>
          <cell r="E3001" t="str">
            <v/>
          </cell>
          <cell r="G3001" t="str">
            <v/>
          </cell>
          <cell r="J3001" t="str">
            <v/>
          </cell>
          <cell r="O3001" t="str">
            <v/>
          </cell>
          <cell r="P3001" t="str">
            <v/>
          </cell>
          <cell r="Q3001" t="str">
            <v/>
          </cell>
          <cell r="S3001" t="str">
            <v/>
          </cell>
          <cell r="V3001" t="str">
            <v/>
          </cell>
          <cell r="Z3001" t="str">
            <v/>
          </cell>
          <cell r="AA3001" t="str">
            <v/>
          </cell>
          <cell r="AB3001" t="str">
            <v/>
          </cell>
          <cell r="AC3001" t="str">
            <v/>
          </cell>
          <cell r="AD3001" t="str">
            <v/>
          </cell>
          <cell r="AY3001" t="str">
            <v/>
          </cell>
          <cell r="AZ3001" t="str">
            <v/>
          </cell>
          <cell r="BA3001" t="str">
            <v/>
          </cell>
        </row>
        <row r="3002">
          <cell r="B3002" t="str">
            <v>-</v>
          </cell>
          <cell r="E3002" t="str">
            <v/>
          </cell>
          <cell r="G3002" t="str">
            <v/>
          </cell>
          <cell r="J3002" t="str">
            <v/>
          </cell>
          <cell r="O3002" t="str">
            <v/>
          </cell>
          <cell r="P3002" t="str">
            <v/>
          </cell>
          <cell r="Q3002" t="str">
            <v/>
          </cell>
          <cell r="S3002" t="str">
            <v/>
          </cell>
          <cell r="V3002" t="str">
            <v/>
          </cell>
          <cell r="Z3002" t="str">
            <v/>
          </cell>
          <cell r="AA3002" t="str">
            <v/>
          </cell>
          <cell r="AB3002" t="str">
            <v/>
          </cell>
          <cell r="AC3002" t="str">
            <v/>
          </cell>
          <cell r="AD3002" t="str">
            <v/>
          </cell>
          <cell r="AY3002" t="str">
            <v/>
          </cell>
          <cell r="AZ3002" t="str">
            <v/>
          </cell>
          <cell r="BA3002" t="str">
            <v/>
          </cell>
        </row>
        <row r="3003">
          <cell r="B3003" t="str">
            <v>-</v>
          </cell>
          <cell r="E3003" t="str">
            <v/>
          </cell>
          <cell r="G3003" t="str">
            <v/>
          </cell>
          <cell r="J3003" t="str">
            <v/>
          </cell>
          <cell r="O3003" t="str">
            <v/>
          </cell>
          <cell r="P3003" t="str">
            <v/>
          </cell>
          <cell r="Q3003" t="str">
            <v/>
          </cell>
          <cell r="S3003" t="str">
            <v/>
          </cell>
          <cell r="V3003" t="str">
            <v/>
          </cell>
          <cell r="Z3003" t="str">
            <v/>
          </cell>
          <cell r="AA3003" t="str">
            <v/>
          </cell>
          <cell r="AB3003" t="str">
            <v/>
          </cell>
          <cell r="AC3003" t="str">
            <v/>
          </cell>
          <cell r="AD3003" t="str">
            <v/>
          </cell>
          <cell r="AY3003" t="str">
            <v/>
          </cell>
          <cell r="AZ3003" t="str">
            <v/>
          </cell>
          <cell r="BA3003" t="str">
            <v/>
          </cell>
        </row>
        <row r="3004">
          <cell r="B3004" t="str">
            <v>-</v>
          </cell>
          <cell r="E3004" t="str">
            <v/>
          </cell>
          <cell r="G3004" t="str">
            <v/>
          </cell>
          <cell r="J3004" t="str">
            <v/>
          </cell>
          <cell r="O3004" t="str">
            <v/>
          </cell>
          <cell r="P3004" t="str">
            <v/>
          </cell>
          <cell r="Q3004" t="str">
            <v/>
          </cell>
          <cell r="S3004" t="str">
            <v/>
          </cell>
          <cell r="V3004" t="str">
            <v/>
          </cell>
          <cell r="Z3004" t="str">
            <v/>
          </cell>
          <cell r="AA3004" t="str">
            <v/>
          </cell>
          <cell r="AB3004" t="str">
            <v/>
          </cell>
          <cell r="AC3004" t="str">
            <v/>
          </cell>
          <cell r="AD3004" t="str">
            <v/>
          </cell>
          <cell r="AY3004" t="str">
            <v/>
          </cell>
          <cell r="AZ3004" t="str">
            <v/>
          </cell>
          <cell r="BA3004" t="str">
            <v/>
          </cell>
        </row>
        <row r="3005">
          <cell r="B3005" t="str">
            <v>-</v>
          </cell>
          <cell r="E3005" t="str">
            <v/>
          </cell>
          <cell r="G3005" t="str">
            <v/>
          </cell>
          <cell r="J3005" t="str">
            <v/>
          </cell>
          <cell r="O3005" t="str">
            <v/>
          </cell>
          <cell r="P3005" t="str">
            <v/>
          </cell>
          <cell r="Q3005" t="str">
            <v/>
          </cell>
          <cell r="S3005" t="str">
            <v/>
          </cell>
          <cell r="V3005" t="str">
            <v/>
          </cell>
          <cell r="Z3005" t="str">
            <v/>
          </cell>
          <cell r="AA3005" t="str">
            <v/>
          </cell>
          <cell r="AB3005" t="str">
            <v/>
          </cell>
          <cell r="AC3005" t="str">
            <v/>
          </cell>
          <cell r="AD3005" t="str">
            <v/>
          </cell>
          <cell r="AY3005" t="str">
            <v/>
          </cell>
          <cell r="AZ3005" t="str">
            <v/>
          </cell>
          <cell r="BA3005" t="str">
            <v/>
          </cell>
        </row>
        <row r="3006">
          <cell r="B3006" t="str">
            <v>-</v>
          </cell>
          <cell r="E3006" t="str">
            <v/>
          </cell>
          <cell r="G3006" t="str">
            <v/>
          </cell>
          <cell r="J3006" t="str">
            <v/>
          </cell>
          <cell r="O3006" t="str">
            <v/>
          </cell>
          <cell r="P3006" t="str">
            <v/>
          </cell>
          <cell r="Q3006" t="str">
            <v/>
          </cell>
          <cell r="S3006" t="str">
            <v/>
          </cell>
          <cell r="V3006" t="str">
            <v/>
          </cell>
          <cell r="Z3006" t="str">
            <v/>
          </cell>
          <cell r="AA3006" t="str">
            <v/>
          </cell>
          <cell r="AB3006" t="str">
            <v/>
          </cell>
          <cell r="AC3006" t="str">
            <v/>
          </cell>
          <cell r="AD3006" t="str">
            <v/>
          </cell>
          <cell r="AY3006" t="str">
            <v/>
          </cell>
          <cell r="AZ3006" t="str">
            <v/>
          </cell>
          <cell r="BA3006" t="str">
            <v/>
          </cell>
        </row>
        <row r="3007">
          <cell r="B3007" t="str">
            <v>-</v>
          </cell>
          <cell r="E3007" t="str">
            <v/>
          </cell>
          <cell r="G3007" t="str">
            <v/>
          </cell>
          <cell r="J3007" t="str">
            <v/>
          </cell>
          <cell r="O3007" t="str">
            <v/>
          </cell>
          <cell r="P3007" t="str">
            <v/>
          </cell>
          <cell r="Q3007" t="str">
            <v/>
          </cell>
          <cell r="S3007" t="str">
            <v/>
          </cell>
          <cell r="V3007" t="str">
            <v/>
          </cell>
          <cell r="Z3007" t="str">
            <v/>
          </cell>
          <cell r="AA3007" t="str">
            <v/>
          </cell>
          <cell r="AB3007" t="str">
            <v/>
          </cell>
          <cell r="AC3007" t="str">
            <v/>
          </cell>
          <cell r="AD3007" t="str">
            <v/>
          </cell>
          <cell r="AY3007" t="str">
            <v/>
          </cell>
          <cell r="AZ3007" t="str">
            <v/>
          </cell>
          <cell r="BA3007" t="str">
            <v/>
          </cell>
        </row>
        <row r="3008">
          <cell r="B3008" t="str">
            <v>-</v>
          </cell>
          <cell r="E3008" t="str">
            <v/>
          </cell>
          <cell r="G3008" t="str">
            <v/>
          </cell>
          <cell r="J3008" t="str">
            <v/>
          </cell>
          <cell r="O3008" t="str">
            <v/>
          </cell>
          <cell r="P3008" t="str">
            <v/>
          </cell>
          <cell r="Q3008" t="str">
            <v/>
          </cell>
          <cell r="S3008" t="str">
            <v/>
          </cell>
          <cell r="V3008" t="str">
            <v/>
          </cell>
          <cell r="Z3008" t="str">
            <v/>
          </cell>
          <cell r="AA3008" t="str">
            <v/>
          </cell>
          <cell r="AB3008" t="str">
            <v/>
          </cell>
          <cell r="AC3008" t="str">
            <v/>
          </cell>
          <cell r="AD3008" t="str">
            <v/>
          </cell>
          <cell r="AY3008" t="str">
            <v/>
          </cell>
          <cell r="AZ3008" t="str">
            <v/>
          </cell>
          <cell r="BA3008" t="str">
            <v/>
          </cell>
        </row>
        <row r="3009">
          <cell r="B3009" t="str">
            <v>-</v>
          </cell>
          <cell r="E3009" t="str">
            <v/>
          </cell>
          <cell r="G3009" t="str">
            <v/>
          </cell>
          <cell r="J3009" t="str">
            <v/>
          </cell>
          <cell r="O3009" t="str">
            <v/>
          </cell>
          <cell r="P3009" t="str">
            <v/>
          </cell>
          <cell r="Q3009" t="str">
            <v/>
          </cell>
          <cell r="S3009" t="str">
            <v/>
          </cell>
          <cell r="V3009" t="str">
            <v/>
          </cell>
          <cell r="Z3009" t="str">
            <v/>
          </cell>
          <cell r="AA3009" t="str">
            <v/>
          </cell>
          <cell r="AB3009" t="str">
            <v/>
          </cell>
          <cell r="AC3009" t="str">
            <v/>
          </cell>
          <cell r="AD3009" t="str">
            <v/>
          </cell>
          <cell r="AY3009" t="str">
            <v/>
          </cell>
          <cell r="AZ3009" t="str">
            <v/>
          </cell>
          <cell r="BA3009" t="str">
            <v/>
          </cell>
        </row>
        <row r="3010">
          <cell r="B3010" t="str">
            <v>-</v>
          </cell>
          <cell r="E3010" t="str">
            <v/>
          </cell>
          <cell r="G3010" t="str">
            <v/>
          </cell>
          <cell r="J3010" t="str">
            <v/>
          </cell>
          <cell r="O3010" t="str">
            <v/>
          </cell>
          <cell r="P3010" t="str">
            <v/>
          </cell>
          <cell r="Q3010" t="str">
            <v/>
          </cell>
          <cell r="S3010" t="str">
            <v/>
          </cell>
          <cell r="V3010" t="str">
            <v/>
          </cell>
          <cell r="Z3010" t="str">
            <v/>
          </cell>
          <cell r="AA3010" t="str">
            <v/>
          </cell>
          <cell r="AB3010" t="str">
            <v/>
          </cell>
          <cell r="AC3010" t="str">
            <v/>
          </cell>
          <cell r="AD3010" t="str">
            <v/>
          </cell>
          <cell r="AY3010" t="str">
            <v/>
          </cell>
          <cell r="AZ3010" t="str">
            <v/>
          </cell>
          <cell r="BA3010" t="str">
            <v/>
          </cell>
        </row>
        <row r="3011">
          <cell r="B3011" t="str">
            <v>-</v>
          </cell>
          <cell r="E3011" t="str">
            <v/>
          </cell>
          <cell r="G3011" t="str">
            <v/>
          </cell>
          <cell r="J3011" t="str">
            <v/>
          </cell>
          <cell r="O3011" t="str">
            <v/>
          </cell>
          <cell r="P3011" t="str">
            <v/>
          </cell>
          <cell r="Q3011" t="str">
            <v/>
          </cell>
          <cell r="S3011" t="str">
            <v/>
          </cell>
          <cell r="V3011" t="str">
            <v/>
          </cell>
          <cell r="Z3011" t="str">
            <v/>
          </cell>
          <cell r="AA3011" t="str">
            <v/>
          </cell>
          <cell r="AB3011" t="str">
            <v/>
          </cell>
          <cell r="AC3011" t="str">
            <v/>
          </cell>
          <cell r="AD3011" t="str">
            <v/>
          </cell>
          <cell r="AY3011" t="str">
            <v/>
          </cell>
          <cell r="AZ3011" t="str">
            <v/>
          </cell>
          <cell r="BA3011" t="str">
            <v/>
          </cell>
        </row>
        <row r="3012">
          <cell r="B3012" t="str">
            <v>-</v>
          </cell>
          <cell r="E3012" t="str">
            <v/>
          </cell>
          <cell r="G3012" t="str">
            <v/>
          </cell>
          <cell r="J3012" t="str">
            <v/>
          </cell>
          <cell r="O3012" t="str">
            <v/>
          </cell>
          <cell r="P3012" t="str">
            <v/>
          </cell>
          <cell r="Q3012" t="str">
            <v/>
          </cell>
          <cell r="S3012" t="str">
            <v/>
          </cell>
          <cell r="V3012" t="str">
            <v/>
          </cell>
          <cell r="Z3012" t="str">
            <v/>
          </cell>
          <cell r="AA3012" t="str">
            <v/>
          </cell>
          <cell r="AB3012" t="str">
            <v/>
          </cell>
          <cell r="AC3012" t="str">
            <v/>
          </cell>
          <cell r="AD3012" t="str">
            <v/>
          </cell>
          <cell r="AY3012" t="str">
            <v/>
          </cell>
          <cell r="AZ3012" t="str">
            <v/>
          </cell>
          <cell r="BA3012" t="str">
            <v/>
          </cell>
        </row>
        <row r="3013">
          <cell r="B3013" t="str">
            <v>-</v>
          </cell>
          <cell r="E3013" t="str">
            <v/>
          </cell>
          <cell r="G3013" t="str">
            <v/>
          </cell>
          <cell r="J3013" t="str">
            <v/>
          </cell>
          <cell r="O3013" t="str">
            <v/>
          </cell>
          <cell r="P3013" t="str">
            <v/>
          </cell>
          <cell r="Q3013" t="str">
            <v/>
          </cell>
          <cell r="S3013" t="str">
            <v/>
          </cell>
          <cell r="V3013" t="str">
            <v/>
          </cell>
          <cell r="Z3013" t="str">
            <v/>
          </cell>
          <cell r="AA3013" t="str">
            <v/>
          </cell>
          <cell r="AB3013" t="str">
            <v/>
          </cell>
          <cell r="AC3013" t="str">
            <v/>
          </cell>
          <cell r="AD3013" t="str">
            <v/>
          </cell>
          <cell r="AY3013" t="str">
            <v/>
          </cell>
          <cell r="AZ3013" t="str">
            <v/>
          </cell>
          <cell r="BA3013" t="str">
            <v/>
          </cell>
        </row>
        <row r="3014">
          <cell r="B3014" t="str">
            <v>-</v>
          </cell>
          <cell r="E3014" t="str">
            <v/>
          </cell>
          <cell r="G3014" t="str">
            <v/>
          </cell>
          <cell r="J3014" t="str">
            <v/>
          </cell>
          <cell r="O3014" t="str">
            <v/>
          </cell>
          <cell r="P3014" t="str">
            <v/>
          </cell>
          <cell r="Q3014" t="str">
            <v/>
          </cell>
          <cell r="S3014" t="str">
            <v/>
          </cell>
          <cell r="V3014" t="str">
            <v/>
          </cell>
          <cell r="Z3014" t="str">
            <v/>
          </cell>
          <cell r="AA3014" t="str">
            <v/>
          </cell>
          <cell r="AB3014" t="str">
            <v/>
          </cell>
          <cell r="AC3014" t="str">
            <v/>
          </cell>
          <cell r="AD3014" t="str">
            <v/>
          </cell>
          <cell r="AY3014" t="str">
            <v/>
          </cell>
          <cell r="AZ3014" t="str">
            <v/>
          </cell>
          <cell r="BA3014" t="str">
            <v/>
          </cell>
        </row>
        <row r="3015">
          <cell r="B3015" t="str">
            <v>-</v>
          </cell>
          <cell r="E3015" t="str">
            <v/>
          </cell>
          <cell r="G3015" t="str">
            <v/>
          </cell>
          <cell r="J3015" t="str">
            <v/>
          </cell>
          <cell r="O3015" t="str">
            <v/>
          </cell>
          <cell r="P3015" t="str">
            <v/>
          </cell>
          <cell r="Q3015" t="str">
            <v/>
          </cell>
          <cell r="S3015" t="str">
            <v/>
          </cell>
          <cell r="V3015" t="str">
            <v/>
          </cell>
          <cell r="Z3015" t="str">
            <v/>
          </cell>
          <cell r="AA3015" t="str">
            <v/>
          </cell>
          <cell r="AB3015" t="str">
            <v/>
          </cell>
          <cell r="AC3015" t="str">
            <v/>
          </cell>
          <cell r="AD3015" t="str">
            <v/>
          </cell>
          <cell r="AY3015" t="str">
            <v/>
          </cell>
          <cell r="AZ3015" t="str">
            <v/>
          </cell>
          <cell r="BA3015" t="str">
            <v/>
          </cell>
        </row>
        <row r="3016">
          <cell r="B3016" t="str">
            <v>-</v>
          </cell>
          <cell r="E3016" t="str">
            <v/>
          </cell>
          <cell r="G3016" t="str">
            <v/>
          </cell>
          <cell r="J3016" t="str">
            <v/>
          </cell>
          <cell r="O3016" t="str">
            <v/>
          </cell>
          <cell r="P3016" t="str">
            <v/>
          </cell>
          <cell r="Q3016" t="str">
            <v/>
          </cell>
          <cell r="S3016" t="str">
            <v/>
          </cell>
          <cell r="V3016" t="str">
            <v/>
          </cell>
          <cell r="Z3016" t="str">
            <v/>
          </cell>
          <cell r="AA3016" t="str">
            <v/>
          </cell>
          <cell r="AB3016" t="str">
            <v/>
          </cell>
          <cell r="AC3016" t="str">
            <v/>
          </cell>
          <cell r="AD3016" t="str">
            <v/>
          </cell>
          <cell r="AY3016" t="str">
            <v/>
          </cell>
          <cell r="AZ3016" t="str">
            <v/>
          </cell>
          <cell r="BA3016" t="str">
            <v/>
          </cell>
        </row>
        <row r="3017">
          <cell r="B3017" t="str">
            <v>-</v>
          </cell>
          <cell r="E3017" t="str">
            <v/>
          </cell>
          <cell r="G3017" t="str">
            <v/>
          </cell>
          <cell r="J3017" t="str">
            <v/>
          </cell>
          <cell r="O3017" t="str">
            <v/>
          </cell>
          <cell r="P3017" t="str">
            <v/>
          </cell>
          <cell r="Q3017" t="str">
            <v/>
          </cell>
          <cell r="S3017" t="str">
            <v/>
          </cell>
          <cell r="V3017" t="str">
            <v/>
          </cell>
          <cell r="Z3017" t="str">
            <v/>
          </cell>
          <cell r="AA3017" t="str">
            <v/>
          </cell>
          <cell r="AB3017" t="str">
            <v/>
          </cell>
          <cell r="AC3017" t="str">
            <v/>
          </cell>
          <cell r="AD3017" t="str">
            <v/>
          </cell>
          <cell r="AY3017" t="str">
            <v/>
          </cell>
          <cell r="AZ3017" t="str">
            <v/>
          </cell>
          <cell r="BA3017" t="str">
            <v/>
          </cell>
        </row>
        <row r="3018">
          <cell r="B3018" t="str">
            <v>-</v>
          </cell>
          <cell r="E3018" t="str">
            <v/>
          </cell>
          <cell r="G3018" t="str">
            <v/>
          </cell>
          <cell r="J3018" t="str">
            <v/>
          </cell>
          <cell r="O3018" t="str">
            <v/>
          </cell>
          <cell r="P3018" t="str">
            <v/>
          </cell>
          <cell r="Q3018" t="str">
            <v/>
          </cell>
          <cell r="S3018" t="str">
            <v/>
          </cell>
          <cell r="V3018" t="str">
            <v/>
          </cell>
          <cell r="Z3018" t="str">
            <v/>
          </cell>
          <cell r="AA3018" t="str">
            <v/>
          </cell>
          <cell r="AB3018" t="str">
            <v/>
          </cell>
          <cell r="AC3018" t="str">
            <v/>
          </cell>
          <cell r="AD3018" t="str">
            <v/>
          </cell>
          <cell r="AY3018" t="str">
            <v/>
          </cell>
          <cell r="AZ3018" t="str">
            <v/>
          </cell>
          <cell r="BA3018" t="str">
            <v/>
          </cell>
        </row>
        <row r="3019">
          <cell r="B3019" t="str">
            <v>-</v>
          </cell>
          <cell r="E3019" t="str">
            <v/>
          </cell>
          <cell r="G3019" t="str">
            <v/>
          </cell>
          <cell r="J3019" t="str">
            <v/>
          </cell>
          <cell r="O3019" t="str">
            <v/>
          </cell>
          <cell r="P3019" t="str">
            <v/>
          </cell>
          <cell r="Q3019" t="str">
            <v/>
          </cell>
          <cell r="S3019" t="str">
            <v/>
          </cell>
          <cell r="V3019" t="str">
            <v/>
          </cell>
          <cell r="Z3019" t="str">
            <v/>
          </cell>
          <cell r="AA3019" t="str">
            <v/>
          </cell>
          <cell r="AB3019" t="str">
            <v/>
          </cell>
          <cell r="AC3019" t="str">
            <v/>
          </cell>
          <cell r="AD3019" t="str">
            <v/>
          </cell>
          <cell r="AY3019" t="str">
            <v/>
          </cell>
          <cell r="AZ3019" t="str">
            <v/>
          </cell>
          <cell r="BA3019" t="str">
            <v/>
          </cell>
        </row>
        <row r="3020">
          <cell r="B3020" t="str">
            <v>-</v>
          </cell>
          <cell r="E3020" t="str">
            <v/>
          </cell>
          <cell r="G3020" t="str">
            <v/>
          </cell>
          <cell r="J3020" t="str">
            <v/>
          </cell>
          <cell r="O3020" t="str">
            <v/>
          </cell>
          <cell r="P3020" t="str">
            <v/>
          </cell>
          <cell r="Q3020" t="str">
            <v/>
          </cell>
          <cell r="S3020" t="str">
            <v/>
          </cell>
          <cell r="V3020" t="str">
            <v/>
          </cell>
          <cell r="Z3020" t="str">
            <v/>
          </cell>
          <cell r="AA3020" t="str">
            <v/>
          </cell>
          <cell r="AB3020" t="str">
            <v/>
          </cell>
          <cell r="AC3020" t="str">
            <v/>
          </cell>
          <cell r="AD3020" t="str">
            <v/>
          </cell>
          <cell r="AY3020" t="str">
            <v/>
          </cell>
          <cell r="AZ3020" t="str">
            <v/>
          </cell>
          <cell r="BA3020" t="str">
            <v/>
          </cell>
        </row>
        <row r="3021">
          <cell r="B3021" t="str">
            <v>-</v>
          </cell>
          <cell r="E3021" t="str">
            <v/>
          </cell>
          <cell r="G3021" t="str">
            <v/>
          </cell>
          <cell r="J3021" t="str">
            <v/>
          </cell>
          <cell r="O3021" t="str">
            <v/>
          </cell>
          <cell r="P3021" t="str">
            <v/>
          </cell>
          <cell r="Q3021" t="str">
            <v/>
          </cell>
          <cell r="S3021" t="str">
            <v/>
          </cell>
          <cell r="V3021" t="str">
            <v/>
          </cell>
          <cell r="Z3021" t="str">
            <v/>
          </cell>
          <cell r="AA3021" t="str">
            <v/>
          </cell>
          <cell r="AB3021" t="str">
            <v/>
          </cell>
          <cell r="AC3021" t="str">
            <v/>
          </cell>
          <cell r="AD3021" t="str">
            <v/>
          </cell>
          <cell r="AY3021" t="str">
            <v/>
          </cell>
          <cell r="AZ3021" t="str">
            <v/>
          </cell>
          <cell r="BA3021" t="str">
            <v/>
          </cell>
        </row>
        <row r="3022">
          <cell r="B3022" t="str">
            <v>-</v>
          </cell>
          <cell r="E3022" t="str">
            <v/>
          </cell>
          <cell r="G3022" t="str">
            <v/>
          </cell>
          <cell r="J3022" t="str">
            <v/>
          </cell>
          <cell r="O3022" t="str">
            <v/>
          </cell>
          <cell r="P3022" t="str">
            <v/>
          </cell>
          <cell r="Q3022" t="str">
            <v/>
          </cell>
          <cell r="S3022" t="str">
            <v/>
          </cell>
          <cell r="V3022" t="str">
            <v/>
          </cell>
          <cell r="Z3022" t="str">
            <v/>
          </cell>
          <cell r="AA3022" t="str">
            <v/>
          </cell>
          <cell r="AB3022" t="str">
            <v/>
          </cell>
          <cell r="AC3022" t="str">
            <v/>
          </cell>
          <cell r="AD3022" t="str">
            <v/>
          </cell>
          <cell r="AY3022" t="str">
            <v/>
          </cell>
          <cell r="AZ3022" t="str">
            <v/>
          </cell>
          <cell r="BA3022" t="str">
            <v/>
          </cell>
        </row>
        <row r="3023">
          <cell r="B3023" t="str">
            <v>-</v>
          </cell>
          <cell r="E3023" t="str">
            <v/>
          </cell>
          <cell r="G3023" t="str">
            <v/>
          </cell>
          <cell r="J3023" t="str">
            <v/>
          </cell>
          <cell r="O3023" t="str">
            <v/>
          </cell>
          <cell r="P3023" t="str">
            <v/>
          </cell>
          <cell r="Q3023" t="str">
            <v/>
          </cell>
          <cell r="S3023" t="str">
            <v/>
          </cell>
          <cell r="V3023" t="str">
            <v/>
          </cell>
          <cell r="Z3023" t="str">
            <v/>
          </cell>
          <cell r="AA3023" t="str">
            <v/>
          </cell>
          <cell r="AB3023" t="str">
            <v/>
          </cell>
          <cell r="AC3023" t="str">
            <v/>
          </cell>
          <cell r="AD3023" t="str">
            <v/>
          </cell>
          <cell r="AY3023" t="str">
            <v/>
          </cell>
          <cell r="AZ3023" t="str">
            <v/>
          </cell>
          <cell r="BA3023" t="str">
            <v/>
          </cell>
        </row>
        <row r="3024">
          <cell r="B3024" t="str">
            <v>-</v>
          </cell>
          <cell r="E3024" t="str">
            <v/>
          </cell>
          <cell r="G3024" t="str">
            <v/>
          </cell>
          <cell r="J3024" t="str">
            <v/>
          </cell>
          <cell r="O3024" t="str">
            <v/>
          </cell>
          <cell r="P3024" t="str">
            <v/>
          </cell>
          <cell r="Q3024" t="str">
            <v/>
          </cell>
          <cell r="S3024" t="str">
            <v/>
          </cell>
          <cell r="V3024" t="str">
            <v/>
          </cell>
          <cell r="Z3024" t="str">
            <v/>
          </cell>
          <cell r="AA3024" t="str">
            <v/>
          </cell>
          <cell r="AB3024" t="str">
            <v/>
          </cell>
          <cell r="AC3024" t="str">
            <v/>
          </cell>
          <cell r="AD3024" t="str">
            <v/>
          </cell>
          <cell r="AY3024" t="str">
            <v/>
          </cell>
          <cell r="AZ3024" t="str">
            <v/>
          </cell>
          <cell r="BA3024" t="str">
            <v/>
          </cell>
        </row>
        <row r="3025">
          <cell r="B3025" t="str">
            <v>-</v>
          </cell>
          <cell r="E3025" t="str">
            <v/>
          </cell>
          <cell r="G3025" t="str">
            <v/>
          </cell>
          <cell r="J3025" t="str">
            <v/>
          </cell>
          <cell r="O3025" t="str">
            <v/>
          </cell>
          <cell r="P3025" t="str">
            <v/>
          </cell>
          <cell r="Q3025" t="str">
            <v/>
          </cell>
          <cell r="S3025" t="str">
            <v/>
          </cell>
          <cell r="V3025" t="str">
            <v/>
          </cell>
          <cell r="Z3025" t="str">
            <v/>
          </cell>
          <cell r="AA3025" t="str">
            <v/>
          </cell>
          <cell r="AB3025" t="str">
            <v/>
          </cell>
          <cell r="AC3025" t="str">
            <v/>
          </cell>
          <cell r="AD3025" t="str">
            <v/>
          </cell>
          <cell r="AY3025" t="str">
            <v/>
          </cell>
          <cell r="AZ3025" t="str">
            <v/>
          </cell>
          <cell r="BA3025" t="str">
            <v/>
          </cell>
        </row>
        <row r="3026">
          <cell r="B3026" t="str">
            <v>-</v>
          </cell>
          <cell r="E3026" t="str">
            <v/>
          </cell>
          <cell r="G3026" t="str">
            <v/>
          </cell>
          <cell r="J3026" t="str">
            <v/>
          </cell>
          <cell r="O3026" t="str">
            <v/>
          </cell>
          <cell r="P3026" t="str">
            <v/>
          </cell>
          <cell r="Q3026" t="str">
            <v/>
          </cell>
          <cell r="S3026" t="str">
            <v/>
          </cell>
          <cell r="V3026" t="str">
            <v/>
          </cell>
          <cell r="Z3026" t="str">
            <v/>
          </cell>
          <cell r="AA3026" t="str">
            <v/>
          </cell>
          <cell r="AB3026" t="str">
            <v/>
          </cell>
          <cell r="AC3026" t="str">
            <v/>
          </cell>
          <cell r="AD3026" t="str">
            <v/>
          </cell>
          <cell r="AY3026" t="str">
            <v/>
          </cell>
          <cell r="AZ3026" t="str">
            <v/>
          </cell>
          <cell r="BA3026" t="str">
            <v/>
          </cell>
        </row>
        <row r="3027">
          <cell r="B3027" t="str">
            <v>-</v>
          </cell>
          <cell r="E3027" t="str">
            <v/>
          </cell>
          <cell r="G3027" t="str">
            <v/>
          </cell>
          <cell r="J3027" t="str">
            <v/>
          </cell>
          <cell r="O3027" t="str">
            <v/>
          </cell>
          <cell r="P3027" t="str">
            <v/>
          </cell>
          <cell r="Q3027" t="str">
            <v/>
          </cell>
          <cell r="S3027" t="str">
            <v/>
          </cell>
          <cell r="V3027" t="str">
            <v/>
          </cell>
          <cell r="Z3027" t="str">
            <v/>
          </cell>
          <cell r="AA3027" t="str">
            <v/>
          </cell>
          <cell r="AB3027" t="str">
            <v/>
          </cell>
          <cell r="AC3027" t="str">
            <v/>
          </cell>
          <cell r="AD3027" t="str">
            <v/>
          </cell>
          <cell r="AY3027" t="str">
            <v/>
          </cell>
          <cell r="AZ3027" t="str">
            <v/>
          </cell>
          <cell r="BA3027" t="str">
            <v/>
          </cell>
        </row>
        <row r="3028">
          <cell r="B3028" t="str">
            <v>-</v>
          </cell>
          <cell r="E3028" t="str">
            <v/>
          </cell>
          <cell r="G3028" t="str">
            <v/>
          </cell>
          <cell r="J3028" t="str">
            <v/>
          </cell>
          <cell r="O3028" t="str">
            <v/>
          </cell>
          <cell r="P3028" t="str">
            <v/>
          </cell>
          <cell r="Q3028" t="str">
            <v/>
          </cell>
          <cell r="S3028" t="str">
            <v/>
          </cell>
          <cell r="V3028" t="str">
            <v/>
          </cell>
          <cell r="Z3028" t="str">
            <v/>
          </cell>
          <cell r="AA3028" t="str">
            <v/>
          </cell>
          <cell r="AB3028" t="str">
            <v/>
          </cell>
          <cell r="AC3028" t="str">
            <v/>
          </cell>
          <cell r="AD3028" t="str">
            <v/>
          </cell>
          <cell r="AY3028" t="str">
            <v/>
          </cell>
          <cell r="AZ3028" t="str">
            <v/>
          </cell>
          <cell r="BA3028" t="str">
            <v/>
          </cell>
        </row>
        <row r="3029">
          <cell r="B3029" t="str">
            <v>-</v>
          </cell>
          <cell r="E3029" t="str">
            <v/>
          </cell>
          <cell r="G3029" t="str">
            <v/>
          </cell>
          <cell r="J3029" t="str">
            <v/>
          </cell>
          <cell r="O3029" t="str">
            <v/>
          </cell>
          <cell r="P3029" t="str">
            <v/>
          </cell>
          <cell r="Q3029" t="str">
            <v/>
          </cell>
          <cell r="S3029" t="str">
            <v/>
          </cell>
          <cell r="V3029" t="str">
            <v/>
          </cell>
          <cell r="Z3029" t="str">
            <v/>
          </cell>
          <cell r="AA3029" t="str">
            <v/>
          </cell>
          <cell r="AB3029" t="str">
            <v/>
          </cell>
          <cell r="AC3029" t="str">
            <v/>
          </cell>
          <cell r="AD3029" t="str">
            <v/>
          </cell>
          <cell r="AY3029" t="str">
            <v/>
          </cell>
          <cell r="AZ3029" t="str">
            <v/>
          </cell>
          <cell r="BA3029" t="str">
            <v/>
          </cell>
        </row>
        <row r="3030">
          <cell r="B3030" t="str">
            <v>-</v>
          </cell>
          <cell r="E3030" t="str">
            <v/>
          </cell>
          <cell r="G3030" t="str">
            <v/>
          </cell>
          <cell r="J3030" t="str">
            <v/>
          </cell>
          <cell r="O3030" t="str">
            <v/>
          </cell>
          <cell r="P3030" t="str">
            <v/>
          </cell>
          <cell r="Q3030" t="str">
            <v/>
          </cell>
          <cell r="S3030" t="str">
            <v/>
          </cell>
          <cell r="V3030" t="str">
            <v/>
          </cell>
          <cell r="Z3030" t="str">
            <v/>
          </cell>
          <cell r="AA3030" t="str">
            <v/>
          </cell>
          <cell r="AB3030" t="str">
            <v/>
          </cell>
          <cell r="AC3030" t="str">
            <v/>
          </cell>
          <cell r="AD3030" t="str">
            <v/>
          </cell>
          <cell r="AY3030" t="str">
            <v/>
          </cell>
          <cell r="AZ3030" t="str">
            <v/>
          </cell>
          <cell r="BA3030" t="str">
            <v/>
          </cell>
        </row>
        <row r="3031">
          <cell r="B3031" t="str">
            <v>-</v>
          </cell>
          <cell r="E3031" t="str">
            <v/>
          </cell>
          <cell r="G3031" t="str">
            <v/>
          </cell>
          <cell r="J3031" t="str">
            <v/>
          </cell>
          <cell r="O3031" t="str">
            <v/>
          </cell>
          <cell r="P3031" t="str">
            <v/>
          </cell>
          <cell r="Q3031" t="str">
            <v/>
          </cell>
          <cell r="S3031" t="str">
            <v/>
          </cell>
          <cell r="V3031" t="str">
            <v/>
          </cell>
          <cell r="Z3031" t="str">
            <v/>
          </cell>
          <cell r="AA3031" t="str">
            <v/>
          </cell>
          <cell r="AB3031" t="str">
            <v/>
          </cell>
          <cell r="AC3031" t="str">
            <v/>
          </cell>
          <cell r="AD3031" t="str">
            <v/>
          </cell>
          <cell r="AY3031" t="str">
            <v/>
          </cell>
          <cell r="AZ3031" t="str">
            <v/>
          </cell>
          <cell r="BA3031" t="str">
            <v/>
          </cell>
        </row>
        <row r="3032">
          <cell r="B3032" t="str">
            <v>-</v>
          </cell>
          <cell r="E3032" t="str">
            <v/>
          </cell>
          <cell r="G3032" t="str">
            <v/>
          </cell>
          <cell r="J3032" t="str">
            <v/>
          </cell>
          <cell r="O3032" t="str">
            <v/>
          </cell>
          <cell r="P3032" t="str">
            <v/>
          </cell>
          <cell r="Q3032" t="str">
            <v/>
          </cell>
          <cell r="S3032" t="str">
            <v/>
          </cell>
          <cell r="V3032" t="str">
            <v/>
          </cell>
          <cell r="Z3032" t="str">
            <v/>
          </cell>
          <cell r="AA3032" t="str">
            <v/>
          </cell>
          <cell r="AB3032" t="str">
            <v/>
          </cell>
          <cell r="AC3032" t="str">
            <v/>
          </cell>
          <cell r="AD3032" t="str">
            <v/>
          </cell>
          <cell r="AY3032" t="str">
            <v/>
          </cell>
          <cell r="AZ3032" t="str">
            <v/>
          </cell>
          <cell r="BA3032" t="str">
            <v/>
          </cell>
        </row>
        <row r="3033">
          <cell r="B3033" t="str">
            <v>-</v>
          </cell>
          <cell r="E3033" t="str">
            <v/>
          </cell>
          <cell r="G3033" t="str">
            <v/>
          </cell>
          <cell r="J3033" t="str">
            <v/>
          </cell>
          <cell r="O3033" t="str">
            <v/>
          </cell>
          <cell r="P3033" t="str">
            <v/>
          </cell>
          <cell r="Q3033" t="str">
            <v/>
          </cell>
          <cell r="S3033" t="str">
            <v/>
          </cell>
          <cell r="V3033" t="str">
            <v/>
          </cell>
          <cell r="Z3033" t="str">
            <v/>
          </cell>
          <cell r="AA3033" t="str">
            <v/>
          </cell>
          <cell r="AB3033" t="str">
            <v/>
          </cell>
          <cell r="AC3033" t="str">
            <v/>
          </cell>
          <cell r="AD3033" t="str">
            <v/>
          </cell>
          <cell r="AY3033" t="str">
            <v/>
          </cell>
          <cell r="AZ3033" t="str">
            <v/>
          </cell>
          <cell r="BA3033" t="str">
            <v/>
          </cell>
        </row>
        <row r="3034">
          <cell r="B3034" t="str">
            <v>-</v>
          </cell>
          <cell r="E3034" t="str">
            <v/>
          </cell>
          <cell r="G3034" t="str">
            <v/>
          </cell>
          <cell r="J3034" t="str">
            <v/>
          </cell>
          <cell r="O3034" t="str">
            <v/>
          </cell>
          <cell r="P3034" t="str">
            <v/>
          </cell>
          <cell r="Q3034" t="str">
            <v/>
          </cell>
          <cell r="S3034" t="str">
            <v/>
          </cell>
          <cell r="V3034" t="str">
            <v/>
          </cell>
          <cell r="Z3034" t="str">
            <v/>
          </cell>
          <cell r="AA3034" t="str">
            <v/>
          </cell>
          <cell r="AB3034" t="str">
            <v/>
          </cell>
          <cell r="AC3034" t="str">
            <v/>
          </cell>
          <cell r="AD3034" t="str">
            <v/>
          </cell>
          <cell r="AY3034" t="str">
            <v/>
          </cell>
          <cell r="AZ3034" t="str">
            <v/>
          </cell>
          <cell r="BA3034" t="str">
            <v/>
          </cell>
        </row>
        <row r="3035">
          <cell r="B3035" t="str">
            <v>-</v>
          </cell>
          <cell r="E3035" t="str">
            <v/>
          </cell>
          <cell r="G3035" t="str">
            <v/>
          </cell>
          <cell r="J3035" t="str">
            <v/>
          </cell>
          <cell r="O3035" t="str">
            <v/>
          </cell>
          <cell r="P3035" t="str">
            <v/>
          </cell>
          <cell r="Q3035" t="str">
            <v/>
          </cell>
          <cell r="S3035" t="str">
            <v/>
          </cell>
          <cell r="V3035" t="str">
            <v/>
          </cell>
          <cell r="Z3035" t="str">
            <v/>
          </cell>
          <cell r="AA3035" t="str">
            <v/>
          </cell>
          <cell r="AB3035" t="str">
            <v/>
          </cell>
          <cell r="AC3035" t="str">
            <v/>
          </cell>
          <cell r="AD3035" t="str">
            <v/>
          </cell>
          <cell r="AY3035" t="str">
            <v/>
          </cell>
          <cell r="AZ3035" t="str">
            <v/>
          </cell>
          <cell r="BA3035" t="str">
            <v/>
          </cell>
        </row>
        <row r="3036">
          <cell r="B3036" t="str">
            <v>-</v>
          </cell>
          <cell r="E3036" t="str">
            <v/>
          </cell>
          <cell r="G3036" t="str">
            <v/>
          </cell>
          <cell r="J3036" t="str">
            <v/>
          </cell>
          <cell r="O3036" t="str">
            <v/>
          </cell>
          <cell r="P3036" t="str">
            <v/>
          </cell>
          <cell r="Q3036" t="str">
            <v/>
          </cell>
          <cell r="S3036" t="str">
            <v/>
          </cell>
          <cell r="V3036" t="str">
            <v/>
          </cell>
          <cell r="Z3036" t="str">
            <v/>
          </cell>
          <cell r="AA3036" t="str">
            <v/>
          </cell>
          <cell r="AB3036" t="str">
            <v/>
          </cell>
          <cell r="AC3036" t="str">
            <v/>
          </cell>
          <cell r="AD3036" t="str">
            <v/>
          </cell>
          <cell r="AY3036" t="str">
            <v/>
          </cell>
          <cell r="AZ3036" t="str">
            <v/>
          </cell>
          <cell r="BA3036" t="str">
            <v/>
          </cell>
        </row>
        <row r="3037">
          <cell r="B3037" t="str">
            <v>-</v>
          </cell>
          <cell r="E3037" t="str">
            <v/>
          </cell>
          <cell r="G3037" t="str">
            <v/>
          </cell>
          <cell r="J3037" t="str">
            <v/>
          </cell>
          <cell r="O3037" t="str">
            <v/>
          </cell>
          <cell r="P3037" t="str">
            <v/>
          </cell>
          <cell r="Q3037" t="str">
            <v/>
          </cell>
          <cell r="S3037" t="str">
            <v/>
          </cell>
          <cell r="V3037" t="str">
            <v/>
          </cell>
          <cell r="Z3037" t="str">
            <v/>
          </cell>
          <cell r="AA3037" t="str">
            <v/>
          </cell>
          <cell r="AB3037" t="str">
            <v/>
          </cell>
          <cell r="AC3037" t="str">
            <v/>
          </cell>
          <cell r="AD3037" t="str">
            <v/>
          </cell>
          <cell r="AY3037" t="str">
            <v/>
          </cell>
          <cell r="AZ3037" t="str">
            <v/>
          </cell>
          <cell r="BA3037" t="str">
            <v/>
          </cell>
        </row>
        <row r="3038">
          <cell r="B3038" t="str">
            <v>-</v>
          </cell>
          <cell r="E3038" t="str">
            <v/>
          </cell>
          <cell r="G3038" t="str">
            <v/>
          </cell>
          <cell r="J3038" t="str">
            <v/>
          </cell>
          <cell r="O3038" t="str">
            <v/>
          </cell>
          <cell r="P3038" t="str">
            <v/>
          </cell>
          <cell r="Q3038" t="str">
            <v/>
          </cell>
          <cell r="S3038" t="str">
            <v/>
          </cell>
          <cell r="V3038" t="str">
            <v/>
          </cell>
          <cell r="Z3038" t="str">
            <v/>
          </cell>
          <cell r="AA3038" t="str">
            <v/>
          </cell>
          <cell r="AB3038" t="str">
            <v/>
          </cell>
          <cell r="AC3038" t="str">
            <v/>
          </cell>
          <cell r="AD3038" t="str">
            <v/>
          </cell>
          <cell r="AY3038" t="str">
            <v/>
          </cell>
          <cell r="AZ3038" t="str">
            <v/>
          </cell>
          <cell r="BA3038" t="str">
            <v/>
          </cell>
        </row>
        <row r="3039">
          <cell r="B3039" t="str">
            <v>-</v>
          </cell>
          <cell r="E3039" t="str">
            <v/>
          </cell>
          <cell r="G3039" t="str">
            <v/>
          </cell>
          <cell r="J3039" t="str">
            <v/>
          </cell>
          <cell r="O3039" t="str">
            <v/>
          </cell>
          <cell r="P3039" t="str">
            <v/>
          </cell>
          <cell r="Q3039" t="str">
            <v/>
          </cell>
          <cell r="S3039" t="str">
            <v/>
          </cell>
          <cell r="V3039" t="str">
            <v/>
          </cell>
          <cell r="Z3039" t="str">
            <v/>
          </cell>
          <cell r="AA3039" t="str">
            <v/>
          </cell>
          <cell r="AB3039" t="str">
            <v/>
          </cell>
          <cell r="AC3039" t="str">
            <v/>
          </cell>
          <cell r="AD3039" t="str">
            <v/>
          </cell>
          <cell r="AY3039" t="str">
            <v/>
          </cell>
          <cell r="AZ3039" t="str">
            <v/>
          </cell>
          <cell r="BA3039" t="str">
            <v/>
          </cell>
        </row>
        <row r="3040">
          <cell r="B3040" t="str">
            <v>-</v>
          </cell>
          <cell r="E3040" t="str">
            <v/>
          </cell>
          <cell r="G3040" t="str">
            <v/>
          </cell>
          <cell r="J3040" t="str">
            <v/>
          </cell>
          <cell r="O3040" t="str">
            <v/>
          </cell>
          <cell r="P3040" t="str">
            <v/>
          </cell>
          <cell r="Q3040" t="str">
            <v/>
          </cell>
          <cell r="S3040" t="str">
            <v/>
          </cell>
          <cell r="V3040" t="str">
            <v/>
          </cell>
          <cell r="Z3040" t="str">
            <v/>
          </cell>
          <cell r="AA3040" t="str">
            <v/>
          </cell>
          <cell r="AB3040" t="str">
            <v/>
          </cell>
          <cell r="AC3040" t="str">
            <v/>
          </cell>
          <cell r="AD3040" t="str">
            <v/>
          </cell>
          <cell r="AY3040" t="str">
            <v/>
          </cell>
          <cell r="AZ3040" t="str">
            <v/>
          </cell>
          <cell r="BA3040" t="str">
            <v/>
          </cell>
        </row>
        <row r="3041">
          <cell r="B3041" t="str">
            <v>-</v>
          </cell>
          <cell r="E3041" t="str">
            <v/>
          </cell>
          <cell r="G3041" t="str">
            <v/>
          </cell>
          <cell r="J3041" t="str">
            <v/>
          </cell>
          <cell r="O3041" t="str">
            <v/>
          </cell>
          <cell r="P3041" t="str">
            <v/>
          </cell>
          <cell r="Q3041" t="str">
            <v/>
          </cell>
          <cell r="S3041" t="str">
            <v/>
          </cell>
          <cell r="V3041" t="str">
            <v/>
          </cell>
          <cell r="Z3041" t="str">
            <v/>
          </cell>
          <cell r="AA3041" t="str">
            <v/>
          </cell>
          <cell r="AB3041" t="str">
            <v/>
          </cell>
          <cell r="AC3041" t="str">
            <v/>
          </cell>
          <cell r="AD3041" t="str">
            <v/>
          </cell>
          <cell r="AY3041" t="str">
            <v/>
          </cell>
          <cell r="AZ3041" t="str">
            <v/>
          </cell>
          <cell r="BA3041" t="str">
            <v/>
          </cell>
        </row>
        <row r="3042">
          <cell r="B3042" t="str">
            <v>-</v>
          </cell>
          <cell r="E3042" t="str">
            <v/>
          </cell>
          <cell r="G3042" t="str">
            <v/>
          </cell>
          <cell r="J3042" t="str">
            <v/>
          </cell>
          <cell r="O3042" t="str">
            <v/>
          </cell>
          <cell r="P3042" t="str">
            <v/>
          </cell>
          <cell r="Q3042" t="str">
            <v/>
          </cell>
          <cell r="S3042" t="str">
            <v/>
          </cell>
          <cell r="V3042" t="str">
            <v/>
          </cell>
          <cell r="Z3042" t="str">
            <v/>
          </cell>
          <cell r="AA3042" t="str">
            <v/>
          </cell>
          <cell r="AB3042" t="str">
            <v/>
          </cell>
          <cell r="AC3042" t="str">
            <v/>
          </cell>
          <cell r="AD3042" t="str">
            <v/>
          </cell>
          <cell r="AY3042" t="str">
            <v/>
          </cell>
          <cell r="AZ3042" t="str">
            <v/>
          </cell>
          <cell r="BA3042" t="str">
            <v/>
          </cell>
        </row>
        <row r="3043">
          <cell r="B3043" t="str">
            <v>-</v>
          </cell>
          <cell r="E3043" t="str">
            <v/>
          </cell>
          <cell r="G3043" t="str">
            <v/>
          </cell>
          <cell r="J3043" t="str">
            <v/>
          </cell>
          <cell r="O3043" t="str">
            <v/>
          </cell>
          <cell r="P3043" t="str">
            <v/>
          </cell>
          <cell r="Q3043" t="str">
            <v/>
          </cell>
          <cell r="S3043" t="str">
            <v/>
          </cell>
          <cell r="V3043" t="str">
            <v/>
          </cell>
          <cell r="Z3043" t="str">
            <v/>
          </cell>
          <cell r="AA3043" t="str">
            <v/>
          </cell>
          <cell r="AB3043" t="str">
            <v/>
          </cell>
          <cell r="AC3043" t="str">
            <v/>
          </cell>
          <cell r="AD3043" t="str">
            <v/>
          </cell>
          <cell r="AY3043" t="str">
            <v/>
          </cell>
          <cell r="AZ3043" t="str">
            <v/>
          </cell>
          <cell r="BA3043" t="str">
            <v/>
          </cell>
        </row>
        <row r="3044">
          <cell r="B3044" t="str">
            <v>-</v>
          </cell>
          <cell r="E3044" t="str">
            <v/>
          </cell>
          <cell r="G3044" t="str">
            <v/>
          </cell>
          <cell r="J3044" t="str">
            <v/>
          </cell>
          <cell r="O3044" t="str">
            <v/>
          </cell>
          <cell r="P3044" t="str">
            <v/>
          </cell>
          <cell r="Q3044" t="str">
            <v/>
          </cell>
          <cell r="S3044" t="str">
            <v/>
          </cell>
          <cell r="V3044" t="str">
            <v/>
          </cell>
          <cell r="Z3044" t="str">
            <v/>
          </cell>
          <cell r="AA3044" t="str">
            <v/>
          </cell>
          <cell r="AB3044" t="str">
            <v/>
          </cell>
          <cell r="AC3044" t="str">
            <v/>
          </cell>
          <cell r="AD3044" t="str">
            <v/>
          </cell>
          <cell r="AY3044" t="str">
            <v/>
          </cell>
          <cell r="AZ3044" t="str">
            <v/>
          </cell>
          <cell r="BA3044" t="str">
            <v/>
          </cell>
        </row>
        <row r="3045">
          <cell r="B3045" t="str">
            <v>-</v>
          </cell>
          <cell r="E3045" t="str">
            <v/>
          </cell>
          <cell r="G3045" t="str">
            <v/>
          </cell>
          <cell r="J3045" t="str">
            <v/>
          </cell>
          <cell r="O3045" t="str">
            <v/>
          </cell>
          <cell r="P3045" t="str">
            <v/>
          </cell>
          <cell r="Q3045" t="str">
            <v/>
          </cell>
          <cell r="S3045" t="str">
            <v/>
          </cell>
          <cell r="V3045" t="str">
            <v/>
          </cell>
          <cell r="Z3045" t="str">
            <v/>
          </cell>
          <cell r="AA3045" t="str">
            <v/>
          </cell>
          <cell r="AB3045" t="str">
            <v/>
          </cell>
          <cell r="AC3045" t="str">
            <v/>
          </cell>
          <cell r="AD3045" t="str">
            <v/>
          </cell>
          <cell r="AY3045" t="str">
            <v/>
          </cell>
          <cell r="AZ3045" t="str">
            <v/>
          </cell>
          <cell r="BA3045" t="str">
            <v/>
          </cell>
        </row>
        <row r="3046">
          <cell r="B3046" t="str">
            <v>-</v>
          </cell>
          <cell r="E3046" t="str">
            <v/>
          </cell>
          <cell r="G3046" t="str">
            <v/>
          </cell>
          <cell r="J3046" t="str">
            <v/>
          </cell>
          <cell r="O3046" t="str">
            <v/>
          </cell>
          <cell r="P3046" t="str">
            <v/>
          </cell>
          <cell r="Q3046" t="str">
            <v/>
          </cell>
          <cell r="S3046" t="str">
            <v/>
          </cell>
          <cell r="V3046" t="str">
            <v/>
          </cell>
          <cell r="Z3046" t="str">
            <v/>
          </cell>
          <cell r="AA3046" t="str">
            <v/>
          </cell>
          <cell r="AB3046" t="str">
            <v/>
          </cell>
          <cell r="AC3046" t="str">
            <v/>
          </cell>
          <cell r="AD3046" t="str">
            <v/>
          </cell>
          <cell r="AY3046" t="str">
            <v/>
          </cell>
          <cell r="AZ3046" t="str">
            <v/>
          </cell>
          <cell r="BA3046" t="str">
            <v/>
          </cell>
        </row>
        <row r="3047">
          <cell r="B3047" t="str">
            <v>-</v>
          </cell>
          <cell r="E3047" t="str">
            <v/>
          </cell>
          <cell r="G3047" t="str">
            <v/>
          </cell>
          <cell r="J3047" t="str">
            <v/>
          </cell>
          <cell r="O3047" t="str">
            <v/>
          </cell>
          <cell r="P3047" t="str">
            <v/>
          </cell>
          <cell r="Q3047" t="str">
            <v/>
          </cell>
          <cell r="S3047" t="str">
            <v/>
          </cell>
          <cell r="V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 t="str">
            <v/>
          </cell>
          <cell r="AD3047" t="str">
            <v/>
          </cell>
          <cell r="AY3047" t="str">
            <v/>
          </cell>
          <cell r="AZ3047" t="str">
            <v/>
          </cell>
          <cell r="BA3047" t="str">
            <v/>
          </cell>
        </row>
        <row r="3048">
          <cell r="B3048" t="str">
            <v>-</v>
          </cell>
          <cell r="E3048" t="str">
            <v/>
          </cell>
          <cell r="G3048" t="str">
            <v/>
          </cell>
          <cell r="J3048" t="str">
            <v/>
          </cell>
          <cell r="O3048" t="str">
            <v/>
          </cell>
          <cell r="P3048" t="str">
            <v/>
          </cell>
          <cell r="Q3048" t="str">
            <v/>
          </cell>
          <cell r="S3048" t="str">
            <v/>
          </cell>
          <cell r="V3048" t="str">
            <v/>
          </cell>
          <cell r="Z3048" t="str">
            <v/>
          </cell>
          <cell r="AA3048" t="str">
            <v/>
          </cell>
          <cell r="AB3048" t="str">
            <v/>
          </cell>
          <cell r="AC3048" t="str">
            <v/>
          </cell>
          <cell r="AD3048" t="str">
            <v/>
          </cell>
          <cell r="AY3048" t="str">
            <v/>
          </cell>
          <cell r="AZ3048" t="str">
            <v/>
          </cell>
          <cell r="BA3048" t="str">
            <v/>
          </cell>
        </row>
        <row r="3049">
          <cell r="B3049" t="str">
            <v>-</v>
          </cell>
          <cell r="E3049" t="str">
            <v/>
          </cell>
          <cell r="G3049" t="str">
            <v/>
          </cell>
          <cell r="J3049" t="str">
            <v/>
          </cell>
          <cell r="O3049" t="str">
            <v/>
          </cell>
          <cell r="P3049" t="str">
            <v/>
          </cell>
          <cell r="Q3049" t="str">
            <v/>
          </cell>
          <cell r="S3049" t="str">
            <v/>
          </cell>
          <cell r="V3049" t="str">
            <v/>
          </cell>
          <cell r="Z3049" t="str">
            <v/>
          </cell>
          <cell r="AA3049" t="str">
            <v/>
          </cell>
          <cell r="AB3049" t="str">
            <v/>
          </cell>
          <cell r="AC3049" t="str">
            <v/>
          </cell>
          <cell r="AD3049" t="str">
            <v/>
          </cell>
          <cell r="AY3049" t="str">
            <v/>
          </cell>
          <cell r="AZ3049" t="str">
            <v/>
          </cell>
          <cell r="BA3049" t="str">
            <v/>
          </cell>
        </row>
        <row r="3050">
          <cell r="B3050" t="str">
            <v>-</v>
          </cell>
          <cell r="E3050" t="str">
            <v/>
          </cell>
          <cell r="G3050" t="str">
            <v/>
          </cell>
          <cell r="J3050" t="str">
            <v/>
          </cell>
          <cell r="O3050" t="str">
            <v/>
          </cell>
          <cell r="P3050" t="str">
            <v/>
          </cell>
          <cell r="Q3050" t="str">
            <v/>
          </cell>
          <cell r="S3050" t="str">
            <v/>
          </cell>
          <cell r="V3050" t="str">
            <v/>
          </cell>
          <cell r="Z3050" t="str">
            <v/>
          </cell>
          <cell r="AA3050" t="str">
            <v/>
          </cell>
          <cell r="AB3050" t="str">
            <v/>
          </cell>
          <cell r="AC3050" t="str">
            <v/>
          </cell>
          <cell r="AD3050" t="str">
            <v/>
          </cell>
          <cell r="AY3050" t="str">
            <v/>
          </cell>
          <cell r="AZ3050" t="str">
            <v/>
          </cell>
          <cell r="BA3050" t="str">
            <v/>
          </cell>
        </row>
        <row r="3051">
          <cell r="B3051" t="str">
            <v>-</v>
          </cell>
          <cell r="E3051" t="str">
            <v/>
          </cell>
          <cell r="G3051" t="str">
            <v/>
          </cell>
          <cell r="J3051" t="str">
            <v/>
          </cell>
          <cell r="O3051" t="str">
            <v/>
          </cell>
          <cell r="P3051" t="str">
            <v/>
          </cell>
          <cell r="Q3051" t="str">
            <v/>
          </cell>
          <cell r="S3051" t="str">
            <v/>
          </cell>
          <cell r="V3051" t="str">
            <v/>
          </cell>
          <cell r="Z3051" t="str">
            <v/>
          </cell>
          <cell r="AA3051" t="str">
            <v/>
          </cell>
          <cell r="AB3051" t="str">
            <v/>
          </cell>
          <cell r="AC3051" t="str">
            <v/>
          </cell>
          <cell r="AD3051" t="str">
            <v/>
          </cell>
          <cell r="AY3051" t="str">
            <v/>
          </cell>
          <cell r="AZ3051" t="str">
            <v/>
          </cell>
          <cell r="BA3051" t="str">
            <v/>
          </cell>
        </row>
        <row r="3052">
          <cell r="B3052" t="str">
            <v>-</v>
          </cell>
          <cell r="E3052" t="str">
            <v/>
          </cell>
          <cell r="G3052" t="str">
            <v/>
          </cell>
          <cell r="J3052" t="str">
            <v/>
          </cell>
          <cell r="O3052" t="str">
            <v/>
          </cell>
          <cell r="P3052" t="str">
            <v/>
          </cell>
          <cell r="Q3052" t="str">
            <v/>
          </cell>
          <cell r="S3052" t="str">
            <v/>
          </cell>
          <cell r="V3052" t="str">
            <v/>
          </cell>
          <cell r="Z3052" t="str">
            <v/>
          </cell>
          <cell r="AA3052" t="str">
            <v/>
          </cell>
          <cell r="AB3052" t="str">
            <v/>
          </cell>
          <cell r="AC3052" t="str">
            <v/>
          </cell>
          <cell r="AD3052" t="str">
            <v/>
          </cell>
          <cell r="AY3052" t="str">
            <v/>
          </cell>
          <cell r="AZ3052" t="str">
            <v/>
          </cell>
          <cell r="BA3052" t="str">
            <v/>
          </cell>
        </row>
        <row r="3053">
          <cell r="B3053" t="str">
            <v>-</v>
          </cell>
          <cell r="E3053" t="str">
            <v/>
          </cell>
          <cell r="G3053" t="str">
            <v/>
          </cell>
          <cell r="J3053" t="str">
            <v/>
          </cell>
          <cell r="O3053" t="str">
            <v/>
          </cell>
          <cell r="P3053" t="str">
            <v/>
          </cell>
          <cell r="Q3053" t="str">
            <v/>
          </cell>
          <cell r="S3053" t="str">
            <v/>
          </cell>
          <cell r="V3053" t="str">
            <v/>
          </cell>
          <cell r="Z3053" t="str">
            <v/>
          </cell>
          <cell r="AA3053" t="str">
            <v/>
          </cell>
          <cell r="AB3053" t="str">
            <v/>
          </cell>
          <cell r="AC3053" t="str">
            <v/>
          </cell>
          <cell r="AD3053" t="str">
            <v/>
          </cell>
          <cell r="AY3053" t="str">
            <v/>
          </cell>
          <cell r="AZ3053" t="str">
            <v/>
          </cell>
          <cell r="BA3053" t="str">
            <v/>
          </cell>
        </row>
        <row r="3054">
          <cell r="B3054" t="str">
            <v>-</v>
          </cell>
          <cell r="E3054" t="str">
            <v/>
          </cell>
          <cell r="G3054" t="str">
            <v/>
          </cell>
          <cell r="J3054" t="str">
            <v/>
          </cell>
          <cell r="O3054" t="str">
            <v/>
          </cell>
          <cell r="P3054" t="str">
            <v/>
          </cell>
          <cell r="Q3054" t="str">
            <v/>
          </cell>
          <cell r="S3054" t="str">
            <v/>
          </cell>
          <cell r="V3054" t="str">
            <v/>
          </cell>
          <cell r="Z3054" t="str">
            <v/>
          </cell>
          <cell r="AA3054" t="str">
            <v/>
          </cell>
          <cell r="AB3054" t="str">
            <v/>
          </cell>
          <cell r="AC3054" t="str">
            <v/>
          </cell>
          <cell r="AD3054" t="str">
            <v/>
          </cell>
          <cell r="AY3054" t="str">
            <v/>
          </cell>
          <cell r="AZ3054" t="str">
            <v/>
          </cell>
          <cell r="BA3054" t="str">
            <v/>
          </cell>
        </row>
        <row r="3055">
          <cell r="B3055" t="str">
            <v>-</v>
          </cell>
          <cell r="E3055" t="str">
            <v/>
          </cell>
          <cell r="G3055" t="str">
            <v/>
          </cell>
          <cell r="J3055" t="str">
            <v/>
          </cell>
          <cell r="O3055" t="str">
            <v/>
          </cell>
          <cell r="P3055" t="str">
            <v/>
          </cell>
          <cell r="Q3055" t="str">
            <v/>
          </cell>
          <cell r="S3055" t="str">
            <v/>
          </cell>
          <cell r="V3055" t="str">
            <v/>
          </cell>
          <cell r="Z3055" t="str">
            <v/>
          </cell>
          <cell r="AA3055" t="str">
            <v/>
          </cell>
          <cell r="AB3055" t="str">
            <v/>
          </cell>
          <cell r="AC3055" t="str">
            <v/>
          </cell>
          <cell r="AD3055" t="str">
            <v/>
          </cell>
          <cell r="AY3055" t="str">
            <v/>
          </cell>
          <cell r="AZ3055" t="str">
            <v/>
          </cell>
          <cell r="BA3055" t="str">
            <v/>
          </cell>
        </row>
        <row r="3056">
          <cell r="B3056" t="str">
            <v>-</v>
          </cell>
          <cell r="E3056" t="str">
            <v/>
          </cell>
          <cell r="G3056" t="str">
            <v/>
          </cell>
          <cell r="J3056" t="str">
            <v/>
          </cell>
          <cell r="O3056" t="str">
            <v/>
          </cell>
          <cell r="P3056" t="str">
            <v/>
          </cell>
          <cell r="Q3056" t="str">
            <v/>
          </cell>
          <cell r="S3056" t="str">
            <v/>
          </cell>
          <cell r="V3056" t="str">
            <v/>
          </cell>
          <cell r="Z3056" t="str">
            <v/>
          </cell>
          <cell r="AA3056" t="str">
            <v/>
          </cell>
          <cell r="AB3056" t="str">
            <v/>
          </cell>
          <cell r="AC3056" t="str">
            <v/>
          </cell>
          <cell r="AD3056" t="str">
            <v/>
          </cell>
          <cell r="AY3056" t="str">
            <v/>
          </cell>
          <cell r="AZ3056" t="str">
            <v/>
          </cell>
          <cell r="BA3056" t="str">
            <v/>
          </cell>
        </row>
        <row r="3057">
          <cell r="B3057" t="str">
            <v>-</v>
          </cell>
          <cell r="E3057" t="str">
            <v/>
          </cell>
          <cell r="G3057" t="str">
            <v/>
          </cell>
          <cell r="J3057" t="str">
            <v/>
          </cell>
          <cell r="O3057" t="str">
            <v/>
          </cell>
          <cell r="P3057" t="str">
            <v/>
          </cell>
          <cell r="Q3057" t="str">
            <v/>
          </cell>
          <cell r="S3057" t="str">
            <v/>
          </cell>
          <cell r="V3057" t="str">
            <v/>
          </cell>
          <cell r="Z3057" t="str">
            <v/>
          </cell>
          <cell r="AA3057" t="str">
            <v/>
          </cell>
          <cell r="AB3057" t="str">
            <v/>
          </cell>
          <cell r="AC3057" t="str">
            <v/>
          </cell>
          <cell r="AD3057" t="str">
            <v/>
          </cell>
          <cell r="AY3057" t="str">
            <v/>
          </cell>
          <cell r="AZ3057" t="str">
            <v/>
          </cell>
          <cell r="BA3057" t="str">
            <v/>
          </cell>
        </row>
        <row r="3058">
          <cell r="B3058" t="str">
            <v>-</v>
          </cell>
          <cell r="E3058" t="str">
            <v/>
          </cell>
          <cell r="G3058" t="str">
            <v/>
          </cell>
          <cell r="J3058" t="str">
            <v/>
          </cell>
          <cell r="O3058" t="str">
            <v/>
          </cell>
          <cell r="P3058" t="str">
            <v/>
          </cell>
          <cell r="Q3058" t="str">
            <v/>
          </cell>
          <cell r="S3058" t="str">
            <v/>
          </cell>
          <cell r="V3058" t="str">
            <v/>
          </cell>
          <cell r="Z3058" t="str">
            <v/>
          </cell>
          <cell r="AA3058" t="str">
            <v/>
          </cell>
          <cell r="AB3058" t="str">
            <v/>
          </cell>
          <cell r="AC3058" t="str">
            <v/>
          </cell>
          <cell r="AD3058" t="str">
            <v/>
          </cell>
          <cell r="AY3058" t="str">
            <v/>
          </cell>
          <cell r="AZ3058" t="str">
            <v/>
          </cell>
          <cell r="BA3058" t="str">
            <v/>
          </cell>
        </row>
        <row r="3059">
          <cell r="B3059" t="str">
            <v>-</v>
          </cell>
          <cell r="E3059" t="str">
            <v/>
          </cell>
          <cell r="G3059" t="str">
            <v/>
          </cell>
          <cell r="J3059" t="str">
            <v/>
          </cell>
          <cell r="O3059" t="str">
            <v/>
          </cell>
          <cell r="P3059" t="str">
            <v/>
          </cell>
          <cell r="Q3059" t="str">
            <v/>
          </cell>
          <cell r="S3059" t="str">
            <v/>
          </cell>
          <cell r="V3059" t="str">
            <v/>
          </cell>
          <cell r="Z3059" t="str">
            <v/>
          </cell>
          <cell r="AA3059" t="str">
            <v/>
          </cell>
          <cell r="AB3059" t="str">
            <v/>
          </cell>
          <cell r="AC3059" t="str">
            <v/>
          </cell>
          <cell r="AD3059" t="str">
            <v/>
          </cell>
          <cell r="AY3059" t="str">
            <v/>
          </cell>
          <cell r="AZ3059" t="str">
            <v/>
          </cell>
          <cell r="BA3059" t="str">
            <v/>
          </cell>
        </row>
        <row r="3060">
          <cell r="B3060" t="str">
            <v>-</v>
          </cell>
          <cell r="E3060" t="str">
            <v/>
          </cell>
          <cell r="G3060" t="str">
            <v/>
          </cell>
          <cell r="J3060" t="str">
            <v/>
          </cell>
          <cell r="O3060" t="str">
            <v/>
          </cell>
          <cell r="P3060" t="str">
            <v/>
          </cell>
          <cell r="Q3060" t="str">
            <v/>
          </cell>
          <cell r="S3060" t="str">
            <v/>
          </cell>
          <cell r="V3060" t="str">
            <v/>
          </cell>
          <cell r="Z3060" t="str">
            <v/>
          </cell>
          <cell r="AA3060" t="str">
            <v/>
          </cell>
          <cell r="AB3060" t="str">
            <v/>
          </cell>
          <cell r="AC3060" t="str">
            <v/>
          </cell>
          <cell r="AD3060" t="str">
            <v/>
          </cell>
          <cell r="AY3060" t="str">
            <v/>
          </cell>
          <cell r="AZ3060" t="str">
            <v/>
          </cell>
          <cell r="BA3060" t="str">
            <v/>
          </cell>
        </row>
        <row r="3061">
          <cell r="B3061" t="str">
            <v>-</v>
          </cell>
          <cell r="E3061" t="str">
            <v/>
          </cell>
          <cell r="G3061" t="str">
            <v/>
          </cell>
          <cell r="J3061" t="str">
            <v/>
          </cell>
          <cell r="O3061" t="str">
            <v/>
          </cell>
          <cell r="P3061" t="str">
            <v/>
          </cell>
          <cell r="Q3061" t="str">
            <v/>
          </cell>
          <cell r="S3061" t="str">
            <v/>
          </cell>
          <cell r="V3061" t="str">
            <v/>
          </cell>
          <cell r="Z3061" t="str">
            <v/>
          </cell>
          <cell r="AA3061" t="str">
            <v/>
          </cell>
          <cell r="AB3061" t="str">
            <v/>
          </cell>
          <cell r="AC3061" t="str">
            <v/>
          </cell>
          <cell r="AD3061" t="str">
            <v/>
          </cell>
          <cell r="AY3061" t="str">
            <v/>
          </cell>
          <cell r="AZ3061" t="str">
            <v/>
          </cell>
          <cell r="BA3061" t="str">
            <v/>
          </cell>
        </row>
        <row r="3062">
          <cell r="B3062" t="str">
            <v>-</v>
          </cell>
          <cell r="E3062" t="str">
            <v/>
          </cell>
          <cell r="G3062" t="str">
            <v/>
          </cell>
          <cell r="J3062" t="str">
            <v/>
          </cell>
          <cell r="O3062" t="str">
            <v/>
          </cell>
          <cell r="P3062" t="str">
            <v/>
          </cell>
          <cell r="Q3062" t="str">
            <v/>
          </cell>
          <cell r="S3062" t="str">
            <v/>
          </cell>
          <cell r="V3062" t="str">
            <v/>
          </cell>
          <cell r="Z3062" t="str">
            <v/>
          </cell>
          <cell r="AA3062" t="str">
            <v/>
          </cell>
          <cell r="AB3062" t="str">
            <v/>
          </cell>
          <cell r="AC3062" t="str">
            <v/>
          </cell>
          <cell r="AD3062" t="str">
            <v/>
          </cell>
          <cell r="AY3062" t="str">
            <v/>
          </cell>
          <cell r="AZ3062" t="str">
            <v/>
          </cell>
          <cell r="BA3062" t="str">
            <v/>
          </cell>
        </row>
        <row r="3063">
          <cell r="B3063" t="str">
            <v>-</v>
          </cell>
          <cell r="E3063" t="str">
            <v/>
          </cell>
          <cell r="G3063" t="str">
            <v/>
          </cell>
          <cell r="J3063" t="str">
            <v/>
          </cell>
          <cell r="O3063" t="str">
            <v/>
          </cell>
          <cell r="P3063" t="str">
            <v/>
          </cell>
          <cell r="Q3063" t="str">
            <v/>
          </cell>
          <cell r="S3063" t="str">
            <v/>
          </cell>
          <cell r="V3063" t="str">
            <v/>
          </cell>
          <cell r="Z3063" t="str">
            <v/>
          </cell>
          <cell r="AA3063" t="str">
            <v/>
          </cell>
          <cell r="AB3063" t="str">
            <v/>
          </cell>
          <cell r="AC3063" t="str">
            <v/>
          </cell>
          <cell r="AD3063" t="str">
            <v/>
          </cell>
          <cell r="AY3063" t="str">
            <v/>
          </cell>
          <cell r="AZ3063" t="str">
            <v/>
          </cell>
          <cell r="BA3063" t="str">
            <v/>
          </cell>
        </row>
        <row r="3064">
          <cell r="B3064" t="str">
            <v>-</v>
          </cell>
          <cell r="E3064" t="str">
            <v/>
          </cell>
          <cell r="G3064" t="str">
            <v/>
          </cell>
          <cell r="J3064" t="str">
            <v/>
          </cell>
          <cell r="O3064" t="str">
            <v/>
          </cell>
          <cell r="P3064" t="str">
            <v/>
          </cell>
          <cell r="Q3064" t="str">
            <v/>
          </cell>
          <cell r="S3064" t="str">
            <v/>
          </cell>
          <cell r="V3064" t="str">
            <v/>
          </cell>
          <cell r="Z3064" t="str">
            <v/>
          </cell>
          <cell r="AA3064" t="str">
            <v/>
          </cell>
          <cell r="AB3064" t="str">
            <v/>
          </cell>
          <cell r="AC3064" t="str">
            <v/>
          </cell>
          <cell r="AD3064" t="str">
            <v/>
          </cell>
          <cell r="AY3064" t="str">
            <v/>
          </cell>
          <cell r="AZ3064" t="str">
            <v/>
          </cell>
          <cell r="BA3064" t="str">
            <v/>
          </cell>
        </row>
        <row r="3065">
          <cell r="B3065" t="str">
            <v>-</v>
          </cell>
          <cell r="E3065" t="str">
            <v/>
          </cell>
          <cell r="G3065" t="str">
            <v/>
          </cell>
          <cell r="J3065" t="str">
            <v/>
          </cell>
          <cell r="O3065" t="str">
            <v/>
          </cell>
          <cell r="P3065" t="str">
            <v/>
          </cell>
          <cell r="Q3065" t="str">
            <v/>
          </cell>
          <cell r="S3065" t="str">
            <v/>
          </cell>
          <cell r="V3065" t="str">
            <v/>
          </cell>
          <cell r="Z3065" t="str">
            <v/>
          </cell>
          <cell r="AA3065" t="str">
            <v/>
          </cell>
          <cell r="AB3065" t="str">
            <v/>
          </cell>
          <cell r="AC3065" t="str">
            <v/>
          </cell>
          <cell r="AD3065" t="str">
            <v/>
          </cell>
          <cell r="AY3065" t="str">
            <v/>
          </cell>
          <cell r="AZ3065" t="str">
            <v/>
          </cell>
          <cell r="BA3065" t="str">
            <v/>
          </cell>
        </row>
        <row r="3066">
          <cell r="B3066" t="str">
            <v>-</v>
          </cell>
          <cell r="E3066" t="str">
            <v/>
          </cell>
          <cell r="G3066" t="str">
            <v/>
          </cell>
          <cell r="J3066" t="str">
            <v/>
          </cell>
          <cell r="O3066" t="str">
            <v/>
          </cell>
          <cell r="P3066" t="str">
            <v/>
          </cell>
          <cell r="Q3066" t="str">
            <v/>
          </cell>
          <cell r="S3066" t="str">
            <v/>
          </cell>
          <cell r="V3066" t="str">
            <v/>
          </cell>
          <cell r="Z3066" t="str">
            <v/>
          </cell>
          <cell r="AA3066" t="str">
            <v/>
          </cell>
          <cell r="AB3066" t="str">
            <v/>
          </cell>
          <cell r="AC3066" t="str">
            <v/>
          </cell>
          <cell r="AD3066" t="str">
            <v/>
          </cell>
          <cell r="AY3066" t="str">
            <v/>
          </cell>
          <cell r="AZ3066" t="str">
            <v/>
          </cell>
          <cell r="BA3066" t="str">
            <v/>
          </cell>
        </row>
        <row r="3067">
          <cell r="B3067" t="str">
            <v>-</v>
          </cell>
          <cell r="E3067" t="str">
            <v/>
          </cell>
          <cell r="G3067" t="str">
            <v/>
          </cell>
          <cell r="J3067" t="str">
            <v/>
          </cell>
          <cell r="O3067" t="str">
            <v/>
          </cell>
          <cell r="P3067" t="str">
            <v/>
          </cell>
          <cell r="Q3067" t="str">
            <v/>
          </cell>
          <cell r="S3067" t="str">
            <v/>
          </cell>
          <cell r="V3067" t="str">
            <v/>
          </cell>
          <cell r="Z3067" t="str">
            <v/>
          </cell>
          <cell r="AA3067" t="str">
            <v/>
          </cell>
          <cell r="AB3067" t="str">
            <v/>
          </cell>
          <cell r="AC3067" t="str">
            <v/>
          </cell>
          <cell r="AD3067" t="str">
            <v/>
          </cell>
          <cell r="AY3067" t="str">
            <v/>
          </cell>
          <cell r="AZ3067" t="str">
            <v/>
          </cell>
          <cell r="BA3067" t="str">
            <v/>
          </cell>
        </row>
        <row r="3068">
          <cell r="B3068" t="str">
            <v>-</v>
          </cell>
          <cell r="E3068" t="str">
            <v/>
          </cell>
          <cell r="G3068" t="str">
            <v/>
          </cell>
          <cell r="J3068" t="str">
            <v/>
          </cell>
          <cell r="O3068" t="str">
            <v/>
          </cell>
          <cell r="P3068" t="str">
            <v/>
          </cell>
          <cell r="Q3068" t="str">
            <v/>
          </cell>
          <cell r="S3068" t="str">
            <v/>
          </cell>
          <cell r="V3068" t="str">
            <v/>
          </cell>
          <cell r="Z3068" t="str">
            <v/>
          </cell>
          <cell r="AA3068" t="str">
            <v/>
          </cell>
          <cell r="AB3068" t="str">
            <v/>
          </cell>
          <cell r="AC3068" t="str">
            <v/>
          </cell>
          <cell r="AD3068" t="str">
            <v/>
          </cell>
          <cell r="AY3068" t="str">
            <v/>
          </cell>
          <cell r="AZ3068" t="str">
            <v/>
          </cell>
          <cell r="BA3068" t="str">
            <v/>
          </cell>
        </row>
        <row r="3069">
          <cell r="B3069" t="str">
            <v>-</v>
          </cell>
          <cell r="E3069" t="str">
            <v/>
          </cell>
          <cell r="G3069" t="str">
            <v/>
          </cell>
          <cell r="J3069" t="str">
            <v/>
          </cell>
          <cell r="O3069" t="str">
            <v/>
          </cell>
          <cell r="P3069" t="str">
            <v/>
          </cell>
          <cell r="Q3069" t="str">
            <v/>
          </cell>
          <cell r="S3069" t="str">
            <v/>
          </cell>
          <cell r="V3069" t="str">
            <v/>
          </cell>
          <cell r="Z3069" t="str">
            <v/>
          </cell>
          <cell r="AA3069" t="str">
            <v/>
          </cell>
          <cell r="AB3069" t="str">
            <v/>
          </cell>
          <cell r="AC3069" t="str">
            <v/>
          </cell>
          <cell r="AD3069" t="str">
            <v/>
          </cell>
          <cell r="AY3069" t="str">
            <v/>
          </cell>
          <cell r="AZ3069" t="str">
            <v/>
          </cell>
          <cell r="BA3069" t="str">
            <v/>
          </cell>
        </row>
        <row r="3070">
          <cell r="B3070" t="str">
            <v>-</v>
          </cell>
          <cell r="E3070" t="str">
            <v/>
          </cell>
          <cell r="G3070" t="str">
            <v/>
          </cell>
          <cell r="J3070" t="str">
            <v/>
          </cell>
          <cell r="O3070" t="str">
            <v/>
          </cell>
          <cell r="P3070" t="str">
            <v/>
          </cell>
          <cell r="Q3070" t="str">
            <v/>
          </cell>
          <cell r="S3070" t="str">
            <v/>
          </cell>
          <cell r="V3070" t="str">
            <v/>
          </cell>
          <cell r="Z3070" t="str">
            <v/>
          </cell>
          <cell r="AA3070" t="str">
            <v/>
          </cell>
          <cell r="AB3070" t="str">
            <v/>
          </cell>
          <cell r="AC3070" t="str">
            <v/>
          </cell>
          <cell r="AD3070" t="str">
            <v/>
          </cell>
          <cell r="AY3070" t="str">
            <v/>
          </cell>
          <cell r="AZ3070" t="str">
            <v/>
          </cell>
          <cell r="BA3070" t="str">
            <v/>
          </cell>
        </row>
        <row r="3071">
          <cell r="B3071" t="str">
            <v>-</v>
          </cell>
          <cell r="E3071" t="str">
            <v/>
          </cell>
          <cell r="G3071" t="str">
            <v/>
          </cell>
          <cell r="J3071" t="str">
            <v/>
          </cell>
          <cell r="O3071" t="str">
            <v/>
          </cell>
          <cell r="P3071" t="str">
            <v/>
          </cell>
          <cell r="Q3071" t="str">
            <v/>
          </cell>
          <cell r="S3071" t="str">
            <v/>
          </cell>
          <cell r="V3071" t="str">
            <v/>
          </cell>
          <cell r="Z3071" t="str">
            <v/>
          </cell>
          <cell r="AA3071" t="str">
            <v/>
          </cell>
          <cell r="AB3071" t="str">
            <v/>
          </cell>
          <cell r="AC3071" t="str">
            <v/>
          </cell>
          <cell r="AD3071" t="str">
            <v/>
          </cell>
          <cell r="AY3071" t="str">
            <v/>
          </cell>
          <cell r="AZ3071" t="str">
            <v/>
          </cell>
          <cell r="BA3071" t="str">
            <v/>
          </cell>
        </row>
        <row r="3072">
          <cell r="B3072" t="str">
            <v>-</v>
          </cell>
          <cell r="E3072" t="str">
            <v/>
          </cell>
          <cell r="G3072" t="str">
            <v/>
          </cell>
          <cell r="J3072" t="str">
            <v/>
          </cell>
          <cell r="O3072" t="str">
            <v/>
          </cell>
          <cell r="P3072" t="str">
            <v/>
          </cell>
          <cell r="Q3072" t="str">
            <v/>
          </cell>
          <cell r="S3072" t="str">
            <v/>
          </cell>
          <cell r="V3072" t="str">
            <v/>
          </cell>
          <cell r="Z3072" t="str">
            <v/>
          </cell>
          <cell r="AA3072" t="str">
            <v/>
          </cell>
          <cell r="AB3072" t="str">
            <v/>
          </cell>
          <cell r="AC3072" t="str">
            <v/>
          </cell>
          <cell r="AD3072" t="str">
            <v/>
          </cell>
          <cell r="AY3072" t="str">
            <v/>
          </cell>
          <cell r="AZ3072" t="str">
            <v/>
          </cell>
          <cell r="BA3072" t="str">
            <v/>
          </cell>
        </row>
        <row r="3073">
          <cell r="B3073" t="str">
            <v>-</v>
          </cell>
          <cell r="E3073" t="str">
            <v/>
          </cell>
          <cell r="G3073" t="str">
            <v/>
          </cell>
          <cell r="J3073" t="str">
            <v/>
          </cell>
          <cell r="O3073" t="str">
            <v/>
          </cell>
          <cell r="P3073" t="str">
            <v/>
          </cell>
          <cell r="Q3073" t="str">
            <v/>
          </cell>
          <cell r="S3073" t="str">
            <v/>
          </cell>
          <cell r="V3073" t="str">
            <v/>
          </cell>
          <cell r="Z3073" t="str">
            <v/>
          </cell>
          <cell r="AA3073" t="str">
            <v/>
          </cell>
          <cell r="AB3073" t="str">
            <v/>
          </cell>
          <cell r="AC3073" t="str">
            <v/>
          </cell>
          <cell r="AD3073" t="str">
            <v/>
          </cell>
          <cell r="AY3073" t="str">
            <v/>
          </cell>
          <cell r="AZ3073" t="str">
            <v/>
          </cell>
          <cell r="BA3073" t="str">
            <v/>
          </cell>
        </row>
        <row r="3074">
          <cell r="B3074" t="str">
            <v>-</v>
          </cell>
          <cell r="E3074" t="str">
            <v/>
          </cell>
          <cell r="G3074" t="str">
            <v/>
          </cell>
          <cell r="J3074" t="str">
            <v/>
          </cell>
          <cell r="O3074" t="str">
            <v/>
          </cell>
          <cell r="P3074" t="str">
            <v/>
          </cell>
          <cell r="Q3074" t="str">
            <v/>
          </cell>
          <cell r="S3074" t="str">
            <v/>
          </cell>
          <cell r="V3074" t="str">
            <v/>
          </cell>
          <cell r="Z3074" t="str">
            <v/>
          </cell>
          <cell r="AA3074" t="str">
            <v/>
          </cell>
          <cell r="AB3074" t="str">
            <v/>
          </cell>
          <cell r="AC3074" t="str">
            <v/>
          </cell>
          <cell r="AD3074" t="str">
            <v/>
          </cell>
          <cell r="AY3074" t="str">
            <v/>
          </cell>
          <cell r="AZ3074" t="str">
            <v/>
          </cell>
          <cell r="BA3074" t="str">
            <v/>
          </cell>
        </row>
        <row r="3075">
          <cell r="B3075" t="str">
            <v>-</v>
          </cell>
          <cell r="E3075" t="str">
            <v/>
          </cell>
          <cell r="G3075" t="str">
            <v/>
          </cell>
          <cell r="J3075" t="str">
            <v/>
          </cell>
          <cell r="O3075" t="str">
            <v/>
          </cell>
          <cell r="P3075" t="str">
            <v/>
          </cell>
          <cell r="Q3075" t="str">
            <v/>
          </cell>
          <cell r="S3075" t="str">
            <v/>
          </cell>
          <cell r="V3075" t="str">
            <v/>
          </cell>
          <cell r="Z3075" t="str">
            <v/>
          </cell>
          <cell r="AA3075" t="str">
            <v/>
          </cell>
          <cell r="AB3075" t="str">
            <v/>
          </cell>
          <cell r="AC3075" t="str">
            <v/>
          </cell>
          <cell r="AD3075" t="str">
            <v/>
          </cell>
          <cell r="AY3075" t="str">
            <v/>
          </cell>
          <cell r="AZ3075" t="str">
            <v/>
          </cell>
          <cell r="BA3075" t="str">
            <v/>
          </cell>
        </row>
        <row r="3076">
          <cell r="B3076" t="str">
            <v>-</v>
          </cell>
          <cell r="E3076" t="str">
            <v/>
          </cell>
          <cell r="G3076" t="str">
            <v/>
          </cell>
          <cell r="J3076" t="str">
            <v/>
          </cell>
          <cell r="O3076" t="str">
            <v/>
          </cell>
          <cell r="P3076" t="str">
            <v/>
          </cell>
          <cell r="Q3076" t="str">
            <v/>
          </cell>
          <cell r="S3076" t="str">
            <v/>
          </cell>
          <cell r="V3076" t="str">
            <v/>
          </cell>
          <cell r="Z3076" t="str">
            <v/>
          </cell>
          <cell r="AA3076" t="str">
            <v/>
          </cell>
          <cell r="AB3076" t="str">
            <v/>
          </cell>
          <cell r="AC3076" t="str">
            <v/>
          </cell>
          <cell r="AD3076" t="str">
            <v/>
          </cell>
          <cell r="AY3076" t="str">
            <v/>
          </cell>
          <cell r="AZ3076" t="str">
            <v/>
          </cell>
          <cell r="BA3076" t="str">
            <v/>
          </cell>
        </row>
        <row r="3077">
          <cell r="B3077" t="str">
            <v>-</v>
          </cell>
          <cell r="E3077" t="str">
            <v/>
          </cell>
          <cell r="G3077" t="str">
            <v/>
          </cell>
          <cell r="J3077" t="str">
            <v/>
          </cell>
          <cell r="O3077" t="str">
            <v/>
          </cell>
          <cell r="P3077" t="str">
            <v/>
          </cell>
          <cell r="Q3077" t="str">
            <v/>
          </cell>
          <cell r="S3077" t="str">
            <v/>
          </cell>
          <cell r="V3077" t="str">
            <v/>
          </cell>
          <cell r="Z3077" t="str">
            <v/>
          </cell>
          <cell r="AA3077" t="str">
            <v/>
          </cell>
          <cell r="AB3077" t="str">
            <v/>
          </cell>
          <cell r="AC3077" t="str">
            <v/>
          </cell>
          <cell r="AD3077" t="str">
            <v/>
          </cell>
          <cell r="AY3077" t="str">
            <v/>
          </cell>
          <cell r="AZ3077" t="str">
            <v/>
          </cell>
          <cell r="BA3077" t="str">
            <v/>
          </cell>
        </row>
        <row r="3078">
          <cell r="B3078" t="str">
            <v>-</v>
          </cell>
          <cell r="E3078" t="str">
            <v/>
          </cell>
          <cell r="G3078" t="str">
            <v/>
          </cell>
          <cell r="J3078" t="str">
            <v/>
          </cell>
          <cell r="O3078" t="str">
            <v/>
          </cell>
          <cell r="P3078" t="str">
            <v/>
          </cell>
          <cell r="Q3078" t="str">
            <v/>
          </cell>
          <cell r="S3078" t="str">
            <v/>
          </cell>
          <cell r="V3078" t="str">
            <v/>
          </cell>
          <cell r="Z3078" t="str">
            <v/>
          </cell>
          <cell r="AA3078" t="str">
            <v/>
          </cell>
          <cell r="AB3078" t="str">
            <v/>
          </cell>
          <cell r="AC3078" t="str">
            <v/>
          </cell>
          <cell r="AD3078" t="str">
            <v/>
          </cell>
          <cell r="AY3078" t="str">
            <v/>
          </cell>
          <cell r="AZ3078" t="str">
            <v/>
          </cell>
          <cell r="BA3078" t="str">
            <v/>
          </cell>
        </row>
        <row r="3079">
          <cell r="B3079" t="str">
            <v>-</v>
          </cell>
          <cell r="E3079" t="str">
            <v/>
          </cell>
          <cell r="G3079" t="str">
            <v/>
          </cell>
          <cell r="J3079" t="str">
            <v/>
          </cell>
          <cell r="O3079" t="str">
            <v/>
          </cell>
          <cell r="P3079" t="str">
            <v/>
          </cell>
          <cell r="Q3079" t="str">
            <v/>
          </cell>
          <cell r="S3079" t="str">
            <v/>
          </cell>
          <cell r="V3079" t="str">
            <v/>
          </cell>
          <cell r="Z3079" t="str">
            <v/>
          </cell>
          <cell r="AA3079" t="str">
            <v/>
          </cell>
          <cell r="AB3079" t="str">
            <v/>
          </cell>
          <cell r="AC3079" t="str">
            <v/>
          </cell>
          <cell r="AD3079" t="str">
            <v/>
          </cell>
          <cell r="AY3079" t="str">
            <v/>
          </cell>
          <cell r="AZ3079" t="str">
            <v/>
          </cell>
          <cell r="BA3079" t="str">
            <v/>
          </cell>
        </row>
        <row r="3080">
          <cell r="B3080" t="str">
            <v>-</v>
          </cell>
          <cell r="E3080" t="str">
            <v/>
          </cell>
          <cell r="G3080" t="str">
            <v/>
          </cell>
          <cell r="J3080" t="str">
            <v/>
          </cell>
          <cell r="O3080" t="str">
            <v/>
          </cell>
          <cell r="P3080" t="str">
            <v/>
          </cell>
          <cell r="Q3080" t="str">
            <v/>
          </cell>
          <cell r="S3080" t="str">
            <v/>
          </cell>
          <cell r="V3080" t="str">
            <v/>
          </cell>
          <cell r="Z3080" t="str">
            <v/>
          </cell>
          <cell r="AA3080" t="str">
            <v/>
          </cell>
          <cell r="AB3080" t="str">
            <v/>
          </cell>
          <cell r="AC3080" t="str">
            <v/>
          </cell>
          <cell r="AD3080" t="str">
            <v/>
          </cell>
          <cell r="AY3080" t="str">
            <v/>
          </cell>
          <cell r="AZ3080" t="str">
            <v/>
          </cell>
          <cell r="BA3080" t="str">
            <v/>
          </cell>
        </row>
        <row r="3081">
          <cell r="B3081" t="str">
            <v>-</v>
          </cell>
          <cell r="E3081" t="str">
            <v/>
          </cell>
          <cell r="G3081" t="str">
            <v/>
          </cell>
          <cell r="J3081" t="str">
            <v/>
          </cell>
          <cell r="O3081" t="str">
            <v/>
          </cell>
          <cell r="P3081" t="str">
            <v/>
          </cell>
          <cell r="Q3081" t="str">
            <v/>
          </cell>
          <cell r="S3081" t="str">
            <v/>
          </cell>
          <cell r="V3081" t="str">
            <v/>
          </cell>
          <cell r="Z3081" t="str">
            <v/>
          </cell>
          <cell r="AA3081" t="str">
            <v/>
          </cell>
          <cell r="AB3081" t="str">
            <v/>
          </cell>
          <cell r="AC3081" t="str">
            <v/>
          </cell>
          <cell r="AD3081" t="str">
            <v/>
          </cell>
          <cell r="AY3081" t="str">
            <v/>
          </cell>
          <cell r="AZ3081" t="str">
            <v/>
          </cell>
          <cell r="BA3081" t="str">
            <v/>
          </cell>
        </row>
        <row r="3082">
          <cell r="B3082" t="str">
            <v>-</v>
          </cell>
          <cell r="E3082" t="str">
            <v/>
          </cell>
          <cell r="G3082" t="str">
            <v/>
          </cell>
          <cell r="J3082" t="str">
            <v/>
          </cell>
          <cell r="O3082" t="str">
            <v/>
          </cell>
          <cell r="P3082" t="str">
            <v/>
          </cell>
          <cell r="Q3082" t="str">
            <v/>
          </cell>
          <cell r="S3082" t="str">
            <v/>
          </cell>
          <cell r="V3082" t="str">
            <v/>
          </cell>
          <cell r="Z3082" t="str">
            <v/>
          </cell>
          <cell r="AA3082" t="str">
            <v/>
          </cell>
          <cell r="AB3082" t="str">
            <v/>
          </cell>
          <cell r="AC3082" t="str">
            <v/>
          </cell>
          <cell r="AD3082" t="str">
            <v/>
          </cell>
          <cell r="AY3082" t="str">
            <v/>
          </cell>
          <cell r="AZ3082" t="str">
            <v/>
          </cell>
          <cell r="BA3082" t="str">
            <v/>
          </cell>
        </row>
        <row r="3083">
          <cell r="B3083" t="str">
            <v>-</v>
          </cell>
          <cell r="E3083" t="str">
            <v/>
          </cell>
          <cell r="G3083" t="str">
            <v/>
          </cell>
          <cell r="J3083" t="str">
            <v/>
          </cell>
          <cell r="O3083" t="str">
            <v/>
          </cell>
          <cell r="P3083" t="str">
            <v/>
          </cell>
          <cell r="Q3083" t="str">
            <v/>
          </cell>
          <cell r="S3083" t="str">
            <v/>
          </cell>
          <cell r="V3083" t="str">
            <v/>
          </cell>
          <cell r="Z3083" t="str">
            <v/>
          </cell>
          <cell r="AA3083" t="str">
            <v/>
          </cell>
          <cell r="AB3083" t="str">
            <v/>
          </cell>
          <cell r="AC3083" t="str">
            <v/>
          </cell>
          <cell r="AD3083" t="str">
            <v/>
          </cell>
          <cell r="AY3083" t="str">
            <v/>
          </cell>
          <cell r="AZ3083" t="str">
            <v/>
          </cell>
          <cell r="BA3083" t="str">
            <v/>
          </cell>
        </row>
        <row r="3084">
          <cell r="B3084" t="str">
            <v>-</v>
          </cell>
          <cell r="E3084" t="str">
            <v/>
          </cell>
          <cell r="G3084" t="str">
            <v/>
          </cell>
          <cell r="J3084" t="str">
            <v/>
          </cell>
          <cell r="O3084" t="str">
            <v/>
          </cell>
          <cell r="P3084" t="str">
            <v/>
          </cell>
          <cell r="Q3084" t="str">
            <v/>
          </cell>
          <cell r="S3084" t="str">
            <v/>
          </cell>
          <cell r="V3084" t="str">
            <v/>
          </cell>
          <cell r="Z3084" t="str">
            <v/>
          </cell>
          <cell r="AA3084" t="str">
            <v/>
          </cell>
          <cell r="AB3084" t="str">
            <v/>
          </cell>
          <cell r="AC3084" t="str">
            <v/>
          </cell>
          <cell r="AD3084" t="str">
            <v/>
          </cell>
          <cell r="AY3084" t="str">
            <v/>
          </cell>
          <cell r="AZ3084" t="str">
            <v/>
          </cell>
          <cell r="BA3084" t="str">
            <v/>
          </cell>
        </row>
        <row r="3085">
          <cell r="B3085" t="str">
            <v>-</v>
          </cell>
          <cell r="E3085" t="str">
            <v/>
          </cell>
          <cell r="G3085" t="str">
            <v/>
          </cell>
          <cell r="J3085" t="str">
            <v/>
          </cell>
          <cell r="O3085" t="str">
            <v/>
          </cell>
          <cell r="P3085" t="str">
            <v/>
          </cell>
          <cell r="Q3085" t="str">
            <v/>
          </cell>
          <cell r="S3085" t="str">
            <v/>
          </cell>
          <cell r="V3085" t="str">
            <v/>
          </cell>
          <cell r="Z3085" t="str">
            <v/>
          </cell>
          <cell r="AA3085" t="str">
            <v/>
          </cell>
          <cell r="AB3085" t="str">
            <v/>
          </cell>
          <cell r="AC3085" t="str">
            <v/>
          </cell>
          <cell r="AD3085" t="str">
            <v/>
          </cell>
          <cell r="AY3085" t="str">
            <v/>
          </cell>
          <cell r="AZ3085" t="str">
            <v/>
          </cell>
          <cell r="BA3085" t="str">
            <v/>
          </cell>
        </row>
        <row r="3086">
          <cell r="B3086" t="str">
            <v>-</v>
          </cell>
          <cell r="E3086" t="str">
            <v/>
          </cell>
          <cell r="G3086" t="str">
            <v/>
          </cell>
          <cell r="J3086" t="str">
            <v/>
          </cell>
          <cell r="O3086" t="str">
            <v/>
          </cell>
          <cell r="P3086" t="str">
            <v/>
          </cell>
          <cell r="Q3086" t="str">
            <v/>
          </cell>
          <cell r="S3086" t="str">
            <v/>
          </cell>
          <cell r="V3086" t="str">
            <v/>
          </cell>
          <cell r="Z3086" t="str">
            <v/>
          </cell>
          <cell r="AA3086" t="str">
            <v/>
          </cell>
          <cell r="AB3086" t="str">
            <v/>
          </cell>
          <cell r="AC3086" t="str">
            <v/>
          </cell>
          <cell r="AD3086" t="str">
            <v/>
          </cell>
          <cell r="AY3086" t="str">
            <v/>
          </cell>
          <cell r="AZ3086" t="str">
            <v/>
          </cell>
          <cell r="BA3086" t="str">
            <v/>
          </cell>
        </row>
        <row r="3087">
          <cell r="B3087" t="str">
            <v>-</v>
          </cell>
          <cell r="E3087" t="str">
            <v/>
          </cell>
          <cell r="G3087" t="str">
            <v/>
          </cell>
          <cell r="J3087" t="str">
            <v/>
          </cell>
          <cell r="O3087" t="str">
            <v/>
          </cell>
          <cell r="P3087" t="str">
            <v/>
          </cell>
          <cell r="Q3087" t="str">
            <v/>
          </cell>
          <cell r="S3087" t="str">
            <v/>
          </cell>
          <cell r="V3087" t="str">
            <v/>
          </cell>
          <cell r="Z3087" t="str">
            <v/>
          </cell>
          <cell r="AA3087" t="str">
            <v/>
          </cell>
          <cell r="AB3087" t="str">
            <v/>
          </cell>
          <cell r="AC3087" t="str">
            <v/>
          </cell>
          <cell r="AD3087" t="str">
            <v/>
          </cell>
          <cell r="AY3087" t="str">
            <v/>
          </cell>
          <cell r="AZ3087" t="str">
            <v/>
          </cell>
          <cell r="BA3087" t="str">
            <v/>
          </cell>
        </row>
        <row r="3088">
          <cell r="B3088" t="str">
            <v>-</v>
          </cell>
          <cell r="E3088" t="str">
            <v/>
          </cell>
          <cell r="G3088" t="str">
            <v/>
          </cell>
          <cell r="J3088" t="str">
            <v/>
          </cell>
          <cell r="O3088" t="str">
            <v/>
          </cell>
          <cell r="P3088" t="str">
            <v/>
          </cell>
          <cell r="Q3088" t="str">
            <v/>
          </cell>
          <cell r="S3088" t="str">
            <v/>
          </cell>
          <cell r="V3088" t="str">
            <v/>
          </cell>
          <cell r="Z3088" t="str">
            <v/>
          </cell>
          <cell r="AA3088" t="str">
            <v/>
          </cell>
          <cell r="AB3088" t="str">
            <v/>
          </cell>
          <cell r="AC3088" t="str">
            <v/>
          </cell>
          <cell r="AD3088" t="str">
            <v/>
          </cell>
          <cell r="AY3088" t="str">
            <v/>
          </cell>
          <cell r="AZ3088" t="str">
            <v/>
          </cell>
          <cell r="BA3088" t="str">
            <v/>
          </cell>
        </row>
        <row r="3089">
          <cell r="B3089" t="str">
            <v>-</v>
          </cell>
          <cell r="E3089" t="str">
            <v/>
          </cell>
          <cell r="G3089" t="str">
            <v/>
          </cell>
          <cell r="J3089" t="str">
            <v/>
          </cell>
          <cell r="O3089" t="str">
            <v/>
          </cell>
          <cell r="P3089" t="str">
            <v/>
          </cell>
          <cell r="Q3089" t="str">
            <v/>
          </cell>
          <cell r="S3089" t="str">
            <v/>
          </cell>
          <cell r="V3089" t="str">
            <v/>
          </cell>
          <cell r="Z3089" t="str">
            <v/>
          </cell>
          <cell r="AA3089" t="str">
            <v/>
          </cell>
          <cell r="AB3089" t="str">
            <v/>
          </cell>
          <cell r="AC3089" t="str">
            <v/>
          </cell>
          <cell r="AD3089" t="str">
            <v/>
          </cell>
          <cell r="AY3089" t="str">
            <v/>
          </cell>
          <cell r="AZ3089" t="str">
            <v/>
          </cell>
          <cell r="BA3089" t="str">
            <v/>
          </cell>
        </row>
        <row r="3090">
          <cell r="B3090" t="str">
            <v>-</v>
          </cell>
          <cell r="E3090" t="str">
            <v/>
          </cell>
          <cell r="G3090" t="str">
            <v/>
          </cell>
          <cell r="J3090" t="str">
            <v/>
          </cell>
          <cell r="O3090" t="str">
            <v/>
          </cell>
          <cell r="P3090" t="str">
            <v/>
          </cell>
          <cell r="Q3090" t="str">
            <v/>
          </cell>
          <cell r="S3090" t="str">
            <v/>
          </cell>
          <cell r="V3090" t="str">
            <v/>
          </cell>
          <cell r="Z3090" t="str">
            <v/>
          </cell>
          <cell r="AA3090" t="str">
            <v/>
          </cell>
          <cell r="AB3090" t="str">
            <v/>
          </cell>
          <cell r="AC3090" t="str">
            <v/>
          </cell>
          <cell r="AD3090" t="str">
            <v/>
          </cell>
          <cell r="AY3090" t="str">
            <v/>
          </cell>
          <cell r="AZ3090" t="str">
            <v/>
          </cell>
          <cell r="BA3090" t="str">
            <v/>
          </cell>
        </row>
        <row r="3091">
          <cell r="B3091" t="str">
            <v>-</v>
          </cell>
          <cell r="E3091" t="str">
            <v/>
          </cell>
          <cell r="G3091" t="str">
            <v/>
          </cell>
          <cell r="J3091" t="str">
            <v/>
          </cell>
          <cell r="O3091" t="str">
            <v/>
          </cell>
          <cell r="P3091" t="str">
            <v/>
          </cell>
          <cell r="Q3091" t="str">
            <v/>
          </cell>
          <cell r="S3091" t="str">
            <v/>
          </cell>
          <cell r="V3091" t="str">
            <v/>
          </cell>
          <cell r="Z3091" t="str">
            <v/>
          </cell>
          <cell r="AA3091" t="str">
            <v/>
          </cell>
          <cell r="AB3091" t="str">
            <v/>
          </cell>
          <cell r="AC3091" t="str">
            <v/>
          </cell>
          <cell r="AD3091" t="str">
            <v/>
          </cell>
          <cell r="AY3091" t="str">
            <v/>
          </cell>
          <cell r="AZ3091" t="str">
            <v/>
          </cell>
          <cell r="BA3091" t="str">
            <v/>
          </cell>
        </row>
        <row r="3092">
          <cell r="B3092" t="str">
            <v>-</v>
          </cell>
          <cell r="E3092" t="str">
            <v/>
          </cell>
          <cell r="G3092" t="str">
            <v/>
          </cell>
          <cell r="J3092" t="str">
            <v/>
          </cell>
          <cell r="O3092" t="str">
            <v/>
          </cell>
          <cell r="P3092" t="str">
            <v/>
          </cell>
          <cell r="Q3092" t="str">
            <v/>
          </cell>
          <cell r="S3092" t="str">
            <v/>
          </cell>
          <cell r="V3092" t="str">
            <v/>
          </cell>
          <cell r="Z3092" t="str">
            <v/>
          </cell>
          <cell r="AA3092" t="str">
            <v/>
          </cell>
          <cell r="AB3092" t="str">
            <v/>
          </cell>
          <cell r="AC3092" t="str">
            <v/>
          </cell>
          <cell r="AD3092" t="str">
            <v/>
          </cell>
          <cell r="AY3092" t="str">
            <v/>
          </cell>
          <cell r="AZ3092" t="str">
            <v/>
          </cell>
          <cell r="BA3092" t="str">
            <v/>
          </cell>
        </row>
        <row r="3093">
          <cell r="B3093" t="str">
            <v>-</v>
          </cell>
          <cell r="E3093" t="str">
            <v/>
          </cell>
          <cell r="G3093" t="str">
            <v/>
          </cell>
          <cell r="J3093" t="str">
            <v/>
          </cell>
          <cell r="O3093" t="str">
            <v/>
          </cell>
          <cell r="P3093" t="str">
            <v/>
          </cell>
          <cell r="Q3093" t="str">
            <v/>
          </cell>
          <cell r="S3093" t="str">
            <v/>
          </cell>
          <cell r="V3093" t="str">
            <v/>
          </cell>
          <cell r="Z3093" t="str">
            <v/>
          </cell>
          <cell r="AA3093" t="str">
            <v/>
          </cell>
          <cell r="AB3093" t="str">
            <v/>
          </cell>
          <cell r="AC3093" t="str">
            <v/>
          </cell>
          <cell r="AD3093" t="str">
            <v/>
          </cell>
          <cell r="AY3093" t="str">
            <v/>
          </cell>
          <cell r="AZ3093" t="str">
            <v/>
          </cell>
          <cell r="BA3093" t="str">
            <v/>
          </cell>
        </row>
        <row r="3094">
          <cell r="B3094" t="str">
            <v>-</v>
          </cell>
          <cell r="E3094" t="str">
            <v/>
          </cell>
          <cell r="G3094" t="str">
            <v/>
          </cell>
          <cell r="J3094" t="str">
            <v/>
          </cell>
          <cell r="O3094" t="str">
            <v/>
          </cell>
          <cell r="P3094" t="str">
            <v/>
          </cell>
          <cell r="Q3094" t="str">
            <v/>
          </cell>
          <cell r="S3094" t="str">
            <v/>
          </cell>
          <cell r="V3094" t="str">
            <v/>
          </cell>
          <cell r="Z3094" t="str">
            <v/>
          </cell>
          <cell r="AA3094" t="str">
            <v/>
          </cell>
          <cell r="AB3094" t="str">
            <v/>
          </cell>
          <cell r="AC3094" t="str">
            <v/>
          </cell>
          <cell r="AD3094" t="str">
            <v/>
          </cell>
          <cell r="AY3094" t="str">
            <v/>
          </cell>
          <cell r="AZ3094" t="str">
            <v/>
          </cell>
          <cell r="BA3094" t="str">
            <v/>
          </cell>
        </row>
        <row r="3095">
          <cell r="B3095" t="str">
            <v>-</v>
          </cell>
          <cell r="E3095" t="str">
            <v/>
          </cell>
          <cell r="G3095" t="str">
            <v/>
          </cell>
          <cell r="J3095" t="str">
            <v/>
          </cell>
          <cell r="O3095" t="str">
            <v/>
          </cell>
          <cell r="P3095" t="str">
            <v/>
          </cell>
          <cell r="Q3095" t="str">
            <v/>
          </cell>
          <cell r="S3095" t="str">
            <v/>
          </cell>
          <cell r="V3095" t="str">
            <v/>
          </cell>
          <cell r="Z3095" t="str">
            <v/>
          </cell>
          <cell r="AA3095" t="str">
            <v/>
          </cell>
          <cell r="AB3095" t="str">
            <v/>
          </cell>
          <cell r="AC3095" t="str">
            <v/>
          </cell>
          <cell r="AD3095" t="str">
            <v/>
          </cell>
          <cell r="AY3095" t="str">
            <v/>
          </cell>
          <cell r="AZ3095" t="str">
            <v/>
          </cell>
          <cell r="BA3095" t="str">
            <v/>
          </cell>
        </row>
        <row r="3096">
          <cell r="B3096" t="str">
            <v>-</v>
          </cell>
          <cell r="E3096" t="str">
            <v/>
          </cell>
          <cell r="G3096" t="str">
            <v/>
          </cell>
          <cell r="J3096" t="str">
            <v/>
          </cell>
          <cell r="O3096" t="str">
            <v/>
          </cell>
          <cell r="P3096" t="str">
            <v/>
          </cell>
          <cell r="Q3096" t="str">
            <v/>
          </cell>
          <cell r="S3096" t="str">
            <v/>
          </cell>
          <cell r="V3096" t="str">
            <v/>
          </cell>
          <cell r="Z3096" t="str">
            <v/>
          </cell>
          <cell r="AA3096" t="str">
            <v/>
          </cell>
          <cell r="AB3096" t="str">
            <v/>
          </cell>
          <cell r="AC3096" t="str">
            <v/>
          </cell>
          <cell r="AD3096" t="str">
            <v/>
          </cell>
          <cell r="AY3096" t="str">
            <v/>
          </cell>
          <cell r="AZ3096" t="str">
            <v/>
          </cell>
          <cell r="BA3096" t="str">
            <v/>
          </cell>
        </row>
        <row r="3097">
          <cell r="B3097" t="str">
            <v>-</v>
          </cell>
          <cell r="E3097" t="str">
            <v/>
          </cell>
          <cell r="G3097" t="str">
            <v/>
          </cell>
          <cell r="J3097" t="str">
            <v/>
          </cell>
          <cell r="O3097" t="str">
            <v/>
          </cell>
          <cell r="P3097" t="str">
            <v/>
          </cell>
          <cell r="Q3097" t="str">
            <v/>
          </cell>
          <cell r="S3097" t="str">
            <v/>
          </cell>
          <cell r="V3097" t="str">
            <v/>
          </cell>
          <cell r="Z3097" t="str">
            <v/>
          </cell>
          <cell r="AA3097" t="str">
            <v/>
          </cell>
          <cell r="AB3097" t="str">
            <v/>
          </cell>
          <cell r="AC3097" t="str">
            <v/>
          </cell>
          <cell r="AD3097" t="str">
            <v/>
          </cell>
          <cell r="AY3097" t="str">
            <v/>
          </cell>
          <cell r="AZ3097" t="str">
            <v/>
          </cell>
          <cell r="BA3097" t="str">
            <v/>
          </cell>
        </row>
        <row r="3098">
          <cell r="B3098" t="str">
            <v>-</v>
          </cell>
          <cell r="E3098" t="str">
            <v/>
          </cell>
          <cell r="G3098" t="str">
            <v/>
          </cell>
          <cell r="J3098" t="str">
            <v/>
          </cell>
          <cell r="O3098" t="str">
            <v/>
          </cell>
          <cell r="P3098" t="str">
            <v/>
          </cell>
          <cell r="Q3098" t="str">
            <v/>
          </cell>
          <cell r="S3098" t="str">
            <v/>
          </cell>
          <cell r="V3098" t="str">
            <v/>
          </cell>
          <cell r="Z3098" t="str">
            <v/>
          </cell>
          <cell r="AA3098" t="str">
            <v/>
          </cell>
          <cell r="AB3098" t="str">
            <v/>
          </cell>
          <cell r="AC3098" t="str">
            <v/>
          </cell>
          <cell r="AD3098" t="str">
            <v/>
          </cell>
          <cell r="AY3098" t="str">
            <v/>
          </cell>
          <cell r="AZ3098" t="str">
            <v/>
          </cell>
          <cell r="BA3098" t="str">
            <v/>
          </cell>
        </row>
        <row r="3099">
          <cell r="B3099" t="str">
            <v>-</v>
          </cell>
          <cell r="E3099" t="str">
            <v/>
          </cell>
          <cell r="G3099" t="str">
            <v/>
          </cell>
          <cell r="J3099" t="str">
            <v/>
          </cell>
          <cell r="O3099" t="str">
            <v/>
          </cell>
          <cell r="P3099" t="str">
            <v/>
          </cell>
          <cell r="Q3099" t="str">
            <v/>
          </cell>
          <cell r="S3099" t="str">
            <v/>
          </cell>
          <cell r="V3099" t="str">
            <v/>
          </cell>
          <cell r="Z3099" t="str">
            <v/>
          </cell>
          <cell r="AA3099" t="str">
            <v/>
          </cell>
          <cell r="AB3099" t="str">
            <v/>
          </cell>
          <cell r="AC3099" t="str">
            <v/>
          </cell>
          <cell r="AD3099" t="str">
            <v/>
          </cell>
          <cell r="AY3099" t="str">
            <v/>
          </cell>
          <cell r="AZ3099" t="str">
            <v/>
          </cell>
          <cell r="BA3099" t="str">
            <v/>
          </cell>
        </row>
        <row r="3100">
          <cell r="B3100" t="str">
            <v>-</v>
          </cell>
          <cell r="E3100" t="str">
            <v/>
          </cell>
          <cell r="G3100" t="str">
            <v/>
          </cell>
          <cell r="J3100" t="str">
            <v/>
          </cell>
          <cell r="O3100" t="str">
            <v/>
          </cell>
          <cell r="P3100" t="str">
            <v/>
          </cell>
          <cell r="Q3100" t="str">
            <v/>
          </cell>
          <cell r="S3100" t="str">
            <v/>
          </cell>
          <cell r="V3100" t="str">
            <v/>
          </cell>
          <cell r="Z3100" t="str">
            <v/>
          </cell>
          <cell r="AA3100" t="str">
            <v/>
          </cell>
          <cell r="AB3100" t="str">
            <v/>
          </cell>
          <cell r="AC3100" t="str">
            <v/>
          </cell>
          <cell r="AD3100" t="str">
            <v/>
          </cell>
          <cell r="AY3100" t="str">
            <v/>
          </cell>
          <cell r="AZ3100" t="str">
            <v/>
          </cell>
          <cell r="BA3100" t="str">
            <v/>
          </cell>
        </row>
        <row r="3101">
          <cell r="B3101" t="str">
            <v>-</v>
          </cell>
          <cell r="E3101" t="str">
            <v/>
          </cell>
          <cell r="G3101" t="str">
            <v/>
          </cell>
          <cell r="J3101" t="str">
            <v/>
          </cell>
          <cell r="O3101" t="str">
            <v/>
          </cell>
          <cell r="P3101" t="str">
            <v/>
          </cell>
          <cell r="Q3101" t="str">
            <v/>
          </cell>
          <cell r="S3101" t="str">
            <v/>
          </cell>
          <cell r="V3101" t="str">
            <v/>
          </cell>
          <cell r="Z3101" t="str">
            <v/>
          </cell>
          <cell r="AA3101" t="str">
            <v/>
          </cell>
          <cell r="AB3101" t="str">
            <v/>
          </cell>
          <cell r="AC3101" t="str">
            <v/>
          </cell>
          <cell r="AD3101" t="str">
            <v/>
          </cell>
          <cell r="AY3101" t="str">
            <v/>
          </cell>
          <cell r="AZ3101" t="str">
            <v/>
          </cell>
          <cell r="BA3101" t="str">
            <v/>
          </cell>
        </row>
        <row r="3102">
          <cell r="B3102" t="str">
            <v>-</v>
          </cell>
          <cell r="E3102" t="str">
            <v/>
          </cell>
          <cell r="G3102" t="str">
            <v/>
          </cell>
          <cell r="J3102" t="str">
            <v/>
          </cell>
          <cell r="O3102" t="str">
            <v/>
          </cell>
          <cell r="P3102" t="str">
            <v/>
          </cell>
          <cell r="Q3102" t="str">
            <v/>
          </cell>
          <cell r="S3102" t="str">
            <v/>
          </cell>
          <cell r="V3102" t="str">
            <v/>
          </cell>
          <cell r="Z3102" t="str">
            <v/>
          </cell>
          <cell r="AA3102" t="str">
            <v/>
          </cell>
          <cell r="AB3102" t="str">
            <v/>
          </cell>
          <cell r="AC3102" t="str">
            <v/>
          </cell>
          <cell r="AD3102" t="str">
            <v/>
          </cell>
          <cell r="AY3102" t="str">
            <v/>
          </cell>
          <cell r="AZ3102" t="str">
            <v/>
          </cell>
          <cell r="BA3102" t="str">
            <v/>
          </cell>
        </row>
        <row r="3103">
          <cell r="B3103" t="str">
            <v>-</v>
          </cell>
          <cell r="E3103" t="str">
            <v/>
          </cell>
          <cell r="G3103" t="str">
            <v/>
          </cell>
          <cell r="J3103" t="str">
            <v/>
          </cell>
          <cell r="O3103" t="str">
            <v/>
          </cell>
          <cell r="P3103" t="str">
            <v/>
          </cell>
          <cell r="Q3103" t="str">
            <v/>
          </cell>
          <cell r="S3103" t="str">
            <v/>
          </cell>
          <cell r="V3103" t="str">
            <v/>
          </cell>
          <cell r="Z3103" t="str">
            <v/>
          </cell>
          <cell r="AA3103" t="str">
            <v/>
          </cell>
          <cell r="AB3103" t="str">
            <v/>
          </cell>
          <cell r="AC3103" t="str">
            <v/>
          </cell>
          <cell r="AD3103" t="str">
            <v/>
          </cell>
          <cell r="AY3103" t="str">
            <v/>
          </cell>
          <cell r="AZ3103" t="str">
            <v/>
          </cell>
          <cell r="BA3103" t="str">
            <v/>
          </cell>
        </row>
        <row r="3104">
          <cell r="B3104" t="str">
            <v>-</v>
          </cell>
          <cell r="E3104" t="str">
            <v/>
          </cell>
          <cell r="G3104" t="str">
            <v/>
          </cell>
          <cell r="J3104" t="str">
            <v/>
          </cell>
          <cell r="O3104" t="str">
            <v/>
          </cell>
          <cell r="P3104" t="str">
            <v/>
          </cell>
          <cell r="Q3104" t="str">
            <v/>
          </cell>
          <cell r="S3104" t="str">
            <v/>
          </cell>
          <cell r="V3104" t="str">
            <v/>
          </cell>
          <cell r="Z3104" t="str">
            <v/>
          </cell>
          <cell r="AA3104" t="str">
            <v/>
          </cell>
          <cell r="AB3104" t="str">
            <v/>
          </cell>
          <cell r="AC3104" t="str">
            <v/>
          </cell>
          <cell r="AD3104" t="str">
            <v/>
          </cell>
          <cell r="AY3104" t="str">
            <v/>
          </cell>
          <cell r="AZ3104" t="str">
            <v/>
          </cell>
          <cell r="BA3104" t="str">
            <v/>
          </cell>
        </row>
        <row r="3105">
          <cell r="B3105" t="str">
            <v>-</v>
          </cell>
          <cell r="E3105" t="str">
            <v/>
          </cell>
          <cell r="G3105" t="str">
            <v/>
          </cell>
          <cell r="J3105" t="str">
            <v/>
          </cell>
          <cell r="O3105" t="str">
            <v/>
          </cell>
          <cell r="P3105" t="str">
            <v/>
          </cell>
          <cell r="Q3105" t="str">
            <v/>
          </cell>
          <cell r="S3105" t="str">
            <v/>
          </cell>
          <cell r="V3105" t="str">
            <v/>
          </cell>
          <cell r="Z3105" t="str">
            <v/>
          </cell>
          <cell r="AA3105" t="str">
            <v/>
          </cell>
          <cell r="AB3105" t="str">
            <v/>
          </cell>
          <cell r="AC3105" t="str">
            <v/>
          </cell>
          <cell r="AD3105" t="str">
            <v/>
          </cell>
          <cell r="AY3105" t="str">
            <v/>
          </cell>
          <cell r="AZ3105" t="str">
            <v/>
          </cell>
          <cell r="BA3105" t="str">
            <v/>
          </cell>
        </row>
        <row r="3106">
          <cell r="B3106" t="str">
            <v>-</v>
          </cell>
          <cell r="E3106" t="str">
            <v/>
          </cell>
          <cell r="G3106" t="str">
            <v/>
          </cell>
          <cell r="J3106" t="str">
            <v/>
          </cell>
          <cell r="O3106" t="str">
            <v/>
          </cell>
          <cell r="P3106" t="str">
            <v/>
          </cell>
          <cell r="Q3106" t="str">
            <v/>
          </cell>
          <cell r="S3106" t="str">
            <v/>
          </cell>
          <cell r="V3106" t="str">
            <v/>
          </cell>
          <cell r="Z3106" t="str">
            <v/>
          </cell>
          <cell r="AA3106" t="str">
            <v/>
          </cell>
          <cell r="AB3106" t="str">
            <v/>
          </cell>
          <cell r="AC3106" t="str">
            <v/>
          </cell>
          <cell r="AD3106" t="str">
            <v/>
          </cell>
          <cell r="AY3106" t="str">
            <v/>
          </cell>
          <cell r="AZ3106" t="str">
            <v/>
          </cell>
          <cell r="BA3106" t="str">
            <v/>
          </cell>
        </row>
        <row r="3107">
          <cell r="B3107" t="str">
            <v>-</v>
          </cell>
          <cell r="E3107" t="str">
            <v/>
          </cell>
          <cell r="G3107" t="str">
            <v/>
          </cell>
          <cell r="J3107" t="str">
            <v/>
          </cell>
          <cell r="O3107" t="str">
            <v/>
          </cell>
          <cell r="P3107" t="str">
            <v/>
          </cell>
          <cell r="Q3107" t="str">
            <v/>
          </cell>
          <cell r="S3107" t="str">
            <v/>
          </cell>
          <cell r="V3107" t="str">
            <v/>
          </cell>
          <cell r="Z3107" t="str">
            <v/>
          </cell>
          <cell r="AA3107" t="str">
            <v/>
          </cell>
          <cell r="AB3107" t="str">
            <v/>
          </cell>
          <cell r="AC3107" t="str">
            <v/>
          </cell>
          <cell r="AD3107" t="str">
            <v/>
          </cell>
          <cell r="AY3107" t="str">
            <v/>
          </cell>
          <cell r="AZ3107" t="str">
            <v/>
          </cell>
          <cell r="BA3107" t="str">
            <v/>
          </cell>
        </row>
        <row r="3108">
          <cell r="B3108" t="str">
            <v>-</v>
          </cell>
          <cell r="E3108" t="str">
            <v/>
          </cell>
          <cell r="G3108" t="str">
            <v/>
          </cell>
          <cell r="J3108" t="str">
            <v/>
          </cell>
          <cell r="O3108" t="str">
            <v/>
          </cell>
          <cell r="P3108" t="str">
            <v/>
          </cell>
          <cell r="Q3108" t="str">
            <v/>
          </cell>
          <cell r="S3108" t="str">
            <v/>
          </cell>
          <cell r="V3108" t="str">
            <v/>
          </cell>
          <cell r="Z3108" t="str">
            <v/>
          </cell>
          <cell r="AA3108" t="str">
            <v/>
          </cell>
          <cell r="AB3108" t="str">
            <v/>
          </cell>
          <cell r="AC3108" t="str">
            <v/>
          </cell>
          <cell r="AD3108" t="str">
            <v/>
          </cell>
          <cell r="AY3108" t="str">
            <v/>
          </cell>
          <cell r="AZ3108" t="str">
            <v/>
          </cell>
          <cell r="BA3108" t="str">
            <v/>
          </cell>
        </row>
        <row r="3109">
          <cell r="B3109" t="str">
            <v>-</v>
          </cell>
          <cell r="E3109" t="str">
            <v/>
          </cell>
          <cell r="G3109" t="str">
            <v/>
          </cell>
          <cell r="J3109" t="str">
            <v/>
          </cell>
          <cell r="O3109" t="str">
            <v/>
          </cell>
          <cell r="P3109" t="str">
            <v/>
          </cell>
          <cell r="Q3109" t="str">
            <v/>
          </cell>
          <cell r="S3109" t="str">
            <v/>
          </cell>
          <cell r="V3109" t="str">
            <v/>
          </cell>
          <cell r="Z3109" t="str">
            <v/>
          </cell>
          <cell r="AA3109" t="str">
            <v/>
          </cell>
          <cell r="AB3109" t="str">
            <v/>
          </cell>
          <cell r="AC3109" t="str">
            <v/>
          </cell>
          <cell r="AD3109" t="str">
            <v/>
          </cell>
          <cell r="AY3109" t="str">
            <v/>
          </cell>
          <cell r="AZ3109" t="str">
            <v/>
          </cell>
          <cell r="BA3109" t="str">
            <v/>
          </cell>
        </row>
        <row r="3110">
          <cell r="B3110" t="str">
            <v>-</v>
          </cell>
          <cell r="E3110" t="str">
            <v/>
          </cell>
          <cell r="G3110" t="str">
            <v/>
          </cell>
          <cell r="J3110" t="str">
            <v/>
          </cell>
          <cell r="O3110" t="str">
            <v/>
          </cell>
          <cell r="P3110" t="str">
            <v/>
          </cell>
          <cell r="Q3110" t="str">
            <v/>
          </cell>
          <cell r="S3110" t="str">
            <v/>
          </cell>
          <cell r="V3110" t="str">
            <v/>
          </cell>
          <cell r="Z3110" t="str">
            <v/>
          </cell>
          <cell r="AA3110" t="str">
            <v/>
          </cell>
          <cell r="AB3110" t="str">
            <v/>
          </cell>
          <cell r="AC3110" t="str">
            <v/>
          </cell>
          <cell r="AD3110" t="str">
            <v/>
          </cell>
          <cell r="AY3110" t="str">
            <v/>
          </cell>
          <cell r="AZ3110" t="str">
            <v/>
          </cell>
          <cell r="BA3110" t="str">
            <v/>
          </cell>
        </row>
        <row r="3111">
          <cell r="B3111" t="str">
            <v>-</v>
          </cell>
          <cell r="E3111" t="str">
            <v/>
          </cell>
          <cell r="G3111" t="str">
            <v/>
          </cell>
          <cell r="J3111" t="str">
            <v/>
          </cell>
          <cell r="O3111" t="str">
            <v/>
          </cell>
          <cell r="P3111" t="str">
            <v/>
          </cell>
          <cell r="Q3111" t="str">
            <v/>
          </cell>
          <cell r="S3111" t="str">
            <v/>
          </cell>
          <cell r="V3111" t="str">
            <v/>
          </cell>
          <cell r="Z3111" t="str">
            <v/>
          </cell>
          <cell r="AA3111" t="str">
            <v/>
          </cell>
          <cell r="AB3111" t="str">
            <v/>
          </cell>
          <cell r="AC3111" t="str">
            <v/>
          </cell>
          <cell r="AD3111" t="str">
            <v/>
          </cell>
          <cell r="AY3111" t="str">
            <v/>
          </cell>
          <cell r="AZ3111" t="str">
            <v/>
          </cell>
          <cell r="BA3111" t="str">
            <v/>
          </cell>
        </row>
        <row r="3112">
          <cell r="B3112" t="str">
            <v>-</v>
          </cell>
          <cell r="E3112" t="str">
            <v/>
          </cell>
          <cell r="G3112" t="str">
            <v/>
          </cell>
          <cell r="J3112" t="str">
            <v/>
          </cell>
          <cell r="O3112" t="str">
            <v/>
          </cell>
          <cell r="P3112" t="str">
            <v/>
          </cell>
          <cell r="Q3112" t="str">
            <v/>
          </cell>
          <cell r="S3112" t="str">
            <v/>
          </cell>
          <cell r="V3112" t="str">
            <v/>
          </cell>
          <cell r="Z3112" t="str">
            <v/>
          </cell>
          <cell r="AA3112" t="str">
            <v/>
          </cell>
          <cell r="AB3112" t="str">
            <v/>
          </cell>
          <cell r="AC3112" t="str">
            <v/>
          </cell>
          <cell r="AD3112" t="str">
            <v/>
          </cell>
          <cell r="AY3112" t="str">
            <v/>
          </cell>
          <cell r="AZ3112" t="str">
            <v/>
          </cell>
          <cell r="BA3112" t="str">
            <v/>
          </cell>
        </row>
        <row r="3113">
          <cell r="B3113" t="str">
            <v>-</v>
          </cell>
          <cell r="E3113" t="str">
            <v/>
          </cell>
          <cell r="G3113" t="str">
            <v/>
          </cell>
          <cell r="J3113" t="str">
            <v/>
          </cell>
          <cell r="O3113" t="str">
            <v/>
          </cell>
          <cell r="P3113" t="str">
            <v/>
          </cell>
          <cell r="Q3113" t="str">
            <v/>
          </cell>
          <cell r="S3113" t="str">
            <v/>
          </cell>
          <cell r="V3113" t="str">
            <v/>
          </cell>
          <cell r="Z3113" t="str">
            <v/>
          </cell>
          <cell r="AA3113" t="str">
            <v/>
          </cell>
          <cell r="AB3113" t="str">
            <v/>
          </cell>
          <cell r="AC3113" t="str">
            <v/>
          </cell>
          <cell r="AD3113" t="str">
            <v/>
          </cell>
          <cell r="AY3113" t="str">
            <v/>
          </cell>
          <cell r="AZ3113" t="str">
            <v/>
          </cell>
          <cell r="BA3113" t="str">
            <v/>
          </cell>
        </row>
        <row r="3114">
          <cell r="B3114" t="str">
            <v>-</v>
          </cell>
          <cell r="E3114" t="str">
            <v/>
          </cell>
          <cell r="G3114" t="str">
            <v/>
          </cell>
          <cell r="J3114" t="str">
            <v/>
          </cell>
          <cell r="O3114" t="str">
            <v/>
          </cell>
          <cell r="P3114" t="str">
            <v/>
          </cell>
          <cell r="Q3114" t="str">
            <v/>
          </cell>
          <cell r="S3114" t="str">
            <v/>
          </cell>
          <cell r="V3114" t="str">
            <v/>
          </cell>
          <cell r="Z3114" t="str">
            <v/>
          </cell>
          <cell r="AA3114" t="str">
            <v/>
          </cell>
          <cell r="AB3114" t="str">
            <v/>
          </cell>
          <cell r="AC3114" t="str">
            <v/>
          </cell>
          <cell r="AD3114" t="str">
            <v/>
          </cell>
          <cell r="AY3114" t="str">
            <v/>
          </cell>
          <cell r="AZ3114" t="str">
            <v/>
          </cell>
          <cell r="BA3114" t="str">
            <v/>
          </cell>
        </row>
        <row r="3115">
          <cell r="B3115" t="str">
            <v>-</v>
          </cell>
          <cell r="E3115" t="str">
            <v/>
          </cell>
          <cell r="G3115" t="str">
            <v/>
          </cell>
          <cell r="J3115" t="str">
            <v/>
          </cell>
          <cell r="O3115" t="str">
            <v/>
          </cell>
          <cell r="P3115" t="str">
            <v/>
          </cell>
          <cell r="Q3115" t="str">
            <v/>
          </cell>
          <cell r="S3115" t="str">
            <v/>
          </cell>
          <cell r="V3115" t="str">
            <v/>
          </cell>
          <cell r="Z3115" t="str">
            <v/>
          </cell>
          <cell r="AA3115" t="str">
            <v/>
          </cell>
          <cell r="AB3115" t="str">
            <v/>
          </cell>
          <cell r="AC3115" t="str">
            <v/>
          </cell>
          <cell r="AD3115" t="str">
            <v/>
          </cell>
          <cell r="AY3115" t="str">
            <v/>
          </cell>
          <cell r="AZ3115" t="str">
            <v/>
          </cell>
          <cell r="BA3115" t="str">
            <v/>
          </cell>
        </row>
        <row r="3116">
          <cell r="B3116" t="str">
            <v>-</v>
          </cell>
          <cell r="E3116" t="str">
            <v/>
          </cell>
          <cell r="G3116" t="str">
            <v/>
          </cell>
          <cell r="J3116" t="str">
            <v/>
          </cell>
          <cell r="O3116" t="str">
            <v/>
          </cell>
          <cell r="P3116" t="str">
            <v/>
          </cell>
          <cell r="Q3116" t="str">
            <v/>
          </cell>
          <cell r="S3116" t="str">
            <v/>
          </cell>
          <cell r="V3116" t="str">
            <v/>
          </cell>
          <cell r="Z3116" t="str">
            <v/>
          </cell>
          <cell r="AA3116" t="str">
            <v/>
          </cell>
          <cell r="AB3116" t="str">
            <v/>
          </cell>
          <cell r="AC3116" t="str">
            <v/>
          </cell>
          <cell r="AD3116" t="str">
            <v/>
          </cell>
          <cell r="AY3116" t="str">
            <v/>
          </cell>
          <cell r="AZ3116" t="str">
            <v/>
          </cell>
          <cell r="BA3116" t="str">
            <v/>
          </cell>
        </row>
        <row r="3117">
          <cell r="B3117" t="str">
            <v>-</v>
          </cell>
          <cell r="E3117" t="str">
            <v/>
          </cell>
          <cell r="G3117" t="str">
            <v/>
          </cell>
          <cell r="J3117" t="str">
            <v/>
          </cell>
          <cell r="O3117" t="str">
            <v/>
          </cell>
          <cell r="P3117" t="str">
            <v/>
          </cell>
          <cell r="Q3117" t="str">
            <v/>
          </cell>
          <cell r="S3117" t="str">
            <v/>
          </cell>
          <cell r="V3117" t="str">
            <v/>
          </cell>
          <cell r="Z3117" t="str">
            <v/>
          </cell>
          <cell r="AA3117" t="str">
            <v/>
          </cell>
          <cell r="AB3117" t="str">
            <v/>
          </cell>
          <cell r="AC3117" t="str">
            <v/>
          </cell>
          <cell r="AD3117" t="str">
            <v/>
          </cell>
          <cell r="AY3117" t="str">
            <v/>
          </cell>
          <cell r="AZ3117" t="str">
            <v/>
          </cell>
          <cell r="BA3117" t="str">
            <v/>
          </cell>
        </row>
        <row r="3118">
          <cell r="B3118" t="str">
            <v>-</v>
          </cell>
          <cell r="E3118" t="str">
            <v/>
          </cell>
          <cell r="G3118" t="str">
            <v/>
          </cell>
          <cell r="J3118" t="str">
            <v/>
          </cell>
          <cell r="O3118" t="str">
            <v/>
          </cell>
          <cell r="P3118" t="str">
            <v/>
          </cell>
          <cell r="Q3118" t="str">
            <v/>
          </cell>
          <cell r="S3118" t="str">
            <v/>
          </cell>
          <cell r="V3118" t="str">
            <v/>
          </cell>
          <cell r="Z3118" t="str">
            <v/>
          </cell>
          <cell r="AA3118" t="str">
            <v/>
          </cell>
          <cell r="AB3118" t="str">
            <v/>
          </cell>
          <cell r="AC3118" t="str">
            <v/>
          </cell>
          <cell r="AD3118" t="str">
            <v/>
          </cell>
          <cell r="AY3118" t="str">
            <v/>
          </cell>
          <cell r="AZ3118" t="str">
            <v/>
          </cell>
          <cell r="BA3118" t="str">
            <v/>
          </cell>
        </row>
        <row r="3119">
          <cell r="B3119" t="str">
            <v>-</v>
          </cell>
          <cell r="E3119" t="str">
            <v/>
          </cell>
          <cell r="G3119" t="str">
            <v/>
          </cell>
          <cell r="J3119" t="str">
            <v/>
          </cell>
          <cell r="O3119" t="str">
            <v/>
          </cell>
          <cell r="P3119" t="str">
            <v/>
          </cell>
          <cell r="Q3119" t="str">
            <v/>
          </cell>
          <cell r="S3119" t="str">
            <v/>
          </cell>
          <cell r="V3119" t="str">
            <v/>
          </cell>
          <cell r="Z3119" t="str">
            <v/>
          </cell>
          <cell r="AA3119" t="str">
            <v/>
          </cell>
          <cell r="AB3119" t="str">
            <v/>
          </cell>
          <cell r="AC3119" t="str">
            <v/>
          </cell>
          <cell r="AD3119" t="str">
            <v/>
          </cell>
          <cell r="AY3119" t="str">
            <v/>
          </cell>
          <cell r="AZ3119" t="str">
            <v/>
          </cell>
          <cell r="BA3119" t="str">
            <v/>
          </cell>
        </row>
        <row r="3120">
          <cell r="B3120" t="str">
            <v>-</v>
          </cell>
          <cell r="E3120" t="str">
            <v/>
          </cell>
          <cell r="G3120" t="str">
            <v/>
          </cell>
          <cell r="J3120" t="str">
            <v/>
          </cell>
          <cell r="O3120" t="str">
            <v/>
          </cell>
          <cell r="P3120" t="str">
            <v/>
          </cell>
          <cell r="Q3120" t="str">
            <v/>
          </cell>
          <cell r="S3120" t="str">
            <v/>
          </cell>
          <cell r="V3120" t="str">
            <v/>
          </cell>
          <cell r="Z3120" t="str">
            <v/>
          </cell>
          <cell r="AA3120" t="str">
            <v/>
          </cell>
          <cell r="AB3120" t="str">
            <v/>
          </cell>
          <cell r="AC3120" t="str">
            <v/>
          </cell>
          <cell r="AD3120" t="str">
            <v/>
          </cell>
          <cell r="AY3120" t="str">
            <v/>
          </cell>
          <cell r="AZ3120" t="str">
            <v/>
          </cell>
          <cell r="BA3120" t="str">
            <v/>
          </cell>
        </row>
        <row r="3121">
          <cell r="B3121" t="str">
            <v>-</v>
          </cell>
          <cell r="E3121" t="str">
            <v/>
          </cell>
          <cell r="G3121" t="str">
            <v/>
          </cell>
          <cell r="J3121" t="str">
            <v/>
          </cell>
          <cell r="O3121" t="str">
            <v/>
          </cell>
          <cell r="P3121" t="str">
            <v/>
          </cell>
          <cell r="Q3121" t="str">
            <v/>
          </cell>
          <cell r="S3121" t="str">
            <v/>
          </cell>
          <cell r="V3121" t="str">
            <v/>
          </cell>
          <cell r="Z3121" t="str">
            <v/>
          </cell>
          <cell r="AA3121" t="str">
            <v/>
          </cell>
          <cell r="AB3121" t="str">
            <v/>
          </cell>
          <cell r="AC3121" t="str">
            <v/>
          </cell>
          <cell r="AD3121" t="str">
            <v/>
          </cell>
          <cell r="AY3121" t="str">
            <v/>
          </cell>
          <cell r="AZ3121" t="str">
            <v/>
          </cell>
          <cell r="BA3121" t="str">
            <v/>
          </cell>
        </row>
        <row r="3122">
          <cell r="B3122" t="str">
            <v>-</v>
          </cell>
          <cell r="E3122" t="str">
            <v/>
          </cell>
          <cell r="G3122" t="str">
            <v/>
          </cell>
          <cell r="J3122" t="str">
            <v/>
          </cell>
          <cell r="O3122" t="str">
            <v/>
          </cell>
          <cell r="P3122" t="str">
            <v/>
          </cell>
          <cell r="Q3122" t="str">
            <v/>
          </cell>
          <cell r="S3122" t="str">
            <v/>
          </cell>
          <cell r="V3122" t="str">
            <v/>
          </cell>
          <cell r="Z3122" t="str">
            <v/>
          </cell>
          <cell r="AA3122" t="str">
            <v/>
          </cell>
          <cell r="AB3122" t="str">
            <v/>
          </cell>
          <cell r="AC3122" t="str">
            <v/>
          </cell>
          <cell r="AD3122" t="str">
            <v/>
          </cell>
          <cell r="AY3122" t="str">
            <v/>
          </cell>
          <cell r="AZ3122" t="str">
            <v/>
          </cell>
          <cell r="BA3122" t="str">
            <v/>
          </cell>
        </row>
        <row r="3123">
          <cell r="B3123" t="str">
            <v>-</v>
          </cell>
          <cell r="E3123" t="str">
            <v/>
          </cell>
          <cell r="G3123" t="str">
            <v/>
          </cell>
          <cell r="J3123" t="str">
            <v/>
          </cell>
          <cell r="O3123" t="str">
            <v/>
          </cell>
          <cell r="P3123" t="str">
            <v/>
          </cell>
          <cell r="Q3123" t="str">
            <v/>
          </cell>
          <cell r="S3123" t="str">
            <v/>
          </cell>
          <cell r="V3123" t="str">
            <v/>
          </cell>
          <cell r="Z3123" t="str">
            <v/>
          </cell>
          <cell r="AA3123" t="str">
            <v/>
          </cell>
          <cell r="AB3123" t="str">
            <v/>
          </cell>
          <cell r="AC3123" t="str">
            <v/>
          </cell>
          <cell r="AD3123" t="str">
            <v/>
          </cell>
          <cell r="AY3123" t="str">
            <v/>
          </cell>
          <cell r="AZ3123" t="str">
            <v/>
          </cell>
          <cell r="BA3123" t="str">
            <v/>
          </cell>
        </row>
        <row r="3124">
          <cell r="B3124" t="str">
            <v>-</v>
          </cell>
          <cell r="E3124" t="str">
            <v/>
          </cell>
          <cell r="G3124" t="str">
            <v/>
          </cell>
          <cell r="J3124" t="str">
            <v/>
          </cell>
          <cell r="O3124" t="str">
            <v/>
          </cell>
          <cell r="P3124" t="str">
            <v/>
          </cell>
          <cell r="Q3124" t="str">
            <v/>
          </cell>
          <cell r="S3124" t="str">
            <v/>
          </cell>
          <cell r="V3124" t="str">
            <v/>
          </cell>
          <cell r="Z3124" t="str">
            <v/>
          </cell>
          <cell r="AA3124" t="str">
            <v/>
          </cell>
          <cell r="AB3124" t="str">
            <v/>
          </cell>
          <cell r="AC3124" t="str">
            <v/>
          </cell>
          <cell r="AD3124" t="str">
            <v/>
          </cell>
          <cell r="AY3124" t="str">
            <v/>
          </cell>
          <cell r="AZ3124" t="str">
            <v/>
          </cell>
          <cell r="BA3124" t="str">
            <v/>
          </cell>
        </row>
        <row r="3125">
          <cell r="B3125" t="str">
            <v>-</v>
          </cell>
          <cell r="E3125" t="str">
            <v/>
          </cell>
          <cell r="G3125" t="str">
            <v/>
          </cell>
          <cell r="J3125" t="str">
            <v/>
          </cell>
          <cell r="O3125" t="str">
            <v/>
          </cell>
          <cell r="P3125" t="str">
            <v/>
          </cell>
          <cell r="Q3125" t="str">
            <v/>
          </cell>
          <cell r="S3125" t="str">
            <v/>
          </cell>
          <cell r="V3125" t="str">
            <v/>
          </cell>
          <cell r="Z3125" t="str">
            <v/>
          </cell>
          <cell r="AA3125" t="str">
            <v/>
          </cell>
          <cell r="AB3125" t="str">
            <v/>
          </cell>
          <cell r="AC3125" t="str">
            <v/>
          </cell>
          <cell r="AD3125" t="str">
            <v/>
          </cell>
          <cell r="AY3125" t="str">
            <v/>
          </cell>
          <cell r="AZ3125" t="str">
            <v/>
          </cell>
          <cell r="BA3125" t="str">
            <v/>
          </cell>
        </row>
        <row r="3126">
          <cell r="B3126" t="str">
            <v>-</v>
          </cell>
          <cell r="E3126" t="str">
            <v/>
          </cell>
          <cell r="G3126" t="str">
            <v/>
          </cell>
          <cell r="J3126" t="str">
            <v/>
          </cell>
          <cell r="O3126" t="str">
            <v/>
          </cell>
          <cell r="P3126" t="str">
            <v/>
          </cell>
          <cell r="Q3126" t="str">
            <v/>
          </cell>
          <cell r="S3126" t="str">
            <v/>
          </cell>
          <cell r="V3126" t="str">
            <v/>
          </cell>
          <cell r="Z3126" t="str">
            <v/>
          </cell>
          <cell r="AA3126" t="str">
            <v/>
          </cell>
          <cell r="AB3126" t="str">
            <v/>
          </cell>
          <cell r="AC3126" t="str">
            <v/>
          </cell>
          <cell r="AD3126" t="str">
            <v/>
          </cell>
          <cell r="AY3126" t="str">
            <v/>
          </cell>
          <cell r="AZ3126" t="str">
            <v/>
          </cell>
          <cell r="BA3126" t="str">
            <v/>
          </cell>
        </row>
        <row r="3127">
          <cell r="B3127" t="str">
            <v>-</v>
          </cell>
          <cell r="E3127" t="str">
            <v/>
          </cell>
          <cell r="G3127" t="str">
            <v/>
          </cell>
          <cell r="J3127" t="str">
            <v/>
          </cell>
          <cell r="O3127" t="str">
            <v/>
          </cell>
          <cell r="P3127" t="str">
            <v/>
          </cell>
          <cell r="Q3127" t="str">
            <v/>
          </cell>
          <cell r="S3127" t="str">
            <v/>
          </cell>
          <cell r="V3127" t="str">
            <v/>
          </cell>
          <cell r="Z3127" t="str">
            <v/>
          </cell>
          <cell r="AA3127" t="str">
            <v/>
          </cell>
          <cell r="AB3127" t="str">
            <v/>
          </cell>
          <cell r="AC3127" t="str">
            <v/>
          </cell>
          <cell r="AD3127" t="str">
            <v/>
          </cell>
          <cell r="AY3127" t="str">
            <v/>
          </cell>
          <cell r="AZ3127" t="str">
            <v/>
          </cell>
          <cell r="BA3127" t="str">
            <v/>
          </cell>
        </row>
        <row r="3128">
          <cell r="B3128" t="str">
            <v>-</v>
          </cell>
          <cell r="E3128" t="str">
            <v/>
          </cell>
          <cell r="G3128" t="str">
            <v/>
          </cell>
          <cell r="J3128" t="str">
            <v/>
          </cell>
          <cell r="O3128" t="str">
            <v/>
          </cell>
          <cell r="P3128" t="str">
            <v/>
          </cell>
          <cell r="Q3128" t="str">
            <v/>
          </cell>
          <cell r="S3128" t="str">
            <v/>
          </cell>
          <cell r="V3128" t="str">
            <v/>
          </cell>
          <cell r="Z3128" t="str">
            <v/>
          </cell>
          <cell r="AA3128" t="str">
            <v/>
          </cell>
          <cell r="AB3128" t="str">
            <v/>
          </cell>
          <cell r="AC3128" t="str">
            <v/>
          </cell>
          <cell r="AD3128" t="str">
            <v/>
          </cell>
          <cell r="AY3128" t="str">
            <v/>
          </cell>
          <cell r="AZ3128" t="str">
            <v/>
          </cell>
          <cell r="BA3128" t="str">
            <v/>
          </cell>
        </row>
        <row r="3129">
          <cell r="B3129" t="str">
            <v>-</v>
          </cell>
          <cell r="E3129" t="str">
            <v/>
          </cell>
          <cell r="G3129" t="str">
            <v/>
          </cell>
          <cell r="J3129" t="str">
            <v/>
          </cell>
          <cell r="O3129" t="str">
            <v/>
          </cell>
          <cell r="P3129" t="str">
            <v/>
          </cell>
          <cell r="Q3129" t="str">
            <v/>
          </cell>
          <cell r="S3129" t="str">
            <v/>
          </cell>
          <cell r="V3129" t="str">
            <v/>
          </cell>
          <cell r="Z3129" t="str">
            <v/>
          </cell>
          <cell r="AA3129" t="str">
            <v/>
          </cell>
          <cell r="AB3129" t="str">
            <v/>
          </cell>
          <cell r="AC3129" t="str">
            <v/>
          </cell>
          <cell r="AD3129" t="str">
            <v/>
          </cell>
          <cell r="AY3129" t="str">
            <v/>
          </cell>
          <cell r="AZ3129" t="str">
            <v/>
          </cell>
          <cell r="BA3129" t="str">
            <v/>
          </cell>
        </row>
        <row r="3130">
          <cell r="B3130" t="str">
            <v>-</v>
          </cell>
          <cell r="E3130" t="str">
            <v/>
          </cell>
          <cell r="G3130" t="str">
            <v/>
          </cell>
          <cell r="J3130" t="str">
            <v/>
          </cell>
          <cell r="O3130" t="str">
            <v/>
          </cell>
          <cell r="P3130" t="str">
            <v/>
          </cell>
          <cell r="Q3130" t="str">
            <v/>
          </cell>
          <cell r="S3130" t="str">
            <v/>
          </cell>
          <cell r="V3130" t="str">
            <v/>
          </cell>
          <cell r="Z3130" t="str">
            <v/>
          </cell>
          <cell r="AA3130" t="str">
            <v/>
          </cell>
          <cell r="AB3130" t="str">
            <v/>
          </cell>
          <cell r="AC3130" t="str">
            <v/>
          </cell>
          <cell r="AD3130" t="str">
            <v/>
          </cell>
          <cell r="AY3130" t="str">
            <v/>
          </cell>
          <cell r="AZ3130" t="str">
            <v/>
          </cell>
          <cell r="BA3130" t="str">
            <v/>
          </cell>
        </row>
        <row r="3131">
          <cell r="B3131" t="str">
            <v>-</v>
          </cell>
          <cell r="E3131" t="str">
            <v/>
          </cell>
          <cell r="G3131" t="str">
            <v/>
          </cell>
          <cell r="J3131" t="str">
            <v/>
          </cell>
          <cell r="O3131" t="str">
            <v/>
          </cell>
          <cell r="P3131" t="str">
            <v/>
          </cell>
          <cell r="Q3131" t="str">
            <v/>
          </cell>
          <cell r="S3131" t="str">
            <v/>
          </cell>
          <cell r="V3131" t="str">
            <v/>
          </cell>
          <cell r="Z3131" t="str">
            <v/>
          </cell>
          <cell r="AA3131" t="str">
            <v/>
          </cell>
          <cell r="AB3131" t="str">
            <v/>
          </cell>
          <cell r="AC3131" t="str">
            <v/>
          </cell>
          <cell r="AD3131" t="str">
            <v/>
          </cell>
          <cell r="AY3131" t="str">
            <v/>
          </cell>
          <cell r="AZ3131" t="str">
            <v/>
          </cell>
          <cell r="BA3131" t="str">
            <v/>
          </cell>
        </row>
        <row r="3132">
          <cell r="B3132" t="str">
            <v>-</v>
          </cell>
          <cell r="E3132" t="str">
            <v/>
          </cell>
          <cell r="G3132" t="str">
            <v/>
          </cell>
          <cell r="J3132" t="str">
            <v/>
          </cell>
          <cell r="O3132" t="str">
            <v/>
          </cell>
          <cell r="P3132" t="str">
            <v/>
          </cell>
          <cell r="Q3132" t="str">
            <v/>
          </cell>
          <cell r="S3132" t="str">
            <v/>
          </cell>
          <cell r="V3132" t="str">
            <v/>
          </cell>
          <cell r="Z3132" t="str">
            <v/>
          </cell>
          <cell r="AA3132" t="str">
            <v/>
          </cell>
          <cell r="AB3132" t="str">
            <v/>
          </cell>
          <cell r="AC3132" t="str">
            <v/>
          </cell>
          <cell r="AD3132" t="str">
            <v/>
          </cell>
          <cell r="AY3132" t="str">
            <v/>
          </cell>
          <cell r="AZ3132" t="str">
            <v/>
          </cell>
          <cell r="BA3132" t="str">
            <v/>
          </cell>
        </row>
        <row r="3133">
          <cell r="B3133" t="str">
            <v>-</v>
          </cell>
          <cell r="E3133" t="str">
            <v/>
          </cell>
          <cell r="G3133" t="str">
            <v/>
          </cell>
          <cell r="J3133" t="str">
            <v/>
          </cell>
          <cell r="O3133" t="str">
            <v/>
          </cell>
          <cell r="P3133" t="str">
            <v/>
          </cell>
          <cell r="Q3133" t="str">
            <v/>
          </cell>
          <cell r="S3133" t="str">
            <v/>
          </cell>
          <cell r="V3133" t="str">
            <v/>
          </cell>
          <cell r="Z3133" t="str">
            <v/>
          </cell>
          <cell r="AA3133" t="str">
            <v/>
          </cell>
          <cell r="AB3133" t="str">
            <v/>
          </cell>
          <cell r="AC3133" t="str">
            <v/>
          </cell>
          <cell r="AD3133" t="str">
            <v/>
          </cell>
          <cell r="AY3133" t="str">
            <v/>
          </cell>
          <cell r="AZ3133" t="str">
            <v/>
          </cell>
          <cell r="BA3133" t="str">
            <v/>
          </cell>
        </row>
        <row r="3134">
          <cell r="B3134" t="str">
            <v>-</v>
          </cell>
          <cell r="E3134" t="str">
            <v/>
          </cell>
          <cell r="G3134" t="str">
            <v/>
          </cell>
          <cell r="J3134" t="str">
            <v/>
          </cell>
          <cell r="O3134" t="str">
            <v/>
          </cell>
          <cell r="P3134" t="str">
            <v/>
          </cell>
          <cell r="Q3134" t="str">
            <v/>
          </cell>
          <cell r="S3134" t="str">
            <v/>
          </cell>
          <cell r="V3134" t="str">
            <v/>
          </cell>
          <cell r="Z3134" t="str">
            <v/>
          </cell>
          <cell r="AA3134" t="str">
            <v/>
          </cell>
          <cell r="AB3134" t="str">
            <v/>
          </cell>
          <cell r="AC3134" t="str">
            <v/>
          </cell>
          <cell r="AD3134" t="str">
            <v/>
          </cell>
          <cell r="AY3134" t="str">
            <v/>
          </cell>
          <cell r="AZ3134" t="str">
            <v/>
          </cell>
          <cell r="BA3134" t="str">
            <v/>
          </cell>
        </row>
        <row r="3135">
          <cell r="B3135" t="str">
            <v>-</v>
          </cell>
          <cell r="E3135" t="str">
            <v/>
          </cell>
          <cell r="G3135" t="str">
            <v/>
          </cell>
          <cell r="J3135" t="str">
            <v/>
          </cell>
          <cell r="O3135" t="str">
            <v/>
          </cell>
          <cell r="P3135" t="str">
            <v/>
          </cell>
          <cell r="Q3135" t="str">
            <v/>
          </cell>
          <cell r="S3135" t="str">
            <v/>
          </cell>
          <cell r="V3135" t="str">
            <v/>
          </cell>
          <cell r="Z3135" t="str">
            <v/>
          </cell>
          <cell r="AA3135" t="str">
            <v/>
          </cell>
          <cell r="AB3135" t="str">
            <v/>
          </cell>
          <cell r="AC3135" t="str">
            <v/>
          </cell>
          <cell r="AD3135" t="str">
            <v/>
          </cell>
          <cell r="AY3135" t="str">
            <v/>
          </cell>
          <cell r="AZ3135" t="str">
            <v/>
          </cell>
          <cell r="BA3135" t="str">
            <v/>
          </cell>
        </row>
        <row r="3136">
          <cell r="B3136" t="str">
            <v>-</v>
          </cell>
          <cell r="E3136" t="str">
            <v/>
          </cell>
          <cell r="G3136" t="str">
            <v/>
          </cell>
          <cell r="J3136" t="str">
            <v/>
          </cell>
          <cell r="O3136" t="str">
            <v/>
          </cell>
          <cell r="P3136" t="str">
            <v/>
          </cell>
          <cell r="Q3136" t="str">
            <v/>
          </cell>
          <cell r="S3136" t="str">
            <v/>
          </cell>
          <cell r="V3136" t="str">
            <v/>
          </cell>
          <cell r="Z3136" t="str">
            <v/>
          </cell>
          <cell r="AA3136" t="str">
            <v/>
          </cell>
          <cell r="AB3136" t="str">
            <v/>
          </cell>
          <cell r="AC3136" t="str">
            <v/>
          </cell>
          <cell r="AD3136" t="str">
            <v/>
          </cell>
          <cell r="AY3136" t="str">
            <v/>
          </cell>
          <cell r="AZ3136" t="str">
            <v/>
          </cell>
          <cell r="BA3136" t="str">
            <v/>
          </cell>
        </row>
        <row r="3137">
          <cell r="B3137" t="str">
            <v>-</v>
          </cell>
          <cell r="E3137" t="str">
            <v/>
          </cell>
          <cell r="G3137" t="str">
            <v/>
          </cell>
          <cell r="J3137" t="str">
            <v/>
          </cell>
          <cell r="O3137" t="str">
            <v/>
          </cell>
          <cell r="P3137" t="str">
            <v/>
          </cell>
          <cell r="Q3137" t="str">
            <v/>
          </cell>
          <cell r="S3137" t="str">
            <v/>
          </cell>
          <cell r="V3137" t="str">
            <v/>
          </cell>
          <cell r="Z3137" t="str">
            <v/>
          </cell>
          <cell r="AA3137" t="str">
            <v/>
          </cell>
          <cell r="AB3137" t="str">
            <v/>
          </cell>
          <cell r="AC3137" t="str">
            <v/>
          </cell>
          <cell r="AD3137" t="str">
            <v/>
          </cell>
          <cell r="AY3137" t="str">
            <v/>
          </cell>
          <cell r="AZ3137" t="str">
            <v/>
          </cell>
          <cell r="BA3137" t="str">
            <v/>
          </cell>
        </row>
        <row r="3138">
          <cell r="B3138" t="str">
            <v>-</v>
          </cell>
          <cell r="E3138" t="str">
            <v/>
          </cell>
          <cell r="G3138" t="str">
            <v/>
          </cell>
          <cell r="J3138" t="str">
            <v/>
          </cell>
          <cell r="O3138" t="str">
            <v/>
          </cell>
          <cell r="P3138" t="str">
            <v/>
          </cell>
          <cell r="Q3138" t="str">
            <v/>
          </cell>
          <cell r="S3138" t="str">
            <v/>
          </cell>
          <cell r="V3138" t="str">
            <v/>
          </cell>
          <cell r="Z3138" t="str">
            <v/>
          </cell>
          <cell r="AA3138" t="str">
            <v/>
          </cell>
          <cell r="AB3138" t="str">
            <v/>
          </cell>
          <cell r="AC3138" t="str">
            <v/>
          </cell>
          <cell r="AD3138" t="str">
            <v/>
          </cell>
          <cell r="AY3138" t="str">
            <v/>
          </cell>
          <cell r="AZ3138" t="str">
            <v/>
          </cell>
          <cell r="BA3138" t="str">
            <v/>
          </cell>
        </row>
        <row r="3139">
          <cell r="B3139" t="str">
            <v>-</v>
          </cell>
          <cell r="E3139" t="str">
            <v/>
          </cell>
          <cell r="G3139" t="str">
            <v/>
          </cell>
          <cell r="J3139" t="str">
            <v/>
          </cell>
          <cell r="O3139" t="str">
            <v/>
          </cell>
          <cell r="P3139" t="str">
            <v/>
          </cell>
          <cell r="Q3139" t="str">
            <v/>
          </cell>
          <cell r="S3139" t="str">
            <v/>
          </cell>
          <cell r="V3139" t="str">
            <v/>
          </cell>
          <cell r="Z3139" t="str">
            <v/>
          </cell>
          <cell r="AA3139" t="str">
            <v/>
          </cell>
          <cell r="AB3139" t="str">
            <v/>
          </cell>
          <cell r="AC3139" t="str">
            <v/>
          </cell>
          <cell r="AD3139" t="str">
            <v/>
          </cell>
          <cell r="AY3139" t="str">
            <v/>
          </cell>
          <cell r="AZ3139" t="str">
            <v/>
          </cell>
          <cell r="BA3139" t="str">
            <v/>
          </cell>
        </row>
        <row r="3140">
          <cell r="B3140" t="str">
            <v>-</v>
          </cell>
          <cell r="E3140" t="str">
            <v/>
          </cell>
          <cell r="G3140" t="str">
            <v/>
          </cell>
          <cell r="J3140" t="str">
            <v/>
          </cell>
          <cell r="O3140" t="str">
            <v/>
          </cell>
          <cell r="P3140" t="str">
            <v/>
          </cell>
          <cell r="Q3140" t="str">
            <v/>
          </cell>
          <cell r="S3140" t="str">
            <v/>
          </cell>
          <cell r="V3140" t="str">
            <v/>
          </cell>
          <cell r="Z3140" t="str">
            <v/>
          </cell>
          <cell r="AA3140" t="str">
            <v/>
          </cell>
          <cell r="AB3140" t="str">
            <v/>
          </cell>
          <cell r="AC3140" t="str">
            <v/>
          </cell>
          <cell r="AD3140" t="str">
            <v/>
          </cell>
          <cell r="AY3140" t="str">
            <v/>
          </cell>
          <cell r="AZ3140" t="str">
            <v/>
          </cell>
          <cell r="BA3140" t="str">
            <v/>
          </cell>
        </row>
        <row r="3141">
          <cell r="B3141" t="str">
            <v>-</v>
          </cell>
          <cell r="E3141" t="str">
            <v/>
          </cell>
          <cell r="G3141" t="str">
            <v/>
          </cell>
          <cell r="J3141" t="str">
            <v/>
          </cell>
          <cell r="O3141" t="str">
            <v/>
          </cell>
          <cell r="P3141" t="str">
            <v/>
          </cell>
          <cell r="Q3141" t="str">
            <v/>
          </cell>
          <cell r="S3141" t="str">
            <v/>
          </cell>
          <cell r="V3141" t="str">
            <v/>
          </cell>
          <cell r="Z3141" t="str">
            <v/>
          </cell>
          <cell r="AA3141" t="str">
            <v/>
          </cell>
          <cell r="AB3141" t="str">
            <v/>
          </cell>
          <cell r="AC3141" t="str">
            <v/>
          </cell>
          <cell r="AD3141" t="str">
            <v/>
          </cell>
          <cell r="AY3141" t="str">
            <v/>
          </cell>
          <cell r="AZ3141" t="str">
            <v/>
          </cell>
          <cell r="BA3141" t="str">
            <v/>
          </cell>
        </row>
        <row r="3142">
          <cell r="B3142" t="str">
            <v>-</v>
          </cell>
          <cell r="E3142" t="str">
            <v/>
          </cell>
          <cell r="G3142" t="str">
            <v/>
          </cell>
          <cell r="J3142" t="str">
            <v/>
          </cell>
          <cell r="O3142" t="str">
            <v/>
          </cell>
          <cell r="P3142" t="str">
            <v/>
          </cell>
          <cell r="Q3142" t="str">
            <v/>
          </cell>
          <cell r="S3142" t="str">
            <v/>
          </cell>
          <cell r="V3142" t="str">
            <v/>
          </cell>
          <cell r="Z3142" t="str">
            <v/>
          </cell>
          <cell r="AA3142" t="str">
            <v/>
          </cell>
          <cell r="AB3142" t="str">
            <v/>
          </cell>
          <cell r="AC3142" t="str">
            <v/>
          </cell>
          <cell r="AD3142" t="str">
            <v/>
          </cell>
          <cell r="AY3142" t="str">
            <v/>
          </cell>
          <cell r="AZ3142" t="str">
            <v/>
          </cell>
          <cell r="BA3142" t="str">
            <v/>
          </cell>
        </row>
        <row r="3143">
          <cell r="B3143" t="str">
            <v>-</v>
          </cell>
          <cell r="E3143" t="str">
            <v/>
          </cell>
          <cell r="G3143" t="str">
            <v/>
          </cell>
          <cell r="J3143" t="str">
            <v/>
          </cell>
          <cell r="O3143" t="str">
            <v/>
          </cell>
          <cell r="P3143" t="str">
            <v/>
          </cell>
          <cell r="Q3143" t="str">
            <v/>
          </cell>
          <cell r="S3143" t="str">
            <v/>
          </cell>
          <cell r="V3143" t="str">
            <v/>
          </cell>
          <cell r="Z3143" t="str">
            <v/>
          </cell>
          <cell r="AA3143" t="str">
            <v/>
          </cell>
          <cell r="AB3143" t="str">
            <v/>
          </cell>
          <cell r="AC3143" t="str">
            <v/>
          </cell>
          <cell r="AD3143" t="str">
            <v/>
          </cell>
          <cell r="AY3143" t="str">
            <v/>
          </cell>
          <cell r="AZ3143" t="str">
            <v/>
          </cell>
          <cell r="BA3143" t="str">
            <v/>
          </cell>
        </row>
        <row r="3144">
          <cell r="B3144" t="str">
            <v>-</v>
          </cell>
          <cell r="E3144" t="str">
            <v/>
          </cell>
          <cell r="G3144" t="str">
            <v/>
          </cell>
          <cell r="J3144" t="str">
            <v/>
          </cell>
          <cell r="O3144" t="str">
            <v/>
          </cell>
          <cell r="P3144" t="str">
            <v/>
          </cell>
          <cell r="Q3144" t="str">
            <v/>
          </cell>
          <cell r="S3144" t="str">
            <v/>
          </cell>
          <cell r="V3144" t="str">
            <v/>
          </cell>
          <cell r="Z3144" t="str">
            <v/>
          </cell>
          <cell r="AA3144" t="str">
            <v/>
          </cell>
          <cell r="AB3144" t="str">
            <v/>
          </cell>
          <cell r="AC3144" t="str">
            <v/>
          </cell>
          <cell r="AD3144" t="str">
            <v/>
          </cell>
          <cell r="AY3144" t="str">
            <v/>
          </cell>
          <cell r="AZ3144" t="str">
            <v/>
          </cell>
          <cell r="BA3144" t="str">
            <v/>
          </cell>
        </row>
        <row r="3145">
          <cell r="B3145" t="str">
            <v>-</v>
          </cell>
          <cell r="E3145" t="str">
            <v/>
          </cell>
          <cell r="G3145" t="str">
            <v/>
          </cell>
          <cell r="J3145" t="str">
            <v/>
          </cell>
          <cell r="O3145" t="str">
            <v/>
          </cell>
          <cell r="P3145" t="str">
            <v/>
          </cell>
          <cell r="Q3145" t="str">
            <v/>
          </cell>
          <cell r="S3145" t="str">
            <v/>
          </cell>
          <cell r="V3145" t="str">
            <v/>
          </cell>
          <cell r="Z3145" t="str">
            <v/>
          </cell>
          <cell r="AA3145" t="str">
            <v/>
          </cell>
          <cell r="AB3145" t="str">
            <v/>
          </cell>
          <cell r="AC3145" t="str">
            <v/>
          </cell>
          <cell r="AD3145" t="str">
            <v/>
          </cell>
          <cell r="AY3145" t="str">
            <v/>
          </cell>
          <cell r="AZ3145" t="str">
            <v/>
          </cell>
          <cell r="BA3145" t="str">
            <v/>
          </cell>
        </row>
        <row r="3146">
          <cell r="B3146" t="str">
            <v>-</v>
          </cell>
          <cell r="E3146" t="str">
            <v/>
          </cell>
          <cell r="G3146" t="str">
            <v/>
          </cell>
          <cell r="J3146" t="str">
            <v/>
          </cell>
          <cell r="O3146" t="str">
            <v/>
          </cell>
          <cell r="P3146" t="str">
            <v/>
          </cell>
          <cell r="Q3146" t="str">
            <v/>
          </cell>
          <cell r="S3146" t="str">
            <v/>
          </cell>
          <cell r="V3146" t="str">
            <v/>
          </cell>
          <cell r="Z3146" t="str">
            <v/>
          </cell>
          <cell r="AA3146" t="str">
            <v/>
          </cell>
          <cell r="AB3146" t="str">
            <v/>
          </cell>
          <cell r="AC3146" t="str">
            <v/>
          </cell>
          <cell r="AD3146" t="str">
            <v/>
          </cell>
          <cell r="AY3146" t="str">
            <v/>
          </cell>
          <cell r="AZ3146" t="str">
            <v/>
          </cell>
          <cell r="BA3146" t="str">
            <v/>
          </cell>
        </row>
        <row r="3147">
          <cell r="B3147" t="str">
            <v>-</v>
          </cell>
          <cell r="E3147" t="str">
            <v/>
          </cell>
          <cell r="G3147" t="str">
            <v/>
          </cell>
          <cell r="J3147" t="str">
            <v/>
          </cell>
          <cell r="O3147" t="str">
            <v/>
          </cell>
          <cell r="P3147" t="str">
            <v/>
          </cell>
          <cell r="Q3147" t="str">
            <v/>
          </cell>
          <cell r="S3147" t="str">
            <v/>
          </cell>
          <cell r="V3147" t="str">
            <v/>
          </cell>
          <cell r="Z3147" t="str">
            <v/>
          </cell>
          <cell r="AA3147" t="str">
            <v/>
          </cell>
          <cell r="AB3147" t="str">
            <v/>
          </cell>
          <cell r="AC3147" t="str">
            <v/>
          </cell>
          <cell r="AD3147" t="str">
            <v/>
          </cell>
          <cell r="AY3147" t="str">
            <v/>
          </cell>
          <cell r="AZ3147" t="str">
            <v/>
          </cell>
          <cell r="BA3147" t="str">
            <v/>
          </cell>
        </row>
        <row r="3148">
          <cell r="B3148" t="str">
            <v>-</v>
          </cell>
          <cell r="E3148" t="str">
            <v/>
          </cell>
          <cell r="G3148" t="str">
            <v/>
          </cell>
          <cell r="J3148" t="str">
            <v/>
          </cell>
          <cell r="O3148" t="str">
            <v/>
          </cell>
          <cell r="P3148" t="str">
            <v/>
          </cell>
          <cell r="Q3148" t="str">
            <v/>
          </cell>
          <cell r="S3148" t="str">
            <v/>
          </cell>
          <cell r="V3148" t="str">
            <v/>
          </cell>
          <cell r="Z3148" t="str">
            <v/>
          </cell>
          <cell r="AA3148" t="str">
            <v/>
          </cell>
          <cell r="AB3148" t="str">
            <v/>
          </cell>
          <cell r="AC3148" t="str">
            <v/>
          </cell>
          <cell r="AD3148" t="str">
            <v/>
          </cell>
          <cell r="AY3148" t="str">
            <v/>
          </cell>
          <cell r="AZ3148" t="str">
            <v/>
          </cell>
          <cell r="BA3148" t="str">
            <v/>
          </cell>
        </row>
        <row r="3149">
          <cell r="B3149" t="str">
            <v>-</v>
          </cell>
          <cell r="E3149" t="str">
            <v/>
          </cell>
          <cell r="G3149" t="str">
            <v/>
          </cell>
          <cell r="J3149" t="str">
            <v/>
          </cell>
          <cell r="O3149" t="str">
            <v/>
          </cell>
          <cell r="P3149" t="str">
            <v/>
          </cell>
          <cell r="Q3149" t="str">
            <v/>
          </cell>
          <cell r="S3149" t="str">
            <v/>
          </cell>
          <cell r="V3149" t="str">
            <v/>
          </cell>
          <cell r="Z3149" t="str">
            <v/>
          </cell>
          <cell r="AA3149" t="str">
            <v/>
          </cell>
          <cell r="AB3149" t="str">
            <v/>
          </cell>
          <cell r="AC3149" t="str">
            <v/>
          </cell>
          <cell r="AD3149" t="str">
            <v/>
          </cell>
          <cell r="AY3149" t="str">
            <v/>
          </cell>
          <cell r="AZ3149" t="str">
            <v/>
          </cell>
          <cell r="BA3149" t="str">
            <v/>
          </cell>
        </row>
        <row r="3150">
          <cell r="B3150" t="str">
            <v>-</v>
          </cell>
          <cell r="E3150" t="str">
            <v/>
          </cell>
          <cell r="G3150" t="str">
            <v/>
          </cell>
          <cell r="J3150" t="str">
            <v/>
          </cell>
          <cell r="O3150" t="str">
            <v/>
          </cell>
          <cell r="P3150" t="str">
            <v/>
          </cell>
          <cell r="Q3150" t="str">
            <v/>
          </cell>
          <cell r="S3150" t="str">
            <v/>
          </cell>
          <cell r="V3150" t="str">
            <v/>
          </cell>
          <cell r="Z3150" t="str">
            <v/>
          </cell>
          <cell r="AA3150" t="str">
            <v/>
          </cell>
          <cell r="AB3150" t="str">
            <v/>
          </cell>
          <cell r="AC3150" t="str">
            <v/>
          </cell>
          <cell r="AD3150" t="str">
            <v/>
          </cell>
          <cell r="AY3150" t="str">
            <v/>
          </cell>
          <cell r="AZ3150" t="str">
            <v/>
          </cell>
          <cell r="BA3150" t="str">
            <v/>
          </cell>
        </row>
        <row r="3151">
          <cell r="B3151" t="str">
            <v>-</v>
          </cell>
          <cell r="E3151" t="str">
            <v/>
          </cell>
          <cell r="G3151" t="str">
            <v/>
          </cell>
          <cell r="J3151" t="str">
            <v/>
          </cell>
          <cell r="O3151" t="str">
            <v/>
          </cell>
          <cell r="P3151" t="str">
            <v/>
          </cell>
          <cell r="Q3151" t="str">
            <v/>
          </cell>
          <cell r="S3151" t="str">
            <v/>
          </cell>
          <cell r="V3151" t="str">
            <v/>
          </cell>
          <cell r="Z3151" t="str">
            <v/>
          </cell>
          <cell r="AA3151" t="str">
            <v/>
          </cell>
          <cell r="AB3151" t="str">
            <v/>
          </cell>
          <cell r="AC3151" t="str">
            <v/>
          </cell>
          <cell r="AD3151" t="str">
            <v/>
          </cell>
          <cell r="AY3151" t="str">
            <v/>
          </cell>
          <cell r="AZ3151" t="str">
            <v/>
          </cell>
          <cell r="BA3151" t="str">
            <v/>
          </cell>
        </row>
        <row r="3152">
          <cell r="B3152" t="str">
            <v>-</v>
          </cell>
          <cell r="E3152" t="str">
            <v/>
          </cell>
          <cell r="G3152" t="str">
            <v/>
          </cell>
          <cell r="J3152" t="str">
            <v/>
          </cell>
          <cell r="O3152" t="str">
            <v/>
          </cell>
          <cell r="P3152" t="str">
            <v/>
          </cell>
          <cell r="Q3152" t="str">
            <v/>
          </cell>
          <cell r="S3152" t="str">
            <v/>
          </cell>
          <cell r="V3152" t="str">
            <v/>
          </cell>
          <cell r="Z3152" t="str">
            <v/>
          </cell>
          <cell r="AA3152" t="str">
            <v/>
          </cell>
          <cell r="AB3152" t="str">
            <v/>
          </cell>
          <cell r="AC3152" t="str">
            <v/>
          </cell>
          <cell r="AD3152" t="str">
            <v/>
          </cell>
          <cell r="AY3152" t="str">
            <v/>
          </cell>
          <cell r="AZ3152" t="str">
            <v/>
          </cell>
          <cell r="BA3152" t="str">
            <v/>
          </cell>
        </row>
        <row r="3153">
          <cell r="B3153" t="str">
            <v>-</v>
          </cell>
          <cell r="E3153" t="str">
            <v/>
          </cell>
          <cell r="G3153" t="str">
            <v/>
          </cell>
          <cell r="J3153" t="str">
            <v/>
          </cell>
          <cell r="O3153" t="str">
            <v/>
          </cell>
          <cell r="P3153" t="str">
            <v/>
          </cell>
          <cell r="Q3153" t="str">
            <v/>
          </cell>
          <cell r="S3153" t="str">
            <v/>
          </cell>
          <cell r="V3153" t="str">
            <v/>
          </cell>
          <cell r="Z3153" t="str">
            <v/>
          </cell>
          <cell r="AA3153" t="str">
            <v/>
          </cell>
          <cell r="AB3153" t="str">
            <v/>
          </cell>
          <cell r="AC3153" t="str">
            <v/>
          </cell>
          <cell r="AD3153" t="str">
            <v/>
          </cell>
          <cell r="AY3153" t="str">
            <v/>
          </cell>
          <cell r="AZ3153" t="str">
            <v/>
          </cell>
          <cell r="BA3153" t="str">
            <v/>
          </cell>
        </row>
        <row r="3154">
          <cell r="B3154" t="str">
            <v>-</v>
          </cell>
          <cell r="E3154" t="str">
            <v/>
          </cell>
          <cell r="G3154" t="str">
            <v/>
          </cell>
          <cell r="J3154" t="str">
            <v/>
          </cell>
          <cell r="O3154" t="str">
            <v/>
          </cell>
          <cell r="P3154" t="str">
            <v/>
          </cell>
          <cell r="Q3154" t="str">
            <v/>
          </cell>
          <cell r="S3154" t="str">
            <v/>
          </cell>
          <cell r="V3154" t="str">
            <v/>
          </cell>
          <cell r="Z3154" t="str">
            <v/>
          </cell>
          <cell r="AA3154" t="str">
            <v/>
          </cell>
          <cell r="AB3154" t="str">
            <v/>
          </cell>
          <cell r="AC3154" t="str">
            <v/>
          </cell>
          <cell r="AD3154" t="str">
            <v/>
          </cell>
          <cell r="AY3154" t="str">
            <v/>
          </cell>
          <cell r="AZ3154" t="str">
            <v/>
          </cell>
          <cell r="BA3154" t="str">
            <v/>
          </cell>
        </row>
        <row r="3155">
          <cell r="B3155" t="str">
            <v>-</v>
          </cell>
          <cell r="E3155" t="str">
            <v/>
          </cell>
          <cell r="G3155" t="str">
            <v/>
          </cell>
          <cell r="J3155" t="str">
            <v/>
          </cell>
          <cell r="O3155" t="str">
            <v/>
          </cell>
          <cell r="P3155" t="str">
            <v/>
          </cell>
          <cell r="Q3155" t="str">
            <v/>
          </cell>
          <cell r="S3155" t="str">
            <v/>
          </cell>
          <cell r="V3155" t="str">
            <v/>
          </cell>
          <cell r="Z3155" t="str">
            <v/>
          </cell>
          <cell r="AA3155" t="str">
            <v/>
          </cell>
          <cell r="AB3155" t="str">
            <v/>
          </cell>
          <cell r="AC3155" t="str">
            <v/>
          </cell>
          <cell r="AD3155" t="str">
            <v/>
          </cell>
          <cell r="AY3155" t="str">
            <v/>
          </cell>
          <cell r="AZ3155" t="str">
            <v/>
          </cell>
          <cell r="BA3155" t="str">
            <v/>
          </cell>
        </row>
        <row r="3156">
          <cell r="B3156" t="str">
            <v>-</v>
          </cell>
          <cell r="E3156" t="str">
            <v/>
          </cell>
          <cell r="G3156" t="str">
            <v/>
          </cell>
          <cell r="J3156" t="str">
            <v/>
          </cell>
          <cell r="O3156" t="str">
            <v/>
          </cell>
          <cell r="P3156" t="str">
            <v/>
          </cell>
          <cell r="Q3156" t="str">
            <v/>
          </cell>
          <cell r="S3156" t="str">
            <v/>
          </cell>
          <cell r="V3156" t="str">
            <v/>
          </cell>
          <cell r="Z3156" t="str">
            <v/>
          </cell>
          <cell r="AA3156" t="str">
            <v/>
          </cell>
          <cell r="AB3156" t="str">
            <v/>
          </cell>
          <cell r="AC3156" t="str">
            <v/>
          </cell>
          <cell r="AD3156" t="str">
            <v/>
          </cell>
          <cell r="AY3156" t="str">
            <v/>
          </cell>
          <cell r="AZ3156" t="str">
            <v/>
          </cell>
          <cell r="BA3156" t="str">
            <v/>
          </cell>
        </row>
        <row r="3157">
          <cell r="B3157" t="str">
            <v>-</v>
          </cell>
          <cell r="E3157" t="str">
            <v/>
          </cell>
          <cell r="G3157" t="str">
            <v/>
          </cell>
          <cell r="J3157" t="str">
            <v/>
          </cell>
          <cell r="O3157" t="str">
            <v/>
          </cell>
          <cell r="P3157" t="str">
            <v/>
          </cell>
          <cell r="Q3157" t="str">
            <v/>
          </cell>
          <cell r="S3157" t="str">
            <v/>
          </cell>
          <cell r="V3157" t="str">
            <v/>
          </cell>
          <cell r="Z3157" t="str">
            <v/>
          </cell>
          <cell r="AA3157" t="str">
            <v/>
          </cell>
          <cell r="AB3157" t="str">
            <v/>
          </cell>
          <cell r="AC3157" t="str">
            <v/>
          </cell>
          <cell r="AD3157" t="str">
            <v/>
          </cell>
          <cell r="AY3157" t="str">
            <v/>
          </cell>
          <cell r="AZ3157" t="str">
            <v/>
          </cell>
          <cell r="BA3157" t="str">
            <v/>
          </cell>
        </row>
        <row r="3158">
          <cell r="B3158" t="str">
            <v>-</v>
          </cell>
          <cell r="E3158" t="str">
            <v/>
          </cell>
          <cell r="G3158" t="str">
            <v/>
          </cell>
          <cell r="J3158" t="str">
            <v/>
          </cell>
          <cell r="O3158" t="str">
            <v/>
          </cell>
          <cell r="P3158" t="str">
            <v/>
          </cell>
          <cell r="Q3158" t="str">
            <v/>
          </cell>
          <cell r="S3158" t="str">
            <v/>
          </cell>
          <cell r="V3158" t="str">
            <v/>
          </cell>
          <cell r="Z3158" t="str">
            <v/>
          </cell>
          <cell r="AA3158" t="str">
            <v/>
          </cell>
          <cell r="AB3158" t="str">
            <v/>
          </cell>
          <cell r="AC3158" t="str">
            <v/>
          </cell>
          <cell r="AD3158" t="str">
            <v/>
          </cell>
          <cell r="AY3158" t="str">
            <v/>
          </cell>
          <cell r="AZ3158" t="str">
            <v/>
          </cell>
          <cell r="BA3158" t="str">
            <v/>
          </cell>
        </row>
        <row r="3159">
          <cell r="B3159" t="str">
            <v>-</v>
          </cell>
          <cell r="E3159" t="str">
            <v/>
          </cell>
          <cell r="G3159" t="str">
            <v/>
          </cell>
          <cell r="J3159" t="str">
            <v/>
          </cell>
          <cell r="O3159" t="str">
            <v/>
          </cell>
          <cell r="P3159" t="str">
            <v/>
          </cell>
          <cell r="Q3159" t="str">
            <v/>
          </cell>
          <cell r="S3159" t="str">
            <v/>
          </cell>
          <cell r="V3159" t="str">
            <v/>
          </cell>
          <cell r="Z3159" t="str">
            <v/>
          </cell>
          <cell r="AA3159" t="str">
            <v/>
          </cell>
          <cell r="AB3159" t="str">
            <v/>
          </cell>
          <cell r="AC3159" t="str">
            <v/>
          </cell>
          <cell r="AD3159" t="str">
            <v/>
          </cell>
          <cell r="AY3159" t="str">
            <v/>
          </cell>
          <cell r="AZ3159" t="str">
            <v/>
          </cell>
          <cell r="BA3159" t="str">
            <v/>
          </cell>
        </row>
        <row r="3160">
          <cell r="B3160" t="str">
            <v>-</v>
          </cell>
          <cell r="E3160" t="str">
            <v/>
          </cell>
          <cell r="G3160" t="str">
            <v/>
          </cell>
          <cell r="J3160" t="str">
            <v/>
          </cell>
          <cell r="O3160" t="str">
            <v/>
          </cell>
          <cell r="P3160" t="str">
            <v/>
          </cell>
          <cell r="Q3160" t="str">
            <v/>
          </cell>
          <cell r="S3160" t="str">
            <v/>
          </cell>
          <cell r="V3160" t="str">
            <v/>
          </cell>
          <cell r="Z3160" t="str">
            <v/>
          </cell>
          <cell r="AA3160" t="str">
            <v/>
          </cell>
          <cell r="AB3160" t="str">
            <v/>
          </cell>
          <cell r="AC3160" t="str">
            <v/>
          </cell>
          <cell r="AD3160" t="str">
            <v/>
          </cell>
          <cell r="AY3160" t="str">
            <v/>
          </cell>
          <cell r="AZ3160" t="str">
            <v/>
          </cell>
          <cell r="BA3160" t="str">
            <v/>
          </cell>
        </row>
        <row r="3161">
          <cell r="B3161" t="str">
            <v>-</v>
          </cell>
          <cell r="E3161" t="str">
            <v/>
          </cell>
          <cell r="G3161" t="str">
            <v/>
          </cell>
          <cell r="J3161" t="str">
            <v/>
          </cell>
          <cell r="O3161" t="str">
            <v/>
          </cell>
          <cell r="P3161" t="str">
            <v/>
          </cell>
          <cell r="Q3161" t="str">
            <v/>
          </cell>
          <cell r="S3161" t="str">
            <v/>
          </cell>
          <cell r="V3161" t="str">
            <v/>
          </cell>
          <cell r="Z3161" t="str">
            <v/>
          </cell>
          <cell r="AA3161" t="str">
            <v/>
          </cell>
          <cell r="AB3161" t="str">
            <v/>
          </cell>
          <cell r="AC3161" t="str">
            <v/>
          </cell>
          <cell r="AD3161" t="str">
            <v/>
          </cell>
          <cell r="AY3161" t="str">
            <v/>
          </cell>
          <cell r="AZ3161" t="str">
            <v/>
          </cell>
          <cell r="BA3161" t="str">
            <v/>
          </cell>
        </row>
        <row r="3162">
          <cell r="B3162" t="str">
            <v>-</v>
          </cell>
          <cell r="E3162" t="str">
            <v/>
          </cell>
          <cell r="G3162" t="str">
            <v/>
          </cell>
          <cell r="J3162" t="str">
            <v/>
          </cell>
          <cell r="O3162" t="str">
            <v/>
          </cell>
          <cell r="P3162" t="str">
            <v/>
          </cell>
          <cell r="Q3162" t="str">
            <v/>
          </cell>
          <cell r="S3162" t="str">
            <v/>
          </cell>
          <cell r="V3162" t="str">
            <v/>
          </cell>
          <cell r="Z3162" t="str">
            <v/>
          </cell>
          <cell r="AA3162" t="str">
            <v/>
          </cell>
          <cell r="AB3162" t="str">
            <v/>
          </cell>
          <cell r="AC3162" t="str">
            <v/>
          </cell>
          <cell r="AD3162" t="str">
            <v/>
          </cell>
          <cell r="AY3162" t="str">
            <v/>
          </cell>
          <cell r="AZ3162" t="str">
            <v/>
          </cell>
          <cell r="BA3162" t="str">
            <v/>
          </cell>
        </row>
        <row r="3163">
          <cell r="B3163" t="str">
            <v>-</v>
          </cell>
          <cell r="E3163" t="str">
            <v/>
          </cell>
          <cell r="G3163" t="str">
            <v/>
          </cell>
          <cell r="J3163" t="str">
            <v/>
          </cell>
          <cell r="O3163" t="str">
            <v/>
          </cell>
          <cell r="P3163" t="str">
            <v/>
          </cell>
          <cell r="Q3163" t="str">
            <v/>
          </cell>
          <cell r="S3163" t="str">
            <v/>
          </cell>
          <cell r="V3163" t="str">
            <v/>
          </cell>
          <cell r="Z3163" t="str">
            <v/>
          </cell>
          <cell r="AA3163" t="str">
            <v/>
          </cell>
          <cell r="AB3163" t="str">
            <v/>
          </cell>
          <cell r="AC3163" t="str">
            <v/>
          </cell>
          <cell r="AD3163" t="str">
            <v/>
          </cell>
          <cell r="AY3163" t="str">
            <v/>
          </cell>
          <cell r="AZ3163" t="str">
            <v/>
          </cell>
          <cell r="BA3163" t="str">
            <v/>
          </cell>
        </row>
        <row r="3164">
          <cell r="B3164" t="str">
            <v>-</v>
          </cell>
          <cell r="E3164" t="str">
            <v/>
          </cell>
          <cell r="G3164" t="str">
            <v/>
          </cell>
          <cell r="J3164" t="str">
            <v/>
          </cell>
          <cell r="O3164" t="str">
            <v/>
          </cell>
          <cell r="P3164" t="str">
            <v/>
          </cell>
          <cell r="Q3164" t="str">
            <v/>
          </cell>
          <cell r="S3164" t="str">
            <v/>
          </cell>
          <cell r="V3164" t="str">
            <v/>
          </cell>
          <cell r="Z3164" t="str">
            <v/>
          </cell>
          <cell r="AA3164" t="str">
            <v/>
          </cell>
          <cell r="AB3164" t="str">
            <v/>
          </cell>
          <cell r="AC3164" t="str">
            <v/>
          </cell>
          <cell r="AD3164" t="str">
            <v/>
          </cell>
          <cell r="AY3164" t="str">
            <v/>
          </cell>
          <cell r="AZ3164" t="str">
            <v/>
          </cell>
          <cell r="BA3164" t="str">
            <v/>
          </cell>
        </row>
        <row r="3165">
          <cell r="B3165" t="str">
            <v>-</v>
          </cell>
          <cell r="E3165" t="str">
            <v/>
          </cell>
          <cell r="G3165" t="str">
            <v/>
          </cell>
          <cell r="J3165" t="str">
            <v/>
          </cell>
          <cell r="O3165" t="str">
            <v/>
          </cell>
          <cell r="P3165" t="str">
            <v/>
          </cell>
          <cell r="Q3165" t="str">
            <v/>
          </cell>
          <cell r="S3165" t="str">
            <v/>
          </cell>
          <cell r="V3165" t="str">
            <v/>
          </cell>
          <cell r="Z3165" t="str">
            <v/>
          </cell>
          <cell r="AA3165" t="str">
            <v/>
          </cell>
          <cell r="AB3165" t="str">
            <v/>
          </cell>
          <cell r="AC3165" t="str">
            <v/>
          </cell>
          <cell r="AD3165" t="str">
            <v/>
          </cell>
          <cell r="AY3165" t="str">
            <v/>
          </cell>
          <cell r="AZ3165" t="str">
            <v/>
          </cell>
          <cell r="BA3165" t="str">
            <v/>
          </cell>
        </row>
        <row r="3166">
          <cell r="B3166" t="str">
            <v>-</v>
          </cell>
          <cell r="E3166" t="str">
            <v/>
          </cell>
          <cell r="G3166" t="str">
            <v/>
          </cell>
          <cell r="J3166" t="str">
            <v/>
          </cell>
          <cell r="O3166" t="str">
            <v/>
          </cell>
          <cell r="P3166" t="str">
            <v/>
          </cell>
          <cell r="Q3166" t="str">
            <v/>
          </cell>
          <cell r="S3166" t="str">
            <v/>
          </cell>
          <cell r="V3166" t="str">
            <v/>
          </cell>
          <cell r="Z3166" t="str">
            <v/>
          </cell>
          <cell r="AA3166" t="str">
            <v/>
          </cell>
          <cell r="AB3166" t="str">
            <v/>
          </cell>
          <cell r="AC3166" t="str">
            <v/>
          </cell>
          <cell r="AD3166" t="str">
            <v/>
          </cell>
          <cell r="AY3166" t="str">
            <v/>
          </cell>
          <cell r="AZ3166" t="str">
            <v/>
          </cell>
          <cell r="BA3166" t="str">
            <v/>
          </cell>
        </row>
        <row r="3167">
          <cell r="B3167" t="str">
            <v>-</v>
          </cell>
          <cell r="E3167" t="str">
            <v/>
          </cell>
          <cell r="G3167" t="str">
            <v/>
          </cell>
          <cell r="J3167" t="str">
            <v/>
          </cell>
          <cell r="O3167" t="str">
            <v/>
          </cell>
          <cell r="P3167" t="str">
            <v/>
          </cell>
          <cell r="Q3167" t="str">
            <v/>
          </cell>
          <cell r="S3167" t="str">
            <v/>
          </cell>
          <cell r="V3167" t="str">
            <v/>
          </cell>
          <cell r="Z3167" t="str">
            <v/>
          </cell>
          <cell r="AA3167" t="str">
            <v/>
          </cell>
          <cell r="AB3167" t="str">
            <v/>
          </cell>
          <cell r="AC3167" t="str">
            <v/>
          </cell>
          <cell r="AD3167" t="str">
            <v/>
          </cell>
          <cell r="AY3167" t="str">
            <v/>
          </cell>
          <cell r="AZ3167" t="str">
            <v/>
          </cell>
          <cell r="BA3167" t="str">
            <v/>
          </cell>
        </row>
        <row r="3168">
          <cell r="B3168" t="str">
            <v>-</v>
          </cell>
          <cell r="E3168" t="str">
            <v/>
          </cell>
          <cell r="G3168" t="str">
            <v/>
          </cell>
          <cell r="J3168" t="str">
            <v/>
          </cell>
          <cell r="O3168" t="str">
            <v/>
          </cell>
          <cell r="P3168" t="str">
            <v/>
          </cell>
          <cell r="Q3168" t="str">
            <v/>
          </cell>
          <cell r="S3168" t="str">
            <v/>
          </cell>
          <cell r="V3168" t="str">
            <v/>
          </cell>
          <cell r="Z3168" t="str">
            <v/>
          </cell>
          <cell r="AA3168" t="str">
            <v/>
          </cell>
          <cell r="AB3168" t="str">
            <v/>
          </cell>
          <cell r="AC3168" t="str">
            <v/>
          </cell>
          <cell r="AD3168" t="str">
            <v/>
          </cell>
          <cell r="AY3168" t="str">
            <v/>
          </cell>
          <cell r="AZ3168" t="str">
            <v/>
          </cell>
          <cell r="BA3168" t="str">
            <v/>
          </cell>
        </row>
        <row r="3169">
          <cell r="B3169" t="str">
            <v>-</v>
          </cell>
          <cell r="E3169" t="str">
            <v/>
          </cell>
          <cell r="G3169" t="str">
            <v/>
          </cell>
          <cell r="J3169" t="str">
            <v/>
          </cell>
          <cell r="O3169" t="str">
            <v/>
          </cell>
          <cell r="P3169" t="str">
            <v/>
          </cell>
          <cell r="Q3169" t="str">
            <v/>
          </cell>
          <cell r="S3169" t="str">
            <v/>
          </cell>
          <cell r="V3169" t="str">
            <v/>
          </cell>
          <cell r="Z3169" t="str">
            <v/>
          </cell>
          <cell r="AA3169" t="str">
            <v/>
          </cell>
          <cell r="AB3169" t="str">
            <v/>
          </cell>
          <cell r="AC3169" t="str">
            <v/>
          </cell>
          <cell r="AD3169" t="str">
            <v/>
          </cell>
          <cell r="AY3169" t="str">
            <v/>
          </cell>
          <cell r="AZ3169" t="str">
            <v/>
          </cell>
          <cell r="BA3169" t="str">
            <v/>
          </cell>
        </row>
        <row r="3170">
          <cell r="B3170" t="str">
            <v>-</v>
          </cell>
          <cell r="E3170" t="str">
            <v/>
          </cell>
          <cell r="G3170" t="str">
            <v/>
          </cell>
          <cell r="J3170" t="str">
            <v/>
          </cell>
          <cell r="O3170" t="str">
            <v/>
          </cell>
          <cell r="P3170" t="str">
            <v/>
          </cell>
          <cell r="Q3170" t="str">
            <v/>
          </cell>
          <cell r="S3170" t="str">
            <v/>
          </cell>
          <cell r="V3170" t="str">
            <v/>
          </cell>
          <cell r="Z3170" t="str">
            <v/>
          </cell>
          <cell r="AA3170" t="str">
            <v/>
          </cell>
          <cell r="AB3170" t="str">
            <v/>
          </cell>
          <cell r="AC3170" t="str">
            <v/>
          </cell>
          <cell r="AD3170" t="str">
            <v/>
          </cell>
          <cell r="AY3170" t="str">
            <v/>
          </cell>
          <cell r="AZ3170" t="str">
            <v/>
          </cell>
          <cell r="BA3170" t="str">
            <v/>
          </cell>
        </row>
        <row r="3171">
          <cell r="B3171" t="str">
            <v>-</v>
          </cell>
          <cell r="E3171" t="str">
            <v/>
          </cell>
          <cell r="G3171" t="str">
            <v/>
          </cell>
          <cell r="J3171" t="str">
            <v/>
          </cell>
          <cell r="O3171" t="str">
            <v/>
          </cell>
          <cell r="P3171" t="str">
            <v/>
          </cell>
          <cell r="Q3171" t="str">
            <v/>
          </cell>
          <cell r="S3171" t="str">
            <v/>
          </cell>
          <cell r="V3171" t="str">
            <v/>
          </cell>
          <cell r="Z3171" t="str">
            <v/>
          </cell>
          <cell r="AA3171" t="str">
            <v/>
          </cell>
          <cell r="AB3171" t="str">
            <v/>
          </cell>
          <cell r="AC3171" t="str">
            <v/>
          </cell>
          <cell r="AD3171" t="str">
            <v/>
          </cell>
          <cell r="AY3171" t="str">
            <v/>
          </cell>
          <cell r="AZ3171" t="str">
            <v/>
          </cell>
          <cell r="BA3171" t="str">
            <v/>
          </cell>
        </row>
        <row r="3172">
          <cell r="B3172" t="str">
            <v>-</v>
          </cell>
          <cell r="E3172" t="str">
            <v/>
          </cell>
          <cell r="G3172" t="str">
            <v/>
          </cell>
          <cell r="J3172" t="str">
            <v/>
          </cell>
          <cell r="O3172" t="str">
            <v/>
          </cell>
          <cell r="P3172" t="str">
            <v/>
          </cell>
          <cell r="Q3172" t="str">
            <v/>
          </cell>
          <cell r="S3172" t="str">
            <v/>
          </cell>
          <cell r="V3172" t="str">
            <v/>
          </cell>
          <cell r="Z3172" t="str">
            <v/>
          </cell>
          <cell r="AA3172" t="str">
            <v/>
          </cell>
          <cell r="AB3172" t="str">
            <v/>
          </cell>
          <cell r="AC3172" t="str">
            <v/>
          </cell>
          <cell r="AD3172" t="str">
            <v/>
          </cell>
          <cell r="AY3172" t="str">
            <v/>
          </cell>
          <cell r="AZ3172" t="str">
            <v/>
          </cell>
          <cell r="BA3172" t="str">
            <v/>
          </cell>
        </row>
        <row r="3173">
          <cell r="B3173" t="str">
            <v>-</v>
          </cell>
          <cell r="E3173" t="str">
            <v/>
          </cell>
          <cell r="G3173" t="str">
            <v/>
          </cell>
          <cell r="J3173" t="str">
            <v/>
          </cell>
          <cell r="O3173" t="str">
            <v/>
          </cell>
          <cell r="P3173" t="str">
            <v/>
          </cell>
          <cell r="Q3173" t="str">
            <v/>
          </cell>
          <cell r="S3173" t="str">
            <v/>
          </cell>
          <cell r="V3173" t="str">
            <v/>
          </cell>
          <cell r="Z3173" t="str">
            <v/>
          </cell>
          <cell r="AA3173" t="str">
            <v/>
          </cell>
          <cell r="AB3173" t="str">
            <v/>
          </cell>
          <cell r="AC3173" t="str">
            <v/>
          </cell>
          <cell r="AD3173" t="str">
            <v/>
          </cell>
          <cell r="AY3173" t="str">
            <v/>
          </cell>
          <cell r="AZ3173" t="str">
            <v/>
          </cell>
          <cell r="BA3173" t="str">
            <v/>
          </cell>
        </row>
        <row r="3174">
          <cell r="B3174" t="str">
            <v>-</v>
          </cell>
          <cell r="E3174" t="str">
            <v/>
          </cell>
          <cell r="G3174" t="str">
            <v/>
          </cell>
          <cell r="J3174" t="str">
            <v/>
          </cell>
          <cell r="O3174" t="str">
            <v/>
          </cell>
          <cell r="P3174" t="str">
            <v/>
          </cell>
          <cell r="Q3174" t="str">
            <v/>
          </cell>
          <cell r="S3174" t="str">
            <v/>
          </cell>
          <cell r="V3174" t="str">
            <v/>
          </cell>
          <cell r="Z3174" t="str">
            <v/>
          </cell>
          <cell r="AA3174" t="str">
            <v/>
          </cell>
          <cell r="AB3174" t="str">
            <v/>
          </cell>
          <cell r="AC3174" t="str">
            <v/>
          </cell>
          <cell r="AD3174" t="str">
            <v/>
          </cell>
          <cell r="AY3174" t="str">
            <v/>
          </cell>
          <cell r="AZ3174" t="str">
            <v/>
          </cell>
          <cell r="BA3174" t="str">
            <v/>
          </cell>
        </row>
        <row r="3175">
          <cell r="B3175" t="str">
            <v>-</v>
          </cell>
          <cell r="E3175" t="str">
            <v/>
          </cell>
          <cell r="G3175" t="str">
            <v/>
          </cell>
          <cell r="J3175" t="str">
            <v/>
          </cell>
          <cell r="O3175" t="str">
            <v/>
          </cell>
          <cell r="P3175" t="str">
            <v/>
          </cell>
          <cell r="Q3175" t="str">
            <v/>
          </cell>
          <cell r="S3175" t="str">
            <v/>
          </cell>
          <cell r="V3175" t="str">
            <v/>
          </cell>
          <cell r="Z3175" t="str">
            <v/>
          </cell>
          <cell r="AA3175" t="str">
            <v/>
          </cell>
          <cell r="AB3175" t="str">
            <v/>
          </cell>
          <cell r="AC3175" t="str">
            <v/>
          </cell>
          <cell r="AD3175" t="str">
            <v/>
          </cell>
          <cell r="AY3175" t="str">
            <v/>
          </cell>
          <cell r="AZ3175" t="str">
            <v/>
          </cell>
          <cell r="BA3175" t="str">
            <v/>
          </cell>
        </row>
        <row r="3176">
          <cell r="B3176" t="str">
            <v>-</v>
          </cell>
          <cell r="E3176" t="str">
            <v/>
          </cell>
          <cell r="G3176" t="str">
            <v/>
          </cell>
          <cell r="J3176" t="str">
            <v/>
          </cell>
          <cell r="O3176" t="str">
            <v/>
          </cell>
          <cell r="P3176" t="str">
            <v/>
          </cell>
          <cell r="Q3176" t="str">
            <v/>
          </cell>
          <cell r="S3176" t="str">
            <v/>
          </cell>
          <cell r="V3176" t="str">
            <v/>
          </cell>
          <cell r="Z3176" t="str">
            <v/>
          </cell>
          <cell r="AA3176" t="str">
            <v/>
          </cell>
          <cell r="AB3176" t="str">
            <v/>
          </cell>
          <cell r="AC3176" t="str">
            <v/>
          </cell>
          <cell r="AD3176" t="str">
            <v/>
          </cell>
          <cell r="AY3176" t="str">
            <v/>
          </cell>
          <cell r="AZ3176" t="str">
            <v/>
          </cell>
          <cell r="BA3176" t="str">
            <v/>
          </cell>
        </row>
        <row r="3177">
          <cell r="B3177" t="str">
            <v>-</v>
          </cell>
          <cell r="E3177" t="str">
            <v/>
          </cell>
          <cell r="G3177" t="str">
            <v/>
          </cell>
          <cell r="J3177" t="str">
            <v/>
          </cell>
          <cell r="O3177" t="str">
            <v/>
          </cell>
          <cell r="P3177" t="str">
            <v/>
          </cell>
          <cell r="Q3177" t="str">
            <v/>
          </cell>
          <cell r="S3177" t="str">
            <v/>
          </cell>
          <cell r="V3177" t="str">
            <v/>
          </cell>
          <cell r="Z3177" t="str">
            <v/>
          </cell>
          <cell r="AA3177" t="str">
            <v/>
          </cell>
          <cell r="AB3177" t="str">
            <v/>
          </cell>
          <cell r="AC3177" t="str">
            <v/>
          </cell>
          <cell r="AD3177" t="str">
            <v/>
          </cell>
          <cell r="AY3177" t="str">
            <v/>
          </cell>
          <cell r="AZ3177" t="str">
            <v/>
          </cell>
          <cell r="BA3177" t="str">
            <v/>
          </cell>
        </row>
        <row r="3178">
          <cell r="B3178" t="str">
            <v>-</v>
          </cell>
          <cell r="E3178" t="str">
            <v/>
          </cell>
          <cell r="G3178" t="str">
            <v/>
          </cell>
          <cell r="J3178" t="str">
            <v/>
          </cell>
          <cell r="O3178" t="str">
            <v/>
          </cell>
          <cell r="P3178" t="str">
            <v/>
          </cell>
          <cell r="Q3178" t="str">
            <v/>
          </cell>
          <cell r="S3178" t="str">
            <v/>
          </cell>
          <cell r="V3178" t="str">
            <v/>
          </cell>
          <cell r="Z3178" t="str">
            <v/>
          </cell>
          <cell r="AA3178" t="str">
            <v/>
          </cell>
          <cell r="AB3178" t="str">
            <v/>
          </cell>
          <cell r="AC3178" t="str">
            <v/>
          </cell>
          <cell r="AD3178" t="str">
            <v/>
          </cell>
          <cell r="AY3178" t="str">
            <v/>
          </cell>
          <cell r="AZ3178" t="str">
            <v/>
          </cell>
          <cell r="BA3178" t="str">
            <v/>
          </cell>
        </row>
        <row r="3179">
          <cell r="B3179" t="str">
            <v>-</v>
          </cell>
          <cell r="E3179" t="str">
            <v/>
          </cell>
          <cell r="G3179" t="str">
            <v/>
          </cell>
          <cell r="J3179" t="str">
            <v/>
          </cell>
          <cell r="O3179" t="str">
            <v/>
          </cell>
          <cell r="P3179" t="str">
            <v/>
          </cell>
          <cell r="Q3179" t="str">
            <v/>
          </cell>
          <cell r="S3179" t="str">
            <v/>
          </cell>
          <cell r="V3179" t="str">
            <v/>
          </cell>
          <cell r="Z3179" t="str">
            <v/>
          </cell>
          <cell r="AA3179" t="str">
            <v/>
          </cell>
          <cell r="AB3179" t="str">
            <v/>
          </cell>
          <cell r="AC3179" t="str">
            <v/>
          </cell>
          <cell r="AD3179" t="str">
            <v/>
          </cell>
          <cell r="AY3179" t="str">
            <v/>
          </cell>
          <cell r="AZ3179" t="str">
            <v/>
          </cell>
          <cell r="BA3179" t="str">
            <v/>
          </cell>
        </row>
        <row r="3180">
          <cell r="B3180" t="str">
            <v>-</v>
          </cell>
          <cell r="E3180" t="str">
            <v/>
          </cell>
          <cell r="G3180" t="str">
            <v/>
          </cell>
          <cell r="J3180" t="str">
            <v/>
          </cell>
          <cell r="O3180" t="str">
            <v/>
          </cell>
          <cell r="P3180" t="str">
            <v/>
          </cell>
          <cell r="Q3180" t="str">
            <v/>
          </cell>
          <cell r="S3180" t="str">
            <v/>
          </cell>
          <cell r="V3180" t="str">
            <v/>
          </cell>
          <cell r="Z3180" t="str">
            <v/>
          </cell>
          <cell r="AA3180" t="str">
            <v/>
          </cell>
          <cell r="AB3180" t="str">
            <v/>
          </cell>
          <cell r="AC3180" t="str">
            <v/>
          </cell>
          <cell r="AD3180" t="str">
            <v/>
          </cell>
          <cell r="AY3180" t="str">
            <v/>
          </cell>
          <cell r="AZ3180" t="str">
            <v/>
          </cell>
          <cell r="BA3180" t="str">
            <v/>
          </cell>
        </row>
        <row r="3181">
          <cell r="B3181" t="str">
            <v>-</v>
          </cell>
          <cell r="E3181" t="str">
            <v/>
          </cell>
          <cell r="G3181" t="str">
            <v/>
          </cell>
          <cell r="J3181" t="str">
            <v/>
          </cell>
          <cell r="O3181" t="str">
            <v/>
          </cell>
          <cell r="P3181" t="str">
            <v/>
          </cell>
          <cell r="Q3181" t="str">
            <v/>
          </cell>
          <cell r="S3181" t="str">
            <v/>
          </cell>
          <cell r="V3181" t="str">
            <v/>
          </cell>
          <cell r="Z3181" t="str">
            <v/>
          </cell>
          <cell r="AA3181" t="str">
            <v/>
          </cell>
          <cell r="AB3181" t="str">
            <v/>
          </cell>
          <cell r="AC3181" t="str">
            <v/>
          </cell>
          <cell r="AD3181" t="str">
            <v/>
          </cell>
          <cell r="AY3181" t="str">
            <v/>
          </cell>
          <cell r="AZ3181" t="str">
            <v/>
          </cell>
          <cell r="BA3181" t="str">
            <v/>
          </cell>
        </row>
        <row r="3182">
          <cell r="B3182" t="str">
            <v>-</v>
          </cell>
          <cell r="E3182" t="str">
            <v/>
          </cell>
          <cell r="G3182" t="str">
            <v/>
          </cell>
          <cell r="J3182" t="str">
            <v/>
          </cell>
          <cell r="O3182" t="str">
            <v/>
          </cell>
          <cell r="P3182" t="str">
            <v/>
          </cell>
          <cell r="Q3182" t="str">
            <v/>
          </cell>
          <cell r="S3182" t="str">
            <v/>
          </cell>
          <cell r="V3182" t="str">
            <v/>
          </cell>
          <cell r="Z3182" t="str">
            <v/>
          </cell>
          <cell r="AA3182" t="str">
            <v/>
          </cell>
          <cell r="AB3182" t="str">
            <v/>
          </cell>
          <cell r="AC3182" t="str">
            <v/>
          </cell>
          <cell r="AD3182" t="str">
            <v/>
          </cell>
          <cell r="AY3182" t="str">
            <v/>
          </cell>
          <cell r="AZ3182" t="str">
            <v/>
          </cell>
          <cell r="BA3182" t="str">
            <v/>
          </cell>
        </row>
        <row r="3183">
          <cell r="B3183" t="str">
            <v>-</v>
          </cell>
          <cell r="E3183" t="str">
            <v/>
          </cell>
          <cell r="G3183" t="str">
            <v/>
          </cell>
          <cell r="J3183" t="str">
            <v/>
          </cell>
          <cell r="O3183" t="str">
            <v/>
          </cell>
          <cell r="P3183" t="str">
            <v/>
          </cell>
          <cell r="Q3183" t="str">
            <v/>
          </cell>
          <cell r="S3183" t="str">
            <v/>
          </cell>
          <cell r="V3183" t="str">
            <v/>
          </cell>
          <cell r="Z3183" t="str">
            <v/>
          </cell>
          <cell r="AA3183" t="str">
            <v/>
          </cell>
          <cell r="AB3183" t="str">
            <v/>
          </cell>
          <cell r="AC3183" t="str">
            <v/>
          </cell>
          <cell r="AD3183" t="str">
            <v/>
          </cell>
          <cell r="AY3183" t="str">
            <v/>
          </cell>
          <cell r="AZ3183" t="str">
            <v/>
          </cell>
          <cell r="BA3183" t="str">
            <v/>
          </cell>
        </row>
        <row r="3184">
          <cell r="B3184" t="str">
            <v>-</v>
          </cell>
          <cell r="E3184" t="str">
            <v/>
          </cell>
          <cell r="G3184" t="str">
            <v/>
          </cell>
          <cell r="J3184" t="str">
            <v/>
          </cell>
          <cell r="O3184" t="str">
            <v/>
          </cell>
          <cell r="P3184" t="str">
            <v/>
          </cell>
          <cell r="Q3184" t="str">
            <v/>
          </cell>
          <cell r="S3184" t="str">
            <v/>
          </cell>
          <cell r="V3184" t="str">
            <v/>
          </cell>
          <cell r="Z3184" t="str">
            <v/>
          </cell>
          <cell r="AA3184" t="str">
            <v/>
          </cell>
          <cell r="AB3184" t="str">
            <v/>
          </cell>
          <cell r="AC3184" t="str">
            <v/>
          </cell>
          <cell r="AD3184" t="str">
            <v/>
          </cell>
          <cell r="AY3184" t="str">
            <v/>
          </cell>
          <cell r="AZ3184" t="str">
            <v/>
          </cell>
          <cell r="BA3184" t="str">
            <v/>
          </cell>
        </row>
        <row r="3185">
          <cell r="B3185" t="str">
            <v>-</v>
          </cell>
          <cell r="E3185" t="str">
            <v/>
          </cell>
          <cell r="G3185" t="str">
            <v/>
          </cell>
          <cell r="J3185" t="str">
            <v/>
          </cell>
          <cell r="O3185" t="str">
            <v/>
          </cell>
          <cell r="P3185" t="str">
            <v/>
          </cell>
          <cell r="Q3185" t="str">
            <v/>
          </cell>
          <cell r="S3185" t="str">
            <v/>
          </cell>
          <cell r="V3185" t="str">
            <v/>
          </cell>
          <cell r="Z3185" t="str">
            <v/>
          </cell>
          <cell r="AA3185" t="str">
            <v/>
          </cell>
          <cell r="AB3185" t="str">
            <v/>
          </cell>
          <cell r="AC3185" t="str">
            <v/>
          </cell>
          <cell r="AD3185" t="str">
            <v/>
          </cell>
          <cell r="AY3185" t="str">
            <v/>
          </cell>
          <cell r="AZ3185" t="str">
            <v/>
          </cell>
          <cell r="BA3185" t="str">
            <v/>
          </cell>
        </row>
        <row r="3186">
          <cell r="B3186" t="str">
            <v>-</v>
          </cell>
          <cell r="E3186" t="str">
            <v/>
          </cell>
          <cell r="G3186" t="str">
            <v/>
          </cell>
          <cell r="J3186" t="str">
            <v/>
          </cell>
          <cell r="O3186" t="str">
            <v/>
          </cell>
          <cell r="P3186" t="str">
            <v/>
          </cell>
          <cell r="Q3186" t="str">
            <v/>
          </cell>
          <cell r="S3186" t="str">
            <v/>
          </cell>
          <cell r="V3186" t="str">
            <v/>
          </cell>
          <cell r="Z3186" t="str">
            <v/>
          </cell>
          <cell r="AA3186" t="str">
            <v/>
          </cell>
          <cell r="AB3186" t="str">
            <v/>
          </cell>
          <cell r="AC3186" t="str">
            <v/>
          </cell>
          <cell r="AD3186" t="str">
            <v/>
          </cell>
          <cell r="AY3186" t="str">
            <v/>
          </cell>
          <cell r="AZ3186" t="str">
            <v/>
          </cell>
          <cell r="BA3186" t="str">
            <v/>
          </cell>
        </row>
        <row r="3187">
          <cell r="B3187" t="str">
            <v>-</v>
          </cell>
          <cell r="E3187" t="str">
            <v/>
          </cell>
          <cell r="G3187" t="str">
            <v/>
          </cell>
          <cell r="J3187" t="str">
            <v/>
          </cell>
          <cell r="O3187" t="str">
            <v/>
          </cell>
          <cell r="P3187" t="str">
            <v/>
          </cell>
          <cell r="Q3187" t="str">
            <v/>
          </cell>
          <cell r="S3187" t="str">
            <v/>
          </cell>
          <cell r="V3187" t="str">
            <v/>
          </cell>
          <cell r="Z3187" t="str">
            <v/>
          </cell>
          <cell r="AA3187" t="str">
            <v/>
          </cell>
          <cell r="AB3187" t="str">
            <v/>
          </cell>
          <cell r="AC3187" t="str">
            <v/>
          </cell>
          <cell r="AD3187" t="str">
            <v/>
          </cell>
          <cell r="AY3187" t="str">
            <v/>
          </cell>
          <cell r="AZ3187" t="str">
            <v/>
          </cell>
          <cell r="BA3187" t="str">
            <v/>
          </cell>
        </row>
        <row r="3188">
          <cell r="B3188" t="str">
            <v>-</v>
          </cell>
          <cell r="E3188" t="str">
            <v/>
          </cell>
          <cell r="G3188" t="str">
            <v/>
          </cell>
          <cell r="J3188" t="str">
            <v/>
          </cell>
          <cell r="O3188" t="str">
            <v/>
          </cell>
          <cell r="P3188" t="str">
            <v/>
          </cell>
          <cell r="Q3188" t="str">
            <v/>
          </cell>
          <cell r="S3188" t="str">
            <v/>
          </cell>
          <cell r="V3188" t="str">
            <v/>
          </cell>
          <cell r="Z3188" t="str">
            <v/>
          </cell>
          <cell r="AA3188" t="str">
            <v/>
          </cell>
          <cell r="AB3188" t="str">
            <v/>
          </cell>
          <cell r="AC3188" t="str">
            <v/>
          </cell>
          <cell r="AD3188" t="str">
            <v/>
          </cell>
          <cell r="AY3188" t="str">
            <v/>
          </cell>
          <cell r="AZ3188" t="str">
            <v/>
          </cell>
          <cell r="BA3188" t="str">
            <v/>
          </cell>
        </row>
        <row r="3189">
          <cell r="B3189" t="str">
            <v>-</v>
          </cell>
          <cell r="E3189" t="str">
            <v/>
          </cell>
          <cell r="G3189" t="str">
            <v/>
          </cell>
          <cell r="J3189" t="str">
            <v/>
          </cell>
          <cell r="O3189" t="str">
            <v/>
          </cell>
          <cell r="P3189" t="str">
            <v/>
          </cell>
          <cell r="Q3189" t="str">
            <v/>
          </cell>
          <cell r="S3189" t="str">
            <v/>
          </cell>
          <cell r="V3189" t="str">
            <v/>
          </cell>
          <cell r="Z3189" t="str">
            <v/>
          </cell>
          <cell r="AA3189" t="str">
            <v/>
          </cell>
          <cell r="AB3189" t="str">
            <v/>
          </cell>
          <cell r="AC3189" t="str">
            <v/>
          </cell>
          <cell r="AD3189" t="str">
            <v/>
          </cell>
          <cell r="AY3189" t="str">
            <v/>
          </cell>
          <cell r="AZ3189" t="str">
            <v/>
          </cell>
          <cell r="BA3189" t="str">
            <v/>
          </cell>
        </row>
        <row r="3190">
          <cell r="B3190" t="str">
            <v>-</v>
          </cell>
          <cell r="E3190" t="str">
            <v/>
          </cell>
          <cell r="G3190" t="str">
            <v/>
          </cell>
          <cell r="J3190" t="str">
            <v/>
          </cell>
          <cell r="O3190" t="str">
            <v/>
          </cell>
          <cell r="P3190" t="str">
            <v/>
          </cell>
          <cell r="Q3190" t="str">
            <v/>
          </cell>
          <cell r="S3190" t="str">
            <v/>
          </cell>
          <cell r="V3190" t="str">
            <v/>
          </cell>
          <cell r="Z3190" t="str">
            <v/>
          </cell>
          <cell r="AA3190" t="str">
            <v/>
          </cell>
          <cell r="AB3190" t="str">
            <v/>
          </cell>
          <cell r="AC3190" t="str">
            <v/>
          </cell>
          <cell r="AD3190" t="str">
            <v/>
          </cell>
          <cell r="AY3190" t="str">
            <v/>
          </cell>
          <cell r="AZ3190" t="str">
            <v/>
          </cell>
          <cell r="BA3190" t="str">
            <v/>
          </cell>
        </row>
        <row r="3191">
          <cell r="B3191" t="str">
            <v>-</v>
          </cell>
          <cell r="E3191" t="str">
            <v/>
          </cell>
          <cell r="G3191" t="str">
            <v/>
          </cell>
          <cell r="J3191" t="str">
            <v/>
          </cell>
          <cell r="O3191" t="str">
            <v/>
          </cell>
          <cell r="P3191" t="str">
            <v/>
          </cell>
          <cell r="Q3191" t="str">
            <v/>
          </cell>
          <cell r="S3191" t="str">
            <v/>
          </cell>
          <cell r="V3191" t="str">
            <v/>
          </cell>
          <cell r="Z3191" t="str">
            <v/>
          </cell>
          <cell r="AA3191" t="str">
            <v/>
          </cell>
          <cell r="AB3191" t="str">
            <v/>
          </cell>
          <cell r="AC3191" t="str">
            <v/>
          </cell>
          <cell r="AD3191" t="str">
            <v/>
          </cell>
          <cell r="AY3191" t="str">
            <v/>
          </cell>
          <cell r="AZ3191" t="str">
            <v/>
          </cell>
          <cell r="BA3191" t="str">
            <v/>
          </cell>
        </row>
        <row r="3192">
          <cell r="B3192" t="str">
            <v>-</v>
          </cell>
          <cell r="E3192" t="str">
            <v/>
          </cell>
          <cell r="G3192" t="str">
            <v/>
          </cell>
          <cell r="J3192" t="str">
            <v/>
          </cell>
          <cell r="O3192" t="str">
            <v/>
          </cell>
          <cell r="P3192" t="str">
            <v/>
          </cell>
          <cell r="Q3192" t="str">
            <v/>
          </cell>
          <cell r="S3192" t="str">
            <v/>
          </cell>
          <cell r="V3192" t="str">
            <v/>
          </cell>
          <cell r="Z3192" t="str">
            <v/>
          </cell>
          <cell r="AA3192" t="str">
            <v/>
          </cell>
          <cell r="AB3192" t="str">
            <v/>
          </cell>
          <cell r="AC3192" t="str">
            <v/>
          </cell>
          <cell r="AD3192" t="str">
            <v/>
          </cell>
          <cell r="AY3192" t="str">
            <v/>
          </cell>
          <cell r="AZ3192" t="str">
            <v/>
          </cell>
          <cell r="BA3192" t="str">
            <v/>
          </cell>
        </row>
        <row r="3193">
          <cell r="B3193" t="str">
            <v>-</v>
          </cell>
          <cell r="E3193" t="str">
            <v/>
          </cell>
          <cell r="G3193" t="str">
            <v/>
          </cell>
          <cell r="J3193" t="str">
            <v/>
          </cell>
          <cell r="O3193" t="str">
            <v/>
          </cell>
          <cell r="P3193" t="str">
            <v/>
          </cell>
          <cell r="Q3193" t="str">
            <v/>
          </cell>
          <cell r="S3193" t="str">
            <v/>
          </cell>
          <cell r="V3193" t="str">
            <v/>
          </cell>
          <cell r="Z3193" t="str">
            <v/>
          </cell>
          <cell r="AA3193" t="str">
            <v/>
          </cell>
          <cell r="AB3193" t="str">
            <v/>
          </cell>
          <cell r="AC3193" t="str">
            <v/>
          </cell>
          <cell r="AD3193" t="str">
            <v/>
          </cell>
          <cell r="AY3193" t="str">
            <v/>
          </cell>
          <cell r="AZ3193" t="str">
            <v/>
          </cell>
          <cell r="BA3193" t="str">
            <v/>
          </cell>
        </row>
        <row r="3194">
          <cell r="B3194" t="str">
            <v>-</v>
          </cell>
          <cell r="E3194" t="str">
            <v/>
          </cell>
          <cell r="G3194" t="str">
            <v/>
          </cell>
          <cell r="J3194" t="str">
            <v/>
          </cell>
          <cell r="O3194" t="str">
            <v/>
          </cell>
          <cell r="P3194" t="str">
            <v/>
          </cell>
          <cell r="Q3194" t="str">
            <v/>
          </cell>
          <cell r="S3194" t="str">
            <v/>
          </cell>
          <cell r="V3194" t="str">
            <v/>
          </cell>
          <cell r="Z3194" t="str">
            <v/>
          </cell>
          <cell r="AA3194" t="str">
            <v/>
          </cell>
          <cell r="AB3194" t="str">
            <v/>
          </cell>
          <cell r="AC3194" t="str">
            <v/>
          </cell>
          <cell r="AD3194" t="str">
            <v/>
          </cell>
          <cell r="AY3194" t="str">
            <v/>
          </cell>
          <cell r="AZ3194" t="str">
            <v/>
          </cell>
          <cell r="BA3194" t="str">
            <v/>
          </cell>
        </row>
        <row r="3195">
          <cell r="B3195" t="str">
            <v>-</v>
          </cell>
          <cell r="E3195" t="str">
            <v/>
          </cell>
          <cell r="G3195" t="str">
            <v/>
          </cell>
          <cell r="J3195" t="str">
            <v/>
          </cell>
          <cell r="O3195" t="str">
            <v/>
          </cell>
          <cell r="P3195" t="str">
            <v/>
          </cell>
          <cell r="Q3195" t="str">
            <v/>
          </cell>
          <cell r="S3195" t="str">
            <v/>
          </cell>
          <cell r="V3195" t="str">
            <v/>
          </cell>
          <cell r="Z3195" t="str">
            <v/>
          </cell>
          <cell r="AA3195" t="str">
            <v/>
          </cell>
          <cell r="AB3195" t="str">
            <v/>
          </cell>
          <cell r="AC3195" t="str">
            <v/>
          </cell>
          <cell r="AD3195" t="str">
            <v/>
          </cell>
          <cell r="AY3195" t="str">
            <v/>
          </cell>
          <cell r="AZ3195" t="str">
            <v/>
          </cell>
          <cell r="BA3195" t="str">
            <v/>
          </cell>
        </row>
        <row r="3196">
          <cell r="B3196" t="str">
            <v>-</v>
          </cell>
          <cell r="E3196" t="str">
            <v/>
          </cell>
          <cell r="G3196" t="str">
            <v/>
          </cell>
          <cell r="J3196" t="str">
            <v/>
          </cell>
          <cell r="O3196" t="str">
            <v/>
          </cell>
          <cell r="P3196" t="str">
            <v/>
          </cell>
          <cell r="Q3196" t="str">
            <v/>
          </cell>
          <cell r="S3196" t="str">
            <v/>
          </cell>
          <cell r="V3196" t="str">
            <v/>
          </cell>
          <cell r="Z3196" t="str">
            <v/>
          </cell>
          <cell r="AA3196" t="str">
            <v/>
          </cell>
          <cell r="AB3196" t="str">
            <v/>
          </cell>
          <cell r="AC3196" t="str">
            <v/>
          </cell>
          <cell r="AD3196" t="str">
            <v/>
          </cell>
          <cell r="AY3196" t="str">
            <v/>
          </cell>
          <cell r="AZ3196" t="str">
            <v/>
          </cell>
          <cell r="BA3196" t="str">
            <v/>
          </cell>
        </row>
        <row r="3197">
          <cell r="B3197" t="str">
            <v>-</v>
          </cell>
          <cell r="E3197" t="str">
            <v/>
          </cell>
          <cell r="G3197" t="str">
            <v/>
          </cell>
          <cell r="J3197" t="str">
            <v/>
          </cell>
          <cell r="O3197" t="str">
            <v/>
          </cell>
          <cell r="P3197" t="str">
            <v/>
          </cell>
          <cell r="Q3197" t="str">
            <v/>
          </cell>
          <cell r="S3197" t="str">
            <v/>
          </cell>
          <cell r="V3197" t="str">
            <v/>
          </cell>
          <cell r="Z3197" t="str">
            <v/>
          </cell>
          <cell r="AA3197" t="str">
            <v/>
          </cell>
          <cell r="AB3197" t="str">
            <v/>
          </cell>
          <cell r="AC3197" t="str">
            <v/>
          </cell>
          <cell r="AD3197" t="str">
            <v/>
          </cell>
          <cell r="AY3197" t="str">
            <v/>
          </cell>
          <cell r="AZ3197" t="str">
            <v/>
          </cell>
          <cell r="BA3197" t="str">
            <v/>
          </cell>
        </row>
        <row r="3198">
          <cell r="B3198" t="str">
            <v>-</v>
          </cell>
          <cell r="E3198" t="str">
            <v/>
          </cell>
          <cell r="G3198" t="str">
            <v/>
          </cell>
          <cell r="J3198" t="str">
            <v/>
          </cell>
          <cell r="O3198" t="str">
            <v/>
          </cell>
          <cell r="P3198" t="str">
            <v/>
          </cell>
          <cell r="Q3198" t="str">
            <v/>
          </cell>
          <cell r="S3198" t="str">
            <v/>
          </cell>
          <cell r="V3198" t="str">
            <v/>
          </cell>
          <cell r="Z3198" t="str">
            <v/>
          </cell>
          <cell r="AA3198" t="str">
            <v/>
          </cell>
          <cell r="AB3198" t="str">
            <v/>
          </cell>
          <cell r="AC3198" t="str">
            <v/>
          </cell>
          <cell r="AD3198" t="str">
            <v/>
          </cell>
          <cell r="AY3198" t="str">
            <v/>
          </cell>
          <cell r="AZ3198" t="str">
            <v/>
          </cell>
          <cell r="BA3198" t="str">
            <v/>
          </cell>
        </row>
        <row r="3199">
          <cell r="B3199" t="str">
            <v>-</v>
          </cell>
          <cell r="E3199" t="str">
            <v/>
          </cell>
          <cell r="G3199" t="str">
            <v/>
          </cell>
          <cell r="J3199" t="str">
            <v/>
          </cell>
          <cell r="O3199" t="str">
            <v/>
          </cell>
          <cell r="P3199" t="str">
            <v/>
          </cell>
          <cell r="Q3199" t="str">
            <v/>
          </cell>
          <cell r="S3199" t="str">
            <v/>
          </cell>
          <cell r="V3199" t="str">
            <v/>
          </cell>
          <cell r="Z3199" t="str">
            <v/>
          </cell>
          <cell r="AA3199" t="str">
            <v/>
          </cell>
          <cell r="AB3199" t="str">
            <v/>
          </cell>
          <cell r="AC3199" t="str">
            <v/>
          </cell>
          <cell r="AD3199" t="str">
            <v/>
          </cell>
          <cell r="AY3199" t="str">
            <v/>
          </cell>
          <cell r="AZ3199" t="str">
            <v/>
          </cell>
          <cell r="BA3199" t="str">
            <v/>
          </cell>
        </row>
        <row r="3200">
          <cell r="B3200" t="str">
            <v>-</v>
          </cell>
          <cell r="E3200" t="str">
            <v/>
          </cell>
          <cell r="G3200" t="str">
            <v/>
          </cell>
          <cell r="J3200" t="str">
            <v/>
          </cell>
          <cell r="O3200" t="str">
            <v/>
          </cell>
          <cell r="P3200" t="str">
            <v/>
          </cell>
          <cell r="Q3200" t="str">
            <v/>
          </cell>
          <cell r="S3200" t="str">
            <v/>
          </cell>
          <cell r="V3200" t="str">
            <v/>
          </cell>
          <cell r="Z3200" t="str">
            <v/>
          </cell>
          <cell r="AA3200" t="str">
            <v/>
          </cell>
          <cell r="AB3200" t="str">
            <v/>
          </cell>
          <cell r="AC3200" t="str">
            <v/>
          </cell>
          <cell r="AD3200" t="str">
            <v/>
          </cell>
          <cell r="AY3200" t="str">
            <v/>
          </cell>
          <cell r="AZ3200" t="str">
            <v/>
          </cell>
          <cell r="BA3200" t="str">
            <v/>
          </cell>
        </row>
        <row r="3201">
          <cell r="B3201" t="str">
            <v>-</v>
          </cell>
          <cell r="E3201" t="str">
            <v/>
          </cell>
          <cell r="G3201" t="str">
            <v/>
          </cell>
          <cell r="J3201" t="str">
            <v/>
          </cell>
          <cell r="O3201" t="str">
            <v/>
          </cell>
          <cell r="P3201" t="str">
            <v/>
          </cell>
          <cell r="Q3201" t="str">
            <v/>
          </cell>
          <cell r="S3201" t="str">
            <v/>
          </cell>
          <cell r="V3201" t="str">
            <v/>
          </cell>
          <cell r="Z3201" t="str">
            <v/>
          </cell>
          <cell r="AA3201" t="str">
            <v/>
          </cell>
          <cell r="AB3201" t="str">
            <v/>
          </cell>
          <cell r="AC3201" t="str">
            <v/>
          </cell>
          <cell r="AD3201" t="str">
            <v/>
          </cell>
          <cell r="AY3201" t="str">
            <v/>
          </cell>
          <cell r="AZ3201" t="str">
            <v/>
          </cell>
          <cell r="BA3201" t="str">
            <v/>
          </cell>
        </row>
        <row r="3202">
          <cell r="B3202" t="str">
            <v>-</v>
          </cell>
          <cell r="E3202" t="str">
            <v/>
          </cell>
          <cell r="G3202" t="str">
            <v/>
          </cell>
          <cell r="J3202" t="str">
            <v/>
          </cell>
          <cell r="O3202" t="str">
            <v/>
          </cell>
          <cell r="P3202" t="str">
            <v/>
          </cell>
          <cell r="Q3202" t="str">
            <v/>
          </cell>
          <cell r="S3202" t="str">
            <v/>
          </cell>
          <cell r="V3202" t="str">
            <v/>
          </cell>
          <cell r="Z3202" t="str">
            <v/>
          </cell>
          <cell r="AA3202" t="str">
            <v/>
          </cell>
          <cell r="AB3202" t="str">
            <v/>
          </cell>
          <cell r="AC3202" t="str">
            <v/>
          </cell>
          <cell r="AD3202" t="str">
            <v/>
          </cell>
          <cell r="AY3202" t="str">
            <v/>
          </cell>
          <cell r="AZ3202" t="str">
            <v/>
          </cell>
          <cell r="BA3202" t="str">
            <v/>
          </cell>
        </row>
        <row r="3203">
          <cell r="B3203" t="str">
            <v>-</v>
          </cell>
          <cell r="E3203" t="str">
            <v/>
          </cell>
          <cell r="G3203" t="str">
            <v/>
          </cell>
          <cell r="J3203" t="str">
            <v/>
          </cell>
          <cell r="O3203" t="str">
            <v/>
          </cell>
          <cell r="P3203" t="str">
            <v/>
          </cell>
          <cell r="Q3203" t="str">
            <v/>
          </cell>
          <cell r="S3203" t="str">
            <v/>
          </cell>
          <cell r="V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 t="str">
            <v/>
          </cell>
          <cell r="AD3203" t="str">
            <v/>
          </cell>
          <cell r="AY3203" t="str">
            <v/>
          </cell>
          <cell r="AZ3203" t="str">
            <v/>
          </cell>
          <cell r="BA3203" t="str">
            <v/>
          </cell>
        </row>
        <row r="3204">
          <cell r="B3204" t="str">
            <v>-</v>
          </cell>
          <cell r="E3204" t="str">
            <v/>
          </cell>
          <cell r="G3204" t="str">
            <v/>
          </cell>
          <cell r="J3204" t="str">
            <v/>
          </cell>
          <cell r="O3204" t="str">
            <v/>
          </cell>
          <cell r="P3204" t="str">
            <v/>
          </cell>
          <cell r="Q3204" t="str">
            <v/>
          </cell>
          <cell r="S3204" t="str">
            <v/>
          </cell>
          <cell r="V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 t="str">
            <v/>
          </cell>
          <cell r="AD3204" t="str">
            <v/>
          </cell>
          <cell r="AY3204" t="str">
            <v/>
          </cell>
          <cell r="AZ3204" t="str">
            <v/>
          </cell>
          <cell r="BA3204" t="str">
            <v/>
          </cell>
        </row>
        <row r="3205">
          <cell r="B3205" t="str">
            <v>-</v>
          </cell>
          <cell r="E3205" t="str">
            <v/>
          </cell>
          <cell r="G3205" t="str">
            <v/>
          </cell>
          <cell r="J3205" t="str">
            <v/>
          </cell>
          <cell r="O3205" t="str">
            <v/>
          </cell>
          <cell r="P3205" t="str">
            <v/>
          </cell>
          <cell r="Q3205" t="str">
            <v/>
          </cell>
          <cell r="S3205" t="str">
            <v/>
          </cell>
          <cell r="V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 t="str">
            <v/>
          </cell>
          <cell r="AD3205" t="str">
            <v/>
          </cell>
          <cell r="AY3205" t="str">
            <v/>
          </cell>
          <cell r="AZ3205" t="str">
            <v/>
          </cell>
          <cell r="BA3205" t="str">
            <v/>
          </cell>
        </row>
        <row r="3206">
          <cell r="B3206" t="str">
            <v>-</v>
          </cell>
          <cell r="E3206" t="str">
            <v/>
          </cell>
          <cell r="G3206" t="str">
            <v/>
          </cell>
          <cell r="J3206" t="str">
            <v/>
          </cell>
          <cell r="O3206" t="str">
            <v/>
          </cell>
          <cell r="P3206" t="str">
            <v/>
          </cell>
          <cell r="Q3206" t="str">
            <v/>
          </cell>
          <cell r="S3206" t="str">
            <v/>
          </cell>
          <cell r="V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 t="str">
            <v/>
          </cell>
          <cell r="AD3206" t="str">
            <v/>
          </cell>
          <cell r="AY3206" t="str">
            <v/>
          </cell>
          <cell r="AZ3206" t="str">
            <v/>
          </cell>
          <cell r="BA3206" t="str">
            <v/>
          </cell>
        </row>
        <row r="3207">
          <cell r="B3207" t="str">
            <v>-</v>
          </cell>
          <cell r="E3207" t="str">
            <v/>
          </cell>
          <cell r="G3207" t="str">
            <v/>
          </cell>
          <cell r="J3207" t="str">
            <v/>
          </cell>
          <cell r="O3207" t="str">
            <v/>
          </cell>
          <cell r="P3207" t="str">
            <v/>
          </cell>
          <cell r="Q3207" t="str">
            <v/>
          </cell>
          <cell r="S3207" t="str">
            <v/>
          </cell>
          <cell r="V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 t="str">
            <v/>
          </cell>
          <cell r="AD3207" t="str">
            <v/>
          </cell>
          <cell r="AY3207" t="str">
            <v/>
          </cell>
          <cell r="AZ3207" t="str">
            <v/>
          </cell>
          <cell r="BA3207" t="str">
            <v/>
          </cell>
        </row>
        <row r="3208">
          <cell r="B3208" t="str">
            <v>-</v>
          </cell>
          <cell r="E3208" t="str">
            <v/>
          </cell>
          <cell r="G3208" t="str">
            <v/>
          </cell>
          <cell r="J3208" t="str">
            <v/>
          </cell>
          <cell r="O3208" t="str">
            <v/>
          </cell>
          <cell r="P3208" t="str">
            <v/>
          </cell>
          <cell r="Q3208" t="str">
            <v/>
          </cell>
          <cell r="S3208" t="str">
            <v/>
          </cell>
          <cell r="V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 t="str">
            <v/>
          </cell>
          <cell r="AD3208" t="str">
            <v/>
          </cell>
          <cell r="AY3208" t="str">
            <v/>
          </cell>
          <cell r="AZ3208" t="str">
            <v/>
          </cell>
          <cell r="BA3208" t="str">
            <v/>
          </cell>
        </row>
        <row r="3209">
          <cell r="B3209" t="str">
            <v>-</v>
          </cell>
          <cell r="E3209" t="str">
            <v/>
          </cell>
          <cell r="G3209" t="str">
            <v/>
          </cell>
          <cell r="J3209" t="str">
            <v/>
          </cell>
          <cell r="O3209" t="str">
            <v/>
          </cell>
          <cell r="P3209" t="str">
            <v/>
          </cell>
          <cell r="Q3209" t="str">
            <v/>
          </cell>
          <cell r="S3209" t="str">
            <v/>
          </cell>
          <cell r="V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 t="str">
            <v/>
          </cell>
          <cell r="AD3209" t="str">
            <v/>
          </cell>
          <cell r="AY3209" t="str">
            <v/>
          </cell>
          <cell r="AZ3209" t="str">
            <v/>
          </cell>
          <cell r="BA3209" t="str">
            <v/>
          </cell>
        </row>
        <row r="3210">
          <cell r="B3210" t="str">
            <v>-</v>
          </cell>
          <cell r="E3210" t="str">
            <v/>
          </cell>
          <cell r="G3210" t="str">
            <v/>
          </cell>
          <cell r="J3210" t="str">
            <v/>
          </cell>
          <cell r="O3210" t="str">
            <v/>
          </cell>
          <cell r="P3210" t="str">
            <v/>
          </cell>
          <cell r="Q3210" t="str">
            <v/>
          </cell>
          <cell r="S3210" t="str">
            <v/>
          </cell>
          <cell r="V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 t="str">
            <v/>
          </cell>
          <cell r="AD3210" t="str">
            <v/>
          </cell>
          <cell r="AY3210" t="str">
            <v/>
          </cell>
          <cell r="AZ3210" t="str">
            <v/>
          </cell>
          <cell r="BA3210" t="str">
            <v/>
          </cell>
        </row>
        <row r="3211">
          <cell r="B3211" t="str">
            <v>-</v>
          </cell>
          <cell r="E3211" t="str">
            <v/>
          </cell>
          <cell r="G3211" t="str">
            <v/>
          </cell>
          <cell r="J3211" t="str">
            <v/>
          </cell>
          <cell r="O3211" t="str">
            <v/>
          </cell>
          <cell r="P3211" t="str">
            <v/>
          </cell>
          <cell r="Q3211" t="str">
            <v/>
          </cell>
          <cell r="S3211" t="str">
            <v/>
          </cell>
          <cell r="V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 t="str">
            <v/>
          </cell>
          <cell r="AD3211" t="str">
            <v/>
          </cell>
          <cell r="AY3211" t="str">
            <v/>
          </cell>
          <cell r="AZ3211" t="str">
            <v/>
          </cell>
          <cell r="BA3211" t="str">
            <v/>
          </cell>
        </row>
        <row r="3212">
          <cell r="B3212" t="str">
            <v>-</v>
          </cell>
          <cell r="E3212" t="str">
            <v/>
          </cell>
          <cell r="G3212" t="str">
            <v/>
          </cell>
          <cell r="J3212" t="str">
            <v/>
          </cell>
          <cell r="O3212" t="str">
            <v/>
          </cell>
          <cell r="P3212" t="str">
            <v/>
          </cell>
          <cell r="Q3212" t="str">
            <v/>
          </cell>
          <cell r="S3212" t="str">
            <v/>
          </cell>
          <cell r="V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 t="str">
            <v/>
          </cell>
          <cell r="AD3212" t="str">
            <v/>
          </cell>
          <cell r="AY3212" t="str">
            <v/>
          </cell>
          <cell r="AZ3212" t="str">
            <v/>
          </cell>
          <cell r="BA3212" t="str">
            <v/>
          </cell>
        </row>
        <row r="3213">
          <cell r="B3213" t="str">
            <v>-</v>
          </cell>
          <cell r="E3213" t="str">
            <v/>
          </cell>
          <cell r="G3213" t="str">
            <v/>
          </cell>
          <cell r="J3213" t="str">
            <v/>
          </cell>
          <cell r="O3213" t="str">
            <v/>
          </cell>
          <cell r="P3213" t="str">
            <v/>
          </cell>
          <cell r="Q3213" t="str">
            <v/>
          </cell>
          <cell r="S3213" t="str">
            <v/>
          </cell>
          <cell r="V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 t="str">
            <v/>
          </cell>
          <cell r="AD3213" t="str">
            <v/>
          </cell>
          <cell r="AY3213" t="str">
            <v/>
          </cell>
          <cell r="AZ3213" t="str">
            <v/>
          </cell>
          <cell r="BA3213" t="str">
            <v/>
          </cell>
        </row>
        <row r="3214">
          <cell r="B3214" t="str">
            <v>-</v>
          </cell>
          <cell r="E3214" t="str">
            <v/>
          </cell>
          <cell r="G3214" t="str">
            <v/>
          </cell>
          <cell r="J3214" t="str">
            <v/>
          </cell>
          <cell r="O3214" t="str">
            <v/>
          </cell>
          <cell r="P3214" t="str">
            <v/>
          </cell>
          <cell r="Q3214" t="str">
            <v/>
          </cell>
          <cell r="S3214" t="str">
            <v/>
          </cell>
          <cell r="V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 t="str">
            <v/>
          </cell>
          <cell r="AD3214" t="str">
            <v/>
          </cell>
          <cell r="AY3214" t="str">
            <v/>
          </cell>
          <cell r="AZ3214" t="str">
            <v/>
          </cell>
          <cell r="BA3214" t="str">
            <v/>
          </cell>
        </row>
        <row r="3215">
          <cell r="B3215" t="str">
            <v>-</v>
          </cell>
          <cell r="E3215" t="str">
            <v/>
          </cell>
          <cell r="G3215" t="str">
            <v/>
          </cell>
          <cell r="J3215" t="str">
            <v/>
          </cell>
          <cell r="O3215" t="str">
            <v/>
          </cell>
          <cell r="P3215" t="str">
            <v/>
          </cell>
          <cell r="Q3215" t="str">
            <v/>
          </cell>
          <cell r="S3215" t="str">
            <v/>
          </cell>
          <cell r="V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 t="str">
            <v/>
          </cell>
          <cell r="AD3215" t="str">
            <v/>
          </cell>
          <cell r="AY3215" t="str">
            <v/>
          </cell>
          <cell r="AZ3215" t="str">
            <v/>
          </cell>
          <cell r="BA3215" t="str">
            <v/>
          </cell>
        </row>
        <row r="3216">
          <cell r="B3216" t="str">
            <v>-</v>
          </cell>
          <cell r="E3216" t="str">
            <v/>
          </cell>
          <cell r="G3216" t="str">
            <v/>
          </cell>
          <cell r="J3216" t="str">
            <v/>
          </cell>
          <cell r="O3216" t="str">
            <v/>
          </cell>
          <cell r="P3216" t="str">
            <v/>
          </cell>
          <cell r="Q3216" t="str">
            <v/>
          </cell>
          <cell r="S3216" t="str">
            <v/>
          </cell>
          <cell r="V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 t="str">
            <v/>
          </cell>
          <cell r="AD3216" t="str">
            <v/>
          </cell>
          <cell r="AY3216" t="str">
            <v/>
          </cell>
          <cell r="AZ3216" t="str">
            <v/>
          </cell>
          <cell r="BA3216" t="str">
            <v/>
          </cell>
        </row>
        <row r="3217">
          <cell r="B3217" t="str">
            <v>-</v>
          </cell>
          <cell r="E3217" t="str">
            <v/>
          </cell>
          <cell r="G3217" t="str">
            <v/>
          </cell>
          <cell r="J3217" t="str">
            <v/>
          </cell>
          <cell r="O3217" t="str">
            <v/>
          </cell>
          <cell r="P3217" t="str">
            <v/>
          </cell>
          <cell r="Q3217" t="str">
            <v/>
          </cell>
          <cell r="S3217" t="str">
            <v/>
          </cell>
          <cell r="V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 t="str">
            <v/>
          </cell>
          <cell r="AD3217" t="str">
            <v/>
          </cell>
          <cell r="AY3217" t="str">
            <v/>
          </cell>
          <cell r="AZ3217" t="str">
            <v/>
          </cell>
          <cell r="BA3217" t="str">
            <v/>
          </cell>
        </row>
        <row r="3218">
          <cell r="B3218" t="str">
            <v>-</v>
          </cell>
          <cell r="E3218" t="str">
            <v/>
          </cell>
          <cell r="G3218" t="str">
            <v/>
          </cell>
          <cell r="J3218" t="str">
            <v/>
          </cell>
          <cell r="O3218" t="str">
            <v/>
          </cell>
          <cell r="P3218" t="str">
            <v/>
          </cell>
          <cell r="Q3218" t="str">
            <v/>
          </cell>
          <cell r="S3218" t="str">
            <v/>
          </cell>
          <cell r="V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 t="str">
            <v/>
          </cell>
          <cell r="AD3218" t="str">
            <v/>
          </cell>
          <cell r="AY3218" t="str">
            <v/>
          </cell>
          <cell r="AZ3218" t="str">
            <v/>
          </cell>
          <cell r="BA3218" t="str">
            <v/>
          </cell>
        </row>
        <row r="3219">
          <cell r="B3219" t="str">
            <v>-</v>
          </cell>
          <cell r="E3219" t="str">
            <v/>
          </cell>
          <cell r="G3219" t="str">
            <v/>
          </cell>
          <cell r="J3219" t="str">
            <v/>
          </cell>
          <cell r="O3219" t="str">
            <v/>
          </cell>
          <cell r="P3219" t="str">
            <v/>
          </cell>
          <cell r="Q3219" t="str">
            <v/>
          </cell>
          <cell r="S3219" t="str">
            <v/>
          </cell>
          <cell r="V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 t="str">
            <v/>
          </cell>
          <cell r="AD3219" t="str">
            <v/>
          </cell>
          <cell r="AY3219" t="str">
            <v/>
          </cell>
          <cell r="AZ3219" t="str">
            <v/>
          </cell>
          <cell r="BA3219" t="str">
            <v/>
          </cell>
        </row>
        <row r="3220">
          <cell r="B3220" t="str">
            <v>-</v>
          </cell>
          <cell r="E3220" t="str">
            <v/>
          </cell>
          <cell r="G3220" t="str">
            <v/>
          </cell>
          <cell r="J3220" t="str">
            <v/>
          </cell>
          <cell r="O3220" t="str">
            <v/>
          </cell>
          <cell r="P3220" t="str">
            <v/>
          </cell>
          <cell r="Q3220" t="str">
            <v/>
          </cell>
          <cell r="S3220" t="str">
            <v/>
          </cell>
          <cell r="V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 t="str">
            <v/>
          </cell>
          <cell r="AD3220" t="str">
            <v/>
          </cell>
          <cell r="AY3220" t="str">
            <v/>
          </cell>
          <cell r="AZ3220" t="str">
            <v/>
          </cell>
          <cell r="BA3220" t="str">
            <v/>
          </cell>
        </row>
        <row r="3221">
          <cell r="B3221" t="str">
            <v>-</v>
          </cell>
          <cell r="E3221" t="str">
            <v/>
          </cell>
          <cell r="G3221" t="str">
            <v/>
          </cell>
          <cell r="J3221" t="str">
            <v/>
          </cell>
          <cell r="O3221" t="str">
            <v/>
          </cell>
          <cell r="P3221" t="str">
            <v/>
          </cell>
          <cell r="Q3221" t="str">
            <v/>
          </cell>
          <cell r="S3221" t="str">
            <v/>
          </cell>
          <cell r="V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 t="str">
            <v/>
          </cell>
          <cell r="AD3221" t="str">
            <v/>
          </cell>
          <cell r="AY3221" t="str">
            <v/>
          </cell>
          <cell r="AZ3221" t="str">
            <v/>
          </cell>
          <cell r="BA3221" t="str">
            <v/>
          </cell>
        </row>
        <row r="3222">
          <cell r="B3222" t="str">
            <v>-</v>
          </cell>
          <cell r="E3222" t="str">
            <v/>
          </cell>
          <cell r="G3222" t="str">
            <v/>
          </cell>
          <cell r="J3222" t="str">
            <v/>
          </cell>
          <cell r="O3222" t="str">
            <v/>
          </cell>
          <cell r="P3222" t="str">
            <v/>
          </cell>
          <cell r="Q3222" t="str">
            <v/>
          </cell>
          <cell r="S3222" t="str">
            <v/>
          </cell>
          <cell r="V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 t="str">
            <v/>
          </cell>
          <cell r="AD3222" t="str">
            <v/>
          </cell>
          <cell r="AY3222" t="str">
            <v/>
          </cell>
          <cell r="AZ3222" t="str">
            <v/>
          </cell>
          <cell r="BA3222" t="str">
            <v/>
          </cell>
        </row>
        <row r="3223">
          <cell r="B3223" t="str">
            <v>-</v>
          </cell>
          <cell r="E3223" t="str">
            <v/>
          </cell>
          <cell r="G3223" t="str">
            <v/>
          </cell>
          <cell r="J3223" t="str">
            <v/>
          </cell>
          <cell r="O3223" t="str">
            <v/>
          </cell>
          <cell r="P3223" t="str">
            <v/>
          </cell>
          <cell r="Q3223" t="str">
            <v/>
          </cell>
          <cell r="S3223" t="str">
            <v/>
          </cell>
          <cell r="V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 t="str">
            <v/>
          </cell>
          <cell r="AD3223" t="str">
            <v/>
          </cell>
          <cell r="AY3223" t="str">
            <v/>
          </cell>
          <cell r="AZ3223" t="str">
            <v/>
          </cell>
          <cell r="BA3223" t="str">
            <v/>
          </cell>
        </row>
        <row r="3224">
          <cell r="B3224" t="str">
            <v>-</v>
          </cell>
          <cell r="E3224" t="str">
            <v/>
          </cell>
          <cell r="G3224" t="str">
            <v/>
          </cell>
          <cell r="J3224" t="str">
            <v/>
          </cell>
          <cell r="O3224" t="str">
            <v/>
          </cell>
          <cell r="P3224" t="str">
            <v/>
          </cell>
          <cell r="Q3224" t="str">
            <v/>
          </cell>
          <cell r="S3224" t="str">
            <v/>
          </cell>
          <cell r="V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 t="str">
            <v/>
          </cell>
          <cell r="AD3224" t="str">
            <v/>
          </cell>
          <cell r="AY3224" t="str">
            <v/>
          </cell>
          <cell r="AZ3224" t="str">
            <v/>
          </cell>
          <cell r="BA3224" t="str">
            <v/>
          </cell>
        </row>
        <row r="3225">
          <cell r="B3225" t="str">
            <v>-</v>
          </cell>
          <cell r="E3225" t="str">
            <v/>
          </cell>
          <cell r="G3225" t="str">
            <v/>
          </cell>
          <cell r="J3225" t="str">
            <v/>
          </cell>
          <cell r="O3225" t="str">
            <v/>
          </cell>
          <cell r="P3225" t="str">
            <v/>
          </cell>
          <cell r="Q3225" t="str">
            <v/>
          </cell>
          <cell r="S3225" t="str">
            <v/>
          </cell>
          <cell r="V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 t="str">
            <v/>
          </cell>
          <cell r="AD3225" t="str">
            <v/>
          </cell>
          <cell r="AY3225" t="str">
            <v/>
          </cell>
          <cell r="AZ3225" t="str">
            <v/>
          </cell>
          <cell r="BA3225" t="str">
            <v/>
          </cell>
        </row>
        <row r="3226">
          <cell r="B3226" t="str">
            <v>-</v>
          </cell>
          <cell r="E3226" t="str">
            <v/>
          </cell>
          <cell r="G3226" t="str">
            <v/>
          </cell>
          <cell r="J3226" t="str">
            <v/>
          </cell>
          <cell r="O3226" t="str">
            <v/>
          </cell>
          <cell r="P3226" t="str">
            <v/>
          </cell>
          <cell r="Q3226" t="str">
            <v/>
          </cell>
          <cell r="S3226" t="str">
            <v/>
          </cell>
          <cell r="V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 t="str">
            <v/>
          </cell>
          <cell r="AD3226" t="str">
            <v/>
          </cell>
          <cell r="AY3226" t="str">
            <v/>
          </cell>
          <cell r="AZ3226" t="str">
            <v/>
          </cell>
          <cell r="BA3226" t="str">
            <v/>
          </cell>
        </row>
        <row r="3227">
          <cell r="B3227" t="str">
            <v>-</v>
          </cell>
          <cell r="E3227" t="str">
            <v/>
          </cell>
          <cell r="G3227" t="str">
            <v/>
          </cell>
          <cell r="J3227" t="str">
            <v/>
          </cell>
          <cell r="O3227" t="str">
            <v/>
          </cell>
          <cell r="P3227" t="str">
            <v/>
          </cell>
          <cell r="Q3227" t="str">
            <v/>
          </cell>
          <cell r="S3227" t="str">
            <v/>
          </cell>
          <cell r="V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 t="str">
            <v/>
          </cell>
          <cell r="AD3227" t="str">
            <v/>
          </cell>
          <cell r="AY3227" t="str">
            <v/>
          </cell>
          <cell r="AZ3227" t="str">
            <v/>
          </cell>
          <cell r="BA3227" t="str">
            <v/>
          </cell>
        </row>
        <row r="3228">
          <cell r="B3228" t="str">
            <v>-</v>
          </cell>
          <cell r="E3228" t="str">
            <v/>
          </cell>
          <cell r="G3228" t="str">
            <v/>
          </cell>
          <cell r="J3228" t="str">
            <v/>
          </cell>
          <cell r="O3228" t="str">
            <v/>
          </cell>
          <cell r="P3228" t="str">
            <v/>
          </cell>
          <cell r="Q3228" t="str">
            <v/>
          </cell>
          <cell r="S3228" t="str">
            <v/>
          </cell>
          <cell r="V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 t="str">
            <v/>
          </cell>
          <cell r="AD3228" t="str">
            <v/>
          </cell>
          <cell r="AY3228" t="str">
            <v/>
          </cell>
          <cell r="AZ3228" t="str">
            <v/>
          </cell>
          <cell r="BA3228" t="str">
            <v/>
          </cell>
        </row>
        <row r="3229">
          <cell r="B3229" t="str">
            <v>-</v>
          </cell>
          <cell r="E3229" t="str">
            <v/>
          </cell>
          <cell r="G3229" t="str">
            <v/>
          </cell>
          <cell r="J3229" t="str">
            <v/>
          </cell>
          <cell r="O3229" t="str">
            <v/>
          </cell>
          <cell r="P3229" t="str">
            <v/>
          </cell>
          <cell r="Q3229" t="str">
            <v/>
          </cell>
          <cell r="S3229" t="str">
            <v/>
          </cell>
          <cell r="V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 t="str">
            <v/>
          </cell>
          <cell r="AD3229" t="str">
            <v/>
          </cell>
          <cell r="AY3229" t="str">
            <v/>
          </cell>
          <cell r="AZ3229" t="str">
            <v/>
          </cell>
          <cell r="BA3229" t="str">
            <v/>
          </cell>
        </row>
        <row r="3230">
          <cell r="B3230" t="str">
            <v>-</v>
          </cell>
          <cell r="E3230" t="str">
            <v/>
          </cell>
          <cell r="G3230" t="str">
            <v/>
          </cell>
          <cell r="J3230" t="str">
            <v/>
          </cell>
          <cell r="O3230" t="str">
            <v/>
          </cell>
          <cell r="P3230" t="str">
            <v/>
          </cell>
          <cell r="Q3230" t="str">
            <v/>
          </cell>
          <cell r="S3230" t="str">
            <v/>
          </cell>
          <cell r="V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 t="str">
            <v/>
          </cell>
          <cell r="AD3230" t="str">
            <v/>
          </cell>
          <cell r="AY3230" t="str">
            <v/>
          </cell>
          <cell r="AZ3230" t="str">
            <v/>
          </cell>
          <cell r="BA3230" t="str">
            <v/>
          </cell>
        </row>
        <row r="3231">
          <cell r="B3231" t="str">
            <v>-</v>
          </cell>
          <cell r="E3231" t="str">
            <v/>
          </cell>
          <cell r="G3231" t="str">
            <v/>
          </cell>
          <cell r="J3231" t="str">
            <v/>
          </cell>
          <cell r="O3231" t="str">
            <v/>
          </cell>
          <cell r="P3231" t="str">
            <v/>
          </cell>
          <cell r="Q3231" t="str">
            <v/>
          </cell>
          <cell r="S3231" t="str">
            <v/>
          </cell>
          <cell r="V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 t="str">
            <v/>
          </cell>
          <cell r="AD3231" t="str">
            <v/>
          </cell>
          <cell r="AY3231" t="str">
            <v/>
          </cell>
          <cell r="AZ3231" t="str">
            <v/>
          </cell>
          <cell r="BA3231" t="str">
            <v/>
          </cell>
        </row>
        <row r="3232">
          <cell r="B3232" t="str">
            <v>-</v>
          </cell>
          <cell r="E3232" t="str">
            <v/>
          </cell>
          <cell r="G3232" t="str">
            <v/>
          </cell>
          <cell r="J3232" t="str">
            <v/>
          </cell>
          <cell r="O3232" t="str">
            <v/>
          </cell>
          <cell r="P3232" t="str">
            <v/>
          </cell>
          <cell r="Q3232" t="str">
            <v/>
          </cell>
          <cell r="S3232" t="str">
            <v/>
          </cell>
          <cell r="V3232" t="str">
            <v/>
          </cell>
          <cell r="Z3232" t="str">
            <v/>
          </cell>
          <cell r="AA3232" t="str">
            <v/>
          </cell>
          <cell r="AB3232" t="str">
            <v/>
          </cell>
          <cell r="AC3232" t="str">
            <v/>
          </cell>
          <cell r="AD3232" t="str">
            <v/>
          </cell>
          <cell r="AY3232" t="str">
            <v/>
          </cell>
          <cell r="AZ3232" t="str">
            <v/>
          </cell>
          <cell r="BA3232" t="str">
            <v/>
          </cell>
        </row>
        <row r="3233">
          <cell r="B3233" t="str">
            <v>-</v>
          </cell>
          <cell r="E3233" t="str">
            <v/>
          </cell>
          <cell r="G3233" t="str">
            <v/>
          </cell>
          <cell r="J3233" t="str">
            <v/>
          </cell>
          <cell r="O3233" t="str">
            <v/>
          </cell>
          <cell r="P3233" t="str">
            <v/>
          </cell>
          <cell r="Q3233" t="str">
            <v/>
          </cell>
          <cell r="S3233" t="str">
            <v/>
          </cell>
          <cell r="V3233" t="str">
            <v/>
          </cell>
          <cell r="Z3233" t="str">
            <v/>
          </cell>
          <cell r="AA3233" t="str">
            <v/>
          </cell>
          <cell r="AB3233" t="str">
            <v/>
          </cell>
          <cell r="AC3233" t="str">
            <v/>
          </cell>
          <cell r="AD3233" t="str">
            <v/>
          </cell>
          <cell r="AY3233" t="str">
            <v/>
          </cell>
          <cell r="AZ3233" t="str">
            <v/>
          </cell>
          <cell r="BA3233" t="str">
            <v/>
          </cell>
        </row>
        <row r="3234">
          <cell r="B3234" t="str">
            <v>-</v>
          </cell>
          <cell r="E3234" t="str">
            <v/>
          </cell>
          <cell r="G3234" t="str">
            <v/>
          </cell>
          <cell r="J3234" t="str">
            <v/>
          </cell>
          <cell r="O3234" t="str">
            <v/>
          </cell>
          <cell r="P3234" t="str">
            <v/>
          </cell>
          <cell r="Q3234" t="str">
            <v/>
          </cell>
          <cell r="S3234" t="str">
            <v/>
          </cell>
          <cell r="V3234" t="str">
            <v/>
          </cell>
          <cell r="Z3234" t="str">
            <v/>
          </cell>
          <cell r="AA3234" t="str">
            <v/>
          </cell>
          <cell r="AB3234" t="str">
            <v/>
          </cell>
          <cell r="AC3234" t="str">
            <v/>
          </cell>
          <cell r="AD3234" t="str">
            <v/>
          </cell>
          <cell r="AY3234" t="str">
            <v/>
          </cell>
          <cell r="AZ3234" t="str">
            <v/>
          </cell>
          <cell r="BA3234" t="str">
            <v/>
          </cell>
        </row>
        <row r="3235">
          <cell r="B3235" t="str">
            <v>-</v>
          </cell>
          <cell r="E3235" t="str">
            <v/>
          </cell>
          <cell r="G3235" t="str">
            <v/>
          </cell>
          <cell r="J3235" t="str">
            <v/>
          </cell>
          <cell r="O3235" t="str">
            <v/>
          </cell>
          <cell r="P3235" t="str">
            <v/>
          </cell>
          <cell r="Q3235" t="str">
            <v/>
          </cell>
          <cell r="S3235" t="str">
            <v/>
          </cell>
          <cell r="V3235" t="str">
            <v/>
          </cell>
          <cell r="Z3235" t="str">
            <v/>
          </cell>
          <cell r="AA3235" t="str">
            <v/>
          </cell>
          <cell r="AB3235" t="str">
            <v/>
          </cell>
          <cell r="AC3235" t="str">
            <v/>
          </cell>
          <cell r="AD3235" t="str">
            <v/>
          </cell>
          <cell r="AY3235" t="str">
            <v/>
          </cell>
          <cell r="AZ3235" t="str">
            <v/>
          </cell>
          <cell r="BA3235" t="str">
            <v/>
          </cell>
        </row>
        <row r="3236">
          <cell r="B3236" t="str">
            <v>-</v>
          </cell>
          <cell r="E3236" t="str">
            <v/>
          </cell>
          <cell r="G3236" t="str">
            <v/>
          </cell>
          <cell r="J3236" t="str">
            <v/>
          </cell>
          <cell r="O3236" t="str">
            <v/>
          </cell>
          <cell r="P3236" t="str">
            <v/>
          </cell>
          <cell r="Q3236" t="str">
            <v/>
          </cell>
          <cell r="S3236" t="str">
            <v/>
          </cell>
          <cell r="V3236" t="str">
            <v/>
          </cell>
          <cell r="Z3236" t="str">
            <v/>
          </cell>
          <cell r="AA3236" t="str">
            <v/>
          </cell>
          <cell r="AB3236" t="str">
            <v/>
          </cell>
          <cell r="AC3236" t="str">
            <v/>
          </cell>
          <cell r="AD3236" t="str">
            <v/>
          </cell>
          <cell r="AY3236" t="str">
            <v/>
          </cell>
          <cell r="AZ3236" t="str">
            <v/>
          </cell>
          <cell r="BA3236" t="str">
            <v/>
          </cell>
        </row>
        <row r="3237">
          <cell r="B3237" t="str">
            <v>-</v>
          </cell>
          <cell r="E3237" t="str">
            <v/>
          </cell>
          <cell r="G3237" t="str">
            <v/>
          </cell>
          <cell r="J3237" t="str">
            <v/>
          </cell>
          <cell r="O3237" t="str">
            <v/>
          </cell>
          <cell r="P3237" t="str">
            <v/>
          </cell>
          <cell r="Q3237" t="str">
            <v/>
          </cell>
          <cell r="S3237" t="str">
            <v/>
          </cell>
          <cell r="V3237" t="str">
            <v/>
          </cell>
          <cell r="Z3237" t="str">
            <v/>
          </cell>
          <cell r="AA3237" t="str">
            <v/>
          </cell>
          <cell r="AB3237" t="str">
            <v/>
          </cell>
          <cell r="AC3237" t="str">
            <v/>
          </cell>
          <cell r="AD3237" t="str">
            <v/>
          </cell>
          <cell r="AY3237" t="str">
            <v/>
          </cell>
          <cell r="AZ3237" t="str">
            <v/>
          </cell>
          <cell r="BA3237" t="str">
            <v/>
          </cell>
        </row>
        <row r="3238">
          <cell r="B3238" t="str">
            <v>-</v>
          </cell>
          <cell r="E3238" t="str">
            <v/>
          </cell>
          <cell r="G3238" t="str">
            <v/>
          </cell>
          <cell r="J3238" t="str">
            <v/>
          </cell>
          <cell r="O3238" t="str">
            <v/>
          </cell>
          <cell r="P3238" t="str">
            <v/>
          </cell>
          <cell r="Q3238" t="str">
            <v/>
          </cell>
          <cell r="S3238" t="str">
            <v/>
          </cell>
          <cell r="V3238" t="str">
            <v/>
          </cell>
          <cell r="Z3238" t="str">
            <v/>
          </cell>
          <cell r="AA3238" t="str">
            <v/>
          </cell>
          <cell r="AB3238" t="str">
            <v/>
          </cell>
          <cell r="AC3238" t="str">
            <v/>
          </cell>
          <cell r="AD3238" t="str">
            <v/>
          </cell>
          <cell r="AY3238" t="str">
            <v/>
          </cell>
          <cell r="AZ3238" t="str">
            <v/>
          </cell>
          <cell r="BA3238" t="str">
            <v/>
          </cell>
        </row>
        <row r="3239">
          <cell r="B3239" t="str">
            <v>-</v>
          </cell>
          <cell r="E3239" t="str">
            <v/>
          </cell>
          <cell r="G3239" t="str">
            <v/>
          </cell>
          <cell r="J3239" t="str">
            <v/>
          </cell>
          <cell r="O3239" t="str">
            <v/>
          </cell>
          <cell r="P3239" t="str">
            <v/>
          </cell>
          <cell r="Q3239" t="str">
            <v/>
          </cell>
          <cell r="S3239" t="str">
            <v/>
          </cell>
          <cell r="V3239" t="str">
            <v/>
          </cell>
          <cell r="Z3239" t="str">
            <v/>
          </cell>
          <cell r="AA3239" t="str">
            <v/>
          </cell>
          <cell r="AB3239" t="str">
            <v/>
          </cell>
          <cell r="AC3239" t="str">
            <v/>
          </cell>
          <cell r="AD3239" t="str">
            <v/>
          </cell>
          <cell r="AY3239" t="str">
            <v/>
          </cell>
          <cell r="AZ3239" t="str">
            <v/>
          </cell>
          <cell r="BA3239" t="str">
            <v/>
          </cell>
        </row>
        <row r="3240">
          <cell r="B3240" t="str">
            <v>-</v>
          </cell>
          <cell r="E3240" t="str">
            <v/>
          </cell>
          <cell r="G3240" t="str">
            <v/>
          </cell>
          <cell r="J3240" t="str">
            <v/>
          </cell>
          <cell r="O3240" t="str">
            <v/>
          </cell>
          <cell r="P3240" t="str">
            <v/>
          </cell>
          <cell r="Q3240" t="str">
            <v/>
          </cell>
          <cell r="S3240" t="str">
            <v/>
          </cell>
          <cell r="V3240" t="str">
            <v/>
          </cell>
          <cell r="Z3240" t="str">
            <v/>
          </cell>
          <cell r="AA3240" t="str">
            <v/>
          </cell>
          <cell r="AB3240" t="str">
            <v/>
          </cell>
          <cell r="AC3240" t="str">
            <v/>
          </cell>
          <cell r="AD3240" t="str">
            <v/>
          </cell>
          <cell r="AY3240" t="str">
            <v/>
          </cell>
          <cell r="AZ3240" t="str">
            <v/>
          </cell>
          <cell r="BA3240" t="str">
            <v/>
          </cell>
        </row>
        <row r="3241">
          <cell r="B3241" t="str">
            <v>-</v>
          </cell>
          <cell r="E3241" t="str">
            <v/>
          </cell>
          <cell r="G3241" t="str">
            <v/>
          </cell>
          <cell r="J3241" t="str">
            <v/>
          </cell>
          <cell r="O3241" t="str">
            <v/>
          </cell>
          <cell r="P3241" t="str">
            <v/>
          </cell>
          <cell r="Q3241" t="str">
            <v/>
          </cell>
          <cell r="S3241" t="str">
            <v/>
          </cell>
          <cell r="V3241" t="str">
            <v/>
          </cell>
          <cell r="Z3241" t="str">
            <v/>
          </cell>
          <cell r="AA3241" t="str">
            <v/>
          </cell>
          <cell r="AB3241" t="str">
            <v/>
          </cell>
          <cell r="AC3241" t="str">
            <v/>
          </cell>
          <cell r="AD3241" t="str">
            <v/>
          </cell>
          <cell r="AY3241" t="str">
            <v/>
          </cell>
          <cell r="AZ3241" t="str">
            <v/>
          </cell>
          <cell r="BA3241" t="str">
            <v/>
          </cell>
        </row>
        <row r="3242">
          <cell r="B3242" t="str">
            <v>-</v>
          </cell>
          <cell r="E3242" t="str">
            <v/>
          </cell>
          <cell r="G3242" t="str">
            <v/>
          </cell>
          <cell r="J3242" t="str">
            <v/>
          </cell>
          <cell r="O3242" t="str">
            <v/>
          </cell>
          <cell r="P3242" t="str">
            <v/>
          </cell>
          <cell r="Q3242" t="str">
            <v/>
          </cell>
          <cell r="S3242" t="str">
            <v/>
          </cell>
          <cell r="V3242" t="str">
            <v/>
          </cell>
          <cell r="Z3242" t="str">
            <v/>
          </cell>
          <cell r="AA3242" t="str">
            <v/>
          </cell>
          <cell r="AB3242" t="str">
            <v/>
          </cell>
          <cell r="AC3242" t="str">
            <v/>
          </cell>
          <cell r="AD3242" t="str">
            <v/>
          </cell>
          <cell r="AY3242" t="str">
            <v/>
          </cell>
          <cell r="AZ3242" t="str">
            <v/>
          </cell>
          <cell r="BA3242" t="str">
            <v/>
          </cell>
        </row>
        <row r="3243">
          <cell r="B3243" t="str">
            <v>-</v>
          </cell>
          <cell r="E3243" t="str">
            <v/>
          </cell>
          <cell r="G3243" t="str">
            <v/>
          </cell>
          <cell r="J3243" t="str">
            <v/>
          </cell>
          <cell r="O3243" t="str">
            <v/>
          </cell>
          <cell r="P3243" t="str">
            <v/>
          </cell>
          <cell r="Q3243" t="str">
            <v/>
          </cell>
          <cell r="S3243" t="str">
            <v/>
          </cell>
          <cell r="V3243" t="str">
            <v/>
          </cell>
          <cell r="Z3243" t="str">
            <v/>
          </cell>
          <cell r="AA3243" t="str">
            <v/>
          </cell>
          <cell r="AB3243" t="str">
            <v/>
          </cell>
          <cell r="AC3243" t="str">
            <v/>
          </cell>
          <cell r="AD3243" t="str">
            <v/>
          </cell>
          <cell r="AY3243" t="str">
            <v/>
          </cell>
          <cell r="AZ3243" t="str">
            <v/>
          </cell>
          <cell r="BA3243" t="str">
            <v/>
          </cell>
        </row>
        <row r="3244">
          <cell r="B3244" t="str">
            <v>-</v>
          </cell>
          <cell r="E3244" t="str">
            <v/>
          </cell>
          <cell r="G3244" t="str">
            <v/>
          </cell>
          <cell r="J3244" t="str">
            <v/>
          </cell>
          <cell r="O3244" t="str">
            <v/>
          </cell>
          <cell r="P3244" t="str">
            <v/>
          </cell>
          <cell r="Q3244" t="str">
            <v/>
          </cell>
          <cell r="S3244" t="str">
            <v/>
          </cell>
          <cell r="V3244" t="str">
            <v/>
          </cell>
          <cell r="Z3244" t="str">
            <v/>
          </cell>
          <cell r="AA3244" t="str">
            <v/>
          </cell>
          <cell r="AB3244" t="str">
            <v/>
          </cell>
          <cell r="AC3244" t="str">
            <v/>
          </cell>
          <cell r="AD3244" t="str">
            <v/>
          </cell>
          <cell r="AY3244" t="str">
            <v/>
          </cell>
          <cell r="AZ3244" t="str">
            <v/>
          </cell>
          <cell r="BA3244" t="str">
            <v/>
          </cell>
        </row>
        <row r="3245">
          <cell r="B3245" t="str">
            <v>-</v>
          </cell>
          <cell r="E3245" t="str">
            <v/>
          </cell>
          <cell r="G3245" t="str">
            <v/>
          </cell>
          <cell r="J3245" t="str">
            <v/>
          </cell>
          <cell r="O3245" t="str">
            <v/>
          </cell>
          <cell r="P3245" t="str">
            <v/>
          </cell>
          <cell r="Q3245" t="str">
            <v/>
          </cell>
          <cell r="S3245" t="str">
            <v/>
          </cell>
          <cell r="V3245" t="str">
            <v/>
          </cell>
          <cell r="Z3245" t="str">
            <v/>
          </cell>
          <cell r="AA3245" t="str">
            <v/>
          </cell>
          <cell r="AB3245" t="str">
            <v/>
          </cell>
          <cell r="AC3245" t="str">
            <v/>
          </cell>
          <cell r="AD3245" t="str">
            <v/>
          </cell>
          <cell r="AY3245" t="str">
            <v/>
          </cell>
          <cell r="AZ3245" t="str">
            <v/>
          </cell>
          <cell r="BA3245" t="str">
            <v/>
          </cell>
        </row>
        <row r="3246">
          <cell r="B3246" t="str">
            <v>-</v>
          </cell>
          <cell r="E3246" t="str">
            <v/>
          </cell>
          <cell r="G3246" t="str">
            <v/>
          </cell>
          <cell r="J3246" t="str">
            <v/>
          </cell>
          <cell r="O3246" t="str">
            <v/>
          </cell>
          <cell r="P3246" t="str">
            <v/>
          </cell>
          <cell r="Q3246" t="str">
            <v/>
          </cell>
          <cell r="S3246" t="str">
            <v/>
          </cell>
          <cell r="V3246" t="str">
            <v/>
          </cell>
          <cell r="Z3246" t="str">
            <v/>
          </cell>
          <cell r="AA3246" t="str">
            <v/>
          </cell>
          <cell r="AB3246" t="str">
            <v/>
          </cell>
          <cell r="AC3246" t="str">
            <v/>
          </cell>
          <cell r="AD3246" t="str">
            <v/>
          </cell>
          <cell r="AY3246" t="str">
            <v/>
          </cell>
          <cell r="AZ3246" t="str">
            <v/>
          </cell>
          <cell r="BA3246" t="str">
            <v/>
          </cell>
        </row>
        <row r="3247">
          <cell r="B3247" t="str">
            <v>-</v>
          </cell>
          <cell r="E3247" t="str">
            <v/>
          </cell>
          <cell r="G3247" t="str">
            <v/>
          </cell>
          <cell r="J3247" t="str">
            <v/>
          </cell>
          <cell r="O3247" t="str">
            <v/>
          </cell>
          <cell r="P3247" t="str">
            <v/>
          </cell>
          <cell r="Q3247" t="str">
            <v/>
          </cell>
          <cell r="S3247" t="str">
            <v/>
          </cell>
          <cell r="V3247" t="str">
            <v/>
          </cell>
          <cell r="Z3247" t="str">
            <v/>
          </cell>
          <cell r="AA3247" t="str">
            <v/>
          </cell>
          <cell r="AB3247" t="str">
            <v/>
          </cell>
          <cell r="AC3247" t="str">
            <v/>
          </cell>
          <cell r="AD3247" t="str">
            <v/>
          </cell>
          <cell r="AY3247" t="str">
            <v/>
          </cell>
          <cell r="AZ3247" t="str">
            <v/>
          </cell>
          <cell r="BA3247" t="str">
            <v/>
          </cell>
        </row>
        <row r="3248">
          <cell r="B3248" t="str">
            <v>-</v>
          </cell>
          <cell r="E3248" t="str">
            <v/>
          </cell>
          <cell r="G3248" t="str">
            <v/>
          </cell>
          <cell r="J3248" t="str">
            <v/>
          </cell>
          <cell r="O3248" t="str">
            <v/>
          </cell>
          <cell r="P3248" t="str">
            <v/>
          </cell>
          <cell r="Q3248" t="str">
            <v/>
          </cell>
          <cell r="S3248" t="str">
            <v/>
          </cell>
          <cell r="V3248" t="str">
            <v/>
          </cell>
          <cell r="Z3248" t="str">
            <v/>
          </cell>
          <cell r="AA3248" t="str">
            <v/>
          </cell>
          <cell r="AB3248" t="str">
            <v/>
          </cell>
          <cell r="AC3248" t="str">
            <v/>
          </cell>
          <cell r="AD3248" t="str">
            <v/>
          </cell>
          <cell r="AY3248" t="str">
            <v/>
          </cell>
          <cell r="AZ3248" t="str">
            <v/>
          </cell>
          <cell r="BA3248" t="str">
            <v/>
          </cell>
        </row>
        <row r="3249">
          <cell r="B3249" t="str">
            <v>-</v>
          </cell>
          <cell r="E3249" t="str">
            <v/>
          </cell>
          <cell r="G3249" t="str">
            <v/>
          </cell>
          <cell r="J3249" t="str">
            <v/>
          </cell>
          <cell r="O3249" t="str">
            <v/>
          </cell>
          <cell r="P3249" t="str">
            <v/>
          </cell>
          <cell r="Q3249" t="str">
            <v/>
          </cell>
          <cell r="S3249" t="str">
            <v/>
          </cell>
          <cell r="V3249" t="str">
            <v/>
          </cell>
          <cell r="Z3249" t="str">
            <v/>
          </cell>
          <cell r="AA3249" t="str">
            <v/>
          </cell>
          <cell r="AB3249" t="str">
            <v/>
          </cell>
          <cell r="AC3249" t="str">
            <v/>
          </cell>
          <cell r="AD3249" t="str">
            <v/>
          </cell>
          <cell r="AY3249" t="str">
            <v/>
          </cell>
          <cell r="AZ3249" t="str">
            <v/>
          </cell>
          <cell r="BA3249" t="str">
            <v/>
          </cell>
        </row>
        <row r="3250">
          <cell r="B3250" t="str">
            <v>-</v>
          </cell>
          <cell r="E3250" t="str">
            <v/>
          </cell>
          <cell r="G3250" t="str">
            <v/>
          </cell>
          <cell r="J3250" t="str">
            <v/>
          </cell>
          <cell r="O3250" t="str">
            <v/>
          </cell>
          <cell r="P3250" t="str">
            <v/>
          </cell>
          <cell r="Q3250" t="str">
            <v/>
          </cell>
          <cell r="S3250" t="str">
            <v/>
          </cell>
          <cell r="V3250" t="str">
            <v/>
          </cell>
          <cell r="Z3250" t="str">
            <v/>
          </cell>
          <cell r="AA3250" t="str">
            <v/>
          </cell>
          <cell r="AB3250" t="str">
            <v/>
          </cell>
          <cell r="AC3250" t="str">
            <v/>
          </cell>
          <cell r="AD3250" t="str">
            <v/>
          </cell>
          <cell r="AY3250" t="str">
            <v/>
          </cell>
          <cell r="AZ3250" t="str">
            <v/>
          </cell>
          <cell r="BA3250" t="str">
            <v/>
          </cell>
        </row>
        <row r="3251">
          <cell r="B3251" t="str">
            <v>-</v>
          </cell>
          <cell r="E3251" t="str">
            <v/>
          </cell>
          <cell r="G3251" t="str">
            <v/>
          </cell>
          <cell r="J3251" t="str">
            <v/>
          </cell>
          <cell r="O3251" t="str">
            <v/>
          </cell>
          <cell r="P3251" t="str">
            <v/>
          </cell>
          <cell r="Q3251" t="str">
            <v/>
          </cell>
          <cell r="S3251" t="str">
            <v/>
          </cell>
          <cell r="V3251" t="str">
            <v/>
          </cell>
          <cell r="Z3251" t="str">
            <v/>
          </cell>
          <cell r="AA3251" t="str">
            <v/>
          </cell>
          <cell r="AB3251" t="str">
            <v/>
          </cell>
          <cell r="AC3251" t="str">
            <v/>
          </cell>
          <cell r="AD3251" t="str">
            <v/>
          </cell>
          <cell r="AY3251" t="str">
            <v/>
          </cell>
          <cell r="AZ3251" t="str">
            <v/>
          </cell>
          <cell r="BA3251" t="str">
            <v/>
          </cell>
        </row>
        <row r="3252">
          <cell r="B3252" t="str">
            <v>-</v>
          </cell>
          <cell r="E3252" t="str">
            <v/>
          </cell>
          <cell r="G3252" t="str">
            <v/>
          </cell>
          <cell r="J3252" t="str">
            <v/>
          </cell>
          <cell r="O3252" t="str">
            <v/>
          </cell>
          <cell r="P3252" t="str">
            <v/>
          </cell>
          <cell r="Q3252" t="str">
            <v/>
          </cell>
          <cell r="S3252" t="str">
            <v/>
          </cell>
          <cell r="V3252" t="str">
            <v/>
          </cell>
          <cell r="Z3252" t="str">
            <v/>
          </cell>
          <cell r="AA3252" t="str">
            <v/>
          </cell>
          <cell r="AB3252" t="str">
            <v/>
          </cell>
          <cell r="AC3252" t="str">
            <v/>
          </cell>
          <cell r="AD3252" t="str">
            <v/>
          </cell>
          <cell r="AY3252" t="str">
            <v/>
          </cell>
          <cell r="AZ3252" t="str">
            <v/>
          </cell>
          <cell r="BA3252" t="str">
            <v/>
          </cell>
        </row>
        <row r="3253">
          <cell r="B3253" t="str">
            <v>-</v>
          </cell>
          <cell r="E3253" t="str">
            <v/>
          </cell>
          <cell r="G3253" t="str">
            <v/>
          </cell>
          <cell r="J3253" t="str">
            <v/>
          </cell>
          <cell r="O3253" t="str">
            <v/>
          </cell>
          <cell r="P3253" t="str">
            <v/>
          </cell>
          <cell r="Q3253" t="str">
            <v/>
          </cell>
          <cell r="S3253" t="str">
            <v/>
          </cell>
          <cell r="V3253" t="str">
            <v/>
          </cell>
          <cell r="Z3253" t="str">
            <v/>
          </cell>
          <cell r="AA3253" t="str">
            <v/>
          </cell>
          <cell r="AB3253" t="str">
            <v/>
          </cell>
          <cell r="AC3253" t="str">
            <v/>
          </cell>
          <cell r="AD3253" t="str">
            <v/>
          </cell>
          <cell r="AY3253" t="str">
            <v/>
          </cell>
          <cell r="AZ3253" t="str">
            <v/>
          </cell>
          <cell r="BA3253" t="str">
            <v/>
          </cell>
        </row>
        <row r="3254">
          <cell r="B3254" t="str">
            <v>-</v>
          </cell>
          <cell r="E3254" t="str">
            <v/>
          </cell>
          <cell r="G3254" t="str">
            <v/>
          </cell>
          <cell r="J3254" t="str">
            <v/>
          </cell>
          <cell r="O3254" t="str">
            <v/>
          </cell>
          <cell r="P3254" t="str">
            <v/>
          </cell>
          <cell r="Q3254" t="str">
            <v/>
          </cell>
          <cell r="S3254" t="str">
            <v/>
          </cell>
          <cell r="V3254" t="str">
            <v/>
          </cell>
          <cell r="Z3254" t="str">
            <v/>
          </cell>
          <cell r="AA3254" t="str">
            <v/>
          </cell>
          <cell r="AB3254" t="str">
            <v/>
          </cell>
          <cell r="AC3254" t="str">
            <v/>
          </cell>
          <cell r="AD3254" t="str">
            <v/>
          </cell>
          <cell r="AY3254" t="str">
            <v/>
          </cell>
          <cell r="AZ3254" t="str">
            <v/>
          </cell>
          <cell r="BA3254" t="str">
            <v/>
          </cell>
        </row>
        <row r="3255">
          <cell r="B3255" t="str">
            <v>-</v>
          </cell>
          <cell r="E3255" t="str">
            <v/>
          </cell>
          <cell r="G3255" t="str">
            <v/>
          </cell>
          <cell r="J3255" t="str">
            <v/>
          </cell>
          <cell r="O3255" t="str">
            <v/>
          </cell>
          <cell r="P3255" t="str">
            <v/>
          </cell>
          <cell r="Q3255" t="str">
            <v/>
          </cell>
          <cell r="S3255" t="str">
            <v/>
          </cell>
          <cell r="V3255" t="str">
            <v/>
          </cell>
          <cell r="Z3255" t="str">
            <v/>
          </cell>
          <cell r="AA3255" t="str">
            <v/>
          </cell>
          <cell r="AB3255" t="str">
            <v/>
          </cell>
          <cell r="AC3255" t="str">
            <v/>
          </cell>
          <cell r="AD3255" t="str">
            <v/>
          </cell>
          <cell r="AY3255" t="str">
            <v/>
          </cell>
          <cell r="AZ3255" t="str">
            <v/>
          </cell>
          <cell r="BA3255" t="str">
            <v/>
          </cell>
        </row>
        <row r="3256">
          <cell r="B3256" t="str">
            <v>-</v>
          </cell>
          <cell r="E3256" t="str">
            <v/>
          </cell>
          <cell r="G3256" t="str">
            <v/>
          </cell>
          <cell r="J3256" t="str">
            <v/>
          </cell>
          <cell r="O3256" t="str">
            <v/>
          </cell>
          <cell r="P3256" t="str">
            <v/>
          </cell>
          <cell r="Q3256" t="str">
            <v/>
          </cell>
          <cell r="S3256" t="str">
            <v/>
          </cell>
          <cell r="V3256" t="str">
            <v/>
          </cell>
          <cell r="Z3256" t="str">
            <v/>
          </cell>
          <cell r="AA3256" t="str">
            <v/>
          </cell>
          <cell r="AB3256" t="str">
            <v/>
          </cell>
          <cell r="AC3256" t="str">
            <v/>
          </cell>
          <cell r="AD3256" t="str">
            <v/>
          </cell>
          <cell r="AY3256" t="str">
            <v/>
          </cell>
          <cell r="AZ3256" t="str">
            <v/>
          </cell>
          <cell r="BA3256" t="str">
            <v/>
          </cell>
        </row>
        <row r="3257">
          <cell r="B3257" t="str">
            <v>-</v>
          </cell>
          <cell r="E3257" t="str">
            <v/>
          </cell>
          <cell r="G3257" t="str">
            <v/>
          </cell>
          <cell r="J3257" t="str">
            <v/>
          </cell>
          <cell r="O3257" t="str">
            <v/>
          </cell>
          <cell r="P3257" t="str">
            <v/>
          </cell>
          <cell r="Q3257" t="str">
            <v/>
          </cell>
          <cell r="S3257" t="str">
            <v/>
          </cell>
          <cell r="V3257" t="str">
            <v/>
          </cell>
          <cell r="Z3257" t="str">
            <v/>
          </cell>
          <cell r="AA3257" t="str">
            <v/>
          </cell>
          <cell r="AB3257" t="str">
            <v/>
          </cell>
          <cell r="AC3257" t="str">
            <v/>
          </cell>
          <cell r="AD3257" t="str">
            <v/>
          </cell>
          <cell r="AY3257" t="str">
            <v/>
          </cell>
          <cell r="AZ3257" t="str">
            <v/>
          </cell>
          <cell r="BA3257" t="str">
            <v/>
          </cell>
        </row>
        <row r="3258">
          <cell r="B3258" t="str">
            <v>-</v>
          </cell>
          <cell r="E3258" t="str">
            <v/>
          </cell>
          <cell r="G3258" t="str">
            <v/>
          </cell>
          <cell r="J3258" t="str">
            <v/>
          </cell>
          <cell r="O3258" t="str">
            <v/>
          </cell>
          <cell r="P3258" t="str">
            <v/>
          </cell>
          <cell r="Q3258" t="str">
            <v/>
          </cell>
          <cell r="S3258" t="str">
            <v/>
          </cell>
          <cell r="V3258" t="str">
            <v/>
          </cell>
          <cell r="Z3258" t="str">
            <v/>
          </cell>
          <cell r="AA3258" t="str">
            <v/>
          </cell>
          <cell r="AB3258" t="str">
            <v/>
          </cell>
          <cell r="AC3258" t="str">
            <v/>
          </cell>
          <cell r="AD3258" t="str">
            <v/>
          </cell>
          <cell r="AY3258" t="str">
            <v/>
          </cell>
          <cell r="AZ3258" t="str">
            <v/>
          </cell>
          <cell r="BA3258" t="str">
            <v/>
          </cell>
        </row>
        <row r="3259">
          <cell r="B3259" t="str">
            <v>-</v>
          </cell>
          <cell r="E3259" t="str">
            <v/>
          </cell>
          <cell r="G3259" t="str">
            <v/>
          </cell>
          <cell r="J3259" t="str">
            <v/>
          </cell>
          <cell r="O3259" t="str">
            <v/>
          </cell>
          <cell r="P3259" t="str">
            <v/>
          </cell>
          <cell r="Q3259" t="str">
            <v/>
          </cell>
          <cell r="S3259" t="str">
            <v/>
          </cell>
          <cell r="V3259" t="str">
            <v/>
          </cell>
          <cell r="Z3259" t="str">
            <v/>
          </cell>
          <cell r="AA3259" t="str">
            <v/>
          </cell>
          <cell r="AB3259" t="str">
            <v/>
          </cell>
          <cell r="AC3259" t="str">
            <v/>
          </cell>
          <cell r="AD3259" t="str">
            <v/>
          </cell>
          <cell r="AY3259" t="str">
            <v/>
          </cell>
          <cell r="AZ3259" t="str">
            <v/>
          </cell>
          <cell r="BA3259" t="str">
            <v/>
          </cell>
        </row>
        <row r="3260">
          <cell r="B3260" t="str">
            <v>-</v>
          </cell>
          <cell r="E3260" t="str">
            <v/>
          </cell>
          <cell r="G3260" t="str">
            <v/>
          </cell>
          <cell r="J3260" t="str">
            <v/>
          </cell>
          <cell r="O3260" t="str">
            <v/>
          </cell>
          <cell r="P3260" t="str">
            <v/>
          </cell>
          <cell r="Q3260" t="str">
            <v/>
          </cell>
          <cell r="S3260" t="str">
            <v/>
          </cell>
          <cell r="V3260" t="str">
            <v/>
          </cell>
          <cell r="Z3260" t="str">
            <v/>
          </cell>
          <cell r="AA3260" t="str">
            <v/>
          </cell>
          <cell r="AB3260" t="str">
            <v/>
          </cell>
          <cell r="AC3260" t="str">
            <v/>
          </cell>
          <cell r="AD3260" t="str">
            <v/>
          </cell>
          <cell r="AY3260" t="str">
            <v/>
          </cell>
          <cell r="AZ3260" t="str">
            <v/>
          </cell>
          <cell r="BA3260" t="str">
            <v/>
          </cell>
        </row>
        <row r="3261">
          <cell r="B3261" t="str">
            <v>-</v>
          </cell>
          <cell r="E3261" t="str">
            <v/>
          </cell>
          <cell r="G3261" t="str">
            <v/>
          </cell>
          <cell r="J3261" t="str">
            <v/>
          </cell>
          <cell r="O3261" t="str">
            <v/>
          </cell>
          <cell r="P3261" t="str">
            <v/>
          </cell>
          <cell r="Q3261" t="str">
            <v/>
          </cell>
          <cell r="S3261" t="str">
            <v/>
          </cell>
          <cell r="V3261" t="str">
            <v/>
          </cell>
          <cell r="Z3261" t="str">
            <v/>
          </cell>
          <cell r="AA3261" t="str">
            <v/>
          </cell>
          <cell r="AB3261" t="str">
            <v/>
          </cell>
          <cell r="AC3261" t="str">
            <v/>
          </cell>
          <cell r="AD3261" t="str">
            <v/>
          </cell>
          <cell r="AY3261" t="str">
            <v/>
          </cell>
          <cell r="AZ3261" t="str">
            <v/>
          </cell>
          <cell r="BA3261" t="str">
            <v/>
          </cell>
        </row>
        <row r="3262">
          <cell r="B3262" t="str">
            <v>-</v>
          </cell>
          <cell r="E3262" t="str">
            <v/>
          </cell>
          <cell r="G3262" t="str">
            <v/>
          </cell>
          <cell r="J3262" t="str">
            <v/>
          </cell>
          <cell r="O3262" t="str">
            <v/>
          </cell>
          <cell r="P3262" t="str">
            <v/>
          </cell>
          <cell r="Q3262" t="str">
            <v/>
          </cell>
          <cell r="S3262" t="str">
            <v/>
          </cell>
          <cell r="V3262" t="str">
            <v/>
          </cell>
          <cell r="Z3262" t="str">
            <v/>
          </cell>
          <cell r="AA3262" t="str">
            <v/>
          </cell>
          <cell r="AB3262" t="str">
            <v/>
          </cell>
          <cell r="AC3262" t="str">
            <v/>
          </cell>
          <cell r="AD3262" t="str">
            <v/>
          </cell>
          <cell r="AY3262" t="str">
            <v/>
          </cell>
          <cell r="AZ3262" t="str">
            <v/>
          </cell>
          <cell r="BA3262" t="str">
            <v/>
          </cell>
        </row>
        <row r="3263">
          <cell r="B3263" t="str">
            <v>-</v>
          </cell>
          <cell r="E3263" t="str">
            <v/>
          </cell>
          <cell r="G3263" t="str">
            <v/>
          </cell>
          <cell r="J3263" t="str">
            <v/>
          </cell>
          <cell r="O3263" t="str">
            <v/>
          </cell>
          <cell r="P3263" t="str">
            <v/>
          </cell>
          <cell r="Q3263" t="str">
            <v/>
          </cell>
          <cell r="S3263" t="str">
            <v/>
          </cell>
          <cell r="V3263" t="str">
            <v/>
          </cell>
          <cell r="Z3263" t="str">
            <v/>
          </cell>
          <cell r="AA3263" t="str">
            <v/>
          </cell>
          <cell r="AB3263" t="str">
            <v/>
          </cell>
          <cell r="AC3263" t="str">
            <v/>
          </cell>
          <cell r="AD3263" t="str">
            <v/>
          </cell>
          <cell r="AY3263" t="str">
            <v/>
          </cell>
          <cell r="AZ3263" t="str">
            <v/>
          </cell>
          <cell r="BA3263" t="str">
            <v/>
          </cell>
        </row>
        <row r="3264">
          <cell r="B3264" t="str">
            <v>-</v>
          </cell>
          <cell r="E3264" t="str">
            <v/>
          </cell>
          <cell r="G3264" t="str">
            <v/>
          </cell>
          <cell r="J3264" t="str">
            <v/>
          </cell>
          <cell r="O3264" t="str">
            <v/>
          </cell>
          <cell r="P3264" t="str">
            <v/>
          </cell>
          <cell r="Q3264" t="str">
            <v/>
          </cell>
          <cell r="S3264" t="str">
            <v/>
          </cell>
          <cell r="V3264" t="str">
            <v/>
          </cell>
          <cell r="Z3264" t="str">
            <v/>
          </cell>
          <cell r="AA3264" t="str">
            <v/>
          </cell>
          <cell r="AB3264" t="str">
            <v/>
          </cell>
          <cell r="AC3264" t="str">
            <v/>
          </cell>
          <cell r="AD3264" t="str">
            <v/>
          </cell>
          <cell r="AY3264" t="str">
            <v/>
          </cell>
          <cell r="AZ3264" t="str">
            <v/>
          </cell>
          <cell r="BA3264" t="str">
            <v/>
          </cell>
        </row>
        <row r="3265">
          <cell r="B3265" t="str">
            <v>-</v>
          </cell>
          <cell r="E3265" t="str">
            <v/>
          </cell>
          <cell r="G3265" t="str">
            <v/>
          </cell>
          <cell r="J3265" t="str">
            <v/>
          </cell>
          <cell r="O3265" t="str">
            <v/>
          </cell>
          <cell r="P3265" t="str">
            <v/>
          </cell>
          <cell r="Q3265" t="str">
            <v/>
          </cell>
          <cell r="S3265" t="str">
            <v/>
          </cell>
          <cell r="V3265" t="str">
            <v/>
          </cell>
          <cell r="Z3265" t="str">
            <v/>
          </cell>
          <cell r="AA3265" t="str">
            <v/>
          </cell>
          <cell r="AB3265" t="str">
            <v/>
          </cell>
          <cell r="AC3265" t="str">
            <v/>
          </cell>
          <cell r="AD3265" t="str">
            <v/>
          </cell>
          <cell r="AY3265" t="str">
            <v/>
          </cell>
          <cell r="AZ3265" t="str">
            <v/>
          </cell>
          <cell r="BA3265" t="str">
            <v/>
          </cell>
        </row>
        <row r="3266">
          <cell r="B3266" t="str">
            <v>-</v>
          </cell>
          <cell r="E3266" t="str">
            <v/>
          </cell>
          <cell r="G3266" t="str">
            <v/>
          </cell>
          <cell r="J3266" t="str">
            <v/>
          </cell>
          <cell r="O3266" t="str">
            <v/>
          </cell>
          <cell r="P3266" t="str">
            <v/>
          </cell>
          <cell r="Q3266" t="str">
            <v/>
          </cell>
          <cell r="S3266" t="str">
            <v/>
          </cell>
          <cell r="V3266" t="str">
            <v/>
          </cell>
          <cell r="Z3266" t="str">
            <v/>
          </cell>
          <cell r="AA3266" t="str">
            <v/>
          </cell>
          <cell r="AB3266" t="str">
            <v/>
          </cell>
          <cell r="AC3266" t="str">
            <v/>
          </cell>
          <cell r="AD3266" t="str">
            <v/>
          </cell>
          <cell r="AY3266" t="str">
            <v/>
          </cell>
          <cell r="AZ3266" t="str">
            <v/>
          </cell>
          <cell r="BA3266" t="str">
            <v/>
          </cell>
        </row>
        <row r="3267">
          <cell r="B3267" t="str">
            <v>-</v>
          </cell>
          <cell r="E3267" t="str">
            <v/>
          </cell>
          <cell r="G3267" t="str">
            <v/>
          </cell>
          <cell r="J3267" t="str">
            <v/>
          </cell>
          <cell r="O3267" t="str">
            <v/>
          </cell>
          <cell r="P3267" t="str">
            <v/>
          </cell>
          <cell r="Q3267" t="str">
            <v/>
          </cell>
          <cell r="S3267" t="str">
            <v/>
          </cell>
          <cell r="V3267" t="str">
            <v/>
          </cell>
          <cell r="Z3267" t="str">
            <v/>
          </cell>
          <cell r="AA3267" t="str">
            <v/>
          </cell>
          <cell r="AB3267" t="str">
            <v/>
          </cell>
          <cell r="AC3267" t="str">
            <v/>
          </cell>
          <cell r="AD3267" t="str">
            <v/>
          </cell>
          <cell r="AY3267" t="str">
            <v/>
          </cell>
          <cell r="AZ3267" t="str">
            <v/>
          </cell>
          <cell r="BA3267" t="str">
            <v/>
          </cell>
        </row>
        <row r="3268">
          <cell r="B3268" t="str">
            <v>-</v>
          </cell>
          <cell r="E3268" t="str">
            <v/>
          </cell>
          <cell r="G3268" t="str">
            <v/>
          </cell>
          <cell r="J3268" t="str">
            <v/>
          </cell>
          <cell r="O3268" t="str">
            <v/>
          </cell>
          <cell r="P3268" t="str">
            <v/>
          </cell>
          <cell r="Q3268" t="str">
            <v/>
          </cell>
          <cell r="S3268" t="str">
            <v/>
          </cell>
          <cell r="V3268" t="str">
            <v/>
          </cell>
          <cell r="Z3268" t="str">
            <v/>
          </cell>
          <cell r="AA3268" t="str">
            <v/>
          </cell>
          <cell r="AB3268" t="str">
            <v/>
          </cell>
          <cell r="AC3268" t="str">
            <v/>
          </cell>
          <cell r="AD3268" t="str">
            <v/>
          </cell>
          <cell r="AY3268" t="str">
            <v/>
          </cell>
          <cell r="AZ3268" t="str">
            <v/>
          </cell>
          <cell r="BA3268" t="str">
            <v/>
          </cell>
        </row>
        <row r="3269">
          <cell r="B3269" t="str">
            <v>-</v>
          </cell>
          <cell r="E3269" t="str">
            <v/>
          </cell>
          <cell r="G3269" t="str">
            <v/>
          </cell>
          <cell r="J3269" t="str">
            <v/>
          </cell>
          <cell r="O3269" t="str">
            <v/>
          </cell>
          <cell r="P3269" t="str">
            <v/>
          </cell>
          <cell r="Q3269" t="str">
            <v/>
          </cell>
          <cell r="S3269" t="str">
            <v/>
          </cell>
          <cell r="V3269" t="str">
            <v/>
          </cell>
          <cell r="Z3269" t="str">
            <v/>
          </cell>
          <cell r="AA3269" t="str">
            <v/>
          </cell>
          <cell r="AB3269" t="str">
            <v/>
          </cell>
          <cell r="AC3269" t="str">
            <v/>
          </cell>
          <cell r="AD3269" t="str">
            <v/>
          </cell>
          <cell r="AY3269" t="str">
            <v/>
          </cell>
          <cell r="AZ3269" t="str">
            <v/>
          </cell>
          <cell r="BA3269" t="str">
            <v/>
          </cell>
        </row>
        <row r="3270">
          <cell r="B3270" t="str">
            <v>-</v>
          </cell>
          <cell r="E3270" t="str">
            <v/>
          </cell>
          <cell r="G3270" t="str">
            <v/>
          </cell>
          <cell r="J3270" t="str">
            <v/>
          </cell>
          <cell r="O3270" t="str">
            <v/>
          </cell>
          <cell r="P3270" t="str">
            <v/>
          </cell>
          <cell r="Q3270" t="str">
            <v/>
          </cell>
          <cell r="S3270" t="str">
            <v/>
          </cell>
          <cell r="V3270" t="str">
            <v/>
          </cell>
          <cell r="Z3270" t="str">
            <v/>
          </cell>
          <cell r="AA3270" t="str">
            <v/>
          </cell>
          <cell r="AB3270" t="str">
            <v/>
          </cell>
          <cell r="AC3270" t="str">
            <v/>
          </cell>
          <cell r="AD3270" t="str">
            <v/>
          </cell>
          <cell r="AY3270" t="str">
            <v/>
          </cell>
          <cell r="AZ3270" t="str">
            <v/>
          </cell>
          <cell r="BA3270" t="str">
            <v/>
          </cell>
        </row>
        <row r="3271">
          <cell r="B3271" t="str">
            <v>-</v>
          </cell>
          <cell r="E3271" t="str">
            <v/>
          </cell>
          <cell r="G3271" t="str">
            <v/>
          </cell>
          <cell r="J3271" t="str">
            <v/>
          </cell>
          <cell r="O3271" t="str">
            <v/>
          </cell>
          <cell r="P3271" t="str">
            <v/>
          </cell>
          <cell r="Q3271" t="str">
            <v/>
          </cell>
          <cell r="S3271" t="str">
            <v/>
          </cell>
          <cell r="V3271" t="str">
            <v/>
          </cell>
          <cell r="Z3271" t="str">
            <v/>
          </cell>
          <cell r="AA3271" t="str">
            <v/>
          </cell>
          <cell r="AB3271" t="str">
            <v/>
          </cell>
          <cell r="AC3271" t="str">
            <v/>
          </cell>
          <cell r="AD3271" t="str">
            <v/>
          </cell>
          <cell r="AY3271" t="str">
            <v/>
          </cell>
          <cell r="AZ3271" t="str">
            <v/>
          </cell>
          <cell r="BA3271" t="str">
            <v/>
          </cell>
        </row>
        <row r="3272">
          <cell r="B3272" t="str">
            <v>-</v>
          </cell>
          <cell r="E3272" t="str">
            <v/>
          </cell>
          <cell r="G3272" t="str">
            <v/>
          </cell>
          <cell r="J3272" t="str">
            <v/>
          </cell>
          <cell r="O3272" t="str">
            <v/>
          </cell>
          <cell r="P3272" t="str">
            <v/>
          </cell>
          <cell r="Q3272" t="str">
            <v/>
          </cell>
          <cell r="S3272" t="str">
            <v/>
          </cell>
          <cell r="V3272" t="str">
            <v/>
          </cell>
          <cell r="Z3272" t="str">
            <v/>
          </cell>
          <cell r="AA3272" t="str">
            <v/>
          </cell>
          <cell r="AB3272" t="str">
            <v/>
          </cell>
          <cell r="AC3272" t="str">
            <v/>
          </cell>
          <cell r="AD3272" t="str">
            <v/>
          </cell>
          <cell r="AY3272" t="str">
            <v/>
          </cell>
          <cell r="AZ3272" t="str">
            <v/>
          </cell>
          <cell r="BA3272" t="str">
            <v/>
          </cell>
        </row>
        <row r="3273">
          <cell r="B3273" t="str">
            <v>-</v>
          </cell>
          <cell r="E3273" t="str">
            <v/>
          </cell>
          <cell r="G3273" t="str">
            <v/>
          </cell>
          <cell r="J3273" t="str">
            <v/>
          </cell>
          <cell r="O3273" t="str">
            <v/>
          </cell>
          <cell r="P3273" t="str">
            <v/>
          </cell>
          <cell r="Q3273" t="str">
            <v/>
          </cell>
          <cell r="S3273" t="str">
            <v/>
          </cell>
          <cell r="V3273" t="str">
            <v/>
          </cell>
          <cell r="Z3273" t="str">
            <v/>
          </cell>
          <cell r="AA3273" t="str">
            <v/>
          </cell>
          <cell r="AB3273" t="str">
            <v/>
          </cell>
          <cell r="AC3273" t="str">
            <v/>
          </cell>
          <cell r="AD3273" t="str">
            <v/>
          </cell>
          <cell r="AY3273" t="str">
            <v/>
          </cell>
          <cell r="AZ3273" t="str">
            <v/>
          </cell>
          <cell r="BA3273" t="str">
            <v/>
          </cell>
        </row>
        <row r="3274">
          <cell r="B3274" t="str">
            <v>-</v>
          </cell>
          <cell r="E3274" t="str">
            <v/>
          </cell>
          <cell r="G3274" t="str">
            <v/>
          </cell>
          <cell r="J3274" t="str">
            <v/>
          </cell>
          <cell r="O3274" t="str">
            <v/>
          </cell>
          <cell r="P3274" t="str">
            <v/>
          </cell>
          <cell r="Q3274" t="str">
            <v/>
          </cell>
          <cell r="S3274" t="str">
            <v/>
          </cell>
          <cell r="V3274" t="str">
            <v/>
          </cell>
          <cell r="Z3274" t="str">
            <v/>
          </cell>
          <cell r="AA3274" t="str">
            <v/>
          </cell>
          <cell r="AB3274" t="str">
            <v/>
          </cell>
          <cell r="AC3274" t="str">
            <v/>
          </cell>
          <cell r="AD3274" t="str">
            <v/>
          </cell>
          <cell r="AY3274" t="str">
            <v/>
          </cell>
          <cell r="AZ3274" t="str">
            <v/>
          </cell>
          <cell r="BA3274" t="str">
            <v/>
          </cell>
        </row>
        <row r="3275">
          <cell r="B3275" t="str">
            <v>-</v>
          </cell>
          <cell r="E3275" t="str">
            <v/>
          </cell>
          <cell r="G3275" t="str">
            <v/>
          </cell>
          <cell r="J3275" t="str">
            <v/>
          </cell>
          <cell r="O3275" t="str">
            <v/>
          </cell>
          <cell r="P3275" t="str">
            <v/>
          </cell>
          <cell r="Q3275" t="str">
            <v/>
          </cell>
          <cell r="S3275" t="str">
            <v/>
          </cell>
          <cell r="V3275" t="str">
            <v/>
          </cell>
          <cell r="Z3275" t="str">
            <v/>
          </cell>
          <cell r="AA3275" t="str">
            <v/>
          </cell>
          <cell r="AB3275" t="str">
            <v/>
          </cell>
          <cell r="AC3275" t="str">
            <v/>
          </cell>
          <cell r="AD3275" t="str">
            <v/>
          </cell>
          <cell r="AY3275" t="str">
            <v/>
          </cell>
          <cell r="AZ3275" t="str">
            <v/>
          </cell>
          <cell r="BA3275" t="str">
            <v/>
          </cell>
        </row>
        <row r="3276">
          <cell r="B3276" t="str">
            <v>-</v>
          </cell>
          <cell r="E3276" t="str">
            <v/>
          </cell>
          <cell r="G3276" t="str">
            <v/>
          </cell>
          <cell r="J3276" t="str">
            <v/>
          </cell>
          <cell r="O3276" t="str">
            <v/>
          </cell>
          <cell r="P3276" t="str">
            <v/>
          </cell>
          <cell r="Q3276" t="str">
            <v/>
          </cell>
          <cell r="S3276" t="str">
            <v/>
          </cell>
          <cell r="V3276" t="str">
            <v/>
          </cell>
          <cell r="Z3276" t="str">
            <v/>
          </cell>
          <cell r="AA3276" t="str">
            <v/>
          </cell>
          <cell r="AB3276" t="str">
            <v/>
          </cell>
          <cell r="AC3276" t="str">
            <v/>
          </cell>
          <cell r="AD3276" t="str">
            <v/>
          </cell>
          <cell r="AY3276" t="str">
            <v/>
          </cell>
          <cell r="AZ3276" t="str">
            <v/>
          </cell>
          <cell r="BA3276" t="str">
            <v/>
          </cell>
        </row>
        <row r="3277">
          <cell r="B3277" t="str">
            <v>-</v>
          </cell>
          <cell r="E3277" t="str">
            <v/>
          </cell>
          <cell r="G3277" t="str">
            <v/>
          </cell>
          <cell r="J3277" t="str">
            <v/>
          </cell>
          <cell r="O3277" t="str">
            <v/>
          </cell>
          <cell r="P3277" t="str">
            <v/>
          </cell>
          <cell r="Q3277" t="str">
            <v/>
          </cell>
          <cell r="S3277" t="str">
            <v/>
          </cell>
          <cell r="V3277" t="str">
            <v/>
          </cell>
          <cell r="Z3277" t="str">
            <v/>
          </cell>
          <cell r="AA3277" t="str">
            <v/>
          </cell>
          <cell r="AB3277" t="str">
            <v/>
          </cell>
          <cell r="AC3277" t="str">
            <v/>
          </cell>
          <cell r="AD3277" t="str">
            <v/>
          </cell>
          <cell r="AY3277" t="str">
            <v/>
          </cell>
          <cell r="AZ3277" t="str">
            <v/>
          </cell>
          <cell r="BA3277" t="str">
            <v/>
          </cell>
        </row>
        <row r="3278">
          <cell r="B3278" t="str">
            <v>-</v>
          </cell>
          <cell r="E3278" t="str">
            <v/>
          </cell>
          <cell r="G3278" t="str">
            <v/>
          </cell>
          <cell r="J3278" t="str">
            <v/>
          </cell>
          <cell r="O3278" t="str">
            <v/>
          </cell>
          <cell r="P3278" t="str">
            <v/>
          </cell>
          <cell r="Q3278" t="str">
            <v/>
          </cell>
          <cell r="S3278" t="str">
            <v/>
          </cell>
          <cell r="V3278" t="str">
            <v/>
          </cell>
          <cell r="Z3278" t="str">
            <v/>
          </cell>
          <cell r="AA3278" t="str">
            <v/>
          </cell>
          <cell r="AB3278" t="str">
            <v/>
          </cell>
          <cell r="AC3278" t="str">
            <v/>
          </cell>
          <cell r="AD3278" t="str">
            <v/>
          </cell>
          <cell r="AY3278" t="str">
            <v/>
          </cell>
          <cell r="AZ3278" t="str">
            <v/>
          </cell>
          <cell r="BA3278" t="str">
            <v/>
          </cell>
        </row>
        <row r="3279">
          <cell r="B3279" t="str">
            <v>-</v>
          </cell>
          <cell r="E3279" t="str">
            <v/>
          </cell>
          <cell r="G3279" t="str">
            <v/>
          </cell>
          <cell r="J3279" t="str">
            <v/>
          </cell>
          <cell r="O3279" t="str">
            <v/>
          </cell>
          <cell r="P3279" t="str">
            <v/>
          </cell>
          <cell r="Q3279" t="str">
            <v/>
          </cell>
          <cell r="S3279" t="str">
            <v/>
          </cell>
          <cell r="V3279" t="str">
            <v/>
          </cell>
          <cell r="Z3279" t="str">
            <v/>
          </cell>
          <cell r="AA3279" t="str">
            <v/>
          </cell>
          <cell r="AB3279" t="str">
            <v/>
          </cell>
          <cell r="AC3279" t="str">
            <v/>
          </cell>
          <cell r="AD3279" t="str">
            <v/>
          </cell>
          <cell r="AY3279" t="str">
            <v/>
          </cell>
          <cell r="AZ3279" t="str">
            <v/>
          </cell>
          <cell r="BA3279" t="str">
            <v/>
          </cell>
        </row>
        <row r="3280">
          <cell r="B3280" t="str">
            <v>-</v>
          </cell>
          <cell r="E3280" t="str">
            <v/>
          </cell>
          <cell r="G3280" t="str">
            <v/>
          </cell>
          <cell r="J3280" t="str">
            <v/>
          </cell>
          <cell r="O3280" t="str">
            <v/>
          </cell>
          <cell r="P3280" t="str">
            <v/>
          </cell>
          <cell r="Q3280" t="str">
            <v/>
          </cell>
          <cell r="S3280" t="str">
            <v/>
          </cell>
          <cell r="V3280" t="str">
            <v/>
          </cell>
          <cell r="Z3280" t="str">
            <v/>
          </cell>
          <cell r="AA3280" t="str">
            <v/>
          </cell>
          <cell r="AB3280" t="str">
            <v/>
          </cell>
          <cell r="AC3280" t="str">
            <v/>
          </cell>
          <cell r="AD3280" t="str">
            <v/>
          </cell>
          <cell r="AY3280" t="str">
            <v/>
          </cell>
          <cell r="AZ3280" t="str">
            <v/>
          </cell>
          <cell r="BA3280" t="str">
            <v/>
          </cell>
        </row>
        <row r="3281">
          <cell r="B3281" t="str">
            <v>-</v>
          </cell>
          <cell r="E3281" t="str">
            <v/>
          </cell>
          <cell r="G3281" t="str">
            <v/>
          </cell>
          <cell r="J3281" t="str">
            <v/>
          </cell>
          <cell r="O3281" t="str">
            <v/>
          </cell>
          <cell r="P3281" t="str">
            <v/>
          </cell>
          <cell r="Q3281" t="str">
            <v/>
          </cell>
          <cell r="S3281" t="str">
            <v/>
          </cell>
          <cell r="V3281" t="str">
            <v/>
          </cell>
          <cell r="Z3281" t="str">
            <v/>
          </cell>
          <cell r="AA3281" t="str">
            <v/>
          </cell>
          <cell r="AB3281" t="str">
            <v/>
          </cell>
          <cell r="AC3281" t="str">
            <v/>
          </cell>
          <cell r="AD3281" t="str">
            <v/>
          </cell>
          <cell r="AY3281" t="str">
            <v/>
          </cell>
          <cell r="AZ3281" t="str">
            <v/>
          </cell>
          <cell r="BA3281" t="str">
            <v/>
          </cell>
        </row>
        <row r="3282">
          <cell r="B3282" t="str">
            <v>-</v>
          </cell>
          <cell r="E3282" t="str">
            <v/>
          </cell>
          <cell r="G3282" t="str">
            <v/>
          </cell>
          <cell r="J3282" t="str">
            <v/>
          </cell>
          <cell r="O3282" t="str">
            <v/>
          </cell>
          <cell r="P3282" t="str">
            <v/>
          </cell>
          <cell r="Q3282" t="str">
            <v/>
          </cell>
          <cell r="S3282" t="str">
            <v/>
          </cell>
          <cell r="V3282" t="str">
            <v/>
          </cell>
          <cell r="Z3282" t="str">
            <v/>
          </cell>
          <cell r="AA3282" t="str">
            <v/>
          </cell>
          <cell r="AB3282" t="str">
            <v/>
          </cell>
          <cell r="AC3282" t="str">
            <v/>
          </cell>
          <cell r="AD3282" t="str">
            <v/>
          </cell>
          <cell r="AY3282" t="str">
            <v/>
          </cell>
          <cell r="AZ3282" t="str">
            <v/>
          </cell>
          <cell r="BA3282" t="str">
            <v/>
          </cell>
        </row>
        <row r="3283">
          <cell r="B3283" t="str">
            <v>-</v>
          </cell>
          <cell r="E3283" t="str">
            <v/>
          </cell>
          <cell r="G3283" t="str">
            <v/>
          </cell>
          <cell r="J3283" t="str">
            <v/>
          </cell>
          <cell r="O3283" t="str">
            <v/>
          </cell>
          <cell r="P3283" t="str">
            <v/>
          </cell>
          <cell r="Q3283" t="str">
            <v/>
          </cell>
          <cell r="S3283" t="str">
            <v/>
          </cell>
          <cell r="V3283" t="str">
            <v/>
          </cell>
          <cell r="Z3283" t="str">
            <v/>
          </cell>
          <cell r="AA3283" t="str">
            <v/>
          </cell>
          <cell r="AB3283" t="str">
            <v/>
          </cell>
          <cell r="AC3283" t="str">
            <v/>
          </cell>
          <cell r="AD3283" t="str">
            <v/>
          </cell>
          <cell r="AY3283" t="str">
            <v/>
          </cell>
          <cell r="AZ3283" t="str">
            <v/>
          </cell>
          <cell r="BA3283" t="str">
            <v/>
          </cell>
        </row>
        <row r="3284">
          <cell r="B3284" t="str">
            <v>-</v>
          </cell>
          <cell r="E3284" t="str">
            <v/>
          </cell>
          <cell r="G3284" t="str">
            <v/>
          </cell>
          <cell r="J3284" t="str">
            <v/>
          </cell>
          <cell r="O3284" t="str">
            <v/>
          </cell>
          <cell r="P3284" t="str">
            <v/>
          </cell>
          <cell r="Q3284" t="str">
            <v/>
          </cell>
          <cell r="S3284" t="str">
            <v/>
          </cell>
          <cell r="V3284" t="str">
            <v/>
          </cell>
          <cell r="Z3284" t="str">
            <v/>
          </cell>
          <cell r="AA3284" t="str">
            <v/>
          </cell>
          <cell r="AB3284" t="str">
            <v/>
          </cell>
          <cell r="AC3284" t="str">
            <v/>
          </cell>
          <cell r="AD3284" t="str">
            <v/>
          </cell>
          <cell r="AY3284" t="str">
            <v/>
          </cell>
          <cell r="AZ3284" t="str">
            <v/>
          </cell>
          <cell r="BA3284" t="str">
            <v/>
          </cell>
        </row>
        <row r="3285">
          <cell r="B3285" t="str">
            <v>-</v>
          </cell>
          <cell r="E3285" t="str">
            <v/>
          </cell>
          <cell r="G3285" t="str">
            <v/>
          </cell>
          <cell r="J3285" t="str">
            <v/>
          </cell>
          <cell r="O3285" t="str">
            <v/>
          </cell>
          <cell r="P3285" t="str">
            <v/>
          </cell>
          <cell r="Q3285" t="str">
            <v/>
          </cell>
          <cell r="S3285" t="str">
            <v/>
          </cell>
          <cell r="V3285" t="str">
            <v/>
          </cell>
          <cell r="Z3285" t="str">
            <v/>
          </cell>
          <cell r="AA3285" t="str">
            <v/>
          </cell>
          <cell r="AB3285" t="str">
            <v/>
          </cell>
          <cell r="AC3285" t="str">
            <v/>
          </cell>
          <cell r="AD3285" t="str">
            <v/>
          </cell>
          <cell r="AY3285" t="str">
            <v/>
          </cell>
          <cell r="AZ3285" t="str">
            <v/>
          </cell>
          <cell r="BA3285" t="str">
            <v/>
          </cell>
        </row>
        <row r="3286">
          <cell r="B3286" t="str">
            <v>-</v>
          </cell>
          <cell r="E3286" t="str">
            <v/>
          </cell>
          <cell r="G3286" t="str">
            <v/>
          </cell>
          <cell r="J3286" t="str">
            <v/>
          </cell>
          <cell r="O3286" t="str">
            <v/>
          </cell>
          <cell r="P3286" t="str">
            <v/>
          </cell>
          <cell r="Q3286" t="str">
            <v/>
          </cell>
          <cell r="S3286" t="str">
            <v/>
          </cell>
          <cell r="V3286" t="str">
            <v/>
          </cell>
          <cell r="Z3286" t="str">
            <v/>
          </cell>
          <cell r="AA3286" t="str">
            <v/>
          </cell>
          <cell r="AB3286" t="str">
            <v/>
          </cell>
          <cell r="AC3286" t="str">
            <v/>
          </cell>
          <cell r="AD3286" t="str">
            <v/>
          </cell>
          <cell r="AY3286" t="str">
            <v/>
          </cell>
          <cell r="AZ3286" t="str">
            <v/>
          </cell>
          <cell r="BA3286" t="str">
            <v/>
          </cell>
        </row>
        <row r="3287">
          <cell r="B3287" t="str">
            <v>-</v>
          </cell>
          <cell r="E3287" t="str">
            <v/>
          </cell>
          <cell r="G3287" t="str">
            <v/>
          </cell>
          <cell r="J3287" t="str">
            <v/>
          </cell>
          <cell r="O3287" t="str">
            <v/>
          </cell>
          <cell r="P3287" t="str">
            <v/>
          </cell>
          <cell r="Q3287" t="str">
            <v/>
          </cell>
          <cell r="S3287" t="str">
            <v/>
          </cell>
          <cell r="V3287" t="str">
            <v/>
          </cell>
          <cell r="Z3287" t="str">
            <v/>
          </cell>
          <cell r="AA3287" t="str">
            <v/>
          </cell>
          <cell r="AB3287" t="str">
            <v/>
          </cell>
          <cell r="AC3287" t="str">
            <v/>
          </cell>
          <cell r="AD3287" t="str">
            <v/>
          </cell>
          <cell r="AY3287" t="str">
            <v/>
          </cell>
          <cell r="AZ3287" t="str">
            <v/>
          </cell>
          <cell r="BA3287" t="str">
            <v/>
          </cell>
        </row>
        <row r="3288">
          <cell r="B3288" t="str">
            <v>-</v>
          </cell>
          <cell r="E3288" t="str">
            <v/>
          </cell>
          <cell r="G3288" t="str">
            <v/>
          </cell>
          <cell r="J3288" t="str">
            <v/>
          </cell>
          <cell r="O3288" t="str">
            <v/>
          </cell>
          <cell r="P3288" t="str">
            <v/>
          </cell>
          <cell r="Q3288" t="str">
            <v/>
          </cell>
          <cell r="S3288" t="str">
            <v/>
          </cell>
          <cell r="V3288" t="str">
            <v/>
          </cell>
          <cell r="Z3288" t="str">
            <v/>
          </cell>
          <cell r="AA3288" t="str">
            <v/>
          </cell>
          <cell r="AB3288" t="str">
            <v/>
          </cell>
          <cell r="AC3288" t="str">
            <v/>
          </cell>
          <cell r="AD3288" t="str">
            <v/>
          </cell>
          <cell r="AY3288" t="str">
            <v/>
          </cell>
          <cell r="AZ3288" t="str">
            <v/>
          </cell>
          <cell r="BA3288" t="str">
            <v/>
          </cell>
        </row>
        <row r="3289">
          <cell r="B3289" t="str">
            <v>-</v>
          </cell>
          <cell r="E3289" t="str">
            <v/>
          </cell>
          <cell r="G3289" t="str">
            <v/>
          </cell>
          <cell r="J3289" t="str">
            <v/>
          </cell>
          <cell r="O3289" t="str">
            <v/>
          </cell>
          <cell r="P3289" t="str">
            <v/>
          </cell>
          <cell r="Q3289" t="str">
            <v/>
          </cell>
          <cell r="S3289" t="str">
            <v/>
          </cell>
          <cell r="V3289" t="str">
            <v/>
          </cell>
          <cell r="Z3289" t="str">
            <v/>
          </cell>
          <cell r="AA3289" t="str">
            <v/>
          </cell>
          <cell r="AB3289" t="str">
            <v/>
          </cell>
          <cell r="AC3289" t="str">
            <v/>
          </cell>
          <cell r="AD3289" t="str">
            <v/>
          </cell>
          <cell r="AY3289" t="str">
            <v/>
          </cell>
          <cell r="AZ3289" t="str">
            <v/>
          </cell>
          <cell r="BA3289" t="str">
            <v/>
          </cell>
        </row>
        <row r="3290">
          <cell r="B3290" t="str">
            <v>-</v>
          </cell>
          <cell r="E3290" t="str">
            <v/>
          </cell>
          <cell r="G3290" t="str">
            <v/>
          </cell>
          <cell r="J3290" t="str">
            <v/>
          </cell>
          <cell r="O3290" t="str">
            <v/>
          </cell>
          <cell r="P3290" t="str">
            <v/>
          </cell>
          <cell r="Q3290" t="str">
            <v/>
          </cell>
          <cell r="S3290" t="str">
            <v/>
          </cell>
          <cell r="V3290" t="str">
            <v/>
          </cell>
          <cell r="Z3290" t="str">
            <v/>
          </cell>
          <cell r="AA3290" t="str">
            <v/>
          </cell>
          <cell r="AB3290" t="str">
            <v/>
          </cell>
          <cell r="AC3290" t="str">
            <v/>
          </cell>
          <cell r="AD3290" t="str">
            <v/>
          </cell>
          <cell r="AY3290" t="str">
            <v/>
          </cell>
          <cell r="AZ3290" t="str">
            <v/>
          </cell>
          <cell r="BA3290" t="str">
            <v/>
          </cell>
        </row>
        <row r="3291">
          <cell r="B3291" t="str">
            <v>-</v>
          </cell>
          <cell r="E3291" t="str">
            <v/>
          </cell>
          <cell r="G3291" t="str">
            <v/>
          </cell>
          <cell r="J3291" t="str">
            <v/>
          </cell>
          <cell r="O3291" t="str">
            <v/>
          </cell>
          <cell r="P3291" t="str">
            <v/>
          </cell>
          <cell r="Q3291" t="str">
            <v/>
          </cell>
          <cell r="S3291" t="str">
            <v/>
          </cell>
          <cell r="V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 t="str">
            <v/>
          </cell>
          <cell r="AD3291" t="str">
            <v/>
          </cell>
          <cell r="AY3291" t="str">
            <v/>
          </cell>
          <cell r="AZ3291" t="str">
            <v/>
          </cell>
          <cell r="BA3291" t="str">
            <v/>
          </cell>
        </row>
        <row r="3292">
          <cell r="B3292" t="str">
            <v>-</v>
          </cell>
          <cell r="E3292" t="str">
            <v/>
          </cell>
          <cell r="G3292" t="str">
            <v/>
          </cell>
          <cell r="J3292" t="str">
            <v/>
          </cell>
          <cell r="O3292" t="str">
            <v/>
          </cell>
          <cell r="P3292" t="str">
            <v/>
          </cell>
          <cell r="Q3292" t="str">
            <v/>
          </cell>
          <cell r="S3292" t="str">
            <v/>
          </cell>
          <cell r="V3292" t="str">
            <v/>
          </cell>
          <cell r="Z3292" t="str">
            <v/>
          </cell>
          <cell r="AA3292" t="str">
            <v/>
          </cell>
          <cell r="AB3292" t="str">
            <v/>
          </cell>
          <cell r="AC3292" t="str">
            <v/>
          </cell>
          <cell r="AD3292" t="str">
            <v/>
          </cell>
          <cell r="AY3292" t="str">
            <v/>
          </cell>
          <cell r="AZ3292" t="str">
            <v/>
          </cell>
          <cell r="BA3292" t="str">
            <v/>
          </cell>
        </row>
        <row r="3293">
          <cell r="B3293" t="str">
            <v>-</v>
          </cell>
          <cell r="E3293" t="str">
            <v/>
          </cell>
          <cell r="G3293" t="str">
            <v/>
          </cell>
          <cell r="J3293" t="str">
            <v/>
          </cell>
          <cell r="O3293" t="str">
            <v/>
          </cell>
          <cell r="P3293" t="str">
            <v/>
          </cell>
          <cell r="Q3293" t="str">
            <v/>
          </cell>
          <cell r="S3293" t="str">
            <v/>
          </cell>
          <cell r="V3293" t="str">
            <v/>
          </cell>
          <cell r="Z3293" t="str">
            <v/>
          </cell>
          <cell r="AA3293" t="str">
            <v/>
          </cell>
          <cell r="AB3293" t="str">
            <v/>
          </cell>
          <cell r="AC3293" t="str">
            <v/>
          </cell>
          <cell r="AD3293" t="str">
            <v/>
          </cell>
          <cell r="AY3293" t="str">
            <v/>
          </cell>
          <cell r="AZ3293" t="str">
            <v/>
          </cell>
          <cell r="BA3293" t="str">
            <v/>
          </cell>
        </row>
        <row r="3294">
          <cell r="B3294" t="str">
            <v>-</v>
          </cell>
          <cell r="E3294" t="str">
            <v/>
          </cell>
          <cell r="G3294" t="str">
            <v/>
          </cell>
          <cell r="J3294" t="str">
            <v/>
          </cell>
          <cell r="O3294" t="str">
            <v/>
          </cell>
          <cell r="P3294" t="str">
            <v/>
          </cell>
          <cell r="Q3294" t="str">
            <v/>
          </cell>
          <cell r="S3294" t="str">
            <v/>
          </cell>
          <cell r="V3294" t="str">
            <v/>
          </cell>
          <cell r="Z3294" t="str">
            <v/>
          </cell>
          <cell r="AA3294" t="str">
            <v/>
          </cell>
          <cell r="AB3294" t="str">
            <v/>
          </cell>
          <cell r="AC3294" t="str">
            <v/>
          </cell>
          <cell r="AD3294" t="str">
            <v/>
          </cell>
          <cell r="AY3294" t="str">
            <v/>
          </cell>
          <cell r="AZ3294" t="str">
            <v/>
          </cell>
          <cell r="BA3294" t="str">
            <v/>
          </cell>
        </row>
        <row r="3295">
          <cell r="B3295" t="str">
            <v>-</v>
          </cell>
          <cell r="E3295" t="str">
            <v/>
          </cell>
          <cell r="G3295" t="str">
            <v/>
          </cell>
          <cell r="J3295" t="str">
            <v/>
          </cell>
          <cell r="O3295" t="str">
            <v/>
          </cell>
          <cell r="P3295" t="str">
            <v/>
          </cell>
          <cell r="Q3295" t="str">
            <v/>
          </cell>
          <cell r="S3295" t="str">
            <v/>
          </cell>
          <cell r="V3295" t="str">
            <v/>
          </cell>
          <cell r="Z3295" t="str">
            <v/>
          </cell>
          <cell r="AA3295" t="str">
            <v/>
          </cell>
          <cell r="AB3295" t="str">
            <v/>
          </cell>
          <cell r="AC3295" t="str">
            <v/>
          </cell>
          <cell r="AD3295" t="str">
            <v/>
          </cell>
          <cell r="AY3295" t="str">
            <v/>
          </cell>
          <cell r="AZ3295" t="str">
            <v/>
          </cell>
          <cell r="BA3295" t="str">
            <v/>
          </cell>
        </row>
        <row r="3296">
          <cell r="B3296" t="str">
            <v>-</v>
          </cell>
          <cell r="E3296" t="str">
            <v/>
          </cell>
          <cell r="G3296" t="str">
            <v/>
          </cell>
          <cell r="J3296" t="str">
            <v/>
          </cell>
          <cell r="O3296" t="str">
            <v/>
          </cell>
          <cell r="P3296" t="str">
            <v/>
          </cell>
          <cell r="Q3296" t="str">
            <v/>
          </cell>
          <cell r="S3296" t="str">
            <v/>
          </cell>
          <cell r="V3296" t="str">
            <v/>
          </cell>
          <cell r="Z3296" t="str">
            <v/>
          </cell>
          <cell r="AA3296" t="str">
            <v/>
          </cell>
          <cell r="AB3296" t="str">
            <v/>
          </cell>
          <cell r="AC3296" t="str">
            <v/>
          </cell>
          <cell r="AD3296" t="str">
            <v/>
          </cell>
          <cell r="AY3296" t="str">
            <v/>
          </cell>
          <cell r="AZ3296" t="str">
            <v/>
          </cell>
          <cell r="BA3296" t="str">
            <v/>
          </cell>
        </row>
        <row r="3297">
          <cell r="B3297" t="str">
            <v>-</v>
          </cell>
          <cell r="E3297" t="str">
            <v/>
          </cell>
          <cell r="G3297" t="str">
            <v/>
          </cell>
          <cell r="J3297" t="str">
            <v/>
          </cell>
          <cell r="O3297" t="str">
            <v/>
          </cell>
          <cell r="P3297" t="str">
            <v/>
          </cell>
          <cell r="Q3297" t="str">
            <v/>
          </cell>
          <cell r="S3297" t="str">
            <v/>
          </cell>
          <cell r="V3297" t="str">
            <v/>
          </cell>
          <cell r="Z3297" t="str">
            <v/>
          </cell>
          <cell r="AA3297" t="str">
            <v/>
          </cell>
          <cell r="AB3297" t="str">
            <v/>
          </cell>
          <cell r="AC3297" t="str">
            <v/>
          </cell>
          <cell r="AD3297" t="str">
            <v/>
          </cell>
          <cell r="AY3297" t="str">
            <v/>
          </cell>
          <cell r="AZ3297" t="str">
            <v/>
          </cell>
          <cell r="BA3297" t="str">
            <v/>
          </cell>
        </row>
        <row r="3298">
          <cell r="B3298" t="str">
            <v>-</v>
          </cell>
          <cell r="E3298" t="str">
            <v/>
          </cell>
          <cell r="G3298" t="str">
            <v/>
          </cell>
          <cell r="J3298" t="str">
            <v/>
          </cell>
          <cell r="O3298" t="str">
            <v/>
          </cell>
          <cell r="P3298" t="str">
            <v/>
          </cell>
          <cell r="Q3298" t="str">
            <v/>
          </cell>
          <cell r="S3298" t="str">
            <v/>
          </cell>
          <cell r="V3298" t="str">
            <v/>
          </cell>
          <cell r="Z3298" t="str">
            <v/>
          </cell>
          <cell r="AA3298" t="str">
            <v/>
          </cell>
          <cell r="AB3298" t="str">
            <v/>
          </cell>
          <cell r="AC3298" t="str">
            <v/>
          </cell>
          <cell r="AD3298" t="str">
            <v/>
          </cell>
          <cell r="AY3298" t="str">
            <v/>
          </cell>
          <cell r="AZ3298" t="str">
            <v/>
          </cell>
          <cell r="BA3298" t="str">
            <v/>
          </cell>
        </row>
        <row r="3299">
          <cell r="B3299" t="str">
            <v>-</v>
          </cell>
          <cell r="E3299" t="str">
            <v/>
          </cell>
          <cell r="G3299" t="str">
            <v/>
          </cell>
          <cell r="J3299" t="str">
            <v/>
          </cell>
          <cell r="O3299" t="str">
            <v/>
          </cell>
          <cell r="P3299" t="str">
            <v/>
          </cell>
          <cell r="Q3299" t="str">
            <v/>
          </cell>
          <cell r="S3299" t="str">
            <v/>
          </cell>
          <cell r="V3299" t="str">
            <v/>
          </cell>
          <cell r="Z3299" t="str">
            <v/>
          </cell>
          <cell r="AA3299" t="str">
            <v/>
          </cell>
          <cell r="AB3299" t="str">
            <v/>
          </cell>
          <cell r="AC3299" t="str">
            <v/>
          </cell>
          <cell r="AD3299" t="str">
            <v/>
          </cell>
          <cell r="AY3299" t="str">
            <v/>
          </cell>
          <cell r="AZ3299" t="str">
            <v/>
          </cell>
          <cell r="BA3299" t="str">
            <v/>
          </cell>
        </row>
        <row r="3300">
          <cell r="B3300" t="str">
            <v>-</v>
          </cell>
          <cell r="E3300" t="str">
            <v/>
          </cell>
          <cell r="G3300" t="str">
            <v/>
          </cell>
          <cell r="J3300" t="str">
            <v/>
          </cell>
          <cell r="O3300" t="str">
            <v/>
          </cell>
          <cell r="P3300" t="str">
            <v/>
          </cell>
          <cell r="Q3300" t="str">
            <v/>
          </cell>
          <cell r="S3300" t="str">
            <v/>
          </cell>
          <cell r="V3300" t="str">
            <v/>
          </cell>
          <cell r="Z3300" t="str">
            <v/>
          </cell>
          <cell r="AA3300" t="str">
            <v/>
          </cell>
          <cell r="AB3300" t="str">
            <v/>
          </cell>
          <cell r="AC3300" t="str">
            <v/>
          </cell>
          <cell r="AD3300" t="str">
            <v/>
          </cell>
          <cell r="AY3300" t="str">
            <v/>
          </cell>
          <cell r="AZ3300" t="str">
            <v/>
          </cell>
          <cell r="BA3300" t="str">
            <v/>
          </cell>
        </row>
        <row r="3301">
          <cell r="B3301" t="str">
            <v>-</v>
          </cell>
          <cell r="E3301" t="str">
            <v/>
          </cell>
          <cell r="G3301" t="str">
            <v/>
          </cell>
          <cell r="J3301" t="str">
            <v/>
          </cell>
          <cell r="O3301" t="str">
            <v/>
          </cell>
          <cell r="P3301" t="str">
            <v/>
          </cell>
          <cell r="Q3301" t="str">
            <v/>
          </cell>
          <cell r="S3301" t="str">
            <v/>
          </cell>
          <cell r="V3301" t="str">
            <v/>
          </cell>
          <cell r="Z3301" t="str">
            <v/>
          </cell>
          <cell r="AA3301" t="str">
            <v/>
          </cell>
          <cell r="AB3301" t="str">
            <v/>
          </cell>
          <cell r="AC3301" t="str">
            <v/>
          </cell>
          <cell r="AD3301" t="str">
            <v/>
          </cell>
          <cell r="AY3301" t="str">
            <v/>
          </cell>
          <cell r="AZ3301" t="str">
            <v/>
          </cell>
          <cell r="BA3301" t="str">
            <v/>
          </cell>
        </row>
        <row r="3302">
          <cell r="B3302" t="str">
            <v>-</v>
          </cell>
          <cell r="E3302" t="str">
            <v/>
          </cell>
          <cell r="G3302" t="str">
            <v/>
          </cell>
          <cell r="J3302" t="str">
            <v/>
          </cell>
          <cell r="O3302" t="str">
            <v/>
          </cell>
          <cell r="P3302" t="str">
            <v/>
          </cell>
          <cell r="Q3302" t="str">
            <v/>
          </cell>
          <cell r="S3302" t="str">
            <v/>
          </cell>
          <cell r="V3302" t="str">
            <v/>
          </cell>
          <cell r="Z3302" t="str">
            <v/>
          </cell>
          <cell r="AA3302" t="str">
            <v/>
          </cell>
          <cell r="AB3302" t="str">
            <v/>
          </cell>
          <cell r="AC3302" t="str">
            <v/>
          </cell>
          <cell r="AD3302" t="str">
            <v/>
          </cell>
          <cell r="AY3302" t="str">
            <v/>
          </cell>
          <cell r="AZ3302" t="str">
            <v/>
          </cell>
          <cell r="BA3302" t="str">
            <v/>
          </cell>
        </row>
        <row r="3303">
          <cell r="B3303" t="str">
            <v>-</v>
          </cell>
          <cell r="E3303" t="str">
            <v/>
          </cell>
          <cell r="G3303" t="str">
            <v/>
          </cell>
          <cell r="J3303" t="str">
            <v/>
          </cell>
          <cell r="O3303" t="str">
            <v/>
          </cell>
          <cell r="P3303" t="str">
            <v/>
          </cell>
          <cell r="Q3303" t="str">
            <v/>
          </cell>
          <cell r="S3303" t="str">
            <v/>
          </cell>
          <cell r="V3303" t="str">
            <v/>
          </cell>
          <cell r="Z3303" t="str">
            <v/>
          </cell>
          <cell r="AA3303" t="str">
            <v/>
          </cell>
          <cell r="AB3303" t="str">
            <v/>
          </cell>
          <cell r="AC3303" t="str">
            <v/>
          </cell>
          <cell r="AD3303" t="str">
            <v/>
          </cell>
          <cell r="AY3303" t="str">
            <v/>
          </cell>
          <cell r="AZ3303" t="str">
            <v/>
          </cell>
          <cell r="BA3303" t="str">
            <v/>
          </cell>
        </row>
        <row r="3304">
          <cell r="B3304" t="str">
            <v>-</v>
          </cell>
          <cell r="E3304" t="str">
            <v/>
          </cell>
          <cell r="G3304" t="str">
            <v/>
          </cell>
          <cell r="J3304" t="str">
            <v/>
          </cell>
          <cell r="O3304" t="str">
            <v/>
          </cell>
          <cell r="P3304" t="str">
            <v/>
          </cell>
          <cell r="Q3304" t="str">
            <v/>
          </cell>
          <cell r="S3304" t="str">
            <v/>
          </cell>
          <cell r="V3304" t="str">
            <v/>
          </cell>
          <cell r="Z3304" t="str">
            <v/>
          </cell>
          <cell r="AA3304" t="str">
            <v/>
          </cell>
          <cell r="AB3304" t="str">
            <v/>
          </cell>
          <cell r="AC3304" t="str">
            <v/>
          </cell>
          <cell r="AD3304" t="str">
            <v/>
          </cell>
          <cell r="AY3304" t="str">
            <v/>
          </cell>
          <cell r="AZ3304" t="str">
            <v/>
          </cell>
          <cell r="BA3304" t="str">
            <v/>
          </cell>
        </row>
        <row r="3305">
          <cell r="B3305" t="str">
            <v>-</v>
          </cell>
          <cell r="E3305" t="str">
            <v/>
          </cell>
          <cell r="G3305" t="str">
            <v/>
          </cell>
          <cell r="J3305" t="str">
            <v/>
          </cell>
          <cell r="O3305" t="str">
            <v/>
          </cell>
          <cell r="P3305" t="str">
            <v/>
          </cell>
          <cell r="Q3305" t="str">
            <v/>
          </cell>
          <cell r="S3305" t="str">
            <v/>
          </cell>
          <cell r="V3305" t="str">
            <v/>
          </cell>
          <cell r="Z3305" t="str">
            <v/>
          </cell>
          <cell r="AA3305" t="str">
            <v/>
          </cell>
          <cell r="AB3305" t="str">
            <v/>
          </cell>
          <cell r="AC3305" t="str">
            <v/>
          </cell>
          <cell r="AD3305" t="str">
            <v/>
          </cell>
          <cell r="AY3305" t="str">
            <v/>
          </cell>
          <cell r="AZ3305" t="str">
            <v/>
          </cell>
          <cell r="BA3305" t="str">
            <v/>
          </cell>
        </row>
        <row r="3306">
          <cell r="B3306" t="str">
            <v>-</v>
          </cell>
          <cell r="E3306" t="str">
            <v/>
          </cell>
          <cell r="G3306" t="str">
            <v/>
          </cell>
          <cell r="J3306" t="str">
            <v/>
          </cell>
          <cell r="O3306" t="str">
            <v/>
          </cell>
          <cell r="P3306" t="str">
            <v/>
          </cell>
          <cell r="Q3306" t="str">
            <v/>
          </cell>
          <cell r="S3306" t="str">
            <v/>
          </cell>
          <cell r="V3306" t="str">
            <v/>
          </cell>
          <cell r="Z3306" t="str">
            <v/>
          </cell>
          <cell r="AA3306" t="str">
            <v/>
          </cell>
          <cell r="AB3306" t="str">
            <v/>
          </cell>
          <cell r="AC3306" t="str">
            <v/>
          </cell>
          <cell r="AD3306" t="str">
            <v/>
          </cell>
          <cell r="AY3306" t="str">
            <v/>
          </cell>
          <cell r="AZ3306" t="str">
            <v/>
          </cell>
          <cell r="BA3306" t="str">
            <v/>
          </cell>
        </row>
        <row r="3307">
          <cell r="B3307" t="str">
            <v>-</v>
          </cell>
          <cell r="E3307" t="str">
            <v/>
          </cell>
          <cell r="G3307" t="str">
            <v/>
          </cell>
          <cell r="J3307" t="str">
            <v/>
          </cell>
          <cell r="O3307" t="str">
            <v/>
          </cell>
          <cell r="P3307" t="str">
            <v/>
          </cell>
          <cell r="Q3307" t="str">
            <v/>
          </cell>
          <cell r="S3307" t="str">
            <v/>
          </cell>
          <cell r="V3307" t="str">
            <v/>
          </cell>
          <cell r="Z3307" t="str">
            <v/>
          </cell>
          <cell r="AA3307" t="str">
            <v/>
          </cell>
          <cell r="AB3307" t="str">
            <v/>
          </cell>
          <cell r="AC3307" t="str">
            <v/>
          </cell>
          <cell r="AD3307" t="str">
            <v/>
          </cell>
          <cell r="AY3307" t="str">
            <v/>
          </cell>
          <cell r="AZ3307" t="str">
            <v/>
          </cell>
          <cell r="BA3307" t="str">
            <v/>
          </cell>
        </row>
        <row r="3308">
          <cell r="B3308" t="str">
            <v>-</v>
          </cell>
          <cell r="E3308" t="str">
            <v/>
          </cell>
          <cell r="G3308" t="str">
            <v/>
          </cell>
          <cell r="J3308" t="str">
            <v/>
          </cell>
          <cell r="O3308" t="str">
            <v/>
          </cell>
          <cell r="P3308" t="str">
            <v/>
          </cell>
          <cell r="Q3308" t="str">
            <v/>
          </cell>
          <cell r="S3308" t="str">
            <v/>
          </cell>
          <cell r="V3308" t="str">
            <v/>
          </cell>
          <cell r="Z3308" t="str">
            <v/>
          </cell>
          <cell r="AA3308" t="str">
            <v/>
          </cell>
          <cell r="AB3308" t="str">
            <v/>
          </cell>
          <cell r="AC3308" t="str">
            <v/>
          </cell>
          <cell r="AD3308" t="str">
            <v/>
          </cell>
          <cell r="AY3308" t="str">
            <v/>
          </cell>
          <cell r="AZ3308" t="str">
            <v/>
          </cell>
          <cell r="BA3308" t="str">
            <v/>
          </cell>
        </row>
        <row r="3309">
          <cell r="B3309" t="str">
            <v>-</v>
          </cell>
          <cell r="E3309" t="str">
            <v/>
          </cell>
          <cell r="G3309" t="str">
            <v/>
          </cell>
          <cell r="J3309" t="str">
            <v/>
          </cell>
          <cell r="O3309" t="str">
            <v/>
          </cell>
          <cell r="P3309" t="str">
            <v/>
          </cell>
          <cell r="Q3309" t="str">
            <v/>
          </cell>
          <cell r="S3309" t="str">
            <v/>
          </cell>
          <cell r="V3309" t="str">
            <v/>
          </cell>
          <cell r="Z3309" t="str">
            <v/>
          </cell>
          <cell r="AA3309" t="str">
            <v/>
          </cell>
          <cell r="AB3309" t="str">
            <v/>
          </cell>
          <cell r="AC3309" t="str">
            <v/>
          </cell>
          <cell r="AD3309" t="str">
            <v/>
          </cell>
          <cell r="AY3309" t="str">
            <v/>
          </cell>
          <cell r="AZ3309" t="str">
            <v/>
          </cell>
          <cell r="BA3309" t="str">
            <v/>
          </cell>
        </row>
        <row r="3310">
          <cell r="B3310" t="str">
            <v>-</v>
          </cell>
          <cell r="E3310" t="str">
            <v/>
          </cell>
          <cell r="G3310" t="str">
            <v/>
          </cell>
          <cell r="J3310" t="str">
            <v/>
          </cell>
          <cell r="O3310" t="str">
            <v/>
          </cell>
          <cell r="P3310" t="str">
            <v/>
          </cell>
          <cell r="Q3310" t="str">
            <v/>
          </cell>
          <cell r="S3310" t="str">
            <v/>
          </cell>
          <cell r="V3310" t="str">
            <v/>
          </cell>
          <cell r="Z3310" t="str">
            <v/>
          </cell>
          <cell r="AA3310" t="str">
            <v/>
          </cell>
          <cell r="AB3310" t="str">
            <v/>
          </cell>
          <cell r="AC3310" t="str">
            <v/>
          </cell>
          <cell r="AD3310" t="str">
            <v/>
          </cell>
          <cell r="AY3310" t="str">
            <v/>
          </cell>
          <cell r="AZ3310" t="str">
            <v/>
          </cell>
          <cell r="BA3310" t="str">
            <v/>
          </cell>
        </row>
        <row r="3311">
          <cell r="B3311" t="str">
            <v>-</v>
          </cell>
          <cell r="E3311" t="str">
            <v/>
          </cell>
          <cell r="G3311" t="str">
            <v/>
          </cell>
          <cell r="J3311" t="str">
            <v/>
          </cell>
          <cell r="O3311" t="str">
            <v/>
          </cell>
          <cell r="P3311" t="str">
            <v/>
          </cell>
          <cell r="Q3311" t="str">
            <v/>
          </cell>
          <cell r="S3311" t="str">
            <v/>
          </cell>
          <cell r="V3311" t="str">
            <v/>
          </cell>
          <cell r="Z3311" t="str">
            <v/>
          </cell>
          <cell r="AA3311" t="str">
            <v/>
          </cell>
          <cell r="AB3311" t="str">
            <v/>
          </cell>
          <cell r="AC3311" t="str">
            <v/>
          </cell>
          <cell r="AD3311" t="str">
            <v/>
          </cell>
          <cell r="AY3311" t="str">
            <v/>
          </cell>
          <cell r="AZ3311" t="str">
            <v/>
          </cell>
          <cell r="BA3311" t="str">
            <v/>
          </cell>
        </row>
        <row r="3312">
          <cell r="B3312" t="str">
            <v>-</v>
          </cell>
          <cell r="E3312" t="str">
            <v/>
          </cell>
          <cell r="G3312" t="str">
            <v/>
          </cell>
          <cell r="J3312" t="str">
            <v/>
          </cell>
          <cell r="O3312" t="str">
            <v/>
          </cell>
          <cell r="P3312" t="str">
            <v/>
          </cell>
          <cell r="Q3312" t="str">
            <v/>
          </cell>
          <cell r="S3312" t="str">
            <v/>
          </cell>
          <cell r="V3312" t="str">
            <v/>
          </cell>
          <cell r="Z3312" t="str">
            <v/>
          </cell>
          <cell r="AA3312" t="str">
            <v/>
          </cell>
          <cell r="AB3312" t="str">
            <v/>
          </cell>
          <cell r="AC3312" t="str">
            <v/>
          </cell>
          <cell r="AD3312" t="str">
            <v/>
          </cell>
          <cell r="AY3312" t="str">
            <v/>
          </cell>
          <cell r="AZ3312" t="str">
            <v/>
          </cell>
          <cell r="BA3312" t="str">
            <v/>
          </cell>
        </row>
        <row r="3313">
          <cell r="B3313" t="str">
            <v>-</v>
          </cell>
          <cell r="E3313" t="str">
            <v/>
          </cell>
          <cell r="G3313" t="str">
            <v/>
          </cell>
          <cell r="J3313" t="str">
            <v/>
          </cell>
          <cell r="O3313" t="str">
            <v/>
          </cell>
          <cell r="P3313" t="str">
            <v/>
          </cell>
          <cell r="Q3313" t="str">
            <v/>
          </cell>
          <cell r="S3313" t="str">
            <v/>
          </cell>
          <cell r="V3313" t="str">
            <v/>
          </cell>
          <cell r="Z3313" t="str">
            <v/>
          </cell>
          <cell r="AA3313" t="str">
            <v/>
          </cell>
          <cell r="AB3313" t="str">
            <v/>
          </cell>
          <cell r="AC3313" t="str">
            <v/>
          </cell>
          <cell r="AD3313" t="str">
            <v/>
          </cell>
          <cell r="AY3313" t="str">
            <v/>
          </cell>
          <cell r="AZ3313" t="str">
            <v/>
          </cell>
          <cell r="BA3313" t="str">
            <v/>
          </cell>
        </row>
        <row r="3314">
          <cell r="B3314" t="str">
            <v>-</v>
          </cell>
          <cell r="E3314" t="str">
            <v/>
          </cell>
          <cell r="G3314" t="str">
            <v/>
          </cell>
          <cell r="J3314" t="str">
            <v/>
          </cell>
          <cell r="O3314" t="str">
            <v/>
          </cell>
          <cell r="P3314" t="str">
            <v/>
          </cell>
          <cell r="Q3314" t="str">
            <v/>
          </cell>
          <cell r="S3314" t="str">
            <v/>
          </cell>
          <cell r="V3314" t="str">
            <v/>
          </cell>
          <cell r="Z3314" t="str">
            <v/>
          </cell>
          <cell r="AA3314" t="str">
            <v/>
          </cell>
          <cell r="AB3314" t="str">
            <v/>
          </cell>
          <cell r="AC3314" t="str">
            <v/>
          </cell>
          <cell r="AD3314" t="str">
            <v/>
          </cell>
          <cell r="AY3314" t="str">
            <v/>
          </cell>
          <cell r="AZ3314" t="str">
            <v/>
          </cell>
          <cell r="BA3314" t="str">
            <v/>
          </cell>
        </row>
        <row r="3315">
          <cell r="B3315" t="str">
            <v>-</v>
          </cell>
          <cell r="E3315" t="str">
            <v/>
          </cell>
          <cell r="G3315" t="str">
            <v/>
          </cell>
          <cell r="J3315" t="str">
            <v/>
          </cell>
          <cell r="O3315" t="str">
            <v/>
          </cell>
          <cell r="P3315" t="str">
            <v/>
          </cell>
          <cell r="Q3315" t="str">
            <v/>
          </cell>
          <cell r="S3315" t="str">
            <v/>
          </cell>
          <cell r="V3315" t="str">
            <v/>
          </cell>
          <cell r="Z3315" t="str">
            <v/>
          </cell>
          <cell r="AA3315" t="str">
            <v/>
          </cell>
          <cell r="AB3315" t="str">
            <v/>
          </cell>
          <cell r="AC3315" t="str">
            <v/>
          </cell>
          <cell r="AD3315" t="str">
            <v/>
          </cell>
          <cell r="AY3315" t="str">
            <v/>
          </cell>
          <cell r="AZ3315" t="str">
            <v/>
          </cell>
          <cell r="BA3315" t="str">
            <v/>
          </cell>
        </row>
        <row r="3316">
          <cell r="B3316" t="str">
            <v>-</v>
          </cell>
          <cell r="E3316" t="str">
            <v/>
          </cell>
          <cell r="G3316" t="str">
            <v/>
          </cell>
          <cell r="J3316" t="str">
            <v/>
          </cell>
          <cell r="O3316" t="str">
            <v/>
          </cell>
          <cell r="P3316" t="str">
            <v/>
          </cell>
          <cell r="Q3316" t="str">
            <v/>
          </cell>
          <cell r="S3316" t="str">
            <v/>
          </cell>
          <cell r="V3316" t="str">
            <v/>
          </cell>
          <cell r="Z3316" t="str">
            <v/>
          </cell>
          <cell r="AA3316" t="str">
            <v/>
          </cell>
          <cell r="AB3316" t="str">
            <v/>
          </cell>
          <cell r="AC3316" t="str">
            <v/>
          </cell>
          <cell r="AD3316" t="str">
            <v/>
          </cell>
          <cell r="AY3316" t="str">
            <v/>
          </cell>
          <cell r="AZ3316" t="str">
            <v/>
          </cell>
          <cell r="BA3316" t="str">
            <v/>
          </cell>
        </row>
        <row r="3317">
          <cell r="B3317" t="str">
            <v>-</v>
          </cell>
          <cell r="E3317" t="str">
            <v/>
          </cell>
          <cell r="G3317" t="str">
            <v/>
          </cell>
          <cell r="J3317" t="str">
            <v/>
          </cell>
          <cell r="O3317" t="str">
            <v/>
          </cell>
          <cell r="P3317" t="str">
            <v/>
          </cell>
          <cell r="Q3317" t="str">
            <v/>
          </cell>
          <cell r="S3317" t="str">
            <v/>
          </cell>
          <cell r="V3317" t="str">
            <v/>
          </cell>
          <cell r="Z3317" t="str">
            <v/>
          </cell>
          <cell r="AA3317" t="str">
            <v/>
          </cell>
          <cell r="AB3317" t="str">
            <v/>
          </cell>
          <cell r="AC3317" t="str">
            <v/>
          </cell>
          <cell r="AD3317" t="str">
            <v/>
          </cell>
          <cell r="AY3317" t="str">
            <v/>
          </cell>
          <cell r="AZ3317" t="str">
            <v/>
          </cell>
          <cell r="BA3317" t="str">
            <v/>
          </cell>
        </row>
        <row r="3318">
          <cell r="B3318" t="str">
            <v>-</v>
          </cell>
          <cell r="E3318" t="str">
            <v/>
          </cell>
          <cell r="G3318" t="str">
            <v/>
          </cell>
          <cell r="J3318" t="str">
            <v/>
          </cell>
          <cell r="O3318" t="str">
            <v/>
          </cell>
          <cell r="P3318" t="str">
            <v/>
          </cell>
          <cell r="Q3318" t="str">
            <v/>
          </cell>
          <cell r="S3318" t="str">
            <v/>
          </cell>
          <cell r="V3318" t="str">
            <v/>
          </cell>
          <cell r="Z3318" t="str">
            <v/>
          </cell>
          <cell r="AA3318" t="str">
            <v/>
          </cell>
          <cell r="AB3318" t="str">
            <v/>
          </cell>
          <cell r="AC3318" t="str">
            <v/>
          </cell>
          <cell r="AD3318" t="str">
            <v/>
          </cell>
          <cell r="AY3318" t="str">
            <v/>
          </cell>
          <cell r="AZ3318" t="str">
            <v/>
          </cell>
          <cell r="BA3318" t="str">
            <v/>
          </cell>
        </row>
        <row r="3319">
          <cell r="B3319" t="str">
            <v>-</v>
          </cell>
          <cell r="E3319" t="str">
            <v/>
          </cell>
          <cell r="G3319" t="str">
            <v/>
          </cell>
          <cell r="J3319" t="str">
            <v/>
          </cell>
          <cell r="O3319" t="str">
            <v/>
          </cell>
          <cell r="P3319" t="str">
            <v/>
          </cell>
          <cell r="Q3319" t="str">
            <v/>
          </cell>
          <cell r="S3319" t="str">
            <v/>
          </cell>
          <cell r="V3319" t="str">
            <v/>
          </cell>
          <cell r="Z3319" t="str">
            <v/>
          </cell>
          <cell r="AA3319" t="str">
            <v/>
          </cell>
          <cell r="AB3319" t="str">
            <v/>
          </cell>
          <cell r="AC3319" t="str">
            <v/>
          </cell>
          <cell r="AD3319" t="str">
            <v/>
          </cell>
          <cell r="AY3319" t="str">
            <v/>
          </cell>
          <cell r="AZ3319" t="str">
            <v/>
          </cell>
          <cell r="BA3319" t="str">
            <v/>
          </cell>
        </row>
        <row r="3320">
          <cell r="B3320" t="str">
            <v>-</v>
          </cell>
          <cell r="E3320" t="str">
            <v/>
          </cell>
          <cell r="G3320" t="str">
            <v/>
          </cell>
          <cell r="J3320" t="str">
            <v/>
          </cell>
          <cell r="O3320" t="str">
            <v/>
          </cell>
          <cell r="P3320" t="str">
            <v/>
          </cell>
          <cell r="Q3320" t="str">
            <v/>
          </cell>
          <cell r="S3320" t="str">
            <v/>
          </cell>
          <cell r="V3320" t="str">
            <v/>
          </cell>
          <cell r="Z3320" t="str">
            <v/>
          </cell>
          <cell r="AA3320" t="str">
            <v/>
          </cell>
          <cell r="AB3320" t="str">
            <v/>
          </cell>
          <cell r="AC3320" t="str">
            <v/>
          </cell>
          <cell r="AD3320" t="str">
            <v/>
          </cell>
          <cell r="AY3320" t="str">
            <v/>
          </cell>
          <cell r="AZ3320" t="str">
            <v/>
          </cell>
          <cell r="BA3320" t="str">
            <v/>
          </cell>
        </row>
        <row r="3321">
          <cell r="B3321" t="str">
            <v>-</v>
          </cell>
          <cell r="E3321" t="str">
            <v/>
          </cell>
          <cell r="G3321" t="str">
            <v/>
          </cell>
          <cell r="J3321" t="str">
            <v/>
          </cell>
          <cell r="O3321" t="str">
            <v/>
          </cell>
          <cell r="P3321" t="str">
            <v/>
          </cell>
          <cell r="Q3321" t="str">
            <v/>
          </cell>
          <cell r="S3321" t="str">
            <v/>
          </cell>
          <cell r="V3321" t="str">
            <v/>
          </cell>
          <cell r="Z3321" t="str">
            <v/>
          </cell>
          <cell r="AA3321" t="str">
            <v/>
          </cell>
          <cell r="AB3321" t="str">
            <v/>
          </cell>
          <cell r="AC3321" t="str">
            <v/>
          </cell>
          <cell r="AD3321" t="str">
            <v/>
          </cell>
          <cell r="AY3321" t="str">
            <v/>
          </cell>
          <cell r="AZ3321" t="str">
            <v/>
          </cell>
          <cell r="BA3321" t="str">
            <v/>
          </cell>
        </row>
        <row r="3322">
          <cell r="B3322" t="str">
            <v>-</v>
          </cell>
          <cell r="E3322" t="str">
            <v/>
          </cell>
          <cell r="G3322" t="str">
            <v/>
          </cell>
          <cell r="J3322" t="str">
            <v/>
          </cell>
          <cell r="O3322" t="str">
            <v/>
          </cell>
          <cell r="P3322" t="str">
            <v/>
          </cell>
          <cell r="Q3322" t="str">
            <v/>
          </cell>
          <cell r="S3322" t="str">
            <v/>
          </cell>
          <cell r="V3322" t="str">
            <v/>
          </cell>
          <cell r="Z3322" t="str">
            <v/>
          </cell>
          <cell r="AA3322" t="str">
            <v/>
          </cell>
          <cell r="AB3322" t="str">
            <v/>
          </cell>
          <cell r="AC3322" t="str">
            <v/>
          </cell>
          <cell r="AD3322" t="str">
            <v/>
          </cell>
          <cell r="AY3322" t="str">
            <v/>
          </cell>
          <cell r="AZ3322" t="str">
            <v/>
          </cell>
          <cell r="BA3322" t="str">
            <v/>
          </cell>
        </row>
        <row r="3323">
          <cell r="B3323" t="str">
            <v>-</v>
          </cell>
          <cell r="E3323" t="str">
            <v/>
          </cell>
          <cell r="G3323" t="str">
            <v/>
          </cell>
          <cell r="J3323" t="str">
            <v/>
          </cell>
          <cell r="O3323" t="str">
            <v/>
          </cell>
          <cell r="P3323" t="str">
            <v/>
          </cell>
          <cell r="Q3323" t="str">
            <v/>
          </cell>
          <cell r="S3323" t="str">
            <v/>
          </cell>
          <cell r="V3323" t="str">
            <v/>
          </cell>
          <cell r="Z3323" t="str">
            <v/>
          </cell>
          <cell r="AA3323" t="str">
            <v/>
          </cell>
          <cell r="AB3323" t="str">
            <v/>
          </cell>
          <cell r="AC3323" t="str">
            <v/>
          </cell>
          <cell r="AD3323" t="str">
            <v/>
          </cell>
          <cell r="AY3323" t="str">
            <v/>
          </cell>
          <cell r="AZ3323" t="str">
            <v/>
          </cell>
          <cell r="BA3323" t="str">
            <v/>
          </cell>
        </row>
        <row r="3324">
          <cell r="B3324" t="str">
            <v>-</v>
          </cell>
          <cell r="E3324" t="str">
            <v/>
          </cell>
          <cell r="G3324" t="str">
            <v/>
          </cell>
          <cell r="J3324" t="str">
            <v/>
          </cell>
          <cell r="O3324" t="str">
            <v/>
          </cell>
          <cell r="P3324" t="str">
            <v/>
          </cell>
          <cell r="Q3324" t="str">
            <v/>
          </cell>
          <cell r="S3324" t="str">
            <v/>
          </cell>
          <cell r="V3324" t="str">
            <v/>
          </cell>
          <cell r="Z3324" t="str">
            <v/>
          </cell>
          <cell r="AA3324" t="str">
            <v/>
          </cell>
          <cell r="AB3324" t="str">
            <v/>
          </cell>
          <cell r="AC3324" t="str">
            <v/>
          </cell>
          <cell r="AD3324" t="str">
            <v/>
          </cell>
          <cell r="AY3324" t="str">
            <v/>
          </cell>
          <cell r="AZ3324" t="str">
            <v/>
          </cell>
          <cell r="BA3324" t="str">
            <v/>
          </cell>
        </row>
        <row r="3325">
          <cell r="B3325" t="str">
            <v>-</v>
          </cell>
          <cell r="E3325" t="str">
            <v/>
          </cell>
          <cell r="G3325" t="str">
            <v/>
          </cell>
          <cell r="J3325" t="str">
            <v/>
          </cell>
          <cell r="O3325" t="str">
            <v/>
          </cell>
          <cell r="P3325" t="str">
            <v/>
          </cell>
          <cell r="Q3325" t="str">
            <v/>
          </cell>
          <cell r="S3325" t="str">
            <v/>
          </cell>
          <cell r="V3325" t="str">
            <v/>
          </cell>
          <cell r="Z3325" t="str">
            <v/>
          </cell>
          <cell r="AA3325" t="str">
            <v/>
          </cell>
          <cell r="AB3325" t="str">
            <v/>
          </cell>
          <cell r="AC3325" t="str">
            <v/>
          </cell>
          <cell r="AD3325" t="str">
            <v/>
          </cell>
          <cell r="AY3325" t="str">
            <v/>
          </cell>
          <cell r="AZ3325" t="str">
            <v/>
          </cell>
          <cell r="BA3325" t="str">
            <v/>
          </cell>
        </row>
        <row r="3326">
          <cell r="B3326" t="str">
            <v>-</v>
          </cell>
          <cell r="E3326" t="str">
            <v/>
          </cell>
          <cell r="G3326" t="str">
            <v/>
          </cell>
          <cell r="J3326" t="str">
            <v/>
          </cell>
          <cell r="O3326" t="str">
            <v/>
          </cell>
          <cell r="P3326" t="str">
            <v/>
          </cell>
          <cell r="Q3326" t="str">
            <v/>
          </cell>
          <cell r="S3326" t="str">
            <v/>
          </cell>
          <cell r="V3326" t="str">
            <v/>
          </cell>
          <cell r="Z3326" t="str">
            <v/>
          </cell>
          <cell r="AA3326" t="str">
            <v/>
          </cell>
          <cell r="AB3326" t="str">
            <v/>
          </cell>
          <cell r="AC3326" t="str">
            <v/>
          </cell>
          <cell r="AD3326" t="str">
            <v/>
          </cell>
          <cell r="AY3326" t="str">
            <v/>
          </cell>
          <cell r="AZ3326" t="str">
            <v/>
          </cell>
          <cell r="BA3326" t="str">
            <v/>
          </cell>
        </row>
        <row r="3327">
          <cell r="B3327" t="str">
            <v>-</v>
          </cell>
          <cell r="E3327" t="str">
            <v/>
          </cell>
          <cell r="G3327" t="str">
            <v/>
          </cell>
          <cell r="J3327" t="str">
            <v/>
          </cell>
          <cell r="O3327" t="str">
            <v/>
          </cell>
          <cell r="P3327" t="str">
            <v/>
          </cell>
          <cell r="Q3327" t="str">
            <v/>
          </cell>
          <cell r="S3327" t="str">
            <v/>
          </cell>
          <cell r="V3327" t="str">
            <v/>
          </cell>
          <cell r="Z3327" t="str">
            <v/>
          </cell>
          <cell r="AA3327" t="str">
            <v/>
          </cell>
          <cell r="AB3327" t="str">
            <v/>
          </cell>
          <cell r="AC3327" t="str">
            <v/>
          </cell>
          <cell r="AD3327" t="str">
            <v/>
          </cell>
          <cell r="AY3327" t="str">
            <v/>
          </cell>
          <cell r="AZ3327" t="str">
            <v/>
          </cell>
          <cell r="BA3327" t="str">
            <v/>
          </cell>
        </row>
        <row r="3328">
          <cell r="B3328" t="str">
            <v>-</v>
          </cell>
          <cell r="E3328" t="str">
            <v/>
          </cell>
          <cell r="G3328" t="str">
            <v/>
          </cell>
          <cell r="J3328" t="str">
            <v/>
          </cell>
          <cell r="O3328" t="str">
            <v/>
          </cell>
          <cell r="P3328" t="str">
            <v/>
          </cell>
          <cell r="Q3328" t="str">
            <v/>
          </cell>
          <cell r="S3328" t="str">
            <v/>
          </cell>
          <cell r="V3328" t="str">
            <v/>
          </cell>
          <cell r="Z3328" t="str">
            <v/>
          </cell>
          <cell r="AA3328" t="str">
            <v/>
          </cell>
          <cell r="AB3328" t="str">
            <v/>
          </cell>
          <cell r="AC3328" t="str">
            <v/>
          </cell>
          <cell r="AD3328" t="str">
            <v/>
          </cell>
          <cell r="AY3328" t="str">
            <v/>
          </cell>
          <cell r="AZ3328" t="str">
            <v/>
          </cell>
          <cell r="BA3328" t="str">
            <v/>
          </cell>
        </row>
        <row r="3329">
          <cell r="B3329" t="str">
            <v>-</v>
          </cell>
          <cell r="E3329" t="str">
            <v/>
          </cell>
          <cell r="G3329" t="str">
            <v/>
          </cell>
          <cell r="J3329" t="str">
            <v/>
          </cell>
          <cell r="O3329" t="str">
            <v/>
          </cell>
          <cell r="P3329" t="str">
            <v/>
          </cell>
          <cell r="Q3329" t="str">
            <v/>
          </cell>
          <cell r="S3329" t="str">
            <v/>
          </cell>
          <cell r="V3329" t="str">
            <v/>
          </cell>
          <cell r="Z3329" t="str">
            <v/>
          </cell>
          <cell r="AA3329" t="str">
            <v/>
          </cell>
          <cell r="AB3329" t="str">
            <v/>
          </cell>
          <cell r="AC3329" t="str">
            <v/>
          </cell>
          <cell r="AD3329" t="str">
            <v/>
          </cell>
          <cell r="AY3329" t="str">
            <v/>
          </cell>
          <cell r="AZ3329" t="str">
            <v/>
          </cell>
          <cell r="BA3329" t="str">
            <v/>
          </cell>
        </row>
        <row r="3330">
          <cell r="B3330" t="str">
            <v>-</v>
          </cell>
          <cell r="E3330" t="str">
            <v/>
          </cell>
          <cell r="G3330" t="str">
            <v/>
          </cell>
          <cell r="J3330" t="str">
            <v/>
          </cell>
          <cell r="O3330" t="str">
            <v/>
          </cell>
          <cell r="P3330" t="str">
            <v/>
          </cell>
          <cell r="Q3330" t="str">
            <v/>
          </cell>
          <cell r="S3330" t="str">
            <v/>
          </cell>
          <cell r="V3330" t="str">
            <v/>
          </cell>
          <cell r="Z3330" t="str">
            <v/>
          </cell>
          <cell r="AA3330" t="str">
            <v/>
          </cell>
          <cell r="AB3330" t="str">
            <v/>
          </cell>
          <cell r="AC3330" t="str">
            <v/>
          </cell>
          <cell r="AD3330" t="str">
            <v/>
          </cell>
          <cell r="AY3330" t="str">
            <v/>
          </cell>
          <cell r="AZ3330" t="str">
            <v/>
          </cell>
          <cell r="BA3330" t="str">
            <v/>
          </cell>
        </row>
        <row r="3331">
          <cell r="B3331" t="str">
            <v>-</v>
          </cell>
          <cell r="E3331" t="str">
            <v/>
          </cell>
          <cell r="G3331" t="str">
            <v/>
          </cell>
          <cell r="J3331" t="str">
            <v/>
          </cell>
          <cell r="O3331" t="str">
            <v/>
          </cell>
          <cell r="P3331" t="str">
            <v/>
          </cell>
          <cell r="Q3331" t="str">
            <v/>
          </cell>
          <cell r="S3331" t="str">
            <v/>
          </cell>
          <cell r="V3331" t="str">
            <v/>
          </cell>
          <cell r="Z3331" t="str">
            <v/>
          </cell>
          <cell r="AA3331" t="str">
            <v/>
          </cell>
          <cell r="AB3331" t="str">
            <v/>
          </cell>
          <cell r="AC3331" t="str">
            <v/>
          </cell>
          <cell r="AD3331" t="str">
            <v/>
          </cell>
          <cell r="AY3331" t="str">
            <v/>
          </cell>
          <cell r="AZ3331" t="str">
            <v/>
          </cell>
          <cell r="BA3331" t="str">
            <v/>
          </cell>
        </row>
        <row r="3332">
          <cell r="B3332" t="str">
            <v>-</v>
          </cell>
          <cell r="E3332" t="str">
            <v/>
          </cell>
          <cell r="G3332" t="str">
            <v/>
          </cell>
          <cell r="J3332" t="str">
            <v/>
          </cell>
          <cell r="O3332" t="str">
            <v/>
          </cell>
          <cell r="P3332" t="str">
            <v/>
          </cell>
          <cell r="Q3332" t="str">
            <v/>
          </cell>
          <cell r="S3332" t="str">
            <v/>
          </cell>
          <cell r="V3332" t="str">
            <v/>
          </cell>
          <cell r="Z3332" t="str">
            <v/>
          </cell>
          <cell r="AA3332" t="str">
            <v/>
          </cell>
          <cell r="AB3332" t="str">
            <v/>
          </cell>
          <cell r="AC3332" t="str">
            <v/>
          </cell>
          <cell r="AD3332" t="str">
            <v/>
          </cell>
          <cell r="AY3332" t="str">
            <v/>
          </cell>
          <cell r="AZ3332" t="str">
            <v/>
          </cell>
          <cell r="BA3332" t="str">
            <v/>
          </cell>
        </row>
        <row r="3333">
          <cell r="B3333" t="str">
            <v>-</v>
          </cell>
          <cell r="E3333" t="str">
            <v/>
          </cell>
          <cell r="G3333" t="str">
            <v/>
          </cell>
          <cell r="J3333" t="str">
            <v/>
          </cell>
          <cell r="O3333" t="str">
            <v/>
          </cell>
          <cell r="P3333" t="str">
            <v/>
          </cell>
          <cell r="Q3333" t="str">
            <v/>
          </cell>
          <cell r="S3333" t="str">
            <v/>
          </cell>
          <cell r="V3333" t="str">
            <v/>
          </cell>
          <cell r="Z3333" t="str">
            <v/>
          </cell>
          <cell r="AA3333" t="str">
            <v/>
          </cell>
          <cell r="AB3333" t="str">
            <v/>
          </cell>
          <cell r="AC3333" t="str">
            <v/>
          </cell>
          <cell r="AD3333" t="str">
            <v/>
          </cell>
          <cell r="AY3333" t="str">
            <v/>
          </cell>
          <cell r="AZ3333" t="str">
            <v/>
          </cell>
          <cell r="BA3333" t="str">
            <v/>
          </cell>
        </row>
        <row r="3334">
          <cell r="B3334" t="str">
            <v>-</v>
          </cell>
          <cell r="E3334" t="str">
            <v/>
          </cell>
          <cell r="G3334" t="str">
            <v/>
          </cell>
          <cell r="J3334" t="str">
            <v/>
          </cell>
          <cell r="O3334" t="str">
            <v/>
          </cell>
          <cell r="P3334" t="str">
            <v/>
          </cell>
          <cell r="Q3334" t="str">
            <v/>
          </cell>
          <cell r="S3334" t="str">
            <v/>
          </cell>
          <cell r="V3334" t="str">
            <v/>
          </cell>
          <cell r="Z3334" t="str">
            <v/>
          </cell>
          <cell r="AA3334" t="str">
            <v/>
          </cell>
          <cell r="AB3334" t="str">
            <v/>
          </cell>
          <cell r="AC3334" t="str">
            <v/>
          </cell>
          <cell r="AD3334" t="str">
            <v/>
          </cell>
          <cell r="AY3334" t="str">
            <v/>
          </cell>
          <cell r="AZ3334" t="str">
            <v/>
          </cell>
          <cell r="BA3334" t="str">
            <v/>
          </cell>
        </row>
        <row r="3335">
          <cell r="B3335" t="str">
            <v>-</v>
          </cell>
          <cell r="E3335" t="str">
            <v/>
          </cell>
          <cell r="G3335" t="str">
            <v/>
          </cell>
          <cell r="J3335" t="str">
            <v/>
          </cell>
          <cell r="O3335" t="str">
            <v/>
          </cell>
          <cell r="P3335" t="str">
            <v/>
          </cell>
          <cell r="Q3335" t="str">
            <v/>
          </cell>
          <cell r="S3335" t="str">
            <v/>
          </cell>
          <cell r="V3335" t="str">
            <v/>
          </cell>
          <cell r="Z3335" t="str">
            <v/>
          </cell>
          <cell r="AA3335" t="str">
            <v/>
          </cell>
          <cell r="AB3335" t="str">
            <v/>
          </cell>
          <cell r="AC3335" t="str">
            <v/>
          </cell>
          <cell r="AD3335" t="str">
            <v/>
          </cell>
          <cell r="AY3335" t="str">
            <v/>
          </cell>
          <cell r="AZ3335" t="str">
            <v/>
          </cell>
          <cell r="BA3335" t="str">
            <v/>
          </cell>
        </row>
        <row r="3336">
          <cell r="B3336" t="str">
            <v>-</v>
          </cell>
          <cell r="E3336" t="str">
            <v/>
          </cell>
          <cell r="G3336" t="str">
            <v/>
          </cell>
          <cell r="J3336" t="str">
            <v/>
          </cell>
          <cell r="O3336" t="str">
            <v/>
          </cell>
          <cell r="P3336" t="str">
            <v/>
          </cell>
          <cell r="Q3336" t="str">
            <v/>
          </cell>
          <cell r="S3336" t="str">
            <v/>
          </cell>
          <cell r="V3336" t="str">
            <v/>
          </cell>
          <cell r="Z3336" t="str">
            <v/>
          </cell>
          <cell r="AA3336" t="str">
            <v/>
          </cell>
          <cell r="AB3336" t="str">
            <v/>
          </cell>
          <cell r="AC3336" t="str">
            <v/>
          </cell>
          <cell r="AD3336" t="str">
            <v/>
          </cell>
          <cell r="AY3336" t="str">
            <v/>
          </cell>
          <cell r="AZ3336" t="str">
            <v/>
          </cell>
          <cell r="BA3336" t="str">
            <v/>
          </cell>
        </row>
        <row r="3337">
          <cell r="B3337" t="str">
            <v>-</v>
          </cell>
          <cell r="E3337" t="str">
            <v/>
          </cell>
          <cell r="G3337" t="str">
            <v/>
          </cell>
          <cell r="J3337" t="str">
            <v/>
          </cell>
          <cell r="O3337" t="str">
            <v/>
          </cell>
          <cell r="P3337" t="str">
            <v/>
          </cell>
          <cell r="Q3337" t="str">
            <v/>
          </cell>
          <cell r="S3337" t="str">
            <v/>
          </cell>
          <cell r="V3337" t="str">
            <v/>
          </cell>
          <cell r="Z3337" t="str">
            <v/>
          </cell>
          <cell r="AA3337" t="str">
            <v/>
          </cell>
          <cell r="AB3337" t="str">
            <v/>
          </cell>
          <cell r="AC3337" t="str">
            <v/>
          </cell>
          <cell r="AD3337" t="str">
            <v/>
          </cell>
          <cell r="AY3337" t="str">
            <v/>
          </cell>
          <cell r="AZ3337" t="str">
            <v/>
          </cell>
          <cell r="BA3337" t="str">
            <v/>
          </cell>
        </row>
        <row r="3338">
          <cell r="B3338" t="str">
            <v>-</v>
          </cell>
          <cell r="E3338" t="str">
            <v/>
          </cell>
          <cell r="G3338" t="str">
            <v/>
          </cell>
          <cell r="J3338" t="str">
            <v/>
          </cell>
          <cell r="O3338" t="str">
            <v/>
          </cell>
          <cell r="P3338" t="str">
            <v/>
          </cell>
          <cell r="Q3338" t="str">
            <v/>
          </cell>
          <cell r="S3338" t="str">
            <v/>
          </cell>
          <cell r="V3338" t="str">
            <v/>
          </cell>
          <cell r="Z3338" t="str">
            <v/>
          </cell>
          <cell r="AA3338" t="str">
            <v/>
          </cell>
          <cell r="AB3338" t="str">
            <v/>
          </cell>
          <cell r="AC3338" t="str">
            <v/>
          </cell>
          <cell r="AD3338" t="str">
            <v/>
          </cell>
          <cell r="AY3338" t="str">
            <v/>
          </cell>
          <cell r="AZ3338" t="str">
            <v/>
          </cell>
          <cell r="BA3338" t="str">
            <v/>
          </cell>
        </row>
        <row r="3339">
          <cell r="B3339" t="str">
            <v>-</v>
          </cell>
          <cell r="E3339" t="str">
            <v/>
          </cell>
          <cell r="G3339" t="str">
            <v/>
          </cell>
          <cell r="J3339" t="str">
            <v/>
          </cell>
          <cell r="O3339" t="str">
            <v/>
          </cell>
          <cell r="P3339" t="str">
            <v/>
          </cell>
          <cell r="Q3339" t="str">
            <v/>
          </cell>
          <cell r="S3339" t="str">
            <v/>
          </cell>
          <cell r="V3339" t="str">
            <v/>
          </cell>
          <cell r="Z3339" t="str">
            <v/>
          </cell>
          <cell r="AA3339" t="str">
            <v/>
          </cell>
          <cell r="AB3339" t="str">
            <v/>
          </cell>
          <cell r="AC3339" t="str">
            <v/>
          </cell>
          <cell r="AD3339" t="str">
            <v/>
          </cell>
          <cell r="AY3339" t="str">
            <v/>
          </cell>
          <cell r="AZ3339" t="str">
            <v/>
          </cell>
          <cell r="BA3339" t="str">
            <v/>
          </cell>
        </row>
        <row r="3340">
          <cell r="B3340" t="str">
            <v>-</v>
          </cell>
          <cell r="E3340" t="str">
            <v/>
          </cell>
          <cell r="G3340" t="str">
            <v/>
          </cell>
          <cell r="J3340" t="str">
            <v/>
          </cell>
          <cell r="O3340" t="str">
            <v/>
          </cell>
          <cell r="P3340" t="str">
            <v/>
          </cell>
          <cell r="Q3340" t="str">
            <v/>
          </cell>
          <cell r="S3340" t="str">
            <v/>
          </cell>
          <cell r="V3340" t="str">
            <v/>
          </cell>
          <cell r="Z3340" t="str">
            <v/>
          </cell>
          <cell r="AA3340" t="str">
            <v/>
          </cell>
          <cell r="AB3340" t="str">
            <v/>
          </cell>
          <cell r="AC3340" t="str">
            <v/>
          </cell>
          <cell r="AD3340" t="str">
            <v/>
          </cell>
          <cell r="AY3340" t="str">
            <v/>
          </cell>
          <cell r="AZ3340" t="str">
            <v/>
          </cell>
          <cell r="BA3340" t="str">
            <v/>
          </cell>
        </row>
        <row r="3341">
          <cell r="B3341" t="str">
            <v>-</v>
          </cell>
          <cell r="E3341" t="str">
            <v/>
          </cell>
          <cell r="G3341" t="str">
            <v/>
          </cell>
          <cell r="J3341" t="str">
            <v/>
          </cell>
          <cell r="O3341" t="str">
            <v/>
          </cell>
          <cell r="P3341" t="str">
            <v/>
          </cell>
          <cell r="Q3341" t="str">
            <v/>
          </cell>
          <cell r="S3341" t="str">
            <v/>
          </cell>
          <cell r="V3341" t="str">
            <v/>
          </cell>
          <cell r="Z3341" t="str">
            <v/>
          </cell>
          <cell r="AA3341" t="str">
            <v/>
          </cell>
          <cell r="AB3341" t="str">
            <v/>
          </cell>
          <cell r="AC3341" t="str">
            <v/>
          </cell>
          <cell r="AD3341" t="str">
            <v/>
          </cell>
          <cell r="AY3341" t="str">
            <v/>
          </cell>
          <cell r="AZ3341" t="str">
            <v/>
          </cell>
          <cell r="BA3341" t="str">
            <v/>
          </cell>
        </row>
        <row r="3342">
          <cell r="B3342" t="str">
            <v>-</v>
          </cell>
          <cell r="E3342" t="str">
            <v/>
          </cell>
          <cell r="G3342" t="str">
            <v/>
          </cell>
          <cell r="J3342" t="str">
            <v/>
          </cell>
          <cell r="O3342" t="str">
            <v/>
          </cell>
          <cell r="P3342" t="str">
            <v/>
          </cell>
          <cell r="Q3342" t="str">
            <v/>
          </cell>
          <cell r="S3342" t="str">
            <v/>
          </cell>
          <cell r="V3342" t="str">
            <v/>
          </cell>
          <cell r="Z3342" t="str">
            <v/>
          </cell>
          <cell r="AA3342" t="str">
            <v/>
          </cell>
          <cell r="AB3342" t="str">
            <v/>
          </cell>
          <cell r="AC3342" t="str">
            <v/>
          </cell>
          <cell r="AD3342" t="str">
            <v/>
          </cell>
          <cell r="AY3342" t="str">
            <v/>
          </cell>
          <cell r="AZ3342" t="str">
            <v/>
          </cell>
          <cell r="BA3342" t="str">
            <v/>
          </cell>
        </row>
        <row r="3343">
          <cell r="B3343" t="str">
            <v>-</v>
          </cell>
          <cell r="E3343" t="str">
            <v/>
          </cell>
          <cell r="G3343" t="str">
            <v/>
          </cell>
          <cell r="J3343" t="str">
            <v/>
          </cell>
          <cell r="O3343" t="str">
            <v/>
          </cell>
          <cell r="P3343" t="str">
            <v/>
          </cell>
          <cell r="Q3343" t="str">
            <v/>
          </cell>
          <cell r="S3343" t="str">
            <v/>
          </cell>
          <cell r="V3343" t="str">
            <v/>
          </cell>
          <cell r="Z3343" t="str">
            <v/>
          </cell>
          <cell r="AA3343" t="str">
            <v/>
          </cell>
          <cell r="AB3343" t="str">
            <v/>
          </cell>
          <cell r="AC3343" t="str">
            <v/>
          </cell>
          <cell r="AD3343" t="str">
            <v/>
          </cell>
          <cell r="AY3343" t="str">
            <v/>
          </cell>
          <cell r="AZ3343" t="str">
            <v/>
          </cell>
          <cell r="BA3343" t="str">
            <v/>
          </cell>
        </row>
        <row r="3344">
          <cell r="B3344" t="str">
            <v>-</v>
          </cell>
          <cell r="E3344" t="str">
            <v/>
          </cell>
          <cell r="G3344" t="str">
            <v/>
          </cell>
          <cell r="J3344" t="str">
            <v/>
          </cell>
          <cell r="O3344" t="str">
            <v/>
          </cell>
          <cell r="P3344" t="str">
            <v/>
          </cell>
          <cell r="Q3344" t="str">
            <v/>
          </cell>
          <cell r="S3344" t="str">
            <v/>
          </cell>
          <cell r="V3344" t="str">
            <v/>
          </cell>
          <cell r="Z3344" t="str">
            <v/>
          </cell>
          <cell r="AA3344" t="str">
            <v/>
          </cell>
          <cell r="AB3344" t="str">
            <v/>
          </cell>
          <cell r="AC3344" t="str">
            <v/>
          </cell>
          <cell r="AD3344" t="str">
            <v/>
          </cell>
          <cell r="AY3344" t="str">
            <v/>
          </cell>
          <cell r="AZ3344" t="str">
            <v/>
          </cell>
          <cell r="BA3344" t="str">
            <v/>
          </cell>
        </row>
        <row r="3345">
          <cell r="B3345" t="str">
            <v>-</v>
          </cell>
          <cell r="E3345" t="str">
            <v/>
          </cell>
          <cell r="G3345" t="str">
            <v/>
          </cell>
          <cell r="J3345" t="str">
            <v/>
          </cell>
          <cell r="O3345" t="str">
            <v/>
          </cell>
          <cell r="P3345" t="str">
            <v/>
          </cell>
          <cell r="Q3345" t="str">
            <v/>
          </cell>
          <cell r="S3345" t="str">
            <v/>
          </cell>
          <cell r="V3345" t="str">
            <v/>
          </cell>
          <cell r="Z3345" t="str">
            <v/>
          </cell>
          <cell r="AA3345" t="str">
            <v/>
          </cell>
          <cell r="AB3345" t="str">
            <v/>
          </cell>
          <cell r="AC3345" t="str">
            <v/>
          </cell>
          <cell r="AD3345" t="str">
            <v/>
          </cell>
          <cell r="AY3345" t="str">
            <v/>
          </cell>
          <cell r="AZ3345" t="str">
            <v/>
          </cell>
          <cell r="BA3345" t="str">
            <v/>
          </cell>
        </row>
        <row r="3346">
          <cell r="B3346" t="str">
            <v>-</v>
          </cell>
          <cell r="E3346" t="str">
            <v/>
          </cell>
          <cell r="G3346" t="str">
            <v/>
          </cell>
          <cell r="J3346" t="str">
            <v/>
          </cell>
          <cell r="O3346" t="str">
            <v/>
          </cell>
          <cell r="P3346" t="str">
            <v/>
          </cell>
          <cell r="Q3346" t="str">
            <v/>
          </cell>
          <cell r="S3346" t="str">
            <v/>
          </cell>
          <cell r="V3346" t="str">
            <v/>
          </cell>
          <cell r="Z3346" t="str">
            <v/>
          </cell>
          <cell r="AA3346" t="str">
            <v/>
          </cell>
          <cell r="AB3346" t="str">
            <v/>
          </cell>
          <cell r="AC3346" t="str">
            <v/>
          </cell>
          <cell r="AD3346" t="str">
            <v/>
          </cell>
          <cell r="AY3346" t="str">
            <v/>
          </cell>
          <cell r="AZ3346" t="str">
            <v/>
          </cell>
          <cell r="BA3346" t="str">
            <v/>
          </cell>
        </row>
        <row r="3347">
          <cell r="B3347" t="str">
            <v>-</v>
          </cell>
          <cell r="E3347" t="str">
            <v/>
          </cell>
          <cell r="G3347" t="str">
            <v/>
          </cell>
          <cell r="J3347" t="str">
            <v/>
          </cell>
          <cell r="O3347" t="str">
            <v/>
          </cell>
          <cell r="P3347" t="str">
            <v/>
          </cell>
          <cell r="Q3347" t="str">
            <v/>
          </cell>
          <cell r="S3347" t="str">
            <v/>
          </cell>
          <cell r="V3347" t="str">
            <v/>
          </cell>
          <cell r="Z3347" t="str">
            <v/>
          </cell>
          <cell r="AA3347" t="str">
            <v/>
          </cell>
          <cell r="AB3347" t="str">
            <v/>
          </cell>
          <cell r="AC3347" t="str">
            <v/>
          </cell>
          <cell r="AD3347" t="str">
            <v/>
          </cell>
          <cell r="AY3347" t="str">
            <v/>
          </cell>
          <cell r="AZ3347" t="str">
            <v/>
          </cell>
          <cell r="BA3347" t="str">
            <v/>
          </cell>
        </row>
        <row r="3348">
          <cell r="B3348" t="str">
            <v>-</v>
          </cell>
          <cell r="E3348" t="str">
            <v/>
          </cell>
          <cell r="G3348" t="str">
            <v/>
          </cell>
          <cell r="J3348" t="str">
            <v/>
          </cell>
          <cell r="O3348" t="str">
            <v/>
          </cell>
          <cell r="P3348" t="str">
            <v/>
          </cell>
          <cell r="Q3348" t="str">
            <v/>
          </cell>
          <cell r="S3348" t="str">
            <v/>
          </cell>
          <cell r="V3348" t="str">
            <v/>
          </cell>
          <cell r="Z3348" t="str">
            <v/>
          </cell>
          <cell r="AA3348" t="str">
            <v/>
          </cell>
          <cell r="AB3348" t="str">
            <v/>
          </cell>
          <cell r="AC3348" t="str">
            <v/>
          </cell>
          <cell r="AD3348" t="str">
            <v/>
          </cell>
          <cell r="AY3348" t="str">
            <v/>
          </cell>
          <cell r="AZ3348" t="str">
            <v/>
          </cell>
          <cell r="BA3348" t="str">
            <v/>
          </cell>
        </row>
        <row r="3349">
          <cell r="B3349" t="str">
            <v>-</v>
          </cell>
          <cell r="E3349" t="str">
            <v/>
          </cell>
          <cell r="G3349" t="str">
            <v/>
          </cell>
          <cell r="J3349" t="str">
            <v/>
          </cell>
          <cell r="O3349" t="str">
            <v/>
          </cell>
          <cell r="P3349" t="str">
            <v/>
          </cell>
          <cell r="Q3349" t="str">
            <v/>
          </cell>
          <cell r="S3349" t="str">
            <v/>
          </cell>
          <cell r="V3349" t="str">
            <v/>
          </cell>
          <cell r="Z3349" t="str">
            <v/>
          </cell>
          <cell r="AA3349" t="str">
            <v/>
          </cell>
          <cell r="AB3349" t="str">
            <v/>
          </cell>
          <cell r="AC3349" t="str">
            <v/>
          </cell>
          <cell r="AD3349" t="str">
            <v/>
          </cell>
          <cell r="AY3349" t="str">
            <v/>
          </cell>
          <cell r="AZ3349" t="str">
            <v/>
          </cell>
          <cell r="BA3349" t="str">
            <v/>
          </cell>
        </row>
        <row r="3350">
          <cell r="B3350" t="str">
            <v>-</v>
          </cell>
          <cell r="E3350" t="str">
            <v/>
          </cell>
          <cell r="G3350" t="str">
            <v/>
          </cell>
          <cell r="J3350" t="str">
            <v/>
          </cell>
          <cell r="O3350" t="str">
            <v/>
          </cell>
          <cell r="P3350" t="str">
            <v/>
          </cell>
          <cell r="Q3350" t="str">
            <v/>
          </cell>
          <cell r="S3350" t="str">
            <v/>
          </cell>
          <cell r="V3350" t="str">
            <v/>
          </cell>
          <cell r="Z3350" t="str">
            <v/>
          </cell>
          <cell r="AA3350" t="str">
            <v/>
          </cell>
          <cell r="AB3350" t="str">
            <v/>
          </cell>
          <cell r="AC3350" t="str">
            <v/>
          </cell>
          <cell r="AD3350" t="str">
            <v/>
          </cell>
          <cell r="AY3350" t="str">
            <v/>
          </cell>
          <cell r="AZ3350" t="str">
            <v/>
          </cell>
          <cell r="BA3350" t="str">
            <v/>
          </cell>
        </row>
        <row r="3351">
          <cell r="B3351" t="str">
            <v>-</v>
          </cell>
          <cell r="E3351" t="str">
            <v/>
          </cell>
          <cell r="G3351" t="str">
            <v/>
          </cell>
          <cell r="J3351" t="str">
            <v/>
          </cell>
          <cell r="O3351" t="str">
            <v/>
          </cell>
          <cell r="P3351" t="str">
            <v/>
          </cell>
          <cell r="Q3351" t="str">
            <v/>
          </cell>
          <cell r="S3351" t="str">
            <v/>
          </cell>
          <cell r="V3351" t="str">
            <v/>
          </cell>
          <cell r="Z3351" t="str">
            <v/>
          </cell>
          <cell r="AA3351" t="str">
            <v/>
          </cell>
          <cell r="AB3351" t="str">
            <v/>
          </cell>
          <cell r="AC3351" t="str">
            <v/>
          </cell>
          <cell r="AD3351" t="str">
            <v/>
          </cell>
          <cell r="AY3351" t="str">
            <v/>
          </cell>
          <cell r="AZ3351" t="str">
            <v/>
          </cell>
          <cell r="BA3351" t="str">
            <v/>
          </cell>
        </row>
        <row r="3352">
          <cell r="B3352" t="str">
            <v>-</v>
          </cell>
          <cell r="E3352" t="str">
            <v/>
          </cell>
          <cell r="G3352" t="str">
            <v/>
          </cell>
          <cell r="J3352" t="str">
            <v/>
          </cell>
          <cell r="O3352" t="str">
            <v/>
          </cell>
          <cell r="P3352" t="str">
            <v/>
          </cell>
          <cell r="Q3352" t="str">
            <v/>
          </cell>
          <cell r="S3352" t="str">
            <v/>
          </cell>
          <cell r="V3352" t="str">
            <v/>
          </cell>
          <cell r="Z3352" t="str">
            <v/>
          </cell>
          <cell r="AA3352" t="str">
            <v/>
          </cell>
          <cell r="AB3352" t="str">
            <v/>
          </cell>
          <cell r="AC3352" t="str">
            <v/>
          </cell>
          <cell r="AD3352" t="str">
            <v/>
          </cell>
          <cell r="AY3352" t="str">
            <v/>
          </cell>
          <cell r="AZ3352" t="str">
            <v/>
          </cell>
          <cell r="BA3352" t="str">
            <v/>
          </cell>
        </row>
        <row r="3353">
          <cell r="B3353" t="str">
            <v>-</v>
          </cell>
          <cell r="E3353" t="str">
            <v/>
          </cell>
          <cell r="G3353" t="str">
            <v/>
          </cell>
          <cell r="J3353" t="str">
            <v/>
          </cell>
          <cell r="O3353" t="str">
            <v/>
          </cell>
          <cell r="P3353" t="str">
            <v/>
          </cell>
          <cell r="Q3353" t="str">
            <v/>
          </cell>
          <cell r="S3353" t="str">
            <v/>
          </cell>
          <cell r="V3353" t="str">
            <v/>
          </cell>
          <cell r="Z3353" t="str">
            <v/>
          </cell>
          <cell r="AA3353" t="str">
            <v/>
          </cell>
          <cell r="AB3353" t="str">
            <v/>
          </cell>
          <cell r="AC3353" t="str">
            <v/>
          </cell>
          <cell r="AD3353" t="str">
            <v/>
          </cell>
          <cell r="AY3353" t="str">
            <v/>
          </cell>
          <cell r="AZ3353" t="str">
            <v/>
          </cell>
          <cell r="BA3353" t="str">
            <v/>
          </cell>
        </row>
        <row r="3354">
          <cell r="B3354" t="str">
            <v>-</v>
          </cell>
          <cell r="E3354" t="str">
            <v/>
          </cell>
          <cell r="G3354" t="str">
            <v/>
          </cell>
          <cell r="J3354" t="str">
            <v/>
          </cell>
          <cell r="O3354" t="str">
            <v/>
          </cell>
          <cell r="P3354" t="str">
            <v/>
          </cell>
          <cell r="Q3354" t="str">
            <v/>
          </cell>
          <cell r="S3354" t="str">
            <v/>
          </cell>
          <cell r="V3354" t="str">
            <v/>
          </cell>
          <cell r="Z3354" t="str">
            <v/>
          </cell>
          <cell r="AA3354" t="str">
            <v/>
          </cell>
          <cell r="AB3354" t="str">
            <v/>
          </cell>
          <cell r="AC3354" t="str">
            <v/>
          </cell>
          <cell r="AD3354" t="str">
            <v/>
          </cell>
          <cell r="AY3354" t="str">
            <v/>
          </cell>
          <cell r="AZ3354" t="str">
            <v/>
          </cell>
          <cell r="BA3354" t="str">
            <v/>
          </cell>
        </row>
        <row r="3355">
          <cell r="B3355" t="str">
            <v>-</v>
          </cell>
          <cell r="E3355" t="str">
            <v/>
          </cell>
          <cell r="G3355" t="str">
            <v/>
          </cell>
          <cell r="J3355" t="str">
            <v/>
          </cell>
          <cell r="O3355" t="str">
            <v/>
          </cell>
          <cell r="P3355" t="str">
            <v/>
          </cell>
          <cell r="Q3355" t="str">
            <v/>
          </cell>
          <cell r="S3355" t="str">
            <v/>
          </cell>
          <cell r="V3355" t="str">
            <v/>
          </cell>
          <cell r="Z3355" t="str">
            <v/>
          </cell>
          <cell r="AA3355" t="str">
            <v/>
          </cell>
          <cell r="AB3355" t="str">
            <v/>
          </cell>
          <cell r="AC3355" t="str">
            <v/>
          </cell>
          <cell r="AD3355" t="str">
            <v/>
          </cell>
          <cell r="AY3355" t="str">
            <v/>
          </cell>
          <cell r="AZ3355" t="str">
            <v/>
          </cell>
          <cell r="BA3355" t="str">
            <v/>
          </cell>
        </row>
        <row r="3356">
          <cell r="B3356" t="str">
            <v>-</v>
          </cell>
          <cell r="E3356" t="str">
            <v/>
          </cell>
          <cell r="G3356" t="str">
            <v/>
          </cell>
          <cell r="J3356" t="str">
            <v/>
          </cell>
          <cell r="O3356" t="str">
            <v/>
          </cell>
          <cell r="P3356" t="str">
            <v/>
          </cell>
          <cell r="Q3356" t="str">
            <v/>
          </cell>
          <cell r="S3356" t="str">
            <v/>
          </cell>
          <cell r="V3356" t="str">
            <v/>
          </cell>
          <cell r="Z3356" t="str">
            <v/>
          </cell>
          <cell r="AA3356" t="str">
            <v/>
          </cell>
          <cell r="AB3356" t="str">
            <v/>
          </cell>
          <cell r="AC3356" t="str">
            <v/>
          </cell>
          <cell r="AD3356" t="str">
            <v/>
          </cell>
          <cell r="AY3356" t="str">
            <v/>
          </cell>
          <cell r="AZ3356" t="str">
            <v/>
          </cell>
          <cell r="BA3356" t="str">
            <v/>
          </cell>
        </row>
        <row r="3357">
          <cell r="B3357" t="str">
            <v>-</v>
          </cell>
          <cell r="E3357" t="str">
            <v/>
          </cell>
          <cell r="G3357" t="str">
            <v/>
          </cell>
          <cell r="J3357" t="str">
            <v/>
          </cell>
          <cell r="O3357" t="str">
            <v/>
          </cell>
          <cell r="P3357" t="str">
            <v/>
          </cell>
          <cell r="Q3357" t="str">
            <v/>
          </cell>
          <cell r="S3357" t="str">
            <v/>
          </cell>
          <cell r="V3357" t="str">
            <v/>
          </cell>
          <cell r="Z3357" t="str">
            <v/>
          </cell>
          <cell r="AA3357" t="str">
            <v/>
          </cell>
          <cell r="AB3357" t="str">
            <v/>
          </cell>
          <cell r="AC3357" t="str">
            <v/>
          </cell>
          <cell r="AD3357" t="str">
            <v/>
          </cell>
          <cell r="AY3357" t="str">
            <v/>
          </cell>
          <cell r="AZ3357" t="str">
            <v/>
          </cell>
          <cell r="BA3357" t="str">
            <v/>
          </cell>
        </row>
        <row r="3358">
          <cell r="B3358" t="str">
            <v>-</v>
          </cell>
          <cell r="E3358" t="str">
            <v/>
          </cell>
          <cell r="G3358" t="str">
            <v/>
          </cell>
          <cell r="J3358" t="str">
            <v/>
          </cell>
          <cell r="O3358" t="str">
            <v/>
          </cell>
          <cell r="P3358" t="str">
            <v/>
          </cell>
          <cell r="Q3358" t="str">
            <v/>
          </cell>
          <cell r="S3358" t="str">
            <v/>
          </cell>
          <cell r="V3358" t="str">
            <v/>
          </cell>
          <cell r="Z3358" t="str">
            <v/>
          </cell>
          <cell r="AA3358" t="str">
            <v/>
          </cell>
          <cell r="AB3358" t="str">
            <v/>
          </cell>
          <cell r="AC3358" t="str">
            <v/>
          </cell>
          <cell r="AD3358" t="str">
            <v/>
          </cell>
          <cell r="AY3358" t="str">
            <v/>
          </cell>
          <cell r="AZ3358" t="str">
            <v/>
          </cell>
          <cell r="BA3358" t="str">
            <v/>
          </cell>
        </row>
        <row r="3359">
          <cell r="B3359" t="str">
            <v>-</v>
          </cell>
          <cell r="E3359" t="str">
            <v/>
          </cell>
          <cell r="G3359" t="str">
            <v/>
          </cell>
          <cell r="J3359" t="str">
            <v/>
          </cell>
          <cell r="O3359" t="str">
            <v/>
          </cell>
          <cell r="P3359" t="str">
            <v/>
          </cell>
          <cell r="Q3359" t="str">
            <v/>
          </cell>
          <cell r="S3359" t="str">
            <v/>
          </cell>
          <cell r="V3359" t="str">
            <v/>
          </cell>
          <cell r="Z3359" t="str">
            <v/>
          </cell>
          <cell r="AA3359" t="str">
            <v/>
          </cell>
          <cell r="AB3359" t="str">
            <v/>
          </cell>
          <cell r="AC3359" t="str">
            <v/>
          </cell>
          <cell r="AD3359" t="str">
            <v/>
          </cell>
          <cell r="AY3359" t="str">
            <v/>
          </cell>
          <cell r="AZ3359" t="str">
            <v/>
          </cell>
          <cell r="BA3359" t="str">
            <v/>
          </cell>
        </row>
        <row r="3360">
          <cell r="B3360" t="str">
            <v>-</v>
          </cell>
          <cell r="E3360" t="str">
            <v/>
          </cell>
          <cell r="G3360" t="str">
            <v/>
          </cell>
          <cell r="J3360" t="str">
            <v/>
          </cell>
          <cell r="O3360" t="str">
            <v/>
          </cell>
          <cell r="P3360" t="str">
            <v/>
          </cell>
          <cell r="Q3360" t="str">
            <v/>
          </cell>
          <cell r="S3360" t="str">
            <v/>
          </cell>
          <cell r="V3360" t="str">
            <v/>
          </cell>
          <cell r="Z3360" t="str">
            <v/>
          </cell>
          <cell r="AA3360" t="str">
            <v/>
          </cell>
          <cell r="AB3360" t="str">
            <v/>
          </cell>
          <cell r="AC3360" t="str">
            <v/>
          </cell>
          <cell r="AD3360" t="str">
            <v/>
          </cell>
          <cell r="AY3360" t="str">
            <v/>
          </cell>
          <cell r="AZ3360" t="str">
            <v/>
          </cell>
          <cell r="BA3360" t="str">
            <v/>
          </cell>
        </row>
        <row r="3361">
          <cell r="B3361" t="str">
            <v>-</v>
          </cell>
          <cell r="E3361" t="str">
            <v/>
          </cell>
          <cell r="G3361" t="str">
            <v/>
          </cell>
          <cell r="J3361" t="str">
            <v/>
          </cell>
          <cell r="O3361" t="str">
            <v/>
          </cell>
          <cell r="P3361" t="str">
            <v/>
          </cell>
          <cell r="Q3361" t="str">
            <v/>
          </cell>
          <cell r="S3361" t="str">
            <v/>
          </cell>
          <cell r="V3361" t="str">
            <v/>
          </cell>
          <cell r="Z3361" t="str">
            <v/>
          </cell>
          <cell r="AA3361" t="str">
            <v/>
          </cell>
          <cell r="AB3361" t="str">
            <v/>
          </cell>
          <cell r="AC3361" t="str">
            <v/>
          </cell>
          <cell r="AD3361" t="str">
            <v/>
          </cell>
          <cell r="AY3361" t="str">
            <v/>
          </cell>
          <cell r="AZ3361" t="str">
            <v/>
          </cell>
          <cell r="BA3361" t="str">
            <v/>
          </cell>
        </row>
        <row r="3362">
          <cell r="B3362" t="str">
            <v>-</v>
          </cell>
          <cell r="E3362" t="str">
            <v/>
          </cell>
          <cell r="G3362" t="str">
            <v/>
          </cell>
          <cell r="J3362" t="str">
            <v/>
          </cell>
          <cell r="O3362" t="str">
            <v/>
          </cell>
          <cell r="P3362" t="str">
            <v/>
          </cell>
          <cell r="Q3362" t="str">
            <v/>
          </cell>
          <cell r="S3362" t="str">
            <v/>
          </cell>
          <cell r="V3362" t="str">
            <v/>
          </cell>
          <cell r="Z3362" t="str">
            <v/>
          </cell>
          <cell r="AA3362" t="str">
            <v/>
          </cell>
          <cell r="AB3362" t="str">
            <v/>
          </cell>
          <cell r="AC3362" t="str">
            <v/>
          </cell>
          <cell r="AD3362" t="str">
            <v/>
          </cell>
          <cell r="AY3362" t="str">
            <v/>
          </cell>
          <cell r="AZ3362" t="str">
            <v/>
          </cell>
          <cell r="BA3362" t="str">
            <v/>
          </cell>
        </row>
        <row r="3363">
          <cell r="B3363" t="str">
            <v>-</v>
          </cell>
          <cell r="E3363" t="str">
            <v/>
          </cell>
          <cell r="G3363" t="str">
            <v/>
          </cell>
          <cell r="J3363" t="str">
            <v/>
          </cell>
          <cell r="O3363" t="str">
            <v/>
          </cell>
          <cell r="P3363" t="str">
            <v/>
          </cell>
          <cell r="Q3363" t="str">
            <v/>
          </cell>
          <cell r="S3363" t="str">
            <v/>
          </cell>
          <cell r="V3363" t="str">
            <v/>
          </cell>
          <cell r="Z3363" t="str">
            <v/>
          </cell>
          <cell r="AA3363" t="str">
            <v/>
          </cell>
          <cell r="AB3363" t="str">
            <v/>
          </cell>
          <cell r="AC3363" t="str">
            <v/>
          </cell>
          <cell r="AD3363" t="str">
            <v/>
          </cell>
          <cell r="AY3363" t="str">
            <v/>
          </cell>
          <cell r="AZ3363" t="str">
            <v/>
          </cell>
          <cell r="BA3363" t="str">
            <v/>
          </cell>
        </row>
        <row r="3364">
          <cell r="B3364" t="str">
            <v>-</v>
          </cell>
          <cell r="E3364" t="str">
            <v/>
          </cell>
          <cell r="G3364" t="str">
            <v/>
          </cell>
          <cell r="J3364" t="str">
            <v/>
          </cell>
          <cell r="O3364" t="str">
            <v/>
          </cell>
          <cell r="P3364" t="str">
            <v/>
          </cell>
          <cell r="Q3364" t="str">
            <v/>
          </cell>
          <cell r="S3364" t="str">
            <v/>
          </cell>
          <cell r="V3364" t="str">
            <v/>
          </cell>
          <cell r="Z3364" t="str">
            <v/>
          </cell>
          <cell r="AA3364" t="str">
            <v/>
          </cell>
          <cell r="AB3364" t="str">
            <v/>
          </cell>
          <cell r="AC3364" t="str">
            <v/>
          </cell>
          <cell r="AD3364" t="str">
            <v/>
          </cell>
          <cell r="AY3364" t="str">
            <v/>
          </cell>
          <cell r="AZ3364" t="str">
            <v/>
          </cell>
          <cell r="BA3364" t="str">
            <v/>
          </cell>
        </row>
        <row r="3365">
          <cell r="B3365" t="str">
            <v>-</v>
          </cell>
          <cell r="E3365" t="str">
            <v/>
          </cell>
          <cell r="G3365" t="str">
            <v/>
          </cell>
          <cell r="J3365" t="str">
            <v/>
          </cell>
          <cell r="O3365" t="str">
            <v/>
          </cell>
          <cell r="P3365" t="str">
            <v/>
          </cell>
          <cell r="Q3365" t="str">
            <v/>
          </cell>
          <cell r="S3365" t="str">
            <v/>
          </cell>
          <cell r="V3365" t="str">
            <v/>
          </cell>
          <cell r="Z3365" t="str">
            <v/>
          </cell>
          <cell r="AA3365" t="str">
            <v/>
          </cell>
          <cell r="AB3365" t="str">
            <v/>
          </cell>
          <cell r="AC3365" t="str">
            <v/>
          </cell>
          <cell r="AD3365" t="str">
            <v/>
          </cell>
          <cell r="AY3365" t="str">
            <v/>
          </cell>
          <cell r="AZ3365" t="str">
            <v/>
          </cell>
          <cell r="BA3365" t="str">
            <v/>
          </cell>
        </row>
        <row r="3366">
          <cell r="B3366" t="str">
            <v>-</v>
          </cell>
          <cell r="E3366" t="str">
            <v/>
          </cell>
          <cell r="G3366" t="str">
            <v/>
          </cell>
          <cell r="J3366" t="str">
            <v/>
          </cell>
          <cell r="O3366" t="str">
            <v/>
          </cell>
          <cell r="P3366" t="str">
            <v/>
          </cell>
          <cell r="Q3366" t="str">
            <v/>
          </cell>
          <cell r="S3366" t="str">
            <v/>
          </cell>
          <cell r="V3366" t="str">
            <v/>
          </cell>
          <cell r="Z3366" t="str">
            <v/>
          </cell>
          <cell r="AA3366" t="str">
            <v/>
          </cell>
          <cell r="AB3366" t="str">
            <v/>
          </cell>
          <cell r="AC3366" t="str">
            <v/>
          </cell>
          <cell r="AD3366" t="str">
            <v/>
          </cell>
          <cell r="AY3366" t="str">
            <v/>
          </cell>
          <cell r="AZ3366" t="str">
            <v/>
          </cell>
          <cell r="BA3366" t="str">
            <v/>
          </cell>
        </row>
        <row r="3367">
          <cell r="B3367" t="str">
            <v>-</v>
          </cell>
          <cell r="E3367" t="str">
            <v/>
          </cell>
          <cell r="G3367" t="str">
            <v/>
          </cell>
          <cell r="J3367" t="str">
            <v/>
          </cell>
          <cell r="O3367" t="str">
            <v/>
          </cell>
          <cell r="P3367" t="str">
            <v/>
          </cell>
          <cell r="Q3367" t="str">
            <v/>
          </cell>
          <cell r="S3367" t="str">
            <v/>
          </cell>
          <cell r="V3367" t="str">
            <v/>
          </cell>
          <cell r="Z3367" t="str">
            <v/>
          </cell>
          <cell r="AA3367" t="str">
            <v/>
          </cell>
          <cell r="AB3367" t="str">
            <v/>
          </cell>
          <cell r="AC3367" t="str">
            <v/>
          </cell>
          <cell r="AD3367" t="str">
            <v/>
          </cell>
          <cell r="AY3367" t="str">
            <v/>
          </cell>
          <cell r="AZ3367" t="str">
            <v/>
          </cell>
          <cell r="BA3367" t="str">
            <v/>
          </cell>
        </row>
        <row r="3368">
          <cell r="B3368" t="str">
            <v>-</v>
          </cell>
          <cell r="E3368" t="str">
            <v/>
          </cell>
          <cell r="G3368" t="str">
            <v/>
          </cell>
          <cell r="J3368" t="str">
            <v/>
          </cell>
          <cell r="O3368" t="str">
            <v/>
          </cell>
          <cell r="P3368" t="str">
            <v/>
          </cell>
          <cell r="Q3368" t="str">
            <v/>
          </cell>
          <cell r="S3368" t="str">
            <v/>
          </cell>
          <cell r="V3368" t="str">
            <v/>
          </cell>
          <cell r="Z3368" t="str">
            <v/>
          </cell>
          <cell r="AA3368" t="str">
            <v/>
          </cell>
          <cell r="AB3368" t="str">
            <v/>
          </cell>
          <cell r="AC3368" t="str">
            <v/>
          </cell>
          <cell r="AD3368" t="str">
            <v/>
          </cell>
          <cell r="AY3368" t="str">
            <v/>
          </cell>
          <cell r="AZ3368" t="str">
            <v/>
          </cell>
          <cell r="BA3368" t="str">
            <v/>
          </cell>
        </row>
        <row r="3369">
          <cell r="B3369" t="str">
            <v>-</v>
          </cell>
          <cell r="E3369" t="str">
            <v/>
          </cell>
          <cell r="G3369" t="str">
            <v/>
          </cell>
          <cell r="J3369" t="str">
            <v/>
          </cell>
          <cell r="O3369" t="str">
            <v/>
          </cell>
          <cell r="P3369" t="str">
            <v/>
          </cell>
          <cell r="Q3369" t="str">
            <v/>
          </cell>
          <cell r="S3369" t="str">
            <v/>
          </cell>
          <cell r="V3369" t="str">
            <v/>
          </cell>
          <cell r="Z3369" t="str">
            <v/>
          </cell>
          <cell r="AA3369" t="str">
            <v/>
          </cell>
          <cell r="AB3369" t="str">
            <v/>
          </cell>
          <cell r="AC3369" t="str">
            <v/>
          </cell>
          <cell r="AD3369" t="str">
            <v/>
          </cell>
          <cell r="AY3369" t="str">
            <v/>
          </cell>
          <cell r="AZ3369" t="str">
            <v/>
          </cell>
          <cell r="BA3369" t="str">
            <v/>
          </cell>
        </row>
        <row r="3370">
          <cell r="B3370" t="str">
            <v>-</v>
          </cell>
          <cell r="E3370" t="str">
            <v/>
          </cell>
          <cell r="G3370" t="str">
            <v/>
          </cell>
          <cell r="J3370" t="str">
            <v/>
          </cell>
          <cell r="O3370" t="str">
            <v/>
          </cell>
          <cell r="P3370" t="str">
            <v/>
          </cell>
          <cell r="Q3370" t="str">
            <v/>
          </cell>
          <cell r="S3370" t="str">
            <v/>
          </cell>
          <cell r="V3370" t="str">
            <v/>
          </cell>
          <cell r="Z3370" t="str">
            <v/>
          </cell>
          <cell r="AA3370" t="str">
            <v/>
          </cell>
          <cell r="AB3370" t="str">
            <v/>
          </cell>
          <cell r="AC3370" t="str">
            <v/>
          </cell>
          <cell r="AD3370" t="str">
            <v/>
          </cell>
          <cell r="AY3370" t="str">
            <v/>
          </cell>
          <cell r="AZ3370" t="str">
            <v/>
          </cell>
          <cell r="BA3370" t="str">
            <v/>
          </cell>
        </row>
        <row r="3371">
          <cell r="B3371" t="str">
            <v>-</v>
          </cell>
          <cell r="E3371" t="str">
            <v/>
          </cell>
          <cell r="G3371" t="str">
            <v/>
          </cell>
          <cell r="J3371" t="str">
            <v/>
          </cell>
          <cell r="O3371" t="str">
            <v/>
          </cell>
          <cell r="P3371" t="str">
            <v/>
          </cell>
          <cell r="Q3371" t="str">
            <v/>
          </cell>
          <cell r="S3371" t="str">
            <v/>
          </cell>
          <cell r="V3371" t="str">
            <v/>
          </cell>
          <cell r="Z3371" t="str">
            <v/>
          </cell>
          <cell r="AA3371" t="str">
            <v/>
          </cell>
          <cell r="AB3371" t="str">
            <v/>
          </cell>
          <cell r="AC3371" t="str">
            <v/>
          </cell>
          <cell r="AD3371" t="str">
            <v/>
          </cell>
          <cell r="AY3371" t="str">
            <v/>
          </cell>
          <cell r="AZ3371" t="str">
            <v/>
          </cell>
          <cell r="BA3371" t="str">
            <v/>
          </cell>
        </row>
        <row r="3372">
          <cell r="B3372" t="str">
            <v>-</v>
          </cell>
          <cell r="E3372" t="str">
            <v/>
          </cell>
          <cell r="G3372" t="str">
            <v/>
          </cell>
          <cell r="J3372" t="str">
            <v/>
          </cell>
          <cell r="O3372" t="str">
            <v/>
          </cell>
          <cell r="P3372" t="str">
            <v/>
          </cell>
          <cell r="Q3372" t="str">
            <v/>
          </cell>
          <cell r="S3372" t="str">
            <v/>
          </cell>
          <cell r="V3372" t="str">
            <v/>
          </cell>
          <cell r="Z3372" t="str">
            <v/>
          </cell>
          <cell r="AA3372" t="str">
            <v/>
          </cell>
          <cell r="AB3372" t="str">
            <v/>
          </cell>
          <cell r="AC3372" t="str">
            <v/>
          </cell>
          <cell r="AD3372" t="str">
            <v/>
          </cell>
          <cell r="AY3372" t="str">
            <v/>
          </cell>
          <cell r="AZ3372" t="str">
            <v/>
          </cell>
          <cell r="BA3372" t="str">
            <v/>
          </cell>
        </row>
        <row r="3373">
          <cell r="B3373" t="str">
            <v>-</v>
          </cell>
          <cell r="E3373" t="str">
            <v/>
          </cell>
          <cell r="G3373" t="str">
            <v/>
          </cell>
          <cell r="J3373" t="str">
            <v/>
          </cell>
          <cell r="O3373" t="str">
            <v/>
          </cell>
          <cell r="P3373" t="str">
            <v/>
          </cell>
          <cell r="Q3373" t="str">
            <v/>
          </cell>
          <cell r="S3373" t="str">
            <v/>
          </cell>
          <cell r="V3373" t="str">
            <v/>
          </cell>
          <cell r="Z3373" t="str">
            <v/>
          </cell>
          <cell r="AA3373" t="str">
            <v/>
          </cell>
          <cell r="AB3373" t="str">
            <v/>
          </cell>
          <cell r="AC3373" t="str">
            <v/>
          </cell>
          <cell r="AD3373" t="str">
            <v/>
          </cell>
          <cell r="AY3373" t="str">
            <v/>
          </cell>
          <cell r="AZ3373" t="str">
            <v/>
          </cell>
          <cell r="BA3373" t="str">
            <v/>
          </cell>
        </row>
        <row r="3374">
          <cell r="B3374" t="str">
            <v>-</v>
          </cell>
          <cell r="E3374" t="str">
            <v/>
          </cell>
          <cell r="G3374" t="str">
            <v/>
          </cell>
          <cell r="J3374" t="str">
            <v/>
          </cell>
          <cell r="O3374" t="str">
            <v/>
          </cell>
          <cell r="P3374" t="str">
            <v/>
          </cell>
          <cell r="Q3374" t="str">
            <v/>
          </cell>
          <cell r="S3374" t="str">
            <v/>
          </cell>
          <cell r="V3374" t="str">
            <v/>
          </cell>
          <cell r="Z3374" t="str">
            <v/>
          </cell>
          <cell r="AA3374" t="str">
            <v/>
          </cell>
          <cell r="AB3374" t="str">
            <v/>
          </cell>
          <cell r="AC3374" t="str">
            <v/>
          </cell>
          <cell r="AD3374" t="str">
            <v/>
          </cell>
          <cell r="AY3374" t="str">
            <v/>
          </cell>
          <cell r="AZ3374" t="str">
            <v/>
          </cell>
          <cell r="BA3374" t="str">
            <v/>
          </cell>
        </row>
        <row r="3375">
          <cell r="B3375" t="str">
            <v>-</v>
          </cell>
          <cell r="E3375" t="str">
            <v/>
          </cell>
          <cell r="G3375" t="str">
            <v/>
          </cell>
          <cell r="J3375" t="str">
            <v/>
          </cell>
          <cell r="O3375" t="str">
            <v/>
          </cell>
          <cell r="P3375" t="str">
            <v/>
          </cell>
          <cell r="Q3375" t="str">
            <v/>
          </cell>
          <cell r="S3375" t="str">
            <v/>
          </cell>
          <cell r="V3375" t="str">
            <v/>
          </cell>
          <cell r="Z3375" t="str">
            <v/>
          </cell>
          <cell r="AA3375" t="str">
            <v/>
          </cell>
          <cell r="AB3375" t="str">
            <v/>
          </cell>
          <cell r="AC3375" t="str">
            <v/>
          </cell>
          <cell r="AD3375" t="str">
            <v/>
          </cell>
          <cell r="AY3375" t="str">
            <v/>
          </cell>
          <cell r="AZ3375" t="str">
            <v/>
          </cell>
          <cell r="BA3375" t="str">
            <v/>
          </cell>
        </row>
        <row r="3376">
          <cell r="B3376" t="str">
            <v>-</v>
          </cell>
          <cell r="E3376" t="str">
            <v/>
          </cell>
          <cell r="G3376" t="str">
            <v/>
          </cell>
          <cell r="J3376" t="str">
            <v/>
          </cell>
          <cell r="O3376" t="str">
            <v/>
          </cell>
          <cell r="P3376" t="str">
            <v/>
          </cell>
          <cell r="Q3376" t="str">
            <v/>
          </cell>
          <cell r="S3376" t="str">
            <v/>
          </cell>
          <cell r="V3376" t="str">
            <v/>
          </cell>
          <cell r="Z3376" t="str">
            <v/>
          </cell>
          <cell r="AA3376" t="str">
            <v/>
          </cell>
          <cell r="AB3376" t="str">
            <v/>
          </cell>
          <cell r="AC3376" t="str">
            <v/>
          </cell>
          <cell r="AD3376" t="str">
            <v/>
          </cell>
          <cell r="AY3376" t="str">
            <v/>
          </cell>
          <cell r="AZ3376" t="str">
            <v/>
          </cell>
          <cell r="BA3376" t="str">
            <v/>
          </cell>
        </row>
        <row r="3377">
          <cell r="B3377" t="str">
            <v>-</v>
          </cell>
          <cell r="E3377" t="str">
            <v/>
          </cell>
          <cell r="G3377" t="str">
            <v/>
          </cell>
          <cell r="J3377" t="str">
            <v/>
          </cell>
          <cell r="O3377" t="str">
            <v/>
          </cell>
          <cell r="P3377" t="str">
            <v/>
          </cell>
          <cell r="Q3377" t="str">
            <v/>
          </cell>
          <cell r="S3377" t="str">
            <v/>
          </cell>
          <cell r="V3377" t="str">
            <v/>
          </cell>
          <cell r="Z3377" t="str">
            <v/>
          </cell>
          <cell r="AA3377" t="str">
            <v/>
          </cell>
          <cell r="AB3377" t="str">
            <v/>
          </cell>
          <cell r="AC3377" t="str">
            <v/>
          </cell>
          <cell r="AD3377" t="str">
            <v/>
          </cell>
          <cell r="AY3377" t="str">
            <v/>
          </cell>
          <cell r="AZ3377" t="str">
            <v/>
          </cell>
          <cell r="BA3377" t="str">
            <v/>
          </cell>
        </row>
        <row r="3378">
          <cell r="B3378" t="str">
            <v>-</v>
          </cell>
          <cell r="E3378" t="str">
            <v/>
          </cell>
          <cell r="G3378" t="str">
            <v/>
          </cell>
          <cell r="J3378" t="str">
            <v/>
          </cell>
          <cell r="O3378" t="str">
            <v/>
          </cell>
          <cell r="P3378" t="str">
            <v/>
          </cell>
          <cell r="Q3378" t="str">
            <v/>
          </cell>
          <cell r="S3378" t="str">
            <v/>
          </cell>
          <cell r="V3378" t="str">
            <v/>
          </cell>
          <cell r="Z3378" t="str">
            <v/>
          </cell>
          <cell r="AA3378" t="str">
            <v/>
          </cell>
          <cell r="AB3378" t="str">
            <v/>
          </cell>
          <cell r="AC3378" t="str">
            <v/>
          </cell>
          <cell r="AD3378" t="str">
            <v/>
          </cell>
          <cell r="AY3378" t="str">
            <v/>
          </cell>
          <cell r="AZ3378" t="str">
            <v/>
          </cell>
          <cell r="BA3378" t="str">
            <v/>
          </cell>
        </row>
        <row r="3379">
          <cell r="B3379" t="str">
            <v>-</v>
          </cell>
          <cell r="E3379" t="str">
            <v/>
          </cell>
          <cell r="G3379" t="str">
            <v/>
          </cell>
          <cell r="J3379" t="str">
            <v/>
          </cell>
          <cell r="O3379" t="str">
            <v/>
          </cell>
          <cell r="P3379" t="str">
            <v/>
          </cell>
          <cell r="Q3379" t="str">
            <v/>
          </cell>
          <cell r="S3379" t="str">
            <v/>
          </cell>
          <cell r="V3379" t="str">
            <v/>
          </cell>
          <cell r="Z3379" t="str">
            <v/>
          </cell>
          <cell r="AA3379" t="str">
            <v/>
          </cell>
          <cell r="AB3379" t="str">
            <v/>
          </cell>
          <cell r="AC3379" t="str">
            <v/>
          </cell>
          <cell r="AD3379" t="str">
            <v/>
          </cell>
          <cell r="AY3379" t="str">
            <v/>
          </cell>
          <cell r="AZ3379" t="str">
            <v/>
          </cell>
          <cell r="BA3379" t="str">
            <v/>
          </cell>
        </row>
        <row r="3380">
          <cell r="B3380" t="str">
            <v>-</v>
          </cell>
          <cell r="E3380" t="str">
            <v/>
          </cell>
          <cell r="G3380" t="str">
            <v/>
          </cell>
          <cell r="J3380" t="str">
            <v/>
          </cell>
          <cell r="O3380" t="str">
            <v/>
          </cell>
          <cell r="P3380" t="str">
            <v/>
          </cell>
          <cell r="Q3380" t="str">
            <v/>
          </cell>
          <cell r="S3380" t="str">
            <v/>
          </cell>
          <cell r="V3380" t="str">
            <v/>
          </cell>
          <cell r="Z3380" t="str">
            <v/>
          </cell>
          <cell r="AA3380" t="str">
            <v/>
          </cell>
          <cell r="AB3380" t="str">
            <v/>
          </cell>
          <cell r="AC3380" t="str">
            <v/>
          </cell>
          <cell r="AD3380" t="str">
            <v/>
          </cell>
          <cell r="AY3380" t="str">
            <v/>
          </cell>
          <cell r="AZ3380" t="str">
            <v/>
          </cell>
          <cell r="BA3380" t="str">
            <v/>
          </cell>
        </row>
        <row r="3381">
          <cell r="B3381" t="str">
            <v>-</v>
          </cell>
          <cell r="E3381" t="str">
            <v/>
          </cell>
          <cell r="G3381" t="str">
            <v/>
          </cell>
          <cell r="J3381" t="str">
            <v/>
          </cell>
          <cell r="O3381" t="str">
            <v/>
          </cell>
          <cell r="P3381" t="str">
            <v/>
          </cell>
          <cell r="Q3381" t="str">
            <v/>
          </cell>
          <cell r="S3381" t="str">
            <v/>
          </cell>
          <cell r="V3381" t="str">
            <v/>
          </cell>
          <cell r="Z3381" t="str">
            <v/>
          </cell>
          <cell r="AA3381" t="str">
            <v/>
          </cell>
          <cell r="AB3381" t="str">
            <v/>
          </cell>
          <cell r="AC3381" t="str">
            <v/>
          </cell>
          <cell r="AD3381" t="str">
            <v/>
          </cell>
          <cell r="AY3381" t="str">
            <v/>
          </cell>
          <cell r="AZ3381" t="str">
            <v/>
          </cell>
          <cell r="BA3381" t="str">
            <v/>
          </cell>
        </row>
        <row r="3382">
          <cell r="B3382" t="str">
            <v>-</v>
          </cell>
          <cell r="E3382" t="str">
            <v/>
          </cell>
          <cell r="G3382" t="str">
            <v/>
          </cell>
          <cell r="J3382" t="str">
            <v/>
          </cell>
          <cell r="O3382" t="str">
            <v/>
          </cell>
          <cell r="P3382" t="str">
            <v/>
          </cell>
          <cell r="Q3382" t="str">
            <v/>
          </cell>
          <cell r="S3382" t="str">
            <v/>
          </cell>
          <cell r="V3382" t="str">
            <v/>
          </cell>
          <cell r="Z3382" t="str">
            <v/>
          </cell>
          <cell r="AA3382" t="str">
            <v/>
          </cell>
          <cell r="AB3382" t="str">
            <v/>
          </cell>
          <cell r="AC3382" t="str">
            <v/>
          </cell>
          <cell r="AD3382" t="str">
            <v/>
          </cell>
          <cell r="AY3382" t="str">
            <v/>
          </cell>
          <cell r="AZ3382" t="str">
            <v/>
          </cell>
          <cell r="BA3382" t="str">
            <v/>
          </cell>
        </row>
        <row r="3383">
          <cell r="B3383" t="str">
            <v>-</v>
          </cell>
          <cell r="E3383" t="str">
            <v/>
          </cell>
          <cell r="G3383" t="str">
            <v/>
          </cell>
          <cell r="J3383" t="str">
            <v/>
          </cell>
          <cell r="O3383" t="str">
            <v/>
          </cell>
          <cell r="P3383" t="str">
            <v/>
          </cell>
          <cell r="Q3383" t="str">
            <v/>
          </cell>
          <cell r="S3383" t="str">
            <v/>
          </cell>
          <cell r="V3383" t="str">
            <v/>
          </cell>
          <cell r="Z3383" t="str">
            <v/>
          </cell>
          <cell r="AA3383" t="str">
            <v/>
          </cell>
          <cell r="AB3383" t="str">
            <v/>
          </cell>
          <cell r="AC3383" t="str">
            <v/>
          </cell>
          <cell r="AD3383" t="str">
            <v/>
          </cell>
          <cell r="AY3383" t="str">
            <v/>
          </cell>
          <cell r="AZ3383" t="str">
            <v/>
          </cell>
          <cell r="BA3383" t="str">
            <v/>
          </cell>
        </row>
        <row r="3384">
          <cell r="B3384" t="str">
            <v>-</v>
          </cell>
          <cell r="E3384" t="str">
            <v/>
          </cell>
          <cell r="G3384" t="str">
            <v/>
          </cell>
          <cell r="J3384" t="str">
            <v/>
          </cell>
          <cell r="O3384" t="str">
            <v/>
          </cell>
          <cell r="P3384" t="str">
            <v/>
          </cell>
          <cell r="Q3384" t="str">
            <v/>
          </cell>
          <cell r="S3384" t="str">
            <v/>
          </cell>
          <cell r="V3384" t="str">
            <v/>
          </cell>
          <cell r="Z3384" t="str">
            <v/>
          </cell>
          <cell r="AA3384" t="str">
            <v/>
          </cell>
          <cell r="AB3384" t="str">
            <v/>
          </cell>
          <cell r="AC3384" t="str">
            <v/>
          </cell>
          <cell r="AD3384" t="str">
            <v/>
          </cell>
          <cell r="AY3384" t="str">
            <v/>
          </cell>
          <cell r="AZ3384" t="str">
            <v/>
          </cell>
          <cell r="BA3384" t="str">
            <v/>
          </cell>
        </row>
        <row r="3385">
          <cell r="B3385" t="str">
            <v>-</v>
          </cell>
          <cell r="E3385" t="str">
            <v/>
          </cell>
          <cell r="G3385" t="str">
            <v/>
          </cell>
          <cell r="J3385" t="str">
            <v/>
          </cell>
          <cell r="O3385" t="str">
            <v/>
          </cell>
          <cell r="P3385" t="str">
            <v/>
          </cell>
          <cell r="Q3385" t="str">
            <v/>
          </cell>
          <cell r="S3385" t="str">
            <v/>
          </cell>
          <cell r="V3385" t="str">
            <v/>
          </cell>
          <cell r="Z3385" t="str">
            <v/>
          </cell>
          <cell r="AA3385" t="str">
            <v/>
          </cell>
          <cell r="AB3385" t="str">
            <v/>
          </cell>
          <cell r="AC3385" t="str">
            <v/>
          </cell>
          <cell r="AD3385" t="str">
            <v/>
          </cell>
          <cell r="AY3385" t="str">
            <v/>
          </cell>
          <cell r="AZ3385" t="str">
            <v/>
          </cell>
          <cell r="BA3385" t="str">
            <v/>
          </cell>
        </row>
        <row r="3386">
          <cell r="B3386" t="str">
            <v>-</v>
          </cell>
          <cell r="E3386" t="str">
            <v/>
          </cell>
          <cell r="G3386" t="str">
            <v/>
          </cell>
          <cell r="J3386" t="str">
            <v/>
          </cell>
          <cell r="O3386" t="str">
            <v/>
          </cell>
          <cell r="P3386" t="str">
            <v/>
          </cell>
          <cell r="Q3386" t="str">
            <v/>
          </cell>
          <cell r="S3386" t="str">
            <v/>
          </cell>
          <cell r="V3386" t="str">
            <v/>
          </cell>
          <cell r="Z3386" t="str">
            <v/>
          </cell>
          <cell r="AA3386" t="str">
            <v/>
          </cell>
          <cell r="AB3386" t="str">
            <v/>
          </cell>
          <cell r="AC3386" t="str">
            <v/>
          </cell>
          <cell r="AD3386" t="str">
            <v/>
          </cell>
          <cell r="AY3386" t="str">
            <v/>
          </cell>
          <cell r="AZ3386" t="str">
            <v/>
          </cell>
          <cell r="BA3386" t="str">
            <v/>
          </cell>
        </row>
        <row r="3387">
          <cell r="B3387" t="str">
            <v>-</v>
          </cell>
          <cell r="E3387" t="str">
            <v/>
          </cell>
          <cell r="G3387" t="str">
            <v/>
          </cell>
          <cell r="J3387" t="str">
            <v/>
          </cell>
          <cell r="O3387" t="str">
            <v/>
          </cell>
          <cell r="P3387" t="str">
            <v/>
          </cell>
          <cell r="Q3387" t="str">
            <v/>
          </cell>
          <cell r="S3387" t="str">
            <v/>
          </cell>
          <cell r="V3387" t="str">
            <v/>
          </cell>
          <cell r="Z3387" t="str">
            <v/>
          </cell>
          <cell r="AA3387" t="str">
            <v/>
          </cell>
          <cell r="AB3387" t="str">
            <v/>
          </cell>
          <cell r="AC3387" t="str">
            <v/>
          </cell>
          <cell r="AD3387" t="str">
            <v/>
          </cell>
          <cell r="AY3387" t="str">
            <v/>
          </cell>
          <cell r="AZ3387" t="str">
            <v/>
          </cell>
          <cell r="BA3387" t="str">
            <v/>
          </cell>
        </row>
        <row r="3388">
          <cell r="B3388" t="str">
            <v>-</v>
          </cell>
          <cell r="E3388" t="str">
            <v/>
          </cell>
          <cell r="G3388" t="str">
            <v/>
          </cell>
          <cell r="J3388" t="str">
            <v/>
          </cell>
          <cell r="O3388" t="str">
            <v/>
          </cell>
          <cell r="P3388" t="str">
            <v/>
          </cell>
          <cell r="Q3388" t="str">
            <v/>
          </cell>
          <cell r="S3388" t="str">
            <v/>
          </cell>
          <cell r="V3388" t="str">
            <v/>
          </cell>
          <cell r="Z3388" t="str">
            <v/>
          </cell>
          <cell r="AA3388" t="str">
            <v/>
          </cell>
          <cell r="AB3388" t="str">
            <v/>
          </cell>
          <cell r="AC3388" t="str">
            <v/>
          </cell>
          <cell r="AD3388" t="str">
            <v/>
          </cell>
          <cell r="AY3388" t="str">
            <v/>
          </cell>
          <cell r="AZ3388" t="str">
            <v/>
          </cell>
          <cell r="BA3388" t="str">
            <v/>
          </cell>
        </row>
        <row r="3389">
          <cell r="B3389" t="str">
            <v>-</v>
          </cell>
          <cell r="E3389" t="str">
            <v/>
          </cell>
          <cell r="G3389" t="str">
            <v/>
          </cell>
          <cell r="J3389" t="str">
            <v/>
          </cell>
          <cell r="O3389" t="str">
            <v/>
          </cell>
          <cell r="P3389" t="str">
            <v/>
          </cell>
          <cell r="Q3389" t="str">
            <v/>
          </cell>
          <cell r="S3389" t="str">
            <v/>
          </cell>
          <cell r="V3389" t="str">
            <v/>
          </cell>
          <cell r="Z3389" t="str">
            <v/>
          </cell>
          <cell r="AA3389" t="str">
            <v/>
          </cell>
          <cell r="AB3389" t="str">
            <v/>
          </cell>
          <cell r="AC3389" t="str">
            <v/>
          </cell>
          <cell r="AD3389" t="str">
            <v/>
          </cell>
          <cell r="AY3389" t="str">
            <v/>
          </cell>
          <cell r="AZ3389" t="str">
            <v/>
          </cell>
          <cell r="BA3389" t="str">
            <v/>
          </cell>
        </row>
        <row r="3390">
          <cell r="B3390" t="str">
            <v>-</v>
          </cell>
          <cell r="E3390" t="str">
            <v/>
          </cell>
          <cell r="G3390" t="str">
            <v/>
          </cell>
          <cell r="J3390" t="str">
            <v/>
          </cell>
          <cell r="O3390" t="str">
            <v/>
          </cell>
          <cell r="P3390" t="str">
            <v/>
          </cell>
          <cell r="Q3390" t="str">
            <v/>
          </cell>
          <cell r="S3390" t="str">
            <v/>
          </cell>
          <cell r="V3390" t="str">
            <v/>
          </cell>
          <cell r="Z3390" t="str">
            <v/>
          </cell>
          <cell r="AA3390" t="str">
            <v/>
          </cell>
          <cell r="AB3390" t="str">
            <v/>
          </cell>
          <cell r="AC3390" t="str">
            <v/>
          </cell>
          <cell r="AD3390" t="str">
            <v/>
          </cell>
          <cell r="AY3390" t="str">
            <v/>
          </cell>
          <cell r="AZ3390" t="str">
            <v/>
          </cell>
          <cell r="BA3390" t="str">
            <v/>
          </cell>
        </row>
        <row r="3391">
          <cell r="B3391" t="str">
            <v>-</v>
          </cell>
          <cell r="E3391" t="str">
            <v/>
          </cell>
          <cell r="G3391" t="str">
            <v/>
          </cell>
          <cell r="J3391" t="str">
            <v/>
          </cell>
          <cell r="O3391" t="str">
            <v/>
          </cell>
          <cell r="P3391" t="str">
            <v/>
          </cell>
          <cell r="Q3391" t="str">
            <v/>
          </cell>
          <cell r="S3391" t="str">
            <v/>
          </cell>
          <cell r="V3391" t="str">
            <v/>
          </cell>
          <cell r="Z3391" t="str">
            <v/>
          </cell>
          <cell r="AA3391" t="str">
            <v/>
          </cell>
          <cell r="AB3391" t="str">
            <v/>
          </cell>
          <cell r="AC3391" t="str">
            <v/>
          </cell>
          <cell r="AD3391" t="str">
            <v/>
          </cell>
          <cell r="AY3391" t="str">
            <v/>
          </cell>
          <cell r="AZ3391" t="str">
            <v/>
          </cell>
          <cell r="BA3391" t="str">
            <v/>
          </cell>
        </row>
        <row r="3392">
          <cell r="B3392" t="str">
            <v>-</v>
          </cell>
          <cell r="E3392" t="str">
            <v/>
          </cell>
          <cell r="G3392" t="str">
            <v/>
          </cell>
          <cell r="J3392" t="str">
            <v/>
          </cell>
          <cell r="O3392" t="str">
            <v/>
          </cell>
          <cell r="P3392" t="str">
            <v/>
          </cell>
          <cell r="Q3392" t="str">
            <v/>
          </cell>
          <cell r="S3392" t="str">
            <v/>
          </cell>
          <cell r="V3392" t="str">
            <v/>
          </cell>
          <cell r="Z3392" t="str">
            <v/>
          </cell>
          <cell r="AA3392" t="str">
            <v/>
          </cell>
          <cell r="AB3392" t="str">
            <v/>
          </cell>
          <cell r="AC3392" t="str">
            <v/>
          </cell>
          <cell r="AD3392" t="str">
            <v/>
          </cell>
          <cell r="AY3392" t="str">
            <v/>
          </cell>
          <cell r="AZ3392" t="str">
            <v/>
          </cell>
          <cell r="BA3392" t="str">
            <v/>
          </cell>
        </row>
        <row r="3393">
          <cell r="B3393" t="str">
            <v>-</v>
          </cell>
          <cell r="E3393" t="str">
            <v/>
          </cell>
          <cell r="G3393" t="str">
            <v/>
          </cell>
          <cell r="J3393" t="str">
            <v/>
          </cell>
          <cell r="O3393" t="str">
            <v/>
          </cell>
          <cell r="P3393" t="str">
            <v/>
          </cell>
          <cell r="Q3393" t="str">
            <v/>
          </cell>
          <cell r="S3393" t="str">
            <v/>
          </cell>
          <cell r="V3393" t="str">
            <v/>
          </cell>
          <cell r="Z3393" t="str">
            <v/>
          </cell>
          <cell r="AA3393" t="str">
            <v/>
          </cell>
          <cell r="AB3393" t="str">
            <v/>
          </cell>
          <cell r="AC3393" t="str">
            <v/>
          </cell>
          <cell r="AD3393" t="str">
            <v/>
          </cell>
          <cell r="AY3393" t="str">
            <v/>
          </cell>
          <cell r="AZ3393" t="str">
            <v/>
          </cell>
          <cell r="BA3393" t="str">
            <v/>
          </cell>
        </row>
        <row r="3394">
          <cell r="B3394" t="str">
            <v>-</v>
          </cell>
          <cell r="E3394" t="str">
            <v/>
          </cell>
          <cell r="G3394" t="str">
            <v/>
          </cell>
          <cell r="J3394" t="str">
            <v/>
          </cell>
          <cell r="O3394" t="str">
            <v/>
          </cell>
          <cell r="P3394" t="str">
            <v/>
          </cell>
          <cell r="Q3394" t="str">
            <v/>
          </cell>
          <cell r="S3394" t="str">
            <v/>
          </cell>
          <cell r="V3394" t="str">
            <v/>
          </cell>
          <cell r="Z3394" t="str">
            <v/>
          </cell>
          <cell r="AA3394" t="str">
            <v/>
          </cell>
          <cell r="AB3394" t="str">
            <v/>
          </cell>
          <cell r="AC3394" t="str">
            <v/>
          </cell>
          <cell r="AD3394" t="str">
            <v/>
          </cell>
          <cell r="AY3394" t="str">
            <v/>
          </cell>
          <cell r="AZ3394" t="str">
            <v/>
          </cell>
          <cell r="BA3394" t="str">
            <v/>
          </cell>
        </row>
        <row r="3395">
          <cell r="B3395" t="str">
            <v>-</v>
          </cell>
          <cell r="E3395" t="str">
            <v/>
          </cell>
          <cell r="G3395" t="str">
            <v/>
          </cell>
          <cell r="J3395" t="str">
            <v/>
          </cell>
          <cell r="O3395" t="str">
            <v/>
          </cell>
          <cell r="P3395" t="str">
            <v/>
          </cell>
          <cell r="Q3395" t="str">
            <v/>
          </cell>
          <cell r="S3395" t="str">
            <v/>
          </cell>
          <cell r="V3395" t="str">
            <v/>
          </cell>
          <cell r="Z3395" t="str">
            <v/>
          </cell>
          <cell r="AA3395" t="str">
            <v/>
          </cell>
          <cell r="AB3395" t="str">
            <v/>
          </cell>
          <cell r="AC3395" t="str">
            <v/>
          </cell>
          <cell r="AD3395" t="str">
            <v/>
          </cell>
          <cell r="AY3395" t="str">
            <v/>
          </cell>
          <cell r="AZ3395" t="str">
            <v/>
          </cell>
          <cell r="BA3395" t="str">
            <v/>
          </cell>
        </row>
        <row r="3396">
          <cell r="B3396" t="str">
            <v>-</v>
          </cell>
          <cell r="E3396" t="str">
            <v/>
          </cell>
          <cell r="G3396" t="str">
            <v/>
          </cell>
          <cell r="J3396" t="str">
            <v/>
          </cell>
          <cell r="O3396" t="str">
            <v/>
          </cell>
          <cell r="P3396" t="str">
            <v/>
          </cell>
          <cell r="Q3396" t="str">
            <v/>
          </cell>
          <cell r="S3396" t="str">
            <v/>
          </cell>
          <cell r="V3396" t="str">
            <v/>
          </cell>
          <cell r="Z3396" t="str">
            <v/>
          </cell>
          <cell r="AA3396" t="str">
            <v/>
          </cell>
          <cell r="AB3396" t="str">
            <v/>
          </cell>
          <cell r="AC3396" t="str">
            <v/>
          </cell>
          <cell r="AD3396" t="str">
            <v/>
          </cell>
          <cell r="AY3396" t="str">
            <v/>
          </cell>
          <cell r="AZ3396" t="str">
            <v/>
          </cell>
          <cell r="BA3396" t="str">
            <v/>
          </cell>
        </row>
        <row r="3397">
          <cell r="B3397" t="str">
            <v>-</v>
          </cell>
          <cell r="E3397" t="str">
            <v/>
          </cell>
          <cell r="G3397" t="str">
            <v/>
          </cell>
          <cell r="J3397" t="str">
            <v/>
          </cell>
          <cell r="O3397" t="str">
            <v/>
          </cell>
          <cell r="P3397" t="str">
            <v/>
          </cell>
          <cell r="Q3397" t="str">
            <v/>
          </cell>
          <cell r="S3397" t="str">
            <v/>
          </cell>
          <cell r="V3397" t="str">
            <v/>
          </cell>
          <cell r="Z3397" t="str">
            <v/>
          </cell>
          <cell r="AA3397" t="str">
            <v/>
          </cell>
          <cell r="AB3397" t="str">
            <v/>
          </cell>
          <cell r="AC3397" t="str">
            <v/>
          </cell>
          <cell r="AD3397" t="str">
            <v/>
          </cell>
          <cell r="AY3397" t="str">
            <v/>
          </cell>
          <cell r="AZ3397" t="str">
            <v/>
          </cell>
          <cell r="BA3397" t="str">
            <v/>
          </cell>
        </row>
        <row r="3398">
          <cell r="B3398" t="str">
            <v>-</v>
          </cell>
          <cell r="E3398" t="str">
            <v/>
          </cell>
          <cell r="G3398" t="str">
            <v/>
          </cell>
          <cell r="J3398" t="str">
            <v/>
          </cell>
          <cell r="O3398" t="str">
            <v/>
          </cell>
          <cell r="P3398" t="str">
            <v/>
          </cell>
          <cell r="Q3398" t="str">
            <v/>
          </cell>
          <cell r="S3398" t="str">
            <v/>
          </cell>
          <cell r="V3398" t="str">
            <v/>
          </cell>
          <cell r="Z3398" t="str">
            <v/>
          </cell>
          <cell r="AA3398" t="str">
            <v/>
          </cell>
          <cell r="AB3398" t="str">
            <v/>
          </cell>
          <cell r="AC3398" t="str">
            <v/>
          </cell>
          <cell r="AD3398" t="str">
            <v/>
          </cell>
          <cell r="AY3398" t="str">
            <v/>
          </cell>
          <cell r="AZ3398" t="str">
            <v/>
          </cell>
          <cell r="BA3398" t="str">
            <v/>
          </cell>
        </row>
        <row r="3399">
          <cell r="B3399" t="str">
            <v>-</v>
          </cell>
          <cell r="E3399" t="str">
            <v/>
          </cell>
          <cell r="G3399" t="str">
            <v/>
          </cell>
          <cell r="J3399" t="str">
            <v/>
          </cell>
          <cell r="O3399" t="str">
            <v/>
          </cell>
          <cell r="P3399" t="str">
            <v/>
          </cell>
          <cell r="Q3399" t="str">
            <v/>
          </cell>
          <cell r="S3399" t="str">
            <v/>
          </cell>
          <cell r="V3399" t="str">
            <v/>
          </cell>
          <cell r="Z3399" t="str">
            <v/>
          </cell>
          <cell r="AA3399" t="str">
            <v/>
          </cell>
          <cell r="AB3399" t="str">
            <v/>
          </cell>
          <cell r="AC3399" t="str">
            <v/>
          </cell>
          <cell r="AD3399" t="str">
            <v/>
          </cell>
          <cell r="AY3399" t="str">
            <v/>
          </cell>
          <cell r="AZ3399" t="str">
            <v/>
          </cell>
          <cell r="BA3399" t="str">
            <v/>
          </cell>
        </row>
        <row r="3400">
          <cell r="B3400" t="str">
            <v>-</v>
          </cell>
          <cell r="E3400" t="str">
            <v/>
          </cell>
          <cell r="G3400" t="str">
            <v/>
          </cell>
          <cell r="J3400" t="str">
            <v/>
          </cell>
          <cell r="O3400" t="str">
            <v/>
          </cell>
          <cell r="P3400" t="str">
            <v/>
          </cell>
          <cell r="Q3400" t="str">
            <v/>
          </cell>
          <cell r="S3400" t="str">
            <v/>
          </cell>
          <cell r="V3400" t="str">
            <v/>
          </cell>
          <cell r="Z3400" t="str">
            <v/>
          </cell>
          <cell r="AA3400" t="str">
            <v/>
          </cell>
          <cell r="AB3400" t="str">
            <v/>
          </cell>
          <cell r="AC3400" t="str">
            <v/>
          </cell>
          <cell r="AD3400" t="str">
            <v/>
          </cell>
          <cell r="AY3400" t="str">
            <v/>
          </cell>
          <cell r="AZ3400" t="str">
            <v/>
          </cell>
          <cell r="BA3400" t="str">
            <v/>
          </cell>
        </row>
        <row r="3401">
          <cell r="B3401" t="str">
            <v>-</v>
          </cell>
          <cell r="E3401" t="str">
            <v/>
          </cell>
          <cell r="G3401" t="str">
            <v/>
          </cell>
          <cell r="J3401" t="str">
            <v/>
          </cell>
          <cell r="O3401" t="str">
            <v/>
          </cell>
          <cell r="P3401" t="str">
            <v/>
          </cell>
          <cell r="Q3401" t="str">
            <v/>
          </cell>
          <cell r="S3401" t="str">
            <v/>
          </cell>
          <cell r="V3401" t="str">
            <v/>
          </cell>
          <cell r="Z3401" t="str">
            <v/>
          </cell>
          <cell r="AA3401" t="str">
            <v/>
          </cell>
          <cell r="AB3401" t="str">
            <v/>
          </cell>
          <cell r="AC3401" t="str">
            <v/>
          </cell>
          <cell r="AD3401" t="str">
            <v/>
          </cell>
          <cell r="AY3401" t="str">
            <v/>
          </cell>
          <cell r="AZ3401" t="str">
            <v/>
          </cell>
          <cell r="BA3401" t="str">
            <v/>
          </cell>
        </row>
        <row r="3402">
          <cell r="B3402" t="str">
            <v>-</v>
          </cell>
          <cell r="E3402" t="str">
            <v/>
          </cell>
          <cell r="G3402" t="str">
            <v/>
          </cell>
          <cell r="J3402" t="str">
            <v/>
          </cell>
          <cell r="O3402" t="str">
            <v/>
          </cell>
          <cell r="P3402" t="str">
            <v/>
          </cell>
          <cell r="Q3402" t="str">
            <v/>
          </cell>
          <cell r="S3402" t="str">
            <v/>
          </cell>
          <cell r="V3402" t="str">
            <v/>
          </cell>
          <cell r="Z3402" t="str">
            <v/>
          </cell>
          <cell r="AA3402" t="str">
            <v/>
          </cell>
          <cell r="AB3402" t="str">
            <v/>
          </cell>
          <cell r="AC3402" t="str">
            <v/>
          </cell>
          <cell r="AD3402" t="str">
            <v/>
          </cell>
          <cell r="AY3402" t="str">
            <v/>
          </cell>
          <cell r="AZ3402" t="str">
            <v/>
          </cell>
          <cell r="BA3402" t="str">
            <v/>
          </cell>
        </row>
        <row r="3403">
          <cell r="B3403" t="str">
            <v>-</v>
          </cell>
          <cell r="E3403" t="str">
            <v/>
          </cell>
          <cell r="G3403" t="str">
            <v/>
          </cell>
          <cell r="J3403" t="str">
            <v/>
          </cell>
          <cell r="O3403" t="str">
            <v/>
          </cell>
          <cell r="P3403" t="str">
            <v/>
          </cell>
          <cell r="Q3403" t="str">
            <v/>
          </cell>
          <cell r="S3403" t="str">
            <v/>
          </cell>
          <cell r="V3403" t="str">
            <v/>
          </cell>
          <cell r="Z3403" t="str">
            <v/>
          </cell>
          <cell r="AA3403" t="str">
            <v/>
          </cell>
          <cell r="AB3403" t="str">
            <v/>
          </cell>
          <cell r="AC3403" t="str">
            <v/>
          </cell>
          <cell r="AD3403" t="str">
            <v/>
          </cell>
          <cell r="AY3403" t="str">
            <v/>
          </cell>
          <cell r="AZ3403" t="str">
            <v/>
          </cell>
          <cell r="BA3403" t="str">
            <v/>
          </cell>
        </row>
        <row r="3404">
          <cell r="B3404" t="str">
            <v>-</v>
          </cell>
          <cell r="E3404" t="str">
            <v/>
          </cell>
          <cell r="G3404" t="str">
            <v/>
          </cell>
          <cell r="J3404" t="str">
            <v/>
          </cell>
          <cell r="O3404" t="str">
            <v/>
          </cell>
          <cell r="P3404" t="str">
            <v/>
          </cell>
          <cell r="Q3404" t="str">
            <v/>
          </cell>
          <cell r="S3404" t="str">
            <v/>
          </cell>
          <cell r="V3404" t="str">
            <v/>
          </cell>
          <cell r="Z3404" t="str">
            <v/>
          </cell>
          <cell r="AA3404" t="str">
            <v/>
          </cell>
          <cell r="AB3404" t="str">
            <v/>
          </cell>
          <cell r="AC3404" t="str">
            <v/>
          </cell>
          <cell r="AD3404" t="str">
            <v/>
          </cell>
          <cell r="AY3404" t="str">
            <v/>
          </cell>
          <cell r="AZ3404" t="str">
            <v/>
          </cell>
          <cell r="BA3404" t="str">
            <v/>
          </cell>
        </row>
        <row r="3405">
          <cell r="B3405" t="str">
            <v>-</v>
          </cell>
          <cell r="E3405" t="str">
            <v/>
          </cell>
          <cell r="G3405" t="str">
            <v/>
          </cell>
          <cell r="J3405" t="str">
            <v/>
          </cell>
          <cell r="O3405" t="str">
            <v/>
          </cell>
          <cell r="P3405" t="str">
            <v/>
          </cell>
          <cell r="Q3405" t="str">
            <v/>
          </cell>
          <cell r="S3405" t="str">
            <v/>
          </cell>
          <cell r="V3405" t="str">
            <v/>
          </cell>
          <cell r="Z3405" t="str">
            <v/>
          </cell>
          <cell r="AA3405" t="str">
            <v/>
          </cell>
          <cell r="AB3405" t="str">
            <v/>
          </cell>
          <cell r="AC3405" t="str">
            <v/>
          </cell>
          <cell r="AD3405" t="str">
            <v/>
          </cell>
          <cell r="AY3405" t="str">
            <v/>
          </cell>
          <cell r="AZ3405" t="str">
            <v/>
          </cell>
          <cell r="BA3405" t="str">
            <v/>
          </cell>
        </row>
        <row r="3406">
          <cell r="B3406" t="str">
            <v>-</v>
          </cell>
          <cell r="E3406" t="str">
            <v/>
          </cell>
          <cell r="G3406" t="str">
            <v/>
          </cell>
          <cell r="J3406" t="str">
            <v/>
          </cell>
          <cell r="O3406" t="str">
            <v/>
          </cell>
          <cell r="P3406" t="str">
            <v/>
          </cell>
          <cell r="Q3406" t="str">
            <v/>
          </cell>
          <cell r="S3406" t="str">
            <v/>
          </cell>
          <cell r="V3406" t="str">
            <v/>
          </cell>
          <cell r="Z3406" t="str">
            <v/>
          </cell>
          <cell r="AA3406" t="str">
            <v/>
          </cell>
          <cell r="AB3406" t="str">
            <v/>
          </cell>
          <cell r="AC3406" t="str">
            <v/>
          </cell>
          <cell r="AD3406" t="str">
            <v/>
          </cell>
          <cell r="AY3406" t="str">
            <v/>
          </cell>
          <cell r="AZ3406" t="str">
            <v/>
          </cell>
          <cell r="BA3406" t="str">
            <v/>
          </cell>
        </row>
        <row r="3407">
          <cell r="B3407" t="str">
            <v>-</v>
          </cell>
          <cell r="E3407" t="str">
            <v/>
          </cell>
          <cell r="G3407" t="str">
            <v/>
          </cell>
          <cell r="J3407" t="str">
            <v/>
          </cell>
          <cell r="O3407" t="str">
            <v/>
          </cell>
          <cell r="P3407" t="str">
            <v/>
          </cell>
          <cell r="Q3407" t="str">
            <v/>
          </cell>
          <cell r="S3407" t="str">
            <v/>
          </cell>
          <cell r="V3407" t="str">
            <v/>
          </cell>
          <cell r="Z3407" t="str">
            <v/>
          </cell>
          <cell r="AA3407" t="str">
            <v/>
          </cell>
          <cell r="AB3407" t="str">
            <v/>
          </cell>
          <cell r="AC3407" t="str">
            <v/>
          </cell>
          <cell r="AD3407" t="str">
            <v/>
          </cell>
          <cell r="AY3407" t="str">
            <v/>
          </cell>
          <cell r="AZ3407" t="str">
            <v/>
          </cell>
          <cell r="BA3407" t="str">
            <v/>
          </cell>
        </row>
        <row r="3408">
          <cell r="B3408" t="str">
            <v>-</v>
          </cell>
          <cell r="E3408" t="str">
            <v/>
          </cell>
          <cell r="G3408" t="str">
            <v/>
          </cell>
          <cell r="J3408" t="str">
            <v/>
          </cell>
          <cell r="O3408" t="str">
            <v/>
          </cell>
          <cell r="P3408" t="str">
            <v/>
          </cell>
          <cell r="Q3408" t="str">
            <v/>
          </cell>
          <cell r="S3408" t="str">
            <v/>
          </cell>
          <cell r="V3408" t="str">
            <v/>
          </cell>
          <cell r="Z3408" t="str">
            <v/>
          </cell>
          <cell r="AA3408" t="str">
            <v/>
          </cell>
          <cell r="AB3408" t="str">
            <v/>
          </cell>
          <cell r="AC3408" t="str">
            <v/>
          </cell>
          <cell r="AD3408" t="str">
            <v/>
          </cell>
          <cell r="AY3408" t="str">
            <v/>
          </cell>
          <cell r="AZ3408" t="str">
            <v/>
          </cell>
          <cell r="BA3408" t="str">
            <v/>
          </cell>
        </row>
        <row r="3409">
          <cell r="B3409" t="str">
            <v>-</v>
          </cell>
          <cell r="E3409" t="str">
            <v/>
          </cell>
          <cell r="G3409" t="str">
            <v/>
          </cell>
          <cell r="J3409" t="str">
            <v/>
          </cell>
          <cell r="O3409" t="str">
            <v/>
          </cell>
          <cell r="P3409" t="str">
            <v/>
          </cell>
          <cell r="Q3409" t="str">
            <v/>
          </cell>
          <cell r="S3409" t="str">
            <v/>
          </cell>
          <cell r="V3409" t="str">
            <v/>
          </cell>
          <cell r="Z3409" t="str">
            <v/>
          </cell>
          <cell r="AA3409" t="str">
            <v/>
          </cell>
          <cell r="AB3409" t="str">
            <v/>
          </cell>
          <cell r="AC3409" t="str">
            <v/>
          </cell>
          <cell r="AD3409" t="str">
            <v/>
          </cell>
          <cell r="AY3409" t="str">
            <v/>
          </cell>
          <cell r="AZ3409" t="str">
            <v/>
          </cell>
          <cell r="BA3409" t="str">
            <v/>
          </cell>
        </row>
        <row r="3410">
          <cell r="B3410" t="str">
            <v>-</v>
          </cell>
          <cell r="E3410" t="str">
            <v/>
          </cell>
          <cell r="G3410" t="str">
            <v/>
          </cell>
          <cell r="J3410" t="str">
            <v/>
          </cell>
          <cell r="O3410" t="str">
            <v/>
          </cell>
          <cell r="P3410" t="str">
            <v/>
          </cell>
          <cell r="Q3410" t="str">
            <v/>
          </cell>
          <cell r="S3410" t="str">
            <v/>
          </cell>
          <cell r="V3410" t="str">
            <v/>
          </cell>
          <cell r="Z3410" t="str">
            <v/>
          </cell>
          <cell r="AA3410" t="str">
            <v/>
          </cell>
          <cell r="AB3410" t="str">
            <v/>
          </cell>
          <cell r="AC3410" t="str">
            <v/>
          </cell>
          <cell r="AD3410" t="str">
            <v/>
          </cell>
          <cell r="AY3410" t="str">
            <v/>
          </cell>
          <cell r="AZ3410" t="str">
            <v/>
          </cell>
          <cell r="BA3410" t="str">
            <v/>
          </cell>
        </row>
        <row r="3411">
          <cell r="B3411" t="str">
            <v>-</v>
          </cell>
          <cell r="E3411" t="str">
            <v/>
          </cell>
          <cell r="G3411" t="str">
            <v/>
          </cell>
          <cell r="J3411" t="str">
            <v/>
          </cell>
          <cell r="O3411" t="str">
            <v/>
          </cell>
          <cell r="P3411" t="str">
            <v/>
          </cell>
          <cell r="Q3411" t="str">
            <v/>
          </cell>
          <cell r="S3411" t="str">
            <v/>
          </cell>
          <cell r="V3411" t="str">
            <v/>
          </cell>
          <cell r="Z3411" t="str">
            <v/>
          </cell>
          <cell r="AA3411" t="str">
            <v/>
          </cell>
          <cell r="AB3411" t="str">
            <v/>
          </cell>
          <cell r="AC3411" t="str">
            <v/>
          </cell>
          <cell r="AD3411" t="str">
            <v/>
          </cell>
          <cell r="AY3411" t="str">
            <v/>
          </cell>
          <cell r="AZ3411" t="str">
            <v/>
          </cell>
          <cell r="BA3411" t="str">
            <v/>
          </cell>
        </row>
        <row r="3412">
          <cell r="B3412" t="str">
            <v>-</v>
          </cell>
          <cell r="E3412" t="str">
            <v/>
          </cell>
          <cell r="G3412" t="str">
            <v/>
          </cell>
          <cell r="J3412" t="str">
            <v/>
          </cell>
          <cell r="O3412" t="str">
            <v/>
          </cell>
          <cell r="P3412" t="str">
            <v/>
          </cell>
          <cell r="Q3412" t="str">
            <v/>
          </cell>
          <cell r="S3412" t="str">
            <v/>
          </cell>
          <cell r="V3412" t="str">
            <v/>
          </cell>
          <cell r="Z3412" t="str">
            <v/>
          </cell>
          <cell r="AA3412" t="str">
            <v/>
          </cell>
          <cell r="AB3412" t="str">
            <v/>
          </cell>
          <cell r="AC3412" t="str">
            <v/>
          </cell>
          <cell r="AD3412" t="str">
            <v/>
          </cell>
          <cell r="AY3412" t="str">
            <v/>
          </cell>
          <cell r="AZ3412" t="str">
            <v/>
          </cell>
          <cell r="BA3412" t="str">
            <v/>
          </cell>
        </row>
        <row r="3413">
          <cell r="B3413" t="str">
            <v>-</v>
          </cell>
          <cell r="E3413" t="str">
            <v/>
          </cell>
          <cell r="G3413" t="str">
            <v/>
          </cell>
          <cell r="J3413" t="str">
            <v/>
          </cell>
          <cell r="O3413" t="str">
            <v/>
          </cell>
          <cell r="P3413" t="str">
            <v/>
          </cell>
          <cell r="Q3413" t="str">
            <v/>
          </cell>
          <cell r="S3413" t="str">
            <v/>
          </cell>
          <cell r="V3413" t="str">
            <v/>
          </cell>
          <cell r="Z3413" t="str">
            <v/>
          </cell>
          <cell r="AA3413" t="str">
            <v/>
          </cell>
          <cell r="AB3413" t="str">
            <v/>
          </cell>
          <cell r="AC3413" t="str">
            <v/>
          </cell>
          <cell r="AD3413" t="str">
            <v/>
          </cell>
          <cell r="AY3413" t="str">
            <v/>
          </cell>
          <cell r="AZ3413" t="str">
            <v/>
          </cell>
          <cell r="BA3413" t="str">
            <v/>
          </cell>
        </row>
        <row r="3414">
          <cell r="B3414" t="str">
            <v>-</v>
          </cell>
          <cell r="E3414" t="str">
            <v/>
          </cell>
          <cell r="G3414" t="str">
            <v/>
          </cell>
          <cell r="J3414" t="str">
            <v/>
          </cell>
          <cell r="O3414" t="str">
            <v/>
          </cell>
          <cell r="P3414" t="str">
            <v/>
          </cell>
          <cell r="Q3414" t="str">
            <v/>
          </cell>
          <cell r="S3414" t="str">
            <v/>
          </cell>
          <cell r="V3414" t="str">
            <v/>
          </cell>
          <cell r="Z3414" t="str">
            <v/>
          </cell>
          <cell r="AA3414" t="str">
            <v/>
          </cell>
          <cell r="AB3414" t="str">
            <v/>
          </cell>
          <cell r="AC3414" t="str">
            <v/>
          </cell>
          <cell r="AD3414" t="str">
            <v/>
          </cell>
          <cell r="AY3414" t="str">
            <v/>
          </cell>
          <cell r="AZ3414" t="str">
            <v/>
          </cell>
          <cell r="BA3414" t="str">
            <v/>
          </cell>
        </row>
        <row r="3415">
          <cell r="B3415" t="str">
            <v>-</v>
          </cell>
          <cell r="E3415" t="str">
            <v/>
          </cell>
          <cell r="G3415" t="str">
            <v/>
          </cell>
          <cell r="J3415" t="str">
            <v/>
          </cell>
          <cell r="O3415" t="str">
            <v/>
          </cell>
          <cell r="P3415" t="str">
            <v/>
          </cell>
          <cell r="Q3415" t="str">
            <v/>
          </cell>
          <cell r="S3415" t="str">
            <v/>
          </cell>
          <cell r="V3415" t="str">
            <v/>
          </cell>
          <cell r="Z3415" t="str">
            <v/>
          </cell>
          <cell r="AA3415" t="str">
            <v/>
          </cell>
          <cell r="AB3415" t="str">
            <v/>
          </cell>
          <cell r="AC3415" t="str">
            <v/>
          </cell>
          <cell r="AD3415" t="str">
            <v/>
          </cell>
          <cell r="AY3415" t="str">
            <v/>
          </cell>
          <cell r="AZ3415" t="str">
            <v/>
          </cell>
          <cell r="BA3415" t="str">
            <v/>
          </cell>
        </row>
        <row r="3416">
          <cell r="B3416" t="str">
            <v>-</v>
          </cell>
          <cell r="E3416" t="str">
            <v/>
          </cell>
          <cell r="G3416" t="str">
            <v/>
          </cell>
          <cell r="J3416" t="str">
            <v/>
          </cell>
          <cell r="O3416" t="str">
            <v/>
          </cell>
          <cell r="P3416" t="str">
            <v/>
          </cell>
          <cell r="Q3416" t="str">
            <v/>
          </cell>
          <cell r="S3416" t="str">
            <v/>
          </cell>
          <cell r="V3416" t="str">
            <v/>
          </cell>
          <cell r="Z3416" t="str">
            <v/>
          </cell>
          <cell r="AA3416" t="str">
            <v/>
          </cell>
          <cell r="AB3416" t="str">
            <v/>
          </cell>
          <cell r="AC3416" t="str">
            <v/>
          </cell>
          <cell r="AD3416" t="str">
            <v/>
          </cell>
          <cell r="AY3416" t="str">
            <v/>
          </cell>
          <cell r="AZ3416" t="str">
            <v/>
          </cell>
          <cell r="BA3416" t="str">
            <v/>
          </cell>
        </row>
        <row r="3417">
          <cell r="B3417" t="str">
            <v>-</v>
          </cell>
          <cell r="E3417" t="str">
            <v/>
          </cell>
          <cell r="G3417" t="str">
            <v/>
          </cell>
          <cell r="J3417" t="str">
            <v/>
          </cell>
          <cell r="O3417" t="str">
            <v/>
          </cell>
          <cell r="P3417" t="str">
            <v/>
          </cell>
          <cell r="Q3417" t="str">
            <v/>
          </cell>
          <cell r="S3417" t="str">
            <v/>
          </cell>
          <cell r="V3417" t="str">
            <v/>
          </cell>
          <cell r="Z3417" t="str">
            <v/>
          </cell>
          <cell r="AA3417" t="str">
            <v/>
          </cell>
          <cell r="AB3417" t="str">
            <v/>
          </cell>
          <cell r="AC3417" t="str">
            <v/>
          </cell>
          <cell r="AD3417" t="str">
            <v/>
          </cell>
          <cell r="AY3417" t="str">
            <v/>
          </cell>
          <cell r="AZ3417" t="str">
            <v/>
          </cell>
          <cell r="BA3417" t="str">
            <v/>
          </cell>
        </row>
        <row r="3418">
          <cell r="B3418" t="str">
            <v>-</v>
          </cell>
          <cell r="E3418" t="str">
            <v/>
          </cell>
          <cell r="G3418" t="str">
            <v/>
          </cell>
          <cell r="J3418" t="str">
            <v/>
          </cell>
          <cell r="O3418" t="str">
            <v/>
          </cell>
          <cell r="P3418" t="str">
            <v/>
          </cell>
          <cell r="Q3418" t="str">
            <v/>
          </cell>
          <cell r="S3418" t="str">
            <v/>
          </cell>
          <cell r="V3418" t="str">
            <v/>
          </cell>
          <cell r="Z3418" t="str">
            <v/>
          </cell>
          <cell r="AA3418" t="str">
            <v/>
          </cell>
          <cell r="AB3418" t="str">
            <v/>
          </cell>
          <cell r="AC3418" t="str">
            <v/>
          </cell>
          <cell r="AD3418" t="str">
            <v/>
          </cell>
          <cell r="AY3418" t="str">
            <v/>
          </cell>
          <cell r="AZ3418" t="str">
            <v/>
          </cell>
          <cell r="BA3418" t="str">
            <v/>
          </cell>
        </row>
        <row r="3419">
          <cell r="B3419" t="str">
            <v>-</v>
          </cell>
          <cell r="E3419" t="str">
            <v/>
          </cell>
          <cell r="G3419" t="str">
            <v/>
          </cell>
          <cell r="J3419" t="str">
            <v/>
          </cell>
          <cell r="O3419" t="str">
            <v/>
          </cell>
          <cell r="P3419" t="str">
            <v/>
          </cell>
          <cell r="Q3419" t="str">
            <v/>
          </cell>
          <cell r="S3419" t="str">
            <v/>
          </cell>
          <cell r="V3419" t="str">
            <v/>
          </cell>
          <cell r="Z3419" t="str">
            <v/>
          </cell>
          <cell r="AA3419" t="str">
            <v/>
          </cell>
          <cell r="AB3419" t="str">
            <v/>
          </cell>
          <cell r="AC3419" t="str">
            <v/>
          </cell>
          <cell r="AD3419" t="str">
            <v/>
          </cell>
          <cell r="AY3419" t="str">
            <v/>
          </cell>
          <cell r="AZ3419" t="str">
            <v/>
          </cell>
          <cell r="BA3419" t="str">
            <v/>
          </cell>
        </row>
        <row r="3420">
          <cell r="B3420" t="str">
            <v>-</v>
          </cell>
          <cell r="E3420" t="str">
            <v/>
          </cell>
          <cell r="G3420" t="str">
            <v/>
          </cell>
          <cell r="J3420" t="str">
            <v/>
          </cell>
          <cell r="O3420" t="str">
            <v/>
          </cell>
          <cell r="P3420" t="str">
            <v/>
          </cell>
          <cell r="Q3420" t="str">
            <v/>
          </cell>
          <cell r="S3420" t="str">
            <v/>
          </cell>
          <cell r="V3420" t="str">
            <v/>
          </cell>
          <cell r="Z3420" t="str">
            <v/>
          </cell>
          <cell r="AA3420" t="str">
            <v/>
          </cell>
          <cell r="AB3420" t="str">
            <v/>
          </cell>
          <cell r="AC3420" t="str">
            <v/>
          </cell>
          <cell r="AD3420" t="str">
            <v/>
          </cell>
          <cell r="AY3420" t="str">
            <v/>
          </cell>
          <cell r="AZ3420" t="str">
            <v/>
          </cell>
          <cell r="BA3420" t="str">
            <v/>
          </cell>
        </row>
        <row r="3421">
          <cell r="B3421" t="str">
            <v>-</v>
          </cell>
          <cell r="E3421" t="str">
            <v/>
          </cell>
          <cell r="G3421" t="str">
            <v/>
          </cell>
          <cell r="J3421" t="str">
            <v/>
          </cell>
          <cell r="O3421" t="str">
            <v/>
          </cell>
          <cell r="P3421" t="str">
            <v/>
          </cell>
          <cell r="Q3421" t="str">
            <v/>
          </cell>
          <cell r="S3421" t="str">
            <v/>
          </cell>
          <cell r="V3421" t="str">
            <v/>
          </cell>
          <cell r="Z3421" t="str">
            <v/>
          </cell>
          <cell r="AA3421" t="str">
            <v/>
          </cell>
          <cell r="AB3421" t="str">
            <v/>
          </cell>
          <cell r="AC3421" t="str">
            <v/>
          </cell>
          <cell r="AD3421" t="str">
            <v/>
          </cell>
          <cell r="AY3421" t="str">
            <v/>
          </cell>
          <cell r="AZ3421" t="str">
            <v/>
          </cell>
          <cell r="BA3421" t="str">
            <v/>
          </cell>
        </row>
        <row r="3422">
          <cell r="B3422" t="str">
            <v>-</v>
          </cell>
          <cell r="E3422" t="str">
            <v/>
          </cell>
          <cell r="G3422" t="str">
            <v/>
          </cell>
          <cell r="J3422" t="str">
            <v/>
          </cell>
          <cell r="O3422" t="str">
            <v/>
          </cell>
          <cell r="P3422" t="str">
            <v/>
          </cell>
          <cell r="Q3422" t="str">
            <v/>
          </cell>
          <cell r="S3422" t="str">
            <v/>
          </cell>
          <cell r="V3422" t="str">
            <v/>
          </cell>
          <cell r="Z3422" t="str">
            <v/>
          </cell>
          <cell r="AA3422" t="str">
            <v/>
          </cell>
          <cell r="AB3422" t="str">
            <v/>
          </cell>
          <cell r="AC3422" t="str">
            <v/>
          </cell>
          <cell r="AD3422" t="str">
            <v/>
          </cell>
          <cell r="AY3422" t="str">
            <v/>
          </cell>
          <cell r="AZ3422" t="str">
            <v/>
          </cell>
          <cell r="BA3422" t="str">
            <v/>
          </cell>
        </row>
        <row r="3423">
          <cell r="B3423" t="str">
            <v>-</v>
          </cell>
          <cell r="E3423" t="str">
            <v/>
          </cell>
          <cell r="G3423" t="str">
            <v/>
          </cell>
          <cell r="J3423" t="str">
            <v/>
          </cell>
          <cell r="O3423" t="str">
            <v/>
          </cell>
          <cell r="P3423" t="str">
            <v/>
          </cell>
          <cell r="Q3423" t="str">
            <v/>
          </cell>
          <cell r="S3423" t="str">
            <v/>
          </cell>
          <cell r="V3423" t="str">
            <v/>
          </cell>
          <cell r="Z3423" t="str">
            <v/>
          </cell>
          <cell r="AA3423" t="str">
            <v/>
          </cell>
          <cell r="AB3423" t="str">
            <v/>
          </cell>
          <cell r="AC3423" t="str">
            <v/>
          </cell>
          <cell r="AD3423" t="str">
            <v/>
          </cell>
          <cell r="AY3423" t="str">
            <v/>
          </cell>
          <cell r="AZ3423" t="str">
            <v/>
          </cell>
          <cell r="BA3423" t="str">
            <v/>
          </cell>
        </row>
        <row r="3424">
          <cell r="B3424" t="str">
            <v>-</v>
          </cell>
          <cell r="E3424" t="str">
            <v/>
          </cell>
          <cell r="G3424" t="str">
            <v/>
          </cell>
          <cell r="J3424" t="str">
            <v/>
          </cell>
          <cell r="O3424" t="str">
            <v/>
          </cell>
          <cell r="P3424" t="str">
            <v/>
          </cell>
          <cell r="Q3424" t="str">
            <v/>
          </cell>
          <cell r="S3424" t="str">
            <v/>
          </cell>
          <cell r="V3424" t="str">
            <v/>
          </cell>
          <cell r="Z3424" t="str">
            <v/>
          </cell>
          <cell r="AA3424" t="str">
            <v/>
          </cell>
          <cell r="AB3424" t="str">
            <v/>
          </cell>
          <cell r="AC3424" t="str">
            <v/>
          </cell>
          <cell r="AD3424" t="str">
            <v/>
          </cell>
          <cell r="AY3424" t="str">
            <v/>
          </cell>
          <cell r="AZ3424" t="str">
            <v/>
          </cell>
          <cell r="BA3424" t="str">
            <v/>
          </cell>
        </row>
        <row r="3425">
          <cell r="B3425" t="str">
            <v>-</v>
          </cell>
          <cell r="E3425" t="str">
            <v/>
          </cell>
          <cell r="G3425" t="str">
            <v/>
          </cell>
          <cell r="J3425" t="str">
            <v/>
          </cell>
          <cell r="O3425" t="str">
            <v/>
          </cell>
          <cell r="P3425" t="str">
            <v/>
          </cell>
          <cell r="Q3425" t="str">
            <v/>
          </cell>
          <cell r="S3425" t="str">
            <v/>
          </cell>
          <cell r="V3425" t="str">
            <v/>
          </cell>
          <cell r="Z3425" t="str">
            <v/>
          </cell>
          <cell r="AA3425" t="str">
            <v/>
          </cell>
          <cell r="AB3425" t="str">
            <v/>
          </cell>
          <cell r="AC3425" t="str">
            <v/>
          </cell>
          <cell r="AD3425" t="str">
            <v/>
          </cell>
          <cell r="AY3425" t="str">
            <v/>
          </cell>
          <cell r="AZ3425" t="str">
            <v/>
          </cell>
          <cell r="BA3425" t="str">
            <v/>
          </cell>
        </row>
        <row r="3426">
          <cell r="B3426" t="str">
            <v>-</v>
          </cell>
          <cell r="E3426" t="str">
            <v/>
          </cell>
          <cell r="G3426" t="str">
            <v/>
          </cell>
          <cell r="J3426" t="str">
            <v/>
          </cell>
          <cell r="O3426" t="str">
            <v/>
          </cell>
          <cell r="P3426" t="str">
            <v/>
          </cell>
          <cell r="Q3426" t="str">
            <v/>
          </cell>
          <cell r="S3426" t="str">
            <v/>
          </cell>
          <cell r="V3426" t="str">
            <v/>
          </cell>
          <cell r="Z3426" t="str">
            <v/>
          </cell>
          <cell r="AA3426" t="str">
            <v/>
          </cell>
          <cell r="AB3426" t="str">
            <v/>
          </cell>
          <cell r="AC3426" t="str">
            <v/>
          </cell>
          <cell r="AD3426" t="str">
            <v/>
          </cell>
          <cell r="AY3426" t="str">
            <v/>
          </cell>
          <cell r="AZ3426" t="str">
            <v/>
          </cell>
          <cell r="BA3426" t="str">
            <v/>
          </cell>
        </row>
        <row r="3427">
          <cell r="B3427" t="str">
            <v>-</v>
          </cell>
          <cell r="E3427" t="str">
            <v/>
          </cell>
          <cell r="G3427" t="str">
            <v/>
          </cell>
          <cell r="J3427" t="str">
            <v/>
          </cell>
          <cell r="O3427" t="str">
            <v/>
          </cell>
          <cell r="P3427" t="str">
            <v/>
          </cell>
          <cell r="Q3427" t="str">
            <v/>
          </cell>
          <cell r="S3427" t="str">
            <v/>
          </cell>
          <cell r="V3427" t="str">
            <v/>
          </cell>
          <cell r="Z3427" t="str">
            <v/>
          </cell>
          <cell r="AA3427" t="str">
            <v/>
          </cell>
          <cell r="AB3427" t="str">
            <v/>
          </cell>
          <cell r="AC3427" t="str">
            <v/>
          </cell>
          <cell r="AD3427" t="str">
            <v/>
          </cell>
          <cell r="AY3427" t="str">
            <v/>
          </cell>
          <cell r="AZ3427" t="str">
            <v/>
          </cell>
          <cell r="BA3427" t="str">
            <v/>
          </cell>
        </row>
        <row r="3428">
          <cell r="B3428" t="str">
            <v>-</v>
          </cell>
          <cell r="E3428" t="str">
            <v/>
          </cell>
          <cell r="G3428" t="str">
            <v/>
          </cell>
          <cell r="J3428" t="str">
            <v/>
          </cell>
          <cell r="O3428" t="str">
            <v/>
          </cell>
          <cell r="P3428" t="str">
            <v/>
          </cell>
          <cell r="Q3428" t="str">
            <v/>
          </cell>
          <cell r="S3428" t="str">
            <v/>
          </cell>
          <cell r="V3428" t="str">
            <v/>
          </cell>
          <cell r="Z3428" t="str">
            <v/>
          </cell>
          <cell r="AA3428" t="str">
            <v/>
          </cell>
          <cell r="AB3428" t="str">
            <v/>
          </cell>
          <cell r="AC3428" t="str">
            <v/>
          </cell>
          <cell r="AD3428" t="str">
            <v/>
          </cell>
          <cell r="AY3428" t="str">
            <v/>
          </cell>
          <cell r="AZ3428" t="str">
            <v/>
          </cell>
          <cell r="BA3428" t="str">
            <v/>
          </cell>
        </row>
        <row r="3429">
          <cell r="B3429" t="str">
            <v>-</v>
          </cell>
          <cell r="E3429" t="str">
            <v/>
          </cell>
          <cell r="G3429" t="str">
            <v/>
          </cell>
          <cell r="J3429" t="str">
            <v/>
          </cell>
          <cell r="O3429" t="str">
            <v/>
          </cell>
          <cell r="P3429" t="str">
            <v/>
          </cell>
          <cell r="Q3429" t="str">
            <v/>
          </cell>
          <cell r="S3429" t="str">
            <v/>
          </cell>
          <cell r="V3429" t="str">
            <v/>
          </cell>
          <cell r="Z3429" t="str">
            <v/>
          </cell>
          <cell r="AA3429" t="str">
            <v/>
          </cell>
          <cell r="AB3429" t="str">
            <v/>
          </cell>
          <cell r="AC3429" t="str">
            <v/>
          </cell>
          <cell r="AD3429" t="str">
            <v/>
          </cell>
          <cell r="AY3429" t="str">
            <v/>
          </cell>
          <cell r="AZ3429" t="str">
            <v/>
          </cell>
          <cell r="BA3429" t="str">
            <v/>
          </cell>
        </row>
        <row r="3430">
          <cell r="B3430" t="str">
            <v>-</v>
          </cell>
          <cell r="E3430" t="str">
            <v/>
          </cell>
          <cell r="G3430" t="str">
            <v/>
          </cell>
          <cell r="J3430" t="str">
            <v/>
          </cell>
          <cell r="O3430" t="str">
            <v/>
          </cell>
          <cell r="P3430" t="str">
            <v/>
          </cell>
          <cell r="Q3430" t="str">
            <v/>
          </cell>
          <cell r="S3430" t="str">
            <v/>
          </cell>
          <cell r="V3430" t="str">
            <v/>
          </cell>
          <cell r="Z3430" t="str">
            <v/>
          </cell>
          <cell r="AA3430" t="str">
            <v/>
          </cell>
          <cell r="AB3430" t="str">
            <v/>
          </cell>
          <cell r="AC3430" t="str">
            <v/>
          </cell>
          <cell r="AD3430" t="str">
            <v/>
          </cell>
          <cell r="AY3430" t="str">
            <v/>
          </cell>
          <cell r="AZ3430" t="str">
            <v/>
          </cell>
          <cell r="BA3430" t="str">
            <v/>
          </cell>
        </row>
        <row r="3431">
          <cell r="B3431" t="str">
            <v>-</v>
          </cell>
          <cell r="E3431" t="str">
            <v/>
          </cell>
          <cell r="G3431" t="str">
            <v/>
          </cell>
          <cell r="J3431" t="str">
            <v/>
          </cell>
          <cell r="O3431" t="str">
            <v/>
          </cell>
          <cell r="P3431" t="str">
            <v/>
          </cell>
          <cell r="Q3431" t="str">
            <v/>
          </cell>
          <cell r="S3431" t="str">
            <v/>
          </cell>
          <cell r="V3431" t="str">
            <v/>
          </cell>
          <cell r="Z3431" t="str">
            <v/>
          </cell>
          <cell r="AA3431" t="str">
            <v/>
          </cell>
          <cell r="AB3431" t="str">
            <v/>
          </cell>
          <cell r="AC3431" t="str">
            <v/>
          </cell>
          <cell r="AD3431" t="str">
            <v/>
          </cell>
          <cell r="AY3431" t="str">
            <v/>
          </cell>
          <cell r="AZ3431" t="str">
            <v/>
          </cell>
          <cell r="BA3431" t="str">
            <v/>
          </cell>
        </row>
        <row r="3432">
          <cell r="B3432" t="str">
            <v>-</v>
          </cell>
          <cell r="E3432" t="str">
            <v/>
          </cell>
          <cell r="G3432" t="str">
            <v/>
          </cell>
          <cell r="J3432" t="str">
            <v/>
          </cell>
          <cell r="O3432" t="str">
            <v/>
          </cell>
          <cell r="P3432" t="str">
            <v/>
          </cell>
          <cell r="Q3432" t="str">
            <v/>
          </cell>
          <cell r="S3432" t="str">
            <v/>
          </cell>
          <cell r="V3432" t="str">
            <v/>
          </cell>
          <cell r="Z3432" t="str">
            <v/>
          </cell>
          <cell r="AA3432" t="str">
            <v/>
          </cell>
          <cell r="AB3432" t="str">
            <v/>
          </cell>
          <cell r="AC3432" t="str">
            <v/>
          </cell>
          <cell r="AD3432" t="str">
            <v/>
          </cell>
          <cell r="AY3432" t="str">
            <v/>
          </cell>
          <cell r="AZ3432" t="str">
            <v/>
          </cell>
          <cell r="BA3432" t="str">
            <v/>
          </cell>
        </row>
        <row r="3433">
          <cell r="B3433" t="str">
            <v>-</v>
          </cell>
          <cell r="E3433" t="str">
            <v/>
          </cell>
          <cell r="G3433" t="str">
            <v/>
          </cell>
          <cell r="J3433" t="str">
            <v/>
          </cell>
          <cell r="O3433" t="str">
            <v/>
          </cell>
          <cell r="P3433" t="str">
            <v/>
          </cell>
          <cell r="Q3433" t="str">
            <v/>
          </cell>
          <cell r="S3433" t="str">
            <v/>
          </cell>
          <cell r="V3433" t="str">
            <v/>
          </cell>
          <cell r="Z3433" t="str">
            <v/>
          </cell>
          <cell r="AA3433" t="str">
            <v/>
          </cell>
          <cell r="AB3433" t="str">
            <v/>
          </cell>
          <cell r="AC3433" t="str">
            <v/>
          </cell>
          <cell r="AD3433" t="str">
            <v/>
          </cell>
          <cell r="AY3433" t="str">
            <v/>
          </cell>
          <cell r="AZ3433" t="str">
            <v/>
          </cell>
          <cell r="BA3433" t="str">
            <v/>
          </cell>
        </row>
        <row r="3434">
          <cell r="B3434" t="str">
            <v>-</v>
          </cell>
          <cell r="E3434" t="str">
            <v/>
          </cell>
          <cell r="G3434" t="str">
            <v/>
          </cell>
          <cell r="J3434" t="str">
            <v/>
          </cell>
          <cell r="O3434" t="str">
            <v/>
          </cell>
          <cell r="P3434" t="str">
            <v/>
          </cell>
          <cell r="Q3434" t="str">
            <v/>
          </cell>
          <cell r="S3434" t="str">
            <v/>
          </cell>
          <cell r="V3434" t="str">
            <v/>
          </cell>
          <cell r="Z3434" t="str">
            <v/>
          </cell>
          <cell r="AA3434" t="str">
            <v/>
          </cell>
          <cell r="AB3434" t="str">
            <v/>
          </cell>
          <cell r="AC3434" t="str">
            <v/>
          </cell>
          <cell r="AD3434" t="str">
            <v/>
          </cell>
          <cell r="AY3434" t="str">
            <v/>
          </cell>
          <cell r="AZ3434" t="str">
            <v/>
          </cell>
          <cell r="BA3434" t="str">
            <v/>
          </cell>
        </row>
        <row r="3435">
          <cell r="B3435" t="str">
            <v>-</v>
          </cell>
          <cell r="E3435" t="str">
            <v/>
          </cell>
          <cell r="G3435" t="str">
            <v/>
          </cell>
          <cell r="J3435" t="str">
            <v/>
          </cell>
          <cell r="O3435" t="str">
            <v/>
          </cell>
          <cell r="P3435" t="str">
            <v/>
          </cell>
          <cell r="Q3435" t="str">
            <v/>
          </cell>
          <cell r="S3435" t="str">
            <v/>
          </cell>
          <cell r="V3435" t="str">
            <v/>
          </cell>
          <cell r="Z3435" t="str">
            <v/>
          </cell>
          <cell r="AA3435" t="str">
            <v/>
          </cell>
          <cell r="AB3435" t="str">
            <v/>
          </cell>
          <cell r="AC3435" t="str">
            <v/>
          </cell>
          <cell r="AD3435" t="str">
            <v/>
          </cell>
          <cell r="AY3435" t="str">
            <v/>
          </cell>
          <cell r="AZ3435" t="str">
            <v/>
          </cell>
          <cell r="BA3435" t="str">
            <v/>
          </cell>
        </row>
        <row r="3436">
          <cell r="B3436" t="str">
            <v>-</v>
          </cell>
          <cell r="E3436" t="str">
            <v/>
          </cell>
          <cell r="G3436" t="str">
            <v/>
          </cell>
          <cell r="J3436" t="str">
            <v/>
          </cell>
          <cell r="O3436" t="str">
            <v/>
          </cell>
          <cell r="P3436" t="str">
            <v/>
          </cell>
          <cell r="Q3436" t="str">
            <v/>
          </cell>
          <cell r="S3436" t="str">
            <v/>
          </cell>
          <cell r="V3436" t="str">
            <v/>
          </cell>
          <cell r="Z3436" t="str">
            <v/>
          </cell>
          <cell r="AA3436" t="str">
            <v/>
          </cell>
          <cell r="AB3436" t="str">
            <v/>
          </cell>
          <cell r="AC3436" t="str">
            <v/>
          </cell>
          <cell r="AD3436" t="str">
            <v/>
          </cell>
          <cell r="AY3436" t="str">
            <v/>
          </cell>
          <cell r="AZ3436" t="str">
            <v/>
          </cell>
          <cell r="BA3436" t="str">
            <v/>
          </cell>
        </row>
        <row r="3437">
          <cell r="B3437" t="str">
            <v>-</v>
          </cell>
          <cell r="E3437" t="str">
            <v/>
          </cell>
          <cell r="G3437" t="str">
            <v/>
          </cell>
          <cell r="J3437" t="str">
            <v/>
          </cell>
          <cell r="O3437" t="str">
            <v/>
          </cell>
          <cell r="P3437" t="str">
            <v/>
          </cell>
          <cell r="Q3437" t="str">
            <v/>
          </cell>
          <cell r="S3437" t="str">
            <v/>
          </cell>
          <cell r="V3437" t="str">
            <v/>
          </cell>
          <cell r="Z3437" t="str">
            <v/>
          </cell>
          <cell r="AA3437" t="str">
            <v/>
          </cell>
          <cell r="AB3437" t="str">
            <v/>
          </cell>
          <cell r="AC3437" t="str">
            <v/>
          </cell>
          <cell r="AD3437" t="str">
            <v/>
          </cell>
          <cell r="AY3437" t="str">
            <v/>
          </cell>
          <cell r="AZ3437" t="str">
            <v/>
          </cell>
          <cell r="BA3437" t="str">
            <v/>
          </cell>
        </row>
        <row r="3438">
          <cell r="B3438" t="str">
            <v>-</v>
          </cell>
          <cell r="E3438" t="str">
            <v/>
          </cell>
          <cell r="G3438" t="str">
            <v/>
          </cell>
          <cell r="J3438" t="str">
            <v/>
          </cell>
          <cell r="O3438" t="str">
            <v/>
          </cell>
          <cell r="P3438" t="str">
            <v/>
          </cell>
          <cell r="Q3438" t="str">
            <v/>
          </cell>
          <cell r="S3438" t="str">
            <v/>
          </cell>
          <cell r="V3438" t="str">
            <v/>
          </cell>
          <cell r="Z3438" t="str">
            <v/>
          </cell>
          <cell r="AA3438" t="str">
            <v/>
          </cell>
          <cell r="AB3438" t="str">
            <v/>
          </cell>
          <cell r="AC3438" t="str">
            <v/>
          </cell>
          <cell r="AD3438" t="str">
            <v/>
          </cell>
          <cell r="AY3438" t="str">
            <v/>
          </cell>
          <cell r="AZ3438" t="str">
            <v/>
          </cell>
          <cell r="BA3438" t="str">
            <v/>
          </cell>
        </row>
        <row r="3439">
          <cell r="B3439" t="str">
            <v>-</v>
          </cell>
          <cell r="E3439" t="str">
            <v/>
          </cell>
          <cell r="G3439" t="str">
            <v/>
          </cell>
          <cell r="J3439" t="str">
            <v/>
          </cell>
          <cell r="O3439" t="str">
            <v/>
          </cell>
          <cell r="P3439" t="str">
            <v/>
          </cell>
          <cell r="Q3439" t="str">
            <v/>
          </cell>
          <cell r="S3439" t="str">
            <v/>
          </cell>
          <cell r="V3439" t="str">
            <v/>
          </cell>
          <cell r="Z3439" t="str">
            <v/>
          </cell>
          <cell r="AA3439" t="str">
            <v/>
          </cell>
          <cell r="AB3439" t="str">
            <v/>
          </cell>
          <cell r="AC3439" t="str">
            <v/>
          </cell>
          <cell r="AD3439" t="str">
            <v/>
          </cell>
          <cell r="AY3439" t="str">
            <v/>
          </cell>
          <cell r="AZ3439" t="str">
            <v/>
          </cell>
          <cell r="BA3439" t="str">
            <v/>
          </cell>
        </row>
        <row r="3440">
          <cell r="B3440" t="str">
            <v>-</v>
          </cell>
          <cell r="E3440" t="str">
            <v/>
          </cell>
          <cell r="G3440" t="str">
            <v/>
          </cell>
          <cell r="J3440" t="str">
            <v/>
          </cell>
          <cell r="O3440" t="str">
            <v/>
          </cell>
          <cell r="P3440" t="str">
            <v/>
          </cell>
          <cell r="Q3440" t="str">
            <v/>
          </cell>
          <cell r="S3440" t="str">
            <v/>
          </cell>
          <cell r="V3440" t="str">
            <v/>
          </cell>
          <cell r="Z3440" t="str">
            <v/>
          </cell>
          <cell r="AA3440" t="str">
            <v/>
          </cell>
          <cell r="AB3440" t="str">
            <v/>
          </cell>
          <cell r="AC3440" t="str">
            <v/>
          </cell>
          <cell r="AD3440" t="str">
            <v/>
          </cell>
          <cell r="AY3440" t="str">
            <v/>
          </cell>
          <cell r="AZ3440" t="str">
            <v/>
          </cell>
          <cell r="BA3440" t="str">
            <v/>
          </cell>
        </row>
        <row r="3441">
          <cell r="B3441" t="str">
            <v>-</v>
          </cell>
          <cell r="E3441" t="str">
            <v/>
          </cell>
          <cell r="G3441" t="str">
            <v/>
          </cell>
          <cell r="J3441" t="str">
            <v/>
          </cell>
          <cell r="O3441" t="str">
            <v/>
          </cell>
          <cell r="P3441" t="str">
            <v/>
          </cell>
          <cell r="Q3441" t="str">
            <v/>
          </cell>
          <cell r="S3441" t="str">
            <v/>
          </cell>
          <cell r="V3441" t="str">
            <v/>
          </cell>
          <cell r="Z3441" t="str">
            <v/>
          </cell>
          <cell r="AA3441" t="str">
            <v/>
          </cell>
          <cell r="AB3441" t="str">
            <v/>
          </cell>
          <cell r="AC3441" t="str">
            <v/>
          </cell>
          <cell r="AD3441" t="str">
            <v/>
          </cell>
          <cell r="AY3441" t="str">
            <v/>
          </cell>
          <cell r="AZ3441" t="str">
            <v/>
          </cell>
          <cell r="BA3441" t="str">
            <v/>
          </cell>
        </row>
        <row r="3442">
          <cell r="B3442" t="str">
            <v>-</v>
          </cell>
          <cell r="E3442" t="str">
            <v/>
          </cell>
          <cell r="G3442" t="str">
            <v/>
          </cell>
          <cell r="J3442" t="str">
            <v/>
          </cell>
          <cell r="O3442" t="str">
            <v/>
          </cell>
          <cell r="P3442" t="str">
            <v/>
          </cell>
          <cell r="Q3442" t="str">
            <v/>
          </cell>
          <cell r="S3442" t="str">
            <v/>
          </cell>
          <cell r="V3442" t="str">
            <v/>
          </cell>
          <cell r="Z3442" t="str">
            <v/>
          </cell>
          <cell r="AA3442" t="str">
            <v/>
          </cell>
          <cell r="AB3442" t="str">
            <v/>
          </cell>
          <cell r="AC3442" t="str">
            <v/>
          </cell>
          <cell r="AD3442" t="str">
            <v/>
          </cell>
          <cell r="AY3442" t="str">
            <v/>
          </cell>
          <cell r="AZ3442" t="str">
            <v/>
          </cell>
          <cell r="BA3442" t="str">
            <v/>
          </cell>
        </row>
        <row r="3443">
          <cell r="B3443" t="str">
            <v>-</v>
          </cell>
          <cell r="E3443" t="str">
            <v/>
          </cell>
          <cell r="G3443" t="str">
            <v/>
          </cell>
          <cell r="J3443" t="str">
            <v/>
          </cell>
          <cell r="O3443" t="str">
            <v/>
          </cell>
          <cell r="P3443" t="str">
            <v/>
          </cell>
          <cell r="Q3443" t="str">
            <v/>
          </cell>
          <cell r="S3443" t="str">
            <v/>
          </cell>
          <cell r="V3443" t="str">
            <v/>
          </cell>
          <cell r="Z3443" t="str">
            <v/>
          </cell>
          <cell r="AA3443" t="str">
            <v/>
          </cell>
          <cell r="AB3443" t="str">
            <v/>
          </cell>
          <cell r="AC3443" t="str">
            <v/>
          </cell>
          <cell r="AD3443" t="str">
            <v/>
          </cell>
          <cell r="AY3443" t="str">
            <v/>
          </cell>
          <cell r="AZ3443" t="str">
            <v/>
          </cell>
          <cell r="BA3443" t="str">
            <v/>
          </cell>
        </row>
        <row r="3444">
          <cell r="B3444" t="str">
            <v>-</v>
          </cell>
          <cell r="E3444" t="str">
            <v/>
          </cell>
          <cell r="G3444" t="str">
            <v/>
          </cell>
          <cell r="J3444" t="str">
            <v/>
          </cell>
          <cell r="O3444" t="str">
            <v/>
          </cell>
          <cell r="P3444" t="str">
            <v/>
          </cell>
          <cell r="Q3444" t="str">
            <v/>
          </cell>
          <cell r="S3444" t="str">
            <v/>
          </cell>
          <cell r="V3444" t="str">
            <v/>
          </cell>
          <cell r="Z3444" t="str">
            <v/>
          </cell>
          <cell r="AA3444" t="str">
            <v/>
          </cell>
          <cell r="AB3444" t="str">
            <v/>
          </cell>
          <cell r="AC3444" t="str">
            <v/>
          </cell>
          <cell r="AD3444" t="str">
            <v/>
          </cell>
          <cell r="AY3444" t="str">
            <v/>
          </cell>
          <cell r="AZ3444" t="str">
            <v/>
          </cell>
          <cell r="BA3444" t="str">
            <v/>
          </cell>
        </row>
        <row r="3445">
          <cell r="B3445" t="str">
            <v>-</v>
          </cell>
          <cell r="E3445" t="str">
            <v/>
          </cell>
          <cell r="G3445" t="str">
            <v/>
          </cell>
          <cell r="J3445" t="str">
            <v/>
          </cell>
          <cell r="O3445" t="str">
            <v/>
          </cell>
          <cell r="P3445" t="str">
            <v/>
          </cell>
          <cell r="Q3445" t="str">
            <v/>
          </cell>
          <cell r="S3445" t="str">
            <v/>
          </cell>
          <cell r="V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 t="str">
            <v/>
          </cell>
          <cell r="AD3445" t="str">
            <v/>
          </cell>
          <cell r="AY3445" t="str">
            <v/>
          </cell>
          <cell r="AZ3445" t="str">
            <v/>
          </cell>
          <cell r="BA3445" t="str">
            <v/>
          </cell>
        </row>
        <row r="3446">
          <cell r="B3446" t="str">
            <v>-</v>
          </cell>
          <cell r="E3446" t="str">
            <v/>
          </cell>
          <cell r="G3446" t="str">
            <v/>
          </cell>
          <cell r="J3446" t="str">
            <v/>
          </cell>
          <cell r="O3446" t="str">
            <v/>
          </cell>
          <cell r="P3446" t="str">
            <v/>
          </cell>
          <cell r="Q3446" t="str">
            <v/>
          </cell>
          <cell r="S3446" t="str">
            <v/>
          </cell>
          <cell r="V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 t="str">
            <v/>
          </cell>
          <cell r="AD3446" t="str">
            <v/>
          </cell>
          <cell r="AY3446" t="str">
            <v/>
          </cell>
          <cell r="AZ3446" t="str">
            <v/>
          </cell>
          <cell r="BA3446" t="str">
            <v/>
          </cell>
        </row>
        <row r="3447">
          <cell r="B3447" t="str">
            <v>-</v>
          </cell>
          <cell r="E3447" t="str">
            <v/>
          </cell>
          <cell r="G3447" t="str">
            <v/>
          </cell>
          <cell r="J3447" t="str">
            <v/>
          </cell>
          <cell r="O3447" t="str">
            <v/>
          </cell>
          <cell r="P3447" t="str">
            <v/>
          </cell>
          <cell r="Q3447" t="str">
            <v/>
          </cell>
          <cell r="S3447" t="str">
            <v/>
          </cell>
          <cell r="V3447" t="str">
            <v/>
          </cell>
          <cell r="Z3447" t="str">
            <v/>
          </cell>
          <cell r="AA3447" t="str">
            <v/>
          </cell>
          <cell r="AB3447" t="str">
            <v/>
          </cell>
          <cell r="AC3447" t="str">
            <v/>
          </cell>
          <cell r="AD3447" t="str">
            <v/>
          </cell>
          <cell r="AY3447" t="str">
            <v/>
          </cell>
          <cell r="AZ3447" t="str">
            <v/>
          </cell>
          <cell r="BA3447" t="str">
            <v/>
          </cell>
        </row>
        <row r="3448">
          <cell r="B3448" t="str">
            <v>-</v>
          </cell>
          <cell r="E3448" t="str">
            <v/>
          </cell>
          <cell r="G3448" t="str">
            <v/>
          </cell>
          <cell r="J3448" t="str">
            <v/>
          </cell>
          <cell r="O3448" t="str">
            <v/>
          </cell>
          <cell r="P3448" t="str">
            <v/>
          </cell>
          <cell r="Q3448" t="str">
            <v/>
          </cell>
          <cell r="S3448" t="str">
            <v/>
          </cell>
          <cell r="V3448" t="str">
            <v/>
          </cell>
          <cell r="Z3448" t="str">
            <v/>
          </cell>
          <cell r="AA3448" t="str">
            <v/>
          </cell>
          <cell r="AB3448" t="str">
            <v/>
          </cell>
          <cell r="AC3448" t="str">
            <v/>
          </cell>
          <cell r="AD3448" t="str">
            <v/>
          </cell>
          <cell r="AY3448" t="str">
            <v/>
          </cell>
          <cell r="AZ3448" t="str">
            <v/>
          </cell>
          <cell r="BA3448" t="str">
            <v/>
          </cell>
        </row>
        <row r="3449">
          <cell r="B3449" t="str">
            <v>-</v>
          </cell>
          <cell r="E3449" t="str">
            <v/>
          </cell>
          <cell r="G3449" t="str">
            <v/>
          </cell>
          <cell r="J3449" t="str">
            <v/>
          </cell>
          <cell r="O3449" t="str">
            <v/>
          </cell>
          <cell r="P3449" t="str">
            <v/>
          </cell>
          <cell r="Q3449" t="str">
            <v/>
          </cell>
          <cell r="S3449" t="str">
            <v/>
          </cell>
          <cell r="V3449" t="str">
            <v/>
          </cell>
          <cell r="Z3449" t="str">
            <v/>
          </cell>
          <cell r="AA3449" t="str">
            <v/>
          </cell>
          <cell r="AB3449" t="str">
            <v/>
          </cell>
          <cell r="AC3449" t="str">
            <v/>
          </cell>
          <cell r="AD3449" t="str">
            <v/>
          </cell>
          <cell r="AY3449" t="str">
            <v/>
          </cell>
          <cell r="AZ3449" t="str">
            <v/>
          </cell>
          <cell r="BA3449" t="str">
            <v/>
          </cell>
        </row>
        <row r="3450">
          <cell r="B3450" t="str">
            <v>-</v>
          </cell>
          <cell r="E3450" t="str">
            <v/>
          </cell>
          <cell r="G3450" t="str">
            <v/>
          </cell>
          <cell r="J3450" t="str">
            <v/>
          </cell>
          <cell r="O3450" t="str">
            <v/>
          </cell>
          <cell r="P3450" t="str">
            <v/>
          </cell>
          <cell r="Q3450" t="str">
            <v/>
          </cell>
          <cell r="S3450" t="str">
            <v/>
          </cell>
          <cell r="V3450" t="str">
            <v/>
          </cell>
          <cell r="Z3450" t="str">
            <v/>
          </cell>
          <cell r="AA3450" t="str">
            <v/>
          </cell>
          <cell r="AB3450" t="str">
            <v/>
          </cell>
          <cell r="AC3450" t="str">
            <v/>
          </cell>
          <cell r="AD3450" t="str">
            <v/>
          </cell>
          <cell r="AY3450" t="str">
            <v/>
          </cell>
          <cell r="AZ3450" t="str">
            <v/>
          </cell>
          <cell r="BA3450" t="str">
            <v/>
          </cell>
        </row>
        <row r="3451">
          <cell r="B3451" t="str">
            <v>-</v>
          </cell>
          <cell r="E3451" t="str">
            <v/>
          </cell>
          <cell r="G3451" t="str">
            <v/>
          </cell>
          <cell r="J3451" t="str">
            <v/>
          </cell>
          <cell r="O3451" t="str">
            <v/>
          </cell>
          <cell r="P3451" t="str">
            <v/>
          </cell>
          <cell r="Q3451" t="str">
            <v/>
          </cell>
          <cell r="S3451" t="str">
            <v/>
          </cell>
          <cell r="V3451" t="str">
            <v/>
          </cell>
          <cell r="Z3451" t="str">
            <v/>
          </cell>
          <cell r="AA3451" t="str">
            <v/>
          </cell>
          <cell r="AB3451" t="str">
            <v/>
          </cell>
          <cell r="AC3451" t="str">
            <v/>
          </cell>
          <cell r="AD3451" t="str">
            <v/>
          </cell>
          <cell r="AY3451" t="str">
            <v/>
          </cell>
          <cell r="AZ3451" t="str">
            <v/>
          </cell>
          <cell r="BA3451" t="str">
            <v/>
          </cell>
        </row>
        <row r="3452">
          <cell r="B3452" t="str">
            <v>-</v>
          </cell>
          <cell r="E3452" t="str">
            <v/>
          </cell>
          <cell r="G3452" t="str">
            <v/>
          </cell>
          <cell r="J3452" t="str">
            <v/>
          </cell>
          <cell r="O3452" t="str">
            <v/>
          </cell>
          <cell r="P3452" t="str">
            <v/>
          </cell>
          <cell r="Q3452" t="str">
            <v/>
          </cell>
          <cell r="S3452" t="str">
            <v/>
          </cell>
          <cell r="V3452" t="str">
            <v/>
          </cell>
          <cell r="Z3452" t="str">
            <v/>
          </cell>
          <cell r="AA3452" t="str">
            <v/>
          </cell>
          <cell r="AB3452" t="str">
            <v/>
          </cell>
          <cell r="AC3452" t="str">
            <v/>
          </cell>
          <cell r="AD3452" t="str">
            <v/>
          </cell>
          <cell r="AY3452" t="str">
            <v/>
          </cell>
          <cell r="AZ3452" t="str">
            <v/>
          </cell>
          <cell r="BA3452" t="str">
            <v/>
          </cell>
        </row>
        <row r="3453">
          <cell r="B3453" t="str">
            <v>-</v>
          </cell>
          <cell r="E3453" t="str">
            <v/>
          </cell>
          <cell r="G3453" t="str">
            <v/>
          </cell>
          <cell r="J3453" t="str">
            <v/>
          </cell>
          <cell r="O3453" t="str">
            <v/>
          </cell>
          <cell r="P3453" t="str">
            <v/>
          </cell>
          <cell r="Q3453" t="str">
            <v/>
          </cell>
          <cell r="S3453" t="str">
            <v/>
          </cell>
          <cell r="V3453" t="str">
            <v/>
          </cell>
          <cell r="Z3453" t="str">
            <v/>
          </cell>
          <cell r="AA3453" t="str">
            <v/>
          </cell>
          <cell r="AB3453" t="str">
            <v/>
          </cell>
          <cell r="AC3453" t="str">
            <v/>
          </cell>
          <cell r="AD3453" t="str">
            <v/>
          </cell>
          <cell r="AY3453" t="str">
            <v/>
          </cell>
          <cell r="AZ3453" t="str">
            <v/>
          </cell>
          <cell r="BA3453" t="str">
            <v/>
          </cell>
        </row>
        <row r="3454">
          <cell r="B3454" t="str">
            <v>-</v>
          </cell>
          <cell r="E3454" t="str">
            <v/>
          </cell>
          <cell r="G3454" t="str">
            <v/>
          </cell>
          <cell r="J3454" t="str">
            <v/>
          </cell>
          <cell r="O3454" t="str">
            <v/>
          </cell>
          <cell r="P3454" t="str">
            <v/>
          </cell>
          <cell r="Q3454" t="str">
            <v/>
          </cell>
          <cell r="S3454" t="str">
            <v/>
          </cell>
          <cell r="V3454" t="str">
            <v/>
          </cell>
          <cell r="Z3454" t="str">
            <v/>
          </cell>
          <cell r="AA3454" t="str">
            <v/>
          </cell>
          <cell r="AB3454" t="str">
            <v/>
          </cell>
          <cell r="AC3454" t="str">
            <v/>
          </cell>
          <cell r="AD3454" t="str">
            <v/>
          </cell>
          <cell r="AY3454" t="str">
            <v/>
          </cell>
          <cell r="AZ3454" t="str">
            <v/>
          </cell>
          <cell r="BA3454" t="str">
            <v/>
          </cell>
        </row>
        <row r="3455">
          <cell r="B3455" t="str">
            <v>-</v>
          </cell>
          <cell r="E3455" t="str">
            <v/>
          </cell>
          <cell r="G3455" t="str">
            <v/>
          </cell>
          <cell r="J3455" t="str">
            <v/>
          </cell>
          <cell r="O3455" t="str">
            <v/>
          </cell>
          <cell r="P3455" t="str">
            <v/>
          </cell>
          <cell r="Q3455" t="str">
            <v/>
          </cell>
          <cell r="S3455" t="str">
            <v/>
          </cell>
          <cell r="V3455" t="str">
            <v/>
          </cell>
          <cell r="Z3455" t="str">
            <v/>
          </cell>
          <cell r="AA3455" t="str">
            <v/>
          </cell>
          <cell r="AB3455" t="str">
            <v/>
          </cell>
          <cell r="AC3455" t="str">
            <v/>
          </cell>
          <cell r="AD3455" t="str">
            <v/>
          </cell>
          <cell r="AY3455" t="str">
            <v/>
          </cell>
          <cell r="AZ3455" t="str">
            <v/>
          </cell>
          <cell r="BA3455" t="str">
            <v/>
          </cell>
        </row>
        <row r="3456">
          <cell r="B3456" t="str">
            <v>-</v>
          </cell>
          <cell r="E3456" t="str">
            <v/>
          </cell>
          <cell r="G3456" t="str">
            <v/>
          </cell>
          <cell r="J3456" t="str">
            <v/>
          </cell>
          <cell r="O3456" t="str">
            <v/>
          </cell>
          <cell r="P3456" t="str">
            <v/>
          </cell>
          <cell r="Q3456" t="str">
            <v/>
          </cell>
          <cell r="S3456" t="str">
            <v/>
          </cell>
          <cell r="V3456" t="str">
            <v/>
          </cell>
          <cell r="Z3456" t="str">
            <v/>
          </cell>
          <cell r="AA3456" t="str">
            <v/>
          </cell>
          <cell r="AB3456" t="str">
            <v/>
          </cell>
          <cell r="AC3456" t="str">
            <v/>
          </cell>
          <cell r="AD3456" t="str">
            <v/>
          </cell>
          <cell r="AY3456" t="str">
            <v/>
          </cell>
          <cell r="AZ3456" t="str">
            <v/>
          </cell>
          <cell r="BA3456" t="str">
            <v/>
          </cell>
        </row>
        <row r="3457">
          <cell r="B3457" t="str">
            <v>-</v>
          </cell>
          <cell r="E3457" t="str">
            <v/>
          </cell>
          <cell r="G3457" t="str">
            <v/>
          </cell>
          <cell r="J3457" t="str">
            <v/>
          </cell>
          <cell r="O3457" t="str">
            <v/>
          </cell>
          <cell r="P3457" t="str">
            <v/>
          </cell>
          <cell r="Q3457" t="str">
            <v/>
          </cell>
          <cell r="S3457" t="str">
            <v/>
          </cell>
          <cell r="V3457" t="str">
            <v/>
          </cell>
          <cell r="Z3457" t="str">
            <v/>
          </cell>
          <cell r="AA3457" t="str">
            <v/>
          </cell>
          <cell r="AB3457" t="str">
            <v/>
          </cell>
          <cell r="AC3457" t="str">
            <v/>
          </cell>
          <cell r="AD3457" t="str">
            <v/>
          </cell>
          <cell r="AY3457" t="str">
            <v/>
          </cell>
          <cell r="AZ3457" t="str">
            <v/>
          </cell>
          <cell r="BA3457" t="str">
            <v/>
          </cell>
        </row>
        <row r="3458">
          <cell r="B3458" t="str">
            <v>-</v>
          </cell>
          <cell r="E3458" t="str">
            <v/>
          </cell>
          <cell r="G3458" t="str">
            <v/>
          </cell>
          <cell r="J3458" t="str">
            <v/>
          </cell>
          <cell r="O3458" t="str">
            <v/>
          </cell>
          <cell r="P3458" t="str">
            <v/>
          </cell>
          <cell r="Q3458" t="str">
            <v/>
          </cell>
          <cell r="S3458" t="str">
            <v/>
          </cell>
          <cell r="V3458" t="str">
            <v/>
          </cell>
          <cell r="Z3458" t="str">
            <v/>
          </cell>
          <cell r="AA3458" t="str">
            <v/>
          </cell>
          <cell r="AB3458" t="str">
            <v/>
          </cell>
          <cell r="AC3458" t="str">
            <v/>
          </cell>
          <cell r="AD3458" t="str">
            <v/>
          </cell>
          <cell r="AY3458" t="str">
            <v/>
          </cell>
          <cell r="AZ3458" t="str">
            <v/>
          </cell>
          <cell r="BA3458" t="str">
            <v/>
          </cell>
        </row>
        <row r="3459">
          <cell r="B3459" t="str">
            <v>-</v>
          </cell>
          <cell r="E3459" t="str">
            <v/>
          </cell>
          <cell r="G3459" t="str">
            <v/>
          </cell>
          <cell r="J3459" t="str">
            <v/>
          </cell>
          <cell r="O3459" t="str">
            <v/>
          </cell>
          <cell r="P3459" t="str">
            <v/>
          </cell>
          <cell r="Q3459" t="str">
            <v/>
          </cell>
          <cell r="S3459" t="str">
            <v/>
          </cell>
          <cell r="V3459" t="str">
            <v/>
          </cell>
          <cell r="Z3459" t="str">
            <v/>
          </cell>
          <cell r="AA3459" t="str">
            <v/>
          </cell>
          <cell r="AB3459" t="str">
            <v/>
          </cell>
          <cell r="AC3459" t="str">
            <v/>
          </cell>
          <cell r="AD3459" t="str">
            <v/>
          </cell>
          <cell r="AY3459" t="str">
            <v/>
          </cell>
          <cell r="AZ3459" t="str">
            <v/>
          </cell>
          <cell r="BA3459" t="str">
            <v/>
          </cell>
        </row>
        <row r="3460">
          <cell r="B3460" t="str">
            <v>-</v>
          </cell>
          <cell r="E3460" t="str">
            <v/>
          </cell>
          <cell r="G3460" t="str">
            <v/>
          </cell>
          <cell r="J3460" t="str">
            <v/>
          </cell>
          <cell r="O3460" t="str">
            <v/>
          </cell>
          <cell r="P3460" t="str">
            <v/>
          </cell>
          <cell r="Q3460" t="str">
            <v/>
          </cell>
          <cell r="S3460" t="str">
            <v/>
          </cell>
          <cell r="V3460" t="str">
            <v/>
          </cell>
          <cell r="Z3460" t="str">
            <v/>
          </cell>
          <cell r="AA3460" t="str">
            <v/>
          </cell>
          <cell r="AB3460" t="str">
            <v/>
          </cell>
          <cell r="AC3460" t="str">
            <v/>
          </cell>
          <cell r="AD3460" t="str">
            <v/>
          </cell>
          <cell r="AY3460" t="str">
            <v/>
          </cell>
          <cell r="AZ3460" t="str">
            <v/>
          </cell>
          <cell r="BA3460" t="str">
            <v/>
          </cell>
        </row>
        <row r="3461">
          <cell r="B3461" t="str">
            <v>-</v>
          </cell>
          <cell r="E3461" t="str">
            <v/>
          </cell>
          <cell r="G3461" t="str">
            <v/>
          </cell>
          <cell r="J3461" t="str">
            <v/>
          </cell>
          <cell r="O3461" t="str">
            <v/>
          </cell>
          <cell r="P3461" t="str">
            <v/>
          </cell>
          <cell r="Q3461" t="str">
            <v/>
          </cell>
          <cell r="S3461" t="str">
            <v/>
          </cell>
          <cell r="V3461" t="str">
            <v/>
          </cell>
          <cell r="Z3461" t="str">
            <v/>
          </cell>
          <cell r="AA3461" t="str">
            <v/>
          </cell>
          <cell r="AB3461" t="str">
            <v/>
          </cell>
          <cell r="AC3461" t="str">
            <v/>
          </cell>
          <cell r="AD3461" t="str">
            <v/>
          </cell>
          <cell r="AY3461" t="str">
            <v/>
          </cell>
          <cell r="AZ3461" t="str">
            <v/>
          </cell>
          <cell r="BA3461" t="str">
            <v/>
          </cell>
        </row>
        <row r="3462">
          <cell r="B3462" t="str">
            <v>-</v>
          </cell>
          <cell r="E3462" t="str">
            <v/>
          </cell>
          <cell r="G3462" t="str">
            <v/>
          </cell>
          <cell r="J3462" t="str">
            <v/>
          </cell>
          <cell r="O3462" t="str">
            <v/>
          </cell>
          <cell r="P3462" t="str">
            <v/>
          </cell>
          <cell r="Q3462" t="str">
            <v/>
          </cell>
          <cell r="S3462" t="str">
            <v/>
          </cell>
          <cell r="V3462" t="str">
            <v/>
          </cell>
          <cell r="Z3462" t="str">
            <v/>
          </cell>
          <cell r="AA3462" t="str">
            <v/>
          </cell>
          <cell r="AB3462" t="str">
            <v/>
          </cell>
          <cell r="AC3462" t="str">
            <v/>
          </cell>
          <cell r="AD3462" t="str">
            <v/>
          </cell>
          <cell r="AY3462" t="str">
            <v/>
          </cell>
          <cell r="AZ3462" t="str">
            <v/>
          </cell>
          <cell r="BA3462" t="str">
            <v/>
          </cell>
        </row>
        <row r="3463">
          <cell r="B3463" t="str">
            <v>-</v>
          </cell>
          <cell r="E3463" t="str">
            <v/>
          </cell>
          <cell r="G3463" t="str">
            <v/>
          </cell>
          <cell r="J3463" t="str">
            <v/>
          </cell>
          <cell r="O3463" t="str">
            <v/>
          </cell>
          <cell r="P3463" t="str">
            <v/>
          </cell>
          <cell r="Q3463" t="str">
            <v/>
          </cell>
          <cell r="S3463" t="str">
            <v/>
          </cell>
          <cell r="V3463" t="str">
            <v/>
          </cell>
          <cell r="Z3463" t="str">
            <v/>
          </cell>
          <cell r="AA3463" t="str">
            <v/>
          </cell>
          <cell r="AB3463" t="str">
            <v/>
          </cell>
          <cell r="AC3463" t="str">
            <v/>
          </cell>
          <cell r="AD3463" t="str">
            <v/>
          </cell>
          <cell r="AY3463" t="str">
            <v/>
          </cell>
          <cell r="AZ3463" t="str">
            <v/>
          </cell>
          <cell r="BA3463" t="str">
            <v/>
          </cell>
        </row>
        <row r="3464">
          <cell r="B3464" t="str">
            <v>-</v>
          </cell>
          <cell r="E3464" t="str">
            <v/>
          </cell>
          <cell r="G3464" t="str">
            <v/>
          </cell>
          <cell r="J3464" t="str">
            <v/>
          </cell>
          <cell r="O3464" t="str">
            <v/>
          </cell>
          <cell r="P3464" t="str">
            <v/>
          </cell>
          <cell r="Q3464" t="str">
            <v/>
          </cell>
          <cell r="S3464" t="str">
            <v/>
          </cell>
          <cell r="V3464" t="str">
            <v/>
          </cell>
          <cell r="Z3464" t="str">
            <v/>
          </cell>
          <cell r="AA3464" t="str">
            <v/>
          </cell>
          <cell r="AB3464" t="str">
            <v/>
          </cell>
          <cell r="AC3464" t="str">
            <v/>
          </cell>
          <cell r="AD3464" t="str">
            <v/>
          </cell>
          <cell r="AY3464" t="str">
            <v/>
          </cell>
          <cell r="AZ3464" t="str">
            <v/>
          </cell>
          <cell r="BA3464" t="str">
            <v/>
          </cell>
        </row>
        <row r="3465">
          <cell r="B3465" t="str">
            <v>-</v>
          </cell>
          <cell r="E3465" t="str">
            <v/>
          </cell>
          <cell r="G3465" t="str">
            <v/>
          </cell>
          <cell r="J3465" t="str">
            <v/>
          </cell>
          <cell r="O3465" t="str">
            <v/>
          </cell>
          <cell r="P3465" t="str">
            <v/>
          </cell>
          <cell r="Q3465" t="str">
            <v/>
          </cell>
          <cell r="S3465" t="str">
            <v/>
          </cell>
          <cell r="V3465" t="str">
            <v/>
          </cell>
          <cell r="Z3465" t="str">
            <v/>
          </cell>
          <cell r="AA3465" t="str">
            <v/>
          </cell>
          <cell r="AB3465" t="str">
            <v/>
          </cell>
          <cell r="AC3465" t="str">
            <v/>
          </cell>
          <cell r="AD3465" t="str">
            <v/>
          </cell>
          <cell r="AY3465" t="str">
            <v/>
          </cell>
          <cell r="AZ3465" t="str">
            <v/>
          </cell>
          <cell r="BA3465" t="str">
            <v/>
          </cell>
        </row>
        <row r="3466">
          <cell r="B3466" t="str">
            <v>-</v>
          </cell>
          <cell r="E3466" t="str">
            <v/>
          </cell>
          <cell r="G3466" t="str">
            <v/>
          </cell>
          <cell r="J3466" t="str">
            <v/>
          </cell>
          <cell r="O3466" t="str">
            <v/>
          </cell>
          <cell r="P3466" t="str">
            <v/>
          </cell>
          <cell r="Q3466" t="str">
            <v/>
          </cell>
          <cell r="S3466" t="str">
            <v/>
          </cell>
          <cell r="V3466" t="str">
            <v/>
          </cell>
          <cell r="Z3466" t="str">
            <v/>
          </cell>
          <cell r="AA3466" t="str">
            <v/>
          </cell>
          <cell r="AB3466" t="str">
            <v/>
          </cell>
          <cell r="AC3466" t="str">
            <v/>
          </cell>
          <cell r="AD3466" t="str">
            <v/>
          </cell>
          <cell r="AY3466" t="str">
            <v/>
          </cell>
          <cell r="AZ3466" t="str">
            <v/>
          </cell>
          <cell r="BA3466" t="str">
            <v/>
          </cell>
        </row>
        <row r="3467">
          <cell r="B3467" t="str">
            <v>-</v>
          </cell>
          <cell r="E3467" t="str">
            <v/>
          </cell>
          <cell r="G3467" t="str">
            <v/>
          </cell>
          <cell r="J3467" t="str">
            <v/>
          </cell>
          <cell r="O3467" t="str">
            <v/>
          </cell>
          <cell r="P3467" t="str">
            <v/>
          </cell>
          <cell r="Q3467" t="str">
            <v/>
          </cell>
          <cell r="S3467" t="str">
            <v/>
          </cell>
          <cell r="V3467" t="str">
            <v/>
          </cell>
          <cell r="Z3467" t="str">
            <v/>
          </cell>
          <cell r="AA3467" t="str">
            <v/>
          </cell>
          <cell r="AB3467" t="str">
            <v/>
          </cell>
          <cell r="AC3467" t="str">
            <v/>
          </cell>
          <cell r="AD3467" t="str">
            <v/>
          </cell>
          <cell r="AY3467" t="str">
            <v/>
          </cell>
          <cell r="AZ3467" t="str">
            <v/>
          </cell>
          <cell r="BA3467" t="str">
            <v/>
          </cell>
        </row>
        <row r="3468">
          <cell r="B3468" t="str">
            <v>-</v>
          </cell>
          <cell r="E3468" t="str">
            <v/>
          </cell>
          <cell r="G3468" t="str">
            <v/>
          </cell>
          <cell r="J3468" t="str">
            <v/>
          </cell>
          <cell r="O3468" t="str">
            <v/>
          </cell>
          <cell r="P3468" t="str">
            <v/>
          </cell>
          <cell r="Q3468" t="str">
            <v/>
          </cell>
          <cell r="S3468" t="str">
            <v/>
          </cell>
          <cell r="V3468" t="str">
            <v/>
          </cell>
          <cell r="Z3468" t="str">
            <v/>
          </cell>
          <cell r="AA3468" t="str">
            <v/>
          </cell>
          <cell r="AB3468" t="str">
            <v/>
          </cell>
          <cell r="AC3468" t="str">
            <v/>
          </cell>
          <cell r="AD3468" t="str">
            <v/>
          </cell>
          <cell r="AY3468" t="str">
            <v/>
          </cell>
          <cell r="AZ3468" t="str">
            <v/>
          </cell>
          <cell r="BA3468" t="str">
            <v/>
          </cell>
        </row>
        <row r="3469">
          <cell r="B3469" t="str">
            <v>-</v>
          </cell>
          <cell r="E3469" t="str">
            <v/>
          </cell>
          <cell r="G3469" t="str">
            <v/>
          </cell>
          <cell r="J3469" t="str">
            <v/>
          </cell>
          <cell r="O3469" t="str">
            <v/>
          </cell>
          <cell r="P3469" t="str">
            <v/>
          </cell>
          <cell r="Q3469" t="str">
            <v/>
          </cell>
          <cell r="S3469" t="str">
            <v/>
          </cell>
          <cell r="V3469" t="str">
            <v/>
          </cell>
          <cell r="Z3469" t="str">
            <v/>
          </cell>
          <cell r="AA3469" t="str">
            <v/>
          </cell>
          <cell r="AB3469" t="str">
            <v/>
          </cell>
          <cell r="AC3469" t="str">
            <v/>
          </cell>
          <cell r="AD3469" t="str">
            <v/>
          </cell>
          <cell r="AY3469" t="str">
            <v/>
          </cell>
          <cell r="AZ3469" t="str">
            <v/>
          </cell>
          <cell r="BA3469" t="str">
            <v/>
          </cell>
        </row>
        <row r="3470">
          <cell r="B3470" t="str">
            <v>-</v>
          </cell>
          <cell r="E3470" t="str">
            <v/>
          </cell>
          <cell r="G3470" t="str">
            <v/>
          </cell>
          <cell r="J3470" t="str">
            <v/>
          </cell>
          <cell r="O3470" t="str">
            <v/>
          </cell>
          <cell r="P3470" t="str">
            <v/>
          </cell>
          <cell r="Q3470" t="str">
            <v/>
          </cell>
          <cell r="S3470" t="str">
            <v/>
          </cell>
          <cell r="V3470" t="str">
            <v/>
          </cell>
          <cell r="Z3470" t="str">
            <v/>
          </cell>
          <cell r="AA3470" t="str">
            <v/>
          </cell>
          <cell r="AB3470" t="str">
            <v/>
          </cell>
          <cell r="AC3470" t="str">
            <v/>
          </cell>
          <cell r="AD3470" t="str">
            <v/>
          </cell>
          <cell r="AY3470" t="str">
            <v/>
          </cell>
          <cell r="AZ3470" t="str">
            <v/>
          </cell>
          <cell r="BA3470" t="str">
            <v/>
          </cell>
        </row>
        <row r="3471">
          <cell r="B3471" t="str">
            <v>-</v>
          </cell>
          <cell r="E3471" t="str">
            <v/>
          </cell>
          <cell r="G3471" t="str">
            <v/>
          </cell>
          <cell r="J3471" t="str">
            <v/>
          </cell>
          <cell r="O3471" t="str">
            <v/>
          </cell>
          <cell r="P3471" t="str">
            <v/>
          </cell>
          <cell r="Q3471" t="str">
            <v/>
          </cell>
          <cell r="S3471" t="str">
            <v/>
          </cell>
          <cell r="V3471" t="str">
            <v/>
          </cell>
          <cell r="Z3471" t="str">
            <v/>
          </cell>
          <cell r="AA3471" t="str">
            <v/>
          </cell>
          <cell r="AB3471" t="str">
            <v/>
          </cell>
          <cell r="AC3471" t="str">
            <v/>
          </cell>
          <cell r="AD3471" t="str">
            <v/>
          </cell>
          <cell r="AY3471" t="str">
            <v/>
          </cell>
          <cell r="AZ3471" t="str">
            <v/>
          </cell>
          <cell r="BA3471" t="str">
            <v/>
          </cell>
        </row>
        <row r="3472">
          <cell r="B3472" t="str">
            <v>-</v>
          </cell>
          <cell r="E3472" t="str">
            <v/>
          </cell>
          <cell r="G3472" t="str">
            <v/>
          </cell>
          <cell r="J3472" t="str">
            <v/>
          </cell>
          <cell r="O3472" t="str">
            <v/>
          </cell>
          <cell r="P3472" t="str">
            <v/>
          </cell>
          <cell r="Q3472" t="str">
            <v/>
          </cell>
          <cell r="S3472" t="str">
            <v/>
          </cell>
          <cell r="V3472" t="str">
            <v/>
          </cell>
          <cell r="Z3472" t="str">
            <v/>
          </cell>
          <cell r="AA3472" t="str">
            <v/>
          </cell>
          <cell r="AB3472" t="str">
            <v/>
          </cell>
          <cell r="AC3472" t="str">
            <v/>
          </cell>
          <cell r="AD3472" t="str">
            <v/>
          </cell>
          <cell r="AY3472" t="str">
            <v/>
          </cell>
          <cell r="AZ3472" t="str">
            <v/>
          </cell>
          <cell r="BA3472" t="str">
            <v/>
          </cell>
        </row>
        <row r="3473">
          <cell r="B3473" t="str">
            <v>-</v>
          </cell>
          <cell r="E3473" t="str">
            <v/>
          </cell>
          <cell r="G3473" t="str">
            <v/>
          </cell>
          <cell r="J3473" t="str">
            <v/>
          </cell>
          <cell r="O3473" t="str">
            <v/>
          </cell>
          <cell r="P3473" t="str">
            <v/>
          </cell>
          <cell r="Q3473" t="str">
            <v/>
          </cell>
          <cell r="S3473" t="str">
            <v/>
          </cell>
          <cell r="V3473" t="str">
            <v/>
          </cell>
          <cell r="Z3473" t="str">
            <v/>
          </cell>
          <cell r="AA3473" t="str">
            <v/>
          </cell>
          <cell r="AB3473" t="str">
            <v/>
          </cell>
          <cell r="AC3473" t="str">
            <v/>
          </cell>
          <cell r="AD3473" t="str">
            <v/>
          </cell>
          <cell r="AY3473" t="str">
            <v/>
          </cell>
          <cell r="AZ3473" t="str">
            <v/>
          </cell>
          <cell r="BA3473" t="str">
            <v/>
          </cell>
        </row>
        <row r="3474">
          <cell r="B3474" t="str">
            <v>-</v>
          </cell>
          <cell r="E3474" t="str">
            <v/>
          </cell>
          <cell r="G3474" t="str">
            <v/>
          </cell>
          <cell r="J3474" t="str">
            <v/>
          </cell>
          <cell r="O3474" t="str">
            <v/>
          </cell>
          <cell r="P3474" t="str">
            <v/>
          </cell>
          <cell r="Q3474" t="str">
            <v/>
          </cell>
          <cell r="S3474" t="str">
            <v/>
          </cell>
          <cell r="V3474" t="str">
            <v/>
          </cell>
          <cell r="Z3474" t="str">
            <v/>
          </cell>
          <cell r="AA3474" t="str">
            <v/>
          </cell>
          <cell r="AB3474" t="str">
            <v/>
          </cell>
          <cell r="AC3474" t="str">
            <v/>
          </cell>
          <cell r="AD3474" t="str">
            <v/>
          </cell>
          <cell r="AY3474" t="str">
            <v/>
          </cell>
          <cell r="AZ3474" t="str">
            <v/>
          </cell>
          <cell r="BA3474" t="str">
            <v/>
          </cell>
        </row>
        <row r="3475">
          <cell r="B3475" t="str">
            <v>-</v>
          </cell>
          <cell r="E3475" t="str">
            <v/>
          </cell>
          <cell r="G3475" t="str">
            <v/>
          </cell>
          <cell r="J3475" t="str">
            <v/>
          </cell>
          <cell r="O3475" t="str">
            <v/>
          </cell>
          <cell r="P3475" t="str">
            <v/>
          </cell>
          <cell r="Q3475" t="str">
            <v/>
          </cell>
          <cell r="S3475" t="str">
            <v/>
          </cell>
          <cell r="V3475" t="str">
            <v/>
          </cell>
          <cell r="Z3475" t="str">
            <v/>
          </cell>
          <cell r="AA3475" t="str">
            <v/>
          </cell>
          <cell r="AB3475" t="str">
            <v/>
          </cell>
          <cell r="AC3475" t="str">
            <v/>
          </cell>
          <cell r="AD3475" t="str">
            <v/>
          </cell>
          <cell r="AY3475" t="str">
            <v/>
          </cell>
          <cell r="AZ3475" t="str">
            <v/>
          </cell>
          <cell r="BA3475" t="str">
            <v/>
          </cell>
        </row>
        <row r="3476">
          <cell r="B3476" t="str">
            <v>-</v>
          </cell>
          <cell r="E3476" t="str">
            <v/>
          </cell>
          <cell r="G3476" t="str">
            <v/>
          </cell>
          <cell r="J3476" t="str">
            <v/>
          </cell>
          <cell r="O3476" t="str">
            <v/>
          </cell>
          <cell r="P3476" t="str">
            <v/>
          </cell>
          <cell r="Q3476" t="str">
            <v/>
          </cell>
          <cell r="S3476" t="str">
            <v/>
          </cell>
          <cell r="V3476" t="str">
            <v/>
          </cell>
          <cell r="Z3476" t="str">
            <v/>
          </cell>
          <cell r="AA3476" t="str">
            <v/>
          </cell>
          <cell r="AB3476" t="str">
            <v/>
          </cell>
          <cell r="AC3476" t="str">
            <v/>
          </cell>
          <cell r="AD3476" t="str">
            <v/>
          </cell>
          <cell r="AY3476" t="str">
            <v/>
          </cell>
          <cell r="AZ3476" t="str">
            <v/>
          </cell>
          <cell r="BA3476" t="str">
            <v/>
          </cell>
        </row>
        <row r="3477">
          <cell r="B3477" t="str">
            <v>-</v>
          </cell>
          <cell r="E3477" t="str">
            <v/>
          </cell>
          <cell r="G3477" t="str">
            <v/>
          </cell>
          <cell r="J3477" t="str">
            <v/>
          </cell>
          <cell r="O3477" t="str">
            <v/>
          </cell>
          <cell r="P3477" t="str">
            <v/>
          </cell>
          <cell r="Q3477" t="str">
            <v/>
          </cell>
          <cell r="S3477" t="str">
            <v/>
          </cell>
          <cell r="V3477" t="str">
            <v/>
          </cell>
          <cell r="Z3477" t="str">
            <v/>
          </cell>
          <cell r="AA3477" t="str">
            <v/>
          </cell>
          <cell r="AB3477" t="str">
            <v/>
          </cell>
          <cell r="AC3477" t="str">
            <v/>
          </cell>
          <cell r="AD3477" t="str">
            <v/>
          </cell>
          <cell r="AY3477" t="str">
            <v/>
          </cell>
          <cell r="AZ3477" t="str">
            <v/>
          </cell>
          <cell r="BA3477" t="str">
            <v/>
          </cell>
        </row>
        <row r="3478">
          <cell r="B3478" t="str">
            <v>-</v>
          </cell>
          <cell r="E3478" t="str">
            <v/>
          </cell>
          <cell r="G3478" t="str">
            <v/>
          </cell>
          <cell r="J3478" t="str">
            <v/>
          </cell>
          <cell r="O3478" t="str">
            <v/>
          </cell>
          <cell r="P3478" t="str">
            <v/>
          </cell>
          <cell r="Q3478" t="str">
            <v/>
          </cell>
          <cell r="S3478" t="str">
            <v/>
          </cell>
          <cell r="V3478" t="str">
            <v/>
          </cell>
          <cell r="Z3478" t="str">
            <v/>
          </cell>
          <cell r="AA3478" t="str">
            <v/>
          </cell>
          <cell r="AB3478" t="str">
            <v/>
          </cell>
          <cell r="AC3478" t="str">
            <v/>
          </cell>
          <cell r="AD3478" t="str">
            <v/>
          </cell>
          <cell r="AY3478" t="str">
            <v/>
          </cell>
          <cell r="AZ3478" t="str">
            <v/>
          </cell>
          <cell r="BA3478" t="str">
            <v/>
          </cell>
        </row>
        <row r="3479">
          <cell r="B3479" t="str">
            <v>-</v>
          </cell>
          <cell r="E3479" t="str">
            <v/>
          </cell>
          <cell r="G3479" t="str">
            <v/>
          </cell>
          <cell r="J3479" t="str">
            <v/>
          </cell>
          <cell r="O3479" t="str">
            <v/>
          </cell>
          <cell r="P3479" t="str">
            <v/>
          </cell>
          <cell r="Q3479" t="str">
            <v/>
          </cell>
          <cell r="S3479" t="str">
            <v/>
          </cell>
          <cell r="V3479" t="str">
            <v/>
          </cell>
          <cell r="Z3479" t="str">
            <v/>
          </cell>
          <cell r="AA3479" t="str">
            <v/>
          </cell>
          <cell r="AB3479" t="str">
            <v/>
          </cell>
          <cell r="AC3479" t="str">
            <v/>
          </cell>
          <cell r="AD3479" t="str">
            <v/>
          </cell>
          <cell r="AY3479" t="str">
            <v/>
          </cell>
          <cell r="AZ3479" t="str">
            <v/>
          </cell>
          <cell r="BA3479" t="str">
            <v/>
          </cell>
        </row>
        <row r="3480">
          <cell r="B3480" t="str">
            <v>-</v>
          </cell>
          <cell r="E3480" t="str">
            <v/>
          </cell>
          <cell r="G3480" t="str">
            <v/>
          </cell>
          <cell r="J3480" t="str">
            <v/>
          </cell>
          <cell r="O3480" t="str">
            <v/>
          </cell>
          <cell r="P3480" t="str">
            <v/>
          </cell>
          <cell r="Q3480" t="str">
            <v/>
          </cell>
          <cell r="S3480" t="str">
            <v/>
          </cell>
          <cell r="V3480" t="str">
            <v/>
          </cell>
          <cell r="Z3480" t="str">
            <v/>
          </cell>
          <cell r="AA3480" t="str">
            <v/>
          </cell>
          <cell r="AB3480" t="str">
            <v/>
          </cell>
          <cell r="AC3480" t="str">
            <v/>
          </cell>
          <cell r="AD3480" t="str">
            <v/>
          </cell>
          <cell r="AY3480" t="str">
            <v/>
          </cell>
          <cell r="AZ3480" t="str">
            <v/>
          </cell>
          <cell r="BA3480" t="str">
            <v/>
          </cell>
        </row>
        <row r="3481">
          <cell r="B3481" t="str">
            <v>-</v>
          </cell>
          <cell r="E3481" t="str">
            <v/>
          </cell>
          <cell r="G3481" t="str">
            <v/>
          </cell>
          <cell r="J3481" t="str">
            <v/>
          </cell>
          <cell r="O3481" t="str">
            <v/>
          </cell>
          <cell r="P3481" t="str">
            <v/>
          </cell>
          <cell r="Q3481" t="str">
            <v/>
          </cell>
          <cell r="S3481" t="str">
            <v/>
          </cell>
          <cell r="V3481" t="str">
            <v/>
          </cell>
          <cell r="Z3481" t="str">
            <v/>
          </cell>
          <cell r="AA3481" t="str">
            <v/>
          </cell>
          <cell r="AB3481" t="str">
            <v/>
          </cell>
          <cell r="AC3481" t="str">
            <v/>
          </cell>
          <cell r="AD3481" t="str">
            <v/>
          </cell>
          <cell r="AY3481" t="str">
            <v/>
          </cell>
          <cell r="AZ3481" t="str">
            <v/>
          </cell>
          <cell r="BA3481" t="str">
            <v/>
          </cell>
        </row>
        <row r="3482">
          <cell r="B3482" t="str">
            <v>-</v>
          </cell>
          <cell r="E3482" t="str">
            <v/>
          </cell>
          <cell r="G3482" t="str">
            <v/>
          </cell>
          <cell r="J3482" t="str">
            <v/>
          </cell>
          <cell r="O3482" t="str">
            <v/>
          </cell>
          <cell r="P3482" t="str">
            <v/>
          </cell>
          <cell r="Q3482" t="str">
            <v/>
          </cell>
          <cell r="S3482" t="str">
            <v/>
          </cell>
          <cell r="V3482" t="str">
            <v/>
          </cell>
          <cell r="Z3482" t="str">
            <v/>
          </cell>
          <cell r="AA3482" t="str">
            <v/>
          </cell>
          <cell r="AB3482" t="str">
            <v/>
          </cell>
          <cell r="AC3482" t="str">
            <v/>
          </cell>
          <cell r="AD3482" t="str">
            <v/>
          </cell>
          <cell r="AY3482" t="str">
            <v/>
          </cell>
          <cell r="AZ3482" t="str">
            <v/>
          </cell>
          <cell r="BA3482" t="str">
            <v/>
          </cell>
        </row>
        <row r="3483">
          <cell r="B3483" t="str">
            <v>-</v>
          </cell>
          <cell r="E3483" t="str">
            <v/>
          </cell>
          <cell r="G3483" t="str">
            <v/>
          </cell>
          <cell r="J3483" t="str">
            <v/>
          </cell>
          <cell r="O3483" t="str">
            <v/>
          </cell>
          <cell r="P3483" t="str">
            <v/>
          </cell>
          <cell r="Q3483" t="str">
            <v/>
          </cell>
          <cell r="S3483" t="str">
            <v/>
          </cell>
          <cell r="V3483" t="str">
            <v/>
          </cell>
          <cell r="Z3483" t="str">
            <v/>
          </cell>
          <cell r="AA3483" t="str">
            <v/>
          </cell>
          <cell r="AB3483" t="str">
            <v/>
          </cell>
          <cell r="AC3483" t="str">
            <v/>
          </cell>
          <cell r="AD3483" t="str">
            <v/>
          </cell>
          <cell r="AY3483" t="str">
            <v/>
          </cell>
          <cell r="AZ3483" t="str">
            <v/>
          </cell>
          <cell r="BA3483" t="str">
            <v/>
          </cell>
        </row>
        <row r="3484">
          <cell r="B3484" t="str">
            <v>-</v>
          </cell>
          <cell r="E3484" t="str">
            <v/>
          </cell>
          <cell r="G3484" t="str">
            <v/>
          </cell>
          <cell r="J3484" t="str">
            <v/>
          </cell>
          <cell r="O3484" t="str">
            <v/>
          </cell>
          <cell r="P3484" t="str">
            <v/>
          </cell>
          <cell r="Q3484" t="str">
            <v/>
          </cell>
          <cell r="S3484" t="str">
            <v/>
          </cell>
          <cell r="V3484" t="str">
            <v/>
          </cell>
          <cell r="Z3484" t="str">
            <v/>
          </cell>
          <cell r="AA3484" t="str">
            <v/>
          </cell>
          <cell r="AB3484" t="str">
            <v/>
          </cell>
          <cell r="AC3484" t="str">
            <v/>
          </cell>
          <cell r="AD3484" t="str">
            <v/>
          </cell>
          <cell r="AY3484" t="str">
            <v/>
          </cell>
          <cell r="AZ3484" t="str">
            <v/>
          </cell>
          <cell r="BA3484" t="str">
            <v/>
          </cell>
        </row>
        <row r="3485">
          <cell r="B3485" t="str">
            <v>-</v>
          </cell>
          <cell r="E3485" t="str">
            <v/>
          </cell>
          <cell r="G3485" t="str">
            <v/>
          </cell>
          <cell r="J3485" t="str">
            <v/>
          </cell>
          <cell r="O3485" t="str">
            <v/>
          </cell>
          <cell r="P3485" t="str">
            <v/>
          </cell>
          <cell r="Q3485" t="str">
            <v/>
          </cell>
          <cell r="S3485" t="str">
            <v/>
          </cell>
          <cell r="V3485" t="str">
            <v/>
          </cell>
          <cell r="Z3485" t="str">
            <v/>
          </cell>
          <cell r="AA3485" t="str">
            <v/>
          </cell>
          <cell r="AB3485" t="str">
            <v/>
          </cell>
          <cell r="AC3485" t="str">
            <v/>
          </cell>
          <cell r="AD3485" t="str">
            <v/>
          </cell>
          <cell r="AY3485" t="str">
            <v/>
          </cell>
          <cell r="AZ3485" t="str">
            <v/>
          </cell>
          <cell r="BA3485" t="str">
            <v/>
          </cell>
        </row>
        <row r="3486">
          <cell r="B3486" t="str">
            <v>-</v>
          </cell>
          <cell r="E3486" t="str">
            <v/>
          </cell>
          <cell r="G3486" t="str">
            <v/>
          </cell>
          <cell r="J3486" t="str">
            <v/>
          </cell>
          <cell r="O3486" t="str">
            <v/>
          </cell>
          <cell r="P3486" t="str">
            <v/>
          </cell>
          <cell r="Q3486" t="str">
            <v/>
          </cell>
          <cell r="S3486" t="str">
            <v/>
          </cell>
          <cell r="V3486" t="str">
            <v/>
          </cell>
          <cell r="Z3486" t="str">
            <v/>
          </cell>
          <cell r="AA3486" t="str">
            <v/>
          </cell>
          <cell r="AB3486" t="str">
            <v/>
          </cell>
          <cell r="AC3486" t="str">
            <v/>
          </cell>
          <cell r="AD3486" t="str">
            <v/>
          </cell>
          <cell r="AY3486" t="str">
            <v/>
          </cell>
          <cell r="AZ3486" t="str">
            <v/>
          </cell>
          <cell r="BA3486" t="str">
            <v/>
          </cell>
        </row>
        <row r="3487">
          <cell r="B3487" t="str">
            <v>-</v>
          </cell>
          <cell r="E3487" t="str">
            <v/>
          </cell>
          <cell r="G3487" t="str">
            <v/>
          </cell>
          <cell r="J3487" t="str">
            <v/>
          </cell>
          <cell r="O3487" t="str">
            <v/>
          </cell>
          <cell r="P3487" t="str">
            <v/>
          </cell>
          <cell r="Q3487" t="str">
            <v/>
          </cell>
          <cell r="S3487" t="str">
            <v/>
          </cell>
          <cell r="V3487" t="str">
            <v/>
          </cell>
          <cell r="Z3487" t="str">
            <v/>
          </cell>
          <cell r="AA3487" t="str">
            <v/>
          </cell>
          <cell r="AB3487" t="str">
            <v/>
          </cell>
          <cell r="AC3487" t="str">
            <v/>
          </cell>
          <cell r="AD3487" t="str">
            <v/>
          </cell>
          <cell r="AY3487" t="str">
            <v/>
          </cell>
          <cell r="AZ3487" t="str">
            <v/>
          </cell>
          <cell r="BA3487" t="str">
            <v/>
          </cell>
        </row>
        <row r="3488">
          <cell r="B3488" t="str">
            <v>-</v>
          </cell>
          <cell r="E3488" t="str">
            <v/>
          </cell>
          <cell r="G3488" t="str">
            <v/>
          </cell>
          <cell r="J3488" t="str">
            <v/>
          </cell>
          <cell r="O3488" t="str">
            <v/>
          </cell>
          <cell r="P3488" t="str">
            <v/>
          </cell>
          <cell r="Q3488" t="str">
            <v/>
          </cell>
          <cell r="S3488" t="str">
            <v/>
          </cell>
          <cell r="V3488" t="str">
            <v/>
          </cell>
          <cell r="Z3488" t="str">
            <v/>
          </cell>
          <cell r="AA3488" t="str">
            <v/>
          </cell>
          <cell r="AB3488" t="str">
            <v/>
          </cell>
          <cell r="AC3488" t="str">
            <v/>
          </cell>
          <cell r="AD3488" t="str">
            <v/>
          </cell>
          <cell r="AY3488" t="str">
            <v/>
          </cell>
          <cell r="AZ3488" t="str">
            <v/>
          </cell>
          <cell r="BA3488" t="str">
            <v/>
          </cell>
        </row>
        <row r="3489">
          <cell r="B3489" t="str">
            <v>-</v>
          </cell>
          <cell r="E3489" t="str">
            <v/>
          </cell>
          <cell r="G3489" t="str">
            <v/>
          </cell>
          <cell r="J3489" t="str">
            <v/>
          </cell>
          <cell r="O3489" t="str">
            <v/>
          </cell>
          <cell r="P3489" t="str">
            <v/>
          </cell>
          <cell r="Q3489" t="str">
            <v/>
          </cell>
          <cell r="S3489" t="str">
            <v/>
          </cell>
          <cell r="V3489" t="str">
            <v/>
          </cell>
          <cell r="Z3489" t="str">
            <v/>
          </cell>
          <cell r="AA3489" t="str">
            <v/>
          </cell>
          <cell r="AB3489" t="str">
            <v/>
          </cell>
          <cell r="AC3489" t="str">
            <v/>
          </cell>
          <cell r="AD3489" t="str">
            <v/>
          </cell>
          <cell r="AY3489" t="str">
            <v/>
          </cell>
          <cell r="AZ3489" t="str">
            <v/>
          </cell>
          <cell r="BA3489" t="str">
            <v/>
          </cell>
        </row>
        <row r="3490">
          <cell r="B3490" t="str">
            <v>-</v>
          </cell>
          <cell r="E3490" t="str">
            <v/>
          </cell>
          <cell r="G3490" t="str">
            <v/>
          </cell>
          <cell r="J3490" t="str">
            <v/>
          </cell>
          <cell r="O3490" t="str">
            <v/>
          </cell>
          <cell r="P3490" t="str">
            <v/>
          </cell>
          <cell r="Q3490" t="str">
            <v/>
          </cell>
          <cell r="S3490" t="str">
            <v/>
          </cell>
          <cell r="V3490" t="str">
            <v/>
          </cell>
          <cell r="Z3490" t="str">
            <v/>
          </cell>
          <cell r="AA3490" t="str">
            <v/>
          </cell>
          <cell r="AB3490" t="str">
            <v/>
          </cell>
          <cell r="AC3490" t="str">
            <v/>
          </cell>
          <cell r="AD3490" t="str">
            <v/>
          </cell>
          <cell r="AY3490" t="str">
            <v/>
          </cell>
          <cell r="AZ3490" t="str">
            <v/>
          </cell>
          <cell r="BA3490" t="str">
            <v/>
          </cell>
        </row>
        <row r="3491">
          <cell r="B3491" t="str">
            <v>-</v>
          </cell>
          <cell r="E3491" t="str">
            <v/>
          </cell>
          <cell r="G3491" t="str">
            <v/>
          </cell>
          <cell r="J3491" t="str">
            <v/>
          </cell>
          <cell r="O3491" t="str">
            <v/>
          </cell>
          <cell r="P3491" t="str">
            <v/>
          </cell>
          <cell r="Q3491" t="str">
            <v/>
          </cell>
          <cell r="S3491" t="str">
            <v/>
          </cell>
          <cell r="V3491" t="str">
            <v/>
          </cell>
          <cell r="Z3491" t="str">
            <v/>
          </cell>
          <cell r="AA3491" t="str">
            <v/>
          </cell>
          <cell r="AB3491" t="str">
            <v/>
          </cell>
          <cell r="AC3491" t="str">
            <v/>
          </cell>
          <cell r="AD3491" t="str">
            <v/>
          </cell>
          <cell r="AY3491" t="str">
            <v/>
          </cell>
          <cell r="AZ3491" t="str">
            <v/>
          </cell>
          <cell r="BA3491" t="str">
            <v/>
          </cell>
        </row>
        <row r="3492">
          <cell r="B3492" t="str">
            <v>-</v>
          </cell>
          <cell r="E3492" t="str">
            <v/>
          </cell>
          <cell r="G3492" t="str">
            <v/>
          </cell>
          <cell r="J3492" t="str">
            <v/>
          </cell>
          <cell r="O3492" t="str">
            <v/>
          </cell>
          <cell r="P3492" t="str">
            <v/>
          </cell>
          <cell r="Q3492" t="str">
            <v/>
          </cell>
          <cell r="S3492" t="str">
            <v/>
          </cell>
          <cell r="V3492" t="str">
            <v/>
          </cell>
          <cell r="Z3492" t="str">
            <v/>
          </cell>
          <cell r="AA3492" t="str">
            <v/>
          </cell>
          <cell r="AB3492" t="str">
            <v/>
          </cell>
          <cell r="AC3492" t="str">
            <v/>
          </cell>
          <cell r="AD3492" t="str">
            <v/>
          </cell>
          <cell r="AY3492" t="str">
            <v/>
          </cell>
          <cell r="AZ3492" t="str">
            <v/>
          </cell>
          <cell r="BA3492" t="str">
            <v/>
          </cell>
        </row>
        <row r="3493">
          <cell r="B3493" t="str">
            <v>-</v>
          </cell>
          <cell r="E3493" t="str">
            <v/>
          </cell>
          <cell r="G3493" t="str">
            <v/>
          </cell>
          <cell r="J3493" t="str">
            <v/>
          </cell>
          <cell r="O3493" t="str">
            <v/>
          </cell>
          <cell r="P3493" t="str">
            <v/>
          </cell>
          <cell r="Q3493" t="str">
            <v/>
          </cell>
          <cell r="S3493" t="str">
            <v/>
          </cell>
          <cell r="V3493" t="str">
            <v/>
          </cell>
          <cell r="Z3493" t="str">
            <v/>
          </cell>
          <cell r="AA3493" t="str">
            <v/>
          </cell>
          <cell r="AB3493" t="str">
            <v/>
          </cell>
          <cell r="AC3493" t="str">
            <v/>
          </cell>
          <cell r="AD3493" t="str">
            <v/>
          </cell>
          <cell r="AY3493" t="str">
            <v/>
          </cell>
          <cell r="AZ3493" t="str">
            <v/>
          </cell>
          <cell r="BA3493" t="str">
            <v/>
          </cell>
        </row>
        <row r="3494">
          <cell r="B3494" t="str">
            <v>-</v>
          </cell>
          <cell r="E3494" t="str">
            <v/>
          </cell>
          <cell r="G3494" t="str">
            <v/>
          </cell>
          <cell r="J3494" t="str">
            <v/>
          </cell>
          <cell r="O3494" t="str">
            <v/>
          </cell>
          <cell r="P3494" t="str">
            <v/>
          </cell>
          <cell r="Q3494" t="str">
            <v/>
          </cell>
          <cell r="S3494" t="str">
            <v/>
          </cell>
          <cell r="V3494" t="str">
            <v/>
          </cell>
          <cell r="Z3494" t="str">
            <v/>
          </cell>
          <cell r="AA3494" t="str">
            <v/>
          </cell>
          <cell r="AB3494" t="str">
            <v/>
          </cell>
          <cell r="AC3494" t="str">
            <v/>
          </cell>
          <cell r="AD3494" t="str">
            <v/>
          </cell>
          <cell r="AY3494" t="str">
            <v/>
          </cell>
          <cell r="AZ3494" t="str">
            <v/>
          </cell>
          <cell r="BA3494" t="str">
            <v/>
          </cell>
        </row>
        <row r="3495">
          <cell r="B3495" t="str">
            <v>-</v>
          </cell>
          <cell r="E3495" t="str">
            <v/>
          </cell>
          <cell r="G3495" t="str">
            <v/>
          </cell>
          <cell r="J3495" t="str">
            <v/>
          </cell>
          <cell r="O3495" t="str">
            <v/>
          </cell>
          <cell r="P3495" t="str">
            <v/>
          </cell>
          <cell r="Q3495" t="str">
            <v/>
          </cell>
          <cell r="S3495" t="str">
            <v/>
          </cell>
          <cell r="V3495" t="str">
            <v/>
          </cell>
          <cell r="Z3495" t="str">
            <v/>
          </cell>
          <cell r="AA3495" t="str">
            <v/>
          </cell>
          <cell r="AB3495" t="str">
            <v/>
          </cell>
          <cell r="AC3495" t="str">
            <v/>
          </cell>
          <cell r="AD3495" t="str">
            <v/>
          </cell>
          <cell r="AY3495" t="str">
            <v/>
          </cell>
          <cell r="AZ3495" t="str">
            <v/>
          </cell>
          <cell r="BA3495" t="str">
            <v/>
          </cell>
        </row>
        <row r="3496">
          <cell r="B3496" t="str">
            <v>-</v>
          </cell>
          <cell r="E3496" t="str">
            <v/>
          </cell>
          <cell r="G3496" t="str">
            <v/>
          </cell>
          <cell r="J3496" t="str">
            <v/>
          </cell>
          <cell r="O3496" t="str">
            <v/>
          </cell>
          <cell r="P3496" t="str">
            <v/>
          </cell>
          <cell r="Q3496" t="str">
            <v/>
          </cell>
          <cell r="S3496" t="str">
            <v/>
          </cell>
          <cell r="V3496" t="str">
            <v/>
          </cell>
          <cell r="Z3496" t="str">
            <v/>
          </cell>
          <cell r="AA3496" t="str">
            <v/>
          </cell>
          <cell r="AB3496" t="str">
            <v/>
          </cell>
          <cell r="AC3496" t="str">
            <v/>
          </cell>
          <cell r="AD3496" t="str">
            <v/>
          </cell>
          <cell r="AY3496" t="str">
            <v/>
          </cell>
          <cell r="AZ3496" t="str">
            <v/>
          </cell>
          <cell r="BA3496" t="str">
            <v/>
          </cell>
        </row>
        <row r="3497">
          <cell r="B3497" t="str">
            <v>-</v>
          </cell>
          <cell r="E3497" t="str">
            <v/>
          </cell>
          <cell r="G3497" t="str">
            <v/>
          </cell>
          <cell r="J3497" t="str">
            <v/>
          </cell>
          <cell r="O3497" t="str">
            <v/>
          </cell>
          <cell r="P3497" t="str">
            <v/>
          </cell>
          <cell r="Q3497" t="str">
            <v/>
          </cell>
          <cell r="S3497" t="str">
            <v/>
          </cell>
          <cell r="V3497" t="str">
            <v/>
          </cell>
          <cell r="Z3497" t="str">
            <v/>
          </cell>
          <cell r="AA3497" t="str">
            <v/>
          </cell>
          <cell r="AB3497" t="str">
            <v/>
          </cell>
          <cell r="AC3497" t="str">
            <v/>
          </cell>
          <cell r="AD3497" t="str">
            <v/>
          </cell>
          <cell r="AY3497" t="str">
            <v/>
          </cell>
          <cell r="AZ3497" t="str">
            <v/>
          </cell>
          <cell r="BA3497" t="str">
            <v/>
          </cell>
        </row>
        <row r="3498">
          <cell r="B3498" t="str">
            <v>-</v>
          </cell>
          <cell r="E3498" t="str">
            <v/>
          </cell>
          <cell r="G3498" t="str">
            <v/>
          </cell>
          <cell r="J3498" t="str">
            <v/>
          </cell>
          <cell r="O3498" t="str">
            <v/>
          </cell>
          <cell r="P3498" t="str">
            <v/>
          </cell>
          <cell r="Q3498" t="str">
            <v/>
          </cell>
          <cell r="S3498" t="str">
            <v/>
          </cell>
          <cell r="V3498" t="str">
            <v/>
          </cell>
          <cell r="Z3498" t="str">
            <v/>
          </cell>
          <cell r="AA3498" t="str">
            <v/>
          </cell>
          <cell r="AB3498" t="str">
            <v/>
          </cell>
          <cell r="AC3498" t="str">
            <v/>
          </cell>
          <cell r="AD3498" t="str">
            <v/>
          </cell>
          <cell r="AY3498" t="str">
            <v/>
          </cell>
          <cell r="AZ3498" t="str">
            <v/>
          </cell>
          <cell r="BA3498" t="str">
            <v/>
          </cell>
        </row>
        <row r="3499">
          <cell r="B3499" t="str">
            <v>-</v>
          </cell>
          <cell r="E3499" t="str">
            <v/>
          </cell>
          <cell r="G3499" t="str">
            <v/>
          </cell>
          <cell r="J3499" t="str">
            <v/>
          </cell>
          <cell r="O3499" t="str">
            <v/>
          </cell>
          <cell r="P3499" t="str">
            <v/>
          </cell>
          <cell r="Q3499" t="str">
            <v/>
          </cell>
          <cell r="S3499" t="str">
            <v/>
          </cell>
          <cell r="V3499" t="str">
            <v/>
          </cell>
          <cell r="Z3499" t="str">
            <v/>
          </cell>
          <cell r="AA3499" t="str">
            <v/>
          </cell>
          <cell r="AB3499" t="str">
            <v/>
          </cell>
          <cell r="AC3499" t="str">
            <v/>
          </cell>
          <cell r="AD3499" t="str">
            <v/>
          </cell>
          <cell r="AY3499" t="str">
            <v/>
          </cell>
          <cell r="AZ3499" t="str">
            <v/>
          </cell>
          <cell r="BA3499" t="str">
            <v/>
          </cell>
        </row>
        <row r="3500">
          <cell r="B3500" t="str">
            <v>-</v>
          </cell>
          <cell r="E3500" t="str">
            <v/>
          </cell>
          <cell r="G3500" t="str">
            <v/>
          </cell>
          <cell r="J3500" t="str">
            <v/>
          </cell>
          <cell r="O3500" t="str">
            <v/>
          </cell>
          <cell r="P3500" t="str">
            <v/>
          </cell>
          <cell r="Q3500" t="str">
            <v/>
          </cell>
          <cell r="S3500" t="str">
            <v/>
          </cell>
          <cell r="V3500" t="str">
            <v/>
          </cell>
          <cell r="Z3500" t="str">
            <v/>
          </cell>
          <cell r="AA3500" t="str">
            <v/>
          </cell>
          <cell r="AB3500" t="str">
            <v/>
          </cell>
          <cell r="AC3500" t="str">
            <v/>
          </cell>
          <cell r="AD3500" t="str">
            <v/>
          </cell>
          <cell r="AY3500" t="str">
            <v/>
          </cell>
          <cell r="AZ3500" t="str">
            <v/>
          </cell>
          <cell r="BA3500" t="str">
            <v/>
          </cell>
        </row>
        <row r="3501">
          <cell r="B3501" t="str">
            <v>-</v>
          </cell>
          <cell r="E3501" t="str">
            <v/>
          </cell>
          <cell r="G3501" t="str">
            <v/>
          </cell>
          <cell r="J3501" t="str">
            <v/>
          </cell>
          <cell r="O3501" t="str">
            <v/>
          </cell>
          <cell r="P3501" t="str">
            <v/>
          </cell>
          <cell r="Q3501" t="str">
            <v/>
          </cell>
          <cell r="S3501" t="str">
            <v/>
          </cell>
          <cell r="V3501" t="str">
            <v/>
          </cell>
          <cell r="Z3501" t="str">
            <v/>
          </cell>
          <cell r="AA3501" t="str">
            <v/>
          </cell>
          <cell r="AB3501" t="str">
            <v/>
          </cell>
          <cell r="AC3501" t="str">
            <v/>
          </cell>
          <cell r="AD3501" t="str">
            <v/>
          </cell>
          <cell r="AY3501" t="str">
            <v/>
          </cell>
          <cell r="AZ3501" t="str">
            <v/>
          </cell>
          <cell r="BA3501" t="str">
            <v/>
          </cell>
        </row>
        <row r="3502">
          <cell r="B3502" t="str">
            <v>-</v>
          </cell>
          <cell r="E3502" t="str">
            <v/>
          </cell>
          <cell r="G3502" t="str">
            <v/>
          </cell>
          <cell r="J3502" t="str">
            <v/>
          </cell>
          <cell r="O3502" t="str">
            <v/>
          </cell>
          <cell r="P3502" t="str">
            <v/>
          </cell>
          <cell r="Q3502" t="str">
            <v/>
          </cell>
          <cell r="S3502" t="str">
            <v/>
          </cell>
          <cell r="V3502" t="str">
            <v/>
          </cell>
          <cell r="Z3502" t="str">
            <v/>
          </cell>
          <cell r="AA3502" t="str">
            <v/>
          </cell>
          <cell r="AB3502" t="str">
            <v/>
          </cell>
          <cell r="AC3502" t="str">
            <v/>
          </cell>
          <cell r="AD3502" t="str">
            <v/>
          </cell>
          <cell r="AY3502" t="str">
            <v/>
          </cell>
          <cell r="AZ3502" t="str">
            <v/>
          </cell>
          <cell r="BA3502" t="str">
            <v/>
          </cell>
        </row>
        <row r="3503">
          <cell r="B3503" t="str">
            <v>-</v>
          </cell>
          <cell r="E3503" t="str">
            <v/>
          </cell>
          <cell r="G3503" t="str">
            <v/>
          </cell>
          <cell r="J3503" t="str">
            <v/>
          </cell>
          <cell r="O3503" t="str">
            <v/>
          </cell>
          <cell r="P3503" t="str">
            <v/>
          </cell>
          <cell r="Q3503" t="str">
            <v/>
          </cell>
          <cell r="S3503" t="str">
            <v/>
          </cell>
          <cell r="V3503" t="str">
            <v/>
          </cell>
          <cell r="Z3503" t="str">
            <v/>
          </cell>
          <cell r="AA3503" t="str">
            <v/>
          </cell>
          <cell r="AB3503" t="str">
            <v/>
          </cell>
          <cell r="AC3503" t="str">
            <v/>
          </cell>
          <cell r="AD3503" t="str">
            <v/>
          </cell>
          <cell r="AY3503" t="str">
            <v/>
          </cell>
          <cell r="AZ3503" t="str">
            <v/>
          </cell>
          <cell r="BA3503" t="str">
            <v/>
          </cell>
        </row>
        <row r="3504">
          <cell r="B3504" t="str">
            <v>-</v>
          </cell>
          <cell r="E3504" t="str">
            <v/>
          </cell>
          <cell r="G3504" t="str">
            <v/>
          </cell>
          <cell r="J3504" t="str">
            <v/>
          </cell>
          <cell r="O3504" t="str">
            <v/>
          </cell>
          <cell r="P3504" t="str">
            <v/>
          </cell>
          <cell r="Q3504" t="str">
            <v/>
          </cell>
          <cell r="S3504" t="str">
            <v/>
          </cell>
          <cell r="V3504" t="str">
            <v/>
          </cell>
          <cell r="Z3504" t="str">
            <v/>
          </cell>
          <cell r="AA3504" t="str">
            <v/>
          </cell>
          <cell r="AB3504" t="str">
            <v/>
          </cell>
          <cell r="AC3504" t="str">
            <v/>
          </cell>
          <cell r="AD3504" t="str">
            <v/>
          </cell>
          <cell r="AY3504" t="str">
            <v/>
          </cell>
          <cell r="AZ3504" t="str">
            <v/>
          </cell>
          <cell r="BA3504" t="str">
            <v/>
          </cell>
        </row>
        <row r="3505">
          <cell r="B3505" t="str">
            <v>-</v>
          </cell>
          <cell r="E3505" t="str">
            <v/>
          </cell>
          <cell r="G3505" t="str">
            <v/>
          </cell>
          <cell r="J3505" t="str">
            <v/>
          </cell>
          <cell r="O3505" t="str">
            <v/>
          </cell>
          <cell r="P3505" t="str">
            <v/>
          </cell>
          <cell r="Q3505" t="str">
            <v/>
          </cell>
          <cell r="S3505" t="str">
            <v/>
          </cell>
          <cell r="V3505" t="str">
            <v/>
          </cell>
          <cell r="Z3505" t="str">
            <v/>
          </cell>
          <cell r="AA3505" t="str">
            <v/>
          </cell>
          <cell r="AB3505" t="str">
            <v/>
          </cell>
          <cell r="AC3505" t="str">
            <v/>
          </cell>
          <cell r="AD3505" t="str">
            <v/>
          </cell>
          <cell r="AY3505" t="str">
            <v/>
          </cell>
          <cell r="AZ3505" t="str">
            <v/>
          </cell>
          <cell r="BA3505" t="str">
            <v/>
          </cell>
        </row>
        <row r="3506">
          <cell r="B3506" t="str">
            <v>-</v>
          </cell>
          <cell r="E3506" t="str">
            <v/>
          </cell>
          <cell r="G3506" t="str">
            <v/>
          </cell>
          <cell r="J3506" t="str">
            <v/>
          </cell>
          <cell r="O3506" t="str">
            <v/>
          </cell>
          <cell r="P3506" t="str">
            <v/>
          </cell>
          <cell r="Q3506" t="str">
            <v/>
          </cell>
          <cell r="S3506" t="str">
            <v/>
          </cell>
          <cell r="V3506" t="str">
            <v/>
          </cell>
          <cell r="Z3506" t="str">
            <v/>
          </cell>
          <cell r="AA3506" t="str">
            <v/>
          </cell>
          <cell r="AB3506" t="str">
            <v/>
          </cell>
          <cell r="AC3506" t="str">
            <v/>
          </cell>
          <cell r="AD3506" t="str">
            <v/>
          </cell>
          <cell r="AY3506" t="str">
            <v/>
          </cell>
          <cell r="AZ3506" t="str">
            <v/>
          </cell>
          <cell r="BA3506" t="str">
            <v/>
          </cell>
        </row>
        <row r="3507">
          <cell r="B3507" t="str">
            <v>-</v>
          </cell>
          <cell r="E3507" t="str">
            <v/>
          </cell>
          <cell r="G3507" t="str">
            <v/>
          </cell>
          <cell r="J3507" t="str">
            <v/>
          </cell>
          <cell r="O3507" t="str">
            <v/>
          </cell>
          <cell r="P3507" t="str">
            <v/>
          </cell>
          <cell r="Q3507" t="str">
            <v/>
          </cell>
          <cell r="S3507" t="str">
            <v/>
          </cell>
          <cell r="V3507" t="str">
            <v/>
          </cell>
          <cell r="Z3507" t="str">
            <v/>
          </cell>
          <cell r="AA3507" t="str">
            <v/>
          </cell>
          <cell r="AB3507" t="str">
            <v/>
          </cell>
          <cell r="AC3507" t="str">
            <v/>
          </cell>
          <cell r="AD3507" t="str">
            <v/>
          </cell>
          <cell r="AY3507" t="str">
            <v/>
          </cell>
          <cell r="AZ3507" t="str">
            <v/>
          </cell>
          <cell r="BA3507" t="str">
            <v/>
          </cell>
        </row>
        <row r="3508">
          <cell r="B3508" t="str">
            <v>-</v>
          </cell>
          <cell r="E3508" t="str">
            <v/>
          </cell>
          <cell r="G3508" t="str">
            <v/>
          </cell>
          <cell r="J3508" t="str">
            <v/>
          </cell>
          <cell r="O3508" t="str">
            <v/>
          </cell>
          <cell r="P3508" t="str">
            <v/>
          </cell>
          <cell r="Q3508" t="str">
            <v/>
          </cell>
          <cell r="S3508" t="str">
            <v/>
          </cell>
          <cell r="V3508" t="str">
            <v/>
          </cell>
          <cell r="Z3508" t="str">
            <v/>
          </cell>
          <cell r="AA3508" t="str">
            <v/>
          </cell>
          <cell r="AB3508" t="str">
            <v/>
          </cell>
          <cell r="AC3508" t="str">
            <v/>
          </cell>
          <cell r="AD3508" t="str">
            <v/>
          </cell>
          <cell r="AY3508" t="str">
            <v/>
          </cell>
          <cell r="AZ3508" t="str">
            <v/>
          </cell>
          <cell r="BA3508" t="str">
            <v/>
          </cell>
        </row>
        <row r="3509">
          <cell r="B3509" t="str">
            <v>-</v>
          </cell>
          <cell r="E3509" t="str">
            <v/>
          </cell>
          <cell r="G3509" t="str">
            <v/>
          </cell>
          <cell r="J3509" t="str">
            <v/>
          </cell>
          <cell r="O3509" t="str">
            <v/>
          </cell>
          <cell r="P3509" t="str">
            <v/>
          </cell>
          <cell r="Q3509" t="str">
            <v/>
          </cell>
          <cell r="S3509" t="str">
            <v/>
          </cell>
          <cell r="V3509" t="str">
            <v/>
          </cell>
          <cell r="Z3509" t="str">
            <v/>
          </cell>
          <cell r="AA3509" t="str">
            <v/>
          </cell>
          <cell r="AB3509" t="str">
            <v/>
          </cell>
          <cell r="AC3509" t="str">
            <v/>
          </cell>
          <cell r="AD3509" t="str">
            <v/>
          </cell>
          <cell r="AY3509" t="str">
            <v/>
          </cell>
          <cell r="AZ3509" t="str">
            <v/>
          </cell>
          <cell r="BA3509" t="str">
            <v/>
          </cell>
        </row>
        <row r="3510">
          <cell r="B3510" t="str">
            <v>-</v>
          </cell>
          <cell r="E3510" t="str">
            <v/>
          </cell>
          <cell r="G3510" t="str">
            <v/>
          </cell>
          <cell r="J3510" t="str">
            <v/>
          </cell>
          <cell r="O3510" t="str">
            <v/>
          </cell>
          <cell r="P3510" t="str">
            <v/>
          </cell>
          <cell r="Q3510" t="str">
            <v/>
          </cell>
          <cell r="S3510" t="str">
            <v/>
          </cell>
          <cell r="V3510" t="str">
            <v/>
          </cell>
          <cell r="Z3510" t="str">
            <v/>
          </cell>
          <cell r="AA3510" t="str">
            <v/>
          </cell>
          <cell r="AB3510" t="str">
            <v/>
          </cell>
          <cell r="AC3510" t="str">
            <v/>
          </cell>
          <cell r="AD3510" t="str">
            <v/>
          </cell>
          <cell r="AY3510" t="str">
            <v/>
          </cell>
          <cell r="AZ3510" t="str">
            <v/>
          </cell>
          <cell r="BA3510" t="str">
            <v/>
          </cell>
        </row>
        <row r="3511">
          <cell r="B3511" t="str">
            <v>-</v>
          </cell>
          <cell r="E3511" t="str">
            <v/>
          </cell>
          <cell r="G3511" t="str">
            <v/>
          </cell>
          <cell r="J3511" t="str">
            <v/>
          </cell>
          <cell r="O3511" t="str">
            <v/>
          </cell>
          <cell r="P3511" t="str">
            <v/>
          </cell>
          <cell r="Q3511" t="str">
            <v/>
          </cell>
          <cell r="S3511" t="str">
            <v/>
          </cell>
          <cell r="V3511" t="str">
            <v/>
          </cell>
          <cell r="Z3511" t="str">
            <v/>
          </cell>
          <cell r="AA3511" t="str">
            <v/>
          </cell>
          <cell r="AB3511" t="str">
            <v/>
          </cell>
          <cell r="AC3511" t="str">
            <v/>
          </cell>
          <cell r="AD3511" t="str">
            <v/>
          </cell>
          <cell r="AY3511" t="str">
            <v/>
          </cell>
          <cell r="AZ3511" t="str">
            <v/>
          </cell>
          <cell r="BA3511" t="str">
            <v/>
          </cell>
        </row>
        <row r="3512">
          <cell r="B3512" t="str">
            <v>-</v>
          </cell>
          <cell r="E3512" t="str">
            <v/>
          </cell>
          <cell r="G3512" t="str">
            <v/>
          </cell>
          <cell r="J3512" t="str">
            <v/>
          </cell>
          <cell r="O3512" t="str">
            <v/>
          </cell>
          <cell r="P3512" t="str">
            <v/>
          </cell>
          <cell r="Q3512" t="str">
            <v/>
          </cell>
          <cell r="S3512" t="str">
            <v/>
          </cell>
          <cell r="V3512" t="str">
            <v/>
          </cell>
          <cell r="Z3512" t="str">
            <v/>
          </cell>
          <cell r="AA3512" t="str">
            <v/>
          </cell>
          <cell r="AB3512" t="str">
            <v/>
          </cell>
          <cell r="AC3512" t="str">
            <v/>
          </cell>
          <cell r="AD3512" t="str">
            <v/>
          </cell>
          <cell r="AY3512" t="str">
            <v/>
          </cell>
          <cell r="AZ3512" t="str">
            <v/>
          </cell>
          <cell r="BA3512" t="str">
            <v/>
          </cell>
        </row>
        <row r="3513">
          <cell r="B3513" t="str">
            <v>-</v>
          </cell>
          <cell r="E3513" t="str">
            <v/>
          </cell>
          <cell r="G3513" t="str">
            <v/>
          </cell>
          <cell r="J3513" t="str">
            <v/>
          </cell>
          <cell r="O3513" t="str">
            <v/>
          </cell>
          <cell r="P3513" t="str">
            <v/>
          </cell>
          <cell r="Q3513" t="str">
            <v/>
          </cell>
          <cell r="S3513" t="str">
            <v/>
          </cell>
          <cell r="V3513" t="str">
            <v/>
          </cell>
          <cell r="Z3513" t="str">
            <v/>
          </cell>
          <cell r="AA3513" t="str">
            <v/>
          </cell>
          <cell r="AB3513" t="str">
            <v/>
          </cell>
          <cell r="AC3513" t="str">
            <v/>
          </cell>
          <cell r="AD3513" t="str">
            <v/>
          </cell>
          <cell r="AY3513" t="str">
            <v/>
          </cell>
          <cell r="AZ3513" t="str">
            <v/>
          </cell>
          <cell r="BA3513" t="str">
            <v/>
          </cell>
        </row>
        <row r="3514">
          <cell r="B3514" t="str">
            <v>-</v>
          </cell>
          <cell r="E3514" t="str">
            <v/>
          </cell>
          <cell r="G3514" t="str">
            <v/>
          </cell>
          <cell r="J3514" t="str">
            <v/>
          </cell>
          <cell r="O3514" t="str">
            <v/>
          </cell>
          <cell r="P3514" t="str">
            <v/>
          </cell>
          <cell r="Q3514" t="str">
            <v/>
          </cell>
          <cell r="S3514" t="str">
            <v/>
          </cell>
          <cell r="V3514" t="str">
            <v/>
          </cell>
          <cell r="Z3514" t="str">
            <v/>
          </cell>
          <cell r="AA3514" t="str">
            <v/>
          </cell>
          <cell r="AB3514" t="str">
            <v/>
          </cell>
          <cell r="AC3514" t="str">
            <v/>
          </cell>
          <cell r="AD3514" t="str">
            <v/>
          </cell>
          <cell r="AY3514" t="str">
            <v/>
          </cell>
          <cell r="AZ3514" t="str">
            <v/>
          </cell>
          <cell r="BA3514" t="str">
            <v/>
          </cell>
        </row>
        <row r="3515">
          <cell r="B3515" t="str">
            <v>-</v>
          </cell>
          <cell r="E3515" t="str">
            <v/>
          </cell>
          <cell r="G3515" t="str">
            <v/>
          </cell>
          <cell r="J3515" t="str">
            <v/>
          </cell>
          <cell r="O3515" t="str">
            <v/>
          </cell>
          <cell r="P3515" t="str">
            <v/>
          </cell>
          <cell r="Q3515" t="str">
            <v/>
          </cell>
          <cell r="S3515" t="str">
            <v/>
          </cell>
          <cell r="V3515" t="str">
            <v/>
          </cell>
          <cell r="Z3515" t="str">
            <v/>
          </cell>
          <cell r="AA3515" t="str">
            <v/>
          </cell>
          <cell r="AB3515" t="str">
            <v/>
          </cell>
          <cell r="AC3515" t="str">
            <v/>
          </cell>
          <cell r="AD3515" t="str">
            <v/>
          </cell>
          <cell r="AY3515" t="str">
            <v/>
          </cell>
          <cell r="AZ3515" t="str">
            <v/>
          </cell>
          <cell r="BA3515" t="str">
            <v/>
          </cell>
        </row>
        <row r="3516">
          <cell r="B3516" t="str">
            <v>-</v>
          </cell>
          <cell r="E3516" t="str">
            <v/>
          </cell>
          <cell r="G3516" t="str">
            <v/>
          </cell>
          <cell r="J3516" t="str">
            <v/>
          </cell>
          <cell r="O3516" t="str">
            <v/>
          </cell>
          <cell r="P3516" t="str">
            <v/>
          </cell>
          <cell r="Q3516" t="str">
            <v/>
          </cell>
          <cell r="S3516" t="str">
            <v/>
          </cell>
          <cell r="V3516" t="str">
            <v/>
          </cell>
          <cell r="Z3516" t="str">
            <v/>
          </cell>
          <cell r="AA3516" t="str">
            <v/>
          </cell>
          <cell r="AB3516" t="str">
            <v/>
          </cell>
          <cell r="AC3516" t="str">
            <v/>
          </cell>
          <cell r="AD3516" t="str">
            <v/>
          </cell>
          <cell r="AY3516" t="str">
            <v/>
          </cell>
          <cell r="AZ3516" t="str">
            <v/>
          </cell>
          <cell r="BA3516" t="str">
            <v/>
          </cell>
        </row>
        <row r="3517">
          <cell r="B3517" t="str">
            <v>-</v>
          </cell>
          <cell r="E3517" t="str">
            <v/>
          </cell>
          <cell r="G3517" t="str">
            <v/>
          </cell>
          <cell r="J3517" t="str">
            <v/>
          </cell>
          <cell r="O3517" t="str">
            <v/>
          </cell>
          <cell r="P3517" t="str">
            <v/>
          </cell>
          <cell r="Q3517" t="str">
            <v/>
          </cell>
          <cell r="S3517" t="str">
            <v/>
          </cell>
          <cell r="V3517" t="str">
            <v/>
          </cell>
          <cell r="Z3517" t="str">
            <v/>
          </cell>
          <cell r="AA3517" t="str">
            <v/>
          </cell>
          <cell r="AB3517" t="str">
            <v/>
          </cell>
          <cell r="AC3517" t="str">
            <v/>
          </cell>
          <cell r="AD3517" t="str">
            <v/>
          </cell>
          <cell r="AY3517" t="str">
            <v/>
          </cell>
          <cell r="AZ3517" t="str">
            <v/>
          </cell>
          <cell r="BA3517" t="str">
            <v/>
          </cell>
        </row>
        <row r="3518">
          <cell r="B3518" t="str">
            <v>-</v>
          </cell>
          <cell r="E3518" t="str">
            <v/>
          </cell>
          <cell r="G3518" t="str">
            <v/>
          </cell>
          <cell r="J3518" t="str">
            <v/>
          </cell>
          <cell r="O3518" t="str">
            <v/>
          </cell>
          <cell r="P3518" t="str">
            <v/>
          </cell>
          <cell r="Q3518" t="str">
            <v/>
          </cell>
          <cell r="S3518" t="str">
            <v/>
          </cell>
          <cell r="V3518" t="str">
            <v/>
          </cell>
          <cell r="Z3518" t="str">
            <v/>
          </cell>
          <cell r="AA3518" t="str">
            <v/>
          </cell>
          <cell r="AB3518" t="str">
            <v/>
          </cell>
          <cell r="AC3518" t="str">
            <v/>
          </cell>
          <cell r="AD3518" t="str">
            <v/>
          </cell>
          <cell r="AY3518" t="str">
            <v/>
          </cell>
          <cell r="AZ3518" t="str">
            <v/>
          </cell>
          <cell r="BA3518" t="str">
            <v/>
          </cell>
        </row>
        <row r="3519">
          <cell r="B3519" t="str">
            <v>-</v>
          </cell>
          <cell r="E3519" t="str">
            <v/>
          </cell>
          <cell r="G3519" t="str">
            <v/>
          </cell>
          <cell r="J3519" t="str">
            <v/>
          </cell>
          <cell r="O3519" t="str">
            <v/>
          </cell>
          <cell r="P3519" t="str">
            <v/>
          </cell>
          <cell r="Q3519" t="str">
            <v/>
          </cell>
          <cell r="S3519" t="str">
            <v/>
          </cell>
          <cell r="V3519" t="str">
            <v/>
          </cell>
          <cell r="Z3519" t="str">
            <v/>
          </cell>
          <cell r="AA3519" t="str">
            <v/>
          </cell>
          <cell r="AB3519" t="str">
            <v/>
          </cell>
          <cell r="AC3519" t="str">
            <v/>
          </cell>
          <cell r="AD3519" t="str">
            <v/>
          </cell>
          <cell r="AY3519" t="str">
            <v/>
          </cell>
          <cell r="AZ3519" t="str">
            <v/>
          </cell>
          <cell r="BA3519" t="str">
            <v/>
          </cell>
        </row>
        <row r="3520">
          <cell r="B3520" t="str">
            <v>-</v>
          </cell>
          <cell r="E3520" t="str">
            <v/>
          </cell>
          <cell r="G3520" t="str">
            <v/>
          </cell>
          <cell r="J3520" t="str">
            <v/>
          </cell>
          <cell r="O3520" t="str">
            <v/>
          </cell>
          <cell r="P3520" t="str">
            <v/>
          </cell>
          <cell r="Q3520" t="str">
            <v/>
          </cell>
          <cell r="S3520" t="str">
            <v/>
          </cell>
          <cell r="V3520" t="str">
            <v/>
          </cell>
          <cell r="Z3520" t="str">
            <v/>
          </cell>
          <cell r="AA3520" t="str">
            <v/>
          </cell>
          <cell r="AB3520" t="str">
            <v/>
          </cell>
          <cell r="AC3520" t="str">
            <v/>
          </cell>
          <cell r="AD3520" t="str">
            <v/>
          </cell>
          <cell r="AY3520" t="str">
            <v/>
          </cell>
          <cell r="AZ3520" t="str">
            <v/>
          </cell>
          <cell r="BA3520" t="str">
            <v/>
          </cell>
        </row>
        <row r="3521">
          <cell r="B3521" t="str">
            <v>-</v>
          </cell>
          <cell r="E3521" t="str">
            <v/>
          </cell>
          <cell r="G3521" t="str">
            <v/>
          </cell>
          <cell r="J3521" t="str">
            <v/>
          </cell>
          <cell r="O3521" t="str">
            <v/>
          </cell>
          <cell r="P3521" t="str">
            <v/>
          </cell>
          <cell r="Q3521" t="str">
            <v/>
          </cell>
          <cell r="S3521" t="str">
            <v/>
          </cell>
          <cell r="V3521" t="str">
            <v/>
          </cell>
          <cell r="Z3521" t="str">
            <v/>
          </cell>
          <cell r="AA3521" t="str">
            <v/>
          </cell>
          <cell r="AB3521" t="str">
            <v/>
          </cell>
          <cell r="AC3521" t="str">
            <v/>
          </cell>
          <cell r="AD3521" t="str">
            <v/>
          </cell>
          <cell r="AY3521" t="str">
            <v/>
          </cell>
          <cell r="AZ3521" t="str">
            <v/>
          </cell>
          <cell r="BA3521" t="str">
            <v/>
          </cell>
        </row>
        <row r="3522">
          <cell r="B3522" t="str">
            <v>-</v>
          </cell>
          <cell r="E3522" t="str">
            <v/>
          </cell>
          <cell r="G3522" t="str">
            <v/>
          </cell>
          <cell r="J3522" t="str">
            <v/>
          </cell>
          <cell r="O3522" t="str">
            <v/>
          </cell>
          <cell r="P3522" t="str">
            <v/>
          </cell>
          <cell r="Q3522" t="str">
            <v/>
          </cell>
          <cell r="S3522" t="str">
            <v/>
          </cell>
          <cell r="V3522" t="str">
            <v/>
          </cell>
          <cell r="Z3522" t="str">
            <v/>
          </cell>
          <cell r="AA3522" t="str">
            <v/>
          </cell>
          <cell r="AB3522" t="str">
            <v/>
          </cell>
          <cell r="AC3522" t="str">
            <v/>
          </cell>
          <cell r="AD3522" t="str">
            <v/>
          </cell>
          <cell r="AY3522" t="str">
            <v/>
          </cell>
          <cell r="AZ3522" t="str">
            <v/>
          </cell>
          <cell r="BA3522" t="str">
            <v/>
          </cell>
        </row>
        <row r="3523">
          <cell r="B3523" t="str">
            <v>-</v>
          </cell>
          <cell r="E3523" t="str">
            <v/>
          </cell>
          <cell r="G3523" t="str">
            <v/>
          </cell>
          <cell r="J3523" t="str">
            <v/>
          </cell>
          <cell r="O3523" t="str">
            <v/>
          </cell>
          <cell r="P3523" t="str">
            <v/>
          </cell>
          <cell r="Q3523" t="str">
            <v/>
          </cell>
          <cell r="S3523" t="str">
            <v/>
          </cell>
          <cell r="V3523" t="str">
            <v/>
          </cell>
          <cell r="Z3523" t="str">
            <v/>
          </cell>
          <cell r="AA3523" t="str">
            <v/>
          </cell>
          <cell r="AB3523" t="str">
            <v/>
          </cell>
          <cell r="AC3523" t="str">
            <v/>
          </cell>
          <cell r="AD3523" t="str">
            <v/>
          </cell>
          <cell r="AY3523" t="str">
            <v/>
          </cell>
          <cell r="AZ3523" t="str">
            <v/>
          </cell>
          <cell r="BA3523" t="str">
            <v/>
          </cell>
        </row>
        <row r="3524">
          <cell r="B3524" t="str">
            <v>-</v>
          </cell>
          <cell r="E3524" t="str">
            <v/>
          </cell>
          <cell r="G3524" t="str">
            <v/>
          </cell>
          <cell r="J3524" t="str">
            <v/>
          </cell>
          <cell r="O3524" t="str">
            <v/>
          </cell>
          <cell r="P3524" t="str">
            <v/>
          </cell>
          <cell r="Q3524" t="str">
            <v/>
          </cell>
          <cell r="S3524" t="str">
            <v/>
          </cell>
          <cell r="V3524" t="str">
            <v/>
          </cell>
          <cell r="Z3524" t="str">
            <v/>
          </cell>
          <cell r="AA3524" t="str">
            <v/>
          </cell>
          <cell r="AB3524" t="str">
            <v/>
          </cell>
          <cell r="AC3524" t="str">
            <v/>
          </cell>
          <cell r="AD3524" t="str">
            <v/>
          </cell>
          <cell r="AY3524" t="str">
            <v/>
          </cell>
          <cell r="AZ3524" t="str">
            <v/>
          </cell>
          <cell r="BA3524" t="str">
            <v/>
          </cell>
        </row>
        <row r="3525">
          <cell r="B3525" t="str">
            <v>-</v>
          </cell>
          <cell r="E3525" t="str">
            <v/>
          </cell>
          <cell r="G3525" t="str">
            <v/>
          </cell>
          <cell r="J3525" t="str">
            <v/>
          </cell>
          <cell r="O3525" t="str">
            <v/>
          </cell>
          <cell r="P3525" t="str">
            <v/>
          </cell>
          <cell r="Q3525" t="str">
            <v/>
          </cell>
          <cell r="S3525" t="str">
            <v/>
          </cell>
          <cell r="V3525" t="str">
            <v/>
          </cell>
          <cell r="Z3525" t="str">
            <v/>
          </cell>
          <cell r="AA3525" t="str">
            <v/>
          </cell>
          <cell r="AB3525" t="str">
            <v/>
          </cell>
          <cell r="AC3525" t="str">
            <v/>
          </cell>
          <cell r="AD3525" t="str">
            <v/>
          </cell>
          <cell r="AY3525" t="str">
            <v/>
          </cell>
          <cell r="AZ3525" t="str">
            <v/>
          </cell>
          <cell r="BA3525" t="str">
            <v/>
          </cell>
        </row>
        <row r="3526">
          <cell r="B3526" t="str">
            <v>-</v>
          </cell>
          <cell r="E3526" t="str">
            <v/>
          </cell>
          <cell r="G3526" t="str">
            <v/>
          </cell>
          <cell r="J3526" t="str">
            <v/>
          </cell>
          <cell r="O3526" t="str">
            <v/>
          </cell>
          <cell r="P3526" t="str">
            <v/>
          </cell>
          <cell r="Q3526" t="str">
            <v/>
          </cell>
          <cell r="S3526" t="str">
            <v/>
          </cell>
          <cell r="V3526" t="str">
            <v/>
          </cell>
          <cell r="Z3526" t="str">
            <v/>
          </cell>
          <cell r="AA3526" t="str">
            <v/>
          </cell>
          <cell r="AB3526" t="str">
            <v/>
          </cell>
          <cell r="AC3526" t="str">
            <v/>
          </cell>
          <cell r="AD3526" t="str">
            <v/>
          </cell>
          <cell r="AY3526" t="str">
            <v/>
          </cell>
          <cell r="AZ3526" t="str">
            <v/>
          </cell>
          <cell r="BA3526" t="str">
            <v/>
          </cell>
        </row>
        <row r="3527">
          <cell r="B3527" t="str">
            <v>-</v>
          </cell>
          <cell r="E3527" t="str">
            <v/>
          </cell>
          <cell r="G3527" t="str">
            <v/>
          </cell>
          <cell r="J3527" t="str">
            <v/>
          </cell>
          <cell r="O3527" t="str">
            <v/>
          </cell>
          <cell r="P3527" t="str">
            <v/>
          </cell>
          <cell r="Q3527" t="str">
            <v/>
          </cell>
          <cell r="S3527" t="str">
            <v/>
          </cell>
          <cell r="V3527" t="str">
            <v/>
          </cell>
          <cell r="Z3527" t="str">
            <v/>
          </cell>
          <cell r="AA3527" t="str">
            <v/>
          </cell>
          <cell r="AB3527" t="str">
            <v/>
          </cell>
          <cell r="AC3527" t="str">
            <v/>
          </cell>
          <cell r="AD3527" t="str">
            <v/>
          </cell>
          <cell r="AY3527" t="str">
            <v/>
          </cell>
          <cell r="AZ3527" t="str">
            <v/>
          </cell>
          <cell r="BA3527" t="str">
            <v/>
          </cell>
        </row>
        <row r="3528">
          <cell r="B3528" t="str">
            <v>-</v>
          </cell>
          <cell r="E3528" t="str">
            <v/>
          </cell>
          <cell r="G3528" t="str">
            <v/>
          </cell>
          <cell r="J3528" t="str">
            <v/>
          </cell>
          <cell r="O3528" t="str">
            <v/>
          </cell>
          <cell r="P3528" t="str">
            <v/>
          </cell>
          <cell r="Q3528" t="str">
            <v/>
          </cell>
          <cell r="S3528" t="str">
            <v/>
          </cell>
          <cell r="V3528" t="str">
            <v/>
          </cell>
          <cell r="Z3528" t="str">
            <v/>
          </cell>
          <cell r="AA3528" t="str">
            <v/>
          </cell>
          <cell r="AB3528" t="str">
            <v/>
          </cell>
          <cell r="AC3528" t="str">
            <v/>
          </cell>
          <cell r="AD3528" t="str">
            <v/>
          </cell>
          <cell r="AY3528" t="str">
            <v/>
          </cell>
          <cell r="AZ3528" t="str">
            <v/>
          </cell>
          <cell r="BA3528" t="str">
            <v/>
          </cell>
        </row>
        <row r="3529">
          <cell r="B3529" t="str">
            <v>-</v>
          </cell>
          <cell r="E3529" t="str">
            <v/>
          </cell>
          <cell r="G3529" t="str">
            <v/>
          </cell>
          <cell r="J3529" t="str">
            <v/>
          </cell>
          <cell r="O3529" t="str">
            <v/>
          </cell>
          <cell r="P3529" t="str">
            <v/>
          </cell>
          <cell r="Q3529" t="str">
            <v/>
          </cell>
          <cell r="S3529" t="str">
            <v/>
          </cell>
          <cell r="V3529" t="str">
            <v/>
          </cell>
          <cell r="Z3529" t="str">
            <v/>
          </cell>
          <cell r="AA3529" t="str">
            <v/>
          </cell>
          <cell r="AB3529" t="str">
            <v/>
          </cell>
          <cell r="AC3529" t="str">
            <v/>
          </cell>
          <cell r="AD3529" t="str">
            <v/>
          </cell>
          <cell r="AY3529" t="str">
            <v/>
          </cell>
          <cell r="AZ3529" t="str">
            <v/>
          </cell>
          <cell r="BA3529" t="str">
            <v/>
          </cell>
        </row>
        <row r="3530">
          <cell r="B3530" t="str">
            <v>-</v>
          </cell>
          <cell r="E3530" t="str">
            <v/>
          </cell>
          <cell r="G3530" t="str">
            <v/>
          </cell>
          <cell r="J3530" t="str">
            <v/>
          </cell>
          <cell r="O3530" t="str">
            <v/>
          </cell>
          <cell r="P3530" t="str">
            <v/>
          </cell>
          <cell r="Q3530" t="str">
            <v/>
          </cell>
          <cell r="S3530" t="str">
            <v/>
          </cell>
          <cell r="V3530" t="str">
            <v/>
          </cell>
          <cell r="Z3530" t="str">
            <v/>
          </cell>
          <cell r="AA3530" t="str">
            <v/>
          </cell>
          <cell r="AB3530" t="str">
            <v/>
          </cell>
          <cell r="AC3530" t="str">
            <v/>
          </cell>
          <cell r="AD3530" t="str">
            <v/>
          </cell>
          <cell r="AY3530" t="str">
            <v/>
          </cell>
          <cell r="AZ3530" t="str">
            <v/>
          </cell>
          <cell r="BA3530" t="str">
            <v/>
          </cell>
        </row>
        <row r="3531">
          <cell r="B3531" t="str">
            <v>-</v>
          </cell>
          <cell r="E3531" t="str">
            <v/>
          </cell>
          <cell r="G3531" t="str">
            <v/>
          </cell>
          <cell r="J3531" t="str">
            <v/>
          </cell>
          <cell r="O3531" t="str">
            <v/>
          </cell>
          <cell r="P3531" t="str">
            <v/>
          </cell>
          <cell r="Q3531" t="str">
            <v/>
          </cell>
          <cell r="S3531" t="str">
            <v/>
          </cell>
          <cell r="V3531" t="str">
            <v/>
          </cell>
          <cell r="Z3531" t="str">
            <v/>
          </cell>
          <cell r="AA3531" t="str">
            <v/>
          </cell>
          <cell r="AB3531" t="str">
            <v/>
          </cell>
          <cell r="AC3531" t="str">
            <v/>
          </cell>
          <cell r="AD3531" t="str">
            <v/>
          </cell>
          <cell r="AY3531" t="str">
            <v/>
          </cell>
          <cell r="AZ3531" t="str">
            <v/>
          </cell>
          <cell r="BA3531" t="str">
            <v/>
          </cell>
        </row>
        <row r="3532">
          <cell r="B3532" t="str">
            <v>-</v>
          </cell>
          <cell r="E3532" t="str">
            <v/>
          </cell>
          <cell r="G3532" t="str">
            <v/>
          </cell>
          <cell r="J3532" t="str">
            <v/>
          </cell>
          <cell r="O3532" t="str">
            <v/>
          </cell>
          <cell r="P3532" t="str">
            <v/>
          </cell>
          <cell r="Q3532" t="str">
            <v/>
          </cell>
          <cell r="S3532" t="str">
            <v/>
          </cell>
          <cell r="V3532" t="str">
            <v/>
          </cell>
          <cell r="Z3532" t="str">
            <v/>
          </cell>
          <cell r="AA3532" t="str">
            <v/>
          </cell>
          <cell r="AB3532" t="str">
            <v/>
          </cell>
          <cell r="AC3532" t="str">
            <v/>
          </cell>
          <cell r="AD3532" t="str">
            <v/>
          </cell>
          <cell r="AY3532" t="str">
            <v/>
          </cell>
          <cell r="AZ3532" t="str">
            <v/>
          </cell>
          <cell r="BA3532" t="str">
            <v/>
          </cell>
        </row>
        <row r="3533">
          <cell r="B3533" t="str">
            <v>-</v>
          </cell>
          <cell r="E3533" t="str">
            <v/>
          </cell>
          <cell r="G3533" t="str">
            <v/>
          </cell>
          <cell r="J3533" t="str">
            <v/>
          </cell>
          <cell r="O3533" t="str">
            <v/>
          </cell>
          <cell r="P3533" t="str">
            <v/>
          </cell>
          <cell r="Q3533" t="str">
            <v/>
          </cell>
          <cell r="S3533" t="str">
            <v/>
          </cell>
          <cell r="V3533" t="str">
            <v/>
          </cell>
          <cell r="Z3533" t="str">
            <v/>
          </cell>
          <cell r="AA3533" t="str">
            <v/>
          </cell>
          <cell r="AB3533" t="str">
            <v/>
          </cell>
          <cell r="AC3533" t="str">
            <v/>
          </cell>
          <cell r="AD3533" t="str">
            <v/>
          </cell>
          <cell r="AY3533" t="str">
            <v/>
          </cell>
          <cell r="AZ3533" t="str">
            <v/>
          </cell>
          <cell r="BA3533" t="str">
            <v/>
          </cell>
        </row>
        <row r="3534">
          <cell r="B3534" t="str">
            <v>-</v>
          </cell>
          <cell r="E3534" t="str">
            <v/>
          </cell>
          <cell r="G3534" t="str">
            <v/>
          </cell>
          <cell r="J3534" t="str">
            <v/>
          </cell>
          <cell r="O3534" t="str">
            <v/>
          </cell>
          <cell r="P3534" t="str">
            <v/>
          </cell>
          <cell r="Q3534" t="str">
            <v/>
          </cell>
          <cell r="S3534" t="str">
            <v/>
          </cell>
          <cell r="V3534" t="str">
            <v/>
          </cell>
          <cell r="Z3534" t="str">
            <v/>
          </cell>
          <cell r="AA3534" t="str">
            <v/>
          </cell>
          <cell r="AB3534" t="str">
            <v/>
          </cell>
          <cell r="AC3534" t="str">
            <v/>
          </cell>
          <cell r="AD3534" t="str">
            <v/>
          </cell>
          <cell r="AY3534" t="str">
            <v/>
          </cell>
          <cell r="AZ3534" t="str">
            <v/>
          </cell>
          <cell r="BA3534" t="str">
            <v/>
          </cell>
        </row>
        <row r="3535">
          <cell r="B3535" t="str">
            <v>-</v>
          </cell>
          <cell r="E3535" t="str">
            <v/>
          </cell>
          <cell r="G3535" t="str">
            <v/>
          </cell>
          <cell r="J3535" t="str">
            <v/>
          </cell>
          <cell r="O3535" t="str">
            <v/>
          </cell>
          <cell r="P3535" t="str">
            <v/>
          </cell>
          <cell r="Q3535" t="str">
            <v/>
          </cell>
          <cell r="S3535" t="str">
            <v/>
          </cell>
          <cell r="V3535" t="str">
            <v/>
          </cell>
          <cell r="Z3535" t="str">
            <v/>
          </cell>
          <cell r="AA3535" t="str">
            <v/>
          </cell>
          <cell r="AB3535" t="str">
            <v/>
          </cell>
          <cell r="AC3535" t="str">
            <v/>
          </cell>
          <cell r="AD3535" t="str">
            <v/>
          </cell>
          <cell r="AY3535" t="str">
            <v/>
          </cell>
          <cell r="AZ3535" t="str">
            <v/>
          </cell>
          <cell r="BA3535" t="str">
            <v/>
          </cell>
        </row>
        <row r="3536">
          <cell r="B3536" t="str">
            <v>-</v>
          </cell>
          <cell r="E3536" t="str">
            <v/>
          </cell>
          <cell r="G3536" t="str">
            <v/>
          </cell>
          <cell r="J3536" t="str">
            <v/>
          </cell>
          <cell r="O3536" t="str">
            <v/>
          </cell>
          <cell r="P3536" t="str">
            <v/>
          </cell>
          <cell r="Q3536" t="str">
            <v/>
          </cell>
          <cell r="S3536" t="str">
            <v/>
          </cell>
          <cell r="V3536" t="str">
            <v/>
          </cell>
          <cell r="Z3536" t="str">
            <v/>
          </cell>
          <cell r="AA3536" t="str">
            <v/>
          </cell>
          <cell r="AB3536" t="str">
            <v/>
          </cell>
          <cell r="AC3536" t="str">
            <v/>
          </cell>
          <cell r="AD3536" t="str">
            <v/>
          </cell>
          <cell r="AY3536" t="str">
            <v/>
          </cell>
          <cell r="AZ3536" t="str">
            <v/>
          </cell>
          <cell r="BA3536" t="str">
            <v/>
          </cell>
        </row>
        <row r="3537">
          <cell r="B3537" t="str">
            <v>-</v>
          </cell>
          <cell r="E3537" t="str">
            <v/>
          </cell>
          <cell r="G3537" t="str">
            <v/>
          </cell>
          <cell r="J3537" t="str">
            <v/>
          </cell>
          <cell r="O3537" t="str">
            <v/>
          </cell>
          <cell r="P3537" t="str">
            <v/>
          </cell>
          <cell r="Q3537" t="str">
            <v/>
          </cell>
          <cell r="S3537" t="str">
            <v/>
          </cell>
          <cell r="V3537" t="str">
            <v/>
          </cell>
          <cell r="Z3537" t="str">
            <v/>
          </cell>
          <cell r="AA3537" t="str">
            <v/>
          </cell>
          <cell r="AB3537" t="str">
            <v/>
          </cell>
          <cell r="AC3537" t="str">
            <v/>
          </cell>
          <cell r="AD3537" t="str">
            <v/>
          </cell>
          <cell r="AY3537" t="str">
            <v/>
          </cell>
          <cell r="AZ3537" t="str">
            <v/>
          </cell>
          <cell r="BA3537" t="str">
            <v/>
          </cell>
        </row>
        <row r="3538">
          <cell r="B3538" t="str">
            <v>-</v>
          </cell>
          <cell r="E3538" t="str">
            <v/>
          </cell>
          <cell r="G3538" t="str">
            <v/>
          </cell>
          <cell r="J3538" t="str">
            <v/>
          </cell>
          <cell r="O3538" t="str">
            <v/>
          </cell>
          <cell r="P3538" t="str">
            <v/>
          </cell>
          <cell r="Q3538" t="str">
            <v/>
          </cell>
          <cell r="S3538" t="str">
            <v/>
          </cell>
          <cell r="V3538" t="str">
            <v/>
          </cell>
          <cell r="Z3538" t="str">
            <v/>
          </cell>
          <cell r="AA3538" t="str">
            <v/>
          </cell>
          <cell r="AB3538" t="str">
            <v/>
          </cell>
          <cell r="AC3538" t="str">
            <v/>
          </cell>
          <cell r="AD3538" t="str">
            <v/>
          </cell>
          <cell r="AY3538" t="str">
            <v/>
          </cell>
          <cell r="AZ3538" t="str">
            <v/>
          </cell>
          <cell r="BA3538" t="str">
            <v/>
          </cell>
        </row>
        <row r="3539">
          <cell r="B3539" t="str">
            <v>-</v>
          </cell>
          <cell r="E3539" t="str">
            <v/>
          </cell>
          <cell r="G3539" t="str">
            <v/>
          </cell>
          <cell r="J3539" t="str">
            <v/>
          </cell>
          <cell r="O3539" t="str">
            <v/>
          </cell>
          <cell r="P3539" t="str">
            <v/>
          </cell>
          <cell r="Q3539" t="str">
            <v/>
          </cell>
          <cell r="S3539" t="str">
            <v/>
          </cell>
          <cell r="V3539" t="str">
            <v/>
          </cell>
          <cell r="Z3539" t="str">
            <v/>
          </cell>
          <cell r="AA3539" t="str">
            <v/>
          </cell>
          <cell r="AB3539" t="str">
            <v/>
          </cell>
          <cell r="AC3539" t="str">
            <v/>
          </cell>
          <cell r="AD3539" t="str">
            <v/>
          </cell>
          <cell r="AY3539" t="str">
            <v/>
          </cell>
          <cell r="AZ3539" t="str">
            <v/>
          </cell>
          <cell r="BA3539" t="str">
            <v/>
          </cell>
        </row>
        <row r="3540">
          <cell r="B3540" t="str">
            <v>-</v>
          </cell>
          <cell r="E3540" t="str">
            <v/>
          </cell>
          <cell r="G3540" t="str">
            <v/>
          </cell>
          <cell r="J3540" t="str">
            <v/>
          </cell>
          <cell r="O3540" t="str">
            <v/>
          </cell>
          <cell r="P3540" t="str">
            <v/>
          </cell>
          <cell r="Q3540" t="str">
            <v/>
          </cell>
          <cell r="S3540" t="str">
            <v/>
          </cell>
          <cell r="V3540" t="str">
            <v/>
          </cell>
          <cell r="Z3540" t="str">
            <v/>
          </cell>
          <cell r="AA3540" t="str">
            <v/>
          </cell>
          <cell r="AB3540" t="str">
            <v/>
          </cell>
          <cell r="AC3540" t="str">
            <v/>
          </cell>
          <cell r="AD3540" t="str">
            <v/>
          </cell>
          <cell r="AY3540" t="str">
            <v/>
          </cell>
          <cell r="AZ3540" t="str">
            <v/>
          </cell>
          <cell r="BA3540" t="str">
            <v/>
          </cell>
        </row>
        <row r="3541">
          <cell r="B3541" t="str">
            <v>-</v>
          </cell>
          <cell r="E3541" t="str">
            <v/>
          </cell>
          <cell r="G3541" t="str">
            <v/>
          </cell>
          <cell r="J3541" t="str">
            <v/>
          </cell>
          <cell r="O3541" t="str">
            <v/>
          </cell>
          <cell r="P3541" t="str">
            <v/>
          </cell>
          <cell r="Q3541" t="str">
            <v/>
          </cell>
          <cell r="S3541" t="str">
            <v/>
          </cell>
          <cell r="V3541" t="str">
            <v/>
          </cell>
          <cell r="Z3541" t="str">
            <v/>
          </cell>
          <cell r="AA3541" t="str">
            <v/>
          </cell>
          <cell r="AB3541" t="str">
            <v/>
          </cell>
          <cell r="AC3541" t="str">
            <v/>
          </cell>
          <cell r="AD3541" t="str">
            <v/>
          </cell>
          <cell r="AY3541" t="str">
            <v/>
          </cell>
          <cell r="AZ3541" t="str">
            <v/>
          </cell>
          <cell r="BA3541" t="str">
            <v/>
          </cell>
        </row>
        <row r="3542">
          <cell r="B3542" t="str">
            <v>-</v>
          </cell>
          <cell r="E3542" t="str">
            <v/>
          </cell>
          <cell r="G3542" t="str">
            <v/>
          </cell>
          <cell r="J3542" t="str">
            <v/>
          </cell>
          <cell r="O3542" t="str">
            <v/>
          </cell>
          <cell r="P3542" t="str">
            <v/>
          </cell>
          <cell r="Q3542" t="str">
            <v/>
          </cell>
          <cell r="S3542" t="str">
            <v/>
          </cell>
          <cell r="V3542" t="str">
            <v/>
          </cell>
          <cell r="Z3542" t="str">
            <v/>
          </cell>
          <cell r="AA3542" t="str">
            <v/>
          </cell>
          <cell r="AB3542" t="str">
            <v/>
          </cell>
          <cell r="AC3542" t="str">
            <v/>
          </cell>
          <cell r="AD3542" t="str">
            <v/>
          </cell>
          <cell r="AY3542" t="str">
            <v/>
          </cell>
          <cell r="AZ3542" t="str">
            <v/>
          </cell>
          <cell r="BA3542" t="str">
            <v/>
          </cell>
        </row>
        <row r="3543">
          <cell r="B3543" t="str">
            <v>-</v>
          </cell>
          <cell r="E3543" t="str">
            <v/>
          </cell>
          <cell r="G3543" t="str">
            <v/>
          </cell>
          <cell r="J3543" t="str">
            <v/>
          </cell>
          <cell r="O3543" t="str">
            <v/>
          </cell>
          <cell r="P3543" t="str">
            <v/>
          </cell>
          <cell r="Q3543" t="str">
            <v/>
          </cell>
          <cell r="S3543" t="str">
            <v/>
          </cell>
          <cell r="V3543" t="str">
            <v/>
          </cell>
          <cell r="Z3543" t="str">
            <v/>
          </cell>
          <cell r="AA3543" t="str">
            <v/>
          </cell>
          <cell r="AB3543" t="str">
            <v/>
          </cell>
          <cell r="AC3543" t="str">
            <v/>
          </cell>
          <cell r="AD3543" t="str">
            <v/>
          </cell>
          <cell r="AY3543" t="str">
            <v/>
          </cell>
          <cell r="AZ3543" t="str">
            <v/>
          </cell>
          <cell r="BA3543" t="str">
            <v/>
          </cell>
        </row>
        <row r="3544">
          <cell r="B3544" t="str">
            <v>-</v>
          </cell>
          <cell r="E3544" t="str">
            <v/>
          </cell>
          <cell r="G3544" t="str">
            <v/>
          </cell>
          <cell r="J3544" t="str">
            <v/>
          </cell>
          <cell r="O3544" t="str">
            <v/>
          </cell>
          <cell r="P3544" t="str">
            <v/>
          </cell>
          <cell r="Q3544" t="str">
            <v/>
          </cell>
          <cell r="S3544" t="str">
            <v/>
          </cell>
          <cell r="V3544" t="str">
            <v/>
          </cell>
          <cell r="Z3544" t="str">
            <v/>
          </cell>
          <cell r="AA3544" t="str">
            <v/>
          </cell>
          <cell r="AB3544" t="str">
            <v/>
          </cell>
          <cell r="AC3544" t="str">
            <v/>
          </cell>
          <cell r="AD3544" t="str">
            <v/>
          </cell>
          <cell r="AY3544" t="str">
            <v/>
          </cell>
          <cell r="AZ3544" t="str">
            <v/>
          </cell>
          <cell r="BA3544" t="str">
            <v/>
          </cell>
        </row>
        <row r="3545">
          <cell r="B3545" t="str">
            <v>-</v>
          </cell>
          <cell r="E3545" t="str">
            <v/>
          </cell>
          <cell r="G3545" t="str">
            <v/>
          </cell>
          <cell r="J3545" t="str">
            <v/>
          </cell>
          <cell r="O3545" t="str">
            <v/>
          </cell>
          <cell r="P3545" t="str">
            <v/>
          </cell>
          <cell r="Q3545" t="str">
            <v/>
          </cell>
          <cell r="S3545" t="str">
            <v/>
          </cell>
          <cell r="V3545" t="str">
            <v/>
          </cell>
          <cell r="Z3545" t="str">
            <v/>
          </cell>
          <cell r="AA3545" t="str">
            <v/>
          </cell>
          <cell r="AB3545" t="str">
            <v/>
          </cell>
          <cell r="AC3545" t="str">
            <v/>
          </cell>
          <cell r="AD3545" t="str">
            <v/>
          </cell>
          <cell r="AY3545" t="str">
            <v/>
          </cell>
          <cell r="AZ3545" t="str">
            <v/>
          </cell>
          <cell r="BA3545" t="str">
            <v/>
          </cell>
        </row>
        <row r="3546">
          <cell r="B3546" t="str">
            <v>-</v>
          </cell>
          <cell r="E3546" t="str">
            <v/>
          </cell>
          <cell r="G3546" t="str">
            <v/>
          </cell>
          <cell r="J3546" t="str">
            <v/>
          </cell>
          <cell r="O3546" t="str">
            <v/>
          </cell>
          <cell r="P3546" t="str">
            <v/>
          </cell>
          <cell r="Q3546" t="str">
            <v/>
          </cell>
          <cell r="S3546" t="str">
            <v/>
          </cell>
          <cell r="V3546" t="str">
            <v/>
          </cell>
          <cell r="Z3546" t="str">
            <v/>
          </cell>
          <cell r="AA3546" t="str">
            <v/>
          </cell>
          <cell r="AB3546" t="str">
            <v/>
          </cell>
          <cell r="AC3546" t="str">
            <v/>
          </cell>
          <cell r="AD3546" t="str">
            <v/>
          </cell>
          <cell r="AY3546" t="str">
            <v/>
          </cell>
          <cell r="AZ3546" t="str">
            <v/>
          </cell>
          <cell r="BA3546" t="str">
            <v/>
          </cell>
        </row>
        <row r="3547">
          <cell r="B3547" t="str">
            <v>-</v>
          </cell>
          <cell r="E3547" t="str">
            <v/>
          </cell>
          <cell r="G3547" t="str">
            <v/>
          </cell>
          <cell r="J3547" t="str">
            <v/>
          </cell>
          <cell r="O3547" t="str">
            <v/>
          </cell>
          <cell r="P3547" t="str">
            <v/>
          </cell>
          <cell r="Q3547" t="str">
            <v/>
          </cell>
          <cell r="S3547" t="str">
            <v/>
          </cell>
          <cell r="V3547" t="str">
            <v/>
          </cell>
          <cell r="Z3547" t="str">
            <v/>
          </cell>
          <cell r="AA3547" t="str">
            <v/>
          </cell>
          <cell r="AB3547" t="str">
            <v/>
          </cell>
          <cell r="AC3547" t="str">
            <v/>
          </cell>
          <cell r="AD3547" t="str">
            <v/>
          </cell>
          <cell r="AY3547" t="str">
            <v/>
          </cell>
          <cell r="AZ3547" t="str">
            <v/>
          </cell>
          <cell r="BA3547" t="str">
            <v/>
          </cell>
        </row>
        <row r="3548">
          <cell r="B3548" t="str">
            <v>-</v>
          </cell>
          <cell r="E3548" t="str">
            <v/>
          </cell>
          <cell r="G3548" t="str">
            <v/>
          </cell>
          <cell r="J3548" t="str">
            <v/>
          </cell>
          <cell r="O3548" t="str">
            <v/>
          </cell>
          <cell r="P3548" t="str">
            <v/>
          </cell>
          <cell r="Q3548" t="str">
            <v/>
          </cell>
          <cell r="S3548" t="str">
            <v/>
          </cell>
          <cell r="V3548" t="str">
            <v/>
          </cell>
          <cell r="Z3548" t="str">
            <v/>
          </cell>
          <cell r="AA3548" t="str">
            <v/>
          </cell>
          <cell r="AB3548" t="str">
            <v/>
          </cell>
          <cell r="AC3548" t="str">
            <v/>
          </cell>
          <cell r="AD3548" t="str">
            <v/>
          </cell>
          <cell r="AY3548" t="str">
            <v/>
          </cell>
          <cell r="AZ3548" t="str">
            <v/>
          </cell>
          <cell r="BA3548" t="str">
            <v/>
          </cell>
        </row>
        <row r="3549">
          <cell r="B3549" t="str">
            <v>-</v>
          </cell>
          <cell r="E3549" t="str">
            <v/>
          </cell>
          <cell r="G3549" t="str">
            <v/>
          </cell>
          <cell r="J3549" t="str">
            <v/>
          </cell>
          <cell r="O3549" t="str">
            <v/>
          </cell>
          <cell r="P3549" t="str">
            <v/>
          </cell>
          <cell r="Q3549" t="str">
            <v/>
          </cell>
          <cell r="S3549" t="str">
            <v/>
          </cell>
          <cell r="V3549" t="str">
            <v/>
          </cell>
          <cell r="Z3549" t="str">
            <v/>
          </cell>
          <cell r="AA3549" t="str">
            <v/>
          </cell>
          <cell r="AB3549" t="str">
            <v/>
          </cell>
          <cell r="AC3549" t="str">
            <v/>
          </cell>
          <cell r="AD3549" t="str">
            <v/>
          </cell>
          <cell r="AY3549" t="str">
            <v/>
          </cell>
          <cell r="AZ3549" t="str">
            <v/>
          </cell>
          <cell r="BA3549" t="str">
            <v/>
          </cell>
        </row>
        <row r="3550">
          <cell r="B3550" t="str">
            <v>-</v>
          </cell>
          <cell r="E3550" t="str">
            <v/>
          </cell>
          <cell r="G3550" t="str">
            <v/>
          </cell>
          <cell r="J3550" t="str">
            <v/>
          </cell>
          <cell r="O3550" t="str">
            <v/>
          </cell>
          <cell r="P3550" t="str">
            <v/>
          </cell>
          <cell r="Q3550" t="str">
            <v/>
          </cell>
          <cell r="S3550" t="str">
            <v/>
          </cell>
          <cell r="V3550" t="str">
            <v/>
          </cell>
          <cell r="Z3550" t="str">
            <v/>
          </cell>
          <cell r="AA3550" t="str">
            <v/>
          </cell>
          <cell r="AB3550" t="str">
            <v/>
          </cell>
          <cell r="AC3550" t="str">
            <v/>
          </cell>
          <cell r="AD3550" t="str">
            <v/>
          </cell>
          <cell r="AY3550" t="str">
            <v/>
          </cell>
          <cell r="AZ3550" t="str">
            <v/>
          </cell>
          <cell r="BA3550" t="str">
            <v/>
          </cell>
        </row>
        <row r="3551">
          <cell r="B3551" t="str">
            <v>-</v>
          </cell>
          <cell r="E3551" t="str">
            <v/>
          </cell>
          <cell r="G3551" t="str">
            <v/>
          </cell>
          <cell r="J3551" t="str">
            <v/>
          </cell>
          <cell r="O3551" t="str">
            <v/>
          </cell>
          <cell r="P3551" t="str">
            <v/>
          </cell>
          <cell r="Q3551" t="str">
            <v/>
          </cell>
          <cell r="S3551" t="str">
            <v/>
          </cell>
          <cell r="V3551" t="str">
            <v/>
          </cell>
          <cell r="Z3551" t="str">
            <v/>
          </cell>
          <cell r="AA3551" t="str">
            <v/>
          </cell>
          <cell r="AB3551" t="str">
            <v/>
          </cell>
          <cell r="AC3551" t="str">
            <v/>
          </cell>
          <cell r="AD3551" t="str">
            <v/>
          </cell>
          <cell r="AY3551" t="str">
            <v/>
          </cell>
          <cell r="AZ3551" t="str">
            <v/>
          </cell>
          <cell r="BA3551" t="str">
            <v/>
          </cell>
        </row>
        <row r="3552">
          <cell r="B3552" t="str">
            <v>-</v>
          </cell>
          <cell r="E3552" t="str">
            <v/>
          </cell>
          <cell r="G3552" t="str">
            <v/>
          </cell>
          <cell r="J3552" t="str">
            <v/>
          </cell>
          <cell r="O3552" t="str">
            <v/>
          </cell>
          <cell r="P3552" t="str">
            <v/>
          </cell>
          <cell r="Q3552" t="str">
            <v/>
          </cell>
          <cell r="S3552" t="str">
            <v/>
          </cell>
          <cell r="V3552" t="str">
            <v/>
          </cell>
          <cell r="Z3552" t="str">
            <v/>
          </cell>
          <cell r="AA3552" t="str">
            <v/>
          </cell>
          <cell r="AB3552" t="str">
            <v/>
          </cell>
          <cell r="AC3552" t="str">
            <v/>
          </cell>
          <cell r="AD3552" t="str">
            <v/>
          </cell>
          <cell r="AY3552" t="str">
            <v/>
          </cell>
          <cell r="AZ3552" t="str">
            <v/>
          </cell>
          <cell r="BA3552" t="str">
            <v/>
          </cell>
        </row>
        <row r="3553">
          <cell r="B3553" t="str">
            <v>-</v>
          </cell>
          <cell r="E3553" t="str">
            <v/>
          </cell>
          <cell r="G3553" t="str">
            <v/>
          </cell>
          <cell r="J3553" t="str">
            <v/>
          </cell>
          <cell r="O3553" t="str">
            <v/>
          </cell>
          <cell r="P3553" t="str">
            <v/>
          </cell>
          <cell r="Q3553" t="str">
            <v/>
          </cell>
          <cell r="S3553" t="str">
            <v/>
          </cell>
          <cell r="V3553" t="str">
            <v/>
          </cell>
          <cell r="Z3553" t="str">
            <v/>
          </cell>
          <cell r="AA3553" t="str">
            <v/>
          </cell>
          <cell r="AB3553" t="str">
            <v/>
          </cell>
          <cell r="AC3553" t="str">
            <v/>
          </cell>
          <cell r="AD3553" t="str">
            <v/>
          </cell>
          <cell r="AY3553" t="str">
            <v/>
          </cell>
          <cell r="AZ3553" t="str">
            <v/>
          </cell>
          <cell r="BA3553" t="str">
            <v/>
          </cell>
        </row>
        <row r="3554">
          <cell r="B3554" t="str">
            <v>-</v>
          </cell>
          <cell r="E3554" t="str">
            <v/>
          </cell>
          <cell r="G3554" t="str">
            <v/>
          </cell>
          <cell r="J3554" t="str">
            <v/>
          </cell>
          <cell r="O3554" t="str">
            <v/>
          </cell>
          <cell r="P3554" t="str">
            <v/>
          </cell>
          <cell r="Q3554" t="str">
            <v/>
          </cell>
          <cell r="S3554" t="str">
            <v/>
          </cell>
          <cell r="V3554" t="str">
            <v/>
          </cell>
          <cell r="Z3554" t="str">
            <v/>
          </cell>
          <cell r="AA3554" t="str">
            <v/>
          </cell>
          <cell r="AB3554" t="str">
            <v/>
          </cell>
          <cell r="AC3554" t="str">
            <v/>
          </cell>
          <cell r="AD3554" t="str">
            <v/>
          </cell>
          <cell r="AY3554" t="str">
            <v/>
          </cell>
          <cell r="AZ3554" t="str">
            <v/>
          </cell>
          <cell r="BA3554" t="str">
            <v/>
          </cell>
        </row>
        <row r="3555">
          <cell r="B3555" t="str">
            <v>-</v>
          </cell>
          <cell r="E3555" t="str">
            <v/>
          </cell>
          <cell r="G3555" t="str">
            <v/>
          </cell>
          <cell r="J3555" t="str">
            <v/>
          </cell>
          <cell r="O3555" t="str">
            <v/>
          </cell>
          <cell r="P3555" t="str">
            <v/>
          </cell>
          <cell r="Q3555" t="str">
            <v/>
          </cell>
          <cell r="S3555" t="str">
            <v/>
          </cell>
          <cell r="V3555" t="str">
            <v/>
          </cell>
          <cell r="Z3555" t="str">
            <v/>
          </cell>
          <cell r="AA3555" t="str">
            <v/>
          </cell>
          <cell r="AB3555" t="str">
            <v/>
          </cell>
          <cell r="AC3555" t="str">
            <v/>
          </cell>
          <cell r="AD3555" t="str">
            <v/>
          </cell>
          <cell r="AY3555" t="str">
            <v/>
          </cell>
          <cell r="AZ3555" t="str">
            <v/>
          </cell>
          <cell r="BA3555" t="str">
            <v/>
          </cell>
        </row>
        <row r="3556">
          <cell r="B3556" t="str">
            <v>-</v>
          </cell>
          <cell r="E3556" t="str">
            <v/>
          </cell>
          <cell r="G3556" t="str">
            <v/>
          </cell>
          <cell r="J3556" t="str">
            <v/>
          </cell>
          <cell r="O3556" t="str">
            <v/>
          </cell>
          <cell r="P3556" t="str">
            <v/>
          </cell>
          <cell r="Q3556" t="str">
            <v/>
          </cell>
          <cell r="S3556" t="str">
            <v/>
          </cell>
          <cell r="V3556" t="str">
            <v/>
          </cell>
          <cell r="Z3556" t="str">
            <v/>
          </cell>
          <cell r="AA3556" t="str">
            <v/>
          </cell>
          <cell r="AB3556" t="str">
            <v/>
          </cell>
          <cell r="AC3556" t="str">
            <v/>
          </cell>
          <cell r="AD3556" t="str">
            <v/>
          </cell>
          <cell r="AY3556" t="str">
            <v/>
          </cell>
          <cell r="AZ3556" t="str">
            <v/>
          </cell>
          <cell r="BA3556" t="str">
            <v/>
          </cell>
        </row>
        <row r="3557">
          <cell r="B3557" t="str">
            <v>-</v>
          </cell>
          <cell r="E3557" t="str">
            <v/>
          </cell>
          <cell r="G3557" t="str">
            <v/>
          </cell>
          <cell r="J3557" t="str">
            <v/>
          </cell>
          <cell r="O3557" t="str">
            <v/>
          </cell>
          <cell r="P3557" t="str">
            <v/>
          </cell>
          <cell r="Q3557" t="str">
            <v/>
          </cell>
          <cell r="S3557" t="str">
            <v/>
          </cell>
          <cell r="V3557" t="str">
            <v/>
          </cell>
          <cell r="Z3557" t="str">
            <v/>
          </cell>
          <cell r="AA3557" t="str">
            <v/>
          </cell>
          <cell r="AB3557" t="str">
            <v/>
          </cell>
          <cell r="AC3557" t="str">
            <v/>
          </cell>
          <cell r="AD3557" t="str">
            <v/>
          </cell>
          <cell r="AY3557" t="str">
            <v/>
          </cell>
          <cell r="AZ3557" t="str">
            <v/>
          </cell>
          <cell r="BA3557" t="str">
            <v/>
          </cell>
        </row>
        <row r="3558">
          <cell r="B3558" t="str">
            <v>-</v>
          </cell>
          <cell r="E3558" t="str">
            <v/>
          </cell>
          <cell r="G3558" t="str">
            <v/>
          </cell>
          <cell r="J3558" t="str">
            <v/>
          </cell>
          <cell r="O3558" t="str">
            <v/>
          </cell>
          <cell r="P3558" t="str">
            <v/>
          </cell>
          <cell r="Q3558" t="str">
            <v/>
          </cell>
          <cell r="S3558" t="str">
            <v/>
          </cell>
          <cell r="V3558" t="str">
            <v/>
          </cell>
          <cell r="Z3558" t="str">
            <v/>
          </cell>
          <cell r="AA3558" t="str">
            <v/>
          </cell>
          <cell r="AB3558" t="str">
            <v/>
          </cell>
          <cell r="AC3558" t="str">
            <v/>
          </cell>
          <cell r="AD3558" t="str">
            <v/>
          </cell>
          <cell r="AY3558" t="str">
            <v/>
          </cell>
          <cell r="AZ3558" t="str">
            <v/>
          </cell>
          <cell r="BA3558" t="str">
            <v/>
          </cell>
        </row>
        <row r="3559">
          <cell r="B3559" t="str">
            <v>-</v>
          </cell>
          <cell r="E3559" t="str">
            <v/>
          </cell>
          <cell r="G3559" t="str">
            <v/>
          </cell>
          <cell r="J3559" t="str">
            <v/>
          </cell>
          <cell r="O3559" t="str">
            <v/>
          </cell>
          <cell r="P3559" t="str">
            <v/>
          </cell>
          <cell r="Q3559" t="str">
            <v/>
          </cell>
          <cell r="S3559" t="str">
            <v/>
          </cell>
          <cell r="V3559" t="str">
            <v/>
          </cell>
          <cell r="Z3559" t="str">
            <v/>
          </cell>
          <cell r="AA3559" t="str">
            <v/>
          </cell>
          <cell r="AB3559" t="str">
            <v/>
          </cell>
          <cell r="AC3559" t="str">
            <v/>
          </cell>
          <cell r="AD3559" t="str">
            <v/>
          </cell>
          <cell r="AY3559" t="str">
            <v/>
          </cell>
          <cell r="AZ3559" t="str">
            <v/>
          </cell>
          <cell r="BA3559" t="str">
            <v/>
          </cell>
        </row>
        <row r="3560">
          <cell r="B3560" t="str">
            <v>-</v>
          </cell>
          <cell r="E3560" t="str">
            <v/>
          </cell>
          <cell r="G3560" t="str">
            <v/>
          </cell>
          <cell r="J3560" t="str">
            <v/>
          </cell>
          <cell r="O3560" t="str">
            <v/>
          </cell>
          <cell r="P3560" t="str">
            <v/>
          </cell>
          <cell r="Q3560" t="str">
            <v/>
          </cell>
          <cell r="S3560" t="str">
            <v/>
          </cell>
          <cell r="V3560" t="str">
            <v/>
          </cell>
          <cell r="Z3560" t="str">
            <v/>
          </cell>
          <cell r="AA3560" t="str">
            <v/>
          </cell>
          <cell r="AB3560" t="str">
            <v/>
          </cell>
          <cell r="AC3560" t="str">
            <v/>
          </cell>
          <cell r="AD3560" t="str">
            <v/>
          </cell>
          <cell r="AY3560" t="str">
            <v/>
          </cell>
          <cell r="AZ3560" t="str">
            <v/>
          </cell>
          <cell r="BA3560" t="str">
            <v/>
          </cell>
        </row>
        <row r="3561">
          <cell r="B3561" t="str">
            <v>-</v>
          </cell>
          <cell r="E3561" t="str">
            <v/>
          </cell>
          <cell r="G3561" t="str">
            <v/>
          </cell>
          <cell r="J3561" t="str">
            <v/>
          </cell>
          <cell r="O3561" t="str">
            <v/>
          </cell>
          <cell r="P3561" t="str">
            <v/>
          </cell>
          <cell r="Q3561" t="str">
            <v/>
          </cell>
          <cell r="S3561" t="str">
            <v/>
          </cell>
          <cell r="V3561" t="str">
            <v/>
          </cell>
          <cell r="Z3561" t="str">
            <v/>
          </cell>
          <cell r="AA3561" t="str">
            <v/>
          </cell>
          <cell r="AB3561" t="str">
            <v/>
          </cell>
          <cell r="AC3561" t="str">
            <v/>
          </cell>
          <cell r="AD3561" t="str">
            <v/>
          </cell>
          <cell r="AY3561" t="str">
            <v/>
          </cell>
          <cell r="AZ3561" t="str">
            <v/>
          </cell>
          <cell r="BA3561" t="str">
            <v/>
          </cell>
        </row>
        <row r="3562">
          <cell r="B3562" t="str">
            <v>-</v>
          </cell>
          <cell r="E3562" t="str">
            <v/>
          </cell>
          <cell r="G3562" t="str">
            <v/>
          </cell>
          <cell r="J3562" t="str">
            <v/>
          </cell>
          <cell r="O3562" t="str">
            <v/>
          </cell>
          <cell r="P3562" t="str">
            <v/>
          </cell>
          <cell r="Q3562" t="str">
            <v/>
          </cell>
          <cell r="S3562" t="str">
            <v/>
          </cell>
          <cell r="V3562" t="str">
            <v/>
          </cell>
          <cell r="Z3562" t="str">
            <v/>
          </cell>
          <cell r="AA3562" t="str">
            <v/>
          </cell>
          <cell r="AB3562" t="str">
            <v/>
          </cell>
          <cell r="AC3562" t="str">
            <v/>
          </cell>
          <cell r="AD3562" t="str">
            <v/>
          </cell>
          <cell r="AY3562" t="str">
            <v/>
          </cell>
          <cell r="AZ3562" t="str">
            <v/>
          </cell>
          <cell r="BA3562" t="str">
            <v/>
          </cell>
        </row>
        <row r="3563">
          <cell r="B3563" t="str">
            <v>-</v>
          </cell>
          <cell r="E3563" t="str">
            <v/>
          </cell>
          <cell r="G3563" t="str">
            <v/>
          </cell>
          <cell r="J3563" t="str">
            <v/>
          </cell>
          <cell r="O3563" t="str">
            <v/>
          </cell>
          <cell r="P3563" t="str">
            <v/>
          </cell>
          <cell r="Q3563" t="str">
            <v/>
          </cell>
          <cell r="S3563" t="str">
            <v/>
          </cell>
          <cell r="V3563" t="str">
            <v/>
          </cell>
          <cell r="Z3563" t="str">
            <v/>
          </cell>
          <cell r="AA3563" t="str">
            <v/>
          </cell>
          <cell r="AB3563" t="str">
            <v/>
          </cell>
          <cell r="AC3563" t="str">
            <v/>
          </cell>
          <cell r="AD3563" t="str">
            <v/>
          </cell>
          <cell r="AY3563" t="str">
            <v/>
          </cell>
          <cell r="AZ3563" t="str">
            <v/>
          </cell>
          <cell r="BA3563" t="str">
            <v/>
          </cell>
        </row>
        <row r="3564">
          <cell r="B3564" t="str">
            <v>-</v>
          </cell>
          <cell r="E3564" t="str">
            <v/>
          </cell>
          <cell r="G3564" t="str">
            <v/>
          </cell>
          <cell r="J3564" t="str">
            <v/>
          </cell>
          <cell r="O3564" t="str">
            <v/>
          </cell>
          <cell r="P3564" t="str">
            <v/>
          </cell>
          <cell r="Q3564" t="str">
            <v/>
          </cell>
          <cell r="S3564" t="str">
            <v/>
          </cell>
          <cell r="V3564" t="str">
            <v/>
          </cell>
          <cell r="Z3564" t="str">
            <v/>
          </cell>
          <cell r="AA3564" t="str">
            <v/>
          </cell>
          <cell r="AB3564" t="str">
            <v/>
          </cell>
          <cell r="AC3564" t="str">
            <v/>
          </cell>
          <cell r="AD3564" t="str">
            <v/>
          </cell>
          <cell r="AY3564" t="str">
            <v/>
          </cell>
          <cell r="AZ3564" t="str">
            <v/>
          </cell>
          <cell r="BA3564" t="str">
            <v/>
          </cell>
        </row>
        <row r="3565">
          <cell r="B3565" t="str">
            <v>-</v>
          </cell>
          <cell r="E3565" t="str">
            <v/>
          </cell>
          <cell r="G3565" t="str">
            <v/>
          </cell>
          <cell r="J3565" t="str">
            <v/>
          </cell>
          <cell r="O3565" t="str">
            <v/>
          </cell>
          <cell r="P3565" t="str">
            <v/>
          </cell>
          <cell r="Q3565" t="str">
            <v/>
          </cell>
          <cell r="S3565" t="str">
            <v/>
          </cell>
          <cell r="V3565" t="str">
            <v/>
          </cell>
          <cell r="Z3565" t="str">
            <v/>
          </cell>
          <cell r="AA3565" t="str">
            <v/>
          </cell>
          <cell r="AB3565" t="str">
            <v/>
          </cell>
          <cell r="AC3565" t="str">
            <v/>
          </cell>
          <cell r="AD3565" t="str">
            <v/>
          </cell>
          <cell r="AY3565" t="str">
            <v/>
          </cell>
          <cell r="AZ3565" t="str">
            <v/>
          </cell>
          <cell r="BA3565" t="str">
            <v/>
          </cell>
        </row>
        <row r="3566">
          <cell r="B3566" t="str">
            <v>-</v>
          </cell>
          <cell r="E3566" t="str">
            <v/>
          </cell>
          <cell r="G3566" t="str">
            <v/>
          </cell>
          <cell r="J3566" t="str">
            <v/>
          </cell>
          <cell r="O3566" t="str">
            <v/>
          </cell>
          <cell r="P3566" t="str">
            <v/>
          </cell>
          <cell r="Q3566" t="str">
            <v/>
          </cell>
          <cell r="S3566" t="str">
            <v/>
          </cell>
          <cell r="V3566" t="str">
            <v/>
          </cell>
          <cell r="Z3566" t="str">
            <v/>
          </cell>
          <cell r="AA3566" t="str">
            <v/>
          </cell>
          <cell r="AB3566" t="str">
            <v/>
          </cell>
          <cell r="AC3566" t="str">
            <v/>
          </cell>
          <cell r="AD3566" t="str">
            <v/>
          </cell>
          <cell r="AY3566" t="str">
            <v/>
          </cell>
          <cell r="AZ3566" t="str">
            <v/>
          </cell>
          <cell r="BA3566" t="str">
            <v/>
          </cell>
        </row>
        <row r="3567">
          <cell r="B3567" t="str">
            <v>-</v>
          </cell>
          <cell r="E3567" t="str">
            <v/>
          </cell>
          <cell r="G3567" t="str">
            <v/>
          </cell>
          <cell r="J3567" t="str">
            <v/>
          </cell>
          <cell r="O3567" t="str">
            <v/>
          </cell>
          <cell r="P3567" t="str">
            <v/>
          </cell>
          <cell r="Q3567" t="str">
            <v/>
          </cell>
          <cell r="S3567" t="str">
            <v/>
          </cell>
          <cell r="V3567" t="str">
            <v/>
          </cell>
          <cell r="Z3567" t="str">
            <v/>
          </cell>
          <cell r="AA3567" t="str">
            <v/>
          </cell>
          <cell r="AB3567" t="str">
            <v/>
          </cell>
          <cell r="AC3567" t="str">
            <v/>
          </cell>
          <cell r="AD3567" t="str">
            <v/>
          </cell>
          <cell r="AY3567" t="str">
            <v/>
          </cell>
          <cell r="AZ3567" t="str">
            <v/>
          </cell>
          <cell r="BA3567" t="str">
            <v/>
          </cell>
        </row>
        <row r="3568">
          <cell r="B3568" t="str">
            <v>-</v>
          </cell>
          <cell r="E3568" t="str">
            <v/>
          </cell>
          <cell r="G3568" t="str">
            <v/>
          </cell>
          <cell r="J3568" t="str">
            <v/>
          </cell>
          <cell r="O3568" t="str">
            <v/>
          </cell>
          <cell r="P3568" t="str">
            <v/>
          </cell>
          <cell r="Q3568" t="str">
            <v/>
          </cell>
          <cell r="S3568" t="str">
            <v/>
          </cell>
          <cell r="V3568" t="str">
            <v/>
          </cell>
          <cell r="Z3568" t="str">
            <v/>
          </cell>
          <cell r="AA3568" t="str">
            <v/>
          </cell>
          <cell r="AB3568" t="str">
            <v/>
          </cell>
          <cell r="AC3568" t="str">
            <v/>
          </cell>
          <cell r="AD3568" t="str">
            <v/>
          </cell>
          <cell r="AY3568" t="str">
            <v/>
          </cell>
          <cell r="AZ3568" t="str">
            <v/>
          </cell>
          <cell r="BA3568" t="str">
            <v/>
          </cell>
        </row>
        <row r="3569">
          <cell r="B3569" t="str">
            <v>-</v>
          </cell>
          <cell r="E3569" t="str">
            <v/>
          </cell>
          <cell r="G3569" t="str">
            <v/>
          </cell>
          <cell r="J3569" t="str">
            <v/>
          </cell>
          <cell r="O3569" t="str">
            <v/>
          </cell>
          <cell r="P3569" t="str">
            <v/>
          </cell>
          <cell r="Q3569" t="str">
            <v/>
          </cell>
          <cell r="S3569" t="str">
            <v/>
          </cell>
          <cell r="V3569" t="str">
            <v/>
          </cell>
          <cell r="Z3569" t="str">
            <v/>
          </cell>
          <cell r="AA3569" t="str">
            <v/>
          </cell>
          <cell r="AB3569" t="str">
            <v/>
          </cell>
          <cell r="AC3569" t="str">
            <v/>
          </cell>
          <cell r="AD3569" t="str">
            <v/>
          </cell>
          <cell r="AY3569" t="str">
            <v/>
          </cell>
          <cell r="AZ3569" t="str">
            <v/>
          </cell>
          <cell r="BA3569" t="str">
            <v/>
          </cell>
        </row>
        <row r="3570">
          <cell r="B3570" t="str">
            <v>-</v>
          </cell>
          <cell r="E3570" t="str">
            <v/>
          </cell>
          <cell r="G3570" t="str">
            <v/>
          </cell>
          <cell r="J3570" t="str">
            <v/>
          </cell>
          <cell r="O3570" t="str">
            <v/>
          </cell>
          <cell r="P3570" t="str">
            <v/>
          </cell>
          <cell r="Q3570" t="str">
            <v/>
          </cell>
          <cell r="S3570" t="str">
            <v/>
          </cell>
          <cell r="V3570" t="str">
            <v/>
          </cell>
          <cell r="Z3570" t="str">
            <v/>
          </cell>
          <cell r="AA3570" t="str">
            <v/>
          </cell>
          <cell r="AB3570" t="str">
            <v/>
          </cell>
          <cell r="AC3570" t="str">
            <v/>
          </cell>
          <cell r="AD3570" t="str">
            <v/>
          </cell>
          <cell r="AY3570" t="str">
            <v/>
          </cell>
          <cell r="AZ3570" t="str">
            <v/>
          </cell>
          <cell r="BA3570" t="str">
            <v/>
          </cell>
        </row>
        <row r="3571">
          <cell r="B3571" t="str">
            <v>-</v>
          </cell>
          <cell r="E3571" t="str">
            <v/>
          </cell>
          <cell r="G3571" t="str">
            <v/>
          </cell>
          <cell r="J3571" t="str">
            <v/>
          </cell>
          <cell r="O3571" t="str">
            <v/>
          </cell>
          <cell r="P3571" t="str">
            <v/>
          </cell>
          <cell r="Q3571" t="str">
            <v/>
          </cell>
          <cell r="S3571" t="str">
            <v/>
          </cell>
          <cell r="V3571" t="str">
            <v/>
          </cell>
          <cell r="Z3571" t="str">
            <v/>
          </cell>
          <cell r="AA3571" t="str">
            <v/>
          </cell>
          <cell r="AB3571" t="str">
            <v/>
          </cell>
          <cell r="AC3571" t="str">
            <v/>
          </cell>
          <cell r="AD3571" t="str">
            <v/>
          </cell>
          <cell r="AY3571" t="str">
            <v/>
          </cell>
          <cell r="AZ3571" t="str">
            <v/>
          </cell>
          <cell r="BA3571" t="str">
            <v/>
          </cell>
        </row>
        <row r="3572">
          <cell r="B3572" t="str">
            <v>-</v>
          </cell>
          <cell r="E3572" t="str">
            <v/>
          </cell>
          <cell r="G3572" t="str">
            <v/>
          </cell>
          <cell r="J3572" t="str">
            <v/>
          </cell>
          <cell r="O3572" t="str">
            <v/>
          </cell>
          <cell r="P3572" t="str">
            <v/>
          </cell>
          <cell r="Q3572" t="str">
            <v/>
          </cell>
          <cell r="S3572" t="str">
            <v/>
          </cell>
          <cell r="V3572" t="str">
            <v/>
          </cell>
          <cell r="Z3572" t="str">
            <v/>
          </cell>
          <cell r="AA3572" t="str">
            <v/>
          </cell>
          <cell r="AB3572" t="str">
            <v/>
          </cell>
          <cell r="AC3572" t="str">
            <v/>
          </cell>
          <cell r="AD3572" t="str">
            <v/>
          </cell>
          <cell r="AY3572" t="str">
            <v/>
          </cell>
          <cell r="AZ3572" t="str">
            <v/>
          </cell>
          <cell r="BA3572" t="str">
            <v/>
          </cell>
        </row>
        <row r="3573">
          <cell r="B3573" t="str">
            <v>-</v>
          </cell>
          <cell r="E3573" t="str">
            <v/>
          </cell>
          <cell r="G3573" t="str">
            <v/>
          </cell>
          <cell r="J3573" t="str">
            <v/>
          </cell>
          <cell r="O3573" t="str">
            <v/>
          </cell>
          <cell r="P3573" t="str">
            <v/>
          </cell>
          <cell r="Q3573" t="str">
            <v/>
          </cell>
          <cell r="S3573" t="str">
            <v/>
          </cell>
          <cell r="V3573" t="str">
            <v/>
          </cell>
          <cell r="Z3573" t="str">
            <v/>
          </cell>
          <cell r="AA3573" t="str">
            <v/>
          </cell>
          <cell r="AB3573" t="str">
            <v/>
          </cell>
          <cell r="AC3573" t="str">
            <v/>
          </cell>
          <cell r="AD3573" t="str">
            <v/>
          </cell>
          <cell r="AY3573" t="str">
            <v/>
          </cell>
          <cell r="AZ3573" t="str">
            <v/>
          </cell>
          <cell r="BA3573" t="str">
            <v/>
          </cell>
        </row>
        <row r="3574">
          <cell r="B3574" t="str">
            <v>-</v>
          </cell>
          <cell r="E3574" t="str">
            <v/>
          </cell>
          <cell r="G3574" t="str">
            <v/>
          </cell>
          <cell r="J3574" t="str">
            <v/>
          </cell>
          <cell r="O3574" t="str">
            <v/>
          </cell>
          <cell r="P3574" t="str">
            <v/>
          </cell>
          <cell r="Q3574" t="str">
            <v/>
          </cell>
          <cell r="S3574" t="str">
            <v/>
          </cell>
          <cell r="V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 t="str">
            <v/>
          </cell>
          <cell r="AD3574" t="str">
            <v/>
          </cell>
          <cell r="AY3574" t="str">
            <v/>
          </cell>
          <cell r="AZ3574" t="str">
            <v/>
          </cell>
          <cell r="BA3574" t="str">
            <v/>
          </cell>
        </row>
        <row r="3575">
          <cell r="B3575" t="str">
            <v>-</v>
          </cell>
          <cell r="E3575" t="str">
            <v/>
          </cell>
          <cell r="G3575" t="str">
            <v/>
          </cell>
          <cell r="J3575" t="str">
            <v/>
          </cell>
          <cell r="O3575" t="str">
            <v/>
          </cell>
          <cell r="P3575" t="str">
            <v/>
          </cell>
          <cell r="Q3575" t="str">
            <v/>
          </cell>
          <cell r="S3575" t="str">
            <v/>
          </cell>
          <cell r="V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 t="str">
            <v/>
          </cell>
          <cell r="AD3575" t="str">
            <v/>
          </cell>
          <cell r="AY3575" t="str">
            <v/>
          </cell>
          <cell r="AZ3575" t="str">
            <v/>
          </cell>
          <cell r="BA3575" t="str">
            <v/>
          </cell>
        </row>
        <row r="3576">
          <cell r="B3576" t="str">
            <v>-</v>
          </cell>
          <cell r="E3576" t="str">
            <v/>
          </cell>
          <cell r="G3576" t="str">
            <v/>
          </cell>
          <cell r="J3576" t="str">
            <v/>
          </cell>
          <cell r="O3576" t="str">
            <v/>
          </cell>
          <cell r="P3576" t="str">
            <v/>
          </cell>
          <cell r="Q3576" t="str">
            <v/>
          </cell>
          <cell r="S3576" t="str">
            <v/>
          </cell>
          <cell r="V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 t="str">
            <v/>
          </cell>
          <cell r="AD3576" t="str">
            <v/>
          </cell>
          <cell r="AY3576" t="str">
            <v/>
          </cell>
          <cell r="AZ3576" t="str">
            <v/>
          </cell>
          <cell r="BA3576" t="str">
            <v/>
          </cell>
        </row>
        <row r="3577">
          <cell r="B3577" t="str">
            <v>-</v>
          </cell>
          <cell r="E3577" t="str">
            <v/>
          </cell>
          <cell r="G3577" t="str">
            <v/>
          </cell>
          <cell r="J3577" t="str">
            <v/>
          </cell>
          <cell r="O3577" t="str">
            <v/>
          </cell>
          <cell r="P3577" t="str">
            <v/>
          </cell>
          <cell r="Q3577" t="str">
            <v/>
          </cell>
          <cell r="S3577" t="str">
            <v/>
          </cell>
          <cell r="V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 t="str">
            <v/>
          </cell>
          <cell r="AD3577" t="str">
            <v/>
          </cell>
          <cell r="AY3577" t="str">
            <v/>
          </cell>
          <cell r="AZ3577" t="str">
            <v/>
          </cell>
          <cell r="BA3577" t="str">
            <v/>
          </cell>
        </row>
        <row r="3578">
          <cell r="B3578" t="str">
            <v>-</v>
          </cell>
          <cell r="E3578" t="str">
            <v/>
          </cell>
          <cell r="G3578" t="str">
            <v/>
          </cell>
          <cell r="J3578" t="str">
            <v/>
          </cell>
          <cell r="O3578" t="str">
            <v/>
          </cell>
          <cell r="P3578" t="str">
            <v/>
          </cell>
          <cell r="Q3578" t="str">
            <v/>
          </cell>
          <cell r="S3578" t="str">
            <v/>
          </cell>
          <cell r="V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 t="str">
            <v/>
          </cell>
          <cell r="AD3578" t="str">
            <v/>
          </cell>
          <cell r="AY3578" t="str">
            <v/>
          </cell>
          <cell r="AZ3578" t="str">
            <v/>
          </cell>
          <cell r="BA3578" t="str">
            <v/>
          </cell>
        </row>
        <row r="3579">
          <cell r="B3579" t="str">
            <v>-</v>
          </cell>
          <cell r="E3579" t="str">
            <v/>
          </cell>
          <cell r="G3579" t="str">
            <v/>
          </cell>
          <cell r="J3579" t="str">
            <v/>
          </cell>
          <cell r="O3579" t="str">
            <v/>
          </cell>
          <cell r="P3579" t="str">
            <v/>
          </cell>
          <cell r="Q3579" t="str">
            <v/>
          </cell>
          <cell r="S3579" t="str">
            <v/>
          </cell>
          <cell r="V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 t="str">
            <v/>
          </cell>
          <cell r="AD3579" t="str">
            <v/>
          </cell>
          <cell r="AY3579" t="str">
            <v/>
          </cell>
          <cell r="AZ3579" t="str">
            <v/>
          </cell>
          <cell r="BA3579" t="str">
            <v/>
          </cell>
        </row>
        <row r="3580">
          <cell r="B3580" t="str">
            <v>-</v>
          </cell>
          <cell r="E3580" t="str">
            <v/>
          </cell>
          <cell r="G3580" t="str">
            <v/>
          </cell>
          <cell r="J3580" t="str">
            <v/>
          </cell>
          <cell r="O3580" t="str">
            <v/>
          </cell>
          <cell r="P3580" t="str">
            <v/>
          </cell>
          <cell r="Q3580" t="str">
            <v/>
          </cell>
          <cell r="S3580" t="str">
            <v/>
          </cell>
          <cell r="V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 t="str">
            <v/>
          </cell>
          <cell r="AD3580" t="str">
            <v/>
          </cell>
          <cell r="AY3580" t="str">
            <v/>
          </cell>
          <cell r="AZ3580" t="str">
            <v/>
          </cell>
          <cell r="BA3580" t="str">
            <v/>
          </cell>
        </row>
        <row r="3581">
          <cell r="B3581" t="str">
            <v>-</v>
          </cell>
          <cell r="E3581" t="str">
            <v/>
          </cell>
          <cell r="G3581" t="str">
            <v/>
          </cell>
          <cell r="J3581" t="str">
            <v/>
          </cell>
          <cell r="O3581" t="str">
            <v/>
          </cell>
          <cell r="P3581" t="str">
            <v/>
          </cell>
          <cell r="Q3581" t="str">
            <v/>
          </cell>
          <cell r="S3581" t="str">
            <v/>
          </cell>
          <cell r="V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 t="str">
            <v/>
          </cell>
          <cell r="AD3581" t="str">
            <v/>
          </cell>
          <cell r="AY3581" t="str">
            <v/>
          </cell>
          <cell r="AZ3581" t="str">
            <v/>
          </cell>
          <cell r="BA3581" t="str">
            <v/>
          </cell>
        </row>
        <row r="3582">
          <cell r="B3582" t="str">
            <v>-</v>
          </cell>
          <cell r="E3582" t="str">
            <v/>
          </cell>
          <cell r="G3582" t="str">
            <v/>
          </cell>
          <cell r="J3582" t="str">
            <v/>
          </cell>
          <cell r="O3582" t="str">
            <v/>
          </cell>
          <cell r="P3582" t="str">
            <v/>
          </cell>
          <cell r="Q3582" t="str">
            <v/>
          </cell>
          <cell r="S3582" t="str">
            <v/>
          </cell>
          <cell r="V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 t="str">
            <v/>
          </cell>
          <cell r="AD3582" t="str">
            <v/>
          </cell>
          <cell r="AY3582" t="str">
            <v/>
          </cell>
          <cell r="AZ3582" t="str">
            <v/>
          </cell>
          <cell r="BA3582" t="str">
            <v/>
          </cell>
        </row>
        <row r="3583">
          <cell r="B3583" t="str">
            <v>-</v>
          </cell>
          <cell r="E3583" t="str">
            <v/>
          </cell>
          <cell r="G3583" t="str">
            <v/>
          </cell>
          <cell r="J3583" t="str">
            <v/>
          </cell>
          <cell r="O3583" t="str">
            <v/>
          </cell>
          <cell r="P3583" t="str">
            <v/>
          </cell>
          <cell r="Q3583" t="str">
            <v/>
          </cell>
          <cell r="S3583" t="str">
            <v/>
          </cell>
          <cell r="V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 t="str">
            <v/>
          </cell>
          <cell r="AD3583" t="str">
            <v/>
          </cell>
          <cell r="AY3583" t="str">
            <v/>
          </cell>
          <cell r="AZ3583" t="str">
            <v/>
          </cell>
          <cell r="BA3583" t="str">
            <v/>
          </cell>
        </row>
        <row r="3584">
          <cell r="B3584" t="str">
            <v>-</v>
          </cell>
          <cell r="E3584" t="str">
            <v/>
          </cell>
          <cell r="G3584" t="str">
            <v/>
          </cell>
          <cell r="J3584" t="str">
            <v/>
          </cell>
          <cell r="O3584" t="str">
            <v/>
          </cell>
          <cell r="P3584" t="str">
            <v/>
          </cell>
          <cell r="Q3584" t="str">
            <v/>
          </cell>
          <cell r="S3584" t="str">
            <v/>
          </cell>
          <cell r="V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 t="str">
            <v/>
          </cell>
          <cell r="AD3584" t="str">
            <v/>
          </cell>
          <cell r="AY3584" t="str">
            <v/>
          </cell>
          <cell r="AZ3584" t="str">
            <v/>
          </cell>
          <cell r="BA3584" t="str">
            <v/>
          </cell>
        </row>
        <row r="3585">
          <cell r="B3585" t="str">
            <v>-</v>
          </cell>
          <cell r="E3585" t="str">
            <v/>
          </cell>
          <cell r="G3585" t="str">
            <v/>
          </cell>
          <cell r="J3585" t="str">
            <v/>
          </cell>
          <cell r="O3585" t="str">
            <v/>
          </cell>
          <cell r="P3585" t="str">
            <v/>
          </cell>
          <cell r="Q3585" t="str">
            <v/>
          </cell>
          <cell r="S3585" t="str">
            <v/>
          </cell>
          <cell r="V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 t="str">
            <v/>
          </cell>
          <cell r="AD3585" t="str">
            <v/>
          </cell>
          <cell r="AY3585" t="str">
            <v/>
          </cell>
          <cell r="AZ3585" t="str">
            <v/>
          </cell>
          <cell r="BA3585" t="str">
            <v/>
          </cell>
        </row>
        <row r="3586">
          <cell r="B3586" t="str">
            <v>-</v>
          </cell>
          <cell r="E3586" t="str">
            <v/>
          </cell>
          <cell r="G3586" t="str">
            <v/>
          </cell>
          <cell r="J3586" t="str">
            <v/>
          </cell>
          <cell r="O3586" t="str">
            <v/>
          </cell>
          <cell r="P3586" t="str">
            <v/>
          </cell>
          <cell r="Q3586" t="str">
            <v/>
          </cell>
          <cell r="S3586" t="str">
            <v/>
          </cell>
          <cell r="V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 t="str">
            <v/>
          </cell>
          <cell r="AD3586" t="str">
            <v/>
          </cell>
          <cell r="AY3586" t="str">
            <v/>
          </cell>
          <cell r="AZ3586" t="str">
            <v/>
          </cell>
          <cell r="BA3586" t="str">
            <v/>
          </cell>
        </row>
        <row r="3587">
          <cell r="B3587" t="str">
            <v>-</v>
          </cell>
          <cell r="E3587" t="str">
            <v/>
          </cell>
          <cell r="G3587" t="str">
            <v/>
          </cell>
          <cell r="J3587" t="str">
            <v/>
          </cell>
          <cell r="O3587" t="str">
            <v/>
          </cell>
          <cell r="P3587" t="str">
            <v/>
          </cell>
          <cell r="Q3587" t="str">
            <v/>
          </cell>
          <cell r="S3587" t="str">
            <v/>
          </cell>
          <cell r="V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 t="str">
            <v/>
          </cell>
          <cell r="AD3587" t="str">
            <v/>
          </cell>
          <cell r="AY3587" t="str">
            <v/>
          </cell>
          <cell r="AZ3587" t="str">
            <v/>
          </cell>
          <cell r="BA3587" t="str">
            <v/>
          </cell>
        </row>
        <row r="3588">
          <cell r="B3588" t="str">
            <v>-</v>
          </cell>
          <cell r="E3588" t="str">
            <v/>
          </cell>
          <cell r="G3588" t="str">
            <v/>
          </cell>
          <cell r="J3588" t="str">
            <v/>
          </cell>
          <cell r="O3588" t="str">
            <v/>
          </cell>
          <cell r="P3588" t="str">
            <v/>
          </cell>
          <cell r="Q3588" t="str">
            <v/>
          </cell>
          <cell r="S3588" t="str">
            <v/>
          </cell>
          <cell r="V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 t="str">
            <v/>
          </cell>
          <cell r="AD3588" t="str">
            <v/>
          </cell>
          <cell r="AY3588" t="str">
            <v/>
          </cell>
          <cell r="AZ3588" t="str">
            <v/>
          </cell>
          <cell r="BA3588" t="str">
            <v/>
          </cell>
        </row>
        <row r="3589">
          <cell r="B3589" t="str">
            <v>-</v>
          </cell>
          <cell r="E3589" t="str">
            <v/>
          </cell>
          <cell r="G3589" t="str">
            <v/>
          </cell>
          <cell r="J3589" t="str">
            <v/>
          </cell>
          <cell r="O3589" t="str">
            <v/>
          </cell>
          <cell r="P3589" t="str">
            <v/>
          </cell>
          <cell r="Q3589" t="str">
            <v/>
          </cell>
          <cell r="S3589" t="str">
            <v/>
          </cell>
          <cell r="V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 t="str">
            <v/>
          </cell>
          <cell r="AD3589" t="str">
            <v/>
          </cell>
          <cell r="AY3589" t="str">
            <v/>
          </cell>
          <cell r="AZ3589" t="str">
            <v/>
          </cell>
          <cell r="BA3589" t="str">
            <v/>
          </cell>
        </row>
        <row r="3590">
          <cell r="B3590" t="str">
            <v>-</v>
          </cell>
          <cell r="E3590" t="str">
            <v/>
          </cell>
          <cell r="G3590" t="str">
            <v/>
          </cell>
          <cell r="J3590" t="str">
            <v/>
          </cell>
          <cell r="O3590" t="str">
            <v/>
          </cell>
          <cell r="P3590" t="str">
            <v/>
          </cell>
          <cell r="Q3590" t="str">
            <v/>
          </cell>
          <cell r="S3590" t="str">
            <v/>
          </cell>
          <cell r="V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 t="str">
            <v/>
          </cell>
          <cell r="AD3590" t="str">
            <v/>
          </cell>
          <cell r="AY3590" t="str">
            <v/>
          </cell>
          <cell r="AZ3590" t="str">
            <v/>
          </cell>
          <cell r="BA3590" t="str">
            <v/>
          </cell>
        </row>
        <row r="3591">
          <cell r="B3591" t="str">
            <v>-</v>
          </cell>
          <cell r="E3591" t="str">
            <v/>
          </cell>
          <cell r="G3591" t="str">
            <v/>
          </cell>
          <cell r="J3591" t="str">
            <v/>
          </cell>
          <cell r="O3591" t="str">
            <v/>
          </cell>
          <cell r="P3591" t="str">
            <v/>
          </cell>
          <cell r="Q3591" t="str">
            <v/>
          </cell>
          <cell r="S3591" t="str">
            <v/>
          </cell>
          <cell r="V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 t="str">
            <v/>
          </cell>
          <cell r="AD3591" t="str">
            <v/>
          </cell>
          <cell r="AY3591" t="str">
            <v/>
          </cell>
          <cell r="AZ3591" t="str">
            <v/>
          </cell>
          <cell r="BA3591" t="str">
            <v/>
          </cell>
        </row>
        <row r="3592">
          <cell r="B3592" t="str">
            <v>-</v>
          </cell>
          <cell r="E3592" t="str">
            <v/>
          </cell>
          <cell r="G3592" t="str">
            <v/>
          </cell>
          <cell r="J3592" t="str">
            <v/>
          </cell>
          <cell r="O3592" t="str">
            <v/>
          </cell>
          <cell r="P3592" t="str">
            <v/>
          </cell>
          <cell r="Q3592" t="str">
            <v/>
          </cell>
          <cell r="S3592" t="str">
            <v/>
          </cell>
          <cell r="V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 t="str">
            <v/>
          </cell>
          <cell r="AD3592" t="str">
            <v/>
          </cell>
          <cell r="AY3592" t="str">
            <v/>
          </cell>
          <cell r="AZ3592" t="str">
            <v/>
          </cell>
          <cell r="BA3592" t="str">
            <v/>
          </cell>
        </row>
        <row r="3593">
          <cell r="B3593" t="str">
            <v>-</v>
          </cell>
          <cell r="E3593" t="str">
            <v/>
          </cell>
          <cell r="G3593" t="str">
            <v/>
          </cell>
          <cell r="J3593" t="str">
            <v/>
          </cell>
          <cell r="O3593" t="str">
            <v/>
          </cell>
          <cell r="P3593" t="str">
            <v/>
          </cell>
          <cell r="Q3593" t="str">
            <v/>
          </cell>
          <cell r="S3593" t="str">
            <v/>
          </cell>
          <cell r="V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 t="str">
            <v/>
          </cell>
          <cell r="AD3593" t="str">
            <v/>
          </cell>
          <cell r="AY3593" t="str">
            <v/>
          </cell>
          <cell r="AZ3593" t="str">
            <v/>
          </cell>
          <cell r="BA3593" t="str">
            <v/>
          </cell>
        </row>
        <row r="3594">
          <cell r="B3594" t="str">
            <v>-</v>
          </cell>
          <cell r="E3594" t="str">
            <v/>
          </cell>
          <cell r="G3594" t="str">
            <v/>
          </cell>
          <cell r="J3594" t="str">
            <v/>
          </cell>
          <cell r="O3594" t="str">
            <v/>
          </cell>
          <cell r="P3594" t="str">
            <v/>
          </cell>
          <cell r="Q3594" t="str">
            <v/>
          </cell>
          <cell r="S3594" t="str">
            <v/>
          </cell>
          <cell r="V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 t="str">
            <v/>
          </cell>
          <cell r="AD3594" t="str">
            <v/>
          </cell>
          <cell r="AY3594" t="str">
            <v/>
          </cell>
          <cell r="AZ3594" t="str">
            <v/>
          </cell>
          <cell r="BA3594" t="str">
            <v/>
          </cell>
        </row>
        <row r="3595">
          <cell r="B3595" t="str">
            <v>-</v>
          </cell>
          <cell r="E3595" t="str">
            <v/>
          </cell>
          <cell r="G3595" t="str">
            <v/>
          </cell>
          <cell r="J3595" t="str">
            <v/>
          </cell>
          <cell r="O3595" t="str">
            <v/>
          </cell>
          <cell r="P3595" t="str">
            <v/>
          </cell>
          <cell r="Q3595" t="str">
            <v/>
          </cell>
          <cell r="S3595" t="str">
            <v/>
          </cell>
          <cell r="V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 t="str">
            <v/>
          </cell>
          <cell r="AD3595" t="str">
            <v/>
          </cell>
          <cell r="AY3595" t="str">
            <v/>
          </cell>
          <cell r="AZ3595" t="str">
            <v/>
          </cell>
          <cell r="BA3595" t="str">
            <v/>
          </cell>
        </row>
        <row r="3596">
          <cell r="B3596" t="str">
            <v>-</v>
          </cell>
          <cell r="E3596" t="str">
            <v/>
          </cell>
          <cell r="G3596" t="str">
            <v/>
          </cell>
          <cell r="J3596" t="str">
            <v/>
          </cell>
          <cell r="O3596" t="str">
            <v/>
          </cell>
          <cell r="P3596" t="str">
            <v/>
          </cell>
          <cell r="Q3596" t="str">
            <v/>
          </cell>
          <cell r="S3596" t="str">
            <v/>
          </cell>
          <cell r="V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 t="str">
            <v/>
          </cell>
          <cell r="AD3596" t="str">
            <v/>
          </cell>
          <cell r="AY3596" t="str">
            <v/>
          </cell>
          <cell r="AZ3596" t="str">
            <v/>
          </cell>
          <cell r="BA3596" t="str">
            <v/>
          </cell>
        </row>
        <row r="3597">
          <cell r="B3597" t="str">
            <v>-</v>
          </cell>
          <cell r="E3597" t="str">
            <v/>
          </cell>
          <cell r="G3597" t="str">
            <v/>
          </cell>
          <cell r="J3597" t="str">
            <v/>
          </cell>
          <cell r="O3597" t="str">
            <v/>
          </cell>
          <cell r="P3597" t="str">
            <v/>
          </cell>
          <cell r="Q3597" t="str">
            <v/>
          </cell>
          <cell r="S3597" t="str">
            <v/>
          </cell>
          <cell r="V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 t="str">
            <v/>
          </cell>
          <cell r="AD3597" t="str">
            <v/>
          </cell>
          <cell r="AY3597" t="str">
            <v/>
          </cell>
          <cell r="AZ3597" t="str">
            <v/>
          </cell>
          <cell r="BA3597" t="str">
            <v/>
          </cell>
        </row>
        <row r="3598">
          <cell r="B3598" t="str">
            <v>-</v>
          </cell>
          <cell r="E3598" t="str">
            <v/>
          </cell>
          <cell r="G3598" t="str">
            <v/>
          </cell>
          <cell r="J3598" t="str">
            <v/>
          </cell>
          <cell r="O3598" t="str">
            <v/>
          </cell>
          <cell r="P3598" t="str">
            <v/>
          </cell>
          <cell r="Q3598" t="str">
            <v/>
          </cell>
          <cell r="S3598" t="str">
            <v/>
          </cell>
          <cell r="V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 t="str">
            <v/>
          </cell>
          <cell r="AD3598" t="str">
            <v/>
          </cell>
          <cell r="AY3598" t="str">
            <v/>
          </cell>
          <cell r="AZ3598" t="str">
            <v/>
          </cell>
          <cell r="BA3598" t="str">
            <v/>
          </cell>
        </row>
        <row r="3599">
          <cell r="B3599" t="str">
            <v>-</v>
          </cell>
          <cell r="E3599" t="str">
            <v/>
          </cell>
          <cell r="G3599" t="str">
            <v/>
          </cell>
          <cell r="J3599" t="str">
            <v/>
          </cell>
          <cell r="O3599" t="str">
            <v/>
          </cell>
          <cell r="P3599" t="str">
            <v/>
          </cell>
          <cell r="Q3599" t="str">
            <v/>
          </cell>
          <cell r="S3599" t="str">
            <v/>
          </cell>
          <cell r="V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 t="str">
            <v/>
          </cell>
          <cell r="AD3599" t="str">
            <v/>
          </cell>
          <cell r="AY3599" t="str">
            <v/>
          </cell>
          <cell r="AZ3599" t="str">
            <v/>
          </cell>
          <cell r="BA3599" t="str">
            <v/>
          </cell>
        </row>
        <row r="3600">
          <cell r="B3600" t="str">
            <v>-</v>
          </cell>
          <cell r="E3600" t="str">
            <v/>
          </cell>
          <cell r="G3600" t="str">
            <v/>
          </cell>
          <cell r="J3600" t="str">
            <v/>
          </cell>
          <cell r="O3600" t="str">
            <v/>
          </cell>
          <cell r="P3600" t="str">
            <v/>
          </cell>
          <cell r="Q3600" t="str">
            <v/>
          </cell>
          <cell r="S3600" t="str">
            <v/>
          </cell>
          <cell r="V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 t="str">
            <v/>
          </cell>
          <cell r="AD3600" t="str">
            <v/>
          </cell>
          <cell r="AY3600" t="str">
            <v/>
          </cell>
          <cell r="AZ3600" t="str">
            <v/>
          </cell>
          <cell r="BA3600" t="str">
            <v/>
          </cell>
        </row>
        <row r="3601">
          <cell r="B3601" t="str">
            <v>-</v>
          </cell>
          <cell r="E3601" t="str">
            <v/>
          </cell>
          <cell r="G3601" t="str">
            <v/>
          </cell>
          <cell r="J3601" t="str">
            <v/>
          </cell>
          <cell r="O3601" t="str">
            <v/>
          </cell>
          <cell r="P3601" t="str">
            <v/>
          </cell>
          <cell r="Q3601" t="str">
            <v/>
          </cell>
          <cell r="S3601" t="str">
            <v/>
          </cell>
          <cell r="V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 t="str">
            <v/>
          </cell>
          <cell r="AD3601" t="str">
            <v/>
          </cell>
          <cell r="AY3601" t="str">
            <v/>
          </cell>
          <cell r="AZ3601" t="str">
            <v/>
          </cell>
          <cell r="BA3601" t="str">
            <v/>
          </cell>
        </row>
        <row r="3602">
          <cell r="B3602" t="str">
            <v>-</v>
          </cell>
          <cell r="E3602" t="str">
            <v/>
          </cell>
          <cell r="G3602" t="str">
            <v/>
          </cell>
          <cell r="J3602" t="str">
            <v/>
          </cell>
          <cell r="O3602" t="str">
            <v/>
          </cell>
          <cell r="P3602" t="str">
            <v/>
          </cell>
          <cell r="Q3602" t="str">
            <v/>
          </cell>
          <cell r="S3602" t="str">
            <v/>
          </cell>
          <cell r="V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 t="str">
            <v/>
          </cell>
          <cell r="AD3602" t="str">
            <v/>
          </cell>
          <cell r="AY3602" t="str">
            <v/>
          </cell>
          <cell r="AZ3602" t="str">
            <v/>
          </cell>
          <cell r="BA3602" t="str">
            <v/>
          </cell>
        </row>
        <row r="3603">
          <cell r="B3603" t="str">
            <v>-</v>
          </cell>
          <cell r="E3603" t="str">
            <v/>
          </cell>
          <cell r="G3603" t="str">
            <v/>
          </cell>
          <cell r="J3603" t="str">
            <v/>
          </cell>
          <cell r="O3603" t="str">
            <v/>
          </cell>
          <cell r="P3603" t="str">
            <v/>
          </cell>
          <cell r="Q3603" t="str">
            <v/>
          </cell>
          <cell r="S3603" t="str">
            <v/>
          </cell>
          <cell r="V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 t="str">
            <v/>
          </cell>
          <cell r="AD3603" t="str">
            <v/>
          </cell>
          <cell r="AY3603" t="str">
            <v/>
          </cell>
          <cell r="AZ3603" t="str">
            <v/>
          </cell>
          <cell r="BA3603" t="str">
            <v/>
          </cell>
        </row>
        <row r="3604">
          <cell r="B3604" t="str">
            <v>-</v>
          </cell>
          <cell r="E3604" t="str">
            <v/>
          </cell>
          <cell r="G3604" t="str">
            <v/>
          </cell>
          <cell r="J3604" t="str">
            <v/>
          </cell>
          <cell r="O3604" t="str">
            <v/>
          </cell>
          <cell r="P3604" t="str">
            <v/>
          </cell>
          <cell r="Q3604" t="str">
            <v/>
          </cell>
          <cell r="S3604" t="str">
            <v/>
          </cell>
          <cell r="V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 t="str">
            <v/>
          </cell>
          <cell r="AD3604" t="str">
            <v/>
          </cell>
          <cell r="AY3604" t="str">
            <v/>
          </cell>
          <cell r="AZ3604" t="str">
            <v/>
          </cell>
          <cell r="BA3604" t="str">
            <v/>
          </cell>
        </row>
        <row r="3605">
          <cell r="B3605" t="str">
            <v>-</v>
          </cell>
          <cell r="E3605" t="str">
            <v/>
          </cell>
          <cell r="G3605" t="str">
            <v/>
          </cell>
          <cell r="J3605" t="str">
            <v/>
          </cell>
          <cell r="O3605" t="str">
            <v/>
          </cell>
          <cell r="P3605" t="str">
            <v/>
          </cell>
          <cell r="Q3605" t="str">
            <v/>
          </cell>
          <cell r="S3605" t="str">
            <v/>
          </cell>
          <cell r="V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 t="str">
            <v/>
          </cell>
          <cell r="AD3605" t="str">
            <v/>
          </cell>
          <cell r="AY3605" t="str">
            <v/>
          </cell>
          <cell r="AZ3605" t="str">
            <v/>
          </cell>
          <cell r="BA3605" t="str">
            <v/>
          </cell>
        </row>
        <row r="3606">
          <cell r="B3606" t="str">
            <v>-</v>
          </cell>
          <cell r="E3606" t="str">
            <v/>
          </cell>
          <cell r="G3606" t="str">
            <v/>
          </cell>
          <cell r="J3606" t="str">
            <v/>
          </cell>
          <cell r="O3606" t="str">
            <v/>
          </cell>
          <cell r="P3606" t="str">
            <v/>
          </cell>
          <cell r="Q3606" t="str">
            <v/>
          </cell>
          <cell r="S3606" t="str">
            <v/>
          </cell>
          <cell r="V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 t="str">
            <v/>
          </cell>
          <cell r="AD3606" t="str">
            <v/>
          </cell>
          <cell r="AY3606" t="str">
            <v/>
          </cell>
          <cell r="AZ3606" t="str">
            <v/>
          </cell>
          <cell r="BA3606" t="str">
            <v/>
          </cell>
        </row>
        <row r="3607">
          <cell r="B3607" t="str">
            <v>-</v>
          </cell>
          <cell r="E3607" t="str">
            <v/>
          </cell>
          <cell r="G3607" t="str">
            <v/>
          </cell>
          <cell r="J3607" t="str">
            <v/>
          </cell>
          <cell r="O3607" t="str">
            <v/>
          </cell>
          <cell r="P3607" t="str">
            <v/>
          </cell>
          <cell r="Q3607" t="str">
            <v/>
          </cell>
          <cell r="S3607" t="str">
            <v/>
          </cell>
          <cell r="V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 t="str">
            <v/>
          </cell>
          <cell r="AD3607" t="str">
            <v/>
          </cell>
          <cell r="AY3607" t="str">
            <v/>
          </cell>
          <cell r="AZ3607" t="str">
            <v/>
          </cell>
          <cell r="BA3607" t="str">
            <v/>
          </cell>
        </row>
        <row r="3608">
          <cell r="B3608" t="str">
            <v>-</v>
          </cell>
          <cell r="E3608" t="str">
            <v/>
          </cell>
          <cell r="G3608" t="str">
            <v/>
          </cell>
          <cell r="J3608" t="str">
            <v/>
          </cell>
          <cell r="O3608" t="str">
            <v/>
          </cell>
          <cell r="P3608" t="str">
            <v/>
          </cell>
          <cell r="Q3608" t="str">
            <v/>
          </cell>
          <cell r="S3608" t="str">
            <v/>
          </cell>
          <cell r="V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 t="str">
            <v/>
          </cell>
          <cell r="AD3608" t="str">
            <v/>
          </cell>
          <cell r="AY3608" t="str">
            <v/>
          </cell>
          <cell r="AZ3608" t="str">
            <v/>
          </cell>
          <cell r="BA3608" t="str">
            <v/>
          </cell>
        </row>
        <row r="3609">
          <cell r="B3609" t="str">
            <v>-</v>
          </cell>
          <cell r="E3609" t="str">
            <v/>
          </cell>
          <cell r="G3609" t="str">
            <v/>
          </cell>
          <cell r="J3609" t="str">
            <v/>
          </cell>
          <cell r="O3609" t="str">
            <v/>
          </cell>
          <cell r="P3609" t="str">
            <v/>
          </cell>
          <cell r="Q3609" t="str">
            <v/>
          </cell>
          <cell r="S3609" t="str">
            <v/>
          </cell>
          <cell r="V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 t="str">
            <v/>
          </cell>
          <cell r="AD3609" t="str">
            <v/>
          </cell>
          <cell r="AY3609" t="str">
            <v/>
          </cell>
          <cell r="AZ3609" t="str">
            <v/>
          </cell>
          <cell r="BA3609" t="str">
            <v/>
          </cell>
        </row>
        <row r="3610">
          <cell r="B3610" t="str">
            <v>-</v>
          </cell>
          <cell r="E3610" t="str">
            <v/>
          </cell>
          <cell r="G3610" t="str">
            <v/>
          </cell>
          <cell r="J3610" t="str">
            <v/>
          </cell>
          <cell r="O3610" t="str">
            <v/>
          </cell>
          <cell r="P3610" t="str">
            <v/>
          </cell>
          <cell r="Q3610" t="str">
            <v/>
          </cell>
          <cell r="S3610" t="str">
            <v/>
          </cell>
          <cell r="V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 t="str">
            <v/>
          </cell>
          <cell r="AD3610" t="str">
            <v/>
          </cell>
          <cell r="AY3610" t="str">
            <v/>
          </cell>
          <cell r="AZ3610" t="str">
            <v/>
          </cell>
          <cell r="BA3610" t="str">
            <v/>
          </cell>
        </row>
        <row r="3611">
          <cell r="B3611" t="str">
            <v>-</v>
          </cell>
          <cell r="E3611" t="str">
            <v/>
          </cell>
          <cell r="G3611" t="str">
            <v/>
          </cell>
          <cell r="J3611" t="str">
            <v/>
          </cell>
          <cell r="O3611" t="str">
            <v/>
          </cell>
          <cell r="P3611" t="str">
            <v/>
          </cell>
          <cell r="Q3611" t="str">
            <v/>
          </cell>
          <cell r="S3611" t="str">
            <v/>
          </cell>
          <cell r="V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 t="str">
            <v/>
          </cell>
          <cell r="AD3611" t="str">
            <v/>
          </cell>
          <cell r="AY3611" t="str">
            <v/>
          </cell>
          <cell r="AZ3611" t="str">
            <v/>
          </cell>
          <cell r="BA3611" t="str">
            <v/>
          </cell>
        </row>
        <row r="3612">
          <cell r="B3612" t="str">
            <v>-</v>
          </cell>
          <cell r="E3612" t="str">
            <v/>
          </cell>
          <cell r="G3612" t="str">
            <v/>
          </cell>
          <cell r="J3612" t="str">
            <v/>
          </cell>
          <cell r="O3612" t="str">
            <v/>
          </cell>
          <cell r="P3612" t="str">
            <v/>
          </cell>
          <cell r="Q3612" t="str">
            <v/>
          </cell>
          <cell r="S3612" t="str">
            <v/>
          </cell>
          <cell r="V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 t="str">
            <v/>
          </cell>
          <cell r="AD3612" t="str">
            <v/>
          </cell>
          <cell r="AY3612" t="str">
            <v/>
          </cell>
          <cell r="AZ3612" t="str">
            <v/>
          </cell>
          <cell r="BA3612" t="str">
            <v/>
          </cell>
        </row>
        <row r="3613">
          <cell r="B3613" t="str">
            <v>-</v>
          </cell>
          <cell r="E3613" t="str">
            <v/>
          </cell>
          <cell r="G3613" t="str">
            <v/>
          </cell>
          <cell r="J3613" t="str">
            <v/>
          </cell>
          <cell r="O3613" t="str">
            <v/>
          </cell>
          <cell r="P3613" t="str">
            <v/>
          </cell>
          <cell r="Q3613" t="str">
            <v/>
          </cell>
          <cell r="S3613" t="str">
            <v/>
          </cell>
          <cell r="V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 t="str">
            <v/>
          </cell>
          <cell r="AD3613" t="str">
            <v/>
          </cell>
          <cell r="AY3613" t="str">
            <v/>
          </cell>
          <cell r="AZ3613" t="str">
            <v/>
          </cell>
          <cell r="BA3613" t="str">
            <v/>
          </cell>
        </row>
        <row r="3614">
          <cell r="B3614" t="str">
            <v>-</v>
          </cell>
          <cell r="E3614" t="str">
            <v/>
          </cell>
          <cell r="G3614" t="str">
            <v/>
          </cell>
          <cell r="J3614" t="str">
            <v/>
          </cell>
          <cell r="O3614" t="str">
            <v/>
          </cell>
          <cell r="P3614" t="str">
            <v/>
          </cell>
          <cell r="Q3614" t="str">
            <v/>
          </cell>
          <cell r="S3614" t="str">
            <v/>
          </cell>
          <cell r="V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 t="str">
            <v/>
          </cell>
          <cell r="AD3614" t="str">
            <v/>
          </cell>
          <cell r="AY3614" t="str">
            <v/>
          </cell>
          <cell r="AZ3614" t="str">
            <v/>
          </cell>
          <cell r="BA3614" t="str">
            <v/>
          </cell>
        </row>
        <row r="3615">
          <cell r="B3615" t="str">
            <v>-</v>
          </cell>
          <cell r="E3615" t="str">
            <v/>
          </cell>
          <cell r="G3615" t="str">
            <v/>
          </cell>
          <cell r="J3615" t="str">
            <v/>
          </cell>
          <cell r="O3615" t="str">
            <v/>
          </cell>
          <cell r="P3615" t="str">
            <v/>
          </cell>
          <cell r="Q3615" t="str">
            <v/>
          </cell>
          <cell r="S3615" t="str">
            <v/>
          </cell>
          <cell r="V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 t="str">
            <v/>
          </cell>
          <cell r="AD3615" t="str">
            <v/>
          </cell>
          <cell r="AY3615" t="str">
            <v/>
          </cell>
          <cell r="AZ3615" t="str">
            <v/>
          </cell>
          <cell r="BA3615" t="str">
            <v/>
          </cell>
        </row>
        <row r="3616">
          <cell r="B3616" t="str">
            <v>-</v>
          </cell>
          <cell r="E3616" t="str">
            <v/>
          </cell>
          <cell r="G3616" t="str">
            <v/>
          </cell>
          <cell r="J3616" t="str">
            <v/>
          </cell>
          <cell r="O3616" t="str">
            <v/>
          </cell>
          <cell r="P3616" t="str">
            <v/>
          </cell>
          <cell r="Q3616" t="str">
            <v/>
          </cell>
          <cell r="S3616" t="str">
            <v/>
          </cell>
          <cell r="V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 t="str">
            <v/>
          </cell>
          <cell r="AD3616" t="str">
            <v/>
          </cell>
          <cell r="AY3616" t="str">
            <v/>
          </cell>
          <cell r="AZ3616" t="str">
            <v/>
          </cell>
          <cell r="BA3616" t="str">
            <v/>
          </cell>
        </row>
        <row r="3617">
          <cell r="B3617" t="str">
            <v>-</v>
          </cell>
          <cell r="E3617" t="str">
            <v/>
          </cell>
          <cell r="G3617" t="str">
            <v/>
          </cell>
          <cell r="J3617" t="str">
            <v/>
          </cell>
          <cell r="O3617" t="str">
            <v/>
          </cell>
          <cell r="P3617" t="str">
            <v/>
          </cell>
          <cell r="Q3617" t="str">
            <v/>
          </cell>
          <cell r="S3617" t="str">
            <v/>
          </cell>
          <cell r="V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 t="str">
            <v/>
          </cell>
          <cell r="AD3617" t="str">
            <v/>
          </cell>
          <cell r="AY3617" t="str">
            <v/>
          </cell>
          <cell r="AZ3617" t="str">
            <v/>
          </cell>
          <cell r="BA3617" t="str">
            <v/>
          </cell>
        </row>
        <row r="3618">
          <cell r="B3618" t="str">
            <v>-</v>
          </cell>
          <cell r="E3618" t="str">
            <v/>
          </cell>
          <cell r="G3618" t="str">
            <v/>
          </cell>
          <cell r="J3618" t="str">
            <v/>
          </cell>
          <cell r="O3618" t="str">
            <v/>
          </cell>
          <cell r="P3618" t="str">
            <v/>
          </cell>
          <cell r="Q3618" t="str">
            <v/>
          </cell>
          <cell r="S3618" t="str">
            <v/>
          </cell>
          <cell r="V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 t="str">
            <v/>
          </cell>
          <cell r="AD3618" t="str">
            <v/>
          </cell>
          <cell r="AY3618" t="str">
            <v/>
          </cell>
          <cell r="AZ3618" t="str">
            <v/>
          </cell>
          <cell r="BA3618" t="str">
            <v/>
          </cell>
        </row>
        <row r="3619">
          <cell r="B3619" t="str">
            <v>-</v>
          </cell>
          <cell r="E3619" t="str">
            <v/>
          </cell>
          <cell r="G3619" t="str">
            <v/>
          </cell>
          <cell r="J3619" t="str">
            <v/>
          </cell>
          <cell r="O3619" t="str">
            <v/>
          </cell>
          <cell r="P3619" t="str">
            <v/>
          </cell>
          <cell r="Q3619" t="str">
            <v/>
          </cell>
          <cell r="S3619" t="str">
            <v/>
          </cell>
          <cell r="V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 t="str">
            <v/>
          </cell>
          <cell r="AD3619" t="str">
            <v/>
          </cell>
          <cell r="AY3619" t="str">
            <v/>
          </cell>
          <cell r="AZ3619" t="str">
            <v/>
          </cell>
          <cell r="BA3619" t="str">
            <v/>
          </cell>
        </row>
        <row r="3620">
          <cell r="B3620" t="str">
            <v>-</v>
          </cell>
          <cell r="E3620" t="str">
            <v/>
          </cell>
          <cell r="G3620" t="str">
            <v/>
          </cell>
          <cell r="J3620" t="str">
            <v/>
          </cell>
          <cell r="O3620" t="str">
            <v/>
          </cell>
          <cell r="P3620" t="str">
            <v/>
          </cell>
          <cell r="Q3620" t="str">
            <v/>
          </cell>
          <cell r="S3620" t="str">
            <v/>
          </cell>
          <cell r="V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 t="str">
            <v/>
          </cell>
          <cell r="AD3620" t="str">
            <v/>
          </cell>
          <cell r="AY3620" t="str">
            <v/>
          </cell>
          <cell r="AZ3620" t="str">
            <v/>
          </cell>
          <cell r="BA3620" t="str">
            <v/>
          </cell>
        </row>
        <row r="3621">
          <cell r="B3621" t="str">
            <v>-</v>
          </cell>
          <cell r="E3621" t="str">
            <v/>
          </cell>
          <cell r="G3621" t="str">
            <v/>
          </cell>
          <cell r="J3621" t="str">
            <v/>
          </cell>
          <cell r="O3621" t="str">
            <v/>
          </cell>
          <cell r="P3621" t="str">
            <v/>
          </cell>
          <cell r="Q3621" t="str">
            <v/>
          </cell>
          <cell r="S3621" t="str">
            <v/>
          </cell>
          <cell r="V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 t="str">
            <v/>
          </cell>
          <cell r="AD3621" t="str">
            <v/>
          </cell>
          <cell r="AY3621" t="str">
            <v/>
          </cell>
          <cell r="AZ3621" t="str">
            <v/>
          </cell>
          <cell r="BA3621" t="str">
            <v/>
          </cell>
        </row>
        <row r="3622">
          <cell r="B3622" t="str">
            <v>-</v>
          </cell>
          <cell r="E3622" t="str">
            <v/>
          </cell>
          <cell r="G3622" t="str">
            <v/>
          </cell>
          <cell r="J3622" t="str">
            <v/>
          </cell>
          <cell r="O3622" t="str">
            <v/>
          </cell>
          <cell r="P3622" t="str">
            <v/>
          </cell>
          <cell r="Q3622" t="str">
            <v/>
          </cell>
          <cell r="S3622" t="str">
            <v/>
          </cell>
          <cell r="V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 t="str">
            <v/>
          </cell>
          <cell r="AD3622" t="str">
            <v/>
          </cell>
          <cell r="AY3622" t="str">
            <v/>
          </cell>
          <cell r="AZ3622" t="str">
            <v/>
          </cell>
          <cell r="BA3622" t="str">
            <v/>
          </cell>
        </row>
        <row r="3623">
          <cell r="B3623" t="str">
            <v>-</v>
          </cell>
          <cell r="E3623" t="str">
            <v/>
          </cell>
          <cell r="G3623" t="str">
            <v/>
          </cell>
          <cell r="J3623" t="str">
            <v/>
          </cell>
          <cell r="O3623" t="str">
            <v/>
          </cell>
          <cell r="P3623" t="str">
            <v/>
          </cell>
          <cell r="Q3623" t="str">
            <v/>
          </cell>
          <cell r="S3623" t="str">
            <v/>
          </cell>
          <cell r="V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 t="str">
            <v/>
          </cell>
          <cell r="AD3623" t="str">
            <v/>
          </cell>
          <cell r="AY3623" t="str">
            <v/>
          </cell>
          <cell r="AZ3623" t="str">
            <v/>
          </cell>
          <cell r="BA3623" t="str">
            <v/>
          </cell>
        </row>
        <row r="3624">
          <cell r="B3624" t="str">
            <v>-</v>
          </cell>
          <cell r="E3624" t="str">
            <v/>
          </cell>
          <cell r="G3624" t="str">
            <v/>
          </cell>
          <cell r="J3624" t="str">
            <v/>
          </cell>
          <cell r="O3624" t="str">
            <v/>
          </cell>
          <cell r="P3624" t="str">
            <v/>
          </cell>
          <cell r="Q3624" t="str">
            <v/>
          </cell>
          <cell r="S3624" t="str">
            <v/>
          </cell>
          <cell r="V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 t="str">
            <v/>
          </cell>
          <cell r="AD3624" t="str">
            <v/>
          </cell>
          <cell r="AY3624" t="str">
            <v/>
          </cell>
          <cell r="AZ3624" t="str">
            <v/>
          </cell>
          <cell r="BA3624" t="str">
            <v/>
          </cell>
        </row>
        <row r="3625">
          <cell r="B3625" t="str">
            <v>-</v>
          </cell>
          <cell r="E3625" t="str">
            <v/>
          </cell>
          <cell r="G3625" t="str">
            <v/>
          </cell>
          <cell r="J3625" t="str">
            <v/>
          </cell>
          <cell r="O3625" t="str">
            <v/>
          </cell>
          <cell r="P3625" t="str">
            <v/>
          </cell>
          <cell r="Q3625" t="str">
            <v/>
          </cell>
          <cell r="S3625" t="str">
            <v/>
          </cell>
          <cell r="V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 t="str">
            <v/>
          </cell>
          <cell r="AD3625" t="str">
            <v/>
          </cell>
          <cell r="AY3625" t="str">
            <v/>
          </cell>
          <cell r="AZ3625" t="str">
            <v/>
          </cell>
          <cell r="BA3625" t="str">
            <v/>
          </cell>
        </row>
        <row r="3626">
          <cell r="B3626" t="str">
            <v>-</v>
          </cell>
          <cell r="E3626" t="str">
            <v/>
          </cell>
          <cell r="G3626" t="str">
            <v/>
          </cell>
          <cell r="J3626" t="str">
            <v/>
          </cell>
          <cell r="O3626" t="str">
            <v/>
          </cell>
          <cell r="P3626" t="str">
            <v/>
          </cell>
          <cell r="Q3626" t="str">
            <v/>
          </cell>
          <cell r="S3626" t="str">
            <v/>
          </cell>
          <cell r="V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 t="str">
            <v/>
          </cell>
          <cell r="AD3626" t="str">
            <v/>
          </cell>
          <cell r="AY3626" t="str">
            <v/>
          </cell>
          <cell r="AZ3626" t="str">
            <v/>
          </cell>
          <cell r="BA3626" t="str">
            <v/>
          </cell>
        </row>
        <row r="3627">
          <cell r="B3627" t="str">
            <v>-</v>
          </cell>
          <cell r="E3627" t="str">
            <v/>
          </cell>
          <cell r="G3627" t="str">
            <v/>
          </cell>
          <cell r="J3627" t="str">
            <v/>
          </cell>
          <cell r="O3627" t="str">
            <v/>
          </cell>
          <cell r="P3627" t="str">
            <v/>
          </cell>
          <cell r="Q3627" t="str">
            <v/>
          </cell>
          <cell r="S3627" t="str">
            <v/>
          </cell>
          <cell r="V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 t="str">
            <v/>
          </cell>
          <cell r="AD3627" t="str">
            <v/>
          </cell>
          <cell r="AY3627" t="str">
            <v/>
          </cell>
          <cell r="AZ3627" t="str">
            <v/>
          </cell>
          <cell r="BA3627" t="str">
            <v/>
          </cell>
        </row>
        <row r="3628">
          <cell r="B3628" t="str">
            <v>-</v>
          </cell>
          <cell r="E3628" t="str">
            <v/>
          </cell>
          <cell r="G3628" t="str">
            <v/>
          </cell>
          <cell r="J3628" t="str">
            <v/>
          </cell>
          <cell r="O3628" t="str">
            <v/>
          </cell>
          <cell r="P3628" t="str">
            <v/>
          </cell>
          <cell r="Q3628" t="str">
            <v/>
          </cell>
          <cell r="S3628" t="str">
            <v/>
          </cell>
          <cell r="V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 t="str">
            <v/>
          </cell>
          <cell r="AD3628" t="str">
            <v/>
          </cell>
          <cell r="AY3628" t="str">
            <v/>
          </cell>
          <cell r="AZ3628" t="str">
            <v/>
          </cell>
          <cell r="BA3628" t="str">
            <v/>
          </cell>
        </row>
        <row r="3629">
          <cell r="B3629" t="str">
            <v>-</v>
          </cell>
          <cell r="E3629" t="str">
            <v/>
          </cell>
          <cell r="G3629" t="str">
            <v/>
          </cell>
          <cell r="J3629" t="str">
            <v/>
          </cell>
          <cell r="O3629" t="str">
            <v/>
          </cell>
          <cell r="P3629" t="str">
            <v/>
          </cell>
          <cell r="Q3629" t="str">
            <v/>
          </cell>
          <cell r="S3629" t="str">
            <v/>
          </cell>
          <cell r="V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 t="str">
            <v/>
          </cell>
          <cell r="AD3629" t="str">
            <v/>
          </cell>
          <cell r="AY3629" t="str">
            <v/>
          </cell>
          <cell r="AZ3629" t="str">
            <v/>
          </cell>
          <cell r="BA3629" t="str">
            <v/>
          </cell>
        </row>
        <row r="3630">
          <cell r="B3630" t="str">
            <v>-</v>
          </cell>
          <cell r="E3630" t="str">
            <v/>
          </cell>
          <cell r="G3630" t="str">
            <v/>
          </cell>
          <cell r="J3630" t="str">
            <v/>
          </cell>
          <cell r="O3630" t="str">
            <v/>
          </cell>
          <cell r="P3630" t="str">
            <v/>
          </cell>
          <cell r="Q3630" t="str">
            <v/>
          </cell>
          <cell r="S3630" t="str">
            <v/>
          </cell>
          <cell r="V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 t="str">
            <v/>
          </cell>
          <cell r="AD3630" t="str">
            <v/>
          </cell>
          <cell r="AY3630" t="str">
            <v/>
          </cell>
          <cell r="AZ3630" t="str">
            <v/>
          </cell>
          <cell r="BA3630" t="str">
            <v/>
          </cell>
        </row>
        <row r="3631">
          <cell r="B3631" t="str">
            <v>-</v>
          </cell>
          <cell r="E3631" t="str">
            <v/>
          </cell>
          <cell r="G3631" t="str">
            <v/>
          </cell>
          <cell r="J3631" t="str">
            <v/>
          </cell>
          <cell r="O3631" t="str">
            <v/>
          </cell>
          <cell r="P3631" t="str">
            <v/>
          </cell>
          <cell r="Q3631" t="str">
            <v/>
          </cell>
          <cell r="S3631" t="str">
            <v/>
          </cell>
          <cell r="V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 t="str">
            <v/>
          </cell>
          <cell r="AD3631" t="str">
            <v/>
          </cell>
          <cell r="AY3631" t="str">
            <v/>
          </cell>
          <cell r="AZ3631" t="str">
            <v/>
          </cell>
          <cell r="BA3631" t="str">
            <v/>
          </cell>
        </row>
        <row r="3632">
          <cell r="B3632" t="str">
            <v>-</v>
          </cell>
          <cell r="E3632" t="str">
            <v/>
          </cell>
          <cell r="G3632" t="str">
            <v/>
          </cell>
          <cell r="J3632" t="str">
            <v/>
          </cell>
          <cell r="O3632" t="str">
            <v/>
          </cell>
          <cell r="P3632" t="str">
            <v/>
          </cell>
          <cell r="Q3632" t="str">
            <v/>
          </cell>
          <cell r="S3632" t="str">
            <v/>
          </cell>
          <cell r="V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 t="str">
            <v/>
          </cell>
          <cell r="AD3632" t="str">
            <v/>
          </cell>
          <cell r="AY3632" t="str">
            <v/>
          </cell>
          <cell r="AZ3632" t="str">
            <v/>
          </cell>
          <cell r="BA3632" t="str">
            <v/>
          </cell>
        </row>
        <row r="3633">
          <cell r="B3633" t="str">
            <v>-</v>
          </cell>
          <cell r="E3633" t="str">
            <v/>
          </cell>
          <cell r="G3633" t="str">
            <v/>
          </cell>
          <cell r="J3633" t="str">
            <v/>
          </cell>
          <cell r="O3633" t="str">
            <v/>
          </cell>
          <cell r="P3633" t="str">
            <v/>
          </cell>
          <cell r="Q3633" t="str">
            <v/>
          </cell>
          <cell r="S3633" t="str">
            <v/>
          </cell>
          <cell r="V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 t="str">
            <v/>
          </cell>
          <cell r="AD3633" t="str">
            <v/>
          </cell>
          <cell r="AY3633" t="str">
            <v/>
          </cell>
          <cell r="AZ3633" t="str">
            <v/>
          </cell>
          <cell r="BA3633" t="str">
            <v/>
          </cell>
        </row>
        <row r="3634">
          <cell r="B3634" t="str">
            <v>-</v>
          </cell>
          <cell r="E3634" t="str">
            <v/>
          </cell>
          <cell r="G3634" t="str">
            <v/>
          </cell>
          <cell r="J3634" t="str">
            <v/>
          </cell>
          <cell r="O3634" t="str">
            <v/>
          </cell>
          <cell r="P3634" t="str">
            <v/>
          </cell>
          <cell r="Q3634" t="str">
            <v/>
          </cell>
          <cell r="S3634" t="str">
            <v/>
          </cell>
          <cell r="V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 t="str">
            <v/>
          </cell>
          <cell r="AD3634" t="str">
            <v/>
          </cell>
          <cell r="AY3634" t="str">
            <v/>
          </cell>
          <cell r="AZ3634" t="str">
            <v/>
          </cell>
          <cell r="BA3634" t="str">
            <v/>
          </cell>
        </row>
        <row r="3635">
          <cell r="B3635" t="str">
            <v>-</v>
          </cell>
          <cell r="E3635" t="str">
            <v/>
          </cell>
          <cell r="G3635" t="str">
            <v/>
          </cell>
          <cell r="J3635" t="str">
            <v/>
          </cell>
          <cell r="O3635" t="str">
            <v/>
          </cell>
          <cell r="P3635" t="str">
            <v/>
          </cell>
          <cell r="Q3635" t="str">
            <v/>
          </cell>
          <cell r="S3635" t="str">
            <v/>
          </cell>
          <cell r="V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 t="str">
            <v/>
          </cell>
          <cell r="AD3635" t="str">
            <v/>
          </cell>
          <cell r="AY3635" t="str">
            <v/>
          </cell>
          <cell r="AZ3635" t="str">
            <v/>
          </cell>
          <cell r="BA3635" t="str">
            <v/>
          </cell>
        </row>
        <row r="3636">
          <cell r="B3636" t="str">
            <v>-</v>
          </cell>
          <cell r="E3636" t="str">
            <v/>
          </cell>
          <cell r="G3636" t="str">
            <v/>
          </cell>
          <cell r="J3636" t="str">
            <v/>
          </cell>
          <cell r="O3636" t="str">
            <v/>
          </cell>
          <cell r="P3636" t="str">
            <v/>
          </cell>
          <cell r="Q3636" t="str">
            <v/>
          </cell>
          <cell r="S3636" t="str">
            <v/>
          </cell>
          <cell r="V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 t="str">
            <v/>
          </cell>
          <cell r="AD3636" t="str">
            <v/>
          </cell>
          <cell r="AY3636" t="str">
            <v/>
          </cell>
          <cell r="AZ3636" t="str">
            <v/>
          </cell>
          <cell r="BA3636" t="str">
            <v/>
          </cell>
        </row>
        <row r="3637">
          <cell r="B3637" t="str">
            <v>-</v>
          </cell>
          <cell r="E3637" t="str">
            <v/>
          </cell>
          <cell r="G3637" t="str">
            <v/>
          </cell>
          <cell r="J3637" t="str">
            <v/>
          </cell>
          <cell r="O3637" t="str">
            <v/>
          </cell>
          <cell r="P3637" t="str">
            <v/>
          </cell>
          <cell r="Q3637" t="str">
            <v/>
          </cell>
          <cell r="S3637" t="str">
            <v/>
          </cell>
          <cell r="V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 t="str">
            <v/>
          </cell>
          <cell r="AD3637" t="str">
            <v/>
          </cell>
          <cell r="AY3637" t="str">
            <v/>
          </cell>
          <cell r="AZ3637" t="str">
            <v/>
          </cell>
          <cell r="BA3637" t="str">
            <v/>
          </cell>
        </row>
        <row r="3638">
          <cell r="B3638" t="str">
            <v>-</v>
          </cell>
          <cell r="E3638" t="str">
            <v/>
          </cell>
          <cell r="G3638" t="str">
            <v/>
          </cell>
          <cell r="J3638" t="str">
            <v/>
          </cell>
          <cell r="O3638" t="str">
            <v/>
          </cell>
          <cell r="P3638" t="str">
            <v/>
          </cell>
          <cell r="Q3638" t="str">
            <v/>
          </cell>
          <cell r="S3638" t="str">
            <v/>
          </cell>
          <cell r="V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 t="str">
            <v/>
          </cell>
          <cell r="AD3638" t="str">
            <v/>
          </cell>
          <cell r="AY3638" t="str">
            <v/>
          </cell>
          <cell r="AZ3638" t="str">
            <v/>
          </cell>
          <cell r="BA3638" t="str">
            <v/>
          </cell>
        </row>
        <row r="3639">
          <cell r="B3639" t="str">
            <v>-</v>
          </cell>
          <cell r="E3639" t="str">
            <v/>
          </cell>
          <cell r="G3639" t="str">
            <v/>
          </cell>
          <cell r="J3639" t="str">
            <v/>
          </cell>
          <cell r="O3639" t="str">
            <v/>
          </cell>
          <cell r="P3639" t="str">
            <v/>
          </cell>
          <cell r="Q3639" t="str">
            <v/>
          </cell>
          <cell r="S3639" t="str">
            <v/>
          </cell>
          <cell r="V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 t="str">
            <v/>
          </cell>
          <cell r="AD3639" t="str">
            <v/>
          </cell>
          <cell r="AY3639" t="str">
            <v/>
          </cell>
          <cell r="AZ3639" t="str">
            <v/>
          </cell>
          <cell r="BA3639" t="str">
            <v/>
          </cell>
        </row>
        <row r="3640">
          <cell r="B3640" t="str">
            <v>-</v>
          </cell>
          <cell r="E3640" t="str">
            <v/>
          </cell>
          <cell r="G3640" t="str">
            <v/>
          </cell>
          <cell r="J3640" t="str">
            <v/>
          </cell>
          <cell r="O3640" t="str">
            <v/>
          </cell>
          <cell r="P3640" t="str">
            <v/>
          </cell>
          <cell r="Q3640" t="str">
            <v/>
          </cell>
          <cell r="S3640" t="str">
            <v/>
          </cell>
          <cell r="V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 t="str">
            <v/>
          </cell>
          <cell r="AD3640" t="str">
            <v/>
          </cell>
          <cell r="AY3640" t="str">
            <v/>
          </cell>
          <cell r="AZ3640" t="str">
            <v/>
          </cell>
          <cell r="BA3640" t="str">
            <v/>
          </cell>
        </row>
        <row r="3641">
          <cell r="B3641" t="str">
            <v>-</v>
          </cell>
          <cell r="E3641" t="str">
            <v/>
          </cell>
          <cell r="G3641" t="str">
            <v/>
          </cell>
          <cell r="J3641" t="str">
            <v/>
          </cell>
          <cell r="O3641" t="str">
            <v/>
          </cell>
          <cell r="P3641" t="str">
            <v/>
          </cell>
          <cell r="Q3641" t="str">
            <v/>
          </cell>
          <cell r="S3641" t="str">
            <v/>
          </cell>
          <cell r="V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 t="str">
            <v/>
          </cell>
          <cell r="AD3641" t="str">
            <v/>
          </cell>
          <cell r="AY3641" t="str">
            <v/>
          </cell>
          <cell r="AZ3641" t="str">
            <v/>
          </cell>
          <cell r="BA3641" t="str">
            <v/>
          </cell>
        </row>
        <row r="3642">
          <cell r="B3642" t="str">
            <v>-</v>
          </cell>
          <cell r="E3642" t="str">
            <v/>
          </cell>
          <cell r="G3642" t="str">
            <v/>
          </cell>
          <cell r="J3642" t="str">
            <v/>
          </cell>
          <cell r="O3642" t="str">
            <v/>
          </cell>
          <cell r="P3642" t="str">
            <v/>
          </cell>
          <cell r="Q3642" t="str">
            <v/>
          </cell>
          <cell r="S3642" t="str">
            <v/>
          </cell>
          <cell r="V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 t="str">
            <v/>
          </cell>
          <cell r="AD3642" t="str">
            <v/>
          </cell>
          <cell r="AY3642" t="str">
            <v/>
          </cell>
          <cell r="AZ3642" t="str">
            <v/>
          </cell>
          <cell r="BA3642" t="str">
            <v/>
          </cell>
        </row>
        <row r="3643">
          <cell r="B3643" t="str">
            <v>-</v>
          </cell>
          <cell r="E3643" t="str">
            <v/>
          </cell>
          <cell r="G3643" t="str">
            <v/>
          </cell>
          <cell r="J3643" t="str">
            <v/>
          </cell>
          <cell r="O3643" t="str">
            <v/>
          </cell>
          <cell r="P3643" t="str">
            <v/>
          </cell>
          <cell r="Q3643" t="str">
            <v/>
          </cell>
          <cell r="S3643" t="str">
            <v/>
          </cell>
          <cell r="V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 t="str">
            <v/>
          </cell>
          <cell r="AD3643" t="str">
            <v/>
          </cell>
          <cell r="AY3643" t="str">
            <v/>
          </cell>
          <cell r="AZ3643" t="str">
            <v/>
          </cell>
          <cell r="BA3643" t="str">
            <v/>
          </cell>
        </row>
        <row r="3644">
          <cell r="B3644" t="str">
            <v>-</v>
          </cell>
          <cell r="E3644" t="str">
            <v/>
          </cell>
          <cell r="G3644" t="str">
            <v/>
          </cell>
          <cell r="J3644" t="str">
            <v/>
          </cell>
          <cell r="O3644" t="str">
            <v/>
          </cell>
          <cell r="P3644" t="str">
            <v/>
          </cell>
          <cell r="Q3644" t="str">
            <v/>
          </cell>
          <cell r="S3644" t="str">
            <v/>
          </cell>
          <cell r="V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 t="str">
            <v/>
          </cell>
          <cell r="AD3644" t="str">
            <v/>
          </cell>
          <cell r="AY3644" t="str">
            <v/>
          </cell>
          <cell r="AZ3644" t="str">
            <v/>
          </cell>
          <cell r="BA3644" t="str">
            <v/>
          </cell>
        </row>
        <row r="3645">
          <cell r="B3645" t="str">
            <v>-</v>
          </cell>
          <cell r="E3645" t="str">
            <v/>
          </cell>
          <cell r="G3645" t="str">
            <v/>
          </cell>
          <cell r="J3645" t="str">
            <v/>
          </cell>
          <cell r="O3645" t="str">
            <v/>
          </cell>
          <cell r="P3645" t="str">
            <v/>
          </cell>
          <cell r="Q3645" t="str">
            <v/>
          </cell>
          <cell r="S3645" t="str">
            <v/>
          </cell>
          <cell r="V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 t="str">
            <v/>
          </cell>
          <cell r="AD3645" t="str">
            <v/>
          </cell>
          <cell r="AY3645" t="str">
            <v/>
          </cell>
          <cell r="AZ3645" t="str">
            <v/>
          </cell>
          <cell r="BA3645" t="str">
            <v/>
          </cell>
        </row>
        <row r="3646">
          <cell r="B3646" t="str">
            <v>-</v>
          </cell>
          <cell r="E3646" t="str">
            <v/>
          </cell>
          <cell r="G3646" t="str">
            <v/>
          </cell>
          <cell r="J3646" t="str">
            <v/>
          </cell>
          <cell r="O3646" t="str">
            <v/>
          </cell>
          <cell r="P3646" t="str">
            <v/>
          </cell>
          <cell r="Q3646" t="str">
            <v/>
          </cell>
          <cell r="S3646" t="str">
            <v/>
          </cell>
          <cell r="V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 t="str">
            <v/>
          </cell>
          <cell r="AD3646" t="str">
            <v/>
          </cell>
          <cell r="AY3646" t="str">
            <v/>
          </cell>
          <cell r="AZ3646" t="str">
            <v/>
          </cell>
          <cell r="BA3646" t="str">
            <v/>
          </cell>
        </row>
        <row r="3647">
          <cell r="B3647" t="str">
            <v>-</v>
          </cell>
          <cell r="E3647" t="str">
            <v/>
          </cell>
          <cell r="G3647" t="str">
            <v/>
          </cell>
          <cell r="J3647" t="str">
            <v/>
          </cell>
          <cell r="O3647" t="str">
            <v/>
          </cell>
          <cell r="P3647" t="str">
            <v/>
          </cell>
          <cell r="Q3647" t="str">
            <v/>
          </cell>
          <cell r="S3647" t="str">
            <v/>
          </cell>
          <cell r="V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 t="str">
            <v/>
          </cell>
          <cell r="AD3647" t="str">
            <v/>
          </cell>
          <cell r="AY3647" t="str">
            <v/>
          </cell>
          <cell r="AZ3647" t="str">
            <v/>
          </cell>
          <cell r="BA3647" t="str">
            <v/>
          </cell>
        </row>
        <row r="3648">
          <cell r="B3648" t="str">
            <v>-</v>
          </cell>
          <cell r="E3648" t="str">
            <v/>
          </cell>
          <cell r="G3648" t="str">
            <v/>
          </cell>
          <cell r="J3648" t="str">
            <v/>
          </cell>
          <cell r="O3648" t="str">
            <v/>
          </cell>
          <cell r="P3648" t="str">
            <v/>
          </cell>
          <cell r="Q3648" t="str">
            <v/>
          </cell>
          <cell r="S3648" t="str">
            <v/>
          </cell>
          <cell r="V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 t="str">
            <v/>
          </cell>
          <cell r="AD3648" t="str">
            <v/>
          </cell>
          <cell r="AY3648" t="str">
            <v/>
          </cell>
          <cell r="AZ3648" t="str">
            <v/>
          </cell>
          <cell r="BA3648" t="str">
            <v/>
          </cell>
        </row>
        <row r="3649">
          <cell r="B3649" t="str">
            <v>-</v>
          </cell>
          <cell r="E3649" t="str">
            <v/>
          </cell>
          <cell r="G3649" t="str">
            <v/>
          </cell>
          <cell r="J3649" t="str">
            <v/>
          </cell>
          <cell r="O3649" t="str">
            <v/>
          </cell>
          <cell r="P3649" t="str">
            <v/>
          </cell>
          <cell r="Q3649" t="str">
            <v/>
          </cell>
          <cell r="S3649" t="str">
            <v/>
          </cell>
          <cell r="V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 t="str">
            <v/>
          </cell>
          <cell r="AD3649" t="str">
            <v/>
          </cell>
          <cell r="AY3649" t="str">
            <v/>
          </cell>
          <cell r="AZ3649" t="str">
            <v/>
          </cell>
          <cell r="BA3649" t="str">
            <v/>
          </cell>
        </row>
        <row r="3650">
          <cell r="B3650" t="str">
            <v>-</v>
          </cell>
          <cell r="E3650" t="str">
            <v/>
          </cell>
          <cell r="G3650" t="str">
            <v/>
          </cell>
          <cell r="J3650" t="str">
            <v/>
          </cell>
          <cell r="O3650" t="str">
            <v/>
          </cell>
          <cell r="P3650" t="str">
            <v/>
          </cell>
          <cell r="Q3650" t="str">
            <v/>
          </cell>
          <cell r="S3650" t="str">
            <v/>
          </cell>
          <cell r="V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 t="str">
            <v/>
          </cell>
          <cell r="AD3650" t="str">
            <v/>
          </cell>
          <cell r="AY3650" t="str">
            <v/>
          </cell>
          <cell r="AZ3650" t="str">
            <v/>
          </cell>
          <cell r="BA3650" t="str">
            <v/>
          </cell>
        </row>
        <row r="3651">
          <cell r="B3651" t="str">
            <v>-</v>
          </cell>
          <cell r="E3651" t="str">
            <v/>
          </cell>
          <cell r="G3651" t="str">
            <v/>
          </cell>
          <cell r="J3651" t="str">
            <v/>
          </cell>
          <cell r="O3651" t="str">
            <v/>
          </cell>
          <cell r="P3651" t="str">
            <v/>
          </cell>
          <cell r="Q3651" t="str">
            <v/>
          </cell>
          <cell r="S3651" t="str">
            <v/>
          </cell>
          <cell r="V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 t="str">
            <v/>
          </cell>
          <cell r="AD3651" t="str">
            <v/>
          </cell>
          <cell r="AY3651" t="str">
            <v/>
          </cell>
          <cell r="AZ3651" t="str">
            <v/>
          </cell>
          <cell r="BA3651" t="str">
            <v/>
          </cell>
        </row>
        <row r="3652">
          <cell r="B3652" t="str">
            <v>-</v>
          </cell>
          <cell r="E3652" t="str">
            <v/>
          </cell>
          <cell r="G3652" t="str">
            <v/>
          </cell>
          <cell r="J3652" t="str">
            <v/>
          </cell>
          <cell r="O3652" t="str">
            <v/>
          </cell>
          <cell r="P3652" t="str">
            <v/>
          </cell>
          <cell r="Q3652" t="str">
            <v/>
          </cell>
          <cell r="S3652" t="str">
            <v/>
          </cell>
          <cell r="V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 t="str">
            <v/>
          </cell>
          <cell r="AD3652" t="str">
            <v/>
          </cell>
          <cell r="AY3652" t="str">
            <v/>
          </cell>
          <cell r="AZ3652" t="str">
            <v/>
          </cell>
          <cell r="BA3652" t="str">
            <v/>
          </cell>
        </row>
        <row r="3653">
          <cell r="B3653" t="str">
            <v>-</v>
          </cell>
          <cell r="E3653" t="str">
            <v/>
          </cell>
          <cell r="G3653" t="str">
            <v/>
          </cell>
          <cell r="J3653" t="str">
            <v/>
          </cell>
          <cell r="O3653" t="str">
            <v/>
          </cell>
          <cell r="P3653" t="str">
            <v/>
          </cell>
          <cell r="Q3653" t="str">
            <v/>
          </cell>
          <cell r="S3653" t="str">
            <v/>
          </cell>
          <cell r="V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 t="str">
            <v/>
          </cell>
          <cell r="AD3653" t="str">
            <v/>
          </cell>
          <cell r="AY3653" t="str">
            <v/>
          </cell>
          <cell r="AZ3653" t="str">
            <v/>
          </cell>
          <cell r="BA3653" t="str">
            <v/>
          </cell>
        </row>
        <row r="3654">
          <cell r="B3654" t="str">
            <v>-</v>
          </cell>
          <cell r="E3654" t="str">
            <v/>
          </cell>
          <cell r="G3654" t="str">
            <v/>
          </cell>
          <cell r="J3654" t="str">
            <v/>
          </cell>
          <cell r="O3654" t="str">
            <v/>
          </cell>
          <cell r="P3654" t="str">
            <v/>
          </cell>
          <cell r="Q3654" t="str">
            <v/>
          </cell>
          <cell r="S3654" t="str">
            <v/>
          </cell>
          <cell r="V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 t="str">
            <v/>
          </cell>
          <cell r="AD3654" t="str">
            <v/>
          </cell>
          <cell r="AY3654" t="str">
            <v/>
          </cell>
          <cell r="AZ3654" t="str">
            <v/>
          </cell>
          <cell r="BA3654" t="str">
            <v/>
          </cell>
        </row>
        <row r="3655">
          <cell r="B3655" t="str">
            <v>-</v>
          </cell>
          <cell r="E3655" t="str">
            <v/>
          </cell>
          <cell r="G3655" t="str">
            <v/>
          </cell>
          <cell r="J3655" t="str">
            <v/>
          </cell>
          <cell r="O3655" t="str">
            <v/>
          </cell>
          <cell r="P3655" t="str">
            <v/>
          </cell>
          <cell r="Q3655" t="str">
            <v/>
          </cell>
          <cell r="S3655" t="str">
            <v/>
          </cell>
          <cell r="V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 t="str">
            <v/>
          </cell>
          <cell r="AD3655" t="str">
            <v/>
          </cell>
          <cell r="AY3655" t="str">
            <v/>
          </cell>
          <cell r="AZ3655" t="str">
            <v/>
          </cell>
          <cell r="BA3655" t="str">
            <v/>
          </cell>
        </row>
        <row r="3656">
          <cell r="B3656" t="str">
            <v>-</v>
          </cell>
          <cell r="E3656" t="str">
            <v/>
          </cell>
          <cell r="G3656" t="str">
            <v/>
          </cell>
          <cell r="J3656" t="str">
            <v/>
          </cell>
          <cell r="O3656" t="str">
            <v/>
          </cell>
          <cell r="P3656" t="str">
            <v/>
          </cell>
          <cell r="Q3656" t="str">
            <v/>
          </cell>
          <cell r="S3656" t="str">
            <v/>
          </cell>
          <cell r="V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 t="str">
            <v/>
          </cell>
          <cell r="AD3656" t="str">
            <v/>
          </cell>
          <cell r="AY3656" t="str">
            <v/>
          </cell>
          <cell r="AZ3656" t="str">
            <v/>
          </cell>
          <cell r="BA3656" t="str">
            <v/>
          </cell>
        </row>
        <row r="3657">
          <cell r="B3657" t="str">
            <v>-</v>
          </cell>
          <cell r="E3657" t="str">
            <v/>
          </cell>
          <cell r="G3657" t="str">
            <v/>
          </cell>
          <cell r="J3657" t="str">
            <v/>
          </cell>
          <cell r="O3657" t="str">
            <v/>
          </cell>
          <cell r="P3657" t="str">
            <v/>
          </cell>
          <cell r="Q3657" t="str">
            <v/>
          </cell>
          <cell r="S3657" t="str">
            <v/>
          </cell>
          <cell r="V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 t="str">
            <v/>
          </cell>
          <cell r="AD3657" t="str">
            <v/>
          </cell>
          <cell r="AY3657" t="str">
            <v/>
          </cell>
          <cell r="AZ3657" t="str">
            <v/>
          </cell>
          <cell r="BA3657" t="str">
            <v/>
          </cell>
        </row>
        <row r="3658">
          <cell r="B3658" t="str">
            <v>-</v>
          </cell>
          <cell r="E3658" t="str">
            <v/>
          </cell>
          <cell r="G3658" t="str">
            <v/>
          </cell>
          <cell r="J3658" t="str">
            <v/>
          </cell>
          <cell r="O3658" t="str">
            <v/>
          </cell>
          <cell r="P3658" t="str">
            <v/>
          </cell>
          <cell r="Q3658" t="str">
            <v/>
          </cell>
          <cell r="S3658" t="str">
            <v/>
          </cell>
          <cell r="V3658" t="str">
            <v/>
          </cell>
          <cell r="Z3658" t="str">
            <v/>
          </cell>
          <cell r="AA3658" t="str">
            <v/>
          </cell>
          <cell r="AB3658" t="str">
            <v/>
          </cell>
          <cell r="AC3658" t="str">
            <v/>
          </cell>
          <cell r="AD3658" t="str">
            <v/>
          </cell>
          <cell r="AY3658" t="str">
            <v/>
          </cell>
          <cell r="AZ3658" t="str">
            <v/>
          </cell>
          <cell r="BA3658" t="str">
            <v/>
          </cell>
        </row>
        <row r="3659">
          <cell r="B3659" t="str">
            <v>-</v>
          </cell>
          <cell r="E3659" t="str">
            <v/>
          </cell>
          <cell r="G3659" t="str">
            <v/>
          </cell>
          <cell r="J3659" t="str">
            <v/>
          </cell>
          <cell r="O3659" t="str">
            <v/>
          </cell>
          <cell r="P3659" t="str">
            <v/>
          </cell>
          <cell r="Q3659" t="str">
            <v/>
          </cell>
          <cell r="S3659" t="str">
            <v/>
          </cell>
          <cell r="V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 t="str">
            <v/>
          </cell>
          <cell r="AD3659" t="str">
            <v/>
          </cell>
          <cell r="AY3659" t="str">
            <v/>
          </cell>
          <cell r="AZ3659" t="str">
            <v/>
          </cell>
          <cell r="BA3659" t="str">
            <v/>
          </cell>
        </row>
        <row r="3660">
          <cell r="B3660" t="str">
            <v>-</v>
          </cell>
          <cell r="E3660" t="str">
            <v/>
          </cell>
          <cell r="G3660" t="str">
            <v/>
          </cell>
          <cell r="J3660" t="str">
            <v/>
          </cell>
          <cell r="O3660" t="str">
            <v/>
          </cell>
          <cell r="P3660" t="str">
            <v/>
          </cell>
          <cell r="Q3660" t="str">
            <v/>
          </cell>
          <cell r="S3660" t="str">
            <v/>
          </cell>
          <cell r="V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 t="str">
            <v/>
          </cell>
          <cell r="AD3660" t="str">
            <v/>
          </cell>
          <cell r="AY3660" t="str">
            <v/>
          </cell>
          <cell r="AZ3660" t="str">
            <v/>
          </cell>
          <cell r="BA3660" t="str">
            <v/>
          </cell>
        </row>
        <row r="3661">
          <cell r="B3661" t="str">
            <v>-</v>
          </cell>
          <cell r="E3661" t="str">
            <v/>
          </cell>
          <cell r="G3661" t="str">
            <v/>
          </cell>
          <cell r="J3661" t="str">
            <v/>
          </cell>
          <cell r="O3661" t="str">
            <v/>
          </cell>
          <cell r="P3661" t="str">
            <v/>
          </cell>
          <cell r="Q3661" t="str">
            <v/>
          </cell>
          <cell r="S3661" t="str">
            <v/>
          </cell>
          <cell r="V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 t="str">
            <v/>
          </cell>
          <cell r="AD3661" t="str">
            <v/>
          </cell>
          <cell r="AY3661" t="str">
            <v/>
          </cell>
          <cell r="AZ3661" t="str">
            <v/>
          </cell>
          <cell r="BA3661" t="str">
            <v/>
          </cell>
        </row>
        <row r="3662">
          <cell r="B3662" t="str">
            <v>-</v>
          </cell>
          <cell r="E3662" t="str">
            <v/>
          </cell>
          <cell r="G3662" t="str">
            <v/>
          </cell>
          <cell r="J3662" t="str">
            <v/>
          </cell>
          <cell r="O3662" t="str">
            <v/>
          </cell>
          <cell r="P3662" t="str">
            <v/>
          </cell>
          <cell r="Q3662" t="str">
            <v/>
          </cell>
          <cell r="S3662" t="str">
            <v/>
          </cell>
          <cell r="V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 t="str">
            <v/>
          </cell>
          <cell r="AD3662" t="str">
            <v/>
          </cell>
          <cell r="AY3662" t="str">
            <v/>
          </cell>
          <cell r="AZ3662" t="str">
            <v/>
          </cell>
          <cell r="BA3662" t="str">
            <v/>
          </cell>
        </row>
        <row r="3663">
          <cell r="B3663" t="str">
            <v>-</v>
          </cell>
          <cell r="E3663" t="str">
            <v/>
          </cell>
          <cell r="G3663" t="str">
            <v/>
          </cell>
          <cell r="J3663" t="str">
            <v/>
          </cell>
          <cell r="O3663" t="str">
            <v/>
          </cell>
          <cell r="P3663" t="str">
            <v/>
          </cell>
          <cell r="Q3663" t="str">
            <v/>
          </cell>
          <cell r="S3663" t="str">
            <v/>
          </cell>
          <cell r="V3663" t="str">
            <v/>
          </cell>
          <cell r="Z3663" t="str">
            <v/>
          </cell>
          <cell r="AA3663" t="str">
            <v/>
          </cell>
          <cell r="AB3663" t="str">
            <v/>
          </cell>
          <cell r="AC3663" t="str">
            <v/>
          </cell>
          <cell r="AD3663" t="str">
            <v/>
          </cell>
          <cell r="AY3663" t="str">
            <v/>
          </cell>
          <cell r="AZ3663" t="str">
            <v/>
          </cell>
          <cell r="BA3663" t="str">
            <v/>
          </cell>
        </row>
        <row r="3664">
          <cell r="B3664" t="str">
            <v>-</v>
          </cell>
          <cell r="E3664" t="str">
            <v/>
          </cell>
          <cell r="G3664" t="str">
            <v/>
          </cell>
          <cell r="J3664" t="str">
            <v/>
          </cell>
          <cell r="O3664" t="str">
            <v/>
          </cell>
          <cell r="P3664" t="str">
            <v/>
          </cell>
          <cell r="Q3664" t="str">
            <v/>
          </cell>
          <cell r="S3664" t="str">
            <v/>
          </cell>
          <cell r="V3664" t="str">
            <v/>
          </cell>
          <cell r="Z3664" t="str">
            <v/>
          </cell>
          <cell r="AA3664" t="str">
            <v/>
          </cell>
          <cell r="AB3664" t="str">
            <v/>
          </cell>
          <cell r="AC3664" t="str">
            <v/>
          </cell>
          <cell r="AD3664" t="str">
            <v/>
          </cell>
          <cell r="AY3664" t="str">
            <v/>
          </cell>
          <cell r="AZ3664" t="str">
            <v/>
          </cell>
          <cell r="BA3664" t="str">
            <v/>
          </cell>
        </row>
        <row r="3665">
          <cell r="B3665" t="str">
            <v>-</v>
          </cell>
          <cell r="E3665" t="str">
            <v/>
          </cell>
          <cell r="G3665" t="str">
            <v/>
          </cell>
          <cell r="J3665" t="str">
            <v/>
          </cell>
          <cell r="O3665" t="str">
            <v/>
          </cell>
          <cell r="P3665" t="str">
            <v/>
          </cell>
          <cell r="Q3665" t="str">
            <v/>
          </cell>
          <cell r="S3665" t="str">
            <v/>
          </cell>
          <cell r="V3665" t="str">
            <v/>
          </cell>
          <cell r="Z3665" t="str">
            <v/>
          </cell>
          <cell r="AA3665" t="str">
            <v/>
          </cell>
          <cell r="AB3665" t="str">
            <v/>
          </cell>
          <cell r="AC3665" t="str">
            <v/>
          </cell>
          <cell r="AD3665" t="str">
            <v/>
          </cell>
          <cell r="AY3665" t="str">
            <v/>
          </cell>
          <cell r="AZ3665" t="str">
            <v/>
          </cell>
          <cell r="BA3665" t="str">
            <v/>
          </cell>
        </row>
        <row r="3666">
          <cell r="B3666" t="str">
            <v>-</v>
          </cell>
          <cell r="E3666" t="str">
            <v/>
          </cell>
          <cell r="G3666" t="str">
            <v/>
          </cell>
          <cell r="J3666" t="str">
            <v/>
          </cell>
          <cell r="O3666" t="str">
            <v/>
          </cell>
          <cell r="P3666" t="str">
            <v/>
          </cell>
          <cell r="Q3666" t="str">
            <v/>
          </cell>
          <cell r="S3666" t="str">
            <v/>
          </cell>
          <cell r="V3666" t="str">
            <v/>
          </cell>
          <cell r="Z3666" t="str">
            <v/>
          </cell>
          <cell r="AA3666" t="str">
            <v/>
          </cell>
          <cell r="AB3666" t="str">
            <v/>
          </cell>
          <cell r="AC3666" t="str">
            <v/>
          </cell>
          <cell r="AD3666" t="str">
            <v/>
          </cell>
          <cell r="AY3666" t="str">
            <v/>
          </cell>
          <cell r="AZ3666" t="str">
            <v/>
          </cell>
          <cell r="BA3666" t="str">
            <v/>
          </cell>
        </row>
        <row r="3667">
          <cell r="B3667" t="str">
            <v>-</v>
          </cell>
          <cell r="E3667" t="str">
            <v/>
          </cell>
          <cell r="G3667" t="str">
            <v/>
          </cell>
          <cell r="J3667" t="str">
            <v/>
          </cell>
          <cell r="O3667" t="str">
            <v/>
          </cell>
          <cell r="P3667" t="str">
            <v/>
          </cell>
          <cell r="Q3667" t="str">
            <v/>
          </cell>
          <cell r="S3667" t="str">
            <v/>
          </cell>
          <cell r="V3667" t="str">
            <v/>
          </cell>
          <cell r="Z3667" t="str">
            <v/>
          </cell>
          <cell r="AA3667" t="str">
            <v/>
          </cell>
          <cell r="AB3667" t="str">
            <v/>
          </cell>
          <cell r="AC3667" t="str">
            <v/>
          </cell>
          <cell r="AD3667" t="str">
            <v/>
          </cell>
          <cell r="AY3667" t="str">
            <v/>
          </cell>
          <cell r="AZ3667" t="str">
            <v/>
          </cell>
          <cell r="BA3667" t="str">
            <v/>
          </cell>
        </row>
        <row r="3668">
          <cell r="B3668" t="str">
            <v>-</v>
          </cell>
          <cell r="E3668" t="str">
            <v/>
          </cell>
          <cell r="G3668" t="str">
            <v/>
          </cell>
          <cell r="J3668" t="str">
            <v/>
          </cell>
          <cell r="O3668" t="str">
            <v/>
          </cell>
          <cell r="P3668" t="str">
            <v/>
          </cell>
          <cell r="Q3668" t="str">
            <v/>
          </cell>
          <cell r="S3668" t="str">
            <v/>
          </cell>
          <cell r="V3668" t="str">
            <v/>
          </cell>
          <cell r="Z3668" t="str">
            <v/>
          </cell>
          <cell r="AA3668" t="str">
            <v/>
          </cell>
          <cell r="AB3668" t="str">
            <v/>
          </cell>
          <cell r="AC3668" t="str">
            <v/>
          </cell>
          <cell r="AD3668" t="str">
            <v/>
          </cell>
          <cell r="AY3668" t="str">
            <v/>
          </cell>
          <cell r="AZ3668" t="str">
            <v/>
          </cell>
          <cell r="BA3668" t="str">
            <v/>
          </cell>
        </row>
        <row r="3669">
          <cell r="B3669" t="str">
            <v>-</v>
          </cell>
          <cell r="E3669" t="str">
            <v/>
          </cell>
          <cell r="G3669" t="str">
            <v/>
          </cell>
          <cell r="J3669" t="str">
            <v/>
          </cell>
          <cell r="O3669" t="str">
            <v/>
          </cell>
          <cell r="P3669" t="str">
            <v/>
          </cell>
          <cell r="Q3669" t="str">
            <v/>
          </cell>
          <cell r="S3669" t="str">
            <v/>
          </cell>
          <cell r="V3669" t="str">
            <v/>
          </cell>
          <cell r="Z3669" t="str">
            <v/>
          </cell>
          <cell r="AA3669" t="str">
            <v/>
          </cell>
          <cell r="AB3669" t="str">
            <v/>
          </cell>
          <cell r="AC3669" t="str">
            <v/>
          </cell>
          <cell r="AD3669" t="str">
            <v/>
          </cell>
          <cell r="AY3669" t="str">
            <v/>
          </cell>
          <cell r="AZ3669" t="str">
            <v/>
          </cell>
          <cell r="BA3669" t="str">
            <v/>
          </cell>
        </row>
        <row r="3670">
          <cell r="B3670" t="str">
            <v>-</v>
          </cell>
          <cell r="E3670" t="str">
            <v/>
          </cell>
          <cell r="G3670" t="str">
            <v/>
          </cell>
          <cell r="J3670" t="str">
            <v/>
          </cell>
          <cell r="O3670" t="str">
            <v/>
          </cell>
          <cell r="P3670" t="str">
            <v/>
          </cell>
          <cell r="Q3670" t="str">
            <v/>
          </cell>
          <cell r="S3670" t="str">
            <v/>
          </cell>
          <cell r="V3670" t="str">
            <v/>
          </cell>
          <cell r="Z3670" t="str">
            <v/>
          </cell>
          <cell r="AA3670" t="str">
            <v/>
          </cell>
          <cell r="AB3670" t="str">
            <v/>
          </cell>
          <cell r="AC3670" t="str">
            <v/>
          </cell>
          <cell r="AD3670" t="str">
            <v/>
          </cell>
          <cell r="AY3670" t="str">
            <v/>
          </cell>
          <cell r="AZ3670" t="str">
            <v/>
          </cell>
          <cell r="BA3670" t="str">
            <v/>
          </cell>
        </row>
        <row r="3671">
          <cell r="B3671" t="str">
            <v>-</v>
          </cell>
          <cell r="E3671" t="str">
            <v/>
          </cell>
          <cell r="G3671" t="str">
            <v/>
          </cell>
          <cell r="J3671" t="str">
            <v/>
          </cell>
          <cell r="O3671" t="str">
            <v/>
          </cell>
          <cell r="P3671" t="str">
            <v/>
          </cell>
          <cell r="Q3671" t="str">
            <v/>
          </cell>
          <cell r="S3671" t="str">
            <v/>
          </cell>
          <cell r="V3671" t="str">
            <v/>
          </cell>
          <cell r="Z3671" t="str">
            <v/>
          </cell>
          <cell r="AA3671" t="str">
            <v/>
          </cell>
          <cell r="AB3671" t="str">
            <v/>
          </cell>
          <cell r="AC3671" t="str">
            <v/>
          </cell>
          <cell r="AD3671" t="str">
            <v/>
          </cell>
          <cell r="AY3671" t="str">
            <v/>
          </cell>
          <cell r="AZ3671" t="str">
            <v/>
          </cell>
          <cell r="BA3671" t="str">
            <v/>
          </cell>
        </row>
        <row r="3672">
          <cell r="B3672" t="str">
            <v>-</v>
          </cell>
          <cell r="E3672" t="str">
            <v/>
          </cell>
          <cell r="G3672" t="str">
            <v/>
          </cell>
          <cell r="J3672" t="str">
            <v/>
          </cell>
          <cell r="O3672" t="str">
            <v/>
          </cell>
          <cell r="P3672" t="str">
            <v/>
          </cell>
          <cell r="Q3672" t="str">
            <v/>
          </cell>
          <cell r="S3672" t="str">
            <v/>
          </cell>
          <cell r="V3672" t="str">
            <v/>
          </cell>
          <cell r="Z3672" t="str">
            <v/>
          </cell>
          <cell r="AA3672" t="str">
            <v/>
          </cell>
          <cell r="AB3672" t="str">
            <v/>
          </cell>
          <cell r="AC3672" t="str">
            <v/>
          </cell>
          <cell r="AD3672" t="str">
            <v/>
          </cell>
          <cell r="AY3672" t="str">
            <v/>
          </cell>
          <cell r="AZ3672" t="str">
            <v/>
          </cell>
          <cell r="BA3672" t="str">
            <v/>
          </cell>
        </row>
        <row r="3673">
          <cell r="B3673" t="str">
            <v>-</v>
          </cell>
          <cell r="E3673" t="str">
            <v/>
          </cell>
          <cell r="G3673" t="str">
            <v/>
          </cell>
          <cell r="J3673" t="str">
            <v/>
          </cell>
          <cell r="O3673" t="str">
            <v/>
          </cell>
          <cell r="P3673" t="str">
            <v/>
          </cell>
          <cell r="Q3673" t="str">
            <v/>
          </cell>
          <cell r="S3673" t="str">
            <v/>
          </cell>
          <cell r="V3673" t="str">
            <v/>
          </cell>
          <cell r="Z3673" t="str">
            <v/>
          </cell>
          <cell r="AA3673" t="str">
            <v/>
          </cell>
          <cell r="AB3673" t="str">
            <v/>
          </cell>
          <cell r="AC3673" t="str">
            <v/>
          </cell>
          <cell r="AD3673" t="str">
            <v/>
          </cell>
          <cell r="AY3673" t="str">
            <v/>
          </cell>
          <cell r="AZ3673" t="str">
            <v/>
          </cell>
          <cell r="BA3673" t="str">
            <v/>
          </cell>
        </row>
        <row r="3674">
          <cell r="B3674" t="str">
            <v>-</v>
          </cell>
          <cell r="E3674" t="str">
            <v/>
          </cell>
          <cell r="G3674" t="str">
            <v/>
          </cell>
          <cell r="J3674" t="str">
            <v/>
          </cell>
          <cell r="O3674" t="str">
            <v/>
          </cell>
          <cell r="P3674" t="str">
            <v/>
          </cell>
          <cell r="Q3674" t="str">
            <v/>
          </cell>
          <cell r="S3674" t="str">
            <v/>
          </cell>
          <cell r="V3674" t="str">
            <v/>
          </cell>
          <cell r="Z3674" t="str">
            <v/>
          </cell>
          <cell r="AA3674" t="str">
            <v/>
          </cell>
          <cell r="AB3674" t="str">
            <v/>
          </cell>
          <cell r="AC3674" t="str">
            <v/>
          </cell>
          <cell r="AD3674" t="str">
            <v/>
          </cell>
          <cell r="AY3674" t="str">
            <v/>
          </cell>
          <cell r="AZ3674" t="str">
            <v/>
          </cell>
          <cell r="BA3674" t="str">
            <v/>
          </cell>
        </row>
        <row r="3675">
          <cell r="B3675" t="str">
            <v>-</v>
          </cell>
          <cell r="E3675" t="str">
            <v/>
          </cell>
          <cell r="G3675" t="str">
            <v/>
          </cell>
          <cell r="J3675" t="str">
            <v/>
          </cell>
          <cell r="O3675" t="str">
            <v/>
          </cell>
          <cell r="P3675" t="str">
            <v/>
          </cell>
          <cell r="Q3675" t="str">
            <v/>
          </cell>
          <cell r="S3675" t="str">
            <v/>
          </cell>
          <cell r="V3675" t="str">
            <v/>
          </cell>
          <cell r="Z3675" t="str">
            <v/>
          </cell>
          <cell r="AA3675" t="str">
            <v/>
          </cell>
          <cell r="AB3675" t="str">
            <v/>
          </cell>
          <cell r="AC3675" t="str">
            <v/>
          </cell>
          <cell r="AD3675" t="str">
            <v/>
          </cell>
          <cell r="AY3675" t="str">
            <v/>
          </cell>
          <cell r="AZ3675" t="str">
            <v/>
          </cell>
          <cell r="BA3675" t="str">
            <v/>
          </cell>
        </row>
        <row r="3676">
          <cell r="B3676" t="str">
            <v>-</v>
          </cell>
          <cell r="E3676" t="str">
            <v/>
          </cell>
          <cell r="G3676" t="str">
            <v/>
          </cell>
          <cell r="J3676" t="str">
            <v/>
          </cell>
          <cell r="O3676" t="str">
            <v/>
          </cell>
          <cell r="P3676" t="str">
            <v/>
          </cell>
          <cell r="Q3676" t="str">
            <v/>
          </cell>
          <cell r="S3676" t="str">
            <v/>
          </cell>
          <cell r="V3676" t="str">
            <v/>
          </cell>
          <cell r="Z3676" t="str">
            <v/>
          </cell>
          <cell r="AA3676" t="str">
            <v/>
          </cell>
          <cell r="AB3676" t="str">
            <v/>
          </cell>
          <cell r="AC3676" t="str">
            <v/>
          </cell>
          <cell r="AD3676" t="str">
            <v/>
          </cell>
          <cell r="AY3676" t="str">
            <v/>
          </cell>
          <cell r="AZ3676" t="str">
            <v/>
          </cell>
          <cell r="BA3676" t="str">
            <v/>
          </cell>
        </row>
        <row r="3677">
          <cell r="B3677" t="str">
            <v>-</v>
          </cell>
          <cell r="E3677" t="str">
            <v/>
          </cell>
          <cell r="G3677" t="str">
            <v/>
          </cell>
          <cell r="J3677" t="str">
            <v/>
          </cell>
          <cell r="O3677" t="str">
            <v/>
          </cell>
          <cell r="P3677" t="str">
            <v/>
          </cell>
          <cell r="Q3677" t="str">
            <v/>
          </cell>
          <cell r="S3677" t="str">
            <v/>
          </cell>
          <cell r="V3677" t="str">
            <v/>
          </cell>
          <cell r="Z3677" t="str">
            <v/>
          </cell>
          <cell r="AA3677" t="str">
            <v/>
          </cell>
          <cell r="AB3677" t="str">
            <v/>
          </cell>
          <cell r="AC3677" t="str">
            <v/>
          </cell>
          <cell r="AD3677" t="str">
            <v/>
          </cell>
          <cell r="AY3677" t="str">
            <v/>
          </cell>
          <cell r="AZ3677" t="str">
            <v/>
          </cell>
          <cell r="BA3677" t="str">
            <v/>
          </cell>
        </row>
        <row r="3678">
          <cell r="B3678" t="str">
            <v>-</v>
          </cell>
          <cell r="E3678" t="str">
            <v/>
          </cell>
          <cell r="G3678" t="str">
            <v/>
          </cell>
          <cell r="J3678" t="str">
            <v/>
          </cell>
          <cell r="O3678" t="str">
            <v/>
          </cell>
          <cell r="P3678" t="str">
            <v/>
          </cell>
          <cell r="Q3678" t="str">
            <v/>
          </cell>
          <cell r="S3678" t="str">
            <v/>
          </cell>
          <cell r="V3678" t="str">
            <v/>
          </cell>
          <cell r="Z3678" t="str">
            <v/>
          </cell>
          <cell r="AA3678" t="str">
            <v/>
          </cell>
          <cell r="AB3678" t="str">
            <v/>
          </cell>
          <cell r="AC3678" t="str">
            <v/>
          </cell>
          <cell r="AD3678" t="str">
            <v/>
          </cell>
          <cell r="AY3678" t="str">
            <v/>
          </cell>
          <cell r="AZ3678" t="str">
            <v/>
          </cell>
          <cell r="BA3678" t="str">
            <v/>
          </cell>
        </row>
        <row r="3679">
          <cell r="B3679" t="str">
            <v>-</v>
          </cell>
          <cell r="E3679" t="str">
            <v/>
          </cell>
          <cell r="G3679" t="str">
            <v/>
          </cell>
          <cell r="J3679" t="str">
            <v/>
          </cell>
          <cell r="O3679" t="str">
            <v/>
          </cell>
          <cell r="P3679" t="str">
            <v/>
          </cell>
          <cell r="Q3679" t="str">
            <v/>
          </cell>
          <cell r="S3679" t="str">
            <v/>
          </cell>
          <cell r="V3679" t="str">
            <v/>
          </cell>
          <cell r="Z3679" t="str">
            <v/>
          </cell>
          <cell r="AA3679" t="str">
            <v/>
          </cell>
          <cell r="AB3679" t="str">
            <v/>
          </cell>
          <cell r="AC3679" t="str">
            <v/>
          </cell>
          <cell r="AD3679" t="str">
            <v/>
          </cell>
          <cell r="AY3679" t="str">
            <v/>
          </cell>
          <cell r="AZ3679" t="str">
            <v/>
          </cell>
          <cell r="BA3679" t="str">
            <v/>
          </cell>
        </row>
        <row r="3680">
          <cell r="B3680" t="str">
            <v>-</v>
          </cell>
          <cell r="E3680" t="str">
            <v/>
          </cell>
          <cell r="G3680" t="str">
            <v/>
          </cell>
          <cell r="J3680" t="str">
            <v/>
          </cell>
          <cell r="O3680" t="str">
            <v/>
          </cell>
          <cell r="P3680" t="str">
            <v/>
          </cell>
          <cell r="Q3680" t="str">
            <v/>
          </cell>
          <cell r="S3680" t="str">
            <v/>
          </cell>
          <cell r="V3680" t="str">
            <v/>
          </cell>
          <cell r="Z3680" t="str">
            <v/>
          </cell>
          <cell r="AA3680" t="str">
            <v/>
          </cell>
          <cell r="AB3680" t="str">
            <v/>
          </cell>
          <cell r="AC3680" t="str">
            <v/>
          </cell>
          <cell r="AD3680" t="str">
            <v/>
          </cell>
          <cell r="AY3680" t="str">
            <v/>
          </cell>
          <cell r="AZ3680" t="str">
            <v/>
          </cell>
          <cell r="BA3680" t="str">
            <v/>
          </cell>
        </row>
        <row r="3681">
          <cell r="B3681" t="str">
            <v>-</v>
          </cell>
          <cell r="E3681" t="str">
            <v/>
          </cell>
          <cell r="G3681" t="str">
            <v/>
          </cell>
          <cell r="J3681" t="str">
            <v/>
          </cell>
          <cell r="O3681" t="str">
            <v/>
          </cell>
          <cell r="P3681" t="str">
            <v/>
          </cell>
          <cell r="Q3681" t="str">
            <v/>
          </cell>
          <cell r="S3681" t="str">
            <v/>
          </cell>
          <cell r="V3681" t="str">
            <v/>
          </cell>
          <cell r="Z3681" t="str">
            <v/>
          </cell>
          <cell r="AA3681" t="str">
            <v/>
          </cell>
          <cell r="AB3681" t="str">
            <v/>
          </cell>
          <cell r="AC3681" t="str">
            <v/>
          </cell>
          <cell r="AD3681" t="str">
            <v/>
          </cell>
          <cell r="AY3681" t="str">
            <v/>
          </cell>
          <cell r="AZ3681" t="str">
            <v/>
          </cell>
          <cell r="BA3681" t="str">
            <v/>
          </cell>
        </row>
        <row r="3682">
          <cell r="B3682" t="str">
            <v>-</v>
          </cell>
          <cell r="E3682" t="str">
            <v/>
          </cell>
          <cell r="G3682" t="str">
            <v/>
          </cell>
          <cell r="J3682" t="str">
            <v/>
          </cell>
          <cell r="O3682" t="str">
            <v/>
          </cell>
          <cell r="P3682" t="str">
            <v/>
          </cell>
          <cell r="Q3682" t="str">
            <v/>
          </cell>
          <cell r="S3682" t="str">
            <v/>
          </cell>
          <cell r="V3682" t="str">
            <v/>
          </cell>
          <cell r="Z3682" t="str">
            <v/>
          </cell>
          <cell r="AA3682" t="str">
            <v/>
          </cell>
          <cell r="AB3682" t="str">
            <v/>
          </cell>
          <cell r="AC3682" t="str">
            <v/>
          </cell>
          <cell r="AD3682" t="str">
            <v/>
          </cell>
          <cell r="AY3682" t="str">
            <v/>
          </cell>
          <cell r="AZ3682" t="str">
            <v/>
          </cell>
          <cell r="BA3682" t="str">
            <v/>
          </cell>
        </row>
        <row r="3683">
          <cell r="B3683" t="str">
            <v>-</v>
          </cell>
          <cell r="E3683" t="str">
            <v/>
          </cell>
          <cell r="G3683" t="str">
            <v/>
          </cell>
          <cell r="J3683" t="str">
            <v/>
          </cell>
          <cell r="O3683" t="str">
            <v/>
          </cell>
          <cell r="P3683" t="str">
            <v/>
          </cell>
          <cell r="Q3683" t="str">
            <v/>
          </cell>
          <cell r="S3683" t="str">
            <v/>
          </cell>
          <cell r="V3683" t="str">
            <v/>
          </cell>
          <cell r="Z3683" t="str">
            <v/>
          </cell>
          <cell r="AA3683" t="str">
            <v/>
          </cell>
          <cell r="AB3683" t="str">
            <v/>
          </cell>
          <cell r="AC3683" t="str">
            <v/>
          </cell>
          <cell r="AD3683" t="str">
            <v/>
          </cell>
          <cell r="AY3683" t="str">
            <v/>
          </cell>
          <cell r="AZ3683" t="str">
            <v/>
          </cell>
          <cell r="BA3683" t="str">
            <v/>
          </cell>
        </row>
        <row r="3684">
          <cell r="B3684" t="str">
            <v>-</v>
          </cell>
          <cell r="E3684" t="str">
            <v/>
          </cell>
          <cell r="G3684" t="str">
            <v/>
          </cell>
          <cell r="J3684" t="str">
            <v/>
          </cell>
          <cell r="O3684" t="str">
            <v/>
          </cell>
          <cell r="P3684" t="str">
            <v/>
          </cell>
          <cell r="Q3684" t="str">
            <v/>
          </cell>
          <cell r="S3684" t="str">
            <v/>
          </cell>
          <cell r="V3684" t="str">
            <v/>
          </cell>
          <cell r="Z3684" t="str">
            <v/>
          </cell>
          <cell r="AA3684" t="str">
            <v/>
          </cell>
          <cell r="AB3684" t="str">
            <v/>
          </cell>
          <cell r="AC3684" t="str">
            <v/>
          </cell>
          <cell r="AD3684" t="str">
            <v/>
          </cell>
          <cell r="AY3684" t="str">
            <v/>
          </cell>
          <cell r="AZ3684" t="str">
            <v/>
          </cell>
          <cell r="BA3684" t="str">
            <v/>
          </cell>
        </row>
        <row r="3685">
          <cell r="B3685" t="str">
            <v>-</v>
          </cell>
          <cell r="E3685" t="str">
            <v/>
          </cell>
          <cell r="G3685" t="str">
            <v/>
          </cell>
          <cell r="J3685" t="str">
            <v/>
          </cell>
          <cell r="O3685" t="str">
            <v/>
          </cell>
          <cell r="P3685" t="str">
            <v/>
          </cell>
          <cell r="Q3685" t="str">
            <v/>
          </cell>
          <cell r="S3685" t="str">
            <v/>
          </cell>
          <cell r="V3685" t="str">
            <v/>
          </cell>
          <cell r="Z3685" t="str">
            <v/>
          </cell>
          <cell r="AA3685" t="str">
            <v/>
          </cell>
          <cell r="AB3685" t="str">
            <v/>
          </cell>
          <cell r="AC3685" t="str">
            <v/>
          </cell>
          <cell r="AD3685" t="str">
            <v/>
          </cell>
          <cell r="AY3685" t="str">
            <v/>
          </cell>
          <cell r="AZ3685" t="str">
            <v/>
          </cell>
          <cell r="BA3685" t="str">
            <v/>
          </cell>
        </row>
        <row r="3686">
          <cell r="B3686" t="str">
            <v>-</v>
          </cell>
          <cell r="E3686" t="str">
            <v/>
          </cell>
          <cell r="G3686" t="str">
            <v/>
          </cell>
          <cell r="J3686" t="str">
            <v/>
          </cell>
          <cell r="O3686" t="str">
            <v/>
          </cell>
          <cell r="P3686" t="str">
            <v/>
          </cell>
          <cell r="Q3686" t="str">
            <v/>
          </cell>
          <cell r="S3686" t="str">
            <v/>
          </cell>
          <cell r="V3686" t="str">
            <v/>
          </cell>
          <cell r="Z3686" t="str">
            <v/>
          </cell>
          <cell r="AA3686" t="str">
            <v/>
          </cell>
          <cell r="AB3686" t="str">
            <v/>
          </cell>
          <cell r="AC3686" t="str">
            <v/>
          </cell>
          <cell r="AD3686" t="str">
            <v/>
          </cell>
          <cell r="AY3686" t="str">
            <v/>
          </cell>
          <cell r="AZ3686" t="str">
            <v/>
          </cell>
          <cell r="BA3686" t="str">
            <v/>
          </cell>
        </row>
        <row r="3687">
          <cell r="B3687" t="str">
            <v>-</v>
          </cell>
          <cell r="E3687" t="str">
            <v/>
          </cell>
          <cell r="G3687" t="str">
            <v/>
          </cell>
          <cell r="J3687" t="str">
            <v/>
          </cell>
          <cell r="O3687" t="str">
            <v/>
          </cell>
          <cell r="P3687" t="str">
            <v/>
          </cell>
          <cell r="Q3687" t="str">
            <v/>
          </cell>
          <cell r="S3687" t="str">
            <v/>
          </cell>
          <cell r="V3687" t="str">
            <v/>
          </cell>
          <cell r="Z3687" t="str">
            <v/>
          </cell>
          <cell r="AA3687" t="str">
            <v/>
          </cell>
          <cell r="AB3687" t="str">
            <v/>
          </cell>
          <cell r="AC3687" t="str">
            <v/>
          </cell>
          <cell r="AD3687" t="str">
            <v/>
          </cell>
          <cell r="AY3687" t="str">
            <v/>
          </cell>
          <cell r="AZ3687" t="str">
            <v/>
          </cell>
          <cell r="BA3687" t="str">
            <v/>
          </cell>
        </row>
        <row r="3688">
          <cell r="B3688" t="str">
            <v>-</v>
          </cell>
          <cell r="E3688" t="str">
            <v/>
          </cell>
          <cell r="G3688" t="str">
            <v/>
          </cell>
          <cell r="J3688" t="str">
            <v/>
          </cell>
          <cell r="O3688" t="str">
            <v/>
          </cell>
          <cell r="P3688" t="str">
            <v/>
          </cell>
          <cell r="Q3688" t="str">
            <v/>
          </cell>
          <cell r="S3688" t="str">
            <v/>
          </cell>
          <cell r="V3688" t="str">
            <v/>
          </cell>
          <cell r="Z3688" t="str">
            <v/>
          </cell>
          <cell r="AA3688" t="str">
            <v/>
          </cell>
          <cell r="AB3688" t="str">
            <v/>
          </cell>
          <cell r="AC3688" t="str">
            <v/>
          </cell>
          <cell r="AD3688" t="str">
            <v/>
          </cell>
          <cell r="AY3688" t="str">
            <v/>
          </cell>
          <cell r="AZ3688" t="str">
            <v/>
          </cell>
          <cell r="BA3688" t="str">
            <v/>
          </cell>
        </row>
        <row r="3689">
          <cell r="B3689" t="str">
            <v>-</v>
          </cell>
          <cell r="E3689" t="str">
            <v/>
          </cell>
          <cell r="G3689" t="str">
            <v/>
          </cell>
          <cell r="J3689" t="str">
            <v/>
          </cell>
          <cell r="O3689" t="str">
            <v/>
          </cell>
          <cell r="P3689" t="str">
            <v/>
          </cell>
          <cell r="Q3689" t="str">
            <v/>
          </cell>
          <cell r="S3689" t="str">
            <v/>
          </cell>
          <cell r="V3689" t="str">
            <v/>
          </cell>
          <cell r="Z3689" t="str">
            <v/>
          </cell>
          <cell r="AA3689" t="str">
            <v/>
          </cell>
          <cell r="AB3689" t="str">
            <v/>
          </cell>
          <cell r="AC3689" t="str">
            <v/>
          </cell>
          <cell r="AD3689" t="str">
            <v/>
          </cell>
          <cell r="AY3689" t="str">
            <v/>
          </cell>
          <cell r="AZ3689" t="str">
            <v/>
          </cell>
          <cell r="BA3689" t="str">
            <v/>
          </cell>
        </row>
        <row r="3690">
          <cell r="B3690" t="str">
            <v>-</v>
          </cell>
          <cell r="E3690" t="str">
            <v/>
          </cell>
          <cell r="G3690" t="str">
            <v/>
          </cell>
          <cell r="J3690" t="str">
            <v/>
          </cell>
          <cell r="O3690" t="str">
            <v/>
          </cell>
          <cell r="P3690" t="str">
            <v/>
          </cell>
          <cell r="Q3690" t="str">
            <v/>
          </cell>
          <cell r="S3690" t="str">
            <v/>
          </cell>
          <cell r="V3690" t="str">
            <v/>
          </cell>
          <cell r="Z3690" t="str">
            <v/>
          </cell>
          <cell r="AA3690" t="str">
            <v/>
          </cell>
          <cell r="AB3690" t="str">
            <v/>
          </cell>
          <cell r="AC3690" t="str">
            <v/>
          </cell>
          <cell r="AD3690" t="str">
            <v/>
          </cell>
          <cell r="AY3690" t="str">
            <v/>
          </cell>
          <cell r="AZ3690" t="str">
            <v/>
          </cell>
          <cell r="BA3690" t="str">
            <v/>
          </cell>
        </row>
        <row r="3691">
          <cell r="B3691" t="str">
            <v>-</v>
          </cell>
          <cell r="E3691" t="str">
            <v/>
          </cell>
          <cell r="G3691" t="str">
            <v/>
          </cell>
          <cell r="J3691" t="str">
            <v/>
          </cell>
          <cell r="O3691" t="str">
            <v/>
          </cell>
          <cell r="P3691" t="str">
            <v/>
          </cell>
          <cell r="Q3691" t="str">
            <v/>
          </cell>
          <cell r="S3691" t="str">
            <v/>
          </cell>
          <cell r="V3691" t="str">
            <v/>
          </cell>
          <cell r="Z3691" t="str">
            <v/>
          </cell>
          <cell r="AA3691" t="str">
            <v/>
          </cell>
          <cell r="AB3691" t="str">
            <v/>
          </cell>
          <cell r="AC3691" t="str">
            <v/>
          </cell>
          <cell r="AD3691" t="str">
            <v/>
          </cell>
          <cell r="AY3691" t="str">
            <v/>
          </cell>
          <cell r="AZ3691" t="str">
            <v/>
          </cell>
          <cell r="BA3691" t="str">
            <v/>
          </cell>
        </row>
        <row r="3692">
          <cell r="B3692" t="str">
            <v>-</v>
          </cell>
          <cell r="E3692" t="str">
            <v/>
          </cell>
          <cell r="G3692" t="str">
            <v/>
          </cell>
          <cell r="J3692" t="str">
            <v/>
          </cell>
          <cell r="O3692" t="str">
            <v/>
          </cell>
          <cell r="P3692" t="str">
            <v/>
          </cell>
          <cell r="Q3692" t="str">
            <v/>
          </cell>
          <cell r="S3692" t="str">
            <v/>
          </cell>
          <cell r="V3692" t="str">
            <v/>
          </cell>
          <cell r="Z3692" t="str">
            <v/>
          </cell>
          <cell r="AA3692" t="str">
            <v/>
          </cell>
          <cell r="AB3692" t="str">
            <v/>
          </cell>
          <cell r="AC3692" t="str">
            <v/>
          </cell>
          <cell r="AD3692" t="str">
            <v/>
          </cell>
          <cell r="AY3692" t="str">
            <v/>
          </cell>
          <cell r="AZ3692" t="str">
            <v/>
          </cell>
          <cell r="BA3692" t="str">
            <v/>
          </cell>
        </row>
        <row r="3693">
          <cell r="B3693" t="str">
            <v>-</v>
          </cell>
          <cell r="E3693" t="str">
            <v/>
          </cell>
          <cell r="G3693" t="str">
            <v/>
          </cell>
          <cell r="J3693" t="str">
            <v/>
          </cell>
          <cell r="O3693" t="str">
            <v/>
          </cell>
          <cell r="P3693" t="str">
            <v/>
          </cell>
          <cell r="Q3693" t="str">
            <v/>
          </cell>
          <cell r="S3693" t="str">
            <v/>
          </cell>
          <cell r="V3693" t="str">
            <v/>
          </cell>
          <cell r="Z3693" t="str">
            <v/>
          </cell>
          <cell r="AA3693" t="str">
            <v/>
          </cell>
          <cell r="AB3693" t="str">
            <v/>
          </cell>
          <cell r="AC3693" t="str">
            <v/>
          </cell>
          <cell r="AD3693" t="str">
            <v/>
          </cell>
          <cell r="AY3693" t="str">
            <v/>
          </cell>
          <cell r="AZ3693" t="str">
            <v/>
          </cell>
          <cell r="BA3693" t="str">
            <v/>
          </cell>
        </row>
        <row r="3694">
          <cell r="B3694" t="str">
            <v>-</v>
          </cell>
          <cell r="E3694" t="str">
            <v/>
          </cell>
          <cell r="G3694" t="str">
            <v/>
          </cell>
          <cell r="J3694" t="str">
            <v/>
          </cell>
          <cell r="O3694" t="str">
            <v/>
          </cell>
          <cell r="P3694" t="str">
            <v/>
          </cell>
          <cell r="Q3694" t="str">
            <v/>
          </cell>
          <cell r="S3694" t="str">
            <v/>
          </cell>
          <cell r="V3694" t="str">
            <v/>
          </cell>
          <cell r="Z3694" t="str">
            <v/>
          </cell>
          <cell r="AA3694" t="str">
            <v/>
          </cell>
          <cell r="AB3694" t="str">
            <v/>
          </cell>
          <cell r="AC3694" t="str">
            <v/>
          </cell>
          <cell r="AD3694" t="str">
            <v/>
          </cell>
          <cell r="AY3694" t="str">
            <v/>
          </cell>
          <cell r="AZ3694" t="str">
            <v/>
          </cell>
          <cell r="BA3694" t="str">
            <v/>
          </cell>
        </row>
        <row r="3695">
          <cell r="B3695" t="str">
            <v>-</v>
          </cell>
          <cell r="E3695" t="str">
            <v/>
          </cell>
          <cell r="G3695" t="str">
            <v/>
          </cell>
          <cell r="J3695" t="str">
            <v/>
          </cell>
          <cell r="O3695" t="str">
            <v/>
          </cell>
          <cell r="P3695" t="str">
            <v/>
          </cell>
          <cell r="Q3695" t="str">
            <v/>
          </cell>
          <cell r="S3695" t="str">
            <v/>
          </cell>
          <cell r="V3695" t="str">
            <v/>
          </cell>
          <cell r="Z3695" t="str">
            <v/>
          </cell>
          <cell r="AA3695" t="str">
            <v/>
          </cell>
          <cell r="AB3695" t="str">
            <v/>
          </cell>
          <cell r="AC3695" t="str">
            <v/>
          </cell>
          <cell r="AD3695" t="str">
            <v/>
          </cell>
          <cell r="AY3695" t="str">
            <v/>
          </cell>
          <cell r="AZ3695" t="str">
            <v/>
          </cell>
          <cell r="BA3695" t="str">
            <v/>
          </cell>
        </row>
        <row r="3696">
          <cell r="B3696" t="str">
            <v>-</v>
          </cell>
          <cell r="E3696" t="str">
            <v/>
          </cell>
          <cell r="G3696" t="str">
            <v/>
          </cell>
          <cell r="J3696" t="str">
            <v/>
          </cell>
          <cell r="O3696" t="str">
            <v/>
          </cell>
          <cell r="P3696" t="str">
            <v/>
          </cell>
          <cell r="Q3696" t="str">
            <v/>
          </cell>
          <cell r="S3696" t="str">
            <v/>
          </cell>
          <cell r="V3696" t="str">
            <v/>
          </cell>
          <cell r="Z3696" t="str">
            <v/>
          </cell>
          <cell r="AA3696" t="str">
            <v/>
          </cell>
          <cell r="AB3696" t="str">
            <v/>
          </cell>
          <cell r="AC3696" t="str">
            <v/>
          </cell>
          <cell r="AD3696" t="str">
            <v/>
          </cell>
          <cell r="AY3696" t="str">
            <v/>
          </cell>
          <cell r="AZ3696" t="str">
            <v/>
          </cell>
          <cell r="BA3696" t="str">
            <v/>
          </cell>
        </row>
        <row r="3697">
          <cell r="B3697" t="str">
            <v>-</v>
          </cell>
          <cell r="E3697" t="str">
            <v/>
          </cell>
          <cell r="G3697" t="str">
            <v/>
          </cell>
          <cell r="J3697" t="str">
            <v/>
          </cell>
          <cell r="O3697" t="str">
            <v/>
          </cell>
          <cell r="P3697" t="str">
            <v/>
          </cell>
          <cell r="Q3697" t="str">
            <v/>
          </cell>
          <cell r="S3697" t="str">
            <v/>
          </cell>
          <cell r="V3697" t="str">
            <v/>
          </cell>
          <cell r="Z3697" t="str">
            <v/>
          </cell>
          <cell r="AA3697" t="str">
            <v/>
          </cell>
          <cell r="AB3697" t="str">
            <v/>
          </cell>
          <cell r="AC3697" t="str">
            <v/>
          </cell>
          <cell r="AD3697" t="str">
            <v/>
          </cell>
          <cell r="AY3697" t="str">
            <v/>
          </cell>
          <cell r="AZ3697" t="str">
            <v/>
          </cell>
          <cell r="BA3697" t="str">
            <v/>
          </cell>
        </row>
        <row r="3698">
          <cell r="B3698" t="str">
            <v>-</v>
          </cell>
          <cell r="E3698" t="str">
            <v/>
          </cell>
          <cell r="G3698" t="str">
            <v/>
          </cell>
          <cell r="J3698" t="str">
            <v/>
          </cell>
          <cell r="O3698" t="str">
            <v/>
          </cell>
          <cell r="P3698" t="str">
            <v/>
          </cell>
          <cell r="Q3698" t="str">
            <v/>
          </cell>
          <cell r="S3698" t="str">
            <v/>
          </cell>
          <cell r="V3698" t="str">
            <v/>
          </cell>
          <cell r="Z3698" t="str">
            <v/>
          </cell>
          <cell r="AA3698" t="str">
            <v/>
          </cell>
          <cell r="AB3698" t="str">
            <v/>
          </cell>
          <cell r="AC3698" t="str">
            <v/>
          </cell>
          <cell r="AD3698" t="str">
            <v/>
          </cell>
          <cell r="AY3698" t="str">
            <v/>
          </cell>
          <cell r="AZ3698" t="str">
            <v/>
          </cell>
          <cell r="BA3698" t="str">
            <v/>
          </cell>
        </row>
        <row r="3699">
          <cell r="B3699" t="str">
            <v>-</v>
          </cell>
          <cell r="E3699" t="str">
            <v/>
          </cell>
          <cell r="G3699" t="str">
            <v/>
          </cell>
          <cell r="J3699" t="str">
            <v/>
          </cell>
          <cell r="O3699" t="str">
            <v/>
          </cell>
          <cell r="P3699" t="str">
            <v/>
          </cell>
          <cell r="Q3699" t="str">
            <v/>
          </cell>
          <cell r="S3699" t="str">
            <v/>
          </cell>
          <cell r="V3699" t="str">
            <v/>
          </cell>
          <cell r="Z3699" t="str">
            <v/>
          </cell>
          <cell r="AA3699" t="str">
            <v/>
          </cell>
          <cell r="AB3699" t="str">
            <v/>
          </cell>
          <cell r="AC3699" t="str">
            <v/>
          </cell>
          <cell r="AD3699" t="str">
            <v/>
          </cell>
          <cell r="AY3699" t="str">
            <v/>
          </cell>
          <cell r="AZ3699" t="str">
            <v/>
          </cell>
          <cell r="BA3699" t="str">
            <v/>
          </cell>
        </row>
        <row r="3700">
          <cell r="B3700" t="str">
            <v>-</v>
          </cell>
          <cell r="E3700" t="str">
            <v/>
          </cell>
          <cell r="G3700" t="str">
            <v/>
          </cell>
          <cell r="J3700" t="str">
            <v/>
          </cell>
          <cell r="O3700" t="str">
            <v/>
          </cell>
          <cell r="P3700" t="str">
            <v/>
          </cell>
          <cell r="Q3700" t="str">
            <v/>
          </cell>
          <cell r="S3700" t="str">
            <v/>
          </cell>
          <cell r="V3700" t="str">
            <v/>
          </cell>
          <cell r="Z3700" t="str">
            <v/>
          </cell>
          <cell r="AA3700" t="str">
            <v/>
          </cell>
          <cell r="AB3700" t="str">
            <v/>
          </cell>
          <cell r="AC3700" t="str">
            <v/>
          </cell>
          <cell r="AD3700" t="str">
            <v/>
          </cell>
          <cell r="AY3700" t="str">
            <v/>
          </cell>
          <cell r="AZ3700" t="str">
            <v/>
          </cell>
          <cell r="BA3700" t="str">
            <v/>
          </cell>
        </row>
        <row r="3701">
          <cell r="B3701" t="str">
            <v>-</v>
          </cell>
          <cell r="E3701" t="str">
            <v/>
          </cell>
          <cell r="G3701" t="str">
            <v/>
          </cell>
          <cell r="J3701" t="str">
            <v/>
          </cell>
          <cell r="O3701" t="str">
            <v/>
          </cell>
          <cell r="P3701" t="str">
            <v/>
          </cell>
          <cell r="Q3701" t="str">
            <v/>
          </cell>
          <cell r="S3701" t="str">
            <v/>
          </cell>
          <cell r="V3701" t="str">
            <v/>
          </cell>
          <cell r="Z3701" t="str">
            <v/>
          </cell>
          <cell r="AA3701" t="str">
            <v/>
          </cell>
          <cell r="AB3701" t="str">
            <v/>
          </cell>
          <cell r="AC3701" t="str">
            <v/>
          </cell>
          <cell r="AD3701" t="str">
            <v/>
          </cell>
          <cell r="AY3701" t="str">
            <v/>
          </cell>
          <cell r="AZ3701" t="str">
            <v/>
          </cell>
          <cell r="BA3701" t="str">
            <v/>
          </cell>
        </row>
        <row r="3702">
          <cell r="B3702" t="str">
            <v>-</v>
          </cell>
          <cell r="E3702" t="str">
            <v/>
          </cell>
          <cell r="G3702" t="str">
            <v/>
          </cell>
          <cell r="J3702" t="str">
            <v/>
          </cell>
          <cell r="O3702" t="str">
            <v/>
          </cell>
          <cell r="P3702" t="str">
            <v/>
          </cell>
          <cell r="Q3702" t="str">
            <v/>
          </cell>
          <cell r="S3702" t="str">
            <v/>
          </cell>
          <cell r="V3702" t="str">
            <v/>
          </cell>
          <cell r="Z3702" t="str">
            <v/>
          </cell>
          <cell r="AA3702" t="str">
            <v/>
          </cell>
          <cell r="AB3702" t="str">
            <v/>
          </cell>
          <cell r="AC3702" t="str">
            <v/>
          </cell>
          <cell r="AD3702" t="str">
            <v/>
          </cell>
          <cell r="AY3702" t="str">
            <v/>
          </cell>
          <cell r="AZ3702" t="str">
            <v/>
          </cell>
          <cell r="BA3702" t="str">
            <v/>
          </cell>
        </row>
        <row r="3703">
          <cell r="B3703" t="str">
            <v>-</v>
          </cell>
          <cell r="E3703" t="str">
            <v/>
          </cell>
          <cell r="G3703" t="str">
            <v/>
          </cell>
          <cell r="J3703" t="str">
            <v/>
          </cell>
          <cell r="O3703" t="str">
            <v/>
          </cell>
          <cell r="P3703" t="str">
            <v/>
          </cell>
          <cell r="Q3703" t="str">
            <v/>
          </cell>
          <cell r="S3703" t="str">
            <v/>
          </cell>
          <cell r="V3703" t="str">
            <v/>
          </cell>
          <cell r="Z3703" t="str">
            <v/>
          </cell>
          <cell r="AA3703" t="str">
            <v/>
          </cell>
          <cell r="AB3703" t="str">
            <v/>
          </cell>
          <cell r="AC3703" t="str">
            <v/>
          </cell>
          <cell r="AD3703" t="str">
            <v/>
          </cell>
          <cell r="AY3703" t="str">
            <v/>
          </cell>
          <cell r="AZ3703" t="str">
            <v/>
          </cell>
          <cell r="BA3703" t="str">
            <v/>
          </cell>
        </row>
        <row r="3704">
          <cell r="B3704" t="str">
            <v>-</v>
          </cell>
          <cell r="E3704" t="str">
            <v/>
          </cell>
          <cell r="G3704" t="str">
            <v/>
          </cell>
          <cell r="J3704" t="str">
            <v/>
          </cell>
          <cell r="O3704" t="str">
            <v/>
          </cell>
          <cell r="P3704" t="str">
            <v/>
          </cell>
          <cell r="Q3704" t="str">
            <v/>
          </cell>
          <cell r="S3704" t="str">
            <v/>
          </cell>
          <cell r="V3704" t="str">
            <v/>
          </cell>
          <cell r="Z3704" t="str">
            <v/>
          </cell>
          <cell r="AA3704" t="str">
            <v/>
          </cell>
          <cell r="AB3704" t="str">
            <v/>
          </cell>
          <cell r="AC3704" t="str">
            <v/>
          </cell>
          <cell r="AD3704" t="str">
            <v/>
          </cell>
          <cell r="AY3704" t="str">
            <v/>
          </cell>
          <cell r="AZ3704" t="str">
            <v/>
          </cell>
          <cell r="BA3704" t="str">
            <v/>
          </cell>
        </row>
        <row r="3705">
          <cell r="B3705" t="str">
            <v>-</v>
          </cell>
          <cell r="E3705" t="str">
            <v/>
          </cell>
          <cell r="G3705" t="str">
            <v/>
          </cell>
          <cell r="J3705" t="str">
            <v/>
          </cell>
          <cell r="O3705" t="str">
            <v/>
          </cell>
          <cell r="P3705" t="str">
            <v/>
          </cell>
          <cell r="Q3705" t="str">
            <v/>
          </cell>
          <cell r="S3705" t="str">
            <v/>
          </cell>
          <cell r="V3705" t="str">
            <v/>
          </cell>
          <cell r="Z3705" t="str">
            <v/>
          </cell>
          <cell r="AA3705" t="str">
            <v/>
          </cell>
          <cell r="AB3705" t="str">
            <v/>
          </cell>
          <cell r="AC3705" t="str">
            <v/>
          </cell>
          <cell r="AD3705" t="str">
            <v/>
          </cell>
          <cell r="AY3705" t="str">
            <v/>
          </cell>
          <cell r="AZ3705" t="str">
            <v/>
          </cell>
          <cell r="BA3705" t="str">
            <v/>
          </cell>
        </row>
        <row r="3706">
          <cell r="B3706" t="str">
            <v>-</v>
          </cell>
          <cell r="E3706" t="str">
            <v/>
          </cell>
          <cell r="G3706" t="str">
            <v/>
          </cell>
          <cell r="J3706" t="str">
            <v/>
          </cell>
          <cell r="O3706" t="str">
            <v/>
          </cell>
          <cell r="P3706" t="str">
            <v/>
          </cell>
          <cell r="Q3706" t="str">
            <v/>
          </cell>
          <cell r="S3706" t="str">
            <v/>
          </cell>
          <cell r="V3706" t="str">
            <v/>
          </cell>
          <cell r="Z3706" t="str">
            <v/>
          </cell>
          <cell r="AA3706" t="str">
            <v/>
          </cell>
          <cell r="AB3706" t="str">
            <v/>
          </cell>
          <cell r="AC3706" t="str">
            <v/>
          </cell>
          <cell r="AD3706" t="str">
            <v/>
          </cell>
          <cell r="AY3706" t="str">
            <v/>
          </cell>
          <cell r="AZ3706" t="str">
            <v/>
          </cell>
          <cell r="BA3706" t="str">
            <v/>
          </cell>
        </row>
        <row r="3707">
          <cell r="B3707" t="str">
            <v>-</v>
          </cell>
          <cell r="E3707" t="str">
            <v/>
          </cell>
          <cell r="G3707" t="str">
            <v/>
          </cell>
          <cell r="J3707" t="str">
            <v/>
          </cell>
          <cell r="O3707" t="str">
            <v/>
          </cell>
          <cell r="P3707" t="str">
            <v/>
          </cell>
          <cell r="Q3707" t="str">
            <v/>
          </cell>
          <cell r="S3707" t="str">
            <v/>
          </cell>
          <cell r="V3707" t="str">
            <v/>
          </cell>
          <cell r="Z3707" t="str">
            <v/>
          </cell>
          <cell r="AA3707" t="str">
            <v/>
          </cell>
          <cell r="AB3707" t="str">
            <v/>
          </cell>
          <cell r="AC3707" t="str">
            <v/>
          </cell>
          <cell r="AD3707" t="str">
            <v/>
          </cell>
          <cell r="AY3707" t="str">
            <v/>
          </cell>
          <cell r="AZ3707" t="str">
            <v/>
          </cell>
          <cell r="BA3707" t="str">
            <v/>
          </cell>
        </row>
        <row r="3708">
          <cell r="B3708" t="str">
            <v>-</v>
          </cell>
          <cell r="E3708" t="str">
            <v/>
          </cell>
          <cell r="G3708" t="str">
            <v/>
          </cell>
          <cell r="J3708" t="str">
            <v/>
          </cell>
          <cell r="O3708" t="str">
            <v/>
          </cell>
          <cell r="P3708" t="str">
            <v/>
          </cell>
          <cell r="Q3708" t="str">
            <v/>
          </cell>
          <cell r="S3708" t="str">
            <v/>
          </cell>
          <cell r="V3708" t="str">
            <v/>
          </cell>
          <cell r="Z3708" t="str">
            <v/>
          </cell>
          <cell r="AA3708" t="str">
            <v/>
          </cell>
          <cell r="AB3708" t="str">
            <v/>
          </cell>
          <cell r="AC3708" t="str">
            <v/>
          </cell>
          <cell r="AD3708" t="str">
            <v/>
          </cell>
          <cell r="AY3708" t="str">
            <v/>
          </cell>
          <cell r="AZ3708" t="str">
            <v/>
          </cell>
          <cell r="BA3708" t="str">
            <v/>
          </cell>
        </row>
        <row r="3709">
          <cell r="B3709" t="str">
            <v>-</v>
          </cell>
          <cell r="E3709" t="str">
            <v/>
          </cell>
          <cell r="G3709" t="str">
            <v/>
          </cell>
          <cell r="J3709" t="str">
            <v/>
          </cell>
          <cell r="O3709" t="str">
            <v/>
          </cell>
          <cell r="P3709" t="str">
            <v/>
          </cell>
          <cell r="Q3709" t="str">
            <v/>
          </cell>
          <cell r="S3709" t="str">
            <v/>
          </cell>
          <cell r="V3709" t="str">
            <v/>
          </cell>
          <cell r="Z3709" t="str">
            <v/>
          </cell>
          <cell r="AA3709" t="str">
            <v/>
          </cell>
          <cell r="AB3709" t="str">
            <v/>
          </cell>
          <cell r="AC3709" t="str">
            <v/>
          </cell>
          <cell r="AD3709" t="str">
            <v/>
          </cell>
          <cell r="AY3709" t="str">
            <v/>
          </cell>
          <cell r="AZ3709" t="str">
            <v/>
          </cell>
          <cell r="BA3709" t="str">
            <v/>
          </cell>
        </row>
        <row r="3710">
          <cell r="B3710" t="str">
            <v>-</v>
          </cell>
          <cell r="E3710" t="str">
            <v/>
          </cell>
          <cell r="G3710" t="str">
            <v/>
          </cell>
          <cell r="J3710" t="str">
            <v/>
          </cell>
          <cell r="O3710" t="str">
            <v/>
          </cell>
          <cell r="P3710" t="str">
            <v/>
          </cell>
          <cell r="Q3710" t="str">
            <v/>
          </cell>
          <cell r="S3710" t="str">
            <v/>
          </cell>
          <cell r="V3710" t="str">
            <v/>
          </cell>
          <cell r="Z3710" t="str">
            <v/>
          </cell>
          <cell r="AA3710" t="str">
            <v/>
          </cell>
          <cell r="AB3710" t="str">
            <v/>
          </cell>
          <cell r="AC3710" t="str">
            <v/>
          </cell>
          <cell r="AD3710" t="str">
            <v/>
          </cell>
          <cell r="AY3710" t="str">
            <v/>
          </cell>
          <cell r="AZ3710" t="str">
            <v/>
          </cell>
          <cell r="BA3710" t="str">
            <v/>
          </cell>
        </row>
        <row r="3711">
          <cell r="B3711" t="str">
            <v>-</v>
          </cell>
          <cell r="E3711" t="str">
            <v/>
          </cell>
          <cell r="G3711" t="str">
            <v/>
          </cell>
          <cell r="J3711" t="str">
            <v/>
          </cell>
          <cell r="O3711" t="str">
            <v/>
          </cell>
          <cell r="P3711" t="str">
            <v/>
          </cell>
          <cell r="Q3711" t="str">
            <v/>
          </cell>
          <cell r="S3711" t="str">
            <v/>
          </cell>
          <cell r="V3711" t="str">
            <v/>
          </cell>
          <cell r="Z3711" t="str">
            <v/>
          </cell>
          <cell r="AA3711" t="str">
            <v/>
          </cell>
          <cell r="AB3711" t="str">
            <v/>
          </cell>
          <cell r="AC3711" t="str">
            <v/>
          </cell>
          <cell r="AD3711" t="str">
            <v/>
          </cell>
          <cell r="AY3711" t="str">
            <v/>
          </cell>
          <cell r="AZ3711" t="str">
            <v/>
          </cell>
          <cell r="BA3711" t="str">
            <v/>
          </cell>
        </row>
        <row r="3712">
          <cell r="B3712" t="str">
            <v>-</v>
          </cell>
          <cell r="E3712" t="str">
            <v/>
          </cell>
          <cell r="G3712" t="str">
            <v/>
          </cell>
          <cell r="J3712" t="str">
            <v/>
          </cell>
          <cell r="O3712" t="str">
            <v/>
          </cell>
          <cell r="P3712" t="str">
            <v/>
          </cell>
          <cell r="Q3712" t="str">
            <v/>
          </cell>
          <cell r="S3712" t="str">
            <v/>
          </cell>
          <cell r="V3712" t="str">
            <v/>
          </cell>
          <cell r="Z3712" t="str">
            <v/>
          </cell>
          <cell r="AA3712" t="str">
            <v/>
          </cell>
          <cell r="AB3712" t="str">
            <v/>
          </cell>
          <cell r="AC3712" t="str">
            <v/>
          </cell>
          <cell r="AD3712" t="str">
            <v/>
          </cell>
          <cell r="AY3712" t="str">
            <v/>
          </cell>
          <cell r="AZ3712" t="str">
            <v/>
          </cell>
          <cell r="BA3712" t="str">
            <v/>
          </cell>
        </row>
        <row r="3713">
          <cell r="B3713" t="str">
            <v>-</v>
          </cell>
          <cell r="E3713" t="str">
            <v/>
          </cell>
          <cell r="G3713" t="str">
            <v/>
          </cell>
          <cell r="J3713" t="str">
            <v/>
          </cell>
          <cell r="O3713" t="str">
            <v/>
          </cell>
          <cell r="P3713" t="str">
            <v/>
          </cell>
          <cell r="Q3713" t="str">
            <v/>
          </cell>
          <cell r="S3713" t="str">
            <v/>
          </cell>
          <cell r="V3713" t="str">
            <v/>
          </cell>
          <cell r="Z3713" t="str">
            <v/>
          </cell>
          <cell r="AA3713" t="str">
            <v/>
          </cell>
          <cell r="AB3713" t="str">
            <v/>
          </cell>
          <cell r="AC3713" t="str">
            <v/>
          </cell>
          <cell r="AD3713" t="str">
            <v/>
          </cell>
          <cell r="AY3713" t="str">
            <v/>
          </cell>
          <cell r="AZ3713" t="str">
            <v/>
          </cell>
          <cell r="BA3713" t="str">
            <v/>
          </cell>
        </row>
        <row r="3714">
          <cell r="B3714" t="str">
            <v>-</v>
          </cell>
          <cell r="E3714" t="str">
            <v/>
          </cell>
          <cell r="G3714" t="str">
            <v/>
          </cell>
          <cell r="J3714" t="str">
            <v/>
          </cell>
          <cell r="O3714" t="str">
            <v/>
          </cell>
          <cell r="P3714" t="str">
            <v/>
          </cell>
          <cell r="Q3714" t="str">
            <v/>
          </cell>
          <cell r="S3714" t="str">
            <v/>
          </cell>
          <cell r="V3714" t="str">
            <v/>
          </cell>
          <cell r="Z3714" t="str">
            <v/>
          </cell>
          <cell r="AA3714" t="str">
            <v/>
          </cell>
          <cell r="AB3714" t="str">
            <v/>
          </cell>
          <cell r="AC3714" t="str">
            <v/>
          </cell>
          <cell r="AD3714" t="str">
            <v/>
          </cell>
          <cell r="AY3714" t="str">
            <v/>
          </cell>
          <cell r="AZ3714" t="str">
            <v/>
          </cell>
          <cell r="BA3714" t="str">
            <v/>
          </cell>
        </row>
        <row r="3715">
          <cell r="B3715" t="str">
            <v>-</v>
          </cell>
          <cell r="E3715" t="str">
            <v/>
          </cell>
          <cell r="G3715" t="str">
            <v/>
          </cell>
          <cell r="J3715" t="str">
            <v/>
          </cell>
          <cell r="O3715" t="str">
            <v/>
          </cell>
          <cell r="P3715" t="str">
            <v/>
          </cell>
          <cell r="Q3715" t="str">
            <v/>
          </cell>
          <cell r="S3715" t="str">
            <v/>
          </cell>
          <cell r="V3715" t="str">
            <v/>
          </cell>
          <cell r="Z3715" t="str">
            <v/>
          </cell>
          <cell r="AA3715" t="str">
            <v/>
          </cell>
          <cell r="AB3715" t="str">
            <v/>
          </cell>
          <cell r="AC3715" t="str">
            <v/>
          </cell>
          <cell r="AD3715" t="str">
            <v/>
          </cell>
          <cell r="AY3715" t="str">
            <v/>
          </cell>
          <cell r="AZ3715" t="str">
            <v/>
          </cell>
          <cell r="BA3715" t="str">
            <v/>
          </cell>
        </row>
        <row r="3716">
          <cell r="B3716" t="str">
            <v>-</v>
          </cell>
          <cell r="E3716" t="str">
            <v/>
          </cell>
          <cell r="G3716" t="str">
            <v/>
          </cell>
          <cell r="J3716" t="str">
            <v/>
          </cell>
          <cell r="O3716" t="str">
            <v/>
          </cell>
          <cell r="P3716" t="str">
            <v/>
          </cell>
          <cell r="Q3716" t="str">
            <v/>
          </cell>
          <cell r="S3716" t="str">
            <v/>
          </cell>
          <cell r="V3716" t="str">
            <v/>
          </cell>
          <cell r="Z3716" t="str">
            <v/>
          </cell>
          <cell r="AA3716" t="str">
            <v/>
          </cell>
          <cell r="AB3716" t="str">
            <v/>
          </cell>
          <cell r="AC3716" t="str">
            <v/>
          </cell>
          <cell r="AD3716" t="str">
            <v/>
          </cell>
          <cell r="AY3716" t="str">
            <v/>
          </cell>
          <cell r="AZ3716" t="str">
            <v/>
          </cell>
          <cell r="BA3716" t="str">
            <v/>
          </cell>
        </row>
        <row r="3717">
          <cell r="B3717" t="str">
            <v>-</v>
          </cell>
          <cell r="E3717" t="str">
            <v/>
          </cell>
          <cell r="G3717" t="str">
            <v/>
          </cell>
          <cell r="J3717" t="str">
            <v/>
          </cell>
          <cell r="O3717" t="str">
            <v/>
          </cell>
          <cell r="P3717" t="str">
            <v/>
          </cell>
          <cell r="Q3717" t="str">
            <v/>
          </cell>
          <cell r="S3717" t="str">
            <v/>
          </cell>
          <cell r="V3717" t="str">
            <v/>
          </cell>
          <cell r="Z3717" t="str">
            <v/>
          </cell>
          <cell r="AA3717" t="str">
            <v/>
          </cell>
          <cell r="AB3717" t="str">
            <v/>
          </cell>
          <cell r="AC3717" t="str">
            <v/>
          </cell>
          <cell r="AD3717" t="str">
            <v/>
          </cell>
          <cell r="AY3717" t="str">
            <v/>
          </cell>
          <cell r="AZ3717" t="str">
            <v/>
          </cell>
          <cell r="BA3717" t="str">
            <v/>
          </cell>
        </row>
        <row r="3718">
          <cell r="B3718" t="str">
            <v>-</v>
          </cell>
          <cell r="E3718" t="str">
            <v/>
          </cell>
          <cell r="G3718" t="str">
            <v/>
          </cell>
          <cell r="J3718" t="str">
            <v/>
          </cell>
          <cell r="O3718" t="str">
            <v/>
          </cell>
          <cell r="P3718" t="str">
            <v/>
          </cell>
          <cell r="Q3718" t="str">
            <v/>
          </cell>
          <cell r="S3718" t="str">
            <v/>
          </cell>
          <cell r="V3718" t="str">
            <v/>
          </cell>
          <cell r="Z3718" t="str">
            <v/>
          </cell>
          <cell r="AA3718" t="str">
            <v/>
          </cell>
          <cell r="AB3718" t="str">
            <v/>
          </cell>
          <cell r="AC3718" t="str">
            <v/>
          </cell>
          <cell r="AD3718" t="str">
            <v/>
          </cell>
          <cell r="AY3718" t="str">
            <v/>
          </cell>
          <cell r="AZ3718" t="str">
            <v/>
          </cell>
          <cell r="BA3718" t="str">
            <v/>
          </cell>
        </row>
        <row r="3719">
          <cell r="B3719" t="str">
            <v>-</v>
          </cell>
          <cell r="E3719" t="str">
            <v/>
          </cell>
          <cell r="G3719" t="str">
            <v/>
          </cell>
          <cell r="J3719" t="str">
            <v/>
          </cell>
          <cell r="O3719" t="str">
            <v/>
          </cell>
          <cell r="P3719" t="str">
            <v/>
          </cell>
          <cell r="Q3719" t="str">
            <v/>
          </cell>
          <cell r="S3719" t="str">
            <v/>
          </cell>
          <cell r="V3719" t="str">
            <v/>
          </cell>
          <cell r="Z3719" t="str">
            <v/>
          </cell>
          <cell r="AA3719" t="str">
            <v/>
          </cell>
          <cell r="AB3719" t="str">
            <v/>
          </cell>
          <cell r="AC3719" t="str">
            <v/>
          </cell>
          <cell r="AD3719" t="str">
            <v/>
          </cell>
          <cell r="AY3719" t="str">
            <v/>
          </cell>
          <cell r="AZ3719" t="str">
            <v/>
          </cell>
          <cell r="BA3719" t="str">
            <v/>
          </cell>
        </row>
        <row r="3720">
          <cell r="B3720" t="str">
            <v>-</v>
          </cell>
          <cell r="E3720" t="str">
            <v/>
          </cell>
          <cell r="G3720" t="str">
            <v/>
          </cell>
          <cell r="J3720" t="str">
            <v/>
          </cell>
          <cell r="O3720" t="str">
            <v/>
          </cell>
          <cell r="P3720" t="str">
            <v/>
          </cell>
          <cell r="Q3720" t="str">
            <v/>
          </cell>
          <cell r="S3720" t="str">
            <v/>
          </cell>
          <cell r="V3720" t="str">
            <v/>
          </cell>
          <cell r="Z3720" t="str">
            <v/>
          </cell>
          <cell r="AA3720" t="str">
            <v/>
          </cell>
          <cell r="AB3720" t="str">
            <v/>
          </cell>
          <cell r="AC3720" t="str">
            <v/>
          </cell>
          <cell r="AD3720" t="str">
            <v/>
          </cell>
          <cell r="AY3720" t="str">
            <v/>
          </cell>
          <cell r="AZ3720" t="str">
            <v/>
          </cell>
          <cell r="BA3720" t="str">
            <v/>
          </cell>
        </row>
        <row r="3721">
          <cell r="B3721" t="str">
            <v>-</v>
          </cell>
          <cell r="E3721" t="str">
            <v/>
          </cell>
          <cell r="G3721" t="str">
            <v/>
          </cell>
          <cell r="J3721" t="str">
            <v/>
          </cell>
          <cell r="O3721" t="str">
            <v/>
          </cell>
          <cell r="P3721" t="str">
            <v/>
          </cell>
          <cell r="Q3721" t="str">
            <v/>
          </cell>
          <cell r="S3721" t="str">
            <v/>
          </cell>
          <cell r="V3721" t="str">
            <v/>
          </cell>
          <cell r="Z3721" t="str">
            <v/>
          </cell>
          <cell r="AA3721" t="str">
            <v/>
          </cell>
          <cell r="AB3721" t="str">
            <v/>
          </cell>
          <cell r="AC3721" t="str">
            <v/>
          </cell>
          <cell r="AD3721" t="str">
            <v/>
          </cell>
          <cell r="AY3721" t="str">
            <v/>
          </cell>
          <cell r="AZ3721" t="str">
            <v/>
          </cell>
          <cell r="BA3721" t="str">
            <v/>
          </cell>
        </row>
        <row r="3722">
          <cell r="B3722" t="str">
            <v>-</v>
          </cell>
          <cell r="E3722" t="str">
            <v/>
          </cell>
          <cell r="G3722" t="str">
            <v/>
          </cell>
          <cell r="J3722" t="str">
            <v/>
          </cell>
          <cell r="O3722" t="str">
            <v/>
          </cell>
          <cell r="P3722" t="str">
            <v/>
          </cell>
          <cell r="Q3722" t="str">
            <v/>
          </cell>
          <cell r="S3722" t="str">
            <v/>
          </cell>
          <cell r="V3722" t="str">
            <v/>
          </cell>
          <cell r="Z3722" t="str">
            <v/>
          </cell>
          <cell r="AA3722" t="str">
            <v/>
          </cell>
          <cell r="AB3722" t="str">
            <v/>
          </cell>
          <cell r="AC3722" t="str">
            <v/>
          </cell>
          <cell r="AD3722" t="str">
            <v/>
          </cell>
          <cell r="AY3722" t="str">
            <v/>
          </cell>
          <cell r="AZ3722" t="str">
            <v/>
          </cell>
          <cell r="BA3722" t="str">
            <v/>
          </cell>
        </row>
        <row r="3723">
          <cell r="B3723" t="str">
            <v>-</v>
          </cell>
          <cell r="E3723" t="str">
            <v/>
          </cell>
          <cell r="G3723" t="str">
            <v/>
          </cell>
          <cell r="J3723" t="str">
            <v/>
          </cell>
          <cell r="O3723" t="str">
            <v/>
          </cell>
          <cell r="P3723" t="str">
            <v/>
          </cell>
          <cell r="Q3723" t="str">
            <v/>
          </cell>
          <cell r="S3723" t="str">
            <v/>
          </cell>
          <cell r="V3723" t="str">
            <v/>
          </cell>
          <cell r="Z3723" t="str">
            <v/>
          </cell>
          <cell r="AA3723" t="str">
            <v/>
          </cell>
          <cell r="AB3723" t="str">
            <v/>
          </cell>
          <cell r="AC3723" t="str">
            <v/>
          </cell>
          <cell r="AD3723" t="str">
            <v/>
          </cell>
          <cell r="AY3723" t="str">
            <v/>
          </cell>
          <cell r="AZ3723" t="str">
            <v/>
          </cell>
          <cell r="BA3723" t="str">
            <v/>
          </cell>
        </row>
        <row r="3724">
          <cell r="B3724" t="str">
            <v>-</v>
          </cell>
          <cell r="E3724" t="str">
            <v/>
          </cell>
          <cell r="G3724" t="str">
            <v/>
          </cell>
          <cell r="J3724" t="str">
            <v/>
          </cell>
          <cell r="O3724" t="str">
            <v/>
          </cell>
          <cell r="P3724" t="str">
            <v/>
          </cell>
          <cell r="Q3724" t="str">
            <v/>
          </cell>
          <cell r="S3724" t="str">
            <v/>
          </cell>
          <cell r="V3724" t="str">
            <v/>
          </cell>
          <cell r="Z3724" t="str">
            <v/>
          </cell>
          <cell r="AA3724" t="str">
            <v/>
          </cell>
          <cell r="AB3724" t="str">
            <v/>
          </cell>
          <cell r="AC3724" t="str">
            <v/>
          </cell>
          <cell r="AD3724" t="str">
            <v/>
          </cell>
          <cell r="AY3724" t="str">
            <v/>
          </cell>
          <cell r="AZ3724" t="str">
            <v/>
          </cell>
          <cell r="BA3724" t="str">
            <v/>
          </cell>
        </row>
        <row r="3725">
          <cell r="B3725" t="str">
            <v>-</v>
          </cell>
          <cell r="E3725" t="str">
            <v/>
          </cell>
          <cell r="G3725" t="str">
            <v/>
          </cell>
          <cell r="J3725" t="str">
            <v/>
          </cell>
          <cell r="O3725" t="str">
            <v/>
          </cell>
          <cell r="P3725" t="str">
            <v/>
          </cell>
          <cell r="Q3725" t="str">
            <v/>
          </cell>
          <cell r="S3725" t="str">
            <v/>
          </cell>
          <cell r="V3725" t="str">
            <v/>
          </cell>
          <cell r="Z3725" t="str">
            <v/>
          </cell>
          <cell r="AA3725" t="str">
            <v/>
          </cell>
          <cell r="AB3725" t="str">
            <v/>
          </cell>
          <cell r="AC3725" t="str">
            <v/>
          </cell>
          <cell r="AD3725" t="str">
            <v/>
          </cell>
          <cell r="AY3725" t="str">
            <v/>
          </cell>
          <cell r="AZ3725" t="str">
            <v/>
          </cell>
          <cell r="BA3725" t="str">
            <v/>
          </cell>
        </row>
        <row r="3726">
          <cell r="B3726" t="str">
            <v>-</v>
          </cell>
          <cell r="E3726" t="str">
            <v/>
          </cell>
          <cell r="G3726" t="str">
            <v/>
          </cell>
          <cell r="J3726" t="str">
            <v/>
          </cell>
          <cell r="O3726" t="str">
            <v/>
          </cell>
          <cell r="P3726" t="str">
            <v/>
          </cell>
          <cell r="Q3726" t="str">
            <v/>
          </cell>
          <cell r="S3726" t="str">
            <v/>
          </cell>
          <cell r="V3726" t="str">
            <v/>
          </cell>
          <cell r="Z3726" t="str">
            <v/>
          </cell>
          <cell r="AA3726" t="str">
            <v/>
          </cell>
          <cell r="AB3726" t="str">
            <v/>
          </cell>
          <cell r="AC3726" t="str">
            <v/>
          </cell>
          <cell r="AD3726" t="str">
            <v/>
          </cell>
          <cell r="AY3726" t="str">
            <v/>
          </cell>
          <cell r="AZ3726" t="str">
            <v/>
          </cell>
          <cell r="BA3726" t="str">
            <v/>
          </cell>
        </row>
        <row r="3727">
          <cell r="B3727" t="str">
            <v>-</v>
          </cell>
          <cell r="E3727" t="str">
            <v/>
          </cell>
          <cell r="G3727" t="str">
            <v/>
          </cell>
          <cell r="J3727" t="str">
            <v/>
          </cell>
          <cell r="O3727" t="str">
            <v/>
          </cell>
          <cell r="P3727" t="str">
            <v/>
          </cell>
          <cell r="Q3727" t="str">
            <v/>
          </cell>
          <cell r="S3727" t="str">
            <v/>
          </cell>
          <cell r="V3727" t="str">
            <v/>
          </cell>
          <cell r="Z3727" t="str">
            <v/>
          </cell>
          <cell r="AA3727" t="str">
            <v/>
          </cell>
          <cell r="AB3727" t="str">
            <v/>
          </cell>
          <cell r="AC3727" t="str">
            <v/>
          </cell>
          <cell r="AD3727" t="str">
            <v/>
          </cell>
          <cell r="AY3727" t="str">
            <v/>
          </cell>
          <cell r="AZ3727" t="str">
            <v/>
          </cell>
          <cell r="BA3727" t="str">
            <v/>
          </cell>
        </row>
        <row r="3728">
          <cell r="B3728" t="str">
            <v>-</v>
          </cell>
          <cell r="E3728" t="str">
            <v/>
          </cell>
          <cell r="G3728" t="str">
            <v/>
          </cell>
          <cell r="J3728" t="str">
            <v/>
          </cell>
          <cell r="O3728" t="str">
            <v/>
          </cell>
          <cell r="P3728" t="str">
            <v/>
          </cell>
          <cell r="Q3728" t="str">
            <v/>
          </cell>
          <cell r="S3728" t="str">
            <v/>
          </cell>
          <cell r="V3728" t="str">
            <v/>
          </cell>
          <cell r="Z3728" t="str">
            <v/>
          </cell>
          <cell r="AA3728" t="str">
            <v/>
          </cell>
          <cell r="AB3728" t="str">
            <v/>
          </cell>
          <cell r="AC3728" t="str">
            <v/>
          </cell>
          <cell r="AD3728" t="str">
            <v/>
          </cell>
          <cell r="AY3728" t="str">
            <v/>
          </cell>
          <cell r="AZ3728" t="str">
            <v/>
          </cell>
          <cell r="BA3728" t="str">
            <v/>
          </cell>
        </row>
        <row r="3729">
          <cell r="B3729" t="str">
            <v>-</v>
          </cell>
          <cell r="E3729" t="str">
            <v/>
          </cell>
          <cell r="G3729" t="str">
            <v/>
          </cell>
          <cell r="J3729" t="str">
            <v/>
          </cell>
          <cell r="O3729" t="str">
            <v/>
          </cell>
          <cell r="P3729" t="str">
            <v/>
          </cell>
          <cell r="Q3729" t="str">
            <v/>
          </cell>
          <cell r="S3729" t="str">
            <v/>
          </cell>
          <cell r="V3729" t="str">
            <v/>
          </cell>
          <cell r="Z3729" t="str">
            <v/>
          </cell>
          <cell r="AA3729" t="str">
            <v/>
          </cell>
          <cell r="AB3729" t="str">
            <v/>
          </cell>
          <cell r="AC3729" t="str">
            <v/>
          </cell>
          <cell r="AD3729" t="str">
            <v/>
          </cell>
          <cell r="AY3729" t="str">
            <v/>
          </cell>
          <cell r="AZ3729" t="str">
            <v/>
          </cell>
          <cell r="BA3729" t="str">
            <v/>
          </cell>
        </row>
        <row r="3730">
          <cell r="B3730" t="str">
            <v>-</v>
          </cell>
          <cell r="E3730" t="str">
            <v/>
          </cell>
          <cell r="G3730" t="str">
            <v/>
          </cell>
          <cell r="J3730" t="str">
            <v/>
          </cell>
          <cell r="O3730" t="str">
            <v/>
          </cell>
          <cell r="P3730" t="str">
            <v/>
          </cell>
          <cell r="Q3730" t="str">
            <v/>
          </cell>
          <cell r="S3730" t="str">
            <v/>
          </cell>
          <cell r="V3730" t="str">
            <v/>
          </cell>
          <cell r="Z3730" t="str">
            <v/>
          </cell>
          <cell r="AA3730" t="str">
            <v/>
          </cell>
          <cell r="AB3730" t="str">
            <v/>
          </cell>
          <cell r="AC3730" t="str">
            <v/>
          </cell>
          <cell r="AD3730" t="str">
            <v/>
          </cell>
          <cell r="AY3730" t="str">
            <v/>
          </cell>
          <cell r="AZ3730" t="str">
            <v/>
          </cell>
          <cell r="BA3730" t="str">
            <v/>
          </cell>
        </row>
        <row r="3731">
          <cell r="B3731" t="str">
            <v>-</v>
          </cell>
          <cell r="E3731" t="str">
            <v/>
          </cell>
          <cell r="G3731" t="str">
            <v/>
          </cell>
          <cell r="J3731" t="str">
            <v/>
          </cell>
          <cell r="O3731" t="str">
            <v/>
          </cell>
          <cell r="P3731" t="str">
            <v/>
          </cell>
          <cell r="Q3731" t="str">
            <v/>
          </cell>
          <cell r="S3731" t="str">
            <v/>
          </cell>
          <cell r="V3731" t="str">
            <v/>
          </cell>
          <cell r="Z3731" t="str">
            <v/>
          </cell>
          <cell r="AA3731" t="str">
            <v/>
          </cell>
          <cell r="AB3731" t="str">
            <v/>
          </cell>
          <cell r="AC3731" t="str">
            <v/>
          </cell>
          <cell r="AD3731" t="str">
            <v/>
          </cell>
          <cell r="AY3731" t="str">
            <v/>
          </cell>
          <cell r="AZ3731" t="str">
            <v/>
          </cell>
          <cell r="BA3731" t="str">
            <v/>
          </cell>
        </row>
        <row r="3732">
          <cell r="B3732" t="str">
            <v>-</v>
          </cell>
          <cell r="E3732" t="str">
            <v/>
          </cell>
          <cell r="G3732" t="str">
            <v/>
          </cell>
          <cell r="J3732" t="str">
            <v/>
          </cell>
          <cell r="O3732" t="str">
            <v/>
          </cell>
          <cell r="P3732" t="str">
            <v/>
          </cell>
          <cell r="Q3732" t="str">
            <v/>
          </cell>
          <cell r="S3732" t="str">
            <v/>
          </cell>
          <cell r="V3732" t="str">
            <v/>
          </cell>
          <cell r="Z3732" t="str">
            <v/>
          </cell>
          <cell r="AA3732" t="str">
            <v/>
          </cell>
          <cell r="AB3732" t="str">
            <v/>
          </cell>
          <cell r="AC3732" t="str">
            <v/>
          </cell>
          <cell r="AD3732" t="str">
            <v/>
          </cell>
          <cell r="AY3732" t="str">
            <v/>
          </cell>
          <cell r="AZ3732" t="str">
            <v/>
          </cell>
          <cell r="BA3732" t="str">
            <v/>
          </cell>
        </row>
        <row r="3733">
          <cell r="B3733" t="str">
            <v>-</v>
          </cell>
          <cell r="E3733" t="str">
            <v/>
          </cell>
          <cell r="G3733" t="str">
            <v/>
          </cell>
          <cell r="J3733" t="str">
            <v/>
          </cell>
          <cell r="O3733" t="str">
            <v/>
          </cell>
          <cell r="P3733" t="str">
            <v/>
          </cell>
          <cell r="Q3733" t="str">
            <v/>
          </cell>
          <cell r="S3733" t="str">
            <v/>
          </cell>
          <cell r="V3733" t="str">
            <v/>
          </cell>
          <cell r="Z3733" t="str">
            <v/>
          </cell>
          <cell r="AA3733" t="str">
            <v/>
          </cell>
          <cell r="AB3733" t="str">
            <v/>
          </cell>
          <cell r="AC3733" t="str">
            <v/>
          </cell>
          <cell r="AD3733" t="str">
            <v/>
          </cell>
          <cell r="AY3733" t="str">
            <v/>
          </cell>
          <cell r="AZ3733" t="str">
            <v/>
          </cell>
          <cell r="BA3733" t="str">
            <v/>
          </cell>
        </row>
        <row r="3734">
          <cell r="B3734" t="str">
            <v>-</v>
          </cell>
          <cell r="E3734" t="str">
            <v/>
          </cell>
          <cell r="G3734" t="str">
            <v/>
          </cell>
          <cell r="J3734" t="str">
            <v/>
          </cell>
          <cell r="O3734" t="str">
            <v/>
          </cell>
          <cell r="P3734" t="str">
            <v/>
          </cell>
          <cell r="Q3734" t="str">
            <v/>
          </cell>
          <cell r="S3734" t="str">
            <v/>
          </cell>
          <cell r="V3734" t="str">
            <v/>
          </cell>
          <cell r="Z3734" t="str">
            <v/>
          </cell>
          <cell r="AA3734" t="str">
            <v/>
          </cell>
          <cell r="AB3734" t="str">
            <v/>
          </cell>
          <cell r="AC3734" t="str">
            <v/>
          </cell>
          <cell r="AD3734" t="str">
            <v/>
          </cell>
          <cell r="AY3734" t="str">
            <v/>
          </cell>
          <cell r="AZ3734" t="str">
            <v/>
          </cell>
          <cell r="BA3734" t="str">
            <v/>
          </cell>
        </row>
        <row r="3735">
          <cell r="B3735" t="str">
            <v>-</v>
          </cell>
          <cell r="E3735" t="str">
            <v/>
          </cell>
          <cell r="G3735" t="str">
            <v/>
          </cell>
          <cell r="J3735" t="str">
            <v/>
          </cell>
          <cell r="O3735" t="str">
            <v/>
          </cell>
          <cell r="P3735" t="str">
            <v/>
          </cell>
          <cell r="Q3735" t="str">
            <v/>
          </cell>
          <cell r="S3735" t="str">
            <v/>
          </cell>
          <cell r="V3735" t="str">
            <v/>
          </cell>
          <cell r="Z3735" t="str">
            <v/>
          </cell>
          <cell r="AA3735" t="str">
            <v/>
          </cell>
          <cell r="AB3735" t="str">
            <v/>
          </cell>
          <cell r="AC3735" t="str">
            <v/>
          </cell>
          <cell r="AD3735" t="str">
            <v/>
          </cell>
          <cell r="AY3735" t="str">
            <v/>
          </cell>
          <cell r="AZ3735" t="str">
            <v/>
          </cell>
          <cell r="BA3735" t="str">
            <v/>
          </cell>
        </row>
        <row r="3736">
          <cell r="B3736" t="str">
            <v>-</v>
          </cell>
          <cell r="E3736" t="str">
            <v/>
          </cell>
          <cell r="G3736" t="str">
            <v/>
          </cell>
          <cell r="J3736" t="str">
            <v/>
          </cell>
          <cell r="O3736" t="str">
            <v/>
          </cell>
          <cell r="P3736" t="str">
            <v/>
          </cell>
          <cell r="Q3736" t="str">
            <v/>
          </cell>
          <cell r="S3736" t="str">
            <v/>
          </cell>
          <cell r="V3736" t="str">
            <v/>
          </cell>
          <cell r="Z3736" t="str">
            <v/>
          </cell>
          <cell r="AA3736" t="str">
            <v/>
          </cell>
          <cell r="AB3736" t="str">
            <v/>
          </cell>
          <cell r="AC3736" t="str">
            <v/>
          </cell>
          <cell r="AD3736" t="str">
            <v/>
          </cell>
          <cell r="AY3736" t="str">
            <v/>
          </cell>
          <cell r="AZ3736" t="str">
            <v/>
          </cell>
          <cell r="BA3736" t="str">
            <v/>
          </cell>
        </row>
        <row r="3737">
          <cell r="B3737" t="str">
            <v>-</v>
          </cell>
          <cell r="E3737" t="str">
            <v/>
          </cell>
          <cell r="G3737" t="str">
            <v/>
          </cell>
          <cell r="J3737" t="str">
            <v/>
          </cell>
          <cell r="O3737" t="str">
            <v/>
          </cell>
          <cell r="P3737" t="str">
            <v/>
          </cell>
          <cell r="Q3737" t="str">
            <v/>
          </cell>
          <cell r="S3737" t="str">
            <v/>
          </cell>
          <cell r="V3737" t="str">
            <v/>
          </cell>
          <cell r="Z3737" t="str">
            <v/>
          </cell>
          <cell r="AA3737" t="str">
            <v/>
          </cell>
          <cell r="AB3737" t="str">
            <v/>
          </cell>
          <cell r="AC3737" t="str">
            <v/>
          </cell>
          <cell r="AD3737" t="str">
            <v/>
          </cell>
          <cell r="AY3737" t="str">
            <v/>
          </cell>
          <cell r="AZ3737" t="str">
            <v/>
          </cell>
          <cell r="BA3737" t="str">
            <v/>
          </cell>
        </row>
        <row r="3738">
          <cell r="B3738" t="str">
            <v>-</v>
          </cell>
          <cell r="E3738" t="str">
            <v/>
          </cell>
          <cell r="G3738" t="str">
            <v/>
          </cell>
          <cell r="J3738" t="str">
            <v/>
          </cell>
          <cell r="O3738" t="str">
            <v/>
          </cell>
          <cell r="P3738" t="str">
            <v/>
          </cell>
          <cell r="Q3738" t="str">
            <v/>
          </cell>
          <cell r="S3738" t="str">
            <v/>
          </cell>
          <cell r="V3738" t="str">
            <v/>
          </cell>
          <cell r="Z3738" t="str">
            <v/>
          </cell>
          <cell r="AA3738" t="str">
            <v/>
          </cell>
          <cell r="AB3738" t="str">
            <v/>
          </cell>
          <cell r="AC3738" t="str">
            <v/>
          </cell>
          <cell r="AD3738" t="str">
            <v/>
          </cell>
          <cell r="AY3738" t="str">
            <v/>
          </cell>
          <cell r="AZ3738" t="str">
            <v/>
          </cell>
          <cell r="BA3738" t="str">
            <v/>
          </cell>
        </row>
        <row r="3739">
          <cell r="B3739" t="str">
            <v>-</v>
          </cell>
          <cell r="E3739" t="str">
            <v/>
          </cell>
          <cell r="G3739" t="str">
            <v/>
          </cell>
          <cell r="J3739" t="str">
            <v/>
          </cell>
          <cell r="O3739" t="str">
            <v/>
          </cell>
          <cell r="P3739" t="str">
            <v/>
          </cell>
          <cell r="Q3739" t="str">
            <v/>
          </cell>
          <cell r="S3739" t="str">
            <v/>
          </cell>
          <cell r="V3739" t="str">
            <v/>
          </cell>
          <cell r="Z3739" t="str">
            <v/>
          </cell>
          <cell r="AA3739" t="str">
            <v/>
          </cell>
          <cell r="AB3739" t="str">
            <v/>
          </cell>
          <cell r="AC3739" t="str">
            <v/>
          </cell>
          <cell r="AD3739" t="str">
            <v/>
          </cell>
          <cell r="AY3739" t="str">
            <v/>
          </cell>
          <cell r="AZ3739" t="str">
            <v/>
          </cell>
          <cell r="BA3739" t="str">
            <v/>
          </cell>
        </row>
        <row r="3740">
          <cell r="B3740" t="str">
            <v>-</v>
          </cell>
          <cell r="E3740" t="str">
            <v/>
          </cell>
          <cell r="G3740" t="str">
            <v/>
          </cell>
          <cell r="J3740" t="str">
            <v/>
          </cell>
          <cell r="O3740" t="str">
            <v/>
          </cell>
          <cell r="P3740" t="str">
            <v/>
          </cell>
          <cell r="Q3740" t="str">
            <v/>
          </cell>
          <cell r="S3740" t="str">
            <v/>
          </cell>
          <cell r="V3740" t="str">
            <v/>
          </cell>
          <cell r="Z3740" t="str">
            <v/>
          </cell>
          <cell r="AA3740" t="str">
            <v/>
          </cell>
          <cell r="AB3740" t="str">
            <v/>
          </cell>
          <cell r="AC3740" t="str">
            <v/>
          </cell>
          <cell r="AD3740" t="str">
            <v/>
          </cell>
          <cell r="AY3740" t="str">
            <v/>
          </cell>
          <cell r="AZ3740" t="str">
            <v/>
          </cell>
          <cell r="BA3740" t="str">
            <v/>
          </cell>
        </row>
        <row r="3741">
          <cell r="B3741" t="str">
            <v>-</v>
          </cell>
          <cell r="E3741" t="str">
            <v/>
          </cell>
          <cell r="G3741" t="str">
            <v/>
          </cell>
          <cell r="J3741" t="str">
            <v/>
          </cell>
          <cell r="O3741" t="str">
            <v/>
          </cell>
          <cell r="P3741" t="str">
            <v/>
          </cell>
          <cell r="Q3741" t="str">
            <v/>
          </cell>
          <cell r="S3741" t="str">
            <v/>
          </cell>
          <cell r="V3741" t="str">
            <v/>
          </cell>
          <cell r="Z3741" t="str">
            <v/>
          </cell>
          <cell r="AA3741" t="str">
            <v/>
          </cell>
          <cell r="AB3741" t="str">
            <v/>
          </cell>
          <cell r="AC3741" t="str">
            <v/>
          </cell>
          <cell r="AD3741" t="str">
            <v/>
          </cell>
          <cell r="AY3741" t="str">
            <v/>
          </cell>
          <cell r="AZ3741" t="str">
            <v/>
          </cell>
          <cell r="BA3741" t="str">
            <v/>
          </cell>
        </row>
        <row r="3742">
          <cell r="B3742" t="str">
            <v>-</v>
          </cell>
          <cell r="E3742" t="str">
            <v/>
          </cell>
          <cell r="G3742" t="str">
            <v/>
          </cell>
          <cell r="J3742" t="str">
            <v/>
          </cell>
          <cell r="O3742" t="str">
            <v/>
          </cell>
          <cell r="P3742" t="str">
            <v/>
          </cell>
          <cell r="Q3742" t="str">
            <v/>
          </cell>
          <cell r="S3742" t="str">
            <v/>
          </cell>
          <cell r="V3742" t="str">
            <v/>
          </cell>
          <cell r="Z3742" t="str">
            <v/>
          </cell>
          <cell r="AA3742" t="str">
            <v/>
          </cell>
          <cell r="AB3742" t="str">
            <v/>
          </cell>
          <cell r="AC3742" t="str">
            <v/>
          </cell>
          <cell r="AD3742" t="str">
            <v/>
          </cell>
          <cell r="AY3742" t="str">
            <v/>
          </cell>
          <cell r="AZ3742" t="str">
            <v/>
          </cell>
          <cell r="BA3742" t="str">
            <v/>
          </cell>
        </row>
        <row r="3743">
          <cell r="B3743" t="str">
            <v>-</v>
          </cell>
          <cell r="E3743" t="str">
            <v/>
          </cell>
          <cell r="G3743" t="str">
            <v/>
          </cell>
          <cell r="J3743" t="str">
            <v/>
          </cell>
          <cell r="O3743" t="str">
            <v/>
          </cell>
          <cell r="P3743" t="str">
            <v/>
          </cell>
          <cell r="Q3743" t="str">
            <v/>
          </cell>
          <cell r="S3743" t="str">
            <v/>
          </cell>
          <cell r="V3743" t="str">
            <v/>
          </cell>
          <cell r="Z3743" t="str">
            <v/>
          </cell>
          <cell r="AA3743" t="str">
            <v/>
          </cell>
          <cell r="AB3743" t="str">
            <v/>
          </cell>
          <cell r="AC3743" t="str">
            <v/>
          </cell>
          <cell r="AD3743" t="str">
            <v/>
          </cell>
          <cell r="AY3743" t="str">
            <v/>
          </cell>
          <cell r="AZ3743" t="str">
            <v/>
          </cell>
          <cell r="BA3743" t="str">
            <v/>
          </cell>
        </row>
        <row r="3744">
          <cell r="B3744" t="str">
            <v>-</v>
          </cell>
          <cell r="E3744" t="str">
            <v/>
          </cell>
          <cell r="G3744" t="str">
            <v/>
          </cell>
          <cell r="J3744" t="str">
            <v/>
          </cell>
          <cell r="O3744" t="str">
            <v/>
          </cell>
          <cell r="P3744" t="str">
            <v/>
          </cell>
          <cell r="Q3744" t="str">
            <v/>
          </cell>
          <cell r="S3744" t="str">
            <v/>
          </cell>
          <cell r="V3744" t="str">
            <v/>
          </cell>
          <cell r="Z3744" t="str">
            <v/>
          </cell>
          <cell r="AA3744" t="str">
            <v/>
          </cell>
          <cell r="AB3744" t="str">
            <v/>
          </cell>
          <cell r="AC3744" t="str">
            <v/>
          </cell>
          <cell r="AD3744" t="str">
            <v/>
          </cell>
          <cell r="AY3744" t="str">
            <v/>
          </cell>
          <cell r="AZ3744" t="str">
            <v/>
          </cell>
          <cell r="BA3744" t="str">
            <v/>
          </cell>
        </row>
        <row r="3745">
          <cell r="B3745" t="str">
            <v>-</v>
          </cell>
          <cell r="E3745" t="str">
            <v/>
          </cell>
          <cell r="G3745" t="str">
            <v/>
          </cell>
          <cell r="J3745" t="str">
            <v/>
          </cell>
          <cell r="O3745" t="str">
            <v/>
          </cell>
          <cell r="P3745" t="str">
            <v/>
          </cell>
          <cell r="Q3745" t="str">
            <v/>
          </cell>
          <cell r="S3745" t="str">
            <v/>
          </cell>
          <cell r="V3745" t="str">
            <v/>
          </cell>
          <cell r="Z3745" t="str">
            <v/>
          </cell>
          <cell r="AA3745" t="str">
            <v/>
          </cell>
          <cell r="AB3745" t="str">
            <v/>
          </cell>
          <cell r="AC3745" t="str">
            <v/>
          </cell>
          <cell r="AD3745" t="str">
            <v/>
          </cell>
          <cell r="AY3745" t="str">
            <v/>
          </cell>
          <cell r="AZ3745" t="str">
            <v/>
          </cell>
          <cell r="BA3745" t="str">
            <v/>
          </cell>
        </row>
        <row r="3746">
          <cell r="B3746" t="str">
            <v>-</v>
          </cell>
          <cell r="E3746" t="str">
            <v/>
          </cell>
          <cell r="G3746" t="str">
            <v/>
          </cell>
          <cell r="J3746" t="str">
            <v/>
          </cell>
          <cell r="O3746" t="str">
            <v/>
          </cell>
          <cell r="P3746" t="str">
            <v/>
          </cell>
          <cell r="Q3746" t="str">
            <v/>
          </cell>
          <cell r="S3746" t="str">
            <v/>
          </cell>
          <cell r="V3746" t="str">
            <v/>
          </cell>
          <cell r="Z3746" t="str">
            <v/>
          </cell>
          <cell r="AA3746" t="str">
            <v/>
          </cell>
          <cell r="AB3746" t="str">
            <v/>
          </cell>
          <cell r="AC3746" t="str">
            <v/>
          </cell>
          <cell r="AD3746" t="str">
            <v/>
          </cell>
          <cell r="AY3746" t="str">
            <v/>
          </cell>
          <cell r="AZ3746" t="str">
            <v/>
          </cell>
          <cell r="BA3746" t="str">
            <v/>
          </cell>
        </row>
        <row r="3747">
          <cell r="B3747" t="str">
            <v>-</v>
          </cell>
          <cell r="E3747" t="str">
            <v/>
          </cell>
          <cell r="G3747" t="str">
            <v/>
          </cell>
          <cell r="J3747" t="str">
            <v/>
          </cell>
          <cell r="O3747" t="str">
            <v/>
          </cell>
          <cell r="P3747" t="str">
            <v/>
          </cell>
          <cell r="Q3747" t="str">
            <v/>
          </cell>
          <cell r="S3747" t="str">
            <v/>
          </cell>
          <cell r="V3747" t="str">
            <v/>
          </cell>
          <cell r="Z3747" t="str">
            <v/>
          </cell>
          <cell r="AA3747" t="str">
            <v/>
          </cell>
          <cell r="AB3747" t="str">
            <v/>
          </cell>
          <cell r="AC3747" t="str">
            <v/>
          </cell>
          <cell r="AD3747" t="str">
            <v/>
          </cell>
          <cell r="AY3747" t="str">
            <v/>
          </cell>
          <cell r="AZ3747" t="str">
            <v/>
          </cell>
          <cell r="BA3747" t="str">
            <v/>
          </cell>
        </row>
        <row r="3748">
          <cell r="B3748" t="str">
            <v>-</v>
          </cell>
          <cell r="E3748" t="str">
            <v/>
          </cell>
          <cell r="G3748" t="str">
            <v/>
          </cell>
          <cell r="J3748" t="str">
            <v/>
          </cell>
          <cell r="O3748" t="str">
            <v/>
          </cell>
          <cell r="P3748" t="str">
            <v/>
          </cell>
          <cell r="Q3748" t="str">
            <v/>
          </cell>
          <cell r="S3748" t="str">
            <v/>
          </cell>
          <cell r="V3748" t="str">
            <v/>
          </cell>
          <cell r="Z3748" t="str">
            <v/>
          </cell>
          <cell r="AA3748" t="str">
            <v/>
          </cell>
          <cell r="AB3748" t="str">
            <v/>
          </cell>
          <cell r="AC3748" t="str">
            <v/>
          </cell>
          <cell r="AD3748" t="str">
            <v/>
          </cell>
          <cell r="AY3748" t="str">
            <v/>
          </cell>
          <cell r="AZ3748" t="str">
            <v/>
          </cell>
          <cell r="BA3748" t="str">
            <v/>
          </cell>
        </row>
        <row r="3749">
          <cell r="B3749" t="str">
            <v>-</v>
          </cell>
          <cell r="E3749" t="str">
            <v/>
          </cell>
          <cell r="G3749" t="str">
            <v/>
          </cell>
          <cell r="J3749" t="str">
            <v/>
          </cell>
          <cell r="O3749" t="str">
            <v/>
          </cell>
          <cell r="P3749" t="str">
            <v/>
          </cell>
          <cell r="Q3749" t="str">
            <v/>
          </cell>
          <cell r="S3749" t="str">
            <v/>
          </cell>
          <cell r="V3749" t="str">
            <v/>
          </cell>
          <cell r="Z3749" t="str">
            <v/>
          </cell>
          <cell r="AA3749" t="str">
            <v/>
          </cell>
          <cell r="AB3749" t="str">
            <v/>
          </cell>
          <cell r="AC3749" t="str">
            <v/>
          </cell>
          <cell r="AD3749" t="str">
            <v/>
          </cell>
          <cell r="AY3749" t="str">
            <v/>
          </cell>
          <cell r="AZ3749" t="str">
            <v/>
          </cell>
          <cell r="BA3749" t="str">
            <v/>
          </cell>
        </row>
        <row r="3750">
          <cell r="B3750" t="str">
            <v>-</v>
          </cell>
          <cell r="E3750" t="str">
            <v/>
          </cell>
          <cell r="G3750" t="str">
            <v/>
          </cell>
          <cell r="J3750" t="str">
            <v/>
          </cell>
          <cell r="O3750" t="str">
            <v/>
          </cell>
          <cell r="P3750" t="str">
            <v/>
          </cell>
          <cell r="Q3750" t="str">
            <v/>
          </cell>
          <cell r="S3750" t="str">
            <v/>
          </cell>
          <cell r="V3750" t="str">
            <v/>
          </cell>
          <cell r="Z3750" t="str">
            <v/>
          </cell>
          <cell r="AA3750" t="str">
            <v/>
          </cell>
          <cell r="AB3750" t="str">
            <v/>
          </cell>
          <cell r="AC3750" t="str">
            <v/>
          </cell>
          <cell r="AD3750" t="str">
            <v/>
          </cell>
          <cell r="AY3750" t="str">
            <v/>
          </cell>
          <cell r="AZ3750" t="str">
            <v/>
          </cell>
          <cell r="BA3750" t="str">
            <v/>
          </cell>
        </row>
        <row r="3751">
          <cell r="B3751" t="str">
            <v>-</v>
          </cell>
          <cell r="E3751" t="str">
            <v/>
          </cell>
          <cell r="G3751" t="str">
            <v/>
          </cell>
          <cell r="J3751" t="str">
            <v/>
          </cell>
          <cell r="O3751" t="str">
            <v/>
          </cell>
          <cell r="P3751" t="str">
            <v/>
          </cell>
          <cell r="Q3751" t="str">
            <v/>
          </cell>
          <cell r="S3751" t="str">
            <v/>
          </cell>
          <cell r="V3751" t="str">
            <v/>
          </cell>
          <cell r="Z3751" t="str">
            <v/>
          </cell>
          <cell r="AA3751" t="str">
            <v/>
          </cell>
          <cell r="AB3751" t="str">
            <v/>
          </cell>
          <cell r="AC3751" t="str">
            <v/>
          </cell>
          <cell r="AD3751" t="str">
            <v/>
          </cell>
          <cell r="AY3751" t="str">
            <v/>
          </cell>
          <cell r="AZ3751" t="str">
            <v/>
          </cell>
          <cell r="BA3751" t="str">
            <v/>
          </cell>
        </row>
        <row r="3752">
          <cell r="B3752" t="str">
            <v>-</v>
          </cell>
          <cell r="E3752" t="str">
            <v/>
          </cell>
          <cell r="G3752" t="str">
            <v/>
          </cell>
          <cell r="J3752" t="str">
            <v/>
          </cell>
          <cell r="O3752" t="str">
            <v/>
          </cell>
          <cell r="P3752" t="str">
            <v/>
          </cell>
          <cell r="Q3752" t="str">
            <v/>
          </cell>
          <cell r="S3752" t="str">
            <v/>
          </cell>
          <cell r="V3752" t="str">
            <v/>
          </cell>
          <cell r="Z3752" t="str">
            <v/>
          </cell>
          <cell r="AA3752" t="str">
            <v/>
          </cell>
          <cell r="AB3752" t="str">
            <v/>
          </cell>
          <cell r="AC3752" t="str">
            <v/>
          </cell>
          <cell r="AD3752" t="str">
            <v/>
          </cell>
          <cell r="AY3752" t="str">
            <v/>
          </cell>
          <cell r="AZ3752" t="str">
            <v/>
          </cell>
          <cell r="BA3752" t="str">
            <v/>
          </cell>
        </row>
        <row r="3753">
          <cell r="B3753" t="str">
            <v>-</v>
          </cell>
          <cell r="E3753" t="str">
            <v/>
          </cell>
          <cell r="G3753" t="str">
            <v/>
          </cell>
          <cell r="J3753" t="str">
            <v/>
          </cell>
          <cell r="O3753" t="str">
            <v/>
          </cell>
          <cell r="P3753" t="str">
            <v/>
          </cell>
          <cell r="Q3753" t="str">
            <v/>
          </cell>
          <cell r="S3753" t="str">
            <v/>
          </cell>
          <cell r="V3753" t="str">
            <v/>
          </cell>
          <cell r="Z3753" t="str">
            <v/>
          </cell>
          <cell r="AA3753" t="str">
            <v/>
          </cell>
          <cell r="AB3753" t="str">
            <v/>
          </cell>
          <cell r="AC3753" t="str">
            <v/>
          </cell>
          <cell r="AD3753" t="str">
            <v/>
          </cell>
          <cell r="AY3753" t="str">
            <v/>
          </cell>
          <cell r="AZ3753" t="str">
            <v/>
          </cell>
          <cell r="BA3753" t="str">
            <v/>
          </cell>
        </row>
        <row r="3754">
          <cell r="B3754" t="str">
            <v>-</v>
          </cell>
          <cell r="E3754" t="str">
            <v/>
          </cell>
          <cell r="G3754" t="str">
            <v/>
          </cell>
          <cell r="J3754" t="str">
            <v/>
          </cell>
          <cell r="O3754" t="str">
            <v/>
          </cell>
          <cell r="P3754" t="str">
            <v/>
          </cell>
          <cell r="Q3754" t="str">
            <v/>
          </cell>
          <cell r="S3754" t="str">
            <v/>
          </cell>
          <cell r="V3754" t="str">
            <v/>
          </cell>
          <cell r="Z3754" t="str">
            <v/>
          </cell>
          <cell r="AA3754" t="str">
            <v/>
          </cell>
          <cell r="AB3754" t="str">
            <v/>
          </cell>
          <cell r="AC3754" t="str">
            <v/>
          </cell>
          <cell r="AD3754" t="str">
            <v/>
          </cell>
          <cell r="AY3754" t="str">
            <v/>
          </cell>
          <cell r="AZ3754" t="str">
            <v/>
          </cell>
          <cell r="BA3754" t="str">
            <v/>
          </cell>
        </row>
        <row r="3755">
          <cell r="B3755" t="str">
            <v>-</v>
          </cell>
          <cell r="E3755" t="str">
            <v/>
          </cell>
          <cell r="G3755" t="str">
            <v/>
          </cell>
          <cell r="J3755" t="str">
            <v/>
          </cell>
          <cell r="O3755" t="str">
            <v/>
          </cell>
          <cell r="P3755" t="str">
            <v/>
          </cell>
          <cell r="Q3755" t="str">
            <v/>
          </cell>
          <cell r="S3755" t="str">
            <v/>
          </cell>
          <cell r="V3755" t="str">
            <v/>
          </cell>
          <cell r="Z3755" t="str">
            <v/>
          </cell>
          <cell r="AA3755" t="str">
            <v/>
          </cell>
          <cell r="AB3755" t="str">
            <v/>
          </cell>
          <cell r="AC3755" t="str">
            <v/>
          </cell>
          <cell r="AD3755" t="str">
            <v/>
          </cell>
          <cell r="AY3755" t="str">
            <v/>
          </cell>
          <cell r="AZ3755" t="str">
            <v/>
          </cell>
          <cell r="BA3755" t="str">
            <v/>
          </cell>
        </row>
        <row r="3756">
          <cell r="B3756" t="str">
            <v>-</v>
          </cell>
          <cell r="E3756" t="str">
            <v/>
          </cell>
          <cell r="G3756" t="str">
            <v/>
          </cell>
          <cell r="J3756" t="str">
            <v/>
          </cell>
          <cell r="O3756" t="str">
            <v/>
          </cell>
          <cell r="P3756" t="str">
            <v/>
          </cell>
          <cell r="Q3756" t="str">
            <v/>
          </cell>
          <cell r="S3756" t="str">
            <v/>
          </cell>
          <cell r="V3756" t="str">
            <v/>
          </cell>
          <cell r="Z3756" t="str">
            <v/>
          </cell>
          <cell r="AA3756" t="str">
            <v/>
          </cell>
          <cell r="AB3756" t="str">
            <v/>
          </cell>
          <cell r="AC3756" t="str">
            <v/>
          </cell>
          <cell r="AD3756" t="str">
            <v/>
          </cell>
          <cell r="AY3756" t="str">
            <v/>
          </cell>
          <cell r="AZ3756" t="str">
            <v/>
          </cell>
          <cell r="BA3756" t="str">
            <v/>
          </cell>
        </row>
        <row r="3757">
          <cell r="B3757" t="str">
            <v>-</v>
          </cell>
          <cell r="E3757" t="str">
            <v/>
          </cell>
          <cell r="G3757" t="str">
            <v/>
          </cell>
          <cell r="J3757" t="str">
            <v/>
          </cell>
          <cell r="O3757" t="str">
            <v/>
          </cell>
          <cell r="P3757" t="str">
            <v/>
          </cell>
          <cell r="Q3757" t="str">
            <v/>
          </cell>
          <cell r="S3757" t="str">
            <v/>
          </cell>
          <cell r="V3757" t="str">
            <v/>
          </cell>
          <cell r="Z3757" t="str">
            <v/>
          </cell>
          <cell r="AA3757" t="str">
            <v/>
          </cell>
          <cell r="AB3757" t="str">
            <v/>
          </cell>
          <cell r="AC3757" t="str">
            <v/>
          </cell>
          <cell r="AD3757" t="str">
            <v/>
          </cell>
          <cell r="AY3757" t="str">
            <v/>
          </cell>
          <cell r="AZ3757" t="str">
            <v/>
          </cell>
          <cell r="BA3757" t="str">
            <v/>
          </cell>
        </row>
        <row r="3758">
          <cell r="B3758" t="str">
            <v>-</v>
          </cell>
          <cell r="E3758" t="str">
            <v/>
          </cell>
          <cell r="G3758" t="str">
            <v/>
          </cell>
          <cell r="J3758" t="str">
            <v/>
          </cell>
          <cell r="O3758" t="str">
            <v/>
          </cell>
          <cell r="P3758" t="str">
            <v/>
          </cell>
          <cell r="Q3758" t="str">
            <v/>
          </cell>
          <cell r="S3758" t="str">
            <v/>
          </cell>
          <cell r="V3758" t="str">
            <v/>
          </cell>
          <cell r="Z3758" t="str">
            <v/>
          </cell>
          <cell r="AA3758" t="str">
            <v/>
          </cell>
          <cell r="AB3758" t="str">
            <v/>
          </cell>
          <cell r="AC3758" t="str">
            <v/>
          </cell>
          <cell r="AD3758" t="str">
            <v/>
          </cell>
          <cell r="AY3758" t="str">
            <v/>
          </cell>
          <cell r="AZ3758" t="str">
            <v/>
          </cell>
          <cell r="BA3758" t="str">
            <v/>
          </cell>
        </row>
        <row r="3759">
          <cell r="B3759" t="str">
            <v>-</v>
          </cell>
          <cell r="E3759" t="str">
            <v/>
          </cell>
          <cell r="G3759" t="str">
            <v/>
          </cell>
          <cell r="J3759" t="str">
            <v/>
          </cell>
          <cell r="O3759" t="str">
            <v/>
          </cell>
          <cell r="P3759" t="str">
            <v/>
          </cell>
          <cell r="Q3759" t="str">
            <v/>
          </cell>
          <cell r="S3759" t="str">
            <v/>
          </cell>
          <cell r="V3759" t="str">
            <v/>
          </cell>
          <cell r="Z3759" t="str">
            <v/>
          </cell>
          <cell r="AA3759" t="str">
            <v/>
          </cell>
          <cell r="AB3759" t="str">
            <v/>
          </cell>
          <cell r="AC3759" t="str">
            <v/>
          </cell>
          <cell r="AD3759" t="str">
            <v/>
          </cell>
          <cell r="AY3759" t="str">
            <v/>
          </cell>
          <cell r="AZ3759" t="str">
            <v/>
          </cell>
          <cell r="BA3759" t="str">
            <v/>
          </cell>
        </row>
        <row r="3760">
          <cell r="B3760" t="str">
            <v>-</v>
          </cell>
          <cell r="E3760" t="str">
            <v/>
          </cell>
          <cell r="G3760" t="str">
            <v/>
          </cell>
          <cell r="J3760" t="str">
            <v/>
          </cell>
          <cell r="O3760" t="str">
            <v/>
          </cell>
          <cell r="P3760" t="str">
            <v/>
          </cell>
          <cell r="Q3760" t="str">
            <v/>
          </cell>
          <cell r="S3760" t="str">
            <v/>
          </cell>
          <cell r="V3760" t="str">
            <v/>
          </cell>
          <cell r="Z3760" t="str">
            <v/>
          </cell>
          <cell r="AA3760" t="str">
            <v/>
          </cell>
          <cell r="AB3760" t="str">
            <v/>
          </cell>
          <cell r="AC3760" t="str">
            <v/>
          </cell>
          <cell r="AD3760" t="str">
            <v/>
          </cell>
          <cell r="AY3760" t="str">
            <v/>
          </cell>
          <cell r="AZ3760" t="str">
            <v/>
          </cell>
          <cell r="BA3760" t="str">
            <v/>
          </cell>
        </row>
        <row r="3761">
          <cell r="B3761" t="str">
            <v>-</v>
          </cell>
          <cell r="E3761" t="str">
            <v/>
          </cell>
          <cell r="G3761" t="str">
            <v/>
          </cell>
          <cell r="J3761" t="str">
            <v/>
          </cell>
          <cell r="O3761" t="str">
            <v/>
          </cell>
          <cell r="P3761" t="str">
            <v/>
          </cell>
          <cell r="Q3761" t="str">
            <v/>
          </cell>
          <cell r="S3761" t="str">
            <v/>
          </cell>
          <cell r="V3761" t="str">
            <v/>
          </cell>
          <cell r="Z3761" t="str">
            <v/>
          </cell>
          <cell r="AA3761" t="str">
            <v/>
          </cell>
          <cell r="AB3761" t="str">
            <v/>
          </cell>
          <cell r="AC3761" t="str">
            <v/>
          </cell>
          <cell r="AD3761" t="str">
            <v/>
          </cell>
          <cell r="AY3761" t="str">
            <v/>
          </cell>
          <cell r="AZ3761" t="str">
            <v/>
          </cell>
          <cell r="BA3761" t="str">
            <v/>
          </cell>
        </row>
        <row r="3762">
          <cell r="B3762" t="str">
            <v>-</v>
          </cell>
          <cell r="E3762" t="str">
            <v/>
          </cell>
          <cell r="G3762" t="str">
            <v/>
          </cell>
          <cell r="J3762" t="str">
            <v/>
          </cell>
          <cell r="O3762" t="str">
            <v/>
          </cell>
          <cell r="P3762" t="str">
            <v/>
          </cell>
          <cell r="Q3762" t="str">
            <v/>
          </cell>
          <cell r="S3762" t="str">
            <v/>
          </cell>
          <cell r="V3762" t="str">
            <v/>
          </cell>
          <cell r="Z3762" t="str">
            <v/>
          </cell>
          <cell r="AA3762" t="str">
            <v/>
          </cell>
          <cell r="AB3762" t="str">
            <v/>
          </cell>
          <cell r="AC3762" t="str">
            <v/>
          </cell>
          <cell r="AD3762" t="str">
            <v/>
          </cell>
          <cell r="AY3762" t="str">
            <v/>
          </cell>
          <cell r="AZ3762" t="str">
            <v/>
          </cell>
          <cell r="BA3762" t="str">
            <v/>
          </cell>
        </row>
        <row r="3763">
          <cell r="B3763" t="str">
            <v>-</v>
          </cell>
          <cell r="E3763" t="str">
            <v/>
          </cell>
          <cell r="G3763" t="str">
            <v/>
          </cell>
          <cell r="J3763" t="str">
            <v/>
          </cell>
          <cell r="O3763" t="str">
            <v/>
          </cell>
          <cell r="P3763" t="str">
            <v/>
          </cell>
          <cell r="Q3763" t="str">
            <v/>
          </cell>
          <cell r="S3763" t="str">
            <v/>
          </cell>
          <cell r="V3763" t="str">
            <v/>
          </cell>
          <cell r="Z3763" t="str">
            <v/>
          </cell>
          <cell r="AA3763" t="str">
            <v/>
          </cell>
          <cell r="AB3763" t="str">
            <v/>
          </cell>
          <cell r="AC3763" t="str">
            <v/>
          </cell>
          <cell r="AD3763" t="str">
            <v/>
          </cell>
          <cell r="AY3763" t="str">
            <v/>
          </cell>
          <cell r="AZ3763" t="str">
            <v/>
          </cell>
          <cell r="BA3763" t="str">
            <v/>
          </cell>
        </row>
        <row r="3764">
          <cell r="B3764" t="str">
            <v>-</v>
          </cell>
          <cell r="E3764" t="str">
            <v/>
          </cell>
          <cell r="G3764" t="str">
            <v/>
          </cell>
          <cell r="J3764" t="str">
            <v/>
          </cell>
          <cell r="O3764" t="str">
            <v/>
          </cell>
          <cell r="P3764" t="str">
            <v/>
          </cell>
          <cell r="Q3764" t="str">
            <v/>
          </cell>
          <cell r="S3764" t="str">
            <v/>
          </cell>
          <cell r="V3764" t="str">
            <v/>
          </cell>
          <cell r="Z3764" t="str">
            <v/>
          </cell>
          <cell r="AA3764" t="str">
            <v/>
          </cell>
          <cell r="AB3764" t="str">
            <v/>
          </cell>
          <cell r="AC3764" t="str">
            <v/>
          </cell>
          <cell r="AD3764" t="str">
            <v/>
          </cell>
          <cell r="AY3764" t="str">
            <v/>
          </cell>
          <cell r="AZ3764" t="str">
            <v/>
          </cell>
          <cell r="BA3764" t="str">
            <v/>
          </cell>
        </row>
        <row r="3765">
          <cell r="B3765" t="str">
            <v>-</v>
          </cell>
          <cell r="E3765" t="str">
            <v/>
          </cell>
          <cell r="G3765" t="str">
            <v/>
          </cell>
          <cell r="J3765" t="str">
            <v/>
          </cell>
          <cell r="O3765" t="str">
            <v/>
          </cell>
          <cell r="P3765" t="str">
            <v/>
          </cell>
          <cell r="Q3765" t="str">
            <v/>
          </cell>
          <cell r="S3765" t="str">
            <v/>
          </cell>
          <cell r="V3765" t="str">
            <v/>
          </cell>
          <cell r="Z3765" t="str">
            <v/>
          </cell>
          <cell r="AA3765" t="str">
            <v/>
          </cell>
          <cell r="AB3765" t="str">
            <v/>
          </cell>
          <cell r="AC3765" t="str">
            <v/>
          </cell>
          <cell r="AD3765" t="str">
            <v/>
          </cell>
          <cell r="AY3765" t="str">
            <v/>
          </cell>
          <cell r="AZ3765" t="str">
            <v/>
          </cell>
          <cell r="BA3765" t="str">
            <v/>
          </cell>
        </row>
        <row r="3766">
          <cell r="B3766" t="str">
            <v>-</v>
          </cell>
          <cell r="E3766" t="str">
            <v/>
          </cell>
          <cell r="G3766" t="str">
            <v/>
          </cell>
          <cell r="J3766" t="str">
            <v/>
          </cell>
          <cell r="O3766" t="str">
            <v/>
          </cell>
          <cell r="P3766" t="str">
            <v/>
          </cell>
          <cell r="Q3766" t="str">
            <v/>
          </cell>
          <cell r="S3766" t="str">
            <v/>
          </cell>
          <cell r="V3766" t="str">
            <v/>
          </cell>
          <cell r="Z3766" t="str">
            <v/>
          </cell>
          <cell r="AA3766" t="str">
            <v/>
          </cell>
          <cell r="AB3766" t="str">
            <v/>
          </cell>
          <cell r="AC3766" t="str">
            <v/>
          </cell>
          <cell r="AD3766" t="str">
            <v/>
          </cell>
          <cell r="AY3766" t="str">
            <v/>
          </cell>
          <cell r="AZ3766" t="str">
            <v/>
          </cell>
          <cell r="BA3766" t="str">
            <v/>
          </cell>
        </row>
        <row r="3767">
          <cell r="B3767" t="str">
            <v>-</v>
          </cell>
          <cell r="E3767" t="str">
            <v/>
          </cell>
          <cell r="G3767" t="str">
            <v/>
          </cell>
          <cell r="J3767" t="str">
            <v/>
          </cell>
          <cell r="O3767" t="str">
            <v/>
          </cell>
          <cell r="P3767" t="str">
            <v/>
          </cell>
          <cell r="Q3767" t="str">
            <v/>
          </cell>
          <cell r="S3767" t="str">
            <v/>
          </cell>
          <cell r="V3767" t="str">
            <v/>
          </cell>
          <cell r="Z3767" t="str">
            <v/>
          </cell>
          <cell r="AA3767" t="str">
            <v/>
          </cell>
          <cell r="AB3767" t="str">
            <v/>
          </cell>
          <cell r="AC3767" t="str">
            <v/>
          </cell>
          <cell r="AD3767" t="str">
            <v/>
          </cell>
          <cell r="AY3767" t="str">
            <v/>
          </cell>
          <cell r="AZ3767" t="str">
            <v/>
          </cell>
          <cell r="BA3767" t="str">
            <v/>
          </cell>
        </row>
        <row r="3768">
          <cell r="B3768" t="str">
            <v>-</v>
          </cell>
          <cell r="E3768" t="str">
            <v/>
          </cell>
          <cell r="G3768" t="str">
            <v/>
          </cell>
          <cell r="J3768" t="str">
            <v/>
          </cell>
          <cell r="O3768" t="str">
            <v/>
          </cell>
          <cell r="P3768" t="str">
            <v/>
          </cell>
          <cell r="Q3768" t="str">
            <v/>
          </cell>
          <cell r="S3768" t="str">
            <v/>
          </cell>
          <cell r="V3768" t="str">
            <v/>
          </cell>
          <cell r="Z3768" t="str">
            <v/>
          </cell>
          <cell r="AA3768" t="str">
            <v/>
          </cell>
          <cell r="AB3768" t="str">
            <v/>
          </cell>
          <cell r="AC3768" t="str">
            <v/>
          </cell>
          <cell r="AD3768" t="str">
            <v/>
          </cell>
          <cell r="AY3768" t="str">
            <v/>
          </cell>
          <cell r="AZ3768" t="str">
            <v/>
          </cell>
          <cell r="BA3768" t="str">
            <v/>
          </cell>
        </row>
        <row r="3769">
          <cell r="B3769" t="str">
            <v>-</v>
          </cell>
          <cell r="E3769" t="str">
            <v/>
          </cell>
          <cell r="G3769" t="str">
            <v/>
          </cell>
          <cell r="J3769" t="str">
            <v/>
          </cell>
          <cell r="O3769" t="str">
            <v/>
          </cell>
          <cell r="P3769" t="str">
            <v/>
          </cell>
          <cell r="Q3769" t="str">
            <v/>
          </cell>
          <cell r="S3769" t="str">
            <v/>
          </cell>
          <cell r="V3769" t="str">
            <v/>
          </cell>
          <cell r="Z3769" t="str">
            <v/>
          </cell>
          <cell r="AA3769" t="str">
            <v/>
          </cell>
          <cell r="AB3769" t="str">
            <v/>
          </cell>
          <cell r="AC3769" t="str">
            <v/>
          </cell>
          <cell r="AD3769" t="str">
            <v/>
          </cell>
          <cell r="AY3769" t="str">
            <v/>
          </cell>
          <cell r="AZ3769" t="str">
            <v/>
          </cell>
          <cell r="BA3769" t="str">
            <v/>
          </cell>
        </row>
        <row r="3770">
          <cell r="B3770" t="str">
            <v>-</v>
          </cell>
          <cell r="E3770" t="str">
            <v/>
          </cell>
          <cell r="G3770" t="str">
            <v/>
          </cell>
          <cell r="J3770" t="str">
            <v/>
          </cell>
          <cell r="O3770" t="str">
            <v/>
          </cell>
          <cell r="P3770" t="str">
            <v/>
          </cell>
          <cell r="Q3770" t="str">
            <v/>
          </cell>
          <cell r="S3770" t="str">
            <v/>
          </cell>
          <cell r="V3770" t="str">
            <v/>
          </cell>
          <cell r="Z3770" t="str">
            <v/>
          </cell>
          <cell r="AA3770" t="str">
            <v/>
          </cell>
          <cell r="AB3770" t="str">
            <v/>
          </cell>
          <cell r="AC3770" t="str">
            <v/>
          </cell>
          <cell r="AD3770" t="str">
            <v/>
          </cell>
          <cell r="AY3770" t="str">
            <v/>
          </cell>
          <cell r="AZ3770" t="str">
            <v/>
          </cell>
          <cell r="BA3770" t="str">
            <v/>
          </cell>
        </row>
        <row r="3771">
          <cell r="B3771" t="str">
            <v>-</v>
          </cell>
          <cell r="E3771" t="str">
            <v/>
          </cell>
          <cell r="G3771" t="str">
            <v/>
          </cell>
          <cell r="J3771" t="str">
            <v/>
          </cell>
          <cell r="O3771" t="str">
            <v/>
          </cell>
          <cell r="P3771" t="str">
            <v/>
          </cell>
          <cell r="Q3771" t="str">
            <v/>
          </cell>
          <cell r="S3771" t="str">
            <v/>
          </cell>
          <cell r="V3771" t="str">
            <v/>
          </cell>
          <cell r="Z3771" t="str">
            <v/>
          </cell>
          <cell r="AA3771" t="str">
            <v/>
          </cell>
          <cell r="AB3771" t="str">
            <v/>
          </cell>
          <cell r="AC3771" t="str">
            <v/>
          </cell>
          <cell r="AD3771" t="str">
            <v/>
          </cell>
          <cell r="AY3771" t="str">
            <v/>
          </cell>
          <cell r="AZ3771" t="str">
            <v/>
          </cell>
          <cell r="BA3771" t="str">
            <v/>
          </cell>
        </row>
        <row r="3772">
          <cell r="B3772" t="str">
            <v>-</v>
          </cell>
          <cell r="E3772" t="str">
            <v/>
          </cell>
          <cell r="G3772" t="str">
            <v/>
          </cell>
          <cell r="J3772" t="str">
            <v/>
          </cell>
          <cell r="O3772" t="str">
            <v/>
          </cell>
          <cell r="P3772" t="str">
            <v/>
          </cell>
          <cell r="Q3772" t="str">
            <v/>
          </cell>
          <cell r="S3772" t="str">
            <v/>
          </cell>
          <cell r="V3772" t="str">
            <v/>
          </cell>
          <cell r="Z3772" t="str">
            <v/>
          </cell>
          <cell r="AA3772" t="str">
            <v/>
          </cell>
          <cell r="AB3772" t="str">
            <v/>
          </cell>
          <cell r="AC3772" t="str">
            <v/>
          </cell>
          <cell r="AD3772" t="str">
            <v/>
          </cell>
          <cell r="AY3772" t="str">
            <v/>
          </cell>
          <cell r="AZ3772" t="str">
            <v/>
          </cell>
          <cell r="BA3772" t="str">
            <v/>
          </cell>
        </row>
        <row r="3773">
          <cell r="B3773" t="str">
            <v>-</v>
          </cell>
          <cell r="E3773" t="str">
            <v/>
          </cell>
          <cell r="G3773" t="str">
            <v/>
          </cell>
          <cell r="J3773" t="str">
            <v/>
          </cell>
          <cell r="O3773" t="str">
            <v/>
          </cell>
          <cell r="P3773" t="str">
            <v/>
          </cell>
          <cell r="Q3773" t="str">
            <v/>
          </cell>
          <cell r="S3773" t="str">
            <v/>
          </cell>
          <cell r="V3773" t="str">
            <v/>
          </cell>
          <cell r="Z3773" t="str">
            <v/>
          </cell>
          <cell r="AA3773" t="str">
            <v/>
          </cell>
          <cell r="AB3773" t="str">
            <v/>
          </cell>
          <cell r="AC3773" t="str">
            <v/>
          </cell>
          <cell r="AD3773" t="str">
            <v/>
          </cell>
          <cell r="AY3773" t="str">
            <v/>
          </cell>
          <cell r="AZ3773" t="str">
            <v/>
          </cell>
          <cell r="BA3773" t="str">
            <v/>
          </cell>
        </row>
        <row r="3774">
          <cell r="B3774" t="str">
            <v>-</v>
          </cell>
          <cell r="E3774" t="str">
            <v/>
          </cell>
          <cell r="G3774" t="str">
            <v/>
          </cell>
          <cell r="J3774" t="str">
            <v/>
          </cell>
          <cell r="O3774" t="str">
            <v/>
          </cell>
          <cell r="P3774" t="str">
            <v/>
          </cell>
          <cell r="Q3774" t="str">
            <v/>
          </cell>
          <cell r="S3774" t="str">
            <v/>
          </cell>
          <cell r="V3774" t="str">
            <v/>
          </cell>
          <cell r="Z3774" t="str">
            <v/>
          </cell>
          <cell r="AA3774" t="str">
            <v/>
          </cell>
          <cell r="AB3774" t="str">
            <v/>
          </cell>
          <cell r="AC3774" t="str">
            <v/>
          </cell>
          <cell r="AD3774" t="str">
            <v/>
          </cell>
          <cell r="AY3774" t="str">
            <v/>
          </cell>
          <cell r="AZ3774" t="str">
            <v/>
          </cell>
          <cell r="BA3774" t="str">
            <v/>
          </cell>
        </row>
        <row r="3775">
          <cell r="B3775" t="str">
            <v>-</v>
          </cell>
          <cell r="E3775" t="str">
            <v/>
          </cell>
          <cell r="G3775" t="str">
            <v/>
          </cell>
          <cell r="J3775" t="str">
            <v/>
          </cell>
          <cell r="O3775" t="str">
            <v/>
          </cell>
          <cell r="P3775" t="str">
            <v/>
          </cell>
          <cell r="Q3775" t="str">
            <v/>
          </cell>
          <cell r="S3775" t="str">
            <v/>
          </cell>
          <cell r="V3775" t="str">
            <v/>
          </cell>
          <cell r="Z3775" t="str">
            <v/>
          </cell>
          <cell r="AA3775" t="str">
            <v/>
          </cell>
          <cell r="AB3775" t="str">
            <v/>
          </cell>
          <cell r="AC3775" t="str">
            <v/>
          </cell>
          <cell r="AD3775" t="str">
            <v/>
          </cell>
          <cell r="AY3775" t="str">
            <v/>
          </cell>
          <cell r="AZ3775" t="str">
            <v/>
          </cell>
          <cell r="BA3775" t="str">
            <v/>
          </cell>
        </row>
        <row r="3776">
          <cell r="B3776" t="str">
            <v>-</v>
          </cell>
          <cell r="E3776" t="str">
            <v/>
          </cell>
          <cell r="G3776" t="str">
            <v/>
          </cell>
          <cell r="J3776" t="str">
            <v/>
          </cell>
          <cell r="O3776" t="str">
            <v/>
          </cell>
          <cell r="P3776" t="str">
            <v/>
          </cell>
          <cell r="Q3776" t="str">
            <v/>
          </cell>
          <cell r="S3776" t="str">
            <v/>
          </cell>
          <cell r="V3776" t="str">
            <v/>
          </cell>
          <cell r="Z3776" t="str">
            <v/>
          </cell>
          <cell r="AA3776" t="str">
            <v/>
          </cell>
          <cell r="AB3776" t="str">
            <v/>
          </cell>
          <cell r="AC3776" t="str">
            <v/>
          </cell>
          <cell r="AD3776" t="str">
            <v/>
          </cell>
          <cell r="AY3776" t="str">
            <v/>
          </cell>
          <cell r="AZ3776" t="str">
            <v/>
          </cell>
          <cell r="BA3776" t="str">
            <v/>
          </cell>
        </row>
        <row r="3777">
          <cell r="B3777" t="str">
            <v>-</v>
          </cell>
          <cell r="E3777" t="str">
            <v/>
          </cell>
          <cell r="G3777" t="str">
            <v/>
          </cell>
          <cell r="J3777" t="str">
            <v/>
          </cell>
          <cell r="O3777" t="str">
            <v/>
          </cell>
          <cell r="P3777" t="str">
            <v/>
          </cell>
          <cell r="Q3777" t="str">
            <v/>
          </cell>
          <cell r="S3777" t="str">
            <v/>
          </cell>
          <cell r="V3777" t="str">
            <v/>
          </cell>
          <cell r="Z3777" t="str">
            <v/>
          </cell>
          <cell r="AA3777" t="str">
            <v/>
          </cell>
          <cell r="AB3777" t="str">
            <v/>
          </cell>
          <cell r="AC3777" t="str">
            <v/>
          </cell>
          <cell r="AD3777" t="str">
            <v/>
          </cell>
          <cell r="AY3777" t="str">
            <v/>
          </cell>
          <cell r="AZ3777" t="str">
            <v/>
          </cell>
          <cell r="BA3777" t="str">
            <v/>
          </cell>
        </row>
        <row r="3778">
          <cell r="B3778" t="str">
            <v>-</v>
          </cell>
          <cell r="E3778" t="str">
            <v/>
          </cell>
          <cell r="G3778" t="str">
            <v/>
          </cell>
          <cell r="J3778" t="str">
            <v/>
          </cell>
          <cell r="O3778" t="str">
            <v/>
          </cell>
          <cell r="P3778" t="str">
            <v/>
          </cell>
          <cell r="Q3778" t="str">
            <v/>
          </cell>
          <cell r="S3778" t="str">
            <v/>
          </cell>
          <cell r="V3778" t="str">
            <v/>
          </cell>
          <cell r="Z3778" t="str">
            <v/>
          </cell>
          <cell r="AA3778" t="str">
            <v/>
          </cell>
          <cell r="AB3778" t="str">
            <v/>
          </cell>
          <cell r="AC3778" t="str">
            <v/>
          </cell>
          <cell r="AD3778" t="str">
            <v/>
          </cell>
          <cell r="AY3778" t="str">
            <v/>
          </cell>
          <cell r="AZ3778" t="str">
            <v/>
          </cell>
          <cell r="BA3778" t="str">
            <v/>
          </cell>
        </row>
        <row r="3779">
          <cell r="B3779" t="str">
            <v>-</v>
          </cell>
          <cell r="E3779" t="str">
            <v/>
          </cell>
          <cell r="G3779" t="str">
            <v/>
          </cell>
          <cell r="J3779" t="str">
            <v/>
          </cell>
          <cell r="O3779" t="str">
            <v/>
          </cell>
          <cell r="P3779" t="str">
            <v/>
          </cell>
          <cell r="Q3779" t="str">
            <v/>
          </cell>
          <cell r="S3779" t="str">
            <v/>
          </cell>
          <cell r="V3779" t="str">
            <v/>
          </cell>
          <cell r="Z3779" t="str">
            <v/>
          </cell>
          <cell r="AA3779" t="str">
            <v/>
          </cell>
          <cell r="AB3779" t="str">
            <v/>
          </cell>
          <cell r="AC3779" t="str">
            <v/>
          </cell>
          <cell r="AD3779" t="str">
            <v/>
          </cell>
          <cell r="AY3779" t="str">
            <v/>
          </cell>
          <cell r="AZ3779" t="str">
            <v/>
          </cell>
          <cell r="BA3779" t="str">
            <v/>
          </cell>
        </row>
        <row r="3780">
          <cell r="B3780" t="str">
            <v>-</v>
          </cell>
          <cell r="E3780" t="str">
            <v/>
          </cell>
          <cell r="G3780" t="str">
            <v/>
          </cell>
          <cell r="J3780" t="str">
            <v/>
          </cell>
          <cell r="O3780" t="str">
            <v/>
          </cell>
          <cell r="P3780" t="str">
            <v/>
          </cell>
          <cell r="Q3780" t="str">
            <v/>
          </cell>
          <cell r="S3780" t="str">
            <v/>
          </cell>
          <cell r="V3780" t="str">
            <v/>
          </cell>
          <cell r="Z3780" t="str">
            <v/>
          </cell>
          <cell r="AA3780" t="str">
            <v/>
          </cell>
          <cell r="AB3780" t="str">
            <v/>
          </cell>
          <cell r="AC3780" t="str">
            <v/>
          </cell>
          <cell r="AD3780" t="str">
            <v/>
          </cell>
          <cell r="AY3780" t="str">
            <v/>
          </cell>
          <cell r="AZ3780" t="str">
            <v/>
          </cell>
          <cell r="BA3780" t="str">
            <v/>
          </cell>
        </row>
        <row r="3781">
          <cell r="B3781" t="str">
            <v>-</v>
          </cell>
          <cell r="E3781" t="str">
            <v/>
          </cell>
          <cell r="G3781" t="str">
            <v/>
          </cell>
          <cell r="J3781" t="str">
            <v/>
          </cell>
          <cell r="O3781" t="str">
            <v/>
          </cell>
          <cell r="P3781" t="str">
            <v/>
          </cell>
          <cell r="Q3781" t="str">
            <v/>
          </cell>
          <cell r="S3781" t="str">
            <v/>
          </cell>
          <cell r="V3781" t="str">
            <v/>
          </cell>
          <cell r="Z3781" t="str">
            <v/>
          </cell>
          <cell r="AA3781" t="str">
            <v/>
          </cell>
          <cell r="AB3781" t="str">
            <v/>
          </cell>
          <cell r="AC3781" t="str">
            <v/>
          </cell>
          <cell r="AD3781" t="str">
            <v/>
          </cell>
          <cell r="AY3781" t="str">
            <v/>
          </cell>
          <cell r="AZ3781" t="str">
            <v/>
          </cell>
          <cell r="BA3781" t="str">
            <v/>
          </cell>
        </row>
        <row r="3782">
          <cell r="B3782" t="str">
            <v>-</v>
          </cell>
          <cell r="E3782" t="str">
            <v/>
          </cell>
          <cell r="G3782" t="str">
            <v/>
          </cell>
          <cell r="J3782" t="str">
            <v/>
          </cell>
          <cell r="O3782" t="str">
            <v/>
          </cell>
          <cell r="P3782" t="str">
            <v/>
          </cell>
          <cell r="Q3782" t="str">
            <v/>
          </cell>
          <cell r="S3782" t="str">
            <v/>
          </cell>
          <cell r="V3782" t="str">
            <v/>
          </cell>
          <cell r="Z3782" t="str">
            <v/>
          </cell>
          <cell r="AA3782" t="str">
            <v/>
          </cell>
          <cell r="AB3782" t="str">
            <v/>
          </cell>
          <cell r="AC3782" t="str">
            <v/>
          </cell>
          <cell r="AD3782" t="str">
            <v/>
          </cell>
          <cell r="AY3782" t="str">
            <v/>
          </cell>
          <cell r="AZ3782" t="str">
            <v/>
          </cell>
          <cell r="BA3782" t="str">
            <v/>
          </cell>
        </row>
        <row r="3783">
          <cell r="B3783" t="str">
            <v>-</v>
          </cell>
          <cell r="E3783" t="str">
            <v/>
          </cell>
          <cell r="G3783" t="str">
            <v/>
          </cell>
          <cell r="J3783" t="str">
            <v/>
          </cell>
          <cell r="O3783" t="str">
            <v/>
          </cell>
          <cell r="P3783" t="str">
            <v/>
          </cell>
          <cell r="Q3783" t="str">
            <v/>
          </cell>
          <cell r="S3783" t="str">
            <v/>
          </cell>
          <cell r="V3783" t="str">
            <v/>
          </cell>
          <cell r="Z3783" t="str">
            <v/>
          </cell>
          <cell r="AA3783" t="str">
            <v/>
          </cell>
          <cell r="AB3783" t="str">
            <v/>
          </cell>
          <cell r="AC3783" t="str">
            <v/>
          </cell>
          <cell r="AD3783" t="str">
            <v/>
          </cell>
          <cell r="AY3783" t="str">
            <v/>
          </cell>
          <cell r="AZ3783" t="str">
            <v/>
          </cell>
          <cell r="BA3783" t="str">
            <v/>
          </cell>
        </row>
        <row r="3784">
          <cell r="B3784" t="str">
            <v>-</v>
          </cell>
          <cell r="E3784" t="str">
            <v/>
          </cell>
          <cell r="G3784" t="str">
            <v/>
          </cell>
          <cell r="J3784" t="str">
            <v/>
          </cell>
          <cell r="O3784" t="str">
            <v/>
          </cell>
          <cell r="P3784" t="str">
            <v/>
          </cell>
          <cell r="Q3784" t="str">
            <v/>
          </cell>
          <cell r="S3784" t="str">
            <v/>
          </cell>
          <cell r="V3784" t="str">
            <v/>
          </cell>
          <cell r="Z3784" t="str">
            <v/>
          </cell>
          <cell r="AA3784" t="str">
            <v/>
          </cell>
          <cell r="AB3784" t="str">
            <v/>
          </cell>
          <cell r="AC3784" t="str">
            <v/>
          </cell>
          <cell r="AD3784" t="str">
            <v/>
          </cell>
          <cell r="AY3784" t="str">
            <v/>
          </cell>
          <cell r="AZ3784" t="str">
            <v/>
          </cell>
          <cell r="BA3784" t="str">
            <v/>
          </cell>
        </row>
        <row r="3785">
          <cell r="B3785" t="str">
            <v>-</v>
          </cell>
          <cell r="E3785" t="str">
            <v/>
          </cell>
          <cell r="G3785" t="str">
            <v/>
          </cell>
          <cell r="J3785" t="str">
            <v/>
          </cell>
          <cell r="O3785" t="str">
            <v/>
          </cell>
          <cell r="P3785" t="str">
            <v/>
          </cell>
          <cell r="Q3785" t="str">
            <v/>
          </cell>
          <cell r="S3785" t="str">
            <v/>
          </cell>
          <cell r="V3785" t="str">
            <v/>
          </cell>
          <cell r="Z3785" t="str">
            <v/>
          </cell>
          <cell r="AA3785" t="str">
            <v/>
          </cell>
          <cell r="AB3785" t="str">
            <v/>
          </cell>
          <cell r="AC3785" t="str">
            <v/>
          </cell>
          <cell r="AD3785" t="str">
            <v/>
          </cell>
          <cell r="AY3785" t="str">
            <v/>
          </cell>
          <cell r="AZ3785" t="str">
            <v/>
          </cell>
          <cell r="BA3785" t="str">
            <v/>
          </cell>
        </row>
        <row r="3786">
          <cell r="B3786" t="str">
            <v>-</v>
          </cell>
          <cell r="E3786" t="str">
            <v/>
          </cell>
          <cell r="G3786" t="str">
            <v/>
          </cell>
          <cell r="J3786" t="str">
            <v/>
          </cell>
          <cell r="O3786" t="str">
            <v/>
          </cell>
          <cell r="P3786" t="str">
            <v/>
          </cell>
          <cell r="Q3786" t="str">
            <v/>
          </cell>
          <cell r="S3786" t="str">
            <v/>
          </cell>
          <cell r="V3786" t="str">
            <v/>
          </cell>
          <cell r="Z3786" t="str">
            <v/>
          </cell>
          <cell r="AA3786" t="str">
            <v/>
          </cell>
          <cell r="AB3786" t="str">
            <v/>
          </cell>
          <cell r="AC3786" t="str">
            <v/>
          </cell>
          <cell r="AD3786" t="str">
            <v/>
          </cell>
          <cell r="AY3786" t="str">
            <v/>
          </cell>
          <cell r="AZ3786" t="str">
            <v/>
          </cell>
          <cell r="BA3786" t="str">
            <v/>
          </cell>
        </row>
        <row r="3787">
          <cell r="B3787" t="str">
            <v>-</v>
          </cell>
          <cell r="E3787" t="str">
            <v/>
          </cell>
          <cell r="G3787" t="str">
            <v/>
          </cell>
          <cell r="J3787" t="str">
            <v/>
          </cell>
          <cell r="O3787" t="str">
            <v/>
          </cell>
          <cell r="P3787" t="str">
            <v/>
          </cell>
          <cell r="Q3787" t="str">
            <v/>
          </cell>
          <cell r="S3787" t="str">
            <v/>
          </cell>
          <cell r="V3787" t="str">
            <v/>
          </cell>
          <cell r="Z3787" t="str">
            <v/>
          </cell>
          <cell r="AA3787" t="str">
            <v/>
          </cell>
          <cell r="AB3787" t="str">
            <v/>
          </cell>
          <cell r="AC3787" t="str">
            <v/>
          </cell>
          <cell r="AD3787" t="str">
            <v/>
          </cell>
          <cell r="AY3787" t="str">
            <v/>
          </cell>
          <cell r="AZ3787" t="str">
            <v/>
          </cell>
          <cell r="BA3787" t="str">
            <v/>
          </cell>
        </row>
        <row r="3788">
          <cell r="B3788" t="str">
            <v>-</v>
          </cell>
          <cell r="E3788" t="str">
            <v/>
          </cell>
          <cell r="G3788" t="str">
            <v/>
          </cell>
          <cell r="J3788" t="str">
            <v/>
          </cell>
          <cell r="O3788" t="str">
            <v/>
          </cell>
          <cell r="P3788" t="str">
            <v/>
          </cell>
          <cell r="Q3788" t="str">
            <v/>
          </cell>
          <cell r="S3788" t="str">
            <v/>
          </cell>
          <cell r="V3788" t="str">
            <v/>
          </cell>
          <cell r="Z3788" t="str">
            <v/>
          </cell>
          <cell r="AA3788" t="str">
            <v/>
          </cell>
          <cell r="AB3788" t="str">
            <v/>
          </cell>
          <cell r="AC3788" t="str">
            <v/>
          </cell>
          <cell r="AD3788" t="str">
            <v/>
          </cell>
          <cell r="AY3788" t="str">
            <v/>
          </cell>
          <cell r="AZ3788" t="str">
            <v/>
          </cell>
          <cell r="BA3788" t="str">
            <v/>
          </cell>
        </row>
        <row r="3789">
          <cell r="B3789" t="str">
            <v>-</v>
          </cell>
          <cell r="E3789" t="str">
            <v/>
          </cell>
          <cell r="G3789" t="str">
            <v/>
          </cell>
          <cell r="J3789" t="str">
            <v/>
          </cell>
          <cell r="O3789" t="str">
            <v/>
          </cell>
          <cell r="P3789" t="str">
            <v/>
          </cell>
          <cell r="Q3789" t="str">
            <v/>
          </cell>
          <cell r="S3789" t="str">
            <v/>
          </cell>
          <cell r="V3789" t="str">
            <v/>
          </cell>
          <cell r="Z3789" t="str">
            <v/>
          </cell>
          <cell r="AA3789" t="str">
            <v/>
          </cell>
          <cell r="AB3789" t="str">
            <v/>
          </cell>
          <cell r="AC3789" t="str">
            <v/>
          </cell>
          <cell r="AD3789" t="str">
            <v/>
          </cell>
          <cell r="AY3789" t="str">
            <v/>
          </cell>
          <cell r="AZ3789" t="str">
            <v/>
          </cell>
          <cell r="BA3789" t="str">
            <v/>
          </cell>
        </row>
        <row r="3790">
          <cell r="B3790" t="str">
            <v>-</v>
          </cell>
          <cell r="E3790" t="str">
            <v/>
          </cell>
          <cell r="G3790" t="str">
            <v/>
          </cell>
          <cell r="J3790" t="str">
            <v/>
          </cell>
          <cell r="O3790" t="str">
            <v/>
          </cell>
          <cell r="P3790" t="str">
            <v/>
          </cell>
          <cell r="Q3790" t="str">
            <v/>
          </cell>
          <cell r="S3790" t="str">
            <v/>
          </cell>
          <cell r="V3790" t="str">
            <v/>
          </cell>
          <cell r="Z3790" t="str">
            <v/>
          </cell>
          <cell r="AA3790" t="str">
            <v/>
          </cell>
          <cell r="AB3790" t="str">
            <v/>
          </cell>
          <cell r="AC3790" t="str">
            <v/>
          </cell>
          <cell r="AD3790" t="str">
            <v/>
          </cell>
          <cell r="AY3790" t="str">
            <v/>
          </cell>
          <cell r="AZ3790" t="str">
            <v/>
          </cell>
          <cell r="BA3790" t="str">
            <v/>
          </cell>
        </row>
        <row r="3791">
          <cell r="B3791" t="str">
            <v>-</v>
          </cell>
          <cell r="E3791" t="str">
            <v/>
          </cell>
          <cell r="G3791" t="str">
            <v/>
          </cell>
          <cell r="J3791" t="str">
            <v/>
          </cell>
          <cell r="O3791" t="str">
            <v/>
          </cell>
          <cell r="P3791" t="str">
            <v/>
          </cell>
          <cell r="Q3791" t="str">
            <v/>
          </cell>
          <cell r="S3791" t="str">
            <v/>
          </cell>
          <cell r="V3791" t="str">
            <v/>
          </cell>
          <cell r="Z3791" t="str">
            <v/>
          </cell>
          <cell r="AA3791" t="str">
            <v/>
          </cell>
          <cell r="AB3791" t="str">
            <v/>
          </cell>
          <cell r="AC3791" t="str">
            <v/>
          </cell>
          <cell r="AD3791" t="str">
            <v/>
          </cell>
          <cell r="AY3791" t="str">
            <v/>
          </cell>
          <cell r="AZ3791" t="str">
            <v/>
          </cell>
          <cell r="BA3791" t="str">
            <v/>
          </cell>
        </row>
        <row r="3792">
          <cell r="B3792" t="str">
            <v>-</v>
          </cell>
          <cell r="E3792" t="str">
            <v/>
          </cell>
          <cell r="G3792" t="str">
            <v/>
          </cell>
          <cell r="J3792" t="str">
            <v/>
          </cell>
          <cell r="O3792" t="str">
            <v/>
          </cell>
          <cell r="P3792" t="str">
            <v/>
          </cell>
          <cell r="Q3792" t="str">
            <v/>
          </cell>
          <cell r="S3792" t="str">
            <v/>
          </cell>
          <cell r="V3792" t="str">
            <v/>
          </cell>
          <cell r="Z3792" t="str">
            <v/>
          </cell>
          <cell r="AA3792" t="str">
            <v/>
          </cell>
          <cell r="AB3792" t="str">
            <v/>
          </cell>
          <cell r="AC3792" t="str">
            <v/>
          </cell>
          <cell r="AD3792" t="str">
            <v/>
          </cell>
          <cell r="AY3792" t="str">
            <v/>
          </cell>
          <cell r="AZ3792" t="str">
            <v/>
          </cell>
          <cell r="BA3792" t="str">
            <v/>
          </cell>
        </row>
        <row r="3793">
          <cell r="B3793" t="str">
            <v>-</v>
          </cell>
          <cell r="E3793" t="str">
            <v/>
          </cell>
          <cell r="G3793" t="str">
            <v/>
          </cell>
          <cell r="J3793" t="str">
            <v/>
          </cell>
          <cell r="O3793" t="str">
            <v/>
          </cell>
          <cell r="P3793" t="str">
            <v/>
          </cell>
          <cell r="Q3793" t="str">
            <v/>
          </cell>
          <cell r="S3793" t="str">
            <v/>
          </cell>
          <cell r="V3793" t="str">
            <v/>
          </cell>
          <cell r="Z3793" t="str">
            <v/>
          </cell>
          <cell r="AA3793" t="str">
            <v/>
          </cell>
          <cell r="AB3793" t="str">
            <v/>
          </cell>
          <cell r="AC3793" t="str">
            <v/>
          </cell>
          <cell r="AD3793" t="str">
            <v/>
          </cell>
          <cell r="AY3793" t="str">
            <v/>
          </cell>
          <cell r="AZ3793" t="str">
            <v/>
          </cell>
          <cell r="BA3793" t="str">
            <v/>
          </cell>
        </row>
        <row r="3794">
          <cell r="B3794" t="str">
            <v>-</v>
          </cell>
          <cell r="E3794" t="str">
            <v/>
          </cell>
          <cell r="G3794" t="str">
            <v/>
          </cell>
          <cell r="J3794" t="str">
            <v/>
          </cell>
          <cell r="O3794" t="str">
            <v/>
          </cell>
          <cell r="P3794" t="str">
            <v/>
          </cell>
          <cell r="Q3794" t="str">
            <v/>
          </cell>
          <cell r="S3794" t="str">
            <v/>
          </cell>
          <cell r="V3794" t="str">
            <v/>
          </cell>
          <cell r="Z3794" t="str">
            <v/>
          </cell>
          <cell r="AA3794" t="str">
            <v/>
          </cell>
          <cell r="AB3794" t="str">
            <v/>
          </cell>
          <cell r="AC3794" t="str">
            <v/>
          </cell>
          <cell r="AD3794" t="str">
            <v/>
          </cell>
          <cell r="AY3794" t="str">
            <v/>
          </cell>
          <cell r="AZ3794" t="str">
            <v/>
          </cell>
          <cell r="BA3794" t="str">
            <v/>
          </cell>
        </row>
        <row r="3795">
          <cell r="B3795" t="str">
            <v>-</v>
          </cell>
          <cell r="E3795" t="str">
            <v/>
          </cell>
          <cell r="G3795" t="str">
            <v/>
          </cell>
          <cell r="J3795" t="str">
            <v/>
          </cell>
          <cell r="O3795" t="str">
            <v/>
          </cell>
          <cell r="P3795" t="str">
            <v/>
          </cell>
          <cell r="Q3795" t="str">
            <v/>
          </cell>
          <cell r="S3795" t="str">
            <v/>
          </cell>
          <cell r="V3795" t="str">
            <v/>
          </cell>
          <cell r="Z3795" t="str">
            <v/>
          </cell>
          <cell r="AA3795" t="str">
            <v/>
          </cell>
          <cell r="AB3795" t="str">
            <v/>
          </cell>
          <cell r="AC3795" t="str">
            <v/>
          </cell>
          <cell r="AD3795" t="str">
            <v/>
          </cell>
          <cell r="AY3795" t="str">
            <v/>
          </cell>
          <cell r="AZ3795" t="str">
            <v/>
          </cell>
          <cell r="BA3795" t="str">
            <v/>
          </cell>
        </row>
        <row r="3796">
          <cell r="B3796" t="str">
            <v>-</v>
          </cell>
          <cell r="E3796" t="str">
            <v/>
          </cell>
          <cell r="G3796" t="str">
            <v/>
          </cell>
          <cell r="J3796" t="str">
            <v/>
          </cell>
          <cell r="O3796" t="str">
            <v/>
          </cell>
          <cell r="P3796" t="str">
            <v/>
          </cell>
          <cell r="Q3796" t="str">
            <v/>
          </cell>
          <cell r="S3796" t="str">
            <v/>
          </cell>
          <cell r="V3796" t="str">
            <v/>
          </cell>
          <cell r="Z3796" t="str">
            <v/>
          </cell>
          <cell r="AA3796" t="str">
            <v/>
          </cell>
          <cell r="AB3796" t="str">
            <v/>
          </cell>
          <cell r="AC3796" t="str">
            <v/>
          </cell>
          <cell r="AD3796" t="str">
            <v/>
          </cell>
          <cell r="AY3796" t="str">
            <v/>
          </cell>
          <cell r="AZ3796" t="str">
            <v/>
          </cell>
          <cell r="BA3796" t="str">
            <v/>
          </cell>
        </row>
        <row r="3797">
          <cell r="B3797" t="str">
            <v>-</v>
          </cell>
          <cell r="E3797" t="str">
            <v/>
          </cell>
          <cell r="G3797" t="str">
            <v/>
          </cell>
          <cell r="J3797" t="str">
            <v/>
          </cell>
          <cell r="O3797" t="str">
            <v/>
          </cell>
          <cell r="P3797" t="str">
            <v/>
          </cell>
          <cell r="Q3797" t="str">
            <v/>
          </cell>
          <cell r="S3797" t="str">
            <v/>
          </cell>
          <cell r="V3797" t="str">
            <v/>
          </cell>
          <cell r="Z3797" t="str">
            <v/>
          </cell>
          <cell r="AA3797" t="str">
            <v/>
          </cell>
          <cell r="AB3797" t="str">
            <v/>
          </cell>
          <cell r="AC3797" t="str">
            <v/>
          </cell>
          <cell r="AD3797" t="str">
            <v/>
          </cell>
          <cell r="AY3797" t="str">
            <v/>
          </cell>
          <cell r="AZ3797" t="str">
            <v/>
          </cell>
          <cell r="BA3797" t="str">
            <v/>
          </cell>
        </row>
        <row r="3798">
          <cell r="B3798" t="str">
            <v>-</v>
          </cell>
          <cell r="E3798" t="str">
            <v/>
          </cell>
          <cell r="G3798" t="str">
            <v/>
          </cell>
          <cell r="J3798" t="str">
            <v/>
          </cell>
          <cell r="O3798" t="str">
            <v/>
          </cell>
          <cell r="P3798" t="str">
            <v/>
          </cell>
          <cell r="Q3798" t="str">
            <v/>
          </cell>
          <cell r="S3798" t="str">
            <v/>
          </cell>
          <cell r="V3798" t="str">
            <v/>
          </cell>
          <cell r="Z3798" t="str">
            <v/>
          </cell>
          <cell r="AA3798" t="str">
            <v/>
          </cell>
          <cell r="AB3798" t="str">
            <v/>
          </cell>
          <cell r="AC3798" t="str">
            <v/>
          </cell>
          <cell r="AD3798" t="str">
            <v/>
          </cell>
          <cell r="AY3798" t="str">
            <v/>
          </cell>
          <cell r="AZ3798" t="str">
            <v/>
          </cell>
          <cell r="BA3798" t="str">
            <v/>
          </cell>
        </row>
        <row r="3799">
          <cell r="B3799" t="str">
            <v>-</v>
          </cell>
          <cell r="E3799" t="str">
            <v/>
          </cell>
          <cell r="G3799" t="str">
            <v/>
          </cell>
          <cell r="J3799" t="str">
            <v/>
          </cell>
          <cell r="O3799" t="str">
            <v/>
          </cell>
          <cell r="P3799" t="str">
            <v/>
          </cell>
          <cell r="Q3799" t="str">
            <v/>
          </cell>
          <cell r="S3799" t="str">
            <v/>
          </cell>
          <cell r="V3799" t="str">
            <v/>
          </cell>
          <cell r="Z3799" t="str">
            <v/>
          </cell>
          <cell r="AA3799" t="str">
            <v/>
          </cell>
          <cell r="AB3799" t="str">
            <v/>
          </cell>
          <cell r="AC3799" t="str">
            <v/>
          </cell>
          <cell r="AD3799" t="str">
            <v/>
          </cell>
          <cell r="AY3799" t="str">
            <v/>
          </cell>
          <cell r="AZ3799" t="str">
            <v/>
          </cell>
          <cell r="BA3799" t="str">
            <v/>
          </cell>
        </row>
        <row r="3800">
          <cell r="B3800" t="str">
            <v>-</v>
          </cell>
          <cell r="E3800" t="str">
            <v/>
          </cell>
          <cell r="G3800" t="str">
            <v/>
          </cell>
          <cell r="J3800" t="str">
            <v/>
          </cell>
          <cell r="O3800" t="str">
            <v/>
          </cell>
          <cell r="P3800" t="str">
            <v/>
          </cell>
          <cell r="Q3800" t="str">
            <v/>
          </cell>
          <cell r="S3800" t="str">
            <v/>
          </cell>
          <cell r="V3800" t="str">
            <v/>
          </cell>
          <cell r="Z3800" t="str">
            <v/>
          </cell>
          <cell r="AA3800" t="str">
            <v/>
          </cell>
          <cell r="AB3800" t="str">
            <v/>
          </cell>
          <cell r="AC3800" t="str">
            <v/>
          </cell>
          <cell r="AD3800" t="str">
            <v/>
          </cell>
          <cell r="AY3800" t="str">
            <v/>
          </cell>
          <cell r="AZ3800" t="str">
            <v/>
          </cell>
          <cell r="BA3800" t="str">
            <v/>
          </cell>
        </row>
        <row r="3801">
          <cell r="B3801" t="str">
            <v>-</v>
          </cell>
          <cell r="E3801" t="str">
            <v/>
          </cell>
          <cell r="G3801" t="str">
            <v/>
          </cell>
          <cell r="J3801" t="str">
            <v/>
          </cell>
          <cell r="O3801" t="str">
            <v/>
          </cell>
          <cell r="P3801" t="str">
            <v/>
          </cell>
          <cell r="Q3801" t="str">
            <v/>
          </cell>
          <cell r="S3801" t="str">
            <v/>
          </cell>
          <cell r="V3801" t="str">
            <v/>
          </cell>
          <cell r="Z3801" t="str">
            <v/>
          </cell>
          <cell r="AA3801" t="str">
            <v/>
          </cell>
          <cell r="AB3801" t="str">
            <v/>
          </cell>
          <cell r="AC3801" t="str">
            <v/>
          </cell>
          <cell r="AD3801" t="str">
            <v/>
          </cell>
          <cell r="AY3801" t="str">
            <v/>
          </cell>
          <cell r="AZ3801" t="str">
            <v/>
          </cell>
          <cell r="BA3801" t="str">
            <v/>
          </cell>
        </row>
        <row r="3802">
          <cell r="B3802" t="str">
            <v>-</v>
          </cell>
          <cell r="E3802" t="str">
            <v/>
          </cell>
          <cell r="G3802" t="str">
            <v/>
          </cell>
          <cell r="J3802" t="str">
            <v/>
          </cell>
          <cell r="O3802" t="str">
            <v/>
          </cell>
          <cell r="P3802" t="str">
            <v/>
          </cell>
          <cell r="Q3802" t="str">
            <v/>
          </cell>
          <cell r="S3802" t="str">
            <v/>
          </cell>
          <cell r="V3802" t="str">
            <v/>
          </cell>
          <cell r="Z3802" t="str">
            <v/>
          </cell>
          <cell r="AA3802" t="str">
            <v/>
          </cell>
          <cell r="AB3802" t="str">
            <v/>
          </cell>
          <cell r="AC3802" t="str">
            <v/>
          </cell>
          <cell r="AD3802" t="str">
            <v/>
          </cell>
          <cell r="AY3802" t="str">
            <v/>
          </cell>
          <cell r="AZ3802" t="str">
            <v/>
          </cell>
          <cell r="BA3802" t="str">
            <v/>
          </cell>
        </row>
        <row r="3803">
          <cell r="B3803" t="str">
            <v>-</v>
          </cell>
          <cell r="E3803" t="str">
            <v/>
          </cell>
          <cell r="G3803" t="str">
            <v/>
          </cell>
          <cell r="J3803" t="str">
            <v/>
          </cell>
          <cell r="O3803" t="str">
            <v/>
          </cell>
          <cell r="P3803" t="str">
            <v/>
          </cell>
          <cell r="Q3803" t="str">
            <v/>
          </cell>
          <cell r="S3803" t="str">
            <v/>
          </cell>
          <cell r="V3803" t="str">
            <v/>
          </cell>
          <cell r="Z3803" t="str">
            <v/>
          </cell>
          <cell r="AA3803" t="str">
            <v/>
          </cell>
          <cell r="AB3803" t="str">
            <v/>
          </cell>
          <cell r="AC3803" t="str">
            <v/>
          </cell>
          <cell r="AD3803" t="str">
            <v/>
          </cell>
          <cell r="AY3803" t="str">
            <v/>
          </cell>
          <cell r="AZ3803" t="str">
            <v/>
          </cell>
          <cell r="BA3803" t="str">
            <v/>
          </cell>
        </row>
        <row r="3804">
          <cell r="B3804" t="str">
            <v>-</v>
          </cell>
          <cell r="E3804" t="str">
            <v/>
          </cell>
          <cell r="G3804" t="str">
            <v/>
          </cell>
          <cell r="J3804" t="str">
            <v/>
          </cell>
          <cell r="O3804" t="str">
            <v/>
          </cell>
          <cell r="P3804" t="str">
            <v/>
          </cell>
          <cell r="Q3804" t="str">
            <v/>
          </cell>
          <cell r="S3804" t="str">
            <v/>
          </cell>
          <cell r="V3804" t="str">
            <v/>
          </cell>
          <cell r="Z3804" t="str">
            <v/>
          </cell>
          <cell r="AA3804" t="str">
            <v/>
          </cell>
          <cell r="AB3804" t="str">
            <v/>
          </cell>
          <cell r="AC3804" t="str">
            <v/>
          </cell>
          <cell r="AD3804" t="str">
            <v/>
          </cell>
          <cell r="AY3804" t="str">
            <v/>
          </cell>
          <cell r="AZ3804" t="str">
            <v/>
          </cell>
          <cell r="BA3804" t="str">
            <v/>
          </cell>
        </row>
        <row r="3805">
          <cell r="B3805" t="str">
            <v>-</v>
          </cell>
          <cell r="E3805" t="str">
            <v/>
          </cell>
          <cell r="G3805" t="str">
            <v/>
          </cell>
          <cell r="J3805" t="str">
            <v/>
          </cell>
          <cell r="O3805" t="str">
            <v/>
          </cell>
          <cell r="P3805" t="str">
            <v/>
          </cell>
          <cell r="Q3805" t="str">
            <v/>
          </cell>
          <cell r="S3805" t="str">
            <v/>
          </cell>
          <cell r="V3805" t="str">
            <v/>
          </cell>
          <cell r="Z3805" t="str">
            <v/>
          </cell>
          <cell r="AA3805" t="str">
            <v/>
          </cell>
          <cell r="AB3805" t="str">
            <v/>
          </cell>
          <cell r="AC3805" t="str">
            <v/>
          </cell>
          <cell r="AD3805" t="str">
            <v/>
          </cell>
          <cell r="AY3805" t="str">
            <v/>
          </cell>
          <cell r="AZ3805" t="str">
            <v/>
          </cell>
          <cell r="BA3805" t="str">
            <v/>
          </cell>
        </row>
        <row r="3806">
          <cell r="B3806" t="str">
            <v>-</v>
          </cell>
          <cell r="E3806" t="str">
            <v/>
          </cell>
          <cell r="G3806" t="str">
            <v/>
          </cell>
          <cell r="J3806" t="str">
            <v/>
          </cell>
          <cell r="O3806" t="str">
            <v/>
          </cell>
          <cell r="P3806" t="str">
            <v/>
          </cell>
          <cell r="Q3806" t="str">
            <v/>
          </cell>
          <cell r="S3806" t="str">
            <v/>
          </cell>
          <cell r="V3806" t="str">
            <v/>
          </cell>
          <cell r="Z3806" t="str">
            <v/>
          </cell>
          <cell r="AA3806" t="str">
            <v/>
          </cell>
          <cell r="AB3806" t="str">
            <v/>
          </cell>
          <cell r="AC3806" t="str">
            <v/>
          </cell>
          <cell r="AD3806" t="str">
            <v/>
          </cell>
          <cell r="AY3806" t="str">
            <v/>
          </cell>
          <cell r="AZ3806" t="str">
            <v/>
          </cell>
          <cell r="BA3806" t="str">
            <v/>
          </cell>
        </row>
        <row r="3807">
          <cell r="B3807" t="str">
            <v>-</v>
          </cell>
          <cell r="E3807" t="str">
            <v/>
          </cell>
          <cell r="G3807" t="str">
            <v/>
          </cell>
          <cell r="J3807" t="str">
            <v/>
          </cell>
          <cell r="O3807" t="str">
            <v/>
          </cell>
          <cell r="P3807" t="str">
            <v/>
          </cell>
          <cell r="Q3807" t="str">
            <v/>
          </cell>
          <cell r="S3807" t="str">
            <v/>
          </cell>
          <cell r="V3807" t="str">
            <v/>
          </cell>
          <cell r="Z3807" t="str">
            <v/>
          </cell>
          <cell r="AA3807" t="str">
            <v/>
          </cell>
          <cell r="AB3807" t="str">
            <v/>
          </cell>
          <cell r="AC3807" t="str">
            <v/>
          </cell>
          <cell r="AD3807" t="str">
            <v/>
          </cell>
          <cell r="AY3807" t="str">
            <v/>
          </cell>
          <cell r="AZ3807" t="str">
            <v/>
          </cell>
          <cell r="BA3807" t="str">
            <v/>
          </cell>
        </row>
        <row r="3808">
          <cell r="B3808" t="str">
            <v>-</v>
          </cell>
          <cell r="E3808" t="str">
            <v/>
          </cell>
          <cell r="G3808" t="str">
            <v/>
          </cell>
          <cell r="J3808" t="str">
            <v/>
          </cell>
          <cell r="O3808" t="str">
            <v/>
          </cell>
          <cell r="P3808" t="str">
            <v/>
          </cell>
          <cell r="Q3808" t="str">
            <v/>
          </cell>
          <cell r="S3808" t="str">
            <v/>
          </cell>
          <cell r="V3808" t="str">
            <v/>
          </cell>
          <cell r="Z3808" t="str">
            <v/>
          </cell>
          <cell r="AA3808" t="str">
            <v/>
          </cell>
          <cell r="AB3808" t="str">
            <v/>
          </cell>
          <cell r="AC3808" t="str">
            <v/>
          </cell>
          <cell r="AD3808" t="str">
            <v/>
          </cell>
          <cell r="AY3808" t="str">
            <v/>
          </cell>
          <cell r="AZ3808" t="str">
            <v/>
          </cell>
          <cell r="BA3808" t="str">
            <v/>
          </cell>
        </row>
        <row r="3809">
          <cell r="B3809" t="str">
            <v>-</v>
          </cell>
          <cell r="E3809" t="str">
            <v/>
          </cell>
          <cell r="G3809" t="str">
            <v/>
          </cell>
          <cell r="J3809" t="str">
            <v/>
          </cell>
          <cell r="O3809" t="str">
            <v/>
          </cell>
          <cell r="P3809" t="str">
            <v/>
          </cell>
          <cell r="Q3809" t="str">
            <v/>
          </cell>
          <cell r="S3809" t="str">
            <v/>
          </cell>
          <cell r="V3809" t="str">
            <v/>
          </cell>
          <cell r="Z3809" t="str">
            <v/>
          </cell>
          <cell r="AA3809" t="str">
            <v/>
          </cell>
          <cell r="AB3809" t="str">
            <v/>
          </cell>
          <cell r="AC3809" t="str">
            <v/>
          </cell>
          <cell r="AD3809" t="str">
            <v/>
          </cell>
          <cell r="AY3809" t="str">
            <v/>
          </cell>
          <cell r="AZ3809" t="str">
            <v/>
          </cell>
          <cell r="BA3809" t="str">
            <v/>
          </cell>
        </row>
        <row r="3810">
          <cell r="B3810" t="str">
            <v>-</v>
          </cell>
          <cell r="E3810" t="str">
            <v/>
          </cell>
          <cell r="G3810" t="str">
            <v/>
          </cell>
          <cell r="J3810" t="str">
            <v/>
          </cell>
          <cell r="O3810" t="str">
            <v/>
          </cell>
          <cell r="P3810" t="str">
            <v/>
          </cell>
          <cell r="Q3810" t="str">
            <v/>
          </cell>
          <cell r="S3810" t="str">
            <v/>
          </cell>
          <cell r="V3810" t="str">
            <v/>
          </cell>
          <cell r="Z3810" t="str">
            <v/>
          </cell>
          <cell r="AA3810" t="str">
            <v/>
          </cell>
          <cell r="AB3810" t="str">
            <v/>
          </cell>
          <cell r="AC3810" t="str">
            <v/>
          </cell>
          <cell r="AD3810" t="str">
            <v/>
          </cell>
          <cell r="AY3810" t="str">
            <v/>
          </cell>
          <cell r="AZ3810" t="str">
            <v/>
          </cell>
          <cell r="BA3810" t="str">
            <v/>
          </cell>
        </row>
        <row r="3811">
          <cell r="B3811" t="str">
            <v>-</v>
          </cell>
          <cell r="E3811" t="str">
            <v/>
          </cell>
          <cell r="G3811" t="str">
            <v/>
          </cell>
          <cell r="J3811" t="str">
            <v/>
          </cell>
          <cell r="O3811" t="str">
            <v/>
          </cell>
          <cell r="P3811" t="str">
            <v/>
          </cell>
          <cell r="Q3811" t="str">
            <v/>
          </cell>
          <cell r="S3811" t="str">
            <v/>
          </cell>
          <cell r="V3811" t="str">
            <v/>
          </cell>
          <cell r="Z3811" t="str">
            <v/>
          </cell>
          <cell r="AA3811" t="str">
            <v/>
          </cell>
          <cell r="AB3811" t="str">
            <v/>
          </cell>
          <cell r="AC3811" t="str">
            <v/>
          </cell>
          <cell r="AD3811" t="str">
            <v/>
          </cell>
          <cell r="AY3811" t="str">
            <v/>
          </cell>
          <cell r="AZ3811" t="str">
            <v/>
          </cell>
          <cell r="BA3811" t="str">
            <v/>
          </cell>
        </row>
        <row r="3812">
          <cell r="B3812" t="str">
            <v>-</v>
          </cell>
          <cell r="E3812" t="str">
            <v/>
          </cell>
          <cell r="G3812" t="str">
            <v/>
          </cell>
          <cell r="J3812" t="str">
            <v/>
          </cell>
          <cell r="O3812" t="str">
            <v/>
          </cell>
          <cell r="P3812" t="str">
            <v/>
          </cell>
          <cell r="Q3812" t="str">
            <v/>
          </cell>
          <cell r="S3812" t="str">
            <v/>
          </cell>
          <cell r="V3812" t="str">
            <v/>
          </cell>
          <cell r="Z3812" t="str">
            <v/>
          </cell>
          <cell r="AA3812" t="str">
            <v/>
          </cell>
          <cell r="AB3812" t="str">
            <v/>
          </cell>
          <cell r="AC3812" t="str">
            <v/>
          </cell>
          <cell r="AD3812" t="str">
            <v/>
          </cell>
          <cell r="AY3812" t="str">
            <v/>
          </cell>
          <cell r="AZ3812" t="str">
            <v/>
          </cell>
          <cell r="BA3812" t="str">
            <v/>
          </cell>
        </row>
        <row r="3813">
          <cell r="B3813" t="str">
            <v>-</v>
          </cell>
          <cell r="E3813" t="str">
            <v/>
          </cell>
          <cell r="G3813" t="str">
            <v/>
          </cell>
          <cell r="J3813" t="str">
            <v/>
          </cell>
          <cell r="O3813" t="str">
            <v/>
          </cell>
          <cell r="P3813" t="str">
            <v/>
          </cell>
          <cell r="Q3813" t="str">
            <v/>
          </cell>
          <cell r="S3813" t="str">
            <v/>
          </cell>
          <cell r="V3813" t="str">
            <v/>
          </cell>
          <cell r="Z3813" t="str">
            <v/>
          </cell>
          <cell r="AA3813" t="str">
            <v/>
          </cell>
          <cell r="AB3813" t="str">
            <v/>
          </cell>
          <cell r="AC3813" t="str">
            <v/>
          </cell>
          <cell r="AD3813" t="str">
            <v/>
          </cell>
          <cell r="AY3813" t="str">
            <v/>
          </cell>
          <cell r="AZ3813" t="str">
            <v/>
          </cell>
          <cell r="BA3813" t="str">
            <v/>
          </cell>
        </row>
        <row r="3814">
          <cell r="B3814" t="str">
            <v>-</v>
          </cell>
          <cell r="E3814" t="str">
            <v/>
          </cell>
          <cell r="G3814" t="str">
            <v/>
          </cell>
          <cell r="J3814" t="str">
            <v/>
          </cell>
          <cell r="O3814" t="str">
            <v/>
          </cell>
          <cell r="P3814" t="str">
            <v/>
          </cell>
          <cell r="Q3814" t="str">
            <v/>
          </cell>
          <cell r="S3814" t="str">
            <v/>
          </cell>
          <cell r="V3814" t="str">
            <v/>
          </cell>
          <cell r="Z3814" t="str">
            <v/>
          </cell>
          <cell r="AA3814" t="str">
            <v/>
          </cell>
          <cell r="AB3814" t="str">
            <v/>
          </cell>
          <cell r="AC3814" t="str">
            <v/>
          </cell>
          <cell r="AD3814" t="str">
            <v/>
          </cell>
          <cell r="AY3814" t="str">
            <v/>
          </cell>
          <cell r="AZ3814" t="str">
            <v/>
          </cell>
          <cell r="BA3814" t="str">
            <v/>
          </cell>
        </row>
        <row r="3815">
          <cell r="B3815" t="str">
            <v>-</v>
          </cell>
          <cell r="E3815" t="str">
            <v/>
          </cell>
          <cell r="G3815" t="str">
            <v/>
          </cell>
          <cell r="J3815" t="str">
            <v/>
          </cell>
          <cell r="O3815" t="str">
            <v/>
          </cell>
          <cell r="P3815" t="str">
            <v/>
          </cell>
          <cell r="Q3815" t="str">
            <v/>
          </cell>
          <cell r="S3815" t="str">
            <v/>
          </cell>
          <cell r="V3815" t="str">
            <v/>
          </cell>
          <cell r="Z3815" t="str">
            <v/>
          </cell>
          <cell r="AA3815" t="str">
            <v/>
          </cell>
          <cell r="AB3815" t="str">
            <v/>
          </cell>
          <cell r="AC3815" t="str">
            <v/>
          </cell>
          <cell r="AD3815" t="str">
            <v/>
          </cell>
          <cell r="AY3815" t="str">
            <v/>
          </cell>
          <cell r="AZ3815" t="str">
            <v/>
          </cell>
          <cell r="BA3815" t="str">
            <v/>
          </cell>
        </row>
        <row r="3816">
          <cell r="B3816" t="str">
            <v>-</v>
          </cell>
          <cell r="E3816" t="str">
            <v/>
          </cell>
          <cell r="G3816" t="str">
            <v/>
          </cell>
          <cell r="J3816" t="str">
            <v/>
          </cell>
          <cell r="O3816" t="str">
            <v/>
          </cell>
          <cell r="P3816" t="str">
            <v/>
          </cell>
          <cell r="Q3816" t="str">
            <v/>
          </cell>
          <cell r="S3816" t="str">
            <v/>
          </cell>
          <cell r="V3816" t="str">
            <v/>
          </cell>
          <cell r="Z3816" t="str">
            <v/>
          </cell>
          <cell r="AA3816" t="str">
            <v/>
          </cell>
          <cell r="AB3816" t="str">
            <v/>
          </cell>
          <cell r="AC3816" t="str">
            <v/>
          </cell>
          <cell r="AD3816" t="str">
            <v/>
          </cell>
          <cell r="AY3816" t="str">
            <v/>
          </cell>
          <cell r="AZ3816" t="str">
            <v/>
          </cell>
          <cell r="BA3816" t="str">
            <v/>
          </cell>
        </row>
        <row r="3817">
          <cell r="B3817" t="str">
            <v>-</v>
          </cell>
          <cell r="E3817" t="str">
            <v/>
          </cell>
          <cell r="G3817" t="str">
            <v/>
          </cell>
          <cell r="J3817" t="str">
            <v/>
          </cell>
          <cell r="O3817" t="str">
            <v/>
          </cell>
          <cell r="P3817" t="str">
            <v/>
          </cell>
          <cell r="Q3817" t="str">
            <v/>
          </cell>
          <cell r="S3817" t="str">
            <v/>
          </cell>
          <cell r="V3817" t="str">
            <v/>
          </cell>
          <cell r="Z3817" t="str">
            <v/>
          </cell>
          <cell r="AA3817" t="str">
            <v/>
          </cell>
          <cell r="AB3817" t="str">
            <v/>
          </cell>
          <cell r="AC3817" t="str">
            <v/>
          </cell>
          <cell r="AD3817" t="str">
            <v/>
          </cell>
          <cell r="AY3817" t="str">
            <v/>
          </cell>
          <cell r="AZ3817" t="str">
            <v/>
          </cell>
          <cell r="BA3817" t="str">
            <v/>
          </cell>
        </row>
        <row r="3818">
          <cell r="B3818" t="str">
            <v>-</v>
          </cell>
          <cell r="E3818" t="str">
            <v/>
          </cell>
          <cell r="G3818" t="str">
            <v/>
          </cell>
          <cell r="J3818" t="str">
            <v/>
          </cell>
          <cell r="O3818" t="str">
            <v/>
          </cell>
          <cell r="P3818" t="str">
            <v/>
          </cell>
          <cell r="Q3818" t="str">
            <v/>
          </cell>
          <cell r="S3818" t="str">
            <v/>
          </cell>
          <cell r="V3818" t="str">
            <v/>
          </cell>
          <cell r="Z3818" t="str">
            <v/>
          </cell>
          <cell r="AA3818" t="str">
            <v/>
          </cell>
          <cell r="AB3818" t="str">
            <v/>
          </cell>
          <cell r="AC3818" t="str">
            <v/>
          </cell>
          <cell r="AD3818" t="str">
            <v/>
          </cell>
          <cell r="AY3818" t="str">
            <v/>
          </cell>
          <cell r="AZ3818" t="str">
            <v/>
          </cell>
          <cell r="BA3818" t="str">
            <v/>
          </cell>
        </row>
        <row r="3819">
          <cell r="B3819" t="str">
            <v>-</v>
          </cell>
          <cell r="E3819" t="str">
            <v/>
          </cell>
          <cell r="G3819" t="str">
            <v/>
          </cell>
          <cell r="J3819" t="str">
            <v/>
          </cell>
          <cell r="O3819" t="str">
            <v/>
          </cell>
          <cell r="P3819" t="str">
            <v/>
          </cell>
          <cell r="Q3819" t="str">
            <v/>
          </cell>
          <cell r="S3819" t="str">
            <v/>
          </cell>
          <cell r="V3819" t="str">
            <v/>
          </cell>
          <cell r="Z3819" t="str">
            <v/>
          </cell>
          <cell r="AA3819" t="str">
            <v/>
          </cell>
          <cell r="AB3819" t="str">
            <v/>
          </cell>
          <cell r="AC3819" t="str">
            <v/>
          </cell>
          <cell r="AD3819" t="str">
            <v/>
          </cell>
          <cell r="AY3819" t="str">
            <v/>
          </cell>
          <cell r="AZ3819" t="str">
            <v/>
          </cell>
          <cell r="BA3819" t="str">
            <v/>
          </cell>
        </row>
        <row r="3820">
          <cell r="B3820" t="str">
            <v>-</v>
          </cell>
          <cell r="E3820" t="str">
            <v/>
          </cell>
          <cell r="G3820" t="str">
            <v/>
          </cell>
          <cell r="J3820" t="str">
            <v/>
          </cell>
          <cell r="O3820" t="str">
            <v/>
          </cell>
          <cell r="P3820" t="str">
            <v/>
          </cell>
          <cell r="Q3820" t="str">
            <v/>
          </cell>
          <cell r="S3820" t="str">
            <v/>
          </cell>
          <cell r="V3820" t="str">
            <v/>
          </cell>
          <cell r="Z3820" t="str">
            <v/>
          </cell>
          <cell r="AA3820" t="str">
            <v/>
          </cell>
          <cell r="AB3820" t="str">
            <v/>
          </cell>
          <cell r="AC3820" t="str">
            <v/>
          </cell>
          <cell r="AD3820" t="str">
            <v/>
          </cell>
          <cell r="AY3820" t="str">
            <v/>
          </cell>
          <cell r="AZ3820" t="str">
            <v/>
          </cell>
          <cell r="BA3820" t="str">
            <v/>
          </cell>
        </row>
        <row r="3821">
          <cell r="B3821" t="str">
            <v>-</v>
          </cell>
          <cell r="E3821" t="str">
            <v/>
          </cell>
          <cell r="G3821" t="str">
            <v/>
          </cell>
          <cell r="J3821" t="str">
            <v/>
          </cell>
          <cell r="O3821" t="str">
            <v/>
          </cell>
          <cell r="P3821" t="str">
            <v/>
          </cell>
          <cell r="Q3821" t="str">
            <v/>
          </cell>
          <cell r="S3821" t="str">
            <v/>
          </cell>
          <cell r="V3821" t="str">
            <v/>
          </cell>
          <cell r="Z3821" t="str">
            <v/>
          </cell>
          <cell r="AA3821" t="str">
            <v/>
          </cell>
          <cell r="AB3821" t="str">
            <v/>
          </cell>
          <cell r="AC3821" t="str">
            <v/>
          </cell>
          <cell r="AD3821" t="str">
            <v/>
          </cell>
          <cell r="AY3821" t="str">
            <v/>
          </cell>
          <cell r="AZ3821" t="str">
            <v/>
          </cell>
          <cell r="BA3821" t="str">
            <v/>
          </cell>
        </row>
        <row r="3822">
          <cell r="B3822" t="str">
            <v>-</v>
          </cell>
          <cell r="E3822" t="str">
            <v/>
          </cell>
          <cell r="G3822" t="str">
            <v/>
          </cell>
          <cell r="J3822" t="str">
            <v/>
          </cell>
          <cell r="O3822" t="str">
            <v/>
          </cell>
          <cell r="P3822" t="str">
            <v/>
          </cell>
          <cell r="Q3822" t="str">
            <v/>
          </cell>
          <cell r="S3822" t="str">
            <v/>
          </cell>
          <cell r="V3822" t="str">
            <v/>
          </cell>
          <cell r="Z3822" t="str">
            <v/>
          </cell>
          <cell r="AA3822" t="str">
            <v/>
          </cell>
          <cell r="AB3822" t="str">
            <v/>
          </cell>
          <cell r="AC3822" t="str">
            <v/>
          </cell>
          <cell r="AD3822" t="str">
            <v/>
          </cell>
          <cell r="AY3822" t="str">
            <v/>
          </cell>
          <cell r="AZ3822" t="str">
            <v/>
          </cell>
          <cell r="BA3822" t="str">
            <v/>
          </cell>
        </row>
        <row r="3823">
          <cell r="B3823" t="str">
            <v>-</v>
          </cell>
          <cell r="E3823" t="str">
            <v/>
          </cell>
          <cell r="G3823" t="str">
            <v/>
          </cell>
          <cell r="J3823" t="str">
            <v/>
          </cell>
          <cell r="O3823" t="str">
            <v/>
          </cell>
          <cell r="P3823" t="str">
            <v/>
          </cell>
          <cell r="Q3823" t="str">
            <v/>
          </cell>
          <cell r="S3823" t="str">
            <v/>
          </cell>
          <cell r="V3823" t="str">
            <v/>
          </cell>
          <cell r="Z3823" t="str">
            <v/>
          </cell>
          <cell r="AA3823" t="str">
            <v/>
          </cell>
          <cell r="AB3823" t="str">
            <v/>
          </cell>
          <cell r="AC3823" t="str">
            <v/>
          </cell>
          <cell r="AD3823" t="str">
            <v/>
          </cell>
          <cell r="AY3823" t="str">
            <v/>
          </cell>
          <cell r="AZ3823" t="str">
            <v/>
          </cell>
          <cell r="BA3823" t="str">
            <v/>
          </cell>
        </row>
        <row r="3824">
          <cell r="B3824" t="str">
            <v>-</v>
          </cell>
          <cell r="E3824" t="str">
            <v/>
          </cell>
          <cell r="G3824" t="str">
            <v/>
          </cell>
          <cell r="J3824" t="str">
            <v/>
          </cell>
          <cell r="O3824" t="str">
            <v/>
          </cell>
          <cell r="P3824" t="str">
            <v/>
          </cell>
          <cell r="Q3824" t="str">
            <v/>
          </cell>
          <cell r="S3824" t="str">
            <v/>
          </cell>
          <cell r="V3824" t="str">
            <v/>
          </cell>
          <cell r="Z3824" t="str">
            <v/>
          </cell>
          <cell r="AA3824" t="str">
            <v/>
          </cell>
          <cell r="AB3824" t="str">
            <v/>
          </cell>
          <cell r="AC3824" t="str">
            <v/>
          </cell>
          <cell r="AD3824" t="str">
            <v/>
          </cell>
          <cell r="AY3824" t="str">
            <v/>
          </cell>
          <cell r="AZ3824" t="str">
            <v/>
          </cell>
          <cell r="BA3824" t="str">
            <v/>
          </cell>
        </row>
        <row r="3825">
          <cell r="B3825" t="str">
            <v>-</v>
          </cell>
          <cell r="E3825" t="str">
            <v/>
          </cell>
          <cell r="G3825" t="str">
            <v/>
          </cell>
          <cell r="J3825" t="str">
            <v/>
          </cell>
          <cell r="O3825" t="str">
            <v/>
          </cell>
          <cell r="P3825" t="str">
            <v/>
          </cell>
          <cell r="Q3825" t="str">
            <v/>
          </cell>
          <cell r="S3825" t="str">
            <v/>
          </cell>
          <cell r="V3825" t="str">
            <v/>
          </cell>
          <cell r="Z3825" t="str">
            <v/>
          </cell>
          <cell r="AA3825" t="str">
            <v/>
          </cell>
          <cell r="AB3825" t="str">
            <v/>
          </cell>
          <cell r="AC3825" t="str">
            <v/>
          </cell>
          <cell r="AD3825" t="str">
            <v/>
          </cell>
          <cell r="AY3825" t="str">
            <v/>
          </cell>
          <cell r="AZ3825" t="str">
            <v/>
          </cell>
          <cell r="BA3825" t="str">
            <v/>
          </cell>
        </row>
        <row r="3826">
          <cell r="B3826" t="str">
            <v>-</v>
          </cell>
          <cell r="E3826" t="str">
            <v/>
          </cell>
          <cell r="G3826" t="str">
            <v/>
          </cell>
          <cell r="J3826" t="str">
            <v/>
          </cell>
          <cell r="O3826" t="str">
            <v/>
          </cell>
          <cell r="P3826" t="str">
            <v/>
          </cell>
          <cell r="Q3826" t="str">
            <v/>
          </cell>
          <cell r="S3826" t="str">
            <v/>
          </cell>
          <cell r="V3826" t="str">
            <v/>
          </cell>
          <cell r="Z3826" t="str">
            <v/>
          </cell>
          <cell r="AA3826" t="str">
            <v/>
          </cell>
          <cell r="AB3826" t="str">
            <v/>
          </cell>
          <cell r="AC3826" t="str">
            <v/>
          </cell>
          <cell r="AD3826" t="str">
            <v/>
          </cell>
          <cell r="AY3826" t="str">
            <v/>
          </cell>
          <cell r="AZ3826" t="str">
            <v/>
          </cell>
          <cell r="BA3826" t="str">
            <v/>
          </cell>
        </row>
        <row r="3827">
          <cell r="B3827" t="str">
            <v>-</v>
          </cell>
          <cell r="E3827" t="str">
            <v/>
          </cell>
          <cell r="G3827" t="str">
            <v/>
          </cell>
          <cell r="J3827" t="str">
            <v/>
          </cell>
          <cell r="O3827" t="str">
            <v/>
          </cell>
          <cell r="P3827" t="str">
            <v/>
          </cell>
          <cell r="Q3827" t="str">
            <v/>
          </cell>
          <cell r="S3827" t="str">
            <v/>
          </cell>
          <cell r="V3827" t="str">
            <v/>
          </cell>
          <cell r="Z3827" t="str">
            <v/>
          </cell>
          <cell r="AA3827" t="str">
            <v/>
          </cell>
          <cell r="AB3827" t="str">
            <v/>
          </cell>
          <cell r="AC3827" t="str">
            <v/>
          </cell>
          <cell r="AD3827" t="str">
            <v/>
          </cell>
          <cell r="AY3827" t="str">
            <v/>
          </cell>
          <cell r="AZ3827" t="str">
            <v/>
          </cell>
          <cell r="BA3827" t="str">
            <v/>
          </cell>
        </row>
        <row r="3828">
          <cell r="B3828" t="str">
            <v>-</v>
          </cell>
          <cell r="E3828" t="str">
            <v/>
          </cell>
          <cell r="G3828" t="str">
            <v/>
          </cell>
          <cell r="J3828" t="str">
            <v/>
          </cell>
          <cell r="O3828" t="str">
            <v/>
          </cell>
          <cell r="P3828" t="str">
            <v/>
          </cell>
          <cell r="Q3828" t="str">
            <v/>
          </cell>
          <cell r="S3828" t="str">
            <v/>
          </cell>
          <cell r="V3828" t="str">
            <v/>
          </cell>
          <cell r="Z3828" t="str">
            <v/>
          </cell>
          <cell r="AA3828" t="str">
            <v/>
          </cell>
          <cell r="AB3828" t="str">
            <v/>
          </cell>
          <cell r="AC3828" t="str">
            <v/>
          </cell>
          <cell r="AD3828" t="str">
            <v/>
          </cell>
          <cell r="AY3828" t="str">
            <v/>
          </cell>
          <cell r="AZ3828" t="str">
            <v/>
          </cell>
          <cell r="BA3828" t="str">
            <v/>
          </cell>
        </row>
        <row r="3829">
          <cell r="B3829" t="str">
            <v>-</v>
          </cell>
          <cell r="E3829" t="str">
            <v/>
          </cell>
          <cell r="G3829" t="str">
            <v/>
          </cell>
          <cell r="J3829" t="str">
            <v/>
          </cell>
          <cell r="O3829" t="str">
            <v/>
          </cell>
          <cell r="P3829" t="str">
            <v/>
          </cell>
          <cell r="Q3829" t="str">
            <v/>
          </cell>
          <cell r="S3829" t="str">
            <v/>
          </cell>
          <cell r="V3829" t="str">
            <v/>
          </cell>
          <cell r="Z3829" t="str">
            <v/>
          </cell>
          <cell r="AA3829" t="str">
            <v/>
          </cell>
          <cell r="AB3829" t="str">
            <v/>
          </cell>
          <cell r="AC3829" t="str">
            <v/>
          </cell>
          <cell r="AD3829" t="str">
            <v/>
          </cell>
          <cell r="AY3829" t="str">
            <v/>
          </cell>
          <cell r="AZ3829" t="str">
            <v/>
          </cell>
          <cell r="BA3829" t="str">
            <v/>
          </cell>
        </row>
        <row r="3830">
          <cell r="B3830" t="str">
            <v>-</v>
          </cell>
          <cell r="E3830" t="str">
            <v/>
          </cell>
          <cell r="G3830" t="str">
            <v/>
          </cell>
          <cell r="J3830" t="str">
            <v/>
          </cell>
          <cell r="O3830" t="str">
            <v/>
          </cell>
          <cell r="P3830" t="str">
            <v/>
          </cell>
          <cell r="Q3830" t="str">
            <v/>
          </cell>
          <cell r="S3830" t="str">
            <v/>
          </cell>
          <cell r="V3830" t="str">
            <v/>
          </cell>
          <cell r="Z3830" t="str">
            <v/>
          </cell>
          <cell r="AA3830" t="str">
            <v/>
          </cell>
          <cell r="AB3830" t="str">
            <v/>
          </cell>
          <cell r="AC3830" t="str">
            <v/>
          </cell>
          <cell r="AD3830" t="str">
            <v/>
          </cell>
          <cell r="AY3830" t="str">
            <v/>
          </cell>
          <cell r="AZ3830" t="str">
            <v/>
          </cell>
          <cell r="BA3830" t="str">
            <v/>
          </cell>
        </row>
        <row r="3831">
          <cell r="B3831" t="str">
            <v>-</v>
          </cell>
          <cell r="E3831" t="str">
            <v/>
          </cell>
          <cell r="G3831" t="str">
            <v/>
          </cell>
          <cell r="J3831" t="str">
            <v/>
          </cell>
          <cell r="O3831" t="str">
            <v/>
          </cell>
          <cell r="P3831" t="str">
            <v/>
          </cell>
          <cell r="Q3831" t="str">
            <v/>
          </cell>
          <cell r="S3831" t="str">
            <v/>
          </cell>
          <cell r="V3831" t="str">
            <v/>
          </cell>
          <cell r="Z3831" t="str">
            <v/>
          </cell>
          <cell r="AA3831" t="str">
            <v/>
          </cell>
          <cell r="AB3831" t="str">
            <v/>
          </cell>
          <cell r="AC3831" t="str">
            <v/>
          </cell>
          <cell r="AD3831" t="str">
            <v/>
          </cell>
          <cell r="AY3831" t="str">
            <v/>
          </cell>
          <cell r="AZ3831" t="str">
            <v/>
          </cell>
          <cell r="BA3831" t="str">
            <v/>
          </cell>
        </row>
        <row r="3832">
          <cell r="B3832" t="str">
            <v>-</v>
          </cell>
          <cell r="E3832" t="str">
            <v/>
          </cell>
          <cell r="G3832" t="str">
            <v/>
          </cell>
          <cell r="J3832" t="str">
            <v/>
          </cell>
          <cell r="O3832" t="str">
            <v/>
          </cell>
          <cell r="P3832" t="str">
            <v/>
          </cell>
          <cell r="Q3832" t="str">
            <v/>
          </cell>
          <cell r="S3832" t="str">
            <v/>
          </cell>
          <cell r="V3832" t="str">
            <v/>
          </cell>
          <cell r="Z3832" t="str">
            <v/>
          </cell>
          <cell r="AA3832" t="str">
            <v/>
          </cell>
          <cell r="AB3832" t="str">
            <v/>
          </cell>
          <cell r="AC3832" t="str">
            <v/>
          </cell>
          <cell r="AD3832" t="str">
            <v/>
          </cell>
          <cell r="AY3832" t="str">
            <v/>
          </cell>
          <cell r="AZ3832" t="str">
            <v/>
          </cell>
          <cell r="BA3832" t="str">
            <v/>
          </cell>
        </row>
        <row r="3833">
          <cell r="B3833" t="str">
            <v>-</v>
          </cell>
          <cell r="E3833" t="str">
            <v/>
          </cell>
          <cell r="G3833" t="str">
            <v/>
          </cell>
          <cell r="J3833" t="str">
            <v/>
          </cell>
          <cell r="O3833" t="str">
            <v/>
          </cell>
          <cell r="P3833" t="str">
            <v/>
          </cell>
          <cell r="Q3833" t="str">
            <v/>
          </cell>
          <cell r="S3833" t="str">
            <v/>
          </cell>
          <cell r="V3833" t="str">
            <v/>
          </cell>
          <cell r="Z3833" t="str">
            <v/>
          </cell>
          <cell r="AA3833" t="str">
            <v/>
          </cell>
          <cell r="AB3833" t="str">
            <v/>
          </cell>
          <cell r="AC3833" t="str">
            <v/>
          </cell>
          <cell r="AD3833" t="str">
            <v/>
          </cell>
          <cell r="AY3833" t="str">
            <v/>
          </cell>
          <cell r="AZ3833" t="str">
            <v/>
          </cell>
          <cell r="BA3833" t="str">
            <v/>
          </cell>
        </row>
        <row r="3834">
          <cell r="B3834" t="str">
            <v>-</v>
          </cell>
          <cell r="E3834" t="str">
            <v/>
          </cell>
          <cell r="G3834" t="str">
            <v/>
          </cell>
          <cell r="J3834" t="str">
            <v/>
          </cell>
          <cell r="O3834" t="str">
            <v/>
          </cell>
          <cell r="P3834" t="str">
            <v/>
          </cell>
          <cell r="Q3834" t="str">
            <v/>
          </cell>
          <cell r="S3834" t="str">
            <v/>
          </cell>
          <cell r="V3834" t="str">
            <v/>
          </cell>
          <cell r="Z3834" t="str">
            <v/>
          </cell>
          <cell r="AA3834" t="str">
            <v/>
          </cell>
          <cell r="AB3834" t="str">
            <v/>
          </cell>
          <cell r="AC3834" t="str">
            <v/>
          </cell>
          <cell r="AD3834" t="str">
            <v/>
          </cell>
          <cell r="AY3834" t="str">
            <v/>
          </cell>
          <cell r="AZ3834" t="str">
            <v/>
          </cell>
          <cell r="BA3834" t="str">
            <v/>
          </cell>
        </row>
        <row r="3835">
          <cell r="B3835" t="str">
            <v>-</v>
          </cell>
          <cell r="E3835" t="str">
            <v/>
          </cell>
          <cell r="G3835" t="str">
            <v/>
          </cell>
          <cell r="J3835" t="str">
            <v/>
          </cell>
          <cell r="O3835" t="str">
            <v/>
          </cell>
          <cell r="P3835" t="str">
            <v/>
          </cell>
          <cell r="Q3835" t="str">
            <v/>
          </cell>
          <cell r="S3835" t="str">
            <v/>
          </cell>
          <cell r="V3835" t="str">
            <v/>
          </cell>
          <cell r="Z3835" t="str">
            <v/>
          </cell>
          <cell r="AA3835" t="str">
            <v/>
          </cell>
          <cell r="AB3835" t="str">
            <v/>
          </cell>
          <cell r="AC3835" t="str">
            <v/>
          </cell>
          <cell r="AD3835" t="str">
            <v/>
          </cell>
          <cell r="AY3835" t="str">
            <v/>
          </cell>
          <cell r="AZ3835" t="str">
            <v/>
          </cell>
          <cell r="BA3835" t="str">
            <v/>
          </cell>
        </row>
        <row r="3836">
          <cell r="B3836" t="str">
            <v>-</v>
          </cell>
          <cell r="E3836" t="str">
            <v/>
          </cell>
          <cell r="G3836" t="str">
            <v/>
          </cell>
          <cell r="J3836" t="str">
            <v/>
          </cell>
          <cell r="O3836" t="str">
            <v/>
          </cell>
          <cell r="P3836" t="str">
            <v/>
          </cell>
          <cell r="Q3836" t="str">
            <v/>
          </cell>
          <cell r="S3836" t="str">
            <v/>
          </cell>
          <cell r="V3836" t="str">
            <v/>
          </cell>
          <cell r="Z3836" t="str">
            <v/>
          </cell>
          <cell r="AA3836" t="str">
            <v/>
          </cell>
          <cell r="AB3836" t="str">
            <v/>
          </cell>
          <cell r="AC3836" t="str">
            <v/>
          </cell>
          <cell r="AD3836" t="str">
            <v/>
          </cell>
          <cell r="AY3836" t="str">
            <v/>
          </cell>
          <cell r="AZ3836" t="str">
            <v/>
          </cell>
          <cell r="BA3836" t="str">
            <v/>
          </cell>
        </row>
        <row r="3837">
          <cell r="B3837" t="str">
            <v>-</v>
          </cell>
          <cell r="E3837" t="str">
            <v/>
          </cell>
          <cell r="G3837" t="str">
            <v/>
          </cell>
          <cell r="J3837" t="str">
            <v/>
          </cell>
          <cell r="O3837" t="str">
            <v/>
          </cell>
          <cell r="P3837" t="str">
            <v/>
          </cell>
          <cell r="Q3837" t="str">
            <v/>
          </cell>
          <cell r="S3837" t="str">
            <v/>
          </cell>
          <cell r="V3837" t="str">
            <v/>
          </cell>
          <cell r="Z3837" t="str">
            <v/>
          </cell>
          <cell r="AA3837" t="str">
            <v/>
          </cell>
          <cell r="AB3837" t="str">
            <v/>
          </cell>
          <cell r="AC3837" t="str">
            <v/>
          </cell>
          <cell r="AD3837" t="str">
            <v/>
          </cell>
          <cell r="AY3837" t="str">
            <v/>
          </cell>
          <cell r="AZ3837" t="str">
            <v/>
          </cell>
          <cell r="BA3837" t="str">
            <v/>
          </cell>
        </row>
        <row r="3838">
          <cell r="B3838" t="str">
            <v>-</v>
          </cell>
          <cell r="E3838" t="str">
            <v/>
          </cell>
          <cell r="G3838" t="str">
            <v/>
          </cell>
          <cell r="J3838" t="str">
            <v/>
          </cell>
          <cell r="O3838" t="str">
            <v/>
          </cell>
          <cell r="P3838" t="str">
            <v/>
          </cell>
          <cell r="Q3838" t="str">
            <v/>
          </cell>
          <cell r="S3838" t="str">
            <v/>
          </cell>
          <cell r="V3838" t="str">
            <v/>
          </cell>
          <cell r="Z3838" t="str">
            <v/>
          </cell>
          <cell r="AA3838" t="str">
            <v/>
          </cell>
          <cell r="AB3838" t="str">
            <v/>
          </cell>
          <cell r="AC3838" t="str">
            <v/>
          </cell>
          <cell r="AD3838" t="str">
            <v/>
          </cell>
          <cell r="AY3838" t="str">
            <v/>
          </cell>
          <cell r="AZ3838" t="str">
            <v/>
          </cell>
          <cell r="BA3838" t="str">
            <v/>
          </cell>
        </row>
        <row r="3839">
          <cell r="B3839" t="str">
            <v>-</v>
          </cell>
          <cell r="E3839" t="str">
            <v/>
          </cell>
          <cell r="G3839" t="str">
            <v/>
          </cell>
          <cell r="J3839" t="str">
            <v/>
          </cell>
          <cell r="O3839" t="str">
            <v/>
          </cell>
          <cell r="P3839" t="str">
            <v/>
          </cell>
          <cell r="Q3839" t="str">
            <v/>
          </cell>
          <cell r="S3839" t="str">
            <v/>
          </cell>
          <cell r="V3839" t="str">
            <v/>
          </cell>
          <cell r="Z3839" t="str">
            <v/>
          </cell>
          <cell r="AA3839" t="str">
            <v/>
          </cell>
          <cell r="AB3839" t="str">
            <v/>
          </cell>
          <cell r="AC3839" t="str">
            <v/>
          </cell>
          <cell r="AD3839" t="str">
            <v/>
          </cell>
          <cell r="AY3839" t="str">
            <v/>
          </cell>
          <cell r="AZ3839" t="str">
            <v/>
          </cell>
          <cell r="BA3839" t="str">
            <v/>
          </cell>
        </row>
        <row r="3840">
          <cell r="B3840" t="str">
            <v>-</v>
          </cell>
          <cell r="E3840" t="str">
            <v/>
          </cell>
          <cell r="G3840" t="str">
            <v/>
          </cell>
          <cell r="J3840" t="str">
            <v/>
          </cell>
          <cell r="O3840" t="str">
            <v/>
          </cell>
          <cell r="P3840" t="str">
            <v/>
          </cell>
          <cell r="Q3840" t="str">
            <v/>
          </cell>
          <cell r="S3840" t="str">
            <v/>
          </cell>
          <cell r="V3840" t="str">
            <v/>
          </cell>
          <cell r="Z3840" t="str">
            <v/>
          </cell>
          <cell r="AA3840" t="str">
            <v/>
          </cell>
          <cell r="AB3840" t="str">
            <v/>
          </cell>
          <cell r="AC3840" t="str">
            <v/>
          </cell>
          <cell r="AD3840" t="str">
            <v/>
          </cell>
          <cell r="AY3840" t="str">
            <v/>
          </cell>
          <cell r="AZ3840" t="str">
            <v/>
          </cell>
          <cell r="BA3840" t="str">
            <v/>
          </cell>
        </row>
        <row r="3841">
          <cell r="B3841" t="str">
            <v>-</v>
          </cell>
          <cell r="E3841" t="str">
            <v/>
          </cell>
          <cell r="G3841" t="str">
            <v/>
          </cell>
          <cell r="J3841" t="str">
            <v/>
          </cell>
          <cell r="O3841" t="str">
            <v/>
          </cell>
          <cell r="P3841" t="str">
            <v/>
          </cell>
          <cell r="Q3841" t="str">
            <v/>
          </cell>
          <cell r="S3841" t="str">
            <v/>
          </cell>
          <cell r="V3841" t="str">
            <v/>
          </cell>
          <cell r="Z3841" t="str">
            <v/>
          </cell>
          <cell r="AA3841" t="str">
            <v/>
          </cell>
          <cell r="AB3841" t="str">
            <v/>
          </cell>
          <cell r="AC3841" t="str">
            <v/>
          </cell>
          <cell r="AD3841" t="str">
            <v/>
          </cell>
          <cell r="AY3841" t="str">
            <v/>
          </cell>
          <cell r="AZ3841" t="str">
            <v/>
          </cell>
          <cell r="BA3841" t="str">
            <v/>
          </cell>
        </row>
        <row r="3842">
          <cell r="B3842" t="str">
            <v>-</v>
          </cell>
          <cell r="E3842" t="str">
            <v/>
          </cell>
          <cell r="G3842" t="str">
            <v/>
          </cell>
          <cell r="J3842" t="str">
            <v/>
          </cell>
          <cell r="O3842" t="str">
            <v/>
          </cell>
          <cell r="P3842" t="str">
            <v/>
          </cell>
          <cell r="Q3842" t="str">
            <v/>
          </cell>
          <cell r="S3842" t="str">
            <v/>
          </cell>
          <cell r="V3842" t="str">
            <v/>
          </cell>
          <cell r="Z3842" t="str">
            <v/>
          </cell>
          <cell r="AA3842" t="str">
            <v/>
          </cell>
          <cell r="AB3842" t="str">
            <v/>
          </cell>
          <cell r="AC3842" t="str">
            <v/>
          </cell>
          <cell r="AD3842" t="str">
            <v/>
          </cell>
          <cell r="AY3842" t="str">
            <v/>
          </cell>
          <cell r="AZ3842" t="str">
            <v/>
          </cell>
          <cell r="BA3842" t="str">
            <v/>
          </cell>
        </row>
        <row r="3843">
          <cell r="B3843" t="str">
            <v>-</v>
          </cell>
          <cell r="E3843" t="str">
            <v/>
          </cell>
          <cell r="G3843" t="str">
            <v/>
          </cell>
          <cell r="J3843" t="str">
            <v/>
          </cell>
          <cell r="O3843" t="str">
            <v/>
          </cell>
          <cell r="P3843" t="str">
            <v/>
          </cell>
          <cell r="Q3843" t="str">
            <v/>
          </cell>
          <cell r="S3843" t="str">
            <v/>
          </cell>
          <cell r="V3843" t="str">
            <v/>
          </cell>
          <cell r="Z3843" t="str">
            <v/>
          </cell>
          <cell r="AA3843" t="str">
            <v/>
          </cell>
          <cell r="AB3843" t="str">
            <v/>
          </cell>
          <cell r="AC3843" t="str">
            <v/>
          </cell>
          <cell r="AD3843" t="str">
            <v/>
          </cell>
          <cell r="AY3843" t="str">
            <v/>
          </cell>
          <cell r="AZ3843" t="str">
            <v/>
          </cell>
          <cell r="BA3843" t="str">
            <v/>
          </cell>
        </row>
        <row r="3844">
          <cell r="B3844" t="str">
            <v>-</v>
          </cell>
          <cell r="E3844" t="str">
            <v/>
          </cell>
          <cell r="G3844" t="str">
            <v/>
          </cell>
          <cell r="J3844" t="str">
            <v/>
          </cell>
          <cell r="O3844" t="str">
            <v/>
          </cell>
          <cell r="P3844" t="str">
            <v/>
          </cell>
          <cell r="Q3844" t="str">
            <v/>
          </cell>
          <cell r="S3844" t="str">
            <v/>
          </cell>
          <cell r="V3844" t="str">
            <v/>
          </cell>
          <cell r="Z3844" t="str">
            <v/>
          </cell>
          <cell r="AA3844" t="str">
            <v/>
          </cell>
          <cell r="AB3844" t="str">
            <v/>
          </cell>
          <cell r="AC3844" t="str">
            <v/>
          </cell>
          <cell r="AD3844" t="str">
            <v/>
          </cell>
          <cell r="AY3844" t="str">
            <v/>
          </cell>
          <cell r="AZ3844" t="str">
            <v/>
          </cell>
          <cell r="BA3844" t="str">
            <v/>
          </cell>
        </row>
        <row r="3845">
          <cell r="B3845" t="str">
            <v>-</v>
          </cell>
          <cell r="E3845" t="str">
            <v/>
          </cell>
          <cell r="G3845" t="str">
            <v/>
          </cell>
          <cell r="J3845" t="str">
            <v/>
          </cell>
          <cell r="O3845" t="str">
            <v/>
          </cell>
          <cell r="P3845" t="str">
            <v/>
          </cell>
          <cell r="Q3845" t="str">
            <v/>
          </cell>
          <cell r="S3845" t="str">
            <v/>
          </cell>
          <cell r="V3845" t="str">
            <v/>
          </cell>
          <cell r="Z3845" t="str">
            <v/>
          </cell>
          <cell r="AA3845" t="str">
            <v/>
          </cell>
          <cell r="AB3845" t="str">
            <v/>
          </cell>
          <cell r="AC3845" t="str">
            <v/>
          </cell>
          <cell r="AD3845" t="str">
            <v/>
          </cell>
          <cell r="AY3845" t="str">
            <v/>
          </cell>
          <cell r="AZ3845" t="str">
            <v/>
          </cell>
          <cell r="BA3845" t="str">
            <v/>
          </cell>
        </row>
        <row r="3846">
          <cell r="B3846" t="str">
            <v>-</v>
          </cell>
          <cell r="E3846" t="str">
            <v/>
          </cell>
          <cell r="G3846" t="str">
            <v/>
          </cell>
          <cell r="J3846" t="str">
            <v/>
          </cell>
          <cell r="O3846" t="str">
            <v/>
          </cell>
          <cell r="P3846" t="str">
            <v/>
          </cell>
          <cell r="Q3846" t="str">
            <v/>
          </cell>
          <cell r="S3846" t="str">
            <v/>
          </cell>
          <cell r="V3846" t="str">
            <v/>
          </cell>
          <cell r="Z3846" t="str">
            <v/>
          </cell>
          <cell r="AA3846" t="str">
            <v/>
          </cell>
          <cell r="AB3846" t="str">
            <v/>
          </cell>
          <cell r="AC3846" t="str">
            <v/>
          </cell>
          <cell r="AD3846" t="str">
            <v/>
          </cell>
          <cell r="AY3846" t="str">
            <v/>
          </cell>
          <cell r="AZ3846" t="str">
            <v/>
          </cell>
          <cell r="BA3846" t="str">
            <v/>
          </cell>
        </row>
        <row r="3847">
          <cell r="B3847" t="str">
            <v>-</v>
          </cell>
          <cell r="E3847" t="str">
            <v/>
          </cell>
          <cell r="G3847" t="str">
            <v/>
          </cell>
          <cell r="J3847" t="str">
            <v/>
          </cell>
          <cell r="O3847" t="str">
            <v/>
          </cell>
          <cell r="P3847" t="str">
            <v/>
          </cell>
          <cell r="Q3847" t="str">
            <v/>
          </cell>
          <cell r="S3847" t="str">
            <v/>
          </cell>
          <cell r="V3847" t="str">
            <v/>
          </cell>
          <cell r="Z3847" t="str">
            <v/>
          </cell>
          <cell r="AA3847" t="str">
            <v/>
          </cell>
          <cell r="AB3847" t="str">
            <v/>
          </cell>
          <cell r="AC3847" t="str">
            <v/>
          </cell>
          <cell r="AD3847" t="str">
            <v/>
          </cell>
          <cell r="AY3847" t="str">
            <v/>
          </cell>
          <cell r="AZ3847" t="str">
            <v/>
          </cell>
          <cell r="BA3847" t="str">
            <v/>
          </cell>
        </row>
        <row r="3848">
          <cell r="B3848" t="str">
            <v>-</v>
          </cell>
          <cell r="E3848" t="str">
            <v/>
          </cell>
          <cell r="G3848" t="str">
            <v/>
          </cell>
          <cell r="J3848" t="str">
            <v/>
          </cell>
          <cell r="O3848" t="str">
            <v/>
          </cell>
          <cell r="P3848" t="str">
            <v/>
          </cell>
          <cell r="Q3848" t="str">
            <v/>
          </cell>
          <cell r="S3848" t="str">
            <v/>
          </cell>
          <cell r="V3848" t="str">
            <v/>
          </cell>
          <cell r="Z3848" t="str">
            <v/>
          </cell>
          <cell r="AA3848" t="str">
            <v/>
          </cell>
          <cell r="AB3848" t="str">
            <v/>
          </cell>
          <cell r="AC3848" t="str">
            <v/>
          </cell>
          <cell r="AD3848" t="str">
            <v/>
          </cell>
          <cell r="AY3848" t="str">
            <v/>
          </cell>
          <cell r="AZ3848" t="str">
            <v/>
          </cell>
          <cell r="BA3848" t="str">
            <v/>
          </cell>
        </row>
        <row r="3849">
          <cell r="B3849" t="str">
            <v>-</v>
          </cell>
          <cell r="E3849" t="str">
            <v/>
          </cell>
          <cell r="G3849" t="str">
            <v/>
          </cell>
          <cell r="J3849" t="str">
            <v/>
          </cell>
          <cell r="O3849" t="str">
            <v/>
          </cell>
          <cell r="P3849" t="str">
            <v/>
          </cell>
          <cell r="Q3849" t="str">
            <v/>
          </cell>
          <cell r="S3849" t="str">
            <v/>
          </cell>
          <cell r="V3849" t="str">
            <v/>
          </cell>
          <cell r="Z3849" t="str">
            <v/>
          </cell>
          <cell r="AA3849" t="str">
            <v/>
          </cell>
          <cell r="AB3849" t="str">
            <v/>
          </cell>
          <cell r="AC3849" t="str">
            <v/>
          </cell>
          <cell r="AD3849" t="str">
            <v/>
          </cell>
          <cell r="AY3849" t="str">
            <v/>
          </cell>
          <cell r="AZ3849" t="str">
            <v/>
          </cell>
          <cell r="BA3849" t="str">
            <v/>
          </cell>
        </row>
        <row r="3850">
          <cell r="B3850" t="str">
            <v>-</v>
          </cell>
          <cell r="E3850" t="str">
            <v/>
          </cell>
          <cell r="G3850" t="str">
            <v/>
          </cell>
          <cell r="J3850" t="str">
            <v/>
          </cell>
          <cell r="O3850" t="str">
            <v/>
          </cell>
          <cell r="P3850" t="str">
            <v/>
          </cell>
          <cell r="Q3850" t="str">
            <v/>
          </cell>
          <cell r="S3850" t="str">
            <v/>
          </cell>
          <cell r="V3850" t="str">
            <v/>
          </cell>
          <cell r="Z3850" t="str">
            <v/>
          </cell>
          <cell r="AA3850" t="str">
            <v/>
          </cell>
          <cell r="AB3850" t="str">
            <v/>
          </cell>
          <cell r="AC3850" t="str">
            <v/>
          </cell>
          <cell r="AD3850" t="str">
            <v/>
          </cell>
          <cell r="AY3850" t="str">
            <v/>
          </cell>
          <cell r="AZ3850" t="str">
            <v/>
          </cell>
          <cell r="BA3850" t="str">
            <v/>
          </cell>
        </row>
        <row r="3851">
          <cell r="B3851" t="str">
            <v>-</v>
          </cell>
          <cell r="E3851" t="str">
            <v/>
          </cell>
          <cell r="G3851" t="str">
            <v/>
          </cell>
          <cell r="J3851" t="str">
            <v/>
          </cell>
          <cell r="O3851" t="str">
            <v/>
          </cell>
          <cell r="P3851" t="str">
            <v/>
          </cell>
          <cell r="Q3851" t="str">
            <v/>
          </cell>
          <cell r="S3851" t="str">
            <v/>
          </cell>
          <cell r="V3851" t="str">
            <v/>
          </cell>
          <cell r="Z3851" t="str">
            <v/>
          </cell>
          <cell r="AA3851" t="str">
            <v/>
          </cell>
          <cell r="AB3851" t="str">
            <v/>
          </cell>
          <cell r="AC3851" t="str">
            <v/>
          </cell>
          <cell r="AD3851" t="str">
            <v/>
          </cell>
          <cell r="AY3851" t="str">
            <v/>
          </cell>
          <cell r="AZ3851" t="str">
            <v/>
          </cell>
          <cell r="BA3851" t="str">
            <v/>
          </cell>
        </row>
        <row r="3852">
          <cell r="B3852" t="str">
            <v>-</v>
          </cell>
          <cell r="E3852" t="str">
            <v/>
          </cell>
          <cell r="G3852" t="str">
            <v/>
          </cell>
          <cell r="J3852" t="str">
            <v/>
          </cell>
          <cell r="O3852" t="str">
            <v/>
          </cell>
          <cell r="P3852" t="str">
            <v/>
          </cell>
          <cell r="Q3852" t="str">
            <v/>
          </cell>
          <cell r="S3852" t="str">
            <v/>
          </cell>
          <cell r="V3852" t="str">
            <v/>
          </cell>
          <cell r="Z3852" t="str">
            <v/>
          </cell>
          <cell r="AA3852" t="str">
            <v/>
          </cell>
          <cell r="AB3852" t="str">
            <v/>
          </cell>
          <cell r="AC3852" t="str">
            <v/>
          </cell>
          <cell r="AD3852" t="str">
            <v/>
          </cell>
          <cell r="AY3852" t="str">
            <v/>
          </cell>
          <cell r="AZ3852" t="str">
            <v/>
          </cell>
          <cell r="BA3852" t="str">
            <v/>
          </cell>
        </row>
        <row r="3853">
          <cell r="B3853" t="str">
            <v>-</v>
          </cell>
          <cell r="E3853" t="str">
            <v/>
          </cell>
          <cell r="G3853" t="str">
            <v/>
          </cell>
          <cell r="J3853" t="str">
            <v/>
          </cell>
          <cell r="O3853" t="str">
            <v/>
          </cell>
          <cell r="P3853" t="str">
            <v/>
          </cell>
          <cell r="Q3853" t="str">
            <v/>
          </cell>
          <cell r="S3853" t="str">
            <v/>
          </cell>
          <cell r="V3853" t="str">
            <v/>
          </cell>
          <cell r="Z3853" t="str">
            <v/>
          </cell>
          <cell r="AA3853" t="str">
            <v/>
          </cell>
          <cell r="AB3853" t="str">
            <v/>
          </cell>
          <cell r="AC3853" t="str">
            <v/>
          </cell>
          <cell r="AD3853" t="str">
            <v/>
          </cell>
          <cell r="AY3853" t="str">
            <v/>
          </cell>
          <cell r="AZ3853" t="str">
            <v/>
          </cell>
          <cell r="BA3853" t="str">
            <v/>
          </cell>
        </row>
        <row r="3854">
          <cell r="B3854" t="str">
            <v>-</v>
          </cell>
          <cell r="E3854" t="str">
            <v/>
          </cell>
          <cell r="G3854" t="str">
            <v/>
          </cell>
          <cell r="J3854" t="str">
            <v/>
          </cell>
          <cell r="O3854" t="str">
            <v/>
          </cell>
          <cell r="P3854" t="str">
            <v/>
          </cell>
          <cell r="Q3854" t="str">
            <v/>
          </cell>
          <cell r="S3854" t="str">
            <v/>
          </cell>
          <cell r="V3854" t="str">
            <v/>
          </cell>
          <cell r="Z3854" t="str">
            <v/>
          </cell>
          <cell r="AA3854" t="str">
            <v/>
          </cell>
          <cell r="AB3854" t="str">
            <v/>
          </cell>
          <cell r="AC3854" t="str">
            <v/>
          </cell>
          <cell r="AD3854" t="str">
            <v/>
          </cell>
          <cell r="AY3854" t="str">
            <v/>
          </cell>
          <cell r="AZ3854" t="str">
            <v/>
          </cell>
          <cell r="BA3854" t="str">
            <v/>
          </cell>
        </row>
        <row r="3855">
          <cell r="B3855" t="str">
            <v>-</v>
          </cell>
          <cell r="E3855" t="str">
            <v/>
          </cell>
          <cell r="G3855" t="str">
            <v/>
          </cell>
          <cell r="J3855" t="str">
            <v/>
          </cell>
          <cell r="O3855" t="str">
            <v/>
          </cell>
          <cell r="P3855" t="str">
            <v/>
          </cell>
          <cell r="Q3855" t="str">
            <v/>
          </cell>
          <cell r="S3855" t="str">
            <v/>
          </cell>
          <cell r="V3855" t="str">
            <v/>
          </cell>
          <cell r="Z3855" t="str">
            <v/>
          </cell>
          <cell r="AA3855" t="str">
            <v/>
          </cell>
          <cell r="AB3855" t="str">
            <v/>
          </cell>
          <cell r="AC3855" t="str">
            <v/>
          </cell>
          <cell r="AD3855" t="str">
            <v/>
          </cell>
          <cell r="AY3855" t="str">
            <v/>
          </cell>
          <cell r="AZ3855" t="str">
            <v/>
          </cell>
          <cell r="BA3855" t="str">
            <v/>
          </cell>
        </row>
        <row r="3856">
          <cell r="B3856" t="str">
            <v>-</v>
          </cell>
          <cell r="E3856" t="str">
            <v/>
          </cell>
          <cell r="G3856" t="str">
            <v/>
          </cell>
          <cell r="J3856" t="str">
            <v/>
          </cell>
          <cell r="O3856" t="str">
            <v/>
          </cell>
          <cell r="P3856" t="str">
            <v/>
          </cell>
          <cell r="Q3856" t="str">
            <v/>
          </cell>
          <cell r="S3856" t="str">
            <v/>
          </cell>
          <cell r="V3856" t="str">
            <v/>
          </cell>
          <cell r="Z3856" t="str">
            <v/>
          </cell>
          <cell r="AA3856" t="str">
            <v/>
          </cell>
          <cell r="AB3856" t="str">
            <v/>
          </cell>
          <cell r="AC3856" t="str">
            <v/>
          </cell>
          <cell r="AD3856" t="str">
            <v/>
          </cell>
          <cell r="AY3856" t="str">
            <v/>
          </cell>
          <cell r="AZ3856" t="str">
            <v/>
          </cell>
          <cell r="BA3856" t="str">
            <v/>
          </cell>
        </row>
        <row r="3857">
          <cell r="B3857" t="str">
            <v>-</v>
          </cell>
          <cell r="E3857" t="str">
            <v/>
          </cell>
          <cell r="G3857" t="str">
            <v/>
          </cell>
          <cell r="J3857" t="str">
            <v/>
          </cell>
          <cell r="O3857" t="str">
            <v/>
          </cell>
          <cell r="P3857" t="str">
            <v/>
          </cell>
          <cell r="Q3857" t="str">
            <v/>
          </cell>
          <cell r="S3857" t="str">
            <v/>
          </cell>
          <cell r="V3857" t="str">
            <v/>
          </cell>
          <cell r="Z3857" t="str">
            <v/>
          </cell>
          <cell r="AA3857" t="str">
            <v/>
          </cell>
          <cell r="AB3857" t="str">
            <v/>
          </cell>
          <cell r="AC3857" t="str">
            <v/>
          </cell>
          <cell r="AD3857" t="str">
            <v/>
          </cell>
          <cell r="AY3857" t="str">
            <v/>
          </cell>
          <cell r="AZ3857" t="str">
            <v/>
          </cell>
          <cell r="BA3857" t="str">
            <v/>
          </cell>
        </row>
        <row r="3858">
          <cell r="B3858" t="str">
            <v>-</v>
          </cell>
          <cell r="E3858" t="str">
            <v/>
          </cell>
          <cell r="G3858" t="str">
            <v/>
          </cell>
          <cell r="J3858" t="str">
            <v/>
          </cell>
          <cell r="O3858" t="str">
            <v/>
          </cell>
          <cell r="P3858" t="str">
            <v/>
          </cell>
          <cell r="Q3858" t="str">
            <v/>
          </cell>
          <cell r="S3858" t="str">
            <v/>
          </cell>
          <cell r="V3858" t="str">
            <v/>
          </cell>
          <cell r="Z3858" t="str">
            <v/>
          </cell>
          <cell r="AA3858" t="str">
            <v/>
          </cell>
          <cell r="AB3858" t="str">
            <v/>
          </cell>
          <cell r="AC3858" t="str">
            <v/>
          </cell>
          <cell r="AD3858" t="str">
            <v/>
          </cell>
          <cell r="AY3858" t="str">
            <v/>
          </cell>
          <cell r="AZ3858" t="str">
            <v/>
          </cell>
          <cell r="BA3858" t="str">
            <v/>
          </cell>
        </row>
        <row r="3859">
          <cell r="B3859" t="str">
            <v>-</v>
          </cell>
          <cell r="E3859" t="str">
            <v/>
          </cell>
          <cell r="G3859" t="str">
            <v/>
          </cell>
          <cell r="J3859" t="str">
            <v/>
          </cell>
          <cell r="O3859" t="str">
            <v/>
          </cell>
          <cell r="P3859" t="str">
            <v/>
          </cell>
          <cell r="Q3859" t="str">
            <v/>
          </cell>
          <cell r="S3859" t="str">
            <v/>
          </cell>
          <cell r="V3859" t="str">
            <v/>
          </cell>
          <cell r="Z3859" t="str">
            <v/>
          </cell>
          <cell r="AA3859" t="str">
            <v/>
          </cell>
          <cell r="AB3859" t="str">
            <v/>
          </cell>
          <cell r="AC3859" t="str">
            <v/>
          </cell>
          <cell r="AD3859" t="str">
            <v/>
          </cell>
          <cell r="AY3859" t="str">
            <v/>
          </cell>
          <cell r="AZ3859" t="str">
            <v/>
          </cell>
          <cell r="BA3859" t="str">
            <v/>
          </cell>
        </row>
        <row r="3860">
          <cell r="B3860" t="str">
            <v>-</v>
          </cell>
          <cell r="E3860" t="str">
            <v/>
          </cell>
          <cell r="G3860" t="str">
            <v/>
          </cell>
          <cell r="J3860" t="str">
            <v/>
          </cell>
          <cell r="O3860" t="str">
            <v/>
          </cell>
          <cell r="P3860" t="str">
            <v/>
          </cell>
          <cell r="Q3860" t="str">
            <v/>
          </cell>
          <cell r="S3860" t="str">
            <v/>
          </cell>
          <cell r="V3860" t="str">
            <v/>
          </cell>
          <cell r="Z3860" t="str">
            <v/>
          </cell>
          <cell r="AA3860" t="str">
            <v/>
          </cell>
          <cell r="AB3860" t="str">
            <v/>
          </cell>
          <cell r="AC3860" t="str">
            <v/>
          </cell>
          <cell r="AD3860" t="str">
            <v/>
          </cell>
          <cell r="AY3860" t="str">
            <v/>
          </cell>
          <cell r="AZ3860" t="str">
            <v/>
          </cell>
          <cell r="BA3860" t="str">
            <v/>
          </cell>
        </row>
        <row r="3861">
          <cell r="B3861" t="str">
            <v>-</v>
          </cell>
          <cell r="E3861" t="str">
            <v/>
          </cell>
          <cell r="G3861" t="str">
            <v/>
          </cell>
          <cell r="J3861" t="str">
            <v/>
          </cell>
          <cell r="O3861" t="str">
            <v/>
          </cell>
          <cell r="P3861" t="str">
            <v/>
          </cell>
          <cell r="Q3861" t="str">
            <v/>
          </cell>
          <cell r="S3861" t="str">
            <v/>
          </cell>
          <cell r="V3861" t="str">
            <v/>
          </cell>
          <cell r="Z3861" t="str">
            <v/>
          </cell>
          <cell r="AA3861" t="str">
            <v/>
          </cell>
          <cell r="AB3861" t="str">
            <v/>
          </cell>
          <cell r="AC3861" t="str">
            <v/>
          </cell>
          <cell r="AD3861" t="str">
            <v/>
          </cell>
          <cell r="AY3861" t="str">
            <v/>
          </cell>
          <cell r="AZ3861" t="str">
            <v/>
          </cell>
          <cell r="BA3861" t="str">
            <v/>
          </cell>
        </row>
        <row r="3862">
          <cell r="B3862" t="str">
            <v>-</v>
          </cell>
          <cell r="E3862" t="str">
            <v/>
          </cell>
          <cell r="G3862" t="str">
            <v/>
          </cell>
          <cell r="J3862" t="str">
            <v/>
          </cell>
          <cell r="O3862" t="str">
            <v/>
          </cell>
          <cell r="P3862" t="str">
            <v/>
          </cell>
          <cell r="Q3862" t="str">
            <v/>
          </cell>
          <cell r="S3862" t="str">
            <v/>
          </cell>
          <cell r="V3862" t="str">
            <v/>
          </cell>
          <cell r="Z3862" t="str">
            <v/>
          </cell>
          <cell r="AA3862" t="str">
            <v/>
          </cell>
          <cell r="AB3862" t="str">
            <v/>
          </cell>
          <cell r="AC3862" t="str">
            <v/>
          </cell>
          <cell r="AD3862" t="str">
            <v/>
          </cell>
          <cell r="AY3862" t="str">
            <v/>
          </cell>
          <cell r="AZ3862" t="str">
            <v/>
          </cell>
          <cell r="BA3862" t="str">
            <v/>
          </cell>
        </row>
        <row r="3863">
          <cell r="B3863" t="str">
            <v>-</v>
          </cell>
          <cell r="E3863" t="str">
            <v/>
          </cell>
          <cell r="G3863" t="str">
            <v/>
          </cell>
          <cell r="J3863" t="str">
            <v/>
          </cell>
          <cell r="O3863" t="str">
            <v/>
          </cell>
          <cell r="P3863" t="str">
            <v/>
          </cell>
          <cell r="Q3863" t="str">
            <v/>
          </cell>
          <cell r="S3863" t="str">
            <v/>
          </cell>
          <cell r="V3863" t="str">
            <v/>
          </cell>
          <cell r="Z3863" t="str">
            <v/>
          </cell>
          <cell r="AA3863" t="str">
            <v/>
          </cell>
          <cell r="AB3863" t="str">
            <v/>
          </cell>
          <cell r="AC3863" t="str">
            <v/>
          </cell>
          <cell r="AD3863" t="str">
            <v/>
          </cell>
          <cell r="AY3863" t="str">
            <v/>
          </cell>
          <cell r="AZ3863" t="str">
            <v/>
          </cell>
          <cell r="BA3863" t="str">
            <v/>
          </cell>
        </row>
        <row r="3864">
          <cell r="B3864" t="str">
            <v>-</v>
          </cell>
          <cell r="E3864" t="str">
            <v/>
          </cell>
          <cell r="G3864" t="str">
            <v/>
          </cell>
          <cell r="J3864" t="str">
            <v/>
          </cell>
          <cell r="O3864" t="str">
            <v/>
          </cell>
          <cell r="P3864" t="str">
            <v/>
          </cell>
          <cell r="Q3864" t="str">
            <v/>
          </cell>
          <cell r="S3864" t="str">
            <v/>
          </cell>
          <cell r="V3864" t="str">
            <v/>
          </cell>
          <cell r="Z3864" t="str">
            <v/>
          </cell>
          <cell r="AA3864" t="str">
            <v/>
          </cell>
          <cell r="AB3864" t="str">
            <v/>
          </cell>
          <cell r="AC3864" t="str">
            <v/>
          </cell>
          <cell r="AD3864" t="str">
            <v/>
          </cell>
          <cell r="AY3864" t="str">
            <v/>
          </cell>
          <cell r="AZ3864" t="str">
            <v/>
          </cell>
          <cell r="BA3864" t="str">
            <v/>
          </cell>
        </row>
        <row r="3865">
          <cell r="B3865" t="str">
            <v>-</v>
          </cell>
          <cell r="E3865" t="str">
            <v/>
          </cell>
          <cell r="G3865" t="str">
            <v/>
          </cell>
          <cell r="J3865" t="str">
            <v/>
          </cell>
          <cell r="O3865" t="str">
            <v/>
          </cell>
          <cell r="P3865" t="str">
            <v/>
          </cell>
          <cell r="Q3865" t="str">
            <v/>
          </cell>
          <cell r="S3865" t="str">
            <v/>
          </cell>
          <cell r="V3865" t="str">
            <v/>
          </cell>
          <cell r="Z3865" t="str">
            <v/>
          </cell>
          <cell r="AA3865" t="str">
            <v/>
          </cell>
          <cell r="AB3865" t="str">
            <v/>
          </cell>
          <cell r="AC3865" t="str">
            <v/>
          </cell>
          <cell r="AD3865" t="str">
            <v/>
          </cell>
          <cell r="AY3865" t="str">
            <v/>
          </cell>
          <cell r="AZ3865" t="str">
            <v/>
          </cell>
          <cell r="BA3865" t="str">
            <v/>
          </cell>
        </row>
        <row r="3866">
          <cell r="B3866" t="str">
            <v>-</v>
          </cell>
          <cell r="E3866" t="str">
            <v/>
          </cell>
          <cell r="G3866" t="str">
            <v/>
          </cell>
          <cell r="J3866" t="str">
            <v/>
          </cell>
          <cell r="O3866" t="str">
            <v/>
          </cell>
          <cell r="P3866" t="str">
            <v/>
          </cell>
          <cell r="Q3866" t="str">
            <v/>
          </cell>
          <cell r="S3866" t="str">
            <v/>
          </cell>
          <cell r="V3866" t="str">
            <v/>
          </cell>
          <cell r="Z3866" t="str">
            <v/>
          </cell>
          <cell r="AA3866" t="str">
            <v/>
          </cell>
          <cell r="AB3866" t="str">
            <v/>
          </cell>
          <cell r="AC3866" t="str">
            <v/>
          </cell>
          <cell r="AD3866" t="str">
            <v/>
          </cell>
          <cell r="AY3866" t="str">
            <v/>
          </cell>
          <cell r="AZ3866" t="str">
            <v/>
          </cell>
          <cell r="BA3866" t="str">
            <v/>
          </cell>
        </row>
        <row r="3867">
          <cell r="B3867" t="str">
            <v>-</v>
          </cell>
          <cell r="E3867" t="str">
            <v/>
          </cell>
          <cell r="G3867" t="str">
            <v/>
          </cell>
          <cell r="J3867" t="str">
            <v/>
          </cell>
          <cell r="O3867" t="str">
            <v/>
          </cell>
          <cell r="P3867" t="str">
            <v/>
          </cell>
          <cell r="Q3867" t="str">
            <v/>
          </cell>
          <cell r="S3867" t="str">
            <v/>
          </cell>
          <cell r="V3867" t="str">
            <v/>
          </cell>
          <cell r="Z3867" t="str">
            <v/>
          </cell>
          <cell r="AA3867" t="str">
            <v/>
          </cell>
          <cell r="AB3867" t="str">
            <v/>
          </cell>
          <cell r="AC3867" t="str">
            <v/>
          </cell>
          <cell r="AD3867" t="str">
            <v/>
          </cell>
          <cell r="AY3867" t="str">
            <v/>
          </cell>
          <cell r="AZ3867" t="str">
            <v/>
          </cell>
          <cell r="BA3867" t="str">
            <v/>
          </cell>
        </row>
        <row r="3868">
          <cell r="B3868" t="str">
            <v>-</v>
          </cell>
          <cell r="E3868" t="str">
            <v/>
          </cell>
          <cell r="G3868" t="str">
            <v/>
          </cell>
          <cell r="J3868" t="str">
            <v/>
          </cell>
          <cell r="O3868" t="str">
            <v/>
          </cell>
          <cell r="P3868" t="str">
            <v/>
          </cell>
          <cell r="Q3868" t="str">
            <v/>
          </cell>
          <cell r="S3868" t="str">
            <v/>
          </cell>
          <cell r="V3868" t="str">
            <v/>
          </cell>
          <cell r="Z3868" t="str">
            <v/>
          </cell>
          <cell r="AA3868" t="str">
            <v/>
          </cell>
          <cell r="AB3868" t="str">
            <v/>
          </cell>
          <cell r="AC3868" t="str">
            <v/>
          </cell>
          <cell r="AD3868" t="str">
            <v/>
          </cell>
          <cell r="AY3868" t="str">
            <v/>
          </cell>
          <cell r="AZ3868" t="str">
            <v/>
          </cell>
          <cell r="BA3868" t="str">
            <v/>
          </cell>
        </row>
        <row r="3869">
          <cell r="B3869" t="str">
            <v>-</v>
          </cell>
          <cell r="E3869" t="str">
            <v/>
          </cell>
          <cell r="G3869" t="str">
            <v/>
          </cell>
          <cell r="J3869" t="str">
            <v/>
          </cell>
          <cell r="O3869" t="str">
            <v/>
          </cell>
          <cell r="P3869" t="str">
            <v/>
          </cell>
          <cell r="Q3869" t="str">
            <v/>
          </cell>
          <cell r="S3869" t="str">
            <v/>
          </cell>
          <cell r="V3869" t="str">
            <v/>
          </cell>
          <cell r="Z3869" t="str">
            <v/>
          </cell>
          <cell r="AA3869" t="str">
            <v/>
          </cell>
          <cell r="AB3869" t="str">
            <v/>
          </cell>
          <cell r="AC3869" t="str">
            <v/>
          </cell>
          <cell r="AD3869" t="str">
            <v/>
          </cell>
          <cell r="AY3869" t="str">
            <v/>
          </cell>
          <cell r="AZ3869" t="str">
            <v/>
          </cell>
          <cell r="BA3869" t="str">
            <v/>
          </cell>
        </row>
        <row r="3870">
          <cell r="B3870" t="str">
            <v>-</v>
          </cell>
          <cell r="E3870" t="str">
            <v/>
          </cell>
          <cell r="G3870" t="str">
            <v/>
          </cell>
          <cell r="J3870" t="str">
            <v/>
          </cell>
          <cell r="O3870" t="str">
            <v/>
          </cell>
          <cell r="P3870" t="str">
            <v/>
          </cell>
          <cell r="Q3870" t="str">
            <v/>
          </cell>
          <cell r="S3870" t="str">
            <v/>
          </cell>
          <cell r="V3870" t="str">
            <v/>
          </cell>
          <cell r="Z3870" t="str">
            <v/>
          </cell>
          <cell r="AA3870" t="str">
            <v/>
          </cell>
          <cell r="AB3870" t="str">
            <v/>
          </cell>
          <cell r="AC3870" t="str">
            <v/>
          </cell>
          <cell r="AD3870" t="str">
            <v/>
          </cell>
          <cell r="AY3870" t="str">
            <v/>
          </cell>
          <cell r="AZ3870" t="str">
            <v/>
          </cell>
          <cell r="BA3870" t="str">
            <v/>
          </cell>
        </row>
        <row r="3871">
          <cell r="B3871" t="str">
            <v>-</v>
          </cell>
          <cell r="E3871" t="str">
            <v/>
          </cell>
          <cell r="G3871" t="str">
            <v/>
          </cell>
          <cell r="J3871" t="str">
            <v/>
          </cell>
          <cell r="O3871" t="str">
            <v/>
          </cell>
          <cell r="P3871" t="str">
            <v/>
          </cell>
          <cell r="Q3871" t="str">
            <v/>
          </cell>
          <cell r="S3871" t="str">
            <v/>
          </cell>
          <cell r="V3871" t="str">
            <v/>
          </cell>
          <cell r="Z3871" t="str">
            <v/>
          </cell>
          <cell r="AA3871" t="str">
            <v/>
          </cell>
          <cell r="AB3871" t="str">
            <v/>
          </cell>
          <cell r="AC3871" t="str">
            <v/>
          </cell>
          <cell r="AD3871" t="str">
            <v/>
          </cell>
          <cell r="AY3871" t="str">
            <v/>
          </cell>
          <cell r="AZ3871" t="str">
            <v/>
          </cell>
          <cell r="BA3871" t="str">
            <v/>
          </cell>
        </row>
        <row r="3872">
          <cell r="B3872" t="str">
            <v>-</v>
          </cell>
          <cell r="E3872" t="str">
            <v/>
          </cell>
          <cell r="G3872" t="str">
            <v/>
          </cell>
          <cell r="J3872" t="str">
            <v/>
          </cell>
          <cell r="O3872" t="str">
            <v/>
          </cell>
          <cell r="P3872" t="str">
            <v/>
          </cell>
          <cell r="Q3872" t="str">
            <v/>
          </cell>
          <cell r="S3872" t="str">
            <v/>
          </cell>
          <cell r="V3872" t="str">
            <v/>
          </cell>
          <cell r="Z3872" t="str">
            <v/>
          </cell>
          <cell r="AA3872" t="str">
            <v/>
          </cell>
          <cell r="AB3872" t="str">
            <v/>
          </cell>
          <cell r="AC3872" t="str">
            <v/>
          </cell>
          <cell r="AD3872" t="str">
            <v/>
          </cell>
          <cell r="AY3872" t="str">
            <v/>
          </cell>
          <cell r="AZ3872" t="str">
            <v/>
          </cell>
          <cell r="BA3872" t="str">
            <v/>
          </cell>
        </row>
        <row r="3873">
          <cell r="B3873" t="str">
            <v>-</v>
          </cell>
          <cell r="E3873" t="str">
            <v/>
          </cell>
          <cell r="G3873" t="str">
            <v/>
          </cell>
          <cell r="J3873" t="str">
            <v/>
          </cell>
          <cell r="O3873" t="str">
            <v/>
          </cell>
          <cell r="P3873" t="str">
            <v/>
          </cell>
          <cell r="Q3873" t="str">
            <v/>
          </cell>
          <cell r="S3873" t="str">
            <v/>
          </cell>
          <cell r="V3873" t="str">
            <v/>
          </cell>
          <cell r="Z3873" t="str">
            <v/>
          </cell>
          <cell r="AA3873" t="str">
            <v/>
          </cell>
          <cell r="AB3873" t="str">
            <v/>
          </cell>
          <cell r="AC3873" t="str">
            <v/>
          </cell>
          <cell r="AD3873" t="str">
            <v/>
          </cell>
          <cell r="AY3873" t="str">
            <v/>
          </cell>
          <cell r="AZ3873" t="str">
            <v/>
          </cell>
          <cell r="BA3873" t="str">
            <v/>
          </cell>
        </row>
        <row r="3874">
          <cell r="B3874" t="str">
            <v>-</v>
          </cell>
          <cell r="E3874" t="str">
            <v/>
          </cell>
          <cell r="G3874" t="str">
            <v/>
          </cell>
          <cell r="J3874" t="str">
            <v/>
          </cell>
          <cell r="O3874" t="str">
            <v/>
          </cell>
          <cell r="P3874" t="str">
            <v/>
          </cell>
          <cell r="Q3874" t="str">
            <v/>
          </cell>
          <cell r="S3874" t="str">
            <v/>
          </cell>
          <cell r="V3874" t="str">
            <v/>
          </cell>
          <cell r="Z3874" t="str">
            <v/>
          </cell>
          <cell r="AA3874" t="str">
            <v/>
          </cell>
          <cell r="AB3874" t="str">
            <v/>
          </cell>
          <cell r="AC3874" t="str">
            <v/>
          </cell>
          <cell r="AD3874" t="str">
            <v/>
          </cell>
          <cell r="AY3874" t="str">
            <v/>
          </cell>
          <cell r="AZ3874" t="str">
            <v/>
          </cell>
          <cell r="BA3874" t="str">
            <v/>
          </cell>
        </row>
        <row r="3875">
          <cell r="B3875" t="str">
            <v>-</v>
          </cell>
          <cell r="E3875" t="str">
            <v/>
          </cell>
          <cell r="G3875" t="str">
            <v/>
          </cell>
          <cell r="J3875" t="str">
            <v/>
          </cell>
          <cell r="O3875" t="str">
            <v/>
          </cell>
          <cell r="P3875" t="str">
            <v/>
          </cell>
          <cell r="Q3875" t="str">
            <v/>
          </cell>
          <cell r="S3875" t="str">
            <v/>
          </cell>
          <cell r="V3875" t="str">
            <v/>
          </cell>
          <cell r="Z3875" t="str">
            <v/>
          </cell>
          <cell r="AA3875" t="str">
            <v/>
          </cell>
          <cell r="AB3875" t="str">
            <v/>
          </cell>
          <cell r="AC3875" t="str">
            <v/>
          </cell>
          <cell r="AD3875" t="str">
            <v/>
          </cell>
          <cell r="AY3875" t="str">
            <v/>
          </cell>
          <cell r="AZ3875" t="str">
            <v/>
          </cell>
          <cell r="BA3875" t="str">
            <v/>
          </cell>
        </row>
        <row r="3876">
          <cell r="B3876" t="str">
            <v>-</v>
          </cell>
          <cell r="E3876" t="str">
            <v/>
          </cell>
          <cell r="G3876" t="str">
            <v/>
          </cell>
          <cell r="J3876" t="str">
            <v/>
          </cell>
          <cell r="O3876" t="str">
            <v/>
          </cell>
          <cell r="P3876" t="str">
            <v/>
          </cell>
          <cell r="Q3876" t="str">
            <v/>
          </cell>
          <cell r="S3876" t="str">
            <v/>
          </cell>
          <cell r="V3876" t="str">
            <v/>
          </cell>
          <cell r="Z3876" t="str">
            <v/>
          </cell>
          <cell r="AA3876" t="str">
            <v/>
          </cell>
          <cell r="AB3876" t="str">
            <v/>
          </cell>
          <cell r="AC3876" t="str">
            <v/>
          </cell>
          <cell r="AD3876" t="str">
            <v/>
          </cell>
          <cell r="AY3876" t="str">
            <v/>
          </cell>
          <cell r="AZ3876" t="str">
            <v/>
          </cell>
          <cell r="BA3876" t="str">
            <v/>
          </cell>
        </row>
        <row r="3877">
          <cell r="B3877" t="str">
            <v>-</v>
          </cell>
          <cell r="E3877" t="str">
            <v/>
          </cell>
          <cell r="G3877" t="str">
            <v/>
          </cell>
          <cell r="J3877" t="str">
            <v/>
          </cell>
          <cell r="O3877" t="str">
            <v/>
          </cell>
          <cell r="P3877" t="str">
            <v/>
          </cell>
          <cell r="Q3877" t="str">
            <v/>
          </cell>
          <cell r="S3877" t="str">
            <v/>
          </cell>
          <cell r="V3877" t="str">
            <v/>
          </cell>
          <cell r="Z3877" t="str">
            <v/>
          </cell>
          <cell r="AA3877" t="str">
            <v/>
          </cell>
          <cell r="AB3877" t="str">
            <v/>
          </cell>
          <cell r="AC3877" t="str">
            <v/>
          </cell>
          <cell r="AD3877" t="str">
            <v/>
          </cell>
          <cell r="AY3877" t="str">
            <v/>
          </cell>
          <cell r="AZ3877" t="str">
            <v/>
          </cell>
          <cell r="BA3877" t="str">
            <v/>
          </cell>
        </row>
        <row r="3878">
          <cell r="B3878" t="str">
            <v>-</v>
          </cell>
          <cell r="E3878" t="str">
            <v/>
          </cell>
          <cell r="G3878" t="str">
            <v/>
          </cell>
          <cell r="J3878" t="str">
            <v/>
          </cell>
          <cell r="O3878" t="str">
            <v/>
          </cell>
          <cell r="P3878" t="str">
            <v/>
          </cell>
          <cell r="Q3878" t="str">
            <v/>
          </cell>
          <cell r="S3878" t="str">
            <v/>
          </cell>
          <cell r="V3878" t="str">
            <v/>
          </cell>
          <cell r="Z3878" t="str">
            <v/>
          </cell>
          <cell r="AA3878" t="str">
            <v/>
          </cell>
          <cell r="AB3878" t="str">
            <v/>
          </cell>
          <cell r="AC3878" t="str">
            <v/>
          </cell>
          <cell r="AD3878" t="str">
            <v/>
          </cell>
          <cell r="AY3878" t="str">
            <v/>
          </cell>
          <cell r="AZ3878" t="str">
            <v/>
          </cell>
          <cell r="BA3878" t="str">
            <v/>
          </cell>
        </row>
        <row r="3879">
          <cell r="B3879" t="str">
            <v>-</v>
          </cell>
          <cell r="E3879" t="str">
            <v/>
          </cell>
          <cell r="G3879" t="str">
            <v/>
          </cell>
          <cell r="J3879" t="str">
            <v/>
          </cell>
          <cell r="O3879" t="str">
            <v/>
          </cell>
          <cell r="P3879" t="str">
            <v/>
          </cell>
          <cell r="Q3879" t="str">
            <v/>
          </cell>
          <cell r="S3879" t="str">
            <v/>
          </cell>
          <cell r="V3879" t="str">
            <v/>
          </cell>
          <cell r="Z3879" t="str">
            <v/>
          </cell>
          <cell r="AA3879" t="str">
            <v/>
          </cell>
          <cell r="AB3879" t="str">
            <v/>
          </cell>
          <cell r="AC3879" t="str">
            <v/>
          </cell>
          <cell r="AD3879" t="str">
            <v/>
          </cell>
          <cell r="AY3879" t="str">
            <v/>
          </cell>
          <cell r="AZ3879" t="str">
            <v/>
          </cell>
          <cell r="BA3879" t="str">
            <v/>
          </cell>
        </row>
        <row r="3880">
          <cell r="B3880" t="str">
            <v>-</v>
          </cell>
          <cell r="E3880" t="str">
            <v/>
          </cell>
          <cell r="G3880" t="str">
            <v/>
          </cell>
          <cell r="J3880" t="str">
            <v/>
          </cell>
          <cell r="O3880" t="str">
            <v/>
          </cell>
          <cell r="P3880" t="str">
            <v/>
          </cell>
          <cell r="Q3880" t="str">
            <v/>
          </cell>
          <cell r="S3880" t="str">
            <v/>
          </cell>
          <cell r="V3880" t="str">
            <v/>
          </cell>
          <cell r="Z3880" t="str">
            <v/>
          </cell>
          <cell r="AA3880" t="str">
            <v/>
          </cell>
          <cell r="AB3880" t="str">
            <v/>
          </cell>
          <cell r="AC3880" t="str">
            <v/>
          </cell>
          <cell r="AD3880" t="str">
            <v/>
          </cell>
          <cell r="AY3880" t="str">
            <v/>
          </cell>
          <cell r="AZ3880" t="str">
            <v/>
          </cell>
          <cell r="BA3880" t="str">
            <v/>
          </cell>
        </row>
        <row r="3881">
          <cell r="B3881" t="str">
            <v>-</v>
          </cell>
          <cell r="E3881" t="str">
            <v/>
          </cell>
          <cell r="G3881" t="str">
            <v/>
          </cell>
          <cell r="J3881" t="str">
            <v/>
          </cell>
          <cell r="O3881" t="str">
            <v/>
          </cell>
          <cell r="P3881" t="str">
            <v/>
          </cell>
          <cell r="Q3881" t="str">
            <v/>
          </cell>
          <cell r="S3881" t="str">
            <v/>
          </cell>
          <cell r="V3881" t="str">
            <v/>
          </cell>
          <cell r="Z3881" t="str">
            <v/>
          </cell>
          <cell r="AA3881" t="str">
            <v/>
          </cell>
          <cell r="AB3881" t="str">
            <v/>
          </cell>
          <cell r="AC3881" t="str">
            <v/>
          </cell>
          <cell r="AD3881" t="str">
            <v/>
          </cell>
          <cell r="AY3881" t="str">
            <v/>
          </cell>
          <cell r="AZ3881" t="str">
            <v/>
          </cell>
          <cell r="BA3881" t="str">
            <v/>
          </cell>
        </row>
        <row r="3882">
          <cell r="B3882" t="str">
            <v>-</v>
          </cell>
          <cell r="E3882" t="str">
            <v/>
          </cell>
          <cell r="G3882" t="str">
            <v/>
          </cell>
          <cell r="J3882" t="str">
            <v/>
          </cell>
          <cell r="O3882" t="str">
            <v/>
          </cell>
          <cell r="P3882" t="str">
            <v/>
          </cell>
          <cell r="Q3882" t="str">
            <v/>
          </cell>
          <cell r="S3882" t="str">
            <v/>
          </cell>
          <cell r="V3882" t="str">
            <v/>
          </cell>
          <cell r="Z3882" t="str">
            <v/>
          </cell>
          <cell r="AA3882" t="str">
            <v/>
          </cell>
          <cell r="AB3882" t="str">
            <v/>
          </cell>
          <cell r="AC3882" t="str">
            <v/>
          </cell>
          <cell r="AD3882" t="str">
            <v/>
          </cell>
          <cell r="AY3882" t="str">
            <v/>
          </cell>
          <cell r="AZ3882" t="str">
            <v/>
          </cell>
          <cell r="BA3882" t="str">
            <v/>
          </cell>
        </row>
        <row r="3883">
          <cell r="B3883" t="str">
            <v>-</v>
          </cell>
          <cell r="E3883" t="str">
            <v/>
          </cell>
          <cell r="G3883" t="str">
            <v/>
          </cell>
          <cell r="J3883" t="str">
            <v/>
          </cell>
          <cell r="O3883" t="str">
            <v/>
          </cell>
          <cell r="P3883" t="str">
            <v/>
          </cell>
          <cell r="Q3883" t="str">
            <v/>
          </cell>
          <cell r="S3883" t="str">
            <v/>
          </cell>
          <cell r="V3883" t="str">
            <v/>
          </cell>
          <cell r="Z3883" t="str">
            <v/>
          </cell>
          <cell r="AA3883" t="str">
            <v/>
          </cell>
          <cell r="AB3883" t="str">
            <v/>
          </cell>
          <cell r="AC3883" t="str">
            <v/>
          </cell>
          <cell r="AD3883" t="str">
            <v/>
          </cell>
          <cell r="AY3883" t="str">
            <v/>
          </cell>
          <cell r="AZ3883" t="str">
            <v/>
          </cell>
          <cell r="BA3883" t="str">
            <v/>
          </cell>
        </row>
        <row r="3884">
          <cell r="B3884" t="str">
            <v>-</v>
          </cell>
          <cell r="E3884" t="str">
            <v/>
          </cell>
          <cell r="G3884" t="str">
            <v/>
          </cell>
          <cell r="J3884" t="str">
            <v/>
          </cell>
          <cell r="O3884" t="str">
            <v/>
          </cell>
          <cell r="P3884" t="str">
            <v/>
          </cell>
          <cell r="Q3884" t="str">
            <v/>
          </cell>
          <cell r="S3884" t="str">
            <v/>
          </cell>
          <cell r="V3884" t="str">
            <v/>
          </cell>
          <cell r="Z3884" t="str">
            <v/>
          </cell>
          <cell r="AA3884" t="str">
            <v/>
          </cell>
          <cell r="AB3884" t="str">
            <v/>
          </cell>
          <cell r="AC3884" t="str">
            <v/>
          </cell>
          <cell r="AD3884" t="str">
            <v/>
          </cell>
          <cell r="AY3884" t="str">
            <v/>
          </cell>
          <cell r="AZ3884" t="str">
            <v/>
          </cell>
          <cell r="BA3884" t="str">
            <v/>
          </cell>
        </row>
        <row r="3885">
          <cell r="B3885" t="str">
            <v>-</v>
          </cell>
          <cell r="E3885" t="str">
            <v/>
          </cell>
          <cell r="G3885" t="str">
            <v/>
          </cell>
          <cell r="J3885" t="str">
            <v/>
          </cell>
          <cell r="O3885" t="str">
            <v/>
          </cell>
          <cell r="P3885" t="str">
            <v/>
          </cell>
          <cell r="Q3885" t="str">
            <v/>
          </cell>
          <cell r="S3885" t="str">
            <v/>
          </cell>
          <cell r="V3885" t="str">
            <v/>
          </cell>
          <cell r="Z3885" t="str">
            <v/>
          </cell>
          <cell r="AA3885" t="str">
            <v/>
          </cell>
          <cell r="AB3885" t="str">
            <v/>
          </cell>
          <cell r="AC3885" t="str">
            <v/>
          </cell>
          <cell r="AD3885" t="str">
            <v/>
          </cell>
          <cell r="AY3885" t="str">
            <v/>
          </cell>
          <cell r="AZ3885" t="str">
            <v/>
          </cell>
          <cell r="BA3885" t="str">
            <v/>
          </cell>
        </row>
        <row r="3886">
          <cell r="B3886" t="str">
            <v>-</v>
          </cell>
          <cell r="E3886" t="str">
            <v/>
          </cell>
          <cell r="G3886" t="str">
            <v/>
          </cell>
          <cell r="J3886" t="str">
            <v/>
          </cell>
          <cell r="O3886" t="str">
            <v/>
          </cell>
          <cell r="P3886" t="str">
            <v/>
          </cell>
          <cell r="Q3886" t="str">
            <v/>
          </cell>
          <cell r="S3886" t="str">
            <v/>
          </cell>
          <cell r="V3886" t="str">
            <v/>
          </cell>
          <cell r="Z3886" t="str">
            <v/>
          </cell>
          <cell r="AA3886" t="str">
            <v/>
          </cell>
          <cell r="AB3886" t="str">
            <v/>
          </cell>
          <cell r="AC3886" t="str">
            <v/>
          </cell>
          <cell r="AD3886" t="str">
            <v/>
          </cell>
          <cell r="AY3886" t="str">
            <v/>
          </cell>
          <cell r="AZ3886" t="str">
            <v/>
          </cell>
          <cell r="BA3886" t="str">
            <v/>
          </cell>
        </row>
        <row r="3887">
          <cell r="B3887" t="str">
            <v>-</v>
          </cell>
          <cell r="E3887" t="str">
            <v/>
          </cell>
          <cell r="G3887" t="str">
            <v/>
          </cell>
          <cell r="J3887" t="str">
            <v/>
          </cell>
          <cell r="O3887" t="str">
            <v/>
          </cell>
          <cell r="P3887" t="str">
            <v/>
          </cell>
          <cell r="Q3887" t="str">
            <v/>
          </cell>
          <cell r="S3887" t="str">
            <v/>
          </cell>
          <cell r="V3887" t="str">
            <v/>
          </cell>
          <cell r="Z3887" t="str">
            <v/>
          </cell>
          <cell r="AA3887" t="str">
            <v/>
          </cell>
          <cell r="AB3887" t="str">
            <v/>
          </cell>
          <cell r="AC3887" t="str">
            <v/>
          </cell>
          <cell r="AD3887" t="str">
            <v/>
          </cell>
          <cell r="AY3887" t="str">
            <v/>
          </cell>
          <cell r="AZ3887" t="str">
            <v/>
          </cell>
          <cell r="BA3887" t="str">
            <v/>
          </cell>
        </row>
        <row r="3888">
          <cell r="B3888" t="str">
            <v>-</v>
          </cell>
          <cell r="E3888" t="str">
            <v/>
          </cell>
          <cell r="G3888" t="str">
            <v/>
          </cell>
          <cell r="J3888" t="str">
            <v/>
          </cell>
          <cell r="O3888" t="str">
            <v/>
          </cell>
          <cell r="P3888" t="str">
            <v/>
          </cell>
          <cell r="Q3888" t="str">
            <v/>
          </cell>
          <cell r="S3888" t="str">
            <v/>
          </cell>
          <cell r="V3888" t="str">
            <v/>
          </cell>
          <cell r="Z3888" t="str">
            <v/>
          </cell>
          <cell r="AA3888" t="str">
            <v/>
          </cell>
          <cell r="AB3888" t="str">
            <v/>
          </cell>
          <cell r="AC3888" t="str">
            <v/>
          </cell>
          <cell r="AD3888" t="str">
            <v/>
          </cell>
          <cell r="AY3888" t="str">
            <v/>
          </cell>
          <cell r="AZ3888" t="str">
            <v/>
          </cell>
          <cell r="BA3888" t="str">
            <v/>
          </cell>
        </row>
        <row r="3889">
          <cell r="B3889" t="str">
            <v>-</v>
          </cell>
          <cell r="E3889" t="str">
            <v/>
          </cell>
          <cell r="G3889" t="str">
            <v/>
          </cell>
          <cell r="J3889" t="str">
            <v/>
          </cell>
          <cell r="O3889" t="str">
            <v/>
          </cell>
          <cell r="P3889" t="str">
            <v/>
          </cell>
          <cell r="Q3889" t="str">
            <v/>
          </cell>
          <cell r="S3889" t="str">
            <v/>
          </cell>
          <cell r="V3889" t="str">
            <v/>
          </cell>
          <cell r="Z3889" t="str">
            <v/>
          </cell>
          <cell r="AA3889" t="str">
            <v/>
          </cell>
          <cell r="AB3889" t="str">
            <v/>
          </cell>
          <cell r="AC3889" t="str">
            <v/>
          </cell>
          <cell r="AD3889" t="str">
            <v/>
          </cell>
          <cell r="AY3889" t="str">
            <v/>
          </cell>
          <cell r="AZ3889" t="str">
            <v/>
          </cell>
          <cell r="BA3889" t="str">
            <v/>
          </cell>
        </row>
        <row r="3890">
          <cell r="B3890" t="str">
            <v>-</v>
          </cell>
          <cell r="E3890" t="str">
            <v/>
          </cell>
          <cell r="G3890" t="str">
            <v/>
          </cell>
          <cell r="J3890" t="str">
            <v/>
          </cell>
          <cell r="O3890" t="str">
            <v/>
          </cell>
          <cell r="P3890" t="str">
            <v/>
          </cell>
          <cell r="Q3890" t="str">
            <v/>
          </cell>
          <cell r="S3890" t="str">
            <v/>
          </cell>
          <cell r="V3890" t="str">
            <v/>
          </cell>
          <cell r="Z3890" t="str">
            <v/>
          </cell>
          <cell r="AA3890" t="str">
            <v/>
          </cell>
          <cell r="AB3890" t="str">
            <v/>
          </cell>
          <cell r="AC3890" t="str">
            <v/>
          </cell>
          <cell r="AD3890" t="str">
            <v/>
          </cell>
          <cell r="AY3890" t="str">
            <v/>
          </cell>
          <cell r="AZ3890" t="str">
            <v/>
          </cell>
          <cell r="BA3890" t="str">
            <v/>
          </cell>
        </row>
        <row r="3891">
          <cell r="B3891" t="str">
            <v>-</v>
          </cell>
          <cell r="E3891" t="str">
            <v/>
          </cell>
          <cell r="G3891" t="str">
            <v/>
          </cell>
          <cell r="J3891" t="str">
            <v/>
          </cell>
          <cell r="O3891" t="str">
            <v/>
          </cell>
          <cell r="P3891" t="str">
            <v/>
          </cell>
          <cell r="Q3891" t="str">
            <v/>
          </cell>
          <cell r="S3891" t="str">
            <v/>
          </cell>
          <cell r="V3891" t="str">
            <v/>
          </cell>
          <cell r="Z3891" t="str">
            <v/>
          </cell>
          <cell r="AA3891" t="str">
            <v/>
          </cell>
          <cell r="AB3891" t="str">
            <v/>
          </cell>
          <cell r="AC3891" t="str">
            <v/>
          </cell>
          <cell r="AD3891" t="str">
            <v/>
          </cell>
          <cell r="AY3891" t="str">
            <v/>
          </cell>
          <cell r="AZ3891" t="str">
            <v/>
          </cell>
          <cell r="BA3891" t="str">
            <v/>
          </cell>
        </row>
        <row r="3892">
          <cell r="B3892" t="str">
            <v>-</v>
          </cell>
          <cell r="E3892" t="str">
            <v/>
          </cell>
          <cell r="G3892" t="str">
            <v/>
          </cell>
          <cell r="J3892" t="str">
            <v/>
          </cell>
          <cell r="O3892" t="str">
            <v/>
          </cell>
          <cell r="P3892" t="str">
            <v/>
          </cell>
          <cell r="Q3892" t="str">
            <v/>
          </cell>
          <cell r="S3892" t="str">
            <v/>
          </cell>
          <cell r="V3892" t="str">
            <v/>
          </cell>
          <cell r="Z3892" t="str">
            <v/>
          </cell>
          <cell r="AA3892" t="str">
            <v/>
          </cell>
          <cell r="AB3892" t="str">
            <v/>
          </cell>
          <cell r="AC3892" t="str">
            <v/>
          </cell>
          <cell r="AD3892" t="str">
            <v/>
          </cell>
          <cell r="AY3892" t="str">
            <v/>
          </cell>
          <cell r="AZ3892" t="str">
            <v/>
          </cell>
          <cell r="BA3892" t="str">
            <v/>
          </cell>
        </row>
        <row r="3893">
          <cell r="B3893" t="str">
            <v>-</v>
          </cell>
          <cell r="E3893" t="str">
            <v/>
          </cell>
          <cell r="G3893" t="str">
            <v/>
          </cell>
          <cell r="J3893" t="str">
            <v/>
          </cell>
          <cell r="O3893" t="str">
            <v/>
          </cell>
          <cell r="P3893" t="str">
            <v/>
          </cell>
          <cell r="Q3893" t="str">
            <v/>
          </cell>
          <cell r="S3893" t="str">
            <v/>
          </cell>
          <cell r="V3893" t="str">
            <v/>
          </cell>
          <cell r="Z3893" t="str">
            <v/>
          </cell>
          <cell r="AA3893" t="str">
            <v/>
          </cell>
          <cell r="AB3893" t="str">
            <v/>
          </cell>
          <cell r="AC3893" t="str">
            <v/>
          </cell>
          <cell r="AD3893" t="str">
            <v/>
          </cell>
          <cell r="AY3893" t="str">
            <v/>
          </cell>
          <cell r="AZ3893" t="str">
            <v/>
          </cell>
          <cell r="BA3893" t="str">
            <v/>
          </cell>
        </row>
        <row r="3894">
          <cell r="B3894" t="str">
            <v>-</v>
          </cell>
          <cell r="E3894" t="str">
            <v/>
          </cell>
          <cell r="G3894" t="str">
            <v/>
          </cell>
          <cell r="J3894" t="str">
            <v/>
          </cell>
          <cell r="O3894" t="str">
            <v/>
          </cell>
          <cell r="P3894" t="str">
            <v/>
          </cell>
          <cell r="Q3894" t="str">
            <v/>
          </cell>
          <cell r="S3894" t="str">
            <v/>
          </cell>
          <cell r="V3894" t="str">
            <v/>
          </cell>
          <cell r="Z3894" t="str">
            <v/>
          </cell>
          <cell r="AA3894" t="str">
            <v/>
          </cell>
          <cell r="AB3894" t="str">
            <v/>
          </cell>
          <cell r="AC3894" t="str">
            <v/>
          </cell>
          <cell r="AD3894" t="str">
            <v/>
          </cell>
          <cell r="AY3894" t="str">
            <v/>
          </cell>
          <cell r="AZ3894" t="str">
            <v/>
          </cell>
          <cell r="BA3894" t="str">
            <v/>
          </cell>
        </row>
        <row r="3895">
          <cell r="B3895" t="str">
            <v>-</v>
          </cell>
          <cell r="E3895" t="str">
            <v/>
          </cell>
          <cell r="G3895" t="str">
            <v/>
          </cell>
          <cell r="J3895" t="str">
            <v/>
          </cell>
          <cell r="O3895" t="str">
            <v/>
          </cell>
          <cell r="P3895" t="str">
            <v/>
          </cell>
          <cell r="Q3895" t="str">
            <v/>
          </cell>
          <cell r="S3895" t="str">
            <v/>
          </cell>
          <cell r="V3895" t="str">
            <v/>
          </cell>
          <cell r="Z3895" t="str">
            <v/>
          </cell>
          <cell r="AA3895" t="str">
            <v/>
          </cell>
          <cell r="AB3895" t="str">
            <v/>
          </cell>
          <cell r="AC3895" t="str">
            <v/>
          </cell>
          <cell r="AD3895" t="str">
            <v/>
          </cell>
          <cell r="AY3895" t="str">
            <v/>
          </cell>
          <cell r="AZ3895" t="str">
            <v/>
          </cell>
          <cell r="BA3895" t="str">
            <v/>
          </cell>
        </row>
        <row r="3896">
          <cell r="B3896" t="str">
            <v>-</v>
          </cell>
          <cell r="E3896" t="str">
            <v/>
          </cell>
          <cell r="G3896" t="str">
            <v/>
          </cell>
          <cell r="J3896" t="str">
            <v/>
          </cell>
          <cell r="O3896" t="str">
            <v/>
          </cell>
          <cell r="P3896" t="str">
            <v/>
          </cell>
          <cell r="Q3896" t="str">
            <v/>
          </cell>
          <cell r="S3896" t="str">
            <v/>
          </cell>
          <cell r="V3896" t="str">
            <v/>
          </cell>
          <cell r="Z3896" t="str">
            <v/>
          </cell>
          <cell r="AA3896" t="str">
            <v/>
          </cell>
          <cell r="AB3896" t="str">
            <v/>
          </cell>
          <cell r="AC3896" t="str">
            <v/>
          </cell>
          <cell r="AD3896" t="str">
            <v/>
          </cell>
          <cell r="AY3896" t="str">
            <v/>
          </cell>
          <cell r="AZ3896" t="str">
            <v/>
          </cell>
          <cell r="BA3896" t="str">
            <v/>
          </cell>
        </row>
        <row r="3897">
          <cell r="B3897" t="str">
            <v>-</v>
          </cell>
          <cell r="E3897" t="str">
            <v/>
          </cell>
          <cell r="G3897" t="str">
            <v/>
          </cell>
          <cell r="J3897" t="str">
            <v/>
          </cell>
          <cell r="O3897" t="str">
            <v/>
          </cell>
          <cell r="P3897" t="str">
            <v/>
          </cell>
          <cell r="Q3897" t="str">
            <v/>
          </cell>
          <cell r="S3897" t="str">
            <v/>
          </cell>
          <cell r="V3897" t="str">
            <v/>
          </cell>
          <cell r="Z3897" t="str">
            <v/>
          </cell>
          <cell r="AA3897" t="str">
            <v/>
          </cell>
          <cell r="AB3897" t="str">
            <v/>
          </cell>
          <cell r="AC3897" t="str">
            <v/>
          </cell>
          <cell r="AD3897" t="str">
            <v/>
          </cell>
          <cell r="AY3897" t="str">
            <v/>
          </cell>
          <cell r="AZ3897" t="str">
            <v/>
          </cell>
          <cell r="BA3897" t="str">
            <v/>
          </cell>
        </row>
        <row r="3898">
          <cell r="B3898" t="str">
            <v>-</v>
          </cell>
          <cell r="E3898" t="str">
            <v/>
          </cell>
          <cell r="G3898" t="str">
            <v/>
          </cell>
          <cell r="J3898" t="str">
            <v/>
          </cell>
          <cell r="O3898" t="str">
            <v/>
          </cell>
          <cell r="P3898" t="str">
            <v/>
          </cell>
          <cell r="Q3898" t="str">
            <v/>
          </cell>
          <cell r="S3898" t="str">
            <v/>
          </cell>
          <cell r="V3898" t="str">
            <v/>
          </cell>
          <cell r="Z3898" t="str">
            <v/>
          </cell>
          <cell r="AA3898" t="str">
            <v/>
          </cell>
          <cell r="AB3898" t="str">
            <v/>
          </cell>
          <cell r="AC3898" t="str">
            <v/>
          </cell>
          <cell r="AD3898" t="str">
            <v/>
          </cell>
          <cell r="AY3898" t="str">
            <v/>
          </cell>
          <cell r="AZ3898" t="str">
            <v/>
          </cell>
          <cell r="BA3898" t="str">
            <v/>
          </cell>
        </row>
        <row r="3899">
          <cell r="B3899" t="str">
            <v>-</v>
          </cell>
          <cell r="E3899" t="str">
            <v/>
          </cell>
          <cell r="G3899" t="str">
            <v/>
          </cell>
          <cell r="J3899" t="str">
            <v/>
          </cell>
          <cell r="O3899" t="str">
            <v/>
          </cell>
          <cell r="P3899" t="str">
            <v/>
          </cell>
          <cell r="Q3899" t="str">
            <v/>
          </cell>
          <cell r="S3899" t="str">
            <v/>
          </cell>
          <cell r="V3899" t="str">
            <v/>
          </cell>
          <cell r="Z3899" t="str">
            <v/>
          </cell>
          <cell r="AA3899" t="str">
            <v/>
          </cell>
          <cell r="AB3899" t="str">
            <v/>
          </cell>
          <cell r="AC3899" t="str">
            <v/>
          </cell>
          <cell r="AD3899" t="str">
            <v/>
          </cell>
          <cell r="AY3899" t="str">
            <v/>
          </cell>
          <cell r="AZ3899" t="str">
            <v/>
          </cell>
          <cell r="BA3899" t="str">
            <v/>
          </cell>
        </row>
        <row r="3900">
          <cell r="B3900" t="str">
            <v>-</v>
          </cell>
          <cell r="E3900" t="str">
            <v/>
          </cell>
          <cell r="G3900" t="str">
            <v/>
          </cell>
          <cell r="J3900" t="str">
            <v/>
          </cell>
          <cell r="O3900" t="str">
            <v/>
          </cell>
          <cell r="P3900" t="str">
            <v/>
          </cell>
          <cell r="Q3900" t="str">
            <v/>
          </cell>
          <cell r="S3900" t="str">
            <v/>
          </cell>
          <cell r="V3900" t="str">
            <v/>
          </cell>
          <cell r="Z3900" t="str">
            <v/>
          </cell>
          <cell r="AA3900" t="str">
            <v/>
          </cell>
          <cell r="AB3900" t="str">
            <v/>
          </cell>
          <cell r="AC3900" t="str">
            <v/>
          </cell>
          <cell r="AD3900" t="str">
            <v/>
          </cell>
          <cell r="AY3900" t="str">
            <v/>
          </cell>
          <cell r="AZ3900" t="str">
            <v/>
          </cell>
          <cell r="BA3900" t="str">
            <v/>
          </cell>
        </row>
        <row r="3901">
          <cell r="B3901" t="str">
            <v>-</v>
          </cell>
          <cell r="E3901" t="str">
            <v/>
          </cell>
          <cell r="G3901" t="str">
            <v/>
          </cell>
          <cell r="J3901" t="str">
            <v/>
          </cell>
          <cell r="O3901" t="str">
            <v/>
          </cell>
          <cell r="P3901" t="str">
            <v/>
          </cell>
          <cell r="Q3901" t="str">
            <v/>
          </cell>
          <cell r="S3901" t="str">
            <v/>
          </cell>
          <cell r="V3901" t="str">
            <v/>
          </cell>
          <cell r="Z3901" t="str">
            <v/>
          </cell>
          <cell r="AA3901" t="str">
            <v/>
          </cell>
          <cell r="AB3901" t="str">
            <v/>
          </cell>
          <cell r="AC3901" t="str">
            <v/>
          </cell>
          <cell r="AD3901" t="str">
            <v/>
          </cell>
          <cell r="AY3901" t="str">
            <v/>
          </cell>
          <cell r="AZ3901" t="str">
            <v/>
          </cell>
          <cell r="BA3901" t="str">
            <v/>
          </cell>
        </row>
        <row r="3902">
          <cell r="B3902" t="str">
            <v>-</v>
          </cell>
          <cell r="E3902" t="str">
            <v/>
          </cell>
          <cell r="G3902" t="str">
            <v/>
          </cell>
          <cell r="J3902" t="str">
            <v/>
          </cell>
          <cell r="O3902" t="str">
            <v/>
          </cell>
          <cell r="P3902" t="str">
            <v/>
          </cell>
          <cell r="Q3902" t="str">
            <v/>
          </cell>
          <cell r="S3902" t="str">
            <v/>
          </cell>
          <cell r="V3902" t="str">
            <v/>
          </cell>
          <cell r="Z3902" t="str">
            <v/>
          </cell>
          <cell r="AA3902" t="str">
            <v/>
          </cell>
          <cell r="AB3902" t="str">
            <v/>
          </cell>
          <cell r="AC3902" t="str">
            <v/>
          </cell>
          <cell r="AD3902" t="str">
            <v/>
          </cell>
          <cell r="AY3902" t="str">
            <v/>
          </cell>
          <cell r="AZ3902" t="str">
            <v/>
          </cell>
          <cell r="BA3902" t="str">
            <v/>
          </cell>
        </row>
        <row r="3903">
          <cell r="B3903" t="str">
            <v>-</v>
          </cell>
          <cell r="E3903" t="str">
            <v/>
          </cell>
          <cell r="G3903" t="str">
            <v/>
          </cell>
          <cell r="J3903" t="str">
            <v/>
          </cell>
          <cell r="O3903" t="str">
            <v/>
          </cell>
          <cell r="P3903" t="str">
            <v/>
          </cell>
          <cell r="Q3903" t="str">
            <v/>
          </cell>
          <cell r="S3903" t="str">
            <v/>
          </cell>
          <cell r="V3903" t="str">
            <v/>
          </cell>
          <cell r="Z3903" t="str">
            <v/>
          </cell>
          <cell r="AA3903" t="str">
            <v/>
          </cell>
          <cell r="AB3903" t="str">
            <v/>
          </cell>
          <cell r="AC3903" t="str">
            <v/>
          </cell>
          <cell r="AD3903" t="str">
            <v/>
          </cell>
          <cell r="AY3903" t="str">
            <v/>
          </cell>
          <cell r="AZ3903" t="str">
            <v/>
          </cell>
          <cell r="BA3903" t="str">
            <v/>
          </cell>
        </row>
        <row r="3904">
          <cell r="B3904" t="str">
            <v>-</v>
          </cell>
          <cell r="E3904" t="str">
            <v/>
          </cell>
          <cell r="G3904" t="str">
            <v/>
          </cell>
          <cell r="J3904" t="str">
            <v/>
          </cell>
          <cell r="O3904" t="str">
            <v/>
          </cell>
          <cell r="P3904" t="str">
            <v/>
          </cell>
          <cell r="Q3904" t="str">
            <v/>
          </cell>
          <cell r="S3904" t="str">
            <v/>
          </cell>
          <cell r="V3904" t="str">
            <v/>
          </cell>
          <cell r="Z3904" t="str">
            <v/>
          </cell>
          <cell r="AA3904" t="str">
            <v/>
          </cell>
          <cell r="AB3904" t="str">
            <v/>
          </cell>
          <cell r="AC3904" t="str">
            <v/>
          </cell>
          <cell r="AD3904" t="str">
            <v/>
          </cell>
          <cell r="AY3904" t="str">
            <v/>
          </cell>
          <cell r="AZ3904" t="str">
            <v/>
          </cell>
          <cell r="BA3904" t="str">
            <v/>
          </cell>
        </row>
        <row r="3905">
          <cell r="B3905" t="str">
            <v>-</v>
          </cell>
          <cell r="E3905" t="str">
            <v/>
          </cell>
          <cell r="G3905" t="str">
            <v/>
          </cell>
          <cell r="J3905" t="str">
            <v/>
          </cell>
          <cell r="O3905" t="str">
            <v/>
          </cell>
          <cell r="P3905" t="str">
            <v/>
          </cell>
          <cell r="Q3905" t="str">
            <v/>
          </cell>
          <cell r="S3905" t="str">
            <v/>
          </cell>
          <cell r="V3905" t="str">
            <v/>
          </cell>
          <cell r="Z3905" t="str">
            <v/>
          </cell>
          <cell r="AA3905" t="str">
            <v/>
          </cell>
          <cell r="AB3905" t="str">
            <v/>
          </cell>
          <cell r="AC3905" t="str">
            <v/>
          </cell>
          <cell r="AD3905" t="str">
            <v/>
          </cell>
          <cell r="AY3905" t="str">
            <v/>
          </cell>
          <cell r="AZ3905" t="str">
            <v/>
          </cell>
          <cell r="BA3905" t="str">
            <v/>
          </cell>
        </row>
        <row r="3906">
          <cell r="B3906" t="str">
            <v>-</v>
          </cell>
          <cell r="E3906" t="str">
            <v/>
          </cell>
          <cell r="G3906" t="str">
            <v/>
          </cell>
          <cell r="J3906" t="str">
            <v/>
          </cell>
          <cell r="O3906" t="str">
            <v/>
          </cell>
          <cell r="P3906" t="str">
            <v/>
          </cell>
          <cell r="Q3906" t="str">
            <v/>
          </cell>
          <cell r="S3906" t="str">
            <v/>
          </cell>
          <cell r="V3906" t="str">
            <v/>
          </cell>
          <cell r="Z3906" t="str">
            <v/>
          </cell>
          <cell r="AA3906" t="str">
            <v/>
          </cell>
          <cell r="AB3906" t="str">
            <v/>
          </cell>
          <cell r="AC3906" t="str">
            <v/>
          </cell>
          <cell r="AD3906" t="str">
            <v/>
          </cell>
          <cell r="AY3906" t="str">
            <v/>
          </cell>
          <cell r="AZ3906" t="str">
            <v/>
          </cell>
          <cell r="BA3906" t="str">
            <v/>
          </cell>
        </row>
        <row r="3907">
          <cell r="B3907" t="str">
            <v>-</v>
          </cell>
          <cell r="E3907" t="str">
            <v/>
          </cell>
          <cell r="G3907" t="str">
            <v/>
          </cell>
          <cell r="J3907" t="str">
            <v/>
          </cell>
          <cell r="O3907" t="str">
            <v/>
          </cell>
          <cell r="P3907" t="str">
            <v/>
          </cell>
          <cell r="Q3907" t="str">
            <v/>
          </cell>
          <cell r="S3907" t="str">
            <v/>
          </cell>
          <cell r="V3907" t="str">
            <v/>
          </cell>
          <cell r="Z3907" t="str">
            <v/>
          </cell>
          <cell r="AA3907" t="str">
            <v/>
          </cell>
          <cell r="AB3907" t="str">
            <v/>
          </cell>
          <cell r="AC3907" t="str">
            <v/>
          </cell>
          <cell r="AD3907" t="str">
            <v/>
          </cell>
          <cell r="AY3907" t="str">
            <v/>
          </cell>
          <cell r="AZ3907" t="str">
            <v/>
          </cell>
          <cell r="BA3907" t="str">
            <v/>
          </cell>
        </row>
        <row r="3908">
          <cell r="B3908" t="str">
            <v>-</v>
          </cell>
          <cell r="E3908" t="str">
            <v/>
          </cell>
          <cell r="G3908" t="str">
            <v/>
          </cell>
          <cell r="J3908" t="str">
            <v/>
          </cell>
          <cell r="O3908" t="str">
            <v/>
          </cell>
          <cell r="P3908" t="str">
            <v/>
          </cell>
          <cell r="Q3908" t="str">
            <v/>
          </cell>
          <cell r="S3908" t="str">
            <v/>
          </cell>
          <cell r="V3908" t="str">
            <v/>
          </cell>
          <cell r="Z3908" t="str">
            <v/>
          </cell>
          <cell r="AA3908" t="str">
            <v/>
          </cell>
          <cell r="AB3908" t="str">
            <v/>
          </cell>
          <cell r="AC3908" t="str">
            <v/>
          </cell>
          <cell r="AD3908" t="str">
            <v/>
          </cell>
          <cell r="AY3908" t="str">
            <v/>
          </cell>
          <cell r="AZ3908" t="str">
            <v/>
          </cell>
          <cell r="BA3908" t="str">
            <v/>
          </cell>
        </row>
        <row r="3909">
          <cell r="B3909" t="str">
            <v>-</v>
          </cell>
          <cell r="E3909" t="str">
            <v/>
          </cell>
          <cell r="G3909" t="str">
            <v/>
          </cell>
          <cell r="J3909" t="str">
            <v/>
          </cell>
          <cell r="O3909" t="str">
            <v/>
          </cell>
          <cell r="P3909" t="str">
            <v/>
          </cell>
          <cell r="Q3909" t="str">
            <v/>
          </cell>
          <cell r="S3909" t="str">
            <v/>
          </cell>
          <cell r="V3909" t="str">
            <v/>
          </cell>
          <cell r="Z3909" t="str">
            <v/>
          </cell>
          <cell r="AA3909" t="str">
            <v/>
          </cell>
          <cell r="AB3909" t="str">
            <v/>
          </cell>
          <cell r="AC3909" t="str">
            <v/>
          </cell>
          <cell r="AD3909" t="str">
            <v/>
          </cell>
          <cell r="AY3909" t="str">
            <v/>
          </cell>
          <cell r="AZ3909" t="str">
            <v/>
          </cell>
          <cell r="BA3909" t="str">
            <v/>
          </cell>
        </row>
        <row r="3910">
          <cell r="B3910" t="str">
            <v>-</v>
          </cell>
          <cell r="E3910" t="str">
            <v/>
          </cell>
          <cell r="G3910" t="str">
            <v/>
          </cell>
          <cell r="J3910" t="str">
            <v/>
          </cell>
          <cell r="O3910" t="str">
            <v/>
          </cell>
          <cell r="P3910" t="str">
            <v/>
          </cell>
          <cell r="Q3910" t="str">
            <v/>
          </cell>
          <cell r="S3910" t="str">
            <v/>
          </cell>
          <cell r="V3910" t="str">
            <v/>
          </cell>
          <cell r="Z3910" t="str">
            <v/>
          </cell>
          <cell r="AA3910" t="str">
            <v/>
          </cell>
          <cell r="AB3910" t="str">
            <v/>
          </cell>
          <cell r="AC3910" t="str">
            <v/>
          </cell>
          <cell r="AD3910" t="str">
            <v/>
          </cell>
          <cell r="AY3910" t="str">
            <v/>
          </cell>
          <cell r="AZ3910" t="str">
            <v/>
          </cell>
          <cell r="BA3910" t="str">
            <v/>
          </cell>
        </row>
        <row r="3911">
          <cell r="B3911" t="str">
            <v>-</v>
          </cell>
          <cell r="E3911" t="str">
            <v/>
          </cell>
          <cell r="G3911" t="str">
            <v/>
          </cell>
          <cell r="J3911" t="str">
            <v/>
          </cell>
          <cell r="O3911" t="str">
            <v/>
          </cell>
          <cell r="P3911" t="str">
            <v/>
          </cell>
          <cell r="Q3911" t="str">
            <v/>
          </cell>
          <cell r="S3911" t="str">
            <v/>
          </cell>
          <cell r="V3911" t="str">
            <v/>
          </cell>
          <cell r="Z3911" t="str">
            <v/>
          </cell>
          <cell r="AA3911" t="str">
            <v/>
          </cell>
          <cell r="AB3911" t="str">
            <v/>
          </cell>
          <cell r="AC3911" t="str">
            <v/>
          </cell>
          <cell r="AD3911" t="str">
            <v/>
          </cell>
          <cell r="AY3911" t="str">
            <v/>
          </cell>
          <cell r="AZ3911" t="str">
            <v/>
          </cell>
          <cell r="BA3911" t="str">
            <v/>
          </cell>
        </row>
        <row r="3912">
          <cell r="B3912" t="str">
            <v>-</v>
          </cell>
          <cell r="E3912" t="str">
            <v/>
          </cell>
          <cell r="G3912" t="str">
            <v/>
          </cell>
          <cell r="J3912" t="str">
            <v/>
          </cell>
          <cell r="O3912" t="str">
            <v/>
          </cell>
          <cell r="P3912" t="str">
            <v/>
          </cell>
          <cell r="Q3912" t="str">
            <v/>
          </cell>
          <cell r="S3912" t="str">
            <v/>
          </cell>
          <cell r="V3912" t="str">
            <v/>
          </cell>
          <cell r="Z3912" t="str">
            <v/>
          </cell>
          <cell r="AA3912" t="str">
            <v/>
          </cell>
          <cell r="AB3912" t="str">
            <v/>
          </cell>
          <cell r="AC3912" t="str">
            <v/>
          </cell>
          <cell r="AD3912" t="str">
            <v/>
          </cell>
          <cell r="AY3912" t="str">
            <v/>
          </cell>
          <cell r="AZ3912" t="str">
            <v/>
          </cell>
          <cell r="BA3912" t="str">
            <v/>
          </cell>
        </row>
        <row r="3913">
          <cell r="B3913" t="str">
            <v>-</v>
          </cell>
          <cell r="E3913" t="str">
            <v/>
          </cell>
          <cell r="G3913" t="str">
            <v/>
          </cell>
          <cell r="J3913" t="str">
            <v/>
          </cell>
          <cell r="O3913" t="str">
            <v/>
          </cell>
          <cell r="P3913" t="str">
            <v/>
          </cell>
          <cell r="Q3913" t="str">
            <v/>
          </cell>
          <cell r="S3913" t="str">
            <v/>
          </cell>
          <cell r="V3913" t="str">
            <v/>
          </cell>
          <cell r="Z3913" t="str">
            <v/>
          </cell>
          <cell r="AA3913" t="str">
            <v/>
          </cell>
          <cell r="AB3913" t="str">
            <v/>
          </cell>
          <cell r="AC3913" t="str">
            <v/>
          </cell>
          <cell r="AD3913" t="str">
            <v/>
          </cell>
          <cell r="AY3913" t="str">
            <v/>
          </cell>
          <cell r="AZ3913" t="str">
            <v/>
          </cell>
          <cell r="BA3913" t="str">
            <v/>
          </cell>
        </row>
        <row r="3914">
          <cell r="B3914" t="str">
            <v>-</v>
          </cell>
          <cell r="E3914" t="str">
            <v/>
          </cell>
          <cell r="G3914" t="str">
            <v/>
          </cell>
          <cell r="J3914" t="str">
            <v/>
          </cell>
          <cell r="O3914" t="str">
            <v/>
          </cell>
          <cell r="P3914" t="str">
            <v/>
          </cell>
          <cell r="Q3914" t="str">
            <v/>
          </cell>
          <cell r="S3914" t="str">
            <v/>
          </cell>
          <cell r="V3914" t="str">
            <v/>
          </cell>
          <cell r="Z3914" t="str">
            <v/>
          </cell>
          <cell r="AA3914" t="str">
            <v/>
          </cell>
          <cell r="AB3914" t="str">
            <v/>
          </cell>
          <cell r="AC3914" t="str">
            <v/>
          </cell>
          <cell r="AD3914" t="str">
            <v/>
          </cell>
          <cell r="AY3914" t="str">
            <v/>
          </cell>
          <cell r="AZ3914" t="str">
            <v/>
          </cell>
          <cell r="BA3914" t="str">
            <v/>
          </cell>
        </row>
        <row r="3915">
          <cell r="B3915" t="str">
            <v>-</v>
          </cell>
          <cell r="E3915" t="str">
            <v/>
          </cell>
          <cell r="G3915" t="str">
            <v/>
          </cell>
          <cell r="J3915" t="str">
            <v/>
          </cell>
          <cell r="O3915" t="str">
            <v/>
          </cell>
          <cell r="P3915" t="str">
            <v/>
          </cell>
          <cell r="Q3915" t="str">
            <v/>
          </cell>
          <cell r="S3915" t="str">
            <v/>
          </cell>
          <cell r="V3915" t="str">
            <v/>
          </cell>
          <cell r="Z3915" t="str">
            <v/>
          </cell>
          <cell r="AA3915" t="str">
            <v/>
          </cell>
          <cell r="AB3915" t="str">
            <v/>
          </cell>
          <cell r="AC3915" t="str">
            <v/>
          </cell>
          <cell r="AD3915" t="str">
            <v/>
          </cell>
          <cell r="AY3915" t="str">
            <v/>
          </cell>
          <cell r="AZ3915" t="str">
            <v/>
          </cell>
          <cell r="BA3915" t="str">
            <v/>
          </cell>
        </row>
        <row r="3916">
          <cell r="B3916" t="str">
            <v>-</v>
          </cell>
          <cell r="E3916" t="str">
            <v/>
          </cell>
          <cell r="G3916" t="str">
            <v/>
          </cell>
          <cell r="J3916" t="str">
            <v/>
          </cell>
          <cell r="O3916" t="str">
            <v/>
          </cell>
          <cell r="P3916" t="str">
            <v/>
          </cell>
          <cell r="Q3916" t="str">
            <v/>
          </cell>
          <cell r="S3916" t="str">
            <v/>
          </cell>
          <cell r="V3916" t="str">
            <v/>
          </cell>
          <cell r="Z3916" t="str">
            <v/>
          </cell>
          <cell r="AA3916" t="str">
            <v/>
          </cell>
          <cell r="AB3916" t="str">
            <v/>
          </cell>
          <cell r="AC3916" t="str">
            <v/>
          </cell>
          <cell r="AD3916" t="str">
            <v/>
          </cell>
          <cell r="AY3916" t="str">
            <v/>
          </cell>
          <cell r="AZ3916" t="str">
            <v/>
          </cell>
          <cell r="BA3916" t="str">
            <v/>
          </cell>
        </row>
        <row r="3917">
          <cell r="B3917" t="str">
            <v>-</v>
          </cell>
          <cell r="E3917" t="str">
            <v/>
          </cell>
          <cell r="G3917" t="str">
            <v/>
          </cell>
          <cell r="J3917" t="str">
            <v/>
          </cell>
          <cell r="O3917" t="str">
            <v/>
          </cell>
          <cell r="P3917" t="str">
            <v/>
          </cell>
          <cell r="Q3917" t="str">
            <v/>
          </cell>
          <cell r="S3917" t="str">
            <v/>
          </cell>
          <cell r="V3917" t="str">
            <v/>
          </cell>
          <cell r="Z3917" t="str">
            <v/>
          </cell>
          <cell r="AA3917" t="str">
            <v/>
          </cell>
          <cell r="AB3917" t="str">
            <v/>
          </cell>
          <cell r="AC3917" t="str">
            <v/>
          </cell>
          <cell r="AD3917" t="str">
            <v/>
          </cell>
          <cell r="AY3917" t="str">
            <v/>
          </cell>
          <cell r="AZ3917" t="str">
            <v/>
          </cell>
          <cell r="BA3917" t="str">
            <v/>
          </cell>
        </row>
        <row r="3918">
          <cell r="B3918" t="str">
            <v>-</v>
          </cell>
          <cell r="E3918" t="str">
            <v/>
          </cell>
          <cell r="G3918" t="str">
            <v/>
          </cell>
          <cell r="J3918" t="str">
            <v/>
          </cell>
          <cell r="O3918" t="str">
            <v/>
          </cell>
          <cell r="P3918" t="str">
            <v/>
          </cell>
          <cell r="Q3918" t="str">
            <v/>
          </cell>
          <cell r="S3918" t="str">
            <v/>
          </cell>
          <cell r="V3918" t="str">
            <v/>
          </cell>
          <cell r="Z3918" t="str">
            <v/>
          </cell>
          <cell r="AA3918" t="str">
            <v/>
          </cell>
          <cell r="AB3918" t="str">
            <v/>
          </cell>
          <cell r="AC3918" t="str">
            <v/>
          </cell>
          <cell r="AD3918" t="str">
            <v/>
          </cell>
          <cell r="AY3918" t="str">
            <v/>
          </cell>
          <cell r="AZ3918" t="str">
            <v/>
          </cell>
          <cell r="BA3918" t="str">
            <v/>
          </cell>
        </row>
        <row r="3919">
          <cell r="B3919" t="str">
            <v>-</v>
          </cell>
          <cell r="E3919" t="str">
            <v/>
          </cell>
          <cell r="G3919" t="str">
            <v/>
          </cell>
          <cell r="J3919" t="str">
            <v/>
          </cell>
          <cell r="O3919" t="str">
            <v/>
          </cell>
          <cell r="P3919" t="str">
            <v/>
          </cell>
          <cell r="Q3919" t="str">
            <v/>
          </cell>
          <cell r="S3919" t="str">
            <v/>
          </cell>
          <cell r="V3919" t="str">
            <v/>
          </cell>
          <cell r="Z3919" t="str">
            <v/>
          </cell>
          <cell r="AA3919" t="str">
            <v/>
          </cell>
          <cell r="AB3919" t="str">
            <v/>
          </cell>
          <cell r="AC3919" t="str">
            <v/>
          </cell>
          <cell r="AD3919" t="str">
            <v/>
          </cell>
          <cell r="AY3919" t="str">
            <v/>
          </cell>
          <cell r="AZ3919" t="str">
            <v/>
          </cell>
          <cell r="BA3919" t="str">
            <v/>
          </cell>
        </row>
        <row r="3920">
          <cell r="B3920" t="str">
            <v>-</v>
          </cell>
          <cell r="E3920" t="str">
            <v/>
          </cell>
          <cell r="G3920" t="str">
            <v/>
          </cell>
          <cell r="J3920" t="str">
            <v/>
          </cell>
          <cell r="O3920" t="str">
            <v/>
          </cell>
          <cell r="P3920" t="str">
            <v/>
          </cell>
          <cell r="Q3920" t="str">
            <v/>
          </cell>
          <cell r="S3920" t="str">
            <v/>
          </cell>
          <cell r="V3920" t="str">
            <v/>
          </cell>
          <cell r="Z3920" t="str">
            <v/>
          </cell>
          <cell r="AA3920" t="str">
            <v/>
          </cell>
          <cell r="AB3920" t="str">
            <v/>
          </cell>
          <cell r="AC3920" t="str">
            <v/>
          </cell>
          <cell r="AD3920" t="str">
            <v/>
          </cell>
          <cell r="AY3920" t="str">
            <v/>
          </cell>
          <cell r="AZ3920" t="str">
            <v/>
          </cell>
          <cell r="BA3920" t="str">
            <v/>
          </cell>
        </row>
        <row r="3921">
          <cell r="B3921" t="str">
            <v>-</v>
          </cell>
          <cell r="E3921" t="str">
            <v/>
          </cell>
          <cell r="G3921" t="str">
            <v/>
          </cell>
          <cell r="J3921" t="str">
            <v/>
          </cell>
          <cell r="O3921" t="str">
            <v/>
          </cell>
          <cell r="P3921" t="str">
            <v/>
          </cell>
          <cell r="Q3921" t="str">
            <v/>
          </cell>
          <cell r="S3921" t="str">
            <v/>
          </cell>
          <cell r="V3921" t="str">
            <v/>
          </cell>
          <cell r="Z3921" t="str">
            <v/>
          </cell>
          <cell r="AA3921" t="str">
            <v/>
          </cell>
          <cell r="AB3921" t="str">
            <v/>
          </cell>
          <cell r="AC3921" t="str">
            <v/>
          </cell>
          <cell r="AD3921" t="str">
            <v/>
          </cell>
          <cell r="AY3921" t="str">
            <v/>
          </cell>
          <cell r="AZ3921" t="str">
            <v/>
          </cell>
          <cell r="BA3921" t="str">
            <v/>
          </cell>
        </row>
        <row r="3922">
          <cell r="B3922" t="str">
            <v>-</v>
          </cell>
          <cell r="E3922" t="str">
            <v/>
          </cell>
          <cell r="G3922" t="str">
            <v/>
          </cell>
          <cell r="J3922" t="str">
            <v/>
          </cell>
          <cell r="O3922" t="str">
            <v/>
          </cell>
          <cell r="P3922" t="str">
            <v/>
          </cell>
          <cell r="Q3922" t="str">
            <v/>
          </cell>
          <cell r="S3922" t="str">
            <v/>
          </cell>
          <cell r="V3922" t="str">
            <v/>
          </cell>
          <cell r="Z3922" t="str">
            <v/>
          </cell>
          <cell r="AA3922" t="str">
            <v/>
          </cell>
          <cell r="AB3922" t="str">
            <v/>
          </cell>
          <cell r="AC3922" t="str">
            <v/>
          </cell>
          <cell r="AD3922" t="str">
            <v/>
          </cell>
          <cell r="AY3922" t="str">
            <v/>
          </cell>
          <cell r="AZ3922" t="str">
            <v/>
          </cell>
          <cell r="BA3922" t="str">
            <v/>
          </cell>
        </row>
        <row r="3923">
          <cell r="B3923" t="str">
            <v>-</v>
          </cell>
          <cell r="E3923" t="str">
            <v/>
          </cell>
          <cell r="G3923" t="str">
            <v/>
          </cell>
          <cell r="J3923" t="str">
            <v/>
          </cell>
          <cell r="O3923" t="str">
            <v/>
          </cell>
          <cell r="P3923" t="str">
            <v/>
          </cell>
          <cell r="Q3923" t="str">
            <v/>
          </cell>
          <cell r="S3923" t="str">
            <v/>
          </cell>
          <cell r="V3923" t="str">
            <v/>
          </cell>
          <cell r="Z3923" t="str">
            <v/>
          </cell>
          <cell r="AA3923" t="str">
            <v/>
          </cell>
          <cell r="AB3923" t="str">
            <v/>
          </cell>
          <cell r="AC3923" t="str">
            <v/>
          </cell>
          <cell r="AD3923" t="str">
            <v/>
          </cell>
          <cell r="AY3923" t="str">
            <v/>
          </cell>
          <cell r="AZ3923" t="str">
            <v/>
          </cell>
          <cell r="BA3923" t="str">
            <v/>
          </cell>
        </row>
        <row r="3924">
          <cell r="B3924" t="str">
            <v>-</v>
          </cell>
          <cell r="E3924" t="str">
            <v/>
          </cell>
          <cell r="G3924" t="str">
            <v/>
          </cell>
          <cell r="J3924" t="str">
            <v/>
          </cell>
          <cell r="O3924" t="str">
            <v/>
          </cell>
          <cell r="P3924" t="str">
            <v/>
          </cell>
          <cell r="Q3924" t="str">
            <v/>
          </cell>
          <cell r="S3924" t="str">
            <v/>
          </cell>
          <cell r="V3924" t="str">
            <v/>
          </cell>
          <cell r="Z3924" t="str">
            <v/>
          </cell>
          <cell r="AA3924" t="str">
            <v/>
          </cell>
          <cell r="AB3924" t="str">
            <v/>
          </cell>
          <cell r="AC3924" t="str">
            <v/>
          </cell>
          <cell r="AD3924" t="str">
            <v/>
          </cell>
          <cell r="AY3924" t="str">
            <v/>
          </cell>
          <cell r="AZ3924" t="str">
            <v/>
          </cell>
          <cell r="BA3924" t="str">
            <v/>
          </cell>
        </row>
        <row r="3925">
          <cell r="B3925" t="str">
            <v>-</v>
          </cell>
          <cell r="E3925" t="str">
            <v/>
          </cell>
          <cell r="G3925" t="str">
            <v/>
          </cell>
          <cell r="J3925" t="str">
            <v/>
          </cell>
          <cell r="O3925" t="str">
            <v/>
          </cell>
          <cell r="P3925" t="str">
            <v/>
          </cell>
          <cell r="Q3925" t="str">
            <v/>
          </cell>
          <cell r="S3925" t="str">
            <v/>
          </cell>
          <cell r="V3925" t="str">
            <v/>
          </cell>
          <cell r="Z3925" t="str">
            <v/>
          </cell>
          <cell r="AA3925" t="str">
            <v/>
          </cell>
          <cell r="AB3925" t="str">
            <v/>
          </cell>
          <cell r="AC3925" t="str">
            <v/>
          </cell>
          <cell r="AD3925" t="str">
            <v/>
          </cell>
          <cell r="AY3925" t="str">
            <v/>
          </cell>
          <cell r="AZ3925" t="str">
            <v/>
          </cell>
          <cell r="BA3925" t="str">
            <v/>
          </cell>
        </row>
        <row r="3926">
          <cell r="B3926" t="str">
            <v>-</v>
          </cell>
          <cell r="E3926" t="str">
            <v/>
          </cell>
          <cell r="G3926" t="str">
            <v/>
          </cell>
          <cell r="J3926" t="str">
            <v/>
          </cell>
          <cell r="O3926" t="str">
            <v/>
          </cell>
          <cell r="P3926" t="str">
            <v/>
          </cell>
          <cell r="Q3926" t="str">
            <v/>
          </cell>
          <cell r="S3926" t="str">
            <v/>
          </cell>
          <cell r="V3926" t="str">
            <v/>
          </cell>
          <cell r="Z3926" t="str">
            <v/>
          </cell>
          <cell r="AA3926" t="str">
            <v/>
          </cell>
          <cell r="AB3926" t="str">
            <v/>
          </cell>
          <cell r="AC3926" t="str">
            <v/>
          </cell>
          <cell r="AD3926" t="str">
            <v/>
          </cell>
          <cell r="AY3926" t="str">
            <v/>
          </cell>
          <cell r="AZ3926" t="str">
            <v/>
          </cell>
          <cell r="BA3926" t="str">
            <v/>
          </cell>
        </row>
        <row r="3927">
          <cell r="B3927" t="str">
            <v>-</v>
          </cell>
          <cell r="E3927" t="str">
            <v/>
          </cell>
          <cell r="G3927" t="str">
            <v/>
          </cell>
          <cell r="J3927" t="str">
            <v/>
          </cell>
          <cell r="O3927" t="str">
            <v/>
          </cell>
          <cell r="P3927" t="str">
            <v/>
          </cell>
          <cell r="Q3927" t="str">
            <v/>
          </cell>
          <cell r="S3927" t="str">
            <v/>
          </cell>
          <cell r="V3927" t="str">
            <v/>
          </cell>
          <cell r="Z3927" t="str">
            <v/>
          </cell>
          <cell r="AA3927" t="str">
            <v/>
          </cell>
          <cell r="AB3927" t="str">
            <v/>
          </cell>
          <cell r="AC3927" t="str">
            <v/>
          </cell>
          <cell r="AD3927" t="str">
            <v/>
          </cell>
          <cell r="AY3927" t="str">
            <v/>
          </cell>
          <cell r="AZ3927" t="str">
            <v/>
          </cell>
          <cell r="BA3927" t="str">
            <v/>
          </cell>
        </row>
        <row r="3928">
          <cell r="B3928" t="str">
            <v>-</v>
          </cell>
          <cell r="E3928" t="str">
            <v/>
          </cell>
          <cell r="G3928" t="str">
            <v/>
          </cell>
          <cell r="J3928" t="str">
            <v/>
          </cell>
          <cell r="O3928" t="str">
            <v/>
          </cell>
          <cell r="P3928" t="str">
            <v/>
          </cell>
          <cell r="Q3928" t="str">
            <v/>
          </cell>
          <cell r="S3928" t="str">
            <v/>
          </cell>
          <cell r="V3928" t="str">
            <v/>
          </cell>
          <cell r="Z3928" t="str">
            <v/>
          </cell>
          <cell r="AA3928" t="str">
            <v/>
          </cell>
          <cell r="AB3928" t="str">
            <v/>
          </cell>
          <cell r="AC3928" t="str">
            <v/>
          </cell>
          <cell r="AD3928" t="str">
            <v/>
          </cell>
          <cell r="AY3928" t="str">
            <v/>
          </cell>
          <cell r="AZ3928" t="str">
            <v/>
          </cell>
          <cell r="BA3928" t="str">
            <v/>
          </cell>
        </row>
        <row r="3929">
          <cell r="B3929" t="str">
            <v>-</v>
          </cell>
          <cell r="E3929" t="str">
            <v/>
          </cell>
          <cell r="G3929" t="str">
            <v/>
          </cell>
          <cell r="J3929" t="str">
            <v/>
          </cell>
          <cell r="O3929" t="str">
            <v/>
          </cell>
          <cell r="P3929" t="str">
            <v/>
          </cell>
          <cell r="Q3929" t="str">
            <v/>
          </cell>
          <cell r="S3929" t="str">
            <v/>
          </cell>
          <cell r="V3929" t="str">
            <v/>
          </cell>
          <cell r="Z3929" t="str">
            <v/>
          </cell>
          <cell r="AA3929" t="str">
            <v/>
          </cell>
          <cell r="AB3929" t="str">
            <v/>
          </cell>
          <cell r="AC3929" t="str">
            <v/>
          </cell>
          <cell r="AD3929" t="str">
            <v/>
          </cell>
          <cell r="AY3929" t="str">
            <v/>
          </cell>
          <cell r="AZ3929" t="str">
            <v/>
          </cell>
          <cell r="BA3929" t="str">
            <v/>
          </cell>
        </row>
        <row r="3930">
          <cell r="B3930" t="str">
            <v>-</v>
          </cell>
          <cell r="E3930" t="str">
            <v/>
          </cell>
          <cell r="G3930" t="str">
            <v/>
          </cell>
          <cell r="J3930" t="str">
            <v/>
          </cell>
          <cell r="O3930" t="str">
            <v/>
          </cell>
          <cell r="P3930" t="str">
            <v/>
          </cell>
          <cell r="Q3930" t="str">
            <v/>
          </cell>
          <cell r="S3930" t="str">
            <v/>
          </cell>
          <cell r="V3930" t="str">
            <v/>
          </cell>
          <cell r="Z3930" t="str">
            <v/>
          </cell>
          <cell r="AA3930" t="str">
            <v/>
          </cell>
          <cell r="AB3930" t="str">
            <v/>
          </cell>
          <cell r="AC3930" t="str">
            <v/>
          </cell>
          <cell r="AD3930" t="str">
            <v/>
          </cell>
          <cell r="AY3930" t="str">
            <v/>
          </cell>
          <cell r="AZ3930" t="str">
            <v/>
          </cell>
          <cell r="BA3930" t="str">
            <v/>
          </cell>
        </row>
        <row r="3931">
          <cell r="B3931" t="str">
            <v>-</v>
          </cell>
          <cell r="E3931" t="str">
            <v/>
          </cell>
          <cell r="G3931" t="str">
            <v/>
          </cell>
          <cell r="J3931" t="str">
            <v/>
          </cell>
          <cell r="O3931" t="str">
            <v/>
          </cell>
          <cell r="P3931" t="str">
            <v/>
          </cell>
          <cell r="Q3931" t="str">
            <v/>
          </cell>
          <cell r="S3931" t="str">
            <v/>
          </cell>
          <cell r="V3931" t="str">
            <v/>
          </cell>
          <cell r="Z3931" t="str">
            <v/>
          </cell>
          <cell r="AA3931" t="str">
            <v/>
          </cell>
          <cell r="AB3931" t="str">
            <v/>
          </cell>
          <cell r="AC3931" t="str">
            <v/>
          </cell>
          <cell r="AD3931" t="str">
            <v/>
          </cell>
          <cell r="AY3931" t="str">
            <v/>
          </cell>
          <cell r="AZ3931" t="str">
            <v/>
          </cell>
          <cell r="BA3931" t="str">
            <v/>
          </cell>
        </row>
        <row r="3932">
          <cell r="B3932" t="str">
            <v>-</v>
          </cell>
          <cell r="E3932" t="str">
            <v/>
          </cell>
          <cell r="G3932" t="str">
            <v/>
          </cell>
          <cell r="J3932" t="str">
            <v/>
          </cell>
          <cell r="O3932" t="str">
            <v/>
          </cell>
          <cell r="P3932" t="str">
            <v/>
          </cell>
          <cell r="Q3932" t="str">
            <v/>
          </cell>
          <cell r="S3932" t="str">
            <v/>
          </cell>
          <cell r="V3932" t="str">
            <v/>
          </cell>
          <cell r="Z3932" t="str">
            <v/>
          </cell>
          <cell r="AA3932" t="str">
            <v/>
          </cell>
          <cell r="AB3932" t="str">
            <v/>
          </cell>
          <cell r="AC3932" t="str">
            <v/>
          </cell>
          <cell r="AD3932" t="str">
            <v/>
          </cell>
          <cell r="AY3932" t="str">
            <v/>
          </cell>
          <cell r="AZ3932" t="str">
            <v/>
          </cell>
          <cell r="BA3932" t="str">
            <v/>
          </cell>
        </row>
        <row r="3933">
          <cell r="B3933" t="str">
            <v>-</v>
          </cell>
          <cell r="E3933" t="str">
            <v/>
          </cell>
          <cell r="G3933" t="str">
            <v/>
          </cell>
          <cell r="J3933" t="str">
            <v/>
          </cell>
          <cell r="O3933" t="str">
            <v/>
          </cell>
          <cell r="P3933" t="str">
            <v/>
          </cell>
          <cell r="Q3933" t="str">
            <v/>
          </cell>
          <cell r="S3933" t="str">
            <v/>
          </cell>
          <cell r="V3933" t="str">
            <v/>
          </cell>
          <cell r="Z3933" t="str">
            <v/>
          </cell>
          <cell r="AA3933" t="str">
            <v/>
          </cell>
          <cell r="AB3933" t="str">
            <v/>
          </cell>
          <cell r="AC3933" t="str">
            <v/>
          </cell>
          <cell r="AD3933" t="str">
            <v/>
          </cell>
          <cell r="AY3933" t="str">
            <v/>
          </cell>
          <cell r="AZ3933" t="str">
            <v/>
          </cell>
          <cell r="BA3933" t="str">
            <v/>
          </cell>
        </row>
        <row r="3934">
          <cell r="B3934" t="str">
            <v>-</v>
          </cell>
          <cell r="E3934" t="str">
            <v/>
          </cell>
          <cell r="G3934" t="str">
            <v/>
          </cell>
          <cell r="J3934" t="str">
            <v/>
          </cell>
          <cell r="O3934" t="str">
            <v/>
          </cell>
          <cell r="P3934" t="str">
            <v/>
          </cell>
          <cell r="Q3934" t="str">
            <v/>
          </cell>
          <cell r="S3934" t="str">
            <v/>
          </cell>
          <cell r="V3934" t="str">
            <v/>
          </cell>
          <cell r="Z3934" t="str">
            <v/>
          </cell>
          <cell r="AA3934" t="str">
            <v/>
          </cell>
          <cell r="AB3934" t="str">
            <v/>
          </cell>
          <cell r="AC3934" t="str">
            <v/>
          </cell>
          <cell r="AD3934" t="str">
            <v/>
          </cell>
          <cell r="AY3934" t="str">
            <v/>
          </cell>
          <cell r="AZ3934" t="str">
            <v/>
          </cell>
          <cell r="BA3934" t="str">
            <v/>
          </cell>
        </row>
        <row r="3935">
          <cell r="B3935" t="str">
            <v>-</v>
          </cell>
          <cell r="E3935" t="str">
            <v/>
          </cell>
          <cell r="G3935" t="str">
            <v/>
          </cell>
          <cell r="J3935" t="str">
            <v/>
          </cell>
          <cell r="O3935" t="str">
            <v/>
          </cell>
          <cell r="P3935" t="str">
            <v/>
          </cell>
          <cell r="Q3935" t="str">
            <v/>
          </cell>
          <cell r="S3935" t="str">
            <v/>
          </cell>
          <cell r="V3935" t="str">
            <v/>
          </cell>
          <cell r="Z3935" t="str">
            <v/>
          </cell>
          <cell r="AA3935" t="str">
            <v/>
          </cell>
          <cell r="AB3935" t="str">
            <v/>
          </cell>
          <cell r="AC3935" t="str">
            <v/>
          </cell>
          <cell r="AD3935" t="str">
            <v/>
          </cell>
          <cell r="AY3935" t="str">
            <v/>
          </cell>
          <cell r="AZ3935" t="str">
            <v/>
          </cell>
          <cell r="BA3935" t="str">
            <v/>
          </cell>
        </row>
        <row r="3936">
          <cell r="B3936" t="str">
            <v>-</v>
          </cell>
          <cell r="E3936" t="str">
            <v/>
          </cell>
          <cell r="G3936" t="str">
            <v/>
          </cell>
          <cell r="J3936" t="str">
            <v/>
          </cell>
          <cell r="O3936" t="str">
            <v/>
          </cell>
          <cell r="P3936" t="str">
            <v/>
          </cell>
          <cell r="Q3936" t="str">
            <v/>
          </cell>
          <cell r="S3936" t="str">
            <v/>
          </cell>
          <cell r="V3936" t="str">
            <v/>
          </cell>
          <cell r="Z3936" t="str">
            <v/>
          </cell>
          <cell r="AA3936" t="str">
            <v/>
          </cell>
          <cell r="AB3936" t="str">
            <v/>
          </cell>
          <cell r="AC3936" t="str">
            <v/>
          </cell>
          <cell r="AD3936" t="str">
            <v/>
          </cell>
          <cell r="AY3936" t="str">
            <v/>
          </cell>
          <cell r="AZ3936" t="str">
            <v/>
          </cell>
          <cell r="BA3936" t="str">
            <v/>
          </cell>
        </row>
        <row r="3937">
          <cell r="B3937" t="str">
            <v>-</v>
          </cell>
          <cell r="E3937" t="str">
            <v/>
          </cell>
          <cell r="G3937" t="str">
            <v/>
          </cell>
          <cell r="J3937" t="str">
            <v/>
          </cell>
          <cell r="O3937" t="str">
            <v/>
          </cell>
          <cell r="P3937" t="str">
            <v/>
          </cell>
          <cell r="Q3937" t="str">
            <v/>
          </cell>
          <cell r="S3937" t="str">
            <v/>
          </cell>
          <cell r="V3937" t="str">
            <v/>
          </cell>
          <cell r="Z3937" t="str">
            <v/>
          </cell>
          <cell r="AA3937" t="str">
            <v/>
          </cell>
          <cell r="AB3937" t="str">
            <v/>
          </cell>
          <cell r="AC3937" t="str">
            <v/>
          </cell>
          <cell r="AD3937" t="str">
            <v/>
          </cell>
          <cell r="AY3937" t="str">
            <v/>
          </cell>
          <cell r="AZ3937" t="str">
            <v/>
          </cell>
          <cell r="BA3937" t="str">
            <v/>
          </cell>
        </row>
        <row r="3938">
          <cell r="B3938" t="str">
            <v>-</v>
          </cell>
          <cell r="E3938" t="str">
            <v/>
          </cell>
          <cell r="G3938" t="str">
            <v/>
          </cell>
          <cell r="J3938" t="str">
            <v/>
          </cell>
          <cell r="O3938" t="str">
            <v/>
          </cell>
          <cell r="P3938" t="str">
            <v/>
          </cell>
          <cell r="Q3938" t="str">
            <v/>
          </cell>
          <cell r="S3938" t="str">
            <v/>
          </cell>
          <cell r="V3938" t="str">
            <v/>
          </cell>
          <cell r="Z3938" t="str">
            <v/>
          </cell>
          <cell r="AA3938" t="str">
            <v/>
          </cell>
          <cell r="AB3938" t="str">
            <v/>
          </cell>
          <cell r="AC3938" t="str">
            <v/>
          </cell>
          <cell r="AD3938" t="str">
            <v/>
          </cell>
          <cell r="AY3938" t="str">
            <v/>
          </cell>
          <cell r="AZ3938" t="str">
            <v/>
          </cell>
          <cell r="BA3938" t="str">
            <v/>
          </cell>
        </row>
        <row r="3939">
          <cell r="B3939" t="str">
            <v>-</v>
          </cell>
          <cell r="E3939" t="str">
            <v/>
          </cell>
          <cell r="G3939" t="str">
            <v/>
          </cell>
          <cell r="J3939" t="str">
            <v/>
          </cell>
          <cell r="O3939" t="str">
            <v/>
          </cell>
          <cell r="P3939" t="str">
            <v/>
          </cell>
          <cell r="Q3939" t="str">
            <v/>
          </cell>
          <cell r="S3939" t="str">
            <v/>
          </cell>
          <cell r="V3939" t="str">
            <v/>
          </cell>
          <cell r="Z3939" t="str">
            <v/>
          </cell>
          <cell r="AA3939" t="str">
            <v/>
          </cell>
          <cell r="AB3939" t="str">
            <v/>
          </cell>
          <cell r="AC3939" t="str">
            <v/>
          </cell>
          <cell r="AD3939" t="str">
            <v/>
          </cell>
          <cell r="AY3939" t="str">
            <v/>
          </cell>
          <cell r="AZ3939" t="str">
            <v/>
          </cell>
          <cell r="BA3939" t="str">
            <v/>
          </cell>
        </row>
        <row r="3940">
          <cell r="B3940" t="str">
            <v>-</v>
          </cell>
          <cell r="E3940" t="str">
            <v/>
          </cell>
          <cell r="G3940" t="str">
            <v/>
          </cell>
          <cell r="J3940" t="str">
            <v/>
          </cell>
          <cell r="O3940" t="str">
            <v/>
          </cell>
          <cell r="P3940" t="str">
            <v/>
          </cell>
          <cell r="Q3940" t="str">
            <v/>
          </cell>
          <cell r="S3940" t="str">
            <v/>
          </cell>
          <cell r="V3940" t="str">
            <v/>
          </cell>
          <cell r="Z3940" t="str">
            <v/>
          </cell>
          <cell r="AA3940" t="str">
            <v/>
          </cell>
          <cell r="AB3940" t="str">
            <v/>
          </cell>
          <cell r="AC3940" t="str">
            <v/>
          </cell>
          <cell r="AD3940" t="str">
            <v/>
          </cell>
          <cell r="AY3940" t="str">
            <v/>
          </cell>
          <cell r="AZ3940" t="str">
            <v/>
          </cell>
          <cell r="BA3940" t="str">
            <v/>
          </cell>
        </row>
        <row r="3941">
          <cell r="B3941" t="str">
            <v>-</v>
          </cell>
          <cell r="E3941" t="str">
            <v/>
          </cell>
          <cell r="G3941" t="str">
            <v/>
          </cell>
          <cell r="J3941" t="str">
            <v/>
          </cell>
          <cell r="O3941" t="str">
            <v/>
          </cell>
          <cell r="P3941" t="str">
            <v/>
          </cell>
          <cell r="Q3941" t="str">
            <v/>
          </cell>
          <cell r="S3941" t="str">
            <v/>
          </cell>
          <cell r="V3941" t="str">
            <v/>
          </cell>
          <cell r="Z3941" t="str">
            <v/>
          </cell>
          <cell r="AA3941" t="str">
            <v/>
          </cell>
          <cell r="AB3941" t="str">
            <v/>
          </cell>
          <cell r="AC3941" t="str">
            <v/>
          </cell>
          <cell r="AD3941" t="str">
            <v/>
          </cell>
          <cell r="AY3941" t="str">
            <v/>
          </cell>
          <cell r="AZ3941" t="str">
            <v/>
          </cell>
          <cell r="BA3941" t="str">
            <v/>
          </cell>
        </row>
        <row r="3942">
          <cell r="B3942" t="str">
            <v>-</v>
          </cell>
          <cell r="E3942" t="str">
            <v/>
          </cell>
          <cell r="G3942" t="str">
            <v/>
          </cell>
          <cell r="J3942" t="str">
            <v/>
          </cell>
          <cell r="O3942" t="str">
            <v/>
          </cell>
          <cell r="P3942" t="str">
            <v/>
          </cell>
          <cell r="Q3942" t="str">
            <v/>
          </cell>
          <cell r="S3942" t="str">
            <v/>
          </cell>
          <cell r="V3942" t="str">
            <v/>
          </cell>
          <cell r="Z3942" t="str">
            <v/>
          </cell>
          <cell r="AA3942" t="str">
            <v/>
          </cell>
          <cell r="AB3942" t="str">
            <v/>
          </cell>
          <cell r="AC3942" t="str">
            <v/>
          </cell>
          <cell r="AD3942" t="str">
            <v/>
          </cell>
          <cell r="AY3942" t="str">
            <v/>
          </cell>
          <cell r="AZ3942" t="str">
            <v/>
          </cell>
          <cell r="BA3942" t="str">
            <v/>
          </cell>
        </row>
        <row r="3943">
          <cell r="B3943" t="str">
            <v>-</v>
          </cell>
          <cell r="E3943" t="str">
            <v/>
          </cell>
          <cell r="G3943" t="str">
            <v/>
          </cell>
          <cell r="J3943" t="str">
            <v/>
          </cell>
          <cell r="O3943" t="str">
            <v/>
          </cell>
          <cell r="P3943" t="str">
            <v/>
          </cell>
          <cell r="Q3943" t="str">
            <v/>
          </cell>
          <cell r="S3943" t="str">
            <v/>
          </cell>
          <cell r="V3943" t="str">
            <v/>
          </cell>
          <cell r="Z3943" t="str">
            <v/>
          </cell>
          <cell r="AA3943" t="str">
            <v/>
          </cell>
          <cell r="AB3943" t="str">
            <v/>
          </cell>
          <cell r="AC3943" t="str">
            <v/>
          </cell>
          <cell r="AD3943" t="str">
            <v/>
          </cell>
          <cell r="AY3943" t="str">
            <v/>
          </cell>
          <cell r="AZ3943" t="str">
            <v/>
          </cell>
          <cell r="BA3943" t="str">
            <v/>
          </cell>
        </row>
        <row r="3944">
          <cell r="B3944" t="str">
            <v>-</v>
          </cell>
          <cell r="E3944" t="str">
            <v/>
          </cell>
          <cell r="G3944" t="str">
            <v/>
          </cell>
          <cell r="J3944" t="str">
            <v/>
          </cell>
          <cell r="O3944" t="str">
            <v/>
          </cell>
          <cell r="P3944" t="str">
            <v/>
          </cell>
          <cell r="Q3944" t="str">
            <v/>
          </cell>
          <cell r="S3944" t="str">
            <v/>
          </cell>
          <cell r="V3944" t="str">
            <v/>
          </cell>
          <cell r="Z3944" t="str">
            <v/>
          </cell>
          <cell r="AA3944" t="str">
            <v/>
          </cell>
          <cell r="AB3944" t="str">
            <v/>
          </cell>
          <cell r="AC3944" t="str">
            <v/>
          </cell>
          <cell r="AD3944" t="str">
            <v/>
          </cell>
          <cell r="AY3944" t="str">
            <v/>
          </cell>
          <cell r="AZ3944" t="str">
            <v/>
          </cell>
          <cell r="BA3944" t="str">
            <v/>
          </cell>
        </row>
        <row r="3945">
          <cell r="B3945" t="str">
            <v>-</v>
          </cell>
          <cell r="E3945" t="str">
            <v/>
          </cell>
          <cell r="G3945" t="str">
            <v/>
          </cell>
          <cell r="J3945" t="str">
            <v/>
          </cell>
          <cell r="O3945" t="str">
            <v/>
          </cell>
          <cell r="P3945" t="str">
            <v/>
          </cell>
          <cell r="Q3945" t="str">
            <v/>
          </cell>
          <cell r="S3945" t="str">
            <v/>
          </cell>
          <cell r="V3945" t="str">
            <v/>
          </cell>
          <cell r="Z3945" t="str">
            <v/>
          </cell>
          <cell r="AA3945" t="str">
            <v/>
          </cell>
          <cell r="AB3945" t="str">
            <v/>
          </cell>
          <cell r="AC3945" t="str">
            <v/>
          </cell>
          <cell r="AD3945" t="str">
            <v/>
          </cell>
          <cell r="AY3945" t="str">
            <v/>
          </cell>
          <cell r="AZ3945" t="str">
            <v/>
          </cell>
          <cell r="BA3945" t="str">
            <v/>
          </cell>
        </row>
        <row r="3946">
          <cell r="B3946" t="str">
            <v>-</v>
          </cell>
          <cell r="E3946" t="str">
            <v/>
          </cell>
          <cell r="G3946" t="str">
            <v/>
          </cell>
          <cell r="J3946" t="str">
            <v/>
          </cell>
          <cell r="O3946" t="str">
            <v/>
          </cell>
          <cell r="P3946" t="str">
            <v/>
          </cell>
          <cell r="Q3946" t="str">
            <v/>
          </cell>
          <cell r="S3946" t="str">
            <v/>
          </cell>
          <cell r="V3946" t="str">
            <v/>
          </cell>
          <cell r="Z3946" t="str">
            <v/>
          </cell>
          <cell r="AA3946" t="str">
            <v/>
          </cell>
          <cell r="AB3946" t="str">
            <v/>
          </cell>
          <cell r="AC3946" t="str">
            <v/>
          </cell>
          <cell r="AD3946" t="str">
            <v/>
          </cell>
          <cell r="AY3946" t="str">
            <v/>
          </cell>
          <cell r="AZ3946" t="str">
            <v/>
          </cell>
          <cell r="BA3946" t="str">
            <v/>
          </cell>
        </row>
        <row r="3947">
          <cell r="B3947" t="str">
            <v>-</v>
          </cell>
          <cell r="E3947" t="str">
            <v/>
          </cell>
          <cell r="G3947" t="str">
            <v/>
          </cell>
          <cell r="J3947" t="str">
            <v/>
          </cell>
          <cell r="O3947" t="str">
            <v/>
          </cell>
          <cell r="P3947" t="str">
            <v/>
          </cell>
          <cell r="Q3947" t="str">
            <v/>
          </cell>
          <cell r="S3947" t="str">
            <v/>
          </cell>
          <cell r="V3947" t="str">
            <v/>
          </cell>
          <cell r="Z3947" t="str">
            <v/>
          </cell>
          <cell r="AA3947" t="str">
            <v/>
          </cell>
          <cell r="AB3947" t="str">
            <v/>
          </cell>
          <cell r="AC3947" t="str">
            <v/>
          </cell>
          <cell r="AD3947" t="str">
            <v/>
          </cell>
          <cell r="AY3947" t="str">
            <v/>
          </cell>
          <cell r="AZ3947" t="str">
            <v/>
          </cell>
          <cell r="BA3947" t="str">
            <v/>
          </cell>
        </row>
        <row r="3948">
          <cell r="B3948" t="str">
            <v>-</v>
          </cell>
          <cell r="E3948" t="str">
            <v/>
          </cell>
          <cell r="G3948" t="str">
            <v/>
          </cell>
          <cell r="J3948" t="str">
            <v/>
          </cell>
          <cell r="O3948" t="str">
            <v/>
          </cell>
          <cell r="P3948" t="str">
            <v/>
          </cell>
          <cell r="Q3948" t="str">
            <v/>
          </cell>
          <cell r="S3948" t="str">
            <v/>
          </cell>
          <cell r="V3948" t="str">
            <v/>
          </cell>
          <cell r="Z3948" t="str">
            <v/>
          </cell>
          <cell r="AA3948" t="str">
            <v/>
          </cell>
          <cell r="AB3948" t="str">
            <v/>
          </cell>
          <cell r="AC3948" t="str">
            <v/>
          </cell>
          <cell r="AD3948" t="str">
            <v/>
          </cell>
          <cell r="AY3948" t="str">
            <v/>
          </cell>
          <cell r="AZ3948" t="str">
            <v/>
          </cell>
          <cell r="BA3948" t="str">
            <v/>
          </cell>
        </row>
        <row r="3949">
          <cell r="B3949" t="str">
            <v>-</v>
          </cell>
          <cell r="E3949" t="str">
            <v/>
          </cell>
          <cell r="G3949" t="str">
            <v/>
          </cell>
          <cell r="J3949" t="str">
            <v/>
          </cell>
          <cell r="O3949" t="str">
            <v/>
          </cell>
          <cell r="P3949" t="str">
            <v/>
          </cell>
          <cell r="Q3949" t="str">
            <v/>
          </cell>
          <cell r="S3949" t="str">
            <v/>
          </cell>
          <cell r="V3949" t="str">
            <v/>
          </cell>
          <cell r="Z3949" t="str">
            <v/>
          </cell>
          <cell r="AA3949" t="str">
            <v/>
          </cell>
          <cell r="AB3949" t="str">
            <v/>
          </cell>
          <cell r="AC3949" t="str">
            <v/>
          </cell>
          <cell r="AD3949" t="str">
            <v/>
          </cell>
          <cell r="AY3949" t="str">
            <v/>
          </cell>
          <cell r="AZ3949" t="str">
            <v/>
          </cell>
          <cell r="BA3949" t="str">
            <v/>
          </cell>
        </row>
        <row r="3950">
          <cell r="B3950" t="str">
            <v>-</v>
          </cell>
          <cell r="E3950" t="str">
            <v/>
          </cell>
          <cell r="G3950" t="str">
            <v/>
          </cell>
          <cell r="J3950" t="str">
            <v/>
          </cell>
          <cell r="O3950" t="str">
            <v/>
          </cell>
          <cell r="P3950" t="str">
            <v/>
          </cell>
          <cell r="Q3950" t="str">
            <v/>
          </cell>
          <cell r="S3950" t="str">
            <v/>
          </cell>
          <cell r="V3950" t="str">
            <v/>
          </cell>
          <cell r="Z3950" t="str">
            <v/>
          </cell>
          <cell r="AA3950" t="str">
            <v/>
          </cell>
          <cell r="AB3950" t="str">
            <v/>
          </cell>
          <cell r="AC3950" t="str">
            <v/>
          </cell>
          <cell r="AD3950" t="str">
            <v/>
          </cell>
          <cell r="AY3950" t="str">
            <v/>
          </cell>
          <cell r="AZ3950" t="str">
            <v/>
          </cell>
          <cell r="BA3950" t="str">
            <v/>
          </cell>
        </row>
        <row r="3951">
          <cell r="B3951" t="str">
            <v>-</v>
          </cell>
          <cell r="E3951" t="str">
            <v/>
          </cell>
          <cell r="G3951" t="str">
            <v/>
          </cell>
          <cell r="J3951" t="str">
            <v/>
          </cell>
          <cell r="O3951" t="str">
            <v/>
          </cell>
          <cell r="P3951" t="str">
            <v/>
          </cell>
          <cell r="Q3951" t="str">
            <v/>
          </cell>
          <cell r="S3951" t="str">
            <v/>
          </cell>
          <cell r="V3951" t="str">
            <v/>
          </cell>
          <cell r="Z3951" t="str">
            <v/>
          </cell>
          <cell r="AA3951" t="str">
            <v/>
          </cell>
          <cell r="AB3951" t="str">
            <v/>
          </cell>
          <cell r="AC3951" t="str">
            <v/>
          </cell>
          <cell r="AD3951" t="str">
            <v/>
          </cell>
          <cell r="AY3951" t="str">
            <v/>
          </cell>
          <cell r="AZ3951" t="str">
            <v/>
          </cell>
          <cell r="BA3951" t="str">
            <v/>
          </cell>
        </row>
        <row r="3952">
          <cell r="B3952" t="str">
            <v>-</v>
          </cell>
          <cell r="E3952" t="str">
            <v/>
          </cell>
          <cell r="G3952" t="str">
            <v/>
          </cell>
          <cell r="J3952" t="str">
            <v/>
          </cell>
          <cell r="O3952" t="str">
            <v/>
          </cell>
          <cell r="P3952" t="str">
            <v/>
          </cell>
          <cell r="Q3952" t="str">
            <v/>
          </cell>
          <cell r="S3952" t="str">
            <v/>
          </cell>
          <cell r="V3952" t="str">
            <v/>
          </cell>
          <cell r="Z3952" t="str">
            <v/>
          </cell>
          <cell r="AA3952" t="str">
            <v/>
          </cell>
          <cell r="AB3952" t="str">
            <v/>
          </cell>
          <cell r="AC3952" t="str">
            <v/>
          </cell>
          <cell r="AD3952" t="str">
            <v/>
          </cell>
          <cell r="AY3952" t="str">
            <v/>
          </cell>
          <cell r="AZ3952" t="str">
            <v/>
          </cell>
          <cell r="BA3952" t="str">
            <v/>
          </cell>
        </row>
        <row r="3953">
          <cell r="B3953" t="str">
            <v>-</v>
          </cell>
          <cell r="E3953" t="str">
            <v/>
          </cell>
          <cell r="G3953" t="str">
            <v/>
          </cell>
          <cell r="J3953" t="str">
            <v/>
          </cell>
          <cell r="O3953" t="str">
            <v/>
          </cell>
          <cell r="P3953" t="str">
            <v/>
          </cell>
          <cell r="Q3953" t="str">
            <v/>
          </cell>
          <cell r="S3953" t="str">
            <v/>
          </cell>
          <cell r="V3953" t="str">
            <v/>
          </cell>
          <cell r="Z3953" t="str">
            <v/>
          </cell>
          <cell r="AA3953" t="str">
            <v/>
          </cell>
          <cell r="AB3953" t="str">
            <v/>
          </cell>
          <cell r="AC3953" t="str">
            <v/>
          </cell>
          <cell r="AD3953" t="str">
            <v/>
          </cell>
          <cell r="AY3953" t="str">
            <v/>
          </cell>
          <cell r="AZ3953" t="str">
            <v/>
          </cell>
          <cell r="BA3953" t="str">
            <v/>
          </cell>
        </row>
        <row r="3954">
          <cell r="B3954" t="str">
            <v>-</v>
          </cell>
          <cell r="E3954" t="str">
            <v/>
          </cell>
          <cell r="G3954" t="str">
            <v/>
          </cell>
          <cell r="J3954" t="str">
            <v/>
          </cell>
          <cell r="O3954" t="str">
            <v/>
          </cell>
          <cell r="P3954" t="str">
            <v/>
          </cell>
          <cell r="Q3954" t="str">
            <v/>
          </cell>
          <cell r="S3954" t="str">
            <v/>
          </cell>
          <cell r="V3954" t="str">
            <v/>
          </cell>
          <cell r="Z3954" t="str">
            <v/>
          </cell>
          <cell r="AA3954" t="str">
            <v/>
          </cell>
          <cell r="AB3954" t="str">
            <v/>
          </cell>
          <cell r="AC3954" t="str">
            <v/>
          </cell>
          <cell r="AD3954" t="str">
            <v/>
          </cell>
          <cell r="AY3954" t="str">
            <v/>
          </cell>
          <cell r="AZ3954" t="str">
            <v/>
          </cell>
          <cell r="BA3954" t="str">
            <v/>
          </cell>
        </row>
        <row r="3955">
          <cell r="B3955" t="str">
            <v>-</v>
          </cell>
          <cell r="E3955" t="str">
            <v/>
          </cell>
          <cell r="G3955" t="str">
            <v/>
          </cell>
          <cell r="J3955" t="str">
            <v/>
          </cell>
          <cell r="O3955" t="str">
            <v/>
          </cell>
          <cell r="P3955" t="str">
            <v/>
          </cell>
          <cell r="Q3955" t="str">
            <v/>
          </cell>
          <cell r="S3955" t="str">
            <v/>
          </cell>
          <cell r="V3955" t="str">
            <v/>
          </cell>
          <cell r="Z3955" t="str">
            <v/>
          </cell>
          <cell r="AA3955" t="str">
            <v/>
          </cell>
          <cell r="AB3955" t="str">
            <v/>
          </cell>
          <cell r="AC3955" t="str">
            <v/>
          </cell>
          <cell r="AD3955" t="str">
            <v/>
          </cell>
          <cell r="AY3955" t="str">
            <v/>
          </cell>
          <cell r="AZ3955" t="str">
            <v/>
          </cell>
          <cell r="BA3955" t="str">
            <v/>
          </cell>
        </row>
        <row r="3956">
          <cell r="B3956" t="str">
            <v>-</v>
          </cell>
          <cell r="E3956" t="str">
            <v/>
          </cell>
          <cell r="G3956" t="str">
            <v/>
          </cell>
          <cell r="J3956" t="str">
            <v/>
          </cell>
          <cell r="O3956" t="str">
            <v/>
          </cell>
          <cell r="P3956" t="str">
            <v/>
          </cell>
          <cell r="Q3956" t="str">
            <v/>
          </cell>
          <cell r="S3956" t="str">
            <v/>
          </cell>
          <cell r="V3956" t="str">
            <v/>
          </cell>
          <cell r="Z3956" t="str">
            <v/>
          </cell>
          <cell r="AA3956" t="str">
            <v/>
          </cell>
          <cell r="AB3956" t="str">
            <v/>
          </cell>
          <cell r="AC3956" t="str">
            <v/>
          </cell>
          <cell r="AD3956" t="str">
            <v/>
          </cell>
          <cell r="AY3956" t="str">
            <v/>
          </cell>
          <cell r="AZ3956" t="str">
            <v/>
          </cell>
          <cell r="BA3956" t="str">
            <v/>
          </cell>
        </row>
        <row r="3957">
          <cell r="B3957" t="str">
            <v>-</v>
          </cell>
          <cell r="E3957" t="str">
            <v/>
          </cell>
          <cell r="G3957" t="str">
            <v/>
          </cell>
          <cell r="J3957" t="str">
            <v/>
          </cell>
          <cell r="O3957" t="str">
            <v/>
          </cell>
          <cell r="P3957" t="str">
            <v/>
          </cell>
          <cell r="Q3957" t="str">
            <v/>
          </cell>
          <cell r="S3957" t="str">
            <v/>
          </cell>
          <cell r="V3957" t="str">
            <v/>
          </cell>
          <cell r="Z3957" t="str">
            <v/>
          </cell>
          <cell r="AA3957" t="str">
            <v/>
          </cell>
          <cell r="AB3957" t="str">
            <v/>
          </cell>
          <cell r="AC3957" t="str">
            <v/>
          </cell>
          <cell r="AD3957" t="str">
            <v/>
          </cell>
          <cell r="AY3957" t="str">
            <v/>
          </cell>
          <cell r="AZ3957" t="str">
            <v/>
          </cell>
          <cell r="BA3957" t="str">
            <v/>
          </cell>
        </row>
        <row r="3958">
          <cell r="B3958" t="str">
            <v>-</v>
          </cell>
          <cell r="E3958" t="str">
            <v/>
          </cell>
          <cell r="G3958" t="str">
            <v/>
          </cell>
          <cell r="J3958" t="str">
            <v/>
          </cell>
          <cell r="O3958" t="str">
            <v/>
          </cell>
          <cell r="P3958" t="str">
            <v/>
          </cell>
          <cell r="Q3958" t="str">
            <v/>
          </cell>
          <cell r="S3958" t="str">
            <v/>
          </cell>
          <cell r="V3958" t="str">
            <v/>
          </cell>
          <cell r="Z3958" t="str">
            <v/>
          </cell>
          <cell r="AA3958" t="str">
            <v/>
          </cell>
          <cell r="AB3958" t="str">
            <v/>
          </cell>
          <cell r="AC3958" t="str">
            <v/>
          </cell>
          <cell r="AD3958" t="str">
            <v/>
          </cell>
          <cell r="AY3958" t="str">
            <v/>
          </cell>
          <cell r="AZ3958" t="str">
            <v/>
          </cell>
          <cell r="BA3958" t="str">
            <v/>
          </cell>
        </row>
        <row r="3959">
          <cell r="B3959" t="str">
            <v>-</v>
          </cell>
          <cell r="E3959" t="str">
            <v/>
          </cell>
          <cell r="G3959" t="str">
            <v/>
          </cell>
          <cell r="J3959" t="str">
            <v/>
          </cell>
          <cell r="O3959" t="str">
            <v/>
          </cell>
          <cell r="P3959" t="str">
            <v/>
          </cell>
          <cell r="Q3959" t="str">
            <v/>
          </cell>
          <cell r="S3959" t="str">
            <v/>
          </cell>
          <cell r="V3959" t="str">
            <v/>
          </cell>
          <cell r="Z3959" t="str">
            <v/>
          </cell>
          <cell r="AA3959" t="str">
            <v/>
          </cell>
          <cell r="AB3959" t="str">
            <v/>
          </cell>
          <cell r="AC3959" t="str">
            <v/>
          </cell>
          <cell r="AD3959" t="str">
            <v/>
          </cell>
          <cell r="AY3959" t="str">
            <v/>
          </cell>
          <cell r="AZ3959" t="str">
            <v/>
          </cell>
          <cell r="BA3959" t="str">
            <v/>
          </cell>
        </row>
        <row r="3960">
          <cell r="B3960" t="str">
            <v>-</v>
          </cell>
          <cell r="E3960" t="str">
            <v/>
          </cell>
          <cell r="G3960" t="str">
            <v/>
          </cell>
          <cell r="J3960" t="str">
            <v/>
          </cell>
          <cell r="O3960" t="str">
            <v/>
          </cell>
          <cell r="P3960" t="str">
            <v/>
          </cell>
          <cell r="Q3960" t="str">
            <v/>
          </cell>
          <cell r="S3960" t="str">
            <v/>
          </cell>
          <cell r="V3960" t="str">
            <v/>
          </cell>
          <cell r="Z3960" t="str">
            <v/>
          </cell>
          <cell r="AA3960" t="str">
            <v/>
          </cell>
          <cell r="AB3960" t="str">
            <v/>
          </cell>
          <cell r="AC3960" t="str">
            <v/>
          </cell>
          <cell r="AD3960" t="str">
            <v/>
          </cell>
          <cell r="AY3960" t="str">
            <v/>
          </cell>
          <cell r="AZ3960" t="str">
            <v/>
          </cell>
          <cell r="BA3960" t="str">
            <v/>
          </cell>
        </row>
        <row r="3961">
          <cell r="B3961" t="str">
            <v>-</v>
          </cell>
          <cell r="E3961" t="str">
            <v/>
          </cell>
          <cell r="G3961" t="str">
            <v/>
          </cell>
          <cell r="J3961" t="str">
            <v/>
          </cell>
          <cell r="O3961" t="str">
            <v/>
          </cell>
          <cell r="P3961" t="str">
            <v/>
          </cell>
          <cell r="Q3961" t="str">
            <v/>
          </cell>
          <cell r="S3961" t="str">
            <v/>
          </cell>
          <cell r="V3961" t="str">
            <v/>
          </cell>
          <cell r="Z3961" t="str">
            <v/>
          </cell>
          <cell r="AA3961" t="str">
            <v/>
          </cell>
          <cell r="AB3961" t="str">
            <v/>
          </cell>
          <cell r="AC3961" t="str">
            <v/>
          </cell>
          <cell r="AD3961" t="str">
            <v/>
          </cell>
          <cell r="AY3961" t="str">
            <v/>
          </cell>
          <cell r="AZ3961" t="str">
            <v/>
          </cell>
          <cell r="BA3961" t="str">
            <v/>
          </cell>
        </row>
        <row r="3962">
          <cell r="B3962" t="str">
            <v>-</v>
          </cell>
          <cell r="E3962" t="str">
            <v/>
          </cell>
          <cell r="G3962" t="str">
            <v/>
          </cell>
          <cell r="J3962" t="str">
            <v/>
          </cell>
          <cell r="O3962" t="str">
            <v/>
          </cell>
          <cell r="P3962" t="str">
            <v/>
          </cell>
          <cell r="Q3962" t="str">
            <v/>
          </cell>
          <cell r="S3962" t="str">
            <v/>
          </cell>
          <cell r="V3962" t="str">
            <v/>
          </cell>
          <cell r="Z3962" t="str">
            <v/>
          </cell>
          <cell r="AA3962" t="str">
            <v/>
          </cell>
          <cell r="AB3962" t="str">
            <v/>
          </cell>
          <cell r="AC3962" t="str">
            <v/>
          </cell>
          <cell r="AD3962" t="str">
            <v/>
          </cell>
          <cell r="AY3962" t="str">
            <v/>
          </cell>
          <cell r="AZ3962" t="str">
            <v/>
          </cell>
          <cell r="BA3962" t="str">
            <v/>
          </cell>
        </row>
        <row r="3963">
          <cell r="B3963" t="str">
            <v>-</v>
          </cell>
          <cell r="E3963" t="str">
            <v/>
          </cell>
          <cell r="G3963" t="str">
            <v/>
          </cell>
          <cell r="J3963" t="str">
            <v/>
          </cell>
          <cell r="O3963" t="str">
            <v/>
          </cell>
          <cell r="P3963" t="str">
            <v/>
          </cell>
          <cell r="Q3963" t="str">
            <v/>
          </cell>
          <cell r="S3963" t="str">
            <v/>
          </cell>
          <cell r="V3963" t="str">
            <v/>
          </cell>
          <cell r="Z3963" t="str">
            <v/>
          </cell>
          <cell r="AA3963" t="str">
            <v/>
          </cell>
          <cell r="AB3963" t="str">
            <v/>
          </cell>
          <cell r="AC3963" t="str">
            <v/>
          </cell>
          <cell r="AD3963" t="str">
            <v/>
          </cell>
          <cell r="AY3963" t="str">
            <v/>
          </cell>
          <cell r="AZ3963" t="str">
            <v/>
          </cell>
          <cell r="BA3963" t="str">
            <v/>
          </cell>
        </row>
        <row r="3964">
          <cell r="B3964" t="str">
            <v>-</v>
          </cell>
          <cell r="E3964" t="str">
            <v/>
          </cell>
          <cell r="G3964" t="str">
            <v/>
          </cell>
          <cell r="J3964" t="str">
            <v/>
          </cell>
          <cell r="O3964" t="str">
            <v/>
          </cell>
          <cell r="P3964" t="str">
            <v/>
          </cell>
          <cell r="Q3964" t="str">
            <v/>
          </cell>
          <cell r="S3964" t="str">
            <v/>
          </cell>
          <cell r="V3964" t="str">
            <v/>
          </cell>
          <cell r="Z3964" t="str">
            <v/>
          </cell>
          <cell r="AA3964" t="str">
            <v/>
          </cell>
          <cell r="AB3964" t="str">
            <v/>
          </cell>
          <cell r="AC3964" t="str">
            <v/>
          </cell>
          <cell r="AD3964" t="str">
            <v/>
          </cell>
          <cell r="AY3964" t="str">
            <v/>
          </cell>
          <cell r="AZ3964" t="str">
            <v/>
          </cell>
          <cell r="BA3964" t="str">
            <v/>
          </cell>
        </row>
        <row r="3965">
          <cell r="B3965" t="str">
            <v>-</v>
          </cell>
          <cell r="E3965" t="str">
            <v/>
          </cell>
          <cell r="G3965" t="str">
            <v/>
          </cell>
          <cell r="J3965" t="str">
            <v/>
          </cell>
          <cell r="O3965" t="str">
            <v/>
          </cell>
          <cell r="P3965" t="str">
            <v/>
          </cell>
          <cell r="Q3965" t="str">
            <v/>
          </cell>
          <cell r="S3965" t="str">
            <v/>
          </cell>
          <cell r="V3965" t="str">
            <v/>
          </cell>
          <cell r="Z3965" t="str">
            <v/>
          </cell>
          <cell r="AA3965" t="str">
            <v/>
          </cell>
          <cell r="AB3965" t="str">
            <v/>
          </cell>
          <cell r="AC3965" t="str">
            <v/>
          </cell>
          <cell r="AD3965" t="str">
            <v/>
          </cell>
          <cell r="AY3965" t="str">
            <v/>
          </cell>
          <cell r="AZ3965" t="str">
            <v/>
          </cell>
          <cell r="BA3965" t="str">
            <v/>
          </cell>
        </row>
        <row r="3966">
          <cell r="B3966" t="str">
            <v>-</v>
          </cell>
          <cell r="E3966" t="str">
            <v/>
          </cell>
          <cell r="G3966" t="str">
            <v/>
          </cell>
          <cell r="J3966" t="str">
            <v/>
          </cell>
          <cell r="O3966" t="str">
            <v/>
          </cell>
          <cell r="P3966" t="str">
            <v/>
          </cell>
          <cell r="Q3966" t="str">
            <v/>
          </cell>
          <cell r="S3966" t="str">
            <v/>
          </cell>
          <cell r="V3966" t="str">
            <v/>
          </cell>
          <cell r="Z3966" t="str">
            <v/>
          </cell>
          <cell r="AA3966" t="str">
            <v/>
          </cell>
          <cell r="AB3966" t="str">
            <v/>
          </cell>
          <cell r="AC3966" t="str">
            <v/>
          </cell>
          <cell r="AD3966" t="str">
            <v/>
          </cell>
          <cell r="AY3966" t="str">
            <v/>
          </cell>
          <cell r="AZ3966" t="str">
            <v/>
          </cell>
          <cell r="BA3966" t="str">
            <v/>
          </cell>
        </row>
        <row r="3967">
          <cell r="B3967" t="str">
            <v>-</v>
          </cell>
          <cell r="E3967" t="str">
            <v/>
          </cell>
          <cell r="G3967" t="str">
            <v/>
          </cell>
          <cell r="J3967" t="str">
            <v/>
          </cell>
          <cell r="O3967" t="str">
            <v/>
          </cell>
          <cell r="P3967" t="str">
            <v/>
          </cell>
          <cell r="Q3967" t="str">
            <v/>
          </cell>
          <cell r="S3967" t="str">
            <v/>
          </cell>
          <cell r="V3967" t="str">
            <v/>
          </cell>
          <cell r="Z3967" t="str">
            <v/>
          </cell>
          <cell r="AA3967" t="str">
            <v/>
          </cell>
          <cell r="AB3967" t="str">
            <v/>
          </cell>
          <cell r="AC3967" t="str">
            <v/>
          </cell>
          <cell r="AD3967" t="str">
            <v/>
          </cell>
          <cell r="AY3967" t="str">
            <v/>
          </cell>
          <cell r="AZ3967" t="str">
            <v/>
          </cell>
          <cell r="BA3967" t="str">
            <v/>
          </cell>
        </row>
        <row r="3968">
          <cell r="B3968" t="str">
            <v>-</v>
          </cell>
          <cell r="E3968" t="str">
            <v/>
          </cell>
          <cell r="G3968" t="str">
            <v/>
          </cell>
          <cell r="J3968" t="str">
            <v/>
          </cell>
          <cell r="O3968" t="str">
            <v/>
          </cell>
          <cell r="P3968" t="str">
            <v/>
          </cell>
          <cell r="Q3968" t="str">
            <v/>
          </cell>
          <cell r="S3968" t="str">
            <v/>
          </cell>
          <cell r="V3968" t="str">
            <v/>
          </cell>
          <cell r="Z3968" t="str">
            <v/>
          </cell>
          <cell r="AA3968" t="str">
            <v/>
          </cell>
          <cell r="AB3968" t="str">
            <v/>
          </cell>
          <cell r="AC3968" t="str">
            <v/>
          </cell>
          <cell r="AD3968" t="str">
            <v/>
          </cell>
          <cell r="AY3968" t="str">
            <v/>
          </cell>
          <cell r="AZ3968" t="str">
            <v/>
          </cell>
          <cell r="BA3968" t="str">
            <v/>
          </cell>
        </row>
        <row r="3969">
          <cell r="B3969" t="str">
            <v>-</v>
          </cell>
          <cell r="E3969" t="str">
            <v/>
          </cell>
          <cell r="G3969" t="str">
            <v/>
          </cell>
          <cell r="J3969" t="str">
            <v/>
          </cell>
          <cell r="O3969" t="str">
            <v/>
          </cell>
          <cell r="P3969" t="str">
            <v/>
          </cell>
          <cell r="Q3969" t="str">
            <v/>
          </cell>
          <cell r="S3969" t="str">
            <v/>
          </cell>
          <cell r="V3969" t="str">
            <v/>
          </cell>
          <cell r="Z3969" t="str">
            <v/>
          </cell>
          <cell r="AA3969" t="str">
            <v/>
          </cell>
          <cell r="AB3969" t="str">
            <v/>
          </cell>
          <cell r="AC3969" t="str">
            <v/>
          </cell>
          <cell r="AD3969" t="str">
            <v/>
          </cell>
          <cell r="AY3969" t="str">
            <v/>
          </cell>
          <cell r="AZ3969" t="str">
            <v/>
          </cell>
          <cell r="BA3969" t="str">
            <v/>
          </cell>
        </row>
        <row r="3970">
          <cell r="B3970" t="str">
            <v>-</v>
          </cell>
          <cell r="E3970" t="str">
            <v/>
          </cell>
          <cell r="G3970" t="str">
            <v/>
          </cell>
          <cell r="J3970" t="str">
            <v/>
          </cell>
          <cell r="O3970" t="str">
            <v/>
          </cell>
          <cell r="P3970" t="str">
            <v/>
          </cell>
          <cell r="Q3970" t="str">
            <v/>
          </cell>
          <cell r="S3970" t="str">
            <v/>
          </cell>
          <cell r="V3970" t="str">
            <v/>
          </cell>
          <cell r="Z3970" t="str">
            <v/>
          </cell>
          <cell r="AA3970" t="str">
            <v/>
          </cell>
          <cell r="AB3970" t="str">
            <v/>
          </cell>
          <cell r="AC3970" t="str">
            <v/>
          </cell>
          <cell r="AD3970" t="str">
            <v/>
          </cell>
          <cell r="AY3970" t="str">
            <v/>
          </cell>
          <cell r="AZ3970" t="str">
            <v/>
          </cell>
          <cell r="BA3970" t="str">
            <v/>
          </cell>
        </row>
        <row r="3971">
          <cell r="B3971" t="str">
            <v>-</v>
          </cell>
          <cell r="E3971" t="str">
            <v/>
          </cell>
          <cell r="G3971" t="str">
            <v/>
          </cell>
          <cell r="J3971" t="str">
            <v/>
          </cell>
          <cell r="O3971" t="str">
            <v/>
          </cell>
          <cell r="P3971" t="str">
            <v/>
          </cell>
          <cell r="Q3971" t="str">
            <v/>
          </cell>
          <cell r="S3971" t="str">
            <v/>
          </cell>
          <cell r="V3971" t="str">
            <v/>
          </cell>
          <cell r="Z3971" t="str">
            <v/>
          </cell>
          <cell r="AA3971" t="str">
            <v/>
          </cell>
          <cell r="AB3971" t="str">
            <v/>
          </cell>
          <cell r="AC3971" t="str">
            <v/>
          </cell>
          <cell r="AD3971" t="str">
            <v/>
          </cell>
          <cell r="AY3971" t="str">
            <v/>
          </cell>
          <cell r="AZ3971" t="str">
            <v/>
          </cell>
          <cell r="BA3971" t="str">
            <v/>
          </cell>
        </row>
        <row r="3972">
          <cell r="B3972" t="str">
            <v>-</v>
          </cell>
          <cell r="E3972" t="str">
            <v/>
          </cell>
          <cell r="G3972" t="str">
            <v/>
          </cell>
          <cell r="J3972" t="str">
            <v/>
          </cell>
          <cell r="O3972" t="str">
            <v/>
          </cell>
          <cell r="P3972" t="str">
            <v/>
          </cell>
          <cell r="Q3972" t="str">
            <v/>
          </cell>
          <cell r="S3972" t="str">
            <v/>
          </cell>
          <cell r="V3972" t="str">
            <v/>
          </cell>
          <cell r="Z3972" t="str">
            <v/>
          </cell>
          <cell r="AA3972" t="str">
            <v/>
          </cell>
          <cell r="AB3972" t="str">
            <v/>
          </cell>
          <cell r="AC3972" t="str">
            <v/>
          </cell>
          <cell r="AD3972" t="str">
            <v/>
          </cell>
          <cell r="AY3972" t="str">
            <v/>
          </cell>
          <cell r="AZ3972" t="str">
            <v/>
          </cell>
          <cell r="BA3972" t="str">
            <v/>
          </cell>
        </row>
        <row r="3973">
          <cell r="B3973" t="str">
            <v>-</v>
          </cell>
          <cell r="E3973" t="str">
            <v/>
          </cell>
          <cell r="G3973" t="str">
            <v/>
          </cell>
          <cell r="J3973" t="str">
            <v/>
          </cell>
          <cell r="O3973" t="str">
            <v/>
          </cell>
          <cell r="P3973" t="str">
            <v/>
          </cell>
          <cell r="Q3973" t="str">
            <v/>
          </cell>
          <cell r="S3973" t="str">
            <v/>
          </cell>
          <cell r="V3973" t="str">
            <v/>
          </cell>
          <cell r="Z3973" t="str">
            <v/>
          </cell>
          <cell r="AA3973" t="str">
            <v/>
          </cell>
          <cell r="AB3973" t="str">
            <v/>
          </cell>
          <cell r="AC3973" t="str">
            <v/>
          </cell>
          <cell r="AD3973" t="str">
            <v/>
          </cell>
          <cell r="AY3973" t="str">
            <v/>
          </cell>
          <cell r="AZ3973" t="str">
            <v/>
          </cell>
          <cell r="BA3973" t="str">
            <v/>
          </cell>
        </row>
        <row r="3974">
          <cell r="B3974" t="str">
            <v>-</v>
          </cell>
          <cell r="E3974" t="str">
            <v/>
          </cell>
          <cell r="G3974" t="str">
            <v/>
          </cell>
          <cell r="J3974" t="str">
            <v/>
          </cell>
          <cell r="O3974" t="str">
            <v/>
          </cell>
          <cell r="P3974" t="str">
            <v/>
          </cell>
          <cell r="Q3974" t="str">
            <v/>
          </cell>
          <cell r="S3974" t="str">
            <v/>
          </cell>
          <cell r="V3974" t="str">
            <v/>
          </cell>
          <cell r="Z3974" t="str">
            <v/>
          </cell>
          <cell r="AA3974" t="str">
            <v/>
          </cell>
          <cell r="AB3974" t="str">
            <v/>
          </cell>
          <cell r="AC3974" t="str">
            <v/>
          </cell>
          <cell r="AD3974" t="str">
            <v/>
          </cell>
          <cell r="AY3974" t="str">
            <v/>
          </cell>
          <cell r="AZ3974" t="str">
            <v/>
          </cell>
          <cell r="BA3974" t="str">
            <v/>
          </cell>
        </row>
        <row r="3975">
          <cell r="B3975" t="str">
            <v>-</v>
          </cell>
          <cell r="E3975" t="str">
            <v/>
          </cell>
          <cell r="G3975" t="str">
            <v/>
          </cell>
          <cell r="J3975" t="str">
            <v/>
          </cell>
          <cell r="O3975" t="str">
            <v/>
          </cell>
          <cell r="P3975" t="str">
            <v/>
          </cell>
          <cell r="Q3975" t="str">
            <v/>
          </cell>
          <cell r="S3975" t="str">
            <v/>
          </cell>
          <cell r="V3975" t="str">
            <v/>
          </cell>
          <cell r="Z3975" t="str">
            <v/>
          </cell>
          <cell r="AA3975" t="str">
            <v/>
          </cell>
          <cell r="AB3975" t="str">
            <v/>
          </cell>
          <cell r="AC3975" t="str">
            <v/>
          </cell>
          <cell r="AD3975" t="str">
            <v/>
          </cell>
          <cell r="AY3975" t="str">
            <v/>
          </cell>
          <cell r="AZ3975" t="str">
            <v/>
          </cell>
          <cell r="BA3975" t="str">
            <v/>
          </cell>
        </row>
        <row r="3976">
          <cell r="B3976" t="str">
            <v>-</v>
          </cell>
          <cell r="E3976" t="str">
            <v/>
          </cell>
          <cell r="G3976" t="str">
            <v/>
          </cell>
          <cell r="J3976" t="str">
            <v/>
          </cell>
          <cell r="O3976" t="str">
            <v/>
          </cell>
          <cell r="P3976" t="str">
            <v/>
          </cell>
          <cell r="Q3976" t="str">
            <v/>
          </cell>
          <cell r="S3976" t="str">
            <v/>
          </cell>
          <cell r="V3976" t="str">
            <v/>
          </cell>
          <cell r="Z3976" t="str">
            <v/>
          </cell>
          <cell r="AA3976" t="str">
            <v/>
          </cell>
          <cell r="AB3976" t="str">
            <v/>
          </cell>
          <cell r="AC3976" t="str">
            <v/>
          </cell>
          <cell r="AD3976" t="str">
            <v/>
          </cell>
          <cell r="AY3976" t="str">
            <v/>
          </cell>
          <cell r="AZ3976" t="str">
            <v/>
          </cell>
          <cell r="BA3976" t="str">
            <v/>
          </cell>
        </row>
        <row r="3977">
          <cell r="B3977" t="str">
            <v>-</v>
          </cell>
          <cell r="E3977" t="str">
            <v/>
          </cell>
          <cell r="G3977" t="str">
            <v/>
          </cell>
          <cell r="J3977" t="str">
            <v/>
          </cell>
          <cell r="O3977" t="str">
            <v/>
          </cell>
          <cell r="P3977" t="str">
            <v/>
          </cell>
          <cell r="Q3977" t="str">
            <v/>
          </cell>
          <cell r="S3977" t="str">
            <v/>
          </cell>
          <cell r="V3977" t="str">
            <v/>
          </cell>
          <cell r="Z3977" t="str">
            <v/>
          </cell>
          <cell r="AA3977" t="str">
            <v/>
          </cell>
          <cell r="AB3977" t="str">
            <v/>
          </cell>
          <cell r="AC3977" t="str">
            <v/>
          </cell>
          <cell r="AD3977" t="str">
            <v/>
          </cell>
          <cell r="AY3977" t="str">
            <v/>
          </cell>
          <cell r="AZ3977" t="str">
            <v/>
          </cell>
          <cell r="BA3977" t="str">
            <v/>
          </cell>
        </row>
        <row r="3978">
          <cell r="B3978" t="str">
            <v>-</v>
          </cell>
          <cell r="E3978" t="str">
            <v/>
          </cell>
          <cell r="G3978" t="str">
            <v/>
          </cell>
          <cell r="J3978" t="str">
            <v/>
          </cell>
          <cell r="O3978" t="str">
            <v/>
          </cell>
          <cell r="P3978" t="str">
            <v/>
          </cell>
          <cell r="Q3978" t="str">
            <v/>
          </cell>
          <cell r="S3978" t="str">
            <v/>
          </cell>
          <cell r="V3978" t="str">
            <v/>
          </cell>
          <cell r="Z3978" t="str">
            <v/>
          </cell>
          <cell r="AA3978" t="str">
            <v/>
          </cell>
          <cell r="AB3978" t="str">
            <v/>
          </cell>
          <cell r="AC3978" t="str">
            <v/>
          </cell>
          <cell r="AD3978" t="str">
            <v/>
          </cell>
          <cell r="AY3978" t="str">
            <v/>
          </cell>
          <cell r="AZ3978" t="str">
            <v/>
          </cell>
          <cell r="BA3978" t="str">
            <v/>
          </cell>
        </row>
        <row r="3979">
          <cell r="B3979" t="str">
            <v>-</v>
          </cell>
          <cell r="E3979" t="str">
            <v/>
          </cell>
          <cell r="G3979" t="str">
            <v/>
          </cell>
          <cell r="J3979" t="str">
            <v/>
          </cell>
          <cell r="O3979" t="str">
            <v/>
          </cell>
          <cell r="P3979" t="str">
            <v/>
          </cell>
          <cell r="Q3979" t="str">
            <v/>
          </cell>
          <cell r="S3979" t="str">
            <v/>
          </cell>
          <cell r="V3979" t="str">
            <v/>
          </cell>
          <cell r="Z3979" t="str">
            <v/>
          </cell>
          <cell r="AA3979" t="str">
            <v/>
          </cell>
          <cell r="AB3979" t="str">
            <v/>
          </cell>
          <cell r="AC3979" t="str">
            <v/>
          </cell>
          <cell r="AD3979" t="str">
            <v/>
          </cell>
          <cell r="AY3979" t="str">
            <v/>
          </cell>
          <cell r="AZ3979" t="str">
            <v/>
          </cell>
          <cell r="BA3979" t="str">
            <v/>
          </cell>
        </row>
        <row r="3980">
          <cell r="B3980" t="str">
            <v>-</v>
          </cell>
          <cell r="E3980" t="str">
            <v/>
          </cell>
          <cell r="G3980" t="str">
            <v/>
          </cell>
          <cell r="J3980" t="str">
            <v/>
          </cell>
          <cell r="O3980" t="str">
            <v/>
          </cell>
          <cell r="P3980" t="str">
            <v/>
          </cell>
          <cell r="Q3980" t="str">
            <v/>
          </cell>
          <cell r="S3980" t="str">
            <v/>
          </cell>
          <cell r="V3980" t="str">
            <v/>
          </cell>
          <cell r="Z3980" t="str">
            <v/>
          </cell>
          <cell r="AA3980" t="str">
            <v/>
          </cell>
          <cell r="AB3980" t="str">
            <v/>
          </cell>
          <cell r="AC3980" t="str">
            <v/>
          </cell>
          <cell r="AD3980" t="str">
            <v/>
          </cell>
          <cell r="AY3980" t="str">
            <v/>
          </cell>
          <cell r="AZ3980" t="str">
            <v/>
          </cell>
          <cell r="BA3980" t="str">
            <v/>
          </cell>
        </row>
        <row r="3981">
          <cell r="B3981" t="str">
            <v>-</v>
          </cell>
          <cell r="E3981" t="str">
            <v/>
          </cell>
          <cell r="G3981" t="str">
            <v/>
          </cell>
          <cell r="J3981" t="str">
            <v/>
          </cell>
          <cell r="O3981" t="str">
            <v/>
          </cell>
          <cell r="P3981" t="str">
            <v/>
          </cell>
          <cell r="Q3981" t="str">
            <v/>
          </cell>
          <cell r="S3981" t="str">
            <v/>
          </cell>
          <cell r="V3981" t="str">
            <v/>
          </cell>
          <cell r="Z3981" t="str">
            <v/>
          </cell>
          <cell r="AA3981" t="str">
            <v/>
          </cell>
          <cell r="AB3981" t="str">
            <v/>
          </cell>
          <cell r="AC3981" t="str">
            <v/>
          </cell>
          <cell r="AD3981" t="str">
            <v/>
          </cell>
          <cell r="AY3981" t="str">
            <v/>
          </cell>
          <cell r="AZ3981" t="str">
            <v/>
          </cell>
          <cell r="BA3981" t="str">
            <v/>
          </cell>
        </row>
        <row r="3982">
          <cell r="B3982" t="str">
            <v>-</v>
          </cell>
          <cell r="E3982" t="str">
            <v/>
          </cell>
          <cell r="G3982" t="str">
            <v/>
          </cell>
          <cell r="J3982" t="str">
            <v/>
          </cell>
          <cell r="O3982" t="str">
            <v/>
          </cell>
          <cell r="P3982" t="str">
            <v/>
          </cell>
          <cell r="Q3982" t="str">
            <v/>
          </cell>
          <cell r="S3982" t="str">
            <v/>
          </cell>
          <cell r="V3982" t="str">
            <v/>
          </cell>
          <cell r="Z3982" t="str">
            <v/>
          </cell>
          <cell r="AA3982" t="str">
            <v/>
          </cell>
          <cell r="AB3982" t="str">
            <v/>
          </cell>
          <cell r="AC3982" t="str">
            <v/>
          </cell>
          <cell r="AD3982" t="str">
            <v/>
          </cell>
          <cell r="AY3982" t="str">
            <v/>
          </cell>
          <cell r="AZ3982" t="str">
            <v/>
          </cell>
          <cell r="BA3982" t="str">
            <v/>
          </cell>
        </row>
        <row r="3983">
          <cell r="B3983" t="str">
            <v>-</v>
          </cell>
          <cell r="E3983" t="str">
            <v/>
          </cell>
          <cell r="G3983" t="str">
            <v/>
          </cell>
          <cell r="J3983" t="str">
            <v/>
          </cell>
          <cell r="O3983" t="str">
            <v/>
          </cell>
          <cell r="P3983" t="str">
            <v/>
          </cell>
          <cell r="Q3983" t="str">
            <v/>
          </cell>
          <cell r="S3983" t="str">
            <v/>
          </cell>
          <cell r="V3983" t="str">
            <v/>
          </cell>
          <cell r="Z3983" t="str">
            <v/>
          </cell>
          <cell r="AA3983" t="str">
            <v/>
          </cell>
          <cell r="AB3983" t="str">
            <v/>
          </cell>
          <cell r="AC3983" t="str">
            <v/>
          </cell>
          <cell r="AD3983" t="str">
            <v/>
          </cell>
          <cell r="AY3983" t="str">
            <v/>
          </cell>
          <cell r="AZ3983" t="str">
            <v/>
          </cell>
          <cell r="BA3983" t="str">
            <v/>
          </cell>
        </row>
        <row r="3984">
          <cell r="B3984" t="str">
            <v>-</v>
          </cell>
          <cell r="E3984" t="str">
            <v/>
          </cell>
          <cell r="G3984" t="str">
            <v/>
          </cell>
          <cell r="J3984" t="str">
            <v/>
          </cell>
          <cell r="O3984" t="str">
            <v/>
          </cell>
          <cell r="P3984" t="str">
            <v/>
          </cell>
          <cell r="Q3984" t="str">
            <v/>
          </cell>
          <cell r="S3984" t="str">
            <v/>
          </cell>
          <cell r="V3984" t="str">
            <v/>
          </cell>
          <cell r="Z3984" t="str">
            <v/>
          </cell>
          <cell r="AA3984" t="str">
            <v/>
          </cell>
          <cell r="AB3984" t="str">
            <v/>
          </cell>
          <cell r="AC3984" t="str">
            <v/>
          </cell>
          <cell r="AD3984" t="str">
            <v/>
          </cell>
          <cell r="AY3984" t="str">
            <v/>
          </cell>
          <cell r="AZ3984" t="str">
            <v/>
          </cell>
          <cell r="BA3984" t="str">
            <v/>
          </cell>
        </row>
        <row r="3985">
          <cell r="B3985" t="str">
            <v>-</v>
          </cell>
          <cell r="E3985" t="str">
            <v/>
          </cell>
          <cell r="G3985" t="str">
            <v/>
          </cell>
          <cell r="J3985" t="str">
            <v/>
          </cell>
          <cell r="O3985" t="str">
            <v/>
          </cell>
          <cell r="P3985" t="str">
            <v/>
          </cell>
          <cell r="Q3985" t="str">
            <v/>
          </cell>
          <cell r="S3985" t="str">
            <v/>
          </cell>
          <cell r="V3985" t="str">
            <v/>
          </cell>
          <cell r="Z3985" t="str">
            <v/>
          </cell>
          <cell r="AA3985" t="str">
            <v/>
          </cell>
          <cell r="AB3985" t="str">
            <v/>
          </cell>
          <cell r="AC3985" t="str">
            <v/>
          </cell>
          <cell r="AD3985" t="str">
            <v/>
          </cell>
          <cell r="AY3985" t="str">
            <v/>
          </cell>
          <cell r="AZ3985" t="str">
            <v/>
          </cell>
          <cell r="BA3985" t="str">
            <v/>
          </cell>
        </row>
        <row r="3986">
          <cell r="B3986" t="str">
            <v>-</v>
          </cell>
          <cell r="E3986" t="str">
            <v/>
          </cell>
          <cell r="G3986" t="str">
            <v/>
          </cell>
          <cell r="J3986" t="str">
            <v/>
          </cell>
          <cell r="O3986" t="str">
            <v/>
          </cell>
          <cell r="P3986" t="str">
            <v/>
          </cell>
          <cell r="Q3986" t="str">
            <v/>
          </cell>
          <cell r="S3986" t="str">
            <v/>
          </cell>
          <cell r="V3986" t="str">
            <v/>
          </cell>
          <cell r="Z3986" t="str">
            <v/>
          </cell>
          <cell r="AA3986" t="str">
            <v/>
          </cell>
          <cell r="AB3986" t="str">
            <v/>
          </cell>
          <cell r="AC3986" t="str">
            <v/>
          </cell>
          <cell r="AD3986" t="str">
            <v/>
          </cell>
          <cell r="AY3986" t="str">
            <v/>
          </cell>
          <cell r="AZ3986" t="str">
            <v/>
          </cell>
          <cell r="BA3986" t="str">
            <v/>
          </cell>
        </row>
        <row r="3987">
          <cell r="B3987" t="str">
            <v>-</v>
          </cell>
          <cell r="E3987" t="str">
            <v/>
          </cell>
          <cell r="G3987" t="str">
            <v/>
          </cell>
          <cell r="J3987" t="str">
            <v/>
          </cell>
          <cell r="O3987" t="str">
            <v/>
          </cell>
          <cell r="P3987" t="str">
            <v/>
          </cell>
          <cell r="Q3987" t="str">
            <v/>
          </cell>
          <cell r="S3987" t="str">
            <v/>
          </cell>
          <cell r="V3987" t="str">
            <v/>
          </cell>
          <cell r="Z3987" t="str">
            <v/>
          </cell>
          <cell r="AA3987" t="str">
            <v/>
          </cell>
          <cell r="AB3987" t="str">
            <v/>
          </cell>
          <cell r="AC3987" t="str">
            <v/>
          </cell>
          <cell r="AD3987" t="str">
            <v/>
          </cell>
          <cell r="AY3987" t="str">
            <v/>
          </cell>
          <cell r="AZ3987" t="str">
            <v/>
          </cell>
          <cell r="BA3987" t="str">
            <v/>
          </cell>
        </row>
        <row r="3988">
          <cell r="B3988" t="str">
            <v>-</v>
          </cell>
          <cell r="E3988" t="str">
            <v/>
          </cell>
          <cell r="G3988" t="str">
            <v/>
          </cell>
          <cell r="J3988" t="str">
            <v/>
          </cell>
          <cell r="O3988" t="str">
            <v/>
          </cell>
          <cell r="P3988" t="str">
            <v/>
          </cell>
          <cell r="Q3988" t="str">
            <v/>
          </cell>
          <cell r="S3988" t="str">
            <v/>
          </cell>
          <cell r="V3988" t="str">
            <v/>
          </cell>
          <cell r="Z3988" t="str">
            <v/>
          </cell>
          <cell r="AA3988" t="str">
            <v/>
          </cell>
          <cell r="AB3988" t="str">
            <v/>
          </cell>
          <cell r="AC3988" t="str">
            <v/>
          </cell>
          <cell r="AD3988" t="str">
            <v/>
          </cell>
          <cell r="AY3988" t="str">
            <v/>
          </cell>
          <cell r="AZ3988" t="str">
            <v/>
          </cell>
          <cell r="BA3988" t="str">
            <v/>
          </cell>
        </row>
        <row r="3989">
          <cell r="B3989" t="str">
            <v>-</v>
          </cell>
          <cell r="E3989" t="str">
            <v/>
          </cell>
          <cell r="G3989" t="str">
            <v/>
          </cell>
          <cell r="J3989" t="str">
            <v/>
          </cell>
          <cell r="O3989" t="str">
            <v/>
          </cell>
          <cell r="P3989" t="str">
            <v/>
          </cell>
          <cell r="Q3989" t="str">
            <v/>
          </cell>
          <cell r="S3989" t="str">
            <v/>
          </cell>
          <cell r="V3989" t="str">
            <v/>
          </cell>
          <cell r="Z3989" t="str">
            <v/>
          </cell>
          <cell r="AA3989" t="str">
            <v/>
          </cell>
          <cell r="AB3989" t="str">
            <v/>
          </cell>
          <cell r="AC3989" t="str">
            <v/>
          </cell>
          <cell r="AD3989" t="str">
            <v/>
          </cell>
          <cell r="AY3989" t="str">
            <v/>
          </cell>
          <cell r="AZ3989" t="str">
            <v/>
          </cell>
          <cell r="BA3989" t="str">
            <v/>
          </cell>
        </row>
        <row r="3990">
          <cell r="B3990" t="str">
            <v>-</v>
          </cell>
          <cell r="E3990" t="str">
            <v/>
          </cell>
          <cell r="G3990" t="str">
            <v/>
          </cell>
          <cell r="J3990" t="str">
            <v/>
          </cell>
          <cell r="O3990" t="str">
            <v/>
          </cell>
          <cell r="P3990" t="str">
            <v/>
          </cell>
          <cell r="Q3990" t="str">
            <v/>
          </cell>
          <cell r="S3990" t="str">
            <v/>
          </cell>
          <cell r="V3990" t="str">
            <v/>
          </cell>
          <cell r="Z3990" t="str">
            <v/>
          </cell>
          <cell r="AA3990" t="str">
            <v/>
          </cell>
          <cell r="AB3990" t="str">
            <v/>
          </cell>
          <cell r="AC3990" t="str">
            <v/>
          </cell>
          <cell r="AD3990" t="str">
            <v/>
          </cell>
          <cell r="AY3990" t="str">
            <v/>
          </cell>
          <cell r="AZ3990" t="str">
            <v/>
          </cell>
          <cell r="BA3990" t="str">
            <v/>
          </cell>
        </row>
        <row r="3991">
          <cell r="B3991" t="str">
            <v>-</v>
          </cell>
          <cell r="E3991" t="str">
            <v/>
          </cell>
          <cell r="G3991" t="str">
            <v/>
          </cell>
          <cell r="J3991" t="str">
            <v/>
          </cell>
          <cell r="O3991" t="str">
            <v/>
          </cell>
          <cell r="P3991" t="str">
            <v/>
          </cell>
          <cell r="Q3991" t="str">
            <v/>
          </cell>
          <cell r="S3991" t="str">
            <v/>
          </cell>
          <cell r="V3991" t="str">
            <v/>
          </cell>
          <cell r="Z3991" t="str">
            <v/>
          </cell>
          <cell r="AA3991" t="str">
            <v/>
          </cell>
          <cell r="AB3991" t="str">
            <v/>
          </cell>
          <cell r="AC3991" t="str">
            <v/>
          </cell>
          <cell r="AD3991" t="str">
            <v/>
          </cell>
          <cell r="AY3991" t="str">
            <v/>
          </cell>
          <cell r="AZ3991" t="str">
            <v/>
          </cell>
          <cell r="BA3991" t="str">
            <v/>
          </cell>
        </row>
        <row r="3992">
          <cell r="B3992" t="str">
            <v>-</v>
          </cell>
          <cell r="E3992" t="str">
            <v/>
          </cell>
          <cell r="G3992" t="str">
            <v/>
          </cell>
          <cell r="J3992" t="str">
            <v/>
          </cell>
          <cell r="O3992" t="str">
            <v/>
          </cell>
          <cell r="P3992" t="str">
            <v/>
          </cell>
          <cell r="Q3992" t="str">
            <v/>
          </cell>
          <cell r="S3992" t="str">
            <v/>
          </cell>
          <cell r="V3992" t="str">
            <v/>
          </cell>
          <cell r="Z3992" t="str">
            <v/>
          </cell>
          <cell r="AA3992" t="str">
            <v/>
          </cell>
          <cell r="AB3992" t="str">
            <v/>
          </cell>
          <cell r="AC3992" t="str">
            <v/>
          </cell>
          <cell r="AD3992" t="str">
            <v/>
          </cell>
          <cell r="AY3992" t="str">
            <v/>
          </cell>
          <cell r="AZ3992" t="str">
            <v/>
          </cell>
          <cell r="BA3992" t="str">
            <v/>
          </cell>
        </row>
        <row r="3993">
          <cell r="B3993" t="str">
            <v>-</v>
          </cell>
          <cell r="E3993" t="str">
            <v/>
          </cell>
          <cell r="G3993" t="str">
            <v/>
          </cell>
          <cell r="J3993" t="str">
            <v/>
          </cell>
          <cell r="O3993" t="str">
            <v/>
          </cell>
          <cell r="P3993" t="str">
            <v/>
          </cell>
          <cell r="Q3993" t="str">
            <v/>
          </cell>
          <cell r="S3993" t="str">
            <v/>
          </cell>
          <cell r="V3993" t="str">
            <v/>
          </cell>
          <cell r="Z3993" t="str">
            <v/>
          </cell>
          <cell r="AA3993" t="str">
            <v/>
          </cell>
          <cell r="AB3993" t="str">
            <v/>
          </cell>
          <cell r="AC3993" t="str">
            <v/>
          </cell>
          <cell r="AD3993" t="str">
            <v/>
          </cell>
          <cell r="AY3993" t="str">
            <v/>
          </cell>
          <cell r="AZ3993" t="str">
            <v/>
          </cell>
          <cell r="BA3993" t="str">
            <v/>
          </cell>
        </row>
        <row r="3994">
          <cell r="B3994" t="str">
            <v>-</v>
          </cell>
          <cell r="E3994" t="str">
            <v/>
          </cell>
          <cell r="G3994" t="str">
            <v/>
          </cell>
          <cell r="J3994" t="str">
            <v/>
          </cell>
          <cell r="O3994" t="str">
            <v/>
          </cell>
          <cell r="P3994" t="str">
            <v/>
          </cell>
          <cell r="Q3994" t="str">
            <v/>
          </cell>
          <cell r="S3994" t="str">
            <v/>
          </cell>
          <cell r="V3994" t="str">
            <v/>
          </cell>
          <cell r="Z3994" t="str">
            <v/>
          </cell>
          <cell r="AA3994" t="str">
            <v/>
          </cell>
          <cell r="AB3994" t="str">
            <v/>
          </cell>
          <cell r="AC3994" t="str">
            <v/>
          </cell>
          <cell r="AD3994" t="str">
            <v/>
          </cell>
          <cell r="AY3994" t="str">
            <v/>
          </cell>
          <cell r="AZ3994" t="str">
            <v/>
          </cell>
          <cell r="BA3994" t="str">
            <v/>
          </cell>
        </row>
        <row r="3995">
          <cell r="B3995" t="str">
            <v>-</v>
          </cell>
          <cell r="E3995" t="str">
            <v/>
          </cell>
          <cell r="G3995" t="str">
            <v/>
          </cell>
          <cell r="J3995" t="str">
            <v/>
          </cell>
          <cell r="O3995" t="str">
            <v/>
          </cell>
          <cell r="P3995" t="str">
            <v/>
          </cell>
          <cell r="Q3995" t="str">
            <v/>
          </cell>
          <cell r="S3995" t="str">
            <v/>
          </cell>
          <cell r="V3995" t="str">
            <v/>
          </cell>
          <cell r="Z3995" t="str">
            <v/>
          </cell>
          <cell r="AA3995" t="str">
            <v/>
          </cell>
          <cell r="AB3995" t="str">
            <v/>
          </cell>
          <cell r="AC3995" t="str">
            <v/>
          </cell>
          <cell r="AD3995" t="str">
            <v/>
          </cell>
          <cell r="AY3995" t="str">
            <v/>
          </cell>
          <cell r="AZ3995" t="str">
            <v/>
          </cell>
          <cell r="BA3995" t="str">
            <v/>
          </cell>
        </row>
        <row r="3996">
          <cell r="B3996" t="str">
            <v>-</v>
          </cell>
          <cell r="E3996" t="str">
            <v/>
          </cell>
          <cell r="G3996" t="str">
            <v/>
          </cell>
          <cell r="J3996" t="str">
            <v/>
          </cell>
          <cell r="O3996" t="str">
            <v/>
          </cell>
          <cell r="P3996" t="str">
            <v/>
          </cell>
          <cell r="Q3996" t="str">
            <v/>
          </cell>
          <cell r="S3996" t="str">
            <v/>
          </cell>
          <cell r="V3996" t="str">
            <v/>
          </cell>
          <cell r="Z3996" t="str">
            <v/>
          </cell>
          <cell r="AA3996" t="str">
            <v/>
          </cell>
          <cell r="AB3996" t="str">
            <v/>
          </cell>
          <cell r="AC3996" t="str">
            <v/>
          </cell>
          <cell r="AD3996" t="str">
            <v/>
          </cell>
          <cell r="AY3996" t="str">
            <v/>
          </cell>
          <cell r="AZ3996" t="str">
            <v/>
          </cell>
          <cell r="BA3996" t="str">
            <v/>
          </cell>
        </row>
        <row r="3997">
          <cell r="B3997" t="str">
            <v>-</v>
          </cell>
          <cell r="E3997" t="str">
            <v/>
          </cell>
          <cell r="G3997" t="str">
            <v/>
          </cell>
          <cell r="J3997" t="str">
            <v/>
          </cell>
          <cell r="O3997" t="str">
            <v/>
          </cell>
          <cell r="P3997" t="str">
            <v/>
          </cell>
          <cell r="Q3997" t="str">
            <v/>
          </cell>
          <cell r="S3997" t="str">
            <v/>
          </cell>
          <cell r="V3997" t="str">
            <v/>
          </cell>
          <cell r="Z3997" t="str">
            <v/>
          </cell>
          <cell r="AA3997" t="str">
            <v/>
          </cell>
          <cell r="AB3997" t="str">
            <v/>
          </cell>
          <cell r="AC3997" t="str">
            <v/>
          </cell>
          <cell r="AD3997" t="str">
            <v/>
          </cell>
          <cell r="AY3997" t="str">
            <v/>
          </cell>
          <cell r="AZ3997" t="str">
            <v/>
          </cell>
          <cell r="BA3997" t="str">
            <v/>
          </cell>
        </row>
        <row r="3998">
          <cell r="B3998" t="str">
            <v>-</v>
          </cell>
          <cell r="E3998" t="str">
            <v/>
          </cell>
          <cell r="G3998" t="str">
            <v/>
          </cell>
          <cell r="J3998" t="str">
            <v/>
          </cell>
          <cell r="O3998" t="str">
            <v/>
          </cell>
          <cell r="P3998" t="str">
            <v/>
          </cell>
          <cell r="Q3998" t="str">
            <v/>
          </cell>
          <cell r="S3998" t="str">
            <v/>
          </cell>
          <cell r="V3998" t="str">
            <v/>
          </cell>
          <cell r="Z3998" t="str">
            <v/>
          </cell>
          <cell r="AA3998" t="str">
            <v/>
          </cell>
          <cell r="AB3998" t="str">
            <v/>
          </cell>
          <cell r="AC3998" t="str">
            <v/>
          </cell>
          <cell r="AD3998" t="str">
            <v/>
          </cell>
          <cell r="AY3998" t="str">
            <v/>
          </cell>
          <cell r="AZ3998" t="str">
            <v/>
          </cell>
          <cell r="BA3998" t="str">
            <v/>
          </cell>
        </row>
        <row r="3999">
          <cell r="B3999" t="str">
            <v>-</v>
          </cell>
          <cell r="E3999" t="str">
            <v/>
          </cell>
          <cell r="G3999" t="str">
            <v/>
          </cell>
          <cell r="J3999" t="str">
            <v/>
          </cell>
          <cell r="O3999" t="str">
            <v/>
          </cell>
          <cell r="P3999" t="str">
            <v/>
          </cell>
          <cell r="Q3999" t="str">
            <v/>
          </cell>
          <cell r="S3999" t="str">
            <v/>
          </cell>
          <cell r="V3999" t="str">
            <v/>
          </cell>
          <cell r="Z3999" t="str">
            <v/>
          </cell>
          <cell r="AA3999" t="str">
            <v/>
          </cell>
          <cell r="AB3999" t="str">
            <v/>
          </cell>
          <cell r="AC3999" t="str">
            <v/>
          </cell>
          <cell r="AD3999" t="str">
            <v/>
          </cell>
          <cell r="AY3999" t="str">
            <v/>
          </cell>
          <cell r="AZ3999" t="str">
            <v/>
          </cell>
          <cell r="BA3999" t="str">
            <v/>
          </cell>
        </row>
        <row r="4000">
          <cell r="B4000" t="str">
            <v>-</v>
          </cell>
          <cell r="E4000" t="str">
            <v/>
          </cell>
          <cell r="G4000" t="str">
            <v/>
          </cell>
          <cell r="J4000" t="str">
            <v/>
          </cell>
          <cell r="O4000" t="str">
            <v/>
          </cell>
          <cell r="P4000" t="str">
            <v/>
          </cell>
          <cell r="Q4000" t="str">
            <v/>
          </cell>
          <cell r="S4000" t="str">
            <v/>
          </cell>
          <cell r="V4000" t="str">
            <v/>
          </cell>
          <cell r="Z4000" t="str">
            <v/>
          </cell>
          <cell r="AA4000" t="str">
            <v/>
          </cell>
          <cell r="AB4000" t="str">
            <v/>
          </cell>
          <cell r="AC4000" t="str">
            <v/>
          </cell>
          <cell r="AD4000" t="str">
            <v/>
          </cell>
          <cell r="AY4000" t="str">
            <v/>
          </cell>
          <cell r="AZ4000" t="str">
            <v/>
          </cell>
          <cell r="BA4000" t="str">
            <v/>
          </cell>
        </row>
        <row r="4001">
          <cell r="B4001" t="str">
            <v>-</v>
          </cell>
          <cell r="E4001" t="str">
            <v/>
          </cell>
          <cell r="G4001" t="str">
            <v/>
          </cell>
          <cell r="J4001" t="str">
            <v/>
          </cell>
          <cell r="O4001" t="str">
            <v/>
          </cell>
          <cell r="P4001" t="str">
            <v/>
          </cell>
          <cell r="Q4001" t="str">
            <v/>
          </cell>
          <cell r="S4001" t="str">
            <v/>
          </cell>
          <cell r="V4001" t="str">
            <v/>
          </cell>
          <cell r="Z4001" t="str">
            <v/>
          </cell>
          <cell r="AA4001" t="str">
            <v/>
          </cell>
          <cell r="AB4001" t="str">
            <v/>
          </cell>
          <cell r="AC4001" t="str">
            <v/>
          </cell>
          <cell r="AD4001" t="str">
            <v/>
          </cell>
          <cell r="AY4001" t="str">
            <v/>
          </cell>
          <cell r="AZ4001" t="str">
            <v/>
          </cell>
          <cell r="BA4001" t="str">
            <v/>
          </cell>
        </row>
        <row r="4002">
          <cell r="B4002" t="str">
            <v>-</v>
          </cell>
          <cell r="E4002" t="str">
            <v/>
          </cell>
          <cell r="G4002" t="str">
            <v/>
          </cell>
          <cell r="J4002" t="str">
            <v/>
          </cell>
          <cell r="O4002" t="str">
            <v/>
          </cell>
          <cell r="P4002" t="str">
            <v/>
          </cell>
          <cell r="Q4002" t="str">
            <v/>
          </cell>
          <cell r="S4002" t="str">
            <v/>
          </cell>
          <cell r="V4002" t="str">
            <v/>
          </cell>
          <cell r="Z4002" t="str">
            <v/>
          </cell>
          <cell r="AA4002" t="str">
            <v/>
          </cell>
          <cell r="AB4002" t="str">
            <v/>
          </cell>
          <cell r="AC4002" t="str">
            <v/>
          </cell>
          <cell r="AD4002" t="str">
            <v/>
          </cell>
          <cell r="AY4002" t="str">
            <v/>
          </cell>
          <cell r="AZ4002" t="str">
            <v/>
          </cell>
          <cell r="BA4002" t="str">
            <v/>
          </cell>
        </row>
        <row r="4003">
          <cell r="B4003" t="str">
            <v>-</v>
          </cell>
          <cell r="E4003" t="str">
            <v/>
          </cell>
          <cell r="G4003" t="str">
            <v/>
          </cell>
          <cell r="J4003" t="str">
            <v/>
          </cell>
          <cell r="O4003" t="str">
            <v/>
          </cell>
          <cell r="P4003" t="str">
            <v/>
          </cell>
          <cell r="Q4003" t="str">
            <v/>
          </cell>
          <cell r="S4003" t="str">
            <v/>
          </cell>
          <cell r="V4003" t="str">
            <v/>
          </cell>
          <cell r="Z4003" t="str">
            <v/>
          </cell>
          <cell r="AA4003" t="str">
            <v/>
          </cell>
          <cell r="AB4003" t="str">
            <v/>
          </cell>
          <cell r="AC4003" t="str">
            <v/>
          </cell>
          <cell r="AD4003" t="str">
            <v/>
          </cell>
          <cell r="AY4003" t="str">
            <v/>
          </cell>
          <cell r="AZ4003" t="str">
            <v/>
          </cell>
          <cell r="BA4003" t="str">
            <v/>
          </cell>
        </row>
        <row r="4004">
          <cell r="B4004" t="str">
            <v>-</v>
          </cell>
          <cell r="E4004" t="str">
            <v/>
          </cell>
          <cell r="G4004" t="str">
            <v/>
          </cell>
          <cell r="J4004" t="str">
            <v/>
          </cell>
          <cell r="O4004" t="str">
            <v/>
          </cell>
          <cell r="P4004" t="str">
            <v/>
          </cell>
          <cell r="Q4004" t="str">
            <v/>
          </cell>
          <cell r="S4004" t="str">
            <v/>
          </cell>
          <cell r="V4004" t="str">
            <v/>
          </cell>
          <cell r="Z4004" t="str">
            <v/>
          </cell>
          <cell r="AA4004" t="str">
            <v/>
          </cell>
          <cell r="AB4004" t="str">
            <v/>
          </cell>
          <cell r="AC4004" t="str">
            <v/>
          </cell>
          <cell r="AD4004" t="str">
            <v/>
          </cell>
          <cell r="AY4004" t="str">
            <v/>
          </cell>
          <cell r="AZ4004" t="str">
            <v/>
          </cell>
          <cell r="BA4004" t="str">
            <v/>
          </cell>
        </row>
        <row r="4005">
          <cell r="B4005" t="str">
            <v>-</v>
          </cell>
          <cell r="E4005" t="str">
            <v/>
          </cell>
          <cell r="G4005" t="str">
            <v/>
          </cell>
          <cell r="J4005" t="str">
            <v/>
          </cell>
          <cell r="O4005" t="str">
            <v/>
          </cell>
          <cell r="P4005" t="str">
            <v/>
          </cell>
          <cell r="Q4005" t="str">
            <v/>
          </cell>
          <cell r="S4005" t="str">
            <v/>
          </cell>
          <cell r="V4005" t="str">
            <v/>
          </cell>
          <cell r="Z4005" t="str">
            <v/>
          </cell>
          <cell r="AA4005" t="str">
            <v/>
          </cell>
          <cell r="AB4005" t="str">
            <v/>
          </cell>
          <cell r="AC4005" t="str">
            <v/>
          </cell>
          <cell r="AD4005" t="str">
            <v/>
          </cell>
          <cell r="AY4005" t="str">
            <v/>
          </cell>
          <cell r="AZ4005" t="str">
            <v/>
          </cell>
          <cell r="BA4005" t="str">
            <v/>
          </cell>
        </row>
        <row r="4006">
          <cell r="B4006" t="str">
            <v>-</v>
          </cell>
          <cell r="E4006" t="str">
            <v/>
          </cell>
          <cell r="G4006" t="str">
            <v/>
          </cell>
          <cell r="J4006" t="str">
            <v/>
          </cell>
          <cell r="O4006" t="str">
            <v/>
          </cell>
          <cell r="P4006" t="str">
            <v/>
          </cell>
          <cell r="Q4006" t="str">
            <v/>
          </cell>
          <cell r="S4006" t="str">
            <v/>
          </cell>
          <cell r="V4006" t="str">
            <v/>
          </cell>
          <cell r="Z4006" t="str">
            <v/>
          </cell>
          <cell r="AA4006" t="str">
            <v/>
          </cell>
          <cell r="AB4006" t="str">
            <v/>
          </cell>
          <cell r="AC4006" t="str">
            <v/>
          </cell>
          <cell r="AD4006" t="str">
            <v/>
          </cell>
          <cell r="AY4006" t="str">
            <v/>
          </cell>
          <cell r="AZ4006" t="str">
            <v/>
          </cell>
          <cell r="BA4006" t="str">
            <v/>
          </cell>
        </row>
        <row r="4007">
          <cell r="B4007" t="str">
            <v>-</v>
          </cell>
          <cell r="E4007" t="str">
            <v/>
          </cell>
          <cell r="G4007" t="str">
            <v/>
          </cell>
          <cell r="J4007" t="str">
            <v/>
          </cell>
          <cell r="O4007" t="str">
            <v/>
          </cell>
          <cell r="P4007" t="str">
            <v/>
          </cell>
          <cell r="Q4007" t="str">
            <v/>
          </cell>
          <cell r="S4007" t="str">
            <v/>
          </cell>
          <cell r="V4007" t="str">
            <v/>
          </cell>
          <cell r="Z4007" t="str">
            <v/>
          </cell>
          <cell r="AA4007" t="str">
            <v/>
          </cell>
          <cell r="AB4007" t="str">
            <v/>
          </cell>
          <cell r="AC4007" t="str">
            <v/>
          </cell>
          <cell r="AD4007" t="str">
            <v/>
          </cell>
          <cell r="AY4007" t="str">
            <v/>
          </cell>
          <cell r="AZ4007" t="str">
            <v/>
          </cell>
          <cell r="BA4007" t="str">
            <v/>
          </cell>
        </row>
        <row r="4008">
          <cell r="B4008" t="str">
            <v>-</v>
          </cell>
          <cell r="E4008" t="str">
            <v/>
          </cell>
          <cell r="G4008" t="str">
            <v/>
          </cell>
          <cell r="J4008" t="str">
            <v/>
          </cell>
          <cell r="O4008" t="str">
            <v/>
          </cell>
          <cell r="P4008" t="str">
            <v/>
          </cell>
          <cell r="Q4008" t="str">
            <v/>
          </cell>
          <cell r="S4008" t="str">
            <v/>
          </cell>
          <cell r="V4008" t="str">
            <v/>
          </cell>
          <cell r="Z4008" t="str">
            <v/>
          </cell>
          <cell r="AA4008" t="str">
            <v/>
          </cell>
          <cell r="AB4008" t="str">
            <v/>
          </cell>
          <cell r="AC4008" t="str">
            <v/>
          </cell>
          <cell r="AD4008" t="str">
            <v/>
          </cell>
          <cell r="AY4008" t="str">
            <v/>
          </cell>
          <cell r="AZ4008" t="str">
            <v/>
          </cell>
          <cell r="BA4008" t="str">
            <v/>
          </cell>
        </row>
        <row r="4009">
          <cell r="B4009" t="str">
            <v>-</v>
          </cell>
          <cell r="E4009" t="str">
            <v/>
          </cell>
          <cell r="G4009" t="str">
            <v/>
          </cell>
          <cell r="J4009" t="str">
            <v/>
          </cell>
          <cell r="O4009" t="str">
            <v/>
          </cell>
          <cell r="P4009" t="str">
            <v/>
          </cell>
          <cell r="Q4009" t="str">
            <v/>
          </cell>
          <cell r="S4009" t="str">
            <v/>
          </cell>
          <cell r="V4009" t="str">
            <v/>
          </cell>
          <cell r="Z4009" t="str">
            <v/>
          </cell>
          <cell r="AA4009" t="str">
            <v/>
          </cell>
          <cell r="AB4009" t="str">
            <v/>
          </cell>
          <cell r="AC4009" t="str">
            <v/>
          </cell>
          <cell r="AD4009" t="str">
            <v/>
          </cell>
          <cell r="AY4009" t="str">
            <v/>
          </cell>
          <cell r="AZ4009" t="str">
            <v/>
          </cell>
          <cell r="BA4009" t="str">
            <v/>
          </cell>
        </row>
        <row r="4010">
          <cell r="B4010" t="str">
            <v>-</v>
          </cell>
          <cell r="E4010" t="str">
            <v/>
          </cell>
          <cell r="G4010" t="str">
            <v/>
          </cell>
          <cell r="J4010" t="str">
            <v/>
          </cell>
          <cell r="O4010" t="str">
            <v/>
          </cell>
          <cell r="P4010" t="str">
            <v/>
          </cell>
          <cell r="Q4010" t="str">
            <v/>
          </cell>
          <cell r="S4010" t="str">
            <v/>
          </cell>
          <cell r="V4010" t="str">
            <v/>
          </cell>
          <cell r="Z4010" t="str">
            <v/>
          </cell>
          <cell r="AA4010" t="str">
            <v/>
          </cell>
          <cell r="AB4010" t="str">
            <v/>
          </cell>
          <cell r="AC4010" t="str">
            <v/>
          </cell>
          <cell r="AD4010" t="str">
            <v/>
          </cell>
          <cell r="AY4010" t="str">
            <v/>
          </cell>
          <cell r="AZ4010" t="str">
            <v/>
          </cell>
          <cell r="BA4010" t="str">
            <v/>
          </cell>
        </row>
        <row r="4011">
          <cell r="B4011" t="str">
            <v>-</v>
          </cell>
          <cell r="E4011" t="str">
            <v/>
          </cell>
          <cell r="G4011" t="str">
            <v/>
          </cell>
          <cell r="J4011" t="str">
            <v/>
          </cell>
          <cell r="O4011" t="str">
            <v/>
          </cell>
          <cell r="P4011" t="str">
            <v/>
          </cell>
          <cell r="Q4011" t="str">
            <v/>
          </cell>
          <cell r="S4011" t="str">
            <v/>
          </cell>
          <cell r="V4011" t="str">
            <v/>
          </cell>
          <cell r="Z4011" t="str">
            <v/>
          </cell>
          <cell r="AA4011" t="str">
            <v/>
          </cell>
          <cell r="AB4011" t="str">
            <v/>
          </cell>
          <cell r="AC4011" t="str">
            <v/>
          </cell>
          <cell r="AD4011" t="str">
            <v/>
          </cell>
          <cell r="AY4011" t="str">
            <v/>
          </cell>
          <cell r="AZ4011" t="str">
            <v/>
          </cell>
          <cell r="BA4011" t="str">
            <v/>
          </cell>
        </row>
        <row r="4012">
          <cell r="B4012" t="str">
            <v>-</v>
          </cell>
          <cell r="E4012" t="str">
            <v/>
          </cell>
          <cell r="G4012" t="str">
            <v/>
          </cell>
          <cell r="J4012" t="str">
            <v/>
          </cell>
          <cell r="O4012" t="str">
            <v/>
          </cell>
          <cell r="P4012" t="str">
            <v/>
          </cell>
          <cell r="Q4012" t="str">
            <v/>
          </cell>
          <cell r="S4012" t="str">
            <v/>
          </cell>
          <cell r="V4012" t="str">
            <v/>
          </cell>
          <cell r="Z4012" t="str">
            <v/>
          </cell>
          <cell r="AA4012" t="str">
            <v/>
          </cell>
          <cell r="AB4012" t="str">
            <v/>
          </cell>
          <cell r="AC4012" t="str">
            <v/>
          </cell>
          <cell r="AD4012" t="str">
            <v/>
          </cell>
          <cell r="AY4012" t="str">
            <v/>
          </cell>
          <cell r="AZ4012" t="str">
            <v/>
          </cell>
          <cell r="BA4012" t="str">
            <v/>
          </cell>
        </row>
        <row r="4013">
          <cell r="B4013" t="str">
            <v>-</v>
          </cell>
          <cell r="E4013" t="str">
            <v/>
          </cell>
          <cell r="G4013" t="str">
            <v/>
          </cell>
          <cell r="J4013" t="str">
            <v/>
          </cell>
          <cell r="O4013" t="str">
            <v/>
          </cell>
          <cell r="P4013" t="str">
            <v/>
          </cell>
          <cell r="Q4013" t="str">
            <v/>
          </cell>
          <cell r="S4013" t="str">
            <v/>
          </cell>
          <cell r="V4013" t="str">
            <v/>
          </cell>
          <cell r="Z4013" t="str">
            <v/>
          </cell>
          <cell r="AA4013" t="str">
            <v/>
          </cell>
          <cell r="AB4013" t="str">
            <v/>
          </cell>
          <cell r="AC4013" t="str">
            <v/>
          </cell>
          <cell r="AD4013" t="str">
            <v/>
          </cell>
          <cell r="AY4013" t="str">
            <v/>
          </cell>
          <cell r="AZ4013" t="str">
            <v/>
          </cell>
          <cell r="BA4013" t="str">
            <v/>
          </cell>
        </row>
        <row r="4014">
          <cell r="B4014" t="str">
            <v>-</v>
          </cell>
          <cell r="E4014" t="str">
            <v/>
          </cell>
          <cell r="G4014" t="str">
            <v/>
          </cell>
          <cell r="J4014" t="str">
            <v/>
          </cell>
          <cell r="O4014" t="str">
            <v/>
          </cell>
          <cell r="P4014" t="str">
            <v/>
          </cell>
          <cell r="Q4014" t="str">
            <v/>
          </cell>
          <cell r="S4014" t="str">
            <v/>
          </cell>
          <cell r="V4014" t="str">
            <v/>
          </cell>
          <cell r="Z4014" t="str">
            <v/>
          </cell>
          <cell r="AA4014" t="str">
            <v/>
          </cell>
          <cell r="AB4014" t="str">
            <v/>
          </cell>
          <cell r="AC4014" t="str">
            <v/>
          </cell>
          <cell r="AD4014" t="str">
            <v/>
          </cell>
          <cell r="AY4014" t="str">
            <v/>
          </cell>
          <cell r="AZ4014" t="str">
            <v/>
          </cell>
          <cell r="BA4014" t="str">
            <v/>
          </cell>
        </row>
        <row r="4015">
          <cell r="B4015" t="str">
            <v>-</v>
          </cell>
          <cell r="E4015" t="str">
            <v/>
          </cell>
          <cell r="G4015" t="str">
            <v/>
          </cell>
          <cell r="J4015" t="str">
            <v/>
          </cell>
          <cell r="O4015" t="str">
            <v/>
          </cell>
          <cell r="P4015" t="str">
            <v/>
          </cell>
          <cell r="Q4015" t="str">
            <v/>
          </cell>
          <cell r="S4015" t="str">
            <v/>
          </cell>
          <cell r="V4015" t="str">
            <v/>
          </cell>
          <cell r="Z4015" t="str">
            <v/>
          </cell>
          <cell r="AA4015" t="str">
            <v/>
          </cell>
          <cell r="AB4015" t="str">
            <v/>
          </cell>
          <cell r="AC4015" t="str">
            <v/>
          </cell>
          <cell r="AD4015" t="str">
            <v/>
          </cell>
          <cell r="AY4015" t="str">
            <v/>
          </cell>
          <cell r="AZ4015" t="str">
            <v/>
          </cell>
          <cell r="BA4015" t="str">
            <v/>
          </cell>
        </row>
        <row r="4016">
          <cell r="B4016" t="str">
            <v>-</v>
          </cell>
          <cell r="E4016" t="str">
            <v/>
          </cell>
          <cell r="G4016" t="str">
            <v/>
          </cell>
          <cell r="J4016" t="str">
            <v/>
          </cell>
          <cell r="O4016" t="str">
            <v/>
          </cell>
          <cell r="P4016" t="str">
            <v/>
          </cell>
          <cell r="Q4016" t="str">
            <v/>
          </cell>
          <cell r="S4016" t="str">
            <v/>
          </cell>
          <cell r="V4016" t="str">
            <v/>
          </cell>
          <cell r="Z4016" t="str">
            <v/>
          </cell>
          <cell r="AA4016" t="str">
            <v/>
          </cell>
          <cell r="AB4016" t="str">
            <v/>
          </cell>
          <cell r="AC4016" t="str">
            <v/>
          </cell>
          <cell r="AD4016" t="str">
            <v/>
          </cell>
          <cell r="AY4016" t="str">
            <v/>
          </cell>
          <cell r="AZ4016" t="str">
            <v/>
          </cell>
          <cell r="BA4016" t="str">
            <v/>
          </cell>
        </row>
        <row r="4017">
          <cell r="B4017" t="str">
            <v>-</v>
          </cell>
          <cell r="E4017" t="str">
            <v/>
          </cell>
          <cell r="G4017" t="str">
            <v/>
          </cell>
          <cell r="J4017" t="str">
            <v/>
          </cell>
          <cell r="O4017" t="str">
            <v/>
          </cell>
          <cell r="P4017" t="str">
            <v/>
          </cell>
          <cell r="Q4017" t="str">
            <v/>
          </cell>
          <cell r="S4017" t="str">
            <v/>
          </cell>
          <cell r="V4017" t="str">
            <v/>
          </cell>
          <cell r="Z4017" t="str">
            <v/>
          </cell>
          <cell r="AA4017" t="str">
            <v/>
          </cell>
          <cell r="AB4017" t="str">
            <v/>
          </cell>
          <cell r="AC4017" t="str">
            <v/>
          </cell>
          <cell r="AD4017" t="str">
            <v/>
          </cell>
          <cell r="AY4017" t="str">
            <v/>
          </cell>
          <cell r="AZ4017" t="str">
            <v/>
          </cell>
          <cell r="BA4017" t="str">
            <v/>
          </cell>
        </row>
        <row r="4018">
          <cell r="B4018" t="str">
            <v>-</v>
          </cell>
          <cell r="E4018" t="str">
            <v/>
          </cell>
          <cell r="G4018" t="str">
            <v/>
          </cell>
          <cell r="J4018" t="str">
            <v/>
          </cell>
          <cell r="O4018" t="str">
            <v/>
          </cell>
          <cell r="P4018" t="str">
            <v/>
          </cell>
          <cell r="Q4018" t="str">
            <v/>
          </cell>
          <cell r="S4018" t="str">
            <v/>
          </cell>
          <cell r="V4018" t="str">
            <v/>
          </cell>
          <cell r="Z4018" t="str">
            <v/>
          </cell>
          <cell r="AA4018" t="str">
            <v/>
          </cell>
          <cell r="AB4018" t="str">
            <v/>
          </cell>
          <cell r="AC4018" t="str">
            <v/>
          </cell>
          <cell r="AD4018" t="str">
            <v/>
          </cell>
          <cell r="AY4018" t="str">
            <v/>
          </cell>
          <cell r="AZ4018" t="str">
            <v/>
          </cell>
          <cell r="BA4018" t="str">
            <v/>
          </cell>
        </row>
        <row r="4019">
          <cell r="B4019" t="str">
            <v>-</v>
          </cell>
          <cell r="E4019" t="str">
            <v/>
          </cell>
          <cell r="G4019" t="str">
            <v/>
          </cell>
          <cell r="J4019" t="str">
            <v/>
          </cell>
          <cell r="O4019" t="str">
            <v/>
          </cell>
          <cell r="P4019" t="str">
            <v/>
          </cell>
          <cell r="Q4019" t="str">
            <v/>
          </cell>
          <cell r="S4019" t="str">
            <v/>
          </cell>
          <cell r="V4019" t="str">
            <v/>
          </cell>
          <cell r="Z4019" t="str">
            <v/>
          </cell>
          <cell r="AA4019" t="str">
            <v/>
          </cell>
          <cell r="AB4019" t="str">
            <v/>
          </cell>
          <cell r="AC4019" t="str">
            <v/>
          </cell>
          <cell r="AD4019" t="str">
            <v/>
          </cell>
          <cell r="AY4019" t="str">
            <v/>
          </cell>
          <cell r="AZ4019" t="str">
            <v/>
          </cell>
          <cell r="BA4019" t="str">
            <v/>
          </cell>
        </row>
        <row r="4020">
          <cell r="B4020" t="str">
            <v>-</v>
          </cell>
          <cell r="E4020" t="str">
            <v/>
          </cell>
          <cell r="G4020" t="str">
            <v/>
          </cell>
          <cell r="J4020" t="str">
            <v/>
          </cell>
          <cell r="O4020" t="str">
            <v/>
          </cell>
          <cell r="P4020" t="str">
            <v/>
          </cell>
          <cell r="Q4020" t="str">
            <v/>
          </cell>
          <cell r="S4020" t="str">
            <v/>
          </cell>
          <cell r="V4020" t="str">
            <v/>
          </cell>
          <cell r="Z4020" t="str">
            <v/>
          </cell>
          <cell r="AA4020" t="str">
            <v/>
          </cell>
          <cell r="AB4020" t="str">
            <v/>
          </cell>
          <cell r="AC4020" t="str">
            <v/>
          </cell>
          <cell r="AD4020" t="str">
            <v/>
          </cell>
          <cell r="AY4020" t="str">
            <v/>
          </cell>
          <cell r="AZ4020" t="str">
            <v/>
          </cell>
          <cell r="BA4020" t="str">
            <v/>
          </cell>
        </row>
        <row r="4021">
          <cell r="B4021" t="str">
            <v>-</v>
          </cell>
          <cell r="E4021" t="str">
            <v/>
          </cell>
          <cell r="G4021" t="str">
            <v/>
          </cell>
          <cell r="J4021" t="str">
            <v/>
          </cell>
          <cell r="O4021" t="str">
            <v/>
          </cell>
          <cell r="P4021" t="str">
            <v/>
          </cell>
          <cell r="Q4021" t="str">
            <v/>
          </cell>
          <cell r="S4021" t="str">
            <v/>
          </cell>
          <cell r="V4021" t="str">
            <v/>
          </cell>
          <cell r="Z4021" t="str">
            <v/>
          </cell>
          <cell r="AA4021" t="str">
            <v/>
          </cell>
          <cell r="AB4021" t="str">
            <v/>
          </cell>
          <cell r="AC4021" t="str">
            <v/>
          </cell>
          <cell r="AD4021" t="str">
            <v/>
          </cell>
          <cell r="AY4021" t="str">
            <v/>
          </cell>
          <cell r="AZ4021" t="str">
            <v/>
          </cell>
          <cell r="BA4021" t="str">
            <v/>
          </cell>
        </row>
        <row r="4022">
          <cell r="B4022" t="str">
            <v>-</v>
          </cell>
          <cell r="E4022" t="str">
            <v/>
          </cell>
          <cell r="G4022" t="str">
            <v/>
          </cell>
          <cell r="J4022" t="str">
            <v/>
          </cell>
          <cell r="O4022" t="str">
            <v/>
          </cell>
          <cell r="P4022" t="str">
            <v/>
          </cell>
          <cell r="Q4022" t="str">
            <v/>
          </cell>
          <cell r="S4022" t="str">
            <v/>
          </cell>
          <cell r="V4022" t="str">
            <v/>
          </cell>
          <cell r="Z4022" t="str">
            <v/>
          </cell>
          <cell r="AA4022" t="str">
            <v/>
          </cell>
          <cell r="AB4022" t="str">
            <v/>
          </cell>
          <cell r="AC4022" t="str">
            <v/>
          </cell>
          <cell r="AD4022" t="str">
            <v/>
          </cell>
          <cell r="AY4022" t="str">
            <v/>
          </cell>
          <cell r="AZ4022" t="str">
            <v/>
          </cell>
          <cell r="BA4022" t="str">
            <v/>
          </cell>
        </row>
        <row r="4023">
          <cell r="B4023" t="str">
            <v>-</v>
          </cell>
          <cell r="E4023" t="str">
            <v/>
          </cell>
          <cell r="G4023" t="str">
            <v/>
          </cell>
          <cell r="J4023" t="str">
            <v/>
          </cell>
          <cell r="O4023" t="str">
            <v/>
          </cell>
          <cell r="P4023" t="str">
            <v/>
          </cell>
          <cell r="Q4023" t="str">
            <v/>
          </cell>
          <cell r="S4023" t="str">
            <v/>
          </cell>
          <cell r="V4023" t="str">
            <v/>
          </cell>
          <cell r="Z4023" t="str">
            <v/>
          </cell>
          <cell r="AA4023" t="str">
            <v/>
          </cell>
          <cell r="AB4023" t="str">
            <v/>
          </cell>
          <cell r="AC4023" t="str">
            <v/>
          </cell>
          <cell r="AD4023" t="str">
            <v/>
          </cell>
          <cell r="AY4023" t="str">
            <v/>
          </cell>
          <cell r="AZ4023" t="str">
            <v/>
          </cell>
          <cell r="BA4023" t="str">
            <v/>
          </cell>
        </row>
        <row r="4024">
          <cell r="B4024" t="str">
            <v>-</v>
          </cell>
          <cell r="E4024" t="str">
            <v/>
          </cell>
          <cell r="G4024" t="str">
            <v/>
          </cell>
          <cell r="J4024" t="str">
            <v/>
          </cell>
          <cell r="O4024" t="str">
            <v/>
          </cell>
          <cell r="P4024" t="str">
            <v/>
          </cell>
          <cell r="Q4024" t="str">
            <v/>
          </cell>
          <cell r="S4024" t="str">
            <v/>
          </cell>
          <cell r="V4024" t="str">
            <v/>
          </cell>
          <cell r="Z4024" t="str">
            <v/>
          </cell>
          <cell r="AA4024" t="str">
            <v/>
          </cell>
          <cell r="AB4024" t="str">
            <v/>
          </cell>
          <cell r="AC4024" t="str">
            <v/>
          </cell>
          <cell r="AD4024" t="str">
            <v/>
          </cell>
          <cell r="AY4024" t="str">
            <v/>
          </cell>
          <cell r="AZ4024" t="str">
            <v/>
          </cell>
          <cell r="BA4024" t="str">
            <v/>
          </cell>
        </row>
        <row r="4025">
          <cell r="B4025" t="str">
            <v>-</v>
          </cell>
          <cell r="E4025" t="str">
            <v/>
          </cell>
          <cell r="G4025" t="str">
            <v/>
          </cell>
          <cell r="J4025" t="str">
            <v/>
          </cell>
          <cell r="O4025" t="str">
            <v/>
          </cell>
          <cell r="P4025" t="str">
            <v/>
          </cell>
          <cell r="Q4025" t="str">
            <v/>
          </cell>
          <cell r="S4025" t="str">
            <v/>
          </cell>
          <cell r="V4025" t="str">
            <v/>
          </cell>
          <cell r="Z4025" t="str">
            <v/>
          </cell>
          <cell r="AA4025" t="str">
            <v/>
          </cell>
          <cell r="AB4025" t="str">
            <v/>
          </cell>
          <cell r="AC4025" t="str">
            <v/>
          </cell>
          <cell r="AD4025" t="str">
            <v/>
          </cell>
          <cell r="AY4025" t="str">
            <v/>
          </cell>
          <cell r="AZ4025" t="str">
            <v/>
          </cell>
          <cell r="BA4025" t="str">
            <v/>
          </cell>
        </row>
        <row r="4026">
          <cell r="B4026" t="str">
            <v>-</v>
          </cell>
          <cell r="E4026" t="str">
            <v/>
          </cell>
          <cell r="G4026" t="str">
            <v/>
          </cell>
          <cell r="J4026" t="str">
            <v/>
          </cell>
          <cell r="O4026" t="str">
            <v/>
          </cell>
          <cell r="P4026" t="str">
            <v/>
          </cell>
          <cell r="Q4026" t="str">
            <v/>
          </cell>
          <cell r="S4026" t="str">
            <v/>
          </cell>
          <cell r="V4026" t="str">
            <v/>
          </cell>
          <cell r="Z4026" t="str">
            <v/>
          </cell>
          <cell r="AA4026" t="str">
            <v/>
          </cell>
          <cell r="AB4026" t="str">
            <v/>
          </cell>
          <cell r="AC4026" t="str">
            <v/>
          </cell>
          <cell r="AD4026" t="str">
            <v/>
          </cell>
          <cell r="AY4026" t="str">
            <v/>
          </cell>
          <cell r="AZ4026" t="str">
            <v/>
          </cell>
          <cell r="BA4026" t="str">
            <v/>
          </cell>
        </row>
        <row r="4027">
          <cell r="B4027" t="str">
            <v>-</v>
          </cell>
          <cell r="E4027" t="str">
            <v/>
          </cell>
          <cell r="G4027" t="str">
            <v/>
          </cell>
          <cell r="J4027" t="str">
            <v/>
          </cell>
          <cell r="O4027" t="str">
            <v/>
          </cell>
          <cell r="P4027" t="str">
            <v/>
          </cell>
          <cell r="Q4027" t="str">
            <v/>
          </cell>
          <cell r="S4027" t="str">
            <v/>
          </cell>
          <cell r="V4027" t="str">
            <v/>
          </cell>
          <cell r="Z4027" t="str">
            <v/>
          </cell>
          <cell r="AA4027" t="str">
            <v/>
          </cell>
          <cell r="AB4027" t="str">
            <v/>
          </cell>
          <cell r="AC4027" t="str">
            <v/>
          </cell>
          <cell r="AD4027" t="str">
            <v/>
          </cell>
          <cell r="AY4027" t="str">
            <v/>
          </cell>
          <cell r="AZ4027" t="str">
            <v/>
          </cell>
          <cell r="BA4027" t="str">
            <v/>
          </cell>
        </row>
        <row r="4028">
          <cell r="B4028" t="str">
            <v>-</v>
          </cell>
          <cell r="E4028" t="str">
            <v/>
          </cell>
          <cell r="G4028" t="str">
            <v/>
          </cell>
          <cell r="J4028" t="str">
            <v/>
          </cell>
          <cell r="O4028" t="str">
            <v/>
          </cell>
          <cell r="P4028" t="str">
            <v/>
          </cell>
          <cell r="Q4028" t="str">
            <v/>
          </cell>
          <cell r="S4028" t="str">
            <v/>
          </cell>
          <cell r="V4028" t="str">
            <v/>
          </cell>
          <cell r="Z4028" t="str">
            <v/>
          </cell>
          <cell r="AA4028" t="str">
            <v/>
          </cell>
          <cell r="AB4028" t="str">
            <v/>
          </cell>
          <cell r="AC4028" t="str">
            <v/>
          </cell>
          <cell r="AD4028" t="str">
            <v/>
          </cell>
          <cell r="AY4028" t="str">
            <v/>
          </cell>
          <cell r="AZ4028" t="str">
            <v/>
          </cell>
          <cell r="BA4028" t="str">
            <v/>
          </cell>
        </row>
        <row r="4029">
          <cell r="B4029" t="str">
            <v>-</v>
          </cell>
          <cell r="E4029" t="str">
            <v/>
          </cell>
          <cell r="G4029" t="str">
            <v/>
          </cell>
          <cell r="J4029" t="str">
            <v/>
          </cell>
          <cell r="O4029" t="str">
            <v/>
          </cell>
          <cell r="P4029" t="str">
            <v/>
          </cell>
          <cell r="Q4029" t="str">
            <v/>
          </cell>
          <cell r="S4029" t="str">
            <v/>
          </cell>
          <cell r="V4029" t="str">
            <v/>
          </cell>
          <cell r="Z4029" t="str">
            <v/>
          </cell>
          <cell r="AA4029" t="str">
            <v/>
          </cell>
          <cell r="AB4029" t="str">
            <v/>
          </cell>
          <cell r="AC4029" t="str">
            <v/>
          </cell>
          <cell r="AD4029" t="str">
            <v/>
          </cell>
          <cell r="AY4029" t="str">
            <v/>
          </cell>
          <cell r="AZ4029" t="str">
            <v/>
          </cell>
          <cell r="BA4029" t="str">
            <v/>
          </cell>
        </row>
        <row r="4030">
          <cell r="B4030" t="str">
            <v>-</v>
          </cell>
          <cell r="E4030" t="str">
            <v/>
          </cell>
          <cell r="G4030" t="str">
            <v/>
          </cell>
          <cell r="J4030" t="str">
            <v/>
          </cell>
          <cell r="O4030" t="str">
            <v/>
          </cell>
          <cell r="P4030" t="str">
            <v/>
          </cell>
          <cell r="Q4030" t="str">
            <v/>
          </cell>
          <cell r="S4030" t="str">
            <v/>
          </cell>
          <cell r="V4030" t="str">
            <v/>
          </cell>
          <cell r="Z4030" t="str">
            <v/>
          </cell>
          <cell r="AA4030" t="str">
            <v/>
          </cell>
          <cell r="AB4030" t="str">
            <v/>
          </cell>
          <cell r="AC4030" t="str">
            <v/>
          </cell>
          <cell r="AD4030" t="str">
            <v/>
          </cell>
          <cell r="AY4030" t="str">
            <v/>
          </cell>
          <cell r="AZ4030" t="str">
            <v/>
          </cell>
          <cell r="BA4030" t="str">
            <v/>
          </cell>
        </row>
        <row r="4031">
          <cell r="B4031" t="str">
            <v>-</v>
          </cell>
          <cell r="E4031" t="str">
            <v/>
          </cell>
          <cell r="G4031" t="str">
            <v/>
          </cell>
          <cell r="J4031" t="str">
            <v/>
          </cell>
          <cell r="O4031" t="str">
            <v/>
          </cell>
          <cell r="P4031" t="str">
            <v/>
          </cell>
          <cell r="Q4031" t="str">
            <v/>
          </cell>
          <cell r="S4031" t="str">
            <v/>
          </cell>
          <cell r="V4031" t="str">
            <v/>
          </cell>
          <cell r="Z4031" t="str">
            <v/>
          </cell>
          <cell r="AA4031" t="str">
            <v/>
          </cell>
          <cell r="AB4031" t="str">
            <v/>
          </cell>
          <cell r="AC4031" t="str">
            <v/>
          </cell>
          <cell r="AD4031" t="str">
            <v/>
          </cell>
          <cell r="AY4031" t="str">
            <v/>
          </cell>
          <cell r="AZ4031" t="str">
            <v/>
          </cell>
          <cell r="BA4031" t="str">
            <v/>
          </cell>
        </row>
        <row r="4032">
          <cell r="B4032" t="str">
            <v>-</v>
          </cell>
          <cell r="E4032" t="str">
            <v/>
          </cell>
          <cell r="G4032" t="str">
            <v/>
          </cell>
          <cell r="J4032" t="str">
            <v/>
          </cell>
          <cell r="O4032" t="str">
            <v/>
          </cell>
          <cell r="P4032" t="str">
            <v/>
          </cell>
          <cell r="Q4032" t="str">
            <v/>
          </cell>
          <cell r="S4032" t="str">
            <v/>
          </cell>
          <cell r="V4032" t="str">
            <v/>
          </cell>
          <cell r="Z4032" t="str">
            <v/>
          </cell>
          <cell r="AA4032" t="str">
            <v/>
          </cell>
          <cell r="AB4032" t="str">
            <v/>
          </cell>
          <cell r="AC4032" t="str">
            <v/>
          </cell>
          <cell r="AD4032" t="str">
            <v/>
          </cell>
          <cell r="AY4032" t="str">
            <v/>
          </cell>
          <cell r="AZ4032" t="str">
            <v/>
          </cell>
          <cell r="BA4032" t="str">
            <v/>
          </cell>
        </row>
        <row r="4033">
          <cell r="B4033" t="str">
            <v>-</v>
          </cell>
          <cell r="E4033" t="str">
            <v/>
          </cell>
          <cell r="G4033" t="str">
            <v/>
          </cell>
          <cell r="J4033" t="str">
            <v/>
          </cell>
          <cell r="O4033" t="str">
            <v/>
          </cell>
          <cell r="P4033" t="str">
            <v/>
          </cell>
          <cell r="Q4033" t="str">
            <v/>
          </cell>
          <cell r="S4033" t="str">
            <v/>
          </cell>
          <cell r="V4033" t="str">
            <v/>
          </cell>
          <cell r="Z4033" t="str">
            <v/>
          </cell>
          <cell r="AA4033" t="str">
            <v/>
          </cell>
          <cell r="AB4033" t="str">
            <v/>
          </cell>
          <cell r="AC4033" t="str">
            <v/>
          </cell>
          <cell r="AD4033" t="str">
            <v/>
          </cell>
          <cell r="AY4033" t="str">
            <v/>
          </cell>
          <cell r="AZ4033" t="str">
            <v/>
          </cell>
          <cell r="BA4033" t="str">
            <v/>
          </cell>
        </row>
        <row r="4034">
          <cell r="B4034" t="str">
            <v>-</v>
          </cell>
          <cell r="E4034" t="str">
            <v/>
          </cell>
          <cell r="G4034" t="str">
            <v/>
          </cell>
          <cell r="J4034" t="str">
            <v/>
          </cell>
          <cell r="O4034" t="str">
            <v/>
          </cell>
          <cell r="P4034" t="str">
            <v/>
          </cell>
          <cell r="Q4034" t="str">
            <v/>
          </cell>
          <cell r="S4034" t="str">
            <v/>
          </cell>
          <cell r="V4034" t="str">
            <v/>
          </cell>
          <cell r="Z4034" t="str">
            <v/>
          </cell>
          <cell r="AA4034" t="str">
            <v/>
          </cell>
          <cell r="AB4034" t="str">
            <v/>
          </cell>
          <cell r="AC4034" t="str">
            <v/>
          </cell>
          <cell r="AD4034" t="str">
            <v/>
          </cell>
          <cell r="AY4034" t="str">
            <v/>
          </cell>
          <cell r="AZ4034" t="str">
            <v/>
          </cell>
          <cell r="BA4034" t="str">
            <v/>
          </cell>
        </row>
        <row r="4035">
          <cell r="B4035" t="str">
            <v>-</v>
          </cell>
          <cell r="E4035" t="str">
            <v/>
          </cell>
          <cell r="G4035" t="str">
            <v/>
          </cell>
          <cell r="J4035" t="str">
            <v/>
          </cell>
          <cell r="O4035" t="str">
            <v/>
          </cell>
          <cell r="P4035" t="str">
            <v/>
          </cell>
          <cell r="Q4035" t="str">
            <v/>
          </cell>
          <cell r="S4035" t="str">
            <v/>
          </cell>
          <cell r="V4035" t="str">
            <v/>
          </cell>
          <cell r="Z4035" t="str">
            <v/>
          </cell>
          <cell r="AA4035" t="str">
            <v/>
          </cell>
          <cell r="AB4035" t="str">
            <v/>
          </cell>
          <cell r="AC4035" t="str">
            <v/>
          </cell>
          <cell r="AD4035" t="str">
            <v/>
          </cell>
          <cell r="AY4035" t="str">
            <v/>
          </cell>
          <cell r="AZ4035" t="str">
            <v/>
          </cell>
          <cell r="BA4035" t="str">
            <v/>
          </cell>
        </row>
        <row r="4036">
          <cell r="B4036" t="str">
            <v>-</v>
          </cell>
          <cell r="E4036" t="str">
            <v/>
          </cell>
          <cell r="G4036" t="str">
            <v/>
          </cell>
          <cell r="J4036" t="str">
            <v/>
          </cell>
          <cell r="O4036" t="str">
            <v/>
          </cell>
          <cell r="P4036" t="str">
            <v/>
          </cell>
          <cell r="Q4036" t="str">
            <v/>
          </cell>
          <cell r="S4036" t="str">
            <v/>
          </cell>
          <cell r="V4036" t="str">
            <v/>
          </cell>
          <cell r="Z4036" t="str">
            <v/>
          </cell>
          <cell r="AA4036" t="str">
            <v/>
          </cell>
          <cell r="AB4036" t="str">
            <v/>
          </cell>
          <cell r="AC4036" t="str">
            <v/>
          </cell>
          <cell r="AD4036" t="str">
            <v/>
          </cell>
          <cell r="AY4036" t="str">
            <v/>
          </cell>
          <cell r="AZ4036" t="str">
            <v/>
          </cell>
          <cell r="BA4036" t="str">
            <v/>
          </cell>
        </row>
        <row r="4037">
          <cell r="B4037" t="str">
            <v>-</v>
          </cell>
          <cell r="E4037" t="str">
            <v/>
          </cell>
          <cell r="G4037" t="str">
            <v/>
          </cell>
          <cell r="J4037" t="str">
            <v/>
          </cell>
          <cell r="O4037" t="str">
            <v/>
          </cell>
          <cell r="P4037" t="str">
            <v/>
          </cell>
          <cell r="Q4037" t="str">
            <v/>
          </cell>
          <cell r="S4037" t="str">
            <v/>
          </cell>
          <cell r="V4037" t="str">
            <v/>
          </cell>
          <cell r="Z4037" t="str">
            <v/>
          </cell>
          <cell r="AA4037" t="str">
            <v/>
          </cell>
          <cell r="AB4037" t="str">
            <v/>
          </cell>
          <cell r="AC4037" t="str">
            <v/>
          </cell>
          <cell r="AD4037" t="str">
            <v/>
          </cell>
          <cell r="AY4037" t="str">
            <v/>
          </cell>
          <cell r="AZ4037" t="str">
            <v/>
          </cell>
          <cell r="BA4037" t="str">
            <v/>
          </cell>
        </row>
        <row r="4038">
          <cell r="B4038" t="str">
            <v>-</v>
          </cell>
          <cell r="E4038" t="str">
            <v/>
          </cell>
          <cell r="G4038" t="str">
            <v/>
          </cell>
          <cell r="J4038" t="str">
            <v/>
          </cell>
          <cell r="O4038" t="str">
            <v/>
          </cell>
          <cell r="P4038" t="str">
            <v/>
          </cell>
          <cell r="Q4038" t="str">
            <v/>
          </cell>
          <cell r="S4038" t="str">
            <v/>
          </cell>
          <cell r="V4038" t="str">
            <v/>
          </cell>
          <cell r="Z4038" t="str">
            <v/>
          </cell>
          <cell r="AA4038" t="str">
            <v/>
          </cell>
          <cell r="AB4038" t="str">
            <v/>
          </cell>
          <cell r="AC4038" t="str">
            <v/>
          </cell>
          <cell r="AD4038" t="str">
            <v/>
          </cell>
          <cell r="AY4038" t="str">
            <v/>
          </cell>
          <cell r="AZ4038" t="str">
            <v/>
          </cell>
          <cell r="BA4038" t="str">
            <v/>
          </cell>
        </row>
        <row r="4039">
          <cell r="B4039" t="str">
            <v>-</v>
          </cell>
          <cell r="E4039" t="str">
            <v/>
          </cell>
          <cell r="G4039" t="str">
            <v/>
          </cell>
          <cell r="J4039" t="str">
            <v/>
          </cell>
          <cell r="O4039" t="str">
            <v/>
          </cell>
          <cell r="P4039" t="str">
            <v/>
          </cell>
          <cell r="Q4039" t="str">
            <v/>
          </cell>
          <cell r="S4039" t="str">
            <v/>
          </cell>
          <cell r="V4039" t="str">
            <v/>
          </cell>
          <cell r="Z4039" t="str">
            <v/>
          </cell>
          <cell r="AA4039" t="str">
            <v/>
          </cell>
          <cell r="AB4039" t="str">
            <v/>
          </cell>
          <cell r="AC4039" t="str">
            <v/>
          </cell>
          <cell r="AD4039" t="str">
            <v/>
          </cell>
          <cell r="AY4039" t="str">
            <v/>
          </cell>
          <cell r="AZ4039" t="str">
            <v/>
          </cell>
          <cell r="BA4039" t="str">
            <v/>
          </cell>
        </row>
        <row r="4040">
          <cell r="B4040" t="str">
            <v>-</v>
          </cell>
          <cell r="E4040" t="str">
            <v/>
          </cell>
          <cell r="G4040" t="str">
            <v/>
          </cell>
          <cell r="J4040" t="str">
            <v/>
          </cell>
          <cell r="O4040" t="str">
            <v/>
          </cell>
          <cell r="P4040" t="str">
            <v/>
          </cell>
          <cell r="Q4040" t="str">
            <v/>
          </cell>
          <cell r="S4040" t="str">
            <v/>
          </cell>
          <cell r="V4040" t="str">
            <v/>
          </cell>
          <cell r="Z4040" t="str">
            <v/>
          </cell>
          <cell r="AA4040" t="str">
            <v/>
          </cell>
          <cell r="AB4040" t="str">
            <v/>
          </cell>
          <cell r="AC4040" t="str">
            <v/>
          </cell>
          <cell r="AD4040" t="str">
            <v/>
          </cell>
          <cell r="AY4040" t="str">
            <v/>
          </cell>
          <cell r="AZ4040" t="str">
            <v/>
          </cell>
          <cell r="BA4040" t="str">
            <v/>
          </cell>
        </row>
        <row r="4041">
          <cell r="B4041" t="str">
            <v>-</v>
          </cell>
          <cell r="E4041" t="str">
            <v/>
          </cell>
          <cell r="G4041" t="str">
            <v/>
          </cell>
          <cell r="J4041" t="str">
            <v/>
          </cell>
          <cell r="O4041" t="str">
            <v/>
          </cell>
          <cell r="P4041" t="str">
            <v/>
          </cell>
          <cell r="Q4041" t="str">
            <v/>
          </cell>
          <cell r="S4041" t="str">
            <v/>
          </cell>
          <cell r="V4041" t="str">
            <v/>
          </cell>
          <cell r="Z4041" t="str">
            <v/>
          </cell>
          <cell r="AA4041" t="str">
            <v/>
          </cell>
          <cell r="AB4041" t="str">
            <v/>
          </cell>
          <cell r="AC4041" t="str">
            <v/>
          </cell>
          <cell r="AD4041" t="str">
            <v/>
          </cell>
          <cell r="AY4041" t="str">
            <v/>
          </cell>
          <cell r="AZ4041" t="str">
            <v/>
          </cell>
          <cell r="BA4041" t="str">
            <v/>
          </cell>
        </row>
        <row r="4042">
          <cell r="B4042" t="str">
            <v>-</v>
          </cell>
          <cell r="E4042" t="str">
            <v/>
          </cell>
          <cell r="G4042" t="str">
            <v/>
          </cell>
          <cell r="J4042" t="str">
            <v/>
          </cell>
          <cell r="O4042" t="str">
            <v/>
          </cell>
          <cell r="P4042" t="str">
            <v/>
          </cell>
          <cell r="Q4042" t="str">
            <v/>
          </cell>
          <cell r="S4042" t="str">
            <v/>
          </cell>
          <cell r="V4042" t="str">
            <v/>
          </cell>
          <cell r="Z4042" t="str">
            <v/>
          </cell>
          <cell r="AA4042" t="str">
            <v/>
          </cell>
          <cell r="AB4042" t="str">
            <v/>
          </cell>
          <cell r="AC4042" t="str">
            <v/>
          </cell>
          <cell r="AD4042" t="str">
            <v/>
          </cell>
          <cell r="AY4042" t="str">
            <v/>
          </cell>
          <cell r="AZ4042" t="str">
            <v/>
          </cell>
          <cell r="BA4042" t="str">
            <v/>
          </cell>
        </row>
        <row r="4043">
          <cell r="B4043" t="str">
            <v>-</v>
          </cell>
          <cell r="E4043" t="str">
            <v/>
          </cell>
          <cell r="G4043" t="str">
            <v/>
          </cell>
          <cell r="J4043" t="str">
            <v/>
          </cell>
          <cell r="O4043" t="str">
            <v/>
          </cell>
          <cell r="P4043" t="str">
            <v/>
          </cell>
          <cell r="Q4043" t="str">
            <v/>
          </cell>
          <cell r="S4043" t="str">
            <v/>
          </cell>
          <cell r="V4043" t="str">
            <v/>
          </cell>
          <cell r="Z4043" t="str">
            <v/>
          </cell>
          <cell r="AA4043" t="str">
            <v/>
          </cell>
          <cell r="AB4043" t="str">
            <v/>
          </cell>
          <cell r="AC4043" t="str">
            <v/>
          </cell>
          <cell r="AD4043" t="str">
            <v/>
          </cell>
          <cell r="AY4043" t="str">
            <v/>
          </cell>
          <cell r="AZ4043" t="str">
            <v/>
          </cell>
          <cell r="BA4043" t="str">
            <v/>
          </cell>
        </row>
        <row r="4044">
          <cell r="B4044" t="str">
            <v>-</v>
          </cell>
          <cell r="E4044" t="str">
            <v/>
          </cell>
          <cell r="G4044" t="str">
            <v/>
          </cell>
          <cell r="J4044" t="str">
            <v/>
          </cell>
          <cell r="O4044" t="str">
            <v/>
          </cell>
          <cell r="P4044" t="str">
            <v/>
          </cell>
          <cell r="Q4044" t="str">
            <v/>
          </cell>
          <cell r="S4044" t="str">
            <v/>
          </cell>
          <cell r="V4044" t="str">
            <v/>
          </cell>
          <cell r="Z4044" t="str">
            <v/>
          </cell>
          <cell r="AA4044" t="str">
            <v/>
          </cell>
          <cell r="AB4044" t="str">
            <v/>
          </cell>
          <cell r="AC4044" t="str">
            <v/>
          </cell>
          <cell r="AD4044" t="str">
            <v/>
          </cell>
          <cell r="AY4044" t="str">
            <v/>
          </cell>
          <cell r="AZ4044" t="str">
            <v/>
          </cell>
          <cell r="BA4044" t="str">
            <v/>
          </cell>
        </row>
        <row r="4045">
          <cell r="B4045" t="str">
            <v>-</v>
          </cell>
          <cell r="E4045" t="str">
            <v/>
          </cell>
          <cell r="G4045" t="str">
            <v/>
          </cell>
          <cell r="J4045" t="str">
            <v/>
          </cell>
          <cell r="O4045" t="str">
            <v/>
          </cell>
          <cell r="P4045" t="str">
            <v/>
          </cell>
          <cell r="Q4045" t="str">
            <v/>
          </cell>
          <cell r="S4045" t="str">
            <v/>
          </cell>
          <cell r="V4045" t="str">
            <v/>
          </cell>
          <cell r="Z4045" t="str">
            <v/>
          </cell>
          <cell r="AA4045" t="str">
            <v/>
          </cell>
          <cell r="AB4045" t="str">
            <v/>
          </cell>
          <cell r="AC4045" t="str">
            <v/>
          </cell>
          <cell r="AD4045" t="str">
            <v/>
          </cell>
          <cell r="AY4045" t="str">
            <v/>
          </cell>
          <cell r="AZ4045" t="str">
            <v/>
          </cell>
          <cell r="BA4045" t="str">
            <v/>
          </cell>
        </row>
        <row r="4046">
          <cell r="B4046" t="str">
            <v>-</v>
          </cell>
          <cell r="E4046" t="str">
            <v/>
          </cell>
          <cell r="G4046" t="str">
            <v/>
          </cell>
          <cell r="J4046" t="str">
            <v/>
          </cell>
          <cell r="O4046" t="str">
            <v/>
          </cell>
          <cell r="P4046" t="str">
            <v/>
          </cell>
          <cell r="Q4046" t="str">
            <v/>
          </cell>
          <cell r="S4046" t="str">
            <v/>
          </cell>
          <cell r="V4046" t="str">
            <v/>
          </cell>
          <cell r="Z4046" t="str">
            <v/>
          </cell>
          <cell r="AA4046" t="str">
            <v/>
          </cell>
          <cell r="AB4046" t="str">
            <v/>
          </cell>
          <cell r="AC4046" t="str">
            <v/>
          </cell>
          <cell r="AD4046" t="str">
            <v/>
          </cell>
          <cell r="AY4046" t="str">
            <v/>
          </cell>
          <cell r="AZ4046" t="str">
            <v/>
          </cell>
          <cell r="BA4046" t="str">
            <v/>
          </cell>
        </row>
        <row r="4047">
          <cell r="B4047" t="str">
            <v>-</v>
          </cell>
          <cell r="E4047" t="str">
            <v/>
          </cell>
          <cell r="G4047" t="str">
            <v/>
          </cell>
          <cell r="J4047" t="str">
            <v/>
          </cell>
          <cell r="O4047" t="str">
            <v/>
          </cell>
          <cell r="P4047" t="str">
            <v/>
          </cell>
          <cell r="Q4047" t="str">
            <v/>
          </cell>
          <cell r="S4047" t="str">
            <v/>
          </cell>
          <cell r="V4047" t="str">
            <v/>
          </cell>
          <cell r="Z4047" t="str">
            <v/>
          </cell>
          <cell r="AA4047" t="str">
            <v/>
          </cell>
          <cell r="AB4047" t="str">
            <v/>
          </cell>
          <cell r="AC4047" t="str">
            <v/>
          </cell>
          <cell r="AD4047" t="str">
            <v/>
          </cell>
          <cell r="AY4047" t="str">
            <v/>
          </cell>
          <cell r="AZ4047" t="str">
            <v/>
          </cell>
          <cell r="BA4047" t="str">
            <v/>
          </cell>
        </row>
        <row r="4048">
          <cell r="B4048" t="str">
            <v>-</v>
          </cell>
          <cell r="E4048" t="str">
            <v/>
          </cell>
          <cell r="G4048" t="str">
            <v/>
          </cell>
          <cell r="J4048" t="str">
            <v/>
          </cell>
          <cell r="O4048" t="str">
            <v/>
          </cell>
          <cell r="P4048" t="str">
            <v/>
          </cell>
          <cell r="Q4048" t="str">
            <v/>
          </cell>
          <cell r="S4048" t="str">
            <v/>
          </cell>
          <cell r="V4048" t="str">
            <v/>
          </cell>
          <cell r="Z4048" t="str">
            <v/>
          </cell>
          <cell r="AA4048" t="str">
            <v/>
          </cell>
          <cell r="AB4048" t="str">
            <v/>
          </cell>
          <cell r="AC4048" t="str">
            <v/>
          </cell>
          <cell r="AD4048" t="str">
            <v/>
          </cell>
          <cell r="AY4048" t="str">
            <v/>
          </cell>
          <cell r="AZ4048" t="str">
            <v/>
          </cell>
          <cell r="BA4048" t="str">
            <v/>
          </cell>
        </row>
        <row r="4049">
          <cell r="B4049" t="str">
            <v>-</v>
          </cell>
          <cell r="E4049" t="str">
            <v/>
          </cell>
          <cell r="G4049" t="str">
            <v/>
          </cell>
          <cell r="J4049" t="str">
            <v/>
          </cell>
          <cell r="O4049" t="str">
            <v/>
          </cell>
          <cell r="P4049" t="str">
            <v/>
          </cell>
          <cell r="Q4049" t="str">
            <v/>
          </cell>
          <cell r="S4049" t="str">
            <v/>
          </cell>
          <cell r="V4049" t="str">
            <v/>
          </cell>
          <cell r="Z4049" t="str">
            <v/>
          </cell>
          <cell r="AA4049" t="str">
            <v/>
          </cell>
          <cell r="AB4049" t="str">
            <v/>
          </cell>
          <cell r="AC4049" t="str">
            <v/>
          </cell>
          <cell r="AD4049" t="str">
            <v/>
          </cell>
          <cell r="AY4049" t="str">
            <v/>
          </cell>
          <cell r="AZ4049" t="str">
            <v/>
          </cell>
          <cell r="BA4049" t="str">
            <v/>
          </cell>
        </row>
        <row r="4050">
          <cell r="B4050" t="str">
            <v>-</v>
          </cell>
          <cell r="E4050" t="str">
            <v/>
          </cell>
          <cell r="G4050" t="str">
            <v/>
          </cell>
          <cell r="J4050" t="str">
            <v/>
          </cell>
          <cell r="O4050" t="str">
            <v/>
          </cell>
          <cell r="P4050" t="str">
            <v/>
          </cell>
          <cell r="Q4050" t="str">
            <v/>
          </cell>
          <cell r="S4050" t="str">
            <v/>
          </cell>
          <cell r="V4050" t="str">
            <v/>
          </cell>
          <cell r="Z4050" t="str">
            <v/>
          </cell>
          <cell r="AA4050" t="str">
            <v/>
          </cell>
          <cell r="AB4050" t="str">
            <v/>
          </cell>
          <cell r="AC4050" t="str">
            <v/>
          </cell>
          <cell r="AD4050" t="str">
            <v/>
          </cell>
          <cell r="AY4050" t="str">
            <v/>
          </cell>
          <cell r="AZ4050" t="str">
            <v/>
          </cell>
          <cell r="BA4050" t="str">
            <v/>
          </cell>
        </row>
        <row r="4051">
          <cell r="B4051" t="str">
            <v>-</v>
          </cell>
          <cell r="E4051" t="str">
            <v/>
          </cell>
          <cell r="G4051" t="str">
            <v/>
          </cell>
          <cell r="J4051" t="str">
            <v/>
          </cell>
          <cell r="O4051" t="str">
            <v/>
          </cell>
          <cell r="P4051" t="str">
            <v/>
          </cell>
          <cell r="Q4051" t="str">
            <v/>
          </cell>
          <cell r="S4051" t="str">
            <v/>
          </cell>
          <cell r="V4051" t="str">
            <v/>
          </cell>
          <cell r="Z4051" t="str">
            <v/>
          </cell>
          <cell r="AA4051" t="str">
            <v/>
          </cell>
          <cell r="AB4051" t="str">
            <v/>
          </cell>
          <cell r="AC4051" t="str">
            <v/>
          </cell>
          <cell r="AD4051" t="str">
            <v/>
          </cell>
          <cell r="AY4051" t="str">
            <v/>
          </cell>
          <cell r="AZ4051" t="str">
            <v/>
          </cell>
          <cell r="BA4051" t="str">
            <v/>
          </cell>
        </row>
        <row r="4052">
          <cell r="B4052" t="str">
            <v>-</v>
          </cell>
          <cell r="E4052" t="str">
            <v/>
          </cell>
          <cell r="G4052" t="str">
            <v/>
          </cell>
          <cell r="J4052" t="str">
            <v/>
          </cell>
          <cell r="O4052" t="str">
            <v/>
          </cell>
          <cell r="P4052" t="str">
            <v/>
          </cell>
          <cell r="Q4052" t="str">
            <v/>
          </cell>
          <cell r="S4052" t="str">
            <v/>
          </cell>
          <cell r="V4052" t="str">
            <v/>
          </cell>
          <cell r="Z4052" t="str">
            <v/>
          </cell>
          <cell r="AA4052" t="str">
            <v/>
          </cell>
          <cell r="AB4052" t="str">
            <v/>
          </cell>
          <cell r="AC4052" t="str">
            <v/>
          </cell>
          <cell r="AD4052" t="str">
            <v/>
          </cell>
          <cell r="AY4052" t="str">
            <v/>
          </cell>
          <cell r="AZ4052" t="str">
            <v/>
          </cell>
          <cell r="BA4052" t="str">
            <v/>
          </cell>
        </row>
        <row r="4053">
          <cell r="B4053" t="str">
            <v>-</v>
          </cell>
          <cell r="E4053" t="str">
            <v/>
          </cell>
          <cell r="G4053" t="str">
            <v/>
          </cell>
          <cell r="J4053" t="str">
            <v/>
          </cell>
          <cell r="O4053" t="str">
            <v/>
          </cell>
          <cell r="P4053" t="str">
            <v/>
          </cell>
          <cell r="Q4053" t="str">
            <v/>
          </cell>
          <cell r="S4053" t="str">
            <v/>
          </cell>
          <cell r="V4053" t="str">
            <v/>
          </cell>
          <cell r="Z4053" t="str">
            <v/>
          </cell>
          <cell r="AA4053" t="str">
            <v/>
          </cell>
          <cell r="AB4053" t="str">
            <v/>
          </cell>
          <cell r="AC4053" t="str">
            <v/>
          </cell>
          <cell r="AD4053" t="str">
            <v/>
          </cell>
          <cell r="AY4053" t="str">
            <v/>
          </cell>
          <cell r="AZ4053" t="str">
            <v/>
          </cell>
          <cell r="BA4053" t="str">
            <v/>
          </cell>
        </row>
        <row r="4054">
          <cell r="B4054" t="str">
            <v>-</v>
          </cell>
          <cell r="E4054" t="str">
            <v/>
          </cell>
          <cell r="G4054" t="str">
            <v/>
          </cell>
          <cell r="J4054" t="str">
            <v/>
          </cell>
          <cell r="O4054" t="str">
            <v/>
          </cell>
          <cell r="P4054" t="str">
            <v/>
          </cell>
          <cell r="Q4054" t="str">
            <v/>
          </cell>
          <cell r="S4054" t="str">
            <v/>
          </cell>
          <cell r="V4054" t="str">
            <v/>
          </cell>
          <cell r="Z4054" t="str">
            <v/>
          </cell>
          <cell r="AA4054" t="str">
            <v/>
          </cell>
          <cell r="AB4054" t="str">
            <v/>
          </cell>
          <cell r="AC4054" t="str">
            <v/>
          </cell>
          <cell r="AD4054" t="str">
            <v/>
          </cell>
          <cell r="AY4054" t="str">
            <v/>
          </cell>
          <cell r="AZ4054" t="str">
            <v/>
          </cell>
          <cell r="BA4054" t="str">
            <v/>
          </cell>
        </row>
        <row r="4055">
          <cell r="B4055" t="str">
            <v>-</v>
          </cell>
          <cell r="E4055" t="str">
            <v/>
          </cell>
          <cell r="G4055" t="str">
            <v/>
          </cell>
          <cell r="J4055" t="str">
            <v/>
          </cell>
          <cell r="O4055" t="str">
            <v/>
          </cell>
          <cell r="P4055" t="str">
            <v/>
          </cell>
          <cell r="Q4055" t="str">
            <v/>
          </cell>
          <cell r="S4055" t="str">
            <v/>
          </cell>
          <cell r="V4055" t="str">
            <v/>
          </cell>
          <cell r="Z4055" t="str">
            <v/>
          </cell>
          <cell r="AA4055" t="str">
            <v/>
          </cell>
          <cell r="AB4055" t="str">
            <v/>
          </cell>
          <cell r="AC4055" t="str">
            <v/>
          </cell>
          <cell r="AD4055" t="str">
            <v/>
          </cell>
          <cell r="AY4055" t="str">
            <v/>
          </cell>
          <cell r="AZ4055" t="str">
            <v/>
          </cell>
          <cell r="BA4055" t="str">
            <v/>
          </cell>
        </row>
        <row r="4056">
          <cell r="B4056" t="str">
            <v>-</v>
          </cell>
          <cell r="E4056" t="str">
            <v/>
          </cell>
          <cell r="G4056" t="str">
            <v/>
          </cell>
          <cell r="J4056" t="str">
            <v/>
          </cell>
          <cell r="O4056" t="str">
            <v/>
          </cell>
          <cell r="P4056" t="str">
            <v/>
          </cell>
          <cell r="Q4056" t="str">
            <v/>
          </cell>
          <cell r="S4056" t="str">
            <v/>
          </cell>
          <cell r="V4056" t="str">
            <v/>
          </cell>
          <cell r="Z4056" t="str">
            <v/>
          </cell>
          <cell r="AA4056" t="str">
            <v/>
          </cell>
          <cell r="AB4056" t="str">
            <v/>
          </cell>
          <cell r="AC4056" t="str">
            <v/>
          </cell>
          <cell r="AD4056" t="str">
            <v/>
          </cell>
          <cell r="AY4056" t="str">
            <v/>
          </cell>
          <cell r="AZ4056" t="str">
            <v/>
          </cell>
          <cell r="BA4056" t="str">
            <v/>
          </cell>
        </row>
        <row r="4057">
          <cell r="B4057" t="str">
            <v>-</v>
          </cell>
          <cell r="E4057" t="str">
            <v/>
          </cell>
          <cell r="G4057" t="str">
            <v/>
          </cell>
          <cell r="J4057" t="str">
            <v/>
          </cell>
          <cell r="O4057" t="str">
            <v/>
          </cell>
          <cell r="P4057" t="str">
            <v/>
          </cell>
          <cell r="Q4057" t="str">
            <v/>
          </cell>
          <cell r="S4057" t="str">
            <v/>
          </cell>
          <cell r="V4057" t="str">
            <v/>
          </cell>
          <cell r="Z4057" t="str">
            <v/>
          </cell>
          <cell r="AA4057" t="str">
            <v/>
          </cell>
          <cell r="AB4057" t="str">
            <v/>
          </cell>
          <cell r="AC4057" t="str">
            <v/>
          </cell>
          <cell r="AD4057" t="str">
            <v/>
          </cell>
          <cell r="AY4057" t="str">
            <v/>
          </cell>
          <cell r="AZ4057" t="str">
            <v/>
          </cell>
          <cell r="BA4057" t="str">
            <v/>
          </cell>
        </row>
        <row r="4058">
          <cell r="B4058" t="str">
            <v>-</v>
          </cell>
          <cell r="E4058" t="str">
            <v/>
          </cell>
          <cell r="G4058" t="str">
            <v/>
          </cell>
          <cell r="J4058" t="str">
            <v/>
          </cell>
          <cell r="O4058" t="str">
            <v/>
          </cell>
          <cell r="P4058" t="str">
            <v/>
          </cell>
          <cell r="Q4058" t="str">
            <v/>
          </cell>
          <cell r="S4058" t="str">
            <v/>
          </cell>
          <cell r="V4058" t="str">
            <v/>
          </cell>
          <cell r="Z4058" t="str">
            <v/>
          </cell>
          <cell r="AA4058" t="str">
            <v/>
          </cell>
          <cell r="AB4058" t="str">
            <v/>
          </cell>
          <cell r="AC4058" t="str">
            <v/>
          </cell>
          <cell r="AD4058" t="str">
            <v/>
          </cell>
          <cell r="AY4058" t="str">
            <v/>
          </cell>
          <cell r="AZ4058" t="str">
            <v/>
          </cell>
          <cell r="BA4058" t="str">
            <v/>
          </cell>
        </row>
        <row r="4059">
          <cell r="B4059" t="str">
            <v>-</v>
          </cell>
          <cell r="E4059" t="str">
            <v/>
          </cell>
          <cell r="G4059" t="str">
            <v/>
          </cell>
          <cell r="J4059" t="str">
            <v/>
          </cell>
          <cell r="O4059" t="str">
            <v/>
          </cell>
          <cell r="P4059" t="str">
            <v/>
          </cell>
          <cell r="Q4059" t="str">
            <v/>
          </cell>
          <cell r="S4059" t="str">
            <v/>
          </cell>
          <cell r="V4059" t="str">
            <v/>
          </cell>
          <cell r="Z4059" t="str">
            <v/>
          </cell>
          <cell r="AA4059" t="str">
            <v/>
          </cell>
          <cell r="AB4059" t="str">
            <v/>
          </cell>
          <cell r="AC4059" t="str">
            <v/>
          </cell>
          <cell r="AD4059" t="str">
            <v/>
          </cell>
          <cell r="AY4059" t="str">
            <v/>
          </cell>
          <cell r="AZ4059" t="str">
            <v/>
          </cell>
          <cell r="BA4059" t="str">
            <v/>
          </cell>
        </row>
        <row r="4060">
          <cell r="B4060" t="str">
            <v>-</v>
          </cell>
          <cell r="E4060" t="str">
            <v/>
          </cell>
          <cell r="G4060" t="str">
            <v/>
          </cell>
          <cell r="J4060" t="str">
            <v/>
          </cell>
          <cell r="O4060" t="str">
            <v/>
          </cell>
          <cell r="P4060" t="str">
            <v/>
          </cell>
          <cell r="Q4060" t="str">
            <v/>
          </cell>
          <cell r="S4060" t="str">
            <v/>
          </cell>
          <cell r="V4060" t="str">
            <v/>
          </cell>
          <cell r="Z4060" t="str">
            <v/>
          </cell>
          <cell r="AA4060" t="str">
            <v/>
          </cell>
          <cell r="AB4060" t="str">
            <v/>
          </cell>
          <cell r="AC4060" t="str">
            <v/>
          </cell>
          <cell r="AD4060" t="str">
            <v/>
          </cell>
          <cell r="AY4060" t="str">
            <v/>
          </cell>
          <cell r="AZ4060" t="str">
            <v/>
          </cell>
          <cell r="BA4060" t="str">
            <v/>
          </cell>
        </row>
        <row r="4061">
          <cell r="B4061" t="str">
            <v>-</v>
          </cell>
          <cell r="E4061" t="str">
            <v/>
          </cell>
          <cell r="G4061" t="str">
            <v/>
          </cell>
          <cell r="J4061" t="str">
            <v/>
          </cell>
          <cell r="O4061" t="str">
            <v/>
          </cell>
          <cell r="P4061" t="str">
            <v/>
          </cell>
          <cell r="Q4061" t="str">
            <v/>
          </cell>
          <cell r="S4061" t="str">
            <v/>
          </cell>
          <cell r="V4061" t="str">
            <v/>
          </cell>
          <cell r="Z4061" t="str">
            <v/>
          </cell>
          <cell r="AA4061" t="str">
            <v/>
          </cell>
          <cell r="AB4061" t="str">
            <v/>
          </cell>
          <cell r="AC4061" t="str">
            <v/>
          </cell>
          <cell r="AD4061" t="str">
            <v/>
          </cell>
          <cell r="AY4061" t="str">
            <v/>
          </cell>
          <cell r="AZ4061" t="str">
            <v/>
          </cell>
          <cell r="BA4061" t="str">
            <v/>
          </cell>
        </row>
        <row r="4062">
          <cell r="B4062" t="str">
            <v>-</v>
          </cell>
          <cell r="E4062" t="str">
            <v/>
          </cell>
          <cell r="G4062" t="str">
            <v/>
          </cell>
          <cell r="J4062" t="str">
            <v/>
          </cell>
          <cell r="O4062" t="str">
            <v/>
          </cell>
          <cell r="P4062" t="str">
            <v/>
          </cell>
          <cell r="Q4062" t="str">
            <v/>
          </cell>
          <cell r="S4062" t="str">
            <v/>
          </cell>
          <cell r="V4062" t="str">
            <v/>
          </cell>
          <cell r="Z4062" t="str">
            <v/>
          </cell>
          <cell r="AA4062" t="str">
            <v/>
          </cell>
          <cell r="AB4062" t="str">
            <v/>
          </cell>
          <cell r="AC4062" t="str">
            <v/>
          </cell>
          <cell r="AD4062" t="str">
            <v/>
          </cell>
          <cell r="AY4062" t="str">
            <v/>
          </cell>
          <cell r="AZ4062" t="str">
            <v/>
          </cell>
          <cell r="BA4062" t="str">
            <v/>
          </cell>
        </row>
        <row r="4063">
          <cell r="B4063" t="str">
            <v>-</v>
          </cell>
          <cell r="E4063" t="str">
            <v/>
          </cell>
          <cell r="G4063" t="str">
            <v/>
          </cell>
          <cell r="J4063" t="str">
            <v/>
          </cell>
          <cell r="O4063" t="str">
            <v/>
          </cell>
          <cell r="P4063" t="str">
            <v/>
          </cell>
          <cell r="Q4063" t="str">
            <v/>
          </cell>
          <cell r="S4063" t="str">
            <v/>
          </cell>
          <cell r="V4063" t="str">
            <v/>
          </cell>
          <cell r="Z4063" t="str">
            <v/>
          </cell>
          <cell r="AA4063" t="str">
            <v/>
          </cell>
          <cell r="AB4063" t="str">
            <v/>
          </cell>
          <cell r="AC4063" t="str">
            <v/>
          </cell>
          <cell r="AD4063" t="str">
            <v/>
          </cell>
          <cell r="AY4063" t="str">
            <v/>
          </cell>
          <cell r="AZ4063" t="str">
            <v/>
          </cell>
          <cell r="BA4063" t="str">
            <v/>
          </cell>
        </row>
        <row r="4064">
          <cell r="B4064" t="str">
            <v>-</v>
          </cell>
          <cell r="E4064" t="str">
            <v/>
          </cell>
          <cell r="G4064" t="str">
            <v/>
          </cell>
          <cell r="J4064" t="str">
            <v/>
          </cell>
          <cell r="O4064" t="str">
            <v/>
          </cell>
          <cell r="P4064" t="str">
            <v/>
          </cell>
          <cell r="Q4064" t="str">
            <v/>
          </cell>
          <cell r="S4064" t="str">
            <v/>
          </cell>
          <cell r="V4064" t="str">
            <v/>
          </cell>
          <cell r="Z4064" t="str">
            <v/>
          </cell>
          <cell r="AA4064" t="str">
            <v/>
          </cell>
          <cell r="AB4064" t="str">
            <v/>
          </cell>
          <cell r="AC4064" t="str">
            <v/>
          </cell>
          <cell r="AD4064" t="str">
            <v/>
          </cell>
          <cell r="AY4064" t="str">
            <v/>
          </cell>
          <cell r="AZ4064" t="str">
            <v/>
          </cell>
          <cell r="BA4064" t="str">
            <v/>
          </cell>
        </row>
        <row r="4065">
          <cell r="B4065" t="str">
            <v>-</v>
          </cell>
          <cell r="E4065" t="str">
            <v/>
          </cell>
          <cell r="G4065" t="str">
            <v/>
          </cell>
          <cell r="J4065" t="str">
            <v/>
          </cell>
          <cell r="O4065" t="str">
            <v/>
          </cell>
          <cell r="P4065" t="str">
            <v/>
          </cell>
          <cell r="Q4065" t="str">
            <v/>
          </cell>
          <cell r="S4065" t="str">
            <v/>
          </cell>
          <cell r="V4065" t="str">
            <v/>
          </cell>
          <cell r="Z4065" t="str">
            <v/>
          </cell>
          <cell r="AA4065" t="str">
            <v/>
          </cell>
          <cell r="AB4065" t="str">
            <v/>
          </cell>
          <cell r="AC4065" t="str">
            <v/>
          </cell>
          <cell r="AD4065" t="str">
            <v/>
          </cell>
          <cell r="AY4065" t="str">
            <v/>
          </cell>
          <cell r="AZ4065" t="str">
            <v/>
          </cell>
          <cell r="BA4065" t="str">
            <v/>
          </cell>
        </row>
        <row r="4066">
          <cell r="B4066" t="str">
            <v>-</v>
          </cell>
          <cell r="E4066" t="str">
            <v/>
          </cell>
          <cell r="G4066" t="str">
            <v/>
          </cell>
          <cell r="J4066" t="str">
            <v/>
          </cell>
          <cell r="O4066" t="str">
            <v/>
          </cell>
          <cell r="P4066" t="str">
            <v/>
          </cell>
          <cell r="Q4066" t="str">
            <v/>
          </cell>
          <cell r="S4066" t="str">
            <v/>
          </cell>
          <cell r="V4066" t="str">
            <v/>
          </cell>
          <cell r="Z4066" t="str">
            <v/>
          </cell>
          <cell r="AA4066" t="str">
            <v/>
          </cell>
          <cell r="AB4066" t="str">
            <v/>
          </cell>
          <cell r="AC4066" t="str">
            <v/>
          </cell>
          <cell r="AD4066" t="str">
            <v/>
          </cell>
          <cell r="AY4066" t="str">
            <v/>
          </cell>
          <cell r="AZ4066" t="str">
            <v/>
          </cell>
          <cell r="BA4066" t="str">
            <v/>
          </cell>
        </row>
        <row r="4067">
          <cell r="B4067" t="str">
            <v>-</v>
          </cell>
          <cell r="E4067" t="str">
            <v/>
          </cell>
          <cell r="G4067" t="str">
            <v/>
          </cell>
          <cell r="J4067" t="str">
            <v/>
          </cell>
          <cell r="O4067" t="str">
            <v/>
          </cell>
          <cell r="P4067" t="str">
            <v/>
          </cell>
          <cell r="Q4067" t="str">
            <v/>
          </cell>
          <cell r="S4067" t="str">
            <v/>
          </cell>
          <cell r="V4067" t="str">
            <v/>
          </cell>
          <cell r="Z4067" t="str">
            <v/>
          </cell>
          <cell r="AA4067" t="str">
            <v/>
          </cell>
          <cell r="AB4067" t="str">
            <v/>
          </cell>
          <cell r="AC4067" t="str">
            <v/>
          </cell>
          <cell r="AD4067" t="str">
            <v/>
          </cell>
          <cell r="AY4067" t="str">
            <v/>
          </cell>
          <cell r="AZ4067" t="str">
            <v/>
          </cell>
          <cell r="BA4067" t="str">
            <v/>
          </cell>
        </row>
        <row r="4068">
          <cell r="B4068" t="str">
            <v>-</v>
          </cell>
          <cell r="E4068" t="str">
            <v/>
          </cell>
          <cell r="G4068" t="str">
            <v/>
          </cell>
          <cell r="J4068" t="str">
            <v/>
          </cell>
          <cell r="O4068" t="str">
            <v/>
          </cell>
          <cell r="P4068" t="str">
            <v/>
          </cell>
          <cell r="Q4068" t="str">
            <v/>
          </cell>
          <cell r="S4068" t="str">
            <v/>
          </cell>
          <cell r="V4068" t="str">
            <v/>
          </cell>
          <cell r="Z4068" t="str">
            <v/>
          </cell>
          <cell r="AA4068" t="str">
            <v/>
          </cell>
          <cell r="AB4068" t="str">
            <v/>
          </cell>
          <cell r="AC4068" t="str">
            <v/>
          </cell>
          <cell r="AD4068" t="str">
            <v/>
          </cell>
          <cell r="AY4068" t="str">
            <v/>
          </cell>
          <cell r="AZ4068" t="str">
            <v/>
          </cell>
          <cell r="BA4068" t="str">
            <v/>
          </cell>
        </row>
        <row r="4069">
          <cell r="B4069" t="str">
            <v>-</v>
          </cell>
          <cell r="E4069" t="str">
            <v/>
          </cell>
          <cell r="G4069" t="str">
            <v/>
          </cell>
          <cell r="J4069" t="str">
            <v/>
          </cell>
          <cell r="O4069" t="str">
            <v/>
          </cell>
          <cell r="P4069" t="str">
            <v/>
          </cell>
          <cell r="Q4069" t="str">
            <v/>
          </cell>
          <cell r="S4069" t="str">
            <v/>
          </cell>
          <cell r="V4069" t="str">
            <v/>
          </cell>
          <cell r="Z4069" t="str">
            <v/>
          </cell>
          <cell r="AA4069" t="str">
            <v/>
          </cell>
          <cell r="AB4069" t="str">
            <v/>
          </cell>
          <cell r="AC4069" t="str">
            <v/>
          </cell>
          <cell r="AD4069" t="str">
            <v/>
          </cell>
          <cell r="AY4069" t="str">
            <v/>
          </cell>
          <cell r="AZ4069" t="str">
            <v/>
          </cell>
          <cell r="BA4069" t="str">
            <v/>
          </cell>
        </row>
        <row r="4070">
          <cell r="B4070" t="str">
            <v>-</v>
          </cell>
          <cell r="E4070" t="str">
            <v/>
          </cell>
          <cell r="G4070" t="str">
            <v/>
          </cell>
          <cell r="J4070" t="str">
            <v/>
          </cell>
          <cell r="O4070" t="str">
            <v/>
          </cell>
          <cell r="P4070" t="str">
            <v/>
          </cell>
          <cell r="Q4070" t="str">
            <v/>
          </cell>
          <cell r="S4070" t="str">
            <v/>
          </cell>
          <cell r="V4070" t="str">
            <v/>
          </cell>
          <cell r="Z4070" t="str">
            <v/>
          </cell>
          <cell r="AA4070" t="str">
            <v/>
          </cell>
          <cell r="AB4070" t="str">
            <v/>
          </cell>
          <cell r="AC4070" t="str">
            <v/>
          </cell>
          <cell r="AD4070" t="str">
            <v/>
          </cell>
          <cell r="AY4070" t="str">
            <v/>
          </cell>
          <cell r="AZ4070" t="str">
            <v/>
          </cell>
          <cell r="BA4070" t="str">
            <v/>
          </cell>
        </row>
        <row r="4071">
          <cell r="B4071" t="str">
            <v>-</v>
          </cell>
          <cell r="E4071" t="str">
            <v/>
          </cell>
          <cell r="G4071" t="str">
            <v/>
          </cell>
          <cell r="J4071" t="str">
            <v/>
          </cell>
          <cell r="O4071" t="str">
            <v/>
          </cell>
          <cell r="P4071" t="str">
            <v/>
          </cell>
          <cell r="Q4071" t="str">
            <v/>
          </cell>
          <cell r="S4071" t="str">
            <v/>
          </cell>
          <cell r="V4071" t="str">
            <v/>
          </cell>
          <cell r="Z4071" t="str">
            <v/>
          </cell>
          <cell r="AA4071" t="str">
            <v/>
          </cell>
          <cell r="AB4071" t="str">
            <v/>
          </cell>
          <cell r="AC4071" t="str">
            <v/>
          </cell>
          <cell r="AD4071" t="str">
            <v/>
          </cell>
          <cell r="AY4071" t="str">
            <v/>
          </cell>
          <cell r="AZ4071" t="str">
            <v/>
          </cell>
          <cell r="BA4071" t="str">
            <v/>
          </cell>
        </row>
        <row r="4072">
          <cell r="B4072" t="str">
            <v>-</v>
          </cell>
          <cell r="E4072" t="str">
            <v/>
          </cell>
          <cell r="G4072" t="str">
            <v/>
          </cell>
          <cell r="J4072" t="str">
            <v/>
          </cell>
          <cell r="O4072" t="str">
            <v/>
          </cell>
          <cell r="P4072" t="str">
            <v/>
          </cell>
          <cell r="Q4072" t="str">
            <v/>
          </cell>
          <cell r="S4072" t="str">
            <v/>
          </cell>
          <cell r="V4072" t="str">
            <v/>
          </cell>
          <cell r="Z4072" t="str">
            <v/>
          </cell>
          <cell r="AA4072" t="str">
            <v/>
          </cell>
          <cell r="AB4072" t="str">
            <v/>
          </cell>
          <cell r="AC4072" t="str">
            <v/>
          </cell>
          <cell r="AD4072" t="str">
            <v/>
          </cell>
          <cell r="AY4072" t="str">
            <v/>
          </cell>
          <cell r="AZ4072" t="str">
            <v/>
          </cell>
          <cell r="BA4072" t="str">
            <v/>
          </cell>
        </row>
        <row r="4073">
          <cell r="B4073" t="str">
            <v>-</v>
          </cell>
          <cell r="E4073" t="str">
            <v/>
          </cell>
          <cell r="G4073" t="str">
            <v/>
          </cell>
          <cell r="J4073" t="str">
            <v/>
          </cell>
          <cell r="O4073" t="str">
            <v/>
          </cell>
          <cell r="P4073" t="str">
            <v/>
          </cell>
          <cell r="Q4073" t="str">
            <v/>
          </cell>
          <cell r="S4073" t="str">
            <v/>
          </cell>
          <cell r="V4073" t="str">
            <v/>
          </cell>
          <cell r="Z4073" t="str">
            <v/>
          </cell>
          <cell r="AA4073" t="str">
            <v/>
          </cell>
          <cell r="AB4073" t="str">
            <v/>
          </cell>
          <cell r="AC4073" t="str">
            <v/>
          </cell>
          <cell r="AD4073" t="str">
            <v/>
          </cell>
          <cell r="AY4073" t="str">
            <v/>
          </cell>
          <cell r="AZ4073" t="str">
            <v/>
          </cell>
          <cell r="BA4073" t="str">
            <v/>
          </cell>
        </row>
        <row r="4074">
          <cell r="B4074" t="str">
            <v>-</v>
          </cell>
          <cell r="E4074" t="str">
            <v/>
          </cell>
          <cell r="G4074" t="str">
            <v/>
          </cell>
          <cell r="J4074" t="str">
            <v/>
          </cell>
          <cell r="O4074" t="str">
            <v/>
          </cell>
          <cell r="P4074" t="str">
            <v/>
          </cell>
          <cell r="Q4074" t="str">
            <v/>
          </cell>
          <cell r="S4074" t="str">
            <v/>
          </cell>
          <cell r="V4074" t="str">
            <v/>
          </cell>
          <cell r="Z4074" t="str">
            <v/>
          </cell>
          <cell r="AA4074" t="str">
            <v/>
          </cell>
          <cell r="AB4074" t="str">
            <v/>
          </cell>
          <cell r="AC4074" t="str">
            <v/>
          </cell>
          <cell r="AD4074" t="str">
            <v/>
          </cell>
          <cell r="AY4074" t="str">
            <v/>
          </cell>
          <cell r="AZ4074" t="str">
            <v/>
          </cell>
          <cell r="BA4074" t="str">
            <v/>
          </cell>
        </row>
        <row r="4075">
          <cell r="B4075" t="str">
            <v>-</v>
          </cell>
          <cell r="E4075" t="str">
            <v/>
          </cell>
          <cell r="G4075" t="str">
            <v/>
          </cell>
          <cell r="J4075" t="str">
            <v/>
          </cell>
          <cell r="O4075" t="str">
            <v/>
          </cell>
          <cell r="P4075" t="str">
            <v/>
          </cell>
          <cell r="Q4075" t="str">
            <v/>
          </cell>
          <cell r="S4075" t="str">
            <v/>
          </cell>
          <cell r="V4075" t="str">
            <v/>
          </cell>
          <cell r="Z4075" t="str">
            <v/>
          </cell>
          <cell r="AA4075" t="str">
            <v/>
          </cell>
          <cell r="AB4075" t="str">
            <v/>
          </cell>
          <cell r="AC4075" t="str">
            <v/>
          </cell>
          <cell r="AD4075" t="str">
            <v/>
          </cell>
          <cell r="AY4075" t="str">
            <v/>
          </cell>
          <cell r="AZ4075" t="str">
            <v/>
          </cell>
          <cell r="BA4075" t="str">
            <v/>
          </cell>
        </row>
        <row r="4076">
          <cell r="B4076" t="str">
            <v>-</v>
          </cell>
          <cell r="E4076" t="str">
            <v/>
          </cell>
          <cell r="G4076" t="str">
            <v/>
          </cell>
          <cell r="J4076" t="str">
            <v/>
          </cell>
          <cell r="O4076" t="str">
            <v/>
          </cell>
          <cell r="P4076" t="str">
            <v/>
          </cell>
          <cell r="Q4076" t="str">
            <v/>
          </cell>
          <cell r="S4076" t="str">
            <v/>
          </cell>
          <cell r="V4076" t="str">
            <v/>
          </cell>
          <cell r="Z4076" t="str">
            <v/>
          </cell>
          <cell r="AA4076" t="str">
            <v/>
          </cell>
          <cell r="AB4076" t="str">
            <v/>
          </cell>
          <cell r="AC4076" t="str">
            <v/>
          </cell>
          <cell r="AD4076" t="str">
            <v/>
          </cell>
          <cell r="AY4076" t="str">
            <v/>
          </cell>
          <cell r="AZ4076" t="str">
            <v/>
          </cell>
          <cell r="BA4076" t="str">
            <v/>
          </cell>
        </row>
        <row r="4077">
          <cell r="B4077" t="str">
            <v>-</v>
          </cell>
          <cell r="E4077" t="str">
            <v/>
          </cell>
          <cell r="G4077" t="str">
            <v/>
          </cell>
          <cell r="J4077" t="str">
            <v/>
          </cell>
          <cell r="O4077" t="str">
            <v/>
          </cell>
          <cell r="P4077" t="str">
            <v/>
          </cell>
          <cell r="Q4077" t="str">
            <v/>
          </cell>
          <cell r="S4077" t="str">
            <v/>
          </cell>
          <cell r="V4077" t="str">
            <v/>
          </cell>
          <cell r="Z4077" t="str">
            <v/>
          </cell>
          <cell r="AA4077" t="str">
            <v/>
          </cell>
          <cell r="AB4077" t="str">
            <v/>
          </cell>
          <cell r="AC4077" t="str">
            <v/>
          </cell>
          <cell r="AD4077" t="str">
            <v/>
          </cell>
          <cell r="AY4077" t="str">
            <v/>
          </cell>
          <cell r="AZ4077" t="str">
            <v/>
          </cell>
          <cell r="BA4077" t="str">
            <v/>
          </cell>
        </row>
        <row r="4078">
          <cell r="B4078" t="str">
            <v>-</v>
          </cell>
          <cell r="E4078" t="str">
            <v/>
          </cell>
          <cell r="G4078" t="str">
            <v/>
          </cell>
          <cell r="J4078" t="str">
            <v/>
          </cell>
          <cell r="O4078" t="str">
            <v/>
          </cell>
          <cell r="P4078" t="str">
            <v/>
          </cell>
          <cell r="Q4078" t="str">
            <v/>
          </cell>
          <cell r="S4078" t="str">
            <v/>
          </cell>
          <cell r="V4078" t="str">
            <v/>
          </cell>
          <cell r="Z4078" t="str">
            <v/>
          </cell>
          <cell r="AA4078" t="str">
            <v/>
          </cell>
          <cell r="AB4078" t="str">
            <v/>
          </cell>
          <cell r="AC4078" t="str">
            <v/>
          </cell>
          <cell r="AD4078" t="str">
            <v/>
          </cell>
          <cell r="AY4078" t="str">
            <v/>
          </cell>
          <cell r="AZ4078" t="str">
            <v/>
          </cell>
          <cell r="BA4078" t="str">
            <v/>
          </cell>
        </row>
        <row r="4079">
          <cell r="B4079" t="str">
            <v>-</v>
          </cell>
          <cell r="E4079" t="str">
            <v/>
          </cell>
          <cell r="G4079" t="str">
            <v/>
          </cell>
          <cell r="J4079" t="str">
            <v/>
          </cell>
          <cell r="O4079" t="str">
            <v/>
          </cell>
          <cell r="P4079" t="str">
            <v/>
          </cell>
          <cell r="Q4079" t="str">
            <v/>
          </cell>
          <cell r="S4079" t="str">
            <v/>
          </cell>
          <cell r="V4079" t="str">
            <v/>
          </cell>
          <cell r="Z4079" t="str">
            <v/>
          </cell>
          <cell r="AA4079" t="str">
            <v/>
          </cell>
          <cell r="AB4079" t="str">
            <v/>
          </cell>
          <cell r="AC4079" t="str">
            <v/>
          </cell>
          <cell r="AD4079" t="str">
            <v/>
          </cell>
          <cell r="AY4079" t="str">
            <v/>
          </cell>
          <cell r="AZ4079" t="str">
            <v/>
          </cell>
          <cell r="BA4079" t="str">
            <v/>
          </cell>
        </row>
        <row r="4080">
          <cell r="B4080" t="str">
            <v>-</v>
          </cell>
          <cell r="E4080" t="str">
            <v/>
          </cell>
          <cell r="G4080" t="str">
            <v/>
          </cell>
          <cell r="J4080" t="str">
            <v/>
          </cell>
          <cell r="O4080" t="str">
            <v/>
          </cell>
          <cell r="P4080" t="str">
            <v/>
          </cell>
          <cell r="Q4080" t="str">
            <v/>
          </cell>
          <cell r="S4080" t="str">
            <v/>
          </cell>
          <cell r="V4080" t="str">
            <v/>
          </cell>
          <cell r="Z4080" t="str">
            <v/>
          </cell>
          <cell r="AA4080" t="str">
            <v/>
          </cell>
          <cell r="AB4080" t="str">
            <v/>
          </cell>
          <cell r="AC4080" t="str">
            <v/>
          </cell>
          <cell r="AD4080" t="str">
            <v/>
          </cell>
          <cell r="AY4080" t="str">
            <v/>
          </cell>
          <cell r="AZ4080" t="str">
            <v/>
          </cell>
          <cell r="BA4080" t="str">
            <v/>
          </cell>
        </row>
        <row r="4081">
          <cell r="B4081" t="str">
            <v>-</v>
          </cell>
          <cell r="E4081" t="str">
            <v/>
          </cell>
          <cell r="G4081" t="str">
            <v/>
          </cell>
          <cell r="J4081" t="str">
            <v/>
          </cell>
          <cell r="O4081" t="str">
            <v/>
          </cell>
          <cell r="P4081" t="str">
            <v/>
          </cell>
          <cell r="Q4081" t="str">
            <v/>
          </cell>
          <cell r="S4081" t="str">
            <v/>
          </cell>
          <cell r="V4081" t="str">
            <v/>
          </cell>
          <cell r="Z4081" t="str">
            <v/>
          </cell>
          <cell r="AA4081" t="str">
            <v/>
          </cell>
          <cell r="AB4081" t="str">
            <v/>
          </cell>
          <cell r="AC4081" t="str">
            <v/>
          </cell>
          <cell r="AD4081" t="str">
            <v/>
          </cell>
          <cell r="AY4081" t="str">
            <v/>
          </cell>
          <cell r="AZ4081" t="str">
            <v/>
          </cell>
          <cell r="BA4081" t="str">
            <v/>
          </cell>
        </row>
        <row r="4082">
          <cell r="B4082" t="str">
            <v>-</v>
          </cell>
          <cell r="E4082" t="str">
            <v/>
          </cell>
          <cell r="G4082" t="str">
            <v/>
          </cell>
          <cell r="J4082" t="str">
            <v/>
          </cell>
          <cell r="O4082" t="str">
            <v/>
          </cell>
          <cell r="P4082" t="str">
            <v/>
          </cell>
          <cell r="Q4082" t="str">
            <v/>
          </cell>
          <cell r="S4082" t="str">
            <v/>
          </cell>
          <cell r="V4082" t="str">
            <v/>
          </cell>
          <cell r="Z4082" t="str">
            <v/>
          </cell>
          <cell r="AA4082" t="str">
            <v/>
          </cell>
          <cell r="AB4082" t="str">
            <v/>
          </cell>
          <cell r="AC4082" t="str">
            <v/>
          </cell>
          <cell r="AD4082" t="str">
            <v/>
          </cell>
          <cell r="AY4082" t="str">
            <v/>
          </cell>
          <cell r="AZ4082" t="str">
            <v/>
          </cell>
          <cell r="BA4082" t="str">
            <v/>
          </cell>
        </row>
        <row r="4083">
          <cell r="B4083" t="str">
            <v>-</v>
          </cell>
          <cell r="E4083" t="str">
            <v/>
          </cell>
          <cell r="G4083" t="str">
            <v/>
          </cell>
          <cell r="J4083" t="str">
            <v/>
          </cell>
          <cell r="O4083" t="str">
            <v/>
          </cell>
          <cell r="P4083" t="str">
            <v/>
          </cell>
          <cell r="Q4083" t="str">
            <v/>
          </cell>
          <cell r="S4083" t="str">
            <v/>
          </cell>
          <cell r="V4083" t="str">
            <v/>
          </cell>
          <cell r="Z4083" t="str">
            <v/>
          </cell>
          <cell r="AA4083" t="str">
            <v/>
          </cell>
          <cell r="AB4083" t="str">
            <v/>
          </cell>
          <cell r="AC4083" t="str">
            <v/>
          </cell>
          <cell r="AD4083" t="str">
            <v/>
          </cell>
          <cell r="AY4083" t="str">
            <v/>
          </cell>
          <cell r="AZ4083" t="str">
            <v/>
          </cell>
          <cell r="BA4083" t="str">
            <v/>
          </cell>
        </row>
        <row r="4084">
          <cell r="B4084" t="str">
            <v>-</v>
          </cell>
          <cell r="E4084" t="str">
            <v/>
          </cell>
          <cell r="G4084" t="str">
            <v/>
          </cell>
          <cell r="J4084" t="str">
            <v/>
          </cell>
          <cell r="O4084" t="str">
            <v/>
          </cell>
          <cell r="P4084" t="str">
            <v/>
          </cell>
          <cell r="Q4084" t="str">
            <v/>
          </cell>
          <cell r="S4084" t="str">
            <v/>
          </cell>
          <cell r="V4084" t="str">
            <v/>
          </cell>
          <cell r="Z4084" t="str">
            <v/>
          </cell>
          <cell r="AA4084" t="str">
            <v/>
          </cell>
          <cell r="AB4084" t="str">
            <v/>
          </cell>
          <cell r="AC4084" t="str">
            <v/>
          </cell>
          <cell r="AD4084" t="str">
            <v/>
          </cell>
          <cell r="AY4084" t="str">
            <v/>
          </cell>
          <cell r="AZ4084" t="str">
            <v/>
          </cell>
          <cell r="BA4084" t="str">
            <v/>
          </cell>
        </row>
        <row r="4085">
          <cell r="B4085" t="str">
            <v>-</v>
          </cell>
          <cell r="E4085" t="str">
            <v/>
          </cell>
          <cell r="G4085" t="str">
            <v/>
          </cell>
          <cell r="J4085" t="str">
            <v/>
          </cell>
          <cell r="O4085" t="str">
            <v/>
          </cell>
          <cell r="P4085" t="str">
            <v/>
          </cell>
          <cell r="Q4085" t="str">
            <v/>
          </cell>
          <cell r="S4085" t="str">
            <v/>
          </cell>
          <cell r="V4085" t="str">
            <v/>
          </cell>
          <cell r="Z4085" t="str">
            <v/>
          </cell>
          <cell r="AA4085" t="str">
            <v/>
          </cell>
          <cell r="AB4085" t="str">
            <v/>
          </cell>
          <cell r="AC4085" t="str">
            <v/>
          </cell>
          <cell r="AD4085" t="str">
            <v/>
          </cell>
          <cell r="AY4085" t="str">
            <v/>
          </cell>
          <cell r="AZ4085" t="str">
            <v/>
          </cell>
          <cell r="BA4085" t="str">
            <v/>
          </cell>
        </row>
        <row r="4086">
          <cell r="B4086" t="str">
            <v>-</v>
          </cell>
          <cell r="E4086" t="str">
            <v/>
          </cell>
          <cell r="G4086" t="str">
            <v/>
          </cell>
          <cell r="J4086" t="str">
            <v/>
          </cell>
          <cell r="O4086" t="str">
            <v/>
          </cell>
          <cell r="P4086" t="str">
            <v/>
          </cell>
          <cell r="Q4086" t="str">
            <v/>
          </cell>
          <cell r="S4086" t="str">
            <v/>
          </cell>
          <cell r="V4086" t="str">
            <v/>
          </cell>
          <cell r="Z4086" t="str">
            <v/>
          </cell>
          <cell r="AA4086" t="str">
            <v/>
          </cell>
          <cell r="AB4086" t="str">
            <v/>
          </cell>
          <cell r="AC4086" t="str">
            <v/>
          </cell>
          <cell r="AD4086" t="str">
            <v/>
          </cell>
          <cell r="AY4086" t="str">
            <v/>
          </cell>
          <cell r="AZ4086" t="str">
            <v/>
          </cell>
          <cell r="BA4086" t="str">
            <v/>
          </cell>
        </row>
        <row r="4087">
          <cell r="B4087" t="str">
            <v>-</v>
          </cell>
          <cell r="E4087" t="str">
            <v/>
          </cell>
          <cell r="G4087" t="str">
            <v/>
          </cell>
          <cell r="J4087" t="str">
            <v/>
          </cell>
          <cell r="O4087" t="str">
            <v/>
          </cell>
          <cell r="P4087" t="str">
            <v/>
          </cell>
          <cell r="Q4087" t="str">
            <v/>
          </cell>
          <cell r="S4087" t="str">
            <v/>
          </cell>
          <cell r="V4087" t="str">
            <v/>
          </cell>
          <cell r="Z4087" t="str">
            <v/>
          </cell>
          <cell r="AA4087" t="str">
            <v/>
          </cell>
          <cell r="AB4087" t="str">
            <v/>
          </cell>
          <cell r="AC4087" t="str">
            <v/>
          </cell>
          <cell r="AD4087" t="str">
            <v/>
          </cell>
          <cell r="AY4087" t="str">
            <v/>
          </cell>
          <cell r="AZ4087" t="str">
            <v/>
          </cell>
          <cell r="BA4087" t="str">
            <v/>
          </cell>
        </row>
        <row r="4088">
          <cell r="B4088" t="str">
            <v>-</v>
          </cell>
          <cell r="E4088" t="str">
            <v/>
          </cell>
          <cell r="G4088" t="str">
            <v/>
          </cell>
          <cell r="J4088" t="str">
            <v/>
          </cell>
          <cell r="O4088" t="str">
            <v/>
          </cell>
          <cell r="P4088" t="str">
            <v/>
          </cell>
          <cell r="Q4088" t="str">
            <v/>
          </cell>
          <cell r="S4088" t="str">
            <v/>
          </cell>
          <cell r="V4088" t="str">
            <v/>
          </cell>
          <cell r="Z4088" t="str">
            <v/>
          </cell>
          <cell r="AA4088" t="str">
            <v/>
          </cell>
          <cell r="AB4088" t="str">
            <v/>
          </cell>
          <cell r="AC4088" t="str">
            <v/>
          </cell>
          <cell r="AD4088" t="str">
            <v/>
          </cell>
          <cell r="AY4088" t="str">
            <v/>
          </cell>
          <cell r="AZ4088" t="str">
            <v/>
          </cell>
          <cell r="BA4088" t="str">
            <v/>
          </cell>
        </row>
        <row r="4089">
          <cell r="B4089" t="str">
            <v>-</v>
          </cell>
          <cell r="E4089" t="str">
            <v/>
          </cell>
          <cell r="G4089" t="str">
            <v/>
          </cell>
          <cell r="J4089" t="str">
            <v/>
          </cell>
          <cell r="O4089" t="str">
            <v/>
          </cell>
          <cell r="P4089" t="str">
            <v/>
          </cell>
          <cell r="Q4089" t="str">
            <v/>
          </cell>
          <cell r="S4089" t="str">
            <v/>
          </cell>
          <cell r="V4089" t="str">
            <v/>
          </cell>
          <cell r="Z4089" t="str">
            <v/>
          </cell>
          <cell r="AA4089" t="str">
            <v/>
          </cell>
          <cell r="AB4089" t="str">
            <v/>
          </cell>
          <cell r="AC4089" t="str">
            <v/>
          </cell>
          <cell r="AD4089" t="str">
            <v/>
          </cell>
          <cell r="AY4089" t="str">
            <v/>
          </cell>
          <cell r="AZ4089" t="str">
            <v/>
          </cell>
          <cell r="BA4089" t="str">
            <v/>
          </cell>
        </row>
        <row r="4090">
          <cell r="B4090" t="str">
            <v>-</v>
          </cell>
          <cell r="E4090" t="str">
            <v/>
          </cell>
          <cell r="G4090" t="str">
            <v/>
          </cell>
          <cell r="J4090" t="str">
            <v/>
          </cell>
          <cell r="O4090" t="str">
            <v/>
          </cell>
          <cell r="P4090" t="str">
            <v/>
          </cell>
          <cell r="Q4090" t="str">
            <v/>
          </cell>
          <cell r="S4090" t="str">
            <v/>
          </cell>
          <cell r="V4090" t="str">
            <v/>
          </cell>
          <cell r="Z4090" t="str">
            <v/>
          </cell>
          <cell r="AA4090" t="str">
            <v/>
          </cell>
          <cell r="AB4090" t="str">
            <v/>
          </cell>
          <cell r="AC4090" t="str">
            <v/>
          </cell>
          <cell r="AD4090" t="str">
            <v/>
          </cell>
          <cell r="AY4090" t="str">
            <v/>
          </cell>
          <cell r="AZ4090" t="str">
            <v/>
          </cell>
          <cell r="BA4090" t="str">
            <v/>
          </cell>
        </row>
        <row r="4091">
          <cell r="B4091" t="str">
            <v>-</v>
          </cell>
          <cell r="E4091" t="str">
            <v/>
          </cell>
          <cell r="G4091" t="str">
            <v/>
          </cell>
          <cell r="J4091" t="str">
            <v/>
          </cell>
          <cell r="O4091" t="str">
            <v/>
          </cell>
          <cell r="P4091" t="str">
            <v/>
          </cell>
          <cell r="Q4091" t="str">
            <v/>
          </cell>
          <cell r="S4091" t="str">
            <v/>
          </cell>
          <cell r="V4091" t="str">
            <v/>
          </cell>
          <cell r="Z4091" t="str">
            <v/>
          </cell>
          <cell r="AA4091" t="str">
            <v/>
          </cell>
          <cell r="AB4091" t="str">
            <v/>
          </cell>
          <cell r="AC4091" t="str">
            <v/>
          </cell>
          <cell r="AD4091" t="str">
            <v/>
          </cell>
          <cell r="AY4091" t="str">
            <v/>
          </cell>
          <cell r="AZ4091" t="str">
            <v/>
          </cell>
          <cell r="BA4091" t="str">
            <v/>
          </cell>
        </row>
        <row r="4092">
          <cell r="B4092" t="str">
            <v>-</v>
          </cell>
          <cell r="E4092" t="str">
            <v/>
          </cell>
          <cell r="G4092" t="str">
            <v/>
          </cell>
          <cell r="J4092" t="str">
            <v/>
          </cell>
          <cell r="O4092" t="str">
            <v/>
          </cell>
          <cell r="P4092" t="str">
            <v/>
          </cell>
          <cell r="Q4092" t="str">
            <v/>
          </cell>
          <cell r="S4092" t="str">
            <v/>
          </cell>
          <cell r="V4092" t="str">
            <v/>
          </cell>
          <cell r="Z4092" t="str">
            <v/>
          </cell>
          <cell r="AA4092" t="str">
            <v/>
          </cell>
          <cell r="AB4092" t="str">
            <v/>
          </cell>
          <cell r="AC4092" t="str">
            <v/>
          </cell>
          <cell r="AD4092" t="str">
            <v/>
          </cell>
          <cell r="AY4092" t="str">
            <v/>
          </cell>
          <cell r="AZ4092" t="str">
            <v/>
          </cell>
          <cell r="BA4092" t="str">
            <v/>
          </cell>
        </row>
        <row r="4093">
          <cell r="B4093" t="str">
            <v>-</v>
          </cell>
          <cell r="E4093" t="str">
            <v/>
          </cell>
          <cell r="G4093" t="str">
            <v/>
          </cell>
          <cell r="J4093" t="str">
            <v/>
          </cell>
          <cell r="O4093" t="str">
            <v/>
          </cell>
          <cell r="P4093" t="str">
            <v/>
          </cell>
          <cell r="Q4093" t="str">
            <v/>
          </cell>
          <cell r="S4093" t="str">
            <v/>
          </cell>
          <cell r="V4093" t="str">
            <v/>
          </cell>
          <cell r="Z4093" t="str">
            <v/>
          </cell>
          <cell r="AA4093" t="str">
            <v/>
          </cell>
          <cell r="AB4093" t="str">
            <v/>
          </cell>
          <cell r="AC4093" t="str">
            <v/>
          </cell>
          <cell r="AD4093" t="str">
            <v/>
          </cell>
          <cell r="AY4093" t="str">
            <v/>
          </cell>
          <cell r="AZ4093" t="str">
            <v/>
          </cell>
          <cell r="BA4093" t="str">
            <v/>
          </cell>
        </row>
        <row r="4094">
          <cell r="B4094" t="str">
            <v>-</v>
          </cell>
          <cell r="E4094" t="str">
            <v/>
          </cell>
          <cell r="G4094" t="str">
            <v/>
          </cell>
          <cell r="J4094" t="str">
            <v/>
          </cell>
          <cell r="O4094" t="str">
            <v/>
          </cell>
          <cell r="P4094" t="str">
            <v/>
          </cell>
          <cell r="Q4094" t="str">
            <v/>
          </cell>
          <cell r="S4094" t="str">
            <v/>
          </cell>
          <cell r="V4094" t="str">
            <v/>
          </cell>
          <cell r="Z4094" t="str">
            <v/>
          </cell>
          <cell r="AA4094" t="str">
            <v/>
          </cell>
          <cell r="AB4094" t="str">
            <v/>
          </cell>
          <cell r="AC4094" t="str">
            <v/>
          </cell>
          <cell r="AD4094" t="str">
            <v/>
          </cell>
          <cell r="AY4094" t="str">
            <v/>
          </cell>
          <cell r="AZ4094" t="str">
            <v/>
          </cell>
          <cell r="BA4094" t="str">
            <v/>
          </cell>
        </row>
        <row r="4095">
          <cell r="B4095" t="str">
            <v>-</v>
          </cell>
          <cell r="E4095" t="str">
            <v/>
          </cell>
          <cell r="G4095" t="str">
            <v/>
          </cell>
          <cell r="J4095" t="str">
            <v/>
          </cell>
          <cell r="O4095" t="str">
            <v/>
          </cell>
          <cell r="P4095" t="str">
            <v/>
          </cell>
          <cell r="Q4095" t="str">
            <v/>
          </cell>
          <cell r="S4095" t="str">
            <v/>
          </cell>
          <cell r="V4095" t="str">
            <v/>
          </cell>
          <cell r="Z4095" t="str">
            <v/>
          </cell>
          <cell r="AA4095" t="str">
            <v/>
          </cell>
          <cell r="AB4095" t="str">
            <v/>
          </cell>
          <cell r="AC4095" t="str">
            <v/>
          </cell>
          <cell r="AD4095" t="str">
            <v/>
          </cell>
          <cell r="AY4095" t="str">
            <v/>
          </cell>
          <cell r="AZ4095" t="str">
            <v/>
          </cell>
          <cell r="BA4095" t="str">
            <v/>
          </cell>
        </row>
        <row r="4096">
          <cell r="B4096" t="str">
            <v>-</v>
          </cell>
          <cell r="E4096" t="str">
            <v/>
          </cell>
          <cell r="G4096" t="str">
            <v/>
          </cell>
          <cell r="J4096" t="str">
            <v/>
          </cell>
          <cell r="O4096" t="str">
            <v/>
          </cell>
          <cell r="P4096" t="str">
            <v/>
          </cell>
          <cell r="Q4096" t="str">
            <v/>
          </cell>
          <cell r="S4096" t="str">
            <v/>
          </cell>
          <cell r="V4096" t="str">
            <v/>
          </cell>
          <cell r="Z4096" t="str">
            <v/>
          </cell>
          <cell r="AA4096" t="str">
            <v/>
          </cell>
          <cell r="AB4096" t="str">
            <v/>
          </cell>
          <cell r="AC4096" t="str">
            <v/>
          </cell>
          <cell r="AD4096" t="str">
            <v/>
          </cell>
          <cell r="AY4096" t="str">
            <v/>
          </cell>
          <cell r="AZ4096" t="str">
            <v/>
          </cell>
          <cell r="BA4096" t="str">
            <v/>
          </cell>
        </row>
        <row r="4097">
          <cell r="B4097" t="str">
            <v>-</v>
          </cell>
          <cell r="E4097" t="str">
            <v/>
          </cell>
          <cell r="G4097" t="str">
            <v/>
          </cell>
          <cell r="J4097" t="str">
            <v/>
          </cell>
          <cell r="O4097" t="str">
            <v/>
          </cell>
          <cell r="P4097" t="str">
            <v/>
          </cell>
          <cell r="Q4097" t="str">
            <v/>
          </cell>
          <cell r="S4097" t="str">
            <v/>
          </cell>
          <cell r="V4097" t="str">
            <v/>
          </cell>
          <cell r="Z4097" t="str">
            <v/>
          </cell>
          <cell r="AA4097" t="str">
            <v/>
          </cell>
          <cell r="AB4097" t="str">
            <v/>
          </cell>
          <cell r="AC4097" t="str">
            <v/>
          </cell>
          <cell r="AD4097" t="str">
            <v/>
          </cell>
          <cell r="AY4097" t="str">
            <v/>
          </cell>
          <cell r="AZ4097" t="str">
            <v/>
          </cell>
          <cell r="BA4097" t="str">
            <v/>
          </cell>
        </row>
        <row r="4098">
          <cell r="B4098" t="str">
            <v>-</v>
          </cell>
          <cell r="E4098" t="str">
            <v/>
          </cell>
          <cell r="G4098" t="str">
            <v/>
          </cell>
          <cell r="J4098" t="str">
            <v/>
          </cell>
          <cell r="O4098" t="str">
            <v/>
          </cell>
          <cell r="P4098" t="str">
            <v/>
          </cell>
          <cell r="Q4098" t="str">
            <v/>
          </cell>
          <cell r="S4098" t="str">
            <v/>
          </cell>
          <cell r="V4098" t="str">
            <v/>
          </cell>
          <cell r="Z4098" t="str">
            <v/>
          </cell>
          <cell r="AA4098" t="str">
            <v/>
          </cell>
          <cell r="AB4098" t="str">
            <v/>
          </cell>
          <cell r="AC4098" t="str">
            <v/>
          </cell>
          <cell r="AD4098" t="str">
            <v/>
          </cell>
          <cell r="AY4098" t="str">
            <v/>
          </cell>
          <cell r="AZ4098" t="str">
            <v/>
          </cell>
          <cell r="BA4098" t="str">
            <v/>
          </cell>
        </row>
        <row r="4099">
          <cell r="B4099" t="str">
            <v>-</v>
          </cell>
          <cell r="E4099" t="str">
            <v/>
          </cell>
          <cell r="G4099" t="str">
            <v/>
          </cell>
          <cell r="J4099" t="str">
            <v/>
          </cell>
          <cell r="O4099" t="str">
            <v/>
          </cell>
          <cell r="P4099" t="str">
            <v/>
          </cell>
          <cell r="Q4099" t="str">
            <v/>
          </cell>
          <cell r="S4099" t="str">
            <v/>
          </cell>
          <cell r="V4099" t="str">
            <v/>
          </cell>
          <cell r="Z4099" t="str">
            <v/>
          </cell>
          <cell r="AA4099" t="str">
            <v/>
          </cell>
          <cell r="AB4099" t="str">
            <v/>
          </cell>
          <cell r="AC4099" t="str">
            <v/>
          </cell>
          <cell r="AD4099" t="str">
            <v/>
          </cell>
          <cell r="AY4099" t="str">
            <v/>
          </cell>
          <cell r="AZ4099" t="str">
            <v/>
          </cell>
          <cell r="BA4099" t="str">
            <v/>
          </cell>
        </row>
        <row r="4100">
          <cell r="B4100" t="str">
            <v>-</v>
          </cell>
          <cell r="E4100" t="str">
            <v/>
          </cell>
          <cell r="G4100" t="str">
            <v/>
          </cell>
          <cell r="J4100" t="str">
            <v/>
          </cell>
          <cell r="O4100" t="str">
            <v/>
          </cell>
          <cell r="P4100" t="str">
            <v/>
          </cell>
          <cell r="Q4100" t="str">
            <v/>
          </cell>
          <cell r="S4100" t="str">
            <v/>
          </cell>
          <cell r="V4100" t="str">
            <v/>
          </cell>
          <cell r="Z4100" t="str">
            <v/>
          </cell>
          <cell r="AA4100" t="str">
            <v/>
          </cell>
          <cell r="AB4100" t="str">
            <v/>
          </cell>
          <cell r="AC4100" t="str">
            <v/>
          </cell>
          <cell r="AD4100" t="str">
            <v/>
          </cell>
          <cell r="AY4100" t="str">
            <v/>
          </cell>
          <cell r="AZ4100" t="str">
            <v/>
          </cell>
          <cell r="BA4100" t="str">
            <v/>
          </cell>
        </row>
        <row r="4101">
          <cell r="B4101" t="str">
            <v>-</v>
          </cell>
          <cell r="E4101" t="str">
            <v/>
          </cell>
          <cell r="G4101" t="str">
            <v/>
          </cell>
          <cell r="J4101" t="str">
            <v/>
          </cell>
          <cell r="O4101" t="str">
            <v/>
          </cell>
          <cell r="P4101" t="str">
            <v/>
          </cell>
          <cell r="Q4101" t="str">
            <v/>
          </cell>
          <cell r="S4101" t="str">
            <v/>
          </cell>
          <cell r="V4101" t="str">
            <v/>
          </cell>
          <cell r="Z4101" t="str">
            <v/>
          </cell>
          <cell r="AA4101" t="str">
            <v/>
          </cell>
          <cell r="AB4101" t="str">
            <v/>
          </cell>
          <cell r="AC4101" t="str">
            <v/>
          </cell>
          <cell r="AD4101" t="str">
            <v/>
          </cell>
          <cell r="AY4101" t="str">
            <v/>
          </cell>
          <cell r="AZ4101" t="str">
            <v/>
          </cell>
          <cell r="BA4101" t="str">
            <v/>
          </cell>
        </row>
        <row r="4102">
          <cell r="B4102" t="str">
            <v>-</v>
          </cell>
          <cell r="E4102" t="str">
            <v/>
          </cell>
          <cell r="G4102" t="str">
            <v/>
          </cell>
          <cell r="J4102" t="str">
            <v/>
          </cell>
          <cell r="O4102" t="str">
            <v/>
          </cell>
          <cell r="P4102" t="str">
            <v/>
          </cell>
          <cell r="Q4102" t="str">
            <v/>
          </cell>
          <cell r="S4102" t="str">
            <v/>
          </cell>
          <cell r="V4102" t="str">
            <v/>
          </cell>
          <cell r="Z4102" t="str">
            <v/>
          </cell>
          <cell r="AA4102" t="str">
            <v/>
          </cell>
          <cell r="AB4102" t="str">
            <v/>
          </cell>
          <cell r="AC4102" t="str">
            <v/>
          </cell>
          <cell r="AD4102" t="str">
            <v/>
          </cell>
          <cell r="AY4102" t="str">
            <v/>
          </cell>
          <cell r="AZ4102" t="str">
            <v/>
          </cell>
          <cell r="BA4102" t="str">
            <v/>
          </cell>
        </row>
        <row r="4103">
          <cell r="B4103" t="str">
            <v>-</v>
          </cell>
          <cell r="E4103" t="str">
            <v/>
          </cell>
          <cell r="G4103" t="str">
            <v/>
          </cell>
          <cell r="J4103" t="str">
            <v/>
          </cell>
          <cell r="O4103" t="str">
            <v/>
          </cell>
          <cell r="P4103" t="str">
            <v/>
          </cell>
          <cell r="Q4103" t="str">
            <v/>
          </cell>
          <cell r="S4103" t="str">
            <v/>
          </cell>
          <cell r="V4103" t="str">
            <v/>
          </cell>
          <cell r="Z4103" t="str">
            <v/>
          </cell>
          <cell r="AA4103" t="str">
            <v/>
          </cell>
          <cell r="AB4103" t="str">
            <v/>
          </cell>
          <cell r="AC4103" t="str">
            <v/>
          </cell>
          <cell r="AD4103" t="str">
            <v/>
          </cell>
          <cell r="AY4103" t="str">
            <v/>
          </cell>
          <cell r="AZ4103" t="str">
            <v/>
          </cell>
          <cell r="BA4103" t="str">
            <v/>
          </cell>
        </row>
        <row r="4104">
          <cell r="B4104" t="str">
            <v>-</v>
          </cell>
          <cell r="E4104" t="str">
            <v/>
          </cell>
          <cell r="G4104" t="str">
            <v/>
          </cell>
          <cell r="J4104" t="str">
            <v/>
          </cell>
          <cell r="O4104" t="str">
            <v/>
          </cell>
          <cell r="P4104" t="str">
            <v/>
          </cell>
          <cell r="Q4104" t="str">
            <v/>
          </cell>
          <cell r="S4104" t="str">
            <v/>
          </cell>
          <cell r="V4104" t="str">
            <v/>
          </cell>
          <cell r="Z4104" t="str">
            <v/>
          </cell>
          <cell r="AA4104" t="str">
            <v/>
          </cell>
          <cell r="AB4104" t="str">
            <v/>
          </cell>
          <cell r="AC4104" t="str">
            <v/>
          </cell>
          <cell r="AD4104" t="str">
            <v/>
          </cell>
          <cell r="AY4104" t="str">
            <v/>
          </cell>
          <cell r="AZ4104" t="str">
            <v/>
          </cell>
          <cell r="BA4104" t="str">
            <v/>
          </cell>
        </row>
        <row r="4105">
          <cell r="B4105" t="str">
            <v>-</v>
          </cell>
          <cell r="E4105" t="str">
            <v/>
          </cell>
          <cell r="G4105" t="str">
            <v/>
          </cell>
          <cell r="J4105" t="str">
            <v/>
          </cell>
          <cell r="O4105" t="str">
            <v/>
          </cell>
          <cell r="P4105" t="str">
            <v/>
          </cell>
          <cell r="Q4105" t="str">
            <v/>
          </cell>
          <cell r="S4105" t="str">
            <v/>
          </cell>
          <cell r="V4105" t="str">
            <v/>
          </cell>
          <cell r="Z4105" t="str">
            <v/>
          </cell>
          <cell r="AA4105" t="str">
            <v/>
          </cell>
          <cell r="AB4105" t="str">
            <v/>
          </cell>
          <cell r="AC4105" t="str">
            <v/>
          </cell>
          <cell r="AD4105" t="str">
            <v/>
          </cell>
          <cell r="AY4105" t="str">
            <v/>
          </cell>
          <cell r="AZ4105" t="str">
            <v/>
          </cell>
          <cell r="BA4105" t="str">
            <v/>
          </cell>
        </row>
        <row r="4106">
          <cell r="B4106" t="str">
            <v>-</v>
          </cell>
          <cell r="E4106" t="str">
            <v/>
          </cell>
          <cell r="G4106" t="str">
            <v/>
          </cell>
          <cell r="J4106" t="str">
            <v/>
          </cell>
          <cell r="O4106" t="str">
            <v/>
          </cell>
          <cell r="P4106" t="str">
            <v/>
          </cell>
          <cell r="Q4106" t="str">
            <v/>
          </cell>
          <cell r="S4106" t="str">
            <v/>
          </cell>
          <cell r="V4106" t="str">
            <v/>
          </cell>
          <cell r="Z4106" t="str">
            <v/>
          </cell>
          <cell r="AA4106" t="str">
            <v/>
          </cell>
          <cell r="AB4106" t="str">
            <v/>
          </cell>
          <cell r="AC4106" t="str">
            <v/>
          </cell>
          <cell r="AD4106" t="str">
            <v/>
          </cell>
          <cell r="AY4106" t="str">
            <v/>
          </cell>
          <cell r="AZ4106" t="str">
            <v/>
          </cell>
          <cell r="BA4106" t="str">
            <v/>
          </cell>
        </row>
        <row r="4107">
          <cell r="B4107" t="str">
            <v>-</v>
          </cell>
          <cell r="E4107" t="str">
            <v/>
          </cell>
          <cell r="G4107" t="str">
            <v/>
          </cell>
          <cell r="J4107" t="str">
            <v/>
          </cell>
          <cell r="O4107" t="str">
            <v/>
          </cell>
          <cell r="P4107" t="str">
            <v/>
          </cell>
          <cell r="Q4107" t="str">
            <v/>
          </cell>
          <cell r="S4107" t="str">
            <v/>
          </cell>
          <cell r="V4107" t="str">
            <v/>
          </cell>
          <cell r="Z4107" t="str">
            <v/>
          </cell>
          <cell r="AA4107" t="str">
            <v/>
          </cell>
          <cell r="AB4107" t="str">
            <v/>
          </cell>
          <cell r="AC4107" t="str">
            <v/>
          </cell>
          <cell r="AD4107" t="str">
            <v/>
          </cell>
          <cell r="AY4107" t="str">
            <v/>
          </cell>
          <cell r="AZ4107" t="str">
            <v/>
          </cell>
          <cell r="BA4107" t="str">
            <v/>
          </cell>
        </row>
        <row r="4108">
          <cell r="B4108" t="str">
            <v>-</v>
          </cell>
          <cell r="E4108" t="str">
            <v/>
          </cell>
          <cell r="G4108" t="str">
            <v/>
          </cell>
          <cell r="J4108" t="str">
            <v/>
          </cell>
          <cell r="O4108" t="str">
            <v/>
          </cell>
          <cell r="P4108" t="str">
            <v/>
          </cell>
          <cell r="Q4108" t="str">
            <v/>
          </cell>
          <cell r="S4108" t="str">
            <v/>
          </cell>
          <cell r="V4108" t="str">
            <v/>
          </cell>
          <cell r="Z4108" t="str">
            <v/>
          </cell>
          <cell r="AA4108" t="str">
            <v/>
          </cell>
          <cell r="AB4108" t="str">
            <v/>
          </cell>
          <cell r="AC4108" t="str">
            <v/>
          </cell>
          <cell r="AD4108" t="str">
            <v/>
          </cell>
          <cell r="AY4108" t="str">
            <v/>
          </cell>
          <cell r="AZ4108" t="str">
            <v/>
          </cell>
          <cell r="BA4108" t="str">
            <v/>
          </cell>
        </row>
        <row r="4109">
          <cell r="B4109" t="str">
            <v>-</v>
          </cell>
          <cell r="E4109" t="str">
            <v/>
          </cell>
          <cell r="G4109" t="str">
            <v/>
          </cell>
          <cell r="J4109" t="str">
            <v/>
          </cell>
          <cell r="O4109" t="str">
            <v/>
          </cell>
          <cell r="P4109" t="str">
            <v/>
          </cell>
          <cell r="Q4109" t="str">
            <v/>
          </cell>
          <cell r="S4109" t="str">
            <v/>
          </cell>
          <cell r="V4109" t="str">
            <v/>
          </cell>
          <cell r="Z4109" t="str">
            <v/>
          </cell>
          <cell r="AA4109" t="str">
            <v/>
          </cell>
          <cell r="AB4109" t="str">
            <v/>
          </cell>
          <cell r="AC4109" t="str">
            <v/>
          </cell>
          <cell r="AD4109" t="str">
            <v/>
          </cell>
          <cell r="AY4109" t="str">
            <v/>
          </cell>
          <cell r="AZ4109" t="str">
            <v/>
          </cell>
          <cell r="BA4109" t="str">
            <v/>
          </cell>
        </row>
        <row r="4110">
          <cell r="B4110" t="str">
            <v>-</v>
          </cell>
          <cell r="E4110" t="str">
            <v/>
          </cell>
          <cell r="G4110" t="str">
            <v/>
          </cell>
          <cell r="J4110" t="str">
            <v/>
          </cell>
          <cell r="O4110" t="str">
            <v/>
          </cell>
          <cell r="P4110" t="str">
            <v/>
          </cell>
          <cell r="Q4110" t="str">
            <v/>
          </cell>
          <cell r="S4110" t="str">
            <v/>
          </cell>
          <cell r="V4110" t="str">
            <v/>
          </cell>
          <cell r="Z4110" t="str">
            <v/>
          </cell>
          <cell r="AA4110" t="str">
            <v/>
          </cell>
          <cell r="AB4110" t="str">
            <v/>
          </cell>
          <cell r="AC4110" t="str">
            <v/>
          </cell>
          <cell r="AD4110" t="str">
            <v/>
          </cell>
          <cell r="AY4110" t="str">
            <v/>
          </cell>
          <cell r="AZ4110" t="str">
            <v/>
          </cell>
          <cell r="BA4110" t="str">
            <v/>
          </cell>
        </row>
        <row r="4111">
          <cell r="B4111" t="str">
            <v>-</v>
          </cell>
          <cell r="E4111" t="str">
            <v/>
          </cell>
          <cell r="G4111" t="str">
            <v/>
          </cell>
          <cell r="J4111" t="str">
            <v/>
          </cell>
          <cell r="O4111" t="str">
            <v/>
          </cell>
          <cell r="P4111" t="str">
            <v/>
          </cell>
          <cell r="Q4111" t="str">
            <v/>
          </cell>
          <cell r="S4111" t="str">
            <v/>
          </cell>
          <cell r="V4111" t="str">
            <v/>
          </cell>
          <cell r="Z4111" t="str">
            <v/>
          </cell>
          <cell r="AA4111" t="str">
            <v/>
          </cell>
          <cell r="AB4111" t="str">
            <v/>
          </cell>
          <cell r="AC4111" t="str">
            <v/>
          </cell>
          <cell r="AD4111" t="str">
            <v/>
          </cell>
          <cell r="AY4111" t="str">
            <v/>
          </cell>
          <cell r="AZ4111" t="str">
            <v/>
          </cell>
          <cell r="BA4111" t="str">
            <v/>
          </cell>
        </row>
        <row r="4112">
          <cell r="B4112" t="str">
            <v>-</v>
          </cell>
          <cell r="E4112" t="str">
            <v/>
          </cell>
          <cell r="G4112" t="str">
            <v/>
          </cell>
          <cell r="J4112" t="str">
            <v/>
          </cell>
          <cell r="O4112" t="str">
            <v/>
          </cell>
          <cell r="P4112" t="str">
            <v/>
          </cell>
          <cell r="Q4112" t="str">
            <v/>
          </cell>
          <cell r="S4112" t="str">
            <v/>
          </cell>
          <cell r="V4112" t="str">
            <v/>
          </cell>
          <cell r="Z4112" t="str">
            <v/>
          </cell>
          <cell r="AA4112" t="str">
            <v/>
          </cell>
          <cell r="AB4112" t="str">
            <v/>
          </cell>
          <cell r="AC4112" t="str">
            <v/>
          </cell>
          <cell r="AD4112" t="str">
            <v/>
          </cell>
          <cell r="AY4112" t="str">
            <v/>
          </cell>
          <cell r="AZ4112" t="str">
            <v/>
          </cell>
          <cell r="BA4112" t="str">
            <v/>
          </cell>
        </row>
        <row r="4113">
          <cell r="B4113" t="str">
            <v>-</v>
          </cell>
          <cell r="E4113" t="str">
            <v/>
          </cell>
          <cell r="G4113" t="str">
            <v/>
          </cell>
          <cell r="J4113" t="str">
            <v/>
          </cell>
          <cell r="O4113" t="str">
            <v/>
          </cell>
          <cell r="P4113" t="str">
            <v/>
          </cell>
          <cell r="Q4113" t="str">
            <v/>
          </cell>
          <cell r="S4113" t="str">
            <v/>
          </cell>
          <cell r="V4113" t="str">
            <v/>
          </cell>
          <cell r="Z4113" t="str">
            <v/>
          </cell>
          <cell r="AA4113" t="str">
            <v/>
          </cell>
          <cell r="AB4113" t="str">
            <v/>
          </cell>
          <cell r="AC4113" t="str">
            <v/>
          </cell>
          <cell r="AD4113" t="str">
            <v/>
          </cell>
          <cell r="AY4113" t="str">
            <v/>
          </cell>
          <cell r="AZ4113" t="str">
            <v/>
          </cell>
          <cell r="BA4113" t="str">
            <v/>
          </cell>
        </row>
        <row r="4114">
          <cell r="B4114" t="str">
            <v>-</v>
          </cell>
          <cell r="E4114" t="str">
            <v/>
          </cell>
          <cell r="G4114" t="str">
            <v/>
          </cell>
          <cell r="J4114" t="str">
            <v/>
          </cell>
          <cell r="O4114" t="str">
            <v/>
          </cell>
          <cell r="P4114" t="str">
            <v/>
          </cell>
          <cell r="Q4114" t="str">
            <v/>
          </cell>
          <cell r="S4114" t="str">
            <v/>
          </cell>
          <cell r="V4114" t="str">
            <v/>
          </cell>
          <cell r="Z4114" t="str">
            <v/>
          </cell>
          <cell r="AA4114" t="str">
            <v/>
          </cell>
          <cell r="AB4114" t="str">
            <v/>
          </cell>
          <cell r="AC4114" t="str">
            <v/>
          </cell>
          <cell r="AD4114" t="str">
            <v/>
          </cell>
          <cell r="AY4114" t="str">
            <v/>
          </cell>
          <cell r="AZ4114" t="str">
            <v/>
          </cell>
          <cell r="BA4114" t="str">
            <v/>
          </cell>
        </row>
        <row r="4115">
          <cell r="B4115" t="str">
            <v>-</v>
          </cell>
          <cell r="E4115" t="str">
            <v/>
          </cell>
          <cell r="G4115" t="str">
            <v/>
          </cell>
          <cell r="J4115" t="str">
            <v/>
          </cell>
          <cell r="O4115" t="str">
            <v/>
          </cell>
          <cell r="P4115" t="str">
            <v/>
          </cell>
          <cell r="Q4115" t="str">
            <v/>
          </cell>
          <cell r="S4115" t="str">
            <v/>
          </cell>
          <cell r="V4115" t="str">
            <v/>
          </cell>
          <cell r="Z4115" t="str">
            <v/>
          </cell>
          <cell r="AA4115" t="str">
            <v/>
          </cell>
          <cell r="AB4115" t="str">
            <v/>
          </cell>
          <cell r="AC4115" t="str">
            <v/>
          </cell>
          <cell r="AD4115" t="str">
            <v/>
          </cell>
          <cell r="AY4115" t="str">
            <v/>
          </cell>
          <cell r="AZ4115" t="str">
            <v/>
          </cell>
          <cell r="BA4115" t="str">
            <v/>
          </cell>
        </row>
        <row r="4116">
          <cell r="B4116" t="str">
            <v>-</v>
          </cell>
          <cell r="E4116" t="str">
            <v/>
          </cell>
          <cell r="G4116" t="str">
            <v/>
          </cell>
          <cell r="J4116" t="str">
            <v/>
          </cell>
          <cell r="O4116" t="str">
            <v/>
          </cell>
          <cell r="P4116" t="str">
            <v/>
          </cell>
          <cell r="Q4116" t="str">
            <v/>
          </cell>
          <cell r="S4116" t="str">
            <v/>
          </cell>
          <cell r="V4116" t="str">
            <v/>
          </cell>
          <cell r="Z4116" t="str">
            <v/>
          </cell>
          <cell r="AA4116" t="str">
            <v/>
          </cell>
          <cell r="AB4116" t="str">
            <v/>
          </cell>
          <cell r="AC4116" t="str">
            <v/>
          </cell>
          <cell r="AD4116" t="str">
            <v/>
          </cell>
          <cell r="AY4116" t="str">
            <v/>
          </cell>
          <cell r="AZ4116" t="str">
            <v/>
          </cell>
          <cell r="BA4116" t="str">
            <v/>
          </cell>
        </row>
        <row r="4117">
          <cell r="B4117" t="str">
            <v>-</v>
          </cell>
          <cell r="E4117" t="str">
            <v/>
          </cell>
          <cell r="G4117" t="str">
            <v/>
          </cell>
          <cell r="J4117" t="str">
            <v/>
          </cell>
          <cell r="O4117" t="str">
            <v/>
          </cell>
          <cell r="P4117" t="str">
            <v/>
          </cell>
          <cell r="Q4117" t="str">
            <v/>
          </cell>
          <cell r="S4117" t="str">
            <v/>
          </cell>
          <cell r="V4117" t="str">
            <v/>
          </cell>
          <cell r="Z4117" t="str">
            <v/>
          </cell>
          <cell r="AA4117" t="str">
            <v/>
          </cell>
          <cell r="AB4117" t="str">
            <v/>
          </cell>
          <cell r="AC4117" t="str">
            <v/>
          </cell>
          <cell r="AD4117" t="str">
            <v/>
          </cell>
          <cell r="AY4117" t="str">
            <v/>
          </cell>
          <cell r="AZ4117" t="str">
            <v/>
          </cell>
          <cell r="BA4117" t="str">
            <v/>
          </cell>
        </row>
        <row r="4118">
          <cell r="B4118" t="str">
            <v>-</v>
          </cell>
          <cell r="E4118" t="str">
            <v/>
          </cell>
          <cell r="G4118" t="str">
            <v/>
          </cell>
          <cell r="J4118" t="str">
            <v/>
          </cell>
          <cell r="O4118" t="str">
            <v/>
          </cell>
          <cell r="P4118" t="str">
            <v/>
          </cell>
          <cell r="Q4118" t="str">
            <v/>
          </cell>
          <cell r="S4118" t="str">
            <v/>
          </cell>
          <cell r="V4118" t="str">
            <v/>
          </cell>
          <cell r="Z4118" t="str">
            <v/>
          </cell>
          <cell r="AA4118" t="str">
            <v/>
          </cell>
          <cell r="AB4118" t="str">
            <v/>
          </cell>
          <cell r="AC4118" t="str">
            <v/>
          </cell>
          <cell r="AD4118" t="str">
            <v/>
          </cell>
          <cell r="AY4118" t="str">
            <v/>
          </cell>
          <cell r="AZ4118" t="str">
            <v/>
          </cell>
          <cell r="BA4118" t="str">
            <v/>
          </cell>
        </row>
        <row r="4119">
          <cell r="B4119" t="str">
            <v>-</v>
          </cell>
          <cell r="E4119" t="str">
            <v/>
          </cell>
          <cell r="G4119" t="str">
            <v/>
          </cell>
          <cell r="J4119" t="str">
            <v/>
          </cell>
          <cell r="O4119" t="str">
            <v/>
          </cell>
          <cell r="P4119" t="str">
            <v/>
          </cell>
          <cell r="Q4119" t="str">
            <v/>
          </cell>
          <cell r="S4119" t="str">
            <v/>
          </cell>
          <cell r="V4119" t="str">
            <v/>
          </cell>
          <cell r="Z4119" t="str">
            <v/>
          </cell>
          <cell r="AA4119" t="str">
            <v/>
          </cell>
          <cell r="AB4119" t="str">
            <v/>
          </cell>
          <cell r="AC4119" t="str">
            <v/>
          </cell>
          <cell r="AD4119" t="str">
            <v/>
          </cell>
          <cell r="AY4119" t="str">
            <v/>
          </cell>
          <cell r="AZ4119" t="str">
            <v/>
          </cell>
          <cell r="BA4119" t="str">
            <v/>
          </cell>
        </row>
        <row r="4120">
          <cell r="B4120" t="str">
            <v>-</v>
          </cell>
          <cell r="E4120" t="str">
            <v/>
          </cell>
          <cell r="G4120" t="str">
            <v/>
          </cell>
          <cell r="J4120" t="str">
            <v/>
          </cell>
          <cell r="O4120" t="str">
            <v/>
          </cell>
          <cell r="P4120" t="str">
            <v/>
          </cell>
          <cell r="Q4120" t="str">
            <v/>
          </cell>
          <cell r="S4120" t="str">
            <v/>
          </cell>
          <cell r="V4120" t="str">
            <v/>
          </cell>
          <cell r="Z4120" t="str">
            <v/>
          </cell>
          <cell r="AA4120" t="str">
            <v/>
          </cell>
          <cell r="AB4120" t="str">
            <v/>
          </cell>
          <cell r="AC4120" t="str">
            <v/>
          </cell>
          <cell r="AD4120" t="str">
            <v/>
          </cell>
          <cell r="AY4120" t="str">
            <v/>
          </cell>
          <cell r="AZ4120" t="str">
            <v/>
          </cell>
          <cell r="BA4120" t="str">
            <v/>
          </cell>
        </row>
        <row r="4121">
          <cell r="B4121" t="str">
            <v>-</v>
          </cell>
          <cell r="E4121" t="str">
            <v/>
          </cell>
          <cell r="G4121" t="str">
            <v/>
          </cell>
          <cell r="J4121" t="str">
            <v/>
          </cell>
          <cell r="O4121" t="str">
            <v/>
          </cell>
          <cell r="P4121" t="str">
            <v/>
          </cell>
          <cell r="Q4121" t="str">
            <v/>
          </cell>
          <cell r="S4121" t="str">
            <v/>
          </cell>
          <cell r="V4121" t="str">
            <v/>
          </cell>
          <cell r="Z4121" t="str">
            <v/>
          </cell>
          <cell r="AA4121" t="str">
            <v/>
          </cell>
          <cell r="AB4121" t="str">
            <v/>
          </cell>
          <cell r="AC4121" t="str">
            <v/>
          </cell>
          <cell r="AD4121" t="str">
            <v/>
          </cell>
          <cell r="AY4121" t="str">
            <v/>
          </cell>
          <cell r="AZ4121" t="str">
            <v/>
          </cell>
          <cell r="BA4121" t="str">
            <v/>
          </cell>
        </row>
        <row r="4122">
          <cell r="B4122" t="str">
            <v>-</v>
          </cell>
          <cell r="E4122" t="str">
            <v/>
          </cell>
          <cell r="G4122" t="str">
            <v/>
          </cell>
          <cell r="J4122" t="str">
            <v/>
          </cell>
          <cell r="O4122" t="str">
            <v/>
          </cell>
          <cell r="P4122" t="str">
            <v/>
          </cell>
          <cell r="Q4122" t="str">
            <v/>
          </cell>
          <cell r="S4122" t="str">
            <v/>
          </cell>
          <cell r="V4122" t="str">
            <v/>
          </cell>
          <cell r="Z4122" t="str">
            <v/>
          </cell>
          <cell r="AA4122" t="str">
            <v/>
          </cell>
          <cell r="AB4122" t="str">
            <v/>
          </cell>
          <cell r="AC4122" t="str">
            <v/>
          </cell>
          <cell r="AD4122" t="str">
            <v/>
          </cell>
          <cell r="AY4122" t="str">
            <v/>
          </cell>
          <cell r="AZ4122" t="str">
            <v/>
          </cell>
          <cell r="BA4122" t="str">
            <v/>
          </cell>
        </row>
        <row r="4123">
          <cell r="B4123" t="str">
            <v>-</v>
          </cell>
          <cell r="E4123" t="str">
            <v/>
          </cell>
          <cell r="G4123" t="str">
            <v/>
          </cell>
          <cell r="J4123" t="str">
            <v/>
          </cell>
          <cell r="O4123" t="str">
            <v/>
          </cell>
          <cell r="P4123" t="str">
            <v/>
          </cell>
          <cell r="Q4123" t="str">
            <v/>
          </cell>
          <cell r="S4123" t="str">
            <v/>
          </cell>
          <cell r="V4123" t="str">
            <v/>
          </cell>
          <cell r="Z4123" t="str">
            <v/>
          </cell>
          <cell r="AA4123" t="str">
            <v/>
          </cell>
          <cell r="AB4123" t="str">
            <v/>
          </cell>
          <cell r="AC4123" t="str">
            <v/>
          </cell>
          <cell r="AD4123" t="str">
            <v/>
          </cell>
          <cell r="AY4123" t="str">
            <v/>
          </cell>
          <cell r="AZ4123" t="str">
            <v/>
          </cell>
          <cell r="BA4123" t="str">
            <v/>
          </cell>
        </row>
        <row r="4124">
          <cell r="B4124" t="str">
            <v>-</v>
          </cell>
          <cell r="E4124" t="str">
            <v/>
          </cell>
          <cell r="G4124" t="str">
            <v/>
          </cell>
          <cell r="J4124" t="str">
            <v/>
          </cell>
          <cell r="O4124" t="str">
            <v/>
          </cell>
          <cell r="P4124" t="str">
            <v/>
          </cell>
          <cell r="Q4124" t="str">
            <v/>
          </cell>
          <cell r="S4124" t="str">
            <v/>
          </cell>
          <cell r="V4124" t="str">
            <v/>
          </cell>
          <cell r="Z4124" t="str">
            <v/>
          </cell>
          <cell r="AA4124" t="str">
            <v/>
          </cell>
          <cell r="AB4124" t="str">
            <v/>
          </cell>
          <cell r="AC4124" t="str">
            <v/>
          </cell>
          <cell r="AD4124" t="str">
            <v/>
          </cell>
          <cell r="AY4124" t="str">
            <v/>
          </cell>
          <cell r="AZ4124" t="str">
            <v/>
          </cell>
          <cell r="BA4124" t="str">
            <v/>
          </cell>
        </row>
        <row r="4125">
          <cell r="B4125" t="str">
            <v>-</v>
          </cell>
          <cell r="E4125" t="str">
            <v/>
          </cell>
          <cell r="G4125" t="str">
            <v/>
          </cell>
          <cell r="J4125" t="str">
            <v/>
          </cell>
          <cell r="O4125" t="str">
            <v/>
          </cell>
          <cell r="P4125" t="str">
            <v/>
          </cell>
          <cell r="Q4125" t="str">
            <v/>
          </cell>
          <cell r="S4125" t="str">
            <v/>
          </cell>
          <cell r="V4125" t="str">
            <v/>
          </cell>
          <cell r="Z4125" t="str">
            <v/>
          </cell>
          <cell r="AA4125" t="str">
            <v/>
          </cell>
          <cell r="AB4125" t="str">
            <v/>
          </cell>
          <cell r="AC4125" t="str">
            <v/>
          </cell>
          <cell r="AD4125" t="str">
            <v/>
          </cell>
          <cell r="AY4125" t="str">
            <v/>
          </cell>
          <cell r="AZ4125" t="str">
            <v/>
          </cell>
          <cell r="BA4125" t="str">
            <v/>
          </cell>
        </row>
        <row r="4126">
          <cell r="B4126" t="str">
            <v>-</v>
          </cell>
          <cell r="E4126" t="str">
            <v/>
          </cell>
          <cell r="G4126" t="str">
            <v/>
          </cell>
          <cell r="J4126" t="str">
            <v/>
          </cell>
          <cell r="O4126" t="str">
            <v/>
          </cell>
          <cell r="P4126" t="str">
            <v/>
          </cell>
          <cell r="Q4126" t="str">
            <v/>
          </cell>
          <cell r="S4126" t="str">
            <v/>
          </cell>
          <cell r="V4126" t="str">
            <v/>
          </cell>
          <cell r="Z4126" t="str">
            <v/>
          </cell>
          <cell r="AA4126" t="str">
            <v/>
          </cell>
          <cell r="AB4126" t="str">
            <v/>
          </cell>
          <cell r="AC4126" t="str">
            <v/>
          </cell>
          <cell r="AD4126" t="str">
            <v/>
          </cell>
          <cell r="AY4126" t="str">
            <v/>
          </cell>
          <cell r="AZ4126" t="str">
            <v/>
          </cell>
          <cell r="BA4126" t="str">
            <v/>
          </cell>
        </row>
        <row r="4127">
          <cell r="B4127" t="str">
            <v>-</v>
          </cell>
          <cell r="E4127" t="str">
            <v/>
          </cell>
          <cell r="G4127" t="str">
            <v/>
          </cell>
          <cell r="J4127" t="str">
            <v/>
          </cell>
          <cell r="O4127" t="str">
            <v/>
          </cell>
          <cell r="P4127" t="str">
            <v/>
          </cell>
          <cell r="Q4127" t="str">
            <v/>
          </cell>
          <cell r="S4127" t="str">
            <v/>
          </cell>
          <cell r="V4127" t="str">
            <v/>
          </cell>
          <cell r="Z4127" t="str">
            <v/>
          </cell>
          <cell r="AA4127" t="str">
            <v/>
          </cell>
          <cell r="AB4127" t="str">
            <v/>
          </cell>
          <cell r="AC4127" t="str">
            <v/>
          </cell>
          <cell r="AD4127" t="str">
            <v/>
          </cell>
          <cell r="AY4127" t="str">
            <v/>
          </cell>
          <cell r="AZ4127" t="str">
            <v/>
          </cell>
          <cell r="BA4127" t="str">
            <v/>
          </cell>
        </row>
        <row r="4128">
          <cell r="B4128" t="str">
            <v>-</v>
          </cell>
          <cell r="E4128" t="str">
            <v/>
          </cell>
          <cell r="G4128" t="str">
            <v/>
          </cell>
          <cell r="J4128" t="str">
            <v/>
          </cell>
          <cell r="O4128" t="str">
            <v/>
          </cell>
          <cell r="P4128" t="str">
            <v/>
          </cell>
          <cell r="Q4128" t="str">
            <v/>
          </cell>
          <cell r="S4128" t="str">
            <v/>
          </cell>
          <cell r="V4128" t="str">
            <v/>
          </cell>
          <cell r="Z4128" t="str">
            <v/>
          </cell>
          <cell r="AA4128" t="str">
            <v/>
          </cell>
          <cell r="AB4128" t="str">
            <v/>
          </cell>
          <cell r="AC4128" t="str">
            <v/>
          </cell>
          <cell r="AD4128" t="str">
            <v/>
          </cell>
          <cell r="AY4128" t="str">
            <v/>
          </cell>
          <cell r="AZ4128" t="str">
            <v/>
          </cell>
          <cell r="BA4128" t="str">
            <v/>
          </cell>
        </row>
        <row r="4129">
          <cell r="B4129" t="str">
            <v>-</v>
          </cell>
          <cell r="E4129" t="str">
            <v/>
          </cell>
          <cell r="G4129" t="str">
            <v/>
          </cell>
          <cell r="J4129" t="str">
            <v/>
          </cell>
          <cell r="O4129" t="str">
            <v/>
          </cell>
          <cell r="P4129" t="str">
            <v/>
          </cell>
          <cell r="Q4129" t="str">
            <v/>
          </cell>
          <cell r="S4129" t="str">
            <v/>
          </cell>
          <cell r="V4129" t="str">
            <v/>
          </cell>
          <cell r="Z4129" t="str">
            <v/>
          </cell>
          <cell r="AA4129" t="str">
            <v/>
          </cell>
          <cell r="AB4129" t="str">
            <v/>
          </cell>
          <cell r="AC4129" t="str">
            <v/>
          </cell>
          <cell r="AD4129" t="str">
            <v/>
          </cell>
          <cell r="AY4129" t="str">
            <v/>
          </cell>
          <cell r="AZ4129" t="str">
            <v/>
          </cell>
          <cell r="BA4129" t="str">
            <v/>
          </cell>
        </row>
        <row r="4130">
          <cell r="B4130" t="str">
            <v>-</v>
          </cell>
          <cell r="E4130" t="str">
            <v/>
          </cell>
          <cell r="G4130" t="str">
            <v/>
          </cell>
          <cell r="J4130" t="str">
            <v/>
          </cell>
          <cell r="O4130" t="str">
            <v/>
          </cell>
          <cell r="P4130" t="str">
            <v/>
          </cell>
          <cell r="Q4130" t="str">
            <v/>
          </cell>
          <cell r="S4130" t="str">
            <v/>
          </cell>
          <cell r="V4130" t="str">
            <v/>
          </cell>
          <cell r="Z4130" t="str">
            <v/>
          </cell>
          <cell r="AA4130" t="str">
            <v/>
          </cell>
          <cell r="AB4130" t="str">
            <v/>
          </cell>
          <cell r="AC4130" t="str">
            <v/>
          </cell>
          <cell r="AD4130" t="str">
            <v/>
          </cell>
          <cell r="AY4130" t="str">
            <v/>
          </cell>
          <cell r="AZ4130" t="str">
            <v/>
          </cell>
          <cell r="BA4130" t="str">
            <v/>
          </cell>
        </row>
        <row r="4131">
          <cell r="B4131" t="str">
            <v>-</v>
          </cell>
          <cell r="E4131" t="str">
            <v/>
          </cell>
          <cell r="G4131" t="str">
            <v/>
          </cell>
          <cell r="J4131" t="str">
            <v/>
          </cell>
          <cell r="O4131" t="str">
            <v/>
          </cell>
          <cell r="P4131" t="str">
            <v/>
          </cell>
          <cell r="Q4131" t="str">
            <v/>
          </cell>
          <cell r="S4131" t="str">
            <v/>
          </cell>
          <cell r="V4131" t="str">
            <v/>
          </cell>
          <cell r="Z4131" t="str">
            <v/>
          </cell>
          <cell r="AA4131" t="str">
            <v/>
          </cell>
          <cell r="AB4131" t="str">
            <v/>
          </cell>
          <cell r="AC4131" t="str">
            <v/>
          </cell>
          <cell r="AD4131" t="str">
            <v/>
          </cell>
          <cell r="AY4131" t="str">
            <v/>
          </cell>
          <cell r="AZ4131" t="str">
            <v/>
          </cell>
          <cell r="BA4131" t="str">
            <v/>
          </cell>
        </row>
        <row r="4132">
          <cell r="B4132" t="str">
            <v>-</v>
          </cell>
          <cell r="E4132" t="str">
            <v/>
          </cell>
          <cell r="G4132" t="str">
            <v/>
          </cell>
          <cell r="J4132" t="str">
            <v/>
          </cell>
          <cell r="O4132" t="str">
            <v/>
          </cell>
          <cell r="P4132" t="str">
            <v/>
          </cell>
          <cell r="Q4132" t="str">
            <v/>
          </cell>
          <cell r="S4132" t="str">
            <v/>
          </cell>
          <cell r="V4132" t="str">
            <v/>
          </cell>
          <cell r="Z4132" t="str">
            <v/>
          </cell>
          <cell r="AA4132" t="str">
            <v/>
          </cell>
          <cell r="AB4132" t="str">
            <v/>
          </cell>
          <cell r="AC4132" t="str">
            <v/>
          </cell>
          <cell r="AD4132" t="str">
            <v/>
          </cell>
          <cell r="AY4132" t="str">
            <v/>
          </cell>
          <cell r="AZ4132" t="str">
            <v/>
          </cell>
          <cell r="BA4132" t="str">
            <v/>
          </cell>
        </row>
        <row r="4133">
          <cell r="B4133" t="str">
            <v>-</v>
          </cell>
          <cell r="E4133" t="str">
            <v/>
          </cell>
          <cell r="G4133" t="str">
            <v/>
          </cell>
          <cell r="J4133" t="str">
            <v/>
          </cell>
          <cell r="O4133" t="str">
            <v/>
          </cell>
          <cell r="P4133" t="str">
            <v/>
          </cell>
          <cell r="Q4133" t="str">
            <v/>
          </cell>
          <cell r="S4133" t="str">
            <v/>
          </cell>
          <cell r="V4133" t="str">
            <v/>
          </cell>
          <cell r="Z4133" t="str">
            <v/>
          </cell>
          <cell r="AA4133" t="str">
            <v/>
          </cell>
          <cell r="AB4133" t="str">
            <v/>
          </cell>
          <cell r="AC4133" t="str">
            <v/>
          </cell>
          <cell r="AD4133" t="str">
            <v/>
          </cell>
          <cell r="AY4133" t="str">
            <v/>
          </cell>
          <cell r="AZ4133" t="str">
            <v/>
          </cell>
          <cell r="BA4133" t="str">
            <v/>
          </cell>
        </row>
        <row r="4134">
          <cell r="B4134" t="str">
            <v>-</v>
          </cell>
          <cell r="E4134" t="str">
            <v/>
          </cell>
          <cell r="G4134" t="str">
            <v/>
          </cell>
          <cell r="J4134" t="str">
            <v/>
          </cell>
          <cell r="O4134" t="str">
            <v/>
          </cell>
          <cell r="P4134" t="str">
            <v/>
          </cell>
          <cell r="Q4134" t="str">
            <v/>
          </cell>
          <cell r="S4134" t="str">
            <v/>
          </cell>
          <cell r="V4134" t="str">
            <v/>
          </cell>
          <cell r="Z4134" t="str">
            <v/>
          </cell>
          <cell r="AA4134" t="str">
            <v/>
          </cell>
          <cell r="AB4134" t="str">
            <v/>
          </cell>
          <cell r="AC4134" t="str">
            <v/>
          </cell>
          <cell r="AD4134" t="str">
            <v/>
          </cell>
          <cell r="AY4134" t="str">
            <v/>
          </cell>
          <cell r="AZ4134" t="str">
            <v/>
          </cell>
          <cell r="BA4134" t="str">
            <v/>
          </cell>
        </row>
        <row r="4135">
          <cell r="B4135" t="str">
            <v>-</v>
          </cell>
          <cell r="E4135" t="str">
            <v/>
          </cell>
          <cell r="G4135" t="str">
            <v/>
          </cell>
          <cell r="J4135" t="str">
            <v/>
          </cell>
          <cell r="O4135" t="str">
            <v/>
          </cell>
          <cell r="P4135" t="str">
            <v/>
          </cell>
          <cell r="Q4135" t="str">
            <v/>
          </cell>
          <cell r="S4135" t="str">
            <v/>
          </cell>
          <cell r="V4135" t="str">
            <v/>
          </cell>
          <cell r="Z4135" t="str">
            <v/>
          </cell>
          <cell r="AA4135" t="str">
            <v/>
          </cell>
          <cell r="AB4135" t="str">
            <v/>
          </cell>
          <cell r="AC4135" t="str">
            <v/>
          </cell>
          <cell r="AD4135" t="str">
            <v/>
          </cell>
          <cell r="AY4135" t="str">
            <v/>
          </cell>
          <cell r="AZ4135" t="str">
            <v/>
          </cell>
          <cell r="BA4135" t="str">
            <v/>
          </cell>
        </row>
        <row r="4136">
          <cell r="B4136" t="str">
            <v>-</v>
          </cell>
          <cell r="E4136" t="str">
            <v/>
          </cell>
          <cell r="G4136" t="str">
            <v/>
          </cell>
          <cell r="J4136" t="str">
            <v/>
          </cell>
          <cell r="O4136" t="str">
            <v/>
          </cell>
          <cell r="P4136" t="str">
            <v/>
          </cell>
          <cell r="Q4136" t="str">
            <v/>
          </cell>
          <cell r="S4136" t="str">
            <v/>
          </cell>
          <cell r="V4136" t="str">
            <v/>
          </cell>
          <cell r="Z4136" t="str">
            <v/>
          </cell>
          <cell r="AA4136" t="str">
            <v/>
          </cell>
          <cell r="AB4136" t="str">
            <v/>
          </cell>
          <cell r="AC4136" t="str">
            <v/>
          </cell>
          <cell r="AD4136" t="str">
            <v/>
          </cell>
          <cell r="AY4136" t="str">
            <v/>
          </cell>
          <cell r="AZ4136" t="str">
            <v/>
          </cell>
          <cell r="BA4136" t="str">
            <v/>
          </cell>
        </row>
        <row r="4137">
          <cell r="B4137" t="str">
            <v>-</v>
          </cell>
          <cell r="E4137" t="str">
            <v/>
          </cell>
          <cell r="G4137" t="str">
            <v/>
          </cell>
          <cell r="J4137" t="str">
            <v/>
          </cell>
          <cell r="O4137" t="str">
            <v/>
          </cell>
          <cell r="P4137" t="str">
            <v/>
          </cell>
          <cell r="Q4137" t="str">
            <v/>
          </cell>
          <cell r="S4137" t="str">
            <v/>
          </cell>
          <cell r="V4137" t="str">
            <v/>
          </cell>
          <cell r="Z4137" t="str">
            <v/>
          </cell>
          <cell r="AA4137" t="str">
            <v/>
          </cell>
          <cell r="AB4137" t="str">
            <v/>
          </cell>
          <cell r="AC4137" t="str">
            <v/>
          </cell>
          <cell r="AD4137" t="str">
            <v/>
          </cell>
          <cell r="AY4137" t="str">
            <v/>
          </cell>
          <cell r="AZ4137" t="str">
            <v/>
          </cell>
          <cell r="BA4137" t="str">
            <v/>
          </cell>
        </row>
        <row r="4138">
          <cell r="B4138" t="str">
            <v>-</v>
          </cell>
          <cell r="E4138" t="str">
            <v/>
          </cell>
          <cell r="G4138" t="str">
            <v/>
          </cell>
          <cell r="J4138" t="str">
            <v/>
          </cell>
          <cell r="O4138" t="str">
            <v/>
          </cell>
          <cell r="P4138" t="str">
            <v/>
          </cell>
          <cell r="Q4138" t="str">
            <v/>
          </cell>
          <cell r="S4138" t="str">
            <v/>
          </cell>
          <cell r="V4138" t="str">
            <v/>
          </cell>
          <cell r="Z4138" t="str">
            <v/>
          </cell>
          <cell r="AA4138" t="str">
            <v/>
          </cell>
          <cell r="AB4138" t="str">
            <v/>
          </cell>
          <cell r="AC4138" t="str">
            <v/>
          </cell>
          <cell r="AD4138" t="str">
            <v/>
          </cell>
          <cell r="AY4138" t="str">
            <v/>
          </cell>
          <cell r="AZ4138" t="str">
            <v/>
          </cell>
          <cell r="BA4138" t="str">
            <v/>
          </cell>
        </row>
        <row r="4139">
          <cell r="B4139" t="str">
            <v>-</v>
          </cell>
          <cell r="E4139" t="str">
            <v/>
          </cell>
          <cell r="G4139" t="str">
            <v/>
          </cell>
          <cell r="J4139" t="str">
            <v/>
          </cell>
          <cell r="O4139" t="str">
            <v/>
          </cell>
          <cell r="P4139" t="str">
            <v/>
          </cell>
          <cell r="Q4139" t="str">
            <v/>
          </cell>
          <cell r="S4139" t="str">
            <v/>
          </cell>
          <cell r="V4139" t="str">
            <v/>
          </cell>
          <cell r="Z4139" t="str">
            <v/>
          </cell>
          <cell r="AA4139" t="str">
            <v/>
          </cell>
          <cell r="AB4139" t="str">
            <v/>
          </cell>
          <cell r="AC4139" t="str">
            <v/>
          </cell>
          <cell r="AD4139" t="str">
            <v/>
          </cell>
          <cell r="AY4139" t="str">
            <v/>
          </cell>
          <cell r="AZ4139" t="str">
            <v/>
          </cell>
          <cell r="BA4139" t="str">
            <v/>
          </cell>
        </row>
        <row r="4140">
          <cell r="B4140" t="str">
            <v>-</v>
          </cell>
          <cell r="E4140" t="str">
            <v/>
          </cell>
          <cell r="G4140" t="str">
            <v/>
          </cell>
          <cell r="J4140" t="str">
            <v/>
          </cell>
          <cell r="O4140" t="str">
            <v/>
          </cell>
          <cell r="P4140" t="str">
            <v/>
          </cell>
          <cell r="Q4140" t="str">
            <v/>
          </cell>
          <cell r="S4140" t="str">
            <v/>
          </cell>
          <cell r="V4140" t="str">
            <v/>
          </cell>
          <cell r="Z4140" t="str">
            <v/>
          </cell>
          <cell r="AA4140" t="str">
            <v/>
          </cell>
          <cell r="AB4140" t="str">
            <v/>
          </cell>
          <cell r="AC4140" t="str">
            <v/>
          </cell>
          <cell r="AD4140" t="str">
            <v/>
          </cell>
          <cell r="AY4140" t="str">
            <v/>
          </cell>
          <cell r="AZ4140" t="str">
            <v/>
          </cell>
          <cell r="BA4140" t="str">
            <v/>
          </cell>
        </row>
        <row r="4141">
          <cell r="B4141" t="str">
            <v>-</v>
          </cell>
          <cell r="E4141" t="str">
            <v/>
          </cell>
          <cell r="G4141" t="str">
            <v/>
          </cell>
          <cell r="J4141" t="str">
            <v/>
          </cell>
          <cell r="O4141" t="str">
            <v/>
          </cell>
          <cell r="P4141" t="str">
            <v/>
          </cell>
          <cell r="Q4141" t="str">
            <v/>
          </cell>
          <cell r="S4141" t="str">
            <v/>
          </cell>
          <cell r="V4141" t="str">
            <v/>
          </cell>
          <cell r="Z4141" t="str">
            <v/>
          </cell>
          <cell r="AA4141" t="str">
            <v/>
          </cell>
          <cell r="AB4141" t="str">
            <v/>
          </cell>
          <cell r="AC4141" t="str">
            <v/>
          </cell>
          <cell r="AD4141" t="str">
            <v/>
          </cell>
          <cell r="AY4141" t="str">
            <v/>
          </cell>
          <cell r="AZ4141" t="str">
            <v/>
          </cell>
          <cell r="BA4141" t="str">
            <v/>
          </cell>
        </row>
        <row r="4142">
          <cell r="B4142" t="str">
            <v>-</v>
          </cell>
          <cell r="E4142" t="str">
            <v/>
          </cell>
          <cell r="G4142" t="str">
            <v/>
          </cell>
          <cell r="J4142" t="str">
            <v/>
          </cell>
          <cell r="O4142" t="str">
            <v/>
          </cell>
          <cell r="P4142" t="str">
            <v/>
          </cell>
          <cell r="Q4142" t="str">
            <v/>
          </cell>
          <cell r="S4142" t="str">
            <v/>
          </cell>
          <cell r="V4142" t="str">
            <v/>
          </cell>
          <cell r="Z4142" t="str">
            <v/>
          </cell>
          <cell r="AA4142" t="str">
            <v/>
          </cell>
          <cell r="AB4142" t="str">
            <v/>
          </cell>
          <cell r="AC4142" t="str">
            <v/>
          </cell>
          <cell r="AD4142" t="str">
            <v/>
          </cell>
          <cell r="AY4142" t="str">
            <v/>
          </cell>
          <cell r="AZ4142" t="str">
            <v/>
          </cell>
          <cell r="BA4142" t="str">
            <v/>
          </cell>
        </row>
        <row r="4143">
          <cell r="B4143" t="str">
            <v>-</v>
          </cell>
          <cell r="E4143" t="str">
            <v/>
          </cell>
          <cell r="G4143" t="str">
            <v/>
          </cell>
          <cell r="J4143" t="str">
            <v/>
          </cell>
          <cell r="O4143" t="str">
            <v/>
          </cell>
          <cell r="P4143" t="str">
            <v/>
          </cell>
          <cell r="Q4143" t="str">
            <v/>
          </cell>
          <cell r="S4143" t="str">
            <v/>
          </cell>
          <cell r="V4143" t="str">
            <v/>
          </cell>
          <cell r="Z4143" t="str">
            <v/>
          </cell>
          <cell r="AA4143" t="str">
            <v/>
          </cell>
          <cell r="AB4143" t="str">
            <v/>
          </cell>
          <cell r="AC4143" t="str">
            <v/>
          </cell>
          <cell r="AD4143" t="str">
            <v/>
          </cell>
          <cell r="AY4143" t="str">
            <v/>
          </cell>
          <cell r="AZ4143" t="str">
            <v/>
          </cell>
          <cell r="BA4143" t="str">
            <v/>
          </cell>
        </row>
        <row r="4144">
          <cell r="B4144" t="str">
            <v>-</v>
          </cell>
          <cell r="E4144" t="str">
            <v/>
          </cell>
          <cell r="G4144" t="str">
            <v/>
          </cell>
          <cell r="J4144" t="str">
            <v/>
          </cell>
          <cell r="O4144" t="str">
            <v/>
          </cell>
          <cell r="P4144" t="str">
            <v/>
          </cell>
          <cell r="Q4144" t="str">
            <v/>
          </cell>
          <cell r="S4144" t="str">
            <v/>
          </cell>
          <cell r="V4144" t="str">
            <v/>
          </cell>
          <cell r="Z4144" t="str">
            <v/>
          </cell>
          <cell r="AA4144" t="str">
            <v/>
          </cell>
          <cell r="AB4144" t="str">
            <v/>
          </cell>
          <cell r="AC4144" t="str">
            <v/>
          </cell>
          <cell r="AD4144" t="str">
            <v/>
          </cell>
          <cell r="AY4144" t="str">
            <v/>
          </cell>
          <cell r="AZ4144" t="str">
            <v/>
          </cell>
          <cell r="BA4144" t="str">
            <v/>
          </cell>
        </row>
        <row r="4145">
          <cell r="B4145" t="str">
            <v>-</v>
          </cell>
          <cell r="E4145" t="str">
            <v/>
          </cell>
          <cell r="G4145" t="str">
            <v/>
          </cell>
          <cell r="J4145" t="str">
            <v/>
          </cell>
          <cell r="O4145" t="str">
            <v/>
          </cell>
          <cell r="P4145" t="str">
            <v/>
          </cell>
          <cell r="Q4145" t="str">
            <v/>
          </cell>
          <cell r="S4145" t="str">
            <v/>
          </cell>
          <cell r="V4145" t="str">
            <v/>
          </cell>
          <cell r="Z4145" t="str">
            <v/>
          </cell>
          <cell r="AA4145" t="str">
            <v/>
          </cell>
          <cell r="AB4145" t="str">
            <v/>
          </cell>
          <cell r="AC4145" t="str">
            <v/>
          </cell>
          <cell r="AD4145" t="str">
            <v/>
          </cell>
          <cell r="AY4145" t="str">
            <v/>
          </cell>
          <cell r="AZ4145" t="str">
            <v/>
          </cell>
          <cell r="BA4145" t="str">
            <v/>
          </cell>
        </row>
        <row r="4146">
          <cell r="B4146" t="str">
            <v>-</v>
          </cell>
          <cell r="E4146" t="str">
            <v/>
          </cell>
          <cell r="G4146" t="str">
            <v/>
          </cell>
          <cell r="J4146" t="str">
            <v/>
          </cell>
          <cell r="O4146" t="str">
            <v/>
          </cell>
          <cell r="P4146" t="str">
            <v/>
          </cell>
          <cell r="Q4146" t="str">
            <v/>
          </cell>
          <cell r="S4146" t="str">
            <v/>
          </cell>
          <cell r="V4146" t="str">
            <v/>
          </cell>
          <cell r="Z4146" t="str">
            <v/>
          </cell>
          <cell r="AA4146" t="str">
            <v/>
          </cell>
          <cell r="AB4146" t="str">
            <v/>
          </cell>
          <cell r="AC4146" t="str">
            <v/>
          </cell>
          <cell r="AD4146" t="str">
            <v/>
          </cell>
          <cell r="AY4146" t="str">
            <v/>
          </cell>
          <cell r="AZ4146" t="str">
            <v/>
          </cell>
          <cell r="BA4146" t="str">
            <v/>
          </cell>
        </row>
        <row r="4147">
          <cell r="B4147" t="str">
            <v>-</v>
          </cell>
          <cell r="E4147" t="str">
            <v/>
          </cell>
          <cell r="G4147" t="str">
            <v/>
          </cell>
          <cell r="J4147" t="str">
            <v/>
          </cell>
          <cell r="O4147" t="str">
            <v/>
          </cell>
          <cell r="P4147" t="str">
            <v/>
          </cell>
          <cell r="Q4147" t="str">
            <v/>
          </cell>
          <cell r="S4147" t="str">
            <v/>
          </cell>
          <cell r="V4147" t="str">
            <v/>
          </cell>
          <cell r="Z4147" t="str">
            <v/>
          </cell>
          <cell r="AA4147" t="str">
            <v/>
          </cell>
          <cell r="AB4147" t="str">
            <v/>
          </cell>
          <cell r="AC4147" t="str">
            <v/>
          </cell>
          <cell r="AD4147" t="str">
            <v/>
          </cell>
          <cell r="AY4147" t="str">
            <v/>
          </cell>
          <cell r="AZ4147" t="str">
            <v/>
          </cell>
          <cell r="BA4147" t="str">
            <v/>
          </cell>
        </row>
        <row r="4148">
          <cell r="B4148" t="str">
            <v>-</v>
          </cell>
          <cell r="E4148" t="str">
            <v/>
          </cell>
          <cell r="G4148" t="str">
            <v/>
          </cell>
          <cell r="J4148" t="str">
            <v/>
          </cell>
          <cell r="O4148" t="str">
            <v/>
          </cell>
          <cell r="P4148" t="str">
            <v/>
          </cell>
          <cell r="Q4148" t="str">
            <v/>
          </cell>
          <cell r="S4148" t="str">
            <v/>
          </cell>
          <cell r="V4148" t="str">
            <v/>
          </cell>
          <cell r="Z4148" t="str">
            <v/>
          </cell>
          <cell r="AA4148" t="str">
            <v/>
          </cell>
          <cell r="AB4148" t="str">
            <v/>
          </cell>
          <cell r="AC4148" t="str">
            <v/>
          </cell>
          <cell r="AD4148" t="str">
            <v/>
          </cell>
          <cell r="AY4148" t="str">
            <v/>
          </cell>
          <cell r="AZ4148" t="str">
            <v/>
          </cell>
          <cell r="BA4148" t="str">
            <v/>
          </cell>
        </row>
        <row r="4149">
          <cell r="B4149" t="str">
            <v>-</v>
          </cell>
          <cell r="E4149" t="str">
            <v/>
          </cell>
          <cell r="G4149" t="str">
            <v/>
          </cell>
          <cell r="J4149" t="str">
            <v/>
          </cell>
          <cell r="O4149" t="str">
            <v/>
          </cell>
          <cell r="P4149" t="str">
            <v/>
          </cell>
          <cell r="Q4149" t="str">
            <v/>
          </cell>
          <cell r="S4149" t="str">
            <v/>
          </cell>
          <cell r="V4149" t="str">
            <v/>
          </cell>
          <cell r="Z4149" t="str">
            <v/>
          </cell>
          <cell r="AA4149" t="str">
            <v/>
          </cell>
          <cell r="AB4149" t="str">
            <v/>
          </cell>
          <cell r="AC4149" t="str">
            <v/>
          </cell>
          <cell r="AD4149" t="str">
            <v/>
          </cell>
          <cell r="AY4149" t="str">
            <v/>
          </cell>
          <cell r="AZ4149" t="str">
            <v/>
          </cell>
          <cell r="BA4149" t="str">
            <v/>
          </cell>
        </row>
        <row r="4150">
          <cell r="B4150" t="str">
            <v>-</v>
          </cell>
          <cell r="E4150" t="str">
            <v/>
          </cell>
          <cell r="G4150" t="str">
            <v/>
          </cell>
          <cell r="J4150" t="str">
            <v/>
          </cell>
          <cell r="O4150" t="str">
            <v/>
          </cell>
          <cell r="P4150" t="str">
            <v/>
          </cell>
          <cell r="Q4150" t="str">
            <v/>
          </cell>
          <cell r="S4150" t="str">
            <v/>
          </cell>
          <cell r="V4150" t="str">
            <v/>
          </cell>
          <cell r="Z4150" t="str">
            <v/>
          </cell>
          <cell r="AA4150" t="str">
            <v/>
          </cell>
          <cell r="AB4150" t="str">
            <v/>
          </cell>
          <cell r="AC4150" t="str">
            <v/>
          </cell>
          <cell r="AD4150" t="str">
            <v/>
          </cell>
          <cell r="AY4150" t="str">
            <v/>
          </cell>
          <cell r="AZ4150" t="str">
            <v/>
          </cell>
          <cell r="BA4150" t="str">
            <v/>
          </cell>
        </row>
        <row r="4151">
          <cell r="B4151" t="str">
            <v>-</v>
          </cell>
          <cell r="E4151" t="str">
            <v/>
          </cell>
          <cell r="G4151" t="str">
            <v/>
          </cell>
          <cell r="J4151" t="str">
            <v/>
          </cell>
          <cell r="O4151" t="str">
            <v/>
          </cell>
          <cell r="P4151" t="str">
            <v/>
          </cell>
          <cell r="Q4151" t="str">
            <v/>
          </cell>
          <cell r="S4151" t="str">
            <v/>
          </cell>
          <cell r="V4151" t="str">
            <v/>
          </cell>
          <cell r="Z4151" t="str">
            <v/>
          </cell>
          <cell r="AA4151" t="str">
            <v/>
          </cell>
          <cell r="AB4151" t="str">
            <v/>
          </cell>
          <cell r="AC4151" t="str">
            <v/>
          </cell>
          <cell r="AD4151" t="str">
            <v/>
          </cell>
          <cell r="AY4151" t="str">
            <v/>
          </cell>
          <cell r="AZ4151" t="str">
            <v/>
          </cell>
          <cell r="BA4151" t="str">
            <v/>
          </cell>
        </row>
        <row r="4152">
          <cell r="B4152" t="str">
            <v>-</v>
          </cell>
          <cell r="E4152" t="str">
            <v/>
          </cell>
          <cell r="G4152" t="str">
            <v/>
          </cell>
          <cell r="J4152" t="str">
            <v/>
          </cell>
          <cell r="O4152" t="str">
            <v/>
          </cell>
          <cell r="P4152" t="str">
            <v/>
          </cell>
          <cell r="Q4152" t="str">
            <v/>
          </cell>
          <cell r="S4152" t="str">
            <v/>
          </cell>
          <cell r="V4152" t="str">
            <v/>
          </cell>
          <cell r="Z4152" t="str">
            <v/>
          </cell>
          <cell r="AA4152" t="str">
            <v/>
          </cell>
          <cell r="AB4152" t="str">
            <v/>
          </cell>
          <cell r="AC4152" t="str">
            <v/>
          </cell>
          <cell r="AD4152" t="str">
            <v/>
          </cell>
          <cell r="AY4152" t="str">
            <v/>
          </cell>
          <cell r="AZ4152" t="str">
            <v/>
          </cell>
          <cell r="BA4152" t="str">
            <v/>
          </cell>
        </row>
        <row r="4153">
          <cell r="B4153" t="str">
            <v>-</v>
          </cell>
          <cell r="E4153" t="str">
            <v/>
          </cell>
          <cell r="G4153" t="str">
            <v/>
          </cell>
          <cell r="J4153" t="str">
            <v/>
          </cell>
          <cell r="O4153" t="str">
            <v/>
          </cell>
          <cell r="P4153" t="str">
            <v/>
          </cell>
          <cell r="Q4153" t="str">
            <v/>
          </cell>
          <cell r="S4153" t="str">
            <v/>
          </cell>
          <cell r="V4153" t="str">
            <v/>
          </cell>
          <cell r="Z4153" t="str">
            <v/>
          </cell>
          <cell r="AA4153" t="str">
            <v/>
          </cell>
          <cell r="AB4153" t="str">
            <v/>
          </cell>
          <cell r="AC4153" t="str">
            <v/>
          </cell>
          <cell r="AD4153" t="str">
            <v/>
          </cell>
          <cell r="AY4153" t="str">
            <v/>
          </cell>
          <cell r="AZ4153" t="str">
            <v/>
          </cell>
          <cell r="BA4153" t="str">
            <v/>
          </cell>
        </row>
        <row r="4154">
          <cell r="B4154" t="str">
            <v>-</v>
          </cell>
          <cell r="E4154" t="str">
            <v/>
          </cell>
          <cell r="G4154" t="str">
            <v/>
          </cell>
          <cell r="J4154" t="str">
            <v/>
          </cell>
          <cell r="O4154" t="str">
            <v/>
          </cell>
          <cell r="P4154" t="str">
            <v/>
          </cell>
          <cell r="Q4154" t="str">
            <v/>
          </cell>
          <cell r="S4154" t="str">
            <v/>
          </cell>
          <cell r="V4154" t="str">
            <v/>
          </cell>
          <cell r="Z4154" t="str">
            <v/>
          </cell>
          <cell r="AA4154" t="str">
            <v/>
          </cell>
          <cell r="AB4154" t="str">
            <v/>
          </cell>
          <cell r="AC4154" t="str">
            <v/>
          </cell>
          <cell r="AD4154" t="str">
            <v/>
          </cell>
          <cell r="AY4154" t="str">
            <v/>
          </cell>
          <cell r="AZ4154" t="str">
            <v/>
          </cell>
          <cell r="BA4154" t="str">
            <v/>
          </cell>
        </row>
        <row r="4155">
          <cell r="B4155" t="str">
            <v>-</v>
          </cell>
          <cell r="E4155" t="str">
            <v/>
          </cell>
          <cell r="G4155" t="str">
            <v/>
          </cell>
          <cell r="J4155" t="str">
            <v/>
          </cell>
          <cell r="O4155" t="str">
            <v/>
          </cell>
          <cell r="P4155" t="str">
            <v/>
          </cell>
          <cell r="Q4155" t="str">
            <v/>
          </cell>
          <cell r="S4155" t="str">
            <v/>
          </cell>
          <cell r="V4155" t="str">
            <v/>
          </cell>
          <cell r="Z4155" t="str">
            <v/>
          </cell>
          <cell r="AA4155" t="str">
            <v/>
          </cell>
          <cell r="AB4155" t="str">
            <v/>
          </cell>
          <cell r="AC4155" t="str">
            <v/>
          </cell>
          <cell r="AD4155" t="str">
            <v/>
          </cell>
          <cell r="AY4155" t="str">
            <v/>
          </cell>
          <cell r="AZ4155" t="str">
            <v/>
          </cell>
          <cell r="BA4155" t="str">
            <v/>
          </cell>
        </row>
        <row r="4156">
          <cell r="B4156" t="str">
            <v>-</v>
          </cell>
          <cell r="E4156" t="str">
            <v/>
          </cell>
          <cell r="G4156" t="str">
            <v/>
          </cell>
          <cell r="J4156" t="str">
            <v/>
          </cell>
          <cell r="O4156" t="str">
            <v/>
          </cell>
          <cell r="P4156" t="str">
            <v/>
          </cell>
          <cell r="Q4156" t="str">
            <v/>
          </cell>
          <cell r="S4156" t="str">
            <v/>
          </cell>
          <cell r="V4156" t="str">
            <v/>
          </cell>
          <cell r="Z4156" t="str">
            <v/>
          </cell>
          <cell r="AA4156" t="str">
            <v/>
          </cell>
          <cell r="AB4156" t="str">
            <v/>
          </cell>
          <cell r="AC4156" t="str">
            <v/>
          </cell>
          <cell r="AD4156" t="str">
            <v/>
          </cell>
          <cell r="AY4156" t="str">
            <v/>
          </cell>
          <cell r="AZ4156" t="str">
            <v/>
          </cell>
          <cell r="BA4156" t="str">
            <v/>
          </cell>
        </row>
        <row r="4157">
          <cell r="B4157" t="str">
            <v>-</v>
          </cell>
          <cell r="E4157" t="str">
            <v/>
          </cell>
          <cell r="G4157" t="str">
            <v/>
          </cell>
          <cell r="J4157" t="str">
            <v/>
          </cell>
          <cell r="O4157" t="str">
            <v/>
          </cell>
          <cell r="P4157" t="str">
            <v/>
          </cell>
          <cell r="Q4157" t="str">
            <v/>
          </cell>
          <cell r="S4157" t="str">
            <v/>
          </cell>
          <cell r="V4157" t="str">
            <v/>
          </cell>
          <cell r="Z4157" t="str">
            <v/>
          </cell>
          <cell r="AA4157" t="str">
            <v/>
          </cell>
          <cell r="AB4157" t="str">
            <v/>
          </cell>
          <cell r="AC4157" t="str">
            <v/>
          </cell>
          <cell r="AD4157" t="str">
            <v/>
          </cell>
          <cell r="AY4157" t="str">
            <v/>
          </cell>
          <cell r="AZ4157" t="str">
            <v/>
          </cell>
          <cell r="BA4157" t="str">
            <v/>
          </cell>
        </row>
        <row r="4158">
          <cell r="B4158" t="str">
            <v>-</v>
          </cell>
          <cell r="E4158" t="str">
            <v/>
          </cell>
          <cell r="G4158" t="str">
            <v/>
          </cell>
          <cell r="J4158" t="str">
            <v/>
          </cell>
          <cell r="O4158" t="str">
            <v/>
          </cell>
          <cell r="P4158" t="str">
            <v/>
          </cell>
          <cell r="Q4158" t="str">
            <v/>
          </cell>
          <cell r="S4158" t="str">
            <v/>
          </cell>
          <cell r="V4158" t="str">
            <v/>
          </cell>
          <cell r="Z4158" t="str">
            <v/>
          </cell>
          <cell r="AA4158" t="str">
            <v/>
          </cell>
          <cell r="AB4158" t="str">
            <v/>
          </cell>
          <cell r="AC4158" t="str">
            <v/>
          </cell>
          <cell r="AD4158" t="str">
            <v/>
          </cell>
          <cell r="AY4158" t="str">
            <v/>
          </cell>
          <cell r="AZ4158" t="str">
            <v/>
          </cell>
          <cell r="BA4158" t="str">
            <v/>
          </cell>
        </row>
        <row r="4159">
          <cell r="B4159" t="str">
            <v>-</v>
          </cell>
          <cell r="E4159" t="str">
            <v/>
          </cell>
          <cell r="G4159" t="str">
            <v/>
          </cell>
          <cell r="J4159" t="str">
            <v/>
          </cell>
          <cell r="O4159" t="str">
            <v/>
          </cell>
          <cell r="P4159" t="str">
            <v/>
          </cell>
          <cell r="Q4159" t="str">
            <v/>
          </cell>
          <cell r="S4159" t="str">
            <v/>
          </cell>
          <cell r="V4159" t="str">
            <v/>
          </cell>
          <cell r="Z4159" t="str">
            <v/>
          </cell>
          <cell r="AA4159" t="str">
            <v/>
          </cell>
          <cell r="AB4159" t="str">
            <v/>
          </cell>
          <cell r="AC4159" t="str">
            <v/>
          </cell>
          <cell r="AD4159" t="str">
            <v/>
          </cell>
          <cell r="AY4159" t="str">
            <v/>
          </cell>
          <cell r="AZ4159" t="str">
            <v/>
          </cell>
          <cell r="BA4159" t="str">
            <v/>
          </cell>
        </row>
        <row r="4160">
          <cell r="B4160" t="str">
            <v>-</v>
          </cell>
          <cell r="E4160" t="str">
            <v/>
          </cell>
          <cell r="G4160" t="str">
            <v/>
          </cell>
          <cell r="J4160" t="str">
            <v/>
          </cell>
          <cell r="O4160" t="str">
            <v/>
          </cell>
          <cell r="P4160" t="str">
            <v/>
          </cell>
          <cell r="Q4160" t="str">
            <v/>
          </cell>
          <cell r="S4160" t="str">
            <v/>
          </cell>
          <cell r="V4160" t="str">
            <v/>
          </cell>
          <cell r="Z4160" t="str">
            <v/>
          </cell>
          <cell r="AA4160" t="str">
            <v/>
          </cell>
          <cell r="AB4160" t="str">
            <v/>
          </cell>
          <cell r="AC4160" t="str">
            <v/>
          </cell>
          <cell r="AD4160" t="str">
            <v/>
          </cell>
          <cell r="AY4160" t="str">
            <v/>
          </cell>
          <cell r="AZ4160" t="str">
            <v/>
          </cell>
          <cell r="BA4160" t="str">
            <v/>
          </cell>
        </row>
        <row r="4161">
          <cell r="B4161" t="str">
            <v>-</v>
          </cell>
          <cell r="E4161" t="str">
            <v/>
          </cell>
          <cell r="G4161" t="str">
            <v/>
          </cell>
          <cell r="J4161" t="str">
            <v/>
          </cell>
          <cell r="O4161" t="str">
            <v/>
          </cell>
          <cell r="P4161" t="str">
            <v/>
          </cell>
          <cell r="Q4161" t="str">
            <v/>
          </cell>
          <cell r="S4161" t="str">
            <v/>
          </cell>
          <cell r="V4161" t="str">
            <v/>
          </cell>
          <cell r="Z4161" t="str">
            <v/>
          </cell>
          <cell r="AA4161" t="str">
            <v/>
          </cell>
          <cell r="AB4161" t="str">
            <v/>
          </cell>
          <cell r="AC4161" t="str">
            <v/>
          </cell>
          <cell r="AD4161" t="str">
            <v/>
          </cell>
          <cell r="AY4161" t="str">
            <v/>
          </cell>
          <cell r="AZ4161" t="str">
            <v/>
          </cell>
          <cell r="BA4161" t="str">
            <v/>
          </cell>
        </row>
        <row r="4162">
          <cell r="B4162" t="str">
            <v>-</v>
          </cell>
          <cell r="E4162" t="str">
            <v/>
          </cell>
          <cell r="G4162" t="str">
            <v/>
          </cell>
          <cell r="J4162" t="str">
            <v/>
          </cell>
          <cell r="O4162" t="str">
            <v/>
          </cell>
          <cell r="P4162" t="str">
            <v/>
          </cell>
          <cell r="Q4162" t="str">
            <v/>
          </cell>
          <cell r="S4162" t="str">
            <v/>
          </cell>
          <cell r="V4162" t="str">
            <v/>
          </cell>
          <cell r="Z4162" t="str">
            <v/>
          </cell>
          <cell r="AA4162" t="str">
            <v/>
          </cell>
          <cell r="AB4162" t="str">
            <v/>
          </cell>
          <cell r="AC4162" t="str">
            <v/>
          </cell>
          <cell r="AD4162" t="str">
            <v/>
          </cell>
          <cell r="AY4162" t="str">
            <v/>
          </cell>
          <cell r="AZ4162" t="str">
            <v/>
          </cell>
          <cell r="BA4162" t="str">
            <v/>
          </cell>
        </row>
        <row r="4163">
          <cell r="B4163" t="str">
            <v>-</v>
          </cell>
          <cell r="E4163" t="str">
            <v/>
          </cell>
          <cell r="G4163" t="str">
            <v/>
          </cell>
          <cell r="J4163" t="str">
            <v/>
          </cell>
          <cell r="O4163" t="str">
            <v/>
          </cell>
          <cell r="P4163" t="str">
            <v/>
          </cell>
          <cell r="Q4163" t="str">
            <v/>
          </cell>
          <cell r="S4163" t="str">
            <v/>
          </cell>
          <cell r="V4163" t="str">
            <v/>
          </cell>
          <cell r="Z4163" t="str">
            <v/>
          </cell>
          <cell r="AA4163" t="str">
            <v/>
          </cell>
          <cell r="AB4163" t="str">
            <v/>
          </cell>
          <cell r="AC4163" t="str">
            <v/>
          </cell>
          <cell r="AD4163" t="str">
            <v/>
          </cell>
          <cell r="AY4163" t="str">
            <v/>
          </cell>
          <cell r="AZ4163" t="str">
            <v/>
          </cell>
          <cell r="BA4163" t="str">
            <v/>
          </cell>
        </row>
        <row r="4164">
          <cell r="B4164" t="str">
            <v>-</v>
          </cell>
          <cell r="E4164" t="str">
            <v/>
          </cell>
          <cell r="G4164" t="str">
            <v/>
          </cell>
          <cell r="J4164" t="str">
            <v/>
          </cell>
          <cell r="O4164" t="str">
            <v/>
          </cell>
          <cell r="P4164" t="str">
            <v/>
          </cell>
          <cell r="Q4164" t="str">
            <v/>
          </cell>
          <cell r="S4164" t="str">
            <v/>
          </cell>
          <cell r="V4164" t="str">
            <v/>
          </cell>
          <cell r="Z4164" t="str">
            <v/>
          </cell>
          <cell r="AA4164" t="str">
            <v/>
          </cell>
          <cell r="AB4164" t="str">
            <v/>
          </cell>
          <cell r="AC4164" t="str">
            <v/>
          </cell>
          <cell r="AD4164" t="str">
            <v/>
          </cell>
          <cell r="AY4164" t="str">
            <v/>
          </cell>
          <cell r="AZ4164" t="str">
            <v/>
          </cell>
          <cell r="BA4164" t="str">
            <v/>
          </cell>
        </row>
        <row r="4165">
          <cell r="B4165" t="str">
            <v>-</v>
          </cell>
          <cell r="E4165" t="str">
            <v/>
          </cell>
          <cell r="G4165" t="str">
            <v/>
          </cell>
          <cell r="J4165" t="str">
            <v/>
          </cell>
          <cell r="O4165" t="str">
            <v/>
          </cell>
          <cell r="P4165" t="str">
            <v/>
          </cell>
          <cell r="Q4165" t="str">
            <v/>
          </cell>
          <cell r="S4165" t="str">
            <v/>
          </cell>
          <cell r="V4165" t="str">
            <v/>
          </cell>
          <cell r="Z4165" t="str">
            <v/>
          </cell>
          <cell r="AA4165" t="str">
            <v/>
          </cell>
          <cell r="AB4165" t="str">
            <v/>
          </cell>
          <cell r="AC4165" t="str">
            <v/>
          </cell>
          <cell r="AD4165" t="str">
            <v/>
          </cell>
          <cell r="AY4165" t="str">
            <v/>
          </cell>
          <cell r="AZ4165" t="str">
            <v/>
          </cell>
          <cell r="BA4165" t="str">
            <v/>
          </cell>
        </row>
        <row r="4166">
          <cell r="B4166" t="str">
            <v>-</v>
          </cell>
          <cell r="E4166" t="str">
            <v/>
          </cell>
          <cell r="G4166" t="str">
            <v/>
          </cell>
          <cell r="J4166" t="str">
            <v/>
          </cell>
          <cell r="O4166" t="str">
            <v/>
          </cell>
          <cell r="P4166" t="str">
            <v/>
          </cell>
          <cell r="Q4166" t="str">
            <v/>
          </cell>
          <cell r="S4166" t="str">
            <v/>
          </cell>
          <cell r="V4166" t="str">
            <v/>
          </cell>
          <cell r="Z4166" t="str">
            <v/>
          </cell>
          <cell r="AA4166" t="str">
            <v/>
          </cell>
          <cell r="AB4166" t="str">
            <v/>
          </cell>
          <cell r="AC4166" t="str">
            <v/>
          </cell>
          <cell r="AD4166" t="str">
            <v/>
          </cell>
          <cell r="AY4166" t="str">
            <v/>
          </cell>
          <cell r="AZ4166" t="str">
            <v/>
          </cell>
          <cell r="BA4166" t="str">
            <v/>
          </cell>
        </row>
        <row r="4167">
          <cell r="B4167" t="str">
            <v>-</v>
          </cell>
          <cell r="E4167" t="str">
            <v/>
          </cell>
          <cell r="G4167" t="str">
            <v/>
          </cell>
          <cell r="J4167" t="str">
            <v/>
          </cell>
          <cell r="O4167" t="str">
            <v/>
          </cell>
          <cell r="P4167" t="str">
            <v/>
          </cell>
          <cell r="Q4167" t="str">
            <v/>
          </cell>
          <cell r="S4167" t="str">
            <v/>
          </cell>
          <cell r="V4167" t="str">
            <v/>
          </cell>
          <cell r="Z4167" t="str">
            <v/>
          </cell>
          <cell r="AA4167" t="str">
            <v/>
          </cell>
          <cell r="AB4167" t="str">
            <v/>
          </cell>
          <cell r="AC4167" t="str">
            <v/>
          </cell>
          <cell r="AD4167" t="str">
            <v/>
          </cell>
          <cell r="AY4167" t="str">
            <v/>
          </cell>
          <cell r="AZ4167" t="str">
            <v/>
          </cell>
          <cell r="BA4167" t="str">
            <v/>
          </cell>
        </row>
        <row r="4168">
          <cell r="B4168" t="str">
            <v>-</v>
          </cell>
          <cell r="E4168" t="str">
            <v/>
          </cell>
          <cell r="G4168" t="str">
            <v/>
          </cell>
          <cell r="J4168" t="str">
            <v/>
          </cell>
          <cell r="O4168" t="str">
            <v/>
          </cell>
          <cell r="P4168" t="str">
            <v/>
          </cell>
          <cell r="Q4168" t="str">
            <v/>
          </cell>
          <cell r="S4168" t="str">
            <v/>
          </cell>
          <cell r="V4168" t="str">
            <v/>
          </cell>
          <cell r="Z4168" t="str">
            <v/>
          </cell>
          <cell r="AA4168" t="str">
            <v/>
          </cell>
          <cell r="AB4168" t="str">
            <v/>
          </cell>
          <cell r="AC4168" t="str">
            <v/>
          </cell>
          <cell r="AD4168" t="str">
            <v/>
          </cell>
          <cell r="AY4168" t="str">
            <v/>
          </cell>
          <cell r="AZ4168" t="str">
            <v/>
          </cell>
          <cell r="BA4168" t="str">
            <v/>
          </cell>
        </row>
        <row r="4169">
          <cell r="B4169" t="str">
            <v>-</v>
          </cell>
          <cell r="E4169" t="str">
            <v/>
          </cell>
          <cell r="G4169" t="str">
            <v/>
          </cell>
          <cell r="J4169" t="str">
            <v/>
          </cell>
          <cell r="O4169" t="str">
            <v/>
          </cell>
          <cell r="P4169" t="str">
            <v/>
          </cell>
          <cell r="Q4169" t="str">
            <v/>
          </cell>
          <cell r="S4169" t="str">
            <v/>
          </cell>
          <cell r="V4169" t="str">
            <v/>
          </cell>
          <cell r="Z4169" t="str">
            <v/>
          </cell>
          <cell r="AA4169" t="str">
            <v/>
          </cell>
          <cell r="AB4169" t="str">
            <v/>
          </cell>
          <cell r="AC4169" t="str">
            <v/>
          </cell>
          <cell r="AD4169" t="str">
            <v/>
          </cell>
          <cell r="AY4169" t="str">
            <v/>
          </cell>
          <cell r="AZ4169" t="str">
            <v/>
          </cell>
          <cell r="BA4169" t="str">
            <v/>
          </cell>
        </row>
        <row r="4170">
          <cell r="B4170" t="str">
            <v>-</v>
          </cell>
          <cell r="E4170" t="str">
            <v/>
          </cell>
          <cell r="G4170" t="str">
            <v/>
          </cell>
          <cell r="J4170" t="str">
            <v/>
          </cell>
          <cell r="O4170" t="str">
            <v/>
          </cell>
          <cell r="P4170" t="str">
            <v/>
          </cell>
          <cell r="Q4170" t="str">
            <v/>
          </cell>
          <cell r="S4170" t="str">
            <v/>
          </cell>
          <cell r="V4170" t="str">
            <v/>
          </cell>
          <cell r="Z4170" t="str">
            <v/>
          </cell>
          <cell r="AA4170" t="str">
            <v/>
          </cell>
          <cell r="AB4170" t="str">
            <v/>
          </cell>
          <cell r="AC4170" t="str">
            <v/>
          </cell>
          <cell r="AD4170" t="str">
            <v/>
          </cell>
          <cell r="AY4170" t="str">
            <v/>
          </cell>
          <cell r="AZ4170" t="str">
            <v/>
          </cell>
          <cell r="BA4170" t="str">
            <v/>
          </cell>
        </row>
        <row r="4171">
          <cell r="B4171" t="str">
            <v>-</v>
          </cell>
          <cell r="E4171" t="str">
            <v/>
          </cell>
          <cell r="G4171" t="str">
            <v/>
          </cell>
          <cell r="J4171" t="str">
            <v/>
          </cell>
          <cell r="O4171" t="str">
            <v/>
          </cell>
          <cell r="P4171" t="str">
            <v/>
          </cell>
          <cell r="Q4171" t="str">
            <v/>
          </cell>
          <cell r="S4171" t="str">
            <v/>
          </cell>
          <cell r="V4171" t="str">
            <v/>
          </cell>
          <cell r="Z4171" t="str">
            <v/>
          </cell>
          <cell r="AA4171" t="str">
            <v/>
          </cell>
          <cell r="AB4171" t="str">
            <v/>
          </cell>
          <cell r="AC4171" t="str">
            <v/>
          </cell>
          <cell r="AD4171" t="str">
            <v/>
          </cell>
          <cell r="AY4171" t="str">
            <v/>
          </cell>
          <cell r="AZ4171" t="str">
            <v/>
          </cell>
          <cell r="BA4171" t="str">
            <v/>
          </cell>
        </row>
        <row r="4172">
          <cell r="B4172" t="str">
            <v>-</v>
          </cell>
          <cell r="E4172" t="str">
            <v/>
          </cell>
          <cell r="G4172" t="str">
            <v/>
          </cell>
          <cell r="J4172" t="str">
            <v/>
          </cell>
          <cell r="O4172" t="str">
            <v/>
          </cell>
          <cell r="P4172" t="str">
            <v/>
          </cell>
          <cell r="Q4172" t="str">
            <v/>
          </cell>
          <cell r="S4172" t="str">
            <v/>
          </cell>
          <cell r="V4172" t="str">
            <v/>
          </cell>
          <cell r="Z4172" t="str">
            <v/>
          </cell>
          <cell r="AA4172" t="str">
            <v/>
          </cell>
          <cell r="AB4172" t="str">
            <v/>
          </cell>
          <cell r="AC4172" t="str">
            <v/>
          </cell>
          <cell r="AD4172" t="str">
            <v/>
          </cell>
          <cell r="AY4172" t="str">
            <v/>
          </cell>
          <cell r="AZ4172" t="str">
            <v/>
          </cell>
          <cell r="BA4172" t="str">
            <v/>
          </cell>
        </row>
        <row r="4173">
          <cell r="B4173" t="str">
            <v>-</v>
          </cell>
          <cell r="E4173" t="str">
            <v/>
          </cell>
          <cell r="G4173" t="str">
            <v/>
          </cell>
          <cell r="J4173" t="str">
            <v/>
          </cell>
          <cell r="O4173" t="str">
            <v/>
          </cell>
          <cell r="P4173" t="str">
            <v/>
          </cell>
          <cell r="Q4173" t="str">
            <v/>
          </cell>
          <cell r="S4173" t="str">
            <v/>
          </cell>
          <cell r="V4173" t="str">
            <v/>
          </cell>
          <cell r="Z4173" t="str">
            <v/>
          </cell>
          <cell r="AA4173" t="str">
            <v/>
          </cell>
          <cell r="AB4173" t="str">
            <v/>
          </cell>
          <cell r="AC4173" t="str">
            <v/>
          </cell>
          <cell r="AD4173" t="str">
            <v/>
          </cell>
          <cell r="AY4173" t="str">
            <v/>
          </cell>
          <cell r="AZ4173" t="str">
            <v/>
          </cell>
          <cell r="BA4173" t="str">
            <v/>
          </cell>
        </row>
        <row r="4174">
          <cell r="B4174" t="str">
            <v>-</v>
          </cell>
          <cell r="E4174" t="str">
            <v/>
          </cell>
          <cell r="G4174" t="str">
            <v/>
          </cell>
          <cell r="J4174" t="str">
            <v/>
          </cell>
          <cell r="O4174" t="str">
            <v/>
          </cell>
          <cell r="P4174" t="str">
            <v/>
          </cell>
          <cell r="Q4174" t="str">
            <v/>
          </cell>
          <cell r="S4174" t="str">
            <v/>
          </cell>
          <cell r="V4174" t="str">
            <v/>
          </cell>
          <cell r="Z4174" t="str">
            <v/>
          </cell>
          <cell r="AA4174" t="str">
            <v/>
          </cell>
          <cell r="AB4174" t="str">
            <v/>
          </cell>
          <cell r="AC4174" t="str">
            <v/>
          </cell>
          <cell r="AD4174" t="str">
            <v/>
          </cell>
          <cell r="AY4174" t="str">
            <v/>
          </cell>
          <cell r="AZ4174" t="str">
            <v/>
          </cell>
          <cell r="BA4174" t="str">
            <v/>
          </cell>
        </row>
        <row r="4175">
          <cell r="B4175" t="str">
            <v>-</v>
          </cell>
          <cell r="E4175" t="str">
            <v/>
          </cell>
          <cell r="G4175" t="str">
            <v/>
          </cell>
          <cell r="J4175" t="str">
            <v/>
          </cell>
          <cell r="O4175" t="str">
            <v/>
          </cell>
          <cell r="P4175" t="str">
            <v/>
          </cell>
          <cell r="Q4175" t="str">
            <v/>
          </cell>
          <cell r="S4175" t="str">
            <v/>
          </cell>
          <cell r="V4175" t="str">
            <v/>
          </cell>
          <cell r="Z4175" t="str">
            <v/>
          </cell>
          <cell r="AA4175" t="str">
            <v/>
          </cell>
          <cell r="AB4175" t="str">
            <v/>
          </cell>
          <cell r="AC4175" t="str">
            <v/>
          </cell>
          <cell r="AD4175" t="str">
            <v/>
          </cell>
          <cell r="AY4175" t="str">
            <v/>
          </cell>
          <cell r="AZ4175" t="str">
            <v/>
          </cell>
          <cell r="BA4175" t="str">
            <v/>
          </cell>
        </row>
        <row r="4176">
          <cell r="B4176" t="str">
            <v>-</v>
          </cell>
          <cell r="E4176" t="str">
            <v/>
          </cell>
          <cell r="G4176" t="str">
            <v/>
          </cell>
          <cell r="J4176" t="str">
            <v/>
          </cell>
          <cell r="O4176" t="str">
            <v/>
          </cell>
          <cell r="P4176" t="str">
            <v/>
          </cell>
          <cell r="Q4176" t="str">
            <v/>
          </cell>
          <cell r="S4176" t="str">
            <v/>
          </cell>
          <cell r="V4176" t="str">
            <v/>
          </cell>
          <cell r="Z4176" t="str">
            <v/>
          </cell>
          <cell r="AA4176" t="str">
            <v/>
          </cell>
          <cell r="AB4176" t="str">
            <v/>
          </cell>
          <cell r="AC4176" t="str">
            <v/>
          </cell>
          <cell r="AD4176" t="str">
            <v/>
          </cell>
          <cell r="AY4176" t="str">
            <v/>
          </cell>
          <cell r="AZ4176" t="str">
            <v/>
          </cell>
          <cell r="BA4176" t="str">
            <v/>
          </cell>
        </row>
        <row r="4177">
          <cell r="B4177" t="str">
            <v>-</v>
          </cell>
          <cell r="E4177" t="str">
            <v/>
          </cell>
          <cell r="G4177" t="str">
            <v/>
          </cell>
          <cell r="J4177" t="str">
            <v/>
          </cell>
          <cell r="O4177" t="str">
            <v/>
          </cell>
          <cell r="P4177" t="str">
            <v/>
          </cell>
          <cell r="Q4177" t="str">
            <v/>
          </cell>
          <cell r="S4177" t="str">
            <v/>
          </cell>
          <cell r="V4177" t="str">
            <v/>
          </cell>
          <cell r="Z4177" t="str">
            <v/>
          </cell>
          <cell r="AA4177" t="str">
            <v/>
          </cell>
          <cell r="AB4177" t="str">
            <v/>
          </cell>
          <cell r="AC4177" t="str">
            <v/>
          </cell>
          <cell r="AD4177" t="str">
            <v/>
          </cell>
          <cell r="AY4177" t="str">
            <v/>
          </cell>
          <cell r="AZ4177" t="str">
            <v/>
          </cell>
          <cell r="BA4177" t="str">
            <v/>
          </cell>
        </row>
        <row r="4178">
          <cell r="B4178" t="str">
            <v>-</v>
          </cell>
          <cell r="E4178" t="str">
            <v/>
          </cell>
          <cell r="G4178" t="str">
            <v/>
          </cell>
          <cell r="J4178" t="str">
            <v/>
          </cell>
          <cell r="O4178" t="str">
            <v/>
          </cell>
          <cell r="P4178" t="str">
            <v/>
          </cell>
          <cell r="Q4178" t="str">
            <v/>
          </cell>
          <cell r="S4178" t="str">
            <v/>
          </cell>
          <cell r="V4178" t="str">
            <v/>
          </cell>
          <cell r="Z4178" t="str">
            <v/>
          </cell>
          <cell r="AA4178" t="str">
            <v/>
          </cell>
          <cell r="AB4178" t="str">
            <v/>
          </cell>
          <cell r="AC4178" t="str">
            <v/>
          </cell>
          <cell r="AD4178" t="str">
            <v/>
          </cell>
          <cell r="AY4178" t="str">
            <v/>
          </cell>
          <cell r="AZ4178" t="str">
            <v/>
          </cell>
          <cell r="BA4178" t="str">
            <v/>
          </cell>
        </row>
        <row r="4179">
          <cell r="B4179" t="str">
            <v>-</v>
          </cell>
          <cell r="E4179" t="str">
            <v/>
          </cell>
          <cell r="G4179" t="str">
            <v/>
          </cell>
          <cell r="J4179" t="str">
            <v/>
          </cell>
          <cell r="O4179" t="str">
            <v/>
          </cell>
          <cell r="P4179" t="str">
            <v/>
          </cell>
          <cell r="Q4179" t="str">
            <v/>
          </cell>
          <cell r="S4179" t="str">
            <v/>
          </cell>
          <cell r="V4179" t="str">
            <v/>
          </cell>
          <cell r="Z4179" t="str">
            <v/>
          </cell>
          <cell r="AA4179" t="str">
            <v/>
          </cell>
          <cell r="AB4179" t="str">
            <v/>
          </cell>
          <cell r="AC4179" t="str">
            <v/>
          </cell>
          <cell r="AD4179" t="str">
            <v/>
          </cell>
          <cell r="AY4179" t="str">
            <v/>
          </cell>
          <cell r="AZ4179" t="str">
            <v/>
          </cell>
          <cell r="BA4179" t="str">
            <v/>
          </cell>
        </row>
        <row r="4180">
          <cell r="B4180" t="str">
            <v>-</v>
          </cell>
          <cell r="E4180" t="str">
            <v/>
          </cell>
          <cell r="G4180" t="str">
            <v/>
          </cell>
          <cell r="J4180" t="str">
            <v/>
          </cell>
          <cell r="O4180" t="str">
            <v/>
          </cell>
          <cell r="P4180" t="str">
            <v/>
          </cell>
          <cell r="Q4180" t="str">
            <v/>
          </cell>
          <cell r="S4180" t="str">
            <v/>
          </cell>
          <cell r="V4180" t="str">
            <v/>
          </cell>
          <cell r="Z4180" t="str">
            <v/>
          </cell>
          <cell r="AA4180" t="str">
            <v/>
          </cell>
          <cell r="AB4180" t="str">
            <v/>
          </cell>
          <cell r="AC4180" t="str">
            <v/>
          </cell>
          <cell r="AD4180" t="str">
            <v/>
          </cell>
          <cell r="AY4180" t="str">
            <v/>
          </cell>
          <cell r="AZ4180" t="str">
            <v/>
          </cell>
          <cell r="BA4180" t="str">
            <v/>
          </cell>
        </row>
        <row r="4181">
          <cell r="B4181" t="str">
            <v>-</v>
          </cell>
          <cell r="E4181" t="str">
            <v/>
          </cell>
          <cell r="G4181" t="str">
            <v/>
          </cell>
          <cell r="J4181" t="str">
            <v/>
          </cell>
          <cell r="O4181" t="str">
            <v/>
          </cell>
          <cell r="P4181" t="str">
            <v/>
          </cell>
          <cell r="Q4181" t="str">
            <v/>
          </cell>
          <cell r="S4181" t="str">
            <v/>
          </cell>
          <cell r="V4181" t="str">
            <v/>
          </cell>
          <cell r="Z4181" t="str">
            <v/>
          </cell>
          <cell r="AA4181" t="str">
            <v/>
          </cell>
          <cell r="AB4181" t="str">
            <v/>
          </cell>
          <cell r="AC4181" t="str">
            <v/>
          </cell>
          <cell r="AD4181" t="str">
            <v/>
          </cell>
          <cell r="AY4181" t="str">
            <v/>
          </cell>
          <cell r="AZ4181" t="str">
            <v/>
          </cell>
          <cell r="BA4181" t="str">
            <v/>
          </cell>
        </row>
        <row r="4182">
          <cell r="B4182" t="str">
            <v>-</v>
          </cell>
          <cell r="E4182" t="str">
            <v/>
          </cell>
          <cell r="G4182" t="str">
            <v/>
          </cell>
          <cell r="J4182" t="str">
            <v/>
          </cell>
          <cell r="O4182" t="str">
            <v/>
          </cell>
          <cell r="P4182" t="str">
            <v/>
          </cell>
          <cell r="Q4182" t="str">
            <v/>
          </cell>
          <cell r="S4182" t="str">
            <v/>
          </cell>
          <cell r="V4182" t="str">
            <v/>
          </cell>
          <cell r="Z4182" t="str">
            <v/>
          </cell>
          <cell r="AA4182" t="str">
            <v/>
          </cell>
          <cell r="AB4182" t="str">
            <v/>
          </cell>
          <cell r="AC4182" t="str">
            <v/>
          </cell>
          <cell r="AD4182" t="str">
            <v/>
          </cell>
          <cell r="AY4182" t="str">
            <v/>
          </cell>
          <cell r="AZ4182" t="str">
            <v/>
          </cell>
          <cell r="BA4182" t="str">
            <v/>
          </cell>
        </row>
        <row r="4183">
          <cell r="B4183" t="str">
            <v>-</v>
          </cell>
          <cell r="E4183" t="str">
            <v/>
          </cell>
          <cell r="G4183" t="str">
            <v/>
          </cell>
          <cell r="J4183" t="str">
            <v/>
          </cell>
          <cell r="O4183" t="str">
            <v/>
          </cell>
          <cell r="P4183" t="str">
            <v/>
          </cell>
          <cell r="Q4183" t="str">
            <v/>
          </cell>
          <cell r="S4183" t="str">
            <v/>
          </cell>
          <cell r="V4183" t="str">
            <v/>
          </cell>
          <cell r="Z4183" t="str">
            <v/>
          </cell>
          <cell r="AA4183" t="str">
            <v/>
          </cell>
          <cell r="AB4183" t="str">
            <v/>
          </cell>
          <cell r="AC4183" t="str">
            <v/>
          </cell>
          <cell r="AD4183" t="str">
            <v/>
          </cell>
          <cell r="AY4183" t="str">
            <v/>
          </cell>
          <cell r="AZ4183" t="str">
            <v/>
          </cell>
          <cell r="BA4183" t="str">
            <v/>
          </cell>
        </row>
        <row r="4184">
          <cell r="B4184" t="str">
            <v>-</v>
          </cell>
          <cell r="E4184" t="str">
            <v/>
          </cell>
          <cell r="G4184" t="str">
            <v/>
          </cell>
          <cell r="J4184" t="str">
            <v/>
          </cell>
          <cell r="O4184" t="str">
            <v/>
          </cell>
          <cell r="P4184" t="str">
            <v/>
          </cell>
          <cell r="Q4184" t="str">
            <v/>
          </cell>
          <cell r="S4184" t="str">
            <v/>
          </cell>
          <cell r="V4184" t="str">
            <v/>
          </cell>
          <cell r="Z4184" t="str">
            <v/>
          </cell>
          <cell r="AA4184" t="str">
            <v/>
          </cell>
          <cell r="AB4184" t="str">
            <v/>
          </cell>
          <cell r="AC4184" t="str">
            <v/>
          </cell>
          <cell r="AD4184" t="str">
            <v/>
          </cell>
          <cell r="AY4184" t="str">
            <v/>
          </cell>
          <cell r="AZ4184" t="str">
            <v/>
          </cell>
          <cell r="BA4184" t="str">
            <v/>
          </cell>
        </row>
        <row r="4185">
          <cell r="B4185" t="str">
            <v>-</v>
          </cell>
          <cell r="E4185" t="str">
            <v/>
          </cell>
          <cell r="G4185" t="str">
            <v/>
          </cell>
          <cell r="J4185" t="str">
            <v/>
          </cell>
          <cell r="O4185" t="str">
            <v/>
          </cell>
          <cell r="P4185" t="str">
            <v/>
          </cell>
          <cell r="Q4185" t="str">
            <v/>
          </cell>
          <cell r="S4185" t="str">
            <v/>
          </cell>
          <cell r="V4185" t="str">
            <v/>
          </cell>
          <cell r="Z4185" t="str">
            <v/>
          </cell>
          <cell r="AA4185" t="str">
            <v/>
          </cell>
          <cell r="AB4185" t="str">
            <v/>
          </cell>
          <cell r="AC4185" t="str">
            <v/>
          </cell>
          <cell r="AD4185" t="str">
            <v/>
          </cell>
          <cell r="AY4185" t="str">
            <v/>
          </cell>
          <cell r="AZ4185" t="str">
            <v/>
          </cell>
          <cell r="BA4185" t="str">
            <v/>
          </cell>
        </row>
        <row r="4186">
          <cell r="B4186" t="str">
            <v>-</v>
          </cell>
          <cell r="E4186" t="str">
            <v/>
          </cell>
          <cell r="G4186" t="str">
            <v/>
          </cell>
          <cell r="J4186" t="str">
            <v/>
          </cell>
          <cell r="O4186" t="str">
            <v/>
          </cell>
          <cell r="P4186" t="str">
            <v/>
          </cell>
          <cell r="Q4186" t="str">
            <v/>
          </cell>
          <cell r="S4186" t="str">
            <v/>
          </cell>
          <cell r="V4186" t="str">
            <v/>
          </cell>
          <cell r="Z4186" t="str">
            <v/>
          </cell>
          <cell r="AA4186" t="str">
            <v/>
          </cell>
          <cell r="AB4186" t="str">
            <v/>
          </cell>
          <cell r="AC4186" t="str">
            <v/>
          </cell>
          <cell r="AD4186" t="str">
            <v/>
          </cell>
          <cell r="AY4186" t="str">
            <v/>
          </cell>
          <cell r="AZ4186" t="str">
            <v/>
          </cell>
          <cell r="BA4186" t="str">
            <v/>
          </cell>
        </row>
        <row r="4187">
          <cell r="B4187" t="str">
            <v>-</v>
          </cell>
          <cell r="E4187" t="str">
            <v/>
          </cell>
          <cell r="G4187" t="str">
            <v/>
          </cell>
          <cell r="J4187" t="str">
            <v/>
          </cell>
          <cell r="O4187" t="str">
            <v/>
          </cell>
          <cell r="P4187" t="str">
            <v/>
          </cell>
          <cell r="Q4187" t="str">
            <v/>
          </cell>
          <cell r="S4187" t="str">
            <v/>
          </cell>
          <cell r="V4187" t="str">
            <v/>
          </cell>
          <cell r="Z4187" t="str">
            <v/>
          </cell>
          <cell r="AA4187" t="str">
            <v/>
          </cell>
          <cell r="AB4187" t="str">
            <v/>
          </cell>
          <cell r="AC4187" t="str">
            <v/>
          </cell>
          <cell r="AD4187" t="str">
            <v/>
          </cell>
          <cell r="AY4187" t="str">
            <v/>
          </cell>
          <cell r="AZ4187" t="str">
            <v/>
          </cell>
          <cell r="BA4187" t="str">
            <v/>
          </cell>
        </row>
        <row r="4188">
          <cell r="B4188" t="str">
            <v>-</v>
          </cell>
          <cell r="E4188" t="str">
            <v/>
          </cell>
          <cell r="G4188" t="str">
            <v/>
          </cell>
          <cell r="J4188" t="str">
            <v/>
          </cell>
          <cell r="O4188" t="str">
            <v/>
          </cell>
          <cell r="P4188" t="str">
            <v/>
          </cell>
          <cell r="Q4188" t="str">
            <v/>
          </cell>
          <cell r="S4188" t="str">
            <v/>
          </cell>
          <cell r="V4188" t="str">
            <v/>
          </cell>
          <cell r="Z4188" t="str">
            <v/>
          </cell>
          <cell r="AA4188" t="str">
            <v/>
          </cell>
          <cell r="AB4188" t="str">
            <v/>
          </cell>
          <cell r="AC4188" t="str">
            <v/>
          </cell>
          <cell r="AD4188" t="str">
            <v/>
          </cell>
          <cell r="AY4188" t="str">
            <v/>
          </cell>
          <cell r="AZ4188" t="str">
            <v/>
          </cell>
          <cell r="BA4188" t="str">
            <v/>
          </cell>
        </row>
        <row r="4189">
          <cell r="B4189" t="str">
            <v>-</v>
          </cell>
          <cell r="E4189" t="str">
            <v/>
          </cell>
          <cell r="G4189" t="str">
            <v/>
          </cell>
          <cell r="J4189" t="str">
            <v/>
          </cell>
          <cell r="O4189" t="str">
            <v/>
          </cell>
          <cell r="P4189" t="str">
            <v/>
          </cell>
          <cell r="Q4189" t="str">
            <v/>
          </cell>
          <cell r="S4189" t="str">
            <v/>
          </cell>
          <cell r="V4189" t="str">
            <v/>
          </cell>
          <cell r="Z4189" t="str">
            <v/>
          </cell>
          <cell r="AA4189" t="str">
            <v/>
          </cell>
          <cell r="AB4189" t="str">
            <v/>
          </cell>
          <cell r="AC4189" t="str">
            <v/>
          </cell>
          <cell r="AD4189" t="str">
            <v/>
          </cell>
          <cell r="AY4189" t="str">
            <v/>
          </cell>
          <cell r="AZ4189" t="str">
            <v/>
          </cell>
          <cell r="BA4189" t="str">
            <v/>
          </cell>
        </row>
        <row r="4190">
          <cell r="B4190" t="str">
            <v>-</v>
          </cell>
          <cell r="E4190" t="str">
            <v/>
          </cell>
          <cell r="G4190" t="str">
            <v/>
          </cell>
          <cell r="J4190" t="str">
            <v/>
          </cell>
          <cell r="O4190" t="str">
            <v/>
          </cell>
          <cell r="P4190" t="str">
            <v/>
          </cell>
          <cell r="Q4190" t="str">
            <v/>
          </cell>
          <cell r="S4190" t="str">
            <v/>
          </cell>
          <cell r="V4190" t="str">
            <v/>
          </cell>
          <cell r="Z4190" t="str">
            <v/>
          </cell>
          <cell r="AA4190" t="str">
            <v/>
          </cell>
          <cell r="AB4190" t="str">
            <v/>
          </cell>
          <cell r="AC4190" t="str">
            <v/>
          </cell>
          <cell r="AD4190" t="str">
            <v/>
          </cell>
          <cell r="AY4190" t="str">
            <v/>
          </cell>
          <cell r="AZ4190" t="str">
            <v/>
          </cell>
          <cell r="BA4190" t="str">
            <v/>
          </cell>
        </row>
        <row r="4191">
          <cell r="B4191" t="str">
            <v>-</v>
          </cell>
          <cell r="E4191" t="str">
            <v/>
          </cell>
          <cell r="G4191" t="str">
            <v/>
          </cell>
          <cell r="J4191" t="str">
            <v/>
          </cell>
          <cell r="O4191" t="str">
            <v/>
          </cell>
          <cell r="P4191" t="str">
            <v/>
          </cell>
          <cell r="Q4191" t="str">
            <v/>
          </cell>
          <cell r="S4191" t="str">
            <v/>
          </cell>
          <cell r="V4191" t="str">
            <v/>
          </cell>
          <cell r="Z4191" t="str">
            <v/>
          </cell>
          <cell r="AA4191" t="str">
            <v/>
          </cell>
          <cell r="AB4191" t="str">
            <v/>
          </cell>
          <cell r="AC4191" t="str">
            <v/>
          </cell>
          <cell r="AD4191" t="str">
            <v/>
          </cell>
          <cell r="AY4191" t="str">
            <v/>
          </cell>
          <cell r="AZ4191" t="str">
            <v/>
          </cell>
          <cell r="BA4191" t="str">
            <v/>
          </cell>
        </row>
        <row r="4192">
          <cell r="B4192" t="str">
            <v>-</v>
          </cell>
          <cell r="E4192" t="str">
            <v/>
          </cell>
          <cell r="G4192" t="str">
            <v/>
          </cell>
          <cell r="J4192" t="str">
            <v/>
          </cell>
          <cell r="O4192" t="str">
            <v/>
          </cell>
          <cell r="P4192" t="str">
            <v/>
          </cell>
          <cell r="Q4192" t="str">
            <v/>
          </cell>
          <cell r="S4192" t="str">
            <v/>
          </cell>
          <cell r="V4192" t="str">
            <v/>
          </cell>
          <cell r="Z4192" t="str">
            <v/>
          </cell>
          <cell r="AA4192" t="str">
            <v/>
          </cell>
          <cell r="AB4192" t="str">
            <v/>
          </cell>
          <cell r="AC4192" t="str">
            <v/>
          </cell>
          <cell r="AD4192" t="str">
            <v/>
          </cell>
          <cell r="AY4192" t="str">
            <v/>
          </cell>
          <cell r="AZ4192" t="str">
            <v/>
          </cell>
          <cell r="BA4192" t="str">
            <v/>
          </cell>
        </row>
        <row r="4193">
          <cell r="B4193" t="str">
            <v>-</v>
          </cell>
          <cell r="E4193" t="str">
            <v/>
          </cell>
          <cell r="G4193" t="str">
            <v/>
          </cell>
          <cell r="J4193" t="str">
            <v/>
          </cell>
          <cell r="O4193" t="str">
            <v/>
          </cell>
          <cell r="P4193" t="str">
            <v/>
          </cell>
          <cell r="Q4193" t="str">
            <v/>
          </cell>
          <cell r="S4193" t="str">
            <v/>
          </cell>
          <cell r="V4193" t="str">
            <v/>
          </cell>
          <cell r="Z4193" t="str">
            <v/>
          </cell>
          <cell r="AA4193" t="str">
            <v/>
          </cell>
          <cell r="AB4193" t="str">
            <v/>
          </cell>
          <cell r="AC4193" t="str">
            <v/>
          </cell>
          <cell r="AD4193" t="str">
            <v/>
          </cell>
          <cell r="AY4193" t="str">
            <v/>
          </cell>
          <cell r="AZ4193" t="str">
            <v/>
          </cell>
          <cell r="BA4193" t="str">
            <v/>
          </cell>
        </row>
        <row r="4194">
          <cell r="B4194" t="str">
            <v>-</v>
          </cell>
          <cell r="E4194" t="str">
            <v/>
          </cell>
          <cell r="G4194" t="str">
            <v/>
          </cell>
          <cell r="J4194" t="str">
            <v/>
          </cell>
          <cell r="O4194" t="str">
            <v/>
          </cell>
          <cell r="P4194" t="str">
            <v/>
          </cell>
          <cell r="Q4194" t="str">
            <v/>
          </cell>
          <cell r="S4194" t="str">
            <v/>
          </cell>
          <cell r="V4194" t="str">
            <v/>
          </cell>
          <cell r="Z4194" t="str">
            <v/>
          </cell>
          <cell r="AA4194" t="str">
            <v/>
          </cell>
          <cell r="AB4194" t="str">
            <v/>
          </cell>
          <cell r="AC4194" t="str">
            <v/>
          </cell>
          <cell r="AD4194" t="str">
            <v/>
          </cell>
          <cell r="AY4194" t="str">
            <v/>
          </cell>
          <cell r="AZ4194" t="str">
            <v/>
          </cell>
          <cell r="BA4194" t="str">
            <v/>
          </cell>
        </row>
        <row r="4195">
          <cell r="B4195" t="str">
            <v>-</v>
          </cell>
          <cell r="E4195" t="str">
            <v/>
          </cell>
          <cell r="G4195" t="str">
            <v/>
          </cell>
          <cell r="J4195" t="str">
            <v/>
          </cell>
          <cell r="O4195" t="str">
            <v/>
          </cell>
          <cell r="P4195" t="str">
            <v/>
          </cell>
          <cell r="Q4195" t="str">
            <v/>
          </cell>
          <cell r="S4195" t="str">
            <v/>
          </cell>
          <cell r="V4195" t="str">
            <v/>
          </cell>
          <cell r="Z4195" t="str">
            <v/>
          </cell>
          <cell r="AA4195" t="str">
            <v/>
          </cell>
          <cell r="AB4195" t="str">
            <v/>
          </cell>
          <cell r="AC4195" t="str">
            <v/>
          </cell>
          <cell r="AD4195" t="str">
            <v/>
          </cell>
          <cell r="AY4195" t="str">
            <v/>
          </cell>
          <cell r="AZ4195" t="str">
            <v/>
          </cell>
          <cell r="BA4195" t="str">
            <v/>
          </cell>
        </row>
        <row r="4196">
          <cell r="B4196" t="str">
            <v>-</v>
          </cell>
          <cell r="E4196" t="str">
            <v/>
          </cell>
          <cell r="G4196" t="str">
            <v/>
          </cell>
          <cell r="J4196" t="str">
            <v/>
          </cell>
          <cell r="O4196" t="str">
            <v/>
          </cell>
          <cell r="P4196" t="str">
            <v/>
          </cell>
          <cell r="Q4196" t="str">
            <v/>
          </cell>
          <cell r="S4196" t="str">
            <v/>
          </cell>
          <cell r="V4196" t="str">
            <v/>
          </cell>
          <cell r="Z4196" t="str">
            <v/>
          </cell>
          <cell r="AA4196" t="str">
            <v/>
          </cell>
          <cell r="AB4196" t="str">
            <v/>
          </cell>
          <cell r="AC4196" t="str">
            <v/>
          </cell>
          <cell r="AD4196" t="str">
            <v/>
          </cell>
          <cell r="AY4196" t="str">
            <v/>
          </cell>
          <cell r="AZ4196" t="str">
            <v/>
          </cell>
          <cell r="BA4196" t="str">
            <v/>
          </cell>
        </row>
        <row r="4197">
          <cell r="B4197" t="str">
            <v>-</v>
          </cell>
          <cell r="E4197" t="str">
            <v/>
          </cell>
          <cell r="G4197" t="str">
            <v/>
          </cell>
          <cell r="J4197" t="str">
            <v/>
          </cell>
          <cell r="O4197" t="str">
            <v/>
          </cell>
          <cell r="P4197" t="str">
            <v/>
          </cell>
          <cell r="Q4197" t="str">
            <v/>
          </cell>
          <cell r="S4197" t="str">
            <v/>
          </cell>
          <cell r="V4197" t="str">
            <v/>
          </cell>
          <cell r="Z4197" t="str">
            <v/>
          </cell>
          <cell r="AA4197" t="str">
            <v/>
          </cell>
          <cell r="AB4197" t="str">
            <v/>
          </cell>
          <cell r="AC4197" t="str">
            <v/>
          </cell>
          <cell r="AD4197" t="str">
            <v/>
          </cell>
          <cell r="AY4197" t="str">
            <v/>
          </cell>
          <cell r="AZ4197" t="str">
            <v/>
          </cell>
          <cell r="BA4197" t="str">
            <v/>
          </cell>
        </row>
        <row r="4198">
          <cell r="B4198" t="str">
            <v>-</v>
          </cell>
          <cell r="E4198" t="str">
            <v/>
          </cell>
          <cell r="G4198" t="str">
            <v/>
          </cell>
          <cell r="J4198" t="str">
            <v/>
          </cell>
          <cell r="O4198" t="str">
            <v/>
          </cell>
          <cell r="P4198" t="str">
            <v/>
          </cell>
          <cell r="Q4198" t="str">
            <v/>
          </cell>
          <cell r="S4198" t="str">
            <v/>
          </cell>
          <cell r="V4198" t="str">
            <v/>
          </cell>
          <cell r="Z4198" t="str">
            <v/>
          </cell>
          <cell r="AA4198" t="str">
            <v/>
          </cell>
          <cell r="AB4198" t="str">
            <v/>
          </cell>
          <cell r="AC4198" t="str">
            <v/>
          </cell>
          <cell r="AD4198" t="str">
            <v/>
          </cell>
          <cell r="AY4198" t="str">
            <v/>
          </cell>
          <cell r="AZ4198" t="str">
            <v/>
          </cell>
          <cell r="BA4198" t="str">
            <v/>
          </cell>
        </row>
        <row r="4199">
          <cell r="B4199" t="str">
            <v>-</v>
          </cell>
          <cell r="E4199" t="str">
            <v/>
          </cell>
          <cell r="G4199" t="str">
            <v/>
          </cell>
          <cell r="J4199" t="str">
            <v/>
          </cell>
          <cell r="O4199" t="str">
            <v/>
          </cell>
          <cell r="P4199" t="str">
            <v/>
          </cell>
          <cell r="Q4199" t="str">
            <v/>
          </cell>
          <cell r="S4199" t="str">
            <v/>
          </cell>
          <cell r="V4199" t="str">
            <v/>
          </cell>
          <cell r="Z4199" t="str">
            <v/>
          </cell>
          <cell r="AA4199" t="str">
            <v/>
          </cell>
          <cell r="AB4199" t="str">
            <v/>
          </cell>
          <cell r="AC4199" t="str">
            <v/>
          </cell>
          <cell r="AD4199" t="str">
            <v/>
          </cell>
          <cell r="AY4199" t="str">
            <v/>
          </cell>
          <cell r="AZ4199" t="str">
            <v/>
          </cell>
          <cell r="BA4199" t="str">
            <v/>
          </cell>
        </row>
        <row r="4200">
          <cell r="B4200" t="str">
            <v>-</v>
          </cell>
          <cell r="E4200" t="str">
            <v/>
          </cell>
          <cell r="G4200" t="str">
            <v/>
          </cell>
          <cell r="J4200" t="str">
            <v/>
          </cell>
          <cell r="O4200" t="str">
            <v/>
          </cell>
          <cell r="P4200" t="str">
            <v/>
          </cell>
          <cell r="Q4200" t="str">
            <v/>
          </cell>
          <cell r="S4200" t="str">
            <v/>
          </cell>
          <cell r="V4200" t="str">
            <v/>
          </cell>
          <cell r="Z4200" t="str">
            <v/>
          </cell>
          <cell r="AA4200" t="str">
            <v/>
          </cell>
          <cell r="AB4200" t="str">
            <v/>
          </cell>
          <cell r="AC4200" t="str">
            <v/>
          </cell>
          <cell r="AD4200" t="str">
            <v/>
          </cell>
          <cell r="AY4200" t="str">
            <v/>
          </cell>
          <cell r="AZ4200" t="str">
            <v/>
          </cell>
          <cell r="BA4200" t="str">
            <v/>
          </cell>
        </row>
        <row r="4201">
          <cell r="B4201" t="str">
            <v>-</v>
          </cell>
          <cell r="E4201" t="str">
            <v/>
          </cell>
          <cell r="G4201" t="str">
            <v/>
          </cell>
          <cell r="J4201" t="str">
            <v/>
          </cell>
          <cell r="O4201" t="str">
            <v/>
          </cell>
          <cell r="P4201" t="str">
            <v/>
          </cell>
          <cell r="Q4201" t="str">
            <v/>
          </cell>
          <cell r="S4201" t="str">
            <v/>
          </cell>
          <cell r="V4201" t="str">
            <v/>
          </cell>
          <cell r="Z4201" t="str">
            <v/>
          </cell>
          <cell r="AA4201" t="str">
            <v/>
          </cell>
          <cell r="AB4201" t="str">
            <v/>
          </cell>
          <cell r="AC4201" t="str">
            <v/>
          </cell>
          <cell r="AD4201" t="str">
            <v/>
          </cell>
          <cell r="AY4201" t="str">
            <v/>
          </cell>
          <cell r="AZ4201" t="str">
            <v/>
          </cell>
          <cell r="BA4201" t="str">
            <v/>
          </cell>
        </row>
        <row r="4202">
          <cell r="B4202" t="str">
            <v>-</v>
          </cell>
          <cell r="E4202" t="str">
            <v/>
          </cell>
          <cell r="G4202" t="str">
            <v/>
          </cell>
          <cell r="J4202" t="str">
            <v/>
          </cell>
          <cell r="O4202" t="str">
            <v/>
          </cell>
          <cell r="P4202" t="str">
            <v/>
          </cell>
          <cell r="Q4202" t="str">
            <v/>
          </cell>
          <cell r="S4202" t="str">
            <v/>
          </cell>
          <cell r="V4202" t="str">
            <v/>
          </cell>
          <cell r="Z4202" t="str">
            <v/>
          </cell>
          <cell r="AA4202" t="str">
            <v/>
          </cell>
          <cell r="AB4202" t="str">
            <v/>
          </cell>
          <cell r="AC4202" t="str">
            <v/>
          </cell>
          <cell r="AD4202" t="str">
            <v/>
          </cell>
          <cell r="AY4202" t="str">
            <v/>
          </cell>
          <cell r="AZ4202" t="str">
            <v/>
          </cell>
          <cell r="BA4202" t="str">
            <v/>
          </cell>
        </row>
        <row r="4203">
          <cell r="B4203" t="str">
            <v>-</v>
          </cell>
          <cell r="E4203" t="str">
            <v/>
          </cell>
          <cell r="G4203" t="str">
            <v/>
          </cell>
          <cell r="J4203" t="str">
            <v/>
          </cell>
          <cell r="O4203" t="str">
            <v/>
          </cell>
          <cell r="P4203" t="str">
            <v/>
          </cell>
          <cell r="Q4203" t="str">
            <v/>
          </cell>
          <cell r="S4203" t="str">
            <v/>
          </cell>
          <cell r="V4203" t="str">
            <v/>
          </cell>
          <cell r="Z4203" t="str">
            <v/>
          </cell>
          <cell r="AA4203" t="str">
            <v/>
          </cell>
          <cell r="AB4203" t="str">
            <v/>
          </cell>
          <cell r="AC4203" t="str">
            <v/>
          </cell>
          <cell r="AD4203" t="str">
            <v/>
          </cell>
          <cell r="AY4203" t="str">
            <v/>
          </cell>
          <cell r="AZ4203" t="str">
            <v/>
          </cell>
          <cell r="BA4203" t="str">
            <v/>
          </cell>
        </row>
        <row r="4204">
          <cell r="B4204" t="str">
            <v>-</v>
          </cell>
          <cell r="E4204" t="str">
            <v/>
          </cell>
          <cell r="G4204" t="str">
            <v/>
          </cell>
          <cell r="J4204" t="str">
            <v/>
          </cell>
          <cell r="O4204" t="str">
            <v/>
          </cell>
          <cell r="P4204" t="str">
            <v/>
          </cell>
          <cell r="Q4204" t="str">
            <v/>
          </cell>
          <cell r="S4204" t="str">
            <v/>
          </cell>
          <cell r="V4204" t="str">
            <v/>
          </cell>
          <cell r="Z4204" t="str">
            <v/>
          </cell>
          <cell r="AA4204" t="str">
            <v/>
          </cell>
          <cell r="AB4204" t="str">
            <v/>
          </cell>
          <cell r="AC4204" t="str">
            <v/>
          </cell>
          <cell r="AD4204" t="str">
            <v/>
          </cell>
          <cell r="AY4204" t="str">
            <v/>
          </cell>
          <cell r="AZ4204" t="str">
            <v/>
          </cell>
          <cell r="BA4204" t="str">
            <v/>
          </cell>
        </row>
        <row r="4205">
          <cell r="B4205" t="str">
            <v>-</v>
          </cell>
          <cell r="E4205" t="str">
            <v/>
          </cell>
          <cell r="G4205" t="str">
            <v/>
          </cell>
          <cell r="J4205" t="str">
            <v/>
          </cell>
          <cell r="O4205" t="str">
            <v/>
          </cell>
          <cell r="P4205" t="str">
            <v/>
          </cell>
          <cell r="Q4205" t="str">
            <v/>
          </cell>
          <cell r="S4205" t="str">
            <v/>
          </cell>
          <cell r="V4205" t="str">
            <v/>
          </cell>
          <cell r="Z4205" t="str">
            <v/>
          </cell>
          <cell r="AA4205" t="str">
            <v/>
          </cell>
          <cell r="AB4205" t="str">
            <v/>
          </cell>
          <cell r="AC4205" t="str">
            <v/>
          </cell>
          <cell r="AD4205" t="str">
            <v/>
          </cell>
          <cell r="AY4205" t="str">
            <v/>
          </cell>
          <cell r="AZ4205" t="str">
            <v/>
          </cell>
          <cell r="BA4205" t="str">
            <v/>
          </cell>
        </row>
        <row r="4206">
          <cell r="B4206" t="str">
            <v>-</v>
          </cell>
          <cell r="E4206" t="str">
            <v/>
          </cell>
          <cell r="G4206" t="str">
            <v/>
          </cell>
          <cell r="J4206" t="str">
            <v/>
          </cell>
          <cell r="O4206" t="str">
            <v/>
          </cell>
          <cell r="P4206" t="str">
            <v/>
          </cell>
          <cell r="Q4206" t="str">
            <v/>
          </cell>
          <cell r="S4206" t="str">
            <v/>
          </cell>
          <cell r="V4206" t="str">
            <v/>
          </cell>
          <cell r="Z4206" t="str">
            <v/>
          </cell>
          <cell r="AA4206" t="str">
            <v/>
          </cell>
          <cell r="AB4206" t="str">
            <v/>
          </cell>
          <cell r="AC4206" t="str">
            <v/>
          </cell>
          <cell r="AD4206" t="str">
            <v/>
          </cell>
          <cell r="AY4206" t="str">
            <v/>
          </cell>
          <cell r="AZ4206" t="str">
            <v/>
          </cell>
          <cell r="BA4206" t="str">
            <v/>
          </cell>
        </row>
        <row r="4207">
          <cell r="B4207" t="str">
            <v>-</v>
          </cell>
          <cell r="E4207" t="str">
            <v/>
          </cell>
          <cell r="G4207" t="str">
            <v/>
          </cell>
          <cell r="J4207" t="str">
            <v/>
          </cell>
          <cell r="O4207" t="str">
            <v/>
          </cell>
          <cell r="P4207" t="str">
            <v/>
          </cell>
          <cell r="Q4207" t="str">
            <v/>
          </cell>
          <cell r="S4207" t="str">
            <v/>
          </cell>
          <cell r="V4207" t="str">
            <v/>
          </cell>
          <cell r="Z4207" t="str">
            <v/>
          </cell>
          <cell r="AA4207" t="str">
            <v/>
          </cell>
          <cell r="AB4207" t="str">
            <v/>
          </cell>
          <cell r="AC4207" t="str">
            <v/>
          </cell>
          <cell r="AD4207" t="str">
            <v/>
          </cell>
          <cell r="AY4207" t="str">
            <v/>
          </cell>
          <cell r="AZ4207" t="str">
            <v/>
          </cell>
          <cell r="BA4207" t="str">
            <v/>
          </cell>
        </row>
        <row r="4208">
          <cell r="B4208" t="str">
            <v>-</v>
          </cell>
          <cell r="E4208" t="str">
            <v/>
          </cell>
          <cell r="G4208" t="str">
            <v/>
          </cell>
          <cell r="J4208" t="str">
            <v/>
          </cell>
          <cell r="O4208" t="str">
            <v/>
          </cell>
          <cell r="P4208" t="str">
            <v/>
          </cell>
          <cell r="Q4208" t="str">
            <v/>
          </cell>
          <cell r="S4208" t="str">
            <v/>
          </cell>
          <cell r="V4208" t="str">
            <v/>
          </cell>
          <cell r="Z4208" t="str">
            <v/>
          </cell>
          <cell r="AA4208" t="str">
            <v/>
          </cell>
          <cell r="AB4208" t="str">
            <v/>
          </cell>
          <cell r="AC4208" t="str">
            <v/>
          </cell>
          <cell r="AD4208" t="str">
            <v/>
          </cell>
          <cell r="AY4208" t="str">
            <v/>
          </cell>
          <cell r="AZ4208" t="str">
            <v/>
          </cell>
          <cell r="BA4208" t="str">
            <v/>
          </cell>
        </row>
        <row r="4209">
          <cell r="B4209" t="str">
            <v>-</v>
          </cell>
          <cell r="E4209" t="str">
            <v/>
          </cell>
          <cell r="G4209" t="str">
            <v/>
          </cell>
          <cell r="J4209" t="str">
            <v/>
          </cell>
          <cell r="O4209" t="str">
            <v/>
          </cell>
          <cell r="P4209" t="str">
            <v/>
          </cell>
          <cell r="Q4209" t="str">
            <v/>
          </cell>
          <cell r="S4209" t="str">
            <v/>
          </cell>
          <cell r="V4209" t="str">
            <v/>
          </cell>
          <cell r="Z4209" t="str">
            <v/>
          </cell>
          <cell r="AA4209" t="str">
            <v/>
          </cell>
          <cell r="AB4209" t="str">
            <v/>
          </cell>
          <cell r="AC4209" t="str">
            <v/>
          </cell>
          <cell r="AD4209" t="str">
            <v/>
          </cell>
          <cell r="AY4209" t="str">
            <v/>
          </cell>
          <cell r="AZ4209" t="str">
            <v/>
          </cell>
          <cell r="BA4209" t="str">
            <v/>
          </cell>
        </row>
        <row r="4210">
          <cell r="B4210" t="str">
            <v>-</v>
          </cell>
          <cell r="E4210" t="str">
            <v/>
          </cell>
          <cell r="G4210" t="str">
            <v/>
          </cell>
          <cell r="J4210" t="str">
            <v/>
          </cell>
          <cell r="O4210" t="str">
            <v/>
          </cell>
          <cell r="P4210" t="str">
            <v/>
          </cell>
          <cell r="Q4210" t="str">
            <v/>
          </cell>
          <cell r="S4210" t="str">
            <v/>
          </cell>
          <cell r="V4210" t="str">
            <v/>
          </cell>
          <cell r="Z4210" t="str">
            <v/>
          </cell>
          <cell r="AA4210" t="str">
            <v/>
          </cell>
          <cell r="AB4210" t="str">
            <v/>
          </cell>
          <cell r="AC4210" t="str">
            <v/>
          </cell>
          <cell r="AD4210" t="str">
            <v/>
          </cell>
          <cell r="AY4210" t="str">
            <v/>
          </cell>
          <cell r="AZ4210" t="str">
            <v/>
          </cell>
          <cell r="BA4210" t="str">
            <v/>
          </cell>
        </row>
        <row r="4211">
          <cell r="B4211" t="str">
            <v>-</v>
          </cell>
          <cell r="E4211" t="str">
            <v/>
          </cell>
          <cell r="G4211" t="str">
            <v/>
          </cell>
          <cell r="J4211" t="str">
            <v/>
          </cell>
          <cell r="O4211" t="str">
            <v/>
          </cell>
          <cell r="P4211" t="str">
            <v/>
          </cell>
          <cell r="Q4211" t="str">
            <v/>
          </cell>
          <cell r="S4211" t="str">
            <v/>
          </cell>
          <cell r="V4211" t="str">
            <v/>
          </cell>
          <cell r="Z4211" t="str">
            <v/>
          </cell>
          <cell r="AA4211" t="str">
            <v/>
          </cell>
          <cell r="AB4211" t="str">
            <v/>
          </cell>
          <cell r="AC4211" t="str">
            <v/>
          </cell>
          <cell r="AD4211" t="str">
            <v/>
          </cell>
          <cell r="AY4211" t="str">
            <v/>
          </cell>
          <cell r="AZ4211" t="str">
            <v/>
          </cell>
          <cell r="BA4211" t="str">
            <v/>
          </cell>
        </row>
        <row r="4212">
          <cell r="B4212" t="str">
            <v>-</v>
          </cell>
          <cell r="E4212" t="str">
            <v/>
          </cell>
          <cell r="G4212" t="str">
            <v/>
          </cell>
          <cell r="J4212" t="str">
            <v/>
          </cell>
          <cell r="O4212" t="str">
            <v/>
          </cell>
          <cell r="P4212" t="str">
            <v/>
          </cell>
          <cell r="Q4212" t="str">
            <v/>
          </cell>
          <cell r="S4212" t="str">
            <v/>
          </cell>
          <cell r="V4212" t="str">
            <v/>
          </cell>
          <cell r="Z4212" t="str">
            <v/>
          </cell>
          <cell r="AA4212" t="str">
            <v/>
          </cell>
          <cell r="AB4212" t="str">
            <v/>
          </cell>
          <cell r="AC4212" t="str">
            <v/>
          </cell>
          <cell r="AD4212" t="str">
            <v/>
          </cell>
          <cell r="AY4212" t="str">
            <v/>
          </cell>
          <cell r="AZ4212" t="str">
            <v/>
          </cell>
          <cell r="BA4212" t="str">
            <v/>
          </cell>
        </row>
        <row r="4213">
          <cell r="B4213" t="str">
            <v>-</v>
          </cell>
          <cell r="E4213" t="str">
            <v/>
          </cell>
          <cell r="G4213" t="str">
            <v/>
          </cell>
          <cell r="J4213" t="str">
            <v/>
          </cell>
          <cell r="O4213" t="str">
            <v/>
          </cell>
          <cell r="P4213" t="str">
            <v/>
          </cell>
          <cell r="Q4213" t="str">
            <v/>
          </cell>
          <cell r="S4213" t="str">
            <v/>
          </cell>
          <cell r="V4213" t="str">
            <v/>
          </cell>
          <cell r="Z4213" t="str">
            <v/>
          </cell>
          <cell r="AA4213" t="str">
            <v/>
          </cell>
          <cell r="AB4213" t="str">
            <v/>
          </cell>
          <cell r="AC4213" t="str">
            <v/>
          </cell>
          <cell r="AD4213" t="str">
            <v/>
          </cell>
          <cell r="AY4213" t="str">
            <v/>
          </cell>
          <cell r="AZ4213" t="str">
            <v/>
          </cell>
          <cell r="BA4213" t="str">
            <v/>
          </cell>
        </row>
        <row r="4214">
          <cell r="B4214" t="str">
            <v>-</v>
          </cell>
          <cell r="E4214" t="str">
            <v/>
          </cell>
          <cell r="G4214" t="str">
            <v/>
          </cell>
          <cell r="J4214" t="str">
            <v/>
          </cell>
          <cell r="O4214" t="str">
            <v/>
          </cell>
          <cell r="P4214" t="str">
            <v/>
          </cell>
          <cell r="Q4214" t="str">
            <v/>
          </cell>
          <cell r="S4214" t="str">
            <v/>
          </cell>
          <cell r="V4214" t="str">
            <v/>
          </cell>
          <cell r="Z4214" t="str">
            <v/>
          </cell>
          <cell r="AA4214" t="str">
            <v/>
          </cell>
          <cell r="AB4214" t="str">
            <v/>
          </cell>
          <cell r="AC4214" t="str">
            <v/>
          </cell>
          <cell r="AD4214" t="str">
            <v/>
          </cell>
          <cell r="AY4214" t="str">
            <v/>
          </cell>
          <cell r="AZ4214" t="str">
            <v/>
          </cell>
          <cell r="BA4214" t="str">
            <v/>
          </cell>
        </row>
        <row r="4215">
          <cell r="B4215" t="str">
            <v>-</v>
          </cell>
          <cell r="E4215" t="str">
            <v/>
          </cell>
          <cell r="G4215" t="str">
            <v/>
          </cell>
          <cell r="J4215" t="str">
            <v/>
          </cell>
          <cell r="O4215" t="str">
            <v/>
          </cell>
          <cell r="P4215" t="str">
            <v/>
          </cell>
          <cell r="Q4215" t="str">
            <v/>
          </cell>
          <cell r="S4215" t="str">
            <v/>
          </cell>
          <cell r="V4215" t="str">
            <v/>
          </cell>
          <cell r="Z4215" t="str">
            <v/>
          </cell>
          <cell r="AA4215" t="str">
            <v/>
          </cell>
          <cell r="AB4215" t="str">
            <v/>
          </cell>
          <cell r="AC4215" t="str">
            <v/>
          </cell>
          <cell r="AD4215" t="str">
            <v/>
          </cell>
          <cell r="AY4215" t="str">
            <v/>
          </cell>
          <cell r="AZ4215" t="str">
            <v/>
          </cell>
          <cell r="BA4215" t="str">
            <v/>
          </cell>
        </row>
        <row r="4216">
          <cell r="B4216" t="str">
            <v>-</v>
          </cell>
          <cell r="E4216" t="str">
            <v/>
          </cell>
          <cell r="G4216" t="str">
            <v/>
          </cell>
          <cell r="J4216" t="str">
            <v/>
          </cell>
          <cell r="O4216" t="str">
            <v/>
          </cell>
          <cell r="P4216" t="str">
            <v/>
          </cell>
          <cell r="Q4216" t="str">
            <v/>
          </cell>
          <cell r="S4216" t="str">
            <v/>
          </cell>
          <cell r="V4216" t="str">
            <v/>
          </cell>
          <cell r="Z4216" t="str">
            <v/>
          </cell>
          <cell r="AA4216" t="str">
            <v/>
          </cell>
          <cell r="AB4216" t="str">
            <v/>
          </cell>
          <cell r="AC4216" t="str">
            <v/>
          </cell>
          <cell r="AD4216" t="str">
            <v/>
          </cell>
          <cell r="AY4216" t="str">
            <v/>
          </cell>
          <cell r="AZ4216" t="str">
            <v/>
          </cell>
          <cell r="BA4216" t="str">
            <v/>
          </cell>
        </row>
        <row r="4217">
          <cell r="B4217" t="str">
            <v>-</v>
          </cell>
          <cell r="E4217" t="str">
            <v/>
          </cell>
          <cell r="G4217" t="str">
            <v/>
          </cell>
          <cell r="J4217" t="str">
            <v/>
          </cell>
          <cell r="O4217" t="str">
            <v/>
          </cell>
          <cell r="P4217" t="str">
            <v/>
          </cell>
          <cell r="Q4217" t="str">
            <v/>
          </cell>
          <cell r="S4217" t="str">
            <v/>
          </cell>
          <cell r="V4217" t="str">
            <v/>
          </cell>
          <cell r="Z4217" t="str">
            <v/>
          </cell>
          <cell r="AA4217" t="str">
            <v/>
          </cell>
          <cell r="AB4217" t="str">
            <v/>
          </cell>
          <cell r="AC4217" t="str">
            <v/>
          </cell>
          <cell r="AD4217" t="str">
            <v/>
          </cell>
          <cell r="AY4217" t="str">
            <v/>
          </cell>
          <cell r="AZ4217" t="str">
            <v/>
          </cell>
          <cell r="BA4217" t="str">
            <v/>
          </cell>
        </row>
        <row r="4218">
          <cell r="B4218" t="str">
            <v>-</v>
          </cell>
          <cell r="E4218" t="str">
            <v/>
          </cell>
          <cell r="G4218" t="str">
            <v/>
          </cell>
          <cell r="J4218" t="str">
            <v/>
          </cell>
          <cell r="O4218" t="str">
            <v/>
          </cell>
          <cell r="P4218" t="str">
            <v/>
          </cell>
          <cell r="Q4218" t="str">
            <v/>
          </cell>
          <cell r="S4218" t="str">
            <v/>
          </cell>
          <cell r="V4218" t="str">
            <v/>
          </cell>
          <cell r="Z4218" t="str">
            <v/>
          </cell>
          <cell r="AA4218" t="str">
            <v/>
          </cell>
          <cell r="AB4218" t="str">
            <v/>
          </cell>
          <cell r="AC4218" t="str">
            <v/>
          </cell>
          <cell r="AD4218" t="str">
            <v/>
          </cell>
          <cell r="AY4218" t="str">
            <v/>
          </cell>
          <cell r="AZ4218" t="str">
            <v/>
          </cell>
          <cell r="BA4218" t="str">
            <v/>
          </cell>
        </row>
        <row r="4219">
          <cell r="B4219" t="str">
            <v>-</v>
          </cell>
          <cell r="E4219" t="str">
            <v/>
          </cell>
          <cell r="G4219" t="str">
            <v/>
          </cell>
          <cell r="J4219" t="str">
            <v/>
          </cell>
          <cell r="O4219" t="str">
            <v/>
          </cell>
          <cell r="P4219" t="str">
            <v/>
          </cell>
          <cell r="Q4219" t="str">
            <v/>
          </cell>
          <cell r="S4219" t="str">
            <v/>
          </cell>
          <cell r="V4219" t="str">
            <v/>
          </cell>
          <cell r="Z4219" t="str">
            <v/>
          </cell>
          <cell r="AA4219" t="str">
            <v/>
          </cell>
          <cell r="AB4219" t="str">
            <v/>
          </cell>
          <cell r="AC4219" t="str">
            <v/>
          </cell>
          <cell r="AD4219" t="str">
            <v/>
          </cell>
          <cell r="AY4219" t="str">
            <v/>
          </cell>
          <cell r="AZ4219" t="str">
            <v/>
          </cell>
          <cell r="BA4219" t="str">
            <v/>
          </cell>
        </row>
        <row r="4220">
          <cell r="B4220" t="str">
            <v>-</v>
          </cell>
          <cell r="E4220" t="str">
            <v/>
          </cell>
          <cell r="G4220" t="str">
            <v/>
          </cell>
          <cell r="J4220" t="str">
            <v/>
          </cell>
          <cell r="O4220" t="str">
            <v/>
          </cell>
          <cell r="P4220" t="str">
            <v/>
          </cell>
          <cell r="Q4220" t="str">
            <v/>
          </cell>
          <cell r="S4220" t="str">
            <v/>
          </cell>
          <cell r="V4220" t="str">
            <v/>
          </cell>
          <cell r="Z4220" t="str">
            <v/>
          </cell>
          <cell r="AA4220" t="str">
            <v/>
          </cell>
          <cell r="AB4220" t="str">
            <v/>
          </cell>
          <cell r="AC4220" t="str">
            <v/>
          </cell>
          <cell r="AD4220" t="str">
            <v/>
          </cell>
          <cell r="AY4220" t="str">
            <v/>
          </cell>
          <cell r="AZ4220" t="str">
            <v/>
          </cell>
          <cell r="BA4220" t="str">
            <v/>
          </cell>
        </row>
        <row r="4221">
          <cell r="B4221" t="str">
            <v>-</v>
          </cell>
          <cell r="E4221" t="str">
            <v/>
          </cell>
          <cell r="G4221" t="str">
            <v/>
          </cell>
          <cell r="J4221" t="str">
            <v/>
          </cell>
          <cell r="O4221" t="str">
            <v/>
          </cell>
          <cell r="P4221" t="str">
            <v/>
          </cell>
          <cell r="Q4221" t="str">
            <v/>
          </cell>
          <cell r="S4221" t="str">
            <v/>
          </cell>
          <cell r="V4221" t="str">
            <v/>
          </cell>
          <cell r="Z4221" t="str">
            <v/>
          </cell>
          <cell r="AA4221" t="str">
            <v/>
          </cell>
          <cell r="AB4221" t="str">
            <v/>
          </cell>
          <cell r="AC4221" t="str">
            <v/>
          </cell>
          <cell r="AD4221" t="str">
            <v/>
          </cell>
          <cell r="AY4221" t="str">
            <v/>
          </cell>
          <cell r="AZ4221" t="str">
            <v/>
          </cell>
          <cell r="BA4221" t="str">
            <v/>
          </cell>
        </row>
        <row r="4222">
          <cell r="B4222" t="str">
            <v>-</v>
          </cell>
          <cell r="E4222" t="str">
            <v/>
          </cell>
          <cell r="G4222" t="str">
            <v/>
          </cell>
          <cell r="J4222" t="str">
            <v/>
          </cell>
          <cell r="O4222" t="str">
            <v/>
          </cell>
          <cell r="P4222" t="str">
            <v/>
          </cell>
          <cell r="Q4222" t="str">
            <v/>
          </cell>
          <cell r="S4222" t="str">
            <v/>
          </cell>
          <cell r="V4222" t="str">
            <v/>
          </cell>
          <cell r="Z4222" t="str">
            <v/>
          </cell>
          <cell r="AA4222" t="str">
            <v/>
          </cell>
          <cell r="AB4222" t="str">
            <v/>
          </cell>
          <cell r="AC4222" t="str">
            <v/>
          </cell>
          <cell r="AD4222" t="str">
            <v/>
          </cell>
          <cell r="AY4222" t="str">
            <v/>
          </cell>
          <cell r="AZ4222" t="str">
            <v/>
          </cell>
          <cell r="BA4222" t="str">
            <v/>
          </cell>
        </row>
        <row r="4223">
          <cell r="B4223" t="str">
            <v>-</v>
          </cell>
          <cell r="E4223" t="str">
            <v/>
          </cell>
          <cell r="G4223" t="str">
            <v/>
          </cell>
          <cell r="J4223" t="str">
            <v/>
          </cell>
          <cell r="O4223" t="str">
            <v/>
          </cell>
          <cell r="P4223" t="str">
            <v/>
          </cell>
          <cell r="Q4223" t="str">
            <v/>
          </cell>
          <cell r="S4223" t="str">
            <v/>
          </cell>
          <cell r="V4223" t="str">
            <v/>
          </cell>
          <cell r="Z4223" t="str">
            <v/>
          </cell>
          <cell r="AA4223" t="str">
            <v/>
          </cell>
          <cell r="AB4223" t="str">
            <v/>
          </cell>
          <cell r="AC4223" t="str">
            <v/>
          </cell>
          <cell r="AD4223" t="str">
            <v/>
          </cell>
          <cell r="AY4223" t="str">
            <v/>
          </cell>
          <cell r="AZ4223" t="str">
            <v/>
          </cell>
          <cell r="BA4223" t="str">
            <v/>
          </cell>
        </row>
        <row r="4224">
          <cell r="B4224" t="str">
            <v>-</v>
          </cell>
          <cell r="E4224" t="str">
            <v/>
          </cell>
          <cell r="G4224" t="str">
            <v/>
          </cell>
          <cell r="J4224" t="str">
            <v/>
          </cell>
          <cell r="O4224" t="str">
            <v/>
          </cell>
          <cell r="P4224" t="str">
            <v/>
          </cell>
          <cell r="Q4224" t="str">
            <v/>
          </cell>
          <cell r="S4224" t="str">
            <v/>
          </cell>
          <cell r="V4224" t="str">
            <v/>
          </cell>
          <cell r="Z4224" t="str">
            <v/>
          </cell>
          <cell r="AA4224" t="str">
            <v/>
          </cell>
          <cell r="AB4224" t="str">
            <v/>
          </cell>
          <cell r="AC4224" t="str">
            <v/>
          </cell>
          <cell r="AD4224" t="str">
            <v/>
          </cell>
          <cell r="AY4224" t="str">
            <v/>
          </cell>
          <cell r="AZ4224" t="str">
            <v/>
          </cell>
          <cell r="BA4224" t="str">
            <v/>
          </cell>
        </row>
        <row r="4225">
          <cell r="B4225" t="str">
            <v>-</v>
          </cell>
          <cell r="E4225" t="str">
            <v/>
          </cell>
          <cell r="G4225" t="str">
            <v/>
          </cell>
          <cell r="J4225" t="str">
            <v/>
          </cell>
          <cell r="O4225" t="str">
            <v/>
          </cell>
          <cell r="P4225" t="str">
            <v/>
          </cell>
          <cell r="Q4225" t="str">
            <v/>
          </cell>
          <cell r="S4225" t="str">
            <v/>
          </cell>
          <cell r="V4225" t="str">
            <v/>
          </cell>
          <cell r="Z4225" t="str">
            <v/>
          </cell>
          <cell r="AA4225" t="str">
            <v/>
          </cell>
          <cell r="AB4225" t="str">
            <v/>
          </cell>
          <cell r="AC4225" t="str">
            <v/>
          </cell>
          <cell r="AD4225" t="str">
            <v/>
          </cell>
          <cell r="AY4225" t="str">
            <v/>
          </cell>
          <cell r="AZ4225" t="str">
            <v/>
          </cell>
          <cell r="BA4225" t="str">
            <v/>
          </cell>
        </row>
        <row r="4226">
          <cell r="B4226" t="str">
            <v>-</v>
          </cell>
          <cell r="E4226" t="str">
            <v/>
          </cell>
          <cell r="G4226" t="str">
            <v/>
          </cell>
          <cell r="J4226" t="str">
            <v/>
          </cell>
          <cell r="O4226" t="str">
            <v/>
          </cell>
          <cell r="P4226" t="str">
            <v/>
          </cell>
          <cell r="Q4226" t="str">
            <v/>
          </cell>
          <cell r="S4226" t="str">
            <v/>
          </cell>
          <cell r="V4226" t="str">
            <v/>
          </cell>
          <cell r="Z4226" t="str">
            <v/>
          </cell>
          <cell r="AA4226" t="str">
            <v/>
          </cell>
          <cell r="AB4226" t="str">
            <v/>
          </cell>
          <cell r="AC4226" t="str">
            <v/>
          </cell>
          <cell r="AD4226" t="str">
            <v/>
          </cell>
          <cell r="AY4226" t="str">
            <v/>
          </cell>
          <cell r="AZ4226" t="str">
            <v/>
          </cell>
          <cell r="BA4226" t="str">
            <v/>
          </cell>
        </row>
        <row r="4227">
          <cell r="B4227" t="str">
            <v>-</v>
          </cell>
          <cell r="E4227" t="str">
            <v/>
          </cell>
          <cell r="G4227" t="str">
            <v/>
          </cell>
          <cell r="J4227" t="str">
            <v/>
          </cell>
          <cell r="O4227" t="str">
            <v/>
          </cell>
          <cell r="P4227" t="str">
            <v/>
          </cell>
          <cell r="Q4227" t="str">
            <v/>
          </cell>
          <cell r="S4227" t="str">
            <v/>
          </cell>
          <cell r="V4227" t="str">
            <v/>
          </cell>
          <cell r="Z4227" t="str">
            <v/>
          </cell>
          <cell r="AA4227" t="str">
            <v/>
          </cell>
          <cell r="AB4227" t="str">
            <v/>
          </cell>
          <cell r="AC4227" t="str">
            <v/>
          </cell>
          <cell r="AD4227" t="str">
            <v/>
          </cell>
          <cell r="AY4227" t="str">
            <v/>
          </cell>
          <cell r="AZ4227" t="str">
            <v/>
          </cell>
          <cell r="BA4227" t="str">
            <v/>
          </cell>
        </row>
        <row r="4228">
          <cell r="B4228" t="str">
            <v>-</v>
          </cell>
          <cell r="E4228" t="str">
            <v/>
          </cell>
          <cell r="G4228" t="str">
            <v/>
          </cell>
          <cell r="J4228" t="str">
            <v/>
          </cell>
          <cell r="O4228" t="str">
            <v/>
          </cell>
          <cell r="P4228" t="str">
            <v/>
          </cell>
          <cell r="Q4228" t="str">
            <v/>
          </cell>
          <cell r="S4228" t="str">
            <v/>
          </cell>
          <cell r="V4228" t="str">
            <v/>
          </cell>
          <cell r="Z4228" t="str">
            <v/>
          </cell>
          <cell r="AA4228" t="str">
            <v/>
          </cell>
          <cell r="AB4228" t="str">
            <v/>
          </cell>
          <cell r="AC4228" t="str">
            <v/>
          </cell>
          <cell r="AD4228" t="str">
            <v/>
          </cell>
          <cell r="AY4228" t="str">
            <v/>
          </cell>
          <cell r="AZ4228" t="str">
            <v/>
          </cell>
          <cell r="BA4228" t="str">
            <v/>
          </cell>
        </row>
        <row r="4229">
          <cell r="B4229" t="str">
            <v>-</v>
          </cell>
          <cell r="E4229" t="str">
            <v/>
          </cell>
          <cell r="G4229" t="str">
            <v/>
          </cell>
          <cell r="J4229" t="str">
            <v/>
          </cell>
          <cell r="O4229" t="str">
            <v/>
          </cell>
          <cell r="P4229" t="str">
            <v/>
          </cell>
          <cell r="Q4229" t="str">
            <v/>
          </cell>
          <cell r="S4229" t="str">
            <v/>
          </cell>
          <cell r="V4229" t="str">
            <v/>
          </cell>
          <cell r="Z4229" t="str">
            <v/>
          </cell>
          <cell r="AA4229" t="str">
            <v/>
          </cell>
          <cell r="AB4229" t="str">
            <v/>
          </cell>
          <cell r="AC4229" t="str">
            <v/>
          </cell>
          <cell r="AD4229" t="str">
            <v/>
          </cell>
          <cell r="AY4229" t="str">
            <v/>
          </cell>
          <cell r="AZ4229" t="str">
            <v/>
          </cell>
          <cell r="BA4229" t="str">
            <v/>
          </cell>
        </row>
        <row r="4230">
          <cell r="B4230" t="str">
            <v>-</v>
          </cell>
          <cell r="E4230" t="str">
            <v/>
          </cell>
          <cell r="G4230" t="str">
            <v/>
          </cell>
          <cell r="J4230" t="str">
            <v/>
          </cell>
          <cell r="O4230" t="str">
            <v/>
          </cell>
          <cell r="P4230" t="str">
            <v/>
          </cell>
          <cell r="Q4230" t="str">
            <v/>
          </cell>
          <cell r="S4230" t="str">
            <v/>
          </cell>
          <cell r="V4230" t="str">
            <v/>
          </cell>
          <cell r="Z4230" t="str">
            <v/>
          </cell>
          <cell r="AA4230" t="str">
            <v/>
          </cell>
          <cell r="AB4230" t="str">
            <v/>
          </cell>
          <cell r="AC4230" t="str">
            <v/>
          </cell>
          <cell r="AD4230" t="str">
            <v/>
          </cell>
          <cell r="AY4230" t="str">
            <v/>
          </cell>
          <cell r="AZ4230" t="str">
            <v/>
          </cell>
          <cell r="BA4230" t="str">
            <v/>
          </cell>
        </row>
        <row r="4231">
          <cell r="B4231" t="str">
            <v>-</v>
          </cell>
          <cell r="E4231" t="str">
            <v/>
          </cell>
          <cell r="G4231" t="str">
            <v/>
          </cell>
          <cell r="J4231" t="str">
            <v/>
          </cell>
          <cell r="O4231" t="str">
            <v/>
          </cell>
          <cell r="P4231" t="str">
            <v/>
          </cell>
          <cell r="Q4231" t="str">
            <v/>
          </cell>
          <cell r="S4231" t="str">
            <v/>
          </cell>
          <cell r="V4231" t="str">
            <v/>
          </cell>
          <cell r="Z4231" t="str">
            <v/>
          </cell>
          <cell r="AA4231" t="str">
            <v/>
          </cell>
          <cell r="AB4231" t="str">
            <v/>
          </cell>
          <cell r="AC4231" t="str">
            <v/>
          </cell>
          <cell r="AD4231" t="str">
            <v/>
          </cell>
          <cell r="AY4231" t="str">
            <v/>
          </cell>
          <cell r="AZ4231" t="str">
            <v/>
          </cell>
          <cell r="BA4231" t="str">
            <v/>
          </cell>
        </row>
        <row r="4232">
          <cell r="B4232" t="str">
            <v>-</v>
          </cell>
          <cell r="E4232" t="str">
            <v/>
          </cell>
          <cell r="G4232" t="str">
            <v/>
          </cell>
          <cell r="J4232" t="str">
            <v/>
          </cell>
          <cell r="O4232" t="str">
            <v/>
          </cell>
          <cell r="P4232" t="str">
            <v/>
          </cell>
          <cell r="Q4232" t="str">
            <v/>
          </cell>
          <cell r="S4232" t="str">
            <v/>
          </cell>
          <cell r="V4232" t="str">
            <v/>
          </cell>
          <cell r="Z4232" t="str">
            <v/>
          </cell>
          <cell r="AA4232" t="str">
            <v/>
          </cell>
          <cell r="AB4232" t="str">
            <v/>
          </cell>
          <cell r="AC4232" t="str">
            <v/>
          </cell>
          <cell r="AD4232" t="str">
            <v/>
          </cell>
          <cell r="AY4232" t="str">
            <v/>
          </cell>
          <cell r="AZ4232" t="str">
            <v/>
          </cell>
          <cell r="BA4232" t="str">
            <v/>
          </cell>
        </row>
        <row r="4233">
          <cell r="B4233" t="str">
            <v>-</v>
          </cell>
          <cell r="E4233" t="str">
            <v/>
          </cell>
          <cell r="G4233" t="str">
            <v/>
          </cell>
          <cell r="J4233" t="str">
            <v/>
          </cell>
          <cell r="O4233" t="str">
            <v/>
          </cell>
          <cell r="P4233" t="str">
            <v/>
          </cell>
          <cell r="Q4233" t="str">
            <v/>
          </cell>
          <cell r="S4233" t="str">
            <v/>
          </cell>
          <cell r="V4233" t="str">
            <v/>
          </cell>
          <cell r="Z4233" t="str">
            <v/>
          </cell>
          <cell r="AA4233" t="str">
            <v/>
          </cell>
          <cell r="AB4233" t="str">
            <v/>
          </cell>
          <cell r="AC4233" t="str">
            <v/>
          </cell>
          <cell r="AD4233" t="str">
            <v/>
          </cell>
          <cell r="AY4233" t="str">
            <v/>
          </cell>
          <cell r="AZ4233" t="str">
            <v/>
          </cell>
          <cell r="BA4233" t="str">
            <v/>
          </cell>
        </row>
        <row r="4234">
          <cell r="B4234" t="str">
            <v>-</v>
          </cell>
          <cell r="E4234" t="str">
            <v/>
          </cell>
          <cell r="G4234" t="str">
            <v/>
          </cell>
          <cell r="J4234" t="str">
            <v/>
          </cell>
          <cell r="O4234" t="str">
            <v/>
          </cell>
          <cell r="P4234" t="str">
            <v/>
          </cell>
          <cell r="Q4234" t="str">
            <v/>
          </cell>
          <cell r="S4234" t="str">
            <v/>
          </cell>
          <cell r="V4234" t="str">
            <v/>
          </cell>
          <cell r="Z4234" t="str">
            <v/>
          </cell>
          <cell r="AA4234" t="str">
            <v/>
          </cell>
          <cell r="AB4234" t="str">
            <v/>
          </cell>
          <cell r="AC4234" t="str">
            <v/>
          </cell>
          <cell r="AD4234" t="str">
            <v/>
          </cell>
          <cell r="AY4234" t="str">
            <v/>
          </cell>
          <cell r="AZ4234" t="str">
            <v/>
          </cell>
          <cell r="BA4234" t="str">
            <v/>
          </cell>
        </row>
        <row r="4235">
          <cell r="B4235" t="str">
            <v>-</v>
          </cell>
          <cell r="E4235" t="str">
            <v/>
          </cell>
          <cell r="G4235" t="str">
            <v/>
          </cell>
          <cell r="J4235" t="str">
            <v/>
          </cell>
          <cell r="O4235" t="str">
            <v/>
          </cell>
          <cell r="P4235" t="str">
            <v/>
          </cell>
          <cell r="Q4235" t="str">
            <v/>
          </cell>
          <cell r="S4235" t="str">
            <v/>
          </cell>
          <cell r="V4235" t="str">
            <v/>
          </cell>
          <cell r="Z4235" t="str">
            <v/>
          </cell>
          <cell r="AA4235" t="str">
            <v/>
          </cell>
          <cell r="AB4235" t="str">
            <v/>
          </cell>
          <cell r="AC4235" t="str">
            <v/>
          </cell>
          <cell r="AD4235" t="str">
            <v/>
          </cell>
          <cell r="AY4235" t="str">
            <v/>
          </cell>
          <cell r="AZ4235" t="str">
            <v/>
          </cell>
          <cell r="BA4235" t="str">
            <v/>
          </cell>
        </row>
        <row r="4236">
          <cell r="B4236" t="str">
            <v>-</v>
          </cell>
          <cell r="E4236" t="str">
            <v/>
          </cell>
          <cell r="G4236" t="str">
            <v/>
          </cell>
          <cell r="J4236" t="str">
            <v/>
          </cell>
          <cell r="O4236" t="str">
            <v/>
          </cell>
          <cell r="P4236" t="str">
            <v/>
          </cell>
          <cell r="Q4236" t="str">
            <v/>
          </cell>
          <cell r="S4236" t="str">
            <v/>
          </cell>
          <cell r="V4236" t="str">
            <v/>
          </cell>
          <cell r="Z4236" t="str">
            <v/>
          </cell>
          <cell r="AA4236" t="str">
            <v/>
          </cell>
          <cell r="AB4236" t="str">
            <v/>
          </cell>
          <cell r="AC4236" t="str">
            <v/>
          </cell>
          <cell r="AD4236" t="str">
            <v/>
          </cell>
          <cell r="AY4236" t="str">
            <v/>
          </cell>
          <cell r="AZ4236" t="str">
            <v/>
          </cell>
          <cell r="BA4236" t="str">
            <v/>
          </cell>
        </row>
        <row r="4237">
          <cell r="B4237" t="str">
            <v>-</v>
          </cell>
          <cell r="E4237" t="str">
            <v/>
          </cell>
          <cell r="G4237" t="str">
            <v/>
          </cell>
          <cell r="J4237" t="str">
            <v/>
          </cell>
          <cell r="O4237" t="str">
            <v/>
          </cell>
          <cell r="P4237" t="str">
            <v/>
          </cell>
          <cell r="Q4237" t="str">
            <v/>
          </cell>
          <cell r="S4237" t="str">
            <v/>
          </cell>
          <cell r="V4237" t="str">
            <v/>
          </cell>
          <cell r="Z4237" t="str">
            <v/>
          </cell>
          <cell r="AA4237" t="str">
            <v/>
          </cell>
          <cell r="AB4237" t="str">
            <v/>
          </cell>
          <cell r="AC4237" t="str">
            <v/>
          </cell>
          <cell r="AD4237" t="str">
            <v/>
          </cell>
          <cell r="AY4237" t="str">
            <v/>
          </cell>
          <cell r="AZ4237" t="str">
            <v/>
          </cell>
          <cell r="BA4237" t="str">
            <v/>
          </cell>
        </row>
        <row r="4238">
          <cell r="B4238" t="str">
            <v>-</v>
          </cell>
          <cell r="E4238" t="str">
            <v/>
          </cell>
          <cell r="G4238" t="str">
            <v/>
          </cell>
          <cell r="J4238" t="str">
            <v/>
          </cell>
          <cell r="O4238" t="str">
            <v/>
          </cell>
          <cell r="P4238" t="str">
            <v/>
          </cell>
          <cell r="Q4238" t="str">
            <v/>
          </cell>
          <cell r="S4238" t="str">
            <v/>
          </cell>
          <cell r="V4238" t="str">
            <v/>
          </cell>
          <cell r="Z4238" t="str">
            <v/>
          </cell>
          <cell r="AA4238" t="str">
            <v/>
          </cell>
          <cell r="AB4238" t="str">
            <v/>
          </cell>
          <cell r="AC4238" t="str">
            <v/>
          </cell>
          <cell r="AD4238" t="str">
            <v/>
          </cell>
          <cell r="AY4238" t="str">
            <v/>
          </cell>
          <cell r="AZ4238" t="str">
            <v/>
          </cell>
          <cell r="BA4238" t="str">
            <v/>
          </cell>
        </row>
        <row r="4239">
          <cell r="B4239" t="str">
            <v>-</v>
          </cell>
          <cell r="E4239" t="str">
            <v/>
          </cell>
          <cell r="G4239" t="str">
            <v/>
          </cell>
          <cell r="J4239" t="str">
            <v/>
          </cell>
          <cell r="O4239" t="str">
            <v/>
          </cell>
          <cell r="P4239" t="str">
            <v/>
          </cell>
          <cell r="Q4239" t="str">
            <v/>
          </cell>
          <cell r="S4239" t="str">
            <v/>
          </cell>
          <cell r="V4239" t="str">
            <v/>
          </cell>
          <cell r="Z4239" t="str">
            <v/>
          </cell>
          <cell r="AA4239" t="str">
            <v/>
          </cell>
          <cell r="AB4239" t="str">
            <v/>
          </cell>
          <cell r="AC4239" t="str">
            <v/>
          </cell>
          <cell r="AD4239" t="str">
            <v/>
          </cell>
          <cell r="AY4239" t="str">
            <v/>
          </cell>
          <cell r="AZ4239" t="str">
            <v/>
          </cell>
          <cell r="BA4239" t="str">
            <v/>
          </cell>
        </row>
        <row r="4240">
          <cell r="B4240" t="str">
            <v>-</v>
          </cell>
          <cell r="E4240" t="str">
            <v/>
          </cell>
          <cell r="G4240" t="str">
            <v/>
          </cell>
          <cell r="J4240" t="str">
            <v/>
          </cell>
          <cell r="O4240" t="str">
            <v/>
          </cell>
          <cell r="P4240" t="str">
            <v/>
          </cell>
          <cell r="Q4240" t="str">
            <v/>
          </cell>
          <cell r="S4240" t="str">
            <v/>
          </cell>
          <cell r="V4240" t="str">
            <v/>
          </cell>
          <cell r="Z4240" t="str">
            <v/>
          </cell>
          <cell r="AA4240" t="str">
            <v/>
          </cell>
          <cell r="AB4240" t="str">
            <v/>
          </cell>
          <cell r="AC4240" t="str">
            <v/>
          </cell>
          <cell r="AD4240" t="str">
            <v/>
          </cell>
          <cell r="AY4240" t="str">
            <v/>
          </cell>
          <cell r="AZ4240" t="str">
            <v/>
          </cell>
          <cell r="BA4240" t="str">
            <v/>
          </cell>
        </row>
        <row r="4241">
          <cell r="B4241" t="str">
            <v>-</v>
          </cell>
          <cell r="E4241" t="str">
            <v/>
          </cell>
          <cell r="G4241" t="str">
            <v/>
          </cell>
          <cell r="J4241" t="str">
            <v/>
          </cell>
          <cell r="O4241" t="str">
            <v/>
          </cell>
          <cell r="P4241" t="str">
            <v/>
          </cell>
          <cell r="Q4241" t="str">
            <v/>
          </cell>
          <cell r="S4241" t="str">
            <v/>
          </cell>
          <cell r="V4241" t="str">
            <v/>
          </cell>
          <cell r="Z4241" t="str">
            <v/>
          </cell>
          <cell r="AA4241" t="str">
            <v/>
          </cell>
          <cell r="AB4241" t="str">
            <v/>
          </cell>
          <cell r="AC4241" t="str">
            <v/>
          </cell>
          <cell r="AD4241" t="str">
            <v/>
          </cell>
          <cell r="AY4241" t="str">
            <v/>
          </cell>
          <cell r="AZ4241" t="str">
            <v/>
          </cell>
          <cell r="BA4241" t="str">
            <v/>
          </cell>
        </row>
        <row r="4242">
          <cell r="B4242" t="str">
            <v>-</v>
          </cell>
          <cell r="E4242" t="str">
            <v/>
          </cell>
          <cell r="G4242" t="str">
            <v/>
          </cell>
          <cell r="J4242" t="str">
            <v/>
          </cell>
          <cell r="O4242" t="str">
            <v/>
          </cell>
          <cell r="P4242" t="str">
            <v/>
          </cell>
          <cell r="Q4242" t="str">
            <v/>
          </cell>
          <cell r="S4242" t="str">
            <v/>
          </cell>
          <cell r="V4242" t="str">
            <v/>
          </cell>
          <cell r="Z4242" t="str">
            <v/>
          </cell>
          <cell r="AA4242" t="str">
            <v/>
          </cell>
          <cell r="AB4242" t="str">
            <v/>
          </cell>
          <cell r="AC4242" t="str">
            <v/>
          </cell>
          <cell r="AD4242" t="str">
            <v/>
          </cell>
          <cell r="AY4242" t="str">
            <v/>
          </cell>
          <cell r="AZ4242" t="str">
            <v/>
          </cell>
          <cell r="BA4242" t="str">
            <v/>
          </cell>
        </row>
        <row r="4243">
          <cell r="B4243" t="str">
            <v>-</v>
          </cell>
          <cell r="E4243" t="str">
            <v/>
          </cell>
          <cell r="G4243" t="str">
            <v/>
          </cell>
          <cell r="J4243" t="str">
            <v/>
          </cell>
          <cell r="O4243" t="str">
            <v/>
          </cell>
          <cell r="P4243" t="str">
            <v/>
          </cell>
          <cell r="Q4243" t="str">
            <v/>
          </cell>
          <cell r="S4243" t="str">
            <v/>
          </cell>
          <cell r="V4243" t="str">
            <v/>
          </cell>
          <cell r="Z4243" t="str">
            <v/>
          </cell>
          <cell r="AA4243" t="str">
            <v/>
          </cell>
          <cell r="AB4243" t="str">
            <v/>
          </cell>
          <cell r="AC4243" t="str">
            <v/>
          </cell>
          <cell r="AD4243" t="str">
            <v/>
          </cell>
          <cell r="AY4243" t="str">
            <v/>
          </cell>
          <cell r="AZ4243" t="str">
            <v/>
          </cell>
          <cell r="BA4243" t="str">
            <v/>
          </cell>
        </row>
        <row r="4244">
          <cell r="B4244" t="str">
            <v>-</v>
          </cell>
          <cell r="E4244" t="str">
            <v/>
          </cell>
          <cell r="G4244" t="str">
            <v/>
          </cell>
          <cell r="J4244" t="str">
            <v/>
          </cell>
          <cell r="O4244" t="str">
            <v/>
          </cell>
          <cell r="P4244" t="str">
            <v/>
          </cell>
          <cell r="Q4244" t="str">
            <v/>
          </cell>
          <cell r="S4244" t="str">
            <v/>
          </cell>
          <cell r="V4244" t="str">
            <v/>
          </cell>
          <cell r="Z4244" t="str">
            <v/>
          </cell>
          <cell r="AA4244" t="str">
            <v/>
          </cell>
          <cell r="AB4244" t="str">
            <v/>
          </cell>
          <cell r="AC4244" t="str">
            <v/>
          </cell>
          <cell r="AD4244" t="str">
            <v/>
          </cell>
          <cell r="AY4244" t="str">
            <v/>
          </cell>
          <cell r="AZ4244" t="str">
            <v/>
          </cell>
          <cell r="BA4244" t="str">
            <v/>
          </cell>
        </row>
        <row r="4245">
          <cell r="B4245" t="str">
            <v>-</v>
          </cell>
          <cell r="E4245" t="str">
            <v/>
          </cell>
          <cell r="G4245" t="str">
            <v/>
          </cell>
          <cell r="J4245" t="str">
            <v/>
          </cell>
          <cell r="O4245" t="str">
            <v/>
          </cell>
          <cell r="P4245" t="str">
            <v/>
          </cell>
          <cell r="Q4245" t="str">
            <v/>
          </cell>
          <cell r="S4245" t="str">
            <v/>
          </cell>
          <cell r="V4245" t="str">
            <v/>
          </cell>
          <cell r="Z4245" t="str">
            <v/>
          </cell>
          <cell r="AA4245" t="str">
            <v/>
          </cell>
          <cell r="AB4245" t="str">
            <v/>
          </cell>
          <cell r="AC4245" t="str">
            <v/>
          </cell>
          <cell r="AD4245" t="str">
            <v/>
          </cell>
          <cell r="AY4245" t="str">
            <v/>
          </cell>
          <cell r="AZ4245" t="str">
            <v/>
          </cell>
          <cell r="BA4245" t="str">
            <v/>
          </cell>
        </row>
        <row r="4246">
          <cell r="B4246" t="str">
            <v>-</v>
          </cell>
          <cell r="E4246" t="str">
            <v/>
          </cell>
          <cell r="G4246" t="str">
            <v/>
          </cell>
          <cell r="J4246" t="str">
            <v/>
          </cell>
          <cell r="O4246" t="str">
            <v/>
          </cell>
          <cell r="P4246" t="str">
            <v/>
          </cell>
          <cell r="Q4246" t="str">
            <v/>
          </cell>
          <cell r="S4246" t="str">
            <v/>
          </cell>
          <cell r="V4246" t="str">
            <v/>
          </cell>
          <cell r="Z4246" t="str">
            <v/>
          </cell>
          <cell r="AA4246" t="str">
            <v/>
          </cell>
          <cell r="AB4246" t="str">
            <v/>
          </cell>
          <cell r="AC4246" t="str">
            <v/>
          </cell>
          <cell r="AD4246" t="str">
            <v/>
          </cell>
          <cell r="AY4246" t="str">
            <v/>
          </cell>
          <cell r="AZ4246" t="str">
            <v/>
          </cell>
          <cell r="BA4246" t="str">
            <v/>
          </cell>
        </row>
        <row r="4247">
          <cell r="B4247" t="str">
            <v>-</v>
          </cell>
          <cell r="E4247" t="str">
            <v/>
          </cell>
          <cell r="G4247" t="str">
            <v/>
          </cell>
          <cell r="J4247" t="str">
            <v/>
          </cell>
          <cell r="O4247" t="str">
            <v/>
          </cell>
          <cell r="P4247" t="str">
            <v/>
          </cell>
          <cell r="Q4247" t="str">
            <v/>
          </cell>
          <cell r="S4247" t="str">
            <v/>
          </cell>
          <cell r="V4247" t="str">
            <v/>
          </cell>
          <cell r="Z4247" t="str">
            <v/>
          </cell>
          <cell r="AA4247" t="str">
            <v/>
          </cell>
          <cell r="AB4247" t="str">
            <v/>
          </cell>
          <cell r="AC4247" t="str">
            <v/>
          </cell>
          <cell r="AD4247" t="str">
            <v/>
          </cell>
          <cell r="AY4247" t="str">
            <v/>
          </cell>
          <cell r="AZ4247" t="str">
            <v/>
          </cell>
          <cell r="BA4247" t="str">
            <v/>
          </cell>
        </row>
        <row r="4248">
          <cell r="B4248" t="str">
            <v>-</v>
          </cell>
          <cell r="E4248" t="str">
            <v/>
          </cell>
          <cell r="G4248" t="str">
            <v/>
          </cell>
          <cell r="J4248" t="str">
            <v/>
          </cell>
          <cell r="O4248" t="str">
            <v/>
          </cell>
          <cell r="P4248" t="str">
            <v/>
          </cell>
          <cell r="Q4248" t="str">
            <v/>
          </cell>
          <cell r="S4248" t="str">
            <v/>
          </cell>
          <cell r="V4248" t="str">
            <v/>
          </cell>
          <cell r="Z4248" t="str">
            <v/>
          </cell>
          <cell r="AA4248" t="str">
            <v/>
          </cell>
          <cell r="AB4248" t="str">
            <v/>
          </cell>
          <cell r="AC4248" t="str">
            <v/>
          </cell>
          <cell r="AD4248" t="str">
            <v/>
          </cell>
          <cell r="AY4248" t="str">
            <v/>
          </cell>
          <cell r="AZ4248" t="str">
            <v/>
          </cell>
          <cell r="BA4248" t="str">
            <v/>
          </cell>
        </row>
        <row r="4249">
          <cell r="B4249" t="str">
            <v>-</v>
          </cell>
          <cell r="E4249" t="str">
            <v/>
          </cell>
          <cell r="G4249" t="str">
            <v/>
          </cell>
          <cell r="J4249" t="str">
            <v/>
          </cell>
          <cell r="O4249" t="str">
            <v/>
          </cell>
          <cell r="P4249" t="str">
            <v/>
          </cell>
          <cell r="Q4249" t="str">
            <v/>
          </cell>
          <cell r="S4249" t="str">
            <v/>
          </cell>
          <cell r="V4249" t="str">
            <v/>
          </cell>
          <cell r="Z4249" t="str">
            <v/>
          </cell>
          <cell r="AA4249" t="str">
            <v/>
          </cell>
          <cell r="AB4249" t="str">
            <v/>
          </cell>
          <cell r="AC4249" t="str">
            <v/>
          </cell>
          <cell r="AD4249" t="str">
            <v/>
          </cell>
          <cell r="AY4249" t="str">
            <v/>
          </cell>
          <cell r="AZ4249" t="str">
            <v/>
          </cell>
          <cell r="BA4249" t="str">
            <v/>
          </cell>
        </row>
        <row r="4250">
          <cell r="B4250" t="str">
            <v>-</v>
          </cell>
          <cell r="E4250" t="str">
            <v/>
          </cell>
          <cell r="G4250" t="str">
            <v/>
          </cell>
          <cell r="J4250" t="str">
            <v/>
          </cell>
          <cell r="O4250" t="str">
            <v/>
          </cell>
          <cell r="P4250" t="str">
            <v/>
          </cell>
          <cell r="Q4250" t="str">
            <v/>
          </cell>
          <cell r="S4250" t="str">
            <v/>
          </cell>
          <cell r="V4250" t="str">
            <v/>
          </cell>
          <cell r="Z4250" t="str">
            <v/>
          </cell>
          <cell r="AA4250" t="str">
            <v/>
          </cell>
          <cell r="AB4250" t="str">
            <v/>
          </cell>
          <cell r="AC4250" t="str">
            <v/>
          </cell>
          <cell r="AD4250" t="str">
            <v/>
          </cell>
          <cell r="AY4250" t="str">
            <v/>
          </cell>
          <cell r="AZ4250" t="str">
            <v/>
          </cell>
          <cell r="BA4250" t="str">
            <v/>
          </cell>
        </row>
        <row r="4251">
          <cell r="B4251" t="str">
            <v>-</v>
          </cell>
          <cell r="E4251" t="str">
            <v/>
          </cell>
          <cell r="G4251" t="str">
            <v/>
          </cell>
          <cell r="J4251" t="str">
            <v/>
          </cell>
          <cell r="O4251" t="str">
            <v/>
          </cell>
          <cell r="P4251" t="str">
            <v/>
          </cell>
          <cell r="Q4251" t="str">
            <v/>
          </cell>
          <cell r="S4251" t="str">
            <v/>
          </cell>
          <cell r="V4251" t="str">
            <v/>
          </cell>
          <cell r="Z4251" t="str">
            <v/>
          </cell>
          <cell r="AA4251" t="str">
            <v/>
          </cell>
          <cell r="AB4251" t="str">
            <v/>
          </cell>
          <cell r="AC4251" t="str">
            <v/>
          </cell>
          <cell r="AD4251" t="str">
            <v/>
          </cell>
          <cell r="AY4251" t="str">
            <v/>
          </cell>
          <cell r="AZ4251" t="str">
            <v/>
          </cell>
          <cell r="BA4251" t="str">
            <v/>
          </cell>
        </row>
        <row r="4252">
          <cell r="B4252" t="str">
            <v>-</v>
          </cell>
          <cell r="E4252" t="str">
            <v/>
          </cell>
          <cell r="G4252" t="str">
            <v/>
          </cell>
          <cell r="J4252" t="str">
            <v/>
          </cell>
          <cell r="O4252" t="str">
            <v/>
          </cell>
          <cell r="P4252" t="str">
            <v/>
          </cell>
          <cell r="Q4252" t="str">
            <v/>
          </cell>
          <cell r="S4252" t="str">
            <v/>
          </cell>
          <cell r="V4252" t="str">
            <v/>
          </cell>
          <cell r="Z4252" t="str">
            <v/>
          </cell>
          <cell r="AA4252" t="str">
            <v/>
          </cell>
          <cell r="AB4252" t="str">
            <v/>
          </cell>
          <cell r="AC4252" t="str">
            <v/>
          </cell>
          <cell r="AD4252" t="str">
            <v/>
          </cell>
          <cell r="AY4252" t="str">
            <v/>
          </cell>
          <cell r="AZ4252" t="str">
            <v/>
          </cell>
          <cell r="BA4252" t="str">
            <v/>
          </cell>
        </row>
        <row r="4253">
          <cell r="B4253" t="str">
            <v>-</v>
          </cell>
          <cell r="E4253" t="str">
            <v/>
          </cell>
          <cell r="G4253" t="str">
            <v/>
          </cell>
          <cell r="J4253" t="str">
            <v/>
          </cell>
          <cell r="O4253" t="str">
            <v/>
          </cell>
          <cell r="P4253" t="str">
            <v/>
          </cell>
          <cell r="Q4253" t="str">
            <v/>
          </cell>
          <cell r="S4253" t="str">
            <v/>
          </cell>
          <cell r="V4253" t="str">
            <v/>
          </cell>
          <cell r="Z4253" t="str">
            <v/>
          </cell>
          <cell r="AA4253" t="str">
            <v/>
          </cell>
          <cell r="AB4253" t="str">
            <v/>
          </cell>
          <cell r="AC4253" t="str">
            <v/>
          </cell>
          <cell r="AD4253" t="str">
            <v/>
          </cell>
          <cell r="AY4253" t="str">
            <v/>
          </cell>
          <cell r="AZ4253" t="str">
            <v/>
          </cell>
          <cell r="BA4253" t="str">
            <v/>
          </cell>
        </row>
        <row r="4254">
          <cell r="B4254" t="str">
            <v>-</v>
          </cell>
          <cell r="E4254" t="str">
            <v/>
          </cell>
          <cell r="G4254" t="str">
            <v/>
          </cell>
          <cell r="J4254" t="str">
            <v/>
          </cell>
          <cell r="O4254" t="str">
            <v/>
          </cell>
          <cell r="P4254" t="str">
            <v/>
          </cell>
          <cell r="Q4254" t="str">
            <v/>
          </cell>
          <cell r="S4254" t="str">
            <v/>
          </cell>
          <cell r="V4254" t="str">
            <v/>
          </cell>
          <cell r="Z4254" t="str">
            <v/>
          </cell>
          <cell r="AA4254" t="str">
            <v/>
          </cell>
          <cell r="AB4254" t="str">
            <v/>
          </cell>
          <cell r="AC4254" t="str">
            <v/>
          </cell>
          <cell r="AD4254" t="str">
            <v/>
          </cell>
          <cell r="AY4254" t="str">
            <v/>
          </cell>
          <cell r="AZ4254" t="str">
            <v/>
          </cell>
          <cell r="BA4254" t="str">
            <v/>
          </cell>
        </row>
        <row r="4255">
          <cell r="B4255" t="str">
            <v>-</v>
          </cell>
          <cell r="E4255" t="str">
            <v/>
          </cell>
          <cell r="G4255" t="str">
            <v/>
          </cell>
          <cell r="J4255" t="str">
            <v/>
          </cell>
          <cell r="O4255" t="str">
            <v/>
          </cell>
          <cell r="P4255" t="str">
            <v/>
          </cell>
          <cell r="Q4255" t="str">
            <v/>
          </cell>
          <cell r="S4255" t="str">
            <v/>
          </cell>
          <cell r="V4255" t="str">
            <v/>
          </cell>
          <cell r="Z4255" t="str">
            <v/>
          </cell>
          <cell r="AA4255" t="str">
            <v/>
          </cell>
          <cell r="AB4255" t="str">
            <v/>
          </cell>
          <cell r="AC4255" t="str">
            <v/>
          </cell>
          <cell r="AD4255" t="str">
            <v/>
          </cell>
          <cell r="AY4255" t="str">
            <v/>
          </cell>
          <cell r="AZ4255" t="str">
            <v/>
          </cell>
          <cell r="BA4255" t="str">
            <v/>
          </cell>
        </row>
        <row r="4256">
          <cell r="B4256" t="str">
            <v>-</v>
          </cell>
          <cell r="E4256" t="str">
            <v/>
          </cell>
          <cell r="G4256" t="str">
            <v/>
          </cell>
          <cell r="J4256" t="str">
            <v/>
          </cell>
          <cell r="O4256" t="str">
            <v/>
          </cell>
          <cell r="P4256" t="str">
            <v/>
          </cell>
          <cell r="Q4256" t="str">
            <v/>
          </cell>
          <cell r="S4256" t="str">
            <v/>
          </cell>
          <cell r="V4256" t="str">
            <v/>
          </cell>
          <cell r="Z4256" t="str">
            <v/>
          </cell>
          <cell r="AA4256" t="str">
            <v/>
          </cell>
          <cell r="AB4256" t="str">
            <v/>
          </cell>
          <cell r="AC4256" t="str">
            <v/>
          </cell>
          <cell r="AD4256" t="str">
            <v/>
          </cell>
          <cell r="AY4256" t="str">
            <v/>
          </cell>
          <cell r="AZ4256" t="str">
            <v/>
          </cell>
          <cell r="BA4256" t="str">
            <v/>
          </cell>
        </row>
        <row r="4257">
          <cell r="B4257" t="str">
            <v>-</v>
          </cell>
          <cell r="E4257" t="str">
            <v/>
          </cell>
          <cell r="G4257" t="str">
            <v/>
          </cell>
          <cell r="J4257" t="str">
            <v/>
          </cell>
          <cell r="O4257" t="str">
            <v/>
          </cell>
          <cell r="P4257" t="str">
            <v/>
          </cell>
          <cell r="Q4257" t="str">
            <v/>
          </cell>
          <cell r="S4257" t="str">
            <v/>
          </cell>
          <cell r="V4257" t="str">
            <v/>
          </cell>
          <cell r="Z4257" t="str">
            <v/>
          </cell>
          <cell r="AA4257" t="str">
            <v/>
          </cell>
          <cell r="AB4257" t="str">
            <v/>
          </cell>
          <cell r="AC4257" t="str">
            <v/>
          </cell>
          <cell r="AD4257" t="str">
            <v/>
          </cell>
          <cell r="AY4257" t="str">
            <v/>
          </cell>
          <cell r="AZ4257" t="str">
            <v/>
          </cell>
          <cell r="BA4257" t="str">
            <v/>
          </cell>
        </row>
        <row r="4258">
          <cell r="B4258" t="str">
            <v>-</v>
          </cell>
          <cell r="E4258" t="str">
            <v/>
          </cell>
          <cell r="G4258" t="str">
            <v/>
          </cell>
          <cell r="J4258" t="str">
            <v/>
          </cell>
          <cell r="O4258" t="str">
            <v/>
          </cell>
          <cell r="P4258" t="str">
            <v/>
          </cell>
          <cell r="Q4258" t="str">
            <v/>
          </cell>
          <cell r="S4258" t="str">
            <v/>
          </cell>
          <cell r="V4258" t="str">
            <v/>
          </cell>
          <cell r="Z4258" t="str">
            <v/>
          </cell>
          <cell r="AA4258" t="str">
            <v/>
          </cell>
          <cell r="AB4258" t="str">
            <v/>
          </cell>
          <cell r="AC4258" t="str">
            <v/>
          </cell>
          <cell r="AD4258" t="str">
            <v/>
          </cell>
          <cell r="AY4258" t="str">
            <v/>
          </cell>
          <cell r="AZ4258" t="str">
            <v/>
          </cell>
          <cell r="BA4258" t="str">
            <v/>
          </cell>
        </row>
        <row r="4259">
          <cell r="B4259" t="str">
            <v>-</v>
          </cell>
          <cell r="E4259" t="str">
            <v/>
          </cell>
          <cell r="G4259" t="str">
            <v/>
          </cell>
          <cell r="J4259" t="str">
            <v/>
          </cell>
          <cell r="O4259" t="str">
            <v/>
          </cell>
          <cell r="P4259" t="str">
            <v/>
          </cell>
          <cell r="Q4259" t="str">
            <v/>
          </cell>
          <cell r="S4259" t="str">
            <v/>
          </cell>
          <cell r="V4259" t="str">
            <v/>
          </cell>
          <cell r="Z4259" t="str">
            <v/>
          </cell>
          <cell r="AA4259" t="str">
            <v/>
          </cell>
          <cell r="AB4259" t="str">
            <v/>
          </cell>
          <cell r="AC4259" t="str">
            <v/>
          </cell>
          <cell r="AD4259" t="str">
            <v/>
          </cell>
          <cell r="AY4259" t="str">
            <v/>
          </cell>
          <cell r="AZ4259" t="str">
            <v/>
          </cell>
          <cell r="BA4259" t="str">
            <v/>
          </cell>
        </row>
        <row r="4260">
          <cell r="B4260" t="str">
            <v>-</v>
          </cell>
          <cell r="E4260" t="str">
            <v/>
          </cell>
          <cell r="G4260" t="str">
            <v/>
          </cell>
          <cell r="J4260" t="str">
            <v/>
          </cell>
          <cell r="O4260" t="str">
            <v/>
          </cell>
          <cell r="P4260" t="str">
            <v/>
          </cell>
          <cell r="Q4260" t="str">
            <v/>
          </cell>
          <cell r="S4260" t="str">
            <v/>
          </cell>
          <cell r="V4260" t="str">
            <v/>
          </cell>
          <cell r="Z4260" t="str">
            <v/>
          </cell>
          <cell r="AA4260" t="str">
            <v/>
          </cell>
          <cell r="AB4260" t="str">
            <v/>
          </cell>
          <cell r="AC4260" t="str">
            <v/>
          </cell>
          <cell r="AD4260" t="str">
            <v/>
          </cell>
          <cell r="AY4260" t="str">
            <v/>
          </cell>
          <cell r="AZ4260" t="str">
            <v/>
          </cell>
          <cell r="BA4260" t="str">
            <v/>
          </cell>
        </row>
        <row r="4261">
          <cell r="B4261" t="str">
            <v>-</v>
          </cell>
          <cell r="E4261" t="str">
            <v/>
          </cell>
          <cell r="G4261" t="str">
            <v/>
          </cell>
          <cell r="J4261" t="str">
            <v/>
          </cell>
          <cell r="O4261" t="str">
            <v/>
          </cell>
          <cell r="P4261" t="str">
            <v/>
          </cell>
          <cell r="Q4261" t="str">
            <v/>
          </cell>
          <cell r="S4261" t="str">
            <v/>
          </cell>
          <cell r="V4261" t="str">
            <v/>
          </cell>
          <cell r="Z4261" t="str">
            <v/>
          </cell>
          <cell r="AA4261" t="str">
            <v/>
          </cell>
          <cell r="AB4261" t="str">
            <v/>
          </cell>
          <cell r="AC4261" t="str">
            <v/>
          </cell>
          <cell r="AD4261" t="str">
            <v/>
          </cell>
          <cell r="AY4261" t="str">
            <v/>
          </cell>
          <cell r="AZ4261" t="str">
            <v/>
          </cell>
          <cell r="BA4261" t="str">
            <v/>
          </cell>
        </row>
        <row r="4262">
          <cell r="B4262" t="str">
            <v>-</v>
          </cell>
          <cell r="E4262" t="str">
            <v/>
          </cell>
          <cell r="G4262" t="str">
            <v/>
          </cell>
          <cell r="J4262" t="str">
            <v/>
          </cell>
          <cell r="O4262" t="str">
            <v/>
          </cell>
          <cell r="P4262" t="str">
            <v/>
          </cell>
          <cell r="Q4262" t="str">
            <v/>
          </cell>
          <cell r="S4262" t="str">
            <v/>
          </cell>
          <cell r="V4262" t="str">
            <v/>
          </cell>
          <cell r="Z4262" t="str">
            <v/>
          </cell>
          <cell r="AA4262" t="str">
            <v/>
          </cell>
          <cell r="AB4262" t="str">
            <v/>
          </cell>
          <cell r="AC4262" t="str">
            <v/>
          </cell>
          <cell r="AD4262" t="str">
            <v/>
          </cell>
          <cell r="AY4262" t="str">
            <v/>
          </cell>
          <cell r="AZ4262" t="str">
            <v/>
          </cell>
          <cell r="BA4262" t="str">
            <v/>
          </cell>
        </row>
        <row r="4263">
          <cell r="B4263" t="str">
            <v>-</v>
          </cell>
          <cell r="E4263" t="str">
            <v/>
          </cell>
          <cell r="G4263" t="str">
            <v/>
          </cell>
          <cell r="J4263" t="str">
            <v/>
          </cell>
          <cell r="O4263" t="str">
            <v/>
          </cell>
          <cell r="P4263" t="str">
            <v/>
          </cell>
          <cell r="Q4263" t="str">
            <v/>
          </cell>
          <cell r="S4263" t="str">
            <v/>
          </cell>
          <cell r="V4263" t="str">
            <v/>
          </cell>
          <cell r="Z4263" t="str">
            <v/>
          </cell>
          <cell r="AA4263" t="str">
            <v/>
          </cell>
          <cell r="AB4263" t="str">
            <v/>
          </cell>
          <cell r="AC4263" t="str">
            <v/>
          </cell>
          <cell r="AD4263" t="str">
            <v/>
          </cell>
          <cell r="AY4263" t="str">
            <v/>
          </cell>
          <cell r="AZ4263" t="str">
            <v/>
          </cell>
          <cell r="BA4263" t="str">
            <v/>
          </cell>
        </row>
        <row r="4264">
          <cell r="B4264" t="str">
            <v>-</v>
          </cell>
          <cell r="E4264" t="str">
            <v/>
          </cell>
          <cell r="G4264" t="str">
            <v/>
          </cell>
          <cell r="J4264" t="str">
            <v/>
          </cell>
          <cell r="O4264" t="str">
            <v/>
          </cell>
          <cell r="P4264" t="str">
            <v/>
          </cell>
          <cell r="Q4264" t="str">
            <v/>
          </cell>
          <cell r="S4264" t="str">
            <v/>
          </cell>
          <cell r="V4264" t="str">
            <v/>
          </cell>
          <cell r="Z4264" t="str">
            <v/>
          </cell>
          <cell r="AA4264" t="str">
            <v/>
          </cell>
          <cell r="AB4264" t="str">
            <v/>
          </cell>
          <cell r="AC4264" t="str">
            <v/>
          </cell>
          <cell r="AD4264" t="str">
            <v/>
          </cell>
          <cell r="AY4264" t="str">
            <v/>
          </cell>
          <cell r="AZ4264" t="str">
            <v/>
          </cell>
          <cell r="BA4264" t="str">
            <v/>
          </cell>
        </row>
        <row r="4265">
          <cell r="B4265" t="str">
            <v>-</v>
          </cell>
          <cell r="E4265" t="str">
            <v/>
          </cell>
          <cell r="G4265" t="str">
            <v/>
          </cell>
          <cell r="J4265" t="str">
            <v/>
          </cell>
          <cell r="O4265" t="str">
            <v/>
          </cell>
          <cell r="P4265" t="str">
            <v/>
          </cell>
          <cell r="Q4265" t="str">
            <v/>
          </cell>
          <cell r="S4265" t="str">
            <v/>
          </cell>
          <cell r="V4265" t="str">
            <v/>
          </cell>
          <cell r="Z4265" t="str">
            <v/>
          </cell>
          <cell r="AA4265" t="str">
            <v/>
          </cell>
          <cell r="AB4265" t="str">
            <v/>
          </cell>
          <cell r="AC4265" t="str">
            <v/>
          </cell>
          <cell r="AD4265" t="str">
            <v/>
          </cell>
          <cell r="AY4265" t="str">
            <v/>
          </cell>
          <cell r="AZ4265" t="str">
            <v/>
          </cell>
          <cell r="BA4265" t="str">
            <v/>
          </cell>
        </row>
        <row r="4266">
          <cell r="B4266" t="str">
            <v>-</v>
          </cell>
          <cell r="E4266" t="str">
            <v/>
          </cell>
          <cell r="G4266" t="str">
            <v/>
          </cell>
          <cell r="J4266" t="str">
            <v/>
          </cell>
          <cell r="O4266" t="str">
            <v/>
          </cell>
          <cell r="P4266" t="str">
            <v/>
          </cell>
          <cell r="Q4266" t="str">
            <v/>
          </cell>
          <cell r="S4266" t="str">
            <v/>
          </cell>
          <cell r="V4266" t="str">
            <v/>
          </cell>
          <cell r="Z4266" t="str">
            <v/>
          </cell>
          <cell r="AA4266" t="str">
            <v/>
          </cell>
          <cell r="AB4266" t="str">
            <v/>
          </cell>
          <cell r="AC4266" t="str">
            <v/>
          </cell>
          <cell r="AD4266" t="str">
            <v/>
          </cell>
          <cell r="AY4266" t="str">
            <v/>
          </cell>
          <cell r="AZ4266" t="str">
            <v/>
          </cell>
          <cell r="BA4266" t="str">
            <v/>
          </cell>
        </row>
        <row r="4267">
          <cell r="B4267" t="str">
            <v>-</v>
          </cell>
          <cell r="E4267" t="str">
            <v/>
          </cell>
          <cell r="G4267" t="str">
            <v/>
          </cell>
          <cell r="J4267" t="str">
            <v/>
          </cell>
          <cell r="O4267" t="str">
            <v/>
          </cell>
          <cell r="P4267" t="str">
            <v/>
          </cell>
          <cell r="Q4267" t="str">
            <v/>
          </cell>
          <cell r="S4267" t="str">
            <v/>
          </cell>
          <cell r="V4267" t="str">
            <v/>
          </cell>
          <cell r="Z4267" t="str">
            <v/>
          </cell>
          <cell r="AA4267" t="str">
            <v/>
          </cell>
          <cell r="AB4267" t="str">
            <v/>
          </cell>
          <cell r="AC4267" t="str">
            <v/>
          </cell>
          <cell r="AD4267" t="str">
            <v/>
          </cell>
          <cell r="AY4267" t="str">
            <v/>
          </cell>
          <cell r="AZ4267" t="str">
            <v/>
          </cell>
          <cell r="BA4267" t="str">
            <v/>
          </cell>
        </row>
        <row r="4268">
          <cell r="B4268" t="str">
            <v>-</v>
          </cell>
          <cell r="E4268" t="str">
            <v/>
          </cell>
          <cell r="G4268" t="str">
            <v/>
          </cell>
          <cell r="J4268" t="str">
            <v/>
          </cell>
          <cell r="O4268" t="str">
            <v/>
          </cell>
          <cell r="P4268" t="str">
            <v/>
          </cell>
          <cell r="Q4268" t="str">
            <v/>
          </cell>
          <cell r="S4268" t="str">
            <v/>
          </cell>
          <cell r="V4268" t="str">
            <v/>
          </cell>
          <cell r="Z4268" t="str">
            <v/>
          </cell>
          <cell r="AA4268" t="str">
            <v/>
          </cell>
          <cell r="AB4268" t="str">
            <v/>
          </cell>
          <cell r="AC4268" t="str">
            <v/>
          </cell>
          <cell r="AD4268" t="str">
            <v/>
          </cell>
          <cell r="AY4268" t="str">
            <v/>
          </cell>
          <cell r="AZ4268" t="str">
            <v/>
          </cell>
          <cell r="BA4268" t="str">
            <v/>
          </cell>
        </row>
        <row r="4269">
          <cell r="B4269" t="str">
            <v>-</v>
          </cell>
          <cell r="E4269" t="str">
            <v/>
          </cell>
          <cell r="G4269" t="str">
            <v/>
          </cell>
          <cell r="J4269" t="str">
            <v/>
          </cell>
          <cell r="O4269" t="str">
            <v/>
          </cell>
          <cell r="P4269" t="str">
            <v/>
          </cell>
          <cell r="Q4269" t="str">
            <v/>
          </cell>
          <cell r="S4269" t="str">
            <v/>
          </cell>
          <cell r="V4269" t="str">
            <v/>
          </cell>
          <cell r="Z4269" t="str">
            <v/>
          </cell>
          <cell r="AA4269" t="str">
            <v/>
          </cell>
          <cell r="AB4269" t="str">
            <v/>
          </cell>
          <cell r="AC4269" t="str">
            <v/>
          </cell>
          <cell r="AD4269" t="str">
            <v/>
          </cell>
          <cell r="AY4269" t="str">
            <v/>
          </cell>
          <cell r="AZ4269" t="str">
            <v/>
          </cell>
          <cell r="BA4269" t="str">
            <v/>
          </cell>
        </row>
        <row r="4270">
          <cell r="B4270" t="str">
            <v>-</v>
          </cell>
          <cell r="E4270" t="str">
            <v/>
          </cell>
          <cell r="G4270" t="str">
            <v/>
          </cell>
          <cell r="J4270" t="str">
            <v/>
          </cell>
          <cell r="O4270" t="str">
            <v/>
          </cell>
          <cell r="P4270" t="str">
            <v/>
          </cell>
          <cell r="Q4270" t="str">
            <v/>
          </cell>
          <cell r="S4270" t="str">
            <v/>
          </cell>
          <cell r="V4270" t="str">
            <v/>
          </cell>
          <cell r="Z4270" t="str">
            <v/>
          </cell>
          <cell r="AA4270" t="str">
            <v/>
          </cell>
          <cell r="AB4270" t="str">
            <v/>
          </cell>
          <cell r="AC4270" t="str">
            <v/>
          </cell>
          <cell r="AD4270" t="str">
            <v/>
          </cell>
          <cell r="AY4270" t="str">
            <v/>
          </cell>
          <cell r="AZ4270" t="str">
            <v/>
          </cell>
          <cell r="BA4270" t="str">
            <v/>
          </cell>
        </row>
        <row r="4271">
          <cell r="B4271" t="str">
            <v>-</v>
          </cell>
          <cell r="E4271" t="str">
            <v/>
          </cell>
          <cell r="G4271" t="str">
            <v/>
          </cell>
          <cell r="J4271" t="str">
            <v/>
          </cell>
          <cell r="O4271" t="str">
            <v/>
          </cell>
          <cell r="P4271" t="str">
            <v/>
          </cell>
          <cell r="Q4271" t="str">
            <v/>
          </cell>
          <cell r="S4271" t="str">
            <v/>
          </cell>
          <cell r="V4271" t="str">
            <v/>
          </cell>
          <cell r="Z4271" t="str">
            <v/>
          </cell>
          <cell r="AA4271" t="str">
            <v/>
          </cell>
          <cell r="AB4271" t="str">
            <v/>
          </cell>
          <cell r="AC4271" t="str">
            <v/>
          </cell>
          <cell r="AD4271" t="str">
            <v/>
          </cell>
          <cell r="AY4271" t="str">
            <v/>
          </cell>
          <cell r="AZ4271" t="str">
            <v/>
          </cell>
          <cell r="BA4271" t="str">
            <v/>
          </cell>
        </row>
        <row r="4272">
          <cell r="B4272" t="str">
            <v>-</v>
          </cell>
          <cell r="E4272" t="str">
            <v/>
          </cell>
          <cell r="G4272" t="str">
            <v/>
          </cell>
          <cell r="J4272" t="str">
            <v/>
          </cell>
          <cell r="O4272" t="str">
            <v/>
          </cell>
          <cell r="P4272" t="str">
            <v/>
          </cell>
          <cell r="Q4272" t="str">
            <v/>
          </cell>
          <cell r="S4272" t="str">
            <v/>
          </cell>
          <cell r="V4272" t="str">
            <v/>
          </cell>
          <cell r="Z4272" t="str">
            <v/>
          </cell>
          <cell r="AA4272" t="str">
            <v/>
          </cell>
          <cell r="AB4272" t="str">
            <v/>
          </cell>
          <cell r="AC4272" t="str">
            <v/>
          </cell>
          <cell r="AD4272" t="str">
            <v/>
          </cell>
          <cell r="AY4272" t="str">
            <v/>
          </cell>
          <cell r="AZ4272" t="str">
            <v/>
          </cell>
          <cell r="BA4272" t="str">
            <v/>
          </cell>
        </row>
        <row r="4273">
          <cell r="B4273" t="str">
            <v>-</v>
          </cell>
          <cell r="E4273" t="str">
            <v/>
          </cell>
          <cell r="G4273" t="str">
            <v/>
          </cell>
          <cell r="J4273" t="str">
            <v/>
          </cell>
          <cell r="O4273" t="str">
            <v/>
          </cell>
          <cell r="P4273" t="str">
            <v/>
          </cell>
          <cell r="Q4273" t="str">
            <v/>
          </cell>
          <cell r="S4273" t="str">
            <v/>
          </cell>
          <cell r="V4273" t="str">
            <v/>
          </cell>
          <cell r="Z4273" t="str">
            <v/>
          </cell>
          <cell r="AA4273" t="str">
            <v/>
          </cell>
          <cell r="AB4273" t="str">
            <v/>
          </cell>
          <cell r="AC4273" t="str">
            <v/>
          </cell>
          <cell r="AD4273" t="str">
            <v/>
          </cell>
          <cell r="AY4273" t="str">
            <v/>
          </cell>
          <cell r="AZ4273" t="str">
            <v/>
          </cell>
          <cell r="BA4273" t="str">
            <v/>
          </cell>
        </row>
        <row r="4274">
          <cell r="B4274" t="str">
            <v>-</v>
          </cell>
          <cell r="E4274" t="str">
            <v/>
          </cell>
          <cell r="G4274" t="str">
            <v/>
          </cell>
          <cell r="J4274" t="str">
            <v/>
          </cell>
          <cell r="O4274" t="str">
            <v/>
          </cell>
          <cell r="P4274" t="str">
            <v/>
          </cell>
          <cell r="Q4274" t="str">
            <v/>
          </cell>
          <cell r="S4274" t="str">
            <v/>
          </cell>
          <cell r="V4274" t="str">
            <v/>
          </cell>
          <cell r="Z4274" t="str">
            <v/>
          </cell>
          <cell r="AA4274" t="str">
            <v/>
          </cell>
          <cell r="AB4274" t="str">
            <v/>
          </cell>
          <cell r="AC4274" t="str">
            <v/>
          </cell>
          <cell r="AD4274" t="str">
            <v/>
          </cell>
          <cell r="AY4274" t="str">
            <v/>
          </cell>
          <cell r="AZ4274" t="str">
            <v/>
          </cell>
          <cell r="BA4274" t="str">
            <v/>
          </cell>
        </row>
        <row r="4275">
          <cell r="B4275" t="str">
            <v>-</v>
          </cell>
          <cell r="E4275" t="str">
            <v/>
          </cell>
          <cell r="G4275" t="str">
            <v/>
          </cell>
          <cell r="J4275" t="str">
            <v/>
          </cell>
          <cell r="O4275" t="str">
            <v/>
          </cell>
          <cell r="P4275" t="str">
            <v/>
          </cell>
          <cell r="Q4275" t="str">
            <v/>
          </cell>
          <cell r="S4275" t="str">
            <v/>
          </cell>
          <cell r="V4275" t="str">
            <v/>
          </cell>
          <cell r="Z4275" t="str">
            <v/>
          </cell>
          <cell r="AA4275" t="str">
            <v/>
          </cell>
          <cell r="AB4275" t="str">
            <v/>
          </cell>
          <cell r="AC4275" t="str">
            <v/>
          </cell>
          <cell r="AD4275" t="str">
            <v/>
          </cell>
          <cell r="AY4275" t="str">
            <v/>
          </cell>
          <cell r="AZ4275" t="str">
            <v/>
          </cell>
          <cell r="BA4275" t="str">
            <v/>
          </cell>
        </row>
        <row r="4276">
          <cell r="B4276" t="str">
            <v>-</v>
          </cell>
          <cell r="E4276" t="str">
            <v/>
          </cell>
          <cell r="G4276" t="str">
            <v/>
          </cell>
          <cell r="J4276" t="str">
            <v/>
          </cell>
          <cell r="O4276" t="str">
            <v/>
          </cell>
          <cell r="P4276" t="str">
            <v/>
          </cell>
          <cell r="Q4276" t="str">
            <v/>
          </cell>
          <cell r="S4276" t="str">
            <v/>
          </cell>
          <cell r="V4276" t="str">
            <v/>
          </cell>
          <cell r="Z4276" t="str">
            <v/>
          </cell>
          <cell r="AA4276" t="str">
            <v/>
          </cell>
          <cell r="AB4276" t="str">
            <v/>
          </cell>
          <cell r="AC4276" t="str">
            <v/>
          </cell>
          <cell r="AD4276" t="str">
            <v/>
          </cell>
          <cell r="AY4276" t="str">
            <v/>
          </cell>
          <cell r="AZ4276" t="str">
            <v/>
          </cell>
          <cell r="BA4276" t="str">
            <v/>
          </cell>
        </row>
        <row r="4277">
          <cell r="B4277" t="str">
            <v>-</v>
          </cell>
          <cell r="E4277" t="str">
            <v/>
          </cell>
          <cell r="G4277" t="str">
            <v/>
          </cell>
          <cell r="J4277" t="str">
            <v/>
          </cell>
          <cell r="O4277" t="str">
            <v/>
          </cell>
          <cell r="P4277" t="str">
            <v/>
          </cell>
          <cell r="Q4277" t="str">
            <v/>
          </cell>
          <cell r="S4277" t="str">
            <v/>
          </cell>
          <cell r="V4277" t="str">
            <v/>
          </cell>
          <cell r="Z4277" t="str">
            <v/>
          </cell>
          <cell r="AA4277" t="str">
            <v/>
          </cell>
          <cell r="AB4277" t="str">
            <v/>
          </cell>
          <cell r="AC4277" t="str">
            <v/>
          </cell>
          <cell r="AD4277" t="str">
            <v/>
          </cell>
          <cell r="AY4277" t="str">
            <v/>
          </cell>
          <cell r="AZ4277" t="str">
            <v/>
          </cell>
          <cell r="BA4277" t="str">
            <v/>
          </cell>
        </row>
        <row r="4278">
          <cell r="B4278" t="str">
            <v>-</v>
          </cell>
          <cell r="E4278" t="str">
            <v/>
          </cell>
          <cell r="G4278" t="str">
            <v/>
          </cell>
          <cell r="J4278" t="str">
            <v/>
          </cell>
          <cell r="O4278" t="str">
            <v/>
          </cell>
          <cell r="P4278" t="str">
            <v/>
          </cell>
          <cell r="Q4278" t="str">
            <v/>
          </cell>
          <cell r="S4278" t="str">
            <v/>
          </cell>
          <cell r="V4278" t="str">
            <v/>
          </cell>
          <cell r="Z4278" t="str">
            <v/>
          </cell>
          <cell r="AA4278" t="str">
            <v/>
          </cell>
          <cell r="AB4278" t="str">
            <v/>
          </cell>
          <cell r="AC4278" t="str">
            <v/>
          </cell>
          <cell r="AD4278" t="str">
            <v/>
          </cell>
          <cell r="AY4278" t="str">
            <v/>
          </cell>
          <cell r="AZ4278" t="str">
            <v/>
          </cell>
          <cell r="BA4278" t="str">
            <v/>
          </cell>
        </row>
        <row r="4279">
          <cell r="B4279" t="str">
            <v>-</v>
          </cell>
          <cell r="E4279" t="str">
            <v/>
          </cell>
          <cell r="G4279" t="str">
            <v/>
          </cell>
          <cell r="J4279" t="str">
            <v/>
          </cell>
          <cell r="O4279" t="str">
            <v/>
          </cell>
          <cell r="P4279" t="str">
            <v/>
          </cell>
          <cell r="Q4279" t="str">
            <v/>
          </cell>
          <cell r="S4279" t="str">
            <v/>
          </cell>
          <cell r="V4279" t="str">
            <v/>
          </cell>
          <cell r="Z4279" t="str">
            <v/>
          </cell>
          <cell r="AA4279" t="str">
            <v/>
          </cell>
          <cell r="AB4279" t="str">
            <v/>
          </cell>
          <cell r="AC4279" t="str">
            <v/>
          </cell>
          <cell r="AD4279" t="str">
            <v/>
          </cell>
          <cell r="AY4279" t="str">
            <v/>
          </cell>
          <cell r="AZ4279" t="str">
            <v/>
          </cell>
          <cell r="BA4279" t="str">
            <v/>
          </cell>
        </row>
        <row r="4280">
          <cell r="B4280" t="str">
            <v>-</v>
          </cell>
          <cell r="E4280" t="str">
            <v/>
          </cell>
          <cell r="G4280" t="str">
            <v/>
          </cell>
          <cell r="J4280" t="str">
            <v/>
          </cell>
          <cell r="O4280" t="str">
            <v/>
          </cell>
          <cell r="P4280" t="str">
            <v/>
          </cell>
          <cell r="Q4280" t="str">
            <v/>
          </cell>
          <cell r="S4280" t="str">
            <v/>
          </cell>
          <cell r="V4280" t="str">
            <v/>
          </cell>
          <cell r="Z4280" t="str">
            <v/>
          </cell>
          <cell r="AA4280" t="str">
            <v/>
          </cell>
          <cell r="AB4280" t="str">
            <v/>
          </cell>
          <cell r="AC4280" t="str">
            <v/>
          </cell>
          <cell r="AD4280" t="str">
            <v/>
          </cell>
          <cell r="AY4280" t="str">
            <v/>
          </cell>
          <cell r="AZ4280" t="str">
            <v/>
          </cell>
          <cell r="BA4280" t="str">
            <v/>
          </cell>
        </row>
        <row r="4281">
          <cell r="B4281" t="str">
            <v>-</v>
          </cell>
          <cell r="E4281" t="str">
            <v/>
          </cell>
          <cell r="G4281" t="str">
            <v/>
          </cell>
          <cell r="J4281" t="str">
            <v/>
          </cell>
          <cell r="O4281" t="str">
            <v/>
          </cell>
          <cell r="P4281" t="str">
            <v/>
          </cell>
          <cell r="Q4281" t="str">
            <v/>
          </cell>
          <cell r="S4281" t="str">
            <v/>
          </cell>
          <cell r="V4281" t="str">
            <v/>
          </cell>
          <cell r="Z4281" t="str">
            <v/>
          </cell>
          <cell r="AA4281" t="str">
            <v/>
          </cell>
          <cell r="AB4281" t="str">
            <v/>
          </cell>
          <cell r="AC4281" t="str">
            <v/>
          </cell>
          <cell r="AD4281" t="str">
            <v/>
          </cell>
          <cell r="AY4281" t="str">
            <v/>
          </cell>
          <cell r="AZ4281" t="str">
            <v/>
          </cell>
          <cell r="BA4281" t="str">
            <v/>
          </cell>
        </row>
        <row r="4282">
          <cell r="B4282" t="str">
            <v>-</v>
          </cell>
          <cell r="E4282" t="str">
            <v/>
          </cell>
          <cell r="G4282" t="str">
            <v/>
          </cell>
          <cell r="J4282" t="str">
            <v/>
          </cell>
          <cell r="O4282" t="str">
            <v/>
          </cell>
          <cell r="P4282" t="str">
            <v/>
          </cell>
          <cell r="Q4282" t="str">
            <v/>
          </cell>
          <cell r="S4282" t="str">
            <v/>
          </cell>
          <cell r="V4282" t="str">
            <v/>
          </cell>
          <cell r="Z4282" t="str">
            <v/>
          </cell>
          <cell r="AA4282" t="str">
            <v/>
          </cell>
          <cell r="AB4282" t="str">
            <v/>
          </cell>
          <cell r="AC4282" t="str">
            <v/>
          </cell>
          <cell r="AD4282" t="str">
            <v/>
          </cell>
          <cell r="AY4282" t="str">
            <v/>
          </cell>
          <cell r="AZ4282" t="str">
            <v/>
          </cell>
          <cell r="BA4282" t="str">
            <v/>
          </cell>
        </row>
        <row r="4283">
          <cell r="B4283" t="str">
            <v>-</v>
          </cell>
          <cell r="E4283" t="str">
            <v/>
          </cell>
          <cell r="G4283" t="str">
            <v/>
          </cell>
          <cell r="J4283" t="str">
            <v/>
          </cell>
          <cell r="O4283" t="str">
            <v/>
          </cell>
          <cell r="P4283" t="str">
            <v/>
          </cell>
          <cell r="Q4283" t="str">
            <v/>
          </cell>
          <cell r="S4283" t="str">
            <v/>
          </cell>
          <cell r="V4283" t="str">
            <v/>
          </cell>
          <cell r="Z4283" t="str">
            <v/>
          </cell>
          <cell r="AA4283" t="str">
            <v/>
          </cell>
          <cell r="AB4283" t="str">
            <v/>
          </cell>
          <cell r="AC4283" t="str">
            <v/>
          </cell>
          <cell r="AD4283" t="str">
            <v/>
          </cell>
          <cell r="AY4283" t="str">
            <v/>
          </cell>
          <cell r="AZ4283" t="str">
            <v/>
          </cell>
          <cell r="BA4283" t="str">
            <v/>
          </cell>
        </row>
        <row r="4284">
          <cell r="B4284" t="str">
            <v>-</v>
          </cell>
          <cell r="E4284" t="str">
            <v/>
          </cell>
          <cell r="G4284" t="str">
            <v/>
          </cell>
          <cell r="J4284" t="str">
            <v/>
          </cell>
          <cell r="O4284" t="str">
            <v/>
          </cell>
          <cell r="P4284" t="str">
            <v/>
          </cell>
          <cell r="Q4284" t="str">
            <v/>
          </cell>
          <cell r="S4284" t="str">
            <v/>
          </cell>
          <cell r="V4284" t="str">
            <v/>
          </cell>
          <cell r="Z4284" t="str">
            <v/>
          </cell>
          <cell r="AA4284" t="str">
            <v/>
          </cell>
          <cell r="AB4284" t="str">
            <v/>
          </cell>
          <cell r="AC4284" t="str">
            <v/>
          </cell>
          <cell r="AD4284" t="str">
            <v/>
          </cell>
          <cell r="AY4284" t="str">
            <v/>
          </cell>
          <cell r="AZ4284" t="str">
            <v/>
          </cell>
          <cell r="BA4284" t="str">
            <v/>
          </cell>
        </row>
        <row r="4285">
          <cell r="B4285" t="str">
            <v>-</v>
          </cell>
          <cell r="E4285" t="str">
            <v/>
          </cell>
          <cell r="G4285" t="str">
            <v/>
          </cell>
          <cell r="J4285" t="str">
            <v/>
          </cell>
          <cell r="O4285" t="str">
            <v/>
          </cell>
          <cell r="P4285" t="str">
            <v/>
          </cell>
          <cell r="Q4285" t="str">
            <v/>
          </cell>
          <cell r="S4285" t="str">
            <v/>
          </cell>
          <cell r="V4285" t="str">
            <v/>
          </cell>
          <cell r="Z4285" t="str">
            <v/>
          </cell>
          <cell r="AA4285" t="str">
            <v/>
          </cell>
          <cell r="AB4285" t="str">
            <v/>
          </cell>
          <cell r="AC4285" t="str">
            <v/>
          </cell>
          <cell r="AD4285" t="str">
            <v/>
          </cell>
          <cell r="AY4285" t="str">
            <v/>
          </cell>
          <cell r="AZ4285" t="str">
            <v/>
          </cell>
          <cell r="BA4285" t="str">
            <v/>
          </cell>
        </row>
        <row r="4286">
          <cell r="B4286" t="str">
            <v>-</v>
          </cell>
          <cell r="E4286" t="str">
            <v/>
          </cell>
          <cell r="G4286" t="str">
            <v/>
          </cell>
          <cell r="J4286" t="str">
            <v/>
          </cell>
          <cell r="O4286" t="str">
            <v/>
          </cell>
          <cell r="P4286" t="str">
            <v/>
          </cell>
          <cell r="Q4286" t="str">
            <v/>
          </cell>
          <cell r="S4286" t="str">
            <v/>
          </cell>
          <cell r="V4286" t="str">
            <v/>
          </cell>
          <cell r="Z4286" t="str">
            <v/>
          </cell>
          <cell r="AA4286" t="str">
            <v/>
          </cell>
          <cell r="AB4286" t="str">
            <v/>
          </cell>
          <cell r="AC4286" t="str">
            <v/>
          </cell>
          <cell r="AD4286" t="str">
            <v/>
          </cell>
          <cell r="AY4286" t="str">
            <v/>
          </cell>
          <cell r="AZ4286" t="str">
            <v/>
          </cell>
          <cell r="BA4286" t="str">
            <v/>
          </cell>
        </row>
        <row r="4287">
          <cell r="B4287" t="str">
            <v>-</v>
          </cell>
          <cell r="E4287" t="str">
            <v/>
          </cell>
          <cell r="G4287" t="str">
            <v/>
          </cell>
          <cell r="J4287" t="str">
            <v/>
          </cell>
          <cell r="O4287" t="str">
            <v/>
          </cell>
          <cell r="P4287" t="str">
            <v/>
          </cell>
          <cell r="Q4287" t="str">
            <v/>
          </cell>
          <cell r="S4287" t="str">
            <v/>
          </cell>
          <cell r="V4287" t="str">
            <v/>
          </cell>
          <cell r="Z4287" t="str">
            <v/>
          </cell>
          <cell r="AA4287" t="str">
            <v/>
          </cell>
          <cell r="AB4287" t="str">
            <v/>
          </cell>
          <cell r="AC4287" t="str">
            <v/>
          </cell>
          <cell r="AD4287" t="str">
            <v/>
          </cell>
          <cell r="AY4287" t="str">
            <v/>
          </cell>
          <cell r="AZ4287" t="str">
            <v/>
          </cell>
          <cell r="BA4287" t="str">
            <v/>
          </cell>
        </row>
        <row r="4288">
          <cell r="B4288" t="str">
            <v>-</v>
          </cell>
          <cell r="E4288" t="str">
            <v/>
          </cell>
          <cell r="G4288" t="str">
            <v/>
          </cell>
          <cell r="J4288" t="str">
            <v/>
          </cell>
          <cell r="O4288" t="str">
            <v/>
          </cell>
          <cell r="P4288" t="str">
            <v/>
          </cell>
          <cell r="Q4288" t="str">
            <v/>
          </cell>
          <cell r="S4288" t="str">
            <v/>
          </cell>
          <cell r="V4288" t="str">
            <v/>
          </cell>
          <cell r="Z4288" t="str">
            <v/>
          </cell>
          <cell r="AA4288" t="str">
            <v/>
          </cell>
          <cell r="AB4288" t="str">
            <v/>
          </cell>
          <cell r="AC4288" t="str">
            <v/>
          </cell>
          <cell r="AD4288" t="str">
            <v/>
          </cell>
          <cell r="AY4288" t="str">
            <v/>
          </cell>
          <cell r="AZ4288" t="str">
            <v/>
          </cell>
          <cell r="BA4288" t="str">
            <v/>
          </cell>
        </row>
        <row r="4289">
          <cell r="B4289" t="str">
            <v>-</v>
          </cell>
          <cell r="E4289" t="str">
            <v/>
          </cell>
          <cell r="G4289" t="str">
            <v/>
          </cell>
          <cell r="J4289" t="str">
            <v/>
          </cell>
          <cell r="O4289" t="str">
            <v/>
          </cell>
          <cell r="P4289" t="str">
            <v/>
          </cell>
          <cell r="Q4289" t="str">
            <v/>
          </cell>
          <cell r="S4289" t="str">
            <v/>
          </cell>
          <cell r="V4289" t="str">
            <v/>
          </cell>
          <cell r="Z4289" t="str">
            <v/>
          </cell>
          <cell r="AA4289" t="str">
            <v/>
          </cell>
          <cell r="AB4289" t="str">
            <v/>
          </cell>
          <cell r="AC4289" t="str">
            <v/>
          </cell>
          <cell r="AD4289" t="str">
            <v/>
          </cell>
          <cell r="AY4289" t="str">
            <v/>
          </cell>
          <cell r="AZ4289" t="str">
            <v/>
          </cell>
          <cell r="BA4289" t="str">
            <v/>
          </cell>
        </row>
        <row r="4290">
          <cell r="B4290" t="str">
            <v>-</v>
          </cell>
          <cell r="E4290" t="str">
            <v/>
          </cell>
          <cell r="G4290" t="str">
            <v/>
          </cell>
          <cell r="J4290" t="str">
            <v/>
          </cell>
          <cell r="O4290" t="str">
            <v/>
          </cell>
          <cell r="P4290" t="str">
            <v/>
          </cell>
          <cell r="Q4290" t="str">
            <v/>
          </cell>
          <cell r="S4290" t="str">
            <v/>
          </cell>
          <cell r="V4290" t="str">
            <v/>
          </cell>
          <cell r="Z4290" t="str">
            <v/>
          </cell>
          <cell r="AA4290" t="str">
            <v/>
          </cell>
          <cell r="AB4290" t="str">
            <v/>
          </cell>
          <cell r="AC4290" t="str">
            <v/>
          </cell>
          <cell r="AD4290" t="str">
            <v/>
          </cell>
          <cell r="AY4290" t="str">
            <v/>
          </cell>
          <cell r="AZ4290" t="str">
            <v/>
          </cell>
          <cell r="BA4290" t="str">
            <v/>
          </cell>
        </row>
        <row r="4291">
          <cell r="B4291" t="str">
            <v>-</v>
          </cell>
          <cell r="E4291" t="str">
            <v/>
          </cell>
          <cell r="G4291" t="str">
            <v/>
          </cell>
          <cell r="J4291" t="str">
            <v/>
          </cell>
          <cell r="O4291" t="str">
            <v/>
          </cell>
          <cell r="P4291" t="str">
            <v/>
          </cell>
          <cell r="Q4291" t="str">
            <v/>
          </cell>
          <cell r="S4291" t="str">
            <v/>
          </cell>
          <cell r="V4291" t="str">
            <v/>
          </cell>
          <cell r="Z4291" t="str">
            <v/>
          </cell>
          <cell r="AA4291" t="str">
            <v/>
          </cell>
          <cell r="AB4291" t="str">
            <v/>
          </cell>
          <cell r="AC4291" t="str">
            <v/>
          </cell>
          <cell r="AD4291" t="str">
            <v/>
          </cell>
          <cell r="AY4291" t="str">
            <v/>
          </cell>
          <cell r="AZ4291" t="str">
            <v/>
          </cell>
          <cell r="BA4291" t="str">
            <v/>
          </cell>
        </row>
        <row r="4292">
          <cell r="B4292" t="str">
            <v>-</v>
          </cell>
          <cell r="E4292" t="str">
            <v/>
          </cell>
          <cell r="G4292" t="str">
            <v/>
          </cell>
          <cell r="J4292" t="str">
            <v/>
          </cell>
          <cell r="O4292" t="str">
            <v/>
          </cell>
          <cell r="P4292" t="str">
            <v/>
          </cell>
          <cell r="Q4292" t="str">
            <v/>
          </cell>
          <cell r="S4292" t="str">
            <v/>
          </cell>
          <cell r="V4292" t="str">
            <v/>
          </cell>
          <cell r="Z4292" t="str">
            <v/>
          </cell>
          <cell r="AA4292" t="str">
            <v/>
          </cell>
          <cell r="AB4292" t="str">
            <v/>
          </cell>
          <cell r="AC4292" t="str">
            <v/>
          </cell>
          <cell r="AD4292" t="str">
            <v/>
          </cell>
          <cell r="AY4292" t="str">
            <v/>
          </cell>
          <cell r="AZ4292" t="str">
            <v/>
          </cell>
          <cell r="BA4292" t="str">
            <v/>
          </cell>
        </row>
        <row r="4293">
          <cell r="B4293" t="str">
            <v>-</v>
          </cell>
          <cell r="E4293" t="str">
            <v/>
          </cell>
          <cell r="G4293" t="str">
            <v/>
          </cell>
          <cell r="J4293" t="str">
            <v/>
          </cell>
          <cell r="O4293" t="str">
            <v/>
          </cell>
          <cell r="P4293" t="str">
            <v/>
          </cell>
          <cell r="Q4293" t="str">
            <v/>
          </cell>
          <cell r="S4293" t="str">
            <v/>
          </cell>
          <cell r="V4293" t="str">
            <v/>
          </cell>
          <cell r="Z4293" t="str">
            <v/>
          </cell>
          <cell r="AA4293" t="str">
            <v/>
          </cell>
          <cell r="AB4293" t="str">
            <v/>
          </cell>
          <cell r="AC4293" t="str">
            <v/>
          </cell>
          <cell r="AD4293" t="str">
            <v/>
          </cell>
          <cell r="AY4293" t="str">
            <v/>
          </cell>
          <cell r="AZ4293" t="str">
            <v/>
          </cell>
          <cell r="BA4293" t="str">
            <v/>
          </cell>
        </row>
        <row r="4294">
          <cell r="B4294" t="str">
            <v>-</v>
          </cell>
          <cell r="E4294" t="str">
            <v/>
          </cell>
          <cell r="G4294" t="str">
            <v/>
          </cell>
          <cell r="J4294" t="str">
            <v/>
          </cell>
          <cell r="O4294" t="str">
            <v/>
          </cell>
          <cell r="P4294" t="str">
            <v/>
          </cell>
          <cell r="Q4294" t="str">
            <v/>
          </cell>
          <cell r="S4294" t="str">
            <v/>
          </cell>
          <cell r="V4294" t="str">
            <v/>
          </cell>
          <cell r="Z4294" t="str">
            <v/>
          </cell>
          <cell r="AA4294" t="str">
            <v/>
          </cell>
          <cell r="AB4294" t="str">
            <v/>
          </cell>
          <cell r="AC4294" t="str">
            <v/>
          </cell>
          <cell r="AD4294" t="str">
            <v/>
          </cell>
          <cell r="AY4294" t="str">
            <v/>
          </cell>
          <cell r="AZ4294" t="str">
            <v/>
          </cell>
          <cell r="BA4294" t="str">
            <v/>
          </cell>
        </row>
        <row r="4295">
          <cell r="B4295" t="str">
            <v>-</v>
          </cell>
          <cell r="E4295" t="str">
            <v/>
          </cell>
          <cell r="G4295" t="str">
            <v/>
          </cell>
          <cell r="J4295" t="str">
            <v/>
          </cell>
          <cell r="O4295" t="str">
            <v/>
          </cell>
          <cell r="P4295" t="str">
            <v/>
          </cell>
          <cell r="Q4295" t="str">
            <v/>
          </cell>
          <cell r="S4295" t="str">
            <v/>
          </cell>
          <cell r="V4295" t="str">
            <v/>
          </cell>
          <cell r="Z4295" t="str">
            <v/>
          </cell>
          <cell r="AA4295" t="str">
            <v/>
          </cell>
          <cell r="AB4295" t="str">
            <v/>
          </cell>
          <cell r="AC4295" t="str">
            <v/>
          </cell>
          <cell r="AD4295" t="str">
            <v/>
          </cell>
          <cell r="AY4295" t="str">
            <v/>
          </cell>
          <cell r="AZ4295" t="str">
            <v/>
          </cell>
          <cell r="BA4295" t="str">
            <v/>
          </cell>
        </row>
        <row r="4296">
          <cell r="B4296" t="str">
            <v>-</v>
          </cell>
          <cell r="E4296" t="str">
            <v/>
          </cell>
          <cell r="G4296" t="str">
            <v/>
          </cell>
          <cell r="J4296" t="str">
            <v/>
          </cell>
          <cell r="O4296" t="str">
            <v/>
          </cell>
          <cell r="P4296" t="str">
            <v/>
          </cell>
          <cell r="Q4296" t="str">
            <v/>
          </cell>
          <cell r="S4296" t="str">
            <v/>
          </cell>
          <cell r="V4296" t="str">
            <v/>
          </cell>
          <cell r="Z4296" t="str">
            <v/>
          </cell>
          <cell r="AA4296" t="str">
            <v/>
          </cell>
          <cell r="AB4296" t="str">
            <v/>
          </cell>
          <cell r="AC4296" t="str">
            <v/>
          </cell>
          <cell r="AD4296" t="str">
            <v/>
          </cell>
          <cell r="AY4296" t="str">
            <v/>
          </cell>
          <cell r="AZ4296" t="str">
            <v/>
          </cell>
          <cell r="BA4296" t="str">
            <v/>
          </cell>
        </row>
        <row r="4297">
          <cell r="B4297" t="str">
            <v>-</v>
          </cell>
          <cell r="E4297" t="str">
            <v/>
          </cell>
          <cell r="G4297" t="str">
            <v/>
          </cell>
          <cell r="J4297" t="str">
            <v/>
          </cell>
          <cell r="O4297" t="str">
            <v/>
          </cell>
          <cell r="P4297" t="str">
            <v/>
          </cell>
          <cell r="Q4297" t="str">
            <v/>
          </cell>
          <cell r="S4297" t="str">
            <v/>
          </cell>
          <cell r="V4297" t="str">
            <v/>
          </cell>
          <cell r="Z4297" t="str">
            <v/>
          </cell>
          <cell r="AA4297" t="str">
            <v/>
          </cell>
          <cell r="AB4297" t="str">
            <v/>
          </cell>
          <cell r="AC4297" t="str">
            <v/>
          </cell>
          <cell r="AD4297" t="str">
            <v/>
          </cell>
          <cell r="AY4297" t="str">
            <v/>
          </cell>
          <cell r="AZ4297" t="str">
            <v/>
          </cell>
          <cell r="BA4297" t="str">
            <v/>
          </cell>
        </row>
        <row r="4298">
          <cell r="B4298" t="str">
            <v>-</v>
          </cell>
          <cell r="E4298" t="str">
            <v/>
          </cell>
          <cell r="G4298" t="str">
            <v/>
          </cell>
          <cell r="J4298" t="str">
            <v/>
          </cell>
          <cell r="O4298" t="str">
            <v/>
          </cell>
          <cell r="P4298" t="str">
            <v/>
          </cell>
          <cell r="Q4298" t="str">
            <v/>
          </cell>
          <cell r="S4298" t="str">
            <v/>
          </cell>
          <cell r="V4298" t="str">
            <v/>
          </cell>
          <cell r="Z4298" t="str">
            <v/>
          </cell>
          <cell r="AA4298" t="str">
            <v/>
          </cell>
          <cell r="AB4298" t="str">
            <v/>
          </cell>
          <cell r="AC4298" t="str">
            <v/>
          </cell>
          <cell r="AD4298" t="str">
            <v/>
          </cell>
          <cell r="AY4298" t="str">
            <v/>
          </cell>
          <cell r="AZ4298" t="str">
            <v/>
          </cell>
          <cell r="BA4298" t="str">
            <v/>
          </cell>
        </row>
        <row r="4299">
          <cell r="B4299" t="str">
            <v>-</v>
          </cell>
          <cell r="E4299" t="str">
            <v/>
          </cell>
          <cell r="G4299" t="str">
            <v/>
          </cell>
          <cell r="J4299" t="str">
            <v/>
          </cell>
          <cell r="O4299" t="str">
            <v/>
          </cell>
          <cell r="P4299" t="str">
            <v/>
          </cell>
          <cell r="Q4299" t="str">
            <v/>
          </cell>
          <cell r="S4299" t="str">
            <v/>
          </cell>
          <cell r="V4299" t="str">
            <v/>
          </cell>
          <cell r="Z4299" t="str">
            <v/>
          </cell>
          <cell r="AA4299" t="str">
            <v/>
          </cell>
          <cell r="AB4299" t="str">
            <v/>
          </cell>
          <cell r="AC4299" t="str">
            <v/>
          </cell>
          <cell r="AD4299" t="str">
            <v/>
          </cell>
          <cell r="AY4299" t="str">
            <v/>
          </cell>
          <cell r="AZ4299" t="str">
            <v/>
          </cell>
          <cell r="BA4299" t="str">
            <v/>
          </cell>
        </row>
        <row r="4300">
          <cell r="B4300" t="str">
            <v>-</v>
          </cell>
          <cell r="E4300" t="str">
            <v/>
          </cell>
          <cell r="G4300" t="str">
            <v/>
          </cell>
          <cell r="J4300" t="str">
            <v/>
          </cell>
          <cell r="O4300" t="str">
            <v/>
          </cell>
          <cell r="P4300" t="str">
            <v/>
          </cell>
          <cell r="Q4300" t="str">
            <v/>
          </cell>
          <cell r="S4300" t="str">
            <v/>
          </cell>
          <cell r="V4300" t="str">
            <v/>
          </cell>
          <cell r="Z4300" t="str">
            <v/>
          </cell>
          <cell r="AA4300" t="str">
            <v/>
          </cell>
          <cell r="AB4300" t="str">
            <v/>
          </cell>
          <cell r="AC4300" t="str">
            <v/>
          </cell>
          <cell r="AD4300" t="str">
            <v/>
          </cell>
          <cell r="AY4300" t="str">
            <v/>
          </cell>
          <cell r="AZ4300" t="str">
            <v/>
          </cell>
          <cell r="BA4300" t="str">
            <v/>
          </cell>
        </row>
        <row r="4301">
          <cell r="B4301" t="str">
            <v>-</v>
          </cell>
          <cell r="E4301" t="str">
            <v/>
          </cell>
          <cell r="G4301" t="str">
            <v/>
          </cell>
          <cell r="J4301" t="str">
            <v/>
          </cell>
          <cell r="O4301" t="str">
            <v/>
          </cell>
          <cell r="P4301" t="str">
            <v/>
          </cell>
          <cell r="Q4301" t="str">
            <v/>
          </cell>
          <cell r="S4301" t="str">
            <v/>
          </cell>
          <cell r="V4301" t="str">
            <v/>
          </cell>
          <cell r="Z4301" t="str">
            <v/>
          </cell>
          <cell r="AA4301" t="str">
            <v/>
          </cell>
          <cell r="AB4301" t="str">
            <v/>
          </cell>
          <cell r="AC4301" t="str">
            <v/>
          </cell>
          <cell r="AD4301" t="str">
            <v/>
          </cell>
          <cell r="AY4301" t="str">
            <v/>
          </cell>
          <cell r="AZ4301" t="str">
            <v/>
          </cell>
          <cell r="BA4301" t="str">
            <v/>
          </cell>
        </row>
        <row r="4302">
          <cell r="B4302" t="str">
            <v>-</v>
          </cell>
          <cell r="E4302" t="str">
            <v/>
          </cell>
          <cell r="G4302" t="str">
            <v/>
          </cell>
          <cell r="J4302" t="str">
            <v/>
          </cell>
          <cell r="O4302" t="str">
            <v/>
          </cell>
          <cell r="P4302" t="str">
            <v/>
          </cell>
          <cell r="Q4302" t="str">
            <v/>
          </cell>
          <cell r="S4302" t="str">
            <v/>
          </cell>
          <cell r="V4302" t="str">
            <v/>
          </cell>
          <cell r="Z4302" t="str">
            <v/>
          </cell>
          <cell r="AA4302" t="str">
            <v/>
          </cell>
          <cell r="AB4302" t="str">
            <v/>
          </cell>
          <cell r="AC4302" t="str">
            <v/>
          </cell>
          <cell r="AD4302" t="str">
            <v/>
          </cell>
          <cell r="AY4302" t="str">
            <v/>
          </cell>
          <cell r="AZ4302" t="str">
            <v/>
          </cell>
          <cell r="BA4302" t="str">
            <v/>
          </cell>
        </row>
        <row r="4303">
          <cell r="B4303" t="str">
            <v>-</v>
          </cell>
          <cell r="E4303" t="str">
            <v/>
          </cell>
          <cell r="G4303" t="str">
            <v/>
          </cell>
          <cell r="J4303" t="str">
            <v/>
          </cell>
          <cell r="O4303" t="str">
            <v/>
          </cell>
          <cell r="P4303" t="str">
            <v/>
          </cell>
          <cell r="Q4303" t="str">
            <v/>
          </cell>
          <cell r="S4303" t="str">
            <v/>
          </cell>
          <cell r="V4303" t="str">
            <v/>
          </cell>
          <cell r="Z4303" t="str">
            <v/>
          </cell>
          <cell r="AA4303" t="str">
            <v/>
          </cell>
          <cell r="AB4303" t="str">
            <v/>
          </cell>
          <cell r="AC4303" t="str">
            <v/>
          </cell>
          <cell r="AD4303" t="str">
            <v/>
          </cell>
          <cell r="AY4303" t="str">
            <v/>
          </cell>
          <cell r="AZ4303" t="str">
            <v/>
          </cell>
          <cell r="BA4303" t="str">
            <v/>
          </cell>
        </row>
        <row r="4304">
          <cell r="B4304" t="str">
            <v>-</v>
          </cell>
          <cell r="E4304" t="str">
            <v/>
          </cell>
          <cell r="G4304" t="str">
            <v/>
          </cell>
          <cell r="J4304" t="str">
            <v/>
          </cell>
          <cell r="O4304" t="str">
            <v/>
          </cell>
          <cell r="P4304" t="str">
            <v/>
          </cell>
          <cell r="Q4304" t="str">
            <v/>
          </cell>
          <cell r="S4304" t="str">
            <v/>
          </cell>
          <cell r="V4304" t="str">
            <v/>
          </cell>
          <cell r="Z4304" t="str">
            <v/>
          </cell>
          <cell r="AA4304" t="str">
            <v/>
          </cell>
          <cell r="AB4304" t="str">
            <v/>
          </cell>
          <cell r="AC4304" t="str">
            <v/>
          </cell>
          <cell r="AD4304" t="str">
            <v/>
          </cell>
          <cell r="AY4304" t="str">
            <v/>
          </cell>
          <cell r="AZ4304" t="str">
            <v/>
          </cell>
          <cell r="BA4304" t="str">
            <v/>
          </cell>
        </row>
        <row r="4305">
          <cell r="B4305" t="str">
            <v>-</v>
          </cell>
          <cell r="E4305" t="str">
            <v/>
          </cell>
          <cell r="G4305" t="str">
            <v/>
          </cell>
          <cell r="J4305" t="str">
            <v/>
          </cell>
          <cell r="O4305" t="str">
            <v/>
          </cell>
          <cell r="P4305" t="str">
            <v/>
          </cell>
          <cell r="Q4305" t="str">
            <v/>
          </cell>
          <cell r="S4305" t="str">
            <v/>
          </cell>
          <cell r="V4305" t="str">
            <v/>
          </cell>
          <cell r="Z4305" t="str">
            <v/>
          </cell>
          <cell r="AA4305" t="str">
            <v/>
          </cell>
          <cell r="AB4305" t="str">
            <v/>
          </cell>
          <cell r="AC4305" t="str">
            <v/>
          </cell>
          <cell r="AD4305" t="str">
            <v/>
          </cell>
          <cell r="AY4305" t="str">
            <v/>
          </cell>
          <cell r="AZ4305" t="str">
            <v/>
          </cell>
          <cell r="BA4305" t="str">
            <v/>
          </cell>
        </row>
        <row r="4306">
          <cell r="B4306" t="str">
            <v>-</v>
          </cell>
          <cell r="E4306" t="str">
            <v/>
          </cell>
          <cell r="G4306" t="str">
            <v/>
          </cell>
          <cell r="J4306" t="str">
            <v/>
          </cell>
          <cell r="O4306" t="str">
            <v/>
          </cell>
          <cell r="P4306" t="str">
            <v/>
          </cell>
          <cell r="Q4306" t="str">
            <v/>
          </cell>
          <cell r="S4306" t="str">
            <v/>
          </cell>
          <cell r="V4306" t="str">
            <v/>
          </cell>
          <cell r="Z4306" t="str">
            <v/>
          </cell>
          <cell r="AA4306" t="str">
            <v/>
          </cell>
          <cell r="AB4306" t="str">
            <v/>
          </cell>
          <cell r="AC4306" t="str">
            <v/>
          </cell>
          <cell r="AD4306" t="str">
            <v/>
          </cell>
          <cell r="AY4306" t="str">
            <v/>
          </cell>
          <cell r="AZ4306" t="str">
            <v/>
          </cell>
          <cell r="BA4306" t="str">
            <v/>
          </cell>
        </row>
        <row r="4307">
          <cell r="B4307" t="str">
            <v>-</v>
          </cell>
          <cell r="E4307" t="str">
            <v/>
          </cell>
          <cell r="G4307" t="str">
            <v/>
          </cell>
          <cell r="J4307" t="str">
            <v/>
          </cell>
          <cell r="O4307" t="str">
            <v/>
          </cell>
          <cell r="P4307" t="str">
            <v/>
          </cell>
          <cell r="Q4307" t="str">
            <v/>
          </cell>
          <cell r="S4307" t="str">
            <v/>
          </cell>
          <cell r="V4307" t="str">
            <v/>
          </cell>
          <cell r="Z4307" t="str">
            <v/>
          </cell>
          <cell r="AA4307" t="str">
            <v/>
          </cell>
          <cell r="AB4307" t="str">
            <v/>
          </cell>
          <cell r="AC4307" t="str">
            <v/>
          </cell>
          <cell r="AD4307" t="str">
            <v/>
          </cell>
          <cell r="AY4307" t="str">
            <v/>
          </cell>
          <cell r="AZ4307" t="str">
            <v/>
          </cell>
          <cell r="BA4307" t="str">
            <v/>
          </cell>
        </row>
        <row r="4308">
          <cell r="B4308" t="str">
            <v>-</v>
          </cell>
          <cell r="E4308" t="str">
            <v/>
          </cell>
          <cell r="G4308" t="str">
            <v/>
          </cell>
          <cell r="J4308" t="str">
            <v/>
          </cell>
          <cell r="O4308" t="str">
            <v/>
          </cell>
          <cell r="P4308" t="str">
            <v/>
          </cell>
          <cell r="Q4308" t="str">
            <v/>
          </cell>
          <cell r="S4308" t="str">
            <v/>
          </cell>
          <cell r="V4308" t="str">
            <v/>
          </cell>
          <cell r="Z4308" t="str">
            <v/>
          </cell>
          <cell r="AA4308" t="str">
            <v/>
          </cell>
          <cell r="AB4308" t="str">
            <v/>
          </cell>
          <cell r="AC4308" t="str">
            <v/>
          </cell>
          <cell r="AD4308" t="str">
            <v/>
          </cell>
          <cell r="AY4308" t="str">
            <v/>
          </cell>
          <cell r="AZ4308" t="str">
            <v/>
          </cell>
          <cell r="BA4308" t="str">
            <v/>
          </cell>
        </row>
        <row r="4309">
          <cell r="B4309" t="str">
            <v>-</v>
          </cell>
          <cell r="E4309" t="str">
            <v/>
          </cell>
          <cell r="G4309" t="str">
            <v/>
          </cell>
          <cell r="J4309" t="str">
            <v/>
          </cell>
          <cell r="O4309" t="str">
            <v/>
          </cell>
          <cell r="P4309" t="str">
            <v/>
          </cell>
          <cell r="Q4309" t="str">
            <v/>
          </cell>
          <cell r="S4309" t="str">
            <v/>
          </cell>
          <cell r="V4309" t="str">
            <v/>
          </cell>
          <cell r="Z4309" t="str">
            <v/>
          </cell>
          <cell r="AA4309" t="str">
            <v/>
          </cell>
          <cell r="AB4309" t="str">
            <v/>
          </cell>
          <cell r="AC4309" t="str">
            <v/>
          </cell>
          <cell r="AD4309" t="str">
            <v/>
          </cell>
          <cell r="AY4309" t="str">
            <v/>
          </cell>
          <cell r="AZ4309" t="str">
            <v/>
          </cell>
          <cell r="BA4309" t="str">
            <v/>
          </cell>
        </row>
        <row r="4310">
          <cell r="B4310" t="str">
            <v>-</v>
          </cell>
          <cell r="E4310" t="str">
            <v/>
          </cell>
          <cell r="G4310" t="str">
            <v/>
          </cell>
          <cell r="J4310" t="str">
            <v/>
          </cell>
          <cell r="O4310" t="str">
            <v/>
          </cell>
          <cell r="P4310" t="str">
            <v/>
          </cell>
          <cell r="Q4310" t="str">
            <v/>
          </cell>
          <cell r="S4310" t="str">
            <v/>
          </cell>
          <cell r="V4310" t="str">
            <v/>
          </cell>
          <cell r="Z4310" t="str">
            <v/>
          </cell>
          <cell r="AA4310" t="str">
            <v/>
          </cell>
          <cell r="AB4310" t="str">
            <v/>
          </cell>
          <cell r="AC4310" t="str">
            <v/>
          </cell>
          <cell r="AD4310" t="str">
            <v/>
          </cell>
          <cell r="AY4310" t="str">
            <v/>
          </cell>
          <cell r="AZ4310" t="str">
            <v/>
          </cell>
          <cell r="BA4310" t="str">
            <v/>
          </cell>
        </row>
        <row r="4311">
          <cell r="B4311" t="str">
            <v>-</v>
          </cell>
          <cell r="E4311" t="str">
            <v/>
          </cell>
          <cell r="G4311" t="str">
            <v/>
          </cell>
          <cell r="J4311" t="str">
            <v/>
          </cell>
          <cell r="O4311" t="str">
            <v/>
          </cell>
          <cell r="P4311" t="str">
            <v/>
          </cell>
          <cell r="Q4311" t="str">
            <v/>
          </cell>
          <cell r="S4311" t="str">
            <v/>
          </cell>
          <cell r="V4311" t="str">
            <v/>
          </cell>
          <cell r="Z4311" t="str">
            <v/>
          </cell>
          <cell r="AA4311" t="str">
            <v/>
          </cell>
          <cell r="AB4311" t="str">
            <v/>
          </cell>
          <cell r="AC4311" t="str">
            <v/>
          </cell>
          <cell r="AD4311" t="str">
            <v/>
          </cell>
          <cell r="AY4311" t="str">
            <v/>
          </cell>
          <cell r="AZ4311" t="str">
            <v/>
          </cell>
          <cell r="BA4311" t="str">
            <v/>
          </cell>
        </row>
        <row r="4312">
          <cell r="B4312" t="str">
            <v>-</v>
          </cell>
          <cell r="E4312" t="str">
            <v/>
          </cell>
          <cell r="G4312" t="str">
            <v/>
          </cell>
          <cell r="J4312" t="str">
            <v/>
          </cell>
          <cell r="O4312" t="str">
            <v/>
          </cell>
          <cell r="P4312" t="str">
            <v/>
          </cell>
          <cell r="Q4312" t="str">
            <v/>
          </cell>
          <cell r="S4312" t="str">
            <v/>
          </cell>
          <cell r="V4312" t="str">
            <v/>
          </cell>
          <cell r="Z4312" t="str">
            <v/>
          </cell>
          <cell r="AA4312" t="str">
            <v/>
          </cell>
          <cell r="AB4312" t="str">
            <v/>
          </cell>
          <cell r="AC4312" t="str">
            <v/>
          </cell>
          <cell r="AD4312" t="str">
            <v/>
          </cell>
          <cell r="AY4312" t="str">
            <v/>
          </cell>
          <cell r="AZ4312" t="str">
            <v/>
          </cell>
          <cell r="BA4312" t="str">
            <v/>
          </cell>
        </row>
        <row r="4313">
          <cell r="B4313" t="str">
            <v>-</v>
          </cell>
          <cell r="E4313" t="str">
            <v/>
          </cell>
          <cell r="G4313" t="str">
            <v/>
          </cell>
          <cell r="J4313" t="str">
            <v/>
          </cell>
          <cell r="O4313" t="str">
            <v/>
          </cell>
          <cell r="P4313" t="str">
            <v/>
          </cell>
          <cell r="Q4313" t="str">
            <v/>
          </cell>
          <cell r="S4313" t="str">
            <v/>
          </cell>
          <cell r="V4313" t="str">
            <v/>
          </cell>
          <cell r="Z4313" t="str">
            <v/>
          </cell>
          <cell r="AA4313" t="str">
            <v/>
          </cell>
          <cell r="AB4313" t="str">
            <v/>
          </cell>
          <cell r="AC4313" t="str">
            <v/>
          </cell>
          <cell r="AD4313" t="str">
            <v/>
          </cell>
          <cell r="AY4313" t="str">
            <v/>
          </cell>
          <cell r="AZ4313" t="str">
            <v/>
          </cell>
          <cell r="BA4313" t="str">
            <v/>
          </cell>
        </row>
        <row r="4314">
          <cell r="B4314" t="str">
            <v>-</v>
          </cell>
          <cell r="E4314" t="str">
            <v/>
          </cell>
          <cell r="G4314" t="str">
            <v/>
          </cell>
          <cell r="J4314" t="str">
            <v/>
          </cell>
          <cell r="O4314" t="str">
            <v/>
          </cell>
          <cell r="P4314" t="str">
            <v/>
          </cell>
          <cell r="Q4314" t="str">
            <v/>
          </cell>
          <cell r="S4314" t="str">
            <v/>
          </cell>
          <cell r="V4314" t="str">
            <v/>
          </cell>
          <cell r="Z4314" t="str">
            <v/>
          </cell>
          <cell r="AA4314" t="str">
            <v/>
          </cell>
          <cell r="AB4314" t="str">
            <v/>
          </cell>
          <cell r="AC4314" t="str">
            <v/>
          </cell>
          <cell r="AD4314" t="str">
            <v/>
          </cell>
          <cell r="AY4314" t="str">
            <v/>
          </cell>
          <cell r="AZ4314" t="str">
            <v/>
          </cell>
          <cell r="BA4314" t="str">
            <v/>
          </cell>
        </row>
        <row r="4315">
          <cell r="B4315" t="str">
            <v>-</v>
          </cell>
          <cell r="E4315" t="str">
            <v/>
          </cell>
          <cell r="G4315" t="str">
            <v/>
          </cell>
          <cell r="J4315" t="str">
            <v/>
          </cell>
          <cell r="O4315" t="str">
            <v/>
          </cell>
          <cell r="P4315" t="str">
            <v/>
          </cell>
          <cell r="Q4315" t="str">
            <v/>
          </cell>
          <cell r="S4315" t="str">
            <v/>
          </cell>
          <cell r="V4315" t="str">
            <v/>
          </cell>
          <cell r="Z4315" t="str">
            <v/>
          </cell>
          <cell r="AA4315" t="str">
            <v/>
          </cell>
          <cell r="AB4315" t="str">
            <v/>
          </cell>
          <cell r="AC4315" t="str">
            <v/>
          </cell>
          <cell r="AD4315" t="str">
            <v/>
          </cell>
          <cell r="AY4315" t="str">
            <v/>
          </cell>
          <cell r="AZ4315" t="str">
            <v/>
          </cell>
          <cell r="BA4315" t="str">
            <v/>
          </cell>
        </row>
        <row r="4316">
          <cell r="B4316" t="str">
            <v>-</v>
          </cell>
          <cell r="E4316" t="str">
            <v/>
          </cell>
          <cell r="G4316" t="str">
            <v/>
          </cell>
          <cell r="J4316" t="str">
            <v/>
          </cell>
          <cell r="O4316" t="str">
            <v/>
          </cell>
          <cell r="P4316" t="str">
            <v/>
          </cell>
          <cell r="Q4316" t="str">
            <v/>
          </cell>
          <cell r="S4316" t="str">
            <v/>
          </cell>
          <cell r="V4316" t="str">
            <v/>
          </cell>
          <cell r="Z4316" t="str">
            <v/>
          </cell>
          <cell r="AA4316" t="str">
            <v/>
          </cell>
          <cell r="AB4316" t="str">
            <v/>
          </cell>
          <cell r="AC4316" t="str">
            <v/>
          </cell>
          <cell r="AD4316" t="str">
            <v/>
          </cell>
          <cell r="AY4316" t="str">
            <v/>
          </cell>
          <cell r="AZ4316" t="str">
            <v/>
          </cell>
          <cell r="BA4316" t="str">
            <v/>
          </cell>
        </row>
        <row r="4317">
          <cell r="B4317" t="str">
            <v>-</v>
          </cell>
          <cell r="E4317" t="str">
            <v/>
          </cell>
          <cell r="G4317" t="str">
            <v/>
          </cell>
          <cell r="J4317" t="str">
            <v/>
          </cell>
          <cell r="O4317" t="str">
            <v/>
          </cell>
          <cell r="P4317" t="str">
            <v/>
          </cell>
          <cell r="Q4317" t="str">
            <v/>
          </cell>
          <cell r="S4317" t="str">
            <v/>
          </cell>
          <cell r="V4317" t="str">
            <v/>
          </cell>
          <cell r="Z4317" t="str">
            <v/>
          </cell>
          <cell r="AA4317" t="str">
            <v/>
          </cell>
          <cell r="AB4317" t="str">
            <v/>
          </cell>
          <cell r="AC4317" t="str">
            <v/>
          </cell>
          <cell r="AD4317" t="str">
            <v/>
          </cell>
          <cell r="AY4317" t="str">
            <v/>
          </cell>
          <cell r="AZ4317" t="str">
            <v/>
          </cell>
          <cell r="BA4317" t="str">
            <v/>
          </cell>
        </row>
        <row r="4318">
          <cell r="B4318" t="str">
            <v>-</v>
          </cell>
          <cell r="E4318" t="str">
            <v/>
          </cell>
          <cell r="G4318" t="str">
            <v/>
          </cell>
          <cell r="J4318" t="str">
            <v/>
          </cell>
          <cell r="O4318" t="str">
            <v/>
          </cell>
          <cell r="P4318" t="str">
            <v/>
          </cell>
          <cell r="Q4318" t="str">
            <v/>
          </cell>
          <cell r="S4318" t="str">
            <v/>
          </cell>
          <cell r="V4318" t="str">
            <v/>
          </cell>
          <cell r="Z4318" t="str">
            <v/>
          </cell>
          <cell r="AA4318" t="str">
            <v/>
          </cell>
          <cell r="AB4318" t="str">
            <v/>
          </cell>
          <cell r="AC4318" t="str">
            <v/>
          </cell>
          <cell r="AD4318" t="str">
            <v/>
          </cell>
          <cell r="AY4318" t="str">
            <v/>
          </cell>
          <cell r="AZ4318" t="str">
            <v/>
          </cell>
          <cell r="BA4318" t="str">
            <v/>
          </cell>
        </row>
        <row r="4319">
          <cell r="B4319" t="str">
            <v>-</v>
          </cell>
          <cell r="E4319" t="str">
            <v/>
          </cell>
          <cell r="G4319" t="str">
            <v/>
          </cell>
          <cell r="J4319" t="str">
            <v/>
          </cell>
          <cell r="O4319" t="str">
            <v/>
          </cell>
          <cell r="P4319" t="str">
            <v/>
          </cell>
          <cell r="Q4319" t="str">
            <v/>
          </cell>
          <cell r="S4319" t="str">
            <v/>
          </cell>
          <cell r="V4319" t="str">
            <v/>
          </cell>
          <cell r="Z4319" t="str">
            <v/>
          </cell>
          <cell r="AA4319" t="str">
            <v/>
          </cell>
          <cell r="AB4319" t="str">
            <v/>
          </cell>
          <cell r="AC4319" t="str">
            <v/>
          </cell>
          <cell r="AD4319" t="str">
            <v/>
          </cell>
          <cell r="AY4319" t="str">
            <v/>
          </cell>
          <cell r="AZ4319" t="str">
            <v/>
          </cell>
          <cell r="BA4319" t="str">
            <v/>
          </cell>
        </row>
        <row r="4320">
          <cell r="B4320" t="str">
            <v>-</v>
          </cell>
          <cell r="E4320" t="str">
            <v/>
          </cell>
          <cell r="G4320" t="str">
            <v/>
          </cell>
          <cell r="J4320" t="str">
            <v/>
          </cell>
          <cell r="O4320" t="str">
            <v/>
          </cell>
          <cell r="P4320" t="str">
            <v/>
          </cell>
          <cell r="Q4320" t="str">
            <v/>
          </cell>
          <cell r="S4320" t="str">
            <v/>
          </cell>
          <cell r="V4320" t="str">
            <v/>
          </cell>
          <cell r="Z4320" t="str">
            <v/>
          </cell>
          <cell r="AA4320" t="str">
            <v/>
          </cell>
          <cell r="AB4320" t="str">
            <v/>
          </cell>
          <cell r="AC4320" t="str">
            <v/>
          </cell>
          <cell r="AD4320" t="str">
            <v/>
          </cell>
          <cell r="AY4320" t="str">
            <v/>
          </cell>
          <cell r="AZ4320" t="str">
            <v/>
          </cell>
          <cell r="BA4320" t="str">
            <v/>
          </cell>
        </row>
        <row r="4321">
          <cell r="B4321" t="str">
            <v>-</v>
          </cell>
          <cell r="E4321" t="str">
            <v/>
          </cell>
          <cell r="G4321" t="str">
            <v/>
          </cell>
          <cell r="J4321" t="str">
            <v/>
          </cell>
          <cell r="O4321" t="str">
            <v/>
          </cell>
          <cell r="P4321" t="str">
            <v/>
          </cell>
          <cell r="Q4321" t="str">
            <v/>
          </cell>
          <cell r="S4321" t="str">
            <v/>
          </cell>
          <cell r="V4321" t="str">
            <v/>
          </cell>
          <cell r="Z4321" t="str">
            <v/>
          </cell>
          <cell r="AA4321" t="str">
            <v/>
          </cell>
          <cell r="AB4321" t="str">
            <v/>
          </cell>
          <cell r="AC4321" t="str">
            <v/>
          </cell>
          <cell r="AD4321" t="str">
            <v/>
          </cell>
          <cell r="AY4321" t="str">
            <v/>
          </cell>
          <cell r="AZ4321" t="str">
            <v/>
          </cell>
          <cell r="BA4321" t="str">
            <v/>
          </cell>
        </row>
        <row r="4322">
          <cell r="B4322" t="str">
            <v>-</v>
          </cell>
          <cell r="E4322" t="str">
            <v/>
          </cell>
          <cell r="G4322" t="str">
            <v/>
          </cell>
          <cell r="J4322" t="str">
            <v/>
          </cell>
          <cell r="O4322" t="str">
            <v/>
          </cell>
          <cell r="P4322" t="str">
            <v/>
          </cell>
          <cell r="Q4322" t="str">
            <v/>
          </cell>
          <cell r="S4322" t="str">
            <v/>
          </cell>
          <cell r="V4322" t="str">
            <v/>
          </cell>
          <cell r="Z4322" t="str">
            <v/>
          </cell>
          <cell r="AA4322" t="str">
            <v/>
          </cell>
          <cell r="AB4322" t="str">
            <v/>
          </cell>
          <cell r="AC4322" t="str">
            <v/>
          </cell>
          <cell r="AD4322" t="str">
            <v/>
          </cell>
          <cell r="AY4322" t="str">
            <v/>
          </cell>
          <cell r="AZ4322" t="str">
            <v/>
          </cell>
          <cell r="BA4322" t="str">
            <v/>
          </cell>
        </row>
        <row r="4323">
          <cell r="B4323" t="str">
            <v>-</v>
          </cell>
          <cell r="E4323" t="str">
            <v/>
          </cell>
          <cell r="G4323" t="str">
            <v/>
          </cell>
          <cell r="J4323" t="str">
            <v/>
          </cell>
          <cell r="O4323" t="str">
            <v/>
          </cell>
          <cell r="P4323" t="str">
            <v/>
          </cell>
          <cell r="Q4323" t="str">
            <v/>
          </cell>
          <cell r="S4323" t="str">
            <v/>
          </cell>
          <cell r="V4323" t="str">
            <v/>
          </cell>
          <cell r="Z4323" t="str">
            <v/>
          </cell>
          <cell r="AA4323" t="str">
            <v/>
          </cell>
          <cell r="AB4323" t="str">
            <v/>
          </cell>
          <cell r="AC4323" t="str">
            <v/>
          </cell>
          <cell r="AD4323" t="str">
            <v/>
          </cell>
          <cell r="AY4323" t="str">
            <v/>
          </cell>
          <cell r="AZ4323" t="str">
            <v/>
          </cell>
          <cell r="BA4323" t="str">
            <v/>
          </cell>
        </row>
        <row r="4324">
          <cell r="B4324" t="str">
            <v>-</v>
          </cell>
          <cell r="E4324" t="str">
            <v/>
          </cell>
          <cell r="G4324" t="str">
            <v/>
          </cell>
          <cell r="J4324" t="str">
            <v/>
          </cell>
          <cell r="O4324" t="str">
            <v/>
          </cell>
          <cell r="P4324" t="str">
            <v/>
          </cell>
          <cell r="Q4324" t="str">
            <v/>
          </cell>
          <cell r="S4324" t="str">
            <v/>
          </cell>
          <cell r="V4324" t="str">
            <v/>
          </cell>
          <cell r="Z4324" t="str">
            <v/>
          </cell>
          <cell r="AA4324" t="str">
            <v/>
          </cell>
          <cell r="AB4324" t="str">
            <v/>
          </cell>
          <cell r="AC4324" t="str">
            <v/>
          </cell>
          <cell r="AD4324" t="str">
            <v/>
          </cell>
          <cell r="AY4324" t="str">
            <v/>
          </cell>
          <cell r="AZ4324" t="str">
            <v/>
          </cell>
          <cell r="BA4324" t="str">
            <v/>
          </cell>
        </row>
        <row r="4325">
          <cell r="B4325" t="str">
            <v>-</v>
          </cell>
          <cell r="E4325" t="str">
            <v/>
          </cell>
          <cell r="G4325" t="str">
            <v/>
          </cell>
          <cell r="J4325" t="str">
            <v/>
          </cell>
          <cell r="O4325" t="str">
            <v/>
          </cell>
          <cell r="P4325" t="str">
            <v/>
          </cell>
          <cell r="Q4325" t="str">
            <v/>
          </cell>
          <cell r="S4325" t="str">
            <v/>
          </cell>
          <cell r="V4325" t="str">
            <v/>
          </cell>
          <cell r="Z4325" t="str">
            <v/>
          </cell>
          <cell r="AA4325" t="str">
            <v/>
          </cell>
          <cell r="AB4325" t="str">
            <v/>
          </cell>
          <cell r="AC4325" t="str">
            <v/>
          </cell>
          <cell r="AD4325" t="str">
            <v/>
          </cell>
          <cell r="AY4325" t="str">
            <v/>
          </cell>
          <cell r="AZ4325" t="str">
            <v/>
          </cell>
          <cell r="BA4325" t="str">
            <v/>
          </cell>
        </row>
        <row r="4326">
          <cell r="B4326" t="str">
            <v>-</v>
          </cell>
          <cell r="E4326" t="str">
            <v/>
          </cell>
          <cell r="G4326" t="str">
            <v/>
          </cell>
          <cell r="J4326" t="str">
            <v/>
          </cell>
          <cell r="O4326" t="str">
            <v/>
          </cell>
          <cell r="P4326" t="str">
            <v/>
          </cell>
          <cell r="Q4326" t="str">
            <v/>
          </cell>
          <cell r="S4326" t="str">
            <v/>
          </cell>
          <cell r="V4326" t="str">
            <v/>
          </cell>
          <cell r="Z4326" t="str">
            <v/>
          </cell>
          <cell r="AA4326" t="str">
            <v/>
          </cell>
          <cell r="AB4326" t="str">
            <v/>
          </cell>
          <cell r="AC4326" t="str">
            <v/>
          </cell>
          <cell r="AD4326" t="str">
            <v/>
          </cell>
          <cell r="AY4326" t="str">
            <v/>
          </cell>
          <cell r="AZ4326" t="str">
            <v/>
          </cell>
          <cell r="BA4326" t="str">
            <v/>
          </cell>
        </row>
        <row r="4327">
          <cell r="B4327" t="str">
            <v>-</v>
          </cell>
          <cell r="E4327" t="str">
            <v/>
          </cell>
          <cell r="G4327" t="str">
            <v/>
          </cell>
          <cell r="J4327" t="str">
            <v/>
          </cell>
          <cell r="O4327" t="str">
            <v/>
          </cell>
          <cell r="P4327" t="str">
            <v/>
          </cell>
          <cell r="Q4327" t="str">
            <v/>
          </cell>
          <cell r="S4327" t="str">
            <v/>
          </cell>
          <cell r="V4327" t="str">
            <v/>
          </cell>
          <cell r="Z4327" t="str">
            <v/>
          </cell>
          <cell r="AA4327" t="str">
            <v/>
          </cell>
          <cell r="AB4327" t="str">
            <v/>
          </cell>
          <cell r="AC4327" t="str">
            <v/>
          </cell>
          <cell r="AD4327" t="str">
            <v/>
          </cell>
          <cell r="AY4327" t="str">
            <v/>
          </cell>
          <cell r="AZ4327" t="str">
            <v/>
          </cell>
          <cell r="BA4327" t="str">
            <v/>
          </cell>
        </row>
        <row r="4328">
          <cell r="B4328" t="str">
            <v>-</v>
          </cell>
          <cell r="E4328" t="str">
            <v/>
          </cell>
          <cell r="G4328" t="str">
            <v/>
          </cell>
          <cell r="J4328" t="str">
            <v/>
          </cell>
          <cell r="O4328" t="str">
            <v/>
          </cell>
          <cell r="P4328" t="str">
            <v/>
          </cell>
          <cell r="Q4328" t="str">
            <v/>
          </cell>
          <cell r="S4328" t="str">
            <v/>
          </cell>
          <cell r="V4328" t="str">
            <v/>
          </cell>
          <cell r="Z4328" t="str">
            <v/>
          </cell>
          <cell r="AA4328" t="str">
            <v/>
          </cell>
          <cell r="AB4328" t="str">
            <v/>
          </cell>
          <cell r="AC4328" t="str">
            <v/>
          </cell>
          <cell r="AD4328" t="str">
            <v/>
          </cell>
          <cell r="AY4328" t="str">
            <v/>
          </cell>
          <cell r="AZ4328" t="str">
            <v/>
          </cell>
          <cell r="BA4328" t="str">
            <v/>
          </cell>
        </row>
        <row r="4329">
          <cell r="B4329" t="str">
            <v>-</v>
          </cell>
          <cell r="E4329" t="str">
            <v/>
          </cell>
          <cell r="G4329" t="str">
            <v/>
          </cell>
          <cell r="J4329" t="str">
            <v/>
          </cell>
          <cell r="O4329" t="str">
            <v/>
          </cell>
          <cell r="P4329" t="str">
            <v/>
          </cell>
          <cell r="Q4329" t="str">
            <v/>
          </cell>
          <cell r="S4329" t="str">
            <v/>
          </cell>
          <cell r="V4329" t="str">
            <v/>
          </cell>
          <cell r="Z4329" t="str">
            <v/>
          </cell>
          <cell r="AA4329" t="str">
            <v/>
          </cell>
          <cell r="AB4329" t="str">
            <v/>
          </cell>
          <cell r="AC4329" t="str">
            <v/>
          </cell>
          <cell r="AD4329" t="str">
            <v/>
          </cell>
          <cell r="AY4329" t="str">
            <v/>
          </cell>
          <cell r="AZ4329" t="str">
            <v/>
          </cell>
          <cell r="BA4329" t="str">
            <v/>
          </cell>
        </row>
        <row r="4330">
          <cell r="B4330" t="str">
            <v>-</v>
          </cell>
          <cell r="E4330" t="str">
            <v/>
          </cell>
          <cell r="G4330" t="str">
            <v/>
          </cell>
          <cell r="J4330" t="str">
            <v/>
          </cell>
          <cell r="O4330" t="str">
            <v/>
          </cell>
          <cell r="P4330" t="str">
            <v/>
          </cell>
          <cell r="Q4330" t="str">
            <v/>
          </cell>
          <cell r="S4330" t="str">
            <v/>
          </cell>
          <cell r="V4330" t="str">
            <v/>
          </cell>
          <cell r="Z4330" t="str">
            <v/>
          </cell>
          <cell r="AA4330" t="str">
            <v/>
          </cell>
          <cell r="AB4330" t="str">
            <v/>
          </cell>
          <cell r="AC4330" t="str">
            <v/>
          </cell>
          <cell r="AD4330" t="str">
            <v/>
          </cell>
          <cell r="AY4330" t="str">
            <v/>
          </cell>
          <cell r="AZ4330" t="str">
            <v/>
          </cell>
          <cell r="BA4330" t="str">
            <v/>
          </cell>
        </row>
        <row r="4331">
          <cell r="B4331" t="str">
            <v>-</v>
          </cell>
          <cell r="E4331" t="str">
            <v/>
          </cell>
          <cell r="G4331" t="str">
            <v/>
          </cell>
          <cell r="J4331" t="str">
            <v/>
          </cell>
          <cell r="O4331" t="str">
            <v/>
          </cell>
          <cell r="P4331" t="str">
            <v/>
          </cell>
          <cell r="Q4331" t="str">
            <v/>
          </cell>
          <cell r="S4331" t="str">
            <v/>
          </cell>
          <cell r="V4331" t="str">
            <v/>
          </cell>
          <cell r="Z4331" t="str">
            <v/>
          </cell>
          <cell r="AA4331" t="str">
            <v/>
          </cell>
          <cell r="AB4331" t="str">
            <v/>
          </cell>
          <cell r="AC4331" t="str">
            <v/>
          </cell>
          <cell r="AD4331" t="str">
            <v/>
          </cell>
          <cell r="AY4331" t="str">
            <v/>
          </cell>
          <cell r="AZ4331" t="str">
            <v/>
          </cell>
          <cell r="BA4331" t="str">
            <v/>
          </cell>
        </row>
        <row r="4332">
          <cell r="B4332" t="str">
            <v>-</v>
          </cell>
          <cell r="E4332" t="str">
            <v/>
          </cell>
          <cell r="G4332" t="str">
            <v/>
          </cell>
          <cell r="J4332" t="str">
            <v/>
          </cell>
          <cell r="O4332" t="str">
            <v/>
          </cell>
          <cell r="P4332" t="str">
            <v/>
          </cell>
          <cell r="Q4332" t="str">
            <v/>
          </cell>
          <cell r="S4332" t="str">
            <v/>
          </cell>
          <cell r="V4332" t="str">
            <v/>
          </cell>
          <cell r="Z4332" t="str">
            <v/>
          </cell>
          <cell r="AA4332" t="str">
            <v/>
          </cell>
          <cell r="AB4332" t="str">
            <v/>
          </cell>
          <cell r="AC4332" t="str">
            <v/>
          </cell>
          <cell r="AD4332" t="str">
            <v/>
          </cell>
          <cell r="AY4332" t="str">
            <v/>
          </cell>
          <cell r="AZ4332" t="str">
            <v/>
          </cell>
          <cell r="BA4332" t="str">
            <v/>
          </cell>
        </row>
        <row r="4333">
          <cell r="B4333" t="str">
            <v>-</v>
          </cell>
          <cell r="E4333" t="str">
            <v/>
          </cell>
          <cell r="G4333" t="str">
            <v/>
          </cell>
          <cell r="J4333" t="str">
            <v/>
          </cell>
          <cell r="O4333" t="str">
            <v/>
          </cell>
          <cell r="P4333" t="str">
            <v/>
          </cell>
          <cell r="Q4333" t="str">
            <v/>
          </cell>
          <cell r="S4333" t="str">
            <v/>
          </cell>
          <cell r="V4333" t="str">
            <v/>
          </cell>
          <cell r="Z4333" t="str">
            <v/>
          </cell>
          <cell r="AA4333" t="str">
            <v/>
          </cell>
          <cell r="AB4333" t="str">
            <v/>
          </cell>
          <cell r="AC4333" t="str">
            <v/>
          </cell>
          <cell r="AD4333" t="str">
            <v/>
          </cell>
          <cell r="AY4333" t="str">
            <v/>
          </cell>
          <cell r="AZ4333" t="str">
            <v/>
          </cell>
          <cell r="BA4333" t="str">
            <v/>
          </cell>
        </row>
        <row r="4334">
          <cell r="B4334" t="str">
            <v>-</v>
          </cell>
          <cell r="E4334" t="str">
            <v/>
          </cell>
          <cell r="G4334" t="str">
            <v/>
          </cell>
          <cell r="J4334" t="str">
            <v/>
          </cell>
          <cell r="O4334" t="str">
            <v/>
          </cell>
          <cell r="P4334" t="str">
            <v/>
          </cell>
          <cell r="Q4334" t="str">
            <v/>
          </cell>
          <cell r="S4334" t="str">
            <v/>
          </cell>
          <cell r="V4334" t="str">
            <v/>
          </cell>
          <cell r="Z4334" t="str">
            <v/>
          </cell>
          <cell r="AA4334" t="str">
            <v/>
          </cell>
          <cell r="AB4334" t="str">
            <v/>
          </cell>
          <cell r="AC4334" t="str">
            <v/>
          </cell>
          <cell r="AD4334" t="str">
            <v/>
          </cell>
          <cell r="AY4334" t="str">
            <v/>
          </cell>
          <cell r="AZ4334" t="str">
            <v/>
          </cell>
          <cell r="BA4334" t="str">
            <v/>
          </cell>
        </row>
        <row r="4335">
          <cell r="B4335" t="str">
            <v>-</v>
          </cell>
          <cell r="E4335" t="str">
            <v/>
          </cell>
          <cell r="G4335" t="str">
            <v/>
          </cell>
          <cell r="J4335" t="str">
            <v/>
          </cell>
          <cell r="O4335" t="str">
            <v/>
          </cell>
          <cell r="P4335" t="str">
            <v/>
          </cell>
          <cell r="Q4335" t="str">
            <v/>
          </cell>
          <cell r="S4335" t="str">
            <v/>
          </cell>
          <cell r="V4335" t="str">
            <v/>
          </cell>
          <cell r="Z4335" t="str">
            <v/>
          </cell>
          <cell r="AA4335" t="str">
            <v/>
          </cell>
          <cell r="AB4335" t="str">
            <v/>
          </cell>
          <cell r="AC4335" t="str">
            <v/>
          </cell>
          <cell r="AD4335" t="str">
            <v/>
          </cell>
          <cell r="AY4335" t="str">
            <v/>
          </cell>
          <cell r="AZ4335" t="str">
            <v/>
          </cell>
          <cell r="BA4335" t="str">
            <v/>
          </cell>
        </row>
        <row r="4336">
          <cell r="B4336" t="str">
            <v>-</v>
          </cell>
          <cell r="E4336" t="str">
            <v/>
          </cell>
          <cell r="G4336" t="str">
            <v/>
          </cell>
          <cell r="J4336" t="str">
            <v/>
          </cell>
          <cell r="O4336" t="str">
            <v/>
          </cell>
          <cell r="P4336" t="str">
            <v/>
          </cell>
          <cell r="Q4336" t="str">
            <v/>
          </cell>
          <cell r="S4336" t="str">
            <v/>
          </cell>
          <cell r="V4336" t="str">
            <v/>
          </cell>
          <cell r="Z4336" t="str">
            <v/>
          </cell>
          <cell r="AA4336" t="str">
            <v/>
          </cell>
          <cell r="AB4336" t="str">
            <v/>
          </cell>
          <cell r="AC4336" t="str">
            <v/>
          </cell>
          <cell r="AD4336" t="str">
            <v/>
          </cell>
          <cell r="AY4336" t="str">
            <v/>
          </cell>
          <cell r="AZ4336" t="str">
            <v/>
          </cell>
          <cell r="BA4336" t="str">
            <v/>
          </cell>
        </row>
        <row r="4337">
          <cell r="B4337" t="str">
            <v>-</v>
          </cell>
          <cell r="E4337" t="str">
            <v/>
          </cell>
          <cell r="G4337" t="str">
            <v/>
          </cell>
          <cell r="J4337" t="str">
            <v/>
          </cell>
          <cell r="O4337" t="str">
            <v/>
          </cell>
          <cell r="P4337" t="str">
            <v/>
          </cell>
          <cell r="Q4337" t="str">
            <v/>
          </cell>
          <cell r="S4337" t="str">
            <v/>
          </cell>
          <cell r="V4337" t="str">
            <v/>
          </cell>
          <cell r="Z4337" t="str">
            <v/>
          </cell>
          <cell r="AA4337" t="str">
            <v/>
          </cell>
          <cell r="AB4337" t="str">
            <v/>
          </cell>
          <cell r="AC4337" t="str">
            <v/>
          </cell>
          <cell r="AD4337" t="str">
            <v/>
          </cell>
          <cell r="AY4337" t="str">
            <v/>
          </cell>
          <cell r="AZ4337" t="str">
            <v/>
          </cell>
          <cell r="BA4337" t="str">
            <v/>
          </cell>
        </row>
        <row r="4338">
          <cell r="B4338" t="str">
            <v>-</v>
          </cell>
          <cell r="E4338" t="str">
            <v/>
          </cell>
          <cell r="G4338" t="str">
            <v/>
          </cell>
          <cell r="J4338" t="str">
            <v/>
          </cell>
          <cell r="O4338" t="str">
            <v/>
          </cell>
          <cell r="P4338" t="str">
            <v/>
          </cell>
          <cell r="Q4338" t="str">
            <v/>
          </cell>
          <cell r="S4338" t="str">
            <v/>
          </cell>
          <cell r="V4338" t="str">
            <v/>
          </cell>
          <cell r="Z4338" t="str">
            <v/>
          </cell>
          <cell r="AA4338" t="str">
            <v/>
          </cell>
          <cell r="AB4338" t="str">
            <v/>
          </cell>
          <cell r="AC4338" t="str">
            <v/>
          </cell>
          <cell r="AD4338" t="str">
            <v/>
          </cell>
          <cell r="AY4338" t="str">
            <v/>
          </cell>
          <cell r="AZ4338" t="str">
            <v/>
          </cell>
          <cell r="BA4338" t="str">
            <v/>
          </cell>
        </row>
        <row r="4339">
          <cell r="B4339" t="str">
            <v>-</v>
          </cell>
          <cell r="E4339" t="str">
            <v/>
          </cell>
          <cell r="G4339" t="str">
            <v/>
          </cell>
          <cell r="J4339" t="str">
            <v/>
          </cell>
          <cell r="O4339" t="str">
            <v/>
          </cell>
          <cell r="P4339" t="str">
            <v/>
          </cell>
          <cell r="Q4339" t="str">
            <v/>
          </cell>
          <cell r="S4339" t="str">
            <v/>
          </cell>
          <cell r="V4339" t="str">
            <v/>
          </cell>
          <cell r="Z4339" t="str">
            <v/>
          </cell>
          <cell r="AA4339" t="str">
            <v/>
          </cell>
          <cell r="AB4339" t="str">
            <v/>
          </cell>
          <cell r="AC4339" t="str">
            <v/>
          </cell>
          <cell r="AD4339" t="str">
            <v/>
          </cell>
          <cell r="AY4339" t="str">
            <v/>
          </cell>
          <cell r="AZ4339" t="str">
            <v/>
          </cell>
          <cell r="BA4339" t="str">
            <v/>
          </cell>
        </row>
        <row r="4340">
          <cell r="B4340" t="str">
            <v>-</v>
          </cell>
          <cell r="E4340" t="str">
            <v/>
          </cell>
          <cell r="G4340" t="str">
            <v/>
          </cell>
          <cell r="J4340" t="str">
            <v/>
          </cell>
          <cell r="O4340" t="str">
            <v/>
          </cell>
          <cell r="P4340" t="str">
            <v/>
          </cell>
          <cell r="Q4340" t="str">
            <v/>
          </cell>
          <cell r="S4340" t="str">
            <v/>
          </cell>
          <cell r="V4340" t="str">
            <v/>
          </cell>
          <cell r="Z4340" t="str">
            <v/>
          </cell>
          <cell r="AA4340" t="str">
            <v/>
          </cell>
          <cell r="AB4340" t="str">
            <v/>
          </cell>
          <cell r="AC4340" t="str">
            <v/>
          </cell>
          <cell r="AD4340" t="str">
            <v/>
          </cell>
          <cell r="AY4340" t="str">
            <v/>
          </cell>
          <cell r="AZ4340" t="str">
            <v/>
          </cell>
          <cell r="BA4340" t="str">
            <v/>
          </cell>
        </row>
        <row r="4341">
          <cell r="B4341" t="str">
            <v>-</v>
          </cell>
          <cell r="E4341" t="str">
            <v/>
          </cell>
          <cell r="G4341" t="str">
            <v/>
          </cell>
          <cell r="J4341" t="str">
            <v/>
          </cell>
          <cell r="O4341" t="str">
            <v/>
          </cell>
          <cell r="P4341" t="str">
            <v/>
          </cell>
          <cell r="Q4341" t="str">
            <v/>
          </cell>
          <cell r="S4341" t="str">
            <v/>
          </cell>
          <cell r="V4341" t="str">
            <v/>
          </cell>
          <cell r="Z4341" t="str">
            <v/>
          </cell>
          <cell r="AA4341" t="str">
            <v/>
          </cell>
          <cell r="AB4341" t="str">
            <v/>
          </cell>
          <cell r="AC4341" t="str">
            <v/>
          </cell>
          <cell r="AD4341" t="str">
            <v/>
          </cell>
          <cell r="AY4341" t="str">
            <v/>
          </cell>
          <cell r="AZ4341" t="str">
            <v/>
          </cell>
          <cell r="BA4341" t="str">
            <v/>
          </cell>
        </row>
        <row r="4342">
          <cell r="B4342" t="str">
            <v>-</v>
          </cell>
          <cell r="E4342" t="str">
            <v/>
          </cell>
          <cell r="G4342" t="str">
            <v/>
          </cell>
          <cell r="J4342" t="str">
            <v/>
          </cell>
          <cell r="O4342" t="str">
            <v/>
          </cell>
          <cell r="P4342" t="str">
            <v/>
          </cell>
          <cell r="Q4342" t="str">
            <v/>
          </cell>
          <cell r="S4342" t="str">
            <v/>
          </cell>
          <cell r="V4342" t="str">
            <v/>
          </cell>
          <cell r="Z4342" t="str">
            <v/>
          </cell>
          <cell r="AA4342" t="str">
            <v/>
          </cell>
          <cell r="AB4342" t="str">
            <v/>
          </cell>
          <cell r="AC4342" t="str">
            <v/>
          </cell>
          <cell r="AD4342" t="str">
            <v/>
          </cell>
          <cell r="AY4342" t="str">
            <v/>
          </cell>
          <cell r="AZ4342" t="str">
            <v/>
          </cell>
          <cell r="BA4342" t="str">
            <v/>
          </cell>
        </row>
        <row r="4343">
          <cell r="B4343" t="str">
            <v>-</v>
          </cell>
          <cell r="E4343" t="str">
            <v/>
          </cell>
          <cell r="G4343" t="str">
            <v/>
          </cell>
          <cell r="J4343" t="str">
            <v/>
          </cell>
          <cell r="O4343" t="str">
            <v/>
          </cell>
          <cell r="P4343" t="str">
            <v/>
          </cell>
          <cell r="Q4343" t="str">
            <v/>
          </cell>
          <cell r="S4343" t="str">
            <v/>
          </cell>
          <cell r="V4343" t="str">
            <v/>
          </cell>
          <cell r="Z4343" t="str">
            <v/>
          </cell>
          <cell r="AA4343" t="str">
            <v/>
          </cell>
          <cell r="AB4343" t="str">
            <v/>
          </cell>
          <cell r="AC4343" t="str">
            <v/>
          </cell>
          <cell r="AD4343" t="str">
            <v/>
          </cell>
          <cell r="AY4343" t="str">
            <v/>
          </cell>
          <cell r="AZ4343" t="str">
            <v/>
          </cell>
          <cell r="BA4343" t="str">
            <v/>
          </cell>
        </row>
        <row r="4344">
          <cell r="B4344" t="str">
            <v>-</v>
          </cell>
          <cell r="E4344" t="str">
            <v/>
          </cell>
          <cell r="G4344" t="str">
            <v/>
          </cell>
          <cell r="J4344" t="str">
            <v/>
          </cell>
          <cell r="O4344" t="str">
            <v/>
          </cell>
          <cell r="P4344" t="str">
            <v/>
          </cell>
          <cell r="Q4344" t="str">
            <v/>
          </cell>
          <cell r="S4344" t="str">
            <v/>
          </cell>
          <cell r="V4344" t="str">
            <v/>
          </cell>
          <cell r="Z4344" t="str">
            <v/>
          </cell>
          <cell r="AA4344" t="str">
            <v/>
          </cell>
          <cell r="AB4344" t="str">
            <v/>
          </cell>
          <cell r="AC4344" t="str">
            <v/>
          </cell>
          <cell r="AD4344" t="str">
            <v/>
          </cell>
          <cell r="AY4344" t="str">
            <v/>
          </cell>
          <cell r="AZ4344" t="str">
            <v/>
          </cell>
          <cell r="BA4344" t="str">
            <v/>
          </cell>
        </row>
        <row r="4345">
          <cell r="B4345" t="str">
            <v>-</v>
          </cell>
          <cell r="E4345" t="str">
            <v/>
          </cell>
          <cell r="G4345" t="str">
            <v/>
          </cell>
          <cell r="J4345" t="str">
            <v/>
          </cell>
          <cell r="O4345" t="str">
            <v/>
          </cell>
          <cell r="P4345" t="str">
            <v/>
          </cell>
          <cell r="Q4345" t="str">
            <v/>
          </cell>
          <cell r="S4345" t="str">
            <v/>
          </cell>
          <cell r="V4345" t="str">
            <v/>
          </cell>
          <cell r="Z4345" t="str">
            <v/>
          </cell>
          <cell r="AA4345" t="str">
            <v/>
          </cell>
          <cell r="AB4345" t="str">
            <v/>
          </cell>
          <cell r="AC4345" t="str">
            <v/>
          </cell>
          <cell r="AD4345" t="str">
            <v/>
          </cell>
          <cell r="AY4345" t="str">
            <v/>
          </cell>
          <cell r="AZ4345" t="str">
            <v/>
          </cell>
          <cell r="BA4345" t="str">
            <v/>
          </cell>
        </row>
        <row r="4346">
          <cell r="B4346" t="str">
            <v>-</v>
          </cell>
          <cell r="E4346" t="str">
            <v/>
          </cell>
          <cell r="G4346" t="str">
            <v/>
          </cell>
          <cell r="J4346" t="str">
            <v/>
          </cell>
          <cell r="O4346" t="str">
            <v/>
          </cell>
          <cell r="P4346" t="str">
            <v/>
          </cell>
          <cell r="Q4346" t="str">
            <v/>
          </cell>
          <cell r="S4346" t="str">
            <v/>
          </cell>
          <cell r="V4346" t="str">
            <v/>
          </cell>
          <cell r="Z4346" t="str">
            <v/>
          </cell>
          <cell r="AA4346" t="str">
            <v/>
          </cell>
          <cell r="AB4346" t="str">
            <v/>
          </cell>
          <cell r="AC4346" t="str">
            <v/>
          </cell>
          <cell r="AD4346" t="str">
            <v/>
          </cell>
          <cell r="AY4346" t="str">
            <v/>
          </cell>
          <cell r="AZ4346" t="str">
            <v/>
          </cell>
          <cell r="BA4346" t="str">
            <v/>
          </cell>
        </row>
        <row r="4347">
          <cell r="B4347" t="str">
            <v>-</v>
          </cell>
          <cell r="E4347" t="str">
            <v/>
          </cell>
          <cell r="G4347" t="str">
            <v/>
          </cell>
          <cell r="J4347" t="str">
            <v/>
          </cell>
          <cell r="O4347" t="str">
            <v/>
          </cell>
          <cell r="P4347" t="str">
            <v/>
          </cell>
          <cell r="Q4347" t="str">
            <v/>
          </cell>
          <cell r="S4347" t="str">
            <v/>
          </cell>
          <cell r="V4347" t="str">
            <v/>
          </cell>
          <cell r="Z4347" t="str">
            <v/>
          </cell>
          <cell r="AA4347" t="str">
            <v/>
          </cell>
          <cell r="AB4347" t="str">
            <v/>
          </cell>
          <cell r="AC4347" t="str">
            <v/>
          </cell>
          <cell r="AD4347" t="str">
            <v/>
          </cell>
          <cell r="AY4347" t="str">
            <v/>
          </cell>
          <cell r="AZ4347" t="str">
            <v/>
          </cell>
          <cell r="BA4347" t="str">
            <v/>
          </cell>
        </row>
        <row r="4348">
          <cell r="B4348" t="str">
            <v>-</v>
          </cell>
          <cell r="E4348" t="str">
            <v/>
          </cell>
          <cell r="G4348" t="str">
            <v/>
          </cell>
          <cell r="J4348" t="str">
            <v/>
          </cell>
          <cell r="O4348" t="str">
            <v/>
          </cell>
          <cell r="P4348" t="str">
            <v/>
          </cell>
          <cell r="Q4348" t="str">
            <v/>
          </cell>
          <cell r="S4348" t="str">
            <v/>
          </cell>
          <cell r="V4348" t="str">
            <v/>
          </cell>
          <cell r="Z4348" t="str">
            <v/>
          </cell>
          <cell r="AA4348" t="str">
            <v/>
          </cell>
          <cell r="AB4348" t="str">
            <v/>
          </cell>
          <cell r="AC4348" t="str">
            <v/>
          </cell>
          <cell r="AD4348" t="str">
            <v/>
          </cell>
          <cell r="AY4348" t="str">
            <v/>
          </cell>
          <cell r="AZ4348" t="str">
            <v/>
          </cell>
          <cell r="BA4348" t="str">
            <v/>
          </cell>
        </row>
        <row r="4349">
          <cell r="B4349" t="str">
            <v>-</v>
          </cell>
          <cell r="E4349" t="str">
            <v/>
          </cell>
          <cell r="G4349" t="str">
            <v/>
          </cell>
          <cell r="J4349" t="str">
            <v/>
          </cell>
          <cell r="O4349" t="str">
            <v/>
          </cell>
          <cell r="P4349" t="str">
            <v/>
          </cell>
          <cell r="Q4349" t="str">
            <v/>
          </cell>
          <cell r="S4349" t="str">
            <v/>
          </cell>
          <cell r="V4349" t="str">
            <v/>
          </cell>
          <cell r="Z4349" t="str">
            <v/>
          </cell>
          <cell r="AA4349" t="str">
            <v/>
          </cell>
          <cell r="AB4349" t="str">
            <v/>
          </cell>
          <cell r="AC4349" t="str">
            <v/>
          </cell>
          <cell r="AD4349" t="str">
            <v/>
          </cell>
          <cell r="AY4349" t="str">
            <v/>
          </cell>
          <cell r="AZ4349" t="str">
            <v/>
          </cell>
          <cell r="BA4349" t="str">
            <v/>
          </cell>
        </row>
        <row r="4350">
          <cell r="B4350" t="str">
            <v>-</v>
          </cell>
          <cell r="E4350" t="str">
            <v/>
          </cell>
          <cell r="G4350" t="str">
            <v/>
          </cell>
          <cell r="J4350" t="str">
            <v/>
          </cell>
          <cell r="O4350" t="str">
            <v/>
          </cell>
          <cell r="P4350" t="str">
            <v/>
          </cell>
          <cell r="Q4350" t="str">
            <v/>
          </cell>
          <cell r="S4350" t="str">
            <v/>
          </cell>
          <cell r="V4350" t="str">
            <v/>
          </cell>
          <cell r="Z4350" t="str">
            <v/>
          </cell>
          <cell r="AA4350" t="str">
            <v/>
          </cell>
          <cell r="AB4350" t="str">
            <v/>
          </cell>
          <cell r="AC4350" t="str">
            <v/>
          </cell>
          <cell r="AD4350" t="str">
            <v/>
          </cell>
          <cell r="AY4350" t="str">
            <v/>
          </cell>
          <cell r="AZ4350" t="str">
            <v/>
          </cell>
          <cell r="BA4350" t="str">
            <v/>
          </cell>
        </row>
        <row r="4351">
          <cell r="B4351" t="str">
            <v>-</v>
          </cell>
          <cell r="E4351" t="str">
            <v/>
          </cell>
          <cell r="G4351" t="str">
            <v/>
          </cell>
          <cell r="J4351" t="str">
            <v/>
          </cell>
          <cell r="O4351" t="str">
            <v/>
          </cell>
          <cell r="P4351" t="str">
            <v/>
          </cell>
          <cell r="Q4351" t="str">
            <v/>
          </cell>
          <cell r="S4351" t="str">
            <v/>
          </cell>
          <cell r="V4351" t="str">
            <v/>
          </cell>
          <cell r="Z4351" t="str">
            <v/>
          </cell>
          <cell r="AA4351" t="str">
            <v/>
          </cell>
          <cell r="AB4351" t="str">
            <v/>
          </cell>
          <cell r="AC4351" t="str">
            <v/>
          </cell>
          <cell r="AD4351" t="str">
            <v/>
          </cell>
          <cell r="AY4351" t="str">
            <v/>
          </cell>
          <cell r="AZ4351" t="str">
            <v/>
          </cell>
          <cell r="BA4351" t="str">
            <v/>
          </cell>
        </row>
        <row r="4352">
          <cell r="B4352" t="str">
            <v>-</v>
          </cell>
          <cell r="E4352" t="str">
            <v/>
          </cell>
          <cell r="G4352" t="str">
            <v/>
          </cell>
          <cell r="J4352" t="str">
            <v/>
          </cell>
          <cell r="O4352" t="str">
            <v/>
          </cell>
          <cell r="P4352" t="str">
            <v/>
          </cell>
          <cell r="Q4352" t="str">
            <v/>
          </cell>
          <cell r="S4352" t="str">
            <v/>
          </cell>
          <cell r="V4352" t="str">
            <v/>
          </cell>
          <cell r="Z4352" t="str">
            <v/>
          </cell>
          <cell r="AA4352" t="str">
            <v/>
          </cell>
          <cell r="AB4352" t="str">
            <v/>
          </cell>
          <cell r="AC4352" t="str">
            <v/>
          </cell>
          <cell r="AD4352" t="str">
            <v/>
          </cell>
          <cell r="AY4352" t="str">
            <v/>
          </cell>
          <cell r="AZ4352" t="str">
            <v/>
          </cell>
          <cell r="BA4352" t="str">
            <v/>
          </cell>
        </row>
        <row r="4353">
          <cell r="B4353" t="str">
            <v>-</v>
          </cell>
          <cell r="E4353" t="str">
            <v/>
          </cell>
          <cell r="G4353" t="str">
            <v/>
          </cell>
          <cell r="J4353" t="str">
            <v/>
          </cell>
          <cell r="O4353" t="str">
            <v/>
          </cell>
          <cell r="P4353" t="str">
            <v/>
          </cell>
          <cell r="Q4353" t="str">
            <v/>
          </cell>
          <cell r="S4353" t="str">
            <v/>
          </cell>
          <cell r="V4353" t="str">
            <v/>
          </cell>
          <cell r="Z4353" t="str">
            <v/>
          </cell>
          <cell r="AA4353" t="str">
            <v/>
          </cell>
          <cell r="AB4353" t="str">
            <v/>
          </cell>
          <cell r="AC4353" t="str">
            <v/>
          </cell>
          <cell r="AD4353" t="str">
            <v/>
          </cell>
          <cell r="AY4353" t="str">
            <v/>
          </cell>
          <cell r="AZ4353" t="str">
            <v/>
          </cell>
          <cell r="BA4353" t="str">
            <v/>
          </cell>
        </row>
        <row r="4354">
          <cell r="B4354" t="str">
            <v>-</v>
          </cell>
          <cell r="E4354" t="str">
            <v/>
          </cell>
          <cell r="G4354" t="str">
            <v/>
          </cell>
          <cell r="J4354" t="str">
            <v/>
          </cell>
          <cell r="O4354" t="str">
            <v/>
          </cell>
          <cell r="P4354" t="str">
            <v/>
          </cell>
          <cell r="Q4354" t="str">
            <v/>
          </cell>
          <cell r="S4354" t="str">
            <v/>
          </cell>
          <cell r="V4354" t="str">
            <v/>
          </cell>
          <cell r="Z4354" t="str">
            <v/>
          </cell>
          <cell r="AA4354" t="str">
            <v/>
          </cell>
          <cell r="AB4354" t="str">
            <v/>
          </cell>
          <cell r="AC4354" t="str">
            <v/>
          </cell>
          <cell r="AD4354" t="str">
            <v/>
          </cell>
          <cell r="AY4354" t="str">
            <v/>
          </cell>
          <cell r="AZ4354" t="str">
            <v/>
          </cell>
          <cell r="BA4354" t="str">
            <v/>
          </cell>
        </row>
        <row r="4355">
          <cell r="B4355" t="str">
            <v>-</v>
          </cell>
          <cell r="E4355" t="str">
            <v/>
          </cell>
          <cell r="G4355" t="str">
            <v/>
          </cell>
          <cell r="J4355" t="str">
            <v/>
          </cell>
          <cell r="O4355" t="str">
            <v/>
          </cell>
          <cell r="P4355" t="str">
            <v/>
          </cell>
          <cell r="Q4355" t="str">
            <v/>
          </cell>
          <cell r="S4355" t="str">
            <v/>
          </cell>
          <cell r="V4355" t="str">
            <v/>
          </cell>
          <cell r="Z4355" t="str">
            <v/>
          </cell>
          <cell r="AA4355" t="str">
            <v/>
          </cell>
          <cell r="AB4355" t="str">
            <v/>
          </cell>
          <cell r="AC4355" t="str">
            <v/>
          </cell>
          <cell r="AD4355" t="str">
            <v/>
          </cell>
          <cell r="AY4355" t="str">
            <v/>
          </cell>
          <cell r="AZ4355" t="str">
            <v/>
          </cell>
          <cell r="BA4355" t="str">
            <v/>
          </cell>
        </row>
        <row r="4356">
          <cell r="B4356" t="str">
            <v>-</v>
          </cell>
          <cell r="E4356" t="str">
            <v/>
          </cell>
          <cell r="G4356" t="str">
            <v/>
          </cell>
          <cell r="J4356" t="str">
            <v/>
          </cell>
          <cell r="O4356" t="str">
            <v/>
          </cell>
          <cell r="P4356" t="str">
            <v/>
          </cell>
          <cell r="Q4356" t="str">
            <v/>
          </cell>
          <cell r="S4356" t="str">
            <v/>
          </cell>
          <cell r="V4356" t="str">
            <v/>
          </cell>
          <cell r="Z4356" t="str">
            <v/>
          </cell>
          <cell r="AA4356" t="str">
            <v/>
          </cell>
          <cell r="AB4356" t="str">
            <v/>
          </cell>
          <cell r="AC4356" t="str">
            <v/>
          </cell>
          <cell r="AD4356" t="str">
            <v/>
          </cell>
          <cell r="AY4356" t="str">
            <v/>
          </cell>
          <cell r="AZ4356" t="str">
            <v/>
          </cell>
          <cell r="BA4356" t="str">
            <v/>
          </cell>
        </row>
        <row r="4357">
          <cell r="B4357" t="str">
            <v>-</v>
          </cell>
          <cell r="E4357" t="str">
            <v/>
          </cell>
          <cell r="G4357" t="str">
            <v/>
          </cell>
          <cell r="J4357" t="str">
            <v/>
          </cell>
          <cell r="O4357" t="str">
            <v/>
          </cell>
          <cell r="P4357" t="str">
            <v/>
          </cell>
          <cell r="Q4357" t="str">
            <v/>
          </cell>
          <cell r="S4357" t="str">
            <v/>
          </cell>
          <cell r="V4357" t="str">
            <v/>
          </cell>
          <cell r="Z4357" t="str">
            <v/>
          </cell>
          <cell r="AA4357" t="str">
            <v/>
          </cell>
          <cell r="AB4357" t="str">
            <v/>
          </cell>
          <cell r="AC4357" t="str">
            <v/>
          </cell>
          <cell r="AD4357" t="str">
            <v/>
          </cell>
          <cell r="AY4357" t="str">
            <v/>
          </cell>
          <cell r="AZ4357" t="str">
            <v/>
          </cell>
          <cell r="BA4357" t="str">
            <v/>
          </cell>
        </row>
        <row r="4358">
          <cell r="B4358" t="str">
            <v>-</v>
          </cell>
          <cell r="E4358" t="str">
            <v/>
          </cell>
          <cell r="G4358" t="str">
            <v/>
          </cell>
          <cell r="J4358" t="str">
            <v/>
          </cell>
          <cell r="O4358" t="str">
            <v/>
          </cell>
          <cell r="P4358" t="str">
            <v/>
          </cell>
          <cell r="Q4358" t="str">
            <v/>
          </cell>
          <cell r="S4358" t="str">
            <v/>
          </cell>
          <cell r="V4358" t="str">
            <v/>
          </cell>
          <cell r="Z4358" t="str">
            <v/>
          </cell>
          <cell r="AA4358" t="str">
            <v/>
          </cell>
          <cell r="AB4358" t="str">
            <v/>
          </cell>
          <cell r="AC4358" t="str">
            <v/>
          </cell>
          <cell r="AD4358" t="str">
            <v/>
          </cell>
          <cell r="AY4358" t="str">
            <v/>
          </cell>
          <cell r="AZ4358" t="str">
            <v/>
          </cell>
          <cell r="BA4358" t="str">
            <v/>
          </cell>
        </row>
        <row r="4359">
          <cell r="B4359" t="str">
            <v>-</v>
          </cell>
          <cell r="E4359" t="str">
            <v/>
          </cell>
          <cell r="G4359" t="str">
            <v/>
          </cell>
          <cell r="J4359" t="str">
            <v/>
          </cell>
          <cell r="O4359" t="str">
            <v/>
          </cell>
          <cell r="P4359" t="str">
            <v/>
          </cell>
          <cell r="Q4359" t="str">
            <v/>
          </cell>
          <cell r="S4359" t="str">
            <v/>
          </cell>
          <cell r="V4359" t="str">
            <v/>
          </cell>
          <cell r="Z4359" t="str">
            <v/>
          </cell>
          <cell r="AA4359" t="str">
            <v/>
          </cell>
          <cell r="AB4359" t="str">
            <v/>
          </cell>
          <cell r="AC4359" t="str">
            <v/>
          </cell>
          <cell r="AD4359" t="str">
            <v/>
          </cell>
          <cell r="AY4359" t="str">
            <v/>
          </cell>
          <cell r="AZ4359" t="str">
            <v/>
          </cell>
          <cell r="BA4359" t="str">
            <v/>
          </cell>
        </row>
        <row r="4360">
          <cell r="B4360" t="str">
            <v>-</v>
          </cell>
          <cell r="E4360" t="str">
            <v/>
          </cell>
          <cell r="G4360" t="str">
            <v/>
          </cell>
          <cell r="J4360" t="str">
            <v/>
          </cell>
          <cell r="O4360" t="str">
            <v/>
          </cell>
          <cell r="P4360" t="str">
            <v/>
          </cell>
          <cell r="Q4360" t="str">
            <v/>
          </cell>
          <cell r="S4360" t="str">
            <v/>
          </cell>
          <cell r="V4360" t="str">
            <v/>
          </cell>
          <cell r="Z4360" t="str">
            <v/>
          </cell>
          <cell r="AA4360" t="str">
            <v/>
          </cell>
          <cell r="AB4360" t="str">
            <v/>
          </cell>
          <cell r="AC4360" t="str">
            <v/>
          </cell>
          <cell r="AD4360" t="str">
            <v/>
          </cell>
          <cell r="AY4360" t="str">
            <v/>
          </cell>
          <cell r="AZ4360" t="str">
            <v/>
          </cell>
          <cell r="BA4360" t="str">
            <v/>
          </cell>
        </row>
        <row r="4361">
          <cell r="B4361" t="str">
            <v>-</v>
          </cell>
          <cell r="E4361" t="str">
            <v/>
          </cell>
          <cell r="G4361" t="str">
            <v/>
          </cell>
          <cell r="J4361" t="str">
            <v/>
          </cell>
          <cell r="O4361" t="str">
            <v/>
          </cell>
          <cell r="P4361" t="str">
            <v/>
          </cell>
          <cell r="Q4361" t="str">
            <v/>
          </cell>
          <cell r="S4361" t="str">
            <v/>
          </cell>
          <cell r="V4361" t="str">
            <v/>
          </cell>
          <cell r="Z4361" t="str">
            <v/>
          </cell>
          <cell r="AA4361" t="str">
            <v/>
          </cell>
          <cell r="AB4361" t="str">
            <v/>
          </cell>
          <cell r="AC4361" t="str">
            <v/>
          </cell>
          <cell r="AD4361" t="str">
            <v/>
          </cell>
          <cell r="AY4361" t="str">
            <v/>
          </cell>
          <cell r="AZ4361" t="str">
            <v/>
          </cell>
          <cell r="BA4361" t="str">
            <v/>
          </cell>
        </row>
        <row r="4362">
          <cell r="B4362" t="str">
            <v>-</v>
          </cell>
          <cell r="E4362" t="str">
            <v/>
          </cell>
          <cell r="G4362" t="str">
            <v/>
          </cell>
          <cell r="J4362" t="str">
            <v/>
          </cell>
          <cell r="O4362" t="str">
            <v/>
          </cell>
          <cell r="P4362" t="str">
            <v/>
          </cell>
          <cell r="Q4362" t="str">
            <v/>
          </cell>
          <cell r="S4362" t="str">
            <v/>
          </cell>
          <cell r="V4362" t="str">
            <v/>
          </cell>
          <cell r="Z4362" t="str">
            <v/>
          </cell>
          <cell r="AA4362" t="str">
            <v/>
          </cell>
          <cell r="AB4362" t="str">
            <v/>
          </cell>
          <cell r="AC4362" t="str">
            <v/>
          </cell>
          <cell r="AD4362" t="str">
            <v/>
          </cell>
          <cell r="AY4362" t="str">
            <v/>
          </cell>
          <cell r="AZ4362" t="str">
            <v/>
          </cell>
          <cell r="BA4362" t="str">
            <v/>
          </cell>
        </row>
        <row r="4363">
          <cell r="B4363" t="str">
            <v>-</v>
          </cell>
          <cell r="E4363" t="str">
            <v/>
          </cell>
          <cell r="G4363" t="str">
            <v/>
          </cell>
          <cell r="J4363" t="str">
            <v/>
          </cell>
          <cell r="O4363" t="str">
            <v/>
          </cell>
          <cell r="P4363" t="str">
            <v/>
          </cell>
          <cell r="Q4363" t="str">
            <v/>
          </cell>
          <cell r="S4363" t="str">
            <v/>
          </cell>
          <cell r="V4363" t="str">
            <v/>
          </cell>
          <cell r="Z4363" t="str">
            <v/>
          </cell>
          <cell r="AA4363" t="str">
            <v/>
          </cell>
          <cell r="AB4363" t="str">
            <v/>
          </cell>
          <cell r="AC4363" t="str">
            <v/>
          </cell>
          <cell r="AD4363" t="str">
            <v/>
          </cell>
          <cell r="AY4363" t="str">
            <v/>
          </cell>
          <cell r="AZ4363" t="str">
            <v/>
          </cell>
          <cell r="BA4363" t="str">
            <v/>
          </cell>
        </row>
        <row r="4364">
          <cell r="B4364" t="str">
            <v>-</v>
          </cell>
          <cell r="E4364" t="str">
            <v/>
          </cell>
          <cell r="G4364" t="str">
            <v/>
          </cell>
          <cell r="J4364" t="str">
            <v/>
          </cell>
          <cell r="O4364" t="str">
            <v/>
          </cell>
          <cell r="P4364" t="str">
            <v/>
          </cell>
          <cell r="Q4364" t="str">
            <v/>
          </cell>
          <cell r="S4364" t="str">
            <v/>
          </cell>
          <cell r="V4364" t="str">
            <v/>
          </cell>
          <cell r="Z4364" t="str">
            <v/>
          </cell>
          <cell r="AA4364" t="str">
            <v/>
          </cell>
          <cell r="AB4364" t="str">
            <v/>
          </cell>
          <cell r="AC4364" t="str">
            <v/>
          </cell>
          <cell r="AD4364" t="str">
            <v/>
          </cell>
          <cell r="AY4364" t="str">
            <v/>
          </cell>
          <cell r="AZ4364" t="str">
            <v/>
          </cell>
          <cell r="BA4364" t="str">
            <v/>
          </cell>
        </row>
        <row r="4365">
          <cell r="B4365" t="str">
            <v>-</v>
          </cell>
          <cell r="E4365" t="str">
            <v/>
          </cell>
          <cell r="G4365" t="str">
            <v/>
          </cell>
          <cell r="J4365" t="str">
            <v/>
          </cell>
          <cell r="O4365" t="str">
            <v/>
          </cell>
          <cell r="P4365" t="str">
            <v/>
          </cell>
          <cell r="Q4365" t="str">
            <v/>
          </cell>
          <cell r="S4365" t="str">
            <v/>
          </cell>
          <cell r="V4365" t="str">
            <v/>
          </cell>
          <cell r="Z4365" t="str">
            <v/>
          </cell>
          <cell r="AA4365" t="str">
            <v/>
          </cell>
          <cell r="AB4365" t="str">
            <v/>
          </cell>
          <cell r="AC4365" t="str">
            <v/>
          </cell>
          <cell r="AD4365" t="str">
            <v/>
          </cell>
          <cell r="AY4365" t="str">
            <v/>
          </cell>
          <cell r="AZ4365" t="str">
            <v/>
          </cell>
          <cell r="BA4365" t="str">
            <v/>
          </cell>
        </row>
        <row r="4366">
          <cell r="B4366" t="str">
            <v>-</v>
          </cell>
          <cell r="E4366" t="str">
            <v/>
          </cell>
          <cell r="G4366" t="str">
            <v/>
          </cell>
          <cell r="J4366" t="str">
            <v/>
          </cell>
          <cell r="O4366" t="str">
            <v/>
          </cell>
          <cell r="P4366" t="str">
            <v/>
          </cell>
          <cell r="Q4366" t="str">
            <v/>
          </cell>
          <cell r="S4366" t="str">
            <v/>
          </cell>
          <cell r="V4366" t="str">
            <v/>
          </cell>
          <cell r="Z4366" t="str">
            <v/>
          </cell>
          <cell r="AA4366" t="str">
            <v/>
          </cell>
          <cell r="AB4366" t="str">
            <v/>
          </cell>
          <cell r="AC4366" t="str">
            <v/>
          </cell>
          <cell r="AD4366" t="str">
            <v/>
          </cell>
          <cell r="AY4366" t="str">
            <v/>
          </cell>
          <cell r="AZ4366" t="str">
            <v/>
          </cell>
          <cell r="BA4366" t="str">
            <v/>
          </cell>
        </row>
        <row r="4367">
          <cell r="B4367" t="str">
            <v>-</v>
          </cell>
          <cell r="E4367" t="str">
            <v/>
          </cell>
          <cell r="G4367" t="str">
            <v/>
          </cell>
          <cell r="J4367" t="str">
            <v/>
          </cell>
          <cell r="O4367" t="str">
            <v/>
          </cell>
          <cell r="P4367" t="str">
            <v/>
          </cell>
          <cell r="Q4367" t="str">
            <v/>
          </cell>
          <cell r="S4367" t="str">
            <v/>
          </cell>
          <cell r="V4367" t="str">
            <v/>
          </cell>
          <cell r="Z4367" t="str">
            <v/>
          </cell>
          <cell r="AA4367" t="str">
            <v/>
          </cell>
          <cell r="AB4367" t="str">
            <v/>
          </cell>
          <cell r="AC4367" t="str">
            <v/>
          </cell>
          <cell r="AD4367" t="str">
            <v/>
          </cell>
          <cell r="AY4367" t="str">
            <v/>
          </cell>
          <cell r="AZ4367" t="str">
            <v/>
          </cell>
          <cell r="BA4367" t="str">
            <v/>
          </cell>
        </row>
        <row r="4368">
          <cell r="B4368" t="str">
            <v>-</v>
          </cell>
          <cell r="E4368" t="str">
            <v/>
          </cell>
          <cell r="G4368" t="str">
            <v/>
          </cell>
          <cell r="J4368" t="str">
            <v/>
          </cell>
          <cell r="O4368" t="str">
            <v/>
          </cell>
          <cell r="P4368" t="str">
            <v/>
          </cell>
          <cell r="Q4368" t="str">
            <v/>
          </cell>
          <cell r="S4368" t="str">
            <v/>
          </cell>
          <cell r="V4368" t="str">
            <v/>
          </cell>
          <cell r="Z4368" t="str">
            <v/>
          </cell>
          <cell r="AA4368" t="str">
            <v/>
          </cell>
          <cell r="AB4368" t="str">
            <v/>
          </cell>
          <cell r="AC4368" t="str">
            <v/>
          </cell>
          <cell r="AD4368" t="str">
            <v/>
          </cell>
          <cell r="AY4368" t="str">
            <v/>
          </cell>
          <cell r="AZ4368" t="str">
            <v/>
          </cell>
          <cell r="BA4368" t="str">
            <v/>
          </cell>
        </row>
        <row r="4369">
          <cell r="B4369" t="str">
            <v>-</v>
          </cell>
          <cell r="E4369" t="str">
            <v/>
          </cell>
          <cell r="G4369" t="str">
            <v/>
          </cell>
          <cell r="J4369" t="str">
            <v/>
          </cell>
          <cell r="O4369" t="str">
            <v/>
          </cell>
          <cell r="P4369" t="str">
            <v/>
          </cell>
          <cell r="Q4369" t="str">
            <v/>
          </cell>
          <cell r="S4369" t="str">
            <v/>
          </cell>
          <cell r="V4369" t="str">
            <v/>
          </cell>
          <cell r="Z4369" t="str">
            <v/>
          </cell>
          <cell r="AA4369" t="str">
            <v/>
          </cell>
          <cell r="AB4369" t="str">
            <v/>
          </cell>
          <cell r="AC4369" t="str">
            <v/>
          </cell>
          <cell r="AD4369" t="str">
            <v/>
          </cell>
          <cell r="AY4369" t="str">
            <v/>
          </cell>
          <cell r="AZ4369" t="str">
            <v/>
          </cell>
          <cell r="BA4369" t="str">
            <v/>
          </cell>
        </row>
        <row r="4370">
          <cell r="B4370" t="str">
            <v>-</v>
          </cell>
          <cell r="E4370" t="str">
            <v/>
          </cell>
          <cell r="G4370" t="str">
            <v/>
          </cell>
          <cell r="J4370" t="str">
            <v/>
          </cell>
          <cell r="O4370" t="str">
            <v/>
          </cell>
          <cell r="P4370" t="str">
            <v/>
          </cell>
          <cell r="Q4370" t="str">
            <v/>
          </cell>
          <cell r="S4370" t="str">
            <v/>
          </cell>
          <cell r="V4370" t="str">
            <v/>
          </cell>
          <cell r="Z4370" t="str">
            <v/>
          </cell>
          <cell r="AA4370" t="str">
            <v/>
          </cell>
          <cell r="AB4370" t="str">
            <v/>
          </cell>
          <cell r="AC4370" t="str">
            <v/>
          </cell>
          <cell r="AD4370" t="str">
            <v/>
          </cell>
          <cell r="AY4370" t="str">
            <v/>
          </cell>
          <cell r="AZ4370" t="str">
            <v/>
          </cell>
          <cell r="BA4370" t="str">
            <v/>
          </cell>
        </row>
        <row r="4371">
          <cell r="B4371" t="str">
            <v>-</v>
          </cell>
          <cell r="E4371" t="str">
            <v/>
          </cell>
          <cell r="G4371" t="str">
            <v/>
          </cell>
          <cell r="J4371" t="str">
            <v/>
          </cell>
          <cell r="O4371" t="str">
            <v/>
          </cell>
          <cell r="P4371" t="str">
            <v/>
          </cell>
          <cell r="Q4371" t="str">
            <v/>
          </cell>
          <cell r="S4371" t="str">
            <v/>
          </cell>
          <cell r="V4371" t="str">
            <v/>
          </cell>
          <cell r="Z4371" t="str">
            <v/>
          </cell>
          <cell r="AA4371" t="str">
            <v/>
          </cell>
          <cell r="AB4371" t="str">
            <v/>
          </cell>
          <cell r="AC4371" t="str">
            <v/>
          </cell>
          <cell r="AD4371" t="str">
            <v/>
          </cell>
          <cell r="AY4371" t="str">
            <v/>
          </cell>
          <cell r="AZ4371" t="str">
            <v/>
          </cell>
          <cell r="BA4371" t="str">
            <v/>
          </cell>
        </row>
        <row r="4372">
          <cell r="B4372" t="str">
            <v>-</v>
          </cell>
          <cell r="E4372" t="str">
            <v/>
          </cell>
          <cell r="G4372" t="str">
            <v/>
          </cell>
          <cell r="J4372" t="str">
            <v/>
          </cell>
          <cell r="O4372" t="str">
            <v/>
          </cell>
          <cell r="P4372" t="str">
            <v/>
          </cell>
          <cell r="Q4372" t="str">
            <v/>
          </cell>
          <cell r="S4372" t="str">
            <v/>
          </cell>
          <cell r="V4372" t="str">
            <v/>
          </cell>
          <cell r="Z4372" t="str">
            <v/>
          </cell>
          <cell r="AA4372" t="str">
            <v/>
          </cell>
          <cell r="AB4372" t="str">
            <v/>
          </cell>
          <cell r="AC4372" t="str">
            <v/>
          </cell>
          <cell r="AD4372" t="str">
            <v/>
          </cell>
          <cell r="AY4372" t="str">
            <v/>
          </cell>
          <cell r="AZ4372" t="str">
            <v/>
          </cell>
          <cell r="BA4372" t="str">
            <v/>
          </cell>
        </row>
        <row r="4373">
          <cell r="B4373" t="str">
            <v>-</v>
          </cell>
          <cell r="E4373" t="str">
            <v/>
          </cell>
          <cell r="G4373" t="str">
            <v/>
          </cell>
          <cell r="J4373" t="str">
            <v/>
          </cell>
          <cell r="O4373" t="str">
            <v/>
          </cell>
          <cell r="P4373" t="str">
            <v/>
          </cell>
          <cell r="Q4373" t="str">
            <v/>
          </cell>
          <cell r="S4373" t="str">
            <v/>
          </cell>
          <cell r="V4373" t="str">
            <v/>
          </cell>
          <cell r="Z4373" t="str">
            <v/>
          </cell>
          <cell r="AA4373" t="str">
            <v/>
          </cell>
          <cell r="AB4373" t="str">
            <v/>
          </cell>
          <cell r="AC4373" t="str">
            <v/>
          </cell>
          <cell r="AD4373" t="str">
            <v/>
          </cell>
          <cell r="AY4373" t="str">
            <v/>
          </cell>
          <cell r="AZ4373" t="str">
            <v/>
          </cell>
          <cell r="BA4373" t="str">
            <v/>
          </cell>
        </row>
        <row r="4374">
          <cell r="B4374" t="str">
            <v>-</v>
          </cell>
          <cell r="E4374" t="str">
            <v/>
          </cell>
          <cell r="G4374" t="str">
            <v/>
          </cell>
          <cell r="J4374" t="str">
            <v/>
          </cell>
          <cell r="O4374" t="str">
            <v/>
          </cell>
          <cell r="P4374" t="str">
            <v/>
          </cell>
          <cell r="Q4374" t="str">
            <v/>
          </cell>
          <cell r="S4374" t="str">
            <v/>
          </cell>
          <cell r="V4374" t="str">
            <v/>
          </cell>
          <cell r="Z4374" t="str">
            <v/>
          </cell>
          <cell r="AA4374" t="str">
            <v/>
          </cell>
          <cell r="AB4374" t="str">
            <v/>
          </cell>
          <cell r="AC4374" t="str">
            <v/>
          </cell>
          <cell r="AD4374" t="str">
            <v/>
          </cell>
          <cell r="AY4374" t="str">
            <v/>
          </cell>
          <cell r="AZ4374" t="str">
            <v/>
          </cell>
          <cell r="BA4374" t="str">
            <v/>
          </cell>
        </row>
        <row r="4375">
          <cell r="B4375" t="str">
            <v>-</v>
          </cell>
          <cell r="E4375" t="str">
            <v/>
          </cell>
          <cell r="G4375" t="str">
            <v/>
          </cell>
          <cell r="J4375" t="str">
            <v/>
          </cell>
          <cell r="O4375" t="str">
            <v/>
          </cell>
          <cell r="P4375" t="str">
            <v/>
          </cell>
          <cell r="Q4375" t="str">
            <v/>
          </cell>
          <cell r="S4375" t="str">
            <v/>
          </cell>
          <cell r="V4375" t="str">
            <v/>
          </cell>
          <cell r="Z4375" t="str">
            <v/>
          </cell>
          <cell r="AA4375" t="str">
            <v/>
          </cell>
          <cell r="AB4375" t="str">
            <v/>
          </cell>
          <cell r="AC4375" t="str">
            <v/>
          </cell>
          <cell r="AD4375" t="str">
            <v/>
          </cell>
          <cell r="AY4375" t="str">
            <v/>
          </cell>
          <cell r="AZ4375" t="str">
            <v/>
          </cell>
          <cell r="BA4375" t="str">
            <v/>
          </cell>
        </row>
        <row r="4376">
          <cell r="B4376" t="str">
            <v>-</v>
          </cell>
          <cell r="E4376" t="str">
            <v/>
          </cell>
          <cell r="G4376" t="str">
            <v/>
          </cell>
          <cell r="J4376" t="str">
            <v/>
          </cell>
          <cell r="O4376" t="str">
            <v/>
          </cell>
          <cell r="P4376" t="str">
            <v/>
          </cell>
          <cell r="Q4376" t="str">
            <v/>
          </cell>
          <cell r="S4376" t="str">
            <v/>
          </cell>
          <cell r="V4376" t="str">
            <v/>
          </cell>
          <cell r="Z4376" t="str">
            <v/>
          </cell>
          <cell r="AA4376" t="str">
            <v/>
          </cell>
          <cell r="AB4376" t="str">
            <v/>
          </cell>
          <cell r="AC4376" t="str">
            <v/>
          </cell>
          <cell r="AD4376" t="str">
            <v/>
          </cell>
          <cell r="AY4376" t="str">
            <v/>
          </cell>
          <cell r="AZ4376" t="str">
            <v/>
          </cell>
          <cell r="BA4376" t="str">
            <v/>
          </cell>
        </row>
        <row r="4377">
          <cell r="B4377" t="str">
            <v>-</v>
          </cell>
          <cell r="E4377" t="str">
            <v/>
          </cell>
          <cell r="G4377" t="str">
            <v/>
          </cell>
          <cell r="J4377" t="str">
            <v/>
          </cell>
          <cell r="O4377" t="str">
            <v/>
          </cell>
          <cell r="P4377" t="str">
            <v/>
          </cell>
          <cell r="Q4377" t="str">
            <v/>
          </cell>
          <cell r="S4377" t="str">
            <v/>
          </cell>
          <cell r="V4377" t="str">
            <v/>
          </cell>
          <cell r="Z4377" t="str">
            <v/>
          </cell>
          <cell r="AA4377" t="str">
            <v/>
          </cell>
          <cell r="AB4377" t="str">
            <v/>
          </cell>
          <cell r="AC4377" t="str">
            <v/>
          </cell>
          <cell r="AD4377" t="str">
            <v/>
          </cell>
          <cell r="AY4377" t="str">
            <v/>
          </cell>
          <cell r="AZ4377" t="str">
            <v/>
          </cell>
          <cell r="BA4377" t="str">
            <v/>
          </cell>
        </row>
        <row r="4378">
          <cell r="B4378" t="str">
            <v>-</v>
          </cell>
          <cell r="E4378" t="str">
            <v/>
          </cell>
          <cell r="G4378" t="str">
            <v/>
          </cell>
          <cell r="J4378" t="str">
            <v/>
          </cell>
          <cell r="O4378" t="str">
            <v/>
          </cell>
          <cell r="P4378" t="str">
            <v/>
          </cell>
          <cell r="Q4378" t="str">
            <v/>
          </cell>
          <cell r="S4378" t="str">
            <v/>
          </cell>
          <cell r="V4378" t="str">
            <v/>
          </cell>
          <cell r="Z4378" t="str">
            <v/>
          </cell>
          <cell r="AA4378" t="str">
            <v/>
          </cell>
          <cell r="AB4378" t="str">
            <v/>
          </cell>
          <cell r="AC4378" t="str">
            <v/>
          </cell>
          <cell r="AD4378" t="str">
            <v/>
          </cell>
          <cell r="AY4378" t="str">
            <v/>
          </cell>
          <cell r="AZ4378" t="str">
            <v/>
          </cell>
          <cell r="BA4378" t="str">
            <v/>
          </cell>
        </row>
        <row r="4379">
          <cell r="B4379" t="str">
            <v>-</v>
          </cell>
          <cell r="E4379" t="str">
            <v/>
          </cell>
          <cell r="G4379" t="str">
            <v/>
          </cell>
          <cell r="J4379" t="str">
            <v/>
          </cell>
          <cell r="O4379" t="str">
            <v/>
          </cell>
          <cell r="P4379" t="str">
            <v/>
          </cell>
          <cell r="Q4379" t="str">
            <v/>
          </cell>
          <cell r="S4379" t="str">
            <v/>
          </cell>
          <cell r="V4379" t="str">
            <v/>
          </cell>
          <cell r="Z4379" t="str">
            <v/>
          </cell>
          <cell r="AA4379" t="str">
            <v/>
          </cell>
          <cell r="AB4379" t="str">
            <v/>
          </cell>
          <cell r="AC4379" t="str">
            <v/>
          </cell>
          <cell r="AD4379" t="str">
            <v/>
          </cell>
          <cell r="AY4379" t="str">
            <v/>
          </cell>
          <cell r="AZ4379" t="str">
            <v/>
          </cell>
          <cell r="BA4379" t="str">
            <v/>
          </cell>
        </row>
        <row r="4380">
          <cell r="B4380" t="str">
            <v>-</v>
          </cell>
          <cell r="E4380" t="str">
            <v/>
          </cell>
          <cell r="G4380" t="str">
            <v/>
          </cell>
          <cell r="J4380" t="str">
            <v/>
          </cell>
          <cell r="O4380" t="str">
            <v/>
          </cell>
          <cell r="P4380" t="str">
            <v/>
          </cell>
          <cell r="Q4380" t="str">
            <v/>
          </cell>
          <cell r="S4380" t="str">
            <v/>
          </cell>
          <cell r="V4380" t="str">
            <v/>
          </cell>
          <cell r="Z4380" t="str">
            <v/>
          </cell>
          <cell r="AA4380" t="str">
            <v/>
          </cell>
          <cell r="AB4380" t="str">
            <v/>
          </cell>
          <cell r="AC4380" t="str">
            <v/>
          </cell>
          <cell r="AD4380" t="str">
            <v/>
          </cell>
          <cell r="AY4380" t="str">
            <v/>
          </cell>
          <cell r="AZ4380" t="str">
            <v/>
          </cell>
          <cell r="BA4380" t="str">
            <v/>
          </cell>
        </row>
        <row r="4381">
          <cell r="B4381" t="str">
            <v>-</v>
          </cell>
          <cell r="E4381" t="str">
            <v/>
          </cell>
          <cell r="G4381" t="str">
            <v/>
          </cell>
          <cell r="J4381" t="str">
            <v/>
          </cell>
          <cell r="O4381" t="str">
            <v/>
          </cell>
          <cell r="P4381" t="str">
            <v/>
          </cell>
          <cell r="Q4381" t="str">
            <v/>
          </cell>
          <cell r="S4381" t="str">
            <v/>
          </cell>
          <cell r="V4381" t="str">
            <v/>
          </cell>
          <cell r="Z4381" t="str">
            <v/>
          </cell>
          <cell r="AA4381" t="str">
            <v/>
          </cell>
          <cell r="AB4381" t="str">
            <v/>
          </cell>
          <cell r="AC4381" t="str">
            <v/>
          </cell>
          <cell r="AD4381" t="str">
            <v/>
          </cell>
          <cell r="AY4381" t="str">
            <v/>
          </cell>
          <cell r="AZ4381" t="str">
            <v/>
          </cell>
          <cell r="BA4381" t="str">
            <v/>
          </cell>
        </row>
        <row r="4382">
          <cell r="B4382" t="str">
            <v>-</v>
          </cell>
          <cell r="E4382" t="str">
            <v/>
          </cell>
          <cell r="G4382" t="str">
            <v/>
          </cell>
          <cell r="J4382" t="str">
            <v/>
          </cell>
          <cell r="O4382" t="str">
            <v/>
          </cell>
          <cell r="P4382" t="str">
            <v/>
          </cell>
          <cell r="Q4382" t="str">
            <v/>
          </cell>
          <cell r="S4382" t="str">
            <v/>
          </cell>
          <cell r="V4382" t="str">
            <v/>
          </cell>
          <cell r="Z4382" t="str">
            <v/>
          </cell>
          <cell r="AA4382" t="str">
            <v/>
          </cell>
          <cell r="AB4382" t="str">
            <v/>
          </cell>
          <cell r="AC4382" t="str">
            <v/>
          </cell>
          <cell r="AD4382" t="str">
            <v/>
          </cell>
          <cell r="AY4382" t="str">
            <v/>
          </cell>
          <cell r="AZ4382" t="str">
            <v/>
          </cell>
          <cell r="BA4382" t="str">
            <v/>
          </cell>
        </row>
        <row r="4383">
          <cell r="B4383" t="str">
            <v>-</v>
          </cell>
          <cell r="E4383" t="str">
            <v/>
          </cell>
          <cell r="G4383" t="str">
            <v/>
          </cell>
          <cell r="J4383" t="str">
            <v/>
          </cell>
          <cell r="O4383" t="str">
            <v/>
          </cell>
          <cell r="P4383" t="str">
            <v/>
          </cell>
          <cell r="Q4383" t="str">
            <v/>
          </cell>
          <cell r="S4383" t="str">
            <v/>
          </cell>
          <cell r="V4383" t="str">
            <v/>
          </cell>
          <cell r="Z4383" t="str">
            <v/>
          </cell>
          <cell r="AA4383" t="str">
            <v/>
          </cell>
          <cell r="AB4383" t="str">
            <v/>
          </cell>
          <cell r="AC4383" t="str">
            <v/>
          </cell>
          <cell r="AD4383" t="str">
            <v/>
          </cell>
          <cell r="AY4383" t="str">
            <v/>
          </cell>
          <cell r="AZ4383" t="str">
            <v/>
          </cell>
          <cell r="BA4383" t="str">
            <v/>
          </cell>
        </row>
        <row r="4384">
          <cell r="B4384" t="str">
            <v>-</v>
          </cell>
          <cell r="E4384" t="str">
            <v/>
          </cell>
          <cell r="G4384" t="str">
            <v/>
          </cell>
          <cell r="J4384" t="str">
            <v/>
          </cell>
          <cell r="O4384" t="str">
            <v/>
          </cell>
          <cell r="P4384" t="str">
            <v/>
          </cell>
          <cell r="Q4384" t="str">
            <v/>
          </cell>
          <cell r="S4384" t="str">
            <v/>
          </cell>
          <cell r="V4384" t="str">
            <v/>
          </cell>
          <cell r="Z4384" t="str">
            <v/>
          </cell>
          <cell r="AA4384" t="str">
            <v/>
          </cell>
          <cell r="AB4384" t="str">
            <v/>
          </cell>
          <cell r="AC4384" t="str">
            <v/>
          </cell>
          <cell r="AD4384" t="str">
            <v/>
          </cell>
          <cell r="AY4384" t="str">
            <v/>
          </cell>
          <cell r="AZ4384" t="str">
            <v/>
          </cell>
          <cell r="BA4384" t="str">
            <v/>
          </cell>
        </row>
        <row r="4385">
          <cell r="B4385" t="str">
            <v>-</v>
          </cell>
          <cell r="E4385" t="str">
            <v/>
          </cell>
          <cell r="G4385" t="str">
            <v/>
          </cell>
          <cell r="J4385" t="str">
            <v/>
          </cell>
          <cell r="O4385" t="str">
            <v/>
          </cell>
          <cell r="P4385" t="str">
            <v/>
          </cell>
          <cell r="Q4385" t="str">
            <v/>
          </cell>
          <cell r="S4385" t="str">
            <v/>
          </cell>
          <cell r="V4385" t="str">
            <v/>
          </cell>
          <cell r="Z4385" t="str">
            <v/>
          </cell>
          <cell r="AA4385" t="str">
            <v/>
          </cell>
          <cell r="AB4385" t="str">
            <v/>
          </cell>
          <cell r="AC4385" t="str">
            <v/>
          </cell>
          <cell r="AD4385" t="str">
            <v/>
          </cell>
          <cell r="AY4385" t="str">
            <v/>
          </cell>
          <cell r="AZ4385" t="str">
            <v/>
          </cell>
          <cell r="BA4385" t="str">
            <v/>
          </cell>
        </row>
        <row r="4386">
          <cell r="B4386" t="str">
            <v>-</v>
          </cell>
          <cell r="E4386" t="str">
            <v/>
          </cell>
          <cell r="G4386" t="str">
            <v/>
          </cell>
          <cell r="J4386" t="str">
            <v/>
          </cell>
          <cell r="O4386" t="str">
            <v/>
          </cell>
          <cell r="P4386" t="str">
            <v/>
          </cell>
          <cell r="Q4386" t="str">
            <v/>
          </cell>
          <cell r="S4386" t="str">
            <v/>
          </cell>
          <cell r="V4386" t="str">
            <v/>
          </cell>
          <cell r="Z4386" t="str">
            <v/>
          </cell>
          <cell r="AA4386" t="str">
            <v/>
          </cell>
          <cell r="AB4386" t="str">
            <v/>
          </cell>
          <cell r="AC4386" t="str">
            <v/>
          </cell>
          <cell r="AD4386" t="str">
            <v/>
          </cell>
          <cell r="AY4386" t="str">
            <v/>
          </cell>
          <cell r="AZ4386" t="str">
            <v/>
          </cell>
          <cell r="BA4386" t="str">
            <v/>
          </cell>
        </row>
        <row r="4387">
          <cell r="B4387" t="str">
            <v>-</v>
          </cell>
          <cell r="E4387" t="str">
            <v/>
          </cell>
          <cell r="G4387" t="str">
            <v/>
          </cell>
          <cell r="J4387" t="str">
            <v/>
          </cell>
          <cell r="O4387" t="str">
            <v/>
          </cell>
          <cell r="P4387" t="str">
            <v/>
          </cell>
          <cell r="Q4387" t="str">
            <v/>
          </cell>
          <cell r="S4387" t="str">
            <v/>
          </cell>
          <cell r="V4387" t="str">
            <v/>
          </cell>
          <cell r="Z4387" t="str">
            <v/>
          </cell>
          <cell r="AA4387" t="str">
            <v/>
          </cell>
          <cell r="AB4387" t="str">
            <v/>
          </cell>
          <cell r="AC4387" t="str">
            <v/>
          </cell>
          <cell r="AD4387" t="str">
            <v/>
          </cell>
          <cell r="AY4387" t="str">
            <v/>
          </cell>
          <cell r="AZ4387" t="str">
            <v/>
          </cell>
          <cell r="BA4387" t="str">
            <v/>
          </cell>
        </row>
        <row r="4388">
          <cell r="B4388" t="str">
            <v>-</v>
          </cell>
          <cell r="E4388" t="str">
            <v/>
          </cell>
          <cell r="G4388" t="str">
            <v/>
          </cell>
          <cell r="J4388" t="str">
            <v/>
          </cell>
          <cell r="O4388" t="str">
            <v/>
          </cell>
          <cell r="P4388" t="str">
            <v/>
          </cell>
          <cell r="Q4388" t="str">
            <v/>
          </cell>
          <cell r="S4388" t="str">
            <v/>
          </cell>
          <cell r="V4388" t="str">
            <v/>
          </cell>
          <cell r="Z4388" t="str">
            <v/>
          </cell>
          <cell r="AA4388" t="str">
            <v/>
          </cell>
          <cell r="AB4388" t="str">
            <v/>
          </cell>
          <cell r="AC4388" t="str">
            <v/>
          </cell>
          <cell r="AD4388" t="str">
            <v/>
          </cell>
          <cell r="AY4388" t="str">
            <v/>
          </cell>
          <cell r="AZ4388" t="str">
            <v/>
          </cell>
          <cell r="BA4388" t="str">
            <v/>
          </cell>
        </row>
        <row r="4389">
          <cell r="B4389" t="str">
            <v>-</v>
          </cell>
          <cell r="E4389" t="str">
            <v/>
          </cell>
          <cell r="G4389" t="str">
            <v/>
          </cell>
          <cell r="J4389" t="str">
            <v/>
          </cell>
          <cell r="O4389" t="str">
            <v/>
          </cell>
          <cell r="P4389" t="str">
            <v/>
          </cell>
          <cell r="Q4389" t="str">
            <v/>
          </cell>
          <cell r="S4389" t="str">
            <v/>
          </cell>
          <cell r="V4389" t="str">
            <v/>
          </cell>
          <cell r="Z4389" t="str">
            <v/>
          </cell>
          <cell r="AA4389" t="str">
            <v/>
          </cell>
          <cell r="AB4389" t="str">
            <v/>
          </cell>
          <cell r="AC4389" t="str">
            <v/>
          </cell>
          <cell r="AD4389" t="str">
            <v/>
          </cell>
          <cell r="AY4389" t="str">
            <v/>
          </cell>
          <cell r="AZ4389" t="str">
            <v/>
          </cell>
          <cell r="BA4389" t="str">
            <v/>
          </cell>
        </row>
        <row r="4390">
          <cell r="B4390" t="str">
            <v>-</v>
          </cell>
          <cell r="E4390" t="str">
            <v/>
          </cell>
          <cell r="G4390" t="str">
            <v/>
          </cell>
          <cell r="J4390" t="str">
            <v/>
          </cell>
          <cell r="O4390" t="str">
            <v/>
          </cell>
          <cell r="P4390" t="str">
            <v/>
          </cell>
          <cell r="Q4390" t="str">
            <v/>
          </cell>
          <cell r="S4390" t="str">
            <v/>
          </cell>
          <cell r="V4390" t="str">
            <v/>
          </cell>
          <cell r="Z4390" t="str">
            <v/>
          </cell>
          <cell r="AA4390" t="str">
            <v/>
          </cell>
          <cell r="AB4390" t="str">
            <v/>
          </cell>
          <cell r="AC4390" t="str">
            <v/>
          </cell>
          <cell r="AD4390" t="str">
            <v/>
          </cell>
          <cell r="AY4390" t="str">
            <v/>
          </cell>
          <cell r="AZ4390" t="str">
            <v/>
          </cell>
          <cell r="BA4390" t="str">
            <v/>
          </cell>
        </row>
        <row r="4391">
          <cell r="B4391" t="str">
            <v>-</v>
          </cell>
          <cell r="E4391" t="str">
            <v/>
          </cell>
          <cell r="G4391" t="str">
            <v/>
          </cell>
          <cell r="J4391" t="str">
            <v/>
          </cell>
          <cell r="O4391" t="str">
            <v/>
          </cell>
          <cell r="P4391" t="str">
            <v/>
          </cell>
          <cell r="Q4391" t="str">
            <v/>
          </cell>
          <cell r="S4391" t="str">
            <v/>
          </cell>
          <cell r="V4391" t="str">
            <v/>
          </cell>
          <cell r="Z4391" t="str">
            <v/>
          </cell>
          <cell r="AA4391" t="str">
            <v/>
          </cell>
          <cell r="AB4391" t="str">
            <v/>
          </cell>
          <cell r="AC4391" t="str">
            <v/>
          </cell>
          <cell r="AD4391" t="str">
            <v/>
          </cell>
          <cell r="AY4391" t="str">
            <v/>
          </cell>
          <cell r="AZ4391" t="str">
            <v/>
          </cell>
          <cell r="BA4391" t="str">
            <v/>
          </cell>
        </row>
        <row r="4392">
          <cell r="B4392" t="str">
            <v>-</v>
          </cell>
          <cell r="E4392" t="str">
            <v/>
          </cell>
          <cell r="G4392" t="str">
            <v/>
          </cell>
          <cell r="J4392" t="str">
            <v/>
          </cell>
          <cell r="O4392" t="str">
            <v/>
          </cell>
          <cell r="P4392" t="str">
            <v/>
          </cell>
          <cell r="Q4392" t="str">
            <v/>
          </cell>
          <cell r="S4392" t="str">
            <v/>
          </cell>
          <cell r="V4392" t="str">
            <v/>
          </cell>
          <cell r="Z4392" t="str">
            <v/>
          </cell>
          <cell r="AA4392" t="str">
            <v/>
          </cell>
          <cell r="AB4392" t="str">
            <v/>
          </cell>
          <cell r="AC4392" t="str">
            <v/>
          </cell>
          <cell r="AD4392" t="str">
            <v/>
          </cell>
          <cell r="AY4392" t="str">
            <v/>
          </cell>
          <cell r="AZ4392" t="str">
            <v/>
          </cell>
          <cell r="BA4392" t="str">
            <v/>
          </cell>
        </row>
        <row r="4393">
          <cell r="B4393" t="str">
            <v>-</v>
          </cell>
          <cell r="E4393" t="str">
            <v/>
          </cell>
          <cell r="G4393" t="str">
            <v/>
          </cell>
          <cell r="J4393" t="str">
            <v/>
          </cell>
          <cell r="O4393" t="str">
            <v/>
          </cell>
          <cell r="P4393" t="str">
            <v/>
          </cell>
          <cell r="Q4393" t="str">
            <v/>
          </cell>
          <cell r="S4393" t="str">
            <v/>
          </cell>
          <cell r="V4393" t="str">
            <v/>
          </cell>
          <cell r="Z4393" t="str">
            <v/>
          </cell>
          <cell r="AA4393" t="str">
            <v/>
          </cell>
          <cell r="AB4393" t="str">
            <v/>
          </cell>
          <cell r="AC4393" t="str">
            <v/>
          </cell>
          <cell r="AD4393" t="str">
            <v/>
          </cell>
          <cell r="AY4393" t="str">
            <v/>
          </cell>
          <cell r="AZ4393" t="str">
            <v/>
          </cell>
          <cell r="BA4393" t="str">
            <v/>
          </cell>
        </row>
        <row r="4394">
          <cell r="B4394" t="str">
            <v>-</v>
          </cell>
          <cell r="E4394" t="str">
            <v/>
          </cell>
          <cell r="G4394" t="str">
            <v/>
          </cell>
          <cell r="J4394" t="str">
            <v/>
          </cell>
          <cell r="O4394" t="str">
            <v/>
          </cell>
          <cell r="P4394" t="str">
            <v/>
          </cell>
          <cell r="Q4394" t="str">
            <v/>
          </cell>
          <cell r="S4394" t="str">
            <v/>
          </cell>
          <cell r="V4394" t="str">
            <v/>
          </cell>
          <cell r="Z4394" t="str">
            <v/>
          </cell>
          <cell r="AA4394" t="str">
            <v/>
          </cell>
          <cell r="AB4394" t="str">
            <v/>
          </cell>
          <cell r="AC4394" t="str">
            <v/>
          </cell>
          <cell r="AD4394" t="str">
            <v/>
          </cell>
          <cell r="AY4394" t="str">
            <v/>
          </cell>
          <cell r="AZ4394" t="str">
            <v/>
          </cell>
          <cell r="BA4394" t="str">
            <v/>
          </cell>
        </row>
        <row r="4395">
          <cell r="B4395" t="str">
            <v>-</v>
          </cell>
          <cell r="E4395" t="str">
            <v/>
          </cell>
          <cell r="G4395" t="str">
            <v/>
          </cell>
          <cell r="J4395" t="str">
            <v/>
          </cell>
          <cell r="O4395" t="str">
            <v/>
          </cell>
          <cell r="P4395" t="str">
            <v/>
          </cell>
          <cell r="Q4395" t="str">
            <v/>
          </cell>
          <cell r="S4395" t="str">
            <v/>
          </cell>
          <cell r="V4395" t="str">
            <v/>
          </cell>
          <cell r="Z4395" t="str">
            <v/>
          </cell>
          <cell r="AA4395" t="str">
            <v/>
          </cell>
          <cell r="AB4395" t="str">
            <v/>
          </cell>
          <cell r="AC4395" t="str">
            <v/>
          </cell>
          <cell r="AD4395" t="str">
            <v/>
          </cell>
          <cell r="AY4395" t="str">
            <v/>
          </cell>
          <cell r="AZ4395" t="str">
            <v/>
          </cell>
          <cell r="BA4395" t="str">
            <v/>
          </cell>
        </row>
        <row r="4396">
          <cell r="B4396" t="str">
            <v>-</v>
          </cell>
          <cell r="E4396" t="str">
            <v/>
          </cell>
          <cell r="G4396" t="str">
            <v/>
          </cell>
          <cell r="J4396" t="str">
            <v/>
          </cell>
          <cell r="O4396" t="str">
            <v/>
          </cell>
          <cell r="P4396" t="str">
            <v/>
          </cell>
          <cell r="Q4396" t="str">
            <v/>
          </cell>
          <cell r="S4396" t="str">
            <v/>
          </cell>
          <cell r="V4396" t="str">
            <v/>
          </cell>
          <cell r="Z4396" t="str">
            <v/>
          </cell>
          <cell r="AA4396" t="str">
            <v/>
          </cell>
          <cell r="AB4396" t="str">
            <v/>
          </cell>
          <cell r="AC4396" t="str">
            <v/>
          </cell>
          <cell r="AD4396" t="str">
            <v/>
          </cell>
          <cell r="AY4396" t="str">
            <v/>
          </cell>
          <cell r="AZ4396" t="str">
            <v/>
          </cell>
          <cell r="BA4396" t="str">
            <v/>
          </cell>
        </row>
        <row r="4397">
          <cell r="B4397" t="str">
            <v>-</v>
          </cell>
          <cell r="E4397" t="str">
            <v/>
          </cell>
          <cell r="G4397" t="str">
            <v/>
          </cell>
          <cell r="J4397" t="str">
            <v/>
          </cell>
          <cell r="O4397" t="str">
            <v/>
          </cell>
          <cell r="P4397" t="str">
            <v/>
          </cell>
          <cell r="Q4397" t="str">
            <v/>
          </cell>
          <cell r="S4397" t="str">
            <v/>
          </cell>
          <cell r="V4397" t="str">
            <v/>
          </cell>
          <cell r="Z4397" t="str">
            <v/>
          </cell>
          <cell r="AA4397" t="str">
            <v/>
          </cell>
          <cell r="AB4397" t="str">
            <v/>
          </cell>
          <cell r="AC4397" t="str">
            <v/>
          </cell>
          <cell r="AD4397" t="str">
            <v/>
          </cell>
          <cell r="AY4397" t="str">
            <v/>
          </cell>
          <cell r="AZ4397" t="str">
            <v/>
          </cell>
          <cell r="BA4397" t="str">
            <v/>
          </cell>
        </row>
        <row r="4398">
          <cell r="B4398" t="str">
            <v>-</v>
          </cell>
          <cell r="E4398" t="str">
            <v/>
          </cell>
          <cell r="G4398" t="str">
            <v/>
          </cell>
          <cell r="J4398" t="str">
            <v/>
          </cell>
          <cell r="O4398" t="str">
            <v/>
          </cell>
          <cell r="P4398" t="str">
            <v/>
          </cell>
          <cell r="Q4398" t="str">
            <v/>
          </cell>
          <cell r="S4398" t="str">
            <v/>
          </cell>
          <cell r="V4398" t="str">
            <v/>
          </cell>
          <cell r="Z4398" t="str">
            <v/>
          </cell>
          <cell r="AA4398" t="str">
            <v/>
          </cell>
          <cell r="AB4398" t="str">
            <v/>
          </cell>
          <cell r="AC4398" t="str">
            <v/>
          </cell>
          <cell r="AD4398" t="str">
            <v/>
          </cell>
          <cell r="AY4398" t="str">
            <v/>
          </cell>
          <cell r="AZ4398" t="str">
            <v/>
          </cell>
          <cell r="BA4398" t="str">
            <v/>
          </cell>
        </row>
        <row r="4399">
          <cell r="B4399" t="str">
            <v>-</v>
          </cell>
          <cell r="E4399" t="str">
            <v/>
          </cell>
          <cell r="G4399" t="str">
            <v/>
          </cell>
          <cell r="J4399" t="str">
            <v/>
          </cell>
          <cell r="O4399" t="str">
            <v/>
          </cell>
          <cell r="P4399" t="str">
            <v/>
          </cell>
          <cell r="Q4399" t="str">
            <v/>
          </cell>
          <cell r="S4399" t="str">
            <v/>
          </cell>
          <cell r="V4399" t="str">
            <v/>
          </cell>
          <cell r="Z4399" t="str">
            <v/>
          </cell>
          <cell r="AA4399" t="str">
            <v/>
          </cell>
          <cell r="AB4399" t="str">
            <v/>
          </cell>
          <cell r="AC4399" t="str">
            <v/>
          </cell>
          <cell r="AD4399" t="str">
            <v/>
          </cell>
          <cell r="AY4399" t="str">
            <v/>
          </cell>
          <cell r="AZ4399" t="str">
            <v/>
          </cell>
          <cell r="BA4399" t="str">
            <v/>
          </cell>
        </row>
        <row r="4400">
          <cell r="B4400" t="str">
            <v>-</v>
          </cell>
          <cell r="E4400" t="str">
            <v/>
          </cell>
          <cell r="G4400" t="str">
            <v/>
          </cell>
          <cell r="J4400" t="str">
            <v/>
          </cell>
          <cell r="O4400" t="str">
            <v/>
          </cell>
          <cell r="P4400" t="str">
            <v/>
          </cell>
          <cell r="Q4400" t="str">
            <v/>
          </cell>
          <cell r="S4400" t="str">
            <v/>
          </cell>
          <cell r="V4400" t="str">
            <v/>
          </cell>
          <cell r="Z4400" t="str">
            <v/>
          </cell>
          <cell r="AA4400" t="str">
            <v/>
          </cell>
          <cell r="AB4400" t="str">
            <v/>
          </cell>
          <cell r="AC4400" t="str">
            <v/>
          </cell>
          <cell r="AD4400" t="str">
            <v/>
          </cell>
          <cell r="AY4400" t="str">
            <v/>
          </cell>
          <cell r="AZ4400" t="str">
            <v/>
          </cell>
          <cell r="BA4400" t="str">
            <v/>
          </cell>
        </row>
        <row r="4401">
          <cell r="B4401" t="str">
            <v>-</v>
          </cell>
          <cell r="E4401" t="str">
            <v/>
          </cell>
          <cell r="G4401" t="str">
            <v/>
          </cell>
          <cell r="J4401" t="str">
            <v/>
          </cell>
          <cell r="O4401" t="str">
            <v/>
          </cell>
          <cell r="P4401" t="str">
            <v/>
          </cell>
          <cell r="Q4401" t="str">
            <v/>
          </cell>
          <cell r="S4401" t="str">
            <v/>
          </cell>
          <cell r="V4401" t="str">
            <v/>
          </cell>
          <cell r="Z4401" t="str">
            <v/>
          </cell>
          <cell r="AA4401" t="str">
            <v/>
          </cell>
          <cell r="AB4401" t="str">
            <v/>
          </cell>
          <cell r="AC4401" t="str">
            <v/>
          </cell>
          <cell r="AD4401" t="str">
            <v/>
          </cell>
          <cell r="AY4401" t="str">
            <v/>
          </cell>
          <cell r="AZ4401" t="str">
            <v/>
          </cell>
          <cell r="BA4401" t="str">
            <v/>
          </cell>
        </row>
        <row r="4402">
          <cell r="B4402" t="str">
            <v>-</v>
          </cell>
          <cell r="E4402" t="str">
            <v/>
          </cell>
          <cell r="G4402" t="str">
            <v/>
          </cell>
          <cell r="J4402" t="str">
            <v/>
          </cell>
          <cell r="O4402" t="str">
            <v/>
          </cell>
          <cell r="P4402" t="str">
            <v/>
          </cell>
          <cell r="Q4402" t="str">
            <v/>
          </cell>
          <cell r="S4402" t="str">
            <v/>
          </cell>
          <cell r="V4402" t="str">
            <v/>
          </cell>
          <cell r="Z4402" t="str">
            <v/>
          </cell>
          <cell r="AA4402" t="str">
            <v/>
          </cell>
          <cell r="AB4402" t="str">
            <v/>
          </cell>
          <cell r="AC4402" t="str">
            <v/>
          </cell>
          <cell r="AD4402" t="str">
            <v/>
          </cell>
          <cell r="AY4402" t="str">
            <v/>
          </cell>
          <cell r="AZ4402" t="str">
            <v/>
          </cell>
          <cell r="BA4402" t="str">
            <v/>
          </cell>
        </row>
        <row r="4403">
          <cell r="B4403" t="str">
            <v>-</v>
          </cell>
          <cell r="E4403" t="str">
            <v/>
          </cell>
          <cell r="G4403" t="str">
            <v/>
          </cell>
          <cell r="J4403" t="str">
            <v/>
          </cell>
          <cell r="O4403" t="str">
            <v/>
          </cell>
          <cell r="P4403" t="str">
            <v/>
          </cell>
          <cell r="Q4403" t="str">
            <v/>
          </cell>
          <cell r="S4403" t="str">
            <v/>
          </cell>
          <cell r="V4403" t="str">
            <v/>
          </cell>
          <cell r="Z4403" t="str">
            <v/>
          </cell>
          <cell r="AA4403" t="str">
            <v/>
          </cell>
          <cell r="AB4403" t="str">
            <v/>
          </cell>
          <cell r="AC4403" t="str">
            <v/>
          </cell>
          <cell r="AD4403" t="str">
            <v/>
          </cell>
          <cell r="AY4403" t="str">
            <v/>
          </cell>
          <cell r="AZ4403" t="str">
            <v/>
          </cell>
          <cell r="BA4403" t="str">
            <v/>
          </cell>
        </row>
        <row r="4404">
          <cell r="B4404" t="str">
            <v>-</v>
          </cell>
          <cell r="E4404" t="str">
            <v/>
          </cell>
          <cell r="G4404" t="str">
            <v/>
          </cell>
          <cell r="J4404" t="str">
            <v/>
          </cell>
          <cell r="O4404" t="str">
            <v/>
          </cell>
          <cell r="P4404" t="str">
            <v/>
          </cell>
          <cell r="Q4404" t="str">
            <v/>
          </cell>
          <cell r="S4404" t="str">
            <v/>
          </cell>
          <cell r="V4404" t="str">
            <v/>
          </cell>
          <cell r="Z4404" t="str">
            <v/>
          </cell>
          <cell r="AA4404" t="str">
            <v/>
          </cell>
          <cell r="AB4404" t="str">
            <v/>
          </cell>
          <cell r="AC4404" t="str">
            <v/>
          </cell>
          <cell r="AD4404" t="str">
            <v/>
          </cell>
          <cell r="AY4404" t="str">
            <v/>
          </cell>
          <cell r="AZ4404" t="str">
            <v/>
          </cell>
          <cell r="BA4404" t="str">
            <v/>
          </cell>
        </row>
        <row r="4405">
          <cell r="B4405" t="str">
            <v>-</v>
          </cell>
          <cell r="E4405" t="str">
            <v/>
          </cell>
          <cell r="G4405" t="str">
            <v/>
          </cell>
          <cell r="J4405" t="str">
            <v/>
          </cell>
          <cell r="O4405" t="str">
            <v/>
          </cell>
          <cell r="P4405" t="str">
            <v/>
          </cell>
          <cell r="Q4405" t="str">
            <v/>
          </cell>
          <cell r="S4405" t="str">
            <v/>
          </cell>
          <cell r="V4405" t="str">
            <v/>
          </cell>
          <cell r="Z4405" t="str">
            <v/>
          </cell>
          <cell r="AA4405" t="str">
            <v/>
          </cell>
          <cell r="AB4405" t="str">
            <v/>
          </cell>
          <cell r="AC4405" t="str">
            <v/>
          </cell>
          <cell r="AD4405" t="str">
            <v/>
          </cell>
          <cell r="AY4405" t="str">
            <v/>
          </cell>
          <cell r="AZ4405" t="str">
            <v/>
          </cell>
          <cell r="BA4405" t="str">
            <v/>
          </cell>
        </row>
        <row r="4406">
          <cell r="B4406" t="str">
            <v>-</v>
          </cell>
          <cell r="E4406" t="str">
            <v/>
          </cell>
          <cell r="G4406" t="str">
            <v/>
          </cell>
          <cell r="J4406" t="str">
            <v/>
          </cell>
          <cell r="O4406" t="str">
            <v/>
          </cell>
          <cell r="P4406" t="str">
            <v/>
          </cell>
          <cell r="Q4406" t="str">
            <v/>
          </cell>
          <cell r="S4406" t="str">
            <v/>
          </cell>
          <cell r="V4406" t="str">
            <v/>
          </cell>
          <cell r="Z4406" t="str">
            <v/>
          </cell>
          <cell r="AA4406" t="str">
            <v/>
          </cell>
          <cell r="AB4406" t="str">
            <v/>
          </cell>
          <cell r="AC4406" t="str">
            <v/>
          </cell>
          <cell r="AD4406" t="str">
            <v/>
          </cell>
          <cell r="AY4406" t="str">
            <v/>
          </cell>
          <cell r="AZ4406" t="str">
            <v/>
          </cell>
          <cell r="BA4406" t="str">
            <v/>
          </cell>
        </row>
        <row r="4407">
          <cell r="B4407" t="str">
            <v>-</v>
          </cell>
          <cell r="E4407" t="str">
            <v/>
          </cell>
          <cell r="G4407" t="str">
            <v/>
          </cell>
          <cell r="J4407" t="str">
            <v/>
          </cell>
          <cell r="O4407" t="str">
            <v/>
          </cell>
          <cell r="P4407" t="str">
            <v/>
          </cell>
          <cell r="Q4407" t="str">
            <v/>
          </cell>
          <cell r="S4407" t="str">
            <v/>
          </cell>
          <cell r="V4407" t="str">
            <v/>
          </cell>
          <cell r="Z4407" t="str">
            <v/>
          </cell>
          <cell r="AA4407" t="str">
            <v/>
          </cell>
          <cell r="AB4407" t="str">
            <v/>
          </cell>
          <cell r="AC4407" t="str">
            <v/>
          </cell>
          <cell r="AD4407" t="str">
            <v/>
          </cell>
          <cell r="AY4407" t="str">
            <v/>
          </cell>
          <cell r="AZ4407" t="str">
            <v/>
          </cell>
          <cell r="BA4407" t="str">
            <v/>
          </cell>
        </row>
        <row r="4408">
          <cell r="B4408" t="str">
            <v>-</v>
          </cell>
          <cell r="E4408" t="str">
            <v/>
          </cell>
          <cell r="G4408" t="str">
            <v/>
          </cell>
          <cell r="J4408" t="str">
            <v/>
          </cell>
          <cell r="O4408" t="str">
            <v/>
          </cell>
          <cell r="P4408" t="str">
            <v/>
          </cell>
          <cell r="Q4408" t="str">
            <v/>
          </cell>
          <cell r="S4408" t="str">
            <v/>
          </cell>
          <cell r="V4408" t="str">
            <v/>
          </cell>
          <cell r="Z4408" t="str">
            <v/>
          </cell>
          <cell r="AA4408" t="str">
            <v/>
          </cell>
          <cell r="AB4408" t="str">
            <v/>
          </cell>
          <cell r="AC4408" t="str">
            <v/>
          </cell>
          <cell r="AD4408" t="str">
            <v/>
          </cell>
          <cell r="AY4408" t="str">
            <v/>
          </cell>
          <cell r="AZ4408" t="str">
            <v/>
          </cell>
          <cell r="BA4408" t="str">
            <v/>
          </cell>
        </row>
        <row r="4409">
          <cell r="B4409" t="str">
            <v>-</v>
          </cell>
          <cell r="E4409" t="str">
            <v/>
          </cell>
          <cell r="G4409" t="str">
            <v/>
          </cell>
          <cell r="J4409" t="str">
            <v/>
          </cell>
          <cell r="O4409" t="str">
            <v/>
          </cell>
          <cell r="P4409" t="str">
            <v/>
          </cell>
          <cell r="Q4409" t="str">
            <v/>
          </cell>
          <cell r="S4409" t="str">
            <v/>
          </cell>
          <cell r="V4409" t="str">
            <v/>
          </cell>
          <cell r="Z4409" t="str">
            <v/>
          </cell>
          <cell r="AA4409" t="str">
            <v/>
          </cell>
          <cell r="AB4409" t="str">
            <v/>
          </cell>
          <cell r="AC4409" t="str">
            <v/>
          </cell>
          <cell r="AD4409" t="str">
            <v/>
          </cell>
          <cell r="AY4409" t="str">
            <v/>
          </cell>
          <cell r="AZ4409" t="str">
            <v/>
          </cell>
          <cell r="BA4409" t="str">
            <v/>
          </cell>
        </row>
        <row r="4410">
          <cell r="B4410" t="str">
            <v>-</v>
          </cell>
          <cell r="E4410" t="str">
            <v/>
          </cell>
          <cell r="G4410" t="str">
            <v/>
          </cell>
          <cell r="J4410" t="str">
            <v/>
          </cell>
          <cell r="O4410" t="str">
            <v/>
          </cell>
          <cell r="P4410" t="str">
            <v/>
          </cell>
          <cell r="Q4410" t="str">
            <v/>
          </cell>
          <cell r="S4410" t="str">
            <v/>
          </cell>
          <cell r="V4410" t="str">
            <v/>
          </cell>
          <cell r="Z4410" t="str">
            <v/>
          </cell>
          <cell r="AA4410" t="str">
            <v/>
          </cell>
          <cell r="AB4410" t="str">
            <v/>
          </cell>
          <cell r="AC4410" t="str">
            <v/>
          </cell>
          <cell r="AD4410" t="str">
            <v/>
          </cell>
          <cell r="AY4410" t="str">
            <v/>
          </cell>
          <cell r="AZ4410" t="str">
            <v/>
          </cell>
          <cell r="BA4410" t="str">
            <v/>
          </cell>
        </row>
        <row r="4411">
          <cell r="B4411" t="str">
            <v>-</v>
          </cell>
          <cell r="E4411" t="str">
            <v/>
          </cell>
          <cell r="G4411" t="str">
            <v/>
          </cell>
          <cell r="J4411" t="str">
            <v/>
          </cell>
          <cell r="O4411" t="str">
            <v/>
          </cell>
          <cell r="P4411" t="str">
            <v/>
          </cell>
          <cell r="Q4411" t="str">
            <v/>
          </cell>
          <cell r="S4411" t="str">
            <v/>
          </cell>
          <cell r="V4411" t="str">
            <v/>
          </cell>
          <cell r="Z4411" t="str">
            <v/>
          </cell>
          <cell r="AA4411" t="str">
            <v/>
          </cell>
          <cell r="AB4411" t="str">
            <v/>
          </cell>
          <cell r="AC4411" t="str">
            <v/>
          </cell>
          <cell r="AD4411" t="str">
            <v/>
          </cell>
          <cell r="AY4411" t="str">
            <v/>
          </cell>
          <cell r="AZ4411" t="str">
            <v/>
          </cell>
          <cell r="BA4411" t="str">
            <v/>
          </cell>
        </row>
        <row r="4412">
          <cell r="B4412" t="str">
            <v>-</v>
          </cell>
          <cell r="E4412" t="str">
            <v/>
          </cell>
          <cell r="G4412" t="str">
            <v/>
          </cell>
          <cell r="J4412" t="str">
            <v/>
          </cell>
          <cell r="O4412" t="str">
            <v/>
          </cell>
          <cell r="P4412" t="str">
            <v/>
          </cell>
          <cell r="Q4412" t="str">
            <v/>
          </cell>
          <cell r="S4412" t="str">
            <v/>
          </cell>
          <cell r="V4412" t="str">
            <v/>
          </cell>
          <cell r="Z4412" t="str">
            <v/>
          </cell>
          <cell r="AA4412" t="str">
            <v/>
          </cell>
          <cell r="AB4412" t="str">
            <v/>
          </cell>
          <cell r="AC4412" t="str">
            <v/>
          </cell>
          <cell r="AD4412" t="str">
            <v/>
          </cell>
          <cell r="AY4412" t="str">
            <v/>
          </cell>
          <cell r="AZ4412" t="str">
            <v/>
          </cell>
          <cell r="BA4412" t="str">
            <v/>
          </cell>
        </row>
        <row r="4413">
          <cell r="B4413" t="str">
            <v>-</v>
          </cell>
          <cell r="E4413" t="str">
            <v/>
          </cell>
          <cell r="G4413" t="str">
            <v/>
          </cell>
          <cell r="J4413" t="str">
            <v/>
          </cell>
          <cell r="O4413" t="str">
            <v/>
          </cell>
          <cell r="P4413" t="str">
            <v/>
          </cell>
          <cell r="Q4413" t="str">
            <v/>
          </cell>
          <cell r="S4413" t="str">
            <v/>
          </cell>
          <cell r="V4413" t="str">
            <v/>
          </cell>
          <cell r="Z4413" t="str">
            <v/>
          </cell>
          <cell r="AA4413" t="str">
            <v/>
          </cell>
          <cell r="AB4413" t="str">
            <v/>
          </cell>
          <cell r="AC4413" t="str">
            <v/>
          </cell>
          <cell r="AD4413" t="str">
            <v/>
          </cell>
          <cell r="AY4413" t="str">
            <v/>
          </cell>
          <cell r="AZ4413" t="str">
            <v/>
          </cell>
          <cell r="BA4413" t="str">
            <v/>
          </cell>
        </row>
        <row r="4414">
          <cell r="B4414" t="str">
            <v>-</v>
          </cell>
          <cell r="E4414" t="str">
            <v/>
          </cell>
          <cell r="G4414" t="str">
            <v/>
          </cell>
          <cell r="J4414" t="str">
            <v/>
          </cell>
          <cell r="O4414" t="str">
            <v/>
          </cell>
          <cell r="P4414" t="str">
            <v/>
          </cell>
          <cell r="Q4414" t="str">
            <v/>
          </cell>
          <cell r="S4414" t="str">
            <v/>
          </cell>
          <cell r="V4414" t="str">
            <v/>
          </cell>
          <cell r="Z4414" t="str">
            <v/>
          </cell>
          <cell r="AA4414" t="str">
            <v/>
          </cell>
          <cell r="AB4414" t="str">
            <v/>
          </cell>
          <cell r="AC4414" t="str">
            <v/>
          </cell>
          <cell r="AD4414" t="str">
            <v/>
          </cell>
          <cell r="AY4414" t="str">
            <v/>
          </cell>
          <cell r="AZ4414" t="str">
            <v/>
          </cell>
          <cell r="BA4414" t="str">
            <v/>
          </cell>
        </row>
        <row r="4415">
          <cell r="B4415" t="str">
            <v>-</v>
          </cell>
          <cell r="E4415" t="str">
            <v/>
          </cell>
          <cell r="G4415" t="str">
            <v/>
          </cell>
          <cell r="J4415" t="str">
            <v/>
          </cell>
          <cell r="O4415" t="str">
            <v/>
          </cell>
          <cell r="P4415" t="str">
            <v/>
          </cell>
          <cell r="Q4415" t="str">
            <v/>
          </cell>
          <cell r="S4415" t="str">
            <v/>
          </cell>
          <cell r="V4415" t="str">
            <v/>
          </cell>
          <cell r="Z4415" t="str">
            <v/>
          </cell>
          <cell r="AA4415" t="str">
            <v/>
          </cell>
          <cell r="AB4415" t="str">
            <v/>
          </cell>
          <cell r="AC4415" t="str">
            <v/>
          </cell>
          <cell r="AD4415" t="str">
            <v/>
          </cell>
          <cell r="AY4415" t="str">
            <v/>
          </cell>
          <cell r="AZ4415" t="str">
            <v/>
          </cell>
          <cell r="BA4415" t="str">
            <v/>
          </cell>
        </row>
        <row r="4416">
          <cell r="B4416" t="str">
            <v>-</v>
          </cell>
          <cell r="E4416" t="str">
            <v/>
          </cell>
          <cell r="G4416" t="str">
            <v/>
          </cell>
          <cell r="J4416" t="str">
            <v/>
          </cell>
          <cell r="O4416" t="str">
            <v/>
          </cell>
          <cell r="P4416" t="str">
            <v/>
          </cell>
          <cell r="Q4416" t="str">
            <v/>
          </cell>
          <cell r="S4416" t="str">
            <v/>
          </cell>
          <cell r="V4416" t="str">
            <v/>
          </cell>
          <cell r="Z4416" t="str">
            <v/>
          </cell>
          <cell r="AA4416" t="str">
            <v/>
          </cell>
          <cell r="AB4416" t="str">
            <v/>
          </cell>
          <cell r="AC4416" t="str">
            <v/>
          </cell>
          <cell r="AD4416" t="str">
            <v/>
          </cell>
          <cell r="AY4416" t="str">
            <v/>
          </cell>
          <cell r="AZ4416" t="str">
            <v/>
          </cell>
          <cell r="BA4416" t="str">
            <v/>
          </cell>
        </row>
        <row r="4417">
          <cell r="B4417" t="str">
            <v>-</v>
          </cell>
          <cell r="E4417" t="str">
            <v/>
          </cell>
          <cell r="G4417" t="str">
            <v/>
          </cell>
          <cell r="J4417" t="str">
            <v/>
          </cell>
          <cell r="O4417" t="str">
            <v/>
          </cell>
          <cell r="P4417" t="str">
            <v/>
          </cell>
          <cell r="Q4417" t="str">
            <v/>
          </cell>
          <cell r="S4417" t="str">
            <v/>
          </cell>
          <cell r="V4417" t="str">
            <v/>
          </cell>
          <cell r="Z4417" t="str">
            <v/>
          </cell>
          <cell r="AA4417" t="str">
            <v/>
          </cell>
          <cell r="AB4417" t="str">
            <v/>
          </cell>
          <cell r="AC4417" t="str">
            <v/>
          </cell>
          <cell r="AD4417" t="str">
            <v/>
          </cell>
          <cell r="AY4417" t="str">
            <v/>
          </cell>
          <cell r="AZ4417" t="str">
            <v/>
          </cell>
          <cell r="BA4417" t="str">
            <v/>
          </cell>
        </row>
        <row r="4418">
          <cell r="B4418" t="str">
            <v>-</v>
          </cell>
          <cell r="E4418" t="str">
            <v/>
          </cell>
          <cell r="G4418" t="str">
            <v/>
          </cell>
          <cell r="J4418" t="str">
            <v/>
          </cell>
          <cell r="O4418" t="str">
            <v/>
          </cell>
          <cell r="P4418" t="str">
            <v/>
          </cell>
          <cell r="Q4418" t="str">
            <v/>
          </cell>
          <cell r="S4418" t="str">
            <v/>
          </cell>
          <cell r="V4418" t="str">
            <v/>
          </cell>
          <cell r="Z4418" t="str">
            <v/>
          </cell>
          <cell r="AA4418" t="str">
            <v/>
          </cell>
          <cell r="AB4418" t="str">
            <v/>
          </cell>
          <cell r="AC4418" t="str">
            <v/>
          </cell>
          <cell r="AD4418" t="str">
            <v/>
          </cell>
          <cell r="AY4418" t="str">
            <v/>
          </cell>
          <cell r="AZ4418" t="str">
            <v/>
          </cell>
          <cell r="BA4418" t="str">
            <v/>
          </cell>
        </row>
        <row r="4419">
          <cell r="B4419" t="str">
            <v>-</v>
          </cell>
          <cell r="E4419" t="str">
            <v/>
          </cell>
          <cell r="G4419" t="str">
            <v/>
          </cell>
          <cell r="J4419" t="str">
            <v/>
          </cell>
          <cell r="O4419" t="str">
            <v/>
          </cell>
          <cell r="P4419" t="str">
            <v/>
          </cell>
          <cell r="Q4419" t="str">
            <v/>
          </cell>
          <cell r="S4419" t="str">
            <v/>
          </cell>
          <cell r="V4419" t="str">
            <v/>
          </cell>
          <cell r="Z4419" t="str">
            <v/>
          </cell>
          <cell r="AA4419" t="str">
            <v/>
          </cell>
          <cell r="AB4419" t="str">
            <v/>
          </cell>
          <cell r="AC4419" t="str">
            <v/>
          </cell>
          <cell r="AD4419" t="str">
            <v/>
          </cell>
          <cell r="AY4419" t="str">
            <v/>
          </cell>
          <cell r="AZ4419" t="str">
            <v/>
          </cell>
          <cell r="BA4419" t="str">
            <v/>
          </cell>
        </row>
        <row r="4420">
          <cell r="B4420" t="str">
            <v>-</v>
          </cell>
          <cell r="E4420" t="str">
            <v/>
          </cell>
          <cell r="G4420" t="str">
            <v/>
          </cell>
          <cell r="J4420" t="str">
            <v/>
          </cell>
          <cell r="O4420" t="str">
            <v/>
          </cell>
          <cell r="P4420" t="str">
            <v/>
          </cell>
          <cell r="Q4420" t="str">
            <v/>
          </cell>
          <cell r="S4420" t="str">
            <v/>
          </cell>
          <cell r="V4420" t="str">
            <v/>
          </cell>
          <cell r="Z4420" t="str">
            <v/>
          </cell>
          <cell r="AA4420" t="str">
            <v/>
          </cell>
          <cell r="AB4420" t="str">
            <v/>
          </cell>
          <cell r="AC4420" t="str">
            <v/>
          </cell>
          <cell r="AD4420" t="str">
            <v/>
          </cell>
          <cell r="AY4420" t="str">
            <v/>
          </cell>
          <cell r="AZ4420" t="str">
            <v/>
          </cell>
          <cell r="BA4420" t="str">
            <v/>
          </cell>
        </row>
        <row r="4421">
          <cell r="B4421" t="str">
            <v>-</v>
          </cell>
          <cell r="E4421" t="str">
            <v/>
          </cell>
          <cell r="G4421" t="str">
            <v/>
          </cell>
          <cell r="J4421" t="str">
            <v/>
          </cell>
          <cell r="O4421" t="str">
            <v/>
          </cell>
          <cell r="P4421" t="str">
            <v/>
          </cell>
          <cell r="Q4421" t="str">
            <v/>
          </cell>
          <cell r="S4421" t="str">
            <v/>
          </cell>
          <cell r="V4421" t="str">
            <v/>
          </cell>
          <cell r="Z4421" t="str">
            <v/>
          </cell>
          <cell r="AA4421" t="str">
            <v/>
          </cell>
          <cell r="AB4421" t="str">
            <v/>
          </cell>
          <cell r="AC4421" t="str">
            <v/>
          </cell>
          <cell r="AD4421" t="str">
            <v/>
          </cell>
          <cell r="AY4421" t="str">
            <v/>
          </cell>
          <cell r="AZ4421" t="str">
            <v/>
          </cell>
          <cell r="BA4421" t="str">
            <v/>
          </cell>
        </row>
        <row r="4422">
          <cell r="B4422" t="str">
            <v>-</v>
          </cell>
          <cell r="E4422" t="str">
            <v/>
          </cell>
          <cell r="G4422" t="str">
            <v/>
          </cell>
          <cell r="J4422" t="str">
            <v/>
          </cell>
          <cell r="O4422" t="str">
            <v/>
          </cell>
          <cell r="P4422" t="str">
            <v/>
          </cell>
          <cell r="Q4422" t="str">
            <v/>
          </cell>
          <cell r="S4422" t="str">
            <v/>
          </cell>
          <cell r="V4422" t="str">
            <v/>
          </cell>
          <cell r="Z4422" t="str">
            <v/>
          </cell>
          <cell r="AA4422" t="str">
            <v/>
          </cell>
          <cell r="AB4422" t="str">
            <v/>
          </cell>
          <cell r="AC4422" t="str">
            <v/>
          </cell>
          <cell r="AD4422" t="str">
            <v/>
          </cell>
          <cell r="AY4422" t="str">
            <v/>
          </cell>
          <cell r="AZ4422" t="str">
            <v/>
          </cell>
          <cell r="BA4422" t="str">
            <v/>
          </cell>
        </row>
        <row r="4423">
          <cell r="B4423" t="str">
            <v>-</v>
          </cell>
          <cell r="E4423" t="str">
            <v/>
          </cell>
          <cell r="G4423" t="str">
            <v/>
          </cell>
          <cell r="J4423" t="str">
            <v/>
          </cell>
          <cell r="O4423" t="str">
            <v/>
          </cell>
          <cell r="P4423" t="str">
            <v/>
          </cell>
          <cell r="Q4423" t="str">
            <v/>
          </cell>
          <cell r="S4423" t="str">
            <v/>
          </cell>
          <cell r="V4423" t="str">
            <v/>
          </cell>
          <cell r="Z4423" t="str">
            <v/>
          </cell>
          <cell r="AA4423" t="str">
            <v/>
          </cell>
          <cell r="AB4423" t="str">
            <v/>
          </cell>
          <cell r="AC4423" t="str">
            <v/>
          </cell>
          <cell r="AD4423" t="str">
            <v/>
          </cell>
          <cell r="AY4423" t="str">
            <v/>
          </cell>
          <cell r="AZ4423" t="str">
            <v/>
          </cell>
          <cell r="BA4423" t="str">
            <v/>
          </cell>
        </row>
        <row r="4424">
          <cell r="B4424" t="str">
            <v>-</v>
          </cell>
          <cell r="E4424" t="str">
            <v/>
          </cell>
          <cell r="G4424" t="str">
            <v/>
          </cell>
          <cell r="J4424" t="str">
            <v/>
          </cell>
          <cell r="O4424" t="str">
            <v/>
          </cell>
          <cell r="P4424" t="str">
            <v/>
          </cell>
          <cell r="Q4424" t="str">
            <v/>
          </cell>
          <cell r="S4424" t="str">
            <v/>
          </cell>
          <cell r="V4424" t="str">
            <v/>
          </cell>
          <cell r="Z4424" t="str">
            <v/>
          </cell>
          <cell r="AA4424" t="str">
            <v/>
          </cell>
          <cell r="AB4424" t="str">
            <v/>
          </cell>
          <cell r="AC4424" t="str">
            <v/>
          </cell>
          <cell r="AD4424" t="str">
            <v/>
          </cell>
          <cell r="AY4424" t="str">
            <v/>
          </cell>
          <cell r="AZ4424" t="str">
            <v/>
          </cell>
          <cell r="BA4424" t="str">
            <v/>
          </cell>
        </row>
        <row r="4425">
          <cell r="B4425" t="str">
            <v>-</v>
          </cell>
          <cell r="E4425" t="str">
            <v/>
          </cell>
          <cell r="G4425" t="str">
            <v/>
          </cell>
          <cell r="J4425" t="str">
            <v/>
          </cell>
          <cell r="O4425" t="str">
            <v/>
          </cell>
          <cell r="P4425" t="str">
            <v/>
          </cell>
          <cell r="Q4425" t="str">
            <v/>
          </cell>
          <cell r="S4425" t="str">
            <v/>
          </cell>
          <cell r="V4425" t="str">
            <v/>
          </cell>
          <cell r="Z4425" t="str">
            <v/>
          </cell>
          <cell r="AA4425" t="str">
            <v/>
          </cell>
          <cell r="AB4425" t="str">
            <v/>
          </cell>
          <cell r="AC4425" t="str">
            <v/>
          </cell>
          <cell r="AD4425" t="str">
            <v/>
          </cell>
          <cell r="AY4425" t="str">
            <v/>
          </cell>
          <cell r="AZ4425" t="str">
            <v/>
          </cell>
          <cell r="BA4425" t="str">
            <v/>
          </cell>
        </row>
        <row r="4426">
          <cell r="B4426" t="str">
            <v>-</v>
          </cell>
          <cell r="E4426" t="str">
            <v/>
          </cell>
          <cell r="G4426" t="str">
            <v/>
          </cell>
          <cell r="J4426" t="str">
            <v/>
          </cell>
          <cell r="O4426" t="str">
            <v/>
          </cell>
          <cell r="P4426" t="str">
            <v/>
          </cell>
          <cell r="Q4426" t="str">
            <v/>
          </cell>
          <cell r="S4426" t="str">
            <v/>
          </cell>
          <cell r="V4426" t="str">
            <v/>
          </cell>
          <cell r="Z4426" t="str">
            <v/>
          </cell>
          <cell r="AA4426" t="str">
            <v/>
          </cell>
          <cell r="AB4426" t="str">
            <v/>
          </cell>
          <cell r="AC4426" t="str">
            <v/>
          </cell>
          <cell r="AD4426" t="str">
            <v/>
          </cell>
          <cell r="AY4426" t="str">
            <v/>
          </cell>
          <cell r="AZ4426" t="str">
            <v/>
          </cell>
          <cell r="BA4426" t="str">
            <v/>
          </cell>
        </row>
        <row r="4427">
          <cell r="B4427" t="str">
            <v>-</v>
          </cell>
          <cell r="E4427" t="str">
            <v/>
          </cell>
          <cell r="G4427" t="str">
            <v/>
          </cell>
          <cell r="J4427" t="str">
            <v/>
          </cell>
          <cell r="O4427" t="str">
            <v/>
          </cell>
          <cell r="P4427" t="str">
            <v/>
          </cell>
          <cell r="Q4427" t="str">
            <v/>
          </cell>
          <cell r="S4427" t="str">
            <v/>
          </cell>
          <cell r="V4427" t="str">
            <v/>
          </cell>
          <cell r="Z4427" t="str">
            <v/>
          </cell>
          <cell r="AA4427" t="str">
            <v/>
          </cell>
          <cell r="AB4427" t="str">
            <v/>
          </cell>
          <cell r="AC4427" t="str">
            <v/>
          </cell>
          <cell r="AD4427" t="str">
            <v/>
          </cell>
          <cell r="AY4427" t="str">
            <v/>
          </cell>
          <cell r="AZ4427" t="str">
            <v/>
          </cell>
          <cell r="BA4427" t="str">
            <v/>
          </cell>
        </row>
        <row r="4428">
          <cell r="B4428" t="str">
            <v>-</v>
          </cell>
          <cell r="E4428" t="str">
            <v/>
          </cell>
          <cell r="G4428" t="str">
            <v/>
          </cell>
          <cell r="J4428" t="str">
            <v/>
          </cell>
          <cell r="O4428" t="str">
            <v/>
          </cell>
          <cell r="P4428" t="str">
            <v/>
          </cell>
          <cell r="Q4428" t="str">
            <v/>
          </cell>
          <cell r="S4428" t="str">
            <v/>
          </cell>
          <cell r="V4428" t="str">
            <v/>
          </cell>
          <cell r="Z4428" t="str">
            <v/>
          </cell>
          <cell r="AA4428" t="str">
            <v/>
          </cell>
          <cell r="AB4428" t="str">
            <v/>
          </cell>
          <cell r="AC4428" t="str">
            <v/>
          </cell>
          <cell r="AD4428" t="str">
            <v/>
          </cell>
          <cell r="AY4428" t="str">
            <v/>
          </cell>
          <cell r="AZ4428" t="str">
            <v/>
          </cell>
          <cell r="BA4428" t="str">
            <v/>
          </cell>
        </row>
        <row r="4429">
          <cell r="B4429" t="str">
            <v>-</v>
          </cell>
          <cell r="E4429" t="str">
            <v/>
          </cell>
          <cell r="G4429" t="str">
            <v/>
          </cell>
          <cell r="J4429" t="str">
            <v/>
          </cell>
          <cell r="O4429" t="str">
            <v/>
          </cell>
          <cell r="P4429" t="str">
            <v/>
          </cell>
          <cell r="Q4429" t="str">
            <v/>
          </cell>
          <cell r="S4429" t="str">
            <v/>
          </cell>
          <cell r="V4429" t="str">
            <v/>
          </cell>
          <cell r="Z4429" t="str">
            <v/>
          </cell>
          <cell r="AA4429" t="str">
            <v/>
          </cell>
          <cell r="AB4429" t="str">
            <v/>
          </cell>
          <cell r="AC4429" t="str">
            <v/>
          </cell>
          <cell r="AD4429" t="str">
            <v/>
          </cell>
          <cell r="AY4429" t="str">
            <v/>
          </cell>
          <cell r="AZ4429" t="str">
            <v/>
          </cell>
          <cell r="BA4429" t="str">
            <v/>
          </cell>
        </row>
        <row r="4430">
          <cell r="B4430" t="str">
            <v>-</v>
          </cell>
          <cell r="E4430" t="str">
            <v/>
          </cell>
          <cell r="G4430" t="str">
            <v/>
          </cell>
          <cell r="J4430" t="str">
            <v/>
          </cell>
          <cell r="O4430" t="str">
            <v/>
          </cell>
          <cell r="P4430" t="str">
            <v/>
          </cell>
          <cell r="Q4430" t="str">
            <v/>
          </cell>
          <cell r="S4430" t="str">
            <v/>
          </cell>
          <cell r="V4430" t="str">
            <v/>
          </cell>
          <cell r="Z4430" t="str">
            <v/>
          </cell>
          <cell r="AA4430" t="str">
            <v/>
          </cell>
          <cell r="AB4430" t="str">
            <v/>
          </cell>
          <cell r="AC4430" t="str">
            <v/>
          </cell>
          <cell r="AD4430" t="str">
            <v/>
          </cell>
          <cell r="AY4430" t="str">
            <v/>
          </cell>
          <cell r="AZ4430" t="str">
            <v/>
          </cell>
          <cell r="BA4430" t="str">
            <v/>
          </cell>
        </row>
        <row r="4431">
          <cell r="B4431" t="str">
            <v>-</v>
          </cell>
          <cell r="E4431" t="str">
            <v/>
          </cell>
          <cell r="G4431" t="str">
            <v/>
          </cell>
          <cell r="J4431" t="str">
            <v/>
          </cell>
          <cell r="O4431" t="str">
            <v/>
          </cell>
          <cell r="P4431" t="str">
            <v/>
          </cell>
          <cell r="Q4431" t="str">
            <v/>
          </cell>
          <cell r="S4431" t="str">
            <v/>
          </cell>
          <cell r="V4431" t="str">
            <v/>
          </cell>
          <cell r="Z4431" t="str">
            <v/>
          </cell>
          <cell r="AA4431" t="str">
            <v/>
          </cell>
          <cell r="AB4431" t="str">
            <v/>
          </cell>
          <cell r="AC4431" t="str">
            <v/>
          </cell>
          <cell r="AD4431" t="str">
            <v/>
          </cell>
          <cell r="AY4431" t="str">
            <v/>
          </cell>
          <cell r="AZ4431" t="str">
            <v/>
          </cell>
          <cell r="BA4431" t="str">
            <v/>
          </cell>
        </row>
        <row r="4432">
          <cell r="B4432" t="str">
            <v>-</v>
          </cell>
          <cell r="E4432" t="str">
            <v/>
          </cell>
          <cell r="G4432" t="str">
            <v/>
          </cell>
          <cell r="J4432" t="str">
            <v/>
          </cell>
          <cell r="O4432" t="str">
            <v/>
          </cell>
          <cell r="P4432" t="str">
            <v/>
          </cell>
          <cell r="Q4432" t="str">
            <v/>
          </cell>
          <cell r="S4432" t="str">
            <v/>
          </cell>
          <cell r="V4432" t="str">
            <v/>
          </cell>
          <cell r="Z4432" t="str">
            <v/>
          </cell>
          <cell r="AA4432" t="str">
            <v/>
          </cell>
          <cell r="AB4432" t="str">
            <v/>
          </cell>
          <cell r="AC4432" t="str">
            <v/>
          </cell>
          <cell r="AD4432" t="str">
            <v/>
          </cell>
          <cell r="AY4432" t="str">
            <v/>
          </cell>
          <cell r="AZ4432" t="str">
            <v/>
          </cell>
          <cell r="BA4432" t="str">
            <v/>
          </cell>
        </row>
        <row r="4433">
          <cell r="B4433" t="str">
            <v>-</v>
          </cell>
          <cell r="E4433" t="str">
            <v/>
          </cell>
          <cell r="G4433" t="str">
            <v/>
          </cell>
          <cell r="J4433" t="str">
            <v/>
          </cell>
          <cell r="O4433" t="str">
            <v/>
          </cell>
          <cell r="P4433" t="str">
            <v/>
          </cell>
          <cell r="Q4433" t="str">
            <v/>
          </cell>
          <cell r="S4433" t="str">
            <v/>
          </cell>
          <cell r="V4433" t="str">
            <v/>
          </cell>
          <cell r="Z4433" t="str">
            <v/>
          </cell>
          <cell r="AA4433" t="str">
            <v/>
          </cell>
          <cell r="AB4433" t="str">
            <v/>
          </cell>
          <cell r="AC4433" t="str">
            <v/>
          </cell>
          <cell r="AD4433" t="str">
            <v/>
          </cell>
          <cell r="AY4433" t="str">
            <v/>
          </cell>
          <cell r="AZ4433" t="str">
            <v/>
          </cell>
          <cell r="BA4433" t="str">
            <v/>
          </cell>
        </row>
        <row r="4434">
          <cell r="B4434" t="str">
            <v>-</v>
          </cell>
          <cell r="E4434" t="str">
            <v/>
          </cell>
          <cell r="G4434" t="str">
            <v/>
          </cell>
          <cell r="J4434" t="str">
            <v/>
          </cell>
          <cell r="O4434" t="str">
            <v/>
          </cell>
          <cell r="P4434" t="str">
            <v/>
          </cell>
          <cell r="Q4434" t="str">
            <v/>
          </cell>
          <cell r="S4434" t="str">
            <v/>
          </cell>
          <cell r="V4434" t="str">
            <v/>
          </cell>
          <cell r="Z4434" t="str">
            <v/>
          </cell>
          <cell r="AA4434" t="str">
            <v/>
          </cell>
          <cell r="AB4434" t="str">
            <v/>
          </cell>
          <cell r="AC4434" t="str">
            <v/>
          </cell>
          <cell r="AD4434" t="str">
            <v/>
          </cell>
          <cell r="AY4434" t="str">
            <v/>
          </cell>
          <cell r="AZ4434" t="str">
            <v/>
          </cell>
          <cell r="BA4434" t="str">
            <v/>
          </cell>
        </row>
        <row r="4435">
          <cell r="B4435" t="str">
            <v>-</v>
          </cell>
          <cell r="E4435" t="str">
            <v/>
          </cell>
          <cell r="G4435" t="str">
            <v/>
          </cell>
          <cell r="J4435" t="str">
            <v/>
          </cell>
          <cell r="O4435" t="str">
            <v/>
          </cell>
          <cell r="P4435" t="str">
            <v/>
          </cell>
          <cell r="Q4435" t="str">
            <v/>
          </cell>
          <cell r="S4435" t="str">
            <v/>
          </cell>
          <cell r="V4435" t="str">
            <v/>
          </cell>
          <cell r="Z4435" t="str">
            <v/>
          </cell>
          <cell r="AA4435" t="str">
            <v/>
          </cell>
          <cell r="AB4435" t="str">
            <v/>
          </cell>
          <cell r="AC4435" t="str">
            <v/>
          </cell>
          <cell r="AD4435" t="str">
            <v/>
          </cell>
          <cell r="AY4435" t="str">
            <v/>
          </cell>
          <cell r="AZ4435" t="str">
            <v/>
          </cell>
          <cell r="BA4435" t="str">
            <v/>
          </cell>
        </row>
        <row r="4436">
          <cell r="B4436" t="str">
            <v>-</v>
          </cell>
          <cell r="E4436" t="str">
            <v/>
          </cell>
          <cell r="G4436" t="str">
            <v/>
          </cell>
          <cell r="J4436" t="str">
            <v/>
          </cell>
          <cell r="O4436" t="str">
            <v/>
          </cell>
          <cell r="P4436" t="str">
            <v/>
          </cell>
          <cell r="Q4436" t="str">
            <v/>
          </cell>
          <cell r="S4436" t="str">
            <v/>
          </cell>
          <cell r="V4436" t="str">
            <v/>
          </cell>
          <cell r="Z4436" t="str">
            <v/>
          </cell>
          <cell r="AA4436" t="str">
            <v/>
          </cell>
          <cell r="AB4436" t="str">
            <v/>
          </cell>
          <cell r="AC4436" t="str">
            <v/>
          </cell>
          <cell r="AD4436" t="str">
            <v/>
          </cell>
          <cell r="AY4436" t="str">
            <v/>
          </cell>
          <cell r="AZ4436" t="str">
            <v/>
          </cell>
          <cell r="BA4436" t="str">
            <v/>
          </cell>
        </row>
        <row r="4437">
          <cell r="B4437" t="str">
            <v>-</v>
          </cell>
          <cell r="E4437" t="str">
            <v/>
          </cell>
          <cell r="G4437" t="str">
            <v/>
          </cell>
          <cell r="J4437" t="str">
            <v/>
          </cell>
          <cell r="O4437" t="str">
            <v/>
          </cell>
          <cell r="P4437" t="str">
            <v/>
          </cell>
          <cell r="Q4437" t="str">
            <v/>
          </cell>
          <cell r="S4437" t="str">
            <v/>
          </cell>
          <cell r="V4437" t="str">
            <v/>
          </cell>
          <cell r="Z4437" t="str">
            <v/>
          </cell>
          <cell r="AA4437" t="str">
            <v/>
          </cell>
          <cell r="AB4437" t="str">
            <v/>
          </cell>
          <cell r="AC4437" t="str">
            <v/>
          </cell>
          <cell r="AD4437" t="str">
            <v/>
          </cell>
          <cell r="AY4437" t="str">
            <v/>
          </cell>
          <cell r="AZ4437" t="str">
            <v/>
          </cell>
          <cell r="BA4437" t="str">
            <v/>
          </cell>
        </row>
        <row r="4438">
          <cell r="B4438" t="str">
            <v>-</v>
          </cell>
          <cell r="E4438" t="str">
            <v/>
          </cell>
          <cell r="G4438" t="str">
            <v/>
          </cell>
          <cell r="J4438" t="str">
            <v/>
          </cell>
          <cell r="O4438" t="str">
            <v/>
          </cell>
          <cell r="P4438" t="str">
            <v/>
          </cell>
          <cell r="Q4438" t="str">
            <v/>
          </cell>
          <cell r="S4438" t="str">
            <v/>
          </cell>
          <cell r="V4438" t="str">
            <v/>
          </cell>
          <cell r="Z4438" t="str">
            <v/>
          </cell>
          <cell r="AA4438" t="str">
            <v/>
          </cell>
          <cell r="AB4438" t="str">
            <v/>
          </cell>
          <cell r="AC4438" t="str">
            <v/>
          </cell>
          <cell r="AD4438" t="str">
            <v/>
          </cell>
          <cell r="AY4438" t="str">
            <v/>
          </cell>
          <cell r="AZ4438" t="str">
            <v/>
          </cell>
          <cell r="BA4438" t="str">
            <v/>
          </cell>
        </row>
        <row r="4439">
          <cell r="B4439" t="str">
            <v>-</v>
          </cell>
          <cell r="E4439" t="str">
            <v/>
          </cell>
          <cell r="G4439" t="str">
            <v/>
          </cell>
          <cell r="J4439" t="str">
            <v/>
          </cell>
          <cell r="O4439" t="str">
            <v/>
          </cell>
          <cell r="P4439" t="str">
            <v/>
          </cell>
          <cell r="Q4439" t="str">
            <v/>
          </cell>
          <cell r="S4439" t="str">
            <v/>
          </cell>
          <cell r="V4439" t="str">
            <v/>
          </cell>
          <cell r="Z4439" t="str">
            <v/>
          </cell>
          <cell r="AA4439" t="str">
            <v/>
          </cell>
          <cell r="AB4439" t="str">
            <v/>
          </cell>
          <cell r="AC4439" t="str">
            <v/>
          </cell>
          <cell r="AD4439" t="str">
            <v/>
          </cell>
          <cell r="AY4439" t="str">
            <v/>
          </cell>
          <cell r="AZ4439" t="str">
            <v/>
          </cell>
          <cell r="BA4439" t="str">
            <v/>
          </cell>
        </row>
        <row r="4440">
          <cell r="B4440" t="str">
            <v>-</v>
          </cell>
          <cell r="E4440" t="str">
            <v/>
          </cell>
          <cell r="G4440" t="str">
            <v/>
          </cell>
          <cell r="J4440" t="str">
            <v/>
          </cell>
          <cell r="O4440" t="str">
            <v/>
          </cell>
          <cell r="P4440" t="str">
            <v/>
          </cell>
          <cell r="Q4440" t="str">
            <v/>
          </cell>
          <cell r="S4440" t="str">
            <v/>
          </cell>
          <cell r="V4440" t="str">
            <v/>
          </cell>
          <cell r="Z4440" t="str">
            <v/>
          </cell>
          <cell r="AA4440" t="str">
            <v/>
          </cell>
          <cell r="AB4440" t="str">
            <v/>
          </cell>
          <cell r="AC4440" t="str">
            <v/>
          </cell>
          <cell r="AD4440" t="str">
            <v/>
          </cell>
          <cell r="AY4440" t="str">
            <v/>
          </cell>
          <cell r="AZ4440" t="str">
            <v/>
          </cell>
          <cell r="BA4440" t="str">
            <v/>
          </cell>
        </row>
        <row r="4441">
          <cell r="B4441" t="str">
            <v>-</v>
          </cell>
          <cell r="E4441" t="str">
            <v/>
          </cell>
          <cell r="G4441" t="str">
            <v/>
          </cell>
          <cell r="J4441" t="str">
            <v/>
          </cell>
          <cell r="O4441" t="str">
            <v/>
          </cell>
          <cell r="P4441" t="str">
            <v/>
          </cell>
          <cell r="Q4441" t="str">
            <v/>
          </cell>
          <cell r="S4441" t="str">
            <v/>
          </cell>
          <cell r="V4441" t="str">
            <v/>
          </cell>
          <cell r="Z4441" t="str">
            <v/>
          </cell>
          <cell r="AA4441" t="str">
            <v/>
          </cell>
          <cell r="AB4441" t="str">
            <v/>
          </cell>
          <cell r="AC4441" t="str">
            <v/>
          </cell>
          <cell r="AD4441" t="str">
            <v/>
          </cell>
          <cell r="AY4441" t="str">
            <v/>
          </cell>
          <cell r="AZ4441" t="str">
            <v/>
          </cell>
          <cell r="BA4441" t="str">
            <v/>
          </cell>
        </row>
        <row r="4442">
          <cell r="B4442" t="str">
            <v>-</v>
          </cell>
          <cell r="E4442" t="str">
            <v/>
          </cell>
          <cell r="G4442" t="str">
            <v/>
          </cell>
          <cell r="J4442" t="str">
            <v/>
          </cell>
          <cell r="O4442" t="str">
            <v/>
          </cell>
          <cell r="P4442" t="str">
            <v/>
          </cell>
          <cell r="Q4442" t="str">
            <v/>
          </cell>
          <cell r="S4442" t="str">
            <v/>
          </cell>
          <cell r="V4442" t="str">
            <v/>
          </cell>
          <cell r="Z4442" t="str">
            <v/>
          </cell>
          <cell r="AA4442" t="str">
            <v/>
          </cell>
          <cell r="AB4442" t="str">
            <v/>
          </cell>
          <cell r="AC4442" t="str">
            <v/>
          </cell>
          <cell r="AD4442" t="str">
            <v/>
          </cell>
          <cell r="AY4442" t="str">
            <v/>
          </cell>
          <cell r="AZ4442" t="str">
            <v/>
          </cell>
          <cell r="BA4442" t="str">
            <v/>
          </cell>
        </row>
        <row r="4443">
          <cell r="B4443" t="str">
            <v>-</v>
          </cell>
          <cell r="E4443" t="str">
            <v/>
          </cell>
          <cell r="G4443" t="str">
            <v/>
          </cell>
          <cell r="J4443" t="str">
            <v/>
          </cell>
          <cell r="O4443" t="str">
            <v/>
          </cell>
          <cell r="P4443" t="str">
            <v/>
          </cell>
          <cell r="Q4443" t="str">
            <v/>
          </cell>
          <cell r="S4443" t="str">
            <v/>
          </cell>
          <cell r="V4443" t="str">
            <v/>
          </cell>
          <cell r="Z4443" t="str">
            <v/>
          </cell>
          <cell r="AA4443" t="str">
            <v/>
          </cell>
          <cell r="AB4443" t="str">
            <v/>
          </cell>
          <cell r="AC4443" t="str">
            <v/>
          </cell>
          <cell r="AD4443" t="str">
            <v/>
          </cell>
          <cell r="AY4443" t="str">
            <v/>
          </cell>
          <cell r="AZ4443" t="str">
            <v/>
          </cell>
          <cell r="BA4443" t="str">
            <v/>
          </cell>
        </row>
        <row r="4444">
          <cell r="B4444" t="str">
            <v>-</v>
          </cell>
          <cell r="E4444" t="str">
            <v/>
          </cell>
          <cell r="G4444" t="str">
            <v/>
          </cell>
          <cell r="J4444" t="str">
            <v/>
          </cell>
          <cell r="O4444" t="str">
            <v/>
          </cell>
          <cell r="P4444" t="str">
            <v/>
          </cell>
          <cell r="Q4444" t="str">
            <v/>
          </cell>
          <cell r="S4444" t="str">
            <v/>
          </cell>
          <cell r="V4444" t="str">
            <v/>
          </cell>
          <cell r="Z4444" t="str">
            <v/>
          </cell>
          <cell r="AA4444" t="str">
            <v/>
          </cell>
          <cell r="AB4444" t="str">
            <v/>
          </cell>
          <cell r="AC4444" t="str">
            <v/>
          </cell>
          <cell r="AD4444" t="str">
            <v/>
          </cell>
          <cell r="AY4444" t="str">
            <v/>
          </cell>
          <cell r="AZ4444" t="str">
            <v/>
          </cell>
          <cell r="BA4444" t="str">
            <v/>
          </cell>
        </row>
        <row r="4445">
          <cell r="B4445" t="str">
            <v>-</v>
          </cell>
          <cell r="E4445" t="str">
            <v/>
          </cell>
          <cell r="G4445" t="str">
            <v/>
          </cell>
          <cell r="J4445" t="str">
            <v/>
          </cell>
          <cell r="O4445" t="str">
            <v/>
          </cell>
          <cell r="P4445" t="str">
            <v/>
          </cell>
          <cell r="Q4445" t="str">
            <v/>
          </cell>
          <cell r="S4445" t="str">
            <v/>
          </cell>
          <cell r="V4445" t="str">
            <v/>
          </cell>
          <cell r="Z4445" t="str">
            <v/>
          </cell>
          <cell r="AA4445" t="str">
            <v/>
          </cell>
          <cell r="AB4445" t="str">
            <v/>
          </cell>
          <cell r="AC4445" t="str">
            <v/>
          </cell>
          <cell r="AD4445" t="str">
            <v/>
          </cell>
          <cell r="AY4445" t="str">
            <v/>
          </cell>
          <cell r="AZ4445" t="str">
            <v/>
          </cell>
          <cell r="BA4445" t="str">
            <v/>
          </cell>
        </row>
        <row r="4446">
          <cell r="B4446" t="str">
            <v>-</v>
          </cell>
          <cell r="E4446" t="str">
            <v/>
          </cell>
          <cell r="G4446" t="str">
            <v/>
          </cell>
          <cell r="J4446" t="str">
            <v/>
          </cell>
          <cell r="O4446" t="str">
            <v/>
          </cell>
          <cell r="P4446" t="str">
            <v/>
          </cell>
          <cell r="Q4446" t="str">
            <v/>
          </cell>
          <cell r="S4446" t="str">
            <v/>
          </cell>
          <cell r="V4446" t="str">
            <v/>
          </cell>
          <cell r="Z4446" t="str">
            <v/>
          </cell>
          <cell r="AA4446" t="str">
            <v/>
          </cell>
          <cell r="AB4446" t="str">
            <v/>
          </cell>
          <cell r="AC4446" t="str">
            <v/>
          </cell>
          <cell r="AD4446" t="str">
            <v/>
          </cell>
          <cell r="AY4446" t="str">
            <v/>
          </cell>
          <cell r="AZ4446" t="str">
            <v/>
          </cell>
          <cell r="BA4446" t="str">
            <v/>
          </cell>
        </row>
        <row r="4447">
          <cell r="B4447" t="str">
            <v>-</v>
          </cell>
          <cell r="E4447" t="str">
            <v/>
          </cell>
          <cell r="G4447" t="str">
            <v/>
          </cell>
          <cell r="J4447" t="str">
            <v/>
          </cell>
          <cell r="O4447" t="str">
            <v/>
          </cell>
          <cell r="P4447" t="str">
            <v/>
          </cell>
          <cell r="Q4447" t="str">
            <v/>
          </cell>
          <cell r="S4447" t="str">
            <v/>
          </cell>
          <cell r="V4447" t="str">
            <v/>
          </cell>
          <cell r="Z4447" t="str">
            <v/>
          </cell>
          <cell r="AA4447" t="str">
            <v/>
          </cell>
          <cell r="AB4447" t="str">
            <v/>
          </cell>
          <cell r="AC4447" t="str">
            <v/>
          </cell>
          <cell r="AD4447" t="str">
            <v/>
          </cell>
          <cell r="AY4447" t="str">
            <v/>
          </cell>
          <cell r="AZ4447" t="str">
            <v/>
          </cell>
          <cell r="BA4447" t="str">
            <v/>
          </cell>
        </row>
        <row r="4448">
          <cell r="B4448" t="str">
            <v>-</v>
          </cell>
          <cell r="E4448" t="str">
            <v/>
          </cell>
          <cell r="G4448" t="str">
            <v/>
          </cell>
          <cell r="J4448" t="str">
            <v/>
          </cell>
          <cell r="O4448" t="str">
            <v/>
          </cell>
          <cell r="P4448" t="str">
            <v/>
          </cell>
          <cell r="Q4448" t="str">
            <v/>
          </cell>
          <cell r="S4448" t="str">
            <v/>
          </cell>
          <cell r="V4448" t="str">
            <v/>
          </cell>
          <cell r="Z4448" t="str">
            <v/>
          </cell>
          <cell r="AA4448" t="str">
            <v/>
          </cell>
          <cell r="AB4448" t="str">
            <v/>
          </cell>
          <cell r="AC4448" t="str">
            <v/>
          </cell>
          <cell r="AD4448" t="str">
            <v/>
          </cell>
          <cell r="AY4448" t="str">
            <v/>
          </cell>
          <cell r="AZ4448" t="str">
            <v/>
          </cell>
          <cell r="BA4448" t="str">
            <v/>
          </cell>
        </row>
        <row r="4449">
          <cell r="B4449" t="str">
            <v>-</v>
          </cell>
          <cell r="E4449" t="str">
            <v/>
          </cell>
          <cell r="G4449" t="str">
            <v/>
          </cell>
          <cell r="J4449" t="str">
            <v/>
          </cell>
          <cell r="O4449" t="str">
            <v/>
          </cell>
          <cell r="P4449" t="str">
            <v/>
          </cell>
          <cell r="Q4449" t="str">
            <v/>
          </cell>
          <cell r="S4449" t="str">
            <v/>
          </cell>
          <cell r="V4449" t="str">
            <v/>
          </cell>
          <cell r="Z4449" t="str">
            <v/>
          </cell>
          <cell r="AA4449" t="str">
            <v/>
          </cell>
          <cell r="AB4449" t="str">
            <v/>
          </cell>
          <cell r="AC4449" t="str">
            <v/>
          </cell>
          <cell r="AD4449" t="str">
            <v/>
          </cell>
          <cell r="AY4449" t="str">
            <v/>
          </cell>
          <cell r="AZ4449" t="str">
            <v/>
          </cell>
          <cell r="BA4449" t="str">
            <v/>
          </cell>
        </row>
        <row r="4450">
          <cell r="B4450" t="str">
            <v>-</v>
          </cell>
          <cell r="E4450" t="str">
            <v/>
          </cell>
          <cell r="G4450" t="str">
            <v/>
          </cell>
          <cell r="J4450" t="str">
            <v/>
          </cell>
          <cell r="O4450" t="str">
            <v/>
          </cell>
          <cell r="P4450" t="str">
            <v/>
          </cell>
          <cell r="Q4450" t="str">
            <v/>
          </cell>
          <cell r="S4450" t="str">
            <v/>
          </cell>
          <cell r="V4450" t="str">
            <v/>
          </cell>
          <cell r="Z4450" t="str">
            <v/>
          </cell>
          <cell r="AA4450" t="str">
            <v/>
          </cell>
          <cell r="AB4450" t="str">
            <v/>
          </cell>
          <cell r="AC4450" t="str">
            <v/>
          </cell>
          <cell r="AD4450" t="str">
            <v/>
          </cell>
          <cell r="AY4450" t="str">
            <v/>
          </cell>
          <cell r="AZ4450" t="str">
            <v/>
          </cell>
          <cell r="BA4450" t="str">
            <v/>
          </cell>
        </row>
        <row r="4451">
          <cell r="B4451" t="str">
            <v>-</v>
          </cell>
          <cell r="E4451" t="str">
            <v/>
          </cell>
          <cell r="G4451" t="str">
            <v/>
          </cell>
          <cell r="J4451" t="str">
            <v/>
          </cell>
          <cell r="O4451" t="str">
            <v/>
          </cell>
          <cell r="P4451" t="str">
            <v/>
          </cell>
          <cell r="Q4451" t="str">
            <v/>
          </cell>
          <cell r="S4451" t="str">
            <v/>
          </cell>
          <cell r="V4451" t="str">
            <v/>
          </cell>
          <cell r="Z4451" t="str">
            <v/>
          </cell>
          <cell r="AA4451" t="str">
            <v/>
          </cell>
          <cell r="AB4451" t="str">
            <v/>
          </cell>
          <cell r="AC4451" t="str">
            <v/>
          </cell>
          <cell r="AD4451" t="str">
            <v/>
          </cell>
          <cell r="AY4451" t="str">
            <v/>
          </cell>
          <cell r="AZ4451" t="str">
            <v/>
          </cell>
          <cell r="BA4451" t="str">
            <v/>
          </cell>
        </row>
        <row r="4452">
          <cell r="B4452" t="str">
            <v>-</v>
          </cell>
          <cell r="E4452" t="str">
            <v/>
          </cell>
          <cell r="G4452" t="str">
            <v/>
          </cell>
          <cell r="J4452" t="str">
            <v/>
          </cell>
          <cell r="O4452" t="str">
            <v/>
          </cell>
          <cell r="P4452" t="str">
            <v/>
          </cell>
          <cell r="Q4452" t="str">
            <v/>
          </cell>
          <cell r="S4452" t="str">
            <v/>
          </cell>
          <cell r="V4452" t="str">
            <v/>
          </cell>
          <cell r="Z4452" t="str">
            <v/>
          </cell>
          <cell r="AA4452" t="str">
            <v/>
          </cell>
          <cell r="AB4452" t="str">
            <v/>
          </cell>
          <cell r="AC4452" t="str">
            <v/>
          </cell>
          <cell r="AD4452" t="str">
            <v/>
          </cell>
          <cell r="AY4452" t="str">
            <v/>
          </cell>
          <cell r="AZ4452" t="str">
            <v/>
          </cell>
          <cell r="BA4452" t="str">
            <v/>
          </cell>
        </row>
        <row r="4453">
          <cell r="B4453" t="str">
            <v>-</v>
          </cell>
          <cell r="E4453" t="str">
            <v/>
          </cell>
          <cell r="G4453" t="str">
            <v/>
          </cell>
          <cell r="J4453" t="str">
            <v/>
          </cell>
          <cell r="O4453" t="str">
            <v/>
          </cell>
          <cell r="P4453" t="str">
            <v/>
          </cell>
          <cell r="Q4453" t="str">
            <v/>
          </cell>
          <cell r="S4453" t="str">
            <v/>
          </cell>
          <cell r="V4453" t="str">
            <v/>
          </cell>
          <cell r="Z4453" t="str">
            <v/>
          </cell>
          <cell r="AA4453" t="str">
            <v/>
          </cell>
          <cell r="AB4453" t="str">
            <v/>
          </cell>
          <cell r="AC4453" t="str">
            <v/>
          </cell>
          <cell r="AD4453" t="str">
            <v/>
          </cell>
          <cell r="AY4453" t="str">
            <v/>
          </cell>
          <cell r="AZ4453" t="str">
            <v/>
          </cell>
          <cell r="BA4453" t="str">
            <v/>
          </cell>
        </row>
        <row r="4454">
          <cell r="B4454" t="str">
            <v>-</v>
          </cell>
          <cell r="E4454" t="str">
            <v/>
          </cell>
          <cell r="G4454" t="str">
            <v/>
          </cell>
          <cell r="J4454" t="str">
            <v/>
          </cell>
          <cell r="O4454" t="str">
            <v/>
          </cell>
          <cell r="P4454" t="str">
            <v/>
          </cell>
          <cell r="Q4454" t="str">
            <v/>
          </cell>
          <cell r="S4454" t="str">
            <v/>
          </cell>
          <cell r="V4454" t="str">
            <v/>
          </cell>
          <cell r="Z4454" t="str">
            <v/>
          </cell>
          <cell r="AA4454" t="str">
            <v/>
          </cell>
          <cell r="AB4454" t="str">
            <v/>
          </cell>
          <cell r="AC4454" t="str">
            <v/>
          </cell>
          <cell r="AD4454" t="str">
            <v/>
          </cell>
          <cell r="AY4454" t="str">
            <v/>
          </cell>
          <cell r="AZ4454" t="str">
            <v/>
          </cell>
          <cell r="BA4454" t="str">
            <v/>
          </cell>
        </row>
        <row r="4455">
          <cell r="B4455" t="str">
            <v>-</v>
          </cell>
          <cell r="E4455" t="str">
            <v/>
          </cell>
          <cell r="G4455" t="str">
            <v/>
          </cell>
          <cell r="J4455" t="str">
            <v/>
          </cell>
          <cell r="O4455" t="str">
            <v/>
          </cell>
          <cell r="P4455" t="str">
            <v/>
          </cell>
          <cell r="Q4455" t="str">
            <v/>
          </cell>
          <cell r="S4455" t="str">
            <v/>
          </cell>
          <cell r="V4455" t="str">
            <v/>
          </cell>
          <cell r="Z4455" t="str">
            <v/>
          </cell>
          <cell r="AA4455" t="str">
            <v/>
          </cell>
          <cell r="AB4455" t="str">
            <v/>
          </cell>
          <cell r="AC4455" t="str">
            <v/>
          </cell>
          <cell r="AD4455" t="str">
            <v/>
          </cell>
          <cell r="AY4455" t="str">
            <v/>
          </cell>
          <cell r="AZ4455" t="str">
            <v/>
          </cell>
          <cell r="BA4455" t="str">
            <v/>
          </cell>
        </row>
        <row r="4456">
          <cell r="B4456" t="str">
            <v>-</v>
          </cell>
          <cell r="E4456" t="str">
            <v/>
          </cell>
          <cell r="G4456" t="str">
            <v/>
          </cell>
          <cell r="J4456" t="str">
            <v/>
          </cell>
          <cell r="O4456" t="str">
            <v/>
          </cell>
          <cell r="P4456" t="str">
            <v/>
          </cell>
          <cell r="Q4456" t="str">
            <v/>
          </cell>
          <cell r="S4456" t="str">
            <v/>
          </cell>
          <cell r="V4456" t="str">
            <v/>
          </cell>
          <cell r="Z4456" t="str">
            <v/>
          </cell>
          <cell r="AA4456" t="str">
            <v/>
          </cell>
          <cell r="AB4456" t="str">
            <v/>
          </cell>
          <cell r="AC4456" t="str">
            <v/>
          </cell>
          <cell r="AD4456" t="str">
            <v/>
          </cell>
          <cell r="AY4456" t="str">
            <v/>
          </cell>
          <cell r="AZ4456" t="str">
            <v/>
          </cell>
          <cell r="BA4456" t="str">
            <v/>
          </cell>
        </row>
        <row r="4457">
          <cell r="B4457" t="str">
            <v>-</v>
          </cell>
          <cell r="E4457" t="str">
            <v/>
          </cell>
          <cell r="G4457" t="str">
            <v/>
          </cell>
          <cell r="J4457" t="str">
            <v/>
          </cell>
          <cell r="O4457" t="str">
            <v/>
          </cell>
          <cell r="P4457" t="str">
            <v/>
          </cell>
          <cell r="Q4457" t="str">
            <v/>
          </cell>
          <cell r="S4457" t="str">
            <v/>
          </cell>
          <cell r="V4457" t="str">
            <v/>
          </cell>
          <cell r="Z4457" t="str">
            <v/>
          </cell>
          <cell r="AA4457" t="str">
            <v/>
          </cell>
          <cell r="AB4457" t="str">
            <v/>
          </cell>
          <cell r="AC4457" t="str">
            <v/>
          </cell>
          <cell r="AD4457" t="str">
            <v/>
          </cell>
          <cell r="AY4457" t="str">
            <v/>
          </cell>
          <cell r="AZ4457" t="str">
            <v/>
          </cell>
          <cell r="BA4457" t="str">
            <v/>
          </cell>
        </row>
        <row r="4458">
          <cell r="B4458" t="str">
            <v>-</v>
          </cell>
          <cell r="E4458" t="str">
            <v/>
          </cell>
          <cell r="G4458" t="str">
            <v/>
          </cell>
          <cell r="J4458" t="str">
            <v/>
          </cell>
          <cell r="O4458" t="str">
            <v/>
          </cell>
          <cell r="P4458" t="str">
            <v/>
          </cell>
          <cell r="Q4458" t="str">
            <v/>
          </cell>
          <cell r="S4458" t="str">
            <v/>
          </cell>
          <cell r="V4458" t="str">
            <v/>
          </cell>
          <cell r="Z4458" t="str">
            <v/>
          </cell>
          <cell r="AA4458" t="str">
            <v/>
          </cell>
          <cell r="AB4458" t="str">
            <v/>
          </cell>
          <cell r="AC4458" t="str">
            <v/>
          </cell>
          <cell r="AD4458" t="str">
            <v/>
          </cell>
          <cell r="AY4458" t="str">
            <v/>
          </cell>
          <cell r="AZ4458" t="str">
            <v/>
          </cell>
          <cell r="BA4458" t="str">
            <v/>
          </cell>
        </row>
        <row r="4459">
          <cell r="B4459" t="str">
            <v>-</v>
          </cell>
          <cell r="E4459" t="str">
            <v/>
          </cell>
          <cell r="G4459" t="str">
            <v/>
          </cell>
          <cell r="J4459" t="str">
            <v/>
          </cell>
          <cell r="O4459" t="str">
            <v/>
          </cell>
          <cell r="P4459" t="str">
            <v/>
          </cell>
          <cell r="Q4459" t="str">
            <v/>
          </cell>
          <cell r="S4459" t="str">
            <v/>
          </cell>
          <cell r="V4459" t="str">
            <v/>
          </cell>
          <cell r="Z4459" t="str">
            <v/>
          </cell>
          <cell r="AA4459" t="str">
            <v/>
          </cell>
          <cell r="AB4459" t="str">
            <v/>
          </cell>
          <cell r="AC4459" t="str">
            <v/>
          </cell>
          <cell r="AD4459" t="str">
            <v/>
          </cell>
          <cell r="AY4459" t="str">
            <v/>
          </cell>
          <cell r="AZ4459" t="str">
            <v/>
          </cell>
          <cell r="BA4459" t="str">
            <v/>
          </cell>
        </row>
        <row r="4460">
          <cell r="B4460" t="str">
            <v>-</v>
          </cell>
          <cell r="E4460" t="str">
            <v/>
          </cell>
          <cell r="G4460" t="str">
            <v/>
          </cell>
          <cell r="J4460" t="str">
            <v/>
          </cell>
          <cell r="O4460" t="str">
            <v/>
          </cell>
          <cell r="P4460" t="str">
            <v/>
          </cell>
          <cell r="Q4460" t="str">
            <v/>
          </cell>
          <cell r="S4460" t="str">
            <v/>
          </cell>
          <cell r="V4460" t="str">
            <v/>
          </cell>
          <cell r="Z4460" t="str">
            <v/>
          </cell>
          <cell r="AA4460" t="str">
            <v/>
          </cell>
          <cell r="AB4460" t="str">
            <v/>
          </cell>
          <cell r="AC4460" t="str">
            <v/>
          </cell>
          <cell r="AD4460" t="str">
            <v/>
          </cell>
          <cell r="AY4460" t="str">
            <v/>
          </cell>
          <cell r="AZ4460" t="str">
            <v/>
          </cell>
          <cell r="BA4460" t="str">
            <v/>
          </cell>
        </row>
        <row r="4461">
          <cell r="B4461" t="str">
            <v>-</v>
          </cell>
          <cell r="E4461" t="str">
            <v/>
          </cell>
          <cell r="G4461" t="str">
            <v/>
          </cell>
          <cell r="J4461" t="str">
            <v/>
          </cell>
          <cell r="O4461" t="str">
            <v/>
          </cell>
          <cell r="P4461" t="str">
            <v/>
          </cell>
          <cell r="Q4461" t="str">
            <v/>
          </cell>
          <cell r="S4461" t="str">
            <v/>
          </cell>
          <cell r="V4461" t="str">
            <v/>
          </cell>
          <cell r="Z4461" t="str">
            <v/>
          </cell>
          <cell r="AA4461" t="str">
            <v/>
          </cell>
          <cell r="AB4461" t="str">
            <v/>
          </cell>
          <cell r="AC4461" t="str">
            <v/>
          </cell>
          <cell r="AD4461" t="str">
            <v/>
          </cell>
          <cell r="AY4461" t="str">
            <v/>
          </cell>
          <cell r="AZ4461" t="str">
            <v/>
          </cell>
          <cell r="BA4461" t="str">
            <v/>
          </cell>
        </row>
        <row r="4462">
          <cell r="B4462" t="str">
            <v>-</v>
          </cell>
          <cell r="E4462" t="str">
            <v/>
          </cell>
          <cell r="G4462" t="str">
            <v/>
          </cell>
          <cell r="J4462" t="str">
            <v/>
          </cell>
          <cell r="O4462" t="str">
            <v/>
          </cell>
          <cell r="P4462" t="str">
            <v/>
          </cell>
          <cell r="Q4462" t="str">
            <v/>
          </cell>
          <cell r="S4462" t="str">
            <v/>
          </cell>
          <cell r="V4462" t="str">
            <v/>
          </cell>
          <cell r="Z4462" t="str">
            <v/>
          </cell>
          <cell r="AA4462" t="str">
            <v/>
          </cell>
          <cell r="AB4462" t="str">
            <v/>
          </cell>
          <cell r="AC4462" t="str">
            <v/>
          </cell>
          <cell r="AD4462" t="str">
            <v/>
          </cell>
          <cell r="AY4462" t="str">
            <v/>
          </cell>
          <cell r="AZ4462" t="str">
            <v/>
          </cell>
          <cell r="BA4462" t="str">
            <v/>
          </cell>
        </row>
        <row r="4463">
          <cell r="B4463" t="str">
            <v>-</v>
          </cell>
          <cell r="E4463" t="str">
            <v/>
          </cell>
          <cell r="G4463" t="str">
            <v/>
          </cell>
          <cell r="J4463" t="str">
            <v/>
          </cell>
          <cell r="O4463" t="str">
            <v/>
          </cell>
          <cell r="P4463" t="str">
            <v/>
          </cell>
          <cell r="Q4463" t="str">
            <v/>
          </cell>
          <cell r="S4463" t="str">
            <v/>
          </cell>
          <cell r="V4463" t="str">
            <v/>
          </cell>
          <cell r="Z4463" t="str">
            <v/>
          </cell>
          <cell r="AA4463" t="str">
            <v/>
          </cell>
          <cell r="AB4463" t="str">
            <v/>
          </cell>
          <cell r="AC4463" t="str">
            <v/>
          </cell>
          <cell r="AD4463" t="str">
            <v/>
          </cell>
          <cell r="AY4463" t="str">
            <v/>
          </cell>
          <cell r="AZ4463" t="str">
            <v/>
          </cell>
          <cell r="BA4463" t="str">
            <v/>
          </cell>
        </row>
        <row r="4464">
          <cell r="B4464" t="str">
            <v>-</v>
          </cell>
          <cell r="E4464" t="str">
            <v/>
          </cell>
          <cell r="G4464" t="str">
            <v/>
          </cell>
          <cell r="J4464" t="str">
            <v/>
          </cell>
          <cell r="O4464" t="str">
            <v/>
          </cell>
          <cell r="P4464" t="str">
            <v/>
          </cell>
          <cell r="Q4464" t="str">
            <v/>
          </cell>
          <cell r="S4464" t="str">
            <v/>
          </cell>
          <cell r="V4464" t="str">
            <v/>
          </cell>
          <cell r="Z4464" t="str">
            <v/>
          </cell>
          <cell r="AA4464" t="str">
            <v/>
          </cell>
          <cell r="AB4464" t="str">
            <v/>
          </cell>
          <cell r="AC4464" t="str">
            <v/>
          </cell>
          <cell r="AD4464" t="str">
            <v/>
          </cell>
          <cell r="AY4464" t="str">
            <v/>
          </cell>
          <cell r="AZ4464" t="str">
            <v/>
          </cell>
          <cell r="BA4464" t="str">
            <v/>
          </cell>
        </row>
        <row r="4465">
          <cell r="B4465" t="str">
            <v>-</v>
          </cell>
          <cell r="E4465" t="str">
            <v/>
          </cell>
          <cell r="G4465" t="str">
            <v/>
          </cell>
          <cell r="J4465" t="str">
            <v/>
          </cell>
          <cell r="O4465" t="str">
            <v/>
          </cell>
          <cell r="P4465" t="str">
            <v/>
          </cell>
          <cell r="Q4465" t="str">
            <v/>
          </cell>
          <cell r="S4465" t="str">
            <v/>
          </cell>
          <cell r="V4465" t="str">
            <v/>
          </cell>
          <cell r="Z4465" t="str">
            <v/>
          </cell>
          <cell r="AA4465" t="str">
            <v/>
          </cell>
          <cell r="AB4465" t="str">
            <v/>
          </cell>
          <cell r="AC4465" t="str">
            <v/>
          </cell>
          <cell r="AD4465" t="str">
            <v/>
          </cell>
          <cell r="AY4465" t="str">
            <v/>
          </cell>
          <cell r="AZ4465" t="str">
            <v/>
          </cell>
          <cell r="BA4465" t="str">
            <v/>
          </cell>
        </row>
        <row r="4466">
          <cell r="B4466" t="str">
            <v>-</v>
          </cell>
          <cell r="E4466" t="str">
            <v/>
          </cell>
          <cell r="G4466" t="str">
            <v/>
          </cell>
          <cell r="J4466" t="str">
            <v/>
          </cell>
          <cell r="O4466" t="str">
            <v/>
          </cell>
          <cell r="P4466" t="str">
            <v/>
          </cell>
          <cell r="Q4466" t="str">
            <v/>
          </cell>
          <cell r="S4466" t="str">
            <v/>
          </cell>
          <cell r="V4466" t="str">
            <v/>
          </cell>
          <cell r="Z4466" t="str">
            <v/>
          </cell>
          <cell r="AA4466" t="str">
            <v/>
          </cell>
          <cell r="AB4466" t="str">
            <v/>
          </cell>
          <cell r="AC4466" t="str">
            <v/>
          </cell>
          <cell r="AD4466" t="str">
            <v/>
          </cell>
          <cell r="AY4466" t="str">
            <v/>
          </cell>
          <cell r="AZ4466" t="str">
            <v/>
          </cell>
          <cell r="BA4466" t="str">
            <v/>
          </cell>
        </row>
        <row r="4467">
          <cell r="B4467" t="str">
            <v>-</v>
          </cell>
          <cell r="E4467" t="str">
            <v/>
          </cell>
          <cell r="G4467" t="str">
            <v/>
          </cell>
          <cell r="J4467" t="str">
            <v/>
          </cell>
          <cell r="O4467" t="str">
            <v/>
          </cell>
          <cell r="P4467" t="str">
            <v/>
          </cell>
          <cell r="Q4467" t="str">
            <v/>
          </cell>
          <cell r="S4467" t="str">
            <v/>
          </cell>
          <cell r="V4467" t="str">
            <v/>
          </cell>
          <cell r="Z4467" t="str">
            <v/>
          </cell>
          <cell r="AA4467" t="str">
            <v/>
          </cell>
          <cell r="AB4467" t="str">
            <v/>
          </cell>
          <cell r="AC4467" t="str">
            <v/>
          </cell>
          <cell r="AD4467" t="str">
            <v/>
          </cell>
          <cell r="AY4467" t="str">
            <v/>
          </cell>
          <cell r="AZ4467" t="str">
            <v/>
          </cell>
          <cell r="BA4467" t="str">
            <v/>
          </cell>
        </row>
        <row r="4468">
          <cell r="B4468" t="str">
            <v>-</v>
          </cell>
          <cell r="E4468" t="str">
            <v/>
          </cell>
          <cell r="G4468" t="str">
            <v/>
          </cell>
          <cell r="J4468" t="str">
            <v/>
          </cell>
          <cell r="O4468" t="str">
            <v/>
          </cell>
          <cell r="P4468" t="str">
            <v/>
          </cell>
          <cell r="Q4468" t="str">
            <v/>
          </cell>
          <cell r="S4468" t="str">
            <v/>
          </cell>
          <cell r="V4468" t="str">
            <v/>
          </cell>
          <cell r="Z4468" t="str">
            <v/>
          </cell>
          <cell r="AA4468" t="str">
            <v/>
          </cell>
          <cell r="AB4468" t="str">
            <v/>
          </cell>
          <cell r="AC4468" t="str">
            <v/>
          </cell>
          <cell r="AD4468" t="str">
            <v/>
          </cell>
          <cell r="AY4468" t="str">
            <v/>
          </cell>
          <cell r="AZ4468" t="str">
            <v/>
          </cell>
          <cell r="BA4468" t="str">
            <v/>
          </cell>
        </row>
        <row r="4469">
          <cell r="B4469" t="str">
            <v>-</v>
          </cell>
          <cell r="E4469" t="str">
            <v/>
          </cell>
          <cell r="G4469" t="str">
            <v/>
          </cell>
          <cell r="J4469" t="str">
            <v/>
          </cell>
          <cell r="O4469" t="str">
            <v/>
          </cell>
          <cell r="P4469" t="str">
            <v/>
          </cell>
          <cell r="Q4469" t="str">
            <v/>
          </cell>
          <cell r="S4469" t="str">
            <v/>
          </cell>
          <cell r="V4469" t="str">
            <v/>
          </cell>
          <cell r="Z4469" t="str">
            <v/>
          </cell>
          <cell r="AA4469" t="str">
            <v/>
          </cell>
          <cell r="AB4469" t="str">
            <v/>
          </cell>
          <cell r="AC4469" t="str">
            <v/>
          </cell>
          <cell r="AD4469" t="str">
            <v/>
          </cell>
          <cell r="AY4469" t="str">
            <v/>
          </cell>
          <cell r="AZ4469" t="str">
            <v/>
          </cell>
          <cell r="BA4469" t="str">
            <v/>
          </cell>
        </row>
        <row r="4470">
          <cell r="B4470" t="str">
            <v>-</v>
          </cell>
          <cell r="E4470" t="str">
            <v/>
          </cell>
          <cell r="G4470" t="str">
            <v/>
          </cell>
          <cell r="J4470" t="str">
            <v/>
          </cell>
          <cell r="O4470" t="str">
            <v/>
          </cell>
          <cell r="P4470" t="str">
            <v/>
          </cell>
          <cell r="Q4470" t="str">
            <v/>
          </cell>
          <cell r="S4470" t="str">
            <v/>
          </cell>
          <cell r="V4470" t="str">
            <v/>
          </cell>
          <cell r="Z4470" t="str">
            <v/>
          </cell>
          <cell r="AA4470" t="str">
            <v/>
          </cell>
          <cell r="AB4470" t="str">
            <v/>
          </cell>
          <cell r="AC4470" t="str">
            <v/>
          </cell>
          <cell r="AD4470" t="str">
            <v/>
          </cell>
          <cell r="AY4470" t="str">
            <v/>
          </cell>
          <cell r="AZ4470" t="str">
            <v/>
          </cell>
          <cell r="BA4470" t="str">
            <v/>
          </cell>
        </row>
        <row r="4471">
          <cell r="B4471" t="str">
            <v>-</v>
          </cell>
          <cell r="E4471" t="str">
            <v/>
          </cell>
          <cell r="G4471" t="str">
            <v/>
          </cell>
          <cell r="J4471" t="str">
            <v/>
          </cell>
          <cell r="O4471" t="str">
            <v/>
          </cell>
          <cell r="P4471" t="str">
            <v/>
          </cell>
          <cell r="Q4471" t="str">
            <v/>
          </cell>
          <cell r="S4471" t="str">
            <v/>
          </cell>
          <cell r="V4471" t="str">
            <v/>
          </cell>
          <cell r="Z4471" t="str">
            <v/>
          </cell>
          <cell r="AA4471" t="str">
            <v/>
          </cell>
          <cell r="AB4471" t="str">
            <v/>
          </cell>
          <cell r="AC4471" t="str">
            <v/>
          </cell>
          <cell r="AD4471" t="str">
            <v/>
          </cell>
          <cell r="AY4471" t="str">
            <v/>
          </cell>
          <cell r="AZ4471" t="str">
            <v/>
          </cell>
          <cell r="BA4471" t="str">
            <v/>
          </cell>
        </row>
        <row r="4472">
          <cell r="B4472" t="str">
            <v>-</v>
          </cell>
          <cell r="E4472" t="str">
            <v/>
          </cell>
          <cell r="G4472" t="str">
            <v/>
          </cell>
          <cell r="J4472" t="str">
            <v/>
          </cell>
          <cell r="O4472" t="str">
            <v/>
          </cell>
          <cell r="P4472" t="str">
            <v/>
          </cell>
          <cell r="Q4472" t="str">
            <v/>
          </cell>
          <cell r="S4472" t="str">
            <v/>
          </cell>
          <cell r="V4472" t="str">
            <v/>
          </cell>
          <cell r="Z4472" t="str">
            <v/>
          </cell>
          <cell r="AA4472" t="str">
            <v/>
          </cell>
          <cell r="AB4472" t="str">
            <v/>
          </cell>
          <cell r="AC4472" t="str">
            <v/>
          </cell>
          <cell r="AD4472" t="str">
            <v/>
          </cell>
          <cell r="AY4472" t="str">
            <v/>
          </cell>
          <cell r="AZ4472" t="str">
            <v/>
          </cell>
          <cell r="BA4472" t="str">
            <v/>
          </cell>
        </row>
        <row r="4473">
          <cell r="B4473" t="str">
            <v>-</v>
          </cell>
          <cell r="E4473" t="str">
            <v/>
          </cell>
          <cell r="G4473" t="str">
            <v/>
          </cell>
          <cell r="J4473" t="str">
            <v/>
          </cell>
          <cell r="O4473" t="str">
            <v/>
          </cell>
          <cell r="P4473" t="str">
            <v/>
          </cell>
          <cell r="Q4473" t="str">
            <v/>
          </cell>
          <cell r="S4473" t="str">
            <v/>
          </cell>
          <cell r="V4473" t="str">
            <v/>
          </cell>
          <cell r="Z4473" t="str">
            <v/>
          </cell>
          <cell r="AA4473" t="str">
            <v/>
          </cell>
          <cell r="AB4473" t="str">
            <v/>
          </cell>
          <cell r="AC4473" t="str">
            <v/>
          </cell>
          <cell r="AD4473" t="str">
            <v/>
          </cell>
          <cell r="AY4473" t="str">
            <v/>
          </cell>
          <cell r="AZ4473" t="str">
            <v/>
          </cell>
          <cell r="BA4473" t="str">
            <v/>
          </cell>
        </row>
        <row r="4474">
          <cell r="B4474" t="str">
            <v>-</v>
          </cell>
          <cell r="E4474" t="str">
            <v/>
          </cell>
          <cell r="G4474" t="str">
            <v/>
          </cell>
          <cell r="J4474" t="str">
            <v/>
          </cell>
          <cell r="O4474" t="str">
            <v/>
          </cell>
          <cell r="P4474" t="str">
            <v/>
          </cell>
          <cell r="Q4474" t="str">
            <v/>
          </cell>
          <cell r="S4474" t="str">
            <v/>
          </cell>
          <cell r="V4474" t="str">
            <v/>
          </cell>
          <cell r="Z4474" t="str">
            <v/>
          </cell>
          <cell r="AA4474" t="str">
            <v/>
          </cell>
          <cell r="AB4474" t="str">
            <v/>
          </cell>
          <cell r="AC4474" t="str">
            <v/>
          </cell>
          <cell r="AD4474" t="str">
            <v/>
          </cell>
          <cell r="AY4474" t="str">
            <v/>
          </cell>
          <cell r="AZ4474" t="str">
            <v/>
          </cell>
          <cell r="BA4474" t="str">
            <v/>
          </cell>
        </row>
        <row r="4475">
          <cell r="B4475" t="str">
            <v>-</v>
          </cell>
          <cell r="E4475" t="str">
            <v/>
          </cell>
          <cell r="G4475" t="str">
            <v/>
          </cell>
          <cell r="J4475" t="str">
            <v/>
          </cell>
          <cell r="O4475" t="str">
            <v/>
          </cell>
          <cell r="P4475" t="str">
            <v/>
          </cell>
          <cell r="Q4475" t="str">
            <v/>
          </cell>
          <cell r="S4475" t="str">
            <v/>
          </cell>
          <cell r="V4475" t="str">
            <v/>
          </cell>
          <cell r="Z4475" t="str">
            <v/>
          </cell>
          <cell r="AA4475" t="str">
            <v/>
          </cell>
          <cell r="AB4475" t="str">
            <v/>
          </cell>
          <cell r="AC4475" t="str">
            <v/>
          </cell>
          <cell r="AD4475" t="str">
            <v/>
          </cell>
          <cell r="AY4475" t="str">
            <v/>
          </cell>
          <cell r="AZ4475" t="str">
            <v/>
          </cell>
          <cell r="BA4475" t="str">
            <v/>
          </cell>
        </row>
        <row r="4476">
          <cell r="B4476" t="str">
            <v>-</v>
          </cell>
          <cell r="E4476" t="str">
            <v/>
          </cell>
          <cell r="G4476" t="str">
            <v/>
          </cell>
          <cell r="J4476" t="str">
            <v/>
          </cell>
          <cell r="O4476" t="str">
            <v/>
          </cell>
          <cell r="P4476" t="str">
            <v/>
          </cell>
          <cell r="Q4476" t="str">
            <v/>
          </cell>
          <cell r="S4476" t="str">
            <v/>
          </cell>
          <cell r="V4476" t="str">
            <v/>
          </cell>
          <cell r="Z4476" t="str">
            <v/>
          </cell>
          <cell r="AA4476" t="str">
            <v/>
          </cell>
          <cell r="AB4476" t="str">
            <v/>
          </cell>
          <cell r="AC4476" t="str">
            <v/>
          </cell>
          <cell r="AD4476" t="str">
            <v/>
          </cell>
          <cell r="AY4476" t="str">
            <v/>
          </cell>
          <cell r="AZ4476" t="str">
            <v/>
          </cell>
          <cell r="BA4476" t="str">
            <v/>
          </cell>
        </row>
        <row r="4477">
          <cell r="B4477" t="str">
            <v>-</v>
          </cell>
          <cell r="E4477" t="str">
            <v/>
          </cell>
          <cell r="G4477" t="str">
            <v/>
          </cell>
          <cell r="J4477" t="str">
            <v/>
          </cell>
          <cell r="O4477" t="str">
            <v/>
          </cell>
          <cell r="P4477" t="str">
            <v/>
          </cell>
          <cell r="Q4477" t="str">
            <v/>
          </cell>
          <cell r="S4477" t="str">
            <v/>
          </cell>
          <cell r="V4477" t="str">
            <v/>
          </cell>
          <cell r="Z4477" t="str">
            <v/>
          </cell>
          <cell r="AA4477" t="str">
            <v/>
          </cell>
          <cell r="AB4477" t="str">
            <v/>
          </cell>
          <cell r="AC4477" t="str">
            <v/>
          </cell>
          <cell r="AD4477" t="str">
            <v/>
          </cell>
          <cell r="AY4477" t="str">
            <v/>
          </cell>
          <cell r="AZ4477" t="str">
            <v/>
          </cell>
          <cell r="BA4477" t="str">
            <v/>
          </cell>
        </row>
        <row r="4478">
          <cell r="B4478" t="str">
            <v>-</v>
          </cell>
          <cell r="E4478" t="str">
            <v/>
          </cell>
          <cell r="G4478" t="str">
            <v/>
          </cell>
          <cell r="J4478" t="str">
            <v/>
          </cell>
          <cell r="O4478" t="str">
            <v/>
          </cell>
          <cell r="P4478" t="str">
            <v/>
          </cell>
          <cell r="Q4478" t="str">
            <v/>
          </cell>
          <cell r="S4478" t="str">
            <v/>
          </cell>
          <cell r="V4478" t="str">
            <v/>
          </cell>
          <cell r="Z4478" t="str">
            <v/>
          </cell>
          <cell r="AA4478" t="str">
            <v/>
          </cell>
          <cell r="AB4478" t="str">
            <v/>
          </cell>
          <cell r="AC4478" t="str">
            <v/>
          </cell>
          <cell r="AD4478" t="str">
            <v/>
          </cell>
          <cell r="AY4478" t="str">
            <v/>
          </cell>
          <cell r="AZ4478" t="str">
            <v/>
          </cell>
          <cell r="BA4478" t="str">
            <v/>
          </cell>
        </row>
        <row r="4479">
          <cell r="B4479" t="str">
            <v>-</v>
          </cell>
          <cell r="E4479" t="str">
            <v/>
          </cell>
          <cell r="G4479" t="str">
            <v/>
          </cell>
          <cell r="J4479" t="str">
            <v/>
          </cell>
          <cell r="O4479" t="str">
            <v/>
          </cell>
          <cell r="P4479" t="str">
            <v/>
          </cell>
          <cell r="Q4479" t="str">
            <v/>
          </cell>
          <cell r="S4479" t="str">
            <v/>
          </cell>
          <cell r="V4479" t="str">
            <v/>
          </cell>
          <cell r="Z4479" t="str">
            <v/>
          </cell>
          <cell r="AA4479" t="str">
            <v/>
          </cell>
          <cell r="AB4479" t="str">
            <v/>
          </cell>
          <cell r="AC4479" t="str">
            <v/>
          </cell>
          <cell r="AD4479" t="str">
            <v/>
          </cell>
          <cell r="AY4479" t="str">
            <v/>
          </cell>
          <cell r="AZ4479" t="str">
            <v/>
          </cell>
          <cell r="BA4479" t="str">
            <v/>
          </cell>
        </row>
        <row r="4480">
          <cell r="B4480" t="str">
            <v>-</v>
          </cell>
          <cell r="E4480" t="str">
            <v/>
          </cell>
          <cell r="G4480" t="str">
            <v/>
          </cell>
          <cell r="J4480" t="str">
            <v/>
          </cell>
          <cell r="O4480" t="str">
            <v/>
          </cell>
          <cell r="P4480" t="str">
            <v/>
          </cell>
          <cell r="Q4480" t="str">
            <v/>
          </cell>
          <cell r="S4480" t="str">
            <v/>
          </cell>
          <cell r="V4480" t="str">
            <v/>
          </cell>
          <cell r="Z4480" t="str">
            <v/>
          </cell>
          <cell r="AA4480" t="str">
            <v/>
          </cell>
          <cell r="AB4480" t="str">
            <v/>
          </cell>
          <cell r="AC4480" t="str">
            <v/>
          </cell>
          <cell r="AD4480" t="str">
            <v/>
          </cell>
          <cell r="AY4480" t="str">
            <v/>
          </cell>
          <cell r="AZ4480" t="str">
            <v/>
          </cell>
          <cell r="BA4480" t="str">
            <v/>
          </cell>
        </row>
        <row r="4481">
          <cell r="B4481" t="str">
            <v>-</v>
          </cell>
          <cell r="E4481" t="str">
            <v/>
          </cell>
          <cell r="G4481" t="str">
            <v/>
          </cell>
          <cell r="J4481" t="str">
            <v/>
          </cell>
          <cell r="O4481" t="str">
            <v/>
          </cell>
          <cell r="P4481" t="str">
            <v/>
          </cell>
          <cell r="Q4481" t="str">
            <v/>
          </cell>
          <cell r="S4481" t="str">
            <v/>
          </cell>
          <cell r="V4481" t="str">
            <v/>
          </cell>
          <cell r="Z4481" t="str">
            <v/>
          </cell>
          <cell r="AA4481" t="str">
            <v/>
          </cell>
          <cell r="AB4481" t="str">
            <v/>
          </cell>
          <cell r="AC4481" t="str">
            <v/>
          </cell>
          <cell r="AD4481" t="str">
            <v/>
          </cell>
          <cell r="AY4481" t="str">
            <v/>
          </cell>
          <cell r="AZ4481" t="str">
            <v/>
          </cell>
          <cell r="BA4481" t="str">
            <v/>
          </cell>
        </row>
        <row r="4482">
          <cell r="B4482" t="str">
            <v>-</v>
          </cell>
          <cell r="E4482" t="str">
            <v/>
          </cell>
          <cell r="G4482" t="str">
            <v/>
          </cell>
          <cell r="J4482" t="str">
            <v/>
          </cell>
          <cell r="O4482" t="str">
            <v/>
          </cell>
          <cell r="P4482" t="str">
            <v/>
          </cell>
          <cell r="Q4482" t="str">
            <v/>
          </cell>
          <cell r="S4482" t="str">
            <v/>
          </cell>
          <cell r="V4482" t="str">
            <v/>
          </cell>
          <cell r="Z4482" t="str">
            <v/>
          </cell>
          <cell r="AA4482" t="str">
            <v/>
          </cell>
          <cell r="AB4482" t="str">
            <v/>
          </cell>
          <cell r="AC4482" t="str">
            <v/>
          </cell>
          <cell r="AD4482" t="str">
            <v/>
          </cell>
          <cell r="AY4482" t="str">
            <v/>
          </cell>
          <cell r="AZ4482" t="str">
            <v/>
          </cell>
          <cell r="BA4482" t="str">
            <v/>
          </cell>
        </row>
        <row r="4483">
          <cell r="B4483" t="str">
            <v>-</v>
          </cell>
          <cell r="E4483" t="str">
            <v/>
          </cell>
          <cell r="G4483" t="str">
            <v/>
          </cell>
          <cell r="J4483" t="str">
            <v/>
          </cell>
          <cell r="O4483" t="str">
            <v/>
          </cell>
          <cell r="P4483" t="str">
            <v/>
          </cell>
          <cell r="Q4483" t="str">
            <v/>
          </cell>
          <cell r="S4483" t="str">
            <v/>
          </cell>
          <cell r="V4483" t="str">
            <v/>
          </cell>
          <cell r="Z4483" t="str">
            <v/>
          </cell>
          <cell r="AA4483" t="str">
            <v/>
          </cell>
          <cell r="AB4483" t="str">
            <v/>
          </cell>
          <cell r="AC4483" t="str">
            <v/>
          </cell>
          <cell r="AD4483" t="str">
            <v/>
          </cell>
          <cell r="AY4483" t="str">
            <v/>
          </cell>
          <cell r="AZ4483" t="str">
            <v/>
          </cell>
          <cell r="BA4483" t="str">
            <v/>
          </cell>
        </row>
        <row r="4484">
          <cell r="B4484" t="str">
            <v>-</v>
          </cell>
          <cell r="E4484" t="str">
            <v/>
          </cell>
          <cell r="G4484" t="str">
            <v/>
          </cell>
          <cell r="J4484" t="str">
            <v/>
          </cell>
          <cell r="O4484" t="str">
            <v/>
          </cell>
          <cell r="P4484" t="str">
            <v/>
          </cell>
          <cell r="Q4484" t="str">
            <v/>
          </cell>
          <cell r="S4484" t="str">
            <v/>
          </cell>
          <cell r="V4484" t="str">
            <v/>
          </cell>
          <cell r="Z4484" t="str">
            <v/>
          </cell>
          <cell r="AA4484" t="str">
            <v/>
          </cell>
          <cell r="AB4484" t="str">
            <v/>
          </cell>
          <cell r="AC4484" t="str">
            <v/>
          </cell>
          <cell r="AD4484" t="str">
            <v/>
          </cell>
          <cell r="AY4484" t="str">
            <v/>
          </cell>
          <cell r="AZ4484" t="str">
            <v/>
          </cell>
          <cell r="BA4484" t="str">
            <v/>
          </cell>
        </row>
        <row r="4485">
          <cell r="B4485" t="str">
            <v>-</v>
          </cell>
          <cell r="E4485" t="str">
            <v/>
          </cell>
          <cell r="G4485" t="str">
            <v/>
          </cell>
          <cell r="J4485" t="str">
            <v/>
          </cell>
          <cell r="O4485" t="str">
            <v/>
          </cell>
          <cell r="P4485" t="str">
            <v/>
          </cell>
          <cell r="Q4485" t="str">
            <v/>
          </cell>
          <cell r="S4485" t="str">
            <v/>
          </cell>
          <cell r="V4485" t="str">
            <v/>
          </cell>
          <cell r="Z4485" t="str">
            <v/>
          </cell>
          <cell r="AA4485" t="str">
            <v/>
          </cell>
          <cell r="AB4485" t="str">
            <v/>
          </cell>
          <cell r="AC4485" t="str">
            <v/>
          </cell>
          <cell r="AD4485" t="str">
            <v/>
          </cell>
          <cell r="AY4485" t="str">
            <v/>
          </cell>
          <cell r="AZ4485" t="str">
            <v/>
          </cell>
          <cell r="BA4485" t="str">
            <v/>
          </cell>
        </row>
        <row r="4486">
          <cell r="B4486" t="str">
            <v>-</v>
          </cell>
          <cell r="E4486" t="str">
            <v/>
          </cell>
          <cell r="G4486" t="str">
            <v/>
          </cell>
          <cell r="J4486" t="str">
            <v/>
          </cell>
          <cell r="O4486" t="str">
            <v/>
          </cell>
          <cell r="P4486" t="str">
            <v/>
          </cell>
          <cell r="Q4486" t="str">
            <v/>
          </cell>
          <cell r="S4486" t="str">
            <v/>
          </cell>
          <cell r="V4486" t="str">
            <v/>
          </cell>
          <cell r="Z4486" t="str">
            <v/>
          </cell>
          <cell r="AA4486" t="str">
            <v/>
          </cell>
          <cell r="AB4486" t="str">
            <v/>
          </cell>
          <cell r="AC4486" t="str">
            <v/>
          </cell>
          <cell r="AD4486" t="str">
            <v/>
          </cell>
          <cell r="AY4486" t="str">
            <v/>
          </cell>
          <cell r="AZ4486" t="str">
            <v/>
          </cell>
          <cell r="BA4486" t="str">
            <v/>
          </cell>
        </row>
        <row r="4487">
          <cell r="B4487" t="str">
            <v>-</v>
          </cell>
          <cell r="E4487" t="str">
            <v/>
          </cell>
          <cell r="G4487" t="str">
            <v/>
          </cell>
          <cell r="J4487" t="str">
            <v/>
          </cell>
          <cell r="O4487" t="str">
            <v/>
          </cell>
          <cell r="P4487" t="str">
            <v/>
          </cell>
          <cell r="Q4487" t="str">
            <v/>
          </cell>
          <cell r="S4487" t="str">
            <v/>
          </cell>
          <cell r="V4487" t="str">
            <v/>
          </cell>
          <cell r="Z4487" t="str">
            <v/>
          </cell>
          <cell r="AA4487" t="str">
            <v/>
          </cell>
          <cell r="AB4487" t="str">
            <v/>
          </cell>
          <cell r="AC4487" t="str">
            <v/>
          </cell>
          <cell r="AD4487" t="str">
            <v/>
          </cell>
          <cell r="AY4487" t="str">
            <v/>
          </cell>
          <cell r="AZ4487" t="str">
            <v/>
          </cell>
          <cell r="BA4487" t="str">
            <v/>
          </cell>
        </row>
        <row r="4488">
          <cell r="B4488" t="str">
            <v>-</v>
          </cell>
          <cell r="E4488" t="str">
            <v/>
          </cell>
          <cell r="G4488" t="str">
            <v/>
          </cell>
          <cell r="J4488" t="str">
            <v/>
          </cell>
          <cell r="O4488" t="str">
            <v/>
          </cell>
          <cell r="P4488" t="str">
            <v/>
          </cell>
          <cell r="Q4488" t="str">
            <v/>
          </cell>
          <cell r="S4488" t="str">
            <v/>
          </cell>
          <cell r="V4488" t="str">
            <v/>
          </cell>
          <cell r="Z4488" t="str">
            <v/>
          </cell>
          <cell r="AA4488" t="str">
            <v/>
          </cell>
          <cell r="AB4488" t="str">
            <v/>
          </cell>
          <cell r="AC4488" t="str">
            <v/>
          </cell>
          <cell r="AD4488" t="str">
            <v/>
          </cell>
          <cell r="AY4488" t="str">
            <v/>
          </cell>
          <cell r="AZ4488" t="str">
            <v/>
          </cell>
          <cell r="BA4488" t="str">
            <v/>
          </cell>
        </row>
        <row r="4489">
          <cell r="B4489" t="str">
            <v>-</v>
          </cell>
          <cell r="E4489" t="str">
            <v/>
          </cell>
          <cell r="G4489" t="str">
            <v/>
          </cell>
          <cell r="J4489" t="str">
            <v/>
          </cell>
          <cell r="O4489" t="str">
            <v/>
          </cell>
          <cell r="P4489" t="str">
            <v/>
          </cell>
          <cell r="Q4489" t="str">
            <v/>
          </cell>
          <cell r="S4489" t="str">
            <v/>
          </cell>
          <cell r="V4489" t="str">
            <v/>
          </cell>
          <cell r="Z4489" t="str">
            <v/>
          </cell>
          <cell r="AA4489" t="str">
            <v/>
          </cell>
          <cell r="AB4489" t="str">
            <v/>
          </cell>
          <cell r="AC4489" t="str">
            <v/>
          </cell>
          <cell r="AD4489" t="str">
            <v/>
          </cell>
          <cell r="AY4489" t="str">
            <v/>
          </cell>
          <cell r="AZ4489" t="str">
            <v/>
          </cell>
          <cell r="BA4489" t="str">
            <v/>
          </cell>
        </row>
        <row r="4490">
          <cell r="B4490" t="str">
            <v>-</v>
          </cell>
          <cell r="E4490" t="str">
            <v/>
          </cell>
          <cell r="G4490" t="str">
            <v/>
          </cell>
          <cell r="J4490" t="str">
            <v/>
          </cell>
          <cell r="O4490" t="str">
            <v/>
          </cell>
          <cell r="P4490" t="str">
            <v/>
          </cell>
          <cell r="Q4490" t="str">
            <v/>
          </cell>
          <cell r="S4490" t="str">
            <v/>
          </cell>
          <cell r="V4490" t="str">
            <v/>
          </cell>
          <cell r="Z4490" t="str">
            <v/>
          </cell>
          <cell r="AA4490" t="str">
            <v/>
          </cell>
          <cell r="AB4490" t="str">
            <v/>
          </cell>
          <cell r="AC4490" t="str">
            <v/>
          </cell>
          <cell r="AD4490" t="str">
            <v/>
          </cell>
          <cell r="AY4490" t="str">
            <v/>
          </cell>
          <cell r="AZ4490" t="str">
            <v/>
          </cell>
          <cell r="BA4490" t="str">
            <v/>
          </cell>
        </row>
        <row r="4491">
          <cell r="B4491" t="str">
            <v>-</v>
          </cell>
          <cell r="E4491" t="str">
            <v/>
          </cell>
          <cell r="G4491" t="str">
            <v/>
          </cell>
          <cell r="J4491" t="str">
            <v/>
          </cell>
          <cell r="O4491" t="str">
            <v/>
          </cell>
          <cell r="P4491" t="str">
            <v/>
          </cell>
          <cell r="Q4491" t="str">
            <v/>
          </cell>
          <cell r="S4491" t="str">
            <v/>
          </cell>
          <cell r="V4491" t="str">
            <v/>
          </cell>
          <cell r="Z4491" t="str">
            <v/>
          </cell>
          <cell r="AA4491" t="str">
            <v/>
          </cell>
          <cell r="AB4491" t="str">
            <v/>
          </cell>
          <cell r="AC4491" t="str">
            <v/>
          </cell>
          <cell r="AD4491" t="str">
            <v/>
          </cell>
          <cell r="AY4491" t="str">
            <v/>
          </cell>
          <cell r="AZ4491" t="str">
            <v/>
          </cell>
          <cell r="BA4491" t="str">
            <v/>
          </cell>
        </row>
        <row r="4492">
          <cell r="B4492" t="str">
            <v>-</v>
          </cell>
          <cell r="E4492" t="str">
            <v/>
          </cell>
          <cell r="G4492" t="str">
            <v/>
          </cell>
          <cell r="J4492" t="str">
            <v/>
          </cell>
          <cell r="O4492" t="str">
            <v/>
          </cell>
          <cell r="P4492" t="str">
            <v/>
          </cell>
          <cell r="Q4492" t="str">
            <v/>
          </cell>
          <cell r="S4492" t="str">
            <v/>
          </cell>
          <cell r="V4492" t="str">
            <v/>
          </cell>
          <cell r="Z4492" t="str">
            <v/>
          </cell>
          <cell r="AA4492" t="str">
            <v/>
          </cell>
          <cell r="AB4492" t="str">
            <v/>
          </cell>
          <cell r="AC4492" t="str">
            <v/>
          </cell>
          <cell r="AD4492" t="str">
            <v/>
          </cell>
          <cell r="AY4492" t="str">
            <v/>
          </cell>
          <cell r="AZ4492" t="str">
            <v/>
          </cell>
          <cell r="BA4492" t="str">
            <v/>
          </cell>
        </row>
        <row r="4493">
          <cell r="B4493" t="str">
            <v>-</v>
          </cell>
          <cell r="E4493" t="str">
            <v/>
          </cell>
          <cell r="G4493" t="str">
            <v/>
          </cell>
          <cell r="J4493" t="str">
            <v/>
          </cell>
          <cell r="O4493" t="str">
            <v/>
          </cell>
          <cell r="P4493" t="str">
            <v/>
          </cell>
          <cell r="Q4493" t="str">
            <v/>
          </cell>
          <cell r="S4493" t="str">
            <v/>
          </cell>
          <cell r="V4493" t="str">
            <v/>
          </cell>
          <cell r="Z4493" t="str">
            <v/>
          </cell>
          <cell r="AA4493" t="str">
            <v/>
          </cell>
          <cell r="AB4493" t="str">
            <v/>
          </cell>
          <cell r="AC4493" t="str">
            <v/>
          </cell>
          <cell r="AD4493" t="str">
            <v/>
          </cell>
          <cell r="AY4493" t="str">
            <v/>
          </cell>
          <cell r="AZ4493" t="str">
            <v/>
          </cell>
          <cell r="BA4493" t="str">
            <v/>
          </cell>
        </row>
        <row r="4494">
          <cell r="B4494" t="str">
            <v>-</v>
          </cell>
          <cell r="E4494" t="str">
            <v/>
          </cell>
          <cell r="G4494" t="str">
            <v/>
          </cell>
          <cell r="J4494" t="str">
            <v/>
          </cell>
          <cell r="O4494" t="str">
            <v/>
          </cell>
          <cell r="P4494" t="str">
            <v/>
          </cell>
          <cell r="Q4494" t="str">
            <v/>
          </cell>
          <cell r="S4494" t="str">
            <v/>
          </cell>
          <cell r="V4494" t="str">
            <v/>
          </cell>
          <cell r="Z4494" t="str">
            <v/>
          </cell>
          <cell r="AA4494" t="str">
            <v/>
          </cell>
          <cell r="AB4494" t="str">
            <v/>
          </cell>
          <cell r="AC4494" t="str">
            <v/>
          </cell>
          <cell r="AD4494" t="str">
            <v/>
          </cell>
          <cell r="AY4494" t="str">
            <v/>
          </cell>
          <cell r="AZ4494" t="str">
            <v/>
          </cell>
          <cell r="BA4494" t="str">
            <v/>
          </cell>
        </row>
        <row r="4495">
          <cell r="B4495" t="str">
            <v>-</v>
          </cell>
          <cell r="E4495" t="str">
            <v/>
          </cell>
          <cell r="G4495" t="str">
            <v/>
          </cell>
          <cell r="J4495" t="str">
            <v/>
          </cell>
          <cell r="O4495" t="str">
            <v/>
          </cell>
          <cell r="P4495" t="str">
            <v/>
          </cell>
          <cell r="Q4495" t="str">
            <v/>
          </cell>
          <cell r="S4495" t="str">
            <v/>
          </cell>
          <cell r="V4495" t="str">
            <v/>
          </cell>
          <cell r="Z4495" t="str">
            <v/>
          </cell>
          <cell r="AA4495" t="str">
            <v/>
          </cell>
          <cell r="AB4495" t="str">
            <v/>
          </cell>
          <cell r="AC4495" t="str">
            <v/>
          </cell>
          <cell r="AD4495" t="str">
            <v/>
          </cell>
          <cell r="AY4495" t="str">
            <v/>
          </cell>
          <cell r="AZ4495" t="str">
            <v/>
          </cell>
          <cell r="BA4495" t="str">
            <v/>
          </cell>
        </row>
        <row r="4496">
          <cell r="B4496" t="str">
            <v>-</v>
          </cell>
          <cell r="E4496" t="str">
            <v/>
          </cell>
          <cell r="G4496" t="str">
            <v/>
          </cell>
          <cell r="J4496" t="str">
            <v/>
          </cell>
          <cell r="O4496" t="str">
            <v/>
          </cell>
          <cell r="P4496" t="str">
            <v/>
          </cell>
          <cell r="Q4496" t="str">
            <v/>
          </cell>
          <cell r="S4496" t="str">
            <v/>
          </cell>
          <cell r="V4496" t="str">
            <v/>
          </cell>
          <cell r="Z4496" t="str">
            <v/>
          </cell>
          <cell r="AA4496" t="str">
            <v/>
          </cell>
          <cell r="AB4496" t="str">
            <v/>
          </cell>
          <cell r="AC4496" t="str">
            <v/>
          </cell>
          <cell r="AD4496" t="str">
            <v/>
          </cell>
          <cell r="AY4496" t="str">
            <v/>
          </cell>
          <cell r="AZ4496" t="str">
            <v/>
          </cell>
          <cell r="BA4496" t="str">
            <v/>
          </cell>
        </row>
        <row r="4497">
          <cell r="B4497" t="str">
            <v>-</v>
          </cell>
          <cell r="E4497" t="str">
            <v/>
          </cell>
          <cell r="G4497" t="str">
            <v/>
          </cell>
          <cell r="J4497" t="str">
            <v/>
          </cell>
          <cell r="O4497" t="str">
            <v/>
          </cell>
          <cell r="P4497" t="str">
            <v/>
          </cell>
          <cell r="Q4497" t="str">
            <v/>
          </cell>
          <cell r="S4497" t="str">
            <v/>
          </cell>
          <cell r="V4497" t="str">
            <v/>
          </cell>
          <cell r="Z4497" t="str">
            <v/>
          </cell>
          <cell r="AA4497" t="str">
            <v/>
          </cell>
          <cell r="AB4497" t="str">
            <v/>
          </cell>
          <cell r="AC4497" t="str">
            <v/>
          </cell>
          <cell r="AD4497" t="str">
            <v/>
          </cell>
          <cell r="AY4497" t="str">
            <v/>
          </cell>
          <cell r="AZ4497" t="str">
            <v/>
          </cell>
          <cell r="BA4497" t="str">
            <v/>
          </cell>
        </row>
        <row r="4498">
          <cell r="B4498" t="str">
            <v>-</v>
          </cell>
          <cell r="E4498" t="str">
            <v/>
          </cell>
          <cell r="G4498" t="str">
            <v/>
          </cell>
          <cell r="J4498" t="str">
            <v/>
          </cell>
          <cell r="O4498" t="str">
            <v/>
          </cell>
          <cell r="P4498" t="str">
            <v/>
          </cell>
          <cell r="Q4498" t="str">
            <v/>
          </cell>
          <cell r="S4498" t="str">
            <v/>
          </cell>
          <cell r="V4498" t="str">
            <v/>
          </cell>
          <cell r="Z4498" t="str">
            <v/>
          </cell>
          <cell r="AA4498" t="str">
            <v/>
          </cell>
          <cell r="AB4498" t="str">
            <v/>
          </cell>
          <cell r="AC4498" t="str">
            <v/>
          </cell>
          <cell r="AD4498" t="str">
            <v/>
          </cell>
          <cell r="AY4498" t="str">
            <v/>
          </cell>
          <cell r="AZ4498" t="str">
            <v/>
          </cell>
          <cell r="BA4498" t="str">
            <v/>
          </cell>
        </row>
        <row r="4499">
          <cell r="B4499" t="str">
            <v>-</v>
          </cell>
          <cell r="E4499" t="str">
            <v/>
          </cell>
          <cell r="G4499" t="str">
            <v/>
          </cell>
          <cell r="J4499" t="str">
            <v/>
          </cell>
          <cell r="O4499" t="str">
            <v/>
          </cell>
          <cell r="P4499" t="str">
            <v/>
          </cell>
          <cell r="Q4499" t="str">
            <v/>
          </cell>
          <cell r="S4499" t="str">
            <v/>
          </cell>
          <cell r="V4499" t="str">
            <v/>
          </cell>
          <cell r="Z4499" t="str">
            <v/>
          </cell>
          <cell r="AA4499" t="str">
            <v/>
          </cell>
          <cell r="AB4499" t="str">
            <v/>
          </cell>
          <cell r="AC4499" t="str">
            <v/>
          </cell>
          <cell r="AD4499" t="str">
            <v/>
          </cell>
          <cell r="AY4499" t="str">
            <v/>
          </cell>
          <cell r="AZ4499" t="str">
            <v/>
          </cell>
          <cell r="BA4499" t="str">
            <v/>
          </cell>
        </row>
        <row r="4500">
          <cell r="B4500" t="str">
            <v>-</v>
          </cell>
          <cell r="E4500" t="str">
            <v/>
          </cell>
          <cell r="G4500" t="str">
            <v/>
          </cell>
          <cell r="J4500" t="str">
            <v/>
          </cell>
          <cell r="O4500" t="str">
            <v/>
          </cell>
          <cell r="P4500" t="str">
            <v/>
          </cell>
          <cell r="Q4500" t="str">
            <v/>
          </cell>
          <cell r="S4500" t="str">
            <v/>
          </cell>
          <cell r="V4500" t="str">
            <v/>
          </cell>
          <cell r="Z4500" t="str">
            <v/>
          </cell>
          <cell r="AA4500" t="str">
            <v/>
          </cell>
          <cell r="AB4500" t="str">
            <v/>
          </cell>
          <cell r="AC4500" t="str">
            <v/>
          </cell>
          <cell r="AD4500" t="str">
            <v/>
          </cell>
          <cell r="AY4500" t="str">
            <v/>
          </cell>
          <cell r="AZ4500" t="str">
            <v/>
          </cell>
          <cell r="BA4500" t="str">
            <v/>
          </cell>
        </row>
        <row r="4501">
          <cell r="B4501" t="str">
            <v>-</v>
          </cell>
          <cell r="E4501" t="str">
            <v/>
          </cell>
          <cell r="G4501" t="str">
            <v/>
          </cell>
          <cell r="J4501" t="str">
            <v/>
          </cell>
          <cell r="O4501" t="str">
            <v/>
          </cell>
          <cell r="P4501" t="str">
            <v/>
          </cell>
          <cell r="Q4501" t="str">
            <v/>
          </cell>
          <cell r="S4501" t="str">
            <v/>
          </cell>
          <cell r="V4501" t="str">
            <v/>
          </cell>
          <cell r="Z4501" t="str">
            <v/>
          </cell>
          <cell r="AA4501" t="str">
            <v/>
          </cell>
          <cell r="AB4501" t="str">
            <v/>
          </cell>
          <cell r="AC4501" t="str">
            <v/>
          </cell>
          <cell r="AD4501" t="str">
            <v/>
          </cell>
          <cell r="AY4501" t="str">
            <v/>
          </cell>
          <cell r="AZ4501" t="str">
            <v/>
          </cell>
          <cell r="BA4501" t="str">
            <v/>
          </cell>
        </row>
        <row r="4502">
          <cell r="B4502" t="str">
            <v>-</v>
          </cell>
          <cell r="E4502" t="str">
            <v/>
          </cell>
          <cell r="G4502" t="str">
            <v/>
          </cell>
          <cell r="J4502" t="str">
            <v/>
          </cell>
          <cell r="O4502" t="str">
            <v/>
          </cell>
          <cell r="P4502" t="str">
            <v/>
          </cell>
          <cell r="Q4502" t="str">
            <v/>
          </cell>
          <cell r="S4502" t="str">
            <v/>
          </cell>
          <cell r="V4502" t="str">
            <v/>
          </cell>
          <cell r="Z4502" t="str">
            <v/>
          </cell>
          <cell r="AA4502" t="str">
            <v/>
          </cell>
          <cell r="AB4502" t="str">
            <v/>
          </cell>
          <cell r="AC4502" t="str">
            <v/>
          </cell>
          <cell r="AD4502" t="str">
            <v/>
          </cell>
          <cell r="AY4502" t="str">
            <v/>
          </cell>
          <cell r="AZ4502" t="str">
            <v/>
          </cell>
          <cell r="BA4502" t="str">
            <v/>
          </cell>
        </row>
        <row r="4503">
          <cell r="B4503" t="str">
            <v>-</v>
          </cell>
          <cell r="E4503" t="str">
            <v/>
          </cell>
          <cell r="G4503" t="str">
            <v/>
          </cell>
          <cell r="J4503" t="str">
            <v/>
          </cell>
          <cell r="O4503" t="str">
            <v/>
          </cell>
          <cell r="P4503" t="str">
            <v/>
          </cell>
          <cell r="Q4503" t="str">
            <v/>
          </cell>
          <cell r="S4503" t="str">
            <v/>
          </cell>
          <cell r="V4503" t="str">
            <v/>
          </cell>
          <cell r="Z4503" t="str">
            <v/>
          </cell>
          <cell r="AA4503" t="str">
            <v/>
          </cell>
          <cell r="AB4503" t="str">
            <v/>
          </cell>
          <cell r="AC4503" t="str">
            <v/>
          </cell>
          <cell r="AD4503" t="str">
            <v/>
          </cell>
          <cell r="AY4503" t="str">
            <v/>
          </cell>
          <cell r="AZ4503" t="str">
            <v/>
          </cell>
          <cell r="BA4503" t="str">
            <v/>
          </cell>
        </row>
        <row r="4504">
          <cell r="B4504" t="str">
            <v>-</v>
          </cell>
          <cell r="E4504" t="str">
            <v/>
          </cell>
          <cell r="G4504" t="str">
            <v/>
          </cell>
          <cell r="J4504" t="str">
            <v/>
          </cell>
          <cell r="O4504" t="str">
            <v/>
          </cell>
          <cell r="P4504" t="str">
            <v/>
          </cell>
          <cell r="Q4504" t="str">
            <v/>
          </cell>
          <cell r="S4504" t="str">
            <v/>
          </cell>
          <cell r="V4504" t="str">
            <v/>
          </cell>
          <cell r="Z4504" t="str">
            <v/>
          </cell>
          <cell r="AA4504" t="str">
            <v/>
          </cell>
          <cell r="AB4504" t="str">
            <v/>
          </cell>
          <cell r="AC4504" t="str">
            <v/>
          </cell>
          <cell r="AD4504" t="str">
            <v/>
          </cell>
          <cell r="AY4504" t="str">
            <v/>
          </cell>
          <cell r="AZ4504" t="str">
            <v/>
          </cell>
          <cell r="BA4504" t="str">
            <v/>
          </cell>
        </row>
        <row r="4505">
          <cell r="B4505" t="str">
            <v>-</v>
          </cell>
          <cell r="E4505" t="str">
            <v/>
          </cell>
          <cell r="G4505" t="str">
            <v/>
          </cell>
          <cell r="J4505" t="str">
            <v/>
          </cell>
          <cell r="O4505" t="str">
            <v/>
          </cell>
          <cell r="P4505" t="str">
            <v/>
          </cell>
          <cell r="Q4505" t="str">
            <v/>
          </cell>
          <cell r="S4505" t="str">
            <v/>
          </cell>
          <cell r="V4505" t="str">
            <v/>
          </cell>
          <cell r="Z4505" t="str">
            <v/>
          </cell>
          <cell r="AA4505" t="str">
            <v/>
          </cell>
          <cell r="AB4505" t="str">
            <v/>
          </cell>
          <cell r="AC4505" t="str">
            <v/>
          </cell>
          <cell r="AD4505" t="str">
            <v/>
          </cell>
          <cell r="AY4505" t="str">
            <v/>
          </cell>
          <cell r="AZ4505" t="str">
            <v/>
          </cell>
          <cell r="BA4505" t="str">
            <v/>
          </cell>
        </row>
        <row r="4506">
          <cell r="B4506" t="str">
            <v>-</v>
          </cell>
          <cell r="E4506" t="str">
            <v/>
          </cell>
          <cell r="G4506" t="str">
            <v/>
          </cell>
          <cell r="J4506" t="str">
            <v/>
          </cell>
          <cell r="O4506" t="str">
            <v/>
          </cell>
          <cell r="P4506" t="str">
            <v/>
          </cell>
          <cell r="Q4506" t="str">
            <v/>
          </cell>
          <cell r="S4506" t="str">
            <v/>
          </cell>
          <cell r="V4506" t="str">
            <v/>
          </cell>
          <cell r="Z4506" t="str">
            <v/>
          </cell>
          <cell r="AA4506" t="str">
            <v/>
          </cell>
          <cell r="AB4506" t="str">
            <v/>
          </cell>
          <cell r="AC4506" t="str">
            <v/>
          </cell>
          <cell r="AD4506" t="str">
            <v/>
          </cell>
          <cell r="AY4506" t="str">
            <v/>
          </cell>
          <cell r="AZ4506" t="str">
            <v/>
          </cell>
          <cell r="BA4506" t="str">
            <v/>
          </cell>
        </row>
        <row r="4507">
          <cell r="B4507" t="str">
            <v>-</v>
          </cell>
          <cell r="E4507" t="str">
            <v/>
          </cell>
          <cell r="G4507" t="str">
            <v/>
          </cell>
          <cell r="J4507" t="str">
            <v/>
          </cell>
          <cell r="O4507" t="str">
            <v/>
          </cell>
          <cell r="P4507" t="str">
            <v/>
          </cell>
          <cell r="Q4507" t="str">
            <v/>
          </cell>
          <cell r="S4507" t="str">
            <v/>
          </cell>
          <cell r="V4507" t="str">
            <v/>
          </cell>
          <cell r="Z4507" t="str">
            <v/>
          </cell>
          <cell r="AA4507" t="str">
            <v/>
          </cell>
          <cell r="AB4507" t="str">
            <v/>
          </cell>
          <cell r="AC4507" t="str">
            <v/>
          </cell>
          <cell r="AD4507" t="str">
            <v/>
          </cell>
          <cell r="AY4507" t="str">
            <v/>
          </cell>
          <cell r="AZ4507" t="str">
            <v/>
          </cell>
          <cell r="BA4507" t="str">
            <v/>
          </cell>
        </row>
        <row r="4508">
          <cell r="B4508" t="str">
            <v>-</v>
          </cell>
          <cell r="E4508" t="str">
            <v/>
          </cell>
          <cell r="G4508" t="str">
            <v/>
          </cell>
          <cell r="J4508" t="str">
            <v/>
          </cell>
          <cell r="O4508" t="str">
            <v/>
          </cell>
          <cell r="P4508" t="str">
            <v/>
          </cell>
          <cell r="Q4508" t="str">
            <v/>
          </cell>
          <cell r="S4508" t="str">
            <v/>
          </cell>
          <cell r="V4508" t="str">
            <v/>
          </cell>
          <cell r="Z4508" t="str">
            <v/>
          </cell>
          <cell r="AA4508" t="str">
            <v/>
          </cell>
          <cell r="AB4508" t="str">
            <v/>
          </cell>
          <cell r="AC4508" t="str">
            <v/>
          </cell>
          <cell r="AD4508" t="str">
            <v/>
          </cell>
          <cell r="AY4508" t="str">
            <v/>
          </cell>
          <cell r="AZ4508" t="str">
            <v/>
          </cell>
          <cell r="BA4508" t="str">
            <v/>
          </cell>
        </row>
        <row r="4509">
          <cell r="B4509" t="str">
            <v>-</v>
          </cell>
          <cell r="E4509" t="str">
            <v/>
          </cell>
          <cell r="G4509" t="str">
            <v/>
          </cell>
          <cell r="J4509" t="str">
            <v/>
          </cell>
          <cell r="O4509" t="str">
            <v/>
          </cell>
          <cell r="P4509" t="str">
            <v/>
          </cell>
          <cell r="Q4509" t="str">
            <v/>
          </cell>
          <cell r="S4509" t="str">
            <v/>
          </cell>
          <cell r="V4509" t="str">
            <v/>
          </cell>
          <cell r="Z4509" t="str">
            <v/>
          </cell>
          <cell r="AA4509" t="str">
            <v/>
          </cell>
          <cell r="AB4509" t="str">
            <v/>
          </cell>
          <cell r="AC4509" t="str">
            <v/>
          </cell>
          <cell r="AD4509" t="str">
            <v/>
          </cell>
          <cell r="AY4509" t="str">
            <v/>
          </cell>
          <cell r="AZ4509" t="str">
            <v/>
          </cell>
          <cell r="BA4509" t="str">
            <v/>
          </cell>
        </row>
        <row r="4510">
          <cell r="B4510" t="str">
            <v>-</v>
          </cell>
          <cell r="E4510" t="str">
            <v/>
          </cell>
          <cell r="G4510" t="str">
            <v/>
          </cell>
          <cell r="J4510" t="str">
            <v/>
          </cell>
          <cell r="O4510" t="str">
            <v/>
          </cell>
          <cell r="P4510" t="str">
            <v/>
          </cell>
          <cell r="Q4510" t="str">
            <v/>
          </cell>
          <cell r="S4510" t="str">
            <v/>
          </cell>
          <cell r="V4510" t="str">
            <v/>
          </cell>
          <cell r="Z4510" t="str">
            <v/>
          </cell>
          <cell r="AA4510" t="str">
            <v/>
          </cell>
          <cell r="AB4510" t="str">
            <v/>
          </cell>
          <cell r="AC4510" t="str">
            <v/>
          </cell>
          <cell r="AD4510" t="str">
            <v/>
          </cell>
          <cell r="AY4510" t="str">
            <v/>
          </cell>
          <cell r="AZ4510" t="str">
            <v/>
          </cell>
          <cell r="BA4510" t="str">
            <v/>
          </cell>
        </row>
        <row r="4511">
          <cell r="B4511" t="str">
            <v>-</v>
          </cell>
          <cell r="E4511" t="str">
            <v/>
          </cell>
          <cell r="G4511" t="str">
            <v/>
          </cell>
          <cell r="J4511" t="str">
            <v/>
          </cell>
          <cell r="O4511" t="str">
            <v/>
          </cell>
          <cell r="P4511" t="str">
            <v/>
          </cell>
          <cell r="Q4511" t="str">
            <v/>
          </cell>
          <cell r="S4511" t="str">
            <v/>
          </cell>
          <cell r="V4511" t="str">
            <v/>
          </cell>
          <cell r="Z4511" t="str">
            <v/>
          </cell>
          <cell r="AA4511" t="str">
            <v/>
          </cell>
          <cell r="AB4511" t="str">
            <v/>
          </cell>
          <cell r="AC4511" t="str">
            <v/>
          </cell>
          <cell r="AD4511" t="str">
            <v/>
          </cell>
          <cell r="AY4511" t="str">
            <v/>
          </cell>
          <cell r="AZ4511" t="str">
            <v/>
          </cell>
          <cell r="BA4511" t="str">
            <v/>
          </cell>
        </row>
        <row r="4512">
          <cell r="B4512" t="str">
            <v>-</v>
          </cell>
          <cell r="E4512" t="str">
            <v/>
          </cell>
          <cell r="G4512" t="str">
            <v/>
          </cell>
          <cell r="J4512" t="str">
            <v/>
          </cell>
          <cell r="O4512" t="str">
            <v/>
          </cell>
          <cell r="P4512" t="str">
            <v/>
          </cell>
          <cell r="Q4512" t="str">
            <v/>
          </cell>
          <cell r="S4512" t="str">
            <v/>
          </cell>
          <cell r="V4512" t="str">
            <v/>
          </cell>
          <cell r="Z4512" t="str">
            <v/>
          </cell>
          <cell r="AA4512" t="str">
            <v/>
          </cell>
          <cell r="AB4512" t="str">
            <v/>
          </cell>
          <cell r="AC4512" t="str">
            <v/>
          </cell>
          <cell r="AD4512" t="str">
            <v/>
          </cell>
          <cell r="AY4512" t="str">
            <v/>
          </cell>
          <cell r="AZ4512" t="str">
            <v/>
          </cell>
          <cell r="BA4512" t="str">
            <v/>
          </cell>
        </row>
        <row r="4513">
          <cell r="B4513" t="str">
            <v>-</v>
          </cell>
          <cell r="E4513" t="str">
            <v/>
          </cell>
          <cell r="G4513" t="str">
            <v/>
          </cell>
          <cell r="J4513" t="str">
            <v/>
          </cell>
          <cell r="O4513" t="str">
            <v/>
          </cell>
          <cell r="P4513" t="str">
            <v/>
          </cell>
          <cell r="Q4513" t="str">
            <v/>
          </cell>
          <cell r="S4513" t="str">
            <v/>
          </cell>
          <cell r="V4513" t="str">
            <v/>
          </cell>
          <cell r="Z4513" t="str">
            <v/>
          </cell>
          <cell r="AA4513" t="str">
            <v/>
          </cell>
          <cell r="AB4513" t="str">
            <v/>
          </cell>
          <cell r="AC4513" t="str">
            <v/>
          </cell>
          <cell r="AD4513" t="str">
            <v/>
          </cell>
          <cell r="AY4513" t="str">
            <v/>
          </cell>
          <cell r="AZ4513" t="str">
            <v/>
          </cell>
          <cell r="BA4513" t="str">
            <v/>
          </cell>
        </row>
        <row r="4514">
          <cell r="B4514" t="str">
            <v>-</v>
          </cell>
          <cell r="E4514" t="str">
            <v/>
          </cell>
          <cell r="G4514" t="str">
            <v/>
          </cell>
          <cell r="J4514" t="str">
            <v/>
          </cell>
          <cell r="O4514" t="str">
            <v/>
          </cell>
          <cell r="P4514" t="str">
            <v/>
          </cell>
          <cell r="Q4514" t="str">
            <v/>
          </cell>
          <cell r="S4514" t="str">
            <v/>
          </cell>
          <cell r="V4514" t="str">
            <v/>
          </cell>
          <cell r="Z4514" t="str">
            <v/>
          </cell>
          <cell r="AA4514" t="str">
            <v/>
          </cell>
          <cell r="AB4514" t="str">
            <v/>
          </cell>
          <cell r="AC4514" t="str">
            <v/>
          </cell>
          <cell r="AD4514" t="str">
            <v/>
          </cell>
          <cell r="AY4514" t="str">
            <v/>
          </cell>
          <cell r="AZ4514" t="str">
            <v/>
          </cell>
          <cell r="BA4514" t="str">
            <v/>
          </cell>
        </row>
        <row r="4515">
          <cell r="B4515" t="str">
            <v>-</v>
          </cell>
          <cell r="E4515" t="str">
            <v/>
          </cell>
          <cell r="G4515" t="str">
            <v/>
          </cell>
          <cell r="J4515" t="str">
            <v/>
          </cell>
          <cell r="O4515" t="str">
            <v/>
          </cell>
          <cell r="P4515" t="str">
            <v/>
          </cell>
          <cell r="Q4515" t="str">
            <v/>
          </cell>
          <cell r="S4515" t="str">
            <v/>
          </cell>
          <cell r="V4515" t="str">
            <v/>
          </cell>
          <cell r="Z4515" t="str">
            <v/>
          </cell>
          <cell r="AA4515" t="str">
            <v/>
          </cell>
          <cell r="AB4515" t="str">
            <v/>
          </cell>
          <cell r="AC4515" t="str">
            <v/>
          </cell>
          <cell r="AD4515" t="str">
            <v/>
          </cell>
          <cell r="AY4515" t="str">
            <v/>
          </cell>
          <cell r="AZ4515" t="str">
            <v/>
          </cell>
          <cell r="BA4515" t="str">
            <v/>
          </cell>
        </row>
        <row r="4516">
          <cell r="B4516" t="str">
            <v>-</v>
          </cell>
          <cell r="E4516" t="str">
            <v/>
          </cell>
          <cell r="G4516" t="str">
            <v/>
          </cell>
          <cell r="J4516" t="str">
            <v/>
          </cell>
          <cell r="O4516" t="str">
            <v/>
          </cell>
          <cell r="P4516" t="str">
            <v/>
          </cell>
          <cell r="Q4516" t="str">
            <v/>
          </cell>
          <cell r="S4516" t="str">
            <v/>
          </cell>
          <cell r="V4516" t="str">
            <v/>
          </cell>
          <cell r="Z4516" t="str">
            <v/>
          </cell>
          <cell r="AA4516" t="str">
            <v/>
          </cell>
          <cell r="AB4516" t="str">
            <v/>
          </cell>
          <cell r="AC4516" t="str">
            <v/>
          </cell>
          <cell r="AD4516" t="str">
            <v/>
          </cell>
          <cell r="AY4516" t="str">
            <v/>
          </cell>
          <cell r="AZ4516" t="str">
            <v/>
          </cell>
          <cell r="BA4516" t="str">
            <v/>
          </cell>
        </row>
        <row r="4517">
          <cell r="B4517" t="str">
            <v>-</v>
          </cell>
          <cell r="E4517" t="str">
            <v/>
          </cell>
          <cell r="G4517" t="str">
            <v/>
          </cell>
          <cell r="J4517" t="str">
            <v/>
          </cell>
          <cell r="O4517" t="str">
            <v/>
          </cell>
          <cell r="P4517" t="str">
            <v/>
          </cell>
          <cell r="Q4517" t="str">
            <v/>
          </cell>
          <cell r="S4517" t="str">
            <v/>
          </cell>
          <cell r="V4517" t="str">
            <v/>
          </cell>
          <cell r="Z4517" t="str">
            <v/>
          </cell>
          <cell r="AA4517" t="str">
            <v/>
          </cell>
          <cell r="AB4517" t="str">
            <v/>
          </cell>
          <cell r="AC4517" t="str">
            <v/>
          </cell>
          <cell r="AD4517" t="str">
            <v/>
          </cell>
          <cell r="AY4517" t="str">
            <v/>
          </cell>
          <cell r="AZ4517" t="str">
            <v/>
          </cell>
          <cell r="BA4517" t="str">
            <v/>
          </cell>
        </row>
        <row r="4518">
          <cell r="B4518" t="str">
            <v>-</v>
          </cell>
          <cell r="E4518" t="str">
            <v/>
          </cell>
          <cell r="G4518" t="str">
            <v/>
          </cell>
          <cell r="J4518" t="str">
            <v/>
          </cell>
          <cell r="O4518" t="str">
            <v/>
          </cell>
          <cell r="P4518" t="str">
            <v/>
          </cell>
          <cell r="Q4518" t="str">
            <v/>
          </cell>
          <cell r="S4518" t="str">
            <v/>
          </cell>
          <cell r="V4518" t="str">
            <v/>
          </cell>
          <cell r="Z4518" t="str">
            <v/>
          </cell>
          <cell r="AA4518" t="str">
            <v/>
          </cell>
          <cell r="AB4518" t="str">
            <v/>
          </cell>
          <cell r="AC4518" t="str">
            <v/>
          </cell>
          <cell r="AD4518" t="str">
            <v/>
          </cell>
          <cell r="AY4518" t="str">
            <v/>
          </cell>
          <cell r="AZ4518" t="str">
            <v/>
          </cell>
          <cell r="BA4518" t="str">
            <v/>
          </cell>
        </row>
        <row r="4519">
          <cell r="B4519" t="str">
            <v>-</v>
          </cell>
          <cell r="E4519" t="str">
            <v/>
          </cell>
          <cell r="G4519" t="str">
            <v/>
          </cell>
          <cell r="J4519" t="str">
            <v/>
          </cell>
          <cell r="O4519" t="str">
            <v/>
          </cell>
          <cell r="P4519" t="str">
            <v/>
          </cell>
          <cell r="Q4519" t="str">
            <v/>
          </cell>
          <cell r="S4519" t="str">
            <v/>
          </cell>
          <cell r="V4519" t="str">
            <v/>
          </cell>
          <cell r="Z4519" t="str">
            <v/>
          </cell>
          <cell r="AA4519" t="str">
            <v/>
          </cell>
          <cell r="AB4519" t="str">
            <v/>
          </cell>
          <cell r="AC4519" t="str">
            <v/>
          </cell>
          <cell r="AD4519" t="str">
            <v/>
          </cell>
          <cell r="AY4519" t="str">
            <v/>
          </cell>
          <cell r="AZ4519" t="str">
            <v/>
          </cell>
          <cell r="BA4519" t="str">
            <v/>
          </cell>
        </row>
        <row r="4520">
          <cell r="B4520" t="str">
            <v>-</v>
          </cell>
          <cell r="E4520" t="str">
            <v/>
          </cell>
          <cell r="G4520" t="str">
            <v/>
          </cell>
          <cell r="J4520" t="str">
            <v/>
          </cell>
          <cell r="O4520" t="str">
            <v/>
          </cell>
          <cell r="P4520" t="str">
            <v/>
          </cell>
          <cell r="Q4520" t="str">
            <v/>
          </cell>
          <cell r="S4520" t="str">
            <v/>
          </cell>
          <cell r="V4520" t="str">
            <v/>
          </cell>
          <cell r="Z4520" t="str">
            <v/>
          </cell>
          <cell r="AA4520" t="str">
            <v/>
          </cell>
          <cell r="AB4520" t="str">
            <v/>
          </cell>
          <cell r="AC4520" t="str">
            <v/>
          </cell>
          <cell r="AD4520" t="str">
            <v/>
          </cell>
          <cell r="AY4520" t="str">
            <v/>
          </cell>
          <cell r="AZ4520" t="str">
            <v/>
          </cell>
          <cell r="BA4520" t="str">
            <v/>
          </cell>
        </row>
        <row r="4521">
          <cell r="B4521" t="str">
            <v>-</v>
          </cell>
          <cell r="E4521" t="str">
            <v/>
          </cell>
          <cell r="G4521" t="str">
            <v/>
          </cell>
          <cell r="J4521" t="str">
            <v/>
          </cell>
          <cell r="O4521" t="str">
            <v/>
          </cell>
          <cell r="P4521" t="str">
            <v/>
          </cell>
          <cell r="Q4521" t="str">
            <v/>
          </cell>
          <cell r="S4521" t="str">
            <v/>
          </cell>
          <cell r="V4521" t="str">
            <v/>
          </cell>
          <cell r="Z4521" t="str">
            <v/>
          </cell>
          <cell r="AA4521" t="str">
            <v/>
          </cell>
          <cell r="AB4521" t="str">
            <v/>
          </cell>
          <cell r="AC4521" t="str">
            <v/>
          </cell>
          <cell r="AD4521" t="str">
            <v/>
          </cell>
          <cell r="AY4521" t="str">
            <v/>
          </cell>
          <cell r="AZ4521" t="str">
            <v/>
          </cell>
          <cell r="BA4521" t="str">
            <v/>
          </cell>
        </row>
        <row r="4522">
          <cell r="B4522" t="str">
            <v>-</v>
          </cell>
          <cell r="E4522" t="str">
            <v/>
          </cell>
          <cell r="G4522" t="str">
            <v/>
          </cell>
          <cell r="J4522" t="str">
            <v/>
          </cell>
          <cell r="O4522" t="str">
            <v/>
          </cell>
          <cell r="P4522" t="str">
            <v/>
          </cell>
          <cell r="Q4522" t="str">
            <v/>
          </cell>
          <cell r="S4522" t="str">
            <v/>
          </cell>
          <cell r="V4522" t="str">
            <v/>
          </cell>
          <cell r="Z4522" t="str">
            <v/>
          </cell>
          <cell r="AA4522" t="str">
            <v/>
          </cell>
          <cell r="AB4522" t="str">
            <v/>
          </cell>
          <cell r="AC4522" t="str">
            <v/>
          </cell>
          <cell r="AD4522" t="str">
            <v/>
          </cell>
          <cell r="AY4522" t="str">
            <v/>
          </cell>
          <cell r="AZ4522" t="str">
            <v/>
          </cell>
          <cell r="BA4522" t="str">
            <v/>
          </cell>
        </row>
        <row r="4523">
          <cell r="B4523" t="str">
            <v>-</v>
          </cell>
          <cell r="E4523" t="str">
            <v/>
          </cell>
          <cell r="G4523" t="str">
            <v/>
          </cell>
          <cell r="J4523" t="str">
            <v/>
          </cell>
          <cell r="O4523" t="str">
            <v/>
          </cell>
          <cell r="P4523" t="str">
            <v/>
          </cell>
          <cell r="Q4523" t="str">
            <v/>
          </cell>
          <cell r="S4523" t="str">
            <v/>
          </cell>
          <cell r="V4523" t="str">
            <v/>
          </cell>
          <cell r="Z4523" t="str">
            <v/>
          </cell>
          <cell r="AA4523" t="str">
            <v/>
          </cell>
          <cell r="AB4523" t="str">
            <v/>
          </cell>
          <cell r="AC4523" t="str">
            <v/>
          </cell>
          <cell r="AD4523" t="str">
            <v/>
          </cell>
          <cell r="AY4523" t="str">
            <v/>
          </cell>
          <cell r="AZ4523" t="str">
            <v/>
          </cell>
          <cell r="BA4523" t="str">
            <v/>
          </cell>
        </row>
        <row r="4524">
          <cell r="B4524" t="str">
            <v>-</v>
          </cell>
          <cell r="E4524" t="str">
            <v/>
          </cell>
          <cell r="G4524" t="str">
            <v/>
          </cell>
          <cell r="J4524" t="str">
            <v/>
          </cell>
          <cell r="O4524" t="str">
            <v/>
          </cell>
          <cell r="P4524" t="str">
            <v/>
          </cell>
          <cell r="Q4524" t="str">
            <v/>
          </cell>
          <cell r="S4524" t="str">
            <v/>
          </cell>
          <cell r="V4524" t="str">
            <v/>
          </cell>
          <cell r="Z4524" t="str">
            <v/>
          </cell>
          <cell r="AA4524" t="str">
            <v/>
          </cell>
          <cell r="AB4524" t="str">
            <v/>
          </cell>
          <cell r="AC4524" t="str">
            <v/>
          </cell>
          <cell r="AD4524" t="str">
            <v/>
          </cell>
          <cell r="AY4524" t="str">
            <v/>
          </cell>
          <cell r="AZ4524" t="str">
            <v/>
          </cell>
          <cell r="BA4524" t="str">
            <v/>
          </cell>
        </row>
        <row r="4525">
          <cell r="B4525" t="str">
            <v>-</v>
          </cell>
          <cell r="E4525" t="str">
            <v/>
          </cell>
          <cell r="G4525" t="str">
            <v/>
          </cell>
          <cell r="J4525" t="str">
            <v/>
          </cell>
          <cell r="O4525" t="str">
            <v/>
          </cell>
          <cell r="P4525" t="str">
            <v/>
          </cell>
          <cell r="Q4525" t="str">
            <v/>
          </cell>
          <cell r="S4525" t="str">
            <v/>
          </cell>
          <cell r="V4525" t="str">
            <v/>
          </cell>
          <cell r="Z4525" t="str">
            <v/>
          </cell>
          <cell r="AA4525" t="str">
            <v/>
          </cell>
          <cell r="AB4525" t="str">
            <v/>
          </cell>
          <cell r="AC4525" t="str">
            <v/>
          </cell>
          <cell r="AD4525" t="str">
            <v/>
          </cell>
          <cell r="AY4525" t="str">
            <v/>
          </cell>
          <cell r="AZ4525" t="str">
            <v/>
          </cell>
          <cell r="BA4525" t="str">
            <v/>
          </cell>
        </row>
        <row r="4526">
          <cell r="B4526" t="str">
            <v>-</v>
          </cell>
          <cell r="E4526" t="str">
            <v/>
          </cell>
          <cell r="G4526" t="str">
            <v/>
          </cell>
          <cell r="J4526" t="str">
            <v/>
          </cell>
          <cell r="O4526" t="str">
            <v/>
          </cell>
          <cell r="P4526" t="str">
            <v/>
          </cell>
          <cell r="Q4526" t="str">
            <v/>
          </cell>
          <cell r="S4526" t="str">
            <v/>
          </cell>
          <cell r="V4526" t="str">
            <v/>
          </cell>
          <cell r="Z4526" t="str">
            <v/>
          </cell>
          <cell r="AA4526" t="str">
            <v/>
          </cell>
          <cell r="AB4526" t="str">
            <v/>
          </cell>
          <cell r="AC4526" t="str">
            <v/>
          </cell>
          <cell r="AD4526" t="str">
            <v/>
          </cell>
          <cell r="AY4526" t="str">
            <v/>
          </cell>
          <cell r="AZ4526" t="str">
            <v/>
          </cell>
          <cell r="BA4526" t="str">
            <v/>
          </cell>
        </row>
        <row r="4527">
          <cell r="B4527" t="str">
            <v>-</v>
          </cell>
          <cell r="E4527" t="str">
            <v/>
          </cell>
          <cell r="G4527" t="str">
            <v/>
          </cell>
          <cell r="J4527" t="str">
            <v/>
          </cell>
          <cell r="O4527" t="str">
            <v/>
          </cell>
          <cell r="P4527" t="str">
            <v/>
          </cell>
          <cell r="Q4527" t="str">
            <v/>
          </cell>
          <cell r="S4527" t="str">
            <v/>
          </cell>
          <cell r="V4527" t="str">
            <v/>
          </cell>
          <cell r="Z4527" t="str">
            <v/>
          </cell>
          <cell r="AA4527" t="str">
            <v/>
          </cell>
          <cell r="AB4527" t="str">
            <v/>
          </cell>
          <cell r="AC4527" t="str">
            <v/>
          </cell>
          <cell r="AD4527" t="str">
            <v/>
          </cell>
          <cell r="AY4527" t="str">
            <v/>
          </cell>
          <cell r="AZ4527" t="str">
            <v/>
          </cell>
          <cell r="BA4527" t="str">
            <v/>
          </cell>
        </row>
        <row r="4528">
          <cell r="B4528" t="str">
            <v>-</v>
          </cell>
          <cell r="E4528" t="str">
            <v/>
          </cell>
          <cell r="G4528" t="str">
            <v/>
          </cell>
          <cell r="J4528" t="str">
            <v/>
          </cell>
          <cell r="O4528" t="str">
            <v/>
          </cell>
          <cell r="P4528" t="str">
            <v/>
          </cell>
          <cell r="Q4528" t="str">
            <v/>
          </cell>
          <cell r="S4528" t="str">
            <v/>
          </cell>
          <cell r="V4528" t="str">
            <v/>
          </cell>
          <cell r="Z4528" t="str">
            <v/>
          </cell>
          <cell r="AA4528" t="str">
            <v/>
          </cell>
          <cell r="AB4528" t="str">
            <v/>
          </cell>
          <cell r="AC4528" t="str">
            <v/>
          </cell>
          <cell r="AD4528" t="str">
            <v/>
          </cell>
          <cell r="AY4528" t="str">
            <v/>
          </cell>
          <cell r="AZ4528" t="str">
            <v/>
          </cell>
          <cell r="BA4528" t="str">
            <v/>
          </cell>
        </row>
        <row r="4529">
          <cell r="B4529" t="str">
            <v>-</v>
          </cell>
          <cell r="E4529" t="str">
            <v/>
          </cell>
          <cell r="G4529" t="str">
            <v/>
          </cell>
          <cell r="J4529" t="str">
            <v/>
          </cell>
          <cell r="O4529" t="str">
            <v/>
          </cell>
          <cell r="P4529" t="str">
            <v/>
          </cell>
          <cell r="Q4529" t="str">
            <v/>
          </cell>
          <cell r="S4529" t="str">
            <v/>
          </cell>
          <cell r="V4529" t="str">
            <v/>
          </cell>
          <cell r="Z4529" t="str">
            <v/>
          </cell>
          <cell r="AA4529" t="str">
            <v/>
          </cell>
          <cell r="AB4529" t="str">
            <v/>
          </cell>
          <cell r="AC4529" t="str">
            <v/>
          </cell>
          <cell r="AD4529" t="str">
            <v/>
          </cell>
          <cell r="AY4529" t="str">
            <v/>
          </cell>
          <cell r="AZ4529" t="str">
            <v/>
          </cell>
          <cell r="BA4529" t="str">
            <v/>
          </cell>
        </row>
        <row r="4530">
          <cell r="B4530" t="str">
            <v>-</v>
          </cell>
          <cell r="E4530" t="str">
            <v/>
          </cell>
          <cell r="G4530" t="str">
            <v/>
          </cell>
          <cell r="J4530" t="str">
            <v/>
          </cell>
          <cell r="O4530" t="str">
            <v/>
          </cell>
          <cell r="P4530" t="str">
            <v/>
          </cell>
          <cell r="Q4530" t="str">
            <v/>
          </cell>
          <cell r="S4530" t="str">
            <v/>
          </cell>
          <cell r="V4530" t="str">
            <v/>
          </cell>
          <cell r="Z4530" t="str">
            <v/>
          </cell>
          <cell r="AA4530" t="str">
            <v/>
          </cell>
          <cell r="AB4530" t="str">
            <v/>
          </cell>
          <cell r="AC4530" t="str">
            <v/>
          </cell>
          <cell r="AD4530" t="str">
            <v/>
          </cell>
          <cell r="AY4530" t="str">
            <v/>
          </cell>
          <cell r="AZ4530" t="str">
            <v/>
          </cell>
          <cell r="BA4530" t="str">
            <v/>
          </cell>
        </row>
        <row r="4531">
          <cell r="B4531" t="str">
            <v>-</v>
          </cell>
          <cell r="E4531" t="str">
            <v/>
          </cell>
          <cell r="G4531" t="str">
            <v/>
          </cell>
          <cell r="J4531" t="str">
            <v/>
          </cell>
          <cell r="O4531" t="str">
            <v/>
          </cell>
          <cell r="P4531" t="str">
            <v/>
          </cell>
          <cell r="Q4531" t="str">
            <v/>
          </cell>
          <cell r="S4531" t="str">
            <v/>
          </cell>
          <cell r="V4531" t="str">
            <v/>
          </cell>
          <cell r="Z4531" t="str">
            <v/>
          </cell>
          <cell r="AA4531" t="str">
            <v/>
          </cell>
          <cell r="AB4531" t="str">
            <v/>
          </cell>
          <cell r="AC4531" t="str">
            <v/>
          </cell>
          <cell r="AD4531" t="str">
            <v/>
          </cell>
          <cell r="AY4531" t="str">
            <v/>
          </cell>
          <cell r="AZ4531" t="str">
            <v/>
          </cell>
          <cell r="BA4531" t="str">
            <v/>
          </cell>
        </row>
        <row r="4532">
          <cell r="B4532" t="str">
            <v>-</v>
          </cell>
          <cell r="E4532" t="str">
            <v/>
          </cell>
          <cell r="G4532" t="str">
            <v/>
          </cell>
          <cell r="J4532" t="str">
            <v/>
          </cell>
          <cell r="O4532" t="str">
            <v/>
          </cell>
          <cell r="P4532" t="str">
            <v/>
          </cell>
          <cell r="Q4532" t="str">
            <v/>
          </cell>
          <cell r="S4532" t="str">
            <v/>
          </cell>
          <cell r="V4532" t="str">
            <v/>
          </cell>
          <cell r="Z4532" t="str">
            <v/>
          </cell>
          <cell r="AA4532" t="str">
            <v/>
          </cell>
          <cell r="AB4532" t="str">
            <v/>
          </cell>
          <cell r="AC4532" t="str">
            <v/>
          </cell>
          <cell r="AD4532" t="str">
            <v/>
          </cell>
          <cell r="AY4532" t="str">
            <v/>
          </cell>
          <cell r="AZ4532" t="str">
            <v/>
          </cell>
          <cell r="BA4532" t="str">
            <v/>
          </cell>
        </row>
        <row r="4533">
          <cell r="B4533" t="str">
            <v>-</v>
          </cell>
          <cell r="E4533" t="str">
            <v/>
          </cell>
          <cell r="G4533" t="str">
            <v/>
          </cell>
          <cell r="J4533" t="str">
            <v/>
          </cell>
          <cell r="O4533" t="str">
            <v/>
          </cell>
          <cell r="P4533" t="str">
            <v/>
          </cell>
          <cell r="Q4533" t="str">
            <v/>
          </cell>
          <cell r="S4533" t="str">
            <v/>
          </cell>
          <cell r="V4533" t="str">
            <v/>
          </cell>
          <cell r="Z4533" t="str">
            <v/>
          </cell>
          <cell r="AA4533" t="str">
            <v/>
          </cell>
          <cell r="AB4533" t="str">
            <v/>
          </cell>
          <cell r="AC4533" t="str">
            <v/>
          </cell>
          <cell r="AD4533" t="str">
            <v/>
          </cell>
          <cell r="AY4533" t="str">
            <v/>
          </cell>
          <cell r="AZ4533" t="str">
            <v/>
          </cell>
          <cell r="BA4533" t="str">
            <v/>
          </cell>
        </row>
        <row r="4534">
          <cell r="B4534" t="str">
            <v>-</v>
          </cell>
          <cell r="E4534" t="str">
            <v/>
          </cell>
          <cell r="G4534" t="str">
            <v/>
          </cell>
          <cell r="J4534" t="str">
            <v/>
          </cell>
          <cell r="O4534" t="str">
            <v/>
          </cell>
          <cell r="P4534" t="str">
            <v/>
          </cell>
          <cell r="Q4534" t="str">
            <v/>
          </cell>
          <cell r="S4534" t="str">
            <v/>
          </cell>
          <cell r="V4534" t="str">
            <v/>
          </cell>
          <cell r="Z4534" t="str">
            <v/>
          </cell>
          <cell r="AA4534" t="str">
            <v/>
          </cell>
          <cell r="AB4534" t="str">
            <v/>
          </cell>
          <cell r="AC4534" t="str">
            <v/>
          </cell>
          <cell r="AD4534" t="str">
            <v/>
          </cell>
          <cell r="AY4534" t="str">
            <v/>
          </cell>
          <cell r="AZ4534" t="str">
            <v/>
          </cell>
          <cell r="BA4534" t="str">
            <v/>
          </cell>
        </row>
        <row r="4535">
          <cell r="B4535" t="str">
            <v>-</v>
          </cell>
          <cell r="E4535" t="str">
            <v/>
          </cell>
          <cell r="G4535" t="str">
            <v/>
          </cell>
          <cell r="J4535" t="str">
            <v/>
          </cell>
          <cell r="O4535" t="str">
            <v/>
          </cell>
          <cell r="P4535" t="str">
            <v/>
          </cell>
          <cell r="Q4535" t="str">
            <v/>
          </cell>
          <cell r="S4535" t="str">
            <v/>
          </cell>
          <cell r="V4535" t="str">
            <v/>
          </cell>
          <cell r="Z4535" t="str">
            <v/>
          </cell>
          <cell r="AA4535" t="str">
            <v/>
          </cell>
          <cell r="AB4535" t="str">
            <v/>
          </cell>
          <cell r="AC4535" t="str">
            <v/>
          </cell>
          <cell r="AD4535" t="str">
            <v/>
          </cell>
          <cell r="AY4535" t="str">
            <v/>
          </cell>
          <cell r="AZ4535" t="str">
            <v/>
          </cell>
          <cell r="BA4535" t="str">
            <v/>
          </cell>
        </row>
        <row r="4536">
          <cell r="B4536" t="str">
            <v>-</v>
          </cell>
          <cell r="E4536" t="str">
            <v/>
          </cell>
          <cell r="G4536" t="str">
            <v/>
          </cell>
          <cell r="J4536" t="str">
            <v/>
          </cell>
          <cell r="O4536" t="str">
            <v/>
          </cell>
          <cell r="P4536" t="str">
            <v/>
          </cell>
          <cell r="Q4536" t="str">
            <v/>
          </cell>
          <cell r="S4536" t="str">
            <v/>
          </cell>
          <cell r="V4536" t="str">
            <v/>
          </cell>
          <cell r="Z4536" t="str">
            <v/>
          </cell>
          <cell r="AA4536" t="str">
            <v/>
          </cell>
          <cell r="AB4536" t="str">
            <v/>
          </cell>
          <cell r="AC4536" t="str">
            <v/>
          </cell>
          <cell r="AD4536" t="str">
            <v/>
          </cell>
          <cell r="AY4536" t="str">
            <v/>
          </cell>
          <cell r="AZ4536" t="str">
            <v/>
          </cell>
          <cell r="BA4536" t="str">
            <v/>
          </cell>
        </row>
        <row r="4537">
          <cell r="B4537" t="str">
            <v>-</v>
          </cell>
          <cell r="E4537" t="str">
            <v/>
          </cell>
          <cell r="G4537" t="str">
            <v/>
          </cell>
          <cell r="J4537" t="str">
            <v/>
          </cell>
          <cell r="O4537" t="str">
            <v/>
          </cell>
          <cell r="P4537" t="str">
            <v/>
          </cell>
          <cell r="Q4537" t="str">
            <v/>
          </cell>
          <cell r="S4537" t="str">
            <v/>
          </cell>
          <cell r="V4537" t="str">
            <v/>
          </cell>
          <cell r="Z4537" t="str">
            <v/>
          </cell>
          <cell r="AA4537" t="str">
            <v/>
          </cell>
          <cell r="AB4537" t="str">
            <v/>
          </cell>
          <cell r="AC4537" t="str">
            <v/>
          </cell>
          <cell r="AD4537" t="str">
            <v/>
          </cell>
          <cell r="AY4537" t="str">
            <v/>
          </cell>
          <cell r="AZ4537" t="str">
            <v/>
          </cell>
          <cell r="BA4537" t="str">
            <v/>
          </cell>
        </row>
        <row r="4538">
          <cell r="B4538" t="str">
            <v>-</v>
          </cell>
          <cell r="E4538" t="str">
            <v/>
          </cell>
          <cell r="G4538" t="str">
            <v/>
          </cell>
          <cell r="J4538" t="str">
            <v/>
          </cell>
          <cell r="O4538" t="str">
            <v/>
          </cell>
          <cell r="P4538" t="str">
            <v/>
          </cell>
          <cell r="Q4538" t="str">
            <v/>
          </cell>
          <cell r="S4538" t="str">
            <v/>
          </cell>
          <cell r="V4538" t="str">
            <v/>
          </cell>
          <cell r="Z4538" t="str">
            <v/>
          </cell>
          <cell r="AA4538" t="str">
            <v/>
          </cell>
          <cell r="AB4538" t="str">
            <v/>
          </cell>
          <cell r="AC4538" t="str">
            <v/>
          </cell>
          <cell r="AD4538" t="str">
            <v/>
          </cell>
          <cell r="AY4538" t="str">
            <v/>
          </cell>
          <cell r="AZ4538" t="str">
            <v/>
          </cell>
          <cell r="BA4538" t="str">
            <v/>
          </cell>
        </row>
        <row r="4539">
          <cell r="B4539" t="str">
            <v>-</v>
          </cell>
          <cell r="E4539" t="str">
            <v/>
          </cell>
          <cell r="G4539" t="str">
            <v/>
          </cell>
          <cell r="J4539" t="str">
            <v/>
          </cell>
          <cell r="O4539" t="str">
            <v/>
          </cell>
          <cell r="P4539" t="str">
            <v/>
          </cell>
          <cell r="Q4539" t="str">
            <v/>
          </cell>
          <cell r="S4539" t="str">
            <v/>
          </cell>
          <cell r="V4539" t="str">
            <v/>
          </cell>
          <cell r="Z4539" t="str">
            <v/>
          </cell>
          <cell r="AA4539" t="str">
            <v/>
          </cell>
          <cell r="AB4539" t="str">
            <v/>
          </cell>
          <cell r="AC4539" t="str">
            <v/>
          </cell>
          <cell r="AD4539" t="str">
            <v/>
          </cell>
          <cell r="AY4539" t="str">
            <v/>
          </cell>
          <cell r="AZ4539" t="str">
            <v/>
          </cell>
          <cell r="BA4539" t="str">
            <v/>
          </cell>
        </row>
        <row r="4540">
          <cell r="B4540" t="str">
            <v>-</v>
          </cell>
          <cell r="E4540" t="str">
            <v/>
          </cell>
          <cell r="G4540" t="str">
            <v/>
          </cell>
          <cell r="J4540" t="str">
            <v/>
          </cell>
          <cell r="O4540" t="str">
            <v/>
          </cell>
          <cell r="P4540" t="str">
            <v/>
          </cell>
          <cell r="Q4540" t="str">
            <v/>
          </cell>
          <cell r="S4540" t="str">
            <v/>
          </cell>
          <cell r="V4540" t="str">
            <v/>
          </cell>
          <cell r="Z4540" t="str">
            <v/>
          </cell>
          <cell r="AA4540" t="str">
            <v/>
          </cell>
          <cell r="AB4540" t="str">
            <v/>
          </cell>
          <cell r="AC4540" t="str">
            <v/>
          </cell>
          <cell r="AD4540" t="str">
            <v/>
          </cell>
          <cell r="AY4540" t="str">
            <v/>
          </cell>
          <cell r="AZ4540" t="str">
            <v/>
          </cell>
          <cell r="BA4540" t="str">
            <v/>
          </cell>
        </row>
        <row r="4541">
          <cell r="B4541" t="str">
            <v>-</v>
          </cell>
          <cell r="E4541" t="str">
            <v/>
          </cell>
          <cell r="G4541" t="str">
            <v/>
          </cell>
          <cell r="J4541" t="str">
            <v/>
          </cell>
          <cell r="O4541" t="str">
            <v/>
          </cell>
          <cell r="P4541" t="str">
            <v/>
          </cell>
          <cell r="Q4541" t="str">
            <v/>
          </cell>
          <cell r="S4541" t="str">
            <v/>
          </cell>
          <cell r="V4541" t="str">
            <v/>
          </cell>
          <cell r="Z4541" t="str">
            <v/>
          </cell>
          <cell r="AA4541" t="str">
            <v/>
          </cell>
          <cell r="AB4541" t="str">
            <v/>
          </cell>
          <cell r="AC4541" t="str">
            <v/>
          </cell>
          <cell r="AD4541" t="str">
            <v/>
          </cell>
          <cell r="AY4541" t="str">
            <v/>
          </cell>
          <cell r="AZ4541" t="str">
            <v/>
          </cell>
          <cell r="BA4541" t="str">
            <v/>
          </cell>
        </row>
        <row r="4542">
          <cell r="B4542" t="str">
            <v>-</v>
          </cell>
          <cell r="E4542" t="str">
            <v/>
          </cell>
          <cell r="G4542" t="str">
            <v/>
          </cell>
          <cell r="J4542" t="str">
            <v/>
          </cell>
          <cell r="O4542" t="str">
            <v/>
          </cell>
          <cell r="P4542" t="str">
            <v/>
          </cell>
          <cell r="Q4542" t="str">
            <v/>
          </cell>
          <cell r="S4542" t="str">
            <v/>
          </cell>
          <cell r="V4542" t="str">
            <v/>
          </cell>
          <cell r="Z4542" t="str">
            <v/>
          </cell>
          <cell r="AA4542" t="str">
            <v/>
          </cell>
          <cell r="AB4542" t="str">
            <v/>
          </cell>
          <cell r="AC4542" t="str">
            <v/>
          </cell>
          <cell r="AD4542" t="str">
            <v/>
          </cell>
          <cell r="AY4542" t="str">
            <v/>
          </cell>
          <cell r="AZ4542" t="str">
            <v/>
          </cell>
          <cell r="BA4542" t="str">
            <v/>
          </cell>
        </row>
        <row r="4543">
          <cell r="B4543" t="str">
            <v>-</v>
          </cell>
          <cell r="E4543" t="str">
            <v/>
          </cell>
          <cell r="G4543" t="str">
            <v/>
          </cell>
          <cell r="J4543" t="str">
            <v/>
          </cell>
          <cell r="O4543" t="str">
            <v/>
          </cell>
          <cell r="P4543" t="str">
            <v/>
          </cell>
          <cell r="Q4543" t="str">
            <v/>
          </cell>
          <cell r="S4543" t="str">
            <v/>
          </cell>
          <cell r="V4543" t="str">
            <v/>
          </cell>
          <cell r="Z4543" t="str">
            <v/>
          </cell>
          <cell r="AA4543" t="str">
            <v/>
          </cell>
          <cell r="AB4543" t="str">
            <v/>
          </cell>
          <cell r="AC4543" t="str">
            <v/>
          </cell>
          <cell r="AD4543" t="str">
            <v/>
          </cell>
          <cell r="AY4543" t="str">
            <v/>
          </cell>
          <cell r="AZ4543" t="str">
            <v/>
          </cell>
          <cell r="BA4543" t="str">
            <v/>
          </cell>
        </row>
        <row r="4544">
          <cell r="B4544" t="str">
            <v>-</v>
          </cell>
          <cell r="E4544" t="str">
            <v/>
          </cell>
          <cell r="G4544" t="str">
            <v/>
          </cell>
          <cell r="J4544" t="str">
            <v/>
          </cell>
          <cell r="O4544" t="str">
            <v/>
          </cell>
          <cell r="P4544" t="str">
            <v/>
          </cell>
          <cell r="Q4544" t="str">
            <v/>
          </cell>
          <cell r="S4544" t="str">
            <v/>
          </cell>
          <cell r="V4544" t="str">
            <v/>
          </cell>
          <cell r="Z4544" t="str">
            <v/>
          </cell>
          <cell r="AA4544" t="str">
            <v/>
          </cell>
          <cell r="AB4544" t="str">
            <v/>
          </cell>
          <cell r="AC4544" t="str">
            <v/>
          </cell>
          <cell r="AD4544" t="str">
            <v/>
          </cell>
          <cell r="AY4544" t="str">
            <v/>
          </cell>
          <cell r="AZ4544" t="str">
            <v/>
          </cell>
          <cell r="BA4544" t="str">
            <v/>
          </cell>
        </row>
        <row r="4545">
          <cell r="B4545" t="str">
            <v>-</v>
          </cell>
          <cell r="E4545" t="str">
            <v/>
          </cell>
          <cell r="G4545" t="str">
            <v/>
          </cell>
          <cell r="J4545" t="str">
            <v/>
          </cell>
          <cell r="O4545" t="str">
            <v/>
          </cell>
          <cell r="P4545" t="str">
            <v/>
          </cell>
          <cell r="Q4545" t="str">
            <v/>
          </cell>
          <cell r="S4545" t="str">
            <v/>
          </cell>
          <cell r="V4545" t="str">
            <v/>
          </cell>
          <cell r="Z4545" t="str">
            <v/>
          </cell>
          <cell r="AA4545" t="str">
            <v/>
          </cell>
          <cell r="AB4545" t="str">
            <v/>
          </cell>
          <cell r="AC4545" t="str">
            <v/>
          </cell>
          <cell r="AD4545" t="str">
            <v/>
          </cell>
          <cell r="AY4545" t="str">
            <v/>
          </cell>
          <cell r="AZ4545" t="str">
            <v/>
          </cell>
          <cell r="BA4545" t="str">
            <v/>
          </cell>
        </row>
        <row r="4546">
          <cell r="B4546" t="str">
            <v>-</v>
          </cell>
          <cell r="E4546" t="str">
            <v/>
          </cell>
          <cell r="G4546" t="str">
            <v/>
          </cell>
          <cell r="J4546" t="str">
            <v/>
          </cell>
          <cell r="O4546" t="str">
            <v/>
          </cell>
          <cell r="P4546" t="str">
            <v/>
          </cell>
          <cell r="Q4546" t="str">
            <v/>
          </cell>
          <cell r="S4546" t="str">
            <v/>
          </cell>
          <cell r="V4546" t="str">
            <v/>
          </cell>
          <cell r="Z4546" t="str">
            <v/>
          </cell>
          <cell r="AA4546" t="str">
            <v/>
          </cell>
          <cell r="AB4546" t="str">
            <v/>
          </cell>
          <cell r="AC4546" t="str">
            <v/>
          </cell>
          <cell r="AD4546" t="str">
            <v/>
          </cell>
          <cell r="AY4546" t="str">
            <v/>
          </cell>
          <cell r="AZ4546" t="str">
            <v/>
          </cell>
          <cell r="BA4546" t="str">
            <v/>
          </cell>
        </row>
        <row r="4547">
          <cell r="B4547" t="str">
            <v>-</v>
          </cell>
          <cell r="E4547" t="str">
            <v/>
          </cell>
          <cell r="G4547" t="str">
            <v/>
          </cell>
          <cell r="J4547" t="str">
            <v/>
          </cell>
          <cell r="O4547" t="str">
            <v/>
          </cell>
          <cell r="P4547" t="str">
            <v/>
          </cell>
          <cell r="Q4547" t="str">
            <v/>
          </cell>
          <cell r="S4547" t="str">
            <v/>
          </cell>
          <cell r="V4547" t="str">
            <v/>
          </cell>
          <cell r="Z4547" t="str">
            <v/>
          </cell>
          <cell r="AA4547" t="str">
            <v/>
          </cell>
          <cell r="AB4547" t="str">
            <v/>
          </cell>
          <cell r="AC4547" t="str">
            <v/>
          </cell>
          <cell r="AD4547" t="str">
            <v/>
          </cell>
          <cell r="AY4547" t="str">
            <v/>
          </cell>
          <cell r="AZ4547" t="str">
            <v/>
          </cell>
          <cell r="BA4547" t="str">
            <v/>
          </cell>
        </row>
        <row r="4548">
          <cell r="B4548" t="str">
            <v>-</v>
          </cell>
          <cell r="E4548" t="str">
            <v/>
          </cell>
          <cell r="G4548" t="str">
            <v/>
          </cell>
          <cell r="J4548" t="str">
            <v/>
          </cell>
          <cell r="O4548" t="str">
            <v/>
          </cell>
          <cell r="P4548" t="str">
            <v/>
          </cell>
          <cell r="Q4548" t="str">
            <v/>
          </cell>
          <cell r="S4548" t="str">
            <v/>
          </cell>
          <cell r="V4548" t="str">
            <v/>
          </cell>
          <cell r="Z4548" t="str">
            <v/>
          </cell>
          <cell r="AA4548" t="str">
            <v/>
          </cell>
          <cell r="AB4548" t="str">
            <v/>
          </cell>
          <cell r="AC4548" t="str">
            <v/>
          </cell>
          <cell r="AD4548" t="str">
            <v/>
          </cell>
          <cell r="AY4548" t="str">
            <v/>
          </cell>
          <cell r="AZ4548" t="str">
            <v/>
          </cell>
          <cell r="BA4548" t="str">
            <v/>
          </cell>
        </row>
        <row r="4549">
          <cell r="B4549" t="str">
            <v>-</v>
          </cell>
          <cell r="E4549" t="str">
            <v/>
          </cell>
          <cell r="G4549" t="str">
            <v/>
          </cell>
          <cell r="J4549" t="str">
            <v/>
          </cell>
          <cell r="O4549" t="str">
            <v/>
          </cell>
          <cell r="P4549" t="str">
            <v/>
          </cell>
          <cell r="Q4549" t="str">
            <v/>
          </cell>
          <cell r="S4549" t="str">
            <v/>
          </cell>
          <cell r="V4549" t="str">
            <v/>
          </cell>
          <cell r="Z4549" t="str">
            <v/>
          </cell>
          <cell r="AA4549" t="str">
            <v/>
          </cell>
          <cell r="AB4549" t="str">
            <v/>
          </cell>
          <cell r="AC4549" t="str">
            <v/>
          </cell>
          <cell r="AD4549" t="str">
            <v/>
          </cell>
          <cell r="AY4549" t="str">
            <v/>
          </cell>
          <cell r="AZ4549" t="str">
            <v/>
          </cell>
          <cell r="BA4549" t="str">
            <v/>
          </cell>
        </row>
        <row r="4550">
          <cell r="B4550" t="str">
            <v>-</v>
          </cell>
          <cell r="E4550" t="str">
            <v/>
          </cell>
          <cell r="G4550" t="str">
            <v/>
          </cell>
          <cell r="J4550" t="str">
            <v/>
          </cell>
          <cell r="O4550" t="str">
            <v/>
          </cell>
          <cell r="P4550" t="str">
            <v/>
          </cell>
          <cell r="Q4550" t="str">
            <v/>
          </cell>
          <cell r="S4550" t="str">
            <v/>
          </cell>
          <cell r="V4550" t="str">
            <v/>
          </cell>
          <cell r="Z4550" t="str">
            <v/>
          </cell>
          <cell r="AA4550" t="str">
            <v/>
          </cell>
          <cell r="AB4550" t="str">
            <v/>
          </cell>
          <cell r="AC4550" t="str">
            <v/>
          </cell>
          <cell r="AD4550" t="str">
            <v/>
          </cell>
          <cell r="AY4550" t="str">
            <v/>
          </cell>
          <cell r="AZ4550" t="str">
            <v/>
          </cell>
          <cell r="BA4550" t="str">
            <v/>
          </cell>
        </row>
        <row r="4551">
          <cell r="B4551" t="str">
            <v>-</v>
          </cell>
          <cell r="E4551" t="str">
            <v/>
          </cell>
          <cell r="G4551" t="str">
            <v/>
          </cell>
          <cell r="J4551" t="str">
            <v/>
          </cell>
          <cell r="O4551" t="str">
            <v/>
          </cell>
          <cell r="P4551" t="str">
            <v/>
          </cell>
          <cell r="Q4551" t="str">
            <v/>
          </cell>
          <cell r="S4551" t="str">
            <v/>
          </cell>
          <cell r="V4551" t="str">
            <v/>
          </cell>
          <cell r="Z4551" t="str">
            <v/>
          </cell>
          <cell r="AA4551" t="str">
            <v/>
          </cell>
          <cell r="AB4551" t="str">
            <v/>
          </cell>
          <cell r="AC4551" t="str">
            <v/>
          </cell>
          <cell r="AD4551" t="str">
            <v/>
          </cell>
          <cell r="AY4551" t="str">
            <v/>
          </cell>
          <cell r="AZ4551" t="str">
            <v/>
          </cell>
          <cell r="BA4551" t="str">
            <v/>
          </cell>
        </row>
        <row r="4552">
          <cell r="B4552" t="str">
            <v>-</v>
          </cell>
          <cell r="E4552" t="str">
            <v/>
          </cell>
          <cell r="G4552" t="str">
            <v/>
          </cell>
          <cell r="J4552" t="str">
            <v/>
          </cell>
          <cell r="O4552" t="str">
            <v/>
          </cell>
          <cell r="P4552" t="str">
            <v/>
          </cell>
          <cell r="Q4552" t="str">
            <v/>
          </cell>
          <cell r="S4552" t="str">
            <v/>
          </cell>
          <cell r="V4552" t="str">
            <v/>
          </cell>
          <cell r="Z4552" t="str">
            <v/>
          </cell>
          <cell r="AA4552" t="str">
            <v/>
          </cell>
          <cell r="AB4552" t="str">
            <v/>
          </cell>
          <cell r="AC4552" t="str">
            <v/>
          </cell>
          <cell r="AD4552" t="str">
            <v/>
          </cell>
          <cell r="AY4552" t="str">
            <v/>
          </cell>
          <cell r="AZ4552" t="str">
            <v/>
          </cell>
          <cell r="BA4552" t="str">
            <v/>
          </cell>
        </row>
        <row r="4553">
          <cell r="B4553" t="str">
            <v>-</v>
          </cell>
          <cell r="E4553" t="str">
            <v/>
          </cell>
          <cell r="G4553" t="str">
            <v/>
          </cell>
          <cell r="J4553" t="str">
            <v/>
          </cell>
          <cell r="O4553" t="str">
            <v/>
          </cell>
          <cell r="P4553" t="str">
            <v/>
          </cell>
          <cell r="Q4553" t="str">
            <v/>
          </cell>
          <cell r="S4553" t="str">
            <v/>
          </cell>
          <cell r="V4553" t="str">
            <v/>
          </cell>
          <cell r="Z4553" t="str">
            <v/>
          </cell>
          <cell r="AA4553" t="str">
            <v/>
          </cell>
          <cell r="AB4553" t="str">
            <v/>
          </cell>
          <cell r="AC4553" t="str">
            <v/>
          </cell>
          <cell r="AD4553" t="str">
            <v/>
          </cell>
          <cell r="AY4553" t="str">
            <v/>
          </cell>
          <cell r="AZ4553" t="str">
            <v/>
          </cell>
          <cell r="BA4553" t="str">
            <v/>
          </cell>
        </row>
        <row r="4554">
          <cell r="B4554" t="str">
            <v>-</v>
          </cell>
          <cell r="E4554" t="str">
            <v/>
          </cell>
          <cell r="G4554" t="str">
            <v/>
          </cell>
          <cell r="J4554" t="str">
            <v/>
          </cell>
          <cell r="O4554" t="str">
            <v/>
          </cell>
          <cell r="P4554" t="str">
            <v/>
          </cell>
          <cell r="Q4554" t="str">
            <v/>
          </cell>
          <cell r="S4554" t="str">
            <v/>
          </cell>
          <cell r="V4554" t="str">
            <v/>
          </cell>
          <cell r="Z4554" t="str">
            <v/>
          </cell>
          <cell r="AA4554" t="str">
            <v/>
          </cell>
          <cell r="AB4554" t="str">
            <v/>
          </cell>
          <cell r="AC4554" t="str">
            <v/>
          </cell>
          <cell r="AD4554" t="str">
            <v/>
          </cell>
          <cell r="AY4554" t="str">
            <v/>
          </cell>
          <cell r="AZ4554" t="str">
            <v/>
          </cell>
          <cell r="BA4554" t="str">
            <v/>
          </cell>
        </row>
        <row r="4555">
          <cell r="B4555" t="str">
            <v>-</v>
          </cell>
          <cell r="E4555" t="str">
            <v/>
          </cell>
          <cell r="G4555" t="str">
            <v/>
          </cell>
          <cell r="J4555" t="str">
            <v/>
          </cell>
          <cell r="O4555" t="str">
            <v/>
          </cell>
          <cell r="P4555" t="str">
            <v/>
          </cell>
          <cell r="Q4555" t="str">
            <v/>
          </cell>
          <cell r="S4555" t="str">
            <v/>
          </cell>
          <cell r="V4555" t="str">
            <v/>
          </cell>
          <cell r="Z4555" t="str">
            <v/>
          </cell>
          <cell r="AA4555" t="str">
            <v/>
          </cell>
          <cell r="AB4555" t="str">
            <v/>
          </cell>
          <cell r="AC4555" t="str">
            <v/>
          </cell>
          <cell r="AD4555" t="str">
            <v/>
          </cell>
          <cell r="AY4555" t="str">
            <v/>
          </cell>
          <cell r="AZ4555" t="str">
            <v/>
          </cell>
          <cell r="BA4555" t="str">
            <v/>
          </cell>
        </row>
        <row r="4556">
          <cell r="B4556" t="str">
            <v>-</v>
          </cell>
          <cell r="E4556" t="str">
            <v/>
          </cell>
          <cell r="G4556" t="str">
            <v/>
          </cell>
          <cell r="J4556" t="str">
            <v/>
          </cell>
          <cell r="O4556" t="str">
            <v/>
          </cell>
          <cell r="P4556" t="str">
            <v/>
          </cell>
          <cell r="Q4556" t="str">
            <v/>
          </cell>
          <cell r="S4556" t="str">
            <v/>
          </cell>
          <cell r="V4556" t="str">
            <v/>
          </cell>
          <cell r="Z4556" t="str">
            <v/>
          </cell>
          <cell r="AA4556" t="str">
            <v/>
          </cell>
          <cell r="AB4556" t="str">
            <v/>
          </cell>
          <cell r="AC4556" t="str">
            <v/>
          </cell>
          <cell r="AD4556" t="str">
            <v/>
          </cell>
          <cell r="AY4556" t="str">
            <v/>
          </cell>
          <cell r="AZ4556" t="str">
            <v/>
          </cell>
          <cell r="BA4556" t="str">
            <v/>
          </cell>
        </row>
        <row r="4557">
          <cell r="B4557" t="str">
            <v>-</v>
          </cell>
          <cell r="E4557" t="str">
            <v/>
          </cell>
          <cell r="G4557" t="str">
            <v/>
          </cell>
          <cell r="J4557" t="str">
            <v/>
          </cell>
          <cell r="O4557" t="str">
            <v/>
          </cell>
          <cell r="P4557" t="str">
            <v/>
          </cell>
          <cell r="Q4557" t="str">
            <v/>
          </cell>
          <cell r="S4557" t="str">
            <v/>
          </cell>
          <cell r="V4557" t="str">
            <v/>
          </cell>
          <cell r="Z4557" t="str">
            <v/>
          </cell>
          <cell r="AA4557" t="str">
            <v/>
          </cell>
          <cell r="AB4557" t="str">
            <v/>
          </cell>
          <cell r="AC4557" t="str">
            <v/>
          </cell>
          <cell r="AD4557" t="str">
            <v/>
          </cell>
          <cell r="AY4557" t="str">
            <v/>
          </cell>
          <cell r="AZ4557" t="str">
            <v/>
          </cell>
          <cell r="BA4557" t="str">
            <v/>
          </cell>
        </row>
        <row r="4558">
          <cell r="B4558" t="str">
            <v>-</v>
          </cell>
          <cell r="E4558" t="str">
            <v/>
          </cell>
          <cell r="G4558" t="str">
            <v/>
          </cell>
          <cell r="J4558" t="str">
            <v/>
          </cell>
          <cell r="O4558" t="str">
            <v/>
          </cell>
          <cell r="P4558" t="str">
            <v/>
          </cell>
          <cell r="Q4558" t="str">
            <v/>
          </cell>
          <cell r="S4558" t="str">
            <v/>
          </cell>
          <cell r="V4558" t="str">
            <v/>
          </cell>
          <cell r="Z4558" t="str">
            <v/>
          </cell>
          <cell r="AA4558" t="str">
            <v/>
          </cell>
          <cell r="AB4558" t="str">
            <v/>
          </cell>
          <cell r="AC4558" t="str">
            <v/>
          </cell>
          <cell r="AD4558" t="str">
            <v/>
          </cell>
          <cell r="AY4558" t="str">
            <v/>
          </cell>
          <cell r="AZ4558" t="str">
            <v/>
          </cell>
          <cell r="BA4558" t="str">
            <v/>
          </cell>
        </row>
        <row r="4559">
          <cell r="B4559" t="str">
            <v>-</v>
          </cell>
          <cell r="E4559" t="str">
            <v/>
          </cell>
          <cell r="G4559" t="str">
            <v/>
          </cell>
          <cell r="J4559" t="str">
            <v/>
          </cell>
          <cell r="O4559" t="str">
            <v/>
          </cell>
          <cell r="P4559" t="str">
            <v/>
          </cell>
          <cell r="Q4559" t="str">
            <v/>
          </cell>
          <cell r="S4559" t="str">
            <v/>
          </cell>
          <cell r="V4559" t="str">
            <v/>
          </cell>
          <cell r="Z4559" t="str">
            <v/>
          </cell>
          <cell r="AA4559" t="str">
            <v/>
          </cell>
          <cell r="AB4559" t="str">
            <v/>
          </cell>
          <cell r="AC4559" t="str">
            <v/>
          </cell>
          <cell r="AD4559" t="str">
            <v/>
          </cell>
          <cell r="AY4559" t="str">
            <v/>
          </cell>
          <cell r="AZ4559" t="str">
            <v/>
          </cell>
          <cell r="BA4559" t="str">
            <v/>
          </cell>
        </row>
        <row r="4560">
          <cell r="B4560" t="str">
            <v>-</v>
          </cell>
          <cell r="E4560" t="str">
            <v/>
          </cell>
          <cell r="G4560" t="str">
            <v/>
          </cell>
          <cell r="J4560" t="str">
            <v/>
          </cell>
          <cell r="O4560" t="str">
            <v/>
          </cell>
          <cell r="P4560" t="str">
            <v/>
          </cell>
          <cell r="Q4560" t="str">
            <v/>
          </cell>
          <cell r="S4560" t="str">
            <v/>
          </cell>
          <cell r="V4560" t="str">
            <v/>
          </cell>
          <cell r="Z4560" t="str">
            <v/>
          </cell>
          <cell r="AA4560" t="str">
            <v/>
          </cell>
          <cell r="AB4560" t="str">
            <v/>
          </cell>
          <cell r="AC4560" t="str">
            <v/>
          </cell>
          <cell r="AD4560" t="str">
            <v/>
          </cell>
          <cell r="AY4560" t="str">
            <v/>
          </cell>
          <cell r="AZ4560" t="str">
            <v/>
          </cell>
          <cell r="BA4560" t="str">
            <v/>
          </cell>
        </row>
        <row r="4561">
          <cell r="B4561" t="str">
            <v>-</v>
          </cell>
          <cell r="E4561" t="str">
            <v/>
          </cell>
          <cell r="G4561" t="str">
            <v/>
          </cell>
          <cell r="J4561" t="str">
            <v/>
          </cell>
          <cell r="O4561" t="str">
            <v/>
          </cell>
          <cell r="P4561" t="str">
            <v/>
          </cell>
          <cell r="Q4561" t="str">
            <v/>
          </cell>
          <cell r="S4561" t="str">
            <v/>
          </cell>
          <cell r="V4561" t="str">
            <v/>
          </cell>
          <cell r="Z4561" t="str">
            <v/>
          </cell>
          <cell r="AA4561" t="str">
            <v/>
          </cell>
          <cell r="AB4561" t="str">
            <v/>
          </cell>
          <cell r="AC4561" t="str">
            <v/>
          </cell>
          <cell r="AD4561" t="str">
            <v/>
          </cell>
          <cell r="AY4561" t="str">
            <v/>
          </cell>
          <cell r="AZ4561" t="str">
            <v/>
          </cell>
          <cell r="BA4561" t="str">
            <v/>
          </cell>
        </row>
        <row r="4562">
          <cell r="B4562" t="str">
            <v>-</v>
          </cell>
          <cell r="E4562" t="str">
            <v/>
          </cell>
          <cell r="G4562" t="str">
            <v/>
          </cell>
          <cell r="J4562" t="str">
            <v/>
          </cell>
          <cell r="O4562" t="str">
            <v/>
          </cell>
          <cell r="P4562" t="str">
            <v/>
          </cell>
          <cell r="Q4562" t="str">
            <v/>
          </cell>
          <cell r="S4562" t="str">
            <v/>
          </cell>
          <cell r="V4562" t="str">
            <v/>
          </cell>
          <cell r="Z4562" t="str">
            <v/>
          </cell>
          <cell r="AA4562" t="str">
            <v/>
          </cell>
          <cell r="AB4562" t="str">
            <v/>
          </cell>
          <cell r="AC4562" t="str">
            <v/>
          </cell>
          <cell r="AD4562" t="str">
            <v/>
          </cell>
          <cell r="AY4562" t="str">
            <v/>
          </cell>
          <cell r="AZ4562" t="str">
            <v/>
          </cell>
          <cell r="BA4562" t="str">
            <v/>
          </cell>
        </row>
        <row r="4563">
          <cell r="B4563" t="str">
            <v>-</v>
          </cell>
          <cell r="E4563" t="str">
            <v/>
          </cell>
          <cell r="G4563" t="str">
            <v/>
          </cell>
          <cell r="J4563" t="str">
            <v/>
          </cell>
          <cell r="O4563" t="str">
            <v/>
          </cell>
          <cell r="P4563" t="str">
            <v/>
          </cell>
          <cell r="Q4563" t="str">
            <v/>
          </cell>
          <cell r="S4563" t="str">
            <v/>
          </cell>
          <cell r="V4563" t="str">
            <v/>
          </cell>
          <cell r="Z4563" t="str">
            <v/>
          </cell>
          <cell r="AA4563" t="str">
            <v/>
          </cell>
          <cell r="AB4563" t="str">
            <v/>
          </cell>
          <cell r="AC4563" t="str">
            <v/>
          </cell>
          <cell r="AD4563" t="str">
            <v/>
          </cell>
          <cell r="AY4563" t="str">
            <v/>
          </cell>
          <cell r="AZ4563" t="str">
            <v/>
          </cell>
          <cell r="BA4563" t="str">
            <v/>
          </cell>
        </row>
        <row r="4564">
          <cell r="B4564" t="str">
            <v>-</v>
          </cell>
          <cell r="E4564" t="str">
            <v/>
          </cell>
          <cell r="G4564" t="str">
            <v/>
          </cell>
          <cell r="J4564" t="str">
            <v/>
          </cell>
          <cell r="O4564" t="str">
            <v/>
          </cell>
          <cell r="P4564" t="str">
            <v/>
          </cell>
          <cell r="Q4564" t="str">
            <v/>
          </cell>
          <cell r="S4564" t="str">
            <v/>
          </cell>
          <cell r="V4564" t="str">
            <v/>
          </cell>
          <cell r="Z4564" t="str">
            <v/>
          </cell>
          <cell r="AA4564" t="str">
            <v/>
          </cell>
          <cell r="AB4564" t="str">
            <v/>
          </cell>
          <cell r="AC4564" t="str">
            <v/>
          </cell>
          <cell r="AD4564" t="str">
            <v/>
          </cell>
          <cell r="AY4564" t="str">
            <v/>
          </cell>
          <cell r="AZ4564" t="str">
            <v/>
          </cell>
          <cell r="BA4564" t="str">
            <v/>
          </cell>
        </row>
        <row r="4565">
          <cell r="B4565" t="str">
            <v>-</v>
          </cell>
          <cell r="E4565" t="str">
            <v/>
          </cell>
          <cell r="G4565" t="str">
            <v/>
          </cell>
          <cell r="J4565" t="str">
            <v/>
          </cell>
          <cell r="O4565" t="str">
            <v/>
          </cell>
          <cell r="P4565" t="str">
            <v/>
          </cell>
          <cell r="Q4565" t="str">
            <v/>
          </cell>
          <cell r="S4565" t="str">
            <v/>
          </cell>
          <cell r="V4565" t="str">
            <v/>
          </cell>
          <cell r="Z4565" t="str">
            <v/>
          </cell>
          <cell r="AA4565" t="str">
            <v/>
          </cell>
          <cell r="AB4565" t="str">
            <v/>
          </cell>
          <cell r="AC4565" t="str">
            <v/>
          </cell>
          <cell r="AD4565" t="str">
            <v/>
          </cell>
          <cell r="AY4565" t="str">
            <v/>
          </cell>
          <cell r="AZ4565" t="str">
            <v/>
          </cell>
          <cell r="BA4565" t="str">
            <v/>
          </cell>
        </row>
        <row r="4566">
          <cell r="B4566" t="str">
            <v>-</v>
          </cell>
          <cell r="E4566" t="str">
            <v/>
          </cell>
          <cell r="G4566" t="str">
            <v/>
          </cell>
          <cell r="J4566" t="str">
            <v/>
          </cell>
          <cell r="O4566" t="str">
            <v/>
          </cell>
          <cell r="P4566" t="str">
            <v/>
          </cell>
          <cell r="Q4566" t="str">
            <v/>
          </cell>
          <cell r="S4566" t="str">
            <v/>
          </cell>
          <cell r="V4566" t="str">
            <v/>
          </cell>
          <cell r="Z4566" t="str">
            <v/>
          </cell>
          <cell r="AA4566" t="str">
            <v/>
          </cell>
          <cell r="AB4566" t="str">
            <v/>
          </cell>
          <cell r="AC4566" t="str">
            <v/>
          </cell>
          <cell r="AD4566" t="str">
            <v/>
          </cell>
          <cell r="AY4566" t="str">
            <v/>
          </cell>
          <cell r="AZ4566" t="str">
            <v/>
          </cell>
          <cell r="BA4566" t="str">
            <v/>
          </cell>
        </row>
        <row r="4567">
          <cell r="B4567" t="str">
            <v>-</v>
          </cell>
          <cell r="E4567" t="str">
            <v/>
          </cell>
          <cell r="G4567" t="str">
            <v/>
          </cell>
          <cell r="J4567" t="str">
            <v/>
          </cell>
          <cell r="O4567" t="str">
            <v/>
          </cell>
          <cell r="P4567" t="str">
            <v/>
          </cell>
          <cell r="Q4567" t="str">
            <v/>
          </cell>
          <cell r="S4567" t="str">
            <v/>
          </cell>
          <cell r="V4567" t="str">
            <v/>
          </cell>
          <cell r="Z4567" t="str">
            <v/>
          </cell>
          <cell r="AA4567" t="str">
            <v/>
          </cell>
          <cell r="AB4567" t="str">
            <v/>
          </cell>
          <cell r="AC4567" t="str">
            <v/>
          </cell>
          <cell r="AD4567" t="str">
            <v/>
          </cell>
          <cell r="AY4567" t="str">
            <v/>
          </cell>
          <cell r="AZ4567" t="str">
            <v/>
          </cell>
          <cell r="BA4567" t="str">
            <v/>
          </cell>
        </row>
        <row r="4568">
          <cell r="B4568" t="str">
            <v>-</v>
          </cell>
          <cell r="E4568" t="str">
            <v/>
          </cell>
          <cell r="G4568" t="str">
            <v/>
          </cell>
          <cell r="J4568" t="str">
            <v/>
          </cell>
          <cell r="O4568" t="str">
            <v/>
          </cell>
          <cell r="P4568" t="str">
            <v/>
          </cell>
          <cell r="Q4568" t="str">
            <v/>
          </cell>
          <cell r="S4568" t="str">
            <v/>
          </cell>
          <cell r="V4568" t="str">
            <v/>
          </cell>
          <cell r="Z4568" t="str">
            <v/>
          </cell>
          <cell r="AA4568" t="str">
            <v/>
          </cell>
          <cell r="AB4568" t="str">
            <v/>
          </cell>
          <cell r="AC4568" t="str">
            <v/>
          </cell>
          <cell r="AD4568" t="str">
            <v/>
          </cell>
          <cell r="AY4568" t="str">
            <v/>
          </cell>
          <cell r="AZ4568" t="str">
            <v/>
          </cell>
          <cell r="BA4568" t="str">
            <v/>
          </cell>
        </row>
        <row r="4569">
          <cell r="B4569" t="str">
            <v>-</v>
          </cell>
          <cell r="E4569" t="str">
            <v/>
          </cell>
          <cell r="G4569" t="str">
            <v/>
          </cell>
          <cell r="J4569" t="str">
            <v/>
          </cell>
          <cell r="O4569" t="str">
            <v/>
          </cell>
          <cell r="P4569" t="str">
            <v/>
          </cell>
          <cell r="Q4569" t="str">
            <v/>
          </cell>
          <cell r="S4569" t="str">
            <v/>
          </cell>
          <cell r="V4569" t="str">
            <v/>
          </cell>
          <cell r="Z4569" t="str">
            <v/>
          </cell>
          <cell r="AA4569" t="str">
            <v/>
          </cell>
          <cell r="AB4569" t="str">
            <v/>
          </cell>
          <cell r="AC4569" t="str">
            <v/>
          </cell>
          <cell r="AD4569" t="str">
            <v/>
          </cell>
          <cell r="AY4569" t="str">
            <v/>
          </cell>
          <cell r="AZ4569" t="str">
            <v/>
          </cell>
          <cell r="BA4569" t="str">
            <v/>
          </cell>
        </row>
        <row r="4570">
          <cell r="B4570" t="str">
            <v>-</v>
          </cell>
          <cell r="E4570" t="str">
            <v/>
          </cell>
          <cell r="G4570" t="str">
            <v/>
          </cell>
          <cell r="J4570" t="str">
            <v/>
          </cell>
          <cell r="O4570" t="str">
            <v/>
          </cell>
          <cell r="P4570" t="str">
            <v/>
          </cell>
          <cell r="Q4570" t="str">
            <v/>
          </cell>
          <cell r="S4570" t="str">
            <v/>
          </cell>
          <cell r="V4570" t="str">
            <v/>
          </cell>
          <cell r="Z4570" t="str">
            <v/>
          </cell>
          <cell r="AA4570" t="str">
            <v/>
          </cell>
          <cell r="AB4570" t="str">
            <v/>
          </cell>
          <cell r="AC4570" t="str">
            <v/>
          </cell>
          <cell r="AD4570" t="str">
            <v/>
          </cell>
          <cell r="AY4570" t="str">
            <v/>
          </cell>
          <cell r="AZ4570" t="str">
            <v/>
          </cell>
          <cell r="BA4570" t="str">
            <v/>
          </cell>
        </row>
        <row r="4571">
          <cell r="B4571" t="str">
            <v>-</v>
          </cell>
          <cell r="E4571" t="str">
            <v/>
          </cell>
          <cell r="G4571" t="str">
            <v/>
          </cell>
          <cell r="J4571" t="str">
            <v/>
          </cell>
          <cell r="O4571" t="str">
            <v/>
          </cell>
          <cell r="P4571" t="str">
            <v/>
          </cell>
          <cell r="Q4571" t="str">
            <v/>
          </cell>
          <cell r="S4571" t="str">
            <v/>
          </cell>
          <cell r="V4571" t="str">
            <v/>
          </cell>
          <cell r="Z4571" t="str">
            <v/>
          </cell>
          <cell r="AA4571" t="str">
            <v/>
          </cell>
          <cell r="AB4571" t="str">
            <v/>
          </cell>
          <cell r="AC4571" t="str">
            <v/>
          </cell>
          <cell r="AD4571" t="str">
            <v/>
          </cell>
          <cell r="AY4571" t="str">
            <v/>
          </cell>
          <cell r="AZ4571" t="str">
            <v/>
          </cell>
          <cell r="BA4571" t="str">
            <v/>
          </cell>
        </row>
        <row r="4572">
          <cell r="B4572" t="str">
            <v>-</v>
          </cell>
          <cell r="E4572" t="str">
            <v/>
          </cell>
          <cell r="G4572" t="str">
            <v/>
          </cell>
          <cell r="J4572" t="str">
            <v/>
          </cell>
          <cell r="O4572" t="str">
            <v/>
          </cell>
          <cell r="P4572" t="str">
            <v/>
          </cell>
          <cell r="Q4572" t="str">
            <v/>
          </cell>
          <cell r="S4572" t="str">
            <v/>
          </cell>
          <cell r="V4572" t="str">
            <v/>
          </cell>
          <cell r="Z4572" t="str">
            <v/>
          </cell>
          <cell r="AA4572" t="str">
            <v/>
          </cell>
          <cell r="AB4572" t="str">
            <v/>
          </cell>
          <cell r="AC4572" t="str">
            <v/>
          </cell>
          <cell r="AD4572" t="str">
            <v/>
          </cell>
          <cell r="AY4572" t="str">
            <v/>
          </cell>
          <cell r="AZ4572" t="str">
            <v/>
          </cell>
          <cell r="BA4572" t="str">
            <v/>
          </cell>
        </row>
        <row r="4573">
          <cell r="B4573" t="str">
            <v>-</v>
          </cell>
          <cell r="E4573" t="str">
            <v/>
          </cell>
          <cell r="G4573" t="str">
            <v/>
          </cell>
          <cell r="J4573" t="str">
            <v/>
          </cell>
          <cell r="O4573" t="str">
            <v/>
          </cell>
          <cell r="P4573" t="str">
            <v/>
          </cell>
          <cell r="Q4573" t="str">
            <v/>
          </cell>
          <cell r="S4573" t="str">
            <v/>
          </cell>
          <cell r="V4573" t="str">
            <v/>
          </cell>
          <cell r="Z4573" t="str">
            <v/>
          </cell>
          <cell r="AA4573" t="str">
            <v/>
          </cell>
          <cell r="AB4573" t="str">
            <v/>
          </cell>
          <cell r="AC4573" t="str">
            <v/>
          </cell>
          <cell r="AD4573" t="str">
            <v/>
          </cell>
          <cell r="AY4573" t="str">
            <v/>
          </cell>
          <cell r="AZ4573" t="str">
            <v/>
          </cell>
          <cell r="BA4573" t="str">
            <v/>
          </cell>
        </row>
        <row r="4574">
          <cell r="B4574" t="str">
            <v>-</v>
          </cell>
          <cell r="E4574" t="str">
            <v/>
          </cell>
          <cell r="G4574" t="str">
            <v/>
          </cell>
          <cell r="J4574" t="str">
            <v/>
          </cell>
          <cell r="O4574" t="str">
            <v/>
          </cell>
          <cell r="P4574" t="str">
            <v/>
          </cell>
          <cell r="Q4574" t="str">
            <v/>
          </cell>
          <cell r="S4574" t="str">
            <v/>
          </cell>
          <cell r="V4574" t="str">
            <v/>
          </cell>
          <cell r="Z4574" t="str">
            <v/>
          </cell>
          <cell r="AA4574" t="str">
            <v/>
          </cell>
          <cell r="AB4574" t="str">
            <v/>
          </cell>
          <cell r="AC4574" t="str">
            <v/>
          </cell>
          <cell r="AD4574" t="str">
            <v/>
          </cell>
          <cell r="AY4574" t="str">
            <v/>
          </cell>
          <cell r="AZ4574" t="str">
            <v/>
          </cell>
          <cell r="BA4574" t="str">
            <v/>
          </cell>
        </row>
        <row r="4575">
          <cell r="B4575" t="str">
            <v>-</v>
          </cell>
          <cell r="E4575" t="str">
            <v/>
          </cell>
          <cell r="G4575" t="str">
            <v/>
          </cell>
          <cell r="J4575" t="str">
            <v/>
          </cell>
          <cell r="O4575" t="str">
            <v/>
          </cell>
          <cell r="P4575" t="str">
            <v/>
          </cell>
          <cell r="Q4575" t="str">
            <v/>
          </cell>
          <cell r="S4575" t="str">
            <v/>
          </cell>
          <cell r="V4575" t="str">
            <v/>
          </cell>
          <cell r="Z4575" t="str">
            <v/>
          </cell>
          <cell r="AA4575" t="str">
            <v/>
          </cell>
          <cell r="AB4575" t="str">
            <v/>
          </cell>
          <cell r="AC4575" t="str">
            <v/>
          </cell>
          <cell r="AD4575" t="str">
            <v/>
          </cell>
          <cell r="AY4575" t="str">
            <v/>
          </cell>
          <cell r="AZ4575" t="str">
            <v/>
          </cell>
          <cell r="BA4575" t="str">
            <v/>
          </cell>
        </row>
        <row r="4576">
          <cell r="B4576" t="str">
            <v>-</v>
          </cell>
          <cell r="E4576" t="str">
            <v/>
          </cell>
          <cell r="G4576" t="str">
            <v/>
          </cell>
          <cell r="J4576" t="str">
            <v/>
          </cell>
          <cell r="O4576" t="str">
            <v/>
          </cell>
          <cell r="P4576" t="str">
            <v/>
          </cell>
          <cell r="Q4576" t="str">
            <v/>
          </cell>
          <cell r="S4576" t="str">
            <v/>
          </cell>
          <cell r="V4576" t="str">
            <v/>
          </cell>
          <cell r="Z4576" t="str">
            <v/>
          </cell>
          <cell r="AA4576" t="str">
            <v/>
          </cell>
          <cell r="AB4576" t="str">
            <v/>
          </cell>
          <cell r="AC4576" t="str">
            <v/>
          </cell>
          <cell r="AD4576" t="str">
            <v/>
          </cell>
          <cell r="AY4576" t="str">
            <v/>
          </cell>
          <cell r="AZ4576" t="str">
            <v/>
          </cell>
          <cell r="BA4576" t="str">
            <v/>
          </cell>
        </row>
        <row r="4577">
          <cell r="B4577" t="str">
            <v>-</v>
          </cell>
          <cell r="E4577" t="str">
            <v/>
          </cell>
          <cell r="G4577" t="str">
            <v/>
          </cell>
          <cell r="J4577" t="str">
            <v/>
          </cell>
          <cell r="O4577" t="str">
            <v/>
          </cell>
          <cell r="P4577" t="str">
            <v/>
          </cell>
          <cell r="Q4577" t="str">
            <v/>
          </cell>
          <cell r="S4577" t="str">
            <v/>
          </cell>
          <cell r="V4577" t="str">
            <v/>
          </cell>
          <cell r="Z4577" t="str">
            <v/>
          </cell>
          <cell r="AA4577" t="str">
            <v/>
          </cell>
          <cell r="AB4577" t="str">
            <v/>
          </cell>
          <cell r="AC4577" t="str">
            <v/>
          </cell>
          <cell r="AD4577" t="str">
            <v/>
          </cell>
          <cell r="AY4577" t="str">
            <v/>
          </cell>
          <cell r="AZ4577" t="str">
            <v/>
          </cell>
          <cell r="BA4577" t="str">
            <v/>
          </cell>
        </row>
        <row r="4578">
          <cell r="B4578" t="str">
            <v>-</v>
          </cell>
          <cell r="E4578" t="str">
            <v/>
          </cell>
          <cell r="G4578" t="str">
            <v/>
          </cell>
          <cell r="J4578" t="str">
            <v/>
          </cell>
          <cell r="O4578" t="str">
            <v/>
          </cell>
          <cell r="P4578" t="str">
            <v/>
          </cell>
          <cell r="Q4578" t="str">
            <v/>
          </cell>
          <cell r="S4578" t="str">
            <v/>
          </cell>
          <cell r="V4578" t="str">
            <v/>
          </cell>
          <cell r="Z4578" t="str">
            <v/>
          </cell>
          <cell r="AA4578" t="str">
            <v/>
          </cell>
          <cell r="AB4578" t="str">
            <v/>
          </cell>
          <cell r="AC4578" t="str">
            <v/>
          </cell>
          <cell r="AD4578" t="str">
            <v/>
          </cell>
          <cell r="AY4578" t="str">
            <v/>
          </cell>
          <cell r="AZ4578" t="str">
            <v/>
          </cell>
          <cell r="BA4578" t="str">
            <v/>
          </cell>
        </row>
        <row r="4579">
          <cell r="B4579" t="str">
            <v>-</v>
          </cell>
          <cell r="E4579" t="str">
            <v/>
          </cell>
          <cell r="G4579" t="str">
            <v/>
          </cell>
          <cell r="J4579" t="str">
            <v/>
          </cell>
          <cell r="O4579" t="str">
            <v/>
          </cell>
          <cell r="P4579" t="str">
            <v/>
          </cell>
          <cell r="Q4579" t="str">
            <v/>
          </cell>
          <cell r="S4579" t="str">
            <v/>
          </cell>
          <cell r="V4579" t="str">
            <v/>
          </cell>
          <cell r="Z4579" t="str">
            <v/>
          </cell>
          <cell r="AA4579" t="str">
            <v/>
          </cell>
          <cell r="AB4579" t="str">
            <v/>
          </cell>
          <cell r="AC4579" t="str">
            <v/>
          </cell>
          <cell r="AD4579" t="str">
            <v/>
          </cell>
          <cell r="AY4579" t="str">
            <v/>
          </cell>
          <cell r="AZ4579" t="str">
            <v/>
          </cell>
          <cell r="BA4579" t="str">
            <v/>
          </cell>
        </row>
        <row r="4580">
          <cell r="B4580" t="str">
            <v>-</v>
          </cell>
          <cell r="E4580" t="str">
            <v/>
          </cell>
          <cell r="G4580" t="str">
            <v/>
          </cell>
          <cell r="J4580" t="str">
            <v/>
          </cell>
          <cell r="O4580" t="str">
            <v/>
          </cell>
          <cell r="P4580" t="str">
            <v/>
          </cell>
          <cell r="Q4580" t="str">
            <v/>
          </cell>
          <cell r="S4580" t="str">
            <v/>
          </cell>
          <cell r="V4580" t="str">
            <v/>
          </cell>
          <cell r="Z4580" t="str">
            <v/>
          </cell>
          <cell r="AA4580" t="str">
            <v/>
          </cell>
          <cell r="AB4580" t="str">
            <v/>
          </cell>
          <cell r="AC4580" t="str">
            <v/>
          </cell>
          <cell r="AD4580" t="str">
            <v/>
          </cell>
          <cell r="AY4580" t="str">
            <v/>
          </cell>
          <cell r="AZ4580" t="str">
            <v/>
          </cell>
          <cell r="BA4580" t="str">
            <v/>
          </cell>
        </row>
        <row r="4581">
          <cell r="B4581" t="str">
            <v>-</v>
          </cell>
          <cell r="E4581" t="str">
            <v/>
          </cell>
          <cell r="G4581" t="str">
            <v/>
          </cell>
          <cell r="J4581" t="str">
            <v/>
          </cell>
          <cell r="O4581" t="str">
            <v/>
          </cell>
          <cell r="P4581" t="str">
            <v/>
          </cell>
          <cell r="Q4581" t="str">
            <v/>
          </cell>
          <cell r="S4581" t="str">
            <v/>
          </cell>
          <cell r="V4581" t="str">
            <v/>
          </cell>
          <cell r="Z4581" t="str">
            <v/>
          </cell>
          <cell r="AA4581" t="str">
            <v/>
          </cell>
          <cell r="AB4581" t="str">
            <v/>
          </cell>
          <cell r="AC4581" t="str">
            <v/>
          </cell>
          <cell r="AD4581" t="str">
            <v/>
          </cell>
          <cell r="AY4581" t="str">
            <v/>
          </cell>
          <cell r="AZ4581" t="str">
            <v/>
          </cell>
          <cell r="BA4581" t="str">
            <v/>
          </cell>
        </row>
        <row r="4582">
          <cell r="B4582" t="str">
            <v>-</v>
          </cell>
          <cell r="E4582" t="str">
            <v/>
          </cell>
          <cell r="G4582" t="str">
            <v/>
          </cell>
          <cell r="J4582" t="str">
            <v/>
          </cell>
          <cell r="O4582" t="str">
            <v/>
          </cell>
          <cell r="P4582" t="str">
            <v/>
          </cell>
          <cell r="Q4582" t="str">
            <v/>
          </cell>
          <cell r="S4582" t="str">
            <v/>
          </cell>
          <cell r="V4582" t="str">
            <v/>
          </cell>
          <cell r="Z4582" t="str">
            <v/>
          </cell>
          <cell r="AA4582" t="str">
            <v/>
          </cell>
          <cell r="AB4582" t="str">
            <v/>
          </cell>
          <cell r="AC4582" t="str">
            <v/>
          </cell>
          <cell r="AD4582" t="str">
            <v/>
          </cell>
          <cell r="AY4582" t="str">
            <v/>
          </cell>
          <cell r="AZ4582" t="str">
            <v/>
          </cell>
          <cell r="BA4582" t="str">
            <v/>
          </cell>
        </row>
        <row r="4583">
          <cell r="B4583" t="str">
            <v>-</v>
          </cell>
          <cell r="E4583" t="str">
            <v/>
          </cell>
          <cell r="G4583" t="str">
            <v/>
          </cell>
          <cell r="J4583" t="str">
            <v/>
          </cell>
          <cell r="O4583" t="str">
            <v/>
          </cell>
          <cell r="P4583" t="str">
            <v/>
          </cell>
          <cell r="Q4583" t="str">
            <v/>
          </cell>
          <cell r="S4583" t="str">
            <v/>
          </cell>
          <cell r="V4583" t="str">
            <v/>
          </cell>
          <cell r="Z4583" t="str">
            <v/>
          </cell>
          <cell r="AA4583" t="str">
            <v/>
          </cell>
          <cell r="AB4583" t="str">
            <v/>
          </cell>
          <cell r="AC4583" t="str">
            <v/>
          </cell>
          <cell r="AD4583" t="str">
            <v/>
          </cell>
          <cell r="AY4583" t="str">
            <v/>
          </cell>
          <cell r="AZ4583" t="str">
            <v/>
          </cell>
          <cell r="BA4583" t="str">
            <v/>
          </cell>
        </row>
        <row r="4584">
          <cell r="B4584" t="str">
            <v>-</v>
          </cell>
          <cell r="E4584" t="str">
            <v/>
          </cell>
          <cell r="G4584" t="str">
            <v/>
          </cell>
          <cell r="J4584" t="str">
            <v/>
          </cell>
          <cell r="O4584" t="str">
            <v/>
          </cell>
          <cell r="P4584" t="str">
            <v/>
          </cell>
          <cell r="Q4584" t="str">
            <v/>
          </cell>
          <cell r="S4584" t="str">
            <v/>
          </cell>
          <cell r="V4584" t="str">
            <v/>
          </cell>
          <cell r="Z4584" t="str">
            <v/>
          </cell>
          <cell r="AA4584" t="str">
            <v/>
          </cell>
          <cell r="AB4584" t="str">
            <v/>
          </cell>
          <cell r="AC4584" t="str">
            <v/>
          </cell>
          <cell r="AD4584" t="str">
            <v/>
          </cell>
          <cell r="AY4584" t="str">
            <v/>
          </cell>
          <cell r="AZ4584" t="str">
            <v/>
          </cell>
          <cell r="BA4584" t="str">
            <v/>
          </cell>
        </row>
        <row r="4585">
          <cell r="B4585" t="str">
            <v>-</v>
          </cell>
          <cell r="E4585" t="str">
            <v/>
          </cell>
          <cell r="G4585" t="str">
            <v/>
          </cell>
          <cell r="J4585" t="str">
            <v/>
          </cell>
          <cell r="O4585" t="str">
            <v/>
          </cell>
          <cell r="P4585" t="str">
            <v/>
          </cell>
          <cell r="Q4585" t="str">
            <v/>
          </cell>
          <cell r="S4585" t="str">
            <v/>
          </cell>
          <cell r="V4585" t="str">
            <v/>
          </cell>
          <cell r="Z4585" t="str">
            <v/>
          </cell>
          <cell r="AA4585" t="str">
            <v/>
          </cell>
          <cell r="AB4585" t="str">
            <v/>
          </cell>
          <cell r="AC4585" t="str">
            <v/>
          </cell>
          <cell r="AD4585" t="str">
            <v/>
          </cell>
          <cell r="AY4585" t="str">
            <v/>
          </cell>
          <cell r="AZ4585" t="str">
            <v/>
          </cell>
          <cell r="BA4585" t="str">
            <v/>
          </cell>
        </row>
        <row r="4586">
          <cell r="B4586" t="str">
            <v>-</v>
          </cell>
          <cell r="E4586" t="str">
            <v/>
          </cell>
          <cell r="G4586" t="str">
            <v/>
          </cell>
          <cell r="J4586" t="str">
            <v/>
          </cell>
          <cell r="O4586" t="str">
            <v/>
          </cell>
          <cell r="P4586" t="str">
            <v/>
          </cell>
          <cell r="Q4586" t="str">
            <v/>
          </cell>
          <cell r="S4586" t="str">
            <v/>
          </cell>
          <cell r="V4586" t="str">
            <v/>
          </cell>
          <cell r="Z4586" t="str">
            <v/>
          </cell>
          <cell r="AA4586" t="str">
            <v/>
          </cell>
          <cell r="AB4586" t="str">
            <v/>
          </cell>
          <cell r="AC4586" t="str">
            <v/>
          </cell>
          <cell r="AD4586" t="str">
            <v/>
          </cell>
          <cell r="AY4586" t="str">
            <v/>
          </cell>
          <cell r="AZ4586" t="str">
            <v/>
          </cell>
          <cell r="BA4586" t="str">
            <v/>
          </cell>
        </row>
        <row r="4587">
          <cell r="B4587" t="str">
            <v>-</v>
          </cell>
          <cell r="E4587" t="str">
            <v/>
          </cell>
          <cell r="G4587" t="str">
            <v/>
          </cell>
          <cell r="J4587" t="str">
            <v/>
          </cell>
          <cell r="O4587" t="str">
            <v/>
          </cell>
          <cell r="P4587" t="str">
            <v/>
          </cell>
          <cell r="Q4587" t="str">
            <v/>
          </cell>
          <cell r="S4587" t="str">
            <v/>
          </cell>
          <cell r="V4587" t="str">
            <v/>
          </cell>
          <cell r="Z4587" t="str">
            <v/>
          </cell>
          <cell r="AA4587" t="str">
            <v/>
          </cell>
          <cell r="AB4587" t="str">
            <v/>
          </cell>
          <cell r="AC4587" t="str">
            <v/>
          </cell>
          <cell r="AD4587" t="str">
            <v/>
          </cell>
          <cell r="AY4587" t="str">
            <v/>
          </cell>
          <cell r="AZ4587" t="str">
            <v/>
          </cell>
          <cell r="BA4587" t="str">
            <v/>
          </cell>
        </row>
        <row r="4588">
          <cell r="B4588" t="str">
            <v>-</v>
          </cell>
          <cell r="E4588" t="str">
            <v/>
          </cell>
          <cell r="G4588" t="str">
            <v/>
          </cell>
          <cell r="J4588" t="str">
            <v/>
          </cell>
          <cell r="O4588" t="str">
            <v/>
          </cell>
          <cell r="P4588" t="str">
            <v/>
          </cell>
          <cell r="Q4588" t="str">
            <v/>
          </cell>
          <cell r="S4588" t="str">
            <v/>
          </cell>
          <cell r="V4588" t="str">
            <v/>
          </cell>
          <cell r="Z4588" t="str">
            <v/>
          </cell>
          <cell r="AA4588" t="str">
            <v/>
          </cell>
          <cell r="AB4588" t="str">
            <v/>
          </cell>
          <cell r="AC4588" t="str">
            <v/>
          </cell>
          <cell r="AD4588" t="str">
            <v/>
          </cell>
          <cell r="AY4588" t="str">
            <v/>
          </cell>
          <cell r="AZ4588" t="str">
            <v/>
          </cell>
          <cell r="BA4588" t="str">
            <v/>
          </cell>
        </row>
        <row r="4589">
          <cell r="B4589" t="str">
            <v>-</v>
          </cell>
          <cell r="E4589" t="str">
            <v/>
          </cell>
          <cell r="G4589" t="str">
            <v/>
          </cell>
          <cell r="J4589" t="str">
            <v/>
          </cell>
          <cell r="O4589" t="str">
            <v/>
          </cell>
          <cell r="P4589" t="str">
            <v/>
          </cell>
          <cell r="Q4589" t="str">
            <v/>
          </cell>
          <cell r="S4589" t="str">
            <v/>
          </cell>
          <cell r="V4589" t="str">
            <v/>
          </cell>
          <cell r="Z4589" t="str">
            <v/>
          </cell>
          <cell r="AA4589" t="str">
            <v/>
          </cell>
          <cell r="AB4589" t="str">
            <v/>
          </cell>
          <cell r="AC4589" t="str">
            <v/>
          </cell>
          <cell r="AD4589" t="str">
            <v/>
          </cell>
          <cell r="AY4589" t="str">
            <v/>
          </cell>
          <cell r="AZ4589" t="str">
            <v/>
          </cell>
          <cell r="BA4589" t="str">
            <v/>
          </cell>
        </row>
        <row r="4590">
          <cell r="B4590" t="str">
            <v>-</v>
          </cell>
          <cell r="E4590" t="str">
            <v/>
          </cell>
          <cell r="G4590" t="str">
            <v/>
          </cell>
          <cell r="J4590" t="str">
            <v/>
          </cell>
          <cell r="O4590" t="str">
            <v/>
          </cell>
          <cell r="P4590" t="str">
            <v/>
          </cell>
          <cell r="Q4590" t="str">
            <v/>
          </cell>
          <cell r="S4590" t="str">
            <v/>
          </cell>
          <cell r="V4590" t="str">
            <v/>
          </cell>
          <cell r="Z4590" t="str">
            <v/>
          </cell>
          <cell r="AA4590" t="str">
            <v/>
          </cell>
          <cell r="AB4590" t="str">
            <v/>
          </cell>
          <cell r="AC4590" t="str">
            <v/>
          </cell>
          <cell r="AD4590" t="str">
            <v/>
          </cell>
          <cell r="AY4590" t="str">
            <v/>
          </cell>
          <cell r="AZ4590" t="str">
            <v/>
          </cell>
          <cell r="BA4590" t="str">
            <v/>
          </cell>
        </row>
        <row r="4591">
          <cell r="B4591" t="str">
            <v>-</v>
          </cell>
          <cell r="E4591" t="str">
            <v/>
          </cell>
          <cell r="G4591" t="str">
            <v/>
          </cell>
          <cell r="J4591" t="str">
            <v/>
          </cell>
          <cell r="O4591" t="str">
            <v/>
          </cell>
          <cell r="P4591" t="str">
            <v/>
          </cell>
          <cell r="Q4591" t="str">
            <v/>
          </cell>
          <cell r="S4591" t="str">
            <v/>
          </cell>
          <cell r="V4591" t="str">
            <v/>
          </cell>
          <cell r="Z4591" t="str">
            <v/>
          </cell>
          <cell r="AA4591" t="str">
            <v/>
          </cell>
          <cell r="AB4591" t="str">
            <v/>
          </cell>
          <cell r="AC4591" t="str">
            <v/>
          </cell>
          <cell r="AD4591" t="str">
            <v/>
          </cell>
          <cell r="AY4591" t="str">
            <v/>
          </cell>
          <cell r="AZ4591" t="str">
            <v/>
          </cell>
          <cell r="BA4591" t="str">
            <v/>
          </cell>
        </row>
        <row r="4592">
          <cell r="B4592" t="str">
            <v>-</v>
          </cell>
          <cell r="E4592" t="str">
            <v/>
          </cell>
          <cell r="G4592" t="str">
            <v/>
          </cell>
          <cell r="J4592" t="str">
            <v/>
          </cell>
          <cell r="O4592" t="str">
            <v/>
          </cell>
          <cell r="P4592" t="str">
            <v/>
          </cell>
          <cell r="Q4592" t="str">
            <v/>
          </cell>
          <cell r="S4592" t="str">
            <v/>
          </cell>
          <cell r="V4592" t="str">
            <v/>
          </cell>
          <cell r="Z4592" t="str">
            <v/>
          </cell>
          <cell r="AA4592" t="str">
            <v/>
          </cell>
          <cell r="AB4592" t="str">
            <v/>
          </cell>
          <cell r="AC4592" t="str">
            <v/>
          </cell>
          <cell r="AD4592" t="str">
            <v/>
          </cell>
          <cell r="AY4592" t="str">
            <v/>
          </cell>
          <cell r="AZ4592" t="str">
            <v/>
          </cell>
          <cell r="BA4592" t="str">
            <v/>
          </cell>
        </row>
        <row r="4593">
          <cell r="B4593" t="str">
            <v>-</v>
          </cell>
          <cell r="E4593" t="str">
            <v/>
          </cell>
          <cell r="G4593" t="str">
            <v/>
          </cell>
          <cell r="J4593" t="str">
            <v/>
          </cell>
          <cell r="O4593" t="str">
            <v/>
          </cell>
          <cell r="P4593" t="str">
            <v/>
          </cell>
          <cell r="Q4593" t="str">
            <v/>
          </cell>
          <cell r="S4593" t="str">
            <v/>
          </cell>
          <cell r="V4593" t="str">
            <v/>
          </cell>
          <cell r="Z4593" t="str">
            <v/>
          </cell>
          <cell r="AA4593" t="str">
            <v/>
          </cell>
          <cell r="AB4593" t="str">
            <v/>
          </cell>
          <cell r="AC4593" t="str">
            <v/>
          </cell>
          <cell r="AD4593" t="str">
            <v/>
          </cell>
          <cell r="AY4593" t="str">
            <v/>
          </cell>
          <cell r="AZ4593" t="str">
            <v/>
          </cell>
          <cell r="BA4593" t="str">
            <v/>
          </cell>
        </row>
        <row r="4594">
          <cell r="B4594" t="str">
            <v>-</v>
          </cell>
          <cell r="E4594" t="str">
            <v/>
          </cell>
          <cell r="G4594" t="str">
            <v/>
          </cell>
          <cell r="J4594" t="str">
            <v/>
          </cell>
          <cell r="O4594" t="str">
            <v/>
          </cell>
          <cell r="P4594" t="str">
            <v/>
          </cell>
          <cell r="Q4594" t="str">
            <v/>
          </cell>
          <cell r="S4594" t="str">
            <v/>
          </cell>
          <cell r="V4594" t="str">
            <v/>
          </cell>
          <cell r="Z4594" t="str">
            <v/>
          </cell>
          <cell r="AA4594" t="str">
            <v/>
          </cell>
          <cell r="AB4594" t="str">
            <v/>
          </cell>
          <cell r="AC4594" t="str">
            <v/>
          </cell>
          <cell r="AD4594" t="str">
            <v/>
          </cell>
          <cell r="AY4594" t="str">
            <v/>
          </cell>
          <cell r="AZ4594" t="str">
            <v/>
          </cell>
          <cell r="BA4594" t="str">
            <v/>
          </cell>
        </row>
        <row r="4595">
          <cell r="B4595" t="str">
            <v>-</v>
          </cell>
          <cell r="E4595" t="str">
            <v/>
          </cell>
          <cell r="G4595" t="str">
            <v/>
          </cell>
          <cell r="J4595" t="str">
            <v/>
          </cell>
          <cell r="O4595" t="str">
            <v/>
          </cell>
          <cell r="P4595" t="str">
            <v/>
          </cell>
          <cell r="Q4595" t="str">
            <v/>
          </cell>
          <cell r="S4595" t="str">
            <v/>
          </cell>
          <cell r="V4595" t="str">
            <v/>
          </cell>
          <cell r="Z4595" t="str">
            <v/>
          </cell>
          <cell r="AA4595" t="str">
            <v/>
          </cell>
          <cell r="AB4595" t="str">
            <v/>
          </cell>
          <cell r="AC4595" t="str">
            <v/>
          </cell>
          <cell r="AD4595" t="str">
            <v/>
          </cell>
          <cell r="AY4595" t="str">
            <v/>
          </cell>
          <cell r="AZ4595" t="str">
            <v/>
          </cell>
          <cell r="BA4595" t="str">
            <v/>
          </cell>
        </row>
        <row r="4596">
          <cell r="B4596" t="str">
            <v>-</v>
          </cell>
          <cell r="E4596" t="str">
            <v/>
          </cell>
          <cell r="G4596" t="str">
            <v/>
          </cell>
          <cell r="J4596" t="str">
            <v/>
          </cell>
          <cell r="O4596" t="str">
            <v/>
          </cell>
          <cell r="P4596" t="str">
            <v/>
          </cell>
          <cell r="Q4596" t="str">
            <v/>
          </cell>
          <cell r="S4596" t="str">
            <v/>
          </cell>
          <cell r="V4596" t="str">
            <v/>
          </cell>
          <cell r="Z4596" t="str">
            <v/>
          </cell>
          <cell r="AA4596" t="str">
            <v/>
          </cell>
          <cell r="AB4596" t="str">
            <v/>
          </cell>
          <cell r="AC4596" t="str">
            <v/>
          </cell>
          <cell r="AD4596" t="str">
            <v/>
          </cell>
          <cell r="AY4596" t="str">
            <v/>
          </cell>
          <cell r="AZ4596" t="str">
            <v/>
          </cell>
          <cell r="BA4596" t="str">
            <v/>
          </cell>
        </row>
        <row r="4597">
          <cell r="B4597" t="str">
            <v>-</v>
          </cell>
          <cell r="E4597" t="str">
            <v/>
          </cell>
          <cell r="G4597" t="str">
            <v/>
          </cell>
          <cell r="J4597" t="str">
            <v/>
          </cell>
          <cell r="O4597" t="str">
            <v/>
          </cell>
          <cell r="P4597" t="str">
            <v/>
          </cell>
          <cell r="Q4597" t="str">
            <v/>
          </cell>
          <cell r="S4597" t="str">
            <v/>
          </cell>
          <cell r="V4597" t="str">
            <v/>
          </cell>
          <cell r="Z4597" t="str">
            <v/>
          </cell>
          <cell r="AA4597" t="str">
            <v/>
          </cell>
          <cell r="AB4597" t="str">
            <v/>
          </cell>
          <cell r="AC4597" t="str">
            <v/>
          </cell>
          <cell r="AD4597" t="str">
            <v/>
          </cell>
          <cell r="AY4597" t="str">
            <v/>
          </cell>
          <cell r="AZ4597" t="str">
            <v/>
          </cell>
          <cell r="BA4597" t="str">
            <v/>
          </cell>
        </row>
        <row r="4598">
          <cell r="B4598" t="str">
            <v>-</v>
          </cell>
          <cell r="E4598" t="str">
            <v/>
          </cell>
          <cell r="G4598" t="str">
            <v/>
          </cell>
          <cell r="J4598" t="str">
            <v/>
          </cell>
          <cell r="O4598" t="str">
            <v/>
          </cell>
          <cell r="P4598" t="str">
            <v/>
          </cell>
          <cell r="Q4598" t="str">
            <v/>
          </cell>
          <cell r="S4598" t="str">
            <v/>
          </cell>
          <cell r="V4598" t="str">
            <v/>
          </cell>
          <cell r="Z4598" t="str">
            <v/>
          </cell>
          <cell r="AA4598" t="str">
            <v/>
          </cell>
          <cell r="AB4598" t="str">
            <v/>
          </cell>
          <cell r="AC4598" t="str">
            <v/>
          </cell>
          <cell r="AD4598" t="str">
            <v/>
          </cell>
          <cell r="AY4598" t="str">
            <v/>
          </cell>
          <cell r="AZ4598" t="str">
            <v/>
          </cell>
          <cell r="BA4598" t="str">
            <v/>
          </cell>
        </row>
        <row r="4599">
          <cell r="B4599" t="str">
            <v>-</v>
          </cell>
          <cell r="E4599" t="str">
            <v/>
          </cell>
          <cell r="G4599" t="str">
            <v/>
          </cell>
          <cell r="J4599" t="str">
            <v/>
          </cell>
          <cell r="O4599" t="str">
            <v/>
          </cell>
          <cell r="P4599" t="str">
            <v/>
          </cell>
          <cell r="Q4599" t="str">
            <v/>
          </cell>
          <cell r="S4599" t="str">
            <v/>
          </cell>
          <cell r="V4599" t="str">
            <v/>
          </cell>
          <cell r="Z4599" t="str">
            <v/>
          </cell>
          <cell r="AA4599" t="str">
            <v/>
          </cell>
          <cell r="AB4599" t="str">
            <v/>
          </cell>
          <cell r="AC4599" t="str">
            <v/>
          </cell>
          <cell r="AD4599" t="str">
            <v/>
          </cell>
          <cell r="AY4599" t="str">
            <v/>
          </cell>
          <cell r="AZ4599" t="str">
            <v/>
          </cell>
          <cell r="BA4599" t="str">
            <v/>
          </cell>
        </row>
        <row r="4600">
          <cell r="B4600" t="str">
            <v>-</v>
          </cell>
          <cell r="E4600" t="str">
            <v/>
          </cell>
          <cell r="G4600" t="str">
            <v/>
          </cell>
          <cell r="J4600" t="str">
            <v/>
          </cell>
          <cell r="O4600" t="str">
            <v/>
          </cell>
          <cell r="P4600" t="str">
            <v/>
          </cell>
          <cell r="Q4600" t="str">
            <v/>
          </cell>
          <cell r="S4600" t="str">
            <v/>
          </cell>
          <cell r="V4600" t="str">
            <v/>
          </cell>
          <cell r="Z4600" t="str">
            <v/>
          </cell>
          <cell r="AA4600" t="str">
            <v/>
          </cell>
          <cell r="AB4600" t="str">
            <v/>
          </cell>
          <cell r="AC4600" t="str">
            <v/>
          </cell>
          <cell r="AD4600" t="str">
            <v/>
          </cell>
          <cell r="AY4600" t="str">
            <v/>
          </cell>
          <cell r="AZ4600" t="str">
            <v/>
          </cell>
          <cell r="BA4600" t="str">
            <v/>
          </cell>
        </row>
        <row r="4601">
          <cell r="B4601" t="str">
            <v>-</v>
          </cell>
          <cell r="E4601" t="str">
            <v/>
          </cell>
          <cell r="G4601" t="str">
            <v/>
          </cell>
          <cell r="J4601" t="str">
            <v/>
          </cell>
          <cell r="O4601" t="str">
            <v/>
          </cell>
          <cell r="P4601" t="str">
            <v/>
          </cell>
          <cell r="Q4601" t="str">
            <v/>
          </cell>
          <cell r="S4601" t="str">
            <v/>
          </cell>
          <cell r="V4601" t="str">
            <v/>
          </cell>
          <cell r="Z4601" t="str">
            <v/>
          </cell>
          <cell r="AA4601" t="str">
            <v/>
          </cell>
          <cell r="AB4601" t="str">
            <v/>
          </cell>
          <cell r="AC4601" t="str">
            <v/>
          </cell>
          <cell r="AD4601" t="str">
            <v/>
          </cell>
          <cell r="AY4601" t="str">
            <v/>
          </cell>
          <cell r="AZ4601" t="str">
            <v/>
          </cell>
          <cell r="BA4601" t="str">
            <v/>
          </cell>
        </row>
        <row r="4602">
          <cell r="B4602" t="str">
            <v>-</v>
          </cell>
          <cell r="E4602" t="str">
            <v/>
          </cell>
          <cell r="G4602" t="str">
            <v/>
          </cell>
          <cell r="J4602" t="str">
            <v/>
          </cell>
          <cell r="O4602" t="str">
            <v/>
          </cell>
          <cell r="P4602" t="str">
            <v/>
          </cell>
          <cell r="Q4602" t="str">
            <v/>
          </cell>
          <cell r="S4602" t="str">
            <v/>
          </cell>
          <cell r="V4602" t="str">
            <v/>
          </cell>
          <cell r="Z4602" t="str">
            <v/>
          </cell>
          <cell r="AA4602" t="str">
            <v/>
          </cell>
          <cell r="AB4602" t="str">
            <v/>
          </cell>
          <cell r="AC4602" t="str">
            <v/>
          </cell>
          <cell r="AD4602" t="str">
            <v/>
          </cell>
          <cell r="AY4602" t="str">
            <v/>
          </cell>
          <cell r="AZ4602" t="str">
            <v/>
          </cell>
          <cell r="BA4602" t="str">
            <v/>
          </cell>
        </row>
        <row r="4603">
          <cell r="B4603" t="str">
            <v>-</v>
          </cell>
          <cell r="E4603" t="str">
            <v/>
          </cell>
          <cell r="G4603" t="str">
            <v/>
          </cell>
          <cell r="J4603" t="str">
            <v/>
          </cell>
          <cell r="O4603" t="str">
            <v/>
          </cell>
          <cell r="P4603" t="str">
            <v/>
          </cell>
          <cell r="Q4603" t="str">
            <v/>
          </cell>
          <cell r="S4603" t="str">
            <v/>
          </cell>
          <cell r="V4603" t="str">
            <v/>
          </cell>
          <cell r="Z4603" t="str">
            <v/>
          </cell>
          <cell r="AA4603" t="str">
            <v/>
          </cell>
          <cell r="AB4603" t="str">
            <v/>
          </cell>
          <cell r="AC4603" t="str">
            <v/>
          </cell>
          <cell r="AD4603" t="str">
            <v/>
          </cell>
          <cell r="AY4603" t="str">
            <v/>
          </cell>
          <cell r="AZ4603" t="str">
            <v/>
          </cell>
          <cell r="BA4603" t="str">
            <v/>
          </cell>
        </row>
        <row r="4604">
          <cell r="B4604" t="str">
            <v>-</v>
          </cell>
          <cell r="E4604" t="str">
            <v/>
          </cell>
          <cell r="G4604" t="str">
            <v/>
          </cell>
          <cell r="J4604" t="str">
            <v/>
          </cell>
          <cell r="O4604" t="str">
            <v/>
          </cell>
          <cell r="P4604" t="str">
            <v/>
          </cell>
          <cell r="Q4604" t="str">
            <v/>
          </cell>
          <cell r="S4604" t="str">
            <v/>
          </cell>
          <cell r="V4604" t="str">
            <v/>
          </cell>
          <cell r="Z4604" t="str">
            <v/>
          </cell>
          <cell r="AA4604" t="str">
            <v/>
          </cell>
          <cell r="AB4604" t="str">
            <v/>
          </cell>
          <cell r="AC4604" t="str">
            <v/>
          </cell>
          <cell r="AD4604" t="str">
            <v/>
          </cell>
          <cell r="AY4604" t="str">
            <v/>
          </cell>
          <cell r="AZ4604" t="str">
            <v/>
          </cell>
          <cell r="BA4604" t="str">
            <v/>
          </cell>
        </row>
        <row r="4605">
          <cell r="B4605" t="str">
            <v>-</v>
          </cell>
          <cell r="E4605" t="str">
            <v/>
          </cell>
          <cell r="G4605" t="str">
            <v/>
          </cell>
          <cell r="J4605" t="str">
            <v/>
          </cell>
          <cell r="O4605" t="str">
            <v/>
          </cell>
          <cell r="P4605" t="str">
            <v/>
          </cell>
          <cell r="Q4605" t="str">
            <v/>
          </cell>
          <cell r="S4605" t="str">
            <v/>
          </cell>
          <cell r="V4605" t="str">
            <v/>
          </cell>
          <cell r="Z4605" t="str">
            <v/>
          </cell>
          <cell r="AA4605" t="str">
            <v/>
          </cell>
          <cell r="AB4605" t="str">
            <v/>
          </cell>
          <cell r="AC4605" t="str">
            <v/>
          </cell>
          <cell r="AD4605" t="str">
            <v/>
          </cell>
          <cell r="AY4605" t="str">
            <v/>
          </cell>
          <cell r="AZ4605" t="str">
            <v/>
          </cell>
          <cell r="BA4605" t="str">
            <v/>
          </cell>
        </row>
        <row r="4606">
          <cell r="B4606" t="str">
            <v>-</v>
          </cell>
          <cell r="E4606" t="str">
            <v/>
          </cell>
          <cell r="G4606" t="str">
            <v/>
          </cell>
          <cell r="J4606" t="str">
            <v/>
          </cell>
          <cell r="O4606" t="str">
            <v/>
          </cell>
          <cell r="P4606" t="str">
            <v/>
          </cell>
          <cell r="Q4606" t="str">
            <v/>
          </cell>
          <cell r="S4606" t="str">
            <v/>
          </cell>
          <cell r="V4606" t="str">
            <v/>
          </cell>
          <cell r="Z4606" t="str">
            <v/>
          </cell>
          <cell r="AA4606" t="str">
            <v/>
          </cell>
          <cell r="AB4606" t="str">
            <v/>
          </cell>
          <cell r="AC4606" t="str">
            <v/>
          </cell>
          <cell r="AD4606" t="str">
            <v/>
          </cell>
          <cell r="AY4606" t="str">
            <v/>
          </cell>
          <cell r="AZ4606" t="str">
            <v/>
          </cell>
          <cell r="BA4606" t="str">
            <v/>
          </cell>
        </row>
        <row r="4607">
          <cell r="B4607" t="str">
            <v>-</v>
          </cell>
          <cell r="E4607" t="str">
            <v/>
          </cell>
          <cell r="G4607" t="str">
            <v/>
          </cell>
          <cell r="J4607" t="str">
            <v/>
          </cell>
          <cell r="O4607" t="str">
            <v/>
          </cell>
          <cell r="P4607" t="str">
            <v/>
          </cell>
          <cell r="Q4607" t="str">
            <v/>
          </cell>
          <cell r="S4607" t="str">
            <v/>
          </cell>
          <cell r="V4607" t="str">
            <v/>
          </cell>
          <cell r="Z4607" t="str">
            <v/>
          </cell>
          <cell r="AA4607" t="str">
            <v/>
          </cell>
          <cell r="AB4607" t="str">
            <v/>
          </cell>
          <cell r="AC4607" t="str">
            <v/>
          </cell>
          <cell r="AD4607" t="str">
            <v/>
          </cell>
          <cell r="AY4607" t="str">
            <v/>
          </cell>
          <cell r="AZ4607" t="str">
            <v/>
          </cell>
          <cell r="BA4607" t="str">
            <v/>
          </cell>
        </row>
        <row r="4608">
          <cell r="B4608" t="str">
            <v>-</v>
          </cell>
          <cell r="E4608" t="str">
            <v/>
          </cell>
          <cell r="G4608" t="str">
            <v/>
          </cell>
          <cell r="J4608" t="str">
            <v/>
          </cell>
          <cell r="O4608" t="str">
            <v/>
          </cell>
          <cell r="P4608" t="str">
            <v/>
          </cell>
          <cell r="Q4608" t="str">
            <v/>
          </cell>
          <cell r="S4608" t="str">
            <v/>
          </cell>
          <cell r="V4608" t="str">
            <v/>
          </cell>
          <cell r="Z4608" t="str">
            <v/>
          </cell>
          <cell r="AA4608" t="str">
            <v/>
          </cell>
          <cell r="AB4608" t="str">
            <v/>
          </cell>
          <cell r="AC4608" t="str">
            <v/>
          </cell>
          <cell r="AD4608" t="str">
            <v/>
          </cell>
          <cell r="AY4608" t="str">
            <v/>
          </cell>
          <cell r="AZ4608" t="str">
            <v/>
          </cell>
          <cell r="BA4608" t="str">
            <v/>
          </cell>
        </row>
        <row r="4609">
          <cell r="B4609" t="str">
            <v>-</v>
          </cell>
          <cell r="E4609" t="str">
            <v/>
          </cell>
          <cell r="G4609" t="str">
            <v/>
          </cell>
          <cell r="J4609" t="str">
            <v/>
          </cell>
          <cell r="O4609" t="str">
            <v/>
          </cell>
          <cell r="P4609" t="str">
            <v/>
          </cell>
          <cell r="Q4609" t="str">
            <v/>
          </cell>
          <cell r="S4609" t="str">
            <v/>
          </cell>
          <cell r="V4609" t="str">
            <v/>
          </cell>
          <cell r="Z4609" t="str">
            <v/>
          </cell>
          <cell r="AA4609" t="str">
            <v/>
          </cell>
          <cell r="AB4609" t="str">
            <v/>
          </cell>
          <cell r="AC4609" t="str">
            <v/>
          </cell>
          <cell r="AD4609" t="str">
            <v/>
          </cell>
          <cell r="AY4609" t="str">
            <v/>
          </cell>
          <cell r="AZ4609" t="str">
            <v/>
          </cell>
          <cell r="BA4609" t="str">
            <v/>
          </cell>
        </row>
        <row r="4610">
          <cell r="B4610" t="str">
            <v>-</v>
          </cell>
          <cell r="E4610" t="str">
            <v/>
          </cell>
          <cell r="G4610" t="str">
            <v/>
          </cell>
          <cell r="J4610" t="str">
            <v/>
          </cell>
          <cell r="O4610" t="str">
            <v/>
          </cell>
          <cell r="P4610" t="str">
            <v/>
          </cell>
          <cell r="Q4610" t="str">
            <v/>
          </cell>
          <cell r="S4610" t="str">
            <v/>
          </cell>
          <cell r="V4610" t="str">
            <v/>
          </cell>
          <cell r="Z4610" t="str">
            <v/>
          </cell>
          <cell r="AA4610" t="str">
            <v/>
          </cell>
          <cell r="AB4610" t="str">
            <v/>
          </cell>
          <cell r="AC4610" t="str">
            <v/>
          </cell>
          <cell r="AD4610" t="str">
            <v/>
          </cell>
          <cell r="AY4610" t="str">
            <v/>
          </cell>
          <cell r="AZ4610" t="str">
            <v/>
          </cell>
          <cell r="BA4610" t="str">
            <v/>
          </cell>
        </row>
        <row r="4611">
          <cell r="B4611" t="str">
            <v>-</v>
          </cell>
          <cell r="E4611" t="str">
            <v/>
          </cell>
          <cell r="G4611" t="str">
            <v/>
          </cell>
          <cell r="J4611" t="str">
            <v/>
          </cell>
          <cell r="O4611" t="str">
            <v/>
          </cell>
          <cell r="P4611" t="str">
            <v/>
          </cell>
          <cell r="Q4611" t="str">
            <v/>
          </cell>
          <cell r="S4611" t="str">
            <v/>
          </cell>
          <cell r="V4611" t="str">
            <v/>
          </cell>
          <cell r="Z4611" t="str">
            <v/>
          </cell>
          <cell r="AA4611" t="str">
            <v/>
          </cell>
          <cell r="AB4611" t="str">
            <v/>
          </cell>
          <cell r="AC4611" t="str">
            <v/>
          </cell>
          <cell r="AD4611" t="str">
            <v/>
          </cell>
          <cell r="AY4611" t="str">
            <v/>
          </cell>
          <cell r="AZ4611" t="str">
            <v/>
          </cell>
          <cell r="BA4611" t="str">
            <v/>
          </cell>
        </row>
        <row r="4612">
          <cell r="B4612" t="str">
            <v>-</v>
          </cell>
          <cell r="E4612" t="str">
            <v/>
          </cell>
          <cell r="G4612" t="str">
            <v/>
          </cell>
          <cell r="J4612" t="str">
            <v/>
          </cell>
          <cell r="O4612" t="str">
            <v/>
          </cell>
          <cell r="P4612" t="str">
            <v/>
          </cell>
          <cell r="Q4612" t="str">
            <v/>
          </cell>
          <cell r="S4612" t="str">
            <v/>
          </cell>
          <cell r="V4612" t="str">
            <v/>
          </cell>
          <cell r="Z4612" t="str">
            <v/>
          </cell>
          <cell r="AA4612" t="str">
            <v/>
          </cell>
          <cell r="AB4612" t="str">
            <v/>
          </cell>
          <cell r="AC4612" t="str">
            <v/>
          </cell>
          <cell r="AD4612" t="str">
            <v/>
          </cell>
          <cell r="AY4612" t="str">
            <v/>
          </cell>
          <cell r="AZ4612" t="str">
            <v/>
          </cell>
          <cell r="BA4612" t="str">
            <v/>
          </cell>
        </row>
        <row r="4613">
          <cell r="B4613" t="str">
            <v>-</v>
          </cell>
          <cell r="E4613" t="str">
            <v/>
          </cell>
          <cell r="G4613" t="str">
            <v/>
          </cell>
          <cell r="J4613" t="str">
            <v/>
          </cell>
          <cell r="O4613" t="str">
            <v/>
          </cell>
          <cell r="P4613" t="str">
            <v/>
          </cell>
          <cell r="Q4613" t="str">
            <v/>
          </cell>
          <cell r="S4613" t="str">
            <v/>
          </cell>
          <cell r="V4613" t="str">
            <v/>
          </cell>
          <cell r="Z4613" t="str">
            <v/>
          </cell>
          <cell r="AA4613" t="str">
            <v/>
          </cell>
          <cell r="AB4613" t="str">
            <v/>
          </cell>
          <cell r="AC4613" t="str">
            <v/>
          </cell>
          <cell r="AD4613" t="str">
            <v/>
          </cell>
          <cell r="AY4613" t="str">
            <v/>
          </cell>
          <cell r="AZ4613" t="str">
            <v/>
          </cell>
          <cell r="BA4613" t="str">
            <v/>
          </cell>
        </row>
        <row r="4614">
          <cell r="B4614" t="str">
            <v>-</v>
          </cell>
          <cell r="E4614" t="str">
            <v/>
          </cell>
          <cell r="G4614" t="str">
            <v/>
          </cell>
          <cell r="J4614" t="str">
            <v/>
          </cell>
          <cell r="O4614" t="str">
            <v/>
          </cell>
          <cell r="P4614" t="str">
            <v/>
          </cell>
          <cell r="Q4614" t="str">
            <v/>
          </cell>
          <cell r="S4614" t="str">
            <v/>
          </cell>
          <cell r="V4614" t="str">
            <v/>
          </cell>
          <cell r="Z4614" t="str">
            <v/>
          </cell>
          <cell r="AA4614" t="str">
            <v/>
          </cell>
          <cell r="AB4614" t="str">
            <v/>
          </cell>
          <cell r="AC4614" t="str">
            <v/>
          </cell>
          <cell r="AD4614" t="str">
            <v/>
          </cell>
          <cell r="AY4614" t="str">
            <v/>
          </cell>
          <cell r="AZ4614" t="str">
            <v/>
          </cell>
          <cell r="BA4614" t="str">
            <v/>
          </cell>
        </row>
        <row r="4615">
          <cell r="B4615" t="str">
            <v>-</v>
          </cell>
          <cell r="E4615" t="str">
            <v/>
          </cell>
          <cell r="G4615" t="str">
            <v/>
          </cell>
          <cell r="J4615" t="str">
            <v/>
          </cell>
          <cell r="O4615" t="str">
            <v/>
          </cell>
          <cell r="P4615" t="str">
            <v/>
          </cell>
          <cell r="Q4615" t="str">
            <v/>
          </cell>
          <cell r="S4615" t="str">
            <v/>
          </cell>
          <cell r="V4615" t="str">
            <v/>
          </cell>
          <cell r="Z4615" t="str">
            <v/>
          </cell>
          <cell r="AA4615" t="str">
            <v/>
          </cell>
          <cell r="AB4615" t="str">
            <v/>
          </cell>
          <cell r="AC4615" t="str">
            <v/>
          </cell>
          <cell r="AD4615" t="str">
            <v/>
          </cell>
          <cell r="AY4615" t="str">
            <v/>
          </cell>
          <cell r="AZ4615" t="str">
            <v/>
          </cell>
          <cell r="BA4615" t="str">
            <v/>
          </cell>
        </row>
        <row r="4616">
          <cell r="B4616" t="str">
            <v>-</v>
          </cell>
          <cell r="E4616" t="str">
            <v/>
          </cell>
          <cell r="G4616" t="str">
            <v/>
          </cell>
          <cell r="J4616" t="str">
            <v/>
          </cell>
          <cell r="O4616" t="str">
            <v/>
          </cell>
          <cell r="P4616" t="str">
            <v/>
          </cell>
          <cell r="Q4616" t="str">
            <v/>
          </cell>
          <cell r="S4616" t="str">
            <v/>
          </cell>
          <cell r="V4616" t="str">
            <v/>
          </cell>
          <cell r="Z4616" t="str">
            <v/>
          </cell>
          <cell r="AA4616" t="str">
            <v/>
          </cell>
          <cell r="AB4616" t="str">
            <v/>
          </cell>
          <cell r="AC4616" t="str">
            <v/>
          </cell>
          <cell r="AD4616" t="str">
            <v/>
          </cell>
          <cell r="AY4616" t="str">
            <v/>
          </cell>
          <cell r="AZ4616" t="str">
            <v/>
          </cell>
          <cell r="BA4616" t="str">
            <v/>
          </cell>
        </row>
        <row r="4617">
          <cell r="B4617" t="str">
            <v>-</v>
          </cell>
          <cell r="E4617" t="str">
            <v/>
          </cell>
          <cell r="G4617" t="str">
            <v/>
          </cell>
          <cell r="J4617" t="str">
            <v/>
          </cell>
          <cell r="O4617" t="str">
            <v/>
          </cell>
          <cell r="P4617" t="str">
            <v/>
          </cell>
          <cell r="Q4617" t="str">
            <v/>
          </cell>
          <cell r="S4617" t="str">
            <v/>
          </cell>
          <cell r="V4617" t="str">
            <v/>
          </cell>
          <cell r="Z4617" t="str">
            <v/>
          </cell>
          <cell r="AA4617" t="str">
            <v/>
          </cell>
          <cell r="AB4617" t="str">
            <v/>
          </cell>
          <cell r="AC4617" t="str">
            <v/>
          </cell>
          <cell r="AD4617" t="str">
            <v/>
          </cell>
          <cell r="AY4617" t="str">
            <v/>
          </cell>
          <cell r="AZ4617" t="str">
            <v/>
          </cell>
          <cell r="BA4617" t="str">
            <v/>
          </cell>
        </row>
        <row r="4618">
          <cell r="B4618" t="str">
            <v>-</v>
          </cell>
          <cell r="E4618" t="str">
            <v/>
          </cell>
          <cell r="G4618" t="str">
            <v/>
          </cell>
          <cell r="J4618" t="str">
            <v/>
          </cell>
          <cell r="O4618" t="str">
            <v/>
          </cell>
          <cell r="P4618" t="str">
            <v/>
          </cell>
          <cell r="Q4618" t="str">
            <v/>
          </cell>
          <cell r="S4618" t="str">
            <v/>
          </cell>
          <cell r="V4618" t="str">
            <v/>
          </cell>
          <cell r="Z4618" t="str">
            <v/>
          </cell>
          <cell r="AA4618" t="str">
            <v/>
          </cell>
          <cell r="AB4618" t="str">
            <v/>
          </cell>
          <cell r="AC4618" t="str">
            <v/>
          </cell>
          <cell r="AD4618" t="str">
            <v/>
          </cell>
          <cell r="AY4618" t="str">
            <v/>
          </cell>
          <cell r="AZ4618" t="str">
            <v/>
          </cell>
          <cell r="BA4618" t="str">
            <v/>
          </cell>
        </row>
        <row r="4619">
          <cell r="B4619" t="str">
            <v>-</v>
          </cell>
          <cell r="E4619" t="str">
            <v/>
          </cell>
          <cell r="G4619" t="str">
            <v/>
          </cell>
          <cell r="J4619" t="str">
            <v/>
          </cell>
          <cell r="O4619" t="str">
            <v/>
          </cell>
          <cell r="P4619" t="str">
            <v/>
          </cell>
          <cell r="Q4619" t="str">
            <v/>
          </cell>
          <cell r="S4619" t="str">
            <v/>
          </cell>
          <cell r="V4619" t="str">
            <v/>
          </cell>
          <cell r="Z4619" t="str">
            <v/>
          </cell>
          <cell r="AA4619" t="str">
            <v/>
          </cell>
          <cell r="AB4619" t="str">
            <v/>
          </cell>
          <cell r="AC4619" t="str">
            <v/>
          </cell>
          <cell r="AD4619" t="str">
            <v/>
          </cell>
          <cell r="AY4619" t="str">
            <v/>
          </cell>
          <cell r="AZ4619" t="str">
            <v/>
          </cell>
          <cell r="BA4619" t="str">
            <v/>
          </cell>
        </row>
        <row r="4620">
          <cell r="B4620" t="str">
            <v>-</v>
          </cell>
          <cell r="E4620" t="str">
            <v/>
          </cell>
          <cell r="G4620" t="str">
            <v/>
          </cell>
          <cell r="J4620" t="str">
            <v/>
          </cell>
          <cell r="O4620" t="str">
            <v/>
          </cell>
          <cell r="P4620" t="str">
            <v/>
          </cell>
          <cell r="Q4620" t="str">
            <v/>
          </cell>
          <cell r="S4620" t="str">
            <v/>
          </cell>
          <cell r="V4620" t="str">
            <v/>
          </cell>
          <cell r="Z4620" t="str">
            <v/>
          </cell>
          <cell r="AA4620" t="str">
            <v/>
          </cell>
          <cell r="AB4620" t="str">
            <v/>
          </cell>
          <cell r="AC4620" t="str">
            <v/>
          </cell>
          <cell r="AD4620" t="str">
            <v/>
          </cell>
          <cell r="AY4620" t="str">
            <v/>
          </cell>
          <cell r="AZ4620" t="str">
            <v/>
          </cell>
          <cell r="BA4620" t="str">
            <v/>
          </cell>
        </row>
        <row r="4621">
          <cell r="B4621" t="str">
            <v>-</v>
          </cell>
          <cell r="E4621" t="str">
            <v/>
          </cell>
          <cell r="G4621" t="str">
            <v/>
          </cell>
          <cell r="J4621" t="str">
            <v/>
          </cell>
          <cell r="O4621" t="str">
            <v/>
          </cell>
          <cell r="P4621" t="str">
            <v/>
          </cell>
          <cell r="Q4621" t="str">
            <v/>
          </cell>
          <cell r="S4621" t="str">
            <v/>
          </cell>
          <cell r="V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 t="str">
            <v/>
          </cell>
          <cell r="AD4621" t="str">
            <v/>
          </cell>
          <cell r="AY4621" t="str">
            <v/>
          </cell>
          <cell r="AZ4621" t="str">
            <v/>
          </cell>
          <cell r="BA4621" t="str">
            <v/>
          </cell>
        </row>
        <row r="4622">
          <cell r="B4622" t="str">
            <v>-</v>
          </cell>
          <cell r="E4622" t="str">
            <v/>
          </cell>
          <cell r="G4622" t="str">
            <v/>
          </cell>
          <cell r="J4622" t="str">
            <v/>
          </cell>
          <cell r="O4622" t="str">
            <v/>
          </cell>
          <cell r="P4622" t="str">
            <v/>
          </cell>
          <cell r="Q4622" t="str">
            <v/>
          </cell>
          <cell r="S4622" t="str">
            <v/>
          </cell>
          <cell r="V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 t="str">
            <v/>
          </cell>
          <cell r="AD4622" t="str">
            <v/>
          </cell>
          <cell r="AY4622" t="str">
            <v/>
          </cell>
          <cell r="AZ4622" t="str">
            <v/>
          </cell>
          <cell r="BA4622" t="str">
            <v/>
          </cell>
        </row>
        <row r="4623">
          <cell r="B4623" t="str">
            <v>-</v>
          </cell>
          <cell r="E4623" t="str">
            <v/>
          </cell>
          <cell r="G4623" t="str">
            <v/>
          </cell>
          <cell r="J4623" t="str">
            <v/>
          </cell>
          <cell r="O4623" t="str">
            <v/>
          </cell>
          <cell r="P4623" t="str">
            <v/>
          </cell>
          <cell r="Q4623" t="str">
            <v/>
          </cell>
          <cell r="S4623" t="str">
            <v/>
          </cell>
          <cell r="V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 t="str">
            <v/>
          </cell>
          <cell r="AD4623" t="str">
            <v/>
          </cell>
          <cell r="AY4623" t="str">
            <v/>
          </cell>
          <cell r="AZ4623" t="str">
            <v/>
          </cell>
          <cell r="BA4623" t="str">
            <v/>
          </cell>
        </row>
        <row r="4624">
          <cell r="B4624" t="str">
            <v>-</v>
          </cell>
          <cell r="E4624" t="str">
            <v/>
          </cell>
          <cell r="G4624" t="str">
            <v/>
          </cell>
          <cell r="J4624" t="str">
            <v/>
          </cell>
          <cell r="O4624" t="str">
            <v/>
          </cell>
          <cell r="P4624" t="str">
            <v/>
          </cell>
          <cell r="Q4624" t="str">
            <v/>
          </cell>
          <cell r="S4624" t="str">
            <v/>
          </cell>
          <cell r="V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 t="str">
            <v/>
          </cell>
          <cell r="AD4624" t="str">
            <v/>
          </cell>
          <cell r="AY4624" t="str">
            <v/>
          </cell>
          <cell r="AZ4624" t="str">
            <v/>
          </cell>
          <cell r="BA4624" t="str">
            <v/>
          </cell>
        </row>
        <row r="4625">
          <cell r="B4625" t="str">
            <v>-</v>
          </cell>
          <cell r="E4625" t="str">
            <v/>
          </cell>
          <cell r="G4625" t="str">
            <v/>
          </cell>
          <cell r="J4625" t="str">
            <v/>
          </cell>
          <cell r="O4625" t="str">
            <v/>
          </cell>
          <cell r="P4625" t="str">
            <v/>
          </cell>
          <cell r="Q4625" t="str">
            <v/>
          </cell>
          <cell r="S4625" t="str">
            <v/>
          </cell>
          <cell r="V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 t="str">
            <v/>
          </cell>
          <cell r="AD4625" t="str">
            <v/>
          </cell>
          <cell r="AY4625" t="str">
            <v/>
          </cell>
          <cell r="AZ4625" t="str">
            <v/>
          </cell>
          <cell r="BA4625" t="str">
            <v/>
          </cell>
        </row>
        <row r="4626">
          <cell r="B4626" t="str">
            <v>-</v>
          </cell>
          <cell r="E4626" t="str">
            <v/>
          </cell>
          <cell r="G4626" t="str">
            <v/>
          </cell>
          <cell r="J4626" t="str">
            <v/>
          </cell>
          <cell r="O4626" t="str">
            <v/>
          </cell>
          <cell r="P4626" t="str">
            <v/>
          </cell>
          <cell r="Q4626" t="str">
            <v/>
          </cell>
          <cell r="S4626" t="str">
            <v/>
          </cell>
          <cell r="V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 t="str">
            <v/>
          </cell>
          <cell r="AD4626" t="str">
            <v/>
          </cell>
          <cell r="AY4626" t="str">
            <v/>
          </cell>
          <cell r="AZ4626" t="str">
            <v/>
          </cell>
          <cell r="BA4626" t="str">
            <v/>
          </cell>
        </row>
        <row r="4627">
          <cell r="B4627" t="str">
            <v>-</v>
          </cell>
          <cell r="E4627" t="str">
            <v/>
          </cell>
          <cell r="G4627" t="str">
            <v/>
          </cell>
          <cell r="J4627" t="str">
            <v/>
          </cell>
          <cell r="O4627" t="str">
            <v/>
          </cell>
          <cell r="P4627" t="str">
            <v/>
          </cell>
          <cell r="Q4627" t="str">
            <v/>
          </cell>
          <cell r="S4627" t="str">
            <v/>
          </cell>
          <cell r="V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 t="str">
            <v/>
          </cell>
          <cell r="AD4627" t="str">
            <v/>
          </cell>
          <cell r="AY4627" t="str">
            <v/>
          </cell>
          <cell r="AZ4627" t="str">
            <v/>
          </cell>
          <cell r="BA4627" t="str">
            <v/>
          </cell>
        </row>
        <row r="4628">
          <cell r="B4628" t="str">
            <v>-</v>
          </cell>
          <cell r="E4628" t="str">
            <v/>
          </cell>
          <cell r="G4628" t="str">
            <v/>
          </cell>
          <cell r="J4628" t="str">
            <v/>
          </cell>
          <cell r="O4628" t="str">
            <v/>
          </cell>
          <cell r="P4628" t="str">
            <v/>
          </cell>
          <cell r="Q4628" t="str">
            <v/>
          </cell>
          <cell r="S4628" t="str">
            <v/>
          </cell>
          <cell r="V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 t="str">
            <v/>
          </cell>
          <cell r="AD4628" t="str">
            <v/>
          </cell>
          <cell r="AY4628" t="str">
            <v/>
          </cell>
          <cell r="AZ4628" t="str">
            <v/>
          </cell>
          <cell r="BA4628" t="str">
            <v/>
          </cell>
        </row>
        <row r="4629">
          <cell r="B4629" t="str">
            <v>-</v>
          </cell>
          <cell r="E4629" t="str">
            <v/>
          </cell>
          <cell r="G4629" t="str">
            <v/>
          </cell>
          <cell r="J4629" t="str">
            <v/>
          </cell>
          <cell r="O4629" t="str">
            <v/>
          </cell>
          <cell r="P4629" t="str">
            <v/>
          </cell>
          <cell r="Q4629" t="str">
            <v/>
          </cell>
          <cell r="S4629" t="str">
            <v/>
          </cell>
          <cell r="V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 t="str">
            <v/>
          </cell>
          <cell r="AD4629" t="str">
            <v/>
          </cell>
          <cell r="AY4629" t="str">
            <v/>
          </cell>
          <cell r="AZ4629" t="str">
            <v/>
          </cell>
          <cell r="BA4629" t="str">
            <v/>
          </cell>
        </row>
        <row r="4630">
          <cell r="B4630" t="str">
            <v>-</v>
          </cell>
          <cell r="E4630" t="str">
            <v/>
          </cell>
          <cell r="G4630" t="str">
            <v/>
          </cell>
          <cell r="J4630" t="str">
            <v/>
          </cell>
          <cell r="O4630" t="str">
            <v/>
          </cell>
          <cell r="P4630" t="str">
            <v/>
          </cell>
          <cell r="Q4630" t="str">
            <v/>
          </cell>
          <cell r="S4630" t="str">
            <v/>
          </cell>
          <cell r="V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 t="str">
            <v/>
          </cell>
          <cell r="AD4630" t="str">
            <v/>
          </cell>
          <cell r="AY4630" t="str">
            <v/>
          </cell>
          <cell r="AZ4630" t="str">
            <v/>
          </cell>
          <cell r="BA4630" t="str">
            <v/>
          </cell>
        </row>
        <row r="4631">
          <cell r="B4631" t="str">
            <v>-</v>
          </cell>
          <cell r="E4631" t="str">
            <v/>
          </cell>
          <cell r="G4631" t="str">
            <v/>
          </cell>
          <cell r="J4631" t="str">
            <v/>
          </cell>
          <cell r="O4631" t="str">
            <v/>
          </cell>
          <cell r="P4631" t="str">
            <v/>
          </cell>
          <cell r="Q4631" t="str">
            <v/>
          </cell>
          <cell r="S4631" t="str">
            <v/>
          </cell>
          <cell r="V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 t="str">
            <v/>
          </cell>
          <cell r="AD4631" t="str">
            <v/>
          </cell>
          <cell r="AY4631" t="str">
            <v/>
          </cell>
          <cell r="AZ4631" t="str">
            <v/>
          </cell>
          <cell r="BA4631" t="str">
            <v/>
          </cell>
        </row>
        <row r="4632">
          <cell r="B4632" t="str">
            <v>-</v>
          </cell>
          <cell r="E4632" t="str">
            <v/>
          </cell>
          <cell r="G4632" t="str">
            <v/>
          </cell>
          <cell r="J4632" t="str">
            <v/>
          </cell>
          <cell r="O4632" t="str">
            <v/>
          </cell>
          <cell r="P4632" t="str">
            <v/>
          </cell>
          <cell r="Q4632" t="str">
            <v/>
          </cell>
          <cell r="S4632" t="str">
            <v/>
          </cell>
          <cell r="V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 t="str">
            <v/>
          </cell>
          <cell r="AD4632" t="str">
            <v/>
          </cell>
          <cell r="AY4632" t="str">
            <v/>
          </cell>
          <cell r="AZ4632" t="str">
            <v/>
          </cell>
          <cell r="BA4632" t="str">
            <v/>
          </cell>
        </row>
        <row r="4633">
          <cell r="B4633" t="str">
            <v>-</v>
          </cell>
          <cell r="E4633" t="str">
            <v/>
          </cell>
          <cell r="G4633" t="str">
            <v/>
          </cell>
          <cell r="J4633" t="str">
            <v/>
          </cell>
          <cell r="O4633" t="str">
            <v/>
          </cell>
          <cell r="P4633" t="str">
            <v/>
          </cell>
          <cell r="Q4633" t="str">
            <v/>
          </cell>
          <cell r="S4633" t="str">
            <v/>
          </cell>
          <cell r="V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 t="str">
            <v/>
          </cell>
          <cell r="AD4633" t="str">
            <v/>
          </cell>
          <cell r="AY4633" t="str">
            <v/>
          </cell>
          <cell r="AZ4633" t="str">
            <v/>
          </cell>
          <cell r="BA4633" t="str">
            <v/>
          </cell>
        </row>
        <row r="4634">
          <cell r="B4634" t="str">
            <v>-</v>
          </cell>
          <cell r="E4634" t="str">
            <v/>
          </cell>
          <cell r="G4634" t="str">
            <v/>
          </cell>
          <cell r="J4634" t="str">
            <v/>
          </cell>
          <cell r="O4634" t="str">
            <v/>
          </cell>
          <cell r="P4634" t="str">
            <v/>
          </cell>
          <cell r="Q4634" t="str">
            <v/>
          </cell>
          <cell r="S4634" t="str">
            <v/>
          </cell>
          <cell r="V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 t="str">
            <v/>
          </cell>
          <cell r="AD4634" t="str">
            <v/>
          </cell>
          <cell r="AY4634" t="str">
            <v/>
          </cell>
          <cell r="AZ4634" t="str">
            <v/>
          </cell>
          <cell r="BA4634" t="str">
            <v/>
          </cell>
        </row>
        <row r="4635">
          <cell r="B4635" t="str">
            <v>-</v>
          </cell>
          <cell r="E4635" t="str">
            <v/>
          </cell>
          <cell r="G4635" t="str">
            <v/>
          </cell>
          <cell r="J4635" t="str">
            <v/>
          </cell>
          <cell r="O4635" t="str">
            <v/>
          </cell>
          <cell r="P4635" t="str">
            <v/>
          </cell>
          <cell r="Q4635" t="str">
            <v/>
          </cell>
          <cell r="S4635" t="str">
            <v/>
          </cell>
          <cell r="V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 t="str">
            <v/>
          </cell>
          <cell r="AD4635" t="str">
            <v/>
          </cell>
          <cell r="AY4635" t="str">
            <v/>
          </cell>
          <cell r="AZ4635" t="str">
            <v/>
          </cell>
          <cell r="BA4635" t="str">
            <v/>
          </cell>
        </row>
        <row r="4636">
          <cell r="B4636" t="str">
            <v>-</v>
          </cell>
          <cell r="E4636" t="str">
            <v/>
          </cell>
          <cell r="G4636" t="str">
            <v/>
          </cell>
          <cell r="J4636" t="str">
            <v/>
          </cell>
          <cell r="O4636" t="str">
            <v/>
          </cell>
          <cell r="P4636" t="str">
            <v/>
          </cell>
          <cell r="Q4636" t="str">
            <v/>
          </cell>
          <cell r="S4636" t="str">
            <v/>
          </cell>
          <cell r="V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 t="str">
            <v/>
          </cell>
          <cell r="AD4636" t="str">
            <v/>
          </cell>
          <cell r="AY4636" t="str">
            <v/>
          </cell>
          <cell r="AZ4636" t="str">
            <v/>
          </cell>
          <cell r="BA4636" t="str">
            <v/>
          </cell>
        </row>
        <row r="4637">
          <cell r="B4637" t="str">
            <v>-</v>
          </cell>
          <cell r="E4637" t="str">
            <v/>
          </cell>
          <cell r="G4637" t="str">
            <v/>
          </cell>
          <cell r="J4637" t="str">
            <v/>
          </cell>
          <cell r="O4637" t="str">
            <v/>
          </cell>
          <cell r="P4637" t="str">
            <v/>
          </cell>
          <cell r="Q4637" t="str">
            <v/>
          </cell>
          <cell r="S4637" t="str">
            <v/>
          </cell>
          <cell r="V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 t="str">
            <v/>
          </cell>
          <cell r="AD4637" t="str">
            <v/>
          </cell>
          <cell r="AY4637" t="str">
            <v/>
          </cell>
          <cell r="AZ4637" t="str">
            <v/>
          </cell>
          <cell r="BA4637" t="str">
            <v/>
          </cell>
        </row>
        <row r="4638">
          <cell r="B4638" t="str">
            <v>-</v>
          </cell>
          <cell r="E4638" t="str">
            <v/>
          </cell>
          <cell r="G4638" t="str">
            <v/>
          </cell>
          <cell r="J4638" t="str">
            <v/>
          </cell>
          <cell r="O4638" t="str">
            <v/>
          </cell>
          <cell r="P4638" t="str">
            <v/>
          </cell>
          <cell r="Q4638" t="str">
            <v/>
          </cell>
          <cell r="S4638" t="str">
            <v/>
          </cell>
          <cell r="V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 t="str">
            <v/>
          </cell>
          <cell r="AD4638" t="str">
            <v/>
          </cell>
          <cell r="AY4638" t="str">
            <v/>
          </cell>
          <cell r="AZ4638" t="str">
            <v/>
          </cell>
          <cell r="BA4638" t="str">
            <v/>
          </cell>
        </row>
        <row r="4639">
          <cell r="B4639" t="str">
            <v>-</v>
          </cell>
          <cell r="E4639" t="str">
            <v/>
          </cell>
          <cell r="G4639" t="str">
            <v/>
          </cell>
          <cell r="J4639" t="str">
            <v/>
          </cell>
          <cell r="O4639" t="str">
            <v/>
          </cell>
          <cell r="P4639" t="str">
            <v/>
          </cell>
          <cell r="Q4639" t="str">
            <v/>
          </cell>
          <cell r="S4639" t="str">
            <v/>
          </cell>
          <cell r="V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 t="str">
            <v/>
          </cell>
          <cell r="AD4639" t="str">
            <v/>
          </cell>
          <cell r="AY4639" t="str">
            <v/>
          </cell>
          <cell r="AZ4639" t="str">
            <v/>
          </cell>
          <cell r="BA4639" t="str">
            <v/>
          </cell>
        </row>
        <row r="4640">
          <cell r="B4640" t="str">
            <v>-</v>
          </cell>
          <cell r="E4640" t="str">
            <v/>
          </cell>
          <cell r="G4640" t="str">
            <v/>
          </cell>
          <cell r="J4640" t="str">
            <v/>
          </cell>
          <cell r="O4640" t="str">
            <v/>
          </cell>
          <cell r="P4640" t="str">
            <v/>
          </cell>
          <cell r="Q4640" t="str">
            <v/>
          </cell>
          <cell r="S4640" t="str">
            <v/>
          </cell>
          <cell r="V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 t="str">
            <v/>
          </cell>
          <cell r="AD4640" t="str">
            <v/>
          </cell>
          <cell r="AY4640" t="str">
            <v/>
          </cell>
          <cell r="AZ4640" t="str">
            <v/>
          </cell>
          <cell r="BA4640" t="str">
            <v/>
          </cell>
        </row>
        <row r="4641">
          <cell r="B4641" t="str">
            <v>-</v>
          </cell>
          <cell r="E4641" t="str">
            <v/>
          </cell>
          <cell r="G4641" t="str">
            <v/>
          </cell>
          <cell r="J4641" t="str">
            <v/>
          </cell>
          <cell r="O4641" t="str">
            <v/>
          </cell>
          <cell r="P4641" t="str">
            <v/>
          </cell>
          <cell r="Q4641" t="str">
            <v/>
          </cell>
          <cell r="S4641" t="str">
            <v/>
          </cell>
          <cell r="V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 t="str">
            <v/>
          </cell>
          <cell r="AD4641" t="str">
            <v/>
          </cell>
          <cell r="AY4641" t="str">
            <v/>
          </cell>
          <cell r="AZ4641" t="str">
            <v/>
          </cell>
          <cell r="BA4641" t="str">
            <v/>
          </cell>
        </row>
        <row r="4642">
          <cell r="B4642" t="str">
            <v>-</v>
          </cell>
          <cell r="E4642" t="str">
            <v/>
          </cell>
          <cell r="G4642" t="str">
            <v/>
          </cell>
          <cell r="J4642" t="str">
            <v/>
          </cell>
          <cell r="O4642" t="str">
            <v/>
          </cell>
          <cell r="P4642" t="str">
            <v/>
          </cell>
          <cell r="Q4642" t="str">
            <v/>
          </cell>
          <cell r="S4642" t="str">
            <v/>
          </cell>
          <cell r="V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 t="str">
            <v/>
          </cell>
          <cell r="AD4642" t="str">
            <v/>
          </cell>
          <cell r="AY4642" t="str">
            <v/>
          </cell>
          <cell r="AZ4642" t="str">
            <v/>
          </cell>
          <cell r="BA4642" t="str">
            <v/>
          </cell>
        </row>
        <row r="4643">
          <cell r="B4643" t="str">
            <v>-</v>
          </cell>
          <cell r="E4643" t="str">
            <v/>
          </cell>
          <cell r="G4643" t="str">
            <v/>
          </cell>
          <cell r="J4643" t="str">
            <v/>
          </cell>
          <cell r="O4643" t="str">
            <v/>
          </cell>
          <cell r="P4643" t="str">
            <v/>
          </cell>
          <cell r="Q4643" t="str">
            <v/>
          </cell>
          <cell r="S4643" t="str">
            <v/>
          </cell>
          <cell r="V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 t="str">
            <v/>
          </cell>
          <cell r="AD4643" t="str">
            <v/>
          </cell>
          <cell r="AY4643" t="str">
            <v/>
          </cell>
          <cell r="AZ4643" t="str">
            <v/>
          </cell>
          <cell r="BA4643" t="str">
            <v/>
          </cell>
        </row>
        <row r="4644">
          <cell r="B4644" t="str">
            <v>-</v>
          </cell>
          <cell r="E4644" t="str">
            <v/>
          </cell>
          <cell r="G4644" t="str">
            <v/>
          </cell>
          <cell r="J4644" t="str">
            <v/>
          </cell>
          <cell r="O4644" t="str">
            <v/>
          </cell>
          <cell r="P4644" t="str">
            <v/>
          </cell>
          <cell r="Q4644" t="str">
            <v/>
          </cell>
          <cell r="S4644" t="str">
            <v/>
          </cell>
          <cell r="V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 t="str">
            <v/>
          </cell>
          <cell r="AD4644" t="str">
            <v/>
          </cell>
          <cell r="AY4644" t="str">
            <v/>
          </cell>
          <cell r="AZ4644" t="str">
            <v/>
          </cell>
          <cell r="BA4644" t="str">
            <v/>
          </cell>
        </row>
        <row r="4645">
          <cell r="B4645" t="str">
            <v>-</v>
          </cell>
          <cell r="E4645" t="str">
            <v/>
          </cell>
          <cell r="G4645" t="str">
            <v/>
          </cell>
          <cell r="J4645" t="str">
            <v/>
          </cell>
          <cell r="O4645" t="str">
            <v/>
          </cell>
          <cell r="P4645" t="str">
            <v/>
          </cell>
          <cell r="Q4645" t="str">
            <v/>
          </cell>
          <cell r="S4645" t="str">
            <v/>
          </cell>
          <cell r="V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 t="str">
            <v/>
          </cell>
          <cell r="AD4645" t="str">
            <v/>
          </cell>
          <cell r="AY4645" t="str">
            <v/>
          </cell>
          <cell r="AZ4645" t="str">
            <v/>
          </cell>
          <cell r="BA4645" t="str">
            <v/>
          </cell>
        </row>
        <row r="4646">
          <cell r="B4646" t="str">
            <v>-</v>
          </cell>
          <cell r="E4646" t="str">
            <v/>
          </cell>
          <cell r="G4646" t="str">
            <v/>
          </cell>
          <cell r="J4646" t="str">
            <v/>
          </cell>
          <cell r="O4646" t="str">
            <v/>
          </cell>
          <cell r="P4646" t="str">
            <v/>
          </cell>
          <cell r="Q4646" t="str">
            <v/>
          </cell>
          <cell r="S4646" t="str">
            <v/>
          </cell>
          <cell r="V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 t="str">
            <v/>
          </cell>
          <cell r="AD4646" t="str">
            <v/>
          </cell>
          <cell r="AY4646" t="str">
            <v/>
          </cell>
          <cell r="AZ4646" t="str">
            <v/>
          </cell>
          <cell r="BA4646" t="str">
            <v/>
          </cell>
        </row>
        <row r="4647">
          <cell r="B4647" t="str">
            <v>-</v>
          </cell>
          <cell r="E4647" t="str">
            <v/>
          </cell>
          <cell r="G4647" t="str">
            <v/>
          </cell>
          <cell r="J4647" t="str">
            <v/>
          </cell>
          <cell r="O4647" t="str">
            <v/>
          </cell>
          <cell r="P4647" t="str">
            <v/>
          </cell>
          <cell r="Q4647" t="str">
            <v/>
          </cell>
          <cell r="S4647" t="str">
            <v/>
          </cell>
          <cell r="V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 t="str">
            <v/>
          </cell>
          <cell r="AD4647" t="str">
            <v/>
          </cell>
          <cell r="AY4647" t="str">
            <v/>
          </cell>
          <cell r="AZ4647" t="str">
            <v/>
          </cell>
          <cell r="BA4647" t="str">
            <v/>
          </cell>
        </row>
        <row r="4648">
          <cell r="B4648" t="str">
            <v>-</v>
          </cell>
          <cell r="E4648" t="str">
            <v/>
          </cell>
          <cell r="G4648" t="str">
            <v/>
          </cell>
          <cell r="J4648" t="str">
            <v/>
          </cell>
          <cell r="O4648" t="str">
            <v/>
          </cell>
          <cell r="P4648" t="str">
            <v/>
          </cell>
          <cell r="Q4648" t="str">
            <v/>
          </cell>
          <cell r="S4648" t="str">
            <v/>
          </cell>
          <cell r="V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 t="str">
            <v/>
          </cell>
          <cell r="AD4648" t="str">
            <v/>
          </cell>
          <cell r="AY4648" t="str">
            <v/>
          </cell>
          <cell r="AZ4648" t="str">
            <v/>
          </cell>
          <cell r="BA4648" t="str">
            <v/>
          </cell>
        </row>
        <row r="4649">
          <cell r="B4649" t="str">
            <v>-</v>
          </cell>
          <cell r="E4649" t="str">
            <v/>
          </cell>
          <cell r="G4649" t="str">
            <v/>
          </cell>
          <cell r="J4649" t="str">
            <v/>
          </cell>
          <cell r="O4649" t="str">
            <v/>
          </cell>
          <cell r="P4649" t="str">
            <v/>
          </cell>
          <cell r="Q4649" t="str">
            <v/>
          </cell>
          <cell r="S4649" t="str">
            <v/>
          </cell>
          <cell r="V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 t="str">
            <v/>
          </cell>
          <cell r="AD4649" t="str">
            <v/>
          </cell>
          <cell r="AY4649" t="str">
            <v/>
          </cell>
          <cell r="AZ4649" t="str">
            <v/>
          </cell>
          <cell r="BA4649" t="str">
            <v/>
          </cell>
        </row>
        <row r="4650">
          <cell r="B4650" t="str">
            <v>-</v>
          </cell>
          <cell r="E4650" t="str">
            <v/>
          </cell>
          <cell r="G4650" t="str">
            <v/>
          </cell>
          <cell r="J4650" t="str">
            <v/>
          </cell>
          <cell r="O4650" t="str">
            <v/>
          </cell>
          <cell r="P4650" t="str">
            <v/>
          </cell>
          <cell r="Q4650" t="str">
            <v/>
          </cell>
          <cell r="S4650" t="str">
            <v/>
          </cell>
          <cell r="V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 t="str">
            <v/>
          </cell>
          <cell r="AD4650" t="str">
            <v/>
          </cell>
          <cell r="AY4650" t="str">
            <v/>
          </cell>
          <cell r="AZ4650" t="str">
            <v/>
          </cell>
          <cell r="BA4650" t="str">
            <v/>
          </cell>
        </row>
        <row r="4651">
          <cell r="B4651" t="str">
            <v>-</v>
          </cell>
          <cell r="E4651" t="str">
            <v/>
          </cell>
          <cell r="G4651" t="str">
            <v/>
          </cell>
          <cell r="J4651" t="str">
            <v/>
          </cell>
          <cell r="O4651" t="str">
            <v/>
          </cell>
          <cell r="P4651" t="str">
            <v/>
          </cell>
          <cell r="Q4651" t="str">
            <v/>
          </cell>
          <cell r="S4651" t="str">
            <v/>
          </cell>
          <cell r="V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 t="str">
            <v/>
          </cell>
          <cell r="AD4651" t="str">
            <v/>
          </cell>
          <cell r="AY4651" t="str">
            <v/>
          </cell>
          <cell r="AZ4651" t="str">
            <v/>
          </cell>
          <cell r="BA4651" t="str">
            <v/>
          </cell>
        </row>
        <row r="4652">
          <cell r="B4652" t="str">
            <v>-</v>
          </cell>
          <cell r="E4652" t="str">
            <v/>
          </cell>
          <cell r="G4652" t="str">
            <v/>
          </cell>
          <cell r="J4652" t="str">
            <v/>
          </cell>
          <cell r="O4652" t="str">
            <v/>
          </cell>
          <cell r="P4652" t="str">
            <v/>
          </cell>
          <cell r="Q4652" t="str">
            <v/>
          </cell>
          <cell r="S4652" t="str">
            <v/>
          </cell>
          <cell r="V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 t="str">
            <v/>
          </cell>
          <cell r="AD4652" t="str">
            <v/>
          </cell>
          <cell r="AY4652" t="str">
            <v/>
          </cell>
          <cell r="AZ4652" t="str">
            <v/>
          </cell>
          <cell r="BA4652" t="str">
            <v/>
          </cell>
        </row>
        <row r="4653">
          <cell r="B4653" t="str">
            <v>-</v>
          </cell>
          <cell r="E4653" t="str">
            <v/>
          </cell>
          <cell r="G4653" t="str">
            <v/>
          </cell>
          <cell r="J4653" t="str">
            <v/>
          </cell>
          <cell r="O4653" t="str">
            <v/>
          </cell>
          <cell r="P4653" t="str">
            <v/>
          </cell>
          <cell r="Q4653" t="str">
            <v/>
          </cell>
          <cell r="S4653" t="str">
            <v/>
          </cell>
          <cell r="V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 t="str">
            <v/>
          </cell>
          <cell r="AD4653" t="str">
            <v/>
          </cell>
          <cell r="AY4653" t="str">
            <v/>
          </cell>
          <cell r="AZ4653" t="str">
            <v/>
          </cell>
          <cell r="BA4653" t="str">
            <v/>
          </cell>
        </row>
        <row r="4654">
          <cell r="B4654" t="str">
            <v>-</v>
          </cell>
          <cell r="E4654" t="str">
            <v/>
          </cell>
          <cell r="G4654" t="str">
            <v/>
          </cell>
          <cell r="J4654" t="str">
            <v/>
          </cell>
          <cell r="O4654" t="str">
            <v/>
          </cell>
          <cell r="P4654" t="str">
            <v/>
          </cell>
          <cell r="Q4654" t="str">
            <v/>
          </cell>
          <cell r="S4654" t="str">
            <v/>
          </cell>
          <cell r="V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 t="str">
            <v/>
          </cell>
          <cell r="AD4654" t="str">
            <v/>
          </cell>
          <cell r="AY4654" t="str">
            <v/>
          </cell>
          <cell r="AZ4654" t="str">
            <v/>
          </cell>
          <cell r="BA4654" t="str">
            <v/>
          </cell>
        </row>
        <row r="4655">
          <cell r="B4655" t="str">
            <v>-</v>
          </cell>
          <cell r="E4655" t="str">
            <v/>
          </cell>
          <cell r="G4655" t="str">
            <v/>
          </cell>
          <cell r="J4655" t="str">
            <v/>
          </cell>
          <cell r="O4655" t="str">
            <v/>
          </cell>
          <cell r="P4655" t="str">
            <v/>
          </cell>
          <cell r="Q4655" t="str">
            <v/>
          </cell>
          <cell r="S4655" t="str">
            <v/>
          </cell>
          <cell r="V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 t="str">
            <v/>
          </cell>
          <cell r="AD4655" t="str">
            <v/>
          </cell>
          <cell r="AY4655" t="str">
            <v/>
          </cell>
          <cell r="AZ4655" t="str">
            <v/>
          </cell>
          <cell r="BA4655" t="str">
            <v/>
          </cell>
        </row>
        <row r="4656">
          <cell r="B4656" t="str">
            <v>-</v>
          </cell>
          <cell r="E4656" t="str">
            <v/>
          </cell>
          <cell r="G4656" t="str">
            <v/>
          </cell>
          <cell r="J4656" t="str">
            <v/>
          </cell>
          <cell r="O4656" t="str">
            <v/>
          </cell>
          <cell r="P4656" t="str">
            <v/>
          </cell>
          <cell r="Q4656" t="str">
            <v/>
          </cell>
          <cell r="S4656" t="str">
            <v/>
          </cell>
          <cell r="V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 t="str">
            <v/>
          </cell>
          <cell r="AD4656" t="str">
            <v/>
          </cell>
          <cell r="AY4656" t="str">
            <v/>
          </cell>
          <cell r="AZ4656" t="str">
            <v/>
          </cell>
          <cell r="BA4656" t="str">
            <v/>
          </cell>
        </row>
        <row r="4657">
          <cell r="B4657" t="str">
            <v>-</v>
          </cell>
          <cell r="E4657" t="str">
            <v/>
          </cell>
          <cell r="G4657" t="str">
            <v/>
          </cell>
          <cell r="J4657" t="str">
            <v/>
          </cell>
          <cell r="O4657" t="str">
            <v/>
          </cell>
          <cell r="P4657" t="str">
            <v/>
          </cell>
          <cell r="Q4657" t="str">
            <v/>
          </cell>
          <cell r="S4657" t="str">
            <v/>
          </cell>
          <cell r="V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 t="str">
            <v/>
          </cell>
          <cell r="AD4657" t="str">
            <v/>
          </cell>
          <cell r="AY4657" t="str">
            <v/>
          </cell>
          <cell r="AZ4657" t="str">
            <v/>
          </cell>
          <cell r="BA4657" t="str">
            <v/>
          </cell>
        </row>
        <row r="4658">
          <cell r="B4658" t="str">
            <v>-</v>
          </cell>
          <cell r="E4658" t="str">
            <v/>
          </cell>
          <cell r="G4658" t="str">
            <v/>
          </cell>
          <cell r="J4658" t="str">
            <v/>
          </cell>
          <cell r="O4658" t="str">
            <v/>
          </cell>
          <cell r="P4658" t="str">
            <v/>
          </cell>
          <cell r="Q4658" t="str">
            <v/>
          </cell>
          <cell r="S4658" t="str">
            <v/>
          </cell>
          <cell r="V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 t="str">
            <v/>
          </cell>
          <cell r="AD4658" t="str">
            <v/>
          </cell>
          <cell r="AY4658" t="str">
            <v/>
          </cell>
          <cell r="AZ4658" t="str">
            <v/>
          </cell>
          <cell r="BA4658" t="str">
            <v/>
          </cell>
        </row>
        <row r="4659">
          <cell r="B4659" t="str">
            <v>-</v>
          </cell>
          <cell r="E4659" t="str">
            <v/>
          </cell>
          <cell r="G4659" t="str">
            <v/>
          </cell>
          <cell r="J4659" t="str">
            <v/>
          </cell>
          <cell r="O4659" t="str">
            <v/>
          </cell>
          <cell r="P4659" t="str">
            <v/>
          </cell>
          <cell r="Q4659" t="str">
            <v/>
          </cell>
          <cell r="S4659" t="str">
            <v/>
          </cell>
          <cell r="V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 t="str">
            <v/>
          </cell>
          <cell r="AD4659" t="str">
            <v/>
          </cell>
          <cell r="AY4659" t="str">
            <v/>
          </cell>
          <cell r="AZ4659" t="str">
            <v/>
          </cell>
          <cell r="BA4659" t="str">
            <v/>
          </cell>
        </row>
        <row r="4660">
          <cell r="B4660" t="str">
            <v>-</v>
          </cell>
          <cell r="E4660" t="str">
            <v/>
          </cell>
          <cell r="G4660" t="str">
            <v/>
          </cell>
          <cell r="J4660" t="str">
            <v/>
          </cell>
          <cell r="O4660" t="str">
            <v/>
          </cell>
          <cell r="P4660" t="str">
            <v/>
          </cell>
          <cell r="Q4660" t="str">
            <v/>
          </cell>
          <cell r="S4660" t="str">
            <v/>
          </cell>
          <cell r="V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 t="str">
            <v/>
          </cell>
          <cell r="AD4660" t="str">
            <v/>
          </cell>
          <cell r="AY4660" t="str">
            <v/>
          </cell>
          <cell r="AZ4660" t="str">
            <v/>
          </cell>
          <cell r="BA4660" t="str">
            <v/>
          </cell>
        </row>
        <row r="4661">
          <cell r="B4661" t="str">
            <v>-</v>
          </cell>
          <cell r="E4661" t="str">
            <v/>
          </cell>
          <cell r="G4661" t="str">
            <v/>
          </cell>
          <cell r="J4661" t="str">
            <v/>
          </cell>
          <cell r="O4661" t="str">
            <v/>
          </cell>
          <cell r="P4661" t="str">
            <v/>
          </cell>
          <cell r="Q4661" t="str">
            <v/>
          </cell>
          <cell r="S4661" t="str">
            <v/>
          </cell>
          <cell r="V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 t="str">
            <v/>
          </cell>
          <cell r="AD4661" t="str">
            <v/>
          </cell>
          <cell r="AY4661" t="str">
            <v/>
          </cell>
          <cell r="AZ4661" t="str">
            <v/>
          </cell>
          <cell r="BA4661" t="str">
            <v/>
          </cell>
        </row>
        <row r="4662">
          <cell r="B4662" t="str">
            <v>-</v>
          </cell>
          <cell r="E4662" t="str">
            <v/>
          </cell>
          <cell r="G4662" t="str">
            <v/>
          </cell>
          <cell r="J4662" t="str">
            <v/>
          </cell>
          <cell r="O4662" t="str">
            <v/>
          </cell>
          <cell r="P4662" t="str">
            <v/>
          </cell>
          <cell r="Q4662" t="str">
            <v/>
          </cell>
          <cell r="S4662" t="str">
            <v/>
          </cell>
          <cell r="V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 t="str">
            <v/>
          </cell>
          <cell r="AD4662" t="str">
            <v/>
          </cell>
          <cell r="AY4662" t="str">
            <v/>
          </cell>
          <cell r="AZ4662" t="str">
            <v/>
          </cell>
          <cell r="BA4662" t="str">
            <v/>
          </cell>
        </row>
        <row r="4663">
          <cell r="B4663" t="str">
            <v>-</v>
          </cell>
          <cell r="E4663" t="str">
            <v/>
          </cell>
          <cell r="G4663" t="str">
            <v/>
          </cell>
          <cell r="J4663" t="str">
            <v/>
          </cell>
          <cell r="O4663" t="str">
            <v/>
          </cell>
          <cell r="P4663" t="str">
            <v/>
          </cell>
          <cell r="Q4663" t="str">
            <v/>
          </cell>
          <cell r="S4663" t="str">
            <v/>
          </cell>
          <cell r="V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 t="str">
            <v/>
          </cell>
          <cell r="AD4663" t="str">
            <v/>
          </cell>
          <cell r="AY4663" t="str">
            <v/>
          </cell>
          <cell r="AZ4663" t="str">
            <v/>
          </cell>
          <cell r="BA4663" t="str">
            <v/>
          </cell>
        </row>
        <row r="4664">
          <cell r="B4664" t="str">
            <v>-</v>
          </cell>
          <cell r="E4664" t="str">
            <v/>
          </cell>
          <cell r="G4664" t="str">
            <v/>
          </cell>
          <cell r="J4664" t="str">
            <v/>
          </cell>
          <cell r="O4664" t="str">
            <v/>
          </cell>
          <cell r="P4664" t="str">
            <v/>
          </cell>
          <cell r="Q4664" t="str">
            <v/>
          </cell>
          <cell r="S4664" t="str">
            <v/>
          </cell>
          <cell r="V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 t="str">
            <v/>
          </cell>
          <cell r="AD4664" t="str">
            <v/>
          </cell>
          <cell r="AY4664" t="str">
            <v/>
          </cell>
          <cell r="AZ4664" t="str">
            <v/>
          </cell>
          <cell r="BA4664" t="str">
            <v/>
          </cell>
        </row>
        <row r="4665">
          <cell r="B4665" t="str">
            <v>-</v>
          </cell>
          <cell r="E4665" t="str">
            <v/>
          </cell>
          <cell r="G4665" t="str">
            <v/>
          </cell>
          <cell r="J4665" t="str">
            <v/>
          </cell>
          <cell r="O4665" t="str">
            <v/>
          </cell>
          <cell r="P4665" t="str">
            <v/>
          </cell>
          <cell r="Q4665" t="str">
            <v/>
          </cell>
          <cell r="S4665" t="str">
            <v/>
          </cell>
          <cell r="V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 t="str">
            <v/>
          </cell>
          <cell r="AD4665" t="str">
            <v/>
          </cell>
          <cell r="AY4665" t="str">
            <v/>
          </cell>
          <cell r="AZ4665" t="str">
            <v/>
          </cell>
          <cell r="BA4665" t="str">
            <v/>
          </cell>
        </row>
        <row r="4666">
          <cell r="B4666" t="str">
            <v>-</v>
          </cell>
          <cell r="E4666" t="str">
            <v/>
          </cell>
          <cell r="G4666" t="str">
            <v/>
          </cell>
          <cell r="J4666" t="str">
            <v/>
          </cell>
          <cell r="O4666" t="str">
            <v/>
          </cell>
          <cell r="P4666" t="str">
            <v/>
          </cell>
          <cell r="Q4666" t="str">
            <v/>
          </cell>
          <cell r="S4666" t="str">
            <v/>
          </cell>
          <cell r="V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 t="str">
            <v/>
          </cell>
          <cell r="AD4666" t="str">
            <v/>
          </cell>
          <cell r="AY4666" t="str">
            <v/>
          </cell>
          <cell r="AZ4666" t="str">
            <v/>
          </cell>
          <cell r="BA4666" t="str">
            <v/>
          </cell>
        </row>
        <row r="4667">
          <cell r="B4667" t="str">
            <v>-</v>
          </cell>
          <cell r="E4667" t="str">
            <v/>
          </cell>
          <cell r="G4667" t="str">
            <v/>
          </cell>
          <cell r="J4667" t="str">
            <v/>
          </cell>
          <cell r="O4667" t="str">
            <v/>
          </cell>
          <cell r="P4667" t="str">
            <v/>
          </cell>
          <cell r="Q4667" t="str">
            <v/>
          </cell>
          <cell r="S4667" t="str">
            <v/>
          </cell>
          <cell r="V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 t="str">
            <v/>
          </cell>
          <cell r="AD4667" t="str">
            <v/>
          </cell>
          <cell r="AY4667" t="str">
            <v/>
          </cell>
          <cell r="AZ4667" t="str">
            <v/>
          </cell>
          <cell r="BA4667" t="str">
            <v/>
          </cell>
        </row>
        <row r="4668">
          <cell r="B4668" t="str">
            <v>-</v>
          </cell>
          <cell r="E4668" t="str">
            <v/>
          </cell>
          <cell r="G4668" t="str">
            <v/>
          </cell>
          <cell r="J4668" t="str">
            <v/>
          </cell>
          <cell r="O4668" t="str">
            <v/>
          </cell>
          <cell r="P4668" t="str">
            <v/>
          </cell>
          <cell r="Q4668" t="str">
            <v/>
          </cell>
          <cell r="S4668" t="str">
            <v/>
          </cell>
          <cell r="V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 t="str">
            <v/>
          </cell>
          <cell r="AD4668" t="str">
            <v/>
          </cell>
          <cell r="AY4668" t="str">
            <v/>
          </cell>
          <cell r="AZ4668" t="str">
            <v/>
          </cell>
          <cell r="BA4668" t="str">
            <v/>
          </cell>
        </row>
        <row r="4669">
          <cell r="B4669" t="str">
            <v>-</v>
          </cell>
          <cell r="E4669" t="str">
            <v/>
          </cell>
          <cell r="G4669" t="str">
            <v/>
          </cell>
          <cell r="J4669" t="str">
            <v/>
          </cell>
          <cell r="O4669" t="str">
            <v/>
          </cell>
          <cell r="P4669" t="str">
            <v/>
          </cell>
          <cell r="Q4669" t="str">
            <v/>
          </cell>
          <cell r="S4669" t="str">
            <v/>
          </cell>
          <cell r="V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 t="str">
            <v/>
          </cell>
          <cell r="AD4669" t="str">
            <v/>
          </cell>
          <cell r="AY4669" t="str">
            <v/>
          </cell>
          <cell r="AZ4669" t="str">
            <v/>
          </cell>
          <cell r="BA4669" t="str">
            <v/>
          </cell>
        </row>
        <row r="4670">
          <cell r="B4670" t="str">
            <v>-</v>
          </cell>
          <cell r="E4670" t="str">
            <v/>
          </cell>
          <cell r="G4670" t="str">
            <v/>
          </cell>
          <cell r="J4670" t="str">
            <v/>
          </cell>
          <cell r="O4670" t="str">
            <v/>
          </cell>
          <cell r="P4670" t="str">
            <v/>
          </cell>
          <cell r="Q4670" t="str">
            <v/>
          </cell>
          <cell r="S4670" t="str">
            <v/>
          </cell>
          <cell r="V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 t="str">
            <v/>
          </cell>
          <cell r="AD4670" t="str">
            <v/>
          </cell>
          <cell r="AY4670" t="str">
            <v/>
          </cell>
          <cell r="AZ4670" t="str">
            <v/>
          </cell>
          <cell r="BA4670" t="str">
            <v/>
          </cell>
        </row>
        <row r="4671">
          <cell r="B4671" t="str">
            <v>-</v>
          </cell>
          <cell r="E4671" t="str">
            <v/>
          </cell>
          <cell r="G4671" t="str">
            <v/>
          </cell>
          <cell r="J4671" t="str">
            <v/>
          </cell>
          <cell r="O4671" t="str">
            <v/>
          </cell>
          <cell r="P4671" t="str">
            <v/>
          </cell>
          <cell r="Q4671" t="str">
            <v/>
          </cell>
          <cell r="S4671" t="str">
            <v/>
          </cell>
          <cell r="V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 t="str">
            <v/>
          </cell>
          <cell r="AD4671" t="str">
            <v/>
          </cell>
          <cell r="AY4671" t="str">
            <v/>
          </cell>
          <cell r="AZ4671" t="str">
            <v/>
          </cell>
          <cell r="BA4671" t="str">
            <v/>
          </cell>
        </row>
        <row r="4672">
          <cell r="B4672" t="str">
            <v>-</v>
          </cell>
          <cell r="E4672" t="str">
            <v/>
          </cell>
          <cell r="G4672" t="str">
            <v/>
          </cell>
          <cell r="J4672" t="str">
            <v/>
          </cell>
          <cell r="O4672" t="str">
            <v/>
          </cell>
          <cell r="P4672" t="str">
            <v/>
          </cell>
          <cell r="Q4672" t="str">
            <v/>
          </cell>
          <cell r="S4672" t="str">
            <v/>
          </cell>
          <cell r="V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 t="str">
            <v/>
          </cell>
          <cell r="AD4672" t="str">
            <v/>
          </cell>
          <cell r="AY4672" t="str">
            <v/>
          </cell>
          <cell r="AZ4672" t="str">
            <v/>
          </cell>
          <cell r="BA4672" t="str">
            <v/>
          </cell>
        </row>
        <row r="4673">
          <cell r="B4673" t="str">
            <v>-</v>
          </cell>
          <cell r="E4673" t="str">
            <v/>
          </cell>
          <cell r="G4673" t="str">
            <v/>
          </cell>
          <cell r="J4673" t="str">
            <v/>
          </cell>
          <cell r="O4673" t="str">
            <v/>
          </cell>
          <cell r="P4673" t="str">
            <v/>
          </cell>
          <cell r="Q4673" t="str">
            <v/>
          </cell>
          <cell r="S4673" t="str">
            <v/>
          </cell>
          <cell r="V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 t="str">
            <v/>
          </cell>
          <cell r="AD4673" t="str">
            <v/>
          </cell>
          <cell r="AY4673" t="str">
            <v/>
          </cell>
          <cell r="AZ4673" t="str">
            <v/>
          </cell>
          <cell r="BA4673" t="str">
            <v/>
          </cell>
        </row>
        <row r="4674">
          <cell r="B4674" t="str">
            <v>-</v>
          </cell>
          <cell r="E4674" t="str">
            <v/>
          </cell>
          <cell r="G4674" t="str">
            <v/>
          </cell>
          <cell r="J4674" t="str">
            <v/>
          </cell>
          <cell r="O4674" t="str">
            <v/>
          </cell>
          <cell r="P4674" t="str">
            <v/>
          </cell>
          <cell r="Q4674" t="str">
            <v/>
          </cell>
          <cell r="S4674" t="str">
            <v/>
          </cell>
          <cell r="V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 t="str">
            <v/>
          </cell>
          <cell r="AD4674" t="str">
            <v/>
          </cell>
          <cell r="AY4674" t="str">
            <v/>
          </cell>
          <cell r="AZ4674" t="str">
            <v/>
          </cell>
          <cell r="BA4674" t="str">
            <v/>
          </cell>
        </row>
        <row r="4675">
          <cell r="B4675" t="str">
            <v>-</v>
          </cell>
          <cell r="E4675" t="str">
            <v/>
          </cell>
          <cell r="G4675" t="str">
            <v/>
          </cell>
          <cell r="J4675" t="str">
            <v/>
          </cell>
          <cell r="O4675" t="str">
            <v/>
          </cell>
          <cell r="P4675" t="str">
            <v/>
          </cell>
          <cell r="Q4675" t="str">
            <v/>
          </cell>
          <cell r="S4675" t="str">
            <v/>
          </cell>
          <cell r="V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 t="str">
            <v/>
          </cell>
          <cell r="AD4675" t="str">
            <v/>
          </cell>
          <cell r="AY4675" t="str">
            <v/>
          </cell>
          <cell r="AZ4675" t="str">
            <v/>
          </cell>
          <cell r="BA4675" t="str">
            <v/>
          </cell>
        </row>
        <row r="4676">
          <cell r="B4676" t="str">
            <v>-</v>
          </cell>
          <cell r="E4676" t="str">
            <v/>
          </cell>
          <cell r="G4676" t="str">
            <v/>
          </cell>
          <cell r="J4676" t="str">
            <v/>
          </cell>
          <cell r="O4676" t="str">
            <v/>
          </cell>
          <cell r="P4676" t="str">
            <v/>
          </cell>
          <cell r="Q4676" t="str">
            <v/>
          </cell>
          <cell r="S4676" t="str">
            <v/>
          </cell>
          <cell r="V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 t="str">
            <v/>
          </cell>
          <cell r="AD4676" t="str">
            <v/>
          </cell>
          <cell r="AY4676" t="str">
            <v/>
          </cell>
          <cell r="AZ4676" t="str">
            <v/>
          </cell>
          <cell r="BA4676" t="str">
            <v/>
          </cell>
        </row>
        <row r="4677">
          <cell r="B4677" t="str">
            <v>-</v>
          </cell>
          <cell r="E4677" t="str">
            <v/>
          </cell>
          <cell r="G4677" t="str">
            <v/>
          </cell>
          <cell r="J4677" t="str">
            <v/>
          </cell>
          <cell r="O4677" t="str">
            <v/>
          </cell>
          <cell r="P4677" t="str">
            <v/>
          </cell>
          <cell r="Q4677" t="str">
            <v/>
          </cell>
          <cell r="S4677" t="str">
            <v/>
          </cell>
          <cell r="V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 t="str">
            <v/>
          </cell>
          <cell r="AD4677" t="str">
            <v/>
          </cell>
          <cell r="AY4677" t="str">
            <v/>
          </cell>
          <cell r="AZ4677" t="str">
            <v/>
          </cell>
          <cell r="BA4677" t="str">
            <v/>
          </cell>
        </row>
        <row r="4678">
          <cell r="B4678" t="str">
            <v>-</v>
          </cell>
          <cell r="E4678" t="str">
            <v/>
          </cell>
          <cell r="G4678" t="str">
            <v/>
          </cell>
          <cell r="J4678" t="str">
            <v/>
          </cell>
          <cell r="O4678" t="str">
            <v/>
          </cell>
          <cell r="P4678" t="str">
            <v/>
          </cell>
          <cell r="Q4678" t="str">
            <v/>
          </cell>
          <cell r="S4678" t="str">
            <v/>
          </cell>
          <cell r="V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 t="str">
            <v/>
          </cell>
          <cell r="AD4678" t="str">
            <v/>
          </cell>
          <cell r="AY4678" t="str">
            <v/>
          </cell>
          <cell r="AZ4678" t="str">
            <v/>
          </cell>
          <cell r="BA4678" t="str">
            <v/>
          </cell>
        </row>
        <row r="4679">
          <cell r="B4679" t="str">
            <v>-</v>
          </cell>
          <cell r="E4679" t="str">
            <v/>
          </cell>
          <cell r="G4679" t="str">
            <v/>
          </cell>
          <cell r="J4679" t="str">
            <v/>
          </cell>
          <cell r="O4679" t="str">
            <v/>
          </cell>
          <cell r="P4679" t="str">
            <v/>
          </cell>
          <cell r="Q4679" t="str">
            <v/>
          </cell>
          <cell r="S4679" t="str">
            <v/>
          </cell>
          <cell r="V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 t="str">
            <v/>
          </cell>
          <cell r="AD4679" t="str">
            <v/>
          </cell>
          <cell r="AY4679" t="str">
            <v/>
          </cell>
          <cell r="AZ4679" t="str">
            <v/>
          </cell>
          <cell r="BA4679" t="str">
            <v/>
          </cell>
        </row>
        <row r="4680">
          <cell r="B4680" t="str">
            <v>-</v>
          </cell>
          <cell r="E4680" t="str">
            <v/>
          </cell>
          <cell r="G4680" t="str">
            <v/>
          </cell>
          <cell r="J4680" t="str">
            <v/>
          </cell>
          <cell r="O4680" t="str">
            <v/>
          </cell>
          <cell r="P4680" t="str">
            <v/>
          </cell>
          <cell r="Q4680" t="str">
            <v/>
          </cell>
          <cell r="S4680" t="str">
            <v/>
          </cell>
          <cell r="V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 t="str">
            <v/>
          </cell>
          <cell r="AD4680" t="str">
            <v/>
          </cell>
          <cell r="AY4680" t="str">
            <v/>
          </cell>
          <cell r="AZ4680" t="str">
            <v/>
          </cell>
          <cell r="BA4680" t="str">
            <v/>
          </cell>
        </row>
        <row r="4681">
          <cell r="B4681" t="str">
            <v>-</v>
          </cell>
          <cell r="E4681" t="str">
            <v/>
          </cell>
          <cell r="G4681" t="str">
            <v/>
          </cell>
          <cell r="J4681" t="str">
            <v/>
          </cell>
          <cell r="O4681" t="str">
            <v/>
          </cell>
          <cell r="P4681" t="str">
            <v/>
          </cell>
          <cell r="Q4681" t="str">
            <v/>
          </cell>
          <cell r="S4681" t="str">
            <v/>
          </cell>
          <cell r="V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 t="str">
            <v/>
          </cell>
          <cell r="AD4681" t="str">
            <v/>
          </cell>
          <cell r="AY4681" t="str">
            <v/>
          </cell>
          <cell r="AZ4681" t="str">
            <v/>
          </cell>
          <cell r="BA4681" t="str">
            <v/>
          </cell>
        </row>
        <row r="4682">
          <cell r="B4682" t="str">
            <v>-</v>
          </cell>
          <cell r="E4682" t="str">
            <v/>
          </cell>
          <cell r="G4682" t="str">
            <v/>
          </cell>
          <cell r="J4682" t="str">
            <v/>
          </cell>
          <cell r="O4682" t="str">
            <v/>
          </cell>
          <cell r="P4682" t="str">
            <v/>
          </cell>
          <cell r="Q4682" t="str">
            <v/>
          </cell>
          <cell r="S4682" t="str">
            <v/>
          </cell>
          <cell r="V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 t="str">
            <v/>
          </cell>
          <cell r="AD4682" t="str">
            <v/>
          </cell>
          <cell r="AY4682" t="str">
            <v/>
          </cell>
          <cell r="AZ4682" t="str">
            <v/>
          </cell>
          <cell r="BA4682" t="str">
            <v/>
          </cell>
        </row>
        <row r="4683">
          <cell r="B4683" t="str">
            <v>-</v>
          </cell>
          <cell r="E4683" t="str">
            <v/>
          </cell>
          <cell r="G4683" t="str">
            <v/>
          </cell>
          <cell r="J4683" t="str">
            <v/>
          </cell>
          <cell r="O4683" t="str">
            <v/>
          </cell>
          <cell r="P4683" t="str">
            <v/>
          </cell>
          <cell r="Q4683" t="str">
            <v/>
          </cell>
          <cell r="S4683" t="str">
            <v/>
          </cell>
          <cell r="V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 t="str">
            <v/>
          </cell>
          <cell r="AD4683" t="str">
            <v/>
          </cell>
          <cell r="AY4683" t="str">
            <v/>
          </cell>
          <cell r="AZ4683" t="str">
            <v/>
          </cell>
          <cell r="BA4683" t="str">
            <v/>
          </cell>
        </row>
        <row r="4684">
          <cell r="B4684" t="str">
            <v>-</v>
          </cell>
          <cell r="E4684" t="str">
            <v/>
          </cell>
          <cell r="G4684" t="str">
            <v/>
          </cell>
          <cell r="J4684" t="str">
            <v/>
          </cell>
          <cell r="O4684" t="str">
            <v/>
          </cell>
          <cell r="P4684" t="str">
            <v/>
          </cell>
          <cell r="Q4684" t="str">
            <v/>
          </cell>
          <cell r="S4684" t="str">
            <v/>
          </cell>
          <cell r="V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 t="str">
            <v/>
          </cell>
          <cell r="AD4684" t="str">
            <v/>
          </cell>
          <cell r="AY4684" t="str">
            <v/>
          </cell>
          <cell r="AZ4684" t="str">
            <v/>
          </cell>
          <cell r="BA4684" t="str">
            <v/>
          </cell>
        </row>
        <row r="4685">
          <cell r="B4685" t="str">
            <v>-</v>
          </cell>
          <cell r="E4685" t="str">
            <v/>
          </cell>
          <cell r="G4685" t="str">
            <v/>
          </cell>
          <cell r="J4685" t="str">
            <v/>
          </cell>
          <cell r="O4685" t="str">
            <v/>
          </cell>
          <cell r="P4685" t="str">
            <v/>
          </cell>
          <cell r="Q4685" t="str">
            <v/>
          </cell>
          <cell r="S4685" t="str">
            <v/>
          </cell>
          <cell r="V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 t="str">
            <v/>
          </cell>
          <cell r="AD4685" t="str">
            <v/>
          </cell>
          <cell r="AY4685" t="str">
            <v/>
          </cell>
          <cell r="AZ4685" t="str">
            <v/>
          </cell>
          <cell r="BA4685" t="str">
            <v/>
          </cell>
        </row>
        <row r="4686">
          <cell r="B4686" t="str">
            <v>-</v>
          </cell>
          <cell r="E4686" t="str">
            <v/>
          </cell>
          <cell r="G4686" t="str">
            <v/>
          </cell>
          <cell r="J4686" t="str">
            <v/>
          </cell>
          <cell r="O4686" t="str">
            <v/>
          </cell>
          <cell r="P4686" t="str">
            <v/>
          </cell>
          <cell r="Q4686" t="str">
            <v/>
          </cell>
          <cell r="S4686" t="str">
            <v/>
          </cell>
          <cell r="V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 t="str">
            <v/>
          </cell>
          <cell r="AD4686" t="str">
            <v/>
          </cell>
          <cell r="AY4686" t="str">
            <v/>
          </cell>
          <cell r="AZ4686" t="str">
            <v/>
          </cell>
          <cell r="BA4686" t="str">
            <v/>
          </cell>
        </row>
        <row r="4687">
          <cell r="B4687" t="str">
            <v>-</v>
          </cell>
          <cell r="E4687" t="str">
            <v/>
          </cell>
          <cell r="G4687" t="str">
            <v/>
          </cell>
          <cell r="J4687" t="str">
            <v/>
          </cell>
          <cell r="O4687" t="str">
            <v/>
          </cell>
          <cell r="P4687" t="str">
            <v/>
          </cell>
          <cell r="Q4687" t="str">
            <v/>
          </cell>
          <cell r="S4687" t="str">
            <v/>
          </cell>
          <cell r="V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 t="str">
            <v/>
          </cell>
          <cell r="AD4687" t="str">
            <v/>
          </cell>
          <cell r="AY4687" t="str">
            <v/>
          </cell>
          <cell r="AZ4687" t="str">
            <v/>
          </cell>
          <cell r="BA4687" t="str">
            <v/>
          </cell>
        </row>
        <row r="4688">
          <cell r="B4688" t="str">
            <v>-</v>
          </cell>
          <cell r="E4688" t="str">
            <v/>
          </cell>
          <cell r="G4688" t="str">
            <v/>
          </cell>
          <cell r="J4688" t="str">
            <v/>
          </cell>
          <cell r="O4688" t="str">
            <v/>
          </cell>
          <cell r="P4688" t="str">
            <v/>
          </cell>
          <cell r="Q4688" t="str">
            <v/>
          </cell>
          <cell r="S4688" t="str">
            <v/>
          </cell>
          <cell r="V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 t="str">
            <v/>
          </cell>
          <cell r="AD4688" t="str">
            <v/>
          </cell>
          <cell r="AY4688" t="str">
            <v/>
          </cell>
          <cell r="AZ4688" t="str">
            <v/>
          </cell>
          <cell r="BA4688" t="str">
            <v/>
          </cell>
        </row>
        <row r="4689">
          <cell r="B4689" t="str">
            <v>-</v>
          </cell>
          <cell r="E4689" t="str">
            <v/>
          </cell>
          <cell r="G4689" t="str">
            <v/>
          </cell>
          <cell r="J4689" t="str">
            <v/>
          </cell>
          <cell r="O4689" t="str">
            <v/>
          </cell>
          <cell r="P4689" t="str">
            <v/>
          </cell>
          <cell r="Q4689" t="str">
            <v/>
          </cell>
          <cell r="S4689" t="str">
            <v/>
          </cell>
          <cell r="V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 t="str">
            <v/>
          </cell>
          <cell r="AD4689" t="str">
            <v/>
          </cell>
          <cell r="AY4689" t="str">
            <v/>
          </cell>
          <cell r="AZ4689" t="str">
            <v/>
          </cell>
          <cell r="BA4689" t="str">
            <v/>
          </cell>
        </row>
        <row r="4690">
          <cell r="B4690" t="str">
            <v>-</v>
          </cell>
          <cell r="E4690" t="str">
            <v/>
          </cell>
          <cell r="G4690" t="str">
            <v/>
          </cell>
          <cell r="J4690" t="str">
            <v/>
          </cell>
          <cell r="O4690" t="str">
            <v/>
          </cell>
          <cell r="P4690" t="str">
            <v/>
          </cell>
          <cell r="Q4690" t="str">
            <v/>
          </cell>
          <cell r="S4690" t="str">
            <v/>
          </cell>
          <cell r="V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 t="str">
            <v/>
          </cell>
          <cell r="AD4690" t="str">
            <v/>
          </cell>
          <cell r="AY4690" t="str">
            <v/>
          </cell>
          <cell r="AZ4690" t="str">
            <v/>
          </cell>
          <cell r="BA4690" t="str">
            <v/>
          </cell>
        </row>
        <row r="4691">
          <cell r="B4691" t="str">
            <v>-</v>
          </cell>
          <cell r="E4691" t="str">
            <v/>
          </cell>
          <cell r="G4691" t="str">
            <v/>
          </cell>
          <cell r="J4691" t="str">
            <v/>
          </cell>
          <cell r="O4691" t="str">
            <v/>
          </cell>
          <cell r="P4691" t="str">
            <v/>
          </cell>
          <cell r="Q4691" t="str">
            <v/>
          </cell>
          <cell r="S4691" t="str">
            <v/>
          </cell>
          <cell r="V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 t="str">
            <v/>
          </cell>
          <cell r="AD4691" t="str">
            <v/>
          </cell>
          <cell r="AY4691" t="str">
            <v/>
          </cell>
          <cell r="AZ4691" t="str">
            <v/>
          </cell>
          <cell r="BA4691" t="str">
            <v/>
          </cell>
        </row>
        <row r="4692">
          <cell r="B4692" t="str">
            <v>-</v>
          </cell>
          <cell r="E4692" t="str">
            <v/>
          </cell>
          <cell r="G4692" t="str">
            <v/>
          </cell>
          <cell r="J4692" t="str">
            <v/>
          </cell>
          <cell r="O4692" t="str">
            <v/>
          </cell>
          <cell r="P4692" t="str">
            <v/>
          </cell>
          <cell r="Q4692" t="str">
            <v/>
          </cell>
          <cell r="S4692" t="str">
            <v/>
          </cell>
          <cell r="V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 t="str">
            <v/>
          </cell>
          <cell r="AD4692" t="str">
            <v/>
          </cell>
          <cell r="AY4692" t="str">
            <v/>
          </cell>
          <cell r="AZ4692" t="str">
            <v/>
          </cell>
          <cell r="BA4692" t="str">
            <v/>
          </cell>
        </row>
        <row r="4693">
          <cell r="B4693" t="str">
            <v>-</v>
          </cell>
          <cell r="E4693" t="str">
            <v/>
          </cell>
          <cell r="G4693" t="str">
            <v/>
          </cell>
          <cell r="J4693" t="str">
            <v/>
          </cell>
          <cell r="O4693" t="str">
            <v/>
          </cell>
          <cell r="P4693" t="str">
            <v/>
          </cell>
          <cell r="Q4693" t="str">
            <v/>
          </cell>
          <cell r="S4693" t="str">
            <v/>
          </cell>
          <cell r="V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 t="str">
            <v/>
          </cell>
          <cell r="AD4693" t="str">
            <v/>
          </cell>
          <cell r="AY4693" t="str">
            <v/>
          </cell>
          <cell r="AZ4693" t="str">
            <v/>
          </cell>
          <cell r="BA4693" t="str">
            <v/>
          </cell>
        </row>
        <row r="4694">
          <cell r="B4694" t="str">
            <v>-</v>
          </cell>
          <cell r="E4694" t="str">
            <v/>
          </cell>
          <cell r="G4694" t="str">
            <v/>
          </cell>
          <cell r="J4694" t="str">
            <v/>
          </cell>
          <cell r="O4694" t="str">
            <v/>
          </cell>
          <cell r="P4694" t="str">
            <v/>
          </cell>
          <cell r="Q4694" t="str">
            <v/>
          </cell>
          <cell r="S4694" t="str">
            <v/>
          </cell>
          <cell r="V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 t="str">
            <v/>
          </cell>
          <cell r="AD4694" t="str">
            <v/>
          </cell>
          <cell r="AY4694" t="str">
            <v/>
          </cell>
          <cell r="AZ4694" t="str">
            <v/>
          </cell>
          <cell r="BA4694" t="str">
            <v/>
          </cell>
        </row>
        <row r="4695">
          <cell r="B4695" t="str">
            <v>-</v>
          </cell>
          <cell r="E4695" t="str">
            <v/>
          </cell>
          <cell r="G4695" t="str">
            <v/>
          </cell>
          <cell r="J4695" t="str">
            <v/>
          </cell>
          <cell r="O4695" t="str">
            <v/>
          </cell>
          <cell r="P4695" t="str">
            <v/>
          </cell>
          <cell r="Q4695" t="str">
            <v/>
          </cell>
          <cell r="S4695" t="str">
            <v/>
          </cell>
          <cell r="V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 t="str">
            <v/>
          </cell>
          <cell r="AD4695" t="str">
            <v/>
          </cell>
          <cell r="AY4695" t="str">
            <v/>
          </cell>
          <cell r="AZ4695" t="str">
            <v/>
          </cell>
          <cell r="BA4695" t="str">
            <v/>
          </cell>
        </row>
        <row r="4696">
          <cell r="B4696" t="str">
            <v>-</v>
          </cell>
          <cell r="E4696" t="str">
            <v/>
          </cell>
          <cell r="G4696" t="str">
            <v/>
          </cell>
          <cell r="J4696" t="str">
            <v/>
          </cell>
          <cell r="O4696" t="str">
            <v/>
          </cell>
          <cell r="P4696" t="str">
            <v/>
          </cell>
          <cell r="Q4696" t="str">
            <v/>
          </cell>
          <cell r="S4696" t="str">
            <v/>
          </cell>
          <cell r="V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 t="str">
            <v/>
          </cell>
          <cell r="AD4696" t="str">
            <v/>
          </cell>
          <cell r="AY4696" t="str">
            <v/>
          </cell>
          <cell r="AZ4696" t="str">
            <v/>
          </cell>
          <cell r="BA4696" t="str">
            <v/>
          </cell>
        </row>
        <row r="4697">
          <cell r="B4697" t="str">
            <v>-</v>
          </cell>
          <cell r="E4697" t="str">
            <v/>
          </cell>
          <cell r="G4697" t="str">
            <v/>
          </cell>
          <cell r="J4697" t="str">
            <v/>
          </cell>
          <cell r="O4697" t="str">
            <v/>
          </cell>
          <cell r="P4697" t="str">
            <v/>
          </cell>
          <cell r="Q4697" t="str">
            <v/>
          </cell>
          <cell r="S4697" t="str">
            <v/>
          </cell>
          <cell r="V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 t="str">
            <v/>
          </cell>
          <cell r="AD4697" t="str">
            <v/>
          </cell>
          <cell r="AY4697" t="str">
            <v/>
          </cell>
          <cell r="AZ4697" t="str">
            <v/>
          </cell>
          <cell r="BA4697" t="str">
            <v/>
          </cell>
        </row>
        <row r="4698">
          <cell r="B4698" t="str">
            <v>-</v>
          </cell>
          <cell r="E4698" t="str">
            <v/>
          </cell>
          <cell r="G4698" t="str">
            <v/>
          </cell>
          <cell r="J4698" t="str">
            <v/>
          </cell>
          <cell r="O4698" t="str">
            <v/>
          </cell>
          <cell r="P4698" t="str">
            <v/>
          </cell>
          <cell r="Q4698" t="str">
            <v/>
          </cell>
          <cell r="S4698" t="str">
            <v/>
          </cell>
          <cell r="V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 t="str">
            <v/>
          </cell>
          <cell r="AD4698" t="str">
            <v/>
          </cell>
          <cell r="AY4698" t="str">
            <v/>
          </cell>
          <cell r="AZ4698" t="str">
            <v/>
          </cell>
          <cell r="BA4698" t="str">
            <v/>
          </cell>
        </row>
        <row r="4699">
          <cell r="B4699" t="str">
            <v>-</v>
          </cell>
          <cell r="E4699" t="str">
            <v/>
          </cell>
          <cell r="G4699" t="str">
            <v/>
          </cell>
          <cell r="J4699" t="str">
            <v/>
          </cell>
          <cell r="O4699" t="str">
            <v/>
          </cell>
          <cell r="P4699" t="str">
            <v/>
          </cell>
          <cell r="Q4699" t="str">
            <v/>
          </cell>
          <cell r="S4699" t="str">
            <v/>
          </cell>
          <cell r="V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 t="str">
            <v/>
          </cell>
          <cell r="AD4699" t="str">
            <v/>
          </cell>
          <cell r="AY4699" t="str">
            <v/>
          </cell>
          <cell r="AZ4699" t="str">
            <v/>
          </cell>
          <cell r="BA4699" t="str">
            <v/>
          </cell>
        </row>
        <row r="4700">
          <cell r="B4700" t="str">
            <v>-</v>
          </cell>
          <cell r="E4700" t="str">
            <v/>
          </cell>
          <cell r="G4700" t="str">
            <v/>
          </cell>
          <cell r="J4700" t="str">
            <v/>
          </cell>
          <cell r="O4700" t="str">
            <v/>
          </cell>
          <cell r="P4700" t="str">
            <v/>
          </cell>
          <cell r="Q4700" t="str">
            <v/>
          </cell>
          <cell r="S4700" t="str">
            <v/>
          </cell>
          <cell r="V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 t="str">
            <v/>
          </cell>
          <cell r="AD4700" t="str">
            <v/>
          </cell>
          <cell r="AY4700" t="str">
            <v/>
          </cell>
          <cell r="AZ4700" t="str">
            <v/>
          </cell>
          <cell r="BA4700" t="str">
            <v/>
          </cell>
        </row>
        <row r="4701">
          <cell r="B4701" t="str">
            <v>-</v>
          </cell>
          <cell r="E4701" t="str">
            <v/>
          </cell>
          <cell r="G4701" t="str">
            <v/>
          </cell>
          <cell r="J4701" t="str">
            <v/>
          </cell>
          <cell r="O4701" t="str">
            <v/>
          </cell>
          <cell r="P4701" t="str">
            <v/>
          </cell>
          <cell r="Q4701" t="str">
            <v/>
          </cell>
          <cell r="S4701" t="str">
            <v/>
          </cell>
          <cell r="V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 t="str">
            <v/>
          </cell>
          <cell r="AD4701" t="str">
            <v/>
          </cell>
          <cell r="AY4701" t="str">
            <v/>
          </cell>
          <cell r="AZ4701" t="str">
            <v/>
          </cell>
          <cell r="BA4701" t="str">
            <v/>
          </cell>
        </row>
        <row r="4702">
          <cell r="B4702" t="str">
            <v>-</v>
          </cell>
          <cell r="E4702" t="str">
            <v/>
          </cell>
          <cell r="G4702" t="str">
            <v/>
          </cell>
          <cell r="J4702" t="str">
            <v/>
          </cell>
          <cell r="O4702" t="str">
            <v/>
          </cell>
          <cell r="P4702" t="str">
            <v/>
          </cell>
          <cell r="Q4702" t="str">
            <v/>
          </cell>
          <cell r="S4702" t="str">
            <v/>
          </cell>
          <cell r="V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 t="str">
            <v/>
          </cell>
          <cell r="AD4702" t="str">
            <v/>
          </cell>
          <cell r="AY4702" t="str">
            <v/>
          </cell>
          <cell r="AZ4702" t="str">
            <v/>
          </cell>
          <cell r="BA4702" t="str">
            <v/>
          </cell>
        </row>
        <row r="4703">
          <cell r="B4703" t="str">
            <v>-</v>
          </cell>
          <cell r="E4703" t="str">
            <v/>
          </cell>
          <cell r="G4703" t="str">
            <v/>
          </cell>
          <cell r="J4703" t="str">
            <v/>
          </cell>
          <cell r="O4703" t="str">
            <v/>
          </cell>
          <cell r="P4703" t="str">
            <v/>
          </cell>
          <cell r="Q4703" t="str">
            <v/>
          </cell>
          <cell r="S4703" t="str">
            <v/>
          </cell>
          <cell r="V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 t="str">
            <v/>
          </cell>
          <cell r="AD4703" t="str">
            <v/>
          </cell>
          <cell r="AY4703" t="str">
            <v/>
          </cell>
          <cell r="AZ4703" t="str">
            <v/>
          </cell>
          <cell r="BA4703" t="str">
            <v/>
          </cell>
        </row>
        <row r="4704">
          <cell r="B4704" t="str">
            <v>-</v>
          </cell>
          <cell r="E4704" t="str">
            <v/>
          </cell>
          <cell r="G4704" t="str">
            <v/>
          </cell>
          <cell r="J4704" t="str">
            <v/>
          </cell>
          <cell r="O4704" t="str">
            <v/>
          </cell>
          <cell r="P4704" t="str">
            <v/>
          </cell>
          <cell r="Q4704" t="str">
            <v/>
          </cell>
          <cell r="S4704" t="str">
            <v/>
          </cell>
          <cell r="V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 t="str">
            <v/>
          </cell>
          <cell r="AD4704" t="str">
            <v/>
          </cell>
          <cell r="AY4704" t="str">
            <v/>
          </cell>
          <cell r="AZ4704" t="str">
            <v/>
          </cell>
          <cell r="BA4704" t="str">
            <v/>
          </cell>
        </row>
        <row r="4705">
          <cell r="B4705" t="str">
            <v>-</v>
          </cell>
          <cell r="E4705" t="str">
            <v/>
          </cell>
          <cell r="G4705" t="str">
            <v/>
          </cell>
          <cell r="J4705" t="str">
            <v/>
          </cell>
          <cell r="O4705" t="str">
            <v/>
          </cell>
          <cell r="P4705" t="str">
            <v/>
          </cell>
          <cell r="Q4705" t="str">
            <v/>
          </cell>
          <cell r="S4705" t="str">
            <v/>
          </cell>
          <cell r="V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 t="str">
            <v/>
          </cell>
          <cell r="AD4705" t="str">
            <v/>
          </cell>
          <cell r="AY4705" t="str">
            <v/>
          </cell>
          <cell r="AZ4705" t="str">
            <v/>
          </cell>
          <cell r="BA4705" t="str">
            <v/>
          </cell>
        </row>
        <row r="4706">
          <cell r="B4706" t="str">
            <v>-</v>
          </cell>
          <cell r="E4706" t="str">
            <v/>
          </cell>
          <cell r="G4706" t="str">
            <v/>
          </cell>
          <cell r="J4706" t="str">
            <v/>
          </cell>
          <cell r="O4706" t="str">
            <v/>
          </cell>
          <cell r="P4706" t="str">
            <v/>
          </cell>
          <cell r="Q4706" t="str">
            <v/>
          </cell>
          <cell r="S4706" t="str">
            <v/>
          </cell>
          <cell r="V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 t="str">
            <v/>
          </cell>
          <cell r="AD4706" t="str">
            <v/>
          </cell>
          <cell r="AY4706" t="str">
            <v/>
          </cell>
          <cell r="AZ4706" t="str">
            <v/>
          </cell>
          <cell r="BA4706" t="str">
            <v/>
          </cell>
        </row>
        <row r="4707">
          <cell r="B4707" t="str">
            <v>-</v>
          </cell>
          <cell r="E4707" t="str">
            <v/>
          </cell>
          <cell r="G4707" t="str">
            <v/>
          </cell>
          <cell r="J4707" t="str">
            <v/>
          </cell>
          <cell r="O4707" t="str">
            <v/>
          </cell>
          <cell r="P4707" t="str">
            <v/>
          </cell>
          <cell r="Q4707" t="str">
            <v/>
          </cell>
          <cell r="S4707" t="str">
            <v/>
          </cell>
          <cell r="V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 t="str">
            <v/>
          </cell>
          <cell r="AD4707" t="str">
            <v/>
          </cell>
          <cell r="AY4707" t="str">
            <v/>
          </cell>
          <cell r="AZ4707" t="str">
            <v/>
          </cell>
          <cell r="BA4707" t="str">
            <v/>
          </cell>
        </row>
        <row r="4708">
          <cell r="B4708" t="str">
            <v>-</v>
          </cell>
          <cell r="E4708" t="str">
            <v/>
          </cell>
          <cell r="G4708" t="str">
            <v/>
          </cell>
          <cell r="J4708" t="str">
            <v/>
          </cell>
          <cell r="O4708" t="str">
            <v/>
          </cell>
          <cell r="P4708" t="str">
            <v/>
          </cell>
          <cell r="Q4708" t="str">
            <v/>
          </cell>
          <cell r="S4708" t="str">
            <v/>
          </cell>
          <cell r="V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 t="str">
            <v/>
          </cell>
          <cell r="AD4708" t="str">
            <v/>
          </cell>
          <cell r="AY4708" t="str">
            <v/>
          </cell>
          <cell r="AZ4708" t="str">
            <v/>
          </cell>
          <cell r="BA4708" t="str">
            <v/>
          </cell>
        </row>
        <row r="4709">
          <cell r="B4709" t="str">
            <v>-</v>
          </cell>
          <cell r="E4709" t="str">
            <v/>
          </cell>
          <cell r="G4709" t="str">
            <v/>
          </cell>
          <cell r="J4709" t="str">
            <v/>
          </cell>
          <cell r="O4709" t="str">
            <v/>
          </cell>
          <cell r="P4709" t="str">
            <v/>
          </cell>
          <cell r="Q4709" t="str">
            <v/>
          </cell>
          <cell r="S4709" t="str">
            <v/>
          </cell>
          <cell r="V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 t="str">
            <v/>
          </cell>
          <cell r="AD4709" t="str">
            <v/>
          </cell>
          <cell r="AY4709" t="str">
            <v/>
          </cell>
          <cell r="AZ4709" t="str">
            <v/>
          </cell>
          <cell r="BA4709" t="str">
            <v/>
          </cell>
        </row>
        <row r="4710">
          <cell r="B4710" t="str">
            <v>-</v>
          </cell>
          <cell r="E4710" t="str">
            <v/>
          </cell>
          <cell r="G4710" t="str">
            <v/>
          </cell>
          <cell r="J4710" t="str">
            <v/>
          </cell>
          <cell r="O4710" t="str">
            <v/>
          </cell>
          <cell r="P4710" t="str">
            <v/>
          </cell>
          <cell r="Q4710" t="str">
            <v/>
          </cell>
          <cell r="S4710" t="str">
            <v/>
          </cell>
          <cell r="V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 t="str">
            <v/>
          </cell>
          <cell r="AD4710" t="str">
            <v/>
          </cell>
          <cell r="AY4710" t="str">
            <v/>
          </cell>
          <cell r="AZ4710" t="str">
            <v/>
          </cell>
          <cell r="BA4710" t="str">
            <v/>
          </cell>
        </row>
        <row r="4711">
          <cell r="B4711" t="str">
            <v>-</v>
          </cell>
          <cell r="E4711" t="str">
            <v/>
          </cell>
          <cell r="G4711" t="str">
            <v/>
          </cell>
          <cell r="J4711" t="str">
            <v/>
          </cell>
          <cell r="O4711" t="str">
            <v/>
          </cell>
          <cell r="P4711" t="str">
            <v/>
          </cell>
          <cell r="Q4711" t="str">
            <v/>
          </cell>
          <cell r="S4711" t="str">
            <v/>
          </cell>
          <cell r="V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 t="str">
            <v/>
          </cell>
          <cell r="AD4711" t="str">
            <v/>
          </cell>
          <cell r="AY4711" t="str">
            <v/>
          </cell>
          <cell r="AZ4711" t="str">
            <v/>
          </cell>
          <cell r="BA4711" t="str">
            <v/>
          </cell>
        </row>
        <row r="4712">
          <cell r="B4712" t="str">
            <v>-</v>
          </cell>
          <cell r="E4712" t="str">
            <v/>
          </cell>
          <cell r="G4712" t="str">
            <v/>
          </cell>
          <cell r="J4712" t="str">
            <v/>
          </cell>
          <cell r="O4712" t="str">
            <v/>
          </cell>
          <cell r="P4712" t="str">
            <v/>
          </cell>
          <cell r="Q4712" t="str">
            <v/>
          </cell>
          <cell r="S4712" t="str">
            <v/>
          </cell>
          <cell r="V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 t="str">
            <v/>
          </cell>
          <cell r="AD4712" t="str">
            <v/>
          </cell>
          <cell r="AY4712" t="str">
            <v/>
          </cell>
          <cell r="AZ4712" t="str">
            <v/>
          </cell>
          <cell r="BA4712" t="str">
            <v/>
          </cell>
        </row>
        <row r="4713">
          <cell r="B4713" t="str">
            <v>-</v>
          </cell>
          <cell r="E4713" t="str">
            <v/>
          </cell>
          <cell r="G4713" t="str">
            <v/>
          </cell>
          <cell r="J4713" t="str">
            <v/>
          </cell>
          <cell r="O4713" t="str">
            <v/>
          </cell>
          <cell r="P4713" t="str">
            <v/>
          </cell>
          <cell r="Q4713" t="str">
            <v/>
          </cell>
          <cell r="S4713" t="str">
            <v/>
          </cell>
          <cell r="V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 t="str">
            <v/>
          </cell>
          <cell r="AD4713" t="str">
            <v/>
          </cell>
          <cell r="AY4713" t="str">
            <v/>
          </cell>
          <cell r="AZ4713" t="str">
            <v/>
          </cell>
          <cell r="BA4713" t="str">
            <v/>
          </cell>
        </row>
        <row r="4714">
          <cell r="B4714" t="str">
            <v>-</v>
          </cell>
          <cell r="E4714" t="str">
            <v/>
          </cell>
          <cell r="G4714" t="str">
            <v/>
          </cell>
          <cell r="J4714" t="str">
            <v/>
          </cell>
          <cell r="O4714" t="str">
            <v/>
          </cell>
          <cell r="P4714" t="str">
            <v/>
          </cell>
          <cell r="Q4714" t="str">
            <v/>
          </cell>
          <cell r="S4714" t="str">
            <v/>
          </cell>
          <cell r="V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 t="str">
            <v/>
          </cell>
          <cell r="AD4714" t="str">
            <v/>
          </cell>
          <cell r="AY4714" t="str">
            <v/>
          </cell>
          <cell r="AZ4714" t="str">
            <v/>
          </cell>
          <cell r="BA4714" t="str">
            <v/>
          </cell>
        </row>
        <row r="4715">
          <cell r="B4715" t="str">
            <v>-</v>
          </cell>
          <cell r="E4715" t="str">
            <v/>
          </cell>
          <cell r="G4715" t="str">
            <v/>
          </cell>
          <cell r="J4715" t="str">
            <v/>
          </cell>
          <cell r="O4715" t="str">
            <v/>
          </cell>
          <cell r="P4715" t="str">
            <v/>
          </cell>
          <cell r="Q4715" t="str">
            <v/>
          </cell>
          <cell r="S4715" t="str">
            <v/>
          </cell>
          <cell r="V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 t="str">
            <v/>
          </cell>
          <cell r="AD4715" t="str">
            <v/>
          </cell>
          <cell r="AY4715" t="str">
            <v/>
          </cell>
          <cell r="AZ4715" t="str">
            <v/>
          </cell>
          <cell r="BA4715" t="str">
            <v/>
          </cell>
        </row>
        <row r="4716">
          <cell r="B4716" t="str">
            <v>-</v>
          </cell>
          <cell r="E4716" t="str">
            <v/>
          </cell>
          <cell r="G4716" t="str">
            <v/>
          </cell>
          <cell r="J4716" t="str">
            <v/>
          </cell>
          <cell r="O4716" t="str">
            <v/>
          </cell>
          <cell r="P4716" t="str">
            <v/>
          </cell>
          <cell r="Q4716" t="str">
            <v/>
          </cell>
          <cell r="S4716" t="str">
            <v/>
          </cell>
          <cell r="V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 t="str">
            <v/>
          </cell>
          <cell r="AD4716" t="str">
            <v/>
          </cell>
          <cell r="AY4716" t="str">
            <v/>
          </cell>
          <cell r="AZ4716" t="str">
            <v/>
          </cell>
          <cell r="BA4716" t="str">
            <v/>
          </cell>
        </row>
        <row r="4717">
          <cell r="B4717" t="str">
            <v>-</v>
          </cell>
          <cell r="E4717" t="str">
            <v/>
          </cell>
          <cell r="G4717" t="str">
            <v/>
          </cell>
          <cell r="J4717" t="str">
            <v/>
          </cell>
          <cell r="O4717" t="str">
            <v/>
          </cell>
          <cell r="P4717" t="str">
            <v/>
          </cell>
          <cell r="Q4717" t="str">
            <v/>
          </cell>
          <cell r="S4717" t="str">
            <v/>
          </cell>
          <cell r="V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 t="str">
            <v/>
          </cell>
          <cell r="AD4717" t="str">
            <v/>
          </cell>
          <cell r="AY4717" t="str">
            <v/>
          </cell>
          <cell r="AZ4717" t="str">
            <v/>
          </cell>
          <cell r="BA4717" t="str">
            <v/>
          </cell>
        </row>
        <row r="4718">
          <cell r="B4718" t="str">
            <v>-</v>
          </cell>
          <cell r="E4718" t="str">
            <v/>
          </cell>
          <cell r="G4718" t="str">
            <v/>
          </cell>
          <cell r="J4718" t="str">
            <v/>
          </cell>
          <cell r="O4718" t="str">
            <v/>
          </cell>
          <cell r="P4718" t="str">
            <v/>
          </cell>
          <cell r="Q4718" t="str">
            <v/>
          </cell>
          <cell r="S4718" t="str">
            <v/>
          </cell>
          <cell r="V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 t="str">
            <v/>
          </cell>
          <cell r="AD4718" t="str">
            <v/>
          </cell>
          <cell r="AY4718" t="str">
            <v/>
          </cell>
          <cell r="AZ4718" t="str">
            <v/>
          </cell>
          <cell r="BA4718" t="str">
            <v/>
          </cell>
        </row>
        <row r="4719">
          <cell r="B4719" t="str">
            <v>-</v>
          </cell>
          <cell r="E4719" t="str">
            <v/>
          </cell>
          <cell r="G4719" t="str">
            <v/>
          </cell>
          <cell r="J4719" t="str">
            <v/>
          </cell>
          <cell r="O4719" t="str">
            <v/>
          </cell>
          <cell r="P4719" t="str">
            <v/>
          </cell>
          <cell r="Q4719" t="str">
            <v/>
          </cell>
          <cell r="S4719" t="str">
            <v/>
          </cell>
          <cell r="V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 t="str">
            <v/>
          </cell>
          <cell r="AD4719" t="str">
            <v/>
          </cell>
          <cell r="AY4719" t="str">
            <v/>
          </cell>
          <cell r="AZ4719" t="str">
            <v/>
          </cell>
          <cell r="BA4719" t="str">
            <v/>
          </cell>
        </row>
        <row r="4720">
          <cell r="B4720" t="str">
            <v>-</v>
          </cell>
          <cell r="E4720" t="str">
            <v/>
          </cell>
          <cell r="G4720" t="str">
            <v/>
          </cell>
          <cell r="J4720" t="str">
            <v/>
          </cell>
          <cell r="O4720" t="str">
            <v/>
          </cell>
          <cell r="P4720" t="str">
            <v/>
          </cell>
          <cell r="Q4720" t="str">
            <v/>
          </cell>
          <cell r="S4720" t="str">
            <v/>
          </cell>
          <cell r="V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 t="str">
            <v/>
          </cell>
          <cell r="AD4720" t="str">
            <v/>
          </cell>
          <cell r="AY4720" t="str">
            <v/>
          </cell>
          <cell r="AZ4720" t="str">
            <v/>
          </cell>
          <cell r="BA4720" t="str">
            <v/>
          </cell>
        </row>
        <row r="4721">
          <cell r="B4721" t="str">
            <v>-</v>
          </cell>
          <cell r="E4721" t="str">
            <v/>
          </cell>
          <cell r="G4721" t="str">
            <v/>
          </cell>
          <cell r="J4721" t="str">
            <v/>
          </cell>
          <cell r="O4721" t="str">
            <v/>
          </cell>
          <cell r="P4721" t="str">
            <v/>
          </cell>
          <cell r="Q4721" t="str">
            <v/>
          </cell>
          <cell r="S4721" t="str">
            <v/>
          </cell>
          <cell r="V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 t="str">
            <v/>
          </cell>
          <cell r="AD4721" t="str">
            <v/>
          </cell>
          <cell r="AY4721" t="str">
            <v/>
          </cell>
          <cell r="AZ4721" t="str">
            <v/>
          </cell>
          <cell r="BA4721" t="str">
            <v/>
          </cell>
        </row>
        <row r="4722">
          <cell r="B4722" t="str">
            <v>-</v>
          </cell>
          <cell r="E4722" t="str">
            <v/>
          </cell>
          <cell r="G4722" t="str">
            <v/>
          </cell>
          <cell r="J4722" t="str">
            <v/>
          </cell>
          <cell r="O4722" t="str">
            <v/>
          </cell>
          <cell r="P4722" t="str">
            <v/>
          </cell>
          <cell r="Q4722" t="str">
            <v/>
          </cell>
          <cell r="S4722" t="str">
            <v/>
          </cell>
          <cell r="V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 t="str">
            <v/>
          </cell>
          <cell r="AD4722" t="str">
            <v/>
          </cell>
          <cell r="AY4722" t="str">
            <v/>
          </cell>
          <cell r="AZ4722" t="str">
            <v/>
          </cell>
          <cell r="BA4722" t="str">
            <v/>
          </cell>
        </row>
        <row r="4723">
          <cell r="B4723" t="str">
            <v>-</v>
          </cell>
          <cell r="E4723" t="str">
            <v/>
          </cell>
          <cell r="G4723" t="str">
            <v/>
          </cell>
          <cell r="J4723" t="str">
            <v/>
          </cell>
          <cell r="O4723" t="str">
            <v/>
          </cell>
          <cell r="P4723" t="str">
            <v/>
          </cell>
          <cell r="Q4723" t="str">
            <v/>
          </cell>
          <cell r="S4723" t="str">
            <v/>
          </cell>
          <cell r="V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 t="str">
            <v/>
          </cell>
          <cell r="AD4723" t="str">
            <v/>
          </cell>
          <cell r="AY4723" t="str">
            <v/>
          </cell>
          <cell r="AZ4723" t="str">
            <v/>
          </cell>
          <cell r="BA4723" t="str">
            <v/>
          </cell>
        </row>
        <row r="4724">
          <cell r="B4724" t="str">
            <v>-</v>
          </cell>
          <cell r="E4724" t="str">
            <v/>
          </cell>
          <cell r="G4724" t="str">
            <v/>
          </cell>
          <cell r="J4724" t="str">
            <v/>
          </cell>
          <cell r="O4724" t="str">
            <v/>
          </cell>
          <cell r="P4724" t="str">
            <v/>
          </cell>
          <cell r="Q4724" t="str">
            <v/>
          </cell>
          <cell r="S4724" t="str">
            <v/>
          </cell>
          <cell r="V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 t="str">
            <v/>
          </cell>
          <cell r="AD4724" t="str">
            <v/>
          </cell>
          <cell r="AY4724" t="str">
            <v/>
          </cell>
          <cell r="AZ4724" t="str">
            <v/>
          </cell>
          <cell r="BA4724" t="str">
            <v/>
          </cell>
        </row>
        <row r="4725">
          <cell r="B4725" t="str">
            <v>-</v>
          </cell>
          <cell r="E4725" t="str">
            <v/>
          </cell>
          <cell r="G4725" t="str">
            <v/>
          </cell>
          <cell r="J4725" t="str">
            <v/>
          </cell>
          <cell r="O4725" t="str">
            <v/>
          </cell>
          <cell r="P4725" t="str">
            <v/>
          </cell>
          <cell r="Q4725" t="str">
            <v/>
          </cell>
          <cell r="S4725" t="str">
            <v/>
          </cell>
          <cell r="V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 t="str">
            <v/>
          </cell>
          <cell r="AD4725" t="str">
            <v/>
          </cell>
          <cell r="AY4725" t="str">
            <v/>
          </cell>
          <cell r="AZ4725" t="str">
            <v/>
          </cell>
          <cell r="BA4725" t="str">
            <v/>
          </cell>
        </row>
        <row r="4726">
          <cell r="B4726" t="str">
            <v>-</v>
          </cell>
          <cell r="E4726" t="str">
            <v/>
          </cell>
          <cell r="G4726" t="str">
            <v/>
          </cell>
          <cell r="J4726" t="str">
            <v/>
          </cell>
          <cell r="O4726" t="str">
            <v/>
          </cell>
          <cell r="P4726" t="str">
            <v/>
          </cell>
          <cell r="Q4726" t="str">
            <v/>
          </cell>
          <cell r="S4726" t="str">
            <v/>
          </cell>
          <cell r="V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 t="str">
            <v/>
          </cell>
          <cell r="AD4726" t="str">
            <v/>
          </cell>
          <cell r="AY4726" t="str">
            <v/>
          </cell>
          <cell r="AZ4726" t="str">
            <v/>
          </cell>
          <cell r="BA4726" t="str">
            <v/>
          </cell>
        </row>
        <row r="4727">
          <cell r="B4727" t="str">
            <v>-</v>
          </cell>
          <cell r="E4727" t="str">
            <v/>
          </cell>
          <cell r="G4727" t="str">
            <v/>
          </cell>
          <cell r="J4727" t="str">
            <v/>
          </cell>
          <cell r="O4727" t="str">
            <v/>
          </cell>
          <cell r="P4727" t="str">
            <v/>
          </cell>
          <cell r="Q4727" t="str">
            <v/>
          </cell>
          <cell r="S4727" t="str">
            <v/>
          </cell>
          <cell r="V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 t="str">
            <v/>
          </cell>
          <cell r="AD4727" t="str">
            <v/>
          </cell>
          <cell r="AY4727" t="str">
            <v/>
          </cell>
          <cell r="AZ4727" t="str">
            <v/>
          </cell>
          <cell r="BA4727" t="str">
            <v/>
          </cell>
        </row>
        <row r="4728">
          <cell r="B4728" t="str">
            <v>-</v>
          </cell>
          <cell r="E4728" t="str">
            <v/>
          </cell>
          <cell r="G4728" t="str">
            <v/>
          </cell>
          <cell r="J4728" t="str">
            <v/>
          </cell>
          <cell r="O4728" t="str">
            <v/>
          </cell>
          <cell r="P4728" t="str">
            <v/>
          </cell>
          <cell r="Q4728" t="str">
            <v/>
          </cell>
          <cell r="S4728" t="str">
            <v/>
          </cell>
          <cell r="V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 t="str">
            <v/>
          </cell>
          <cell r="AD4728" t="str">
            <v/>
          </cell>
          <cell r="AY4728" t="str">
            <v/>
          </cell>
          <cell r="AZ4728" t="str">
            <v/>
          </cell>
          <cell r="BA4728" t="str">
            <v/>
          </cell>
        </row>
        <row r="4729">
          <cell r="B4729" t="str">
            <v>-</v>
          </cell>
          <cell r="E4729" t="str">
            <v/>
          </cell>
          <cell r="G4729" t="str">
            <v/>
          </cell>
          <cell r="J4729" t="str">
            <v/>
          </cell>
          <cell r="O4729" t="str">
            <v/>
          </cell>
          <cell r="P4729" t="str">
            <v/>
          </cell>
          <cell r="Q4729" t="str">
            <v/>
          </cell>
          <cell r="S4729" t="str">
            <v/>
          </cell>
          <cell r="V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 t="str">
            <v/>
          </cell>
          <cell r="AD4729" t="str">
            <v/>
          </cell>
          <cell r="AY4729" t="str">
            <v/>
          </cell>
          <cell r="AZ4729" t="str">
            <v/>
          </cell>
          <cell r="BA4729" t="str">
            <v/>
          </cell>
        </row>
        <row r="4730">
          <cell r="B4730" t="str">
            <v>-</v>
          </cell>
          <cell r="E4730" t="str">
            <v/>
          </cell>
          <cell r="G4730" t="str">
            <v/>
          </cell>
          <cell r="J4730" t="str">
            <v/>
          </cell>
          <cell r="O4730" t="str">
            <v/>
          </cell>
          <cell r="P4730" t="str">
            <v/>
          </cell>
          <cell r="Q4730" t="str">
            <v/>
          </cell>
          <cell r="S4730" t="str">
            <v/>
          </cell>
          <cell r="V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 t="str">
            <v/>
          </cell>
          <cell r="AD4730" t="str">
            <v/>
          </cell>
          <cell r="AY4730" t="str">
            <v/>
          </cell>
          <cell r="AZ4730" t="str">
            <v/>
          </cell>
          <cell r="BA4730" t="str">
            <v/>
          </cell>
        </row>
        <row r="4731">
          <cell r="B4731" t="str">
            <v>-</v>
          </cell>
          <cell r="E4731" t="str">
            <v/>
          </cell>
          <cell r="G4731" t="str">
            <v/>
          </cell>
          <cell r="J4731" t="str">
            <v/>
          </cell>
          <cell r="O4731" t="str">
            <v/>
          </cell>
          <cell r="P4731" t="str">
            <v/>
          </cell>
          <cell r="Q4731" t="str">
            <v/>
          </cell>
          <cell r="S4731" t="str">
            <v/>
          </cell>
          <cell r="V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 t="str">
            <v/>
          </cell>
          <cell r="AD4731" t="str">
            <v/>
          </cell>
          <cell r="AY4731" t="str">
            <v/>
          </cell>
          <cell r="AZ4731" t="str">
            <v/>
          </cell>
          <cell r="BA4731" t="str">
            <v/>
          </cell>
        </row>
        <row r="4732">
          <cell r="B4732" t="str">
            <v>-</v>
          </cell>
          <cell r="E4732" t="str">
            <v/>
          </cell>
          <cell r="G4732" t="str">
            <v/>
          </cell>
          <cell r="J4732" t="str">
            <v/>
          </cell>
          <cell r="O4732" t="str">
            <v/>
          </cell>
          <cell r="P4732" t="str">
            <v/>
          </cell>
          <cell r="Q4732" t="str">
            <v/>
          </cell>
          <cell r="S4732" t="str">
            <v/>
          </cell>
          <cell r="V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 t="str">
            <v/>
          </cell>
          <cell r="AD4732" t="str">
            <v/>
          </cell>
          <cell r="AY4732" t="str">
            <v/>
          </cell>
          <cell r="AZ4732" t="str">
            <v/>
          </cell>
          <cell r="BA4732" t="str">
            <v/>
          </cell>
        </row>
        <row r="4733">
          <cell r="B4733" t="str">
            <v>-</v>
          </cell>
          <cell r="E4733" t="str">
            <v/>
          </cell>
          <cell r="G4733" t="str">
            <v/>
          </cell>
          <cell r="J4733" t="str">
            <v/>
          </cell>
          <cell r="O4733" t="str">
            <v/>
          </cell>
          <cell r="P4733" t="str">
            <v/>
          </cell>
          <cell r="Q4733" t="str">
            <v/>
          </cell>
          <cell r="S4733" t="str">
            <v/>
          </cell>
          <cell r="V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 t="str">
            <v/>
          </cell>
          <cell r="AD4733" t="str">
            <v/>
          </cell>
          <cell r="AY4733" t="str">
            <v/>
          </cell>
          <cell r="AZ4733" t="str">
            <v/>
          </cell>
          <cell r="BA4733" t="str">
            <v/>
          </cell>
        </row>
        <row r="4734">
          <cell r="B4734" t="str">
            <v>-</v>
          </cell>
          <cell r="E4734" t="str">
            <v/>
          </cell>
          <cell r="G4734" t="str">
            <v/>
          </cell>
          <cell r="J4734" t="str">
            <v/>
          </cell>
          <cell r="O4734" t="str">
            <v/>
          </cell>
          <cell r="P4734" t="str">
            <v/>
          </cell>
          <cell r="Q4734" t="str">
            <v/>
          </cell>
          <cell r="S4734" t="str">
            <v/>
          </cell>
          <cell r="V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 t="str">
            <v/>
          </cell>
          <cell r="AD4734" t="str">
            <v/>
          </cell>
          <cell r="AY4734" t="str">
            <v/>
          </cell>
          <cell r="AZ4734" t="str">
            <v/>
          </cell>
          <cell r="BA4734" t="str">
            <v/>
          </cell>
        </row>
        <row r="4735">
          <cell r="B4735" t="str">
            <v>-</v>
          </cell>
          <cell r="E4735" t="str">
            <v/>
          </cell>
          <cell r="G4735" t="str">
            <v/>
          </cell>
          <cell r="J4735" t="str">
            <v/>
          </cell>
          <cell r="O4735" t="str">
            <v/>
          </cell>
          <cell r="P4735" t="str">
            <v/>
          </cell>
          <cell r="Q4735" t="str">
            <v/>
          </cell>
          <cell r="S4735" t="str">
            <v/>
          </cell>
          <cell r="V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 t="str">
            <v/>
          </cell>
          <cell r="AD4735" t="str">
            <v/>
          </cell>
          <cell r="AY4735" t="str">
            <v/>
          </cell>
          <cell r="AZ4735" t="str">
            <v/>
          </cell>
          <cell r="BA4735" t="str">
            <v/>
          </cell>
        </row>
        <row r="4736">
          <cell r="B4736" t="str">
            <v>-</v>
          </cell>
          <cell r="E4736" t="str">
            <v/>
          </cell>
          <cell r="G4736" t="str">
            <v/>
          </cell>
          <cell r="J4736" t="str">
            <v/>
          </cell>
          <cell r="O4736" t="str">
            <v/>
          </cell>
          <cell r="P4736" t="str">
            <v/>
          </cell>
          <cell r="Q4736" t="str">
            <v/>
          </cell>
          <cell r="S4736" t="str">
            <v/>
          </cell>
          <cell r="V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 t="str">
            <v/>
          </cell>
          <cell r="AD4736" t="str">
            <v/>
          </cell>
          <cell r="AY4736" t="str">
            <v/>
          </cell>
          <cell r="AZ4736" t="str">
            <v/>
          </cell>
          <cell r="BA4736" t="str">
            <v/>
          </cell>
        </row>
        <row r="4737">
          <cell r="B4737" t="str">
            <v>-</v>
          </cell>
          <cell r="E4737" t="str">
            <v/>
          </cell>
          <cell r="G4737" t="str">
            <v/>
          </cell>
          <cell r="J4737" t="str">
            <v/>
          </cell>
          <cell r="O4737" t="str">
            <v/>
          </cell>
          <cell r="P4737" t="str">
            <v/>
          </cell>
          <cell r="Q4737" t="str">
            <v/>
          </cell>
          <cell r="S4737" t="str">
            <v/>
          </cell>
          <cell r="V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 t="str">
            <v/>
          </cell>
          <cell r="AD4737" t="str">
            <v/>
          </cell>
          <cell r="AY4737" t="str">
            <v/>
          </cell>
          <cell r="AZ4737" t="str">
            <v/>
          </cell>
          <cell r="BA4737" t="str">
            <v/>
          </cell>
        </row>
        <row r="4738">
          <cell r="B4738" t="str">
            <v>-</v>
          </cell>
          <cell r="E4738" t="str">
            <v/>
          </cell>
          <cell r="G4738" t="str">
            <v/>
          </cell>
          <cell r="J4738" t="str">
            <v/>
          </cell>
          <cell r="O4738" t="str">
            <v/>
          </cell>
          <cell r="P4738" t="str">
            <v/>
          </cell>
          <cell r="Q4738" t="str">
            <v/>
          </cell>
          <cell r="S4738" t="str">
            <v/>
          </cell>
          <cell r="V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 t="str">
            <v/>
          </cell>
          <cell r="AD4738" t="str">
            <v/>
          </cell>
          <cell r="AY4738" t="str">
            <v/>
          </cell>
          <cell r="AZ4738" t="str">
            <v/>
          </cell>
          <cell r="BA4738" t="str">
            <v/>
          </cell>
        </row>
        <row r="4739">
          <cell r="B4739" t="str">
            <v>-</v>
          </cell>
          <cell r="E4739" t="str">
            <v/>
          </cell>
          <cell r="G4739" t="str">
            <v/>
          </cell>
          <cell r="J4739" t="str">
            <v/>
          </cell>
          <cell r="O4739" t="str">
            <v/>
          </cell>
          <cell r="P4739" t="str">
            <v/>
          </cell>
          <cell r="Q4739" t="str">
            <v/>
          </cell>
          <cell r="S4739" t="str">
            <v/>
          </cell>
          <cell r="V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 t="str">
            <v/>
          </cell>
          <cell r="AD4739" t="str">
            <v/>
          </cell>
          <cell r="AY4739" t="str">
            <v/>
          </cell>
          <cell r="AZ4739" t="str">
            <v/>
          </cell>
          <cell r="BA4739" t="str">
            <v/>
          </cell>
        </row>
        <row r="4740">
          <cell r="B4740" t="str">
            <v>-</v>
          </cell>
          <cell r="E4740" t="str">
            <v/>
          </cell>
          <cell r="G4740" t="str">
            <v/>
          </cell>
          <cell r="J4740" t="str">
            <v/>
          </cell>
          <cell r="O4740" t="str">
            <v/>
          </cell>
          <cell r="P4740" t="str">
            <v/>
          </cell>
          <cell r="Q4740" t="str">
            <v/>
          </cell>
          <cell r="S4740" t="str">
            <v/>
          </cell>
          <cell r="V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 t="str">
            <v/>
          </cell>
          <cell r="AD4740" t="str">
            <v/>
          </cell>
          <cell r="AY4740" t="str">
            <v/>
          </cell>
          <cell r="AZ4740" t="str">
            <v/>
          </cell>
          <cell r="BA4740" t="str">
            <v/>
          </cell>
        </row>
        <row r="4741">
          <cell r="B4741" t="str">
            <v>-</v>
          </cell>
          <cell r="E4741" t="str">
            <v/>
          </cell>
          <cell r="G4741" t="str">
            <v/>
          </cell>
          <cell r="J4741" t="str">
            <v/>
          </cell>
          <cell r="O4741" t="str">
            <v/>
          </cell>
          <cell r="P4741" t="str">
            <v/>
          </cell>
          <cell r="Q4741" t="str">
            <v/>
          </cell>
          <cell r="S4741" t="str">
            <v/>
          </cell>
          <cell r="V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 t="str">
            <v/>
          </cell>
          <cell r="AD4741" t="str">
            <v/>
          </cell>
          <cell r="AY4741" t="str">
            <v/>
          </cell>
          <cell r="AZ4741" t="str">
            <v/>
          </cell>
          <cell r="BA4741" t="str">
            <v/>
          </cell>
        </row>
        <row r="4742">
          <cell r="B4742" t="str">
            <v>-</v>
          </cell>
          <cell r="E4742" t="str">
            <v/>
          </cell>
          <cell r="G4742" t="str">
            <v/>
          </cell>
          <cell r="J4742" t="str">
            <v/>
          </cell>
          <cell r="O4742" t="str">
            <v/>
          </cell>
          <cell r="P4742" t="str">
            <v/>
          </cell>
          <cell r="Q4742" t="str">
            <v/>
          </cell>
          <cell r="S4742" t="str">
            <v/>
          </cell>
          <cell r="V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 t="str">
            <v/>
          </cell>
          <cell r="AD4742" t="str">
            <v/>
          </cell>
          <cell r="AY4742" t="str">
            <v/>
          </cell>
          <cell r="AZ4742" t="str">
            <v/>
          </cell>
          <cell r="BA4742" t="str">
            <v/>
          </cell>
        </row>
        <row r="4743">
          <cell r="B4743" t="str">
            <v>-</v>
          </cell>
          <cell r="E4743" t="str">
            <v/>
          </cell>
          <cell r="G4743" t="str">
            <v/>
          </cell>
          <cell r="J4743" t="str">
            <v/>
          </cell>
          <cell r="O4743" t="str">
            <v/>
          </cell>
          <cell r="P4743" t="str">
            <v/>
          </cell>
          <cell r="Q4743" t="str">
            <v/>
          </cell>
          <cell r="S4743" t="str">
            <v/>
          </cell>
          <cell r="V4743" t="str">
            <v/>
          </cell>
          <cell r="Z4743" t="str">
            <v/>
          </cell>
          <cell r="AA4743" t="str">
            <v/>
          </cell>
          <cell r="AB4743" t="str">
            <v/>
          </cell>
          <cell r="AC4743" t="str">
            <v/>
          </cell>
          <cell r="AD4743" t="str">
            <v/>
          </cell>
          <cell r="AY4743" t="str">
            <v/>
          </cell>
          <cell r="AZ4743" t="str">
            <v/>
          </cell>
          <cell r="BA4743" t="str">
            <v/>
          </cell>
        </row>
        <row r="4744">
          <cell r="B4744" t="str">
            <v>-</v>
          </cell>
          <cell r="E4744" t="str">
            <v/>
          </cell>
          <cell r="G4744" t="str">
            <v/>
          </cell>
          <cell r="J4744" t="str">
            <v/>
          </cell>
          <cell r="O4744" t="str">
            <v/>
          </cell>
          <cell r="P4744" t="str">
            <v/>
          </cell>
          <cell r="Q4744" t="str">
            <v/>
          </cell>
          <cell r="S4744" t="str">
            <v/>
          </cell>
          <cell r="V4744" t="str">
            <v/>
          </cell>
          <cell r="Z4744" t="str">
            <v/>
          </cell>
          <cell r="AA4744" t="str">
            <v/>
          </cell>
          <cell r="AB4744" t="str">
            <v/>
          </cell>
          <cell r="AC4744" t="str">
            <v/>
          </cell>
          <cell r="AD4744" t="str">
            <v/>
          </cell>
          <cell r="AY4744" t="str">
            <v/>
          </cell>
          <cell r="AZ4744" t="str">
            <v/>
          </cell>
          <cell r="BA4744" t="str">
            <v/>
          </cell>
        </row>
        <row r="4745">
          <cell r="B4745" t="str">
            <v>-</v>
          </cell>
          <cell r="E4745" t="str">
            <v/>
          </cell>
          <cell r="G4745" t="str">
            <v/>
          </cell>
          <cell r="J4745" t="str">
            <v/>
          </cell>
          <cell r="O4745" t="str">
            <v/>
          </cell>
          <cell r="P4745" t="str">
            <v/>
          </cell>
          <cell r="Q4745" t="str">
            <v/>
          </cell>
          <cell r="S4745" t="str">
            <v/>
          </cell>
          <cell r="V4745" t="str">
            <v/>
          </cell>
          <cell r="Z4745" t="str">
            <v/>
          </cell>
          <cell r="AA4745" t="str">
            <v/>
          </cell>
          <cell r="AB4745" t="str">
            <v/>
          </cell>
          <cell r="AC4745" t="str">
            <v/>
          </cell>
          <cell r="AD4745" t="str">
            <v/>
          </cell>
          <cell r="AY4745" t="str">
            <v/>
          </cell>
          <cell r="AZ4745" t="str">
            <v/>
          </cell>
          <cell r="BA4745" t="str">
            <v/>
          </cell>
        </row>
        <row r="4746">
          <cell r="B4746" t="str">
            <v>-</v>
          </cell>
          <cell r="E4746" t="str">
            <v/>
          </cell>
          <cell r="G4746" t="str">
            <v/>
          </cell>
          <cell r="J4746" t="str">
            <v/>
          </cell>
          <cell r="O4746" t="str">
            <v/>
          </cell>
          <cell r="P4746" t="str">
            <v/>
          </cell>
          <cell r="Q4746" t="str">
            <v/>
          </cell>
          <cell r="S4746" t="str">
            <v/>
          </cell>
          <cell r="V4746" t="str">
            <v/>
          </cell>
          <cell r="Z4746" t="str">
            <v/>
          </cell>
          <cell r="AA4746" t="str">
            <v/>
          </cell>
          <cell r="AB4746" t="str">
            <v/>
          </cell>
          <cell r="AC4746" t="str">
            <v/>
          </cell>
          <cell r="AD4746" t="str">
            <v/>
          </cell>
          <cell r="AY4746" t="str">
            <v/>
          </cell>
          <cell r="AZ4746" t="str">
            <v/>
          </cell>
          <cell r="BA4746" t="str">
            <v/>
          </cell>
        </row>
        <row r="4747">
          <cell r="B4747" t="str">
            <v>-</v>
          </cell>
          <cell r="E4747" t="str">
            <v/>
          </cell>
          <cell r="G4747" t="str">
            <v/>
          </cell>
          <cell r="J4747" t="str">
            <v/>
          </cell>
          <cell r="O4747" t="str">
            <v/>
          </cell>
          <cell r="P4747" t="str">
            <v/>
          </cell>
          <cell r="Q4747" t="str">
            <v/>
          </cell>
          <cell r="S4747" t="str">
            <v/>
          </cell>
          <cell r="V4747" t="str">
            <v/>
          </cell>
          <cell r="Z4747" t="str">
            <v/>
          </cell>
          <cell r="AA4747" t="str">
            <v/>
          </cell>
          <cell r="AB4747" t="str">
            <v/>
          </cell>
          <cell r="AC4747" t="str">
            <v/>
          </cell>
          <cell r="AD4747" t="str">
            <v/>
          </cell>
          <cell r="AY4747" t="str">
            <v/>
          </cell>
          <cell r="AZ4747" t="str">
            <v/>
          </cell>
          <cell r="BA4747" t="str">
            <v/>
          </cell>
        </row>
        <row r="4748">
          <cell r="B4748" t="str">
            <v>-</v>
          </cell>
          <cell r="E4748" t="str">
            <v/>
          </cell>
          <cell r="G4748" t="str">
            <v/>
          </cell>
          <cell r="J4748" t="str">
            <v/>
          </cell>
          <cell r="O4748" t="str">
            <v/>
          </cell>
          <cell r="P4748" t="str">
            <v/>
          </cell>
          <cell r="Q4748" t="str">
            <v/>
          </cell>
          <cell r="S4748" t="str">
            <v/>
          </cell>
          <cell r="V4748" t="str">
            <v/>
          </cell>
          <cell r="Z4748" t="str">
            <v/>
          </cell>
          <cell r="AA4748" t="str">
            <v/>
          </cell>
          <cell r="AB4748" t="str">
            <v/>
          </cell>
          <cell r="AC4748" t="str">
            <v/>
          </cell>
          <cell r="AD4748" t="str">
            <v/>
          </cell>
          <cell r="AY4748" t="str">
            <v/>
          </cell>
          <cell r="AZ4748" t="str">
            <v/>
          </cell>
          <cell r="BA4748" t="str">
            <v/>
          </cell>
        </row>
        <row r="4749">
          <cell r="B4749" t="str">
            <v>-</v>
          </cell>
          <cell r="E4749" t="str">
            <v/>
          </cell>
          <cell r="G4749" t="str">
            <v/>
          </cell>
          <cell r="J4749" t="str">
            <v/>
          </cell>
          <cell r="O4749" t="str">
            <v/>
          </cell>
          <cell r="P4749" t="str">
            <v/>
          </cell>
          <cell r="Q4749" t="str">
            <v/>
          </cell>
          <cell r="S4749" t="str">
            <v/>
          </cell>
          <cell r="V4749" t="str">
            <v/>
          </cell>
          <cell r="Z4749" t="str">
            <v/>
          </cell>
          <cell r="AA4749" t="str">
            <v/>
          </cell>
          <cell r="AB4749" t="str">
            <v/>
          </cell>
          <cell r="AC4749" t="str">
            <v/>
          </cell>
          <cell r="AD4749" t="str">
            <v/>
          </cell>
          <cell r="AY4749" t="str">
            <v/>
          </cell>
          <cell r="AZ4749" t="str">
            <v/>
          </cell>
          <cell r="BA4749" t="str">
            <v/>
          </cell>
        </row>
        <row r="4750">
          <cell r="B4750" t="str">
            <v>-</v>
          </cell>
          <cell r="E4750" t="str">
            <v/>
          </cell>
          <cell r="G4750" t="str">
            <v/>
          </cell>
          <cell r="J4750" t="str">
            <v/>
          </cell>
          <cell r="O4750" t="str">
            <v/>
          </cell>
          <cell r="P4750" t="str">
            <v/>
          </cell>
          <cell r="Q4750" t="str">
            <v/>
          </cell>
          <cell r="S4750" t="str">
            <v/>
          </cell>
          <cell r="V4750" t="str">
            <v/>
          </cell>
          <cell r="Z4750" t="str">
            <v/>
          </cell>
          <cell r="AA4750" t="str">
            <v/>
          </cell>
          <cell r="AB4750" t="str">
            <v/>
          </cell>
          <cell r="AC4750" t="str">
            <v/>
          </cell>
          <cell r="AD4750" t="str">
            <v/>
          </cell>
          <cell r="AY4750" t="str">
            <v/>
          </cell>
          <cell r="AZ4750" t="str">
            <v/>
          </cell>
          <cell r="BA4750" t="str">
            <v/>
          </cell>
        </row>
        <row r="4751">
          <cell r="B4751" t="str">
            <v>-</v>
          </cell>
          <cell r="E4751" t="str">
            <v/>
          </cell>
          <cell r="G4751" t="str">
            <v/>
          </cell>
          <cell r="J4751" t="str">
            <v/>
          </cell>
          <cell r="O4751" t="str">
            <v/>
          </cell>
          <cell r="P4751" t="str">
            <v/>
          </cell>
          <cell r="Q4751" t="str">
            <v/>
          </cell>
          <cell r="S4751" t="str">
            <v/>
          </cell>
          <cell r="V4751" t="str">
            <v/>
          </cell>
          <cell r="Z4751" t="str">
            <v/>
          </cell>
          <cell r="AA4751" t="str">
            <v/>
          </cell>
          <cell r="AB4751" t="str">
            <v/>
          </cell>
          <cell r="AC4751" t="str">
            <v/>
          </cell>
          <cell r="AD4751" t="str">
            <v/>
          </cell>
          <cell r="AY4751" t="str">
            <v/>
          </cell>
          <cell r="AZ4751" t="str">
            <v/>
          </cell>
          <cell r="BA4751" t="str">
            <v/>
          </cell>
        </row>
        <row r="4752">
          <cell r="B4752" t="str">
            <v>-</v>
          </cell>
          <cell r="E4752" t="str">
            <v/>
          </cell>
          <cell r="G4752" t="str">
            <v/>
          </cell>
          <cell r="J4752" t="str">
            <v/>
          </cell>
          <cell r="O4752" t="str">
            <v/>
          </cell>
          <cell r="P4752" t="str">
            <v/>
          </cell>
          <cell r="Q4752" t="str">
            <v/>
          </cell>
          <cell r="S4752" t="str">
            <v/>
          </cell>
          <cell r="V4752" t="str">
            <v/>
          </cell>
          <cell r="Z4752" t="str">
            <v/>
          </cell>
          <cell r="AA4752" t="str">
            <v/>
          </cell>
          <cell r="AB4752" t="str">
            <v/>
          </cell>
          <cell r="AC4752" t="str">
            <v/>
          </cell>
          <cell r="AD4752" t="str">
            <v/>
          </cell>
          <cell r="AY4752" t="str">
            <v/>
          </cell>
          <cell r="AZ4752" t="str">
            <v/>
          </cell>
          <cell r="BA4752" t="str">
            <v/>
          </cell>
        </row>
        <row r="4753">
          <cell r="B4753" t="str">
            <v>-</v>
          </cell>
          <cell r="E4753" t="str">
            <v/>
          </cell>
          <cell r="G4753" t="str">
            <v/>
          </cell>
          <cell r="J4753" t="str">
            <v/>
          </cell>
          <cell r="O4753" t="str">
            <v/>
          </cell>
          <cell r="P4753" t="str">
            <v/>
          </cell>
          <cell r="Q4753" t="str">
            <v/>
          </cell>
          <cell r="S4753" t="str">
            <v/>
          </cell>
          <cell r="V4753" t="str">
            <v/>
          </cell>
          <cell r="Z4753" t="str">
            <v/>
          </cell>
          <cell r="AA4753" t="str">
            <v/>
          </cell>
          <cell r="AB4753" t="str">
            <v/>
          </cell>
          <cell r="AC4753" t="str">
            <v/>
          </cell>
          <cell r="AD4753" t="str">
            <v/>
          </cell>
          <cell r="AY4753" t="str">
            <v/>
          </cell>
          <cell r="AZ4753" t="str">
            <v/>
          </cell>
          <cell r="BA4753" t="str">
            <v/>
          </cell>
        </row>
        <row r="4754">
          <cell r="B4754" t="str">
            <v>-</v>
          </cell>
          <cell r="E4754" t="str">
            <v/>
          </cell>
          <cell r="G4754" t="str">
            <v/>
          </cell>
          <cell r="J4754" t="str">
            <v/>
          </cell>
          <cell r="O4754" t="str">
            <v/>
          </cell>
          <cell r="P4754" t="str">
            <v/>
          </cell>
          <cell r="Q4754" t="str">
            <v/>
          </cell>
          <cell r="S4754" t="str">
            <v/>
          </cell>
          <cell r="V4754" t="str">
            <v/>
          </cell>
          <cell r="Z4754" t="str">
            <v/>
          </cell>
          <cell r="AA4754" t="str">
            <v/>
          </cell>
          <cell r="AB4754" t="str">
            <v/>
          </cell>
          <cell r="AC4754" t="str">
            <v/>
          </cell>
          <cell r="AD4754" t="str">
            <v/>
          </cell>
          <cell r="AY4754" t="str">
            <v/>
          </cell>
          <cell r="AZ4754" t="str">
            <v/>
          </cell>
          <cell r="BA4754" t="str">
            <v/>
          </cell>
        </row>
        <row r="4755">
          <cell r="B4755" t="str">
            <v>-</v>
          </cell>
          <cell r="E4755" t="str">
            <v/>
          </cell>
          <cell r="G4755" t="str">
            <v/>
          </cell>
          <cell r="J4755" t="str">
            <v/>
          </cell>
          <cell r="O4755" t="str">
            <v/>
          </cell>
          <cell r="P4755" t="str">
            <v/>
          </cell>
          <cell r="Q4755" t="str">
            <v/>
          </cell>
          <cell r="S4755" t="str">
            <v/>
          </cell>
          <cell r="V4755" t="str">
            <v/>
          </cell>
          <cell r="Z4755" t="str">
            <v/>
          </cell>
          <cell r="AA4755" t="str">
            <v/>
          </cell>
          <cell r="AB4755" t="str">
            <v/>
          </cell>
          <cell r="AC4755" t="str">
            <v/>
          </cell>
          <cell r="AD4755" t="str">
            <v/>
          </cell>
          <cell r="AY4755" t="str">
            <v/>
          </cell>
          <cell r="AZ4755" t="str">
            <v/>
          </cell>
          <cell r="BA4755" t="str">
            <v/>
          </cell>
        </row>
        <row r="4756">
          <cell r="B4756" t="str">
            <v>-</v>
          </cell>
          <cell r="E4756" t="str">
            <v/>
          </cell>
          <cell r="G4756" t="str">
            <v/>
          </cell>
          <cell r="J4756" t="str">
            <v/>
          </cell>
          <cell r="O4756" t="str">
            <v/>
          </cell>
          <cell r="P4756" t="str">
            <v/>
          </cell>
          <cell r="Q4756" t="str">
            <v/>
          </cell>
          <cell r="S4756" t="str">
            <v/>
          </cell>
          <cell r="V4756" t="str">
            <v/>
          </cell>
          <cell r="Z4756" t="str">
            <v/>
          </cell>
          <cell r="AA4756" t="str">
            <v/>
          </cell>
          <cell r="AB4756" t="str">
            <v/>
          </cell>
          <cell r="AC4756" t="str">
            <v/>
          </cell>
          <cell r="AD4756" t="str">
            <v/>
          </cell>
          <cell r="AY4756" t="str">
            <v/>
          </cell>
          <cell r="AZ4756" t="str">
            <v/>
          </cell>
          <cell r="BA4756" t="str">
            <v/>
          </cell>
        </row>
        <row r="4757">
          <cell r="B4757" t="str">
            <v>-</v>
          </cell>
          <cell r="E4757" t="str">
            <v/>
          </cell>
          <cell r="G4757" t="str">
            <v/>
          </cell>
          <cell r="J4757" t="str">
            <v/>
          </cell>
          <cell r="O4757" t="str">
            <v/>
          </cell>
          <cell r="P4757" t="str">
            <v/>
          </cell>
          <cell r="Q4757" t="str">
            <v/>
          </cell>
          <cell r="S4757" t="str">
            <v/>
          </cell>
          <cell r="V4757" t="str">
            <v/>
          </cell>
          <cell r="Z4757" t="str">
            <v/>
          </cell>
          <cell r="AA4757" t="str">
            <v/>
          </cell>
          <cell r="AB4757" t="str">
            <v/>
          </cell>
          <cell r="AC4757" t="str">
            <v/>
          </cell>
          <cell r="AD4757" t="str">
            <v/>
          </cell>
          <cell r="AY4757" t="str">
            <v/>
          </cell>
          <cell r="AZ4757" t="str">
            <v/>
          </cell>
          <cell r="BA4757" t="str">
            <v/>
          </cell>
        </row>
        <row r="4758">
          <cell r="B4758" t="str">
            <v>-</v>
          </cell>
          <cell r="E4758" t="str">
            <v/>
          </cell>
          <cell r="G4758" t="str">
            <v/>
          </cell>
          <cell r="J4758" t="str">
            <v/>
          </cell>
          <cell r="O4758" t="str">
            <v/>
          </cell>
          <cell r="P4758" t="str">
            <v/>
          </cell>
          <cell r="Q4758" t="str">
            <v/>
          </cell>
          <cell r="S4758" t="str">
            <v/>
          </cell>
          <cell r="V4758" t="str">
            <v/>
          </cell>
          <cell r="Z4758" t="str">
            <v/>
          </cell>
          <cell r="AA4758" t="str">
            <v/>
          </cell>
          <cell r="AB4758" t="str">
            <v/>
          </cell>
          <cell r="AC4758" t="str">
            <v/>
          </cell>
          <cell r="AD4758" t="str">
            <v/>
          </cell>
          <cell r="AY4758" t="str">
            <v/>
          </cell>
          <cell r="AZ4758" t="str">
            <v/>
          </cell>
          <cell r="BA4758" t="str">
            <v/>
          </cell>
        </row>
        <row r="4759">
          <cell r="B4759" t="str">
            <v>-</v>
          </cell>
          <cell r="E4759" t="str">
            <v/>
          </cell>
          <cell r="G4759" t="str">
            <v/>
          </cell>
          <cell r="J4759" t="str">
            <v/>
          </cell>
          <cell r="O4759" t="str">
            <v/>
          </cell>
          <cell r="P4759" t="str">
            <v/>
          </cell>
          <cell r="Q4759" t="str">
            <v/>
          </cell>
          <cell r="S4759" t="str">
            <v/>
          </cell>
          <cell r="V4759" t="str">
            <v/>
          </cell>
          <cell r="Z4759" t="str">
            <v/>
          </cell>
          <cell r="AA4759" t="str">
            <v/>
          </cell>
          <cell r="AB4759" t="str">
            <v/>
          </cell>
          <cell r="AC4759" t="str">
            <v/>
          </cell>
          <cell r="AD4759" t="str">
            <v/>
          </cell>
          <cell r="AY4759" t="str">
            <v/>
          </cell>
          <cell r="AZ4759" t="str">
            <v/>
          </cell>
          <cell r="BA4759" t="str">
            <v/>
          </cell>
        </row>
        <row r="4760">
          <cell r="B4760" t="str">
            <v>-</v>
          </cell>
          <cell r="E4760" t="str">
            <v/>
          </cell>
          <cell r="G4760" t="str">
            <v/>
          </cell>
          <cell r="J4760" t="str">
            <v/>
          </cell>
          <cell r="O4760" t="str">
            <v/>
          </cell>
          <cell r="P4760" t="str">
            <v/>
          </cell>
          <cell r="Q4760" t="str">
            <v/>
          </cell>
          <cell r="S4760" t="str">
            <v/>
          </cell>
          <cell r="V4760" t="str">
            <v/>
          </cell>
          <cell r="Z4760" t="str">
            <v/>
          </cell>
          <cell r="AA4760" t="str">
            <v/>
          </cell>
          <cell r="AB4760" t="str">
            <v/>
          </cell>
          <cell r="AC4760" t="str">
            <v/>
          </cell>
          <cell r="AD4760" t="str">
            <v/>
          </cell>
          <cell r="AY4760" t="str">
            <v/>
          </cell>
          <cell r="AZ4760" t="str">
            <v/>
          </cell>
          <cell r="BA4760" t="str">
            <v/>
          </cell>
        </row>
        <row r="4761">
          <cell r="B4761" t="str">
            <v>-</v>
          </cell>
          <cell r="E4761" t="str">
            <v/>
          </cell>
          <cell r="G4761" t="str">
            <v/>
          </cell>
          <cell r="J4761" t="str">
            <v/>
          </cell>
          <cell r="O4761" t="str">
            <v/>
          </cell>
          <cell r="P4761" t="str">
            <v/>
          </cell>
          <cell r="Q4761" t="str">
            <v/>
          </cell>
          <cell r="S4761" t="str">
            <v/>
          </cell>
          <cell r="V4761" t="str">
            <v/>
          </cell>
          <cell r="Z4761" t="str">
            <v/>
          </cell>
          <cell r="AA4761" t="str">
            <v/>
          </cell>
          <cell r="AB4761" t="str">
            <v/>
          </cell>
          <cell r="AC4761" t="str">
            <v/>
          </cell>
          <cell r="AD4761" t="str">
            <v/>
          </cell>
          <cell r="AY4761" t="str">
            <v/>
          </cell>
          <cell r="AZ4761" t="str">
            <v/>
          </cell>
          <cell r="BA4761" t="str">
            <v/>
          </cell>
        </row>
        <row r="4762">
          <cell r="B4762" t="str">
            <v>-</v>
          </cell>
          <cell r="E4762" t="str">
            <v/>
          </cell>
          <cell r="G4762" t="str">
            <v/>
          </cell>
          <cell r="J4762" t="str">
            <v/>
          </cell>
          <cell r="O4762" t="str">
            <v/>
          </cell>
          <cell r="P4762" t="str">
            <v/>
          </cell>
          <cell r="Q4762" t="str">
            <v/>
          </cell>
          <cell r="S4762" t="str">
            <v/>
          </cell>
          <cell r="V4762" t="str">
            <v/>
          </cell>
          <cell r="Z4762" t="str">
            <v/>
          </cell>
          <cell r="AA4762" t="str">
            <v/>
          </cell>
          <cell r="AB4762" t="str">
            <v/>
          </cell>
          <cell r="AC4762" t="str">
            <v/>
          </cell>
          <cell r="AD4762" t="str">
            <v/>
          </cell>
          <cell r="AY4762" t="str">
            <v/>
          </cell>
          <cell r="AZ4762" t="str">
            <v/>
          </cell>
          <cell r="BA4762" t="str">
            <v/>
          </cell>
        </row>
        <row r="4763">
          <cell r="B4763" t="str">
            <v>-</v>
          </cell>
          <cell r="E4763" t="str">
            <v/>
          </cell>
          <cell r="G4763" t="str">
            <v/>
          </cell>
          <cell r="J4763" t="str">
            <v/>
          </cell>
          <cell r="O4763" t="str">
            <v/>
          </cell>
          <cell r="P4763" t="str">
            <v/>
          </cell>
          <cell r="Q4763" t="str">
            <v/>
          </cell>
          <cell r="S4763" t="str">
            <v/>
          </cell>
          <cell r="V4763" t="str">
            <v/>
          </cell>
          <cell r="Z4763" t="str">
            <v/>
          </cell>
          <cell r="AA4763" t="str">
            <v/>
          </cell>
          <cell r="AB4763" t="str">
            <v/>
          </cell>
          <cell r="AC4763" t="str">
            <v/>
          </cell>
          <cell r="AD4763" t="str">
            <v/>
          </cell>
          <cell r="AY4763" t="str">
            <v/>
          </cell>
          <cell r="AZ4763" t="str">
            <v/>
          </cell>
          <cell r="BA4763" t="str">
            <v/>
          </cell>
        </row>
        <row r="4764">
          <cell r="B4764" t="str">
            <v>-</v>
          </cell>
          <cell r="E4764" t="str">
            <v/>
          </cell>
          <cell r="G4764" t="str">
            <v/>
          </cell>
          <cell r="J4764" t="str">
            <v/>
          </cell>
          <cell r="O4764" t="str">
            <v/>
          </cell>
          <cell r="P4764" t="str">
            <v/>
          </cell>
          <cell r="Q4764" t="str">
            <v/>
          </cell>
          <cell r="S4764" t="str">
            <v/>
          </cell>
          <cell r="V4764" t="str">
            <v/>
          </cell>
          <cell r="Z4764" t="str">
            <v/>
          </cell>
          <cell r="AA4764" t="str">
            <v/>
          </cell>
          <cell r="AB4764" t="str">
            <v/>
          </cell>
          <cell r="AC4764" t="str">
            <v/>
          </cell>
          <cell r="AD4764" t="str">
            <v/>
          </cell>
          <cell r="AY4764" t="str">
            <v/>
          </cell>
          <cell r="AZ4764" t="str">
            <v/>
          </cell>
          <cell r="BA4764" t="str">
            <v/>
          </cell>
        </row>
        <row r="4765">
          <cell r="B4765" t="str">
            <v>-</v>
          </cell>
          <cell r="E4765" t="str">
            <v/>
          </cell>
          <cell r="G4765" t="str">
            <v/>
          </cell>
          <cell r="J4765" t="str">
            <v/>
          </cell>
          <cell r="O4765" t="str">
            <v/>
          </cell>
          <cell r="P4765" t="str">
            <v/>
          </cell>
          <cell r="Q4765" t="str">
            <v/>
          </cell>
          <cell r="S4765" t="str">
            <v/>
          </cell>
          <cell r="V4765" t="str">
            <v/>
          </cell>
          <cell r="Z4765" t="str">
            <v/>
          </cell>
          <cell r="AA4765" t="str">
            <v/>
          </cell>
          <cell r="AB4765" t="str">
            <v/>
          </cell>
          <cell r="AC4765" t="str">
            <v/>
          </cell>
          <cell r="AD4765" t="str">
            <v/>
          </cell>
          <cell r="AY4765" t="str">
            <v/>
          </cell>
          <cell r="AZ4765" t="str">
            <v/>
          </cell>
          <cell r="BA4765" t="str">
            <v/>
          </cell>
        </row>
        <row r="4766">
          <cell r="B4766" t="str">
            <v>-</v>
          </cell>
          <cell r="E4766" t="str">
            <v/>
          </cell>
          <cell r="G4766" t="str">
            <v/>
          </cell>
          <cell r="J4766" t="str">
            <v/>
          </cell>
          <cell r="O4766" t="str">
            <v/>
          </cell>
          <cell r="P4766" t="str">
            <v/>
          </cell>
          <cell r="Q4766" t="str">
            <v/>
          </cell>
          <cell r="S4766" t="str">
            <v/>
          </cell>
          <cell r="V4766" t="str">
            <v/>
          </cell>
          <cell r="Z4766" t="str">
            <v/>
          </cell>
          <cell r="AA4766" t="str">
            <v/>
          </cell>
          <cell r="AB4766" t="str">
            <v/>
          </cell>
          <cell r="AC4766" t="str">
            <v/>
          </cell>
          <cell r="AD4766" t="str">
            <v/>
          </cell>
          <cell r="AY4766" t="str">
            <v/>
          </cell>
          <cell r="AZ4766" t="str">
            <v/>
          </cell>
          <cell r="BA4766" t="str">
            <v/>
          </cell>
        </row>
        <row r="4767">
          <cell r="B4767" t="str">
            <v>-</v>
          </cell>
          <cell r="E4767" t="str">
            <v/>
          </cell>
          <cell r="G4767" t="str">
            <v/>
          </cell>
          <cell r="J4767" t="str">
            <v/>
          </cell>
          <cell r="O4767" t="str">
            <v/>
          </cell>
          <cell r="P4767" t="str">
            <v/>
          </cell>
          <cell r="Q4767" t="str">
            <v/>
          </cell>
          <cell r="S4767" t="str">
            <v/>
          </cell>
          <cell r="V4767" t="str">
            <v/>
          </cell>
          <cell r="Z4767" t="str">
            <v/>
          </cell>
          <cell r="AA4767" t="str">
            <v/>
          </cell>
          <cell r="AB4767" t="str">
            <v/>
          </cell>
          <cell r="AC4767" t="str">
            <v/>
          </cell>
          <cell r="AD4767" t="str">
            <v/>
          </cell>
          <cell r="AY4767" t="str">
            <v/>
          </cell>
          <cell r="AZ4767" t="str">
            <v/>
          </cell>
          <cell r="BA4767" t="str">
            <v/>
          </cell>
        </row>
        <row r="4768">
          <cell r="B4768" t="str">
            <v>-</v>
          </cell>
          <cell r="E4768" t="str">
            <v/>
          </cell>
          <cell r="G4768" t="str">
            <v/>
          </cell>
          <cell r="J4768" t="str">
            <v/>
          </cell>
          <cell r="O4768" t="str">
            <v/>
          </cell>
          <cell r="P4768" t="str">
            <v/>
          </cell>
          <cell r="Q4768" t="str">
            <v/>
          </cell>
          <cell r="S4768" t="str">
            <v/>
          </cell>
          <cell r="V4768" t="str">
            <v/>
          </cell>
          <cell r="Z4768" t="str">
            <v/>
          </cell>
          <cell r="AA4768" t="str">
            <v/>
          </cell>
          <cell r="AB4768" t="str">
            <v/>
          </cell>
          <cell r="AC4768" t="str">
            <v/>
          </cell>
          <cell r="AD4768" t="str">
            <v/>
          </cell>
          <cell r="AY4768" t="str">
            <v/>
          </cell>
          <cell r="AZ4768" t="str">
            <v/>
          </cell>
          <cell r="BA4768" t="str">
            <v/>
          </cell>
        </row>
        <row r="4769">
          <cell r="B4769" t="str">
            <v>-</v>
          </cell>
          <cell r="E4769" t="str">
            <v/>
          </cell>
          <cell r="G4769" t="str">
            <v/>
          </cell>
          <cell r="J4769" t="str">
            <v/>
          </cell>
          <cell r="O4769" t="str">
            <v/>
          </cell>
          <cell r="P4769" t="str">
            <v/>
          </cell>
          <cell r="Q4769" t="str">
            <v/>
          </cell>
          <cell r="S4769" t="str">
            <v/>
          </cell>
          <cell r="V4769" t="str">
            <v/>
          </cell>
          <cell r="Z4769" t="str">
            <v/>
          </cell>
          <cell r="AA4769" t="str">
            <v/>
          </cell>
          <cell r="AB4769" t="str">
            <v/>
          </cell>
          <cell r="AC4769" t="str">
            <v/>
          </cell>
          <cell r="AD4769" t="str">
            <v/>
          </cell>
          <cell r="AY4769" t="str">
            <v/>
          </cell>
          <cell r="AZ4769" t="str">
            <v/>
          </cell>
          <cell r="BA4769" t="str">
            <v/>
          </cell>
        </row>
        <row r="4770">
          <cell r="B4770" t="str">
            <v>-</v>
          </cell>
          <cell r="E4770" t="str">
            <v/>
          </cell>
          <cell r="G4770" t="str">
            <v/>
          </cell>
          <cell r="J4770" t="str">
            <v/>
          </cell>
          <cell r="O4770" t="str">
            <v/>
          </cell>
          <cell r="P4770" t="str">
            <v/>
          </cell>
          <cell r="Q4770" t="str">
            <v/>
          </cell>
          <cell r="S4770" t="str">
            <v/>
          </cell>
          <cell r="V4770" t="str">
            <v/>
          </cell>
          <cell r="Z4770" t="str">
            <v/>
          </cell>
          <cell r="AA4770" t="str">
            <v/>
          </cell>
          <cell r="AB4770" t="str">
            <v/>
          </cell>
          <cell r="AC4770" t="str">
            <v/>
          </cell>
          <cell r="AD4770" t="str">
            <v/>
          </cell>
          <cell r="AY4770" t="str">
            <v/>
          </cell>
          <cell r="AZ4770" t="str">
            <v/>
          </cell>
          <cell r="BA4770" t="str">
            <v/>
          </cell>
        </row>
        <row r="4771">
          <cell r="B4771" t="str">
            <v>-</v>
          </cell>
          <cell r="E4771" t="str">
            <v/>
          </cell>
          <cell r="G4771" t="str">
            <v/>
          </cell>
          <cell r="J4771" t="str">
            <v/>
          </cell>
          <cell r="O4771" t="str">
            <v/>
          </cell>
          <cell r="P4771" t="str">
            <v/>
          </cell>
          <cell r="Q4771" t="str">
            <v/>
          </cell>
          <cell r="S4771" t="str">
            <v/>
          </cell>
          <cell r="V4771" t="str">
            <v/>
          </cell>
          <cell r="Z4771" t="str">
            <v/>
          </cell>
          <cell r="AA4771" t="str">
            <v/>
          </cell>
          <cell r="AB4771" t="str">
            <v/>
          </cell>
          <cell r="AC4771" t="str">
            <v/>
          </cell>
          <cell r="AD4771" t="str">
            <v/>
          </cell>
          <cell r="AY4771" t="str">
            <v/>
          </cell>
          <cell r="AZ4771" t="str">
            <v/>
          </cell>
          <cell r="BA4771" t="str">
            <v/>
          </cell>
        </row>
        <row r="4772">
          <cell r="B4772" t="str">
            <v>-</v>
          </cell>
          <cell r="E4772" t="str">
            <v/>
          </cell>
          <cell r="G4772" t="str">
            <v/>
          </cell>
          <cell r="J4772" t="str">
            <v/>
          </cell>
          <cell r="O4772" t="str">
            <v/>
          </cell>
          <cell r="P4772" t="str">
            <v/>
          </cell>
          <cell r="Q4772" t="str">
            <v/>
          </cell>
          <cell r="S4772" t="str">
            <v/>
          </cell>
          <cell r="V4772" t="str">
            <v/>
          </cell>
          <cell r="Z4772" t="str">
            <v/>
          </cell>
          <cell r="AA4772" t="str">
            <v/>
          </cell>
          <cell r="AB4772" t="str">
            <v/>
          </cell>
          <cell r="AC4772" t="str">
            <v/>
          </cell>
          <cell r="AD4772" t="str">
            <v/>
          </cell>
          <cell r="AY4772" t="str">
            <v/>
          </cell>
          <cell r="AZ4772" t="str">
            <v/>
          </cell>
          <cell r="BA4772" t="str">
            <v/>
          </cell>
        </row>
        <row r="4773">
          <cell r="B4773" t="str">
            <v>-</v>
          </cell>
          <cell r="E4773" t="str">
            <v/>
          </cell>
          <cell r="G4773" t="str">
            <v/>
          </cell>
          <cell r="J4773" t="str">
            <v/>
          </cell>
          <cell r="O4773" t="str">
            <v/>
          </cell>
          <cell r="P4773" t="str">
            <v/>
          </cell>
          <cell r="Q4773" t="str">
            <v/>
          </cell>
          <cell r="S4773" t="str">
            <v/>
          </cell>
          <cell r="V4773" t="str">
            <v/>
          </cell>
          <cell r="Z4773" t="str">
            <v/>
          </cell>
          <cell r="AA4773" t="str">
            <v/>
          </cell>
          <cell r="AB4773" t="str">
            <v/>
          </cell>
          <cell r="AC4773" t="str">
            <v/>
          </cell>
          <cell r="AD4773" t="str">
            <v/>
          </cell>
          <cell r="AY4773" t="str">
            <v/>
          </cell>
          <cell r="AZ4773" t="str">
            <v/>
          </cell>
          <cell r="BA4773" t="str">
            <v/>
          </cell>
        </row>
        <row r="4774">
          <cell r="B4774" t="str">
            <v>-</v>
          </cell>
          <cell r="E4774" t="str">
            <v/>
          </cell>
          <cell r="G4774" t="str">
            <v/>
          </cell>
          <cell r="J4774" t="str">
            <v/>
          </cell>
          <cell r="O4774" t="str">
            <v/>
          </cell>
          <cell r="P4774" t="str">
            <v/>
          </cell>
          <cell r="Q4774" t="str">
            <v/>
          </cell>
          <cell r="S4774" t="str">
            <v/>
          </cell>
          <cell r="V4774" t="str">
            <v/>
          </cell>
          <cell r="Z4774" t="str">
            <v/>
          </cell>
          <cell r="AA4774" t="str">
            <v/>
          </cell>
          <cell r="AB4774" t="str">
            <v/>
          </cell>
          <cell r="AC4774" t="str">
            <v/>
          </cell>
          <cell r="AD4774" t="str">
            <v/>
          </cell>
          <cell r="AY4774" t="str">
            <v/>
          </cell>
          <cell r="AZ4774" t="str">
            <v/>
          </cell>
          <cell r="BA4774" t="str">
            <v/>
          </cell>
        </row>
        <row r="4775">
          <cell r="B4775" t="str">
            <v>-</v>
          </cell>
          <cell r="E4775" t="str">
            <v/>
          </cell>
          <cell r="G4775" t="str">
            <v/>
          </cell>
          <cell r="J4775" t="str">
            <v/>
          </cell>
          <cell r="O4775" t="str">
            <v/>
          </cell>
          <cell r="P4775" t="str">
            <v/>
          </cell>
          <cell r="Q4775" t="str">
            <v/>
          </cell>
          <cell r="S4775" t="str">
            <v/>
          </cell>
          <cell r="V4775" t="str">
            <v/>
          </cell>
          <cell r="Z4775" t="str">
            <v/>
          </cell>
          <cell r="AA4775" t="str">
            <v/>
          </cell>
          <cell r="AB4775" t="str">
            <v/>
          </cell>
          <cell r="AC4775" t="str">
            <v/>
          </cell>
          <cell r="AD4775" t="str">
            <v/>
          </cell>
          <cell r="AY4775" t="str">
            <v/>
          </cell>
          <cell r="AZ4775" t="str">
            <v/>
          </cell>
          <cell r="BA4775" t="str">
            <v/>
          </cell>
        </row>
        <row r="4776">
          <cell r="B4776" t="str">
            <v>-</v>
          </cell>
          <cell r="E4776" t="str">
            <v/>
          </cell>
          <cell r="G4776" t="str">
            <v/>
          </cell>
          <cell r="J4776" t="str">
            <v/>
          </cell>
          <cell r="O4776" t="str">
            <v/>
          </cell>
          <cell r="P4776" t="str">
            <v/>
          </cell>
          <cell r="Q4776" t="str">
            <v/>
          </cell>
          <cell r="S4776" t="str">
            <v/>
          </cell>
          <cell r="V4776" t="str">
            <v/>
          </cell>
          <cell r="Z4776" t="str">
            <v/>
          </cell>
          <cell r="AA4776" t="str">
            <v/>
          </cell>
          <cell r="AB4776" t="str">
            <v/>
          </cell>
          <cell r="AC4776" t="str">
            <v/>
          </cell>
          <cell r="AD4776" t="str">
            <v/>
          </cell>
          <cell r="AY4776" t="str">
            <v/>
          </cell>
          <cell r="AZ4776" t="str">
            <v/>
          </cell>
          <cell r="BA4776" t="str">
            <v/>
          </cell>
        </row>
        <row r="4777">
          <cell r="B4777" t="str">
            <v>-</v>
          </cell>
          <cell r="E4777" t="str">
            <v/>
          </cell>
          <cell r="G4777" t="str">
            <v/>
          </cell>
          <cell r="J4777" t="str">
            <v/>
          </cell>
          <cell r="O4777" t="str">
            <v/>
          </cell>
          <cell r="P4777" t="str">
            <v/>
          </cell>
          <cell r="Q4777" t="str">
            <v/>
          </cell>
          <cell r="S4777" t="str">
            <v/>
          </cell>
          <cell r="V4777" t="str">
            <v/>
          </cell>
          <cell r="Z4777" t="str">
            <v/>
          </cell>
          <cell r="AA4777" t="str">
            <v/>
          </cell>
          <cell r="AB4777" t="str">
            <v/>
          </cell>
          <cell r="AC4777" t="str">
            <v/>
          </cell>
          <cell r="AD4777" t="str">
            <v/>
          </cell>
          <cell r="AY4777" t="str">
            <v/>
          </cell>
          <cell r="AZ4777" t="str">
            <v/>
          </cell>
          <cell r="BA4777" t="str">
            <v/>
          </cell>
        </row>
        <row r="4778">
          <cell r="B4778" t="str">
            <v>-</v>
          </cell>
          <cell r="E4778" t="str">
            <v/>
          </cell>
          <cell r="G4778" t="str">
            <v/>
          </cell>
          <cell r="J4778" t="str">
            <v/>
          </cell>
          <cell r="O4778" t="str">
            <v/>
          </cell>
          <cell r="P4778" t="str">
            <v/>
          </cell>
          <cell r="Q4778" t="str">
            <v/>
          </cell>
          <cell r="S4778" t="str">
            <v/>
          </cell>
          <cell r="V4778" t="str">
            <v/>
          </cell>
          <cell r="Z4778" t="str">
            <v/>
          </cell>
          <cell r="AA4778" t="str">
            <v/>
          </cell>
          <cell r="AB4778" t="str">
            <v/>
          </cell>
          <cell r="AC4778" t="str">
            <v/>
          </cell>
          <cell r="AD4778" t="str">
            <v/>
          </cell>
          <cell r="AY4778" t="str">
            <v/>
          </cell>
          <cell r="AZ4778" t="str">
            <v/>
          </cell>
          <cell r="BA4778" t="str">
            <v/>
          </cell>
        </row>
        <row r="4779">
          <cell r="B4779" t="str">
            <v>-</v>
          </cell>
          <cell r="E4779" t="str">
            <v/>
          </cell>
          <cell r="G4779" t="str">
            <v/>
          </cell>
          <cell r="J4779" t="str">
            <v/>
          </cell>
          <cell r="O4779" t="str">
            <v/>
          </cell>
          <cell r="P4779" t="str">
            <v/>
          </cell>
          <cell r="Q4779" t="str">
            <v/>
          </cell>
          <cell r="S4779" t="str">
            <v/>
          </cell>
          <cell r="V4779" t="str">
            <v/>
          </cell>
          <cell r="Z4779" t="str">
            <v/>
          </cell>
          <cell r="AA4779" t="str">
            <v/>
          </cell>
          <cell r="AB4779" t="str">
            <v/>
          </cell>
          <cell r="AC4779" t="str">
            <v/>
          </cell>
          <cell r="AD4779" t="str">
            <v/>
          </cell>
          <cell r="AY4779" t="str">
            <v/>
          </cell>
          <cell r="AZ4779" t="str">
            <v/>
          </cell>
          <cell r="BA4779" t="str">
            <v/>
          </cell>
        </row>
        <row r="4780">
          <cell r="B4780" t="str">
            <v>-</v>
          </cell>
          <cell r="E4780" t="str">
            <v/>
          </cell>
          <cell r="G4780" t="str">
            <v/>
          </cell>
          <cell r="J4780" t="str">
            <v/>
          </cell>
          <cell r="O4780" t="str">
            <v/>
          </cell>
          <cell r="P4780" t="str">
            <v/>
          </cell>
          <cell r="Q4780" t="str">
            <v/>
          </cell>
          <cell r="S4780" t="str">
            <v/>
          </cell>
          <cell r="V4780" t="str">
            <v/>
          </cell>
          <cell r="Z4780" t="str">
            <v/>
          </cell>
          <cell r="AA4780" t="str">
            <v/>
          </cell>
          <cell r="AB4780" t="str">
            <v/>
          </cell>
          <cell r="AC4780" t="str">
            <v/>
          </cell>
          <cell r="AD4780" t="str">
            <v/>
          </cell>
          <cell r="AY4780" t="str">
            <v/>
          </cell>
          <cell r="AZ4780" t="str">
            <v/>
          </cell>
          <cell r="BA4780" t="str">
            <v/>
          </cell>
        </row>
        <row r="4781">
          <cell r="B4781" t="str">
            <v>-</v>
          </cell>
          <cell r="E4781" t="str">
            <v/>
          </cell>
          <cell r="G4781" t="str">
            <v/>
          </cell>
          <cell r="J4781" t="str">
            <v/>
          </cell>
          <cell r="O4781" t="str">
            <v/>
          </cell>
          <cell r="P4781" t="str">
            <v/>
          </cell>
          <cell r="Q4781" t="str">
            <v/>
          </cell>
          <cell r="S4781" t="str">
            <v/>
          </cell>
          <cell r="V4781" t="str">
            <v/>
          </cell>
          <cell r="Z4781" t="str">
            <v/>
          </cell>
          <cell r="AA4781" t="str">
            <v/>
          </cell>
          <cell r="AB4781" t="str">
            <v/>
          </cell>
          <cell r="AC4781" t="str">
            <v/>
          </cell>
          <cell r="AD4781" t="str">
            <v/>
          </cell>
          <cell r="AY4781" t="str">
            <v/>
          </cell>
          <cell r="AZ4781" t="str">
            <v/>
          </cell>
          <cell r="BA4781" t="str">
            <v/>
          </cell>
        </row>
        <row r="4782">
          <cell r="B4782" t="str">
            <v>-</v>
          </cell>
          <cell r="E4782" t="str">
            <v/>
          </cell>
          <cell r="G4782" t="str">
            <v/>
          </cell>
          <cell r="J4782" t="str">
            <v/>
          </cell>
          <cell r="O4782" t="str">
            <v/>
          </cell>
          <cell r="P4782" t="str">
            <v/>
          </cell>
          <cell r="Q4782" t="str">
            <v/>
          </cell>
          <cell r="S4782" t="str">
            <v/>
          </cell>
          <cell r="V4782" t="str">
            <v/>
          </cell>
          <cell r="Z4782" t="str">
            <v/>
          </cell>
          <cell r="AA4782" t="str">
            <v/>
          </cell>
          <cell r="AB4782" t="str">
            <v/>
          </cell>
          <cell r="AC4782" t="str">
            <v/>
          </cell>
          <cell r="AD4782" t="str">
            <v/>
          </cell>
          <cell r="AY4782" t="str">
            <v/>
          </cell>
          <cell r="AZ4782" t="str">
            <v/>
          </cell>
          <cell r="BA4782" t="str">
            <v/>
          </cell>
        </row>
        <row r="4783">
          <cell r="B4783" t="str">
            <v>-</v>
          </cell>
          <cell r="E4783" t="str">
            <v/>
          </cell>
          <cell r="G4783" t="str">
            <v/>
          </cell>
          <cell r="J4783" t="str">
            <v/>
          </cell>
          <cell r="O4783" t="str">
            <v/>
          </cell>
          <cell r="P4783" t="str">
            <v/>
          </cell>
          <cell r="Q4783" t="str">
            <v/>
          </cell>
          <cell r="S4783" t="str">
            <v/>
          </cell>
          <cell r="V4783" t="str">
            <v/>
          </cell>
          <cell r="Z4783" t="str">
            <v/>
          </cell>
          <cell r="AA4783" t="str">
            <v/>
          </cell>
          <cell r="AB4783" t="str">
            <v/>
          </cell>
          <cell r="AC4783" t="str">
            <v/>
          </cell>
          <cell r="AD4783" t="str">
            <v/>
          </cell>
          <cell r="AY4783" t="str">
            <v/>
          </cell>
          <cell r="AZ4783" t="str">
            <v/>
          </cell>
          <cell r="BA4783" t="str">
            <v/>
          </cell>
        </row>
        <row r="4784">
          <cell r="B4784" t="str">
            <v>-</v>
          </cell>
          <cell r="E4784" t="str">
            <v/>
          </cell>
          <cell r="G4784" t="str">
            <v/>
          </cell>
          <cell r="J4784" t="str">
            <v/>
          </cell>
          <cell r="O4784" t="str">
            <v/>
          </cell>
          <cell r="P4784" t="str">
            <v/>
          </cell>
          <cell r="Q4784" t="str">
            <v/>
          </cell>
          <cell r="S4784" t="str">
            <v/>
          </cell>
          <cell r="V4784" t="str">
            <v/>
          </cell>
          <cell r="Z4784" t="str">
            <v/>
          </cell>
          <cell r="AA4784" t="str">
            <v/>
          </cell>
          <cell r="AB4784" t="str">
            <v/>
          </cell>
          <cell r="AC4784" t="str">
            <v/>
          </cell>
          <cell r="AD4784" t="str">
            <v/>
          </cell>
          <cell r="AY4784" t="str">
            <v/>
          </cell>
          <cell r="AZ4784" t="str">
            <v/>
          </cell>
          <cell r="BA4784" t="str">
            <v/>
          </cell>
        </row>
        <row r="4785">
          <cell r="B4785" t="str">
            <v>-</v>
          </cell>
          <cell r="E4785" t="str">
            <v/>
          </cell>
          <cell r="G4785" t="str">
            <v/>
          </cell>
          <cell r="J4785" t="str">
            <v/>
          </cell>
          <cell r="O4785" t="str">
            <v/>
          </cell>
          <cell r="P4785" t="str">
            <v/>
          </cell>
          <cell r="Q4785" t="str">
            <v/>
          </cell>
          <cell r="S4785" t="str">
            <v/>
          </cell>
          <cell r="V4785" t="str">
            <v/>
          </cell>
          <cell r="Z4785" t="str">
            <v/>
          </cell>
          <cell r="AA4785" t="str">
            <v/>
          </cell>
          <cell r="AB4785" t="str">
            <v/>
          </cell>
          <cell r="AC4785" t="str">
            <v/>
          </cell>
          <cell r="AD4785" t="str">
            <v/>
          </cell>
          <cell r="AY4785" t="str">
            <v/>
          </cell>
          <cell r="AZ4785" t="str">
            <v/>
          </cell>
          <cell r="BA4785" t="str">
            <v/>
          </cell>
        </row>
        <row r="4786">
          <cell r="B4786" t="str">
            <v>-</v>
          </cell>
          <cell r="E4786" t="str">
            <v/>
          </cell>
          <cell r="G4786" t="str">
            <v/>
          </cell>
          <cell r="J4786" t="str">
            <v/>
          </cell>
          <cell r="O4786" t="str">
            <v/>
          </cell>
          <cell r="P4786" t="str">
            <v/>
          </cell>
          <cell r="Q4786" t="str">
            <v/>
          </cell>
          <cell r="S4786" t="str">
            <v/>
          </cell>
          <cell r="V4786" t="str">
            <v/>
          </cell>
          <cell r="Z4786" t="str">
            <v/>
          </cell>
          <cell r="AA4786" t="str">
            <v/>
          </cell>
          <cell r="AB4786" t="str">
            <v/>
          </cell>
          <cell r="AC4786" t="str">
            <v/>
          </cell>
          <cell r="AD4786" t="str">
            <v/>
          </cell>
          <cell r="AY4786" t="str">
            <v/>
          </cell>
          <cell r="AZ4786" t="str">
            <v/>
          </cell>
          <cell r="BA4786" t="str">
            <v/>
          </cell>
        </row>
        <row r="4787">
          <cell r="B4787" t="str">
            <v>-</v>
          </cell>
          <cell r="E4787" t="str">
            <v/>
          </cell>
          <cell r="G4787" t="str">
            <v/>
          </cell>
          <cell r="J4787" t="str">
            <v/>
          </cell>
          <cell r="O4787" t="str">
            <v/>
          </cell>
          <cell r="P4787" t="str">
            <v/>
          </cell>
          <cell r="Q4787" t="str">
            <v/>
          </cell>
          <cell r="S4787" t="str">
            <v/>
          </cell>
          <cell r="V4787" t="str">
            <v/>
          </cell>
          <cell r="Z4787" t="str">
            <v/>
          </cell>
          <cell r="AA4787" t="str">
            <v/>
          </cell>
          <cell r="AB4787" t="str">
            <v/>
          </cell>
          <cell r="AC4787" t="str">
            <v/>
          </cell>
          <cell r="AD4787" t="str">
            <v/>
          </cell>
          <cell r="AY4787" t="str">
            <v/>
          </cell>
          <cell r="AZ4787" t="str">
            <v/>
          </cell>
          <cell r="BA4787" t="str">
            <v/>
          </cell>
        </row>
        <row r="4788">
          <cell r="B4788" t="str">
            <v>-</v>
          </cell>
          <cell r="E4788" t="str">
            <v/>
          </cell>
          <cell r="G4788" t="str">
            <v/>
          </cell>
          <cell r="J4788" t="str">
            <v/>
          </cell>
          <cell r="O4788" t="str">
            <v/>
          </cell>
          <cell r="P4788" t="str">
            <v/>
          </cell>
          <cell r="Q4788" t="str">
            <v/>
          </cell>
          <cell r="S4788" t="str">
            <v/>
          </cell>
          <cell r="V4788" t="str">
            <v/>
          </cell>
          <cell r="Z4788" t="str">
            <v/>
          </cell>
          <cell r="AA4788" t="str">
            <v/>
          </cell>
          <cell r="AB4788" t="str">
            <v/>
          </cell>
          <cell r="AC4788" t="str">
            <v/>
          </cell>
          <cell r="AD4788" t="str">
            <v/>
          </cell>
          <cell r="AY4788" t="str">
            <v/>
          </cell>
          <cell r="AZ4788" t="str">
            <v/>
          </cell>
          <cell r="BA4788" t="str">
            <v/>
          </cell>
        </row>
        <row r="4789">
          <cell r="B4789" t="str">
            <v>-</v>
          </cell>
          <cell r="E4789" t="str">
            <v/>
          </cell>
          <cell r="G4789" t="str">
            <v/>
          </cell>
          <cell r="J4789" t="str">
            <v/>
          </cell>
          <cell r="O4789" t="str">
            <v/>
          </cell>
          <cell r="P4789" t="str">
            <v/>
          </cell>
          <cell r="Q4789" t="str">
            <v/>
          </cell>
          <cell r="S4789" t="str">
            <v/>
          </cell>
          <cell r="V4789" t="str">
            <v/>
          </cell>
          <cell r="Z4789" t="str">
            <v/>
          </cell>
          <cell r="AA4789" t="str">
            <v/>
          </cell>
          <cell r="AB4789" t="str">
            <v/>
          </cell>
          <cell r="AC4789" t="str">
            <v/>
          </cell>
          <cell r="AD4789" t="str">
            <v/>
          </cell>
          <cell r="AY4789" t="str">
            <v/>
          </cell>
          <cell r="AZ4789" t="str">
            <v/>
          </cell>
          <cell r="BA4789" t="str">
            <v/>
          </cell>
        </row>
        <row r="4790">
          <cell r="B4790" t="str">
            <v>-</v>
          </cell>
          <cell r="E4790" t="str">
            <v/>
          </cell>
          <cell r="G4790" t="str">
            <v/>
          </cell>
          <cell r="J4790" t="str">
            <v/>
          </cell>
          <cell r="O4790" t="str">
            <v/>
          </cell>
          <cell r="P4790" t="str">
            <v/>
          </cell>
          <cell r="Q4790" t="str">
            <v/>
          </cell>
          <cell r="S4790" t="str">
            <v/>
          </cell>
          <cell r="V4790" t="str">
            <v/>
          </cell>
          <cell r="Z4790" t="str">
            <v/>
          </cell>
          <cell r="AA4790" t="str">
            <v/>
          </cell>
          <cell r="AB4790" t="str">
            <v/>
          </cell>
          <cell r="AC4790" t="str">
            <v/>
          </cell>
          <cell r="AD4790" t="str">
            <v/>
          </cell>
          <cell r="AY4790" t="str">
            <v/>
          </cell>
          <cell r="AZ4790" t="str">
            <v/>
          </cell>
          <cell r="BA4790" t="str">
            <v/>
          </cell>
        </row>
        <row r="4791">
          <cell r="B4791" t="str">
            <v>-</v>
          </cell>
          <cell r="E4791" t="str">
            <v/>
          </cell>
          <cell r="G4791" t="str">
            <v/>
          </cell>
          <cell r="J4791" t="str">
            <v/>
          </cell>
          <cell r="O4791" t="str">
            <v/>
          </cell>
          <cell r="P4791" t="str">
            <v/>
          </cell>
          <cell r="Q4791" t="str">
            <v/>
          </cell>
          <cell r="S4791" t="str">
            <v/>
          </cell>
          <cell r="V4791" t="str">
            <v/>
          </cell>
          <cell r="Z4791" t="str">
            <v/>
          </cell>
          <cell r="AA4791" t="str">
            <v/>
          </cell>
          <cell r="AB4791" t="str">
            <v/>
          </cell>
          <cell r="AC4791" t="str">
            <v/>
          </cell>
          <cell r="AD4791" t="str">
            <v/>
          </cell>
          <cell r="AY4791" t="str">
            <v/>
          </cell>
          <cell r="AZ4791" t="str">
            <v/>
          </cell>
          <cell r="BA4791" t="str">
            <v/>
          </cell>
        </row>
        <row r="4792">
          <cell r="B4792" t="str">
            <v>-</v>
          </cell>
          <cell r="E4792" t="str">
            <v/>
          </cell>
          <cell r="G4792" t="str">
            <v/>
          </cell>
          <cell r="J4792" t="str">
            <v/>
          </cell>
          <cell r="O4792" t="str">
            <v/>
          </cell>
          <cell r="P4792" t="str">
            <v/>
          </cell>
          <cell r="Q4792" t="str">
            <v/>
          </cell>
          <cell r="S4792" t="str">
            <v/>
          </cell>
          <cell r="V4792" t="str">
            <v/>
          </cell>
          <cell r="Z4792" t="str">
            <v/>
          </cell>
          <cell r="AA4792" t="str">
            <v/>
          </cell>
          <cell r="AB4792" t="str">
            <v/>
          </cell>
          <cell r="AC4792" t="str">
            <v/>
          </cell>
          <cell r="AD4792" t="str">
            <v/>
          </cell>
          <cell r="AY4792" t="str">
            <v/>
          </cell>
          <cell r="AZ4792" t="str">
            <v/>
          </cell>
          <cell r="BA4792" t="str">
            <v/>
          </cell>
        </row>
        <row r="4793">
          <cell r="B4793" t="str">
            <v>-</v>
          </cell>
          <cell r="E4793" t="str">
            <v/>
          </cell>
          <cell r="G4793" t="str">
            <v/>
          </cell>
          <cell r="J4793" t="str">
            <v/>
          </cell>
          <cell r="O4793" t="str">
            <v/>
          </cell>
          <cell r="P4793" t="str">
            <v/>
          </cell>
          <cell r="Q4793" t="str">
            <v/>
          </cell>
          <cell r="S4793" t="str">
            <v/>
          </cell>
          <cell r="V4793" t="str">
            <v/>
          </cell>
          <cell r="Z4793" t="str">
            <v/>
          </cell>
          <cell r="AA4793" t="str">
            <v/>
          </cell>
          <cell r="AB4793" t="str">
            <v/>
          </cell>
          <cell r="AC4793" t="str">
            <v/>
          </cell>
          <cell r="AD4793" t="str">
            <v/>
          </cell>
          <cell r="AY4793" t="str">
            <v/>
          </cell>
          <cell r="AZ4793" t="str">
            <v/>
          </cell>
          <cell r="BA4793" t="str">
            <v/>
          </cell>
        </row>
        <row r="4794">
          <cell r="B4794" t="str">
            <v>-</v>
          </cell>
          <cell r="E4794" t="str">
            <v/>
          </cell>
          <cell r="G4794" t="str">
            <v/>
          </cell>
          <cell r="J4794" t="str">
            <v/>
          </cell>
          <cell r="O4794" t="str">
            <v/>
          </cell>
          <cell r="P4794" t="str">
            <v/>
          </cell>
          <cell r="Q4794" t="str">
            <v/>
          </cell>
          <cell r="S4794" t="str">
            <v/>
          </cell>
          <cell r="V4794" t="str">
            <v/>
          </cell>
          <cell r="Z4794" t="str">
            <v/>
          </cell>
          <cell r="AA4794" t="str">
            <v/>
          </cell>
          <cell r="AB4794" t="str">
            <v/>
          </cell>
          <cell r="AC4794" t="str">
            <v/>
          </cell>
          <cell r="AD4794" t="str">
            <v/>
          </cell>
          <cell r="AY4794" t="str">
            <v/>
          </cell>
          <cell r="AZ4794" t="str">
            <v/>
          </cell>
          <cell r="BA4794" t="str">
            <v/>
          </cell>
        </row>
        <row r="4795">
          <cell r="B4795" t="str">
            <v>-</v>
          </cell>
          <cell r="E4795" t="str">
            <v/>
          </cell>
          <cell r="G4795" t="str">
            <v/>
          </cell>
          <cell r="J4795" t="str">
            <v/>
          </cell>
          <cell r="O4795" t="str">
            <v/>
          </cell>
          <cell r="P4795" t="str">
            <v/>
          </cell>
          <cell r="Q4795" t="str">
            <v/>
          </cell>
          <cell r="S4795" t="str">
            <v/>
          </cell>
          <cell r="V4795" t="str">
            <v/>
          </cell>
          <cell r="Z4795" t="str">
            <v/>
          </cell>
          <cell r="AA4795" t="str">
            <v/>
          </cell>
          <cell r="AB4795" t="str">
            <v/>
          </cell>
          <cell r="AC4795" t="str">
            <v/>
          </cell>
          <cell r="AD4795" t="str">
            <v/>
          </cell>
          <cell r="AY4795" t="str">
            <v/>
          </cell>
          <cell r="AZ4795" t="str">
            <v/>
          </cell>
          <cell r="BA4795" t="str">
            <v/>
          </cell>
        </row>
        <row r="4796">
          <cell r="B4796" t="str">
            <v>-</v>
          </cell>
          <cell r="E4796" t="str">
            <v/>
          </cell>
          <cell r="G4796" t="str">
            <v/>
          </cell>
          <cell r="J4796" t="str">
            <v/>
          </cell>
          <cell r="O4796" t="str">
            <v/>
          </cell>
          <cell r="P4796" t="str">
            <v/>
          </cell>
          <cell r="Q4796" t="str">
            <v/>
          </cell>
          <cell r="S4796" t="str">
            <v/>
          </cell>
          <cell r="V4796" t="str">
            <v/>
          </cell>
          <cell r="Z4796" t="str">
            <v/>
          </cell>
          <cell r="AA4796" t="str">
            <v/>
          </cell>
          <cell r="AB4796" t="str">
            <v/>
          </cell>
          <cell r="AC4796" t="str">
            <v/>
          </cell>
          <cell r="AD4796" t="str">
            <v/>
          </cell>
          <cell r="AY4796" t="str">
            <v/>
          </cell>
          <cell r="AZ4796" t="str">
            <v/>
          </cell>
          <cell r="BA4796" t="str">
            <v/>
          </cell>
        </row>
        <row r="4797">
          <cell r="B4797" t="str">
            <v>-</v>
          </cell>
          <cell r="E4797" t="str">
            <v/>
          </cell>
          <cell r="G4797" t="str">
            <v/>
          </cell>
          <cell r="J4797" t="str">
            <v/>
          </cell>
          <cell r="O4797" t="str">
            <v/>
          </cell>
          <cell r="P4797" t="str">
            <v/>
          </cell>
          <cell r="Q4797" t="str">
            <v/>
          </cell>
          <cell r="S4797" t="str">
            <v/>
          </cell>
          <cell r="V4797" t="str">
            <v/>
          </cell>
          <cell r="Z4797" t="str">
            <v/>
          </cell>
          <cell r="AA4797" t="str">
            <v/>
          </cell>
          <cell r="AB4797" t="str">
            <v/>
          </cell>
          <cell r="AC4797" t="str">
            <v/>
          </cell>
          <cell r="AD4797" t="str">
            <v/>
          </cell>
          <cell r="AY4797" t="str">
            <v/>
          </cell>
          <cell r="AZ4797" t="str">
            <v/>
          </cell>
          <cell r="BA4797" t="str">
            <v/>
          </cell>
        </row>
        <row r="4798">
          <cell r="B4798" t="str">
            <v>-</v>
          </cell>
          <cell r="E4798" t="str">
            <v/>
          </cell>
          <cell r="G4798" t="str">
            <v/>
          </cell>
          <cell r="J4798" t="str">
            <v/>
          </cell>
          <cell r="O4798" t="str">
            <v/>
          </cell>
          <cell r="P4798" t="str">
            <v/>
          </cell>
          <cell r="Q4798" t="str">
            <v/>
          </cell>
          <cell r="S4798" t="str">
            <v/>
          </cell>
          <cell r="V4798" t="str">
            <v/>
          </cell>
          <cell r="Z4798" t="str">
            <v/>
          </cell>
          <cell r="AA4798" t="str">
            <v/>
          </cell>
          <cell r="AB4798" t="str">
            <v/>
          </cell>
          <cell r="AC4798" t="str">
            <v/>
          </cell>
          <cell r="AD4798" t="str">
            <v/>
          </cell>
          <cell r="AY4798" t="str">
            <v/>
          </cell>
          <cell r="AZ4798" t="str">
            <v/>
          </cell>
          <cell r="BA4798" t="str">
            <v/>
          </cell>
        </row>
        <row r="4799">
          <cell r="B4799" t="str">
            <v>-</v>
          </cell>
          <cell r="E4799" t="str">
            <v/>
          </cell>
          <cell r="G4799" t="str">
            <v/>
          </cell>
          <cell r="J4799" t="str">
            <v/>
          </cell>
          <cell r="O4799" t="str">
            <v/>
          </cell>
          <cell r="P4799" t="str">
            <v/>
          </cell>
          <cell r="Q4799" t="str">
            <v/>
          </cell>
          <cell r="S4799" t="str">
            <v/>
          </cell>
          <cell r="V4799" t="str">
            <v/>
          </cell>
          <cell r="Z4799" t="str">
            <v/>
          </cell>
          <cell r="AA4799" t="str">
            <v/>
          </cell>
          <cell r="AB4799" t="str">
            <v/>
          </cell>
          <cell r="AC4799" t="str">
            <v/>
          </cell>
          <cell r="AD4799" t="str">
            <v/>
          </cell>
          <cell r="AY4799" t="str">
            <v/>
          </cell>
          <cell r="AZ4799" t="str">
            <v/>
          </cell>
          <cell r="BA4799" t="str">
            <v/>
          </cell>
        </row>
        <row r="4800">
          <cell r="B4800" t="str">
            <v>-</v>
          </cell>
          <cell r="E4800" t="str">
            <v/>
          </cell>
          <cell r="G4800" t="str">
            <v/>
          </cell>
          <cell r="J4800" t="str">
            <v/>
          </cell>
          <cell r="O4800" t="str">
            <v/>
          </cell>
          <cell r="P4800" t="str">
            <v/>
          </cell>
          <cell r="Q4800" t="str">
            <v/>
          </cell>
          <cell r="S4800" t="str">
            <v/>
          </cell>
          <cell r="V4800" t="str">
            <v/>
          </cell>
          <cell r="Z4800" t="str">
            <v/>
          </cell>
          <cell r="AA4800" t="str">
            <v/>
          </cell>
          <cell r="AB4800" t="str">
            <v/>
          </cell>
          <cell r="AC4800" t="str">
            <v/>
          </cell>
          <cell r="AD4800" t="str">
            <v/>
          </cell>
          <cell r="AY4800" t="str">
            <v/>
          </cell>
          <cell r="AZ4800" t="str">
            <v/>
          </cell>
          <cell r="BA4800" t="str">
            <v/>
          </cell>
        </row>
        <row r="4801">
          <cell r="B4801" t="str">
            <v>-</v>
          </cell>
          <cell r="E4801" t="str">
            <v/>
          </cell>
          <cell r="G4801" t="str">
            <v/>
          </cell>
          <cell r="J4801" t="str">
            <v/>
          </cell>
          <cell r="O4801" t="str">
            <v/>
          </cell>
          <cell r="P4801" t="str">
            <v/>
          </cell>
          <cell r="Q4801" t="str">
            <v/>
          </cell>
          <cell r="S4801" t="str">
            <v/>
          </cell>
          <cell r="V4801" t="str">
            <v/>
          </cell>
          <cell r="Z4801" t="str">
            <v/>
          </cell>
          <cell r="AA4801" t="str">
            <v/>
          </cell>
          <cell r="AB4801" t="str">
            <v/>
          </cell>
          <cell r="AC4801" t="str">
            <v/>
          </cell>
          <cell r="AD4801" t="str">
            <v/>
          </cell>
          <cell r="AY4801" t="str">
            <v/>
          </cell>
          <cell r="AZ4801" t="str">
            <v/>
          </cell>
          <cell r="BA4801" t="str">
            <v/>
          </cell>
        </row>
        <row r="4802">
          <cell r="B4802" t="str">
            <v>-</v>
          </cell>
          <cell r="E4802" t="str">
            <v/>
          </cell>
          <cell r="G4802" t="str">
            <v/>
          </cell>
          <cell r="J4802" t="str">
            <v/>
          </cell>
          <cell r="O4802" t="str">
            <v/>
          </cell>
          <cell r="P4802" t="str">
            <v/>
          </cell>
          <cell r="Q4802" t="str">
            <v/>
          </cell>
          <cell r="S4802" t="str">
            <v/>
          </cell>
          <cell r="V4802" t="str">
            <v/>
          </cell>
          <cell r="Z4802" t="str">
            <v/>
          </cell>
          <cell r="AA4802" t="str">
            <v/>
          </cell>
          <cell r="AB4802" t="str">
            <v/>
          </cell>
          <cell r="AC4802" t="str">
            <v/>
          </cell>
          <cell r="AD4802" t="str">
            <v/>
          </cell>
          <cell r="AY4802" t="str">
            <v/>
          </cell>
          <cell r="AZ4802" t="str">
            <v/>
          </cell>
          <cell r="BA4802" t="str">
            <v/>
          </cell>
        </row>
        <row r="4803">
          <cell r="B4803" t="str">
            <v>-</v>
          </cell>
          <cell r="E4803" t="str">
            <v/>
          </cell>
          <cell r="G4803" t="str">
            <v/>
          </cell>
          <cell r="J4803" t="str">
            <v/>
          </cell>
          <cell r="O4803" t="str">
            <v/>
          </cell>
          <cell r="P4803" t="str">
            <v/>
          </cell>
          <cell r="Q4803" t="str">
            <v/>
          </cell>
          <cell r="S4803" t="str">
            <v/>
          </cell>
          <cell r="V4803" t="str">
            <v/>
          </cell>
          <cell r="Z4803" t="str">
            <v/>
          </cell>
          <cell r="AA4803" t="str">
            <v/>
          </cell>
          <cell r="AB4803" t="str">
            <v/>
          </cell>
          <cell r="AC4803" t="str">
            <v/>
          </cell>
          <cell r="AD4803" t="str">
            <v/>
          </cell>
          <cell r="AY4803" t="str">
            <v/>
          </cell>
          <cell r="AZ4803" t="str">
            <v/>
          </cell>
          <cell r="BA4803" t="str">
            <v/>
          </cell>
        </row>
        <row r="4804">
          <cell r="B4804" t="str">
            <v>-</v>
          </cell>
          <cell r="E4804" t="str">
            <v/>
          </cell>
          <cell r="G4804" t="str">
            <v/>
          </cell>
          <cell r="J4804" t="str">
            <v/>
          </cell>
          <cell r="O4804" t="str">
            <v/>
          </cell>
          <cell r="P4804" t="str">
            <v/>
          </cell>
          <cell r="Q4804" t="str">
            <v/>
          </cell>
          <cell r="S4804" t="str">
            <v/>
          </cell>
          <cell r="V4804" t="str">
            <v/>
          </cell>
          <cell r="Z4804" t="str">
            <v/>
          </cell>
          <cell r="AA4804" t="str">
            <v/>
          </cell>
          <cell r="AB4804" t="str">
            <v/>
          </cell>
          <cell r="AC4804" t="str">
            <v/>
          </cell>
          <cell r="AD4804" t="str">
            <v/>
          </cell>
          <cell r="AY4804" t="str">
            <v/>
          </cell>
          <cell r="AZ4804" t="str">
            <v/>
          </cell>
          <cell r="BA4804" t="str">
            <v/>
          </cell>
        </row>
        <row r="4805">
          <cell r="B4805" t="str">
            <v>-</v>
          </cell>
          <cell r="E4805" t="str">
            <v/>
          </cell>
          <cell r="G4805" t="str">
            <v/>
          </cell>
          <cell r="J4805" t="str">
            <v/>
          </cell>
          <cell r="O4805" t="str">
            <v/>
          </cell>
          <cell r="P4805" t="str">
            <v/>
          </cell>
          <cell r="Q4805" t="str">
            <v/>
          </cell>
          <cell r="S4805" t="str">
            <v/>
          </cell>
          <cell r="V4805" t="str">
            <v/>
          </cell>
          <cell r="Z4805" t="str">
            <v/>
          </cell>
          <cell r="AA4805" t="str">
            <v/>
          </cell>
          <cell r="AB4805" t="str">
            <v/>
          </cell>
          <cell r="AC4805" t="str">
            <v/>
          </cell>
          <cell r="AD4805" t="str">
            <v/>
          </cell>
          <cell r="AY4805" t="str">
            <v/>
          </cell>
          <cell r="AZ4805" t="str">
            <v/>
          </cell>
          <cell r="BA4805" t="str">
            <v/>
          </cell>
        </row>
        <row r="4806">
          <cell r="B4806" t="str">
            <v>-</v>
          </cell>
          <cell r="E4806" t="str">
            <v/>
          </cell>
          <cell r="G4806" t="str">
            <v/>
          </cell>
          <cell r="J4806" t="str">
            <v/>
          </cell>
          <cell r="O4806" t="str">
            <v/>
          </cell>
          <cell r="P4806" t="str">
            <v/>
          </cell>
          <cell r="Q4806" t="str">
            <v/>
          </cell>
          <cell r="S4806" t="str">
            <v/>
          </cell>
          <cell r="V4806" t="str">
            <v/>
          </cell>
          <cell r="Z4806" t="str">
            <v/>
          </cell>
          <cell r="AA4806" t="str">
            <v/>
          </cell>
          <cell r="AB4806" t="str">
            <v/>
          </cell>
          <cell r="AC4806" t="str">
            <v/>
          </cell>
          <cell r="AD4806" t="str">
            <v/>
          </cell>
          <cell r="AY4806" t="str">
            <v/>
          </cell>
          <cell r="AZ4806" t="str">
            <v/>
          </cell>
          <cell r="BA4806" t="str">
            <v/>
          </cell>
        </row>
        <row r="4807">
          <cell r="B4807" t="str">
            <v>-</v>
          </cell>
          <cell r="E4807" t="str">
            <v/>
          </cell>
          <cell r="G4807" t="str">
            <v/>
          </cell>
          <cell r="J4807" t="str">
            <v/>
          </cell>
          <cell r="O4807" t="str">
            <v/>
          </cell>
          <cell r="P4807" t="str">
            <v/>
          </cell>
          <cell r="Q4807" t="str">
            <v/>
          </cell>
          <cell r="S4807" t="str">
            <v/>
          </cell>
          <cell r="V4807" t="str">
            <v/>
          </cell>
          <cell r="Z4807" t="str">
            <v/>
          </cell>
          <cell r="AA4807" t="str">
            <v/>
          </cell>
          <cell r="AB4807" t="str">
            <v/>
          </cell>
          <cell r="AC4807" t="str">
            <v/>
          </cell>
          <cell r="AD4807" t="str">
            <v/>
          </cell>
          <cell r="AY4807" t="str">
            <v/>
          </cell>
          <cell r="AZ4807" t="str">
            <v/>
          </cell>
          <cell r="BA4807" t="str">
            <v/>
          </cell>
        </row>
        <row r="4808">
          <cell r="B4808" t="str">
            <v>-</v>
          </cell>
          <cell r="E4808" t="str">
            <v/>
          </cell>
          <cell r="G4808" t="str">
            <v/>
          </cell>
          <cell r="J4808" t="str">
            <v/>
          </cell>
          <cell r="O4808" t="str">
            <v/>
          </cell>
          <cell r="P4808" t="str">
            <v/>
          </cell>
          <cell r="Q4808" t="str">
            <v/>
          </cell>
          <cell r="S4808" t="str">
            <v/>
          </cell>
          <cell r="V4808" t="str">
            <v/>
          </cell>
          <cell r="Z4808" t="str">
            <v/>
          </cell>
          <cell r="AA4808" t="str">
            <v/>
          </cell>
          <cell r="AB4808" t="str">
            <v/>
          </cell>
          <cell r="AC4808" t="str">
            <v/>
          </cell>
          <cell r="AD4808" t="str">
            <v/>
          </cell>
          <cell r="AY4808" t="str">
            <v/>
          </cell>
          <cell r="AZ4808" t="str">
            <v/>
          </cell>
          <cell r="BA4808" t="str">
            <v/>
          </cell>
        </row>
        <row r="4809">
          <cell r="B4809" t="str">
            <v>-</v>
          </cell>
          <cell r="E4809" t="str">
            <v/>
          </cell>
          <cell r="G4809" t="str">
            <v/>
          </cell>
          <cell r="J4809" t="str">
            <v/>
          </cell>
          <cell r="O4809" t="str">
            <v/>
          </cell>
          <cell r="P4809" t="str">
            <v/>
          </cell>
          <cell r="Q4809" t="str">
            <v/>
          </cell>
          <cell r="S4809" t="str">
            <v/>
          </cell>
          <cell r="V4809" t="str">
            <v/>
          </cell>
          <cell r="Z4809" t="str">
            <v/>
          </cell>
          <cell r="AA4809" t="str">
            <v/>
          </cell>
          <cell r="AB4809" t="str">
            <v/>
          </cell>
          <cell r="AC4809" t="str">
            <v/>
          </cell>
          <cell r="AD4809" t="str">
            <v/>
          </cell>
          <cell r="AY4809" t="str">
            <v/>
          </cell>
          <cell r="AZ4809" t="str">
            <v/>
          </cell>
          <cell r="BA4809" t="str">
            <v/>
          </cell>
        </row>
        <row r="4810">
          <cell r="B4810" t="str">
            <v>-</v>
          </cell>
          <cell r="E4810" t="str">
            <v/>
          </cell>
          <cell r="G4810" t="str">
            <v/>
          </cell>
          <cell r="J4810" t="str">
            <v/>
          </cell>
          <cell r="O4810" t="str">
            <v/>
          </cell>
          <cell r="P4810" t="str">
            <v/>
          </cell>
          <cell r="Q4810" t="str">
            <v/>
          </cell>
          <cell r="S4810" t="str">
            <v/>
          </cell>
          <cell r="V4810" t="str">
            <v/>
          </cell>
          <cell r="Z4810" t="str">
            <v/>
          </cell>
          <cell r="AA4810" t="str">
            <v/>
          </cell>
          <cell r="AB4810" t="str">
            <v/>
          </cell>
          <cell r="AC4810" t="str">
            <v/>
          </cell>
          <cell r="AD4810" t="str">
            <v/>
          </cell>
          <cell r="AY4810" t="str">
            <v/>
          </cell>
          <cell r="AZ4810" t="str">
            <v/>
          </cell>
          <cell r="BA4810" t="str">
            <v/>
          </cell>
        </row>
        <row r="4811">
          <cell r="B4811" t="str">
            <v>-</v>
          </cell>
          <cell r="E4811" t="str">
            <v/>
          </cell>
          <cell r="G4811" t="str">
            <v/>
          </cell>
          <cell r="J4811" t="str">
            <v/>
          </cell>
          <cell r="O4811" t="str">
            <v/>
          </cell>
          <cell r="P4811" t="str">
            <v/>
          </cell>
          <cell r="Q4811" t="str">
            <v/>
          </cell>
          <cell r="S4811" t="str">
            <v/>
          </cell>
          <cell r="V4811" t="str">
            <v/>
          </cell>
          <cell r="Z4811" t="str">
            <v/>
          </cell>
          <cell r="AA4811" t="str">
            <v/>
          </cell>
          <cell r="AB4811" t="str">
            <v/>
          </cell>
          <cell r="AC4811" t="str">
            <v/>
          </cell>
          <cell r="AD4811" t="str">
            <v/>
          </cell>
          <cell r="AY4811" t="str">
            <v/>
          </cell>
          <cell r="AZ4811" t="str">
            <v/>
          </cell>
          <cell r="BA4811" t="str">
            <v/>
          </cell>
        </row>
        <row r="4812">
          <cell r="B4812" t="str">
            <v>-</v>
          </cell>
          <cell r="E4812" t="str">
            <v/>
          </cell>
          <cell r="G4812" t="str">
            <v/>
          </cell>
          <cell r="J4812" t="str">
            <v/>
          </cell>
          <cell r="O4812" t="str">
            <v/>
          </cell>
          <cell r="P4812" t="str">
            <v/>
          </cell>
          <cell r="Q4812" t="str">
            <v/>
          </cell>
          <cell r="S4812" t="str">
            <v/>
          </cell>
          <cell r="V4812" t="str">
            <v/>
          </cell>
          <cell r="Z4812" t="str">
            <v/>
          </cell>
          <cell r="AA4812" t="str">
            <v/>
          </cell>
          <cell r="AB4812" t="str">
            <v/>
          </cell>
          <cell r="AC4812" t="str">
            <v/>
          </cell>
          <cell r="AD4812" t="str">
            <v/>
          </cell>
          <cell r="AY4812" t="str">
            <v/>
          </cell>
          <cell r="AZ4812" t="str">
            <v/>
          </cell>
          <cell r="BA4812" t="str">
            <v/>
          </cell>
        </row>
        <row r="4813">
          <cell r="B4813" t="str">
            <v>-</v>
          </cell>
          <cell r="E4813" t="str">
            <v/>
          </cell>
          <cell r="G4813" t="str">
            <v/>
          </cell>
          <cell r="J4813" t="str">
            <v/>
          </cell>
          <cell r="O4813" t="str">
            <v/>
          </cell>
          <cell r="P4813" t="str">
            <v/>
          </cell>
          <cell r="Q4813" t="str">
            <v/>
          </cell>
          <cell r="S4813" t="str">
            <v/>
          </cell>
          <cell r="V4813" t="str">
            <v/>
          </cell>
          <cell r="Z4813" t="str">
            <v/>
          </cell>
          <cell r="AA4813" t="str">
            <v/>
          </cell>
          <cell r="AB4813" t="str">
            <v/>
          </cell>
          <cell r="AC4813" t="str">
            <v/>
          </cell>
          <cell r="AD4813" t="str">
            <v/>
          </cell>
          <cell r="AY4813" t="str">
            <v/>
          </cell>
          <cell r="AZ4813" t="str">
            <v/>
          </cell>
          <cell r="BA4813" t="str">
            <v/>
          </cell>
        </row>
        <row r="4814">
          <cell r="B4814" t="str">
            <v>-</v>
          </cell>
          <cell r="E4814" t="str">
            <v/>
          </cell>
          <cell r="G4814" t="str">
            <v/>
          </cell>
          <cell r="J4814" t="str">
            <v/>
          </cell>
          <cell r="O4814" t="str">
            <v/>
          </cell>
          <cell r="P4814" t="str">
            <v/>
          </cell>
          <cell r="Q4814" t="str">
            <v/>
          </cell>
          <cell r="S4814" t="str">
            <v/>
          </cell>
          <cell r="V4814" t="str">
            <v/>
          </cell>
          <cell r="Z4814" t="str">
            <v/>
          </cell>
          <cell r="AA4814" t="str">
            <v/>
          </cell>
          <cell r="AB4814" t="str">
            <v/>
          </cell>
          <cell r="AC4814" t="str">
            <v/>
          </cell>
          <cell r="AD4814" t="str">
            <v/>
          </cell>
          <cell r="AY4814" t="str">
            <v/>
          </cell>
          <cell r="AZ4814" t="str">
            <v/>
          </cell>
          <cell r="BA4814" t="str">
            <v/>
          </cell>
        </row>
        <row r="4815">
          <cell r="B4815" t="str">
            <v>-</v>
          </cell>
          <cell r="E4815" t="str">
            <v/>
          </cell>
          <cell r="G4815" t="str">
            <v/>
          </cell>
          <cell r="J4815" t="str">
            <v/>
          </cell>
          <cell r="O4815" t="str">
            <v/>
          </cell>
          <cell r="P4815" t="str">
            <v/>
          </cell>
          <cell r="Q4815" t="str">
            <v/>
          </cell>
          <cell r="S4815" t="str">
            <v/>
          </cell>
          <cell r="V4815" t="str">
            <v/>
          </cell>
          <cell r="Z4815" t="str">
            <v/>
          </cell>
          <cell r="AA4815" t="str">
            <v/>
          </cell>
          <cell r="AB4815" t="str">
            <v/>
          </cell>
          <cell r="AC4815" t="str">
            <v/>
          </cell>
          <cell r="AD4815" t="str">
            <v/>
          </cell>
          <cell r="AY4815" t="str">
            <v/>
          </cell>
          <cell r="AZ4815" t="str">
            <v/>
          </cell>
          <cell r="BA4815" t="str">
            <v/>
          </cell>
        </row>
        <row r="4816">
          <cell r="B4816" t="str">
            <v>-</v>
          </cell>
          <cell r="E4816" t="str">
            <v/>
          </cell>
          <cell r="G4816" t="str">
            <v/>
          </cell>
          <cell r="J4816" t="str">
            <v/>
          </cell>
          <cell r="O4816" t="str">
            <v/>
          </cell>
          <cell r="P4816" t="str">
            <v/>
          </cell>
          <cell r="Q4816" t="str">
            <v/>
          </cell>
          <cell r="S4816" t="str">
            <v/>
          </cell>
          <cell r="V4816" t="str">
            <v/>
          </cell>
          <cell r="Z4816" t="str">
            <v/>
          </cell>
          <cell r="AA4816" t="str">
            <v/>
          </cell>
          <cell r="AB4816" t="str">
            <v/>
          </cell>
          <cell r="AC4816" t="str">
            <v/>
          </cell>
          <cell r="AD4816" t="str">
            <v/>
          </cell>
          <cell r="AY4816" t="str">
            <v/>
          </cell>
          <cell r="AZ4816" t="str">
            <v/>
          </cell>
          <cell r="BA4816" t="str">
            <v/>
          </cell>
        </row>
        <row r="4817">
          <cell r="B4817" t="str">
            <v>-</v>
          </cell>
          <cell r="E4817" t="str">
            <v/>
          </cell>
          <cell r="G4817" t="str">
            <v/>
          </cell>
          <cell r="J4817" t="str">
            <v/>
          </cell>
          <cell r="O4817" t="str">
            <v/>
          </cell>
          <cell r="P4817" t="str">
            <v/>
          </cell>
          <cell r="Q4817" t="str">
            <v/>
          </cell>
          <cell r="S4817" t="str">
            <v/>
          </cell>
          <cell r="V4817" t="str">
            <v/>
          </cell>
          <cell r="Z4817" t="str">
            <v/>
          </cell>
          <cell r="AA4817" t="str">
            <v/>
          </cell>
          <cell r="AB4817" t="str">
            <v/>
          </cell>
          <cell r="AC4817" t="str">
            <v/>
          </cell>
          <cell r="AD4817" t="str">
            <v/>
          </cell>
          <cell r="AY4817" t="str">
            <v/>
          </cell>
          <cell r="AZ4817" t="str">
            <v/>
          </cell>
          <cell r="BA4817" t="str">
            <v/>
          </cell>
        </row>
        <row r="4818">
          <cell r="B4818" t="str">
            <v>-</v>
          </cell>
          <cell r="E4818" t="str">
            <v/>
          </cell>
          <cell r="G4818" t="str">
            <v/>
          </cell>
          <cell r="J4818" t="str">
            <v/>
          </cell>
          <cell r="O4818" t="str">
            <v/>
          </cell>
          <cell r="P4818" t="str">
            <v/>
          </cell>
          <cell r="Q4818" t="str">
            <v/>
          </cell>
          <cell r="S4818" t="str">
            <v/>
          </cell>
          <cell r="V4818" t="str">
            <v/>
          </cell>
          <cell r="Z4818" t="str">
            <v/>
          </cell>
          <cell r="AA4818" t="str">
            <v/>
          </cell>
          <cell r="AB4818" t="str">
            <v/>
          </cell>
          <cell r="AC4818" t="str">
            <v/>
          </cell>
          <cell r="AD4818" t="str">
            <v/>
          </cell>
          <cell r="AY4818" t="str">
            <v/>
          </cell>
          <cell r="AZ4818" t="str">
            <v/>
          </cell>
          <cell r="BA4818" t="str">
            <v/>
          </cell>
        </row>
        <row r="4819">
          <cell r="B4819" t="str">
            <v>-</v>
          </cell>
          <cell r="E4819" t="str">
            <v/>
          </cell>
          <cell r="G4819" t="str">
            <v/>
          </cell>
          <cell r="J4819" t="str">
            <v/>
          </cell>
          <cell r="O4819" t="str">
            <v/>
          </cell>
          <cell r="P4819" t="str">
            <v/>
          </cell>
          <cell r="Q4819" t="str">
            <v/>
          </cell>
          <cell r="S4819" t="str">
            <v/>
          </cell>
          <cell r="V4819" t="str">
            <v/>
          </cell>
          <cell r="Z4819" t="str">
            <v/>
          </cell>
          <cell r="AA4819" t="str">
            <v/>
          </cell>
          <cell r="AB4819" t="str">
            <v/>
          </cell>
          <cell r="AC4819" t="str">
            <v/>
          </cell>
          <cell r="AD4819" t="str">
            <v/>
          </cell>
          <cell r="AY4819" t="str">
            <v/>
          </cell>
          <cell r="AZ4819" t="str">
            <v/>
          </cell>
          <cell r="BA4819" t="str">
            <v/>
          </cell>
        </row>
        <row r="4820">
          <cell r="B4820" t="str">
            <v>-</v>
          </cell>
          <cell r="E4820" t="str">
            <v/>
          </cell>
          <cell r="G4820" t="str">
            <v/>
          </cell>
          <cell r="J4820" t="str">
            <v/>
          </cell>
          <cell r="O4820" t="str">
            <v/>
          </cell>
          <cell r="P4820" t="str">
            <v/>
          </cell>
          <cell r="Q4820" t="str">
            <v/>
          </cell>
          <cell r="S4820" t="str">
            <v/>
          </cell>
          <cell r="V4820" t="str">
            <v/>
          </cell>
          <cell r="Z4820" t="str">
            <v/>
          </cell>
          <cell r="AA4820" t="str">
            <v/>
          </cell>
          <cell r="AB4820" t="str">
            <v/>
          </cell>
          <cell r="AC4820" t="str">
            <v/>
          </cell>
          <cell r="AD4820" t="str">
            <v/>
          </cell>
          <cell r="AY4820" t="str">
            <v/>
          </cell>
          <cell r="AZ4820" t="str">
            <v/>
          </cell>
          <cell r="BA4820" t="str">
            <v/>
          </cell>
        </row>
        <row r="4821">
          <cell r="B4821" t="str">
            <v>-</v>
          </cell>
          <cell r="E4821" t="str">
            <v/>
          </cell>
          <cell r="G4821" t="str">
            <v/>
          </cell>
          <cell r="J4821" t="str">
            <v/>
          </cell>
          <cell r="O4821" t="str">
            <v/>
          </cell>
          <cell r="P4821" t="str">
            <v/>
          </cell>
          <cell r="Q4821" t="str">
            <v/>
          </cell>
          <cell r="S4821" t="str">
            <v/>
          </cell>
          <cell r="V4821" t="str">
            <v/>
          </cell>
          <cell r="Z4821" t="str">
            <v/>
          </cell>
          <cell r="AA4821" t="str">
            <v/>
          </cell>
          <cell r="AB4821" t="str">
            <v/>
          </cell>
          <cell r="AC4821" t="str">
            <v/>
          </cell>
          <cell r="AD4821" t="str">
            <v/>
          </cell>
          <cell r="AY4821" t="str">
            <v/>
          </cell>
          <cell r="AZ4821" t="str">
            <v/>
          </cell>
          <cell r="BA4821" t="str">
            <v/>
          </cell>
        </row>
        <row r="4822">
          <cell r="B4822" t="str">
            <v>-</v>
          </cell>
          <cell r="E4822" t="str">
            <v/>
          </cell>
          <cell r="G4822" t="str">
            <v/>
          </cell>
          <cell r="J4822" t="str">
            <v/>
          </cell>
          <cell r="O4822" t="str">
            <v/>
          </cell>
          <cell r="P4822" t="str">
            <v/>
          </cell>
          <cell r="Q4822" t="str">
            <v/>
          </cell>
          <cell r="S4822" t="str">
            <v/>
          </cell>
          <cell r="V4822" t="str">
            <v/>
          </cell>
          <cell r="Z4822" t="str">
            <v/>
          </cell>
          <cell r="AA4822" t="str">
            <v/>
          </cell>
          <cell r="AB4822" t="str">
            <v/>
          </cell>
          <cell r="AC4822" t="str">
            <v/>
          </cell>
          <cell r="AD4822" t="str">
            <v/>
          </cell>
          <cell r="AY4822" t="str">
            <v/>
          </cell>
          <cell r="AZ4822" t="str">
            <v/>
          </cell>
          <cell r="BA4822" t="str">
            <v/>
          </cell>
        </row>
        <row r="4823">
          <cell r="B4823" t="str">
            <v>-</v>
          </cell>
          <cell r="E4823" t="str">
            <v/>
          </cell>
          <cell r="G4823" t="str">
            <v/>
          </cell>
          <cell r="J4823" t="str">
            <v/>
          </cell>
          <cell r="O4823" t="str">
            <v/>
          </cell>
          <cell r="P4823" t="str">
            <v/>
          </cell>
          <cell r="Q4823" t="str">
            <v/>
          </cell>
          <cell r="S4823" t="str">
            <v/>
          </cell>
          <cell r="V4823" t="str">
            <v/>
          </cell>
          <cell r="Z4823" t="str">
            <v/>
          </cell>
          <cell r="AA4823" t="str">
            <v/>
          </cell>
          <cell r="AB4823" t="str">
            <v/>
          </cell>
          <cell r="AC4823" t="str">
            <v/>
          </cell>
          <cell r="AD4823" t="str">
            <v/>
          </cell>
          <cell r="AY4823" t="str">
            <v/>
          </cell>
          <cell r="AZ4823" t="str">
            <v/>
          </cell>
          <cell r="BA4823" t="str">
            <v/>
          </cell>
        </row>
        <row r="4824">
          <cell r="B4824" t="str">
            <v>-</v>
          </cell>
          <cell r="E4824" t="str">
            <v/>
          </cell>
          <cell r="G4824" t="str">
            <v/>
          </cell>
          <cell r="J4824" t="str">
            <v/>
          </cell>
          <cell r="O4824" t="str">
            <v/>
          </cell>
          <cell r="P4824" t="str">
            <v/>
          </cell>
          <cell r="Q4824" t="str">
            <v/>
          </cell>
          <cell r="S4824" t="str">
            <v/>
          </cell>
          <cell r="V4824" t="str">
            <v/>
          </cell>
          <cell r="Z4824" t="str">
            <v/>
          </cell>
          <cell r="AA4824" t="str">
            <v/>
          </cell>
          <cell r="AB4824" t="str">
            <v/>
          </cell>
          <cell r="AC4824" t="str">
            <v/>
          </cell>
          <cell r="AD4824" t="str">
            <v/>
          </cell>
          <cell r="AY4824" t="str">
            <v/>
          </cell>
          <cell r="AZ4824" t="str">
            <v/>
          </cell>
          <cell r="BA4824" t="str">
            <v/>
          </cell>
        </row>
        <row r="4825">
          <cell r="B4825" t="str">
            <v>-</v>
          </cell>
          <cell r="E4825" t="str">
            <v/>
          </cell>
          <cell r="G4825" t="str">
            <v/>
          </cell>
          <cell r="J4825" t="str">
            <v/>
          </cell>
          <cell r="O4825" t="str">
            <v/>
          </cell>
          <cell r="P4825" t="str">
            <v/>
          </cell>
          <cell r="Q4825" t="str">
            <v/>
          </cell>
          <cell r="S4825" t="str">
            <v/>
          </cell>
          <cell r="V4825" t="str">
            <v/>
          </cell>
          <cell r="Z4825" t="str">
            <v/>
          </cell>
          <cell r="AA4825" t="str">
            <v/>
          </cell>
          <cell r="AB4825" t="str">
            <v/>
          </cell>
          <cell r="AC4825" t="str">
            <v/>
          </cell>
          <cell r="AD4825" t="str">
            <v/>
          </cell>
          <cell r="AY4825" t="str">
            <v/>
          </cell>
          <cell r="AZ4825" t="str">
            <v/>
          </cell>
          <cell r="BA4825" t="str">
            <v/>
          </cell>
        </row>
        <row r="4826">
          <cell r="B4826" t="str">
            <v>-</v>
          </cell>
          <cell r="E4826" t="str">
            <v/>
          </cell>
          <cell r="G4826" t="str">
            <v/>
          </cell>
          <cell r="J4826" t="str">
            <v/>
          </cell>
          <cell r="O4826" t="str">
            <v/>
          </cell>
          <cell r="P4826" t="str">
            <v/>
          </cell>
          <cell r="Q4826" t="str">
            <v/>
          </cell>
          <cell r="S4826" t="str">
            <v/>
          </cell>
          <cell r="V4826" t="str">
            <v/>
          </cell>
          <cell r="Z4826" t="str">
            <v/>
          </cell>
          <cell r="AA4826" t="str">
            <v/>
          </cell>
          <cell r="AB4826" t="str">
            <v/>
          </cell>
          <cell r="AC4826" t="str">
            <v/>
          </cell>
          <cell r="AD4826" t="str">
            <v/>
          </cell>
          <cell r="AY4826" t="str">
            <v/>
          </cell>
          <cell r="AZ4826" t="str">
            <v/>
          </cell>
          <cell r="BA4826" t="str">
            <v/>
          </cell>
        </row>
        <row r="4827">
          <cell r="B4827" t="str">
            <v>-</v>
          </cell>
          <cell r="E4827" t="str">
            <v/>
          </cell>
          <cell r="G4827" t="str">
            <v/>
          </cell>
          <cell r="J4827" t="str">
            <v/>
          </cell>
          <cell r="O4827" t="str">
            <v/>
          </cell>
          <cell r="P4827" t="str">
            <v/>
          </cell>
          <cell r="Q4827" t="str">
            <v/>
          </cell>
          <cell r="S4827" t="str">
            <v/>
          </cell>
          <cell r="V4827" t="str">
            <v/>
          </cell>
          <cell r="Z4827" t="str">
            <v/>
          </cell>
          <cell r="AA4827" t="str">
            <v/>
          </cell>
          <cell r="AB4827" t="str">
            <v/>
          </cell>
          <cell r="AC4827" t="str">
            <v/>
          </cell>
          <cell r="AD4827" t="str">
            <v/>
          </cell>
          <cell r="AY4827" t="str">
            <v/>
          </cell>
          <cell r="AZ4827" t="str">
            <v/>
          </cell>
          <cell r="BA4827" t="str">
            <v/>
          </cell>
        </row>
        <row r="4828">
          <cell r="B4828" t="str">
            <v>-</v>
          </cell>
          <cell r="E4828" t="str">
            <v/>
          </cell>
          <cell r="G4828" t="str">
            <v/>
          </cell>
          <cell r="J4828" t="str">
            <v/>
          </cell>
          <cell r="O4828" t="str">
            <v/>
          </cell>
          <cell r="P4828" t="str">
            <v/>
          </cell>
          <cell r="Q4828" t="str">
            <v/>
          </cell>
          <cell r="S4828" t="str">
            <v/>
          </cell>
          <cell r="V4828" t="str">
            <v/>
          </cell>
          <cell r="Z4828" t="str">
            <v/>
          </cell>
          <cell r="AA4828" t="str">
            <v/>
          </cell>
          <cell r="AB4828" t="str">
            <v/>
          </cell>
          <cell r="AC4828" t="str">
            <v/>
          </cell>
          <cell r="AD4828" t="str">
            <v/>
          </cell>
          <cell r="AY4828" t="str">
            <v/>
          </cell>
          <cell r="AZ4828" t="str">
            <v/>
          </cell>
          <cell r="BA4828" t="str">
            <v/>
          </cell>
        </row>
        <row r="4829">
          <cell r="B4829" t="str">
            <v>-</v>
          </cell>
          <cell r="E4829" t="str">
            <v/>
          </cell>
          <cell r="G4829" t="str">
            <v/>
          </cell>
          <cell r="J4829" t="str">
            <v/>
          </cell>
          <cell r="O4829" t="str">
            <v/>
          </cell>
          <cell r="P4829" t="str">
            <v/>
          </cell>
          <cell r="Q4829" t="str">
            <v/>
          </cell>
          <cell r="S4829" t="str">
            <v/>
          </cell>
          <cell r="V4829" t="str">
            <v/>
          </cell>
          <cell r="Z4829" t="str">
            <v/>
          </cell>
          <cell r="AA4829" t="str">
            <v/>
          </cell>
          <cell r="AB4829" t="str">
            <v/>
          </cell>
          <cell r="AC4829" t="str">
            <v/>
          </cell>
          <cell r="AD4829" t="str">
            <v/>
          </cell>
          <cell r="AY4829" t="str">
            <v/>
          </cell>
          <cell r="AZ4829" t="str">
            <v/>
          </cell>
          <cell r="BA4829" t="str">
            <v/>
          </cell>
        </row>
        <row r="4830">
          <cell r="B4830" t="str">
            <v>-</v>
          </cell>
          <cell r="E4830" t="str">
            <v/>
          </cell>
          <cell r="G4830" t="str">
            <v/>
          </cell>
          <cell r="J4830" t="str">
            <v/>
          </cell>
          <cell r="O4830" t="str">
            <v/>
          </cell>
          <cell r="P4830" t="str">
            <v/>
          </cell>
          <cell r="Q4830" t="str">
            <v/>
          </cell>
          <cell r="S4830" t="str">
            <v/>
          </cell>
          <cell r="V4830" t="str">
            <v/>
          </cell>
          <cell r="Z4830" t="str">
            <v/>
          </cell>
          <cell r="AA4830" t="str">
            <v/>
          </cell>
          <cell r="AB4830" t="str">
            <v/>
          </cell>
          <cell r="AC4830" t="str">
            <v/>
          </cell>
          <cell r="AD4830" t="str">
            <v/>
          </cell>
          <cell r="AY4830" t="str">
            <v/>
          </cell>
          <cell r="AZ4830" t="str">
            <v/>
          </cell>
          <cell r="BA4830" t="str">
            <v/>
          </cell>
        </row>
        <row r="4831">
          <cell r="B4831" t="str">
            <v>-</v>
          </cell>
          <cell r="E4831" t="str">
            <v/>
          </cell>
          <cell r="G4831" t="str">
            <v/>
          </cell>
          <cell r="J4831" t="str">
            <v/>
          </cell>
          <cell r="O4831" t="str">
            <v/>
          </cell>
          <cell r="P4831" t="str">
            <v/>
          </cell>
          <cell r="Q4831" t="str">
            <v/>
          </cell>
          <cell r="S4831" t="str">
            <v/>
          </cell>
          <cell r="V4831" t="str">
            <v/>
          </cell>
          <cell r="Z4831" t="str">
            <v/>
          </cell>
          <cell r="AA4831" t="str">
            <v/>
          </cell>
          <cell r="AB4831" t="str">
            <v/>
          </cell>
          <cell r="AC4831" t="str">
            <v/>
          </cell>
          <cell r="AD4831" t="str">
            <v/>
          </cell>
          <cell r="AY4831" t="str">
            <v/>
          </cell>
          <cell r="AZ4831" t="str">
            <v/>
          </cell>
          <cell r="BA4831" t="str">
            <v/>
          </cell>
        </row>
        <row r="4832">
          <cell r="B4832" t="str">
            <v>-</v>
          </cell>
          <cell r="E4832" t="str">
            <v/>
          </cell>
          <cell r="G4832" t="str">
            <v/>
          </cell>
          <cell r="J4832" t="str">
            <v/>
          </cell>
          <cell r="O4832" t="str">
            <v/>
          </cell>
          <cell r="P4832" t="str">
            <v/>
          </cell>
          <cell r="Q4832" t="str">
            <v/>
          </cell>
          <cell r="S4832" t="str">
            <v/>
          </cell>
          <cell r="V4832" t="str">
            <v/>
          </cell>
          <cell r="Z4832" t="str">
            <v/>
          </cell>
          <cell r="AA4832" t="str">
            <v/>
          </cell>
          <cell r="AB4832" t="str">
            <v/>
          </cell>
          <cell r="AC4832" t="str">
            <v/>
          </cell>
          <cell r="AD4832" t="str">
            <v/>
          </cell>
          <cell r="AY4832" t="str">
            <v/>
          </cell>
          <cell r="AZ4832" t="str">
            <v/>
          </cell>
          <cell r="BA4832" t="str">
            <v/>
          </cell>
        </row>
        <row r="4833">
          <cell r="B4833" t="str">
            <v>-</v>
          </cell>
          <cell r="E4833" t="str">
            <v/>
          </cell>
          <cell r="G4833" t="str">
            <v/>
          </cell>
          <cell r="J4833" t="str">
            <v/>
          </cell>
          <cell r="O4833" t="str">
            <v/>
          </cell>
          <cell r="P4833" t="str">
            <v/>
          </cell>
          <cell r="Q4833" t="str">
            <v/>
          </cell>
          <cell r="S4833" t="str">
            <v/>
          </cell>
          <cell r="V4833" t="str">
            <v/>
          </cell>
          <cell r="Z4833" t="str">
            <v/>
          </cell>
          <cell r="AA4833" t="str">
            <v/>
          </cell>
          <cell r="AB4833" t="str">
            <v/>
          </cell>
          <cell r="AC4833" t="str">
            <v/>
          </cell>
          <cell r="AD4833" t="str">
            <v/>
          </cell>
          <cell r="AY4833" t="str">
            <v/>
          </cell>
          <cell r="AZ4833" t="str">
            <v/>
          </cell>
          <cell r="BA4833" t="str">
            <v/>
          </cell>
        </row>
        <row r="4834">
          <cell r="B4834" t="str">
            <v>-</v>
          </cell>
          <cell r="E4834" t="str">
            <v/>
          </cell>
          <cell r="G4834" t="str">
            <v/>
          </cell>
          <cell r="J4834" t="str">
            <v/>
          </cell>
          <cell r="O4834" t="str">
            <v/>
          </cell>
          <cell r="P4834" t="str">
            <v/>
          </cell>
          <cell r="Q4834" t="str">
            <v/>
          </cell>
          <cell r="S4834" t="str">
            <v/>
          </cell>
          <cell r="V4834" t="str">
            <v/>
          </cell>
          <cell r="Z4834" t="str">
            <v/>
          </cell>
          <cell r="AA4834" t="str">
            <v/>
          </cell>
          <cell r="AB4834" t="str">
            <v/>
          </cell>
          <cell r="AC4834" t="str">
            <v/>
          </cell>
          <cell r="AD4834" t="str">
            <v/>
          </cell>
          <cell r="AY4834" t="str">
            <v/>
          </cell>
          <cell r="AZ4834" t="str">
            <v/>
          </cell>
          <cell r="BA4834" t="str">
            <v/>
          </cell>
        </row>
        <row r="4835">
          <cell r="B4835" t="str">
            <v>-</v>
          </cell>
          <cell r="E4835" t="str">
            <v/>
          </cell>
          <cell r="G4835" t="str">
            <v/>
          </cell>
          <cell r="J4835" t="str">
            <v/>
          </cell>
          <cell r="O4835" t="str">
            <v/>
          </cell>
          <cell r="P4835" t="str">
            <v/>
          </cell>
          <cell r="Q4835" t="str">
            <v/>
          </cell>
          <cell r="S4835" t="str">
            <v/>
          </cell>
          <cell r="V4835" t="str">
            <v/>
          </cell>
          <cell r="Z4835" t="str">
            <v/>
          </cell>
          <cell r="AA4835" t="str">
            <v/>
          </cell>
          <cell r="AB4835" t="str">
            <v/>
          </cell>
          <cell r="AC4835" t="str">
            <v/>
          </cell>
          <cell r="AD4835" t="str">
            <v/>
          </cell>
          <cell r="AY4835" t="str">
            <v/>
          </cell>
          <cell r="AZ4835" t="str">
            <v/>
          </cell>
          <cell r="BA4835" t="str">
            <v/>
          </cell>
        </row>
        <row r="4836">
          <cell r="B4836" t="str">
            <v>-</v>
          </cell>
          <cell r="E4836" t="str">
            <v/>
          </cell>
          <cell r="G4836" t="str">
            <v/>
          </cell>
          <cell r="J4836" t="str">
            <v/>
          </cell>
          <cell r="O4836" t="str">
            <v/>
          </cell>
          <cell r="P4836" t="str">
            <v/>
          </cell>
          <cell r="Q4836" t="str">
            <v/>
          </cell>
          <cell r="S4836" t="str">
            <v/>
          </cell>
          <cell r="V4836" t="str">
            <v/>
          </cell>
          <cell r="Z4836" t="str">
            <v/>
          </cell>
          <cell r="AA4836" t="str">
            <v/>
          </cell>
          <cell r="AB4836" t="str">
            <v/>
          </cell>
          <cell r="AC4836" t="str">
            <v/>
          </cell>
          <cell r="AD4836" t="str">
            <v/>
          </cell>
          <cell r="AY4836" t="str">
            <v/>
          </cell>
          <cell r="AZ4836" t="str">
            <v/>
          </cell>
          <cell r="BA4836" t="str">
            <v/>
          </cell>
        </row>
        <row r="4837">
          <cell r="B4837" t="str">
            <v>-</v>
          </cell>
          <cell r="E4837" t="str">
            <v/>
          </cell>
          <cell r="G4837" t="str">
            <v/>
          </cell>
          <cell r="J4837" t="str">
            <v/>
          </cell>
          <cell r="O4837" t="str">
            <v/>
          </cell>
          <cell r="P4837" t="str">
            <v/>
          </cell>
          <cell r="Q4837" t="str">
            <v/>
          </cell>
          <cell r="S4837" t="str">
            <v/>
          </cell>
          <cell r="V4837" t="str">
            <v/>
          </cell>
          <cell r="Z4837" t="str">
            <v/>
          </cell>
          <cell r="AA4837" t="str">
            <v/>
          </cell>
          <cell r="AB4837" t="str">
            <v/>
          </cell>
          <cell r="AC4837" t="str">
            <v/>
          </cell>
          <cell r="AD4837" t="str">
            <v/>
          </cell>
          <cell r="AY4837" t="str">
            <v/>
          </cell>
          <cell r="AZ4837" t="str">
            <v/>
          </cell>
          <cell r="BA4837" t="str">
            <v/>
          </cell>
        </row>
        <row r="4838">
          <cell r="B4838" t="str">
            <v>-</v>
          </cell>
          <cell r="E4838" t="str">
            <v/>
          </cell>
          <cell r="G4838" t="str">
            <v/>
          </cell>
          <cell r="J4838" t="str">
            <v/>
          </cell>
          <cell r="O4838" t="str">
            <v/>
          </cell>
          <cell r="P4838" t="str">
            <v/>
          </cell>
          <cell r="Q4838" t="str">
            <v/>
          </cell>
          <cell r="S4838" t="str">
            <v/>
          </cell>
          <cell r="V4838" t="str">
            <v/>
          </cell>
          <cell r="Z4838" t="str">
            <v/>
          </cell>
          <cell r="AA4838" t="str">
            <v/>
          </cell>
          <cell r="AB4838" t="str">
            <v/>
          </cell>
          <cell r="AC4838" t="str">
            <v/>
          </cell>
          <cell r="AD4838" t="str">
            <v/>
          </cell>
          <cell r="AY4838" t="str">
            <v/>
          </cell>
          <cell r="AZ4838" t="str">
            <v/>
          </cell>
          <cell r="BA4838" t="str">
            <v/>
          </cell>
        </row>
        <row r="4839">
          <cell r="B4839" t="str">
            <v>-</v>
          </cell>
          <cell r="E4839" t="str">
            <v/>
          </cell>
          <cell r="G4839" t="str">
            <v/>
          </cell>
          <cell r="J4839" t="str">
            <v/>
          </cell>
          <cell r="O4839" t="str">
            <v/>
          </cell>
          <cell r="P4839" t="str">
            <v/>
          </cell>
          <cell r="Q4839" t="str">
            <v/>
          </cell>
          <cell r="S4839" t="str">
            <v/>
          </cell>
          <cell r="V4839" t="str">
            <v/>
          </cell>
          <cell r="Z4839" t="str">
            <v/>
          </cell>
          <cell r="AA4839" t="str">
            <v/>
          </cell>
          <cell r="AB4839" t="str">
            <v/>
          </cell>
          <cell r="AC4839" t="str">
            <v/>
          </cell>
          <cell r="AD4839" t="str">
            <v/>
          </cell>
          <cell r="AY4839" t="str">
            <v/>
          </cell>
          <cell r="AZ4839" t="str">
            <v/>
          </cell>
          <cell r="BA4839" t="str">
            <v/>
          </cell>
        </row>
        <row r="4840">
          <cell r="B4840" t="str">
            <v>-</v>
          </cell>
          <cell r="E4840" t="str">
            <v/>
          </cell>
          <cell r="G4840" t="str">
            <v/>
          </cell>
          <cell r="J4840" t="str">
            <v/>
          </cell>
          <cell r="O4840" t="str">
            <v/>
          </cell>
          <cell r="P4840" t="str">
            <v/>
          </cell>
          <cell r="Q4840" t="str">
            <v/>
          </cell>
          <cell r="S4840" t="str">
            <v/>
          </cell>
          <cell r="V4840" t="str">
            <v/>
          </cell>
          <cell r="Z4840" t="str">
            <v/>
          </cell>
          <cell r="AA4840" t="str">
            <v/>
          </cell>
          <cell r="AB4840" t="str">
            <v/>
          </cell>
          <cell r="AC4840" t="str">
            <v/>
          </cell>
          <cell r="AD4840" t="str">
            <v/>
          </cell>
          <cell r="AY4840" t="str">
            <v/>
          </cell>
          <cell r="AZ4840" t="str">
            <v/>
          </cell>
          <cell r="BA4840" t="str">
            <v/>
          </cell>
        </row>
        <row r="4841">
          <cell r="B4841" t="str">
            <v>-</v>
          </cell>
          <cell r="E4841" t="str">
            <v/>
          </cell>
          <cell r="G4841" t="str">
            <v/>
          </cell>
          <cell r="J4841" t="str">
            <v/>
          </cell>
          <cell r="O4841" t="str">
            <v/>
          </cell>
          <cell r="P4841" t="str">
            <v/>
          </cell>
          <cell r="Q4841" t="str">
            <v/>
          </cell>
          <cell r="S4841" t="str">
            <v/>
          </cell>
          <cell r="V4841" t="str">
            <v/>
          </cell>
          <cell r="Z4841" t="str">
            <v/>
          </cell>
          <cell r="AA4841" t="str">
            <v/>
          </cell>
          <cell r="AB4841" t="str">
            <v/>
          </cell>
          <cell r="AC4841" t="str">
            <v/>
          </cell>
          <cell r="AD4841" t="str">
            <v/>
          </cell>
          <cell r="AY4841" t="str">
            <v/>
          </cell>
          <cell r="AZ4841" t="str">
            <v/>
          </cell>
          <cell r="BA4841" t="str">
            <v/>
          </cell>
        </row>
        <row r="4842">
          <cell r="B4842" t="str">
            <v>-</v>
          </cell>
          <cell r="E4842" t="str">
            <v/>
          </cell>
          <cell r="G4842" t="str">
            <v/>
          </cell>
          <cell r="J4842" t="str">
            <v/>
          </cell>
          <cell r="O4842" t="str">
            <v/>
          </cell>
          <cell r="P4842" t="str">
            <v/>
          </cell>
          <cell r="Q4842" t="str">
            <v/>
          </cell>
          <cell r="S4842" t="str">
            <v/>
          </cell>
          <cell r="V4842" t="str">
            <v/>
          </cell>
          <cell r="Z4842" t="str">
            <v/>
          </cell>
          <cell r="AA4842" t="str">
            <v/>
          </cell>
          <cell r="AB4842" t="str">
            <v/>
          </cell>
          <cell r="AC4842" t="str">
            <v/>
          </cell>
          <cell r="AD4842" t="str">
            <v/>
          </cell>
          <cell r="AY4842" t="str">
            <v/>
          </cell>
          <cell r="AZ4842" t="str">
            <v/>
          </cell>
          <cell r="BA4842" t="str">
            <v/>
          </cell>
        </row>
        <row r="4843">
          <cell r="B4843" t="str">
            <v>-</v>
          </cell>
          <cell r="E4843" t="str">
            <v/>
          </cell>
          <cell r="G4843" t="str">
            <v/>
          </cell>
          <cell r="J4843" t="str">
            <v/>
          </cell>
          <cell r="O4843" t="str">
            <v/>
          </cell>
          <cell r="P4843" t="str">
            <v/>
          </cell>
          <cell r="Q4843" t="str">
            <v/>
          </cell>
          <cell r="S4843" t="str">
            <v/>
          </cell>
          <cell r="V4843" t="str">
            <v/>
          </cell>
          <cell r="Z4843" t="str">
            <v/>
          </cell>
          <cell r="AA4843" t="str">
            <v/>
          </cell>
          <cell r="AB4843" t="str">
            <v/>
          </cell>
          <cell r="AC4843" t="str">
            <v/>
          </cell>
          <cell r="AD4843" t="str">
            <v/>
          </cell>
          <cell r="AY4843" t="str">
            <v/>
          </cell>
          <cell r="AZ4843" t="str">
            <v/>
          </cell>
          <cell r="BA4843" t="str">
            <v/>
          </cell>
        </row>
        <row r="4844">
          <cell r="B4844" t="str">
            <v>-</v>
          </cell>
          <cell r="E4844" t="str">
            <v/>
          </cell>
          <cell r="G4844" t="str">
            <v/>
          </cell>
          <cell r="J4844" t="str">
            <v/>
          </cell>
          <cell r="O4844" t="str">
            <v/>
          </cell>
          <cell r="P4844" t="str">
            <v/>
          </cell>
          <cell r="Q4844" t="str">
            <v/>
          </cell>
          <cell r="S4844" t="str">
            <v/>
          </cell>
          <cell r="V4844" t="str">
            <v/>
          </cell>
          <cell r="Z4844" t="str">
            <v/>
          </cell>
          <cell r="AA4844" t="str">
            <v/>
          </cell>
          <cell r="AB4844" t="str">
            <v/>
          </cell>
          <cell r="AC4844" t="str">
            <v/>
          </cell>
          <cell r="AD4844" t="str">
            <v/>
          </cell>
          <cell r="AY4844" t="str">
            <v/>
          </cell>
          <cell r="AZ4844" t="str">
            <v/>
          </cell>
          <cell r="BA4844" t="str">
            <v/>
          </cell>
        </row>
        <row r="4845">
          <cell r="B4845" t="str">
            <v>-</v>
          </cell>
          <cell r="E4845" t="str">
            <v/>
          </cell>
          <cell r="G4845" t="str">
            <v/>
          </cell>
          <cell r="J4845" t="str">
            <v/>
          </cell>
          <cell r="O4845" t="str">
            <v/>
          </cell>
          <cell r="P4845" t="str">
            <v/>
          </cell>
          <cell r="Q4845" t="str">
            <v/>
          </cell>
          <cell r="S4845" t="str">
            <v/>
          </cell>
          <cell r="V4845" t="str">
            <v/>
          </cell>
          <cell r="Z4845" t="str">
            <v/>
          </cell>
          <cell r="AA4845" t="str">
            <v/>
          </cell>
          <cell r="AB4845" t="str">
            <v/>
          </cell>
          <cell r="AC4845" t="str">
            <v/>
          </cell>
          <cell r="AD4845" t="str">
            <v/>
          </cell>
          <cell r="AY4845" t="str">
            <v/>
          </cell>
          <cell r="AZ4845" t="str">
            <v/>
          </cell>
          <cell r="BA4845" t="str">
            <v/>
          </cell>
        </row>
        <row r="4846">
          <cell r="B4846" t="str">
            <v>-</v>
          </cell>
          <cell r="E4846" t="str">
            <v/>
          </cell>
          <cell r="G4846" t="str">
            <v/>
          </cell>
          <cell r="J4846" t="str">
            <v/>
          </cell>
          <cell r="O4846" t="str">
            <v/>
          </cell>
          <cell r="P4846" t="str">
            <v/>
          </cell>
          <cell r="Q4846" t="str">
            <v/>
          </cell>
          <cell r="S4846" t="str">
            <v/>
          </cell>
          <cell r="V4846" t="str">
            <v/>
          </cell>
          <cell r="Z4846" t="str">
            <v/>
          </cell>
          <cell r="AA4846" t="str">
            <v/>
          </cell>
          <cell r="AB4846" t="str">
            <v/>
          </cell>
          <cell r="AC4846" t="str">
            <v/>
          </cell>
          <cell r="AD4846" t="str">
            <v/>
          </cell>
          <cell r="AY4846" t="str">
            <v/>
          </cell>
          <cell r="AZ4846" t="str">
            <v/>
          </cell>
          <cell r="BA4846" t="str">
            <v/>
          </cell>
        </row>
        <row r="4847">
          <cell r="B4847" t="str">
            <v>-</v>
          </cell>
          <cell r="E4847" t="str">
            <v/>
          </cell>
          <cell r="G4847" t="str">
            <v/>
          </cell>
          <cell r="J4847" t="str">
            <v/>
          </cell>
          <cell r="O4847" t="str">
            <v/>
          </cell>
          <cell r="P4847" t="str">
            <v/>
          </cell>
          <cell r="Q4847" t="str">
            <v/>
          </cell>
          <cell r="S4847" t="str">
            <v/>
          </cell>
          <cell r="V4847" t="str">
            <v/>
          </cell>
          <cell r="Z4847" t="str">
            <v/>
          </cell>
          <cell r="AA4847" t="str">
            <v/>
          </cell>
          <cell r="AB4847" t="str">
            <v/>
          </cell>
          <cell r="AC4847" t="str">
            <v/>
          </cell>
          <cell r="AD4847" t="str">
            <v/>
          </cell>
          <cell r="AY4847" t="str">
            <v/>
          </cell>
          <cell r="AZ4847" t="str">
            <v/>
          </cell>
          <cell r="BA4847" t="str">
            <v/>
          </cell>
        </row>
        <row r="4848">
          <cell r="B4848" t="str">
            <v>-</v>
          </cell>
          <cell r="E4848" t="str">
            <v/>
          </cell>
          <cell r="G4848" t="str">
            <v/>
          </cell>
          <cell r="J4848" t="str">
            <v/>
          </cell>
          <cell r="O4848" t="str">
            <v/>
          </cell>
          <cell r="P4848" t="str">
            <v/>
          </cell>
          <cell r="Q4848" t="str">
            <v/>
          </cell>
          <cell r="S4848" t="str">
            <v/>
          </cell>
          <cell r="V4848" t="str">
            <v/>
          </cell>
          <cell r="Z4848" t="str">
            <v/>
          </cell>
          <cell r="AA4848" t="str">
            <v/>
          </cell>
          <cell r="AB4848" t="str">
            <v/>
          </cell>
          <cell r="AC4848" t="str">
            <v/>
          </cell>
          <cell r="AD4848" t="str">
            <v/>
          </cell>
          <cell r="AY4848" t="str">
            <v/>
          </cell>
          <cell r="AZ4848" t="str">
            <v/>
          </cell>
          <cell r="BA4848" t="str">
            <v/>
          </cell>
        </row>
        <row r="4849">
          <cell r="B4849" t="str">
            <v>-</v>
          </cell>
          <cell r="E4849" t="str">
            <v/>
          </cell>
          <cell r="G4849" t="str">
            <v/>
          </cell>
          <cell r="J4849" t="str">
            <v/>
          </cell>
          <cell r="O4849" t="str">
            <v/>
          </cell>
          <cell r="P4849" t="str">
            <v/>
          </cell>
          <cell r="Q4849" t="str">
            <v/>
          </cell>
          <cell r="S4849" t="str">
            <v/>
          </cell>
          <cell r="V4849" t="str">
            <v/>
          </cell>
          <cell r="Z4849" t="str">
            <v/>
          </cell>
          <cell r="AA4849" t="str">
            <v/>
          </cell>
          <cell r="AB4849" t="str">
            <v/>
          </cell>
          <cell r="AC4849" t="str">
            <v/>
          </cell>
          <cell r="AD4849" t="str">
            <v/>
          </cell>
          <cell r="AY4849" t="str">
            <v/>
          </cell>
          <cell r="AZ4849" t="str">
            <v/>
          </cell>
          <cell r="BA4849" t="str">
            <v/>
          </cell>
        </row>
        <row r="4850">
          <cell r="B4850" t="str">
            <v>-</v>
          </cell>
          <cell r="E4850" t="str">
            <v/>
          </cell>
          <cell r="G4850" t="str">
            <v/>
          </cell>
          <cell r="J4850" t="str">
            <v/>
          </cell>
          <cell r="O4850" t="str">
            <v/>
          </cell>
          <cell r="P4850" t="str">
            <v/>
          </cell>
          <cell r="Q4850" t="str">
            <v/>
          </cell>
          <cell r="S4850" t="str">
            <v/>
          </cell>
          <cell r="V4850" t="str">
            <v/>
          </cell>
          <cell r="Z4850" t="str">
            <v/>
          </cell>
          <cell r="AA4850" t="str">
            <v/>
          </cell>
          <cell r="AB4850" t="str">
            <v/>
          </cell>
          <cell r="AC4850" t="str">
            <v/>
          </cell>
          <cell r="AD4850" t="str">
            <v/>
          </cell>
          <cell r="AY4850" t="str">
            <v/>
          </cell>
          <cell r="AZ4850" t="str">
            <v/>
          </cell>
          <cell r="BA4850" t="str">
            <v/>
          </cell>
        </row>
        <row r="4851">
          <cell r="B4851" t="str">
            <v>-</v>
          </cell>
          <cell r="E4851" t="str">
            <v/>
          </cell>
          <cell r="G4851" t="str">
            <v/>
          </cell>
          <cell r="J4851" t="str">
            <v/>
          </cell>
          <cell r="O4851" t="str">
            <v/>
          </cell>
          <cell r="P4851" t="str">
            <v/>
          </cell>
          <cell r="Q4851" t="str">
            <v/>
          </cell>
          <cell r="S4851" t="str">
            <v/>
          </cell>
          <cell r="V4851" t="str">
            <v/>
          </cell>
          <cell r="Z4851" t="str">
            <v/>
          </cell>
          <cell r="AA4851" t="str">
            <v/>
          </cell>
          <cell r="AB4851" t="str">
            <v/>
          </cell>
          <cell r="AC4851" t="str">
            <v/>
          </cell>
          <cell r="AD4851" t="str">
            <v/>
          </cell>
          <cell r="AY4851" t="str">
            <v/>
          </cell>
          <cell r="AZ4851" t="str">
            <v/>
          </cell>
          <cell r="BA4851" t="str">
            <v/>
          </cell>
        </row>
        <row r="4852">
          <cell r="B4852" t="str">
            <v>-</v>
          </cell>
          <cell r="E4852" t="str">
            <v/>
          </cell>
          <cell r="G4852" t="str">
            <v/>
          </cell>
          <cell r="J4852" t="str">
            <v/>
          </cell>
          <cell r="O4852" t="str">
            <v/>
          </cell>
          <cell r="P4852" t="str">
            <v/>
          </cell>
          <cell r="Q4852" t="str">
            <v/>
          </cell>
          <cell r="S4852" t="str">
            <v/>
          </cell>
          <cell r="V4852" t="str">
            <v/>
          </cell>
          <cell r="Z4852" t="str">
            <v/>
          </cell>
          <cell r="AA4852" t="str">
            <v/>
          </cell>
          <cell r="AB4852" t="str">
            <v/>
          </cell>
          <cell r="AC4852" t="str">
            <v/>
          </cell>
          <cell r="AD4852" t="str">
            <v/>
          </cell>
          <cell r="AY4852" t="str">
            <v/>
          </cell>
          <cell r="AZ4852" t="str">
            <v/>
          </cell>
          <cell r="BA4852" t="str">
            <v/>
          </cell>
        </row>
        <row r="4853">
          <cell r="B4853" t="str">
            <v>-</v>
          </cell>
          <cell r="E4853" t="str">
            <v/>
          </cell>
          <cell r="G4853" t="str">
            <v/>
          </cell>
          <cell r="J4853" t="str">
            <v/>
          </cell>
          <cell r="O4853" t="str">
            <v/>
          </cell>
          <cell r="P4853" t="str">
            <v/>
          </cell>
          <cell r="Q4853" t="str">
            <v/>
          </cell>
          <cell r="S4853" t="str">
            <v/>
          </cell>
          <cell r="V4853" t="str">
            <v/>
          </cell>
          <cell r="Z4853" t="str">
            <v/>
          </cell>
          <cell r="AA4853" t="str">
            <v/>
          </cell>
          <cell r="AB4853" t="str">
            <v/>
          </cell>
          <cell r="AC4853" t="str">
            <v/>
          </cell>
          <cell r="AD4853" t="str">
            <v/>
          </cell>
          <cell r="AY4853" t="str">
            <v/>
          </cell>
          <cell r="AZ4853" t="str">
            <v/>
          </cell>
          <cell r="BA4853" t="str">
            <v/>
          </cell>
        </row>
        <row r="4854">
          <cell r="B4854" t="str">
            <v>-</v>
          </cell>
          <cell r="E4854" t="str">
            <v/>
          </cell>
          <cell r="G4854" t="str">
            <v/>
          </cell>
          <cell r="J4854" t="str">
            <v/>
          </cell>
          <cell r="O4854" t="str">
            <v/>
          </cell>
          <cell r="P4854" t="str">
            <v/>
          </cell>
          <cell r="Q4854" t="str">
            <v/>
          </cell>
          <cell r="S4854" t="str">
            <v/>
          </cell>
          <cell r="V4854" t="str">
            <v/>
          </cell>
          <cell r="Z4854" t="str">
            <v/>
          </cell>
          <cell r="AA4854" t="str">
            <v/>
          </cell>
          <cell r="AB4854" t="str">
            <v/>
          </cell>
          <cell r="AC4854" t="str">
            <v/>
          </cell>
          <cell r="AD4854" t="str">
            <v/>
          </cell>
          <cell r="AY4854" t="str">
            <v/>
          </cell>
          <cell r="AZ4854" t="str">
            <v/>
          </cell>
          <cell r="BA4854" t="str">
            <v/>
          </cell>
        </row>
        <row r="4855">
          <cell r="B4855" t="str">
            <v>-</v>
          </cell>
          <cell r="E4855" t="str">
            <v/>
          </cell>
          <cell r="G4855" t="str">
            <v/>
          </cell>
          <cell r="J4855" t="str">
            <v/>
          </cell>
          <cell r="O4855" t="str">
            <v/>
          </cell>
          <cell r="P4855" t="str">
            <v/>
          </cell>
          <cell r="Q4855" t="str">
            <v/>
          </cell>
          <cell r="S4855" t="str">
            <v/>
          </cell>
          <cell r="V4855" t="str">
            <v/>
          </cell>
          <cell r="Z4855" t="str">
            <v/>
          </cell>
          <cell r="AA4855" t="str">
            <v/>
          </cell>
          <cell r="AB4855" t="str">
            <v/>
          </cell>
          <cell r="AC4855" t="str">
            <v/>
          </cell>
          <cell r="AD4855" t="str">
            <v/>
          </cell>
          <cell r="AY4855" t="str">
            <v/>
          </cell>
          <cell r="AZ4855" t="str">
            <v/>
          </cell>
          <cell r="BA4855" t="str">
            <v/>
          </cell>
        </row>
        <row r="4856">
          <cell r="B4856" t="str">
            <v>-</v>
          </cell>
          <cell r="E4856" t="str">
            <v/>
          </cell>
          <cell r="G4856" t="str">
            <v/>
          </cell>
          <cell r="J4856" t="str">
            <v/>
          </cell>
          <cell r="O4856" t="str">
            <v/>
          </cell>
          <cell r="P4856" t="str">
            <v/>
          </cell>
          <cell r="Q4856" t="str">
            <v/>
          </cell>
          <cell r="S4856" t="str">
            <v/>
          </cell>
          <cell r="V4856" t="str">
            <v/>
          </cell>
          <cell r="Z4856" t="str">
            <v/>
          </cell>
          <cell r="AA4856" t="str">
            <v/>
          </cell>
          <cell r="AB4856" t="str">
            <v/>
          </cell>
          <cell r="AC4856" t="str">
            <v/>
          </cell>
          <cell r="AD4856" t="str">
            <v/>
          </cell>
          <cell r="AY4856" t="str">
            <v/>
          </cell>
          <cell r="AZ4856" t="str">
            <v/>
          </cell>
          <cell r="BA4856" t="str">
            <v/>
          </cell>
        </row>
        <row r="4857">
          <cell r="B4857" t="str">
            <v>-</v>
          </cell>
          <cell r="E4857" t="str">
            <v/>
          </cell>
          <cell r="G4857" t="str">
            <v/>
          </cell>
          <cell r="J4857" t="str">
            <v/>
          </cell>
          <cell r="O4857" t="str">
            <v/>
          </cell>
          <cell r="P4857" t="str">
            <v/>
          </cell>
          <cell r="Q4857" t="str">
            <v/>
          </cell>
          <cell r="S4857" t="str">
            <v/>
          </cell>
          <cell r="V4857" t="str">
            <v/>
          </cell>
          <cell r="Z4857" t="str">
            <v/>
          </cell>
          <cell r="AA4857" t="str">
            <v/>
          </cell>
          <cell r="AB4857" t="str">
            <v/>
          </cell>
          <cell r="AC4857" t="str">
            <v/>
          </cell>
          <cell r="AD4857" t="str">
            <v/>
          </cell>
          <cell r="AY4857" t="str">
            <v/>
          </cell>
          <cell r="AZ4857" t="str">
            <v/>
          </cell>
          <cell r="BA4857" t="str">
            <v/>
          </cell>
        </row>
        <row r="4858">
          <cell r="B4858" t="str">
            <v>-</v>
          </cell>
          <cell r="E4858" t="str">
            <v/>
          </cell>
          <cell r="G4858" t="str">
            <v/>
          </cell>
          <cell r="J4858" t="str">
            <v/>
          </cell>
          <cell r="O4858" t="str">
            <v/>
          </cell>
          <cell r="P4858" t="str">
            <v/>
          </cell>
          <cell r="Q4858" t="str">
            <v/>
          </cell>
          <cell r="S4858" t="str">
            <v/>
          </cell>
          <cell r="V4858" t="str">
            <v/>
          </cell>
          <cell r="Z4858" t="str">
            <v/>
          </cell>
          <cell r="AA4858" t="str">
            <v/>
          </cell>
          <cell r="AB4858" t="str">
            <v/>
          </cell>
          <cell r="AC4858" t="str">
            <v/>
          </cell>
          <cell r="AD4858" t="str">
            <v/>
          </cell>
          <cell r="AY4858" t="str">
            <v/>
          </cell>
          <cell r="AZ4858" t="str">
            <v/>
          </cell>
          <cell r="BA4858" t="str">
            <v/>
          </cell>
        </row>
        <row r="4859">
          <cell r="B4859" t="str">
            <v>-</v>
          </cell>
          <cell r="E4859" t="str">
            <v/>
          </cell>
          <cell r="G4859" t="str">
            <v/>
          </cell>
          <cell r="J4859" t="str">
            <v/>
          </cell>
          <cell r="O4859" t="str">
            <v/>
          </cell>
          <cell r="P4859" t="str">
            <v/>
          </cell>
          <cell r="Q4859" t="str">
            <v/>
          </cell>
          <cell r="S4859" t="str">
            <v/>
          </cell>
          <cell r="V4859" t="str">
            <v/>
          </cell>
          <cell r="Z4859" t="str">
            <v/>
          </cell>
          <cell r="AA4859" t="str">
            <v/>
          </cell>
          <cell r="AB4859" t="str">
            <v/>
          </cell>
          <cell r="AC4859" t="str">
            <v/>
          </cell>
          <cell r="AD4859" t="str">
            <v/>
          </cell>
          <cell r="AY4859" t="str">
            <v/>
          </cell>
          <cell r="AZ4859" t="str">
            <v/>
          </cell>
          <cell r="BA4859" t="str">
            <v/>
          </cell>
        </row>
        <row r="4860">
          <cell r="B4860" t="str">
            <v>-</v>
          </cell>
          <cell r="E4860" t="str">
            <v/>
          </cell>
          <cell r="G4860" t="str">
            <v/>
          </cell>
          <cell r="J4860" t="str">
            <v/>
          </cell>
          <cell r="O4860" t="str">
            <v/>
          </cell>
          <cell r="P4860" t="str">
            <v/>
          </cell>
          <cell r="Q4860" t="str">
            <v/>
          </cell>
          <cell r="S4860" t="str">
            <v/>
          </cell>
          <cell r="V4860" t="str">
            <v/>
          </cell>
          <cell r="Z4860" t="str">
            <v/>
          </cell>
          <cell r="AA4860" t="str">
            <v/>
          </cell>
          <cell r="AB4860" t="str">
            <v/>
          </cell>
          <cell r="AC4860" t="str">
            <v/>
          </cell>
          <cell r="AD4860" t="str">
            <v/>
          </cell>
          <cell r="AY4860" t="str">
            <v/>
          </cell>
          <cell r="AZ4860" t="str">
            <v/>
          </cell>
          <cell r="BA4860" t="str">
            <v/>
          </cell>
        </row>
        <row r="4861">
          <cell r="B4861" t="str">
            <v>-</v>
          </cell>
          <cell r="E4861" t="str">
            <v/>
          </cell>
          <cell r="G4861" t="str">
            <v/>
          </cell>
          <cell r="J4861" t="str">
            <v/>
          </cell>
          <cell r="O4861" t="str">
            <v/>
          </cell>
          <cell r="P4861" t="str">
            <v/>
          </cell>
          <cell r="Q4861" t="str">
            <v/>
          </cell>
          <cell r="S4861" t="str">
            <v/>
          </cell>
          <cell r="V4861" t="str">
            <v/>
          </cell>
          <cell r="Z4861" t="str">
            <v/>
          </cell>
          <cell r="AA4861" t="str">
            <v/>
          </cell>
          <cell r="AB4861" t="str">
            <v/>
          </cell>
          <cell r="AC4861" t="str">
            <v/>
          </cell>
          <cell r="AD4861" t="str">
            <v/>
          </cell>
          <cell r="AY4861" t="str">
            <v/>
          </cell>
          <cell r="AZ4861" t="str">
            <v/>
          </cell>
          <cell r="BA4861" t="str">
            <v/>
          </cell>
        </row>
        <row r="4862">
          <cell r="B4862" t="str">
            <v>-</v>
          </cell>
          <cell r="E4862" t="str">
            <v/>
          </cell>
          <cell r="G4862" t="str">
            <v/>
          </cell>
          <cell r="J4862" t="str">
            <v/>
          </cell>
          <cell r="O4862" t="str">
            <v/>
          </cell>
          <cell r="P4862" t="str">
            <v/>
          </cell>
          <cell r="Q4862" t="str">
            <v/>
          </cell>
          <cell r="S4862" t="str">
            <v/>
          </cell>
          <cell r="V4862" t="str">
            <v/>
          </cell>
          <cell r="Z4862" t="str">
            <v/>
          </cell>
          <cell r="AA4862" t="str">
            <v/>
          </cell>
          <cell r="AB4862" t="str">
            <v/>
          </cell>
          <cell r="AC4862" t="str">
            <v/>
          </cell>
          <cell r="AD4862" t="str">
            <v/>
          </cell>
          <cell r="AY4862" t="str">
            <v/>
          </cell>
          <cell r="AZ4862" t="str">
            <v/>
          </cell>
          <cell r="BA4862" t="str">
            <v/>
          </cell>
        </row>
        <row r="4863">
          <cell r="B4863" t="str">
            <v>-</v>
          </cell>
          <cell r="E4863" t="str">
            <v/>
          </cell>
          <cell r="G4863" t="str">
            <v/>
          </cell>
          <cell r="J4863" t="str">
            <v/>
          </cell>
          <cell r="O4863" t="str">
            <v/>
          </cell>
          <cell r="P4863" t="str">
            <v/>
          </cell>
          <cell r="Q4863" t="str">
            <v/>
          </cell>
          <cell r="S4863" t="str">
            <v/>
          </cell>
          <cell r="V4863" t="str">
            <v/>
          </cell>
          <cell r="Z4863" t="str">
            <v/>
          </cell>
          <cell r="AA4863" t="str">
            <v/>
          </cell>
          <cell r="AB4863" t="str">
            <v/>
          </cell>
          <cell r="AC4863" t="str">
            <v/>
          </cell>
          <cell r="AD4863" t="str">
            <v/>
          </cell>
          <cell r="AY4863" t="str">
            <v/>
          </cell>
          <cell r="AZ4863" t="str">
            <v/>
          </cell>
          <cell r="BA4863" t="str">
            <v/>
          </cell>
        </row>
        <row r="4864">
          <cell r="B4864" t="str">
            <v>-</v>
          </cell>
          <cell r="E4864" t="str">
            <v/>
          </cell>
          <cell r="G4864" t="str">
            <v/>
          </cell>
          <cell r="J4864" t="str">
            <v/>
          </cell>
          <cell r="O4864" t="str">
            <v/>
          </cell>
          <cell r="P4864" t="str">
            <v/>
          </cell>
          <cell r="Q4864" t="str">
            <v/>
          </cell>
          <cell r="S4864" t="str">
            <v/>
          </cell>
          <cell r="V4864" t="str">
            <v/>
          </cell>
          <cell r="Z4864" t="str">
            <v/>
          </cell>
          <cell r="AA4864" t="str">
            <v/>
          </cell>
          <cell r="AB4864" t="str">
            <v/>
          </cell>
          <cell r="AC4864" t="str">
            <v/>
          </cell>
          <cell r="AD4864" t="str">
            <v/>
          </cell>
          <cell r="AY4864" t="str">
            <v/>
          </cell>
          <cell r="AZ4864" t="str">
            <v/>
          </cell>
          <cell r="BA4864" t="str">
            <v/>
          </cell>
        </row>
        <row r="4865">
          <cell r="B4865" t="str">
            <v>-</v>
          </cell>
          <cell r="E4865" t="str">
            <v/>
          </cell>
          <cell r="G4865" t="str">
            <v/>
          </cell>
          <cell r="J4865" t="str">
            <v/>
          </cell>
          <cell r="O4865" t="str">
            <v/>
          </cell>
          <cell r="P4865" t="str">
            <v/>
          </cell>
          <cell r="Q4865" t="str">
            <v/>
          </cell>
          <cell r="S4865" t="str">
            <v/>
          </cell>
          <cell r="V4865" t="str">
            <v/>
          </cell>
          <cell r="Z4865" t="str">
            <v/>
          </cell>
          <cell r="AA4865" t="str">
            <v/>
          </cell>
          <cell r="AB4865" t="str">
            <v/>
          </cell>
          <cell r="AC4865" t="str">
            <v/>
          </cell>
          <cell r="AD4865" t="str">
            <v/>
          </cell>
          <cell r="AY4865" t="str">
            <v/>
          </cell>
          <cell r="AZ4865" t="str">
            <v/>
          </cell>
          <cell r="BA4865" t="str">
            <v/>
          </cell>
        </row>
        <row r="4866">
          <cell r="B4866" t="str">
            <v>-</v>
          </cell>
          <cell r="E4866" t="str">
            <v/>
          </cell>
          <cell r="G4866" t="str">
            <v/>
          </cell>
          <cell r="J4866" t="str">
            <v/>
          </cell>
          <cell r="O4866" t="str">
            <v/>
          </cell>
          <cell r="P4866" t="str">
            <v/>
          </cell>
          <cell r="Q4866" t="str">
            <v/>
          </cell>
          <cell r="S4866" t="str">
            <v/>
          </cell>
          <cell r="V4866" t="str">
            <v/>
          </cell>
          <cell r="Z4866" t="str">
            <v/>
          </cell>
          <cell r="AA4866" t="str">
            <v/>
          </cell>
          <cell r="AB4866" t="str">
            <v/>
          </cell>
          <cell r="AC4866" t="str">
            <v/>
          </cell>
          <cell r="AD4866" t="str">
            <v/>
          </cell>
          <cell r="AY4866" t="str">
            <v/>
          </cell>
          <cell r="AZ4866" t="str">
            <v/>
          </cell>
          <cell r="BA4866" t="str">
            <v/>
          </cell>
        </row>
        <row r="4867">
          <cell r="B4867" t="str">
            <v>-</v>
          </cell>
          <cell r="E4867" t="str">
            <v/>
          </cell>
          <cell r="G4867" t="str">
            <v/>
          </cell>
          <cell r="J4867" t="str">
            <v/>
          </cell>
          <cell r="O4867" t="str">
            <v/>
          </cell>
          <cell r="P4867" t="str">
            <v/>
          </cell>
          <cell r="Q4867" t="str">
            <v/>
          </cell>
          <cell r="S4867" t="str">
            <v/>
          </cell>
          <cell r="V4867" t="str">
            <v/>
          </cell>
          <cell r="Z4867" t="str">
            <v/>
          </cell>
          <cell r="AA4867" t="str">
            <v/>
          </cell>
          <cell r="AB4867" t="str">
            <v/>
          </cell>
          <cell r="AC4867" t="str">
            <v/>
          </cell>
          <cell r="AD4867" t="str">
            <v/>
          </cell>
          <cell r="AY4867" t="str">
            <v/>
          </cell>
          <cell r="AZ4867" t="str">
            <v/>
          </cell>
          <cell r="BA4867" t="str">
            <v/>
          </cell>
        </row>
        <row r="4868">
          <cell r="B4868" t="str">
            <v>-</v>
          </cell>
          <cell r="E4868" t="str">
            <v/>
          </cell>
          <cell r="G4868" t="str">
            <v/>
          </cell>
          <cell r="J4868" t="str">
            <v/>
          </cell>
          <cell r="O4868" t="str">
            <v/>
          </cell>
          <cell r="P4868" t="str">
            <v/>
          </cell>
          <cell r="Q4868" t="str">
            <v/>
          </cell>
          <cell r="S4868" t="str">
            <v/>
          </cell>
          <cell r="V4868" t="str">
            <v/>
          </cell>
          <cell r="Z4868" t="str">
            <v/>
          </cell>
          <cell r="AA4868" t="str">
            <v/>
          </cell>
          <cell r="AB4868" t="str">
            <v/>
          </cell>
          <cell r="AC4868" t="str">
            <v/>
          </cell>
          <cell r="AD4868" t="str">
            <v/>
          </cell>
          <cell r="AY4868" t="str">
            <v/>
          </cell>
          <cell r="AZ4868" t="str">
            <v/>
          </cell>
          <cell r="BA4868" t="str">
            <v/>
          </cell>
        </row>
        <row r="4869">
          <cell r="B4869" t="str">
            <v>-</v>
          </cell>
          <cell r="E4869" t="str">
            <v/>
          </cell>
          <cell r="G4869" t="str">
            <v/>
          </cell>
          <cell r="J4869" t="str">
            <v/>
          </cell>
          <cell r="O4869" t="str">
            <v/>
          </cell>
          <cell r="P4869" t="str">
            <v/>
          </cell>
          <cell r="Q4869" t="str">
            <v/>
          </cell>
          <cell r="S4869" t="str">
            <v/>
          </cell>
          <cell r="V4869" t="str">
            <v/>
          </cell>
          <cell r="Z4869" t="str">
            <v/>
          </cell>
          <cell r="AA4869" t="str">
            <v/>
          </cell>
          <cell r="AB4869" t="str">
            <v/>
          </cell>
          <cell r="AC4869" t="str">
            <v/>
          </cell>
          <cell r="AD4869" t="str">
            <v/>
          </cell>
          <cell r="AY4869" t="str">
            <v/>
          </cell>
          <cell r="AZ4869" t="str">
            <v/>
          </cell>
          <cell r="BA4869" t="str">
            <v/>
          </cell>
        </row>
        <row r="4870">
          <cell r="B4870" t="str">
            <v>-</v>
          </cell>
          <cell r="E4870" t="str">
            <v/>
          </cell>
          <cell r="G4870" t="str">
            <v/>
          </cell>
          <cell r="J4870" t="str">
            <v/>
          </cell>
          <cell r="O4870" t="str">
            <v/>
          </cell>
          <cell r="P4870" t="str">
            <v/>
          </cell>
          <cell r="Q4870" t="str">
            <v/>
          </cell>
          <cell r="S4870" t="str">
            <v/>
          </cell>
          <cell r="V4870" t="str">
            <v/>
          </cell>
          <cell r="Z4870" t="str">
            <v/>
          </cell>
          <cell r="AA4870" t="str">
            <v/>
          </cell>
          <cell r="AB4870" t="str">
            <v/>
          </cell>
          <cell r="AC4870" t="str">
            <v/>
          </cell>
          <cell r="AD4870" t="str">
            <v/>
          </cell>
          <cell r="AY4870" t="str">
            <v/>
          </cell>
          <cell r="AZ4870" t="str">
            <v/>
          </cell>
          <cell r="BA4870" t="str">
            <v/>
          </cell>
        </row>
        <row r="4871">
          <cell r="B4871" t="str">
            <v>-</v>
          </cell>
          <cell r="E4871" t="str">
            <v/>
          </cell>
          <cell r="G4871" t="str">
            <v/>
          </cell>
          <cell r="J4871" t="str">
            <v/>
          </cell>
          <cell r="O4871" t="str">
            <v/>
          </cell>
          <cell r="P4871" t="str">
            <v/>
          </cell>
          <cell r="Q4871" t="str">
            <v/>
          </cell>
          <cell r="S4871" t="str">
            <v/>
          </cell>
          <cell r="V4871" t="str">
            <v/>
          </cell>
          <cell r="Z4871" t="str">
            <v/>
          </cell>
          <cell r="AA4871" t="str">
            <v/>
          </cell>
          <cell r="AB4871" t="str">
            <v/>
          </cell>
          <cell r="AC4871" t="str">
            <v/>
          </cell>
          <cell r="AD4871" t="str">
            <v/>
          </cell>
          <cell r="AY4871" t="str">
            <v/>
          </cell>
          <cell r="AZ4871" t="str">
            <v/>
          </cell>
          <cell r="BA4871" t="str">
            <v/>
          </cell>
        </row>
        <row r="4872">
          <cell r="B4872" t="str">
            <v>-</v>
          </cell>
          <cell r="E4872" t="str">
            <v/>
          </cell>
          <cell r="G4872" t="str">
            <v/>
          </cell>
          <cell r="J4872" t="str">
            <v/>
          </cell>
          <cell r="O4872" t="str">
            <v/>
          </cell>
          <cell r="P4872" t="str">
            <v/>
          </cell>
          <cell r="Q4872" t="str">
            <v/>
          </cell>
          <cell r="S4872" t="str">
            <v/>
          </cell>
          <cell r="V4872" t="str">
            <v/>
          </cell>
          <cell r="Z4872" t="str">
            <v/>
          </cell>
          <cell r="AA4872" t="str">
            <v/>
          </cell>
          <cell r="AB4872" t="str">
            <v/>
          </cell>
          <cell r="AC4872" t="str">
            <v/>
          </cell>
          <cell r="AD4872" t="str">
            <v/>
          </cell>
          <cell r="AY4872" t="str">
            <v/>
          </cell>
          <cell r="AZ4872" t="str">
            <v/>
          </cell>
          <cell r="BA4872" t="str">
            <v/>
          </cell>
        </row>
        <row r="4873">
          <cell r="B4873" t="str">
            <v>-</v>
          </cell>
          <cell r="E4873" t="str">
            <v/>
          </cell>
          <cell r="G4873" t="str">
            <v/>
          </cell>
          <cell r="J4873" t="str">
            <v/>
          </cell>
          <cell r="O4873" t="str">
            <v/>
          </cell>
          <cell r="P4873" t="str">
            <v/>
          </cell>
          <cell r="Q4873" t="str">
            <v/>
          </cell>
          <cell r="S4873" t="str">
            <v/>
          </cell>
          <cell r="V4873" t="str">
            <v/>
          </cell>
          <cell r="Z4873" t="str">
            <v/>
          </cell>
          <cell r="AA4873" t="str">
            <v/>
          </cell>
          <cell r="AB4873" t="str">
            <v/>
          </cell>
          <cell r="AC4873" t="str">
            <v/>
          </cell>
          <cell r="AD4873" t="str">
            <v/>
          </cell>
          <cell r="AY4873" t="str">
            <v/>
          </cell>
          <cell r="AZ4873" t="str">
            <v/>
          </cell>
          <cell r="BA4873" t="str">
            <v/>
          </cell>
        </row>
        <row r="4874">
          <cell r="B4874" t="str">
            <v>-</v>
          </cell>
          <cell r="E4874" t="str">
            <v/>
          </cell>
          <cell r="G4874" t="str">
            <v/>
          </cell>
          <cell r="J4874" t="str">
            <v/>
          </cell>
          <cell r="O4874" t="str">
            <v/>
          </cell>
          <cell r="P4874" t="str">
            <v/>
          </cell>
          <cell r="Q4874" t="str">
            <v/>
          </cell>
          <cell r="S4874" t="str">
            <v/>
          </cell>
          <cell r="V4874" t="str">
            <v/>
          </cell>
          <cell r="Z4874" t="str">
            <v/>
          </cell>
          <cell r="AA4874" t="str">
            <v/>
          </cell>
          <cell r="AB4874" t="str">
            <v/>
          </cell>
          <cell r="AC4874" t="str">
            <v/>
          </cell>
          <cell r="AD4874" t="str">
            <v/>
          </cell>
          <cell r="AY4874" t="str">
            <v/>
          </cell>
          <cell r="AZ4874" t="str">
            <v/>
          </cell>
          <cell r="BA4874" t="str">
            <v/>
          </cell>
        </row>
        <row r="4875">
          <cell r="B4875" t="str">
            <v>-</v>
          </cell>
          <cell r="E4875" t="str">
            <v/>
          </cell>
          <cell r="G4875" t="str">
            <v/>
          </cell>
          <cell r="J4875" t="str">
            <v/>
          </cell>
          <cell r="O4875" t="str">
            <v/>
          </cell>
          <cell r="P4875" t="str">
            <v/>
          </cell>
          <cell r="Q4875" t="str">
            <v/>
          </cell>
          <cell r="S4875" t="str">
            <v/>
          </cell>
          <cell r="V4875" t="str">
            <v/>
          </cell>
          <cell r="Z4875" t="str">
            <v/>
          </cell>
          <cell r="AA4875" t="str">
            <v/>
          </cell>
          <cell r="AB4875" t="str">
            <v/>
          </cell>
          <cell r="AC4875" t="str">
            <v/>
          </cell>
          <cell r="AD4875" t="str">
            <v/>
          </cell>
          <cell r="AY4875" t="str">
            <v/>
          </cell>
          <cell r="AZ4875" t="str">
            <v/>
          </cell>
          <cell r="BA4875" t="str">
            <v/>
          </cell>
        </row>
        <row r="4876">
          <cell r="B4876" t="str">
            <v>-</v>
          </cell>
          <cell r="E4876" t="str">
            <v/>
          </cell>
          <cell r="G4876" t="str">
            <v/>
          </cell>
          <cell r="J4876" t="str">
            <v/>
          </cell>
          <cell r="O4876" t="str">
            <v/>
          </cell>
          <cell r="P4876" t="str">
            <v/>
          </cell>
          <cell r="Q4876" t="str">
            <v/>
          </cell>
          <cell r="S4876" t="str">
            <v/>
          </cell>
          <cell r="V4876" t="str">
            <v/>
          </cell>
          <cell r="Z4876" t="str">
            <v/>
          </cell>
          <cell r="AA4876" t="str">
            <v/>
          </cell>
          <cell r="AB4876" t="str">
            <v/>
          </cell>
          <cell r="AC4876" t="str">
            <v/>
          </cell>
          <cell r="AD4876" t="str">
            <v/>
          </cell>
          <cell r="AY4876" t="str">
            <v/>
          </cell>
          <cell r="AZ4876" t="str">
            <v/>
          </cell>
          <cell r="BA4876" t="str">
            <v/>
          </cell>
        </row>
        <row r="4877">
          <cell r="B4877" t="str">
            <v>-</v>
          </cell>
          <cell r="E4877" t="str">
            <v/>
          </cell>
          <cell r="G4877" t="str">
            <v/>
          </cell>
          <cell r="J4877" t="str">
            <v/>
          </cell>
          <cell r="O4877" t="str">
            <v/>
          </cell>
          <cell r="P4877" t="str">
            <v/>
          </cell>
          <cell r="Q4877" t="str">
            <v/>
          </cell>
          <cell r="S4877" t="str">
            <v/>
          </cell>
          <cell r="V4877" t="str">
            <v/>
          </cell>
          <cell r="Z4877" t="str">
            <v/>
          </cell>
          <cell r="AA4877" t="str">
            <v/>
          </cell>
          <cell r="AB4877" t="str">
            <v/>
          </cell>
          <cell r="AC4877" t="str">
            <v/>
          </cell>
          <cell r="AD4877" t="str">
            <v/>
          </cell>
          <cell r="AY4877" t="str">
            <v/>
          </cell>
          <cell r="AZ4877" t="str">
            <v/>
          </cell>
          <cell r="BA4877" t="str">
            <v/>
          </cell>
        </row>
        <row r="4878">
          <cell r="B4878" t="str">
            <v>-</v>
          </cell>
          <cell r="E4878" t="str">
            <v/>
          </cell>
          <cell r="G4878" t="str">
            <v/>
          </cell>
          <cell r="J4878" t="str">
            <v/>
          </cell>
          <cell r="O4878" t="str">
            <v/>
          </cell>
          <cell r="P4878" t="str">
            <v/>
          </cell>
          <cell r="Q4878" t="str">
            <v/>
          </cell>
          <cell r="S4878" t="str">
            <v/>
          </cell>
          <cell r="V4878" t="str">
            <v/>
          </cell>
          <cell r="Z4878" t="str">
            <v/>
          </cell>
          <cell r="AA4878" t="str">
            <v/>
          </cell>
          <cell r="AB4878" t="str">
            <v/>
          </cell>
          <cell r="AC4878" t="str">
            <v/>
          </cell>
          <cell r="AD4878" t="str">
            <v/>
          </cell>
          <cell r="AY4878" t="str">
            <v/>
          </cell>
          <cell r="AZ4878" t="str">
            <v/>
          </cell>
          <cell r="BA4878" t="str">
            <v/>
          </cell>
        </row>
        <row r="4879">
          <cell r="B4879" t="str">
            <v>-</v>
          </cell>
          <cell r="E4879" t="str">
            <v/>
          </cell>
          <cell r="G4879" t="str">
            <v/>
          </cell>
          <cell r="J4879" t="str">
            <v/>
          </cell>
          <cell r="O4879" t="str">
            <v/>
          </cell>
          <cell r="P4879" t="str">
            <v/>
          </cell>
          <cell r="Q4879" t="str">
            <v/>
          </cell>
          <cell r="S4879" t="str">
            <v/>
          </cell>
          <cell r="V4879" t="str">
            <v/>
          </cell>
          <cell r="Z4879" t="str">
            <v/>
          </cell>
          <cell r="AA4879" t="str">
            <v/>
          </cell>
          <cell r="AB4879" t="str">
            <v/>
          </cell>
          <cell r="AC4879" t="str">
            <v/>
          </cell>
          <cell r="AD4879" t="str">
            <v/>
          </cell>
          <cell r="AY4879" t="str">
            <v/>
          </cell>
          <cell r="AZ4879" t="str">
            <v/>
          </cell>
          <cell r="BA4879" t="str">
            <v/>
          </cell>
        </row>
        <row r="4880">
          <cell r="B4880" t="str">
            <v>-</v>
          </cell>
          <cell r="E4880" t="str">
            <v/>
          </cell>
          <cell r="G4880" t="str">
            <v/>
          </cell>
          <cell r="J4880" t="str">
            <v/>
          </cell>
          <cell r="O4880" t="str">
            <v/>
          </cell>
          <cell r="P4880" t="str">
            <v/>
          </cell>
          <cell r="Q4880" t="str">
            <v/>
          </cell>
          <cell r="S4880" t="str">
            <v/>
          </cell>
          <cell r="V4880" t="str">
            <v/>
          </cell>
          <cell r="Z4880" t="str">
            <v/>
          </cell>
          <cell r="AA4880" t="str">
            <v/>
          </cell>
          <cell r="AB4880" t="str">
            <v/>
          </cell>
          <cell r="AC4880" t="str">
            <v/>
          </cell>
          <cell r="AD4880" t="str">
            <v/>
          </cell>
          <cell r="AY4880" t="str">
            <v/>
          </cell>
          <cell r="AZ4880" t="str">
            <v/>
          </cell>
          <cell r="BA4880" t="str">
            <v/>
          </cell>
        </row>
        <row r="4881">
          <cell r="B4881" t="str">
            <v>-</v>
          </cell>
          <cell r="E4881" t="str">
            <v/>
          </cell>
          <cell r="G4881" t="str">
            <v/>
          </cell>
          <cell r="J4881" t="str">
            <v/>
          </cell>
          <cell r="O4881" t="str">
            <v/>
          </cell>
          <cell r="P4881" t="str">
            <v/>
          </cell>
          <cell r="Q4881" t="str">
            <v/>
          </cell>
          <cell r="S4881" t="str">
            <v/>
          </cell>
          <cell r="V4881" t="str">
            <v/>
          </cell>
          <cell r="Z4881" t="str">
            <v/>
          </cell>
          <cell r="AA4881" t="str">
            <v/>
          </cell>
          <cell r="AB4881" t="str">
            <v/>
          </cell>
          <cell r="AC4881" t="str">
            <v/>
          </cell>
          <cell r="AD4881" t="str">
            <v/>
          </cell>
          <cell r="AY4881" t="str">
            <v/>
          </cell>
          <cell r="AZ4881" t="str">
            <v/>
          </cell>
          <cell r="BA4881" t="str">
            <v/>
          </cell>
        </row>
        <row r="4882">
          <cell r="B4882" t="str">
            <v>-</v>
          </cell>
          <cell r="E4882" t="str">
            <v/>
          </cell>
          <cell r="G4882" t="str">
            <v/>
          </cell>
          <cell r="J4882" t="str">
            <v/>
          </cell>
          <cell r="O4882" t="str">
            <v/>
          </cell>
          <cell r="P4882" t="str">
            <v/>
          </cell>
          <cell r="Q4882" t="str">
            <v/>
          </cell>
          <cell r="S4882" t="str">
            <v/>
          </cell>
          <cell r="V4882" t="str">
            <v/>
          </cell>
          <cell r="Z4882" t="str">
            <v/>
          </cell>
          <cell r="AA4882" t="str">
            <v/>
          </cell>
          <cell r="AB4882" t="str">
            <v/>
          </cell>
          <cell r="AC4882" t="str">
            <v/>
          </cell>
          <cell r="AD4882" t="str">
            <v/>
          </cell>
          <cell r="AY4882" t="str">
            <v/>
          </cell>
          <cell r="AZ4882" t="str">
            <v/>
          </cell>
          <cell r="BA4882" t="str">
            <v/>
          </cell>
        </row>
        <row r="4883">
          <cell r="B4883" t="str">
            <v>-</v>
          </cell>
          <cell r="E4883" t="str">
            <v/>
          </cell>
          <cell r="G4883" t="str">
            <v/>
          </cell>
          <cell r="J4883" t="str">
            <v/>
          </cell>
          <cell r="O4883" t="str">
            <v/>
          </cell>
          <cell r="P4883" t="str">
            <v/>
          </cell>
          <cell r="Q4883" t="str">
            <v/>
          </cell>
          <cell r="S4883" t="str">
            <v/>
          </cell>
          <cell r="V4883" t="str">
            <v/>
          </cell>
          <cell r="Z4883" t="str">
            <v/>
          </cell>
          <cell r="AA4883" t="str">
            <v/>
          </cell>
          <cell r="AB4883" t="str">
            <v/>
          </cell>
          <cell r="AC4883" t="str">
            <v/>
          </cell>
          <cell r="AD4883" t="str">
            <v/>
          </cell>
          <cell r="AY4883" t="str">
            <v/>
          </cell>
          <cell r="AZ4883" t="str">
            <v/>
          </cell>
          <cell r="BA4883" t="str">
            <v/>
          </cell>
        </row>
        <row r="4884">
          <cell r="B4884" t="str">
            <v>-</v>
          </cell>
          <cell r="E4884" t="str">
            <v/>
          </cell>
          <cell r="G4884" t="str">
            <v/>
          </cell>
          <cell r="J4884" t="str">
            <v/>
          </cell>
          <cell r="O4884" t="str">
            <v/>
          </cell>
          <cell r="P4884" t="str">
            <v/>
          </cell>
          <cell r="Q4884" t="str">
            <v/>
          </cell>
          <cell r="S4884" t="str">
            <v/>
          </cell>
          <cell r="V4884" t="str">
            <v/>
          </cell>
          <cell r="Z4884" t="str">
            <v/>
          </cell>
          <cell r="AA4884" t="str">
            <v/>
          </cell>
          <cell r="AB4884" t="str">
            <v/>
          </cell>
          <cell r="AC4884" t="str">
            <v/>
          </cell>
          <cell r="AD4884" t="str">
            <v/>
          </cell>
          <cell r="AY4884" t="str">
            <v/>
          </cell>
          <cell r="AZ4884" t="str">
            <v/>
          </cell>
          <cell r="BA4884" t="str">
            <v/>
          </cell>
        </row>
        <row r="4885">
          <cell r="B4885" t="str">
            <v>-</v>
          </cell>
          <cell r="E4885" t="str">
            <v/>
          </cell>
          <cell r="G4885" t="str">
            <v/>
          </cell>
          <cell r="J4885" t="str">
            <v/>
          </cell>
          <cell r="O4885" t="str">
            <v/>
          </cell>
          <cell r="P4885" t="str">
            <v/>
          </cell>
          <cell r="Q4885" t="str">
            <v/>
          </cell>
          <cell r="S4885" t="str">
            <v/>
          </cell>
          <cell r="V4885" t="str">
            <v/>
          </cell>
          <cell r="Z4885" t="str">
            <v/>
          </cell>
          <cell r="AA4885" t="str">
            <v/>
          </cell>
          <cell r="AB4885" t="str">
            <v/>
          </cell>
          <cell r="AC4885" t="str">
            <v/>
          </cell>
          <cell r="AD4885" t="str">
            <v/>
          </cell>
          <cell r="AY4885" t="str">
            <v/>
          </cell>
          <cell r="AZ4885" t="str">
            <v/>
          </cell>
          <cell r="BA4885" t="str">
            <v/>
          </cell>
        </row>
        <row r="4886">
          <cell r="B4886" t="str">
            <v>-</v>
          </cell>
          <cell r="E4886" t="str">
            <v/>
          </cell>
          <cell r="G4886" t="str">
            <v/>
          </cell>
          <cell r="J4886" t="str">
            <v/>
          </cell>
          <cell r="O4886" t="str">
            <v/>
          </cell>
          <cell r="P4886" t="str">
            <v/>
          </cell>
          <cell r="Q4886" t="str">
            <v/>
          </cell>
          <cell r="S4886" t="str">
            <v/>
          </cell>
          <cell r="V4886" t="str">
            <v/>
          </cell>
          <cell r="Z4886" t="str">
            <v/>
          </cell>
          <cell r="AA4886" t="str">
            <v/>
          </cell>
          <cell r="AB4886" t="str">
            <v/>
          </cell>
          <cell r="AC4886" t="str">
            <v/>
          </cell>
          <cell r="AD4886" t="str">
            <v/>
          </cell>
          <cell r="AY4886" t="str">
            <v/>
          </cell>
          <cell r="AZ4886" t="str">
            <v/>
          </cell>
          <cell r="BA4886" t="str">
            <v/>
          </cell>
        </row>
        <row r="4887">
          <cell r="B4887" t="str">
            <v>-</v>
          </cell>
          <cell r="E4887" t="str">
            <v/>
          </cell>
          <cell r="G4887" t="str">
            <v/>
          </cell>
          <cell r="J4887" t="str">
            <v/>
          </cell>
          <cell r="O4887" t="str">
            <v/>
          </cell>
          <cell r="P4887" t="str">
            <v/>
          </cell>
          <cell r="Q4887" t="str">
            <v/>
          </cell>
          <cell r="S4887" t="str">
            <v/>
          </cell>
          <cell r="V4887" t="str">
            <v/>
          </cell>
          <cell r="Z4887" t="str">
            <v/>
          </cell>
          <cell r="AA4887" t="str">
            <v/>
          </cell>
          <cell r="AB4887" t="str">
            <v/>
          </cell>
          <cell r="AC4887" t="str">
            <v/>
          </cell>
          <cell r="AD4887" t="str">
            <v/>
          </cell>
          <cell r="AY4887" t="str">
            <v/>
          </cell>
          <cell r="AZ4887" t="str">
            <v/>
          </cell>
          <cell r="BA4887" t="str">
            <v/>
          </cell>
        </row>
        <row r="4888">
          <cell r="B4888" t="str">
            <v>-</v>
          </cell>
          <cell r="E4888" t="str">
            <v/>
          </cell>
          <cell r="G4888" t="str">
            <v/>
          </cell>
          <cell r="J4888" t="str">
            <v/>
          </cell>
          <cell r="O4888" t="str">
            <v/>
          </cell>
          <cell r="P4888" t="str">
            <v/>
          </cell>
          <cell r="Q4888" t="str">
            <v/>
          </cell>
          <cell r="S4888" t="str">
            <v/>
          </cell>
          <cell r="V4888" t="str">
            <v/>
          </cell>
          <cell r="Z4888" t="str">
            <v/>
          </cell>
          <cell r="AA4888" t="str">
            <v/>
          </cell>
          <cell r="AB4888" t="str">
            <v/>
          </cell>
          <cell r="AC4888" t="str">
            <v/>
          </cell>
          <cell r="AD4888" t="str">
            <v/>
          </cell>
          <cell r="AY4888" t="str">
            <v/>
          </cell>
          <cell r="AZ4888" t="str">
            <v/>
          </cell>
          <cell r="BA4888" t="str">
            <v/>
          </cell>
        </row>
        <row r="4889">
          <cell r="B4889" t="str">
            <v>-</v>
          </cell>
          <cell r="E4889" t="str">
            <v/>
          </cell>
          <cell r="G4889" t="str">
            <v/>
          </cell>
          <cell r="J4889" t="str">
            <v/>
          </cell>
          <cell r="O4889" t="str">
            <v/>
          </cell>
          <cell r="P4889" t="str">
            <v/>
          </cell>
          <cell r="Q4889" t="str">
            <v/>
          </cell>
          <cell r="S4889" t="str">
            <v/>
          </cell>
          <cell r="V4889" t="str">
            <v/>
          </cell>
          <cell r="Z4889" t="str">
            <v/>
          </cell>
          <cell r="AA4889" t="str">
            <v/>
          </cell>
          <cell r="AB4889" t="str">
            <v/>
          </cell>
          <cell r="AC4889" t="str">
            <v/>
          </cell>
          <cell r="AD4889" t="str">
            <v/>
          </cell>
          <cell r="AY4889" t="str">
            <v/>
          </cell>
          <cell r="AZ4889" t="str">
            <v/>
          </cell>
          <cell r="BA4889" t="str">
            <v/>
          </cell>
        </row>
        <row r="4890">
          <cell r="B4890" t="str">
            <v>-</v>
          </cell>
          <cell r="E4890" t="str">
            <v/>
          </cell>
          <cell r="G4890" t="str">
            <v/>
          </cell>
          <cell r="J4890" t="str">
            <v/>
          </cell>
          <cell r="O4890" t="str">
            <v/>
          </cell>
          <cell r="P4890" t="str">
            <v/>
          </cell>
          <cell r="Q4890" t="str">
            <v/>
          </cell>
          <cell r="S4890" t="str">
            <v/>
          </cell>
          <cell r="V4890" t="str">
            <v/>
          </cell>
          <cell r="Z4890" t="str">
            <v/>
          </cell>
          <cell r="AA4890" t="str">
            <v/>
          </cell>
          <cell r="AB4890" t="str">
            <v/>
          </cell>
          <cell r="AC4890" t="str">
            <v/>
          </cell>
          <cell r="AD4890" t="str">
            <v/>
          </cell>
          <cell r="AY4890" t="str">
            <v/>
          </cell>
          <cell r="AZ4890" t="str">
            <v/>
          </cell>
          <cell r="BA4890" t="str">
            <v/>
          </cell>
        </row>
        <row r="4891">
          <cell r="B4891" t="str">
            <v>-</v>
          </cell>
          <cell r="E4891" t="str">
            <v/>
          </cell>
          <cell r="G4891" t="str">
            <v/>
          </cell>
          <cell r="J4891" t="str">
            <v/>
          </cell>
          <cell r="O4891" t="str">
            <v/>
          </cell>
          <cell r="P4891" t="str">
            <v/>
          </cell>
          <cell r="Q4891" t="str">
            <v/>
          </cell>
          <cell r="S4891" t="str">
            <v/>
          </cell>
          <cell r="V4891" t="str">
            <v/>
          </cell>
          <cell r="Z4891" t="str">
            <v/>
          </cell>
          <cell r="AA4891" t="str">
            <v/>
          </cell>
          <cell r="AB4891" t="str">
            <v/>
          </cell>
          <cell r="AC4891" t="str">
            <v/>
          </cell>
          <cell r="AD4891" t="str">
            <v/>
          </cell>
          <cell r="AY4891" t="str">
            <v/>
          </cell>
          <cell r="AZ4891" t="str">
            <v/>
          </cell>
          <cell r="BA4891" t="str">
            <v/>
          </cell>
        </row>
        <row r="4892">
          <cell r="B4892" t="str">
            <v>-</v>
          </cell>
          <cell r="E4892" t="str">
            <v/>
          </cell>
          <cell r="G4892" t="str">
            <v/>
          </cell>
          <cell r="J4892" t="str">
            <v/>
          </cell>
          <cell r="O4892" t="str">
            <v/>
          </cell>
          <cell r="P4892" t="str">
            <v/>
          </cell>
          <cell r="Q4892" t="str">
            <v/>
          </cell>
          <cell r="S4892" t="str">
            <v/>
          </cell>
          <cell r="V4892" t="str">
            <v/>
          </cell>
          <cell r="Z4892" t="str">
            <v/>
          </cell>
          <cell r="AA4892" t="str">
            <v/>
          </cell>
          <cell r="AB4892" t="str">
            <v/>
          </cell>
          <cell r="AC4892" t="str">
            <v/>
          </cell>
          <cell r="AD4892" t="str">
            <v/>
          </cell>
          <cell r="AY4892" t="str">
            <v/>
          </cell>
          <cell r="AZ4892" t="str">
            <v/>
          </cell>
          <cell r="BA4892" t="str">
            <v/>
          </cell>
        </row>
        <row r="4893">
          <cell r="B4893" t="str">
            <v>-</v>
          </cell>
          <cell r="E4893" t="str">
            <v/>
          </cell>
          <cell r="G4893" t="str">
            <v/>
          </cell>
          <cell r="J4893" t="str">
            <v/>
          </cell>
          <cell r="O4893" t="str">
            <v/>
          </cell>
          <cell r="P4893" t="str">
            <v/>
          </cell>
          <cell r="Q4893" t="str">
            <v/>
          </cell>
          <cell r="S4893" t="str">
            <v/>
          </cell>
          <cell r="V4893" t="str">
            <v/>
          </cell>
          <cell r="Z4893" t="str">
            <v/>
          </cell>
          <cell r="AA4893" t="str">
            <v/>
          </cell>
          <cell r="AB4893" t="str">
            <v/>
          </cell>
          <cell r="AC4893" t="str">
            <v/>
          </cell>
          <cell r="AD4893" t="str">
            <v/>
          </cell>
          <cell r="AY4893" t="str">
            <v/>
          </cell>
          <cell r="AZ4893" t="str">
            <v/>
          </cell>
          <cell r="BA4893" t="str">
            <v/>
          </cell>
        </row>
        <row r="4894">
          <cell r="B4894" t="str">
            <v>-</v>
          </cell>
          <cell r="E4894" t="str">
            <v/>
          </cell>
          <cell r="G4894" t="str">
            <v/>
          </cell>
          <cell r="J4894" t="str">
            <v/>
          </cell>
          <cell r="O4894" t="str">
            <v/>
          </cell>
          <cell r="P4894" t="str">
            <v/>
          </cell>
          <cell r="Q4894" t="str">
            <v/>
          </cell>
          <cell r="S4894" t="str">
            <v/>
          </cell>
          <cell r="V4894" t="str">
            <v/>
          </cell>
          <cell r="Z4894" t="str">
            <v/>
          </cell>
          <cell r="AA4894" t="str">
            <v/>
          </cell>
          <cell r="AB4894" t="str">
            <v/>
          </cell>
          <cell r="AC4894" t="str">
            <v/>
          </cell>
          <cell r="AD4894" t="str">
            <v/>
          </cell>
          <cell r="AY4894" t="str">
            <v/>
          </cell>
          <cell r="AZ4894" t="str">
            <v/>
          </cell>
          <cell r="BA4894" t="str">
            <v/>
          </cell>
        </row>
        <row r="4895">
          <cell r="B4895" t="str">
            <v>-</v>
          </cell>
          <cell r="E4895" t="str">
            <v/>
          </cell>
          <cell r="G4895" t="str">
            <v/>
          </cell>
          <cell r="J4895" t="str">
            <v/>
          </cell>
          <cell r="O4895" t="str">
            <v/>
          </cell>
          <cell r="P4895" t="str">
            <v/>
          </cell>
          <cell r="Q4895" t="str">
            <v/>
          </cell>
          <cell r="S4895" t="str">
            <v/>
          </cell>
          <cell r="V4895" t="str">
            <v/>
          </cell>
          <cell r="Z4895" t="str">
            <v/>
          </cell>
          <cell r="AA4895" t="str">
            <v/>
          </cell>
          <cell r="AB4895" t="str">
            <v/>
          </cell>
          <cell r="AC4895" t="str">
            <v/>
          </cell>
          <cell r="AD4895" t="str">
            <v/>
          </cell>
          <cell r="AY4895" t="str">
            <v/>
          </cell>
          <cell r="AZ4895" t="str">
            <v/>
          </cell>
          <cell r="BA4895" t="str">
            <v/>
          </cell>
        </row>
        <row r="4896">
          <cell r="B4896" t="str">
            <v>-</v>
          </cell>
          <cell r="E4896" t="str">
            <v/>
          </cell>
          <cell r="G4896" t="str">
            <v/>
          </cell>
          <cell r="J4896" t="str">
            <v/>
          </cell>
          <cell r="O4896" t="str">
            <v/>
          </cell>
          <cell r="P4896" t="str">
            <v/>
          </cell>
          <cell r="Q4896" t="str">
            <v/>
          </cell>
          <cell r="S4896" t="str">
            <v/>
          </cell>
          <cell r="V4896" t="str">
            <v/>
          </cell>
          <cell r="Z4896" t="str">
            <v/>
          </cell>
          <cell r="AA4896" t="str">
            <v/>
          </cell>
          <cell r="AB4896" t="str">
            <v/>
          </cell>
          <cell r="AC4896" t="str">
            <v/>
          </cell>
          <cell r="AD4896" t="str">
            <v/>
          </cell>
          <cell r="AY4896" t="str">
            <v/>
          </cell>
          <cell r="AZ4896" t="str">
            <v/>
          </cell>
          <cell r="BA4896" t="str">
            <v/>
          </cell>
        </row>
        <row r="4897">
          <cell r="B4897" t="str">
            <v>-</v>
          </cell>
          <cell r="E4897" t="str">
            <v/>
          </cell>
          <cell r="G4897" t="str">
            <v/>
          </cell>
          <cell r="J4897" t="str">
            <v/>
          </cell>
          <cell r="O4897" t="str">
            <v/>
          </cell>
          <cell r="P4897" t="str">
            <v/>
          </cell>
          <cell r="Q4897" t="str">
            <v/>
          </cell>
          <cell r="S4897" t="str">
            <v/>
          </cell>
          <cell r="V4897" t="str">
            <v/>
          </cell>
          <cell r="Z4897" t="str">
            <v/>
          </cell>
          <cell r="AA4897" t="str">
            <v/>
          </cell>
          <cell r="AB4897" t="str">
            <v/>
          </cell>
          <cell r="AC4897" t="str">
            <v/>
          </cell>
          <cell r="AD4897" t="str">
            <v/>
          </cell>
          <cell r="AY4897" t="str">
            <v/>
          </cell>
          <cell r="AZ4897" t="str">
            <v/>
          </cell>
          <cell r="BA4897" t="str">
            <v/>
          </cell>
        </row>
        <row r="4898">
          <cell r="B4898" t="str">
            <v>-</v>
          </cell>
          <cell r="E4898" t="str">
            <v/>
          </cell>
          <cell r="G4898" t="str">
            <v/>
          </cell>
          <cell r="J4898" t="str">
            <v/>
          </cell>
          <cell r="O4898" t="str">
            <v/>
          </cell>
          <cell r="P4898" t="str">
            <v/>
          </cell>
          <cell r="Q4898" t="str">
            <v/>
          </cell>
          <cell r="S4898" t="str">
            <v/>
          </cell>
          <cell r="V4898" t="str">
            <v/>
          </cell>
          <cell r="Z4898" t="str">
            <v/>
          </cell>
          <cell r="AA4898" t="str">
            <v/>
          </cell>
          <cell r="AB4898" t="str">
            <v/>
          </cell>
          <cell r="AC4898" t="str">
            <v/>
          </cell>
          <cell r="AD4898" t="str">
            <v/>
          </cell>
          <cell r="AY4898" t="str">
            <v/>
          </cell>
          <cell r="AZ4898" t="str">
            <v/>
          </cell>
          <cell r="BA4898" t="str">
            <v/>
          </cell>
        </row>
        <row r="4899">
          <cell r="B4899" t="str">
            <v>-</v>
          </cell>
          <cell r="E4899" t="str">
            <v/>
          </cell>
          <cell r="G4899" t="str">
            <v/>
          </cell>
          <cell r="J4899" t="str">
            <v/>
          </cell>
          <cell r="O4899" t="str">
            <v/>
          </cell>
          <cell r="P4899" t="str">
            <v/>
          </cell>
          <cell r="Q4899" t="str">
            <v/>
          </cell>
          <cell r="S4899" t="str">
            <v/>
          </cell>
          <cell r="V4899" t="str">
            <v/>
          </cell>
          <cell r="Z4899" t="str">
            <v/>
          </cell>
          <cell r="AA4899" t="str">
            <v/>
          </cell>
          <cell r="AB4899" t="str">
            <v/>
          </cell>
          <cell r="AC4899" t="str">
            <v/>
          </cell>
          <cell r="AD4899" t="str">
            <v/>
          </cell>
          <cell r="AY4899" t="str">
            <v/>
          </cell>
          <cell r="AZ4899" t="str">
            <v/>
          </cell>
          <cell r="BA4899" t="str">
            <v/>
          </cell>
        </row>
        <row r="4900">
          <cell r="B4900" t="str">
            <v>-</v>
          </cell>
          <cell r="E4900" t="str">
            <v/>
          </cell>
          <cell r="G4900" t="str">
            <v/>
          </cell>
          <cell r="J4900" t="str">
            <v/>
          </cell>
          <cell r="O4900" t="str">
            <v/>
          </cell>
          <cell r="P4900" t="str">
            <v/>
          </cell>
          <cell r="Q4900" t="str">
            <v/>
          </cell>
          <cell r="S4900" t="str">
            <v/>
          </cell>
          <cell r="V4900" t="str">
            <v/>
          </cell>
          <cell r="Z4900" t="str">
            <v/>
          </cell>
          <cell r="AA4900" t="str">
            <v/>
          </cell>
          <cell r="AB4900" t="str">
            <v/>
          </cell>
          <cell r="AC4900" t="str">
            <v/>
          </cell>
          <cell r="AD4900" t="str">
            <v/>
          </cell>
          <cell r="AY4900" t="str">
            <v/>
          </cell>
          <cell r="AZ4900" t="str">
            <v/>
          </cell>
          <cell r="BA4900" t="str">
            <v/>
          </cell>
        </row>
        <row r="4901">
          <cell r="B4901" t="str">
            <v>-</v>
          </cell>
          <cell r="E4901" t="str">
            <v/>
          </cell>
          <cell r="G4901" t="str">
            <v/>
          </cell>
          <cell r="J4901" t="str">
            <v/>
          </cell>
          <cell r="O4901" t="str">
            <v/>
          </cell>
          <cell r="P4901" t="str">
            <v/>
          </cell>
          <cell r="Q4901" t="str">
            <v/>
          </cell>
          <cell r="S4901" t="str">
            <v/>
          </cell>
          <cell r="V4901" t="str">
            <v/>
          </cell>
          <cell r="Z4901" t="str">
            <v/>
          </cell>
          <cell r="AA4901" t="str">
            <v/>
          </cell>
          <cell r="AB4901" t="str">
            <v/>
          </cell>
          <cell r="AC4901" t="str">
            <v/>
          </cell>
          <cell r="AD4901" t="str">
            <v/>
          </cell>
          <cell r="AY4901" t="str">
            <v/>
          </cell>
          <cell r="AZ4901" t="str">
            <v/>
          </cell>
          <cell r="BA4901" t="str">
            <v/>
          </cell>
        </row>
        <row r="4902">
          <cell r="B4902" t="str">
            <v>-</v>
          </cell>
          <cell r="E4902" t="str">
            <v/>
          </cell>
          <cell r="G4902" t="str">
            <v/>
          </cell>
          <cell r="J4902" t="str">
            <v/>
          </cell>
          <cell r="O4902" t="str">
            <v/>
          </cell>
          <cell r="P4902" t="str">
            <v/>
          </cell>
          <cell r="Q4902" t="str">
            <v/>
          </cell>
          <cell r="S4902" t="str">
            <v/>
          </cell>
          <cell r="V4902" t="str">
            <v/>
          </cell>
          <cell r="Z4902" t="str">
            <v/>
          </cell>
          <cell r="AA4902" t="str">
            <v/>
          </cell>
          <cell r="AB4902" t="str">
            <v/>
          </cell>
          <cell r="AC4902" t="str">
            <v/>
          </cell>
          <cell r="AD4902" t="str">
            <v/>
          </cell>
          <cell r="AY4902" t="str">
            <v/>
          </cell>
          <cell r="AZ4902" t="str">
            <v/>
          </cell>
          <cell r="BA4902" t="str">
            <v/>
          </cell>
        </row>
        <row r="4903">
          <cell r="B4903" t="str">
            <v>-</v>
          </cell>
          <cell r="E4903" t="str">
            <v/>
          </cell>
          <cell r="G4903" t="str">
            <v/>
          </cell>
          <cell r="J4903" t="str">
            <v/>
          </cell>
          <cell r="O4903" t="str">
            <v/>
          </cell>
          <cell r="P4903" t="str">
            <v/>
          </cell>
          <cell r="Q4903" t="str">
            <v/>
          </cell>
          <cell r="S4903" t="str">
            <v/>
          </cell>
          <cell r="V4903" t="str">
            <v/>
          </cell>
          <cell r="Z4903" t="str">
            <v/>
          </cell>
          <cell r="AA4903" t="str">
            <v/>
          </cell>
          <cell r="AB4903" t="str">
            <v/>
          </cell>
          <cell r="AC4903" t="str">
            <v/>
          </cell>
          <cell r="AD4903" t="str">
            <v/>
          </cell>
          <cell r="AY4903" t="str">
            <v/>
          </cell>
          <cell r="AZ4903" t="str">
            <v/>
          </cell>
          <cell r="BA4903" t="str">
            <v/>
          </cell>
        </row>
        <row r="4904">
          <cell r="B4904" t="str">
            <v>-</v>
          </cell>
          <cell r="E4904" t="str">
            <v/>
          </cell>
          <cell r="G4904" t="str">
            <v/>
          </cell>
          <cell r="J4904" t="str">
            <v/>
          </cell>
          <cell r="O4904" t="str">
            <v/>
          </cell>
          <cell r="P4904" t="str">
            <v/>
          </cell>
          <cell r="Q4904" t="str">
            <v/>
          </cell>
          <cell r="S4904" t="str">
            <v/>
          </cell>
          <cell r="V4904" t="str">
            <v/>
          </cell>
          <cell r="Z4904" t="str">
            <v/>
          </cell>
          <cell r="AA4904" t="str">
            <v/>
          </cell>
          <cell r="AB4904" t="str">
            <v/>
          </cell>
          <cell r="AC4904" t="str">
            <v/>
          </cell>
          <cell r="AD4904" t="str">
            <v/>
          </cell>
          <cell r="AY4904" t="str">
            <v/>
          </cell>
          <cell r="AZ4904" t="str">
            <v/>
          </cell>
          <cell r="BA4904" t="str">
            <v/>
          </cell>
        </row>
        <row r="4905">
          <cell r="B4905" t="str">
            <v>-</v>
          </cell>
          <cell r="E4905" t="str">
            <v/>
          </cell>
          <cell r="G4905" t="str">
            <v/>
          </cell>
          <cell r="J4905" t="str">
            <v/>
          </cell>
          <cell r="O4905" t="str">
            <v/>
          </cell>
          <cell r="P4905" t="str">
            <v/>
          </cell>
          <cell r="Q4905" t="str">
            <v/>
          </cell>
          <cell r="S4905" t="str">
            <v/>
          </cell>
          <cell r="V4905" t="str">
            <v/>
          </cell>
          <cell r="Z4905" t="str">
            <v/>
          </cell>
          <cell r="AA4905" t="str">
            <v/>
          </cell>
          <cell r="AB4905" t="str">
            <v/>
          </cell>
          <cell r="AC4905" t="str">
            <v/>
          </cell>
          <cell r="AD4905" t="str">
            <v/>
          </cell>
          <cell r="AY4905" t="str">
            <v/>
          </cell>
          <cell r="AZ4905" t="str">
            <v/>
          </cell>
          <cell r="BA4905" t="str">
            <v/>
          </cell>
        </row>
        <row r="4906">
          <cell r="B4906" t="str">
            <v>-</v>
          </cell>
          <cell r="E4906" t="str">
            <v/>
          </cell>
          <cell r="G4906" t="str">
            <v/>
          </cell>
          <cell r="J4906" t="str">
            <v/>
          </cell>
          <cell r="O4906" t="str">
            <v/>
          </cell>
          <cell r="P4906" t="str">
            <v/>
          </cell>
          <cell r="Q4906" t="str">
            <v/>
          </cell>
          <cell r="S4906" t="str">
            <v/>
          </cell>
          <cell r="V4906" t="str">
            <v/>
          </cell>
          <cell r="Z4906" t="str">
            <v/>
          </cell>
          <cell r="AA4906" t="str">
            <v/>
          </cell>
          <cell r="AB4906" t="str">
            <v/>
          </cell>
          <cell r="AC4906" t="str">
            <v/>
          </cell>
          <cell r="AD4906" t="str">
            <v/>
          </cell>
          <cell r="AY4906" t="str">
            <v/>
          </cell>
          <cell r="AZ4906" t="str">
            <v/>
          </cell>
          <cell r="BA4906" t="str">
            <v/>
          </cell>
        </row>
        <row r="4907">
          <cell r="B4907" t="str">
            <v>-</v>
          </cell>
          <cell r="E4907" t="str">
            <v/>
          </cell>
          <cell r="G4907" t="str">
            <v/>
          </cell>
          <cell r="J4907" t="str">
            <v/>
          </cell>
          <cell r="O4907" t="str">
            <v/>
          </cell>
          <cell r="P4907" t="str">
            <v/>
          </cell>
          <cell r="Q4907" t="str">
            <v/>
          </cell>
          <cell r="S4907" t="str">
            <v/>
          </cell>
          <cell r="V4907" t="str">
            <v/>
          </cell>
          <cell r="Z4907" t="str">
            <v/>
          </cell>
          <cell r="AA4907" t="str">
            <v/>
          </cell>
          <cell r="AB4907" t="str">
            <v/>
          </cell>
          <cell r="AC4907" t="str">
            <v/>
          </cell>
          <cell r="AD4907" t="str">
            <v/>
          </cell>
          <cell r="AY4907" t="str">
            <v/>
          </cell>
          <cell r="AZ4907" t="str">
            <v/>
          </cell>
          <cell r="BA4907" t="str">
            <v/>
          </cell>
        </row>
        <row r="4908">
          <cell r="B4908" t="str">
            <v>-</v>
          </cell>
          <cell r="E4908" t="str">
            <v/>
          </cell>
          <cell r="G4908" t="str">
            <v/>
          </cell>
          <cell r="J4908" t="str">
            <v/>
          </cell>
          <cell r="O4908" t="str">
            <v/>
          </cell>
          <cell r="P4908" t="str">
            <v/>
          </cell>
          <cell r="Q4908" t="str">
            <v/>
          </cell>
          <cell r="S4908" t="str">
            <v/>
          </cell>
          <cell r="V4908" t="str">
            <v/>
          </cell>
          <cell r="Z4908" t="str">
            <v/>
          </cell>
          <cell r="AA4908" t="str">
            <v/>
          </cell>
          <cell r="AB4908" t="str">
            <v/>
          </cell>
          <cell r="AC4908" t="str">
            <v/>
          </cell>
          <cell r="AD4908" t="str">
            <v/>
          </cell>
          <cell r="AY4908" t="str">
            <v/>
          </cell>
          <cell r="AZ4908" t="str">
            <v/>
          </cell>
          <cell r="BA4908" t="str">
            <v/>
          </cell>
        </row>
        <row r="4909">
          <cell r="B4909" t="str">
            <v>-</v>
          </cell>
          <cell r="E4909" t="str">
            <v/>
          </cell>
          <cell r="G4909" t="str">
            <v/>
          </cell>
          <cell r="J4909" t="str">
            <v/>
          </cell>
          <cell r="O4909" t="str">
            <v/>
          </cell>
          <cell r="P4909" t="str">
            <v/>
          </cell>
          <cell r="Q4909" t="str">
            <v/>
          </cell>
          <cell r="S4909" t="str">
            <v/>
          </cell>
          <cell r="V4909" t="str">
            <v/>
          </cell>
          <cell r="Z4909" t="str">
            <v/>
          </cell>
          <cell r="AA4909" t="str">
            <v/>
          </cell>
          <cell r="AB4909" t="str">
            <v/>
          </cell>
          <cell r="AC4909" t="str">
            <v/>
          </cell>
          <cell r="AD4909" t="str">
            <v/>
          </cell>
          <cell r="AY4909" t="str">
            <v/>
          </cell>
          <cell r="AZ4909" t="str">
            <v/>
          </cell>
          <cell r="BA4909" t="str">
            <v/>
          </cell>
        </row>
        <row r="4910">
          <cell r="B4910" t="str">
            <v>-</v>
          </cell>
          <cell r="E4910" t="str">
            <v/>
          </cell>
          <cell r="G4910" t="str">
            <v/>
          </cell>
          <cell r="J4910" t="str">
            <v/>
          </cell>
          <cell r="O4910" t="str">
            <v/>
          </cell>
          <cell r="P4910" t="str">
            <v/>
          </cell>
          <cell r="Q4910" t="str">
            <v/>
          </cell>
          <cell r="S4910" t="str">
            <v/>
          </cell>
          <cell r="V4910" t="str">
            <v/>
          </cell>
          <cell r="Z4910" t="str">
            <v/>
          </cell>
          <cell r="AA4910" t="str">
            <v/>
          </cell>
          <cell r="AB4910" t="str">
            <v/>
          </cell>
          <cell r="AC4910" t="str">
            <v/>
          </cell>
          <cell r="AD4910" t="str">
            <v/>
          </cell>
          <cell r="AY4910" t="str">
            <v/>
          </cell>
          <cell r="AZ4910" t="str">
            <v/>
          </cell>
          <cell r="BA4910" t="str">
            <v/>
          </cell>
        </row>
        <row r="4911">
          <cell r="B4911" t="str">
            <v>-</v>
          </cell>
          <cell r="E4911" t="str">
            <v/>
          </cell>
          <cell r="G4911" t="str">
            <v/>
          </cell>
          <cell r="J4911" t="str">
            <v/>
          </cell>
          <cell r="O4911" t="str">
            <v/>
          </cell>
          <cell r="P4911" t="str">
            <v/>
          </cell>
          <cell r="Q4911" t="str">
            <v/>
          </cell>
          <cell r="S4911" t="str">
            <v/>
          </cell>
          <cell r="V4911" t="str">
            <v/>
          </cell>
          <cell r="Z4911" t="str">
            <v/>
          </cell>
          <cell r="AA4911" t="str">
            <v/>
          </cell>
          <cell r="AB4911" t="str">
            <v/>
          </cell>
          <cell r="AC4911" t="str">
            <v/>
          </cell>
          <cell r="AD4911" t="str">
            <v/>
          </cell>
          <cell r="AY4911" t="str">
            <v/>
          </cell>
          <cell r="AZ4911" t="str">
            <v/>
          </cell>
          <cell r="BA4911" t="str">
            <v/>
          </cell>
        </row>
        <row r="4912">
          <cell r="B4912" t="str">
            <v>-</v>
          </cell>
          <cell r="E4912" t="str">
            <v/>
          </cell>
          <cell r="G4912" t="str">
            <v/>
          </cell>
          <cell r="J4912" t="str">
            <v/>
          </cell>
          <cell r="O4912" t="str">
            <v/>
          </cell>
          <cell r="P4912" t="str">
            <v/>
          </cell>
          <cell r="Q4912" t="str">
            <v/>
          </cell>
          <cell r="S4912" t="str">
            <v/>
          </cell>
          <cell r="V4912" t="str">
            <v/>
          </cell>
          <cell r="Z4912" t="str">
            <v/>
          </cell>
          <cell r="AA4912" t="str">
            <v/>
          </cell>
          <cell r="AB4912" t="str">
            <v/>
          </cell>
          <cell r="AC4912" t="str">
            <v/>
          </cell>
          <cell r="AD4912" t="str">
            <v/>
          </cell>
          <cell r="AY4912" t="str">
            <v/>
          </cell>
          <cell r="AZ4912" t="str">
            <v/>
          </cell>
          <cell r="BA4912" t="str">
            <v/>
          </cell>
        </row>
        <row r="4913">
          <cell r="B4913" t="str">
            <v>-</v>
          </cell>
          <cell r="E4913" t="str">
            <v/>
          </cell>
          <cell r="G4913" t="str">
            <v/>
          </cell>
          <cell r="J4913" t="str">
            <v/>
          </cell>
          <cell r="O4913" t="str">
            <v/>
          </cell>
          <cell r="P4913" t="str">
            <v/>
          </cell>
          <cell r="Q4913" t="str">
            <v/>
          </cell>
          <cell r="S4913" t="str">
            <v/>
          </cell>
          <cell r="V4913" t="str">
            <v/>
          </cell>
          <cell r="Z4913" t="str">
            <v/>
          </cell>
          <cell r="AA4913" t="str">
            <v/>
          </cell>
          <cell r="AB4913" t="str">
            <v/>
          </cell>
          <cell r="AC4913" t="str">
            <v/>
          </cell>
          <cell r="AD4913" t="str">
            <v/>
          </cell>
          <cell r="AY4913" t="str">
            <v/>
          </cell>
          <cell r="AZ4913" t="str">
            <v/>
          </cell>
          <cell r="BA4913" t="str">
            <v/>
          </cell>
        </row>
        <row r="4914">
          <cell r="B4914" t="str">
            <v>-</v>
          </cell>
          <cell r="E4914" t="str">
            <v/>
          </cell>
          <cell r="G4914" t="str">
            <v/>
          </cell>
          <cell r="J4914" t="str">
            <v/>
          </cell>
          <cell r="O4914" t="str">
            <v/>
          </cell>
          <cell r="P4914" t="str">
            <v/>
          </cell>
          <cell r="Q4914" t="str">
            <v/>
          </cell>
          <cell r="S4914" t="str">
            <v/>
          </cell>
          <cell r="V4914" t="str">
            <v/>
          </cell>
          <cell r="Z4914" t="str">
            <v/>
          </cell>
          <cell r="AA4914" t="str">
            <v/>
          </cell>
          <cell r="AB4914" t="str">
            <v/>
          </cell>
          <cell r="AC4914" t="str">
            <v/>
          </cell>
          <cell r="AD4914" t="str">
            <v/>
          </cell>
          <cell r="AY4914" t="str">
            <v/>
          </cell>
          <cell r="AZ4914" t="str">
            <v/>
          </cell>
          <cell r="BA4914" t="str">
            <v/>
          </cell>
        </row>
        <row r="4915">
          <cell r="B4915" t="str">
            <v>-</v>
          </cell>
          <cell r="E4915" t="str">
            <v/>
          </cell>
          <cell r="G4915" t="str">
            <v/>
          </cell>
          <cell r="J4915" t="str">
            <v/>
          </cell>
          <cell r="O4915" t="str">
            <v/>
          </cell>
          <cell r="P4915" t="str">
            <v/>
          </cell>
          <cell r="Q4915" t="str">
            <v/>
          </cell>
          <cell r="S4915" t="str">
            <v/>
          </cell>
          <cell r="V4915" t="str">
            <v/>
          </cell>
          <cell r="Z4915" t="str">
            <v/>
          </cell>
          <cell r="AA4915" t="str">
            <v/>
          </cell>
          <cell r="AB4915" t="str">
            <v/>
          </cell>
          <cell r="AC4915" t="str">
            <v/>
          </cell>
          <cell r="AD4915" t="str">
            <v/>
          </cell>
          <cell r="AY4915" t="str">
            <v/>
          </cell>
          <cell r="AZ4915" t="str">
            <v/>
          </cell>
          <cell r="BA4915" t="str">
            <v/>
          </cell>
        </row>
        <row r="4916">
          <cell r="B4916" t="str">
            <v>-</v>
          </cell>
          <cell r="E4916" t="str">
            <v/>
          </cell>
          <cell r="G4916" t="str">
            <v/>
          </cell>
          <cell r="J4916" t="str">
            <v/>
          </cell>
          <cell r="O4916" t="str">
            <v/>
          </cell>
          <cell r="P4916" t="str">
            <v/>
          </cell>
          <cell r="Q4916" t="str">
            <v/>
          </cell>
          <cell r="S4916" t="str">
            <v/>
          </cell>
          <cell r="V4916" t="str">
            <v/>
          </cell>
          <cell r="Z4916" t="str">
            <v/>
          </cell>
          <cell r="AA4916" t="str">
            <v/>
          </cell>
          <cell r="AB4916" t="str">
            <v/>
          </cell>
          <cell r="AC4916" t="str">
            <v/>
          </cell>
          <cell r="AD4916" t="str">
            <v/>
          </cell>
          <cell r="AY4916" t="str">
            <v/>
          </cell>
          <cell r="AZ4916" t="str">
            <v/>
          </cell>
          <cell r="BA4916" t="str">
            <v/>
          </cell>
        </row>
        <row r="4917">
          <cell r="B4917" t="str">
            <v>-</v>
          </cell>
          <cell r="E4917" t="str">
            <v/>
          </cell>
          <cell r="G4917" t="str">
            <v/>
          </cell>
          <cell r="J4917" t="str">
            <v/>
          </cell>
          <cell r="O4917" t="str">
            <v/>
          </cell>
          <cell r="P4917" t="str">
            <v/>
          </cell>
          <cell r="Q4917" t="str">
            <v/>
          </cell>
          <cell r="S4917" t="str">
            <v/>
          </cell>
          <cell r="V4917" t="str">
            <v/>
          </cell>
          <cell r="Z4917" t="str">
            <v/>
          </cell>
          <cell r="AA4917" t="str">
            <v/>
          </cell>
          <cell r="AB4917" t="str">
            <v/>
          </cell>
          <cell r="AC4917" t="str">
            <v/>
          </cell>
          <cell r="AD4917" t="str">
            <v/>
          </cell>
          <cell r="AY4917" t="str">
            <v/>
          </cell>
          <cell r="AZ4917" t="str">
            <v/>
          </cell>
          <cell r="BA4917" t="str">
            <v/>
          </cell>
        </row>
        <row r="4918">
          <cell r="B4918" t="str">
            <v>-</v>
          </cell>
          <cell r="E4918" t="str">
            <v/>
          </cell>
          <cell r="G4918" t="str">
            <v/>
          </cell>
          <cell r="J4918" t="str">
            <v/>
          </cell>
          <cell r="O4918" t="str">
            <v/>
          </cell>
          <cell r="P4918" t="str">
            <v/>
          </cell>
          <cell r="Q4918" t="str">
            <v/>
          </cell>
          <cell r="S4918" t="str">
            <v/>
          </cell>
          <cell r="V4918" t="str">
            <v/>
          </cell>
          <cell r="Z4918" t="str">
            <v/>
          </cell>
          <cell r="AA4918" t="str">
            <v/>
          </cell>
          <cell r="AB4918" t="str">
            <v/>
          </cell>
          <cell r="AC4918" t="str">
            <v/>
          </cell>
          <cell r="AD4918" t="str">
            <v/>
          </cell>
          <cell r="AY4918" t="str">
            <v/>
          </cell>
          <cell r="AZ4918" t="str">
            <v/>
          </cell>
          <cell r="BA4918" t="str">
            <v/>
          </cell>
        </row>
        <row r="4919">
          <cell r="B4919" t="str">
            <v>-</v>
          </cell>
          <cell r="E4919" t="str">
            <v/>
          </cell>
          <cell r="G4919" t="str">
            <v/>
          </cell>
          <cell r="J4919" t="str">
            <v/>
          </cell>
          <cell r="O4919" t="str">
            <v/>
          </cell>
          <cell r="P4919" t="str">
            <v/>
          </cell>
          <cell r="Q4919" t="str">
            <v/>
          </cell>
          <cell r="S4919" t="str">
            <v/>
          </cell>
          <cell r="V4919" t="str">
            <v/>
          </cell>
          <cell r="Z4919" t="str">
            <v/>
          </cell>
          <cell r="AA4919" t="str">
            <v/>
          </cell>
          <cell r="AB4919" t="str">
            <v/>
          </cell>
          <cell r="AC4919" t="str">
            <v/>
          </cell>
          <cell r="AD4919" t="str">
            <v/>
          </cell>
          <cell r="AY4919" t="str">
            <v/>
          </cell>
          <cell r="AZ4919" t="str">
            <v/>
          </cell>
          <cell r="BA4919" t="str">
            <v/>
          </cell>
        </row>
        <row r="4920">
          <cell r="B4920" t="str">
            <v>-</v>
          </cell>
          <cell r="E4920" t="str">
            <v/>
          </cell>
          <cell r="G4920" t="str">
            <v/>
          </cell>
          <cell r="J4920" t="str">
            <v/>
          </cell>
          <cell r="O4920" t="str">
            <v/>
          </cell>
          <cell r="P4920" t="str">
            <v/>
          </cell>
          <cell r="Q4920" t="str">
            <v/>
          </cell>
          <cell r="S4920" t="str">
            <v/>
          </cell>
          <cell r="V4920" t="str">
            <v/>
          </cell>
          <cell r="Z4920" t="str">
            <v/>
          </cell>
          <cell r="AA4920" t="str">
            <v/>
          </cell>
          <cell r="AB4920" t="str">
            <v/>
          </cell>
          <cell r="AC4920" t="str">
            <v/>
          </cell>
          <cell r="AD4920" t="str">
            <v/>
          </cell>
          <cell r="AY4920" t="str">
            <v/>
          </cell>
          <cell r="AZ4920" t="str">
            <v/>
          </cell>
          <cell r="BA4920" t="str">
            <v/>
          </cell>
        </row>
        <row r="4921">
          <cell r="B4921" t="str">
            <v>-</v>
          </cell>
          <cell r="E4921" t="str">
            <v/>
          </cell>
          <cell r="G4921" t="str">
            <v/>
          </cell>
          <cell r="J4921" t="str">
            <v/>
          </cell>
          <cell r="O4921" t="str">
            <v/>
          </cell>
          <cell r="P4921" t="str">
            <v/>
          </cell>
          <cell r="Q4921" t="str">
            <v/>
          </cell>
          <cell r="S4921" t="str">
            <v/>
          </cell>
          <cell r="V4921" t="str">
            <v/>
          </cell>
          <cell r="Z4921" t="str">
            <v/>
          </cell>
          <cell r="AA4921" t="str">
            <v/>
          </cell>
          <cell r="AB4921" t="str">
            <v/>
          </cell>
          <cell r="AC4921" t="str">
            <v/>
          </cell>
          <cell r="AD4921" t="str">
            <v/>
          </cell>
          <cell r="AY4921" t="str">
            <v/>
          </cell>
          <cell r="AZ4921" t="str">
            <v/>
          </cell>
          <cell r="BA4921" t="str">
            <v/>
          </cell>
        </row>
        <row r="4922">
          <cell r="B4922" t="str">
            <v>-</v>
          </cell>
          <cell r="E4922" t="str">
            <v/>
          </cell>
          <cell r="G4922" t="str">
            <v/>
          </cell>
          <cell r="J4922" t="str">
            <v/>
          </cell>
          <cell r="O4922" t="str">
            <v/>
          </cell>
          <cell r="P4922" t="str">
            <v/>
          </cell>
          <cell r="Q4922" t="str">
            <v/>
          </cell>
          <cell r="S4922" t="str">
            <v/>
          </cell>
          <cell r="V4922" t="str">
            <v/>
          </cell>
          <cell r="Z4922" t="str">
            <v/>
          </cell>
          <cell r="AA4922" t="str">
            <v/>
          </cell>
          <cell r="AB4922" t="str">
            <v/>
          </cell>
          <cell r="AC4922" t="str">
            <v/>
          </cell>
          <cell r="AD4922" t="str">
            <v/>
          </cell>
          <cell r="AY4922" t="str">
            <v/>
          </cell>
          <cell r="AZ4922" t="str">
            <v/>
          </cell>
          <cell r="BA4922" t="str">
            <v/>
          </cell>
        </row>
        <row r="4923">
          <cell r="B4923" t="str">
            <v>-</v>
          </cell>
          <cell r="E4923" t="str">
            <v/>
          </cell>
          <cell r="G4923" t="str">
            <v/>
          </cell>
          <cell r="J4923" t="str">
            <v/>
          </cell>
          <cell r="O4923" t="str">
            <v/>
          </cell>
          <cell r="P4923" t="str">
            <v/>
          </cell>
          <cell r="Q4923" t="str">
            <v/>
          </cell>
          <cell r="S4923" t="str">
            <v/>
          </cell>
          <cell r="V4923" t="str">
            <v/>
          </cell>
          <cell r="Z4923" t="str">
            <v/>
          </cell>
          <cell r="AA4923" t="str">
            <v/>
          </cell>
          <cell r="AB4923" t="str">
            <v/>
          </cell>
          <cell r="AC4923" t="str">
            <v/>
          </cell>
          <cell r="AD4923" t="str">
            <v/>
          </cell>
          <cell r="AY4923" t="str">
            <v/>
          </cell>
          <cell r="AZ4923" t="str">
            <v/>
          </cell>
          <cell r="BA4923" t="str">
            <v/>
          </cell>
        </row>
        <row r="4924">
          <cell r="B4924" t="str">
            <v>-</v>
          </cell>
          <cell r="E4924" t="str">
            <v/>
          </cell>
          <cell r="G4924" t="str">
            <v/>
          </cell>
          <cell r="J4924" t="str">
            <v/>
          </cell>
          <cell r="O4924" t="str">
            <v/>
          </cell>
          <cell r="P4924" t="str">
            <v/>
          </cell>
          <cell r="Q4924" t="str">
            <v/>
          </cell>
          <cell r="S4924" t="str">
            <v/>
          </cell>
          <cell r="V4924" t="str">
            <v/>
          </cell>
          <cell r="Z4924" t="str">
            <v/>
          </cell>
          <cell r="AA4924" t="str">
            <v/>
          </cell>
          <cell r="AB4924" t="str">
            <v/>
          </cell>
          <cell r="AC4924" t="str">
            <v/>
          </cell>
          <cell r="AD4924" t="str">
            <v/>
          </cell>
          <cell r="AY4924" t="str">
            <v/>
          </cell>
          <cell r="AZ4924" t="str">
            <v/>
          </cell>
          <cell r="BA4924" t="str">
            <v/>
          </cell>
        </row>
        <row r="4925">
          <cell r="B4925" t="str">
            <v>-</v>
          </cell>
          <cell r="E4925" t="str">
            <v/>
          </cell>
          <cell r="G4925" t="str">
            <v/>
          </cell>
          <cell r="J4925" t="str">
            <v/>
          </cell>
          <cell r="O4925" t="str">
            <v/>
          </cell>
          <cell r="P4925" t="str">
            <v/>
          </cell>
          <cell r="Q4925" t="str">
            <v/>
          </cell>
          <cell r="S4925" t="str">
            <v/>
          </cell>
          <cell r="V4925" t="str">
            <v/>
          </cell>
          <cell r="Z4925" t="str">
            <v/>
          </cell>
          <cell r="AA4925" t="str">
            <v/>
          </cell>
          <cell r="AB4925" t="str">
            <v/>
          </cell>
          <cell r="AC4925" t="str">
            <v/>
          </cell>
          <cell r="AD4925" t="str">
            <v/>
          </cell>
          <cell r="AY4925" t="str">
            <v/>
          </cell>
          <cell r="AZ4925" t="str">
            <v/>
          </cell>
          <cell r="BA4925" t="str">
            <v/>
          </cell>
        </row>
        <row r="4926">
          <cell r="B4926" t="str">
            <v>-</v>
          </cell>
          <cell r="E4926" t="str">
            <v/>
          </cell>
          <cell r="G4926" t="str">
            <v/>
          </cell>
          <cell r="J4926" t="str">
            <v/>
          </cell>
          <cell r="O4926" t="str">
            <v/>
          </cell>
          <cell r="P4926" t="str">
            <v/>
          </cell>
          <cell r="Q4926" t="str">
            <v/>
          </cell>
          <cell r="S4926" t="str">
            <v/>
          </cell>
          <cell r="V4926" t="str">
            <v/>
          </cell>
          <cell r="Z4926" t="str">
            <v/>
          </cell>
          <cell r="AA4926" t="str">
            <v/>
          </cell>
          <cell r="AB4926" t="str">
            <v/>
          </cell>
          <cell r="AC4926" t="str">
            <v/>
          </cell>
          <cell r="AD4926" t="str">
            <v/>
          </cell>
          <cell r="AY4926" t="str">
            <v/>
          </cell>
          <cell r="AZ4926" t="str">
            <v/>
          </cell>
          <cell r="BA4926" t="str">
            <v/>
          </cell>
        </row>
        <row r="4927">
          <cell r="B4927" t="str">
            <v>-</v>
          </cell>
          <cell r="E4927" t="str">
            <v/>
          </cell>
          <cell r="G4927" t="str">
            <v/>
          </cell>
          <cell r="J4927" t="str">
            <v/>
          </cell>
          <cell r="O4927" t="str">
            <v/>
          </cell>
          <cell r="P4927" t="str">
            <v/>
          </cell>
          <cell r="Q4927" t="str">
            <v/>
          </cell>
          <cell r="S4927" t="str">
            <v/>
          </cell>
          <cell r="V4927" t="str">
            <v/>
          </cell>
          <cell r="Z4927" t="str">
            <v/>
          </cell>
          <cell r="AA4927" t="str">
            <v/>
          </cell>
          <cell r="AB4927" t="str">
            <v/>
          </cell>
          <cell r="AC4927" t="str">
            <v/>
          </cell>
          <cell r="AD4927" t="str">
            <v/>
          </cell>
          <cell r="AY4927" t="str">
            <v/>
          </cell>
          <cell r="AZ4927" t="str">
            <v/>
          </cell>
          <cell r="BA4927" t="str">
            <v/>
          </cell>
        </row>
        <row r="4928">
          <cell r="B4928" t="str">
            <v>-</v>
          </cell>
          <cell r="E4928" t="str">
            <v/>
          </cell>
          <cell r="G4928" t="str">
            <v/>
          </cell>
          <cell r="J4928" t="str">
            <v/>
          </cell>
          <cell r="O4928" t="str">
            <v/>
          </cell>
          <cell r="P4928" t="str">
            <v/>
          </cell>
          <cell r="Q4928" t="str">
            <v/>
          </cell>
          <cell r="S4928" t="str">
            <v/>
          </cell>
          <cell r="V4928" t="str">
            <v/>
          </cell>
          <cell r="Z4928" t="str">
            <v/>
          </cell>
          <cell r="AA4928" t="str">
            <v/>
          </cell>
          <cell r="AB4928" t="str">
            <v/>
          </cell>
          <cell r="AC4928" t="str">
            <v/>
          </cell>
          <cell r="AD4928" t="str">
            <v/>
          </cell>
          <cell r="AY4928" t="str">
            <v/>
          </cell>
          <cell r="AZ4928" t="str">
            <v/>
          </cell>
          <cell r="BA4928" t="str">
            <v/>
          </cell>
        </row>
        <row r="4929">
          <cell r="B4929" t="str">
            <v>-</v>
          </cell>
          <cell r="E4929" t="str">
            <v/>
          </cell>
          <cell r="G4929" t="str">
            <v/>
          </cell>
          <cell r="J4929" t="str">
            <v/>
          </cell>
          <cell r="O4929" t="str">
            <v/>
          </cell>
          <cell r="P4929" t="str">
            <v/>
          </cell>
          <cell r="Q4929" t="str">
            <v/>
          </cell>
          <cell r="S4929" t="str">
            <v/>
          </cell>
          <cell r="V4929" t="str">
            <v/>
          </cell>
          <cell r="Z4929" t="str">
            <v/>
          </cell>
          <cell r="AA4929" t="str">
            <v/>
          </cell>
          <cell r="AB4929" t="str">
            <v/>
          </cell>
          <cell r="AC4929" t="str">
            <v/>
          </cell>
          <cell r="AD4929" t="str">
            <v/>
          </cell>
          <cell r="AY4929" t="str">
            <v/>
          </cell>
          <cell r="AZ4929" t="str">
            <v/>
          </cell>
          <cell r="BA4929" t="str">
            <v/>
          </cell>
        </row>
        <row r="4930">
          <cell r="B4930" t="str">
            <v>-</v>
          </cell>
          <cell r="E4930" t="str">
            <v/>
          </cell>
          <cell r="G4930" t="str">
            <v/>
          </cell>
          <cell r="J4930" t="str">
            <v/>
          </cell>
          <cell r="O4930" t="str">
            <v/>
          </cell>
          <cell r="P4930" t="str">
            <v/>
          </cell>
          <cell r="Q4930" t="str">
            <v/>
          </cell>
          <cell r="S4930" t="str">
            <v/>
          </cell>
          <cell r="V4930" t="str">
            <v/>
          </cell>
          <cell r="Z4930" t="str">
            <v/>
          </cell>
          <cell r="AA4930" t="str">
            <v/>
          </cell>
          <cell r="AB4930" t="str">
            <v/>
          </cell>
          <cell r="AC4930" t="str">
            <v/>
          </cell>
          <cell r="AD4930" t="str">
            <v/>
          </cell>
          <cell r="AY4930" t="str">
            <v/>
          </cell>
          <cell r="AZ4930" t="str">
            <v/>
          </cell>
          <cell r="BA4930" t="str">
            <v/>
          </cell>
        </row>
        <row r="4931">
          <cell r="B4931" t="str">
            <v>-</v>
          </cell>
          <cell r="E4931" t="str">
            <v/>
          </cell>
          <cell r="G4931" t="str">
            <v/>
          </cell>
          <cell r="J4931" t="str">
            <v/>
          </cell>
          <cell r="O4931" t="str">
            <v/>
          </cell>
          <cell r="P4931" t="str">
            <v/>
          </cell>
          <cell r="Q4931" t="str">
            <v/>
          </cell>
          <cell r="S4931" t="str">
            <v/>
          </cell>
          <cell r="V4931" t="str">
            <v/>
          </cell>
          <cell r="Z4931" t="str">
            <v/>
          </cell>
          <cell r="AA4931" t="str">
            <v/>
          </cell>
          <cell r="AB4931" t="str">
            <v/>
          </cell>
          <cell r="AC4931" t="str">
            <v/>
          </cell>
          <cell r="AD4931" t="str">
            <v/>
          </cell>
          <cell r="AY4931" t="str">
            <v/>
          </cell>
          <cell r="AZ4931" t="str">
            <v/>
          </cell>
          <cell r="BA4931" t="str">
            <v/>
          </cell>
        </row>
        <row r="4932">
          <cell r="B4932" t="str">
            <v>-</v>
          </cell>
          <cell r="E4932" t="str">
            <v/>
          </cell>
          <cell r="G4932" t="str">
            <v/>
          </cell>
          <cell r="J4932" t="str">
            <v/>
          </cell>
          <cell r="O4932" t="str">
            <v/>
          </cell>
          <cell r="P4932" t="str">
            <v/>
          </cell>
          <cell r="Q4932" t="str">
            <v/>
          </cell>
          <cell r="S4932" t="str">
            <v/>
          </cell>
          <cell r="V4932" t="str">
            <v/>
          </cell>
          <cell r="Z4932" t="str">
            <v/>
          </cell>
          <cell r="AA4932" t="str">
            <v/>
          </cell>
          <cell r="AB4932" t="str">
            <v/>
          </cell>
          <cell r="AC4932" t="str">
            <v/>
          </cell>
          <cell r="AD4932" t="str">
            <v/>
          </cell>
          <cell r="AY4932" t="str">
            <v/>
          </cell>
          <cell r="AZ4932" t="str">
            <v/>
          </cell>
          <cell r="BA4932" t="str">
            <v/>
          </cell>
        </row>
        <row r="4933">
          <cell r="B4933" t="str">
            <v>-</v>
          </cell>
          <cell r="E4933" t="str">
            <v/>
          </cell>
          <cell r="G4933" t="str">
            <v/>
          </cell>
          <cell r="J4933" t="str">
            <v/>
          </cell>
          <cell r="O4933" t="str">
            <v/>
          </cell>
          <cell r="P4933" t="str">
            <v/>
          </cell>
          <cell r="Q4933" t="str">
            <v/>
          </cell>
          <cell r="S4933" t="str">
            <v/>
          </cell>
          <cell r="V4933" t="str">
            <v/>
          </cell>
          <cell r="Z4933" t="str">
            <v/>
          </cell>
          <cell r="AA4933" t="str">
            <v/>
          </cell>
          <cell r="AB4933" t="str">
            <v/>
          </cell>
          <cell r="AC4933" t="str">
            <v/>
          </cell>
          <cell r="AD4933" t="str">
            <v/>
          </cell>
          <cell r="AY4933" t="str">
            <v/>
          </cell>
          <cell r="AZ4933" t="str">
            <v/>
          </cell>
          <cell r="BA4933" t="str">
            <v/>
          </cell>
        </row>
        <row r="4934">
          <cell r="B4934" t="str">
            <v>-</v>
          </cell>
          <cell r="E4934" t="str">
            <v/>
          </cell>
          <cell r="G4934" t="str">
            <v/>
          </cell>
          <cell r="J4934" t="str">
            <v/>
          </cell>
          <cell r="O4934" t="str">
            <v/>
          </cell>
          <cell r="P4934" t="str">
            <v/>
          </cell>
          <cell r="Q4934" t="str">
            <v/>
          </cell>
          <cell r="S4934" t="str">
            <v/>
          </cell>
          <cell r="V4934" t="str">
            <v/>
          </cell>
          <cell r="Z4934" t="str">
            <v/>
          </cell>
          <cell r="AA4934" t="str">
            <v/>
          </cell>
          <cell r="AB4934" t="str">
            <v/>
          </cell>
          <cell r="AC4934" t="str">
            <v/>
          </cell>
          <cell r="AD4934" t="str">
            <v/>
          </cell>
          <cell r="AY4934" t="str">
            <v/>
          </cell>
          <cell r="AZ4934" t="str">
            <v/>
          </cell>
          <cell r="BA4934" t="str">
            <v/>
          </cell>
        </row>
        <row r="4935">
          <cell r="B4935" t="str">
            <v>-</v>
          </cell>
          <cell r="E4935" t="str">
            <v/>
          </cell>
          <cell r="G4935" t="str">
            <v/>
          </cell>
          <cell r="J4935" t="str">
            <v/>
          </cell>
          <cell r="O4935" t="str">
            <v/>
          </cell>
          <cell r="P4935" t="str">
            <v/>
          </cell>
          <cell r="Q4935" t="str">
            <v/>
          </cell>
          <cell r="S4935" t="str">
            <v/>
          </cell>
          <cell r="V4935" t="str">
            <v/>
          </cell>
          <cell r="Z4935" t="str">
            <v/>
          </cell>
          <cell r="AA4935" t="str">
            <v/>
          </cell>
          <cell r="AB4935" t="str">
            <v/>
          </cell>
          <cell r="AC4935" t="str">
            <v/>
          </cell>
          <cell r="AD4935" t="str">
            <v/>
          </cell>
          <cell r="AY4935" t="str">
            <v/>
          </cell>
          <cell r="AZ4935" t="str">
            <v/>
          </cell>
          <cell r="BA4935" t="str">
            <v/>
          </cell>
        </row>
        <row r="4936">
          <cell r="B4936" t="str">
            <v>-</v>
          </cell>
          <cell r="E4936" t="str">
            <v/>
          </cell>
          <cell r="G4936" t="str">
            <v/>
          </cell>
          <cell r="J4936" t="str">
            <v/>
          </cell>
          <cell r="O4936" t="str">
            <v/>
          </cell>
          <cell r="P4936" t="str">
            <v/>
          </cell>
          <cell r="Q4936" t="str">
            <v/>
          </cell>
          <cell r="S4936" t="str">
            <v/>
          </cell>
          <cell r="V4936" t="str">
            <v/>
          </cell>
          <cell r="Z4936" t="str">
            <v/>
          </cell>
          <cell r="AA4936" t="str">
            <v/>
          </cell>
          <cell r="AB4936" t="str">
            <v/>
          </cell>
          <cell r="AC4936" t="str">
            <v/>
          </cell>
          <cell r="AD4936" t="str">
            <v/>
          </cell>
          <cell r="AY4936" t="str">
            <v/>
          </cell>
          <cell r="AZ4936" t="str">
            <v/>
          </cell>
          <cell r="BA4936" t="str">
            <v/>
          </cell>
        </row>
        <row r="4937">
          <cell r="B4937" t="str">
            <v>-</v>
          </cell>
          <cell r="E4937" t="str">
            <v/>
          </cell>
          <cell r="G4937" t="str">
            <v/>
          </cell>
          <cell r="J4937" t="str">
            <v/>
          </cell>
          <cell r="O4937" t="str">
            <v/>
          </cell>
          <cell r="P4937" t="str">
            <v/>
          </cell>
          <cell r="Q4937" t="str">
            <v/>
          </cell>
          <cell r="S4937" t="str">
            <v/>
          </cell>
          <cell r="V4937" t="str">
            <v/>
          </cell>
          <cell r="Z4937" t="str">
            <v/>
          </cell>
          <cell r="AA4937" t="str">
            <v/>
          </cell>
          <cell r="AB4937" t="str">
            <v/>
          </cell>
          <cell r="AC4937" t="str">
            <v/>
          </cell>
          <cell r="AD4937" t="str">
            <v/>
          </cell>
          <cell r="AY4937" t="str">
            <v/>
          </cell>
          <cell r="AZ4937" t="str">
            <v/>
          </cell>
          <cell r="BA4937" t="str">
            <v/>
          </cell>
        </row>
        <row r="4938">
          <cell r="B4938" t="str">
            <v>-</v>
          </cell>
          <cell r="E4938" t="str">
            <v/>
          </cell>
          <cell r="G4938" t="str">
            <v/>
          </cell>
          <cell r="J4938" t="str">
            <v/>
          </cell>
          <cell r="O4938" t="str">
            <v/>
          </cell>
          <cell r="P4938" t="str">
            <v/>
          </cell>
          <cell r="Q4938" t="str">
            <v/>
          </cell>
          <cell r="S4938" t="str">
            <v/>
          </cell>
          <cell r="V4938" t="str">
            <v/>
          </cell>
          <cell r="Z4938" t="str">
            <v/>
          </cell>
          <cell r="AA4938" t="str">
            <v/>
          </cell>
          <cell r="AB4938" t="str">
            <v/>
          </cell>
          <cell r="AC4938" t="str">
            <v/>
          </cell>
          <cell r="AD4938" t="str">
            <v/>
          </cell>
          <cell r="AY4938" t="str">
            <v/>
          </cell>
          <cell r="AZ4938" t="str">
            <v/>
          </cell>
          <cell r="BA4938" t="str">
            <v/>
          </cell>
        </row>
        <row r="4939">
          <cell r="B4939" t="str">
            <v>-</v>
          </cell>
          <cell r="E4939" t="str">
            <v/>
          </cell>
          <cell r="G4939" t="str">
            <v/>
          </cell>
          <cell r="J4939" t="str">
            <v/>
          </cell>
          <cell r="O4939" t="str">
            <v/>
          </cell>
          <cell r="P4939" t="str">
            <v/>
          </cell>
          <cell r="Q4939" t="str">
            <v/>
          </cell>
          <cell r="S4939" t="str">
            <v/>
          </cell>
          <cell r="V4939" t="str">
            <v/>
          </cell>
          <cell r="Z4939" t="str">
            <v/>
          </cell>
          <cell r="AA4939" t="str">
            <v/>
          </cell>
          <cell r="AB4939" t="str">
            <v/>
          </cell>
          <cell r="AC4939" t="str">
            <v/>
          </cell>
          <cell r="AD4939" t="str">
            <v/>
          </cell>
          <cell r="AY4939" t="str">
            <v/>
          </cell>
          <cell r="AZ4939" t="str">
            <v/>
          </cell>
          <cell r="BA4939" t="str">
            <v/>
          </cell>
        </row>
        <row r="4940">
          <cell r="B4940" t="str">
            <v>-</v>
          </cell>
          <cell r="E4940" t="str">
            <v/>
          </cell>
          <cell r="G4940" t="str">
            <v/>
          </cell>
          <cell r="J4940" t="str">
            <v/>
          </cell>
          <cell r="O4940" t="str">
            <v/>
          </cell>
          <cell r="P4940" t="str">
            <v/>
          </cell>
          <cell r="Q4940" t="str">
            <v/>
          </cell>
          <cell r="S4940" t="str">
            <v/>
          </cell>
          <cell r="V4940" t="str">
            <v/>
          </cell>
          <cell r="Z4940" t="str">
            <v/>
          </cell>
          <cell r="AA4940" t="str">
            <v/>
          </cell>
          <cell r="AB4940" t="str">
            <v/>
          </cell>
          <cell r="AC4940" t="str">
            <v/>
          </cell>
          <cell r="AD4940" t="str">
            <v/>
          </cell>
          <cell r="AY4940" t="str">
            <v/>
          </cell>
          <cell r="AZ4940" t="str">
            <v/>
          </cell>
          <cell r="BA4940" t="str">
            <v/>
          </cell>
        </row>
        <row r="4941">
          <cell r="B4941" t="str">
            <v>-</v>
          </cell>
          <cell r="E4941" t="str">
            <v/>
          </cell>
          <cell r="G4941" t="str">
            <v/>
          </cell>
          <cell r="J4941" t="str">
            <v/>
          </cell>
          <cell r="O4941" t="str">
            <v/>
          </cell>
          <cell r="P4941" t="str">
            <v/>
          </cell>
          <cell r="Q4941" t="str">
            <v/>
          </cell>
          <cell r="S4941" t="str">
            <v/>
          </cell>
          <cell r="V4941" t="str">
            <v/>
          </cell>
          <cell r="Z4941" t="str">
            <v/>
          </cell>
          <cell r="AA4941" t="str">
            <v/>
          </cell>
          <cell r="AB4941" t="str">
            <v/>
          </cell>
          <cell r="AC4941" t="str">
            <v/>
          </cell>
          <cell r="AD4941" t="str">
            <v/>
          </cell>
          <cell r="AY4941" t="str">
            <v/>
          </cell>
          <cell r="AZ4941" t="str">
            <v/>
          </cell>
          <cell r="BA4941" t="str">
            <v/>
          </cell>
        </row>
        <row r="4942">
          <cell r="B4942" t="str">
            <v>-</v>
          </cell>
          <cell r="E4942" t="str">
            <v/>
          </cell>
          <cell r="G4942" t="str">
            <v/>
          </cell>
          <cell r="J4942" t="str">
            <v/>
          </cell>
          <cell r="O4942" t="str">
            <v/>
          </cell>
          <cell r="P4942" t="str">
            <v/>
          </cell>
          <cell r="Q4942" t="str">
            <v/>
          </cell>
          <cell r="S4942" t="str">
            <v/>
          </cell>
          <cell r="V4942" t="str">
            <v/>
          </cell>
          <cell r="Z4942" t="str">
            <v/>
          </cell>
          <cell r="AA4942" t="str">
            <v/>
          </cell>
          <cell r="AB4942" t="str">
            <v/>
          </cell>
          <cell r="AC4942" t="str">
            <v/>
          </cell>
          <cell r="AD4942" t="str">
            <v/>
          </cell>
          <cell r="AY4942" t="str">
            <v/>
          </cell>
          <cell r="AZ4942" t="str">
            <v/>
          </cell>
          <cell r="BA4942" t="str">
            <v/>
          </cell>
        </row>
        <row r="4943">
          <cell r="B4943" t="str">
            <v>-</v>
          </cell>
          <cell r="E4943" t="str">
            <v/>
          </cell>
          <cell r="G4943" t="str">
            <v/>
          </cell>
          <cell r="J4943" t="str">
            <v/>
          </cell>
          <cell r="O4943" t="str">
            <v/>
          </cell>
          <cell r="P4943" t="str">
            <v/>
          </cell>
          <cell r="Q4943" t="str">
            <v/>
          </cell>
          <cell r="S4943" t="str">
            <v/>
          </cell>
          <cell r="V4943" t="str">
            <v/>
          </cell>
          <cell r="Z4943" t="str">
            <v/>
          </cell>
          <cell r="AA4943" t="str">
            <v/>
          </cell>
          <cell r="AB4943" t="str">
            <v/>
          </cell>
          <cell r="AC4943" t="str">
            <v/>
          </cell>
          <cell r="AD4943" t="str">
            <v/>
          </cell>
          <cell r="AY4943" t="str">
            <v/>
          </cell>
          <cell r="AZ4943" t="str">
            <v/>
          </cell>
          <cell r="BA4943" t="str">
            <v/>
          </cell>
        </row>
        <row r="4944">
          <cell r="B4944" t="str">
            <v>-</v>
          </cell>
          <cell r="E4944" t="str">
            <v/>
          </cell>
          <cell r="G4944" t="str">
            <v/>
          </cell>
          <cell r="J4944" t="str">
            <v/>
          </cell>
          <cell r="O4944" t="str">
            <v/>
          </cell>
          <cell r="P4944" t="str">
            <v/>
          </cell>
          <cell r="Q4944" t="str">
            <v/>
          </cell>
          <cell r="S4944" t="str">
            <v/>
          </cell>
          <cell r="V4944" t="str">
            <v/>
          </cell>
          <cell r="Z4944" t="str">
            <v/>
          </cell>
          <cell r="AA4944" t="str">
            <v/>
          </cell>
          <cell r="AB4944" t="str">
            <v/>
          </cell>
          <cell r="AC4944" t="str">
            <v/>
          </cell>
          <cell r="AD4944" t="str">
            <v/>
          </cell>
          <cell r="AY4944" t="str">
            <v/>
          </cell>
          <cell r="AZ4944" t="str">
            <v/>
          </cell>
          <cell r="BA4944" t="str">
            <v/>
          </cell>
        </row>
        <row r="4945">
          <cell r="B4945" t="str">
            <v>-</v>
          </cell>
          <cell r="E4945" t="str">
            <v/>
          </cell>
          <cell r="G4945" t="str">
            <v/>
          </cell>
          <cell r="J4945" t="str">
            <v/>
          </cell>
          <cell r="O4945" t="str">
            <v/>
          </cell>
          <cell r="P4945" t="str">
            <v/>
          </cell>
          <cell r="Q4945" t="str">
            <v/>
          </cell>
          <cell r="S4945" t="str">
            <v/>
          </cell>
          <cell r="V4945" t="str">
            <v/>
          </cell>
          <cell r="Z4945" t="str">
            <v/>
          </cell>
          <cell r="AA4945" t="str">
            <v/>
          </cell>
          <cell r="AB4945" t="str">
            <v/>
          </cell>
          <cell r="AC4945" t="str">
            <v/>
          </cell>
          <cell r="AD4945" t="str">
            <v/>
          </cell>
          <cell r="AY4945" t="str">
            <v/>
          </cell>
          <cell r="AZ4945" t="str">
            <v/>
          </cell>
          <cell r="BA4945" t="str">
            <v/>
          </cell>
        </row>
        <row r="4946">
          <cell r="B4946" t="str">
            <v>-</v>
          </cell>
          <cell r="E4946" t="str">
            <v/>
          </cell>
          <cell r="G4946" t="str">
            <v/>
          </cell>
          <cell r="J4946" t="str">
            <v/>
          </cell>
          <cell r="O4946" t="str">
            <v/>
          </cell>
          <cell r="P4946" t="str">
            <v/>
          </cell>
          <cell r="Q4946" t="str">
            <v/>
          </cell>
          <cell r="S4946" t="str">
            <v/>
          </cell>
          <cell r="V4946" t="str">
            <v/>
          </cell>
          <cell r="Z4946" t="str">
            <v/>
          </cell>
          <cell r="AA4946" t="str">
            <v/>
          </cell>
          <cell r="AB4946" t="str">
            <v/>
          </cell>
          <cell r="AC4946" t="str">
            <v/>
          </cell>
          <cell r="AD4946" t="str">
            <v/>
          </cell>
          <cell r="AY4946" t="str">
            <v/>
          </cell>
          <cell r="AZ4946" t="str">
            <v/>
          </cell>
          <cell r="BA4946" t="str">
            <v/>
          </cell>
        </row>
        <row r="4947">
          <cell r="B4947" t="str">
            <v>-</v>
          </cell>
          <cell r="E4947" t="str">
            <v/>
          </cell>
          <cell r="G4947" t="str">
            <v/>
          </cell>
          <cell r="J4947" t="str">
            <v/>
          </cell>
          <cell r="O4947" t="str">
            <v/>
          </cell>
          <cell r="P4947" t="str">
            <v/>
          </cell>
          <cell r="Q4947" t="str">
            <v/>
          </cell>
          <cell r="S4947" t="str">
            <v/>
          </cell>
          <cell r="V4947" t="str">
            <v/>
          </cell>
          <cell r="Z4947" t="str">
            <v/>
          </cell>
          <cell r="AA4947" t="str">
            <v/>
          </cell>
          <cell r="AB4947" t="str">
            <v/>
          </cell>
          <cell r="AC4947" t="str">
            <v/>
          </cell>
          <cell r="AD4947" t="str">
            <v/>
          </cell>
          <cell r="AY4947" t="str">
            <v/>
          </cell>
          <cell r="AZ4947" t="str">
            <v/>
          </cell>
          <cell r="BA4947" t="str">
            <v/>
          </cell>
        </row>
        <row r="4948">
          <cell r="B4948" t="str">
            <v>-</v>
          </cell>
          <cell r="E4948" t="str">
            <v/>
          </cell>
          <cell r="G4948" t="str">
            <v/>
          </cell>
          <cell r="J4948" t="str">
            <v/>
          </cell>
          <cell r="O4948" t="str">
            <v/>
          </cell>
          <cell r="P4948" t="str">
            <v/>
          </cell>
          <cell r="Q4948" t="str">
            <v/>
          </cell>
          <cell r="S4948" t="str">
            <v/>
          </cell>
          <cell r="V4948" t="str">
            <v/>
          </cell>
          <cell r="Z4948" t="str">
            <v/>
          </cell>
          <cell r="AA4948" t="str">
            <v/>
          </cell>
          <cell r="AB4948" t="str">
            <v/>
          </cell>
          <cell r="AC4948" t="str">
            <v/>
          </cell>
          <cell r="AD4948" t="str">
            <v/>
          </cell>
          <cell r="AY4948" t="str">
            <v/>
          </cell>
          <cell r="AZ4948" t="str">
            <v/>
          </cell>
          <cell r="BA4948" t="str">
            <v/>
          </cell>
        </row>
        <row r="4949">
          <cell r="B4949" t="str">
            <v>-</v>
          </cell>
          <cell r="E4949" t="str">
            <v/>
          </cell>
          <cell r="G4949" t="str">
            <v/>
          </cell>
          <cell r="J4949" t="str">
            <v/>
          </cell>
          <cell r="O4949" t="str">
            <v/>
          </cell>
          <cell r="P4949" t="str">
            <v/>
          </cell>
          <cell r="Q4949" t="str">
            <v/>
          </cell>
          <cell r="S4949" t="str">
            <v/>
          </cell>
          <cell r="V4949" t="str">
            <v/>
          </cell>
          <cell r="Z4949" t="str">
            <v/>
          </cell>
          <cell r="AA4949" t="str">
            <v/>
          </cell>
          <cell r="AB4949" t="str">
            <v/>
          </cell>
          <cell r="AC4949" t="str">
            <v/>
          </cell>
          <cell r="AD4949" t="str">
            <v/>
          </cell>
          <cell r="AY4949" t="str">
            <v/>
          </cell>
          <cell r="AZ4949" t="str">
            <v/>
          </cell>
          <cell r="BA4949" t="str">
            <v/>
          </cell>
        </row>
        <row r="4950">
          <cell r="B4950" t="str">
            <v>-</v>
          </cell>
          <cell r="E4950" t="str">
            <v/>
          </cell>
          <cell r="G4950" t="str">
            <v/>
          </cell>
          <cell r="J4950" t="str">
            <v/>
          </cell>
          <cell r="O4950" t="str">
            <v/>
          </cell>
          <cell r="P4950" t="str">
            <v/>
          </cell>
          <cell r="Q4950" t="str">
            <v/>
          </cell>
          <cell r="S4950" t="str">
            <v/>
          </cell>
          <cell r="V4950" t="str">
            <v/>
          </cell>
          <cell r="Z4950" t="str">
            <v/>
          </cell>
          <cell r="AA4950" t="str">
            <v/>
          </cell>
          <cell r="AB4950" t="str">
            <v/>
          </cell>
          <cell r="AC4950" t="str">
            <v/>
          </cell>
          <cell r="AD4950" t="str">
            <v/>
          </cell>
          <cell r="AY4950" t="str">
            <v/>
          </cell>
          <cell r="AZ4950" t="str">
            <v/>
          </cell>
          <cell r="BA4950" t="str">
            <v/>
          </cell>
        </row>
        <row r="4951">
          <cell r="B4951" t="str">
            <v>-</v>
          </cell>
          <cell r="E4951" t="str">
            <v/>
          </cell>
          <cell r="G4951" t="str">
            <v/>
          </cell>
          <cell r="J4951" t="str">
            <v/>
          </cell>
          <cell r="O4951" t="str">
            <v/>
          </cell>
          <cell r="P4951" t="str">
            <v/>
          </cell>
          <cell r="Q4951" t="str">
            <v/>
          </cell>
          <cell r="S4951" t="str">
            <v/>
          </cell>
          <cell r="V4951" t="str">
            <v/>
          </cell>
          <cell r="Z4951" t="str">
            <v/>
          </cell>
          <cell r="AA4951" t="str">
            <v/>
          </cell>
          <cell r="AB4951" t="str">
            <v/>
          </cell>
          <cell r="AC4951" t="str">
            <v/>
          </cell>
          <cell r="AD4951" t="str">
            <v/>
          </cell>
          <cell r="AY4951" t="str">
            <v/>
          </cell>
          <cell r="AZ4951" t="str">
            <v/>
          </cell>
          <cell r="BA4951" t="str">
            <v/>
          </cell>
        </row>
        <row r="4952">
          <cell r="B4952" t="str">
            <v>-</v>
          </cell>
          <cell r="E4952" t="str">
            <v/>
          </cell>
          <cell r="G4952" t="str">
            <v/>
          </cell>
          <cell r="J4952" t="str">
            <v/>
          </cell>
          <cell r="O4952" t="str">
            <v/>
          </cell>
          <cell r="P4952" t="str">
            <v/>
          </cell>
          <cell r="Q4952" t="str">
            <v/>
          </cell>
          <cell r="S4952" t="str">
            <v/>
          </cell>
          <cell r="V4952" t="str">
            <v/>
          </cell>
          <cell r="Z4952" t="str">
            <v/>
          </cell>
          <cell r="AA4952" t="str">
            <v/>
          </cell>
          <cell r="AB4952" t="str">
            <v/>
          </cell>
          <cell r="AC4952" t="str">
            <v/>
          </cell>
          <cell r="AD4952" t="str">
            <v/>
          </cell>
          <cell r="AY4952" t="str">
            <v/>
          </cell>
          <cell r="AZ4952" t="str">
            <v/>
          </cell>
          <cell r="BA4952" t="str">
            <v/>
          </cell>
        </row>
        <row r="4953">
          <cell r="B4953" t="str">
            <v>-</v>
          </cell>
          <cell r="E4953" t="str">
            <v/>
          </cell>
          <cell r="G4953" t="str">
            <v/>
          </cell>
          <cell r="J4953" t="str">
            <v/>
          </cell>
          <cell r="O4953" t="str">
            <v/>
          </cell>
          <cell r="P4953" t="str">
            <v/>
          </cell>
          <cell r="Q4953" t="str">
            <v/>
          </cell>
          <cell r="S4953" t="str">
            <v/>
          </cell>
          <cell r="V4953" t="str">
            <v/>
          </cell>
          <cell r="Z4953" t="str">
            <v/>
          </cell>
          <cell r="AA4953" t="str">
            <v/>
          </cell>
          <cell r="AB4953" t="str">
            <v/>
          </cell>
          <cell r="AC4953" t="str">
            <v/>
          </cell>
          <cell r="AD4953" t="str">
            <v/>
          </cell>
          <cell r="AY4953" t="str">
            <v/>
          </cell>
          <cell r="AZ4953" t="str">
            <v/>
          </cell>
          <cell r="BA4953" t="str">
            <v/>
          </cell>
        </row>
        <row r="4954">
          <cell r="B4954" t="str">
            <v>-</v>
          </cell>
          <cell r="E4954" t="str">
            <v/>
          </cell>
          <cell r="G4954" t="str">
            <v/>
          </cell>
          <cell r="J4954" t="str">
            <v/>
          </cell>
          <cell r="O4954" t="str">
            <v/>
          </cell>
          <cell r="P4954" t="str">
            <v/>
          </cell>
          <cell r="Q4954" t="str">
            <v/>
          </cell>
          <cell r="S4954" t="str">
            <v/>
          </cell>
          <cell r="V4954" t="str">
            <v/>
          </cell>
          <cell r="Z4954" t="str">
            <v/>
          </cell>
          <cell r="AA4954" t="str">
            <v/>
          </cell>
          <cell r="AB4954" t="str">
            <v/>
          </cell>
          <cell r="AC4954" t="str">
            <v/>
          </cell>
          <cell r="AD4954" t="str">
            <v/>
          </cell>
          <cell r="AY4954" t="str">
            <v/>
          </cell>
          <cell r="AZ4954" t="str">
            <v/>
          </cell>
          <cell r="BA4954" t="str">
            <v/>
          </cell>
        </row>
        <row r="4955">
          <cell r="B4955" t="str">
            <v>-</v>
          </cell>
          <cell r="E4955" t="str">
            <v/>
          </cell>
          <cell r="G4955" t="str">
            <v/>
          </cell>
          <cell r="J4955" t="str">
            <v/>
          </cell>
          <cell r="O4955" t="str">
            <v/>
          </cell>
          <cell r="P4955" t="str">
            <v/>
          </cell>
          <cell r="Q4955" t="str">
            <v/>
          </cell>
          <cell r="S4955" t="str">
            <v/>
          </cell>
          <cell r="V4955" t="str">
            <v/>
          </cell>
          <cell r="Z4955" t="str">
            <v/>
          </cell>
          <cell r="AA4955" t="str">
            <v/>
          </cell>
          <cell r="AB4955" t="str">
            <v/>
          </cell>
          <cell r="AC4955" t="str">
            <v/>
          </cell>
          <cell r="AD4955" t="str">
            <v/>
          </cell>
          <cell r="AY4955" t="str">
            <v/>
          </cell>
          <cell r="AZ4955" t="str">
            <v/>
          </cell>
          <cell r="BA4955" t="str">
            <v/>
          </cell>
        </row>
        <row r="4956">
          <cell r="B4956" t="str">
            <v>-</v>
          </cell>
          <cell r="E4956" t="str">
            <v/>
          </cell>
          <cell r="G4956" t="str">
            <v/>
          </cell>
          <cell r="J4956" t="str">
            <v/>
          </cell>
          <cell r="O4956" t="str">
            <v/>
          </cell>
          <cell r="P4956" t="str">
            <v/>
          </cell>
          <cell r="Q4956" t="str">
            <v/>
          </cell>
          <cell r="S4956" t="str">
            <v/>
          </cell>
          <cell r="V4956" t="str">
            <v/>
          </cell>
          <cell r="Z4956" t="str">
            <v/>
          </cell>
          <cell r="AA4956" t="str">
            <v/>
          </cell>
          <cell r="AB4956" t="str">
            <v/>
          </cell>
          <cell r="AC4956" t="str">
            <v/>
          </cell>
          <cell r="AD4956" t="str">
            <v/>
          </cell>
          <cell r="AY4956" t="str">
            <v/>
          </cell>
          <cell r="AZ4956" t="str">
            <v/>
          </cell>
          <cell r="BA4956" t="str">
            <v/>
          </cell>
        </row>
        <row r="4957">
          <cell r="B4957" t="str">
            <v>-</v>
          </cell>
          <cell r="E4957" t="str">
            <v/>
          </cell>
          <cell r="G4957" t="str">
            <v/>
          </cell>
          <cell r="J4957" t="str">
            <v/>
          </cell>
          <cell r="O4957" t="str">
            <v/>
          </cell>
          <cell r="P4957" t="str">
            <v/>
          </cell>
          <cell r="Q4957" t="str">
            <v/>
          </cell>
          <cell r="S4957" t="str">
            <v/>
          </cell>
          <cell r="V4957" t="str">
            <v/>
          </cell>
          <cell r="Z4957" t="str">
            <v/>
          </cell>
          <cell r="AA4957" t="str">
            <v/>
          </cell>
          <cell r="AB4957" t="str">
            <v/>
          </cell>
          <cell r="AC4957" t="str">
            <v/>
          </cell>
          <cell r="AD4957" t="str">
            <v/>
          </cell>
          <cell r="AY4957" t="str">
            <v/>
          </cell>
          <cell r="AZ4957" t="str">
            <v/>
          </cell>
          <cell r="BA4957" t="str">
            <v/>
          </cell>
        </row>
        <row r="4958">
          <cell r="B4958" t="str">
            <v>-</v>
          </cell>
          <cell r="E4958" t="str">
            <v/>
          </cell>
          <cell r="G4958" t="str">
            <v/>
          </cell>
          <cell r="J4958" t="str">
            <v/>
          </cell>
          <cell r="O4958" t="str">
            <v/>
          </cell>
          <cell r="P4958" t="str">
            <v/>
          </cell>
          <cell r="Q4958" t="str">
            <v/>
          </cell>
          <cell r="S4958" t="str">
            <v/>
          </cell>
          <cell r="V4958" t="str">
            <v/>
          </cell>
          <cell r="Z4958" t="str">
            <v/>
          </cell>
          <cell r="AA4958" t="str">
            <v/>
          </cell>
          <cell r="AB4958" t="str">
            <v/>
          </cell>
          <cell r="AC4958" t="str">
            <v/>
          </cell>
          <cell r="AD4958" t="str">
            <v/>
          </cell>
          <cell r="AY4958" t="str">
            <v/>
          </cell>
          <cell r="AZ4958" t="str">
            <v/>
          </cell>
          <cell r="BA4958" t="str">
            <v/>
          </cell>
        </row>
        <row r="4959">
          <cell r="B4959" t="str">
            <v>-</v>
          </cell>
          <cell r="E4959" t="str">
            <v/>
          </cell>
          <cell r="G4959" t="str">
            <v/>
          </cell>
          <cell r="J4959" t="str">
            <v/>
          </cell>
          <cell r="O4959" t="str">
            <v/>
          </cell>
          <cell r="P4959" t="str">
            <v/>
          </cell>
          <cell r="Q4959" t="str">
            <v/>
          </cell>
          <cell r="S4959" t="str">
            <v/>
          </cell>
          <cell r="V4959" t="str">
            <v/>
          </cell>
          <cell r="Z4959" t="str">
            <v/>
          </cell>
          <cell r="AA4959" t="str">
            <v/>
          </cell>
          <cell r="AB4959" t="str">
            <v/>
          </cell>
          <cell r="AC4959" t="str">
            <v/>
          </cell>
          <cell r="AD4959" t="str">
            <v/>
          </cell>
          <cell r="AY4959" t="str">
            <v/>
          </cell>
          <cell r="AZ4959" t="str">
            <v/>
          </cell>
          <cell r="BA4959" t="str">
            <v/>
          </cell>
        </row>
        <row r="4960">
          <cell r="B4960" t="str">
            <v>-</v>
          </cell>
          <cell r="E4960" t="str">
            <v/>
          </cell>
          <cell r="G4960" t="str">
            <v/>
          </cell>
          <cell r="J4960" t="str">
            <v/>
          </cell>
          <cell r="O4960" t="str">
            <v/>
          </cell>
          <cell r="P4960" t="str">
            <v/>
          </cell>
          <cell r="Q4960" t="str">
            <v/>
          </cell>
          <cell r="S4960" t="str">
            <v/>
          </cell>
          <cell r="V4960" t="str">
            <v/>
          </cell>
          <cell r="Z4960" t="str">
            <v/>
          </cell>
          <cell r="AA4960" t="str">
            <v/>
          </cell>
          <cell r="AB4960" t="str">
            <v/>
          </cell>
          <cell r="AC4960" t="str">
            <v/>
          </cell>
          <cell r="AD4960" t="str">
            <v/>
          </cell>
          <cell r="AY4960" t="str">
            <v/>
          </cell>
          <cell r="AZ4960" t="str">
            <v/>
          </cell>
          <cell r="BA4960" t="str">
            <v/>
          </cell>
        </row>
        <row r="4961">
          <cell r="B4961" t="str">
            <v>-</v>
          </cell>
          <cell r="E4961" t="str">
            <v/>
          </cell>
          <cell r="G4961" t="str">
            <v/>
          </cell>
          <cell r="J4961" t="str">
            <v/>
          </cell>
          <cell r="O4961" t="str">
            <v/>
          </cell>
          <cell r="P4961" t="str">
            <v/>
          </cell>
          <cell r="Q4961" t="str">
            <v/>
          </cell>
          <cell r="S4961" t="str">
            <v/>
          </cell>
          <cell r="V4961" t="str">
            <v/>
          </cell>
          <cell r="Z4961" t="str">
            <v/>
          </cell>
          <cell r="AA4961" t="str">
            <v/>
          </cell>
          <cell r="AB4961" t="str">
            <v/>
          </cell>
          <cell r="AC4961" t="str">
            <v/>
          </cell>
          <cell r="AD4961" t="str">
            <v/>
          </cell>
          <cell r="AY4961" t="str">
            <v/>
          </cell>
          <cell r="AZ4961" t="str">
            <v/>
          </cell>
          <cell r="BA4961" t="str">
            <v/>
          </cell>
        </row>
        <row r="4962">
          <cell r="B4962" t="str">
            <v>-</v>
          </cell>
          <cell r="E4962" t="str">
            <v/>
          </cell>
          <cell r="G4962" t="str">
            <v/>
          </cell>
          <cell r="J4962" t="str">
            <v/>
          </cell>
          <cell r="O4962" t="str">
            <v/>
          </cell>
          <cell r="P4962" t="str">
            <v/>
          </cell>
          <cell r="Q4962" t="str">
            <v/>
          </cell>
          <cell r="S4962" t="str">
            <v/>
          </cell>
          <cell r="V4962" t="str">
            <v/>
          </cell>
          <cell r="Z4962" t="str">
            <v/>
          </cell>
          <cell r="AA4962" t="str">
            <v/>
          </cell>
          <cell r="AB4962" t="str">
            <v/>
          </cell>
          <cell r="AC4962" t="str">
            <v/>
          </cell>
          <cell r="AD4962" t="str">
            <v/>
          </cell>
          <cell r="AY4962" t="str">
            <v/>
          </cell>
          <cell r="AZ4962" t="str">
            <v/>
          </cell>
          <cell r="BA4962" t="str">
            <v/>
          </cell>
        </row>
        <row r="4963">
          <cell r="B4963" t="str">
            <v>-</v>
          </cell>
          <cell r="E4963" t="str">
            <v/>
          </cell>
          <cell r="G4963" t="str">
            <v/>
          </cell>
          <cell r="J4963" t="str">
            <v/>
          </cell>
          <cell r="O4963" t="str">
            <v/>
          </cell>
          <cell r="P4963" t="str">
            <v/>
          </cell>
          <cell r="Q4963" t="str">
            <v/>
          </cell>
          <cell r="S4963" t="str">
            <v/>
          </cell>
          <cell r="V4963" t="str">
            <v/>
          </cell>
          <cell r="Z4963" t="str">
            <v/>
          </cell>
          <cell r="AA4963" t="str">
            <v/>
          </cell>
          <cell r="AB4963" t="str">
            <v/>
          </cell>
          <cell r="AC4963" t="str">
            <v/>
          </cell>
          <cell r="AD4963" t="str">
            <v/>
          </cell>
          <cell r="AY4963" t="str">
            <v/>
          </cell>
          <cell r="AZ4963" t="str">
            <v/>
          </cell>
          <cell r="BA4963" t="str">
            <v/>
          </cell>
        </row>
        <row r="4964">
          <cell r="B4964" t="str">
            <v>-</v>
          </cell>
          <cell r="E4964" t="str">
            <v/>
          </cell>
          <cell r="G4964" t="str">
            <v/>
          </cell>
          <cell r="J4964" t="str">
            <v/>
          </cell>
          <cell r="O4964" t="str">
            <v/>
          </cell>
          <cell r="P4964" t="str">
            <v/>
          </cell>
          <cell r="Q4964" t="str">
            <v/>
          </cell>
          <cell r="S4964" t="str">
            <v/>
          </cell>
          <cell r="V4964" t="str">
            <v/>
          </cell>
          <cell r="Z4964" t="str">
            <v/>
          </cell>
          <cell r="AA4964" t="str">
            <v/>
          </cell>
          <cell r="AB4964" t="str">
            <v/>
          </cell>
          <cell r="AC4964" t="str">
            <v/>
          </cell>
          <cell r="AD4964" t="str">
            <v/>
          </cell>
          <cell r="AY4964" t="str">
            <v/>
          </cell>
          <cell r="AZ4964" t="str">
            <v/>
          </cell>
          <cell r="BA4964" t="str">
            <v/>
          </cell>
        </row>
        <row r="4965">
          <cell r="B4965" t="str">
            <v>-</v>
          </cell>
          <cell r="E4965" t="str">
            <v/>
          </cell>
          <cell r="G4965" t="str">
            <v/>
          </cell>
          <cell r="J4965" t="str">
            <v/>
          </cell>
          <cell r="O4965" t="str">
            <v/>
          </cell>
          <cell r="P4965" t="str">
            <v/>
          </cell>
          <cell r="Q4965" t="str">
            <v/>
          </cell>
          <cell r="S4965" t="str">
            <v/>
          </cell>
          <cell r="V4965" t="str">
            <v/>
          </cell>
          <cell r="Z4965" t="str">
            <v/>
          </cell>
          <cell r="AA4965" t="str">
            <v/>
          </cell>
          <cell r="AB4965" t="str">
            <v/>
          </cell>
          <cell r="AC4965" t="str">
            <v/>
          </cell>
          <cell r="AD4965" t="str">
            <v/>
          </cell>
          <cell r="AY4965" t="str">
            <v/>
          </cell>
          <cell r="AZ4965" t="str">
            <v/>
          </cell>
          <cell r="BA4965" t="str">
            <v/>
          </cell>
        </row>
        <row r="4966">
          <cell r="B4966" t="str">
            <v>-</v>
          </cell>
          <cell r="E4966" t="str">
            <v/>
          </cell>
          <cell r="G4966" t="str">
            <v/>
          </cell>
          <cell r="J4966" t="str">
            <v/>
          </cell>
          <cell r="O4966" t="str">
            <v/>
          </cell>
          <cell r="P4966" t="str">
            <v/>
          </cell>
          <cell r="Q4966" t="str">
            <v/>
          </cell>
          <cell r="S4966" t="str">
            <v/>
          </cell>
          <cell r="V4966" t="str">
            <v/>
          </cell>
          <cell r="Z4966" t="str">
            <v/>
          </cell>
          <cell r="AA4966" t="str">
            <v/>
          </cell>
          <cell r="AB4966" t="str">
            <v/>
          </cell>
          <cell r="AC4966" t="str">
            <v/>
          </cell>
          <cell r="AD4966" t="str">
            <v/>
          </cell>
          <cell r="AY4966" t="str">
            <v/>
          </cell>
          <cell r="AZ4966" t="str">
            <v/>
          </cell>
          <cell r="BA4966" t="str">
            <v/>
          </cell>
        </row>
        <row r="4967">
          <cell r="B4967" t="str">
            <v>-</v>
          </cell>
          <cell r="E4967" t="str">
            <v/>
          </cell>
          <cell r="G4967" t="str">
            <v/>
          </cell>
          <cell r="J4967" t="str">
            <v/>
          </cell>
          <cell r="O4967" t="str">
            <v/>
          </cell>
          <cell r="P4967" t="str">
            <v/>
          </cell>
          <cell r="Q4967" t="str">
            <v/>
          </cell>
          <cell r="S4967" t="str">
            <v/>
          </cell>
          <cell r="V4967" t="str">
            <v/>
          </cell>
          <cell r="Z4967" t="str">
            <v/>
          </cell>
          <cell r="AA4967" t="str">
            <v/>
          </cell>
          <cell r="AB4967" t="str">
            <v/>
          </cell>
          <cell r="AC4967" t="str">
            <v/>
          </cell>
          <cell r="AD4967" t="str">
            <v/>
          </cell>
          <cell r="AY4967" t="str">
            <v/>
          </cell>
          <cell r="AZ4967" t="str">
            <v/>
          </cell>
          <cell r="BA4967" t="str">
            <v/>
          </cell>
        </row>
        <row r="4968">
          <cell r="B4968" t="str">
            <v>-</v>
          </cell>
          <cell r="E4968" t="str">
            <v/>
          </cell>
          <cell r="G4968" t="str">
            <v/>
          </cell>
          <cell r="J4968" t="str">
            <v/>
          </cell>
          <cell r="O4968" t="str">
            <v/>
          </cell>
          <cell r="P4968" t="str">
            <v/>
          </cell>
          <cell r="Q4968" t="str">
            <v/>
          </cell>
          <cell r="S4968" t="str">
            <v/>
          </cell>
          <cell r="V4968" t="str">
            <v/>
          </cell>
          <cell r="Z4968" t="str">
            <v/>
          </cell>
          <cell r="AA4968" t="str">
            <v/>
          </cell>
          <cell r="AB4968" t="str">
            <v/>
          </cell>
          <cell r="AC4968" t="str">
            <v/>
          </cell>
          <cell r="AD4968" t="str">
            <v/>
          </cell>
          <cell r="AY4968" t="str">
            <v/>
          </cell>
          <cell r="AZ4968" t="str">
            <v/>
          </cell>
          <cell r="BA4968" t="str">
            <v/>
          </cell>
        </row>
        <row r="4969">
          <cell r="B4969" t="str">
            <v>-</v>
          </cell>
          <cell r="E4969" t="str">
            <v/>
          </cell>
          <cell r="G4969" t="str">
            <v/>
          </cell>
          <cell r="J4969" t="str">
            <v/>
          </cell>
          <cell r="O4969" t="str">
            <v/>
          </cell>
          <cell r="P4969" t="str">
            <v/>
          </cell>
          <cell r="Q4969" t="str">
            <v/>
          </cell>
          <cell r="S4969" t="str">
            <v/>
          </cell>
          <cell r="V4969" t="str">
            <v/>
          </cell>
          <cell r="Z4969" t="str">
            <v/>
          </cell>
          <cell r="AA4969" t="str">
            <v/>
          </cell>
          <cell r="AB4969" t="str">
            <v/>
          </cell>
          <cell r="AC4969" t="str">
            <v/>
          </cell>
          <cell r="AD4969" t="str">
            <v/>
          </cell>
          <cell r="AY4969" t="str">
            <v/>
          </cell>
          <cell r="AZ4969" t="str">
            <v/>
          </cell>
          <cell r="BA4969" t="str">
            <v/>
          </cell>
        </row>
        <row r="4970">
          <cell r="B4970" t="str">
            <v>-</v>
          </cell>
          <cell r="E4970" t="str">
            <v/>
          </cell>
          <cell r="G4970" t="str">
            <v/>
          </cell>
          <cell r="J4970" t="str">
            <v/>
          </cell>
          <cell r="O4970" t="str">
            <v/>
          </cell>
          <cell r="P4970" t="str">
            <v/>
          </cell>
          <cell r="Q4970" t="str">
            <v/>
          </cell>
          <cell r="S4970" t="str">
            <v/>
          </cell>
          <cell r="V4970" t="str">
            <v/>
          </cell>
          <cell r="Z4970" t="str">
            <v/>
          </cell>
          <cell r="AA4970" t="str">
            <v/>
          </cell>
          <cell r="AB4970" t="str">
            <v/>
          </cell>
          <cell r="AC4970" t="str">
            <v/>
          </cell>
          <cell r="AD4970" t="str">
            <v/>
          </cell>
          <cell r="AY4970" t="str">
            <v/>
          </cell>
          <cell r="AZ4970" t="str">
            <v/>
          </cell>
          <cell r="BA4970" t="str">
            <v/>
          </cell>
        </row>
        <row r="4971">
          <cell r="B4971" t="str">
            <v>-</v>
          </cell>
          <cell r="E4971" t="str">
            <v/>
          </cell>
          <cell r="G4971" t="str">
            <v/>
          </cell>
          <cell r="J4971" t="str">
            <v/>
          </cell>
          <cell r="O4971" t="str">
            <v/>
          </cell>
          <cell r="P4971" t="str">
            <v/>
          </cell>
          <cell r="Q4971" t="str">
            <v/>
          </cell>
          <cell r="S4971" t="str">
            <v/>
          </cell>
          <cell r="V4971" t="str">
            <v/>
          </cell>
          <cell r="Z4971" t="str">
            <v/>
          </cell>
          <cell r="AA4971" t="str">
            <v/>
          </cell>
          <cell r="AB4971" t="str">
            <v/>
          </cell>
          <cell r="AC4971" t="str">
            <v/>
          </cell>
          <cell r="AD4971" t="str">
            <v/>
          </cell>
          <cell r="AY4971" t="str">
            <v/>
          </cell>
          <cell r="AZ4971" t="str">
            <v/>
          </cell>
          <cell r="BA4971" t="str">
            <v/>
          </cell>
        </row>
        <row r="4972">
          <cell r="B4972" t="str">
            <v>-</v>
          </cell>
          <cell r="E4972" t="str">
            <v/>
          </cell>
          <cell r="G4972" t="str">
            <v/>
          </cell>
          <cell r="J4972" t="str">
            <v/>
          </cell>
          <cell r="O4972" t="str">
            <v/>
          </cell>
          <cell r="P4972" t="str">
            <v/>
          </cell>
          <cell r="Q4972" t="str">
            <v/>
          </cell>
          <cell r="S4972" t="str">
            <v/>
          </cell>
          <cell r="V4972" t="str">
            <v/>
          </cell>
          <cell r="Z4972" t="str">
            <v/>
          </cell>
          <cell r="AA4972" t="str">
            <v/>
          </cell>
          <cell r="AB4972" t="str">
            <v/>
          </cell>
          <cell r="AC4972" t="str">
            <v/>
          </cell>
          <cell r="AD4972" t="str">
            <v/>
          </cell>
          <cell r="AY4972" t="str">
            <v/>
          </cell>
          <cell r="AZ4972" t="str">
            <v/>
          </cell>
          <cell r="BA4972" t="str">
            <v/>
          </cell>
        </row>
        <row r="4973">
          <cell r="B4973" t="str">
            <v>-</v>
          </cell>
          <cell r="E4973" t="str">
            <v/>
          </cell>
          <cell r="G4973" t="str">
            <v/>
          </cell>
          <cell r="J4973" t="str">
            <v/>
          </cell>
          <cell r="O4973" t="str">
            <v/>
          </cell>
          <cell r="P4973" t="str">
            <v/>
          </cell>
          <cell r="Q4973" t="str">
            <v/>
          </cell>
          <cell r="S4973" t="str">
            <v/>
          </cell>
          <cell r="V4973" t="str">
            <v/>
          </cell>
          <cell r="Z4973" t="str">
            <v/>
          </cell>
          <cell r="AA4973" t="str">
            <v/>
          </cell>
          <cell r="AB4973" t="str">
            <v/>
          </cell>
          <cell r="AC4973" t="str">
            <v/>
          </cell>
          <cell r="AD4973" t="str">
            <v/>
          </cell>
          <cell r="AY4973" t="str">
            <v/>
          </cell>
          <cell r="AZ4973" t="str">
            <v/>
          </cell>
          <cell r="BA4973" t="str">
            <v/>
          </cell>
        </row>
        <row r="4974">
          <cell r="B4974" t="str">
            <v>-</v>
          </cell>
          <cell r="E4974" t="str">
            <v/>
          </cell>
          <cell r="G4974" t="str">
            <v/>
          </cell>
          <cell r="J4974" t="str">
            <v/>
          </cell>
          <cell r="O4974" t="str">
            <v/>
          </cell>
          <cell r="P4974" t="str">
            <v/>
          </cell>
          <cell r="Q4974" t="str">
            <v/>
          </cell>
          <cell r="S4974" t="str">
            <v/>
          </cell>
          <cell r="V4974" t="str">
            <v/>
          </cell>
          <cell r="Z4974" t="str">
            <v/>
          </cell>
          <cell r="AA4974" t="str">
            <v/>
          </cell>
          <cell r="AB4974" t="str">
            <v/>
          </cell>
          <cell r="AC4974" t="str">
            <v/>
          </cell>
          <cell r="AD4974" t="str">
            <v/>
          </cell>
          <cell r="AY4974" t="str">
            <v/>
          </cell>
          <cell r="AZ4974" t="str">
            <v/>
          </cell>
          <cell r="BA4974" t="str">
            <v/>
          </cell>
        </row>
        <row r="4975">
          <cell r="B4975" t="str">
            <v>-</v>
          </cell>
          <cell r="E4975" t="str">
            <v/>
          </cell>
          <cell r="G4975" t="str">
            <v/>
          </cell>
          <cell r="J4975" t="str">
            <v/>
          </cell>
          <cell r="O4975" t="str">
            <v/>
          </cell>
          <cell r="P4975" t="str">
            <v/>
          </cell>
          <cell r="Q4975" t="str">
            <v/>
          </cell>
          <cell r="S4975" t="str">
            <v/>
          </cell>
          <cell r="V4975" t="str">
            <v/>
          </cell>
          <cell r="Z4975" t="str">
            <v/>
          </cell>
          <cell r="AA4975" t="str">
            <v/>
          </cell>
          <cell r="AB4975" t="str">
            <v/>
          </cell>
          <cell r="AC4975" t="str">
            <v/>
          </cell>
          <cell r="AD4975" t="str">
            <v/>
          </cell>
          <cell r="AY4975" t="str">
            <v/>
          </cell>
          <cell r="AZ4975" t="str">
            <v/>
          </cell>
          <cell r="BA4975" t="str">
            <v/>
          </cell>
        </row>
        <row r="4976">
          <cell r="B4976" t="str">
            <v>-</v>
          </cell>
          <cell r="E4976" t="str">
            <v/>
          </cell>
          <cell r="G4976" t="str">
            <v/>
          </cell>
          <cell r="J4976" t="str">
            <v/>
          </cell>
          <cell r="O4976" t="str">
            <v/>
          </cell>
          <cell r="P4976" t="str">
            <v/>
          </cell>
          <cell r="Q4976" t="str">
            <v/>
          </cell>
          <cell r="S4976" t="str">
            <v/>
          </cell>
          <cell r="V4976" t="str">
            <v/>
          </cell>
          <cell r="Z4976" t="str">
            <v/>
          </cell>
          <cell r="AA4976" t="str">
            <v/>
          </cell>
          <cell r="AB4976" t="str">
            <v/>
          </cell>
          <cell r="AC4976" t="str">
            <v/>
          </cell>
          <cell r="AD4976" t="str">
            <v/>
          </cell>
          <cell r="AY4976" t="str">
            <v/>
          </cell>
          <cell r="AZ4976" t="str">
            <v/>
          </cell>
          <cell r="BA4976" t="str">
            <v/>
          </cell>
        </row>
        <row r="4977">
          <cell r="B4977" t="str">
            <v>-</v>
          </cell>
          <cell r="E4977" t="str">
            <v/>
          </cell>
          <cell r="G4977" t="str">
            <v/>
          </cell>
          <cell r="J4977" t="str">
            <v/>
          </cell>
          <cell r="O4977" t="str">
            <v/>
          </cell>
          <cell r="P4977" t="str">
            <v/>
          </cell>
          <cell r="Q4977" t="str">
            <v/>
          </cell>
          <cell r="S4977" t="str">
            <v/>
          </cell>
          <cell r="V4977" t="str">
            <v/>
          </cell>
          <cell r="Z4977" t="str">
            <v/>
          </cell>
          <cell r="AA4977" t="str">
            <v/>
          </cell>
          <cell r="AB4977" t="str">
            <v/>
          </cell>
          <cell r="AC4977" t="str">
            <v/>
          </cell>
          <cell r="AD4977" t="str">
            <v/>
          </cell>
          <cell r="AY4977" t="str">
            <v/>
          </cell>
          <cell r="AZ4977" t="str">
            <v/>
          </cell>
          <cell r="BA4977" t="str">
            <v/>
          </cell>
        </row>
        <row r="4978">
          <cell r="B4978" t="str">
            <v>-</v>
          </cell>
          <cell r="E4978" t="str">
            <v/>
          </cell>
          <cell r="G4978" t="str">
            <v/>
          </cell>
          <cell r="J4978" t="str">
            <v/>
          </cell>
          <cell r="O4978" t="str">
            <v/>
          </cell>
          <cell r="P4978" t="str">
            <v/>
          </cell>
          <cell r="Q4978" t="str">
            <v/>
          </cell>
          <cell r="S4978" t="str">
            <v/>
          </cell>
          <cell r="V4978" t="str">
            <v/>
          </cell>
          <cell r="Z4978" t="str">
            <v/>
          </cell>
          <cell r="AA4978" t="str">
            <v/>
          </cell>
          <cell r="AB4978" t="str">
            <v/>
          </cell>
          <cell r="AC4978" t="str">
            <v/>
          </cell>
          <cell r="AD4978" t="str">
            <v/>
          </cell>
          <cell r="AY4978" t="str">
            <v/>
          </cell>
          <cell r="AZ4978" t="str">
            <v/>
          </cell>
          <cell r="BA4978" t="str">
            <v/>
          </cell>
        </row>
        <row r="4979">
          <cell r="B4979" t="str">
            <v>-</v>
          </cell>
          <cell r="E4979" t="str">
            <v/>
          </cell>
          <cell r="G4979" t="str">
            <v/>
          </cell>
          <cell r="J4979" t="str">
            <v/>
          </cell>
          <cell r="O4979" t="str">
            <v/>
          </cell>
          <cell r="P4979" t="str">
            <v/>
          </cell>
          <cell r="Q4979" t="str">
            <v/>
          </cell>
          <cell r="S4979" t="str">
            <v/>
          </cell>
          <cell r="V4979" t="str">
            <v/>
          </cell>
          <cell r="Z4979" t="str">
            <v/>
          </cell>
          <cell r="AA4979" t="str">
            <v/>
          </cell>
          <cell r="AB4979" t="str">
            <v/>
          </cell>
          <cell r="AC4979" t="str">
            <v/>
          </cell>
          <cell r="AD4979" t="str">
            <v/>
          </cell>
          <cell r="AY4979" t="str">
            <v/>
          </cell>
          <cell r="AZ4979" t="str">
            <v/>
          </cell>
          <cell r="BA4979" t="str">
            <v/>
          </cell>
        </row>
        <row r="4980">
          <cell r="B4980" t="str">
            <v>-</v>
          </cell>
          <cell r="E4980" t="str">
            <v/>
          </cell>
          <cell r="G4980" t="str">
            <v/>
          </cell>
          <cell r="J4980" t="str">
            <v/>
          </cell>
          <cell r="O4980" t="str">
            <v/>
          </cell>
          <cell r="P4980" t="str">
            <v/>
          </cell>
          <cell r="Q4980" t="str">
            <v/>
          </cell>
          <cell r="S4980" t="str">
            <v/>
          </cell>
          <cell r="V4980" t="str">
            <v/>
          </cell>
          <cell r="Z4980" t="str">
            <v/>
          </cell>
          <cell r="AA4980" t="str">
            <v/>
          </cell>
          <cell r="AB4980" t="str">
            <v/>
          </cell>
          <cell r="AC4980" t="str">
            <v/>
          </cell>
          <cell r="AD4980" t="str">
            <v/>
          </cell>
          <cell r="AY4980" t="str">
            <v/>
          </cell>
          <cell r="AZ4980" t="str">
            <v/>
          </cell>
          <cell r="BA4980" t="str">
            <v/>
          </cell>
        </row>
        <row r="4981">
          <cell r="B4981" t="str">
            <v>-</v>
          </cell>
          <cell r="E4981" t="str">
            <v/>
          </cell>
          <cell r="G4981" t="str">
            <v/>
          </cell>
          <cell r="J4981" t="str">
            <v/>
          </cell>
          <cell r="O4981" t="str">
            <v/>
          </cell>
          <cell r="P4981" t="str">
            <v/>
          </cell>
          <cell r="Q4981" t="str">
            <v/>
          </cell>
          <cell r="S4981" t="str">
            <v/>
          </cell>
          <cell r="V4981" t="str">
            <v/>
          </cell>
          <cell r="Z4981" t="str">
            <v/>
          </cell>
          <cell r="AA4981" t="str">
            <v/>
          </cell>
          <cell r="AB4981" t="str">
            <v/>
          </cell>
          <cell r="AC4981" t="str">
            <v/>
          </cell>
          <cell r="AD4981" t="str">
            <v/>
          </cell>
          <cell r="AY4981" t="str">
            <v/>
          </cell>
          <cell r="AZ4981" t="str">
            <v/>
          </cell>
          <cell r="BA4981" t="str">
            <v/>
          </cell>
        </row>
        <row r="4982">
          <cell r="B4982" t="str">
            <v>-</v>
          </cell>
          <cell r="E4982" t="str">
            <v/>
          </cell>
          <cell r="G4982" t="str">
            <v/>
          </cell>
          <cell r="J4982" t="str">
            <v/>
          </cell>
          <cell r="O4982" t="str">
            <v/>
          </cell>
          <cell r="P4982" t="str">
            <v/>
          </cell>
          <cell r="Q4982" t="str">
            <v/>
          </cell>
          <cell r="S4982" t="str">
            <v/>
          </cell>
          <cell r="V4982" t="str">
            <v/>
          </cell>
          <cell r="Z4982" t="str">
            <v/>
          </cell>
          <cell r="AA4982" t="str">
            <v/>
          </cell>
          <cell r="AB4982" t="str">
            <v/>
          </cell>
          <cell r="AC4982" t="str">
            <v/>
          </cell>
          <cell r="AD4982" t="str">
            <v/>
          </cell>
          <cell r="AY4982" t="str">
            <v/>
          </cell>
          <cell r="AZ4982" t="str">
            <v/>
          </cell>
          <cell r="BA4982" t="str">
            <v/>
          </cell>
        </row>
        <row r="4983">
          <cell r="B4983" t="str">
            <v>-</v>
          </cell>
          <cell r="E4983" t="str">
            <v/>
          </cell>
          <cell r="G4983" t="str">
            <v/>
          </cell>
          <cell r="J4983" t="str">
            <v/>
          </cell>
          <cell r="O4983" t="str">
            <v/>
          </cell>
          <cell r="P4983" t="str">
            <v/>
          </cell>
          <cell r="Q4983" t="str">
            <v/>
          </cell>
          <cell r="S4983" t="str">
            <v/>
          </cell>
          <cell r="V4983" t="str">
            <v/>
          </cell>
          <cell r="Z4983" t="str">
            <v/>
          </cell>
          <cell r="AA4983" t="str">
            <v/>
          </cell>
          <cell r="AB4983" t="str">
            <v/>
          </cell>
          <cell r="AC4983" t="str">
            <v/>
          </cell>
          <cell r="AD4983" t="str">
            <v/>
          </cell>
          <cell r="AY4983" t="str">
            <v/>
          </cell>
          <cell r="AZ4983" t="str">
            <v/>
          </cell>
          <cell r="BA4983" t="str">
            <v/>
          </cell>
        </row>
        <row r="4984">
          <cell r="B4984" t="str">
            <v>-</v>
          </cell>
          <cell r="E4984" t="str">
            <v/>
          </cell>
          <cell r="G4984" t="str">
            <v/>
          </cell>
          <cell r="J4984" t="str">
            <v/>
          </cell>
          <cell r="O4984" t="str">
            <v/>
          </cell>
          <cell r="P4984" t="str">
            <v/>
          </cell>
          <cell r="Q4984" t="str">
            <v/>
          </cell>
          <cell r="S4984" t="str">
            <v/>
          </cell>
          <cell r="V4984" t="str">
            <v/>
          </cell>
          <cell r="Z4984" t="str">
            <v/>
          </cell>
          <cell r="AA4984" t="str">
            <v/>
          </cell>
          <cell r="AB4984" t="str">
            <v/>
          </cell>
          <cell r="AC4984" t="str">
            <v/>
          </cell>
          <cell r="AD4984" t="str">
            <v/>
          </cell>
          <cell r="AY4984" t="str">
            <v/>
          </cell>
          <cell r="AZ4984" t="str">
            <v/>
          </cell>
          <cell r="BA4984" t="str">
            <v/>
          </cell>
        </row>
        <row r="4985">
          <cell r="B4985" t="str">
            <v>-</v>
          </cell>
          <cell r="E4985" t="str">
            <v/>
          </cell>
          <cell r="G4985" t="str">
            <v/>
          </cell>
          <cell r="J4985" t="str">
            <v/>
          </cell>
          <cell r="O4985" t="str">
            <v/>
          </cell>
          <cell r="P4985" t="str">
            <v/>
          </cell>
          <cell r="Q4985" t="str">
            <v/>
          </cell>
          <cell r="S4985" t="str">
            <v/>
          </cell>
          <cell r="V4985" t="str">
            <v/>
          </cell>
          <cell r="Z4985" t="str">
            <v/>
          </cell>
          <cell r="AA4985" t="str">
            <v/>
          </cell>
          <cell r="AB4985" t="str">
            <v/>
          </cell>
          <cell r="AC4985" t="str">
            <v/>
          </cell>
          <cell r="AD4985" t="str">
            <v/>
          </cell>
          <cell r="AY4985" t="str">
            <v/>
          </cell>
          <cell r="AZ4985" t="str">
            <v/>
          </cell>
          <cell r="BA4985" t="str">
            <v/>
          </cell>
        </row>
        <row r="4986">
          <cell r="B4986" t="str">
            <v>-</v>
          </cell>
          <cell r="E4986" t="str">
            <v/>
          </cell>
          <cell r="G4986" t="str">
            <v/>
          </cell>
          <cell r="J4986" t="str">
            <v/>
          </cell>
          <cell r="O4986" t="str">
            <v/>
          </cell>
          <cell r="P4986" t="str">
            <v/>
          </cell>
          <cell r="Q4986" t="str">
            <v/>
          </cell>
          <cell r="S4986" t="str">
            <v/>
          </cell>
          <cell r="V4986" t="str">
            <v/>
          </cell>
          <cell r="Z4986" t="str">
            <v/>
          </cell>
          <cell r="AA4986" t="str">
            <v/>
          </cell>
          <cell r="AB4986" t="str">
            <v/>
          </cell>
          <cell r="AC4986" t="str">
            <v/>
          </cell>
          <cell r="AD4986" t="str">
            <v/>
          </cell>
          <cell r="AY4986" t="str">
            <v/>
          </cell>
          <cell r="AZ4986" t="str">
            <v/>
          </cell>
          <cell r="BA4986" t="str">
            <v/>
          </cell>
        </row>
        <row r="4987">
          <cell r="B4987" t="str">
            <v>-</v>
          </cell>
          <cell r="E4987" t="str">
            <v/>
          </cell>
          <cell r="G4987" t="str">
            <v/>
          </cell>
          <cell r="J4987" t="str">
            <v/>
          </cell>
          <cell r="O4987" t="str">
            <v/>
          </cell>
          <cell r="P4987" t="str">
            <v/>
          </cell>
          <cell r="Q4987" t="str">
            <v/>
          </cell>
          <cell r="S4987" t="str">
            <v/>
          </cell>
          <cell r="V4987" t="str">
            <v/>
          </cell>
          <cell r="Z4987" t="str">
            <v/>
          </cell>
          <cell r="AA4987" t="str">
            <v/>
          </cell>
          <cell r="AB4987" t="str">
            <v/>
          </cell>
          <cell r="AC4987" t="str">
            <v/>
          </cell>
          <cell r="AD4987" t="str">
            <v/>
          </cell>
          <cell r="AY4987" t="str">
            <v/>
          </cell>
          <cell r="AZ4987" t="str">
            <v/>
          </cell>
          <cell r="BA4987" t="str">
            <v/>
          </cell>
        </row>
        <row r="4988">
          <cell r="B4988" t="str">
            <v>-</v>
          </cell>
          <cell r="E4988" t="str">
            <v/>
          </cell>
          <cell r="G4988" t="str">
            <v/>
          </cell>
          <cell r="J4988" t="str">
            <v/>
          </cell>
          <cell r="O4988" t="str">
            <v/>
          </cell>
          <cell r="P4988" t="str">
            <v/>
          </cell>
          <cell r="Q4988" t="str">
            <v/>
          </cell>
          <cell r="S4988" t="str">
            <v/>
          </cell>
          <cell r="V4988" t="str">
            <v/>
          </cell>
          <cell r="Z4988" t="str">
            <v/>
          </cell>
          <cell r="AA4988" t="str">
            <v/>
          </cell>
          <cell r="AB4988" t="str">
            <v/>
          </cell>
          <cell r="AC4988" t="str">
            <v/>
          </cell>
          <cell r="AD4988" t="str">
            <v/>
          </cell>
          <cell r="AY4988" t="str">
            <v/>
          </cell>
          <cell r="AZ4988" t="str">
            <v/>
          </cell>
          <cell r="BA4988" t="str">
            <v/>
          </cell>
        </row>
        <row r="4989">
          <cell r="B4989" t="str">
            <v>-</v>
          </cell>
          <cell r="E4989" t="str">
            <v/>
          </cell>
          <cell r="G4989" t="str">
            <v/>
          </cell>
          <cell r="J4989" t="str">
            <v/>
          </cell>
          <cell r="O4989" t="str">
            <v/>
          </cell>
          <cell r="P4989" t="str">
            <v/>
          </cell>
          <cell r="Q4989" t="str">
            <v/>
          </cell>
          <cell r="S4989" t="str">
            <v/>
          </cell>
          <cell r="V4989" t="str">
            <v/>
          </cell>
          <cell r="Z4989" t="str">
            <v/>
          </cell>
          <cell r="AA4989" t="str">
            <v/>
          </cell>
          <cell r="AB4989" t="str">
            <v/>
          </cell>
          <cell r="AC4989" t="str">
            <v/>
          </cell>
          <cell r="AD4989" t="str">
            <v/>
          </cell>
          <cell r="AY4989" t="str">
            <v/>
          </cell>
          <cell r="AZ4989" t="str">
            <v/>
          </cell>
          <cell r="BA4989" t="str">
            <v/>
          </cell>
        </row>
        <row r="4990">
          <cell r="B4990" t="str">
            <v>-</v>
          </cell>
          <cell r="E4990" t="str">
            <v/>
          </cell>
          <cell r="G4990" t="str">
            <v/>
          </cell>
          <cell r="J4990" t="str">
            <v/>
          </cell>
          <cell r="O4990" t="str">
            <v/>
          </cell>
          <cell r="P4990" t="str">
            <v/>
          </cell>
          <cell r="Q4990" t="str">
            <v/>
          </cell>
          <cell r="S4990" t="str">
            <v/>
          </cell>
          <cell r="V4990" t="str">
            <v/>
          </cell>
          <cell r="Z4990" t="str">
            <v/>
          </cell>
          <cell r="AA4990" t="str">
            <v/>
          </cell>
          <cell r="AB4990" t="str">
            <v/>
          </cell>
          <cell r="AC4990" t="str">
            <v/>
          </cell>
          <cell r="AD4990" t="str">
            <v/>
          </cell>
          <cell r="AY4990" t="str">
            <v/>
          </cell>
          <cell r="AZ4990" t="str">
            <v/>
          </cell>
          <cell r="BA4990" t="str">
            <v/>
          </cell>
        </row>
        <row r="4991">
          <cell r="B4991" t="str">
            <v>-</v>
          </cell>
          <cell r="E4991" t="str">
            <v/>
          </cell>
          <cell r="G4991" t="str">
            <v/>
          </cell>
          <cell r="J4991" t="str">
            <v/>
          </cell>
          <cell r="O4991" t="str">
            <v/>
          </cell>
          <cell r="P4991" t="str">
            <v/>
          </cell>
          <cell r="Q4991" t="str">
            <v/>
          </cell>
          <cell r="S4991" t="str">
            <v/>
          </cell>
          <cell r="V4991" t="str">
            <v/>
          </cell>
          <cell r="Z4991" t="str">
            <v/>
          </cell>
          <cell r="AA4991" t="str">
            <v/>
          </cell>
          <cell r="AB4991" t="str">
            <v/>
          </cell>
          <cell r="AC4991" t="str">
            <v/>
          </cell>
          <cell r="AD4991" t="str">
            <v/>
          </cell>
          <cell r="AY4991" t="str">
            <v/>
          </cell>
          <cell r="AZ4991" t="str">
            <v/>
          </cell>
          <cell r="BA4991" t="str">
            <v/>
          </cell>
        </row>
        <row r="4992">
          <cell r="B4992" t="str">
            <v>-</v>
          </cell>
          <cell r="E4992" t="str">
            <v/>
          </cell>
          <cell r="G4992" t="str">
            <v/>
          </cell>
          <cell r="J4992" t="str">
            <v/>
          </cell>
          <cell r="O4992" t="str">
            <v/>
          </cell>
          <cell r="P4992" t="str">
            <v/>
          </cell>
          <cell r="Q4992" t="str">
            <v/>
          </cell>
          <cell r="S4992" t="str">
            <v/>
          </cell>
          <cell r="V4992" t="str">
            <v/>
          </cell>
          <cell r="Z4992" t="str">
            <v/>
          </cell>
          <cell r="AA4992" t="str">
            <v/>
          </cell>
          <cell r="AB4992" t="str">
            <v/>
          </cell>
          <cell r="AC4992" t="str">
            <v/>
          </cell>
          <cell r="AD4992" t="str">
            <v/>
          </cell>
          <cell r="AY4992" t="str">
            <v/>
          </cell>
          <cell r="AZ4992" t="str">
            <v/>
          </cell>
          <cell r="BA4992" t="str">
            <v/>
          </cell>
        </row>
        <row r="4993">
          <cell r="B4993" t="str">
            <v>-</v>
          </cell>
          <cell r="E4993" t="str">
            <v/>
          </cell>
          <cell r="G4993" t="str">
            <v/>
          </cell>
          <cell r="J4993" t="str">
            <v/>
          </cell>
          <cell r="O4993" t="str">
            <v/>
          </cell>
          <cell r="P4993" t="str">
            <v/>
          </cell>
          <cell r="Q4993" t="str">
            <v/>
          </cell>
          <cell r="S4993" t="str">
            <v/>
          </cell>
          <cell r="V4993" t="str">
            <v/>
          </cell>
          <cell r="Z4993" t="str">
            <v/>
          </cell>
          <cell r="AA4993" t="str">
            <v/>
          </cell>
          <cell r="AB4993" t="str">
            <v/>
          </cell>
          <cell r="AC4993" t="str">
            <v/>
          </cell>
          <cell r="AD4993" t="str">
            <v/>
          </cell>
          <cell r="AY4993" t="str">
            <v/>
          </cell>
          <cell r="AZ4993" t="str">
            <v/>
          </cell>
          <cell r="BA4993" t="str">
            <v/>
          </cell>
        </row>
        <row r="4994">
          <cell r="B4994" t="str">
            <v>-</v>
          </cell>
          <cell r="E4994" t="str">
            <v/>
          </cell>
          <cell r="G4994" t="str">
            <v/>
          </cell>
          <cell r="J4994" t="str">
            <v/>
          </cell>
          <cell r="O4994" t="str">
            <v/>
          </cell>
          <cell r="P4994" t="str">
            <v/>
          </cell>
          <cell r="Q4994" t="str">
            <v/>
          </cell>
          <cell r="S4994" t="str">
            <v/>
          </cell>
          <cell r="V4994" t="str">
            <v/>
          </cell>
          <cell r="Z4994" t="str">
            <v/>
          </cell>
          <cell r="AA4994" t="str">
            <v/>
          </cell>
          <cell r="AB4994" t="str">
            <v/>
          </cell>
          <cell r="AC4994" t="str">
            <v/>
          </cell>
          <cell r="AD4994" t="str">
            <v/>
          </cell>
          <cell r="AY4994" t="str">
            <v/>
          </cell>
          <cell r="AZ4994" t="str">
            <v/>
          </cell>
          <cell r="BA4994" t="str">
            <v/>
          </cell>
        </row>
        <row r="4995">
          <cell r="B4995" t="str">
            <v>-</v>
          </cell>
          <cell r="E4995" t="str">
            <v/>
          </cell>
          <cell r="G4995" t="str">
            <v/>
          </cell>
          <cell r="J4995" t="str">
            <v/>
          </cell>
          <cell r="O4995" t="str">
            <v/>
          </cell>
          <cell r="P4995" t="str">
            <v/>
          </cell>
          <cell r="Q4995" t="str">
            <v/>
          </cell>
          <cell r="S4995" t="str">
            <v/>
          </cell>
          <cell r="V4995" t="str">
            <v/>
          </cell>
          <cell r="Z4995" t="str">
            <v/>
          </cell>
          <cell r="AA4995" t="str">
            <v/>
          </cell>
          <cell r="AB4995" t="str">
            <v/>
          </cell>
          <cell r="AC4995" t="str">
            <v/>
          </cell>
          <cell r="AD4995" t="str">
            <v/>
          </cell>
          <cell r="AY4995" t="str">
            <v/>
          </cell>
          <cell r="AZ4995" t="str">
            <v/>
          </cell>
          <cell r="BA4995" t="str">
            <v/>
          </cell>
        </row>
        <row r="4996">
          <cell r="B4996" t="str">
            <v>-</v>
          </cell>
          <cell r="E4996" t="str">
            <v/>
          </cell>
          <cell r="G4996" t="str">
            <v/>
          </cell>
          <cell r="J4996" t="str">
            <v/>
          </cell>
          <cell r="O4996" t="str">
            <v/>
          </cell>
          <cell r="P4996" t="str">
            <v/>
          </cell>
          <cell r="Q4996" t="str">
            <v/>
          </cell>
          <cell r="S4996" t="str">
            <v/>
          </cell>
          <cell r="V4996" t="str">
            <v/>
          </cell>
          <cell r="Z4996" t="str">
            <v/>
          </cell>
          <cell r="AA4996" t="str">
            <v/>
          </cell>
          <cell r="AB4996" t="str">
            <v/>
          </cell>
          <cell r="AC4996" t="str">
            <v/>
          </cell>
          <cell r="AD4996" t="str">
            <v/>
          </cell>
          <cell r="AY4996" t="str">
            <v/>
          </cell>
          <cell r="AZ4996" t="str">
            <v/>
          </cell>
          <cell r="BA4996" t="str">
            <v/>
          </cell>
        </row>
        <row r="4997">
          <cell r="B4997" t="str">
            <v>-</v>
          </cell>
          <cell r="E4997" t="str">
            <v/>
          </cell>
          <cell r="G4997" t="str">
            <v/>
          </cell>
          <cell r="J4997" t="str">
            <v/>
          </cell>
          <cell r="O4997" t="str">
            <v/>
          </cell>
          <cell r="P4997" t="str">
            <v/>
          </cell>
          <cell r="Q4997" t="str">
            <v/>
          </cell>
          <cell r="S4997" t="str">
            <v/>
          </cell>
          <cell r="V4997" t="str">
            <v/>
          </cell>
          <cell r="Z4997" t="str">
            <v/>
          </cell>
          <cell r="AA4997" t="str">
            <v/>
          </cell>
          <cell r="AB4997" t="str">
            <v/>
          </cell>
          <cell r="AC4997" t="str">
            <v/>
          </cell>
          <cell r="AD4997" t="str">
            <v/>
          </cell>
          <cell r="AY4997" t="str">
            <v/>
          </cell>
          <cell r="AZ4997" t="str">
            <v/>
          </cell>
          <cell r="BA4997" t="str">
            <v/>
          </cell>
        </row>
        <row r="4998">
          <cell r="B4998" t="str">
            <v>-</v>
          </cell>
          <cell r="E4998" t="str">
            <v/>
          </cell>
          <cell r="G4998" t="str">
            <v/>
          </cell>
          <cell r="J4998" t="str">
            <v/>
          </cell>
          <cell r="O4998" t="str">
            <v/>
          </cell>
          <cell r="P4998" t="str">
            <v/>
          </cell>
          <cell r="Q4998" t="str">
            <v/>
          </cell>
          <cell r="S4998" t="str">
            <v/>
          </cell>
          <cell r="V4998" t="str">
            <v/>
          </cell>
          <cell r="Z4998" t="str">
            <v/>
          </cell>
          <cell r="AA4998" t="str">
            <v/>
          </cell>
          <cell r="AB4998" t="str">
            <v/>
          </cell>
          <cell r="AC4998" t="str">
            <v/>
          </cell>
          <cell r="AD4998" t="str">
            <v/>
          </cell>
          <cell r="AY4998" t="str">
            <v/>
          </cell>
          <cell r="AZ4998" t="str">
            <v/>
          </cell>
          <cell r="BA4998" t="str">
            <v/>
          </cell>
        </row>
        <row r="4999">
          <cell r="B4999" t="str">
            <v>-</v>
          </cell>
          <cell r="E4999" t="str">
            <v/>
          </cell>
          <cell r="G4999" t="str">
            <v/>
          </cell>
          <cell r="J4999" t="str">
            <v/>
          </cell>
          <cell r="O4999" t="str">
            <v/>
          </cell>
          <cell r="P4999" t="str">
            <v/>
          </cell>
          <cell r="Q4999" t="str">
            <v/>
          </cell>
          <cell r="S4999" t="str">
            <v/>
          </cell>
          <cell r="V4999" t="str">
            <v/>
          </cell>
          <cell r="Z4999" t="str">
            <v/>
          </cell>
          <cell r="AA4999" t="str">
            <v/>
          </cell>
          <cell r="AB4999" t="str">
            <v/>
          </cell>
          <cell r="AC4999" t="str">
            <v/>
          </cell>
          <cell r="AD4999" t="str">
            <v/>
          </cell>
          <cell r="AY4999" t="str">
            <v/>
          </cell>
          <cell r="AZ4999" t="str">
            <v/>
          </cell>
          <cell r="BA4999" t="str">
            <v/>
          </cell>
        </row>
        <row r="5000">
          <cell r="B5000" t="str">
            <v>-</v>
          </cell>
          <cell r="E5000" t="str">
            <v/>
          </cell>
          <cell r="G5000" t="str">
            <v/>
          </cell>
          <cell r="J5000" t="str">
            <v/>
          </cell>
          <cell r="O5000" t="str">
            <v/>
          </cell>
          <cell r="P5000" t="str">
            <v/>
          </cell>
          <cell r="Q5000" t="str">
            <v/>
          </cell>
          <cell r="S5000" t="str">
            <v/>
          </cell>
          <cell r="V5000" t="str">
            <v/>
          </cell>
          <cell r="Z5000" t="str">
            <v/>
          </cell>
          <cell r="AA5000" t="str">
            <v/>
          </cell>
          <cell r="AB5000" t="str">
            <v/>
          </cell>
          <cell r="AC5000" t="str">
            <v/>
          </cell>
          <cell r="AD5000" t="str">
            <v/>
          </cell>
          <cell r="AY5000" t="str">
            <v/>
          </cell>
          <cell r="AZ5000" t="str">
            <v/>
          </cell>
          <cell r="BA5000" t="str">
            <v/>
          </cell>
        </row>
        <row r="5001">
          <cell r="B5001" t="str">
            <v>-</v>
          </cell>
          <cell r="E5001" t="str">
            <v/>
          </cell>
          <cell r="G5001" t="str">
            <v/>
          </cell>
          <cell r="J5001" t="str">
            <v/>
          </cell>
          <cell r="O5001" t="str">
            <v/>
          </cell>
          <cell r="P5001" t="str">
            <v/>
          </cell>
          <cell r="Q5001" t="str">
            <v/>
          </cell>
          <cell r="S5001" t="str">
            <v/>
          </cell>
          <cell r="V5001" t="str">
            <v/>
          </cell>
          <cell r="Z5001" t="str">
            <v/>
          </cell>
          <cell r="AA5001" t="str">
            <v/>
          </cell>
          <cell r="AB5001" t="str">
            <v/>
          </cell>
          <cell r="AC5001" t="str">
            <v/>
          </cell>
          <cell r="AD5001" t="str">
            <v/>
          </cell>
          <cell r="AY5001" t="str">
            <v/>
          </cell>
          <cell r="AZ5001" t="str">
            <v/>
          </cell>
          <cell r="BA5001" t="str">
            <v/>
          </cell>
        </row>
        <row r="5002">
          <cell r="B5002" t="str">
            <v>-</v>
          </cell>
          <cell r="E5002" t="str">
            <v/>
          </cell>
          <cell r="G5002" t="str">
            <v/>
          </cell>
          <cell r="J5002" t="str">
            <v/>
          </cell>
          <cell r="O5002" t="str">
            <v/>
          </cell>
          <cell r="P5002" t="str">
            <v/>
          </cell>
          <cell r="Q5002" t="str">
            <v/>
          </cell>
          <cell r="S5002" t="str">
            <v/>
          </cell>
          <cell r="V5002" t="str">
            <v/>
          </cell>
          <cell r="Z5002" t="str">
            <v/>
          </cell>
          <cell r="AA5002" t="str">
            <v/>
          </cell>
          <cell r="AB5002" t="str">
            <v/>
          </cell>
          <cell r="AC5002" t="str">
            <v/>
          </cell>
          <cell r="AD5002" t="str">
            <v/>
          </cell>
          <cell r="AY5002" t="str">
            <v/>
          </cell>
          <cell r="AZ5002" t="str">
            <v/>
          </cell>
          <cell r="BA5002" t="str">
            <v/>
          </cell>
        </row>
        <row r="5003">
          <cell r="B5003" t="str">
            <v>-</v>
          </cell>
          <cell r="E5003" t="str">
            <v/>
          </cell>
          <cell r="G5003" t="str">
            <v/>
          </cell>
          <cell r="J5003" t="str">
            <v/>
          </cell>
          <cell r="O5003" t="str">
            <v/>
          </cell>
          <cell r="P5003" t="str">
            <v/>
          </cell>
          <cell r="Q5003" t="str">
            <v/>
          </cell>
          <cell r="S5003" t="str">
            <v/>
          </cell>
          <cell r="V5003" t="str">
            <v/>
          </cell>
          <cell r="Z5003" t="str">
            <v/>
          </cell>
          <cell r="AA5003" t="str">
            <v/>
          </cell>
          <cell r="AB5003" t="str">
            <v/>
          </cell>
          <cell r="AC5003" t="str">
            <v/>
          </cell>
          <cell r="AD5003" t="str">
            <v/>
          </cell>
          <cell r="AY5003" t="str">
            <v/>
          </cell>
          <cell r="AZ5003" t="str">
            <v/>
          </cell>
          <cell r="BA5003" t="str">
            <v/>
          </cell>
        </row>
        <row r="5004">
          <cell r="B5004" t="str">
            <v>-</v>
          </cell>
          <cell r="E5004" t="str">
            <v/>
          </cell>
          <cell r="G5004" t="str">
            <v/>
          </cell>
          <cell r="J5004" t="str">
            <v/>
          </cell>
          <cell r="O5004" t="str">
            <v/>
          </cell>
          <cell r="P5004" t="str">
            <v/>
          </cell>
          <cell r="Q5004" t="str">
            <v/>
          </cell>
          <cell r="S5004" t="str">
            <v/>
          </cell>
          <cell r="V5004" t="str">
            <v/>
          </cell>
          <cell r="Z5004" t="str">
            <v/>
          </cell>
          <cell r="AA5004" t="str">
            <v/>
          </cell>
          <cell r="AB5004" t="str">
            <v/>
          </cell>
          <cell r="AC5004" t="str">
            <v/>
          </cell>
          <cell r="AD5004" t="str">
            <v/>
          </cell>
          <cell r="AY5004" t="str">
            <v/>
          </cell>
          <cell r="AZ5004" t="str">
            <v/>
          </cell>
          <cell r="BA5004" t="str">
            <v/>
          </cell>
        </row>
        <row r="5005">
          <cell r="B5005" t="str">
            <v>-</v>
          </cell>
          <cell r="E5005" t="str">
            <v/>
          </cell>
          <cell r="G5005" t="str">
            <v/>
          </cell>
          <cell r="J5005" t="str">
            <v/>
          </cell>
          <cell r="O5005" t="str">
            <v/>
          </cell>
          <cell r="P5005" t="str">
            <v/>
          </cell>
          <cell r="Q5005" t="str">
            <v/>
          </cell>
          <cell r="S5005" t="str">
            <v/>
          </cell>
          <cell r="V5005" t="str">
            <v/>
          </cell>
          <cell r="Z5005" t="str">
            <v/>
          </cell>
          <cell r="AA5005" t="str">
            <v/>
          </cell>
          <cell r="AB5005" t="str">
            <v/>
          </cell>
          <cell r="AC5005" t="str">
            <v/>
          </cell>
          <cell r="AD5005" t="str">
            <v/>
          </cell>
          <cell r="AY5005" t="str">
            <v/>
          </cell>
          <cell r="AZ5005" t="str">
            <v/>
          </cell>
          <cell r="BA5005" t="str">
            <v/>
          </cell>
        </row>
        <row r="5006">
          <cell r="B5006" t="str">
            <v>-</v>
          </cell>
          <cell r="E5006" t="str">
            <v/>
          </cell>
          <cell r="G5006" t="str">
            <v/>
          </cell>
          <cell r="J5006" t="str">
            <v/>
          </cell>
          <cell r="O5006" t="str">
            <v/>
          </cell>
          <cell r="P5006" t="str">
            <v/>
          </cell>
          <cell r="Q5006" t="str">
            <v/>
          </cell>
          <cell r="S5006" t="str">
            <v/>
          </cell>
          <cell r="V5006" t="str">
            <v/>
          </cell>
          <cell r="Z5006" t="str">
            <v/>
          </cell>
          <cell r="AA5006" t="str">
            <v/>
          </cell>
          <cell r="AB5006" t="str">
            <v/>
          </cell>
          <cell r="AC5006" t="str">
            <v/>
          </cell>
          <cell r="AD5006" t="str">
            <v/>
          </cell>
          <cell r="AY5006" t="str">
            <v/>
          </cell>
          <cell r="AZ5006" t="str">
            <v/>
          </cell>
          <cell r="BA5006" t="str">
            <v/>
          </cell>
        </row>
        <row r="5007">
          <cell r="B5007" t="str">
            <v>-</v>
          </cell>
          <cell r="E5007" t="str">
            <v/>
          </cell>
          <cell r="G5007" t="str">
            <v/>
          </cell>
          <cell r="J5007" t="str">
            <v/>
          </cell>
          <cell r="O5007" t="str">
            <v/>
          </cell>
          <cell r="P5007" t="str">
            <v/>
          </cell>
          <cell r="Q5007" t="str">
            <v/>
          </cell>
          <cell r="S5007" t="str">
            <v/>
          </cell>
          <cell r="V5007" t="str">
            <v/>
          </cell>
          <cell r="Z5007" t="str">
            <v/>
          </cell>
          <cell r="AA5007" t="str">
            <v/>
          </cell>
          <cell r="AB5007" t="str">
            <v/>
          </cell>
          <cell r="AC5007" t="str">
            <v/>
          </cell>
          <cell r="AD5007" t="str">
            <v/>
          </cell>
          <cell r="AY5007" t="str">
            <v/>
          </cell>
          <cell r="AZ5007" t="str">
            <v/>
          </cell>
          <cell r="BA5007" t="str">
            <v/>
          </cell>
        </row>
        <row r="5008">
          <cell r="B5008" t="str">
            <v>-</v>
          </cell>
          <cell r="E5008" t="str">
            <v/>
          </cell>
          <cell r="G5008" t="str">
            <v/>
          </cell>
          <cell r="J5008" t="str">
            <v/>
          </cell>
          <cell r="O5008" t="str">
            <v/>
          </cell>
          <cell r="P5008" t="str">
            <v/>
          </cell>
          <cell r="Q5008" t="str">
            <v/>
          </cell>
          <cell r="S5008" t="str">
            <v/>
          </cell>
          <cell r="V5008" t="str">
            <v/>
          </cell>
          <cell r="Z5008" t="str">
            <v/>
          </cell>
          <cell r="AA5008" t="str">
            <v/>
          </cell>
          <cell r="AB5008" t="str">
            <v/>
          </cell>
          <cell r="AC5008" t="str">
            <v/>
          </cell>
          <cell r="AD5008" t="str">
            <v/>
          </cell>
          <cell r="AY5008" t="str">
            <v/>
          </cell>
          <cell r="AZ5008" t="str">
            <v/>
          </cell>
          <cell r="BA5008" t="str">
            <v/>
          </cell>
        </row>
        <row r="5009">
          <cell r="B5009" t="str">
            <v>-</v>
          </cell>
          <cell r="E5009" t="str">
            <v/>
          </cell>
          <cell r="G5009" t="str">
            <v/>
          </cell>
          <cell r="J5009" t="str">
            <v/>
          </cell>
          <cell r="O5009" t="str">
            <v/>
          </cell>
          <cell r="P5009" t="str">
            <v/>
          </cell>
          <cell r="Q5009" t="str">
            <v/>
          </cell>
          <cell r="S5009" t="str">
            <v/>
          </cell>
          <cell r="V5009" t="str">
            <v/>
          </cell>
          <cell r="Z5009" t="str">
            <v/>
          </cell>
          <cell r="AA5009" t="str">
            <v/>
          </cell>
          <cell r="AB5009" t="str">
            <v/>
          </cell>
          <cell r="AC5009" t="str">
            <v/>
          </cell>
          <cell r="AD5009" t="str">
            <v/>
          </cell>
          <cell r="AY5009" t="str">
            <v/>
          </cell>
          <cell r="AZ5009" t="str">
            <v/>
          </cell>
          <cell r="BA5009" t="str">
            <v/>
          </cell>
        </row>
        <row r="5010">
          <cell r="B5010" t="str">
            <v>-</v>
          </cell>
          <cell r="E5010" t="str">
            <v/>
          </cell>
          <cell r="G5010" t="str">
            <v/>
          </cell>
          <cell r="J5010" t="str">
            <v/>
          </cell>
          <cell r="O5010" t="str">
            <v/>
          </cell>
          <cell r="P5010" t="str">
            <v/>
          </cell>
          <cell r="Q5010" t="str">
            <v/>
          </cell>
          <cell r="S5010" t="str">
            <v/>
          </cell>
          <cell r="V5010" t="str">
            <v/>
          </cell>
          <cell r="Z5010" t="str">
            <v/>
          </cell>
          <cell r="AA5010" t="str">
            <v/>
          </cell>
          <cell r="AB5010" t="str">
            <v/>
          </cell>
          <cell r="AC5010" t="str">
            <v/>
          </cell>
          <cell r="AD5010" t="str">
            <v/>
          </cell>
          <cell r="AY5010" t="str">
            <v/>
          </cell>
          <cell r="AZ5010" t="str">
            <v/>
          </cell>
          <cell r="BA5010" t="str">
            <v/>
          </cell>
        </row>
        <row r="5011">
          <cell r="B5011" t="str">
            <v>-</v>
          </cell>
          <cell r="E5011" t="str">
            <v/>
          </cell>
          <cell r="G5011" t="str">
            <v/>
          </cell>
          <cell r="J5011" t="str">
            <v/>
          </cell>
          <cell r="O5011" t="str">
            <v/>
          </cell>
          <cell r="P5011" t="str">
            <v/>
          </cell>
          <cell r="Q5011" t="str">
            <v/>
          </cell>
          <cell r="S5011" t="str">
            <v/>
          </cell>
          <cell r="V5011" t="str">
            <v/>
          </cell>
          <cell r="Z5011" t="str">
            <v/>
          </cell>
          <cell r="AA5011" t="str">
            <v/>
          </cell>
          <cell r="AB5011" t="str">
            <v/>
          </cell>
          <cell r="AC5011" t="str">
            <v/>
          </cell>
          <cell r="AD5011" t="str">
            <v/>
          </cell>
          <cell r="AY5011" t="str">
            <v/>
          </cell>
          <cell r="AZ5011" t="str">
            <v/>
          </cell>
          <cell r="BA5011" t="str">
            <v/>
          </cell>
        </row>
        <row r="5012">
          <cell r="B5012" t="str">
            <v>-</v>
          </cell>
          <cell r="E5012" t="str">
            <v/>
          </cell>
          <cell r="G5012" t="str">
            <v/>
          </cell>
          <cell r="J5012" t="str">
            <v/>
          </cell>
          <cell r="O5012" t="str">
            <v/>
          </cell>
          <cell r="P5012" t="str">
            <v/>
          </cell>
          <cell r="Q5012" t="str">
            <v/>
          </cell>
          <cell r="S5012" t="str">
            <v/>
          </cell>
          <cell r="V5012" t="str">
            <v/>
          </cell>
          <cell r="Z5012" t="str">
            <v/>
          </cell>
          <cell r="AA5012" t="str">
            <v/>
          </cell>
          <cell r="AB5012" t="str">
            <v/>
          </cell>
          <cell r="AC5012" t="str">
            <v/>
          </cell>
          <cell r="AD5012" t="str">
            <v/>
          </cell>
          <cell r="AY5012" t="str">
            <v/>
          </cell>
          <cell r="AZ5012" t="str">
            <v/>
          </cell>
          <cell r="BA5012" t="str">
            <v/>
          </cell>
        </row>
        <row r="5013">
          <cell r="B5013" t="str">
            <v>-</v>
          </cell>
          <cell r="E5013" t="str">
            <v/>
          </cell>
          <cell r="G5013" t="str">
            <v/>
          </cell>
          <cell r="J5013" t="str">
            <v/>
          </cell>
          <cell r="O5013" t="str">
            <v/>
          </cell>
          <cell r="P5013" t="str">
            <v/>
          </cell>
          <cell r="Q5013" t="str">
            <v/>
          </cell>
          <cell r="S5013" t="str">
            <v/>
          </cell>
          <cell r="V5013" t="str">
            <v/>
          </cell>
          <cell r="Z5013" t="str">
            <v/>
          </cell>
          <cell r="AA5013" t="str">
            <v/>
          </cell>
          <cell r="AB5013" t="str">
            <v/>
          </cell>
          <cell r="AC5013" t="str">
            <v/>
          </cell>
          <cell r="AD5013" t="str">
            <v/>
          </cell>
          <cell r="AY5013" t="str">
            <v/>
          </cell>
          <cell r="AZ5013" t="str">
            <v/>
          </cell>
          <cell r="BA5013" t="str">
            <v/>
          </cell>
        </row>
        <row r="5014">
          <cell r="B5014" t="str">
            <v>-</v>
          </cell>
          <cell r="E5014" t="str">
            <v/>
          </cell>
          <cell r="G5014" t="str">
            <v/>
          </cell>
          <cell r="J5014" t="str">
            <v/>
          </cell>
          <cell r="O5014" t="str">
            <v/>
          </cell>
          <cell r="P5014" t="str">
            <v/>
          </cell>
          <cell r="Q5014" t="str">
            <v/>
          </cell>
          <cell r="S5014" t="str">
            <v/>
          </cell>
          <cell r="V5014" t="str">
            <v/>
          </cell>
          <cell r="Z5014" t="str">
            <v/>
          </cell>
          <cell r="AA5014" t="str">
            <v/>
          </cell>
          <cell r="AB5014" t="str">
            <v/>
          </cell>
          <cell r="AC5014" t="str">
            <v/>
          </cell>
          <cell r="AD5014" t="str">
            <v/>
          </cell>
          <cell r="AY5014" t="str">
            <v/>
          </cell>
          <cell r="AZ5014" t="str">
            <v/>
          </cell>
          <cell r="BA5014" t="str">
            <v/>
          </cell>
        </row>
        <row r="5015">
          <cell r="B5015" t="str">
            <v>-</v>
          </cell>
          <cell r="E5015" t="str">
            <v/>
          </cell>
          <cell r="G5015" t="str">
            <v/>
          </cell>
          <cell r="J5015" t="str">
            <v/>
          </cell>
          <cell r="O5015" t="str">
            <v/>
          </cell>
          <cell r="P5015" t="str">
            <v/>
          </cell>
          <cell r="Q5015" t="str">
            <v/>
          </cell>
          <cell r="S5015" t="str">
            <v/>
          </cell>
          <cell r="V5015" t="str">
            <v/>
          </cell>
          <cell r="Z5015" t="str">
            <v/>
          </cell>
          <cell r="AA5015" t="str">
            <v/>
          </cell>
          <cell r="AB5015" t="str">
            <v/>
          </cell>
          <cell r="AC5015" t="str">
            <v/>
          </cell>
          <cell r="AD5015" t="str">
            <v/>
          </cell>
          <cell r="AY5015" t="str">
            <v/>
          </cell>
          <cell r="AZ5015" t="str">
            <v/>
          </cell>
          <cell r="BA5015" t="str">
            <v/>
          </cell>
        </row>
        <row r="5016">
          <cell r="B5016" t="str">
            <v>-</v>
          </cell>
          <cell r="E5016" t="str">
            <v/>
          </cell>
          <cell r="G5016" t="str">
            <v/>
          </cell>
          <cell r="J5016" t="str">
            <v/>
          </cell>
          <cell r="O5016" t="str">
            <v/>
          </cell>
          <cell r="P5016" t="str">
            <v/>
          </cell>
          <cell r="Q5016" t="str">
            <v/>
          </cell>
          <cell r="S5016" t="str">
            <v/>
          </cell>
          <cell r="V5016" t="str">
            <v/>
          </cell>
          <cell r="Z5016" t="str">
            <v/>
          </cell>
          <cell r="AA5016" t="str">
            <v/>
          </cell>
          <cell r="AB5016" t="str">
            <v/>
          </cell>
          <cell r="AC5016" t="str">
            <v/>
          </cell>
          <cell r="AD5016" t="str">
            <v/>
          </cell>
          <cell r="AY5016" t="str">
            <v/>
          </cell>
          <cell r="AZ5016" t="str">
            <v/>
          </cell>
          <cell r="BA5016" t="str">
            <v/>
          </cell>
        </row>
        <row r="5017">
          <cell r="B5017" t="str">
            <v>-</v>
          </cell>
          <cell r="E5017" t="str">
            <v/>
          </cell>
          <cell r="G5017" t="str">
            <v/>
          </cell>
          <cell r="J5017" t="str">
            <v/>
          </cell>
          <cell r="O5017" t="str">
            <v/>
          </cell>
          <cell r="P5017" t="str">
            <v/>
          </cell>
          <cell r="Q5017" t="str">
            <v/>
          </cell>
          <cell r="S5017" t="str">
            <v/>
          </cell>
          <cell r="V5017" t="str">
            <v/>
          </cell>
          <cell r="Z5017" t="str">
            <v/>
          </cell>
          <cell r="AA5017" t="str">
            <v/>
          </cell>
          <cell r="AB5017" t="str">
            <v/>
          </cell>
          <cell r="AC5017" t="str">
            <v/>
          </cell>
          <cell r="AD5017" t="str">
            <v/>
          </cell>
          <cell r="AY5017" t="str">
            <v/>
          </cell>
          <cell r="AZ5017" t="str">
            <v/>
          </cell>
          <cell r="BA5017" t="str">
            <v/>
          </cell>
        </row>
        <row r="5018">
          <cell r="B5018" t="str">
            <v>-</v>
          </cell>
          <cell r="E5018" t="str">
            <v/>
          </cell>
          <cell r="G5018" t="str">
            <v/>
          </cell>
          <cell r="J5018" t="str">
            <v/>
          </cell>
          <cell r="O5018" t="str">
            <v/>
          </cell>
          <cell r="P5018" t="str">
            <v/>
          </cell>
          <cell r="Q5018" t="str">
            <v/>
          </cell>
          <cell r="S5018" t="str">
            <v/>
          </cell>
          <cell r="V5018" t="str">
            <v/>
          </cell>
          <cell r="Z5018" t="str">
            <v/>
          </cell>
          <cell r="AA5018" t="str">
            <v/>
          </cell>
          <cell r="AB5018" t="str">
            <v/>
          </cell>
          <cell r="AC5018" t="str">
            <v/>
          </cell>
          <cell r="AD5018" t="str">
            <v/>
          </cell>
          <cell r="AY5018" t="str">
            <v/>
          </cell>
          <cell r="AZ5018" t="str">
            <v/>
          </cell>
          <cell r="BA5018" t="str">
            <v/>
          </cell>
        </row>
        <row r="5019">
          <cell r="B5019" t="str">
            <v>-</v>
          </cell>
          <cell r="E5019" t="str">
            <v/>
          </cell>
          <cell r="G5019" t="str">
            <v/>
          </cell>
          <cell r="J5019" t="str">
            <v/>
          </cell>
          <cell r="O5019" t="str">
            <v/>
          </cell>
          <cell r="P5019" t="str">
            <v/>
          </cell>
          <cell r="Q5019" t="str">
            <v/>
          </cell>
          <cell r="S5019" t="str">
            <v/>
          </cell>
          <cell r="V5019" t="str">
            <v/>
          </cell>
          <cell r="Z5019" t="str">
            <v/>
          </cell>
          <cell r="AA5019" t="str">
            <v/>
          </cell>
          <cell r="AB5019" t="str">
            <v/>
          </cell>
          <cell r="AC5019" t="str">
            <v/>
          </cell>
          <cell r="AD5019" t="str">
            <v/>
          </cell>
          <cell r="AY5019" t="str">
            <v/>
          </cell>
          <cell r="AZ5019" t="str">
            <v/>
          </cell>
          <cell r="BA5019" t="str">
            <v/>
          </cell>
        </row>
        <row r="5020">
          <cell r="B5020" t="str">
            <v>-</v>
          </cell>
          <cell r="E5020" t="str">
            <v/>
          </cell>
          <cell r="G5020" t="str">
            <v/>
          </cell>
          <cell r="J5020" t="str">
            <v/>
          </cell>
          <cell r="O5020" t="str">
            <v/>
          </cell>
          <cell r="P5020" t="str">
            <v/>
          </cell>
          <cell r="Q5020" t="str">
            <v/>
          </cell>
          <cell r="S5020" t="str">
            <v/>
          </cell>
          <cell r="V5020" t="str">
            <v/>
          </cell>
          <cell r="Z5020" t="str">
            <v/>
          </cell>
          <cell r="AA5020" t="str">
            <v/>
          </cell>
          <cell r="AB5020" t="str">
            <v/>
          </cell>
          <cell r="AC5020" t="str">
            <v/>
          </cell>
          <cell r="AD5020" t="str">
            <v/>
          </cell>
          <cell r="AY5020" t="str">
            <v/>
          </cell>
          <cell r="AZ5020" t="str">
            <v/>
          </cell>
          <cell r="BA5020" t="str">
            <v/>
          </cell>
        </row>
        <row r="5021">
          <cell r="B5021" t="str">
            <v>-</v>
          </cell>
          <cell r="E5021" t="str">
            <v/>
          </cell>
          <cell r="G5021" t="str">
            <v/>
          </cell>
          <cell r="J5021" t="str">
            <v/>
          </cell>
          <cell r="O5021" t="str">
            <v/>
          </cell>
          <cell r="P5021" t="str">
            <v/>
          </cell>
          <cell r="Q5021" t="str">
            <v/>
          </cell>
          <cell r="S5021" t="str">
            <v/>
          </cell>
          <cell r="V5021" t="str">
            <v/>
          </cell>
          <cell r="Z5021" t="str">
            <v/>
          </cell>
          <cell r="AA5021" t="str">
            <v/>
          </cell>
          <cell r="AB5021" t="str">
            <v/>
          </cell>
          <cell r="AC5021" t="str">
            <v/>
          </cell>
          <cell r="AD5021" t="str">
            <v/>
          </cell>
          <cell r="AY5021" t="str">
            <v/>
          </cell>
          <cell r="AZ5021" t="str">
            <v/>
          </cell>
          <cell r="BA5021" t="str">
            <v/>
          </cell>
        </row>
        <row r="5022">
          <cell r="B5022" t="str">
            <v>-</v>
          </cell>
          <cell r="E5022" t="str">
            <v/>
          </cell>
          <cell r="G5022" t="str">
            <v/>
          </cell>
          <cell r="J5022" t="str">
            <v/>
          </cell>
          <cell r="O5022" t="str">
            <v/>
          </cell>
          <cell r="P5022" t="str">
            <v/>
          </cell>
          <cell r="Q5022" t="str">
            <v/>
          </cell>
          <cell r="S5022" t="str">
            <v/>
          </cell>
          <cell r="V5022" t="str">
            <v/>
          </cell>
          <cell r="Z5022" t="str">
            <v/>
          </cell>
          <cell r="AA5022" t="str">
            <v/>
          </cell>
          <cell r="AB5022" t="str">
            <v/>
          </cell>
          <cell r="AC5022" t="str">
            <v/>
          </cell>
          <cell r="AD5022" t="str">
            <v/>
          </cell>
          <cell r="AY5022" t="str">
            <v/>
          </cell>
          <cell r="AZ5022" t="str">
            <v/>
          </cell>
          <cell r="BA5022" t="str">
            <v/>
          </cell>
        </row>
        <row r="5023">
          <cell r="B5023" t="str">
            <v>-</v>
          </cell>
          <cell r="E5023" t="str">
            <v/>
          </cell>
          <cell r="G5023" t="str">
            <v/>
          </cell>
          <cell r="J5023" t="str">
            <v/>
          </cell>
          <cell r="O5023" t="str">
            <v/>
          </cell>
          <cell r="P5023" t="str">
            <v/>
          </cell>
          <cell r="Q5023" t="str">
            <v/>
          </cell>
          <cell r="S5023" t="str">
            <v/>
          </cell>
          <cell r="V5023" t="str">
            <v/>
          </cell>
          <cell r="Z5023" t="str">
            <v/>
          </cell>
          <cell r="AA5023" t="str">
            <v/>
          </cell>
          <cell r="AB5023" t="str">
            <v/>
          </cell>
          <cell r="AC5023" t="str">
            <v/>
          </cell>
          <cell r="AD5023" t="str">
            <v/>
          </cell>
          <cell r="AY5023" t="str">
            <v/>
          </cell>
          <cell r="AZ5023" t="str">
            <v/>
          </cell>
          <cell r="BA5023" t="str">
            <v/>
          </cell>
        </row>
        <row r="5024">
          <cell r="B5024" t="str">
            <v>-</v>
          </cell>
          <cell r="E5024" t="str">
            <v/>
          </cell>
          <cell r="G5024" t="str">
            <v/>
          </cell>
          <cell r="J5024" t="str">
            <v/>
          </cell>
          <cell r="O5024" t="str">
            <v/>
          </cell>
          <cell r="P5024" t="str">
            <v/>
          </cell>
          <cell r="Q5024" t="str">
            <v/>
          </cell>
          <cell r="S5024" t="str">
            <v/>
          </cell>
          <cell r="V5024" t="str">
            <v/>
          </cell>
          <cell r="Z5024" t="str">
            <v/>
          </cell>
          <cell r="AA5024" t="str">
            <v/>
          </cell>
          <cell r="AB5024" t="str">
            <v/>
          </cell>
          <cell r="AC5024" t="str">
            <v/>
          </cell>
          <cell r="AD5024" t="str">
            <v/>
          </cell>
          <cell r="AY5024" t="str">
            <v/>
          </cell>
          <cell r="AZ5024" t="str">
            <v/>
          </cell>
          <cell r="BA5024" t="str">
            <v/>
          </cell>
        </row>
        <row r="5025">
          <cell r="B5025" t="str">
            <v>-</v>
          </cell>
          <cell r="E5025" t="str">
            <v/>
          </cell>
          <cell r="G5025" t="str">
            <v/>
          </cell>
          <cell r="J5025" t="str">
            <v/>
          </cell>
          <cell r="O5025" t="str">
            <v/>
          </cell>
          <cell r="P5025" t="str">
            <v/>
          </cell>
          <cell r="Q5025" t="str">
            <v/>
          </cell>
          <cell r="S5025" t="str">
            <v/>
          </cell>
          <cell r="V5025" t="str">
            <v/>
          </cell>
          <cell r="Z5025" t="str">
            <v/>
          </cell>
          <cell r="AA5025" t="str">
            <v/>
          </cell>
          <cell r="AB5025" t="str">
            <v/>
          </cell>
          <cell r="AC5025" t="str">
            <v/>
          </cell>
          <cell r="AD5025" t="str">
            <v/>
          </cell>
          <cell r="AY5025" t="str">
            <v/>
          </cell>
          <cell r="AZ5025" t="str">
            <v/>
          </cell>
          <cell r="BA5025" t="str">
            <v/>
          </cell>
        </row>
        <row r="5026">
          <cell r="B5026" t="str">
            <v>-</v>
          </cell>
          <cell r="E5026" t="str">
            <v/>
          </cell>
          <cell r="G5026" t="str">
            <v/>
          </cell>
          <cell r="J5026" t="str">
            <v/>
          </cell>
          <cell r="O5026" t="str">
            <v/>
          </cell>
          <cell r="P5026" t="str">
            <v/>
          </cell>
          <cell r="Q5026" t="str">
            <v/>
          </cell>
          <cell r="S5026" t="str">
            <v/>
          </cell>
          <cell r="V5026" t="str">
            <v/>
          </cell>
          <cell r="Z5026" t="str">
            <v/>
          </cell>
          <cell r="AA5026" t="str">
            <v/>
          </cell>
          <cell r="AB5026" t="str">
            <v/>
          </cell>
          <cell r="AC5026" t="str">
            <v/>
          </cell>
          <cell r="AD5026" t="str">
            <v/>
          </cell>
          <cell r="AY5026" t="str">
            <v/>
          </cell>
          <cell r="AZ5026" t="str">
            <v/>
          </cell>
          <cell r="BA5026" t="str">
            <v/>
          </cell>
        </row>
        <row r="5027">
          <cell r="B5027" t="str">
            <v>-</v>
          </cell>
          <cell r="E5027" t="str">
            <v/>
          </cell>
          <cell r="G5027" t="str">
            <v/>
          </cell>
          <cell r="J5027" t="str">
            <v/>
          </cell>
          <cell r="O5027" t="str">
            <v/>
          </cell>
          <cell r="P5027" t="str">
            <v/>
          </cell>
          <cell r="Q5027" t="str">
            <v/>
          </cell>
          <cell r="S5027" t="str">
            <v/>
          </cell>
          <cell r="V5027" t="str">
            <v/>
          </cell>
          <cell r="Z5027" t="str">
            <v/>
          </cell>
          <cell r="AA5027" t="str">
            <v/>
          </cell>
          <cell r="AB5027" t="str">
            <v/>
          </cell>
          <cell r="AC5027" t="str">
            <v/>
          </cell>
          <cell r="AD5027" t="str">
            <v/>
          </cell>
          <cell r="AY5027" t="str">
            <v/>
          </cell>
          <cell r="AZ5027" t="str">
            <v/>
          </cell>
          <cell r="BA5027" t="str">
            <v/>
          </cell>
        </row>
        <row r="5028">
          <cell r="B5028" t="str">
            <v>-</v>
          </cell>
          <cell r="E5028" t="str">
            <v/>
          </cell>
          <cell r="G5028" t="str">
            <v/>
          </cell>
          <cell r="J5028" t="str">
            <v/>
          </cell>
          <cell r="O5028" t="str">
            <v/>
          </cell>
          <cell r="P5028" t="str">
            <v/>
          </cell>
          <cell r="Q5028" t="str">
            <v/>
          </cell>
          <cell r="S5028" t="str">
            <v/>
          </cell>
          <cell r="V5028" t="str">
            <v/>
          </cell>
          <cell r="Z5028" t="str">
            <v/>
          </cell>
          <cell r="AA5028" t="str">
            <v/>
          </cell>
          <cell r="AB5028" t="str">
            <v/>
          </cell>
          <cell r="AC5028" t="str">
            <v/>
          </cell>
          <cell r="AD5028" t="str">
            <v/>
          </cell>
          <cell r="AY5028" t="str">
            <v/>
          </cell>
          <cell r="AZ5028" t="str">
            <v/>
          </cell>
          <cell r="BA5028" t="str">
            <v/>
          </cell>
        </row>
        <row r="5029">
          <cell r="B5029" t="str">
            <v>-</v>
          </cell>
          <cell r="E5029" t="str">
            <v/>
          </cell>
          <cell r="G5029" t="str">
            <v/>
          </cell>
          <cell r="J5029" t="str">
            <v/>
          </cell>
          <cell r="O5029" t="str">
            <v/>
          </cell>
          <cell r="P5029" t="str">
            <v/>
          </cell>
          <cell r="Q5029" t="str">
            <v/>
          </cell>
          <cell r="S5029" t="str">
            <v/>
          </cell>
          <cell r="V5029" t="str">
            <v/>
          </cell>
          <cell r="Z5029" t="str">
            <v/>
          </cell>
          <cell r="AA5029" t="str">
            <v/>
          </cell>
          <cell r="AB5029" t="str">
            <v/>
          </cell>
          <cell r="AC5029" t="str">
            <v/>
          </cell>
          <cell r="AD5029" t="str">
            <v/>
          </cell>
          <cell r="AY5029" t="str">
            <v/>
          </cell>
          <cell r="AZ5029" t="str">
            <v/>
          </cell>
          <cell r="BA5029" t="str">
            <v/>
          </cell>
        </row>
        <row r="5030">
          <cell r="B5030" t="str">
            <v>-</v>
          </cell>
          <cell r="E5030" t="str">
            <v/>
          </cell>
          <cell r="G5030" t="str">
            <v/>
          </cell>
          <cell r="J5030" t="str">
            <v/>
          </cell>
          <cell r="O5030" t="str">
            <v/>
          </cell>
          <cell r="P5030" t="str">
            <v/>
          </cell>
          <cell r="Q5030" t="str">
            <v/>
          </cell>
          <cell r="S5030" t="str">
            <v/>
          </cell>
          <cell r="V5030" t="str">
            <v/>
          </cell>
          <cell r="Z5030" t="str">
            <v/>
          </cell>
          <cell r="AA5030" t="str">
            <v/>
          </cell>
          <cell r="AB5030" t="str">
            <v/>
          </cell>
          <cell r="AC5030" t="str">
            <v/>
          </cell>
          <cell r="AD5030" t="str">
            <v/>
          </cell>
          <cell r="AY5030" t="str">
            <v/>
          </cell>
          <cell r="AZ5030" t="str">
            <v/>
          </cell>
          <cell r="BA5030" t="str">
            <v/>
          </cell>
        </row>
        <row r="5031">
          <cell r="B5031" t="str">
            <v>-</v>
          </cell>
          <cell r="E5031" t="str">
            <v/>
          </cell>
          <cell r="G5031" t="str">
            <v/>
          </cell>
          <cell r="J5031" t="str">
            <v/>
          </cell>
          <cell r="O5031" t="str">
            <v/>
          </cell>
          <cell r="P5031" t="str">
            <v/>
          </cell>
          <cell r="Q5031" t="str">
            <v/>
          </cell>
          <cell r="S5031" t="str">
            <v/>
          </cell>
          <cell r="V5031" t="str">
            <v/>
          </cell>
          <cell r="Z5031" t="str">
            <v/>
          </cell>
          <cell r="AA5031" t="str">
            <v/>
          </cell>
          <cell r="AB5031" t="str">
            <v/>
          </cell>
          <cell r="AC5031" t="str">
            <v/>
          </cell>
          <cell r="AD5031" t="str">
            <v/>
          </cell>
          <cell r="AY5031" t="str">
            <v/>
          </cell>
          <cell r="AZ5031" t="str">
            <v/>
          </cell>
          <cell r="BA5031" t="str">
            <v/>
          </cell>
        </row>
        <row r="5032">
          <cell r="B5032" t="str">
            <v>-</v>
          </cell>
          <cell r="E5032" t="str">
            <v/>
          </cell>
          <cell r="G5032" t="str">
            <v/>
          </cell>
          <cell r="J5032" t="str">
            <v/>
          </cell>
          <cell r="O5032" t="str">
            <v/>
          </cell>
          <cell r="P5032" t="str">
            <v/>
          </cell>
          <cell r="Q5032" t="str">
            <v/>
          </cell>
          <cell r="S5032" t="str">
            <v/>
          </cell>
          <cell r="V5032" t="str">
            <v/>
          </cell>
          <cell r="Z5032" t="str">
            <v/>
          </cell>
          <cell r="AA5032" t="str">
            <v/>
          </cell>
          <cell r="AB5032" t="str">
            <v/>
          </cell>
          <cell r="AC5032" t="str">
            <v/>
          </cell>
          <cell r="AD5032" t="str">
            <v/>
          </cell>
          <cell r="AY5032" t="str">
            <v/>
          </cell>
          <cell r="AZ5032" t="str">
            <v/>
          </cell>
          <cell r="BA5032" t="str">
            <v/>
          </cell>
        </row>
        <row r="5033">
          <cell r="B5033" t="str">
            <v>-</v>
          </cell>
          <cell r="E5033" t="str">
            <v/>
          </cell>
          <cell r="G5033" t="str">
            <v/>
          </cell>
          <cell r="J5033" t="str">
            <v/>
          </cell>
          <cell r="O5033" t="str">
            <v/>
          </cell>
          <cell r="P5033" t="str">
            <v/>
          </cell>
          <cell r="Q5033" t="str">
            <v/>
          </cell>
          <cell r="S5033" t="str">
            <v/>
          </cell>
          <cell r="V5033" t="str">
            <v/>
          </cell>
          <cell r="Z5033" t="str">
            <v/>
          </cell>
          <cell r="AA5033" t="str">
            <v/>
          </cell>
          <cell r="AB5033" t="str">
            <v/>
          </cell>
          <cell r="AC5033" t="str">
            <v/>
          </cell>
          <cell r="AD5033" t="str">
            <v/>
          </cell>
          <cell r="AY5033" t="str">
            <v/>
          </cell>
          <cell r="AZ5033" t="str">
            <v/>
          </cell>
          <cell r="BA5033" t="str">
            <v/>
          </cell>
        </row>
        <row r="5034">
          <cell r="B5034" t="str">
            <v>-</v>
          </cell>
          <cell r="E5034" t="str">
            <v/>
          </cell>
          <cell r="G5034" t="str">
            <v/>
          </cell>
          <cell r="J5034" t="str">
            <v/>
          </cell>
          <cell r="O5034" t="str">
            <v/>
          </cell>
          <cell r="P5034" t="str">
            <v/>
          </cell>
          <cell r="Q5034" t="str">
            <v/>
          </cell>
          <cell r="S5034" t="str">
            <v/>
          </cell>
          <cell r="V5034" t="str">
            <v/>
          </cell>
          <cell r="Z5034" t="str">
            <v/>
          </cell>
          <cell r="AA5034" t="str">
            <v/>
          </cell>
          <cell r="AB5034" t="str">
            <v/>
          </cell>
          <cell r="AC5034" t="str">
            <v/>
          </cell>
          <cell r="AD5034" t="str">
            <v/>
          </cell>
          <cell r="AY5034" t="str">
            <v/>
          </cell>
          <cell r="AZ5034" t="str">
            <v/>
          </cell>
          <cell r="BA5034" t="str">
            <v/>
          </cell>
        </row>
        <row r="5035">
          <cell r="B5035" t="str">
            <v>-</v>
          </cell>
          <cell r="E5035" t="str">
            <v/>
          </cell>
          <cell r="G5035" t="str">
            <v/>
          </cell>
          <cell r="J5035" t="str">
            <v/>
          </cell>
          <cell r="O5035" t="str">
            <v/>
          </cell>
          <cell r="P5035" t="str">
            <v/>
          </cell>
          <cell r="Q5035" t="str">
            <v/>
          </cell>
          <cell r="S5035" t="str">
            <v/>
          </cell>
          <cell r="V5035" t="str">
            <v/>
          </cell>
          <cell r="Z5035" t="str">
            <v/>
          </cell>
          <cell r="AA5035" t="str">
            <v/>
          </cell>
          <cell r="AB5035" t="str">
            <v/>
          </cell>
          <cell r="AC5035" t="str">
            <v/>
          </cell>
          <cell r="AD5035" t="str">
            <v/>
          </cell>
          <cell r="AY5035" t="str">
            <v/>
          </cell>
          <cell r="AZ5035" t="str">
            <v/>
          </cell>
          <cell r="BA5035" t="str">
            <v/>
          </cell>
        </row>
        <row r="5036">
          <cell r="B5036" t="str">
            <v>-</v>
          </cell>
          <cell r="E5036" t="str">
            <v/>
          </cell>
          <cell r="G5036" t="str">
            <v/>
          </cell>
          <cell r="J5036" t="str">
            <v/>
          </cell>
          <cell r="O5036" t="str">
            <v/>
          </cell>
          <cell r="P5036" t="str">
            <v/>
          </cell>
          <cell r="Q5036" t="str">
            <v/>
          </cell>
          <cell r="S5036" t="str">
            <v/>
          </cell>
          <cell r="V5036" t="str">
            <v/>
          </cell>
          <cell r="Z5036" t="str">
            <v/>
          </cell>
          <cell r="AA5036" t="str">
            <v/>
          </cell>
          <cell r="AB5036" t="str">
            <v/>
          </cell>
          <cell r="AC5036" t="str">
            <v/>
          </cell>
          <cell r="AD5036" t="str">
            <v/>
          </cell>
          <cell r="AY5036" t="str">
            <v/>
          </cell>
          <cell r="AZ5036" t="str">
            <v/>
          </cell>
          <cell r="BA5036" t="str">
            <v/>
          </cell>
        </row>
        <row r="5037">
          <cell r="B5037" t="str">
            <v>-</v>
          </cell>
          <cell r="E5037" t="str">
            <v/>
          </cell>
          <cell r="G5037" t="str">
            <v/>
          </cell>
          <cell r="J5037" t="str">
            <v/>
          </cell>
          <cell r="O5037" t="str">
            <v/>
          </cell>
          <cell r="P5037" t="str">
            <v/>
          </cell>
          <cell r="Q5037" t="str">
            <v/>
          </cell>
          <cell r="S5037" t="str">
            <v/>
          </cell>
          <cell r="V5037" t="str">
            <v/>
          </cell>
          <cell r="Z5037" t="str">
            <v/>
          </cell>
          <cell r="AA5037" t="str">
            <v/>
          </cell>
          <cell r="AB5037" t="str">
            <v/>
          </cell>
          <cell r="AC5037" t="str">
            <v/>
          </cell>
          <cell r="AD5037" t="str">
            <v/>
          </cell>
          <cell r="AY5037" t="str">
            <v/>
          </cell>
          <cell r="AZ5037" t="str">
            <v/>
          </cell>
          <cell r="BA5037" t="str">
            <v/>
          </cell>
        </row>
        <row r="5038">
          <cell r="B5038" t="str">
            <v>-</v>
          </cell>
          <cell r="E5038" t="str">
            <v/>
          </cell>
          <cell r="G5038" t="str">
            <v/>
          </cell>
          <cell r="J5038" t="str">
            <v/>
          </cell>
          <cell r="O5038" t="str">
            <v/>
          </cell>
          <cell r="P5038" t="str">
            <v/>
          </cell>
          <cell r="Q5038" t="str">
            <v/>
          </cell>
          <cell r="S5038" t="str">
            <v/>
          </cell>
          <cell r="V5038" t="str">
            <v/>
          </cell>
          <cell r="Z5038" t="str">
            <v/>
          </cell>
          <cell r="AA5038" t="str">
            <v/>
          </cell>
          <cell r="AB5038" t="str">
            <v/>
          </cell>
          <cell r="AC5038" t="str">
            <v/>
          </cell>
          <cell r="AD5038" t="str">
            <v/>
          </cell>
          <cell r="AY5038" t="str">
            <v/>
          </cell>
          <cell r="AZ5038" t="str">
            <v/>
          </cell>
          <cell r="BA5038" t="str">
            <v/>
          </cell>
        </row>
        <row r="5039">
          <cell r="B5039" t="str">
            <v>-</v>
          </cell>
          <cell r="E5039" t="str">
            <v/>
          </cell>
          <cell r="G5039" t="str">
            <v/>
          </cell>
          <cell r="J5039" t="str">
            <v/>
          </cell>
          <cell r="O5039" t="str">
            <v/>
          </cell>
          <cell r="P5039" t="str">
            <v/>
          </cell>
          <cell r="Q5039" t="str">
            <v/>
          </cell>
          <cell r="S5039" t="str">
            <v/>
          </cell>
          <cell r="V5039" t="str">
            <v/>
          </cell>
          <cell r="Z5039" t="str">
            <v/>
          </cell>
          <cell r="AA5039" t="str">
            <v/>
          </cell>
          <cell r="AB5039" t="str">
            <v/>
          </cell>
          <cell r="AC5039" t="str">
            <v/>
          </cell>
          <cell r="AD5039" t="str">
            <v/>
          </cell>
          <cell r="AY5039" t="str">
            <v/>
          </cell>
          <cell r="AZ5039" t="str">
            <v/>
          </cell>
          <cell r="BA5039" t="str">
            <v/>
          </cell>
        </row>
        <row r="5040">
          <cell r="B5040" t="str">
            <v>-</v>
          </cell>
          <cell r="E5040" t="str">
            <v/>
          </cell>
          <cell r="G5040" t="str">
            <v/>
          </cell>
          <cell r="J5040" t="str">
            <v/>
          </cell>
          <cell r="O5040" t="str">
            <v/>
          </cell>
          <cell r="P5040" t="str">
            <v/>
          </cell>
          <cell r="Q5040" t="str">
            <v/>
          </cell>
          <cell r="S5040" t="str">
            <v/>
          </cell>
          <cell r="V5040" t="str">
            <v/>
          </cell>
          <cell r="Z5040" t="str">
            <v/>
          </cell>
          <cell r="AA5040" t="str">
            <v/>
          </cell>
          <cell r="AB5040" t="str">
            <v/>
          </cell>
          <cell r="AC5040" t="str">
            <v/>
          </cell>
          <cell r="AD5040" t="str">
            <v/>
          </cell>
          <cell r="AY5040" t="str">
            <v/>
          </cell>
          <cell r="AZ5040" t="str">
            <v/>
          </cell>
          <cell r="BA5040" t="str">
            <v/>
          </cell>
        </row>
        <row r="5041">
          <cell r="B5041" t="str">
            <v>-</v>
          </cell>
          <cell r="E5041" t="str">
            <v/>
          </cell>
          <cell r="G5041" t="str">
            <v/>
          </cell>
          <cell r="J5041" t="str">
            <v/>
          </cell>
          <cell r="O5041" t="str">
            <v/>
          </cell>
          <cell r="P5041" t="str">
            <v/>
          </cell>
          <cell r="Q5041" t="str">
            <v/>
          </cell>
          <cell r="S5041" t="str">
            <v/>
          </cell>
          <cell r="V5041" t="str">
            <v/>
          </cell>
          <cell r="Z5041" t="str">
            <v/>
          </cell>
          <cell r="AA5041" t="str">
            <v/>
          </cell>
          <cell r="AB5041" t="str">
            <v/>
          </cell>
          <cell r="AC5041" t="str">
            <v/>
          </cell>
          <cell r="AD5041" t="str">
            <v/>
          </cell>
          <cell r="AY5041" t="str">
            <v/>
          </cell>
          <cell r="AZ5041" t="str">
            <v/>
          </cell>
          <cell r="BA5041" t="str">
            <v/>
          </cell>
        </row>
        <row r="5042">
          <cell r="B5042" t="str">
            <v>-</v>
          </cell>
          <cell r="E5042" t="str">
            <v/>
          </cell>
          <cell r="G5042" t="str">
            <v/>
          </cell>
          <cell r="J5042" t="str">
            <v/>
          </cell>
          <cell r="O5042" t="str">
            <v/>
          </cell>
          <cell r="P5042" t="str">
            <v/>
          </cell>
          <cell r="Q5042" t="str">
            <v/>
          </cell>
          <cell r="S5042" t="str">
            <v/>
          </cell>
          <cell r="V5042" t="str">
            <v/>
          </cell>
          <cell r="Z5042" t="str">
            <v/>
          </cell>
          <cell r="AA5042" t="str">
            <v/>
          </cell>
          <cell r="AB5042" t="str">
            <v/>
          </cell>
          <cell r="AC5042" t="str">
            <v/>
          </cell>
          <cell r="AD5042" t="str">
            <v/>
          </cell>
          <cell r="AY5042" t="str">
            <v/>
          </cell>
          <cell r="AZ5042" t="str">
            <v/>
          </cell>
          <cell r="BA5042" t="str">
            <v/>
          </cell>
        </row>
        <row r="5043">
          <cell r="B5043" t="str">
            <v>-</v>
          </cell>
          <cell r="E5043" t="str">
            <v/>
          </cell>
          <cell r="G5043" t="str">
            <v/>
          </cell>
          <cell r="J5043" t="str">
            <v/>
          </cell>
          <cell r="O5043" t="str">
            <v/>
          </cell>
          <cell r="P5043" t="str">
            <v/>
          </cell>
          <cell r="Q5043" t="str">
            <v/>
          </cell>
          <cell r="S5043" t="str">
            <v/>
          </cell>
          <cell r="V5043" t="str">
            <v/>
          </cell>
          <cell r="Z5043" t="str">
            <v/>
          </cell>
          <cell r="AA5043" t="str">
            <v/>
          </cell>
          <cell r="AB5043" t="str">
            <v/>
          </cell>
          <cell r="AC5043" t="str">
            <v/>
          </cell>
          <cell r="AD5043" t="str">
            <v/>
          </cell>
          <cell r="AY5043" t="str">
            <v/>
          </cell>
          <cell r="AZ5043" t="str">
            <v/>
          </cell>
          <cell r="BA5043" t="str">
            <v/>
          </cell>
        </row>
        <row r="5044">
          <cell r="B5044" t="str">
            <v>-</v>
          </cell>
          <cell r="E5044" t="str">
            <v/>
          </cell>
          <cell r="G5044" t="str">
            <v/>
          </cell>
          <cell r="J5044" t="str">
            <v/>
          </cell>
          <cell r="O5044" t="str">
            <v/>
          </cell>
          <cell r="P5044" t="str">
            <v/>
          </cell>
          <cell r="Q5044" t="str">
            <v/>
          </cell>
          <cell r="S5044" t="str">
            <v/>
          </cell>
          <cell r="V5044" t="str">
            <v/>
          </cell>
          <cell r="Z5044" t="str">
            <v/>
          </cell>
          <cell r="AA5044" t="str">
            <v/>
          </cell>
          <cell r="AB5044" t="str">
            <v/>
          </cell>
          <cell r="AC5044" t="str">
            <v/>
          </cell>
          <cell r="AD5044" t="str">
            <v/>
          </cell>
          <cell r="AY5044" t="str">
            <v/>
          </cell>
          <cell r="AZ5044" t="str">
            <v/>
          </cell>
          <cell r="BA5044" t="str">
            <v/>
          </cell>
        </row>
        <row r="5045">
          <cell r="B5045" t="str">
            <v>-</v>
          </cell>
          <cell r="E5045" t="str">
            <v/>
          </cell>
          <cell r="G5045" t="str">
            <v/>
          </cell>
          <cell r="J5045" t="str">
            <v/>
          </cell>
          <cell r="O5045" t="str">
            <v/>
          </cell>
          <cell r="P5045" t="str">
            <v/>
          </cell>
          <cell r="Q5045" t="str">
            <v/>
          </cell>
          <cell r="S5045" t="str">
            <v/>
          </cell>
          <cell r="V5045" t="str">
            <v/>
          </cell>
          <cell r="Z5045" t="str">
            <v/>
          </cell>
          <cell r="AA5045" t="str">
            <v/>
          </cell>
          <cell r="AB5045" t="str">
            <v/>
          </cell>
          <cell r="AC5045" t="str">
            <v/>
          </cell>
          <cell r="AD5045" t="str">
            <v/>
          </cell>
          <cell r="AY5045" t="str">
            <v/>
          </cell>
          <cell r="AZ5045" t="str">
            <v/>
          </cell>
          <cell r="BA5045" t="str">
            <v/>
          </cell>
        </row>
        <row r="5046">
          <cell r="B5046" t="str">
            <v>-</v>
          </cell>
          <cell r="E5046" t="str">
            <v/>
          </cell>
          <cell r="G5046" t="str">
            <v/>
          </cell>
          <cell r="J5046" t="str">
            <v/>
          </cell>
          <cell r="O5046" t="str">
            <v/>
          </cell>
          <cell r="P5046" t="str">
            <v/>
          </cell>
          <cell r="Q5046" t="str">
            <v/>
          </cell>
          <cell r="S5046" t="str">
            <v/>
          </cell>
          <cell r="V5046" t="str">
            <v/>
          </cell>
          <cell r="Z5046" t="str">
            <v/>
          </cell>
          <cell r="AA5046" t="str">
            <v/>
          </cell>
          <cell r="AB5046" t="str">
            <v/>
          </cell>
          <cell r="AC5046" t="str">
            <v/>
          </cell>
          <cell r="AD5046" t="str">
            <v/>
          </cell>
          <cell r="AY5046" t="str">
            <v/>
          </cell>
          <cell r="AZ5046" t="str">
            <v/>
          </cell>
          <cell r="BA5046" t="str">
            <v/>
          </cell>
        </row>
        <row r="5047">
          <cell r="B5047" t="str">
            <v>-</v>
          </cell>
          <cell r="E5047" t="str">
            <v/>
          </cell>
          <cell r="G5047" t="str">
            <v/>
          </cell>
          <cell r="J5047" t="str">
            <v/>
          </cell>
          <cell r="O5047" t="str">
            <v/>
          </cell>
          <cell r="P5047" t="str">
            <v/>
          </cell>
          <cell r="Q5047" t="str">
            <v/>
          </cell>
          <cell r="S5047" t="str">
            <v/>
          </cell>
          <cell r="V5047" t="str">
            <v/>
          </cell>
          <cell r="Z5047" t="str">
            <v/>
          </cell>
          <cell r="AA5047" t="str">
            <v/>
          </cell>
          <cell r="AB5047" t="str">
            <v/>
          </cell>
          <cell r="AC5047" t="str">
            <v/>
          </cell>
          <cell r="AD5047" t="str">
            <v/>
          </cell>
          <cell r="AY5047" t="str">
            <v/>
          </cell>
          <cell r="AZ5047" t="str">
            <v/>
          </cell>
          <cell r="BA5047" t="str">
            <v/>
          </cell>
        </row>
        <row r="5048">
          <cell r="B5048" t="str">
            <v>-</v>
          </cell>
          <cell r="E5048" t="str">
            <v/>
          </cell>
          <cell r="G5048" t="str">
            <v/>
          </cell>
          <cell r="J5048" t="str">
            <v/>
          </cell>
          <cell r="O5048" t="str">
            <v/>
          </cell>
          <cell r="P5048" t="str">
            <v/>
          </cell>
          <cell r="Q5048" t="str">
            <v/>
          </cell>
          <cell r="S5048" t="str">
            <v/>
          </cell>
          <cell r="V5048" t="str">
            <v/>
          </cell>
          <cell r="Z5048" t="str">
            <v/>
          </cell>
          <cell r="AA5048" t="str">
            <v/>
          </cell>
          <cell r="AB5048" t="str">
            <v/>
          </cell>
          <cell r="AC5048" t="str">
            <v/>
          </cell>
          <cell r="AD5048" t="str">
            <v/>
          </cell>
          <cell r="AY5048" t="str">
            <v/>
          </cell>
          <cell r="AZ5048" t="str">
            <v/>
          </cell>
          <cell r="BA5048" t="str">
            <v/>
          </cell>
        </row>
        <row r="5049">
          <cell r="B5049" t="str">
            <v>-</v>
          </cell>
          <cell r="E5049" t="str">
            <v/>
          </cell>
          <cell r="G5049" t="str">
            <v/>
          </cell>
          <cell r="J5049" t="str">
            <v/>
          </cell>
          <cell r="O5049" t="str">
            <v/>
          </cell>
          <cell r="P5049" t="str">
            <v/>
          </cell>
          <cell r="Q5049" t="str">
            <v/>
          </cell>
          <cell r="S5049" t="str">
            <v/>
          </cell>
          <cell r="V5049" t="str">
            <v/>
          </cell>
          <cell r="Z5049" t="str">
            <v/>
          </cell>
          <cell r="AA5049" t="str">
            <v/>
          </cell>
          <cell r="AB5049" t="str">
            <v/>
          </cell>
          <cell r="AC5049" t="str">
            <v/>
          </cell>
          <cell r="AD5049" t="str">
            <v/>
          </cell>
          <cell r="AY5049" t="str">
            <v/>
          </cell>
          <cell r="AZ5049" t="str">
            <v/>
          </cell>
          <cell r="BA5049" t="str">
            <v/>
          </cell>
        </row>
        <row r="5050">
          <cell r="B5050" t="str">
            <v>-</v>
          </cell>
          <cell r="E5050" t="str">
            <v/>
          </cell>
          <cell r="G5050" t="str">
            <v/>
          </cell>
          <cell r="J5050" t="str">
            <v/>
          </cell>
          <cell r="O5050" t="str">
            <v/>
          </cell>
          <cell r="P5050" t="str">
            <v/>
          </cell>
          <cell r="Q5050" t="str">
            <v/>
          </cell>
          <cell r="S5050" t="str">
            <v/>
          </cell>
          <cell r="V5050" t="str">
            <v/>
          </cell>
          <cell r="Z5050" t="str">
            <v/>
          </cell>
          <cell r="AA5050" t="str">
            <v/>
          </cell>
          <cell r="AB5050" t="str">
            <v/>
          </cell>
          <cell r="AC5050" t="str">
            <v/>
          </cell>
          <cell r="AD5050" t="str">
            <v/>
          </cell>
          <cell r="AY5050" t="str">
            <v/>
          </cell>
          <cell r="AZ5050" t="str">
            <v/>
          </cell>
          <cell r="BA5050" t="str">
            <v/>
          </cell>
        </row>
        <row r="5051">
          <cell r="B5051" t="str">
            <v>-</v>
          </cell>
          <cell r="E5051" t="str">
            <v/>
          </cell>
          <cell r="G5051" t="str">
            <v/>
          </cell>
          <cell r="J5051" t="str">
            <v/>
          </cell>
          <cell r="O5051" t="str">
            <v/>
          </cell>
          <cell r="P5051" t="str">
            <v/>
          </cell>
          <cell r="Q5051" t="str">
            <v/>
          </cell>
          <cell r="S5051" t="str">
            <v/>
          </cell>
          <cell r="V5051" t="str">
            <v/>
          </cell>
          <cell r="Z5051" t="str">
            <v/>
          </cell>
          <cell r="AA5051" t="str">
            <v/>
          </cell>
          <cell r="AB5051" t="str">
            <v/>
          </cell>
          <cell r="AC5051" t="str">
            <v/>
          </cell>
          <cell r="AD5051" t="str">
            <v/>
          </cell>
          <cell r="AY5051" t="str">
            <v/>
          </cell>
          <cell r="AZ5051" t="str">
            <v/>
          </cell>
          <cell r="BA5051" t="str">
            <v/>
          </cell>
        </row>
        <row r="5052">
          <cell r="B5052" t="str">
            <v>-</v>
          </cell>
          <cell r="E5052" t="str">
            <v/>
          </cell>
          <cell r="G5052" t="str">
            <v/>
          </cell>
          <cell r="J5052" t="str">
            <v/>
          </cell>
          <cell r="O5052" t="str">
            <v/>
          </cell>
          <cell r="P5052" t="str">
            <v/>
          </cell>
          <cell r="Q5052" t="str">
            <v/>
          </cell>
          <cell r="S5052" t="str">
            <v/>
          </cell>
          <cell r="V5052" t="str">
            <v/>
          </cell>
          <cell r="Z5052" t="str">
            <v/>
          </cell>
          <cell r="AA5052" t="str">
            <v/>
          </cell>
          <cell r="AB5052" t="str">
            <v/>
          </cell>
          <cell r="AC5052" t="str">
            <v/>
          </cell>
          <cell r="AD5052" t="str">
            <v/>
          </cell>
          <cell r="AY5052" t="str">
            <v/>
          </cell>
          <cell r="AZ5052" t="str">
            <v/>
          </cell>
          <cell r="BA5052" t="str">
            <v/>
          </cell>
        </row>
        <row r="5053">
          <cell r="B5053" t="str">
            <v>-</v>
          </cell>
          <cell r="E5053" t="str">
            <v/>
          </cell>
          <cell r="G5053" t="str">
            <v/>
          </cell>
          <cell r="J5053" t="str">
            <v/>
          </cell>
          <cell r="O5053" t="str">
            <v/>
          </cell>
          <cell r="P5053" t="str">
            <v/>
          </cell>
          <cell r="Q5053" t="str">
            <v/>
          </cell>
          <cell r="S5053" t="str">
            <v/>
          </cell>
          <cell r="V5053" t="str">
            <v/>
          </cell>
          <cell r="Z5053" t="str">
            <v/>
          </cell>
          <cell r="AA5053" t="str">
            <v/>
          </cell>
          <cell r="AB5053" t="str">
            <v/>
          </cell>
          <cell r="AC5053" t="str">
            <v/>
          </cell>
          <cell r="AD5053" t="str">
            <v/>
          </cell>
          <cell r="AY5053" t="str">
            <v/>
          </cell>
          <cell r="AZ5053" t="str">
            <v/>
          </cell>
          <cell r="BA5053" t="str">
            <v/>
          </cell>
        </row>
        <row r="5054">
          <cell r="B5054" t="str">
            <v>-</v>
          </cell>
          <cell r="E5054" t="str">
            <v/>
          </cell>
          <cell r="G5054" t="str">
            <v/>
          </cell>
          <cell r="J5054" t="str">
            <v/>
          </cell>
          <cell r="O5054" t="str">
            <v/>
          </cell>
          <cell r="P5054" t="str">
            <v/>
          </cell>
          <cell r="Q5054" t="str">
            <v/>
          </cell>
          <cell r="S5054" t="str">
            <v/>
          </cell>
          <cell r="V5054" t="str">
            <v/>
          </cell>
          <cell r="Z5054" t="str">
            <v/>
          </cell>
          <cell r="AA5054" t="str">
            <v/>
          </cell>
          <cell r="AB5054" t="str">
            <v/>
          </cell>
          <cell r="AC5054" t="str">
            <v/>
          </cell>
          <cell r="AD5054" t="str">
            <v/>
          </cell>
          <cell r="AY5054" t="str">
            <v/>
          </cell>
          <cell r="AZ5054" t="str">
            <v/>
          </cell>
          <cell r="BA5054" t="str">
            <v/>
          </cell>
        </row>
        <row r="5055">
          <cell r="B5055" t="str">
            <v>-</v>
          </cell>
          <cell r="E5055" t="str">
            <v/>
          </cell>
          <cell r="G5055" t="str">
            <v/>
          </cell>
          <cell r="J5055" t="str">
            <v/>
          </cell>
          <cell r="O5055" t="str">
            <v/>
          </cell>
          <cell r="P5055" t="str">
            <v/>
          </cell>
          <cell r="Q5055" t="str">
            <v/>
          </cell>
          <cell r="S5055" t="str">
            <v/>
          </cell>
          <cell r="V5055" t="str">
            <v/>
          </cell>
          <cell r="Z5055" t="str">
            <v/>
          </cell>
          <cell r="AA5055" t="str">
            <v/>
          </cell>
          <cell r="AB5055" t="str">
            <v/>
          </cell>
          <cell r="AC5055" t="str">
            <v/>
          </cell>
          <cell r="AD5055" t="str">
            <v/>
          </cell>
          <cell r="AY5055" t="str">
            <v/>
          </cell>
          <cell r="AZ5055" t="str">
            <v/>
          </cell>
          <cell r="BA5055" t="str">
            <v/>
          </cell>
        </row>
        <row r="5056">
          <cell r="B5056" t="str">
            <v>-</v>
          </cell>
          <cell r="E5056" t="str">
            <v/>
          </cell>
          <cell r="G5056" t="str">
            <v/>
          </cell>
          <cell r="J5056" t="str">
            <v/>
          </cell>
          <cell r="O5056" t="str">
            <v/>
          </cell>
          <cell r="P5056" t="str">
            <v/>
          </cell>
          <cell r="Q5056" t="str">
            <v/>
          </cell>
          <cell r="S5056" t="str">
            <v/>
          </cell>
          <cell r="V5056" t="str">
            <v/>
          </cell>
          <cell r="Z5056" t="str">
            <v/>
          </cell>
          <cell r="AA5056" t="str">
            <v/>
          </cell>
          <cell r="AB5056" t="str">
            <v/>
          </cell>
          <cell r="AC5056" t="str">
            <v/>
          </cell>
          <cell r="AD5056" t="str">
            <v/>
          </cell>
          <cell r="AY5056" t="str">
            <v/>
          </cell>
          <cell r="AZ5056" t="str">
            <v/>
          </cell>
          <cell r="BA5056" t="str">
            <v/>
          </cell>
        </row>
        <row r="5057">
          <cell r="B5057" t="str">
            <v>-</v>
          </cell>
          <cell r="E5057" t="str">
            <v/>
          </cell>
          <cell r="G5057" t="str">
            <v/>
          </cell>
          <cell r="J5057" t="str">
            <v/>
          </cell>
          <cell r="O5057" t="str">
            <v/>
          </cell>
          <cell r="P5057" t="str">
            <v/>
          </cell>
          <cell r="Q5057" t="str">
            <v/>
          </cell>
          <cell r="S5057" t="str">
            <v/>
          </cell>
          <cell r="V5057" t="str">
            <v/>
          </cell>
          <cell r="Z5057" t="str">
            <v/>
          </cell>
          <cell r="AA5057" t="str">
            <v/>
          </cell>
          <cell r="AB5057" t="str">
            <v/>
          </cell>
          <cell r="AC5057" t="str">
            <v/>
          </cell>
          <cell r="AD5057" t="str">
            <v/>
          </cell>
          <cell r="AY5057" t="str">
            <v/>
          </cell>
          <cell r="AZ5057" t="str">
            <v/>
          </cell>
          <cell r="BA5057" t="str">
            <v/>
          </cell>
        </row>
        <row r="5058">
          <cell r="B5058" t="str">
            <v>-</v>
          </cell>
          <cell r="E5058" t="str">
            <v/>
          </cell>
          <cell r="G5058" t="str">
            <v/>
          </cell>
          <cell r="J5058" t="str">
            <v/>
          </cell>
          <cell r="O5058" t="str">
            <v/>
          </cell>
          <cell r="P5058" t="str">
            <v/>
          </cell>
          <cell r="Q5058" t="str">
            <v/>
          </cell>
          <cell r="S5058" t="str">
            <v/>
          </cell>
          <cell r="V5058" t="str">
            <v/>
          </cell>
          <cell r="Z5058" t="str">
            <v/>
          </cell>
          <cell r="AA5058" t="str">
            <v/>
          </cell>
          <cell r="AB5058" t="str">
            <v/>
          </cell>
          <cell r="AC5058" t="str">
            <v/>
          </cell>
          <cell r="AD5058" t="str">
            <v/>
          </cell>
          <cell r="AY5058" t="str">
            <v/>
          </cell>
          <cell r="AZ5058" t="str">
            <v/>
          </cell>
          <cell r="BA5058" t="str">
            <v/>
          </cell>
        </row>
        <row r="5059">
          <cell r="B5059" t="str">
            <v>-</v>
          </cell>
          <cell r="E5059" t="str">
            <v/>
          </cell>
          <cell r="G5059" t="str">
            <v/>
          </cell>
          <cell r="J5059" t="str">
            <v/>
          </cell>
          <cell r="O5059" t="str">
            <v/>
          </cell>
          <cell r="P5059" t="str">
            <v/>
          </cell>
          <cell r="Q5059" t="str">
            <v/>
          </cell>
          <cell r="S5059" t="str">
            <v/>
          </cell>
          <cell r="V5059" t="str">
            <v/>
          </cell>
          <cell r="Z5059" t="str">
            <v/>
          </cell>
          <cell r="AA5059" t="str">
            <v/>
          </cell>
          <cell r="AB5059" t="str">
            <v/>
          </cell>
          <cell r="AC5059" t="str">
            <v/>
          </cell>
          <cell r="AD5059" t="str">
            <v/>
          </cell>
          <cell r="AY5059" t="str">
            <v/>
          </cell>
          <cell r="AZ5059" t="str">
            <v/>
          </cell>
          <cell r="BA5059" t="str">
            <v/>
          </cell>
        </row>
        <row r="5060">
          <cell r="B5060" t="str">
            <v>-</v>
          </cell>
          <cell r="E5060" t="str">
            <v/>
          </cell>
          <cell r="G5060" t="str">
            <v/>
          </cell>
          <cell r="J5060" t="str">
            <v/>
          </cell>
          <cell r="O5060" t="str">
            <v/>
          </cell>
          <cell r="P5060" t="str">
            <v/>
          </cell>
          <cell r="Q5060" t="str">
            <v/>
          </cell>
          <cell r="S5060" t="str">
            <v/>
          </cell>
          <cell r="V5060" t="str">
            <v/>
          </cell>
          <cell r="Z5060" t="str">
            <v/>
          </cell>
          <cell r="AA5060" t="str">
            <v/>
          </cell>
          <cell r="AB5060" t="str">
            <v/>
          </cell>
          <cell r="AC5060" t="str">
            <v/>
          </cell>
          <cell r="AD5060" t="str">
            <v/>
          </cell>
          <cell r="AY5060" t="str">
            <v/>
          </cell>
          <cell r="AZ5060" t="str">
            <v/>
          </cell>
          <cell r="BA5060" t="str">
            <v/>
          </cell>
        </row>
        <row r="5061">
          <cell r="B5061" t="str">
            <v>-</v>
          </cell>
          <cell r="E5061" t="str">
            <v/>
          </cell>
          <cell r="G5061" t="str">
            <v/>
          </cell>
          <cell r="J5061" t="str">
            <v/>
          </cell>
          <cell r="O5061" t="str">
            <v/>
          </cell>
          <cell r="P5061" t="str">
            <v/>
          </cell>
          <cell r="Q5061" t="str">
            <v/>
          </cell>
          <cell r="S5061" t="str">
            <v/>
          </cell>
          <cell r="V5061" t="str">
            <v/>
          </cell>
          <cell r="Z5061" t="str">
            <v/>
          </cell>
          <cell r="AA5061" t="str">
            <v/>
          </cell>
          <cell r="AB5061" t="str">
            <v/>
          </cell>
          <cell r="AC5061" t="str">
            <v/>
          </cell>
          <cell r="AD5061" t="str">
            <v/>
          </cell>
          <cell r="AY5061" t="str">
            <v/>
          </cell>
          <cell r="AZ5061" t="str">
            <v/>
          </cell>
          <cell r="BA5061" t="str">
            <v/>
          </cell>
        </row>
        <row r="5062">
          <cell r="B5062" t="str">
            <v>-</v>
          </cell>
          <cell r="E5062" t="str">
            <v/>
          </cell>
          <cell r="G5062" t="str">
            <v/>
          </cell>
          <cell r="J5062" t="str">
            <v/>
          </cell>
          <cell r="O5062" t="str">
            <v/>
          </cell>
          <cell r="P5062" t="str">
            <v/>
          </cell>
          <cell r="Q5062" t="str">
            <v/>
          </cell>
          <cell r="S5062" t="str">
            <v/>
          </cell>
          <cell r="V5062" t="str">
            <v/>
          </cell>
          <cell r="Z5062" t="str">
            <v/>
          </cell>
          <cell r="AA5062" t="str">
            <v/>
          </cell>
          <cell r="AB5062" t="str">
            <v/>
          </cell>
          <cell r="AC5062" t="str">
            <v/>
          </cell>
          <cell r="AD5062" t="str">
            <v/>
          </cell>
          <cell r="AY5062" t="str">
            <v/>
          </cell>
          <cell r="AZ5062" t="str">
            <v/>
          </cell>
          <cell r="BA5062" t="str">
            <v/>
          </cell>
        </row>
        <row r="5063">
          <cell r="B5063" t="str">
            <v>-</v>
          </cell>
          <cell r="E5063" t="str">
            <v/>
          </cell>
          <cell r="G5063" t="str">
            <v/>
          </cell>
          <cell r="J5063" t="str">
            <v/>
          </cell>
          <cell r="O5063" t="str">
            <v/>
          </cell>
          <cell r="P5063" t="str">
            <v/>
          </cell>
          <cell r="Q5063" t="str">
            <v/>
          </cell>
          <cell r="S5063" t="str">
            <v/>
          </cell>
          <cell r="V5063" t="str">
            <v/>
          </cell>
          <cell r="Z5063" t="str">
            <v/>
          </cell>
          <cell r="AA5063" t="str">
            <v/>
          </cell>
          <cell r="AB5063" t="str">
            <v/>
          </cell>
          <cell r="AC5063" t="str">
            <v/>
          </cell>
          <cell r="AD5063" t="str">
            <v/>
          </cell>
          <cell r="AY5063" t="str">
            <v/>
          </cell>
          <cell r="AZ5063" t="str">
            <v/>
          </cell>
          <cell r="BA5063" t="str">
            <v/>
          </cell>
        </row>
        <row r="5064">
          <cell r="B5064" t="str">
            <v>-</v>
          </cell>
          <cell r="E5064" t="str">
            <v/>
          </cell>
          <cell r="G5064" t="str">
            <v/>
          </cell>
          <cell r="J5064" t="str">
            <v/>
          </cell>
          <cell r="O5064" t="str">
            <v/>
          </cell>
          <cell r="P5064" t="str">
            <v/>
          </cell>
          <cell r="Q5064" t="str">
            <v/>
          </cell>
          <cell r="S5064" t="str">
            <v/>
          </cell>
          <cell r="V5064" t="str">
            <v/>
          </cell>
          <cell r="Z5064" t="str">
            <v/>
          </cell>
          <cell r="AA5064" t="str">
            <v/>
          </cell>
          <cell r="AB5064" t="str">
            <v/>
          </cell>
          <cell r="AC5064" t="str">
            <v/>
          </cell>
          <cell r="AD5064" t="str">
            <v/>
          </cell>
          <cell r="AY5064" t="str">
            <v/>
          </cell>
          <cell r="AZ5064" t="str">
            <v/>
          </cell>
          <cell r="BA5064" t="str">
            <v/>
          </cell>
        </row>
        <row r="5065">
          <cell r="B5065" t="str">
            <v>-</v>
          </cell>
          <cell r="E5065" t="str">
            <v/>
          </cell>
          <cell r="G5065" t="str">
            <v/>
          </cell>
          <cell r="J5065" t="str">
            <v/>
          </cell>
          <cell r="O5065" t="str">
            <v/>
          </cell>
          <cell r="P5065" t="str">
            <v/>
          </cell>
          <cell r="Q5065" t="str">
            <v/>
          </cell>
          <cell r="S5065" t="str">
            <v/>
          </cell>
          <cell r="V5065" t="str">
            <v/>
          </cell>
          <cell r="Z5065" t="str">
            <v/>
          </cell>
          <cell r="AA5065" t="str">
            <v/>
          </cell>
          <cell r="AB5065" t="str">
            <v/>
          </cell>
          <cell r="AC5065" t="str">
            <v/>
          </cell>
          <cell r="AD5065" t="str">
            <v/>
          </cell>
          <cell r="AY5065" t="str">
            <v/>
          </cell>
          <cell r="AZ5065" t="str">
            <v/>
          </cell>
          <cell r="BA5065" t="str">
            <v/>
          </cell>
        </row>
        <row r="5066">
          <cell r="B5066" t="str">
            <v>-</v>
          </cell>
          <cell r="E5066" t="str">
            <v/>
          </cell>
          <cell r="G5066" t="str">
            <v/>
          </cell>
          <cell r="J5066" t="str">
            <v/>
          </cell>
          <cell r="O5066" t="str">
            <v/>
          </cell>
          <cell r="P5066" t="str">
            <v/>
          </cell>
          <cell r="Q5066" t="str">
            <v/>
          </cell>
          <cell r="S5066" t="str">
            <v/>
          </cell>
          <cell r="V5066" t="str">
            <v/>
          </cell>
          <cell r="Z5066" t="str">
            <v/>
          </cell>
          <cell r="AA5066" t="str">
            <v/>
          </cell>
          <cell r="AB5066" t="str">
            <v/>
          </cell>
          <cell r="AC5066" t="str">
            <v/>
          </cell>
          <cell r="AD5066" t="str">
            <v/>
          </cell>
          <cell r="AY5066" t="str">
            <v/>
          </cell>
          <cell r="AZ5066" t="str">
            <v/>
          </cell>
          <cell r="BA5066" t="str">
            <v/>
          </cell>
        </row>
        <row r="5067">
          <cell r="B5067" t="str">
            <v>-</v>
          </cell>
          <cell r="E5067" t="str">
            <v/>
          </cell>
          <cell r="G5067" t="str">
            <v/>
          </cell>
          <cell r="J5067" t="str">
            <v/>
          </cell>
          <cell r="O5067" t="str">
            <v/>
          </cell>
          <cell r="P5067" t="str">
            <v/>
          </cell>
          <cell r="Q5067" t="str">
            <v/>
          </cell>
          <cell r="S5067" t="str">
            <v/>
          </cell>
          <cell r="V5067" t="str">
            <v/>
          </cell>
          <cell r="Z5067" t="str">
            <v/>
          </cell>
          <cell r="AA5067" t="str">
            <v/>
          </cell>
          <cell r="AB5067" t="str">
            <v/>
          </cell>
          <cell r="AC5067" t="str">
            <v/>
          </cell>
          <cell r="AD5067" t="str">
            <v/>
          </cell>
          <cell r="AY5067" t="str">
            <v/>
          </cell>
          <cell r="AZ5067" t="str">
            <v/>
          </cell>
          <cell r="BA5067" t="str">
            <v/>
          </cell>
        </row>
        <row r="5068">
          <cell r="B5068" t="str">
            <v>-</v>
          </cell>
          <cell r="E5068" t="str">
            <v/>
          </cell>
          <cell r="G5068" t="str">
            <v/>
          </cell>
          <cell r="J5068" t="str">
            <v/>
          </cell>
          <cell r="O5068" t="str">
            <v/>
          </cell>
          <cell r="P5068" t="str">
            <v/>
          </cell>
          <cell r="Q5068" t="str">
            <v/>
          </cell>
          <cell r="S5068" t="str">
            <v/>
          </cell>
          <cell r="V5068" t="str">
            <v/>
          </cell>
          <cell r="Z5068" t="str">
            <v/>
          </cell>
          <cell r="AA5068" t="str">
            <v/>
          </cell>
          <cell r="AB5068" t="str">
            <v/>
          </cell>
          <cell r="AC5068" t="str">
            <v/>
          </cell>
          <cell r="AD5068" t="str">
            <v/>
          </cell>
          <cell r="AY5068" t="str">
            <v/>
          </cell>
          <cell r="AZ5068" t="str">
            <v/>
          </cell>
          <cell r="BA5068" t="str">
            <v/>
          </cell>
        </row>
        <row r="5069">
          <cell r="B5069" t="str">
            <v>-</v>
          </cell>
          <cell r="E5069" t="str">
            <v/>
          </cell>
          <cell r="G5069" t="str">
            <v/>
          </cell>
          <cell r="J5069" t="str">
            <v/>
          </cell>
          <cell r="O5069" t="str">
            <v/>
          </cell>
          <cell r="P5069" t="str">
            <v/>
          </cell>
          <cell r="Q5069" t="str">
            <v/>
          </cell>
          <cell r="S5069" t="str">
            <v/>
          </cell>
          <cell r="V5069" t="str">
            <v/>
          </cell>
          <cell r="Z5069" t="str">
            <v/>
          </cell>
          <cell r="AA5069" t="str">
            <v/>
          </cell>
          <cell r="AB5069" t="str">
            <v/>
          </cell>
          <cell r="AC5069" t="str">
            <v/>
          </cell>
          <cell r="AD5069" t="str">
            <v/>
          </cell>
          <cell r="AY5069" t="str">
            <v/>
          </cell>
          <cell r="AZ5069" t="str">
            <v/>
          </cell>
          <cell r="BA5069" t="str">
            <v/>
          </cell>
        </row>
        <row r="5070">
          <cell r="B5070" t="str">
            <v>-</v>
          </cell>
          <cell r="E5070" t="str">
            <v/>
          </cell>
          <cell r="G5070" t="str">
            <v/>
          </cell>
          <cell r="J5070" t="str">
            <v/>
          </cell>
          <cell r="O5070" t="str">
            <v/>
          </cell>
          <cell r="P5070" t="str">
            <v/>
          </cell>
          <cell r="Q5070" t="str">
            <v/>
          </cell>
          <cell r="S5070" t="str">
            <v/>
          </cell>
          <cell r="V5070" t="str">
            <v/>
          </cell>
          <cell r="Z5070" t="str">
            <v/>
          </cell>
          <cell r="AA5070" t="str">
            <v/>
          </cell>
          <cell r="AB5070" t="str">
            <v/>
          </cell>
          <cell r="AC5070" t="str">
            <v/>
          </cell>
          <cell r="AD5070" t="str">
            <v/>
          </cell>
          <cell r="AY5070" t="str">
            <v/>
          </cell>
          <cell r="AZ5070" t="str">
            <v/>
          </cell>
          <cell r="BA5070" t="str">
            <v/>
          </cell>
        </row>
        <row r="5071">
          <cell r="B5071" t="str">
            <v>-</v>
          </cell>
          <cell r="E5071" t="str">
            <v/>
          </cell>
          <cell r="G5071" t="str">
            <v/>
          </cell>
          <cell r="J5071" t="str">
            <v/>
          </cell>
          <cell r="O5071" t="str">
            <v/>
          </cell>
          <cell r="P5071" t="str">
            <v/>
          </cell>
          <cell r="Q5071" t="str">
            <v/>
          </cell>
          <cell r="S5071" t="str">
            <v/>
          </cell>
          <cell r="V5071" t="str">
            <v/>
          </cell>
          <cell r="Z5071" t="str">
            <v/>
          </cell>
          <cell r="AA5071" t="str">
            <v/>
          </cell>
          <cell r="AB5071" t="str">
            <v/>
          </cell>
          <cell r="AC5071" t="str">
            <v/>
          </cell>
          <cell r="AD5071" t="str">
            <v/>
          </cell>
          <cell r="AY5071" t="str">
            <v/>
          </cell>
          <cell r="AZ5071" t="str">
            <v/>
          </cell>
          <cell r="BA5071" t="str">
            <v/>
          </cell>
        </row>
        <row r="5072">
          <cell r="B5072" t="str">
            <v>-</v>
          </cell>
          <cell r="E5072" t="str">
            <v/>
          </cell>
          <cell r="G5072" t="str">
            <v/>
          </cell>
          <cell r="J5072" t="str">
            <v/>
          </cell>
          <cell r="O5072" t="str">
            <v/>
          </cell>
          <cell r="P5072" t="str">
            <v/>
          </cell>
          <cell r="Q5072" t="str">
            <v/>
          </cell>
          <cell r="S5072" t="str">
            <v/>
          </cell>
          <cell r="V5072" t="str">
            <v/>
          </cell>
          <cell r="Z5072" t="str">
            <v/>
          </cell>
          <cell r="AA5072" t="str">
            <v/>
          </cell>
          <cell r="AB5072" t="str">
            <v/>
          </cell>
          <cell r="AC5072" t="str">
            <v/>
          </cell>
          <cell r="AD5072" t="str">
            <v/>
          </cell>
          <cell r="AY5072" t="str">
            <v/>
          </cell>
          <cell r="AZ5072" t="str">
            <v/>
          </cell>
          <cell r="BA5072" t="str">
            <v/>
          </cell>
        </row>
        <row r="5073">
          <cell r="B5073" t="str">
            <v>-</v>
          </cell>
          <cell r="E5073" t="str">
            <v/>
          </cell>
          <cell r="G5073" t="str">
            <v/>
          </cell>
          <cell r="J5073" t="str">
            <v/>
          </cell>
          <cell r="O5073" t="str">
            <v/>
          </cell>
          <cell r="P5073" t="str">
            <v/>
          </cell>
          <cell r="Q5073" t="str">
            <v/>
          </cell>
          <cell r="S5073" t="str">
            <v/>
          </cell>
          <cell r="V5073" t="str">
            <v/>
          </cell>
          <cell r="Z5073" t="str">
            <v/>
          </cell>
          <cell r="AA5073" t="str">
            <v/>
          </cell>
          <cell r="AB5073" t="str">
            <v/>
          </cell>
          <cell r="AC5073" t="str">
            <v/>
          </cell>
          <cell r="AD5073" t="str">
            <v/>
          </cell>
          <cell r="AY5073" t="str">
            <v/>
          </cell>
          <cell r="AZ5073" t="str">
            <v/>
          </cell>
          <cell r="BA5073" t="str">
            <v/>
          </cell>
        </row>
        <row r="5074">
          <cell r="B5074" t="str">
            <v>-</v>
          </cell>
          <cell r="E5074" t="str">
            <v/>
          </cell>
          <cell r="G5074" t="str">
            <v/>
          </cell>
          <cell r="J5074" t="str">
            <v/>
          </cell>
          <cell r="O5074" t="str">
            <v/>
          </cell>
          <cell r="P5074" t="str">
            <v/>
          </cell>
          <cell r="Q5074" t="str">
            <v/>
          </cell>
          <cell r="S5074" t="str">
            <v/>
          </cell>
          <cell r="V5074" t="str">
            <v/>
          </cell>
          <cell r="Z5074" t="str">
            <v/>
          </cell>
          <cell r="AA5074" t="str">
            <v/>
          </cell>
          <cell r="AB5074" t="str">
            <v/>
          </cell>
          <cell r="AC5074" t="str">
            <v/>
          </cell>
          <cell r="AD5074" t="str">
            <v/>
          </cell>
          <cell r="AY5074" t="str">
            <v/>
          </cell>
          <cell r="AZ5074" t="str">
            <v/>
          </cell>
          <cell r="BA5074" t="str">
            <v/>
          </cell>
        </row>
        <row r="5075">
          <cell r="B5075" t="str">
            <v>-</v>
          </cell>
          <cell r="E5075" t="str">
            <v/>
          </cell>
          <cell r="G5075" t="str">
            <v/>
          </cell>
          <cell r="J5075" t="str">
            <v/>
          </cell>
          <cell r="O5075" t="str">
            <v/>
          </cell>
          <cell r="P5075" t="str">
            <v/>
          </cell>
          <cell r="Q5075" t="str">
            <v/>
          </cell>
          <cell r="S5075" t="str">
            <v/>
          </cell>
          <cell r="V5075" t="str">
            <v/>
          </cell>
          <cell r="Z5075" t="str">
            <v/>
          </cell>
          <cell r="AA5075" t="str">
            <v/>
          </cell>
          <cell r="AB5075" t="str">
            <v/>
          </cell>
          <cell r="AC5075" t="str">
            <v/>
          </cell>
          <cell r="AD5075" t="str">
            <v/>
          </cell>
          <cell r="AY5075" t="str">
            <v/>
          </cell>
          <cell r="AZ5075" t="str">
            <v/>
          </cell>
          <cell r="BA5075" t="str">
            <v/>
          </cell>
        </row>
        <row r="5076">
          <cell r="B5076" t="str">
            <v>-</v>
          </cell>
          <cell r="E5076" t="str">
            <v/>
          </cell>
          <cell r="G5076" t="str">
            <v/>
          </cell>
          <cell r="J5076" t="str">
            <v/>
          </cell>
          <cell r="O5076" t="str">
            <v/>
          </cell>
          <cell r="P5076" t="str">
            <v/>
          </cell>
          <cell r="Q5076" t="str">
            <v/>
          </cell>
          <cell r="S5076" t="str">
            <v/>
          </cell>
          <cell r="V5076" t="str">
            <v/>
          </cell>
          <cell r="Z5076" t="str">
            <v/>
          </cell>
          <cell r="AA5076" t="str">
            <v/>
          </cell>
          <cell r="AB5076" t="str">
            <v/>
          </cell>
          <cell r="AC5076" t="str">
            <v/>
          </cell>
          <cell r="AD5076" t="str">
            <v/>
          </cell>
          <cell r="AY5076" t="str">
            <v/>
          </cell>
          <cell r="AZ5076" t="str">
            <v/>
          </cell>
          <cell r="BA5076" t="str">
            <v/>
          </cell>
        </row>
        <row r="5077">
          <cell r="B5077" t="str">
            <v>-</v>
          </cell>
          <cell r="E5077" t="str">
            <v/>
          </cell>
          <cell r="G5077" t="str">
            <v/>
          </cell>
          <cell r="J5077" t="str">
            <v/>
          </cell>
          <cell r="O5077" t="str">
            <v/>
          </cell>
          <cell r="P5077" t="str">
            <v/>
          </cell>
          <cell r="Q5077" t="str">
            <v/>
          </cell>
          <cell r="S5077" t="str">
            <v/>
          </cell>
          <cell r="V5077" t="str">
            <v/>
          </cell>
          <cell r="Z5077" t="str">
            <v/>
          </cell>
          <cell r="AA5077" t="str">
            <v/>
          </cell>
          <cell r="AB5077" t="str">
            <v/>
          </cell>
          <cell r="AC5077" t="str">
            <v/>
          </cell>
          <cell r="AD5077" t="str">
            <v/>
          </cell>
          <cell r="AY5077" t="str">
            <v/>
          </cell>
          <cell r="AZ5077" t="str">
            <v/>
          </cell>
          <cell r="BA5077" t="str">
            <v/>
          </cell>
        </row>
        <row r="5078">
          <cell r="B5078" t="str">
            <v>-</v>
          </cell>
          <cell r="E5078" t="str">
            <v/>
          </cell>
          <cell r="G5078" t="str">
            <v/>
          </cell>
          <cell r="J5078" t="str">
            <v/>
          </cell>
          <cell r="O5078" t="str">
            <v/>
          </cell>
          <cell r="P5078" t="str">
            <v/>
          </cell>
          <cell r="Q5078" t="str">
            <v/>
          </cell>
          <cell r="S5078" t="str">
            <v/>
          </cell>
          <cell r="V5078" t="str">
            <v/>
          </cell>
          <cell r="Z5078" t="str">
            <v/>
          </cell>
          <cell r="AA5078" t="str">
            <v/>
          </cell>
          <cell r="AB5078" t="str">
            <v/>
          </cell>
          <cell r="AC5078" t="str">
            <v/>
          </cell>
          <cell r="AD5078" t="str">
            <v/>
          </cell>
          <cell r="AY5078" t="str">
            <v/>
          </cell>
          <cell r="AZ5078" t="str">
            <v/>
          </cell>
          <cell r="BA5078" t="str">
            <v/>
          </cell>
        </row>
        <row r="5079">
          <cell r="B5079" t="str">
            <v>-</v>
          </cell>
          <cell r="E5079" t="str">
            <v/>
          </cell>
          <cell r="G5079" t="str">
            <v/>
          </cell>
          <cell r="J5079" t="str">
            <v/>
          </cell>
          <cell r="O5079" t="str">
            <v/>
          </cell>
          <cell r="P5079" t="str">
            <v/>
          </cell>
          <cell r="Q5079" t="str">
            <v/>
          </cell>
          <cell r="S5079" t="str">
            <v/>
          </cell>
          <cell r="V5079" t="str">
            <v/>
          </cell>
          <cell r="Z5079" t="str">
            <v/>
          </cell>
          <cell r="AA5079" t="str">
            <v/>
          </cell>
          <cell r="AB5079" t="str">
            <v/>
          </cell>
          <cell r="AC5079" t="str">
            <v/>
          </cell>
          <cell r="AD5079" t="str">
            <v/>
          </cell>
          <cell r="AY5079" t="str">
            <v/>
          </cell>
          <cell r="AZ5079" t="str">
            <v/>
          </cell>
          <cell r="BA5079" t="str">
            <v/>
          </cell>
        </row>
        <row r="5080">
          <cell r="B5080" t="str">
            <v>-</v>
          </cell>
          <cell r="E5080" t="str">
            <v/>
          </cell>
          <cell r="G5080" t="str">
            <v/>
          </cell>
          <cell r="J5080" t="str">
            <v/>
          </cell>
          <cell r="O5080" t="str">
            <v/>
          </cell>
          <cell r="P5080" t="str">
            <v/>
          </cell>
          <cell r="Q5080" t="str">
            <v/>
          </cell>
          <cell r="S5080" t="str">
            <v/>
          </cell>
          <cell r="V5080" t="str">
            <v/>
          </cell>
          <cell r="Z5080" t="str">
            <v/>
          </cell>
          <cell r="AA5080" t="str">
            <v/>
          </cell>
          <cell r="AB5080" t="str">
            <v/>
          </cell>
          <cell r="AC5080" t="str">
            <v/>
          </cell>
          <cell r="AD5080" t="str">
            <v/>
          </cell>
          <cell r="AY5080" t="str">
            <v/>
          </cell>
          <cell r="AZ5080" t="str">
            <v/>
          </cell>
          <cell r="BA5080" t="str">
            <v/>
          </cell>
        </row>
        <row r="5081">
          <cell r="B5081" t="str">
            <v>-</v>
          </cell>
          <cell r="E5081" t="str">
            <v/>
          </cell>
          <cell r="G5081" t="str">
            <v/>
          </cell>
          <cell r="J5081" t="str">
            <v/>
          </cell>
          <cell r="O5081" t="str">
            <v/>
          </cell>
          <cell r="P5081" t="str">
            <v/>
          </cell>
          <cell r="Q5081" t="str">
            <v/>
          </cell>
          <cell r="S5081" t="str">
            <v/>
          </cell>
          <cell r="V5081" t="str">
            <v/>
          </cell>
          <cell r="Z5081" t="str">
            <v/>
          </cell>
          <cell r="AA5081" t="str">
            <v/>
          </cell>
          <cell r="AB5081" t="str">
            <v/>
          </cell>
          <cell r="AC5081" t="str">
            <v/>
          </cell>
          <cell r="AD5081" t="str">
            <v/>
          </cell>
          <cell r="AY5081" t="str">
            <v/>
          </cell>
          <cell r="AZ5081" t="str">
            <v/>
          </cell>
          <cell r="BA5081" t="str">
            <v/>
          </cell>
        </row>
        <row r="5082">
          <cell r="B5082" t="str">
            <v>-</v>
          </cell>
          <cell r="E5082" t="str">
            <v/>
          </cell>
          <cell r="G5082" t="str">
            <v/>
          </cell>
          <cell r="J5082" t="str">
            <v/>
          </cell>
          <cell r="O5082" t="str">
            <v/>
          </cell>
          <cell r="P5082" t="str">
            <v/>
          </cell>
          <cell r="Q5082" t="str">
            <v/>
          </cell>
          <cell r="S5082" t="str">
            <v/>
          </cell>
          <cell r="V5082" t="str">
            <v/>
          </cell>
          <cell r="Z5082" t="str">
            <v/>
          </cell>
          <cell r="AA5082" t="str">
            <v/>
          </cell>
          <cell r="AB5082" t="str">
            <v/>
          </cell>
          <cell r="AC5082" t="str">
            <v/>
          </cell>
          <cell r="AD5082" t="str">
            <v/>
          </cell>
          <cell r="AY5082" t="str">
            <v/>
          </cell>
          <cell r="AZ5082" t="str">
            <v/>
          </cell>
          <cell r="BA5082" t="str">
            <v/>
          </cell>
        </row>
        <row r="5083">
          <cell r="B5083" t="str">
            <v>-</v>
          </cell>
          <cell r="E5083" t="str">
            <v/>
          </cell>
          <cell r="G5083" t="str">
            <v/>
          </cell>
          <cell r="J5083" t="str">
            <v/>
          </cell>
          <cell r="O5083" t="str">
            <v/>
          </cell>
          <cell r="P5083" t="str">
            <v/>
          </cell>
          <cell r="Q5083" t="str">
            <v/>
          </cell>
          <cell r="S5083" t="str">
            <v/>
          </cell>
          <cell r="V5083" t="str">
            <v/>
          </cell>
          <cell r="Z5083" t="str">
            <v/>
          </cell>
          <cell r="AA5083" t="str">
            <v/>
          </cell>
          <cell r="AB5083" t="str">
            <v/>
          </cell>
          <cell r="AC5083" t="str">
            <v/>
          </cell>
          <cell r="AD5083" t="str">
            <v/>
          </cell>
          <cell r="AY5083" t="str">
            <v/>
          </cell>
          <cell r="AZ5083" t="str">
            <v/>
          </cell>
          <cell r="BA5083" t="str">
            <v/>
          </cell>
        </row>
        <row r="5084">
          <cell r="B5084" t="str">
            <v>-</v>
          </cell>
          <cell r="E5084" t="str">
            <v/>
          </cell>
          <cell r="G5084" t="str">
            <v/>
          </cell>
          <cell r="J5084" t="str">
            <v/>
          </cell>
          <cell r="O5084" t="str">
            <v/>
          </cell>
          <cell r="P5084" t="str">
            <v/>
          </cell>
          <cell r="Q5084" t="str">
            <v/>
          </cell>
          <cell r="S5084" t="str">
            <v/>
          </cell>
          <cell r="V5084" t="str">
            <v/>
          </cell>
          <cell r="Z5084" t="str">
            <v/>
          </cell>
          <cell r="AA5084" t="str">
            <v/>
          </cell>
          <cell r="AB5084" t="str">
            <v/>
          </cell>
          <cell r="AC5084" t="str">
            <v/>
          </cell>
          <cell r="AD5084" t="str">
            <v/>
          </cell>
          <cell r="AY5084" t="str">
            <v/>
          </cell>
          <cell r="AZ5084" t="str">
            <v/>
          </cell>
          <cell r="BA5084" t="str">
            <v/>
          </cell>
        </row>
        <row r="5085">
          <cell r="B5085" t="str">
            <v>-</v>
          </cell>
          <cell r="E5085" t="str">
            <v/>
          </cell>
          <cell r="G5085" t="str">
            <v/>
          </cell>
          <cell r="J5085" t="str">
            <v/>
          </cell>
          <cell r="O5085" t="str">
            <v/>
          </cell>
          <cell r="P5085" t="str">
            <v/>
          </cell>
          <cell r="Q5085" t="str">
            <v/>
          </cell>
          <cell r="S5085" t="str">
            <v/>
          </cell>
          <cell r="V5085" t="str">
            <v/>
          </cell>
          <cell r="Z5085" t="str">
            <v/>
          </cell>
          <cell r="AA5085" t="str">
            <v/>
          </cell>
          <cell r="AB5085" t="str">
            <v/>
          </cell>
          <cell r="AC5085" t="str">
            <v/>
          </cell>
          <cell r="AD5085" t="str">
            <v/>
          </cell>
          <cell r="AY5085" t="str">
            <v/>
          </cell>
          <cell r="AZ5085" t="str">
            <v/>
          </cell>
          <cell r="BA5085" t="str">
            <v/>
          </cell>
        </row>
        <row r="5086">
          <cell r="B5086" t="str">
            <v>-</v>
          </cell>
          <cell r="E5086" t="str">
            <v/>
          </cell>
          <cell r="G5086" t="str">
            <v/>
          </cell>
          <cell r="J5086" t="str">
            <v/>
          </cell>
          <cell r="O5086" t="str">
            <v/>
          </cell>
          <cell r="P5086" t="str">
            <v/>
          </cell>
          <cell r="Q5086" t="str">
            <v/>
          </cell>
          <cell r="S5086" t="str">
            <v/>
          </cell>
          <cell r="V5086" t="str">
            <v/>
          </cell>
          <cell r="Z5086" t="str">
            <v/>
          </cell>
          <cell r="AA5086" t="str">
            <v/>
          </cell>
          <cell r="AB5086" t="str">
            <v/>
          </cell>
          <cell r="AC5086" t="str">
            <v/>
          </cell>
          <cell r="AD5086" t="str">
            <v/>
          </cell>
          <cell r="AY5086" t="str">
            <v/>
          </cell>
          <cell r="AZ5086" t="str">
            <v/>
          </cell>
          <cell r="BA5086" t="str">
            <v/>
          </cell>
        </row>
        <row r="5087">
          <cell r="B5087" t="str">
            <v>-</v>
          </cell>
          <cell r="E5087" t="str">
            <v/>
          </cell>
          <cell r="G5087" t="str">
            <v/>
          </cell>
          <cell r="J5087" t="str">
            <v/>
          </cell>
          <cell r="O5087" t="str">
            <v/>
          </cell>
          <cell r="P5087" t="str">
            <v/>
          </cell>
          <cell r="Q5087" t="str">
            <v/>
          </cell>
          <cell r="S5087" t="str">
            <v/>
          </cell>
          <cell r="V5087" t="str">
            <v/>
          </cell>
          <cell r="Z5087" t="str">
            <v/>
          </cell>
          <cell r="AA5087" t="str">
            <v/>
          </cell>
          <cell r="AB5087" t="str">
            <v/>
          </cell>
          <cell r="AC5087" t="str">
            <v/>
          </cell>
          <cell r="AD5087" t="str">
            <v/>
          </cell>
          <cell r="AY5087" t="str">
            <v/>
          </cell>
          <cell r="AZ5087" t="str">
            <v/>
          </cell>
          <cell r="BA5087" t="str">
            <v/>
          </cell>
        </row>
        <row r="5088">
          <cell r="B5088" t="str">
            <v>-</v>
          </cell>
          <cell r="E5088" t="str">
            <v/>
          </cell>
          <cell r="G5088" t="str">
            <v/>
          </cell>
          <cell r="J5088" t="str">
            <v/>
          </cell>
          <cell r="O5088" t="str">
            <v/>
          </cell>
          <cell r="P5088" t="str">
            <v/>
          </cell>
          <cell r="Q5088" t="str">
            <v/>
          </cell>
          <cell r="S5088" t="str">
            <v/>
          </cell>
          <cell r="V5088" t="str">
            <v/>
          </cell>
          <cell r="Z5088" t="str">
            <v/>
          </cell>
          <cell r="AA5088" t="str">
            <v/>
          </cell>
          <cell r="AB5088" t="str">
            <v/>
          </cell>
          <cell r="AC5088" t="str">
            <v/>
          </cell>
          <cell r="AD5088" t="str">
            <v/>
          </cell>
          <cell r="AY5088" t="str">
            <v/>
          </cell>
          <cell r="AZ5088" t="str">
            <v/>
          </cell>
          <cell r="BA5088" t="str">
            <v/>
          </cell>
        </row>
        <row r="5089">
          <cell r="B5089" t="str">
            <v>-</v>
          </cell>
          <cell r="E5089" t="str">
            <v/>
          </cell>
          <cell r="G5089" t="str">
            <v/>
          </cell>
          <cell r="J5089" t="str">
            <v/>
          </cell>
          <cell r="O5089" t="str">
            <v/>
          </cell>
          <cell r="P5089" t="str">
            <v/>
          </cell>
          <cell r="Q5089" t="str">
            <v/>
          </cell>
          <cell r="S5089" t="str">
            <v/>
          </cell>
          <cell r="V5089" t="str">
            <v/>
          </cell>
          <cell r="Z5089" t="str">
            <v/>
          </cell>
          <cell r="AA5089" t="str">
            <v/>
          </cell>
          <cell r="AB5089" t="str">
            <v/>
          </cell>
          <cell r="AC5089" t="str">
            <v/>
          </cell>
          <cell r="AD5089" t="str">
            <v/>
          </cell>
          <cell r="AY5089" t="str">
            <v/>
          </cell>
          <cell r="AZ5089" t="str">
            <v/>
          </cell>
          <cell r="BA5089" t="str">
            <v/>
          </cell>
        </row>
        <row r="5090">
          <cell r="B5090" t="str">
            <v>-</v>
          </cell>
          <cell r="E5090" t="str">
            <v/>
          </cell>
          <cell r="G5090" t="str">
            <v/>
          </cell>
          <cell r="J5090" t="str">
            <v/>
          </cell>
          <cell r="O5090" t="str">
            <v/>
          </cell>
          <cell r="P5090" t="str">
            <v/>
          </cell>
          <cell r="Q5090" t="str">
            <v/>
          </cell>
          <cell r="S5090" t="str">
            <v/>
          </cell>
          <cell r="V5090" t="str">
            <v/>
          </cell>
          <cell r="Z5090" t="str">
            <v/>
          </cell>
          <cell r="AA5090" t="str">
            <v/>
          </cell>
          <cell r="AB5090" t="str">
            <v/>
          </cell>
          <cell r="AC5090" t="str">
            <v/>
          </cell>
          <cell r="AD5090" t="str">
            <v/>
          </cell>
          <cell r="AY5090" t="str">
            <v/>
          </cell>
          <cell r="AZ5090" t="str">
            <v/>
          </cell>
          <cell r="BA5090" t="str">
            <v/>
          </cell>
        </row>
        <row r="5091">
          <cell r="B5091" t="str">
            <v>-</v>
          </cell>
          <cell r="E5091" t="str">
            <v/>
          </cell>
          <cell r="G5091" t="str">
            <v/>
          </cell>
          <cell r="J5091" t="str">
            <v/>
          </cell>
          <cell r="O5091" t="str">
            <v/>
          </cell>
          <cell r="P5091" t="str">
            <v/>
          </cell>
          <cell r="Q5091" t="str">
            <v/>
          </cell>
          <cell r="S5091" t="str">
            <v/>
          </cell>
          <cell r="V5091" t="str">
            <v/>
          </cell>
          <cell r="Z5091" t="str">
            <v/>
          </cell>
          <cell r="AA5091" t="str">
            <v/>
          </cell>
          <cell r="AB5091" t="str">
            <v/>
          </cell>
          <cell r="AC5091" t="str">
            <v/>
          </cell>
          <cell r="AD5091" t="str">
            <v/>
          </cell>
          <cell r="AY5091" t="str">
            <v/>
          </cell>
          <cell r="AZ5091" t="str">
            <v/>
          </cell>
          <cell r="BA5091" t="str">
            <v/>
          </cell>
        </row>
        <row r="5092">
          <cell r="B5092" t="str">
            <v>-</v>
          </cell>
          <cell r="E5092" t="str">
            <v/>
          </cell>
          <cell r="G5092" t="str">
            <v/>
          </cell>
          <cell r="J5092" t="str">
            <v/>
          </cell>
          <cell r="O5092" t="str">
            <v/>
          </cell>
          <cell r="P5092" t="str">
            <v/>
          </cell>
          <cell r="Q5092" t="str">
            <v/>
          </cell>
          <cell r="S5092" t="str">
            <v/>
          </cell>
          <cell r="V5092" t="str">
            <v/>
          </cell>
          <cell r="Z5092" t="str">
            <v/>
          </cell>
          <cell r="AA5092" t="str">
            <v/>
          </cell>
          <cell r="AB5092" t="str">
            <v/>
          </cell>
          <cell r="AC5092" t="str">
            <v/>
          </cell>
          <cell r="AD5092" t="str">
            <v/>
          </cell>
          <cell r="AY5092" t="str">
            <v/>
          </cell>
          <cell r="AZ5092" t="str">
            <v/>
          </cell>
          <cell r="BA5092" t="str">
            <v/>
          </cell>
        </row>
        <row r="5093">
          <cell r="B5093" t="str">
            <v>-</v>
          </cell>
          <cell r="E5093" t="str">
            <v/>
          </cell>
          <cell r="G5093" t="str">
            <v/>
          </cell>
          <cell r="J5093" t="str">
            <v/>
          </cell>
          <cell r="O5093" t="str">
            <v/>
          </cell>
          <cell r="P5093" t="str">
            <v/>
          </cell>
          <cell r="Q5093" t="str">
            <v/>
          </cell>
          <cell r="S5093" t="str">
            <v/>
          </cell>
          <cell r="V5093" t="str">
            <v/>
          </cell>
          <cell r="Z5093" t="str">
            <v/>
          </cell>
          <cell r="AA5093" t="str">
            <v/>
          </cell>
          <cell r="AB5093" t="str">
            <v/>
          </cell>
          <cell r="AC5093" t="str">
            <v/>
          </cell>
          <cell r="AD5093" t="str">
            <v/>
          </cell>
          <cell r="AY5093" t="str">
            <v/>
          </cell>
          <cell r="AZ5093" t="str">
            <v/>
          </cell>
          <cell r="BA5093" t="str">
            <v/>
          </cell>
        </row>
        <row r="5094">
          <cell r="B5094" t="str">
            <v>-</v>
          </cell>
          <cell r="E5094" t="str">
            <v/>
          </cell>
          <cell r="G5094" t="str">
            <v/>
          </cell>
          <cell r="J5094" t="str">
            <v/>
          </cell>
          <cell r="O5094" t="str">
            <v/>
          </cell>
          <cell r="P5094" t="str">
            <v/>
          </cell>
          <cell r="Q5094" t="str">
            <v/>
          </cell>
          <cell r="S5094" t="str">
            <v/>
          </cell>
          <cell r="V5094" t="str">
            <v/>
          </cell>
          <cell r="Z5094" t="str">
            <v/>
          </cell>
          <cell r="AA5094" t="str">
            <v/>
          </cell>
          <cell r="AB5094" t="str">
            <v/>
          </cell>
          <cell r="AC5094" t="str">
            <v/>
          </cell>
          <cell r="AD5094" t="str">
            <v/>
          </cell>
          <cell r="AY5094" t="str">
            <v/>
          </cell>
          <cell r="AZ5094" t="str">
            <v/>
          </cell>
          <cell r="BA5094" t="str">
            <v/>
          </cell>
        </row>
        <row r="5095">
          <cell r="B5095" t="str">
            <v>-</v>
          </cell>
          <cell r="E5095" t="str">
            <v/>
          </cell>
          <cell r="G5095" t="str">
            <v/>
          </cell>
          <cell r="J5095" t="str">
            <v/>
          </cell>
          <cell r="O5095" t="str">
            <v/>
          </cell>
          <cell r="P5095" t="str">
            <v/>
          </cell>
          <cell r="Q5095" t="str">
            <v/>
          </cell>
          <cell r="S5095" t="str">
            <v/>
          </cell>
          <cell r="V5095" t="str">
            <v/>
          </cell>
          <cell r="Z5095" t="str">
            <v/>
          </cell>
          <cell r="AA5095" t="str">
            <v/>
          </cell>
          <cell r="AB5095" t="str">
            <v/>
          </cell>
          <cell r="AC5095" t="str">
            <v/>
          </cell>
          <cell r="AD5095" t="str">
            <v/>
          </cell>
          <cell r="AY5095" t="str">
            <v/>
          </cell>
          <cell r="AZ5095" t="str">
            <v/>
          </cell>
          <cell r="BA5095" t="str">
            <v/>
          </cell>
        </row>
        <row r="5096">
          <cell r="B5096" t="str">
            <v>-</v>
          </cell>
          <cell r="E5096" t="str">
            <v/>
          </cell>
          <cell r="G5096" t="str">
            <v/>
          </cell>
          <cell r="J5096" t="str">
            <v/>
          </cell>
          <cell r="O5096" t="str">
            <v/>
          </cell>
          <cell r="P5096" t="str">
            <v/>
          </cell>
          <cell r="Q5096" t="str">
            <v/>
          </cell>
          <cell r="S5096" t="str">
            <v/>
          </cell>
          <cell r="V5096" t="str">
            <v/>
          </cell>
          <cell r="Z5096" t="str">
            <v/>
          </cell>
          <cell r="AA5096" t="str">
            <v/>
          </cell>
          <cell r="AB5096" t="str">
            <v/>
          </cell>
          <cell r="AC5096" t="str">
            <v/>
          </cell>
          <cell r="AD5096" t="str">
            <v/>
          </cell>
          <cell r="AY5096" t="str">
            <v/>
          </cell>
          <cell r="AZ5096" t="str">
            <v/>
          </cell>
          <cell r="BA5096" t="str">
            <v/>
          </cell>
        </row>
        <row r="5097">
          <cell r="B5097" t="str">
            <v>-</v>
          </cell>
          <cell r="E5097" t="str">
            <v/>
          </cell>
          <cell r="G5097" t="str">
            <v/>
          </cell>
          <cell r="J5097" t="str">
            <v/>
          </cell>
          <cell r="O5097" t="str">
            <v/>
          </cell>
          <cell r="P5097" t="str">
            <v/>
          </cell>
          <cell r="Q5097" t="str">
            <v/>
          </cell>
          <cell r="S5097" t="str">
            <v/>
          </cell>
          <cell r="V5097" t="str">
            <v/>
          </cell>
          <cell r="Z5097" t="str">
            <v/>
          </cell>
          <cell r="AA5097" t="str">
            <v/>
          </cell>
          <cell r="AB5097" t="str">
            <v/>
          </cell>
          <cell r="AC5097" t="str">
            <v/>
          </cell>
          <cell r="AD5097" t="str">
            <v/>
          </cell>
          <cell r="AY5097" t="str">
            <v/>
          </cell>
          <cell r="AZ5097" t="str">
            <v/>
          </cell>
          <cell r="BA5097" t="str">
            <v/>
          </cell>
        </row>
        <row r="5098">
          <cell r="B5098" t="str">
            <v>-</v>
          </cell>
          <cell r="E5098" t="str">
            <v/>
          </cell>
          <cell r="G5098" t="str">
            <v/>
          </cell>
          <cell r="J5098" t="str">
            <v/>
          </cell>
          <cell r="O5098" t="str">
            <v/>
          </cell>
          <cell r="P5098" t="str">
            <v/>
          </cell>
          <cell r="Q5098" t="str">
            <v/>
          </cell>
          <cell r="S5098" t="str">
            <v/>
          </cell>
          <cell r="V5098" t="str">
            <v/>
          </cell>
          <cell r="Z5098" t="str">
            <v/>
          </cell>
          <cell r="AA5098" t="str">
            <v/>
          </cell>
          <cell r="AB5098" t="str">
            <v/>
          </cell>
          <cell r="AC5098" t="str">
            <v/>
          </cell>
          <cell r="AD5098" t="str">
            <v/>
          </cell>
          <cell r="AY5098" t="str">
            <v/>
          </cell>
          <cell r="AZ5098" t="str">
            <v/>
          </cell>
          <cell r="BA5098" t="str">
            <v/>
          </cell>
        </row>
        <row r="5099">
          <cell r="B5099" t="str">
            <v>-</v>
          </cell>
          <cell r="E5099" t="str">
            <v/>
          </cell>
          <cell r="G5099" t="str">
            <v/>
          </cell>
          <cell r="J5099" t="str">
            <v/>
          </cell>
          <cell r="O5099" t="str">
            <v/>
          </cell>
          <cell r="P5099" t="str">
            <v/>
          </cell>
          <cell r="Q5099" t="str">
            <v/>
          </cell>
          <cell r="S5099" t="str">
            <v/>
          </cell>
          <cell r="V5099" t="str">
            <v/>
          </cell>
          <cell r="Z5099" t="str">
            <v/>
          </cell>
          <cell r="AA5099" t="str">
            <v/>
          </cell>
          <cell r="AB5099" t="str">
            <v/>
          </cell>
          <cell r="AC5099" t="str">
            <v/>
          </cell>
          <cell r="AD5099" t="str">
            <v/>
          </cell>
          <cell r="AY5099" t="str">
            <v/>
          </cell>
          <cell r="AZ5099" t="str">
            <v/>
          </cell>
          <cell r="BA5099" t="str">
            <v/>
          </cell>
        </row>
        <row r="5100">
          <cell r="B5100" t="str">
            <v>-</v>
          </cell>
          <cell r="E5100" t="str">
            <v/>
          </cell>
          <cell r="G5100" t="str">
            <v/>
          </cell>
          <cell r="J5100" t="str">
            <v/>
          </cell>
          <cell r="O5100" t="str">
            <v/>
          </cell>
          <cell r="P5100" t="str">
            <v/>
          </cell>
          <cell r="Q5100" t="str">
            <v/>
          </cell>
          <cell r="S5100" t="str">
            <v/>
          </cell>
          <cell r="V5100" t="str">
            <v/>
          </cell>
          <cell r="Z5100" t="str">
            <v/>
          </cell>
          <cell r="AA5100" t="str">
            <v/>
          </cell>
          <cell r="AB5100" t="str">
            <v/>
          </cell>
          <cell r="AC5100" t="str">
            <v/>
          </cell>
          <cell r="AD5100" t="str">
            <v/>
          </cell>
          <cell r="AY5100" t="str">
            <v/>
          </cell>
          <cell r="AZ5100" t="str">
            <v/>
          </cell>
          <cell r="BA5100" t="str">
            <v/>
          </cell>
        </row>
        <row r="5101">
          <cell r="B5101" t="str">
            <v>-</v>
          </cell>
          <cell r="E5101" t="str">
            <v/>
          </cell>
          <cell r="G5101" t="str">
            <v/>
          </cell>
          <cell r="J5101" t="str">
            <v/>
          </cell>
          <cell r="O5101" t="str">
            <v/>
          </cell>
          <cell r="P5101" t="str">
            <v/>
          </cell>
          <cell r="Q5101" t="str">
            <v/>
          </cell>
          <cell r="S5101" t="str">
            <v/>
          </cell>
          <cell r="V5101" t="str">
            <v/>
          </cell>
          <cell r="Z5101" t="str">
            <v/>
          </cell>
          <cell r="AA5101" t="str">
            <v/>
          </cell>
          <cell r="AB5101" t="str">
            <v/>
          </cell>
          <cell r="AC5101" t="str">
            <v/>
          </cell>
          <cell r="AD5101" t="str">
            <v/>
          </cell>
          <cell r="AY5101" t="str">
            <v/>
          </cell>
          <cell r="AZ5101" t="str">
            <v/>
          </cell>
          <cell r="BA5101" t="str">
            <v/>
          </cell>
        </row>
        <row r="5102">
          <cell r="B5102" t="str">
            <v>-</v>
          </cell>
          <cell r="E5102" t="str">
            <v/>
          </cell>
          <cell r="G5102" t="str">
            <v/>
          </cell>
          <cell r="J5102" t="str">
            <v/>
          </cell>
          <cell r="O5102" t="str">
            <v/>
          </cell>
          <cell r="P5102" t="str">
            <v/>
          </cell>
          <cell r="Q5102" t="str">
            <v/>
          </cell>
          <cell r="S5102" t="str">
            <v/>
          </cell>
          <cell r="V5102" t="str">
            <v/>
          </cell>
          <cell r="Z5102" t="str">
            <v/>
          </cell>
          <cell r="AA5102" t="str">
            <v/>
          </cell>
          <cell r="AB5102" t="str">
            <v/>
          </cell>
          <cell r="AC5102" t="str">
            <v/>
          </cell>
          <cell r="AD5102" t="str">
            <v/>
          </cell>
          <cell r="AY5102" t="str">
            <v/>
          </cell>
          <cell r="AZ5102" t="str">
            <v/>
          </cell>
          <cell r="BA5102" t="str">
            <v/>
          </cell>
        </row>
        <row r="5103">
          <cell r="B5103" t="str">
            <v>-</v>
          </cell>
          <cell r="E5103" t="str">
            <v/>
          </cell>
          <cell r="G5103" t="str">
            <v/>
          </cell>
          <cell r="J5103" t="str">
            <v/>
          </cell>
          <cell r="O5103" t="str">
            <v/>
          </cell>
          <cell r="P5103" t="str">
            <v/>
          </cell>
          <cell r="Q5103" t="str">
            <v/>
          </cell>
          <cell r="S5103" t="str">
            <v/>
          </cell>
          <cell r="V5103" t="str">
            <v/>
          </cell>
          <cell r="Z5103" t="str">
            <v/>
          </cell>
          <cell r="AA5103" t="str">
            <v/>
          </cell>
          <cell r="AB5103" t="str">
            <v/>
          </cell>
          <cell r="AC5103" t="str">
            <v/>
          </cell>
          <cell r="AD5103" t="str">
            <v/>
          </cell>
          <cell r="AY5103" t="str">
            <v/>
          </cell>
          <cell r="AZ5103" t="str">
            <v/>
          </cell>
          <cell r="BA5103" t="str">
            <v/>
          </cell>
        </row>
        <row r="5104">
          <cell r="B5104" t="str">
            <v>-</v>
          </cell>
          <cell r="E5104" t="str">
            <v/>
          </cell>
          <cell r="G5104" t="str">
            <v/>
          </cell>
          <cell r="J5104" t="str">
            <v/>
          </cell>
          <cell r="O5104" t="str">
            <v/>
          </cell>
          <cell r="P5104" t="str">
            <v/>
          </cell>
          <cell r="Q5104" t="str">
            <v/>
          </cell>
          <cell r="S5104" t="str">
            <v/>
          </cell>
          <cell r="V5104" t="str">
            <v/>
          </cell>
          <cell r="Z5104" t="str">
            <v/>
          </cell>
          <cell r="AA5104" t="str">
            <v/>
          </cell>
          <cell r="AB5104" t="str">
            <v/>
          </cell>
          <cell r="AC5104" t="str">
            <v/>
          </cell>
          <cell r="AD5104" t="str">
            <v/>
          </cell>
          <cell r="AY5104" t="str">
            <v/>
          </cell>
          <cell r="AZ5104" t="str">
            <v/>
          </cell>
          <cell r="BA5104" t="str">
            <v/>
          </cell>
        </row>
        <row r="5105">
          <cell r="B5105" t="str">
            <v>-</v>
          </cell>
          <cell r="E5105" t="str">
            <v/>
          </cell>
          <cell r="G5105" t="str">
            <v/>
          </cell>
          <cell r="J5105" t="str">
            <v/>
          </cell>
          <cell r="O5105" t="str">
            <v/>
          </cell>
          <cell r="P5105" t="str">
            <v/>
          </cell>
          <cell r="Q5105" t="str">
            <v/>
          </cell>
          <cell r="S5105" t="str">
            <v/>
          </cell>
          <cell r="V5105" t="str">
            <v/>
          </cell>
          <cell r="Z5105" t="str">
            <v/>
          </cell>
          <cell r="AA5105" t="str">
            <v/>
          </cell>
          <cell r="AB5105" t="str">
            <v/>
          </cell>
          <cell r="AC5105" t="str">
            <v/>
          </cell>
          <cell r="AD5105" t="str">
            <v/>
          </cell>
          <cell r="AY5105" t="str">
            <v/>
          </cell>
          <cell r="AZ5105" t="str">
            <v/>
          </cell>
          <cell r="BA5105" t="str">
            <v/>
          </cell>
        </row>
        <row r="5106">
          <cell r="B5106" t="str">
            <v>-</v>
          </cell>
          <cell r="E5106" t="str">
            <v/>
          </cell>
          <cell r="G5106" t="str">
            <v/>
          </cell>
          <cell r="J5106" t="str">
            <v/>
          </cell>
          <cell r="O5106" t="str">
            <v/>
          </cell>
          <cell r="P5106" t="str">
            <v/>
          </cell>
          <cell r="Q5106" t="str">
            <v/>
          </cell>
          <cell r="S5106" t="str">
            <v/>
          </cell>
          <cell r="V5106" t="str">
            <v/>
          </cell>
          <cell r="Z5106" t="str">
            <v/>
          </cell>
          <cell r="AA5106" t="str">
            <v/>
          </cell>
          <cell r="AB5106" t="str">
            <v/>
          </cell>
          <cell r="AC5106" t="str">
            <v/>
          </cell>
          <cell r="AD5106" t="str">
            <v/>
          </cell>
          <cell r="AY5106" t="str">
            <v/>
          </cell>
          <cell r="AZ5106" t="str">
            <v/>
          </cell>
          <cell r="BA5106" t="str">
            <v/>
          </cell>
        </row>
        <row r="5107">
          <cell r="B5107" t="str">
            <v>-</v>
          </cell>
          <cell r="E5107" t="str">
            <v/>
          </cell>
          <cell r="G5107" t="str">
            <v/>
          </cell>
          <cell r="J5107" t="str">
            <v/>
          </cell>
          <cell r="O5107" t="str">
            <v/>
          </cell>
          <cell r="P5107" t="str">
            <v/>
          </cell>
          <cell r="Q5107" t="str">
            <v/>
          </cell>
          <cell r="S5107" t="str">
            <v/>
          </cell>
          <cell r="V5107" t="str">
            <v/>
          </cell>
          <cell r="Z5107" t="str">
            <v/>
          </cell>
          <cell r="AA5107" t="str">
            <v/>
          </cell>
          <cell r="AB5107" t="str">
            <v/>
          </cell>
          <cell r="AC5107" t="str">
            <v/>
          </cell>
          <cell r="AD5107" t="str">
            <v/>
          </cell>
          <cell r="AY5107" t="str">
            <v/>
          </cell>
          <cell r="AZ5107" t="str">
            <v/>
          </cell>
          <cell r="BA5107" t="str">
            <v/>
          </cell>
        </row>
        <row r="5108">
          <cell r="B5108" t="str">
            <v>-</v>
          </cell>
          <cell r="E5108" t="str">
            <v/>
          </cell>
          <cell r="G5108" t="str">
            <v/>
          </cell>
          <cell r="J5108" t="str">
            <v/>
          </cell>
          <cell r="O5108" t="str">
            <v/>
          </cell>
          <cell r="P5108" t="str">
            <v/>
          </cell>
          <cell r="Q5108" t="str">
            <v/>
          </cell>
          <cell r="S5108" t="str">
            <v/>
          </cell>
          <cell r="V5108" t="str">
            <v/>
          </cell>
          <cell r="Z5108" t="str">
            <v/>
          </cell>
          <cell r="AA5108" t="str">
            <v/>
          </cell>
          <cell r="AB5108" t="str">
            <v/>
          </cell>
          <cell r="AC5108" t="str">
            <v/>
          </cell>
          <cell r="AD5108" t="str">
            <v/>
          </cell>
          <cell r="AY5108" t="str">
            <v/>
          </cell>
          <cell r="AZ5108" t="str">
            <v/>
          </cell>
          <cell r="BA5108" t="str">
            <v/>
          </cell>
        </row>
        <row r="5109">
          <cell r="B5109" t="str">
            <v>-</v>
          </cell>
          <cell r="E5109" t="str">
            <v/>
          </cell>
          <cell r="G5109" t="str">
            <v/>
          </cell>
          <cell r="J5109" t="str">
            <v/>
          </cell>
          <cell r="O5109" t="str">
            <v/>
          </cell>
          <cell r="P5109" t="str">
            <v/>
          </cell>
          <cell r="Q5109" t="str">
            <v/>
          </cell>
          <cell r="S5109" t="str">
            <v/>
          </cell>
          <cell r="V5109" t="str">
            <v/>
          </cell>
          <cell r="Z5109" t="str">
            <v/>
          </cell>
          <cell r="AA5109" t="str">
            <v/>
          </cell>
          <cell r="AB5109" t="str">
            <v/>
          </cell>
          <cell r="AC5109" t="str">
            <v/>
          </cell>
          <cell r="AD5109" t="str">
            <v/>
          </cell>
          <cell r="AY5109" t="str">
            <v/>
          </cell>
          <cell r="AZ5109" t="str">
            <v/>
          </cell>
          <cell r="BA5109" t="str">
            <v/>
          </cell>
        </row>
        <row r="5110">
          <cell r="B5110" t="str">
            <v>-</v>
          </cell>
          <cell r="E5110" t="str">
            <v/>
          </cell>
          <cell r="G5110" t="str">
            <v/>
          </cell>
          <cell r="J5110" t="str">
            <v/>
          </cell>
          <cell r="O5110" t="str">
            <v/>
          </cell>
          <cell r="P5110" t="str">
            <v/>
          </cell>
          <cell r="Q5110" t="str">
            <v/>
          </cell>
          <cell r="S5110" t="str">
            <v/>
          </cell>
          <cell r="V5110" t="str">
            <v/>
          </cell>
          <cell r="Z5110" t="str">
            <v/>
          </cell>
          <cell r="AA5110" t="str">
            <v/>
          </cell>
          <cell r="AB5110" t="str">
            <v/>
          </cell>
          <cell r="AC5110" t="str">
            <v/>
          </cell>
          <cell r="AD5110" t="str">
            <v/>
          </cell>
          <cell r="AY5110" t="str">
            <v/>
          </cell>
          <cell r="AZ5110" t="str">
            <v/>
          </cell>
          <cell r="BA5110" t="str">
            <v/>
          </cell>
        </row>
        <row r="5111">
          <cell r="B5111" t="str">
            <v>-</v>
          </cell>
          <cell r="E5111" t="str">
            <v/>
          </cell>
          <cell r="G5111" t="str">
            <v/>
          </cell>
          <cell r="J5111" t="str">
            <v/>
          </cell>
          <cell r="O5111" t="str">
            <v/>
          </cell>
          <cell r="P5111" t="str">
            <v/>
          </cell>
          <cell r="Q5111" t="str">
            <v/>
          </cell>
          <cell r="S5111" t="str">
            <v/>
          </cell>
          <cell r="V5111" t="str">
            <v/>
          </cell>
          <cell r="Z5111" t="str">
            <v/>
          </cell>
          <cell r="AA5111" t="str">
            <v/>
          </cell>
          <cell r="AB5111" t="str">
            <v/>
          </cell>
          <cell r="AC5111" t="str">
            <v/>
          </cell>
          <cell r="AD5111" t="str">
            <v/>
          </cell>
          <cell r="AY5111" t="str">
            <v/>
          </cell>
          <cell r="AZ5111" t="str">
            <v/>
          </cell>
          <cell r="BA5111" t="str">
            <v/>
          </cell>
        </row>
        <row r="5112">
          <cell r="B5112" t="str">
            <v>-</v>
          </cell>
          <cell r="E5112" t="str">
            <v/>
          </cell>
          <cell r="G5112" t="str">
            <v/>
          </cell>
          <cell r="J5112" t="str">
            <v/>
          </cell>
          <cell r="O5112" t="str">
            <v/>
          </cell>
          <cell r="P5112" t="str">
            <v/>
          </cell>
          <cell r="Q5112" t="str">
            <v/>
          </cell>
          <cell r="S5112" t="str">
            <v/>
          </cell>
          <cell r="V5112" t="str">
            <v/>
          </cell>
          <cell r="Z5112" t="str">
            <v/>
          </cell>
          <cell r="AA5112" t="str">
            <v/>
          </cell>
          <cell r="AB5112" t="str">
            <v/>
          </cell>
          <cell r="AC5112" t="str">
            <v/>
          </cell>
          <cell r="AD5112" t="str">
            <v/>
          </cell>
          <cell r="AY5112" t="str">
            <v/>
          </cell>
          <cell r="AZ5112" t="str">
            <v/>
          </cell>
          <cell r="BA5112" t="str">
            <v/>
          </cell>
        </row>
        <row r="5113">
          <cell r="B5113" t="str">
            <v>-</v>
          </cell>
          <cell r="E5113" t="str">
            <v/>
          </cell>
          <cell r="G5113" t="str">
            <v/>
          </cell>
          <cell r="J5113" t="str">
            <v/>
          </cell>
          <cell r="O5113" t="str">
            <v/>
          </cell>
          <cell r="P5113" t="str">
            <v/>
          </cell>
          <cell r="Q5113" t="str">
            <v/>
          </cell>
          <cell r="S5113" t="str">
            <v/>
          </cell>
          <cell r="V5113" t="str">
            <v/>
          </cell>
          <cell r="Z5113" t="str">
            <v/>
          </cell>
          <cell r="AA5113" t="str">
            <v/>
          </cell>
          <cell r="AB5113" t="str">
            <v/>
          </cell>
          <cell r="AC5113" t="str">
            <v/>
          </cell>
          <cell r="AD5113" t="str">
            <v/>
          </cell>
          <cell r="AY5113" t="str">
            <v/>
          </cell>
          <cell r="AZ5113" t="str">
            <v/>
          </cell>
          <cell r="BA5113" t="str">
            <v/>
          </cell>
        </row>
        <row r="5114">
          <cell r="B5114" t="str">
            <v>-</v>
          </cell>
          <cell r="E5114" t="str">
            <v/>
          </cell>
          <cell r="G5114" t="str">
            <v/>
          </cell>
          <cell r="J5114" t="str">
            <v/>
          </cell>
          <cell r="O5114" t="str">
            <v/>
          </cell>
          <cell r="P5114" t="str">
            <v/>
          </cell>
          <cell r="Q5114" t="str">
            <v/>
          </cell>
          <cell r="S5114" t="str">
            <v/>
          </cell>
          <cell r="V5114" t="str">
            <v/>
          </cell>
          <cell r="Z5114" t="str">
            <v/>
          </cell>
          <cell r="AA5114" t="str">
            <v/>
          </cell>
          <cell r="AB5114" t="str">
            <v/>
          </cell>
          <cell r="AC5114" t="str">
            <v/>
          </cell>
          <cell r="AD5114" t="str">
            <v/>
          </cell>
          <cell r="AY5114" t="str">
            <v/>
          </cell>
          <cell r="AZ5114" t="str">
            <v/>
          </cell>
          <cell r="BA5114" t="str">
            <v/>
          </cell>
        </row>
        <row r="5115">
          <cell r="B5115" t="str">
            <v>-</v>
          </cell>
          <cell r="E5115" t="str">
            <v/>
          </cell>
          <cell r="G5115" t="str">
            <v/>
          </cell>
          <cell r="J5115" t="str">
            <v/>
          </cell>
          <cell r="O5115" t="str">
            <v/>
          </cell>
          <cell r="P5115" t="str">
            <v/>
          </cell>
          <cell r="Q5115" t="str">
            <v/>
          </cell>
          <cell r="S5115" t="str">
            <v/>
          </cell>
          <cell r="V5115" t="str">
            <v/>
          </cell>
          <cell r="Z5115" t="str">
            <v/>
          </cell>
          <cell r="AA5115" t="str">
            <v/>
          </cell>
          <cell r="AB5115" t="str">
            <v/>
          </cell>
          <cell r="AC5115" t="str">
            <v/>
          </cell>
          <cell r="AD5115" t="str">
            <v/>
          </cell>
          <cell r="AY5115" t="str">
            <v/>
          </cell>
          <cell r="AZ5115" t="str">
            <v/>
          </cell>
          <cell r="BA5115" t="str">
            <v/>
          </cell>
        </row>
        <row r="5116">
          <cell r="B5116" t="str">
            <v>-</v>
          </cell>
          <cell r="E5116" t="str">
            <v/>
          </cell>
          <cell r="G5116" t="str">
            <v/>
          </cell>
          <cell r="J5116" t="str">
            <v/>
          </cell>
          <cell r="O5116" t="str">
            <v/>
          </cell>
          <cell r="P5116" t="str">
            <v/>
          </cell>
          <cell r="Q5116" t="str">
            <v/>
          </cell>
          <cell r="S5116" t="str">
            <v/>
          </cell>
          <cell r="V5116" t="str">
            <v/>
          </cell>
          <cell r="Z5116" t="str">
            <v/>
          </cell>
          <cell r="AA5116" t="str">
            <v/>
          </cell>
          <cell r="AB5116" t="str">
            <v/>
          </cell>
          <cell r="AC5116" t="str">
            <v/>
          </cell>
          <cell r="AD5116" t="str">
            <v/>
          </cell>
          <cell r="AY5116" t="str">
            <v/>
          </cell>
          <cell r="AZ5116" t="str">
            <v/>
          </cell>
          <cell r="BA5116" t="str">
            <v/>
          </cell>
        </row>
        <row r="5117">
          <cell r="B5117" t="str">
            <v>-</v>
          </cell>
          <cell r="E5117" t="str">
            <v/>
          </cell>
          <cell r="G5117" t="str">
            <v/>
          </cell>
          <cell r="J5117" t="str">
            <v/>
          </cell>
          <cell r="O5117" t="str">
            <v/>
          </cell>
          <cell r="P5117" t="str">
            <v/>
          </cell>
          <cell r="Q5117" t="str">
            <v/>
          </cell>
          <cell r="S5117" t="str">
            <v/>
          </cell>
          <cell r="V5117" t="str">
            <v/>
          </cell>
          <cell r="Z5117" t="str">
            <v/>
          </cell>
          <cell r="AA5117" t="str">
            <v/>
          </cell>
          <cell r="AB5117" t="str">
            <v/>
          </cell>
          <cell r="AC5117" t="str">
            <v/>
          </cell>
          <cell r="AD5117" t="str">
            <v/>
          </cell>
          <cell r="AY5117" t="str">
            <v/>
          </cell>
          <cell r="AZ5117" t="str">
            <v/>
          </cell>
          <cell r="BA5117" t="str">
            <v/>
          </cell>
        </row>
        <row r="5118">
          <cell r="B5118" t="str">
            <v>-</v>
          </cell>
          <cell r="E5118" t="str">
            <v/>
          </cell>
          <cell r="G5118" t="str">
            <v/>
          </cell>
          <cell r="J5118" t="str">
            <v/>
          </cell>
          <cell r="O5118" t="str">
            <v/>
          </cell>
          <cell r="P5118" t="str">
            <v/>
          </cell>
          <cell r="Q5118" t="str">
            <v/>
          </cell>
          <cell r="S5118" t="str">
            <v/>
          </cell>
          <cell r="V5118" t="str">
            <v/>
          </cell>
          <cell r="Z5118" t="str">
            <v/>
          </cell>
          <cell r="AA5118" t="str">
            <v/>
          </cell>
          <cell r="AB5118" t="str">
            <v/>
          </cell>
          <cell r="AC5118" t="str">
            <v/>
          </cell>
          <cell r="AD5118" t="str">
            <v/>
          </cell>
          <cell r="AY5118" t="str">
            <v/>
          </cell>
          <cell r="AZ5118" t="str">
            <v/>
          </cell>
          <cell r="BA5118" t="str">
            <v/>
          </cell>
        </row>
        <row r="5119">
          <cell r="B5119" t="str">
            <v>-</v>
          </cell>
          <cell r="E5119" t="str">
            <v/>
          </cell>
          <cell r="G5119" t="str">
            <v/>
          </cell>
          <cell r="J5119" t="str">
            <v/>
          </cell>
          <cell r="O5119" t="str">
            <v/>
          </cell>
          <cell r="P5119" t="str">
            <v/>
          </cell>
          <cell r="Q5119" t="str">
            <v/>
          </cell>
          <cell r="S5119" t="str">
            <v/>
          </cell>
          <cell r="V5119" t="str">
            <v/>
          </cell>
          <cell r="Z5119" t="str">
            <v/>
          </cell>
          <cell r="AA5119" t="str">
            <v/>
          </cell>
          <cell r="AB5119" t="str">
            <v/>
          </cell>
          <cell r="AC5119" t="str">
            <v/>
          </cell>
          <cell r="AD5119" t="str">
            <v/>
          </cell>
          <cell r="AY5119" t="str">
            <v/>
          </cell>
          <cell r="AZ5119" t="str">
            <v/>
          </cell>
          <cell r="BA5119" t="str">
            <v/>
          </cell>
        </row>
        <row r="5120">
          <cell r="B5120" t="str">
            <v>-</v>
          </cell>
          <cell r="E5120" t="str">
            <v/>
          </cell>
          <cell r="G5120" t="str">
            <v/>
          </cell>
          <cell r="J5120" t="str">
            <v/>
          </cell>
          <cell r="O5120" t="str">
            <v/>
          </cell>
          <cell r="P5120" t="str">
            <v/>
          </cell>
          <cell r="Q5120" t="str">
            <v/>
          </cell>
          <cell r="S5120" t="str">
            <v/>
          </cell>
          <cell r="V5120" t="str">
            <v/>
          </cell>
          <cell r="Z5120" t="str">
            <v/>
          </cell>
          <cell r="AA5120" t="str">
            <v/>
          </cell>
          <cell r="AB5120" t="str">
            <v/>
          </cell>
          <cell r="AC5120" t="str">
            <v/>
          </cell>
          <cell r="AD5120" t="str">
            <v/>
          </cell>
          <cell r="AY5120" t="str">
            <v/>
          </cell>
          <cell r="AZ5120" t="str">
            <v/>
          </cell>
          <cell r="BA5120" t="str">
            <v/>
          </cell>
        </row>
        <row r="5121">
          <cell r="B5121" t="str">
            <v>-</v>
          </cell>
          <cell r="E5121" t="str">
            <v/>
          </cell>
          <cell r="G5121" t="str">
            <v/>
          </cell>
          <cell r="J5121" t="str">
            <v/>
          </cell>
          <cell r="O5121" t="str">
            <v/>
          </cell>
          <cell r="P5121" t="str">
            <v/>
          </cell>
          <cell r="Q5121" t="str">
            <v/>
          </cell>
          <cell r="S5121" t="str">
            <v/>
          </cell>
          <cell r="V5121" t="str">
            <v/>
          </cell>
          <cell r="Z5121" t="str">
            <v/>
          </cell>
          <cell r="AA5121" t="str">
            <v/>
          </cell>
          <cell r="AB5121" t="str">
            <v/>
          </cell>
          <cell r="AC5121" t="str">
            <v/>
          </cell>
          <cell r="AD5121" t="str">
            <v/>
          </cell>
          <cell r="AY5121" t="str">
            <v/>
          </cell>
          <cell r="AZ5121" t="str">
            <v/>
          </cell>
          <cell r="BA5121" t="str">
            <v/>
          </cell>
        </row>
        <row r="5122">
          <cell r="B5122" t="str">
            <v>-</v>
          </cell>
          <cell r="E5122" t="str">
            <v/>
          </cell>
          <cell r="G5122" t="str">
            <v/>
          </cell>
          <cell r="J5122" t="str">
            <v/>
          </cell>
          <cell r="O5122" t="str">
            <v/>
          </cell>
          <cell r="P5122" t="str">
            <v/>
          </cell>
          <cell r="Q5122" t="str">
            <v/>
          </cell>
          <cell r="S5122" t="str">
            <v/>
          </cell>
          <cell r="V5122" t="str">
            <v/>
          </cell>
          <cell r="Z5122" t="str">
            <v/>
          </cell>
          <cell r="AA5122" t="str">
            <v/>
          </cell>
          <cell r="AB5122" t="str">
            <v/>
          </cell>
          <cell r="AC5122" t="str">
            <v/>
          </cell>
          <cell r="AD5122" t="str">
            <v/>
          </cell>
          <cell r="AY5122" t="str">
            <v/>
          </cell>
          <cell r="AZ5122" t="str">
            <v/>
          </cell>
          <cell r="BA5122" t="str">
            <v/>
          </cell>
        </row>
        <row r="5123">
          <cell r="B5123" t="str">
            <v>-</v>
          </cell>
          <cell r="E5123" t="str">
            <v/>
          </cell>
          <cell r="G5123" t="str">
            <v/>
          </cell>
          <cell r="J5123" t="str">
            <v/>
          </cell>
          <cell r="O5123" t="str">
            <v/>
          </cell>
          <cell r="P5123" t="str">
            <v/>
          </cell>
          <cell r="Q5123" t="str">
            <v/>
          </cell>
          <cell r="S5123" t="str">
            <v/>
          </cell>
          <cell r="V5123" t="str">
            <v/>
          </cell>
          <cell r="Z5123" t="str">
            <v/>
          </cell>
          <cell r="AA5123" t="str">
            <v/>
          </cell>
          <cell r="AB5123" t="str">
            <v/>
          </cell>
          <cell r="AC5123" t="str">
            <v/>
          </cell>
          <cell r="AD5123" t="str">
            <v/>
          </cell>
          <cell r="AY5123" t="str">
            <v/>
          </cell>
          <cell r="AZ5123" t="str">
            <v/>
          </cell>
          <cell r="BA5123" t="str">
            <v/>
          </cell>
        </row>
        <row r="5124">
          <cell r="B5124" t="str">
            <v>-</v>
          </cell>
          <cell r="E5124" t="str">
            <v/>
          </cell>
          <cell r="G5124" t="str">
            <v/>
          </cell>
          <cell r="J5124" t="str">
            <v/>
          </cell>
          <cell r="O5124" t="str">
            <v/>
          </cell>
          <cell r="P5124" t="str">
            <v/>
          </cell>
          <cell r="Q5124" t="str">
            <v/>
          </cell>
          <cell r="S5124" t="str">
            <v/>
          </cell>
          <cell r="V5124" t="str">
            <v/>
          </cell>
          <cell r="Z5124" t="str">
            <v/>
          </cell>
          <cell r="AA5124" t="str">
            <v/>
          </cell>
          <cell r="AB5124" t="str">
            <v/>
          </cell>
          <cell r="AC5124" t="str">
            <v/>
          </cell>
          <cell r="AD5124" t="str">
            <v/>
          </cell>
          <cell r="AY5124" t="str">
            <v/>
          </cell>
          <cell r="AZ5124" t="str">
            <v/>
          </cell>
          <cell r="BA5124" t="str">
            <v/>
          </cell>
        </row>
        <row r="5125">
          <cell r="B5125" t="str">
            <v>-</v>
          </cell>
          <cell r="E5125" t="str">
            <v/>
          </cell>
          <cell r="G5125" t="str">
            <v/>
          </cell>
          <cell r="J5125" t="str">
            <v/>
          </cell>
          <cell r="O5125" t="str">
            <v/>
          </cell>
          <cell r="P5125" t="str">
            <v/>
          </cell>
          <cell r="Q5125" t="str">
            <v/>
          </cell>
          <cell r="S5125" t="str">
            <v/>
          </cell>
          <cell r="V5125" t="str">
            <v/>
          </cell>
          <cell r="Z5125" t="str">
            <v/>
          </cell>
          <cell r="AA5125" t="str">
            <v/>
          </cell>
          <cell r="AB5125" t="str">
            <v/>
          </cell>
          <cell r="AC5125" t="str">
            <v/>
          </cell>
          <cell r="AD5125" t="str">
            <v/>
          </cell>
          <cell r="AY5125" t="str">
            <v/>
          </cell>
          <cell r="AZ5125" t="str">
            <v/>
          </cell>
          <cell r="BA5125" t="str">
            <v/>
          </cell>
        </row>
        <row r="5126">
          <cell r="B5126" t="str">
            <v>-</v>
          </cell>
          <cell r="E5126" t="str">
            <v/>
          </cell>
          <cell r="G5126" t="str">
            <v/>
          </cell>
          <cell r="J5126" t="str">
            <v/>
          </cell>
          <cell r="O5126" t="str">
            <v/>
          </cell>
          <cell r="P5126" t="str">
            <v/>
          </cell>
          <cell r="Q5126" t="str">
            <v/>
          </cell>
          <cell r="S5126" t="str">
            <v/>
          </cell>
          <cell r="V5126" t="str">
            <v/>
          </cell>
          <cell r="Z5126" t="str">
            <v/>
          </cell>
          <cell r="AA5126" t="str">
            <v/>
          </cell>
          <cell r="AB5126" t="str">
            <v/>
          </cell>
          <cell r="AC5126" t="str">
            <v/>
          </cell>
          <cell r="AD5126" t="str">
            <v/>
          </cell>
          <cell r="AY5126" t="str">
            <v/>
          </cell>
          <cell r="AZ5126" t="str">
            <v/>
          </cell>
          <cell r="BA5126" t="str">
            <v/>
          </cell>
        </row>
        <row r="5127">
          <cell r="B5127" t="str">
            <v>-</v>
          </cell>
          <cell r="E5127" t="str">
            <v/>
          </cell>
          <cell r="G5127" t="str">
            <v/>
          </cell>
          <cell r="J5127" t="str">
            <v/>
          </cell>
          <cell r="O5127" t="str">
            <v/>
          </cell>
          <cell r="P5127" t="str">
            <v/>
          </cell>
          <cell r="Q5127" t="str">
            <v/>
          </cell>
          <cell r="S5127" t="str">
            <v/>
          </cell>
          <cell r="V5127" t="str">
            <v/>
          </cell>
          <cell r="Z5127" t="str">
            <v/>
          </cell>
          <cell r="AA5127" t="str">
            <v/>
          </cell>
          <cell r="AB5127" t="str">
            <v/>
          </cell>
          <cell r="AC5127" t="str">
            <v/>
          </cell>
          <cell r="AD5127" t="str">
            <v/>
          </cell>
          <cell r="AY5127" t="str">
            <v/>
          </cell>
          <cell r="AZ5127" t="str">
            <v/>
          </cell>
          <cell r="BA5127" t="str">
            <v/>
          </cell>
        </row>
        <row r="5128">
          <cell r="B5128" t="str">
            <v>-</v>
          </cell>
          <cell r="E5128" t="str">
            <v/>
          </cell>
          <cell r="G5128" t="str">
            <v/>
          </cell>
          <cell r="J5128" t="str">
            <v/>
          </cell>
          <cell r="O5128" t="str">
            <v/>
          </cell>
          <cell r="P5128" t="str">
            <v/>
          </cell>
          <cell r="Q5128" t="str">
            <v/>
          </cell>
          <cell r="S5128" t="str">
            <v/>
          </cell>
          <cell r="V5128" t="str">
            <v/>
          </cell>
          <cell r="Z5128" t="str">
            <v/>
          </cell>
          <cell r="AA5128" t="str">
            <v/>
          </cell>
          <cell r="AB5128" t="str">
            <v/>
          </cell>
          <cell r="AC5128" t="str">
            <v/>
          </cell>
          <cell r="AD5128" t="str">
            <v/>
          </cell>
          <cell r="AY5128" t="str">
            <v/>
          </cell>
          <cell r="AZ5128" t="str">
            <v/>
          </cell>
          <cell r="BA5128" t="str">
            <v/>
          </cell>
        </row>
        <row r="5129">
          <cell r="B5129" t="str">
            <v>-</v>
          </cell>
          <cell r="E5129" t="str">
            <v/>
          </cell>
          <cell r="G5129" t="str">
            <v/>
          </cell>
          <cell r="J5129" t="str">
            <v/>
          </cell>
          <cell r="O5129" t="str">
            <v/>
          </cell>
          <cell r="P5129" t="str">
            <v/>
          </cell>
          <cell r="Q5129" t="str">
            <v/>
          </cell>
          <cell r="S5129" t="str">
            <v/>
          </cell>
          <cell r="V5129" t="str">
            <v/>
          </cell>
          <cell r="Z5129" t="str">
            <v/>
          </cell>
          <cell r="AA5129" t="str">
            <v/>
          </cell>
          <cell r="AB5129" t="str">
            <v/>
          </cell>
          <cell r="AC5129" t="str">
            <v/>
          </cell>
          <cell r="AD5129" t="str">
            <v/>
          </cell>
          <cell r="AY5129" t="str">
            <v/>
          </cell>
          <cell r="AZ5129" t="str">
            <v/>
          </cell>
          <cell r="BA5129" t="str">
            <v/>
          </cell>
        </row>
        <row r="5130">
          <cell r="B5130" t="str">
            <v>-</v>
          </cell>
          <cell r="E5130" t="str">
            <v/>
          </cell>
          <cell r="G5130" t="str">
            <v/>
          </cell>
          <cell r="J5130" t="str">
            <v/>
          </cell>
          <cell r="O5130" t="str">
            <v/>
          </cell>
          <cell r="P5130" t="str">
            <v/>
          </cell>
          <cell r="Q5130" t="str">
            <v/>
          </cell>
          <cell r="S5130" t="str">
            <v/>
          </cell>
          <cell r="V5130" t="str">
            <v/>
          </cell>
          <cell r="Z5130" t="str">
            <v/>
          </cell>
          <cell r="AA5130" t="str">
            <v/>
          </cell>
          <cell r="AB5130" t="str">
            <v/>
          </cell>
          <cell r="AC5130" t="str">
            <v/>
          </cell>
          <cell r="AD5130" t="str">
            <v/>
          </cell>
          <cell r="AY5130" t="str">
            <v/>
          </cell>
          <cell r="AZ5130" t="str">
            <v/>
          </cell>
          <cell r="BA5130" t="str">
            <v/>
          </cell>
        </row>
        <row r="5131">
          <cell r="B5131" t="str">
            <v>-</v>
          </cell>
          <cell r="E5131" t="str">
            <v/>
          </cell>
          <cell r="G5131" t="str">
            <v/>
          </cell>
          <cell r="J5131" t="str">
            <v/>
          </cell>
          <cell r="O5131" t="str">
            <v/>
          </cell>
          <cell r="P5131" t="str">
            <v/>
          </cell>
          <cell r="Q5131" t="str">
            <v/>
          </cell>
          <cell r="S5131" t="str">
            <v/>
          </cell>
          <cell r="V5131" t="str">
            <v/>
          </cell>
          <cell r="Z5131" t="str">
            <v/>
          </cell>
          <cell r="AA5131" t="str">
            <v/>
          </cell>
          <cell r="AB5131" t="str">
            <v/>
          </cell>
          <cell r="AC5131" t="str">
            <v/>
          </cell>
          <cell r="AD5131" t="str">
            <v/>
          </cell>
          <cell r="AY5131" t="str">
            <v/>
          </cell>
          <cell r="AZ5131" t="str">
            <v/>
          </cell>
          <cell r="BA5131" t="str">
            <v/>
          </cell>
        </row>
        <row r="5132">
          <cell r="B5132" t="str">
            <v>-</v>
          </cell>
          <cell r="E5132" t="str">
            <v/>
          </cell>
          <cell r="G5132" t="str">
            <v/>
          </cell>
          <cell r="J5132" t="str">
            <v/>
          </cell>
          <cell r="O5132" t="str">
            <v/>
          </cell>
          <cell r="P5132" t="str">
            <v/>
          </cell>
          <cell r="Q5132" t="str">
            <v/>
          </cell>
          <cell r="S5132" t="str">
            <v/>
          </cell>
          <cell r="V5132" t="str">
            <v/>
          </cell>
          <cell r="Z5132" t="str">
            <v/>
          </cell>
          <cell r="AA5132" t="str">
            <v/>
          </cell>
          <cell r="AB5132" t="str">
            <v/>
          </cell>
          <cell r="AC5132" t="str">
            <v/>
          </cell>
          <cell r="AD5132" t="str">
            <v/>
          </cell>
          <cell r="AY5132" t="str">
            <v/>
          </cell>
          <cell r="AZ5132" t="str">
            <v/>
          </cell>
          <cell r="BA5132" t="str">
            <v/>
          </cell>
        </row>
        <row r="5133">
          <cell r="B5133" t="str">
            <v>-</v>
          </cell>
          <cell r="E5133" t="str">
            <v/>
          </cell>
          <cell r="G5133" t="str">
            <v/>
          </cell>
          <cell r="J5133" t="str">
            <v/>
          </cell>
          <cell r="O5133" t="str">
            <v/>
          </cell>
          <cell r="P5133" t="str">
            <v/>
          </cell>
          <cell r="Q5133" t="str">
            <v/>
          </cell>
          <cell r="S5133" t="str">
            <v/>
          </cell>
          <cell r="V5133" t="str">
            <v/>
          </cell>
          <cell r="Z5133" t="str">
            <v/>
          </cell>
          <cell r="AA5133" t="str">
            <v/>
          </cell>
          <cell r="AB5133" t="str">
            <v/>
          </cell>
          <cell r="AC5133" t="str">
            <v/>
          </cell>
          <cell r="AD5133" t="str">
            <v/>
          </cell>
          <cell r="AY5133" t="str">
            <v/>
          </cell>
          <cell r="AZ5133" t="str">
            <v/>
          </cell>
          <cell r="BA5133" t="str">
            <v/>
          </cell>
        </row>
        <row r="5134">
          <cell r="B5134" t="str">
            <v>-</v>
          </cell>
          <cell r="E5134" t="str">
            <v/>
          </cell>
          <cell r="G5134" t="str">
            <v/>
          </cell>
          <cell r="J5134" t="str">
            <v/>
          </cell>
          <cell r="O5134" t="str">
            <v/>
          </cell>
          <cell r="P5134" t="str">
            <v/>
          </cell>
          <cell r="Q5134" t="str">
            <v/>
          </cell>
          <cell r="S5134" t="str">
            <v/>
          </cell>
          <cell r="V5134" t="str">
            <v/>
          </cell>
          <cell r="Z5134" t="str">
            <v/>
          </cell>
          <cell r="AA5134" t="str">
            <v/>
          </cell>
          <cell r="AB5134" t="str">
            <v/>
          </cell>
          <cell r="AC5134" t="str">
            <v/>
          </cell>
          <cell r="AD5134" t="str">
            <v/>
          </cell>
          <cell r="AY5134" t="str">
            <v/>
          </cell>
          <cell r="AZ5134" t="str">
            <v/>
          </cell>
          <cell r="BA5134" t="str">
            <v/>
          </cell>
        </row>
        <row r="5135">
          <cell r="B5135" t="str">
            <v>-</v>
          </cell>
          <cell r="E5135" t="str">
            <v/>
          </cell>
          <cell r="G5135" t="str">
            <v/>
          </cell>
          <cell r="J5135" t="str">
            <v/>
          </cell>
          <cell r="O5135" t="str">
            <v/>
          </cell>
          <cell r="P5135" t="str">
            <v/>
          </cell>
          <cell r="Q5135" t="str">
            <v/>
          </cell>
          <cell r="S5135" t="str">
            <v/>
          </cell>
          <cell r="V5135" t="str">
            <v/>
          </cell>
          <cell r="Z5135" t="str">
            <v/>
          </cell>
          <cell r="AA5135" t="str">
            <v/>
          </cell>
          <cell r="AB5135" t="str">
            <v/>
          </cell>
          <cell r="AC5135" t="str">
            <v/>
          </cell>
          <cell r="AD5135" t="str">
            <v/>
          </cell>
          <cell r="AY5135" t="str">
            <v/>
          </cell>
          <cell r="AZ5135" t="str">
            <v/>
          </cell>
          <cell r="BA5135" t="str">
            <v/>
          </cell>
        </row>
        <row r="5136">
          <cell r="B5136" t="str">
            <v>-</v>
          </cell>
          <cell r="E5136" t="str">
            <v/>
          </cell>
          <cell r="G5136" t="str">
            <v/>
          </cell>
          <cell r="J5136" t="str">
            <v/>
          </cell>
          <cell r="O5136" t="str">
            <v/>
          </cell>
          <cell r="P5136" t="str">
            <v/>
          </cell>
          <cell r="Q5136" t="str">
            <v/>
          </cell>
          <cell r="S5136" t="str">
            <v/>
          </cell>
          <cell r="V5136" t="str">
            <v/>
          </cell>
          <cell r="Z5136" t="str">
            <v/>
          </cell>
          <cell r="AA5136" t="str">
            <v/>
          </cell>
          <cell r="AB5136" t="str">
            <v/>
          </cell>
          <cell r="AC5136" t="str">
            <v/>
          </cell>
          <cell r="AD5136" t="str">
            <v/>
          </cell>
          <cell r="AY5136" t="str">
            <v/>
          </cell>
          <cell r="AZ5136" t="str">
            <v/>
          </cell>
          <cell r="BA5136" t="str">
            <v/>
          </cell>
        </row>
        <row r="5137">
          <cell r="B5137" t="str">
            <v>-</v>
          </cell>
          <cell r="E5137" t="str">
            <v/>
          </cell>
          <cell r="G5137" t="str">
            <v/>
          </cell>
          <cell r="J5137" t="str">
            <v/>
          </cell>
          <cell r="O5137" t="str">
            <v/>
          </cell>
          <cell r="P5137" t="str">
            <v/>
          </cell>
          <cell r="Q5137" t="str">
            <v/>
          </cell>
          <cell r="S5137" t="str">
            <v/>
          </cell>
          <cell r="V5137" t="str">
            <v/>
          </cell>
          <cell r="Z5137" t="str">
            <v/>
          </cell>
          <cell r="AA5137" t="str">
            <v/>
          </cell>
          <cell r="AB5137" t="str">
            <v/>
          </cell>
          <cell r="AC5137" t="str">
            <v/>
          </cell>
          <cell r="AD5137" t="str">
            <v/>
          </cell>
          <cell r="AY5137" t="str">
            <v/>
          </cell>
          <cell r="AZ5137" t="str">
            <v/>
          </cell>
          <cell r="BA5137" t="str">
            <v/>
          </cell>
        </row>
        <row r="5138">
          <cell r="B5138" t="str">
            <v>-</v>
          </cell>
          <cell r="E5138" t="str">
            <v/>
          </cell>
          <cell r="G5138" t="str">
            <v/>
          </cell>
          <cell r="J5138" t="str">
            <v/>
          </cell>
          <cell r="O5138" t="str">
            <v/>
          </cell>
          <cell r="P5138" t="str">
            <v/>
          </cell>
          <cell r="Q5138" t="str">
            <v/>
          </cell>
          <cell r="S5138" t="str">
            <v/>
          </cell>
          <cell r="V5138" t="str">
            <v/>
          </cell>
          <cell r="Z5138" t="str">
            <v/>
          </cell>
          <cell r="AA5138" t="str">
            <v/>
          </cell>
          <cell r="AB5138" t="str">
            <v/>
          </cell>
          <cell r="AC5138" t="str">
            <v/>
          </cell>
          <cell r="AD5138" t="str">
            <v/>
          </cell>
          <cell r="AY5138" t="str">
            <v/>
          </cell>
          <cell r="AZ5138" t="str">
            <v/>
          </cell>
          <cell r="BA5138" t="str">
            <v/>
          </cell>
        </row>
        <row r="5139">
          <cell r="B5139" t="str">
            <v>-</v>
          </cell>
          <cell r="E5139" t="str">
            <v/>
          </cell>
          <cell r="G5139" t="str">
            <v/>
          </cell>
          <cell r="J5139" t="str">
            <v/>
          </cell>
          <cell r="O5139" t="str">
            <v/>
          </cell>
          <cell r="P5139" t="str">
            <v/>
          </cell>
          <cell r="Q5139" t="str">
            <v/>
          </cell>
          <cell r="S5139" t="str">
            <v/>
          </cell>
          <cell r="V5139" t="str">
            <v/>
          </cell>
          <cell r="Z5139" t="str">
            <v/>
          </cell>
          <cell r="AA5139" t="str">
            <v/>
          </cell>
          <cell r="AB5139" t="str">
            <v/>
          </cell>
          <cell r="AC5139" t="str">
            <v/>
          </cell>
          <cell r="AD5139" t="str">
            <v/>
          </cell>
          <cell r="AY5139" t="str">
            <v/>
          </cell>
          <cell r="AZ5139" t="str">
            <v/>
          </cell>
          <cell r="BA5139" t="str">
            <v/>
          </cell>
        </row>
        <row r="5140">
          <cell r="B5140" t="str">
            <v>-</v>
          </cell>
          <cell r="E5140" t="str">
            <v/>
          </cell>
          <cell r="G5140" t="str">
            <v/>
          </cell>
          <cell r="J5140" t="str">
            <v/>
          </cell>
          <cell r="O5140" t="str">
            <v/>
          </cell>
          <cell r="P5140" t="str">
            <v/>
          </cell>
          <cell r="Q5140" t="str">
            <v/>
          </cell>
          <cell r="S5140" t="str">
            <v/>
          </cell>
          <cell r="V5140" t="str">
            <v/>
          </cell>
          <cell r="Z5140" t="str">
            <v/>
          </cell>
          <cell r="AA5140" t="str">
            <v/>
          </cell>
          <cell r="AB5140" t="str">
            <v/>
          </cell>
          <cell r="AC5140" t="str">
            <v/>
          </cell>
          <cell r="AD5140" t="str">
            <v/>
          </cell>
          <cell r="AY5140" t="str">
            <v/>
          </cell>
          <cell r="AZ5140" t="str">
            <v/>
          </cell>
          <cell r="BA5140" t="str">
            <v/>
          </cell>
        </row>
        <row r="5141">
          <cell r="B5141" t="str">
            <v>-</v>
          </cell>
          <cell r="E5141" t="str">
            <v/>
          </cell>
          <cell r="G5141" t="str">
            <v/>
          </cell>
          <cell r="J5141" t="str">
            <v/>
          </cell>
          <cell r="O5141" t="str">
            <v/>
          </cell>
          <cell r="P5141" t="str">
            <v/>
          </cell>
          <cell r="Q5141" t="str">
            <v/>
          </cell>
          <cell r="S5141" t="str">
            <v/>
          </cell>
          <cell r="V5141" t="str">
            <v/>
          </cell>
          <cell r="Z5141" t="str">
            <v/>
          </cell>
          <cell r="AA5141" t="str">
            <v/>
          </cell>
          <cell r="AB5141" t="str">
            <v/>
          </cell>
          <cell r="AC5141" t="str">
            <v/>
          </cell>
          <cell r="AD5141" t="str">
            <v/>
          </cell>
          <cell r="AY5141" t="str">
            <v/>
          </cell>
          <cell r="AZ5141" t="str">
            <v/>
          </cell>
          <cell r="BA5141" t="str">
            <v/>
          </cell>
        </row>
        <row r="5142">
          <cell r="B5142" t="str">
            <v>-</v>
          </cell>
          <cell r="E5142" t="str">
            <v/>
          </cell>
          <cell r="G5142" t="str">
            <v/>
          </cell>
          <cell r="J5142" t="str">
            <v/>
          </cell>
          <cell r="O5142" t="str">
            <v/>
          </cell>
          <cell r="P5142" t="str">
            <v/>
          </cell>
          <cell r="Q5142" t="str">
            <v/>
          </cell>
          <cell r="S5142" t="str">
            <v/>
          </cell>
          <cell r="V5142" t="str">
            <v/>
          </cell>
          <cell r="Z5142" t="str">
            <v/>
          </cell>
          <cell r="AA5142" t="str">
            <v/>
          </cell>
          <cell r="AB5142" t="str">
            <v/>
          </cell>
          <cell r="AC5142" t="str">
            <v/>
          </cell>
          <cell r="AD5142" t="str">
            <v/>
          </cell>
          <cell r="AY5142" t="str">
            <v/>
          </cell>
          <cell r="AZ5142" t="str">
            <v/>
          </cell>
          <cell r="BA5142" t="str">
            <v/>
          </cell>
        </row>
        <row r="5143">
          <cell r="B5143" t="str">
            <v>-</v>
          </cell>
          <cell r="E5143" t="str">
            <v/>
          </cell>
          <cell r="G5143" t="str">
            <v/>
          </cell>
          <cell r="J5143" t="str">
            <v/>
          </cell>
          <cell r="O5143" t="str">
            <v/>
          </cell>
          <cell r="P5143" t="str">
            <v/>
          </cell>
          <cell r="Q5143" t="str">
            <v/>
          </cell>
          <cell r="S5143" t="str">
            <v/>
          </cell>
          <cell r="V5143" t="str">
            <v/>
          </cell>
          <cell r="Z5143" t="str">
            <v/>
          </cell>
          <cell r="AA5143" t="str">
            <v/>
          </cell>
          <cell r="AB5143" t="str">
            <v/>
          </cell>
          <cell r="AC5143" t="str">
            <v/>
          </cell>
          <cell r="AD5143" t="str">
            <v/>
          </cell>
          <cell r="AY5143" t="str">
            <v/>
          </cell>
          <cell r="AZ5143" t="str">
            <v/>
          </cell>
          <cell r="BA5143" t="str">
            <v/>
          </cell>
        </row>
        <row r="5144">
          <cell r="B5144" t="str">
            <v>-</v>
          </cell>
          <cell r="E5144" t="str">
            <v/>
          </cell>
          <cell r="G5144" t="str">
            <v/>
          </cell>
          <cell r="J5144" t="str">
            <v/>
          </cell>
          <cell r="O5144" t="str">
            <v/>
          </cell>
          <cell r="P5144" t="str">
            <v/>
          </cell>
          <cell r="Q5144" t="str">
            <v/>
          </cell>
          <cell r="S5144" t="str">
            <v/>
          </cell>
          <cell r="V5144" t="str">
            <v/>
          </cell>
          <cell r="Z5144" t="str">
            <v/>
          </cell>
          <cell r="AA5144" t="str">
            <v/>
          </cell>
          <cell r="AB5144" t="str">
            <v/>
          </cell>
          <cell r="AC5144" t="str">
            <v/>
          </cell>
          <cell r="AD5144" t="str">
            <v/>
          </cell>
          <cell r="AY5144" t="str">
            <v/>
          </cell>
          <cell r="AZ5144" t="str">
            <v/>
          </cell>
          <cell r="BA5144" t="str">
            <v/>
          </cell>
        </row>
        <row r="5145">
          <cell r="B5145" t="str">
            <v>-</v>
          </cell>
          <cell r="E5145" t="str">
            <v/>
          </cell>
          <cell r="G5145" t="str">
            <v/>
          </cell>
          <cell r="J5145" t="str">
            <v/>
          </cell>
          <cell r="O5145" t="str">
            <v/>
          </cell>
          <cell r="P5145" t="str">
            <v/>
          </cell>
          <cell r="Q5145" t="str">
            <v/>
          </cell>
          <cell r="S5145" t="str">
            <v/>
          </cell>
          <cell r="V5145" t="str">
            <v/>
          </cell>
          <cell r="Z5145" t="str">
            <v/>
          </cell>
          <cell r="AA5145" t="str">
            <v/>
          </cell>
          <cell r="AB5145" t="str">
            <v/>
          </cell>
          <cell r="AC5145" t="str">
            <v/>
          </cell>
          <cell r="AD5145" t="str">
            <v/>
          </cell>
          <cell r="AY5145" t="str">
            <v/>
          </cell>
          <cell r="AZ5145" t="str">
            <v/>
          </cell>
          <cell r="BA5145" t="str">
            <v/>
          </cell>
        </row>
        <row r="5146">
          <cell r="B5146" t="str">
            <v>-</v>
          </cell>
          <cell r="E5146" t="str">
            <v/>
          </cell>
          <cell r="G5146" t="str">
            <v/>
          </cell>
          <cell r="J5146" t="str">
            <v/>
          </cell>
          <cell r="O5146" t="str">
            <v/>
          </cell>
          <cell r="P5146" t="str">
            <v/>
          </cell>
          <cell r="Q5146" t="str">
            <v/>
          </cell>
          <cell r="S5146" t="str">
            <v/>
          </cell>
          <cell r="V5146" t="str">
            <v/>
          </cell>
          <cell r="Z5146" t="str">
            <v/>
          </cell>
          <cell r="AA5146" t="str">
            <v/>
          </cell>
          <cell r="AB5146" t="str">
            <v/>
          </cell>
          <cell r="AC5146" t="str">
            <v/>
          </cell>
          <cell r="AD5146" t="str">
            <v/>
          </cell>
          <cell r="AY5146" t="str">
            <v/>
          </cell>
          <cell r="AZ5146" t="str">
            <v/>
          </cell>
          <cell r="BA5146" t="str">
            <v/>
          </cell>
        </row>
        <row r="5147">
          <cell r="B5147" t="str">
            <v>-</v>
          </cell>
          <cell r="E5147" t="str">
            <v/>
          </cell>
          <cell r="G5147" t="str">
            <v/>
          </cell>
          <cell r="J5147" t="str">
            <v/>
          </cell>
          <cell r="O5147" t="str">
            <v/>
          </cell>
          <cell r="P5147" t="str">
            <v/>
          </cell>
          <cell r="Q5147" t="str">
            <v/>
          </cell>
          <cell r="S5147" t="str">
            <v/>
          </cell>
          <cell r="V5147" t="str">
            <v/>
          </cell>
          <cell r="Z5147" t="str">
            <v/>
          </cell>
          <cell r="AA5147" t="str">
            <v/>
          </cell>
          <cell r="AB5147" t="str">
            <v/>
          </cell>
          <cell r="AC5147" t="str">
            <v/>
          </cell>
          <cell r="AD5147" t="str">
            <v/>
          </cell>
          <cell r="AY5147" t="str">
            <v/>
          </cell>
          <cell r="AZ5147" t="str">
            <v/>
          </cell>
          <cell r="BA5147" t="str">
            <v/>
          </cell>
        </row>
        <row r="5148">
          <cell r="B5148" t="str">
            <v>-</v>
          </cell>
          <cell r="E5148" t="str">
            <v/>
          </cell>
          <cell r="G5148" t="str">
            <v/>
          </cell>
          <cell r="J5148" t="str">
            <v/>
          </cell>
          <cell r="O5148" t="str">
            <v/>
          </cell>
          <cell r="P5148" t="str">
            <v/>
          </cell>
          <cell r="Q5148" t="str">
            <v/>
          </cell>
          <cell r="S5148" t="str">
            <v/>
          </cell>
          <cell r="V5148" t="str">
            <v/>
          </cell>
          <cell r="Z5148" t="str">
            <v/>
          </cell>
          <cell r="AA5148" t="str">
            <v/>
          </cell>
          <cell r="AB5148" t="str">
            <v/>
          </cell>
          <cell r="AC5148" t="str">
            <v/>
          </cell>
          <cell r="AD5148" t="str">
            <v/>
          </cell>
          <cell r="AY5148" t="str">
            <v/>
          </cell>
          <cell r="AZ5148" t="str">
            <v/>
          </cell>
          <cell r="BA5148" t="str">
            <v/>
          </cell>
        </row>
        <row r="5149">
          <cell r="B5149" t="str">
            <v>-</v>
          </cell>
          <cell r="E5149" t="str">
            <v/>
          </cell>
          <cell r="G5149" t="str">
            <v/>
          </cell>
          <cell r="J5149" t="str">
            <v/>
          </cell>
          <cell r="O5149" t="str">
            <v/>
          </cell>
          <cell r="P5149" t="str">
            <v/>
          </cell>
          <cell r="Q5149" t="str">
            <v/>
          </cell>
          <cell r="S5149" t="str">
            <v/>
          </cell>
          <cell r="V5149" t="str">
            <v/>
          </cell>
          <cell r="Z5149" t="str">
            <v/>
          </cell>
          <cell r="AA5149" t="str">
            <v/>
          </cell>
          <cell r="AB5149" t="str">
            <v/>
          </cell>
          <cell r="AC5149" t="str">
            <v/>
          </cell>
          <cell r="AD5149" t="str">
            <v/>
          </cell>
          <cell r="AY5149" t="str">
            <v/>
          </cell>
          <cell r="AZ5149" t="str">
            <v/>
          </cell>
          <cell r="BA5149" t="str">
            <v/>
          </cell>
        </row>
        <row r="5150">
          <cell r="B5150" t="str">
            <v>-</v>
          </cell>
          <cell r="E5150" t="str">
            <v/>
          </cell>
          <cell r="G5150" t="str">
            <v/>
          </cell>
          <cell r="J5150" t="str">
            <v/>
          </cell>
          <cell r="O5150" t="str">
            <v/>
          </cell>
          <cell r="P5150" t="str">
            <v/>
          </cell>
          <cell r="Q5150" t="str">
            <v/>
          </cell>
          <cell r="S5150" t="str">
            <v/>
          </cell>
          <cell r="V5150" t="str">
            <v/>
          </cell>
          <cell r="Z5150" t="str">
            <v/>
          </cell>
          <cell r="AA5150" t="str">
            <v/>
          </cell>
          <cell r="AB5150" t="str">
            <v/>
          </cell>
          <cell r="AC5150" t="str">
            <v/>
          </cell>
          <cell r="AD5150" t="str">
            <v/>
          </cell>
          <cell r="AY5150" t="str">
            <v/>
          </cell>
          <cell r="AZ5150" t="str">
            <v/>
          </cell>
          <cell r="BA5150" t="str">
            <v/>
          </cell>
        </row>
        <row r="5151">
          <cell r="B5151" t="str">
            <v>-</v>
          </cell>
          <cell r="E5151" t="str">
            <v/>
          </cell>
          <cell r="G5151" t="str">
            <v/>
          </cell>
          <cell r="J5151" t="str">
            <v/>
          </cell>
          <cell r="O5151" t="str">
            <v/>
          </cell>
          <cell r="P5151" t="str">
            <v/>
          </cell>
          <cell r="Q5151" t="str">
            <v/>
          </cell>
          <cell r="S5151" t="str">
            <v/>
          </cell>
          <cell r="V5151" t="str">
            <v/>
          </cell>
          <cell r="Z5151" t="str">
            <v/>
          </cell>
          <cell r="AA5151" t="str">
            <v/>
          </cell>
          <cell r="AB5151" t="str">
            <v/>
          </cell>
          <cell r="AC5151" t="str">
            <v/>
          </cell>
          <cell r="AD5151" t="str">
            <v/>
          </cell>
          <cell r="AY5151" t="str">
            <v/>
          </cell>
          <cell r="AZ5151" t="str">
            <v/>
          </cell>
          <cell r="BA5151" t="str">
            <v/>
          </cell>
        </row>
        <row r="5152">
          <cell r="B5152" t="str">
            <v>-</v>
          </cell>
          <cell r="E5152" t="str">
            <v/>
          </cell>
          <cell r="G5152" t="str">
            <v/>
          </cell>
          <cell r="J5152" t="str">
            <v/>
          </cell>
          <cell r="O5152" t="str">
            <v/>
          </cell>
          <cell r="P5152" t="str">
            <v/>
          </cell>
          <cell r="Q5152" t="str">
            <v/>
          </cell>
          <cell r="S5152" t="str">
            <v/>
          </cell>
          <cell r="V5152" t="str">
            <v/>
          </cell>
          <cell r="Z5152" t="str">
            <v/>
          </cell>
          <cell r="AA5152" t="str">
            <v/>
          </cell>
          <cell r="AB5152" t="str">
            <v/>
          </cell>
          <cell r="AC5152" t="str">
            <v/>
          </cell>
          <cell r="AD5152" t="str">
            <v/>
          </cell>
          <cell r="AY5152" t="str">
            <v/>
          </cell>
          <cell r="AZ5152" t="str">
            <v/>
          </cell>
          <cell r="BA5152" t="str">
            <v/>
          </cell>
        </row>
        <row r="5153">
          <cell r="B5153" t="str">
            <v>-</v>
          </cell>
          <cell r="E5153" t="str">
            <v/>
          </cell>
          <cell r="G5153" t="str">
            <v/>
          </cell>
          <cell r="J5153" t="str">
            <v/>
          </cell>
          <cell r="O5153" t="str">
            <v/>
          </cell>
          <cell r="P5153" t="str">
            <v/>
          </cell>
          <cell r="Q5153" t="str">
            <v/>
          </cell>
          <cell r="S5153" t="str">
            <v/>
          </cell>
          <cell r="V5153" t="str">
            <v/>
          </cell>
          <cell r="Z5153" t="str">
            <v/>
          </cell>
          <cell r="AA5153" t="str">
            <v/>
          </cell>
          <cell r="AB5153" t="str">
            <v/>
          </cell>
          <cell r="AC5153" t="str">
            <v/>
          </cell>
          <cell r="AD5153" t="str">
            <v/>
          </cell>
          <cell r="AY5153" t="str">
            <v/>
          </cell>
          <cell r="AZ5153" t="str">
            <v/>
          </cell>
          <cell r="BA5153" t="str">
            <v/>
          </cell>
        </row>
        <row r="5154">
          <cell r="B5154" t="str">
            <v>-</v>
          </cell>
          <cell r="E5154" t="str">
            <v/>
          </cell>
          <cell r="G5154" t="str">
            <v/>
          </cell>
          <cell r="J5154" t="str">
            <v/>
          </cell>
          <cell r="O5154" t="str">
            <v/>
          </cell>
          <cell r="P5154" t="str">
            <v/>
          </cell>
          <cell r="Q5154" t="str">
            <v/>
          </cell>
          <cell r="S5154" t="str">
            <v/>
          </cell>
          <cell r="V5154" t="str">
            <v/>
          </cell>
          <cell r="Z5154" t="str">
            <v/>
          </cell>
          <cell r="AA5154" t="str">
            <v/>
          </cell>
          <cell r="AB5154" t="str">
            <v/>
          </cell>
          <cell r="AC5154" t="str">
            <v/>
          </cell>
          <cell r="AD5154" t="str">
            <v/>
          </cell>
          <cell r="AY5154" t="str">
            <v/>
          </cell>
          <cell r="AZ5154" t="str">
            <v/>
          </cell>
          <cell r="BA5154" t="str">
            <v/>
          </cell>
        </row>
        <row r="5155">
          <cell r="B5155" t="str">
            <v>-</v>
          </cell>
          <cell r="E5155" t="str">
            <v/>
          </cell>
          <cell r="G5155" t="str">
            <v/>
          </cell>
          <cell r="J5155" t="str">
            <v/>
          </cell>
          <cell r="O5155" t="str">
            <v/>
          </cell>
          <cell r="P5155" t="str">
            <v/>
          </cell>
          <cell r="Q5155" t="str">
            <v/>
          </cell>
          <cell r="S5155" t="str">
            <v/>
          </cell>
          <cell r="V5155" t="str">
            <v/>
          </cell>
          <cell r="Z5155" t="str">
            <v/>
          </cell>
          <cell r="AA5155" t="str">
            <v/>
          </cell>
          <cell r="AB5155" t="str">
            <v/>
          </cell>
          <cell r="AC5155" t="str">
            <v/>
          </cell>
          <cell r="AD5155" t="str">
            <v/>
          </cell>
          <cell r="AY5155" t="str">
            <v/>
          </cell>
          <cell r="AZ5155" t="str">
            <v/>
          </cell>
          <cell r="BA5155" t="str">
            <v/>
          </cell>
        </row>
        <row r="5156">
          <cell r="B5156" t="str">
            <v>-</v>
          </cell>
          <cell r="E5156" t="str">
            <v/>
          </cell>
          <cell r="G5156" t="str">
            <v/>
          </cell>
          <cell r="J5156" t="str">
            <v/>
          </cell>
          <cell r="O5156" t="str">
            <v/>
          </cell>
          <cell r="P5156" t="str">
            <v/>
          </cell>
          <cell r="Q5156" t="str">
            <v/>
          </cell>
          <cell r="S5156" t="str">
            <v/>
          </cell>
          <cell r="V5156" t="str">
            <v/>
          </cell>
          <cell r="Z5156" t="str">
            <v/>
          </cell>
          <cell r="AA5156" t="str">
            <v/>
          </cell>
          <cell r="AB5156" t="str">
            <v/>
          </cell>
          <cell r="AC5156" t="str">
            <v/>
          </cell>
          <cell r="AD5156" t="str">
            <v/>
          </cell>
          <cell r="AY5156" t="str">
            <v/>
          </cell>
          <cell r="AZ5156" t="str">
            <v/>
          </cell>
          <cell r="BA5156" t="str">
            <v/>
          </cell>
        </row>
        <row r="5157">
          <cell r="B5157" t="str">
            <v>-</v>
          </cell>
          <cell r="E5157" t="str">
            <v/>
          </cell>
          <cell r="G5157" t="str">
            <v/>
          </cell>
          <cell r="J5157" t="str">
            <v/>
          </cell>
          <cell r="O5157" t="str">
            <v/>
          </cell>
          <cell r="P5157" t="str">
            <v/>
          </cell>
          <cell r="Q5157" t="str">
            <v/>
          </cell>
          <cell r="S5157" t="str">
            <v/>
          </cell>
          <cell r="V5157" t="str">
            <v/>
          </cell>
          <cell r="Z5157" t="str">
            <v/>
          </cell>
          <cell r="AA5157" t="str">
            <v/>
          </cell>
          <cell r="AB5157" t="str">
            <v/>
          </cell>
          <cell r="AC5157" t="str">
            <v/>
          </cell>
          <cell r="AD5157" t="str">
            <v/>
          </cell>
          <cell r="AY5157" t="str">
            <v/>
          </cell>
          <cell r="AZ5157" t="str">
            <v/>
          </cell>
          <cell r="BA5157" t="str">
            <v/>
          </cell>
        </row>
        <row r="5158">
          <cell r="B5158" t="str">
            <v>-</v>
          </cell>
          <cell r="E5158" t="str">
            <v/>
          </cell>
          <cell r="G5158" t="str">
            <v/>
          </cell>
          <cell r="J5158" t="str">
            <v/>
          </cell>
          <cell r="O5158" t="str">
            <v/>
          </cell>
          <cell r="P5158" t="str">
            <v/>
          </cell>
          <cell r="Q5158" t="str">
            <v/>
          </cell>
          <cell r="S5158" t="str">
            <v/>
          </cell>
          <cell r="V5158" t="str">
            <v/>
          </cell>
          <cell r="Z5158" t="str">
            <v/>
          </cell>
          <cell r="AA5158" t="str">
            <v/>
          </cell>
          <cell r="AB5158" t="str">
            <v/>
          </cell>
          <cell r="AC5158" t="str">
            <v/>
          </cell>
          <cell r="AD5158" t="str">
            <v/>
          </cell>
          <cell r="AY5158" t="str">
            <v/>
          </cell>
          <cell r="AZ5158" t="str">
            <v/>
          </cell>
          <cell r="BA5158" t="str">
            <v/>
          </cell>
        </row>
        <row r="5159">
          <cell r="B5159" t="str">
            <v>-</v>
          </cell>
          <cell r="E5159" t="str">
            <v/>
          </cell>
          <cell r="G5159" t="str">
            <v/>
          </cell>
          <cell r="J5159" t="str">
            <v/>
          </cell>
          <cell r="O5159" t="str">
            <v/>
          </cell>
          <cell r="P5159" t="str">
            <v/>
          </cell>
          <cell r="Q5159" t="str">
            <v/>
          </cell>
          <cell r="S5159" t="str">
            <v/>
          </cell>
          <cell r="V5159" t="str">
            <v/>
          </cell>
          <cell r="Z5159" t="str">
            <v/>
          </cell>
          <cell r="AA5159" t="str">
            <v/>
          </cell>
          <cell r="AB5159" t="str">
            <v/>
          </cell>
          <cell r="AC5159" t="str">
            <v/>
          </cell>
          <cell r="AD5159" t="str">
            <v/>
          </cell>
          <cell r="AY5159" t="str">
            <v/>
          </cell>
          <cell r="AZ5159" t="str">
            <v/>
          </cell>
          <cell r="BA5159" t="str">
            <v/>
          </cell>
        </row>
        <row r="5160">
          <cell r="B5160" t="str">
            <v>-</v>
          </cell>
          <cell r="E5160" t="str">
            <v/>
          </cell>
          <cell r="G5160" t="str">
            <v/>
          </cell>
          <cell r="J5160" t="str">
            <v/>
          </cell>
          <cell r="O5160" t="str">
            <v/>
          </cell>
          <cell r="P5160" t="str">
            <v/>
          </cell>
          <cell r="Q5160" t="str">
            <v/>
          </cell>
          <cell r="S5160" t="str">
            <v/>
          </cell>
          <cell r="V5160" t="str">
            <v/>
          </cell>
          <cell r="Z5160" t="str">
            <v/>
          </cell>
          <cell r="AA5160" t="str">
            <v/>
          </cell>
          <cell r="AB5160" t="str">
            <v/>
          </cell>
          <cell r="AC5160" t="str">
            <v/>
          </cell>
          <cell r="AD5160" t="str">
            <v/>
          </cell>
          <cell r="AY5160" t="str">
            <v/>
          </cell>
          <cell r="AZ5160" t="str">
            <v/>
          </cell>
          <cell r="BA5160" t="str">
            <v/>
          </cell>
        </row>
        <row r="5161">
          <cell r="B5161" t="str">
            <v>-</v>
          </cell>
          <cell r="E5161" t="str">
            <v/>
          </cell>
          <cell r="G5161" t="str">
            <v/>
          </cell>
          <cell r="J5161" t="str">
            <v/>
          </cell>
          <cell r="O5161" t="str">
            <v/>
          </cell>
          <cell r="P5161" t="str">
            <v/>
          </cell>
          <cell r="Q5161" t="str">
            <v/>
          </cell>
          <cell r="S5161" t="str">
            <v/>
          </cell>
          <cell r="V5161" t="str">
            <v/>
          </cell>
          <cell r="Z5161" t="str">
            <v/>
          </cell>
          <cell r="AA5161" t="str">
            <v/>
          </cell>
          <cell r="AB5161" t="str">
            <v/>
          </cell>
          <cell r="AC5161" t="str">
            <v/>
          </cell>
          <cell r="AD5161" t="str">
            <v/>
          </cell>
          <cell r="AY5161" t="str">
            <v/>
          </cell>
          <cell r="AZ5161" t="str">
            <v/>
          </cell>
          <cell r="BA5161" t="str">
            <v/>
          </cell>
        </row>
        <row r="5162">
          <cell r="B5162" t="str">
            <v>-</v>
          </cell>
          <cell r="E5162" t="str">
            <v/>
          </cell>
          <cell r="G5162" t="str">
            <v/>
          </cell>
          <cell r="J5162" t="str">
            <v/>
          </cell>
          <cell r="O5162" t="str">
            <v/>
          </cell>
          <cell r="P5162" t="str">
            <v/>
          </cell>
          <cell r="Q5162" t="str">
            <v/>
          </cell>
          <cell r="S5162" t="str">
            <v/>
          </cell>
          <cell r="V5162" t="str">
            <v/>
          </cell>
          <cell r="Z5162" t="str">
            <v/>
          </cell>
          <cell r="AA5162" t="str">
            <v/>
          </cell>
          <cell r="AB5162" t="str">
            <v/>
          </cell>
          <cell r="AC5162" t="str">
            <v/>
          </cell>
          <cell r="AD5162" t="str">
            <v/>
          </cell>
          <cell r="AY5162" t="str">
            <v/>
          </cell>
          <cell r="AZ5162" t="str">
            <v/>
          </cell>
          <cell r="BA5162" t="str">
            <v/>
          </cell>
        </row>
        <row r="5163">
          <cell r="B5163" t="str">
            <v>-</v>
          </cell>
          <cell r="E5163" t="str">
            <v/>
          </cell>
          <cell r="G5163" t="str">
            <v/>
          </cell>
          <cell r="J5163" t="str">
            <v/>
          </cell>
          <cell r="O5163" t="str">
            <v/>
          </cell>
          <cell r="P5163" t="str">
            <v/>
          </cell>
          <cell r="Q5163" t="str">
            <v/>
          </cell>
          <cell r="S5163" t="str">
            <v/>
          </cell>
          <cell r="V5163" t="str">
            <v/>
          </cell>
          <cell r="Z5163" t="str">
            <v/>
          </cell>
          <cell r="AA5163" t="str">
            <v/>
          </cell>
          <cell r="AB5163" t="str">
            <v/>
          </cell>
          <cell r="AC5163" t="str">
            <v/>
          </cell>
          <cell r="AD5163" t="str">
            <v/>
          </cell>
          <cell r="AY5163" t="str">
            <v/>
          </cell>
          <cell r="AZ5163" t="str">
            <v/>
          </cell>
          <cell r="BA5163" t="str">
            <v/>
          </cell>
        </row>
        <row r="5164">
          <cell r="B5164" t="str">
            <v>-</v>
          </cell>
          <cell r="E5164" t="str">
            <v/>
          </cell>
          <cell r="G5164" t="str">
            <v/>
          </cell>
          <cell r="J5164" t="str">
            <v/>
          </cell>
          <cell r="O5164" t="str">
            <v/>
          </cell>
          <cell r="P5164" t="str">
            <v/>
          </cell>
          <cell r="Q5164" t="str">
            <v/>
          </cell>
          <cell r="S5164" t="str">
            <v/>
          </cell>
          <cell r="V5164" t="str">
            <v/>
          </cell>
          <cell r="Z5164" t="str">
            <v/>
          </cell>
          <cell r="AA5164" t="str">
            <v/>
          </cell>
          <cell r="AB5164" t="str">
            <v/>
          </cell>
          <cell r="AC5164" t="str">
            <v/>
          </cell>
          <cell r="AD5164" t="str">
            <v/>
          </cell>
          <cell r="AY5164" t="str">
            <v/>
          </cell>
          <cell r="AZ5164" t="str">
            <v/>
          </cell>
          <cell r="BA5164" t="str">
            <v/>
          </cell>
        </row>
        <row r="5165">
          <cell r="B5165" t="str">
            <v>-</v>
          </cell>
          <cell r="E5165" t="str">
            <v/>
          </cell>
          <cell r="G5165" t="str">
            <v/>
          </cell>
          <cell r="J5165" t="str">
            <v/>
          </cell>
          <cell r="O5165" t="str">
            <v/>
          </cell>
          <cell r="P5165" t="str">
            <v/>
          </cell>
          <cell r="Q5165" t="str">
            <v/>
          </cell>
          <cell r="S5165" t="str">
            <v/>
          </cell>
          <cell r="V5165" t="str">
            <v/>
          </cell>
          <cell r="Z5165" t="str">
            <v/>
          </cell>
          <cell r="AA5165" t="str">
            <v/>
          </cell>
          <cell r="AB5165" t="str">
            <v/>
          </cell>
          <cell r="AC5165" t="str">
            <v/>
          </cell>
          <cell r="AD5165" t="str">
            <v/>
          </cell>
          <cell r="AY5165" t="str">
            <v/>
          </cell>
          <cell r="AZ5165" t="str">
            <v/>
          </cell>
          <cell r="BA5165" t="str">
            <v/>
          </cell>
        </row>
        <row r="5166">
          <cell r="B5166" t="str">
            <v>-</v>
          </cell>
          <cell r="E5166" t="str">
            <v/>
          </cell>
          <cell r="G5166" t="str">
            <v/>
          </cell>
          <cell r="J5166" t="str">
            <v/>
          </cell>
          <cell r="O5166" t="str">
            <v/>
          </cell>
          <cell r="P5166" t="str">
            <v/>
          </cell>
          <cell r="Q5166" t="str">
            <v/>
          </cell>
          <cell r="S5166" t="str">
            <v/>
          </cell>
          <cell r="V5166" t="str">
            <v/>
          </cell>
          <cell r="Z5166" t="str">
            <v/>
          </cell>
          <cell r="AA5166" t="str">
            <v/>
          </cell>
          <cell r="AB5166" t="str">
            <v/>
          </cell>
          <cell r="AC5166" t="str">
            <v/>
          </cell>
          <cell r="AD5166" t="str">
            <v/>
          </cell>
          <cell r="AY5166" t="str">
            <v/>
          </cell>
          <cell r="AZ5166" t="str">
            <v/>
          </cell>
          <cell r="BA5166" t="str">
            <v/>
          </cell>
        </row>
        <row r="5167">
          <cell r="B5167" t="str">
            <v>-</v>
          </cell>
          <cell r="E5167" t="str">
            <v/>
          </cell>
          <cell r="G5167" t="str">
            <v/>
          </cell>
          <cell r="J5167" t="str">
            <v/>
          </cell>
          <cell r="O5167" t="str">
            <v/>
          </cell>
          <cell r="P5167" t="str">
            <v/>
          </cell>
          <cell r="Q5167" t="str">
            <v/>
          </cell>
          <cell r="S5167" t="str">
            <v/>
          </cell>
          <cell r="V5167" t="str">
            <v/>
          </cell>
          <cell r="Z5167" t="str">
            <v/>
          </cell>
          <cell r="AA5167" t="str">
            <v/>
          </cell>
          <cell r="AB5167" t="str">
            <v/>
          </cell>
          <cell r="AC5167" t="str">
            <v/>
          </cell>
          <cell r="AD5167" t="str">
            <v/>
          </cell>
          <cell r="AY5167" t="str">
            <v/>
          </cell>
          <cell r="AZ5167" t="str">
            <v/>
          </cell>
          <cell r="BA5167" t="str">
            <v/>
          </cell>
        </row>
        <row r="5168">
          <cell r="B5168" t="str">
            <v>-</v>
          </cell>
          <cell r="E5168" t="str">
            <v/>
          </cell>
          <cell r="G5168" t="str">
            <v/>
          </cell>
          <cell r="J5168" t="str">
            <v/>
          </cell>
          <cell r="O5168" t="str">
            <v/>
          </cell>
          <cell r="P5168" t="str">
            <v/>
          </cell>
          <cell r="Q5168" t="str">
            <v/>
          </cell>
          <cell r="S5168" t="str">
            <v/>
          </cell>
          <cell r="V5168" t="str">
            <v/>
          </cell>
          <cell r="Z5168" t="str">
            <v/>
          </cell>
          <cell r="AA5168" t="str">
            <v/>
          </cell>
          <cell r="AB5168" t="str">
            <v/>
          </cell>
          <cell r="AC5168" t="str">
            <v/>
          </cell>
          <cell r="AD5168" t="str">
            <v/>
          </cell>
          <cell r="AY5168" t="str">
            <v/>
          </cell>
          <cell r="AZ5168" t="str">
            <v/>
          </cell>
          <cell r="BA5168" t="str">
            <v/>
          </cell>
        </row>
        <row r="5169">
          <cell r="B5169" t="str">
            <v>-</v>
          </cell>
          <cell r="E5169" t="str">
            <v/>
          </cell>
          <cell r="G5169" t="str">
            <v/>
          </cell>
          <cell r="J5169" t="str">
            <v/>
          </cell>
          <cell r="O5169" t="str">
            <v/>
          </cell>
          <cell r="P5169" t="str">
            <v/>
          </cell>
          <cell r="Q5169" t="str">
            <v/>
          </cell>
          <cell r="S5169" t="str">
            <v/>
          </cell>
          <cell r="V5169" t="str">
            <v/>
          </cell>
          <cell r="Z5169" t="str">
            <v/>
          </cell>
          <cell r="AA5169" t="str">
            <v/>
          </cell>
          <cell r="AB5169" t="str">
            <v/>
          </cell>
          <cell r="AC5169" t="str">
            <v/>
          </cell>
          <cell r="AD5169" t="str">
            <v/>
          </cell>
          <cell r="AY5169" t="str">
            <v/>
          </cell>
          <cell r="AZ5169" t="str">
            <v/>
          </cell>
          <cell r="BA5169" t="str">
            <v/>
          </cell>
        </row>
        <row r="5170">
          <cell r="B5170" t="str">
            <v>-</v>
          </cell>
          <cell r="E5170" t="str">
            <v/>
          </cell>
          <cell r="G5170" t="str">
            <v/>
          </cell>
          <cell r="J5170" t="str">
            <v/>
          </cell>
          <cell r="O5170" t="str">
            <v/>
          </cell>
          <cell r="P5170" t="str">
            <v/>
          </cell>
          <cell r="Q5170" t="str">
            <v/>
          </cell>
          <cell r="S5170" t="str">
            <v/>
          </cell>
          <cell r="V5170" t="str">
            <v/>
          </cell>
          <cell r="Z5170" t="str">
            <v/>
          </cell>
          <cell r="AA5170" t="str">
            <v/>
          </cell>
          <cell r="AB5170" t="str">
            <v/>
          </cell>
          <cell r="AC5170" t="str">
            <v/>
          </cell>
          <cell r="AD5170" t="str">
            <v/>
          </cell>
          <cell r="AY5170" t="str">
            <v/>
          </cell>
          <cell r="AZ5170" t="str">
            <v/>
          </cell>
          <cell r="BA5170" t="str">
            <v/>
          </cell>
        </row>
        <row r="5171">
          <cell r="B5171" t="str">
            <v>-</v>
          </cell>
          <cell r="E5171" t="str">
            <v/>
          </cell>
          <cell r="G5171" t="str">
            <v/>
          </cell>
          <cell r="J5171" t="str">
            <v/>
          </cell>
          <cell r="O5171" t="str">
            <v/>
          </cell>
          <cell r="P5171" t="str">
            <v/>
          </cell>
          <cell r="Q5171" t="str">
            <v/>
          </cell>
          <cell r="S5171" t="str">
            <v/>
          </cell>
          <cell r="V5171" t="str">
            <v/>
          </cell>
          <cell r="Z5171" t="str">
            <v/>
          </cell>
          <cell r="AA5171" t="str">
            <v/>
          </cell>
          <cell r="AB5171" t="str">
            <v/>
          </cell>
          <cell r="AC5171" t="str">
            <v/>
          </cell>
          <cell r="AD5171" t="str">
            <v/>
          </cell>
          <cell r="AY5171" t="str">
            <v/>
          </cell>
          <cell r="AZ5171" t="str">
            <v/>
          </cell>
          <cell r="BA5171" t="str">
            <v/>
          </cell>
        </row>
        <row r="5172">
          <cell r="B5172" t="str">
            <v>-</v>
          </cell>
          <cell r="E5172" t="str">
            <v/>
          </cell>
          <cell r="G5172" t="str">
            <v/>
          </cell>
          <cell r="J5172" t="str">
            <v/>
          </cell>
          <cell r="O5172" t="str">
            <v/>
          </cell>
          <cell r="P5172" t="str">
            <v/>
          </cell>
          <cell r="Q5172" t="str">
            <v/>
          </cell>
          <cell r="S5172" t="str">
            <v/>
          </cell>
          <cell r="V5172" t="str">
            <v/>
          </cell>
          <cell r="Z5172" t="str">
            <v/>
          </cell>
          <cell r="AA5172" t="str">
            <v/>
          </cell>
          <cell r="AB5172" t="str">
            <v/>
          </cell>
          <cell r="AC5172" t="str">
            <v/>
          </cell>
          <cell r="AD5172" t="str">
            <v/>
          </cell>
          <cell r="AY5172" t="str">
            <v/>
          </cell>
          <cell r="AZ5172" t="str">
            <v/>
          </cell>
          <cell r="BA5172" t="str">
            <v/>
          </cell>
        </row>
        <row r="5173">
          <cell r="B5173" t="str">
            <v>-</v>
          </cell>
          <cell r="E5173" t="str">
            <v/>
          </cell>
          <cell r="G5173" t="str">
            <v/>
          </cell>
          <cell r="J5173" t="str">
            <v/>
          </cell>
          <cell r="O5173" t="str">
            <v/>
          </cell>
          <cell r="P5173" t="str">
            <v/>
          </cell>
          <cell r="Q5173" t="str">
            <v/>
          </cell>
          <cell r="S5173" t="str">
            <v/>
          </cell>
          <cell r="V5173" t="str">
            <v/>
          </cell>
          <cell r="Z5173" t="str">
            <v/>
          </cell>
          <cell r="AA5173" t="str">
            <v/>
          </cell>
          <cell r="AB5173" t="str">
            <v/>
          </cell>
          <cell r="AC5173" t="str">
            <v/>
          </cell>
          <cell r="AD5173" t="str">
            <v/>
          </cell>
          <cell r="AY5173" t="str">
            <v/>
          </cell>
          <cell r="AZ5173" t="str">
            <v/>
          </cell>
          <cell r="BA5173" t="str">
            <v/>
          </cell>
        </row>
        <row r="5174">
          <cell r="B5174" t="str">
            <v>-</v>
          </cell>
          <cell r="E5174" t="str">
            <v/>
          </cell>
          <cell r="G5174" t="str">
            <v/>
          </cell>
          <cell r="J5174" t="str">
            <v/>
          </cell>
          <cell r="O5174" t="str">
            <v/>
          </cell>
          <cell r="P5174" t="str">
            <v/>
          </cell>
          <cell r="Q5174" t="str">
            <v/>
          </cell>
          <cell r="S5174" t="str">
            <v/>
          </cell>
          <cell r="V5174" t="str">
            <v/>
          </cell>
          <cell r="Z5174" t="str">
            <v/>
          </cell>
          <cell r="AA5174" t="str">
            <v/>
          </cell>
          <cell r="AB5174" t="str">
            <v/>
          </cell>
          <cell r="AC5174" t="str">
            <v/>
          </cell>
          <cell r="AD5174" t="str">
            <v/>
          </cell>
          <cell r="AY5174" t="str">
            <v/>
          </cell>
          <cell r="AZ5174" t="str">
            <v/>
          </cell>
          <cell r="BA5174" t="str">
            <v/>
          </cell>
        </row>
        <row r="5175">
          <cell r="B5175" t="str">
            <v>-</v>
          </cell>
          <cell r="E5175" t="str">
            <v/>
          </cell>
          <cell r="G5175" t="str">
            <v/>
          </cell>
          <cell r="J5175" t="str">
            <v/>
          </cell>
          <cell r="O5175" t="str">
            <v/>
          </cell>
          <cell r="P5175" t="str">
            <v/>
          </cell>
          <cell r="Q5175" t="str">
            <v/>
          </cell>
          <cell r="S5175" t="str">
            <v/>
          </cell>
          <cell r="V5175" t="str">
            <v/>
          </cell>
          <cell r="Z5175" t="str">
            <v/>
          </cell>
          <cell r="AA5175" t="str">
            <v/>
          </cell>
          <cell r="AB5175" t="str">
            <v/>
          </cell>
          <cell r="AC5175" t="str">
            <v/>
          </cell>
          <cell r="AD5175" t="str">
            <v/>
          </cell>
          <cell r="AY5175" t="str">
            <v/>
          </cell>
          <cell r="AZ5175" t="str">
            <v/>
          </cell>
          <cell r="BA5175" t="str">
            <v/>
          </cell>
        </row>
        <row r="5176">
          <cell r="B5176" t="str">
            <v>-</v>
          </cell>
          <cell r="E5176" t="str">
            <v/>
          </cell>
          <cell r="G5176" t="str">
            <v/>
          </cell>
          <cell r="J5176" t="str">
            <v/>
          </cell>
          <cell r="O5176" t="str">
            <v/>
          </cell>
          <cell r="P5176" t="str">
            <v/>
          </cell>
          <cell r="Q5176" t="str">
            <v/>
          </cell>
          <cell r="S5176" t="str">
            <v/>
          </cell>
          <cell r="V5176" t="str">
            <v/>
          </cell>
          <cell r="Z5176" t="str">
            <v/>
          </cell>
          <cell r="AA5176" t="str">
            <v/>
          </cell>
          <cell r="AB5176" t="str">
            <v/>
          </cell>
          <cell r="AC5176" t="str">
            <v/>
          </cell>
          <cell r="AD5176" t="str">
            <v/>
          </cell>
          <cell r="AY5176" t="str">
            <v/>
          </cell>
          <cell r="AZ5176" t="str">
            <v/>
          </cell>
          <cell r="BA5176" t="str">
            <v/>
          </cell>
        </row>
        <row r="5177">
          <cell r="B5177" t="str">
            <v>-</v>
          </cell>
          <cell r="E5177" t="str">
            <v/>
          </cell>
          <cell r="G5177" t="str">
            <v/>
          </cell>
          <cell r="J5177" t="str">
            <v/>
          </cell>
          <cell r="O5177" t="str">
            <v/>
          </cell>
          <cell r="P5177" t="str">
            <v/>
          </cell>
          <cell r="Q5177" t="str">
            <v/>
          </cell>
          <cell r="S5177" t="str">
            <v/>
          </cell>
          <cell r="V5177" t="str">
            <v/>
          </cell>
          <cell r="Z5177" t="str">
            <v/>
          </cell>
          <cell r="AA5177" t="str">
            <v/>
          </cell>
          <cell r="AB5177" t="str">
            <v/>
          </cell>
          <cell r="AC5177" t="str">
            <v/>
          </cell>
          <cell r="AD5177" t="str">
            <v/>
          </cell>
          <cell r="AY5177" t="str">
            <v/>
          </cell>
          <cell r="AZ5177" t="str">
            <v/>
          </cell>
          <cell r="BA5177" t="str">
            <v/>
          </cell>
        </row>
        <row r="5178">
          <cell r="B5178" t="str">
            <v>-</v>
          </cell>
          <cell r="E5178" t="str">
            <v/>
          </cell>
          <cell r="G5178" t="str">
            <v/>
          </cell>
          <cell r="J5178" t="str">
            <v/>
          </cell>
          <cell r="O5178" t="str">
            <v/>
          </cell>
          <cell r="P5178" t="str">
            <v/>
          </cell>
          <cell r="Q5178" t="str">
            <v/>
          </cell>
          <cell r="S5178" t="str">
            <v/>
          </cell>
          <cell r="V5178" t="str">
            <v/>
          </cell>
          <cell r="Z5178" t="str">
            <v/>
          </cell>
          <cell r="AA5178" t="str">
            <v/>
          </cell>
          <cell r="AB5178" t="str">
            <v/>
          </cell>
          <cell r="AC5178" t="str">
            <v/>
          </cell>
          <cell r="AD5178" t="str">
            <v/>
          </cell>
          <cell r="AY5178" t="str">
            <v/>
          </cell>
          <cell r="AZ5178" t="str">
            <v/>
          </cell>
          <cell r="BA5178" t="str">
            <v/>
          </cell>
        </row>
        <row r="5179">
          <cell r="B5179" t="str">
            <v>-</v>
          </cell>
          <cell r="E5179" t="str">
            <v/>
          </cell>
          <cell r="G5179" t="str">
            <v/>
          </cell>
          <cell r="J5179" t="str">
            <v/>
          </cell>
          <cell r="O5179" t="str">
            <v/>
          </cell>
          <cell r="P5179" t="str">
            <v/>
          </cell>
          <cell r="Q5179" t="str">
            <v/>
          </cell>
          <cell r="S5179" t="str">
            <v/>
          </cell>
          <cell r="V5179" t="str">
            <v/>
          </cell>
          <cell r="Z5179" t="str">
            <v/>
          </cell>
          <cell r="AA5179" t="str">
            <v/>
          </cell>
          <cell r="AB5179" t="str">
            <v/>
          </cell>
          <cell r="AC5179" t="str">
            <v/>
          </cell>
          <cell r="AD5179" t="str">
            <v/>
          </cell>
          <cell r="AY5179" t="str">
            <v/>
          </cell>
          <cell r="AZ5179" t="str">
            <v/>
          </cell>
          <cell r="BA5179" t="str">
            <v/>
          </cell>
        </row>
        <row r="5180">
          <cell r="B5180" t="str">
            <v>-</v>
          </cell>
          <cell r="E5180" t="str">
            <v/>
          </cell>
          <cell r="G5180" t="str">
            <v/>
          </cell>
          <cell r="J5180" t="str">
            <v/>
          </cell>
          <cell r="O5180" t="str">
            <v/>
          </cell>
          <cell r="P5180" t="str">
            <v/>
          </cell>
          <cell r="Q5180" t="str">
            <v/>
          </cell>
          <cell r="S5180" t="str">
            <v/>
          </cell>
          <cell r="V5180" t="str">
            <v/>
          </cell>
          <cell r="Z5180" t="str">
            <v/>
          </cell>
          <cell r="AA5180" t="str">
            <v/>
          </cell>
          <cell r="AB5180" t="str">
            <v/>
          </cell>
          <cell r="AC5180" t="str">
            <v/>
          </cell>
          <cell r="AD5180" t="str">
            <v/>
          </cell>
          <cell r="AY5180" t="str">
            <v/>
          </cell>
          <cell r="AZ5180" t="str">
            <v/>
          </cell>
          <cell r="BA5180" t="str">
            <v/>
          </cell>
        </row>
        <row r="5181">
          <cell r="B5181" t="str">
            <v>-</v>
          </cell>
          <cell r="E5181" t="str">
            <v/>
          </cell>
          <cell r="G5181" t="str">
            <v/>
          </cell>
          <cell r="J5181" t="str">
            <v/>
          </cell>
          <cell r="O5181" t="str">
            <v/>
          </cell>
          <cell r="P5181" t="str">
            <v/>
          </cell>
          <cell r="Q5181" t="str">
            <v/>
          </cell>
          <cell r="S5181" t="str">
            <v/>
          </cell>
          <cell r="V5181" t="str">
            <v/>
          </cell>
          <cell r="Z5181" t="str">
            <v/>
          </cell>
          <cell r="AA5181" t="str">
            <v/>
          </cell>
          <cell r="AB5181" t="str">
            <v/>
          </cell>
          <cell r="AC5181" t="str">
            <v/>
          </cell>
          <cell r="AD5181" t="str">
            <v/>
          </cell>
          <cell r="AY5181" t="str">
            <v/>
          </cell>
          <cell r="AZ5181" t="str">
            <v/>
          </cell>
          <cell r="BA5181" t="str">
            <v/>
          </cell>
        </row>
        <row r="5182">
          <cell r="B5182" t="str">
            <v>-</v>
          </cell>
          <cell r="E5182" t="str">
            <v/>
          </cell>
          <cell r="G5182" t="str">
            <v/>
          </cell>
          <cell r="J5182" t="str">
            <v/>
          </cell>
          <cell r="O5182" t="str">
            <v/>
          </cell>
          <cell r="P5182" t="str">
            <v/>
          </cell>
          <cell r="Q5182" t="str">
            <v/>
          </cell>
          <cell r="S5182" t="str">
            <v/>
          </cell>
          <cell r="V5182" t="str">
            <v/>
          </cell>
          <cell r="Z5182" t="str">
            <v/>
          </cell>
          <cell r="AA5182" t="str">
            <v/>
          </cell>
          <cell r="AB5182" t="str">
            <v/>
          </cell>
          <cell r="AC5182" t="str">
            <v/>
          </cell>
          <cell r="AD5182" t="str">
            <v/>
          </cell>
          <cell r="AY5182" t="str">
            <v/>
          </cell>
          <cell r="AZ5182" t="str">
            <v/>
          </cell>
          <cell r="BA5182" t="str">
            <v/>
          </cell>
        </row>
        <row r="5183">
          <cell r="B5183" t="str">
            <v>-</v>
          </cell>
          <cell r="E5183" t="str">
            <v/>
          </cell>
          <cell r="G5183" t="str">
            <v/>
          </cell>
          <cell r="J5183" t="str">
            <v/>
          </cell>
          <cell r="O5183" t="str">
            <v/>
          </cell>
          <cell r="P5183" t="str">
            <v/>
          </cell>
          <cell r="Q5183" t="str">
            <v/>
          </cell>
          <cell r="S5183" t="str">
            <v/>
          </cell>
          <cell r="V5183" t="str">
            <v/>
          </cell>
          <cell r="Z5183" t="str">
            <v/>
          </cell>
          <cell r="AA5183" t="str">
            <v/>
          </cell>
          <cell r="AB5183" t="str">
            <v/>
          </cell>
          <cell r="AC5183" t="str">
            <v/>
          </cell>
          <cell r="AD5183" t="str">
            <v/>
          </cell>
          <cell r="AY5183" t="str">
            <v/>
          </cell>
          <cell r="AZ5183" t="str">
            <v/>
          </cell>
          <cell r="BA5183" t="str">
            <v/>
          </cell>
        </row>
        <row r="5184">
          <cell r="B5184" t="str">
            <v>-</v>
          </cell>
          <cell r="E5184" t="str">
            <v/>
          </cell>
          <cell r="G5184" t="str">
            <v/>
          </cell>
          <cell r="J5184" t="str">
            <v/>
          </cell>
          <cell r="O5184" t="str">
            <v/>
          </cell>
          <cell r="P5184" t="str">
            <v/>
          </cell>
          <cell r="Q5184" t="str">
            <v/>
          </cell>
          <cell r="S5184" t="str">
            <v/>
          </cell>
          <cell r="V5184" t="str">
            <v/>
          </cell>
          <cell r="Z5184" t="str">
            <v/>
          </cell>
          <cell r="AA5184" t="str">
            <v/>
          </cell>
          <cell r="AB5184" t="str">
            <v/>
          </cell>
          <cell r="AC5184" t="str">
            <v/>
          </cell>
          <cell r="AD5184" t="str">
            <v/>
          </cell>
          <cell r="AY5184" t="str">
            <v/>
          </cell>
          <cell r="AZ5184" t="str">
            <v/>
          </cell>
          <cell r="BA5184" t="str">
            <v/>
          </cell>
        </row>
        <row r="5185">
          <cell r="B5185" t="str">
            <v>-</v>
          </cell>
          <cell r="E5185" t="str">
            <v/>
          </cell>
          <cell r="G5185" t="str">
            <v/>
          </cell>
          <cell r="J5185" t="str">
            <v/>
          </cell>
          <cell r="O5185" t="str">
            <v/>
          </cell>
          <cell r="P5185" t="str">
            <v/>
          </cell>
          <cell r="Q5185" t="str">
            <v/>
          </cell>
          <cell r="S5185" t="str">
            <v/>
          </cell>
          <cell r="V5185" t="str">
            <v/>
          </cell>
          <cell r="Z5185" t="str">
            <v/>
          </cell>
          <cell r="AA5185" t="str">
            <v/>
          </cell>
          <cell r="AB5185" t="str">
            <v/>
          </cell>
          <cell r="AC5185" t="str">
            <v/>
          </cell>
          <cell r="AD5185" t="str">
            <v/>
          </cell>
          <cell r="AY5185" t="str">
            <v/>
          </cell>
          <cell r="AZ5185" t="str">
            <v/>
          </cell>
          <cell r="BA5185" t="str">
            <v/>
          </cell>
        </row>
        <row r="5186">
          <cell r="B5186" t="str">
            <v>-</v>
          </cell>
          <cell r="E5186" t="str">
            <v/>
          </cell>
          <cell r="G5186" t="str">
            <v/>
          </cell>
          <cell r="J5186" t="str">
            <v/>
          </cell>
          <cell r="O5186" t="str">
            <v/>
          </cell>
          <cell r="P5186" t="str">
            <v/>
          </cell>
          <cell r="Q5186" t="str">
            <v/>
          </cell>
          <cell r="S5186" t="str">
            <v/>
          </cell>
          <cell r="V5186" t="str">
            <v/>
          </cell>
          <cell r="Z5186" t="str">
            <v/>
          </cell>
          <cell r="AA5186" t="str">
            <v/>
          </cell>
          <cell r="AB5186" t="str">
            <v/>
          </cell>
          <cell r="AC5186" t="str">
            <v/>
          </cell>
          <cell r="AD5186" t="str">
            <v/>
          </cell>
          <cell r="AY5186" t="str">
            <v/>
          </cell>
          <cell r="AZ5186" t="str">
            <v/>
          </cell>
          <cell r="BA5186" t="str">
            <v/>
          </cell>
        </row>
        <row r="5187">
          <cell r="B5187" t="str">
            <v>-</v>
          </cell>
          <cell r="E5187" t="str">
            <v/>
          </cell>
          <cell r="G5187" t="str">
            <v/>
          </cell>
          <cell r="J5187" t="str">
            <v/>
          </cell>
          <cell r="O5187" t="str">
            <v/>
          </cell>
          <cell r="P5187" t="str">
            <v/>
          </cell>
          <cell r="Q5187" t="str">
            <v/>
          </cell>
          <cell r="S5187" t="str">
            <v/>
          </cell>
          <cell r="V5187" t="str">
            <v/>
          </cell>
          <cell r="Z5187" t="str">
            <v/>
          </cell>
          <cell r="AA5187" t="str">
            <v/>
          </cell>
          <cell r="AB5187" t="str">
            <v/>
          </cell>
          <cell r="AC5187" t="str">
            <v/>
          </cell>
          <cell r="AD5187" t="str">
            <v/>
          </cell>
          <cell r="AY5187" t="str">
            <v/>
          </cell>
          <cell r="AZ5187" t="str">
            <v/>
          </cell>
          <cell r="BA5187" t="str">
            <v/>
          </cell>
        </row>
        <row r="5188">
          <cell r="B5188" t="str">
            <v>-</v>
          </cell>
          <cell r="E5188" t="str">
            <v/>
          </cell>
          <cell r="G5188" t="str">
            <v/>
          </cell>
          <cell r="J5188" t="str">
            <v/>
          </cell>
          <cell r="O5188" t="str">
            <v/>
          </cell>
          <cell r="P5188" t="str">
            <v/>
          </cell>
          <cell r="Q5188" t="str">
            <v/>
          </cell>
          <cell r="S5188" t="str">
            <v/>
          </cell>
          <cell r="V5188" t="str">
            <v/>
          </cell>
          <cell r="Z5188" t="str">
            <v/>
          </cell>
          <cell r="AA5188" t="str">
            <v/>
          </cell>
          <cell r="AB5188" t="str">
            <v/>
          </cell>
          <cell r="AC5188" t="str">
            <v/>
          </cell>
          <cell r="AD5188" t="str">
            <v/>
          </cell>
          <cell r="AY5188" t="str">
            <v/>
          </cell>
          <cell r="AZ5188" t="str">
            <v/>
          </cell>
          <cell r="BA5188" t="str">
            <v/>
          </cell>
        </row>
        <row r="5189">
          <cell r="B5189" t="str">
            <v>-</v>
          </cell>
          <cell r="E5189" t="str">
            <v/>
          </cell>
          <cell r="G5189" t="str">
            <v/>
          </cell>
          <cell r="J5189" t="str">
            <v/>
          </cell>
          <cell r="O5189" t="str">
            <v/>
          </cell>
          <cell r="P5189" t="str">
            <v/>
          </cell>
          <cell r="Q5189" t="str">
            <v/>
          </cell>
          <cell r="S5189" t="str">
            <v/>
          </cell>
          <cell r="V5189" t="str">
            <v/>
          </cell>
          <cell r="Z5189" t="str">
            <v/>
          </cell>
          <cell r="AA5189" t="str">
            <v/>
          </cell>
          <cell r="AB5189" t="str">
            <v/>
          </cell>
          <cell r="AC5189" t="str">
            <v/>
          </cell>
          <cell r="AD5189" t="str">
            <v/>
          </cell>
          <cell r="AY5189" t="str">
            <v/>
          </cell>
          <cell r="AZ5189" t="str">
            <v/>
          </cell>
          <cell r="BA5189" t="str">
            <v/>
          </cell>
        </row>
        <row r="5190">
          <cell r="B5190" t="str">
            <v>-</v>
          </cell>
          <cell r="E5190" t="str">
            <v/>
          </cell>
          <cell r="G5190" t="str">
            <v/>
          </cell>
          <cell r="J5190" t="str">
            <v/>
          </cell>
          <cell r="O5190" t="str">
            <v/>
          </cell>
          <cell r="P5190" t="str">
            <v/>
          </cell>
          <cell r="Q5190" t="str">
            <v/>
          </cell>
          <cell r="S5190" t="str">
            <v/>
          </cell>
          <cell r="V5190" t="str">
            <v/>
          </cell>
          <cell r="Z5190" t="str">
            <v/>
          </cell>
          <cell r="AA5190" t="str">
            <v/>
          </cell>
          <cell r="AB5190" t="str">
            <v/>
          </cell>
          <cell r="AC5190" t="str">
            <v/>
          </cell>
          <cell r="AD5190" t="str">
            <v/>
          </cell>
          <cell r="AY5190" t="str">
            <v/>
          </cell>
          <cell r="AZ5190" t="str">
            <v/>
          </cell>
          <cell r="BA5190" t="str">
            <v/>
          </cell>
        </row>
        <row r="5191">
          <cell r="B5191" t="str">
            <v>-</v>
          </cell>
          <cell r="E5191" t="str">
            <v/>
          </cell>
          <cell r="G5191" t="str">
            <v/>
          </cell>
          <cell r="J5191" t="str">
            <v/>
          </cell>
          <cell r="O5191" t="str">
            <v/>
          </cell>
          <cell r="P5191" t="str">
            <v/>
          </cell>
          <cell r="Q5191" t="str">
            <v/>
          </cell>
          <cell r="S5191" t="str">
            <v/>
          </cell>
          <cell r="V5191" t="str">
            <v/>
          </cell>
          <cell r="Z5191" t="str">
            <v/>
          </cell>
          <cell r="AA5191" t="str">
            <v/>
          </cell>
          <cell r="AB5191" t="str">
            <v/>
          </cell>
          <cell r="AC5191" t="str">
            <v/>
          </cell>
          <cell r="AD5191" t="str">
            <v/>
          </cell>
          <cell r="AY5191" t="str">
            <v/>
          </cell>
          <cell r="AZ5191" t="str">
            <v/>
          </cell>
          <cell r="BA5191" t="str">
            <v/>
          </cell>
        </row>
        <row r="5192">
          <cell r="B5192" t="str">
            <v>-</v>
          </cell>
          <cell r="E5192" t="str">
            <v/>
          </cell>
          <cell r="G5192" t="str">
            <v/>
          </cell>
          <cell r="J5192" t="str">
            <v/>
          </cell>
          <cell r="O5192" t="str">
            <v/>
          </cell>
          <cell r="P5192" t="str">
            <v/>
          </cell>
          <cell r="Q5192" t="str">
            <v/>
          </cell>
          <cell r="S5192" t="str">
            <v/>
          </cell>
          <cell r="V5192" t="str">
            <v/>
          </cell>
          <cell r="Z5192" t="str">
            <v/>
          </cell>
          <cell r="AA5192" t="str">
            <v/>
          </cell>
          <cell r="AB5192" t="str">
            <v/>
          </cell>
          <cell r="AC5192" t="str">
            <v/>
          </cell>
          <cell r="AD5192" t="str">
            <v/>
          </cell>
          <cell r="AY5192" t="str">
            <v/>
          </cell>
          <cell r="AZ5192" t="str">
            <v/>
          </cell>
          <cell r="BA5192" t="str">
            <v/>
          </cell>
        </row>
        <row r="5193">
          <cell r="B5193" t="str">
            <v>-</v>
          </cell>
          <cell r="E5193" t="str">
            <v/>
          </cell>
          <cell r="G5193" t="str">
            <v/>
          </cell>
          <cell r="J5193" t="str">
            <v/>
          </cell>
          <cell r="O5193" t="str">
            <v/>
          </cell>
          <cell r="P5193" t="str">
            <v/>
          </cell>
          <cell r="Q5193" t="str">
            <v/>
          </cell>
          <cell r="S5193" t="str">
            <v/>
          </cell>
          <cell r="V5193" t="str">
            <v/>
          </cell>
          <cell r="Z5193" t="str">
            <v/>
          </cell>
          <cell r="AA5193" t="str">
            <v/>
          </cell>
          <cell r="AB5193" t="str">
            <v/>
          </cell>
          <cell r="AC5193" t="str">
            <v/>
          </cell>
          <cell r="AD5193" t="str">
            <v/>
          </cell>
          <cell r="AY5193" t="str">
            <v/>
          </cell>
          <cell r="AZ5193" t="str">
            <v/>
          </cell>
          <cell r="BA5193" t="str">
            <v/>
          </cell>
        </row>
        <row r="5194">
          <cell r="B5194" t="str">
            <v>-</v>
          </cell>
          <cell r="E5194" t="str">
            <v/>
          </cell>
          <cell r="G5194" t="str">
            <v/>
          </cell>
          <cell r="J5194" t="str">
            <v/>
          </cell>
          <cell r="O5194" t="str">
            <v/>
          </cell>
          <cell r="P5194" t="str">
            <v/>
          </cell>
          <cell r="Q5194" t="str">
            <v/>
          </cell>
          <cell r="S5194" t="str">
            <v/>
          </cell>
          <cell r="V5194" t="str">
            <v/>
          </cell>
          <cell r="Z5194" t="str">
            <v/>
          </cell>
          <cell r="AA5194" t="str">
            <v/>
          </cell>
          <cell r="AB5194" t="str">
            <v/>
          </cell>
          <cell r="AC5194" t="str">
            <v/>
          </cell>
          <cell r="AD5194" t="str">
            <v/>
          </cell>
          <cell r="AY5194" t="str">
            <v/>
          </cell>
          <cell r="AZ5194" t="str">
            <v/>
          </cell>
          <cell r="BA5194" t="str">
            <v/>
          </cell>
        </row>
        <row r="5195">
          <cell r="B5195" t="str">
            <v>-</v>
          </cell>
          <cell r="E5195" t="str">
            <v/>
          </cell>
          <cell r="G5195" t="str">
            <v/>
          </cell>
          <cell r="J5195" t="str">
            <v/>
          </cell>
          <cell r="O5195" t="str">
            <v/>
          </cell>
          <cell r="P5195" t="str">
            <v/>
          </cell>
          <cell r="Q5195" t="str">
            <v/>
          </cell>
          <cell r="S5195" t="str">
            <v/>
          </cell>
          <cell r="V5195" t="str">
            <v/>
          </cell>
          <cell r="Z5195" t="str">
            <v/>
          </cell>
          <cell r="AA5195" t="str">
            <v/>
          </cell>
          <cell r="AB5195" t="str">
            <v/>
          </cell>
          <cell r="AC5195" t="str">
            <v/>
          </cell>
          <cell r="AD5195" t="str">
            <v/>
          </cell>
          <cell r="AY5195" t="str">
            <v/>
          </cell>
          <cell r="AZ5195" t="str">
            <v/>
          </cell>
          <cell r="BA5195" t="str">
            <v/>
          </cell>
        </row>
        <row r="5196">
          <cell r="B5196" t="str">
            <v>-</v>
          </cell>
          <cell r="E5196" t="str">
            <v/>
          </cell>
          <cell r="G5196" t="str">
            <v/>
          </cell>
          <cell r="J5196" t="str">
            <v/>
          </cell>
          <cell r="O5196" t="str">
            <v/>
          </cell>
          <cell r="P5196" t="str">
            <v/>
          </cell>
          <cell r="Q5196" t="str">
            <v/>
          </cell>
          <cell r="S5196" t="str">
            <v/>
          </cell>
          <cell r="V5196" t="str">
            <v/>
          </cell>
          <cell r="Z5196" t="str">
            <v/>
          </cell>
          <cell r="AA5196" t="str">
            <v/>
          </cell>
          <cell r="AB5196" t="str">
            <v/>
          </cell>
          <cell r="AC5196" t="str">
            <v/>
          </cell>
          <cell r="AD5196" t="str">
            <v/>
          </cell>
          <cell r="AY5196" t="str">
            <v/>
          </cell>
          <cell r="AZ5196" t="str">
            <v/>
          </cell>
          <cell r="BA5196" t="str">
            <v/>
          </cell>
        </row>
        <row r="5197">
          <cell r="B5197" t="str">
            <v>-</v>
          </cell>
          <cell r="E5197" t="str">
            <v/>
          </cell>
          <cell r="G5197" t="str">
            <v/>
          </cell>
          <cell r="J5197" t="str">
            <v/>
          </cell>
          <cell r="O5197" t="str">
            <v/>
          </cell>
          <cell r="P5197" t="str">
            <v/>
          </cell>
          <cell r="Q5197" t="str">
            <v/>
          </cell>
          <cell r="S5197" t="str">
            <v/>
          </cell>
          <cell r="V5197" t="str">
            <v/>
          </cell>
          <cell r="Z5197" t="str">
            <v/>
          </cell>
          <cell r="AA5197" t="str">
            <v/>
          </cell>
          <cell r="AB5197" t="str">
            <v/>
          </cell>
          <cell r="AC5197" t="str">
            <v/>
          </cell>
          <cell r="AD5197" t="str">
            <v/>
          </cell>
          <cell r="AY5197" t="str">
            <v/>
          </cell>
          <cell r="AZ5197" t="str">
            <v/>
          </cell>
          <cell r="BA5197" t="str">
            <v/>
          </cell>
        </row>
        <row r="5198">
          <cell r="B5198" t="str">
            <v>-</v>
          </cell>
          <cell r="E5198" t="str">
            <v/>
          </cell>
          <cell r="G5198" t="str">
            <v/>
          </cell>
          <cell r="J5198" t="str">
            <v/>
          </cell>
          <cell r="O5198" t="str">
            <v/>
          </cell>
          <cell r="P5198" t="str">
            <v/>
          </cell>
          <cell r="Q5198" t="str">
            <v/>
          </cell>
          <cell r="S5198" t="str">
            <v/>
          </cell>
          <cell r="V5198" t="str">
            <v/>
          </cell>
          <cell r="Z5198" t="str">
            <v/>
          </cell>
          <cell r="AA5198" t="str">
            <v/>
          </cell>
          <cell r="AB5198" t="str">
            <v/>
          </cell>
          <cell r="AC5198" t="str">
            <v/>
          </cell>
          <cell r="AD5198" t="str">
            <v/>
          </cell>
          <cell r="AY5198" t="str">
            <v/>
          </cell>
          <cell r="AZ5198" t="str">
            <v/>
          </cell>
          <cell r="BA5198" t="str">
            <v/>
          </cell>
        </row>
        <row r="5199">
          <cell r="B5199" t="str">
            <v>-</v>
          </cell>
          <cell r="E5199" t="str">
            <v/>
          </cell>
          <cell r="G5199" t="str">
            <v/>
          </cell>
          <cell r="J5199" t="str">
            <v/>
          </cell>
          <cell r="O5199" t="str">
            <v/>
          </cell>
          <cell r="P5199" t="str">
            <v/>
          </cell>
          <cell r="Q5199" t="str">
            <v/>
          </cell>
          <cell r="S5199" t="str">
            <v/>
          </cell>
          <cell r="V5199" t="str">
            <v/>
          </cell>
          <cell r="Z5199" t="str">
            <v/>
          </cell>
          <cell r="AA5199" t="str">
            <v/>
          </cell>
          <cell r="AB5199" t="str">
            <v/>
          </cell>
          <cell r="AC5199" t="str">
            <v/>
          </cell>
          <cell r="AD5199" t="str">
            <v/>
          </cell>
          <cell r="AY5199" t="str">
            <v/>
          </cell>
          <cell r="AZ5199" t="str">
            <v/>
          </cell>
          <cell r="BA5199" t="str">
            <v/>
          </cell>
        </row>
        <row r="5200">
          <cell r="B5200" t="str">
            <v>-</v>
          </cell>
          <cell r="E5200" t="str">
            <v/>
          </cell>
          <cell r="G5200" t="str">
            <v/>
          </cell>
          <cell r="J5200" t="str">
            <v/>
          </cell>
          <cell r="O5200" t="str">
            <v/>
          </cell>
          <cell r="P5200" t="str">
            <v/>
          </cell>
          <cell r="Q5200" t="str">
            <v/>
          </cell>
          <cell r="S5200" t="str">
            <v/>
          </cell>
          <cell r="V5200" t="str">
            <v/>
          </cell>
          <cell r="Z5200" t="str">
            <v/>
          </cell>
          <cell r="AA5200" t="str">
            <v/>
          </cell>
          <cell r="AB5200" t="str">
            <v/>
          </cell>
          <cell r="AC5200" t="str">
            <v/>
          </cell>
          <cell r="AD5200" t="str">
            <v/>
          </cell>
          <cell r="AY5200" t="str">
            <v/>
          </cell>
          <cell r="AZ5200" t="str">
            <v/>
          </cell>
          <cell r="BA5200" t="str">
            <v/>
          </cell>
        </row>
        <row r="5201">
          <cell r="B5201" t="str">
            <v>-</v>
          </cell>
          <cell r="E5201" t="str">
            <v/>
          </cell>
          <cell r="G5201" t="str">
            <v/>
          </cell>
          <cell r="J5201" t="str">
            <v/>
          </cell>
          <cell r="O5201" t="str">
            <v/>
          </cell>
          <cell r="P5201" t="str">
            <v/>
          </cell>
          <cell r="Q5201" t="str">
            <v/>
          </cell>
          <cell r="S5201" t="str">
            <v/>
          </cell>
          <cell r="V5201" t="str">
            <v/>
          </cell>
          <cell r="Z5201" t="str">
            <v/>
          </cell>
          <cell r="AA5201" t="str">
            <v/>
          </cell>
          <cell r="AB5201" t="str">
            <v/>
          </cell>
          <cell r="AC5201" t="str">
            <v/>
          </cell>
          <cell r="AD5201" t="str">
            <v/>
          </cell>
          <cell r="AY5201" t="str">
            <v/>
          </cell>
          <cell r="AZ5201" t="str">
            <v/>
          </cell>
          <cell r="BA5201" t="str">
            <v/>
          </cell>
        </row>
        <row r="5202">
          <cell r="B5202" t="str">
            <v>-</v>
          </cell>
          <cell r="E5202" t="str">
            <v/>
          </cell>
          <cell r="G5202" t="str">
            <v/>
          </cell>
          <cell r="J5202" t="str">
            <v/>
          </cell>
          <cell r="O5202" t="str">
            <v/>
          </cell>
          <cell r="P5202" t="str">
            <v/>
          </cell>
          <cell r="Q5202" t="str">
            <v/>
          </cell>
          <cell r="S5202" t="str">
            <v/>
          </cell>
          <cell r="V5202" t="str">
            <v/>
          </cell>
          <cell r="Z5202" t="str">
            <v/>
          </cell>
          <cell r="AA5202" t="str">
            <v/>
          </cell>
          <cell r="AB5202" t="str">
            <v/>
          </cell>
          <cell r="AC5202" t="str">
            <v/>
          </cell>
          <cell r="AD5202" t="str">
            <v/>
          </cell>
          <cell r="AY5202" t="str">
            <v/>
          </cell>
          <cell r="AZ5202" t="str">
            <v/>
          </cell>
          <cell r="BA5202" t="str">
            <v/>
          </cell>
        </row>
        <row r="5203">
          <cell r="B5203" t="str">
            <v>-</v>
          </cell>
          <cell r="E5203" t="str">
            <v/>
          </cell>
          <cell r="G5203" t="str">
            <v/>
          </cell>
          <cell r="J5203" t="str">
            <v/>
          </cell>
          <cell r="O5203" t="str">
            <v/>
          </cell>
          <cell r="P5203" t="str">
            <v/>
          </cell>
          <cell r="Q5203" t="str">
            <v/>
          </cell>
          <cell r="S5203" t="str">
            <v/>
          </cell>
          <cell r="V5203" t="str">
            <v/>
          </cell>
          <cell r="Z5203" t="str">
            <v/>
          </cell>
          <cell r="AA5203" t="str">
            <v/>
          </cell>
          <cell r="AB5203" t="str">
            <v/>
          </cell>
          <cell r="AC5203" t="str">
            <v/>
          </cell>
          <cell r="AD5203" t="str">
            <v/>
          </cell>
          <cell r="AY5203" t="str">
            <v/>
          </cell>
          <cell r="AZ5203" t="str">
            <v/>
          </cell>
          <cell r="BA5203" t="str">
            <v/>
          </cell>
        </row>
        <row r="5204">
          <cell r="B5204" t="str">
            <v>-</v>
          </cell>
          <cell r="E5204" t="str">
            <v/>
          </cell>
          <cell r="G5204" t="str">
            <v/>
          </cell>
          <cell r="J5204" t="str">
            <v/>
          </cell>
          <cell r="O5204" t="str">
            <v/>
          </cell>
          <cell r="P5204" t="str">
            <v/>
          </cell>
          <cell r="Q5204" t="str">
            <v/>
          </cell>
          <cell r="S5204" t="str">
            <v/>
          </cell>
          <cell r="V5204" t="str">
            <v/>
          </cell>
          <cell r="Z5204" t="str">
            <v/>
          </cell>
          <cell r="AA5204" t="str">
            <v/>
          </cell>
          <cell r="AB5204" t="str">
            <v/>
          </cell>
          <cell r="AC5204" t="str">
            <v/>
          </cell>
          <cell r="AD5204" t="str">
            <v/>
          </cell>
          <cell r="AY5204" t="str">
            <v/>
          </cell>
          <cell r="AZ5204" t="str">
            <v/>
          </cell>
          <cell r="BA5204" t="str">
            <v/>
          </cell>
        </row>
        <row r="5205">
          <cell r="B5205" t="str">
            <v>-</v>
          </cell>
          <cell r="E5205" t="str">
            <v/>
          </cell>
          <cell r="G5205" t="str">
            <v/>
          </cell>
          <cell r="J5205" t="str">
            <v/>
          </cell>
          <cell r="O5205" t="str">
            <v/>
          </cell>
          <cell r="P5205" t="str">
            <v/>
          </cell>
          <cell r="Q5205" t="str">
            <v/>
          </cell>
          <cell r="S5205" t="str">
            <v/>
          </cell>
          <cell r="V5205" t="str">
            <v/>
          </cell>
          <cell r="Z5205" t="str">
            <v/>
          </cell>
          <cell r="AA5205" t="str">
            <v/>
          </cell>
          <cell r="AB5205" t="str">
            <v/>
          </cell>
          <cell r="AC5205" t="str">
            <v/>
          </cell>
          <cell r="AD5205" t="str">
            <v/>
          </cell>
          <cell r="AY5205" t="str">
            <v/>
          </cell>
          <cell r="AZ5205" t="str">
            <v/>
          </cell>
          <cell r="BA5205" t="str">
            <v/>
          </cell>
        </row>
        <row r="5206">
          <cell r="B5206" t="str">
            <v>-</v>
          </cell>
          <cell r="E5206" t="str">
            <v/>
          </cell>
          <cell r="G5206" t="str">
            <v/>
          </cell>
          <cell r="J5206" t="str">
            <v/>
          </cell>
          <cell r="O5206" t="str">
            <v/>
          </cell>
          <cell r="P5206" t="str">
            <v/>
          </cell>
          <cell r="Q5206" t="str">
            <v/>
          </cell>
          <cell r="S5206" t="str">
            <v/>
          </cell>
          <cell r="V5206" t="str">
            <v/>
          </cell>
          <cell r="Z5206" t="str">
            <v/>
          </cell>
          <cell r="AA5206" t="str">
            <v/>
          </cell>
          <cell r="AB5206" t="str">
            <v/>
          </cell>
          <cell r="AC5206" t="str">
            <v/>
          </cell>
          <cell r="AD5206" t="str">
            <v/>
          </cell>
          <cell r="AY5206" t="str">
            <v/>
          </cell>
          <cell r="AZ5206" t="str">
            <v/>
          </cell>
          <cell r="BA5206" t="str">
            <v/>
          </cell>
        </row>
        <row r="5207">
          <cell r="B5207" t="str">
            <v>-</v>
          </cell>
          <cell r="E5207" t="str">
            <v/>
          </cell>
          <cell r="G5207" t="str">
            <v/>
          </cell>
          <cell r="J5207" t="str">
            <v/>
          </cell>
          <cell r="O5207" t="str">
            <v/>
          </cell>
          <cell r="P5207" t="str">
            <v/>
          </cell>
          <cell r="Q5207" t="str">
            <v/>
          </cell>
          <cell r="S5207" t="str">
            <v/>
          </cell>
          <cell r="V5207" t="str">
            <v/>
          </cell>
          <cell r="Z5207" t="str">
            <v/>
          </cell>
          <cell r="AA5207" t="str">
            <v/>
          </cell>
          <cell r="AB5207" t="str">
            <v/>
          </cell>
          <cell r="AC5207" t="str">
            <v/>
          </cell>
          <cell r="AD5207" t="str">
            <v/>
          </cell>
          <cell r="AY5207" t="str">
            <v/>
          </cell>
          <cell r="AZ5207" t="str">
            <v/>
          </cell>
          <cell r="BA5207" t="str">
            <v/>
          </cell>
        </row>
        <row r="5208">
          <cell r="B5208" t="str">
            <v>-</v>
          </cell>
          <cell r="E5208" t="str">
            <v/>
          </cell>
          <cell r="G5208" t="str">
            <v/>
          </cell>
          <cell r="J5208" t="str">
            <v/>
          </cell>
          <cell r="O5208" t="str">
            <v/>
          </cell>
          <cell r="P5208" t="str">
            <v/>
          </cell>
          <cell r="Q5208" t="str">
            <v/>
          </cell>
          <cell r="S5208" t="str">
            <v/>
          </cell>
          <cell r="V5208" t="str">
            <v/>
          </cell>
          <cell r="Z5208" t="str">
            <v/>
          </cell>
          <cell r="AA5208" t="str">
            <v/>
          </cell>
          <cell r="AB5208" t="str">
            <v/>
          </cell>
          <cell r="AC5208" t="str">
            <v/>
          </cell>
          <cell r="AD5208" t="str">
            <v/>
          </cell>
          <cell r="AY5208" t="str">
            <v/>
          </cell>
          <cell r="AZ5208" t="str">
            <v/>
          </cell>
          <cell r="BA5208" t="str">
            <v/>
          </cell>
        </row>
        <row r="5209">
          <cell r="B5209" t="str">
            <v>-</v>
          </cell>
          <cell r="E5209" t="str">
            <v/>
          </cell>
          <cell r="G5209" t="str">
            <v/>
          </cell>
          <cell r="J5209" t="str">
            <v/>
          </cell>
          <cell r="O5209" t="str">
            <v/>
          </cell>
          <cell r="P5209" t="str">
            <v/>
          </cell>
          <cell r="Q5209" t="str">
            <v/>
          </cell>
          <cell r="S5209" t="str">
            <v/>
          </cell>
          <cell r="V5209" t="str">
            <v/>
          </cell>
          <cell r="Z5209" t="str">
            <v/>
          </cell>
          <cell r="AA5209" t="str">
            <v/>
          </cell>
          <cell r="AB5209" t="str">
            <v/>
          </cell>
          <cell r="AC5209" t="str">
            <v/>
          </cell>
          <cell r="AD5209" t="str">
            <v/>
          </cell>
          <cell r="AY5209" t="str">
            <v/>
          </cell>
          <cell r="AZ5209" t="str">
            <v/>
          </cell>
          <cell r="BA5209" t="str">
            <v/>
          </cell>
        </row>
        <row r="5210">
          <cell r="B5210" t="str">
            <v>-</v>
          </cell>
          <cell r="E5210" t="str">
            <v/>
          </cell>
          <cell r="G5210" t="str">
            <v/>
          </cell>
          <cell r="J5210" t="str">
            <v/>
          </cell>
          <cell r="O5210" t="str">
            <v/>
          </cell>
          <cell r="P5210" t="str">
            <v/>
          </cell>
          <cell r="Q5210" t="str">
            <v/>
          </cell>
          <cell r="S5210" t="str">
            <v/>
          </cell>
          <cell r="V5210" t="str">
            <v/>
          </cell>
          <cell r="Z5210" t="str">
            <v/>
          </cell>
          <cell r="AA5210" t="str">
            <v/>
          </cell>
          <cell r="AB5210" t="str">
            <v/>
          </cell>
          <cell r="AC5210" t="str">
            <v/>
          </cell>
          <cell r="AD5210" t="str">
            <v/>
          </cell>
          <cell r="AY5210" t="str">
            <v/>
          </cell>
          <cell r="AZ5210" t="str">
            <v/>
          </cell>
          <cell r="BA5210" t="str">
            <v/>
          </cell>
        </row>
        <row r="5211">
          <cell r="B5211" t="str">
            <v>-</v>
          </cell>
          <cell r="E5211" t="str">
            <v/>
          </cell>
          <cell r="G5211" t="str">
            <v/>
          </cell>
          <cell r="J5211" t="str">
            <v/>
          </cell>
          <cell r="O5211" t="str">
            <v/>
          </cell>
          <cell r="P5211" t="str">
            <v/>
          </cell>
          <cell r="Q5211" t="str">
            <v/>
          </cell>
          <cell r="S5211" t="str">
            <v/>
          </cell>
          <cell r="V5211" t="str">
            <v/>
          </cell>
          <cell r="Z5211" t="str">
            <v/>
          </cell>
          <cell r="AA5211" t="str">
            <v/>
          </cell>
          <cell r="AB5211" t="str">
            <v/>
          </cell>
          <cell r="AC5211" t="str">
            <v/>
          </cell>
          <cell r="AD5211" t="str">
            <v/>
          </cell>
          <cell r="AY5211" t="str">
            <v/>
          </cell>
          <cell r="AZ5211" t="str">
            <v/>
          </cell>
          <cell r="BA5211" t="str">
            <v/>
          </cell>
        </row>
        <row r="5212">
          <cell r="B5212" t="str">
            <v>-</v>
          </cell>
          <cell r="E5212" t="str">
            <v/>
          </cell>
          <cell r="G5212" t="str">
            <v/>
          </cell>
          <cell r="J5212" t="str">
            <v/>
          </cell>
          <cell r="O5212" t="str">
            <v/>
          </cell>
          <cell r="P5212" t="str">
            <v/>
          </cell>
          <cell r="Q5212" t="str">
            <v/>
          </cell>
          <cell r="S5212" t="str">
            <v/>
          </cell>
          <cell r="V5212" t="str">
            <v/>
          </cell>
          <cell r="Z5212" t="str">
            <v/>
          </cell>
          <cell r="AA5212" t="str">
            <v/>
          </cell>
          <cell r="AB5212" t="str">
            <v/>
          </cell>
          <cell r="AC5212" t="str">
            <v/>
          </cell>
          <cell r="AD5212" t="str">
            <v/>
          </cell>
          <cell r="AY5212" t="str">
            <v/>
          </cell>
          <cell r="AZ5212" t="str">
            <v/>
          </cell>
          <cell r="BA5212" t="str">
            <v/>
          </cell>
        </row>
        <row r="5213">
          <cell r="B5213" t="str">
            <v>-</v>
          </cell>
          <cell r="E5213" t="str">
            <v/>
          </cell>
          <cell r="G5213" t="str">
            <v/>
          </cell>
          <cell r="J5213" t="str">
            <v/>
          </cell>
          <cell r="O5213" t="str">
            <v/>
          </cell>
          <cell r="P5213" t="str">
            <v/>
          </cell>
          <cell r="Q5213" t="str">
            <v/>
          </cell>
          <cell r="S5213" t="str">
            <v/>
          </cell>
          <cell r="V5213" t="str">
            <v/>
          </cell>
          <cell r="Z5213" t="str">
            <v/>
          </cell>
          <cell r="AA5213" t="str">
            <v/>
          </cell>
          <cell r="AB5213" t="str">
            <v/>
          </cell>
          <cell r="AC5213" t="str">
            <v/>
          </cell>
          <cell r="AD5213" t="str">
            <v/>
          </cell>
          <cell r="AY5213" t="str">
            <v/>
          </cell>
          <cell r="AZ5213" t="str">
            <v/>
          </cell>
          <cell r="BA5213" t="str">
            <v/>
          </cell>
        </row>
        <row r="5214">
          <cell r="B5214" t="str">
            <v>-</v>
          </cell>
          <cell r="E5214" t="str">
            <v/>
          </cell>
          <cell r="G5214" t="str">
            <v/>
          </cell>
          <cell r="J5214" t="str">
            <v/>
          </cell>
          <cell r="O5214" t="str">
            <v/>
          </cell>
          <cell r="P5214" t="str">
            <v/>
          </cell>
          <cell r="Q5214" t="str">
            <v/>
          </cell>
          <cell r="S5214" t="str">
            <v/>
          </cell>
          <cell r="V5214" t="str">
            <v/>
          </cell>
          <cell r="Z5214" t="str">
            <v/>
          </cell>
          <cell r="AA5214" t="str">
            <v/>
          </cell>
          <cell r="AB5214" t="str">
            <v/>
          </cell>
          <cell r="AC5214" t="str">
            <v/>
          </cell>
          <cell r="AD5214" t="str">
            <v/>
          </cell>
          <cell r="AY5214" t="str">
            <v/>
          </cell>
          <cell r="AZ5214" t="str">
            <v/>
          </cell>
          <cell r="BA5214" t="str">
            <v/>
          </cell>
        </row>
        <row r="5215">
          <cell r="B5215" t="str">
            <v>-</v>
          </cell>
          <cell r="E5215" t="str">
            <v/>
          </cell>
          <cell r="G5215" t="str">
            <v/>
          </cell>
          <cell r="J5215" t="str">
            <v/>
          </cell>
          <cell r="O5215" t="str">
            <v/>
          </cell>
          <cell r="P5215" t="str">
            <v/>
          </cell>
          <cell r="Q5215" t="str">
            <v/>
          </cell>
          <cell r="S5215" t="str">
            <v/>
          </cell>
          <cell r="V5215" t="str">
            <v/>
          </cell>
          <cell r="Z5215" t="str">
            <v/>
          </cell>
          <cell r="AA5215" t="str">
            <v/>
          </cell>
          <cell r="AB5215" t="str">
            <v/>
          </cell>
          <cell r="AC5215" t="str">
            <v/>
          </cell>
          <cell r="AD5215" t="str">
            <v/>
          </cell>
          <cell r="AY5215" t="str">
            <v/>
          </cell>
          <cell r="AZ5215" t="str">
            <v/>
          </cell>
          <cell r="BA5215" t="str">
            <v/>
          </cell>
        </row>
        <row r="5216">
          <cell r="B5216" t="str">
            <v>-</v>
          </cell>
          <cell r="E5216" t="str">
            <v/>
          </cell>
          <cell r="G5216" t="str">
            <v/>
          </cell>
          <cell r="J5216" t="str">
            <v/>
          </cell>
          <cell r="O5216" t="str">
            <v/>
          </cell>
          <cell r="P5216" t="str">
            <v/>
          </cell>
          <cell r="Q5216" t="str">
            <v/>
          </cell>
          <cell r="S5216" t="str">
            <v/>
          </cell>
          <cell r="V5216" t="str">
            <v/>
          </cell>
          <cell r="Z5216" t="str">
            <v/>
          </cell>
          <cell r="AA5216" t="str">
            <v/>
          </cell>
          <cell r="AB5216" t="str">
            <v/>
          </cell>
          <cell r="AC5216" t="str">
            <v/>
          </cell>
          <cell r="AD5216" t="str">
            <v/>
          </cell>
          <cell r="AY5216" t="str">
            <v/>
          </cell>
          <cell r="AZ5216" t="str">
            <v/>
          </cell>
          <cell r="BA5216" t="str">
            <v/>
          </cell>
        </row>
        <row r="5217">
          <cell r="B5217" t="str">
            <v>-</v>
          </cell>
          <cell r="E5217" t="str">
            <v/>
          </cell>
          <cell r="G5217" t="str">
            <v/>
          </cell>
          <cell r="J5217" t="str">
            <v/>
          </cell>
          <cell r="O5217" t="str">
            <v/>
          </cell>
          <cell r="P5217" t="str">
            <v/>
          </cell>
          <cell r="Q5217" t="str">
            <v/>
          </cell>
          <cell r="S5217" t="str">
            <v/>
          </cell>
          <cell r="V5217" t="str">
            <v/>
          </cell>
          <cell r="Z5217" t="str">
            <v/>
          </cell>
          <cell r="AA5217" t="str">
            <v/>
          </cell>
          <cell r="AB5217" t="str">
            <v/>
          </cell>
          <cell r="AC5217" t="str">
            <v/>
          </cell>
          <cell r="AD5217" t="str">
            <v/>
          </cell>
          <cell r="AY5217" t="str">
            <v/>
          </cell>
          <cell r="AZ5217" t="str">
            <v/>
          </cell>
          <cell r="BA5217" t="str">
            <v/>
          </cell>
        </row>
        <row r="5218">
          <cell r="B5218" t="str">
            <v>-</v>
          </cell>
          <cell r="E5218" t="str">
            <v/>
          </cell>
          <cell r="G5218" t="str">
            <v/>
          </cell>
          <cell r="J5218" t="str">
            <v/>
          </cell>
          <cell r="O5218" t="str">
            <v/>
          </cell>
          <cell r="P5218" t="str">
            <v/>
          </cell>
          <cell r="Q5218" t="str">
            <v/>
          </cell>
          <cell r="S5218" t="str">
            <v/>
          </cell>
          <cell r="V5218" t="str">
            <v/>
          </cell>
          <cell r="Z5218" t="str">
            <v/>
          </cell>
          <cell r="AA5218" t="str">
            <v/>
          </cell>
          <cell r="AB5218" t="str">
            <v/>
          </cell>
          <cell r="AC5218" t="str">
            <v/>
          </cell>
          <cell r="AD5218" t="str">
            <v/>
          </cell>
          <cell r="AY5218" t="str">
            <v/>
          </cell>
          <cell r="AZ5218" t="str">
            <v/>
          </cell>
          <cell r="BA5218" t="str">
            <v/>
          </cell>
        </row>
        <row r="5219">
          <cell r="B5219" t="str">
            <v>-</v>
          </cell>
          <cell r="E5219" t="str">
            <v/>
          </cell>
          <cell r="G5219" t="str">
            <v/>
          </cell>
          <cell r="J5219" t="str">
            <v/>
          </cell>
          <cell r="O5219" t="str">
            <v/>
          </cell>
          <cell r="P5219" t="str">
            <v/>
          </cell>
          <cell r="Q5219" t="str">
            <v/>
          </cell>
          <cell r="S5219" t="str">
            <v/>
          </cell>
          <cell r="V5219" t="str">
            <v/>
          </cell>
          <cell r="Z5219" t="str">
            <v/>
          </cell>
          <cell r="AA5219" t="str">
            <v/>
          </cell>
          <cell r="AB5219" t="str">
            <v/>
          </cell>
          <cell r="AC5219" t="str">
            <v/>
          </cell>
          <cell r="AD5219" t="str">
            <v/>
          </cell>
          <cell r="AY5219" t="str">
            <v/>
          </cell>
          <cell r="AZ5219" t="str">
            <v/>
          </cell>
          <cell r="BA5219" t="str">
            <v/>
          </cell>
        </row>
        <row r="5220">
          <cell r="B5220" t="str">
            <v>-</v>
          </cell>
          <cell r="E5220" t="str">
            <v/>
          </cell>
          <cell r="G5220" t="str">
            <v/>
          </cell>
          <cell r="J5220" t="str">
            <v/>
          </cell>
          <cell r="O5220" t="str">
            <v/>
          </cell>
          <cell r="P5220" t="str">
            <v/>
          </cell>
          <cell r="Q5220" t="str">
            <v/>
          </cell>
          <cell r="S5220" t="str">
            <v/>
          </cell>
          <cell r="V5220" t="str">
            <v/>
          </cell>
          <cell r="Z5220" t="str">
            <v/>
          </cell>
          <cell r="AA5220" t="str">
            <v/>
          </cell>
          <cell r="AB5220" t="str">
            <v/>
          </cell>
          <cell r="AC5220" t="str">
            <v/>
          </cell>
          <cell r="AD5220" t="str">
            <v/>
          </cell>
          <cell r="AY5220" t="str">
            <v/>
          </cell>
          <cell r="AZ5220" t="str">
            <v/>
          </cell>
          <cell r="BA5220" t="str">
            <v/>
          </cell>
        </row>
        <row r="5221">
          <cell r="B5221" t="str">
            <v>-</v>
          </cell>
          <cell r="E5221" t="str">
            <v/>
          </cell>
          <cell r="G5221" t="str">
            <v/>
          </cell>
          <cell r="J5221" t="str">
            <v/>
          </cell>
          <cell r="O5221" t="str">
            <v/>
          </cell>
          <cell r="P5221" t="str">
            <v/>
          </cell>
          <cell r="Q5221" t="str">
            <v/>
          </cell>
          <cell r="S5221" t="str">
            <v/>
          </cell>
          <cell r="V5221" t="str">
            <v/>
          </cell>
          <cell r="Z5221" t="str">
            <v/>
          </cell>
          <cell r="AA5221" t="str">
            <v/>
          </cell>
          <cell r="AB5221" t="str">
            <v/>
          </cell>
          <cell r="AC5221" t="str">
            <v/>
          </cell>
          <cell r="AD5221" t="str">
            <v/>
          </cell>
          <cell r="AY5221" t="str">
            <v/>
          </cell>
          <cell r="AZ5221" t="str">
            <v/>
          </cell>
          <cell r="BA5221" t="str">
            <v/>
          </cell>
        </row>
        <row r="5222">
          <cell r="B5222" t="str">
            <v>-</v>
          </cell>
          <cell r="E5222" t="str">
            <v/>
          </cell>
          <cell r="G5222" t="str">
            <v/>
          </cell>
          <cell r="J5222" t="str">
            <v/>
          </cell>
          <cell r="O5222" t="str">
            <v/>
          </cell>
          <cell r="P5222" t="str">
            <v/>
          </cell>
          <cell r="Q5222" t="str">
            <v/>
          </cell>
          <cell r="S5222" t="str">
            <v/>
          </cell>
          <cell r="V5222" t="str">
            <v/>
          </cell>
          <cell r="Z5222" t="str">
            <v/>
          </cell>
          <cell r="AA5222" t="str">
            <v/>
          </cell>
          <cell r="AB5222" t="str">
            <v/>
          </cell>
          <cell r="AC5222" t="str">
            <v/>
          </cell>
          <cell r="AD5222" t="str">
            <v/>
          </cell>
          <cell r="AY5222" t="str">
            <v/>
          </cell>
          <cell r="AZ5222" t="str">
            <v/>
          </cell>
          <cell r="BA5222" t="str">
            <v/>
          </cell>
        </row>
        <row r="5223">
          <cell r="B5223" t="str">
            <v>-</v>
          </cell>
          <cell r="E5223" t="str">
            <v/>
          </cell>
          <cell r="G5223" t="str">
            <v/>
          </cell>
          <cell r="J5223" t="str">
            <v/>
          </cell>
          <cell r="O5223" t="str">
            <v/>
          </cell>
          <cell r="P5223" t="str">
            <v/>
          </cell>
          <cell r="Q5223" t="str">
            <v/>
          </cell>
          <cell r="S5223" t="str">
            <v/>
          </cell>
          <cell r="V5223" t="str">
            <v/>
          </cell>
          <cell r="Z5223" t="str">
            <v/>
          </cell>
          <cell r="AA5223" t="str">
            <v/>
          </cell>
          <cell r="AB5223" t="str">
            <v/>
          </cell>
          <cell r="AC5223" t="str">
            <v/>
          </cell>
          <cell r="AD5223" t="str">
            <v/>
          </cell>
          <cell r="AY5223" t="str">
            <v/>
          </cell>
          <cell r="AZ5223" t="str">
            <v/>
          </cell>
          <cell r="BA5223" t="str">
            <v/>
          </cell>
        </row>
        <row r="5224">
          <cell r="B5224" t="str">
            <v>-</v>
          </cell>
          <cell r="E5224" t="str">
            <v/>
          </cell>
          <cell r="G5224" t="str">
            <v/>
          </cell>
          <cell r="J5224" t="str">
            <v/>
          </cell>
          <cell r="O5224" t="str">
            <v/>
          </cell>
          <cell r="P5224" t="str">
            <v/>
          </cell>
          <cell r="Q5224" t="str">
            <v/>
          </cell>
          <cell r="S5224" t="str">
            <v/>
          </cell>
          <cell r="V5224" t="str">
            <v/>
          </cell>
          <cell r="Z5224" t="str">
            <v/>
          </cell>
          <cell r="AA5224" t="str">
            <v/>
          </cell>
          <cell r="AB5224" t="str">
            <v/>
          </cell>
          <cell r="AC5224" t="str">
            <v/>
          </cell>
          <cell r="AD5224" t="str">
            <v/>
          </cell>
          <cell r="AY5224" t="str">
            <v/>
          </cell>
          <cell r="AZ5224" t="str">
            <v/>
          </cell>
          <cell r="BA5224" t="str">
            <v/>
          </cell>
        </row>
        <row r="5225">
          <cell r="B5225" t="str">
            <v>-</v>
          </cell>
          <cell r="E5225" t="str">
            <v/>
          </cell>
          <cell r="G5225" t="str">
            <v/>
          </cell>
          <cell r="J5225" t="str">
            <v/>
          </cell>
          <cell r="O5225" t="str">
            <v/>
          </cell>
          <cell r="P5225" t="str">
            <v/>
          </cell>
          <cell r="Q5225" t="str">
            <v/>
          </cell>
          <cell r="S5225" t="str">
            <v/>
          </cell>
          <cell r="V5225" t="str">
            <v/>
          </cell>
          <cell r="Z5225" t="str">
            <v/>
          </cell>
          <cell r="AA5225" t="str">
            <v/>
          </cell>
          <cell r="AB5225" t="str">
            <v/>
          </cell>
          <cell r="AC5225" t="str">
            <v/>
          </cell>
          <cell r="AD5225" t="str">
            <v/>
          </cell>
          <cell r="AY5225" t="str">
            <v/>
          </cell>
          <cell r="AZ5225" t="str">
            <v/>
          </cell>
          <cell r="BA5225" t="str">
            <v/>
          </cell>
        </row>
        <row r="5226">
          <cell r="B5226" t="str">
            <v>-</v>
          </cell>
          <cell r="E5226" t="str">
            <v/>
          </cell>
          <cell r="G5226" t="str">
            <v/>
          </cell>
          <cell r="J5226" t="str">
            <v/>
          </cell>
          <cell r="O5226" t="str">
            <v/>
          </cell>
          <cell r="P5226" t="str">
            <v/>
          </cell>
          <cell r="Q5226" t="str">
            <v/>
          </cell>
          <cell r="S5226" t="str">
            <v/>
          </cell>
          <cell r="V5226" t="str">
            <v/>
          </cell>
          <cell r="Z5226" t="str">
            <v/>
          </cell>
          <cell r="AA5226" t="str">
            <v/>
          </cell>
          <cell r="AB5226" t="str">
            <v/>
          </cell>
          <cell r="AC5226" t="str">
            <v/>
          </cell>
          <cell r="AD5226" t="str">
            <v/>
          </cell>
          <cell r="AY5226" t="str">
            <v/>
          </cell>
          <cell r="AZ5226" t="str">
            <v/>
          </cell>
          <cell r="BA5226" t="str">
            <v/>
          </cell>
        </row>
        <row r="5227">
          <cell r="B5227" t="str">
            <v>-</v>
          </cell>
          <cell r="E5227" t="str">
            <v/>
          </cell>
          <cell r="G5227" t="str">
            <v/>
          </cell>
          <cell r="J5227" t="str">
            <v/>
          </cell>
          <cell r="O5227" t="str">
            <v/>
          </cell>
          <cell r="P5227" t="str">
            <v/>
          </cell>
          <cell r="Q5227" t="str">
            <v/>
          </cell>
          <cell r="S5227" t="str">
            <v/>
          </cell>
          <cell r="V5227" t="str">
            <v/>
          </cell>
          <cell r="Z5227" t="str">
            <v/>
          </cell>
          <cell r="AA5227" t="str">
            <v/>
          </cell>
          <cell r="AB5227" t="str">
            <v/>
          </cell>
          <cell r="AC5227" t="str">
            <v/>
          </cell>
          <cell r="AD5227" t="str">
            <v/>
          </cell>
          <cell r="AY5227" t="str">
            <v/>
          </cell>
          <cell r="AZ5227" t="str">
            <v/>
          </cell>
          <cell r="BA5227" t="str">
            <v/>
          </cell>
        </row>
        <row r="5228">
          <cell r="B5228" t="str">
            <v>-</v>
          </cell>
          <cell r="E5228" t="str">
            <v/>
          </cell>
          <cell r="G5228" t="str">
            <v/>
          </cell>
          <cell r="J5228" t="str">
            <v/>
          </cell>
          <cell r="O5228" t="str">
            <v/>
          </cell>
          <cell r="P5228" t="str">
            <v/>
          </cell>
          <cell r="Q5228" t="str">
            <v/>
          </cell>
          <cell r="S5228" t="str">
            <v/>
          </cell>
          <cell r="V5228" t="str">
            <v/>
          </cell>
          <cell r="Z5228" t="str">
            <v/>
          </cell>
          <cell r="AA5228" t="str">
            <v/>
          </cell>
          <cell r="AB5228" t="str">
            <v/>
          </cell>
          <cell r="AC5228" t="str">
            <v/>
          </cell>
          <cell r="AD5228" t="str">
            <v/>
          </cell>
          <cell r="AY5228" t="str">
            <v/>
          </cell>
          <cell r="AZ5228" t="str">
            <v/>
          </cell>
          <cell r="BA5228" t="str">
            <v/>
          </cell>
        </row>
        <row r="5229">
          <cell r="B5229" t="str">
            <v>-</v>
          </cell>
          <cell r="E5229" t="str">
            <v/>
          </cell>
          <cell r="G5229" t="str">
            <v/>
          </cell>
          <cell r="J5229" t="str">
            <v/>
          </cell>
          <cell r="O5229" t="str">
            <v/>
          </cell>
          <cell r="P5229" t="str">
            <v/>
          </cell>
          <cell r="Q5229" t="str">
            <v/>
          </cell>
          <cell r="S5229" t="str">
            <v/>
          </cell>
          <cell r="V5229" t="str">
            <v/>
          </cell>
          <cell r="Z5229" t="str">
            <v/>
          </cell>
          <cell r="AA5229" t="str">
            <v/>
          </cell>
          <cell r="AB5229" t="str">
            <v/>
          </cell>
          <cell r="AC5229" t="str">
            <v/>
          </cell>
          <cell r="AD5229" t="str">
            <v/>
          </cell>
          <cell r="AY5229" t="str">
            <v/>
          </cell>
          <cell r="AZ5229" t="str">
            <v/>
          </cell>
          <cell r="BA5229" t="str">
            <v/>
          </cell>
        </row>
        <row r="5230">
          <cell r="B5230" t="str">
            <v>-</v>
          </cell>
          <cell r="E5230" t="str">
            <v/>
          </cell>
          <cell r="G5230" t="str">
            <v/>
          </cell>
          <cell r="J5230" t="str">
            <v/>
          </cell>
          <cell r="O5230" t="str">
            <v/>
          </cell>
          <cell r="P5230" t="str">
            <v/>
          </cell>
          <cell r="Q5230" t="str">
            <v/>
          </cell>
          <cell r="S5230" t="str">
            <v/>
          </cell>
          <cell r="V5230" t="str">
            <v/>
          </cell>
          <cell r="Z5230" t="str">
            <v/>
          </cell>
          <cell r="AA5230" t="str">
            <v/>
          </cell>
          <cell r="AB5230" t="str">
            <v/>
          </cell>
          <cell r="AC5230" t="str">
            <v/>
          </cell>
          <cell r="AD5230" t="str">
            <v/>
          </cell>
          <cell r="AY5230" t="str">
            <v/>
          </cell>
          <cell r="AZ5230" t="str">
            <v/>
          </cell>
          <cell r="BA5230" t="str">
            <v/>
          </cell>
        </row>
        <row r="5231">
          <cell r="B5231" t="str">
            <v>-</v>
          </cell>
          <cell r="E5231" t="str">
            <v/>
          </cell>
          <cell r="G5231" t="str">
            <v/>
          </cell>
          <cell r="J5231" t="str">
            <v/>
          </cell>
          <cell r="O5231" t="str">
            <v/>
          </cell>
          <cell r="P5231" t="str">
            <v/>
          </cell>
          <cell r="Q5231" t="str">
            <v/>
          </cell>
          <cell r="S5231" t="str">
            <v/>
          </cell>
          <cell r="V5231" t="str">
            <v/>
          </cell>
          <cell r="Z5231" t="str">
            <v/>
          </cell>
          <cell r="AA5231" t="str">
            <v/>
          </cell>
          <cell r="AB5231" t="str">
            <v/>
          </cell>
          <cell r="AC5231" t="str">
            <v/>
          </cell>
          <cell r="AD5231" t="str">
            <v/>
          </cell>
          <cell r="AY5231" t="str">
            <v/>
          </cell>
          <cell r="AZ5231" t="str">
            <v/>
          </cell>
          <cell r="BA5231" t="str">
            <v/>
          </cell>
        </row>
        <row r="5232">
          <cell r="B5232" t="str">
            <v>-</v>
          </cell>
          <cell r="E5232" t="str">
            <v/>
          </cell>
          <cell r="G5232" t="str">
            <v/>
          </cell>
          <cell r="J5232" t="str">
            <v/>
          </cell>
          <cell r="O5232" t="str">
            <v/>
          </cell>
          <cell r="P5232" t="str">
            <v/>
          </cell>
          <cell r="Q5232" t="str">
            <v/>
          </cell>
          <cell r="S5232" t="str">
            <v/>
          </cell>
          <cell r="V5232" t="str">
            <v/>
          </cell>
          <cell r="Z5232" t="str">
            <v/>
          </cell>
          <cell r="AA5232" t="str">
            <v/>
          </cell>
          <cell r="AB5232" t="str">
            <v/>
          </cell>
          <cell r="AC5232" t="str">
            <v/>
          </cell>
          <cell r="AD5232" t="str">
            <v/>
          </cell>
          <cell r="AY5232" t="str">
            <v/>
          </cell>
          <cell r="AZ5232" t="str">
            <v/>
          </cell>
          <cell r="BA5232" t="str">
            <v/>
          </cell>
        </row>
        <row r="5233">
          <cell r="B5233" t="str">
            <v>-</v>
          </cell>
          <cell r="E5233" t="str">
            <v/>
          </cell>
          <cell r="G5233" t="str">
            <v/>
          </cell>
          <cell r="J5233" t="str">
            <v/>
          </cell>
          <cell r="O5233" t="str">
            <v/>
          </cell>
          <cell r="P5233" t="str">
            <v/>
          </cell>
          <cell r="Q5233" t="str">
            <v/>
          </cell>
          <cell r="S5233" t="str">
            <v/>
          </cell>
          <cell r="V5233" t="str">
            <v/>
          </cell>
          <cell r="Z5233" t="str">
            <v/>
          </cell>
          <cell r="AA5233" t="str">
            <v/>
          </cell>
          <cell r="AB5233" t="str">
            <v/>
          </cell>
          <cell r="AC5233" t="str">
            <v/>
          </cell>
          <cell r="AD5233" t="str">
            <v/>
          </cell>
          <cell r="AY5233" t="str">
            <v/>
          </cell>
          <cell r="AZ5233" t="str">
            <v/>
          </cell>
          <cell r="BA5233" t="str">
            <v/>
          </cell>
        </row>
        <row r="5234">
          <cell r="B5234" t="str">
            <v>-</v>
          </cell>
          <cell r="E5234" t="str">
            <v/>
          </cell>
          <cell r="G5234" t="str">
            <v/>
          </cell>
          <cell r="J5234" t="str">
            <v/>
          </cell>
          <cell r="O5234" t="str">
            <v/>
          </cell>
          <cell r="P5234" t="str">
            <v/>
          </cell>
          <cell r="Q5234" t="str">
            <v/>
          </cell>
          <cell r="S5234" t="str">
            <v/>
          </cell>
          <cell r="V5234" t="str">
            <v/>
          </cell>
          <cell r="Z5234" t="str">
            <v/>
          </cell>
          <cell r="AA5234" t="str">
            <v/>
          </cell>
          <cell r="AB5234" t="str">
            <v/>
          </cell>
          <cell r="AC5234" t="str">
            <v/>
          </cell>
          <cell r="AD5234" t="str">
            <v/>
          </cell>
          <cell r="AY5234" t="str">
            <v/>
          </cell>
          <cell r="AZ5234" t="str">
            <v/>
          </cell>
          <cell r="BA5234" t="str">
            <v/>
          </cell>
        </row>
        <row r="5235">
          <cell r="B5235" t="str">
            <v>-</v>
          </cell>
          <cell r="E5235" t="str">
            <v/>
          </cell>
          <cell r="G5235" t="str">
            <v/>
          </cell>
          <cell r="J5235" t="str">
            <v/>
          </cell>
          <cell r="O5235" t="str">
            <v/>
          </cell>
          <cell r="P5235" t="str">
            <v/>
          </cell>
          <cell r="Q5235" t="str">
            <v/>
          </cell>
          <cell r="S5235" t="str">
            <v/>
          </cell>
          <cell r="V5235" t="str">
            <v/>
          </cell>
          <cell r="Z5235" t="str">
            <v/>
          </cell>
          <cell r="AA5235" t="str">
            <v/>
          </cell>
          <cell r="AB5235" t="str">
            <v/>
          </cell>
          <cell r="AC5235" t="str">
            <v/>
          </cell>
          <cell r="AD5235" t="str">
            <v/>
          </cell>
          <cell r="AY5235" t="str">
            <v/>
          </cell>
          <cell r="AZ5235" t="str">
            <v/>
          </cell>
          <cell r="BA5235" t="str">
            <v/>
          </cell>
        </row>
        <row r="5236">
          <cell r="B5236" t="str">
            <v>-</v>
          </cell>
          <cell r="E5236" t="str">
            <v/>
          </cell>
          <cell r="G5236" t="str">
            <v/>
          </cell>
          <cell r="J5236" t="str">
            <v/>
          </cell>
          <cell r="O5236" t="str">
            <v/>
          </cell>
          <cell r="P5236" t="str">
            <v/>
          </cell>
          <cell r="Q5236" t="str">
            <v/>
          </cell>
          <cell r="S5236" t="str">
            <v/>
          </cell>
          <cell r="V5236" t="str">
            <v/>
          </cell>
          <cell r="Z5236" t="str">
            <v/>
          </cell>
          <cell r="AA5236" t="str">
            <v/>
          </cell>
          <cell r="AB5236" t="str">
            <v/>
          </cell>
          <cell r="AC5236" t="str">
            <v/>
          </cell>
          <cell r="AD5236" t="str">
            <v/>
          </cell>
          <cell r="AY5236" t="str">
            <v/>
          </cell>
          <cell r="AZ5236" t="str">
            <v/>
          </cell>
          <cell r="BA5236" t="str">
            <v/>
          </cell>
        </row>
        <row r="5237">
          <cell r="B5237" t="str">
            <v>-</v>
          </cell>
          <cell r="E5237" t="str">
            <v/>
          </cell>
          <cell r="G5237" t="str">
            <v/>
          </cell>
          <cell r="J5237" t="str">
            <v/>
          </cell>
          <cell r="O5237" t="str">
            <v/>
          </cell>
          <cell r="P5237" t="str">
            <v/>
          </cell>
          <cell r="Q5237" t="str">
            <v/>
          </cell>
          <cell r="S5237" t="str">
            <v/>
          </cell>
          <cell r="V5237" t="str">
            <v/>
          </cell>
          <cell r="Z5237" t="str">
            <v/>
          </cell>
          <cell r="AA5237" t="str">
            <v/>
          </cell>
          <cell r="AB5237" t="str">
            <v/>
          </cell>
          <cell r="AC5237" t="str">
            <v/>
          </cell>
          <cell r="AD5237" t="str">
            <v/>
          </cell>
          <cell r="AY5237" t="str">
            <v/>
          </cell>
          <cell r="AZ5237" t="str">
            <v/>
          </cell>
          <cell r="BA5237" t="str">
            <v/>
          </cell>
        </row>
        <row r="5238">
          <cell r="B5238" t="str">
            <v>-</v>
          </cell>
          <cell r="E5238" t="str">
            <v/>
          </cell>
          <cell r="G5238" t="str">
            <v/>
          </cell>
          <cell r="J5238" t="str">
            <v/>
          </cell>
          <cell r="O5238" t="str">
            <v/>
          </cell>
          <cell r="P5238" t="str">
            <v/>
          </cell>
          <cell r="Q5238" t="str">
            <v/>
          </cell>
          <cell r="S5238" t="str">
            <v/>
          </cell>
          <cell r="V5238" t="str">
            <v/>
          </cell>
          <cell r="Z5238" t="str">
            <v/>
          </cell>
          <cell r="AA5238" t="str">
            <v/>
          </cell>
          <cell r="AB5238" t="str">
            <v/>
          </cell>
          <cell r="AC5238" t="str">
            <v/>
          </cell>
          <cell r="AD5238" t="str">
            <v/>
          </cell>
          <cell r="AY5238" t="str">
            <v/>
          </cell>
          <cell r="AZ5238" t="str">
            <v/>
          </cell>
          <cell r="BA5238" t="str">
            <v/>
          </cell>
        </row>
        <row r="5239">
          <cell r="B5239" t="str">
            <v>-</v>
          </cell>
          <cell r="E5239" t="str">
            <v/>
          </cell>
          <cell r="G5239" t="str">
            <v/>
          </cell>
          <cell r="J5239" t="str">
            <v/>
          </cell>
          <cell r="O5239" t="str">
            <v/>
          </cell>
          <cell r="P5239" t="str">
            <v/>
          </cell>
          <cell r="Q5239" t="str">
            <v/>
          </cell>
          <cell r="S5239" t="str">
            <v/>
          </cell>
          <cell r="V5239" t="str">
            <v/>
          </cell>
          <cell r="Z5239" t="str">
            <v/>
          </cell>
          <cell r="AA5239" t="str">
            <v/>
          </cell>
          <cell r="AB5239" t="str">
            <v/>
          </cell>
          <cell r="AC5239" t="str">
            <v/>
          </cell>
          <cell r="AD5239" t="str">
            <v/>
          </cell>
          <cell r="AY5239" t="str">
            <v/>
          </cell>
          <cell r="AZ5239" t="str">
            <v/>
          </cell>
          <cell r="BA5239" t="str">
            <v/>
          </cell>
        </row>
        <row r="5240">
          <cell r="B5240" t="str">
            <v>-</v>
          </cell>
          <cell r="E5240" t="str">
            <v/>
          </cell>
          <cell r="G5240" t="str">
            <v/>
          </cell>
          <cell r="J5240" t="str">
            <v/>
          </cell>
          <cell r="O5240" t="str">
            <v/>
          </cell>
          <cell r="P5240" t="str">
            <v/>
          </cell>
          <cell r="Q5240" t="str">
            <v/>
          </cell>
          <cell r="S5240" t="str">
            <v/>
          </cell>
          <cell r="V5240" t="str">
            <v/>
          </cell>
          <cell r="Z5240" t="str">
            <v/>
          </cell>
          <cell r="AA5240" t="str">
            <v/>
          </cell>
          <cell r="AB5240" t="str">
            <v/>
          </cell>
          <cell r="AC5240" t="str">
            <v/>
          </cell>
          <cell r="AD5240" t="str">
            <v/>
          </cell>
          <cell r="AY5240" t="str">
            <v/>
          </cell>
          <cell r="AZ5240" t="str">
            <v/>
          </cell>
          <cell r="BA5240" t="str">
            <v/>
          </cell>
        </row>
        <row r="5241">
          <cell r="B5241" t="str">
            <v>-</v>
          </cell>
          <cell r="E5241" t="str">
            <v/>
          </cell>
          <cell r="G5241" t="str">
            <v/>
          </cell>
          <cell r="J5241" t="str">
            <v/>
          </cell>
          <cell r="O5241" t="str">
            <v/>
          </cell>
          <cell r="P5241" t="str">
            <v/>
          </cell>
          <cell r="Q5241" t="str">
            <v/>
          </cell>
          <cell r="S5241" t="str">
            <v/>
          </cell>
          <cell r="V5241" t="str">
            <v/>
          </cell>
          <cell r="Z5241" t="str">
            <v/>
          </cell>
          <cell r="AA5241" t="str">
            <v/>
          </cell>
          <cell r="AB5241" t="str">
            <v/>
          </cell>
          <cell r="AC5241" t="str">
            <v/>
          </cell>
          <cell r="AD5241" t="str">
            <v/>
          </cell>
          <cell r="AY5241" t="str">
            <v/>
          </cell>
          <cell r="AZ5241" t="str">
            <v/>
          </cell>
          <cell r="BA5241" t="str">
            <v/>
          </cell>
        </row>
        <row r="5242">
          <cell r="B5242" t="str">
            <v>-</v>
          </cell>
          <cell r="E5242" t="str">
            <v/>
          </cell>
          <cell r="G5242" t="str">
            <v/>
          </cell>
          <cell r="J5242" t="str">
            <v/>
          </cell>
          <cell r="O5242" t="str">
            <v/>
          </cell>
          <cell r="P5242" t="str">
            <v/>
          </cell>
          <cell r="Q5242" t="str">
            <v/>
          </cell>
          <cell r="S5242" t="str">
            <v/>
          </cell>
          <cell r="V5242" t="str">
            <v/>
          </cell>
          <cell r="Z5242" t="str">
            <v/>
          </cell>
          <cell r="AA5242" t="str">
            <v/>
          </cell>
          <cell r="AB5242" t="str">
            <v/>
          </cell>
          <cell r="AC5242" t="str">
            <v/>
          </cell>
          <cell r="AD5242" t="str">
            <v/>
          </cell>
          <cell r="AY5242" t="str">
            <v/>
          </cell>
          <cell r="AZ5242" t="str">
            <v/>
          </cell>
          <cell r="BA5242" t="str">
            <v/>
          </cell>
        </row>
        <row r="5243">
          <cell r="B5243" t="str">
            <v>-</v>
          </cell>
          <cell r="E5243" t="str">
            <v/>
          </cell>
          <cell r="G5243" t="str">
            <v/>
          </cell>
          <cell r="J5243" t="str">
            <v/>
          </cell>
          <cell r="O5243" t="str">
            <v/>
          </cell>
          <cell r="P5243" t="str">
            <v/>
          </cell>
          <cell r="Q5243" t="str">
            <v/>
          </cell>
          <cell r="S5243" t="str">
            <v/>
          </cell>
          <cell r="V5243" t="str">
            <v/>
          </cell>
          <cell r="Z5243" t="str">
            <v/>
          </cell>
          <cell r="AA5243" t="str">
            <v/>
          </cell>
          <cell r="AB5243" t="str">
            <v/>
          </cell>
          <cell r="AC5243" t="str">
            <v/>
          </cell>
          <cell r="AD5243" t="str">
            <v/>
          </cell>
          <cell r="AY5243" t="str">
            <v/>
          </cell>
          <cell r="AZ5243" t="str">
            <v/>
          </cell>
          <cell r="BA5243" t="str">
            <v/>
          </cell>
        </row>
        <row r="5244">
          <cell r="B5244" t="str">
            <v>-</v>
          </cell>
          <cell r="E5244" t="str">
            <v/>
          </cell>
          <cell r="G5244" t="str">
            <v/>
          </cell>
          <cell r="J5244" t="str">
            <v/>
          </cell>
          <cell r="O5244" t="str">
            <v/>
          </cell>
          <cell r="P5244" t="str">
            <v/>
          </cell>
          <cell r="Q5244" t="str">
            <v/>
          </cell>
          <cell r="S5244" t="str">
            <v/>
          </cell>
          <cell r="V5244" t="str">
            <v/>
          </cell>
          <cell r="Z5244" t="str">
            <v/>
          </cell>
          <cell r="AA5244" t="str">
            <v/>
          </cell>
          <cell r="AB5244" t="str">
            <v/>
          </cell>
          <cell r="AC5244" t="str">
            <v/>
          </cell>
          <cell r="AD5244" t="str">
            <v/>
          </cell>
          <cell r="AY5244" t="str">
            <v/>
          </cell>
          <cell r="AZ5244" t="str">
            <v/>
          </cell>
          <cell r="BA5244" t="str">
            <v/>
          </cell>
        </row>
        <row r="5245">
          <cell r="B5245" t="str">
            <v>-</v>
          </cell>
          <cell r="E5245" t="str">
            <v/>
          </cell>
          <cell r="G5245" t="str">
            <v/>
          </cell>
          <cell r="J5245" t="str">
            <v/>
          </cell>
          <cell r="O5245" t="str">
            <v/>
          </cell>
          <cell r="P5245" t="str">
            <v/>
          </cell>
          <cell r="Q5245" t="str">
            <v/>
          </cell>
          <cell r="S5245" t="str">
            <v/>
          </cell>
          <cell r="V5245" t="str">
            <v/>
          </cell>
          <cell r="Z5245" t="str">
            <v/>
          </cell>
          <cell r="AA5245" t="str">
            <v/>
          </cell>
          <cell r="AB5245" t="str">
            <v/>
          </cell>
          <cell r="AC5245" t="str">
            <v/>
          </cell>
          <cell r="AD5245" t="str">
            <v/>
          </cell>
          <cell r="AY5245" t="str">
            <v/>
          </cell>
          <cell r="AZ5245" t="str">
            <v/>
          </cell>
          <cell r="BA5245" t="str">
            <v/>
          </cell>
        </row>
        <row r="5246">
          <cell r="B5246" t="str">
            <v>-</v>
          </cell>
          <cell r="E5246" t="str">
            <v/>
          </cell>
          <cell r="G5246" t="str">
            <v/>
          </cell>
          <cell r="J5246" t="str">
            <v/>
          </cell>
          <cell r="O5246" t="str">
            <v/>
          </cell>
          <cell r="P5246" t="str">
            <v/>
          </cell>
          <cell r="Q5246" t="str">
            <v/>
          </cell>
          <cell r="S5246" t="str">
            <v/>
          </cell>
          <cell r="V5246" t="str">
            <v/>
          </cell>
          <cell r="Z5246" t="str">
            <v/>
          </cell>
          <cell r="AA5246" t="str">
            <v/>
          </cell>
          <cell r="AB5246" t="str">
            <v/>
          </cell>
          <cell r="AC5246" t="str">
            <v/>
          </cell>
          <cell r="AD5246" t="str">
            <v/>
          </cell>
          <cell r="AY5246" t="str">
            <v/>
          </cell>
          <cell r="AZ5246" t="str">
            <v/>
          </cell>
          <cell r="BA5246" t="str">
            <v/>
          </cell>
        </row>
        <row r="5247">
          <cell r="B5247" t="str">
            <v>-</v>
          </cell>
          <cell r="E5247" t="str">
            <v/>
          </cell>
          <cell r="G5247" t="str">
            <v/>
          </cell>
          <cell r="J5247" t="str">
            <v/>
          </cell>
          <cell r="O5247" t="str">
            <v/>
          </cell>
          <cell r="P5247" t="str">
            <v/>
          </cell>
          <cell r="Q5247" t="str">
            <v/>
          </cell>
          <cell r="S5247" t="str">
            <v/>
          </cell>
          <cell r="V5247" t="str">
            <v/>
          </cell>
          <cell r="Z5247" t="str">
            <v/>
          </cell>
          <cell r="AA5247" t="str">
            <v/>
          </cell>
          <cell r="AB5247" t="str">
            <v/>
          </cell>
          <cell r="AC5247" t="str">
            <v/>
          </cell>
          <cell r="AD5247" t="str">
            <v/>
          </cell>
          <cell r="AY5247" t="str">
            <v/>
          </cell>
          <cell r="AZ5247" t="str">
            <v/>
          </cell>
          <cell r="BA5247" t="str">
            <v/>
          </cell>
        </row>
        <row r="5248">
          <cell r="B5248" t="str">
            <v>-</v>
          </cell>
          <cell r="E5248" t="str">
            <v/>
          </cell>
          <cell r="G5248" t="str">
            <v/>
          </cell>
          <cell r="J5248" t="str">
            <v/>
          </cell>
          <cell r="O5248" t="str">
            <v/>
          </cell>
          <cell r="P5248" t="str">
            <v/>
          </cell>
          <cell r="Q5248" t="str">
            <v/>
          </cell>
          <cell r="S5248" t="str">
            <v/>
          </cell>
          <cell r="V5248" t="str">
            <v/>
          </cell>
          <cell r="Z5248" t="str">
            <v/>
          </cell>
          <cell r="AA5248" t="str">
            <v/>
          </cell>
          <cell r="AB5248" t="str">
            <v/>
          </cell>
          <cell r="AC5248" t="str">
            <v/>
          </cell>
          <cell r="AD5248" t="str">
            <v/>
          </cell>
          <cell r="AY5248" t="str">
            <v/>
          </cell>
          <cell r="AZ5248" t="str">
            <v/>
          </cell>
          <cell r="BA5248" t="str">
            <v/>
          </cell>
        </row>
        <row r="5249">
          <cell r="B5249" t="str">
            <v>-</v>
          </cell>
          <cell r="E5249" t="str">
            <v/>
          </cell>
          <cell r="G5249" t="str">
            <v/>
          </cell>
          <cell r="J5249" t="str">
            <v/>
          </cell>
          <cell r="O5249" t="str">
            <v/>
          </cell>
          <cell r="P5249" t="str">
            <v/>
          </cell>
          <cell r="Q5249" t="str">
            <v/>
          </cell>
          <cell r="S5249" t="str">
            <v/>
          </cell>
          <cell r="V5249" t="str">
            <v/>
          </cell>
          <cell r="Z5249" t="str">
            <v/>
          </cell>
          <cell r="AA5249" t="str">
            <v/>
          </cell>
          <cell r="AB5249" t="str">
            <v/>
          </cell>
          <cell r="AC5249" t="str">
            <v/>
          </cell>
          <cell r="AD5249" t="str">
            <v/>
          </cell>
          <cell r="AY5249" t="str">
            <v/>
          </cell>
          <cell r="AZ5249" t="str">
            <v/>
          </cell>
          <cell r="BA5249" t="str">
            <v/>
          </cell>
        </row>
        <row r="5250">
          <cell r="B5250" t="str">
            <v>-</v>
          </cell>
          <cell r="E5250" t="str">
            <v/>
          </cell>
          <cell r="G5250" t="str">
            <v/>
          </cell>
          <cell r="J5250" t="str">
            <v/>
          </cell>
          <cell r="O5250" t="str">
            <v/>
          </cell>
          <cell r="P5250" t="str">
            <v/>
          </cell>
          <cell r="Q5250" t="str">
            <v/>
          </cell>
          <cell r="S5250" t="str">
            <v/>
          </cell>
          <cell r="V5250" t="str">
            <v/>
          </cell>
          <cell r="Z5250" t="str">
            <v/>
          </cell>
          <cell r="AA5250" t="str">
            <v/>
          </cell>
          <cell r="AB5250" t="str">
            <v/>
          </cell>
          <cell r="AC5250" t="str">
            <v/>
          </cell>
          <cell r="AD5250" t="str">
            <v/>
          </cell>
          <cell r="AY5250" t="str">
            <v/>
          </cell>
          <cell r="AZ5250" t="str">
            <v/>
          </cell>
          <cell r="BA5250" t="str">
            <v/>
          </cell>
        </row>
        <row r="5251">
          <cell r="B5251" t="str">
            <v>-</v>
          </cell>
          <cell r="E5251" t="str">
            <v/>
          </cell>
          <cell r="G5251" t="str">
            <v/>
          </cell>
          <cell r="J5251" t="str">
            <v/>
          </cell>
          <cell r="O5251" t="str">
            <v/>
          </cell>
          <cell r="P5251" t="str">
            <v/>
          </cell>
          <cell r="Q5251" t="str">
            <v/>
          </cell>
          <cell r="S5251" t="str">
            <v/>
          </cell>
          <cell r="V5251" t="str">
            <v/>
          </cell>
          <cell r="Z5251" t="str">
            <v/>
          </cell>
          <cell r="AA5251" t="str">
            <v/>
          </cell>
          <cell r="AB5251" t="str">
            <v/>
          </cell>
          <cell r="AC5251" t="str">
            <v/>
          </cell>
          <cell r="AD5251" t="str">
            <v/>
          </cell>
          <cell r="AY5251" t="str">
            <v/>
          </cell>
          <cell r="AZ5251" t="str">
            <v/>
          </cell>
          <cell r="BA5251" t="str">
            <v/>
          </cell>
        </row>
        <row r="5252">
          <cell r="B5252" t="str">
            <v>-</v>
          </cell>
          <cell r="E5252" t="str">
            <v/>
          </cell>
          <cell r="G5252" t="str">
            <v/>
          </cell>
          <cell r="J5252" t="str">
            <v/>
          </cell>
          <cell r="O5252" t="str">
            <v/>
          </cell>
          <cell r="P5252" t="str">
            <v/>
          </cell>
          <cell r="Q5252" t="str">
            <v/>
          </cell>
          <cell r="S5252" t="str">
            <v/>
          </cell>
          <cell r="V5252" t="str">
            <v/>
          </cell>
          <cell r="Z5252" t="str">
            <v/>
          </cell>
          <cell r="AA5252" t="str">
            <v/>
          </cell>
          <cell r="AB5252" t="str">
            <v/>
          </cell>
          <cell r="AC5252" t="str">
            <v/>
          </cell>
          <cell r="AD5252" t="str">
            <v/>
          </cell>
          <cell r="AY5252" t="str">
            <v/>
          </cell>
          <cell r="AZ5252" t="str">
            <v/>
          </cell>
          <cell r="BA5252" t="str">
            <v/>
          </cell>
        </row>
        <row r="5253">
          <cell r="B5253" t="str">
            <v>-</v>
          </cell>
          <cell r="E5253" t="str">
            <v/>
          </cell>
          <cell r="G5253" t="str">
            <v/>
          </cell>
          <cell r="J5253" t="str">
            <v/>
          </cell>
          <cell r="O5253" t="str">
            <v/>
          </cell>
          <cell r="P5253" t="str">
            <v/>
          </cell>
          <cell r="Q5253" t="str">
            <v/>
          </cell>
          <cell r="S5253" t="str">
            <v/>
          </cell>
          <cell r="V5253" t="str">
            <v/>
          </cell>
          <cell r="Z5253" t="str">
            <v/>
          </cell>
          <cell r="AA5253" t="str">
            <v/>
          </cell>
          <cell r="AB5253" t="str">
            <v/>
          </cell>
          <cell r="AC5253" t="str">
            <v/>
          </cell>
          <cell r="AD5253" t="str">
            <v/>
          </cell>
          <cell r="AY5253" t="str">
            <v/>
          </cell>
          <cell r="AZ5253" t="str">
            <v/>
          </cell>
          <cell r="BA5253" t="str">
            <v/>
          </cell>
        </row>
        <row r="5254">
          <cell r="B5254" t="str">
            <v>-</v>
          </cell>
          <cell r="E5254" t="str">
            <v/>
          </cell>
          <cell r="G5254" t="str">
            <v/>
          </cell>
          <cell r="J5254" t="str">
            <v/>
          </cell>
          <cell r="O5254" t="str">
            <v/>
          </cell>
          <cell r="P5254" t="str">
            <v/>
          </cell>
          <cell r="Q5254" t="str">
            <v/>
          </cell>
          <cell r="S5254" t="str">
            <v/>
          </cell>
          <cell r="V5254" t="str">
            <v/>
          </cell>
          <cell r="Z5254" t="str">
            <v/>
          </cell>
          <cell r="AA5254" t="str">
            <v/>
          </cell>
          <cell r="AB5254" t="str">
            <v/>
          </cell>
          <cell r="AC5254" t="str">
            <v/>
          </cell>
          <cell r="AD5254" t="str">
            <v/>
          </cell>
          <cell r="AY5254" t="str">
            <v/>
          </cell>
          <cell r="AZ5254" t="str">
            <v/>
          </cell>
          <cell r="BA5254" t="str">
            <v/>
          </cell>
        </row>
        <row r="5255">
          <cell r="B5255" t="str">
            <v>-</v>
          </cell>
          <cell r="E5255" t="str">
            <v/>
          </cell>
          <cell r="G5255" t="str">
            <v/>
          </cell>
          <cell r="J5255" t="str">
            <v/>
          </cell>
          <cell r="O5255" t="str">
            <v/>
          </cell>
          <cell r="P5255" t="str">
            <v/>
          </cell>
          <cell r="Q5255" t="str">
            <v/>
          </cell>
          <cell r="S5255" t="str">
            <v/>
          </cell>
          <cell r="V5255" t="str">
            <v/>
          </cell>
          <cell r="Z5255" t="str">
            <v/>
          </cell>
          <cell r="AA5255" t="str">
            <v/>
          </cell>
          <cell r="AB5255" t="str">
            <v/>
          </cell>
          <cell r="AC5255" t="str">
            <v/>
          </cell>
          <cell r="AD5255" t="str">
            <v/>
          </cell>
          <cell r="AY5255" t="str">
            <v/>
          </cell>
          <cell r="AZ5255" t="str">
            <v/>
          </cell>
          <cell r="BA5255" t="str">
            <v/>
          </cell>
        </row>
        <row r="5256">
          <cell r="B5256" t="str">
            <v>-</v>
          </cell>
          <cell r="E5256" t="str">
            <v/>
          </cell>
          <cell r="G5256" t="str">
            <v/>
          </cell>
          <cell r="J5256" t="str">
            <v/>
          </cell>
          <cell r="O5256" t="str">
            <v/>
          </cell>
          <cell r="P5256" t="str">
            <v/>
          </cell>
          <cell r="Q5256" t="str">
            <v/>
          </cell>
          <cell r="S5256" t="str">
            <v/>
          </cell>
          <cell r="V5256" t="str">
            <v/>
          </cell>
          <cell r="Z5256" t="str">
            <v/>
          </cell>
          <cell r="AA5256" t="str">
            <v/>
          </cell>
          <cell r="AB5256" t="str">
            <v/>
          </cell>
          <cell r="AC5256" t="str">
            <v/>
          </cell>
          <cell r="AD5256" t="str">
            <v/>
          </cell>
          <cell r="AY5256" t="str">
            <v/>
          </cell>
          <cell r="AZ5256" t="str">
            <v/>
          </cell>
          <cell r="BA5256" t="str">
            <v/>
          </cell>
        </row>
        <row r="5257">
          <cell r="B5257" t="str">
            <v>-</v>
          </cell>
          <cell r="E5257" t="str">
            <v/>
          </cell>
          <cell r="G5257" t="str">
            <v/>
          </cell>
          <cell r="J5257" t="str">
            <v/>
          </cell>
          <cell r="O5257" t="str">
            <v/>
          </cell>
          <cell r="P5257" t="str">
            <v/>
          </cell>
          <cell r="Q5257" t="str">
            <v/>
          </cell>
          <cell r="S5257" t="str">
            <v/>
          </cell>
          <cell r="V5257" t="str">
            <v/>
          </cell>
          <cell r="Z5257" t="str">
            <v/>
          </cell>
          <cell r="AA5257" t="str">
            <v/>
          </cell>
          <cell r="AB5257" t="str">
            <v/>
          </cell>
          <cell r="AC5257" t="str">
            <v/>
          </cell>
          <cell r="AD5257" t="str">
            <v/>
          </cell>
          <cell r="AY5257" t="str">
            <v/>
          </cell>
          <cell r="AZ5257" t="str">
            <v/>
          </cell>
          <cell r="BA5257" t="str">
            <v/>
          </cell>
        </row>
        <row r="5258">
          <cell r="B5258" t="str">
            <v>-</v>
          </cell>
          <cell r="E5258" t="str">
            <v/>
          </cell>
          <cell r="G5258" t="str">
            <v/>
          </cell>
          <cell r="J5258" t="str">
            <v/>
          </cell>
          <cell r="O5258" t="str">
            <v/>
          </cell>
          <cell r="P5258" t="str">
            <v/>
          </cell>
          <cell r="Q5258" t="str">
            <v/>
          </cell>
          <cell r="S5258" t="str">
            <v/>
          </cell>
          <cell r="V5258" t="str">
            <v/>
          </cell>
          <cell r="Z5258" t="str">
            <v/>
          </cell>
          <cell r="AA5258" t="str">
            <v/>
          </cell>
          <cell r="AB5258" t="str">
            <v/>
          </cell>
          <cell r="AC5258" t="str">
            <v/>
          </cell>
          <cell r="AD5258" t="str">
            <v/>
          </cell>
          <cell r="AY5258" t="str">
            <v/>
          </cell>
          <cell r="AZ5258" t="str">
            <v/>
          </cell>
          <cell r="BA5258" t="str">
            <v/>
          </cell>
        </row>
        <row r="5259">
          <cell r="B5259" t="str">
            <v>-</v>
          </cell>
          <cell r="E5259" t="str">
            <v/>
          </cell>
          <cell r="G5259" t="str">
            <v/>
          </cell>
          <cell r="J5259" t="str">
            <v/>
          </cell>
          <cell r="O5259" t="str">
            <v/>
          </cell>
          <cell r="P5259" t="str">
            <v/>
          </cell>
          <cell r="Q5259" t="str">
            <v/>
          </cell>
          <cell r="S5259" t="str">
            <v/>
          </cell>
          <cell r="V5259" t="str">
            <v/>
          </cell>
          <cell r="Z5259" t="str">
            <v/>
          </cell>
          <cell r="AA5259" t="str">
            <v/>
          </cell>
          <cell r="AB5259" t="str">
            <v/>
          </cell>
          <cell r="AC5259" t="str">
            <v/>
          </cell>
          <cell r="AD5259" t="str">
            <v/>
          </cell>
          <cell r="AY5259" t="str">
            <v/>
          </cell>
          <cell r="AZ5259" t="str">
            <v/>
          </cell>
          <cell r="BA5259" t="str">
            <v/>
          </cell>
        </row>
        <row r="5260">
          <cell r="B5260" t="str">
            <v>-</v>
          </cell>
          <cell r="E5260" t="str">
            <v/>
          </cell>
          <cell r="G5260" t="str">
            <v/>
          </cell>
          <cell r="J5260" t="str">
            <v/>
          </cell>
          <cell r="O5260" t="str">
            <v/>
          </cell>
          <cell r="P5260" t="str">
            <v/>
          </cell>
          <cell r="Q5260" t="str">
            <v/>
          </cell>
          <cell r="S5260" t="str">
            <v/>
          </cell>
          <cell r="V5260" t="str">
            <v/>
          </cell>
          <cell r="Z5260" t="str">
            <v/>
          </cell>
          <cell r="AA5260" t="str">
            <v/>
          </cell>
          <cell r="AB5260" t="str">
            <v/>
          </cell>
          <cell r="AC5260" t="str">
            <v/>
          </cell>
          <cell r="AD5260" t="str">
            <v/>
          </cell>
          <cell r="AY5260" t="str">
            <v/>
          </cell>
          <cell r="AZ5260" t="str">
            <v/>
          </cell>
          <cell r="BA5260" t="str">
            <v/>
          </cell>
        </row>
        <row r="5261">
          <cell r="B5261" t="str">
            <v>-</v>
          </cell>
          <cell r="E5261" t="str">
            <v/>
          </cell>
          <cell r="G5261" t="str">
            <v/>
          </cell>
          <cell r="J5261" t="str">
            <v/>
          </cell>
          <cell r="O5261" t="str">
            <v/>
          </cell>
          <cell r="P5261" t="str">
            <v/>
          </cell>
          <cell r="Q5261" t="str">
            <v/>
          </cell>
          <cell r="S5261" t="str">
            <v/>
          </cell>
          <cell r="V5261" t="str">
            <v/>
          </cell>
          <cell r="Z5261" t="str">
            <v/>
          </cell>
          <cell r="AA5261" t="str">
            <v/>
          </cell>
          <cell r="AB5261" t="str">
            <v/>
          </cell>
          <cell r="AC5261" t="str">
            <v/>
          </cell>
          <cell r="AD5261" t="str">
            <v/>
          </cell>
          <cell r="AY5261" t="str">
            <v/>
          </cell>
          <cell r="AZ5261" t="str">
            <v/>
          </cell>
          <cell r="BA5261" t="str">
            <v/>
          </cell>
        </row>
        <row r="5262">
          <cell r="B5262" t="str">
            <v>-</v>
          </cell>
          <cell r="E5262" t="str">
            <v/>
          </cell>
          <cell r="G5262" t="str">
            <v/>
          </cell>
          <cell r="J5262" t="str">
            <v/>
          </cell>
          <cell r="O5262" t="str">
            <v/>
          </cell>
          <cell r="P5262" t="str">
            <v/>
          </cell>
          <cell r="Q5262" t="str">
            <v/>
          </cell>
          <cell r="S5262" t="str">
            <v/>
          </cell>
          <cell r="V5262" t="str">
            <v/>
          </cell>
          <cell r="Z5262" t="str">
            <v/>
          </cell>
          <cell r="AA5262" t="str">
            <v/>
          </cell>
          <cell r="AB5262" t="str">
            <v/>
          </cell>
          <cell r="AC5262" t="str">
            <v/>
          </cell>
          <cell r="AD5262" t="str">
            <v/>
          </cell>
          <cell r="AY5262" t="str">
            <v/>
          </cell>
          <cell r="AZ5262" t="str">
            <v/>
          </cell>
          <cell r="BA5262" t="str">
            <v/>
          </cell>
        </row>
        <row r="5263">
          <cell r="B5263" t="str">
            <v>-</v>
          </cell>
          <cell r="E5263" t="str">
            <v/>
          </cell>
          <cell r="G5263" t="str">
            <v/>
          </cell>
          <cell r="J5263" t="str">
            <v/>
          </cell>
          <cell r="O5263" t="str">
            <v/>
          </cell>
          <cell r="P5263" t="str">
            <v/>
          </cell>
          <cell r="Q5263" t="str">
            <v/>
          </cell>
          <cell r="S5263" t="str">
            <v/>
          </cell>
          <cell r="V5263" t="str">
            <v/>
          </cell>
          <cell r="Z5263" t="str">
            <v/>
          </cell>
          <cell r="AA5263" t="str">
            <v/>
          </cell>
          <cell r="AB5263" t="str">
            <v/>
          </cell>
          <cell r="AC5263" t="str">
            <v/>
          </cell>
          <cell r="AD5263" t="str">
            <v/>
          </cell>
          <cell r="AY5263" t="str">
            <v/>
          </cell>
          <cell r="AZ5263" t="str">
            <v/>
          </cell>
          <cell r="BA5263" t="str">
            <v/>
          </cell>
        </row>
        <row r="5264">
          <cell r="B5264" t="str">
            <v>-</v>
          </cell>
          <cell r="E5264" t="str">
            <v/>
          </cell>
          <cell r="G5264" t="str">
            <v/>
          </cell>
          <cell r="J5264" t="str">
            <v/>
          </cell>
          <cell r="O5264" t="str">
            <v/>
          </cell>
          <cell r="P5264" t="str">
            <v/>
          </cell>
          <cell r="Q5264" t="str">
            <v/>
          </cell>
          <cell r="S5264" t="str">
            <v/>
          </cell>
          <cell r="V5264" t="str">
            <v/>
          </cell>
          <cell r="Z5264" t="str">
            <v/>
          </cell>
          <cell r="AA5264" t="str">
            <v/>
          </cell>
          <cell r="AB5264" t="str">
            <v/>
          </cell>
          <cell r="AC5264" t="str">
            <v/>
          </cell>
          <cell r="AD5264" t="str">
            <v/>
          </cell>
          <cell r="AY5264" t="str">
            <v/>
          </cell>
          <cell r="AZ5264" t="str">
            <v/>
          </cell>
          <cell r="BA5264" t="str">
            <v/>
          </cell>
        </row>
        <row r="5265">
          <cell r="B5265" t="str">
            <v>-</v>
          </cell>
          <cell r="E5265" t="str">
            <v/>
          </cell>
          <cell r="G5265" t="str">
            <v/>
          </cell>
          <cell r="J5265" t="str">
            <v/>
          </cell>
          <cell r="O5265" t="str">
            <v/>
          </cell>
          <cell r="P5265" t="str">
            <v/>
          </cell>
          <cell r="Q5265" t="str">
            <v/>
          </cell>
          <cell r="S5265" t="str">
            <v/>
          </cell>
          <cell r="V5265" t="str">
            <v/>
          </cell>
          <cell r="Z5265" t="str">
            <v/>
          </cell>
          <cell r="AA5265" t="str">
            <v/>
          </cell>
          <cell r="AB5265" t="str">
            <v/>
          </cell>
          <cell r="AC5265" t="str">
            <v/>
          </cell>
          <cell r="AD5265" t="str">
            <v/>
          </cell>
          <cell r="AY5265" t="str">
            <v/>
          </cell>
          <cell r="AZ5265" t="str">
            <v/>
          </cell>
          <cell r="BA5265" t="str">
            <v/>
          </cell>
        </row>
        <row r="5266">
          <cell r="B5266" t="str">
            <v>-</v>
          </cell>
          <cell r="E5266" t="str">
            <v/>
          </cell>
          <cell r="G5266" t="str">
            <v/>
          </cell>
          <cell r="J5266" t="str">
            <v/>
          </cell>
          <cell r="O5266" t="str">
            <v/>
          </cell>
          <cell r="P5266" t="str">
            <v/>
          </cell>
          <cell r="Q5266" t="str">
            <v/>
          </cell>
          <cell r="S5266" t="str">
            <v/>
          </cell>
          <cell r="V5266" t="str">
            <v/>
          </cell>
          <cell r="Z5266" t="str">
            <v/>
          </cell>
          <cell r="AA5266" t="str">
            <v/>
          </cell>
          <cell r="AB5266" t="str">
            <v/>
          </cell>
          <cell r="AC5266" t="str">
            <v/>
          </cell>
          <cell r="AD5266" t="str">
            <v/>
          </cell>
          <cell r="AY5266" t="str">
            <v/>
          </cell>
          <cell r="AZ5266" t="str">
            <v/>
          </cell>
          <cell r="BA5266" t="str">
            <v/>
          </cell>
        </row>
        <row r="5267">
          <cell r="B5267" t="str">
            <v>-</v>
          </cell>
          <cell r="E5267" t="str">
            <v/>
          </cell>
          <cell r="G5267" t="str">
            <v/>
          </cell>
          <cell r="J5267" t="str">
            <v/>
          </cell>
          <cell r="O5267" t="str">
            <v/>
          </cell>
          <cell r="P5267" t="str">
            <v/>
          </cell>
          <cell r="Q5267" t="str">
            <v/>
          </cell>
          <cell r="S5267" t="str">
            <v/>
          </cell>
          <cell r="V5267" t="str">
            <v/>
          </cell>
          <cell r="Z5267" t="str">
            <v/>
          </cell>
          <cell r="AA5267" t="str">
            <v/>
          </cell>
          <cell r="AB5267" t="str">
            <v/>
          </cell>
          <cell r="AC5267" t="str">
            <v/>
          </cell>
          <cell r="AD5267" t="str">
            <v/>
          </cell>
          <cell r="AY5267" t="str">
            <v/>
          </cell>
          <cell r="AZ5267" t="str">
            <v/>
          </cell>
          <cell r="BA5267" t="str">
            <v/>
          </cell>
        </row>
        <row r="5268">
          <cell r="B5268" t="str">
            <v>-</v>
          </cell>
          <cell r="E5268" t="str">
            <v/>
          </cell>
          <cell r="G5268" t="str">
            <v/>
          </cell>
          <cell r="J5268" t="str">
            <v/>
          </cell>
          <cell r="O5268" t="str">
            <v/>
          </cell>
          <cell r="P5268" t="str">
            <v/>
          </cell>
          <cell r="Q5268" t="str">
            <v/>
          </cell>
          <cell r="S5268" t="str">
            <v/>
          </cell>
          <cell r="V5268" t="str">
            <v/>
          </cell>
          <cell r="Z5268" t="str">
            <v/>
          </cell>
          <cell r="AA5268" t="str">
            <v/>
          </cell>
          <cell r="AB5268" t="str">
            <v/>
          </cell>
          <cell r="AC5268" t="str">
            <v/>
          </cell>
          <cell r="AD5268" t="str">
            <v/>
          </cell>
          <cell r="AY5268" t="str">
            <v/>
          </cell>
          <cell r="AZ5268" t="str">
            <v/>
          </cell>
          <cell r="BA5268" t="str">
            <v/>
          </cell>
        </row>
        <row r="5269">
          <cell r="B5269" t="str">
            <v>-</v>
          </cell>
          <cell r="E5269" t="str">
            <v/>
          </cell>
          <cell r="G5269" t="str">
            <v/>
          </cell>
          <cell r="J5269" t="str">
            <v/>
          </cell>
          <cell r="O5269" t="str">
            <v/>
          </cell>
          <cell r="P5269" t="str">
            <v/>
          </cell>
          <cell r="Q5269" t="str">
            <v/>
          </cell>
          <cell r="S5269" t="str">
            <v/>
          </cell>
          <cell r="V5269" t="str">
            <v/>
          </cell>
          <cell r="Z5269" t="str">
            <v/>
          </cell>
          <cell r="AA5269" t="str">
            <v/>
          </cell>
          <cell r="AB5269" t="str">
            <v/>
          </cell>
          <cell r="AC5269" t="str">
            <v/>
          </cell>
          <cell r="AD5269" t="str">
            <v/>
          </cell>
          <cell r="AY5269" t="str">
            <v/>
          </cell>
          <cell r="AZ5269" t="str">
            <v/>
          </cell>
          <cell r="BA5269" t="str">
            <v/>
          </cell>
        </row>
        <row r="5270">
          <cell r="B5270" t="str">
            <v>-</v>
          </cell>
          <cell r="E5270" t="str">
            <v/>
          </cell>
          <cell r="G5270" t="str">
            <v/>
          </cell>
          <cell r="J5270" t="str">
            <v/>
          </cell>
          <cell r="O5270" t="str">
            <v/>
          </cell>
          <cell r="P5270" t="str">
            <v/>
          </cell>
          <cell r="Q5270" t="str">
            <v/>
          </cell>
          <cell r="S5270" t="str">
            <v/>
          </cell>
          <cell r="V5270" t="str">
            <v/>
          </cell>
          <cell r="Z5270" t="str">
            <v/>
          </cell>
          <cell r="AA5270" t="str">
            <v/>
          </cell>
          <cell r="AB5270" t="str">
            <v/>
          </cell>
          <cell r="AC5270" t="str">
            <v/>
          </cell>
          <cell r="AD5270" t="str">
            <v/>
          </cell>
          <cell r="AY5270" t="str">
            <v/>
          </cell>
          <cell r="AZ5270" t="str">
            <v/>
          </cell>
          <cell r="BA5270" t="str">
            <v/>
          </cell>
        </row>
        <row r="5271">
          <cell r="B5271" t="str">
            <v>-</v>
          </cell>
          <cell r="E5271" t="str">
            <v/>
          </cell>
          <cell r="G5271" t="str">
            <v/>
          </cell>
          <cell r="J5271" t="str">
            <v/>
          </cell>
          <cell r="O5271" t="str">
            <v/>
          </cell>
          <cell r="P5271" t="str">
            <v/>
          </cell>
          <cell r="Q5271" t="str">
            <v/>
          </cell>
          <cell r="S5271" t="str">
            <v/>
          </cell>
          <cell r="V5271" t="str">
            <v/>
          </cell>
          <cell r="Z5271" t="str">
            <v/>
          </cell>
          <cell r="AA5271" t="str">
            <v/>
          </cell>
          <cell r="AB5271" t="str">
            <v/>
          </cell>
          <cell r="AC5271" t="str">
            <v/>
          </cell>
          <cell r="AD5271" t="str">
            <v/>
          </cell>
          <cell r="AY5271" t="str">
            <v/>
          </cell>
          <cell r="AZ5271" t="str">
            <v/>
          </cell>
          <cell r="BA5271" t="str">
            <v/>
          </cell>
        </row>
        <row r="5272">
          <cell r="B5272" t="str">
            <v>-</v>
          </cell>
          <cell r="E5272" t="str">
            <v/>
          </cell>
          <cell r="G5272" t="str">
            <v/>
          </cell>
          <cell r="J5272" t="str">
            <v/>
          </cell>
          <cell r="O5272" t="str">
            <v/>
          </cell>
          <cell r="P5272" t="str">
            <v/>
          </cell>
          <cell r="Q5272" t="str">
            <v/>
          </cell>
          <cell r="S5272" t="str">
            <v/>
          </cell>
          <cell r="V5272" t="str">
            <v/>
          </cell>
          <cell r="Z5272" t="str">
            <v/>
          </cell>
          <cell r="AA5272" t="str">
            <v/>
          </cell>
          <cell r="AB5272" t="str">
            <v/>
          </cell>
          <cell r="AC5272" t="str">
            <v/>
          </cell>
          <cell r="AD5272" t="str">
            <v/>
          </cell>
          <cell r="AY5272" t="str">
            <v/>
          </cell>
          <cell r="AZ5272" t="str">
            <v/>
          </cell>
          <cell r="BA5272" t="str">
            <v/>
          </cell>
        </row>
        <row r="5273">
          <cell r="B5273" t="str">
            <v>-</v>
          </cell>
          <cell r="E5273" t="str">
            <v/>
          </cell>
          <cell r="G5273" t="str">
            <v/>
          </cell>
          <cell r="J5273" t="str">
            <v/>
          </cell>
          <cell r="O5273" t="str">
            <v/>
          </cell>
          <cell r="P5273" t="str">
            <v/>
          </cell>
          <cell r="Q5273" t="str">
            <v/>
          </cell>
          <cell r="S5273" t="str">
            <v/>
          </cell>
          <cell r="V5273" t="str">
            <v/>
          </cell>
          <cell r="Z5273" t="str">
            <v/>
          </cell>
          <cell r="AA5273" t="str">
            <v/>
          </cell>
          <cell r="AB5273" t="str">
            <v/>
          </cell>
          <cell r="AC5273" t="str">
            <v/>
          </cell>
          <cell r="AD5273" t="str">
            <v/>
          </cell>
          <cell r="AY5273" t="str">
            <v/>
          </cell>
          <cell r="AZ5273" t="str">
            <v/>
          </cell>
          <cell r="BA5273" t="str">
            <v/>
          </cell>
        </row>
        <row r="5274">
          <cell r="B5274" t="str">
            <v>-</v>
          </cell>
          <cell r="E5274" t="str">
            <v/>
          </cell>
          <cell r="G5274" t="str">
            <v/>
          </cell>
          <cell r="J5274" t="str">
            <v/>
          </cell>
          <cell r="O5274" t="str">
            <v/>
          </cell>
          <cell r="P5274" t="str">
            <v/>
          </cell>
          <cell r="Q5274" t="str">
            <v/>
          </cell>
          <cell r="S5274" t="str">
            <v/>
          </cell>
          <cell r="V5274" t="str">
            <v/>
          </cell>
          <cell r="Z5274" t="str">
            <v/>
          </cell>
          <cell r="AA5274" t="str">
            <v/>
          </cell>
          <cell r="AB5274" t="str">
            <v/>
          </cell>
          <cell r="AC5274" t="str">
            <v/>
          </cell>
          <cell r="AD5274" t="str">
            <v/>
          </cell>
          <cell r="AY5274" t="str">
            <v/>
          </cell>
          <cell r="AZ5274" t="str">
            <v/>
          </cell>
          <cell r="BA5274" t="str">
            <v/>
          </cell>
        </row>
        <row r="5275">
          <cell r="B5275" t="str">
            <v>-</v>
          </cell>
          <cell r="E5275" t="str">
            <v/>
          </cell>
          <cell r="G5275" t="str">
            <v/>
          </cell>
          <cell r="J5275" t="str">
            <v/>
          </cell>
          <cell r="O5275" t="str">
            <v/>
          </cell>
          <cell r="P5275" t="str">
            <v/>
          </cell>
          <cell r="Q5275" t="str">
            <v/>
          </cell>
          <cell r="S5275" t="str">
            <v/>
          </cell>
          <cell r="V5275" t="str">
            <v/>
          </cell>
          <cell r="Z5275" t="str">
            <v/>
          </cell>
          <cell r="AA5275" t="str">
            <v/>
          </cell>
          <cell r="AB5275" t="str">
            <v/>
          </cell>
          <cell r="AC5275" t="str">
            <v/>
          </cell>
          <cell r="AD5275" t="str">
            <v/>
          </cell>
          <cell r="AY5275" t="str">
            <v/>
          </cell>
          <cell r="AZ5275" t="str">
            <v/>
          </cell>
          <cell r="BA5275" t="str">
            <v/>
          </cell>
        </row>
        <row r="5276">
          <cell r="B5276" t="str">
            <v>-</v>
          </cell>
          <cell r="E5276" t="str">
            <v/>
          </cell>
          <cell r="G5276" t="str">
            <v/>
          </cell>
          <cell r="J5276" t="str">
            <v/>
          </cell>
          <cell r="O5276" t="str">
            <v/>
          </cell>
          <cell r="P5276" t="str">
            <v/>
          </cell>
          <cell r="Q5276" t="str">
            <v/>
          </cell>
          <cell r="S5276" t="str">
            <v/>
          </cell>
          <cell r="V5276" t="str">
            <v/>
          </cell>
          <cell r="Z5276" t="str">
            <v/>
          </cell>
          <cell r="AA5276" t="str">
            <v/>
          </cell>
          <cell r="AB5276" t="str">
            <v/>
          </cell>
          <cell r="AC5276" t="str">
            <v/>
          </cell>
          <cell r="AD5276" t="str">
            <v/>
          </cell>
          <cell r="AY5276" t="str">
            <v/>
          </cell>
          <cell r="AZ5276" t="str">
            <v/>
          </cell>
          <cell r="BA5276" t="str">
            <v/>
          </cell>
        </row>
        <row r="5277">
          <cell r="B5277" t="str">
            <v>-</v>
          </cell>
          <cell r="E5277" t="str">
            <v/>
          </cell>
          <cell r="G5277" t="str">
            <v/>
          </cell>
          <cell r="J5277" t="str">
            <v/>
          </cell>
          <cell r="O5277" t="str">
            <v/>
          </cell>
          <cell r="P5277" t="str">
            <v/>
          </cell>
          <cell r="Q5277" t="str">
            <v/>
          </cell>
          <cell r="S5277" t="str">
            <v/>
          </cell>
          <cell r="V5277" t="str">
            <v/>
          </cell>
          <cell r="Z5277" t="str">
            <v/>
          </cell>
          <cell r="AA5277" t="str">
            <v/>
          </cell>
          <cell r="AB5277" t="str">
            <v/>
          </cell>
          <cell r="AC5277" t="str">
            <v/>
          </cell>
          <cell r="AD5277" t="str">
            <v/>
          </cell>
          <cell r="AY5277" t="str">
            <v/>
          </cell>
          <cell r="AZ5277" t="str">
            <v/>
          </cell>
          <cell r="BA5277" t="str">
            <v/>
          </cell>
        </row>
        <row r="5278">
          <cell r="B5278" t="str">
            <v>-</v>
          </cell>
          <cell r="E5278" t="str">
            <v/>
          </cell>
          <cell r="G5278" t="str">
            <v/>
          </cell>
          <cell r="J5278" t="str">
            <v/>
          </cell>
          <cell r="O5278" t="str">
            <v/>
          </cell>
          <cell r="P5278" t="str">
            <v/>
          </cell>
          <cell r="Q5278" t="str">
            <v/>
          </cell>
          <cell r="S5278" t="str">
            <v/>
          </cell>
          <cell r="V5278" t="str">
            <v/>
          </cell>
          <cell r="Z5278" t="str">
            <v/>
          </cell>
          <cell r="AA5278" t="str">
            <v/>
          </cell>
          <cell r="AB5278" t="str">
            <v/>
          </cell>
          <cell r="AC5278" t="str">
            <v/>
          </cell>
          <cell r="AD5278" t="str">
            <v/>
          </cell>
          <cell r="AY5278" t="str">
            <v/>
          </cell>
          <cell r="AZ5278" t="str">
            <v/>
          </cell>
          <cell r="BA5278" t="str">
            <v/>
          </cell>
        </row>
        <row r="5279">
          <cell r="B5279" t="str">
            <v>-</v>
          </cell>
          <cell r="E5279" t="str">
            <v/>
          </cell>
          <cell r="G5279" t="str">
            <v/>
          </cell>
          <cell r="J5279" t="str">
            <v/>
          </cell>
          <cell r="O5279" t="str">
            <v/>
          </cell>
          <cell r="P5279" t="str">
            <v/>
          </cell>
          <cell r="Q5279" t="str">
            <v/>
          </cell>
          <cell r="S5279" t="str">
            <v/>
          </cell>
          <cell r="V5279" t="str">
            <v/>
          </cell>
          <cell r="Z5279" t="str">
            <v/>
          </cell>
          <cell r="AA5279" t="str">
            <v/>
          </cell>
          <cell r="AB5279" t="str">
            <v/>
          </cell>
          <cell r="AC5279" t="str">
            <v/>
          </cell>
          <cell r="AD5279" t="str">
            <v/>
          </cell>
          <cell r="AY5279" t="str">
            <v/>
          </cell>
          <cell r="AZ5279" t="str">
            <v/>
          </cell>
          <cell r="BA5279" t="str">
            <v/>
          </cell>
        </row>
        <row r="5280">
          <cell r="B5280" t="str">
            <v>-</v>
          </cell>
          <cell r="E5280" t="str">
            <v/>
          </cell>
          <cell r="G5280" t="str">
            <v/>
          </cell>
          <cell r="J5280" t="str">
            <v/>
          </cell>
          <cell r="O5280" t="str">
            <v/>
          </cell>
          <cell r="P5280" t="str">
            <v/>
          </cell>
          <cell r="Q5280" t="str">
            <v/>
          </cell>
          <cell r="S5280" t="str">
            <v/>
          </cell>
          <cell r="V5280" t="str">
            <v/>
          </cell>
          <cell r="Z5280" t="str">
            <v/>
          </cell>
          <cell r="AA5280" t="str">
            <v/>
          </cell>
          <cell r="AB5280" t="str">
            <v/>
          </cell>
          <cell r="AC5280" t="str">
            <v/>
          </cell>
          <cell r="AD5280" t="str">
            <v/>
          </cell>
          <cell r="AY5280" t="str">
            <v/>
          </cell>
          <cell r="AZ5280" t="str">
            <v/>
          </cell>
          <cell r="BA5280" t="str">
            <v/>
          </cell>
        </row>
        <row r="5281">
          <cell r="B5281" t="str">
            <v>-</v>
          </cell>
          <cell r="E5281" t="str">
            <v/>
          </cell>
          <cell r="G5281" t="str">
            <v/>
          </cell>
          <cell r="J5281" t="str">
            <v/>
          </cell>
          <cell r="O5281" t="str">
            <v/>
          </cell>
          <cell r="P5281" t="str">
            <v/>
          </cell>
          <cell r="Q5281" t="str">
            <v/>
          </cell>
          <cell r="S5281" t="str">
            <v/>
          </cell>
          <cell r="V5281" t="str">
            <v/>
          </cell>
          <cell r="Z5281" t="str">
            <v/>
          </cell>
          <cell r="AA5281" t="str">
            <v/>
          </cell>
          <cell r="AB5281" t="str">
            <v/>
          </cell>
          <cell r="AC5281" t="str">
            <v/>
          </cell>
          <cell r="AD5281" t="str">
            <v/>
          </cell>
          <cell r="AY5281" t="str">
            <v/>
          </cell>
          <cell r="AZ5281" t="str">
            <v/>
          </cell>
          <cell r="BA5281" t="str">
            <v/>
          </cell>
        </row>
        <row r="5282">
          <cell r="B5282" t="str">
            <v>-</v>
          </cell>
          <cell r="E5282" t="str">
            <v/>
          </cell>
          <cell r="G5282" t="str">
            <v/>
          </cell>
          <cell r="J5282" t="str">
            <v/>
          </cell>
          <cell r="O5282" t="str">
            <v/>
          </cell>
          <cell r="P5282" t="str">
            <v/>
          </cell>
          <cell r="Q5282" t="str">
            <v/>
          </cell>
          <cell r="S5282" t="str">
            <v/>
          </cell>
          <cell r="V5282" t="str">
            <v/>
          </cell>
          <cell r="Z5282" t="str">
            <v/>
          </cell>
          <cell r="AA5282" t="str">
            <v/>
          </cell>
          <cell r="AB5282" t="str">
            <v/>
          </cell>
          <cell r="AC5282" t="str">
            <v/>
          </cell>
          <cell r="AD5282" t="str">
            <v/>
          </cell>
          <cell r="AY5282" t="str">
            <v/>
          </cell>
          <cell r="AZ5282" t="str">
            <v/>
          </cell>
          <cell r="BA5282" t="str">
            <v/>
          </cell>
        </row>
        <row r="5283">
          <cell r="B5283" t="str">
            <v>-</v>
          </cell>
          <cell r="E5283" t="str">
            <v/>
          </cell>
          <cell r="G5283" t="str">
            <v/>
          </cell>
          <cell r="J5283" t="str">
            <v/>
          </cell>
          <cell r="O5283" t="str">
            <v/>
          </cell>
          <cell r="P5283" t="str">
            <v/>
          </cell>
          <cell r="Q5283" t="str">
            <v/>
          </cell>
          <cell r="S5283" t="str">
            <v/>
          </cell>
          <cell r="V5283" t="str">
            <v/>
          </cell>
          <cell r="Z5283" t="str">
            <v/>
          </cell>
          <cell r="AA5283" t="str">
            <v/>
          </cell>
          <cell r="AB5283" t="str">
            <v/>
          </cell>
          <cell r="AC5283" t="str">
            <v/>
          </cell>
          <cell r="AD5283" t="str">
            <v/>
          </cell>
          <cell r="AY5283" t="str">
            <v/>
          </cell>
          <cell r="AZ5283" t="str">
            <v/>
          </cell>
          <cell r="BA5283" t="str">
            <v/>
          </cell>
        </row>
        <row r="5284">
          <cell r="B5284" t="str">
            <v>-</v>
          </cell>
          <cell r="E5284" t="str">
            <v/>
          </cell>
          <cell r="G5284" t="str">
            <v/>
          </cell>
          <cell r="J5284" t="str">
            <v/>
          </cell>
          <cell r="O5284" t="str">
            <v/>
          </cell>
          <cell r="P5284" t="str">
            <v/>
          </cell>
          <cell r="Q5284" t="str">
            <v/>
          </cell>
          <cell r="S5284" t="str">
            <v/>
          </cell>
          <cell r="V5284" t="str">
            <v/>
          </cell>
          <cell r="Z5284" t="str">
            <v/>
          </cell>
          <cell r="AA5284" t="str">
            <v/>
          </cell>
          <cell r="AB5284" t="str">
            <v/>
          </cell>
          <cell r="AC5284" t="str">
            <v/>
          </cell>
          <cell r="AD5284" t="str">
            <v/>
          </cell>
          <cell r="AY5284" t="str">
            <v/>
          </cell>
          <cell r="AZ5284" t="str">
            <v/>
          </cell>
          <cell r="BA5284" t="str">
            <v/>
          </cell>
        </row>
        <row r="5285">
          <cell r="B5285" t="str">
            <v>-</v>
          </cell>
          <cell r="E5285" t="str">
            <v/>
          </cell>
          <cell r="G5285" t="str">
            <v/>
          </cell>
          <cell r="J5285" t="str">
            <v/>
          </cell>
          <cell r="O5285" t="str">
            <v/>
          </cell>
          <cell r="P5285" t="str">
            <v/>
          </cell>
          <cell r="Q5285" t="str">
            <v/>
          </cell>
          <cell r="S5285" t="str">
            <v/>
          </cell>
          <cell r="V5285" t="str">
            <v/>
          </cell>
          <cell r="Z5285" t="str">
            <v/>
          </cell>
          <cell r="AA5285" t="str">
            <v/>
          </cell>
          <cell r="AB5285" t="str">
            <v/>
          </cell>
          <cell r="AC5285" t="str">
            <v/>
          </cell>
          <cell r="AD5285" t="str">
            <v/>
          </cell>
          <cell r="AY5285" t="str">
            <v/>
          </cell>
          <cell r="AZ5285" t="str">
            <v/>
          </cell>
          <cell r="BA5285" t="str">
            <v/>
          </cell>
        </row>
        <row r="5286">
          <cell r="B5286" t="str">
            <v>-</v>
          </cell>
          <cell r="E5286" t="str">
            <v/>
          </cell>
          <cell r="G5286" t="str">
            <v/>
          </cell>
          <cell r="J5286" t="str">
            <v/>
          </cell>
          <cell r="O5286" t="str">
            <v/>
          </cell>
          <cell r="P5286" t="str">
            <v/>
          </cell>
          <cell r="Q5286" t="str">
            <v/>
          </cell>
          <cell r="S5286" t="str">
            <v/>
          </cell>
          <cell r="V5286" t="str">
            <v/>
          </cell>
          <cell r="Z5286" t="str">
            <v/>
          </cell>
          <cell r="AA5286" t="str">
            <v/>
          </cell>
          <cell r="AB5286" t="str">
            <v/>
          </cell>
          <cell r="AC5286" t="str">
            <v/>
          </cell>
          <cell r="AD5286" t="str">
            <v/>
          </cell>
          <cell r="AY5286" t="str">
            <v/>
          </cell>
          <cell r="AZ5286" t="str">
            <v/>
          </cell>
          <cell r="BA5286" t="str">
            <v/>
          </cell>
        </row>
        <row r="5287">
          <cell r="B5287" t="str">
            <v>-</v>
          </cell>
          <cell r="E5287" t="str">
            <v/>
          </cell>
          <cell r="G5287" t="str">
            <v/>
          </cell>
          <cell r="J5287" t="str">
            <v/>
          </cell>
          <cell r="O5287" t="str">
            <v/>
          </cell>
          <cell r="P5287" t="str">
            <v/>
          </cell>
          <cell r="Q5287" t="str">
            <v/>
          </cell>
          <cell r="S5287" t="str">
            <v/>
          </cell>
          <cell r="V5287" t="str">
            <v/>
          </cell>
          <cell r="Z5287" t="str">
            <v/>
          </cell>
          <cell r="AA5287" t="str">
            <v/>
          </cell>
          <cell r="AB5287" t="str">
            <v/>
          </cell>
          <cell r="AC5287" t="str">
            <v/>
          </cell>
          <cell r="AD5287" t="str">
            <v/>
          </cell>
          <cell r="AY5287" t="str">
            <v/>
          </cell>
          <cell r="AZ5287" t="str">
            <v/>
          </cell>
          <cell r="BA5287" t="str">
            <v/>
          </cell>
        </row>
        <row r="5288">
          <cell r="B5288" t="str">
            <v>-</v>
          </cell>
          <cell r="E5288" t="str">
            <v/>
          </cell>
          <cell r="G5288" t="str">
            <v/>
          </cell>
          <cell r="J5288" t="str">
            <v/>
          </cell>
          <cell r="O5288" t="str">
            <v/>
          </cell>
          <cell r="P5288" t="str">
            <v/>
          </cell>
          <cell r="Q5288" t="str">
            <v/>
          </cell>
          <cell r="S5288" t="str">
            <v/>
          </cell>
          <cell r="V5288" t="str">
            <v/>
          </cell>
          <cell r="Z5288" t="str">
            <v/>
          </cell>
          <cell r="AA5288" t="str">
            <v/>
          </cell>
          <cell r="AB5288" t="str">
            <v/>
          </cell>
          <cell r="AC5288" t="str">
            <v/>
          </cell>
          <cell r="AD5288" t="str">
            <v/>
          </cell>
          <cell r="AY5288" t="str">
            <v/>
          </cell>
          <cell r="AZ5288" t="str">
            <v/>
          </cell>
          <cell r="BA5288" t="str">
            <v/>
          </cell>
        </row>
        <row r="5289">
          <cell r="B5289" t="str">
            <v>-</v>
          </cell>
          <cell r="E5289" t="str">
            <v/>
          </cell>
          <cell r="G5289" t="str">
            <v/>
          </cell>
          <cell r="J5289" t="str">
            <v/>
          </cell>
          <cell r="O5289" t="str">
            <v/>
          </cell>
          <cell r="P5289" t="str">
            <v/>
          </cell>
          <cell r="Q5289" t="str">
            <v/>
          </cell>
          <cell r="S5289" t="str">
            <v/>
          </cell>
          <cell r="V5289" t="str">
            <v/>
          </cell>
          <cell r="Z5289" t="str">
            <v/>
          </cell>
          <cell r="AA5289" t="str">
            <v/>
          </cell>
          <cell r="AB5289" t="str">
            <v/>
          </cell>
          <cell r="AC5289" t="str">
            <v/>
          </cell>
          <cell r="AD5289" t="str">
            <v/>
          </cell>
          <cell r="AY5289" t="str">
            <v/>
          </cell>
          <cell r="AZ5289" t="str">
            <v/>
          </cell>
          <cell r="BA5289" t="str">
            <v/>
          </cell>
        </row>
        <row r="5290">
          <cell r="B5290" t="str">
            <v>-</v>
          </cell>
          <cell r="E5290" t="str">
            <v/>
          </cell>
          <cell r="G5290" t="str">
            <v/>
          </cell>
          <cell r="J5290" t="str">
            <v/>
          </cell>
          <cell r="O5290" t="str">
            <v/>
          </cell>
          <cell r="P5290" t="str">
            <v/>
          </cell>
          <cell r="Q5290" t="str">
            <v/>
          </cell>
          <cell r="S5290" t="str">
            <v/>
          </cell>
          <cell r="V5290" t="str">
            <v/>
          </cell>
          <cell r="Z5290" t="str">
            <v/>
          </cell>
          <cell r="AA5290" t="str">
            <v/>
          </cell>
          <cell r="AB5290" t="str">
            <v/>
          </cell>
          <cell r="AC5290" t="str">
            <v/>
          </cell>
          <cell r="AD5290" t="str">
            <v/>
          </cell>
          <cell r="AY5290" t="str">
            <v/>
          </cell>
          <cell r="AZ5290" t="str">
            <v/>
          </cell>
          <cell r="BA5290" t="str">
            <v/>
          </cell>
        </row>
        <row r="5291">
          <cell r="B5291" t="str">
            <v>-</v>
          </cell>
          <cell r="E5291" t="str">
            <v/>
          </cell>
          <cell r="G5291" t="str">
            <v/>
          </cell>
          <cell r="J5291" t="str">
            <v/>
          </cell>
          <cell r="O5291" t="str">
            <v/>
          </cell>
          <cell r="P5291" t="str">
            <v/>
          </cell>
          <cell r="Q5291" t="str">
            <v/>
          </cell>
          <cell r="S5291" t="str">
            <v/>
          </cell>
          <cell r="V5291" t="str">
            <v/>
          </cell>
          <cell r="Z5291" t="str">
            <v/>
          </cell>
          <cell r="AA5291" t="str">
            <v/>
          </cell>
          <cell r="AB5291" t="str">
            <v/>
          </cell>
          <cell r="AC5291" t="str">
            <v/>
          </cell>
          <cell r="AD5291" t="str">
            <v/>
          </cell>
          <cell r="AY5291" t="str">
            <v/>
          </cell>
          <cell r="AZ5291" t="str">
            <v/>
          </cell>
          <cell r="BA5291" t="str">
            <v/>
          </cell>
        </row>
        <row r="5292">
          <cell r="B5292" t="str">
            <v>-</v>
          </cell>
          <cell r="E5292" t="str">
            <v/>
          </cell>
          <cell r="G5292" t="str">
            <v/>
          </cell>
          <cell r="J5292" t="str">
            <v/>
          </cell>
          <cell r="O5292" t="str">
            <v/>
          </cell>
          <cell r="P5292" t="str">
            <v/>
          </cell>
          <cell r="Q5292" t="str">
            <v/>
          </cell>
          <cell r="S5292" t="str">
            <v/>
          </cell>
          <cell r="V5292" t="str">
            <v/>
          </cell>
          <cell r="Z5292" t="str">
            <v/>
          </cell>
          <cell r="AA5292" t="str">
            <v/>
          </cell>
          <cell r="AB5292" t="str">
            <v/>
          </cell>
          <cell r="AC5292" t="str">
            <v/>
          </cell>
          <cell r="AD5292" t="str">
            <v/>
          </cell>
          <cell r="AY5292" t="str">
            <v/>
          </cell>
          <cell r="AZ5292" t="str">
            <v/>
          </cell>
          <cell r="BA5292" t="str">
            <v/>
          </cell>
        </row>
        <row r="5293">
          <cell r="B5293" t="str">
            <v>-</v>
          </cell>
          <cell r="E5293" t="str">
            <v/>
          </cell>
          <cell r="G5293" t="str">
            <v/>
          </cell>
          <cell r="J5293" t="str">
            <v/>
          </cell>
          <cell r="O5293" t="str">
            <v/>
          </cell>
          <cell r="P5293" t="str">
            <v/>
          </cell>
          <cell r="Q5293" t="str">
            <v/>
          </cell>
          <cell r="S5293" t="str">
            <v/>
          </cell>
          <cell r="V5293" t="str">
            <v/>
          </cell>
          <cell r="Z5293" t="str">
            <v/>
          </cell>
          <cell r="AA5293" t="str">
            <v/>
          </cell>
          <cell r="AB5293" t="str">
            <v/>
          </cell>
          <cell r="AC5293" t="str">
            <v/>
          </cell>
          <cell r="AD5293" t="str">
            <v/>
          </cell>
          <cell r="AY5293" t="str">
            <v/>
          </cell>
          <cell r="AZ5293" t="str">
            <v/>
          </cell>
          <cell r="BA5293" t="str">
            <v/>
          </cell>
        </row>
        <row r="5294">
          <cell r="B5294" t="str">
            <v>-</v>
          </cell>
          <cell r="E5294" t="str">
            <v/>
          </cell>
          <cell r="G5294" t="str">
            <v/>
          </cell>
          <cell r="J5294" t="str">
            <v/>
          </cell>
          <cell r="O5294" t="str">
            <v/>
          </cell>
          <cell r="P5294" t="str">
            <v/>
          </cell>
          <cell r="Q5294" t="str">
            <v/>
          </cell>
          <cell r="S5294" t="str">
            <v/>
          </cell>
          <cell r="V5294" t="str">
            <v/>
          </cell>
          <cell r="Z5294" t="str">
            <v/>
          </cell>
          <cell r="AA5294" t="str">
            <v/>
          </cell>
          <cell r="AB5294" t="str">
            <v/>
          </cell>
          <cell r="AC5294" t="str">
            <v/>
          </cell>
          <cell r="AD5294" t="str">
            <v/>
          </cell>
          <cell r="AY5294" t="str">
            <v/>
          </cell>
          <cell r="AZ5294" t="str">
            <v/>
          </cell>
          <cell r="BA5294" t="str">
            <v/>
          </cell>
        </row>
        <row r="5295">
          <cell r="B5295" t="str">
            <v>-</v>
          </cell>
          <cell r="E5295" t="str">
            <v/>
          </cell>
          <cell r="G5295" t="str">
            <v/>
          </cell>
          <cell r="J5295" t="str">
            <v/>
          </cell>
          <cell r="O5295" t="str">
            <v/>
          </cell>
          <cell r="P5295" t="str">
            <v/>
          </cell>
          <cell r="Q5295" t="str">
            <v/>
          </cell>
          <cell r="S5295" t="str">
            <v/>
          </cell>
          <cell r="V5295" t="str">
            <v/>
          </cell>
          <cell r="Z5295" t="str">
            <v/>
          </cell>
          <cell r="AA5295" t="str">
            <v/>
          </cell>
          <cell r="AB5295" t="str">
            <v/>
          </cell>
          <cell r="AC5295" t="str">
            <v/>
          </cell>
          <cell r="AD5295" t="str">
            <v/>
          </cell>
          <cell r="AY5295" t="str">
            <v/>
          </cell>
          <cell r="AZ5295" t="str">
            <v/>
          </cell>
          <cell r="BA5295" t="str">
            <v/>
          </cell>
        </row>
        <row r="5296">
          <cell r="B5296" t="str">
            <v>-</v>
          </cell>
          <cell r="E5296" t="str">
            <v/>
          </cell>
          <cell r="G5296" t="str">
            <v/>
          </cell>
          <cell r="J5296" t="str">
            <v/>
          </cell>
          <cell r="O5296" t="str">
            <v/>
          </cell>
          <cell r="P5296" t="str">
            <v/>
          </cell>
          <cell r="Q5296" t="str">
            <v/>
          </cell>
          <cell r="S5296" t="str">
            <v/>
          </cell>
          <cell r="V5296" t="str">
            <v/>
          </cell>
          <cell r="Z5296" t="str">
            <v/>
          </cell>
          <cell r="AA5296" t="str">
            <v/>
          </cell>
          <cell r="AB5296" t="str">
            <v/>
          </cell>
          <cell r="AC5296" t="str">
            <v/>
          </cell>
          <cell r="AD5296" t="str">
            <v/>
          </cell>
          <cell r="AY5296" t="str">
            <v/>
          </cell>
          <cell r="AZ5296" t="str">
            <v/>
          </cell>
          <cell r="BA5296" t="str">
            <v/>
          </cell>
        </row>
        <row r="5297">
          <cell r="B5297" t="str">
            <v>-</v>
          </cell>
          <cell r="E5297" t="str">
            <v/>
          </cell>
          <cell r="G5297" t="str">
            <v/>
          </cell>
          <cell r="J5297" t="str">
            <v/>
          </cell>
          <cell r="O5297" t="str">
            <v/>
          </cell>
          <cell r="P5297" t="str">
            <v/>
          </cell>
          <cell r="Q5297" t="str">
            <v/>
          </cell>
          <cell r="S5297" t="str">
            <v/>
          </cell>
          <cell r="V5297" t="str">
            <v/>
          </cell>
          <cell r="Z5297" t="str">
            <v/>
          </cell>
          <cell r="AA5297" t="str">
            <v/>
          </cell>
          <cell r="AB5297" t="str">
            <v/>
          </cell>
          <cell r="AC5297" t="str">
            <v/>
          </cell>
          <cell r="AD5297" t="str">
            <v/>
          </cell>
          <cell r="AY5297" t="str">
            <v/>
          </cell>
          <cell r="AZ5297" t="str">
            <v/>
          </cell>
          <cell r="BA5297" t="str">
            <v/>
          </cell>
        </row>
        <row r="5298">
          <cell r="B5298" t="str">
            <v>-</v>
          </cell>
          <cell r="E5298" t="str">
            <v/>
          </cell>
          <cell r="G5298" t="str">
            <v/>
          </cell>
          <cell r="J5298" t="str">
            <v/>
          </cell>
          <cell r="O5298" t="str">
            <v/>
          </cell>
          <cell r="P5298" t="str">
            <v/>
          </cell>
          <cell r="Q5298" t="str">
            <v/>
          </cell>
          <cell r="S5298" t="str">
            <v/>
          </cell>
          <cell r="V5298" t="str">
            <v/>
          </cell>
          <cell r="Z5298" t="str">
            <v/>
          </cell>
          <cell r="AA5298" t="str">
            <v/>
          </cell>
          <cell r="AB5298" t="str">
            <v/>
          </cell>
          <cell r="AC5298" t="str">
            <v/>
          </cell>
          <cell r="AD5298" t="str">
            <v/>
          </cell>
          <cell r="AY5298" t="str">
            <v/>
          </cell>
          <cell r="AZ5298" t="str">
            <v/>
          </cell>
          <cell r="BA5298" t="str">
            <v/>
          </cell>
        </row>
        <row r="5299">
          <cell r="B5299" t="str">
            <v>-</v>
          </cell>
          <cell r="E5299" t="str">
            <v/>
          </cell>
          <cell r="G5299" t="str">
            <v/>
          </cell>
          <cell r="J5299" t="str">
            <v/>
          </cell>
          <cell r="O5299" t="str">
            <v/>
          </cell>
          <cell r="P5299" t="str">
            <v/>
          </cell>
          <cell r="Q5299" t="str">
            <v/>
          </cell>
          <cell r="S5299" t="str">
            <v/>
          </cell>
          <cell r="V5299" t="str">
            <v/>
          </cell>
          <cell r="Z5299" t="str">
            <v/>
          </cell>
          <cell r="AA5299" t="str">
            <v/>
          </cell>
          <cell r="AB5299" t="str">
            <v/>
          </cell>
          <cell r="AC5299" t="str">
            <v/>
          </cell>
          <cell r="AD5299" t="str">
            <v/>
          </cell>
          <cell r="AY5299" t="str">
            <v/>
          </cell>
          <cell r="AZ5299" t="str">
            <v/>
          </cell>
          <cell r="BA5299" t="str">
            <v/>
          </cell>
        </row>
        <row r="5300">
          <cell r="B5300" t="str">
            <v>-</v>
          </cell>
          <cell r="E5300" t="str">
            <v/>
          </cell>
          <cell r="G5300" t="str">
            <v/>
          </cell>
          <cell r="J5300" t="str">
            <v/>
          </cell>
          <cell r="O5300" t="str">
            <v/>
          </cell>
          <cell r="P5300" t="str">
            <v/>
          </cell>
          <cell r="Q5300" t="str">
            <v/>
          </cell>
          <cell r="S5300" t="str">
            <v/>
          </cell>
          <cell r="V5300" t="str">
            <v/>
          </cell>
          <cell r="Z5300" t="str">
            <v/>
          </cell>
          <cell r="AA5300" t="str">
            <v/>
          </cell>
          <cell r="AB5300" t="str">
            <v/>
          </cell>
          <cell r="AC5300" t="str">
            <v/>
          </cell>
          <cell r="AD5300" t="str">
            <v/>
          </cell>
          <cell r="AY5300" t="str">
            <v/>
          </cell>
          <cell r="AZ5300" t="str">
            <v/>
          </cell>
          <cell r="BA5300" t="str">
            <v/>
          </cell>
        </row>
        <row r="5301">
          <cell r="B5301" t="str">
            <v>-</v>
          </cell>
          <cell r="E5301" t="str">
            <v/>
          </cell>
          <cell r="G5301" t="str">
            <v/>
          </cell>
          <cell r="J5301" t="str">
            <v/>
          </cell>
          <cell r="O5301" t="str">
            <v/>
          </cell>
          <cell r="P5301" t="str">
            <v/>
          </cell>
          <cell r="Q5301" t="str">
            <v/>
          </cell>
          <cell r="S5301" t="str">
            <v/>
          </cell>
          <cell r="V5301" t="str">
            <v/>
          </cell>
          <cell r="Z5301" t="str">
            <v/>
          </cell>
          <cell r="AA5301" t="str">
            <v/>
          </cell>
          <cell r="AB5301" t="str">
            <v/>
          </cell>
          <cell r="AC5301" t="str">
            <v/>
          </cell>
          <cell r="AD5301" t="str">
            <v/>
          </cell>
          <cell r="AY5301" t="str">
            <v/>
          </cell>
          <cell r="AZ5301" t="str">
            <v/>
          </cell>
          <cell r="BA5301" t="str">
            <v/>
          </cell>
        </row>
        <row r="5302">
          <cell r="B5302" t="str">
            <v>-</v>
          </cell>
          <cell r="E5302" t="str">
            <v/>
          </cell>
          <cell r="G5302" t="str">
            <v/>
          </cell>
          <cell r="J5302" t="str">
            <v/>
          </cell>
          <cell r="O5302" t="str">
            <v/>
          </cell>
          <cell r="P5302" t="str">
            <v/>
          </cell>
          <cell r="Q5302" t="str">
            <v/>
          </cell>
          <cell r="S5302" t="str">
            <v/>
          </cell>
          <cell r="V5302" t="str">
            <v/>
          </cell>
          <cell r="Z5302" t="str">
            <v/>
          </cell>
          <cell r="AA5302" t="str">
            <v/>
          </cell>
          <cell r="AB5302" t="str">
            <v/>
          </cell>
          <cell r="AC5302" t="str">
            <v/>
          </cell>
          <cell r="AD5302" t="str">
            <v/>
          </cell>
          <cell r="AY5302" t="str">
            <v/>
          </cell>
          <cell r="AZ5302" t="str">
            <v/>
          </cell>
          <cell r="BA5302" t="str">
            <v/>
          </cell>
        </row>
        <row r="5303">
          <cell r="B5303" t="str">
            <v>-</v>
          </cell>
          <cell r="E5303" t="str">
            <v/>
          </cell>
          <cell r="G5303" t="str">
            <v/>
          </cell>
          <cell r="J5303" t="str">
            <v/>
          </cell>
          <cell r="O5303" t="str">
            <v/>
          </cell>
          <cell r="P5303" t="str">
            <v/>
          </cell>
          <cell r="Q5303" t="str">
            <v/>
          </cell>
          <cell r="S5303" t="str">
            <v/>
          </cell>
          <cell r="V5303" t="str">
            <v/>
          </cell>
          <cell r="Z5303" t="str">
            <v/>
          </cell>
          <cell r="AA5303" t="str">
            <v/>
          </cell>
          <cell r="AB5303" t="str">
            <v/>
          </cell>
          <cell r="AC5303" t="str">
            <v/>
          </cell>
          <cell r="AD5303" t="str">
            <v/>
          </cell>
          <cell r="AY5303" t="str">
            <v/>
          </cell>
          <cell r="AZ5303" t="str">
            <v/>
          </cell>
          <cell r="BA5303" t="str">
            <v/>
          </cell>
        </row>
        <row r="5304">
          <cell r="B5304" t="str">
            <v>-</v>
          </cell>
          <cell r="E5304" t="str">
            <v/>
          </cell>
          <cell r="G5304" t="str">
            <v/>
          </cell>
          <cell r="J5304" t="str">
            <v/>
          </cell>
          <cell r="O5304" t="str">
            <v/>
          </cell>
          <cell r="P5304" t="str">
            <v/>
          </cell>
          <cell r="Q5304" t="str">
            <v/>
          </cell>
          <cell r="S5304" t="str">
            <v/>
          </cell>
          <cell r="V5304" t="str">
            <v/>
          </cell>
          <cell r="Z5304" t="str">
            <v/>
          </cell>
          <cell r="AA5304" t="str">
            <v/>
          </cell>
          <cell r="AB5304" t="str">
            <v/>
          </cell>
          <cell r="AC5304" t="str">
            <v/>
          </cell>
          <cell r="AD5304" t="str">
            <v/>
          </cell>
          <cell r="AY5304" t="str">
            <v/>
          </cell>
          <cell r="AZ5304" t="str">
            <v/>
          </cell>
          <cell r="BA5304" t="str">
            <v/>
          </cell>
        </row>
        <row r="5305">
          <cell r="B5305" t="str">
            <v>-</v>
          </cell>
          <cell r="E5305" t="str">
            <v/>
          </cell>
          <cell r="G5305" t="str">
            <v/>
          </cell>
          <cell r="J5305" t="str">
            <v/>
          </cell>
          <cell r="O5305" t="str">
            <v/>
          </cell>
          <cell r="P5305" t="str">
            <v/>
          </cell>
          <cell r="Q5305" t="str">
            <v/>
          </cell>
          <cell r="S5305" t="str">
            <v/>
          </cell>
          <cell r="V5305" t="str">
            <v/>
          </cell>
          <cell r="Z5305" t="str">
            <v/>
          </cell>
          <cell r="AA5305" t="str">
            <v/>
          </cell>
          <cell r="AB5305" t="str">
            <v/>
          </cell>
          <cell r="AC5305" t="str">
            <v/>
          </cell>
          <cell r="AD5305" t="str">
            <v/>
          </cell>
          <cell r="AY5305" t="str">
            <v/>
          </cell>
          <cell r="AZ5305" t="str">
            <v/>
          </cell>
          <cell r="BA5305" t="str">
            <v/>
          </cell>
        </row>
        <row r="5306">
          <cell r="B5306" t="str">
            <v>-</v>
          </cell>
          <cell r="E5306" t="str">
            <v/>
          </cell>
          <cell r="G5306" t="str">
            <v/>
          </cell>
          <cell r="J5306" t="str">
            <v/>
          </cell>
          <cell r="O5306" t="str">
            <v/>
          </cell>
          <cell r="P5306" t="str">
            <v/>
          </cell>
          <cell r="Q5306" t="str">
            <v/>
          </cell>
          <cell r="S5306" t="str">
            <v/>
          </cell>
          <cell r="V5306" t="str">
            <v/>
          </cell>
          <cell r="Z5306" t="str">
            <v/>
          </cell>
          <cell r="AA5306" t="str">
            <v/>
          </cell>
          <cell r="AB5306" t="str">
            <v/>
          </cell>
          <cell r="AC5306" t="str">
            <v/>
          </cell>
          <cell r="AD5306" t="str">
            <v/>
          </cell>
          <cell r="AY5306" t="str">
            <v/>
          </cell>
          <cell r="AZ5306" t="str">
            <v/>
          </cell>
          <cell r="BA5306" t="str">
            <v/>
          </cell>
        </row>
        <row r="5307">
          <cell r="B5307" t="str">
            <v>-</v>
          </cell>
          <cell r="E5307" t="str">
            <v/>
          </cell>
          <cell r="G5307" t="str">
            <v/>
          </cell>
          <cell r="J5307" t="str">
            <v/>
          </cell>
          <cell r="O5307" t="str">
            <v/>
          </cell>
          <cell r="P5307" t="str">
            <v/>
          </cell>
          <cell r="Q5307" t="str">
            <v/>
          </cell>
          <cell r="S5307" t="str">
            <v/>
          </cell>
          <cell r="V5307" t="str">
            <v/>
          </cell>
          <cell r="Z5307" t="str">
            <v/>
          </cell>
          <cell r="AA5307" t="str">
            <v/>
          </cell>
          <cell r="AB5307" t="str">
            <v/>
          </cell>
          <cell r="AC5307" t="str">
            <v/>
          </cell>
          <cell r="AD5307" t="str">
            <v/>
          </cell>
          <cell r="AY5307" t="str">
            <v/>
          </cell>
          <cell r="AZ5307" t="str">
            <v/>
          </cell>
          <cell r="BA5307" t="str">
            <v/>
          </cell>
        </row>
        <row r="5308">
          <cell r="B5308" t="str">
            <v>-</v>
          </cell>
          <cell r="E5308" t="str">
            <v/>
          </cell>
          <cell r="G5308" t="str">
            <v/>
          </cell>
          <cell r="J5308" t="str">
            <v/>
          </cell>
          <cell r="O5308" t="str">
            <v/>
          </cell>
          <cell r="P5308" t="str">
            <v/>
          </cell>
          <cell r="Q5308" t="str">
            <v/>
          </cell>
          <cell r="S5308" t="str">
            <v/>
          </cell>
          <cell r="V5308" t="str">
            <v/>
          </cell>
          <cell r="Z5308" t="str">
            <v/>
          </cell>
          <cell r="AA5308" t="str">
            <v/>
          </cell>
          <cell r="AB5308" t="str">
            <v/>
          </cell>
          <cell r="AC5308" t="str">
            <v/>
          </cell>
          <cell r="AD5308" t="str">
            <v/>
          </cell>
          <cell r="AY5308" t="str">
            <v/>
          </cell>
          <cell r="AZ5308" t="str">
            <v/>
          </cell>
          <cell r="BA5308" t="str">
            <v/>
          </cell>
        </row>
        <row r="5309">
          <cell r="B5309" t="str">
            <v>-</v>
          </cell>
          <cell r="E5309" t="str">
            <v/>
          </cell>
          <cell r="G5309" t="str">
            <v/>
          </cell>
          <cell r="J5309" t="str">
            <v/>
          </cell>
          <cell r="O5309" t="str">
            <v/>
          </cell>
          <cell r="P5309" t="str">
            <v/>
          </cell>
          <cell r="Q5309" t="str">
            <v/>
          </cell>
          <cell r="S5309" t="str">
            <v/>
          </cell>
          <cell r="V5309" t="str">
            <v/>
          </cell>
          <cell r="Z5309" t="str">
            <v/>
          </cell>
          <cell r="AA5309" t="str">
            <v/>
          </cell>
          <cell r="AB5309" t="str">
            <v/>
          </cell>
          <cell r="AC5309" t="str">
            <v/>
          </cell>
          <cell r="AD5309" t="str">
            <v/>
          </cell>
          <cell r="AY5309" t="str">
            <v/>
          </cell>
          <cell r="AZ5309" t="str">
            <v/>
          </cell>
          <cell r="BA5309" t="str">
            <v/>
          </cell>
        </row>
        <row r="5310">
          <cell r="B5310" t="str">
            <v>-</v>
          </cell>
          <cell r="E5310" t="str">
            <v/>
          </cell>
          <cell r="G5310" t="str">
            <v/>
          </cell>
          <cell r="J5310" t="str">
            <v/>
          </cell>
          <cell r="O5310" t="str">
            <v/>
          </cell>
          <cell r="P5310" t="str">
            <v/>
          </cell>
          <cell r="Q5310" t="str">
            <v/>
          </cell>
          <cell r="S5310" t="str">
            <v/>
          </cell>
          <cell r="V5310" t="str">
            <v/>
          </cell>
          <cell r="Z5310" t="str">
            <v/>
          </cell>
          <cell r="AA5310" t="str">
            <v/>
          </cell>
          <cell r="AB5310" t="str">
            <v/>
          </cell>
          <cell r="AC5310" t="str">
            <v/>
          </cell>
          <cell r="AD5310" t="str">
            <v/>
          </cell>
          <cell r="AY5310" t="str">
            <v/>
          </cell>
          <cell r="AZ5310" t="str">
            <v/>
          </cell>
          <cell r="BA5310" t="str">
            <v/>
          </cell>
        </row>
        <row r="5311">
          <cell r="B5311" t="str">
            <v>-</v>
          </cell>
          <cell r="E5311" t="str">
            <v/>
          </cell>
          <cell r="G5311" t="str">
            <v/>
          </cell>
          <cell r="J5311" t="str">
            <v/>
          </cell>
          <cell r="O5311" t="str">
            <v/>
          </cell>
          <cell r="P5311" t="str">
            <v/>
          </cell>
          <cell r="Q5311" t="str">
            <v/>
          </cell>
          <cell r="S5311" t="str">
            <v/>
          </cell>
          <cell r="V5311" t="str">
            <v/>
          </cell>
          <cell r="Z5311" t="str">
            <v/>
          </cell>
          <cell r="AA5311" t="str">
            <v/>
          </cell>
          <cell r="AB5311" t="str">
            <v/>
          </cell>
          <cell r="AC5311" t="str">
            <v/>
          </cell>
          <cell r="AD5311" t="str">
            <v/>
          </cell>
          <cell r="AY5311" t="str">
            <v/>
          </cell>
          <cell r="AZ5311" t="str">
            <v/>
          </cell>
          <cell r="BA5311" t="str">
            <v/>
          </cell>
        </row>
        <row r="5312">
          <cell r="B5312" t="str">
            <v>-</v>
          </cell>
          <cell r="E5312" t="str">
            <v/>
          </cell>
          <cell r="G5312" t="str">
            <v/>
          </cell>
          <cell r="J5312" t="str">
            <v/>
          </cell>
          <cell r="O5312" t="str">
            <v/>
          </cell>
          <cell r="P5312" t="str">
            <v/>
          </cell>
          <cell r="Q5312" t="str">
            <v/>
          </cell>
          <cell r="S5312" t="str">
            <v/>
          </cell>
          <cell r="V5312" t="str">
            <v/>
          </cell>
          <cell r="Z5312" t="str">
            <v/>
          </cell>
          <cell r="AA5312" t="str">
            <v/>
          </cell>
          <cell r="AB5312" t="str">
            <v/>
          </cell>
          <cell r="AC5312" t="str">
            <v/>
          </cell>
          <cell r="AD5312" t="str">
            <v/>
          </cell>
          <cell r="AY5312" t="str">
            <v/>
          </cell>
          <cell r="AZ5312" t="str">
            <v/>
          </cell>
          <cell r="BA5312" t="str">
            <v/>
          </cell>
        </row>
        <row r="5313">
          <cell r="B5313" t="str">
            <v>-</v>
          </cell>
          <cell r="E5313" t="str">
            <v/>
          </cell>
          <cell r="G5313" t="str">
            <v/>
          </cell>
          <cell r="J5313" t="str">
            <v/>
          </cell>
          <cell r="O5313" t="str">
            <v/>
          </cell>
          <cell r="P5313" t="str">
            <v/>
          </cell>
          <cell r="Q5313" t="str">
            <v/>
          </cell>
          <cell r="S5313" t="str">
            <v/>
          </cell>
          <cell r="V5313" t="str">
            <v/>
          </cell>
          <cell r="Z5313" t="str">
            <v/>
          </cell>
          <cell r="AA5313" t="str">
            <v/>
          </cell>
          <cell r="AB5313" t="str">
            <v/>
          </cell>
          <cell r="AC5313" t="str">
            <v/>
          </cell>
          <cell r="AD5313" t="str">
            <v/>
          </cell>
          <cell r="AY5313" t="str">
            <v/>
          </cell>
          <cell r="AZ5313" t="str">
            <v/>
          </cell>
          <cell r="BA5313" t="str">
            <v/>
          </cell>
        </row>
        <row r="5314">
          <cell r="B5314" t="str">
            <v>-</v>
          </cell>
          <cell r="E5314" t="str">
            <v/>
          </cell>
          <cell r="G5314" t="str">
            <v/>
          </cell>
          <cell r="J5314" t="str">
            <v/>
          </cell>
          <cell r="O5314" t="str">
            <v/>
          </cell>
          <cell r="P5314" t="str">
            <v/>
          </cell>
          <cell r="Q5314" t="str">
            <v/>
          </cell>
          <cell r="S5314" t="str">
            <v/>
          </cell>
          <cell r="V5314" t="str">
            <v/>
          </cell>
          <cell r="Z5314" t="str">
            <v/>
          </cell>
          <cell r="AA5314" t="str">
            <v/>
          </cell>
          <cell r="AB5314" t="str">
            <v/>
          </cell>
          <cell r="AC5314" t="str">
            <v/>
          </cell>
          <cell r="AD5314" t="str">
            <v/>
          </cell>
          <cell r="AY5314" t="str">
            <v/>
          </cell>
          <cell r="AZ5314" t="str">
            <v/>
          </cell>
          <cell r="BA5314" t="str">
            <v/>
          </cell>
        </row>
        <row r="5315">
          <cell r="B5315" t="str">
            <v>-</v>
          </cell>
          <cell r="E5315" t="str">
            <v/>
          </cell>
          <cell r="G5315" t="str">
            <v/>
          </cell>
          <cell r="J5315" t="str">
            <v/>
          </cell>
          <cell r="O5315" t="str">
            <v/>
          </cell>
          <cell r="P5315" t="str">
            <v/>
          </cell>
          <cell r="Q5315" t="str">
            <v/>
          </cell>
          <cell r="S5315" t="str">
            <v/>
          </cell>
          <cell r="V5315" t="str">
            <v/>
          </cell>
          <cell r="Z5315" t="str">
            <v/>
          </cell>
          <cell r="AA5315" t="str">
            <v/>
          </cell>
          <cell r="AB5315" t="str">
            <v/>
          </cell>
          <cell r="AC5315" t="str">
            <v/>
          </cell>
          <cell r="AD5315" t="str">
            <v/>
          </cell>
          <cell r="AY5315" t="str">
            <v/>
          </cell>
          <cell r="AZ5315" t="str">
            <v/>
          </cell>
          <cell r="BA5315" t="str">
            <v/>
          </cell>
        </row>
        <row r="5316">
          <cell r="B5316" t="str">
            <v>-</v>
          </cell>
          <cell r="E5316" t="str">
            <v/>
          </cell>
          <cell r="G5316" t="str">
            <v/>
          </cell>
          <cell r="J5316" t="str">
            <v/>
          </cell>
          <cell r="O5316" t="str">
            <v/>
          </cell>
          <cell r="P5316" t="str">
            <v/>
          </cell>
          <cell r="Q5316" t="str">
            <v/>
          </cell>
          <cell r="S5316" t="str">
            <v/>
          </cell>
          <cell r="V5316" t="str">
            <v/>
          </cell>
          <cell r="Z5316" t="str">
            <v/>
          </cell>
          <cell r="AA5316" t="str">
            <v/>
          </cell>
          <cell r="AB5316" t="str">
            <v/>
          </cell>
          <cell r="AC5316" t="str">
            <v/>
          </cell>
          <cell r="AD5316" t="str">
            <v/>
          </cell>
          <cell r="AY5316" t="str">
            <v/>
          </cell>
          <cell r="AZ5316" t="str">
            <v/>
          </cell>
          <cell r="BA5316" t="str">
            <v/>
          </cell>
        </row>
        <row r="5317">
          <cell r="B5317" t="str">
            <v>-</v>
          </cell>
          <cell r="E5317" t="str">
            <v/>
          </cell>
          <cell r="G5317" t="str">
            <v/>
          </cell>
          <cell r="J5317" t="str">
            <v/>
          </cell>
          <cell r="O5317" t="str">
            <v/>
          </cell>
          <cell r="P5317" t="str">
            <v/>
          </cell>
          <cell r="Q5317" t="str">
            <v/>
          </cell>
          <cell r="S5317" t="str">
            <v/>
          </cell>
          <cell r="V5317" t="str">
            <v/>
          </cell>
          <cell r="Z5317" t="str">
            <v/>
          </cell>
          <cell r="AA5317" t="str">
            <v/>
          </cell>
          <cell r="AB5317" t="str">
            <v/>
          </cell>
          <cell r="AC5317" t="str">
            <v/>
          </cell>
          <cell r="AD5317" t="str">
            <v/>
          </cell>
          <cell r="AY5317" t="str">
            <v/>
          </cell>
          <cell r="AZ5317" t="str">
            <v/>
          </cell>
          <cell r="BA5317" t="str">
            <v/>
          </cell>
        </row>
        <row r="5318">
          <cell r="B5318" t="str">
            <v>-</v>
          </cell>
          <cell r="E5318" t="str">
            <v/>
          </cell>
          <cell r="G5318" t="str">
            <v/>
          </cell>
          <cell r="J5318" t="str">
            <v/>
          </cell>
          <cell r="O5318" t="str">
            <v/>
          </cell>
          <cell r="P5318" t="str">
            <v/>
          </cell>
          <cell r="Q5318" t="str">
            <v/>
          </cell>
          <cell r="S5318" t="str">
            <v/>
          </cell>
          <cell r="V5318" t="str">
            <v/>
          </cell>
          <cell r="Z5318" t="str">
            <v/>
          </cell>
          <cell r="AA5318" t="str">
            <v/>
          </cell>
          <cell r="AB5318" t="str">
            <v/>
          </cell>
          <cell r="AC5318" t="str">
            <v/>
          </cell>
          <cell r="AD5318" t="str">
            <v/>
          </cell>
          <cell r="AY5318" t="str">
            <v/>
          </cell>
          <cell r="AZ5318" t="str">
            <v/>
          </cell>
          <cell r="BA5318" t="str">
            <v/>
          </cell>
        </row>
        <row r="5319">
          <cell r="B5319" t="str">
            <v>-</v>
          </cell>
          <cell r="E5319" t="str">
            <v/>
          </cell>
          <cell r="G5319" t="str">
            <v/>
          </cell>
          <cell r="J5319" t="str">
            <v/>
          </cell>
          <cell r="O5319" t="str">
            <v/>
          </cell>
          <cell r="P5319" t="str">
            <v/>
          </cell>
          <cell r="Q5319" t="str">
            <v/>
          </cell>
          <cell r="S5319" t="str">
            <v/>
          </cell>
          <cell r="V5319" t="str">
            <v/>
          </cell>
          <cell r="Z5319" t="str">
            <v/>
          </cell>
          <cell r="AA5319" t="str">
            <v/>
          </cell>
          <cell r="AB5319" t="str">
            <v/>
          </cell>
          <cell r="AC5319" t="str">
            <v/>
          </cell>
          <cell r="AD5319" t="str">
            <v/>
          </cell>
          <cell r="AY5319" t="str">
            <v/>
          </cell>
          <cell r="AZ5319" t="str">
            <v/>
          </cell>
          <cell r="BA5319" t="str">
            <v/>
          </cell>
        </row>
        <row r="5320">
          <cell r="B5320" t="str">
            <v>-</v>
          </cell>
          <cell r="E5320" t="str">
            <v/>
          </cell>
          <cell r="G5320" t="str">
            <v/>
          </cell>
          <cell r="J5320" t="str">
            <v/>
          </cell>
          <cell r="O5320" t="str">
            <v/>
          </cell>
          <cell r="P5320" t="str">
            <v/>
          </cell>
          <cell r="Q5320" t="str">
            <v/>
          </cell>
          <cell r="S5320" t="str">
            <v/>
          </cell>
          <cell r="V5320" t="str">
            <v/>
          </cell>
          <cell r="Z5320" t="str">
            <v/>
          </cell>
          <cell r="AA5320" t="str">
            <v/>
          </cell>
          <cell r="AB5320" t="str">
            <v/>
          </cell>
          <cell r="AC5320" t="str">
            <v/>
          </cell>
          <cell r="AD5320" t="str">
            <v/>
          </cell>
          <cell r="AY5320" t="str">
            <v/>
          </cell>
          <cell r="AZ5320" t="str">
            <v/>
          </cell>
          <cell r="BA5320" t="str">
            <v/>
          </cell>
        </row>
        <row r="5321">
          <cell r="B5321" t="str">
            <v>-</v>
          </cell>
          <cell r="E5321" t="str">
            <v/>
          </cell>
          <cell r="G5321" t="str">
            <v/>
          </cell>
          <cell r="J5321" t="str">
            <v/>
          </cell>
          <cell r="O5321" t="str">
            <v/>
          </cell>
          <cell r="P5321" t="str">
            <v/>
          </cell>
          <cell r="Q5321" t="str">
            <v/>
          </cell>
          <cell r="S5321" t="str">
            <v/>
          </cell>
          <cell r="V5321" t="str">
            <v/>
          </cell>
          <cell r="Z5321" t="str">
            <v/>
          </cell>
          <cell r="AA5321" t="str">
            <v/>
          </cell>
          <cell r="AB5321" t="str">
            <v/>
          </cell>
          <cell r="AC5321" t="str">
            <v/>
          </cell>
          <cell r="AD5321" t="str">
            <v/>
          </cell>
          <cell r="AY5321" t="str">
            <v/>
          </cell>
          <cell r="AZ5321" t="str">
            <v/>
          </cell>
          <cell r="BA5321" t="str">
            <v/>
          </cell>
        </row>
        <row r="5322">
          <cell r="B5322" t="str">
            <v>-</v>
          </cell>
          <cell r="E5322" t="str">
            <v/>
          </cell>
          <cell r="G5322" t="str">
            <v/>
          </cell>
          <cell r="J5322" t="str">
            <v/>
          </cell>
          <cell r="O5322" t="str">
            <v/>
          </cell>
          <cell r="P5322" t="str">
            <v/>
          </cell>
          <cell r="Q5322" t="str">
            <v/>
          </cell>
          <cell r="S5322" t="str">
            <v/>
          </cell>
          <cell r="V5322" t="str">
            <v/>
          </cell>
          <cell r="Z5322" t="str">
            <v/>
          </cell>
          <cell r="AA5322" t="str">
            <v/>
          </cell>
          <cell r="AB5322" t="str">
            <v/>
          </cell>
          <cell r="AC5322" t="str">
            <v/>
          </cell>
          <cell r="AD5322" t="str">
            <v/>
          </cell>
          <cell r="AY5322" t="str">
            <v/>
          </cell>
          <cell r="AZ5322" t="str">
            <v/>
          </cell>
          <cell r="BA5322" t="str">
            <v/>
          </cell>
        </row>
        <row r="5323">
          <cell r="B5323" t="str">
            <v>-</v>
          </cell>
          <cell r="E5323" t="str">
            <v/>
          </cell>
          <cell r="G5323" t="str">
            <v/>
          </cell>
          <cell r="J5323" t="str">
            <v/>
          </cell>
          <cell r="O5323" t="str">
            <v/>
          </cell>
          <cell r="P5323" t="str">
            <v/>
          </cell>
          <cell r="Q5323" t="str">
            <v/>
          </cell>
          <cell r="S5323" t="str">
            <v/>
          </cell>
          <cell r="V5323" t="str">
            <v/>
          </cell>
          <cell r="Z5323" t="str">
            <v/>
          </cell>
          <cell r="AA5323" t="str">
            <v/>
          </cell>
          <cell r="AB5323" t="str">
            <v/>
          </cell>
          <cell r="AC5323" t="str">
            <v/>
          </cell>
          <cell r="AD5323" t="str">
            <v/>
          </cell>
          <cell r="AY5323" t="str">
            <v/>
          </cell>
          <cell r="AZ5323" t="str">
            <v/>
          </cell>
          <cell r="BA5323" t="str">
            <v/>
          </cell>
        </row>
        <row r="5324">
          <cell r="B5324" t="str">
            <v>-</v>
          </cell>
          <cell r="E5324" t="str">
            <v/>
          </cell>
          <cell r="G5324" t="str">
            <v/>
          </cell>
          <cell r="J5324" t="str">
            <v/>
          </cell>
          <cell r="O5324" t="str">
            <v/>
          </cell>
          <cell r="P5324" t="str">
            <v/>
          </cell>
          <cell r="Q5324" t="str">
            <v/>
          </cell>
          <cell r="S5324" t="str">
            <v/>
          </cell>
          <cell r="V5324" t="str">
            <v/>
          </cell>
          <cell r="Z5324" t="str">
            <v/>
          </cell>
          <cell r="AA5324" t="str">
            <v/>
          </cell>
          <cell r="AB5324" t="str">
            <v/>
          </cell>
          <cell r="AC5324" t="str">
            <v/>
          </cell>
          <cell r="AD5324" t="str">
            <v/>
          </cell>
          <cell r="AY5324" t="str">
            <v/>
          </cell>
          <cell r="AZ5324" t="str">
            <v/>
          </cell>
          <cell r="BA5324" t="str">
            <v/>
          </cell>
        </row>
        <row r="5325">
          <cell r="B5325" t="str">
            <v>-</v>
          </cell>
          <cell r="E5325" t="str">
            <v/>
          </cell>
          <cell r="G5325" t="str">
            <v/>
          </cell>
          <cell r="J5325" t="str">
            <v/>
          </cell>
          <cell r="O5325" t="str">
            <v/>
          </cell>
          <cell r="P5325" t="str">
            <v/>
          </cell>
          <cell r="Q5325" t="str">
            <v/>
          </cell>
          <cell r="S5325" t="str">
            <v/>
          </cell>
          <cell r="V5325" t="str">
            <v/>
          </cell>
          <cell r="Z5325" t="str">
            <v/>
          </cell>
          <cell r="AA5325" t="str">
            <v/>
          </cell>
          <cell r="AB5325" t="str">
            <v/>
          </cell>
          <cell r="AC5325" t="str">
            <v/>
          </cell>
          <cell r="AD5325" t="str">
            <v/>
          </cell>
          <cell r="AY5325" t="str">
            <v/>
          </cell>
          <cell r="AZ5325" t="str">
            <v/>
          </cell>
          <cell r="BA5325" t="str">
            <v/>
          </cell>
        </row>
        <row r="5326">
          <cell r="B5326" t="str">
            <v>-</v>
          </cell>
          <cell r="E5326" t="str">
            <v/>
          </cell>
          <cell r="G5326" t="str">
            <v/>
          </cell>
          <cell r="J5326" t="str">
            <v/>
          </cell>
          <cell r="O5326" t="str">
            <v/>
          </cell>
          <cell r="P5326" t="str">
            <v/>
          </cell>
          <cell r="Q5326" t="str">
            <v/>
          </cell>
          <cell r="S5326" t="str">
            <v/>
          </cell>
          <cell r="V5326" t="str">
            <v/>
          </cell>
          <cell r="Z5326" t="str">
            <v/>
          </cell>
          <cell r="AA5326" t="str">
            <v/>
          </cell>
          <cell r="AB5326" t="str">
            <v/>
          </cell>
          <cell r="AC5326" t="str">
            <v/>
          </cell>
          <cell r="AD5326" t="str">
            <v/>
          </cell>
          <cell r="AY5326" t="str">
            <v/>
          </cell>
          <cell r="AZ5326" t="str">
            <v/>
          </cell>
          <cell r="BA5326" t="str">
            <v/>
          </cell>
        </row>
        <row r="5327">
          <cell r="B5327" t="str">
            <v>-</v>
          </cell>
          <cell r="E5327" t="str">
            <v/>
          </cell>
          <cell r="G5327" t="str">
            <v/>
          </cell>
          <cell r="J5327" t="str">
            <v/>
          </cell>
          <cell r="O5327" t="str">
            <v/>
          </cell>
          <cell r="P5327" t="str">
            <v/>
          </cell>
          <cell r="Q5327" t="str">
            <v/>
          </cell>
          <cell r="S5327" t="str">
            <v/>
          </cell>
          <cell r="V5327" t="str">
            <v/>
          </cell>
          <cell r="Z5327" t="str">
            <v/>
          </cell>
          <cell r="AA5327" t="str">
            <v/>
          </cell>
          <cell r="AB5327" t="str">
            <v/>
          </cell>
          <cell r="AC5327" t="str">
            <v/>
          </cell>
          <cell r="AD5327" t="str">
            <v/>
          </cell>
          <cell r="AY5327" t="str">
            <v/>
          </cell>
          <cell r="AZ5327" t="str">
            <v/>
          </cell>
          <cell r="BA5327" t="str">
            <v/>
          </cell>
        </row>
        <row r="5328">
          <cell r="B5328" t="str">
            <v>-</v>
          </cell>
          <cell r="E5328" t="str">
            <v/>
          </cell>
          <cell r="G5328" t="str">
            <v/>
          </cell>
          <cell r="J5328" t="str">
            <v/>
          </cell>
          <cell r="O5328" t="str">
            <v/>
          </cell>
          <cell r="P5328" t="str">
            <v/>
          </cell>
          <cell r="Q5328" t="str">
            <v/>
          </cell>
          <cell r="S5328" t="str">
            <v/>
          </cell>
          <cell r="V5328" t="str">
            <v/>
          </cell>
          <cell r="Z5328" t="str">
            <v/>
          </cell>
          <cell r="AA5328" t="str">
            <v/>
          </cell>
          <cell r="AB5328" t="str">
            <v/>
          </cell>
          <cell r="AC5328" t="str">
            <v/>
          </cell>
          <cell r="AD5328" t="str">
            <v/>
          </cell>
          <cell r="AY5328" t="str">
            <v/>
          </cell>
          <cell r="AZ5328" t="str">
            <v/>
          </cell>
          <cell r="BA5328" t="str">
            <v/>
          </cell>
        </row>
        <row r="5329">
          <cell r="B5329" t="str">
            <v>-</v>
          </cell>
          <cell r="E5329" t="str">
            <v/>
          </cell>
          <cell r="G5329" t="str">
            <v/>
          </cell>
          <cell r="J5329" t="str">
            <v/>
          </cell>
          <cell r="O5329" t="str">
            <v/>
          </cell>
          <cell r="P5329" t="str">
            <v/>
          </cell>
          <cell r="Q5329" t="str">
            <v/>
          </cell>
          <cell r="S5329" t="str">
            <v/>
          </cell>
          <cell r="V5329" t="str">
            <v/>
          </cell>
          <cell r="Z5329" t="str">
            <v/>
          </cell>
          <cell r="AA5329" t="str">
            <v/>
          </cell>
          <cell r="AB5329" t="str">
            <v/>
          </cell>
          <cell r="AC5329" t="str">
            <v/>
          </cell>
          <cell r="AD5329" t="str">
            <v/>
          </cell>
          <cell r="AY5329" t="str">
            <v/>
          </cell>
          <cell r="AZ5329" t="str">
            <v/>
          </cell>
          <cell r="BA5329" t="str">
            <v/>
          </cell>
        </row>
        <row r="5330">
          <cell r="B5330" t="str">
            <v>-</v>
          </cell>
          <cell r="E5330" t="str">
            <v/>
          </cell>
          <cell r="G5330" t="str">
            <v/>
          </cell>
          <cell r="J5330" t="str">
            <v/>
          </cell>
          <cell r="O5330" t="str">
            <v/>
          </cell>
          <cell r="P5330" t="str">
            <v/>
          </cell>
          <cell r="Q5330" t="str">
            <v/>
          </cell>
          <cell r="S5330" t="str">
            <v/>
          </cell>
          <cell r="V5330" t="str">
            <v/>
          </cell>
          <cell r="Z5330" t="str">
            <v/>
          </cell>
          <cell r="AA5330" t="str">
            <v/>
          </cell>
          <cell r="AB5330" t="str">
            <v/>
          </cell>
          <cell r="AC5330" t="str">
            <v/>
          </cell>
          <cell r="AD5330" t="str">
            <v/>
          </cell>
          <cell r="AY5330" t="str">
            <v/>
          </cell>
          <cell r="AZ5330" t="str">
            <v/>
          </cell>
          <cell r="BA5330" t="str">
            <v/>
          </cell>
        </row>
        <row r="5331">
          <cell r="B5331" t="str">
            <v>-</v>
          </cell>
          <cell r="E5331" t="str">
            <v/>
          </cell>
          <cell r="G5331" t="str">
            <v/>
          </cell>
          <cell r="J5331" t="str">
            <v/>
          </cell>
          <cell r="O5331" t="str">
            <v/>
          </cell>
          <cell r="P5331" t="str">
            <v/>
          </cell>
          <cell r="Q5331" t="str">
            <v/>
          </cell>
          <cell r="S5331" t="str">
            <v/>
          </cell>
          <cell r="V5331" t="str">
            <v/>
          </cell>
          <cell r="Z5331" t="str">
            <v/>
          </cell>
          <cell r="AA5331" t="str">
            <v/>
          </cell>
          <cell r="AB5331" t="str">
            <v/>
          </cell>
          <cell r="AC5331" t="str">
            <v/>
          </cell>
          <cell r="AD5331" t="str">
            <v/>
          </cell>
          <cell r="AY5331" t="str">
            <v/>
          </cell>
          <cell r="AZ5331" t="str">
            <v/>
          </cell>
          <cell r="BA5331" t="str">
            <v/>
          </cell>
        </row>
        <row r="5332">
          <cell r="B5332" t="str">
            <v>-</v>
          </cell>
          <cell r="E5332" t="str">
            <v/>
          </cell>
          <cell r="G5332" t="str">
            <v/>
          </cell>
          <cell r="J5332" t="str">
            <v/>
          </cell>
          <cell r="O5332" t="str">
            <v/>
          </cell>
          <cell r="P5332" t="str">
            <v/>
          </cell>
          <cell r="Q5332" t="str">
            <v/>
          </cell>
          <cell r="S5332" t="str">
            <v/>
          </cell>
          <cell r="V5332" t="str">
            <v/>
          </cell>
          <cell r="Z5332" t="str">
            <v/>
          </cell>
          <cell r="AA5332" t="str">
            <v/>
          </cell>
          <cell r="AB5332" t="str">
            <v/>
          </cell>
          <cell r="AC5332" t="str">
            <v/>
          </cell>
          <cell r="AD5332" t="str">
            <v/>
          </cell>
          <cell r="AY5332" t="str">
            <v/>
          </cell>
          <cell r="AZ5332" t="str">
            <v/>
          </cell>
          <cell r="BA5332" t="str">
            <v/>
          </cell>
        </row>
        <row r="5333">
          <cell r="B5333" t="str">
            <v>-</v>
          </cell>
          <cell r="E5333" t="str">
            <v/>
          </cell>
          <cell r="G5333" t="str">
            <v/>
          </cell>
          <cell r="J5333" t="str">
            <v/>
          </cell>
          <cell r="O5333" t="str">
            <v/>
          </cell>
          <cell r="P5333" t="str">
            <v/>
          </cell>
          <cell r="Q5333" t="str">
            <v/>
          </cell>
          <cell r="S5333" t="str">
            <v/>
          </cell>
          <cell r="V5333" t="str">
            <v/>
          </cell>
          <cell r="Z5333" t="str">
            <v/>
          </cell>
          <cell r="AA5333" t="str">
            <v/>
          </cell>
          <cell r="AB5333" t="str">
            <v/>
          </cell>
          <cell r="AC5333" t="str">
            <v/>
          </cell>
          <cell r="AD5333" t="str">
            <v/>
          </cell>
          <cell r="AY5333" t="str">
            <v/>
          </cell>
          <cell r="AZ5333" t="str">
            <v/>
          </cell>
          <cell r="BA5333" t="str">
            <v/>
          </cell>
        </row>
        <row r="5334">
          <cell r="B5334" t="str">
            <v>-</v>
          </cell>
          <cell r="E5334" t="str">
            <v/>
          </cell>
          <cell r="G5334" t="str">
            <v/>
          </cell>
          <cell r="J5334" t="str">
            <v/>
          </cell>
          <cell r="O5334" t="str">
            <v/>
          </cell>
          <cell r="P5334" t="str">
            <v/>
          </cell>
          <cell r="Q5334" t="str">
            <v/>
          </cell>
          <cell r="S5334" t="str">
            <v/>
          </cell>
          <cell r="V5334" t="str">
            <v/>
          </cell>
          <cell r="Z5334" t="str">
            <v/>
          </cell>
          <cell r="AA5334" t="str">
            <v/>
          </cell>
          <cell r="AB5334" t="str">
            <v/>
          </cell>
          <cell r="AC5334" t="str">
            <v/>
          </cell>
          <cell r="AD5334" t="str">
            <v/>
          </cell>
          <cell r="AY5334" t="str">
            <v/>
          </cell>
          <cell r="AZ5334" t="str">
            <v/>
          </cell>
          <cell r="BA5334" t="str">
            <v/>
          </cell>
        </row>
        <row r="5335">
          <cell r="B5335" t="str">
            <v>-</v>
          </cell>
          <cell r="E5335" t="str">
            <v/>
          </cell>
          <cell r="G5335" t="str">
            <v/>
          </cell>
          <cell r="J5335" t="str">
            <v/>
          </cell>
          <cell r="O5335" t="str">
            <v/>
          </cell>
          <cell r="P5335" t="str">
            <v/>
          </cell>
          <cell r="Q5335" t="str">
            <v/>
          </cell>
          <cell r="S5335" t="str">
            <v/>
          </cell>
          <cell r="V5335" t="str">
            <v/>
          </cell>
          <cell r="Z5335" t="str">
            <v/>
          </cell>
          <cell r="AA5335" t="str">
            <v/>
          </cell>
          <cell r="AB5335" t="str">
            <v/>
          </cell>
          <cell r="AC5335" t="str">
            <v/>
          </cell>
          <cell r="AD5335" t="str">
            <v/>
          </cell>
          <cell r="AY5335" t="str">
            <v/>
          </cell>
          <cell r="AZ5335" t="str">
            <v/>
          </cell>
          <cell r="BA5335" t="str">
            <v/>
          </cell>
        </row>
        <row r="5336">
          <cell r="B5336" t="str">
            <v>-</v>
          </cell>
          <cell r="E5336" t="str">
            <v/>
          </cell>
          <cell r="G5336" t="str">
            <v/>
          </cell>
          <cell r="J5336" t="str">
            <v/>
          </cell>
          <cell r="O5336" t="str">
            <v/>
          </cell>
          <cell r="P5336" t="str">
            <v/>
          </cell>
          <cell r="Q5336" t="str">
            <v/>
          </cell>
          <cell r="S5336" t="str">
            <v/>
          </cell>
          <cell r="V5336" t="str">
            <v/>
          </cell>
          <cell r="Z5336" t="str">
            <v/>
          </cell>
          <cell r="AA5336" t="str">
            <v/>
          </cell>
          <cell r="AB5336" t="str">
            <v/>
          </cell>
          <cell r="AC5336" t="str">
            <v/>
          </cell>
          <cell r="AD5336" t="str">
            <v/>
          </cell>
          <cell r="AY5336" t="str">
            <v/>
          </cell>
          <cell r="AZ5336" t="str">
            <v/>
          </cell>
          <cell r="BA5336" t="str">
            <v/>
          </cell>
        </row>
        <row r="5337">
          <cell r="B5337" t="str">
            <v>-</v>
          </cell>
          <cell r="E5337" t="str">
            <v/>
          </cell>
          <cell r="G5337" t="str">
            <v/>
          </cell>
          <cell r="J5337" t="str">
            <v/>
          </cell>
          <cell r="O5337" t="str">
            <v/>
          </cell>
          <cell r="P5337" t="str">
            <v/>
          </cell>
          <cell r="Q5337" t="str">
            <v/>
          </cell>
          <cell r="S5337" t="str">
            <v/>
          </cell>
          <cell r="V5337" t="str">
            <v/>
          </cell>
          <cell r="Z5337" t="str">
            <v/>
          </cell>
          <cell r="AA5337" t="str">
            <v/>
          </cell>
          <cell r="AB5337" t="str">
            <v/>
          </cell>
          <cell r="AC5337" t="str">
            <v/>
          </cell>
          <cell r="AD5337" t="str">
            <v/>
          </cell>
          <cell r="AY5337" t="str">
            <v/>
          </cell>
          <cell r="AZ5337" t="str">
            <v/>
          </cell>
          <cell r="BA5337" t="str">
            <v/>
          </cell>
        </row>
        <row r="5338">
          <cell r="B5338" t="str">
            <v>-</v>
          </cell>
          <cell r="E5338" t="str">
            <v/>
          </cell>
          <cell r="G5338" t="str">
            <v/>
          </cell>
          <cell r="J5338" t="str">
            <v/>
          </cell>
          <cell r="O5338" t="str">
            <v/>
          </cell>
          <cell r="P5338" t="str">
            <v/>
          </cell>
          <cell r="Q5338" t="str">
            <v/>
          </cell>
          <cell r="S5338" t="str">
            <v/>
          </cell>
          <cell r="V5338" t="str">
            <v/>
          </cell>
          <cell r="Z5338" t="str">
            <v/>
          </cell>
          <cell r="AA5338" t="str">
            <v/>
          </cell>
          <cell r="AB5338" t="str">
            <v/>
          </cell>
          <cell r="AC5338" t="str">
            <v/>
          </cell>
          <cell r="AD5338" t="str">
            <v/>
          </cell>
          <cell r="AY5338" t="str">
            <v/>
          </cell>
          <cell r="AZ5338" t="str">
            <v/>
          </cell>
          <cell r="BA5338" t="str">
            <v/>
          </cell>
        </row>
        <row r="5339">
          <cell r="B5339" t="str">
            <v>-</v>
          </cell>
          <cell r="E5339" t="str">
            <v/>
          </cell>
          <cell r="G5339" t="str">
            <v/>
          </cell>
          <cell r="J5339" t="str">
            <v/>
          </cell>
          <cell r="O5339" t="str">
            <v/>
          </cell>
          <cell r="P5339" t="str">
            <v/>
          </cell>
          <cell r="Q5339" t="str">
            <v/>
          </cell>
          <cell r="S5339" t="str">
            <v/>
          </cell>
          <cell r="V5339" t="str">
            <v/>
          </cell>
          <cell r="Z5339" t="str">
            <v/>
          </cell>
          <cell r="AA5339" t="str">
            <v/>
          </cell>
          <cell r="AB5339" t="str">
            <v/>
          </cell>
          <cell r="AC5339" t="str">
            <v/>
          </cell>
          <cell r="AD5339" t="str">
            <v/>
          </cell>
          <cell r="AY5339" t="str">
            <v/>
          </cell>
          <cell r="AZ5339" t="str">
            <v/>
          </cell>
          <cell r="BA5339" t="str">
            <v/>
          </cell>
        </row>
        <row r="5340">
          <cell r="B5340" t="str">
            <v>-</v>
          </cell>
          <cell r="E5340" t="str">
            <v/>
          </cell>
          <cell r="G5340" t="str">
            <v/>
          </cell>
          <cell r="J5340" t="str">
            <v/>
          </cell>
          <cell r="O5340" t="str">
            <v/>
          </cell>
          <cell r="P5340" t="str">
            <v/>
          </cell>
          <cell r="Q5340" t="str">
            <v/>
          </cell>
          <cell r="S5340" t="str">
            <v/>
          </cell>
          <cell r="V5340" t="str">
            <v/>
          </cell>
          <cell r="Z5340" t="str">
            <v/>
          </cell>
          <cell r="AA5340" t="str">
            <v/>
          </cell>
          <cell r="AB5340" t="str">
            <v/>
          </cell>
          <cell r="AC5340" t="str">
            <v/>
          </cell>
          <cell r="AD5340" t="str">
            <v/>
          </cell>
          <cell r="AY5340" t="str">
            <v/>
          </cell>
          <cell r="AZ5340" t="str">
            <v/>
          </cell>
          <cell r="BA5340" t="str">
            <v/>
          </cell>
        </row>
        <row r="5341">
          <cell r="B5341" t="str">
            <v>-</v>
          </cell>
          <cell r="E5341" t="str">
            <v/>
          </cell>
          <cell r="G5341" t="str">
            <v/>
          </cell>
          <cell r="J5341" t="str">
            <v/>
          </cell>
          <cell r="O5341" t="str">
            <v/>
          </cell>
          <cell r="P5341" t="str">
            <v/>
          </cell>
          <cell r="Q5341" t="str">
            <v/>
          </cell>
          <cell r="S5341" t="str">
            <v/>
          </cell>
          <cell r="V5341" t="str">
            <v/>
          </cell>
          <cell r="Z5341" t="str">
            <v/>
          </cell>
          <cell r="AA5341" t="str">
            <v/>
          </cell>
          <cell r="AB5341" t="str">
            <v/>
          </cell>
          <cell r="AC5341" t="str">
            <v/>
          </cell>
          <cell r="AD5341" t="str">
            <v/>
          </cell>
          <cell r="AY5341" t="str">
            <v/>
          </cell>
          <cell r="AZ5341" t="str">
            <v/>
          </cell>
          <cell r="BA5341" t="str">
            <v/>
          </cell>
        </row>
        <row r="5342">
          <cell r="B5342" t="str">
            <v>-</v>
          </cell>
          <cell r="E5342" t="str">
            <v/>
          </cell>
          <cell r="G5342" t="str">
            <v/>
          </cell>
          <cell r="J5342" t="str">
            <v/>
          </cell>
          <cell r="O5342" t="str">
            <v/>
          </cell>
          <cell r="P5342" t="str">
            <v/>
          </cell>
          <cell r="Q5342" t="str">
            <v/>
          </cell>
          <cell r="S5342" t="str">
            <v/>
          </cell>
          <cell r="V5342" t="str">
            <v/>
          </cell>
          <cell r="Z5342" t="str">
            <v/>
          </cell>
          <cell r="AA5342" t="str">
            <v/>
          </cell>
          <cell r="AB5342" t="str">
            <v/>
          </cell>
          <cell r="AC5342" t="str">
            <v/>
          </cell>
          <cell r="AD5342" t="str">
            <v/>
          </cell>
          <cell r="AY5342" t="str">
            <v/>
          </cell>
          <cell r="AZ5342" t="str">
            <v/>
          </cell>
          <cell r="BA5342" t="str">
            <v/>
          </cell>
        </row>
        <row r="5343">
          <cell r="B5343" t="str">
            <v>-</v>
          </cell>
          <cell r="E5343" t="str">
            <v/>
          </cell>
          <cell r="G5343" t="str">
            <v/>
          </cell>
          <cell r="J5343" t="str">
            <v/>
          </cell>
          <cell r="O5343" t="str">
            <v/>
          </cell>
          <cell r="P5343" t="str">
            <v/>
          </cell>
          <cell r="Q5343" t="str">
            <v/>
          </cell>
          <cell r="S5343" t="str">
            <v/>
          </cell>
          <cell r="V5343" t="str">
            <v/>
          </cell>
          <cell r="Z5343" t="str">
            <v/>
          </cell>
          <cell r="AA5343" t="str">
            <v/>
          </cell>
          <cell r="AB5343" t="str">
            <v/>
          </cell>
          <cell r="AC5343" t="str">
            <v/>
          </cell>
          <cell r="AD5343" t="str">
            <v/>
          </cell>
          <cell r="AY5343" t="str">
            <v/>
          </cell>
          <cell r="AZ5343" t="str">
            <v/>
          </cell>
          <cell r="BA5343" t="str">
            <v/>
          </cell>
        </row>
        <row r="5344">
          <cell r="B5344" t="str">
            <v>-</v>
          </cell>
          <cell r="E5344" t="str">
            <v/>
          </cell>
          <cell r="G5344" t="str">
            <v/>
          </cell>
          <cell r="J5344" t="str">
            <v/>
          </cell>
          <cell r="O5344" t="str">
            <v/>
          </cell>
          <cell r="P5344" t="str">
            <v/>
          </cell>
          <cell r="Q5344" t="str">
            <v/>
          </cell>
          <cell r="S5344" t="str">
            <v/>
          </cell>
          <cell r="V5344" t="str">
            <v/>
          </cell>
          <cell r="Z5344" t="str">
            <v/>
          </cell>
          <cell r="AA5344" t="str">
            <v/>
          </cell>
          <cell r="AB5344" t="str">
            <v/>
          </cell>
          <cell r="AC5344" t="str">
            <v/>
          </cell>
          <cell r="AD5344" t="str">
            <v/>
          </cell>
          <cell r="AY5344" t="str">
            <v/>
          </cell>
          <cell r="AZ5344" t="str">
            <v/>
          </cell>
          <cell r="BA5344" t="str">
            <v/>
          </cell>
        </row>
        <row r="5345">
          <cell r="B5345" t="str">
            <v>-</v>
          </cell>
          <cell r="E5345" t="str">
            <v/>
          </cell>
          <cell r="G5345" t="str">
            <v/>
          </cell>
          <cell r="J5345" t="str">
            <v/>
          </cell>
          <cell r="O5345" t="str">
            <v/>
          </cell>
          <cell r="P5345" t="str">
            <v/>
          </cell>
          <cell r="Q5345" t="str">
            <v/>
          </cell>
          <cell r="S5345" t="str">
            <v/>
          </cell>
          <cell r="V5345" t="str">
            <v/>
          </cell>
          <cell r="Z5345" t="str">
            <v/>
          </cell>
          <cell r="AA5345" t="str">
            <v/>
          </cell>
          <cell r="AB5345" t="str">
            <v/>
          </cell>
          <cell r="AC5345" t="str">
            <v/>
          </cell>
          <cell r="AD5345" t="str">
            <v/>
          </cell>
          <cell r="AY5345" t="str">
            <v/>
          </cell>
          <cell r="AZ5345" t="str">
            <v/>
          </cell>
          <cell r="BA5345" t="str">
            <v/>
          </cell>
        </row>
        <row r="5346">
          <cell r="B5346" t="str">
            <v>-</v>
          </cell>
          <cell r="E5346" t="str">
            <v/>
          </cell>
          <cell r="G5346" t="str">
            <v/>
          </cell>
          <cell r="J5346" t="str">
            <v/>
          </cell>
          <cell r="O5346" t="str">
            <v/>
          </cell>
          <cell r="P5346" t="str">
            <v/>
          </cell>
          <cell r="Q5346" t="str">
            <v/>
          </cell>
          <cell r="S5346" t="str">
            <v/>
          </cell>
          <cell r="V5346" t="str">
            <v/>
          </cell>
          <cell r="Z5346" t="str">
            <v/>
          </cell>
          <cell r="AA5346" t="str">
            <v/>
          </cell>
          <cell r="AB5346" t="str">
            <v/>
          </cell>
          <cell r="AC5346" t="str">
            <v/>
          </cell>
          <cell r="AD5346" t="str">
            <v/>
          </cell>
          <cell r="AY5346" t="str">
            <v/>
          </cell>
          <cell r="AZ5346" t="str">
            <v/>
          </cell>
          <cell r="BA5346" t="str">
            <v/>
          </cell>
        </row>
        <row r="5347">
          <cell r="B5347" t="str">
            <v>-</v>
          </cell>
          <cell r="E5347" t="str">
            <v/>
          </cell>
          <cell r="G5347" t="str">
            <v/>
          </cell>
          <cell r="J5347" t="str">
            <v/>
          </cell>
          <cell r="O5347" t="str">
            <v/>
          </cell>
          <cell r="P5347" t="str">
            <v/>
          </cell>
          <cell r="Q5347" t="str">
            <v/>
          </cell>
          <cell r="S5347" t="str">
            <v/>
          </cell>
          <cell r="V5347" t="str">
            <v/>
          </cell>
          <cell r="Z5347" t="str">
            <v/>
          </cell>
          <cell r="AA5347" t="str">
            <v/>
          </cell>
          <cell r="AB5347" t="str">
            <v/>
          </cell>
          <cell r="AC5347" t="str">
            <v/>
          </cell>
          <cell r="AD5347" t="str">
            <v/>
          </cell>
          <cell r="AY5347" t="str">
            <v/>
          </cell>
          <cell r="AZ5347" t="str">
            <v/>
          </cell>
          <cell r="BA5347" t="str">
            <v/>
          </cell>
        </row>
        <row r="5348">
          <cell r="B5348" t="str">
            <v>-</v>
          </cell>
          <cell r="E5348" t="str">
            <v/>
          </cell>
          <cell r="G5348" t="str">
            <v/>
          </cell>
          <cell r="J5348" t="str">
            <v/>
          </cell>
          <cell r="O5348" t="str">
            <v/>
          </cell>
          <cell r="P5348" t="str">
            <v/>
          </cell>
          <cell r="Q5348" t="str">
            <v/>
          </cell>
          <cell r="S5348" t="str">
            <v/>
          </cell>
          <cell r="V5348" t="str">
            <v/>
          </cell>
          <cell r="Z5348" t="str">
            <v/>
          </cell>
          <cell r="AA5348" t="str">
            <v/>
          </cell>
          <cell r="AB5348" t="str">
            <v/>
          </cell>
          <cell r="AC5348" t="str">
            <v/>
          </cell>
          <cell r="AD5348" t="str">
            <v/>
          </cell>
          <cell r="AY5348" t="str">
            <v/>
          </cell>
          <cell r="AZ5348" t="str">
            <v/>
          </cell>
          <cell r="BA5348" t="str">
            <v/>
          </cell>
        </row>
        <row r="5349">
          <cell r="B5349" t="str">
            <v>-</v>
          </cell>
          <cell r="E5349" t="str">
            <v/>
          </cell>
          <cell r="G5349" t="str">
            <v/>
          </cell>
          <cell r="J5349" t="str">
            <v/>
          </cell>
          <cell r="O5349" t="str">
            <v/>
          </cell>
          <cell r="P5349" t="str">
            <v/>
          </cell>
          <cell r="Q5349" t="str">
            <v/>
          </cell>
          <cell r="S5349" t="str">
            <v/>
          </cell>
          <cell r="V5349" t="str">
            <v/>
          </cell>
          <cell r="Z5349" t="str">
            <v/>
          </cell>
          <cell r="AA5349" t="str">
            <v/>
          </cell>
          <cell r="AB5349" t="str">
            <v/>
          </cell>
          <cell r="AC5349" t="str">
            <v/>
          </cell>
          <cell r="AD5349" t="str">
            <v/>
          </cell>
          <cell r="AY5349" t="str">
            <v/>
          </cell>
          <cell r="AZ5349" t="str">
            <v/>
          </cell>
          <cell r="BA5349" t="str">
            <v/>
          </cell>
        </row>
        <row r="5350">
          <cell r="B5350" t="str">
            <v>-</v>
          </cell>
          <cell r="E5350" t="str">
            <v/>
          </cell>
          <cell r="G5350" t="str">
            <v/>
          </cell>
          <cell r="J5350" t="str">
            <v/>
          </cell>
          <cell r="O5350" t="str">
            <v/>
          </cell>
          <cell r="P5350" t="str">
            <v/>
          </cell>
          <cell r="Q5350" t="str">
            <v/>
          </cell>
          <cell r="S5350" t="str">
            <v/>
          </cell>
          <cell r="V5350" t="str">
            <v/>
          </cell>
          <cell r="Z5350" t="str">
            <v/>
          </cell>
          <cell r="AA5350" t="str">
            <v/>
          </cell>
          <cell r="AB5350" t="str">
            <v/>
          </cell>
          <cell r="AC5350" t="str">
            <v/>
          </cell>
          <cell r="AD5350" t="str">
            <v/>
          </cell>
          <cell r="AY5350" t="str">
            <v/>
          </cell>
          <cell r="AZ5350" t="str">
            <v/>
          </cell>
          <cell r="BA5350" t="str">
            <v/>
          </cell>
        </row>
        <row r="5351">
          <cell r="B5351" t="str">
            <v>-</v>
          </cell>
          <cell r="E5351" t="str">
            <v/>
          </cell>
          <cell r="G5351" t="str">
            <v/>
          </cell>
          <cell r="J5351" t="str">
            <v/>
          </cell>
          <cell r="O5351" t="str">
            <v/>
          </cell>
          <cell r="P5351" t="str">
            <v/>
          </cell>
          <cell r="Q5351" t="str">
            <v/>
          </cell>
          <cell r="S5351" t="str">
            <v/>
          </cell>
          <cell r="V5351" t="str">
            <v/>
          </cell>
          <cell r="Z5351" t="str">
            <v/>
          </cell>
          <cell r="AA5351" t="str">
            <v/>
          </cell>
          <cell r="AB5351" t="str">
            <v/>
          </cell>
          <cell r="AC5351" t="str">
            <v/>
          </cell>
          <cell r="AD5351" t="str">
            <v/>
          </cell>
          <cell r="AY5351" t="str">
            <v/>
          </cell>
          <cell r="AZ5351" t="str">
            <v/>
          </cell>
          <cell r="BA5351" t="str">
            <v/>
          </cell>
        </row>
        <row r="5352">
          <cell r="B5352" t="str">
            <v>-</v>
          </cell>
          <cell r="E5352" t="str">
            <v/>
          </cell>
          <cell r="G5352" t="str">
            <v/>
          </cell>
          <cell r="J5352" t="str">
            <v/>
          </cell>
          <cell r="O5352" t="str">
            <v/>
          </cell>
          <cell r="P5352" t="str">
            <v/>
          </cell>
          <cell r="Q5352" t="str">
            <v/>
          </cell>
          <cell r="S5352" t="str">
            <v/>
          </cell>
          <cell r="V5352" t="str">
            <v/>
          </cell>
          <cell r="Z5352" t="str">
            <v/>
          </cell>
          <cell r="AA5352" t="str">
            <v/>
          </cell>
          <cell r="AB5352" t="str">
            <v/>
          </cell>
          <cell r="AC5352" t="str">
            <v/>
          </cell>
          <cell r="AD5352" t="str">
            <v/>
          </cell>
          <cell r="AY5352" t="str">
            <v/>
          </cell>
          <cell r="AZ5352" t="str">
            <v/>
          </cell>
          <cell r="BA5352" t="str">
            <v/>
          </cell>
        </row>
        <row r="5353">
          <cell r="B5353" t="str">
            <v>-</v>
          </cell>
          <cell r="E5353" t="str">
            <v/>
          </cell>
          <cell r="G5353" t="str">
            <v/>
          </cell>
          <cell r="J5353" t="str">
            <v/>
          </cell>
          <cell r="O5353" t="str">
            <v/>
          </cell>
          <cell r="P5353" t="str">
            <v/>
          </cell>
          <cell r="Q5353" t="str">
            <v/>
          </cell>
          <cell r="S5353" t="str">
            <v/>
          </cell>
          <cell r="V5353" t="str">
            <v/>
          </cell>
          <cell r="Z5353" t="str">
            <v/>
          </cell>
          <cell r="AA5353" t="str">
            <v/>
          </cell>
          <cell r="AB5353" t="str">
            <v/>
          </cell>
          <cell r="AC5353" t="str">
            <v/>
          </cell>
          <cell r="AD5353" t="str">
            <v/>
          </cell>
          <cell r="AY5353" t="str">
            <v/>
          </cell>
          <cell r="AZ5353" t="str">
            <v/>
          </cell>
          <cell r="BA5353" t="str">
            <v/>
          </cell>
        </row>
        <row r="5354">
          <cell r="B5354" t="str">
            <v>-</v>
          </cell>
          <cell r="E5354" t="str">
            <v/>
          </cell>
          <cell r="G5354" t="str">
            <v/>
          </cell>
          <cell r="J5354" t="str">
            <v/>
          </cell>
          <cell r="O5354" t="str">
            <v/>
          </cell>
          <cell r="P5354" t="str">
            <v/>
          </cell>
          <cell r="Q5354" t="str">
            <v/>
          </cell>
          <cell r="S5354" t="str">
            <v/>
          </cell>
          <cell r="V5354" t="str">
            <v/>
          </cell>
          <cell r="Z5354" t="str">
            <v/>
          </cell>
          <cell r="AA5354" t="str">
            <v/>
          </cell>
          <cell r="AB5354" t="str">
            <v/>
          </cell>
          <cell r="AC5354" t="str">
            <v/>
          </cell>
          <cell r="AD5354" t="str">
            <v/>
          </cell>
          <cell r="AY5354" t="str">
            <v/>
          </cell>
          <cell r="AZ5354" t="str">
            <v/>
          </cell>
          <cell r="BA5354" t="str">
            <v/>
          </cell>
        </row>
        <row r="5355">
          <cell r="B5355" t="str">
            <v>-</v>
          </cell>
          <cell r="E5355" t="str">
            <v/>
          </cell>
          <cell r="G5355" t="str">
            <v/>
          </cell>
          <cell r="J5355" t="str">
            <v/>
          </cell>
          <cell r="O5355" t="str">
            <v/>
          </cell>
          <cell r="P5355" t="str">
            <v/>
          </cell>
          <cell r="Q5355" t="str">
            <v/>
          </cell>
          <cell r="S5355" t="str">
            <v/>
          </cell>
          <cell r="V5355" t="str">
            <v/>
          </cell>
          <cell r="Z5355" t="str">
            <v/>
          </cell>
          <cell r="AA5355" t="str">
            <v/>
          </cell>
          <cell r="AB5355" t="str">
            <v/>
          </cell>
          <cell r="AC5355" t="str">
            <v/>
          </cell>
          <cell r="AD5355" t="str">
            <v/>
          </cell>
          <cell r="AY5355" t="str">
            <v/>
          </cell>
          <cell r="AZ5355" t="str">
            <v/>
          </cell>
          <cell r="BA5355" t="str">
            <v/>
          </cell>
        </row>
        <row r="5356">
          <cell r="B5356" t="str">
            <v>-</v>
          </cell>
          <cell r="E5356" t="str">
            <v/>
          </cell>
          <cell r="G5356" t="str">
            <v/>
          </cell>
          <cell r="J5356" t="str">
            <v/>
          </cell>
          <cell r="O5356" t="str">
            <v/>
          </cell>
          <cell r="P5356" t="str">
            <v/>
          </cell>
          <cell r="Q5356" t="str">
            <v/>
          </cell>
          <cell r="S5356" t="str">
            <v/>
          </cell>
          <cell r="V5356" t="str">
            <v/>
          </cell>
          <cell r="Z5356" t="str">
            <v/>
          </cell>
          <cell r="AA5356" t="str">
            <v/>
          </cell>
          <cell r="AB5356" t="str">
            <v/>
          </cell>
          <cell r="AC5356" t="str">
            <v/>
          </cell>
          <cell r="AD5356" t="str">
            <v/>
          </cell>
          <cell r="AY5356" t="str">
            <v/>
          </cell>
          <cell r="AZ5356" t="str">
            <v/>
          </cell>
          <cell r="BA5356" t="str">
            <v/>
          </cell>
        </row>
        <row r="5357">
          <cell r="B5357" t="str">
            <v>-</v>
          </cell>
          <cell r="E5357" t="str">
            <v/>
          </cell>
          <cell r="G5357" t="str">
            <v/>
          </cell>
          <cell r="J5357" t="str">
            <v/>
          </cell>
          <cell r="O5357" t="str">
            <v/>
          </cell>
          <cell r="P5357" t="str">
            <v/>
          </cell>
          <cell r="Q5357" t="str">
            <v/>
          </cell>
          <cell r="S5357" t="str">
            <v/>
          </cell>
          <cell r="V5357" t="str">
            <v/>
          </cell>
          <cell r="Z5357" t="str">
            <v/>
          </cell>
          <cell r="AA5357" t="str">
            <v/>
          </cell>
          <cell r="AB5357" t="str">
            <v/>
          </cell>
          <cell r="AC5357" t="str">
            <v/>
          </cell>
          <cell r="AD5357" t="str">
            <v/>
          </cell>
          <cell r="AY5357" t="str">
            <v/>
          </cell>
          <cell r="AZ5357" t="str">
            <v/>
          </cell>
          <cell r="BA5357" t="str">
            <v/>
          </cell>
        </row>
        <row r="5358">
          <cell r="B5358" t="str">
            <v>-</v>
          </cell>
          <cell r="E5358" t="str">
            <v/>
          </cell>
          <cell r="G5358" t="str">
            <v/>
          </cell>
          <cell r="J5358" t="str">
            <v/>
          </cell>
          <cell r="O5358" t="str">
            <v/>
          </cell>
          <cell r="P5358" t="str">
            <v/>
          </cell>
          <cell r="Q5358" t="str">
            <v/>
          </cell>
          <cell r="S5358" t="str">
            <v/>
          </cell>
          <cell r="V5358" t="str">
            <v/>
          </cell>
          <cell r="Z5358" t="str">
            <v/>
          </cell>
          <cell r="AA5358" t="str">
            <v/>
          </cell>
          <cell r="AB5358" t="str">
            <v/>
          </cell>
          <cell r="AC5358" t="str">
            <v/>
          </cell>
          <cell r="AD5358" t="str">
            <v/>
          </cell>
          <cell r="AY5358" t="str">
            <v/>
          </cell>
          <cell r="AZ5358" t="str">
            <v/>
          </cell>
          <cell r="BA5358" t="str">
            <v/>
          </cell>
        </row>
        <row r="5359">
          <cell r="B5359" t="str">
            <v>-</v>
          </cell>
          <cell r="E5359" t="str">
            <v/>
          </cell>
          <cell r="G5359" t="str">
            <v/>
          </cell>
          <cell r="J5359" t="str">
            <v/>
          </cell>
          <cell r="O5359" t="str">
            <v/>
          </cell>
          <cell r="P5359" t="str">
            <v/>
          </cell>
          <cell r="Q5359" t="str">
            <v/>
          </cell>
          <cell r="S5359" t="str">
            <v/>
          </cell>
          <cell r="V5359" t="str">
            <v/>
          </cell>
          <cell r="Z5359" t="str">
            <v/>
          </cell>
          <cell r="AA5359" t="str">
            <v/>
          </cell>
          <cell r="AB5359" t="str">
            <v/>
          </cell>
          <cell r="AC5359" t="str">
            <v/>
          </cell>
          <cell r="AD5359" t="str">
            <v/>
          </cell>
          <cell r="AY5359" t="str">
            <v/>
          </cell>
          <cell r="AZ5359" t="str">
            <v/>
          </cell>
          <cell r="BA5359" t="str">
            <v/>
          </cell>
        </row>
        <row r="5360">
          <cell r="B5360" t="str">
            <v>-</v>
          </cell>
          <cell r="E5360" t="str">
            <v/>
          </cell>
          <cell r="G5360" t="str">
            <v/>
          </cell>
          <cell r="J5360" t="str">
            <v/>
          </cell>
          <cell r="O5360" t="str">
            <v/>
          </cell>
          <cell r="P5360" t="str">
            <v/>
          </cell>
          <cell r="Q5360" t="str">
            <v/>
          </cell>
          <cell r="S5360" t="str">
            <v/>
          </cell>
          <cell r="V5360" t="str">
            <v/>
          </cell>
          <cell r="Z5360" t="str">
            <v/>
          </cell>
          <cell r="AA5360" t="str">
            <v/>
          </cell>
          <cell r="AB5360" t="str">
            <v/>
          </cell>
          <cell r="AC5360" t="str">
            <v/>
          </cell>
          <cell r="AD5360" t="str">
            <v/>
          </cell>
          <cell r="AY5360" t="str">
            <v/>
          </cell>
          <cell r="AZ5360" t="str">
            <v/>
          </cell>
          <cell r="BA5360" t="str">
            <v/>
          </cell>
        </row>
        <row r="5361">
          <cell r="B5361" t="str">
            <v>-</v>
          </cell>
          <cell r="E5361" t="str">
            <v/>
          </cell>
          <cell r="G5361" t="str">
            <v/>
          </cell>
          <cell r="J5361" t="str">
            <v/>
          </cell>
          <cell r="O5361" t="str">
            <v/>
          </cell>
          <cell r="P5361" t="str">
            <v/>
          </cell>
          <cell r="Q5361" t="str">
            <v/>
          </cell>
          <cell r="S5361" t="str">
            <v/>
          </cell>
          <cell r="V5361" t="str">
            <v/>
          </cell>
          <cell r="Z5361" t="str">
            <v/>
          </cell>
          <cell r="AA5361" t="str">
            <v/>
          </cell>
          <cell r="AB5361" t="str">
            <v/>
          </cell>
          <cell r="AC5361" t="str">
            <v/>
          </cell>
          <cell r="AD5361" t="str">
            <v/>
          </cell>
          <cell r="AY5361" t="str">
            <v/>
          </cell>
          <cell r="AZ5361" t="str">
            <v/>
          </cell>
          <cell r="BA5361" t="str">
            <v/>
          </cell>
        </row>
        <row r="5362">
          <cell r="B5362" t="str">
            <v>-</v>
          </cell>
          <cell r="E5362" t="str">
            <v/>
          </cell>
          <cell r="G5362" t="str">
            <v/>
          </cell>
          <cell r="J5362" t="str">
            <v/>
          </cell>
          <cell r="O5362" t="str">
            <v/>
          </cell>
          <cell r="P5362" t="str">
            <v/>
          </cell>
          <cell r="Q5362" t="str">
            <v/>
          </cell>
          <cell r="S5362" t="str">
            <v/>
          </cell>
          <cell r="V5362" t="str">
            <v/>
          </cell>
          <cell r="Z5362" t="str">
            <v/>
          </cell>
          <cell r="AA5362" t="str">
            <v/>
          </cell>
          <cell r="AB5362" t="str">
            <v/>
          </cell>
          <cell r="AC5362" t="str">
            <v/>
          </cell>
          <cell r="AD5362" t="str">
            <v/>
          </cell>
          <cell r="AY5362" t="str">
            <v/>
          </cell>
          <cell r="AZ5362" t="str">
            <v/>
          </cell>
          <cell r="BA5362" t="str">
            <v/>
          </cell>
        </row>
        <row r="5363">
          <cell r="B5363" t="str">
            <v>-</v>
          </cell>
          <cell r="E5363" t="str">
            <v/>
          </cell>
          <cell r="G5363" t="str">
            <v/>
          </cell>
          <cell r="J5363" t="str">
            <v/>
          </cell>
          <cell r="O5363" t="str">
            <v/>
          </cell>
          <cell r="P5363" t="str">
            <v/>
          </cell>
          <cell r="Q5363" t="str">
            <v/>
          </cell>
          <cell r="S5363" t="str">
            <v/>
          </cell>
          <cell r="V5363" t="str">
            <v/>
          </cell>
          <cell r="Z5363" t="str">
            <v/>
          </cell>
          <cell r="AA5363" t="str">
            <v/>
          </cell>
          <cell r="AB5363" t="str">
            <v/>
          </cell>
          <cell r="AC5363" t="str">
            <v/>
          </cell>
          <cell r="AD5363" t="str">
            <v/>
          </cell>
          <cell r="AY5363" t="str">
            <v/>
          </cell>
          <cell r="AZ5363" t="str">
            <v/>
          </cell>
          <cell r="BA5363" t="str">
            <v/>
          </cell>
        </row>
        <row r="5364">
          <cell r="B5364" t="str">
            <v>-</v>
          </cell>
          <cell r="E5364" t="str">
            <v/>
          </cell>
          <cell r="G5364" t="str">
            <v/>
          </cell>
          <cell r="J5364" t="str">
            <v/>
          </cell>
          <cell r="O5364" t="str">
            <v/>
          </cell>
          <cell r="P5364" t="str">
            <v/>
          </cell>
          <cell r="Q5364" t="str">
            <v/>
          </cell>
          <cell r="S5364" t="str">
            <v/>
          </cell>
          <cell r="V5364" t="str">
            <v/>
          </cell>
          <cell r="Z5364" t="str">
            <v/>
          </cell>
          <cell r="AA5364" t="str">
            <v/>
          </cell>
          <cell r="AB5364" t="str">
            <v/>
          </cell>
          <cell r="AC5364" t="str">
            <v/>
          </cell>
          <cell r="AD5364" t="str">
            <v/>
          </cell>
          <cell r="AY5364" t="str">
            <v/>
          </cell>
          <cell r="AZ5364" t="str">
            <v/>
          </cell>
          <cell r="BA5364" t="str">
            <v/>
          </cell>
        </row>
        <row r="5365">
          <cell r="B5365" t="str">
            <v>-</v>
          </cell>
          <cell r="E5365" t="str">
            <v/>
          </cell>
          <cell r="G5365" t="str">
            <v/>
          </cell>
          <cell r="J5365" t="str">
            <v/>
          </cell>
          <cell r="O5365" t="str">
            <v/>
          </cell>
          <cell r="P5365" t="str">
            <v/>
          </cell>
          <cell r="Q5365" t="str">
            <v/>
          </cell>
          <cell r="S5365" t="str">
            <v/>
          </cell>
          <cell r="V5365" t="str">
            <v/>
          </cell>
          <cell r="Z5365" t="str">
            <v/>
          </cell>
          <cell r="AA5365" t="str">
            <v/>
          </cell>
          <cell r="AB5365" t="str">
            <v/>
          </cell>
          <cell r="AC5365" t="str">
            <v/>
          </cell>
          <cell r="AD5365" t="str">
            <v/>
          </cell>
          <cell r="AY5365" t="str">
            <v/>
          </cell>
          <cell r="AZ5365" t="str">
            <v/>
          </cell>
          <cell r="BA5365" t="str">
            <v/>
          </cell>
        </row>
        <row r="5366">
          <cell r="B5366" t="str">
            <v>-</v>
          </cell>
          <cell r="E5366" t="str">
            <v/>
          </cell>
          <cell r="G5366" t="str">
            <v/>
          </cell>
          <cell r="J5366" t="str">
            <v/>
          </cell>
          <cell r="O5366" t="str">
            <v/>
          </cell>
          <cell r="P5366" t="str">
            <v/>
          </cell>
          <cell r="Q5366" t="str">
            <v/>
          </cell>
          <cell r="S5366" t="str">
            <v/>
          </cell>
          <cell r="V5366" t="str">
            <v/>
          </cell>
          <cell r="Z5366" t="str">
            <v/>
          </cell>
          <cell r="AA5366" t="str">
            <v/>
          </cell>
          <cell r="AB5366" t="str">
            <v/>
          </cell>
          <cell r="AC5366" t="str">
            <v/>
          </cell>
          <cell r="AD5366" t="str">
            <v/>
          </cell>
          <cell r="AY5366" t="str">
            <v/>
          </cell>
          <cell r="AZ5366" t="str">
            <v/>
          </cell>
          <cell r="BA5366" t="str">
            <v/>
          </cell>
        </row>
        <row r="5367">
          <cell r="B5367" t="str">
            <v>-</v>
          </cell>
          <cell r="E5367" t="str">
            <v/>
          </cell>
          <cell r="G5367" t="str">
            <v/>
          </cell>
          <cell r="J5367" t="str">
            <v/>
          </cell>
          <cell r="O5367" t="str">
            <v/>
          </cell>
          <cell r="P5367" t="str">
            <v/>
          </cell>
          <cell r="Q5367" t="str">
            <v/>
          </cell>
          <cell r="S5367" t="str">
            <v/>
          </cell>
          <cell r="V5367" t="str">
            <v/>
          </cell>
          <cell r="Z5367" t="str">
            <v/>
          </cell>
          <cell r="AA5367" t="str">
            <v/>
          </cell>
          <cell r="AB5367" t="str">
            <v/>
          </cell>
          <cell r="AC5367" t="str">
            <v/>
          </cell>
          <cell r="AD5367" t="str">
            <v/>
          </cell>
          <cell r="AY5367" t="str">
            <v/>
          </cell>
          <cell r="AZ5367" t="str">
            <v/>
          </cell>
          <cell r="BA5367" t="str">
            <v/>
          </cell>
        </row>
        <row r="5368">
          <cell r="B5368" t="str">
            <v>-</v>
          </cell>
          <cell r="E5368" t="str">
            <v/>
          </cell>
          <cell r="G5368" t="str">
            <v/>
          </cell>
          <cell r="J5368" t="str">
            <v/>
          </cell>
          <cell r="O5368" t="str">
            <v/>
          </cell>
          <cell r="P5368" t="str">
            <v/>
          </cell>
          <cell r="Q5368" t="str">
            <v/>
          </cell>
          <cell r="S5368" t="str">
            <v/>
          </cell>
          <cell r="V5368" t="str">
            <v/>
          </cell>
          <cell r="Z5368" t="str">
            <v/>
          </cell>
          <cell r="AA5368" t="str">
            <v/>
          </cell>
          <cell r="AB5368" t="str">
            <v/>
          </cell>
          <cell r="AC5368" t="str">
            <v/>
          </cell>
          <cell r="AD5368" t="str">
            <v/>
          </cell>
          <cell r="AY5368" t="str">
            <v/>
          </cell>
          <cell r="AZ5368" t="str">
            <v/>
          </cell>
          <cell r="BA5368" t="str">
            <v/>
          </cell>
        </row>
        <row r="5369">
          <cell r="B5369" t="str">
            <v>-</v>
          </cell>
          <cell r="E5369" t="str">
            <v/>
          </cell>
          <cell r="G5369" t="str">
            <v/>
          </cell>
          <cell r="J5369" t="str">
            <v/>
          </cell>
          <cell r="O5369" t="str">
            <v/>
          </cell>
          <cell r="P5369" t="str">
            <v/>
          </cell>
          <cell r="Q5369" t="str">
            <v/>
          </cell>
          <cell r="S5369" t="str">
            <v/>
          </cell>
          <cell r="V5369" t="str">
            <v/>
          </cell>
          <cell r="Z5369" t="str">
            <v/>
          </cell>
          <cell r="AA5369" t="str">
            <v/>
          </cell>
          <cell r="AB5369" t="str">
            <v/>
          </cell>
          <cell r="AC5369" t="str">
            <v/>
          </cell>
          <cell r="AD5369" t="str">
            <v/>
          </cell>
          <cell r="AY5369" t="str">
            <v/>
          </cell>
          <cell r="AZ5369" t="str">
            <v/>
          </cell>
          <cell r="BA5369" t="str">
            <v/>
          </cell>
        </row>
        <row r="5370">
          <cell r="B5370" t="str">
            <v>-</v>
          </cell>
          <cell r="E5370" t="str">
            <v/>
          </cell>
          <cell r="G5370" t="str">
            <v/>
          </cell>
          <cell r="J5370" t="str">
            <v/>
          </cell>
          <cell r="O5370" t="str">
            <v/>
          </cell>
          <cell r="P5370" t="str">
            <v/>
          </cell>
          <cell r="Q5370" t="str">
            <v/>
          </cell>
          <cell r="S5370" t="str">
            <v/>
          </cell>
          <cell r="V5370" t="str">
            <v/>
          </cell>
          <cell r="Z5370" t="str">
            <v/>
          </cell>
          <cell r="AA5370" t="str">
            <v/>
          </cell>
          <cell r="AB5370" t="str">
            <v/>
          </cell>
          <cell r="AC5370" t="str">
            <v/>
          </cell>
          <cell r="AD5370" t="str">
            <v/>
          </cell>
          <cell r="AY5370" t="str">
            <v/>
          </cell>
          <cell r="AZ5370" t="str">
            <v/>
          </cell>
          <cell r="BA5370" t="str">
            <v/>
          </cell>
        </row>
        <row r="5371">
          <cell r="B5371" t="str">
            <v>-</v>
          </cell>
          <cell r="E5371" t="str">
            <v/>
          </cell>
          <cell r="G5371" t="str">
            <v/>
          </cell>
          <cell r="J5371" t="str">
            <v/>
          </cell>
          <cell r="O5371" t="str">
            <v/>
          </cell>
          <cell r="P5371" t="str">
            <v/>
          </cell>
          <cell r="Q5371" t="str">
            <v/>
          </cell>
          <cell r="S5371" t="str">
            <v/>
          </cell>
          <cell r="V5371" t="str">
            <v/>
          </cell>
          <cell r="Z5371" t="str">
            <v/>
          </cell>
          <cell r="AA5371" t="str">
            <v/>
          </cell>
          <cell r="AB5371" t="str">
            <v/>
          </cell>
          <cell r="AC5371" t="str">
            <v/>
          </cell>
          <cell r="AD5371" t="str">
            <v/>
          </cell>
          <cell r="AY5371" t="str">
            <v/>
          </cell>
          <cell r="AZ5371" t="str">
            <v/>
          </cell>
          <cell r="BA5371" t="str">
            <v/>
          </cell>
        </row>
        <row r="5372">
          <cell r="B5372" t="str">
            <v>-</v>
          </cell>
          <cell r="E5372" t="str">
            <v/>
          </cell>
          <cell r="G5372" t="str">
            <v/>
          </cell>
          <cell r="J5372" t="str">
            <v/>
          </cell>
          <cell r="O5372" t="str">
            <v/>
          </cell>
          <cell r="P5372" t="str">
            <v/>
          </cell>
          <cell r="Q5372" t="str">
            <v/>
          </cell>
          <cell r="S5372" t="str">
            <v/>
          </cell>
          <cell r="V5372" t="str">
            <v/>
          </cell>
          <cell r="Z5372" t="str">
            <v/>
          </cell>
          <cell r="AA5372" t="str">
            <v/>
          </cell>
          <cell r="AB5372" t="str">
            <v/>
          </cell>
          <cell r="AC5372" t="str">
            <v/>
          </cell>
          <cell r="AD5372" t="str">
            <v/>
          </cell>
          <cell r="AY5372" t="str">
            <v/>
          </cell>
          <cell r="AZ5372" t="str">
            <v/>
          </cell>
          <cell r="BA5372" t="str">
            <v/>
          </cell>
        </row>
        <row r="5373">
          <cell r="B5373" t="str">
            <v>-</v>
          </cell>
          <cell r="E5373" t="str">
            <v/>
          </cell>
          <cell r="G5373" t="str">
            <v/>
          </cell>
          <cell r="J5373" t="str">
            <v/>
          </cell>
          <cell r="O5373" t="str">
            <v/>
          </cell>
          <cell r="P5373" t="str">
            <v/>
          </cell>
          <cell r="Q5373" t="str">
            <v/>
          </cell>
          <cell r="S5373" t="str">
            <v/>
          </cell>
          <cell r="V5373" t="str">
            <v/>
          </cell>
          <cell r="Z5373" t="str">
            <v/>
          </cell>
          <cell r="AA5373" t="str">
            <v/>
          </cell>
          <cell r="AB5373" t="str">
            <v/>
          </cell>
          <cell r="AC5373" t="str">
            <v/>
          </cell>
          <cell r="AD5373" t="str">
            <v/>
          </cell>
          <cell r="AY5373" t="str">
            <v/>
          </cell>
          <cell r="AZ5373" t="str">
            <v/>
          </cell>
          <cell r="BA5373" t="str">
            <v/>
          </cell>
        </row>
        <row r="5374">
          <cell r="B5374" t="str">
            <v>-</v>
          </cell>
          <cell r="E5374" t="str">
            <v/>
          </cell>
          <cell r="G5374" t="str">
            <v/>
          </cell>
          <cell r="J5374" t="str">
            <v/>
          </cell>
          <cell r="O5374" t="str">
            <v/>
          </cell>
          <cell r="P5374" t="str">
            <v/>
          </cell>
          <cell r="Q5374" t="str">
            <v/>
          </cell>
          <cell r="S5374" t="str">
            <v/>
          </cell>
          <cell r="V5374" t="str">
            <v/>
          </cell>
          <cell r="Z5374" t="str">
            <v/>
          </cell>
          <cell r="AA5374" t="str">
            <v/>
          </cell>
          <cell r="AB5374" t="str">
            <v/>
          </cell>
          <cell r="AC5374" t="str">
            <v/>
          </cell>
          <cell r="AD5374" t="str">
            <v/>
          </cell>
          <cell r="AY5374" t="str">
            <v/>
          </cell>
          <cell r="AZ5374" t="str">
            <v/>
          </cell>
          <cell r="BA5374" t="str">
            <v/>
          </cell>
        </row>
        <row r="5375">
          <cell r="B5375" t="str">
            <v>-</v>
          </cell>
          <cell r="E5375" t="str">
            <v/>
          </cell>
          <cell r="G5375" t="str">
            <v/>
          </cell>
          <cell r="J5375" t="str">
            <v/>
          </cell>
          <cell r="O5375" t="str">
            <v/>
          </cell>
          <cell r="P5375" t="str">
            <v/>
          </cell>
          <cell r="Q5375" t="str">
            <v/>
          </cell>
          <cell r="S5375" t="str">
            <v/>
          </cell>
          <cell r="V5375" t="str">
            <v/>
          </cell>
          <cell r="Z5375" t="str">
            <v/>
          </cell>
          <cell r="AA5375" t="str">
            <v/>
          </cell>
          <cell r="AB5375" t="str">
            <v/>
          </cell>
          <cell r="AC5375" t="str">
            <v/>
          </cell>
          <cell r="AD5375" t="str">
            <v/>
          </cell>
          <cell r="AY5375" t="str">
            <v/>
          </cell>
          <cell r="AZ5375" t="str">
            <v/>
          </cell>
          <cell r="BA5375" t="str">
            <v/>
          </cell>
        </row>
        <row r="5376">
          <cell r="B5376" t="str">
            <v>-</v>
          </cell>
          <cell r="E5376" t="str">
            <v/>
          </cell>
          <cell r="G5376" t="str">
            <v/>
          </cell>
          <cell r="J5376" t="str">
            <v/>
          </cell>
          <cell r="O5376" t="str">
            <v/>
          </cell>
          <cell r="P5376" t="str">
            <v/>
          </cell>
          <cell r="Q5376" t="str">
            <v/>
          </cell>
          <cell r="S5376" t="str">
            <v/>
          </cell>
          <cell r="V5376" t="str">
            <v/>
          </cell>
          <cell r="Z5376" t="str">
            <v/>
          </cell>
          <cell r="AA5376" t="str">
            <v/>
          </cell>
          <cell r="AB5376" t="str">
            <v/>
          </cell>
          <cell r="AC5376" t="str">
            <v/>
          </cell>
          <cell r="AD5376" t="str">
            <v/>
          </cell>
          <cell r="AY5376" t="str">
            <v/>
          </cell>
          <cell r="AZ5376" t="str">
            <v/>
          </cell>
          <cell r="BA5376" t="str">
            <v/>
          </cell>
        </row>
        <row r="5377">
          <cell r="B5377" t="str">
            <v>-</v>
          </cell>
          <cell r="E5377" t="str">
            <v/>
          </cell>
          <cell r="G5377" t="str">
            <v/>
          </cell>
          <cell r="J5377" t="str">
            <v/>
          </cell>
          <cell r="O5377" t="str">
            <v/>
          </cell>
          <cell r="P5377" t="str">
            <v/>
          </cell>
          <cell r="Q5377" t="str">
            <v/>
          </cell>
          <cell r="S5377" t="str">
            <v/>
          </cell>
          <cell r="V5377" t="str">
            <v/>
          </cell>
          <cell r="Z5377" t="str">
            <v/>
          </cell>
          <cell r="AA5377" t="str">
            <v/>
          </cell>
          <cell r="AB5377" t="str">
            <v/>
          </cell>
          <cell r="AC5377" t="str">
            <v/>
          </cell>
          <cell r="AD5377" t="str">
            <v/>
          </cell>
          <cell r="AY5377" t="str">
            <v/>
          </cell>
          <cell r="AZ5377" t="str">
            <v/>
          </cell>
          <cell r="BA5377" t="str">
            <v/>
          </cell>
        </row>
        <row r="5378">
          <cell r="B5378" t="str">
            <v>-</v>
          </cell>
          <cell r="E5378" t="str">
            <v/>
          </cell>
          <cell r="G5378" t="str">
            <v/>
          </cell>
          <cell r="J5378" t="str">
            <v/>
          </cell>
          <cell r="O5378" t="str">
            <v/>
          </cell>
          <cell r="P5378" t="str">
            <v/>
          </cell>
          <cell r="Q5378" t="str">
            <v/>
          </cell>
          <cell r="S5378" t="str">
            <v/>
          </cell>
          <cell r="V5378" t="str">
            <v/>
          </cell>
          <cell r="Z5378" t="str">
            <v/>
          </cell>
          <cell r="AA5378" t="str">
            <v/>
          </cell>
          <cell r="AB5378" t="str">
            <v/>
          </cell>
          <cell r="AC5378" t="str">
            <v/>
          </cell>
          <cell r="AD5378" t="str">
            <v/>
          </cell>
          <cell r="AY5378" t="str">
            <v/>
          </cell>
          <cell r="AZ5378" t="str">
            <v/>
          </cell>
          <cell r="BA5378" t="str">
            <v/>
          </cell>
        </row>
        <row r="5379">
          <cell r="B5379" t="str">
            <v>-</v>
          </cell>
          <cell r="E5379" t="str">
            <v/>
          </cell>
          <cell r="G5379" t="str">
            <v/>
          </cell>
          <cell r="J5379" t="str">
            <v/>
          </cell>
          <cell r="O5379" t="str">
            <v/>
          </cell>
          <cell r="P5379" t="str">
            <v/>
          </cell>
          <cell r="Q5379" t="str">
            <v/>
          </cell>
          <cell r="S5379" t="str">
            <v/>
          </cell>
          <cell r="V5379" t="str">
            <v/>
          </cell>
          <cell r="Z5379" t="str">
            <v/>
          </cell>
          <cell r="AA5379" t="str">
            <v/>
          </cell>
          <cell r="AB5379" t="str">
            <v/>
          </cell>
          <cell r="AC5379" t="str">
            <v/>
          </cell>
          <cell r="AD5379" t="str">
            <v/>
          </cell>
          <cell r="AY5379" t="str">
            <v/>
          </cell>
          <cell r="AZ5379" t="str">
            <v/>
          </cell>
          <cell r="BA5379" t="str">
            <v/>
          </cell>
        </row>
        <row r="5380">
          <cell r="B5380" t="str">
            <v>-</v>
          </cell>
          <cell r="E5380" t="str">
            <v/>
          </cell>
          <cell r="G5380" t="str">
            <v/>
          </cell>
          <cell r="J5380" t="str">
            <v/>
          </cell>
          <cell r="O5380" t="str">
            <v/>
          </cell>
          <cell r="P5380" t="str">
            <v/>
          </cell>
          <cell r="Q5380" t="str">
            <v/>
          </cell>
          <cell r="S5380" t="str">
            <v/>
          </cell>
          <cell r="V5380" t="str">
            <v/>
          </cell>
          <cell r="Z5380" t="str">
            <v/>
          </cell>
          <cell r="AA5380" t="str">
            <v/>
          </cell>
          <cell r="AB5380" t="str">
            <v/>
          </cell>
          <cell r="AC5380" t="str">
            <v/>
          </cell>
          <cell r="AD5380" t="str">
            <v/>
          </cell>
          <cell r="AY5380" t="str">
            <v/>
          </cell>
          <cell r="AZ5380" t="str">
            <v/>
          </cell>
          <cell r="BA5380" t="str">
            <v/>
          </cell>
        </row>
        <row r="5381">
          <cell r="B5381" t="str">
            <v>-</v>
          </cell>
          <cell r="E5381" t="str">
            <v/>
          </cell>
          <cell r="G5381" t="str">
            <v/>
          </cell>
          <cell r="J5381" t="str">
            <v/>
          </cell>
          <cell r="O5381" t="str">
            <v/>
          </cell>
          <cell r="P5381" t="str">
            <v/>
          </cell>
          <cell r="Q5381" t="str">
            <v/>
          </cell>
          <cell r="S5381" t="str">
            <v/>
          </cell>
          <cell r="V5381" t="str">
            <v/>
          </cell>
          <cell r="Z5381" t="str">
            <v/>
          </cell>
          <cell r="AA5381" t="str">
            <v/>
          </cell>
          <cell r="AB5381" t="str">
            <v/>
          </cell>
          <cell r="AC5381" t="str">
            <v/>
          </cell>
          <cell r="AD5381" t="str">
            <v/>
          </cell>
          <cell r="AY5381" t="str">
            <v/>
          </cell>
          <cell r="AZ5381" t="str">
            <v/>
          </cell>
          <cell r="BA5381" t="str">
            <v/>
          </cell>
        </row>
        <row r="5382">
          <cell r="B5382" t="str">
            <v>-</v>
          </cell>
          <cell r="E5382" t="str">
            <v/>
          </cell>
          <cell r="G5382" t="str">
            <v/>
          </cell>
          <cell r="J5382" t="str">
            <v/>
          </cell>
          <cell r="O5382" t="str">
            <v/>
          </cell>
          <cell r="P5382" t="str">
            <v/>
          </cell>
          <cell r="Q5382" t="str">
            <v/>
          </cell>
          <cell r="S5382" t="str">
            <v/>
          </cell>
          <cell r="V5382" t="str">
            <v/>
          </cell>
          <cell r="Z5382" t="str">
            <v/>
          </cell>
          <cell r="AA5382" t="str">
            <v/>
          </cell>
          <cell r="AB5382" t="str">
            <v/>
          </cell>
          <cell r="AC5382" t="str">
            <v/>
          </cell>
          <cell r="AD5382" t="str">
            <v/>
          </cell>
          <cell r="AY5382" t="str">
            <v/>
          </cell>
          <cell r="AZ5382" t="str">
            <v/>
          </cell>
          <cell r="BA5382" t="str">
            <v/>
          </cell>
        </row>
        <row r="5383">
          <cell r="B5383" t="str">
            <v>-</v>
          </cell>
          <cell r="E5383" t="str">
            <v/>
          </cell>
          <cell r="G5383" t="str">
            <v/>
          </cell>
          <cell r="J5383" t="str">
            <v/>
          </cell>
          <cell r="O5383" t="str">
            <v/>
          </cell>
          <cell r="P5383" t="str">
            <v/>
          </cell>
          <cell r="Q5383" t="str">
            <v/>
          </cell>
          <cell r="S5383" t="str">
            <v/>
          </cell>
          <cell r="V5383" t="str">
            <v/>
          </cell>
          <cell r="Z5383" t="str">
            <v/>
          </cell>
          <cell r="AA5383" t="str">
            <v/>
          </cell>
          <cell r="AB5383" t="str">
            <v/>
          </cell>
          <cell r="AC5383" t="str">
            <v/>
          </cell>
          <cell r="AD5383" t="str">
            <v/>
          </cell>
          <cell r="AY5383" t="str">
            <v/>
          </cell>
          <cell r="AZ5383" t="str">
            <v/>
          </cell>
          <cell r="BA5383" t="str">
            <v/>
          </cell>
        </row>
        <row r="5384">
          <cell r="B5384" t="str">
            <v>-</v>
          </cell>
          <cell r="E5384" t="str">
            <v/>
          </cell>
          <cell r="G5384" t="str">
            <v/>
          </cell>
          <cell r="J5384" t="str">
            <v/>
          </cell>
          <cell r="O5384" t="str">
            <v/>
          </cell>
          <cell r="P5384" t="str">
            <v/>
          </cell>
          <cell r="Q5384" t="str">
            <v/>
          </cell>
          <cell r="S5384" t="str">
            <v/>
          </cell>
          <cell r="V5384" t="str">
            <v/>
          </cell>
          <cell r="Z5384" t="str">
            <v/>
          </cell>
          <cell r="AA5384" t="str">
            <v/>
          </cell>
          <cell r="AB5384" t="str">
            <v/>
          </cell>
          <cell r="AC5384" t="str">
            <v/>
          </cell>
          <cell r="AD5384" t="str">
            <v/>
          </cell>
          <cell r="AY5384" t="str">
            <v/>
          </cell>
          <cell r="AZ5384" t="str">
            <v/>
          </cell>
          <cell r="BA5384" t="str">
            <v/>
          </cell>
        </row>
        <row r="5385">
          <cell r="B5385" t="str">
            <v>-</v>
          </cell>
          <cell r="E5385" t="str">
            <v/>
          </cell>
          <cell r="G5385" t="str">
            <v/>
          </cell>
          <cell r="J5385" t="str">
            <v/>
          </cell>
          <cell r="O5385" t="str">
            <v/>
          </cell>
          <cell r="P5385" t="str">
            <v/>
          </cell>
          <cell r="Q5385" t="str">
            <v/>
          </cell>
          <cell r="S5385" t="str">
            <v/>
          </cell>
          <cell r="V5385" t="str">
            <v/>
          </cell>
          <cell r="Z5385" t="str">
            <v/>
          </cell>
          <cell r="AA5385" t="str">
            <v/>
          </cell>
          <cell r="AB5385" t="str">
            <v/>
          </cell>
          <cell r="AC5385" t="str">
            <v/>
          </cell>
          <cell r="AD5385" t="str">
            <v/>
          </cell>
          <cell r="AY5385" t="str">
            <v/>
          </cell>
          <cell r="AZ5385" t="str">
            <v/>
          </cell>
          <cell r="BA5385" t="str">
            <v/>
          </cell>
        </row>
        <row r="5386">
          <cell r="B5386" t="str">
            <v>-</v>
          </cell>
          <cell r="E5386" t="str">
            <v/>
          </cell>
          <cell r="G5386" t="str">
            <v/>
          </cell>
          <cell r="J5386" t="str">
            <v/>
          </cell>
          <cell r="O5386" t="str">
            <v/>
          </cell>
          <cell r="P5386" t="str">
            <v/>
          </cell>
          <cell r="Q5386" t="str">
            <v/>
          </cell>
          <cell r="S5386" t="str">
            <v/>
          </cell>
          <cell r="V5386" t="str">
            <v/>
          </cell>
          <cell r="Z5386" t="str">
            <v/>
          </cell>
          <cell r="AA5386" t="str">
            <v/>
          </cell>
          <cell r="AB5386" t="str">
            <v/>
          </cell>
          <cell r="AC5386" t="str">
            <v/>
          </cell>
          <cell r="AD5386" t="str">
            <v/>
          </cell>
          <cell r="AY5386" t="str">
            <v/>
          </cell>
          <cell r="AZ5386" t="str">
            <v/>
          </cell>
          <cell r="BA5386" t="str">
            <v/>
          </cell>
        </row>
        <row r="5387">
          <cell r="B5387" t="str">
            <v>-</v>
          </cell>
          <cell r="E5387" t="str">
            <v/>
          </cell>
          <cell r="G5387" t="str">
            <v/>
          </cell>
          <cell r="J5387" t="str">
            <v/>
          </cell>
          <cell r="O5387" t="str">
            <v/>
          </cell>
          <cell r="P5387" t="str">
            <v/>
          </cell>
          <cell r="Q5387" t="str">
            <v/>
          </cell>
          <cell r="S5387" t="str">
            <v/>
          </cell>
          <cell r="V5387" t="str">
            <v/>
          </cell>
          <cell r="Z5387" t="str">
            <v/>
          </cell>
          <cell r="AA5387" t="str">
            <v/>
          </cell>
          <cell r="AB5387" t="str">
            <v/>
          </cell>
          <cell r="AC5387" t="str">
            <v/>
          </cell>
          <cell r="AD5387" t="str">
            <v/>
          </cell>
          <cell r="AY5387" t="str">
            <v/>
          </cell>
          <cell r="AZ5387" t="str">
            <v/>
          </cell>
          <cell r="BA5387" t="str">
            <v/>
          </cell>
        </row>
        <row r="5388">
          <cell r="B5388" t="str">
            <v>-</v>
          </cell>
          <cell r="E5388" t="str">
            <v/>
          </cell>
          <cell r="G5388" t="str">
            <v/>
          </cell>
          <cell r="J5388" t="str">
            <v/>
          </cell>
          <cell r="O5388" t="str">
            <v/>
          </cell>
          <cell r="P5388" t="str">
            <v/>
          </cell>
          <cell r="Q5388" t="str">
            <v/>
          </cell>
          <cell r="S5388" t="str">
            <v/>
          </cell>
          <cell r="V5388" t="str">
            <v/>
          </cell>
          <cell r="Z5388" t="str">
            <v/>
          </cell>
          <cell r="AA5388" t="str">
            <v/>
          </cell>
          <cell r="AB5388" t="str">
            <v/>
          </cell>
          <cell r="AC5388" t="str">
            <v/>
          </cell>
          <cell r="AD5388" t="str">
            <v/>
          </cell>
          <cell r="AY5388" t="str">
            <v/>
          </cell>
          <cell r="AZ5388" t="str">
            <v/>
          </cell>
          <cell r="BA5388" t="str">
            <v/>
          </cell>
        </row>
        <row r="5389">
          <cell r="B5389" t="str">
            <v>-</v>
          </cell>
          <cell r="E5389" t="str">
            <v/>
          </cell>
          <cell r="G5389" t="str">
            <v/>
          </cell>
          <cell r="J5389" t="str">
            <v/>
          </cell>
          <cell r="O5389" t="str">
            <v/>
          </cell>
          <cell r="P5389" t="str">
            <v/>
          </cell>
          <cell r="Q5389" t="str">
            <v/>
          </cell>
          <cell r="S5389" t="str">
            <v/>
          </cell>
          <cell r="V5389" t="str">
            <v/>
          </cell>
          <cell r="Z5389" t="str">
            <v/>
          </cell>
          <cell r="AA5389" t="str">
            <v/>
          </cell>
          <cell r="AB5389" t="str">
            <v/>
          </cell>
          <cell r="AC5389" t="str">
            <v/>
          </cell>
          <cell r="AD5389" t="str">
            <v/>
          </cell>
          <cell r="AY5389" t="str">
            <v/>
          </cell>
          <cell r="AZ5389" t="str">
            <v/>
          </cell>
          <cell r="BA5389" t="str">
            <v/>
          </cell>
        </row>
        <row r="5390">
          <cell r="B5390" t="str">
            <v>-</v>
          </cell>
          <cell r="E5390" t="str">
            <v/>
          </cell>
          <cell r="G5390" t="str">
            <v/>
          </cell>
          <cell r="J5390" t="str">
            <v/>
          </cell>
          <cell r="O5390" t="str">
            <v/>
          </cell>
          <cell r="P5390" t="str">
            <v/>
          </cell>
          <cell r="Q5390" t="str">
            <v/>
          </cell>
          <cell r="S5390" t="str">
            <v/>
          </cell>
          <cell r="V5390" t="str">
            <v/>
          </cell>
          <cell r="Z5390" t="str">
            <v/>
          </cell>
          <cell r="AA5390" t="str">
            <v/>
          </cell>
          <cell r="AB5390" t="str">
            <v/>
          </cell>
          <cell r="AC5390" t="str">
            <v/>
          </cell>
          <cell r="AD5390" t="str">
            <v/>
          </cell>
          <cell r="AY5390" t="str">
            <v/>
          </cell>
          <cell r="AZ5390" t="str">
            <v/>
          </cell>
          <cell r="BA5390" t="str">
            <v/>
          </cell>
        </row>
        <row r="5391">
          <cell r="B5391" t="str">
            <v>-</v>
          </cell>
          <cell r="E5391" t="str">
            <v/>
          </cell>
          <cell r="G5391" t="str">
            <v/>
          </cell>
          <cell r="J5391" t="str">
            <v/>
          </cell>
          <cell r="O5391" t="str">
            <v/>
          </cell>
          <cell r="P5391" t="str">
            <v/>
          </cell>
          <cell r="Q5391" t="str">
            <v/>
          </cell>
          <cell r="S5391" t="str">
            <v/>
          </cell>
          <cell r="V5391" t="str">
            <v/>
          </cell>
          <cell r="Z5391" t="str">
            <v/>
          </cell>
          <cell r="AA5391" t="str">
            <v/>
          </cell>
          <cell r="AB5391" t="str">
            <v/>
          </cell>
          <cell r="AC5391" t="str">
            <v/>
          </cell>
          <cell r="AD5391" t="str">
            <v/>
          </cell>
          <cell r="AY5391" t="str">
            <v/>
          </cell>
          <cell r="AZ5391" t="str">
            <v/>
          </cell>
          <cell r="BA5391" t="str">
            <v/>
          </cell>
        </row>
        <row r="5392">
          <cell r="B5392" t="str">
            <v>-</v>
          </cell>
          <cell r="E5392" t="str">
            <v/>
          </cell>
          <cell r="G5392" t="str">
            <v/>
          </cell>
          <cell r="J5392" t="str">
            <v/>
          </cell>
          <cell r="O5392" t="str">
            <v/>
          </cell>
          <cell r="P5392" t="str">
            <v/>
          </cell>
          <cell r="Q5392" t="str">
            <v/>
          </cell>
          <cell r="S5392" t="str">
            <v/>
          </cell>
          <cell r="V5392" t="str">
            <v/>
          </cell>
          <cell r="Z5392" t="str">
            <v/>
          </cell>
          <cell r="AA5392" t="str">
            <v/>
          </cell>
          <cell r="AB5392" t="str">
            <v/>
          </cell>
          <cell r="AC5392" t="str">
            <v/>
          </cell>
          <cell r="AD5392" t="str">
            <v/>
          </cell>
          <cell r="AY5392" t="str">
            <v/>
          </cell>
          <cell r="AZ5392" t="str">
            <v/>
          </cell>
          <cell r="BA5392" t="str">
            <v/>
          </cell>
        </row>
        <row r="5393">
          <cell r="B5393" t="str">
            <v>-</v>
          </cell>
          <cell r="E5393" t="str">
            <v/>
          </cell>
          <cell r="G5393" t="str">
            <v/>
          </cell>
          <cell r="J5393" t="str">
            <v/>
          </cell>
          <cell r="O5393" t="str">
            <v/>
          </cell>
          <cell r="P5393" t="str">
            <v/>
          </cell>
          <cell r="Q5393" t="str">
            <v/>
          </cell>
          <cell r="S5393" t="str">
            <v/>
          </cell>
          <cell r="V5393" t="str">
            <v/>
          </cell>
          <cell r="Z5393" t="str">
            <v/>
          </cell>
          <cell r="AA5393" t="str">
            <v/>
          </cell>
          <cell r="AB5393" t="str">
            <v/>
          </cell>
          <cell r="AC5393" t="str">
            <v/>
          </cell>
          <cell r="AD5393" t="str">
            <v/>
          </cell>
          <cell r="AY5393" t="str">
            <v/>
          </cell>
          <cell r="AZ5393" t="str">
            <v/>
          </cell>
          <cell r="BA5393" t="str">
            <v/>
          </cell>
        </row>
        <row r="5394">
          <cell r="B5394" t="str">
            <v>-</v>
          </cell>
          <cell r="E5394" t="str">
            <v/>
          </cell>
          <cell r="G5394" t="str">
            <v/>
          </cell>
          <cell r="J5394" t="str">
            <v/>
          </cell>
          <cell r="O5394" t="str">
            <v/>
          </cell>
          <cell r="P5394" t="str">
            <v/>
          </cell>
          <cell r="Q5394" t="str">
            <v/>
          </cell>
          <cell r="S5394" t="str">
            <v/>
          </cell>
          <cell r="V5394" t="str">
            <v/>
          </cell>
          <cell r="Z5394" t="str">
            <v/>
          </cell>
          <cell r="AA5394" t="str">
            <v/>
          </cell>
          <cell r="AB5394" t="str">
            <v/>
          </cell>
          <cell r="AC5394" t="str">
            <v/>
          </cell>
          <cell r="AD5394" t="str">
            <v/>
          </cell>
          <cell r="AY5394" t="str">
            <v/>
          </cell>
          <cell r="AZ5394" t="str">
            <v/>
          </cell>
          <cell r="BA5394" t="str">
            <v/>
          </cell>
        </row>
        <row r="5395">
          <cell r="B5395" t="str">
            <v>-</v>
          </cell>
          <cell r="E5395" t="str">
            <v/>
          </cell>
          <cell r="G5395" t="str">
            <v/>
          </cell>
          <cell r="J5395" t="str">
            <v/>
          </cell>
          <cell r="O5395" t="str">
            <v/>
          </cell>
          <cell r="P5395" t="str">
            <v/>
          </cell>
          <cell r="Q5395" t="str">
            <v/>
          </cell>
          <cell r="S5395" t="str">
            <v/>
          </cell>
          <cell r="V5395" t="str">
            <v/>
          </cell>
          <cell r="Z5395" t="str">
            <v/>
          </cell>
          <cell r="AA5395" t="str">
            <v/>
          </cell>
          <cell r="AB5395" t="str">
            <v/>
          </cell>
          <cell r="AC5395" t="str">
            <v/>
          </cell>
          <cell r="AD5395" t="str">
            <v/>
          </cell>
          <cell r="AY5395" t="str">
            <v/>
          </cell>
          <cell r="AZ5395" t="str">
            <v/>
          </cell>
          <cell r="BA5395" t="str">
            <v/>
          </cell>
        </row>
        <row r="5396">
          <cell r="B5396" t="str">
            <v>-</v>
          </cell>
          <cell r="E5396" t="str">
            <v/>
          </cell>
          <cell r="G5396" t="str">
            <v/>
          </cell>
          <cell r="J5396" t="str">
            <v/>
          </cell>
          <cell r="O5396" t="str">
            <v/>
          </cell>
          <cell r="P5396" t="str">
            <v/>
          </cell>
          <cell r="Q5396" t="str">
            <v/>
          </cell>
          <cell r="S5396" t="str">
            <v/>
          </cell>
          <cell r="V5396" t="str">
            <v/>
          </cell>
          <cell r="Z5396" t="str">
            <v/>
          </cell>
          <cell r="AA5396" t="str">
            <v/>
          </cell>
          <cell r="AB5396" t="str">
            <v/>
          </cell>
          <cell r="AC5396" t="str">
            <v/>
          </cell>
          <cell r="AD5396" t="str">
            <v/>
          </cell>
          <cell r="AY5396" t="str">
            <v/>
          </cell>
          <cell r="AZ5396" t="str">
            <v/>
          </cell>
          <cell r="BA5396" t="str">
            <v/>
          </cell>
        </row>
        <row r="5397">
          <cell r="B5397" t="str">
            <v>-</v>
          </cell>
          <cell r="E5397" t="str">
            <v/>
          </cell>
          <cell r="G5397" t="str">
            <v/>
          </cell>
          <cell r="J5397" t="str">
            <v/>
          </cell>
          <cell r="O5397" t="str">
            <v/>
          </cell>
          <cell r="P5397" t="str">
            <v/>
          </cell>
          <cell r="Q5397" t="str">
            <v/>
          </cell>
          <cell r="S5397" t="str">
            <v/>
          </cell>
          <cell r="V5397" t="str">
            <v/>
          </cell>
          <cell r="Z5397" t="str">
            <v/>
          </cell>
          <cell r="AA5397" t="str">
            <v/>
          </cell>
          <cell r="AB5397" t="str">
            <v/>
          </cell>
          <cell r="AC5397" t="str">
            <v/>
          </cell>
          <cell r="AD5397" t="str">
            <v/>
          </cell>
          <cell r="AY5397" t="str">
            <v/>
          </cell>
          <cell r="AZ5397" t="str">
            <v/>
          </cell>
          <cell r="BA5397" t="str">
            <v/>
          </cell>
        </row>
        <row r="5398">
          <cell r="B5398" t="str">
            <v>-</v>
          </cell>
          <cell r="E5398" t="str">
            <v/>
          </cell>
          <cell r="G5398" t="str">
            <v/>
          </cell>
          <cell r="J5398" t="str">
            <v/>
          </cell>
          <cell r="O5398" t="str">
            <v/>
          </cell>
          <cell r="P5398" t="str">
            <v/>
          </cell>
          <cell r="Q5398" t="str">
            <v/>
          </cell>
          <cell r="S5398" t="str">
            <v/>
          </cell>
          <cell r="V5398" t="str">
            <v/>
          </cell>
          <cell r="Z5398" t="str">
            <v/>
          </cell>
          <cell r="AA5398" t="str">
            <v/>
          </cell>
          <cell r="AB5398" t="str">
            <v/>
          </cell>
          <cell r="AC5398" t="str">
            <v/>
          </cell>
          <cell r="AD5398" t="str">
            <v/>
          </cell>
          <cell r="AY5398" t="str">
            <v/>
          </cell>
          <cell r="AZ5398" t="str">
            <v/>
          </cell>
          <cell r="BA5398" t="str">
            <v/>
          </cell>
        </row>
        <row r="5399">
          <cell r="B5399" t="str">
            <v>-</v>
          </cell>
          <cell r="E5399" t="str">
            <v/>
          </cell>
          <cell r="G5399" t="str">
            <v/>
          </cell>
          <cell r="J5399" t="str">
            <v/>
          </cell>
          <cell r="O5399" t="str">
            <v/>
          </cell>
          <cell r="P5399" t="str">
            <v/>
          </cell>
          <cell r="Q5399" t="str">
            <v/>
          </cell>
          <cell r="S5399" t="str">
            <v/>
          </cell>
          <cell r="V5399" t="str">
            <v/>
          </cell>
          <cell r="Z5399" t="str">
            <v/>
          </cell>
          <cell r="AA5399" t="str">
            <v/>
          </cell>
          <cell r="AB5399" t="str">
            <v/>
          </cell>
          <cell r="AC5399" t="str">
            <v/>
          </cell>
          <cell r="AD5399" t="str">
            <v/>
          </cell>
          <cell r="AY5399" t="str">
            <v/>
          </cell>
          <cell r="AZ5399" t="str">
            <v/>
          </cell>
          <cell r="BA5399" t="str">
            <v/>
          </cell>
        </row>
        <row r="5400">
          <cell r="B5400" t="str">
            <v>-</v>
          </cell>
          <cell r="E5400" t="str">
            <v/>
          </cell>
          <cell r="G5400" t="str">
            <v/>
          </cell>
          <cell r="J5400" t="str">
            <v/>
          </cell>
          <cell r="O5400" t="str">
            <v/>
          </cell>
          <cell r="P5400" t="str">
            <v/>
          </cell>
          <cell r="Q5400" t="str">
            <v/>
          </cell>
          <cell r="S5400" t="str">
            <v/>
          </cell>
          <cell r="V5400" t="str">
            <v/>
          </cell>
          <cell r="Z5400" t="str">
            <v/>
          </cell>
          <cell r="AA5400" t="str">
            <v/>
          </cell>
          <cell r="AB5400" t="str">
            <v/>
          </cell>
          <cell r="AC5400" t="str">
            <v/>
          </cell>
          <cell r="AD5400" t="str">
            <v/>
          </cell>
          <cell r="AY5400" t="str">
            <v/>
          </cell>
          <cell r="AZ5400" t="str">
            <v/>
          </cell>
          <cell r="BA5400" t="str">
            <v/>
          </cell>
        </row>
        <row r="5401">
          <cell r="B5401" t="str">
            <v>-</v>
          </cell>
          <cell r="E5401" t="str">
            <v/>
          </cell>
          <cell r="G5401" t="str">
            <v/>
          </cell>
          <cell r="J5401" t="str">
            <v/>
          </cell>
          <cell r="O5401" t="str">
            <v/>
          </cell>
          <cell r="P5401" t="str">
            <v/>
          </cell>
          <cell r="Q5401" t="str">
            <v/>
          </cell>
          <cell r="S5401" t="str">
            <v/>
          </cell>
          <cell r="V5401" t="str">
            <v/>
          </cell>
          <cell r="Z5401" t="str">
            <v/>
          </cell>
          <cell r="AA5401" t="str">
            <v/>
          </cell>
          <cell r="AB5401" t="str">
            <v/>
          </cell>
          <cell r="AC5401" t="str">
            <v/>
          </cell>
          <cell r="AD5401" t="str">
            <v/>
          </cell>
          <cell r="AY5401" t="str">
            <v/>
          </cell>
          <cell r="AZ5401" t="str">
            <v/>
          </cell>
          <cell r="BA5401" t="str">
            <v/>
          </cell>
        </row>
        <row r="5402">
          <cell r="B5402" t="str">
            <v>-</v>
          </cell>
          <cell r="E5402" t="str">
            <v/>
          </cell>
          <cell r="G5402" t="str">
            <v/>
          </cell>
          <cell r="J5402" t="str">
            <v/>
          </cell>
          <cell r="O5402" t="str">
            <v/>
          </cell>
          <cell r="P5402" t="str">
            <v/>
          </cell>
          <cell r="Q5402" t="str">
            <v/>
          </cell>
          <cell r="S5402" t="str">
            <v/>
          </cell>
          <cell r="V5402" t="str">
            <v/>
          </cell>
          <cell r="Z5402" t="str">
            <v/>
          </cell>
          <cell r="AA5402" t="str">
            <v/>
          </cell>
          <cell r="AB5402" t="str">
            <v/>
          </cell>
          <cell r="AC5402" t="str">
            <v/>
          </cell>
          <cell r="AD5402" t="str">
            <v/>
          </cell>
          <cell r="AY5402" t="str">
            <v/>
          </cell>
          <cell r="AZ5402" t="str">
            <v/>
          </cell>
          <cell r="BA5402" t="str">
            <v/>
          </cell>
        </row>
        <row r="5403">
          <cell r="B5403" t="str">
            <v>-</v>
          </cell>
          <cell r="E5403" t="str">
            <v/>
          </cell>
          <cell r="G5403" t="str">
            <v/>
          </cell>
          <cell r="J5403" t="str">
            <v/>
          </cell>
          <cell r="O5403" t="str">
            <v/>
          </cell>
          <cell r="P5403" t="str">
            <v/>
          </cell>
          <cell r="Q5403" t="str">
            <v/>
          </cell>
          <cell r="S5403" t="str">
            <v/>
          </cell>
          <cell r="V5403" t="str">
            <v/>
          </cell>
          <cell r="Z5403" t="str">
            <v/>
          </cell>
          <cell r="AA5403" t="str">
            <v/>
          </cell>
          <cell r="AB5403" t="str">
            <v/>
          </cell>
          <cell r="AC5403" t="str">
            <v/>
          </cell>
          <cell r="AD5403" t="str">
            <v/>
          </cell>
          <cell r="AY5403" t="str">
            <v/>
          </cell>
          <cell r="AZ5403" t="str">
            <v/>
          </cell>
          <cell r="BA5403" t="str">
            <v/>
          </cell>
        </row>
        <row r="5404">
          <cell r="B5404" t="str">
            <v>-</v>
          </cell>
          <cell r="E5404" t="str">
            <v/>
          </cell>
          <cell r="G5404" t="str">
            <v/>
          </cell>
          <cell r="J5404" t="str">
            <v/>
          </cell>
          <cell r="O5404" t="str">
            <v/>
          </cell>
          <cell r="P5404" t="str">
            <v/>
          </cell>
          <cell r="Q5404" t="str">
            <v/>
          </cell>
          <cell r="S5404" t="str">
            <v/>
          </cell>
          <cell r="V5404" t="str">
            <v/>
          </cell>
          <cell r="Z5404" t="str">
            <v/>
          </cell>
          <cell r="AA5404" t="str">
            <v/>
          </cell>
          <cell r="AB5404" t="str">
            <v/>
          </cell>
          <cell r="AC5404" t="str">
            <v/>
          </cell>
          <cell r="AD5404" t="str">
            <v/>
          </cell>
          <cell r="AY5404" t="str">
            <v/>
          </cell>
          <cell r="AZ5404" t="str">
            <v/>
          </cell>
          <cell r="BA5404" t="str">
            <v/>
          </cell>
        </row>
        <row r="5405">
          <cell r="B5405" t="str">
            <v>-</v>
          </cell>
          <cell r="E5405" t="str">
            <v/>
          </cell>
          <cell r="G5405" t="str">
            <v/>
          </cell>
          <cell r="J5405" t="str">
            <v/>
          </cell>
          <cell r="O5405" t="str">
            <v/>
          </cell>
          <cell r="P5405" t="str">
            <v/>
          </cell>
          <cell r="Q5405" t="str">
            <v/>
          </cell>
          <cell r="S5405" t="str">
            <v/>
          </cell>
          <cell r="V5405" t="str">
            <v/>
          </cell>
          <cell r="Z5405" t="str">
            <v/>
          </cell>
          <cell r="AA5405" t="str">
            <v/>
          </cell>
          <cell r="AB5405" t="str">
            <v/>
          </cell>
          <cell r="AC5405" t="str">
            <v/>
          </cell>
          <cell r="AD5405" t="str">
            <v/>
          </cell>
          <cell r="AY5405" t="str">
            <v/>
          </cell>
          <cell r="AZ5405" t="str">
            <v/>
          </cell>
          <cell r="BA5405" t="str">
            <v/>
          </cell>
        </row>
        <row r="5406">
          <cell r="B5406" t="str">
            <v>-</v>
          </cell>
          <cell r="E5406" t="str">
            <v/>
          </cell>
          <cell r="G5406" t="str">
            <v/>
          </cell>
          <cell r="J5406" t="str">
            <v/>
          </cell>
          <cell r="O5406" t="str">
            <v/>
          </cell>
          <cell r="P5406" t="str">
            <v/>
          </cell>
          <cell r="Q5406" t="str">
            <v/>
          </cell>
          <cell r="S5406" t="str">
            <v/>
          </cell>
          <cell r="V5406" t="str">
            <v/>
          </cell>
          <cell r="Z5406" t="str">
            <v/>
          </cell>
          <cell r="AA5406" t="str">
            <v/>
          </cell>
          <cell r="AB5406" t="str">
            <v/>
          </cell>
          <cell r="AC5406" t="str">
            <v/>
          </cell>
          <cell r="AD5406" t="str">
            <v/>
          </cell>
          <cell r="AY5406" t="str">
            <v/>
          </cell>
          <cell r="AZ5406" t="str">
            <v/>
          </cell>
          <cell r="BA5406" t="str">
            <v/>
          </cell>
        </row>
        <row r="5407">
          <cell r="B5407" t="str">
            <v>-</v>
          </cell>
          <cell r="E5407" t="str">
            <v/>
          </cell>
          <cell r="G5407" t="str">
            <v/>
          </cell>
          <cell r="J5407" t="str">
            <v/>
          </cell>
          <cell r="O5407" t="str">
            <v/>
          </cell>
          <cell r="P5407" t="str">
            <v/>
          </cell>
          <cell r="Q5407" t="str">
            <v/>
          </cell>
          <cell r="S5407" t="str">
            <v/>
          </cell>
          <cell r="V5407" t="str">
            <v/>
          </cell>
          <cell r="Z5407" t="str">
            <v/>
          </cell>
          <cell r="AA5407" t="str">
            <v/>
          </cell>
          <cell r="AB5407" t="str">
            <v/>
          </cell>
          <cell r="AC5407" t="str">
            <v/>
          </cell>
          <cell r="AD5407" t="str">
            <v/>
          </cell>
          <cell r="AY5407" t="str">
            <v/>
          </cell>
          <cell r="AZ5407" t="str">
            <v/>
          </cell>
          <cell r="BA5407" t="str">
            <v/>
          </cell>
        </row>
        <row r="5408">
          <cell r="B5408" t="str">
            <v>-</v>
          </cell>
          <cell r="E5408" t="str">
            <v/>
          </cell>
          <cell r="G5408" t="str">
            <v/>
          </cell>
          <cell r="J5408" t="str">
            <v/>
          </cell>
          <cell r="O5408" t="str">
            <v/>
          </cell>
          <cell r="P5408" t="str">
            <v/>
          </cell>
          <cell r="Q5408" t="str">
            <v/>
          </cell>
          <cell r="S5408" t="str">
            <v/>
          </cell>
          <cell r="V5408" t="str">
            <v/>
          </cell>
          <cell r="Z5408" t="str">
            <v/>
          </cell>
          <cell r="AA5408" t="str">
            <v/>
          </cell>
          <cell r="AB5408" t="str">
            <v/>
          </cell>
          <cell r="AC5408" t="str">
            <v/>
          </cell>
          <cell r="AD5408" t="str">
            <v/>
          </cell>
          <cell r="AY5408" t="str">
            <v/>
          </cell>
          <cell r="AZ5408" t="str">
            <v/>
          </cell>
          <cell r="BA5408" t="str">
            <v/>
          </cell>
        </row>
        <row r="5409">
          <cell r="B5409" t="str">
            <v>-</v>
          </cell>
          <cell r="E5409" t="str">
            <v/>
          </cell>
          <cell r="G5409" t="str">
            <v/>
          </cell>
          <cell r="J5409" t="str">
            <v/>
          </cell>
          <cell r="O5409" t="str">
            <v/>
          </cell>
          <cell r="P5409" t="str">
            <v/>
          </cell>
          <cell r="Q5409" t="str">
            <v/>
          </cell>
          <cell r="S5409" t="str">
            <v/>
          </cell>
          <cell r="V5409" t="str">
            <v/>
          </cell>
          <cell r="Z5409" t="str">
            <v/>
          </cell>
          <cell r="AA5409" t="str">
            <v/>
          </cell>
          <cell r="AB5409" t="str">
            <v/>
          </cell>
          <cell r="AC5409" t="str">
            <v/>
          </cell>
          <cell r="AD5409" t="str">
            <v/>
          </cell>
          <cell r="AY5409" t="str">
            <v/>
          </cell>
          <cell r="AZ5409" t="str">
            <v/>
          </cell>
          <cell r="BA5409" t="str">
            <v/>
          </cell>
        </row>
        <row r="5410">
          <cell r="B5410" t="str">
            <v>-</v>
          </cell>
          <cell r="E5410" t="str">
            <v/>
          </cell>
          <cell r="G5410" t="str">
            <v/>
          </cell>
          <cell r="J5410" t="str">
            <v/>
          </cell>
          <cell r="O5410" t="str">
            <v/>
          </cell>
          <cell r="P5410" t="str">
            <v/>
          </cell>
          <cell r="Q5410" t="str">
            <v/>
          </cell>
          <cell r="S5410" t="str">
            <v/>
          </cell>
          <cell r="V5410" t="str">
            <v/>
          </cell>
          <cell r="Z5410" t="str">
            <v/>
          </cell>
          <cell r="AA5410" t="str">
            <v/>
          </cell>
          <cell r="AB5410" t="str">
            <v/>
          </cell>
          <cell r="AC5410" t="str">
            <v/>
          </cell>
          <cell r="AD5410" t="str">
            <v/>
          </cell>
          <cell r="AY5410" t="str">
            <v/>
          </cell>
          <cell r="AZ5410" t="str">
            <v/>
          </cell>
          <cell r="BA5410" t="str">
            <v/>
          </cell>
        </row>
        <row r="5411">
          <cell r="B5411" t="str">
            <v>-</v>
          </cell>
          <cell r="E5411" t="str">
            <v/>
          </cell>
          <cell r="G5411" t="str">
            <v/>
          </cell>
          <cell r="J5411" t="str">
            <v/>
          </cell>
          <cell r="O5411" t="str">
            <v/>
          </cell>
          <cell r="P5411" t="str">
            <v/>
          </cell>
          <cell r="Q5411" t="str">
            <v/>
          </cell>
          <cell r="S5411" t="str">
            <v/>
          </cell>
          <cell r="V5411" t="str">
            <v/>
          </cell>
          <cell r="Z5411" t="str">
            <v/>
          </cell>
          <cell r="AA5411" t="str">
            <v/>
          </cell>
          <cell r="AB5411" t="str">
            <v/>
          </cell>
          <cell r="AC5411" t="str">
            <v/>
          </cell>
          <cell r="AD5411" t="str">
            <v/>
          </cell>
          <cell r="AY5411" t="str">
            <v/>
          </cell>
          <cell r="AZ5411" t="str">
            <v/>
          </cell>
          <cell r="BA5411" t="str">
            <v/>
          </cell>
        </row>
        <row r="5412">
          <cell r="B5412" t="str">
            <v>-</v>
          </cell>
          <cell r="E5412" t="str">
            <v/>
          </cell>
          <cell r="G5412" t="str">
            <v/>
          </cell>
          <cell r="J5412" t="str">
            <v/>
          </cell>
          <cell r="O5412" t="str">
            <v/>
          </cell>
          <cell r="P5412" t="str">
            <v/>
          </cell>
          <cell r="Q5412" t="str">
            <v/>
          </cell>
          <cell r="S5412" t="str">
            <v/>
          </cell>
          <cell r="V5412" t="str">
            <v/>
          </cell>
          <cell r="Z5412" t="str">
            <v/>
          </cell>
          <cell r="AA5412" t="str">
            <v/>
          </cell>
          <cell r="AB5412" t="str">
            <v/>
          </cell>
          <cell r="AC5412" t="str">
            <v/>
          </cell>
          <cell r="AD5412" t="str">
            <v/>
          </cell>
          <cell r="AY5412" t="str">
            <v/>
          </cell>
          <cell r="AZ5412" t="str">
            <v/>
          </cell>
          <cell r="BA5412" t="str">
            <v/>
          </cell>
        </row>
        <row r="5413">
          <cell r="B5413" t="str">
            <v>-</v>
          </cell>
          <cell r="E5413" t="str">
            <v/>
          </cell>
          <cell r="G5413" t="str">
            <v/>
          </cell>
          <cell r="J5413" t="str">
            <v/>
          </cell>
          <cell r="O5413" t="str">
            <v/>
          </cell>
          <cell r="P5413" t="str">
            <v/>
          </cell>
          <cell r="Q5413" t="str">
            <v/>
          </cell>
          <cell r="S5413" t="str">
            <v/>
          </cell>
          <cell r="V5413" t="str">
            <v/>
          </cell>
          <cell r="Z5413" t="str">
            <v/>
          </cell>
          <cell r="AA5413" t="str">
            <v/>
          </cell>
          <cell r="AB5413" t="str">
            <v/>
          </cell>
          <cell r="AC5413" t="str">
            <v/>
          </cell>
          <cell r="AD5413" t="str">
            <v/>
          </cell>
          <cell r="AY5413" t="str">
            <v/>
          </cell>
          <cell r="AZ5413" t="str">
            <v/>
          </cell>
          <cell r="BA5413" t="str">
            <v/>
          </cell>
        </row>
        <row r="5414">
          <cell r="B5414" t="str">
            <v>-</v>
          </cell>
          <cell r="E5414" t="str">
            <v/>
          </cell>
          <cell r="G5414" t="str">
            <v/>
          </cell>
          <cell r="J5414" t="str">
            <v/>
          </cell>
          <cell r="O5414" t="str">
            <v/>
          </cell>
          <cell r="P5414" t="str">
            <v/>
          </cell>
          <cell r="Q5414" t="str">
            <v/>
          </cell>
          <cell r="S5414" t="str">
            <v/>
          </cell>
          <cell r="V5414" t="str">
            <v/>
          </cell>
          <cell r="Z5414" t="str">
            <v/>
          </cell>
          <cell r="AA5414" t="str">
            <v/>
          </cell>
          <cell r="AB5414" t="str">
            <v/>
          </cell>
          <cell r="AC5414" t="str">
            <v/>
          </cell>
          <cell r="AD5414" t="str">
            <v/>
          </cell>
          <cell r="AY5414" t="str">
            <v/>
          </cell>
          <cell r="AZ5414" t="str">
            <v/>
          </cell>
          <cell r="BA5414" t="str">
            <v/>
          </cell>
        </row>
        <row r="5415">
          <cell r="B5415" t="str">
            <v>-</v>
          </cell>
          <cell r="E5415" t="str">
            <v/>
          </cell>
          <cell r="G5415" t="str">
            <v/>
          </cell>
          <cell r="J5415" t="str">
            <v/>
          </cell>
          <cell r="O5415" t="str">
            <v/>
          </cell>
          <cell r="P5415" t="str">
            <v/>
          </cell>
          <cell r="Q5415" t="str">
            <v/>
          </cell>
          <cell r="S5415" t="str">
            <v/>
          </cell>
          <cell r="V5415" t="str">
            <v/>
          </cell>
          <cell r="Z5415" t="str">
            <v/>
          </cell>
          <cell r="AA5415" t="str">
            <v/>
          </cell>
          <cell r="AB5415" t="str">
            <v/>
          </cell>
          <cell r="AC5415" t="str">
            <v/>
          </cell>
          <cell r="AD5415" t="str">
            <v/>
          </cell>
          <cell r="AY5415" t="str">
            <v/>
          </cell>
          <cell r="AZ5415" t="str">
            <v/>
          </cell>
          <cell r="BA5415" t="str">
            <v/>
          </cell>
        </row>
        <row r="5416">
          <cell r="B5416" t="str">
            <v>-</v>
          </cell>
          <cell r="E5416" t="str">
            <v/>
          </cell>
          <cell r="G5416" t="str">
            <v/>
          </cell>
          <cell r="J5416" t="str">
            <v/>
          </cell>
          <cell r="O5416" t="str">
            <v/>
          </cell>
          <cell r="P5416" t="str">
            <v/>
          </cell>
          <cell r="Q5416" t="str">
            <v/>
          </cell>
          <cell r="S5416" t="str">
            <v/>
          </cell>
          <cell r="V5416" t="str">
            <v/>
          </cell>
          <cell r="Z5416" t="str">
            <v/>
          </cell>
          <cell r="AA5416" t="str">
            <v/>
          </cell>
          <cell r="AB5416" t="str">
            <v/>
          </cell>
          <cell r="AC5416" t="str">
            <v/>
          </cell>
          <cell r="AD5416" t="str">
            <v/>
          </cell>
          <cell r="AY5416" t="str">
            <v/>
          </cell>
          <cell r="AZ5416" t="str">
            <v/>
          </cell>
          <cell r="BA5416" t="str">
            <v/>
          </cell>
        </row>
        <row r="5417">
          <cell r="B5417" t="str">
            <v>-</v>
          </cell>
          <cell r="E5417" t="str">
            <v/>
          </cell>
          <cell r="G5417" t="str">
            <v/>
          </cell>
          <cell r="J5417" t="str">
            <v/>
          </cell>
          <cell r="O5417" t="str">
            <v/>
          </cell>
          <cell r="P5417" t="str">
            <v/>
          </cell>
          <cell r="Q5417" t="str">
            <v/>
          </cell>
          <cell r="S5417" t="str">
            <v/>
          </cell>
          <cell r="V5417" t="str">
            <v/>
          </cell>
          <cell r="Z5417" t="str">
            <v/>
          </cell>
          <cell r="AA5417" t="str">
            <v/>
          </cell>
          <cell r="AB5417" t="str">
            <v/>
          </cell>
          <cell r="AC5417" t="str">
            <v/>
          </cell>
          <cell r="AD5417" t="str">
            <v/>
          </cell>
          <cell r="AY5417" t="str">
            <v/>
          </cell>
          <cell r="AZ5417" t="str">
            <v/>
          </cell>
          <cell r="BA5417" t="str">
            <v/>
          </cell>
        </row>
        <row r="5418">
          <cell r="B5418" t="str">
            <v>-</v>
          </cell>
          <cell r="E5418" t="str">
            <v/>
          </cell>
          <cell r="G5418" t="str">
            <v/>
          </cell>
          <cell r="J5418" t="str">
            <v/>
          </cell>
          <cell r="O5418" t="str">
            <v/>
          </cell>
          <cell r="P5418" t="str">
            <v/>
          </cell>
          <cell r="Q5418" t="str">
            <v/>
          </cell>
          <cell r="S5418" t="str">
            <v/>
          </cell>
          <cell r="V5418" t="str">
            <v/>
          </cell>
          <cell r="Z5418" t="str">
            <v/>
          </cell>
          <cell r="AA5418" t="str">
            <v/>
          </cell>
          <cell r="AB5418" t="str">
            <v/>
          </cell>
          <cell r="AC5418" t="str">
            <v/>
          </cell>
          <cell r="AD5418" t="str">
            <v/>
          </cell>
          <cell r="AY5418" t="str">
            <v/>
          </cell>
          <cell r="AZ5418" t="str">
            <v/>
          </cell>
          <cell r="BA5418" t="str">
            <v/>
          </cell>
        </row>
        <row r="5419">
          <cell r="B5419" t="str">
            <v>-</v>
          </cell>
          <cell r="E5419" t="str">
            <v/>
          </cell>
          <cell r="G5419" t="str">
            <v/>
          </cell>
          <cell r="J5419" t="str">
            <v/>
          </cell>
          <cell r="O5419" t="str">
            <v/>
          </cell>
          <cell r="P5419" t="str">
            <v/>
          </cell>
          <cell r="Q5419" t="str">
            <v/>
          </cell>
          <cell r="S5419" t="str">
            <v/>
          </cell>
          <cell r="V5419" t="str">
            <v/>
          </cell>
          <cell r="Z5419" t="str">
            <v/>
          </cell>
          <cell r="AA5419" t="str">
            <v/>
          </cell>
          <cell r="AB5419" t="str">
            <v/>
          </cell>
          <cell r="AC5419" t="str">
            <v/>
          </cell>
          <cell r="AD5419" t="str">
            <v/>
          </cell>
          <cell r="AY5419" t="str">
            <v/>
          </cell>
          <cell r="AZ5419" t="str">
            <v/>
          </cell>
          <cell r="BA5419" t="str">
            <v/>
          </cell>
        </row>
        <row r="5420">
          <cell r="B5420" t="str">
            <v>-</v>
          </cell>
          <cell r="E5420" t="str">
            <v/>
          </cell>
          <cell r="G5420" t="str">
            <v/>
          </cell>
          <cell r="J5420" t="str">
            <v/>
          </cell>
          <cell r="O5420" t="str">
            <v/>
          </cell>
          <cell r="P5420" t="str">
            <v/>
          </cell>
          <cell r="Q5420" t="str">
            <v/>
          </cell>
          <cell r="S5420" t="str">
            <v/>
          </cell>
          <cell r="V5420" t="str">
            <v/>
          </cell>
          <cell r="Z5420" t="str">
            <v/>
          </cell>
          <cell r="AA5420" t="str">
            <v/>
          </cell>
          <cell r="AB5420" t="str">
            <v/>
          </cell>
          <cell r="AC5420" t="str">
            <v/>
          </cell>
          <cell r="AD5420" t="str">
            <v/>
          </cell>
          <cell r="AY5420" t="str">
            <v/>
          </cell>
          <cell r="AZ5420" t="str">
            <v/>
          </cell>
          <cell r="BA5420" t="str">
            <v/>
          </cell>
        </row>
        <row r="5421">
          <cell r="B5421" t="str">
            <v>-</v>
          </cell>
          <cell r="E5421" t="str">
            <v/>
          </cell>
          <cell r="G5421" t="str">
            <v/>
          </cell>
          <cell r="J5421" t="str">
            <v/>
          </cell>
          <cell r="O5421" t="str">
            <v/>
          </cell>
          <cell r="P5421" t="str">
            <v/>
          </cell>
          <cell r="Q5421" t="str">
            <v/>
          </cell>
          <cell r="S5421" t="str">
            <v/>
          </cell>
          <cell r="V5421" t="str">
            <v/>
          </cell>
          <cell r="Z5421" t="str">
            <v/>
          </cell>
          <cell r="AA5421" t="str">
            <v/>
          </cell>
          <cell r="AB5421" t="str">
            <v/>
          </cell>
          <cell r="AC5421" t="str">
            <v/>
          </cell>
          <cell r="AD5421" t="str">
            <v/>
          </cell>
          <cell r="AY5421" t="str">
            <v/>
          </cell>
          <cell r="AZ5421" t="str">
            <v/>
          </cell>
          <cell r="BA5421" t="str">
            <v/>
          </cell>
        </row>
        <row r="5422">
          <cell r="B5422" t="str">
            <v>-</v>
          </cell>
          <cell r="E5422" t="str">
            <v/>
          </cell>
          <cell r="G5422" t="str">
            <v/>
          </cell>
          <cell r="J5422" t="str">
            <v/>
          </cell>
          <cell r="O5422" t="str">
            <v/>
          </cell>
          <cell r="P5422" t="str">
            <v/>
          </cell>
          <cell r="Q5422" t="str">
            <v/>
          </cell>
          <cell r="S5422" t="str">
            <v/>
          </cell>
          <cell r="V5422" t="str">
            <v/>
          </cell>
          <cell r="Z5422" t="str">
            <v/>
          </cell>
          <cell r="AA5422" t="str">
            <v/>
          </cell>
          <cell r="AB5422" t="str">
            <v/>
          </cell>
          <cell r="AC5422" t="str">
            <v/>
          </cell>
          <cell r="AD5422" t="str">
            <v/>
          </cell>
          <cell r="AY5422" t="str">
            <v/>
          </cell>
          <cell r="AZ5422" t="str">
            <v/>
          </cell>
          <cell r="BA5422" t="str">
            <v/>
          </cell>
        </row>
        <row r="5423">
          <cell r="B5423" t="str">
            <v>-</v>
          </cell>
          <cell r="E5423" t="str">
            <v/>
          </cell>
          <cell r="G5423" t="str">
            <v/>
          </cell>
          <cell r="J5423" t="str">
            <v/>
          </cell>
          <cell r="O5423" t="str">
            <v/>
          </cell>
          <cell r="P5423" t="str">
            <v/>
          </cell>
          <cell r="Q5423" t="str">
            <v/>
          </cell>
          <cell r="S5423" t="str">
            <v/>
          </cell>
          <cell r="V5423" t="str">
            <v/>
          </cell>
          <cell r="Z5423" t="str">
            <v/>
          </cell>
          <cell r="AA5423" t="str">
            <v/>
          </cell>
          <cell r="AB5423" t="str">
            <v/>
          </cell>
          <cell r="AC5423" t="str">
            <v/>
          </cell>
          <cell r="AD5423" t="str">
            <v/>
          </cell>
          <cell r="AY5423" t="str">
            <v/>
          </cell>
          <cell r="AZ5423" t="str">
            <v/>
          </cell>
          <cell r="BA5423" t="str">
            <v/>
          </cell>
        </row>
        <row r="5424">
          <cell r="B5424" t="str">
            <v>-</v>
          </cell>
          <cell r="E5424" t="str">
            <v/>
          </cell>
          <cell r="G5424" t="str">
            <v/>
          </cell>
          <cell r="J5424" t="str">
            <v/>
          </cell>
          <cell r="O5424" t="str">
            <v/>
          </cell>
          <cell r="P5424" t="str">
            <v/>
          </cell>
          <cell r="Q5424" t="str">
            <v/>
          </cell>
          <cell r="S5424" t="str">
            <v/>
          </cell>
          <cell r="V5424" t="str">
            <v/>
          </cell>
          <cell r="Z5424" t="str">
            <v/>
          </cell>
          <cell r="AA5424" t="str">
            <v/>
          </cell>
          <cell r="AB5424" t="str">
            <v/>
          </cell>
          <cell r="AC5424" t="str">
            <v/>
          </cell>
          <cell r="AD5424" t="str">
            <v/>
          </cell>
          <cell r="AY5424" t="str">
            <v/>
          </cell>
          <cell r="AZ5424" t="str">
            <v/>
          </cell>
          <cell r="BA5424" t="str">
            <v/>
          </cell>
        </row>
        <row r="5425">
          <cell r="B5425" t="str">
            <v>-</v>
          </cell>
          <cell r="E5425" t="str">
            <v/>
          </cell>
          <cell r="G5425" t="str">
            <v/>
          </cell>
          <cell r="J5425" t="str">
            <v/>
          </cell>
          <cell r="O5425" t="str">
            <v/>
          </cell>
          <cell r="P5425" t="str">
            <v/>
          </cell>
          <cell r="Q5425" t="str">
            <v/>
          </cell>
          <cell r="S5425" t="str">
            <v/>
          </cell>
          <cell r="V5425" t="str">
            <v/>
          </cell>
          <cell r="Z5425" t="str">
            <v/>
          </cell>
          <cell r="AA5425" t="str">
            <v/>
          </cell>
          <cell r="AB5425" t="str">
            <v/>
          </cell>
          <cell r="AC5425" t="str">
            <v/>
          </cell>
          <cell r="AD5425" t="str">
            <v/>
          </cell>
          <cell r="AY5425" t="str">
            <v/>
          </cell>
          <cell r="AZ5425" t="str">
            <v/>
          </cell>
          <cell r="BA5425" t="str">
            <v/>
          </cell>
        </row>
        <row r="5426">
          <cell r="B5426" t="str">
            <v>-</v>
          </cell>
          <cell r="E5426" t="str">
            <v/>
          </cell>
          <cell r="G5426" t="str">
            <v/>
          </cell>
          <cell r="J5426" t="str">
            <v/>
          </cell>
          <cell r="O5426" t="str">
            <v/>
          </cell>
          <cell r="P5426" t="str">
            <v/>
          </cell>
          <cell r="Q5426" t="str">
            <v/>
          </cell>
          <cell r="S5426" t="str">
            <v/>
          </cell>
          <cell r="V5426" t="str">
            <v/>
          </cell>
          <cell r="Z5426" t="str">
            <v/>
          </cell>
          <cell r="AA5426" t="str">
            <v/>
          </cell>
          <cell r="AB5426" t="str">
            <v/>
          </cell>
          <cell r="AC5426" t="str">
            <v/>
          </cell>
          <cell r="AD5426" t="str">
            <v/>
          </cell>
          <cell r="AY5426" t="str">
            <v/>
          </cell>
          <cell r="AZ5426" t="str">
            <v/>
          </cell>
          <cell r="BA5426" t="str">
            <v/>
          </cell>
        </row>
        <row r="5427">
          <cell r="B5427" t="str">
            <v>-</v>
          </cell>
          <cell r="E5427" t="str">
            <v/>
          </cell>
          <cell r="G5427" t="str">
            <v/>
          </cell>
          <cell r="J5427" t="str">
            <v/>
          </cell>
          <cell r="O5427" t="str">
            <v/>
          </cell>
          <cell r="P5427" t="str">
            <v/>
          </cell>
          <cell r="Q5427" t="str">
            <v/>
          </cell>
          <cell r="S5427" t="str">
            <v/>
          </cell>
          <cell r="V5427" t="str">
            <v/>
          </cell>
          <cell r="Z5427" t="str">
            <v/>
          </cell>
          <cell r="AA5427" t="str">
            <v/>
          </cell>
          <cell r="AB5427" t="str">
            <v/>
          </cell>
          <cell r="AC5427" t="str">
            <v/>
          </cell>
          <cell r="AD5427" t="str">
            <v/>
          </cell>
          <cell r="AY5427" t="str">
            <v/>
          </cell>
          <cell r="AZ5427" t="str">
            <v/>
          </cell>
          <cell r="BA5427" t="str">
            <v/>
          </cell>
        </row>
        <row r="5428">
          <cell r="B5428" t="str">
            <v>-</v>
          </cell>
          <cell r="E5428" t="str">
            <v/>
          </cell>
          <cell r="G5428" t="str">
            <v/>
          </cell>
          <cell r="J5428" t="str">
            <v/>
          </cell>
          <cell r="O5428" t="str">
            <v/>
          </cell>
          <cell r="P5428" t="str">
            <v/>
          </cell>
          <cell r="Q5428" t="str">
            <v/>
          </cell>
          <cell r="S5428" t="str">
            <v/>
          </cell>
          <cell r="V5428" t="str">
            <v/>
          </cell>
          <cell r="Z5428" t="str">
            <v/>
          </cell>
          <cell r="AA5428" t="str">
            <v/>
          </cell>
          <cell r="AB5428" t="str">
            <v/>
          </cell>
          <cell r="AC5428" t="str">
            <v/>
          </cell>
          <cell r="AD5428" t="str">
            <v/>
          </cell>
          <cell r="AY5428" t="str">
            <v/>
          </cell>
          <cell r="AZ5428" t="str">
            <v/>
          </cell>
          <cell r="BA5428" t="str">
            <v/>
          </cell>
        </row>
        <row r="5429">
          <cell r="B5429" t="str">
            <v>-</v>
          </cell>
          <cell r="E5429" t="str">
            <v/>
          </cell>
          <cell r="G5429" t="str">
            <v/>
          </cell>
          <cell r="J5429" t="str">
            <v/>
          </cell>
          <cell r="O5429" t="str">
            <v/>
          </cell>
          <cell r="P5429" t="str">
            <v/>
          </cell>
          <cell r="Q5429" t="str">
            <v/>
          </cell>
          <cell r="S5429" t="str">
            <v/>
          </cell>
          <cell r="V5429" t="str">
            <v/>
          </cell>
          <cell r="Z5429" t="str">
            <v/>
          </cell>
          <cell r="AA5429" t="str">
            <v/>
          </cell>
          <cell r="AB5429" t="str">
            <v/>
          </cell>
          <cell r="AC5429" t="str">
            <v/>
          </cell>
          <cell r="AD5429" t="str">
            <v/>
          </cell>
          <cell r="AY5429" t="str">
            <v/>
          </cell>
          <cell r="AZ5429" t="str">
            <v/>
          </cell>
          <cell r="BA5429" t="str">
            <v/>
          </cell>
        </row>
        <row r="5430">
          <cell r="B5430" t="str">
            <v>-</v>
          </cell>
          <cell r="E5430" t="str">
            <v/>
          </cell>
          <cell r="G5430" t="str">
            <v/>
          </cell>
          <cell r="J5430" t="str">
            <v/>
          </cell>
          <cell r="O5430" t="str">
            <v/>
          </cell>
          <cell r="P5430" t="str">
            <v/>
          </cell>
          <cell r="Q5430" t="str">
            <v/>
          </cell>
          <cell r="S5430" t="str">
            <v/>
          </cell>
          <cell r="V5430" t="str">
            <v/>
          </cell>
          <cell r="Z5430" t="str">
            <v/>
          </cell>
          <cell r="AA5430" t="str">
            <v/>
          </cell>
          <cell r="AB5430" t="str">
            <v/>
          </cell>
          <cell r="AC5430" t="str">
            <v/>
          </cell>
          <cell r="AD5430" t="str">
            <v/>
          </cell>
          <cell r="AY5430" t="str">
            <v/>
          </cell>
          <cell r="AZ5430" t="str">
            <v/>
          </cell>
          <cell r="BA5430" t="str">
            <v/>
          </cell>
        </row>
        <row r="5431">
          <cell r="B5431" t="str">
            <v>-</v>
          </cell>
          <cell r="E5431" t="str">
            <v/>
          </cell>
          <cell r="G5431" t="str">
            <v/>
          </cell>
          <cell r="J5431" t="str">
            <v/>
          </cell>
          <cell r="O5431" t="str">
            <v/>
          </cell>
          <cell r="P5431" t="str">
            <v/>
          </cell>
          <cell r="Q5431" t="str">
            <v/>
          </cell>
          <cell r="S5431" t="str">
            <v/>
          </cell>
          <cell r="V5431" t="str">
            <v/>
          </cell>
          <cell r="Z5431" t="str">
            <v/>
          </cell>
          <cell r="AA5431" t="str">
            <v/>
          </cell>
          <cell r="AB5431" t="str">
            <v/>
          </cell>
          <cell r="AC5431" t="str">
            <v/>
          </cell>
          <cell r="AD5431" t="str">
            <v/>
          </cell>
          <cell r="AY5431" t="str">
            <v/>
          </cell>
          <cell r="AZ5431" t="str">
            <v/>
          </cell>
          <cell r="BA5431" t="str">
            <v/>
          </cell>
        </row>
        <row r="5432">
          <cell r="B5432" t="str">
            <v>-</v>
          </cell>
          <cell r="E5432" t="str">
            <v/>
          </cell>
          <cell r="G5432" t="str">
            <v/>
          </cell>
          <cell r="J5432" t="str">
            <v/>
          </cell>
          <cell r="O5432" t="str">
            <v/>
          </cell>
          <cell r="P5432" t="str">
            <v/>
          </cell>
          <cell r="Q5432" t="str">
            <v/>
          </cell>
          <cell r="S5432" t="str">
            <v/>
          </cell>
          <cell r="V5432" t="str">
            <v/>
          </cell>
          <cell r="Z5432" t="str">
            <v/>
          </cell>
          <cell r="AA5432" t="str">
            <v/>
          </cell>
          <cell r="AB5432" t="str">
            <v/>
          </cell>
          <cell r="AC5432" t="str">
            <v/>
          </cell>
          <cell r="AD5432" t="str">
            <v/>
          </cell>
          <cell r="AY5432" t="str">
            <v/>
          </cell>
          <cell r="AZ5432" t="str">
            <v/>
          </cell>
          <cell r="BA5432" t="str">
            <v/>
          </cell>
        </row>
        <row r="5433">
          <cell r="B5433" t="str">
            <v>-</v>
          </cell>
          <cell r="E5433" t="str">
            <v/>
          </cell>
          <cell r="G5433" t="str">
            <v/>
          </cell>
          <cell r="J5433" t="str">
            <v/>
          </cell>
          <cell r="O5433" t="str">
            <v/>
          </cell>
          <cell r="P5433" t="str">
            <v/>
          </cell>
          <cell r="Q5433" t="str">
            <v/>
          </cell>
          <cell r="S5433" t="str">
            <v/>
          </cell>
          <cell r="V5433" t="str">
            <v/>
          </cell>
          <cell r="Z5433" t="str">
            <v/>
          </cell>
          <cell r="AA5433" t="str">
            <v/>
          </cell>
          <cell r="AB5433" t="str">
            <v/>
          </cell>
          <cell r="AC5433" t="str">
            <v/>
          </cell>
          <cell r="AD5433" t="str">
            <v/>
          </cell>
          <cell r="AY5433" t="str">
            <v/>
          </cell>
          <cell r="AZ5433" t="str">
            <v/>
          </cell>
          <cell r="BA5433" t="str">
            <v/>
          </cell>
        </row>
        <row r="5434">
          <cell r="B5434" t="str">
            <v>-</v>
          </cell>
          <cell r="E5434" t="str">
            <v/>
          </cell>
          <cell r="G5434" t="str">
            <v/>
          </cell>
          <cell r="J5434" t="str">
            <v/>
          </cell>
          <cell r="O5434" t="str">
            <v/>
          </cell>
          <cell r="P5434" t="str">
            <v/>
          </cell>
          <cell r="Q5434" t="str">
            <v/>
          </cell>
          <cell r="S5434" t="str">
            <v/>
          </cell>
          <cell r="V5434" t="str">
            <v/>
          </cell>
          <cell r="Z5434" t="str">
            <v/>
          </cell>
          <cell r="AA5434" t="str">
            <v/>
          </cell>
          <cell r="AB5434" t="str">
            <v/>
          </cell>
          <cell r="AC5434" t="str">
            <v/>
          </cell>
          <cell r="AD5434" t="str">
            <v/>
          </cell>
          <cell r="AY5434" t="str">
            <v/>
          </cell>
          <cell r="AZ5434" t="str">
            <v/>
          </cell>
          <cell r="BA5434" t="str">
            <v/>
          </cell>
        </row>
        <row r="5435">
          <cell r="B5435" t="str">
            <v>-</v>
          </cell>
          <cell r="E5435" t="str">
            <v/>
          </cell>
          <cell r="G5435" t="str">
            <v/>
          </cell>
          <cell r="J5435" t="str">
            <v/>
          </cell>
          <cell r="O5435" t="str">
            <v/>
          </cell>
          <cell r="P5435" t="str">
            <v/>
          </cell>
          <cell r="Q5435" t="str">
            <v/>
          </cell>
          <cell r="S5435" t="str">
            <v/>
          </cell>
          <cell r="V5435" t="str">
            <v/>
          </cell>
          <cell r="Z5435" t="str">
            <v/>
          </cell>
          <cell r="AA5435" t="str">
            <v/>
          </cell>
          <cell r="AB5435" t="str">
            <v/>
          </cell>
          <cell r="AC5435" t="str">
            <v/>
          </cell>
          <cell r="AD5435" t="str">
            <v/>
          </cell>
          <cell r="AY5435" t="str">
            <v/>
          </cell>
          <cell r="AZ5435" t="str">
            <v/>
          </cell>
          <cell r="BA5435" t="str">
            <v/>
          </cell>
        </row>
        <row r="5436">
          <cell r="B5436" t="str">
            <v>-</v>
          </cell>
          <cell r="E5436" t="str">
            <v/>
          </cell>
          <cell r="G5436" t="str">
            <v/>
          </cell>
          <cell r="J5436" t="str">
            <v/>
          </cell>
          <cell r="O5436" t="str">
            <v/>
          </cell>
          <cell r="P5436" t="str">
            <v/>
          </cell>
          <cell r="Q5436" t="str">
            <v/>
          </cell>
          <cell r="S5436" t="str">
            <v/>
          </cell>
          <cell r="V5436" t="str">
            <v/>
          </cell>
          <cell r="Z5436" t="str">
            <v/>
          </cell>
          <cell r="AA5436" t="str">
            <v/>
          </cell>
          <cell r="AB5436" t="str">
            <v/>
          </cell>
          <cell r="AC5436" t="str">
            <v/>
          </cell>
          <cell r="AD5436" t="str">
            <v/>
          </cell>
          <cell r="AY5436" t="str">
            <v/>
          </cell>
          <cell r="AZ5436" t="str">
            <v/>
          </cell>
          <cell r="BA5436" t="str">
            <v/>
          </cell>
        </row>
        <row r="5437">
          <cell r="B5437" t="str">
            <v>-</v>
          </cell>
          <cell r="E5437" t="str">
            <v/>
          </cell>
          <cell r="G5437" t="str">
            <v/>
          </cell>
          <cell r="J5437" t="str">
            <v/>
          </cell>
          <cell r="O5437" t="str">
            <v/>
          </cell>
          <cell r="P5437" t="str">
            <v/>
          </cell>
          <cell r="Q5437" t="str">
            <v/>
          </cell>
          <cell r="S5437" t="str">
            <v/>
          </cell>
          <cell r="V5437" t="str">
            <v/>
          </cell>
          <cell r="Z5437" t="str">
            <v/>
          </cell>
          <cell r="AA5437" t="str">
            <v/>
          </cell>
          <cell r="AB5437" t="str">
            <v/>
          </cell>
          <cell r="AC5437" t="str">
            <v/>
          </cell>
          <cell r="AD5437" t="str">
            <v/>
          </cell>
          <cell r="AY5437" t="str">
            <v/>
          </cell>
          <cell r="AZ5437" t="str">
            <v/>
          </cell>
          <cell r="BA5437" t="str">
            <v/>
          </cell>
        </row>
        <row r="5438">
          <cell r="B5438" t="str">
            <v>-</v>
          </cell>
          <cell r="E5438" t="str">
            <v/>
          </cell>
          <cell r="G5438" t="str">
            <v/>
          </cell>
          <cell r="J5438" t="str">
            <v/>
          </cell>
          <cell r="O5438" t="str">
            <v/>
          </cell>
          <cell r="P5438" t="str">
            <v/>
          </cell>
          <cell r="Q5438" t="str">
            <v/>
          </cell>
          <cell r="S5438" t="str">
            <v/>
          </cell>
          <cell r="V5438" t="str">
            <v/>
          </cell>
          <cell r="Z5438" t="str">
            <v/>
          </cell>
          <cell r="AA5438" t="str">
            <v/>
          </cell>
          <cell r="AB5438" t="str">
            <v/>
          </cell>
          <cell r="AC5438" t="str">
            <v/>
          </cell>
          <cell r="AD5438" t="str">
            <v/>
          </cell>
          <cell r="AY5438" t="str">
            <v/>
          </cell>
          <cell r="AZ5438" t="str">
            <v/>
          </cell>
          <cell r="BA5438" t="str">
            <v/>
          </cell>
        </row>
        <row r="5439">
          <cell r="B5439" t="str">
            <v>-</v>
          </cell>
          <cell r="E5439" t="str">
            <v/>
          </cell>
          <cell r="G5439" t="str">
            <v/>
          </cell>
          <cell r="J5439" t="str">
            <v/>
          </cell>
          <cell r="O5439" t="str">
            <v/>
          </cell>
          <cell r="P5439" t="str">
            <v/>
          </cell>
          <cell r="Q5439" t="str">
            <v/>
          </cell>
          <cell r="S5439" t="str">
            <v/>
          </cell>
          <cell r="V5439" t="str">
            <v/>
          </cell>
          <cell r="Z5439" t="str">
            <v/>
          </cell>
          <cell r="AA5439" t="str">
            <v/>
          </cell>
          <cell r="AB5439" t="str">
            <v/>
          </cell>
          <cell r="AC5439" t="str">
            <v/>
          </cell>
          <cell r="AD5439" t="str">
            <v/>
          </cell>
          <cell r="AY5439" t="str">
            <v/>
          </cell>
          <cell r="AZ5439" t="str">
            <v/>
          </cell>
          <cell r="BA5439" t="str">
            <v/>
          </cell>
        </row>
        <row r="5440">
          <cell r="B5440" t="str">
            <v>-</v>
          </cell>
          <cell r="E5440" t="str">
            <v/>
          </cell>
          <cell r="G5440" t="str">
            <v/>
          </cell>
          <cell r="J5440" t="str">
            <v/>
          </cell>
          <cell r="O5440" t="str">
            <v/>
          </cell>
          <cell r="P5440" t="str">
            <v/>
          </cell>
          <cell r="Q5440" t="str">
            <v/>
          </cell>
          <cell r="S5440" t="str">
            <v/>
          </cell>
          <cell r="V5440" t="str">
            <v/>
          </cell>
          <cell r="Z5440" t="str">
            <v/>
          </cell>
          <cell r="AA5440" t="str">
            <v/>
          </cell>
          <cell r="AB5440" t="str">
            <v/>
          </cell>
          <cell r="AC5440" t="str">
            <v/>
          </cell>
          <cell r="AD5440" t="str">
            <v/>
          </cell>
          <cell r="AY5440" t="str">
            <v/>
          </cell>
          <cell r="AZ5440" t="str">
            <v/>
          </cell>
          <cell r="BA5440" t="str">
            <v/>
          </cell>
        </row>
        <row r="5441">
          <cell r="B5441" t="str">
            <v>-</v>
          </cell>
          <cell r="E5441" t="str">
            <v/>
          </cell>
          <cell r="G5441" t="str">
            <v/>
          </cell>
          <cell r="J5441" t="str">
            <v/>
          </cell>
          <cell r="O5441" t="str">
            <v/>
          </cell>
          <cell r="P5441" t="str">
            <v/>
          </cell>
          <cell r="Q5441" t="str">
            <v/>
          </cell>
          <cell r="S5441" t="str">
            <v/>
          </cell>
          <cell r="V5441" t="str">
            <v/>
          </cell>
          <cell r="Z5441" t="str">
            <v/>
          </cell>
          <cell r="AA5441" t="str">
            <v/>
          </cell>
          <cell r="AB5441" t="str">
            <v/>
          </cell>
          <cell r="AC5441" t="str">
            <v/>
          </cell>
          <cell r="AD5441" t="str">
            <v/>
          </cell>
          <cell r="AY5441" t="str">
            <v/>
          </cell>
          <cell r="AZ5441" t="str">
            <v/>
          </cell>
          <cell r="BA5441" t="str">
            <v/>
          </cell>
        </row>
        <row r="5442">
          <cell r="B5442" t="str">
            <v>-</v>
          </cell>
          <cell r="E5442" t="str">
            <v/>
          </cell>
          <cell r="G5442" t="str">
            <v/>
          </cell>
          <cell r="J5442" t="str">
            <v/>
          </cell>
          <cell r="O5442" t="str">
            <v/>
          </cell>
          <cell r="P5442" t="str">
            <v/>
          </cell>
          <cell r="Q5442" t="str">
            <v/>
          </cell>
          <cell r="S5442" t="str">
            <v/>
          </cell>
          <cell r="V5442" t="str">
            <v/>
          </cell>
          <cell r="Z5442" t="str">
            <v/>
          </cell>
          <cell r="AA5442" t="str">
            <v/>
          </cell>
          <cell r="AB5442" t="str">
            <v/>
          </cell>
          <cell r="AC5442" t="str">
            <v/>
          </cell>
          <cell r="AD5442" t="str">
            <v/>
          </cell>
          <cell r="AY5442" t="str">
            <v/>
          </cell>
          <cell r="AZ5442" t="str">
            <v/>
          </cell>
          <cell r="BA5442" t="str">
            <v/>
          </cell>
        </row>
        <row r="5443">
          <cell r="B5443" t="str">
            <v>-</v>
          </cell>
          <cell r="E5443" t="str">
            <v/>
          </cell>
          <cell r="G5443" t="str">
            <v/>
          </cell>
          <cell r="J5443" t="str">
            <v/>
          </cell>
          <cell r="O5443" t="str">
            <v/>
          </cell>
          <cell r="P5443" t="str">
            <v/>
          </cell>
          <cell r="Q5443" t="str">
            <v/>
          </cell>
          <cell r="S5443" t="str">
            <v/>
          </cell>
          <cell r="V5443" t="str">
            <v/>
          </cell>
          <cell r="Z5443" t="str">
            <v/>
          </cell>
          <cell r="AA5443" t="str">
            <v/>
          </cell>
          <cell r="AB5443" t="str">
            <v/>
          </cell>
          <cell r="AC5443" t="str">
            <v/>
          </cell>
          <cell r="AD5443" t="str">
            <v/>
          </cell>
          <cell r="AY5443" t="str">
            <v/>
          </cell>
          <cell r="AZ5443" t="str">
            <v/>
          </cell>
          <cell r="BA5443" t="str">
            <v/>
          </cell>
        </row>
        <row r="5444">
          <cell r="B5444" t="str">
            <v>-</v>
          </cell>
          <cell r="E5444" t="str">
            <v/>
          </cell>
          <cell r="G5444" t="str">
            <v/>
          </cell>
          <cell r="J5444" t="str">
            <v/>
          </cell>
          <cell r="O5444" t="str">
            <v/>
          </cell>
          <cell r="P5444" t="str">
            <v/>
          </cell>
          <cell r="Q5444" t="str">
            <v/>
          </cell>
          <cell r="S5444" t="str">
            <v/>
          </cell>
          <cell r="V5444" t="str">
            <v/>
          </cell>
          <cell r="Z5444" t="str">
            <v/>
          </cell>
          <cell r="AA5444" t="str">
            <v/>
          </cell>
          <cell r="AB5444" t="str">
            <v/>
          </cell>
          <cell r="AC5444" t="str">
            <v/>
          </cell>
          <cell r="AD5444" t="str">
            <v/>
          </cell>
          <cell r="AY5444" t="str">
            <v/>
          </cell>
          <cell r="AZ5444" t="str">
            <v/>
          </cell>
          <cell r="BA5444" t="str">
            <v/>
          </cell>
        </row>
        <row r="5445">
          <cell r="B5445" t="str">
            <v>-</v>
          </cell>
          <cell r="E5445" t="str">
            <v/>
          </cell>
          <cell r="G5445" t="str">
            <v/>
          </cell>
          <cell r="J5445" t="str">
            <v/>
          </cell>
          <cell r="O5445" t="str">
            <v/>
          </cell>
          <cell r="P5445" t="str">
            <v/>
          </cell>
          <cell r="Q5445" t="str">
            <v/>
          </cell>
          <cell r="S5445" t="str">
            <v/>
          </cell>
          <cell r="V5445" t="str">
            <v/>
          </cell>
          <cell r="Z5445" t="str">
            <v/>
          </cell>
          <cell r="AA5445" t="str">
            <v/>
          </cell>
          <cell r="AB5445" t="str">
            <v/>
          </cell>
          <cell r="AC5445" t="str">
            <v/>
          </cell>
          <cell r="AD5445" t="str">
            <v/>
          </cell>
          <cell r="AY5445" t="str">
            <v/>
          </cell>
          <cell r="AZ5445" t="str">
            <v/>
          </cell>
          <cell r="BA5445" t="str">
            <v/>
          </cell>
        </row>
        <row r="5446">
          <cell r="B5446" t="str">
            <v>-</v>
          </cell>
          <cell r="E5446" t="str">
            <v/>
          </cell>
          <cell r="G5446" t="str">
            <v/>
          </cell>
          <cell r="J5446" t="str">
            <v/>
          </cell>
          <cell r="O5446" t="str">
            <v/>
          </cell>
          <cell r="P5446" t="str">
            <v/>
          </cell>
          <cell r="Q5446" t="str">
            <v/>
          </cell>
          <cell r="S5446" t="str">
            <v/>
          </cell>
          <cell r="V5446" t="str">
            <v/>
          </cell>
          <cell r="Z5446" t="str">
            <v/>
          </cell>
          <cell r="AA5446" t="str">
            <v/>
          </cell>
          <cell r="AB5446" t="str">
            <v/>
          </cell>
          <cell r="AC5446" t="str">
            <v/>
          </cell>
          <cell r="AD5446" t="str">
            <v/>
          </cell>
          <cell r="AY5446" t="str">
            <v/>
          </cell>
          <cell r="AZ5446" t="str">
            <v/>
          </cell>
          <cell r="BA5446" t="str">
            <v/>
          </cell>
        </row>
        <row r="5447">
          <cell r="B5447" t="str">
            <v>-</v>
          </cell>
          <cell r="E5447" t="str">
            <v/>
          </cell>
          <cell r="G5447" t="str">
            <v/>
          </cell>
          <cell r="J5447" t="str">
            <v/>
          </cell>
          <cell r="O5447" t="str">
            <v/>
          </cell>
          <cell r="P5447" t="str">
            <v/>
          </cell>
          <cell r="Q5447" t="str">
            <v/>
          </cell>
          <cell r="S5447" t="str">
            <v/>
          </cell>
          <cell r="V5447" t="str">
            <v/>
          </cell>
          <cell r="Z5447" t="str">
            <v/>
          </cell>
          <cell r="AA5447" t="str">
            <v/>
          </cell>
          <cell r="AB5447" t="str">
            <v/>
          </cell>
          <cell r="AC5447" t="str">
            <v/>
          </cell>
          <cell r="AD5447" t="str">
            <v/>
          </cell>
          <cell r="AY5447" t="str">
            <v/>
          </cell>
          <cell r="AZ5447" t="str">
            <v/>
          </cell>
          <cell r="BA5447" t="str">
            <v/>
          </cell>
        </row>
        <row r="5448">
          <cell r="B5448" t="str">
            <v>-</v>
          </cell>
          <cell r="E5448" t="str">
            <v/>
          </cell>
          <cell r="G5448" t="str">
            <v/>
          </cell>
          <cell r="J5448" t="str">
            <v/>
          </cell>
          <cell r="O5448" t="str">
            <v/>
          </cell>
          <cell r="P5448" t="str">
            <v/>
          </cell>
          <cell r="Q5448" t="str">
            <v/>
          </cell>
          <cell r="S5448" t="str">
            <v/>
          </cell>
          <cell r="V5448" t="str">
            <v/>
          </cell>
          <cell r="Z5448" t="str">
            <v/>
          </cell>
          <cell r="AA5448" t="str">
            <v/>
          </cell>
          <cell r="AB5448" t="str">
            <v/>
          </cell>
          <cell r="AC5448" t="str">
            <v/>
          </cell>
          <cell r="AD5448" t="str">
            <v/>
          </cell>
          <cell r="AY5448" t="str">
            <v/>
          </cell>
          <cell r="AZ5448" t="str">
            <v/>
          </cell>
          <cell r="BA5448" t="str">
            <v/>
          </cell>
        </row>
        <row r="5449">
          <cell r="B5449" t="str">
            <v>-</v>
          </cell>
          <cell r="E5449" t="str">
            <v/>
          </cell>
          <cell r="G5449" t="str">
            <v/>
          </cell>
          <cell r="J5449" t="str">
            <v/>
          </cell>
          <cell r="O5449" t="str">
            <v/>
          </cell>
          <cell r="P5449" t="str">
            <v/>
          </cell>
          <cell r="Q5449" t="str">
            <v/>
          </cell>
          <cell r="S5449" t="str">
            <v/>
          </cell>
          <cell r="V5449" t="str">
            <v/>
          </cell>
          <cell r="Z5449" t="str">
            <v/>
          </cell>
          <cell r="AA5449" t="str">
            <v/>
          </cell>
          <cell r="AB5449" t="str">
            <v/>
          </cell>
          <cell r="AC5449" t="str">
            <v/>
          </cell>
          <cell r="AD5449" t="str">
            <v/>
          </cell>
          <cell r="AY5449" t="str">
            <v/>
          </cell>
          <cell r="AZ5449" t="str">
            <v/>
          </cell>
          <cell r="BA5449" t="str">
            <v/>
          </cell>
        </row>
        <row r="5450">
          <cell r="B5450" t="str">
            <v>-</v>
          </cell>
          <cell r="E5450" t="str">
            <v/>
          </cell>
          <cell r="G5450" t="str">
            <v/>
          </cell>
          <cell r="J5450" t="str">
            <v/>
          </cell>
          <cell r="O5450" t="str">
            <v/>
          </cell>
          <cell r="P5450" t="str">
            <v/>
          </cell>
          <cell r="Q5450" t="str">
            <v/>
          </cell>
          <cell r="S5450" t="str">
            <v/>
          </cell>
          <cell r="V5450" t="str">
            <v/>
          </cell>
          <cell r="Z5450" t="str">
            <v/>
          </cell>
          <cell r="AA5450" t="str">
            <v/>
          </cell>
          <cell r="AB5450" t="str">
            <v/>
          </cell>
          <cell r="AC5450" t="str">
            <v/>
          </cell>
          <cell r="AD5450" t="str">
            <v/>
          </cell>
          <cell r="AY5450" t="str">
            <v/>
          </cell>
          <cell r="AZ5450" t="str">
            <v/>
          </cell>
          <cell r="BA5450" t="str">
            <v/>
          </cell>
        </row>
        <row r="5451">
          <cell r="B5451" t="str">
            <v>-</v>
          </cell>
          <cell r="E5451" t="str">
            <v/>
          </cell>
          <cell r="G5451" t="str">
            <v/>
          </cell>
          <cell r="J5451" t="str">
            <v/>
          </cell>
          <cell r="O5451" t="str">
            <v/>
          </cell>
          <cell r="P5451" t="str">
            <v/>
          </cell>
          <cell r="Q5451" t="str">
            <v/>
          </cell>
          <cell r="S5451" t="str">
            <v/>
          </cell>
          <cell r="V5451" t="str">
            <v/>
          </cell>
          <cell r="Z5451" t="str">
            <v/>
          </cell>
          <cell r="AA5451" t="str">
            <v/>
          </cell>
          <cell r="AB5451" t="str">
            <v/>
          </cell>
          <cell r="AC5451" t="str">
            <v/>
          </cell>
          <cell r="AD5451" t="str">
            <v/>
          </cell>
          <cell r="AY5451" t="str">
            <v/>
          </cell>
          <cell r="AZ5451" t="str">
            <v/>
          </cell>
          <cell r="BA5451" t="str">
            <v/>
          </cell>
        </row>
        <row r="5452">
          <cell r="B5452" t="str">
            <v>-</v>
          </cell>
          <cell r="E5452" t="str">
            <v/>
          </cell>
          <cell r="G5452" t="str">
            <v/>
          </cell>
          <cell r="J5452" t="str">
            <v/>
          </cell>
          <cell r="O5452" t="str">
            <v/>
          </cell>
          <cell r="P5452" t="str">
            <v/>
          </cell>
          <cell r="Q5452" t="str">
            <v/>
          </cell>
          <cell r="S5452" t="str">
            <v/>
          </cell>
          <cell r="V5452" t="str">
            <v/>
          </cell>
          <cell r="Z5452" t="str">
            <v/>
          </cell>
          <cell r="AA5452" t="str">
            <v/>
          </cell>
          <cell r="AB5452" t="str">
            <v/>
          </cell>
          <cell r="AC5452" t="str">
            <v/>
          </cell>
          <cell r="AD5452" t="str">
            <v/>
          </cell>
          <cell r="AY5452" t="str">
            <v/>
          </cell>
          <cell r="AZ5452" t="str">
            <v/>
          </cell>
          <cell r="BA5452" t="str">
            <v/>
          </cell>
        </row>
        <row r="5453">
          <cell r="B5453" t="str">
            <v>-</v>
          </cell>
          <cell r="E5453" t="str">
            <v/>
          </cell>
          <cell r="G5453" t="str">
            <v/>
          </cell>
          <cell r="J5453" t="str">
            <v/>
          </cell>
          <cell r="O5453" t="str">
            <v/>
          </cell>
          <cell r="P5453" t="str">
            <v/>
          </cell>
          <cell r="Q5453" t="str">
            <v/>
          </cell>
          <cell r="S5453" t="str">
            <v/>
          </cell>
          <cell r="V5453" t="str">
            <v/>
          </cell>
          <cell r="Z5453" t="str">
            <v/>
          </cell>
          <cell r="AA5453" t="str">
            <v/>
          </cell>
          <cell r="AB5453" t="str">
            <v/>
          </cell>
          <cell r="AC5453" t="str">
            <v/>
          </cell>
          <cell r="AD5453" t="str">
            <v/>
          </cell>
          <cell r="AY5453" t="str">
            <v/>
          </cell>
          <cell r="AZ5453" t="str">
            <v/>
          </cell>
          <cell r="BA5453" t="str">
            <v/>
          </cell>
        </row>
        <row r="5454">
          <cell r="B5454" t="str">
            <v>-</v>
          </cell>
          <cell r="E5454" t="str">
            <v/>
          </cell>
          <cell r="G5454" t="str">
            <v/>
          </cell>
          <cell r="J5454" t="str">
            <v/>
          </cell>
          <cell r="O5454" t="str">
            <v/>
          </cell>
          <cell r="P5454" t="str">
            <v/>
          </cell>
          <cell r="Q5454" t="str">
            <v/>
          </cell>
          <cell r="S5454" t="str">
            <v/>
          </cell>
          <cell r="V5454" t="str">
            <v/>
          </cell>
          <cell r="Z5454" t="str">
            <v/>
          </cell>
          <cell r="AA5454" t="str">
            <v/>
          </cell>
          <cell r="AB5454" t="str">
            <v/>
          </cell>
          <cell r="AC5454" t="str">
            <v/>
          </cell>
          <cell r="AD5454" t="str">
            <v/>
          </cell>
          <cell r="AY5454" t="str">
            <v/>
          </cell>
          <cell r="AZ5454" t="str">
            <v/>
          </cell>
          <cell r="BA5454" t="str">
            <v/>
          </cell>
        </row>
        <row r="5455">
          <cell r="B5455" t="str">
            <v>-</v>
          </cell>
          <cell r="E5455" t="str">
            <v/>
          </cell>
          <cell r="G5455" t="str">
            <v/>
          </cell>
          <cell r="J5455" t="str">
            <v/>
          </cell>
          <cell r="O5455" t="str">
            <v/>
          </cell>
          <cell r="P5455" t="str">
            <v/>
          </cell>
          <cell r="Q5455" t="str">
            <v/>
          </cell>
          <cell r="S5455" t="str">
            <v/>
          </cell>
          <cell r="V5455" t="str">
            <v/>
          </cell>
          <cell r="Z5455" t="str">
            <v/>
          </cell>
          <cell r="AA5455" t="str">
            <v/>
          </cell>
          <cell r="AB5455" t="str">
            <v/>
          </cell>
          <cell r="AC5455" t="str">
            <v/>
          </cell>
          <cell r="AD5455" t="str">
            <v/>
          </cell>
          <cell r="AY5455" t="str">
            <v/>
          </cell>
          <cell r="AZ5455" t="str">
            <v/>
          </cell>
          <cell r="BA5455" t="str">
            <v/>
          </cell>
        </row>
        <row r="5456">
          <cell r="B5456" t="str">
            <v>-</v>
          </cell>
          <cell r="E5456" t="str">
            <v/>
          </cell>
          <cell r="G5456" t="str">
            <v/>
          </cell>
          <cell r="J5456" t="str">
            <v/>
          </cell>
          <cell r="O5456" t="str">
            <v/>
          </cell>
          <cell r="P5456" t="str">
            <v/>
          </cell>
          <cell r="Q5456" t="str">
            <v/>
          </cell>
          <cell r="S5456" t="str">
            <v/>
          </cell>
          <cell r="V5456" t="str">
            <v/>
          </cell>
          <cell r="Z5456" t="str">
            <v/>
          </cell>
          <cell r="AA5456" t="str">
            <v/>
          </cell>
          <cell r="AB5456" t="str">
            <v/>
          </cell>
          <cell r="AC5456" t="str">
            <v/>
          </cell>
          <cell r="AD5456" t="str">
            <v/>
          </cell>
          <cell r="AY5456" t="str">
            <v/>
          </cell>
          <cell r="AZ5456" t="str">
            <v/>
          </cell>
          <cell r="BA5456" t="str">
            <v/>
          </cell>
        </row>
        <row r="5457">
          <cell r="B5457" t="str">
            <v>-</v>
          </cell>
          <cell r="E5457" t="str">
            <v/>
          </cell>
          <cell r="G5457" t="str">
            <v/>
          </cell>
          <cell r="J5457" t="str">
            <v/>
          </cell>
          <cell r="O5457" t="str">
            <v/>
          </cell>
          <cell r="P5457" t="str">
            <v/>
          </cell>
          <cell r="Q5457" t="str">
            <v/>
          </cell>
          <cell r="S5457" t="str">
            <v/>
          </cell>
          <cell r="V5457" t="str">
            <v/>
          </cell>
          <cell r="Z5457" t="str">
            <v/>
          </cell>
          <cell r="AA5457" t="str">
            <v/>
          </cell>
          <cell r="AB5457" t="str">
            <v/>
          </cell>
          <cell r="AC5457" t="str">
            <v/>
          </cell>
          <cell r="AD5457" t="str">
            <v/>
          </cell>
          <cell r="AY5457" t="str">
            <v/>
          </cell>
          <cell r="AZ5457" t="str">
            <v/>
          </cell>
          <cell r="BA5457" t="str">
            <v/>
          </cell>
        </row>
        <row r="5458">
          <cell r="B5458" t="str">
            <v>-</v>
          </cell>
          <cell r="E5458" t="str">
            <v/>
          </cell>
          <cell r="G5458" t="str">
            <v/>
          </cell>
          <cell r="J5458" t="str">
            <v/>
          </cell>
          <cell r="O5458" t="str">
            <v/>
          </cell>
          <cell r="P5458" t="str">
            <v/>
          </cell>
          <cell r="Q5458" t="str">
            <v/>
          </cell>
          <cell r="S5458" t="str">
            <v/>
          </cell>
          <cell r="V5458" t="str">
            <v/>
          </cell>
          <cell r="Z5458" t="str">
            <v/>
          </cell>
          <cell r="AA5458" t="str">
            <v/>
          </cell>
          <cell r="AB5458" t="str">
            <v/>
          </cell>
          <cell r="AC5458" t="str">
            <v/>
          </cell>
          <cell r="AD5458" t="str">
            <v/>
          </cell>
          <cell r="AY5458" t="str">
            <v/>
          </cell>
          <cell r="AZ5458" t="str">
            <v/>
          </cell>
          <cell r="BA5458" t="str">
            <v/>
          </cell>
        </row>
        <row r="5459">
          <cell r="B5459" t="str">
            <v>-</v>
          </cell>
          <cell r="E5459" t="str">
            <v/>
          </cell>
          <cell r="G5459" t="str">
            <v/>
          </cell>
          <cell r="J5459" t="str">
            <v/>
          </cell>
          <cell r="O5459" t="str">
            <v/>
          </cell>
          <cell r="P5459" t="str">
            <v/>
          </cell>
          <cell r="Q5459" t="str">
            <v/>
          </cell>
          <cell r="S5459" t="str">
            <v/>
          </cell>
          <cell r="V5459" t="str">
            <v/>
          </cell>
          <cell r="Z5459" t="str">
            <v/>
          </cell>
          <cell r="AA5459" t="str">
            <v/>
          </cell>
          <cell r="AB5459" t="str">
            <v/>
          </cell>
          <cell r="AC5459" t="str">
            <v/>
          </cell>
          <cell r="AD5459" t="str">
            <v/>
          </cell>
          <cell r="AY5459" t="str">
            <v/>
          </cell>
          <cell r="AZ5459" t="str">
            <v/>
          </cell>
          <cell r="BA5459" t="str">
            <v/>
          </cell>
        </row>
        <row r="5460">
          <cell r="B5460" t="str">
            <v>-</v>
          </cell>
          <cell r="E5460" t="str">
            <v/>
          </cell>
          <cell r="G5460" t="str">
            <v/>
          </cell>
          <cell r="J5460" t="str">
            <v/>
          </cell>
          <cell r="O5460" t="str">
            <v/>
          </cell>
          <cell r="P5460" t="str">
            <v/>
          </cell>
          <cell r="Q5460" t="str">
            <v/>
          </cell>
          <cell r="S5460" t="str">
            <v/>
          </cell>
          <cell r="V5460" t="str">
            <v/>
          </cell>
          <cell r="Z5460" t="str">
            <v/>
          </cell>
          <cell r="AA5460" t="str">
            <v/>
          </cell>
          <cell r="AB5460" t="str">
            <v/>
          </cell>
          <cell r="AC5460" t="str">
            <v/>
          </cell>
          <cell r="AD5460" t="str">
            <v/>
          </cell>
          <cell r="AY5460" t="str">
            <v/>
          </cell>
          <cell r="AZ5460" t="str">
            <v/>
          </cell>
          <cell r="BA5460" t="str">
            <v/>
          </cell>
        </row>
        <row r="5461">
          <cell r="B5461" t="str">
            <v>-</v>
          </cell>
          <cell r="E5461" t="str">
            <v/>
          </cell>
          <cell r="G5461" t="str">
            <v/>
          </cell>
          <cell r="J5461" t="str">
            <v/>
          </cell>
          <cell r="O5461" t="str">
            <v/>
          </cell>
          <cell r="P5461" t="str">
            <v/>
          </cell>
          <cell r="Q5461" t="str">
            <v/>
          </cell>
          <cell r="S5461" t="str">
            <v/>
          </cell>
          <cell r="V5461" t="str">
            <v/>
          </cell>
          <cell r="Z5461" t="str">
            <v/>
          </cell>
          <cell r="AA5461" t="str">
            <v/>
          </cell>
          <cell r="AB5461" t="str">
            <v/>
          </cell>
          <cell r="AC5461" t="str">
            <v/>
          </cell>
          <cell r="AD5461" t="str">
            <v/>
          </cell>
          <cell r="AY5461" t="str">
            <v/>
          </cell>
          <cell r="AZ5461" t="str">
            <v/>
          </cell>
          <cell r="BA5461" t="str">
            <v/>
          </cell>
        </row>
        <row r="5462">
          <cell r="B5462" t="str">
            <v>-</v>
          </cell>
          <cell r="E5462" t="str">
            <v/>
          </cell>
          <cell r="G5462" t="str">
            <v/>
          </cell>
          <cell r="J5462" t="str">
            <v/>
          </cell>
          <cell r="O5462" t="str">
            <v/>
          </cell>
          <cell r="P5462" t="str">
            <v/>
          </cell>
          <cell r="Q5462" t="str">
            <v/>
          </cell>
          <cell r="S5462" t="str">
            <v/>
          </cell>
          <cell r="V5462" t="str">
            <v/>
          </cell>
          <cell r="Z5462" t="str">
            <v/>
          </cell>
          <cell r="AA5462" t="str">
            <v/>
          </cell>
          <cell r="AB5462" t="str">
            <v/>
          </cell>
          <cell r="AC5462" t="str">
            <v/>
          </cell>
          <cell r="AD5462" t="str">
            <v/>
          </cell>
          <cell r="AY5462" t="str">
            <v/>
          </cell>
          <cell r="AZ5462" t="str">
            <v/>
          </cell>
          <cell r="BA5462" t="str">
            <v/>
          </cell>
        </row>
        <row r="5463">
          <cell r="B5463" t="str">
            <v>-</v>
          </cell>
          <cell r="E5463" t="str">
            <v/>
          </cell>
          <cell r="G5463" t="str">
            <v/>
          </cell>
          <cell r="J5463" t="str">
            <v/>
          </cell>
          <cell r="O5463" t="str">
            <v/>
          </cell>
          <cell r="P5463" t="str">
            <v/>
          </cell>
          <cell r="Q5463" t="str">
            <v/>
          </cell>
          <cell r="S5463" t="str">
            <v/>
          </cell>
          <cell r="V5463" t="str">
            <v/>
          </cell>
          <cell r="Z5463" t="str">
            <v/>
          </cell>
          <cell r="AA5463" t="str">
            <v/>
          </cell>
          <cell r="AB5463" t="str">
            <v/>
          </cell>
          <cell r="AC5463" t="str">
            <v/>
          </cell>
          <cell r="AD5463" t="str">
            <v/>
          </cell>
          <cell r="AY5463" t="str">
            <v/>
          </cell>
          <cell r="AZ5463" t="str">
            <v/>
          </cell>
          <cell r="BA5463" t="str">
            <v/>
          </cell>
        </row>
        <row r="5464">
          <cell r="B5464" t="str">
            <v>-</v>
          </cell>
          <cell r="E5464" t="str">
            <v/>
          </cell>
          <cell r="G5464" t="str">
            <v/>
          </cell>
          <cell r="J5464" t="str">
            <v/>
          </cell>
          <cell r="O5464" t="str">
            <v/>
          </cell>
          <cell r="P5464" t="str">
            <v/>
          </cell>
          <cell r="Q5464" t="str">
            <v/>
          </cell>
          <cell r="S5464" t="str">
            <v/>
          </cell>
          <cell r="V5464" t="str">
            <v/>
          </cell>
          <cell r="Z5464" t="str">
            <v/>
          </cell>
          <cell r="AA5464" t="str">
            <v/>
          </cell>
          <cell r="AB5464" t="str">
            <v/>
          </cell>
          <cell r="AC5464" t="str">
            <v/>
          </cell>
          <cell r="AD5464" t="str">
            <v/>
          </cell>
          <cell r="AY5464" t="str">
            <v/>
          </cell>
          <cell r="AZ5464" t="str">
            <v/>
          </cell>
          <cell r="BA5464" t="str">
            <v/>
          </cell>
        </row>
        <row r="5465">
          <cell r="B5465" t="str">
            <v>-</v>
          </cell>
          <cell r="E5465" t="str">
            <v/>
          </cell>
          <cell r="G5465" t="str">
            <v/>
          </cell>
          <cell r="J5465" t="str">
            <v/>
          </cell>
          <cell r="O5465" t="str">
            <v/>
          </cell>
          <cell r="P5465" t="str">
            <v/>
          </cell>
          <cell r="Q5465" t="str">
            <v/>
          </cell>
          <cell r="S5465" t="str">
            <v/>
          </cell>
          <cell r="V5465" t="str">
            <v/>
          </cell>
          <cell r="Z5465" t="str">
            <v/>
          </cell>
          <cell r="AA5465" t="str">
            <v/>
          </cell>
          <cell r="AB5465" t="str">
            <v/>
          </cell>
          <cell r="AC5465" t="str">
            <v/>
          </cell>
          <cell r="AD5465" t="str">
            <v/>
          </cell>
          <cell r="AY5465" t="str">
            <v/>
          </cell>
          <cell r="AZ5465" t="str">
            <v/>
          </cell>
          <cell r="BA5465" t="str">
            <v/>
          </cell>
        </row>
        <row r="5466">
          <cell r="B5466" t="str">
            <v>-</v>
          </cell>
          <cell r="E5466" t="str">
            <v/>
          </cell>
          <cell r="G5466" t="str">
            <v/>
          </cell>
          <cell r="J5466" t="str">
            <v/>
          </cell>
          <cell r="O5466" t="str">
            <v/>
          </cell>
          <cell r="P5466" t="str">
            <v/>
          </cell>
          <cell r="Q5466" t="str">
            <v/>
          </cell>
          <cell r="S5466" t="str">
            <v/>
          </cell>
          <cell r="V5466" t="str">
            <v/>
          </cell>
          <cell r="Z5466" t="str">
            <v/>
          </cell>
          <cell r="AA5466" t="str">
            <v/>
          </cell>
          <cell r="AB5466" t="str">
            <v/>
          </cell>
          <cell r="AC5466" t="str">
            <v/>
          </cell>
          <cell r="AD5466" t="str">
            <v/>
          </cell>
          <cell r="AY5466" t="str">
            <v/>
          </cell>
          <cell r="AZ5466" t="str">
            <v/>
          </cell>
          <cell r="BA5466" t="str">
            <v/>
          </cell>
        </row>
        <row r="5467">
          <cell r="B5467" t="str">
            <v>-</v>
          </cell>
          <cell r="E5467" t="str">
            <v/>
          </cell>
          <cell r="G5467" t="str">
            <v/>
          </cell>
          <cell r="J5467" t="str">
            <v/>
          </cell>
          <cell r="O5467" t="str">
            <v/>
          </cell>
          <cell r="P5467" t="str">
            <v/>
          </cell>
          <cell r="Q5467" t="str">
            <v/>
          </cell>
          <cell r="S5467" t="str">
            <v/>
          </cell>
          <cell r="V5467" t="str">
            <v/>
          </cell>
          <cell r="Z5467" t="str">
            <v/>
          </cell>
          <cell r="AA5467" t="str">
            <v/>
          </cell>
          <cell r="AB5467" t="str">
            <v/>
          </cell>
          <cell r="AC5467" t="str">
            <v/>
          </cell>
          <cell r="AD5467" t="str">
            <v/>
          </cell>
          <cell r="AY5467" t="str">
            <v/>
          </cell>
          <cell r="AZ5467" t="str">
            <v/>
          </cell>
          <cell r="BA5467" t="str">
            <v/>
          </cell>
        </row>
        <row r="5468">
          <cell r="B5468" t="str">
            <v>-</v>
          </cell>
          <cell r="E5468" t="str">
            <v/>
          </cell>
          <cell r="G5468" t="str">
            <v/>
          </cell>
          <cell r="J5468" t="str">
            <v/>
          </cell>
          <cell r="O5468" t="str">
            <v/>
          </cell>
          <cell r="P5468" t="str">
            <v/>
          </cell>
          <cell r="Q5468" t="str">
            <v/>
          </cell>
          <cell r="S5468" t="str">
            <v/>
          </cell>
          <cell r="V5468" t="str">
            <v/>
          </cell>
          <cell r="Z5468" t="str">
            <v/>
          </cell>
          <cell r="AA5468" t="str">
            <v/>
          </cell>
          <cell r="AB5468" t="str">
            <v/>
          </cell>
          <cell r="AC5468" t="str">
            <v/>
          </cell>
          <cell r="AD5468" t="str">
            <v/>
          </cell>
          <cell r="AY5468" t="str">
            <v/>
          </cell>
          <cell r="AZ5468" t="str">
            <v/>
          </cell>
          <cell r="BA5468" t="str">
            <v/>
          </cell>
        </row>
        <row r="5469">
          <cell r="B5469" t="str">
            <v>-</v>
          </cell>
          <cell r="E5469" t="str">
            <v/>
          </cell>
          <cell r="G5469" t="str">
            <v/>
          </cell>
          <cell r="J5469" t="str">
            <v/>
          </cell>
          <cell r="O5469" t="str">
            <v/>
          </cell>
          <cell r="P5469" t="str">
            <v/>
          </cell>
          <cell r="Q5469" t="str">
            <v/>
          </cell>
          <cell r="S5469" t="str">
            <v/>
          </cell>
          <cell r="V5469" t="str">
            <v/>
          </cell>
          <cell r="Z5469" t="str">
            <v/>
          </cell>
          <cell r="AA5469" t="str">
            <v/>
          </cell>
          <cell r="AB5469" t="str">
            <v/>
          </cell>
          <cell r="AC5469" t="str">
            <v/>
          </cell>
          <cell r="AD5469" t="str">
            <v/>
          </cell>
          <cell r="AY5469" t="str">
            <v/>
          </cell>
          <cell r="AZ5469" t="str">
            <v/>
          </cell>
          <cell r="BA5469" t="str">
            <v/>
          </cell>
        </row>
        <row r="5470">
          <cell r="B5470" t="str">
            <v>-</v>
          </cell>
          <cell r="E5470" t="str">
            <v/>
          </cell>
          <cell r="G5470" t="str">
            <v/>
          </cell>
          <cell r="J5470" t="str">
            <v/>
          </cell>
          <cell r="O5470" t="str">
            <v/>
          </cell>
          <cell r="P5470" t="str">
            <v/>
          </cell>
          <cell r="Q5470" t="str">
            <v/>
          </cell>
          <cell r="S5470" t="str">
            <v/>
          </cell>
          <cell r="V5470" t="str">
            <v/>
          </cell>
          <cell r="Z5470" t="str">
            <v/>
          </cell>
          <cell r="AA5470" t="str">
            <v/>
          </cell>
          <cell r="AB5470" t="str">
            <v/>
          </cell>
          <cell r="AC5470" t="str">
            <v/>
          </cell>
          <cell r="AD5470" t="str">
            <v/>
          </cell>
          <cell r="AY5470" t="str">
            <v/>
          </cell>
          <cell r="AZ5470" t="str">
            <v/>
          </cell>
          <cell r="BA5470" t="str">
            <v/>
          </cell>
        </row>
        <row r="5471">
          <cell r="B5471" t="str">
            <v>-</v>
          </cell>
          <cell r="E5471" t="str">
            <v/>
          </cell>
          <cell r="G5471" t="str">
            <v/>
          </cell>
          <cell r="J5471" t="str">
            <v/>
          </cell>
          <cell r="O5471" t="str">
            <v/>
          </cell>
          <cell r="P5471" t="str">
            <v/>
          </cell>
          <cell r="Q5471" t="str">
            <v/>
          </cell>
          <cell r="S5471" t="str">
            <v/>
          </cell>
          <cell r="V5471" t="str">
            <v/>
          </cell>
          <cell r="Z5471" t="str">
            <v/>
          </cell>
          <cell r="AA5471" t="str">
            <v/>
          </cell>
          <cell r="AB5471" t="str">
            <v/>
          </cell>
          <cell r="AC5471" t="str">
            <v/>
          </cell>
          <cell r="AD5471" t="str">
            <v/>
          </cell>
          <cell r="AY5471" t="str">
            <v/>
          </cell>
          <cell r="AZ5471" t="str">
            <v/>
          </cell>
          <cell r="BA5471" t="str">
            <v/>
          </cell>
        </row>
        <row r="5472">
          <cell r="B5472" t="str">
            <v>-</v>
          </cell>
          <cell r="E5472" t="str">
            <v/>
          </cell>
          <cell r="G5472" t="str">
            <v/>
          </cell>
          <cell r="J5472" t="str">
            <v/>
          </cell>
          <cell r="O5472" t="str">
            <v/>
          </cell>
          <cell r="P5472" t="str">
            <v/>
          </cell>
          <cell r="Q5472" t="str">
            <v/>
          </cell>
          <cell r="S5472" t="str">
            <v/>
          </cell>
          <cell r="V5472" t="str">
            <v/>
          </cell>
          <cell r="Z5472" t="str">
            <v/>
          </cell>
          <cell r="AA5472" t="str">
            <v/>
          </cell>
          <cell r="AB5472" t="str">
            <v/>
          </cell>
          <cell r="AC5472" t="str">
            <v/>
          </cell>
          <cell r="AD5472" t="str">
            <v/>
          </cell>
          <cell r="AY5472" t="str">
            <v/>
          </cell>
          <cell r="AZ5472" t="str">
            <v/>
          </cell>
          <cell r="BA5472" t="str">
            <v/>
          </cell>
        </row>
        <row r="5473">
          <cell r="B5473" t="str">
            <v>-</v>
          </cell>
          <cell r="E5473" t="str">
            <v/>
          </cell>
          <cell r="G5473" t="str">
            <v/>
          </cell>
          <cell r="J5473" t="str">
            <v/>
          </cell>
          <cell r="O5473" t="str">
            <v/>
          </cell>
          <cell r="P5473" t="str">
            <v/>
          </cell>
          <cell r="Q5473" t="str">
            <v/>
          </cell>
          <cell r="S5473" t="str">
            <v/>
          </cell>
          <cell r="V5473" t="str">
            <v/>
          </cell>
          <cell r="Z5473" t="str">
            <v/>
          </cell>
          <cell r="AA5473" t="str">
            <v/>
          </cell>
          <cell r="AB5473" t="str">
            <v/>
          </cell>
          <cell r="AC5473" t="str">
            <v/>
          </cell>
          <cell r="AD5473" t="str">
            <v/>
          </cell>
          <cell r="AY5473" t="str">
            <v/>
          </cell>
          <cell r="AZ5473" t="str">
            <v/>
          </cell>
          <cell r="BA5473" t="str">
            <v/>
          </cell>
        </row>
        <row r="5474">
          <cell r="B5474" t="str">
            <v>-</v>
          </cell>
          <cell r="E5474" t="str">
            <v/>
          </cell>
          <cell r="G5474" t="str">
            <v/>
          </cell>
          <cell r="J5474" t="str">
            <v/>
          </cell>
          <cell r="O5474" t="str">
            <v/>
          </cell>
          <cell r="P5474" t="str">
            <v/>
          </cell>
          <cell r="Q5474" t="str">
            <v/>
          </cell>
          <cell r="S5474" t="str">
            <v/>
          </cell>
          <cell r="V5474" t="str">
            <v/>
          </cell>
          <cell r="Z5474" t="str">
            <v/>
          </cell>
          <cell r="AA5474" t="str">
            <v/>
          </cell>
          <cell r="AB5474" t="str">
            <v/>
          </cell>
          <cell r="AC5474" t="str">
            <v/>
          </cell>
          <cell r="AD5474" t="str">
            <v/>
          </cell>
          <cell r="AY5474" t="str">
            <v/>
          </cell>
          <cell r="AZ5474" t="str">
            <v/>
          </cell>
          <cell r="BA5474" t="str">
            <v/>
          </cell>
        </row>
        <row r="5475">
          <cell r="B5475" t="str">
            <v>-</v>
          </cell>
          <cell r="E5475" t="str">
            <v/>
          </cell>
          <cell r="G5475" t="str">
            <v/>
          </cell>
          <cell r="J5475" t="str">
            <v/>
          </cell>
          <cell r="O5475" t="str">
            <v/>
          </cell>
          <cell r="P5475" t="str">
            <v/>
          </cell>
          <cell r="Q5475" t="str">
            <v/>
          </cell>
          <cell r="S5475" t="str">
            <v/>
          </cell>
          <cell r="V5475" t="str">
            <v/>
          </cell>
          <cell r="Z5475" t="str">
            <v/>
          </cell>
          <cell r="AA5475" t="str">
            <v/>
          </cell>
          <cell r="AB5475" t="str">
            <v/>
          </cell>
          <cell r="AC5475" t="str">
            <v/>
          </cell>
          <cell r="AD5475" t="str">
            <v/>
          </cell>
          <cell r="AY5475" t="str">
            <v/>
          </cell>
          <cell r="AZ5475" t="str">
            <v/>
          </cell>
          <cell r="BA5475" t="str">
            <v/>
          </cell>
        </row>
        <row r="5476">
          <cell r="B5476" t="str">
            <v>-</v>
          </cell>
          <cell r="E5476" t="str">
            <v/>
          </cell>
          <cell r="G5476" t="str">
            <v/>
          </cell>
          <cell r="J5476" t="str">
            <v/>
          </cell>
          <cell r="O5476" t="str">
            <v/>
          </cell>
          <cell r="P5476" t="str">
            <v/>
          </cell>
          <cell r="Q5476" t="str">
            <v/>
          </cell>
          <cell r="S5476" t="str">
            <v/>
          </cell>
          <cell r="V5476" t="str">
            <v/>
          </cell>
          <cell r="Z5476" t="str">
            <v/>
          </cell>
          <cell r="AA5476" t="str">
            <v/>
          </cell>
          <cell r="AB5476" t="str">
            <v/>
          </cell>
          <cell r="AC5476" t="str">
            <v/>
          </cell>
          <cell r="AD5476" t="str">
            <v/>
          </cell>
          <cell r="AY5476" t="str">
            <v/>
          </cell>
          <cell r="AZ5476" t="str">
            <v/>
          </cell>
          <cell r="BA5476" t="str">
            <v/>
          </cell>
        </row>
        <row r="5477">
          <cell r="B5477" t="str">
            <v>-</v>
          </cell>
          <cell r="E5477" t="str">
            <v/>
          </cell>
          <cell r="G5477" t="str">
            <v/>
          </cell>
          <cell r="J5477" t="str">
            <v/>
          </cell>
          <cell r="O5477" t="str">
            <v/>
          </cell>
          <cell r="P5477" t="str">
            <v/>
          </cell>
          <cell r="Q5477" t="str">
            <v/>
          </cell>
          <cell r="S5477" t="str">
            <v/>
          </cell>
          <cell r="V5477" t="str">
            <v/>
          </cell>
          <cell r="Z5477" t="str">
            <v/>
          </cell>
          <cell r="AA5477" t="str">
            <v/>
          </cell>
          <cell r="AB5477" t="str">
            <v/>
          </cell>
          <cell r="AC5477" t="str">
            <v/>
          </cell>
          <cell r="AD5477" t="str">
            <v/>
          </cell>
          <cell r="AY5477" t="str">
            <v/>
          </cell>
          <cell r="AZ5477" t="str">
            <v/>
          </cell>
          <cell r="BA5477" t="str">
            <v/>
          </cell>
        </row>
        <row r="5478">
          <cell r="B5478" t="str">
            <v>-</v>
          </cell>
          <cell r="E5478" t="str">
            <v/>
          </cell>
          <cell r="G5478" t="str">
            <v/>
          </cell>
          <cell r="J5478" t="str">
            <v/>
          </cell>
          <cell r="O5478" t="str">
            <v/>
          </cell>
          <cell r="P5478" t="str">
            <v/>
          </cell>
          <cell r="Q5478" t="str">
            <v/>
          </cell>
          <cell r="S5478" t="str">
            <v/>
          </cell>
          <cell r="V5478" t="str">
            <v/>
          </cell>
          <cell r="Z5478" t="str">
            <v/>
          </cell>
          <cell r="AA5478" t="str">
            <v/>
          </cell>
          <cell r="AB5478" t="str">
            <v/>
          </cell>
          <cell r="AC5478" t="str">
            <v/>
          </cell>
          <cell r="AD5478" t="str">
            <v/>
          </cell>
          <cell r="AY5478" t="str">
            <v/>
          </cell>
          <cell r="AZ5478" t="str">
            <v/>
          </cell>
          <cell r="BA5478" t="str">
            <v/>
          </cell>
        </row>
        <row r="5479">
          <cell r="B5479" t="str">
            <v>-</v>
          </cell>
          <cell r="E5479" t="str">
            <v/>
          </cell>
          <cell r="G5479" t="str">
            <v/>
          </cell>
          <cell r="J5479" t="str">
            <v/>
          </cell>
          <cell r="O5479" t="str">
            <v/>
          </cell>
          <cell r="P5479" t="str">
            <v/>
          </cell>
          <cell r="Q5479" t="str">
            <v/>
          </cell>
          <cell r="S5479" t="str">
            <v/>
          </cell>
          <cell r="V5479" t="str">
            <v/>
          </cell>
          <cell r="Z5479" t="str">
            <v/>
          </cell>
          <cell r="AA5479" t="str">
            <v/>
          </cell>
          <cell r="AB5479" t="str">
            <v/>
          </cell>
          <cell r="AC5479" t="str">
            <v/>
          </cell>
          <cell r="AD5479" t="str">
            <v/>
          </cell>
          <cell r="AY5479" t="str">
            <v/>
          </cell>
          <cell r="AZ5479" t="str">
            <v/>
          </cell>
          <cell r="BA5479" t="str">
            <v/>
          </cell>
        </row>
        <row r="5480">
          <cell r="B5480" t="str">
            <v>-</v>
          </cell>
          <cell r="E5480" t="str">
            <v/>
          </cell>
          <cell r="G5480" t="str">
            <v/>
          </cell>
          <cell r="J5480" t="str">
            <v/>
          </cell>
          <cell r="O5480" t="str">
            <v/>
          </cell>
          <cell r="P5480" t="str">
            <v/>
          </cell>
          <cell r="Q5480" t="str">
            <v/>
          </cell>
          <cell r="S5480" t="str">
            <v/>
          </cell>
          <cell r="V5480" t="str">
            <v/>
          </cell>
          <cell r="Z5480" t="str">
            <v/>
          </cell>
          <cell r="AA5480" t="str">
            <v/>
          </cell>
          <cell r="AB5480" t="str">
            <v/>
          </cell>
          <cell r="AC5480" t="str">
            <v/>
          </cell>
          <cell r="AD5480" t="str">
            <v/>
          </cell>
          <cell r="AY5480" t="str">
            <v/>
          </cell>
          <cell r="AZ5480" t="str">
            <v/>
          </cell>
          <cell r="BA5480" t="str">
            <v/>
          </cell>
        </row>
        <row r="5481">
          <cell r="B5481" t="str">
            <v>-</v>
          </cell>
          <cell r="E5481" t="str">
            <v/>
          </cell>
          <cell r="G5481" t="str">
            <v/>
          </cell>
          <cell r="J5481" t="str">
            <v/>
          </cell>
          <cell r="O5481" t="str">
            <v/>
          </cell>
          <cell r="P5481" t="str">
            <v/>
          </cell>
          <cell r="Q5481" t="str">
            <v/>
          </cell>
          <cell r="S5481" t="str">
            <v/>
          </cell>
          <cell r="V5481" t="str">
            <v/>
          </cell>
          <cell r="Z5481" t="str">
            <v/>
          </cell>
          <cell r="AA5481" t="str">
            <v/>
          </cell>
          <cell r="AB5481" t="str">
            <v/>
          </cell>
          <cell r="AC5481" t="str">
            <v/>
          </cell>
          <cell r="AD5481" t="str">
            <v/>
          </cell>
          <cell r="AY5481" t="str">
            <v/>
          </cell>
          <cell r="AZ5481" t="str">
            <v/>
          </cell>
          <cell r="BA5481" t="str">
            <v/>
          </cell>
        </row>
        <row r="5482">
          <cell r="B5482" t="str">
            <v>-</v>
          </cell>
          <cell r="E5482" t="str">
            <v/>
          </cell>
          <cell r="G5482" t="str">
            <v/>
          </cell>
          <cell r="J5482" t="str">
            <v/>
          </cell>
          <cell r="O5482" t="str">
            <v/>
          </cell>
          <cell r="P5482" t="str">
            <v/>
          </cell>
          <cell r="Q5482" t="str">
            <v/>
          </cell>
          <cell r="S5482" t="str">
            <v/>
          </cell>
          <cell r="V5482" t="str">
            <v/>
          </cell>
          <cell r="Z5482" t="str">
            <v/>
          </cell>
          <cell r="AA5482" t="str">
            <v/>
          </cell>
          <cell r="AB5482" t="str">
            <v/>
          </cell>
          <cell r="AC5482" t="str">
            <v/>
          </cell>
          <cell r="AD5482" t="str">
            <v/>
          </cell>
          <cell r="AY5482" t="str">
            <v/>
          </cell>
          <cell r="AZ5482" t="str">
            <v/>
          </cell>
          <cell r="BA5482" t="str">
            <v/>
          </cell>
        </row>
        <row r="5483">
          <cell r="B5483" t="str">
            <v>-</v>
          </cell>
          <cell r="E5483" t="str">
            <v/>
          </cell>
          <cell r="G5483" t="str">
            <v/>
          </cell>
          <cell r="J5483" t="str">
            <v/>
          </cell>
          <cell r="O5483" t="str">
            <v/>
          </cell>
          <cell r="P5483" t="str">
            <v/>
          </cell>
          <cell r="Q5483" t="str">
            <v/>
          </cell>
          <cell r="S5483" t="str">
            <v/>
          </cell>
          <cell r="V5483" t="str">
            <v/>
          </cell>
          <cell r="Z5483" t="str">
            <v/>
          </cell>
          <cell r="AA5483" t="str">
            <v/>
          </cell>
          <cell r="AB5483" t="str">
            <v/>
          </cell>
          <cell r="AC5483" t="str">
            <v/>
          </cell>
          <cell r="AD5483" t="str">
            <v/>
          </cell>
          <cell r="AY5483" t="str">
            <v/>
          </cell>
          <cell r="AZ5483" t="str">
            <v/>
          </cell>
          <cell r="BA5483" t="str">
            <v/>
          </cell>
        </row>
        <row r="5484">
          <cell r="B5484" t="str">
            <v>-</v>
          </cell>
          <cell r="E5484" t="str">
            <v/>
          </cell>
          <cell r="G5484" t="str">
            <v/>
          </cell>
          <cell r="J5484" t="str">
            <v/>
          </cell>
          <cell r="O5484" t="str">
            <v/>
          </cell>
          <cell r="P5484" t="str">
            <v/>
          </cell>
          <cell r="Q5484" t="str">
            <v/>
          </cell>
          <cell r="S5484" t="str">
            <v/>
          </cell>
          <cell r="V5484" t="str">
            <v/>
          </cell>
          <cell r="Z5484" t="str">
            <v/>
          </cell>
          <cell r="AA5484" t="str">
            <v/>
          </cell>
          <cell r="AB5484" t="str">
            <v/>
          </cell>
          <cell r="AC5484" t="str">
            <v/>
          </cell>
          <cell r="AD5484" t="str">
            <v/>
          </cell>
          <cell r="AY5484" t="str">
            <v/>
          </cell>
          <cell r="AZ5484" t="str">
            <v/>
          </cell>
          <cell r="BA5484" t="str">
            <v/>
          </cell>
        </row>
        <row r="5485">
          <cell r="B5485" t="str">
            <v>-</v>
          </cell>
          <cell r="E5485" t="str">
            <v/>
          </cell>
          <cell r="G5485" t="str">
            <v/>
          </cell>
          <cell r="J5485" t="str">
            <v/>
          </cell>
          <cell r="O5485" t="str">
            <v/>
          </cell>
          <cell r="P5485" t="str">
            <v/>
          </cell>
          <cell r="Q5485" t="str">
            <v/>
          </cell>
          <cell r="S5485" t="str">
            <v/>
          </cell>
          <cell r="V5485" t="str">
            <v/>
          </cell>
          <cell r="Z5485" t="str">
            <v/>
          </cell>
          <cell r="AA5485" t="str">
            <v/>
          </cell>
          <cell r="AB5485" t="str">
            <v/>
          </cell>
          <cell r="AC5485" t="str">
            <v/>
          </cell>
          <cell r="AD5485" t="str">
            <v/>
          </cell>
          <cell r="AY5485" t="str">
            <v/>
          </cell>
          <cell r="AZ5485" t="str">
            <v/>
          </cell>
          <cell r="BA5485" t="str">
            <v/>
          </cell>
        </row>
        <row r="5486">
          <cell r="B5486" t="str">
            <v>-</v>
          </cell>
          <cell r="E5486" t="str">
            <v/>
          </cell>
          <cell r="G5486" t="str">
            <v/>
          </cell>
          <cell r="J5486" t="str">
            <v/>
          </cell>
          <cell r="O5486" t="str">
            <v/>
          </cell>
          <cell r="P5486" t="str">
            <v/>
          </cell>
          <cell r="Q5486" t="str">
            <v/>
          </cell>
          <cell r="S5486" t="str">
            <v/>
          </cell>
          <cell r="V5486" t="str">
            <v/>
          </cell>
          <cell r="Z5486" t="str">
            <v/>
          </cell>
          <cell r="AA5486" t="str">
            <v/>
          </cell>
          <cell r="AB5486" t="str">
            <v/>
          </cell>
          <cell r="AC5486" t="str">
            <v/>
          </cell>
          <cell r="AD5486" t="str">
            <v/>
          </cell>
          <cell r="AY5486" t="str">
            <v/>
          </cell>
          <cell r="AZ5486" t="str">
            <v/>
          </cell>
          <cell r="BA5486" t="str">
            <v/>
          </cell>
        </row>
        <row r="5487">
          <cell r="B5487" t="str">
            <v>-</v>
          </cell>
          <cell r="E5487" t="str">
            <v/>
          </cell>
          <cell r="G5487" t="str">
            <v/>
          </cell>
          <cell r="J5487" t="str">
            <v/>
          </cell>
          <cell r="O5487" t="str">
            <v/>
          </cell>
          <cell r="P5487" t="str">
            <v/>
          </cell>
          <cell r="Q5487" t="str">
            <v/>
          </cell>
          <cell r="S5487" t="str">
            <v/>
          </cell>
          <cell r="V5487" t="str">
            <v/>
          </cell>
          <cell r="Z5487" t="str">
            <v/>
          </cell>
          <cell r="AA5487" t="str">
            <v/>
          </cell>
          <cell r="AB5487" t="str">
            <v/>
          </cell>
          <cell r="AC5487" t="str">
            <v/>
          </cell>
          <cell r="AD5487" t="str">
            <v/>
          </cell>
          <cell r="AY5487" t="str">
            <v/>
          </cell>
          <cell r="AZ5487" t="str">
            <v/>
          </cell>
          <cell r="BA5487" t="str">
            <v/>
          </cell>
        </row>
        <row r="5488">
          <cell r="B5488" t="str">
            <v>-</v>
          </cell>
          <cell r="E5488" t="str">
            <v/>
          </cell>
          <cell r="G5488" t="str">
            <v/>
          </cell>
          <cell r="J5488" t="str">
            <v/>
          </cell>
          <cell r="O5488" t="str">
            <v/>
          </cell>
          <cell r="P5488" t="str">
            <v/>
          </cell>
          <cell r="Q5488" t="str">
            <v/>
          </cell>
          <cell r="S5488" t="str">
            <v/>
          </cell>
          <cell r="V5488" t="str">
            <v/>
          </cell>
          <cell r="Z5488" t="str">
            <v/>
          </cell>
          <cell r="AA5488" t="str">
            <v/>
          </cell>
          <cell r="AB5488" t="str">
            <v/>
          </cell>
          <cell r="AC5488" t="str">
            <v/>
          </cell>
          <cell r="AD5488" t="str">
            <v/>
          </cell>
          <cell r="AY5488" t="str">
            <v/>
          </cell>
          <cell r="AZ5488" t="str">
            <v/>
          </cell>
          <cell r="BA5488" t="str">
            <v/>
          </cell>
        </row>
        <row r="5489">
          <cell r="B5489" t="str">
            <v>-</v>
          </cell>
          <cell r="E5489" t="str">
            <v/>
          </cell>
          <cell r="G5489" t="str">
            <v/>
          </cell>
          <cell r="J5489" t="str">
            <v/>
          </cell>
          <cell r="O5489" t="str">
            <v/>
          </cell>
          <cell r="P5489" t="str">
            <v/>
          </cell>
          <cell r="Q5489" t="str">
            <v/>
          </cell>
          <cell r="S5489" t="str">
            <v/>
          </cell>
          <cell r="V5489" t="str">
            <v/>
          </cell>
          <cell r="Z5489" t="str">
            <v/>
          </cell>
          <cell r="AA5489" t="str">
            <v/>
          </cell>
          <cell r="AB5489" t="str">
            <v/>
          </cell>
          <cell r="AC5489" t="str">
            <v/>
          </cell>
          <cell r="AD5489" t="str">
            <v/>
          </cell>
          <cell r="AY5489" t="str">
            <v/>
          </cell>
          <cell r="AZ5489" t="str">
            <v/>
          </cell>
          <cell r="BA5489" t="str">
            <v/>
          </cell>
        </row>
        <row r="5490">
          <cell r="B5490" t="str">
            <v>-</v>
          </cell>
          <cell r="E5490" t="str">
            <v/>
          </cell>
          <cell r="G5490" t="str">
            <v/>
          </cell>
          <cell r="J5490" t="str">
            <v/>
          </cell>
          <cell r="O5490" t="str">
            <v/>
          </cell>
          <cell r="P5490" t="str">
            <v/>
          </cell>
          <cell r="Q5490" t="str">
            <v/>
          </cell>
          <cell r="S5490" t="str">
            <v/>
          </cell>
          <cell r="V5490" t="str">
            <v/>
          </cell>
          <cell r="Z5490" t="str">
            <v/>
          </cell>
          <cell r="AA5490" t="str">
            <v/>
          </cell>
          <cell r="AB5490" t="str">
            <v/>
          </cell>
          <cell r="AC5490" t="str">
            <v/>
          </cell>
          <cell r="AD5490" t="str">
            <v/>
          </cell>
          <cell r="AY5490" t="str">
            <v/>
          </cell>
          <cell r="AZ5490" t="str">
            <v/>
          </cell>
          <cell r="BA5490" t="str">
            <v/>
          </cell>
        </row>
        <row r="5491">
          <cell r="B5491" t="str">
            <v>-</v>
          </cell>
          <cell r="E5491" t="str">
            <v/>
          </cell>
          <cell r="G5491" t="str">
            <v/>
          </cell>
          <cell r="J5491" t="str">
            <v/>
          </cell>
          <cell r="O5491" t="str">
            <v/>
          </cell>
          <cell r="P5491" t="str">
            <v/>
          </cell>
          <cell r="Q5491" t="str">
            <v/>
          </cell>
          <cell r="S5491" t="str">
            <v/>
          </cell>
          <cell r="V5491" t="str">
            <v/>
          </cell>
          <cell r="Z5491" t="str">
            <v/>
          </cell>
          <cell r="AA5491" t="str">
            <v/>
          </cell>
          <cell r="AB5491" t="str">
            <v/>
          </cell>
          <cell r="AC5491" t="str">
            <v/>
          </cell>
          <cell r="AD5491" t="str">
            <v/>
          </cell>
          <cell r="AY5491" t="str">
            <v/>
          </cell>
          <cell r="AZ5491" t="str">
            <v/>
          </cell>
          <cell r="BA5491" t="str">
            <v/>
          </cell>
        </row>
        <row r="5492">
          <cell r="B5492" t="str">
            <v>-</v>
          </cell>
          <cell r="E5492" t="str">
            <v/>
          </cell>
          <cell r="G5492" t="str">
            <v/>
          </cell>
          <cell r="J5492" t="str">
            <v/>
          </cell>
          <cell r="O5492" t="str">
            <v/>
          </cell>
          <cell r="P5492" t="str">
            <v/>
          </cell>
          <cell r="Q5492" t="str">
            <v/>
          </cell>
          <cell r="S5492" t="str">
            <v/>
          </cell>
          <cell r="V5492" t="str">
            <v/>
          </cell>
          <cell r="Z5492" t="str">
            <v/>
          </cell>
          <cell r="AA5492" t="str">
            <v/>
          </cell>
          <cell r="AB5492" t="str">
            <v/>
          </cell>
          <cell r="AC5492" t="str">
            <v/>
          </cell>
          <cell r="AD5492" t="str">
            <v/>
          </cell>
          <cell r="AY5492" t="str">
            <v/>
          </cell>
          <cell r="AZ5492" t="str">
            <v/>
          </cell>
          <cell r="BA5492" t="str">
            <v/>
          </cell>
        </row>
        <row r="5493">
          <cell r="B5493" t="str">
            <v>-</v>
          </cell>
          <cell r="E5493" t="str">
            <v/>
          </cell>
          <cell r="G5493" t="str">
            <v/>
          </cell>
          <cell r="J5493" t="str">
            <v/>
          </cell>
          <cell r="O5493" t="str">
            <v/>
          </cell>
          <cell r="P5493" t="str">
            <v/>
          </cell>
          <cell r="Q5493" t="str">
            <v/>
          </cell>
          <cell r="S5493" t="str">
            <v/>
          </cell>
          <cell r="V5493" t="str">
            <v/>
          </cell>
          <cell r="Z5493" t="str">
            <v/>
          </cell>
          <cell r="AA5493" t="str">
            <v/>
          </cell>
          <cell r="AB5493" t="str">
            <v/>
          </cell>
          <cell r="AC5493" t="str">
            <v/>
          </cell>
          <cell r="AD5493" t="str">
            <v/>
          </cell>
          <cell r="AY5493" t="str">
            <v/>
          </cell>
          <cell r="AZ5493" t="str">
            <v/>
          </cell>
          <cell r="BA5493" t="str">
            <v/>
          </cell>
        </row>
        <row r="5494">
          <cell r="B5494" t="str">
            <v>-</v>
          </cell>
          <cell r="E5494" t="str">
            <v/>
          </cell>
          <cell r="G5494" t="str">
            <v/>
          </cell>
          <cell r="J5494" t="str">
            <v/>
          </cell>
          <cell r="O5494" t="str">
            <v/>
          </cell>
          <cell r="P5494" t="str">
            <v/>
          </cell>
          <cell r="Q5494" t="str">
            <v/>
          </cell>
          <cell r="S5494" t="str">
            <v/>
          </cell>
          <cell r="V5494" t="str">
            <v/>
          </cell>
          <cell r="Z5494" t="str">
            <v/>
          </cell>
          <cell r="AA5494" t="str">
            <v/>
          </cell>
          <cell r="AB5494" t="str">
            <v/>
          </cell>
          <cell r="AC5494" t="str">
            <v/>
          </cell>
          <cell r="AD5494" t="str">
            <v/>
          </cell>
          <cell r="AY5494" t="str">
            <v/>
          </cell>
          <cell r="AZ5494" t="str">
            <v/>
          </cell>
          <cell r="BA5494" t="str">
            <v/>
          </cell>
        </row>
        <row r="5495">
          <cell r="B5495" t="str">
            <v>-</v>
          </cell>
          <cell r="E5495" t="str">
            <v/>
          </cell>
          <cell r="G5495" t="str">
            <v/>
          </cell>
          <cell r="J5495" t="str">
            <v/>
          </cell>
          <cell r="O5495" t="str">
            <v/>
          </cell>
          <cell r="P5495" t="str">
            <v/>
          </cell>
          <cell r="Q5495" t="str">
            <v/>
          </cell>
          <cell r="S5495" t="str">
            <v/>
          </cell>
          <cell r="V5495" t="str">
            <v/>
          </cell>
          <cell r="Z5495" t="str">
            <v/>
          </cell>
          <cell r="AA5495" t="str">
            <v/>
          </cell>
          <cell r="AB5495" t="str">
            <v/>
          </cell>
          <cell r="AC5495" t="str">
            <v/>
          </cell>
          <cell r="AD5495" t="str">
            <v/>
          </cell>
          <cell r="AY5495" t="str">
            <v/>
          </cell>
          <cell r="AZ5495" t="str">
            <v/>
          </cell>
          <cell r="BA5495" t="str">
            <v/>
          </cell>
        </row>
        <row r="5496">
          <cell r="B5496" t="str">
            <v>-</v>
          </cell>
          <cell r="E5496" t="str">
            <v/>
          </cell>
          <cell r="G5496" t="str">
            <v/>
          </cell>
          <cell r="J5496" t="str">
            <v/>
          </cell>
          <cell r="O5496" t="str">
            <v/>
          </cell>
          <cell r="P5496" t="str">
            <v/>
          </cell>
          <cell r="Q5496" t="str">
            <v/>
          </cell>
          <cell r="S5496" t="str">
            <v/>
          </cell>
          <cell r="V5496" t="str">
            <v/>
          </cell>
          <cell r="Z5496" t="str">
            <v/>
          </cell>
          <cell r="AA5496" t="str">
            <v/>
          </cell>
          <cell r="AB5496" t="str">
            <v/>
          </cell>
          <cell r="AC5496" t="str">
            <v/>
          </cell>
          <cell r="AD5496" t="str">
            <v/>
          </cell>
          <cell r="AY5496" t="str">
            <v/>
          </cell>
          <cell r="AZ5496" t="str">
            <v/>
          </cell>
          <cell r="BA5496" t="str">
            <v/>
          </cell>
        </row>
        <row r="5497">
          <cell r="B5497" t="str">
            <v>-</v>
          </cell>
          <cell r="E5497" t="str">
            <v/>
          </cell>
          <cell r="G5497" t="str">
            <v/>
          </cell>
          <cell r="J5497" t="str">
            <v/>
          </cell>
          <cell r="O5497" t="str">
            <v/>
          </cell>
          <cell r="P5497" t="str">
            <v/>
          </cell>
          <cell r="Q5497" t="str">
            <v/>
          </cell>
          <cell r="S5497" t="str">
            <v/>
          </cell>
          <cell r="V5497" t="str">
            <v/>
          </cell>
          <cell r="Z5497" t="str">
            <v/>
          </cell>
          <cell r="AA5497" t="str">
            <v/>
          </cell>
          <cell r="AB5497" t="str">
            <v/>
          </cell>
          <cell r="AC5497" t="str">
            <v/>
          </cell>
          <cell r="AD5497" t="str">
            <v/>
          </cell>
          <cell r="AY5497" t="str">
            <v/>
          </cell>
          <cell r="AZ5497" t="str">
            <v/>
          </cell>
          <cell r="BA5497" t="str">
            <v/>
          </cell>
        </row>
        <row r="5498">
          <cell r="B5498" t="str">
            <v>-</v>
          </cell>
          <cell r="E5498" t="str">
            <v/>
          </cell>
          <cell r="G5498" t="str">
            <v/>
          </cell>
          <cell r="J5498" t="str">
            <v/>
          </cell>
          <cell r="O5498" t="str">
            <v/>
          </cell>
          <cell r="P5498" t="str">
            <v/>
          </cell>
          <cell r="Q5498" t="str">
            <v/>
          </cell>
          <cell r="S5498" t="str">
            <v/>
          </cell>
          <cell r="V5498" t="str">
            <v/>
          </cell>
          <cell r="Z5498" t="str">
            <v/>
          </cell>
          <cell r="AA5498" t="str">
            <v/>
          </cell>
          <cell r="AB5498" t="str">
            <v/>
          </cell>
          <cell r="AC5498" t="str">
            <v/>
          </cell>
          <cell r="AD5498" t="str">
            <v/>
          </cell>
          <cell r="AY5498" t="str">
            <v/>
          </cell>
          <cell r="AZ5498" t="str">
            <v/>
          </cell>
          <cell r="BA5498" t="str">
            <v/>
          </cell>
        </row>
        <row r="5499">
          <cell r="B5499" t="str">
            <v>-</v>
          </cell>
          <cell r="E5499" t="str">
            <v/>
          </cell>
          <cell r="G5499" t="str">
            <v/>
          </cell>
          <cell r="J5499" t="str">
            <v/>
          </cell>
          <cell r="O5499" t="str">
            <v/>
          </cell>
          <cell r="P5499" t="str">
            <v/>
          </cell>
          <cell r="Q5499" t="str">
            <v/>
          </cell>
          <cell r="S5499" t="str">
            <v/>
          </cell>
          <cell r="V5499" t="str">
            <v/>
          </cell>
          <cell r="Z5499" t="str">
            <v/>
          </cell>
          <cell r="AA5499" t="str">
            <v/>
          </cell>
          <cell r="AB5499" t="str">
            <v/>
          </cell>
          <cell r="AC5499" t="str">
            <v/>
          </cell>
          <cell r="AD5499" t="str">
            <v/>
          </cell>
          <cell r="AY5499" t="str">
            <v/>
          </cell>
          <cell r="AZ5499" t="str">
            <v/>
          </cell>
          <cell r="BA5499" t="str">
            <v/>
          </cell>
        </row>
        <row r="5500">
          <cell r="B5500" t="str">
            <v>-</v>
          </cell>
          <cell r="E5500" t="str">
            <v/>
          </cell>
          <cell r="G5500" t="str">
            <v/>
          </cell>
          <cell r="J5500" t="str">
            <v/>
          </cell>
          <cell r="O5500" t="str">
            <v/>
          </cell>
          <cell r="P5500" t="str">
            <v/>
          </cell>
          <cell r="Q5500" t="str">
            <v/>
          </cell>
          <cell r="S5500" t="str">
            <v/>
          </cell>
          <cell r="V5500" t="str">
            <v/>
          </cell>
          <cell r="Z5500" t="str">
            <v/>
          </cell>
          <cell r="AA5500" t="str">
            <v/>
          </cell>
          <cell r="AB5500" t="str">
            <v/>
          </cell>
          <cell r="AC5500" t="str">
            <v/>
          </cell>
          <cell r="AD5500" t="str">
            <v/>
          </cell>
          <cell r="AY5500" t="str">
            <v/>
          </cell>
          <cell r="AZ5500" t="str">
            <v/>
          </cell>
          <cell r="BA5500" t="str">
            <v/>
          </cell>
        </row>
        <row r="5501">
          <cell r="B5501" t="str">
            <v>-</v>
          </cell>
          <cell r="E5501" t="str">
            <v/>
          </cell>
          <cell r="G5501" t="str">
            <v/>
          </cell>
          <cell r="J5501" t="str">
            <v/>
          </cell>
          <cell r="O5501" t="str">
            <v/>
          </cell>
          <cell r="P5501" t="str">
            <v/>
          </cell>
          <cell r="Q5501" t="str">
            <v/>
          </cell>
          <cell r="S5501" t="str">
            <v/>
          </cell>
          <cell r="V5501" t="str">
            <v/>
          </cell>
          <cell r="Z5501" t="str">
            <v/>
          </cell>
          <cell r="AA5501" t="str">
            <v/>
          </cell>
          <cell r="AB5501" t="str">
            <v/>
          </cell>
          <cell r="AC5501" t="str">
            <v/>
          </cell>
          <cell r="AD5501" t="str">
            <v/>
          </cell>
          <cell r="AY5501" t="str">
            <v/>
          </cell>
          <cell r="AZ5501" t="str">
            <v/>
          </cell>
          <cell r="BA5501" t="str">
            <v/>
          </cell>
        </row>
        <row r="5502">
          <cell r="B5502" t="str">
            <v>-</v>
          </cell>
          <cell r="E5502" t="str">
            <v/>
          </cell>
          <cell r="G5502" t="str">
            <v/>
          </cell>
          <cell r="J5502" t="str">
            <v/>
          </cell>
          <cell r="O5502" t="str">
            <v/>
          </cell>
          <cell r="P5502" t="str">
            <v/>
          </cell>
          <cell r="Q5502" t="str">
            <v/>
          </cell>
          <cell r="S5502" t="str">
            <v/>
          </cell>
          <cell r="V5502" t="str">
            <v/>
          </cell>
          <cell r="Z5502" t="str">
            <v/>
          </cell>
          <cell r="AA5502" t="str">
            <v/>
          </cell>
          <cell r="AB5502" t="str">
            <v/>
          </cell>
          <cell r="AC5502" t="str">
            <v/>
          </cell>
          <cell r="AD5502" t="str">
            <v/>
          </cell>
          <cell r="AY5502" t="str">
            <v/>
          </cell>
          <cell r="AZ5502" t="str">
            <v/>
          </cell>
          <cell r="BA5502" t="str">
            <v/>
          </cell>
        </row>
        <row r="5503">
          <cell r="B5503" t="str">
            <v>-</v>
          </cell>
          <cell r="E5503" t="str">
            <v/>
          </cell>
          <cell r="G5503" t="str">
            <v/>
          </cell>
          <cell r="J5503" t="str">
            <v/>
          </cell>
          <cell r="O5503" t="str">
            <v/>
          </cell>
          <cell r="P5503" t="str">
            <v/>
          </cell>
          <cell r="Q5503" t="str">
            <v/>
          </cell>
          <cell r="S5503" t="str">
            <v/>
          </cell>
          <cell r="V5503" t="str">
            <v/>
          </cell>
          <cell r="Z5503" t="str">
            <v/>
          </cell>
          <cell r="AA5503" t="str">
            <v/>
          </cell>
          <cell r="AB5503" t="str">
            <v/>
          </cell>
          <cell r="AC5503" t="str">
            <v/>
          </cell>
          <cell r="AD5503" t="str">
            <v/>
          </cell>
          <cell r="AY5503" t="str">
            <v/>
          </cell>
          <cell r="AZ5503" t="str">
            <v/>
          </cell>
          <cell r="BA5503" t="str">
            <v/>
          </cell>
        </row>
        <row r="5504">
          <cell r="B5504" t="str">
            <v>-</v>
          </cell>
          <cell r="E5504" t="str">
            <v/>
          </cell>
          <cell r="G5504" t="str">
            <v/>
          </cell>
          <cell r="J5504" t="str">
            <v/>
          </cell>
          <cell r="O5504" t="str">
            <v/>
          </cell>
          <cell r="P5504" t="str">
            <v/>
          </cell>
          <cell r="Q5504" t="str">
            <v/>
          </cell>
          <cell r="S5504" t="str">
            <v/>
          </cell>
          <cell r="V5504" t="str">
            <v/>
          </cell>
          <cell r="Z5504" t="str">
            <v/>
          </cell>
          <cell r="AA5504" t="str">
            <v/>
          </cell>
          <cell r="AB5504" t="str">
            <v/>
          </cell>
          <cell r="AC5504" t="str">
            <v/>
          </cell>
          <cell r="AD5504" t="str">
            <v/>
          </cell>
          <cell r="AY5504" t="str">
            <v/>
          </cell>
          <cell r="AZ5504" t="str">
            <v/>
          </cell>
          <cell r="BA5504" t="str">
            <v/>
          </cell>
        </row>
        <row r="5505">
          <cell r="B5505" t="str">
            <v>-</v>
          </cell>
          <cell r="E5505" t="str">
            <v/>
          </cell>
          <cell r="G5505" t="str">
            <v/>
          </cell>
          <cell r="J5505" t="str">
            <v/>
          </cell>
          <cell r="O5505" t="str">
            <v/>
          </cell>
          <cell r="P5505" t="str">
            <v/>
          </cell>
          <cell r="Q5505" t="str">
            <v/>
          </cell>
          <cell r="S5505" t="str">
            <v/>
          </cell>
          <cell r="V5505" t="str">
            <v/>
          </cell>
          <cell r="Z5505" t="str">
            <v/>
          </cell>
          <cell r="AA5505" t="str">
            <v/>
          </cell>
          <cell r="AB5505" t="str">
            <v/>
          </cell>
          <cell r="AC5505" t="str">
            <v/>
          </cell>
          <cell r="AD5505" t="str">
            <v/>
          </cell>
          <cell r="AY5505" t="str">
            <v/>
          </cell>
          <cell r="AZ5505" t="str">
            <v/>
          </cell>
          <cell r="BA5505" t="str">
            <v/>
          </cell>
        </row>
        <row r="5506">
          <cell r="B5506" t="str">
            <v>-</v>
          </cell>
          <cell r="E5506" t="str">
            <v/>
          </cell>
          <cell r="G5506" t="str">
            <v/>
          </cell>
          <cell r="J5506" t="str">
            <v/>
          </cell>
          <cell r="O5506" t="str">
            <v/>
          </cell>
          <cell r="P5506" t="str">
            <v/>
          </cell>
          <cell r="Q5506" t="str">
            <v/>
          </cell>
          <cell r="S5506" t="str">
            <v/>
          </cell>
          <cell r="V5506" t="str">
            <v/>
          </cell>
          <cell r="Z5506" t="str">
            <v/>
          </cell>
          <cell r="AA5506" t="str">
            <v/>
          </cell>
          <cell r="AB5506" t="str">
            <v/>
          </cell>
          <cell r="AC5506" t="str">
            <v/>
          </cell>
          <cell r="AD5506" t="str">
            <v/>
          </cell>
          <cell r="AY5506" t="str">
            <v/>
          </cell>
          <cell r="AZ5506" t="str">
            <v/>
          </cell>
          <cell r="BA5506" t="str">
            <v/>
          </cell>
        </row>
        <row r="5507">
          <cell r="B5507" t="str">
            <v>-</v>
          </cell>
          <cell r="E5507" t="str">
            <v/>
          </cell>
          <cell r="G5507" t="str">
            <v/>
          </cell>
          <cell r="J5507" t="str">
            <v/>
          </cell>
          <cell r="O5507" t="str">
            <v/>
          </cell>
          <cell r="P5507" t="str">
            <v/>
          </cell>
          <cell r="Q5507" t="str">
            <v/>
          </cell>
          <cell r="S5507" t="str">
            <v/>
          </cell>
          <cell r="V5507" t="str">
            <v/>
          </cell>
          <cell r="Z5507" t="str">
            <v/>
          </cell>
          <cell r="AA5507" t="str">
            <v/>
          </cell>
          <cell r="AB5507" t="str">
            <v/>
          </cell>
          <cell r="AC5507" t="str">
            <v/>
          </cell>
          <cell r="AD5507" t="str">
            <v/>
          </cell>
          <cell r="AY5507" t="str">
            <v/>
          </cell>
          <cell r="AZ5507" t="str">
            <v/>
          </cell>
          <cell r="BA5507" t="str">
            <v/>
          </cell>
        </row>
        <row r="5508">
          <cell r="B5508" t="str">
            <v>-</v>
          </cell>
          <cell r="E5508" t="str">
            <v/>
          </cell>
          <cell r="G5508" t="str">
            <v/>
          </cell>
          <cell r="J5508" t="str">
            <v/>
          </cell>
          <cell r="O5508" t="str">
            <v/>
          </cell>
          <cell r="P5508" t="str">
            <v/>
          </cell>
          <cell r="Q5508" t="str">
            <v/>
          </cell>
          <cell r="S5508" t="str">
            <v/>
          </cell>
          <cell r="V5508" t="str">
            <v/>
          </cell>
          <cell r="Z5508" t="str">
            <v/>
          </cell>
          <cell r="AA5508" t="str">
            <v/>
          </cell>
          <cell r="AB5508" t="str">
            <v/>
          </cell>
          <cell r="AC5508" t="str">
            <v/>
          </cell>
          <cell r="AD5508" t="str">
            <v/>
          </cell>
          <cell r="AY5508" t="str">
            <v/>
          </cell>
          <cell r="AZ5508" t="str">
            <v/>
          </cell>
          <cell r="BA5508" t="str">
            <v/>
          </cell>
        </row>
        <row r="5509">
          <cell r="B5509" t="str">
            <v>-</v>
          </cell>
          <cell r="E5509" t="str">
            <v/>
          </cell>
          <cell r="G5509" t="str">
            <v/>
          </cell>
          <cell r="J5509" t="str">
            <v/>
          </cell>
          <cell r="O5509" t="str">
            <v/>
          </cell>
          <cell r="P5509" t="str">
            <v/>
          </cell>
          <cell r="Q5509" t="str">
            <v/>
          </cell>
          <cell r="S5509" t="str">
            <v/>
          </cell>
          <cell r="V5509" t="str">
            <v/>
          </cell>
          <cell r="Z5509" t="str">
            <v/>
          </cell>
          <cell r="AA5509" t="str">
            <v/>
          </cell>
          <cell r="AB5509" t="str">
            <v/>
          </cell>
          <cell r="AC5509" t="str">
            <v/>
          </cell>
          <cell r="AD5509" t="str">
            <v/>
          </cell>
          <cell r="AY5509" t="str">
            <v/>
          </cell>
          <cell r="AZ5509" t="str">
            <v/>
          </cell>
          <cell r="BA5509" t="str">
            <v/>
          </cell>
        </row>
        <row r="5510">
          <cell r="B5510" t="str">
            <v>-</v>
          </cell>
          <cell r="E5510" t="str">
            <v/>
          </cell>
          <cell r="G5510" t="str">
            <v/>
          </cell>
          <cell r="J5510" t="str">
            <v/>
          </cell>
          <cell r="O5510" t="str">
            <v/>
          </cell>
          <cell r="P5510" t="str">
            <v/>
          </cell>
          <cell r="Q5510" t="str">
            <v/>
          </cell>
          <cell r="S5510" t="str">
            <v/>
          </cell>
          <cell r="V5510" t="str">
            <v/>
          </cell>
          <cell r="Z5510" t="str">
            <v/>
          </cell>
          <cell r="AA5510" t="str">
            <v/>
          </cell>
          <cell r="AB5510" t="str">
            <v/>
          </cell>
          <cell r="AC5510" t="str">
            <v/>
          </cell>
          <cell r="AD5510" t="str">
            <v/>
          </cell>
          <cell r="AY5510" t="str">
            <v/>
          </cell>
          <cell r="AZ5510" t="str">
            <v/>
          </cell>
          <cell r="BA5510" t="str">
            <v/>
          </cell>
        </row>
        <row r="5511">
          <cell r="B5511" t="str">
            <v>-</v>
          </cell>
          <cell r="E5511" t="str">
            <v/>
          </cell>
          <cell r="G5511" t="str">
            <v/>
          </cell>
          <cell r="J5511" t="str">
            <v/>
          </cell>
          <cell r="O5511" t="str">
            <v/>
          </cell>
          <cell r="P5511" t="str">
            <v/>
          </cell>
          <cell r="Q5511" t="str">
            <v/>
          </cell>
          <cell r="S5511" t="str">
            <v/>
          </cell>
          <cell r="V5511" t="str">
            <v/>
          </cell>
          <cell r="Z5511" t="str">
            <v/>
          </cell>
          <cell r="AA5511" t="str">
            <v/>
          </cell>
          <cell r="AB5511" t="str">
            <v/>
          </cell>
          <cell r="AC5511" t="str">
            <v/>
          </cell>
          <cell r="AD5511" t="str">
            <v/>
          </cell>
          <cell r="AY5511" t="str">
            <v/>
          </cell>
          <cell r="AZ5511" t="str">
            <v/>
          </cell>
          <cell r="BA5511" t="str">
            <v/>
          </cell>
        </row>
        <row r="5512">
          <cell r="B5512" t="str">
            <v>-</v>
          </cell>
          <cell r="E5512" t="str">
            <v/>
          </cell>
          <cell r="G5512" t="str">
            <v/>
          </cell>
          <cell r="J5512" t="str">
            <v/>
          </cell>
          <cell r="O5512" t="str">
            <v/>
          </cell>
          <cell r="P5512" t="str">
            <v/>
          </cell>
          <cell r="Q5512" t="str">
            <v/>
          </cell>
          <cell r="S5512" t="str">
            <v/>
          </cell>
          <cell r="V5512" t="str">
            <v/>
          </cell>
          <cell r="Z5512" t="str">
            <v/>
          </cell>
          <cell r="AA5512" t="str">
            <v/>
          </cell>
          <cell r="AB5512" t="str">
            <v/>
          </cell>
          <cell r="AC5512" t="str">
            <v/>
          </cell>
          <cell r="AD5512" t="str">
            <v/>
          </cell>
          <cell r="AY5512" t="str">
            <v/>
          </cell>
          <cell r="AZ5512" t="str">
            <v/>
          </cell>
          <cell r="BA5512" t="str">
            <v/>
          </cell>
        </row>
        <row r="5513">
          <cell r="B5513" t="str">
            <v>-</v>
          </cell>
          <cell r="E5513" t="str">
            <v/>
          </cell>
          <cell r="G5513" t="str">
            <v/>
          </cell>
          <cell r="J5513" t="str">
            <v/>
          </cell>
          <cell r="O5513" t="str">
            <v/>
          </cell>
          <cell r="P5513" t="str">
            <v/>
          </cell>
          <cell r="Q5513" t="str">
            <v/>
          </cell>
          <cell r="S5513" t="str">
            <v/>
          </cell>
          <cell r="V5513" t="str">
            <v/>
          </cell>
          <cell r="Z5513" t="str">
            <v/>
          </cell>
          <cell r="AA5513" t="str">
            <v/>
          </cell>
          <cell r="AB5513" t="str">
            <v/>
          </cell>
          <cell r="AC5513" t="str">
            <v/>
          </cell>
          <cell r="AD5513" t="str">
            <v/>
          </cell>
          <cell r="AY5513" t="str">
            <v/>
          </cell>
          <cell r="AZ5513" t="str">
            <v/>
          </cell>
          <cell r="BA5513" t="str">
            <v/>
          </cell>
        </row>
        <row r="5514">
          <cell r="B5514" t="str">
            <v>-</v>
          </cell>
          <cell r="E5514" t="str">
            <v/>
          </cell>
          <cell r="G5514" t="str">
            <v/>
          </cell>
          <cell r="J5514" t="str">
            <v/>
          </cell>
          <cell r="O5514" t="str">
            <v/>
          </cell>
          <cell r="P5514" t="str">
            <v/>
          </cell>
          <cell r="Q5514" t="str">
            <v/>
          </cell>
          <cell r="S5514" t="str">
            <v/>
          </cell>
          <cell r="V5514" t="str">
            <v/>
          </cell>
          <cell r="Z5514" t="str">
            <v/>
          </cell>
          <cell r="AA5514" t="str">
            <v/>
          </cell>
          <cell r="AB5514" t="str">
            <v/>
          </cell>
          <cell r="AC5514" t="str">
            <v/>
          </cell>
          <cell r="AD5514" t="str">
            <v/>
          </cell>
          <cell r="AY5514" t="str">
            <v/>
          </cell>
          <cell r="AZ5514" t="str">
            <v/>
          </cell>
          <cell r="BA5514" t="str">
            <v/>
          </cell>
        </row>
        <row r="5515">
          <cell r="B5515" t="str">
            <v>-</v>
          </cell>
          <cell r="E5515" t="str">
            <v/>
          </cell>
          <cell r="G5515" t="str">
            <v/>
          </cell>
          <cell r="J5515" t="str">
            <v/>
          </cell>
          <cell r="O5515" t="str">
            <v/>
          </cell>
          <cell r="P5515" t="str">
            <v/>
          </cell>
          <cell r="Q5515" t="str">
            <v/>
          </cell>
          <cell r="S5515" t="str">
            <v/>
          </cell>
          <cell r="V5515" t="str">
            <v/>
          </cell>
          <cell r="Z5515" t="str">
            <v/>
          </cell>
          <cell r="AA5515" t="str">
            <v/>
          </cell>
          <cell r="AB5515" t="str">
            <v/>
          </cell>
          <cell r="AC5515" t="str">
            <v/>
          </cell>
          <cell r="AD5515" t="str">
            <v/>
          </cell>
          <cell r="AY5515" t="str">
            <v/>
          </cell>
          <cell r="AZ5515" t="str">
            <v/>
          </cell>
          <cell r="BA5515" t="str">
            <v/>
          </cell>
        </row>
        <row r="5516">
          <cell r="B5516" t="str">
            <v>-</v>
          </cell>
          <cell r="E5516" t="str">
            <v/>
          </cell>
          <cell r="G5516" t="str">
            <v/>
          </cell>
          <cell r="J5516" t="str">
            <v/>
          </cell>
          <cell r="O5516" t="str">
            <v/>
          </cell>
          <cell r="P5516" t="str">
            <v/>
          </cell>
          <cell r="Q5516" t="str">
            <v/>
          </cell>
          <cell r="S5516" t="str">
            <v/>
          </cell>
          <cell r="V5516" t="str">
            <v/>
          </cell>
          <cell r="Z5516" t="str">
            <v/>
          </cell>
          <cell r="AA5516" t="str">
            <v/>
          </cell>
          <cell r="AB5516" t="str">
            <v/>
          </cell>
          <cell r="AC5516" t="str">
            <v/>
          </cell>
          <cell r="AD5516" t="str">
            <v/>
          </cell>
          <cell r="AY5516" t="str">
            <v/>
          </cell>
          <cell r="AZ5516" t="str">
            <v/>
          </cell>
          <cell r="BA5516" t="str">
            <v/>
          </cell>
        </row>
        <row r="5517">
          <cell r="B5517" t="str">
            <v>-</v>
          </cell>
          <cell r="E5517" t="str">
            <v/>
          </cell>
          <cell r="G5517" t="str">
            <v/>
          </cell>
          <cell r="J5517" t="str">
            <v/>
          </cell>
          <cell r="O5517" t="str">
            <v/>
          </cell>
          <cell r="P5517" t="str">
            <v/>
          </cell>
          <cell r="Q5517" t="str">
            <v/>
          </cell>
          <cell r="S5517" t="str">
            <v/>
          </cell>
          <cell r="V5517" t="str">
            <v/>
          </cell>
          <cell r="Z5517" t="str">
            <v/>
          </cell>
          <cell r="AA5517" t="str">
            <v/>
          </cell>
          <cell r="AB5517" t="str">
            <v/>
          </cell>
          <cell r="AC5517" t="str">
            <v/>
          </cell>
          <cell r="AD5517" t="str">
            <v/>
          </cell>
          <cell r="AY5517" t="str">
            <v/>
          </cell>
          <cell r="AZ5517" t="str">
            <v/>
          </cell>
          <cell r="BA5517" t="str">
            <v/>
          </cell>
        </row>
        <row r="5518">
          <cell r="B5518" t="str">
            <v>-</v>
          </cell>
          <cell r="E5518" t="str">
            <v/>
          </cell>
          <cell r="G5518" t="str">
            <v/>
          </cell>
          <cell r="J5518" t="str">
            <v/>
          </cell>
          <cell r="O5518" t="str">
            <v/>
          </cell>
          <cell r="P5518" t="str">
            <v/>
          </cell>
          <cell r="Q5518" t="str">
            <v/>
          </cell>
          <cell r="S5518" t="str">
            <v/>
          </cell>
          <cell r="V5518" t="str">
            <v/>
          </cell>
          <cell r="Z5518" t="str">
            <v/>
          </cell>
          <cell r="AA5518" t="str">
            <v/>
          </cell>
          <cell r="AB5518" t="str">
            <v/>
          </cell>
          <cell r="AC5518" t="str">
            <v/>
          </cell>
          <cell r="AD5518" t="str">
            <v/>
          </cell>
          <cell r="AY5518" t="str">
            <v/>
          </cell>
          <cell r="AZ5518" t="str">
            <v/>
          </cell>
          <cell r="BA5518" t="str">
            <v/>
          </cell>
        </row>
        <row r="5519">
          <cell r="B5519" t="str">
            <v>-</v>
          </cell>
          <cell r="E5519" t="str">
            <v/>
          </cell>
          <cell r="G5519" t="str">
            <v/>
          </cell>
          <cell r="J5519" t="str">
            <v/>
          </cell>
          <cell r="O5519" t="str">
            <v/>
          </cell>
          <cell r="P5519" t="str">
            <v/>
          </cell>
          <cell r="Q5519" t="str">
            <v/>
          </cell>
          <cell r="S5519" t="str">
            <v/>
          </cell>
          <cell r="V5519" t="str">
            <v/>
          </cell>
          <cell r="Z5519" t="str">
            <v/>
          </cell>
          <cell r="AA5519" t="str">
            <v/>
          </cell>
          <cell r="AB5519" t="str">
            <v/>
          </cell>
          <cell r="AC5519" t="str">
            <v/>
          </cell>
          <cell r="AD5519" t="str">
            <v/>
          </cell>
          <cell r="AY5519" t="str">
            <v/>
          </cell>
          <cell r="AZ5519" t="str">
            <v/>
          </cell>
          <cell r="BA5519" t="str">
            <v/>
          </cell>
        </row>
        <row r="5520">
          <cell r="B5520" t="str">
            <v>-</v>
          </cell>
          <cell r="E5520" t="str">
            <v/>
          </cell>
          <cell r="G5520" t="str">
            <v/>
          </cell>
          <cell r="J5520" t="str">
            <v/>
          </cell>
          <cell r="O5520" t="str">
            <v/>
          </cell>
          <cell r="P5520" t="str">
            <v/>
          </cell>
          <cell r="Q5520" t="str">
            <v/>
          </cell>
          <cell r="S5520" t="str">
            <v/>
          </cell>
          <cell r="V5520" t="str">
            <v/>
          </cell>
          <cell r="Z5520" t="str">
            <v/>
          </cell>
          <cell r="AA5520" t="str">
            <v/>
          </cell>
          <cell r="AB5520" t="str">
            <v/>
          </cell>
          <cell r="AC5520" t="str">
            <v/>
          </cell>
          <cell r="AD5520" t="str">
            <v/>
          </cell>
          <cell r="AY5520" t="str">
            <v/>
          </cell>
          <cell r="AZ5520" t="str">
            <v/>
          </cell>
          <cell r="BA5520" t="str">
            <v/>
          </cell>
        </row>
        <row r="5521">
          <cell r="B5521" t="str">
            <v>-</v>
          </cell>
          <cell r="E5521" t="str">
            <v/>
          </cell>
          <cell r="G5521" t="str">
            <v/>
          </cell>
          <cell r="J5521" t="str">
            <v/>
          </cell>
          <cell r="O5521" t="str">
            <v/>
          </cell>
          <cell r="P5521" t="str">
            <v/>
          </cell>
          <cell r="Q5521" t="str">
            <v/>
          </cell>
          <cell r="S5521" t="str">
            <v/>
          </cell>
          <cell r="V5521" t="str">
            <v/>
          </cell>
          <cell r="Z5521" t="str">
            <v/>
          </cell>
          <cell r="AA5521" t="str">
            <v/>
          </cell>
          <cell r="AB5521" t="str">
            <v/>
          </cell>
          <cell r="AC5521" t="str">
            <v/>
          </cell>
          <cell r="AD5521" t="str">
            <v/>
          </cell>
          <cell r="AY5521" t="str">
            <v/>
          </cell>
          <cell r="AZ5521" t="str">
            <v/>
          </cell>
          <cell r="BA5521" t="str">
            <v/>
          </cell>
        </row>
        <row r="5522">
          <cell r="B5522" t="str">
            <v>-</v>
          </cell>
          <cell r="E5522" t="str">
            <v/>
          </cell>
          <cell r="G5522" t="str">
            <v/>
          </cell>
          <cell r="J5522" t="str">
            <v/>
          </cell>
          <cell r="O5522" t="str">
            <v/>
          </cell>
          <cell r="P5522" t="str">
            <v/>
          </cell>
          <cell r="Q5522" t="str">
            <v/>
          </cell>
          <cell r="S5522" t="str">
            <v/>
          </cell>
          <cell r="V5522" t="str">
            <v/>
          </cell>
          <cell r="Z5522" t="str">
            <v/>
          </cell>
          <cell r="AA5522" t="str">
            <v/>
          </cell>
          <cell r="AB5522" t="str">
            <v/>
          </cell>
          <cell r="AC5522" t="str">
            <v/>
          </cell>
          <cell r="AD5522" t="str">
            <v/>
          </cell>
          <cell r="AY5522" t="str">
            <v/>
          </cell>
          <cell r="AZ5522" t="str">
            <v/>
          </cell>
          <cell r="BA5522" t="str">
            <v/>
          </cell>
        </row>
        <row r="5523">
          <cell r="B5523" t="str">
            <v>-</v>
          </cell>
          <cell r="E5523" t="str">
            <v/>
          </cell>
          <cell r="G5523" t="str">
            <v/>
          </cell>
          <cell r="J5523" t="str">
            <v/>
          </cell>
          <cell r="O5523" t="str">
            <v/>
          </cell>
          <cell r="P5523" t="str">
            <v/>
          </cell>
          <cell r="Q5523" t="str">
            <v/>
          </cell>
          <cell r="S5523" t="str">
            <v/>
          </cell>
          <cell r="V5523" t="str">
            <v/>
          </cell>
          <cell r="Z5523" t="str">
            <v/>
          </cell>
          <cell r="AA5523" t="str">
            <v/>
          </cell>
          <cell r="AB5523" t="str">
            <v/>
          </cell>
          <cell r="AC5523" t="str">
            <v/>
          </cell>
          <cell r="AD5523" t="str">
            <v/>
          </cell>
          <cell r="AY5523" t="str">
            <v/>
          </cell>
          <cell r="AZ5523" t="str">
            <v/>
          </cell>
          <cell r="BA5523" t="str">
            <v/>
          </cell>
        </row>
        <row r="5524">
          <cell r="B5524" t="str">
            <v>-</v>
          </cell>
          <cell r="E5524" t="str">
            <v/>
          </cell>
          <cell r="G5524" t="str">
            <v/>
          </cell>
          <cell r="J5524" t="str">
            <v/>
          </cell>
          <cell r="O5524" t="str">
            <v/>
          </cell>
          <cell r="P5524" t="str">
            <v/>
          </cell>
          <cell r="Q5524" t="str">
            <v/>
          </cell>
          <cell r="S5524" t="str">
            <v/>
          </cell>
          <cell r="V5524" t="str">
            <v/>
          </cell>
          <cell r="Z5524" t="str">
            <v/>
          </cell>
          <cell r="AA5524" t="str">
            <v/>
          </cell>
          <cell r="AB5524" t="str">
            <v/>
          </cell>
          <cell r="AC5524" t="str">
            <v/>
          </cell>
          <cell r="AD5524" t="str">
            <v/>
          </cell>
          <cell r="AY5524" t="str">
            <v/>
          </cell>
          <cell r="AZ5524" t="str">
            <v/>
          </cell>
          <cell r="BA5524" t="str">
            <v/>
          </cell>
        </row>
        <row r="5525">
          <cell r="B5525" t="str">
            <v>-</v>
          </cell>
          <cell r="E5525" t="str">
            <v/>
          </cell>
          <cell r="G5525" t="str">
            <v/>
          </cell>
          <cell r="J5525" t="str">
            <v/>
          </cell>
          <cell r="O5525" t="str">
            <v/>
          </cell>
          <cell r="P5525" t="str">
            <v/>
          </cell>
          <cell r="Q5525" t="str">
            <v/>
          </cell>
          <cell r="S5525" t="str">
            <v/>
          </cell>
          <cell r="V5525" t="str">
            <v/>
          </cell>
          <cell r="Z5525" t="str">
            <v/>
          </cell>
          <cell r="AA5525" t="str">
            <v/>
          </cell>
          <cell r="AB5525" t="str">
            <v/>
          </cell>
          <cell r="AC5525" t="str">
            <v/>
          </cell>
          <cell r="AD5525" t="str">
            <v/>
          </cell>
          <cell r="AY5525" t="str">
            <v/>
          </cell>
          <cell r="AZ5525" t="str">
            <v/>
          </cell>
          <cell r="BA5525" t="str">
            <v/>
          </cell>
        </row>
        <row r="5526">
          <cell r="B5526" t="str">
            <v>-</v>
          </cell>
          <cell r="E5526" t="str">
            <v/>
          </cell>
          <cell r="G5526" t="str">
            <v/>
          </cell>
          <cell r="J5526" t="str">
            <v/>
          </cell>
          <cell r="O5526" t="str">
            <v/>
          </cell>
          <cell r="P5526" t="str">
            <v/>
          </cell>
          <cell r="Q5526" t="str">
            <v/>
          </cell>
          <cell r="S5526" t="str">
            <v/>
          </cell>
          <cell r="V5526" t="str">
            <v/>
          </cell>
          <cell r="Z5526" t="str">
            <v/>
          </cell>
          <cell r="AA5526" t="str">
            <v/>
          </cell>
          <cell r="AB5526" t="str">
            <v/>
          </cell>
          <cell r="AC5526" t="str">
            <v/>
          </cell>
          <cell r="AD5526" t="str">
            <v/>
          </cell>
          <cell r="AY5526" t="str">
            <v/>
          </cell>
          <cell r="AZ5526" t="str">
            <v/>
          </cell>
          <cell r="BA5526" t="str">
            <v/>
          </cell>
        </row>
        <row r="5527">
          <cell r="B5527" t="str">
            <v>-</v>
          </cell>
          <cell r="E5527" t="str">
            <v/>
          </cell>
          <cell r="G5527" t="str">
            <v/>
          </cell>
          <cell r="J5527" t="str">
            <v/>
          </cell>
          <cell r="O5527" t="str">
            <v/>
          </cell>
          <cell r="P5527" t="str">
            <v/>
          </cell>
          <cell r="Q5527" t="str">
            <v/>
          </cell>
          <cell r="S5527" t="str">
            <v/>
          </cell>
          <cell r="V5527" t="str">
            <v/>
          </cell>
          <cell r="Z5527" t="str">
            <v/>
          </cell>
          <cell r="AA5527" t="str">
            <v/>
          </cell>
          <cell r="AB5527" t="str">
            <v/>
          </cell>
          <cell r="AC5527" t="str">
            <v/>
          </cell>
          <cell r="AD5527" t="str">
            <v/>
          </cell>
          <cell r="AY5527" t="str">
            <v/>
          </cell>
          <cell r="AZ5527" t="str">
            <v/>
          </cell>
          <cell r="BA5527" t="str">
            <v/>
          </cell>
        </row>
        <row r="5528">
          <cell r="B5528" t="str">
            <v>-</v>
          </cell>
          <cell r="E5528" t="str">
            <v/>
          </cell>
          <cell r="G5528" t="str">
            <v/>
          </cell>
          <cell r="J5528" t="str">
            <v/>
          </cell>
          <cell r="O5528" t="str">
            <v/>
          </cell>
          <cell r="P5528" t="str">
            <v/>
          </cell>
          <cell r="Q5528" t="str">
            <v/>
          </cell>
          <cell r="S5528" t="str">
            <v/>
          </cell>
          <cell r="V5528" t="str">
            <v/>
          </cell>
          <cell r="Z5528" t="str">
            <v/>
          </cell>
          <cell r="AA5528" t="str">
            <v/>
          </cell>
          <cell r="AB5528" t="str">
            <v/>
          </cell>
          <cell r="AC5528" t="str">
            <v/>
          </cell>
          <cell r="AD5528" t="str">
            <v/>
          </cell>
          <cell r="AY5528" t="str">
            <v/>
          </cell>
          <cell r="AZ5528" t="str">
            <v/>
          </cell>
          <cell r="BA5528" t="str">
            <v/>
          </cell>
        </row>
        <row r="5529">
          <cell r="B5529" t="str">
            <v>-</v>
          </cell>
          <cell r="E5529" t="str">
            <v/>
          </cell>
          <cell r="G5529" t="str">
            <v/>
          </cell>
          <cell r="J5529" t="str">
            <v/>
          </cell>
          <cell r="O5529" t="str">
            <v/>
          </cell>
          <cell r="P5529" t="str">
            <v/>
          </cell>
          <cell r="Q5529" t="str">
            <v/>
          </cell>
          <cell r="S5529" t="str">
            <v/>
          </cell>
          <cell r="V5529" t="str">
            <v/>
          </cell>
          <cell r="Z5529" t="str">
            <v/>
          </cell>
          <cell r="AA5529" t="str">
            <v/>
          </cell>
          <cell r="AB5529" t="str">
            <v/>
          </cell>
          <cell r="AC5529" t="str">
            <v/>
          </cell>
          <cell r="AD5529" t="str">
            <v/>
          </cell>
          <cell r="AY5529" t="str">
            <v/>
          </cell>
          <cell r="AZ5529" t="str">
            <v/>
          </cell>
          <cell r="BA5529" t="str">
            <v/>
          </cell>
        </row>
        <row r="5530">
          <cell r="B5530" t="str">
            <v>-</v>
          </cell>
          <cell r="E5530" t="str">
            <v/>
          </cell>
          <cell r="G5530" t="str">
            <v/>
          </cell>
          <cell r="J5530" t="str">
            <v/>
          </cell>
          <cell r="O5530" t="str">
            <v/>
          </cell>
          <cell r="P5530" t="str">
            <v/>
          </cell>
          <cell r="Q5530" t="str">
            <v/>
          </cell>
          <cell r="S5530" t="str">
            <v/>
          </cell>
          <cell r="V5530" t="str">
            <v/>
          </cell>
          <cell r="Z5530" t="str">
            <v/>
          </cell>
          <cell r="AA5530" t="str">
            <v/>
          </cell>
          <cell r="AB5530" t="str">
            <v/>
          </cell>
          <cell r="AC5530" t="str">
            <v/>
          </cell>
          <cell r="AD5530" t="str">
            <v/>
          </cell>
          <cell r="AY5530" t="str">
            <v/>
          </cell>
          <cell r="AZ5530" t="str">
            <v/>
          </cell>
          <cell r="BA5530" t="str">
            <v/>
          </cell>
        </row>
        <row r="5531">
          <cell r="B5531" t="str">
            <v>-</v>
          </cell>
          <cell r="E5531" t="str">
            <v/>
          </cell>
          <cell r="G5531" t="str">
            <v/>
          </cell>
          <cell r="J5531" t="str">
            <v/>
          </cell>
          <cell r="O5531" t="str">
            <v/>
          </cell>
          <cell r="P5531" t="str">
            <v/>
          </cell>
          <cell r="Q5531" t="str">
            <v/>
          </cell>
          <cell r="S5531" t="str">
            <v/>
          </cell>
          <cell r="V5531" t="str">
            <v/>
          </cell>
          <cell r="Z5531" t="str">
            <v/>
          </cell>
          <cell r="AA5531" t="str">
            <v/>
          </cell>
          <cell r="AB5531" t="str">
            <v/>
          </cell>
          <cell r="AC5531" t="str">
            <v/>
          </cell>
          <cell r="AD5531" t="str">
            <v/>
          </cell>
          <cell r="AY5531" t="str">
            <v/>
          </cell>
          <cell r="AZ5531" t="str">
            <v/>
          </cell>
          <cell r="BA5531" t="str">
            <v/>
          </cell>
        </row>
        <row r="5532">
          <cell r="B5532" t="str">
            <v>-</v>
          </cell>
          <cell r="E5532" t="str">
            <v/>
          </cell>
          <cell r="G5532" t="str">
            <v/>
          </cell>
          <cell r="J5532" t="str">
            <v/>
          </cell>
          <cell r="O5532" t="str">
            <v/>
          </cell>
          <cell r="P5532" t="str">
            <v/>
          </cell>
          <cell r="Q5532" t="str">
            <v/>
          </cell>
          <cell r="S5532" t="str">
            <v/>
          </cell>
          <cell r="V5532" t="str">
            <v/>
          </cell>
          <cell r="Z5532" t="str">
            <v/>
          </cell>
          <cell r="AA5532" t="str">
            <v/>
          </cell>
          <cell r="AB5532" t="str">
            <v/>
          </cell>
          <cell r="AC5532" t="str">
            <v/>
          </cell>
          <cell r="AD5532" t="str">
            <v/>
          </cell>
          <cell r="AY5532" t="str">
            <v/>
          </cell>
          <cell r="AZ5532" t="str">
            <v/>
          </cell>
          <cell r="BA5532" t="str">
            <v/>
          </cell>
        </row>
        <row r="5533">
          <cell r="B5533" t="str">
            <v>-</v>
          </cell>
          <cell r="E5533" t="str">
            <v/>
          </cell>
          <cell r="G5533" t="str">
            <v/>
          </cell>
          <cell r="J5533" t="str">
            <v/>
          </cell>
          <cell r="O5533" t="str">
            <v/>
          </cell>
          <cell r="P5533" t="str">
            <v/>
          </cell>
          <cell r="Q5533" t="str">
            <v/>
          </cell>
          <cell r="S5533" t="str">
            <v/>
          </cell>
          <cell r="V5533" t="str">
            <v/>
          </cell>
          <cell r="Z5533" t="str">
            <v/>
          </cell>
          <cell r="AA5533" t="str">
            <v/>
          </cell>
          <cell r="AB5533" t="str">
            <v/>
          </cell>
          <cell r="AC5533" t="str">
            <v/>
          </cell>
          <cell r="AD5533" t="str">
            <v/>
          </cell>
          <cell r="AY5533" t="str">
            <v/>
          </cell>
          <cell r="AZ5533" t="str">
            <v/>
          </cell>
          <cell r="BA5533" t="str">
            <v/>
          </cell>
        </row>
        <row r="5534">
          <cell r="B5534" t="str">
            <v>-</v>
          </cell>
          <cell r="E5534" t="str">
            <v/>
          </cell>
          <cell r="G5534" t="str">
            <v/>
          </cell>
          <cell r="J5534" t="str">
            <v/>
          </cell>
          <cell r="O5534" t="str">
            <v/>
          </cell>
          <cell r="P5534" t="str">
            <v/>
          </cell>
          <cell r="Q5534" t="str">
            <v/>
          </cell>
          <cell r="S5534" t="str">
            <v/>
          </cell>
          <cell r="V5534" t="str">
            <v/>
          </cell>
          <cell r="Z5534" t="str">
            <v/>
          </cell>
          <cell r="AA5534" t="str">
            <v/>
          </cell>
          <cell r="AB5534" t="str">
            <v/>
          </cell>
          <cell r="AC5534" t="str">
            <v/>
          </cell>
          <cell r="AD5534" t="str">
            <v/>
          </cell>
          <cell r="AY5534" t="str">
            <v/>
          </cell>
          <cell r="AZ5534" t="str">
            <v/>
          </cell>
          <cell r="BA5534" t="str">
            <v/>
          </cell>
        </row>
        <row r="5535">
          <cell r="B5535" t="str">
            <v>-</v>
          </cell>
          <cell r="E5535" t="str">
            <v/>
          </cell>
          <cell r="G5535" t="str">
            <v/>
          </cell>
          <cell r="J5535" t="str">
            <v/>
          </cell>
          <cell r="O5535" t="str">
            <v/>
          </cell>
          <cell r="P5535" t="str">
            <v/>
          </cell>
          <cell r="Q5535" t="str">
            <v/>
          </cell>
          <cell r="S5535" t="str">
            <v/>
          </cell>
          <cell r="V5535" t="str">
            <v/>
          </cell>
          <cell r="Z5535" t="str">
            <v/>
          </cell>
          <cell r="AA5535" t="str">
            <v/>
          </cell>
          <cell r="AB5535" t="str">
            <v/>
          </cell>
          <cell r="AC5535" t="str">
            <v/>
          </cell>
          <cell r="AD5535" t="str">
            <v/>
          </cell>
          <cell r="AY5535" t="str">
            <v/>
          </cell>
          <cell r="AZ5535" t="str">
            <v/>
          </cell>
          <cell r="BA5535" t="str">
            <v/>
          </cell>
        </row>
        <row r="5536">
          <cell r="B5536" t="str">
            <v>-</v>
          </cell>
          <cell r="E5536" t="str">
            <v/>
          </cell>
          <cell r="G5536" t="str">
            <v/>
          </cell>
          <cell r="J5536" t="str">
            <v/>
          </cell>
          <cell r="O5536" t="str">
            <v/>
          </cell>
          <cell r="P5536" t="str">
            <v/>
          </cell>
          <cell r="Q5536" t="str">
            <v/>
          </cell>
          <cell r="S5536" t="str">
            <v/>
          </cell>
          <cell r="V5536" t="str">
            <v/>
          </cell>
          <cell r="Z5536" t="str">
            <v/>
          </cell>
          <cell r="AA5536" t="str">
            <v/>
          </cell>
          <cell r="AB5536" t="str">
            <v/>
          </cell>
          <cell r="AC5536" t="str">
            <v/>
          </cell>
          <cell r="AD5536" t="str">
            <v/>
          </cell>
          <cell r="AY5536" t="str">
            <v/>
          </cell>
          <cell r="AZ5536" t="str">
            <v/>
          </cell>
          <cell r="BA5536" t="str">
            <v/>
          </cell>
        </row>
        <row r="5537">
          <cell r="B5537" t="str">
            <v>-</v>
          </cell>
          <cell r="E5537" t="str">
            <v/>
          </cell>
          <cell r="G5537" t="str">
            <v/>
          </cell>
          <cell r="J5537" t="str">
            <v/>
          </cell>
          <cell r="O5537" t="str">
            <v/>
          </cell>
          <cell r="P5537" t="str">
            <v/>
          </cell>
          <cell r="Q5537" t="str">
            <v/>
          </cell>
          <cell r="S5537" t="str">
            <v/>
          </cell>
          <cell r="V5537" t="str">
            <v/>
          </cell>
          <cell r="Z5537" t="str">
            <v/>
          </cell>
          <cell r="AA5537" t="str">
            <v/>
          </cell>
          <cell r="AB5537" t="str">
            <v/>
          </cell>
          <cell r="AC5537" t="str">
            <v/>
          </cell>
          <cell r="AD5537" t="str">
            <v/>
          </cell>
          <cell r="AY5537" t="str">
            <v/>
          </cell>
          <cell r="AZ5537" t="str">
            <v/>
          </cell>
          <cell r="BA5537" t="str">
            <v/>
          </cell>
        </row>
        <row r="5538">
          <cell r="B5538" t="str">
            <v>-</v>
          </cell>
          <cell r="E5538" t="str">
            <v/>
          </cell>
          <cell r="G5538" t="str">
            <v/>
          </cell>
          <cell r="J5538" t="str">
            <v/>
          </cell>
          <cell r="O5538" t="str">
            <v/>
          </cell>
          <cell r="P5538" t="str">
            <v/>
          </cell>
          <cell r="Q5538" t="str">
            <v/>
          </cell>
          <cell r="S5538" t="str">
            <v/>
          </cell>
          <cell r="V5538" t="str">
            <v/>
          </cell>
          <cell r="Z5538" t="str">
            <v/>
          </cell>
          <cell r="AA5538" t="str">
            <v/>
          </cell>
          <cell r="AB5538" t="str">
            <v/>
          </cell>
          <cell r="AC5538" t="str">
            <v/>
          </cell>
          <cell r="AD5538" t="str">
            <v/>
          </cell>
          <cell r="AY5538" t="str">
            <v/>
          </cell>
          <cell r="AZ5538" t="str">
            <v/>
          </cell>
          <cell r="BA5538" t="str">
            <v/>
          </cell>
        </row>
        <row r="5539">
          <cell r="B5539" t="str">
            <v>-</v>
          </cell>
          <cell r="E5539" t="str">
            <v/>
          </cell>
          <cell r="G5539" t="str">
            <v/>
          </cell>
          <cell r="J5539" t="str">
            <v/>
          </cell>
          <cell r="O5539" t="str">
            <v/>
          </cell>
          <cell r="P5539" t="str">
            <v/>
          </cell>
          <cell r="Q5539" t="str">
            <v/>
          </cell>
          <cell r="S5539" t="str">
            <v/>
          </cell>
          <cell r="V5539" t="str">
            <v/>
          </cell>
          <cell r="Z5539" t="str">
            <v/>
          </cell>
          <cell r="AA5539" t="str">
            <v/>
          </cell>
          <cell r="AB5539" t="str">
            <v/>
          </cell>
          <cell r="AC5539" t="str">
            <v/>
          </cell>
          <cell r="AD5539" t="str">
            <v/>
          </cell>
          <cell r="AY5539" t="str">
            <v/>
          </cell>
          <cell r="AZ5539" t="str">
            <v/>
          </cell>
          <cell r="BA5539" t="str">
            <v/>
          </cell>
        </row>
        <row r="5540">
          <cell r="B5540" t="str">
            <v>-</v>
          </cell>
          <cell r="E5540" t="str">
            <v/>
          </cell>
          <cell r="G5540" t="str">
            <v/>
          </cell>
          <cell r="J5540" t="str">
            <v/>
          </cell>
          <cell r="O5540" t="str">
            <v/>
          </cell>
          <cell r="P5540" t="str">
            <v/>
          </cell>
          <cell r="Q5540" t="str">
            <v/>
          </cell>
          <cell r="S5540" t="str">
            <v/>
          </cell>
          <cell r="V5540" t="str">
            <v/>
          </cell>
          <cell r="Z5540" t="str">
            <v/>
          </cell>
          <cell r="AA5540" t="str">
            <v/>
          </cell>
          <cell r="AB5540" t="str">
            <v/>
          </cell>
          <cell r="AC5540" t="str">
            <v/>
          </cell>
          <cell r="AD5540" t="str">
            <v/>
          </cell>
          <cell r="AY5540" t="str">
            <v/>
          </cell>
          <cell r="AZ5540" t="str">
            <v/>
          </cell>
          <cell r="BA5540" t="str">
            <v/>
          </cell>
        </row>
        <row r="5541">
          <cell r="B5541" t="str">
            <v>-</v>
          </cell>
          <cell r="E5541" t="str">
            <v/>
          </cell>
          <cell r="G5541" t="str">
            <v/>
          </cell>
          <cell r="J5541" t="str">
            <v/>
          </cell>
          <cell r="O5541" t="str">
            <v/>
          </cell>
          <cell r="P5541" t="str">
            <v/>
          </cell>
          <cell r="Q5541" t="str">
            <v/>
          </cell>
          <cell r="S5541" t="str">
            <v/>
          </cell>
          <cell r="V5541" t="str">
            <v/>
          </cell>
          <cell r="Z5541" t="str">
            <v/>
          </cell>
          <cell r="AA5541" t="str">
            <v/>
          </cell>
          <cell r="AB5541" t="str">
            <v/>
          </cell>
          <cell r="AC5541" t="str">
            <v/>
          </cell>
          <cell r="AD5541" t="str">
            <v/>
          </cell>
          <cell r="AY5541" t="str">
            <v/>
          </cell>
          <cell r="AZ5541" t="str">
            <v/>
          </cell>
          <cell r="BA5541" t="str">
            <v/>
          </cell>
        </row>
        <row r="5542">
          <cell r="B5542" t="str">
            <v>-</v>
          </cell>
          <cell r="E5542" t="str">
            <v/>
          </cell>
          <cell r="G5542" t="str">
            <v/>
          </cell>
          <cell r="J5542" t="str">
            <v/>
          </cell>
          <cell r="O5542" t="str">
            <v/>
          </cell>
          <cell r="P5542" t="str">
            <v/>
          </cell>
          <cell r="Q5542" t="str">
            <v/>
          </cell>
          <cell r="S5542" t="str">
            <v/>
          </cell>
          <cell r="V5542" t="str">
            <v/>
          </cell>
          <cell r="Z5542" t="str">
            <v/>
          </cell>
          <cell r="AA5542" t="str">
            <v/>
          </cell>
          <cell r="AB5542" t="str">
            <v/>
          </cell>
          <cell r="AC5542" t="str">
            <v/>
          </cell>
          <cell r="AD5542" t="str">
            <v/>
          </cell>
          <cell r="AY5542" t="str">
            <v/>
          </cell>
          <cell r="AZ5542" t="str">
            <v/>
          </cell>
          <cell r="BA5542" t="str">
            <v/>
          </cell>
        </row>
        <row r="5543">
          <cell r="B5543" t="str">
            <v>-</v>
          </cell>
          <cell r="E5543" t="str">
            <v/>
          </cell>
          <cell r="G5543" t="str">
            <v/>
          </cell>
          <cell r="J5543" t="str">
            <v/>
          </cell>
          <cell r="O5543" t="str">
            <v/>
          </cell>
          <cell r="P5543" t="str">
            <v/>
          </cell>
          <cell r="Q5543" t="str">
            <v/>
          </cell>
          <cell r="S5543" t="str">
            <v/>
          </cell>
          <cell r="V5543" t="str">
            <v/>
          </cell>
          <cell r="Z5543" t="str">
            <v/>
          </cell>
          <cell r="AA5543" t="str">
            <v/>
          </cell>
          <cell r="AB5543" t="str">
            <v/>
          </cell>
          <cell r="AC5543" t="str">
            <v/>
          </cell>
          <cell r="AD5543" t="str">
            <v/>
          </cell>
          <cell r="AY5543" t="str">
            <v/>
          </cell>
          <cell r="AZ5543" t="str">
            <v/>
          </cell>
          <cell r="BA5543" t="str">
            <v/>
          </cell>
        </row>
        <row r="5544">
          <cell r="B5544" t="str">
            <v>-</v>
          </cell>
          <cell r="E5544" t="str">
            <v/>
          </cell>
          <cell r="G5544" t="str">
            <v/>
          </cell>
          <cell r="J5544" t="str">
            <v/>
          </cell>
          <cell r="O5544" t="str">
            <v/>
          </cell>
          <cell r="P5544" t="str">
            <v/>
          </cell>
          <cell r="Q5544" t="str">
            <v/>
          </cell>
          <cell r="S5544" t="str">
            <v/>
          </cell>
          <cell r="V5544" t="str">
            <v/>
          </cell>
          <cell r="Z5544" t="str">
            <v/>
          </cell>
          <cell r="AA5544" t="str">
            <v/>
          </cell>
          <cell r="AB5544" t="str">
            <v/>
          </cell>
          <cell r="AC5544" t="str">
            <v/>
          </cell>
          <cell r="AD5544" t="str">
            <v/>
          </cell>
          <cell r="AY5544" t="str">
            <v/>
          </cell>
          <cell r="AZ5544" t="str">
            <v/>
          </cell>
          <cell r="BA5544" t="str">
            <v/>
          </cell>
        </row>
        <row r="5545">
          <cell r="B5545" t="str">
            <v>-</v>
          </cell>
          <cell r="E5545" t="str">
            <v/>
          </cell>
          <cell r="G5545" t="str">
            <v/>
          </cell>
          <cell r="J5545" t="str">
            <v/>
          </cell>
          <cell r="O5545" t="str">
            <v/>
          </cell>
          <cell r="P5545" t="str">
            <v/>
          </cell>
          <cell r="Q5545" t="str">
            <v/>
          </cell>
          <cell r="S5545" t="str">
            <v/>
          </cell>
          <cell r="V5545" t="str">
            <v/>
          </cell>
          <cell r="Z5545" t="str">
            <v/>
          </cell>
          <cell r="AA5545" t="str">
            <v/>
          </cell>
          <cell r="AB5545" t="str">
            <v/>
          </cell>
          <cell r="AC5545" t="str">
            <v/>
          </cell>
          <cell r="AD5545" t="str">
            <v/>
          </cell>
          <cell r="AY5545" t="str">
            <v/>
          </cell>
          <cell r="AZ5545" t="str">
            <v/>
          </cell>
          <cell r="BA5545" t="str">
            <v/>
          </cell>
        </row>
        <row r="5546">
          <cell r="B5546" t="str">
            <v>-</v>
          </cell>
          <cell r="E5546" t="str">
            <v/>
          </cell>
          <cell r="G5546" t="str">
            <v/>
          </cell>
          <cell r="J5546" t="str">
            <v/>
          </cell>
          <cell r="O5546" t="str">
            <v/>
          </cell>
          <cell r="P5546" t="str">
            <v/>
          </cell>
          <cell r="Q5546" t="str">
            <v/>
          </cell>
          <cell r="S5546" t="str">
            <v/>
          </cell>
          <cell r="V5546" t="str">
            <v/>
          </cell>
          <cell r="Z5546" t="str">
            <v/>
          </cell>
          <cell r="AA5546" t="str">
            <v/>
          </cell>
          <cell r="AB5546" t="str">
            <v/>
          </cell>
          <cell r="AC5546" t="str">
            <v/>
          </cell>
          <cell r="AD5546" t="str">
            <v/>
          </cell>
          <cell r="AY5546" t="str">
            <v/>
          </cell>
          <cell r="AZ5546" t="str">
            <v/>
          </cell>
          <cell r="BA5546" t="str">
            <v/>
          </cell>
        </row>
        <row r="5547">
          <cell r="B5547" t="str">
            <v>-</v>
          </cell>
          <cell r="E5547" t="str">
            <v/>
          </cell>
          <cell r="G5547" t="str">
            <v/>
          </cell>
          <cell r="J5547" t="str">
            <v/>
          </cell>
          <cell r="O5547" t="str">
            <v/>
          </cell>
          <cell r="P5547" t="str">
            <v/>
          </cell>
          <cell r="Q5547" t="str">
            <v/>
          </cell>
          <cell r="S5547" t="str">
            <v/>
          </cell>
          <cell r="V5547" t="str">
            <v/>
          </cell>
          <cell r="Z5547" t="str">
            <v/>
          </cell>
          <cell r="AA5547" t="str">
            <v/>
          </cell>
          <cell r="AB5547" t="str">
            <v/>
          </cell>
          <cell r="AC5547" t="str">
            <v/>
          </cell>
          <cell r="AD5547" t="str">
            <v/>
          </cell>
          <cell r="AY5547" t="str">
            <v/>
          </cell>
          <cell r="AZ5547" t="str">
            <v/>
          </cell>
          <cell r="BA5547" t="str">
            <v/>
          </cell>
        </row>
        <row r="5548">
          <cell r="B5548" t="str">
            <v>-</v>
          </cell>
          <cell r="E5548" t="str">
            <v/>
          </cell>
          <cell r="G5548" t="str">
            <v/>
          </cell>
          <cell r="J5548" t="str">
            <v/>
          </cell>
          <cell r="O5548" t="str">
            <v/>
          </cell>
          <cell r="P5548" t="str">
            <v/>
          </cell>
          <cell r="Q5548" t="str">
            <v/>
          </cell>
          <cell r="S5548" t="str">
            <v/>
          </cell>
          <cell r="V5548" t="str">
            <v/>
          </cell>
          <cell r="Z5548" t="str">
            <v/>
          </cell>
          <cell r="AA5548" t="str">
            <v/>
          </cell>
          <cell r="AB5548" t="str">
            <v/>
          </cell>
          <cell r="AC5548" t="str">
            <v/>
          </cell>
          <cell r="AD5548" t="str">
            <v/>
          </cell>
          <cell r="AY5548" t="str">
            <v/>
          </cell>
          <cell r="AZ5548" t="str">
            <v/>
          </cell>
          <cell r="BA5548" t="str">
            <v/>
          </cell>
        </row>
        <row r="5549">
          <cell r="B5549" t="str">
            <v>-</v>
          </cell>
          <cell r="E5549" t="str">
            <v/>
          </cell>
          <cell r="G5549" t="str">
            <v/>
          </cell>
          <cell r="J5549" t="str">
            <v/>
          </cell>
          <cell r="O5549" t="str">
            <v/>
          </cell>
          <cell r="P5549" t="str">
            <v/>
          </cell>
          <cell r="Q5549" t="str">
            <v/>
          </cell>
          <cell r="S5549" t="str">
            <v/>
          </cell>
          <cell r="V5549" t="str">
            <v/>
          </cell>
          <cell r="Z5549" t="str">
            <v/>
          </cell>
          <cell r="AA5549" t="str">
            <v/>
          </cell>
          <cell r="AB5549" t="str">
            <v/>
          </cell>
          <cell r="AC5549" t="str">
            <v/>
          </cell>
          <cell r="AD5549" t="str">
            <v/>
          </cell>
          <cell r="AY5549" t="str">
            <v/>
          </cell>
          <cell r="AZ5549" t="str">
            <v/>
          </cell>
          <cell r="BA5549" t="str">
            <v/>
          </cell>
        </row>
        <row r="5550">
          <cell r="B5550" t="str">
            <v>-</v>
          </cell>
          <cell r="E5550" t="str">
            <v/>
          </cell>
          <cell r="G5550" t="str">
            <v/>
          </cell>
          <cell r="J5550" t="str">
            <v/>
          </cell>
          <cell r="O5550" t="str">
            <v/>
          </cell>
          <cell r="P5550" t="str">
            <v/>
          </cell>
          <cell r="Q5550" t="str">
            <v/>
          </cell>
          <cell r="S5550" t="str">
            <v/>
          </cell>
          <cell r="V5550" t="str">
            <v/>
          </cell>
          <cell r="Z5550" t="str">
            <v/>
          </cell>
          <cell r="AA5550" t="str">
            <v/>
          </cell>
          <cell r="AB5550" t="str">
            <v/>
          </cell>
          <cell r="AC5550" t="str">
            <v/>
          </cell>
          <cell r="AD5550" t="str">
            <v/>
          </cell>
          <cell r="AY5550" t="str">
            <v/>
          </cell>
          <cell r="AZ5550" t="str">
            <v/>
          </cell>
          <cell r="BA5550" t="str">
            <v/>
          </cell>
        </row>
        <row r="5551">
          <cell r="B5551" t="str">
            <v>-</v>
          </cell>
          <cell r="E5551" t="str">
            <v/>
          </cell>
          <cell r="G5551" t="str">
            <v/>
          </cell>
          <cell r="J5551" t="str">
            <v/>
          </cell>
          <cell r="O5551" t="str">
            <v/>
          </cell>
          <cell r="P5551" t="str">
            <v/>
          </cell>
          <cell r="Q5551" t="str">
            <v/>
          </cell>
          <cell r="S5551" t="str">
            <v/>
          </cell>
          <cell r="V5551" t="str">
            <v/>
          </cell>
          <cell r="Z5551" t="str">
            <v/>
          </cell>
          <cell r="AA5551" t="str">
            <v/>
          </cell>
          <cell r="AB5551" t="str">
            <v/>
          </cell>
          <cell r="AC5551" t="str">
            <v/>
          </cell>
          <cell r="AD5551" t="str">
            <v/>
          </cell>
          <cell r="AY5551" t="str">
            <v/>
          </cell>
          <cell r="AZ5551" t="str">
            <v/>
          </cell>
          <cell r="BA5551" t="str">
            <v/>
          </cell>
        </row>
        <row r="5552">
          <cell r="B5552" t="str">
            <v>-</v>
          </cell>
          <cell r="E5552" t="str">
            <v/>
          </cell>
          <cell r="G5552" t="str">
            <v/>
          </cell>
          <cell r="J5552" t="str">
            <v/>
          </cell>
          <cell r="O5552" t="str">
            <v/>
          </cell>
          <cell r="P5552" t="str">
            <v/>
          </cell>
          <cell r="Q5552" t="str">
            <v/>
          </cell>
          <cell r="S5552" t="str">
            <v/>
          </cell>
          <cell r="V5552" t="str">
            <v/>
          </cell>
          <cell r="Z5552" t="str">
            <v/>
          </cell>
          <cell r="AA5552" t="str">
            <v/>
          </cell>
          <cell r="AB5552" t="str">
            <v/>
          </cell>
          <cell r="AC5552" t="str">
            <v/>
          </cell>
          <cell r="AD5552" t="str">
            <v/>
          </cell>
          <cell r="AY5552" t="str">
            <v/>
          </cell>
          <cell r="AZ5552" t="str">
            <v/>
          </cell>
          <cell r="BA5552" t="str">
            <v/>
          </cell>
        </row>
        <row r="5553">
          <cell r="B5553" t="str">
            <v>-</v>
          </cell>
          <cell r="E5553" t="str">
            <v/>
          </cell>
          <cell r="G5553" t="str">
            <v/>
          </cell>
          <cell r="J5553" t="str">
            <v/>
          </cell>
          <cell r="O5553" t="str">
            <v/>
          </cell>
          <cell r="P5553" t="str">
            <v/>
          </cell>
          <cell r="Q5553" t="str">
            <v/>
          </cell>
          <cell r="S5553" t="str">
            <v/>
          </cell>
          <cell r="V5553" t="str">
            <v/>
          </cell>
          <cell r="Z5553" t="str">
            <v/>
          </cell>
          <cell r="AA5553" t="str">
            <v/>
          </cell>
          <cell r="AB5553" t="str">
            <v/>
          </cell>
          <cell r="AC5553" t="str">
            <v/>
          </cell>
          <cell r="AD5553" t="str">
            <v/>
          </cell>
          <cell r="AY5553" t="str">
            <v/>
          </cell>
          <cell r="AZ5553" t="str">
            <v/>
          </cell>
          <cell r="BA5553" t="str">
            <v/>
          </cell>
        </row>
        <row r="5554">
          <cell r="B5554" t="str">
            <v>-</v>
          </cell>
          <cell r="E5554" t="str">
            <v/>
          </cell>
          <cell r="G5554" t="str">
            <v/>
          </cell>
          <cell r="J5554" t="str">
            <v/>
          </cell>
          <cell r="O5554" t="str">
            <v/>
          </cell>
          <cell r="P5554" t="str">
            <v/>
          </cell>
          <cell r="Q5554" t="str">
            <v/>
          </cell>
          <cell r="S5554" t="str">
            <v/>
          </cell>
          <cell r="V5554" t="str">
            <v/>
          </cell>
          <cell r="Z5554" t="str">
            <v/>
          </cell>
          <cell r="AA5554" t="str">
            <v/>
          </cell>
          <cell r="AB5554" t="str">
            <v/>
          </cell>
          <cell r="AC5554" t="str">
            <v/>
          </cell>
          <cell r="AD5554" t="str">
            <v/>
          </cell>
          <cell r="AY5554" t="str">
            <v/>
          </cell>
          <cell r="AZ5554" t="str">
            <v/>
          </cell>
          <cell r="BA5554" t="str">
            <v/>
          </cell>
        </row>
        <row r="5555">
          <cell r="B5555" t="str">
            <v>-</v>
          </cell>
          <cell r="E5555" t="str">
            <v/>
          </cell>
          <cell r="G5555" t="str">
            <v/>
          </cell>
          <cell r="J5555" t="str">
            <v/>
          </cell>
          <cell r="O5555" t="str">
            <v/>
          </cell>
          <cell r="P5555" t="str">
            <v/>
          </cell>
          <cell r="Q5555" t="str">
            <v/>
          </cell>
          <cell r="S5555" t="str">
            <v/>
          </cell>
          <cell r="V5555" t="str">
            <v/>
          </cell>
          <cell r="Z5555" t="str">
            <v/>
          </cell>
          <cell r="AA5555" t="str">
            <v/>
          </cell>
          <cell r="AB5555" t="str">
            <v/>
          </cell>
          <cell r="AC5555" t="str">
            <v/>
          </cell>
          <cell r="AD5555" t="str">
            <v/>
          </cell>
          <cell r="AY5555" t="str">
            <v/>
          </cell>
          <cell r="AZ5555" t="str">
            <v/>
          </cell>
          <cell r="BA5555" t="str">
            <v/>
          </cell>
        </row>
        <row r="5556">
          <cell r="B5556" t="str">
            <v>-</v>
          </cell>
          <cell r="E5556" t="str">
            <v/>
          </cell>
          <cell r="G5556" t="str">
            <v/>
          </cell>
          <cell r="J5556" t="str">
            <v/>
          </cell>
          <cell r="O5556" t="str">
            <v/>
          </cell>
          <cell r="P5556" t="str">
            <v/>
          </cell>
          <cell r="Q5556" t="str">
            <v/>
          </cell>
          <cell r="S5556" t="str">
            <v/>
          </cell>
          <cell r="V5556" t="str">
            <v/>
          </cell>
          <cell r="Z5556" t="str">
            <v/>
          </cell>
          <cell r="AA5556" t="str">
            <v/>
          </cell>
          <cell r="AB5556" t="str">
            <v/>
          </cell>
          <cell r="AC5556" t="str">
            <v/>
          </cell>
          <cell r="AD5556" t="str">
            <v/>
          </cell>
          <cell r="AY5556" t="str">
            <v/>
          </cell>
          <cell r="AZ5556" t="str">
            <v/>
          </cell>
          <cell r="BA5556" t="str">
            <v/>
          </cell>
        </row>
        <row r="5557">
          <cell r="B5557" t="str">
            <v>-</v>
          </cell>
          <cell r="E5557" t="str">
            <v/>
          </cell>
          <cell r="G5557" t="str">
            <v/>
          </cell>
          <cell r="J5557" t="str">
            <v/>
          </cell>
          <cell r="O5557" t="str">
            <v/>
          </cell>
          <cell r="P5557" t="str">
            <v/>
          </cell>
          <cell r="Q5557" t="str">
            <v/>
          </cell>
          <cell r="S5557" t="str">
            <v/>
          </cell>
          <cell r="V5557" t="str">
            <v/>
          </cell>
          <cell r="Z5557" t="str">
            <v/>
          </cell>
          <cell r="AA5557" t="str">
            <v/>
          </cell>
          <cell r="AB5557" t="str">
            <v/>
          </cell>
          <cell r="AC5557" t="str">
            <v/>
          </cell>
          <cell r="AD5557" t="str">
            <v/>
          </cell>
          <cell r="AY5557" t="str">
            <v/>
          </cell>
          <cell r="AZ5557" t="str">
            <v/>
          </cell>
          <cell r="BA5557" t="str">
            <v/>
          </cell>
        </row>
        <row r="5558">
          <cell r="B5558" t="str">
            <v>-</v>
          </cell>
          <cell r="E5558" t="str">
            <v/>
          </cell>
          <cell r="G5558" t="str">
            <v/>
          </cell>
          <cell r="J5558" t="str">
            <v/>
          </cell>
          <cell r="O5558" t="str">
            <v/>
          </cell>
          <cell r="P5558" t="str">
            <v/>
          </cell>
          <cell r="Q5558" t="str">
            <v/>
          </cell>
          <cell r="S5558" t="str">
            <v/>
          </cell>
          <cell r="V5558" t="str">
            <v/>
          </cell>
          <cell r="Z5558" t="str">
            <v/>
          </cell>
          <cell r="AA5558" t="str">
            <v/>
          </cell>
          <cell r="AB5558" t="str">
            <v/>
          </cell>
          <cell r="AC5558" t="str">
            <v/>
          </cell>
          <cell r="AD5558" t="str">
            <v/>
          </cell>
          <cell r="AY5558" t="str">
            <v/>
          </cell>
          <cell r="AZ5558" t="str">
            <v/>
          </cell>
          <cell r="BA5558" t="str">
            <v/>
          </cell>
        </row>
        <row r="5559">
          <cell r="B5559" t="str">
            <v>-</v>
          </cell>
          <cell r="E5559" t="str">
            <v/>
          </cell>
          <cell r="G5559" t="str">
            <v/>
          </cell>
          <cell r="J5559" t="str">
            <v/>
          </cell>
          <cell r="O5559" t="str">
            <v/>
          </cell>
          <cell r="P5559" t="str">
            <v/>
          </cell>
          <cell r="Q5559" t="str">
            <v/>
          </cell>
          <cell r="S5559" t="str">
            <v/>
          </cell>
          <cell r="V5559" t="str">
            <v/>
          </cell>
          <cell r="Z5559" t="str">
            <v/>
          </cell>
          <cell r="AA5559" t="str">
            <v/>
          </cell>
          <cell r="AB5559" t="str">
            <v/>
          </cell>
          <cell r="AC5559" t="str">
            <v/>
          </cell>
          <cell r="AD5559" t="str">
            <v/>
          </cell>
          <cell r="AY5559" t="str">
            <v/>
          </cell>
          <cell r="AZ5559" t="str">
            <v/>
          </cell>
          <cell r="BA5559" t="str">
            <v/>
          </cell>
        </row>
        <row r="5560">
          <cell r="B5560" t="str">
            <v>-</v>
          </cell>
          <cell r="E5560" t="str">
            <v/>
          </cell>
          <cell r="G5560" t="str">
            <v/>
          </cell>
          <cell r="J5560" t="str">
            <v/>
          </cell>
          <cell r="O5560" t="str">
            <v/>
          </cell>
          <cell r="P5560" t="str">
            <v/>
          </cell>
          <cell r="Q5560" t="str">
            <v/>
          </cell>
          <cell r="S5560" t="str">
            <v/>
          </cell>
          <cell r="V5560" t="str">
            <v/>
          </cell>
          <cell r="Z5560" t="str">
            <v/>
          </cell>
          <cell r="AA5560" t="str">
            <v/>
          </cell>
          <cell r="AB5560" t="str">
            <v/>
          </cell>
          <cell r="AC5560" t="str">
            <v/>
          </cell>
          <cell r="AD5560" t="str">
            <v/>
          </cell>
          <cell r="AY5560" t="str">
            <v/>
          </cell>
          <cell r="AZ5560" t="str">
            <v/>
          </cell>
          <cell r="BA5560" t="str">
            <v/>
          </cell>
        </row>
        <row r="5561">
          <cell r="B5561" t="str">
            <v>-</v>
          </cell>
          <cell r="E5561" t="str">
            <v/>
          </cell>
          <cell r="G5561" t="str">
            <v/>
          </cell>
          <cell r="J5561" t="str">
            <v/>
          </cell>
          <cell r="O5561" t="str">
            <v/>
          </cell>
          <cell r="P5561" t="str">
            <v/>
          </cell>
          <cell r="Q5561" t="str">
            <v/>
          </cell>
          <cell r="S5561" t="str">
            <v/>
          </cell>
          <cell r="V5561" t="str">
            <v/>
          </cell>
          <cell r="Z5561" t="str">
            <v/>
          </cell>
          <cell r="AA5561" t="str">
            <v/>
          </cell>
          <cell r="AB5561" t="str">
            <v/>
          </cell>
          <cell r="AC5561" t="str">
            <v/>
          </cell>
          <cell r="AD5561" t="str">
            <v/>
          </cell>
          <cell r="AY5561" t="str">
            <v/>
          </cell>
          <cell r="AZ5561" t="str">
            <v/>
          </cell>
          <cell r="BA5561" t="str">
            <v/>
          </cell>
        </row>
        <row r="5562">
          <cell r="B5562" t="str">
            <v>-</v>
          </cell>
          <cell r="E5562" t="str">
            <v/>
          </cell>
          <cell r="G5562" t="str">
            <v/>
          </cell>
          <cell r="J5562" t="str">
            <v/>
          </cell>
          <cell r="O5562" t="str">
            <v/>
          </cell>
          <cell r="P5562" t="str">
            <v/>
          </cell>
          <cell r="Q5562" t="str">
            <v/>
          </cell>
          <cell r="S5562" t="str">
            <v/>
          </cell>
          <cell r="V5562" t="str">
            <v/>
          </cell>
          <cell r="Z5562" t="str">
            <v/>
          </cell>
          <cell r="AA5562" t="str">
            <v/>
          </cell>
          <cell r="AB5562" t="str">
            <v/>
          </cell>
          <cell r="AC5562" t="str">
            <v/>
          </cell>
          <cell r="AD5562" t="str">
            <v/>
          </cell>
          <cell r="AY5562" t="str">
            <v/>
          </cell>
          <cell r="AZ5562" t="str">
            <v/>
          </cell>
          <cell r="BA5562" t="str">
            <v/>
          </cell>
        </row>
        <row r="5563">
          <cell r="B5563" t="str">
            <v>-</v>
          </cell>
          <cell r="E5563" t="str">
            <v/>
          </cell>
          <cell r="G5563" t="str">
            <v/>
          </cell>
          <cell r="J5563" t="str">
            <v/>
          </cell>
          <cell r="O5563" t="str">
            <v/>
          </cell>
          <cell r="P5563" t="str">
            <v/>
          </cell>
          <cell r="Q5563" t="str">
            <v/>
          </cell>
          <cell r="S5563" t="str">
            <v/>
          </cell>
          <cell r="V5563" t="str">
            <v/>
          </cell>
          <cell r="Z5563" t="str">
            <v/>
          </cell>
          <cell r="AA5563" t="str">
            <v/>
          </cell>
          <cell r="AB5563" t="str">
            <v/>
          </cell>
          <cell r="AC5563" t="str">
            <v/>
          </cell>
          <cell r="AD5563" t="str">
            <v/>
          </cell>
          <cell r="AY5563" t="str">
            <v/>
          </cell>
          <cell r="AZ5563" t="str">
            <v/>
          </cell>
          <cell r="BA5563" t="str">
            <v/>
          </cell>
        </row>
        <row r="5564">
          <cell r="B5564" t="str">
            <v>-</v>
          </cell>
          <cell r="E5564" t="str">
            <v/>
          </cell>
          <cell r="G5564" t="str">
            <v/>
          </cell>
          <cell r="J5564" t="str">
            <v/>
          </cell>
          <cell r="O5564" t="str">
            <v/>
          </cell>
          <cell r="P5564" t="str">
            <v/>
          </cell>
          <cell r="Q5564" t="str">
            <v/>
          </cell>
          <cell r="S5564" t="str">
            <v/>
          </cell>
          <cell r="V5564" t="str">
            <v/>
          </cell>
          <cell r="Z5564" t="str">
            <v/>
          </cell>
          <cell r="AA5564" t="str">
            <v/>
          </cell>
          <cell r="AB5564" t="str">
            <v/>
          </cell>
          <cell r="AC5564" t="str">
            <v/>
          </cell>
          <cell r="AD5564" t="str">
            <v/>
          </cell>
          <cell r="AY5564" t="str">
            <v/>
          </cell>
          <cell r="AZ5564" t="str">
            <v/>
          </cell>
          <cell r="BA5564" t="str">
            <v/>
          </cell>
        </row>
        <row r="5565">
          <cell r="B5565" t="str">
            <v>-</v>
          </cell>
          <cell r="E5565" t="str">
            <v/>
          </cell>
          <cell r="G5565" t="str">
            <v/>
          </cell>
          <cell r="J5565" t="str">
            <v/>
          </cell>
          <cell r="O5565" t="str">
            <v/>
          </cell>
          <cell r="P5565" t="str">
            <v/>
          </cell>
          <cell r="Q5565" t="str">
            <v/>
          </cell>
          <cell r="S5565" t="str">
            <v/>
          </cell>
          <cell r="V5565" t="str">
            <v/>
          </cell>
          <cell r="Z5565" t="str">
            <v/>
          </cell>
          <cell r="AA5565" t="str">
            <v/>
          </cell>
          <cell r="AB5565" t="str">
            <v/>
          </cell>
          <cell r="AC5565" t="str">
            <v/>
          </cell>
          <cell r="AD5565" t="str">
            <v/>
          </cell>
          <cell r="AY5565" t="str">
            <v/>
          </cell>
          <cell r="AZ5565" t="str">
            <v/>
          </cell>
          <cell r="BA5565" t="str">
            <v/>
          </cell>
        </row>
        <row r="5566">
          <cell r="B5566" t="str">
            <v>-</v>
          </cell>
          <cell r="E5566" t="str">
            <v/>
          </cell>
          <cell r="G5566" t="str">
            <v/>
          </cell>
          <cell r="J5566" t="str">
            <v/>
          </cell>
          <cell r="O5566" t="str">
            <v/>
          </cell>
          <cell r="P5566" t="str">
            <v/>
          </cell>
          <cell r="Q5566" t="str">
            <v/>
          </cell>
          <cell r="S5566" t="str">
            <v/>
          </cell>
          <cell r="V5566" t="str">
            <v/>
          </cell>
          <cell r="Z5566" t="str">
            <v/>
          </cell>
          <cell r="AA5566" t="str">
            <v/>
          </cell>
          <cell r="AB5566" t="str">
            <v/>
          </cell>
          <cell r="AC5566" t="str">
            <v/>
          </cell>
          <cell r="AD5566" t="str">
            <v/>
          </cell>
          <cell r="AY5566" t="str">
            <v/>
          </cell>
          <cell r="AZ5566" t="str">
            <v/>
          </cell>
          <cell r="BA5566" t="str">
            <v/>
          </cell>
        </row>
        <row r="5567">
          <cell r="B5567" t="str">
            <v>-</v>
          </cell>
          <cell r="E5567" t="str">
            <v/>
          </cell>
          <cell r="G5567" t="str">
            <v/>
          </cell>
          <cell r="J5567" t="str">
            <v/>
          </cell>
          <cell r="O5567" t="str">
            <v/>
          </cell>
          <cell r="P5567" t="str">
            <v/>
          </cell>
          <cell r="Q5567" t="str">
            <v/>
          </cell>
          <cell r="S5567" t="str">
            <v/>
          </cell>
          <cell r="V5567" t="str">
            <v/>
          </cell>
          <cell r="Z5567" t="str">
            <v/>
          </cell>
          <cell r="AA5567" t="str">
            <v/>
          </cell>
          <cell r="AB5567" t="str">
            <v/>
          </cell>
          <cell r="AC5567" t="str">
            <v/>
          </cell>
          <cell r="AD5567" t="str">
            <v/>
          </cell>
          <cell r="AY5567" t="str">
            <v/>
          </cell>
          <cell r="AZ5567" t="str">
            <v/>
          </cell>
          <cell r="BA5567" t="str">
            <v/>
          </cell>
        </row>
        <row r="5568">
          <cell r="B5568" t="str">
            <v>-</v>
          </cell>
          <cell r="E5568" t="str">
            <v/>
          </cell>
          <cell r="G5568" t="str">
            <v/>
          </cell>
          <cell r="J5568" t="str">
            <v/>
          </cell>
          <cell r="O5568" t="str">
            <v/>
          </cell>
          <cell r="P5568" t="str">
            <v/>
          </cell>
          <cell r="Q5568" t="str">
            <v/>
          </cell>
          <cell r="S5568" t="str">
            <v/>
          </cell>
          <cell r="V5568" t="str">
            <v/>
          </cell>
          <cell r="Z5568" t="str">
            <v/>
          </cell>
          <cell r="AA5568" t="str">
            <v/>
          </cell>
          <cell r="AB5568" t="str">
            <v/>
          </cell>
          <cell r="AC5568" t="str">
            <v/>
          </cell>
          <cell r="AD5568" t="str">
            <v/>
          </cell>
          <cell r="AY5568" t="str">
            <v/>
          </cell>
          <cell r="AZ5568" t="str">
            <v/>
          </cell>
          <cell r="BA5568" t="str">
            <v/>
          </cell>
        </row>
        <row r="5569">
          <cell r="B5569" t="str">
            <v>-</v>
          </cell>
          <cell r="E5569" t="str">
            <v/>
          </cell>
          <cell r="G5569" t="str">
            <v/>
          </cell>
          <cell r="J5569" t="str">
            <v/>
          </cell>
          <cell r="O5569" t="str">
            <v/>
          </cell>
          <cell r="P5569" t="str">
            <v/>
          </cell>
          <cell r="Q5569" t="str">
            <v/>
          </cell>
          <cell r="S5569" t="str">
            <v/>
          </cell>
          <cell r="V5569" t="str">
            <v/>
          </cell>
          <cell r="Z5569" t="str">
            <v/>
          </cell>
          <cell r="AA5569" t="str">
            <v/>
          </cell>
          <cell r="AB5569" t="str">
            <v/>
          </cell>
          <cell r="AC5569" t="str">
            <v/>
          </cell>
          <cell r="AD5569" t="str">
            <v/>
          </cell>
          <cell r="AY5569" t="str">
            <v/>
          </cell>
          <cell r="AZ5569" t="str">
            <v/>
          </cell>
          <cell r="BA5569" t="str">
            <v/>
          </cell>
        </row>
        <row r="5570">
          <cell r="B5570" t="str">
            <v>-</v>
          </cell>
          <cell r="E5570" t="str">
            <v/>
          </cell>
          <cell r="G5570" t="str">
            <v/>
          </cell>
          <cell r="J5570" t="str">
            <v/>
          </cell>
          <cell r="O5570" t="str">
            <v/>
          </cell>
          <cell r="P5570" t="str">
            <v/>
          </cell>
          <cell r="Q5570" t="str">
            <v/>
          </cell>
          <cell r="S5570" t="str">
            <v/>
          </cell>
          <cell r="V5570" t="str">
            <v/>
          </cell>
          <cell r="Z5570" t="str">
            <v/>
          </cell>
          <cell r="AA5570" t="str">
            <v/>
          </cell>
          <cell r="AB5570" t="str">
            <v/>
          </cell>
          <cell r="AC5570" t="str">
            <v/>
          </cell>
          <cell r="AD5570" t="str">
            <v/>
          </cell>
          <cell r="AY5570" t="str">
            <v/>
          </cell>
          <cell r="AZ5570" t="str">
            <v/>
          </cell>
          <cell r="BA5570" t="str">
            <v/>
          </cell>
        </row>
        <row r="5571">
          <cell r="B5571" t="str">
            <v>-</v>
          </cell>
          <cell r="E5571" t="str">
            <v/>
          </cell>
          <cell r="G5571" t="str">
            <v/>
          </cell>
          <cell r="J5571" t="str">
            <v/>
          </cell>
          <cell r="O5571" t="str">
            <v/>
          </cell>
          <cell r="P5571" t="str">
            <v/>
          </cell>
          <cell r="Q5571" t="str">
            <v/>
          </cell>
          <cell r="S5571" t="str">
            <v/>
          </cell>
          <cell r="V5571" t="str">
            <v/>
          </cell>
          <cell r="Z5571" t="str">
            <v/>
          </cell>
          <cell r="AA5571" t="str">
            <v/>
          </cell>
          <cell r="AB5571" t="str">
            <v/>
          </cell>
          <cell r="AC5571" t="str">
            <v/>
          </cell>
          <cell r="AD5571" t="str">
            <v/>
          </cell>
          <cell r="AY5571" t="str">
            <v/>
          </cell>
          <cell r="AZ5571" t="str">
            <v/>
          </cell>
          <cell r="BA5571" t="str">
            <v/>
          </cell>
        </row>
        <row r="5572">
          <cell r="B5572" t="str">
            <v>-</v>
          </cell>
          <cell r="E5572" t="str">
            <v/>
          </cell>
          <cell r="G5572" t="str">
            <v/>
          </cell>
          <cell r="J5572" t="str">
            <v/>
          </cell>
          <cell r="O5572" t="str">
            <v/>
          </cell>
          <cell r="P5572" t="str">
            <v/>
          </cell>
          <cell r="Q5572" t="str">
            <v/>
          </cell>
          <cell r="S5572" t="str">
            <v/>
          </cell>
          <cell r="V5572" t="str">
            <v/>
          </cell>
          <cell r="Z5572" t="str">
            <v/>
          </cell>
          <cell r="AA5572" t="str">
            <v/>
          </cell>
          <cell r="AB5572" t="str">
            <v/>
          </cell>
          <cell r="AC5572" t="str">
            <v/>
          </cell>
          <cell r="AD5572" t="str">
            <v/>
          </cell>
          <cell r="AY5572" t="str">
            <v/>
          </cell>
          <cell r="AZ5572" t="str">
            <v/>
          </cell>
          <cell r="BA5572" t="str">
            <v/>
          </cell>
        </row>
        <row r="5573">
          <cell r="B5573" t="str">
            <v>-</v>
          </cell>
          <cell r="E5573" t="str">
            <v/>
          </cell>
          <cell r="G5573" t="str">
            <v/>
          </cell>
          <cell r="J5573" t="str">
            <v/>
          </cell>
          <cell r="O5573" t="str">
            <v/>
          </cell>
          <cell r="P5573" t="str">
            <v/>
          </cell>
          <cell r="Q5573" t="str">
            <v/>
          </cell>
          <cell r="S5573" t="str">
            <v/>
          </cell>
          <cell r="V5573" t="str">
            <v/>
          </cell>
          <cell r="Z5573" t="str">
            <v/>
          </cell>
          <cell r="AA5573" t="str">
            <v/>
          </cell>
          <cell r="AB5573" t="str">
            <v/>
          </cell>
          <cell r="AC5573" t="str">
            <v/>
          </cell>
          <cell r="AD5573" t="str">
            <v/>
          </cell>
          <cell r="AY5573" t="str">
            <v/>
          </cell>
          <cell r="AZ5573" t="str">
            <v/>
          </cell>
          <cell r="BA5573" t="str">
            <v/>
          </cell>
        </row>
        <row r="5574">
          <cell r="B5574" t="str">
            <v>-</v>
          </cell>
          <cell r="E5574" t="str">
            <v/>
          </cell>
          <cell r="G5574" t="str">
            <v/>
          </cell>
          <cell r="J5574" t="str">
            <v/>
          </cell>
          <cell r="O5574" t="str">
            <v/>
          </cell>
          <cell r="P5574" t="str">
            <v/>
          </cell>
          <cell r="Q5574" t="str">
            <v/>
          </cell>
          <cell r="S5574" t="str">
            <v/>
          </cell>
          <cell r="V5574" t="str">
            <v/>
          </cell>
          <cell r="Z5574" t="str">
            <v/>
          </cell>
          <cell r="AA5574" t="str">
            <v/>
          </cell>
          <cell r="AB5574" t="str">
            <v/>
          </cell>
          <cell r="AC5574" t="str">
            <v/>
          </cell>
          <cell r="AD5574" t="str">
            <v/>
          </cell>
          <cell r="AY5574" t="str">
            <v/>
          </cell>
          <cell r="AZ5574" t="str">
            <v/>
          </cell>
          <cell r="BA5574" t="str">
            <v/>
          </cell>
        </row>
        <row r="5575">
          <cell r="B5575" t="str">
            <v>-</v>
          </cell>
          <cell r="E5575" t="str">
            <v/>
          </cell>
          <cell r="G5575" t="str">
            <v/>
          </cell>
          <cell r="J5575" t="str">
            <v/>
          </cell>
          <cell r="O5575" t="str">
            <v/>
          </cell>
          <cell r="P5575" t="str">
            <v/>
          </cell>
          <cell r="Q5575" t="str">
            <v/>
          </cell>
          <cell r="S5575" t="str">
            <v/>
          </cell>
          <cell r="V5575" t="str">
            <v/>
          </cell>
          <cell r="Z5575" t="str">
            <v/>
          </cell>
          <cell r="AA5575" t="str">
            <v/>
          </cell>
          <cell r="AB5575" t="str">
            <v/>
          </cell>
          <cell r="AC5575" t="str">
            <v/>
          </cell>
          <cell r="AD5575" t="str">
            <v/>
          </cell>
          <cell r="AY5575" t="str">
            <v/>
          </cell>
          <cell r="AZ5575" t="str">
            <v/>
          </cell>
          <cell r="BA5575" t="str">
            <v/>
          </cell>
        </row>
        <row r="5576">
          <cell r="B5576" t="str">
            <v>-</v>
          </cell>
          <cell r="E5576" t="str">
            <v/>
          </cell>
          <cell r="G5576" t="str">
            <v/>
          </cell>
          <cell r="J5576" t="str">
            <v/>
          </cell>
          <cell r="O5576" t="str">
            <v/>
          </cell>
          <cell r="P5576" t="str">
            <v/>
          </cell>
          <cell r="Q5576" t="str">
            <v/>
          </cell>
          <cell r="S5576" t="str">
            <v/>
          </cell>
          <cell r="V5576" t="str">
            <v/>
          </cell>
          <cell r="Z5576" t="str">
            <v/>
          </cell>
          <cell r="AA5576" t="str">
            <v/>
          </cell>
          <cell r="AB5576" t="str">
            <v/>
          </cell>
          <cell r="AC5576" t="str">
            <v/>
          </cell>
          <cell r="AD5576" t="str">
            <v/>
          </cell>
          <cell r="AY5576" t="str">
            <v/>
          </cell>
          <cell r="AZ5576" t="str">
            <v/>
          </cell>
          <cell r="BA5576" t="str">
            <v/>
          </cell>
        </row>
        <row r="5577">
          <cell r="B5577" t="str">
            <v>-</v>
          </cell>
          <cell r="E5577" t="str">
            <v/>
          </cell>
          <cell r="G5577" t="str">
            <v/>
          </cell>
          <cell r="J5577" t="str">
            <v/>
          </cell>
          <cell r="O5577" t="str">
            <v/>
          </cell>
          <cell r="P5577" t="str">
            <v/>
          </cell>
          <cell r="Q5577" t="str">
            <v/>
          </cell>
          <cell r="S5577" t="str">
            <v/>
          </cell>
          <cell r="V5577" t="str">
            <v/>
          </cell>
          <cell r="Z5577" t="str">
            <v/>
          </cell>
          <cell r="AA5577" t="str">
            <v/>
          </cell>
          <cell r="AB5577" t="str">
            <v/>
          </cell>
          <cell r="AC5577" t="str">
            <v/>
          </cell>
          <cell r="AD5577" t="str">
            <v/>
          </cell>
          <cell r="AY5577" t="str">
            <v/>
          </cell>
          <cell r="AZ5577" t="str">
            <v/>
          </cell>
          <cell r="BA5577" t="str">
            <v/>
          </cell>
        </row>
        <row r="5578">
          <cell r="B5578" t="str">
            <v>-</v>
          </cell>
          <cell r="E5578" t="str">
            <v/>
          </cell>
          <cell r="G5578" t="str">
            <v/>
          </cell>
          <cell r="J5578" t="str">
            <v/>
          </cell>
          <cell r="O5578" t="str">
            <v/>
          </cell>
          <cell r="P5578" t="str">
            <v/>
          </cell>
          <cell r="Q5578" t="str">
            <v/>
          </cell>
          <cell r="S5578" t="str">
            <v/>
          </cell>
          <cell r="V5578" t="str">
            <v/>
          </cell>
          <cell r="Z5578" t="str">
            <v/>
          </cell>
          <cell r="AA5578" t="str">
            <v/>
          </cell>
          <cell r="AB5578" t="str">
            <v/>
          </cell>
          <cell r="AC5578" t="str">
            <v/>
          </cell>
          <cell r="AD5578" t="str">
            <v/>
          </cell>
          <cell r="AY5578" t="str">
            <v/>
          </cell>
          <cell r="AZ5578" t="str">
            <v/>
          </cell>
          <cell r="BA5578" t="str">
            <v/>
          </cell>
        </row>
        <row r="5579">
          <cell r="B5579" t="str">
            <v>-</v>
          </cell>
          <cell r="E5579" t="str">
            <v/>
          </cell>
          <cell r="G5579" t="str">
            <v/>
          </cell>
          <cell r="J5579" t="str">
            <v/>
          </cell>
          <cell r="O5579" t="str">
            <v/>
          </cell>
          <cell r="P5579" t="str">
            <v/>
          </cell>
          <cell r="Q5579" t="str">
            <v/>
          </cell>
          <cell r="S5579" t="str">
            <v/>
          </cell>
          <cell r="V5579" t="str">
            <v/>
          </cell>
          <cell r="Z5579" t="str">
            <v/>
          </cell>
          <cell r="AA5579" t="str">
            <v/>
          </cell>
          <cell r="AB5579" t="str">
            <v/>
          </cell>
          <cell r="AC5579" t="str">
            <v/>
          </cell>
          <cell r="AD5579" t="str">
            <v/>
          </cell>
          <cell r="AY5579" t="str">
            <v/>
          </cell>
          <cell r="AZ5579" t="str">
            <v/>
          </cell>
          <cell r="BA5579" t="str">
            <v/>
          </cell>
        </row>
        <row r="5580">
          <cell r="B5580" t="str">
            <v>-</v>
          </cell>
          <cell r="E5580" t="str">
            <v/>
          </cell>
          <cell r="G5580" t="str">
            <v/>
          </cell>
          <cell r="J5580" t="str">
            <v/>
          </cell>
          <cell r="O5580" t="str">
            <v/>
          </cell>
          <cell r="P5580" t="str">
            <v/>
          </cell>
          <cell r="Q5580" t="str">
            <v/>
          </cell>
          <cell r="S5580" t="str">
            <v/>
          </cell>
          <cell r="V5580" t="str">
            <v/>
          </cell>
          <cell r="Z5580" t="str">
            <v/>
          </cell>
          <cell r="AA5580" t="str">
            <v/>
          </cell>
          <cell r="AB5580" t="str">
            <v/>
          </cell>
          <cell r="AC5580" t="str">
            <v/>
          </cell>
          <cell r="AD5580" t="str">
            <v/>
          </cell>
          <cell r="AY5580" t="str">
            <v/>
          </cell>
          <cell r="AZ5580" t="str">
            <v/>
          </cell>
          <cell r="BA5580" t="str">
            <v/>
          </cell>
        </row>
        <row r="5581">
          <cell r="B5581" t="str">
            <v>-</v>
          </cell>
          <cell r="E5581" t="str">
            <v/>
          </cell>
          <cell r="G5581" t="str">
            <v/>
          </cell>
          <cell r="J5581" t="str">
            <v/>
          </cell>
          <cell r="O5581" t="str">
            <v/>
          </cell>
          <cell r="P5581" t="str">
            <v/>
          </cell>
          <cell r="Q5581" t="str">
            <v/>
          </cell>
          <cell r="S5581" t="str">
            <v/>
          </cell>
          <cell r="V5581" t="str">
            <v/>
          </cell>
          <cell r="Z5581" t="str">
            <v/>
          </cell>
          <cell r="AA5581" t="str">
            <v/>
          </cell>
          <cell r="AB5581" t="str">
            <v/>
          </cell>
          <cell r="AC5581" t="str">
            <v/>
          </cell>
          <cell r="AD5581" t="str">
            <v/>
          </cell>
          <cell r="AY5581" t="str">
            <v/>
          </cell>
          <cell r="AZ5581" t="str">
            <v/>
          </cell>
          <cell r="BA5581" t="str">
            <v/>
          </cell>
        </row>
        <row r="5582">
          <cell r="B5582" t="str">
            <v>-</v>
          </cell>
          <cell r="E5582" t="str">
            <v/>
          </cell>
          <cell r="G5582" t="str">
            <v/>
          </cell>
          <cell r="J5582" t="str">
            <v/>
          </cell>
          <cell r="O5582" t="str">
            <v/>
          </cell>
          <cell r="P5582" t="str">
            <v/>
          </cell>
          <cell r="Q5582" t="str">
            <v/>
          </cell>
          <cell r="S5582" t="str">
            <v/>
          </cell>
          <cell r="V5582" t="str">
            <v/>
          </cell>
          <cell r="Z5582" t="str">
            <v/>
          </cell>
          <cell r="AA5582" t="str">
            <v/>
          </cell>
          <cell r="AB5582" t="str">
            <v/>
          </cell>
          <cell r="AC5582" t="str">
            <v/>
          </cell>
          <cell r="AD5582" t="str">
            <v/>
          </cell>
          <cell r="AY5582" t="str">
            <v/>
          </cell>
          <cell r="AZ5582" t="str">
            <v/>
          </cell>
          <cell r="BA5582" t="str">
            <v/>
          </cell>
        </row>
        <row r="5583">
          <cell r="B5583" t="str">
            <v>-</v>
          </cell>
          <cell r="E5583" t="str">
            <v/>
          </cell>
          <cell r="G5583" t="str">
            <v/>
          </cell>
          <cell r="J5583" t="str">
            <v/>
          </cell>
          <cell r="O5583" t="str">
            <v/>
          </cell>
          <cell r="P5583" t="str">
            <v/>
          </cell>
          <cell r="Q5583" t="str">
            <v/>
          </cell>
          <cell r="S5583" t="str">
            <v/>
          </cell>
          <cell r="V5583" t="str">
            <v/>
          </cell>
          <cell r="Z5583" t="str">
            <v/>
          </cell>
          <cell r="AA5583" t="str">
            <v/>
          </cell>
          <cell r="AB5583" t="str">
            <v/>
          </cell>
          <cell r="AC5583" t="str">
            <v/>
          </cell>
          <cell r="AD5583" t="str">
            <v/>
          </cell>
          <cell r="AY5583" t="str">
            <v/>
          </cell>
          <cell r="AZ5583" t="str">
            <v/>
          </cell>
          <cell r="BA5583" t="str">
            <v/>
          </cell>
        </row>
        <row r="5584">
          <cell r="B5584" t="str">
            <v>-</v>
          </cell>
          <cell r="E5584" t="str">
            <v/>
          </cell>
          <cell r="G5584" t="str">
            <v/>
          </cell>
          <cell r="J5584" t="str">
            <v/>
          </cell>
          <cell r="O5584" t="str">
            <v/>
          </cell>
          <cell r="P5584" t="str">
            <v/>
          </cell>
          <cell r="Q5584" t="str">
            <v/>
          </cell>
          <cell r="S5584" t="str">
            <v/>
          </cell>
          <cell r="V5584" t="str">
            <v/>
          </cell>
          <cell r="Z5584" t="str">
            <v/>
          </cell>
          <cell r="AA5584" t="str">
            <v/>
          </cell>
          <cell r="AB5584" t="str">
            <v/>
          </cell>
          <cell r="AC5584" t="str">
            <v/>
          </cell>
          <cell r="AD5584" t="str">
            <v/>
          </cell>
          <cell r="AY5584" t="str">
            <v/>
          </cell>
          <cell r="AZ5584" t="str">
            <v/>
          </cell>
          <cell r="BA5584" t="str">
            <v/>
          </cell>
        </row>
        <row r="5585">
          <cell r="B5585" t="str">
            <v>-</v>
          </cell>
          <cell r="E5585" t="str">
            <v/>
          </cell>
          <cell r="G5585" t="str">
            <v/>
          </cell>
          <cell r="J5585" t="str">
            <v/>
          </cell>
          <cell r="O5585" t="str">
            <v/>
          </cell>
          <cell r="P5585" t="str">
            <v/>
          </cell>
          <cell r="Q5585" t="str">
            <v/>
          </cell>
          <cell r="S5585" t="str">
            <v/>
          </cell>
          <cell r="V5585" t="str">
            <v/>
          </cell>
          <cell r="Z5585" t="str">
            <v/>
          </cell>
          <cell r="AA5585" t="str">
            <v/>
          </cell>
          <cell r="AB5585" t="str">
            <v/>
          </cell>
          <cell r="AC5585" t="str">
            <v/>
          </cell>
          <cell r="AD5585" t="str">
            <v/>
          </cell>
          <cell r="AY5585" t="str">
            <v/>
          </cell>
          <cell r="AZ5585" t="str">
            <v/>
          </cell>
          <cell r="BA5585" t="str">
            <v/>
          </cell>
        </row>
        <row r="5586">
          <cell r="B5586" t="str">
            <v>-</v>
          </cell>
          <cell r="E5586" t="str">
            <v/>
          </cell>
          <cell r="G5586" t="str">
            <v/>
          </cell>
          <cell r="J5586" t="str">
            <v/>
          </cell>
          <cell r="O5586" t="str">
            <v/>
          </cell>
          <cell r="P5586" t="str">
            <v/>
          </cell>
          <cell r="Q5586" t="str">
            <v/>
          </cell>
          <cell r="S5586" t="str">
            <v/>
          </cell>
          <cell r="V5586" t="str">
            <v/>
          </cell>
          <cell r="Z5586" t="str">
            <v/>
          </cell>
          <cell r="AA5586" t="str">
            <v/>
          </cell>
          <cell r="AB5586" t="str">
            <v/>
          </cell>
          <cell r="AC5586" t="str">
            <v/>
          </cell>
          <cell r="AD5586" t="str">
            <v/>
          </cell>
          <cell r="AY5586" t="str">
            <v/>
          </cell>
          <cell r="AZ5586" t="str">
            <v/>
          </cell>
          <cell r="BA5586" t="str">
            <v/>
          </cell>
        </row>
        <row r="5587">
          <cell r="B5587" t="str">
            <v>-</v>
          </cell>
          <cell r="E5587" t="str">
            <v/>
          </cell>
          <cell r="G5587" t="str">
            <v/>
          </cell>
          <cell r="J5587" t="str">
            <v/>
          </cell>
          <cell r="O5587" t="str">
            <v/>
          </cell>
          <cell r="P5587" t="str">
            <v/>
          </cell>
          <cell r="Q5587" t="str">
            <v/>
          </cell>
          <cell r="S5587" t="str">
            <v/>
          </cell>
          <cell r="V5587" t="str">
            <v/>
          </cell>
          <cell r="Z5587" t="str">
            <v/>
          </cell>
          <cell r="AA5587" t="str">
            <v/>
          </cell>
          <cell r="AB5587" t="str">
            <v/>
          </cell>
          <cell r="AC5587" t="str">
            <v/>
          </cell>
          <cell r="AD5587" t="str">
            <v/>
          </cell>
          <cell r="AY5587" t="str">
            <v/>
          </cell>
          <cell r="AZ5587" t="str">
            <v/>
          </cell>
          <cell r="BA5587" t="str">
            <v/>
          </cell>
        </row>
        <row r="5588">
          <cell r="B5588" t="str">
            <v>-</v>
          </cell>
          <cell r="E5588" t="str">
            <v/>
          </cell>
          <cell r="G5588" t="str">
            <v/>
          </cell>
          <cell r="J5588" t="str">
            <v/>
          </cell>
          <cell r="O5588" t="str">
            <v/>
          </cell>
          <cell r="P5588" t="str">
            <v/>
          </cell>
          <cell r="Q5588" t="str">
            <v/>
          </cell>
          <cell r="S5588" t="str">
            <v/>
          </cell>
          <cell r="V5588" t="str">
            <v/>
          </cell>
          <cell r="Z5588" t="str">
            <v/>
          </cell>
          <cell r="AA5588" t="str">
            <v/>
          </cell>
          <cell r="AB5588" t="str">
            <v/>
          </cell>
          <cell r="AC5588" t="str">
            <v/>
          </cell>
          <cell r="AD5588" t="str">
            <v/>
          </cell>
          <cell r="AY5588" t="str">
            <v/>
          </cell>
          <cell r="AZ5588" t="str">
            <v/>
          </cell>
          <cell r="BA5588" t="str">
            <v/>
          </cell>
        </row>
        <row r="5589">
          <cell r="B5589" t="str">
            <v>-</v>
          </cell>
          <cell r="E5589" t="str">
            <v/>
          </cell>
          <cell r="G5589" t="str">
            <v/>
          </cell>
          <cell r="J5589" t="str">
            <v/>
          </cell>
          <cell r="O5589" t="str">
            <v/>
          </cell>
          <cell r="P5589" t="str">
            <v/>
          </cell>
          <cell r="Q5589" t="str">
            <v/>
          </cell>
          <cell r="S5589" t="str">
            <v/>
          </cell>
          <cell r="V5589" t="str">
            <v/>
          </cell>
          <cell r="Z5589" t="str">
            <v/>
          </cell>
          <cell r="AA5589" t="str">
            <v/>
          </cell>
          <cell r="AB5589" t="str">
            <v/>
          </cell>
          <cell r="AC5589" t="str">
            <v/>
          </cell>
          <cell r="AD5589" t="str">
            <v/>
          </cell>
          <cell r="AY5589" t="str">
            <v/>
          </cell>
          <cell r="AZ5589" t="str">
            <v/>
          </cell>
          <cell r="BA5589" t="str">
            <v/>
          </cell>
        </row>
        <row r="5590">
          <cell r="B5590" t="str">
            <v>-</v>
          </cell>
          <cell r="E5590" t="str">
            <v/>
          </cell>
          <cell r="G5590" t="str">
            <v/>
          </cell>
          <cell r="J5590" t="str">
            <v/>
          </cell>
          <cell r="O5590" t="str">
            <v/>
          </cell>
          <cell r="P5590" t="str">
            <v/>
          </cell>
          <cell r="Q5590" t="str">
            <v/>
          </cell>
          <cell r="S5590" t="str">
            <v/>
          </cell>
          <cell r="V5590" t="str">
            <v/>
          </cell>
          <cell r="Z5590" t="str">
            <v/>
          </cell>
          <cell r="AA5590" t="str">
            <v/>
          </cell>
          <cell r="AB5590" t="str">
            <v/>
          </cell>
          <cell r="AC5590" t="str">
            <v/>
          </cell>
          <cell r="AD5590" t="str">
            <v/>
          </cell>
          <cell r="AY5590" t="str">
            <v/>
          </cell>
          <cell r="AZ5590" t="str">
            <v/>
          </cell>
          <cell r="BA5590" t="str">
            <v/>
          </cell>
        </row>
        <row r="5591">
          <cell r="B5591" t="str">
            <v>-</v>
          </cell>
          <cell r="E5591" t="str">
            <v/>
          </cell>
          <cell r="G5591" t="str">
            <v/>
          </cell>
          <cell r="J5591" t="str">
            <v/>
          </cell>
          <cell r="O5591" t="str">
            <v/>
          </cell>
          <cell r="P5591" t="str">
            <v/>
          </cell>
          <cell r="Q5591" t="str">
            <v/>
          </cell>
          <cell r="S5591" t="str">
            <v/>
          </cell>
          <cell r="V5591" t="str">
            <v/>
          </cell>
          <cell r="Z5591" t="str">
            <v/>
          </cell>
          <cell r="AA5591" t="str">
            <v/>
          </cell>
          <cell r="AB5591" t="str">
            <v/>
          </cell>
          <cell r="AC5591" t="str">
            <v/>
          </cell>
          <cell r="AD5591" t="str">
            <v/>
          </cell>
          <cell r="AY5591" t="str">
            <v/>
          </cell>
          <cell r="AZ5591" t="str">
            <v/>
          </cell>
          <cell r="BA5591" t="str">
            <v/>
          </cell>
        </row>
        <row r="5592">
          <cell r="B5592" t="str">
            <v>-</v>
          </cell>
          <cell r="E5592" t="str">
            <v/>
          </cell>
          <cell r="G5592" t="str">
            <v/>
          </cell>
          <cell r="J5592" t="str">
            <v/>
          </cell>
          <cell r="O5592" t="str">
            <v/>
          </cell>
          <cell r="P5592" t="str">
            <v/>
          </cell>
          <cell r="Q5592" t="str">
            <v/>
          </cell>
          <cell r="S5592" t="str">
            <v/>
          </cell>
          <cell r="V5592" t="str">
            <v/>
          </cell>
          <cell r="Z5592" t="str">
            <v/>
          </cell>
          <cell r="AA5592" t="str">
            <v/>
          </cell>
          <cell r="AB5592" t="str">
            <v/>
          </cell>
          <cell r="AC5592" t="str">
            <v/>
          </cell>
          <cell r="AD5592" t="str">
            <v/>
          </cell>
          <cell r="AY5592" t="str">
            <v/>
          </cell>
          <cell r="AZ5592" t="str">
            <v/>
          </cell>
          <cell r="BA5592" t="str">
            <v/>
          </cell>
        </row>
        <row r="5593">
          <cell r="B5593" t="str">
            <v>-</v>
          </cell>
          <cell r="E5593" t="str">
            <v/>
          </cell>
          <cell r="G5593" t="str">
            <v/>
          </cell>
          <cell r="J5593" t="str">
            <v/>
          </cell>
          <cell r="O5593" t="str">
            <v/>
          </cell>
          <cell r="P5593" t="str">
            <v/>
          </cell>
          <cell r="Q5593" t="str">
            <v/>
          </cell>
          <cell r="S5593" t="str">
            <v/>
          </cell>
          <cell r="V5593" t="str">
            <v/>
          </cell>
          <cell r="Z5593" t="str">
            <v/>
          </cell>
          <cell r="AA5593" t="str">
            <v/>
          </cell>
          <cell r="AB5593" t="str">
            <v/>
          </cell>
          <cell r="AC5593" t="str">
            <v/>
          </cell>
          <cell r="AD5593" t="str">
            <v/>
          </cell>
          <cell r="AY5593" t="str">
            <v/>
          </cell>
          <cell r="AZ5593" t="str">
            <v/>
          </cell>
          <cell r="BA5593" t="str">
            <v/>
          </cell>
        </row>
        <row r="5594">
          <cell r="B5594" t="str">
            <v>-</v>
          </cell>
          <cell r="E5594" t="str">
            <v/>
          </cell>
          <cell r="G5594" t="str">
            <v/>
          </cell>
          <cell r="J5594" t="str">
            <v/>
          </cell>
          <cell r="O5594" t="str">
            <v/>
          </cell>
          <cell r="P5594" t="str">
            <v/>
          </cell>
          <cell r="Q5594" t="str">
            <v/>
          </cell>
          <cell r="S5594" t="str">
            <v/>
          </cell>
          <cell r="V5594" t="str">
            <v/>
          </cell>
          <cell r="Z5594" t="str">
            <v/>
          </cell>
          <cell r="AA5594" t="str">
            <v/>
          </cell>
          <cell r="AB5594" t="str">
            <v/>
          </cell>
          <cell r="AC5594" t="str">
            <v/>
          </cell>
          <cell r="AD5594" t="str">
            <v/>
          </cell>
          <cell r="AY5594" t="str">
            <v/>
          </cell>
          <cell r="AZ5594" t="str">
            <v/>
          </cell>
          <cell r="BA5594" t="str">
            <v/>
          </cell>
        </row>
        <row r="5595">
          <cell r="B5595" t="str">
            <v>-</v>
          </cell>
          <cell r="E5595" t="str">
            <v/>
          </cell>
          <cell r="G5595" t="str">
            <v/>
          </cell>
          <cell r="J5595" t="str">
            <v/>
          </cell>
          <cell r="O5595" t="str">
            <v/>
          </cell>
          <cell r="P5595" t="str">
            <v/>
          </cell>
          <cell r="Q5595" t="str">
            <v/>
          </cell>
          <cell r="S5595" t="str">
            <v/>
          </cell>
          <cell r="V5595" t="str">
            <v/>
          </cell>
          <cell r="Z5595" t="str">
            <v/>
          </cell>
          <cell r="AA5595" t="str">
            <v/>
          </cell>
          <cell r="AB5595" t="str">
            <v/>
          </cell>
          <cell r="AC5595" t="str">
            <v/>
          </cell>
          <cell r="AD5595" t="str">
            <v/>
          </cell>
          <cell r="AY5595" t="str">
            <v/>
          </cell>
          <cell r="AZ5595" t="str">
            <v/>
          </cell>
          <cell r="BA5595" t="str">
            <v/>
          </cell>
        </row>
        <row r="5596">
          <cell r="B5596" t="str">
            <v>-</v>
          </cell>
          <cell r="E5596" t="str">
            <v/>
          </cell>
          <cell r="G5596" t="str">
            <v/>
          </cell>
          <cell r="J5596" t="str">
            <v/>
          </cell>
          <cell r="O5596" t="str">
            <v/>
          </cell>
          <cell r="P5596" t="str">
            <v/>
          </cell>
          <cell r="Q5596" t="str">
            <v/>
          </cell>
          <cell r="S5596" t="str">
            <v/>
          </cell>
          <cell r="V5596" t="str">
            <v/>
          </cell>
          <cell r="Z5596" t="str">
            <v/>
          </cell>
          <cell r="AA5596" t="str">
            <v/>
          </cell>
          <cell r="AB5596" t="str">
            <v/>
          </cell>
          <cell r="AC5596" t="str">
            <v/>
          </cell>
          <cell r="AD5596" t="str">
            <v/>
          </cell>
          <cell r="AY5596" t="str">
            <v/>
          </cell>
          <cell r="AZ5596" t="str">
            <v/>
          </cell>
          <cell r="BA5596" t="str">
            <v/>
          </cell>
        </row>
        <row r="5597">
          <cell r="B5597" t="str">
            <v>-</v>
          </cell>
          <cell r="E5597" t="str">
            <v/>
          </cell>
          <cell r="G5597" t="str">
            <v/>
          </cell>
          <cell r="J5597" t="str">
            <v/>
          </cell>
          <cell r="O5597" t="str">
            <v/>
          </cell>
          <cell r="P5597" t="str">
            <v/>
          </cell>
          <cell r="Q5597" t="str">
            <v/>
          </cell>
          <cell r="S5597" t="str">
            <v/>
          </cell>
          <cell r="V5597" t="str">
            <v/>
          </cell>
          <cell r="Z5597" t="str">
            <v/>
          </cell>
          <cell r="AA5597" t="str">
            <v/>
          </cell>
          <cell r="AB5597" t="str">
            <v/>
          </cell>
          <cell r="AC5597" t="str">
            <v/>
          </cell>
          <cell r="AD5597" t="str">
            <v/>
          </cell>
          <cell r="AY5597" t="str">
            <v/>
          </cell>
          <cell r="AZ5597" t="str">
            <v/>
          </cell>
          <cell r="BA5597" t="str">
            <v/>
          </cell>
        </row>
        <row r="5598">
          <cell r="B5598" t="str">
            <v>-</v>
          </cell>
          <cell r="E5598" t="str">
            <v/>
          </cell>
          <cell r="G5598" t="str">
            <v/>
          </cell>
          <cell r="J5598" t="str">
            <v/>
          </cell>
          <cell r="O5598" t="str">
            <v/>
          </cell>
          <cell r="P5598" t="str">
            <v/>
          </cell>
          <cell r="Q5598" t="str">
            <v/>
          </cell>
          <cell r="S5598" t="str">
            <v/>
          </cell>
          <cell r="V5598" t="str">
            <v/>
          </cell>
          <cell r="Z5598" t="str">
            <v/>
          </cell>
          <cell r="AA5598" t="str">
            <v/>
          </cell>
          <cell r="AB5598" t="str">
            <v/>
          </cell>
          <cell r="AC5598" t="str">
            <v/>
          </cell>
          <cell r="AD5598" t="str">
            <v/>
          </cell>
          <cell r="AY5598" t="str">
            <v/>
          </cell>
          <cell r="AZ5598" t="str">
            <v/>
          </cell>
          <cell r="BA5598" t="str">
            <v/>
          </cell>
        </row>
        <row r="5599">
          <cell r="B5599" t="str">
            <v>-</v>
          </cell>
          <cell r="E5599" t="str">
            <v/>
          </cell>
          <cell r="G5599" t="str">
            <v/>
          </cell>
          <cell r="J5599" t="str">
            <v/>
          </cell>
          <cell r="O5599" t="str">
            <v/>
          </cell>
          <cell r="P5599" t="str">
            <v/>
          </cell>
          <cell r="Q5599" t="str">
            <v/>
          </cell>
          <cell r="S5599" t="str">
            <v/>
          </cell>
          <cell r="V5599" t="str">
            <v/>
          </cell>
          <cell r="Z5599" t="str">
            <v/>
          </cell>
          <cell r="AA5599" t="str">
            <v/>
          </cell>
          <cell r="AB5599" t="str">
            <v/>
          </cell>
          <cell r="AC5599" t="str">
            <v/>
          </cell>
          <cell r="AD5599" t="str">
            <v/>
          </cell>
          <cell r="AY5599" t="str">
            <v/>
          </cell>
          <cell r="AZ5599" t="str">
            <v/>
          </cell>
          <cell r="BA5599" t="str">
            <v/>
          </cell>
        </row>
        <row r="5600">
          <cell r="B5600" t="str">
            <v>-</v>
          </cell>
          <cell r="E5600" t="str">
            <v/>
          </cell>
          <cell r="G5600" t="str">
            <v/>
          </cell>
          <cell r="J5600" t="str">
            <v/>
          </cell>
          <cell r="O5600" t="str">
            <v/>
          </cell>
          <cell r="P5600" t="str">
            <v/>
          </cell>
          <cell r="Q5600" t="str">
            <v/>
          </cell>
          <cell r="S5600" t="str">
            <v/>
          </cell>
          <cell r="V5600" t="str">
            <v/>
          </cell>
          <cell r="Z5600" t="str">
            <v/>
          </cell>
          <cell r="AA5600" t="str">
            <v/>
          </cell>
          <cell r="AB5600" t="str">
            <v/>
          </cell>
          <cell r="AC5600" t="str">
            <v/>
          </cell>
          <cell r="AD5600" t="str">
            <v/>
          </cell>
          <cell r="AY5600" t="str">
            <v/>
          </cell>
          <cell r="AZ5600" t="str">
            <v/>
          </cell>
          <cell r="BA5600" t="str">
            <v/>
          </cell>
        </row>
        <row r="5601">
          <cell r="B5601" t="str">
            <v>-</v>
          </cell>
          <cell r="E5601" t="str">
            <v/>
          </cell>
          <cell r="G5601" t="str">
            <v/>
          </cell>
          <cell r="J5601" t="str">
            <v/>
          </cell>
          <cell r="O5601" t="str">
            <v/>
          </cell>
          <cell r="P5601" t="str">
            <v/>
          </cell>
          <cell r="Q5601" t="str">
            <v/>
          </cell>
          <cell r="S5601" t="str">
            <v/>
          </cell>
          <cell r="V5601" t="str">
            <v/>
          </cell>
          <cell r="Z5601" t="str">
            <v/>
          </cell>
          <cell r="AA5601" t="str">
            <v/>
          </cell>
          <cell r="AB5601" t="str">
            <v/>
          </cell>
          <cell r="AC5601" t="str">
            <v/>
          </cell>
          <cell r="AD5601" t="str">
            <v/>
          </cell>
          <cell r="AY5601" t="str">
            <v/>
          </cell>
          <cell r="AZ5601" t="str">
            <v/>
          </cell>
          <cell r="BA5601" t="str">
            <v/>
          </cell>
        </row>
        <row r="5602">
          <cell r="B5602" t="str">
            <v>-</v>
          </cell>
          <cell r="E5602" t="str">
            <v/>
          </cell>
          <cell r="G5602" t="str">
            <v/>
          </cell>
          <cell r="J5602" t="str">
            <v/>
          </cell>
          <cell r="O5602" t="str">
            <v/>
          </cell>
          <cell r="P5602" t="str">
            <v/>
          </cell>
          <cell r="Q5602" t="str">
            <v/>
          </cell>
          <cell r="S5602" t="str">
            <v/>
          </cell>
          <cell r="V5602" t="str">
            <v/>
          </cell>
          <cell r="Z5602" t="str">
            <v/>
          </cell>
          <cell r="AA5602" t="str">
            <v/>
          </cell>
          <cell r="AB5602" t="str">
            <v/>
          </cell>
          <cell r="AC5602" t="str">
            <v/>
          </cell>
          <cell r="AD5602" t="str">
            <v/>
          </cell>
          <cell r="AY5602" t="str">
            <v/>
          </cell>
          <cell r="AZ5602" t="str">
            <v/>
          </cell>
          <cell r="BA5602" t="str">
            <v/>
          </cell>
        </row>
        <row r="5603">
          <cell r="B5603" t="str">
            <v>-</v>
          </cell>
          <cell r="E5603" t="str">
            <v/>
          </cell>
          <cell r="G5603" t="str">
            <v/>
          </cell>
          <cell r="J5603" t="str">
            <v/>
          </cell>
          <cell r="O5603" t="str">
            <v/>
          </cell>
          <cell r="P5603" t="str">
            <v/>
          </cell>
          <cell r="Q5603" t="str">
            <v/>
          </cell>
          <cell r="S5603" t="str">
            <v/>
          </cell>
          <cell r="V5603" t="str">
            <v/>
          </cell>
          <cell r="Z5603" t="str">
            <v/>
          </cell>
          <cell r="AA5603" t="str">
            <v/>
          </cell>
          <cell r="AB5603" t="str">
            <v/>
          </cell>
          <cell r="AC5603" t="str">
            <v/>
          </cell>
          <cell r="AD5603" t="str">
            <v/>
          </cell>
          <cell r="AY5603" t="str">
            <v/>
          </cell>
          <cell r="AZ5603" t="str">
            <v/>
          </cell>
          <cell r="BA5603" t="str">
            <v/>
          </cell>
        </row>
        <row r="5604">
          <cell r="B5604" t="str">
            <v>-</v>
          </cell>
          <cell r="E5604" t="str">
            <v/>
          </cell>
          <cell r="G5604" t="str">
            <v/>
          </cell>
          <cell r="J5604" t="str">
            <v/>
          </cell>
          <cell r="O5604" t="str">
            <v/>
          </cell>
          <cell r="P5604" t="str">
            <v/>
          </cell>
          <cell r="Q5604" t="str">
            <v/>
          </cell>
          <cell r="S5604" t="str">
            <v/>
          </cell>
          <cell r="V5604" t="str">
            <v/>
          </cell>
          <cell r="Z5604" t="str">
            <v/>
          </cell>
          <cell r="AA5604" t="str">
            <v/>
          </cell>
          <cell r="AB5604" t="str">
            <v/>
          </cell>
          <cell r="AC5604" t="str">
            <v/>
          </cell>
          <cell r="AD5604" t="str">
            <v/>
          </cell>
          <cell r="AY5604" t="str">
            <v/>
          </cell>
          <cell r="AZ5604" t="str">
            <v/>
          </cell>
          <cell r="BA5604" t="str">
            <v/>
          </cell>
        </row>
        <row r="5605">
          <cell r="B5605" t="str">
            <v>-</v>
          </cell>
          <cell r="E5605" t="str">
            <v/>
          </cell>
          <cell r="G5605" t="str">
            <v/>
          </cell>
          <cell r="J5605" t="str">
            <v/>
          </cell>
          <cell r="O5605" t="str">
            <v/>
          </cell>
          <cell r="P5605" t="str">
            <v/>
          </cell>
          <cell r="Q5605" t="str">
            <v/>
          </cell>
          <cell r="S5605" t="str">
            <v/>
          </cell>
          <cell r="V5605" t="str">
            <v/>
          </cell>
          <cell r="Z5605" t="str">
            <v/>
          </cell>
          <cell r="AA5605" t="str">
            <v/>
          </cell>
          <cell r="AB5605" t="str">
            <v/>
          </cell>
          <cell r="AC5605" t="str">
            <v/>
          </cell>
          <cell r="AD5605" t="str">
            <v/>
          </cell>
          <cell r="AY5605" t="str">
            <v/>
          </cell>
          <cell r="AZ5605" t="str">
            <v/>
          </cell>
          <cell r="BA5605" t="str">
            <v/>
          </cell>
        </row>
        <row r="5606">
          <cell r="B5606" t="str">
            <v>-</v>
          </cell>
          <cell r="E5606" t="str">
            <v/>
          </cell>
          <cell r="G5606" t="str">
            <v/>
          </cell>
          <cell r="J5606" t="str">
            <v/>
          </cell>
          <cell r="O5606" t="str">
            <v/>
          </cell>
          <cell r="P5606" t="str">
            <v/>
          </cell>
          <cell r="Q5606" t="str">
            <v/>
          </cell>
          <cell r="S5606" t="str">
            <v/>
          </cell>
          <cell r="V5606" t="str">
            <v/>
          </cell>
          <cell r="Z5606" t="str">
            <v/>
          </cell>
          <cell r="AA5606" t="str">
            <v/>
          </cell>
          <cell r="AB5606" t="str">
            <v/>
          </cell>
          <cell r="AC5606" t="str">
            <v/>
          </cell>
          <cell r="AD5606" t="str">
            <v/>
          </cell>
          <cell r="AY5606" t="str">
            <v/>
          </cell>
          <cell r="AZ5606" t="str">
            <v/>
          </cell>
          <cell r="BA5606" t="str">
            <v/>
          </cell>
        </row>
        <row r="5607">
          <cell r="B5607" t="str">
            <v>-</v>
          </cell>
          <cell r="E5607" t="str">
            <v/>
          </cell>
          <cell r="G5607" t="str">
            <v/>
          </cell>
          <cell r="J5607" t="str">
            <v/>
          </cell>
          <cell r="O5607" t="str">
            <v/>
          </cell>
          <cell r="P5607" t="str">
            <v/>
          </cell>
          <cell r="Q5607" t="str">
            <v/>
          </cell>
          <cell r="S5607" t="str">
            <v/>
          </cell>
          <cell r="V5607" t="str">
            <v/>
          </cell>
          <cell r="Z5607" t="str">
            <v/>
          </cell>
          <cell r="AA5607" t="str">
            <v/>
          </cell>
          <cell r="AB5607" t="str">
            <v/>
          </cell>
          <cell r="AC5607" t="str">
            <v/>
          </cell>
          <cell r="AD5607" t="str">
            <v/>
          </cell>
          <cell r="AY5607" t="str">
            <v/>
          </cell>
          <cell r="AZ5607" t="str">
            <v/>
          </cell>
          <cell r="BA5607" t="str">
            <v/>
          </cell>
        </row>
        <row r="5608">
          <cell r="B5608" t="str">
            <v>-</v>
          </cell>
          <cell r="E5608" t="str">
            <v/>
          </cell>
          <cell r="G5608" t="str">
            <v/>
          </cell>
          <cell r="J5608" t="str">
            <v/>
          </cell>
          <cell r="O5608" t="str">
            <v/>
          </cell>
          <cell r="P5608" t="str">
            <v/>
          </cell>
          <cell r="Q5608" t="str">
            <v/>
          </cell>
          <cell r="S5608" t="str">
            <v/>
          </cell>
          <cell r="V5608" t="str">
            <v/>
          </cell>
          <cell r="Z5608" t="str">
            <v/>
          </cell>
          <cell r="AA5608" t="str">
            <v/>
          </cell>
          <cell r="AB5608" t="str">
            <v/>
          </cell>
          <cell r="AC5608" t="str">
            <v/>
          </cell>
          <cell r="AD5608" t="str">
            <v/>
          </cell>
          <cell r="AY5608" t="str">
            <v/>
          </cell>
          <cell r="AZ5608" t="str">
            <v/>
          </cell>
          <cell r="BA5608" t="str">
            <v/>
          </cell>
        </row>
        <row r="5609">
          <cell r="B5609" t="str">
            <v>-</v>
          </cell>
          <cell r="E5609" t="str">
            <v/>
          </cell>
          <cell r="G5609" t="str">
            <v/>
          </cell>
          <cell r="J5609" t="str">
            <v/>
          </cell>
          <cell r="O5609" t="str">
            <v/>
          </cell>
          <cell r="P5609" t="str">
            <v/>
          </cell>
          <cell r="Q5609" t="str">
            <v/>
          </cell>
          <cell r="S5609" t="str">
            <v/>
          </cell>
          <cell r="V5609" t="str">
            <v/>
          </cell>
          <cell r="Z5609" t="str">
            <v/>
          </cell>
          <cell r="AA5609" t="str">
            <v/>
          </cell>
          <cell r="AB5609" t="str">
            <v/>
          </cell>
          <cell r="AC5609" t="str">
            <v/>
          </cell>
          <cell r="AD5609" t="str">
            <v/>
          </cell>
          <cell r="AY5609" t="str">
            <v/>
          </cell>
          <cell r="AZ5609" t="str">
            <v/>
          </cell>
          <cell r="BA5609" t="str">
            <v/>
          </cell>
        </row>
        <row r="5610">
          <cell r="B5610" t="str">
            <v>-</v>
          </cell>
          <cell r="E5610" t="str">
            <v/>
          </cell>
          <cell r="G5610" t="str">
            <v/>
          </cell>
          <cell r="J5610" t="str">
            <v/>
          </cell>
          <cell r="O5610" t="str">
            <v/>
          </cell>
          <cell r="P5610" t="str">
            <v/>
          </cell>
          <cell r="Q5610" t="str">
            <v/>
          </cell>
          <cell r="S5610" t="str">
            <v/>
          </cell>
          <cell r="V5610" t="str">
            <v/>
          </cell>
          <cell r="Z5610" t="str">
            <v/>
          </cell>
          <cell r="AA5610" t="str">
            <v/>
          </cell>
          <cell r="AB5610" t="str">
            <v/>
          </cell>
          <cell r="AC5610" t="str">
            <v/>
          </cell>
          <cell r="AD5610" t="str">
            <v/>
          </cell>
          <cell r="AY5610" t="str">
            <v/>
          </cell>
          <cell r="AZ5610" t="str">
            <v/>
          </cell>
          <cell r="BA5610" t="str">
            <v/>
          </cell>
        </row>
        <row r="5611">
          <cell r="B5611" t="str">
            <v>-</v>
          </cell>
          <cell r="E5611" t="str">
            <v/>
          </cell>
          <cell r="G5611" t="str">
            <v/>
          </cell>
          <cell r="J5611" t="str">
            <v/>
          </cell>
          <cell r="O5611" t="str">
            <v/>
          </cell>
          <cell r="P5611" t="str">
            <v/>
          </cell>
          <cell r="Q5611" t="str">
            <v/>
          </cell>
          <cell r="S5611" t="str">
            <v/>
          </cell>
          <cell r="V5611" t="str">
            <v/>
          </cell>
          <cell r="Z5611" t="str">
            <v/>
          </cell>
          <cell r="AA5611" t="str">
            <v/>
          </cell>
          <cell r="AB5611" t="str">
            <v/>
          </cell>
          <cell r="AC5611" t="str">
            <v/>
          </cell>
          <cell r="AD5611" t="str">
            <v/>
          </cell>
          <cell r="AY5611" t="str">
            <v/>
          </cell>
          <cell r="AZ5611" t="str">
            <v/>
          </cell>
          <cell r="BA5611" t="str">
            <v/>
          </cell>
        </row>
        <row r="5612">
          <cell r="B5612" t="str">
            <v>-</v>
          </cell>
          <cell r="E5612" t="str">
            <v/>
          </cell>
          <cell r="G5612" t="str">
            <v/>
          </cell>
          <cell r="J5612" t="str">
            <v/>
          </cell>
          <cell r="O5612" t="str">
            <v/>
          </cell>
          <cell r="P5612" t="str">
            <v/>
          </cell>
          <cell r="Q5612" t="str">
            <v/>
          </cell>
          <cell r="S5612" t="str">
            <v/>
          </cell>
          <cell r="V5612" t="str">
            <v/>
          </cell>
          <cell r="Z5612" t="str">
            <v/>
          </cell>
          <cell r="AA5612" t="str">
            <v/>
          </cell>
          <cell r="AB5612" t="str">
            <v/>
          </cell>
          <cell r="AC5612" t="str">
            <v/>
          </cell>
          <cell r="AD5612" t="str">
            <v/>
          </cell>
          <cell r="AY5612" t="str">
            <v/>
          </cell>
          <cell r="AZ5612" t="str">
            <v/>
          </cell>
          <cell r="BA5612" t="str">
            <v/>
          </cell>
        </row>
        <row r="5613">
          <cell r="B5613" t="str">
            <v>-</v>
          </cell>
          <cell r="E5613" t="str">
            <v/>
          </cell>
          <cell r="G5613" t="str">
            <v/>
          </cell>
          <cell r="J5613" t="str">
            <v/>
          </cell>
          <cell r="O5613" t="str">
            <v/>
          </cell>
          <cell r="P5613" t="str">
            <v/>
          </cell>
          <cell r="Q5613" t="str">
            <v/>
          </cell>
          <cell r="S5613" t="str">
            <v/>
          </cell>
          <cell r="V5613" t="str">
            <v/>
          </cell>
          <cell r="Z5613" t="str">
            <v/>
          </cell>
          <cell r="AA5613" t="str">
            <v/>
          </cell>
          <cell r="AB5613" t="str">
            <v/>
          </cell>
          <cell r="AC5613" t="str">
            <v/>
          </cell>
          <cell r="AD5613" t="str">
            <v/>
          </cell>
          <cell r="AY5613" t="str">
            <v/>
          </cell>
          <cell r="AZ5613" t="str">
            <v/>
          </cell>
          <cell r="BA5613" t="str">
            <v/>
          </cell>
        </row>
        <row r="5614">
          <cell r="B5614" t="str">
            <v>-</v>
          </cell>
          <cell r="E5614" t="str">
            <v/>
          </cell>
          <cell r="G5614" t="str">
            <v/>
          </cell>
          <cell r="J5614" t="str">
            <v/>
          </cell>
          <cell r="O5614" t="str">
            <v/>
          </cell>
          <cell r="P5614" t="str">
            <v/>
          </cell>
          <cell r="Q5614" t="str">
            <v/>
          </cell>
          <cell r="S5614" t="str">
            <v/>
          </cell>
          <cell r="V5614" t="str">
            <v/>
          </cell>
          <cell r="Z5614" t="str">
            <v/>
          </cell>
          <cell r="AA5614" t="str">
            <v/>
          </cell>
          <cell r="AB5614" t="str">
            <v/>
          </cell>
          <cell r="AC5614" t="str">
            <v/>
          </cell>
          <cell r="AD5614" t="str">
            <v/>
          </cell>
          <cell r="AY5614" t="str">
            <v/>
          </cell>
          <cell r="AZ5614" t="str">
            <v/>
          </cell>
          <cell r="BA5614" t="str">
            <v/>
          </cell>
        </row>
        <row r="5615">
          <cell r="B5615" t="str">
            <v>-</v>
          </cell>
          <cell r="E5615" t="str">
            <v/>
          </cell>
          <cell r="G5615" t="str">
            <v/>
          </cell>
          <cell r="J5615" t="str">
            <v/>
          </cell>
          <cell r="O5615" t="str">
            <v/>
          </cell>
          <cell r="P5615" t="str">
            <v/>
          </cell>
          <cell r="Q5615" t="str">
            <v/>
          </cell>
          <cell r="S5615" t="str">
            <v/>
          </cell>
          <cell r="V5615" t="str">
            <v/>
          </cell>
          <cell r="Z5615" t="str">
            <v/>
          </cell>
          <cell r="AA5615" t="str">
            <v/>
          </cell>
          <cell r="AB5615" t="str">
            <v/>
          </cell>
          <cell r="AC5615" t="str">
            <v/>
          </cell>
          <cell r="AD5615" t="str">
            <v/>
          </cell>
          <cell r="AY5615" t="str">
            <v/>
          </cell>
          <cell r="AZ5615" t="str">
            <v/>
          </cell>
          <cell r="BA5615" t="str">
            <v/>
          </cell>
        </row>
        <row r="5616">
          <cell r="B5616" t="str">
            <v>-</v>
          </cell>
          <cell r="E5616" t="str">
            <v/>
          </cell>
          <cell r="G5616" t="str">
            <v/>
          </cell>
          <cell r="J5616" t="str">
            <v/>
          </cell>
          <cell r="O5616" t="str">
            <v/>
          </cell>
          <cell r="P5616" t="str">
            <v/>
          </cell>
          <cell r="Q5616" t="str">
            <v/>
          </cell>
          <cell r="S5616" t="str">
            <v/>
          </cell>
          <cell r="V5616" t="str">
            <v/>
          </cell>
          <cell r="Z5616" t="str">
            <v/>
          </cell>
          <cell r="AA5616" t="str">
            <v/>
          </cell>
          <cell r="AB5616" t="str">
            <v/>
          </cell>
          <cell r="AC5616" t="str">
            <v/>
          </cell>
          <cell r="AD5616" t="str">
            <v/>
          </cell>
          <cell r="AY5616" t="str">
            <v/>
          </cell>
          <cell r="AZ5616" t="str">
            <v/>
          </cell>
          <cell r="BA5616" t="str">
            <v/>
          </cell>
        </row>
        <row r="5617">
          <cell r="B5617" t="str">
            <v>-</v>
          </cell>
          <cell r="E5617" t="str">
            <v/>
          </cell>
          <cell r="G5617" t="str">
            <v/>
          </cell>
          <cell r="J5617" t="str">
            <v/>
          </cell>
          <cell r="O5617" t="str">
            <v/>
          </cell>
          <cell r="P5617" t="str">
            <v/>
          </cell>
          <cell r="Q5617" t="str">
            <v/>
          </cell>
          <cell r="S5617" t="str">
            <v/>
          </cell>
          <cell r="V5617" t="str">
            <v/>
          </cell>
          <cell r="Z5617" t="str">
            <v/>
          </cell>
          <cell r="AA5617" t="str">
            <v/>
          </cell>
          <cell r="AB5617" t="str">
            <v/>
          </cell>
          <cell r="AC5617" t="str">
            <v/>
          </cell>
          <cell r="AD5617" t="str">
            <v/>
          </cell>
          <cell r="AY5617" t="str">
            <v/>
          </cell>
          <cell r="AZ5617" t="str">
            <v/>
          </cell>
          <cell r="BA5617" t="str">
            <v/>
          </cell>
        </row>
        <row r="5618">
          <cell r="B5618" t="str">
            <v>-</v>
          </cell>
          <cell r="E5618" t="str">
            <v/>
          </cell>
          <cell r="G5618" t="str">
            <v/>
          </cell>
          <cell r="J5618" t="str">
            <v/>
          </cell>
          <cell r="O5618" t="str">
            <v/>
          </cell>
          <cell r="P5618" t="str">
            <v/>
          </cell>
          <cell r="Q5618" t="str">
            <v/>
          </cell>
          <cell r="S5618" t="str">
            <v/>
          </cell>
          <cell r="V5618" t="str">
            <v/>
          </cell>
          <cell r="Z5618" t="str">
            <v/>
          </cell>
          <cell r="AA5618" t="str">
            <v/>
          </cell>
          <cell r="AB5618" t="str">
            <v/>
          </cell>
          <cell r="AC5618" t="str">
            <v/>
          </cell>
          <cell r="AD5618" t="str">
            <v/>
          </cell>
          <cell r="AY5618" t="str">
            <v/>
          </cell>
          <cell r="AZ5618" t="str">
            <v/>
          </cell>
          <cell r="BA5618" t="str">
            <v/>
          </cell>
        </row>
        <row r="5619">
          <cell r="B5619" t="str">
            <v>-</v>
          </cell>
          <cell r="E5619" t="str">
            <v/>
          </cell>
          <cell r="G5619" t="str">
            <v/>
          </cell>
          <cell r="J5619" t="str">
            <v/>
          </cell>
          <cell r="O5619" t="str">
            <v/>
          </cell>
          <cell r="P5619" t="str">
            <v/>
          </cell>
          <cell r="Q5619" t="str">
            <v/>
          </cell>
          <cell r="S5619" t="str">
            <v/>
          </cell>
          <cell r="V5619" t="str">
            <v/>
          </cell>
          <cell r="Z5619" t="str">
            <v/>
          </cell>
          <cell r="AA5619" t="str">
            <v/>
          </cell>
          <cell r="AB5619" t="str">
            <v/>
          </cell>
          <cell r="AC5619" t="str">
            <v/>
          </cell>
          <cell r="AD5619" t="str">
            <v/>
          </cell>
          <cell r="AY5619" t="str">
            <v/>
          </cell>
          <cell r="AZ5619" t="str">
            <v/>
          </cell>
          <cell r="BA5619" t="str">
            <v/>
          </cell>
        </row>
        <row r="5620">
          <cell r="B5620" t="str">
            <v>-</v>
          </cell>
          <cell r="E5620" t="str">
            <v/>
          </cell>
          <cell r="G5620" t="str">
            <v/>
          </cell>
          <cell r="J5620" t="str">
            <v/>
          </cell>
          <cell r="O5620" t="str">
            <v/>
          </cell>
          <cell r="P5620" t="str">
            <v/>
          </cell>
          <cell r="Q5620" t="str">
            <v/>
          </cell>
          <cell r="S5620" t="str">
            <v/>
          </cell>
          <cell r="V5620" t="str">
            <v/>
          </cell>
          <cell r="Z5620" t="str">
            <v/>
          </cell>
          <cell r="AA5620" t="str">
            <v/>
          </cell>
          <cell r="AB5620" t="str">
            <v/>
          </cell>
          <cell r="AC5620" t="str">
            <v/>
          </cell>
          <cell r="AD5620" t="str">
            <v/>
          </cell>
          <cell r="AY5620" t="str">
            <v/>
          </cell>
          <cell r="AZ5620" t="str">
            <v/>
          </cell>
          <cell r="BA5620" t="str">
            <v/>
          </cell>
        </row>
        <row r="5621">
          <cell r="B5621" t="str">
            <v>-</v>
          </cell>
          <cell r="E5621" t="str">
            <v/>
          </cell>
          <cell r="G5621" t="str">
            <v/>
          </cell>
          <cell r="J5621" t="str">
            <v/>
          </cell>
          <cell r="O5621" t="str">
            <v/>
          </cell>
          <cell r="P5621" t="str">
            <v/>
          </cell>
          <cell r="Q5621" t="str">
            <v/>
          </cell>
          <cell r="S5621" t="str">
            <v/>
          </cell>
          <cell r="V5621" t="str">
            <v/>
          </cell>
          <cell r="Z5621" t="str">
            <v/>
          </cell>
          <cell r="AA5621" t="str">
            <v/>
          </cell>
          <cell r="AB5621" t="str">
            <v/>
          </cell>
          <cell r="AC5621" t="str">
            <v/>
          </cell>
          <cell r="AD5621" t="str">
            <v/>
          </cell>
          <cell r="AY5621" t="str">
            <v/>
          </cell>
          <cell r="AZ5621" t="str">
            <v/>
          </cell>
          <cell r="BA5621" t="str">
            <v/>
          </cell>
        </row>
        <row r="5622">
          <cell r="B5622" t="str">
            <v>-</v>
          </cell>
          <cell r="E5622" t="str">
            <v/>
          </cell>
          <cell r="G5622" t="str">
            <v/>
          </cell>
          <cell r="J5622" t="str">
            <v/>
          </cell>
          <cell r="O5622" t="str">
            <v/>
          </cell>
          <cell r="P5622" t="str">
            <v/>
          </cell>
          <cell r="Q5622" t="str">
            <v/>
          </cell>
          <cell r="S5622" t="str">
            <v/>
          </cell>
          <cell r="V5622" t="str">
            <v/>
          </cell>
          <cell r="Z5622" t="str">
            <v/>
          </cell>
          <cell r="AA5622" t="str">
            <v/>
          </cell>
          <cell r="AB5622" t="str">
            <v/>
          </cell>
          <cell r="AC5622" t="str">
            <v/>
          </cell>
          <cell r="AD5622" t="str">
            <v/>
          </cell>
          <cell r="AY5622" t="str">
            <v/>
          </cell>
          <cell r="AZ5622" t="str">
            <v/>
          </cell>
          <cell r="BA5622" t="str">
            <v/>
          </cell>
        </row>
        <row r="5623">
          <cell r="B5623" t="str">
            <v>-</v>
          </cell>
          <cell r="E5623" t="str">
            <v/>
          </cell>
          <cell r="G5623" t="str">
            <v/>
          </cell>
          <cell r="J5623" t="str">
            <v/>
          </cell>
          <cell r="O5623" t="str">
            <v/>
          </cell>
          <cell r="P5623" t="str">
            <v/>
          </cell>
          <cell r="Q5623" t="str">
            <v/>
          </cell>
          <cell r="S5623" t="str">
            <v/>
          </cell>
          <cell r="V5623" t="str">
            <v/>
          </cell>
          <cell r="Z5623" t="str">
            <v/>
          </cell>
          <cell r="AA5623" t="str">
            <v/>
          </cell>
          <cell r="AB5623" t="str">
            <v/>
          </cell>
          <cell r="AC5623" t="str">
            <v/>
          </cell>
          <cell r="AD5623" t="str">
            <v/>
          </cell>
          <cell r="AY5623" t="str">
            <v/>
          </cell>
          <cell r="AZ5623" t="str">
            <v/>
          </cell>
          <cell r="BA5623" t="str">
            <v/>
          </cell>
        </row>
        <row r="5624">
          <cell r="B5624" t="str">
            <v>-</v>
          </cell>
          <cell r="E5624" t="str">
            <v/>
          </cell>
          <cell r="G5624" t="str">
            <v/>
          </cell>
          <cell r="J5624" t="str">
            <v/>
          </cell>
          <cell r="O5624" t="str">
            <v/>
          </cell>
          <cell r="P5624" t="str">
            <v/>
          </cell>
          <cell r="Q5624" t="str">
            <v/>
          </cell>
          <cell r="S5624" t="str">
            <v/>
          </cell>
          <cell r="V5624" t="str">
            <v/>
          </cell>
          <cell r="Z5624" t="str">
            <v/>
          </cell>
          <cell r="AA5624" t="str">
            <v/>
          </cell>
          <cell r="AB5624" t="str">
            <v/>
          </cell>
          <cell r="AC5624" t="str">
            <v/>
          </cell>
          <cell r="AD5624" t="str">
            <v/>
          </cell>
          <cell r="AY5624" t="str">
            <v/>
          </cell>
          <cell r="AZ5624" t="str">
            <v/>
          </cell>
          <cell r="BA5624" t="str">
            <v/>
          </cell>
        </row>
        <row r="5625">
          <cell r="B5625" t="str">
            <v>-</v>
          </cell>
          <cell r="E5625" t="str">
            <v/>
          </cell>
          <cell r="G5625" t="str">
            <v/>
          </cell>
          <cell r="J5625" t="str">
            <v/>
          </cell>
          <cell r="O5625" t="str">
            <v/>
          </cell>
          <cell r="P5625" t="str">
            <v/>
          </cell>
          <cell r="Q5625" t="str">
            <v/>
          </cell>
          <cell r="S5625" t="str">
            <v/>
          </cell>
          <cell r="V5625" t="str">
            <v/>
          </cell>
          <cell r="Z5625" t="str">
            <v/>
          </cell>
          <cell r="AA5625" t="str">
            <v/>
          </cell>
          <cell r="AB5625" t="str">
            <v/>
          </cell>
          <cell r="AC5625" t="str">
            <v/>
          </cell>
          <cell r="AD5625" t="str">
            <v/>
          </cell>
          <cell r="AY5625" t="str">
            <v/>
          </cell>
          <cell r="AZ5625" t="str">
            <v/>
          </cell>
          <cell r="BA5625" t="str">
            <v/>
          </cell>
        </row>
        <row r="5626">
          <cell r="B5626" t="str">
            <v>-</v>
          </cell>
          <cell r="E5626" t="str">
            <v/>
          </cell>
          <cell r="G5626" t="str">
            <v/>
          </cell>
          <cell r="J5626" t="str">
            <v/>
          </cell>
          <cell r="O5626" t="str">
            <v/>
          </cell>
          <cell r="P5626" t="str">
            <v/>
          </cell>
          <cell r="Q5626" t="str">
            <v/>
          </cell>
          <cell r="S5626" t="str">
            <v/>
          </cell>
          <cell r="V5626" t="str">
            <v/>
          </cell>
          <cell r="Z5626" t="str">
            <v/>
          </cell>
          <cell r="AA5626" t="str">
            <v/>
          </cell>
          <cell r="AB5626" t="str">
            <v/>
          </cell>
          <cell r="AC5626" t="str">
            <v/>
          </cell>
          <cell r="AD5626" t="str">
            <v/>
          </cell>
          <cell r="AY5626" t="str">
            <v/>
          </cell>
          <cell r="AZ5626" t="str">
            <v/>
          </cell>
          <cell r="BA5626" t="str">
            <v/>
          </cell>
        </row>
        <row r="5627">
          <cell r="B5627" t="str">
            <v>-</v>
          </cell>
          <cell r="E5627" t="str">
            <v/>
          </cell>
          <cell r="G5627" t="str">
            <v/>
          </cell>
          <cell r="J5627" t="str">
            <v/>
          </cell>
          <cell r="O5627" t="str">
            <v/>
          </cell>
          <cell r="P5627" t="str">
            <v/>
          </cell>
          <cell r="Q5627" t="str">
            <v/>
          </cell>
          <cell r="S5627" t="str">
            <v/>
          </cell>
          <cell r="V5627" t="str">
            <v/>
          </cell>
          <cell r="Z5627" t="str">
            <v/>
          </cell>
          <cell r="AA5627" t="str">
            <v/>
          </cell>
          <cell r="AB5627" t="str">
            <v/>
          </cell>
          <cell r="AC5627" t="str">
            <v/>
          </cell>
          <cell r="AD5627" t="str">
            <v/>
          </cell>
          <cell r="AY5627" t="str">
            <v/>
          </cell>
          <cell r="AZ5627" t="str">
            <v/>
          </cell>
          <cell r="BA5627" t="str">
            <v/>
          </cell>
        </row>
        <row r="5628">
          <cell r="B5628" t="str">
            <v>-</v>
          </cell>
          <cell r="E5628" t="str">
            <v/>
          </cell>
          <cell r="G5628" t="str">
            <v/>
          </cell>
          <cell r="J5628" t="str">
            <v/>
          </cell>
          <cell r="O5628" t="str">
            <v/>
          </cell>
          <cell r="P5628" t="str">
            <v/>
          </cell>
          <cell r="Q5628" t="str">
            <v/>
          </cell>
          <cell r="S5628" t="str">
            <v/>
          </cell>
          <cell r="V5628" t="str">
            <v/>
          </cell>
          <cell r="Z5628" t="str">
            <v/>
          </cell>
          <cell r="AA5628" t="str">
            <v/>
          </cell>
          <cell r="AB5628" t="str">
            <v/>
          </cell>
          <cell r="AC5628" t="str">
            <v/>
          </cell>
          <cell r="AD5628" t="str">
            <v/>
          </cell>
          <cell r="AY5628" t="str">
            <v/>
          </cell>
          <cell r="AZ5628" t="str">
            <v/>
          </cell>
          <cell r="BA5628" t="str">
            <v/>
          </cell>
        </row>
        <row r="5629">
          <cell r="B5629" t="str">
            <v>-</v>
          </cell>
          <cell r="E5629" t="str">
            <v/>
          </cell>
          <cell r="G5629" t="str">
            <v/>
          </cell>
          <cell r="J5629" t="str">
            <v/>
          </cell>
          <cell r="O5629" t="str">
            <v/>
          </cell>
          <cell r="P5629" t="str">
            <v/>
          </cell>
          <cell r="Q5629" t="str">
            <v/>
          </cell>
          <cell r="S5629" t="str">
            <v/>
          </cell>
          <cell r="V5629" t="str">
            <v/>
          </cell>
          <cell r="Z5629" t="str">
            <v/>
          </cell>
          <cell r="AA5629" t="str">
            <v/>
          </cell>
          <cell r="AB5629" t="str">
            <v/>
          </cell>
          <cell r="AC5629" t="str">
            <v/>
          </cell>
          <cell r="AD5629" t="str">
            <v/>
          </cell>
          <cell r="AY5629" t="str">
            <v/>
          </cell>
          <cell r="AZ5629" t="str">
            <v/>
          </cell>
          <cell r="BA5629" t="str">
            <v/>
          </cell>
        </row>
        <row r="5630">
          <cell r="B5630" t="str">
            <v>-</v>
          </cell>
          <cell r="E5630" t="str">
            <v/>
          </cell>
          <cell r="G5630" t="str">
            <v/>
          </cell>
          <cell r="J5630" t="str">
            <v/>
          </cell>
          <cell r="O5630" t="str">
            <v/>
          </cell>
          <cell r="P5630" t="str">
            <v/>
          </cell>
          <cell r="Q5630" t="str">
            <v/>
          </cell>
          <cell r="S5630" t="str">
            <v/>
          </cell>
          <cell r="V5630" t="str">
            <v/>
          </cell>
          <cell r="Z5630" t="str">
            <v/>
          </cell>
          <cell r="AA5630" t="str">
            <v/>
          </cell>
          <cell r="AB5630" t="str">
            <v/>
          </cell>
          <cell r="AC5630" t="str">
            <v/>
          </cell>
          <cell r="AD5630" t="str">
            <v/>
          </cell>
          <cell r="AY5630" t="str">
            <v/>
          </cell>
          <cell r="AZ5630" t="str">
            <v/>
          </cell>
          <cell r="BA5630" t="str">
            <v/>
          </cell>
        </row>
        <row r="5631">
          <cell r="B5631" t="str">
            <v>-</v>
          </cell>
          <cell r="E5631" t="str">
            <v/>
          </cell>
          <cell r="G5631" t="str">
            <v/>
          </cell>
          <cell r="J5631" t="str">
            <v/>
          </cell>
          <cell r="O5631" t="str">
            <v/>
          </cell>
          <cell r="P5631" t="str">
            <v/>
          </cell>
          <cell r="Q5631" t="str">
            <v/>
          </cell>
          <cell r="S5631" t="str">
            <v/>
          </cell>
          <cell r="V5631" t="str">
            <v/>
          </cell>
          <cell r="Z5631" t="str">
            <v/>
          </cell>
          <cell r="AA5631" t="str">
            <v/>
          </cell>
          <cell r="AB5631" t="str">
            <v/>
          </cell>
          <cell r="AC5631" t="str">
            <v/>
          </cell>
          <cell r="AD5631" t="str">
            <v/>
          </cell>
          <cell r="AY5631" t="str">
            <v/>
          </cell>
          <cell r="AZ5631" t="str">
            <v/>
          </cell>
          <cell r="BA5631" t="str">
            <v/>
          </cell>
        </row>
        <row r="5632">
          <cell r="B5632" t="str">
            <v>-</v>
          </cell>
          <cell r="E5632" t="str">
            <v/>
          </cell>
          <cell r="G5632" t="str">
            <v/>
          </cell>
          <cell r="J5632" t="str">
            <v/>
          </cell>
          <cell r="O5632" t="str">
            <v/>
          </cell>
          <cell r="P5632" t="str">
            <v/>
          </cell>
          <cell r="Q5632" t="str">
            <v/>
          </cell>
          <cell r="S5632" t="str">
            <v/>
          </cell>
          <cell r="V5632" t="str">
            <v/>
          </cell>
          <cell r="Z5632" t="str">
            <v/>
          </cell>
          <cell r="AA5632" t="str">
            <v/>
          </cell>
          <cell r="AB5632" t="str">
            <v/>
          </cell>
          <cell r="AC5632" t="str">
            <v/>
          </cell>
          <cell r="AD5632" t="str">
            <v/>
          </cell>
          <cell r="AY5632" t="str">
            <v/>
          </cell>
          <cell r="AZ5632" t="str">
            <v/>
          </cell>
          <cell r="BA5632" t="str">
            <v/>
          </cell>
        </row>
        <row r="5633">
          <cell r="B5633" t="str">
            <v>-</v>
          </cell>
          <cell r="E5633" t="str">
            <v/>
          </cell>
          <cell r="G5633" t="str">
            <v/>
          </cell>
          <cell r="J5633" t="str">
            <v/>
          </cell>
          <cell r="O5633" t="str">
            <v/>
          </cell>
          <cell r="P5633" t="str">
            <v/>
          </cell>
          <cell r="Q5633" t="str">
            <v/>
          </cell>
          <cell r="S5633" t="str">
            <v/>
          </cell>
          <cell r="V5633" t="str">
            <v/>
          </cell>
          <cell r="Z5633" t="str">
            <v/>
          </cell>
          <cell r="AA5633" t="str">
            <v/>
          </cell>
          <cell r="AB5633" t="str">
            <v/>
          </cell>
          <cell r="AC5633" t="str">
            <v/>
          </cell>
          <cell r="AD5633" t="str">
            <v/>
          </cell>
          <cell r="AY5633" t="str">
            <v/>
          </cell>
          <cell r="AZ5633" t="str">
            <v/>
          </cell>
          <cell r="BA5633" t="str">
            <v/>
          </cell>
        </row>
        <row r="5634">
          <cell r="B5634" t="str">
            <v>-</v>
          </cell>
          <cell r="E5634" t="str">
            <v/>
          </cell>
          <cell r="G5634" t="str">
            <v/>
          </cell>
          <cell r="J5634" t="str">
            <v/>
          </cell>
          <cell r="O5634" t="str">
            <v/>
          </cell>
          <cell r="P5634" t="str">
            <v/>
          </cell>
          <cell r="Q5634" t="str">
            <v/>
          </cell>
          <cell r="S5634" t="str">
            <v/>
          </cell>
          <cell r="V5634" t="str">
            <v/>
          </cell>
          <cell r="Z5634" t="str">
            <v/>
          </cell>
          <cell r="AA5634" t="str">
            <v/>
          </cell>
          <cell r="AB5634" t="str">
            <v/>
          </cell>
          <cell r="AC5634" t="str">
            <v/>
          </cell>
          <cell r="AD5634" t="str">
            <v/>
          </cell>
          <cell r="AY5634" t="str">
            <v/>
          </cell>
          <cell r="AZ5634" t="str">
            <v/>
          </cell>
          <cell r="BA5634" t="str">
            <v/>
          </cell>
        </row>
        <row r="5635">
          <cell r="B5635" t="str">
            <v>-</v>
          </cell>
          <cell r="E5635" t="str">
            <v/>
          </cell>
          <cell r="G5635" t="str">
            <v/>
          </cell>
          <cell r="J5635" t="str">
            <v/>
          </cell>
          <cell r="O5635" t="str">
            <v/>
          </cell>
          <cell r="P5635" t="str">
            <v/>
          </cell>
          <cell r="Q5635" t="str">
            <v/>
          </cell>
          <cell r="S5635" t="str">
            <v/>
          </cell>
          <cell r="V5635" t="str">
            <v/>
          </cell>
          <cell r="Z5635" t="str">
            <v/>
          </cell>
          <cell r="AA5635" t="str">
            <v/>
          </cell>
          <cell r="AB5635" t="str">
            <v/>
          </cell>
          <cell r="AC5635" t="str">
            <v/>
          </cell>
          <cell r="AD5635" t="str">
            <v/>
          </cell>
          <cell r="AY5635" t="str">
            <v/>
          </cell>
          <cell r="AZ5635" t="str">
            <v/>
          </cell>
          <cell r="BA5635" t="str">
            <v/>
          </cell>
        </row>
        <row r="5636">
          <cell r="B5636" t="str">
            <v>-</v>
          </cell>
          <cell r="E5636" t="str">
            <v/>
          </cell>
          <cell r="G5636" t="str">
            <v/>
          </cell>
          <cell r="J5636" t="str">
            <v/>
          </cell>
          <cell r="O5636" t="str">
            <v/>
          </cell>
          <cell r="P5636" t="str">
            <v/>
          </cell>
          <cell r="Q5636" t="str">
            <v/>
          </cell>
          <cell r="S5636" t="str">
            <v/>
          </cell>
          <cell r="V5636" t="str">
            <v/>
          </cell>
          <cell r="Z5636" t="str">
            <v/>
          </cell>
          <cell r="AA5636" t="str">
            <v/>
          </cell>
          <cell r="AB5636" t="str">
            <v/>
          </cell>
          <cell r="AC5636" t="str">
            <v/>
          </cell>
          <cell r="AD5636" t="str">
            <v/>
          </cell>
          <cell r="AY5636" t="str">
            <v/>
          </cell>
          <cell r="AZ5636" t="str">
            <v/>
          </cell>
          <cell r="BA5636" t="str">
            <v/>
          </cell>
        </row>
        <row r="5637">
          <cell r="B5637" t="str">
            <v>-</v>
          </cell>
          <cell r="E5637" t="str">
            <v/>
          </cell>
          <cell r="G5637" t="str">
            <v/>
          </cell>
          <cell r="J5637" t="str">
            <v/>
          </cell>
          <cell r="O5637" t="str">
            <v/>
          </cell>
          <cell r="P5637" t="str">
            <v/>
          </cell>
          <cell r="Q5637" t="str">
            <v/>
          </cell>
          <cell r="S5637" t="str">
            <v/>
          </cell>
          <cell r="V5637" t="str">
            <v/>
          </cell>
          <cell r="Z5637" t="str">
            <v/>
          </cell>
          <cell r="AA5637" t="str">
            <v/>
          </cell>
          <cell r="AB5637" t="str">
            <v/>
          </cell>
          <cell r="AC5637" t="str">
            <v/>
          </cell>
          <cell r="AD5637" t="str">
            <v/>
          </cell>
          <cell r="AY5637" t="str">
            <v/>
          </cell>
          <cell r="AZ5637" t="str">
            <v/>
          </cell>
          <cell r="BA5637" t="str">
            <v/>
          </cell>
        </row>
        <row r="5638">
          <cell r="B5638" t="str">
            <v>-</v>
          </cell>
          <cell r="E5638" t="str">
            <v/>
          </cell>
          <cell r="G5638" t="str">
            <v/>
          </cell>
          <cell r="J5638" t="str">
            <v/>
          </cell>
          <cell r="O5638" t="str">
            <v/>
          </cell>
          <cell r="P5638" t="str">
            <v/>
          </cell>
          <cell r="Q5638" t="str">
            <v/>
          </cell>
          <cell r="S5638" t="str">
            <v/>
          </cell>
          <cell r="V5638" t="str">
            <v/>
          </cell>
          <cell r="Z5638" t="str">
            <v/>
          </cell>
          <cell r="AA5638" t="str">
            <v/>
          </cell>
          <cell r="AB5638" t="str">
            <v/>
          </cell>
          <cell r="AC5638" t="str">
            <v/>
          </cell>
          <cell r="AD5638" t="str">
            <v/>
          </cell>
          <cell r="AY5638" t="str">
            <v/>
          </cell>
          <cell r="AZ5638" t="str">
            <v/>
          </cell>
          <cell r="BA5638" t="str">
            <v/>
          </cell>
        </row>
        <row r="5639">
          <cell r="B5639" t="str">
            <v>-</v>
          </cell>
          <cell r="E5639" t="str">
            <v/>
          </cell>
          <cell r="G5639" t="str">
            <v/>
          </cell>
          <cell r="J5639" t="str">
            <v/>
          </cell>
          <cell r="O5639" t="str">
            <v/>
          </cell>
          <cell r="P5639" t="str">
            <v/>
          </cell>
          <cell r="Q5639" t="str">
            <v/>
          </cell>
          <cell r="S5639" t="str">
            <v/>
          </cell>
          <cell r="V5639" t="str">
            <v/>
          </cell>
          <cell r="Z5639" t="str">
            <v/>
          </cell>
          <cell r="AA5639" t="str">
            <v/>
          </cell>
          <cell r="AB5639" t="str">
            <v/>
          </cell>
          <cell r="AC5639" t="str">
            <v/>
          </cell>
          <cell r="AD5639" t="str">
            <v/>
          </cell>
          <cell r="AY5639" t="str">
            <v/>
          </cell>
          <cell r="AZ5639" t="str">
            <v/>
          </cell>
          <cell r="BA5639" t="str">
            <v/>
          </cell>
        </row>
        <row r="5640">
          <cell r="B5640" t="str">
            <v>-</v>
          </cell>
          <cell r="E5640" t="str">
            <v/>
          </cell>
          <cell r="G5640" t="str">
            <v/>
          </cell>
          <cell r="J5640" t="str">
            <v/>
          </cell>
          <cell r="O5640" t="str">
            <v/>
          </cell>
          <cell r="P5640" t="str">
            <v/>
          </cell>
          <cell r="Q5640" t="str">
            <v/>
          </cell>
          <cell r="S5640" t="str">
            <v/>
          </cell>
          <cell r="V5640" t="str">
            <v/>
          </cell>
          <cell r="Z5640" t="str">
            <v/>
          </cell>
          <cell r="AA5640" t="str">
            <v/>
          </cell>
          <cell r="AB5640" t="str">
            <v/>
          </cell>
          <cell r="AC5640" t="str">
            <v/>
          </cell>
          <cell r="AD5640" t="str">
            <v/>
          </cell>
          <cell r="AY5640" t="str">
            <v/>
          </cell>
          <cell r="AZ5640" t="str">
            <v/>
          </cell>
          <cell r="BA5640" t="str">
            <v/>
          </cell>
        </row>
        <row r="5641">
          <cell r="B5641" t="str">
            <v>-</v>
          </cell>
          <cell r="E5641" t="str">
            <v/>
          </cell>
          <cell r="G5641" t="str">
            <v/>
          </cell>
          <cell r="J5641" t="str">
            <v/>
          </cell>
          <cell r="O5641" t="str">
            <v/>
          </cell>
          <cell r="P5641" t="str">
            <v/>
          </cell>
          <cell r="Q5641" t="str">
            <v/>
          </cell>
          <cell r="S5641" t="str">
            <v/>
          </cell>
          <cell r="V5641" t="str">
            <v/>
          </cell>
          <cell r="Z5641" t="str">
            <v/>
          </cell>
          <cell r="AA5641" t="str">
            <v/>
          </cell>
          <cell r="AB5641" t="str">
            <v/>
          </cell>
          <cell r="AC5641" t="str">
            <v/>
          </cell>
          <cell r="AD5641" t="str">
            <v/>
          </cell>
          <cell r="AY5641" t="str">
            <v/>
          </cell>
          <cell r="AZ5641" t="str">
            <v/>
          </cell>
          <cell r="BA5641" t="str">
            <v/>
          </cell>
        </row>
        <row r="5642">
          <cell r="B5642" t="str">
            <v>-</v>
          </cell>
          <cell r="E5642" t="str">
            <v/>
          </cell>
          <cell r="G5642" t="str">
            <v/>
          </cell>
          <cell r="J5642" t="str">
            <v/>
          </cell>
          <cell r="O5642" t="str">
            <v/>
          </cell>
          <cell r="P5642" t="str">
            <v/>
          </cell>
          <cell r="Q5642" t="str">
            <v/>
          </cell>
          <cell r="S5642" t="str">
            <v/>
          </cell>
          <cell r="V5642" t="str">
            <v/>
          </cell>
          <cell r="Z5642" t="str">
            <v/>
          </cell>
          <cell r="AA5642" t="str">
            <v/>
          </cell>
          <cell r="AB5642" t="str">
            <v/>
          </cell>
          <cell r="AC5642" t="str">
            <v/>
          </cell>
          <cell r="AD5642" t="str">
            <v/>
          </cell>
          <cell r="AY5642" t="str">
            <v/>
          </cell>
          <cell r="AZ5642" t="str">
            <v/>
          </cell>
          <cell r="BA5642" t="str">
            <v/>
          </cell>
        </row>
        <row r="5643">
          <cell r="B5643" t="str">
            <v>-</v>
          </cell>
          <cell r="E5643" t="str">
            <v/>
          </cell>
          <cell r="G5643" t="str">
            <v/>
          </cell>
          <cell r="J5643" t="str">
            <v/>
          </cell>
          <cell r="O5643" t="str">
            <v/>
          </cell>
          <cell r="P5643" t="str">
            <v/>
          </cell>
          <cell r="Q5643" t="str">
            <v/>
          </cell>
          <cell r="S5643" t="str">
            <v/>
          </cell>
          <cell r="V5643" t="str">
            <v/>
          </cell>
          <cell r="Z5643" t="str">
            <v/>
          </cell>
          <cell r="AA5643" t="str">
            <v/>
          </cell>
          <cell r="AB5643" t="str">
            <v/>
          </cell>
          <cell r="AC5643" t="str">
            <v/>
          </cell>
          <cell r="AD5643" t="str">
            <v/>
          </cell>
          <cell r="AY5643" t="str">
            <v/>
          </cell>
          <cell r="AZ5643" t="str">
            <v/>
          </cell>
          <cell r="BA5643" t="str">
            <v/>
          </cell>
        </row>
        <row r="5644">
          <cell r="B5644" t="str">
            <v>-</v>
          </cell>
          <cell r="E5644" t="str">
            <v/>
          </cell>
          <cell r="G5644" t="str">
            <v/>
          </cell>
          <cell r="J5644" t="str">
            <v/>
          </cell>
          <cell r="O5644" t="str">
            <v/>
          </cell>
          <cell r="P5644" t="str">
            <v/>
          </cell>
          <cell r="Q5644" t="str">
            <v/>
          </cell>
          <cell r="S5644" t="str">
            <v/>
          </cell>
          <cell r="V5644" t="str">
            <v/>
          </cell>
          <cell r="Z5644" t="str">
            <v/>
          </cell>
          <cell r="AA5644" t="str">
            <v/>
          </cell>
          <cell r="AB5644" t="str">
            <v/>
          </cell>
          <cell r="AC5644" t="str">
            <v/>
          </cell>
          <cell r="AD5644" t="str">
            <v/>
          </cell>
          <cell r="AY5644" t="str">
            <v/>
          </cell>
          <cell r="AZ5644" t="str">
            <v/>
          </cell>
          <cell r="BA5644" t="str">
            <v/>
          </cell>
        </row>
        <row r="5645">
          <cell r="B5645" t="str">
            <v>-</v>
          </cell>
          <cell r="E5645" t="str">
            <v/>
          </cell>
          <cell r="G5645" t="str">
            <v/>
          </cell>
          <cell r="J5645" t="str">
            <v/>
          </cell>
          <cell r="O5645" t="str">
            <v/>
          </cell>
          <cell r="P5645" t="str">
            <v/>
          </cell>
          <cell r="Q5645" t="str">
            <v/>
          </cell>
          <cell r="S5645" t="str">
            <v/>
          </cell>
          <cell r="V5645" t="str">
            <v/>
          </cell>
          <cell r="Z5645" t="str">
            <v/>
          </cell>
          <cell r="AA5645" t="str">
            <v/>
          </cell>
          <cell r="AB5645" t="str">
            <v/>
          </cell>
          <cell r="AC5645" t="str">
            <v/>
          </cell>
          <cell r="AD5645" t="str">
            <v/>
          </cell>
          <cell r="AY5645" t="str">
            <v/>
          </cell>
          <cell r="AZ5645" t="str">
            <v/>
          </cell>
          <cell r="BA5645" t="str">
            <v/>
          </cell>
        </row>
        <row r="5646">
          <cell r="B5646" t="str">
            <v>-</v>
          </cell>
          <cell r="E5646" t="str">
            <v/>
          </cell>
          <cell r="G5646" t="str">
            <v/>
          </cell>
          <cell r="J5646" t="str">
            <v/>
          </cell>
          <cell r="O5646" t="str">
            <v/>
          </cell>
          <cell r="P5646" t="str">
            <v/>
          </cell>
          <cell r="Q5646" t="str">
            <v/>
          </cell>
          <cell r="S5646" t="str">
            <v/>
          </cell>
          <cell r="V5646" t="str">
            <v/>
          </cell>
          <cell r="Z5646" t="str">
            <v/>
          </cell>
          <cell r="AA5646" t="str">
            <v/>
          </cell>
          <cell r="AB5646" t="str">
            <v/>
          </cell>
          <cell r="AC5646" t="str">
            <v/>
          </cell>
          <cell r="AD5646" t="str">
            <v/>
          </cell>
          <cell r="AY5646" t="str">
            <v/>
          </cell>
          <cell r="AZ5646" t="str">
            <v/>
          </cell>
          <cell r="BA5646" t="str">
            <v/>
          </cell>
        </row>
        <row r="5647">
          <cell r="B5647" t="str">
            <v>-</v>
          </cell>
          <cell r="E5647" t="str">
            <v/>
          </cell>
          <cell r="G5647" t="str">
            <v/>
          </cell>
          <cell r="J5647" t="str">
            <v/>
          </cell>
          <cell r="O5647" t="str">
            <v/>
          </cell>
          <cell r="P5647" t="str">
            <v/>
          </cell>
          <cell r="Q5647" t="str">
            <v/>
          </cell>
          <cell r="S5647" t="str">
            <v/>
          </cell>
          <cell r="V5647" t="str">
            <v/>
          </cell>
          <cell r="Z5647" t="str">
            <v/>
          </cell>
          <cell r="AA5647" t="str">
            <v/>
          </cell>
          <cell r="AB5647" t="str">
            <v/>
          </cell>
          <cell r="AC5647" t="str">
            <v/>
          </cell>
          <cell r="AD5647" t="str">
            <v/>
          </cell>
          <cell r="AY5647" t="str">
            <v/>
          </cell>
          <cell r="AZ5647" t="str">
            <v/>
          </cell>
          <cell r="BA5647" t="str">
            <v/>
          </cell>
        </row>
        <row r="5648">
          <cell r="B5648" t="str">
            <v>-</v>
          </cell>
          <cell r="E5648" t="str">
            <v/>
          </cell>
          <cell r="G5648" t="str">
            <v/>
          </cell>
          <cell r="J5648" t="str">
            <v/>
          </cell>
          <cell r="O5648" t="str">
            <v/>
          </cell>
          <cell r="P5648" t="str">
            <v/>
          </cell>
          <cell r="Q5648" t="str">
            <v/>
          </cell>
          <cell r="S5648" t="str">
            <v/>
          </cell>
          <cell r="V5648" t="str">
            <v/>
          </cell>
          <cell r="Z5648" t="str">
            <v/>
          </cell>
          <cell r="AA5648" t="str">
            <v/>
          </cell>
          <cell r="AB5648" t="str">
            <v/>
          </cell>
          <cell r="AC5648" t="str">
            <v/>
          </cell>
          <cell r="AD5648" t="str">
            <v/>
          </cell>
          <cell r="AY5648" t="str">
            <v/>
          </cell>
          <cell r="AZ5648" t="str">
            <v/>
          </cell>
          <cell r="BA5648" t="str">
            <v/>
          </cell>
        </row>
        <row r="5649">
          <cell r="B5649" t="str">
            <v>-</v>
          </cell>
          <cell r="E5649" t="str">
            <v/>
          </cell>
          <cell r="G5649" t="str">
            <v/>
          </cell>
          <cell r="J5649" t="str">
            <v/>
          </cell>
          <cell r="O5649" t="str">
            <v/>
          </cell>
          <cell r="P5649" t="str">
            <v/>
          </cell>
          <cell r="Q5649" t="str">
            <v/>
          </cell>
          <cell r="S5649" t="str">
            <v/>
          </cell>
          <cell r="V5649" t="str">
            <v/>
          </cell>
          <cell r="Z5649" t="str">
            <v/>
          </cell>
          <cell r="AA5649" t="str">
            <v/>
          </cell>
          <cell r="AB5649" t="str">
            <v/>
          </cell>
          <cell r="AC5649" t="str">
            <v/>
          </cell>
          <cell r="AD5649" t="str">
            <v/>
          </cell>
          <cell r="AY5649" t="str">
            <v/>
          </cell>
          <cell r="AZ5649" t="str">
            <v/>
          </cell>
          <cell r="BA5649" t="str">
            <v/>
          </cell>
        </row>
        <row r="5650">
          <cell r="B5650" t="str">
            <v>-</v>
          </cell>
          <cell r="E5650" t="str">
            <v/>
          </cell>
          <cell r="G5650" t="str">
            <v/>
          </cell>
          <cell r="J5650" t="str">
            <v/>
          </cell>
          <cell r="O5650" t="str">
            <v/>
          </cell>
          <cell r="P5650" t="str">
            <v/>
          </cell>
          <cell r="Q5650" t="str">
            <v/>
          </cell>
          <cell r="S5650" t="str">
            <v/>
          </cell>
          <cell r="V5650" t="str">
            <v/>
          </cell>
          <cell r="Z5650" t="str">
            <v/>
          </cell>
          <cell r="AA5650" t="str">
            <v/>
          </cell>
          <cell r="AB5650" t="str">
            <v/>
          </cell>
          <cell r="AC5650" t="str">
            <v/>
          </cell>
          <cell r="AD5650" t="str">
            <v/>
          </cell>
          <cell r="AY5650" t="str">
            <v/>
          </cell>
          <cell r="AZ5650" t="str">
            <v/>
          </cell>
          <cell r="BA5650" t="str">
            <v/>
          </cell>
        </row>
        <row r="5651">
          <cell r="B5651" t="str">
            <v>-</v>
          </cell>
          <cell r="E5651" t="str">
            <v/>
          </cell>
          <cell r="G5651" t="str">
            <v/>
          </cell>
          <cell r="J5651" t="str">
            <v/>
          </cell>
          <cell r="O5651" t="str">
            <v/>
          </cell>
          <cell r="P5651" t="str">
            <v/>
          </cell>
          <cell r="Q5651" t="str">
            <v/>
          </cell>
          <cell r="S5651" t="str">
            <v/>
          </cell>
          <cell r="V5651" t="str">
            <v/>
          </cell>
          <cell r="Z5651" t="str">
            <v/>
          </cell>
          <cell r="AA5651" t="str">
            <v/>
          </cell>
          <cell r="AB5651" t="str">
            <v/>
          </cell>
          <cell r="AC5651" t="str">
            <v/>
          </cell>
          <cell r="AD5651" t="str">
            <v/>
          </cell>
          <cell r="AY5651" t="str">
            <v/>
          </cell>
          <cell r="AZ5651" t="str">
            <v/>
          </cell>
          <cell r="BA5651" t="str">
            <v/>
          </cell>
        </row>
        <row r="5652">
          <cell r="B5652" t="str">
            <v>-</v>
          </cell>
          <cell r="E5652" t="str">
            <v/>
          </cell>
          <cell r="G5652" t="str">
            <v/>
          </cell>
          <cell r="J5652" t="str">
            <v/>
          </cell>
          <cell r="O5652" t="str">
            <v/>
          </cell>
          <cell r="P5652" t="str">
            <v/>
          </cell>
          <cell r="Q5652" t="str">
            <v/>
          </cell>
          <cell r="S5652" t="str">
            <v/>
          </cell>
          <cell r="V5652" t="str">
            <v/>
          </cell>
          <cell r="Z5652" t="str">
            <v/>
          </cell>
          <cell r="AA5652" t="str">
            <v/>
          </cell>
          <cell r="AB5652" t="str">
            <v/>
          </cell>
          <cell r="AC5652" t="str">
            <v/>
          </cell>
          <cell r="AD5652" t="str">
            <v/>
          </cell>
          <cell r="AY5652" t="str">
            <v/>
          </cell>
          <cell r="AZ5652" t="str">
            <v/>
          </cell>
          <cell r="BA5652" t="str">
            <v/>
          </cell>
        </row>
        <row r="5653">
          <cell r="B5653" t="str">
            <v>-</v>
          </cell>
          <cell r="E5653" t="str">
            <v/>
          </cell>
          <cell r="G5653" t="str">
            <v/>
          </cell>
          <cell r="J5653" t="str">
            <v/>
          </cell>
          <cell r="O5653" t="str">
            <v/>
          </cell>
          <cell r="P5653" t="str">
            <v/>
          </cell>
          <cell r="Q5653" t="str">
            <v/>
          </cell>
          <cell r="S5653" t="str">
            <v/>
          </cell>
          <cell r="V5653" t="str">
            <v/>
          </cell>
          <cell r="Z5653" t="str">
            <v/>
          </cell>
          <cell r="AA5653" t="str">
            <v/>
          </cell>
          <cell r="AB5653" t="str">
            <v/>
          </cell>
          <cell r="AC5653" t="str">
            <v/>
          </cell>
          <cell r="AD5653" t="str">
            <v/>
          </cell>
          <cell r="AY5653" t="str">
            <v/>
          </cell>
          <cell r="AZ5653" t="str">
            <v/>
          </cell>
          <cell r="BA5653" t="str">
            <v/>
          </cell>
        </row>
        <row r="5654">
          <cell r="B5654" t="str">
            <v>-</v>
          </cell>
          <cell r="E5654" t="str">
            <v/>
          </cell>
          <cell r="G5654" t="str">
            <v/>
          </cell>
          <cell r="J5654" t="str">
            <v/>
          </cell>
          <cell r="O5654" t="str">
            <v/>
          </cell>
          <cell r="P5654" t="str">
            <v/>
          </cell>
          <cell r="Q5654" t="str">
            <v/>
          </cell>
          <cell r="S5654" t="str">
            <v/>
          </cell>
          <cell r="V5654" t="str">
            <v/>
          </cell>
          <cell r="Z5654" t="str">
            <v/>
          </cell>
          <cell r="AA5654" t="str">
            <v/>
          </cell>
          <cell r="AB5654" t="str">
            <v/>
          </cell>
          <cell r="AC5654" t="str">
            <v/>
          </cell>
          <cell r="AD5654" t="str">
            <v/>
          </cell>
          <cell r="AY5654" t="str">
            <v/>
          </cell>
          <cell r="AZ5654" t="str">
            <v/>
          </cell>
          <cell r="BA5654" t="str">
            <v/>
          </cell>
        </row>
        <row r="5655">
          <cell r="B5655" t="str">
            <v>-</v>
          </cell>
          <cell r="E5655" t="str">
            <v/>
          </cell>
          <cell r="G5655" t="str">
            <v/>
          </cell>
          <cell r="J5655" t="str">
            <v/>
          </cell>
          <cell r="O5655" t="str">
            <v/>
          </cell>
          <cell r="P5655" t="str">
            <v/>
          </cell>
          <cell r="Q5655" t="str">
            <v/>
          </cell>
          <cell r="S5655" t="str">
            <v/>
          </cell>
          <cell r="V5655" t="str">
            <v/>
          </cell>
          <cell r="Z5655" t="str">
            <v/>
          </cell>
          <cell r="AA5655" t="str">
            <v/>
          </cell>
          <cell r="AB5655" t="str">
            <v/>
          </cell>
          <cell r="AC5655" t="str">
            <v/>
          </cell>
          <cell r="AD5655" t="str">
            <v/>
          </cell>
          <cell r="AY5655" t="str">
            <v/>
          </cell>
          <cell r="AZ5655" t="str">
            <v/>
          </cell>
          <cell r="BA5655" t="str">
            <v/>
          </cell>
        </row>
        <row r="5656">
          <cell r="B5656" t="str">
            <v>-</v>
          </cell>
          <cell r="E5656" t="str">
            <v/>
          </cell>
          <cell r="G5656" t="str">
            <v/>
          </cell>
          <cell r="J5656" t="str">
            <v/>
          </cell>
          <cell r="O5656" t="str">
            <v/>
          </cell>
          <cell r="P5656" t="str">
            <v/>
          </cell>
          <cell r="Q5656" t="str">
            <v/>
          </cell>
          <cell r="S5656" t="str">
            <v/>
          </cell>
          <cell r="V5656" t="str">
            <v/>
          </cell>
          <cell r="Z5656" t="str">
            <v/>
          </cell>
          <cell r="AA5656" t="str">
            <v/>
          </cell>
          <cell r="AB5656" t="str">
            <v/>
          </cell>
          <cell r="AC5656" t="str">
            <v/>
          </cell>
          <cell r="AD5656" t="str">
            <v/>
          </cell>
          <cell r="AY5656" t="str">
            <v/>
          </cell>
          <cell r="AZ5656" t="str">
            <v/>
          </cell>
          <cell r="BA5656" t="str">
            <v/>
          </cell>
        </row>
        <row r="5657">
          <cell r="B5657" t="str">
            <v>-</v>
          </cell>
          <cell r="E5657" t="str">
            <v/>
          </cell>
          <cell r="G5657" t="str">
            <v/>
          </cell>
          <cell r="J5657" t="str">
            <v/>
          </cell>
          <cell r="O5657" t="str">
            <v/>
          </cell>
          <cell r="P5657" t="str">
            <v/>
          </cell>
          <cell r="Q5657" t="str">
            <v/>
          </cell>
          <cell r="S5657" t="str">
            <v/>
          </cell>
          <cell r="V5657" t="str">
            <v/>
          </cell>
          <cell r="Z5657" t="str">
            <v/>
          </cell>
          <cell r="AA5657" t="str">
            <v/>
          </cell>
          <cell r="AB5657" t="str">
            <v/>
          </cell>
          <cell r="AC5657" t="str">
            <v/>
          </cell>
          <cell r="AD5657" t="str">
            <v/>
          </cell>
          <cell r="AY5657" t="str">
            <v/>
          </cell>
          <cell r="AZ5657" t="str">
            <v/>
          </cell>
          <cell r="BA5657" t="str">
            <v/>
          </cell>
        </row>
        <row r="5658">
          <cell r="B5658" t="str">
            <v>-</v>
          </cell>
          <cell r="E5658" t="str">
            <v/>
          </cell>
          <cell r="G5658" t="str">
            <v/>
          </cell>
          <cell r="J5658" t="str">
            <v/>
          </cell>
          <cell r="O5658" t="str">
            <v/>
          </cell>
          <cell r="P5658" t="str">
            <v/>
          </cell>
          <cell r="Q5658" t="str">
            <v/>
          </cell>
          <cell r="S5658" t="str">
            <v/>
          </cell>
          <cell r="V5658" t="str">
            <v/>
          </cell>
          <cell r="Z5658" t="str">
            <v/>
          </cell>
          <cell r="AA5658" t="str">
            <v/>
          </cell>
          <cell r="AB5658" t="str">
            <v/>
          </cell>
          <cell r="AC5658" t="str">
            <v/>
          </cell>
          <cell r="AD5658" t="str">
            <v/>
          </cell>
          <cell r="AY5658" t="str">
            <v/>
          </cell>
          <cell r="AZ5658" t="str">
            <v/>
          </cell>
          <cell r="BA5658" t="str">
            <v/>
          </cell>
        </row>
        <row r="5659">
          <cell r="B5659" t="str">
            <v>-</v>
          </cell>
          <cell r="E5659" t="str">
            <v/>
          </cell>
          <cell r="G5659" t="str">
            <v/>
          </cell>
          <cell r="J5659" t="str">
            <v/>
          </cell>
          <cell r="O5659" t="str">
            <v/>
          </cell>
          <cell r="P5659" t="str">
            <v/>
          </cell>
          <cell r="Q5659" t="str">
            <v/>
          </cell>
          <cell r="S5659" t="str">
            <v/>
          </cell>
          <cell r="V5659" t="str">
            <v/>
          </cell>
          <cell r="Z5659" t="str">
            <v/>
          </cell>
          <cell r="AA5659" t="str">
            <v/>
          </cell>
          <cell r="AB5659" t="str">
            <v/>
          </cell>
          <cell r="AC5659" t="str">
            <v/>
          </cell>
          <cell r="AD5659" t="str">
            <v/>
          </cell>
          <cell r="AY5659" t="str">
            <v/>
          </cell>
          <cell r="AZ5659" t="str">
            <v/>
          </cell>
          <cell r="BA5659" t="str">
            <v/>
          </cell>
        </row>
        <row r="5660">
          <cell r="B5660" t="str">
            <v>-</v>
          </cell>
          <cell r="E5660" t="str">
            <v/>
          </cell>
          <cell r="G5660" t="str">
            <v/>
          </cell>
          <cell r="J5660" t="str">
            <v/>
          </cell>
          <cell r="O5660" t="str">
            <v/>
          </cell>
          <cell r="P5660" t="str">
            <v/>
          </cell>
          <cell r="Q5660" t="str">
            <v/>
          </cell>
          <cell r="S5660" t="str">
            <v/>
          </cell>
          <cell r="V5660" t="str">
            <v/>
          </cell>
          <cell r="Z5660" t="str">
            <v/>
          </cell>
          <cell r="AA5660" t="str">
            <v/>
          </cell>
          <cell r="AB5660" t="str">
            <v/>
          </cell>
          <cell r="AC5660" t="str">
            <v/>
          </cell>
          <cell r="AD5660" t="str">
            <v/>
          </cell>
          <cell r="AY5660" t="str">
            <v/>
          </cell>
          <cell r="AZ5660" t="str">
            <v/>
          </cell>
          <cell r="BA5660" t="str">
            <v/>
          </cell>
        </row>
        <row r="5661">
          <cell r="B5661" t="str">
            <v>-</v>
          </cell>
          <cell r="E5661" t="str">
            <v/>
          </cell>
          <cell r="G5661" t="str">
            <v/>
          </cell>
          <cell r="J5661" t="str">
            <v/>
          </cell>
          <cell r="O5661" t="str">
            <v/>
          </cell>
          <cell r="P5661" t="str">
            <v/>
          </cell>
          <cell r="Q5661" t="str">
            <v/>
          </cell>
          <cell r="S5661" t="str">
            <v/>
          </cell>
          <cell r="V5661" t="str">
            <v/>
          </cell>
          <cell r="Z5661" t="str">
            <v/>
          </cell>
          <cell r="AA5661" t="str">
            <v/>
          </cell>
          <cell r="AB5661" t="str">
            <v/>
          </cell>
          <cell r="AC5661" t="str">
            <v/>
          </cell>
          <cell r="AD5661" t="str">
            <v/>
          </cell>
          <cell r="AY5661" t="str">
            <v/>
          </cell>
          <cell r="AZ5661" t="str">
            <v/>
          </cell>
          <cell r="BA5661" t="str">
            <v/>
          </cell>
        </row>
        <row r="5662">
          <cell r="B5662" t="str">
            <v>-</v>
          </cell>
          <cell r="E5662" t="str">
            <v/>
          </cell>
          <cell r="G5662" t="str">
            <v/>
          </cell>
          <cell r="J5662" t="str">
            <v/>
          </cell>
          <cell r="O5662" t="str">
            <v/>
          </cell>
          <cell r="P5662" t="str">
            <v/>
          </cell>
          <cell r="Q5662" t="str">
            <v/>
          </cell>
          <cell r="S5662" t="str">
            <v/>
          </cell>
          <cell r="V5662" t="str">
            <v/>
          </cell>
          <cell r="Z5662" t="str">
            <v/>
          </cell>
          <cell r="AA5662" t="str">
            <v/>
          </cell>
          <cell r="AB5662" t="str">
            <v/>
          </cell>
          <cell r="AC5662" t="str">
            <v/>
          </cell>
          <cell r="AD5662" t="str">
            <v/>
          </cell>
          <cell r="AY5662" t="str">
            <v/>
          </cell>
          <cell r="AZ5662" t="str">
            <v/>
          </cell>
          <cell r="BA5662" t="str">
            <v/>
          </cell>
        </row>
        <row r="5663">
          <cell r="B5663" t="str">
            <v>-</v>
          </cell>
          <cell r="E5663" t="str">
            <v/>
          </cell>
          <cell r="G5663" t="str">
            <v/>
          </cell>
          <cell r="J5663" t="str">
            <v/>
          </cell>
          <cell r="O5663" t="str">
            <v/>
          </cell>
          <cell r="P5663" t="str">
            <v/>
          </cell>
          <cell r="Q5663" t="str">
            <v/>
          </cell>
          <cell r="S5663" t="str">
            <v/>
          </cell>
          <cell r="V5663" t="str">
            <v/>
          </cell>
          <cell r="Z5663" t="str">
            <v/>
          </cell>
          <cell r="AA5663" t="str">
            <v/>
          </cell>
          <cell r="AB5663" t="str">
            <v/>
          </cell>
          <cell r="AC5663" t="str">
            <v/>
          </cell>
          <cell r="AD5663" t="str">
            <v/>
          </cell>
          <cell r="AY5663" t="str">
            <v/>
          </cell>
          <cell r="AZ5663" t="str">
            <v/>
          </cell>
          <cell r="BA5663" t="str">
            <v/>
          </cell>
        </row>
        <row r="5664">
          <cell r="B5664" t="str">
            <v>-</v>
          </cell>
          <cell r="E5664" t="str">
            <v/>
          </cell>
          <cell r="G5664" t="str">
            <v/>
          </cell>
          <cell r="J5664" t="str">
            <v/>
          </cell>
          <cell r="O5664" t="str">
            <v/>
          </cell>
          <cell r="P5664" t="str">
            <v/>
          </cell>
          <cell r="Q5664" t="str">
            <v/>
          </cell>
          <cell r="S5664" t="str">
            <v/>
          </cell>
          <cell r="V5664" t="str">
            <v/>
          </cell>
          <cell r="Z5664" t="str">
            <v/>
          </cell>
          <cell r="AA5664" t="str">
            <v/>
          </cell>
          <cell r="AB5664" t="str">
            <v/>
          </cell>
          <cell r="AC5664" t="str">
            <v/>
          </cell>
          <cell r="AD5664" t="str">
            <v/>
          </cell>
          <cell r="AY5664" t="str">
            <v/>
          </cell>
          <cell r="AZ5664" t="str">
            <v/>
          </cell>
          <cell r="BA5664" t="str">
            <v/>
          </cell>
        </row>
        <row r="5665">
          <cell r="B5665" t="str">
            <v>-</v>
          </cell>
          <cell r="E5665" t="str">
            <v/>
          </cell>
          <cell r="G5665" t="str">
            <v/>
          </cell>
          <cell r="J5665" t="str">
            <v/>
          </cell>
          <cell r="O5665" t="str">
            <v/>
          </cell>
          <cell r="P5665" t="str">
            <v/>
          </cell>
          <cell r="Q5665" t="str">
            <v/>
          </cell>
          <cell r="S5665" t="str">
            <v/>
          </cell>
          <cell r="V5665" t="str">
            <v/>
          </cell>
          <cell r="Z5665" t="str">
            <v/>
          </cell>
          <cell r="AA5665" t="str">
            <v/>
          </cell>
          <cell r="AB5665" t="str">
            <v/>
          </cell>
          <cell r="AC5665" t="str">
            <v/>
          </cell>
          <cell r="AD5665" t="str">
            <v/>
          </cell>
          <cell r="AY5665" t="str">
            <v/>
          </cell>
          <cell r="AZ5665" t="str">
            <v/>
          </cell>
          <cell r="BA5665" t="str">
            <v/>
          </cell>
        </row>
        <row r="5666">
          <cell r="B5666" t="str">
            <v>-</v>
          </cell>
          <cell r="E5666" t="str">
            <v/>
          </cell>
          <cell r="G5666" t="str">
            <v/>
          </cell>
          <cell r="J5666" t="str">
            <v/>
          </cell>
          <cell r="O5666" t="str">
            <v/>
          </cell>
          <cell r="P5666" t="str">
            <v/>
          </cell>
          <cell r="Q5666" t="str">
            <v/>
          </cell>
          <cell r="S5666" t="str">
            <v/>
          </cell>
          <cell r="V5666" t="str">
            <v/>
          </cell>
          <cell r="Z5666" t="str">
            <v/>
          </cell>
          <cell r="AA5666" t="str">
            <v/>
          </cell>
          <cell r="AB5666" t="str">
            <v/>
          </cell>
          <cell r="AC5666" t="str">
            <v/>
          </cell>
          <cell r="AD5666" t="str">
            <v/>
          </cell>
          <cell r="AY5666" t="str">
            <v/>
          </cell>
          <cell r="AZ5666" t="str">
            <v/>
          </cell>
          <cell r="BA5666" t="str">
            <v/>
          </cell>
        </row>
        <row r="5667">
          <cell r="B5667" t="str">
            <v>-</v>
          </cell>
          <cell r="E5667" t="str">
            <v/>
          </cell>
          <cell r="G5667" t="str">
            <v/>
          </cell>
          <cell r="J5667" t="str">
            <v/>
          </cell>
          <cell r="O5667" t="str">
            <v/>
          </cell>
          <cell r="P5667" t="str">
            <v/>
          </cell>
          <cell r="Q5667" t="str">
            <v/>
          </cell>
          <cell r="S5667" t="str">
            <v/>
          </cell>
          <cell r="V5667" t="str">
            <v/>
          </cell>
          <cell r="Z5667" t="str">
            <v/>
          </cell>
          <cell r="AA5667" t="str">
            <v/>
          </cell>
          <cell r="AB5667" t="str">
            <v/>
          </cell>
          <cell r="AC5667" t="str">
            <v/>
          </cell>
          <cell r="AD5667" t="str">
            <v/>
          </cell>
          <cell r="AY5667" t="str">
            <v/>
          </cell>
          <cell r="AZ5667" t="str">
            <v/>
          </cell>
          <cell r="BA5667" t="str">
            <v/>
          </cell>
        </row>
        <row r="5668">
          <cell r="B5668" t="str">
            <v>-</v>
          </cell>
          <cell r="E5668" t="str">
            <v/>
          </cell>
          <cell r="G5668" t="str">
            <v/>
          </cell>
          <cell r="J5668" t="str">
            <v/>
          </cell>
          <cell r="O5668" t="str">
            <v/>
          </cell>
          <cell r="P5668" t="str">
            <v/>
          </cell>
          <cell r="Q5668" t="str">
            <v/>
          </cell>
          <cell r="S5668" t="str">
            <v/>
          </cell>
          <cell r="V5668" t="str">
            <v/>
          </cell>
          <cell r="Z5668" t="str">
            <v/>
          </cell>
          <cell r="AA5668" t="str">
            <v/>
          </cell>
          <cell r="AB5668" t="str">
            <v/>
          </cell>
          <cell r="AC5668" t="str">
            <v/>
          </cell>
          <cell r="AD5668" t="str">
            <v/>
          </cell>
          <cell r="AY5668" t="str">
            <v/>
          </cell>
          <cell r="AZ5668" t="str">
            <v/>
          </cell>
          <cell r="BA5668" t="str">
            <v/>
          </cell>
        </row>
        <row r="5669">
          <cell r="B5669" t="str">
            <v>-</v>
          </cell>
          <cell r="E5669" t="str">
            <v/>
          </cell>
          <cell r="G5669" t="str">
            <v/>
          </cell>
          <cell r="J5669" t="str">
            <v/>
          </cell>
          <cell r="O5669" t="str">
            <v/>
          </cell>
          <cell r="P5669" t="str">
            <v/>
          </cell>
          <cell r="Q5669" t="str">
            <v/>
          </cell>
          <cell r="S5669" t="str">
            <v/>
          </cell>
          <cell r="V5669" t="str">
            <v/>
          </cell>
          <cell r="Z5669" t="str">
            <v/>
          </cell>
          <cell r="AA5669" t="str">
            <v/>
          </cell>
          <cell r="AB5669" t="str">
            <v/>
          </cell>
          <cell r="AC5669" t="str">
            <v/>
          </cell>
          <cell r="AD5669" t="str">
            <v/>
          </cell>
          <cell r="AY5669" t="str">
            <v/>
          </cell>
          <cell r="AZ5669" t="str">
            <v/>
          </cell>
          <cell r="BA5669" t="str">
            <v/>
          </cell>
        </row>
        <row r="5670">
          <cell r="B5670" t="str">
            <v>-</v>
          </cell>
          <cell r="E5670" t="str">
            <v/>
          </cell>
          <cell r="G5670" t="str">
            <v/>
          </cell>
          <cell r="J5670" t="str">
            <v/>
          </cell>
          <cell r="O5670" t="str">
            <v/>
          </cell>
          <cell r="P5670" t="str">
            <v/>
          </cell>
          <cell r="Q5670" t="str">
            <v/>
          </cell>
          <cell r="S5670" t="str">
            <v/>
          </cell>
          <cell r="V5670" t="str">
            <v/>
          </cell>
          <cell r="Z5670" t="str">
            <v/>
          </cell>
          <cell r="AA5670" t="str">
            <v/>
          </cell>
          <cell r="AB5670" t="str">
            <v/>
          </cell>
          <cell r="AC5670" t="str">
            <v/>
          </cell>
          <cell r="AD5670" t="str">
            <v/>
          </cell>
          <cell r="AY5670" t="str">
            <v/>
          </cell>
          <cell r="AZ5670" t="str">
            <v/>
          </cell>
          <cell r="BA5670" t="str">
            <v/>
          </cell>
        </row>
        <row r="5671">
          <cell r="B5671" t="str">
            <v>-</v>
          </cell>
          <cell r="E5671" t="str">
            <v/>
          </cell>
          <cell r="G5671" t="str">
            <v/>
          </cell>
          <cell r="J5671" t="str">
            <v/>
          </cell>
          <cell r="O5671" t="str">
            <v/>
          </cell>
          <cell r="P5671" t="str">
            <v/>
          </cell>
          <cell r="Q5671" t="str">
            <v/>
          </cell>
          <cell r="S5671" t="str">
            <v/>
          </cell>
          <cell r="V5671" t="str">
            <v/>
          </cell>
          <cell r="Z5671" t="str">
            <v/>
          </cell>
          <cell r="AA5671" t="str">
            <v/>
          </cell>
          <cell r="AB5671" t="str">
            <v/>
          </cell>
          <cell r="AC5671" t="str">
            <v/>
          </cell>
          <cell r="AD5671" t="str">
            <v/>
          </cell>
          <cell r="AY5671" t="str">
            <v/>
          </cell>
          <cell r="AZ5671" t="str">
            <v/>
          </cell>
          <cell r="BA5671" t="str">
            <v/>
          </cell>
        </row>
        <row r="5672">
          <cell r="B5672" t="str">
            <v>-</v>
          </cell>
          <cell r="E5672" t="str">
            <v/>
          </cell>
          <cell r="G5672" t="str">
            <v/>
          </cell>
          <cell r="J5672" t="str">
            <v/>
          </cell>
          <cell r="O5672" t="str">
            <v/>
          </cell>
          <cell r="P5672" t="str">
            <v/>
          </cell>
          <cell r="Q5672" t="str">
            <v/>
          </cell>
          <cell r="S5672" t="str">
            <v/>
          </cell>
          <cell r="V5672" t="str">
            <v/>
          </cell>
          <cell r="Z5672" t="str">
            <v/>
          </cell>
          <cell r="AA5672" t="str">
            <v/>
          </cell>
          <cell r="AB5672" t="str">
            <v/>
          </cell>
          <cell r="AC5672" t="str">
            <v/>
          </cell>
          <cell r="AD5672" t="str">
            <v/>
          </cell>
          <cell r="AY5672" t="str">
            <v/>
          </cell>
          <cell r="AZ5672" t="str">
            <v/>
          </cell>
          <cell r="BA5672" t="str">
            <v/>
          </cell>
        </row>
        <row r="5673">
          <cell r="B5673" t="str">
            <v>-</v>
          </cell>
          <cell r="E5673" t="str">
            <v/>
          </cell>
          <cell r="G5673" t="str">
            <v/>
          </cell>
          <cell r="J5673" t="str">
            <v/>
          </cell>
          <cell r="O5673" t="str">
            <v/>
          </cell>
          <cell r="P5673" t="str">
            <v/>
          </cell>
          <cell r="Q5673" t="str">
            <v/>
          </cell>
          <cell r="S5673" t="str">
            <v/>
          </cell>
          <cell r="V5673" t="str">
            <v/>
          </cell>
          <cell r="Z5673" t="str">
            <v/>
          </cell>
          <cell r="AA5673" t="str">
            <v/>
          </cell>
          <cell r="AB5673" t="str">
            <v/>
          </cell>
          <cell r="AC5673" t="str">
            <v/>
          </cell>
          <cell r="AD5673" t="str">
            <v/>
          </cell>
          <cell r="AY5673" t="str">
            <v/>
          </cell>
          <cell r="AZ5673" t="str">
            <v/>
          </cell>
          <cell r="BA5673" t="str">
            <v/>
          </cell>
        </row>
        <row r="5674">
          <cell r="B5674" t="str">
            <v>-</v>
          </cell>
          <cell r="E5674" t="str">
            <v/>
          </cell>
          <cell r="G5674" t="str">
            <v/>
          </cell>
          <cell r="J5674" t="str">
            <v/>
          </cell>
          <cell r="O5674" t="str">
            <v/>
          </cell>
          <cell r="P5674" t="str">
            <v/>
          </cell>
          <cell r="Q5674" t="str">
            <v/>
          </cell>
          <cell r="S5674" t="str">
            <v/>
          </cell>
          <cell r="V5674" t="str">
            <v/>
          </cell>
          <cell r="Z5674" t="str">
            <v/>
          </cell>
          <cell r="AA5674" t="str">
            <v/>
          </cell>
          <cell r="AB5674" t="str">
            <v/>
          </cell>
          <cell r="AC5674" t="str">
            <v/>
          </cell>
          <cell r="AD5674" t="str">
            <v/>
          </cell>
          <cell r="AY5674" t="str">
            <v/>
          </cell>
          <cell r="AZ5674" t="str">
            <v/>
          </cell>
          <cell r="BA5674" t="str">
            <v/>
          </cell>
        </row>
        <row r="5675">
          <cell r="B5675" t="str">
            <v>-</v>
          </cell>
          <cell r="E5675" t="str">
            <v/>
          </cell>
          <cell r="G5675" t="str">
            <v/>
          </cell>
          <cell r="J5675" t="str">
            <v/>
          </cell>
          <cell r="O5675" t="str">
            <v/>
          </cell>
          <cell r="P5675" t="str">
            <v/>
          </cell>
          <cell r="Q5675" t="str">
            <v/>
          </cell>
          <cell r="S5675" t="str">
            <v/>
          </cell>
          <cell r="V5675" t="str">
            <v/>
          </cell>
          <cell r="Z5675" t="str">
            <v/>
          </cell>
          <cell r="AA5675" t="str">
            <v/>
          </cell>
          <cell r="AB5675" t="str">
            <v/>
          </cell>
          <cell r="AC5675" t="str">
            <v/>
          </cell>
          <cell r="AD5675" t="str">
            <v/>
          </cell>
          <cell r="AY5675" t="str">
            <v/>
          </cell>
          <cell r="AZ5675" t="str">
            <v/>
          </cell>
          <cell r="BA5675" t="str">
            <v/>
          </cell>
        </row>
        <row r="5676">
          <cell r="B5676" t="str">
            <v>-</v>
          </cell>
          <cell r="E5676" t="str">
            <v/>
          </cell>
          <cell r="G5676" t="str">
            <v/>
          </cell>
          <cell r="J5676" t="str">
            <v/>
          </cell>
          <cell r="O5676" t="str">
            <v/>
          </cell>
          <cell r="P5676" t="str">
            <v/>
          </cell>
          <cell r="Q5676" t="str">
            <v/>
          </cell>
          <cell r="S5676" t="str">
            <v/>
          </cell>
          <cell r="V5676" t="str">
            <v/>
          </cell>
          <cell r="Z5676" t="str">
            <v/>
          </cell>
          <cell r="AA5676" t="str">
            <v/>
          </cell>
          <cell r="AB5676" t="str">
            <v/>
          </cell>
          <cell r="AC5676" t="str">
            <v/>
          </cell>
          <cell r="AD5676" t="str">
            <v/>
          </cell>
          <cell r="AY5676" t="str">
            <v/>
          </cell>
          <cell r="AZ5676" t="str">
            <v/>
          </cell>
          <cell r="BA5676" t="str">
            <v/>
          </cell>
        </row>
        <row r="5677">
          <cell r="B5677" t="str">
            <v>-</v>
          </cell>
          <cell r="E5677" t="str">
            <v/>
          </cell>
          <cell r="G5677" t="str">
            <v/>
          </cell>
          <cell r="J5677" t="str">
            <v/>
          </cell>
          <cell r="O5677" t="str">
            <v/>
          </cell>
          <cell r="P5677" t="str">
            <v/>
          </cell>
          <cell r="Q5677" t="str">
            <v/>
          </cell>
          <cell r="S5677" t="str">
            <v/>
          </cell>
          <cell r="V5677" t="str">
            <v/>
          </cell>
          <cell r="Z5677" t="str">
            <v/>
          </cell>
          <cell r="AA5677" t="str">
            <v/>
          </cell>
          <cell r="AB5677" t="str">
            <v/>
          </cell>
          <cell r="AC5677" t="str">
            <v/>
          </cell>
          <cell r="AD5677" t="str">
            <v/>
          </cell>
          <cell r="AY5677" t="str">
            <v/>
          </cell>
          <cell r="AZ5677" t="str">
            <v/>
          </cell>
          <cell r="BA5677" t="str">
            <v/>
          </cell>
        </row>
        <row r="5678">
          <cell r="B5678" t="str">
            <v>-</v>
          </cell>
          <cell r="E5678" t="str">
            <v/>
          </cell>
          <cell r="G5678" t="str">
            <v/>
          </cell>
          <cell r="J5678" t="str">
            <v/>
          </cell>
          <cell r="O5678" t="str">
            <v/>
          </cell>
          <cell r="P5678" t="str">
            <v/>
          </cell>
          <cell r="Q5678" t="str">
            <v/>
          </cell>
          <cell r="S5678" t="str">
            <v/>
          </cell>
          <cell r="V5678" t="str">
            <v/>
          </cell>
          <cell r="Z5678" t="str">
            <v/>
          </cell>
          <cell r="AA5678" t="str">
            <v/>
          </cell>
          <cell r="AB5678" t="str">
            <v/>
          </cell>
          <cell r="AC5678" t="str">
            <v/>
          </cell>
          <cell r="AD5678" t="str">
            <v/>
          </cell>
          <cell r="AY5678" t="str">
            <v/>
          </cell>
          <cell r="AZ5678" t="str">
            <v/>
          </cell>
          <cell r="BA5678" t="str">
            <v/>
          </cell>
        </row>
        <row r="5679">
          <cell r="B5679" t="str">
            <v>-</v>
          </cell>
          <cell r="E5679" t="str">
            <v/>
          </cell>
          <cell r="G5679" t="str">
            <v/>
          </cell>
          <cell r="J5679" t="str">
            <v/>
          </cell>
          <cell r="O5679" t="str">
            <v/>
          </cell>
          <cell r="P5679" t="str">
            <v/>
          </cell>
          <cell r="Q5679" t="str">
            <v/>
          </cell>
          <cell r="S5679" t="str">
            <v/>
          </cell>
          <cell r="V5679" t="str">
            <v/>
          </cell>
          <cell r="Z5679" t="str">
            <v/>
          </cell>
          <cell r="AA5679" t="str">
            <v/>
          </cell>
          <cell r="AB5679" t="str">
            <v/>
          </cell>
          <cell r="AC5679" t="str">
            <v/>
          </cell>
          <cell r="AD5679" t="str">
            <v/>
          </cell>
          <cell r="AY5679" t="str">
            <v/>
          </cell>
          <cell r="AZ5679" t="str">
            <v/>
          </cell>
          <cell r="BA5679" t="str">
            <v/>
          </cell>
        </row>
        <row r="5680">
          <cell r="B5680" t="str">
            <v>-</v>
          </cell>
          <cell r="E5680" t="str">
            <v/>
          </cell>
          <cell r="G5680" t="str">
            <v/>
          </cell>
          <cell r="J5680" t="str">
            <v/>
          </cell>
          <cell r="O5680" t="str">
            <v/>
          </cell>
          <cell r="P5680" t="str">
            <v/>
          </cell>
          <cell r="Q5680" t="str">
            <v/>
          </cell>
          <cell r="S5680" t="str">
            <v/>
          </cell>
          <cell r="V5680" t="str">
            <v/>
          </cell>
          <cell r="Z5680" t="str">
            <v/>
          </cell>
          <cell r="AA5680" t="str">
            <v/>
          </cell>
          <cell r="AB5680" t="str">
            <v/>
          </cell>
          <cell r="AC5680" t="str">
            <v/>
          </cell>
          <cell r="AD5680" t="str">
            <v/>
          </cell>
          <cell r="AY5680" t="str">
            <v/>
          </cell>
          <cell r="AZ5680" t="str">
            <v/>
          </cell>
          <cell r="BA5680" t="str">
            <v/>
          </cell>
        </row>
        <row r="5681">
          <cell r="B5681" t="str">
            <v>-</v>
          </cell>
          <cell r="E5681" t="str">
            <v/>
          </cell>
          <cell r="G5681" t="str">
            <v/>
          </cell>
          <cell r="J5681" t="str">
            <v/>
          </cell>
          <cell r="O5681" t="str">
            <v/>
          </cell>
          <cell r="P5681" t="str">
            <v/>
          </cell>
          <cell r="Q5681" t="str">
            <v/>
          </cell>
          <cell r="S5681" t="str">
            <v/>
          </cell>
          <cell r="V5681" t="str">
            <v/>
          </cell>
          <cell r="Z5681" t="str">
            <v/>
          </cell>
          <cell r="AA5681" t="str">
            <v/>
          </cell>
          <cell r="AB5681" t="str">
            <v/>
          </cell>
          <cell r="AC5681" t="str">
            <v/>
          </cell>
          <cell r="AD5681" t="str">
            <v/>
          </cell>
          <cell r="AY5681" t="str">
            <v/>
          </cell>
          <cell r="AZ5681" t="str">
            <v/>
          </cell>
          <cell r="BA5681" t="str">
            <v/>
          </cell>
        </row>
        <row r="5682">
          <cell r="B5682" t="str">
            <v>-</v>
          </cell>
          <cell r="E5682" t="str">
            <v/>
          </cell>
          <cell r="G5682" t="str">
            <v/>
          </cell>
          <cell r="J5682" t="str">
            <v/>
          </cell>
          <cell r="O5682" t="str">
            <v/>
          </cell>
          <cell r="P5682" t="str">
            <v/>
          </cell>
          <cell r="Q5682" t="str">
            <v/>
          </cell>
          <cell r="S5682" t="str">
            <v/>
          </cell>
          <cell r="V5682" t="str">
            <v/>
          </cell>
          <cell r="Z5682" t="str">
            <v/>
          </cell>
          <cell r="AA5682" t="str">
            <v/>
          </cell>
          <cell r="AB5682" t="str">
            <v/>
          </cell>
          <cell r="AC5682" t="str">
            <v/>
          </cell>
          <cell r="AD5682" t="str">
            <v/>
          </cell>
          <cell r="AY5682" t="str">
            <v/>
          </cell>
          <cell r="AZ5682" t="str">
            <v/>
          </cell>
          <cell r="BA5682" t="str">
            <v/>
          </cell>
        </row>
        <row r="5683">
          <cell r="B5683" t="str">
            <v>-</v>
          </cell>
          <cell r="E5683" t="str">
            <v/>
          </cell>
          <cell r="G5683" t="str">
            <v/>
          </cell>
          <cell r="J5683" t="str">
            <v/>
          </cell>
          <cell r="O5683" t="str">
            <v/>
          </cell>
          <cell r="P5683" t="str">
            <v/>
          </cell>
          <cell r="Q5683" t="str">
            <v/>
          </cell>
          <cell r="S5683" t="str">
            <v/>
          </cell>
          <cell r="V5683" t="str">
            <v/>
          </cell>
          <cell r="Z5683" t="str">
            <v/>
          </cell>
          <cell r="AA5683" t="str">
            <v/>
          </cell>
          <cell r="AB5683" t="str">
            <v/>
          </cell>
          <cell r="AC5683" t="str">
            <v/>
          </cell>
          <cell r="AD5683" t="str">
            <v/>
          </cell>
          <cell r="AY5683" t="str">
            <v/>
          </cell>
          <cell r="AZ5683" t="str">
            <v/>
          </cell>
          <cell r="BA5683" t="str">
            <v/>
          </cell>
        </row>
        <row r="5684">
          <cell r="B5684" t="str">
            <v>-</v>
          </cell>
          <cell r="E5684" t="str">
            <v/>
          </cell>
          <cell r="G5684" t="str">
            <v/>
          </cell>
          <cell r="J5684" t="str">
            <v/>
          </cell>
          <cell r="O5684" t="str">
            <v/>
          </cell>
          <cell r="P5684" t="str">
            <v/>
          </cell>
          <cell r="Q5684" t="str">
            <v/>
          </cell>
          <cell r="S5684" t="str">
            <v/>
          </cell>
          <cell r="V5684" t="str">
            <v/>
          </cell>
          <cell r="Z5684" t="str">
            <v/>
          </cell>
          <cell r="AA5684" t="str">
            <v/>
          </cell>
          <cell r="AB5684" t="str">
            <v/>
          </cell>
          <cell r="AC5684" t="str">
            <v/>
          </cell>
          <cell r="AD5684" t="str">
            <v/>
          </cell>
          <cell r="AY5684" t="str">
            <v/>
          </cell>
          <cell r="AZ5684" t="str">
            <v/>
          </cell>
          <cell r="BA5684" t="str">
            <v/>
          </cell>
        </row>
        <row r="5685">
          <cell r="B5685" t="str">
            <v>-</v>
          </cell>
          <cell r="E5685" t="str">
            <v/>
          </cell>
          <cell r="G5685" t="str">
            <v/>
          </cell>
          <cell r="J5685" t="str">
            <v/>
          </cell>
          <cell r="O5685" t="str">
            <v/>
          </cell>
          <cell r="P5685" t="str">
            <v/>
          </cell>
          <cell r="Q5685" t="str">
            <v/>
          </cell>
          <cell r="S5685" t="str">
            <v/>
          </cell>
          <cell r="V5685" t="str">
            <v/>
          </cell>
          <cell r="Z5685" t="str">
            <v/>
          </cell>
          <cell r="AA5685" t="str">
            <v/>
          </cell>
          <cell r="AB5685" t="str">
            <v/>
          </cell>
          <cell r="AC5685" t="str">
            <v/>
          </cell>
          <cell r="AD5685" t="str">
            <v/>
          </cell>
          <cell r="AY5685" t="str">
            <v/>
          </cell>
          <cell r="AZ5685" t="str">
            <v/>
          </cell>
          <cell r="BA5685" t="str">
            <v/>
          </cell>
        </row>
        <row r="5686">
          <cell r="B5686" t="str">
            <v>-</v>
          </cell>
          <cell r="E5686" t="str">
            <v/>
          </cell>
          <cell r="G5686" t="str">
            <v/>
          </cell>
          <cell r="J5686" t="str">
            <v/>
          </cell>
          <cell r="O5686" t="str">
            <v/>
          </cell>
          <cell r="P5686" t="str">
            <v/>
          </cell>
          <cell r="Q5686" t="str">
            <v/>
          </cell>
          <cell r="S5686" t="str">
            <v/>
          </cell>
          <cell r="V5686" t="str">
            <v/>
          </cell>
          <cell r="Z5686" t="str">
            <v/>
          </cell>
          <cell r="AA5686" t="str">
            <v/>
          </cell>
          <cell r="AB5686" t="str">
            <v/>
          </cell>
          <cell r="AC5686" t="str">
            <v/>
          </cell>
          <cell r="AD5686" t="str">
            <v/>
          </cell>
          <cell r="AY5686" t="str">
            <v/>
          </cell>
          <cell r="AZ5686" t="str">
            <v/>
          </cell>
          <cell r="BA5686" t="str">
            <v/>
          </cell>
        </row>
        <row r="5687">
          <cell r="B5687" t="str">
            <v>-</v>
          </cell>
          <cell r="E5687" t="str">
            <v/>
          </cell>
          <cell r="G5687" t="str">
            <v/>
          </cell>
          <cell r="J5687" t="str">
            <v/>
          </cell>
          <cell r="O5687" t="str">
            <v/>
          </cell>
          <cell r="P5687" t="str">
            <v/>
          </cell>
          <cell r="Q5687" t="str">
            <v/>
          </cell>
          <cell r="S5687" t="str">
            <v/>
          </cell>
          <cell r="V5687" t="str">
            <v/>
          </cell>
          <cell r="Z5687" t="str">
            <v/>
          </cell>
          <cell r="AA5687" t="str">
            <v/>
          </cell>
          <cell r="AB5687" t="str">
            <v/>
          </cell>
          <cell r="AC5687" t="str">
            <v/>
          </cell>
          <cell r="AD5687" t="str">
            <v/>
          </cell>
          <cell r="AY5687" t="str">
            <v/>
          </cell>
          <cell r="AZ5687" t="str">
            <v/>
          </cell>
          <cell r="BA5687" t="str">
            <v/>
          </cell>
        </row>
        <row r="5688">
          <cell r="B5688" t="str">
            <v>-</v>
          </cell>
          <cell r="E5688" t="str">
            <v/>
          </cell>
          <cell r="G5688" t="str">
            <v/>
          </cell>
          <cell r="J5688" t="str">
            <v/>
          </cell>
          <cell r="O5688" t="str">
            <v/>
          </cell>
          <cell r="P5688" t="str">
            <v/>
          </cell>
          <cell r="Q5688" t="str">
            <v/>
          </cell>
          <cell r="S5688" t="str">
            <v/>
          </cell>
          <cell r="V5688" t="str">
            <v/>
          </cell>
          <cell r="Z5688" t="str">
            <v/>
          </cell>
          <cell r="AA5688" t="str">
            <v/>
          </cell>
          <cell r="AB5688" t="str">
            <v/>
          </cell>
          <cell r="AC5688" t="str">
            <v/>
          </cell>
          <cell r="AD5688" t="str">
            <v/>
          </cell>
          <cell r="AY5688" t="str">
            <v/>
          </cell>
          <cell r="AZ5688" t="str">
            <v/>
          </cell>
          <cell r="BA5688" t="str">
            <v/>
          </cell>
        </row>
        <row r="5689">
          <cell r="B5689" t="str">
            <v>-</v>
          </cell>
          <cell r="E5689" t="str">
            <v/>
          </cell>
          <cell r="G5689" t="str">
            <v/>
          </cell>
          <cell r="J5689" t="str">
            <v/>
          </cell>
          <cell r="O5689" t="str">
            <v/>
          </cell>
          <cell r="P5689" t="str">
            <v/>
          </cell>
          <cell r="Q5689" t="str">
            <v/>
          </cell>
          <cell r="S5689" t="str">
            <v/>
          </cell>
          <cell r="V5689" t="str">
            <v/>
          </cell>
          <cell r="Z5689" t="str">
            <v/>
          </cell>
          <cell r="AA5689" t="str">
            <v/>
          </cell>
          <cell r="AB5689" t="str">
            <v/>
          </cell>
          <cell r="AC5689" t="str">
            <v/>
          </cell>
          <cell r="AD5689" t="str">
            <v/>
          </cell>
          <cell r="AY5689" t="str">
            <v/>
          </cell>
          <cell r="AZ5689" t="str">
            <v/>
          </cell>
          <cell r="BA5689" t="str">
            <v/>
          </cell>
        </row>
        <row r="5690">
          <cell r="B5690" t="str">
            <v>-</v>
          </cell>
          <cell r="E5690" t="str">
            <v/>
          </cell>
          <cell r="G5690" t="str">
            <v/>
          </cell>
          <cell r="J5690" t="str">
            <v/>
          </cell>
          <cell r="O5690" t="str">
            <v/>
          </cell>
          <cell r="P5690" t="str">
            <v/>
          </cell>
          <cell r="Q5690" t="str">
            <v/>
          </cell>
          <cell r="S5690" t="str">
            <v/>
          </cell>
          <cell r="V5690" t="str">
            <v/>
          </cell>
          <cell r="Z5690" t="str">
            <v/>
          </cell>
          <cell r="AA5690" t="str">
            <v/>
          </cell>
          <cell r="AB5690" t="str">
            <v/>
          </cell>
          <cell r="AC5690" t="str">
            <v/>
          </cell>
          <cell r="AD5690" t="str">
            <v/>
          </cell>
          <cell r="AY5690" t="str">
            <v/>
          </cell>
          <cell r="AZ5690" t="str">
            <v/>
          </cell>
          <cell r="BA5690" t="str">
            <v/>
          </cell>
        </row>
        <row r="5691">
          <cell r="B5691" t="str">
            <v>-</v>
          </cell>
          <cell r="E5691" t="str">
            <v/>
          </cell>
          <cell r="G5691" t="str">
            <v/>
          </cell>
          <cell r="J5691" t="str">
            <v/>
          </cell>
          <cell r="O5691" t="str">
            <v/>
          </cell>
          <cell r="P5691" t="str">
            <v/>
          </cell>
          <cell r="Q5691" t="str">
            <v/>
          </cell>
          <cell r="S5691" t="str">
            <v/>
          </cell>
          <cell r="V5691" t="str">
            <v/>
          </cell>
          <cell r="Z5691" t="str">
            <v/>
          </cell>
          <cell r="AA5691" t="str">
            <v/>
          </cell>
          <cell r="AB5691" t="str">
            <v/>
          </cell>
          <cell r="AC5691" t="str">
            <v/>
          </cell>
          <cell r="AD5691" t="str">
            <v/>
          </cell>
          <cell r="AY5691" t="str">
            <v/>
          </cell>
          <cell r="AZ5691" t="str">
            <v/>
          </cell>
          <cell r="BA5691" t="str">
            <v/>
          </cell>
        </row>
        <row r="5692">
          <cell r="B5692" t="str">
            <v>-</v>
          </cell>
          <cell r="E5692" t="str">
            <v/>
          </cell>
          <cell r="G5692" t="str">
            <v/>
          </cell>
          <cell r="J5692" t="str">
            <v/>
          </cell>
          <cell r="O5692" t="str">
            <v/>
          </cell>
          <cell r="P5692" t="str">
            <v/>
          </cell>
          <cell r="Q5692" t="str">
            <v/>
          </cell>
          <cell r="S5692" t="str">
            <v/>
          </cell>
          <cell r="V5692" t="str">
            <v/>
          </cell>
          <cell r="Z5692" t="str">
            <v/>
          </cell>
          <cell r="AA5692" t="str">
            <v/>
          </cell>
          <cell r="AB5692" t="str">
            <v/>
          </cell>
          <cell r="AC5692" t="str">
            <v/>
          </cell>
          <cell r="AD5692" t="str">
            <v/>
          </cell>
          <cell r="AY5692" t="str">
            <v/>
          </cell>
          <cell r="AZ5692" t="str">
            <v/>
          </cell>
          <cell r="BA5692" t="str">
            <v/>
          </cell>
        </row>
        <row r="5693">
          <cell r="B5693" t="str">
            <v>-</v>
          </cell>
          <cell r="E5693" t="str">
            <v/>
          </cell>
          <cell r="G5693" t="str">
            <v/>
          </cell>
          <cell r="J5693" t="str">
            <v/>
          </cell>
          <cell r="O5693" t="str">
            <v/>
          </cell>
          <cell r="P5693" t="str">
            <v/>
          </cell>
          <cell r="Q5693" t="str">
            <v/>
          </cell>
          <cell r="S5693" t="str">
            <v/>
          </cell>
          <cell r="V5693" t="str">
            <v/>
          </cell>
          <cell r="Z5693" t="str">
            <v/>
          </cell>
          <cell r="AA5693" t="str">
            <v/>
          </cell>
          <cell r="AB5693" t="str">
            <v/>
          </cell>
          <cell r="AC5693" t="str">
            <v/>
          </cell>
          <cell r="AD5693" t="str">
            <v/>
          </cell>
          <cell r="AY5693" t="str">
            <v/>
          </cell>
          <cell r="AZ5693" t="str">
            <v/>
          </cell>
          <cell r="BA5693" t="str">
            <v/>
          </cell>
        </row>
        <row r="5694">
          <cell r="B5694" t="str">
            <v>-</v>
          </cell>
          <cell r="E5694" t="str">
            <v/>
          </cell>
          <cell r="G5694" t="str">
            <v/>
          </cell>
          <cell r="J5694" t="str">
            <v/>
          </cell>
          <cell r="O5694" t="str">
            <v/>
          </cell>
          <cell r="P5694" t="str">
            <v/>
          </cell>
          <cell r="Q5694" t="str">
            <v/>
          </cell>
          <cell r="S5694" t="str">
            <v/>
          </cell>
          <cell r="V5694" t="str">
            <v/>
          </cell>
          <cell r="Z5694" t="str">
            <v/>
          </cell>
          <cell r="AA5694" t="str">
            <v/>
          </cell>
          <cell r="AB5694" t="str">
            <v/>
          </cell>
          <cell r="AC5694" t="str">
            <v/>
          </cell>
          <cell r="AD5694" t="str">
            <v/>
          </cell>
          <cell r="AY5694" t="str">
            <v/>
          </cell>
          <cell r="AZ5694" t="str">
            <v/>
          </cell>
          <cell r="BA5694" t="str">
            <v/>
          </cell>
        </row>
        <row r="5695">
          <cell r="B5695" t="str">
            <v>-</v>
          </cell>
          <cell r="E5695" t="str">
            <v/>
          </cell>
          <cell r="G5695" t="str">
            <v/>
          </cell>
          <cell r="J5695" t="str">
            <v/>
          </cell>
          <cell r="O5695" t="str">
            <v/>
          </cell>
          <cell r="P5695" t="str">
            <v/>
          </cell>
          <cell r="Q5695" t="str">
            <v/>
          </cell>
          <cell r="S5695" t="str">
            <v/>
          </cell>
          <cell r="V5695" t="str">
            <v/>
          </cell>
          <cell r="Z5695" t="str">
            <v/>
          </cell>
          <cell r="AA5695" t="str">
            <v/>
          </cell>
          <cell r="AB5695" t="str">
            <v/>
          </cell>
          <cell r="AC5695" t="str">
            <v/>
          </cell>
          <cell r="AD5695" t="str">
            <v/>
          </cell>
          <cell r="AY5695" t="str">
            <v/>
          </cell>
          <cell r="AZ5695" t="str">
            <v/>
          </cell>
          <cell r="BA5695" t="str">
            <v/>
          </cell>
        </row>
        <row r="5696">
          <cell r="B5696" t="str">
            <v>-</v>
          </cell>
          <cell r="E5696" t="str">
            <v/>
          </cell>
          <cell r="G5696" t="str">
            <v/>
          </cell>
          <cell r="J5696" t="str">
            <v/>
          </cell>
          <cell r="O5696" t="str">
            <v/>
          </cell>
          <cell r="P5696" t="str">
            <v/>
          </cell>
          <cell r="Q5696" t="str">
            <v/>
          </cell>
          <cell r="S5696" t="str">
            <v/>
          </cell>
          <cell r="V5696" t="str">
            <v/>
          </cell>
          <cell r="Z5696" t="str">
            <v/>
          </cell>
          <cell r="AA5696" t="str">
            <v/>
          </cell>
          <cell r="AB5696" t="str">
            <v/>
          </cell>
          <cell r="AC5696" t="str">
            <v/>
          </cell>
          <cell r="AD5696" t="str">
            <v/>
          </cell>
          <cell r="AY5696" t="str">
            <v/>
          </cell>
          <cell r="AZ5696" t="str">
            <v/>
          </cell>
          <cell r="BA5696" t="str">
            <v/>
          </cell>
        </row>
        <row r="5697">
          <cell r="B5697" t="str">
            <v>-</v>
          </cell>
          <cell r="E5697" t="str">
            <v/>
          </cell>
          <cell r="G5697" t="str">
            <v/>
          </cell>
          <cell r="J5697" t="str">
            <v/>
          </cell>
          <cell r="O5697" t="str">
            <v/>
          </cell>
          <cell r="P5697" t="str">
            <v/>
          </cell>
          <cell r="Q5697" t="str">
            <v/>
          </cell>
          <cell r="S5697" t="str">
            <v/>
          </cell>
          <cell r="V5697" t="str">
            <v/>
          </cell>
          <cell r="Z5697" t="str">
            <v/>
          </cell>
          <cell r="AA5697" t="str">
            <v/>
          </cell>
          <cell r="AB5697" t="str">
            <v/>
          </cell>
          <cell r="AC5697" t="str">
            <v/>
          </cell>
          <cell r="AD5697" t="str">
            <v/>
          </cell>
          <cell r="AY5697" t="str">
            <v/>
          </cell>
          <cell r="AZ5697" t="str">
            <v/>
          </cell>
          <cell r="BA5697" t="str">
            <v/>
          </cell>
        </row>
        <row r="5698">
          <cell r="B5698" t="str">
            <v>-</v>
          </cell>
          <cell r="E5698" t="str">
            <v/>
          </cell>
          <cell r="G5698" t="str">
            <v/>
          </cell>
          <cell r="J5698" t="str">
            <v/>
          </cell>
          <cell r="O5698" t="str">
            <v/>
          </cell>
          <cell r="P5698" t="str">
            <v/>
          </cell>
          <cell r="Q5698" t="str">
            <v/>
          </cell>
          <cell r="S5698" t="str">
            <v/>
          </cell>
          <cell r="V5698" t="str">
            <v/>
          </cell>
          <cell r="Z5698" t="str">
            <v/>
          </cell>
          <cell r="AA5698" t="str">
            <v/>
          </cell>
          <cell r="AB5698" t="str">
            <v/>
          </cell>
          <cell r="AC5698" t="str">
            <v/>
          </cell>
          <cell r="AD5698" t="str">
            <v/>
          </cell>
          <cell r="AY5698" t="str">
            <v/>
          </cell>
          <cell r="AZ5698" t="str">
            <v/>
          </cell>
          <cell r="BA5698" t="str">
            <v/>
          </cell>
        </row>
        <row r="5699">
          <cell r="B5699" t="str">
            <v>-</v>
          </cell>
          <cell r="E5699" t="str">
            <v/>
          </cell>
          <cell r="G5699" t="str">
            <v/>
          </cell>
          <cell r="J5699" t="str">
            <v/>
          </cell>
          <cell r="O5699" t="str">
            <v/>
          </cell>
          <cell r="P5699" t="str">
            <v/>
          </cell>
          <cell r="Q5699" t="str">
            <v/>
          </cell>
          <cell r="S5699" t="str">
            <v/>
          </cell>
          <cell r="V5699" t="str">
            <v/>
          </cell>
          <cell r="Z5699" t="str">
            <v/>
          </cell>
          <cell r="AA5699" t="str">
            <v/>
          </cell>
          <cell r="AB5699" t="str">
            <v/>
          </cell>
          <cell r="AC5699" t="str">
            <v/>
          </cell>
          <cell r="AD5699" t="str">
            <v/>
          </cell>
          <cell r="AY5699" t="str">
            <v/>
          </cell>
          <cell r="AZ5699" t="str">
            <v/>
          </cell>
          <cell r="BA5699" t="str">
            <v/>
          </cell>
        </row>
        <row r="5700">
          <cell r="B5700" t="str">
            <v>-</v>
          </cell>
          <cell r="E5700" t="str">
            <v/>
          </cell>
          <cell r="G5700" t="str">
            <v/>
          </cell>
          <cell r="J5700" t="str">
            <v/>
          </cell>
          <cell r="O5700" t="str">
            <v/>
          </cell>
          <cell r="P5700" t="str">
            <v/>
          </cell>
          <cell r="Q5700" t="str">
            <v/>
          </cell>
          <cell r="S5700" t="str">
            <v/>
          </cell>
          <cell r="V5700" t="str">
            <v/>
          </cell>
          <cell r="Z5700" t="str">
            <v/>
          </cell>
          <cell r="AA5700" t="str">
            <v/>
          </cell>
          <cell r="AB5700" t="str">
            <v/>
          </cell>
          <cell r="AC5700" t="str">
            <v/>
          </cell>
          <cell r="AD5700" t="str">
            <v/>
          </cell>
          <cell r="AY5700" t="str">
            <v/>
          </cell>
          <cell r="AZ5700" t="str">
            <v/>
          </cell>
          <cell r="BA5700" t="str">
            <v/>
          </cell>
        </row>
        <row r="5701">
          <cell r="B5701" t="str">
            <v>-</v>
          </cell>
          <cell r="E5701" t="str">
            <v/>
          </cell>
          <cell r="G5701" t="str">
            <v/>
          </cell>
          <cell r="J5701" t="str">
            <v/>
          </cell>
          <cell r="O5701" t="str">
            <v/>
          </cell>
          <cell r="P5701" t="str">
            <v/>
          </cell>
          <cell r="Q5701" t="str">
            <v/>
          </cell>
          <cell r="S5701" t="str">
            <v/>
          </cell>
          <cell r="V5701" t="str">
            <v/>
          </cell>
          <cell r="Z5701" t="str">
            <v/>
          </cell>
          <cell r="AA5701" t="str">
            <v/>
          </cell>
          <cell r="AB5701" t="str">
            <v/>
          </cell>
          <cell r="AC5701" t="str">
            <v/>
          </cell>
          <cell r="AD5701" t="str">
            <v/>
          </cell>
          <cell r="AY5701" t="str">
            <v/>
          </cell>
          <cell r="AZ5701" t="str">
            <v/>
          </cell>
          <cell r="BA5701" t="str">
            <v/>
          </cell>
        </row>
        <row r="5702">
          <cell r="B5702" t="str">
            <v>-</v>
          </cell>
          <cell r="E5702" t="str">
            <v/>
          </cell>
          <cell r="G5702" t="str">
            <v/>
          </cell>
          <cell r="J5702" t="str">
            <v/>
          </cell>
          <cell r="O5702" t="str">
            <v/>
          </cell>
          <cell r="P5702" t="str">
            <v/>
          </cell>
          <cell r="Q5702" t="str">
            <v/>
          </cell>
          <cell r="S5702" t="str">
            <v/>
          </cell>
          <cell r="V5702" t="str">
            <v/>
          </cell>
          <cell r="Z5702" t="str">
            <v/>
          </cell>
          <cell r="AA5702" t="str">
            <v/>
          </cell>
          <cell r="AB5702" t="str">
            <v/>
          </cell>
          <cell r="AC5702" t="str">
            <v/>
          </cell>
          <cell r="AD5702" t="str">
            <v/>
          </cell>
          <cell r="AY5702" t="str">
            <v/>
          </cell>
          <cell r="AZ5702" t="str">
            <v/>
          </cell>
          <cell r="BA5702" t="str">
            <v/>
          </cell>
        </row>
        <row r="5703">
          <cell r="B5703" t="str">
            <v>-</v>
          </cell>
          <cell r="E5703" t="str">
            <v/>
          </cell>
          <cell r="G5703" t="str">
            <v/>
          </cell>
          <cell r="J5703" t="str">
            <v/>
          </cell>
          <cell r="O5703" t="str">
            <v/>
          </cell>
          <cell r="P5703" t="str">
            <v/>
          </cell>
          <cell r="Q5703" t="str">
            <v/>
          </cell>
          <cell r="S5703" t="str">
            <v/>
          </cell>
          <cell r="V5703" t="str">
            <v/>
          </cell>
          <cell r="Z5703" t="str">
            <v/>
          </cell>
          <cell r="AA5703" t="str">
            <v/>
          </cell>
          <cell r="AB5703" t="str">
            <v/>
          </cell>
          <cell r="AC5703" t="str">
            <v/>
          </cell>
          <cell r="AD5703" t="str">
            <v/>
          </cell>
          <cell r="AY5703" t="str">
            <v/>
          </cell>
          <cell r="AZ5703" t="str">
            <v/>
          </cell>
          <cell r="BA5703" t="str">
            <v/>
          </cell>
        </row>
        <row r="5704">
          <cell r="B5704" t="str">
            <v>-</v>
          </cell>
          <cell r="E5704" t="str">
            <v/>
          </cell>
          <cell r="G5704" t="str">
            <v/>
          </cell>
          <cell r="J5704" t="str">
            <v/>
          </cell>
          <cell r="O5704" t="str">
            <v/>
          </cell>
          <cell r="P5704" t="str">
            <v/>
          </cell>
          <cell r="Q5704" t="str">
            <v/>
          </cell>
          <cell r="S5704" t="str">
            <v/>
          </cell>
          <cell r="V5704" t="str">
            <v/>
          </cell>
          <cell r="Z5704" t="str">
            <v/>
          </cell>
          <cell r="AA5704" t="str">
            <v/>
          </cell>
          <cell r="AB5704" t="str">
            <v/>
          </cell>
          <cell r="AC5704" t="str">
            <v/>
          </cell>
          <cell r="AD5704" t="str">
            <v/>
          </cell>
          <cell r="AY5704" t="str">
            <v/>
          </cell>
          <cell r="AZ5704" t="str">
            <v/>
          </cell>
          <cell r="BA5704" t="str">
            <v/>
          </cell>
        </row>
        <row r="5705">
          <cell r="B5705" t="str">
            <v>-</v>
          </cell>
          <cell r="E5705" t="str">
            <v/>
          </cell>
          <cell r="G5705" t="str">
            <v/>
          </cell>
          <cell r="J5705" t="str">
            <v/>
          </cell>
          <cell r="O5705" t="str">
            <v/>
          </cell>
          <cell r="P5705" t="str">
            <v/>
          </cell>
          <cell r="Q5705" t="str">
            <v/>
          </cell>
          <cell r="S5705" t="str">
            <v/>
          </cell>
          <cell r="V5705" t="str">
            <v/>
          </cell>
          <cell r="Z5705" t="str">
            <v/>
          </cell>
          <cell r="AA5705" t="str">
            <v/>
          </cell>
          <cell r="AB5705" t="str">
            <v/>
          </cell>
          <cell r="AC5705" t="str">
            <v/>
          </cell>
          <cell r="AD5705" t="str">
            <v/>
          </cell>
          <cell r="AY5705" t="str">
            <v/>
          </cell>
          <cell r="AZ5705" t="str">
            <v/>
          </cell>
          <cell r="BA5705" t="str">
            <v/>
          </cell>
        </row>
        <row r="5706">
          <cell r="B5706" t="str">
            <v>-</v>
          </cell>
          <cell r="E5706" t="str">
            <v/>
          </cell>
          <cell r="G5706" t="str">
            <v/>
          </cell>
          <cell r="J5706" t="str">
            <v/>
          </cell>
          <cell r="O5706" t="str">
            <v/>
          </cell>
          <cell r="P5706" t="str">
            <v/>
          </cell>
          <cell r="Q5706" t="str">
            <v/>
          </cell>
          <cell r="S5706" t="str">
            <v/>
          </cell>
          <cell r="V5706" t="str">
            <v/>
          </cell>
          <cell r="Z5706" t="str">
            <v/>
          </cell>
          <cell r="AA5706" t="str">
            <v/>
          </cell>
          <cell r="AB5706" t="str">
            <v/>
          </cell>
          <cell r="AC5706" t="str">
            <v/>
          </cell>
          <cell r="AD5706" t="str">
            <v/>
          </cell>
          <cell r="AY5706" t="str">
            <v/>
          </cell>
          <cell r="AZ5706" t="str">
            <v/>
          </cell>
          <cell r="BA5706" t="str">
            <v/>
          </cell>
        </row>
        <row r="5707">
          <cell r="B5707" t="str">
            <v>-</v>
          </cell>
          <cell r="E5707" t="str">
            <v/>
          </cell>
          <cell r="G5707" t="str">
            <v/>
          </cell>
          <cell r="J5707" t="str">
            <v/>
          </cell>
          <cell r="O5707" t="str">
            <v/>
          </cell>
          <cell r="P5707" t="str">
            <v/>
          </cell>
          <cell r="Q5707" t="str">
            <v/>
          </cell>
          <cell r="S5707" t="str">
            <v/>
          </cell>
          <cell r="V5707" t="str">
            <v/>
          </cell>
          <cell r="Z5707" t="str">
            <v/>
          </cell>
          <cell r="AA5707" t="str">
            <v/>
          </cell>
          <cell r="AB5707" t="str">
            <v/>
          </cell>
          <cell r="AC5707" t="str">
            <v/>
          </cell>
          <cell r="AD5707" t="str">
            <v/>
          </cell>
          <cell r="AY5707" t="str">
            <v/>
          </cell>
          <cell r="AZ5707" t="str">
            <v/>
          </cell>
          <cell r="BA5707" t="str">
            <v/>
          </cell>
        </row>
        <row r="5708">
          <cell r="B5708" t="str">
            <v>-</v>
          </cell>
          <cell r="E5708" t="str">
            <v/>
          </cell>
          <cell r="G5708" t="str">
            <v/>
          </cell>
          <cell r="J5708" t="str">
            <v/>
          </cell>
          <cell r="O5708" t="str">
            <v/>
          </cell>
          <cell r="P5708" t="str">
            <v/>
          </cell>
          <cell r="Q5708" t="str">
            <v/>
          </cell>
          <cell r="S5708" t="str">
            <v/>
          </cell>
          <cell r="V5708" t="str">
            <v/>
          </cell>
          <cell r="Z5708" t="str">
            <v/>
          </cell>
          <cell r="AA5708" t="str">
            <v/>
          </cell>
          <cell r="AB5708" t="str">
            <v/>
          </cell>
          <cell r="AC5708" t="str">
            <v/>
          </cell>
          <cell r="AD5708" t="str">
            <v/>
          </cell>
          <cell r="AY5708" t="str">
            <v/>
          </cell>
          <cell r="AZ5708" t="str">
            <v/>
          </cell>
          <cell r="BA5708" t="str">
            <v/>
          </cell>
        </row>
        <row r="5709">
          <cell r="B5709" t="str">
            <v>-</v>
          </cell>
          <cell r="E5709" t="str">
            <v/>
          </cell>
          <cell r="G5709" t="str">
            <v/>
          </cell>
          <cell r="J5709" t="str">
            <v/>
          </cell>
          <cell r="O5709" t="str">
            <v/>
          </cell>
          <cell r="P5709" t="str">
            <v/>
          </cell>
          <cell r="Q5709" t="str">
            <v/>
          </cell>
          <cell r="S5709" t="str">
            <v/>
          </cell>
          <cell r="V5709" t="str">
            <v/>
          </cell>
          <cell r="Z5709" t="str">
            <v/>
          </cell>
          <cell r="AA5709" t="str">
            <v/>
          </cell>
          <cell r="AB5709" t="str">
            <v/>
          </cell>
          <cell r="AC5709" t="str">
            <v/>
          </cell>
          <cell r="AD5709" t="str">
            <v/>
          </cell>
          <cell r="AY5709" t="str">
            <v/>
          </cell>
          <cell r="AZ5709" t="str">
            <v/>
          </cell>
          <cell r="BA5709" t="str">
            <v/>
          </cell>
        </row>
        <row r="5710">
          <cell r="B5710" t="str">
            <v>-</v>
          </cell>
          <cell r="E5710" t="str">
            <v/>
          </cell>
          <cell r="G5710" t="str">
            <v/>
          </cell>
          <cell r="J5710" t="str">
            <v/>
          </cell>
          <cell r="O5710" t="str">
            <v/>
          </cell>
          <cell r="P5710" t="str">
            <v/>
          </cell>
          <cell r="Q5710" t="str">
            <v/>
          </cell>
          <cell r="S5710" t="str">
            <v/>
          </cell>
          <cell r="V5710" t="str">
            <v/>
          </cell>
          <cell r="Z5710" t="str">
            <v/>
          </cell>
          <cell r="AA5710" t="str">
            <v/>
          </cell>
          <cell r="AB5710" t="str">
            <v/>
          </cell>
          <cell r="AC5710" t="str">
            <v/>
          </cell>
          <cell r="AD5710" t="str">
            <v/>
          </cell>
          <cell r="AY5710" t="str">
            <v/>
          </cell>
          <cell r="AZ5710" t="str">
            <v/>
          </cell>
          <cell r="BA5710" t="str">
            <v/>
          </cell>
        </row>
        <row r="5711">
          <cell r="B5711" t="str">
            <v>-</v>
          </cell>
          <cell r="E5711" t="str">
            <v/>
          </cell>
          <cell r="G5711" t="str">
            <v/>
          </cell>
          <cell r="J5711" t="str">
            <v/>
          </cell>
          <cell r="O5711" t="str">
            <v/>
          </cell>
          <cell r="P5711" t="str">
            <v/>
          </cell>
          <cell r="Q5711" t="str">
            <v/>
          </cell>
          <cell r="S5711" t="str">
            <v/>
          </cell>
          <cell r="V5711" t="str">
            <v/>
          </cell>
          <cell r="Z5711" t="str">
            <v/>
          </cell>
          <cell r="AA5711" t="str">
            <v/>
          </cell>
          <cell r="AB5711" t="str">
            <v/>
          </cell>
          <cell r="AC5711" t="str">
            <v/>
          </cell>
          <cell r="AD5711" t="str">
            <v/>
          </cell>
          <cell r="AY5711" t="str">
            <v/>
          </cell>
          <cell r="AZ5711" t="str">
            <v/>
          </cell>
          <cell r="BA5711" t="str">
            <v/>
          </cell>
        </row>
        <row r="5712">
          <cell r="B5712" t="str">
            <v>-</v>
          </cell>
          <cell r="E5712" t="str">
            <v/>
          </cell>
          <cell r="G5712" t="str">
            <v/>
          </cell>
          <cell r="J5712" t="str">
            <v/>
          </cell>
          <cell r="O5712" t="str">
            <v/>
          </cell>
          <cell r="P5712" t="str">
            <v/>
          </cell>
          <cell r="Q5712" t="str">
            <v/>
          </cell>
          <cell r="S5712" t="str">
            <v/>
          </cell>
          <cell r="V5712" t="str">
            <v/>
          </cell>
          <cell r="Z5712" t="str">
            <v/>
          </cell>
          <cell r="AA5712" t="str">
            <v/>
          </cell>
          <cell r="AB5712" t="str">
            <v/>
          </cell>
          <cell r="AC5712" t="str">
            <v/>
          </cell>
          <cell r="AD5712" t="str">
            <v/>
          </cell>
          <cell r="AY5712" t="str">
            <v/>
          </cell>
          <cell r="AZ5712" t="str">
            <v/>
          </cell>
          <cell r="BA5712" t="str">
            <v/>
          </cell>
        </row>
        <row r="5713">
          <cell r="B5713" t="str">
            <v>-</v>
          </cell>
          <cell r="E5713" t="str">
            <v/>
          </cell>
          <cell r="G5713" t="str">
            <v/>
          </cell>
          <cell r="J5713" t="str">
            <v/>
          </cell>
          <cell r="O5713" t="str">
            <v/>
          </cell>
          <cell r="P5713" t="str">
            <v/>
          </cell>
          <cell r="Q5713" t="str">
            <v/>
          </cell>
          <cell r="S5713" t="str">
            <v/>
          </cell>
          <cell r="V5713" t="str">
            <v/>
          </cell>
          <cell r="Z5713" t="str">
            <v/>
          </cell>
          <cell r="AA5713" t="str">
            <v/>
          </cell>
          <cell r="AB5713" t="str">
            <v/>
          </cell>
          <cell r="AC5713" t="str">
            <v/>
          </cell>
          <cell r="AD5713" t="str">
            <v/>
          </cell>
          <cell r="AY5713" t="str">
            <v/>
          </cell>
          <cell r="AZ5713" t="str">
            <v/>
          </cell>
          <cell r="BA5713" t="str">
            <v/>
          </cell>
        </row>
        <row r="5714">
          <cell r="B5714" t="str">
            <v>-</v>
          </cell>
          <cell r="E5714" t="str">
            <v/>
          </cell>
          <cell r="G5714" t="str">
            <v/>
          </cell>
          <cell r="J5714" t="str">
            <v/>
          </cell>
          <cell r="O5714" t="str">
            <v/>
          </cell>
          <cell r="P5714" t="str">
            <v/>
          </cell>
          <cell r="Q5714" t="str">
            <v/>
          </cell>
          <cell r="S5714" t="str">
            <v/>
          </cell>
          <cell r="V5714" t="str">
            <v/>
          </cell>
          <cell r="Z5714" t="str">
            <v/>
          </cell>
          <cell r="AA5714" t="str">
            <v/>
          </cell>
          <cell r="AB5714" t="str">
            <v/>
          </cell>
          <cell r="AC5714" t="str">
            <v/>
          </cell>
          <cell r="AD5714" t="str">
            <v/>
          </cell>
          <cell r="AY5714" t="str">
            <v/>
          </cell>
          <cell r="AZ5714" t="str">
            <v/>
          </cell>
          <cell r="BA5714" t="str">
            <v/>
          </cell>
        </row>
        <row r="5715">
          <cell r="B5715" t="str">
            <v>-</v>
          </cell>
          <cell r="E5715" t="str">
            <v/>
          </cell>
          <cell r="G5715" t="str">
            <v/>
          </cell>
          <cell r="J5715" t="str">
            <v/>
          </cell>
          <cell r="O5715" t="str">
            <v/>
          </cell>
          <cell r="P5715" t="str">
            <v/>
          </cell>
          <cell r="Q5715" t="str">
            <v/>
          </cell>
          <cell r="S5715" t="str">
            <v/>
          </cell>
          <cell r="V5715" t="str">
            <v/>
          </cell>
          <cell r="Z5715" t="str">
            <v/>
          </cell>
          <cell r="AA5715" t="str">
            <v/>
          </cell>
          <cell r="AB5715" t="str">
            <v/>
          </cell>
          <cell r="AC5715" t="str">
            <v/>
          </cell>
          <cell r="AD5715" t="str">
            <v/>
          </cell>
          <cell r="AY5715" t="str">
            <v/>
          </cell>
          <cell r="AZ5715" t="str">
            <v/>
          </cell>
          <cell r="BA5715" t="str">
            <v/>
          </cell>
        </row>
        <row r="5716">
          <cell r="B5716" t="str">
            <v>-</v>
          </cell>
          <cell r="E5716" t="str">
            <v/>
          </cell>
          <cell r="G5716" t="str">
            <v/>
          </cell>
          <cell r="J5716" t="str">
            <v/>
          </cell>
          <cell r="O5716" t="str">
            <v/>
          </cell>
          <cell r="P5716" t="str">
            <v/>
          </cell>
          <cell r="Q5716" t="str">
            <v/>
          </cell>
          <cell r="S5716" t="str">
            <v/>
          </cell>
          <cell r="V5716" t="str">
            <v/>
          </cell>
          <cell r="Z5716" t="str">
            <v/>
          </cell>
          <cell r="AA5716" t="str">
            <v/>
          </cell>
          <cell r="AB5716" t="str">
            <v/>
          </cell>
          <cell r="AC5716" t="str">
            <v/>
          </cell>
          <cell r="AD5716" t="str">
            <v/>
          </cell>
          <cell r="AY5716" t="str">
            <v/>
          </cell>
          <cell r="AZ5716" t="str">
            <v/>
          </cell>
          <cell r="BA5716" t="str">
            <v/>
          </cell>
        </row>
        <row r="5717">
          <cell r="B5717" t="str">
            <v>-</v>
          </cell>
          <cell r="E5717" t="str">
            <v/>
          </cell>
          <cell r="G5717" t="str">
            <v/>
          </cell>
          <cell r="J5717" t="str">
            <v/>
          </cell>
          <cell r="O5717" t="str">
            <v/>
          </cell>
          <cell r="P5717" t="str">
            <v/>
          </cell>
          <cell r="Q5717" t="str">
            <v/>
          </cell>
          <cell r="S5717" t="str">
            <v/>
          </cell>
          <cell r="V5717" t="str">
            <v/>
          </cell>
          <cell r="Z5717" t="str">
            <v/>
          </cell>
          <cell r="AA5717" t="str">
            <v/>
          </cell>
          <cell r="AB5717" t="str">
            <v/>
          </cell>
          <cell r="AC5717" t="str">
            <v/>
          </cell>
          <cell r="AD5717" t="str">
            <v/>
          </cell>
          <cell r="AY5717" t="str">
            <v/>
          </cell>
          <cell r="AZ5717" t="str">
            <v/>
          </cell>
          <cell r="BA5717" t="str">
            <v/>
          </cell>
        </row>
        <row r="5718">
          <cell r="B5718" t="str">
            <v>-</v>
          </cell>
          <cell r="E5718" t="str">
            <v/>
          </cell>
          <cell r="G5718" t="str">
            <v/>
          </cell>
          <cell r="J5718" t="str">
            <v/>
          </cell>
          <cell r="O5718" t="str">
            <v/>
          </cell>
          <cell r="P5718" t="str">
            <v/>
          </cell>
          <cell r="Q5718" t="str">
            <v/>
          </cell>
          <cell r="S5718" t="str">
            <v/>
          </cell>
          <cell r="V5718" t="str">
            <v/>
          </cell>
          <cell r="Z5718" t="str">
            <v/>
          </cell>
          <cell r="AA5718" t="str">
            <v/>
          </cell>
          <cell r="AB5718" t="str">
            <v/>
          </cell>
          <cell r="AC5718" t="str">
            <v/>
          </cell>
          <cell r="AD5718" t="str">
            <v/>
          </cell>
          <cell r="AY5718" t="str">
            <v/>
          </cell>
          <cell r="AZ5718" t="str">
            <v/>
          </cell>
          <cell r="BA5718" t="str">
            <v/>
          </cell>
        </row>
        <row r="5719">
          <cell r="B5719" t="str">
            <v>-</v>
          </cell>
          <cell r="E5719" t="str">
            <v/>
          </cell>
          <cell r="G5719" t="str">
            <v/>
          </cell>
          <cell r="J5719" t="str">
            <v/>
          </cell>
          <cell r="O5719" t="str">
            <v/>
          </cell>
          <cell r="P5719" t="str">
            <v/>
          </cell>
          <cell r="Q5719" t="str">
            <v/>
          </cell>
          <cell r="S5719" t="str">
            <v/>
          </cell>
          <cell r="V5719" t="str">
            <v/>
          </cell>
          <cell r="Z5719" t="str">
            <v/>
          </cell>
          <cell r="AA5719" t="str">
            <v/>
          </cell>
          <cell r="AB5719" t="str">
            <v/>
          </cell>
          <cell r="AC5719" t="str">
            <v/>
          </cell>
          <cell r="AD5719" t="str">
            <v/>
          </cell>
          <cell r="AY5719" t="str">
            <v/>
          </cell>
          <cell r="AZ5719" t="str">
            <v/>
          </cell>
          <cell r="BA5719" t="str">
            <v/>
          </cell>
        </row>
        <row r="5720">
          <cell r="B5720" t="str">
            <v>-</v>
          </cell>
          <cell r="E5720" t="str">
            <v/>
          </cell>
          <cell r="G5720" t="str">
            <v/>
          </cell>
          <cell r="J5720" t="str">
            <v/>
          </cell>
          <cell r="O5720" t="str">
            <v/>
          </cell>
          <cell r="P5720" t="str">
            <v/>
          </cell>
          <cell r="Q5720" t="str">
            <v/>
          </cell>
          <cell r="S5720" t="str">
            <v/>
          </cell>
          <cell r="V5720" t="str">
            <v/>
          </cell>
          <cell r="Z5720" t="str">
            <v/>
          </cell>
          <cell r="AA5720" t="str">
            <v/>
          </cell>
          <cell r="AB5720" t="str">
            <v/>
          </cell>
          <cell r="AC5720" t="str">
            <v/>
          </cell>
          <cell r="AD5720" t="str">
            <v/>
          </cell>
          <cell r="AY5720" t="str">
            <v/>
          </cell>
          <cell r="AZ5720" t="str">
            <v/>
          </cell>
          <cell r="BA5720" t="str">
            <v/>
          </cell>
        </row>
        <row r="5721">
          <cell r="B5721" t="str">
            <v>-</v>
          </cell>
          <cell r="E5721" t="str">
            <v/>
          </cell>
          <cell r="G5721" t="str">
            <v/>
          </cell>
          <cell r="J5721" t="str">
            <v/>
          </cell>
          <cell r="O5721" t="str">
            <v/>
          </cell>
          <cell r="P5721" t="str">
            <v/>
          </cell>
          <cell r="Q5721" t="str">
            <v/>
          </cell>
          <cell r="S5721" t="str">
            <v/>
          </cell>
          <cell r="V5721" t="str">
            <v/>
          </cell>
          <cell r="Z5721" t="str">
            <v/>
          </cell>
          <cell r="AA5721" t="str">
            <v/>
          </cell>
          <cell r="AB5721" t="str">
            <v/>
          </cell>
          <cell r="AC5721" t="str">
            <v/>
          </cell>
          <cell r="AD5721" t="str">
            <v/>
          </cell>
          <cell r="AY5721" t="str">
            <v/>
          </cell>
          <cell r="AZ5721" t="str">
            <v/>
          </cell>
          <cell r="BA5721" t="str">
            <v/>
          </cell>
        </row>
        <row r="5722">
          <cell r="B5722" t="str">
            <v>-</v>
          </cell>
          <cell r="E5722" t="str">
            <v/>
          </cell>
          <cell r="G5722" t="str">
            <v/>
          </cell>
          <cell r="J5722" t="str">
            <v/>
          </cell>
          <cell r="O5722" t="str">
            <v/>
          </cell>
          <cell r="P5722" t="str">
            <v/>
          </cell>
          <cell r="Q5722" t="str">
            <v/>
          </cell>
          <cell r="S5722" t="str">
            <v/>
          </cell>
          <cell r="V5722" t="str">
            <v/>
          </cell>
          <cell r="Z5722" t="str">
            <v/>
          </cell>
          <cell r="AA5722" t="str">
            <v/>
          </cell>
          <cell r="AB5722" t="str">
            <v/>
          </cell>
          <cell r="AC5722" t="str">
            <v/>
          </cell>
          <cell r="AD5722" t="str">
            <v/>
          </cell>
          <cell r="AY5722" t="str">
            <v/>
          </cell>
          <cell r="AZ5722" t="str">
            <v/>
          </cell>
          <cell r="BA5722" t="str">
            <v/>
          </cell>
        </row>
        <row r="5723">
          <cell r="B5723" t="str">
            <v>-</v>
          </cell>
          <cell r="E5723" t="str">
            <v/>
          </cell>
          <cell r="G5723" t="str">
            <v/>
          </cell>
          <cell r="J5723" t="str">
            <v/>
          </cell>
          <cell r="O5723" t="str">
            <v/>
          </cell>
          <cell r="P5723" t="str">
            <v/>
          </cell>
          <cell r="Q5723" t="str">
            <v/>
          </cell>
          <cell r="S5723" t="str">
            <v/>
          </cell>
          <cell r="V5723" t="str">
            <v/>
          </cell>
          <cell r="Z5723" t="str">
            <v/>
          </cell>
          <cell r="AA5723" t="str">
            <v/>
          </cell>
          <cell r="AB5723" t="str">
            <v/>
          </cell>
          <cell r="AC5723" t="str">
            <v/>
          </cell>
          <cell r="AD5723" t="str">
            <v/>
          </cell>
          <cell r="AY5723" t="str">
            <v/>
          </cell>
          <cell r="AZ5723" t="str">
            <v/>
          </cell>
          <cell r="BA5723" t="str">
            <v/>
          </cell>
        </row>
        <row r="5724">
          <cell r="B5724" t="str">
            <v>-</v>
          </cell>
          <cell r="E5724" t="str">
            <v/>
          </cell>
          <cell r="G5724" t="str">
            <v/>
          </cell>
          <cell r="J5724" t="str">
            <v/>
          </cell>
          <cell r="O5724" t="str">
            <v/>
          </cell>
          <cell r="P5724" t="str">
            <v/>
          </cell>
          <cell r="Q5724" t="str">
            <v/>
          </cell>
          <cell r="S5724" t="str">
            <v/>
          </cell>
          <cell r="V5724" t="str">
            <v/>
          </cell>
          <cell r="Z5724" t="str">
            <v/>
          </cell>
          <cell r="AA5724" t="str">
            <v/>
          </cell>
          <cell r="AB5724" t="str">
            <v/>
          </cell>
          <cell r="AC5724" t="str">
            <v/>
          </cell>
          <cell r="AD5724" t="str">
            <v/>
          </cell>
          <cell r="AY5724" t="str">
            <v/>
          </cell>
          <cell r="AZ5724" t="str">
            <v/>
          </cell>
          <cell r="BA5724" t="str">
            <v/>
          </cell>
        </row>
        <row r="5725">
          <cell r="B5725" t="str">
            <v>-</v>
          </cell>
          <cell r="E5725" t="str">
            <v/>
          </cell>
          <cell r="G5725" t="str">
            <v/>
          </cell>
          <cell r="J5725" t="str">
            <v/>
          </cell>
          <cell r="O5725" t="str">
            <v/>
          </cell>
          <cell r="P5725" t="str">
            <v/>
          </cell>
          <cell r="Q5725" t="str">
            <v/>
          </cell>
          <cell r="S5725" t="str">
            <v/>
          </cell>
          <cell r="V5725" t="str">
            <v/>
          </cell>
          <cell r="Z5725" t="str">
            <v/>
          </cell>
          <cell r="AA5725" t="str">
            <v/>
          </cell>
          <cell r="AB5725" t="str">
            <v/>
          </cell>
          <cell r="AC5725" t="str">
            <v/>
          </cell>
          <cell r="AD5725" t="str">
            <v/>
          </cell>
          <cell r="AY5725" t="str">
            <v/>
          </cell>
          <cell r="AZ5725" t="str">
            <v/>
          </cell>
          <cell r="BA5725" t="str">
            <v/>
          </cell>
        </row>
        <row r="5726">
          <cell r="B5726" t="str">
            <v>-</v>
          </cell>
          <cell r="E5726" t="str">
            <v/>
          </cell>
          <cell r="G5726" t="str">
            <v/>
          </cell>
          <cell r="J5726" t="str">
            <v/>
          </cell>
          <cell r="O5726" t="str">
            <v/>
          </cell>
          <cell r="P5726" t="str">
            <v/>
          </cell>
          <cell r="Q5726" t="str">
            <v/>
          </cell>
          <cell r="S5726" t="str">
            <v/>
          </cell>
          <cell r="V5726" t="str">
            <v/>
          </cell>
          <cell r="Z5726" t="str">
            <v/>
          </cell>
          <cell r="AA5726" t="str">
            <v/>
          </cell>
          <cell r="AB5726" t="str">
            <v/>
          </cell>
          <cell r="AC5726" t="str">
            <v/>
          </cell>
          <cell r="AD5726" t="str">
            <v/>
          </cell>
          <cell r="AY5726" t="str">
            <v/>
          </cell>
          <cell r="AZ5726" t="str">
            <v/>
          </cell>
          <cell r="BA5726" t="str">
            <v/>
          </cell>
        </row>
        <row r="5727">
          <cell r="B5727" t="str">
            <v>-</v>
          </cell>
          <cell r="E5727" t="str">
            <v/>
          </cell>
          <cell r="G5727" t="str">
            <v/>
          </cell>
          <cell r="J5727" t="str">
            <v/>
          </cell>
          <cell r="O5727" t="str">
            <v/>
          </cell>
          <cell r="P5727" t="str">
            <v/>
          </cell>
          <cell r="Q5727" t="str">
            <v/>
          </cell>
          <cell r="S5727" t="str">
            <v/>
          </cell>
          <cell r="V5727" t="str">
            <v/>
          </cell>
          <cell r="Z5727" t="str">
            <v/>
          </cell>
          <cell r="AA5727" t="str">
            <v/>
          </cell>
          <cell r="AB5727" t="str">
            <v/>
          </cell>
          <cell r="AC5727" t="str">
            <v/>
          </cell>
          <cell r="AD5727" t="str">
            <v/>
          </cell>
          <cell r="AY5727" t="str">
            <v/>
          </cell>
          <cell r="AZ5727" t="str">
            <v/>
          </cell>
          <cell r="BA5727" t="str">
            <v/>
          </cell>
        </row>
        <row r="5728">
          <cell r="B5728" t="str">
            <v>-</v>
          </cell>
          <cell r="E5728" t="str">
            <v/>
          </cell>
          <cell r="G5728" t="str">
            <v/>
          </cell>
          <cell r="J5728" t="str">
            <v/>
          </cell>
          <cell r="O5728" t="str">
            <v/>
          </cell>
          <cell r="P5728" t="str">
            <v/>
          </cell>
          <cell r="Q5728" t="str">
            <v/>
          </cell>
          <cell r="S5728" t="str">
            <v/>
          </cell>
          <cell r="V5728" t="str">
            <v/>
          </cell>
          <cell r="Z5728" t="str">
            <v/>
          </cell>
          <cell r="AA5728" t="str">
            <v/>
          </cell>
          <cell r="AB5728" t="str">
            <v/>
          </cell>
          <cell r="AC5728" t="str">
            <v/>
          </cell>
          <cell r="AD5728" t="str">
            <v/>
          </cell>
          <cell r="AY5728" t="str">
            <v/>
          </cell>
          <cell r="AZ5728" t="str">
            <v/>
          </cell>
          <cell r="BA5728" t="str">
            <v/>
          </cell>
        </row>
        <row r="5729">
          <cell r="B5729" t="str">
            <v>-</v>
          </cell>
          <cell r="E5729" t="str">
            <v/>
          </cell>
          <cell r="G5729" t="str">
            <v/>
          </cell>
          <cell r="J5729" t="str">
            <v/>
          </cell>
          <cell r="O5729" t="str">
            <v/>
          </cell>
          <cell r="P5729" t="str">
            <v/>
          </cell>
          <cell r="Q5729" t="str">
            <v/>
          </cell>
          <cell r="S5729" t="str">
            <v/>
          </cell>
          <cell r="V5729" t="str">
            <v/>
          </cell>
          <cell r="Z5729" t="str">
            <v/>
          </cell>
          <cell r="AA5729" t="str">
            <v/>
          </cell>
          <cell r="AB5729" t="str">
            <v/>
          </cell>
          <cell r="AC5729" t="str">
            <v/>
          </cell>
          <cell r="AD5729" t="str">
            <v/>
          </cell>
          <cell r="AY5729" t="str">
            <v/>
          </cell>
          <cell r="AZ5729" t="str">
            <v/>
          </cell>
          <cell r="BA5729" t="str">
            <v/>
          </cell>
        </row>
        <row r="5730">
          <cell r="B5730" t="str">
            <v>-</v>
          </cell>
          <cell r="E5730" t="str">
            <v/>
          </cell>
          <cell r="G5730" t="str">
            <v/>
          </cell>
          <cell r="J5730" t="str">
            <v/>
          </cell>
          <cell r="O5730" t="str">
            <v/>
          </cell>
          <cell r="P5730" t="str">
            <v/>
          </cell>
          <cell r="Q5730" t="str">
            <v/>
          </cell>
          <cell r="S5730" t="str">
            <v/>
          </cell>
          <cell r="V5730" t="str">
            <v/>
          </cell>
          <cell r="Z5730" t="str">
            <v/>
          </cell>
          <cell r="AA5730" t="str">
            <v/>
          </cell>
          <cell r="AB5730" t="str">
            <v/>
          </cell>
          <cell r="AC5730" t="str">
            <v/>
          </cell>
          <cell r="AD5730" t="str">
            <v/>
          </cell>
          <cell r="AY5730" t="str">
            <v/>
          </cell>
          <cell r="AZ5730" t="str">
            <v/>
          </cell>
          <cell r="BA5730" t="str">
            <v/>
          </cell>
        </row>
        <row r="5731">
          <cell r="B5731" t="str">
            <v>-</v>
          </cell>
          <cell r="E5731" t="str">
            <v/>
          </cell>
          <cell r="G5731" t="str">
            <v/>
          </cell>
          <cell r="J5731" t="str">
            <v/>
          </cell>
          <cell r="O5731" t="str">
            <v/>
          </cell>
          <cell r="P5731" t="str">
            <v/>
          </cell>
          <cell r="Q5731" t="str">
            <v/>
          </cell>
          <cell r="S5731" t="str">
            <v/>
          </cell>
          <cell r="V5731" t="str">
            <v/>
          </cell>
          <cell r="Z5731" t="str">
            <v/>
          </cell>
          <cell r="AA5731" t="str">
            <v/>
          </cell>
          <cell r="AB5731" t="str">
            <v/>
          </cell>
          <cell r="AC5731" t="str">
            <v/>
          </cell>
          <cell r="AD5731" t="str">
            <v/>
          </cell>
          <cell r="AY5731" t="str">
            <v/>
          </cell>
          <cell r="AZ5731" t="str">
            <v/>
          </cell>
          <cell r="BA5731" t="str">
            <v/>
          </cell>
        </row>
        <row r="5732">
          <cell r="B5732" t="str">
            <v>-</v>
          </cell>
          <cell r="E5732" t="str">
            <v/>
          </cell>
          <cell r="G5732" t="str">
            <v/>
          </cell>
          <cell r="J5732" t="str">
            <v/>
          </cell>
          <cell r="O5732" t="str">
            <v/>
          </cell>
          <cell r="P5732" t="str">
            <v/>
          </cell>
          <cell r="Q5732" t="str">
            <v/>
          </cell>
          <cell r="S5732" t="str">
            <v/>
          </cell>
          <cell r="V5732" t="str">
            <v/>
          </cell>
          <cell r="Z5732" t="str">
            <v/>
          </cell>
          <cell r="AA5732" t="str">
            <v/>
          </cell>
          <cell r="AB5732" t="str">
            <v/>
          </cell>
          <cell r="AC5732" t="str">
            <v/>
          </cell>
          <cell r="AD5732" t="str">
            <v/>
          </cell>
          <cell r="AY5732" t="str">
            <v/>
          </cell>
          <cell r="AZ5732" t="str">
            <v/>
          </cell>
          <cell r="BA5732" t="str">
            <v/>
          </cell>
        </row>
        <row r="5733">
          <cell r="B5733" t="str">
            <v>-</v>
          </cell>
          <cell r="E5733" t="str">
            <v/>
          </cell>
          <cell r="G5733" t="str">
            <v/>
          </cell>
          <cell r="J5733" t="str">
            <v/>
          </cell>
          <cell r="O5733" t="str">
            <v/>
          </cell>
          <cell r="P5733" t="str">
            <v/>
          </cell>
          <cell r="Q5733" t="str">
            <v/>
          </cell>
          <cell r="S5733" t="str">
            <v/>
          </cell>
          <cell r="V5733" t="str">
            <v/>
          </cell>
          <cell r="Z5733" t="str">
            <v/>
          </cell>
          <cell r="AA5733" t="str">
            <v/>
          </cell>
          <cell r="AB5733" t="str">
            <v/>
          </cell>
          <cell r="AC5733" t="str">
            <v/>
          </cell>
          <cell r="AD5733" t="str">
            <v/>
          </cell>
          <cell r="AY5733" t="str">
            <v/>
          </cell>
          <cell r="AZ5733" t="str">
            <v/>
          </cell>
          <cell r="BA5733" t="str">
            <v/>
          </cell>
        </row>
        <row r="5734">
          <cell r="B5734" t="str">
            <v>-</v>
          </cell>
          <cell r="E5734" t="str">
            <v/>
          </cell>
          <cell r="G5734" t="str">
            <v/>
          </cell>
          <cell r="J5734" t="str">
            <v/>
          </cell>
          <cell r="O5734" t="str">
            <v/>
          </cell>
          <cell r="P5734" t="str">
            <v/>
          </cell>
          <cell r="Q5734" t="str">
            <v/>
          </cell>
          <cell r="S5734" t="str">
            <v/>
          </cell>
          <cell r="V5734" t="str">
            <v/>
          </cell>
          <cell r="Z5734" t="str">
            <v/>
          </cell>
          <cell r="AA5734" t="str">
            <v/>
          </cell>
          <cell r="AB5734" t="str">
            <v/>
          </cell>
          <cell r="AC5734" t="str">
            <v/>
          </cell>
          <cell r="AD5734" t="str">
            <v/>
          </cell>
          <cell r="AY5734" t="str">
            <v/>
          </cell>
          <cell r="AZ5734" t="str">
            <v/>
          </cell>
          <cell r="BA5734" t="str">
            <v/>
          </cell>
        </row>
        <row r="5735">
          <cell r="B5735" t="str">
            <v>-</v>
          </cell>
          <cell r="E5735" t="str">
            <v/>
          </cell>
          <cell r="G5735" t="str">
            <v/>
          </cell>
          <cell r="J5735" t="str">
            <v/>
          </cell>
          <cell r="O5735" t="str">
            <v/>
          </cell>
          <cell r="P5735" t="str">
            <v/>
          </cell>
          <cell r="Q5735" t="str">
            <v/>
          </cell>
          <cell r="S5735" t="str">
            <v/>
          </cell>
          <cell r="V5735" t="str">
            <v/>
          </cell>
          <cell r="Z5735" t="str">
            <v/>
          </cell>
          <cell r="AA5735" t="str">
            <v/>
          </cell>
          <cell r="AB5735" t="str">
            <v/>
          </cell>
          <cell r="AC5735" t="str">
            <v/>
          </cell>
          <cell r="AD5735" t="str">
            <v/>
          </cell>
          <cell r="AY5735" t="str">
            <v/>
          </cell>
          <cell r="AZ5735" t="str">
            <v/>
          </cell>
          <cell r="BA5735" t="str">
            <v/>
          </cell>
        </row>
        <row r="5736">
          <cell r="B5736" t="str">
            <v>-</v>
          </cell>
          <cell r="E5736" t="str">
            <v/>
          </cell>
          <cell r="G5736" t="str">
            <v/>
          </cell>
          <cell r="J5736" t="str">
            <v/>
          </cell>
          <cell r="O5736" t="str">
            <v/>
          </cell>
          <cell r="P5736" t="str">
            <v/>
          </cell>
          <cell r="Q5736" t="str">
            <v/>
          </cell>
          <cell r="S5736" t="str">
            <v/>
          </cell>
          <cell r="V5736" t="str">
            <v/>
          </cell>
          <cell r="Z5736" t="str">
            <v/>
          </cell>
          <cell r="AA5736" t="str">
            <v/>
          </cell>
          <cell r="AB5736" t="str">
            <v/>
          </cell>
          <cell r="AC5736" t="str">
            <v/>
          </cell>
          <cell r="AD5736" t="str">
            <v/>
          </cell>
          <cell r="AY5736" t="str">
            <v/>
          </cell>
          <cell r="AZ5736" t="str">
            <v/>
          </cell>
          <cell r="BA5736" t="str">
            <v/>
          </cell>
        </row>
        <row r="5737">
          <cell r="B5737" t="str">
            <v>-</v>
          </cell>
          <cell r="E5737" t="str">
            <v/>
          </cell>
          <cell r="G5737" t="str">
            <v/>
          </cell>
          <cell r="J5737" t="str">
            <v/>
          </cell>
          <cell r="O5737" t="str">
            <v/>
          </cell>
          <cell r="P5737" t="str">
            <v/>
          </cell>
          <cell r="Q5737" t="str">
            <v/>
          </cell>
          <cell r="S5737" t="str">
            <v/>
          </cell>
          <cell r="V5737" t="str">
            <v/>
          </cell>
          <cell r="Z5737" t="str">
            <v/>
          </cell>
          <cell r="AA5737" t="str">
            <v/>
          </cell>
          <cell r="AB5737" t="str">
            <v/>
          </cell>
          <cell r="AC5737" t="str">
            <v/>
          </cell>
          <cell r="AD5737" t="str">
            <v/>
          </cell>
          <cell r="AY5737" t="str">
            <v/>
          </cell>
          <cell r="AZ5737" t="str">
            <v/>
          </cell>
          <cell r="BA5737" t="str">
            <v/>
          </cell>
        </row>
        <row r="5738">
          <cell r="B5738" t="str">
            <v>-</v>
          </cell>
          <cell r="E5738" t="str">
            <v/>
          </cell>
          <cell r="G5738" t="str">
            <v/>
          </cell>
          <cell r="J5738" t="str">
            <v/>
          </cell>
          <cell r="O5738" t="str">
            <v/>
          </cell>
          <cell r="P5738" t="str">
            <v/>
          </cell>
          <cell r="Q5738" t="str">
            <v/>
          </cell>
          <cell r="S5738" t="str">
            <v/>
          </cell>
          <cell r="V5738" t="str">
            <v/>
          </cell>
          <cell r="Z5738" t="str">
            <v/>
          </cell>
          <cell r="AA5738" t="str">
            <v/>
          </cell>
          <cell r="AB5738" t="str">
            <v/>
          </cell>
          <cell r="AC5738" t="str">
            <v/>
          </cell>
          <cell r="AD5738" t="str">
            <v/>
          </cell>
          <cell r="AY5738" t="str">
            <v/>
          </cell>
          <cell r="AZ5738" t="str">
            <v/>
          </cell>
          <cell r="BA5738" t="str">
            <v/>
          </cell>
        </row>
        <row r="5739">
          <cell r="B5739" t="str">
            <v>-</v>
          </cell>
          <cell r="E5739" t="str">
            <v/>
          </cell>
          <cell r="G5739" t="str">
            <v/>
          </cell>
          <cell r="J5739" t="str">
            <v/>
          </cell>
          <cell r="O5739" t="str">
            <v/>
          </cell>
          <cell r="P5739" t="str">
            <v/>
          </cell>
          <cell r="Q5739" t="str">
            <v/>
          </cell>
          <cell r="S5739" t="str">
            <v/>
          </cell>
          <cell r="V5739" t="str">
            <v/>
          </cell>
          <cell r="Z5739" t="str">
            <v/>
          </cell>
          <cell r="AA5739" t="str">
            <v/>
          </cell>
          <cell r="AB5739" t="str">
            <v/>
          </cell>
          <cell r="AC5739" t="str">
            <v/>
          </cell>
          <cell r="AD5739" t="str">
            <v/>
          </cell>
          <cell r="AY5739" t="str">
            <v/>
          </cell>
          <cell r="AZ5739" t="str">
            <v/>
          </cell>
          <cell r="BA5739" t="str">
            <v/>
          </cell>
        </row>
        <row r="5740">
          <cell r="B5740" t="str">
            <v>-</v>
          </cell>
          <cell r="E5740" t="str">
            <v/>
          </cell>
          <cell r="G5740" t="str">
            <v/>
          </cell>
          <cell r="J5740" t="str">
            <v/>
          </cell>
          <cell r="O5740" t="str">
            <v/>
          </cell>
          <cell r="P5740" t="str">
            <v/>
          </cell>
          <cell r="Q5740" t="str">
            <v/>
          </cell>
          <cell r="S5740" t="str">
            <v/>
          </cell>
          <cell r="V5740" t="str">
            <v/>
          </cell>
          <cell r="Z5740" t="str">
            <v/>
          </cell>
          <cell r="AA5740" t="str">
            <v/>
          </cell>
          <cell r="AB5740" t="str">
            <v/>
          </cell>
          <cell r="AC5740" t="str">
            <v/>
          </cell>
          <cell r="AD5740" t="str">
            <v/>
          </cell>
          <cell r="AY5740" t="str">
            <v/>
          </cell>
          <cell r="AZ5740" t="str">
            <v/>
          </cell>
          <cell r="BA5740" t="str">
            <v/>
          </cell>
        </row>
        <row r="5741">
          <cell r="B5741" t="str">
            <v>-</v>
          </cell>
          <cell r="E5741" t="str">
            <v/>
          </cell>
          <cell r="G5741" t="str">
            <v/>
          </cell>
          <cell r="J5741" t="str">
            <v/>
          </cell>
          <cell r="O5741" t="str">
            <v/>
          </cell>
          <cell r="P5741" t="str">
            <v/>
          </cell>
          <cell r="Q5741" t="str">
            <v/>
          </cell>
          <cell r="S5741" t="str">
            <v/>
          </cell>
          <cell r="V5741" t="str">
            <v/>
          </cell>
          <cell r="Z5741" t="str">
            <v/>
          </cell>
          <cell r="AA5741" t="str">
            <v/>
          </cell>
          <cell r="AB5741" t="str">
            <v/>
          </cell>
          <cell r="AC5741" t="str">
            <v/>
          </cell>
          <cell r="AD5741" t="str">
            <v/>
          </cell>
          <cell r="AY5741" t="str">
            <v/>
          </cell>
          <cell r="AZ5741" t="str">
            <v/>
          </cell>
          <cell r="BA5741" t="str">
            <v/>
          </cell>
        </row>
        <row r="5742">
          <cell r="B5742" t="str">
            <v>-</v>
          </cell>
          <cell r="E5742" t="str">
            <v/>
          </cell>
          <cell r="G5742" t="str">
            <v/>
          </cell>
          <cell r="J5742" t="str">
            <v/>
          </cell>
          <cell r="O5742" t="str">
            <v/>
          </cell>
          <cell r="P5742" t="str">
            <v/>
          </cell>
          <cell r="Q5742" t="str">
            <v/>
          </cell>
          <cell r="S5742" t="str">
            <v/>
          </cell>
          <cell r="V5742" t="str">
            <v/>
          </cell>
          <cell r="Z5742" t="str">
            <v/>
          </cell>
          <cell r="AA5742" t="str">
            <v/>
          </cell>
          <cell r="AB5742" t="str">
            <v/>
          </cell>
          <cell r="AC5742" t="str">
            <v/>
          </cell>
          <cell r="AD5742" t="str">
            <v/>
          </cell>
          <cell r="AY5742" t="str">
            <v/>
          </cell>
          <cell r="AZ5742" t="str">
            <v/>
          </cell>
          <cell r="BA5742" t="str">
            <v/>
          </cell>
        </row>
        <row r="5743">
          <cell r="B5743" t="str">
            <v>-</v>
          </cell>
          <cell r="E5743" t="str">
            <v/>
          </cell>
          <cell r="G5743" t="str">
            <v/>
          </cell>
          <cell r="J5743" t="str">
            <v/>
          </cell>
          <cell r="O5743" t="str">
            <v/>
          </cell>
          <cell r="P5743" t="str">
            <v/>
          </cell>
          <cell r="Q5743" t="str">
            <v/>
          </cell>
          <cell r="S5743" t="str">
            <v/>
          </cell>
          <cell r="V5743" t="str">
            <v/>
          </cell>
          <cell r="Z5743" t="str">
            <v/>
          </cell>
          <cell r="AA5743" t="str">
            <v/>
          </cell>
          <cell r="AB5743" t="str">
            <v/>
          </cell>
          <cell r="AC5743" t="str">
            <v/>
          </cell>
          <cell r="AD5743" t="str">
            <v/>
          </cell>
          <cell r="AY5743" t="str">
            <v/>
          </cell>
          <cell r="AZ5743" t="str">
            <v/>
          </cell>
          <cell r="BA5743" t="str">
            <v/>
          </cell>
        </row>
        <row r="5744">
          <cell r="B5744" t="str">
            <v>-</v>
          </cell>
          <cell r="E5744" t="str">
            <v/>
          </cell>
          <cell r="G5744" t="str">
            <v/>
          </cell>
          <cell r="J5744" t="str">
            <v/>
          </cell>
          <cell r="O5744" t="str">
            <v/>
          </cell>
          <cell r="P5744" t="str">
            <v/>
          </cell>
          <cell r="Q5744" t="str">
            <v/>
          </cell>
          <cell r="S5744" t="str">
            <v/>
          </cell>
          <cell r="V5744" t="str">
            <v/>
          </cell>
          <cell r="Z5744" t="str">
            <v/>
          </cell>
          <cell r="AA5744" t="str">
            <v/>
          </cell>
          <cell r="AB5744" t="str">
            <v/>
          </cell>
          <cell r="AC5744" t="str">
            <v/>
          </cell>
          <cell r="AD5744" t="str">
            <v/>
          </cell>
          <cell r="AY5744" t="str">
            <v/>
          </cell>
          <cell r="AZ5744" t="str">
            <v/>
          </cell>
          <cell r="BA5744" t="str">
            <v/>
          </cell>
        </row>
        <row r="5745">
          <cell r="B5745" t="str">
            <v>-</v>
          </cell>
          <cell r="E5745" t="str">
            <v/>
          </cell>
          <cell r="G5745" t="str">
            <v/>
          </cell>
          <cell r="J5745" t="str">
            <v/>
          </cell>
          <cell r="O5745" t="str">
            <v/>
          </cell>
          <cell r="P5745" t="str">
            <v/>
          </cell>
          <cell r="Q5745" t="str">
            <v/>
          </cell>
          <cell r="S5745" t="str">
            <v/>
          </cell>
          <cell r="V5745" t="str">
            <v/>
          </cell>
          <cell r="Z5745" t="str">
            <v/>
          </cell>
          <cell r="AA5745" t="str">
            <v/>
          </cell>
          <cell r="AB5745" t="str">
            <v/>
          </cell>
          <cell r="AC5745" t="str">
            <v/>
          </cell>
          <cell r="AD5745" t="str">
            <v/>
          </cell>
          <cell r="AY5745" t="str">
            <v/>
          </cell>
          <cell r="AZ5745" t="str">
            <v/>
          </cell>
          <cell r="BA5745" t="str">
            <v/>
          </cell>
        </row>
        <row r="5746">
          <cell r="B5746" t="str">
            <v>-</v>
          </cell>
          <cell r="E5746" t="str">
            <v/>
          </cell>
          <cell r="G5746" t="str">
            <v/>
          </cell>
          <cell r="J5746" t="str">
            <v/>
          </cell>
          <cell r="O5746" t="str">
            <v/>
          </cell>
          <cell r="P5746" t="str">
            <v/>
          </cell>
          <cell r="Q5746" t="str">
            <v/>
          </cell>
          <cell r="S5746" t="str">
            <v/>
          </cell>
          <cell r="V5746" t="str">
            <v/>
          </cell>
          <cell r="Z5746" t="str">
            <v/>
          </cell>
          <cell r="AA5746" t="str">
            <v/>
          </cell>
          <cell r="AB5746" t="str">
            <v/>
          </cell>
          <cell r="AC5746" t="str">
            <v/>
          </cell>
          <cell r="AD5746" t="str">
            <v/>
          </cell>
          <cell r="AY5746" t="str">
            <v/>
          </cell>
          <cell r="AZ5746" t="str">
            <v/>
          </cell>
          <cell r="BA5746" t="str">
            <v/>
          </cell>
        </row>
        <row r="5747">
          <cell r="B5747" t="str">
            <v>-</v>
          </cell>
          <cell r="E5747" t="str">
            <v/>
          </cell>
          <cell r="G5747" t="str">
            <v/>
          </cell>
          <cell r="J5747" t="str">
            <v/>
          </cell>
          <cell r="O5747" t="str">
            <v/>
          </cell>
          <cell r="P5747" t="str">
            <v/>
          </cell>
          <cell r="Q5747" t="str">
            <v/>
          </cell>
          <cell r="S5747" t="str">
            <v/>
          </cell>
          <cell r="V5747" t="str">
            <v/>
          </cell>
          <cell r="Z5747" t="str">
            <v/>
          </cell>
          <cell r="AA5747" t="str">
            <v/>
          </cell>
          <cell r="AB5747" t="str">
            <v/>
          </cell>
          <cell r="AC5747" t="str">
            <v/>
          </cell>
          <cell r="AD5747" t="str">
            <v/>
          </cell>
          <cell r="AY5747" t="str">
            <v/>
          </cell>
          <cell r="AZ5747" t="str">
            <v/>
          </cell>
          <cell r="BA5747" t="str">
            <v/>
          </cell>
        </row>
        <row r="5748">
          <cell r="B5748" t="str">
            <v>-</v>
          </cell>
          <cell r="E5748" t="str">
            <v/>
          </cell>
          <cell r="G5748" t="str">
            <v/>
          </cell>
          <cell r="J5748" t="str">
            <v/>
          </cell>
          <cell r="O5748" t="str">
            <v/>
          </cell>
          <cell r="P5748" t="str">
            <v/>
          </cell>
          <cell r="Q5748" t="str">
            <v/>
          </cell>
          <cell r="S5748" t="str">
            <v/>
          </cell>
          <cell r="V5748" t="str">
            <v/>
          </cell>
          <cell r="Z5748" t="str">
            <v/>
          </cell>
          <cell r="AA5748" t="str">
            <v/>
          </cell>
          <cell r="AB5748" t="str">
            <v/>
          </cell>
          <cell r="AC5748" t="str">
            <v/>
          </cell>
          <cell r="AD5748" t="str">
            <v/>
          </cell>
          <cell r="AY5748" t="str">
            <v/>
          </cell>
          <cell r="AZ5748" t="str">
            <v/>
          </cell>
          <cell r="BA5748" t="str">
            <v/>
          </cell>
        </row>
        <row r="5749">
          <cell r="B5749" t="str">
            <v>-</v>
          </cell>
          <cell r="E5749" t="str">
            <v/>
          </cell>
          <cell r="G5749" t="str">
            <v/>
          </cell>
          <cell r="J5749" t="str">
            <v/>
          </cell>
          <cell r="O5749" t="str">
            <v/>
          </cell>
          <cell r="P5749" t="str">
            <v/>
          </cell>
          <cell r="Q5749" t="str">
            <v/>
          </cell>
          <cell r="S5749" t="str">
            <v/>
          </cell>
          <cell r="V5749" t="str">
            <v/>
          </cell>
          <cell r="Z5749" t="str">
            <v/>
          </cell>
          <cell r="AA5749" t="str">
            <v/>
          </cell>
          <cell r="AB5749" t="str">
            <v/>
          </cell>
          <cell r="AC5749" t="str">
            <v/>
          </cell>
          <cell r="AD5749" t="str">
            <v/>
          </cell>
          <cell r="AY5749" t="str">
            <v/>
          </cell>
          <cell r="AZ5749" t="str">
            <v/>
          </cell>
          <cell r="BA5749" t="str">
            <v/>
          </cell>
        </row>
        <row r="5750">
          <cell r="B5750" t="str">
            <v>-</v>
          </cell>
          <cell r="E5750" t="str">
            <v/>
          </cell>
          <cell r="G5750" t="str">
            <v/>
          </cell>
          <cell r="J5750" t="str">
            <v/>
          </cell>
          <cell r="O5750" t="str">
            <v/>
          </cell>
          <cell r="P5750" t="str">
            <v/>
          </cell>
          <cell r="Q5750" t="str">
            <v/>
          </cell>
          <cell r="S5750" t="str">
            <v/>
          </cell>
          <cell r="V5750" t="str">
            <v/>
          </cell>
          <cell r="Z5750" t="str">
            <v/>
          </cell>
          <cell r="AA5750" t="str">
            <v/>
          </cell>
          <cell r="AB5750" t="str">
            <v/>
          </cell>
          <cell r="AC5750" t="str">
            <v/>
          </cell>
          <cell r="AD5750" t="str">
            <v/>
          </cell>
          <cell r="AY5750" t="str">
            <v/>
          </cell>
          <cell r="AZ5750" t="str">
            <v/>
          </cell>
          <cell r="BA5750" t="str">
            <v/>
          </cell>
        </row>
        <row r="5751">
          <cell r="B5751" t="str">
            <v>-</v>
          </cell>
          <cell r="E5751" t="str">
            <v/>
          </cell>
          <cell r="G5751" t="str">
            <v/>
          </cell>
          <cell r="J5751" t="str">
            <v/>
          </cell>
          <cell r="O5751" t="str">
            <v/>
          </cell>
          <cell r="P5751" t="str">
            <v/>
          </cell>
          <cell r="Q5751" t="str">
            <v/>
          </cell>
          <cell r="S5751" t="str">
            <v/>
          </cell>
          <cell r="V5751" t="str">
            <v/>
          </cell>
          <cell r="Z5751" t="str">
            <v/>
          </cell>
          <cell r="AA5751" t="str">
            <v/>
          </cell>
          <cell r="AB5751" t="str">
            <v/>
          </cell>
          <cell r="AC5751" t="str">
            <v/>
          </cell>
          <cell r="AD5751" t="str">
            <v/>
          </cell>
          <cell r="AY5751" t="str">
            <v/>
          </cell>
          <cell r="AZ5751" t="str">
            <v/>
          </cell>
          <cell r="BA5751" t="str">
            <v/>
          </cell>
        </row>
        <row r="5752">
          <cell r="B5752" t="str">
            <v>-</v>
          </cell>
          <cell r="E5752" t="str">
            <v/>
          </cell>
          <cell r="G5752" t="str">
            <v/>
          </cell>
          <cell r="J5752" t="str">
            <v/>
          </cell>
          <cell r="O5752" t="str">
            <v/>
          </cell>
          <cell r="P5752" t="str">
            <v/>
          </cell>
          <cell r="Q5752" t="str">
            <v/>
          </cell>
          <cell r="S5752" t="str">
            <v/>
          </cell>
          <cell r="V5752" t="str">
            <v/>
          </cell>
          <cell r="Z5752" t="str">
            <v/>
          </cell>
          <cell r="AA5752" t="str">
            <v/>
          </cell>
          <cell r="AB5752" t="str">
            <v/>
          </cell>
          <cell r="AC5752" t="str">
            <v/>
          </cell>
          <cell r="AD5752" t="str">
            <v/>
          </cell>
          <cell r="AY5752" t="str">
            <v/>
          </cell>
          <cell r="AZ5752" t="str">
            <v/>
          </cell>
          <cell r="BA5752" t="str">
            <v/>
          </cell>
        </row>
        <row r="5753">
          <cell r="B5753" t="str">
            <v>-</v>
          </cell>
          <cell r="E5753" t="str">
            <v/>
          </cell>
          <cell r="G5753" t="str">
            <v/>
          </cell>
          <cell r="J5753" t="str">
            <v/>
          </cell>
          <cell r="O5753" t="str">
            <v/>
          </cell>
          <cell r="P5753" t="str">
            <v/>
          </cell>
          <cell r="Q5753" t="str">
            <v/>
          </cell>
          <cell r="S5753" t="str">
            <v/>
          </cell>
          <cell r="V5753" t="str">
            <v/>
          </cell>
          <cell r="Z5753" t="str">
            <v/>
          </cell>
          <cell r="AA5753" t="str">
            <v/>
          </cell>
          <cell r="AB5753" t="str">
            <v/>
          </cell>
          <cell r="AC5753" t="str">
            <v/>
          </cell>
          <cell r="AD5753" t="str">
            <v/>
          </cell>
          <cell r="AY5753" t="str">
            <v/>
          </cell>
          <cell r="AZ5753" t="str">
            <v/>
          </cell>
          <cell r="BA5753" t="str">
            <v/>
          </cell>
        </row>
        <row r="5754">
          <cell r="B5754" t="str">
            <v>-</v>
          </cell>
          <cell r="E5754" t="str">
            <v/>
          </cell>
          <cell r="G5754" t="str">
            <v/>
          </cell>
          <cell r="J5754" t="str">
            <v/>
          </cell>
          <cell r="O5754" t="str">
            <v/>
          </cell>
          <cell r="P5754" t="str">
            <v/>
          </cell>
          <cell r="Q5754" t="str">
            <v/>
          </cell>
          <cell r="S5754" t="str">
            <v/>
          </cell>
          <cell r="V5754" t="str">
            <v/>
          </cell>
          <cell r="Z5754" t="str">
            <v/>
          </cell>
          <cell r="AA5754" t="str">
            <v/>
          </cell>
          <cell r="AB5754" t="str">
            <v/>
          </cell>
          <cell r="AC5754" t="str">
            <v/>
          </cell>
          <cell r="AD5754" t="str">
            <v/>
          </cell>
          <cell r="AY5754" t="str">
            <v/>
          </cell>
          <cell r="AZ5754" t="str">
            <v/>
          </cell>
          <cell r="BA5754" t="str">
            <v/>
          </cell>
        </row>
        <row r="5755">
          <cell r="B5755" t="str">
            <v>-</v>
          </cell>
          <cell r="E5755" t="str">
            <v/>
          </cell>
          <cell r="G5755" t="str">
            <v/>
          </cell>
          <cell r="J5755" t="str">
            <v/>
          </cell>
          <cell r="O5755" t="str">
            <v/>
          </cell>
          <cell r="P5755" t="str">
            <v/>
          </cell>
          <cell r="Q5755" t="str">
            <v/>
          </cell>
          <cell r="S5755" t="str">
            <v/>
          </cell>
          <cell r="V5755" t="str">
            <v/>
          </cell>
          <cell r="Z5755" t="str">
            <v/>
          </cell>
          <cell r="AA5755" t="str">
            <v/>
          </cell>
          <cell r="AB5755" t="str">
            <v/>
          </cell>
          <cell r="AC5755" t="str">
            <v/>
          </cell>
          <cell r="AD5755" t="str">
            <v/>
          </cell>
          <cell r="AY5755" t="str">
            <v/>
          </cell>
          <cell r="AZ5755" t="str">
            <v/>
          </cell>
          <cell r="BA5755" t="str">
            <v/>
          </cell>
        </row>
        <row r="5756">
          <cell r="B5756" t="str">
            <v>-</v>
          </cell>
          <cell r="E5756" t="str">
            <v/>
          </cell>
          <cell r="G5756" t="str">
            <v/>
          </cell>
          <cell r="J5756" t="str">
            <v/>
          </cell>
          <cell r="O5756" t="str">
            <v/>
          </cell>
          <cell r="P5756" t="str">
            <v/>
          </cell>
          <cell r="Q5756" t="str">
            <v/>
          </cell>
          <cell r="S5756" t="str">
            <v/>
          </cell>
          <cell r="V5756" t="str">
            <v/>
          </cell>
          <cell r="Z5756" t="str">
            <v/>
          </cell>
          <cell r="AA5756" t="str">
            <v/>
          </cell>
          <cell r="AB5756" t="str">
            <v/>
          </cell>
          <cell r="AC5756" t="str">
            <v/>
          </cell>
          <cell r="AD5756" t="str">
            <v/>
          </cell>
          <cell r="AY5756" t="str">
            <v/>
          </cell>
          <cell r="AZ5756" t="str">
            <v/>
          </cell>
          <cell r="BA5756" t="str">
            <v/>
          </cell>
        </row>
        <row r="5757">
          <cell r="B5757" t="str">
            <v>-</v>
          </cell>
          <cell r="E5757" t="str">
            <v/>
          </cell>
          <cell r="G5757" t="str">
            <v/>
          </cell>
          <cell r="J5757" t="str">
            <v/>
          </cell>
          <cell r="O5757" t="str">
            <v/>
          </cell>
          <cell r="P5757" t="str">
            <v/>
          </cell>
          <cell r="Q5757" t="str">
            <v/>
          </cell>
          <cell r="S5757" t="str">
            <v/>
          </cell>
          <cell r="V5757" t="str">
            <v/>
          </cell>
          <cell r="Z5757" t="str">
            <v/>
          </cell>
          <cell r="AA5757" t="str">
            <v/>
          </cell>
          <cell r="AB5757" t="str">
            <v/>
          </cell>
          <cell r="AC5757" t="str">
            <v/>
          </cell>
          <cell r="AD5757" t="str">
            <v/>
          </cell>
          <cell r="AY5757" t="str">
            <v/>
          </cell>
          <cell r="AZ5757" t="str">
            <v/>
          </cell>
          <cell r="BA5757" t="str">
            <v/>
          </cell>
        </row>
        <row r="5758">
          <cell r="B5758" t="str">
            <v>-</v>
          </cell>
          <cell r="E5758" t="str">
            <v/>
          </cell>
          <cell r="G5758" t="str">
            <v/>
          </cell>
          <cell r="J5758" t="str">
            <v/>
          </cell>
          <cell r="O5758" t="str">
            <v/>
          </cell>
          <cell r="P5758" t="str">
            <v/>
          </cell>
          <cell r="Q5758" t="str">
            <v/>
          </cell>
          <cell r="S5758" t="str">
            <v/>
          </cell>
          <cell r="V5758" t="str">
            <v/>
          </cell>
          <cell r="Z5758" t="str">
            <v/>
          </cell>
          <cell r="AA5758" t="str">
            <v/>
          </cell>
          <cell r="AB5758" t="str">
            <v/>
          </cell>
          <cell r="AC5758" t="str">
            <v/>
          </cell>
          <cell r="AD5758" t="str">
            <v/>
          </cell>
          <cell r="AY5758" t="str">
            <v/>
          </cell>
          <cell r="AZ5758" t="str">
            <v/>
          </cell>
          <cell r="BA5758" t="str">
            <v/>
          </cell>
        </row>
        <row r="5759">
          <cell r="B5759" t="str">
            <v>-</v>
          </cell>
          <cell r="E5759" t="str">
            <v/>
          </cell>
          <cell r="G5759" t="str">
            <v/>
          </cell>
          <cell r="J5759" t="str">
            <v/>
          </cell>
          <cell r="O5759" t="str">
            <v/>
          </cell>
          <cell r="P5759" t="str">
            <v/>
          </cell>
          <cell r="Q5759" t="str">
            <v/>
          </cell>
          <cell r="S5759" t="str">
            <v/>
          </cell>
          <cell r="V5759" t="str">
            <v/>
          </cell>
          <cell r="Z5759" t="str">
            <v/>
          </cell>
          <cell r="AA5759" t="str">
            <v/>
          </cell>
          <cell r="AB5759" t="str">
            <v/>
          </cell>
          <cell r="AC5759" t="str">
            <v/>
          </cell>
          <cell r="AD5759" t="str">
            <v/>
          </cell>
          <cell r="AY5759" t="str">
            <v/>
          </cell>
          <cell r="AZ5759" t="str">
            <v/>
          </cell>
          <cell r="BA5759" t="str">
            <v/>
          </cell>
        </row>
        <row r="5760">
          <cell r="B5760" t="str">
            <v>-</v>
          </cell>
          <cell r="E5760" t="str">
            <v/>
          </cell>
          <cell r="G5760" t="str">
            <v/>
          </cell>
          <cell r="J5760" t="str">
            <v/>
          </cell>
          <cell r="O5760" t="str">
            <v/>
          </cell>
          <cell r="P5760" t="str">
            <v/>
          </cell>
          <cell r="Q5760" t="str">
            <v/>
          </cell>
          <cell r="S5760" t="str">
            <v/>
          </cell>
          <cell r="V5760" t="str">
            <v/>
          </cell>
          <cell r="Z5760" t="str">
            <v/>
          </cell>
          <cell r="AA5760" t="str">
            <v/>
          </cell>
          <cell r="AB5760" t="str">
            <v/>
          </cell>
          <cell r="AC5760" t="str">
            <v/>
          </cell>
          <cell r="AD5760" t="str">
            <v/>
          </cell>
          <cell r="AY5760" t="str">
            <v/>
          </cell>
          <cell r="AZ5760" t="str">
            <v/>
          </cell>
          <cell r="BA5760" t="str">
            <v/>
          </cell>
        </row>
        <row r="5761">
          <cell r="B5761" t="str">
            <v>-</v>
          </cell>
          <cell r="E5761" t="str">
            <v/>
          </cell>
          <cell r="G5761" t="str">
            <v/>
          </cell>
          <cell r="J5761" t="str">
            <v/>
          </cell>
          <cell r="O5761" t="str">
            <v/>
          </cell>
          <cell r="P5761" t="str">
            <v/>
          </cell>
          <cell r="Q5761" t="str">
            <v/>
          </cell>
          <cell r="S5761" t="str">
            <v/>
          </cell>
          <cell r="V5761" t="str">
            <v/>
          </cell>
          <cell r="Z5761" t="str">
            <v/>
          </cell>
          <cell r="AA5761" t="str">
            <v/>
          </cell>
          <cell r="AB5761" t="str">
            <v/>
          </cell>
          <cell r="AC5761" t="str">
            <v/>
          </cell>
          <cell r="AD5761" t="str">
            <v/>
          </cell>
          <cell r="AY5761" t="str">
            <v/>
          </cell>
          <cell r="AZ5761" t="str">
            <v/>
          </cell>
          <cell r="BA5761" t="str">
            <v/>
          </cell>
        </row>
        <row r="5762">
          <cell r="B5762" t="str">
            <v>-</v>
          </cell>
          <cell r="E5762" t="str">
            <v/>
          </cell>
          <cell r="G5762" t="str">
            <v/>
          </cell>
          <cell r="J5762" t="str">
            <v/>
          </cell>
          <cell r="O5762" t="str">
            <v/>
          </cell>
          <cell r="P5762" t="str">
            <v/>
          </cell>
          <cell r="Q5762" t="str">
            <v/>
          </cell>
          <cell r="S5762" t="str">
            <v/>
          </cell>
          <cell r="V5762" t="str">
            <v/>
          </cell>
          <cell r="Z5762" t="str">
            <v/>
          </cell>
          <cell r="AA5762" t="str">
            <v/>
          </cell>
          <cell r="AB5762" t="str">
            <v/>
          </cell>
          <cell r="AC5762" t="str">
            <v/>
          </cell>
          <cell r="AD5762" t="str">
            <v/>
          </cell>
          <cell r="AY5762" t="str">
            <v/>
          </cell>
          <cell r="AZ5762" t="str">
            <v/>
          </cell>
          <cell r="BA5762" t="str">
            <v/>
          </cell>
        </row>
        <row r="5763">
          <cell r="B5763" t="str">
            <v>-</v>
          </cell>
          <cell r="E5763" t="str">
            <v/>
          </cell>
          <cell r="G5763" t="str">
            <v/>
          </cell>
          <cell r="J5763" t="str">
            <v/>
          </cell>
          <cell r="O5763" t="str">
            <v/>
          </cell>
          <cell r="P5763" t="str">
            <v/>
          </cell>
          <cell r="Q5763" t="str">
            <v/>
          </cell>
          <cell r="S5763" t="str">
            <v/>
          </cell>
          <cell r="V5763" t="str">
            <v/>
          </cell>
          <cell r="Z5763" t="str">
            <v/>
          </cell>
          <cell r="AA5763" t="str">
            <v/>
          </cell>
          <cell r="AB5763" t="str">
            <v/>
          </cell>
          <cell r="AC5763" t="str">
            <v/>
          </cell>
          <cell r="AD5763" t="str">
            <v/>
          </cell>
          <cell r="AY5763" t="str">
            <v/>
          </cell>
          <cell r="AZ5763" t="str">
            <v/>
          </cell>
          <cell r="BA5763" t="str">
            <v/>
          </cell>
        </row>
        <row r="5764">
          <cell r="B5764" t="str">
            <v>-</v>
          </cell>
          <cell r="E5764" t="str">
            <v/>
          </cell>
          <cell r="G5764" t="str">
            <v/>
          </cell>
          <cell r="J5764" t="str">
            <v/>
          </cell>
          <cell r="O5764" t="str">
            <v/>
          </cell>
          <cell r="P5764" t="str">
            <v/>
          </cell>
          <cell r="Q5764" t="str">
            <v/>
          </cell>
          <cell r="S5764" t="str">
            <v/>
          </cell>
          <cell r="V5764" t="str">
            <v/>
          </cell>
          <cell r="Z5764" t="str">
            <v/>
          </cell>
          <cell r="AA5764" t="str">
            <v/>
          </cell>
          <cell r="AB5764" t="str">
            <v/>
          </cell>
          <cell r="AC5764" t="str">
            <v/>
          </cell>
          <cell r="AD5764" t="str">
            <v/>
          </cell>
          <cell r="AY5764" t="str">
            <v/>
          </cell>
          <cell r="AZ5764" t="str">
            <v/>
          </cell>
          <cell r="BA5764" t="str">
            <v/>
          </cell>
        </row>
        <row r="5765">
          <cell r="B5765" t="str">
            <v>-</v>
          </cell>
          <cell r="E5765" t="str">
            <v/>
          </cell>
          <cell r="G5765" t="str">
            <v/>
          </cell>
          <cell r="J5765" t="str">
            <v/>
          </cell>
          <cell r="O5765" t="str">
            <v/>
          </cell>
          <cell r="P5765" t="str">
            <v/>
          </cell>
          <cell r="Q5765" t="str">
            <v/>
          </cell>
          <cell r="S5765" t="str">
            <v/>
          </cell>
          <cell r="V5765" t="str">
            <v/>
          </cell>
          <cell r="Z5765" t="str">
            <v/>
          </cell>
          <cell r="AA5765" t="str">
            <v/>
          </cell>
          <cell r="AB5765" t="str">
            <v/>
          </cell>
          <cell r="AC5765" t="str">
            <v/>
          </cell>
          <cell r="AD5765" t="str">
            <v/>
          </cell>
          <cell r="AY5765" t="str">
            <v/>
          </cell>
          <cell r="AZ5765" t="str">
            <v/>
          </cell>
          <cell r="BA5765" t="str">
            <v/>
          </cell>
        </row>
        <row r="5766">
          <cell r="B5766" t="str">
            <v>-</v>
          </cell>
          <cell r="E5766" t="str">
            <v/>
          </cell>
          <cell r="G5766" t="str">
            <v/>
          </cell>
          <cell r="J5766" t="str">
            <v/>
          </cell>
          <cell r="O5766" t="str">
            <v/>
          </cell>
          <cell r="P5766" t="str">
            <v/>
          </cell>
          <cell r="Q5766" t="str">
            <v/>
          </cell>
          <cell r="S5766" t="str">
            <v/>
          </cell>
          <cell r="V5766" t="str">
            <v/>
          </cell>
          <cell r="Z5766" t="str">
            <v/>
          </cell>
          <cell r="AA5766" t="str">
            <v/>
          </cell>
          <cell r="AB5766" t="str">
            <v/>
          </cell>
          <cell r="AC5766" t="str">
            <v/>
          </cell>
          <cell r="AD5766" t="str">
            <v/>
          </cell>
          <cell r="AY5766" t="str">
            <v/>
          </cell>
          <cell r="AZ5766" t="str">
            <v/>
          </cell>
          <cell r="BA5766" t="str">
            <v/>
          </cell>
        </row>
        <row r="5767">
          <cell r="B5767" t="str">
            <v>-</v>
          </cell>
          <cell r="E5767" t="str">
            <v/>
          </cell>
          <cell r="G5767" t="str">
            <v/>
          </cell>
          <cell r="J5767" t="str">
            <v/>
          </cell>
          <cell r="O5767" t="str">
            <v/>
          </cell>
          <cell r="P5767" t="str">
            <v/>
          </cell>
          <cell r="Q5767" t="str">
            <v/>
          </cell>
          <cell r="S5767" t="str">
            <v/>
          </cell>
          <cell r="V5767" t="str">
            <v/>
          </cell>
          <cell r="Z5767" t="str">
            <v/>
          </cell>
          <cell r="AA5767" t="str">
            <v/>
          </cell>
          <cell r="AB5767" t="str">
            <v/>
          </cell>
          <cell r="AC5767" t="str">
            <v/>
          </cell>
          <cell r="AD5767" t="str">
            <v/>
          </cell>
          <cell r="AY5767" t="str">
            <v/>
          </cell>
          <cell r="AZ5767" t="str">
            <v/>
          </cell>
          <cell r="BA5767" t="str">
            <v/>
          </cell>
        </row>
        <row r="5768">
          <cell r="B5768" t="str">
            <v>-</v>
          </cell>
          <cell r="E5768" t="str">
            <v/>
          </cell>
          <cell r="G5768" t="str">
            <v/>
          </cell>
          <cell r="J5768" t="str">
            <v/>
          </cell>
          <cell r="O5768" t="str">
            <v/>
          </cell>
          <cell r="P5768" t="str">
            <v/>
          </cell>
          <cell r="Q5768" t="str">
            <v/>
          </cell>
          <cell r="S5768" t="str">
            <v/>
          </cell>
          <cell r="V5768" t="str">
            <v/>
          </cell>
          <cell r="Z5768" t="str">
            <v/>
          </cell>
          <cell r="AA5768" t="str">
            <v/>
          </cell>
          <cell r="AB5768" t="str">
            <v/>
          </cell>
          <cell r="AC5768" t="str">
            <v/>
          </cell>
          <cell r="AD5768" t="str">
            <v/>
          </cell>
          <cell r="AY5768" t="str">
            <v/>
          </cell>
          <cell r="AZ5768" t="str">
            <v/>
          </cell>
          <cell r="BA5768" t="str">
            <v/>
          </cell>
        </row>
        <row r="5769">
          <cell r="B5769" t="str">
            <v>-</v>
          </cell>
          <cell r="E5769" t="str">
            <v/>
          </cell>
          <cell r="G5769" t="str">
            <v/>
          </cell>
          <cell r="J5769" t="str">
            <v/>
          </cell>
          <cell r="O5769" t="str">
            <v/>
          </cell>
          <cell r="P5769" t="str">
            <v/>
          </cell>
          <cell r="Q5769" t="str">
            <v/>
          </cell>
          <cell r="S5769" t="str">
            <v/>
          </cell>
          <cell r="V5769" t="str">
            <v/>
          </cell>
          <cell r="Z5769" t="str">
            <v/>
          </cell>
          <cell r="AA5769" t="str">
            <v/>
          </cell>
          <cell r="AB5769" t="str">
            <v/>
          </cell>
          <cell r="AC5769" t="str">
            <v/>
          </cell>
          <cell r="AD5769" t="str">
            <v/>
          </cell>
          <cell r="AY5769" t="str">
            <v/>
          </cell>
          <cell r="AZ5769" t="str">
            <v/>
          </cell>
          <cell r="BA5769" t="str">
            <v/>
          </cell>
        </row>
        <row r="5770">
          <cell r="B5770" t="str">
            <v>-</v>
          </cell>
          <cell r="E5770" t="str">
            <v/>
          </cell>
          <cell r="G5770" t="str">
            <v/>
          </cell>
          <cell r="J5770" t="str">
            <v/>
          </cell>
          <cell r="O5770" t="str">
            <v/>
          </cell>
          <cell r="P5770" t="str">
            <v/>
          </cell>
          <cell r="Q5770" t="str">
            <v/>
          </cell>
          <cell r="S5770" t="str">
            <v/>
          </cell>
          <cell r="V5770" t="str">
            <v/>
          </cell>
          <cell r="Z5770" t="str">
            <v/>
          </cell>
          <cell r="AA5770" t="str">
            <v/>
          </cell>
          <cell r="AB5770" t="str">
            <v/>
          </cell>
          <cell r="AC5770" t="str">
            <v/>
          </cell>
          <cell r="AD5770" t="str">
            <v/>
          </cell>
          <cell r="AY5770" t="str">
            <v/>
          </cell>
          <cell r="AZ5770" t="str">
            <v/>
          </cell>
          <cell r="BA5770" t="str">
            <v/>
          </cell>
        </row>
        <row r="5771">
          <cell r="B5771" t="str">
            <v>-</v>
          </cell>
          <cell r="E5771" t="str">
            <v/>
          </cell>
          <cell r="G5771" t="str">
            <v/>
          </cell>
          <cell r="J5771" t="str">
            <v/>
          </cell>
          <cell r="O5771" t="str">
            <v/>
          </cell>
          <cell r="P5771" t="str">
            <v/>
          </cell>
          <cell r="Q5771" t="str">
            <v/>
          </cell>
          <cell r="S5771" t="str">
            <v/>
          </cell>
          <cell r="V5771" t="str">
            <v/>
          </cell>
          <cell r="Z5771" t="str">
            <v/>
          </cell>
          <cell r="AA5771" t="str">
            <v/>
          </cell>
          <cell r="AB5771" t="str">
            <v/>
          </cell>
          <cell r="AC5771" t="str">
            <v/>
          </cell>
          <cell r="AD5771" t="str">
            <v/>
          </cell>
          <cell r="AY5771" t="str">
            <v/>
          </cell>
          <cell r="AZ5771" t="str">
            <v/>
          </cell>
          <cell r="BA5771" t="str">
            <v/>
          </cell>
        </row>
        <row r="5772">
          <cell r="B5772" t="str">
            <v>-</v>
          </cell>
          <cell r="E5772" t="str">
            <v/>
          </cell>
          <cell r="G5772" t="str">
            <v/>
          </cell>
          <cell r="J5772" t="str">
            <v/>
          </cell>
          <cell r="O5772" t="str">
            <v/>
          </cell>
          <cell r="P5772" t="str">
            <v/>
          </cell>
          <cell r="Q5772" t="str">
            <v/>
          </cell>
          <cell r="S5772" t="str">
            <v/>
          </cell>
          <cell r="V5772" t="str">
            <v/>
          </cell>
          <cell r="Z5772" t="str">
            <v/>
          </cell>
          <cell r="AA5772" t="str">
            <v/>
          </cell>
          <cell r="AB5772" t="str">
            <v/>
          </cell>
          <cell r="AC5772" t="str">
            <v/>
          </cell>
          <cell r="AD5772" t="str">
            <v/>
          </cell>
          <cell r="AY5772" t="str">
            <v/>
          </cell>
          <cell r="AZ5772" t="str">
            <v/>
          </cell>
          <cell r="BA5772" t="str">
            <v/>
          </cell>
        </row>
        <row r="5773">
          <cell r="B5773" t="str">
            <v>-</v>
          </cell>
          <cell r="E5773" t="str">
            <v/>
          </cell>
          <cell r="G5773" t="str">
            <v/>
          </cell>
          <cell r="J5773" t="str">
            <v/>
          </cell>
          <cell r="O5773" t="str">
            <v/>
          </cell>
          <cell r="P5773" t="str">
            <v/>
          </cell>
          <cell r="Q5773" t="str">
            <v/>
          </cell>
          <cell r="S5773" t="str">
            <v/>
          </cell>
          <cell r="V5773" t="str">
            <v/>
          </cell>
          <cell r="Z5773" t="str">
            <v/>
          </cell>
          <cell r="AA5773" t="str">
            <v/>
          </cell>
          <cell r="AB5773" t="str">
            <v/>
          </cell>
          <cell r="AC5773" t="str">
            <v/>
          </cell>
          <cell r="AD5773" t="str">
            <v/>
          </cell>
          <cell r="AY5773" t="str">
            <v/>
          </cell>
          <cell r="AZ5773" t="str">
            <v/>
          </cell>
          <cell r="BA5773" t="str">
            <v/>
          </cell>
        </row>
        <row r="5774">
          <cell r="B5774" t="str">
            <v>-</v>
          </cell>
          <cell r="E5774" t="str">
            <v/>
          </cell>
          <cell r="G5774" t="str">
            <v/>
          </cell>
          <cell r="J5774" t="str">
            <v/>
          </cell>
          <cell r="O5774" t="str">
            <v/>
          </cell>
          <cell r="P5774" t="str">
            <v/>
          </cell>
          <cell r="Q5774" t="str">
            <v/>
          </cell>
          <cell r="S5774" t="str">
            <v/>
          </cell>
          <cell r="V5774" t="str">
            <v/>
          </cell>
          <cell r="Z5774" t="str">
            <v/>
          </cell>
          <cell r="AA5774" t="str">
            <v/>
          </cell>
          <cell r="AB5774" t="str">
            <v/>
          </cell>
          <cell r="AC5774" t="str">
            <v/>
          </cell>
          <cell r="AD5774" t="str">
            <v/>
          </cell>
          <cell r="AY5774" t="str">
            <v/>
          </cell>
          <cell r="AZ5774" t="str">
            <v/>
          </cell>
          <cell r="BA5774" t="str">
            <v/>
          </cell>
        </row>
        <row r="5775">
          <cell r="B5775" t="str">
            <v>-</v>
          </cell>
          <cell r="E5775" t="str">
            <v/>
          </cell>
          <cell r="G5775" t="str">
            <v/>
          </cell>
          <cell r="J5775" t="str">
            <v/>
          </cell>
          <cell r="O5775" t="str">
            <v/>
          </cell>
          <cell r="P5775" t="str">
            <v/>
          </cell>
          <cell r="Q5775" t="str">
            <v/>
          </cell>
          <cell r="S5775" t="str">
            <v/>
          </cell>
          <cell r="V5775" t="str">
            <v/>
          </cell>
          <cell r="Z5775" t="str">
            <v/>
          </cell>
          <cell r="AA5775" t="str">
            <v/>
          </cell>
          <cell r="AB5775" t="str">
            <v/>
          </cell>
          <cell r="AC5775" t="str">
            <v/>
          </cell>
          <cell r="AD5775" t="str">
            <v/>
          </cell>
          <cell r="AY5775" t="str">
            <v/>
          </cell>
          <cell r="AZ5775" t="str">
            <v/>
          </cell>
          <cell r="BA5775" t="str">
            <v/>
          </cell>
        </row>
        <row r="5776">
          <cell r="B5776" t="str">
            <v>-</v>
          </cell>
          <cell r="E5776" t="str">
            <v/>
          </cell>
          <cell r="G5776" t="str">
            <v/>
          </cell>
          <cell r="J5776" t="str">
            <v/>
          </cell>
          <cell r="O5776" t="str">
            <v/>
          </cell>
          <cell r="P5776" t="str">
            <v/>
          </cell>
          <cell r="Q5776" t="str">
            <v/>
          </cell>
          <cell r="S5776" t="str">
            <v/>
          </cell>
          <cell r="V5776" t="str">
            <v/>
          </cell>
          <cell r="Z5776" t="str">
            <v/>
          </cell>
          <cell r="AA5776" t="str">
            <v/>
          </cell>
          <cell r="AB5776" t="str">
            <v/>
          </cell>
          <cell r="AC5776" t="str">
            <v/>
          </cell>
          <cell r="AD5776" t="str">
            <v/>
          </cell>
          <cell r="AY5776" t="str">
            <v/>
          </cell>
          <cell r="AZ5776" t="str">
            <v/>
          </cell>
          <cell r="BA5776" t="str">
            <v/>
          </cell>
        </row>
        <row r="5777">
          <cell r="B5777" t="str">
            <v>-</v>
          </cell>
          <cell r="E5777" t="str">
            <v/>
          </cell>
          <cell r="G5777" t="str">
            <v/>
          </cell>
          <cell r="J5777" t="str">
            <v/>
          </cell>
          <cell r="O5777" t="str">
            <v/>
          </cell>
          <cell r="P5777" t="str">
            <v/>
          </cell>
          <cell r="Q5777" t="str">
            <v/>
          </cell>
          <cell r="S5777" t="str">
            <v/>
          </cell>
          <cell r="V5777" t="str">
            <v/>
          </cell>
          <cell r="Z5777" t="str">
            <v/>
          </cell>
          <cell r="AA5777" t="str">
            <v/>
          </cell>
          <cell r="AB5777" t="str">
            <v/>
          </cell>
          <cell r="AC5777" t="str">
            <v/>
          </cell>
          <cell r="AD5777" t="str">
            <v/>
          </cell>
          <cell r="AY5777" t="str">
            <v/>
          </cell>
          <cell r="AZ5777" t="str">
            <v/>
          </cell>
          <cell r="BA5777" t="str">
            <v/>
          </cell>
        </row>
        <row r="5778">
          <cell r="B5778" t="str">
            <v>-</v>
          </cell>
          <cell r="E5778" t="str">
            <v/>
          </cell>
          <cell r="G5778" t="str">
            <v/>
          </cell>
          <cell r="J5778" t="str">
            <v/>
          </cell>
          <cell r="O5778" t="str">
            <v/>
          </cell>
          <cell r="P5778" t="str">
            <v/>
          </cell>
          <cell r="Q5778" t="str">
            <v/>
          </cell>
          <cell r="S5778" t="str">
            <v/>
          </cell>
          <cell r="V5778" t="str">
            <v/>
          </cell>
          <cell r="Z5778" t="str">
            <v/>
          </cell>
          <cell r="AA5778" t="str">
            <v/>
          </cell>
          <cell r="AB5778" t="str">
            <v/>
          </cell>
          <cell r="AC5778" t="str">
            <v/>
          </cell>
          <cell r="AD5778" t="str">
            <v/>
          </cell>
          <cell r="AY5778" t="str">
            <v/>
          </cell>
          <cell r="AZ5778" t="str">
            <v/>
          </cell>
          <cell r="BA5778" t="str">
            <v/>
          </cell>
        </row>
        <row r="5779">
          <cell r="B5779" t="str">
            <v>-</v>
          </cell>
          <cell r="E5779" t="str">
            <v/>
          </cell>
          <cell r="G5779" t="str">
            <v/>
          </cell>
          <cell r="J5779" t="str">
            <v/>
          </cell>
          <cell r="O5779" t="str">
            <v/>
          </cell>
          <cell r="P5779" t="str">
            <v/>
          </cell>
          <cell r="Q5779" t="str">
            <v/>
          </cell>
          <cell r="S5779" t="str">
            <v/>
          </cell>
          <cell r="V5779" t="str">
            <v/>
          </cell>
          <cell r="Z5779" t="str">
            <v/>
          </cell>
          <cell r="AA5779" t="str">
            <v/>
          </cell>
          <cell r="AB5779" t="str">
            <v/>
          </cell>
          <cell r="AC5779" t="str">
            <v/>
          </cell>
          <cell r="AD5779" t="str">
            <v/>
          </cell>
          <cell r="AY5779" t="str">
            <v/>
          </cell>
          <cell r="AZ5779" t="str">
            <v/>
          </cell>
          <cell r="BA5779" t="str">
            <v/>
          </cell>
        </row>
        <row r="5780">
          <cell r="B5780" t="str">
            <v>-</v>
          </cell>
          <cell r="E5780" t="str">
            <v/>
          </cell>
          <cell r="G5780" t="str">
            <v/>
          </cell>
          <cell r="J5780" t="str">
            <v/>
          </cell>
          <cell r="O5780" t="str">
            <v/>
          </cell>
          <cell r="P5780" t="str">
            <v/>
          </cell>
          <cell r="Q5780" t="str">
            <v/>
          </cell>
          <cell r="S5780" t="str">
            <v/>
          </cell>
          <cell r="V5780" t="str">
            <v/>
          </cell>
          <cell r="Z5780" t="str">
            <v/>
          </cell>
          <cell r="AA5780" t="str">
            <v/>
          </cell>
          <cell r="AB5780" t="str">
            <v/>
          </cell>
          <cell r="AC5780" t="str">
            <v/>
          </cell>
          <cell r="AD5780" t="str">
            <v/>
          </cell>
          <cell r="AY5780" t="str">
            <v/>
          </cell>
          <cell r="AZ5780" t="str">
            <v/>
          </cell>
          <cell r="BA5780" t="str">
            <v/>
          </cell>
        </row>
        <row r="5781">
          <cell r="B5781" t="str">
            <v>-</v>
          </cell>
          <cell r="E5781" t="str">
            <v/>
          </cell>
          <cell r="G5781" t="str">
            <v/>
          </cell>
          <cell r="J5781" t="str">
            <v/>
          </cell>
          <cell r="O5781" t="str">
            <v/>
          </cell>
          <cell r="P5781" t="str">
            <v/>
          </cell>
          <cell r="Q5781" t="str">
            <v/>
          </cell>
          <cell r="S5781" t="str">
            <v/>
          </cell>
          <cell r="V5781" t="str">
            <v/>
          </cell>
          <cell r="Z5781" t="str">
            <v/>
          </cell>
          <cell r="AA5781" t="str">
            <v/>
          </cell>
          <cell r="AB5781" t="str">
            <v/>
          </cell>
          <cell r="AC5781" t="str">
            <v/>
          </cell>
          <cell r="AD5781" t="str">
            <v/>
          </cell>
          <cell r="AY5781" t="str">
            <v/>
          </cell>
          <cell r="AZ5781" t="str">
            <v/>
          </cell>
          <cell r="BA5781" t="str">
            <v/>
          </cell>
        </row>
        <row r="5782">
          <cell r="B5782" t="str">
            <v>-</v>
          </cell>
          <cell r="E5782" t="str">
            <v/>
          </cell>
          <cell r="G5782" t="str">
            <v/>
          </cell>
          <cell r="J5782" t="str">
            <v/>
          </cell>
          <cell r="O5782" t="str">
            <v/>
          </cell>
          <cell r="P5782" t="str">
            <v/>
          </cell>
          <cell r="Q5782" t="str">
            <v/>
          </cell>
          <cell r="S5782" t="str">
            <v/>
          </cell>
          <cell r="V5782" t="str">
            <v/>
          </cell>
          <cell r="Z5782" t="str">
            <v/>
          </cell>
          <cell r="AA5782" t="str">
            <v/>
          </cell>
          <cell r="AB5782" t="str">
            <v/>
          </cell>
          <cell r="AC5782" t="str">
            <v/>
          </cell>
          <cell r="AD5782" t="str">
            <v/>
          </cell>
          <cell r="AY5782" t="str">
            <v/>
          </cell>
          <cell r="AZ5782" t="str">
            <v/>
          </cell>
          <cell r="BA5782" t="str">
            <v/>
          </cell>
        </row>
        <row r="5783">
          <cell r="B5783" t="str">
            <v>-</v>
          </cell>
          <cell r="E5783" t="str">
            <v/>
          </cell>
          <cell r="G5783" t="str">
            <v/>
          </cell>
          <cell r="J5783" t="str">
            <v/>
          </cell>
          <cell r="O5783" t="str">
            <v/>
          </cell>
          <cell r="P5783" t="str">
            <v/>
          </cell>
          <cell r="Q5783" t="str">
            <v/>
          </cell>
          <cell r="S5783" t="str">
            <v/>
          </cell>
          <cell r="V5783" t="str">
            <v/>
          </cell>
          <cell r="Z5783" t="str">
            <v/>
          </cell>
          <cell r="AA5783" t="str">
            <v/>
          </cell>
          <cell r="AB5783" t="str">
            <v/>
          </cell>
          <cell r="AC5783" t="str">
            <v/>
          </cell>
          <cell r="AD5783" t="str">
            <v/>
          </cell>
          <cell r="AY5783" t="str">
            <v/>
          </cell>
          <cell r="AZ5783" t="str">
            <v/>
          </cell>
          <cell r="BA5783" t="str">
            <v/>
          </cell>
        </row>
        <row r="5784">
          <cell r="B5784" t="str">
            <v>-</v>
          </cell>
          <cell r="E5784" t="str">
            <v/>
          </cell>
          <cell r="G5784" t="str">
            <v/>
          </cell>
          <cell r="J5784" t="str">
            <v/>
          </cell>
          <cell r="O5784" t="str">
            <v/>
          </cell>
          <cell r="P5784" t="str">
            <v/>
          </cell>
          <cell r="Q5784" t="str">
            <v/>
          </cell>
          <cell r="S5784" t="str">
            <v/>
          </cell>
          <cell r="V5784" t="str">
            <v/>
          </cell>
          <cell r="Z5784" t="str">
            <v/>
          </cell>
          <cell r="AA5784" t="str">
            <v/>
          </cell>
          <cell r="AB5784" t="str">
            <v/>
          </cell>
          <cell r="AC5784" t="str">
            <v/>
          </cell>
          <cell r="AD5784" t="str">
            <v/>
          </cell>
          <cell r="AY5784" t="str">
            <v/>
          </cell>
          <cell r="AZ5784" t="str">
            <v/>
          </cell>
          <cell r="BA5784" t="str">
            <v/>
          </cell>
        </row>
        <row r="5785">
          <cell r="B5785" t="str">
            <v>-</v>
          </cell>
          <cell r="E5785" t="str">
            <v/>
          </cell>
          <cell r="G5785" t="str">
            <v/>
          </cell>
          <cell r="J5785" t="str">
            <v/>
          </cell>
          <cell r="O5785" t="str">
            <v/>
          </cell>
          <cell r="P5785" t="str">
            <v/>
          </cell>
          <cell r="Q5785" t="str">
            <v/>
          </cell>
          <cell r="S5785" t="str">
            <v/>
          </cell>
          <cell r="V5785" t="str">
            <v/>
          </cell>
          <cell r="Z5785" t="str">
            <v/>
          </cell>
          <cell r="AA5785" t="str">
            <v/>
          </cell>
          <cell r="AB5785" t="str">
            <v/>
          </cell>
          <cell r="AC5785" t="str">
            <v/>
          </cell>
          <cell r="AD5785" t="str">
            <v/>
          </cell>
          <cell r="AY5785" t="str">
            <v/>
          </cell>
          <cell r="AZ5785" t="str">
            <v/>
          </cell>
          <cell r="BA5785" t="str">
            <v/>
          </cell>
        </row>
        <row r="5786">
          <cell r="B5786" t="str">
            <v>-</v>
          </cell>
          <cell r="E5786" t="str">
            <v/>
          </cell>
          <cell r="G5786" t="str">
            <v/>
          </cell>
          <cell r="J5786" t="str">
            <v/>
          </cell>
          <cell r="O5786" t="str">
            <v/>
          </cell>
          <cell r="P5786" t="str">
            <v/>
          </cell>
          <cell r="Q5786" t="str">
            <v/>
          </cell>
          <cell r="S5786" t="str">
            <v/>
          </cell>
          <cell r="V5786" t="str">
            <v/>
          </cell>
          <cell r="Z5786" t="str">
            <v/>
          </cell>
          <cell r="AA5786" t="str">
            <v/>
          </cell>
          <cell r="AB5786" t="str">
            <v/>
          </cell>
          <cell r="AC5786" t="str">
            <v/>
          </cell>
          <cell r="AD5786" t="str">
            <v/>
          </cell>
          <cell r="AY5786" t="str">
            <v/>
          </cell>
          <cell r="AZ5786" t="str">
            <v/>
          </cell>
          <cell r="BA5786" t="str">
            <v/>
          </cell>
        </row>
        <row r="5787">
          <cell r="B5787" t="str">
            <v>-</v>
          </cell>
          <cell r="E5787" t="str">
            <v/>
          </cell>
          <cell r="G5787" t="str">
            <v/>
          </cell>
          <cell r="J5787" t="str">
            <v/>
          </cell>
          <cell r="O5787" t="str">
            <v/>
          </cell>
          <cell r="P5787" t="str">
            <v/>
          </cell>
          <cell r="Q5787" t="str">
            <v/>
          </cell>
          <cell r="S5787" t="str">
            <v/>
          </cell>
          <cell r="V5787" t="str">
            <v/>
          </cell>
          <cell r="Z5787" t="str">
            <v/>
          </cell>
          <cell r="AA5787" t="str">
            <v/>
          </cell>
          <cell r="AB5787" t="str">
            <v/>
          </cell>
          <cell r="AC5787" t="str">
            <v/>
          </cell>
          <cell r="AD5787" t="str">
            <v/>
          </cell>
          <cell r="AY5787" t="str">
            <v/>
          </cell>
          <cell r="AZ5787" t="str">
            <v/>
          </cell>
          <cell r="BA5787" t="str">
            <v/>
          </cell>
        </row>
        <row r="5788">
          <cell r="B5788" t="str">
            <v>-</v>
          </cell>
          <cell r="E5788" t="str">
            <v/>
          </cell>
          <cell r="G5788" t="str">
            <v/>
          </cell>
          <cell r="J5788" t="str">
            <v/>
          </cell>
          <cell r="O5788" t="str">
            <v/>
          </cell>
          <cell r="P5788" t="str">
            <v/>
          </cell>
          <cell r="Q5788" t="str">
            <v/>
          </cell>
          <cell r="S5788" t="str">
            <v/>
          </cell>
          <cell r="V5788" t="str">
            <v/>
          </cell>
          <cell r="Z5788" t="str">
            <v/>
          </cell>
          <cell r="AA5788" t="str">
            <v/>
          </cell>
          <cell r="AB5788" t="str">
            <v/>
          </cell>
          <cell r="AC5788" t="str">
            <v/>
          </cell>
          <cell r="AD5788" t="str">
            <v/>
          </cell>
          <cell r="AY5788" t="str">
            <v/>
          </cell>
          <cell r="AZ5788" t="str">
            <v/>
          </cell>
          <cell r="BA5788" t="str">
            <v/>
          </cell>
        </row>
        <row r="5789">
          <cell r="B5789" t="str">
            <v>-</v>
          </cell>
          <cell r="E5789" t="str">
            <v/>
          </cell>
          <cell r="G5789" t="str">
            <v/>
          </cell>
          <cell r="J5789" t="str">
            <v/>
          </cell>
          <cell r="O5789" t="str">
            <v/>
          </cell>
          <cell r="P5789" t="str">
            <v/>
          </cell>
          <cell r="Q5789" t="str">
            <v/>
          </cell>
          <cell r="S5789" t="str">
            <v/>
          </cell>
          <cell r="V5789" t="str">
            <v/>
          </cell>
          <cell r="Z5789" t="str">
            <v/>
          </cell>
          <cell r="AA5789" t="str">
            <v/>
          </cell>
          <cell r="AB5789" t="str">
            <v/>
          </cell>
          <cell r="AC5789" t="str">
            <v/>
          </cell>
          <cell r="AD5789" t="str">
            <v/>
          </cell>
          <cell r="AY5789" t="str">
            <v/>
          </cell>
          <cell r="AZ5789" t="str">
            <v/>
          </cell>
          <cell r="BA5789" t="str">
            <v/>
          </cell>
        </row>
        <row r="5790">
          <cell r="B5790" t="str">
            <v>-</v>
          </cell>
          <cell r="E5790" t="str">
            <v/>
          </cell>
          <cell r="G5790" t="str">
            <v/>
          </cell>
          <cell r="J5790" t="str">
            <v/>
          </cell>
          <cell r="O5790" t="str">
            <v/>
          </cell>
          <cell r="P5790" t="str">
            <v/>
          </cell>
          <cell r="Q5790" t="str">
            <v/>
          </cell>
          <cell r="S5790" t="str">
            <v/>
          </cell>
          <cell r="V5790" t="str">
            <v/>
          </cell>
          <cell r="Z5790" t="str">
            <v/>
          </cell>
          <cell r="AA5790" t="str">
            <v/>
          </cell>
          <cell r="AB5790" t="str">
            <v/>
          </cell>
          <cell r="AC5790" t="str">
            <v/>
          </cell>
          <cell r="AD5790" t="str">
            <v/>
          </cell>
          <cell r="AY5790" t="str">
            <v/>
          </cell>
          <cell r="AZ5790" t="str">
            <v/>
          </cell>
          <cell r="BA5790" t="str">
            <v/>
          </cell>
        </row>
        <row r="5791">
          <cell r="B5791" t="str">
            <v>-</v>
          </cell>
          <cell r="E5791" t="str">
            <v/>
          </cell>
          <cell r="G5791" t="str">
            <v/>
          </cell>
          <cell r="J5791" t="str">
            <v/>
          </cell>
          <cell r="O5791" t="str">
            <v/>
          </cell>
          <cell r="P5791" t="str">
            <v/>
          </cell>
          <cell r="Q5791" t="str">
            <v/>
          </cell>
          <cell r="S5791" t="str">
            <v/>
          </cell>
          <cell r="V5791" t="str">
            <v/>
          </cell>
          <cell r="Z5791" t="str">
            <v/>
          </cell>
          <cell r="AA5791" t="str">
            <v/>
          </cell>
          <cell r="AB5791" t="str">
            <v/>
          </cell>
          <cell r="AC5791" t="str">
            <v/>
          </cell>
          <cell r="AD5791" t="str">
            <v/>
          </cell>
          <cell r="AY5791" t="str">
            <v/>
          </cell>
          <cell r="AZ5791" t="str">
            <v/>
          </cell>
          <cell r="BA5791" t="str">
            <v/>
          </cell>
        </row>
        <row r="5792">
          <cell r="B5792" t="str">
            <v>-</v>
          </cell>
          <cell r="E5792" t="str">
            <v/>
          </cell>
          <cell r="G5792" t="str">
            <v/>
          </cell>
          <cell r="J5792" t="str">
            <v/>
          </cell>
          <cell r="O5792" t="str">
            <v/>
          </cell>
          <cell r="P5792" t="str">
            <v/>
          </cell>
          <cell r="Q5792" t="str">
            <v/>
          </cell>
          <cell r="S5792" t="str">
            <v/>
          </cell>
          <cell r="V5792" t="str">
            <v/>
          </cell>
          <cell r="Z5792" t="str">
            <v/>
          </cell>
          <cell r="AA5792" t="str">
            <v/>
          </cell>
          <cell r="AB5792" t="str">
            <v/>
          </cell>
          <cell r="AC5792" t="str">
            <v/>
          </cell>
          <cell r="AD5792" t="str">
            <v/>
          </cell>
          <cell r="AY5792" t="str">
            <v/>
          </cell>
          <cell r="AZ5792" t="str">
            <v/>
          </cell>
          <cell r="BA5792" t="str">
            <v/>
          </cell>
        </row>
        <row r="5793">
          <cell r="B5793" t="str">
            <v>-</v>
          </cell>
          <cell r="E5793" t="str">
            <v/>
          </cell>
          <cell r="G5793" t="str">
            <v/>
          </cell>
          <cell r="J5793" t="str">
            <v/>
          </cell>
          <cell r="O5793" t="str">
            <v/>
          </cell>
          <cell r="P5793" t="str">
            <v/>
          </cell>
          <cell r="Q5793" t="str">
            <v/>
          </cell>
          <cell r="S5793" t="str">
            <v/>
          </cell>
          <cell r="V5793" t="str">
            <v/>
          </cell>
          <cell r="Z5793" t="str">
            <v/>
          </cell>
          <cell r="AA5793" t="str">
            <v/>
          </cell>
          <cell r="AB5793" t="str">
            <v/>
          </cell>
          <cell r="AC5793" t="str">
            <v/>
          </cell>
          <cell r="AD5793" t="str">
            <v/>
          </cell>
          <cell r="AY5793" t="str">
            <v/>
          </cell>
          <cell r="AZ5793" t="str">
            <v/>
          </cell>
          <cell r="BA5793" t="str">
            <v/>
          </cell>
        </row>
        <row r="5794">
          <cell r="B5794" t="str">
            <v>-</v>
          </cell>
          <cell r="E5794" t="str">
            <v/>
          </cell>
          <cell r="G5794" t="str">
            <v/>
          </cell>
          <cell r="J5794" t="str">
            <v/>
          </cell>
          <cell r="O5794" t="str">
            <v/>
          </cell>
          <cell r="P5794" t="str">
            <v/>
          </cell>
          <cell r="Q5794" t="str">
            <v/>
          </cell>
          <cell r="S5794" t="str">
            <v/>
          </cell>
          <cell r="V5794" t="str">
            <v/>
          </cell>
          <cell r="Z5794" t="str">
            <v/>
          </cell>
          <cell r="AA5794" t="str">
            <v/>
          </cell>
          <cell r="AB5794" t="str">
            <v/>
          </cell>
          <cell r="AC5794" t="str">
            <v/>
          </cell>
          <cell r="AD5794" t="str">
            <v/>
          </cell>
          <cell r="AY5794" t="str">
            <v/>
          </cell>
          <cell r="AZ5794" t="str">
            <v/>
          </cell>
          <cell r="BA5794" t="str">
            <v/>
          </cell>
        </row>
        <row r="5795">
          <cell r="B5795" t="str">
            <v>-</v>
          </cell>
          <cell r="E5795" t="str">
            <v/>
          </cell>
          <cell r="G5795" t="str">
            <v/>
          </cell>
          <cell r="J5795" t="str">
            <v/>
          </cell>
          <cell r="O5795" t="str">
            <v/>
          </cell>
          <cell r="P5795" t="str">
            <v/>
          </cell>
          <cell r="Q5795" t="str">
            <v/>
          </cell>
          <cell r="S5795" t="str">
            <v/>
          </cell>
          <cell r="V5795" t="str">
            <v/>
          </cell>
          <cell r="Z5795" t="str">
            <v/>
          </cell>
          <cell r="AA5795" t="str">
            <v/>
          </cell>
          <cell r="AB5795" t="str">
            <v/>
          </cell>
          <cell r="AC5795" t="str">
            <v/>
          </cell>
          <cell r="AD5795" t="str">
            <v/>
          </cell>
          <cell r="AY5795" t="str">
            <v/>
          </cell>
          <cell r="AZ5795" t="str">
            <v/>
          </cell>
          <cell r="BA5795" t="str">
            <v/>
          </cell>
        </row>
        <row r="5796">
          <cell r="B5796" t="str">
            <v>-</v>
          </cell>
          <cell r="E5796" t="str">
            <v/>
          </cell>
          <cell r="G5796" t="str">
            <v/>
          </cell>
          <cell r="J5796" t="str">
            <v/>
          </cell>
          <cell r="O5796" t="str">
            <v/>
          </cell>
          <cell r="P5796" t="str">
            <v/>
          </cell>
          <cell r="Q5796" t="str">
            <v/>
          </cell>
          <cell r="S5796" t="str">
            <v/>
          </cell>
          <cell r="V5796" t="str">
            <v/>
          </cell>
          <cell r="Z5796" t="str">
            <v/>
          </cell>
          <cell r="AA5796" t="str">
            <v/>
          </cell>
          <cell r="AB5796" t="str">
            <v/>
          </cell>
          <cell r="AC5796" t="str">
            <v/>
          </cell>
          <cell r="AD5796" t="str">
            <v/>
          </cell>
          <cell r="AY5796" t="str">
            <v/>
          </cell>
          <cell r="AZ5796" t="str">
            <v/>
          </cell>
          <cell r="BA5796" t="str">
            <v/>
          </cell>
        </row>
        <row r="5797">
          <cell r="B5797" t="str">
            <v>-</v>
          </cell>
          <cell r="E5797" t="str">
            <v/>
          </cell>
          <cell r="G5797" t="str">
            <v/>
          </cell>
          <cell r="J5797" t="str">
            <v/>
          </cell>
          <cell r="O5797" t="str">
            <v/>
          </cell>
          <cell r="P5797" t="str">
            <v/>
          </cell>
          <cell r="Q5797" t="str">
            <v/>
          </cell>
          <cell r="S5797" t="str">
            <v/>
          </cell>
          <cell r="V5797" t="str">
            <v/>
          </cell>
          <cell r="Z5797" t="str">
            <v/>
          </cell>
          <cell r="AA5797" t="str">
            <v/>
          </cell>
          <cell r="AB5797" t="str">
            <v/>
          </cell>
          <cell r="AC5797" t="str">
            <v/>
          </cell>
          <cell r="AD5797" t="str">
            <v/>
          </cell>
          <cell r="AY5797" t="str">
            <v/>
          </cell>
          <cell r="AZ5797" t="str">
            <v/>
          </cell>
          <cell r="BA5797" t="str">
            <v/>
          </cell>
        </row>
        <row r="5798">
          <cell r="B5798" t="str">
            <v>-</v>
          </cell>
          <cell r="E5798" t="str">
            <v/>
          </cell>
          <cell r="G5798" t="str">
            <v/>
          </cell>
          <cell r="J5798" t="str">
            <v/>
          </cell>
          <cell r="O5798" t="str">
            <v/>
          </cell>
          <cell r="P5798" t="str">
            <v/>
          </cell>
          <cell r="Q5798" t="str">
            <v/>
          </cell>
          <cell r="S5798" t="str">
            <v/>
          </cell>
          <cell r="V5798" t="str">
            <v/>
          </cell>
          <cell r="Z5798" t="str">
            <v/>
          </cell>
          <cell r="AA5798" t="str">
            <v/>
          </cell>
          <cell r="AB5798" t="str">
            <v/>
          </cell>
          <cell r="AC5798" t="str">
            <v/>
          </cell>
          <cell r="AD5798" t="str">
            <v/>
          </cell>
          <cell r="AY5798" t="str">
            <v/>
          </cell>
          <cell r="AZ5798" t="str">
            <v/>
          </cell>
          <cell r="BA5798" t="str">
            <v/>
          </cell>
        </row>
        <row r="5799">
          <cell r="B5799" t="str">
            <v>-</v>
          </cell>
          <cell r="E5799" t="str">
            <v/>
          </cell>
          <cell r="G5799" t="str">
            <v/>
          </cell>
          <cell r="J5799" t="str">
            <v/>
          </cell>
          <cell r="O5799" t="str">
            <v/>
          </cell>
          <cell r="P5799" t="str">
            <v/>
          </cell>
          <cell r="Q5799" t="str">
            <v/>
          </cell>
          <cell r="S5799" t="str">
            <v/>
          </cell>
          <cell r="V5799" t="str">
            <v/>
          </cell>
          <cell r="Z5799" t="str">
            <v/>
          </cell>
          <cell r="AA5799" t="str">
            <v/>
          </cell>
          <cell r="AB5799" t="str">
            <v/>
          </cell>
          <cell r="AC5799" t="str">
            <v/>
          </cell>
          <cell r="AD5799" t="str">
            <v/>
          </cell>
          <cell r="AY5799" t="str">
            <v/>
          </cell>
          <cell r="AZ5799" t="str">
            <v/>
          </cell>
          <cell r="BA5799" t="str">
            <v/>
          </cell>
        </row>
        <row r="5800">
          <cell r="B5800" t="str">
            <v>-</v>
          </cell>
          <cell r="E5800" t="str">
            <v/>
          </cell>
          <cell r="G5800" t="str">
            <v/>
          </cell>
          <cell r="J5800" t="str">
            <v/>
          </cell>
          <cell r="O5800" t="str">
            <v/>
          </cell>
          <cell r="P5800" t="str">
            <v/>
          </cell>
          <cell r="Q5800" t="str">
            <v/>
          </cell>
          <cell r="S5800" t="str">
            <v/>
          </cell>
          <cell r="V5800" t="str">
            <v/>
          </cell>
          <cell r="Z5800" t="str">
            <v/>
          </cell>
          <cell r="AA5800" t="str">
            <v/>
          </cell>
          <cell r="AB5800" t="str">
            <v/>
          </cell>
          <cell r="AC5800" t="str">
            <v/>
          </cell>
          <cell r="AD5800" t="str">
            <v/>
          </cell>
          <cell r="AY5800" t="str">
            <v/>
          </cell>
          <cell r="AZ5800" t="str">
            <v/>
          </cell>
          <cell r="BA5800" t="str">
            <v/>
          </cell>
        </row>
        <row r="5801">
          <cell r="B5801" t="str">
            <v>-</v>
          </cell>
          <cell r="E5801" t="str">
            <v/>
          </cell>
          <cell r="G5801" t="str">
            <v/>
          </cell>
          <cell r="J5801" t="str">
            <v/>
          </cell>
          <cell r="O5801" t="str">
            <v/>
          </cell>
          <cell r="P5801" t="str">
            <v/>
          </cell>
          <cell r="Q5801" t="str">
            <v/>
          </cell>
          <cell r="S5801" t="str">
            <v/>
          </cell>
          <cell r="V5801" t="str">
            <v/>
          </cell>
          <cell r="Z5801" t="str">
            <v/>
          </cell>
          <cell r="AA5801" t="str">
            <v/>
          </cell>
          <cell r="AB5801" t="str">
            <v/>
          </cell>
          <cell r="AC5801" t="str">
            <v/>
          </cell>
          <cell r="AD5801" t="str">
            <v/>
          </cell>
          <cell r="AY5801" t="str">
            <v/>
          </cell>
          <cell r="AZ5801" t="str">
            <v/>
          </cell>
          <cell r="BA5801" t="str">
            <v/>
          </cell>
        </row>
        <row r="5802">
          <cell r="B5802" t="str">
            <v>-</v>
          </cell>
          <cell r="E5802" t="str">
            <v/>
          </cell>
          <cell r="G5802" t="str">
            <v/>
          </cell>
          <cell r="J5802" t="str">
            <v/>
          </cell>
          <cell r="O5802" t="str">
            <v/>
          </cell>
          <cell r="P5802" t="str">
            <v/>
          </cell>
          <cell r="Q5802" t="str">
            <v/>
          </cell>
          <cell r="S5802" t="str">
            <v/>
          </cell>
          <cell r="V5802" t="str">
            <v/>
          </cell>
          <cell r="Z5802" t="str">
            <v/>
          </cell>
          <cell r="AA5802" t="str">
            <v/>
          </cell>
          <cell r="AB5802" t="str">
            <v/>
          </cell>
          <cell r="AC5802" t="str">
            <v/>
          </cell>
          <cell r="AD5802" t="str">
            <v/>
          </cell>
          <cell r="AY5802" t="str">
            <v/>
          </cell>
          <cell r="AZ5802" t="str">
            <v/>
          </cell>
          <cell r="BA5802" t="str">
            <v/>
          </cell>
        </row>
        <row r="5803">
          <cell r="B5803" t="str">
            <v>-</v>
          </cell>
          <cell r="E5803" t="str">
            <v/>
          </cell>
          <cell r="G5803" t="str">
            <v/>
          </cell>
          <cell r="J5803" t="str">
            <v/>
          </cell>
          <cell r="O5803" t="str">
            <v/>
          </cell>
          <cell r="P5803" t="str">
            <v/>
          </cell>
          <cell r="Q5803" t="str">
            <v/>
          </cell>
          <cell r="S5803" t="str">
            <v/>
          </cell>
          <cell r="V5803" t="str">
            <v/>
          </cell>
          <cell r="Z5803" t="str">
            <v/>
          </cell>
          <cell r="AA5803" t="str">
            <v/>
          </cell>
          <cell r="AB5803" t="str">
            <v/>
          </cell>
          <cell r="AC5803" t="str">
            <v/>
          </cell>
          <cell r="AD5803" t="str">
            <v/>
          </cell>
          <cell r="AY5803" t="str">
            <v/>
          </cell>
          <cell r="AZ5803" t="str">
            <v/>
          </cell>
          <cell r="BA5803" t="str">
            <v/>
          </cell>
        </row>
        <row r="5804">
          <cell r="B5804" t="str">
            <v>-</v>
          </cell>
          <cell r="E5804" t="str">
            <v/>
          </cell>
          <cell r="G5804" t="str">
            <v/>
          </cell>
          <cell r="J5804" t="str">
            <v/>
          </cell>
          <cell r="O5804" t="str">
            <v/>
          </cell>
          <cell r="P5804" t="str">
            <v/>
          </cell>
          <cell r="Q5804" t="str">
            <v/>
          </cell>
          <cell r="S5804" t="str">
            <v/>
          </cell>
          <cell r="V5804" t="str">
            <v/>
          </cell>
          <cell r="Z5804" t="str">
            <v/>
          </cell>
          <cell r="AA5804" t="str">
            <v/>
          </cell>
          <cell r="AB5804" t="str">
            <v/>
          </cell>
          <cell r="AC5804" t="str">
            <v/>
          </cell>
          <cell r="AD5804" t="str">
            <v/>
          </cell>
          <cell r="AY5804" t="str">
            <v/>
          </cell>
          <cell r="AZ5804" t="str">
            <v/>
          </cell>
          <cell r="BA5804" t="str">
            <v/>
          </cell>
        </row>
        <row r="5805">
          <cell r="B5805" t="str">
            <v>-</v>
          </cell>
          <cell r="E5805" t="str">
            <v/>
          </cell>
          <cell r="G5805" t="str">
            <v/>
          </cell>
          <cell r="J5805" t="str">
            <v/>
          </cell>
          <cell r="O5805" t="str">
            <v/>
          </cell>
          <cell r="P5805" t="str">
            <v/>
          </cell>
          <cell r="Q5805" t="str">
            <v/>
          </cell>
          <cell r="S5805" t="str">
            <v/>
          </cell>
          <cell r="V5805" t="str">
            <v/>
          </cell>
          <cell r="Z5805" t="str">
            <v/>
          </cell>
          <cell r="AA5805" t="str">
            <v/>
          </cell>
          <cell r="AB5805" t="str">
            <v/>
          </cell>
          <cell r="AC5805" t="str">
            <v/>
          </cell>
          <cell r="AD5805" t="str">
            <v/>
          </cell>
          <cell r="AY5805" t="str">
            <v/>
          </cell>
          <cell r="AZ5805" t="str">
            <v/>
          </cell>
          <cell r="BA5805" t="str">
            <v/>
          </cell>
        </row>
        <row r="5806">
          <cell r="B5806" t="str">
            <v>-</v>
          </cell>
          <cell r="E5806" t="str">
            <v/>
          </cell>
          <cell r="G5806" t="str">
            <v/>
          </cell>
          <cell r="J5806" t="str">
            <v/>
          </cell>
          <cell r="O5806" t="str">
            <v/>
          </cell>
          <cell r="P5806" t="str">
            <v/>
          </cell>
          <cell r="Q5806" t="str">
            <v/>
          </cell>
          <cell r="S5806" t="str">
            <v/>
          </cell>
          <cell r="V5806" t="str">
            <v/>
          </cell>
          <cell r="Z5806" t="str">
            <v/>
          </cell>
          <cell r="AA5806" t="str">
            <v/>
          </cell>
          <cell r="AB5806" t="str">
            <v/>
          </cell>
          <cell r="AC5806" t="str">
            <v/>
          </cell>
          <cell r="AD5806" t="str">
            <v/>
          </cell>
          <cell r="AY5806" t="str">
            <v/>
          </cell>
          <cell r="AZ5806" t="str">
            <v/>
          </cell>
          <cell r="BA5806" t="str">
            <v/>
          </cell>
        </row>
        <row r="5807">
          <cell r="B5807" t="str">
            <v>-</v>
          </cell>
          <cell r="E5807" t="str">
            <v/>
          </cell>
          <cell r="G5807" t="str">
            <v/>
          </cell>
          <cell r="J5807" t="str">
            <v/>
          </cell>
          <cell r="O5807" t="str">
            <v/>
          </cell>
          <cell r="P5807" t="str">
            <v/>
          </cell>
          <cell r="Q5807" t="str">
            <v/>
          </cell>
          <cell r="S5807" t="str">
            <v/>
          </cell>
          <cell r="V5807" t="str">
            <v/>
          </cell>
          <cell r="Z5807" t="str">
            <v/>
          </cell>
          <cell r="AA5807" t="str">
            <v/>
          </cell>
          <cell r="AB5807" t="str">
            <v/>
          </cell>
          <cell r="AC5807" t="str">
            <v/>
          </cell>
          <cell r="AD5807" t="str">
            <v/>
          </cell>
          <cell r="AY5807" t="str">
            <v/>
          </cell>
          <cell r="AZ5807" t="str">
            <v/>
          </cell>
          <cell r="BA5807" t="str">
            <v/>
          </cell>
        </row>
        <row r="5808">
          <cell r="B5808" t="str">
            <v>-</v>
          </cell>
          <cell r="E5808" t="str">
            <v/>
          </cell>
          <cell r="G5808" t="str">
            <v/>
          </cell>
          <cell r="J5808" t="str">
            <v/>
          </cell>
          <cell r="O5808" t="str">
            <v/>
          </cell>
          <cell r="P5808" t="str">
            <v/>
          </cell>
          <cell r="Q5808" t="str">
            <v/>
          </cell>
          <cell r="S5808" t="str">
            <v/>
          </cell>
          <cell r="V5808" t="str">
            <v/>
          </cell>
          <cell r="Z5808" t="str">
            <v/>
          </cell>
          <cell r="AA5808" t="str">
            <v/>
          </cell>
          <cell r="AB5808" t="str">
            <v/>
          </cell>
          <cell r="AC5808" t="str">
            <v/>
          </cell>
          <cell r="AD5808" t="str">
            <v/>
          </cell>
          <cell r="AY5808" t="str">
            <v/>
          </cell>
          <cell r="AZ5808" t="str">
            <v/>
          </cell>
          <cell r="BA5808" t="str">
            <v/>
          </cell>
        </row>
        <row r="5809">
          <cell r="B5809" t="str">
            <v>-</v>
          </cell>
          <cell r="E5809" t="str">
            <v/>
          </cell>
          <cell r="G5809" t="str">
            <v/>
          </cell>
          <cell r="J5809" t="str">
            <v/>
          </cell>
          <cell r="O5809" t="str">
            <v/>
          </cell>
          <cell r="P5809" t="str">
            <v/>
          </cell>
          <cell r="Q5809" t="str">
            <v/>
          </cell>
          <cell r="S5809" t="str">
            <v/>
          </cell>
          <cell r="V5809" t="str">
            <v/>
          </cell>
          <cell r="Z5809" t="str">
            <v/>
          </cell>
          <cell r="AA5809" t="str">
            <v/>
          </cell>
          <cell r="AB5809" t="str">
            <v/>
          </cell>
          <cell r="AC5809" t="str">
            <v/>
          </cell>
          <cell r="AD5809" t="str">
            <v/>
          </cell>
          <cell r="AY5809" t="str">
            <v/>
          </cell>
          <cell r="AZ5809" t="str">
            <v/>
          </cell>
          <cell r="BA5809" t="str">
            <v/>
          </cell>
        </row>
        <row r="5810">
          <cell r="B5810" t="str">
            <v>-</v>
          </cell>
          <cell r="E5810" t="str">
            <v/>
          </cell>
          <cell r="G5810" t="str">
            <v/>
          </cell>
          <cell r="J5810" t="str">
            <v/>
          </cell>
          <cell r="O5810" t="str">
            <v/>
          </cell>
          <cell r="P5810" t="str">
            <v/>
          </cell>
          <cell r="Q5810" t="str">
            <v/>
          </cell>
          <cell r="S5810" t="str">
            <v/>
          </cell>
          <cell r="V5810" t="str">
            <v/>
          </cell>
          <cell r="Z5810" t="str">
            <v/>
          </cell>
          <cell r="AA5810" t="str">
            <v/>
          </cell>
          <cell r="AB5810" t="str">
            <v/>
          </cell>
          <cell r="AC5810" t="str">
            <v/>
          </cell>
          <cell r="AD5810" t="str">
            <v/>
          </cell>
          <cell r="AY5810" t="str">
            <v/>
          </cell>
          <cell r="AZ5810" t="str">
            <v/>
          </cell>
          <cell r="BA5810" t="str">
            <v/>
          </cell>
        </row>
        <row r="5811">
          <cell r="B5811" t="str">
            <v>-</v>
          </cell>
          <cell r="E5811" t="str">
            <v/>
          </cell>
          <cell r="G5811" t="str">
            <v/>
          </cell>
          <cell r="J5811" t="str">
            <v/>
          </cell>
          <cell r="O5811" t="str">
            <v/>
          </cell>
          <cell r="P5811" t="str">
            <v/>
          </cell>
          <cell r="Q5811" t="str">
            <v/>
          </cell>
          <cell r="S5811" t="str">
            <v/>
          </cell>
          <cell r="V5811" t="str">
            <v/>
          </cell>
          <cell r="Z5811" t="str">
            <v/>
          </cell>
          <cell r="AA5811" t="str">
            <v/>
          </cell>
          <cell r="AB5811" t="str">
            <v/>
          </cell>
          <cell r="AC5811" t="str">
            <v/>
          </cell>
          <cell r="AD5811" t="str">
            <v/>
          </cell>
          <cell r="AY5811" t="str">
            <v/>
          </cell>
          <cell r="AZ5811" t="str">
            <v/>
          </cell>
          <cell r="BA5811" t="str">
            <v/>
          </cell>
        </row>
        <row r="5812">
          <cell r="B5812" t="str">
            <v>-</v>
          </cell>
          <cell r="E5812" t="str">
            <v/>
          </cell>
          <cell r="G5812" t="str">
            <v/>
          </cell>
          <cell r="J5812" t="str">
            <v/>
          </cell>
          <cell r="O5812" t="str">
            <v/>
          </cell>
          <cell r="P5812" t="str">
            <v/>
          </cell>
          <cell r="Q5812" t="str">
            <v/>
          </cell>
          <cell r="S5812" t="str">
            <v/>
          </cell>
          <cell r="V5812" t="str">
            <v/>
          </cell>
          <cell r="Z5812" t="str">
            <v/>
          </cell>
          <cell r="AA5812" t="str">
            <v/>
          </cell>
          <cell r="AB5812" t="str">
            <v/>
          </cell>
          <cell r="AC5812" t="str">
            <v/>
          </cell>
          <cell r="AD5812" t="str">
            <v/>
          </cell>
          <cell r="AY5812" t="str">
            <v/>
          </cell>
          <cell r="AZ5812" t="str">
            <v/>
          </cell>
          <cell r="BA5812" t="str">
            <v/>
          </cell>
        </row>
        <row r="5813">
          <cell r="B5813" t="str">
            <v>-</v>
          </cell>
          <cell r="E5813" t="str">
            <v/>
          </cell>
          <cell r="G5813" t="str">
            <v/>
          </cell>
          <cell r="J5813" t="str">
            <v/>
          </cell>
          <cell r="O5813" t="str">
            <v/>
          </cell>
          <cell r="P5813" t="str">
            <v/>
          </cell>
          <cell r="Q5813" t="str">
            <v/>
          </cell>
          <cell r="S5813" t="str">
            <v/>
          </cell>
          <cell r="V5813" t="str">
            <v/>
          </cell>
          <cell r="Z5813" t="str">
            <v/>
          </cell>
          <cell r="AA5813" t="str">
            <v/>
          </cell>
          <cell r="AB5813" t="str">
            <v/>
          </cell>
          <cell r="AC5813" t="str">
            <v/>
          </cell>
          <cell r="AD5813" t="str">
            <v/>
          </cell>
          <cell r="AY5813" t="str">
            <v/>
          </cell>
          <cell r="AZ5813" t="str">
            <v/>
          </cell>
          <cell r="BA5813" t="str">
            <v/>
          </cell>
        </row>
        <row r="5814">
          <cell r="B5814" t="str">
            <v>-</v>
          </cell>
          <cell r="E5814" t="str">
            <v/>
          </cell>
          <cell r="G5814" t="str">
            <v/>
          </cell>
          <cell r="J5814" t="str">
            <v/>
          </cell>
          <cell r="O5814" t="str">
            <v/>
          </cell>
          <cell r="P5814" t="str">
            <v/>
          </cell>
          <cell r="Q5814" t="str">
            <v/>
          </cell>
          <cell r="S5814" t="str">
            <v/>
          </cell>
          <cell r="V5814" t="str">
            <v/>
          </cell>
          <cell r="Z5814" t="str">
            <v/>
          </cell>
          <cell r="AA5814" t="str">
            <v/>
          </cell>
          <cell r="AB5814" t="str">
            <v/>
          </cell>
          <cell r="AC5814" t="str">
            <v/>
          </cell>
          <cell r="AD5814" t="str">
            <v/>
          </cell>
          <cell r="AY5814" t="str">
            <v/>
          </cell>
          <cell r="AZ5814" t="str">
            <v/>
          </cell>
          <cell r="BA5814" t="str">
            <v/>
          </cell>
        </row>
        <row r="5815">
          <cell r="B5815" t="str">
            <v>-</v>
          </cell>
          <cell r="E5815" t="str">
            <v/>
          </cell>
          <cell r="G5815" t="str">
            <v/>
          </cell>
          <cell r="J5815" t="str">
            <v/>
          </cell>
          <cell r="O5815" t="str">
            <v/>
          </cell>
          <cell r="P5815" t="str">
            <v/>
          </cell>
          <cell r="Q5815" t="str">
            <v/>
          </cell>
          <cell r="S5815" t="str">
            <v/>
          </cell>
          <cell r="V5815" t="str">
            <v/>
          </cell>
          <cell r="Z5815" t="str">
            <v/>
          </cell>
          <cell r="AA5815" t="str">
            <v/>
          </cell>
          <cell r="AB5815" t="str">
            <v/>
          </cell>
          <cell r="AC5815" t="str">
            <v/>
          </cell>
          <cell r="AD5815" t="str">
            <v/>
          </cell>
          <cell r="AY5815" t="str">
            <v/>
          </cell>
          <cell r="AZ5815" t="str">
            <v/>
          </cell>
          <cell r="BA5815" t="str">
            <v/>
          </cell>
        </row>
        <row r="5816">
          <cell r="B5816" t="str">
            <v>-</v>
          </cell>
          <cell r="E5816" t="str">
            <v/>
          </cell>
          <cell r="G5816" t="str">
            <v/>
          </cell>
          <cell r="J5816" t="str">
            <v/>
          </cell>
          <cell r="O5816" t="str">
            <v/>
          </cell>
          <cell r="P5816" t="str">
            <v/>
          </cell>
          <cell r="Q5816" t="str">
            <v/>
          </cell>
          <cell r="S5816" t="str">
            <v/>
          </cell>
          <cell r="V5816" t="str">
            <v/>
          </cell>
          <cell r="Z5816" t="str">
            <v/>
          </cell>
          <cell r="AA5816" t="str">
            <v/>
          </cell>
          <cell r="AB5816" t="str">
            <v/>
          </cell>
          <cell r="AC5816" t="str">
            <v/>
          </cell>
          <cell r="AD5816" t="str">
            <v/>
          </cell>
          <cell r="AY5816" t="str">
            <v/>
          </cell>
          <cell r="AZ5816" t="str">
            <v/>
          </cell>
          <cell r="BA5816" t="str">
            <v/>
          </cell>
        </row>
        <row r="5817">
          <cell r="B5817" t="str">
            <v>-</v>
          </cell>
          <cell r="E5817" t="str">
            <v/>
          </cell>
          <cell r="G5817" t="str">
            <v/>
          </cell>
          <cell r="J5817" t="str">
            <v/>
          </cell>
          <cell r="O5817" t="str">
            <v/>
          </cell>
          <cell r="P5817" t="str">
            <v/>
          </cell>
          <cell r="Q5817" t="str">
            <v/>
          </cell>
          <cell r="S5817" t="str">
            <v/>
          </cell>
          <cell r="V5817" t="str">
            <v/>
          </cell>
          <cell r="Z5817" t="str">
            <v/>
          </cell>
          <cell r="AA5817" t="str">
            <v/>
          </cell>
          <cell r="AB5817" t="str">
            <v/>
          </cell>
          <cell r="AC5817" t="str">
            <v/>
          </cell>
          <cell r="AD5817" t="str">
            <v/>
          </cell>
          <cell r="AY5817" t="str">
            <v/>
          </cell>
          <cell r="AZ5817" t="str">
            <v/>
          </cell>
          <cell r="BA5817" t="str">
            <v/>
          </cell>
        </row>
        <row r="5818">
          <cell r="B5818" t="str">
            <v>-</v>
          </cell>
          <cell r="E5818" t="str">
            <v/>
          </cell>
          <cell r="G5818" t="str">
            <v/>
          </cell>
          <cell r="J5818" t="str">
            <v/>
          </cell>
          <cell r="O5818" t="str">
            <v/>
          </cell>
          <cell r="P5818" t="str">
            <v/>
          </cell>
          <cell r="Q5818" t="str">
            <v/>
          </cell>
          <cell r="S5818" t="str">
            <v/>
          </cell>
          <cell r="V5818" t="str">
            <v/>
          </cell>
          <cell r="Z5818" t="str">
            <v/>
          </cell>
          <cell r="AA5818" t="str">
            <v/>
          </cell>
          <cell r="AB5818" t="str">
            <v/>
          </cell>
          <cell r="AC5818" t="str">
            <v/>
          </cell>
          <cell r="AD5818" t="str">
            <v/>
          </cell>
          <cell r="AY5818" t="str">
            <v/>
          </cell>
          <cell r="AZ5818" t="str">
            <v/>
          </cell>
          <cell r="BA5818" t="str">
            <v/>
          </cell>
        </row>
        <row r="5819">
          <cell r="B5819" t="str">
            <v>-</v>
          </cell>
          <cell r="E5819" t="str">
            <v/>
          </cell>
          <cell r="G5819" t="str">
            <v/>
          </cell>
          <cell r="J5819" t="str">
            <v/>
          </cell>
          <cell r="O5819" t="str">
            <v/>
          </cell>
          <cell r="P5819" t="str">
            <v/>
          </cell>
          <cell r="Q5819" t="str">
            <v/>
          </cell>
          <cell r="S5819" t="str">
            <v/>
          </cell>
          <cell r="V5819" t="str">
            <v/>
          </cell>
          <cell r="Z5819" t="str">
            <v/>
          </cell>
          <cell r="AA5819" t="str">
            <v/>
          </cell>
          <cell r="AB5819" t="str">
            <v/>
          </cell>
          <cell r="AC5819" t="str">
            <v/>
          </cell>
          <cell r="AD5819" t="str">
            <v/>
          </cell>
          <cell r="AY5819" t="str">
            <v/>
          </cell>
          <cell r="AZ5819" t="str">
            <v/>
          </cell>
          <cell r="BA5819" t="str">
            <v/>
          </cell>
        </row>
        <row r="5820">
          <cell r="B5820" t="str">
            <v>-</v>
          </cell>
          <cell r="E5820" t="str">
            <v/>
          </cell>
          <cell r="G5820" t="str">
            <v/>
          </cell>
          <cell r="J5820" t="str">
            <v/>
          </cell>
          <cell r="O5820" t="str">
            <v/>
          </cell>
          <cell r="P5820" t="str">
            <v/>
          </cell>
          <cell r="Q5820" t="str">
            <v/>
          </cell>
          <cell r="S5820" t="str">
            <v/>
          </cell>
          <cell r="V5820" t="str">
            <v/>
          </cell>
          <cell r="Z5820" t="str">
            <v/>
          </cell>
          <cell r="AA5820" t="str">
            <v/>
          </cell>
          <cell r="AB5820" t="str">
            <v/>
          </cell>
          <cell r="AC5820" t="str">
            <v/>
          </cell>
          <cell r="AD5820" t="str">
            <v/>
          </cell>
          <cell r="AY5820" t="str">
            <v/>
          </cell>
          <cell r="AZ5820" t="str">
            <v/>
          </cell>
          <cell r="BA5820" t="str">
            <v/>
          </cell>
        </row>
        <row r="5821">
          <cell r="B5821" t="str">
            <v>-</v>
          </cell>
          <cell r="E5821" t="str">
            <v/>
          </cell>
          <cell r="G5821" t="str">
            <v/>
          </cell>
          <cell r="J5821" t="str">
            <v/>
          </cell>
          <cell r="O5821" t="str">
            <v/>
          </cell>
          <cell r="P5821" t="str">
            <v/>
          </cell>
          <cell r="Q5821" t="str">
            <v/>
          </cell>
          <cell r="S5821" t="str">
            <v/>
          </cell>
          <cell r="V5821" t="str">
            <v/>
          </cell>
          <cell r="Z5821" t="str">
            <v/>
          </cell>
          <cell r="AA5821" t="str">
            <v/>
          </cell>
          <cell r="AB5821" t="str">
            <v/>
          </cell>
          <cell r="AC5821" t="str">
            <v/>
          </cell>
          <cell r="AD5821" t="str">
            <v/>
          </cell>
          <cell r="AY5821" t="str">
            <v/>
          </cell>
          <cell r="AZ5821" t="str">
            <v/>
          </cell>
          <cell r="BA5821" t="str">
            <v/>
          </cell>
        </row>
        <row r="5822">
          <cell r="B5822" t="str">
            <v>-</v>
          </cell>
          <cell r="E5822" t="str">
            <v/>
          </cell>
          <cell r="G5822" t="str">
            <v/>
          </cell>
          <cell r="J5822" t="str">
            <v/>
          </cell>
          <cell r="O5822" t="str">
            <v/>
          </cell>
          <cell r="P5822" t="str">
            <v/>
          </cell>
          <cell r="Q5822" t="str">
            <v/>
          </cell>
          <cell r="S5822" t="str">
            <v/>
          </cell>
          <cell r="V5822" t="str">
            <v/>
          </cell>
          <cell r="Z5822" t="str">
            <v/>
          </cell>
          <cell r="AA5822" t="str">
            <v/>
          </cell>
          <cell r="AB5822" t="str">
            <v/>
          </cell>
          <cell r="AC5822" t="str">
            <v/>
          </cell>
          <cell r="AD5822" t="str">
            <v/>
          </cell>
          <cell r="AY5822" t="str">
            <v/>
          </cell>
          <cell r="AZ5822" t="str">
            <v/>
          </cell>
          <cell r="BA5822" t="str">
            <v/>
          </cell>
        </row>
        <row r="5823">
          <cell r="B5823" t="str">
            <v>-</v>
          </cell>
          <cell r="E5823" t="str">
            <v/>
          </cell>
          <cell r="G5823" t="str">
            <v/>
          </cell>
          <cell r="J5823" t="str">
            <v/>
          </cell>
          <cell r="O5823" t="str">
            <v/>
          </cell>
          <cell r="P5823" t="str">
            <v/>
          </cell>
          <cell r="Q5823" t="str">
            <v/>
          </cell>
          <cell r="S5823" t="str">
            <v/>
          </cell>
          <cell r="V5823" t="str">
            <v/>
          </cell>
          <cell r="Z5823" t="str">
            <v/>
          </cell>
          <cell r="AA5823" t="str">
            <v/>
          </cell>
          <cell r="AB5823" t="str">
            <v/>
          </cell>
          <cell r="AC5823" t="str">
            <v/>
          </cell>
          <cell r="AD5823" t="str">
            <v/>
          </cell>
          <cell r="AY5823" t="str">
            <v/>
          </cell>
          <cell r="AZ5823" t="str">
            <v/>
          </cell>
          <cell r="BA5823" t="str">
            <v/>
          </cell>
        </row>
        <row r="5824">
          <cell r="B5824" t="str">
            <v>-</v>
          </cell>
          <cell r="E5824" t="str">
            <v/>
          </cell>
          <cell r="G5824" t="str">
            <v/>
          </cell>
          <cell r="J5824" t="str">
            <v/>
          </cell>
          <cell r="O5824" t="str">
            <v/>
          </cell>
          <cell r="P5824" t="str">
            <v/>
          </cell>
          <cell r="Q5824" t="str">
            <v/>
          </cell>
          <cell r="S5824" t="str">
            <v/>
          </cell>
          <cell r="V5824" t="str">
            <v/>
          </cell>
          <cell r="Z5824" t="str">
            <v/>
          </cell>
          <cell r="AA5824" t="str">
            <v/>
          </cell>
          <cell r="AB5824" t="str">
            <v/>
          </cell>
          <cell r="AC5824" t="str">
            <v/>
          </cell>
          <cell r="AD5824" t="str">
            <v/>
          </cell>
          <cell r="AY5824" t="str">
            <v/>
          </cell>
          <cell r="AZ5824" t="str">
            <v/>
          </cell>
          <cell r="BA5824" t="str">
            <v/>
          </cell>
        </row>
        <row r="5825">
          <cell r="B5825" t="str">
            <v>-</v>
          </cell>
          <cell r="E5825" t="str">
            <v/>
          </cell>
          <cell r="G5825" t="str">
            <v/>
          </cell>
          <cell r="J5825" t="str">
            <v/>
          </cell>
          <cell r="O5825" t="str">
            <v/>
          </cell>
          <cell r="P5825" t="str">
            <v/>
          </cell>
          <cell r="Q5825" t="str">
            <v/>
          </cell>
          <cell r="S5825" t="str">
            <v/>
          </cell>
          <cell r="V5825" t="str">
            <v/>
          </cell>
          <cell r="Z5825" t="str">
            <v/>
          </cell>
          <cell r="AA5825" t="str">
            <v/>
          </cell>
          <cell r="AB5825" t="str">
            <v/>
          </cell>
          <cell r="AC5825" t="str">
            <v/>
          </cell>
          <cell r="AD5825" t="str">
            <v/>
          </cell>
          <cell r="AY5825" t="str">
            <v/>
          </cell>
          <cell r="AZ5825" t="str">
            <v/>
          </cell>
          <cell r="BA5825" t="str">
            <v/>
          </cell>
        </row>
        <row r="5826">
          <cell r="B5826" t="str">
            <v>-</v>
          </cell>
          <cell r="E5826" t="str">
            <v/>
          </cell>
          <cell r="G5826" t="str">
            <v/>
          </cell>
          <cell r="J5826" t="str">
            <v/>
          </cell>
          <cell r="O5826" t="str">
            <v/>
          </cell>
          <cell r="P5826" t="str">
            <v/>
          </cell>
          <cell r="Q5826" t="str">
            <v/>
          </cell>
          <cell r="S5826" t="str">
            <v/>
          </cell>
          <cell r="V5826" t="str">
            <v/>
          </cell>
          <cell r="Z5826" t="str">
            <v/>
          </cell>
          <cell r="AA5826" t="str">
            <v/>
          </cell>
          <cell r="AB5826" t="str">
            <v/>
          </cell>
          <cell r="AC5826" t="str">
            <v/>
          </cell>
          <cell r="AD5826" t="str">
            <v/>
          </cell>
          <cell r="AY5826" t="str">
            <v/>
          </cell>
          <cell r="AZ5826" t="str">
            <v/>
          </cell>
          <cell r="BA5826" t="str">
            <v/>
          </cell>
        </row>
        <row r="5827">
          <cell r="B5827" t="str">
            <v>-</v>
          </cell>
          <cell r="E5827" t="str">
            <v/>
          </cell>
          <cell r="G5827" t="str">
            <v/>
          </cell>
          <cell r="J5827" t="str">
            <v/>
          </cell>
          <cell r="O5827" t="str">
            <v/>
          </cell>
          <cell r="P5827" t="str">
            <v/>
          </cell>
          <cell r="Q5827" t="str">
            <v/>
          </cell>
          <cell r="S5827" t="str">
            <v/>
          </cell>
          <cell r="V5827" t="str">
            <v/>
          </cell>
          <cell r="Z5827" t="str">
            <v/>
          </cell>
          <cell r="AA5827" t="str">
            <v/>
          </cell>
          <cell r="AB5827" t="str">
            <v/>
          </cell>
          <cell r="AC5827" t="str">
            <v/>
          </cell>
          <cell r="AD5827" t="str">
            <v/>
          </cell>
          <cell r="AY5827" t="str">
            <v/>
          </cell>
          <cell r="AZ5827" t="str">
            <v/>
          </cell>
          <cell r="BA5827" t="str">
            <v/>
          </cell>
        </row>
        <row r="5828">
          <cell r="B5828" t="str">
            <v>-</v>
          </cell>
          <cell r="E5828" t="str">
            <v/>
          </cell>
          <cell r="G5828" t="str">
            <v/>
          </cell>
          <cell r="J5828" t="str">
            <v/>
          </cell>
          <cell r="O5828" t="str">
            <v/>
          </cell>
          <cell r="P5828" t="str">
            <v/>
          </cell>
          <cell r="Q5828" t="str">
            <v/>
          </cell>
          <cell r="S5828" t="str">
            <v/>
          </cell>
          <cell r="V5828" t="str">
            <v/>
          </cell>
          <cell r="Z5828" t="str">
            <v/>
          </cell>
          <cell r="AA5828" t="str">
            <v/>
          </cell>
          <cell r="AB5828" t="str">
            <v/>
          </cell>
          <cell r="AC5828" t="str">
            <v/>
          </cell>
          <cell r="AD5828" t="str">
            <v/>
          </cell>
          <cell r="AY5828" t="str">
            <v/>
          </cell>
          <cell r="AZ5828" t="str">
            <v/>
          </cell>
          <cell r="BA5828" t="str">
            <v/>
          </cell>
        </row>
        <row r="5829">
          <cell r="B5829" t="str">
            <v>-</v>
          </cell>
          <cell r="E5829" t="str">
            <v/>
          </cell>
          <cell r="G5829" t="str">
            <v/>
          </cell>
          <cell r="J5829" t="str">
            <v/>
          </cell>
          <cell r="O5829" t="str">
            <v/>
          </cell>
          <cell r="P5829" t="str">
            <v/>
          </cell>
          <cell r="Q5829" t="str">
            <v/>
          </cell>
          <cell r="S5829" t="str">
            <v/>
          </cell>
          <cell r="V5829" t="str">
            <v/>
          </cell>
          <cell r="Z5829" t="str">
            <v/>
          </cell>
          <cell r="AA5829" t="str">
            <v/>
          </cell>
          <cell r="AB5829" t="str">
            <v/>
          </cell>
          <cell r="AC5829" t="str">
            <v/>
          </cell>
          <cell r="AD5829" t="str">
            <v/>
          </cell>
          <cell r="AY5829" t="str">
            <v/>
          </cell>
          <cell r="AZ5829" t="str">
            <v/>
          </cell>
          <cell r="BA5829" t="str">
            <v/>
          </cell>
        </row>
        <row r="5830">
          <cell r="B5830" t="str">
            <v>-</v>
          </cell>
          <cell r="E5830" t="str">
            <v/>
          </cell>
          <cell r="G5830" t="str">
            <v/>
          </cell>
          <cell r="J5830" t="str">
            <v/>
          </cell>
          <cell r="O5830" t="str">
            <v/>
          </cell>
          <cell r="P5830" t="str">
            <v/>
          </cell>
          <cell r="Q5830" t="str">
            <v/>
          </cell>
          <cell r="S5830" t="str">
            <v/>
          </cell>
          <cell r="V5830" t="str">
            <v/>
          </cell>
          <cell r="Z5830" t="str">
            <v/>
          </cell>
          <cell r="AA5830" t="str">
            <v/>
          </cell>
          <cell r="AB5830" t="str">
            <v/>
          </cell>
          <cell r="AC5830" t="str">
            <v/>
          </cell>
          <cell r="AD5830" t="str">
            <v/>
          </cell>
          <cell r="AY5830" t="str">
            <v/>
          </cell>
          <cell r="AZ5830" t="str">
            <v/>
          </cell>
          <cell r="BA5830" t="str">
            <v/>
          </cell>
        </row>
        <row r="5831">
          <cell r="B5831" t="str">
            <v>-</v>
          </cell>
          <cell r="E5831" t="str">
            <v/>
          </cell>
          <cell r="G5831" t="str">
            <v/>
          </cell>
          <cell r="J5831" t="str">
            <v/>
          </cell>
          <cell r="O5831" t="str">
            <v/>
          </cell>
          <cell r="P5831" t="str">
            <v/>
          </cell>
          <cell r="Q5831" t="str">
            <v/>
          </cell>
          <cell r="S5831" t="str">
            <v/>
          </cell>
          <cell r="V5831" t="str">
            <v/>
          </cell>
          <cell r="Z5831" t="str">
            <v/>
          </cell>
          <cell r="AA5831" t="str">
            <v/>
          </cell>
          <cell r="AB5831" t="str">
            <v/>
          </cell>
          <cell r="AC5831" t="str">
            <v/>
          </cell>
          <cell r="AD5831" t="str">
            <v/>
          </cell>
          <cell r="AY5831" t="str">
            <v/>
          </cell>
          <cell r="AZ5831" t="str">
            <v/>
          </cell>
          <cell r="BA5831" t="str">
            <v/>
          </cell>
        </row>
        <row r="5832">
          <cell r="B5832" t="str">
            <v>-</v>
          </cell>
          <cell r="E5832" t="str">
            <v/>
          </cell>
          <cell r="G5832" t="str">
            <v/>
          </cell>
          <cell r="J5832" t="str">
            <v/>
          </cell>
          <cell r="O5832" t="str">
            <v/>
          </cell>
          <cell r="P5832" t="str">
            <v/>
          </cell>
          <cell r="Q5832" t="str">
            <v/>
          </cell>
          <cell r="S5832" t="str">
            <v/>
          </cell>
          <cell r="V5832" t="str">
            <v/>
          </cell>
          <cell r="Z5832" t="str">
            <v/>
          </cell>
          <cell r="AA5832" t="str">
            <v/>
          </cell>
          <cell r="AB5832" t="str">
            <v/>
          </cell>
          <cell r="AC5832" t="str">
            <v/>
          </cell>
          <cell r="AD5832" t="str">
            <v/>
          </cell>
          <cell r="AY5832" t="str">
            <v/>
          </cell>
          <cell r="AZ5832" t="str">
            <v/>
          </cell>
          <cell r="BA5832" t="str">
            <v/>
          </cell>
        </row>
        <row r="5833">
          <cell r="B5833" t="str">
            <v>-</v>
          </cell>
          <cell r="E5833" t="str">
            <v/>
          </cell>
          <cell r="G5833" t="str">
            <v/>
          </cell>
          <cell r="J5833" t="str">
            <v/>
          </cell>
          <cell r="O5833" t="str">
            <v/>
          </cell>
          <cell r="P5833" t="str">
            <v/>
          </cell>
          <cell r="Q5833" t="str">
            <v/>
          </cell>
          <cell r="S5833" t="str">
            <v/>
          </cell>
          <cell r="V5833" t="str">
            <v/>
          </cell>
          <cell r="Z5833" t="str">
            <v/>
          </cell>
          <cell r="AA5833" t="str">
            <v/>
          </cell>
          <cell r="AB5833" t="str">
            <v/>
          </cell>
          <cell r="AC5833" t="str">
            <v/>
          </cell>
          <cell r="AD5833" t="str">
            <v/>
          </cell>
          <cell r="AY5833" t="str">
            <v/>
          </cell>
          <cell r="AZ5833" t="str">
            <v/>
          </cell>
          <cell r="BA5833" t="str">
            <v/>
          </cell>
        </row>
        <row r="5834">
          <cell r="B5834" t="str">
            <v>-</v>
          </cell>
          <cell r="E5834" t="str">
            <v/>
          </cell>
          <cell r="G5834" t="str">
            <v/>
          </cell>
          <cell r="J5834" t="str">
            <v/>
          </cell>
          <cell r="O5834" t="str">
            <v/>
          </cell>
          <cell r="P5834" t="str">
            <v/>
          </cell>
          <cell r="Q5834" t="str">
            <v/>
          </cell>
          <cell r="S5834" t="str">
            <v/>
          </cell>
          <cell r="V5834" t="str">
            <v/>
          </cell>
          <cell r="Z5834" t="str">
            <v/>
          </cell>
          <cell r="AA5834" t="str">
            <v/>
          </cell>
          <cell r="AB5834" t="str">
            <v/>
          </cell>
          <cell r="AC5834" t="str">
            <v/>
          </cell>
          <cell r="AD5834" t="str">
            <v/>
          </cell>
          <cell r="AY5834" t="str">
            <v/>
          </cell>
          <cell r="AZ5834" t="str">
            <v/>
          </cell>
          <cell r="BA5834" t="str">
            <v/>
          </cell>
        </row>
        <row r="5835">
          <cell r="B5835" t="str">
            <v>-</v>
          </cell>
          <cell r="E5835" t="str">
            <v/>
          </cell>
          <cell r="G5835" t="str">
            <v/>
          </cell>
          <cell r="J5835" t="str">
            <v/>
          </cell>
          <cell r="O5835" t="str">
            <v/>
          </cell>
          <cell r="P5835" t="str">
            <v/>
          </cell>
          <cell r="Q5835" t="str">
            <v/>
          </cell>
          <cell r="S5835" t="str">
            <v/>
          </cell>
          <cell r="V5835" t="str">
            <v/>
          </cell>
          <cell r="Z5835" t="str">
            <v/>
          </cell>
          <cell r="AA5835" t="str">
            <v/>
          </cell>
          <cell r="AB5835" t="str">
            <v/>
          </cell>
          <cell r="AC5835" t="str">
            <v/>
          </cell>
          <cell r="AD5835" t="str">
            <v/>
          </cell>
          <cell r="AY5835" t="str">
            <v/>
          </cell>
          <cell r="AZ5835" t="str">
            <v/>
          </cell>
          <cell r="BA5835" t="str">
            <v/>
          </cell>
        </row>
        <row r="5836">
          <cell r="B5836" t="str">
            <v>-</v>
          </cell>
          <cell r="E5836" t="str">
            <v/>
          </cell>
          <cell r="G5836" t="str">
            <v/>
          </cell>
          <cell r="J5836" t="str">
            <v/>
          </cell>
          <cell r="O5836" t="str">
            <v/>
          </cell>
          <cell r="P5836" t="str">
            <v/>
          </cell>
          <cell r="Q5836" t="str">
            <v/>
          </cell>
          <cell r="S5836" t="str">
            <v/>
          </cell>
          <cell r="V5836" t="str">
            <v/>
          </cell>
          <cell r="Z5836" t="str">
            <v/>
          </cell>
          <cell r="AA5836" t="str">
            <v/>
          </cell>
          <cell r="AB5836" t="str">
            <v/>
          </cell>
          <cell r="AC5836" t="str">
            <v/>
          </cell>
          <cell r="AD5836" t="str">
            <v/>
          </cell>
          <cell r="AY5836" t="str">
            <v/>
          </cell>
          <cell r="AZ5836" t="str">
            <v/>
          </cell>
          <cell r="BA5836" t="str">
            <v/>
          </cell>
        </row>
        <row r="5837">
          <cell r="B5837" t="str">
            <v>-</v>
          </cell>
          <cell r="E5837" t="str">
            <v/>
          </cell>
          <cell r="G5837" t="str">
            <v/>
          </cell>
          <cell r="J5837" t="str">
            <v/>
          </cell>
          <cell r="O5837" t="str">
            <v/>
          </cell>
          <cell r="P5837" t="str">
            <v/>
          </cell>
          <cell r="Q5837" t="str">
            <v/>
          </cell>
          <cell r="S5837" t="str">
            <v/>
          </cell>
          <cell r="V5837" t="str">
            <v/>
          </cell>
          <cell r="Z5837" t="str">
            <v/>
          </cell>
          <cell r="AA5837" t="str">
            <v/>
          </cell>
          <cell r="AB5837" t="str">
            <v/>
          </cell>
          <cell r="AC5837" t="str">
            <v/>
          </cell>
          <cell r="AD5837" t="str">
            <v/>
          </cell>
          <cell r="AY5837" t="str">
            <v/>
          </cell>
          <cell r="AZ5837" t="str">
            <v/>
          </cell>
          <cell r="BA5837" t="str">
            <v/>
          </cell>
        </row>
        <row r="5838">
          <cell r="B5838" t="str">
            <v>-</v>
          </cell>
          <cell r="E5838" t="str">
            <v/>
          </cell>
          <cell r="G5838" t="str">
            <v/>
          </cell>
          <cell r="J5838" t="str">
            <v/>
          </cell>
          <cell r="O5838" t="str">
            <v/>
          </cell>
          <cell r="P5838" t="str">
            <v/>
          </cell>
          <cell r="Q5838" t="str">
            <v/>
          </cell>
          <cell r="S5838" t="str">
            <v/>
          </cell>
          <cell r="V5838" t="str">
            <v/>
          </cell>
          <cell r="Z5838" t="str">
            <v/>
          </cell>
          <cell r="AA5838" t="str">
            <v/>
          </cell>
          <cell r="AB5838" t="str">
            <v/>
          </cell>
          <cell r="AC5838" t="str">
            <v/>
          </cell>
          <cell r="AD5838" t="str">
            <v/>
          </cell>
          <cell r="AY5838" t="str">
            <v/>
          </cell>
          <cell r="AZ5838" t="str">
            <v/>
          </cell>
          <cell r="BA5838" t="str">
            <v/>
          </cell>
        </row>
        <row r="5839">
          <cell r="B5839" t="str">
            <v>-</v>
          </cell>
          <cell r="E5839" t="str">
            <v/>
          </cell>
          <cell r="G5839" t="str">
            <v/>
          </cell>
          <cell r="J5839" t="str">
            <v/>
          </cell>
          <cell r="O5839" t="str">
            <v/>
          </cell>
          <cell r="P5839" t="str">
            <v/>
          </cell>
          <cell r="Q5839" t="str">
            <v/>
          </cell>
          <cell r="S5839" t="str">
            <v/>
          </cell>
          <cell r="V5839" t="str">
            <v/>
          </cell>
          <cell r="Z5839" t="str">
            <v/>
          </cell>
          <cell r="AA5839" t="str">
            <v/>
          </cell>
          <cell r="AB5839" t="str">
            <v/>
          </cell>
          <cell r="AC5839" t="str">
            <v/>
          </cell>
          <cell r="AD5839" t="str">
            <v/>
          </cell>
          <cell r="AY5839" t="str">
            <v/>
          </cell>
          <cell r="AZ5839" t="str">
            <v/>
          </cell>
          <cell r="BA5839" t="str">
            <v/>
          </cell>
        </row>
        <row r="5840">
          <cell r="B5840" t="str">
            <v>-</v>
          </cell>
          <cell r="E5840" t="str">
            <v/>
          </cell>
          <cell r="G5840" t="str">
            <v/>
          </cell>
          <cell r="J5840" t="str">
            <v/>
          </cell>
          <cell r="O5840" t="str">
            <v/>
          </cell>
          <cell r="P5840" t="str">
            <v/>
          </cell>
          <cell r="Q5840" t="str">
            <v/>
          </cell>
          <cell r="S5840" t="str">
            <v/>
          </cell>
          <cell r="V5840" t="str">
            <v/>
          </cell>
          <cell r="Z5840" t="str">
            <v/>
          </cell>
          <cell r="AA5840" t="str">
            <v/>
          </cell>
          <cell r="AB5840" t="str">
            <v/>
          </cell>
          <cell r="AC5840" t="str">
            <v/>
          </cell>
          <cell r="AD5840" t="str">
            <v/>
          </cell>
          <cell r="AY5840" t="str">
            <v/>
          </cell>
          <cell r="AZ5840" t="str">
            <v/>
          </cell>
          <cell r="BA5840" t="str">
            <v/>
          </cell>
        </row>
        <row r="5841">
          <cell r="B5841" t="str">
            <v>-</v>
          </cell>
          <cell r="E5841" t="str">
            <v/>
          </cell>
          <cell r="G5841" t="str">
            <v/>
          </cell>
          <cell r="J5841" t="str">
            <v/>
          </cell>
          <cell r="O5841" t="str">
            <v/>
          </cell>
          <cell r="P5841" t="str">
            <v/>
          </cell>
          <cell r="Q5841" t="str">
            <v/>
          </cell>
          <cell r="S5841" t="str">
            <v/>
          </cell>
          <cell r="V5841" t="str">
            <v/>
          </cell>
          <cell r="Z5841" t="str">
            <v/>
          </cell>
          <cell r="AA5841" t="str">
            <v/>
          </cell>
          <cell r="AB5841" t="str">
            <v/>
          </cell>
          <cell r="AC5841" t="str">
            <v/>
          </cell>
          <cell r="AD5841" t="str">
            <v/>
          </cell>
          <cell r="AY5841" t="str">
            <v/>
          </cell>
          <cell r="AZ5841" t="str">
            <v/>
          </cell>
          <cell r="BA5841" t="str">
            <v/>
          </cell>
        </row>
        <row r="5842">
          <cell r="B5842" t="str">
            <v>-</v>
          </cell>
          <cell r="E5842" t="str">
            <v/>
          </cell>
          <cell r="G5842" t="str">
            <v/>
          </cell>
          <cell r="J5842" t="str">
            <v/>
          </cell>
          <cell r="O5842" t="str">
            <v/>
          </cell>
          <cell r="P5842" t="str">
            <v/>
          </cell>
          <cell r="Q5842" t="str">
            <v/>
          </cell>
          <cell r="S5842" t="str">
            <v/>
          </cell>
          <cell r="V5842" t="str">
            <v/>
          </cell>
          <cell r="Z5842" t="str">
            <v/>
          </cell>
          <cell r="AA5842" t="str">
            <v/>
          </cell>
          <cell r="AB5842" t="str">
            <v/>
          </cell>
          <cell r="AC5842" t="str">
            <v/>
          </cell>
          <cell r="AD5842" t="str">
            <v/>
          </cell>
          <cell r="AY5842" t="str">
            <v/>
          </cell>
          <cell r="AZ5842" t="str">
            <v/>
          </cell>
          <cell r="BA5842" t="str">
            <v/>
          </cell>
        </row>
        <row r="5843">
          <cell r="B5843" t="str">
            <v>-</v>
          </cell>
          <cell r="E5843" t="str">
            <v/>
          </cell>
          <cell r="G5843" t="str">
            <v/>
          </cell>
          <cell r="J5843" t="str">
            <v/>
          </cell>
          <cell r="O5843" t="str">
            <v/>
          </cell>
          <cell r="P5843" t="str">
            <v/>
          </cell>
          <cell r="Q5843" t="str">
            <v/>
          </cell>
          <cell r="S5843" t="str">
            <v/>
          </cell>
          <cell r="V5843" t="str">
            <v/>
          </cell>
          <cell r="Z5843" t="str">
            <v/>
          </cell>
          <cell r="AA5843" t="str">
            <v/>
          </cell>
          <cell r="AB5843" t="str">
            <v/>
          </cell>
          <cell r="AC5843" t="str">
            <v/>
          </cell>
          <cell r="AD5843" t="str">
            <v/>
          </cell>
          <cell r="AY5843" t="str">
            <v/>
          </cell>
          <cell r="AZ5843" t="str">
            <v/>
          </cell>
          <cell r="BA5843" t="str">
            <v/>
          </cell>
        </row>
        <row r="5844">
          <cell r="B5844" t="str">
            <v>-</v>
          </cell>
          <cell r="E5844" t="str">
            <v/>
          </cell>
          <cell r="G5844" t="str">
            <v/>
          </cell>
          <cell r="J5844" t="str">
            <v/>
          </cell>
          <cell r="O5844" t="str">
            <v/>
          </cell>
          <cell r="P5844" t="str">
            <v/>
          </cell>
          <cell r="Q5844" t="str">
            <v/>
          </cell>
          <cell r="S5844" t="str">
            <v/>
          </cell>
          <cell r="V5844" t="str">
            <v/>
          </cell>
          <cell r="Z5844" t="str">
            <v/>
          </cell>
          <cell r="AA5844" t="str">
            <v/>
          </cell>
          <cell r="AB5844" t="str">
            <v/>
          </cell>
          <cell r="AC5844" t="str">
            <v/>
          </cell>
          <cell r="AD5844" t="str">
            <v/>
          </cell>
          <cell r="AY5844" t="str">
            <v/>
          </cell>
          <cell r="AZ5844" t="str">
            <v/>
          </cell>
          <cell r="BA5844" t="str">
            <v/>
          </cell>
        </row>
        <row r="5845">
          <cell r="B5845" t="str">
            <v>-</v>
          </cell>
          <cell r="E5845" t="str">
            <v/>
          </cell>
          <cell r="G5845" t="str">
            <v/>
          </cell>
          <cell r="J5845" t="str">
            <v/>
          </cell>
          <cell r="O5845" t="str">
            <v/>
          </cell>
          <cell r="P5845" t="str">
            <v/>
          </cell>
          <cell r="Q5845" t="str">
            <v/>
          </cell>
          <cell r="S5845" t="str">
            <v/>
          </cell>
          <cell r="V5845" t="str">
            <v/>
          </cell>
          <cell r="Z5845" t="str">
            <v/>
          </cell>
          <cell r="AA5845" t="str">
            <v/>
          </cell>
          <cell r="AB5845" t="str">
            <v/>
          </cell>
          <cell r="AC5845" t="str">
            <v/>
          </cell>
          <cell r="AD5845" t="str">
            <v/>
          </cell>
          <cell r="AY5845" t="str">
            <v/>
          </cell>
          <cell r="AZ5845" t="str">
            <v/>
          </cell>
          <cell r="BA5845" t="str">
            <v/>
          </cell>
        </row>
        <row r="5846">
          <cell r="B5846" t="str">
            <v>-</v>
          </cell>
          <cell r="E5846" t="str">
            <v/>
          </cell>
          <cell r="G5846" t="str">
            <v/>
          </cell>
          <cell r="J5846" t="str">
            <v/>
          </cell>
          <cell r="O5846" t="str">
            <v/>
          </cell>
          <cell r="P5846" t="str">
            <v/>
          </cell>
          <cell r="Q5846" t="str">
            <v/>
          </cell>
          <cell r="S5846" t="str">
            <v/>
          </cell>
          <cell r="V5846" t="str">
            <v/>
          </cell>
          <cell r="Z5846" t="str">
            <v/>
          </cell>
          <cell r="AA5846" t="str">
            <v/>
          </cell>
          <cell r="AB5846" t="str">
            <v/>
          </cell>
          <cell r="AC5846" t="str">
            <v/>
          </cell>
          <cell r="AD5846" t="str">
            <v/>
          </cell>
          <cell r="AY5846" t="str">
            <v/>
          </cell>
          <cell r="AZ5846" t="str">
            <v/>
          </cell>
          <cell r="BA5846" t="str">
            <v/>
          </cell>
        </row>
        <row r="5847">
          <cell r="B5847" t="str">
            <v>-</v>
          </cell>
          <cell r="E5847" t="str">
            <v/>
          </cell>
          <cell r="G5847" t="str">
            <v/>
          </cell>
          <cell r="J5847" t="str">
            <v/>
          </cell>
          <cell r="O5847" t="str">
            <v/>
          </cell>
          <cell r="P5847" t="str">
            <v/>
          </cell>
          <cell r="Q5847" t="str">
            <v/>
          </cell>
          <cell r="S5847" t="str">
            <v/>
          </cell>
          <cell r="V5847" t="str">
            <v/>
          </cell>
          <cell r="Z5847" t="str">
            <v/>
          </cell>
          <cell r="AA5847" t="str">
            <v/>
          </cell>
          <cell r="AB5847" t="str">
            <v/>
          </cell>
          <cell r="AC5847" t="str">
            <v/>
          </cell>
          <cell r="AD5847" t="str">
            <v/>
          </cell>
          <cell r="AY5847" t="str">
            <v/>
          </cell>
          <cell r="AZ5847" t="str">
            <v/>
          </cell>
          <cell r="BA5847" t="str">
            <v/>
          </cell>
        </row>
        <row r="5848">
          <cell r="B5848" t="str">
            <v>-</v>
          </cell>
          <cell r="E5848" t="str">
            <v/>
          </cell>
          <cell r="G5848" t="str">
            <v/>
          </cell>
          <cell r="J5848" t="str">
            <v/>
          </cell>
          <cell r="O5848" t="str">
            <v/>
          </cell>
          <cell r="P5848" t="str">
            <v/>
          </cell>
          <cell r="Q5848" t="str">
            <v/>
          </cell>
          <cell r="S5848" t="str">
            <v/>
          </cell>
          <cell r="V5848" t="str">
            <v/>
          </cell>
          <cell r="Z5848" t="str">
            <v/>
          </cell>
          <cell r="AA5848" t="str">
            <v/>
          </cell>
          <cell r="AB5848" t="str">
            <v/>
          </cell>
          <cell r="AC5848" t="str">
            <v/>
          </cell>
          <cell r="AD5848" t="str">
            <v/>
          </cell>
          <cell r="AY5848" t="str">
            <v/>
          </cell>
          <cell r="AZ5848" t="str">
            <v/>
          </cell>
          <cell r="BA5848" t="str">
            <v/>
          </cell>
        </row>
        <row r="5849">
          <cell r="B5849" t="str">
            <v>-</v>
          </cell>
          <cell r="E5849" t="str">
            <v/>
          </cell>
          <cell r="G5849" t="str">
            <v/>
          </cell>
          <cell r="J5849" t="str">
            <v/>
          </cell>
          <cell r="O5849" t="str">
            <v/>
          </cell>
          <cell r="P5849" t="str">
            <v/>
          </cell>
          <cell r="Q5849" t="str">
            <v/>
          </cell>
          <cell r="S5849" t="str">
            <v/>
          </cell>
          <cell r="V5849" t="str">
            <v/>
          </cell>
          <cell r="Z5849" t="str">
            <v/>
          </cell>
          <cell r="AA5849" t="str">
            <v/>
          </cell>
          <cell r="AB5849" t="str">
            <v/>
          </cell>
          <cell r="AC5849" t="str">
            <v/>
          </cell>
          <cell r="AD5849" t="str">
            <v/>
          </cell>
          <cell r="AY5849" t="str">
            <v/>
          </cell>
          <cell r="AZ5849" t="str">
            <v/>
          </cell>
          <cell r="BA5849" t="str">
            <v/>
          </cell>
        </row>
        <row r="5850">
          <cell r="B5850" t="str">
            <v>-</v>
          </cell>
          <cell r="E5850" t="str">
            <v/>
          </cell>
          <cell r="G5850" t="str">
            <v/>
          </cell>
          <cell r="J5850" t="str">
            <v/>
          </cell>
          <cell r="O5850" t="str">
            <v/>
          </cell>
          <cell r="P5850" t="str">
            <v/>
          </cell>
          <cell r="Q5850" t="str">
            <v/>
          </cell>
          <cell r="S5850" t="str">
            <v/>
          </cell>
          <cell r="V5850" t="str">
            <v/>
          </cell>
          <cell r="Z5850" t="str">
            <v/>
          </cell>
          <cell r="AA5850" t="str">
            <v/>
          </cell>
          <cell r="AB5850" t="str">
            <v/>
          </cell>
          <cell r="AC5850" t="str">
            <v/>
          </cell>
          <cell r="AD5850" t="str">
            <v/>
          </cell>
          <cell r="AY5850" t="str">
            <v/>
          </cell>
          <cell r="AZ5850" t="str">
            <v/>
          </cell>
          <cell r="BA5850" t="str">
            <v/>
          </cell>
        </row>
        <row r="5851">
          <cell r="B5851" t="str">
            <v>-</v>
          </cell>
          <cell r="E5851" t="str">
            <v/>
          </cell>
          <cell r="G5851" t="str">
            <v/>
          </cell>
          <cell r="J5851" t="str">
            <v/>
          </cell>
          <cell r="O5851" t="str">
            <v/>
          </cell>
          <cell r="P5851" t="str">
            <v/>
          </cell>
          <cell r="Q5851" t="str">
            <v/>
          </cell>
          <cell r="S5851" t="str">
            <v/>
          </cell>
          <cell r="V5851" t="str">
            <v/>
          </cell>
          <cell r="Z5851" t="str">
            <v/>
          </cell>
          <cell r="AA5851" t="str">
            <v/>
          </cell>
          <cell r="AB5851" t="str">
            <v/>
          </cell>
          <cell r="AC5851" t="str">
            <v/>
          </cell>
          <cell r="AD5851" t="str">
            <v/>
          </cell>
          <cell r="AY5851" t="str">
            <v/>
          </cell>
          <cell r="AZ5851" t="str">
            <v/>
          </cell>
          <cell r="BA5851" t="str">
            <v/>
          </cell>
        </row>
        <row r="5852">
          <cell r="B5852" t="str">
            <v>-</v>
          </cell>
          <cell r="E5852" t="str">
            <v/>
          </cell>
          <cell r="G5852" t="str">
            <v/>
          </cell>
          <cell r="J5852" t="str">
            <v/>
          </cell>
          <cell r="O5852" t="str">
            <v/>
          </cell>
          <cell r="P5852" t="str">
            <v/>
          </cell>
          <cell r="Q5852" t="str">
            <v/>
          </cell>
          <cell r="S5852" t="str">
            <v/>
          </cell>
          <cell r="V5852" t="str">
            <v/>
          </cell>
          <cell r="Z5852" t="str">
            <v/>
          </cell>
          <cell r="AA5852" t="str">
            <v/>
          </cell>
          <cell r="AB5852" t="str">
            <v/>
          </cell>
          <cell r="AC5852" t="str">
            <v/>
          </cell>
          <cell r="AD5852" t="str">
            <v/>
          </cell>
          <cell r="AY5852" t="str">
            <v/>
          </cell>
          <cell r="AZ5852" t="str">
            <v/>
          </cell>
          <cell r="BA5852" t="str">
            <v/>
          </cell>
        </row>
        <row r="5853">
          <cell r="B5853" t="str">
            <v>-</v>
          </cell>
          <cell r="E5853" t="str">
            <v/>
          </cell>
          <cell r="G5853" t="str">
            <v/>
          </cell>
          <cell r="J5853" t="str">
            <v/>
          </cell>
          <cell r="O5853" t="str">
            <v/>
          </cell>
          <cell r="P5853" t="str">
            <v/>
          </cell>
          <cell r="Q5853" t="str">
            <v/>
          </cell>
          <cell r="S5853" t="str">
            <v/>
          </cell>
          <cell r="V5853" t="str">
            <v/>
          </cell>
          <cell r="Z5853" t="str">
            <v/>
          </cell>
          <cell r="AA5853" t="str">
            <v/>
          </cell>
          <cell r="AB5853" t="str">
            <v/>
          </cell>
          <cell r="AC5853" t="str">
            <v/>
          </cell>
          <cell r="AD5853" t="str">
            <v/>
          </cell>
          <cell r="AY5853" t="str">
            <v/>
          </cell>
          <cell r="AZ5853" t="str">
            <v/>
          </cell>
          <cell r="BA5853" t="str">
            <v/>
          </cell>
        </row>
        <row r="5854">
          <cell r="B5854" t="str">
            <v>-</v>
          </cell>
          <cell r="E5854" t="str">
            <v/>
          </cell>
          <cell r="G5854" t="str">
            <v/>
          </cell>
          <cell r="J5854" t="str">
            <v/>
          </cell>
          <cell r="O5854" t="str">
            <v/>
          </cell>
          <cell r="P5854" t="str">
            <v/>
          </cell>
          <cell r="Q5854" t="str">
            <v/>
          </cell>
          <cell r="S5854" t="str">
            <v/>
          </cell>
          <cell r="V5854" t="str">
            <v/>
          </cell>
          <cell r="Z5854" t="str">
            <v/>
          </cell>
          <cell r="AA5854" t="str">
            <v/>
          </cell>
          <cell r="AB5854" t="str">
            <v/>
          </cell>
          <cell r="AC5854" t="str">
            <v/>
          </cell>
          <cell r="AD5854" t="str">
            <v/>
          </cell>
          <cell r="AY5854" t="str">
            <v/>
          </cell>
          <cell r="AZ5854" t="str">
            <v/>
          </cell>
          <cell r="BA5854" t="str">
            <v/>
          </cell>
        </row>
        <row r="5855">
          <cell r="B5855" t="str">
            <v>-</v>
          </cell>
          <cell r="E5855" t="str">
            <v/>
          </cell>
          <cell r="G5855" t="str">
            <v/>
          </cell>
          <cell r="J5855" t="str">
            <v/>
          </cell>
          <cell r="O5855" t="str">
            <v/>
          </cell>
          <cell r="P5855" t="str">
            <v/>
          </cell>
          <cell r="Q5855" t="str">
            <v/>
          </cell>
          <cell r="S5855" t="str">
            <v/>
          </cell>
          <cell r="V5855" t="str">
            <v/>
          </cell>
          <cell r="Z5855" t="str">
            <v/>
          </cell>
          <cell r="AA5855" t="str">
            <v/>
          </cell>
          <cell r="AB5855" t="str">
            <v/>
          </cell>
          <cell r="AC5855" t="str">
            <v/>
          </cell>
          <cell r="AD5855" t="str">
            <v/>
          </cell>
          <cell r="AY5855" t="str">
            <v/>
          </cell>
          <cell r="AZ5855" t="str">
            <v/>
          </cell>
          <cell r="BA5855" t="str">
            <v/>
          </cell>
        </row>
        <row r="5856">
          <cell r="B5856" t="str">
            <v>-</v>
          </cell>
          <cell r="E5856" t="str">
            <v/>
          </cell>
          <cell r="G5856" t="str">
            <v/>
          </cell>
          <cell r="J5856" t="str">
            <v/>
          </cell>
          <cell r="O5856" t="str">
            <v/>
          </cell>
          <cell r="P5856" t="str">
            <v/>
          </cell>
          <cell r="Q5856" t="str">
            <v/>
          </cell>
          <cell r="S5856" t="str">
            <v/>
          </cell>
          <cell r="V5856" t="str">
            <v/>
          </cell>
          <cell r="Z5856" t="str">
            <v/>
          </cell>
          <cell r="AA5856" t="str">
            <v/>
          </cell>
          <cell r="AB5856" t="str">
            <v/>
          </cell>
          <cell r="AC5856" t="str">
            <v/>
          </cell>
          <cell r="AD5856" t="str">
            <v/>
          </cell>
          <cell r="AY5856" t="str">
            <v/>
          </cell>
          <cell r="AZ5856" t="str">
            <v/>
          </cell>
          <cell r="BA5856" t="str">
            <v/>
          </cell>
        </row>
        <row r="5857">
          <cell r="B5857" t="str">
            <v>-</v>
          </cell>
          <cell r="E5857" t="str">
            <v/>
          </cell>
          <cell r="G5857" t="str">
            <v/>
          </cell>
          <cell r="J5857" t="str">
            <v/>
          </cell>
          <cell r="O5857" t="str">
            <v/>
          </cell>
          <cell r="P5857" t="str">
            <v/>
          </cell>
          <cell r="Q5857" t="str">
            <v/>
          </cell>
          <cell r="S5857" t="str">
            <v/>
          </cell>
          <cell r="V5857" t="str">
            <v/>
          </cell>
          <cell r="Z5857" t="str">
            <v/>
          </cell>
          <cell r="AA5857" t="str">
            <v/>
          </cell>
          <cell r="AB5857" t="str">
            <v/>
          </cell>
          <cell r="AC5857" t="str">
            <v/>
          </cell>
          <cell r="AD5857" t="str">
            <v/>
          </cell>
          <cell r="AY5857" t="str">
            <v/>
          </cell>
          <cell r="AZ5857" t="str">
            <v/>
          </cell>
          <cell r="BA5857" t="str">
            <v/>
          </cell>
        </row>
        <row r="5858">
          <cell r="B5858" t="str">
            <v>-</v>
          </cell>
          <cell r="E5858" t="str">
            <v/>
          </cell>
          <cell r="G5858" t="str">
            <v/>
          </cell>
          <cell r="J5858" t="str">
            <v/>
          </cell>
          <cell r="O5858" t="str">
            <v/>
          </cell>
          <cell r="P5858" t="str">
            <v/>
          </cell>
          <cell r="Q5858" t="str">
            <v/>
          </cell>
          <cell r="S5858" t="str">
            <v/>
          </cell>
          <cell r="V5858" t="str">
            <v/>
          </cell>
          <cell r="Z5858" t="str">
            <v/>
          </cell>
          <cell r="AA5858" t="str">
            <v/>
          </cell>
          <cell r="AB5858" t="str">
            <v/>
          </cell>
          <cell r="AC5858" t="str">
            <v/>
          </cell>
          <cell r="AD5858" t="str">
            <v/>
          </cell>
          <cell r="AY5858" t="str">
            <v/>
          </cell>
          <cell r="AZ5858" t="str">
            <v/>
          </cell>
          <cell r="BA5858" t="str">
            <v/>
          </cell>
        </row>
        <row r="5859">
          <cell r="B5859" t="str">
            <v>-</v>
          </cell>
          <cell r="E5859" t="str">
            <v/>
          </cell>
          <cell r="G5859" t="str">
            <v/>
          </cell>
          <cell r="J5859" t="str">
            <v/>
          </cell>
          <cell r="O5859" t="str">
            <v/>
          </cell>
          <cell r="P5859" t="str">
            <v/>
          </cell>
          <cell r="Q5859" t="str">
            <v/>
          </cell>
          <cell r="S5859" t="str">
            <v/>
          </cell>
          <cell r="V5859" t="str">
            <v/>
          </cell>
          <cell r="Z5859" t="str">
            <v/>
          </cell>
          <cell r="AA5859" t="str">
            <v/>
          </cell>
          <cell r="AB5859" t="str">
            <v/>
          </cell>
          <cell r="AC5859" t="str">
            <v/>
          </cell>
          <cell r="AD5859" t="str">
            <v/>
          </cell>
          <cell r="AY5859" t="str">
            <v/>
          </cell>
          <cell r="AZ5859" t="str">
            <v/>
          </cell>
          <cell r="BA5859" t="str">
            <v/>
          </cell>
        </row>
        <row r="5860">
          <cell r="B5860" t="str">
            <v>-</v>
          </cell>
          <cell r="E5860" t="str">
            <v/>
          </cell>
          <cell r="G5860" t="str">
            <v/>
          </cell>
          <cell r="J5860" t="str">
            <v/>
          </cell>
          <cell r="O5860" t="str">
            <v/>
          </cell>
          <cell r="P5860" t="str">
            <v/>
          </cell>
          <cell r="Q5860" t="str">
            <v/>
          </cell>
          <cell r="S5860" t="str">
            <v/>
          </cell>
          <cell r="V5860" t="str">
            <v/>
          </cell>
          <cell r="Z5860" t="str">
            <v/>
          </cell>
          <cell r="AA5860" t="str">
            <v/>
          </cell>
          <cell r="AB5860" t="str">
            <v/>
          </cell>
          <cell r="AC5860" t="str">
            <v/>
          </cell>
          <cell r="AD5860" t="str">
            <v/>
          </cell>
          <cell r="AY5860" t="str">
            <v/>
          </cell>
          <cell r="AZ5860" t="str">
            <v/>
          </cell>
          <cell r="BA5860" t="str">
            <v/>
          </cell>
        </row>
        <row r="5861">
          <cell r="B5861" t="str">
            <v>-</v>
          </cell>
          <cell r="E5861" t="str">
            <v/>
          </cell>
          <cell r="G5861" t="str">
            <v/>
          </cell>
          <cell r="J5861" t="str">
            <v/>
          </cell>
          <cell r="O5861" t="str">
            <v/>
          </cell>
          <cell r="P5861" t="str">
            <v/>
          </cell>
          <cell r="Q5861" t="str">
            <v/>
          </cell>
          <cell r="S5861" t="str">
            <v/>
          </cell>
          <cell r="V5861" t="str">
            <v/>
          </cell>
          <cell r="Z5861" t="str">
            <v/>
          </cell>
          <cell r="AA5861" t="str">
            <v/>
          </cell>
          <cell r="AB5861" t="str">
            <v/>
          </cell>
          <cell r="AC5861" t="str">
            <v/>
          </cell>
          <cell r="AD5861" t="str">
            <v/>
          </cell>
          <cell r="AY5861" t="str">
            <v/>
          </cell>
          <cell r="AZ5861" t="str">
            <v/>
          </cell>
          <cell r="BA5861" t="str">
            <v/>
          </cell>
        </row>
        <row r="5862">
          <cell r="B5862" t="str">
            <v>-</v>
          </cell>
          <cell r="E5862" t="str">
            <v/>
          </cell>
          <cell r="G5862" t="str">
            <v/>
          </cell>
          <cell r="J5862" t="str">
            <v/>
          </cell>
          <cell r="O5862" t="str">
            <v/>
          </cell>
          <cell r="P5862" t="str">
            <v/>
          </cell>
          <cell r="Q5862" t="str">
            <v/>
          </cell>
          <cell r="S5862" t="str">
            <v/>
          </cell>
          <cell r="V5862" t="str">
            <v/>
          </cell>
          <cell r="Z5862" t="str">
            <v/>
          </cell>
          <cell r="AA5862" t="str">
            <v/>
          </cell>
          <cell r="AB5862" t="str">
            <v/>
          </cell>
          <cell r="AC5862" t="str">
            <v/>
          </cell>
          <cell r="AD5862" t="str">
            <v/>
          </cell>
          <cell r="AY5862" t="str">
            <v/>
          </cell>
          <cell r="AZ5862" t="str">
            <v/>
          </cell>
          <cell r="BA5862" t="str">
            <v/>
          </cell>
        </row>
        <row r="5863">
          <cell r="B5863" t="str">
            <v>-</v>
          </cell>
          <cell r="E5863" t="str">
            <v/>
          </cell>
          <cell r="G5863" t="str">
            <v/>
          </cell>
          <cell r="J5863" t="str">
            <v/>
          </cell>
          <cell r="O5863" t="str">
            <v/>
          </cell>
          <cell r="P5863" t="str">
            <v/>
          </cell>
          <cell r="Q5863" t="str">
            <v/>
          </cell>
          <cell r="S5863" t="str">
            <v/>
          </cell>
          <cell r="V5863" t="str">
            <v/>
          </cell>
          <cell r="Z5863" t="str">
            <v/>
          </cell>
          <cell r="AA5863" t="str">
            <v/>
          </cell>
          <cell r="AB5863" t="str">
            <v/>
          </cell>
          <cell r="AC5863" t="str">
            <v/>
          </cell>
          <cell r="AD5863" t="str">
            <v/>
          </cell>
          <cell r="AY5863" t="str">
            <v/>
          </cell>
          <cell r="AZ5863" t="str">
            <v/>
          </cell>
          <cell r="BA5863" t="str">
            <v/>
          </cell>
        </row>
        <row r="5864">
          <cell r="B5864" t="str">
            <v>-</v>
          </cell>
          <cell r="E5864" t="str">
            <v/>
          </cell>
          <cell r="G5864" t="str">
            <v/>
          </cell>
          <cell r="J5864" t="str">
            <v/>
          </cell>
          <cell r="O5864" t="str">
            <v/>
          </cell>
          <cell r="P5864" t="str">
            <v/>
          </cell>
          <cell r="Q5864" t="str">
            <v/>
          </cell>
          <cell r="S5864" t="str">
            <v/>
          </cell>
          <cell r="V5864" t="str">
            <v/>
          </cell>
          <cell r="Z5864" t="str">
            <v/>
          </cell>
          <cell r="AA5864" t="str">
            <v/>
          </cell>
          <cell r="AB5864" t="str">
            <v/>
          </cell>
          <cell r="AC5864" t="str">
            <v/>
          </cell>
          <cell r="AD5864" t="str">
            <v/>
          </cell>
          <cell r="AY5864" t="str">
            <v/>
          </cell>
          <cell r="AZ5864" t="str">
            <v/>
          </cell>
          <cell r="BA5864" t="str">
            <v/>
          </cell>
        </row>
        <row r="5865">
          <cell r="B5865" t="str">
            <v>-</v>
          </cell>
          <cell r="E5865" t="str">
            <v/>
          </cell>
          <cell r="G5865" t="str">
            <v/>
          </cell>
          <cell r="J5865" t="str">
            <v/>
          </cell>
          <cell r="O5865" t="str">
            <v/>
          </cell>
          <cell r="P5865" t="str">
            <v/>
          </cell>
          <cell r="Q5865" t="str">
            <v/>
          </cell>
          <cell r="S5865" t="str">
            <v/>
          </cell>
          <cell r="V5865" t="str">
            <v/>
          </cell>
          <cell r="Z5865" t="str">
            <v/>
          </cell>
          <cell r="AA5865" t="str">
            <v/>
          </cell>
          <cell r="AB5865" t="str">
            <v/>
          </cell>
          <cell r="AC5865" t="str">
            <v/>
          </cell>
          <cell r="AD5865" t="str">
            <v/>
          </cell>
          <cell r="AY5865" t="str">
            <v/>
          </cell>
          <cell r="AZ5865" t="str">
            <v/>
          </cell>
          <cell r="BA5865" t="str">
            <v/>
          </cell>
        </row>
        <row r="5866">
          <cell r="B5866" t="str">
            <v>-</v>
          </cell>
          <cell r="E5866" t="str">
            <v/>
          </cell>
          <cell r="G5866" t="str">
            <v/>
          </cell>
          <cell r="J5866" t="str">
            <v/>
          </cell>
          <cell r="O5866" t="str">
            <v/>
          </cell>
          <cell r="P5866" t="str">
            <v/>
          </cell>
          <cell r="Q5866" t="str">
            <v/>
          </cell>
          <cell r="S5866" t="str">
            <v/>
          </cell>
          <cell r="V5866" t="str">
            <v/>
          </cell>
          <cell r="Z5866" t="str">
            <v/>
          </cell>
          <cell r="AA5866" t="str">
            <v/>
          </cell>
          <cell r="AB5866" t="str">
            <v/>
          </cell>
          <cell r="AC5866" t="str">
            <v/>
          </cell>
          <cell r="AD5866" t="str">
            <v/>
          </cell>
          <cell r="AY5866" t="str">
            <v/>
          </cell>
          <cell r="AZ5866" t="str">
            <v/>
          </cell>
          <cell r="BA5866" t="str">
            <v/>
          </cell>
        </row>
        <row r="5867">
          <cell r="B5867" t="str">
            <v>-</v>
          </cell>
          <cell r="E5867" t="str">
            <v/>
          </cell>
          <cell r="G5867" t="str">
            <v/>
          </cell>
          <cell r="J5867" t="str">
            <v/>
          </cell>
          <cell r="O5867" t="str">
            <v/>
          </cell>
          <cell r="P5867" t="str">
            <v/>
          </cell>
          <cell r="Q5867" t="str">
            <v/>
          </cell>
          <cell r="S5867" t="str">
            <v/>
          </cell>
          <cell r="V5867" t="str">
            <v/>
          </cell>
          <cell r="Z5867" t="str">
            <v/>
          </cell>
          <cell r="AA5867" t="str">
            <v/>
          </cell>
          <cell r="AB5867" t="str">
            <v/>
          </cell>
          <cell r="AC5867" t="str">
            <v/>
          </cell>
          <cell r="AD5867" t="str">
            <v/>
          </cell>
          <cell r="AY5867" t="str">
            <v/>
          </cell>
          <cell r="AZ5867" t="str">
            <v/>
          </cell>
          <cell r="BA5867" t="str">
            <v/>
          </cell>
        </row>
        <row r="5868">
          <cell r="B5868" t="str">
            <v>-</v>
          </cell>
          <cell r="E5868" t="str">
            <v/>
          </cell>
          <cell r="G5868" t="str">
            <v/>
          </cell>
          <cell r="J5868" t="str">
            <v/>
          </cell>
          <cell r="O5868" t="str">
            <v/>
          </cell>
          <cell r="P5868" t="str">
            <v/>
          </cell>
          <cell r="Q5868" t="str">
            <v/>
          </cell>
          <cell r="S5868" t="str">
            <v/>
          </cell>
          <cell r="V5868" t="str">
            <v/>
          </cell>
          <cell r="Z5868" t="str">
            <v/>
          </cell>
          <cell r="AA5868" t="str">
            <v/>
          </cell>
          <cell r="AB5868" t="str">
            <v/>
          </cell>
          <cell r="AC5868" t="str">
            <v/>
          </cell>
          <cell r="AD5868" t="str">
            <v/>
          </cell>
          <cell r="AY5868" t="str">
            <v/>
          </cell>
          <cell r="AZ5868" t="str">
            <v/>
          </cell>
          <cell r="BA5868" t="str">
            <v/>
          </cell>
        </row>
        <row r="5869">
          <cell r="B5869" t="str">
            <v>-</v>
          </cell>
          <cell r="E5869" t="str">
            <v/>
          </cell>
          <cell r="G5869" t="str">
            <v/>
          </cell>
          <cell r="J5869" t="str">
            <v/>
          </cell>
          <cell r="O5869" t="str">
            <v/>
          </cell>
          <cell r="P5869" t="str">
            <v/>
          </cell>
          <cell r="Q5869" t="str">
            <v/>
          </cell>
          <cell r="S5869" t="str">
            <v/>
          </cell>
          <cell r="V5869" t="str">
            <v/>
          </cell>
          <cell r="Z5869" t="str">
            <v/>
          </cell>
          <cell r="AA5869" t="str">
            <v/>
          </cell>
          <cell r="AB5869" t="str">
            <v/>
          </cell>
          <cell r="AC5869" t="str">
            <v/>
          </cell>
          <cell r="AD5869" t="str">
            <v/>
          </cell>
          <cell r="AY5869" t="str">
            <v/>
          </cell>
          <cell r="AZ5869" t="str">
            <v/>
          </cell>
          <cell r="BA5869" t="str">
            <v/>
          </cell>
        </row>
        <row r="5870">
          <cell r="B5870" t="str">
            <v>-</v>
          </cell>
          <cell r="E5870" t="str">
            <v/>
          </cell>
          <cell r="G5870" t="str">
            <v/>
          </cell>
          <cell r="J5870" t="str">
            <v/>
          </cell>
          <cell r="O5870" t="str">
            <v/>
          </cell>
          <cell r="P5870" t="str">
            <v/>
          </cell>
          <cell r="Q5870" t="str">
            <v/>
          </cell>
          <cell r="S5870" t="str">
            <v/>
          </cell>
          <cell r="V5870" t="str">
            <v/>
          </cell>
          <cell r="Z5870" t="str">
            <v/>
          </cell>
          <cell r="AA5870" t="str">
            <v/>
          </cell>
          <cell r="AB5870" t="str">
            <v/>
          </cell>
          <cell r="AC5870" t="str">
            <v/>
          </cell>
          <cell r="AD5870" t="str">
            <v/>
          </cell>
          <cell r="AY5870" t="str">
            <v/>
          </cell>
          <cell r="AZ5870" t="str">
            <v/>
          </cell>
          <cell r="BA5870" t="str">
            <v/>
          </cell>
        </row>
        <row r="5871">
          <cell r="B5871" t="str">
            <v>-</v>
          </cell>
          <cell r="E5871" t="str">
            <v/>
          </cell>
          <cell r="G5871" t="str">
            <v/>
          </cell>
          <cell r="J5871" t="str">
            <v/>
          </cell>
          <cell r="O5871" t="str">
            <v/>
          </cell>
          <cell r="P5871" t="str">
            <v/>
          </cell>
          <cell r="Q5871" t="str">
            <v/>
          </cell>
          <cell r="S5871" t="str">
            <v/>
          </cell>
          <cell r="V5871" t="str">
            <v/>
          </cell>
          <cell r="Z5871" t="str">
            <v/>
          </cell>
          <cell r="AA5871" t="str">
            <v/>
          </cell>
          <cell r="AB5871" t="str">
            <v/>
          </cell>
          <cell r="AC5871" t="str">
            <v/>
          </cell>
          <cell r="AD5871" t="str">
            <v/>
          </cell>
          <cell r="AY5871" t="str">
            <v/>
          </cell>
          <cell r="AZ5871" t="str">
            <v/>
          </cell>
          <cell r="BA5871" t="str">
            <v/>
          </cell>
        </row>
        <row r="5872">
          <cell r="B5872" t="str">
            <v>-</v>
          </cell>
          <cell r="E5872" t="str">
            <v/>
          </cell>
          <cell r="G5872" t="str">
            <v/>
          </cell>
          <cell r="J5872" t="str">
            <v/>
          </cell>
          <cell r="O5872" t="str">
            <v/>
          </cell>
          <cell r="P5872" t="str">
            <v/>
          </cell>
          <cell r="Q5872" t="str">
            <v/>
          </cell>
          <cell r="S5872" t="str">
            <v/>
          </cell>
          <cell r="V5872" t="str">
            <v/>
          </cell>
          <cell r="Z5872" t="str">
            <v/>
          </cell>
          <cell r="AA5872" t="str">
            <v/>
          </cell>
          <cell r="AB5872" t="str">
            <v/>
          </cell>
          <cell r="AC5872" t="str">
            <v/>
          </cell>
          <cell r="AD5872" t="str">
            <v/>
          </cell>
          <cell r="AY5872" t="str">
            <v/>
          </cell>
          <cell r="AZ5872" t="str">
            <v/>
          </cell>
          <cell r="BA5872" t="str">
            <v/>
          </cell>
        </row>
        <row r="5873">
          <cell r="B5873" t="str">
            <v>-</v>
          </cell>
          <cell r="E5873" t="str">
            <v/>
          </cell>
          <cell r="G5873" t="str">
            <v/>
          </cell>
          <cell r="J5873" t="str">
            <v/>
          </cell>
          <cell r="O5873" t="str">
            <v/>
          </cell>
          <cell r="P5873" t="str">
            <v/>
          </cell>
          <cell r="Q5873" t="str">
            <v/>
          </cell>
          <cell r="S5873" t="str">
            <v/>
          </cell>
          <cell r="V5873" t="str">
            <v/>
          </cell>
          <cell r="Z5873" t="str">
            <v/>
          </cell>
          <cell r="AA5873" t="str">
            <v/>
          </cell>
          <cell r="AB5873" t="str">
            <v/>
          </cell>
          <cell r="AC5873" t="str">
            <v/>
          </cell>
          <cell r="AD5873" t="str">
            <v/>
          </cell>
          <cell r="AY5873" t="str">
            <v/>
          </cell>
          <cell r="AZ5873" t="str">
            <v/>
          </cell>
          <cell r="BA5873" t="str">
            <v/>
          </cell>
        </row>
        <row r="5874">
          <cell r="B5874" t="str">
            <v>-</v>
          </cell>
          <cell r="E5874" t="str">
            <v/>
          </cell>
          <cell r="G5874" t="str">
            <v/>
          </cell>
          <cell r="J5874" t="str">
            <v/>
          </cell>
          <cell r="O5874" t="str">
            <v/>
          </cell>
          <cell r="P5874" t="str">
            <v/>
          </cell>
          <cell r="Q5874" t="str">
            <v/>
          </cell>
          <cell r="S5874" t="str">
            <v/>
          </cell>
          <cell r="V5874" t="str">
            <v/>
          </cell>
          <cell r="Z5874" t="str">
            <v/>
          </cell>
          <cell r="AA5874" t="str">
            <v/>
          </cell>
          <cell r="AB5874" t="str">
            <v/>
          </cell>
          <cell r="AC5874" t="str">
            <v/>
          </cell>
          <cell r="AD5874" t="str">
            <v/>
          </cell>
          <cell r="AY5874" t="str">
            <v/>
          </cell>
          <cell r="AZ5874" t="str">
            <v/>
          </cell>
          <cell r="BA5874" t="str">
            <v/>
          </cell>
        </row>
        <row r="5875">
          <cell r="B5875" t="str">
            <v>-</v>
          </cell>
          <cell r="E5875" t="str">
            <v/>
          </cell>
          <cell r="G5875" t="str">
            <v/>
          </cell>
          <cell r="J5875" t="str">
            <v/>
          </cell>
          <cell r="O5875" t="str">
            <v/>
          </cell>
          <cell r="P5875" t="str">
            <v/>
          </cell>
          <cell r="Q5875" t="str">
            <v/>
          </cell>
          <cell r="S5875" t="str">
            <v/>
          </cell>
          <cell r="V5875" t="str">
            <v/>
          </cell>
          <cell r="Z5875" t="str">
            <v/>
          </cell>
          <cell r="AA5875" t="str">
            <v/>
          </cell>
          <cell r="AB5875" t="str">
            <v/>
          </cell>
          <cell r="AC5875" t="str">
            <v/>
          </cell>
          <cell r="AD5875" t="str">
            <v/>
          </cell>
          <cell r="AY5875" t="str">
            <v/>
          </cell>
          <cell r="AZ5875" t="str">
            <v/>
          </cell>
          <cell r="BA5875" t="str">
            <v/>
          </cell>
        </row>
        <row r="5876">
          <cell r="B5876" t="str">
            <v>-</v>
          </cell>
          <cell r="E5876" t="str">
            <v/>
          </cell>
          <cell r="G5876" t="str">
            <v/>
          </cell>
          <cell r="J5876" t="str">
            <v/>
          </cell>
          <cell r="O5876" t="str">
            <v/>
          </cell>
          <cell r="P5876" t="str">
            <v/>
          </cell>
          <cell r="Q5876" t="str">
            <v/>
          </cell>
          <cell r="S5876" t="str">
            <v/>
          </cell>
          <cell r="V5876" t="str">
            <v/>
          </cell>
          <cell r="Z5876" t="str">
            <v/>
          </cell>
          <cell r="AA5876" t="str">
            <v/>
          </cell>
          <cell r="AB5876" t="str">
            <v/>
          </cell>
          <cell r="AC5876" t="str">
            <v/>
          </cell>
          <cell r="AD5876" t="str">
            <v/>
          </cell>
          <cell r="AY5876" t="str">
            <v/>
          </cell>
          <cell r="AZ5876" t="str">
            <v/>
          </cell>
          <cell r="BA5876" t="str">
            <v/>
          </cell>
        </row>
        <row r="5877">
          <cell r="B5877" t="str">
            <v>-</v>
          </cell>
          <cell r="E5877" t="str">
            <v/>
          </cell>
          <cell r="G5877" t="str">
            <v/>
          </cell>
          <cell r="J5877" t="str">
            <v/>
          </cell>
          <cell r="O5877" t="str">
            <v/>
          </cell>
          <cell r="P5877" t="str">
            <v/>
          </cell>
          <cell r="Q5877" t="str">
            <v/>
          </cell>
          <cell r="S5877" t="str">
            <v/>
          </cell>
          <cell r="V5877" t="str">
            <v/>
          </cell>
          <cell r="Z5877" t="str">
            <v/>
          </cell>
          <cell r="AA5877" t="str">
            <v/>
          </cell>
          <cell r="AB5877" t="str">
            <v/>
          </cell>
          <cell r="AC5877" t="str">
            <v/>
          </cell>
          <cell r="AD5877" t="str">
            <v/>
          </cell>
          <cell r="AY5877" t="str">
            <v/>
          </cell>
          <cell r="AZ5877" t="str">
            <v/>
          </cell>
          <cell r="BA5877" t="str">
            <v/>
          </cell>
        </row>
        <row r="5878">
          <cell r="B5878" t="str">
            <v>-</v>
          </cell>
          <cell r="E5878" t="str">
            <v/>
          </cell>
          <cell r="G5878" t="str">
            <v/>
          </cell>
          <cell r="J5878" t="str">
            <v/>
          </cell>
          <cell r="O5878" t="str">
            <v/>
          </cell>
          <cell r="P5878" t="str">
            <v/>
          </cell>
          <cell r="Q5878" t="str">
            <v/>
          </cell>
          <cell r="S5878" t="str">
            <v/>
          </cell>
          <cell r="V5878" t="str">
            <v/>
          </cell>
          <cell r="Z5878" t="str">
            <v/>
          </cell>
          <cell r="AA5878" t="str">
            <v/>
          </cell>
          <cell r="AB5878" t="str">
            <v/>
          </cell>
          <cell r="AC5878" t="str">
            <v/>
          </cell>
          <cell r="AD5878" t="str">
            <v/>
          </cell>
          <cell r="AY5878" t="str">
            <v/>
          </cell>
          <cell r="AZ5878" t="str">
            <v/>
          </cell>
          <cell r="BA5878" t="str">
            <v/>
          </cell>
        </row>
        <row r="5879">
          <cell r="B5879" t="str">
            <v>-</v>
          </cell>
          <cell r="E5879" t="str">
            <v/>
          </cell>
          <cell r="G5879" t="str">
            <v/>
          </cell>
          <cell r="J5879" t="str">
            <v/>
          </cell>
          <cell r="O5879" t="str">
            <v/>
          </cell>
          <cell r="P5879" t="str">
            <v/>
          </cell>
          <cell r="Q5879" t="str">
            <v/>
          </cell>
          <cell r="S5879" t="str">
            <v/>
          </cell>
          <cell r="V5879" t="str">
            <v/>
          </cell>
          <cell r="Z5879" t="str">
            <v/>
          </cell>
          <cell r="AA5879" t="str">
            <v/>
          </cell>
          <cell r="AB5879" t="str">
            <v/>
          </cell>
          <cell r="AC5879" t="str">
            <v/>
          </cell>
          <cell r="AD5879" t="str">
            <v/>
          </cell>
          <cell r="AY5879" t="str">
            <v/>
          </cell>
          <cell r="AZ5879" t="str">
            <v/>
          </cell>
          <cell r="BA5879" t="str">
            <v/>
          </cell>
        </row>
        <row r="5880">
          <cell r="B5880" t="str">
            <v>-</v>
          </cell>
          <cell r="E5880" t="str">
            <v/>
          </cell>
          <cell r="G5880" t="str">
            <v/>
          </cell>
          <cell r="J5880" t="str">
            <v/>
          </cell>
          <cell r="O5880" t="str">
            <v/>
          </cell>
          <cell r="P5880" t="str">
            <v/>
          </cell>
          <cell r="Q5880" t="str">
            <v/>
          </cell>
          <cell r="S5880" t="str">
            <v/>
          </cell>
          <cell r="V5880" t="str">
            <v/>
          </cell>
          <cell r="Z5880" t="str">
            <v/>
          </cell>
          <cell r="AA5880" t="str">
            <v/>
          </cell>
          <cell r="AB5880" t="str">
            <v/>
          </cell>
          <cell r="AC5880" t="str">
            <v/>
          </cell>
          <cell r="AD5880" t="str">
            <v/>
          </cell>
          <cell r="AY5880" t="str">
            <v/>
          </cell>
          <cell r="AZ5880" t="str">
            <v/>
          </cell>
          <cell r="BA5880" t="str">
            <v/>
          </cell>
        </row>
        <row r="5881">
          <cell r="B5881" t="str">
            <v>-</v>
          </cell>
          <cell r="E5881" t="str">
            <v/>
          </cell>
          <cell r="G5881" t="str">
            <v/>
          </cell>
          <cell r="J5881" t="str">
            <v/>
          </cell>
          <cell r="O5881" t="str">
            <v/>
          </cell>
          <cell r="P5881" t="str">
            <v/>
          </cell>
          <cell r="Q5881" t="str">
            <v/>
          </cell>
          <cell r="S5881" t="str">
            <v/>
          </cell>
          <cell r="V5881" t="str">
            <v/>
          </cell>
          <cell r="Z5881" t="str">
            <v/>
          </cell>
          <cell r="AA5881" t="str">
            <v/>
          </cell>
          <cell r="AB5881" t="str">
            <v/>
          </cell>
          <cell r="AC5881" t="str">
            <v/>
          </cell>
          <cell r="AD5881" t="str">
            <v/>
          </cell>
          <cell r="AY5881" t="str">
            <v/>
          </cell>
          <cell r="AZ5881" t="str">
            <v/>
          </cell>
          <cell r="BA5881" t="str">
            <v/>
          </cell>
        </row>
        <row r="5882">
          <cell r="B5882" t="str">
            <v>-</v>
          </cell>
          <cell r="E5882" t="str">
            <v/>
          </cell>
          <cell r="G5882" t="str">
            <v/>
          </cell>
          <cell r="J5882" t="str">
            <v/>
          </cell>
          <cell r="O5882" t="str">
            <v/>
          </cell>
          <cell r="P5882" t="str">
            <v/>
          </cell>
          <cell r="Q5882" t="str">
            <v/>
          </cell>
          <cell r="S5882" t="str">
            <v/>
          </cell>
          <cell r="V5882" t="str">
            <v/>
          </cell>
          <cell r="Z5882" t="str">
            <v/>
          </cell>
          <cell r="AA5882" t="str">
            <v/>
          </cell>
          <cell r="AB5882" t="str">
            <v/>
          </cell>
          <cell r="AC5882" t="str">
            <v/>
          </cell>
          <cell r="AD5882" t="str">
            <v/>
          </cell>
          <cell r="AY5882" t="str">
            <v/>
          </cell>
          <cell r="AZ5882" t="str">
            <v/>
          </cell>
          <cell r="BA5882" t="str">
            <v/>
          </cell>
        </row>
        <row r="5883">
          <cell r="B5883" t="str">
            <v>-</v>
          </cell>
          <cell r="E5883" t="str">
            <v/>
          </cell>
          <cell r="G5883" t="str">
            <v/>
          </cell>
          <cell r="J5883" t="str">
            <v/>
          </cell>
          <cell r="O5883" t="str">
            <v/>
          </cell>
          <cell r="P5883" t="str">
            <v/>
          </cell>
          <cell r="Q5883" t="str">
            <v/>
          </cell>
          <cell r="S5883" t="str">
            <v/>
          </cell>
          <cell r="V5883" t="str">
            <v/>
          </cell>
          <cell r="Z5883" t="str">
            <v/>
          </cell>
          <cell r="AA5883" t="str">
            <v/>
          </cell>
          <cell r="AB5883" t="str">
            <v/>
          </cell>
          <cell r="AC5883" t="str">
            <v/>
          </cell>
          <cell r="AD5883" t="str">
            <v/>
          </cell>
          <cell r="AY5883" t="str">
            <v/>
          </cell>
          <cell r="AZ5883" t="str">
            <v/>
          </cell>
          <cell r="BA5883" t="str">
            <v/>
          </cell>
        </row>
        <row r="5884">
          <cell r="B5884" t="str">
            <v>-</v>
          </cell>
          <cell r="E5884" t="str">
            <v/>
          </cell>
          <cell r="G5884" t="str">
            <v/>
          </cell>
          <cell r="J5884" t="str">
            <v/>
          </cell>
          <cell r="O5884" t="str">
            <v/>
          </cell>
          <cell r="P5884" t="str">
            <v/>
          </cell>
          <cell r="Q5884" t="str">
            <v/>
          </cell>
          <cell r="S5884" t="str">
            <v/>
          </cell>
          <cell r="V5884" t="str">
            <v/>
          </cell>
          <cell r="Z5884" t="str">
            <v/>
          </cell>
          <cell r="AA5884" t="str">
            <v/>
          </cell>
          <cell r="AB5884" t="str">
            <v/>
          </cell>
          <cell r="AC5884" t="str">
            <v/>
          </cell>
          <cell r="AD5884" t="str">
            <v/>
          </cell>
          <cell r="AY5884" t="str">
            <v/>
          </cell>
          <cell r="AZ5884" t="str">
            <v/>
          </cell>
          <cell r="BA5884" t="str">
            <v/>
          </cell>
        </row>
        <row r="5885">
          <cell r="B5885" t="str">
            <v>-</v>
          </cell>
          <cell r="E5885" t="str">
            <v/>
          </cell>
          <cell r="G5885" t="str">
            <v/>
          </cell>
          <cell r="J5885" t="str">
            <v/>
          </cell>
          <cell r="O5885" t="str">
            <v/>
          </cell>
          <cell r="P5885" t="str">
            <v/>
          </cell>
          <cell r="Q5885" t="str">
            <v/>
          </cell>
          <cell r="S5885" t="str">
            <v/>
          </cell>
          <cell r="V5885" t="str">
            <v/>
          </cell>
          <cell r="Z5885" t="str">
            <v/>
          </cell>
          <cell r="AA5885" t="str">
            <v/>
          </cell>
          <cell r="AB5885" t="str">
            <v/>
          </cell>
          <cell r="AC5885" t="str">
            <v/>
          </cell>
          <cell r="AD5885" t="str">
            <v/>
          </cell>
          <cell r="AY5885" t="str">
            <v/>
          </cell>
          <cell r="AZ5885" t="str">
            <v/>
          </cell>
          <cell r="BA5885" t="str">
            <v/>
          </cell>
        </row>
        <row r="5886">
          <cell r="B5886" t="str">
            <v>-</v>
          </cell>
          <cell r="E5886" t="str">
            <v/>
          </cell>
          <cell r="G5886" t="str">
            <v/>
          </cell>
          <cell r="J5886" t="str">
            <v/>
          </cell>
          <cell r="O5886" t="str">
            <v/>
          </cell>
          <cell r="P5886" t="str">
            <v/>
          </cell>
          <cell r="Q5886" t="str">
            <v/>
          </cell>
          <cell r="S5886" t="str">
            <v/>
          </cell>
          <cell r="V5886" t="str">
            <v/>
          </cell>
          <cell r="Z5886" t="str">
            <v/>
          </cell>
          <cell r="AA5886" t="str">
            <v/>
          </cell>
          <cell r="AB5886" t="str">
            <v/>
          </cell>
          <cell r="AC5886" t="str">
            <v/>
          </cell>
          <cell r="AD5886" t="str">
            <v/>
          </cell>
          <cell r="AY5886" t="str">
            <v/>
          </cell>
          <cell r="AZ5886" t="str">
            <v/>
          </cell>
          <cell r="BA5886" t="str">
            <v/>
          </cell>
        </row>
        <row r="5887">
          <cell r="B5887" t="str">
            <v>-</v>
          </cell>
          <cell r="E5887" t="str">
            <v/>
          </cell>
          <cell r="G5887" t="str">
            <v/>
          </cell>
          <cell r="J5887" t="str">
            <v/>
          </cell>
          <cell r="O5887" t="str">
            <v/>
          </cell>
          <cell r="P5887" t="str">
            <v/>
          </cell>
          <cell r="Q5887" t="str">
            <v/>
          </cell>
          <cell r="S5887" t="str">
            <v/>
          </cell>
          <cell r="V5887" t="str">
            <v/>
          </cell>
          <cell r="Z5887" t="str">
            <v/>
          </cell>
          <cell r="AA5887" t="str">
            <v/>
          </cell>
          <cell r="AB5887" t="str">
            <v/>
          </cell>
          <cell r="AC5887" t="str">
            <v/>
          </cell>
          <cell r="AD5887" t="str">
            <v/>
          </cell>
          <cell r="AY5887" t="str">
            <v/>
          </cell>
          <cell r="AZ5887" t="str">
            <v/>
          </cell>
          <cell r="BA5887" t="str">
            <v/>
          </cell>
        </row>
        <row r="5888">
          <cell r="B5888" t="str">
            <v>-</v>
          </cell>
          <cell r="E5888" t="str">
            <v/>
          </cell>
          <cell r="G5888" t="str">
            <v/>
          </cell>
          <cell r="J5888" t="str">
            <v/>
          </cell>
          <cell r="O5888" t="str">
            <v/>
          </cell>
          <cell r="P5888" t="str">
            <v/>
          </cell>
          <cell r="Q5888" t="str">
            <v/>
          </cell>
          <cell r="S5888" t="str">
            <v/>
          </cell>
          <cell r="V5888" t="str">
            <v/>
          </cell>
          <cell r="Z5888" t="str">
            <v/>
          </cell>
          <cell r="AA5888" t="str">
            <v/>
          </cell>
          <cell r="AB5888" t="str">
            <v/>
          </cell>
          <cell r="AC5888" t="str">
            <v/>
          </cell>
          <cell r="AD5888" t="str">
            <v/>
          </cell>
          <cell r="AY5888" t="str">
            <v/>
          </cell>
          <cell r="AZ5888" t="str">
            <v/>
          </cell>
          <cell r="BA5888" t="str">
            <v/>
          </cell>
        </row>
        <row r="5889">
          <cell r="B5889" t="str">
            <v>-</v>
          </cell>
          <cell r="E5889" t="str">
            <v/>
          </cell>
          <cell r="G5889" t="str">
            <v/>
          </cell>
          <cell r="J5889" t="str">
            <v/>
          </cell>
          <cell r="O5889" t="str">
            <v/>
          </cell>
          <cell r="P5889" t="str">
            <v/>
          </cell>
          <cell r="Q5889" t="str">
            <v/>
          </cell>
          <cell r="S5889" t="str">
            <v/>
          </cell>
          <cell r="V5889" t="str">
            <v/>
          </cell>
          <cell r="Z5889" t="str">
            <v/>
          </cell>
          <cell r="AA5889" t="str">
            <v/>
          </cell>
          <cell r="AB5889" t="str">
            <v/>
          </cell>
          <cell r="AC5889" t="str">
            <v/>
          </cell>
          <cell r="AD5889" t="str">
            <v/>
          </cell>
          <cell r="AY5889" t="str">
            <v/>
          </cell>
          <cell r="AZ5889" t="str">
            <v/>
          </cell>
          <cell r="BA5889" t="str">
            <v/>
          </cell>
        </row>
        <row r="5890">
          <cell r="B5890" t="str">
            <v>-</v>
          </cell>
          <cell r="E5890" t="str">
            <v/>
          </cell>
          <cell r="G5890" t="str">
            <v/>
          </cell>
          <cell r="J5890" t="str">
            <v/>
          </cell>
          <cell r="O5890" t="str">
            <v/>
          </cell>
          <cell r="P5890" t="str">
            <v/>
          </cell>
          <cell r="Q5890" t="str">
            <v/>
          </cell>
          <cell r="S5890" t="str">
            <v/>
          </cell>
          <cell r="V5890" t="str">
            <v/>
          </cell>
          <cell r="Z5890" t="str">
            <v/>
          </cell>
          <cell r="AA5890" t="str">
            <v/>
          </cell>
          <cell r="AB5890" t="str">
            <v/>
          </cell>
          <cell r="AC5890" t="str">
            <v/>
          </cell>
          <cell r="AD5890" t="str">
            <v/>
          </cell>
          <cell r="AY5890" t="str">
            <v/>
          </cell>
          <cell r="AZ5890" t="str">
            <v/>
          </cell>
          <cell r="BA5890" t="str">
            <v/>
          </cell>
        </row>
        <row r="5891">
          <cell r="B5891" t="str">
            <v>-</v>
          </cell>
          <cell r="E5891" t="str">
            <v/>
          </cell>
          <cell r="G5891" t="str">
            <v/>
          </cell>
          <cell r="J5891" t="str">
            <v/>
          </cell>
          <cell r="O5891" t="str">
            <v/>
          </cell>
          <cell r="P5891" t="str">
            <v/>
          </cell>
          <cell r="Q5891" t="str">
            <v/>
          </cell>
          <cell r="S5891" t="str">
            <v/>
          </cell>
          <cell r="V5891" t="str">
            <v/>
          </cell>
          <cell r="Z5891" t="str">
            <v/>
          </cell>
          <cell r="AA5891" t="str">
            <v/>
          </cell>
          <cell r="AB5891" t="str">
            <v/>
          </cell>
          <cell r="AC5891" t="str">
            <v/>
          </cell>
          <cell r="AD5891" t="str">
            <v/>
          </cell>
          <cell r="AY5891" t="str">
            <v/>
          </cell>
          <cell r="AZ5891" t="str">
            <v/>
          </cell>
          <cell r="BA5891" t="str">
            <v/>
          </cell>
        </row>
        <row r="5892">
          <cell r="B5892" t="str">
            <v>-</v>
          </cell>
          <cell r="E5892" t="str">
            <v/>
          </cell>
          <cell r="G5892" t="str">
            <v/>
          </cell>
          <cell r="J5892" t="str">
            <v/>
          </cell>
          <cell r="O5892" t="str">
            <v/>
          </cell>
          <cell r="P5892" t="str">
            <v/>
          </cell>
          <cell r="Q5892" t="str">
            <v/>
          </cell>
          <cell r="S5892" t="str">
            <v/>
          </cell>
          <cell r="V5892" t="str">
            <v/>
          </cell>
          <cell r="Z5892" t="str">
            <v/>
          </cell>
          <cell r="AA5892" t="str">
            <v/>
          </cell>
          <cell r="AB5892" t="str">
            <v/>
          </cell>
          <cell r="AC5892" t="str">
            <v/>
          </cell>
          <cell r="AD5892" t="str">
            <v/>
          </cell>
          <cell r="AY5892" t="str">
            <v/>
          </cell>
          <cell r="AZ5892" t="str">
            <v/>
          </cell>
          <cell r="BA5892" t="str">
            <v/>
          </cell>
        </row>
        <row r="5893">
          <cell r="B5893" t="str">
            <v>-</v>
          </cell>
          <cell r="E5893" t="str">
            <v/>
          </cell>
          <cell r="G5893" t="str">
            <v/>
          </cell>
          <cell r="J5893" t="str">
            <v/>
          </cell>
          <cell r="O5893" t="str">
            <v/>
          </cell>
          <cell r="P5893" t="str">
            <v/>
          </cell>
          <cell r="Q5893" t="str">
            <v/>
          </cell>
          <cell r="S5893" t="str">
            <v/>
          </cell>
          <cell r="V5893" t="str">
            <v/>
          </cell>
          <cell r="Z5893" t="str">
            <v/>
          </cell>
          <cell r="AA5893" t="str">
            <v/>
          </cell>
          <cell r="AB5893" t="str">
            <v/>
          </cell>
          <cell r="AC5893" t="str">
            <v/>
          </cell>
          <cell r="AD5893" t="str">
            <v/>
          </cell>
          <cell r="AY5893" t="str">
            <v/>
          </cell>
          <cell r="AZ5893" t="str">
            <v/>
          </cell>
          <cell r="BA5893" t="str">
            <v/>
          </cell>
        </row>
        <row r="5894">
          <cell r="B5894" t="str">
            <v>-</v>
          </cell>
          <cell r="E5894" t="str">
            <v/>
          </cell>
          <cell r="G5894" t="str">
            <v/>
          </cell>
          <cell r="J5894" t="str">
            <v/>
          </cell>
          <cell r="O5894" t="str">
            <v/>
          </cell>
          <cell r="P5894" t="str">
            <v/>
          </cell>
          <cell r="Q5894" t="str">
            <v/>
          </cell>
          <cell r="S5894" t="str">
            <v/>
          </cell>
          <cell r="V5894" t="str">
            <v/>
          </cell>
          <cell r="Z5894" t="str">
            <v/>
          </cell>
          <cell r="AA5894" t="str">
            <v/>
          </cell>
          <cell r="AB5894" t="str">
            <v/>
          </cell>
          <cell r="AC5894" t="str">
            <v/>
          </cell>
          <cell r="AD5894" t="str">
            <v/>
          </cell>
          <cell r="AY5894" t="str">
            <v/>
          </cell>
          <cell r="AZ5894" t="str">
            <v/>
          </cell>
          <cell r="BA5894" t="str">
            <v/>
          </cell>
        </row>
        <row r="5895">
          <cell r="B5895" t="str">
            <v>-</v>
          </cell>
          <cell r="E5895" t="str">
            <v/>
          </cell>
          <cell r="G5895" t="str">
            <v/>
          </cell>
          <cell r="J5895" t="str">
            <v/>
          </cell>
          <cell r="O5895" t="str">
            <v/>
          </cell>
          <cell r="P5895" t="str">
            <v/>
          </cell>
          <cell r="Q5895" t="str">
            <v/>
          </cell>
          <cell r="S5895" t="str">
            <v/>
          </cell>
          <cell r="V5895" t="str">
            <v/>
          </cell>
          <cell r="Z5895" t="str">
            <v/>
          </cell>
          <cell r="AA5895" t="str">
            <v/>
          </cell>
          <cell r="AB5895" t="str">
            <v/>
          </cell>
          <cell r="AC5895" t="str">
            <v/>
          </cell>
          <cell r="AD5895" t="str">
            <v/>
          </cell>
          <cell r="AY5895" t="str">
            <v/>
          </cell>
          <cell r="AZ5895" t="str">
            <v/>
          </cell>
          <cell r="BA5895" t="str">
            <v/>
          </cell>
        </row>
        <row r="5896">
          <cell r="B5896" t="str">
            <v>-</v>
          </cell>
          <cell r="E5896" t="str">
            <v/>
          </cell>
          <cell r="G5896" t="str">
            <v/>
          </cell>
          <cell r="J5896" t="str">
            <v/>
          </cell>
          <cell r="O5896" t="str">
            <v/>
          </cell>
          <cell r="P5896" t="str">
            <v/>
          </cell>
          <cell r="Q5896" t="str">
            <v/>
          </cell>
          <cell r="S5896" t="str">
            <v/>
          </cell>
          <cell r="V5896" t="str">
            <v/>
          </cell>
          <cell r="Z5896" t="str">
            <v/>
          </cell>
          <cell r="AA5896" t="str">
            <v/>
          </cell>
          <cell r="AB5896" t="str">
            <v/>
          </cell>
          <cell r="AC5896" t="str">
            <v/>
          </cell>
          <cell r="AD5896" t="str">
            <v/>
          </cell>
          <cell r="AY5896" t="str">
            <v/>
          </cell>
          <cell r="AZ5896" t="str">
            <v/>
          </cell>
          <cell r="BA5896" t="str">
            <v/>
          </cell>
        </row>
        <row r="5897">
          <cell r="B5897" t="str">
            <v>-</v>
          </cell>
          <cell r="E5897" t="str">
            <v/>
          </cell>
          <cell r="G5897" t="str">
            <v/>
          </cell>
          <cell r="J5897" t="str">
            <v/>
          </cell>
          <cell r="O5897" t="str">
            <v/>
          </cell>
          <cell r="P5897" t="str">
            <v/>
          </cell>
          <cell r="Q5897" t="str">
            <v/>
          </cell>
          <cell r="S5897" t="str">
            <v/>
          </cell>
          <cell r="V5897" t="str">
            <v/>
          </cell>
          <cell r="Z5897" t="str">
            <v/>
          </cell>
          <cell r="AA5897" t="str">
            <v/>
          </cell>
          <cell r="AB5897" t="str">
            <v/>
          </cell>
          <cell r="AC5897" t="str">
            <v/>
          </cell>
          <cell r="AD5897" t="str">
            <v/>
          </cell>
          <cell r="AY5897" t="str">
            <v/>
          </cell>
          <cell r="AZ5897" t="str">
            <v/>
          </cell>
          <cell r="BA5897" t="str">
            <v/>
          </cell>
        </row>
        <row r="5898">
          <cell r="B5898" t="str">
            <v>-</v>
          </cell>
          <cell r="E5898" t="str">
            <v/>
          </cell>
          <cell r="G5898" t="str">
            <v/>
          </cell>
          <cell r="J5898" t="str">
            <v/>
          </cell>
          <cell r="O5898" t="str">
            <v/>
          </cell>
          <cell r="P5898" t="str">
            <v/>
          </cell>
          <cell r="Q5898" t="str">
            <v/>
          </cell>
          <cell r="S5898" t="str">
            <v/>
          </cell>
          <cell r="V5898" t="str">
            <v/>
          </cell>
          <cell r="Z5898" t="str">
            <v/>
          </cell>
          <cell r="AA5898" t="str">
            <v/>
          </cell>
          <cell r="AB5898" t="str">
            <v/>
          </cell>
          <cell r="AC5898" t="str">
            <v/>
          </cell>
          <cell r="AD5898" t="str">
            <v/>
          </cell>
          <cell r="AY5898" t="str">
            <v/>
          </cell>
          <cell r="AZ5898" t="str">
            <v/>
          </cell>
          <cell r="BA5898" t="str">
            <v/>
          </cell>
        </row>
        <row r="5899">
          <cell r="B5899" t="str">
            <v>-</v>
          </cell>
          <cell r="E5899" t="str">
            <v/>
          </cell>
          <cell r="G5899" t="str">
            <v/>
          </cell>
          <cell r="J5899" t="str">
            <v/>
          </cell>
          <cell r="O5899" t="str">
            <v/>
          </cell>
          <cell r="P5899" t="str">
            <v/>
          </cell>
          <cell r="Q5899" t="str">
            <v/>
          </cell>
          <cell r="S5899" t="str">
            <v/>
          </cell>
          <cell r="V5899" t="str">
            <v/>
          </cell>
          <cell r="Z5899" t="str">
            <v/>
          </cell>
          <cell r="AA5899" t="str">
            <v/>
          </cell>
          <cell r="AB5899" t="str">
            <v/>
          </cell>
          <cell r="AC5899" t="str">
            <v/>
          </cell>
          <cell r="AD5899" t="str">
            <v/>
          </cell>
          <cell r="AY5899" t="str">
            <v/>
          </cell>
          <cell r="AZ5899" t="str">
            <v/>
          </cell>
          <cell r="BA5899" t="str">
            <v/>
          </cell>
        </row>
        <row r="5900">
          <cell r="B5900" t="str">
            <v>-</v>
          </cell>
          <cell r="E5900" t="str">
            <v/>
          </cell>
          <cell r="G5900" t="str">
            <v/>
          </cell>
          <cell r="J5900" t="str">
            <v/>
          </cell>
          <cell r="O5900" t="str">
            <v/>
          </cell>
          <cell r="P5900" t="str">
            <v/>
          </cell>
          <cell r="Q5900" t="str">
            <v/>
          </cell>
          <cell r="S5900" t="str">
            <v/>
          </cell>
          <cell r="V5900" t="str">
            <v/>
          </cell>
          <cell r="Z5900" t="str">
            <v/>
          </cell>
          <cell r="AA5900" t="str">
            <v/>
          </cell>
          <cell r="AB5900" t="str">
            <v/>
          </cell>
          <cell r="AC5900" t="str">
            <v/>
          </cell>
          <cell r="AD5900" t="str">
            <v/>
          </cell>
          <cell r="AY5900" t="str">
            <v/>
          </cell>
          <cell r="AZ5900" t="str">
            <v/>
          </cell>
          <cell r="BA5900" t="str">
            <v/>
          </cell>
        </row>
        <row r="5901">
          <cell r="B5901" t="str">
            <v>-</v>
          </cell>
          <cell r="E5901" t="str">
            <v/>
          </cell>
          <cell r="G5901" t="str">
            <v/>
          </cell>
          <cell r="J5901" t="str">
            <v/>
          </cell>
          <cell r="O5901" t="str">
            <v/>
          </cell>
          <cell r="P5901" t="str">
            <v/>
          </cell>
          <cell r="Q5901" t="str">
            <v/>
          </cell>
          <cell r="S5901" t="str">
            <v/>
          </cell>
          <cell r="V5901" t="str">
            <v/>
          </cell>
          <cell r="Z5901" t="str">
            <v/>
          </cell>
          <cell r="AA5901" t="str">
            <v/>
          </cell>
          <cell r="AB5901" t="str">
            <v/>
          </cell>
          <cell r="AC5901" t="str">
            <v/>
          </cell>
          <cell r="AD5901" t="str">
            <v/>
          </cell>
          <cell r="AY5901" t="str">
            <v/>
          </cell>
          <cell r="AZ5901" t="str">
            <v/>
          </cell>
          <cell r="BA5901" t="str">
            <v/>
          </cell>
        </row>
        <row r="5902">
          <cell r="B5902" t="str">
            <v>-</v>
          </cell>
          <cell r="E5902" t="str">
            <v/>
          </cell>
          <cell r="G5902" t="str">
            <v/>
          </cell>
          <cell r="J5902" t="str">
            <v/>
          </cell>
          <cell r="O5902" t="str">
            <v/>
          </cell>
          <cell r="P5902" t="str">
            <v/>
          </cell>
          <cell r="Q5902" t="str">
            <v/>
          </cell>
          <cell r="S5902" t="str">
            <v/>
          </cell>
          <cell r="V5902" t="str">
            <v/>
          </cell>
          <cell r="Z5902" t="str">
            <v/>
          </cell>
          <cell r="AA5902" t="str">
            <v/>
          </cell>
          <cell r="AB5902" t="str">
            <v/>
          </cell>
          <cell r="AC5902" t="str">
            <v/>
          </cell>
          <cell r="AD5902" t="str">
            <v/>
          </cell>
          <cell r="AY5902" t="str">
            <v/>
          </cell>
          <cell r="AZ5902" t="str">
            <v/>
          </cell>
          <cell r="BA5902" t="str">
            <v/>
          </cell>
        </row>
        <row r="5903">
          <cell r="B5903" t="str">
            <v>-</v>
          </cell>
          <cell r="E5903" t="str">
            <v/>
          </cell>
          <cell r="G5903" t="str">
            <v/>
          </cell>
          <cell r="J5903" t="str">
            <v/>
          </cell>
          <cell r="O5903" t="str">
            <v/>
          </cell>
          <cell r="P5903" t="str">
            <v/>
          </cell>
          <cell r="Q5903" t="str">
            <v/>
          </cell>
          <cell r="S5903" t="str">
            <v/>
          </cell>
          <cell r="V5903" t="str">
            <v/>
          </cell>
          <cell r="Z5903" t="str">
            <v/>
          </cell>
          <cell r="AA5903" t="str">
            <v/>
          </cell>
          <cell r="AB5903" t="str">
            <v/>
          </cell>
          <cell r="AC5903" t="str">
            <v/>
          </cell>
          <cell r="AD5903" t="str">
            <v/>
          </cell>
          <cell r="AY5903" t="str">
            <v/>
          </cell>
          <cell r="AZ5903" t="str">
            <v/>
          </cell>
          <cell r="BA5903" t="str">
            <v/>
          </cell>
        </row>
        <row r="5904">
          <cell r="B5904" t="str">
            <v>-</v>
          </cell>
          <cell r="E5904" t="str">
            <v/>
          </cell>
          <cell r="G5904" t="str">
            <v/>
          </cell>
          <cell r="J5904" t="str">
            <v/>
          </cell>
          <cell r="O5904" t="str">
            <v/>
          </cell>
          <cell r="P5904" t="str">
            <v/>
          </cell>
          <cell r="Q5904" t="str">
            <v/>
          </cell>
          <cell r="S5904" t="str">
            <v/>
          </cell>
          <cell r="V5904" t="str">
            <v/>
          </cell>
          <cell r="Z5904" t="str">
            <v/>
          </cell>
          <cell r="AA5904" t="str">
            <v/>
          </cell>
          <cell r="AB5904" t="str">
            <v/>
          </cell>
          <cell r="AC5904" t="str">
            <v/>
          </cell>
          <cell r="AD5904" t="str">
            <v/>
          </cell>
          <cell r="AY5904" t="str">
            <v/>
          </cell>
          <cell r="AZ5904" t="str">
            <v/>
          </cell>
          <cell r="BA5904" t="str">
            <v/>
          </cell>
        </row>
        <row r="5905">
          <cell r="B5905" t="str">
            <v>-</v>
          </cell>
          <cell r="E5905" t="str">
            <v/>
          </cell>
          <cell r="G5905" t="str">
            <v/>
          </cell>
          <cell r="J5905" t="str">
            <v/>
          </cell>
          <cell r="O5905" t="str">
            <v/>
          </cell>
          <cell r="P5905" t="str">
            <v/>
          </cell>
          <cell r="Q5905" t="str">
            <v/>
          </cell>
          <cell r="S5905" t="str">
            <v/>
          </cell>
          <cell r="V5905" t="str">
            <v/>
          </cell>
          <cell r="Z5905" t="str">
            <v/>
          </cell>
          <cell r="AA5905" t="str">
            <v/>
          </cell>
          <cell r="AB5905" t="str">
            <v/>
          </cell>
          <cell r="AC5905" t="str">
            <v/>
          </cell>
          <cell r="AD5905" t="str">
            <v/>
          </cell>
          <cell r="AY5905" t="str">
            <v/>
          </cell>
          <cell r="AZ5905" t="str">
            <v/>
          </cell>
          <cell r="BA5905" t="str">
            <v/>
          </cell>
        </row>
        <row r="5906">
          <cell r="B5906" t="str">
            <v>-</v>
          </cell>
          <cell r="E5906" t="str">
            <v/>
          </cell>
          <cell r="G5906" t="str">
            <v/>
          </cell>
          <cell r="J5906" t="str">
            <v/>
          </cell>
          <cell r="O5906" t="str">
            <v/>
          </cell>
          <cell r="P5906" t="str">
            <v/>
          </cell>
          <cell r="Q5906" t="str">
            <v/>
          </cell>
          <cell r="S5906" t="str">
            <v/>
          </cell>
          <cell r="V5906" t="str">
            <v/>
          </cell>
          <cell r="Z5906" t="str">
            <v/>
          </cell>
          <cell r="AA5906" t="str">
            <v/>
          </cell>
          <cell r="AB5906" t="str">
            <v/>
          </cell>
          <cell r="AC5906" t="str">
            <v/>
          </cell>
          <cell r="AD5906" t="str">
            <v/>
          </cell>
          <cell r="AY5906" t="str">
            <v/>
          </cell>
          <cell r="AZ5906" t="str">
            <v/>
          </cell>
          <cell r="BA5906" t="str">
            <v/>
          </cell>
        </row>
        <row r="5907">
          <cell r="B5907" t="str">
            <v>-</v>
          </cell>
          <cell r="E5907" t="str">
            <v/>
          </cell>
          <cell r="G5907" t="str">
            <v/>
          </cell>
          <cell r="J5907" t="str">
            <v/>
          </cell>
          <cell r="O5907" t="str">
            <v/>
          </cell>
          <cell r="P5907" t="str">
            <v/>
          </cell>
          <cell r="Q5907" t="str">
            <v/>
          </cell>
          <cell r="S5907" t="str">
            <v/>
          </cell>
          <cell r="V5907" t="str">
            <v/>
          </cell>
          <cell r="Z5907" t="str">
            <v/>
          </cell>
          <cell r="AA5907" t="str">
            <v/>
          </cell>
          <cell r="AB5907" t="str">
            <v/>
          </cell>
          <cell r="AC5907" t="str">
            <v/>
          </cell>
          <cell r="AD5907" t="str">
            <v/>
          </cell>
          <cell r="AY5907" t="str">
            <v/>
          </cell>
          <cell r="AZ5907" t="str">
            <v/>
          </cell>
          <cell r="BA5907" t="str">
            <v/>
          </cell>
        </row>
        <row r="5908">
          <cell r="B5908" t="str">
            <v>-</v>
          </cell>
          <cell r="E5908" t="str">
            <v/>
          </cell>
          <cell r="G5908" t="str">
            <v/>
          </cell>
          <cell r="J5908" t="str">
            <v/>
          </cell>
          <cell r="O5908" t="str">
            <v/>
          </cell>
          <cell r="P5908" t="str">
            <v/>
          </cell>
          <cell r="Q5908" t="str">
            <v/>
          </cell>
          <cell r="S5908" t="str">
            <v/>
          </cell>
          <cell r="V5908" t="str">
            <v/>
          </cell>
          <cell r="Z5908" t="str">
            <v/>
          </cell>
          <cell r="AA5908" t="str">
            <v/>
          </cell>
          <cell r="AB5908" t="str">
            <v/>
          </cell>
          <cell r="AC5908" t="str">
            <v/>
          </cell>
          <cell r="AD5908" t="str">
            <v/>
          </cell>
          <cell r="AY5908" t="str">
            <v/>
          </cell>
          <cell r="AZ5908" t="str">
            <v/>
          </cell>
          <cell r="BA5908" t="str">
            <v/>
          </cell>
        </row>
        <row r="5909">
          <cell r="B5909" t="str">
            <v>-</v>
          </cell>
          <cell r="E5909" t="str">
            <v/>
          </cell>
          <cell r="G5909" t="str">
            <v/>
          </cell>
          <cell r="J5909" t="str">
            <v/>
          </cell>
          <cell r="O5909" t="str">
            <v/>
          </cell>
          <cell r="P5909" t="str">
            <v/>
          </cell>
          <cell r="Q5909" t="str">
            <v/>
          </cell>
          <cell r="S5909" t="str">
            <v/>
          </cell>
          <cell r="V5909" t="str">
            <v/>
          </cell>
          <cell r="Z5909" t="str">
            <v/>
          </cell>
          <cell r="AA5909" t="str">
            <v/>
          </cell>
          <cell r="AB5909" t="str">
            <v/>
          </cell>
          <cell r="AC5909" t="str">
            <v/>
          </cell>
          <cell r="AD5909" t="str">
            <v/>
          </cell>
          <cell r="AY5909" t="str">
            <v/>
          </cell>
          <cell r="AZ5909" t="str">
            <v/>
          </cell>
          <cell r="BA5909" t="str">
            <v/>
          </cell>
        </row>
        <row r="5910">
          <cell r="B5910" t="str">
            <v>-</v>
          </cell>
          <cell r="E5910" t="str">
            <v/>
          </cell>
          <cell r="G5910" t="str">
            <v/>
          </cell>
          <cell r="J5910" t="str">
            <v/>
          </cell>
          <cell r="O5910" t="str">
            <v/>
          </cell>
          <cell r="P5910" t="str">
            <v/>
          </cell>
          <cell r="Q5910" t="str">
            <v/>
          </cell>
          <cell r="S5910" t="str">
            <v/>
          </cell>
          <cell r="V5910" t="str">
            <v/>
          </cell>
          <cell r="Z5910" t="str">
            <v/>
          </cell>
          <cell r="AA5910" t="str">
            <v/>
          </cell>
          <cell r="AB5910" t="str">
            <v/>
          </cell>
          <cell r="AC5910" t="str">
            <v/>
          </cell>
          <cell r="AD5910" t="str">
            <v/>
          </cell>
          <cell r="AY5910" t="str">
            <v/>
          </cell>
          <cell r="AZ5910" t="str">
            <v/>
          </cell>
          <cell r="BA5910" t="str">
            <v/>
          </cell>
        </row>
        <row r="5911">
          <cell r="B5911" t="str">
            <v>-</v>
          </cell>
          <cell r="E5911" t="str">
            <v/>
          </cell>
          <cell r="G5911" t="str">
            <v/>
          </cell>
          <cell r="J5911" t="str">
            <v/>
          </cell>
          <cell r="O5911" t="str">
            <v/>
          </cell>
          <cell r="P5911" t="str">
            <v/>
          </cell>
          <cell r="Q5911" t="str">
            <v/>
          </cell>
          <cell r="S5911" t="str">
            <v/>
          </cell>
          <cell r="V5911" t="str">
            <v/>
          </cell>
          <cell r="Z5911" t="str">
            <v/>
          </cell>
          <cell r="AA5911" t="str">
            <v/>
          </cell>
          <cell r="AB5911" t="str">
            <v/>
          </cell>
          <cell r="AC5911" t="str">
            <v/>
          </cell>
          <cell r="AD5911" t="str">
            <v/>
          </cell>
          <cell r="AY5911" t="str">
            <v/>
          </cell>
          <cell r="AZ5911" t="str">
            <v/>
          </cell>
          <cell r="BA5911" t="str">
            <v/>
          </cell>
        </row>
        <row r="5912">
          <cell r="B5912" t="str">
            <v>-</v>
          </cell>
          <cell r="E5912" t="str">
            <v/>
          </cell>
          <cell r="G5912" t="str">
            <v/>
          </cell>
          <cell r="J5912" t="str">
            <v/>
          </cell>
          <cell r="O5912" t="str">
            <v/>
          </cell>
          <cell r="P5912" t="str">
            <v/>
          </cell>
          <cell r="Q5912" t="str">
            <v/>
          </cell>
          <cell r="S5912" t="str">
            <v/>
          </cell>
          <cell r="V5912" t="str">
            <v/>
          </cell>
          <cell r="Z5912" t="str">
            <v/>
          </cell>
          <cell r="AA5912" t="str">
            <v/>
          </cell>
          <cell r="AB5912" t="str">
            <v/>
          </cell>
          <cell r="AC5912" t="str">
            <v/>
          </cell>
          <cell r="AD5912" t="str">
            <v/>
          </cell>
          <cell r="AY5912" t="str">
            <v/>
          </cell>
          <cell r="AZ5912" t="str">
            <v/>
          </cell>
          <cell r="BA5912" t="str">
            <v/>
          </cell>
        </row>
        <row r="5913">
          <cell r="B5913" t="str">
            <v>-</v>
          </cell>
          <cell r="E5913" t="str">
            <v/>
          </cell>
          <cell r="G5913" t="str">
            <v/>
          </cell>
          <cell r="J5913" t="str">
            <v/>
          </cell>
          <cell r="O5913" t="str">
            <v/>
          </cell>
          <cell r="P5913" t="str">
            <v/>
          </cell>
          <cell r="Q5913" t="str">
            <v/>
          </cell>
          <cell r="S5913" t="str">
            <v/>
          </cell>
          <cell r="V5913" t="str">
            <v/>
          </cell>
          <cell r="Z5913" t="str">
            <v/>
          </cell>
          <cell r="AA5913" t="str">
            <v/>
          </cell>
          <cell r="AB5913" t="str">
            <v/>
          </cell>
          <cell r="AC5913" t="str">
            <v/>
          </cell>
          <cell r="AD5913" t="str">
            <v/>
          </cell>
          <cell r="AY5913" t="str">
            <v/>
          </cell>
          <cell r="AZ5913" t="str">
            <v/>
          </cell>
          <cell r="BA5913" t="str">
            <v/>
          </cell>
        </row>
        <row r="5914">
          <cell r="B5914" t="str">
            <v>-</v>
          </cell>
          <cell r="E5914" t="str">
            <v/>
          </cell>
          <cell r="G5914" t="str">
            <v/>
          </cell>
          <cell r="J5914" t="str">
            <v/>
          </cell>
          <cell r="O5914" t="str">
            <v/>
          </cell>
          <cell r="P5914" t="str">
            <v/>
          </cell>
          <cell r="Q5914" t="str">
            <v/>
          </cell>
          <cell r="S5914" t="str">
            <v/>
          </cell>
          <cell r="V5914" t="str">
            <v/>
          </cell>
          <cell r="Z5914" t="str">
            <v/>
          </cell>
          <cell r="AA5914" t="str">
            <v/>
          </cell>
          <cell r="AB5914" t="str">
            <v/>
          </cell>
          <cell r="AC5914" t="str">
            <v/>
          </cell>
          <cell r="AD5914" t="str">
            <v/>
          </cell>
          <cell r="AY5914" t="str">
            <v/>
          </cell>
          <cell r="AZ5914" t="str">
            <v/>
          </cell>
          <cell r="BA5914" t="str">
            <v/>
          </cell>
        </row>
        <row r="5915">
          <cell r="B5915" t="str">
            <v>-</v>
          </cell>
          <cell r="E5915" t="str">
            <v/>
          </cell>
          <cell r="G5915" t="str">
            <v/>
          </cell>
          <cell r="J5915" t="str">
            <v/>
          </cell>
          <cell r="O5915" t="str">
            <v/>
          </cell>
          <cell r="P5915" t="str">
            <v/>
          </cell>
          <cell r="Q5915" t="str">
            <v/>
          </cell>
          <cell r="S5915" t="str">
            <v/>
          </cell>
          <cell r="V5915" t="str">
            <v/>
          </cell>
          <cell r="Z5915" t="str">
            <v/>
          </cell>
          <cell r="AA5915" t="str">
            <v/>
          </cell>
          <cell r="AB5915" t="str">
            <v/>
          </cell>
          <cell r="AC5915" t="str">
            <v/>
          </cell>
          <cell r="AD5915" t="str">
            <v/>
          </cell>
          <cell r="AY5915" t="str">
            <v/>
          </cell>
          <cell r="AZ5915" t="str">
            <v/>
          </cell>
          <cell r="BA5915" t="str">
            <v/>
          </cell>
        </row>
        <row r="5916">
          <cell r="B5916" t="str">
            <v>-</v>
          </cell>
          <cell r="E5916" t="str">
            <v/>
          </cell>
          <cell r="G5916" t="str">
            <v/>
          </cell>
          <cell r="J5916" t="str">
            <v/>
          </cell>
          <cell r="O5916" t="str">
            <v/>
          </cell>
          <cell r="P5916" t="str">
            <v/>
          </cell>
          <cell r="Q5916" t="str">
            <v/>
          </cell>
          <cell r="S5916" t="str">
            <v/>
          </cell>
          <cell r="V5916" t="str">
            <v/>
          </cell>
          <cell r="Z5916" t="str">
            <v/>
          </cell>
          <cell r="AA5916" t="str">
            <v/>
          </cell>
          <cell r="AB5916" t="str">
            <v/>
          </cell>
          <cell r="AC5916" t="str">
            <v/>
          </cell>
          <cell r="AD5916" t="str">
            <v/>
          </cell>
          <cell r="AY5916" t="str">
            <v/>
          </cell>
          <cell r="AZ5916" t="str">
            <v/>
          </cell>
          <cell r="BA5916" t="str">
            <v/>
          </cell>
        </row>
        <row r="5917">
          <cell r="B5917" t="str">
            <v>-</v>
          </cell>
          <cell r="E5917" t="str">
            <v/>
          </cell>
          <cell r="G5917" t="str">
            <v/>
          </cell>
          <cell r="J5917" t="str">
            <v/>
          </cell>
          <cell r="O5917" t="str">
            <v/>
          </cell>
          <cell r="P5917" t="str">
            <v/>
          </cell>
          <cell r="Q5917" t="str">
            <v/>
          </cell>
          <cell r="S5917" t="str">
            <v/>
          </cell>
          <cell r="V5917" t="str">
            <v/>
          </cell>
          <cell r="Z5917" t="str">
            <v/>
          </cell>
          <cell r="AA5917" t="str">
            <v/>
          </cell>
          <cell r="AB5917" t="str">
            <v/>
          </cell>
          <cell r="AC5917" t="str">
            <v/>
          </cell>
          <cell r="AD5917" t="str">
            <v/>
          </cell>
          <cell r="AY5917" t="str">
            <v/>
          </cell>
          <cell r="AZ5917" t="str">
            <v/>
          </cell>
          <cell r="BA5917" t="str">
            <v/>
          </cell>
        </row>
        <row r="5918">
          <cell r="B5918" t="str">
            <v>-</v>
          </cell>
          <cell r="E5918" t="str">
            <v/>
          </cell>
          <cell r="G5918" t="str">
            <v/>
          </cell>
          <cell r="J5918" t="str">
            <v/>
          </cell>
          <cell r="O5918" t="str">
            <v/>
          </cell>
          <cell r="P5918" t="str">
            <v/>
          </cell>
          <cell r="Q5918" t="str">
            <v/>
          </cell>
          <cell r="S5918" t="str">
            <v/>
          </cell>
          <cell r="V5918" t="str">
            <v/>
          </cell>
          <cell r="Z5918" t="str">
            <v/>
          </cell>
          <cell r="AA5918" t="str">
            <v/>
          </cell>
          <cell r="AB5918" t="str">
            <v/>
          </cell>
          <cell r="AC5918" t="str">
            <v/>
          </cell>
          <cell r="AD5918" t="str">
            <v/>
          </cell>
          <cell r="AY5918" t="str">
            <v/>
          </cell>
          <cell r="AZ5918" t="str">
            <v/>
          </cell>
          <cell r="BA5918" t="str">
            <v/>
          </cell>
        </row>
        <row r="5919">
          <cell r="B5919" t="str">
            <v>-</v>
          </cell>
          <cell r="E5919" t="str">
            <v/>
          </cell>
          <cell r="G5919" t="str">
            <v/>
          </cell>
          <cell r="J5919" t="str">
            <v/>
          </cell>
          <cell r="O5919" t="str">
            <v/>
          </cell>
          <cell r="P5919" t="str">
            <v/>
          </cell>
          <cell r="Q5919" t="str">
            <v/>
          </cell>
          <cell r="S5919" t="str">
            <v/>
          </cell>
          <cell r="V5919" t="str">
            <v/>
          </cell>
          <cell r="Z5919" t="str">
            <v/>
          </cell>
          <cell r="AA5919" t="str">
            <v/>
          </cell>
          <cell r="AB5919" t="str">
            <v/>
          </cell>
          <cell r="AC5919" t="str">
            <v/>
          </cell>
          <cell r="AD5919" t="str">
            <v/>
          </cell>
          <cell r="AY5919" t="str">
            <v/>
          </cell>
          <cell r="AZ5919" t="str">
            <v/>
          </cell>
          <cell r="BA5919" t="str">
            <v/>
          </cell>
        </row>
        <row r="5920">
          <cell r="B5920" t="str">
            <v>-</v>
          </cell>
          <cell r="E5920" t="str">
            <v/>
          </cell>
          <cell r="G5920" t="str">
            <v/>
          </cell>
          <cell r="J5920" t="str">
            <v/>
          </cell>
          <cell r="O5920" t="str">
            <v/>
          </cell>
          <cell r="P5920" t="str">
            <v/>
          </cell>
          <cell r="Q5920" t="str">
            <v/>
          </cell>
          <cell r="S5920" t="str">
            <v/>
          </cell>
          <cell r="V5920" t="str">
            <v/>
          </cell>
          <cell r="Z5920" t="str">
            <v/>
          </cell>
          <cell r="AA5920" t="str">
            <v/>
          </cell>
          <cell r="AB5920" t="str">
            <v/>
          </cell>
          <cell r="AC5920" t="str">
            <v/>
          </cell>
          <cell r="AD5920" t="str">
            <v/>
          </cell>
          <cell r="AY5920" t="str">
            <v/>
          </cell>
          <cell r="AZ5920" t="str">
            <v/>
          </cell>
          <cell r="BA5920" t="str">
            <v/>
          </cell>
        </row>
        <row r="5921">
          <cell r="B5921" t="str">
            <v>-</v>
          </cell>
          <cell r="E5921" t="str">
            <v/>
          </cell>
          <cell r="G5921" t="str">
            <v/>
          </cell>
          <cell r="J5921" t="str">
            <v/>
          </cell>
          <cell r="O5921" t="str">
            <v/>
          </cell>
          <cell r="P5921" t="str">
            <v/>
          </cell>
          <cell r="Q5921" t="str">
            <v/>
          </cell>
          <cell r="S5921" t="str">
            <v/>
          </cell>
          <cell r="V5921" t="str">
            <v/>
          </cell>
          <cell r="Z5921" t="str">
            <v/>
          </cell>
          <cell r="AA5921" t="str">
            <v/>
          </cell>
          <cell r="AB5921" t="str">
            <v/>
          </cell>
          <cell r="AC5921" t="str">
            <v/>
          </cell>
          <cell r="AD5921" t="str">
            <v/>
          </cell>
          <cell r="AY5921" t="str">
            <v/>
          </cell>
          <cell r="AZ5921" t="str">
            <v/>
          </cell>
          <cell r="BA5921" t="str">
            <v/>
          </cell>
        </row>
        <row r="5922">
          <cell r="B5922" t="str">
            <v>-</v>
          </cell>
          <cell r="E5922" t="str">
            <v/>
          </cell>
          <cell r="G5922" t="str">
            <v/>
          </cell>
          <cell r="J5922" t="str">
            <v/>
          </cell>
          <cell r="O5922" t="str">
            <v/>
          </cell>
          <cell r="P5922" t="str">
            <v/>
          </cell>
          <cell r="Q5922" t="str">
            <v/>
          </cell>
          <cell r="S5922" t="str">
            <v/>
          </cell>
          <cell r="V5922" t="str">
            <v/>
          </cell>
          <cell r="Z5922" t="str">
            <v/>
          </cell>
          <cell r="AA5922" t="str">
            <v/>
          </cell>
          <cell r="AB5922" t="str">
            <v/>
          </cell>
          <cell r="AC5922" t="str">
            <v/>
          </cell>
          <cell r="AD5922" t="str">
            <v/>
          </cell>
          <cell r="AY5922" t="str">
            <v/>
          </cell>
          <cell r="AZ5922" t="str">
            <v/>
          </cell>
          <cell r="BA5922" t="str">
            <v/>
          </cell>
        </row>
        <row r="5923">
          <cell r="B5923" t="str">
            <v>-</v>
          </cell>
          <cell r="E5923" t="str">
            <v/>
          </cell>
          <cell r="G5923" t="str">
            <v/>
          </cell>
          <cell r="J5923" t="str">
            <v/>
          </cell>
          <cell r="O5923" t="str">
            <v/>
          </cell>
          <cell r="P5923" t="str">
            <v/>
          </cell>
          <cell r="Q5923" t="str">
            <v/>
          </cell>
          <cell r="S5923" t="str">
            <v/>
          </cell>
          <cell r="V5923" t="str">
            <v/>
          </cell>
          <cell r="Z5923" t="str">
            <v/>
          </cell>
          <cell r="AA5923" t="str">
            <v/>
          </cell>
          <cell r="AB5923" t="str">
            <v/>
          </cell>
          <cell r="AC5923" t="str">
            <v/>
          </cell>
          <cell r="AD5923" t="str">
            <v/>
          </cell>
          <cell r="AY5923" t="str">
            <v/>
          </cell>
          <cell r="AZ5923" t="str">
            <v/>
          </cell>
          <cell r="BA5923" t="str">
            <v/>
          </cell>
        </row>
        <row r="5924">
          <cell r="B5924" t="str">
            <v>-</v>
          </cell>
          <cell r="E5924" t="str">
            <v/>
          </cell>
          <cell r="G5924" t="str">
            <v/>
          </cell>
          <cell r="J5924" t="str">
            <v/>
          </cell>
          <cell r="O5924" t="str">
            <v/>
          </cell>
          <cell r="P5924" t="str">
            <v/>
          </cell>
          <cell r="Q5924" t="str">
            <v/>
          </cell>
          <cell r="S5924" t="str">
            <v/>
          </cell>
          <cell r="V5924" t="str">
            <v/>
          </cell>
          <cell r="Z5924" t="str">
            <v/>
          </cell>
          <cell r="AA5924" t="str">
            <v/>
          </cell>
          <cell r="AB5924" t="str">
            <v/>
          </cell>
          <cell r="AC5924" t="str">
            <v/>
          </cell>
          <cell r="AD5924" t="str">
            <v/>
          </cell>
          <cell r="AY5924" t="str">
            <v/>
          </cell>
          <cell r="AZ5924" t="str">
            <v/>
          </cell>
          <cell r="BA5924" t="str">
            <v/>
          </cell>
        </row>
        <row r="5925">
          <cell r="B5925" t="str">
            <v>-</v>
          </cell>
          <cell r="E5925" t="str">
            <v/>
          </cell>
          <cell r="G5925" t="str">
            <v/>
          </cell>
          <cell r="J5925" t="str">
            <v/>
          </cell>
          <cell r="O5925" t="str">
            <v/>
          </cell>
          <cell r="P5925" t="str">
            <v/>
          </cell>
          <cell r="Q5925" t="str">
            <v/>
          </cell>
          <cell r="S5925" t="str">
            <v/>
          </cell>
          <cell r="V5925" t="str">
            <v/>
          </cell>
          <cell r="Z5925" t="str">
            <v/>
          </cell>
          <cell r="AA5925" t="str">
            <v/>
          </cell>
          <cell r="AB5925" t="str">
            <v/>
          </cell>
          <cell r="AC5925" t="str">
            <v/>
          </cell>
          <cell r="AD5925" t="str">
            <v/>
          </cell>
          <cell r="AY5925" t="str">
            <v/>
          </cell>
          <cell r="AZ5925" t="str">
            <v/>
          </cell>
          <cell r="BA5925" t="str">
            <v/>
          </cell>
        </row>
        <row r="5926">
          <cell r="B5926" t="str">
            <v>-</v>
          </cell>
          <cell r="E5926" t="str">
            <v/>
          </cell>
          <cell r="G5926" t="str">
            <v/>
          </cell>
          <cell r="J5926" t="str">
            <v/>
          </cell>
          <cell r="O5926" t="str">
            <v/>
          </cell>
          <cell r="P5926" t="str">
            <v/>
          </cell>
          <cell r="Q5926" t="str">
            <v/>
          </cell>
          <cell r="S5926" t="str">
            <v/>
          </cell>
          <cell r="V5926" t="str">
            <v/>
          </cell>
          <cell r="Z5926" t="str">
            <v/>
          </cell>
          <cell r="AA5926" t="str">
            <v/>
          </cell>
          <cell r="AB5926" t="str">
            <v/>
          </cell>
          <cell r="AC5926" t="str">
            <v/>
          </cell>
          <cell r="AD5926" t="str">
            <v/>
          </cell>
          <cell r="AY5926" t="str">
            <v/>
          </cell>
          <cell r="AZ5926" t="str">
            <v/>
          </cell>
          <cell r="BA5926" t="str">
            <v/>
          </cell>
        </row>
        <row r="5927">
          <cell r="B5927" t="str">
            <v>-</v>
          </cell>
          <cell r="E5927" t="str">
            <v/>
          </cell>
          <cell r="G5927" t="str">
            <v/>
          </cell>
          <cell r="J5927" t="str">
            <v/>
          </cell>
          <cell r="O5927" t="str">
            <v/>
          </cell>
          <cell r="P5927" t="str">
            <v/>
          </cell>
          <cell r="Q5927" t="str">
            <v/>
          </cell>
          <cell r="S5927" t="str">
            <v/>
          </cell>
          <cell r="V5927" t="str">
            <v/>
          </cell>
          <cell r="Z5927" t="str">
            <v/>
          </cell>
          <cell r="AA5927" t="str">
            <v/>
          </cell>
          <cell r="AB5927" t="str">
            <v/>
          </cell>
          <cell r="AC5927" t="str">
            <v/>
          </cell>
          <cell r="AD5927" t="str">
            <v/>
          </cell>
          <cell r="AY5927" t="str">
            <v/>
          </cell>
          <cell r="AZ5927" t="str">
            <v/>
          </cell>
          <cell r="BA5927" t="str">
            <v/>
          </cell>
        </row>
        <row r="5928">
          <cell r="B5928" t="str">
            <v>-</v>
          </cell>
          <cell r="E5928" t="str">
            <v/>
          </cell>
          <cell r="G5928" t="str">
            <v/>
          </cell>
          <cell r="J5928" t="str">
            <v/>
          </cell>
          <cell r="O5928" t="str">
            <v/>
          </cell>
          <cell r="P5928" t="str">
            <v/>
          </cell>
          <cell r="Q5928" t="str">
            <v/>
          </cell>
          <cell r="S5928" t="str">
            <v/>
          </cell>
          <cell r="V5928" t="str">
            <v/>
          </cell>
          <cell r="Z5928" t="str">
            <v/>
          </cell>
          <cell r="AA5928" t="str">
            <v/>
          </cell>
          <cell r="AB5928" t="str">
            <v/>
          </cell>
          <cell r="AC5928" t="str">
            <v/>
          </cell>
          <cell r="AD5928" t="str">
            <v/>
          </cell>
          <cell r="AY5928" t="str">
            <v/>
          </cell>
          <cell r="AZ5928" t="str">
            <v/>
          </cell>
          <cell r="BA5928" t="str">
            <v/>
          </cell>
        </row>
        <row r="5929">
          <cell r="B5929" t="str">
            <v>-</v>
          </cell>
          <cell r="E5929" t="str">
            <v/>
          </cell>
          <cell r="G5929" t="str">
            <v/>
          </cell>
          <cell r="J5929" t="str">
            <v/>
          </cell>
          <cell r="O5929" t="str">
            <v/>
          </cell>
          <cell r="P5929" t="str">
            <v/>
          </cell>
          <cell r="Q5929" t="str">
            <v/>
          </cell>
          <cell r="S5929" t="str">
            <v/>
          </cell>
          <cell r="V5929" t="str">
            <v/>
          </cell>
          <cell r="Z5929" t="str">
            <v/>
          </cell>
          <cell r="AA5929" t="str">
            <v/>
          </cell>
          <cell r="AB5929" t="str">
            <v/>
          </cell>
          <cell r="AC5929" t="str">
            <v/>
          </cell>
          <cell r="AD5929" t="str">
            <v/>
          </cell>
          <cell r="AY5929" t="str">
            <v/>
          </cell>
          <cell r="AZ5929" t="str">
            <v/>
          </cell>
          <cell r="BA5929" t="str">
            <v/>
          </cell>
        </row>
        <row r="5930">
          <cell r="B5930" t="str">
            <v>-</v>
          </cell>
          <cell r="E5930" t="str">
            <v/>
          </cell>
          <cell r="G5930" t="str">
            <v/>
          </cell>
          <cell r="J5930" t="str">
            <v/>
          </cell>
          <cell r="O5930" t="str">
            <v/>
          </cell>
          <cell r="P5930" t="str">
            <v/>
          </cell>
          <cell r="Q5930" t="str">
            <v/>
          </cell>
          <cell r="S5930" t="str">
            <v/>
          </cell>
          <cell r="V5930" t="str">
            <v/>
          </cell>
          <cell r="Z5930" t="str">
            <v/>
          </cell>
          <cell r="AA5930" t="str">
            <v/>
          </cell>
          <cell r="AB5930" t="str">
            <v/>
          </cell>
          <cell r="AC5930" t="str">
            <v/>
          </cell>
          <cell r="AD5930" t="str">
            <v/>
          </cell>
          <cell r="AY5930" t="str">
            <v/>
          </cell>
          <cell r="AZ5930" t="str">
            <v/>
          </cell>
          <cell r="BA5930" t="str">
            <v/>
          </cell>
        </row>
        <row r="5931">
          <cell r="B5931" t="str">
            <v>-</v>
          </cell>
          <cell r="E5931" t="str">
            <v/>
          </cell>
          <cell r="G5931" t="str">
            <v/>
          </cell>
          <cell r="J5931" t="str">
            <v/>
          </cell>
          <cell r="O5931" t="str">
            <v/>
          </cell>
          <cell r="P5931" t="str">
            <v/>
          </cell>
          <cell r="Q5931" t="str">
            <v/>
          </cell>
          <cell r="S5931" t="str">
            <v/>
          </cell>
          <cell r="V5931" t="str">
            <v/>
          </cell>
          <cell r="Z5931" t="str">
            <v/>
          </cell>
          <cell r="AA5931" t="str">
            <v/>
          </cell>
          <cell r="AB5931" t="str">
            <v/>
          </cell>
          <cell r="AC5931" t="str">
            <v/>
          </cell>
          <cell r="AD5931" t="str">
            <v/>
          </cell>
          <cell r="AY5931" t="str">
            <v/>
          </cell>
          <cell r="AZ5931" t="str">
            <v/>
          </cell>
          <cell r="BA5931" t="str">
            <v/>
          </cell>
        </row>
        <row r="5932">
          <cell r="B5932" t="str">
            <v>-</v>
          </cell>
          <cell r="E5932" t="str">
            <v/>
          </cell>
          <cell r="G5932" t="str">
            <v/>
          </cell>
          <cell r="J5932" t="str">
            <v/>
          </cell>
          <cell r="O5932" t="str">
            <v/>
          </cell>
          <cell r="P5932" t="str">
            <v/>
          </cell>
          <cell r="Q5932" t="str">
            <v/>
          </cell>
          <cell r="S5932" t="str">
            <v/>
          </cell>
          <cell r="V5932" t="str">
            <v/>
          </cell>
          <cell r="Z5932" t="str">
            <v/>
          </cell>
          <cell r="AA5932" t="str">
            <v/>
          </cell>
          <cell r="AB5932" t="str">
            <v/>
          </cell>
          <cell r="AC5932" t="str">
            <v/>
          </cell>
          <cell r="AD5932" t="str">
            <v/>
          </cell>
          <cell r="AY5932" t="str">
            <v/>
          </cell>
          <cell r="AZ5932" t="str">
            <v/>
          </cell>
          <cell r="BA5932" t="str">
            <v/>
          </cell>
        </row>
        <row r="5933">
          <cell r="B5933" t="str">
            <v>-</v>
          </cell>
          <cell r="E5933" t="str">
            <v/>
          </cell>
          <cell r="G5933" t="str">
            <v/>
          </cell>
          <cell r="J5933" t="str">
            <v/>
          </cell>
          <cell r="O5933" t="str">
            <v/>
          </cell>
          <cell r="P5933" t="str">
            <v/>
          </cell>
          <cell r="Q5933" t="str">
            <v/>
          </cell>
          <cell r="S5933" t="str">
            <v/>
          </cell>
          <cell r="V5933" t="str">
            <v/>
          </cell>
          <cell r="Z5933" t="str">
            <v/>
          </cell>
          <cell r="AA5933" t="str">
            <v/>
          </cell>
          <cell r="AB5933" t="str">
            <v/>
          </cell>
          <cell r="AC5933" t="str">
            <v/>
          </cell>
          <cell r="AD5933" t="str">
            <v/>
          </cell>
          <cell r="AY5933" t="str">
            <v/>
          </cell>
          <cell r="AZ5933" t="str">
            <v/>
          </cell>
          <cell r="BA5933" t="str">
            <v/>
          </cell>
        </row>
        <row r="5934">
          <cell r="B5934" t="str">
            <v>-</v>
          </cell>
          <cell r="E5934" t="str">
            <v/>
          </cell>
          <cell r="G5934" t="str">
            <v/>
          </cell>
          <cell r="J5934" t="str">
            <v/>
          </cell>
          <cell r="O5934" t="str">
            <v/>
          </cell>
          <cell r="P5934" t="str">
            <v/>
          </cell>
          <cell r="Q5934" t="str">
            <v/>
          </cell>
          <cell r="S5934" t="str">
            <v/>
          </cell>
          <cell r="V5934" t="str">
            <v/>
          </cell>
          <cell r="Z5934" t="str">
            <v/>
          </cell>
          <cell r="AA5934" t="str">
            <v/>
          </cell>
          <cell r="AB5934" t="str">
            <v/>
          </cell>
          <cell r="AC5934" t="str">
            <v/>
          </cell>
          <cell r="AD5934" t="str">
            <v/>
          </cell>
          <cell r="AY5934" t="str">
            <v/>
          </cell>
          <cell r="AZ5934" t="str">
            <v/>
          </cell>
          <cell r="BA5934" t="str">
            <v/>
          </cell>
        </row>
        <row r="5935">
          <cell r="B5935" t="str">
            <v>-</v>
          </cell>
          <cell r="E5935" t="str">
            <v/>
          </cell>
          <cell r="G5935" t="str">
            <v/>
          </cell>
          <cell r="J5935" t="str">
            <v/>
          </cell>
          <cell r="O5935" t="str">
            <v/>
          </cell>
          <cell r="P5935" t="str">
            <v/>
          </cell>
          <cell r="Q5935" t="str">
            <v/>
          </cell>
          <cell r="S5935" t="str">
            <v/>
          </cell>
          <cell r="V5935" t="str">
            <v/>
          </cell>
          <cell r="Z5935" t="str">
            <v/>
          </cell>
          <cell r="AA5935" t="str">
            <v/>
          </cell>
          <cell r="AB5935" t="str">
            <v/>
          </cell>
          <cell r="AC5935" t="str">
            <v/>
          </cell>
          <cell r="AD5935" t="str">
            <v/>
          </cell>
          <cell r="AY5935" t="str">
            <v/>
          </cell>
          <cell r="AZ5935" t="str">
            <v/>
          </cell>
          <cell r="BA5935" t="str">
            <v/>
          </cell>
        </row>
        <row r="5936">
          <cell r="B5936" t="str">
            <v>-</v>
          </cell>
          <cell r="E5936" t="str">
            <v/>
          </cell>
          <cell r="G5936" t="str">
            <v/>
          </cell>
          <cell r="J5936" t="str">
            <v/>
          </cell>
          <cell r="O5936" t="str">
            <v/>
          </cell>
          <cell r="P5936" t="str">
            <v/>
          </cell>
          <cell r="Q5936" t="str">
            <v/>
          </cell>
          <cell r="S5936" t="str">
            <v/>
          </cell>
          <cell r="V5936" t="str">
            <v/>
          </cell>
          <cell r="Z5936" t="str">
            <v/>
          </cell>
          <cell r="AA5936" t="str">
            <v/>
          </cell>
          <cell r="AB5936" t="str">
            <v/>
          </cell>
          <cell r="AC5936" t="str">
            <v/>
          </cell>
          <cell r="AD5936" t="str">
            <v/>
          </cell>
          <cell r="AY5936" t="str">
            <v/>
          </cell>
          <cell r="AZ5936" t="str">
            <v/>
          </cell>
          <cell r="BA5936" t="str">
            <v/>
          </cell>
        </row>
        <row r="5937">
          <cell r="B5937" t="str">
            <v>-</v>
          </cell>
          <cell r="E5937" t="str">
            <v/>
          </cell>
          <cell r="G5937" t="str">
            <v/>
          </cell>
          <cell r="J5937" t="str">
            <v/>
          </cell>
          <cell r="O5937" t="str">
            <v/>
          </cell>
          <cell r="P5937" t="str">
            <v/>
          </cell>
          <cell r="Q5937" t="str">
            <v/>
          </cell>
          <cell r="S5937" t="str">
            <v/>
          </cell>
          <cell r="V5937" t="str">
            <v/>
          </cell>
          <cell r="Z5937" t="str">
            <v/>
          </cell>
          <cell r="AA5937" t="str">
            <v/>
          </cell>
          <cell r="AB5937" t="str">
            <v/>
          </cell>
          <cell r="AC5937" t="str">
            <v/>
          </cell>
          <cell r="AD5937" t="str">
            <v/>
          </cell>
          <cell r="AY5937" t="str">
            <v/>
          </cell>
          <cell r="AZ5937" t="str">
            <v/>
          </cell>
          <cell r="BA5937" t="str">
            <v/>
          </cell>
        </row>
        <row r="5938">
          <cell r="B5938" t="str">
            <v>-</v>
          </cell>
          <cell r="E5938" t="str">
            <v/>
          </cell>
          <cell r="G5938" t="str">
            <v/>
          </cell>
          <cell r="J5938" t="str">
            <v/>
          </cell>
          <cell r="O5938" t="str">
            <v/>
          </cell>
          <cell r="P5938" t="str">
            <v/>
          </cell>
          <cell r="Q5938" t="str">
            <v/>
          </cell>
          <cell r="S5938" t="str">
            <v/>
          </cell>
          <cell r="V5938" t="str">
            <v/>
          </cell>
          <cell r="Z5938" t="str">
            <v/>
          </cell>
          <cell r="AA5938" t="str">
            <v/>
          </cell>
          <cell r="AB5938" t="str">
            <v/>
          </cell>
          <cell r="AC5938" t="str">
            <v/>
          </cell>
          <cell r="AD5938" t="str">
            <v/>
          </cell>
          <cell r="AY5938" t="str">
            <v/>
          </cell>
          <cell r="AZ5938" t="str">
            <v/>
          </cell>
          <cell r="BA5938" t="str">
            <v/>
          </cell>
        </row>
        <row r="5939">
          <cell r="B5939" t="str">
            <v>-</v>
          </cell>
          <cell r="E5939" t="str">
            <v/>
          </cell>
          <cell r="G5939" t="str">
            <v/>
          </cell>
          <cell r="J5939" t="str">
            <v/>
          </cell>
          <cell r="O5939" t="str">
            <v/>
          </cell>
          <cell r="P5939" t="str">
            <v/>
          </cell>
          <cell r="Q5939" t="str">
            <v/>
          </cell>
          <cell r="S5939" t="str">
            <v/>
          </cell>
          <cell r="V5939" t="str">
            <v/>
          </cell>
          <cell r="Z5939" t="str">
            <v/>
          </cell>
          <cell r="AA5939" t="str">
            <v/>
          </cell>
          <cell r="AB5939" t="str">
            <v/>
          </cell>
          <cell r="AC5939" t="str">
            <v/>
          </cell>
          <cell r="AD5939" t="str">
            <v/>
          </cell>
          <cell r="AY5939" t="str">
            <v/>
          </cell>
          <cell r="AZ5939" t="str">
            <v/>
          </cell>
          <cell r="BA5939" t="str">
            <v/>
          </cell>
        </row>
        <row r="5940">
          <cell r="B5940" t="str">
            <v>-</v>
          </cell>
          <cell r="E5940" t="str">
            <v/>
          </cell>
          <cell r="G5940" t="str">
            <v/>
          </cell>
          <cell r="J5940" t="str">
            <v/>
          </cell>
          <cell r="O5940" t="str">
            <v/>
          </cell>
          <cell r="P5940" t="str">
            <v/>
          </cell>
          <cell r="Q5940" t="str">
            <v/>
          </cell>
          <cell r="S5940" t="str">
            <v/>
          </cell>
          <cell r="V5940" t="str">
            <v/>
          </cell>
          <cell r="Z5940" t="str">
            <v/>
          </cell>
          <cell r="AA5940" t="str">
            <v/>
          </cell>
          <cell r="AB5940" t="str">
            <v/>
          </cell>
          <cell r="AC5940" t="str">
            <v/>
          </cell>
          <cell r="AD5940" t="str">
            <v/>
          </cell>
          <cell r="AY5940" t="str">
            <v/>
          </cell>
          <cell r="AZ5940" t="str">
            <v/>
          </cell>
          <cell r="BA5940" t="str">
            <v/>
          </cell>
        </row>
        <row r="5941">
          <cell r="B5941" t="str">
            <v>-</v>
          </cell>
          <cell r="E5941" t="str">
            <v/>
          </cell>
          <cell r="G5941" t="str">
            <v/>
          </cell>
          <cell r="J5941" t="str">
            <v/>
          </cell>
          <cell r="O5941" t="str">
            <v/>
          </cell>
          <cell r="P5941" t="str">
            <v/>
          </cell>
          <cell r="Q5941" t="str">
            <v/>
          </cell>
          <cell r="S5941" t="str">
            <v/>
          </cell>
          <cell r="V5941" t="str">
            <v/>
          </cell>
          <cell r="Z5941" t="str">
            <v/>
          </cell>
          <cell r="AA5941" t="str">
            <v/>
          </cell>
          <cell r="AB5941" t="str">
            <v/>
          </cell>
          <cell r="AC5941" t="str">
            <v/>
          </cell>
          <cell r="AD5941" t="str">
            <v/>
          </cell>
          <cell r="AY5941" t="str">
            <v/>
          </cell>
          <cell r="AZ5941" t="str">
            <v/>
          </cell>
          <cell r="BA5941" t="str">
            <v/>
          </cell>
        </row>
        <row r="5942">
          <cell r="B5942" t="str">
            <v>-</v>
          </cell>
          <cell r="E5942" t="str">
            <v/>
          </cell>
          <cell r="G5942" t="str">
            <v/>
          </cell>
          <cell r="J5942" t="str">
            <v/>
          </cell>
          <cell r="O5942" t="str">
            <v/>
          </cell>
          <cell r="P5942" t="str">
            <v/>
          </cell>
          <cell r="Q5942" t="str">
            <v/>
          </cell>
          <cell r="S5942" t="str">
            <v/>
          </cell>
          <cell r="V5942" t="str">
            <v/>
          </cell>
          <cell r="Z5942" t="str">
            <v/>
          </cell>
          <cell r="AA5942" t="str">
            <v/>
          </cell>
          <cell r="AB5942" t="str">
            <v/>
          </cell>
          <cell r="AC5942" t="str">
            <v/>
          </cell>
          <cell r="AD5942" t="str">
            <v/>
          </cell>
          <cell r="AY5942" t="str">
            <v/>
          </cell>
          <cell r="AZ5942" t="str">
            <v/>
          </cell>
          <cell r="BA5942" t="str">
            <v/>
          </cell>
        </row>
        <row r="5943">
          <cell r="B5943" t="str">
            <v>-</v>
          </cell>
          <cell r="E5943" t="str">
            <v/>
          </cell>
          <cell r="G5943" t="str">
            <v/>
          </cell>
          <cell r="J5943" t="str">
            <v/>
          </cell>
          <cell r="O5943" t="str">
            <v/>
          </cell>
          <cell r="P5943" t="str">
            <v/>
          </cell>
          <cell r="Q5943" t="str">
            <v/>
          </cell>
          <cell r="S5943" t="str">
            <v/>
          </cell>
          <cell r="V5943" t="str">
            <v/>
          </cell>
          <cell r="Z5943" t="str">
            <v/>
          </cell>
          <cell r="AA5943" t="str">
            <v/>
          </cell>
          <cell r="AB5943" t="str">
            <v/>
          </cell>
          <cell r="AC5943" t="str">
            <v/>
          </cell>
          <cell r="AD5943" t="str">
            <v/>
          </cell>
          <cell r="AY5943" t="str">
            <v/>
          </cell>
          <cell r="AZ5943" t="str">
            <v/>
          </cell>
          <cell r="BA5943" t="str">
            <v/>
          </cell>
        </row>
        <row r="5944">
          <cell r="B5944" t="str">
            <v>-</v>
          </cell>
          <cell r="E5944" t="str">
            <v/>
          </cell>
          <cell r="G5944" t="str">
            <v/>
          </cell>
          <cell r="J5944" t="str">
            <v/>
          </cell>
          <cell r="O5944" t="str">
            <v/>
          </cell>
          <cell r="P5944" t="str">
            <v/>
          </cell>
          <cell r="Q5944" t="str">
            <v/>
          </cell>
          <cell r="S5944" t="str">
            <v/>
          </cell>
          <cell r="V5944" t="str">
            <v/>
          </cell>
          <cell r="Z5944" t="str">
            <v/>
          </cell>
          <cell r="AA5944" t="str">
            <v/>
          </cell>
          <cell r="AB5944" t="str">
            <v/>
          </cell>
          <cell r="AC5944" t="str">
            <v/>
          </cell>
          <cell r="AD5944" t="str">
            <v/>
          </cell>
          <cell r="AY5944" t="str">
            <v/>
          </cell>
          <cell r="AZ5944" t="str">
            <v/>
          </cell>
          <cell r="BA5944" t="str">
            <v/>
          </cell>
        </row>
        <row r="5945">
          <cell r="B5945" t="str">
            <v>-</v>
          </cell>
          <cell r="E5945" t="str">
            <v/>
          </cell>
          <cell r="G5945" t="str">
            <v/>
          </cell>
          <cell r="J5945" t="str">
            <v/>
          </cell>
          <cell r="O5945" t="str">
            <v/>
          </cell>
          <cell r="P5945" t="str">
            <v/>
          </cell>
          <cell r="Q5945" t="str">
            <v/>
          </cell>
          <cell r="S5945" t="str">
            <v/>
          </cell>
          <cell r="V5945" t="str">
            <v/>
          </cell>
          <cell r="Z5945" t="str">
            <v/>
          </cell>
          <cell r="AA5945" t="str">
            <v/>
          </cell>
          <cell r="AB5945" t="str">
            <v/>
          </cell>
          <cell r="AC5945" t="str">
            <v/>
          </cell>
          <cell r="AD5945" t="str">
            <v/>
          </cell>
          <cell r="AY5945" t="str">
            <v/>
          </cell>
          <cell r="AZ5945" t="str">
            <v/>
          </cell>
          <cell r="BA5945" t="str">
            <v/>
          </cell>
        </row>
        <row r="5946">
          <cell r="B5946" t="str">
            <v>-</v>
          </cell>
          <cell r="E5946" t="str">
            <v/>
          </cell>
          <cell r="G5946" t="str">
            <v/>
          </cell>
          <cell r="J5946" t="str">
            <v/>
          </cell>
          <cell r="O5946" t="str">
            <v/>
          </cell>
          <cell r="P5946" t="str">
            <v/>
          </cell>
          <cell r="Q5946" t="str">
            <v/>
          </cell>
          <cell r="S5946" t="str">
            <v/>
          </cell>
          <cell r="V5946" t="str">
            <v/>
          </cell>
          <cell r="Z5946" t="str">
            <v/>
          </cell>
          <cell r="AA5946" t="str">
            <v/>
          </cell>
          <cell r="AB5946" t="str">
            <v/>
          </cell>
          <cell r="AC5946" t="str">
            <v/>
          </cell>
          <cell r="AD5946" t="str">
            <v/>
          </cell>
          <cell r="AY5946" t="str">
            <v/>
          </cell>
          <cell r="AZ5946" t="str">
            <v/>
          </cell>
          <cell r="BA5946" t="str">
            <v/>
          </cell>
        </row>
        <row r="5947">
          <cell r="B5947" t="str">
            <v>-</v>
          </cell>
          <cell r="E5947" t="str">
            <v/>
          </cell>
          <cell r="G5947" t="str">
            <v/>
          </cell>
          <cell r="J5947" t="str">
            <v/>
          </cell>
          <cell r="O5947" t="str">
            <v/>
          </cell>
          <cell r="P5947" t="str">
            <v/>
          </cell>
          <cell r="Q5947" t="str">
            <v/>
          </cell>
          <cell r="S5947" t="str">
            <v/>
          </cell>
          <cell r="V5947" t="str">
            <v/>
          </cell>
          <cell r="Z5947" t="str">
            <v/>
          </cell>
          <cell r="AA5947" t="str">
            <v/>
          </cell>
          <cell r="AB5947" t="str">
            <v/>
          </cell>
          <cell r="AC5947" t="str">
            <v/>
          </cell>
          <cell r="AD5947" t="str">
            <v/>
          </cell>
          <cell r="AY5947" t="str">
            <v/>
          </cell>
          <cell r="AZ5947" t="str">
            <v/>
          </cell>
          <cell r="BA5947" t="str">
            <v/>
          </cell>
        </row>
        <row r="5948">
          <cell r="B5948" t="str">
            <v>-</v>
          </cell>
          <cell r="E5948" t="str">
            <v/>
          </cell>
          <cell r="G5948" t="str">
            <v/>
          </cell>
          <cell r="J5948" t="str">
            <v/>
          </cell>
          <cell r="O5948" t="str">
            <v/>
          </cell>
          <cell r="P5948" t="str">
            <v/>
          </cell>
          <cell r="Q5948" t="str">
            <v/>
          </cell>
          <cell r="S5948" t="str">
            <v/>
          </cell>
          <cell r="V5948" t="str">
            <v/>
          </cell>
          <cell r="Z5948" t="str">
            <v/>
          </cell>
          <cell r="AA5948" t="str">
            <v/>
          </cell>
          <cell r="AB5948" t="str">
            <v/>
          </cell>
          <cell r="AC5948" t="str">
            <v/>
          </cell>
          <cell r="AD5948" t="str">
            <v/>
          </cell>
          <cell r="AY5948" t="str">
            <v/>
          </cell>
          <cell r="AZ5948" t="str">
            <v/>
          </cell>
          <cell r="BA5948" t="str">
            <v/>
          </cell>
        </row>
        <row r="5949">
          <cell r="B5949" t="str">
            <v>-</v>
          </cell>
          <cell r="E5949" t="str">
            <v/>
          </cell>
          <cell r="G5949" t="str">
            <v/>
          </cell>
          <cell r="J5949" t="str">
            <v/>
          </cell>
          <cell r="O5949" t="str">
            <v/>
          </cell>
          <cell r="P5949" t="str">
            <v/>
          </cell>
          <cell r="Q5949" t="str">
            <v/>
          </cell>
          <cell r="S5949" t="str">
            <v/>
          </cell>
          <cell r="V5949" t="str">
            <v/>
          </cell>
          <cell r="Z5949" t="str">
            <v/>
          </cell>
          <cell r="AA5949" t="str">
            <v/>
          </cell>
          <cell r="AB5949" t="str">
            <v/>
          </cell>
          <cell r="AC5949" t="str">
            <v/>
          </cell>
          <cell r="AD5949" t="str">
            <v/>
          </cell>
          <cell r="AY5949" t="str">
            <v/>
          </cell>
          <cell r="AZ5949" t="str">
            <v/>
          </cell>
          <cell r="BA5949" t="str">
            <v/>
          </cell>
        </row>
        <row r="5950">
          <cell r="B5950" t="str">
            <v>-</v>
          </cell>
          <cell r="E5950" t="str">
            <v/>
          </cell>
          <cell r="G5950" t="str">
            <v/>
          </cell>
          <cell r="J5950" t="str">
            <v/>
          </cell>
          <cell r="O5950" t="str">
            <v/>
          </cell>
          <cell r="P5950" t="str">
            <v/>
          </cell>
          <cell r="Q5950" t="str">
            <v/>
          </cell>
          <cell r="S5950" t="str">
            <v/>
          </cell>
          <cell r="V5950" t="str">
            <v/>
          </cell>
          <cell r="Z5950" t="str">
            <v/>
          </cell>
          <cell r="AA5950" t="str">
            <v/>
          </cell>
          <cell r="AB5950" t="str">
            <v/>
          </cell>
          <cell r="AC5950" t="str">
            <v/>
          </cell>
          <cell r="AD5950" t="str">
            <v/>
          </cell>
          <cell r="AY5950" t="str">
            <v/>
          </cell>
          <cell r="AZ5950" t="str">
            <v/>
          </cell>
          <cell r="BA5950" t="str">
            <v/>
          </cell>
        </row>
        <row r="5951">
          <cell r="B5951" t="str">
            <v>-</v>
          </cell>
          <cell r="E5951" t="str">
            <v/>
          </cell>
          <cell r="G5951" t="str">
            <v/>
          </cell>
          <cell r="J5951" t="str">
            <v/>
          </cell>
          <cell r="O5951" t="str">
            <v/>
          </cell>
          <cell r="P5951" t="str">
            <v/>
          </cell>
          <cell r="Q5951" t="str">
            <v/>
          </cell>
          <cell r="S5951" t="str">
            <v/>
          </cell>
          <cell r="V5951" t="str">
            <v/>
          </cell>
          <cell r="Z5951" t="str">
            <v/>
          </cell>
          <cell r="AA5951" t="str">
            <v/>
          </cell>
          <cell r="AB5951" t="str">
            <v/>
          </cell>
          <cell r="AC5951" t="str">
            <v/>
          </cell>
          <cell r="AD5951" t="str">
            <v/>
          </cell>
          <cell r="AY5951" t="str">
            <v/>
          </cell>
          <cell r="AZ5951" t="str">
            <v/>
          </cell>
          <cell r="BA5951" t="str">
            <v/>
          </cell>
        </row>
        <row r="5952">
          <cell r="B5952" t="str">
            <v>-</v>
          </cell>
          <cell r="E5952" t="str">
            <v/>
          </cell>
          <cell r="G5952" t="str">
            <v/>
          </cell>
          <cell r="J5952" t="str">
            <v/>
          </cell>
          <cell r="O5952" t="str">
            <v/>
          </cell>
          <cell r="P5952" t="str">
            <v/>
          </cell>
          <cell r="Q5952" t="str">
            <v/>
          </cell>
          <cell r="S5952" t="str">
            <v/>
          </cell>
          <cell r="V5952" t="str">
            <v/>
          </cell>
          <cell r="Z5952" t="str">
            <v/>
          </cell>
          <cell r="AA5952" t="str">
            <v/>
          </cell>
          <cell r="AB5952" t="str">
            <v/>
          </cell>
          <cell r="AC5952" t="str">
            <v/>
          </cell>
          <cell r="AD5952" t="str">
            <v/>
          </cell>
          <cell r="AY5952" t="str">
            <v/>
          </cell>
          <cell r="AZ5952" t="str">
            <v/>
          </cell>
          <cell r="BA5952" t="str">
            <v/>
          </cell>
        </row>
        <row r="5953">
          <cell r="B5953" t="str">
            <v>-</v>
          </cell>
          <cell r="E5953" t="str">
            <v/>
          </cell>
          <cell r="G5953" t="str">
            <v/>
          </cell>
          <cell r="J5953" t="str">
            <v/>
          </cell>
          <cell r="O5953" t="str">
            <v/>
          </cell>
          <cell r="P5953" t="str">
            <v/>
          </cell>
          <cell r="Q5953" t="str">
            <v/>
          </cell>
          <cell r="S5953" t="str">
            <v/>
          </cell>
          <cell r="V5953" t="str">
            <v/>
          </cell>
          <cell r="Z5953" t="str">
            <v/>
          </cell>
          <cell r="AA5953" t="str">
            <v/>
          </cell>
          <cell r="AB5953" t="str">
            <v/>
          </cell>
          <cell r="AC5953" t="str">
            <v/>
          </cell>
          <cell r="AD5953" t="str">
            <v/>
          </cell>
          <cell r="AY5953" t="str">
            <v/>
          </cell>
          <cell r="AZ5953" t="str">
            <v/>
          </cell>
          <cell r="BA5953" t="str">
            <v/>
          </cell>
        </row>
        <row r="5954">
          <cell r="B5954" t="str">
            <v>-</v>
          </cell>
          <cell r="E5954" t="str">
            <v/>
          </cell>
          <cell r="G5954" t="str">
            <v/>
          </cell>
          <cell r="J5954" t="str">
            <v/>
          </cell>
          <cell r="O5954" t="str">
            <v/>
          </cell>
          <cell r="P5954" t="str">
            <v/>
          </cell>
          <cell r="Q5954" t="str">
            <v/>
          </cell>
          <cell r="S5954" t="str">
            <v/>
          </cell>
          <cell r="V5954" t="str">
            <v/>
          </cell>
          <cell r="Z5954" t="str">
            <v/>
          </cell>
          <cell r="AA5954" t="str">
            <v/>
          </cell>
          <cell r="AB5954" t="str">
            <v/>
          </cell>
          <cell r="AC5954" t="str">
            <v/>
          </cell>
          <cell r="AD5954" t="str">
            <v/>
          </cell>
          <cell r="AY5954" t="str">
            <v/>
          </cell>
          <cell r="AZ5954" t="str">
            <v/>
          </cell>
          <cell r="BA5954" t="str">
            <v/>
          </cell>
        </row>
        <row r="5955">
          <cell r="B5955" t="str">
            <v>-</v>
          </cell>
          <cell r="E5955" t="str">
            <v/>
          </cell>
          <cell r="G5955" t="str">
            <v/>
          </cell>
          <cell r="J5955" t="str">
            <v/>
          </cell>
          <cell r="O5955" t="str">
            <v/>
          </cell>
          <cell r="P5955" t="str">
            <v/>
          </cell>
          <cell r="Q5955" t="str">
            <v/>
          </cell>
          <cell r="S5955" t="str">
            <v/>
          </cell>
          <cell r="V5955" t="str">
            <v/>
          </cell>
          <cell r="Z5955" t="str">
            <v/>
          </cell>
          <cell r="AA5955" t="str">
            <v/>
          </cell>
          <cell r="AB5955" t="str">
            <v/>
          </cell>
          <cell r="AC5955" t="str">
            <v/>
          </cell>
          <cell r="AD5955" t="str">
            <v/>
          </cell>
          <cell r="AY5955" t="str">
            <v/>
          </cell>
          <cell r="AZ5955" t="str">
            <v/>
          </cell>
          <cell r="BA5955" t="str">
            <v/>
          </cell>
        </row>
        <row r="5956">
          <cell r="B5956" t="str">
            <v>-</v>
          </cell>
          <cell r="E5956" t="str">
            <v/>
          </cell>
          <cell r="G5956" t="str">
            <v/>
          </cell>
          <cell r="J5956" t="str">
            <v/>
          </cell>
          <cell r="O5956" t="str">
            <v/>
          </cell>
          <cell r="P5956" t="str">
            <v/>
          </cell>
          <cell r="Q5956" t="str">
            <v/>
          </cell>
          <cell r="S5956" t="str">
            <v/>
          </cell>
          <cell r="V5956" t="str">
            <v/>
          </cell>
          <cell r="Z5956" t="str">
            <v/>
          </cell>
          <cell r="AA5956" t="str">
            <v/>
          </cell>
          <cell r="AB5956" t="str">
            <v/>
          </cell>
          <cell r="AC5956" t="str">
            <v/>
          </cell>
          <cell r="AD5956" t="str">
            <v/>
          </cell>
          <cell r="AY5956" t="str">
            <v/>
          </cell>
          <cell r="AZ5956" t="str">
            <v/>
          </cell>
          <cell r="BA5956" t="str">
            <v/>
          </cell>
        </row>
        <row r="5957">
          <cell r="B5957" t="str">
            <v>-</v>
          </cell>
          <cell r="E5957" t="str">
            <v/>
          </cell>
          <cell r="G5957" t="str">
            <v/>
          </cell>
          <cell r="J5957" t="str">
            <v/>
          </cell>
          <cell r="O5957" t="str">
            <v/>
          </cell>
          <cell r="P5957" t="str">
            <v/>
          </cell>
          <cell r="Q5957" t="str">
            <v/>
          </cell>
          <cell r="S5957" t="str">
            <v/>
          </cell>
          <cell r="V5957" t="str">
            <v/>
          </cell>
          <cell r="Z5957" t="str">
            <v/>
          </cell>
          <cell r="AA5957" t="str">
            <v/>
          </cell>
          <cell r="AB5957" t="str">
            <v/>
          </cell>
          <cell r="AC5957" t="str">
            <v/>
          </cell>
          <cell r="AD5957" t="str">
            <v/>
          </cell>
          <cell r="AY5957" t="str">
            <v/>
          </cell>
          <cell r="AZ5957" t="str">
            <v/>
          </cell>
          <cell r="BA5957" t="str">
            <v/>
          </cell>
        </row>
        <row r="5958">
          <cell r="B5958" t="str">
            <v>-</v>
          </cell>
          <cell r="E5958" t="str">
            <v/>
          </cell>
          <cell r="G5958" t="str">
            <v/>
          </cell>
          <cell r="J5958" t="str">
            <v/>
          </cell>
          <cell r="O5958" t="str">
            <v/>
          </cell>
          <cell r="P5958" t="str">
            <v/>
          </cell>
          <cell r="Q5958" t="str">
            <v/>
          </cell>
          <cell r="S5958" t="str">
            <v/>
          </cell>
          <cell r="V5958" t="str">
            <v/>
          </cell>
          <cell r="Z5958" t="str">
            <v/>
          </cell>
          <cell r="AA5958" t="str">
            <v/>
          </cell>
          <cell r="AB5958" t="str">
            <v/>
          </cell>
          <cell r="AC5958" t="str">
            <v/>
          </cell>
          <cell r="AD5958" t="str">
            <v/>
          </cell>
          <cell r="AY5958" t="str">
            <v/>
          </cell>
          <cell r="AZ5958" t="str">
            <v/>
          </cell>
          <cell r="BA5958" t="str">
            <v/>
          </cell>
        </row>
        <row r="5959">
          <cell r="B5959" t="str">
            <v>-</v>
          </cell>
          <cell r="E5959" t="str">
            <v/>
          </cell>
          <cell r="G5959" t="str">
            <v/>
          </cell>
          <cell r="J5959" t="str">
            <v/>
          </cell>
          <cell r="O5959" t="str">
            <v/>
          </cell>
          <cell r="P5959" t="str">
            <v/>
          </cell>
          <cell r="Q5959" t="str">
            <v/>
          </cell>
          <cell r="S5959" t="str">
            <v/>
          </cell>
          <cell r="V5959" t="str">
            <v/>
          </cell>
          <cell r="Z5959" t="str">
            <v/>
          </cell>
          <cell r="AA5959" t="str">
            <v/>
          </cell>
          <cell r="AB5959" t="str">
            <v/>
          </cell>
          <cell r="AC5959" t="str">
            <v/>
          </cell>
          <cell r="AD5959" t="str">
            <v/>
          </cell>
          <cell r="AY5959" t="str">
            <v/>
          </cell>
          <cell r="AZ5959" t="str">
            <v/>
          </cell>
          <cell r="BA5959" t="str">
            <v/>
          </cell>
        </row>
        <row r="5960">
          <cell r="B5960" t="str">
            <v>-</v>
          </cell>
          <cell r="E5960" t="str">
            <v/>
          </cell>
          <cell r="G5960" t="str">
            <v/>
          </cell>
          <cell r="J5960" t="str">
            <v/>
          </cell>
          <cell r="O5960" t="str">
            <v/>
          </cell>
          <cell r="P5960" t="str">
            <v/>
          </cell>
          <cell r="Q5960" t="str">
            <v/>
          </cell>
          <cell r="S5960" t="str">
            <v/>
          </cell>
          <cell r="V5960" t="str">
            <v/>
          </cell>
          <cell r="Z5960" t="str">
            <v/>
          </cell>
          <cell r="AA5960" t="str">
            <v/>
          </cell>
          <cell r="AB5960" t="str">
            <v/>
          </cell>
          <cell r="AC5960" t="str">
            <v/>
          </cell>
          <cell r="AD5960" t="str">
            <v/>
          </cell>
          <cell r="AY5960" t="str">
            <v/>
          </cell>
          <cell r="AZ5960" t="str">
            <v/>
          </cell>
          <cell r="BA5960" t="str">
            <v/>
          </cell>
        </row>
        <row r="5961">
          <cell r="B5961" t="str">
            <v>-</v>
          </cell>
          <cell r="E5961" t="str">
            <v/>
          </cell>
          <cell r="G5961" t="str">
            <v/>
          </cell>
          <cell r="J5961" t="str">
            <v/>
          </cell>
          <cell r="O5961" t="str">
            <v/>
          </cell>
          <cell r="P5961" t="str">
            <v/>
          </cell>
          <cell r="Q5961" t="str">
            <v/>
          </cell>
          <cell r="S5961" t="str">
            <v/>
          </cell>
          <cell r="V5961" t="str">
            <v/>
          </cell>
          <cell r="Z5961" t="str">
            <v/>
          </cell>
          <cell r="AA5961" t="str">
            <v/>
          </cell>
          <cell r="AB5961" t="str">
            <v/>
          </cell>
          <cell r="AC5961" t="str">
            <v/>
          </cell>
          <cell r="AD5961" t="str">
            <v/>
          </cell>
          <cell r="AY5961" t="str">
            <v/>
          </cell>
          <cell r="AZ5961" t="str">
            <v/>
          </cell>
          <cell r="BA5961" t="str">
            <v/>
          </cell>
        </row>
        <row r="5962">
          <cell r="B5962" t="str">
            <v>-</v>
          </cell>
          <cell r="E5962" t="str">
            <v/>
          </cell>
          <cell r="G5962" t="str">
            <v/>
          </cell>
          <cell r="J5962" t="str">
            <v/>
          </cell>
          <cell r="O5962" t="str">
            <v/>
          </cell>
          <cell r="P5962" t="str">
            <v/>
          </cell>
          <cell r="Q5962" t="str">
            <v/>
          </cell>
          <cell r="S5962" t="str">
            <v/>
          </cell>
          <cell r="V5962" t="str">
            <v/>
          </cell>
          <cell r="Z5962" t="str">
            <v/>
          </cell>
          <cell r="AA5962" t="str">
            <v/>
          </cell>
          <cell r="AB5962" t="str">
            <v/>
          </cell>
          <cell r="AC5962" t="str">
            <v/>
          </cell>
          <cell r="AD5962" t="str">
            <v/>
          </cell>
          <cell r="AY5962" t="str">
            <v/>
          </cell>
          <cell r="AZ5962" t="str">
            <v/>
          </cell>
          <cell r="BA5962" t="str">
            <v/>
          </cell>
        </row>
        <row r="5963">
          <cell r="B5963" t="str">
            <v>-</v>
          </cell>
          <cell r="E5963" t="str">
            <v/>
          </cell>
          <cell r="G5963" t="str">
            <v/>
          </cell>
          <cell r="J5963" t="str">
            <v/>
          </cell>
          <cell r="O5963" t="str">
            <v/>
          </cell>
          <cell r="P5963" t="str">
            <v/>
          </cell>
          <cell r="Q5963" t="str">
            <v/>
          </cell>
          <cell r="S5963" t="str">
            <v/>
          </cell>
          <cell r="V5963" t="str">
            <v/>
          </cell>
          <cell r="Z5963" t="str">
            <v/>
          </cell>
          <cell r="AA5963" t="str">
            <v/>
          </cell>
          <cell r="AB5963" t="str">
            <v/>
          </cell>
          <cell r="AC5963" t="str">
            <v/>
          </cell>
          <cell r="AD5963" t="str">
            <v/>
          </cell>
          <cell r="AY5963" t="str">
            <v/>
          </cell>
          <cell r="AZ5963" t="str">
            <v/>
          </cell>
          <cell r="BA5963" t="str">
            <v/>
          </cell>
        </row>
        <row r="5964">
          <cell r="B5964" t="str">
            <v>-</v>
          </cell>
          <cell r="E5964" t="str">
            <v/>
          </cell>
          <cell r="G5964" t="str">
            <v/>
          </cell>
          <cell r="J5964" t="str">
            <v/>
          </cell>
          <cell r="O5964" t="str">
            <v/>
          </cell>
          <cell r="P5964" t="str">
            <v/>
          </cell>
          <cell r="Q5964" t="str">
            <v/>
          </cell>
          <cell r="S5964" t="str">
            <v/>
          </cell>
          <cell r="V5964" t="str">
            <v/>
          </cell>
          <cell r="Z5964" t="str">
            <v/>
          </cell>
          <cell r="AA5964" t="str">
            <v/>
          </cell>
          <cell r="AB5964" t="str">
            <v/>
          </cell>
          <cell r="AC5964" t="str">
            <v/>
          </cell>
          <cell r="AD5964" t="str">
            <v/>
          </cell>
          <cell r="AY5964" t="str">
            <v/>
          </cell>
          <cell r="AZ5964" t="str">
            <v/>
          </cell>
          <cell r="BA5964" t="str">
            <v/>
          </cell>
        </row>
        <row r="5965">
          <cell r="B5965" t="str">
            <v>-</v>
          </cell>
          <cell r="E5965" t="str">
            <v/>
          </cell>
          <cell r="G5965" t="str">
            <v/>
          </cell>
          <cell r="J5965" t="str">
            <v/>
          </cell>
          <cell r="O5965" t="str">
            <v/>
          </cell>
          <cell r="P5965" t="str">
            <v/>
          </cell>
          <cell r="Q5965" t="str">
            <v/>
          </cell>
          <cell r="S5965" t="str">
            <v/>
          </cell>
          <cell r="V5965" t="str">
            <v/>
          </cell>
          <cell r="Z5965" t="str">
            <v/>
          </cell>
          <cell r="AA5965" t="str">
            <v/>
          </cell>
          <cell r="AB5965" t="str">
            <v/>
          </cell>
          <cell r="AC5965" t="str">
            <v/>
          </cell>
          <cell r="AD5965" t="str">
            <v/>
          </cell>
          <cell r="AY5965" t="str">
            <v/>
          </cell>
          <cell r="AZ5965" t="str">
            <v/>
          </cell>
          <cell r="BA5965" t="str">
            <v/>
          </cell>
        </row>
        <row r="5966">
          <cell r="B5966" t="str">
            <v>-</v>
          </cell>
          <cell r="E5966" t="str">
            <v/>
          </cell>
          <cell r="G5966" t="str">
            <v/>
          </cell>
          <cell r="J5966" t="str">
            <v/>
          </cell>
          <cell r="O5966" t="str">
            <v/>
          </cell>
          <cell r="P5966" t="str">
            <v/>
          </cell>
          <cell r="Q5966" t="str">
            <v/>
          </cell>
          <cell r="S5966" t="str">
            <v/>
          </cell>
          <cell r="V5966" t="str">
            <v/>
          </cell>
          <cell r="Z5966" t="str">
            <v/>
          </cell>
          <cell r="AA5966" t="str">
            <v/>
          </cell>
          <cell r="AB5966" t="str">
            <v/>
          </cell>
          <cell r="AC5966" t="str">
            <v/>
          </cell>
          <cell r="AD5966" t="str">
            <v/>
          </cell>
          <cell r="AY5966" t="str">
            <v/>
          </cell>
          <cell r="AZ5966" t="str">
            <v/>
          </cell>
          <cell r="BA5966" t="str">
            <v/>
          </cell>
        </row>
        <row r="5967">
          <cell r="B5967" t="str">
            <v>-</v>
          </cell>
          <cell r="E5967" t="str">
            <v/>
          </cell>
          <cell r="G5967" t="str">
            <v/>
          </cell>
          <cell r="J5967" t="str">
            <v/>
          </cell>
          <cell r="O5967" t="str">
            <v/>
          </cell>
          <cell r="P5967" t="str">
            <v/>
          </cell>
          <cell r="Q5967" t="str">
            <v/>
          </cell>
          <cell r="S5967" t="str">
            <v/>
          </cell>
          <cell r="V5967" t="str">
            <v/>
          </cell>
          <cell r="Z5967" t="str">
            <v/>
          </cell>
          <cell r="AA5967" t="str">
            <v/>
          </cell>
          <cell r="AB5967" t="str">
            <v/>
          </cell>
          <cell r="AC5967" t="str">
            <v/>
          </cell>
          <cell r="AD5967" t="str">
            <v/>
          </cell>
          <cell r="AY5967" t="str">
            <v/>
          </cell>
          <cell r="AZ5967" t="str">
            <v/>
          </cell>
          <cell r="BA5967" t="str">
            <v/>
          </cell>
        </row>
        <row r="5968">
          <cell r="B5968" t="str">
            <v>-</v>
          </cell>
          <cell r="E5968" t="str">
            <v/>
          </cell>
          <cell r="G5968" t="str">
            <v/>
          </cell>
          <cell r="J5968" t="str">
            <v/>
          </cell>
          <cell r="O5968" t="str">
            <v/>
          </cell>
          <cell r="P5968" t="str">
            <v/>
          </cell>
          <cell r="Q5968" t="str">
            <v/>
          </cell>
          <cell r="S5968" t="str">
            <v/>
          </cell>
          <cell r="V5968" t="str">
            <v/>
          </cell>
          <cell r="Z5968" t="str">
            <v/>
          </cell>
          <cell r="AA5968" t="str">
            <v/>
          </cell>
          <cell r="AB5968" t="str">
            <v/>
          </cell>
          <cell r="AC5968" t="str">
            <v/>
          </cell>
          <cell r="AD5968" t="str">
            <v/>
          </cell>
          <cell r="AY5968" t="str">
            <v/>
          </cell>
          <cell r="AZ5968" t="str">
            <v/>
          </cell>
          <cell r="BA5968" t="str">
            <v/>
          </cell>
        </row>
        <row r="5969">
          <cell r="B5969" t="str">
            <v>-</v>
          </cell>
          <cell r="E5969" t="str">
            <v/>
          </cell>
          <cell r="G5969" t="str">
            <v/>
          </cell>
          <cell r="J5969" t="str">
            <v/>
          </cell>
          <cell r="O5969" t="str">
            <v/>
          </cell>
          <cell r="P5969" t="str">
            <v/>
          </cell>
          <cell r="Q5969" t="str">
            <v/>
          </cell>
          <cell r="S5969" t="str">
            <v/>
          </cell>
          <cell r="V5969" t="str">
            <v/>
          </cell>
          <cell r="Z5969" t="str">
            <v/>
          </cell>
          <cell r="AA5969" t="str">
            <v/>
          </cell>
          <cell r="AB5969" t="str">
            <v/>
          </cell>
          <cell r="AC5969" t="str">
            <v/>
          </cell>
          <cell r="AD5969" t="str">
            <v/>
          </cell>
          <cell r="AY5969" t="str">
            <v/>
          </cell>
          <cell r="AZ5969" t="str">
            <v/>
          </cell>
          <cell r="BA5969" t="str">
            <v/>
          </cell>
        </row>
        <row r="5970">
          <cell r="B5970" t="str">
            <v>-</v>
          </cell>
          <cell r="E5970" t="str">
            <v/>
          </cell>
          <cell r="G5970" t="str">
            <v/>
          </cell>
          <cell r="J5970" t="str">
            <v/>
          </cell>
          <cell r="O5970" t="str">
            <v/>
          </cell>
          <cell r="P5970" t="str">
            <v/>
          </cell>
          <cell r="Q5970" t="str">
            <v/>
          </cell>
          <cell r="S5970" t="str">
            <v/>
          </cell>
          <cell r="V5970" t="str">
            <v/>
          </cell>
          <cell r="Z5970" t="str">
            <v/>
          </cell>
          <cell r="AA5970" t="str">
            <v/>
          </cell>
          <cell r="AB5970" t="str">
            <v/>
          </cell>
          <cell r="AC5970" t="str">
            <v/>
          </cell>
          <cell r="AD5970" t="str">
            <v/>
          </cell>
          <cell r="AY5970" t="str">
            <v/>
          </cell>
          <cell r="AZ5970" t="str">
            <v/>
          </cell>
          <cell r="BA5970" t="str">
            <v/>
          </cell>
        </row>
        <row r="5971">
          <cell r="B5971" t="str">
            <v>-</v>
          </cell>
          <cell r="E5971" t="str">
            <v/>
          </cell>
          <cell r="G5971" t="str">
            <v/>
          </cell>
          <cell r="J5971" t="str">
            <v/>
          </cell>
          <cell r="O5971" t="str">
            <v/>
          </cell>
          <cell r="P5971" t="str">
            <v/>
          </cell>
          <cell r="Q5971" t="str">
            <v/>
          </cell>
          <cell r="S5971" t="str">
            <v/>
          </cell>
          <cell r="V5971" t="str">
            <v/>
          </cell>
          <cell r="Z5971" t="str">
            <v/>
          </cell>
          <cell r="AA5971" t="str">
            <v/>
          </cell>
          <cell r="AB5971" t="str">
            <v/>
          </cell>
          <cell r="AC5971" t="str">
            <v/>
          </cell>
          <cell r="AD5971" t="str">
            <v/>
          </cell>
          <cell r="AY5971" t="str">
            <v/>
          </cell>
          <cell r="AZ5971" t="str">
            <v/>
          </cell>
          <cell r="BA5971" t="str">
            <v/>
          </cell>
        </row>
        <row r="5972">
          <cell r="B5972" t="str">
            <v>-</v>
          </cell>
          <cell r="E5972" t="str">
            <v/>
          </cell>
          <cell r="G5972" t="str">
            <v/>
          </cell>
          <cell r="J5972" t="str">
            <v/>
          </cell>
          <cell r="O5972" t="str">
            <v/>
          </cell>
          <cell r="P5972" t="str">
            <v/>
          </cell>
          <cell r="Q5972" t="str">
            <v/>
          </cell>
          <cell r="S5972" t="str">
            <v/>
          </cell>
          <cell r="V5972" t="str">
            <v/>
          </cell>
          <cell r="Z5972" t="str">
            <v/>
          </cell>
          <cell r="AA5972" t="str">
            <v/>
          </cell>
          <cell r="AB5972" t="str">
            <v/>
          </cell>
          <cell r="AC5972" t="str">
            <v/>
          </cell>
          <cell r="AD5972" t="str">
            <v/>
          </cell>
          <cell r="AY5972" t="str">
            <v/>
          </cell>
          <cell r="AZ5972" t="str">
            <v/>
          </cell>
          <cell r="BA5972" t="str">
            <v/>
          </cell>
        </row>
        <row r="5973">
          <cell r="B5973" t="str">
            <v>-</v>
          </cell>
          <cell r="E5973" t="str">
            <v/>
          </cell>
          <cell r="G5973" t="str">
            <v/>
          </cell>
          <cell r="J5973" t="str">
            <v/>
          </cell>
          <cell r="O5973" t="str">
            <v/>
          </cell>
          <cell r="P5973" t="str">
            <v/>
          </cell>
          <cell r="Q5973" t="str">
            <v/>
          </cell>
          <cell r="S5973" t="str">
            <v/>
          </cell>
          <cell r="V5973" t="str">
            <v/>
          </cell>
          <cell r="Z5973" t="str">
            <v/>
          </cell>
          <cell r="AA5973" t="str">
            <v/>
          </cell>
          <cell r="AB5973" t="str">
            <v/>
          </cell>
          <cell r="AC5973" t="str">
            <v/>
          </cell>
          <cell r="AD5973" t="str">
            <v/>
          </cell>
          <cell r="AY5973" t="str">
            <v/>
          </cell>
          <cell r="AZ5973" t="str">
            <v/>
          </cell>
          <cell r="BA5973" t="str">
            <v/>
          </cell>
        </row>
        <row r="5974">
          <cell r="B5974" t="str">
            <v>-</v>
          </cell>
          <cell r="E5974" t="str">
            <v/>
          </cell>
          <cell r="G5974" t="str">
            <v/>
          </cell>
          <cell r="J5974" t="str">
            <v/>
          </cell>
          <cell r="O5974" t="str">
            <v/>
          </cell>
          <cell r="P5974" t="str">
            <v/>
          </cell>
          <cell r="Q5974" t="str">
            <v/>
          </cell>
          <cell r="S5974" t="str">
            <v/>
          </cell>
          <cell r="V5974" t="str">
            <v/>
          </cell>
          <cell r="Z5974" t="str">
            <v/>
          </cell>
          <cell r="AA5974" t="str">
            <v/>
          </cell>
          <cell r="AB5974" t="str">
            <v/>
          </cell>
          <cell r="AC5974" t="str">
            <v/>
          </cell>
          <cell r="AD5974" t="str">
            <v/>
          </cell>
          <cell r="AY5974" t="str">
            <v/>
          </cell>
          <cell r="AZ5974" t="str">
            <v/>
          </cell>
          <cell r="BA5974" t="str">
            <v/>
          </cell>
        </row>
        <row r="5975">
          <cell r="B5975" t="str">
            <v>-</v>
          </cell>
          <cell r="E5975" t="str">
            <v/>
          </cell>
          <cell r="G5975" t="str">
            <v/>
          </cell>
          <cell r="J5975" t="str">
            <v/>
          </cell>
          <cell r="O5975" t="str">
            <v/>
          </cell>
          <cell r="P5975" t="str">
            <v/>
          </cell>
          <cell r="Q5975" t="str">
            <v/>
          </cell>
          <cell r="S5975" t="str">
            <v/>
          </cell>
          <cell r="V5975" t="str">
            <v/>
          </cell>
          <cell r="Z5975" t="str">
            <v/>
          </cell>
          <cell r="AA5975" t="str">
            <v/>
          </cell>
          <cell r="AB5975" t="str">
            <v/>
          </cell>
          <cell r="AC5975" t="str">
            <v/>
          </cell>
          <cell r="AD5975" t="str">
            <v/>
          </cell>
          <cell r="AY5975" t="str">
            <v/>
          </cell>
          <cell r="AZ5975" t="str">
            <v/>
          </cell>
          <cell r="BA5975" t="str">
            <v/>
          </cell>
        </row>
        <row r="5976">
          <cell r="B5976" t="str">
            <v>-</v>
          </cell>
          <cell r="E5976" t="str">
            <v/>
          </cell>
          <cell r="G5976" t="str">
            <v/>
          </cell>
          <cell r="J5976" t="str">
            <v/>
          </cell>
          <cell r="O5976" t="str">
            <v/>
          </cell>
          <cell r="P5976" t="str">
            <v/>
          </cell>
          <cell r="Q5976" t="str">
            <v/>
          </cell>
          <cell r="S5976" t="str">
            <v/>
          </cell>
          <cell r="V5976" t="str">
            <v/>
          </cell>
          <cell r="Z5976" t="str">
            <v/>
          </cell>
          <cell r="AA5976" t="str">
            <v/>
          </cell>
          <cell r="AB5976" t="str">
            <v/>
          </cell>
          <cell r="AC5976" t="str">
            <v/>
          </cell>
          <cell r="AD5976" t="str">
            <v/>
          </cell>
          <cell r="AY5976" t="str">
            <v/>
          </cell>
          <cell r="AZ5976" t="str">
            <v/>
          </cell>
          <cell r="BA5976" t="str">
            <v/>
          </cell>
        </row>
        <row r="5977">
          <cell r="B5977" t="str">
            <v>-</v>
          </cell>
          <cell r="E5977" t="str">
            <v/>
          </cell>
          <cell r="G5977" t="str">
            <v/>
          </cell>
          <cell r="J5977" t="str">
            <v/>
          </cell>
          <cell r="O5977" t="str">
            <v/>
          </cell>
          <cell r="P5977" t="str">
            <v/>
          </cell>
          <cell r="Q5977" t="str">
            <v/>
          </cell>
          <cell r="S5977" t="str">
            <v/>
          </cell>
          <cell r="V5977" t="str">
            <v/>
          </cell>
          <cell r="Z5977" t="str">
            <v/>
          </cell>
          <cell r="AA5977" t="str">
            <v/>
          </cell>
          <cell r="AB5977" t="str">
            <v/>
          </cell>
          <cell r="AC5977" t="str">
            <v/>
          </cell>
          <cell r="AD5977" t="str">
            <v/>
          </cell>
          <cell r="AY5977" t="str">
            <v/>
          </cell>
          <cell r="AZ5977" t="str">
            <v/>
          </cell>
          <cell r="BA5977" t="str">
            <v/>
          </cell>
        </row>
        <row r="5978">
          <cell r="B5978" t="str">
            <v>-</v>
          </cell>
          <cell r="E5978" t="str">
            <v/>
          </cell>
          <cell r="G5978" t="str">
            <v/>
          </cell>
          <cell r="J5978" t="str">
            <v/>
          </cell>
          <cell r="O5978" t="str">
            <v/>
          </cell>
          <cell r="P5978" t="str">
            <v/>
          </cell>
          <cell r="Q5978" t="str">
            <v/>
          </cell>
          <cell r="S5978" t="str">
            <v/>
          </cell>
          <cell r="V5978" t="str">
            <v/>
          </cell>
          <cell r="Z5978" t="str">
            <v/>
          </cell>
          <cell r="AA5978" t="str">
            <v/>
          </cell>
          <cell r="AB5978" t="str">
            <v/>
          </cell>
          <cell r="AC5978" t="str">
            <v/>
          </cell>
          <cell r="AD5978" t="str">
            <v/>
          </cell>
          <cell r="AY5978" t="str">
            <v/>
          </cell>
          <cell r="AZ5978" t="str">
            <v/>
          </cell>
          <cell r="BA5978" t="str">
            <v/>
          </cell>
        </row>
        <row r="5979">
          <cell r="B5979" t="str">
            <v>-</v>
          </cell>
          <cell r="E5979" t="str">
            <v/>
          </cell>
          <cell r="G5979" t="str">
            <v/>
          </cell>
          <cell r="J5979" t="str">
            <v/>
          </cell>
          <cell r="O5979" t="str">
            <v/>
          </cell>
          <cell r="P5979" t="str">
            <v/>
          </cell>
          <cell r="Q5979" t="str">
            <v/>
          </cell>
          <cell r="S5979" t="str">
            <v/>
          </cell>
          <cell r="V5979" t="str">
            <v/>
          </cell>
          <cell r="Z5979" t="str">
            <v/>
          </cell>
          <cell r="AA5979" t="str">
            <v/>
          </cell>
          <cell r="AB5979" t="str">
            <v/>
          </cell>
          <cell r="AC5979" t="str">
            <v/>
          </cell>
          <cell r="AD5979" t="str">
            <v/>
          </cell>
          <cell r="AY5979" t="str">
            <v/>
          </cell>
          <cell r="AZ5979" t="str">
            <v/>
          </cell>
          <cell r="BA5979" t="str">
            <v/>
          </cell>
        </row>
        <row r="5980">
          <cell r="B5980" t="str">
            <v>-</v>
          </cell>
          <cell r="E5980" t="str">
            <v/>
          </cell>
          <cell r="G5980" t="str">
            <v/>
          </cell>
          <cell r="J5980" t="str">
            <v/>
          </cell>
          <cell r="O5980" t="str">
            <v/>
          </cell>
          <cell r="P5980" t="str">
            <v/>
          </cell>
          <cell r="Q5980" t="str">
            <v/>
          </cell>
          <cell r="S5980" t="str">
            <v/>
          </cell>
          <cell r="V5980" t="str">
            <v/>
          </cell>
          <cell r="Z5980" t="str">
            <v/>
          </cell>
          <cell r="AA5980" t="str">
            <v/>
          </cell>
          <cell r="AB5980" t="str">
            <v/>
          </cell>
          <cell r="AC5980" t="str">
            <v/>
          </cell>
          <cell r="AD5980" t="str">
            <v/>
          </cell>
          <cell r="AY5980" t="str">
            <v/>
          </cell>
          <cell r="AZ5980" t="str">
            <v/>
          </cell>
          <cell r="BA5980" t="str">
            <v/>
          </cell>
        </row>
        <row r="5981">
          <cell r="B5981" t="str">
            <v>-</v>
          </cell>
          <cell r="E5981" t="str">
            <v/>
          </cell>
          <cell r="G5981" t="str">
            <v/>
          </cell>
          <cell r="J5981" t="str">
            <v/>
          </cell>
          <cell r="O5981" t="str">
            <v/>
          </cell>
          <cell r="P5981" t="str">
            <v/>
          </cell>
          <cell r="Q5981" t="str">
            <v/>
          </cell>
          <cell r="S5981" t="str">
            <v/>
          </cell>
          <cell r="V5981" t="str">
            <v/>
          </cell>
          <cell r="Z5981" t="str">
            <v/>
          </cell>
          <cell r="AA5981" t="str">
            <v/>
          </cell>
          <cell r="AB5981" t="str">
            <v/>
          </cell>
          <cell r="AC5981" t="str">
            <v/>
          </cell>
          <cell r="AD5981" t="str">
            <v/>
          </cell>
          <cell r="AY5981" t="str">
            <v/>
          </cell>
          <cell r="AZ5981" t="str">
            <v/>
          </cell>
          <cell r="BA5981" t="str">
            <v/>
          </cell>
        </row>
        <row r="5982">
          <cell r="B5982" t="str">
            <v>-</v>
          </cell>
          <cell r="E5982" t="str">
            <v/>
          </cell>
          <cell r="G5982" t="str">
            <v/>
          </cell>
          <cell r="J5982" t="str">
            <v/>
          </cell>
          <cell r="O5982" t="str">
            <v/>
          </cell>
          <cell r="P5982" t="str">
            <v/>
          </cell>
          <cell r="Q5982" t="str">
            <v/>
          </cell>
          <cell r="S5982" t="str">
            <v/>
          </cell>
          <cell r="V5982" t="str">
            <v/>
          </cell>
          <cell r="Z5982" t="str">
            <v/>
          </cell>
          <cell r="AA5982" t="str">
            <v/>
          </cell>
          <cell r="AB5982" t="str">
            <v/>
          </cell>
          <cell r="AC5982" t="str">
            <v/>
          </cell>
          <cell r="AD5982" t="str">
            <v/>
          </cell>
          <cell r="AY5982" t="str">
            <v/>
          </cell>
          <cell r="AZ5982" t="str">
            <v/>
          </cell>
          <cell r="BA5982" t="str">
            <v/>
          </cell>
        </row>
        <row r="5983">
          <cell r="B5983" t="str">
            <v>-</v>
          </cell>
          <cell r="E5983" t="str">
            <v/>
          </cell>
          <cell r="G5983" t="str">
            <v/>
          </cell>
          <cell r="J5983" t="str">
            <v/>
          </cell>
          <cell r="O5983" t="str">
            <v/>
          </cell>
          <cell r="P5983" t="str">
            <v/>
          </cell>
          <cell r="Q5983" t="str">
            <v/>
          </cell>
          <cell r="S5983" t="str">
            <v/>
          </cell>
          <cell r="V5983" t="str">
            <v/>
          </cell>
          <cell r="Z5983" t="str">
            <v/>
          </cell>
          <cell r="AA5983" t="str">
            <v/>
          </cell>
          <cell r="AB5983" t="str">
            <v/>
          </cell>
          <cell r="AC5983" t="str">
            <v/>
          </cell>
          <cell r="AD5983" t="str">
            <v/>
          </cell>
          <cell r="AY5983" t="str">
            <v/>
          </cell>
          <cell r="AZ5983" t="str">
            <v/>
          </cell>
          <cell r="BA5983" t="str">
            <v/>
          </cell>
        </row>
        <row r="5984">
          <cell r="B5984" t="str">
            <v>-</v>
          </cell>
          <cell r="E5984" t="str">
            <v/>
          </cell>
          <cell r="G5984" t="str">
            <v/>
          </cell>
          <cell r="J5984" t="str">
            <v/>
          </cell>
          <cell r="O5984" t="str">
            <v/>
          </cell>
          <cell r="P5984" t="str">
            <v/>
          </cell>
          <cell r="Q5984" t="str">
            <v/>
          </cell>
          <cell r="S5984" t="str">
            <v/>
          </cell>
          <cell r="V5984" t="str">
            <v/>
          </cell>
          <cell r="Z5984" t="str">
            <v/>
          </cell>
          <cell r="AA5984" t="str">
            <v/>
          </cell>
          <cell r="AB5984" t="str">
            <v/>
          </cell>
          <cell r="AC5984" t="str">
            <v/>
          </cell>
          <cell r="AD5984" t="str">
            <v/>
          </cell>
          <cell r="AY5984" t="str">
            <v/>
          </cell>
          <cell r="AZ5984" t="str">
            <v/>
          </cell>
          <cell r="BA5984" t="str">
            <v/>
          </cell>
        </row>
        <row r="5985">
          <cell r="B5985" t="str">
            <v>-</v>
          </cell>
          <cell r="E5985" t="str">
            <v/>
          </cell>
          <cell r="G5985" t="str">
            <v/>
          </cell>
          <cell r="J5985" t="str">
            <v/>
          </cell>
          <cell r="O5985" t="str">
            <v/>
          </cell>
          <cell r="P5985" t="str">
            <v/>
          </cell>
          <cell r="Q5985" t="str">
            <v/>
          </cell>
          <cell r="S5985" t="str">
            <v/>
          </cell>
          <cell r="V5985" t="str">
            <v/>
          </cell>
          <cell r="Z5985" t="str">
            <v/>
          </cell>
          <cell r="AA5985" t="str">
            <v/>
          </cell>
          <cell r="AB5985" t="str">
            <v/>
          </cell>
          <cell r="AC5985" t="str">
            <v/>
          </cell>
          <cell r="AD5985" t="str">
            <v/>
          </cell>
          <cell r="AY5985" t="str">
            <v/>
          </cell>
          <cell r="AZ5985" t="str">
            <v/>
          </cell>
          <cell r="BA5985" t="str">
            <v/>
          </cell>
        </row>
        <row r="5986">
          <cell r="B5986" t="str">
            <v>-</v>
          </cell>
          <cell r="E5986" t="str">
            <v/>
          </cell>
          <cell r="G5986" t="str">
            <v/>
          </cell>
          <cell r="J5986" t="str">
            <v/>
          </cell>
          <cell r="O5986" t="str">
            <v/>
          </cell>
          <cell r="P5986" t="str">
            <v/>
          </cell>
          <cell r="Q5986" t="str">
            <v/>
          </cell>
          <cell r="S5986" t="str">
            <v/>
          </cell>
          <cell r="V5986" t="str">
            <v/>
          </cell>
          <cell r="Z5986" t="str">
            <v/>
          </cell>
          <cell r="AA5986" t="str">
            <v/>
          </cell>
          <cell r="AB5986" t="str">
            <v/>
          </cell>
          <cell r="AC5986" t="str">
            <v/>
          </cell>
          <cell r="AD5986" t="str">
            <v/>
          </cell>
          <cell r="AY5986" t="str">
            <v/>
          </cell>
          <cell r="AZ5986" t="str">
            <v/>
          </cell>
          <cell r="BA5986" t="str">
            <v/>
          </cell>
        </row>
        <row r="5987">
          <cell r="B5987" t="str">
            <v>-</v>
          </cell>
          <cell r="E5987" t="str">
            <v/>
          </cell>
          <cell r="G5987" t="str">
            <v/>
          </cell>
          <cell r="J5987" t="str">
            <v/>
          </cell>
          <cell r="O5987" t="str">
            <v/>
          </cell>
          <cell r="P5987" t="str">
            <v/>
          </cell>
          <cell r="Q5987" t="str">
            <v/>
          </cell>
          <cell r="S5987" t="str">
            <v/>
          </cell>
          <cell r="V5987" t="str">
            <v/>
          </cell>
          <cell r="Z5987" t="str">
            <v/>
          </cell>
          <cell r="AA5987" t="str">
            <v/>
          </cell>
          <cell r="AB5987" t="str">
            <v/>
          </cell>
          <cell r="AC5987" t="str">
            <v/>
          </cell>
          <cell r="AD5987" t="str">
            <v/>
          </cell>
          <cell r="AY5987" t="str">
            <v/>
          </cell>
          <cell r="AZ5987" t="str">
            <v/>
          </cell>
          <cell r="BA5987" t="str">
            <v/>
          </cell>
        </row>
        <row r="5988">
          <cell r="B5988" t="str">
            <v>-</v>
          </cell>
          <cell r="E5988" t="str">
            <v/>
          </cell>
          <cell r="G5988" t="str">
            <v/>
          </cell>
          <cell r="J5988" t="str">
            <v/>
          </cell>
          <cell r="O5988" t="str">
            <v/>
          </cell>
          <cell r="P5988" t="str">
            <v/>
          </cell>
          <cell r="Q5988" t="str">
            <v/>
          </cell>
          <cell r="S5988" t="str">
            <v/>
          </cell>
          <cell r="V5988" t="str">
            <v/>
          </cell>
          <cell r="Z5988" t="str">
            <v/>
          </cell>
          <cell r="AA5988" t="str">
            <v/>
          </cell>
          <cell r="AB5988" t="str">
            <v/>
          </cell>
          <cell r="AC5988" t="str">
            <v/>
          </cell>
          <cell r="AD5988" t="str">
            <v/>
          </cell>
          <cell r="AY5988" t="str">
            <v/>
          </cell>
          <cell r="AZ5988" t="str">
            <v/>
          </cell>
          <cell r="BA5988" t="str">
            <v/>
          </cell>
        </row>
        <row r="5989">
          <cell r="B5989" t="str">
            <v>-</v>
          </cell>
          <cell r="E5989" t="str">
            <v/>
          </cell>
          <cell r="G5989" t="str">
            <v/>
          </cell>
          <cell r="J5989" t="str">
            <v/>
          </cell>
          <cell r="O5989" t="str">
            <v/>
          </cell>
          <cell r="P5989" t="str">
            <v/>
          </cell>
          <cell r="Q5989" t="str">
            <v/>
          </cell>
          <cell r="S5989" t="str">
            <v/>
          </cell>
          <cell r="V5989" t="str">
            <v/>
          </cell>
          <cell r="Z5989" t="str">
            <v/>
          </cell>
          <cell r="AA5989" t="str">
            <v/>
          </cell>
          <cell r="AB5989" t="str">
            <v/>
          </cell>
          <cell r="AC5989" t="str">
            <v/>
          </cell>
          <cell r="AD5989" t="str">
            <v/>
          </cell>
          <cell r="AY5989" t="str">
            <v/>
          </cell>
          <cell r="AZ5989" t="str">
            <v/>
          </cell>
          <cell r="BA5989" t="str">
            <v/>
          </cell>
        </row>
        <row r="5990">
          <cell r="B5990" t="str">
            <v>-</v>
          </cell>
          <cell r="E5990" t="str">
            <v/>
          </cell>
          <cell r="G5990" t="str">
            <v/>
          </cell>
          <cell r="J5990" t="str">
            <v/>
          </cell>
          <cell r="O5990" t="str">
            <v/>
          </cell>
          <cell r="P5990" t="str">
            <v/>
          </cell>
          <cell r="Q5990" t="str">
            <v/>
          </cell>
          <cell r="S5990" t="str">
            <v/>
          </cell>
          <cell r="V5990" t="str">
            <v/>
          </cell>
          <cell r="Z5990" t="str">
            <v/>
          </cell>
          <cell r="AA5990" t="str">
            <v/>
          </cell>
          <cell r="AB5990" t="str">
            <v/>
          </cell>
          <cell r="AC5990" t="str">
            <v/>
          </cell>
          <cell r="AD5990" t="str">
            <v/>
          </cell>
          <cell r="AY5990" t="str">
            <v/>
          </cell>
          <cell r="AZ5990" t="str">
            <v/>
          </cell>
          <cell r="BA5990" t="str">
            <v/>
          </cell>
        </row>
        <row r="5991">
          <cell r="B5991" t="str">
            <v>-</v>
          </cell>
          <cell r="E5991" t="str">
            <v/>
          </cell>
          <cell r="G5991" t="str">
            <v/>
          </cell>
          <cell r="J5991" t="str">
            <v/>
          </cell>
          <cell r="O5991" t="str">
            <v/>
          </cell>
          <cell r="P5991" t="str">
            <v/>
          </cell>
          <cell r="Q5991" t="str">
            <v/>
          </cell>
          <cell r="S5991" t="str">
            <v/>
          </cell>
          <cell r="V5991" t="str">
            <v/>
          </cell>
          <cell r="Z5991" t="str">
            <v/>
          </cell>
          <cell r="AA5991" t="str">
            <v/>
          </cell>
          <cell r="AB5991" t="str">
            <v/>
          </cell>
          <cell r="AC5991" t="str">
            <v/>
          </cell>
          <cell r="AD5991" t="str">
            <v/>
          </cell>
          <cell r="AY5991" t="str">
            <v/>
          </cell>
          <cell r="AZ5991" t="str">
            <v/>
          </cell>
          <cell r="BA5991" t="str">
            <v/>
          </cell>
        </row>
        <row r="5992">
          <cell r="B5992" t="str">
            <v>-</v>
          </cell>
          <cell r="E5992" t="str">
            <v/>
          </cell>
          <cell r="G5992" t="str">
            <v/>
          </cell>
          <cell r="J5992" t="str">
            <v/>
          </cell>
          <cell r="O5992" t="str">
            <v/>
          </cell>
          <cell r="P5992" t="str">
            <v/>
          </cell>
          <cell r="Q5992" t="str">
            <v/>
          </cell>
          <cell r="S5992" t="str">
            <v/>
          </cell>
          <cell r="V5992" t="str">
            <v/>
          </cell>
          <cell r="Z5992" t="str">
            <v/>
          </cell>
          <cell r="AA5992" t="str">
            <v/>
          </cell>
          <cell r="AB5992" t="str">
            <v/>
          </cell>
          <cell r="AC5992" t="str">
            <v/>
          </cell>
          <cell r="AD5992" t="str">
            <v/>
          </cell>
          <cell r="AY5992" t="str">
            <v/>
          </cell>
          <cell r="AZ5992" t="str">
            <v/>
          </cell>
          <cell r="BA5992" t="str">
            <v/>
          </cell>
        </row>
        <row r="5993">
          <cell r="B5993" t="str">
            <v>-</v>
          </cell>
          <cell r="E5993" t="str">
            <v/>
          </cell>
          <cell r="G5993" t="str">
            <v/>
          </cell>
          <cell r="J5993" t="str">
            <v/>
          </cell>
          <cell r="O5993" t="str">
            <v/>
          </cell>
          <cell r="P5993" t="str">
            <v/>
          </cell>
          <cell r="Q5993" t="str">
            <v/>
          </cell>
          <cell r="S5993" t="str">
            <v/>
          </cell>
          <cell r="V5993" t="str">
            <v/>
          </cell>
          <cell r="Z5993" t="str">
            <v/>
          </cell>
          <cell r="AA5993" t="str">
            <v/>
          </cell>
          <cell r="AB5993" t="str">
            <v/>
          </cell>
          <cell r="AC5993" t="str">
            <v/>
          </cell>
          <cell r="AD5993" t="str">
            <v/>
          </cell>
          <cell r="AY5993" t="str">
            <v/>
          </cell>
          <cell r="AZ5993" t="str">
            <v/>
          </cell>
          <cell r="BA5993" t="str">
            <v/>
          </cell>
        </row>
        <row r="5994">
          <cell r="B5994" t="str">
            <v>-</v>
          </cell>
          <cell r="E5994" t="str">
            <v/>
          </cell>
          <cell r="G5994" t="str">
            <v/>
          </cell>
          <cell r="J5994" t="str">
            <v/>
          </cell>
          <cell r="O5994" t="str">
            <v/>
          </cell>
          <cell r="P5994" t="str">
            <v/>
          </cell>
          <cell r="Q5994" t="str">
            <v/>
          </cell>
          <cell r="S5994" t="str">
            <v/>
          </cell>
          <cell r="V5994" t="str">
            <v/>
          </cell>
          <cell r="Z5994" t="str">
            <v/>
          </cell>
          <cell r="AA5994" t="str">
            <v/>
          </cell>
          <cell r="AB5994" t="str">
            <v/>
          </cell>
          <cell r="AC5994" t="str">
            <v/>
          </cell>
          <cell r="AD5994" t="str">
            <v/>
          </cell>
          <cell r="AY5994" t="str">
            <v/>
          </cell>
          <cell r="AZ5994" t="str">
            <v/>
          </cell>
          <cell r="BA5994" t="str">
            <v/>
          </cell>
        </row>
        <row r="5995">
          <cell r="B5995" t="str">
            <v>-</v>
          </cell>
          <cell r="E5995" t="str">
            <v/>
          </cell>
          <cell r="G5995" t="str">
            <v/>
          </cell>
          <cell r="J5995" t="str">
            <v/>
          </cell>
          <cell r="O5995" t="str">
            <v/>
          </cell>
          <cell r="P5995" t="str">
            <v/>
          </cell>
          <cell r="Q5995" t="str">
            <v/>
          </cell>
          <cell r="S5995" t="str">
            <v/>
          </cell>
          <cell r="V5995" t="str">
            <v/>
          </cell>
          <cell r="Z5995" t="str">
            <v/>
          </cell>
          <cell r="AA5995" t="str">
            <v/>
          </cell>
          <cell r="AB5995" t="str">
            <v/>
          </cell>
          <cell r="AC5995" t="str">
            <v/>
          </cell>
          <cell r="AD5995" t="str">
            <v/>
          </cell>
          <cell r="AY5995" t="str">
            <v/>
          </cell>
          <cell r="AZ5995" t="str">
            <v/>
          </cell>
          <cell r="BA5995" t="str">
            <v/>
          </cell>
        </row>
        <row r="5996">
          <cell r="B5996" t="str">
            <v>-</v>
          </cell>
          <cell r="E5996" t="str">
            <v/>
          </cell>
          <cell r="G5996" t="str">
            <v/>
          </cell>
          <cell r="J5996" t="str">
            <v/>
          </cell>
          <cell r="O5996" t="str">
            <v/>
          </cell>
          <cell r="P5996" t="str">
            <v/>
          </cell>
          <cell r="Q5996" t="str">
            <v/>
          </cell>
          <cell r="S5996" t="str">
            <v/>
          </cell>
          <cell r="V5996" t="str">
            <v/>
          </cell>
          <cell r="Z5996" t="str">
            <v/>
          </cell>
          <cell r="AA5996" t="str">
            <v/>
          </cell>
          <cell r="AB5996" t="str">
            <v/>
          </cell>
          <cell r="AC5996" t="str">
            <v/>
          </cell>
          <cell r="AD5996" t="str">
            <v/>
          </cell>
          <cell r="AY5996" t="str">
            <v/>
          </cell>
          <cell r="AZ5996" t="str">
            <v/>
          </cell>
          <cell r="BA5996" t="str">
            <v/>
          </cell>
        </row>
        <row r="5997">
          <cell r="B5997" t="str">
            <v>-</v>
          </cell>
          <cell r="E5997" t="str">
            <v/>
          </cell>
          <cell r="G5997" t="str">
            <v/>
          </cell>
          <cell r="J5997" t="str">
            <v/>
          </cell>
          <cell r="O5997" t="str">
            <v/>
          </cell>
          <cell r="P5997" t="str">
            <v/>
          </cell>
          <cell r="Q5997" t="str">
            <v/>
          </cell>
          <cell r="S5997" t="str">
            <v/>
          </cell>
          <cell r="V5997" t="str">
            <v/>
          </cell>
          <cell r="Z5997" t="str">
            <v/>
          </cell>
          <cell r="AA5997" t="str">
            <v/>
          </cell>
          <cell r="AB5997" t="str">
            <v/>
          </cell>
          <cell r="AC5997" t="str">
            <v/>
          </cell>
          <cell r="AD5997" t="str">
            <v/>
          </cell>
          <cell r="AY5997" t="str">
            <v/>
          </cell>
          <cell r="AZ5997" t="str">
            <v/>
          </cell>
          <cell r="BA5997" t="str">
            <v/>
          </cell>
        </row>
        <row r="5998">
          <cell r="B5998" t="str">
            <v>-</v>
          </cell>
          <cell r="E5998" t="str">
            <v/>
          </cell>
          <cell r="G5998" t="str">
            <v/>
          </cell>
          <cell r="J5998" t="str">
            <v/>
          </cell>
          <cell r="O5998" t="str">
            <v/>
          </cell>
          <cell r="P5998" t="str">
            <v/>
          </cell>
          <cell r="Q5998" t="str">
            <v/>
          </cell>
          <cell r="S5998" t="str">
            <v/>
          </cell>
          <cell r="V5998" t="str">
            <v/>
          </cell>
          <cell r="Z5998" t="str">
            <v/>
          </cell>
          <cell r="AA5998" t="str">
            <v/>
          </cell>
          <cell r="AB5998" t="str">
            <v/>
          </cell>
          <cell r="AC5998" t="str">
            <v/>
          </cell>
          <cell r="AD5998" t="str">
            <v/>
          </cell>
          <cell r="AY5998" t="str">
            <v/>
          </cell>
          <cell r="AZ5998" t="str">
            <v/>
          </cell>
          <cell r="BA5998" t="str">
            <v/>
          </cell>
        </row>
        <row r="5999">
          <cell r="B5999" t="str">
            <v>-</v>
          </cell>
          <cell r="E5999" t="str">
            <v/>
          </cell>
          <cell r="G5999" t="str">
            <v/>
          </cell>
          <cell r="J5999" t="str">
            <v/>
          </cell>
          <cell r="O5999" t="str">
            <v/>
          </cell>
          <cell r="P5999" t="str">
            <v/>
          </cell>
          <cell r="Q5999" t="str">
            <v/>
          </cell>
          <cell r="S5999" t="str">
            <v/>
          </cell>
          <cell r="V5999" t="str">
            <v/>
          </cell>
          <cell r="Z5999" t="str">
            <v/>
          </cell>
          <cell r="AA5999" t="str">
            <v/>
          </cell>
          <cell r="AB5999" t="str">
            <v/>
          </cell>
          <cell r="AC5999" t="str">
            <v/>
          </cell>
          <cell r="AD5999" t="str">
            <v/>
          </cell>
          <cell r="AY5999" t="str">
            <v/>
          </cell>
          <cell r="AZ5999" t="str">
            <v/>
          </cell>
          <cell r="BA5999" t="str">
            <v/>
          </cell>
        </row>
        <row r="6000">
          <cell r="B6000" t="str">
            <v>-</v>
          </cell>
          <cell r="E6000" t="str">
            <v/>
          </cell>
          <cell r="G6000" t="str">
            <v/>
          </cell>
          <cell r="J6000" t="str">
            <v/>
          </cell>
          <cell r="O6000" t="str">
            <v/>
          </cell>
          <cell r="P6000" t="str">
            <v/>
          </cell>
          <cell r="Q6000" t="str">
            <v/>
          </cell>
          <cell r="S6000" t="str">
            <v/>
          </cell>
          <cell r="V6000" t="str">
            <v/>
          </cell>
          <cell r="Z6000" t="str">
            <v/>
          </cell>
          <cell r="AA6000" t="str">
            <v/>
          </cell>
          <cell r="AB6000" t="str">
            <v/>
          </cell>
          <cell r="AC6000" t="str">
            <v/>
          </cell>
          <cell r="AD6000" t="str">
            <v/>
          </cell>
          <cell r="AY6000" t="str">
            <v/>
          </cell>
          <cell r="AZ6000" t="str">
            <v/>
          </cell>
          <cell r="BA6000" t="str">
            <v/>
          </cell>
        </row>
        <row r="6001">
          <cell r="B6001" t="str">
            <v>-</v>
          </cell>
          <cell r="E6001" t="str">
            <v/>
          </cell>
          <cell r="G6001" t="str">
            <v/>
          </cell>
          <cell r="J6001" t="str">
            <v/>
          </cell>
          <cell r="O6001" t="str">
            <v/>
          </cell>
          <cell r="P6001" t="str">
            <v/>
          </cell>
          <cell r="Q6001" t="str">
            <v/>
          </cell>
          <cell r="S6001" t="str">
            <v/>
          </cell>
          <cell r="V6001" t="str">
            <v/>
          </cell>
          <cell r="Z6001" t="str">
            <v/>
          </cell>
          <cell r="AA6001" t="str">
            <v/>
          </cell>
          <cell r="AB6001" t="str">
            <v/>
          </cell>
          <cell r="AC6001" t="str">
            <v/>
          </cell>
          <cell r="AD6001" t="str">
            <v/>
          </cell>
          <cell r="AY6001" t="str">
            <v/>
          </cell>
          <cell r="AZ6001" t="str">
            <v/>
          </cell>
          <cell r="BA6001" t="str">
            <v/>
          </cell>
        </row>
        <row r="6002">
          <cell r="B6002" t="str">
            <v>-</v>
          </cell>
          <cell r="E6002" t="str">
            <v/>
          </cell>
          <cell r="G6002" t="str">
            <v/>
          </cell>
          <cell r="J6002" t="str">
            <v/>
          </cell>
          <cell r="O6002" t="str">
            <v/>
          </cell>
          <cell r="P6002" t="str">
            <v/>
          </cell>
          <cell r="Q6002" t="str">
            <v/>
          </cell>
          <cell r="S6002" t="str">
            <v/>
          </cell>
          <cell r="V6002" t="str">
            <v/>
          </cell>
          <cell r="Z6002" t="str">
            <v/>
          </cell>
          <cell r="AA6002" t="str">
            <v/>
          </cell>
          <cell r="AB6002" t="str">
            <v/>
          </cell>
          <cell r="AC6002" t="str">
            <v/>
          </cell>
          <cell r="AD6002" t="str">
            <v/>
          </cell>
          <cell r="AY6002" t="str">
            <v/>
          </cell>
          <cell r="AZ6002" t="str">
            <v/>
          </cell>
          <cell r="BA6002" t="str">
            <v/>
          </cell>
        </row>
        <row r="6003">
          <cell r="B6003" t="str">
            <v>-</v>
          </cell>
          <cell r="E6003" t="str">
            <v/>
          </cell>
          <cell r="G6003" t="str">
            <v/>
          </cell>
          <cell r="J6003" t="str">
            <v/>
          </cell>
          <cell r="O6003" t="str">
            <v/>
          </cell>
          <cell r="P6003" t="str">
            <v/>
          </cell>
          <cell r="Q6003" t="str">
            <v/>
          </cell>
          <cell r="S6003" t="str">
            <v/>
          </cell>
          <cell r="V6003" t="str">
            <v/>
          </cell>
          <cell r="Z6003" t="str">
            <v/>
          </cell>
          <cell r="AA6003" t="str">
            <v/>
          </cell>
          <cell r="AB6003" t="str">
            <v/>
          </cell>
          <cell r="AC6003" t="str">
            <v/>
          </cell>
          <cell r="AD6003" t="str">
            <v/>
          </cell>
          <cell r="AY6003" t="str">
            <v/>
          </cell>
          <cell r="AZ6003" t="str">
            <v/>
          </cell>
          <cell r="BA6003" t="str">
            <v/>
          </cell>
        </row>
        <row r="6004">
          <cell r="B6004" t="str">
            <v>-</v>
          </cell>
          <cell r="E6004" t="str">
            <v/>
          </cell>
          <cell r="G6004" t="str">
            <v/>
          </cell>
          <cell r="J6004" t="str">
            <v/>
          </cell>
          <cell r="O6004" t="str">
            <v/>
          </cell>
          <cell r="P6004" t="str">
            <v/>
          </cell>
          <cell r="Q6004" t="str">
            <v/>
          </cell>
          <cell r="S6004" t="str">
            <v/>
          </cell>
          <cell r="V6004" t="str">
            <v/>
          </cell>
          <cell r="Z6004" t="str">
            <v/>
          </cell>
          <cell r="AA6004" t="str">
            <v/>
          </cell>
          <cell r="AB6004" t="str">
            <v/>
          </cell>
          <cell r="AC6004" t="str">
            <v/>
          </cell>
          <cell r="AD6004" t="str">
            <v/>
          </cell>
          <cell r="AY6004" t="str">
            <v/>
          </cell>
          <cell r="AZ6004" t="str">
            <v/>
          </cell>
          <cell r="BA6004" t="str">
            <v/>
          </cell>
        </row>
        <row r="6005">
          <cell r="B6005" t="str">
            <v>-</v>
          </cell>
          <cell r="E6005" t="str">
            <v/>
          </cell>
          <cell r="G6005" t="str">
            <v/>
          </cell>
          <cell r="J6005" t="str">
            <v/>
          </cell>
          <cell r="O6005" t="str">
            <v/>
          </cell>
          <cell r="P6005" t="str">
            <v/>
          </cell>
          <cell r="Q6005" t="str">
            <v/>
          </cell>
          <cell r="S6005" t="str">
            <v/>
          </cell>
          <cell r="V6005" t="str">
            <v/>
          </cell>
          <cell r="Z6005" t="str">
            <v/>
          </cell>
          <cell r="AA6005" t="str">
            <v/>
          </cell>
          <cell r="AB6005" t="str">
            <v/>
          </cell>
          <cell r="AC6005" t="str">
            <v/>
          </cell>
          <cell r="AD6005" t="str">
            <v/>
          </cell>
          <cell r="AY6005" t="str">
            <v/>
          </cell>
          <cell r="AZ6005" t="str">
            <v/>
          </cell>
          <cell r="BA6005" t="str">
            <v/>
          </cell>
        </row>
        <row r="6006">
          <cell r="B6006" t="str">
            <v>-</v>
          </cell>
          <cell r="E6006" t="str">
            <v/>
          </cell>
          <cell r="G6006" t="str">
            <v/>
          </cell>
          <cell r="J6006" t="str">
            <v/>
          </cell>
          <cell r="O6006" t="str">
            <v/>
          </cell>
          <cell r="P6006" t="str">
            <v/>
          </cell>
          <cell r="Q6006" t="str">
            <v/>
          </cell>
          <cell r="S6006" t="str">
            <v/>
          </cell>
          <cell r="V6006" t="str">
            <v/>
          </cell>
          <cell r="Z6006" t="str">
            <v/>
          </cell>
          <cell r="AA6006" t="str">
            <v/>
          </cell>
          <cell r="AB6006" t="str">
            <v/>
          </cell>
          <cell r="AC6006" t="str">
            <v/>
          </cell>
          <cell r="AD6006" t="str">
            <v/>
          </cell>
          <cell r="AY6006" t="str">
            <v/>
          </cell>
          <cell r="AZ6006" t="str">
            <v/>
          </cell>
          <cell r="BA6006" t="str">
            <v/>
          </cell>
        </row>
        <row r="6007">
          <cell r="B6007" t="str">
            <v>-</v>
          </cell>
          <cell r="E6007" t="str">
            <v/>
          </cell>
          <cell r="G6007" t="str">
            <v/>
          </cell>
          <cell r="J6007" t="str">
            <v/>
          </cell>
          <cell r="O6007" t="str">
            <v/>
          </cell>
          <cell r="P6007" t="str">
            <v/>
          </cell>
          <cell r="Q6007" t="str">
            <v/>
          </cell>
          <cell r="S6007" t="str">
            <v/>
          </cell>
          <cell r="V6007" t="str">
            <v/>
          </cell>
          <cell r="Z6007" t="str">
            <v/>
          </cell>
          <cell r="AA6007" t="str">
            <v/>
          </cell>
          <cell r="AB6007" t="str">
            <v/>
          </cell>
          <cell r="AC6007" t="str">
            <v/>
          </cell>
          <cell r="AD6007" t="str">
            <v/>
          </cell>
          <cell r="AY6007" t="str">
            <v/>
          </cell>
          <cell r="AZ6007" t="str">
            <v/>
          </cell>
          <cell r="BA6007" t="str">
            <v/>
          </cell>
        </row>
        <row r="6008">
          <cell r="B6008" t="str">
            <v>-</v>
          </cell>
          <cell r="E6008" t="str">
            <v/>
          </cell>
          <cell r="G6008" t="str">
            <v/>
          </cell>
          <cell r="J6008" t="str">
            <v/>
          </cell>
          <cell r="O6008" t="str">
            <v/>
          </cell>
          <cell r="P6008" t="str">
            <v/>
          </cell>
          <cell r="Q6008" t="str">
            <v/>
          </cell>
          <cell r="S6008" t="str">
            <v/>
          </cell>
          <cell r="V6008" t="str">
            <v/>
          </cell>
          <cell r="Z6008" t="str">
            <v/>
          </cell>
          <cell r="AA6008" t="str">
            <v/>
          </cell>
          <cell r="AB6008" t="str">
            <v/>
          </cell>
          <cell r="AC6008" t="str">
            <v/>
          </cell>
          <cell r="AD6008" t="str">
            <v/>
          </cell>
          <cell r="AY6008" t="str">
            <v/>
          </cell>
          <cell r="AZ6008" t="str">
            <v/>
          </cell>
          <cell r="BA6008" t="str">
            <v/>
          </cell>
        </row>
        <row r="6009">
          <cell r="B6009" t="str">
            <v>-</v>
          </cell>
          <cell r="E6009" t="str">
            <v/>
          </cell>
          <cell r="G6009" t="str">
            <v/>
          </cell>
          <cell r="J6009" t="str">
            <v/>
          </cell>
          <cell r="O6009" t="str">
            <v/>
          </cell>
          <cell r="P6009" t="str">
            <v/>
          </cell>
          <cell r="Q6009" t="str">
            <v/>
          </cell>
          <cell r="S6009" t="str">
            <v/>
          </cell>
          <cell r="V6009" t="str">
            <v/>
          </cell>
          <cell r="Z6009" t="str">
            <v/>
          </cell>
          <cell r="AA6009" t="str">
            <v/>
          </cell>
          <cell r="AB6009" t="str">
            <v/>
          </cell>
          <cell r="AC6009" t="str">
            <v/>
          </cell>
          <cell r="AD6009" t="str">
            <v/>
          </cell>
          <cell r="AY6009" t="str">
            <v/>
          </cell>
          <cell r="AZ6009" t="str">
            <v/>
          </cell>
          <cell r="BA6009" t="str">
            <v/>
          </cell>
        </row>
        <row r="6010">
          <cell r="B6010" t="str">
            <v>-</v>
          </cell>
          <cell r="E6010" t="str">
            <v/>
          </cell>
          <cell r="G6010" t="str">
            <v/>
          </cell>
          <cell r="J6010" t="str">
            <v/>
          </cell>
          <cell r="O6010" t="str">
            <v/>
          </cell>
          <cell r="P6010" t="str">
            <v/>
          </cell>
          <cell r="Q6010" t="str">
            <v/>
          </cell>
          <cell r="S6010" t="str">
            <v/>
          </cell>
          <cell r="V6010" t="str">
            <v/>
          </cell>
          <cell r="Z6010" t="str">
            <v/>
          </cell>
          <cell r="AA6010" t="str">
            <v/>
          </cell>
          <cell r="AB6010" t="str">
            <v/>
          </cell>
          <cell r="AC6010" t="str">
            <v/>
          </cell>
          <cell r="AD6010" t="str">
            <v/>
          </cell>
          <cell r="AY6010" t="str">
            <v/>
          </cell>
          <cell r="AZ6010" t="str">
            <v/>
          </cell>
          <cell r="BA6010" t="str">
            <v/>
          </cell>
        </row>
        <row r="6011">
          <cell r="B6011" t="str">
            <v>-</v>
          </cell>
          <cell r="E6011" t="str">
            <v/>
          </cell>
          <cell r="G6011" t="str">
            <v/>
          </cell>
          <cell r="J6011" t="str">
            <v/>
          </cell>
          <cell r="O6011" t="str">
            <v/>
          </cell>
          <cell r="P6011" t="str">
            <v/>
          </cell>
          <cell r="Q6011" t="str">
            <v/>
          </cell>
          <cell r="S6011" t="str">
            <v/>
          </cell>
          <cell r="V6011" t="str">
            <v/>
          </cell>
          <cell r="Z6011" t="str">
            <v/>
          </cell>
          <cell r="AA6011" t="str">
            <v/>
          </cell>
          <cell r="AB6011" t="str">
            <v/>
          </cell>
          <cell r="AC6011" t="str">
            <v/>
          </cell>
          <cell r="AD6011" t="str">
            <v/>
          </cell>
          <cell r="AY6011" t="str">
            <v/>
          </cell>
          <cell r="AZ6011" t="str">
            <v/>
          </cell>
          <cell r="BA6011" t="str">
            <v/>
          </cell>
        </row>
        <row r="6012">
          <cell r="B6012" t="str">
            <v>-</v>
          </cell>
          <cell r="E6012" t="str">
            <v/>
          </cell>
          <cell r="G6012" t="str">
            <v/>
          </cell>
          <cell r="J6012" t="str">
            <v/>
          </cell>
          <cell r="O6012" t="str">
            <v/>
          </cell>
          <cell r="P6012" t="str">
            <v/>
          </cell>
          <cell r="Q6012" t="str">
            <v/>
          </cell>
          <cell r="S6012" t="str">
            <v/>
          </cell>
          <cell r="V6012" t="str">
            <v/>
          </cell>
          <cell r="Z6012" t="str">
            <v/>
          </cell>
          <cell r="AA6012" t="str">
            <v/>
          </cell>
          <cell r="AB6012" t="str">
            <v/>
          </cell>
          <cell r="AC6012" t="str">
            <v/>
          </cell>
          <cell r="AD6012" t="str">
            <v/>
          </cell>
          <cell r="AY6012" t="str">
            <v/>
          </cell>
          <cell r="AZ6012" t="str">
            <v/>
          </cell>
          <cell r="BA6012" t="str">
            <v/>
          </cell>
        </row>
        <row r="6013">
          <cell r="B6013" t="str">
            <v>-</v>
          </cell>
          <cell r="E6013" t="str">
            <v/>
          </cell>
          <cell r="G6013" t="str">
            <v/>
          </cell>
          <cell r="J6013" t="str">
            <v/>
          </cell>
          <cell r="O6013" t="str">
            <v/>
          </cell>
          <cell r="P6013" t="str">
            <v/>
          </cell>
          <cell r="Q6013" t="str">
            <v/>
          </cell>
          <cell r="S6013" t="str">
            <v/>
          </cell>
          <cell r="V6013" t="str">
            <v/>
          </cell>
          <cell r="Z6013" t="str">
            <v/>
          </cell>
          <cell r="AA6013" t="str">
            <v/>
          </cell>
          <cell r="AB6013" t="str">
            <v/>
          </cell>
          <cell r="AC6013" t="str">
            <v/>
          </cell>
          <cell r="AD6013" t="str">
            <v/>
          </cell>
          <cell r="AY6013" t="str">
            <v/>
          </cell>
          <cell r="AZ6013" t="str">
            <v/>
          </cell>
          <cell r="BA6013" t="str">
            <v/>
          </cell>
        </row>
        <row r="6014">
          <cell r="B6014" t="str">
            <v>-</v>
          </cell>
          <cell r="E6014" t="str">
            <v/>
          </cell>
          <cell r="G6014" t="str">
            <v/>
          </cell>
          <cell r="J6014" t="str">
            <v/>
          </cell>
          <cell r="O6014" t="str">
            <v/>
          </cell>
          <cell r="P6014" t="str">
            <v/>
          </cell>
          <cell r="Q6014" t="str">
            <v/>
          </cell>
          <cell r="S6014" t="str">
            <v/>
          </cell>
          <cell r="V6014" t="str">
            <v/>
          </cell>
          <cell r="Z6014" t="str">
            <v/>
          </cell>
          <cell r="AA6014" t="str">
            <v/>
          </cell>
          <cell r="AB6014" t="str">
            <v/>
          </cell>
          <cell r="AC6014" t="str">
            <v/>
          </cell>
          <cell r="AD6014" t="str">
            <v/>
          </cell>
          <cell r="AY6014" t="str">
            <v/>
          </cell>
          <cell r="AZ6014" t="str">
            <v/>
          </cell>
          <cell r="BA6014" t="str">
            <v/>
          </cell>
        </row>
        <row r="6015">
          <cell r="B6015" t="str">
            <v>-</v>
          </cell>
          <cell r="E6015" t="str">
            <v/>
          </cell>
          <cell r="G6015" t="str">
            <v/>
          </cell>
          <cell r="J6015" t="str">
            <v/>
          </cell>
          <cell r="O6015" t="str">
            <v/>
          </cell>
          <cell r="P6015" t="str">
            <v/>
          </cell>
          <cell r="Q6015" t="str">
            <v/>
          </cell>
          <cell r="S6015" t="str">
            <v/>
          </cell>
          <cell r="V6015" t="str">
            <v/>
          </cell>
          <cell r="Z6015" t="str">
            <v/>
          </cell>
          <cell r="AA6015" t="str">
            <v/>
          </cell>
          <cell r="AB6015" t="str">
            <v/>
          </cell>
          <cell r="AC6015" t="str">
            <v/>
          </cell>
          <cell r="AD6015" t="str">
            <v/>
          </cell>
          <cell r="AY6015" t="str">
            <v/>
          </cell>
          <cell r="AZ6015" t="str">
            <v/>
          </cell>
          <cell r="BA6015" t="str">
            <v/>
          </cell>
        </row>
        <row r="6016">
          <cell r="B6016" t="str">
            <v>-</v>
          </cell>
          <cell r="E6016" t="str">
            <v/>
          </cell>
          <cell r="G6016" t="str">
            <v/>
          </cell>
          <cell r="J6016" t="str">
            <v/>
          </cell>
          <cell r="O6016" t="str">
            <v/>
          </cell>
          <cell r="P6016" t="str">
            <v/>
          </cell>
          <cell r="Q6016" t="str">
            <v/>
          </cell>
          <cell r="S6016" t="str">
            <v/>
          </cell>
          <cell r="V6016" t="str">
            <v/>
          </cell>
          <cell r="Z6016" t="str">
            <v/>
          </cell>
          <cell r="AA6016" t="str">
            <v/>
          </cell>
          <cell r="AB6016" t="str">
            <v/>
          </cell>
          <cell r="AC6016" t="str">
            <v/>
          </cell>
          <cell r="AD6016" t="str">
            <v/>
          </cell>
          <cell r="AY6016" t="str">
            <v/>
          </cell>
          <cell r="AZ6016" t="str">
            <v/>
          </cell>
          <cell r="BA6016" t="str">
            <v/>
          </cell>
        </row>
        <row r="6017">
          <cell r="B6017" t="str">
            <v>-</v>
          </cell>
          <cell r="E6017" t="str">
            <v/>
          </cell>
          <cell r="G6017" t="str">
            <v/>
          </cell>
          <cell r="J6017" t="str">
            <v/>
          </cell>
          <cell r="O6017" t="str">
            <v/>
          </cell>
          <cell r="P6017" t="str">
            <v/>
          </cell>
          <cell r="Q6017" t="str">
            <v/>
          </cell>
          <cell r="S6017" t="str">
            <v/>
          </cell>
          <cell r="V6017" t="str">
            <v/>
          </cell>
          <cell r="Z6017" t="str">
            <v/>
          </cell>
          <cell r="AA6017" t="str">
            <v/>
          </cell>
          <cell r="AB6017" t="str">
            <v/>
          </cell>
          <cell r="AC6017" t="str">
            <v/>
          </cell>
          <cell r="AD6017" t="str">
            <v/>
          </cell>
          <cell r="AY6017" t="str">
            <v/>
          </cell>
          <cell r="AZ6017" t="str">
            <v/>
          </cell>
          <cell r="BA6017" t="str">
            <v/>
          </cell>
        </row>
        <row r="6018">
          <cell r="B6018" t="str">
            <v>-</v>
          </cell>
          <cell r="E6018" t="str">
            <v/>
          </cell>
          <cell r="G6018" t="str">
            <v/>
          </cell>
          <cell r="J6018" t="str">
            <v/>
          </cell>
          <cell r="O6018" t="str">
            <v/>
          </cell>
          <cell r="P6018" t="str">
            <v/>
          </cell>
          <cell r="Q6018" t="str">
            <v/>
          </cell>
          <cell r="S6018" t="str">
            <v/>
          </cell>
          <cell r="V6018" t="str">
            <v/>
          </cell>
          <cell r="Z6018" t="str">
            <v/>
          </cell>
          <cell r="AA6018" t="str">
            <v/>
          </cell>
          <cell r="AB6018" t="str">
            <v/>
          </cell>
          <cell r="AC6018" t="str">
            <v/>
          </cell>
          <cell r="AD6018" t="str">
            <v/>
          </cell>
          <cell r="AY6018" t="str">
            <v/>
          </cell>
          <cell r="AZ6018" t="str">
            <v/>
          </cell>
          <cell r="BA6018" t="str">
            <v/>
          </cell>
        </row>
        <row r="6019">
          <cell r="B6019" t="str">
            <v>-</v>
          </cell>
          <cell r="E6019" t="str">
            <v/>
          </cell>
          <cell r="G6019" t="str">
            <v/>
          </cell>
          <cell r="J6019" t="str">
            <v/>
          </cell>
          <cell r="O6019" t="str">
            <v/>
          </cell>
          <cell r="P6019" t="str">
            <v/>
          </cell>
          <cell r="Q6019" t="str">
            <v/>
          </cell>
          <cell r="S6019" t="str">
            <v/>
          </cell>
          <cell r="V6019" t="str">
            <v/>
          </cell>
          <cell r="Z6019" t="str">
            <v/>
          </cell>
          <cell r="AA6019" t="str">
            <v/>
          </cell>
          <cell r="AB6019" t="str">
            <v/>
          </cell>
          <cell r="AC6019" t="str">
            <v/>
          </cell>
          <cell r="AD6019" t="str">
            <v/>
          </cell>
          <cell r="AY6019" t="str">
            <v/>
          </cell>
          <cell r="AZ6019" t="str">
            <v/>
          </cell>
          <cell r="BA6019" t="str">
            <v/>
          </cell>
        </row>
        <row r="6020">
          <cell r="B6020" t="str">
            <v>-</v>
          </cell>
          <cell r="E6020" t="str">
            <v/>
          </cell>
          <cell r="G6020" t="str">
            <v/>
          </cell>
          <cell r="J6020" t="str">
            <v/>
          </cell>
          <cell r="O6020" t="str">
            <v/>
          </cell>
          <cell r="P6020" t="str">
            <v/>
          </cell>
          <cell r="Q6020" t="str">
            <v/>
          </cell>
          <cell r="S6020" t="str">
            <v/>
          </cell>
          <cell r="V6020" t="str">
            <v/>
          </cell>
          <cell r="Z6020" t="str">
            <v/>
          </cell>
          <cell r="AA6020" t="str">
            <v/>
          </cell>
          <cell r="AB6020" t="str">
            <v/>
          </cell>
          <cell r="AC6020" t="str">
            <v/>
          </cell>
          <cell r="AD6020" t="str">
            <v/>
          </cell>
          <cell r="AY6020" t="str">
            <v/>
          </cell>
          <cell r="AZ6020" t="str">
            <v/>
          </cell>
          <cell r="BA6020" t="str">
            <v/>
          </cell>
        </row>
        <row r="6021">
          <cell r="B6021" t="str">
            <v>-</v>
          </cell>
          <cell r="E6021" t="str">
            <v/>
          </cell>
          <cell r="G6021" t="str">
            <v/>
          </cell>
          <cell r="J6021" t="str">
            <v/>
          </cell>
          <cell r="O6021" t="str">
            <v/>
          </cell>
          <cell r="P6021" t="str">
            <v/>
          </cell>
          <cell r="Q6021" t="str">
            <v/>
          </cell>
          <cell r="S6021" t="str">
            <v/>
          </cell>
          <cell r="V6021" t="str">
            <v/>
          </cell>
          <cell r="Z6021" t="str">
            <v/>
          </cell>
          <cell r="AA6021" t="str">
            <v/>
          </cell>
          <cell r="AB6021" t="str">
            <v/>
          </cell>
          <cell r="AC6021" t="str">
            <v/>
          </cell>
          <cell r="AD6021" t="str">
            <v/>
          </cell>
          <cell r="AY6021" t="str">
            <v/>
          </cell>
          <cell r="AZ6021" t="str">
            <v/>
          </cell>
          <cell r="BA6021" t="str">
            <v/>
          </cell>
        </row>
        <row r="6022">
          <cell r="B6022" t="str">
            <v>-</v>
          </cell>
          <cell r="E6022" t="str">
            <v/>
          </cell>
          <cell r="G6022" t="str">
            <v/>
          </cell>
          <cell r="J6022" t="str">
            <v/>
          </cell>
          <cell r="O6022" t="str">
            <v/>
          </cell>
          <cell r="P6022" t="str">
            <v/>
          </cell>
          <cell r="Q6022" t="str">
            <v/>
          </cell>
          <cell r="S6022" t="str">
            <v/>
          </cell>
          <cell r="V6022" t="str">
            <v/>
          </cell>
          <cell r="Z6022" t="str">
            <v/>
          </cell>
          <cell r="AA6022" t="str">
            <v/>
          </cell>
          <cell r="AB6022" t="str">
            <v/>
          </cell>
          <cell r="AC6022" t="str">
            <v/>
          </cell>
          <cell r="AD6022" t="str">
            <v/>
          </cell>
          <cell r="AY6022" t="str">
            <v/>
          </cell>
          <cell r="AZ6022" t="str">
            <v/>
          </cell>
          <cell r="BA6022" t="str">
            <v/>
          </cell>
        </row>
        <row r="6023">
          <cell r="B6023" t="str">
            <v>-</v>
          </cell>
          <cell r="E6023" t="str">
            <v/>
          </cell>
          <cell r="G6023" t="str">
            <v/>
          </cell>
          <cell r="J6023" t="str">
            <v/>
          </cell>
          <cell r="O6023" t="str">
            <v/>
          </cell>
          <cell r="P6023" t="str">
            <v/>
          </cell>
          <cell r="Q6023" t="str">
            <v/>
          </cell>
          <cell r="S6023" t="str">
            <v/>
          </cell>
          <cell r="V6023" t="str">
            <v/>
          </cell>
          <cell r="Z6023" t="str">
            <v/>
          </cell>
          <cell r="AA6023" t="str">
            <v/>
          </cell>
          <cell r="AB6023" t="str">
            <v/>
          </cell>
          <cell r="AC6023" t="str">
            <v/>
          </cell>
          <cell r="AD6023" t="str">
            <v/>
          </cell>
          <cell r="AY6023" t="str">
            <v/>
          </cell>
          <cell r="AZ6023" t="str">
            <v/>
          </cell>
          <cell r="BA6023" t="str">
            <v/>
          </cell>
        </row>
        <row r="6024">
          <cell r="B6024" t="str">
            <v>-</v>
          </cell>
          <cell r="E6024" t="str">
            <v/>
          </cell>
          <cell r="G6024" t="str">
            <v/>
          </cell>
          <cell r="J6024" t="str">
            <v/>
          </cell>
          <cell r="O6024" t="str">
            <v/>
          </cell>
          <cell r="P6024" t="str">
            <v/>
          </cell>
          <cell r="Q6024" t="str">
            <v/>
          </cell>
          <cell r="S6024" t="str">
            <v/>
          </cell>
          <cell r="V6024" t="str">
            <v/>
          </cell>
          <cell r="Z6024" t="str">
            <v/>
          </cell>
          <cell r="AA6024" t="str">
            <v/>
          </cell>
          <cell r="AB6024" t="str">
            <v/>
          </cell>
          <cell r="AC6024" t="str">
            <v/>
          </cell>
          <cell r="AD6024" t="str">
            <v/>
          </cell>
          <cell r="AY6024" t="str">
            <v/>
          </cell>
          <cell r="AZ6024" t="str">
            <v/>
          </cell>
          <cell r="BA6024" t="str">
            <v/>
          </cell>
        </row>
        <row r="6025">
          <cell r="B6025" t="str">
            <v>-</v>
          </cell>
          <cell r="E6025" t="str">
            <v/>
          </cell>
          <cell r="G6025" t="str">
            <v/>
          </cell>
          <cell r="J6025" t="str">
            <v/>
          </cell>
          <cell r="O6025" t="str">
            <v/>
          </cell>
          <cell r="P6025" t="str">
            <v/>
          </cell>
          <cell r="Q6025" t="str">
            <v/>
          </cell>
          <cell r="S6025" t="str">
            <v/>
          </cell>
          <cell r="V6025" t="str">
            <v/>
          </cell>
          <cell r="Z6025" t="str">
            <v/>
          </cell>
          <cell r="AA6025" t="str">
            <v/>
          </cell>
          <cell r="AB6025" t="str">
            <v/>
          </cell>
          <cell r="AC6025" t="str">
            <v/>
          </cell>
          <cell r="AD6025" t="str">
            <v/>
          </cell>
          <cell r="AY6025" t="str">
            <v/>
          </cell>
          <cell r="AZ6025" t="str">
            <v/>
          </cell>
          <cell r="BA6025" t="str">
            <v/>
          </cell>
        </row>
        <row r="6026">
          <cell r="B6026" t="str">
            <v>-</v>
          </cell>
          <cell r="E6026" t="str">
            <v/>
          </cell>
          <cell r="G6026" t="str">
            <v/>
          </cell>
          <cell r="J6026" t="str">
            <v/>
          </cell>
          <cell r="O6026" t="str">
            <v/>
          </cell>
          <cell r="P6026" t="str">
            <v/>
          </cell>
          <cell r="Q6026" t="str">
            <v/>
          </cell>
          <cell r="S6026" t="str">
            <v/>
          </cell>
          <cell r="V6026" t="str">
            <v/>
          </cell>
          <cell r="Z6026" t="str">
            <v/>
          </cell>
          <cell r="AA6026" t="str">
            <v/>
          </cell>
          <cell r="AB6026" t="str">
            <v/>
          </cell>
          <cell r="AC6026" t="str">
            <v/>
          </cell>
          <cell r="AD6026" t="str">
            <v/>
          </cell>
          <cell r="AY6026" t="str">
            <v/>
          </cell>
          <cell r="AZ6026" t="str">
            <v/>
          </cell>
          <cell r="BA6026" t="str">
            <v/>
          </cell>
        </row>
        <row r="6027">
          <cell r="B6027" t="str">
            <v>-</v>
          </cell>
          <cell r="E6027" t="str">
            <v/>
          </cell>
          <cell r="G6027" t="str">
            <v/>
          </cell>
          <cell r="J6027" t="str">
            <v/>
          </cell>
          <cell r="O6027" t="str">
            <v/>
          </cell>
          <cell r="P6027" t="str">
            <v/>
          </cell>
          <cell r="Q6027" t="str">
            <v/>
          </cell>
          <cell r="S6027" t="str">
            <v/>
          </cell>
          <cell r="V6027" t="str">
            <v/>
          </cell>
          <cell r="Z6027" t="str">
            <v/>
          </cell>
          <cell r="AA6027" t="str">
            <v/>
          </cell>
          <cell r="AB6027" t="str">
            <v/>
          </cell>
          <cell r="AC6027" t="str">
            <v/>
          </cell>
          <cell r="AD6027" t="str">
            <v/>
          </cell>
          <cell r="AY6027" t="str">
            <v/>
          </cell>
          <cell r="AZ6027" t="str">
            <v/>
          </cell>
          <cell r="BA6027" t="str">
            <v/>
          </cell>
        </row>
        <row r="6028">
          <cell r="B6028" t="str">
            <v>-</v>
          </cell>
          <cell r="E6028" t="str">
            <v/>
          </cell>
          <cell r="G6028" t="str">
            <v/>
          </cell>
          <cell r="J6028" t="str">
            <v/>
          </cell>
          <cell r="O6028" t="str">
            <v/>
          </cell>
          <cell r="P6028" t="str">
            <v/>
          </cell>
          <cell r="Q6028" t="str">
            <v/>
          </cell>
          <cell r="S6028" t="str">
            <v/>
          </cell>
          <cell r="V6028" t="str">
            <v/>
          </cell>
          <cell r="Z6028" t="str">
            <v/>
          </cell>
          <cell r="AA6028" t="str">
            <v/>
          </cell>
          <cell r="AB6028" t="str">
            <v/>
          </cell>
          <cell r="AC6028" t="str">
            <v/>
          </cell>
          <cell r="AD6028" t="str">
            <v/>
          </cell>
          <cell r="AY6028" t="str">
            <v/>
          </cell>
          <cell r="AZ6028" t="str">
            <v/>
          </cell>
          <cell r="BA6028" t="str">
            <v/>
          </cell>
        </row>
        <row r="6029">
          <cell r="B6029" t="str">
            <v>-</v>
          </cell>
          <cell r="E6029" t="str">
            <v/>
          </cell>
          <cell r="G6029" t="str">
            <v/>
          </cell>
          <cell r="J6029" t="str">
            <v/>
          </cell>
          <cell r="O6029" t="str">
            <v/>
          </cell>
          <cell r="P6029" t="str">
            <v/>
          </cell>
          <cell r="Q6029" t="str">
            <v/>
          </cell>
          <cell r="S6029" t="str">
            <v/>
          </cell>
          <cell r="V6029" t="str">
            <v/>
          </cell>
          <cell r="Z6029" t="str">
            <v/>
          </cell>
          <cell r="AA6029" t="str">
            <v/>
          </cell>
          <cell r="AB6029" t="str">
            <v/>
          </cell>
          <cell r="AC6029" t="str">
            <v/>
          </cell>
          <cell r="AD6029" t="str">
            <v/>
          </cell>
          <cell r="AY6029" t="str">
            <v/>
          </cell>
          <cell r="AZ6029" t="str">
            <v/>
          </cell>
          <cell r="BA6029" t="str">
            <v/>
          </cell>
        </row>
        <row r="6030">
          <cell r="B6030" t="str">
            <v>-</v>
          </cell>
          <cell r="E6030" t="str">
            <v/>
          </cell>
          <cell r="G6030" t="str">
            <v/>
          </cell>
          <cell r="J6030" t="str">
            <v/>
          </cell>
          <cell r="O6030" t="str">
            <v/>
          </cell>
          <cell r="P6030" t="str">
            <v/>
          </cell>
          <cell r="Q6030" t="str">
            <v/>
          </cell>
          <cell r="S6030" t="str">
            <v/>
          </cell>
          <cell r="V6030" t="str">
            <v/>
          </cell>
          <cell r="Z6030" t="str">
            <v/>
          </cell>
          <cell r="AA6030" t="str">
            <v/>
          </cell>
          <cell r="AB6030" t="str">
            <v/>
          </cell>
          <cell r="AC6030" t="str">
            <v/>
          </cell>
          <cell r="AD6030" t="str">
            <v/>
          </cell>
          <cell r="AY6030" t="str">
            <v/>
          </cell>
          <cell r="AZ6030" t="str">
            <v/>
          </cell>
          <cell r="BA6030" t="str">
            <v/>
          </cell>
        </row>
        <row r="6031">
          <cell r="B6031" t="str">
            <v>-</v>
          </cell>
          <cell r="E6031" t="str">
            <v/>
          </cell>
          <cell r="G6031" t="str">
            <v/>
          </cell>
          <cell r="J6031" t="str">
            <v/>
          </cell>
          <cell r="O6031" t="str">
            <v/>
          </cell>
          <cell r="P6031" t="str">
            <v/>
          </cell>
          <cell r="Q6031" t="str">
            <v/>
          </cell>
          <cell r="S6031" t="str">
            <v/>
          </cell>
          <cell r="V6031" t="str">
            <v/>
          </cell>
          <cell r="Z6031" t="str">
            <v/>
          </cell>
          <cell r="AA6031" t="str">
            <v/>
          </cell>
          <cell r="AB6031" t="str">
            <v/>
          </cell>
          <cell r="AC6031" t="str">
            <v/>
          </cell>
          <cell r="AD6031" t="str">
            <v/>
          </cell>
          <cell r="AY6031" t="str">
            <v/>
          </cell>
          <cell r="AZ6031" t="str">
            <v/>
          </cell>
          <cell r="BA6031" t="str">
            <v/>
          </cell>
        </row>
        <row r="6032">
          <cell r="B6032" t="str">
            <v>-</v>
          </cell>
          <cell r="E6032" t="str">
            <v/>
          </cell>
          <cell r="G6032" t="str">
            <v/>
          </cell>
          <cell r="J6032" t="str">
            <v/>
          </cell>
          <cell r="O6032" t="str">
            <v/>
          </cell>
          <cell r="P6032" t="str">
            <v/>
          </cell>
          <cell r="Q6032" t="str">
            <v/>
          </cell>
          <cell r="S6032" t="str">
            <v/>
          </cell>
          <cell r="V6032" t="str">
            <v/>
          </cell>
          <cell r="Z6032" t="str">
            <v/>
          </cell>
          <cell r="AA6032" t="str">
            <v/>
          </cell>
          <cell r="AB6032" t="str">
            <v/>
          </cell>
          <cell r="AC6032" t="str">
            <v/>
          </cell>
          <cell r="AD6032" t="str">
            <v/>
          </cell>
          <cell r="AY6032" t="str">
            <v/>
          </cell>
          <cell r="AZ6032" t="str">
            <v/>
          </cell>
          <cell r="BA6032" t="str">
            <v/>
          </cell>
        </row>
        <row r="6033">
          <cell r="B6033" t="str">
            <v>-</v>
          </cell>
          <cell r="E6033" t="str">
            <v/>
          </cell>
          <cell r="G6033" t="str">
            <v/>
          </cell>
          <cell r="J6033" t="str">
            <v/>
          </cell>
          <cell r="O6033" t="str">
            <v/>
          </cell>
          <cell r="P6033" t="str">
            <v/>
          </cell>
          <cell r="Q6033" t="str">
            <v/>
          </cell>
          <cell r="S6033" t="str">
            <v/>
          </cell>
          <cell r="V6033" t="str">
            <v/>
          </cell>
          <cell r="Z6033" t="str">
            <v/>
          </cell>
          <cell r="AA6033" t="str">
            <v/>
          </cell>
          <cell r="AB6033" t="str">
            <v/>
          </cell>
          <cell r="AC6033" t="str">
            <v/>
          </cell>
          <cell r="AD6033" t="str">
            <v/>
          </cell>
          <cell r="AY6033" t="str">
            <v/>
          </cell>
          <cell r="AZ6033" t="str">
            <v/>
          </cell>
          <cell r="BA6033" t="str">
            <v/>
          </cell>
        </row>
        <row r="6034">
          <cell r="B6034" t="str">
            <v>-</v>
          </cell>
          <cell r="E6034" t="str">
            <v/>
          </cell>
          <cell r="G6034" t="str">
            <v/>
          </cell>
          <cell r="J6034" t="str">
            <v/>
          </cell>
          <cell r="O6034" t="str">
            <v/>
          </cell>
          <cell r="P6034" t="str">
            <v/>
          </cell>
          <cell r="Q6034" t="str">
            <v/>
          </cell>
          <cell r="S6034" t="str">
            <v/>
          </cell>
          <cell r="V6034" t="str">
            <v/>
          </cell>
          <cell r="Z6034" t="str">
            <v/>
          </cell>
          <cell r="AA6034" t="str">
            <v/>
          </cell>
          <cell r="AB6034" t="str">
            <v/>
          </cell>
          <cell r="AC6034" t="str">
            <v/>
          </cell>
          <cell r="AD6034" t="str">
            <v/>
          </cell>
          <cell r="AY6034" t="str">
            <v/>
          </cell>
          <cell r="AZ6034" t="str">
            <v/>
          </cell>
          <cell r="BA6034" t="str">
            <v/>
          </cell>
        </row>
        <row r="6035">
          <cell r="B6035" t="str">
            <v>-</v>
          </cell>
          <cell r="E6035" t="str">
            <v/>
          </cell>
          <cell r="G6035" t="str">
            <v/>
          </cell>
          <cell r="J6035" t="str">
            <v/>
          </cell>
          <cell r="O6035" t="str">
            <v/>
          </cell>
          <cell r="P6035" t="str">
            <v/>
          </cell>
          <cell r="Q6035" t="str">
            <v/>
          </cell>
          <cell r="S6035" t="str">
            <v/>
          </cell>
          <cell r="V6035" t="str">
            <v/>
          </cell>
          <cell r="Z6035" t="str">
            <v/>
          </cell>
          <cell r="AA6035" t="str">
            <v/>
          </cell>
          <cell r="AB6035" t="str">
            <v/>
          </cell>
          <cell r="AC6035" t="str">
            <v/>
          </cell>
          <cell r="AD6035" t="str">
            <v/>
          </cell>
          <cell r="AY6035" t="str">
            <v/>
          </cell>
          <cell r="AZ6035" t="str">
            <v/>
          </cell>
          <cell r="BA6035" t="str">
            <v/>
          </cell>
        </row>
        <row r="6036">
          <cell r="B6036" t="str">
            <v>-</v>
          </cell>
          <cell r="E6036" t="str">
            <v/>
          </cell>
          <cell r="G6036" t="str">
            <v/>
          </cell>
          <cell r="J6036" t="str">
            <v/>
          </cell>
          <cell r="O6036" t="str">
            <v/>
          </cell>
          <cell r="P6036" t="str">
            <v/>
          </cell>
          <cell r="Q6036" t="str">
            <v/>
          </cell>
          <cell r="S6036" t="str">
            <v/>
          </cell>
          <cell r="V6036" t="str">
            <v/>
          </cell>
          <cell r="Z6036" t="str">
            <v/>
          </cell>
          <cell r="AA6036" t="str">
            <v/>
          </cell>
          <cell r="AB6036" t="str">
            <v/>
          </cell>
          <cell r="AC6036" t="str">
            <v/>
          </cell>
          <cell r="AD6036" t="str">
            <v/>
          </cell>
          <cell r="AY6036" t="str">
            <v/>
          </cell>
          <cell r="AZ6036" t="str">
            <v/>
          </cell>
          <cell r="BA6036" t="str">
            <v/>
          </cell>
        </row>
        <row r="6037">
          <cell r="B6037" t="str">
            <v>-</v>
          </cell>
          <cell r="E6037" t="str">
            <v/>
          </cell>
          <cell r="G6037" t="str">
            <v/>
          </cell>
          <cell r="J6037" t="str">
            <v/>
          </cell>
          <cell r="O6037" t="str">
            <v/>
          </cell>
          <cell r="P6037" t="str">
            <v/>
          </cell>
          <cell r="Q6037" t="str">
            <v/>
          </cell>
          <cell r="S6037" t="str">
            <v/>
          </cell>
          <cell r="V6037" t="str">
            <v/>
          </cell>
          <cell r="Z6037" t="str">
            <v/>
          </cell>
          <cell r="AA6037" t="str">
            <v/>
          </cell>
          <cell r="AB6037" t="str">
            <v/>
          </cell>
          <cell r="AC6037" t="str">
            <v/>
          </cell>
          <cell r="AD6037" t="str">
            <v/>
          </cell>
          <cell r="AY6037" t="str">
            <v/>
          </cell>
          <cell r="AZ6037" t="str">
            <v/>
          </cell>
          <cell r="BA6037" t="str">
            <v/>
          </cell>
        </row>
        <row r="6038">
          <cell r="B6038" t="str">
            <v>-</v>
          </cell>
          <cell r="E6038" t="str">
            <v/>
          </cell>
          <cell r="G6038" t="str">
            <v/>
          </cell>
          <cell r="J6038" t="str">
            <v/>
          </cell>
          <cell r="O6038" t="str">
            <v/>
          </cell>
          <cell r="P6038" t="str">
            <v/>
          </cell>
          <cell r="Q6038" t="str">
            <v/>
          </cell>
          <cell r="S6038" t="str">
            <v/>
          </cell>
          <cell r="V6038" t="str">
            <v/>
          </cell>
          <cell r="Z6038" t="str">
            <v/>
          </cell>
          <cell r="AA6038" t="str">
            <v/>
          </cell>
          <cell r="AB6038" t="str">
            <v/>
          </cell>
          <cell r="AC6038" t="str">
            <v/>
          </cell>
          <cell r="AD6038" t="str">
            <v/>
          </cell>
          <cell r="AY6038" t="str">
            <v/>
          </cell>
          <cell r="AZ6038" t="str">
            <v/>
          </cell>
          <cell r="BA6038" t="str">
            <v/>
          </cell>
        </row>
        <row r="6039">
          <cell r="B6039" t="str">
            <v>-</v>
          </cell>
          <cell r="E6039" t="str">
            <v/>
          </cell>
          <cell r="G6039" t="str">
            <v/>
          </cell>
          <cell r="J6039" t="str">
            <v/>
          </cell>
          <cell r="O6039" t="str">
            <v/>
          </cell>
          <cell r="P6039" t="str">
            <v/>
          </cell>
          <cell r="Q6039" t="str">
            <v/>
          </cell>
          <cell r="S6039" t="str">
            <v/>
          </cell>
          <cell r="V6039" t="str">
            <v/>
          </cell>
          <cell r="Z6039" t="str">
            <v/>
          </cell>
          <cell r="AA6039" t="str">
            <v/>
          </cell>
          <cell r="AB6039" t="str">
            <v/>
          </cell>
          <cell r="AC6039" t="str">
            <v/>
          </cell>
          <cell r="AD6039" t="str">
            <v/>
          </cell>
          <cell r="AY6039" t="str">
            <v/>
          </cell>
          <cell r="AZ6039" t="str">
            <v/>
          </cell>
          <cell r="BA6039" t="str">
            <v/>
          </cell>
        </row>
        <row r="6040">
          <cell r="B6040" t="str">
            <v>-</v>
          </cell>
          <cell r="E6040" t="str">
            <v/>
          </cell>
          <cell r="G6040" t="str">
            <v/>
          </cell>
          <cell r="J6040" t="str">
            <v/>
          </cell>
          <cell r="O6040" t="str">
            <v/>
          </cell>
          <cell r="P6040" t="str">
            <v/>
          </cell>
          <cell r="Q6040" t="str">
            <v/>
          </cell>
          <cell r="S6040" t="str">
            <v/>
          </cell>
          <cell r="V6040" t="str">
            <v/>
          </cell>
          <cell r="Z6040" t="str">
            <v/>
          </cell>
          <cell r="AA6040" t="str">
            <v/>
          </cell>
          <cell r="AB6040" t="str">
            <v/>
          </cell>
          <cell r="AC6040" t="str">
            <v/>
          </cell>
          <cell r="AD6040" t="str">
            <v/>
          </cell>
          <cell r="AY6040" t="str">
            <v/>
          </cell>
          <cell r="AZ6040" t="str">
            <v/>
          </cell>
          <cell r="BA6040" t="str">
            <v/>
          </cell>
        </row>
        <row r="6041">
          <cell r="B6041" t="str">
            <v>-</v>
          </cell>
          <cell r="E6041" t="str">
            <v/>
          </cell>
          <cell r="G6041" t="str">
            <v/>
          </cell>
          <cell r="J6041" t="str">
            <v/>
          </cell>
          <cell r="O6041" t="str">
            <v/>
          </cell>
          <cell r="P6041" t="str">
            <v/>
          </cell>
          <cell r="Q6041" t="str">
            <v/>
          </cell>
          <cell r="S6041" t="str">
            <v/>
          </cell>
          <cell r="V6041" t="str">
            <v/>
          </cell>
          <cell r="Z6041" t="str">
            <v/>
          </cell>
          <cell r="AA6041" t="str">
            <v/>
          </cell>
          <cell r="AB6041" t="str">
            <v/>
          </cell>
          <cell r="AC6041" t="str">
            <v/>
          </cell>
          <cell r="AD6041" t="str">
            <v/>
          </cell>
          <cell r="AY6041" t="str">
            <v/>
          </cell>
          <cell r="AZ6041" t="str">
            <v/>
          </cell>
          <cell r="BA6041" t="str">
            <v/>
          </cell>
        </row>
        <row r="6042">
          <cell r="B6042" t="str">
            <v>-</v>
          </cell>
          <cell r="E6042" t="str">
            <v/>
          </cell>
          <cell r="G6042" t="str">
            <v/>
          </cell>
          <cell r="J6042" t="str">
            <v/>
          </cell>
          <cell r="O6042" t="str">
            <v/>
          </cell>
          <cell r="P6042" t="str">
            <v/>
          </cell>
          <cell r="Q6042" t="str">
            <v/>
          </cell>
          <cell r="S6042" t="str">
            <v/>
          </cell>
          <cell r="V6042" t="str">
            <v/>
          </cell>
          <cell r="Z6042" t="str">
            <v/>
          </cell>
          <cell r="AA6042" t="str">
            <v/>
          </cell>
          <cell r="AB6042" t="str">
            <v/>
          </cell>
          <cell r="AC6042" t="str">
            <v/>
          </cell>
          <cell r="AD6042" t="str">
            <v/>
          </cell>
          <cell r="AY6042" t="str">
            <v/>
          </cell>
          <cell r="AZ6042" t="str">
            <v/>
          </cell>
          <cell r="BA6042" t="str">
            <v/>
          </cell>
        </row>
        <row r="6043">
          <cell r="B6043" t="str">
            <v>-</v>
          </cell>
          <cell r="E6043" t="str">
            <v/>
          </cell>
          <cell r="G6043" t="str">
            <v/>
          </cell>
          <cell r="J6043" t="str">
            <v/>
          </cell>
          <cell r="O6043" t="str">
            <v/>
          </cell>
          <cell r="P6043" t="str">
            <v/>
          </cell>
          <cell r="Q6043" t="str">
            <v/>
          </cell>
          <cell r="S6043" t="str">
            <v/>
          </cell>
          <cell r="V6043" t="str">
            <v/>
          </cell>
          <cell r="Z6043" t="str">
            <v/>
          </cell>
          <cell r="AA6043" t="str">
            <v/>
          </cell>
          <cell r="AB6043" t="str">
            <v/>
          </cell>
          <cell r="AC6043" t="str">
            <v/>
          </cell>
          <cell r="AD6043" t="str">
            <v/>
          </cell>
          <cell r="AY6043" t="str">
            <v/>
          </cell>
          <cell r="AZ6043" t="str">
            <v/>
          </cell>
          <cell r="BA6043" t="str">
            <v/>
          </cell>
        </row>
        <row r="6044">
          <cell r="B6044" t="str">
            <v>-</v>
          </cell>
          <cell r="E6044" t="str">
            <v/>
          </cell>
          <cell r="G6044" t="str">
            <v/>
          </cell>
          <cell r="J6044" t="str">
            <v/>
          </cell>
          <cell r="O6044" t="str">
            <v/>
          </cell>
          <cell r="P6044" t="str">
            <v/>
          </cell>
          <cell r="Q6044" t="str">
            <v/>
          </cell>
          <cell r="S6044" t="str">
            <v/>
          </cell>
          <cell r="V6044" t="str">
            <v/>
          </cell>
          <cell r="Z6044" t="str">
            <v/>
          </cell>
          <cell r="AA6044" t="str">
            <v/>
          </cell>
          <cell r="AB6044" t="str">
            <v/>
          </cell>
          <cell r="AC6044" t="str">
            <v/>
          </cell>
          <cell r="AD6044" t="str">
            <v/>
          </cell>
          <cell r="AY6044" t="str">
            <v/>
          </cell>
          <cell r="AZ6044" t="str">
            <v/>
          </cell>
          <cell r="BA6044" t="str">
            <v/>
          </cell>
        </row>
        <row r="6045">
          <cell r="B6045" t="str">
            <v>-</v>
          </cell>
          <cell r="E6045" t="str">
            <v/>
          </cell>
          <cell r="G6045" t="str">
            <v/>
          </cell>
          <cell r="J6045" t="str">
            <v/>
          </cell>
          <cell r="O6045" t="str">
            <v/>
          </cell>
          <cell r="P6045" t="str">
            <v/>
          </cell>
          <cell r="Q6045" t="str">
            <v/>
          </cell>
          <cell r="S6045" t="str">
            <v/>
          </cell>
          <cell r="V6045" t="str">
            <v/>
          </cell>
          <cell r="Z6045" t="str">
            <v/>
          </cell>
          <cell r="AA6045" t="str">
            <v/>
          </cell>
          <cell r="AB6045" t="str">
            <v/>
          </cell>
          <cell r="AC6045" t="str">
            <v/>
          </cell>
          <cell r="AD6045" t="str">
            <v/>
          </cell>
          <cell r="AY6045" t="str">
            <v/>
          </cell>
          <cell r="AZ6045" t="str">
            <v/>
          </cell>
          <cell r="BA6045" t="str">
            <v/>
          </cell>
        </row>
        <row r="6046">
          <cell r="B6046" t="str">
            <v>-</v>
          </cell>
          <cell r="E6046" t="str">
            <v/>
          </cell>
          <cell r="G6046" t="str">
            <v/>
          </cell>
          <cell r="J6046" t="str">
            <v/>
          </cell>
          <cell r="O6046" t="str">
            <v/>
          </cell>
          <cell r="P6046" t="str">
            <v/>
          </cell>
          <cell r="Q6046" t="str">
            <v/>
          </cell>
          <cell r="S6046" t="str">
            <v/>
          </cell>
          <cell r="V6046" t="str">
            <v/>
          </cell>
          <cell r="Z6046" t="str">
            <v/>
          </cell>
          <cell r="AA6046" t="str">
            <v/>
          </cell>
          <cell r="AB6046" t="str">
            <v/>
          </cell>
          <cell r="AC6046" t="str">
            <v/>
          </cell>
          <cell r="AD6046" t="str">
            <v/>
          </cell>
          <cell r="AY6046" t="str">
            <v/>
          </cell>
          <cell r="AZ6046" t="str">
            <v/>
          </cell>
          <cell r="BA6046" t="str">
            <v/>
          </cell>
        </row>
        <row r="6047">
          <cell r="B6047" t="str">
            <v>-</v>
          </cell>
          <cell r="E6047" t="str">
            <v/>
          </cell>
          <cell r="G6047" t="str">
            <v/>
          </cell>
          <cell r="J6047" t="str">
            <v/>
          </cell>
          <cell r="O6047" t="str">
            <v/>
          </cell>
          <cell r="P6047" t="str">
            <v/>
          </cell>
          <cell r="Q6047" t="str">
            <v/>
          </cell>
          <cell r="S6047" t="str">
            <v/>
          </cell>
          <cell r="V6047" t="str">
            <v/>
          </cell>
          <cell r="Z6047" t="str">
            <v/>
          </cell>
          <cell r="AA6047" t="str">
            <v/>
          </cell>
          <cell r="AB6047" t="str">
            <v/>
          </cell>
          <cell r="AC6047" t="str">
            <v/>
          </cell>
          <cell r="AD6047" t="str">
            <v/>
          </cell>
          <cell r="AY6047" t="str">
            <v/>
          </cell>
          <cell r="AZ6047" t="str">
            <v/>
          </cell>
          <cell r="BA6047" t="str">
            <v/>
          </cell>
        </row>
        <row r="6048">
          <cell r="B6048" t="str">
            <v>-</v>
          </cell>
          <cell r="E6048" t="str">
            <v/>
          </cell>
          <cell r="G6048" t="str">
            <v/>
          </cell>
          <cell r="J6048" t="str">
            <v/>
          </cell>
          <cell r="O6048" t="str">
            <v/>
          </cell>
          <cell r="P6048" t="str">
            <v/>
          </cell>
          <cell r="Q6048" t="str">
            <v/>
          </cell>
          <cell r="S6048" t="str">
            <v/>
          </cell>
          <cell r="V6048" t="str">
            <v/>
          </cell>
          <cell r="Z6048" t="str">
            <v/>
          </cell>
          <cell r="AA6048" t="str">
            <v/>
          </cell>
          <cell r="AB6048" t="str">
            <v/>
          </cell>
          <cell r="AC6048" t="str">
            <v/>
          </cell>
          <cell r="AD6048" t="str">
            <v/>
          </cell>
          <cell r="AY6048" t="str">
            <v/>
          </cell>
          <cell r="AZ6048" t="str">
            <v/>
          </cell>
          <cell r="BA6048" t="str">
            <v/>
          </cell>
        </row>
        <row r="6049">
          <cell r="B6049" t="str">
            <v>-</v>
          </cell>
          <cell r="E6049" t="str">
            <v/>
          </cell>
          <cell r="G6049" t="str">
            <v/>
          </cell>
          <cell r="J6049" t="str">
            <v/>
          </cell>
          <cell r="O6049" t="str">
            <v/>
          </cell>
          <cell r="P6049" t="str">
            <v/>
          </cell>
          <cell r="Q6049" t="str">
            <v/>
          </cell>
          <cell r="S6049" t="str">
            <v/>
          </cell>
          <cell r="V6049" t="str">
            <v/>
          </cell>
          <cell r="Z6049" t="str">
            <v/>
          </cell>
          <cell r="AA6049" t="str">
            <v/>
          </cell>
          <cell r="AB6049" t="str">
            <v/>
          </cell>
          <cell r="AC6049" t="str">
            <v/>
          </cell>
          <cell r="AD6049" t="str">
            <v/>
          </cell>
          <cell r="AY6049" t="str">
            <v/>
          </cell>
          <cell r="AZ6049" t="str">
            <v/>
          </cell>
          <cell r="BA6049" t="str">
            <v/>
          </cell>
        </row>
        <row r="6050">
          <cell r="B6050" t="str">
            <v>-</v>
          </cell>
          <cell r="E6050" t="str">
            <v/>
          </cell>
          <cell r="G6050" t="str">
            <v/>
          </cell>
          <cell r="J6050" t="str">
            <v/>
          </cell>
          <cell r="O6050" t="str">
            <v/>
          </cell>
          <cell r="P6050" t="str">
            <v/>
          </cell>
          <cell r="Q6050" t="str">
            <v/>
          </cell>
          <cell r="S6050" t="str">
            <v/>
          </cell>
          <cell r="V6050" t="str">
            <v/>
          </cell>
          <cell r="Z6050" t="str">
            <v/>
          </cell>
          <cell r="AA6050" t="str">
            <v/>
          </cell>
          <cell r="AB6050" t="str">
            <v/>
          </cell>
          <cell r="AC6050" t="str">
            <v/>
          </cell>
          <cell r="AD6050" t="str">
            <v/>
          </cell>
          <cell r="AY6050" t="str">
            <v/>
          </cell>
          <cell r="AZ6050" t="str">
            <v/>
          </cell>
          <cell r="BA6050" t="str">
            <v/>
          </cell>
        </row>
        <row r="6051">
          <cell r="B6051" t="str">
            <v>-</v>
          </cell>
          <cell r="E6051" t="str">
            <v/>
          </cell>
          <cell r="G6051" t="str">
            <v/>
          </cell>
          <cell r="J6051" t="str">
            <v/>
          </cell>
          <cell r="O6051" t="str">
            <v/>
          </cell>
          <cell r="P6051" t="str">
            <v/>
          </cell>
          <cell r="Q6051" t="str">
            <v/>
          </cell>
          <cell r="S6051" t="str">
            <v/>
          </cell>
          <cell r="V6051" t="str">
            <v/>
          </cell>
          <cell r="Z6051" t="str">
            <v/>
          </cell>
          <cell r="AA6051" t="str">
            <v/>
          </cell>
          <cell r="AB6051" t="str">
            <v/>
          </cell>
          <cell r="AC6051" t="str">
            <v/>
          </cell>
          <cell r="AD6051" t="str">
            <v/>
          </cell>
          <cell r="AY6051" t="str">
            <v/>
          </cell>
          <cell r="AZ6051" t="str">
            <v/>
          </cell>
          <cell r="BA6051" t="str">
            <v/>
          </cell>
        </row>
        <row r="6052">
          <cell r="B6052" t="str">
            <v>-</v>
          </cell>
          <cell r="E6052" t="str">
            <v/>
          </cell>
          <cell r="G6052" t="str">
            <v/>
          </cell>
          <cell r="J6052" t="str">
            <v/>
          </cell>
          <cell r="O6052" t="str">
            <v/>
          </cell>
          <cell r="P6052" t="str">
            <v/>
          </cell>
          <cell r="Q6052" t="str">
            <v/>
          </cell>
          <cell r="S6052" t="str">
            <v/>
          </cell>
          <cell r="V6052" t="str">
            <v/>
          </cell>
          <cell r="Z6052" t="str">
            <v/>
          </cell>
          <cell r="AA6052" t="str">
            <v/>
          </cell>
          <cell r="AB6052" t="str">
            <v/>
          </cell>
          <cell r="AC6052" t="str">
            <v/>
          </cell>
          <cell r="AD6052" t="str">
            <v/>
          </cell>
          <cell r="AY6052" t="str">
            <v/>
          </cell>
          <cell r="AZ6052" t="str">
            <v/>
          </cell>
          <cell r="BA6052" t="str">
            <v/>
          </cell>
        </row>
        <row r="6053">
          <cell r="B6053" t="str">
            <v>-</v>
          </cell>
          <cell r="E6053" t="str">
            <v/>
          </cell>
          <cell r="G6053" t="str">
            <v/>
          </cell>
          <cell r="J6053" t="str">
            <v/>
          </cell>
          <cell r="O6053" t="str">
            <v/>
          </cell>
          <cell r="P6053" t="str">
            <v/>
          </cell>
          <cell r="Q6053" t="str">
            <v/>
          </cell>
          <cell r="S6053" t="str">
            <v/>
          </cell>
          <cell r="V6053" t="str">
            <v/>
          </cell>
          <cell r="Z6053" t="str">
            <v/>
          </cell>
          <cell r="AA6053" t="str">
            <v/>
          </cell>
          <cell r="AB6053" t="str">
            <v/>
          </cell>
          <cell r="AC6053" t="str">
            <v/>
          </cell>
          <cell r="AD6053" t="str">
            <v/>
          </cell>
          <cell r="AY6053" t="str">
            <v/>
          </cell>
          <cell r="AZ6053" t="str">
            <v/>
          </cell>
          <cell r="BA6053" t="str">
            <v/>
          </cell>
        </row>
        <row r="6054">
          <cell r="B6054" t="str">
            <v>-</v>
          </cell>
          <cell r="E6054" t="str">
            <v/>
          </cell>
          <cell r="G6054" t="str">
            <v/>
          </cell>
          <cell r="J6054" t="str">
            <v/>
          </cell>
          <cell r="O6054" t="str">
            <v/>
          </cell>
          <cell r="P6054" t="str">
            <v/>
          </cell>
          <cell r="Q6054" t="str">
            <v/>
          </cell>
          <cell r="S6054" t="str">
            <v/>
          </cell>
          <cell r="V6054" t="str">
            <v/>
          </cell>
          <cell r="Z6054" t="str">
            <v/>
          </cell>
          <cell r="AA6054" t="str">
            <v/>
          </cell>
          <cell r="AB6054" t="str">
            <v/>
          </cell>
          <cell r="AC6054" t="str">
            <v/>
          </cell>
          <cell r="AD6054" t="str">
            <v/>
          </cell>
          <cell r="AY6054" t="str">
            <v/>
          </cell>
          <cell r="AZ6054" t="str">
            <v/>
          </cell>
          <cell r="BA6054" t="str">
            <v/>
          </cell>
        </row>
        <row r="6055">
          <cell r="B6055" t="str">
            <v>-</v>
          </cell>
          <cell r="E6055" t="str">
            <v/>
          </cell>
          <cell r="G6055" t="str">
            <v/>
          </cell>
          <cell r="J6055" t="str">
            <v/>
          </cell>
          <cell r="O6055" t="str">
            <v/>
          </cell>
          <cell r="P6055" t="str">
            <v/>
          </cell>
          <cell r="Q6055" t="str">
            <v/>
          </cell>
          <cell r="S6055" t="str">
            <v/>
          </cell>
          <cell r="V6055" t="str">
            <v/>
          </cell>
          <cell r="Z6055" t="str">
            <v/>
          </cell>
          <cell r="AA6055" t="str">
            <v/>
          </cell>
          <cell r="AB6055" t="str">
            <v/>
          </cell>
          <cell r="AC6055" t="str">
            <v/>
          </cell>
          <cell r="AD6055" t="str">
            <v/>
          </cell>
          <cell r="AY6055" t="str">
            <v/>
          </cell>
          <cell r="AZ6055" t="str">
            <v/>
          </cell>
          <cell r="BA6055" t="str">
            <v/>
          </cell>
        </row>
        <row r="6056">
          <cell r="B6056" t="str">
            <v>-</v>
          </cell>
          <cell r="E6056" t="str">
            <v/>
          </cell>
          <cell r="G6056" t="str">
            <v/>
          </cell>
          <cell r="J6056" t="str">
            <v/>
          </cell>
          <cell r="O6056" t="str">
            <v/>
          </cell>
          <cell r="P6056" t="str">
            <v/>
          </cell>
          <cell r="Q6056" t="str">
            <v/>
          </cell>
          <cell r="S6056" t="str">
            <v/>
          </cell>
          <cell r="V6056" t="str">
            <v/>
          </cell>
          <cell r="Z6056" t="str">
            <v/>
          </cell>
          <cell r="AA6056" t="str">
            <v/>
          </cell>
          <cell r="AB6056" t="str">
            <v/>
          </cell>
          <cell r="AC6056" t="str">
            <v/>
          </cell>
          <cell r="AD6056" t="str">
            <v/>
          </cell>
          <cell r="AY6056" t="str">
            <v/>
          </cell>
          <cell r="AZ6056" t="str">
            <v/>
          </cell>
          <cell r="BA6056" t="str">
            <v/>
          </cell>
        </row>
        <row r="6057">
          <cell r="B6057" t="str">
            <v>-</v>
          </cell>
          <cell r="E6057" t="str">
            <v/>
          </cell>
          <cell r="G6057" t="str">
            <v/>
          </cell>
          <cell r="J6057" t="str">
            <v/>
          </cell>
          <cell r="O6057" t="str">
            <v/>
          </cell>
          <cell r="P6057" t="str">
            <v/>
          </cell>
          <cell r="Q6057" t="str">
            <v/>
          </cell>
          <cell r="S6057" t="str">
            <v/>
          </cell>
          <cell r="V6057" t="str">
            <v/>
          </cell>
          <cell r="Z6057" t="str">
            <v/>
          </cell>
          <cell r="AA6057" t="str">
            <v/>
          </cell>
          <cell r="AB6057" t="str">
            <v/>
          </cell>
          <cell r="AC6057" t="str">
            <v/>
          </cell>
          <cell r="AD6057" t="str">
            <v/>
          </cell>
          <cell r="AY6057" t="str">
            <v/>
          </cell>
          <cell r="AZ6057" t="str">
            <v/>
          </cell>
          <cell r="BA6057" t="str">
            <v/>
          </cell>
        </row>
        <row r="6058">
          <cell r="B6058" t="str">
            <v>-</v>
          </cell>
          <cell r="E6058" t="str">
            <v/>
          </cell>
          <cell r="G6058" t="str">
            <v/>
          </cell>
          <cell r="J6058" t="str">
            <v/>
          </cell>
          <cell r="O6058" t="str">
            <v/>
          </cell>
          <cell r="P6058" t="str">
            <v/>
          </cell>
          <cell r="Q6058" t="str">
            <v/>
          </cell>
          <cell r="S6058" t="str">
            <v/>
          </cell>
          <cell r="V6058" t="str">
            <v/>
          </cell>
          <cell r="Z6058" t="str">
            <v/>
          </cell>
          <cell r="AA6058" t="str">
            <v/>
          </cell>
          <cell r="AB6058" t="str">
            <v/>
          </cell>
          <cell r="AC6058" t="str">
            <v/>
          </cell>
          <cell r="AD6058" t="str">
            <v/>
          </cell>
          <cell r="AY6058" t="str">
            <v/>
          </cell>
          <cell r="AZ6058" t="str">
            <v/>
          </cell>
          <cell r="BA6058" t="str">
            <v/>
          </cell>
        </row>
        <row r="6059">
          <cell r="B6059" t="str">
            <v>-</v>
          </cell>
          <cell r="E6059" t="str">
            <v/>
          </cell>
          <cell r="G6059" t="str">
            <v/>
          </cell>
          <cell r="J6059" t="str">
            <v/>
          </cell>
          <cell r="O6059" t="str">
            <v/>
          </cell>
          <cell r="P6059" t="str">
            <v/>
          </cell>
          <cell r="Q6059" t="str">
            <v/>
          </cell>
          <cell r="S6059" t="str">
            <v/>
          </cell>
          <cell r="V6059" t="str">
            <v/>
          </cell>
          <cell r="Z6059" t="str">
            <v/>
          </cell>
          <cell r="AA6059" t="str">
            <v/>
          </cell>
          <cell r="AB6059" t="str">
            <v/>
          </cell>
          <cell r="AC6059" t="str">
            <v/>
          </cell>
          <cell r="AD6059" t="str">
            <v/>
          </cell>
          <cell r="AY6059" t="str">
            <v/>
          </cell>
          <cell r="AZ6059" t="str">
            <v/>
          </cell>
          <cell r="BA6059" t="str">
            <v/>
          </cell>
        </row>
        <row r="6060">
          <cell r="B6060" t="str">
            <v>-</v>
          </cell>
          <cell r="E6060" t="str">
            <v/>
          </cell>
          <cell r="G6060" t="str">
            <v/>
          </cell>
          <cell r="J6060" t="str">
            <v/>
          </cell>
          <cell r="O6060" t="str">
            <v/>
          </cell>
          <cell r="P6060" t="str">
            <v/>
          </cell>
          <cell r="Q6060" t="str">
            <v/>
          </cell>
          <cell r="S6060" t="str">
            <v/>
          </cell>
          <cell r="V6060" t="str">
            <v/>
          </cell>
          <cell r="Z6060" t="str">
            <v/>
          </cell>
          <cell r="AA6060" t="str">
            <v/>
          </cell>
          <cell r="AB6060" t="str">
            <v/>
          </cell>
          <cell r="AC6060" t="str">
            <v/>
          </cell>
          <cell r="AD6060" t="str">
            <v/>
          </cell>
          <cell r="AY6060" t="str">
            <v/>
          </cell>
          <cell r="AZ6060" t="str">
            <v/>
          </cell>
          <cell r="BA6060" t="str">
            <v/>
          </cell>
        </row>
        <row r="6061">
          <cell r="B6061" t="str">
            <v>-</v>
          </cell>
          <cell r="E6061" t="str">
            <v/>
          </cell>
          <cell r="G6061" t="str">
            <v/>
          </cell>
          <cell r="J6061" t="str">
            <v/>
          </cell>
          <cell r="O6061" t="str">
            <v/>
          </cell>
          <cell r="P6061" t="str">
            <v/>
          </cell>
          <cell r="Q6061" t="str">
            <v/>
          </cell>
          <cell r="S6061" t="str">
            <v/>
          </cell>
          <cell r="V6061" t="str">
            <v/>
          </cell>
          <cell r="Z6061" t="str">
            <v/>
          </cell>
          <cell r="AA6061" t="str">
            <v/>
          </cell>
          <cell r="AB6061" t="str">
            <v/>
          </cell>
          <cell r="AC6061" t="str">
            <v/>
          </cell>
          <cell r="AD6061" t="str">
            <v/>
          </cell>
          <cell r="AY6061" t="str">
            <v/>
          </cell>
          <cell r="AZ6061" t="str">
            <v/>
          </cell>
          <cell r="BA6061" t="str">
            <v/>
          </cell>
        </row>
        <row r="6062">
          <cell r="B6062" t="str">
            <v>-</v>
          </cell>
          <cell r="E6062" t="str">
            <v/>
          </cell>
          <cell r="G6062" t="str">
            <v/>
          </cell>
          <cell r="J6062" t="str">
            <v/>
          </cell>
          <cell r="O6062" t="str">
            <v/>
          </cell>
          <cell r="P6062" t="str">
            <v/>
          </cell>
          <cell r="Q6062" t="str">
            <v/>
          </cell>
          <cell r="S6062" t="str">
            <v/>
          </cell>
          <cell r="V6062" t="str">
            <v/>
          </cell>
          <cell r="Z6062" t="str">
            <v/>
          </cell>
          <cell r="AA6062" t="str">
            <v/>
          </cell>
          <cell r="AB6062" t="str">
            <v/>
          </cell>
          <cell r="AC6062" t="str">
            <v/>
          </cell>
          <cell r="AD6062" t="str">
            <v/>
          </cell>
          <cell r="AY6062" t="str">
            <v/>
          </cell>
          <cell r="AZ6062" t="str">
            <v/>
          </cell>
          <cell r="BA6062" t="str">
            <v/>
          </cell>
        </row>
        <row r="6063">
          <cell r="B6063" t="str">
            <v>-</v>
          </cell>
          <cell r="E6063" t="str">
            <v/>
          </cell>
          <cell r="G6063" t="str">
            <v/>
          </cell>
          <cell r="J6063" t="str">
            <v/>
          </cell>
          <cell r="O6063" t="str">
            <v/>
          </cell>
          <cell r="P6063" t="str">
            <v/>
          </cell>
          <cell r="Q6063" t="str">
            <v/>
          </cell>
          <cell r="S6063" t="str">
            <v/>
          </cell>
          <cell r="V6063" t="str">
            <v/>
          </cell>
          <cell r="Z6063" t="str">
            <v/>
          </cell>
          <cell r="AA6063" t="str">
            <v/>
          </cell>
          <cell r="AB6063" t="str">
            <v/>
          </cell>
          <cell r="AC6063" t="str">
            <v/>
          </cell>
          <cell r="AD6063" t="str">
            <v/>
          </cell>
          <cell r="AY6063" t="str">
            <v/>
          </cell>
          <cell r="AZ6063" t="str">
            <v/>
          </cell>
          <cell r="BA6063" t="str">
            <v/>
          </cell>
        </row>
        <row r="6064">
          <cell r="B6064" t="str">
            <v>-</v>
          </cell>
          <cell r="E6064" t="str">
            <v/>
          </cell>
          <cell r="G6064" t="str">
            <v/>
          </cell>
          <cell r="J6064" t="str">
            <v/>
          </cell>
          <cell r="O6064" t="str">
            <v/>
          </cell>
          <cell r="P6064" t="str">
            <v/>
          </cell>
          <cell r="Q6064" t="str">
            <v/>
          </cell>
          <cell r="S6064" t="str">
            <v/>
          </cell>
          <cell r="V6064" t="str">
            <v/>
          </cell>
          <cell r="Z6064" t="str">
            <v/>
          </cell>
          <cell r="AA6064" t="str">
            <v/>
          </cell>
          <cell r="AB6064" t="str">
            <v/>
          </cell>
          <cell r="AC6064" t="str">
            <v/>
          </cell>
          <cell r="AD6064" t="str">
            <v/>
          </cell>
          <cell r="AY6064" t="str">
            <v/>
          </cell>
          <cell r="AZ6064" t="str">
            <v/>
          </cell>
          <cell r="BA6064" t="str">
            <v/>
          </cell>
        </row>
        <row r="6065">
          <cell r="B6065" t="str">
            <v>-</v>
          </cell>
          <cell r="E6065" t="str">
            <v/>
          </cell>
          <cell r="G6065" t="str">
            <v/>
          </cell>
          <cell r="J6065" t="str">
            <v/>
          </cell>
          <cell r="O6065" t="str">
            <v/>
          </cell>
          <cell r="P6065" t="str">
            <v/>
          </cell>
          <cell r="Q6065" t="str">
            <v/>
          </cell>
          <cell r="S6065" t="str">
            <v/>
          </cell>
          <cell r="V6065" t="str">
            <v/>
          </cell>
          <cell r="Z6065" t="str">
            <v/>
          </cell>
          <cell r="AA6065" t="str">
            <v/>
          </cell>
          <cell r="AB6065" t="str">
            <v/>
          </cell>
          <cell r="AC6065" t="str">
            <v/>
          </cell>
          <cell r="AD6065" t="str">
            <v/>
          </cell>
          <cell r="AY6065" t="str">
            <v/>
          </cell>
          <cell r="AZ6065" t="str">
            <v/>
          </cell>
          <cell r="BA6065" t="str">
            <v/>
          </cell>
        </row>
        <row r="6066">
          <cell r="B6066" t="str">
            <v>-</v>
          </cell>
          <cell r="E6066" t="str">
            <v/>
          </cell>
          <cell r="G6066" t="str">
            <v/>
          </cell>
          <cell r="J6066" t="str">
            <v/>
          </cell>
          <cell r="O6066" t="str">
            <v/>
          </cell>
          <cell r="P6066" t="str">
            <v/>
          </cell>
          <cell r="Q6066" t="str">
            <v/>
          </cell>
          <cell r="S6066" t="str">
            <v/>
          </cell>
          <cell r="V6066" t="str">
            <v/>
          </cell>
          <cell r="Z6066" t="str">
            <v/>
          </cell>
          <cell r="AA6066" t="str">
            <v/>
          </cell>
          <cell r="AB6066" t="str">
            <v/>
          </cell>
          <cell r="AC6066" t="str">
            <v/>
          </cell>
          <cell r="AD6066" t="str">
            <v/>
          </cell>
          <cell r="AY6066" t="str">
            <v/>
          </cell>
          <cell r="AZ6066" t="str">
            <v/>
          </cell>
          <cell r="BA6066" t="str">
            <v/>
          </cell>
        </row>
        <row r="6067">
          <cell r="B6067" t="str">
            <v>-</v>
          </cell>
          <cell r="E6067" t="str">
            <v/>
          </cell>
          <cell r="G6067" t="str">
            <v/>
          </cell>
          <cell r="J6067" t="str">
            <v/>
          </cell>
          <cell r="O6067" t="str">
            <v/>
          </cell>
          <cell r="P6067" t="str">
            <v/>
          </cell>
          <cell r="Q6067" t="str">
            <v/>
          </cell>
          <cell r="S6067" t="str">
            <v/>
          </cell>
          <cell r="V6067" t="str">
            <v/>
          </cell>
          <cell r="Z6067" t="str">
            <v/>
          </cell>
          <cell r="AA6067" t="str">
            <v/>
          </cell>
          <cell r="AB6067" t="str">
            <v/>
          </cell>
          <cell r="AC6067" t="str">
            <v/>
          </cell>
          <cell r="AD6067" t="str">
            <v/>
          </cell>
          <cell r="AY6067" t="str">
            <v/>
          </cell>
          <cell r="AZ6067" t="str">
            <v/>
          </cell>
          <cell r="BA6067" t="str">
            <v/>
          </cell>
        </row>
        <row r="6068">
          <cell r="B6068" t="str">
            <v>-</v>
          </cell>
          <cell r="E6068" t="str">
            <v/>
          </cell>
          <cell r="G6068" t="str">
            <v/>
          </cell>
          <cell r="J6068" t="str">
            <v/>
          </cell>
          <cell r="O6068" t="str">
            <v/>
          </cell>
          <cell r="P6068" t="str">
            <v/>
          </cell>
          <cell r="Q6068" t="str">
            <v/>
          </cell>
          <cell r="S6068" t="str">
            <v/>
          </cell>
          <cell r="V6068" t="str">
            <v/>
          </cell>
          <cell r="Z6068" t="str">
            <v/>
          </cell>
          <cell r="AA6068" t="str">
            <v/>
          </cell>
          <cell r="AB6068" t="str">
            <v/>
          </cell>
          <cell r="AC6068" t="str">
            <v/>
          </cell>
          <cell r="AD6068" t="str">
            <v/>
          </cell>
          <cell r="AY6068" t="str">
            <v/>
          </cell>
          <cell r="AZ6068" t="str">
            <v/>
          </cell>
          <cell r="BA6068" t="str">
            <v/>
          </cell>
        </row>
        <row r="6069">
          <cell r="B6069" t="str">
            <v>-</v>
          </cell>
          <cell r="E6069" t="str">
            <v/>
          </cell>
          <cell r="G6069" t="str">
            <v/>
          </cell>
          <cell r="J6069" t="str">
            <v/>
          </cell>
          <cell r="O6069" t="str">
            <v/>
          </cell>
          <cell r="P6069" t="str">
            <v/>
          </cell>
          <cell r="Q6069" t="str">
            <v/>
          </cell>
          <cell r="S6069" t="str">
            <v/>
          </cell>
          <cell r="V6069" t="str">
            <v/>
          </cell>
          <cell r="Z6069" t="str">
            <v/>
          </cell>
          <cell r="AA6069" t="str">
            <v/>
          </cell>
          <cell r="AB6069" t="str">
            <v/>
          </cell>
          <cell r="AC6069" t="str">
            <v/>
          </cell>
          <cell r="AD6069" t="str">
            <v/>
          </cell>
          <cell r="AY6069" t="str">
            <v/>
          </cell>
          <cell r="AZ6069" t="str">
            <v/>
          </cell>
          <cell r="BA6069" t="str">
            <v/>
          </cell>
        </row>
        <row r="6070">
          <cell r="B6070" t="str">
            <v>-</v>
          </cell>
          <cell r="E6070" t="str">
            <v/>
          </cell>
          <cell r="G6070" t="str">
            <v/>
          </cell>
          <cell r="J6070" t="str">
            <v/>
          </cell>
          <cell r="O6070" t="str">
            <v/>
          </cell>
          <cell r="P6070" t="str">
            <v/>
          </cell>
          <cell r="Q6070" t="str">
            <v/>
          </cell>
          <cell r="S6070" t="str">
            <v/>
          </cell>
          <cell r="V6070" t="str">
            <v/>
          </cell>
          <cell r="Z6070" t="str">
            <v/>
          </cell>
          <cell r="AA6070" t="str">
            <v/>
          </cell>
          <cell r="AB6070" t="str">
            <v/>
          </cell>
          <cell r="AC6070" t="str">
            <v/>
          </cell>
          <cell r="AD6070" t="str">
            <v/>
          </cell>
          <cell r="AY6070" t="str">
            <v/>
          </cell>
          <cell r="AZ6070" t="str">
            <v/>
          </cell>
          <cell r="BA6070" t="str">
            <v/>
          </cell>
        </row>
        <row r="6071">
          <cell r="B6071" t="str">
            <v>-</v>
          </cell>
          <cell r="E6071" t="str">
            <v/>
          </cell>
          <cell r="G6071" t="str">
            <v/>
          </cell>
          <cell r="J6071" t="str">
            <v/>
          </cell>
          <cell r="O6071" t="str">
            <v/>
          </cell>
          <cell r="P6071" t="str">
            <v/>
          </cell>
          <cell r="Q6071" t="str">
            <v/>
          </cell>
          <cell r="S6071" t="str">
            <v/>
          </cell>
          <cell r="V6071" t="str">
            <v/>
          </cell>
          <cell r="Z6071" t="str">
            <v/>
          </cell>
          <cell r="AA6071" t="str">
            <v/>
          </cell>
          <cell r="AB6071" t="str">
            <v/>
          </cell>
          <cell r="AC6071" t="str">
            <v/>
          </cell>
          <cell r="AD6071" t="str">
            <v/>
          </cell>
          <cell r="AY6071" t="str">
            <v/>
          </cell>
          <cell r="AZ6071" t="str">
            <v/>
          </cell>
          <cell r="BA6071" t="str">
            <v/>
          </cell>
        </row>
        <row r="6072">
          <cell r="B6072" t="str">
            <v>-</v>
          </cell>
          <cell r="E6072" t="str">
            <v/>
          </cell>
          <cell r="G6072" t="str">
            <v/>
          </cell>
          <cell r="J6072" t="str">
            <v/>
          </cell>
          <cell r="O6072" t="str">
            <v/>
          </cell>
          <cell r="P6072" t="str">
            <v/>
          </cell>
          <cell r="Q6072" t="str">
            <v/>
          </cell>
          <cell r="S6072" t="str">
            <v/>
          </cell>
          <cell r="V6072" t="str">
            <v/>
          </cell>
          <cell r="Z6072" t="str">
            <v/>
          </cell>
          <cell r="AA6072" t="str">
            <v/>
          </cell>
          <cell r="AB6072" t="str">
            <v/>
          </cell>
          <cell r="AC6072" t="str">
            <v/>
          </cell>
          <cell r="AD6072" t="str">
            <v/>
          </cell>
          <cell r="AY6072" t="str">
            <v/>
          </cell>
          <cell r="AZ6072" t="str">
            <v/>
          </cell>
          <cell r="BA6072" t="str">
            <v/>
          </cell>
        </row>
        <row r="6073">
          <cell r="B6073" t="str">
            <v>-</v>
          </cell>
          <cell r="E6073" t="str">
            <v/>
          </cell>
          <cell r="G6073" t="str">
            <v/>
          </cell>
          <cell r="J6073" t="str">
            <v/>
          </cell>
          <cell r="O6073" t="str">
            <v/>
          </cell>
          <cell r="P6073" t="str">
            <v/>
          </cell>
          <cell r="Q6073" t="str">
            <v/>
          </cell>
          <cell r="S6073" t="str">
            <v/>
          </cell>
          <cell r="V6073" t="str">
            <v/>
          </cell>
          <cell r="Z6073" t="str">
            <v/>
          </cell>
          <cell r="AA6073" t="str">
            <v/>
          </cell>
          <cell r="AB6073" t="str">
            <v/>
          </cell>
          <cell r="AC6073" t="str">
            <v/>
          </cell>
          <cell r="AD6073" t="str">
            <v/>
          </cell>
          <cell r="AY6073" t="str">
            <v/>
          </cell>
          <cell r="AZ6073" t="str">
            <v/>
          </cell>
          <cell r="BA6073" t="str">
            <v/>
          </cell>
        </row>
        <row r="6074">
          <cell r="B6074" t="str">
            <v>-</v>
          </cell>
          <cell r="E6074" t="str">
            <v/>
          </cell>
          <cell r="G6074" t="str">
            <v/>
          </cell>
          <cell r="J6074" t="str">
            <v/>
          </cell>
          <cell r="O6074" t="str">
            <v/>
          </cell>
          <cell r="P6074" t="str">
            <v/>
          </cell>
          <cell r="Q6074" t="str">
            <v/>
          </cell>
          <cell r="S6074" t="str">
            <v/>
          </cell>
          <cell r="V6074" t="str">
            <v/>
          </cell>
          <cell r="Z6074" t="str">
            <v/>
          </cell>
          <cell r="AA6074" t="str">
            <v/>
          </cell>
          <cell r="AB6074" t="str">
            <v/>
          </cell>
          <cell r="AC6074" t="str">
            <v/>
          </cell>
          <cell r="AD6074" t="str">
            <v/>
          </cell>
          <cell r="AY6074" t="str">
            <v/>
          </cell>
          <cell r="AZ6074" t="str">
            <v/>
          </cell>
          <cell r="BA6074" t="str">
            <v/>
          </cell>
        </row>
        <row r="6075">
          <cell r="B6075" t="str">
            <v>-</v>
          </cell>
          <cell r="E6075" t="str">
            <v/>
          </cell>
          <cell r="G6075" t="str">
            <v/>
          </cell>
          <cell r="J6075" t="str">
            <v/>
          </cell>
          <cell r="O6075" t="str">
            <v/>
          </cell>
          <cell r="P6075" t="str">
            <v/>
          </cell>
          <cell r="Q6075" t="str">
            <v/>
          </cell>
          <cell r="S6075" t="str">
            <v/>
          </cell>
          <cell r="V6075" t="str">
            <v/>
          </cell>
          <cell r="Z6075" t="str">
            <v/>
          </cell>
          <cell r="AA6075" t="str">
            <v/>
          </cell>
          <cell r="AB6075" t="str">
            <v/>
          </cell>
          <cell r="AC6075" t="str">
            <v/>
          </cell>
          <cell r="AD6075" t="str">
            <v/>
          </cell>
          <cell r="AY6075" t="str">
            <v/>
          </cell>
          <cell r="AZ6075" t="str">
            <v/>
          </cell>
          <cell r="BA6075" t="str">
            <v/>
          </cell>
        </row>
        <row r="6076">
          <cell r="B6076" t="str">
            <v>-</v>
          </cell>
          <cell r="E6076" t="str">
            <v/>
          </cell>
          <cell r="G6076" t="str">
            <v/>
          </cell>
          <cell r="J6076" t="str">
            <v/>
          </cell>
          <cell r="O6076" t="str">
            <v/>
          </cell>
          <cell r="P6076" t="str">
            <v/>
          </cell>
          <cell r="Q6076" t="str">
            <v/>
          </cell>
          <cell r="S6076" t="str">
            <v/>
          </cell>
          <cell r="V6076" t="str">
            <v/>
          </cell>
          <cell r="Z6076" t="str">
            <v/>
          </cell>
          <cell r="AA6076" t="str">
            <v/>
          </cell>
          <cell r="AB6076" t="str">
            <v/>
          </cell>
          <cell r="AC6076" t="str">
            <v/>
          </cell>
          <cell r="AD6076" t="str">
            <v/>
          </cell>
          <cell r="AY6076" t="str">
            <v/>
          </cell>
          <cell r="AZ6076" t="str">
            <v/>
          </cell>
          <cell r="BA6076" t="str">
            <v/>
          </cell>
        </row>
        <row r="6077">
          <cell r="B6077" t="str">
            <v>-</v>
          </cell>
          <cell r="E6077" t="str">
            <v/>
          </cell>
          <cell r="G6077" t="str">
            <v/>
          </cell>
          <cell r="J6077" t="str">
            <v/>
          </cell>
          <cell r="O6077" t="str">
            <v/>
          </cell>
          <cell r="P6077" t="str">
            <v/>
          </cell>
          <cell r="Q6077" t="str">
            <v/>
          </cell>
          <cell r="S6077" t="str">
            <v/>
          </cell>
          <cell r="V6077" t="str">
            <v/>
          </cell>
          <cell r="Z6077" t="str">
            <v/>
          </cell>
          <cell r="AA6077" t="str">
            <v/>
          </cell>
          <cell r="AB6077" t="str">
            <v/>
          </cell>
          <cell r="AC6077" t="str">
            <v/>
          </cell>
          <cell r="AD6077" t="str">
            <v/>
          </cell>
          <cell r="AY6077" t="str">
            <v/>
          </cell>
          <cell r="AZ6077" t="str">
            <v/>
          </cell>
          <cell r="BA6077" t="str">
            <v/>
          </cell>
        </row>
        <row r="6078">
          <cell r="B6078" t="str">
            <v>-</v>
          </cell>
          <cell r="E6078" t="str">
            <v/>
          </cell>
          <cell r="G6078" t="str">
            <v/>
          </cell>
          <cell r="J6078" t="str">
            <v/>
          </cell>
          <cell r="O6078" t="str">
            <v/>
          </cell>
          <cell r="P6078" t="str">
            <v/>
          </cell>
          <cell r="Q6078" t="str">
            <v/>
          </cell>
          <cell r="S6078" t="str">
            <v/>
          </cell>
          <cell r="V6078" t="str">
            <v/>
          </cell>
          <cell r="Z6078" t="str">
            <v/>
          </cell>
          <cell r="AA6078" t="str">
            <v/>
          </cell>
          <cell r="AB6078" t="str">
            <v/>
          </cell>
          <cell r="AC6078" t="str">
            <v/>
          </cell>
          <cell r="AD6078" t="str">
            <v/>
          </cell>
          <cell r="AY6078" t="str">
            <v/>
          </cell>
          <cell r="AZ6078" t="str">
            <v/>
          </cell>
          <cell r="BA6078" t="str">
            <v/>
          </cell>
        </row>
        <row r="6079">
          <cell r="B6079" t="str">
            <v>-</v>
          </cell>
          <cell r="E6079" t="str">
            <v/>
          </cell>
          <cell r="G6079" t="str">
            <v/>
          </cell>
          <cell r="J6079" t="str">
            <v/>
          </cell>
          <cell r="O6079" t="str">
            <v/>
          </cell>
          <cell r="P6079" t="str">
            <v/>
          </cell>
          <cell r="Q6079" t="str">
            <v/>
          </cell>
          <cell r="S6079" t="str">
            <v/>
          </cell>
          <cell r="V6079" t="str">
            <v/>
          </cell>
          <cell r="Z6079" t="str">
            <v/>
          </cell>
          <cell r="AA6079" t="str">
            <v/>
          </cell>
          <cell r="AB6079" t="str">
            <v/>
          </cell>
          <cell r="AC6079" t="str">
            <v/>
          </cell>
          <cell r="AD6079" t="str">
            <v/>
          </cell>
          <cell r="AY6079" t="str">
            <v/>
          </cell>
          <cell r="AZ6079" t="str">
            <v/>
          </cell>
          <cell r="BA6079" t="str">
            <v/>
          </cell>
        </row>
        <row r="6080">
          <cell r="B6080" t="str">
            <v>-</v>
          </cell>
          <cell r="E6080" t="str">
            <v/>
          </cell>
          <cell r="G6080" t="str">
            <v/>
          </cell>
          <cell r="J6080" t="str">
            <v/>
          </cell>
          <cell r="O6080" t="str">
            <v/>
          </cell>
          <cell r="P6080" t="str">
            <v/>
          </cell>
          <cell r="Q6080" t="str">
            <v/>
          </cell>
          <cell r="S6080" t="str">
            <v/>
          </cell>
          <cell r="V6080" t="str">
            <v/>
          </cell>
          <cell r="Z6080" t="str">
            <v/>
          </cell>
          <cell r="AA6080" t="str">
            <v/>
          </cell>
          <cell r="AB6080" t="str">
            <v/>
          </cell>
          <cell r="AC6080" t="str">
            <v/>
          </cell>
          <cell r="AD6080" t="str">
            <v/>
          </cell>
          <cell r="AY6080" t="str">
            <v/>
          </cell>
          <cell r="AZ6080" t="str">
            <v/>
          </cell>
          <cell r="BA6080" t="str">
            <v/>
          </cell>
        </row>
        <row r="6081">
          <cell r="B6081" t="str">
            <v>-</v>
          </cell>
          <cell r="E6081" t="str">
            <v/>
          </cell>
          <cell r="G6081" t="str">
            <v/>
          </cell>
          <cell r="J6081" t="str">
            <v/>
          </cell>
          <cell r="O6081" t="str">
            <v/>
          </cell>
          <cell r="P6081" t="str">
            <v/>
          </cell>
          <cell r="Q6081" t="str">
            <v/>
          </cell>
          <cell r="S6081" t="str">
            <v/>
          </cell>
          <cell r="V6081" t="str">
            <v/>
          </cell>
          <cell r="Z6081" t="str">
            <v/>
          </cell>
          <cell r="AA6081" t="str">
            <v/>
          </cell>
          <cell r="AB6081" t="str">
            <v/>
          </cell>
          <cell r="AC6081" t="str">
            <v/>
          </cell>
          <cell r="AD6081" t="str">
            <v/>
          </cell>
          <cell r="AY6081" t="str">
            <v/>
          </cell>
          <cell r="AZ6081" t="str">
            <v/>
          </cell>
          <cell r="BA6081" t="str">
            <v/>
          </cell>
        </row>
        <row r="6082">
          <cell r="B6082" t="str">
            <v>-</v>
          </cell>
          <cell r="E6082" t="str">
            <v/>
          </cell>
          <cell r="G6082" t="str">
            <v/>
          </cell>
          <cell r="J6082" t="str">
            <v/>
          </cell>
          <cell r="O6082" t="str">
            <v/>
          </cell>
          <cell r="P6082" t="str">
            <v/>
          </cell>
          <cell r="Q6082" t="str">
            <v/>
          </cell>
          <cell r="S6082" t="str">
            <v/>
          </cell>
          <cell r="V6082" t="str">
            <v/>
          </cell>
          <cell r="Z6082" t="str">
            <v/>
          </cell>
          <cell r="AA6082" t="str">
            <v/>
          </cell>
          <cell r="AB6082" t="str">
            <v/>
          </cell>
          <cell r="AC6082" t="str">
            <v/>
          </cell>
          <cell r="AD6082" t="str">
            <v/>
          </cell>
          <cell r="AY6082" t="str">
            <v/>
          </cell>
          <cell r="AZ6082" t="str">
            <v/>
          </cell>
          <cell r="BA6082" t="str">
            <v/>
          </cell>
        </row>
        <row r="6083">
          <cell r="B6083" t="str">
            <v>-</v>
          </cell>
          <cell r="E6083" t="str">
            <v/>
          </cell>
          <cell r="G6083" t="str">
            <v/>
          </cell>
          <cell r="J6083" t="str">
            <v/>
          </cell>
          <cell r="O6083" t="str">
            <v/>
          </cell>
          <cell r="P6083" t="str">
            <v/>
          </cell>
          <cell r="Q6083" t="str">
            <v/>
          </cell>
          <cell r="S6083" t="str">
            <v/>
          </cell>
          <cell r="V6083" t="str">
            <v/>
          </cell>
          <cell r="Z6083" t="str">
            <v/>
          </cell>
          <cell r="AA6083" t="str">
            <v/>
          </cell>
          <cell r="AB6083" t="str">
            <v/>
          </cell>
          <cell r="AC6083" t="str">
            <v/>
          </cell>
          <cell r="AD6083" t="str">
            <v/>
          </cell>
          <cell r="AY6083" t="str">
            <v/>
          </cell>
          <cell r="AZ6083" t="str">
            <v/>
          </cell>
          <cell r="BA6083" t="str">
            <v/>
          </cell>
        </row>
        <row r="6084">
          <cell r="B6084" t="str">
            <v>-</v>
          </cell>
          <cell r="E6084" t="str">
            <v/>
          </cell>
          <cell r="G6084" t="str">
            <v/>
          </cell>
          <cell r="J6084" t="str">
            <v/>
          </cell>
          <cell r="O6084" t="str">
            <v/>
          </cell>
          <cell r="P6084" t="str">
            <v/>
          </cell>
          <cell r="Q6084" t="str">
            <v/>
          </cell>
          <cell r="S6084" t="str">
            <v/>
          </cell>
          <cell r="V6084" t="str">
            <v/>
          </cell>
          <cell r="Z6084" t="str">
            <v/>
          </cell>
          <cell r="AA6084" t="str">
            <v/>
          </cell>
          <cell r="AB6084" t="str">
            <v/>
          </cell>
          <cell r="AC6084" t="str">
            <v/>
          </cell>
          <cell r="AD6084" t="str">
            <v/>
          </cell>
          <cell r="AY6084" t="str">
            <v/>
          </cell>
          <cell r="AZ6084" t="str">
            <v/>
          </cell>
          <cell r="BA6084" t="str">
            <v/>
          </cell>
        </row>
        <row r="6085">
          <cell r="B6085" t="str">
            <v>-</v>
          </cell>
          <cell r="E6085" t="str">
            <v/>
          </cell>
          <cell r="G6085" t="str">
            <v/>
          </cell>
          <cell r="J6085" t="str">
            <v/>
          </cell>
          <cell r="O6085" t="str">
            <v/>
          </cell>
          <cell r="P6085" t="str">
            <v/>
          </cell>
          <cell r="Q6085" t="str">
            <v/>
          </cell>
          <cell r="S6085" t="str">
            <v/>
          </cell>
          <cell r="V6085" t="str">
            <v/>
          </cell>
          <cell r="Z6085" t="str">
            <v/>
          </cell>
          <cell r="AA6085" t="str">
            <v/>
          </cell>
          <cell r="AB6085" t="str">
            <v/>
          </cell>
          <cell r="AC6085" t="str">
            <v/>
          </cell>
          <cell r="AD6085" t="str">
            <v/>
          </cell>
          <cell r="AY6085" t="str">
            <v/>
          </cell>
          <cell r="AZ6085" t="str">
            <v/>
          </cell>
          <cell r="BA6085" t="str">
            <v/>
          </cell>
        </row>
        <row r="6086">
          <cell r="B6086" t="str">
            <v>-</v>
          </cell>
          <cell r="E6086" t="str">
            <v/>
          </cell>
          <cell r="G6086" t="str">
            <v/>
          </cell>
          <cell r="J6086" t="str">
            <v/>
          </cell>
          <cell r="O6086" t="str">
            <v/>
          </cell>
          <cell r="P6086" t="str">
            <v/>
          </cell>
          <cell r="Q6086" t="str">
            <v/>
          </cell>
          <cell r="S6086" t="str">
            <v/>
          </cell>
          <cell r="V6086" t="str">
            <v/>
          </cell>
          <cell r="Z6086" t="str">
            <v/>
          </cell>
          <cell r="AA6086" t="str">
            <v/>
          </cell>
          <cell r="AB6086" t="str">
            <v/>
          </cell>
          <cell r="AC6086" t="str">
            <v/>
          </cell>
          <cell r="AD6086" t="str">
            <v/>
          </cell>
          <cell r="AY6086" t="str">
            <v/>
          </cell>
          <cell r="AZ6086" t="str">
            <v/>
          </cell>
          <cell r="BA6086" t="str">
            <v/>
          </cell>
        </row>
        <row r="6087">
          <cell r="B6087" t="str">
            <v>-</v>
          </cell>
          <cell r="E6087" t="str">
            <v/>
          </cell>
          <cell r="G6087" t="str">
            <v/>
          </cell>
          <cell r="J6087" t="str">
            <v/>
          </cell>
          <cell r="O6087" t="str">
            <v/>
          </cell>
          <cell r="P6087" t="str">
            <v/>
          </cell>
          <cell r="Q6087" t="str">
            <v/>
          </cell>
          <cell r="S6087" t="str">
            <v/>
          </cell>
          <cell r="V6087" t="str">
            <v/>
          </cell>
          <cell r="Z6087" t="str">
            <v/>
          </cell>
          <cell r="AA6087" t="str">
            <v/>
          </cell>
          <cell r="AB6087" t="str">
            <v/>
          </cell>
          <cell r="AC6087" t="str">
            <v/>
          </cell>
          <cell r="AD6087" t="str">
            <v/>
          </cell>
          <cell r="AY6087" t="str">
            <v/>
          </cell>
          <cell r="AZ6087" t="str">
            <v/>
          </cell>
          <cell r="BA6087" t="str">
            <v/>
          </cell>
        </row>
        <row r="6088">
          <cell r="B6088" t="str">
            <v>-</v>
          </cell>
          <cell r="E6088" t="str">
            <v/>
          </cell>
          <cell r="G6088" t="str">
            <v/>
          </cell>
          <cell r="J6088" t="str">
            <v/>
          </cell>
          <cell r="O6088" t="str">
            <v/>
          </cell>
          <cell r="P6088" t="str">
            <v/>
          </cell>
          <cell r="Q6088" t="str">
            <v/>
          </cell>
          <cell r="S6088" t="str">
            <v/>
          </cell>
          <cell r="V6088" t="str">
            <v/>
          </cell>
          <cell r="Z6088" t="str">
            <v/>
          </cell>
          <cell r="AA6088" t="str">
            <v/>
          </cell>
          <cell r="AB6088" t="str">
            <v/>
          </cell>
          <cell r="AC6088" t="str">
            <v/>
          </cell>
          <cell r="AD6088" t="str">
            <v/>
          </cell>
          <cell r="AY6088" t="str">
            <v/>
          </cell>
          <cell r="AZ6088" t="str">
            <v/>
          </cell>
          <cell r="BA6088" t="str">
            <v/>
          </cell>
        </row>
        <row r="6089">
          <cell r="B6089" t="str">
            <v>-</v>
          </cell>
          <cell r="E6089" t="str">
            <v/>
          </cell>
          <cell r="G6089" t="str">
            <v/>
          </cell>
          <cell r="J6089" t="str">
            <v/>
          </cell>
          <cell r="O6089" t="str">
            <v/>
          </cell>
          <cell r="P6089" t="str">
            <v/>
          </cell>
          <cell r="Q6089" t="str">
            <v/>
          </cell>
          <cell r="S6089" t="str">
            <v/>
          </cell>
          <cell r="V6089" t="str">
            <v/>
          </cell>
          <cell r="Z6089" t="str">
            <v/>
          </cell>
          <cell r="AA6089" t="str">
            <v/>
          </cell>
          <cell r="AB6089" t="str">
            <v/>
          </cell>
          <cell r="AC6089" t="str">
            <v/>
          </cell>
          <cell r="AD6089" t="str">
            <v/>
          </cell>
          <cell r="AY6089" t="str">
            <v/>
          </cell>
          <cell r="AZ6089" t="str">
            <v/>
          </cell>
          <cell r="BA6089" t="str">
            <v/>
          </cell>
        </row>
        <row r="6090">
          <cell r="B6090" t="str">
            <v>-</v>
          </cell>
          <cell r="E6090" t="str">
            <v/>
          </cell>
          <cell r="G6090" t="str">
            <v/>
          </cell>
          <cell r="J6090" t="str">
            <v/>
          </cell>
          <cell r="O6090" t="str">
            <v/>
          </cell>
          <cell r="P6090" t="str">
            <v/>
          </cell>
          <cell r="Q6090" t="str">
            <v/>
          </cell>
          <cell r="S6090" t="str">
            <v/>
          </cell>
          <cell r="V6090" t="str">
            <v/>
          </cell>
          <cell r="Z6090" t="str">
            <v/>
          </cell>
          <cell r="AA6090" t="str">
            <v/>
          </cell>
          <cell r="AB6090" t="str">
            <v/>
          </cell>
          <cell r="AC6090" t="str">
            <v/>
          </cell>
          <cell r="AD6090" t="str">
            <v/>
          </cell>
          <cell r="AY6090" t="str">
            <v/>
          </cell>
          <cell r="AZ6090" t="str">
            <v/>
          </cell>
          <cell r="BA6090" t="str">
            <v/>
          </cell>
        </row>
        <row r="6091">
          <cell r="B6091" t="str">
            <v>-</v>
          </cell>
          <cell r="E6091" t="str">
            <v/>
          </cell>
          <cell r="G6091" t="str">
            <v/>
          </cell>
          <cell r="J6091" t="str">
            <v/>
          </cell>
          <cell r="O6091" t="str">
            <v/>
          </cell>
          <cell r="P6091" t="str">
            <v/>
          </cell>
          <cell r="Q6091" t="str">
            <v/>
          </cell>
          <cell r="S6091" t="str">
            <v/>
          </cell>
          <cell r="V6091" t="str">
            <v/>
          </cell>
          <cell r="Z6091" t="str">
            <v/>
          </cell>
          <cell r="AA6091" t="str">
            <v/>
          </cell>
          <cell r="AB6091" t="str">
            <v/>
          </cell>
          <cell r="AC6091" t="str">
            <v/>
          </cell>
          <cell r="AD6091" t="str">
            <v/>
          </cell>
          <cell r="AY6091" t="str">
            <v/>
          </cell>
          <cell r="AZ6091" t="str">
            <v/>
          </cell>
          <cell r="BA6091" t="str">
            <v/>
          </cell>
        </row>
        <row r="6092">
          <cell r="B6092" t="str">
            <v>-</v>
          </cell>
          <cell r="E6092" t="str">
            <v/>
          </cell>
          <cell r="G6092" t="str">
            <v/>
          </cell>
          <cell r="J6092" t="str">
            <v/>
          </cell>
          <cell r="O6092" t="str">
            <v/>
          </cell>
          <cell r="P6092" t="str">
            <v/>
          </cell>
          <cell r="Q6092" t="str">
            <v/>
          </cell>
          <cell r="S6092" t="str">
            <v/>
          </cell>
          <cell r="V6092" t="str">
            <v/>
          </cell>
          <cell r="Z6092" t="str">
            <v/>
          </cell>
          <cell r="AA6092" t="str">
            <v/>
          </cell>
          <cell r="AB6092" t="str">
            <v/>
          </cell>
          <cell r="AC6092" t="str">
            <v/>
          </cell>
          <cell r="AD6092" t="str">
            <v/>
          </cell>
          <cell r="AY6092" t="str">
            <v/>
          </cell>
          <cell r="AZ6092" t="str">
            <v/>
          </cell>
          <cell r="BA6092" t="str">
            <v/>
          </cell>
        </row>
        <row r="6093">
          <cell r="B6093" t="str">
            <v>-</v>
          </cell>
          <cell r="E6093" t="str">
            <v/>
          </cell>
          <cell r="G6093" t="str">
            <v/>
          </cell>
          <cell r="J6093" t="str">
            <v/>
          </cell>
          <cell r="O6093" t="str">
            <v/>
          </cell>
          <cell r="P6093" t="str">
            <v/>
          </cell>
          <cell r="Q6093" t="str">
            <v/>
          </cell>
          <cell r="S6093" t="str">
            <v/>
          </cell>
          <cell r="V6093" t="str">
            <v/>
          </cell>
          <cell r="Z6093" t="str">
            <v/>
          </cell>
          <cell r="AA6093" t="str">
            <v/>
          </cell>
          <cell r="AB6093" t="str">
            <v/>
          </cell>
          <cell r="AC6093" t="str">
            <v/>
          </cell>
          <cell r="AD6093" t="str">
            <v/>
          </cell>
          <cell r="AY6093" t="str">
            <v/>
          </cell>
          <cell r="AZ6093" t="str">
            <v/>
          </cell>
          <cell r="BA6093" t="str">
            <v/>
          </cell>
        </row>
        <row r="6094">
          <cell r="B6094" t="str">
            <v>-</v>
          </cell>
          <cell r="E6094" t="str">
            <v/>
          </cell>
          <cell r="G6094" t="str">
            <v/>
          </cell>
          <cell r="J6094" t="str">
            <v/>
          </cell>
          <cell r="O6094" t="str">
            <v/>
          </cell>
          <cell r="P6094" t="str">
            <v/>
          </cell>
          <cell r="Q6094" t="str">
            <v/>
          </cell>
          <cell r="S6094" t="str">
            <v/>
          </cell>
          <cell r="V6094" t="str">
            <v/>
          </cell>
          <cell r="Z6094" t="str">
            <v/>
          </cell>
          <cell r="AA6094" t="str">
            <v/>
          </cell>
          <cell r="AB6094" t="str">
            <v/>
          </cell>
          <cell r="AC6094" t="str">
            <v/>
          </cell>
          <cell r="AD6094" t="str">
            <v/>
          </cell>
          <cell r="AY6094" t="str">
            <v/>
          </cell>
          <cell r="AZ6094" t="str">
            <v/>
          </cell>
          <cell r="BA6094" t="str">
            <v/>
          </cell>
        </row>
        <row r="6095">
          <cell r="B6095" t="str">
            <v>-</v>
          </cell>
          <cell r="E6095" t="str">
            <v/>
          </cell>
          <cell r="G6095" t="str">
            <v/>
          </cell>
          <cell r="J6095" t="str">
            <v/>
          </cell>
          <cell r="O6095" t="str">
            <v/>
          </cell>
          <cell r="P6095" t="str">
            <v/>
          </cell>
          <cell r="Q6095" t="str">
            <v/>
          </cell>
          <cell r="S6095" t="str">
            <v/>
          </cell>
          <cell r="V6095" t="str">
            <v/>
          </cell>
          <cell r="Z6095" t="str">
            <v/>
          </cell>
          <cell r="AA6095" t="str">
            <v/>
          </cell>
          <cell r="AB6095" t="str">
            <v/>
          </cell>
          <cell r="AC6095" t="str">
            <v/>
          </cell>
          <cell r="AD6095" t="str">
            <v/>
          </cell>
          <cell r="AY6095" t="str">
            <v/>
          </cell>
          <cell r="AZ6095" t="str">
            <v/>
          </cell>
          <cell r="BA6095" t="str">
            <v/>
          </cell>
        </row>
        <row r="6096">
          <cell r="B6096" t="str">
            <v>-</v>
          </cell>
          <cell r="E6096" t="str">
            <v/>
          </cell>
          <cell r="G6096" t="str">
            <v/>
          </cell>
          <cell r="J6096" t="str">
            <v/>
          </cell>
          <cell r="O6096" t="str">
            <v/>
          </cell>
          <cell r="P6096" t="str">
            <v/>
          </cell>
          <cell r="Q6096" t="str">
            <v/>
          </cell>
          <cell r="S6096" t="str">
            <v/>
          </cell>
          <cell r="V6096" t="str">
            <v/>
          </cell>
          <cell r="Z6096" t="str">
            <v/>
          </cell>
          <cell r="AA6096" t="str">
            <v/>
          </cell>
          <cell r="AB6096" t="str">
            <v/>
          </cell>
          <cell r="AC6096" t="str">
            <v/>
          </cell>
          <cell r="AD6096" t="str">
            <v/>
          </cell>
          <cell r="AY6096" t="str">
            <v/>
          </cell>
          <cell r="AZ6096" t="str">
            <v/>
          </cell>
          <cell r="BA6096" t="str">
            <v/>
          </cell>
        </row>
        <row r="6097">
          <cell r="B6097" t="str">
            <v>-</v>
          </cell>
          <cell r="E6097" t="str">
            <v/>
          </cell>
          <cell r="G6097" t="str">
            <v/>
          </cell>
          <cell r="J6097" t="str">
            <v/>
          </cell>
          <cell r="O6097" t="str">
            <v/>
          </cell>
          <cell r="P6097" t="str">
            <v/>
          </cell>
          <cell r="Q6097" t="str">
            <v/>
          </cell>
          <cell r="S6097" t="str">
            <v/>
          </cell>
          <cell r="V6097" t="str">
            <v/>
          </cell>
          <cell r="Z6097" t="str">
            <v/>
          </cell>
          <cell r="AA6097" t="str">
            <v/>
          </cell>
          <cell r="AB6097" t="str">
            <v/>
          </cell>
          <cell r="AC6097" t="str">
            <v/>
          </cell>
          <cell r="AD6097" t="str">
            <v/>
          </cell>
          <cell r="AY6097" t="str">
            <v/>
          </cell>
          <cell r="AZ6097" t="str">
            <v/>
          </cell>
          <cell r="BA6097" t="str">
            <v/>
          </cell>
        </row>
        <row r="6098">
          <cell r="B6098" t="str">
            <v>-</v>
          </cell>
          <cell r="E6098" t="str">
            <v/>
          </cell>
          <cell r="G6098" t="str">
            <v/>
          </cell>
          <cell r="J6098" t="str">
            <v/>
          </cell>
          <cell r="O6098" t="str">
            <v/>
          </cell>
          <cell r="P6098" t="str">
            <v/>
          </cell>
          <cell r="Q6098" t="str">
            <v/>
          </cell>
          <cell r="S6098" t="str">
            <v/>
          </cell>
          <cell r="V6098" t="str">
            <v/>
          </cell>
          <cell r="Z6098" t="str">
            <v/>
          </cell>
          <cell r="AA6098" t="str">
            <v/>
          </cell>
          <cell r="AB6098" t="str">
            <v/>
          </cell>
          <cell r="AC6098" t="str">
            <v/>
          </cell>
          <cell r="AD6098" t="str">
            <v/>
          </cell>
          <cell r="AY6098" t="str">
            <v/>
          </cell>
          <cell r="AZ6098" t="str">
            <v/>
          </cell>
          <cell r="BA6098" t="str">
            <v/>
          </cell>
        </row>
        <row r="6099">
          <cell r="B6099" t="str">
            <v>-</v>
          </cell>
          <cell r="E6099" t="str">
            <v/>
          </cell>
          <cell r="G6099" t="str">
            <v/>
          </cell>
          <cell r="J6099" t="str">
            <v/>
          </cell>
          <cell r="O6099" t="str">
            <v/>
          </cell>
          <cell r="P6099" t="str">
            <v/>
          </cell>
          <cell r="Q6099" t="str">
            <v/>
          </cell>
          <cell r="S6099" t="str">
            <v/>
          </cell>
          <cell r="V6099" t="str">
            <v/>
          </cell>
          <cell r="Z6099" t="str">
            <v/>
          </cell>
          <cell r="AA6099" t="str">
            <v/>
          </cell>
          <cell r="AB6099" t="str">
            <v/>
          </cell>
          <cell r="AC6099" t="str">
            <v/>
          </cell>
          <cell r="AD6099" t="str">
            <v/>
          </cell>
          <cell r="AY6099" t="str">
            <v/>
          </cell>
          <cell r="AZ6099" t="str">
            <v/>
          </cell>
          <cell r="BA6099" t="str">
            <v/>
          </cell>
        </row>
        <row r="6100">
          <cell r="B6100" t="str">
            <v>-</v>
          </cell>
          <cell r="E6100" t="str">
            <v/>
          </cell>
          <cell r="G6100" t="str">
            <v/>
          </cell>
          <cell r="J6100" t="str">
            <v/>
          </cell>
          <cell r="O6100" t="str">
            <v/>
          </cell>
          <cell r="P6100" t="str">
            <v/>
          </cell>
          <cell r="Q6100" t="str">
            <v/>
          </cell>
          <cell r="S6100" t="str">
            <v/>
          </cell>
          <cell r="V6100" t="str">
            <v/>
          </cell>
          <cell r="Z6100" t="str">
            <v/>
          </cell>
          <cell r="AA6100" t="str">
            <v/>
          </cell>
          <cell r="AB6100" t="str">
            <v/>
          </cell>
          <cell r="AC6100" t="str">
            <v/>
          </cell>
          <cell r="AD6100" t="str">
            <v/>
          </cell>
          <cell r="AY6100" t="str">
            <v/>
          </cell>
          <cell r="AZ6100" t="str">
            <v/>
          </cell>
          <cell r="BA6100" t="str">
            <v/>
          </cell>
        </row>
        <row r="6101">
          <cell r="B6101" t="str">
            <v>-</v>
          </cell>
          <cell r="E6101" t="str">
            <v/>
          </cell>
          <cell r="G6101" t="str">
            <v/>
          </cell>
          <cell r="J6101" t="str">
            <v/>
          </cell>
          <cell r="O6101" t="str">
            <v/>
          </cell>
          <cell r="P6101" t="str">
            <v/>
          </cell>
          <cell r="Q6101" t="str">
            <v/>
          </cell>
          <cell r="S6101" t="str">
            <v/>
          </cell>
          <cell r="V6101" t="str">
            <v/>
          </cell>
          <cell r="Z6101" t="str">
            <v/>
          </cell>
          <cell r="AA6101" t="str">
            <v/>
          </cell>
          <cell r="AB6101" t="str">
            <v/>
          </cell>
          <cell r="AC6101" t="str">
            <v/>
          </cell>
          <cell r="AD6101" t="str">
            <v/>
          </cell>
          <cell r="AY6101" t="str">
            <v/>
          </cell>
          <cell r="AZ6101" t="str">
            <v/>
          </cell>
          <cell r="BA6101" t="str">
            <v/>
          </cell>
        </row>
        <row r="6102">
          <cell r="B6102" t="str">
            <v>-</v>
          </cell>
          <cell r="E6102" t="str">
            <v/>
          </cell>
          <cell r="G6102" t="str">
            <v/>
          </cell>
          <cell r="J6102" t="str">
            <v/>
          </cell>
          <cell r="O6102" t="str">
            <v/>
          </cell>
          <cell r="P6102" t="str">
            <v/>
          </cell>
          <cell r="Q6102" t="str">
            <v/>
          </cell>
          <cell r="S6102" t="str">
            <v/>
          </cell>
          <cell r="V6102" t="str">
            <v/>
          </cell>
          <cell r="Z6102" t="str">
            <v/>
          </cell>
          <cell r="AA6102" t="str">
            <v/>
          </cell>
          <cell r="AB6102" t="str">
            <v/>
          </cell>
          <cell r="AC6102" t="str">
            <v/>
          </cell>
          <cell r="AD6102" t="str">
            <v/>
          </cell>
          <cell r="AY6102" t="str">
            <v/>
          </cell>
          <cell r="AZ6102" t="str">
            <v/>
          </cell>
          <cell r="BA6102" t="str">
            <v/>
          </cell>
        </row>
        <row r="6103">
          <cell r="B6103" t="str">
            <v>-</v>
          </cell>
          <cell r="E6103" t="str">
            <v/>
          </cell>
          <cell r="G6103" t="str">
            <v/>
          </cell>
          <cell r="J6103" t="str">
            <v/>
          </cell>
          <cell r="O6103" t="str">
            <v/>
          </cell>
          <cell r="P6103" t="str">
            <v/>
          </cell>
          <cell r="Q6103" t="str">
            <v/>
          </cell>
          <cell r="S6103" t="str">
            <v/>
          </cell>
          <cell r="V6103" t="str">
            <v/>
          </cell>
          <cell r="Z6103" t="str">
            <v/>
          </cell>
          <cell r="AA6103" t="str">
            <v/>
          </cell>
          <cell r="AB6103" t="str">
            <v/>
          </cell>
          <cell r="AC6103" t="str">
            <v/>
          </cell>
          <cell r="AD6103" t="str">
            <v/>
          </cell>
          <cell r="AY6103" t="str">
            <v/>
          </cell>
          <cell r="AZ6103" t="str">
            <v/>
          </cell>
          <cell r="BA6103" t="str">
            <v/>
          </cell>
        </row>
        <row r="6104">
          <cell r="B6104" t="str">
            <v>-</v>
          </cell>
          <cell r="E6104" t="str">
            <v/>
          </cell>
          <cell r="G6104" t="str">
            <v/>
          </cell>
          <cell r="J6104" t="str">
            <v/>
          </cell>
          <cell r="O6104" t="str">
            <v/>
          </cell>
          <cell r="P6104" t="str">
            <v/>
          </cell>
          <cell r="Q6104" t="str">
            <v/>
          </cell>
          <cell r="S6104" t="str">
            <v/>
          </cell>
          <cell r="V6104" t="str">
            <v/>
          </cell>
          <cell r="Z6104" t="str">
            <v/>
          </cell>
          <cell r="AA6104" t="str">
            <v/>
          </cell>
          <cell r="AB6104" t="str">
            <v/>
          </cell>
          <cell r="AC6104" t="str">
            <v/>
          </cell>
          <cell r="AD6104" t="str">
            <v/>
          </cell>
          <cell r="AY6104" t="str">
            <v/>
          </cell>
          <cell r="AZ6104" t="str">
            <v/>
          </cell>
          <cell r="BA6104" t="str">
            <v/>
          </cell>
        </row>
        <row r="6105">
          <cell r="B6105" t="str">
            <v>-</v>
          </cell>
          <cell r="E6105" t="str">
            <v/>
          </cell>
          <cell r="G6105" t="str">
            <v/>
          </cell>
          <cell r="J6105" t="str">
            <v/>
          </cell>
          <cell r="O6105" t="str">
            <v/>
          </cell>
          <cell r="P6105" t="str">
            <v/>
          </cell>
          <cell r="Q6105" t="str">
            <v/>
          </cell>
          <cell r="S6105" t="str">
            <v/>
          </cell>
          <cell r="V6105" t="str">
            <v/>
          </cell>
          <cell r="Z6105" t="str">
            <v/>
          </cell>
          <cell r="AA6105" t="str">
            <v/>
          </cell>
          <cell r="AB6105" t="str">
            <v/>
          </cell>
          <cell r="AC6105" t="str">
            <v/>
          </cell>
          <cell r="AD6105" t="str">
            <v/>
          </cell>
          <cell r="AY6105" t="str">
            <v/>
          </cell>
          <cell r="AZ6105" t="str">
            <v/>
          </cell>
          <cell r="BA6105" t="str">
            <v/>
          </cell>
        </row>
        <row r="6106">
          <cell r="B6106" t="str">
            <v>-</v>
          </cell>
          <cell r="E6106" t="str">
            <v/>
          </cell>
          <cell r="G6106" t="str">
            <v/>
          </cell>
          <cell r="J6106" t="str">
            <v/>
          </cell>
          <cell r="O6106" t="str">
            <v/>
          </cell>
          <cell r="P6106" t="str">
            <v/>
          </cell>
          <cell r="Q6106" t="str">
            <v/>
          </cell>
          <cell r="S6106" t="str">
            <v/>
          </cell>
          <cell r="V6106" t="str">
            <v/>
          </cell>
          <cell r="Z6106" t="str">
            <v/>
          </cell>
          <cell r="AA6106" t="str">
            <v/>
          </cell>
          <cell r="AB6106" t="str">
            <v/>
          </cell>
          <cell r="AC6106" t="str">
            <v/>
          </cell>
          <cell r="AD6106" t="str">
            <v/>
          </cell>
          <cell r="AY6106" t="str">
            <v/>
          </cell>
          <cell r="AZ6106" t="str">
            <v/>
          </cell>
          <cell r="BA6106" t="str">
            <v/>
          </cell>
        </row>
        <row r="6107">
          <cell r="B6107" t="str">
            <v>-</v>
          </cell>
          <cell r="E6107" t="str">
            <v/>
          </cell>
          <cell r="G6107" t="str">
            <v/>
          </cell>
          <cell r="J6107" t="str">
            <v/>
          </cell>
          <cell r="O6107" t="str">
            <v/>
          </cell>
          <cell r="P6107" t="str">
            <v/>
          </cell>
          <cell r="Q6107" t="str">
            <v/>
          </cell>
          <cell r="S6107" t="str">
            <v/>
          </cell>
          <cell r="V6107" t="str">
            <v/>
          </cell>
          <cell r="Z6107" t="str">
            <v/>
          </cell>
          <cell r="AA6107" t="str">
            <v/>
          </cell>
          <cell r="AB6107" t="str">
            <v/>
          </cell>
          <cell r="AC6107" t="str">
            <v/>
          </cell>
          <cell r="AD6107" t="str">
            <v/>
          </cell>
          <cell r="AY6107" t="str">
            <v/>
          </cell>
          <cell r="AZ6107" t="str">
            <v/>
          </cell>
          <cell r="BA6107" t="str">
            <v/>
          </cell>
        </row>
        <row r="6108">
          <cell r="B6108" t="str">
            <v>-</v>
          </cell>
          <cell r="E6108" t="str">
            <v/>
          </cell>
          <cell r="G6108" t="str">
            <v/>
          </cell>
          <cell r="J6108" t="str">
            <v/>
          </cell>
          <cell r="O6108" t="str">
            <v/>
          </cell>
          <cell r="P6108" t="str">
            <v/>
          </cell>
          <cell r="Q6108" t="str">
            <v/>
          </cell>
          <cell r="S6108" t="str">
            <v/>
          </cell>
          <cell r="V6108" t="str">
            <v/>
          </cell>
          <cell r="Z6108" t="str">
            <v/>
          </cell>
          <cell r="AA6108" t="str">
            <v/>
          </cell>
          <cell r="AB6108" t="str">
            <v/>
          </cell>
          <cell r="AC6108" t="str">
            <v/>
          </cell>
          <cell r="AD6108" t="str">
            <v/>
          </cell>
          <cell r="AY6108" t="str">
            <v/>
          </cell>
          <cell r="AZ6108" t="str">
            <v/>
          </cell>
          <cell r="BA6108" t="str">
            <v/>
          </cell>
        </row>
        <row r="6109">
          <cell r="B6109" t="str">
            <v>-</v>
          </cell>
          <cell r="E6109" t="str">
            <v/>
          </cell>
          <cell r="G6109" t="str">
            <v/>
          </cell>
          <cell r="J6109" t="str">
            <v/>
          </cell>
          <cell r="O6109" t="str">
            <v/>
          </cell>
          <cell r="P6109" t="str">
            <v/>
          </cell>
          <cell r="Q6109" t="str">
            <v/>
          </cell>
          <cell r="S6109" t="str">
            <v/>
          </cell>
          <cell r="V6109" t="str">
            <v/>
          </cell>
          <cell r="Z6109" t="str">
            <v/>
          </cell>
          <cell r="AA6109" t="str">
            <v/>
          </cell>
          <cell r="AB6109" t="str">
            <v/>
          </cell>
          <cell r="AC6109" t="str">
            <v/>
          </cell>
          <cell r="AD6109" t="str">
            <v/>
          </cell>
          <cell r="AY6109" t="str">
            <v/>
          </cell>
          <cell r="AZ6109" t="str">
            <v/>
          </cell>
          <cell r="BA6109" t="str">
            <v/>
          </cell>
        </row>
        <row r="6110">
          <cell r="B6110" t="str">
            <v>-</v>
          </cell>
          <cell r="E6110" t="str">
            <v/>
          </cell>
          <cell r="G6110" t="str">
            <v/>
          </cell>
          <cell r="J6110" t="str">
            <v/>
          </cell>
          <cell r="O6110" t="str">
            <v/>
          </cell>
          <cell r="P6110" t="str">
            <v/>
          </cell>
          <cell r="Q6110" t="str">
            <v/>
          </cell>
          <cell r="S6110" t="str">
            <v/>
          </cell>
          <cell r="V6110" t="str">
            <v/>
          </cell>
          <cell r="Z6110" t="str">
            <v/>
          </cell>
          <cell r="AA6110" t="str">
            <v/>
          </cell>
          <cell r="AB6110" t="str">
            <v/>
          </cell>
          <cell r="AC6110" t="str">
            <v/>
          </cell>
          <cell r="AD6110" t="str">
            <v/>
          </cell>
          <cell r="AY6110" t="str">
            <v/>
          </cell>
          <cell r="AZ6110" t="str">
            <v/>
          </cell>
          <cell r="BA6110" t="str">
            <v/>
          </cell>
        </row>
        <row r="6111">
          <cell r="B6111" t="str">
            <v>-</v>
          </cell>
          <cell r="E6111" t="str">
            <v/>
          </cell>
          <cell r="G6111" t="str">
            <v/>
          </cell>
          <cell r="J6111" t="str">
            <v/>
          </cell>
          <cell r="O6111" t="str">
            <v/>
          </cell>
          <cell r="P6111" t="str">
            <v/>
          </cell>
          <cell r="Q6111" t="str">
            <v/>
          </cell>
          <cell r="S6111" t="str">
            <v/>
          </cell>
          <cell r="V6111" t="str">
            <v/>
          </cell>
          <cell r="Z6111" t="str">
            <v/>
          </cell>
          <cell r="AA6111" t="str">
            <v/>
          </cell>
          <cell r="AB6111" t="str">
            <v/>
          </cell>
          <cell r="AC6111" t="str">
            <v/>
          </cell>
          <cell r="AD6111" t="str">
            <v/>
          </cell>
          <cell r="AY6111" t="str">
            <v/>
          </cell>
          <cell r="AZ6111" t="str">
            <v/>
          </cell>
          <cell r="BA6111" t="str">
            <v/>
          </cell>
        </row>
        <row r="6112">
          <cell r="B6112" t="str">
            <v>-</v>
          </cell>
          <cell r="E6112" t="str">
            <v/>
          </cell>
          <cell r="G6112" t="str">
            <v/>
          </cell>
          <cell r="J6112" t="str">
            <v/>
          </cell>
          <cell r="O6112" t="str">
            <v/>
          </cell>
          <cell r="P6112" t="str">
            <v/>
          </cell>
          <cell r="Q6112" t="str">
            <v/>
          </cell>
          <cell r="S6112" t="str">
            <v/>
          </cell>
          <cell r="V6112" t="str">
            <v/>
          </cell>
          <cell r="Z6112" t="str">
            <v/>
          </cell>
          <cell r="AA6112" t="str">
            <v/>
          </cell>
          <cell r="AB6112" t="str">
            <v/>
          </cell>
          <cell r="AC6112" t="str">
            <v/>
          </cell>
          <cell r="AD6112" t="str">
            <v/>
          </cell>
          <cell r="AY6112" t="str">
            <v/>
          </cell>
          <cell r="AZ6112" t="str">
            <v/>
          </cell>
          <cell r="BA6112" t="str">
            <v/>
          </cell>
        </row>
        <row r="6113">
          <cell r="B6113" t="str">
            <v>-</v>
          </cell>
          <cell r="E6113" t="str">
            <v/>
          </cell>
          <cell r="G6113" t="str">
            <v/>
          </cell>
          <cell r="J6113" t="str">
            <v/>
          </cell>
          <cell r="O6113" t="str">
            <v/>
          </cell>
          <cell r="P6113" t="str">
            <v/>
          </cell>
          <cell r="Q6113" t="str">
            <v/>
          </cell>
          <cell r="S6113" t="str">
            <v/>
          </cell>
          <cell r="V6113" t="str">
            <v/>
          </cell>
          <cell r="Z6113" t="str">
            <v/>
          </cell>
          <cell r="AA6113" t="str">
            <v/>
          </cell>
          <cell r="AB6113" t="str">
            <v/>
          </cell>
          <cell r="AC6113" t="str">
            <v/>
          </cell>
          <cell r="AD6113" t="str">
            <v/>
          </cell>
          <cell r="AY6113" t="str">
            <v/>
          </cell>
          <cell r="AZ6113" t="str">
            <v/>
          </cell>
          <cell r="BA6113" t="str">
            <v/>
          </cell>
        </row>
        <row r="6114">
          <cell r="B6114" t="str">
            <v>-</v>
          </cell>
          <cell r="E6114" t="str">
            <v/>
          </cell>
          <cell r="G6114" t="str">
            <v/>
          </cell>
          <cell r="J6114" t="str">
            <v/>
          </cell>
          <cell r="O6114" t="str">
            <v/>
          </cell>
          <cell r="P6114" t="str">
            <v/>
          </cell>
          <cell r="Q6114" t="str">
            <v/>
          </cell>
          <cell r="S6114" t="str">
            <v/>
          </cell>
          <cell r="V6114" t="str">
            <v/>
          </cell>
          <cell r="Z6114" t="str">
            <v/>
          </cell>
          <cell r="AA6114" t="str">
            <v/>
          </cell>
          <cell r="AB6114" t="str">
            <v/>
          </cell>
          <cell r="AC6114" t="str">
            <v/>
          </cell>
          <cell r="AD6114" t="str">
            <v/>
          </cell>
          <cell r="AY6114" t="str">
            <v/>
          </cell>
          <cell r="AZ6114" t="str">
            <v/>
          </cell>
          <cell r="BA6114" t="str">
            <v/>
          </cell>
        </row>
        <row r="6115">
          <cell r="B6115" t="str">
            <v>-</v>
          </cell>
          <cell r="E6115" t="str">
            <v/>
          </cell>
          <cell r="G6115" t="str">
            <v/>
          </cell>
          <cell r="J6115" t="str">
            <v/>
          </cell>
          <cell r="O6115" t="str">
            <v/>
          </cell>
          <cell r="P6115" t="str">
            <v/>
          </cell>
          <cell r="Q6115" t="str">
            <v/>
          </cell>
          <cell r="S6115" t="str">
            <v/>
          </cell>
          <cell r="V6115" t="str">
            <v/>
          </cell>
          <cell r="Z6115" t="str">
            <v/>
          </cell>
          <cell r="AA6115" t="str">
            <v/>
          </cell>
          <cell r="AB6115" t="str">
            <v/>
          </cell>
          <cell r="AC6115" t="str">
            <v/>
          </cell>
          <cell r="AD6115" t="str">
            <v/>
          </cell>
          <cell r="AY6115" t="str">
            <v/>
          </cell>
          <cell r="AZ6115" t="str">
            <v/>
          </cell>
          <cell r="BA6115" t="str">
            <v/>
          </cell>
        </row>
        <row r="6116">
          <cell r="B6116" t="str">
            <v>-</v>
          </cell>
          <cell r="E6116" t="str">
            <v/>
          </cell>
          <cell r="G6116" t="str">
            <v/>
          </cell>
          <cell r="J6116" t="str">
            <v/>
          </cell>
          <cell r="O6116" t="str">
            <v/>
          </cell>
          <cell r="P6116" t="str">
            <v/>
          </cell>
          <cell r="Q6116" t="str">
            <v/>
          </cell>
          <cell r="S6116" t="str">
            <v/>
          </cell>
          <cell r="V6116" t="str">
            <v/>
          </cell>
          <cell r="Z6116" t="str">
            <v/>
          </cell>
          <cell r="AA6116" t="str">
            <v/>
          </cell>
          <cell r="AB6116" t="str">
            <v/>
          </cell>
          <cell r="AC6116" t="str">
            <v/>
          </cell>
          <cell r="AD6116" t="str">
            <v/>
          </cell>
          <cell r="AY6116" t="str">
            <v/>
          </cell>
          <cell r="AZ6116" t="str">
            <v/>
          </cell>
          <cell r="BA6116" t="str">
            <v/>
          </cell>
        </row>
        <row r="6117">
          <cell r="B6117" t="str">
            <v>-</v>
          </cell>
          <cell r="E6117" t="str">
            <v/>
          </cell>
          <cell r="G6117" t="str">
            <v/>
          </cell>
          <cell r="J6117" t="str">
            <v/>
          </cell>
          <cell r="O6117" t="str">
            <v/>
          </cell>
          <cell r="P6117" t="str">
            <v/>
          </cell>
          <cell r="Q6117" t="str">
            <v/>
          </cell>
          <cell r="S6117" t="str">
            <v/>
          </cell>
          <cell r="V6117" t="str">
            <v/>
          </cell>
          <cell r="Z6117" t="str">
            <v/>
          </cell>
          <cell r="AA6117" t="str">
            <v/>
          </cell>
          <cell r="AB6117" t="str">
            <v/>
          </cell>
          <cell r="AC6117" t="str">
            <v/>
          </cell>
          <cell r="AD6117" t="str">
            <v/>
          </cell>
          <cell r="AY6117" t="str">
            <v/>
          </cell>
          <cell r="AZ6117" t="str">
            <v/>
          </cell>
          <cell r="BA6117" t="str">
            <v/>
          </cell>
        </row>
        <row r="6118">
          <cell r="B6118" t="str">
            <v>-</v>
          </cell>
          <cell r="E6118" t="str">
            <v/>
          </cell>
          <cell r="G6118" t="str">
            <v/>
          </cell>
          <cell r="J6118" t="str">
            <v/>
          </cell>
          <cell r="O6118" t="str">
            <v/>
          </cell>
          <cell r="P6118" t="str">
            <v/>
          </cell>
          <cell r="Q6118" t="str">
            <v/>
          </cell>
          <cell r="S6118" t="str">
            <v/>
          </cell>
          <cell r="V6118" t="str">
            <v/>
          </cell>
          <cell r="Z6118" t="str">
            <v/>
          </cell>
          <cell r="AA6118" t="str">
            <v/>
          </cell>
          <cell r="AB6118" t="str">
            <v/>
          </cell>
          <cell r="AC6118" t="str">
            <v/>
          </cell>
          <cell r="AD6118" t="str">
            <v/>
          </cell>
          <cell r="AY6118" t="str">
            <v/>
          </cell>
          <cell r="AZ6118" t="str">
            <v/>
          </cell>
          <cell r="BA6118" t="str">
            <v/>
          </cell>
        </row>
        <row r="6119">
          <cell r="B6119" t="str">
            <v>-</v>
          </cell>
          <cell r="E6119" t="str">
            <v/>
          </cell>
          <cell r="G6119" t="str">
            <v/>
          </cell>
          <cell r="J6119" t="str">
            <v/>
          </cell>
          <cell r="O6119" t="str">
            <v/>
          </cell>
          <cell r="P6119" t="str">
            <v/>
          </cell>
          <cell r="Q6119" t="str">
            <v/>
          </cell>
          <cell r="S6119" t="str">
            <v/>
          </cell>
          <cell r="V6119" t="str">
            <v/>
          </cell>
          <cell r="Z6119" t="str">
            <v/>
          </cell>
          <cell r="AA6119" t="str">
            <v/>
          </cell>
          <cell r="AB6119" t="str">
            <v/>
          </cell>
          <cell r="AC6119" t="str">
            <v/>
          </cell>
          <cell r="AD6119" t="str">
            <v/>
          </cell>
          <cell r="AY6119" t="str">
            <v/>
          </cell>
          <cell r="AZ6119" t="str">
            <v/>
          </cell>
          <cell r="BA6119" t="str">
            <v/>
          </cell>
        </row>
        <row r="6120">
          <cell r="B6120" t="str">
            <v>-</v>
          </cell>
          <cell r="E6120" t="str">
            <v/>
          </cell>
          <cell r="G6120" t="str">
            <v/>
          </cell>
          <cell r="J6120" t="str">
            <v/>
          </cell>
          <cell r="O6120" t="str">
            <v/>
          </cell>
          <cell r="P6120" t="str">
            <v/>
          </cell>
          <cell r="Q6120" t="str">
            <v/>
          </cell>
          <cell r="S6120" t="str">
            <v/>
          </cell>
          <cell r="V6120" t="str">
            <v/>
          </cell>
          <cell r="Z6120" t="str">
            <v/>
          </cell>
          <cell r="AA6120" t="str">
            <v/>
          </cell>
          <cell r="AB6120" t="str">
            <v/>
          </cell>
          <cell r="AC6120" t="str">
            <v/>
          </cell>
          <cell r="AD6120" t="str">
            <v/>
          </cell>
          <cell r="AY6120" t="str">
            <v/>
          </cell>
          <cell r="AZ6120" t="str">
            <v/>
          </cell>
          <cell r="BA6120" t="str">
            <v/>
          </cell>
        </row>
        <row r="6121">
          <cell r="B6121" t="str">
            <v>-</v>
          </cell>
          <cell r="E6121" t="str">
            <v/>
          </cell>
          <cell r="G6121" t="str">
            <v/>
          </cell>
          <cell r="J6121" t="str">
            <v/>
          </cell>
          <cell r="O6121" t="str">
            <v/>
          </cell>
          <cell r="P6121" t="str">
            <v/>
          </cell>
          <cell r="Q6121" t="str">
            <v/>
          </cell>
          <cell r="S6121" t="str">
            <v/>
          </cell>
          <cell r="V6121" t="str">
            <v/>
          </cell>
          <cell r="Z6121" t="str">
            <v/>
          </cell>
          <cell r="AA6121" t="str">
            <v/>
          </cell>
          <cell r="AB6121" t="str">
            <v/>
          </cell>
          <cell r="AC6121" t="str">
            <v/>
          </cell>
          <cell r="AD6121" t="str">
            <v/>
          </cell>
          <cell r="AY6121" t="str">
            <v/>
          </cell>
          <cell r="AZ6121" t="str">
            <v/>
          </cell>
          <cell r="BA6121" t="str">
            <v/>
          </cell>
        </row>
        <row r="6122">
          <cell r="B6122" t="str">
            <v>-</v>
          </cell>
          <cell r="E6122" t="str">
            <v/>
          </cell>
          <cell r="G6122" t="str">
            <v/>
          </cell>
          <cell r="J6122" t="str">
            <v/>
          </cell>
          <cell r="O6122" t="str">
            <v/>
          </cell>
          <cell r="P6122" t="str">
            <v/>
          </cell>
          <cell r="Q6122" t="str">
            <v/>
          </cell>
          <cell r="S6122" t="str">
            <v/>
          </cell>
          <cell r="V6122" t="str">
            <v/>
          </cell>
          <cell r="Z6122" t="str">
            <v/>
          </cell>
          <cell r="AA6122" t="str">
            <v/>
          </cell>
          <cell r="AB6122" t="str">
            <v/>
          </cell>
          <cell r="AC6122" t="str">
            <v/>
          </cell>
          <cell r="AD6122" t="str">
            <v/>
          </cell>
          <cell r="AY6122" t="str">
            <v/>
          </cell>
          <cell r="AZ6122" t="str">
            <v/>
          </cell>
          <cell r="BA6122" t="str">
            <v/>
          </cell>
        </row>
        <row r="6123">
          <cell r="B6123" t="str">
            <v>-</v>
          </cell>
          <cell r="E6123" t="str">
            <v/>
          </cell>
          <cell r="G6123" t="str">
            <v/>
          </cell>
          <cell r="J6123" t="str">
            <v/>
          </cell>
          <cell r="O6123" t="str">
            <v/>
          </cell>
          <cell r="P6123" t="str">
            <v/>
          </cell>
          <cell r="Q6123" t="str">
            <v/>
          </cell>
          <cell r="S6123" t="str">
            <v/>
          </cell>
          <cell r="V6123" t="str">
            <v/>
          </cell>
          <cell r="Z6123" t="str">
            <v/>
          </cell>
          <cell r="AA6123" t="str">
            <v/>
          </cell>
          <cell r="AB6123" t="str">
            <v/>
          </cell>
          <cell r="AC6123" t="str">
            <v/>
          </cell>
          <cell r="AD6123" t="str">
            <v/>
          </cell>
          <cell r="AY6123" t="str">
            <v/>
          </cell>
          <cell r="AZ6123" t="str">
            <v/>
          </cell>
          <cell r="BA6123" t="str">
            <v/>
          </cell>
        </row>
        <row r="6124">
          <cell r="B6124" t="str">
            <v>-</v>
          </cell>
          <cell r="E6124" t="str">
            <v/>
          </cell>
          <cell r="G6124" t="str">
            <v/>
          </cell>
          <cell r="J6124" t="str">
            <v/>
          </cell>
          <cell r="O6124" t="str">
            <v/>
          </cell>
          <cell r="P6124" t="str">
            <v/>
          </cell>
          <cell r="Q6124" t="str">
            <v/>
          </cell>
          <cell r="S6124" t="str">
            <v/>
          </cell>
          <cell r="V6124" t="str">
            <v/>
          </cell>
          <cell r="Z6124" t="str">
            <v/>
          </cell>
          <cell r="AA6124" t="str">
            <v/>
          </cell>
          <cell r="AB6124" t="str">
            <v/>
          </cell>
          <cell r="AC6124" t="str">
            <v/>
          </cell>
          <cell r="AD6124" t="str">
            <v/>
          </cell>
          <cell r="AY6124" t="str">
            <v/>
          </cell>
          <cell r="AZ6124" t="str">
            <v/>
          </cell>
          <cell r="BA6124" t="str">
            <v/>
          </cell>
        </row>
        <row r="6125">
          <cell r="B6125" t="str">
            <v>-</v>
          </cell>
          <cell r="E6125" t="str">
            <v/>
          </cell>
          <cell r="G6125" t="str">
            <v/>
          </cell>
          <cell r="J6125" t="str">
            <v/>
          </cell>
          <cell r="O6125" t="str">
            <v/>
          </cell>
          <cell r="P6125" t="str">
            <v/>
          </cell>
          <cell r="Q6125" t="str">
            <v/>
          </cell>
          <cell r="S6125" t="str">
            <v/>
          </cell>
          <cell r="V6125" t="str">
            <v/>
          </cell>
          <cell r="Z6125" t="str">
            <v/>
          </cell>
          <cell r="AA6125" t="str">
            <v/>
          </cell>
          <cell r="AB6125" t="str">
            <v/>
          </cell>
          <cell r="AC6125" t="str">
            <v/>
          </cell>
          <cell r="AD6125" t="str">
            <v/>
          </cell>
          <cell r="AY6125" t="str">
            <v/>
          </cell>
          <cell r="AZ6125" t="str">
            <v/>
          </cell>
          <cell r="BA6125" t="str">
            <v/>
          </cell>
        </row>
        <row r="6126">
          <cell r="B6126" t="str">
            <v>-</v>
          </cell>
          <cell r="E6126" t="str">
            <v/>
          </cell>
          <cell r="G6126" t="str">
            <v/>
          </cell>
          <cell r="J6126" t="str">
            <v/>
          </cell>
          <cell r="O6126" t="str">
            <v/>
          </cell>
          <cell r="P6126" t="str">
            <v/>
          </cell>
          <cell r="Q6126" t="str">
            <v/>
          </cell>
          <cell r="S6126" t="str">
            <v/>
          </cell>
          <cell r="V6126" t="str">
            <v/>
          </cell>
          <cell r="Z6126" t="str">
            <v/>
          </cell>
          <cell r="AA6126" t="str">
            <v/>
          </cell>
          <cell r="AB6126" t="str">
            <v/>
          </cell>
          <cell r="AC6126" t="str">
            <v/>
          </cell>
          <cell r="AD6126" t="str">
            <v/>
          </cell>
          <cell r="AY6126" t="str">
            <v/>
          </cell>
          <cell r="AZ6126" t="str">
            <v/>
          </cell>
          <cell r="BA6126" t="str">
            <v/>
          </cell>
        </row>
        <row r="6127">
          <cell r="B6127" t="str">
            <v>-</v>
          </cell>
          <cell r="E6127" t="str">
            <v/>
          </cell>
          <cell r="G6127" t="str">
            <v/>
          </cell>
          <cell r="J6127" t="str">
            <v/>
          </cell>
          <cell r="O6127" t="str">
            <v/>
          </cell>
          <cell r="P6127" t="str">
            <v/>
          </cell>
          <cell r="Q6127" t="str">
            <v/>
          </cell>
          <cell r="S6127" t="str">
            <v/>
          </cell>
          <cell r="V6127" t="str">
            <v/>
          </cell>
          <cell r="Z6127" t="str">
            <v/>
          </cell>
          <cell r="AA6127" t="str">
            <v/>
          </cell>
          <cell r="AB6127" t="str">
            <v/>
          </cell>
          <cell r="AC6127" t="str">
            <v/>
          </cell>
          <cell r="AD6127" t="str">
            <v/>
          </cell>
          <cell r="AY6127" t="str">
            <v/>
          </cell>
          <cell r="AZ6127" t="str">
            <v/>
          </cell>
          <cell r="BA6127" t="str">
            <v/>
          </cell>
        </row>
        <row r="6128">
          <cell r="B6128" t="str">
            <v>-</v>
          </cell>
          <cell r="E6128" t="str">
            <v/>
          </cell>
          <cell r="G6128" t="str">
            <v/>
          </cell>
          <cell r="J6128" t="str">
            <v/>
          </cell>
          <cell r="O6128" t="str">
            <v/>
          </cell>
          <cell r="P6128" t="str">
            <v/>
          </cell>
          <cell r="Q6128" t="str">
            <v/>
          </cell>
          <cell r="S6128" t="str">
            <v/>
          </cell>
          <cell r="V6128" t="str">
            <v/>
          </cell>
          <cell r="Z6128" t="str">
            <v/>
          </cell>
          <cell r="AA6128" t="str">
            <v/>
          </cell>
          <cell r="AB6128" t="str">
            <v/>
          </cell>
          <cell r="AC6128" t="str">
            <v/>
          </cell>
          <cell r="AD6128" t="str">
            <v/>
          </cell>
          <cell r="AY6128" t="str">
            <v/>
          </cell>
          <cell r="AZ6128" t="str">
            <v/>
          </cell>
          <cell r="BA6128" t="str">
            <v/>
          </cell>
        </row>
        <row r="6129">
          <cell r="B6129" t="str">
            <v>-</v>
          </cell>
          <cell r="E6129" t="str">
            <v/>
          </cell>
          <cell r="G6129" t="str">
            <v/>
          </cell>
          <cell r="J6129" t="str">
            <v/>
          </cell>
          <cell r="O6129" t="str">
            <v/>
          </cell>
          <cell r="P6129" t="str">
            <v/>
          </cell>
          <cell r="Q6129" t="str">
            <v/>
          </cell>
          <cell r="S6129" t="str">
            <v/>
          </cell>
          <cell r="V6129" t="str">
            <v/>
          </cell>
          <cell r="Z6129" t="str">
            <v/>
          </cell>
          <cell r="AA6129" t="str">
            <v/>
          </cell>
          <cell r="AB6129" t="str">
            <v/>
          </cell>
          <cell r="AC6129" t="str">
            <v/>
          </cell>
          <cell r="AD6129" t="str">
            <v/>
          </cell>
          <cell r="AY6129" t="str">
            <v/>
          </cell>
          <cell r="AZ6129" t="str">
            <v/>
          </cell>
          <cell r="BA6129" t="str">
            <v/>
          </cell>
        </row>
        <row r="6130">
          <cell r="B6130" t="str">
            <v>-</v>
          </cell>
          <cell r="E6130" t="str">
            <v/>
          </cell>
          <cell r="G6130" t="str">
            <v/>
          </cell>
          <cell r="J6130" t="str">
            <v/>
          </cell>
          <cell r="O6130" t="str">
            <v/>
          </cell>
          <cell r="P6130" t="str">
            <v/>
          </cell>
          <cell r="Q6130" t="str">
            <v/>
          </cell>
          <cell r="S6130" t="str">
            <v/>
          </cell>
          <cell r="V6130" t="str">
            <v/>
          </cell>
          <cell r="Z6130" t="str">
            <v/>
          </cell>
          <cell r="AA6130" t="str">
            <v/>
          </cell>
          <cell r="AB6130" t="str">
            <v/>
          </cell>
          <cell r="AC6130" t="str">
            <v/>
          </cell>
          <cell r="AD6130" t="str">
            <v/>
          </cell>
          <cell r="AY6130" t="str">
            <v/>
          </cell>
          <cell r="AZ6130" t="str">
            <v/>
          </cell>
          <cell r="BA6130" t="str">
            <v/>
          </cell>
        </row>
        <row r="6131">
          <cell r="B6131" t="str">
            <v>-</v>
          </cell>
          <cell r="E6131" t="str">
            <v/>
          </cell>
          <cell r="G6131" t="str">
            <v/>
          </cell>
          <cell r="J6131" t="str">
            <v/>
          </cell>
          <cell r="O6131" t="str">
            <v/>
          </cell>
          <cell r="P6131" t="str">
            <v/>
          </cell>
          <cell r="Q6131" t="str">
            <v/>
          </cell>
          <cell r="S6131" t="str">
            <v/>
          </cell>
          <cell r="V6131" t="str">
            <v/>
          </cell>
          <cell r="Z6131" t="str">
            <v/>
          </cell>
          <cell r="AA6131" t="str">
            <v/>
          </cell>
          <cell r="AB6131" t="str">
            <v/>
          </cell>
          <cell r="AC6131" t="str">
            <v/>
          </cell>
          <cell r="AD6131" t="str">
            <v/>
          </cell>
          <cell r="AY6131" t="str">
            <v/>
          </cell>
          <cell r="AZ6131" t="str">
            <v/>
          </cell>
          <cell r="BA6131" t="str">
            <v/>
          </cell>
        </row>
        <row r="6132">
          <cell r="B6132" t="str">
            <v>-</v>
          </cell>
          <cell r="E6132" t="str">
            <v/>
          </cell>
          <cell r="G6132" t="str">
            <v/>
          </cell>
          <cell r="J6132" t="str">
            <v/>
          </cell>
          <cell r="O6132" t="str">
            <v/>
          </cell>
          <cell r="P6132" t="str">
            <v/>
          </cell>
          <cell r="Q6132" t="str">
            <v/>
          </cell>
          <cell r="S6132" t="str">
            <v/>
          </cell>
          <cell r="V6132" t="str">
            <v/>
          </cell>
          <cell r="Z6132" t="str">
            <v/>
          </cell>
          <cell r="AA6132" t="str">
            <v/>
          </cell>
          <cell r="AB6132" t="str">
            <v/>
          </cell>
          <cell r="AC6132" t="str">
            <v/>
          </cell>
          <cell r="AD6132" t="str">
            <v/>
          </cell>
          <cell r="AY6132" t="str">
            <v/>
          </cell>
          <cell r="AZ6132" t="str">
            <v/>
          </cell>
          <cell r="BA6132" t="str">
            <v/>
          </cell>
        </row>
        <row r="6133">
          <cell r="B6133" t="str">
            <v>-</v>
          </cell>
          <cell r="E6133" t="str">
            <v/>
          </cell>
          <cell r="G6133" t="str">
            <v/>
          </cell>
          <cell r="J6133" t="str">
            <v/>
          </cell>
          <cell r="O6133" t="str">
            <v/>
          </cell>
          <cell r="P6133" t="str">
            <v/>
          </cell>
          <cell r="Q6133" t="str">
            <v/>
          </cell>
          <cell r="S6133" t="str">
            <v/>
          </cell>
          <cell r="V6133" t="str">
            <v/>
          </cell>
          <cell r="Z6133" t="str">
            <v/>
          </cell>
          <cell r="AA6133" t="str">
            <v/>
          </cell>
          <cell r="AB6133" t="str">
            <v/>
          </cell>
          <cell r="AC6133" t="str">
            <v/>
          </cell>
          <cell r="AD6133" t="str">
            <v/>
          </cell>
          <cell r="AY6133" t="str">
            <v/>
          </cell>
          <cell r="AZ6133" t="str">
            <v/>
          </cell>
          <cell r="BA6133" t="str">
            <v/>
          </cell>
        </row>
        <row r="6134">
          <cell r="B6134" t="str">
            <v>-</v>
          </cell>
          <cell r="E6134" t="str">
            <v/>
          </cell>
          <cell r="G6134" t="str">
            <v/>
          </cell>
          <cell r="J6134" t="str">
            <v/>
          </cell>
          <cell r="O6134" t="str">
            <v/>
          </cell>
          <cell r="P6134" t="str">
            <v/>
          </cell>
          <cell r="Q6134" t="str">
            <v/>
          </cell>
          <cell r="S6134" t="str">
            <v/>
          </cell>
          <cell r="V6134" t="str">
            <v/>
          </cell>
          <cell r="Z6134" t="str">
            <v/>
          </cell>
          <cell r="AA6134" t="str">
            <v/>
          </cell>
          <cell r="AB6134" t="str">
            <v/>
          </cell>
          <cell r="AC6134" t="str">
            <v/>
          </cell>
          <cell r="AD6134" t="str">
            <v/>
          </cell>
          <cell r="AY6134" t="str">
            <v/>
          </cell>
          <cell r="AZ6134" t="str">
            <v/>
          </cell>
          <cell r="BA6134" t="str">
            <v/>
          </cell>
        </row>
        <row r="6135">
          <cell r="B6135" t="str">
            <v>-</v>
          </cell>
          <cell r="E6135" t="str">
            <v/>
          </cell>
          <cell r="G6135" t="str">
            <v/>
          </cell>
          <cell r="J6135" t="str">
            <v/>
          </cell>
          <cell r="O6135" t="str">
            <v/>
          </cell>
          <cell r="P6135" t="str">
            <v/>
          </cell>
          <cell r="Q6135" t="str">
            <v/>
          </cell>
          <cell r="S6135" t="str">
            <v/>
          </cell>
          <cell r="V6135" t="str">
            <v/>
          </cell>
          <cell r="Z6135" t="str">
            <v/>
          </cell>
          <cell r="AA6135" t="str">
            <v/>
          </cell>
          <cell r="AB6135" t="str">
            <v/>
          </cell>
          <cell r="AC6135" t="str">
            <v/>
          </cell>
          <cell r="AD6135" t="str">
            <v/>
          </cell>
          <cell r="AY6135" t="str">
            <v/>
          </cell>
          <cell r="AZ6135" t="str">
            <v/>
          </cell>
          <cell r="BA6135" t="str">
            <v/>
          </cell>
        </row>
        <row r="6136">
          <cell r="B6136" t="str">
            <v>-</v>
          </cell>
          <cell r="E6136" t="str">
            <v/>
          </cell>
          <cell r="G6136" t="str">
            <v/>
          </cell>
          <cell r="J6136" t="str">
            <v/>
          </cell>
          <cell r="O6136" t="str">
            <v/>
          </cell>
          <cell r="P6136" t="str">
            <v/>
          </cell>
          <cell r="Q6136" t="str">
            <v/>
          </cell>
          <cell r="S6136" t="str">
            <v/>
          </cell>
          <cell r="V6136" t="str">
            <v/>
          </cell>
          <cell r="Z6136" t="str">
            <v/>
          </cell>
          <cell r="AA6136" t="str">
            <v/>
          </cell>
          <cell r="AB6136" t="str">
            <v/>
          </cell>
          <cell r="AC6136" t="str">
            <v/>
          </cell>
          <cell r="AD6136" t="str">
            <v/>
          </cell>
          <cell r="AY6136" t="str">
            <v/>
          </cell>
          <cell r="AZ6136" t="str">
            <v/>
          </cell>
          <cell r="BA6136" t="str">
            <v/>
          </cell>
        </row>
        <row r="6137">
          <cell r="B6137" t="str">
            <v>-</v>
          </cell>
          <cell r="E6137" t="str">
            <v/>
          </cell>
          <cell r="G6137" t="str">
            <v/>
          </cell>
          <cell r="J6137" t="str">
            <v/>
          </cell>
          <cell r="O6137" t="str">
            <v/>
          </cell>
          <cell r="P6137" t="str">
            <v/>
          </cell>
          <cell r="Q6137" t="str">
            <v/>
          </cell>
          <cell r="S6137" t="str">
            <v/>
          </cell>
          <cell r="V6137" t="str">
            <v/>
          </cell>
          <cell r="Z6137" t="str">
            <v/>
          </cell>
          <cell r="AA6137" t="str">
            <v/>
          </cell>
          <cell r="AB6137" t="str">
            <v/>
          </cell>
          <cell r="AC6137" t="str">
            <v/>
          </cell>
          <cell r="AD6137" t="str">
            <v/>
          </cell>
          <cell r="AY6137" t="str">
            <v/>
          </cell>
          <cell r="AZ6137" t="str">
            <v/>
          </cell>
          <cell r="BA6137" t="str">
            <v/>
          </cell>
        </row>
        <row r="6138">
          <cell r="B6138" t="str">
            <v>-</v>
          </cell>
          <cell r="E6138" t="str">
            <v/>
          </cell>
          <cell r="G6138" t="str">
            <v/>
          </cell>
          <cell r="J6138" t="str">
            <v/>
          </cell>
          <cell r="O6138" t="str">
            <v/>
          </cell>
          <cell r="P6138" t="str">
            <v/>
          </cell>
          <cell r="Q6138" t="str">
            <v/>
          </cell>
          <cell r="S6138" t="str">
            <v/>
          </cell>
          <cell r="V6138" t="str">
            <v/>
          </cell>
          <cell r="Z6138" t="str">
            <v/>
          </cell>
          <cell r="AA6138" t="str">
            <v/>
          </cell>
          <cell r="AB6138" t="str">
            <v/>
          </cell>
          <cell r="AC6138" t="str">
            <v/>
          </cell>
          <cell r="AD6138" t="str">
            <v/>
          </cell>
          <cell r="AY6138" t="str">
            <v/>
          </cell>
          <cell r="AZ6138" t="str">
            <v/>
          </cell>
          <cell r="BA6138" t="str">
            <v/>
          </cell>
        </row>
        <row r="6139">
          <cell r="B6139" t="str">
            <v>-</v>
          </cell>
          <cell r="E6139" t="str">
            <v/>
          </cell>
          <cell r="G6139" t="str">
            <v/>
          </cell>
          <cell r="J6139" t="str">
            <v/>
          </cell>
          <cell r="O6139" t="str">
            <v/>
          </cell>
          <cell r="P6139" t="str">
            <v/>
          </cell>
          <cell r="Q6139" t="str">
            <v/>
          </cell>
          <cell r="S6139" t="str">
            <v/>
          </cell>
          <cell r="V6139" t="str">
            <v/>
          </cell>
          <cell r="Z6139" t="str">
            <v/>
          </cell>
          <cell r="AA6139" t="str">
            <v/>
          </cell>
          <cell r="AB6139" t="str">
            <v/>
          </cell>
          <cell r="AC6139" t="str">
            <v/>
          </cell>
          <cell r="AD6139" t="str">
            <v/>
          </cell>
          <cell r="AY6139" t="str">
            <v/>
          </cell>
          <cell r="AZ6139" t="str">
            <v/>
          </cell>
          <cell r="BA6139" t="str">
            <v/>
          </cell>
        </row>
        <row r="6140">
          <cell r="B6140" t="str">
            <v>-</v>
          </cell>
          <cell r="E6140" t="str">
            <v/>
          </cell>
          <cell r="G6140" t="str">
            <v/>
          </cell>
          <cell r="J6140" t="str">
            <v/>
          </cell>
          <cell r="O6140" t="str">
            <v/>
          </cell>
          <cell r="P6140" t="str">
            <v/>
          </cell>
          <cell r="Q6140" t="str">
            <v/>
          </cell>
          <cell r="S6140" t="str">
            <v/>
          </cell>
          <cell r="V6140" t="str">
            <v/>
          </cell>
          <cell r="Z6140" t="str">
            <v/>
          </cell>
          <cell r="AA6140" t="str">
            <v/>
          </cell>
          <cell r="AB6140" t="str">
            <v/>
          </cell>
          <cell r="AC6140" t="str">
            <v/>
          </cell>
          <cell r="AD6140" t="str">
            <v/>
          </cell>
          <cell r="AY6140" t="str">
            <v/>
          </cell>
          <cell r="AZ6140" t="str">
            <v/>
          </cell>
          <cell r="BA6140" t="str">
            <v/>
          </cell>
        </row>
        <row r="6141">
          <cell r="B6141" t="str">
            <v>-</v>
          </cell>
          <cell r="E6141" t="str">
            <v/>
          </cell>
          <cell r="G6141" t="str">
            <v/>
          </cell>
          <cell r="J6141" t="str">
            <v/>
          </cell>
          <cell r="O6141" t="str">
            <v/>
          </cell>
          <cell r="P6141" t="str">
            <v/>
          </cell>
          <cell r="Q6141" t="str">
            <v/>
          </cell>
          <cell r="S6141" t="str">
            <v/>
          </cell>
          <cell r="V6141" t="str">
            <v/>
          </cell>
          <cell r="Z6141" t="str">
            <v/>
          </cell>
          <cell r="AA6141" t="str">
            <v/>
          </cell>
          <cell r="AB6141" t="str">
            <v/>
          </cell>
          <cell r="AC6141" t="str">
            <v/>
          </cell>
          <cell r="AD6141" t="str">
            <v/>
          </cell>
          <cell r="AY6141" t="str">
            <v/>
          </cell>
          <cell r="AZ6141" t="str">
            <v/>
          </cell>
          <cell r="BA6141" t="str">
            <v/>
          </cell>
        </row>
        <row r="6142">
          <cell r="B6142" t="str">
            <v>-</v>
          </cell>
          <cell r="E6142" t="str">
            <v/>
          </cell>
          <cell r="G6142" t="str">
            <v/>
          </cell>
          <cell r="J6142" t="str">
            <v/>
          </cell>
          <cell r="O6142" t="str">
            <v/>
          </cell>
          <cell r="P6142" t="str">
            <v/>
          </cell>
          <cell r="Q6142" t="str">
            <v/>
          </cell>
          <cell r="S6142" t="str">
            <v/>
          </cell>
          <cell r="V6142" t="str">
            <v/>
          </cell>
          <cell r="Z6142" t="str">
            <v/>
          </cell>
          <cell r="AA6142" t="str">
            <v/>
          </cell>
          <cell r="AB6142" t="str">
            <v/>
          </cell>
          <cell r="AC6142" t="str">
            <v/>
          </cell>
          <cell r="AD6142" t="str">
            <v/>
          </cell>
          <cell r="AY6142" t="str">
            <v/>
          </cell>
          <cell r="AZ6142" t="str">
            <v/>
          </cell>
          <cell r="BA6142" t="str">
            <v/>
          </cell>
        </row>
        <row r="6143">
          <cell r="B6143" t="str">
            <v>-</v>
          </cell>
          <cell r="E6143" t="str">
            <v/>
          </cell>
          <cell r="G6143" t="str">
            <v/>
          </cell>
          <cell r="J6143" t="str">
            <v/>
          </cell>
          <cell r="O6143" t="str">
            <v/>
          </cell>
          <cell r="P6143" t="str">
            <v/>
          </cell>
          <cell r="Q6143" t="str">
            <v/>
          </cell>
          <cell r="S6143" t="str">
            <v/>
          </cell>
          <cell r="V6143" t="str">
            <v/>
          </cell>
          <cell r="Z6143" t="str">
            <v/>
          </cell>
          <cell r="AA6143" t="str">
            <v/>
          </cell>
          <cell r="AB6143" t="str">
            <v/>
          </cell>
          <cell r="AC6143" t="str">
            <v/>
          </cell>
          <cell r="AD6143" t="str">
            <v/>
          </cell>
          <cell r="AY6143" t="str">
            <v/>
          </cell>
          <cell r="AZ6143" t="str">
            <v/>
          </cell>
          <cell r="BA6143" t="str">
            <v/>
          </cell>
        </row>
        <row r="6144">
          <cell r="B6144" t="str">
            <v>-</v>
          </cell>
          <cell r="E6144" t="str">
            <v/>
          </cell>
          <cell r="G6144" t="str">
            <v/>
          </cell>
          <cell r="J6144" t="str">
            <v/>
          </cell>
          <cell r="O6144" t="str">
            <v/>
          </cell>
          <cell r="P6144" t="str">
            <v/>
          </cell>
          <cell r="Q6144" t="str">
            <v/>
          </cell>
          <cell r="S6144" t="str">
            <v/>
          </cell>
          <cell r="V6144" t="str">
            <v/>
          </cell>
          <cell r="Z6144" t="str">
            <v/>
          </cell>
          <cell r="AA6144" t="str">
            <v/>
          </cell>
          <cell r="AB6144" t="str">
            <v/>
          </cell>
          <cell r="AC6144" t="str">
            <v/>
          </cell>
          <cell r="AD6144" t="str">
            <v/>
          </cell>
          <cell r="AY6144" t="str">
            <v/>
          </cell>
          <cell r="AZ6144" t="str">
            <v/>
          </cell>
          <cell r="BA6144" t="str">
            <v/>
          </cell>
        </row>
        <row r="6145">
          <cell r="B6145" t="str">
            <v>-</v>
          </cell>
          <cell r="E6145" t="str">
            <v/>
          </cell>
          <cell r="G6145" t="str">
            <v/>
          </cell>
          <cell r="J6145" t="str">
            <v/>
          </cell>
          <cell r="O6145" t="str">
            <v/>
          </cell>
          <cell r="P6145" t="str">
            <v/>
          </cell>
          <cell r="Q6145" t="str">
            <v/>
          </cell>
          <cell r="S6145" t="str">
            <v/>
          </cell>
          <cell r="V6145" t="str">
            <v/>
          </cell>
          <cell r="Z6145" t="str">
            <v/>
          </cell>
          <cell r="AA6145" t="str">
            <v/>
          </cell>
          <cell r="AB6145" t="str">
            <v/>
          </cell>
          <cell r="AC6145" t="str">
            <v/>
          </cell>
          <cell r="AD6145" t="str">
            <v/>
          </cell>
          <cell r="AY6145" t="str">
            <v/>
          </cell>
          <cell r="AZ6145" t="str">
            <v/>
          </cell>
          <cell r="BA6145" t="str">
            <v/>
          </cell>
        </row>
        <row r="6146">
          <cell r="B6146" t="str">
            <v>-</v>
          </cell>
          <cell r="E6146" t="str">
            <v/>
          </cell>
          <cell r="G6146" t="str">
            <v/>
          </cell>
          <cell r="J6146" t="str">
            <v/>
          </cell>
          <cell r="O6146" t="str">
            <v/>
          </cell>
          <cell r="P6146" t="str">
            <v/>
          </cell>
          <cell r="Q6146" t="str">
            <v/>
          </cell>
          <cell r="S6146" t="str">
            <v/>
          </cell>
          <cell r="V6146" t="str">
            <v/>
          </cell>
          <cell r="Z6146" t="str">
            <v/>
          </cell>
          <cell r="AA6146" t="str">
            <v/>
          </cell>
          <cell r="AB6146" t="str">
            <v/>
          </cell>
          <cell r="AC6146" t="str">
            <v/>
          </cell>
          <cell r="AD6146" t="str">
            <v/>
          </cell>
          <cell r="AY6146" t="str">
            <v/>
          </cell>
          <cell r="AZ6146" t="str">
            <v/>
          </cell>
          <cell r="BA6146" t="str">
            <v/>
          </cell>
        </row>
        <row r="6147">
          <cell r="B6147" t="str">
            <v>-</v>
          </cell>
          <cell r="E6147" t="str">
            <v/>
          </cell>
          <cell r="G6147" t="str">
            <v/>
          </cell>
          <cell r="J6147" t="str">
            <v/>
          </cell>
          <cell r="O6147" t="str">
            <v/>
          </cell>
          <cell r="P6147" t="str">
            <v/>
          </cell>
          <cell r="Q6147" t="str">
            <v/>
          </cell>
          <cell r="S6147" t="str">
            <v/>
          </cell>
          <cell r="V6147" t="str">
            <v/>
          </cell>
          <cell r="Z6147" t="str">
            <v/>
          </cell>
          <cell r="AA6147" t="str">
            <v/>
          </cell>
          <cell r="AB6147" t="str">
            <v/>
          </cell>
          <cell r="AC6147" t="str">
            <v/>
          </cell>
          <cell r="AD6147" t="str">
            <v/>
          </cell>
          <cell r="AY6147" t="str">
            <v/>
          </cell>
          <cell r="AZ6147" t="str">
            <v/>
          </cell>
          <cell r="BA6147" t="str">
            <v/>
          </cell>
        </row>
        <row r="6148">
          <cell r="B6148" t="str">
            <v>-</v>
          </cell>
          <cell r="E6148" t="str">
            <v/>
          </cell>
          <cell r="G6148" t="str">
            <v/>
          </cell>
          <cell r="J6148" t="str">
            <v/>
          </cell>
          <cell r="O6148" t="str">
            <v/>
          </cell>
          <cell r="P6148" t="str">
            <v/>
          </cell>
          <cell r="Q6148" t="str">
            <v/>
          </cell>
          <cell r="S6148" t="str">
            <v/>
          </cell>
          <cell r="V6148" t="str">
            <v/>
          </cell>
          <cell r="Z6148" t="str">
            <v/>
          </cell>
          <cell r="AA6148" t="str">
            <v/>
          </cell>
          <cell r="AB6148" t="str">
            <v/>
          </cell>
          <cell r="AC6148" t="str">
            <v/>
          </cell>
          <cell r="AD6148" t="str">
            <v/>
          </cell>
          <cell r="AY6148" t="str">
            <v/>
          </cell>
          <cell r="AZ6148" t="str">
            <v/>
          </cell>
          <cell r="BA6148" t="str">
            <v/>
          </cell>
        </row>
        <row r="6149">
          <cell r="B6149" t="str">
            <v>-</v>
          </cell>
          <cell r="E6149" t="str">
            <v/>
          </cell>
          <cell r="G6149" t="str">
            <v/>
          </cell>
          <cell r="J6149" t="str">
            <v/>
          </cell>
          <cell r="O6149" t="str">
            <v/>
          </cell>
          <cell r="P6149" t="str">
            <v/>
          </cell>
          <cell r="Q6149" t="str">
            <v/>
          </cell>
          <cell r="S6149" t="str">
            <v/>
          </cell>
          <cell r="V6149" t="str">
            <v/>
          </cell>
          <cell r="Z6149" t="str">
            <v/>
          </cell>
          <cell r="AA6149" t="str">
            <v/>
          </cell>
          <cell r="AB6149" t="str">
            <v/>
          </cell>
          <cell r="AC6149" t="str">
            <v/>
          </cell>
          <cell r="AD6149" t="str">
            <v/>
          </cell>
          <cell r="AY6149" t="str">
            <v/>
          </cell>
          <cell r="AZ6149" t="str">
            <v/>
          </cell>
          <cell r="BA6149" t="str">
            <v/>
          </cell>
        </row>
        <row r="6150">
          <cell r="B6150" t="str">
            <v>-</v>
          </cell>
          <cell r="E6150" t="str">
            <v/>
          </cell>
          <cell r="G6150" t="str">
            <v/>
          </cell>
          <cell r="J6150" t="str">
            <v/>
          </cell>
          <cell r="O6150" t="str">
            <v/>
          </cell>
          <cell r="P6150" t="str">
            <v/>
          </cell>
          <cell r="Q6150" t="str">
            <v/>
          </cell>
          <cell r="S6150" t="str">
            <v/>
          </cell>
          <cell r="V6150" t="str">
            <v/>
          </cell>
          <cell r="Z6150" t="str">
            <v/>
          </cell>
          <cell r="AA6150" t="str">
            <v/>
          </cell>
          <cell r="AB6150" t="str">
            <v/>
          </cell>
          <cell r="AC6150" t="str">
            <v/>
          </cell>
          <cell r="AD6150" t="str">
            <v/>
          </cell>
          <cell r="AY6150" t="str">
            <v/>
          </cell>
          <cell r="AZ6150" t="str">
            <v/>
          </cell>
          <cell r="BA6150" t="str">
            <v/>
          </cell>
        </row>
        <row r="6151">
          <cell r="B6151" t="str">
            <v>-</v>
          </cell>
          <cell r="E6151" t="str">
            <v/>
          </cell>
          <cell r="G6151" t="str">
            <v/>
          </cell>
          <cell r="J6151" t="str">
            <v/>
          </cell>
          <cell r="O6151" t="str">
            <v/>
          </cell>
          <cell r="P6151" t="str">
            <v/>
          </cell>
          <cell r="Q6151" t="str">
            <v/>
          </cell>
          <cell r="S6151" t="str">
            <v/>
          </cell>
          <cell r="V6151" t="str">
            <v/>
          </cell>
          <cell r="Z6151" t="str">
            <v/>
          </cell>
          <cell r="AA6151" t="str">
            <v/>
          </cell>
          <cell r="AB6151" t="str">
            <v/>
          </cell>
          <cell r="AC6151" t="str">
            <v/>
          </cell>
          <cell r="AD6151" t="str">
            <v/>
          </cell>
          <cell r="AY6151" t="str">
            <v/>
          </cell>
          <cell r="AZ6151" t="str">
            <v/>
          </cell>
          <cell r="BA6151" t="str">
            <v/>
          </cell>
        </row>
        <row r="6152">
          <cell r="B6152" t="str">
            <v>-</v>
          </cell>
          <cell r="E6152" t="str">
            <v/>
          </cell>
          <cell r="G6152" t="str">
            <v/>
          </cell>
          <cell r="J6152" t="str">
            <v/>
          </cell>
          <cell r="O6152" t="str">
            <v/>
          </cell>
          <cell r="P6152" t="str">
            <v/>
          </cell>
          <cell r="Q6152" t="str">
            <v/>
          </cell>
          <cell r="S6152" t="str">
            <v/>
          </cell>
          <cell r="V6152" t="str">
            <v/>
          </cell>
          <cell r="Z6152" t="str">
            <v/>
          </cell>
          <cell r="AA6152" t="str">
            <v/>
          </cell>
          <cell r="AB6152" t="str">
            <v/>
          </cell>
          <cell r="AC6152" t="str">
            <v/>
          </cell>
          <cell r="AD6152" t="str">
            <v/>
          </cell>
          <cell r="AY6152" t="str">
            <v/>
          </cell>
          <cell r="AZ6152" t="str">
            <v/>
          </cell>
          <cell r="BA6152" t="str">
            <v/>
          </cell>
        </row>
        <row r="6153">
          <cell r="B6153" t="str">
            <v>-</v>
          </cell>
          <cell r="E6153" t="str">
            <v/>
          </cell>
          <cell r="G6153" t="str">
            <v/>
          </cell>
          <cell r="J6153" t="str">
            <v/>
          </cell>
          <cell r="O6153" t="str">
            <v/>
          </cell>
          <cell r="P6153" t="str">
            <v/>
          </cell>
          <cell r="Q6153" t="str">
            <v/>
          </cell>
          <cell r="S6153" t="str">
            <v/>
          </cell>
          <cell r="V6153" t="str">
            <v/>
          </cell>
          <cell r="Z6153" t="str">
            <v/>
          </cell>
          <cell r="AA6153" t="str">
            <v/>
          </cell>
          <cell r="AB6153" t="str">
            <v/>
          </cell>
          <cell r="AC6153" t="str">
            <v/>
          </cell>
          <cell r="AD6153" t="str">
            <v/>
          </cell>
          <cell r="AY6153" t="str">
            <v/>
          </cell>
          <cell r="AZ6153" t="str">
            <v/>
          </cell>
          <cell r="BA6153" t="str">
            <v/>
          </cell>
        </row>
        <row r="6154">
          <cell r="B6154" t="str">
            <v>-</v>
          </cell>
          <cell r="E6154" t="str">
            <v/>
          </cell>
          <cell r="G6154" t="str">
            <v/>
          </cell>
          <cell r="J6154" t="str">
            <v/>
          </cell>
          <cell r="O6154" t="str">
            <v/>
          </cell>
          <cell r="P6154" t="str">
            <v/>
          </cell>
          <cell r="Q6154" t="str">
            <v/>
          </cell>
          <cell r="S6154" t="str">
            <v/>
          </cell>
          <cell r="V6154" t="str">
            <v/>
          </cell>
          <cell r="Z6154" t="str">
            <v/>
          </cell>
          <cell r="AA6154" t="str">
            <v/>
          </cell>
          <cell r="AB6154" t="str">
            <v/>
          </cell>
          <cell r="AC6154" t="str">
            <v/>
          </cell>
          <cell r="AD6154" t="str">
            <v/>
          </cell>
          <cell r="AY6154" t="str">
            <v/>
          </cell>
          <cell r="AZ6154" t="str">
            <v/>
          </cell>
          <cell r="BA6154" t="str">
            <v/>
          </cell>
        </row>
        <row r="6155">
          <cell r="B6155" t="str">
            <v>-</v>
          </cell>
          <cell r="E6155" t="str">
            <v/>
          </cell>
          <cell r="G6155" t="str">
            <v/>
          </cell>
          <cell r="J6155" t="str">
            <v/>
          </cell>
          <cell r="O6155" t="str">
            <v/>
          </cell>
          <cell r="P6155" t="str">
            <v/>
          </cell>
          <cell r="Q6155" t="str">
            <v/>
          </cell>
          <cell r="S6155" t="str">
            <v/>
          </cell>
          <cell r="V6155" t="str">
            <v/>
          </cell>
          <cell r="Z6155" t="str">
            <v/>
          </cell>
          <cell r="AA6155" t="str">
            <v/>
          </cell>
          <cell r="AB6155" t="str">
            <v/>
          </cell>
          <cell r="AC6155" t="str">
            <v/>
          </cell>
          <cell r="AD6155" t="str">
            <v/>
          </cell>
          <cell r="AY6155" t="str">
            <v/>
          </cell>
          <cell r="AZ6155" t="str">
            <v/>
          </cell>
          <cell r="BA6155" t="str">
            <v/>
          </cell>
        </row>
        <row r="6156">
          <cell r="B6156" t="str">
            <v>-</v>
          </cell>
          <cell r="E6156" t="str">
            <v/>
          </cell>
          <cell r="G6156" t="str">
            <v/>
          </cell>
          <cell r="J6156" t="str">
            <v/>
          </cell>
          <cell r="O6156" t="str">
            <v/>
          </cell>
          <cell r="P6156" t="str">
            <v/>
          </cell>
          <cell r="Q6156" t="str">
            <v/>
          </cell>
          <cell r="S6156" t="str">
            <v/>
          </cell>
          <cell r="V6156" t="str">
            <v/>
          </cell>
          <cell r="Z6156" t="str">
            <v/>
          </cell>
          <cell r="AA6156" t="str">
            <v/>
          </cell>
          <cell r="AB6156" t="str">
            <v/>
          </cell>
          <cell r="AC6156" t="str">
            <v/>
          </cell>
          <cell r="AD6156" t="str">
            <v/>
          </cell>
          <cell r="AY6156" t="str">
            <v/>
          </cell>
          <cell r="AZ6156" t="str">
            <v/>
          </cell>
          <cell r="BA6156" t="str">
            <v/>
          </cell>
        </row>
        <row r="6157">
          <cell r="B6157" t="str">
            <v>-</v>
          </cell>
          <cell r="E6157" t="str">
            <v/>
          </cell>
          <cell r="G6157" t="str">
            <v/>
          </cell>
          <cell r="J6157" t="str">
            <v/>
          </cell>
          <cell r="O6157" t="str">
            <v/>
          </cell>
          <cell r="P6157" t="str">
            <v/>
          </cell>
          <cell r="Q6157" t="str">
            <v/>
          </cell>
          <cell r="S6157" t="str">
            <v/>
          </cell>
          <cell r="V6157" t="str">
            <v/>
          </cell>
          <cell r="Z6157" t="str">
            <v/>
          </cell>
          <cell r="AA6157" t="str">
            <v/>
          </cell>
          <cell r="AB6157" t="str">
            <v/>
          </cell>
          <cell r="AC6157" t="str">
            <v/>
          </cell>
          <cell r="AD6157" t="str">
            <v/>
          </cell>
          <cell r="AY6157" t="str">
            <v/>
          </cell>
          <cell r="AZ6157" t="str">
            <v/>
          </cell>
          <cell r="BA6157" t="str">
            <v/>
          </cell>
        </row>
        <row r="6158">
          <cell r="B6158" t="str">
            <v>-</v>
          </cell>
          <cell r="E6158" t="str">
            <v/>
          </cell>
          <cell r="G6158" t="str">
            <v/>
          </cell>
          <cell r="J6158" t="str">
            <v/>
          </cell>
          <cell r="O6158" t="str">
            <v/>
          </cell>
          <cell r="P6158" t="str">
            <v/>
          </cell>
          <cell r="Q6158" t="str">
            <v/>
          </cell>
          <cell r="S6158" t="str">
            <v/>
          </cell>
          <cell r="V6158" t="str">
            <v/>
          </cell>
          <cell r="Z6158" t="str">
            <v/>
          </cell>
          <cell r="AA6158" t="str">
            <v/>
          </cell>
          <cell r="AB6158" t="str">
            <v/>
          </cell>
          <cell r="AC6158" t="str">
            <v/>
          </cell>
          <cell r="AD6158" t="str">
            <v/>
          </cell>
          <cell r="AY6158" t="str">
            <v/>
          </cell>
          <cell r="AZ6158" t="str">
            <v/>
          </cell>
          <cell r="BA6158" t="str">
            <v/>
          </cell>
        </row>
        <row r="6159">
          <cell r="B6159" t="str">
            <v>-</v>
          </cell>
          <cell r="E6159" t="str">
            <v/>
          </cell>
          <cell r="G6159" t="str">
            <v/>
          </cell>
          <cell r="J6159" t="str">
            <v/>
          </cell>
          <cell r="O6159" t="str">
            <v/>
          </cell>
          <cell r="P6159" t="str">
            <v/>
          </cell>
          <cell r="Q6159" t="str">
            <v/>
          </cell>
          <cell r="S6159" t="str">
            <v/>
          </cell>
          <cell r="V6159" t="str">
            <v/>
          </cell>
          <cell r="Z6159" t="str">
            <v/>
          </cell>
          <cell r="AA6159" t="str">
            <v/>
          </cell>
          <cell r="AB6159" t="str">
            <v/>
          </cell>
          <cell r="AC6159" t="str">
            <v/>
          </cell>
          <cell r="AD6159" t="str">
            <v/>
          </cell>
          <cell r="AY6159" t="str">
            <v/>
          </cell>
          <cell r="AZ6159" t="str">
            <v/>
          </cell>
          <cell r="BA6159" t="str">
            <v/>
          </cell>
        </row>
        <row r="6160">
          <cell r="B6160" t="str">
            <v>-</v>
          </cell>
          <cell r="E6160" t="str">
            <v/>
          </cell>
          <cell r="G6160" t="str">
            <v/>
          </cell>
          <cell r="J6160" t="str">
            <v/>
          </cell>
          <cell r="O6160" t="str">
            <v/>
          </cell>
          <cell r="P6160" t="str">
            <v/>
          </cell>
          <cell r="Q6160" t="str">
            <v/>
          </cell>
          <cell r="S6160" t="str">
            <v/>
          </cell>
          <cell r="V6160" t="str">
            <v/>
          </cell>
          <cell r="Z6160" t="str">
            <v/>
          </cell>
          <cell r="AA6160" t="str">
            <v/>
          </cell>
          <cell r="AB6160" t="str">
            <v/>
          </cell>
          <cell r="AC6160" t="str">
            <v/>
          </cell>
          <cell r="AD6160" t="str">
            <v/>
          </cell>
          <cell r="AY6160" t="str">
            <v/>
          </cell>
          <cell r="AZ6160" t="str">
            <v/>
          </cell>
          <cell r="BA6160" t="str">
            <v/>
          </cell>
        </row>
        <row r="6161">
          <cell r="B6161" t="str">
            <v>-</v>
          </cell>
          <cell r="E6161" t="str">
            <v/>
          </cell>
          <cell r="G6161" t="str">
            <v/>
          </cell>
          <cell r="J6161" t="str">
            <v/>
          </cell>
          <cell r="O6161" t="str">
            <v/>
          </cell>
          <cell r="P6161" t="str">
            <v/>
          </cell>
          <cell r="Q6161" t="str">
            <v/>
          </cell>
          <cell r="S6161" t="str">
            <v/>
          </cell>
          <cell r="V6161" t="str">
            <v/>
          </cell>
          <cell r="Z6161" t="str">
            <v/>
          </cell>
          <cell r="AA6161" t="str">
            <v/>
          </cell>
          <cell r="AB6161" t="str">
            <v/>
          </cell>
          <cell r="AC6161" t="str">
            <v/>
          </cell>
          <cell r="AD6161" t="str">
            <v/>
          </cell>
          <cell r="AY6161" t="str">
            <v/>
          </cell>
          <cell r="AZ6161" t="str">
            <v/>
          </cell>
          <cell r="BA6161" t="str">
            <v/>
          </cell>
        </row>
        <row r="6162">
          <cell r="B6162" t="str">
            <v>-</v>
          </cell>
          <cell r="E6162" t="str">
            <v/>
          </cell>
          <cell r="G6162" t="str">
            <v/>
          </cell>
          <cell r="J6162" t="str">
            <v/>
          </cell>
          <cell r="O6162" t="str">
            <v/>
          </cell>
          <cell r="P6162" t="str">
            <v/>
          </cell>
          <cell r="Q6162" t="str">
            <v/>
          </cell>
          <cell r="S6162" t="str">
            <v/>
          </cell>
          <cell r="V6162" t="str">
            <v/>
          </cell>
          <cell r="Z6162" t="str">
            <v/>
          </cell>
          <cell r="AA6162" t="str">
            <v/>
          </cell>
          <cell r="AB6162" t="str">
            <v/>
          </cell>
          <cell r="AC6162" t="str">
            <v/>
          </cell>
          <cell r="AD6162" t="str">
            <v/>
          </cell>
          <cell r="AY6162" t="str">
            <v/>
          </cell>
          <cell r="AZ6162" t="str">
            <v/>
          </cell>
          <cell r="BA6162" t="str">
            <v/>
          </cell>
        </row>
        <row r="6163">
          <cell r="B6163" t="str">
            <v>-</v>
          </cell>
          <cell r="E6163" t="str">
            <v/>
          </cell>
          <cell r="G6163" t="str">
            <v/>
          </cell>
          <cell r="J6163" t="str">
            <v/>
          </cell>
          <cell r="O6163" t="str">
            <v/>
          </cell>
          <cell r="P6163" t="str">
            <v/>
          </cell>
          <cell r="Q6163" t="str">
            <v/>
          </cell>
          <cell r="S6163" t="str">
            <v/>
          </cell>
          <cell r="V6163" t="str">
            <v/>
          </cell>
          <cell r="Z6163" t="str">
            <v/>
          </cell>
          <cell r="AA6163" t="str">
            <v/>
          </cell>
          <cell r="AB6163" t="str">
            <v/>
          </cell>
          <cell r="AC6163" t="str">
            <v/>
          </cell>
          <cell r="AD6163" t="str">
            <v/>
          </cell>
          <cell r="AY6163" t="str">
            <v/>
          </cell>
          <cell r="AZ6163" t="str">
            <v/>
          </cell>
          <cell r="BA6163" t="str">
            <v/>
          </cell>
        </row>
        <row r="6164">
          <cell r="B6164" t="str">
            <v>-</v>
          </cell>
          <cell r="E6164" t="str">
            <v/>
          </cell>
          <cell r="G6164" t="str">
            <v/>
          </cell>
          <cell r="J6164" t="str">
            <v/>
          </cell>
          <cell r="O6164" t="str">
            <v/>
          </cell>
          <cell r="P6164" t="str">
            <v/>
          </cell>
          <cell r="Q6164" t="str">
            <v/>
          </cell>
          <cell r="S6164" t="str">
            <v/>
          </cell>
          <cell r="V6164" t="str">
            <v/>
          </cell>
          <cell r="Z6164" t="str">
            <v/>
          </cell>
          <cell r="AA6164" t="str">
            <v/>
          </cell>
          <cell r="AB6164" t="str">
            <v/>
          </cell>
          <cell r="AC6164" t="str">
            <v/>
          </cell>
          <cell r="AD6164" t="str">
            <v/>
          </cell>
          <cell r="AY6164" t="str">
            <v/>
          </cell>
          <cell r="AZ6164" t="str">
            <v/>
          </cell>
          <cell r="BA6164" t="str">
            <v/>
          </cell>
        </row>
        <row r="6165">
          <cell r="B6165" t="str">
            <v>-</v>
          </cell>
          <cell r="E6165" t="str">
            <v/>
          </cell>
          <cell r="G6165" t="str">
            <v/>
          </cell>
          <cell r="J6165" t="str">
            <v/>
          </cell>
          <cell r="O6165" t="str">
            <v/>
          </cell>
          <cell r="P6165" t="str">
            <v/>
          </cell>
          <cell r="Q6165" t="str">
            <v/>
          </cell>
          <cell r="S6165" t="str">
            <v/>
          </cell>
          <cell r="V6165" t="str">
            <v/>
          </cell>
          <cell r="Z6165" t="str">
            <v/>
          </cell>
          <cell r="AA6165" t="str">
            <v/>
          </cell>
          <cell r="AB6165" t="str">
            <v/>
          </cell>
          <cell r="AC6165" t="str">
            <v/>
          </cell>
          <cell r="AD6165" t="str">
            <v/>
          </cell>
          <cell r="AY6165" t="str">
            <v/>
          </cell>
          <cell r="AZ6165" t="str">
            <v/>
          </cell>
          <cell r="BA6165" t="str">
            <v/>
          </cell>
        </row>
        <row r="6166">
          <cell r="B6166" t="str">
            <v>-</v>
          </cell>
          <cell r="E6166" t="str">
            <v/>
          </cell>
          <cell r="G6166" t="str">
            <v/>
          </cell>
          <cell r="J6166" t="str">
            <v/>
          </cell>
          <cell r="O6166" t="str">
            <v/>
          </cell>
          <cell r="P6166" t="str">
            <v/>
          </cell>
          <cell r="Q6166" t="str">
            <v/>
          </cell>
          <cell r="S6166" t="str">
            <v/>
          </cell>
          <cell r="V6166" t="str">
            <v/>
          </cell>
          <cell r="Z6166" t="str">
            <v/>
          </cell>
          <cell r="AA6166" t="str">
            <v/>
          </cell>
          <cell r="AB6166" t="str">
            <v/>
          </cell>
          <cell r="AC6166" t="str">
            <v/>
          </cell>
          <cell r="AD6166" t="str">
            <v/>
          </cell>
          <cell r="AY6166" t="str">
            <v/>
          </cell>
          <cell r="AZ6166" t="str">
            <v/>
          </cell>
          <cell r="BA6166" t="str">
            <v/>
          </cell>
        </row>
        <row r="6167">
          <cell r="B6167" t="str">
            <v>-</v>
          </cell>
          <cell r="E6167" t="str">
            <v/>
          </cell>
          <cell r="G6167" t="str">
            <v/>
          </cell>
          <cell r="J6167" t="str">
            <v/>
          </cell>
          <cell r="O6167" t="str">
            <v/>
          </cell>
          <cell r="P6167" t="str">
            <v/>
          </cell>
          <cell r="Q6167" t="str">
            <v/>
          </cell>
          <cell r="S6167" t="str">
            <v/>
          </cell>
          <cell r="V6167" t="str">
            <v/>
          </cell>
          <cell r="Z6167" t="str">
            <v/>
          </cell>
          <cell r="AA6167" t="str">
            <v/>
          </cell>
          <cell r="AB6167" t="str">
            <v/>
          </cell>
          <cell r="AC6167" t="str">
            <v/>
          </cell>
          <cell r="AD6167" t="str">
            <v/>
          </cell>
          <cell r="AY6167" t="str">
            <v/>
          </cell>
          <cell r="AZ6167" t="str">
            <v/>
          </cell>
          <cell r="BA6167" t="str">
            <v/>
          </cell>
        </row>
        <row r="6168">
          <cell r="B6168" t="str">
            <v>-</v>
          </cell>
          <cell r="E6168" t="str">
            <v/>
          </cell>
          <cell r="G6168" t="str">
            <v/>
          </cell>
          <cell r="J6168" t="str">
            <v/>
          </cell>
          <cell r="O6168" t="str">
            <v/>
          </cell>
          <cell r="P6168" t="str">
            <v/>
          </cell>
          <cell r="Q6168" t="str">
            <v/>
          </cell>
          <cell r="S6168" t="str">
            <v/>
          </cell>
          <cell r="V6168" t="str">
            <v/>
          </cell>
          <cell r="Z6168" t="str">
            <v/>
          </cell>
          <cell r="AA6168" t="str">
            <v/>
          </cell>
          <cell r="AB6168" t="str">
            <v/>
          </cell>
          <cell r="AC6168" t="str">
            <v/>
          </cell>
          <cell r="AD6168" t="str">
            <v/>
          </cell>
          <cell r="AY6168" t="str">
            <v/>
          </cell>
          <cell r="AZ6168" t="str">
            <v/>
          </cell>
          <cell r="BA6168" t="str">
            <v/>
          </cell>
        </row>
        <row r="6169">
          <cell r="B6169" t="str">
            <v>-</v>
          </cell>
          <cell r="E6169" t="str">
            <v/>
          </cell>
          <cell r="G6169" t="str">
            <v/>
          </cell>
          <cell r="J6169" t="str">
            <v/>
          </cell>
          <cell r="O6169" t="str">
            <v/>
          </cell>
          <cell r="P6169" t="str">
            <v/>
          </cell>
          <cell r="Q6169" t="str">
            <v/>
          </cell>
          <cell r="S6169" t="str">
            <v/>
          </cell>
          <cell r="V6169" t="str">
            <v/>
          </cell>
          <cell r="Z6169" t="str">
            <v/>
          </cell>
          <cell r="AA6169" t="str">
            <v/>
          </cell>
          <cell r="AB6169" t="str">
            <v/>
          </cell>
          <cell r="AC6169" t="str">
            <v/>
          </cell>
          <cell r="AD6169" t="str">
            <v/>
          </cell>
          <cell r="AY6169" t="str">
            <v/>
          </cell>
          <cell r="AZ6169" t="str">
            <v/>
          </cell>
          <cell r="BA6169" t="str">
            <v/>
          </cell>
        </row>
        <row r="6170">
          <cell r="B6170" t="str">
            <v>-</v>
          </cell>
          <cell r="E6170" t="str">
            <v/>
          </cell>
          <cell r="G6170" t="str">
            <v/>
          </cell>
          <cell r="J6170" t="str">
            <v/>
          </cell>
          <cell r="O6170" t="str">
            <v/>
          </cell>
          <cell r="P6170" t="str">
            <v/>
          </cell>
          <cell r="Q6170" t="str">
            <v/>
          </cell>
          <cell r="S6170" t="str">
            <v/>
          </cell>
          <cell r="V6170" t="str">
            <v/>
          </cell>
          <cell r="Z6170" t="str">
            <v/>
          </cell>
          <cell r="AA6170" t="str">
            <v/>
          </cell>
          <cell r="AB6170" t="str">
            <v/>
          </cell>
          <cell r="AC6170" t="str">
            <v/>
          </cell>
          <cell r="AD6170" t="str">
            <v/>
          </cell>
          <cell r="AY6170" t="str">
            <v/>
          </cell>
          <cell r="AZ6170" t="str">
            <v/>
          </cell>
          <cell r="BA6170" t="str">
            <v/>
          </cell>
        </row>
        <row r="6171">
          <cell r="B6171" t="str">
            <v>-</v>
          </cell>
          <cell r="E6171" t="str">
            <v/>
          </cell>
          <cell r="G6171" t="str">
            <v/>
          </cell>
          <cell r="J6171" t="str">
            <v/>
          </cell>
          <cell r="O6171" t="str">
            <v/>
          </cell>
          <cell r="P6171" t="str">
            <v/>
          </cell>
          <cell r="Q6171" t="str">
            <v/>
          </cell>
          <cell r="S6171" t="str">
            <v/>
          </cell>
          <cell r="V6171" t="str">
            <v/>
          </cell>
          <cell r="Z6171" t="str">
            <v/>
          </cell>
          <cell r="AA6171" t="str">
            <v/>
          </cell>
          <cell r="AB6171" t="str">
            <v/>
          </cell>
          <cell r="AC6171" t="str">
            <v/>
          </cell>
          <cell r="AD6171" t="str">
            <v/>
          </cell>
          <cell r="AY6171" t="str">
            <v/>
          </cell>
          <cell r="AZ6171" t="str">
            <v/>
          </cell>
          <cell r="BA6171" t="str">
            <v/>
          </cell>
        </row>
        <row r="6172">
          <cell r="B6172" t="str">
            <v>-</v>
          </cell>
          <cell r="E6172" t="str">
            <v/>
          </cell>
          <cell r="G6172" t="str">
            <v/>
          </cell>
          <cell r="J6172" t="str">
            <v/>
          </cell>
          <cell r="O6172" t="str">
            <v/>
          </cell>
          <cell r="P6172" t="str">
            <v/>
          </cell>
          <cell r="Q6172" t="str">
            <v/>
          </cell>
          <cell r="S6172" t="str">
            <v/>
          </cell>
          <cell r="V6172" t="str">
            <v/>
          </cell>
          <cell r="Z6172" t="str">
            <v/>
          </cell>
          <cell r="AA6172" t="str">
            <v/>
          </cell>
          <cell r="AB6172" t="str">
            <v/>
          </cell>
          <cell r="AC6172" t="str">
            <v/>
          </cell>
          <cell r="AD6172" t="str">
            <v/>
          </cell>
          <cell r="AY6172" t="str">
            <v/>
          </cell>
          <cell r="AZ6172" t="str">
            <v/>
          </cell>
          <cell r="BA6172" t="str">
            <v/>
          </cell>
        </row>
        <row r="6173">
          <cell r="B6173" t="str">
            <v>-</v>
          </cell>
          <cell r="E6173" t="str">
            <v/>
          </cell>
          <cell r="G6173" t="str">
            <v/>
          </cell>
          <cell r="J6173" t="str">
            <v/>
          </cell>
          <cell r="O6173" t="str">
            <v/>
          </cell>
          <cell r="P6173" t="str">
            <v/>
          </cell>
          <cell r="Q6173" t="str">
            <v/>
          </cell>
          <cell r="S6173" t="str">
            <v/>
          </cell>
          <cell r="V6173" t="str">
            <v/>
          </cell>
          <cell r="Z6173" t="str">
            <v/>
          </cell>
          <cell r="AA6173" t="str">
            <v/>
          </cell>
          <cell r="AB6173" t="str">
            <v/>
          </cell>
          <cell r="AC6173" t="str">
            <v/>
          </cell>
          <cell r="AD6173" t="str">
            <v/>
          </cell>
          <cell r="AY6173" t="str">
            <v/>
          </cell>
          <cell r="AZ6173" t="str">
            <v/>
          </cell>
          <cell r="BA6173" t="str">
            <v/>
          </cell>
        </row>
        <row r="6174">
          <cell r="B6174" t="str">
            <v>-</v>
          </cell>
          <cell r="E6174" t="str">
            <v/>
          </cell>
          <cell r="G6174" t="str">
            <v/>
          </cell>
          <cell r="J6174" t="str">
            <v/>
          </cell>
          <cell r="O6174" t="str">
            <v/>
          </cell>
          <cell r="P6174" t="str">
            <v/>
          </cell>
          <cell r="Q6174" t="str">
            <v/>
          </cell>
          <cell r="S6174" t="str">
            <v/>
          </cell>
          <cell r="V6174" t="str">
            <v/>
          </cell>
          <cell r="Z6174" t="str">
            <v/>
          </cell>
          <cell r="AA6174" t="str">
            <v/>
          </cell>
          <cell r="AB6174" t="str">
            <v/>
          </cell>
          <cell r="AC6174" t="str">
            <v/>
          </cell>
          <cell r="AD6174" t="str">
            <v/>
          </cell>
          <cell r="AY6174" t="str">
            <v/>
          </cell>
          <cell r="AZ6174" t="str">
            <v/>
          </cell>
          <cell r="BA6174" t="str">
            <v/>
          </cell>
        </row>
        <row r="6175">
          <cell r="B6175" t="str">
            <v>-</v>
          </cell>
          <cell r="E6175" t="str">
            <v/>
          </cell>
          <cell r="G6175" t="str">
            <v/>
          </cell>
          <cell r="J6175" t="str">
            <v/>
          </cell>
          <cell r="O6175" t="str">
            <v/>
          </cell>
          <cell r="P6175" t="str">
            <v/>
          </cell>
          <cell r="Q6175" t="str">
            <v/>
          </cell>
          <cell r="S6175" t="str">
            <v/>
          </cell>
          <cell r="V6175" t="str">
            <v/>
          </cell>
          <cell r="Z6175" t="str">
            <v/>
          </cell>
          <cell r="AA6175" t="str">
            <v/>
          </cell>
          <cell r="AB6175" t="str">
            <v/>
          </cell>
          <cell r="AC6175" t="str">
            <v/>
          </cell>
          <cell r="AD6175" t="str">
            <v/>
          </cell>
          <cell r="AY6175" t="str">
            <v/>
          </cell>
          <cell r="AZ6175" t="str">
            <v/>
          </cell>
          <cell r="BA6175" t="str">
            <v/>
          </cell>
        </row>
        <row r="6176">
          <cell r="B6176" t="str">
            <v>-</v>
          </cell>
          <cell r="E6176" t="str">
            <v/>
          </cell>
          <cell r="G6176" t="str">
            <v/>
          </cell>
          <cell r="J6176" t="str">
            <v/>
          </cell>
          <cell r="O6176" t="str">
            <v/>
          </cell>
          <cell r="P6176" t="str">
            <v/>
          </cell>
          <cell r="Q6176" t="str">
            <v/>
          </cell>
          <cell r="S6176" t="str">
            <v/>
          </cell>
          <cell r="V6176" t="str">
            <v/>
          </cell>
          <cell r="Z6176" t="str">
            <v/>
          </cell>
          <cell r="AA6176" t="str">
            <v/>
          </cell>
          <cell r="AB6176" t="str">
            <v/>
          </cell>
          <cell r="AC6176" t="str">
            <v/>
          </cell>
          <cell r="AD6176" t="str">
            <v/>
          </cell>
          <cell r="AY6176" t="str">
            <v/>
          </cell>
          <cell r="AZ6176" t="str">
            <v/>
          </cell>
          <cell r="BA6176" t="str">
            <v/>
          </cell>
        </row>
        <row r="6177">
          <cell r="B6177" t="str">
            <v>-</v>
          </cell>
          <cell r="E6177" t="str">
            <v/>
          </cell>
          <cell r="G6177" t="str">
            <v/>
          </cell>
          <cell r="J6177" t="str">
            <v/>
          </cell>
          <cell r="O6177" t="str">
            <v/>
          </cell>
          <cell r="P6177" t="str">
            <v/>
          </cell>
          <cell r="Q6177" t="str">
            <v/>
          </cell>
          <cell r="S6177" t="str">
            <v/>
          </cell>
          <cell r="V6177" t="str">
            <v/>
          </cell>
          <cell r="Z6177" t="str">
            <v/>
          </cell>
          <cell r="AA6177" t="str">
            <v/>
          </cell>
          <cell r="AB6177" t="str">
            <v/>
          </cell>
          <cell r="AC6177" t="str">
            <v/>
          </cell>
          <cell r="AD6177" t="str">
            <v/>
          </cell>
          <cell r="AY6177" t="str">
            <v/>
          </cell>
          <cell r="AZ6177" t="str">
            <v/>
          </cell>
          <cell r="BA6177" t="str">
            <v/>
          </cell>
        </row>
        <row r="6178">
          <cell r="B6178" t="str">
            <v>-</v>
          </cell>
          <cell r="E6178" t="str">
            <v/>
          </cell>
          <cell r="G6178" t="str">
            <v/>
          </cell>
          <cell r="J6178" t="str">
            <v/>
          </cell>
          <cell r="O6178" t="str">
            <v/>
          </cell>
          <cell r="P6178" t="str">
            <v/>
          </cell>
          <cell r="Q6178" t="str">
            <v/>
          </cell>
          <cell r="S6178" t="str">
            <v/>
          </cell>
          <cell r="V6178" t="str">
            <v/>
          </cell>
          <cell r="Z6178" t="str">
            <v/>
          </cell>
          <cell r="AA6178" t="str">
            <v/>
          </cell>
          <cell r="AB6178" t="str">
            <v/>
          </cell>
          <cell r="AC6178" t="str">
            <v/>
          </cell>
          <cell r="AD6178" t="str">
            <v/>
          </cell>
          <cell r="AY6178" t="str">
            <v/>
          </cell>
          <cell r="AZ6178" t="str">
            <v/>
          </cell>
          <cell r="BA6178" t="str">
            <v/>
          </cell>
        </row>
        <row r="6179">
          <cell r="B6179" t="str">
            <v>-</v>
          </cell>
          <cell r="E6179" t="str">
            <v/>
          </cell>
          <cell r="G6179" t="str">
            <v/>
          </cell>
          <cell r="J6179" t="str">
            <v/>
          </cell>
          <cell r="O6179" t="str">
            <v/>
          </cell>
          <cell r="P6179" t="str">
            <v/>
          </cell>
          <cell r="Q6179" t="str">
            <v/>
          </cell>
          <cell r="S6179" t="str">
            <v/>
          </cell>
          <cell r="V6179" t="str">
            <v/>
          </cell>
          <cell r="Z6179" t="str">
            <v/>
          </cell>
          <cell r="AA6179" t="str">
            <v/>
          </cell>
          <cell r="AB6179" t="str">
            <v/>
          </cell>
          <cell r="AC6179" t="str">
            <v/>
          </cell>
          <cell r="AD6179" t="str">
            <v/>
          </cell>
          <cell r="AY6179" t="str">
            <v/>
          </cell>
          <cell r="AZ6179" t="str">
            <v/>
          </cell>
          <cell r="BA6179" t="str">
            <v/>
          </cell>
        </row>
        <row r="6180">
          <cell r="B6180" t="str">
            <v>-</v>
          </cell>
          <cell r="E6180" t="str">
            <v/>
          </cell>
          <cell r="G6180" t="str">
            <v/>
          </cell>
          <cell r="J6180" t="str">
            <v/>
          </cell>
          <cell r="O6180" t="str">
            <v/>
          </cell>
          <cell r="P6180" t="str">
            <v/>
          </cell>
          <cell r="Q6180" t="str">
            <v/>
          </cell>
          <cell r="S6180" t="str">
            <v/>
          </cell>
          <cell r="V6180" t="str">
            <v/>
          </cell>
          <cell r="Z6180" t="str">
            <v/>
          </cell>
          <cell r="AA6180" t="str">
            <v/>
          </cell>
          <cell r="AB6180" t="str">
            <v/>
          </cell>
          <cell r="AC6180" t="str">
            <v/>
          </cell>
          <cell r="AD6180" t="str">
            <v/>
          </cell>
          <cell r="AY6180" t="str">
            <v/>
          </cell>
          <cell r="AZ6180" t="str">
            <v/>
          </cell>
          <cell r="BA6180" t="str">
            <v/>
          </cell>
        </row>
        <row r="6181">
          <cell r="B6181" t="str">
            <v>-</v>
          </cell>
          <cell r="E6181" t="str">
            <v/>
          </cell>
          <cell r="G6181" t="str">
            <v/>
          </cell>
          <cell r="J6181" t="str">
            <v/>
          </cell>
          <cell r="O6181" t="str">
            <v/>
          </cell>
          <cell r="P6181" t="str">
            <v/>
          </cell>
          <cell r="Q6181" t="str">
            <v/>
          </cell>
          <cell r="S6181" t="str">
            <v/>
          </cell>
          <cell r="V6181" t="str">
            <v/>
          </cell>
          <cell r="Z6181" t="str">
            <v/>
          </cell>
          <cell r="AA6181" t="str">
            <v/>
          </cell>
          <cell r="AB6181" t="str">
            <v/>
          </cell>
          <cell r="AC6181" t="str">
            <v/>
          </cell>
          <cell r="AD6181" t="str">
            <v/>
          </cell>
          <cell r="AY6181" t="str">
            <v/>
          </cell>
          <cell r="AZ6181" t="str">
            <v/>
          </cell>
          <cell r="BA6181" t="str">
            <v/>
          </cell>
        </row>
        <row r="6182">
          <cell r="B6182" t="str">
            <v>-</v>
          </cell>
          <cell r="E6182" t="str">
            <v/>
          </cell>
          <cell r="G6182" t="str">
            <v/>
          </cell>
          <cell r="J6182" t="str">
            <v/>
          </cell>
          <cell r="O6182" t="str">
            <v/>
          </cell>
          <cell r="P6182" t="str">
            <v/>
          </cell>
          <cell r="Q6182" t="str">
            <v/>
          </cell>
          <cell r="S6182" t="str">
            <v/>
          </cell>
          <cell r="V6182" t="str">
            <v/>
          </cell>
          <cell r="Z6182" t="str">
            <v/>
          </cell>
          <cell r="AA6182" t="str">
            <v/>
          </cell>
          <cell r="AB6182" t="str">
            <v/>
          </cell>
          <cell r="AC6182" t="str">
            <v/>
          </cell>
          <cell r="AD6182" t="str">
            <v/>
          </cell>
          <cell r="AY6182" t="str">
            <v/>
          </cell>
          <cell r="AZ6182" t="str">
            <v/>
          </cell>
          <cell r="BA6182" t="str">
            <v/>
          </cell>
        </row>
        <row r="6183">
          <cell r="B6183" t="str">
            <v>-</v>
          </cell>
          <cell r="E6183" t="str">
            <v/>
          </cell>
          <cell r="G6183" t="str">
            <v/>
          </cell>
          <cell r="J6183" t="str">
            <v/>
          </cell>
          <cell r="O6183" t="str">
            <v/>
          </cell>
          <cell r="P6183" t="str">
            <v/>
          </cell>
          <cell r="Q6183" t="str">
            <v/>
          </cell>
          <cell r="S6183" t="str">
            <v/>
          </cell>
          <cell r="V6183" t="str">
            <v/>
          </cell>
          <cell r="Z6183" t="str">
            <v/>
          </cell>
          <cell r="AA6183" t="str">
            <v/>
          </cell>
          <cell r="AB6183" t="str">
            <v/>
          </cell>
          <cell r="AC6183" t="str">
            <v/>
          </cell>
          <cell r="AD6183" t="str">
            <v/>
          </cell>
          <cell r="AY6183" t="str">
            <v/>
          </cell>
          <cell r="AZ6183" t="str">
            <v/>
          </cell>
          <cell r="BA6183" t="str">
            <v/>
          </cell>
        </row>
        <row r="6184">
          <cell r="B6184" t="str">
            <v>-</v>
          </cell>
          <cell r="E6184" t="str">
            <v/>
          </cell>
          <cell r="G6184" t="str">
            <v/>
          </cell>
          <cell r="J6184" t="str">
            <v/>
          </cell>
          <cell r="O6184" t="str">
            <v/>
          </cell>
          <cell r="P6184" t="str">
            <v/>
          </cell>
          <cell r="Q6184" t="str">
            <v/>
          </cell>
          <cell r="S6184" t="str">
            <v/>
          </cell>
          <cell r="V6184" t="str">
            <v/>
          </cell>
          <cell r="Z6184" t="str">
            <v/>
          </cell>
          <cell r="AA6184" t="str">
            <v/>
          </cell>
          <cell r="AB6184" t="str">
            <v/>
          </cell>
          <cell r="AC6184" t="str">
            <v/>
          </cell>
          <cell r="AD6184" t="str">
            <v/>
          </cell>
          <cell r="AY6184" t="str">
            <v/>
          </cell>
          <cell r="AZ6184" t="str">
            <v/>
          </cell>
          <cell r="BA6184" t="str">
            <v/>
          </cell>
        </row>
        <row r="6185">
          <cell r="B6185" t="str">
            <v>-</v>
          </cell>
          <cell r="E6185" t="str">
            <v/>
          </cell>
          <cell r="G6185" t="str">
            <v/>
          </cell>
          <cell r="J6185" t="str">
            <v/>
          </cell>
          <cell r="O6185" t="str">
            <v/>
          </cell>
          <cell r="P6185" t="str">
            <v/>
          </cell>
          <cell r="Q6185" t="str">
            <v/>
          </cell>
          <cell r="S6185" t="str">
            <v/>
          </cell>
          <cell r="V6185" t="str">
            <v/>
          </cell>
          <cell r="Z6185" t="str">
            <v/>
          </cell>
          <cell r="AA6185" t="str">
            <v/>
          </cell>
          <cell r="AB6185" t="str">
            <v/>
          </cell>
          <cell r="AC6185" t="str">
            <v/>
          </cell>
          <cell r="AD6185" t="str">
            <v/>
          </cell>
          <cell r="AY6185" t="str">
            <v/>
          </cell>
          <cell r="AZ6185" t="str">
            <v/>
          </cell>
          <cell r="BA6185" t="str">
            <v/>
          </cell>
        </row>
        <row r="6186">
          <cell r="B6186" t="str">
            <v>-</v>
          </cell>
          <cell r="E6186" t="str">
            <v/>
          </cell>
          <cell r="G6186" t="str">
            <v/>
          </cell>
          <cell r="J6186" t="str">
            <v/>
          </cell>
          <cell r="O6186" t="str">
            <v/>
          </cell>
          <cell r="P6186" t="str">
            <v/>
          </cell>
          <cell r="Q6186" t="str">
            <v/>
          </cell>
          <cell r="S6186" t="str">
            <v/>
          </cell>
          <cell r="V6186" t="str">
            <v/>
          </cell>
          <cell r="Z6186" t="str">
            <v/>
          </cell>
          <cell r="AA6186" t="str">
            <v/>
          </cell>
          <cell r="AB6186" t="str">
            <v/>
          </cell>
          <cell r="AC6186" t="str">
            <v/>
          </cell>
          <cell r="AD6186" t="str">
            <v/>
          </cell>
          <cell r="AY6186" t="str">
            <v/>
          </cell>
          <cell r="AZ6186" t="str">
            <v/>
          </cell>
          <cell r="BA6186" t="str">
            <v/>
          </cell>
        </row>
        <row r="6187">
          <cell r="B6187" t="str">
            <v>-</v>
          </cell>
          <cell r="E6187" t="str">
            <v/>
          </cell>
          <cell r="G6187" t="str">
            <v/>
          </cell>
          <cell r="J6187" t="str">
            <v/>
          </cell>
          <cell r="O6187" t="str">
            <v/>
          </cell>
          <cell r="P6187" t="str">
            <v/>
          </cell>
          <cell r="Q6187" t="str">
            <v/>
          </cell>
          <cell r="S6187" t="str">
            <v/>
          </cell>
          <cell r="V6187" t="str">
            <v/>
          </cell>
          <cell r="Z6187" t="str">
            <v/>
          </cell>
          <cell r="AA6187" t="str">
            <v/>
          </cell>
          <cell r="AB6187" t="str">
            <v/>
          </cell>
          <cell r="AC6187" t="str">
            <v/>
          </cell>
          <cell r="AD6187" t="str">
            <v/>
          </cell>
          <cell r="AY6187" t="str">
            <v/>
          </cell>
          <cell r="AZ6187" t="str">
            <v/>
          </cell>
          <cell r="BA6187" t="str">
            <v/>
          </cell>
        </row>
        <row r="6188">
          <cell r="B6188" t="str">
            <v>-</v>
          </cell>
          <cell r="E6188" t="str">
            <v/>
          </cell>
          <cell r="G6188" t="str">
            <v/>
          </cell>
          <cell r="J6188" t="str">
            <v/>
          </cell>
          <cell r="O6188" t="str">
            <v/>
          </cell>
          <cell r="P6188" t="str">
            <v/>
          </cell>
          <cell r="Q6188" t="str">
            <v/>
          </cell>
          <cell r="S6188" t="str">
            <v/>
          </cell>
          <cell r="V6188" t="str">
            <v/>
          </cell>
          <cell r="Z6188" t="str">
            <v/>
          </cell>
          <cell r="AA6188" t="str">
            <v/>
          </cell>
          <cell r="AB6188" t="str">
            <v/>
          </cell>
          <cell r="AC6188" t="str">
            <v/>
          </cell>
          <cell r="AD6188" t="str">
            <v/>
          </cell>
          <cell r="AY6188" t="str">
            <v/>
          </cell>
          <cell r="AZ6188" t="str">
            <v/>
          </cell>
          <cell r="BA6188" t="str">
            <v/>
          </cell>
        </row>
        <row r="6189">
          <cell r="B6189" t="str">
            <v>-</v>
          </cell>
          <cell r="E6189" t="str">
            <v/>
          </cell>
          <cell r="G6189" t="str">
            <v/>
          </cell>
          <cell r="J6189" t="str">
            <v/>
          </cell>
          <cell r="O6189" t="str">
            <v/>
          </cell>
          <cell r="P6189" t="str">
            <v/>
          </cell>
          <cell r="Q6189" t="str">
            <v/>
          </cell>
          <cell r="S6189" t="str">
            <v/>
          </cell>
          <cell r="V6189" t="str">
            <v/>
          </cell>
          <cell r="Z6189" t="str">
            <v/>
          </cell>
          <cell r="AA6189" t="str">
            <v/>
          </cell>
          <cell r="AB6189" t="str">
            <v/>
          </cell>
          <cell r="AC6189" t="str">
            <v/>
          </cell>
          <cell r="AD6189" t="str">
            <v/>
          </cell>
          <cell r="AY6189" t="str">
            <v/>
          </cell>
          <cell r="AZ6189" t="str">
            <v/>
          </cell>
          <cell r="BA6189" t="str">
            <v/>
          </cell>
        </row>
        <row r="6190">
          <cell r="B6190" t="str">
            <v>-</v>
          </cell>
          <cell r="E6190" t="str">
            <v/>
          </cell>
          <cell r="G6190" t="str">
            <v/>
          </cell>
          <cell r="J6190" t="str">
            <v/>
          </cell>
          <cell r="O6190" t="str">
            <v/>
          </cell>
          <cell r="P6190" t="str">
            <v/>
          </cell>
          <cell r="Q6190" t="str">
            <v/>
          </cell>
          <cell r="S6190" t="str">
            <v/>
          </cell>
          <cell r="V6190" t="str">
            <v/>
          </cell>
          <cell r="Z6190" t="str">
            <v/>
          </cell>
          <cell r="AA6190" t="str">
            <v/>
          </cell>
          <cell r="AB6190" t="str">
            <v/>
          </cell>
          <cell r="AC6190" t="str">
            <v/>
          </cell>
          <cell r="AD6190" t="str">
            <v/>
          </cell>
          <cell r="AY6190" t="str">
            <v/>
          </cell>
          <cell r="AZ6190" t="str">
            <v/>
          </cell>
          <cell r="BA6190" t="str">
            <v/>
          </cell>
        </row>
        <row r="6191">
          <cell r="B6191" t="str">
            <v>-</v>
          </cell>
          <cell r="E6191" t="str">
            <v/>
          </cell>
          <cell r="G6191" t="str">
            <v/>
          </cell>
          <cell r="J6191" t="str">
            <v/>
          </cell>
          <cell r="O6191" t="str">
            <v/>
          </cell>
          <cell r="P6191" t="str">
            <v/>
          </cell>
          <cell r="Q6191" t="str">
            <v/>
          </cell>
          <cell r="S6191" t="str">
            <v/>
          </cell>
          <cell r="V6191" t="str">
            <v/>
          </cell>
          <cell r="Z6191" t="str">
            <v/>
          </cell>
          <cell r="AA6191" t="str">
            <v/>
          </cell>
          <cell r="AB6191" t="str">
            <v/>
          </cell>
          <cell r="AC6191" t="str">
            <v/>
          </cell>
          <cell r="AD6191" t="str">
            <v/>
          </cell>
          <cell r="AY6191" t="str">
            <v/>
          </cell>
          <cell r="AZ6191" t="str">
            <v/>
          </cell>
          <cell r="BA6191" t="str">
            <v/>
          </cell>
        </row>
        <row r="6192">
          <cell r="B6192" t="str">
            <v>-</v>
          </cell>
          <cell r="E6192" t="str">
            <v/>
          </cell>
          <cell r="G6192" t="str">
            <v/>
          </cell>
          <cell r="J6192" t="str">
            <v/>
          </cell>
          <cell r="O6192" t="str">
            <v/>
          </cell>
          <cell r="P6192" t="str">
            <v/>
          </cell>
          <cell r="Q6192" t="str">
            <v/>
          </cell>
          <cell r="S6192" t="str">
            <v/>
          </cell>
          <cell r="V6192" t="str">
            <v/>
          </cell>
          <cell r="Z6192" t="str">
            <v/>
          </cell>
          <cell r="AA6192" t="str">
            <v/>
          </cell>
          <cell r="AB6192" t="str">
            <v/>
          </cell>
          <cell r="AC6192" t="str">
            <v/>
          </cell>
          <cell r="AD6192" t="str">
            <v/>
          </cell>
          <cell r="AY6192" t="str">
            <v/>
          </cell>
          <cell r="AZ6192" t="str">
            <v/>
          </cell>
          <cell r="BA6192" t="str">
            <v/>
          </cell>
        </row>
        <row r="6193">
          <cell r="B6193" t="str">
            <v>-</v>
          </cell>
          <cell r="E6193" t="str">
            <v/>
          </cell>
          <cell r="G6193" t="str">
            <v/>
          </cell>
          <cell r="J6193" t="str">
            <v/>
          </cell>
          <cell r="O6193" t="str">
            <v/>
          </cell>
          <cell r="P6193" t="str">
            <v/>
          </cell>
          <cell r="Q6193" t="str">
            <v/>
          </cell>
          <cell r="S6193" t="str">
            <v/>
          </cell>
          <cell r="V6193" t="str">
            <v/>
          </cell>
          <cell r="Z6193" t="str">
            <v/>
          </cell>
          <cell r="AA6193" t="str">
            <v/>
          </cell>
          <cell r="AB6193" t="str">
            <v/>
          </cell>
          <cell r="AC6193" t="str">
            <v/>
          </cell>
          <cell r="AD6193" t="str">
            <v/>
          </cell>
          <cell r="AY6193" t="str">
            <v/>
          </cell>
          <cell r="AZ6193" t="str">
            <v/>
          </cell>
          <cell r="BA6193" t="str">
            <v/>
          </cell>
        </row>
        <row r="6194">
          <cell r="B6194" t="str">
            <v>-</v>
          </cell>
          <cell r="E6194" t="str">
            <v/>
          </cell>
          <cell r="G6194" t="str">
            <v/>
          </cell>
          <cell r="J6194" t="str">
            <v/>
          </cell>
          <cell r="O6194" t="str">
            <v/>
          </cell>
          <cell r="P6194" t="str">
            <v/>
          </cell>
          <cell r="Q6194" t="str">
            <v/>
          </cell>
          <cell r="S6194" t="str">
            <v/>
          </cell>
          <cell r="V6194" t="str">
            <v/>
          </cell>
          <cell r="Z6194" t="str">
            <v/>
          </cell>
          <cell r="AA6194" t="str">
            <v/>
          </cell>
          <cell r="AB6194" t="str">
            <v/>
          </cell>
          <cell r="AC6194" t="str">
            <v/>
          </cell>
          <cell r="AD6194" t="str">
            <v/>
          </cell>
          <cell r="AY6194" t="str">
            <v/>
          </cell>
          <cell r="AZ6194" t="str">
            <v/>
          </cell>
          <cell r="BA6194" t="str">
            <v/>
          </cell>
        </row>
        <row r="6195">
          <cell r="B6195" t="str">
            <v>-</v>
          </cell>
          <cell r="E6195" t="str">
            <v/>
          </cell>
          <cell r="G6195" t="str">
            <v/>
          </cell>
          <cell r="J6195" t="str">
            <v/>
          </cell>
          <cell r="O6195" t="str">
            <v/>
          </cell>
          <cell r="P6195" t="str">
            <v/>
          </cell>
          <cell r="Q6195" t="str">
            <v/>
          </cell>
          <cell r="S6195" t="str">
            <v/>
          </cell>
          <cell r="V6195" t="str">
            <v/>
          </cell>
          <cell r="Z6195" t="str">
            <v/>
          </cell>
          <cell r="AA6195" t="str">
            <v/>
          </cell>
          <cell r="AB6195" t="str">
            <v/>
          </cell>
          <cell r="AC6195" t="str">
            <v/>
          </cell>
          <cell r="AD6195" t="str">
            <v/>
          </cell>
          <cell r="AY6195" t="str">
            <v/>
          </cell>
          <cell r="AZ6195" t="str">
            <v/>
          </cell>
          <cell r="BA6195" t="str">
            <v/>
          </cell>
        </row>
        <row r="6196">
          <cell r="B6196" t="str">
            <v>-</v>
          </cell>
          <cell r="E6196" t="str">
            <v/>
          </cell>
          <cell r="G6196" t="str">
            <v/>
          </cell>
          <cell r="J6196" t="str">
            <v/>
          </cell>
          <cell r="O6196" t="str">
            <v/>
          </cell>
          <cell r="P6196" t="str">
            <v/>
          </cell>
          <cell r="Q6196" t="str">
            <v/>
          </cell>
          <cell r="S6196" t="str">
            <v/>
          </cell>
          <cell r="V6196" t="str">
            <v/>
          </cell>
          <cell r="Z6196" t="str">
            <v/>
          </cell>
          <cell r="AA6196" t="str">
            <v/>
          </cell>
          <cell r="AB6196" t="str">
            <v/>
          </cell>
          <cell r="AC6196" t="str">
            <v/>
          </cell>
          <cell r="AD6196" t="str">
            <v/>
          </cell>
          <cell r="AY6196" t="str">
            <v/>
          </cell>
          <cell r="AZ6196" t="str">
            <v/>
          </cell>
          <cell r="BA6196" t="str">
            <v/>
          </cell>
        </row>
        <row r="6197">
          <cell r="B6197" t="str">
            <v>-</v>
          </cell>
          <cell r="E6197" t="str">
            <v/>
          </cell>
          <cell r="G6197" t="str">
            <v/>
          </cell>
          <cell r="J6197" t="str">
            <v/>
          </cell>
          <cell r="O6197" t="str">
            <v/>
          </cell>
          <cell r="P6197" t="str">
            <v/>
          </cell>
          <cell r="Q6197" t="str">
            <v/>
          </cell>
          <cell r="S6197" t="str">
            <v/>
          </cell>
          <cell r="V6197" t="str">
            <v/>
          </cell>
          <cell r="Z6197" t="str">
            <v/>
          </cell>
          <cell r="AA6197" t="str">
            <v/>
          </cell>
          <cell r="AB6197" t="str">
            <v/>
          </cell>
          <cell r="AC6197" t="str">
            <v/>
          </cell>
          <cell r="AD6197" t="str">
            <v/>
          </cell>
          <cell r="AY6197" t="str">
            <v/>
          </cell>
          <cell r="AZ6197" t="str">
            <v/>
          </cell>
          <cell r="BA6197" t="str">
            <v/>
          </cell>
        </row>
        <row r="6198">
          <cell r="B6198" t="str">
            <v>-</v>
          </cell>
          <cell r="E6198" t="str">
            <v/>
          </cell>
          <cell r="G6198" t="str">
            <v/>
          </cell>
          <cell r="J6198" t="str">
            <v/>
          </cell>
          <cell r="O6198" t="str">
            <v/>
          </cell>
          <cell r="P6198" t="str">
            <v/>
          </cell>
          <cell r="Q6198" t="str">
            <v/>
          </cell>
          <cell r="S6198" t="str">
            <v/>
          </cell>
          <cell r="V6198" t="str">
            <v/>
          </cell>
          <cell r="Z6198" t="str">
            <v/>
          </cell>
          <cell r="AA6198" t="str">
            <v/>
          </cell>
          <cell r="AB6198" t="str">
            <v/>
          </cell>
          <cell r="AC6198" t="str">
            <v/>
          </cell>
          <cell r="AD6198" t="str">
            <v/>
          </cell>
          <cell r="AY6198" t="str">
            <v/>
          </cell>
          <cell r="AZ6198" t="str">
            <v/>
          </cell>
          <cell r="BA6198" t="str">
            <v/>
          </cell>
        </row>
        <row r="6199">
          <cell r="B6199" t="str">
            <v>-</v>
          </cell>
          <cell r="E6199" t="str">
            <v/>
          </cell>
          <cell r="G6199" t="str">
            <v/>
          </cell>
          <cell r="J6199" t="str">
            <v/>
          </cell>
          <cell r="O6199" t="str">
            <v/>
          </cell>
          <cell r="P6199" t="str">
            <v/>
          </cell>
          <cell r="Q6199" t="str">
            <v/>
          </cell>
          <cell r="S6199" t="str">
            <v/>
          </cell>
          <cell r="V6199" t="str">
            <v/>
          </cell>
          <cell r="Z6199" t="str">
            <v/>
          </cell>
          <cell r="AA6199" t="str">
            <v/>
          </cell>
          <cell r="AB6199" t="str">
            <v/>
          </cell>
          <cell r="AC6199" t="str">
            <v/>
          </cell>
          <cell r="AD6199" t="str">
            <v/>
          </cell>
          <cell r="AY6199" t="str">
            <v/>
          </cell>
          <cell r="AZ6199" t="str">
            <v/>
          </cell>
          <cell r="BA6199" t="str">
            <v/>
          </cell>
        </row>
        <row r="6200">
          <cell r="B6200" t="str">
            <v>-</v>
          </cell>
          <cell r="E6200" t="str">
            <v/>
          </cell>
          <cell r="G6200" t="str">
            <v/>
          </cell>
          <cell r="J6200" t="str">
            <v/>
          </cell>
          <cell r="O6200" t="str">
            <v/>
          </cell>
          <cell r="P6200" t="str">
            <v/>
          </cell>
          <cell r="Q6200" t="str">
            <v/>
          </cell>
          <cell r="S6200" t="str">
            <v/>
          </cell>
          <cell r="V6200" t="str">
            <v/>
          </cell>
          <cell r="Z6200" t="str">
            <v/>
          </cell>
          <cell r="AA6200" t="str">
            <v/>
          </cell>
          <cell r="AB6200" t="str">
            <v/>
          </cell>
          <cell r="AC6200" t="str">
            <v/>
          </cell>
          <cell r="AD6200" t="str">
            <v/>
          </cell>
          <cell r="AY6200" t="str">
            <v/>
          </cell>
          <cell r="AZ6200" t="str">
            <v/>
          </cell>
          <cell r="BA6200" t="str">
            <v/>
          </cell>
        </row>
        <row r="6201">
          <cell r="B6201" t="str">
            <v>-</v>
          </cell>
          <cell r="E6201" t="str">
            <v/>
          </cell>
          <cell r="G6201" t="str">
            <v/>
          </cell>
          <cell r="J6201" t="str">
            <v/>
          </cell>
          <cell r="O6201" t="str">
            <v/>
          </cell>
          <cell r="P6201" t="str">
            <v/>
          </cell>
          <cell r="Q6201" t="str">
            <v/>
          </cell>
          <cell r="S6201" t="str">
            <v/>
          </cell>
          <cell r="V6201" t="str">
            <v/>
          </cell>
          <cell r="Z6201" t="str">
            <v/>
          </cell>
          <cell r="AA6201" t="str">
            <v/>
          </cell>
          <cell r="AB6201" t="str">
            <v/>
          </cell>
          <cell r="AC6201" t="str">
            <v/>
          </cell>
          <cell r="AD6201" t="str">
            <v/>
          </cell>
          <cell r="AY6201" t="str">
            <v/>
          </cell>
          <cell r="AZ6201" t="str">
            <v/>
          </cell>
          <cell r="BA6201" t="str">
            <v/>
          </cell>
        </row>
        <row r="6202">
          <cell r="B6202" t="str">
            <v>-</v>
          </cell>
          <cell r="E6202" t="str">
            <v/>
          </cell>
          <cell r="G6202" t="str">
            <v/>
          </cell>
          <cell r="J6202" t="str">
            <v/>
          </cell>
          <cell r="O6202" t="str">
            <v/>
          </cell>
          <cell r="P6202" t="str">
            <v/>
          </cell>
          <cell r="Q6202" t="str">
            <v/>
          </cell>
          <cell r="S6202" t="str">
            <v/>
          </cell>
          <cell r="V6202" t="str">
            <v/>
          </cell>
          <cell r="Z6202" t="str">
            <v/>
          </cell>
          <cell r="AA6202" t="str">
            <v/>
          </cell>
          <cell r="AB6202" t="str">
            <v/>
          </cell>
          <cell r="AC6202" t="str">
            <v/>
          </cell>
          <cell r="AD6202" t="str">
            <v/>
          </cell>
          <cell r="AY6202" t="str">
            <v/>
          </cell>
          <cell r="AZ6202" t="str">
            <v/>
          </cell>
          <cell r="BA6202" t="str">
            <v/>
          </cell>
        </row>
        <row r="6203">
          <cell r="B6203" t="str">
            <v>-</v>
          </cell>
          <cell r="E6203" t="str">
            <v/>
          </cell>
          <cell r="G6203" t="str">
            <v/>
          </cell>
          <cell r="J6203" t="str">
            <v/>
          </cell>
          <cell r="O6203" t="str">
            <v/>
          </cell>
          <cell r="P6203" t="str">
            <v/>
          </cell>
          <cell r="Q6203" t="str">
            <v/>
          </cell>
          <cell r="S6203" t="str">
            <v/>
          </cell>
          <cell r="V6203" t="str">
            <v/>
          </cell>
          <cell r="Z6203" t="str">
            <v/>
          </cell>
          <cell r="AA6203" t="str">
            <v/>
          </cell>
          <cell r="AB6203" t="str">
            <v/>
          </cell>
          <cell r="AC6203" t="str">
            <v/>
          </cell>
          <cell r="AD6203" t="str">
            <v/>
          </cell>
          <cell r="AY6203" t="str">
            <v/>
          </cell>
          <cell r="AZ6203" t="str">
            <v/>
          </cell>
          <cell r="BA6203" t="str">
            <v/>
          </cell>
        </row>
        <row r="6204">
          <cell r="B6204" t="str">
            <v>-</v>
          </cell>
          <cell r="E6204" t="str">
            <v/>
          </cell>
          <cell r="G6204" t="str">
            <v/>
          </cell>
          <cell r="J6204" t="str">
            <v/>
          </cell>
          <cell r="O6204" t="str">
            <v/>
          </cell>
          <cell r="P6204" t="str">
            <v/>
          </cell>
          <cell r="Q6204" t="str">
            <v/>
          </cell>
          <cell r="S6204" t="str">
            <v/>
          </cell>
          <cell r="V6204" t="str">
            <v/>
          </cell>
          <cell r="Z6204" t="str">
            <v/>
          </cell>
          <cell r="AA6204" t="str">
            <v/>
          </cell>
          <cell r="AB6204" t="str">
            <v/>
          </cell>
          <cell r="AC6204" t="str">
            <v/>
          </cell>
          <cell r="AD6204" t="str">
            <v/>
          </cell>
          <cell r="AY6204" t="str">
            <v/>
          </cell>
          <cell r="AZ6204" t="str">
            <v/>
          </cell>
          <cell r="BA6204" t="str">
            <v/>
          </cell>
        </row>
        <row r="6205">
          <cell r="B6205" t="str">
            <v>-</v>
          </cell>
          <cell r="E6205" t="str">
            <v/>
          </cell>
          <cell r="G6205" t="str">
            <v/>
          </cell>
          <cell r="J6205" t="str">
            <v/>
          </cell>
          <cell r="O6205" t="str">
            <v/>
          </cell>
          <cell r="P6205" t="str">
            <v/>
          </cell>
          <cell r="Q6205" t="str">
            <v/>
          </cell>
          <cell r="S6205" t="str">
            <v/>
          </cell>
          <cell r="V6205" t="str">
            <v/>
          </cell>
          <cell r="Z6205" t="str">
            <v/>
          </cell>
          <cell r="AA6205" t="str">
            <v/>
          </cell>
          <cell r="AB6205" t="str">
            <v/>
          </cell>
          <cell r="AC6205" t="str">
            <v/>
          </cell>
          <cell r="AD6205" t="str">
            <v/>
          </cell>
          <cell r="AY6205" t="str">
            <v/>
          </cell>
          <cell r="AZ6205" t="str">
            <v/>
          </cell>
          <cell r="BA6205" t="str">
            <v/>
          </cell>
        </row>
        <row r="6206">
          <cell r="B6206" t="str">
            <v>-</v>
          </cell>
          <cell r="E6206" t="str">
            <v/>
          </cell>
          <cell r="G6206" t="str">
            <v/>
          </cell>
          <cell r="J6206" t="str">
            <v/>
          </cell>
          <cell r="O6206" t="str">
            <v/>
          </cell>
          <cell r="P6206" t="str">
            <v/>
          </cell>
          <cell r="Q6206" t="str">
            <v/>
          </cell>
          <cell r="S6206" t="str">
            <v/>
          </cell>
          <cell r="V6206" t="str">
            <v/>
          </cell>
          <cell r="Z6206" t="str">
            <v/>
          </cell>
          <cell r="AA6206" t="str">
            <v/>
          </cell>
          <cell r="AB6206" t="str">
            <v/>
          </cell>
          <cell r="AC6206" t="str">
            <v/>
          </cell>
          <cell r="AD6206" t="str">
            <v/>
          </cell>
          <cell r="AY6206" t="str">
            <v/>
          </cell>
          <cell r="AZ6206" t="str">
            <v/>
          </cell>
          <cell r="BA6206" t="str">
            <v/>
          </cell>
        </row>
        <row r="6207">
          <cell r="B6207" t="str">
            <v>-</v>
          </cell>
          <cell r="E6207" t="str">
            <v/>
          </cell>
          <cell r="G6207" t="str">
            <v/>
          </cell>
          <cell r="J6207" t="str">
            <v/>
          </cell>
          <cell r="O6207" t="str">
            <v/>
          </cell>
          <cell r="P6207" t="str">
            <v/>
          </cell>
          <cell r="Q6207" t="str">
            <v/>
          </cell>
          <cell r="S6207" t="str">
            <v/>
          </cell>
          <cell r="V6207" t="str">
            <v/>
          </cell>
          <cell r="Z6207" t="str">
            <v/>
          </cell>
          <cell r="AA6207" t="str">
            <v/>
          </cell>
          <cell r="AB6207" t="str">
            <v/>
          </cell>
          <cell r="AC6207" t="str">
            <v/>
          </cell>
          <cell r="AD6207" t="str">
            <v/>
          </cell>
          <cell r="AY6207" t="str">
            <v/>
          </cell>
          <cell r="AZ6207" t="str">
            <v/>
          </cell>
          <cell r="BA6207" t="str">
            <v/>
          </cell>
        </row>
        <row r="6208">
          <cell r="B6208" t="str">
            <v>-</v>
          </cell>
          <cell r="E6208" t="str">
            <v/>
          </cell>
          <cell r="G6208" t="str">
            <v/>
          </cell>
          <cell r="J6208" t="str">
            <v/>
          </cell>
          <cell r="O6208" t="str">
            <v/>
          </cell>
          <cell r="P6208" t="str">
            <v/>
          </cell>
          <cell r="Q6208" t="str">
            <v/>
          </cell>
          <cell r="S6208" t="str">
            <v/>
          </cell>
          <cell r="V6208" t="str">
            <v/>
          </cell>
          <cell r="Z6208" t="str">
            <v/>
          </cell>
          <cell r="AA6208" t="str">
            <v/>
          </cell>
          <cell r="AB6208" t="str">
            <v/>
          </cell>
          <cell r="AC6208" t="str">
            <v/>
          </cell>
          <cell r="AD6208" t="str">
            <v/>
          </cell>
          <cell r="AY6208" t="str">
            <v/>
          </cell>
          <cell r="AZ6208" t="str">
            <v/>
          </cell>
          <cell r="BA6208" t="str">
            <v/>
          </cell>
        </row>
        <row r="6209">
          <cell r="B6209" t="str">
            <v>-</v>
          </cell>
          <cell r="E6209" t="str">
            <v/>
          </cell>
          <cell r="G6209" t="str">
            <v/>
          </cell>
          <cell r="J6209" t="str">
            <v/>
          </cell>
          <cell r="O6209" t="str">
            <v/>
          </cell>
          <cell r="P6209" t="str">
            <v/>
          </cell>
          <cell r="Q6209" t="str">
            <v/>
          </cell>
          <cell r="S6209" t="str">
            <v/>
          </cell>
          <cell r="V6209" t="str">
            <v/>
          </cell>
          <cell r="Z6209" t="str">
            <v/>
          </cell>
          <cell r="AA6209" t="str">
            <v/>
          </cell>
          <cell r="AB6209" t="str">
            <v/>
          </cell>
          <cell r="AC6209" t="str">
            <v/>
          </cell>
          <cell r="AD6209" t="str">
            <v/>
          </cell>
          <cell r="AY6209" t="str">
            <v/>
          </cell>
          <cell r="AZ6209" t="str">
            <v/>
          </cell>
          <cell r="BA6209" t="str">
            <v/>
          </cell>
        </row>
        <row r="6210">
          <cell r="B6210" t="str">
            <v>-</v>
          </cell>
          <cell r="E6210" t="str">
            <v/>
          </cell>
          <cell r="G6210" t="str">
            <v/>
          </cell>
          <cell r="J6210" t="str">
            <v/>
          </cell>
          <cell r="O6210" t="str">
            <v/>
          </cell>
          <cell r="P6210" t="str">
            <v/>
          </cell>
          <cell r="Q6210" t="str">
            <v/>
          </cell>
          <cell r="S6210" t="str">
            <v/>
          </cell>
          <cell r="V6210" t="str">
            <v/>
          </cell>
          <cell r="Z6210" t="str">
            <v/>
          </cell>
          <cell r="AA6210" t="str">
            <v/>
          </cell>
          <cell r="AB6210" t="str">
            <v/>
          </cell>
          <cell r="AC6210" t="str">
            <v/>
          </cell>
          <cell r="AD6210" t="str">
            <v/>
          </cell>
          <cell r="AY6210" t="str">
            <v/>
          </cell>
          <cell r="AZ6210" t="str">
            <v/>
          </cell>
          <cell r="BA6210" t="str">
            <v/>
          </cell>
        </row>
        <row r="6211">
          <cell r="B6211" t="str">
            <v>-</v>
          </cell>
          <cell r="E6211" t="str">
            <v/>
          </cell>
          <cell r="G6211" t="str">
            <v/>
          </cell>
          <cell r="J6211" t="str">
            <v/>
          </cell>
          <cell r="O6211" t="str">
            <v/>
          </cell>
          <cell r="P6211" t="str">
            <v/>
          </cell>
          <cell r="Q6211" t="str">
            <v/>
          </cell>
          <cell r="S6211" t="str">
            <v/>
          </cell>
          <cell r="V6211" t="str">
            <v/>
          </cell>
          <cell r="Z6211" t="str">
            <v/>
          </cell>
          <cell r="AA6211" t="str">
            <v/>
          </cell>
          <cell r="AB6211" t="str">
            <v/>
          </cell>
          <cell r="AC6211" t="str">
            <v/>
          </cell>
          <cell r="AD6211" t="str">
            <v/>
          </cell>
          <cell r="AY6211" t="str">
            <v/>
          </cell>
          <cell r="AZ6211" t="str">
            <v/>
          </cell>
          <cell r="BA6211" t="str">
            <v/>
          </cell>
        </row>
        <row r="6212">
          <cell r="B6212" t="str">
            <v>-</v>
          </cell>
          <cell r="E6212" t="str">
            <v/>
          </cell>
          <cell r="G6212" t="str">
            <v/>
          </cell>
          <cell r="J6212" t="str">
            <v/>
          </cell>
          <cell r="O6212" t="str">
            <v/>
          </cell>
          <cell r="P6212" t="str">
            <v/>
          </cell>
          <cell r="Q6212" t="str">
            <v/>
          </cell>
          <cell r="S6212" t="str">
            <v/>
          </cell>
          <cell r="V6212" t="str">
            <v/>
          </cell>
          <cell r="Z6212" t="str">
            <v/>
          </cell>
          <cell r="AA6212" t="str">
            <v/>
          </cell>
          <cell r="AB6212" t="str">
            <v/>
          </cell>
          <cell r="AC6212" t="str">
            <v/>
          </cell>
          <cell r="AD6212" t="str">
            <v/>
          </cell>
          <cell r="AY6212" t="str">
            <v/>
          </cell>
          <cell r="AZ6212" t="str">
            <v/>
          </cell>
          <cell r="BA6212" t="str">
            <v/>
          </cell>
        </row>
        <row r="6213">
          <cell r="B6213" t="str">
            <v>-</v>
          </cell>
          <cell r="E6213" t="str">
            <v/>
          </cell>
          <cell r="G6213" t="str">
            <v/>
          </cell>
          <cell r="J6213" t="str">
            <v/>
          </cell>
          <cell r="O6213" t="str">
            <v/>
          </cell>
          <cell r="P6213" t="str">
            <v/>
          </cell>
          <cell r="Q6213" t="str">
            <v/>
          </cell>
          <cell r="S6213" t="str">
            <v/>
          </cell>
          <cell r="V6213" t="str">
            <v/>
          </cell>
          <cell r="Z6213" t="str">
            <v/>
          </cell>
          <cell r="AA6213" t="str">
            <v/>
          </cell>
          <cell r="AB6213" t="str">
            <v/>
          </cell>
          <cell r="AC6213" t="str">
            <v/>
          </cell>
          <cell r="AD6213" t="str">
            <v/>
          </cell>
          <cell r="AY6213" t="str">
            <v/>
          </cell>
          <cell r="AZ6213" t="str">
            <v/>
          </cell>
          <cell r="BA6213" t="str">
            <v/>
          </cell>
        </row>
        <row r="6214">
          <cell r="B6214" t="str">
            <v>-</v>
          </cell>
          <cell r="E6214" t="str">
            <v/>
          </cell>
          <cell r="G6214" t="str">
            <v/>
          </cell>
          <cell r="J6214" t="str">
            <v/>
          </cell>
          <cell r="O6214" t="str">
            <v/>
          </cell>
          <cell r="P6214" t="str">
            <v/>
          </cell>
          <cell r="Q6214" t="str">
            <v/>
          </cell>
          <cell r="S6214" t="str">
            <v/>
          </cell>
          <cell r="V6214" t="str">
            <v/>
          </cell>
          <cell r="Z6214" t="str">
            <v/>
          </cell>
          <cell r="AA6214" t="str">
            <v/>
          </cell>
          <cell r="AB6214" t="str">
            <v/>
          </cell>
          <cell r="AC6214" t="str">
            <v/>
          </cell>
          <cell r="AD6214" t="str">
            <v/>
          </cell>
          <cell r="AY6214" t="str">
            <v/>
          </cell>
          <cell r="AZ6214" t="str">
            <v/>
          </cell>
          <cell r="BA6214" t="str">
            <v/>
          </cell>
        </row>
        <row r="6215">
          <cell r="B6215" t="str">
            <v>-</v>
          </cell>
          <cell r="E6215" t="str">
            <v/>
          </cell>
          <cell r="G6215" t="str">
            <v/>
          </cell>
          <cell r="J6215" t="str">
            <v/>
          </cell>
          <cell r="O6215" t="str">
            <v/>
          </cell>
          <cell r="P6215" t="str">
            <v/>
          </cell>
          <cell r="Q6215" t="str">
            <v/>
          </cell>
          <cell r="S6215" t="str">
            <v/>
          </cell>
          <cell r="V6215" t="str">
            <v/>
          </cell>
          <cell r="Z6215" t="str">
            <v/>
          </cell>
          <cell r="AA6215" t="str">
            <v/>
          </cell>
          <cell r="AB6215" t="str">
            <v/>
          </cell>
          <cell r="AC6215" t="str">
            <v/>
          </cell>
          <cell r="AD6215" t="str">
            <v/>
          </cell>
          <cell r="AY6215" t="str">
            <v/>
          </cell>
          <cell r="AZ6215" t="str">
            <v/>
          </cell>
          <cell r="BA6215" t="str">
            <v/>
          </cell>
        </row>
        <row r="6216">
          <cell r="B6216" t="str">
            <v>-</v>
          </cell>
          <cell r="E6216" t="str">
            <v/>
          </cell>
          <cell r="G6216" t="str">
            <v/>
          </cell>
          <cell r="J6216" t="str">
            <v/>
          </cell>
          <cell r="O6216" t="str">
            <v/>
          </cell>
          <cell r="P6216" t="str">
            <v/>
          </cell>
          <cell r="Q6216" t="str">
            <v/>
          </cell>
          <cell r="S6216" t="str">
            <v/>
          </cell>
          <cell r="V6216" t="str">
            <v/>
          </cell>
          <cell r="Z6216" t="str">
            <v/>
          </cell>
          <cell r="AA6216" t="str">
            <v/>
          </cell>
          <cell r="AB6216" t="str">
            <v/>
          </cell>
          <cell r="AC6216" t="str">
            <v/>
          </cell>
          <cell r="AD6216" t="str">
            <v/>
          </cell>
          <cell r="AY6216" t="str">
            <v/>
          </cell>
          <cell r="AZ6216" t="str">
            <v/>
          </cell>
          <cell r="BA6216" t="str">
            <v/>
          </cell>
        </row>
        <row r="6217">
          <cell r="B6217" t="str">
            <v>-</v>
          </cell>
          <cell r="E6217" t="str">
            <v/>
          </cell>
          <cell r="G6217" t="str">
            <v/>
          </cell>
          <cell r="J6217" t="str">
            <v/>
          </cell>
          <cell r="O6217" t="str">
            <v/>
          </cell>
          <cell r="P6217" t="str">
            <v/>
          </cell>
          <cell r="Q6217" t="str">
            <v/>
          </cell>
          <cell r="S6217" t="str">
            <v/>
          </cell>
          <cell r="V6217" t="str">
            <v/>
          </cell>
          <cell r="Z6217" t="str">
            <v/>
          </cell>
          <cell r="AA6217" t="str">
            <v/>
          </cell>
          <cell r="AB6217" t="str">
            <v/>
          </cell>
          <cell r="AC6217" t="str">
            <v/>
          </cell>
          <cell r="AD6217" t="str">
            <v/>
          </cell>
          <cell r="AY6217" t="str">
            <v/>
          </cell>
          <cell r="AZ6217" t="str">
            <v/>
          </cell>
          <cell r="BA6217" t="str">
            <v/>
          </cell>
        </row>
        <row r="6218">
          <cell r="B6218" t="str">
            <v>-</v>
          </cell>
          <cell r="E6218" t="str">
            <v/>
          </cell>
          <cell r="G6218" t="str">
            <v/>
          </cell>
          <cell r="J6218" t="str">
            <v/>
          </cell>
          <cell r="O6218" t="str">
            <v/>
          </cell>
          <cell r="P6218" t="str">
            <v/>
          </cell>
          <cell r="Q6218" t="str">
            <v/>
          </cell>
          <cell r="S6218" t="str">
            <v/>
          </cell>
          <cell r="V6218" t="str">
            <v/>
          </cell>
          <cell r="Z6218" t="str">
            <v/>
          </cell>
          <cell r="AA6218" t="str">
            <v/>
          </cell>
          <cell r="AB6218" t="str">
            <v/>
          </cell>
          <cell r="AC6218" t="str">
            <v/>
          </cell>
          <cell r="AD6218" t="str">
            <v/>
          </cell>
          <cell r="AY6218" t="str">
            <v/>
          </cell>
          <cell r="AZ6218" t="str">
            <v/>
          </cell>
          <cell r="BA6218" t="str">
            <v/>
          </cell>
        </row>
        <row r="6219">
          <cell r="B6219" t="str">
            <v>-</v>
          </cell>
          <cell r="E6219" t="str">
            <v/>
          </cell>
          <cell r="G6219" t="str">
            <v/>
          </cell>
          <cell r="J6219" t="str">
            <v/>
          </cell>
          <cell r="O6219" t="str">
            <v/>
          </cell>
          <cell r="P6219" t="str">
            <v/>
          </cell>
          <cell r="Q6219" t="str">
            <v/>
          </cell>
          <cell r="S6219" t="str">
            <v/>
          </cell>
          <cell r="V6219" t="str">
            <v/>
          </cell>
          <cell r="Z6219" t="str">
            <v/>
          </cell>
          <cell r="AA6219" t="str">
            <v/>
          </cell>
          <cell r="AB6219" t="str">
            <v/>
          </cell>
          <cell r="AC6219" t="str">
            <v/>
          </cell>
          <cell r="AD6219" t="str">
            <v/>
          </cell>
          <cell r="AY6219" t="str">
            <v/>
          </cell>
          <cell r="AZ6219" t="str">
            <v/>
          </cell>
          <cell r="BA6219" t="str">
            <v/>
          </cell>
        </row>
        <row r="6220">
          <cell r="B6220" t="str">
            <v>-</v>
          </cell>
          <cell r="E6220" t="str">
            <v/>
          </cell>
          <cell r="G6220" t="str">
            <v/>
          </cell>
          <cell r="J6220" t="str">
            <v/>
          </cell>
          <cell r="O6220" t="str">
            <v/>
          </cell>
          <cell r="P6220" t="str">
            <v/>
          </cell>
          <cell r="Q6220" t="str">
            <v/>
          </cell>
          <cell r="S6220" t="str">
            <v/>
          </cell>
          <cell r="V6220" t="str">
            <v/>
          </cell>
          <cell r="Z6220" t="str">
            <v/>
          </cell>
          <cell r="AA6220" t="str">
            <v/>
          </cell>
          <cell r="AB6220" t="str">
            <v/>
          </cell>
          <cell r="AC6220" t="str">
            <v/>
          </cell>
          <cell r="AD6220" t="str">
            <v/>
          </cell>
          <cell r="AY6220" t="str">
            <v/>
          </cell>
          <cell r="AZ6220" t="str">
            <v/>
          </cell>
          <cell r="BA6220" t="str">
            <v/>
          </cell>
        </row>
        <row r="6221">
          <cell r="B6221" t="str">
            <v>-</v>
          </cell>
          <cell r="E6221" t="str">
            <v/>
          </cell>
          <cell r="G6221" t="str">
            <v/>
          </cell>
          <cell r="J6221" t="str">
            <v/>
          </cell>
          <cell r="O6221" t="str">
            <v/>
          </cell>
          <cell r="P6221" t="str">
            <v/>
          </cell>
          <cell r="Q6221" t="str">
            <v/>
          </cell>
          <cell r="S6221" t="str">
            <v/>
          </cell>
          <cell r="V6221" t="str">
            <v/>
          </cell>
          <cell r="Z6221" t="str">
            <v/>
          </cell>
          <cell r="AA6221" t="str">
            <v/>
          </cell>
          <cell r="AB6221" t="str">
            <v/>
          </cell>
          <cell r="AC6221" t="str">
            <v/>
          </cell>
          <cell r="AD6221" t="str">
            <v/>
          </cell>
          <cell r="AY6221" t="str">
            <v/>
          </cell>
          <cell r="AZ6221" t="str">
            <v/>
          </cell>
          <cell r="BA6221" t="str">
            <v/>
          </cell>
        </row>
        <row r="6222">
          <cell r="B6222" t="str">
            <v>-</v>
          </cell>
          <cell r="E6222" t="str">
            <v/>
          </cell>
          <cell r="G6222" t="str">
            <v/>
          </cell>
          <cell r="J6222" t="str">
            <v/>
          </cell>
          <cell r="O6222" t="str">
            <v/>
          </cell>
          <cell r="P6222" t="str">
            <v/>
          </cell>
          <cell r="Q6222" t="str">
            <v/>
          </cell>
          <cell r="S6222" t="str">
            <v/>
          </cell>
          <cell r="V6222" t="str">
            <v/>
          </cell>
          <cell r="Z6222" t="str">
            <v/>
          </cell>
          <cell r="AA6222" t="str">
            <v/>
          </cell>
          <cell r="AB6222" t="str">
            <v/>
          </cell>
          <cell r="AC6222" t="str">
            <v/>
          </cell>
          <cell r="AD6222" t="str">
            <v/>
          </cell>
          <cell r="AY6222" t="str">
            <v/>
          </cell>
          <cell r="AZ6222" t="str">
            <v/>
          </cell>
          <cell r="BA6222" t="str">
            <v/>
          </cell>
        </row>
        <row r="6223">
          <cell r="B6223" t="str">
            <v>-</v>
          </cell>
          <cell r="E6223" t="str">
            <v/>
          </cell>
          <cell r="G6223" t="str">
            <v/>
          </cell>
          <cell r="J6223" t="str">
            <v/>
          </cell>
          <cell r="O6223" t="str">
            <v/>
          </cell>
          <cell r="P6223" t="str">
            <v/>
          </cell>
          <cell r="Q6223" t="str">
            <v/>
          </cell>
          <cell r="S6223" t="str">
            <v/>
          </cell>
          <cell r="V6223" t="str">
            <v/>
          </cell>
          <cell r="Z6223" t="str">
            <v/>
          </cell>
          <cell r="AA6223" t="str">
            <v/>
          </cell>
          <cell r="AB6223" t="str">
            <v/>
          </cell>
          <cell r="AC6223" t="str">
            <v/>
          </cell>
          <cell r="AD6223" t="str">
            <v/>
          </cell>
          <cell r="AY6223" t="str">
            <v/>
          </cell>
          <cell r="AZ6223" t="str">
            <v/>
          </cell>
          <cell r="BA6223" t="str">
            <v/>
          </cell>
        </row>
        <row r="6224">
          <cell r="B6224" t="str">
            <v>-</v>
          </cell>
          <cell r="E6224" t="str">
            <v/>
          </cell>
          <cell r="G6224" t="str">
            <v/>
          </cell>
          <cell r="J6224" t="str">
            <v/>
          </cell>
          <cell r="O6224" t="str">
            <v/>
          </cell>
          <cell r="P6224" t="str">
            <v/>
          </cell>
          <cell r="Q6224" t="str">
            <v/>
          </cell>
          <cell r="S6224" t="str">
            <v/>
          </cell>
          <cell r="V6224" t="str">
            <v/>
          </cell>
          <cell r="Z6224" t="str">
            <v/>
          </cell>
          <cell r="AA6224" t="str">
            <v/>
          </cell>
          <cell r="AB6224" t="str">
            <v/>
          </cell>
          <cell r="AC6224" t="str">
            <v/>
          </cell>
          <cell r="AD6224" t="str">
            <v/>
          </cell>
          <cell r="AY6224" t="str">
            <v/>
          </cell>
          <cell r="AZ6224" t="str">
            <v/>
          </cell>
          <cell r="BA6224" t="str">
            <v/>
          </cell>
        </row>
        <row r="6225">
          <cell r="B6225" t="str">
            <v>-</v>
          </cell>
          <cell r="E6225" t="str">
            <v/>
          </cell>
          <cell r="G6225" t="str">
            <v/>
          </cell>
          <cell r="J6225" t="str">
            <v/>
          </cell>
          <cell r="O6225" t="str">
            <v/>
          </cell>
          <cell r="P6225" t="str">
            <v/>
          </cell>
          <cell r="Q6225" t="str">
            <v/>
          </cell>
          <cell r="S6225" t="str">
            <v/>
          </cell>
          <cell r="V6225" t="str">
            <v/>
          </cell>
          <cell r="Z6225" t="str">
            <v/>
          </cell>
          <cell r="AA6225" t="str">
            <v/>
          </cell>
          <cell r="AB6225" t="str">
            <v/>
          </cell>
          <cell r="AC6225" t="str">
            <v/>
          </cell>
          <cell r="AD6225" t="str">
            <v/>
          </cell>
          <cell r="AY6225" t="str">
            <v/>
          </cell>
          <cell r="AZ6225" t="str">
            <v/>
          </cell>
          <cell r="BA6225" t="str">
            <v/>
          </cell>
        </row>
        <row r="6226">
          <cell r="B6226" t="str">
            <v>-</v>
          </cell>
          <cell r="E6226" t="str">
            <v/>
          </cell>
          <cell r="G6226" t="str">
            <v/>
          </cell>
          <cell r="J6226" t="str">
            <v/>
          </cell>
          <cell r="O6226" t="str">
            <v/>
          </cell>
          <cell r="P6226" t="str">
            <v/>
          </cell>
          <cell r="Q6226" t="str">
            <v/>
          </cell>
          <cell r="S6226" t="str">
            <v/>
          </cell>
          <cell r="V6226" t="str">
            <v/>
          </cell>
          <cell r="Z6226" t="str">
            <v/>
          </cell>
          <cell r="AA6226" t="str">
            <v/>
          </cell>
          <cell r="AB6226" t="str">
            <v/>
          </cell>
          <cell r="AC6226" t="str">
            <v/>
          </cell>
          <cell r="AD6226" t="str">
            <v/>
          </cell>
          <cell r="AY6226" t="str">
            <v/>
          </cell>
          <cell r="AZ6226" t="str">
            <v/>
          </cell>
          <cell r="BA6226" t="str">
            <v/>
          </cell>
        </row>
        <row r="6227">
          <cell r="B6227" t="str">
            <v>-</v>
          </cell>
          <cell r="E6227" t="str">
            <v/>
          </cell>
          <cell r="G6227" t="str">
            <v/>
          </cell>
          <cell r="J6227" t="str">
            <v/>
          </cell>
          <cell r="O6227" t="str">
            <v/>
          </cell>
          <cell r="P6227" t="str">
            <v/>
          </cell>
          <cell r="Q6227" t="str">
            <v/>
          </cell>
          <cell r="S6227" t="str">
            <v/>
          </cell>
          <cell r="V6227" t="str">
            <v/>
          </cell>
          <cell r="Z6227" t="str">
            <v/>
          </cell>
          <cell r="AA6227" t="str">
            <v/>
          </cell>
          <cell r="AB6227" t="str">
            <v/>
          </cell>
          <cell r="AC6227" t="str">
            <v/>
          </cell>
          <cell r="AD6227" t="str">
            <v/>
          </cell>
          <cell r="AY6227" t="str">
            <v/>
          </cell>
          <cell r="AZ6227" t="str">
            <v/>
          </cell>
          <cell r="BA6227" t="str">
            <v/>
          </cell>
        </row>
        <row r="6228">
          <cell r="B6228" t="str">
            <v>-</v>
          </cell>
          <cell r="E6228" t="str">
            <v/>
          </cell>
          <cell r="G6228" t="str">
            <v/>
          </cell>
          <cell r="J6228" t="str">
            <v/>
          </cell>
          <cell r="O6228" t="str">
            <v/>
          </cell>
          <cell r="P6228" t="str">
            <v/>
          </cell>
          <cell r="Q6228" t="str">
            <v/>
          </cell>
          <cell r="S6228" t="str">
            <v/>
          </cell>
          <cell r="V6228" t="str">
            <v/>
          </cell>
          <cell r="Z6228" t="str">
            <v/>
          </cell>
          <cell r="AA6228" t="str">
            <v/>
          </cell>
          <cell r="AB6228" t="str">
            <v/>
          </cell>
          <cell r="AC6228" t="str">
            <v/>
          </cell>
          <cell r="AD6228" t="str">
            <v/>
          </cell>
          <cell r="AY6228" t="str">
            <v/>
          </cell>
          <cell r="AZ6228" t="str">
            <v/>
          </cell>
          <cell r="BA6228" t="str">
            <v/>
          </cell>
        </row>
        <row r="6229">
          <cell r="B6229" t="str">
            <v>-</v>
          </cell>
          <cell r="E6229" t="str">
            <v/>
          </cell>
          <cell r="G6229" t="str">
            <v/>
          </cell>
          <cell r="J6229" t="str">
            <v/>
          </cell>
          <cell r="O6229" t="str">
            <v/>
          </cell>
          <cell r="P6229" t="str">
            <v/>
          </cell>
          <cell r="Q6229" t="str">
            <v/>
          </cell>
          <cell r="S6229" t="str">
            <v/>
          </cell>
          <cell r="V6229" t="str">
            <v/>
          </cell>
          <cell r="Z6229" t="str">
            <v/>
          </cell>
          <cell r="AA6229" t="str">
            <v/>
          </cell>
          <cell r="AB6229" t="str">
            <v/>
          </cell>
          <cell r="AC6229" t="str">
            <v/>
          </cell>
          <cell r="AD6229" t="str">
            <v/>
          </cell>
          <cell r="AY6229" t="str">
            <v/>
          </cell>
          <cell r="AZ6229" t="str">
            <v/>
          </cell>
          <cell r="BA6229" t="str">
            <v/>
          </cell>
        </row>
        <row r="6230">
          <cell r="B6230" t="str">
            <v>-</v>
          </cell>
          <cell r="E6230" t="str">
            <v/>
          </cell>
          <cell r="G6230" t="str">
            <v/>
          </cell>
          <cell r="J6230" t="str">
            <v/>
          </cell>
          <cell r="O6230" t="str">
            <v/>
          </cell>
          <cell r="P6230" t="str">
            <v/>
          </cell>
          <cell r="Q6230" t="str">
            <v/>
          </cell>
          <cell r="S6230" t="str">
            <v/>
          </cell>
          <cell r="V6230" t="str">
            <v/>
          </cell>
          <cell r="Z6230" t="str">
            <v/>
          </cell>
          <cell r="AA6230" t="str">
            <v/>
          </cell>
          <cell r="AB6230" t="str">
            <v/>
          </cell>
          <cell r="AC6230" t="str">
            <v/>
          </cell>
          <cell r="AD6230" t="str">
            <v/>
          </cell>
          <cell r="AY6230" t="str">
            <v/>
          </cell>
          <cell r="AZ6230" t="str">
            <v/>
          </cell>
          <cell r="BA6230" t="str">
            <v/>
          </cell>
        </row>
        <row r="6231">
          <cell r="B6231" t="str">
            <v>-</v>
          </cell>
          <cell r="E6231" t="str">
            <v/>
          </cell>
          <cell r="G6231" t="str">
            <v/>
          </cell>
          <cell r="J6231" t="str">
            <v/>
          </cell>
          <cell r="O6231" t="str">
            <v/>
          </cell>
          <cell r="P6231" t="str">
            <v/>
          </cell>
          <cell r="Q6231" t="str">
            <v/>
          </cell>
          <cell r="S6231" t="str">
            <v/>
          </cell>
          <cell r="V6231" t="str">
            <v/>
          </cell>
          <cell r="Z6231" t="str">
            <v/>
          </cell>
          <cell r="AA6231" t="str">
            <v/>
          </cell>
          <cell r="AB6231" t="str">
            <v/>
          </cell>
          <cell r="AC6231" t="str">
            <v/>
          </cell>
          <cell r="AD6231" t="str">
            <v/>
          </cell>
          <cell r="AY6231" t="str">
            <v/>
          </cell>
          <cell r="AZ6231" t="str">
            <v/>
          </cell>
          <cell r="BA6231" t="str">
            <v/>
          </cell>
        </row>
        <row r="6232">
          <cell r="B6232" t="str">
            <v>-</v>
          </cell>
          <cell r="E6232" t="str">
            <v/>
          </cell>
          <cell r="G6232" t="str">
            <v/>
          </cell>
          <cell r="J6232" t="str">
            <v/>
          </cell>
          <cell r="O6232" t="str">
            <v/>
          </cell>
          <cell r="P6232" t="str">
            <v/>
          </cell>
          <cell r="Q6232" t="str">
            <v/>
          </cell>
          <cell r="S6232" t="str">
            <v/>
          </cell>
          <cell r="V6232" t="str">
            <v/>
          </cell>
          <cell r="Z6232" t="str">
            <v/>
          </cell>
          <cell r="AA6232" t="str">
            <v/>
          </cell>
          <cell r="AB6232" t="str">
            <v/>
          </cell>
          <cell r="AC6232" t="str">
            <v/>
          </cell>
          <cell r="AD6232" t="str">
            <v/>
          </cell>
          <cell r="AY6232" t="str">
            <v/>
          </cell>
          <cell r="AZ6232" t="str">
            <v/>
          </cell>
          <cell r="BA6232" t="str">
            <v/>
          </cell>
        </row>
        <row r="6233">
          <cell r="B6233" t="str">
            <v>-</v>
          </cell>
          <cell r="E6233" t="str">
            <v/>
          </cell>
          <cell r="G6233" t="str">
            <v/>
          </cell>
          <cell r="J6233" t="str">
            <v/>
          </cell>
          <cell r="O6233" t="str">
            <v/>
          </cell>
          <cell r="P6233" t="str">
            <v/>
          </cell>
          <cell r="Q6233" t="str">
            <v/>
          </cell>
          <cell r="S6233" t="str">
            <v/>
          </cell>
          <cell r="V6233" t="str">
            <v/>
          </cell>
          <cell r="Z6233" t="str">
            <v/>
          </cell>
          <cell r="AA6233" t="str">
            <v/>
          </cell>
          <cell r="AB6233" t="str">
            <v/>
          </cell>
          <cell r="AC6233" t="str">
            <v/>
          </cell>
          <cell r="AD6233" t="str">
            <v/>
          </cell>
          <cell r="AY6233" t="str">
            <v/>
          </cell>
          <cell r="AZ6233" t="str">
            <v/>
          </cell>
          <cell r="BA6233" t="str">
            <v/>
          </cell>
        </row>
        <row r="6234">
          <cell r="B6234" t="str">
            <v>-</v>
          </cell>
          <cell r="E6234" t="str">
            <v/>
          </cell>
          <cell r="G6234" t="str">
            <v/>
          </cell>
          <cell r="J6234" t="str">
            <v/>
          </cell>
          <cell r="O6234" t="str">
            <v/>
          </cell>
          <cell r="P6234" t="str">
            <v/>
          </cell>
          <cell r="Q6234" t="str">
            <v/>
          </cell>
          <cell r="S6234" t="str">
            <v/>
          </cell>
          <cell r="V6234" t="str">
            <v/>
          </cell>
          <cell r="Z6234" t="str">
            <v/>
          </cell>
          <cell r="AA6234" t="str">
            <v/>
          </cell>
          <cell r="AB6234" t="str">
            <v/>
          </cell>
          <cell r="AC6234" t="str">
            <v/>
          </cell>
          <cell r="AD6234" t="str">
            <v/>
          </cell>
          <cell r="AY6234" t="str">
            <v/>
          </cell>
          <cell r="AZ6234" t="str">
            <v/>
          </cell>
          <cell r="BA6234" t="str">
            <v/>
          </cell>
        </row>
        <row r="6235">
          <cell r="B6235" t="str">
            <v>-</v>
          </cell>
          <cell r="E6235" t="str">
            <v/>
          </cell>
          <cell r="G6235" t="str">
            <v/>
          </cell>
          <cell r="J6235" t="str">
            <v/>
          </cell>
          <cell r="O6235" t="str">
            <v/>
          </cell>
          <cell r="P6235" t="str">
            <v/>
          </cell>
          <cell r="Q6235" t="str">
            <v/>
          </cell>
          <cell r="S6235" t="str">
            <v/>
          </cell>
          <cell r="V6235" t="str">
            <v/>
          </cell>
          <cell r="Z6235" t="str">
            <v/>
          </cell>
          <cell r="AA6235" t="str">
            <v/>
          </cell>
          <cell r="AB6235" t="str">
            <v/>
          </cell>
          <cell r="AC6235" t="str">
            <v/>
          </cell>
          <cell r="AD6235" t="str">
            <v/>
          </cell>
          <cell r="AY6235" t="str">
            <v/>
          </cell>
          <cell r="AZ6235" t="str">
            <v/>
          </cell>
          <cell r="BA6235" t="str">
            <v/>
          </cell>
        </row>
        <row r="6236">
          <cell r="B6236" t="str">
            <v>-</v>
          </cell>
          <cell r="E6236" t="str">
            <v/>
          </cell>
          <cell r="G6236" t="str">
            <v/>
          </cell>
          <cell r="J6236" t="str">
            <v/>
          </cell>
          <cell r="O6236" t="str">
            <v/>
          </cell>
          <cell r="P6236" t="str">
            <v/>
          </cell>
          <cell r="Q6236" t="str">
            <v/>
          </cell>
          <cell r="S6236" t="str">
            <v/>
          </cell>
          <cell r="V6236" t="str">
            <v/>
          </cell>
          <cell r="Z6236" t="str">
            <v/>
          </cell>
          <cell r="AA6236" t="str">
            <v/>
          </cell>
          <cell r="AB6236" t="str">
            <v/>
          </cell>
          <cell r="AC6236" t="str">
            <v/>
          </cell>
          <cell r="AD6236" t="str">
            <v/>
          </cell>
          <cell r="AY6236" t="str">
            <v/>
          </cell>
          <cell r="AZ6236" t="str">
            <v/>
          </cell>
          <cell r="BA6236" t="str">
            <v/>
          </cell>
        </row>
        <row r="6237">
          <cell r="B6237" t="str">
            <v>-</v>
          </cell>
          <cell r="E6237" t="str">
            <v/>
          </cell>
          <cell r="G6237" t="str">
            <v/>
          </cell>
          <cell r="J6237" t="str">
            <v/>
          </cell>
          <cell r="O6237" t="str">
            <v/>
          </cell>
          <cell r="P6237" t="str">
            <v/>
          </cell>
          <cell r="Q6237" t="str">
            <v/>
          </cell>
          <cell r="S6237" t="str">
            <v/>
          </cell>
          <cell r="V6237" t="str">
            <v/>
          </cell>
          <cell r="Z6237" t="str">
            <v/>
          </cell>
          <cell r="AA6237" t="str">
            <v/>
          </cell>
          <cell r="AB6237" t="str">
            <v/>
          </cell>
          <cell r="AC6237" t="str">
            <v/>
          </cell>
          <cell r="AD6237" t="str">
            <v/>
          </cell>
          <cell r="AY6237" t="str">
            <v/>
          </cell>
          <cell r="AZ6237" t="str">
            <v/>
          </cell>
          <cell r="BA6237" t="str">
            <v/>
          </cell>
        </row>
        <row r="6238">
          <cell r="B6238" t="str">
            <v>-</v>
          </cell>
          <cell r="E6238" t="str">
            <v/>
          </cell>
          <cell r="G6238" t="str">
            <v/>
          </cell>
          <cell r="J6238" t="str">
            <v/>
          </cell>
          <cell r="O6238" t="str">
            <v/>
          </cell>
          <cell r="P6238" t="str">
            <v/>
          </cell>
          <cell r="Q6238" t="str">
            <v/>
          </cell>
          <cell r="S6238" t="str">
            <v/>
          </cell>
          <cell r="V6238" t="str">
            <v/>
          </cell>
          <cell r="Z6238" t="str">
            <v/>
          </cell>
          <cell r="AA6238" t="str">
            <v/>
          </cell>
          <cell r="AB6238" t="str">
            <v/>
          </cell>
          <cell r="AC6238" t="str">
            <v/>
          </cell>
          <cell r="AD6238" t="str">
            <v/>
          </cell>
          <cell r="AY6238" t="str">
            <v/>
          </cell>
          <cell r="AZ6238" t="str">
            <v/>
          </cell>
          <cell r="BA6238" t="str">
            <v/>
          </cell>
        </row>
        <row r="6239">
          <cell r="B6239" t="str">
            <v>-</v>
          </cell>
          <cell r="E6239" t="str">
            <v/>
          </cell>
          <cell r="G6239" t="str">
            <v/>
          </cell>
          <cell r="J6239" t="str">
            <v/>
          </cell>
          <cell r="O6239" t="str">
            <v/>
          </cell>
          <cell r="P6239" t="str">
            <v/>
          </cell>
          <cell r="Q6239" t="str">
            <v/>
          </cell>
          <cell r="S6239" t="str">
            <v/>
          </cell>
          <cell r="V6239" t="str">
            <v/>
          </cell>
          <cell r="Z6239" t="str">
            <v/>
          </cell>
          <cell r="AA6239" t="str">
            <v/>
          </cell>
          <cell r="AB6239" t="str">
            <v/>
          </cell>
          <cell r="AC6239" t="str">
            <v/>
          </cell>
          <cell r="AD6239" t="str">
            <v/>
          </cell>
          <cell r="AY6239" t="str">
            <v/>
          </cell>
          <cell r="AZ6239" t="str">
            <v/>
          </cell>
          <cell r="BA6239" t="str">
            <v/>
          </cell>
        </row>
        <row r="6240">
          <cell r="B6240" t="str">
            <v>-</v>
          </cell>
          <cell r="E6240" t="str">
            <v/>
          </cell>
          <cell r="G6240" t="str">
            <v/>
          </cell>
          <cell r="J6240" t="str">
            <v/>
          </cell>
          <cell r="O6240" t="str">
            <v/>
          </cell>
          <cell r="P6240" t="str">
            <v/>
          </cell>
          <cell r="Q6240" t="str">
            <v/>
          </cell>
          <cell r="S6240" t="str">
            <v/>
          </cell>
          <cell r="V6240" t="str">
            <v/>
          </cell>
          <cell r="Z6240" t="str">
            <v/>
          </cell>
          <cell r="AA6240" t="str">
            <v/>
          </cell>
          <cell r="AB6240" t="str">
            <v/>
          </cell>
          <cell r="AC6240" t="str">
            <v/>
          </cell>
          <cell r="AD6240" t="str">
            <v/>
          </cell>
          <cell r="AY6240" t="str">
            <v/>
          </cell>
          <cell r="AZ6240" t="str">
            <v/>
          </cell>
          <cell r="BA6240" t="str">
            <v/>
          </cell>
        </row>
        <row r="6241">
          <cell r="B6241" t="str">
            <v>-</v>
          </cell>
          <cell r="E6241" t="str">
            <v/>
          </cell>
          <cell r="G6241" t="str">
            <v/>
          </cell>
          <cell r="J6241" t="str">
            <v/>
          </cell>
          <cell r="O6241" t="str">
            <v/>
          </cell>
          <cell r="P6241" t="str">
            <v/>
          </cell>
          <cell r="Q6241" t="str">
            <v/>
          </cell>
          <cell r="S6241" t="str">
            <v/>
          </cell>
          <cell r="V6241" t="str">
            <v/>
          </cell>
          <cell r="Z6241" t="str">
            <v/>
          </cell>
          <cell r="AA6241" t="str">
            <v/>
          </cell>
          <cell r="AB6241" t="str">
            <v/>
          </cell>
          <cell r="AC6241" t="str">
            <v/>
          </cell>
          <cell r="AD6241" t="str">
            <v/>
          </cell>
          <cell r="AY6241" t="str">
            <v/>
          </cell>
          <cell r="AZ6241" t="str">
            <v/>
          </cell>
          <cell r="BA6241" t="str">
            <v/>
          </cell>
        </row>
        <row r="6242">
          <cell r="B6242" t="str">
            <v>-</v>
          </cell>
          <cell r="E6242" t="str">
            <v/>
          </cell>
          <cell r="G6242" t="str">
            <v/>
          </cell>
          <cell r="J6242" t="str">
            <v/>
          </cell>
          <cell r="O6242" t="str">
            <v/>
          </cell>
          <cell r="P6242" t="str">
            <v/>
          </cell>
          <cell r="Q6242" t="str">
            <v/>
          </cell>
          <cell r="S6242" t="str">
            <v/>
          </cell>
          <cell r="V6242" t="str">
            <v/>
          </cell>
          <cell r="Z6242" t="str">
            <v/>
          </cell>
          <cell r="AA6242" t="str">
            <v/>
          </cell>
          <cell r="AB6242" t="str">
            <v/>
          </cell>
          <cell r="AC6242" t="str">
            <v/>
          </cell>
          <cell r="AD6242" t="str">
            <v/>
          </cell>
          <cell r="AY6242" t="str">
            <v/>
          </cell>
          <cell r="AZ6242" t="str">
            <v/>
          </cell>
          <cell r="BA6242" t="str">
            <v/>
          </cell>
        </row>
        <row r="6243">
          <cell r="B6243" t="str">
            <v>-</v>
          </cell>
          <cell r="E6243" t="str">
            <v/>
          </cell>
          <cell r="G6243" t="str">
            <v/>
          </cell>
          <cell r="J6243" t="str">
            <v/>
          </cell>
          <cell r="O6243" t="str">
            <v/>
          </cell>
          <cell r="P6243" t="str">
            <v/>
          </cell>
          <cell r="Q6243" t="str">
            <v/>
          </cell>
          <cell r="S6243" t="str">
            <v/>
          </cell>
          <cell r="V6243" t="str">
            <v/>
          </cell>
          <cell r="Z6243" t="str">
            <v/>
          </cell>
          <cell r="AA6243" t="str">
            <v/>
          </cell>
          <cell r="AB6243" t="str">
            <v/>
          </cell>
          <cell r="AC6243" t="str">
            <v/>
          </cell>
          <cell r="AD6243" t="str">
            <v/>
          </cell>
          <cell r="AY6243" t="str">
            <v/>
          </cell>
          <cell r="AZ6243" t="str">
            <v/>
          </cell>
          <cell r="BA6243" t="str">
            <v/>
          </cell>
        </row>
        <row r="6244">
          <cell r="B6244" t="str">
            <v>-</v>
          </cell>
          <cell r="E6244" t="str">
            <v/>
          </cell>
          <cell r="G6244" t="str">
            <v/>
          </cell>
          <cell r="J6244" t="str">
            <v/>
          </cell>
          <cell r="O6244" t="str">
            <v/>
          </cell>
          <cell r="P6244" t="str">
            <v/>
          </cell>
          <cell r="Q6244" t="str">
            <v/>
          </cell>
          <cell r="S6244" t="str">
            <v/>
          </cell>
          <cell r="V6244" t="str">
            <v/>
          </cell>
          <cell r="Z6244" t="str">
            <v/>
          </cell>
          <cell r="AA6244" t="str">
            <v/>
          </cell>
          <cell r="AB6244" t="str">
            <v/>
          </cell>
          <cell r="AC6244" t="str">
            <v/>
          </cell>
          <cell r="AD6244" t="str">
            <v/>
          </cell>
          <cell r="AY6244" t="str">
            <v/>
          </cell>
          <cell r="AZ6244" t="str">
            <v/>
          </cell>
          <cell r="BA6244" t="str">
            <v/>
          </cell>
        </row>
        <row r="6245">
          <cell r="B6245" t="str">
            <v>-</v>
          </cell>
          <cell r="E6245" t="str">
            <v/>
          </cell>
          <cell r="G6245" t="str">
            <v/>
          </cell>
          <cell r="J6245" t="str">
            <v/>
          </cell>
          <cell r="O6245" t="str">
            <v/>
          </cell>
          <cell r="P6245" t="str">
            <v/>
          </cell>
          <cell r="Q6245" t="str">
            <v/>
          </cell>
          <cell r="S6245" t="str">
            <v/>
          </cell>
          <cell r="V6245" t="str">
            <v/>
          </cell>
          <cell r="Z6245" t="str">
            <v/>
          </cell>
          <cell r="AA6245" t="str">
            <v/>
          </cell>
          <cell r="AB6245" t="str">
            <v/>
          </cell>
          <cell r="AC6245" t="str">
            <v/>
          </cell>
          <cell r="AD6245" t="str">
            <v/>
          </cell>
          <cell r="AY6245" t="str">
            <v/>
          </cell>
          <cell r="AZ6245" t="str">
            <v/>
          </cell>
          <cell r="BA6245" t="str">
            <v/>
          </cell>
        </row>
        <row r="6246">
          <cell r="B6246" t="str">
            <v>-</v>
          </cell>
          <cell r="E6246" t="str">
            <v/>
          </cell>
          <cell r="G6246" t="str">
            <v/>
          </cell>
          <cell r="J6246" t="str">
            <v/>
          </cell>
          <cell r="O6246" t="str">
            <v/>
          </cell>
          <cell r="P6246" t="str">
            <v/>
          </cell>
          <cell r="Q6246" t="str">
            <v/>
          </cell>
          <cell r="S6246" t="str">
            <v/>
          </cell>
          <cell r="V6246" t="str">
            <v/>
          </cell>
          <cell r="Z6246" t="str">
            <v/>
          </cell>
          <cell r="AA6246" t="str">
            <v/>
          </cell>
          <cell r="AB6246" t="str">
            <v/>
          </cell>
          <cell r="AC6246" t="str">
            <v/>
          </cell>
          <cell r="AD6246" t="str">
            <v/>
          </cell>
          <cell r="AY6246" t="str">
            <v/>
          </cell>
          <cell r="AZ6246" t="str">
            <v/>
          </cell>
          <cell r="BA6246" t="str">
            <v/>
          </cell>
        </row>
        <row r="6247">
          <cell r="B6247" t="str">
            <v>-</v>
          </cell>
          <cell r="E6247" t="str">
            <v/>
          </cell>
          <cell r="G6247" t="str">
            <v/>
          </cell>
          <cell r="J6247" t="str">
            <v/>
          </cell>
          <cell r="O6247" t="str">
            <v/>
          </cell>
          <cell r="P6247" t="str">
            <v/>
          </cell>
          <cell r="Q6247" t="str">
            <v/>
          </cell>
          <cell r="S6247" t="str">
            <v/>
          </cell>
          <cell r="V6247" t="str">
            <v/>
          </cell>
          <cell r="Z6247" t="str">
            <v/>
          </cell>
          <cell r="AA6247" t="str">
            <v/>
          </cell>
          <cell r="AB6247" t="str">
            <v/>
          </cell>
          <cell r="AC6247" t="str">
            <v/>
          </cell>
          <cell r="AD6247" t="str">
            <v/>
          </cell>
          <cell r="AY6247" t="str">
            <v/>
          </cell>
          <cell r="AZ6247" t="str">
            <v/>
          </cell>
          <cell r="BA6247" t="str">
            <v/>
          </cell>
        </row>
        <row r="6248">
          <cell r="B6248" t="str">
            <v>-</v>
          </cell>
          <cell r="E6248" t="str">
            <v/>
          </cell>
          <cell r="G6248" t="str">
            <v/>
          </cell>
          <cell r="J6248" t="str">
            <v/>
          </cell>
          <cell r="O6248" t="str">
            <v/>
          </cell>
          <cell r="P6248" t="str">
            <v/>
          </cell>
          <cell r="Q6248" t="str">
            <v/>
          </cell>
          <cell r="S6248" t="str">
            <v/>
          </cell>
          <cell r="V6248" t="str">
            <v/>
          </cell>
          <cell r="Z6248" t="str">
            <v/>
          </cell>
          <cell r="AA6248" t="str">
            <v/>
          </cell>
          <cell r="AB6248" t="str">
            <v/>
          </cell>
          <cell r="AC6248" t="str">
            <v/>
          </cell>
          <cell r="AD6248" t="str">
            <v/>
          </cell>
          <cell r="AY6248" t="str">
            <v/>
          </cell>
          <cell r="AZ6248" t="str">
            <v/>
          </cell>
          <cell r="BA6248" t="str">
            <v/>
          </cell>
        </row>
        <row r="6249">
          <cell r="B6249" t="str">
            <v>-</v>
          </cell>
          <cell r="E6249" t="str">
            <v/>
          </cell>
          <cell r="G6249" t="str">
            <v/>
          </cell>
          <cell r="J6249" t="str">
            <v/>
          </cell>
          <cell r="O6249" t="str">
            <v/>
          </cell>
          <cell r="P6249" t="str">
            <v/>
          </cell>
          <cell r="Q6249" t="str">
            <v/>
          </cell>
          <cell r="S6249" t="str">
            <v/>
          </cell>
          <cell r="V6249" t="str">
            <v/>
          </cell>
          <cell r="Z6249" t="str">
            <v/>
          </cell>
          <cell r="AA6249" t="str">
            <v/>
          </cell>
          <cell r="AB6249" t="str">
            <v/>
          </cell>
          <cell r="AC6249" t="str">
            <v/>
          </cell>
          <cell r="AD6249" t="str">
            <v/>
          </cell>
          <cell r="AY6249" t="str">
            <v/>
          </cell>
          <cell r="AZ6249" t="str">
            <v/>
          </cell>
          <cell r="BA6249" t="str">
            <v/>
          </cell>
        </row>
        <row r="6250">
          <cell r="B6250" t="str">
            <v>-</v>
          </cell>
          <cell r="E6250" t="str">
            <v/>
          </cell>
          <cell r="G6250" t="str">
            <v/>
          </cell>
          <cell r="J6250" t="str">
            <v/>
          </cell>
          <cell r="O6250" t="str">
            <v/>
          </cell>
          <cell r="P6250" t="str">
            <v/>
          </cell>
          <cell r="Q6250" t="str">
            <v/>
          </cell>
          <cell r="S6250" t="str">
            <v/>
          </cell>
          <cell r="V6250" t="str">
            <v/>
          </cell>
          <cell r="Z6250" t="str">
            <v/>
          </cell>
          <cell r="AA6250" t="str">
            <v/>
          </cell>
          <cell r="AB6250" t="str">
            <v/>
          </cell>
          <cell r="AC6250" t="str">
            <v/>
          </cell>
          <cell r="AD6250" t="str">
            <v/>
          </cell>
          <cell r="AY6250" t="str">
            <v/>
          </cell>
          <cell r="AZ6250" t="str">
            <v/>
          </cell>
          <cell r="BA6250" t="str">
            <v/>
          </cell>
        </row>
        <row r="6251">
          <cell r="B6251" t="str">
            <v>-</v>
          </cell>
          <cell r="E6251" t="str">
            <v/>
          </cell>
          <cell r="G6251" t="str">
            <v/>
          </cell>
          <cell r="J6251" t="str">
            <v/>
          </cell>
          <cell r="O6251" t="str">
            <v/>
          </cell>
          <cell r="P6251" t="str">
            <v/>
          </cell>
          <cell r="Q6251" t="str">
            <v/>
          </cell>
          <cell r="S6251" t="str">
            <v/>
          </cell>
          <cell r="V6251" t="str">
            <v/>
          </cell>
          <cell r="Z6251" t="str">
            <v/>
          </cell>
          <cell r="AA6251" t="str">
            <v/>
          </cell>
          <cell r="AB6251" t="str">
            <v/>
          </cell>
          <cell r="AC6251" t="str">
            <v/>
          </cell>
          <cell r="AD6251" t="str">
            <v/>
          </cell>
          <cell r="AY6251" t="str">
            <v/>
          </cell>
          <cell r="AZ6251" t="str">
            <v/>
          </cell>
          <cell r="BA6251" t="str">
            <v/>
          </cell>
        </row>
        <row r="6252">
          <cell r="B6252" t="str">
            <v>-</v>
          </cell>
          <cell r="E6252" t="str">
            <v/>
          </cell>
          <cell r="G6252" t="str">
            <v/>
          </cell>
          <cell r="J6252" t="str">
            <v/>
          </cell>
          <cell r="O6252" t="str">
            <v/>
          </cell>
          <cell r="P6252" t="str">
            <v/>
          </cell>
          <cell r="Q6252" t="str">
            <v/>
          </cell>
          <cell r="S6252" t="str">
            <v/>
          </cell>
          <cell r="V6252" t="str">
            <v/>
          </cell>
          <cell r="Z6252" t="str">
            <v/>
          </cell>
          <cell r="AA6252" t="str">
            <v/>
          </cell>
          <cell r="AB6252" t="str">
            <v/>
          </cell>
          <cell r="AC6252" t="str">
            <v/>
          </cell>
          <cell r="AD6252" t="str">
            <v/>
          </cell>
          <cell r="AY6252" t="str">
            <v/>
          </cell>
          <cell r="AZ6252" t="str">
            <v/>
          </cell>
          <cell r="BA6252" t="str">
            <v/>
          </cell>
        </row>
        <row r="6253">
          <cell r="B6253" t="str">
            <v>-</v>
          </cell>
          <cell r="E6253" t="str">
            <v/>
          </cell>
          <cell r="G6253" t="str">
            <v/>
          </cell>
          <cell r="J6253" t="str">
            <v/>
          </cell>
          <cell r="O6253" t="str">
            <v/>
          </cell>
          <cell r="P6253" t="str">
            <v/>
          </cell>
          <cell r="Q6253" t="str">
            <v/>
          </cell>
          <cell r="S6253" t="str">
            <v/>
          </cell>
          <cell r="V6253" t="str">
            <v/>
          </cell>
          <cell r="Z6253" t="str">
            <v/>
          </cell>
          <cell r="AA6253" t="str">
            <v/>
          </cell>
          <cell r="AB6253" t="str">
            <v/>
          </cell>
          <cell r="AC6253" t="str">
            <v/>
          </cell>
          <cell r="AD6253" t="str">
            <v/>
          </cell>
          <cell r="AY6253" t="str">
            <v/>
          </cell>
          <cell r="AZ6253" t="str">
            <v/>
          </cell>
          <cell r="BA6253" t="str">
            <v/>
          </cell>
        </row>
        <row r="6254">
          <cell r="B6254" t="str">
            <v>-</v>
          </cell>
          <cell r="E6254" t="str">
            <v/>
          </cell>
          <cell r="G6254" t="str">
            <v/>
          </cell>
          <cell r="J6254" t="str">
            <v/>
          </cell>
          <cell r="O6254" t="str">
            <v/>
          </cell>
          <cell r="P6254" t="str">
            <v/>
          </cell>
          <cell r="Q6254" t="str">
            <v/>
          </cell>
          <cell r="S6254" t="str">
            <v/>
          </cell>
          <cell r="V6254" t="str">
            <v/>
          </cell>
          <cell r="Z6254" t="str">
            <v/>
          </cell>
          <cell r="AA6254" t="str">
            <v/>
          </cell>
          <cell r="AB6254" t="str">
            <v/>
          </cell>
          <cell r="AC6254" t="str">
            <v/>
          </cell>
          <cell r="AD6254" t="str">
            <v/>
          </cell>
          <cell r="AY6254" t="str">
            <v/>
          </cell>
          <cell r="AZ6254" t="str">
            <v/>
          </cell>
          <cell r="BA6254" t="str">
            <v/>
          </cell>
        </row>
        <row r="6255">
          <cell r="B6255" t="str">
            <v>-</v>
          </cell>
          <cell r="E6255" t="str">
            <v/>
          </cell>
          <cell r="G6255" t="str">
            <v/>
          </cell>
          <cell r="J6255" t="str">
            <v/>
          </cell>
          <cell r="O6255" t="str">
            <v/>
          </cell>
          <cell r="P6255" t="str">
            <v/>
          </cell>
          <cell r="Q6255" t="str">
            <v/>
          </cell>
          <cell r="S6255" t="str">
            <v/>
          </cell>
          <cell r="V6255" t="str">
            <v/>
          </cell>
          <cell r="Z6255" t="str">
            <v/>
          </cell>
          <cell r="AA6255" t="str">
            <v/>
          </cell>
          <cell r="AB6255" t="str">
            <v/>
          </cell>
          <cell r="AC6255" t="str">
            <v/>
          </cell>
          <cell r="AD6255" t="str">
            <v/>
          </cell>
          <cell r="AY6255" t="str">
            <v/>
          </cell>
          <cell r="AZ6255" t="str">
            <v/>
          </cell>
          <cell r="BA6255" t="str">
            <v/>
          </cell>
        </row>
        <row r="6256">
          <cell r="B6256" t="str">
            <v>-</v>
          </cell>
          <cell r="E6256" t="str">
            <v/>
          </cell>
          <cell r="G6256" t="str">
            <v/>
          </cell>
          <cell r="J6256" t="str">
            <v/>
          </cell>
          <cell r="O6256" t="str">
            <v/>
          </cell>
          <cell r="P6256" t="str">
            <v/>
          </cell>
          <cell r="Q6256" t="str">
            <v/>
          </cell>
          <cell r="S6256" t="str">
            <v/>
          </cell>
          <cell r="V6256" t="str">
            <v/>
          </cell>
          <cell r="Z6256" t="str">
            <v/>
          </cell>
          <cell r="AA6256" t="str">
            <v/>
          </cell>
          <cell r="AB6256" t="str">
            <v/>
          </cell>
          <cell r="AC6256" t="str">
            <v/>
          </cell>
          <cell r="AD6256" t="str">
            <v/>
          </cell>
          <cell r="AY6256" t="str">
            <v/>
          </cell>
          <cell r="AZ6256" t="str">
            <v/>
          </cell>
          <cell r="BA6256" t="str">
            <v/>
          </cell>
        </row>
        <row r="6257">
          <cell r="B6257" t="str">
            <v>-</v>
          </cell>
          <cell r="E6257" t="str">
            <v/>
          </cell>
          <cell r="G6257" t="str">
            <v/>
          </cell>
          <cell r="J6257" t="str">
            <v/>
          </cell>
          <cell r="O6257" t="str">
            <v/>
          </cell>
          <cell r="P6257" t="str">
            <v/>
          </cell>
          <cell r="Q6257" t="str">
            <v/>
          </cell>
          <cell r="S6257" t="str">
            <v/>
          </cell>
          <cell r="V6257" t="str">
            <v/>
          </cell>
          <cell r="Z6257" t="str">
            <v/>
          </cell>
          <cell r="AA6257" t="str">
            <v/>
          </cell>
          <cell r="AB6257" t="str">
            <v/>
          </cell>
          <cell r="AC6257" t="str">
            <v/>
          </cell>
          <cell r="AD6257" t="str">
            <v/>
          </cell>
          <cell r="AY6257" t="str">
            <v/>
          </cell>
          <cell r="AZ6257" t="str">
            <v/>
          </cell>
          <cell r="BA6257" t="str">
            <v/>
          </cell>
        </row>
        <row r="6258">
          <cell r="B6258" t="str">
            <v>-</v>
          </cell>
          <cell r="E6258" t="str">
            <v/>
          </cell>
          <cell r="G6258" t="str">
            <v/>
          </cell>
          <cell r="J6258" t="str">
            <v/>
          </cell>
          <cell r="O6258" t="str">
            <v/>
          </cell>
          <cell r="P6258" t="str">
            <v/>
          </cell>
          <cell r="Q6258" t="str">
            <v/>
          </cell>
          <cell r="S6258" t="str">
            <v/>
          </cell>
          <cell r="V6258" t="str">
            <v/>
          </cell>
          <cell r="Z6258" t="str">
            <v/>
          </cell>
          <cell r="AA6258" t="str">
            <v/>
          </cell>
          <cell r="AB6258" t="str">
            <v/>
          </cell>
          <cell r="AC6258" t="str">
            <v/>
          </cell>
          <cell r="AD6258" t="str">
            <v/>
          </cell>
          <cell r="AY6258" t="str">
            <v/>
          </cell>
          <cell r="AZ6258" t="str">
            <v/>
          </cell>
          <cell r="BA6258" t="str">
            <v/>
          </cell>
        </row>
        <row r="6259">
          <cell r="B6259" t="str">
            <v>-</v>
          </cell>
          <cell r="E6259" t="str">
            <v/>
          </cell>
          <cell r="G6259" t="str">
            <v/>
          </cell>
          <cell r="J6259" t="str">
            <v/>
          </cell>
          <cell r="O6259" t="str">
            <v/>
          </cell>
          <cell r="P6259" t="str">
            <v/>
          </cell>
          <cell r="Q6259" t="str">
            <v/>
          </cell>
          <cell r="S6259" t="str">
            <v/>
          </cell>
          <cell r="V6259" t="str">
            <v/>
          </cell>
          <cell r="Z6259" t="str">
            <v/>
          </cell>
          <cell r="AA6259" t="str">
            <v/>
          </cell>
          <cell r="AB6259" t="str">
            <v/>
          </cell>
          <cell r="AC6259" t="str">
            <v/>
          </cell>
          <cell r="AD6259" t="str">
            <v/>
          </cell>
          <cell r="AY6259" t="str">
            <v/>
          </cell>
          <cell r="AZ6259" t="str">
            <v/>
          </cell>
          <cell r="BA6259" t="str">
            <v/>
          </cell>
        </row>
        <row r="6260">
          <cell r="B6260" t="str">
            <v>-</v>
          </cell>
          <cell r="E6260" t="str">
            <v/>
          </cell>
          <cell r="G6260" t="str">
            <v/>
          </cell>
          <cell r="J6260" t="str">
            <v/>
          </cell>
          <cell r="O6260" t="str">
            <v/>
          </cell>
          <cell r="P6260" t="str">
            <v/>
          </cell>
          <cell r="Q6260" t="str">
            <v/>
          </cell>
          <cell r="S6260" t="str">
            <v/>
          </cell>
          <cell r="V6260" t="str">
            <v/>
          </cell>
          <cell r="Z6260" t="str">
            <v/>
          </cell>
          <cell r="AA6260" t="str">
            <v/>
          </cell>
          <cell r="AB6260" t="str">
            <v/>
          </cell>
          <cell r="AC6260" t="str">
            <v/>
          </cell>
          <cell r="AD6260" t="str">
            <v/>
          </cell>
          <cell r="AY6260" t="str">
            <v/>
          </cell>
          <cell r="AZ6260" t="str">
            <v/>
          </cell>
          <cell r="BA6260" t="str">
            <v/>
          </cell>
        </row>
        <row r="6261">
          <cell r="B6261" t="str">
            <v>-</v>
          </cell>
          <cell r="E6261" t="str">
            <v/>
          </cell>
          <cell r="G6261" t="str">
            <v/>
          </cell>
          <cell r="J6261" t="str">
            <v/>
          </cell>
          <cell r="O6261" t="str">
            <v/>
          </cell>
          <cell r="P6261" t="str">
            <v/>
          </cell>
          <cell r="Q6261" t="str">
            <v/>
          </cell>
          <cell r="S6261" t="str">
            <v/>
          </cell>
          <cell r="V6261" t="str">
            <v/>
          </cell>
          <cell r="Z6261" t="str">
            <v/>
          </cell>
          <cell r="AA6261" t="str">
            <v/>
          </cell>
          <cell r="AB6261" t="str">
            <v/>
          </cell>
          <cell r="AC6261" t="str">
            <v/>
          </cell>
          <cell r="AD6261" t="str">
            <v/>
          </cell>
          <cell r="AY6261" t="str">
            <v/>
          </cell>
          <cell r="AZ6261" t="str">
            <v/>
          </cell>
          <cell r="BA6261" t="str">
            <v/>
          </cell>
        </row>
        <row r="6262">
          <cell r="B6262" t="str">
            <v>-</v>
          </cell>
          <cell r="E6262" t="str">
            <v/>
          </cell>
          <cell r="G6262" t="str">
            <v/>
          </cell>
          <cell r="J6262" t="str">
            <v/>
          </cell>
          <cell r="O6262" t="str">
            <v/>
          </cell>
          <cell r="P6262" t="str">
            <v/>
          </cell>
          <cell r="Q6262" t="str">
            <v/>
          </cell>
          <cell r="S6262" t="str">
            <v/>
          </cell>
          <cell r="V6262" t="str">
            <v/>
          </cell>
          <cell r="Z6262" t="str">
            <v/>
          </cell>
          <cell r="AA6262" t="str">
            <v/>
          </cell>
          <cell r="AB6262" t="str">
            <v/>
          </cell>
          <cell r="AC6262" t="str">
            <v/>
          </cell>
          <cell r="AD6262" t="str">
            <v/>
          </cell>
          <cell r="AY6262" t="str">
            <v/>
          </cell>
          <cell r="AZ6262" t="str">
            <v/>
          </cell>
          <cell r="BA6262" t="str">
            <v/>
          </cell>
        </row>
        <row r="6263">
          <cell r="B6263" t="str">
            <v>-</v>
          </cell>
          <cell r="E6263" t="str">
            <v/>
          </cell>
          <cell r="G6263" t="str">
            <v/>
          </cell>
          <cell r="J6263" t="str">
            <v/>
          </cell>
          <cell r="O6263" t="str">
            <v/>
          </cell>
          <cell r="P6263" t="str">
            <v/>
          </cell>
          <cell r="Q6263" t="str">
            <v/>
          </cell>
          <cell r="S6263" t="str">
            <v/>
          </cell>
          <cell r="V6263" t="str">
            <v/>
          </cell>
          <cell r="Z6263" t="str">
            <v/>
          </cell>
          <cell r="AA6263" t="str">
            <v/>
          </cell>
          <cell r="AB6263" t="str">
            <v/>
          </cell>
          <cell r="AC6263" t="str">
            <v/>
          </cell>
          <cell r="AD6263" t="str">
            <v/>
          </cell>
          <cell r="AY6263" t="str">
            <v/>
          </cell>
          <cell r="AZ6263" t="str">
            <v/>
          </cell>
          <cell r="BA6263" t="str">
            <v/>
          </cell>
        </row>
        <row r="6264">
          <cell r="B6264" t="str">
            <v>-</v>
          </cell>
          <cell r="E6264" t="str">
            <v/>
          </cell>
          <cell r="G6264" t="str">
            <v/>
          </cell>
          <cell r="J6264" t="str">
            <v/>
          </cell>
          <cell r="O6264" t="str">
            <v/>
          </cell>
          <cell r="P6264" t="str">
            <v/>
          </cell>
          <cell r="Q6264" t="str">
            <v/>
          </cell>
          <cell r="S6264" t="str">
            <v/>
          </cell>
          <cell r="V6264" t="str">
            <v/>
          </cell>
          <cell r="Z6264" t="str">
            <v/>
          </cell>
          <cell r="AA6264" t="str">
            <v/>
          </cell>
          <cell r="AB6264" t="str">
            <v/>
          </cell>
          <cell r="AC6264" t="str">
            <v/>
          </cell>
          <cell r="AD6264" t="str">
            <v/>
          </cell>
          <cell r="AY6264" t="str">
            <v/>
          </cell>
          <cell r="AZ6264" t="str">
            <v/>
          </cell>
          <cell r="BA6264" t="str">
            <v/>
          </cell>
        </row>
        <row r="6265">
          <cell r="B6265" t="str">
            <v>-</v>
          </cell>
          <cell r="E6265" t="str">
            <v/>
          </cell>
          <cell r="G6265" t="str">
            <v/>
          </cell>
          <cell r="J6265" t="str">
            <v/>
          </cell>
          <cell r="O6265" t="str">
            <v/>
          </cell>
          <cell r="P6265" t="str">
            <v/>
          </cell>
          <cell r="Q6265" t="str">
            <v/>
          </cell>
          <cell r="S6265" t="str">
            <v/>
          </cell>
          <cell r="V6265" t="str">
            <v/>
          </cell>
          <cell r="Z6265" t="str">
            <v/>
          </cell>
          <cell r="AA6265" t="str">
            <v/>
          </cell>
          <cell r="AB6265" t="str">
            <v/>
          </cell>
          <cell r="AC6265" t="str">
            <v/>
          </cell>
          <cell r="AD6265" t="str">
            <v/>
          </cell>
          <cell r="AY6265" t="str">
            <v/>
          </cell>
          <cell r="AZ6265" t="str">
            <v/>
          </cell>
          <cell r="BA6265" t="str">
            <v/>
          </cell>
        </row>
        <row r="6266">
          <cell r="B6266" t="str">
            <v>-</v>
          </cell>
          <cell r="E6266" t="str">
            <v/>
          </cell>
          <cell r="G6266" t="str">
            <v/>
          </cell>
          <cell r="J6266" t="str">
            <v/>
          </cell>
          <cell r="O6266" t="str">
            <v/>
          </cell>
          <cell r="P6266" t="str">
            <v/>
          </cell>
          <cell r="Q6266" t="str">
            <v/>
          </cell>
          <cell r="S6266" t="str">
            <v/>
          </cell>
          <cell r="V6266" t="str">
            <v/>
          </cell>
          <cell r="Z6266" t="str">
            <v/>
          </cell>
          <cell r="AA6266" t="str">
            <v/>
          </cell>
          <cell r="AB6266" t="str">
            <v/>
          </cell>
          <cell r="AC6266" t="str">
            <v/>
          </cell>
          <cell r="AD6266" t="str">
            <v/>
          </cell>
          <cell r="AY6266" t="str">
            <v/>
          </cell>
          <cell r="AZ6266" t="str">
            <v/>
          </cell>
          <cell r="BA6266" t="str">
            <v/>
          </cell>
        </row>
        <row r="6267">
          <cell r="B6267" t="str">
            <v>-</v>
          </cell>
          <cell r="E6267" t="str">
            <v/>
          </cell>
          <cell r="G6267" t="str">
            <v/>
          </cell>
          <cell r="J6267" t="str">
            <v/>
          </cell>
          <cell r="O6267" t="str">
            <v/>
          </cell>
          <cell r="P6267" t="str">
            <v/>
          </cell>
          <cell r="Q6267" t="str">
            <v/>
          </cell>
          <cell r="S6267" t="str">
            <v/>
          </cell>
          <cell r="V6267" t="str">
            <v/>
          </cell>
          <cell r="Z6267" t="str">
            <v/>
          </cell>
          <cell r="AA6267" t="str">
            <v/>
          </cell>
          <cell r="AB6267" t="str">
            <v/>
          </cell>
          <cell r="AC6267" t="str">
            <v/>
          </cell>
          <cell r="AD6267" t="str">
            <v/>
          </cell>
          <cell r="AY6267" t="str">
            <v/>
          </cell>
          <cell r="AZ6267" t="str">
            <v/>
          </cell>
          <cell r="BA6267" t="str">
            <v/>
          </cell>
        </row>
        <row r="6268">
          <cell r="B6268" t="str">
            <v>-</v>
          </cell>
          <cell r="E6268" t="str">
            <v/>
          </cell>
          <cell r="G6268" t="str">
            <v/>
          </cell>
          <cell r="J6268" t="str">
            <v/>
          </cell>
          <cell r="O6268" t="str">
            <v/>
          </cell>
          <cell r="P6268" t="str">
            <v/>
          </cell>
          <cell r="Q6268" t="str">
            <v/>
          </cell>
          <cell r="S6268" t="str">
            <v/>
          </cell>
          <cell r="V6268" t="str">
            <v/>
          </cell>
          <cell r="Z6268" t="str">
            <v/>
          </cell>
          <cell r="AA6268" t="str">
            <v/>
          </cell>
          <cell r="AB6268" t="str">
            <v/>
          </cell>
          <cell r="AC6268" t="str">
            <v/>
          </cell>
          <cell r="AD6268" t="str">
            <v/>
          </cell>
          <cell r="AY6268" t="str">
            <v/>
          </cell>
          <cell r="AZ6268" t="str">
            <v/>
          </cell>
          <cell r="BA6268" t="str">
            <v/>
          </cell>
        </row>
        <row r="6269">
          <cell r="B6269" t="str">
            <v>-</v>
          </cell>
          <cell r="E6269" t="str">
            <v/>
          </cell>
          <cell r="G6269" t="str">
            <v/>
          </cell>
          <cell r="J6269" t="str">
            <v/>
          </cell>
          <cell r="O6269" t="str">
            <v/>
          </cell>
          <cell r="P6269" t="str">
            <v/>
          </cell>
          <cell r="Q6269" t="str">
            <v/>
          </cell>
          <cell r="S6269" t="str">
            <v/>
          </cell>
          <cell r="V6269" t="str">
            <v/>
          </cell>
          <cell r="Z6269" t="str">
            <v/>
          </cell>
          <cell r="AA6269" t="str">
            <v/>
          </cell>
          <cell r="AB6269" t="str">
            <v/>
          </cell>
          <cell r="AC6269" t="str">
            <v/>
          </cell>
          <cell r="AD6269" t="str">
            <v/>
          </cell>
          <cell r="AY6269" t="str">
            <v/>
          </cell>
          <cell r="AZ6269" t="str">
            <v/>
          </cell>
          <cell r="BA6269" t="str">
            <v/>
          </cell>
        </row>
        <row r="6270">
          <cell r="B6270" t="str">
            <v>-</v>
          </cell>
          <cell r="E6270" t="str">
            <v/>
          </cell>
          <cell r="G6270" t="str">
            <v/>
          </cell>
          <cell r="J6270" t="str">
            <v/>
          </cell>
          <cell r="O6270" t="str">
            <v/>
          </cell>
          <cell r="P6270" t="str">
            <v/>
          </cell>
          <cell r="Q6270" t="str">
            <v/>
          </cell>
          <cell r="S6270" t="str">
            <v/>
          </cell>
          <cell r="V6270" t="str">
            <v/>
          </cell>
          <cell r="Z6270" t="str">
            <v/>
          </cell>
          <cell r="AA6270" t="str">
            <v/>
          </cell>
          <cell r="AB6270" t="str">
            <v/>
          </cell>
          <cell r="AC6270" t="str">
            <v/>
          </cell>
          <cell r="AD6270" t="str">
            <v/>
          </cell>
          <cell r="AY6270" t="str">
            <v/>
          </cell>
          <cell r="AZ6270" t="str">
            <v/>
          </cell>
          <cell r="BA6270" t="str">
            <v/>
          </cell>
        </row>
        <row r="6271">
          <cell r="B6271" t="str">
            <v>-</v>
          </cell>
          <cell r="E6271" t="str">
            <v/>
          </cell>
          <cell r="G6271" t="str">
            <v/>
          </cell>
          <cell r="J6271" t="str">
            <v/>
          </cell>
          <cell r="O6271" t="str">
            <v/>
          </cell>
          <cell r="P6271" t="str">
            <v/>
          </cell>
          <cell r="Q6271" t="str">
            <v/>
          </cell>
          <cell r="S6271" t="str">
            <v/>
          </cell>
          <cell r="V6271" t="str">
            <v/>
          </cell>
          <cell r="Z6271" t="str">
            <v/>
          </cell>
          <cell r="AA6271" t="str">
            <v/>
          </cell>
          <cell r="AB6271" t="str">
            <v/>
          </cell>
          <cell r="AC6271" t="str">
            <v/>
          </cell>
          <cell r="AD6271" t="str">
            <v/>
          </cell>
          <cell r="AY6271" t="str">
            <v/>
          </cell>
          <cell r="AZ6271" t="str">
            <v/>
          </cell>
          <cell r="BA6271" t="str">
            <v/>
          </cell>
        </row>
        <row r="6272">
          <cell r="B6272" t="str">
            <v>-</v>
          </cell>
          <cell r="E6272" t="str">
            <v/>
          </cell>
          <cell r="G6272" t="str">
            <v/>
          </cell>
          <cell r="J6272" t="str">
            <v/>
          </cell>
          <cell r="O6272" t="str">
            <v/>
          </cell>
          <cell r="P6272" t="str">
            <v/>
          </cell>
          <cell r="Q6272" t="str">
            <v/>
          </cell>
          <cell r="S6272" t="str">
            <v/>
          </cell>
          <cell r="V6272" t="str">
            <v/>
          </cell>
          <cell r="Z6272" t="str">
            <v/>
          </cell>
          <cell r="AA6272" t="str">
            <v/>
          </cell>
          <cell r="AB6272" t="str">
            <v/>
          </cell>
          <cell r="AC6272" t="str">
            <v/>
          </cell>
          <cell r="AD6272" t="str">
            <v/>
          </cell>
          <cell r="AY6272" t="str">
            <v/>
          </cell>
          <cell r="AZ6272" t="str">
            <v/>
          </cell>
          <cell r="BA6272" t="str">
            <v/>
          </cell>
        </row>
        <row r="6273">
          <cell r="B6273" t="str">
            <v>-</v>
          </cell>
          <cell r="E6273" t="str">
            <v/>
          </cell>
          <cell r="G6273" t="str">
            <v/>
          </cell>
          <cell r="J6273" t="str">
            <v/>
          </cell>
          <cell r="O6273" t="str">
            <v/>
          </cell>
          <cell r="P6273" t="str">
            <v/>
          </cell>
          <cell r="Q6273" t="str">
            <v/>
          </cell>
          <cell r="S6273" t="str">
            <v/>
          </cell>
          <cell r="V6273" t="str">
            <v/>
          </cell>
          <cell r="Z6273" t="str">
            <v/>
          </cell>
          <cell r="AA6273" t="str">
            <v/>
          </cell>
          <cell r="AB6273" t="str">
            <v/>
          </cell>
          <cell r="AC6273" t="str">
            <v/>
          </cell>
          <cell r="AD6273" t="str">
            <v/>
          </cell>
          <cell r="AY6273" t="str">
            <v/>
          </cell>
          <cell r="AZ6273" t="str">
            <v/>
          </cell>
          <cell r="BA6273" t="str">
            <v/>
          </cell>
        </row>
        <row r="6274">
          <cell r="B6274" t="str">
            <v>-</v>
          </cell>
          <cell r="E6274" t="str">
            <v/>
          </cell>
          <cell r="G6274" t="str">
            <v/>
          </cell>
          <cell r="J6274" t="str">
            <v/>
          </cell>
          <cell r="O6274" t="str">
            <v/>
          </cell>
          <cell r="P6274" t="str">
            <v/>
          </cell>
          <cell r="Q6274" t="str">
            <v/>
          </cell>
          <cell r="S6274" t="str">
            <v/>
          </cell>
          <cell r="V6274" t="str">
            <v/>
          </cell>
          <cell r="Z6274" t="str">
            <v/>
          </cell>
          <cell r="AA6274" t="str">
            <v/>
          </cell>
          <cell r="AB6274" t="str">
            <v/>
          </cell>
          <cell r="AC6274" t="str">
            <v/>
          </cell>
          <cell r="AD6274" t="str">
            <v/>
          </cell>
          <cell r="AY6274" t="str">
            <v/>
          </cell>
          <cell r="AZ6274" t="str">
            <v/>
          </cell>
          <cell r="BA6274" t="str">
            <v/>
          </cell>
        </row>
        <row r="6275">
          <cell r="B6275" t="str">
            <v>-</v>
          </cell>
          <cell r="E6275" t="str">
            <v/>
          </cell>
          <cell r="G6275" t="str">
            <v/>
          </cell>
          <cell r="J6275" t="str">
            <v/>
          </cell>
          <cell r="O6275" t="str">
            <v/>
          </cell>
          <cell r="P6275" t="str">
            <v/>
          </cell>
          <cell r="Q6275" t="str">
            <v/>
          </cell>
          <cell r="S6275" t="str">
            <v/>
          </cell>
          <cell r="V6275" t="str">
            <v/>
          </cell>
          <cell r="Z6275" t="str">
            <v/>
          </cell>
          <cell r="AA6275" t="str">
            <v/>
          </cell>
          <cell r="AB6275" t="str">
            <v/>
          </cell>
          <cell r="AC6275" t="str">
            <v/>
          </cell>
          <cell r="AD6275" t="str">
            <v/>
          </cell>
          <cell r="AY6275" t="str">
            <v/>
          </cell>
          <cell r="AZ6275" t="str">
            <v/>
          </cell>
          <cell r="BA6275" t="str">
            <v/>
          </cell>
        </row>
        <row r="6276">
          <cell r="B6276" t="str">
            <v>-</v>
          </cell>
          <cell r="E6276" t="str">
            <v/>
          </cell>
          <cell r="G6276" t="str">
            <v/>
          </cell>
          <cell r="J6276" t="str">
            <v/>
          </cell>
          <cell r="O6276" t="str">
            <v/>
          </cell>
          <cell r="P6276" t="str">
            <v/>
          </cell>
          <cell r="Q6276" t="str">
            <v/>
          </cell>
          <cell r="S6276" t="str">
            <v/>
          </cell>
          <cell r="V6276" t="str">
            <v/>
          </cell>
          <cell r="Z6276" t="str">
            <v/>
          </cell>
          <cell r="AA6276" t="str">
            <v/>
          </cell>
          <cell r="AB6276" t="str">
            <v/>
          </cell>
          <cell r="AC6276" t="str">
            <v/>
          </cell>
          <cell r="AD6276" t="str">
            <v/>
          </cell>
          <cell r="AY6276" t="str">
            <v/>
          </cell>
          <cell r="AZ6276" t="str">
            <v/>
          </cell>
          <cell r="BA6276" t="str">
            <v/>
          </cell>
        </row>
        <row r="6277">
          <cell r="B6277" t="str">
            <v>-</v>
          </cell>
          <cell r="E6277" t="str">
            <v/>
          </cell>
          <cell r="G6277" t="str">
            <v/>
          </cell>
          <cell r="J6277" t="str">
            <v/>
          </cell>
          <cell r="O6277" t="str">
            <v/>
          </cell>
          <cell r="P6277" t="str">
            <v/>
          </cell>
          <cell r="Q6277" t="str">
            <v/>
          </cell>
          <cell r="S6277" t="str">
            <v/>
          </cell>
          <cell r="V6277" t="str">
            <v/>
          </cell>
          <cell r="Z6277" t="str">
            <v/>
          </cell>
          <cell r="AA6277" t="str">
            <v/>
          </cell>
          <cell r="AB6277" t="str">
            <v/>
          </cell>
          <cell r="AC6277" t="str">
            <v/>
          </cell>
          <cell r="AD6277" t="str">
            <v/>
          </cell>
          <cell r="AY6277" t="str">
            <v/>
          </cell>
          <cell r="AZ6277" t="str">
            <v/>
          </cell>
          <cell r="BA6277" t="str">
            <v/>
          </cell>
        </row>
        <row r="6278">
          <cell r="B6278" t="str">
            <v>-</v>
          </cell>
          <cell r="E6278" t="str">
            <v/>
          </cell>
          <cell r="G6278" t="str">
            <v/>
          </cell>
          <cell r="J6278" t="str">
            <v/>
          </cell>
          <cell r="O6278" t="str">
            <v/>
          </cell>
          <cell r="P6278" t="str">
            <v/>
          </cell>
          <cell r="Q6278" t="str">
            <v/>
          </cell>
          <cell r="S6278" t="str">
            <v/>
          </cell>
          <cell r="V6278" t="str">
            <v/>
          </cell>
          <cell r="Z6278" t="str">
            <v/>
          </cell>
          <cell r="AA6278" t="str">
            <v/>
          </cell>
          <cell r="AB6278" t="str">
            <v/>
          </cell>
          <cell r="AC6278" t="str">
            <v/>
          </cell>
          <cell r="AD6278" t="str">
            <v/>
          </cell>
          <cell r="AY6278" t="str">
            <v/>
          </cell>
          <cell r="AZ6278" t="str">
            <v/>
          </cell>
          <cell r="BA6278" t="str">
            <v/>
          </cell>
        </row>
        <row r="6279">
          <cell r="B6279" t="str">
            <v>-</v>
          </cell>
          <cell r="E6279" t="str">
            <v/>
          </cell>
          <cell r="G6279" t="str">
            <v/>
          </cell>
          <cell r="J6279" t="str">
            <v/>
          </cell>
          <cell r="O6279" t="str">
            <v/>
          </cell>
          <cell r="P6279" t="str">
            <v/>
          </cell>
          <cell r="Q6279" t="str">
            <v/>
          </cell>
          <cell r="S6279" t="str">
            <v/>
          </cell>
          <cell r="V6279" t="str">
            <v/>
          </cell>
          <cell r="Z6279" t="str">
            <v/>
          </cell>
          <cell r="AA6279" t="str">
            <v/>
          </cell>
          <cell r="AB6279" t="str">
            <v/>
          </cell>
          <cell r="AC6279" t="str">
            <v/>
          </cell>
          <cell r="AD6279" t="str">
            <v/>
          </cell>
          <cell r="AY6279" t="str">
            <v/>
          </cell>
          <cell r="AZ6279" t="str">
            <v/>
          </cell>
          <cell r="BA6279" t="str">
            <v/>
          </cell>
        </row>
        <row r="6280">
          <cell r="B6280" t="str">
            <v>-</v>
          </cell>
          <cell r="E6280" t="str">
            <v/>
          </cell>
          <cell r="G6280" t="str">
            <v/>
          </cell>
          <cell r="J6280" t="str">
            <v/>
          </cell>
          <cell r="O6280" t="str">
            <v/>
          </cell>
          <cell r="P6280" t="str">
            <v/>
          </cell>
          <cell r="Q6280" t="str">
            <v/>
          </cell>
          <cell r="S6280" t="str">
            <v/>
          </cell>
          <cell r="V6280" t="str">
            <v/>
          </cell>
          <cell r="Z6280" t="str">
            <v/>
          </cell>
          <cell r="AA6280" t="str">
            <v/>
          </cell>
          <cell r="AB6280" t="str">
            <v/>
          </cell>
          <cell r="AC6280" t="str">
            <v/>
          </cell>
          <cell r="AD6280" t="str">
            <v/>
          </cell>
          <cell r="AY6280" t="str">
            <v/>
          </cell>
          <cell r="AZ6280" t="str">
            <v/>
          </cell>
          <cell r="BA6280" t="str">
            <v/>
          </cell>
        </row>
        <row r="6281">
          <cell r="B6281" t="str">
            <v>-</v>
          </cell>
          <cell r="E6281" t="str">
            <v/>
          </cell>
          <cell r="G6281" t="str">
            <v/>
          </cell>
          <cell r="J6281" t="str">
            <v/>
          </cell>
          <cell r="O6281" t="str">
            <v/>
          </cell>
          <cell r="P6281" t="str">
            <v/>
          </cell>
          <cell r="Q6281" t="str">
            <v/>
          </cell>
          <cell r="S6281" t="str">
            <v/>
          </cell>
          <cell r="V6281" t="str">
            <v/>
          </cell>
          <cell r="Z6281" t="str">
            <v/>
          </cell>
          <cell r="AA6281" t="str">
            <v/>
          </cell>
          <cell r="AB6281" t="str">
            <v/>
          </cell>
          <cell r="AC6281" t="str">
            <v/>
          </cell>
          <cell r="AD6281" t="str">
            <v/>
          </cell>
          <cell r="AY6281" t="str">
            <v/>
          </cell>
          <cell r="AZ6281" t="str">
            <v/>
          </cell>
          <cell r="BA6281" t="str">
            <v/>
          </cell>
        </row>
        <row r="6282">
          <cell r="B6282" t="str">
            <v>-</v>
          </cell>
          <cell r="E6282" t="str">
            <v/>
          </cell>
          <cell r="G6282" t="str">
            <v/>
          </cell>
          <cell r="J6282" t="str">
            <v/>
          </cell>
          <cell r="O6282" t="str">
            <v/>
          </cell>
          <cell r="P6282" t="str">
            <v/>
          </cell>
          <cell r="Q6282" t="str">
            <v/>
          </cell>
          <cell r="S6282" t="str">
            <v/>
          </cell>
          <cell r="V6282" t="str">
            <v/>
          </cell>
          <cell r="Z6282" t="str">
            <v/>
          </cell>
          <cell r="AA6282" t="str">
            <v/>
          </cell>
          <cell r="AB6282" t="str">
            <v/>
          </cell>
          <cell r="AC6282" t="str">
            <v/>
          </cell>
          <cell r="AD6282" t="str">
            <v/>
          </cell>
          <cell r="AY6282" t="str">
            <v/>
          </cell>
          <cell r="AZ6282" t="str">
            <v/>
          </cell>
          <cell r="BA6282" t="str">
            <v/>
          </cell>
        </row>
        <row r="6283">
          <cell r="B6283" t="str">
            <v>-</v>
          </cell>
          <cell r="E6283" t="str">
            <v/>
          </cell>
          <cell r="G6283" t="str">
            <v/>
          </cell>
          <cell r="J6283" t="str">
            <v/>
          </cell>
          <cell r="O6283" t="str">
            <v/>
          </cell>
          <cell r="P6283" t="str">
            <v/>
          </cell>
          <cell r="Q6283" t="str">
            <v/>
          </cell>
          <cell r="S6283" t="str">
            <v/>
          </cell>
          <cell r="V6283" t="str">
            <v/>
          </cell>
          <cell r="Z6283" t="str">
            <v/>
          </cell>
          <cell r="AA6283" t="str">
            <v/>
          </cell>
          <cell r="AB6283" t="str">
            <v/>
          </cell>
          <cell r="AC6283" t="str">
            <v/>
          </cell>
          <cell r="AD6283" t="str">
            <v/>
          </cell>
          <cell r="AY6283" t="str">
            <v/>
          </cell>
          <cell r="AZ6283" t="str">
            <v/>
          </cell>
          <cell r="BA6283" t="str">
            <v/>
          </cell>
        </row>
        <row r="6284">
          <cell r="B6284" t="str">
            <v>-</v>
          </cell>
          <cell r="E6284" t="str">
            <v/>
          </cell>
          <cell r="G6284" t="str">
            <v/>
          </cell>
          <cell r="J6284" t="str">
            <v/>
          </cell>
          <cell r="O6284" t="str">
            <v/>
          </cell>
          <cell r="P6284" t="str">
            <v/>
          </cell>
          <cell r="Q6284" t="str">
            <v/>
          </cell>
          <cell r="S6284" t="str">
            <v/>
          </cell>
          <cell r="V6284" t="str">
            <v/>
          </cell>
          <cell r="Z6284" t="str">
            <v/>
          </cell>
          <cell r="AA6284" t="str">
            <v/>
          </cell>
          <cell r="AB6284" t="str">
            <v/>
          </cell>
          <cell r="AC6284" t="str">
            <v/>
          </cell>
          <cell r="AD6284" t="str">
            <v/>
          </cell>
          <cell r="AY6284" t="str">
            <v/>
          </cell>
          <cell r="AZ6284" t="str">
            <v/>
          </cell>
          <cell r="BA6284" t="str">
            <v/>
          </cell>
        </row>
        <row r="6285">
          <cell r="B6285" t="str">
            <v>-</v>
          </cell>
          <cell r="E6285" t="str">
            <v/>
          </cell>
          <cell r="G6285" t="str">
            <v/>
          </cell>
          <cell r="J6285" t="str">
            <v/>
          </cell>
          <cell r="O6285" t="str">
            <v/>
          </cell>
          <cell r="P6285" t="str">
            <v/>
          </cell>
          <cell r="Q6285" t="str">
            <v/>
          </cell>
          <cell r="S6285" t="str">
            <v/>
          </cell>
          <cell r="V6285" t="str">
            <v/>
          </cell>
          <cell r="Z6285" t="str">
            <v/>
          </cell>
          <cell r="AA6285" t="str">
            <v/>
          </cell>
          <cell r="AB6285" t="str">
            <v/>
          </cell>
          <cell r="AC6285" t="str">
            <v/>
          </cell>
          <cell r="AD6285" t="str">
            <v/>
          </cell>
          <cell r="AY6285" t="str">
            <v/>
          </cell>
          <cell r="AZ6285" t="str">
            <v/>
          </cell>
          <cell r="BA6285" t="str">
            <v/>
          </cell>
        </row>
        <row r="6286">
          <cell r="B6286" t="str">
            <v>-</v>
          </cell>
          <cell r="E6286" t="str">
            <v/>
          </cell>
          <cell r="G6286" t="str">
            <v/>
          </cell>
          <cell r="J6286" t="str">
            <v/>
          </cell>
          <cell r="O6286" t="str">
            <v/>
          </cell>
          <cell r="P6286" t="str">
            <v/>
          </cell>
          <cell r="Q6286" t="str">
            <v/>
          </cell>
          <cell r="S6286" t="str">
            <v/>
          </cell>
          <cell r="V6286" t="str">
            <v/>
          </cell>
          <cell r="Z6286" t="str">
            <v/>
          </cell>
          <cell r="AA6286" t="str">
            <v/>
          </cell>
          <cell r="AB6286" t="str">
            <v/>
          </cell>
          <cell r="AC6286" t="str">
            <v/>
          </cell>
          <cell r="AD6286" t="str">
            <v/>
          </cell>
          <cell r="AY6286" t="str">
            <v/>
          </cell>
          <cell r="AZ6286" t="str">
            <v/>
          </cell>
          <cell r="BA6286" t="str">
            <v/>
          </cell>
        </row>
        <row r="6287">
          <cell r="B6287" t="str">
            <v>-</v>
          </cell>
          <cell r="E6287" t="str">
            <v/>
          </cell>
          <cell r="G6287" t="str">
            <v/>
          </cell>
          <cell r="J6287" t="str">
            <v/>
          </cell>
          <cell r="O6287" t="str">
            <v/>
          </cell>
          <cell r="P6287" t="str">
            <v/>
          </cell>
          <cell r="Q6287" t="str">
            <v/>
          </cell>
          <cell r="S6287" t="str">
            <v/>
          </cell>
          <cell r="V6287" t="str">
            <v/>
          </cell>
          <cell r="Z6287" t="str">
            <v/>
          </cell>
          <cell r="AA6287" t="str">
            <v/>
          </cell>
          <cell r="AB6287" t="str">
            <v/>
          </cell>
          <cell r="AC6287" t="str">
            <v/>
          </cell>
          <cell r="AD6287" t="str">
            <v/>
          </cell>
          <cell r="AY6287" t="str">
            <v/>
          </cell>
          <cell r="AZ6287" t="str">
            <v/>
          </cell>
          <cell r="BA6287" t="str">
            <v/>
          </cell>
        </row>
        <row r="6288">
          <cell r="B6288" t="str">
            <v>-</v>
          </cell>
          <cell r="E6288" t="str">
            <v/>
          </cell>
          <cell r="G6288" t="str">
            <v/>
          </cell>
          <cell r="J6288" t="str">
            <v/>
          </cell>
          <cell r="O6288" t="str">
            <v/>
          </cell>
          <cell r="P6288" t="str">
            <v/>
          </cell>
          <cell r="Q6288" t="str">
            <v/>
          </cell>
          <cell r="S6288" t="str">
            <v/>
          </cell>
          <cell r="V6288" t="str">
            <v/>
          </cell>
          <cell r="Z6288" t="str">
            <v/>
          </cell>
          <cell r="AA6288" t="str">
            <v/>
          </cell>
          <cell r="AB6288" t="str">
            <v/>
          </cell>
          <cell r="AC6288" t="str">
            <v/>
          </cell>
          <cell r="AD6288" t="str">
            <v/>
          </cell>
          <cell r="AY6288" t="str">
            <v/>
          </cell>
          <cell r="AZ6288" t="str">
            <v/>
          </cell>
          <cell r="BA6288" t="str">
            <v/>
          </cell>
        </row>
        <row r="6289">
          <cell r="B6289" t="str">
            <v>-</v>
          </cell>
          <cell r="E6289" t="str">
            <v/>
          </cell>
          <cell r="G6289" t="str">
            <v/>
          </cell>
          <cell r="J6289" t="str">
            <v/>
          </cell>
          <cell r="O6289" t="str">
            <v/>
          </cell>
          <cell r="P6289" t="str">
            <v/>
          </cell>
          <cell r="Q6289" t="str">
            <v/>
          </cell>
          <cell r="S6289" t="str">
            <v/>
          </cell>
          <cell r="V6289" t="str">
            <v/>
          </cell>
          <cell r="Z6289" t="str">
            <v/>
          </cell>
          <cell r="AA6289" t="str">
            <v/>
          </cell>
          <cell r="AB6289" t="str">
            <v/>
          </cell>
          <cell r="AC6289" t="str">
            <v/>
          </cell>
          <cell r="AD6289" t="str">
            <v/>
          </cell>
          <cell r="AY6289" t="str">
            <v/>
          </cell>
          <cell r="AZ6289" t="str">
            <v/>
          </cell>
          <cell r="BA6289" t="str">
            <v/>
          </cell>
        </row>
        <row r="6290">
          <cell r="B6290" t="str">
            <v>-</v>
          </cell>
          <cell r="E6290" t="str">
            <v/>
          </cell>
          <cell r="G6290" t="str">
            <v/>
          </cell>
          <cell r="J6290" t="str">
            <v/>
          </cell>
          <cell r="O6290" t="str">
            <v/>
          </cell>
          <cell r="P6290" t="str">
            <v/>
          </cell>
          <cell r="Q6290" t="str">
            <v/>
          </cell>
          <cell r="S6290" t="str">
            <v/>
          </cell>
          <cell r="V6290" t="str">
            <v/>
          </cell>
          <cell r="Z6290" t="str">
            <v/>
          </cell>
          <cell r="AA6290" t="str">
            <v/>
          </cell>
          <cell r="AB6290" t="str">
            <v/>
          </cell>
          <cell r="AC6290" t="str">
            <v/>
          </cell>
          <cell r="AD6290" t="str">
            <v/>
          </cell>
          <cell r="AY6290" t="str">
            <v/>
          </cell>
          <cell r="AZ6290" t="str">
            <v/>
          </cell>
          <cell r="BA6290" t="str">
            <v/>
          </cell>
        </row>
        <row r="6291">
          <cell r="B6291" t="str">
            <v>-</v>
          </cell>
          <cell r="E6291" t="str">
            <v/>
          </cell>
          <cell r="G6291" t="str">
            <v/>
          </cell>
          <cell r="J6291" t="str">
            <v/>
          </cell>
          <cell r="O6291" t="str">
            <v/>
          </cell>
          <cell r="P6291" t="str">
            <v/>
          </cell>
          <cell r="Q6291" t="str">
            <v/>
          </cell>
          <cell r="S6291" t="str">
            <v/>
          </cell>
          <cell r="V6291" t="str">
            <v/>
          </cell>
          <cell r="Z6291" t="str">
            <v/>
          </cell>
          <cell r="AA6291" t="str">
            <v/>
          </cell>
          <cell r="AB6291" t="str">
            <v/>
          </cell>
          <cell r="AC6291" t="str">
            <v/>
          </cell>
          <cell r="AD6291" t="str">
            <v/>
          </cell>
          <cell r="AY6291" t="str">
            <v/>
          </cell>
          <cell r="AZ6291" t="str">
            <v/>
          </cell>
          <cell r="BA6291" t="str">
            <v/>
          </cell>
        </row>
        <row r="6292">
          <cell r="B6292" t="str">
            <v>-</v>
          </cell>
          <cell r="E6292" t="str">
            <v/>
          </cell>
          <cell r="G6292" t="str">
            <v/>
          </cell>
          <cell r="J6292" t="str">
            <v/>
          </cell>
          <cell r="O6292" t="str">
            <v/>
          </cell>
          <cell r="P6292" t="str">
            <v/>
          </cell>
          <cell r="Q6292" t="str">
            <v/>
          </cell>
          <cell r="S6292" t="str">
            <v/>
          </cell>
          <cell r="V6292" t="str">
            <v/>
          </cell>
          <cell r="Z6292" t="str">
            <v/>
          </cell>
          <cell r="AA6292" t="str">
            <v/>
          </cell>
          <cell r="AB6292" t="str">
            <v/>
          </cell>
          <cell r="AC6292" t="str">
            <v/>
          </cell>
          <cell r="AD6292" t="str">
            <v/>
          </cell>
          <cell r="AY6292" t="str">
            <v/>
          </cell>
          <cell r="AZ6292" t="str">
            <v/>
          </cell>
          <cell r="BA6292" t="str">
            <v/>
          </cell>
        </row>
        <row r="6293">
          <cell r="B6293" t="str">
            <v>-</v>
          </cell>
          <cell r="E6293" t="str">
            <v/>
          </cell>
          <cell r="G6293" t="str">
            <v/>
          </cell>
          <cell r="J6293" t="str">
            <v/>
          </cell>
          <cell r="O6293" t="str">
            <v/>
          </cell>
          <cell r="P6293" t="str">
            <v/>
          </cell>
          <cell r="Q6293" t="str">
            <v/>
          </cell>
          <cell r="S6293" t="str">
            <v/>
          </cell>
          <cell r="V6293" t="str">
            <v/>
          </cell>
          <cell r="Z6293" t="str">
            <v/>
          </cell>
          <cell r="AA6293" t="str">
            <v/>
          </cell>
          <cell r="AB6293" t="str">
            <v/>
          </cell>
          <cell r="AC6293" t="str">
            <v/>
          </cell>
          <cell r="AD6293" t="str">
            <v/>
          </cell>
          <cell r="AY6293" t="str">
            <v/>
          </cell>
          <cell r="AZ6293" t="str">
            <v/>
          </cell>
          <cell r="BA6293" t="str">
            <v/>
          </cell>
        </row>
        <row r="6294">
          <cell r="B6294" t="str">
            <v>-</v>
          </cell>
          <cell r="E6294" t="str">
            <v/>
          </cell>
          <cell r="G6294" t="str">
            <v/>
          </cell>
          <cell r="J6294" t="str">
            <v/>
          </cell>
          <cell r="O6294" t="str">
            <v/>
          </cell>
          <cell r="P6294" t="str">
            <v/>
          </cell>
          <cell r="Q6294" t="str">
            <v/>
          </cell>
          <cell r="S6294" t="str">
            <v/>
          </cell>
          <cell r="V6294" t="str">
            <v/>
          </cell>
          <cell r="Z6294" t="str">
            <v/>
          </cell>
          <cell r="AA6294" t="str">
            <v/>
          </cell>
          <cell r="AB6294" t="str">
            <v/>
          </cell>
          <cell r="AC6294" t="str">
            <v/>
          </cell>
          <cell r="AD6294" t="str">
            <v/>
          </cell>
          <cell r="AY6294" t="str">
            <v/>
          </cell>
          <cell r="AZ6294" t="str">
            <v/>
          </cell>
          <cell r="BA6294" t="str">
            <v/>
          </cell>
        </row>
        <row r="6295">
          <cell r="B6295" t="str">
            <v>-</v>
          </cell>
          <cell r="E6295" t="str">
            <v/>
          </cell>
          <cell r="G6295" t="str">
            <v/>
          </cell>
          <cell r="J6295" t="str">
            <v/>
          </cell>
          <cell r="O6295" t="str">
            <v/>
          </cell>
          <cell r="P6295" t="str">
            <v/>
          </cell>
          <cell r="Q6295" t="str">
            <v/>
          </cell>
          <cell r="S6295" t="str">
            <v/>
          </cell>
          <cell r="V6295" t="str">
            <v/>
          </cell>
          <cell r="Z6295" t="str">
            <v/>
          </cell>
          <cell r="AA6295" t="str">
            <v/>
          </cell>
          <cell r="AB6295" t="str">
            <v/>
          </cell>
          <cell r="AC6295" t="str">
            <v/>
          </cell>
          <cell r="AD6295" t="str">
            <v/>
          </cell>
          <cell r="AY6295" t="str">
            <v/>
          </cell>
          <cell r="AZ6295" t="str">
            <v/>
          </cell>
          <cell r="BA6295" t="str">
            <v/>
          </cell>
        </row>
        <row r="6296">
          <cell r="B6296" t="str">
            <v>-</v>
          </cell>
          <cell r="E6296" t="str">
            <v/>
          </cell>
          <cell r="G6296" t="str">
            <v/>
          </cell>
          <cell r="J6296" t="str">
            <v/>
          </cell>
          <cell r="O6296" t="str">
            <v/>
          </cell>
          <cell r="P6296" t="str">
            <v/>
          </cell>
          <cell r="Q6296" t="str">
            <v/>
          </cell>
          <cell r="S6296" t="str">
            <v/>
          </cell>
          <cell r="V6296" t="str">
            <v/>
          </cell>
          <cell r="Z6296" t="str">
            <v/>
          </cell>
          <cell r="AA6296" t="str">
            <v/>
          </cell>
          <cell r="AB6296" t="str">
            <v/>
          </cell>
          <cell r="AC6296" t="str">
            <v/>
          </cell>
          <cell r="AD6296" t="str">
            <v/>
          </cell>
          <cell r="AY6296" t="str">
            <v/>
          </cell>
          <cell r="AZ6296" t="str">
            <v/>
          </cell>
          <cell r="BA6296" t="str">
            <v/>
          </cell>
        </row>
        <row r="6297">
          <cell r="B6297" t="str">
            <v>-</v>
          </cell>
          <cell r="E6297" t="str">
            <v/>
          </cell>
          <cell r="G6297" t="str">
            <v/>
          </cell>
          <cell r="J6297" t="str">
            <v/>
          </cell>
          <cell r="O6297" t="str">
            <v/>
          </cell>
          <cell r="P6297" t="str">
            <v/>
          </cell>
          <cell r="Q6297" t="str">
            <v/>
          </cell>
          <cell r="S6297" t="str">
            <v/>
          </cell>
          <cell r="V6297" t="str">
            <v/>
          </cell>
          <cell r="Z6297" t="str">
            <v/>
          </cell>
          <cell r="AA6297" t="str">
            <v/>
          </cell>
          <cell r="AB6297" t="str">
            <v/>
          </cell>
          <cell r="AC6297" t="str">
            <v/>
          </cell>
          <cell r="AD6297" t="str">
            <v/>
          </cell>
          <cell r="AY6297" t="str">
            <v/>
          </cell>
          <cell r="AZ6297" t="str">
            <v/>
          </cell>
          <cell r="BA6297" t="str">
            <v/>
          </cell>
        </row>
        <row r="6298">
          <cell r="B6298" t="str">
            <v>-</v>
          </cell>
          <cell r="E6298" t="str">
            <v/>
          </cell>
          <cell r="G6298" t="str">
            <v/>
          </cell>
          <cell r="J6298" t="str">
            <v/>
          </cell>
          <cell r="O6298" t="str">
            <v/>
          </cell>
          <cell r="P6298" t="str">
            <v/>
          </cell>
          <cell r="Q6298" t="str">
            <v/>
          </cell>
          <cell r="S6298" t="str">
            <v/>
          </cell>
          <cell r="V6298" t="str">
            <v/>
          </cell>
          <cell r="Z6298" t="str">
            <v/>
          </cell>
          <cell r="AA6298" t="str">
            <v/>
          </cell>
          <cell r="AB6298" t="str">
            <v/>
          </cell>
          <cell r="AC6298" t="str">
            <v/>
          </cell>
          <cell r="AD6298" t="str">
            <v/>
          </cell>
          <cell r="AY6298" t="str">
            <v/>
          </cell>
          <cell r="AZ6298" t="str">
            <v/>
          </cell>
          <cell r="BA6298" t="str">
            <v/>
          </cell>
        </row>
        <row r="6299">
          <cell r="B6299" t="str">
            <v>-</v>
          </cell>
          <cell r="E6299" t="str">
            <v/>
          </cell>
          <cell r="G6299" t="str">
            <v/>
          </cell>
          <cell r="J6299" t="str">
            <v/>
          </cell>
          <cell r="O6299" t="str">
            <v/>
          </cell>
          <cell r="P6299" t="str">
            <v/>
          </cell>
          <cell r="Q6299" t="str">
            <v/>
          </cell>
          <cell r="S6299" t="str">
            <v/>
          </cell>
          <cell r="V6299" t="str">
            <v/>
          </cell>
          <cell r="Z6299" t="str">
            <v/>
          </cell>
          <cell r="AA6299" t="str">
            <v/>
          </cell>
          <cell r="AB6299" t="str">
            <v/>
          </cell>
          <cell r="AC6299" t="str">
            <v/>
          </cell>
          <cell r="AD6299" t="str">
            <v/>
          </cell>
          <cell r="AY6299" t="str">
            <v/>
          </cell>
          <cell r="AZ6299" t="str">
            <v/>
          </cell>
          <cell r="BA6299" t="str">
            <v/>
          </cell>
        </row>
        <row r="6300">
          <cell r="B6300" t="str">
            <v>-</v>
          </cell>
          <cell r="E6300" t="str">
            <v/>
          </cell>
          <cell r="G6300" t="str">
            <v/>
          </cell>
          <cell r="J6300" t="str">
            <v/>
          </cell>
          <cell r="O6300" t="str">
            <v/>
          </cell>
          <cell r="P6300" t="str">
            <v/>
          </cell>
          <cell r="Q6300" t="str">
            <v/>
          </cell>
          <cell r="S6300" t="str">
            <v/>
          </cell>
          <cell r="V6300" t="str">
            <v/>
          </cell>
          <cell r="Z6300" t="str">
            <v/>
          </cell>
          <cell r="AA6300" t="str">
            <v/>
          </cell>
          <cell r="AB6300" t="str">
            <v/>
          </cell>
          <cell r="AC6300" t="str">
            <v/>
          </cell>
          <cell r="AD6300" t="str">
            <v/>
          </cell>
          <cell r="AY6300" t="str">
            <v/>
          </cell>
          <cell r="AZ6300" t="str">
            <v/>
          </cell>
          <cell r="BA6300" t="str">
            <v/>
          </cell>
        </row>
        <row r="6301">
          <cell r="B6301" t="str">
            <v>-</v>
          </cell>
          <cell r="E6301" t="str">
            <v/>
          </cell>
          <cell r="G6301" t="str">
            <v/>
          </cell>
          <cell r="J6301" t="str">
            <v/>
          </cell>
          <cell r="O6301" t="str">
            <v/>
          </cell>
          <cell r="P6301" t="str">
            <v/>
          </cell>
          <cell r="Q6301" t="str">
            <v/>
          </cell>
          <cell r="S6301" t="str">
            <v/>
          </cell>
          <cell r="V6301" t="str">
            <v/>
          </cell>
          <cell r="Z6301" t="str">
            <v/>
          </cell>
          <cell r="AA6301" t="str">
            <v/>
          </cell>
          <cell r="AB6301" t="str">
            <v/>
          </cell>
          <cell r="AC6301" t="str">
            <v/>
          </cell>
          <cell r="AD6301" t="str">
            <v/>
          </cell>
          <cell r="AY6301" t="str">
            <v/>
          </cell>
          <cell r="AZ6301" t="str">
            <v/>
          </cell>
          <cell r="BA6301" t="str">
            <v/>
          </cell>
        </row>
        <row r="6302">
          <cell r="B6302" t="str">
            <v>-</v>
          </cell>
          <cell r="E6302" t="str">
            <v/>
          </cell>
          <cell r="G6302" t="str">
            <v/>
          </cell>
          <cell r="J6302" t="str">
            <v/>
          </cell>
          <cell r="O6302" t="str">
            <v/>
          </cell>
          <cell r="P6302" t="str">
            <v/>
          </cell>
          <cell r="Q6302" t="str">
            <v/>
          </cell>
          <cell r="S6302" t="str">
            <v/>
          </cell>
          <cell r="V6302" t="str">
            <v/>
          </cell>
          <cell r="Z6302" t="str">
            <v/>
          </cell>
          <cell r="AA6302" t="str">
            <v/>
          </cell>
          <cell r="AB6302" t="str">
            <v/>
          </cell>
          <cell r="AC6302" t="str">
            <v/>
          </cell>
          <cell r="AD6302" t="str">
            <v/>
          </cell>
          <cell r="AY6302" t="str">
            <v/>
          </cell>
          <cell r="AZ6302" t="str">
            <v/>
          </cell>
          <cell r="BA6302" t="str">
            <v/>
          </cell>
        </row>
        <row r="6303">
          <cell r="B6303" t="str">
            <v>-</v>
          </cell>
          <cell r="E6303" t="str">
            <v/>
          </cell>
          <cell r="G6303" t="str">
            <v/>
          </cell>
          <cell r="J6303" t="str">
            <v/>
          </cell>
          <cell r="O6303" t="str">
            <v/>
          </cell>
          <cell r="P6303" t="str">
            <v/>
          </cell>
          <cell r="Q6303" t="str">
            <v/>
          </cell>
          <cell r="S6303" t="str">
            <v/>
          </cell>
          <cell r="V6303" t="str">
            <v/>
          </cell>
          <cell r="Z6303" t="str">
            <v/>
          </cell>
          <cell r="AA6303" t="str">
            <v/>
          </cell>
          <cell r="AB6303" t="str">
            <v/>
          </cell>
          <cell r="AC6303" t="str">
            <v/>
          </cell>
          <cell r="AD6303" t="str">
            <v/>
          </cell>
          <cell r="AY6303" t="str">
            <v/>
          </cell>
          <cell r="AZ6303" t="str">
            <v/>
          </cell>
          <cell r="BA6303" t="str">
            <v/>
          </cell>
        </row>
        <row r="6304">
          <cell r="B6304" t="str">
            <v>-</v>
          </cell>
          <cell r="E6304" t="str">
            <v/>
          </cell>
          <cell r="G6304" t="str">
            <v/>
          </cell>
          <cell r="J6304" t="str">
            <v/>
          </cell>
          <cell r="O6304" t="str">
            <v/>
          </cell>
          <cell r="P6304" t="str">
            <v/>
          </cell>
          <cell r="Q6304" t="str">
            <v/>
          </cell>
          <cell r="S6304" t="str">
            <v/>
          </cell>
          <cell r="V6304" t="str">
            <v/>
          </cell>
          <cell r="Z6304" t="str">
            <v/>
          </cell>
          <cell r="AA6304" t="str">
            <v/>
          </cell>
          <cell r="AB6304" t="str">
            <v/>
          </cell>
          <cell r="AC6304" t="str">
            <v/>
          </cell>
          <cell r="AD6304" t="str">
            <v/>
          </cell>
          <cell r="AY6304" t="str">
            <v/>
          </cell>
          <cell r="AZ6304" t="str">
            <v/>
          </cell>
          <cell r="BA6304" t="str">
            <v/>
          </cell>
        </row>
        <row r="6305">
          <cell r="B6305" t="str">
            <v>-</v>
          </cell>
          <cell r="E6305" t="str">
            <v/>
          </cell>
          <cell r="G6305" t="str">
            <v/>
          </cell>
          <cell r="J6305" t="str">
            <v/>
          </cell>
          <cell r="O6305" t="str">
            <v/>
          </cell>
          <cell r="P6305" t="str">
            <v/>
          </cell>
          <cell r="Q6305" t="str">
            <v/>
          </cell>
          <cell r="S6305" t="str">
            <v/>
          </cell>
          <cell r="V6305" t="str">
            <v/>
          </cell>
          <cell r="Z6305" t="str">
            <v/>
          </cell>
          <cell r="AA6305" t="str">
            <v/>
          </cell>
          <cell r="AB6305" t="str">
            <v/>
          </cell>
          <cell r="AC6305" t="str">
            <v/>
          </cell>
          <cell r="AD6305" t="str">
            <v/>
          </cell>
          <cell r="AY6305" t="str">
            <v/>
          </cell>
          <cell r="AZ6305" t="str">
            <v/>
          </cell>
          <cell r="BA6305" t="str">
            <v/>
          </cell>
        </row>
        <row r="6306">
          <cell r="B6306" t="str">
            <v>-</v>
          </cell>
          <cell r="E6306" t="str">
            <v/>
          </cell>
          <cell r="G6306" t="str">
            <v/>
          </cell>
          <cell r="J6306" t="str">
            <v/>
          </cell>
          <cell r="O6306" t="str">
            <v/>
          </cell>
          <cell r="P6306" t="str">
            <v/>
          </cell>
          <cell r="Q6306" t="str">
            <v/>
          </cell>
          <cell r="S6306" t="str">
            <v/>
          </cell>
          <cell r="V6306" t="str">
            <v/>
          </cell>
          <cell r="Z6306" t="str">
            <v/>
          </cell>
          <cell r="AA6306" t="str">
            <v/>
          </cell>
          <cell r="AB6306" t="str">
            <v/>
          </cell>
          <cell r="AC6306" t="str">
            <v/>
          </cell>
          <cell r="AD6306" t="str">
            <v/>
          </cell>
          <cell r="AY6306" t="str">
            <v/>
          </cell>
          <cell r="AZ6306" t="str">
            <v/>
          </cell>
          <cell r="BA6306" t="str">
            <v/>
          </cell>
        </row>
        <row r="6307">
          <cell r="B6307" t="str">
            <v>-</v>
          </cell>
          <cell r="E6307" t="str">
            <v/>
          </cell>
          <cell r="G6307" t="str">
            <v/>
          </cell>
          <cell r="J6307" t="str">
            <v/>
          </cell>
          <cell r="O6307" t="str">
            <v/>
          </cell>
          <cell r="P6307" t="str">
            <v/>
          </cell>
          <cell r="Q6307" t="str">
            <v/>
          </cell>
          <cell r="S6307" t="str">
            <v/>
          </cell>
          <cell r="V6307" t="str">
            <v/>
          </cell>
          <cell r="Z6307" t="str">
            <v/>
          </cell>
          <cell r="AA6307" t="str">
            <v/>
          </cell>
          <cell r="AB6307" t="str">
            <v/>
          </cell>
          <cell r="AC6307" t="str">
            <v/>
          </cell>
          <cell r="AD6307" t="str">
            <v/>
          </cell>
          <cell r="AY6307" t="str">
            <v/>
          </cell>
          <cell r="AZ6307" t="str">
            <v/>
          </cell>
          <cell r="BA6307" t="str">
            <v/>
          </cell>
        </row>
        <row r="6308">
          <cell r="B6308" t="str">
            <v>-</v>
          </cell>
          <cell r="E6308" t="str">
            <v/>
          </cell>
          <cell r="G6308" t="str">
            <v/>
          </cell>
          <cell r="J6308" t="str">
            <v/>
          </cell>
          <cell r="O6308" t="str">
            <v/>
          </cell>
          <cell r="P6308" t="str">
            <v/>
          </cell>
          <cell r="Q6308" t="str">
            <v/>
          </cell>
          <cell r="S6308" t="str">
            <v/>
          </cell>
          <cell r="V6308" t="str">
            <v/>
          </cell>
          <cell r="Z6308" t="str">
            <v/>
          </cell>
          <cell r="AA6308" t="str">
            <v/>
          </cell>
          <cell r="AB6308" t="str">
            <v/>
          </cell>
          <cell r="AC6308" t="str">
            <v/>
          </cell>
          <cell r="AD6308" t="str">
            <v/>
          </cell>
          <cell r="AY6308" t="str">
            <v/>
          </cell>
          <cell r="AZ6308" t="str">
            <v/>
          </cell>
          <cell r="BA6308" t="str">
            <v/>
          </cell>
        </row>
        <row r="6309">
          <cell r="B6309" t="str">
            <v>-</v>
          </cell>
          <cell r="E6309" t="str">
            <v/>
          </cell>
          <cell r="G6309" t="str">
            <v/>
          </cell>
          <cell r="J6309" t="str">
            <v/>
          </cell>
          <cell r="O6309" t="str">
            <v/>
          </cell>
          <cell r="P6309" t="str">
            <v/>
          </cell>
          <cell r="Q6309" t="str">
            <v/>
          </cell>
          <cell r="S6309" t="str">
            <v/>
          </cell>
          <cell r="V6309" t="str">
            <v/>
          </cell>
          <cell r="Z6309" t="str">
            <v/>
          </cell>
          <cell r="AA6309" t="str">
            <v/>
          </cell>
          <cell r="AB6309" t="str">
            <v/>
          </cell>
          <cell r="AC6309" t="str">
            <v/>
          </cell>
          <cell r="AD6309" t="str">
            <v/>
          </cell>
          <cell r="AY6309" t="str">
            <v/>
          </cell>
          <cell r="AZ6309" t="str">
            <v/>
          </cell>
          <cell r="BA6309" t="str">
            <v/>
          </cell>
        </row>
        <row r="6310">
          <cell r="B6310" t="str">
            <v>-</v>
          </cell>
          <cell r="E6310" t="str">
            <v/>
          </cell>
          <cell r="G6310" t="str">
            <v/>
          </cell>
          <cell r="J6310" t="str">
            <v/>
          </cell>
          <cell r="O6310" t="str">
            <v/>
          </cell>
          <cell r="P6310" t="str">
            <v/>
          </cell>
          <cell r="Q6310" t="str">
            <v/>
          </cell>
          <cell r="S6310" t="str">
            <v/>
          </cell>
          <cell r="V6310" t="str">
            <v/>
          </cell>
          <cell r="Z6310" t="str">
            <v/>
          </cell>
          <cell r="AA6310" t="str">
            <v/>
          </cell>
          <cell r="AB6310" t="str">
            <v/>
          </cell>
          <cell r="AC6310" t="str">
            <v/>
          </cell>
          <cell r="AD6310" t="str">
            <v/>
          </cell>
          <cell r="AY6310" t="str">
            <v/>
          </cell>
          <cell r="AZ6310" t="str">
            <v/>
          </cell>
          <cell r="BA6310" t="str">
            <v/>
          </cell>
        </row>
        <row r="6311">
          <cell r="B6311" t="str">
            <v>-</v>
          </cell>
          <cell r="E6311" t="str">
            <v/>
          </cell>
          <cell r="G6311" t="str">
            <v/>
          </cell>
          <cell r="J6311" t="str">
            <v/>
          </cell>
          <cell r="O6311" t="str">
            <v/>
          </cell>
          <cell r="P6311" t="str">
            <v/>
          </cell>
          <cell r="Q6311" t="str">
            <v/>
          </cell>
          <cell r="S6311" t="str">
            <v/>
          </cell>
          <cell r="V6311" t="str">
            <v/>
          </cell>
          <cell r="Z6311" t="str">
            <v/>
          </cell>
          <cell r="AA6311" t="str">
            <v/>
          </cell>
          <cell r="AB6311" t="str">
            <v/>
          </cell>
          <cell r="AC6311" t="str">
            <v/>
          </cell>
          <cell r="AD6311" t="str">
            <v/>
          </cell>
          <cell r="AY6311" t="str">
            <v/>
          </cell>
          <cell r="AZ6311" t="str">
            <v/>
          </cell>
          <cell r="BA6311" t="str">
            <v/>
          </cell>
        </row>
        <row r="6312">
          <cell r="B6312" t="str">
            <v>-</v>
          </cell>
          <cell r="E6312" t="str">
            <v/>
          </cell>
          <cell r="G6312" t="str">
            <v/>
          </cell>
          <cell r="J6312" t="str">
            <v/>
          </cell>
          <cell r="O6312" t="str">
            <v/>
          </cell>
          <cell r="P6312" t="str">
            <v/>
          </cell>
          <cell r="Q6312" t="str">
            <v/>
          </cell>
          <cell r="S6312" t="str">
            <v/>
          </cell>
          <cell r="V6312" t="str">
            <v/>
          </cell>
          <cell r="Z6312" t="str">
            <v/>
          </cell>
          <cell r="AA6312" t="str">
            <v/>
          </cell>
          <cell r="AB6312" t="str">
            <v/>
          </cell>
          <cell r="AC6312" t="str">
            <v/>
          </cell>
          <cell r="AD6312" t="str">
            <v/>
          </cell>
          <cell r="AY6312" t="str">
            <v/>
          </cell>
          <cell r="AZ6312" t="str">
            <v/>
          </cell>
          <cell r="BA6312" t="str">
            <v/>
          </cell>
        </row>
        <row r="6313">
          <cell r="B6313" t="str">
            <v>-</v>
          </cell>
          <cell r="E6313" t="str">
            <v/>
          </cell>
          <cell r="G6313" t="str">
            <v/>
          </cell>
          <cell r="J6313" t="str">
            <v/>
          </cell>
          <cell r="O6313" t="str">
            <v/>
          </cell>
          <cell r="P6313" t="str">
            <v/>
          </cell>
          <cell r="Q6313" t="str">
            <v/>
          </cell>
          <cell r="S6313" t="str">
            <v/>
          </cell>
          <cell r="V6313" t="str">
            <v/>
          </cell>
          <cell r="Z6313" t="str">
            <v/>
          </cell>
          <cell r="AA6313" t="str">
            <v/>
          </cell>
          <cell r="AB6313" t="str">
            <v/>
          </cell>
          <cell r="AC6313" t="str">
            <v/>
          </cell>
          <cell r="AD6313" t="str">
            <v/>
          </cell>
          <cell r="AY6313" t="str">
            <v/>
          </cell>
          <cell r="AZ6313" t="str">
            <v/>
          </cell>
          <cell r="BA6313" t="str">
            <v/>
          </cell>
        </row>
        <row r="6314">
          <cell r="B6314" t="str">
            <v>-</v>
          </cell>
          <cell r="E6314" t="str">
            <v/>
          </cell>
          <cell r="G6314" t="str">
            <v/>
          </cell>
          <cell r="J6314" t="str">
            <v/>
          </cell>
          <cell r="O6314" t="str">
            <v/>
          </cell>
          <cell r="P6314" t="str">
            <v/>
          </cell>
          <cell r="Q6314" t="str">
            <v/>
          </cell>
          <cell r="S6314" t="str">
            <v/>
          </cell>
          <cell r="V6314" t="str">
            <v/>
          </cell>
          <cell r="Z6314" t="str">
            <v/>
          </cell>
          <cell r="AA6314" t="str">
            <v/>
          </cell>
          <cell r="AB6314" t="str">
            <v/>
          </cell>
          <cell r="AC6314" t="str">
            <v/>
          </cell>
          <cell r="AD6314" t="str">
            <v/>
          </cell>
          <cell r="AY6314" t="str">
            <v/>
          </cell>
          <cell r="AZ6314" t="str">
            <v/>
          </cell>
          <cell r="BA6314" t="str">
            <v/>
          </cell>
        </row>
        <row r="6315">
          <cell r="B6315" t="str">
            <v>-</v>
          </cell>
          <cell r="E6315" t="str">
            <v/>
          </cell>
          <cell r="G6315" t="str">
            <v/>
          </cell>
          <cell r="J6315" t="str">
            <v/>
          </cell>
          <cell r="O6315" t="str">
            <v/>
          </cell>
          <cell r="P6315" t="str">
            <v/>
          </cell>
          <cell r="Q6315" t="str">
            <v/>
          </cell>
          <cell r="S6315" t="str">
            <v/>
          </cell>
          <cell r="V6315" t="str">
            <v/>
          </cell>
          <cell r="Z6315" t="str">
            <v/>
          </cell>
          <cell r="AA6315" t="str">
            <v/>
          </cell>
          <cell r="AB6315" t="str">
            <v/>
          </cell>
          <cell r="AC6315" t="str">
            <v/>
          </cell>
          <cell r="AD6315" t="str">
            <v/>
          </cell>
          <cell r="AY6315" t="str">
            <v/>
          </cell>
          <cell r="AZ6315" t="str">
            <v/>
          </cell>
          <cell r="BA6315" t="str">
            <v/>
          </cell>
        </row>
        <row r="6316">
          <cell r="B6316" t="str">
            <v>-</v>
          </cell>
          <cell r="E6316" t="str">
            <v/>
          </cell>
          <cell r="G6316" t="str">
            <v/>
          </cell>
          <cell r="J6316" t="str">
            <v/>
          </cell>
          <cell r="O6316" t="str">
            <v/>
          </cell>
          <cell r="P6316" t="str">
            <v/>
          </cell>
          <cell r="Q6316" t="str">
            <v/>
          </cell>
          <cell r="S6316" t="str">
            <v/>
          </cell>
          <cell r="V6316" t="str">
            <v/>
          </cell>
          <cell r="Z6316" t="str">
            <v/>
          </cell>
          <cell r="AA6316" t="str">
            <v/>
          </cell>
          <cell r="AB6316" t="str">
            <v/>
          </cell>
          <cell r="AC6316" t="str">
            <v/>
          </cell>
          <cell r="AD6316" t="str">
            <v/>
          </cell>
          <cell r="AY6316" t="str">
            <v/>
          </cell>
          <cell r="AZ6316" t="str">
            <v/>
          </cell>
          <cell r="BA6316" t="str">
            <v/>
          </cell>
        </row>
        <row r="6317">
          <cell r="B6317" t="str">
            <v>-</v>
          </cell>
          <cell r="E6317" t="str">
            <v/>
          </cell>
          <cell r="G6317" t="str">
            <v/>
          </cell>
          <cell r="J6317" t="str">
            <v/>
          </cell>
          <cell r="O6317" t="str">
            <v/>
          </cell>
          <cell r="P6317" t="str">
            <v/>
          </cell>
          <cell r="Q6317" t="str">
            <v/>
          </cell>
          <cell r="S6317" t="str">
            <v/>
          </cell>
          <cell r="V6317" t="str">
            <v/>
          </cell>
          <cell r="Z6317" t="str">
            <v/>
          </cell>
          <cell r="AA6317" t="str">
            <v/>
          </cell>
          <cell r="AB6317" t="str">
            <v/>
          </cell>
          <cell r="AC6317" t="str">
            <v/>
          </cell>
          <cell r="AD6317" t="str">
            <v/>
          </cell>
          <cell r="AY6317" t="str">
            <v/>
          </cell>
          <cell r="AZ6317" t="str">
            <v/>
          </cell>
          <cell r="BA6317" t="str">
            <v/>
          </cell>
        </row>
        <row r="6318">
          <cell r="B6318" t="str">
            <v>-</v>
          </cell>
          <cell r="E6318" t="str">
            <v/>
          </cell>
          <cell r="G6318" t="str">
            <v/>
          </cell>
          <cell r="J6318" t="str">
            <v/>
          </cell>
          <cell r="O6318" t="str">
            <v/>
          </cell>
          <cell r="P6318" t="str">
            <v/>
          </cell>
          <cell r="Q6318" t="str">
            <v/>
          </cell>
          <cell r="S6318" t="str">
            <v/>
          </cell>
          <cell r="V6318" t="str">
            <v/>
          </cell>
          <cell r="Z6318" t="str">
            <v/>
          </cell>
          <cell r="AA6318" t="str">
            <v/>
          </cell>
          <cell r="AB6318" t="str">
            <v/>
          </cell>
          <cell r="AC6318" t="str">
            <v/>
          </cell>
          <cell r="AD6318" t="str">
            <v/>
          </cell>
          <cell r="AY6318" t="str">
            <v/>
          </cell>
          <cell r="AZ6318" t="str">
            <v/>
          </cell>
          <cell r="BA6318" t="str">
            <v/>
          </cell>
        </row>
        <row r="6319">
          <cell r="B6319" t="str">
            <v>-</v>
          </cell>
          <cell r="E6319" t="str">
            <v/>
          </cell>
          <cell r="G6319" t="str">
            <v/>
          </cell>
          <cell r="J6319" t="str">
            <v/>
          </cell>
          <cell r="O6319" t="str">
            <v/>
          </cell>
          <cell r="P6319" t="str">
            <v/>
          </cell>
          <cell r="Q6319" t="str">
            <v/>
          </cell>
          <cell r="S6319" t="str">
            <v/>
          </cell>
          <cell r="V6319" t="str">
            <v/>
          </cell>
          <cell r="Z6319" t="str">
            <v/>
          </cell>
          <cell r="AA6319" t="str">
            <v/>
          </cell>
          <cell r="AB6319" t="str">
            <v/>
          </cell>
          <cell r="AC6319" t="str">
            <v/>
          </cell>
          <cell r="AD6319" t="str">
            <v/>
          </cell>
          <cell r="AY6319" t="str">
            <v/>
          </cell>
          <cell r="AZ6319" t="str">
            <v/>
          </cell>
          <cell r="BA6319" t="str">
            <v/>
          </cell>
        </row>
        <row r="6320">
          <cell r="B6320" t="str">
            <v>-</v>
          </cell>
          <cell r="E6320" t="str">
            <v/>
          </cell>
          <cell r="G6320" t="str">
            <v/>
          </cell>
          <cell r="J6320" t="str">
            <v/>
          </cell>
          <cell r="O6320" t="str">
            <v/>
          </cell>
          <cell r="P6320" t="str">
            <v/>
          </cell>
          <cell r="Q6320" t="str">
            <v/>
          </cell>
          <cell r="S6320" t="str">
            <v/>
          </cell>
          <cell r="V6320" t="str">
            <v/>
          </cell>
          <cell r="Z6320" t="str">
            <v/>
          </cell>
          <cell r="AA6320" t="str">
            <v/>
          </cell>
          <cell r="AB6320" t="str">
            <v/>
          </cell>
          <cell r="AC6320" t="str">
            <v/>
          </cell>
          <cell r="AD6320" t="str">
            <v/>
          </cell>
          <cell r="AY6320" t="str">
            <v/>
          </cell>
          <cell r="AZ6320" t="str">
            <v/>
          </cell>
          <cell r="BA6320" t="str">
            <v/>
          </cell>
        </row>
        <row r="6321">
          <cell r="B6321" t="str">
            <v>-</v>
          </cell>
          <cell r="E6321" t="str">
            <v/>
          </cell>
          <cell r="G6321" t="str">
            <v/>
          </cell>
          <cell r="J6321" t="str">
            <v/>
          </cell>
          <cell r="O6321" t="str">
            <v/>
          </cell>
          <cell r="P6321" t="str">
            <v/>
          </cell>
          <cell r="Q6321" t="str">
            <v/>
          </cell>
          <cell r="S6321" t="str">
            <v/>
          </cell>
          <cell r="V6321" t="str">
            <v/>
          </cell>
          <cell r="Z6321" t="str">
            <v/>
          </cell>
          <cell r="AA6321" t="str">
            <v/>
          </cell>
          <cell r="AB6321" t="str">
            <v/>
          </cell>
          <cell r="AC6321" t="str">
            <v/>
          </cell>
          <cell r="AD6321" t="str">
            <v/>
          </cell>
          <cell r="AY6321" t="str">
            <v/>
          </cell>
          <cell r="AZ6321" t="str">
            <v/>
          </cell>
          <cell r="BA6321" t="str">
            <v/>
          </cell>
        </row>
        <row r="6322">
          <cell r="B6322" t="str">
            <v>-</v>
          </cell>
          <cell r="E6322" t="str">
            <v/>
          </cell>
          <cell r="G6322" t="str">
            <v/>
          </cell>
          <cell r="J6322" t="str">
            <v/>
          </cell>
          <cell r="O6322" t="str">
            <v/>
          </cell>
          <cell r="P6322" t="str">
            <v/>
          </cell>
          <cell r="Q6322" t="str">
            <v/>
          </cell>
          <cell r="S6322" t="str">
            <v/>
          </cell>
          <cell r="V6322" t="str">
            <v/>
          </cell>
          <cell r="Z6322" t="str">
            <v/>
          </cell>
          <cell r="AA6322" t="str">
            <v/>
          </cell>
          <cell r="AB6322" t="str">
            <v/>
          </cell>
          <cell r="AC6322" t="str">
            <v/>
          </cell>
          <cell r="AD6322" t="str">
            <v/>
          </cell>
          <cell r="AY6322" t="str">
            <v/>
          </cell>
          <cell r="AZ6322" t="str">
            <v/>
          </cell>
          <cell r="BA6322" t="str">
            <v/>
          </cell>
        </row>
        <row r="6323">
          <cell r="B6323" t="str">
            <v>-</v>
          </cell>
          <cell r="E6323" t="str">
            <v/>
          </cell>
          <cell r="G6323" t="str">
            <v/>
          </cell>
          <cell r="J6323" t="str">
            <v/>
          </cell>
          <cell r="O6323" t="str">
            <v/>
          </cell>
          <cell r="P6323" t="str">
            <v/>
          </cell>
          <cell r="Q6323" t="str">
            <v/>
          </cell>
          <cell r="S6323" t="str">
            <v/>
          </cell>
          <cell r="V6323" t="str">
            <v/>
          </cell>
          <cell r="Z6323" t="str">
            <v/>
          </cell>
          <cell r="AA6323" t="str">
            <v/>
          </cell>
          <cell r="AB6323" t="str">
            <v/>
          </cell>
          <cell r="AC6323" t="str">
            <v/>
          </cell>
          <cell r="AD6323" t="str">
            <v/>
          </cell>
          <cell r="AY6323" t="str">
            <v/>
          </cell>
          <cell r="AZ6323" t="str">
            <v/>
          </cell>
          <cell r="BA6323" t="str">
            <v/>
          </cell>
        </row>
        <row r="6324">
          <cell r="B6324" t="str">
            <v>-</v>
          </cell>
          <cell r="E6324" t="str">
            <v/>
          </cell>
          <cell r="G6324" t="str">
            <v/>
          </cell>
          <cell r="J6324" t="str">
            <v/>
          </cell>
          <cell r="O6324" t="str">
            <v/>
          </cell>
          <cell r="P6324" t="str">
            <v/>
          </cell>
          <cell r="Q6324" t="str">
            <v/>
          </cell>
          <cell r="S6324" t="str">
            <v/>
          </cell>
          <cell r="V6324" t="str">
            <v/>
          </cell>
          <cell r="Z6324" t="str">
            <v/>
          </cell>
          <cell r="AA6324" t="str">
            <v/>
          </cell>
          <cell r="AB6324" t="str">
            <v/>
          </cell>
          <cell r="AC6324" t="str">
            <v/>
          </cell>
          <cell r="AD6324" t="str">
            <v/>
          </cell>
          <cell r="AY6324" t="str">
            <v/>
          </cell>
          <cell r="AZ6324" t="str">
            <v/>
          </cell>
          <cell r="BA6324" t="str">
            <v/>
          </cell>
        </row>
        <row r="6325">
          <cell r="B6325" t="str">
            <v>-</v>
          </cell>
          <cell r="E6325" t="str">
            <v/>
          </cell>
          <cell r="G6325" t="str">
            <v/>
          </cell>
          <cell r="J6325" t="str">
            <v/>
          </cell>
          <cell r="O6325" t="str">
            <v/>
          </cell>
          <cell r="P6325" t="str">
            <v/>
          </cell>
          <cell r="Q6325" t="str">
            <v/>
          </cell>
          <cell r="S6325" t="str">
            <v/>
          </cell>
          <cell r="V6325" t="str">
            <v/>
          </cell>
          <cell r="Z6325" t="str">
            <v/>
          </cell>
          <cell r="AA6325" t="str">
            <v/>
          </cell>
          <cell r="AB6325" t="str">
            <v/>
          </cell>
          <cell r="AC6325" t="str">
            <v/>
          </cell>
          <cell r="AD6325" t="str">
            <v/>
          </cell>
          <cell r="AY6325" t="str">
            <v/>
          </cell>
          <cell r="AZ6325" t="str">
            <v/>
          </cell>
          <cell r="BA6325" t="str">
            <v/>
          </cell>
        </row>
        <row r="6326">
          <cell r="B6326" t="str">
            <v>-</v>
          </cell>
          <cell r="E6326" t="str">
            <v/>
          </cell>
          <cell r="G6326" t="str">
            <v/>
          </cell>
          <cell r="J6326" t="str">
            <v/>
          </cell>
          <cell r="O6326" t="str">
            <v/>
          </cell>
          <cell r="P6326" t="str">
            <v/>
          </cell>
          <cell r="Q6326" t="str">
            <v/>
          </cell>
          <cell r="S6326" t="str">
            <v/>
          </cell>
          <cell r="V6326" t="str">
            <v/>
          </cell>
          <cell r="Z6326" t="str">
            <v/>
          </cell>
          <cell r="AA6326" t="str">
            <v/>
          </cell>
          <cell r="AB6326" t="str">
            <v/>
          </cell>
          <cell r="AC6326" t="str">
            <v/>
          </cell>
          <cell r="AD6326" t="str">
            <v/>
          </cell>
          <cell r="AY6326" t="str">
            <v/>
          </cell>
          <cell r="AZ6326" t="str">
            <v/>
          </cell>
          <cell r="BA6326" t="str">
            <v/>
          </cell>
        </row>
        <row r="6327">
          <cell r="B6327" t="str">
            <v>-</v>
          </cell>
          <cell r="E6327" t="str">
            <v/>
          </cell>
          <cell r="G6327" t="str">
            <v/>
          </cell>
          <cell r="J6327" t="str">
            <v/>
          </cell>
          <cell r="O6327" t="str">
            <v/>
          </cell>
          <cell r="P6327" t="str">
            <v/>
          </cell>
          <cell r="Q6327" t="str">
            <v/>
          </cell>
          <cell r="S6327" t="str">
            <v/>
          </cell>
          <cell r="V6327" t="str">
            <v/>
          </cell>
          <cell r="Z6327" t="str">
            <v/>
          </cell>
          <cell r="AA6327" t="str">
            <v/>
          </cell>
          <cell r="AB6327" t="str">
            <v/>
          </cell>
          <cell r="AC6327" t="str">
            <v/>
          </cell>
          <cell r="AD6327" t="str">
            <v/>
          </cell>
          <cell r="AY6327" t="str">
            <v/>
          </cell>
          <cell r="AZ6327" t="str">
            <v/>
          </cell>
          <cell r="BA6327" t="str">
            <v/>
          </cell>
        </row>
        <row r="6328">
          <cell r="B6328" t="str">
            <v>-</v>
          </cell>
          <cell r="E6328" t="str">
            <v/>
          </cell>
          <cell r="G6328" t="str">
            <v/>
          </cell>
          <cell r="J6328" t="str">
            <v/>
          </cell>
          <cell r="O6328" t="str">
            <v/>
          </cell>
          <cell r="P6328" t="str">
            <v/>
          </cell>
          <cell r="Q6328" t="str">
            <v/>
          </cell>
          <cell r="S6328" t="str">
            <v/>
          </cell>
          <cell r="V6328" t="str">
            <v/>
          </cell>
          <cell r="Z6328" t="str">
            <v/>
          </cell>
          <cell r="AA6328" t="str">
            <v/>
          </cell>
          <cell r="AB6328" t="str">
            <v/>
          </cell>
          <cell r="AC6328" t="str">
            <v/>
          </cell>
          <cell r="AD6328" t="str">
            <v/>
          </cell>
          <cell r="AY6328" t="str">
            <v/>
          </cell>
          <cell r="AZ6328" t="str">
            <v/>
          </cell>
          <cell r="BA6328" t="str">
            <v/>
          </cell>
        </row>
        <row r="6329">
          <cell r="B6329" t="str">
            <v>-</v>
          </cell>
          <cell r="E6329" t="str">
            <v/>
          </cell>
          <cell r="G6329" t="str">
            <v/>
          </cell>
          <cell r="J6329" t="str">
            <v/>
          </cell>
          <cell r="O6329" t="str">
            <v/>
          </cell>
          <cell r="P6329" t="str">
            <v/>
          </cell>
          <cell r="Q6329" t="str">
            <v/>
          </cell>
          <cell r="S6329" t="str">
            <v/>
          </cell>
          <cell r="V6329" t="str">
            <v/>
          </cell>
          <cell r="Z6329" t="str">
            <v/>
          </cell>
          <cell r="AA6329" t="str">
            <v/>
          </cell>
          <cell r="AB6329" t="str">
            <v/>
          </cell>
          <cell r="AC6329" t="str">
            <v/>
          </cell>
          <cell r="AD6329" t="str">
            <v/>
          </cell>
          <cell r="AY6329" t="str">
            <v/>
          </cell>
          <cell r="AZ6329" t="str">
            <v/>
          </cell>
          <cell r="BA6329" t="str">
            <v/>
          </cell>
        </row>
        <row r="6330">
          <cell r="B6330" t="str">
            <v>-</v>
          </cell>
          <cell r="E6330" t="str">
            <v/>
          </cell>
          <cell r="G6330" t="str">
            <v/>
          </cell>
          <cell r="J6330" t="str">
            <v/>
          </cell>
          <cell r="O6330" t="str">
            <v/>
          </cell>
          <cell r="P6330" t="str">
            <v/>
          </cell>
          <cell r="Q6330" t="str">
            <v/>
          </cell>
          <cell r="S6330" t="str">
            <v/>
          </cell>
          <cell r="V6330" t="str">
            <v/>
          </cell>
          <cell r="Z6330" t="str">
            <v/>
          </cell>
          <cell r="AA6330" t="str">
            <v/>
          </cell>
          <cell r="AB6330" t="str">
            <v/>
          </cell>
          <cell r="AC6330" t="str">
            <v/>
          </cell>
          <cell r="AD6330" t="str">
            <v/>
          </cell>
          <cell r="AY6330" t="str">
            <v/>
          </cell>
          <cell r="AZ6330" t="str">
            <v/>
          </cell>
          <cell r="BA6330" t="str">
            <v/>
          </cell>
        </row>
        <row r="6331">
          <cell r="B6331" t="str">
            <v>-</v>
          </cell>
          <cell r="E6331" t="str">
            <v/>
          </cell>
          <cell r="G6331" t="str">
            <v/>
          </cell>
          <cell r="J6331" t="str">
            <v/>
          </cell>
          <cell r="O6331" t="str">
            <v/>
          </cell>
          <cell r="P6331" t="str">
            <v/>
          </cell>
          <cell r="Q6331" t="str">
            <v/>
          </cell>
          <cell r="S6331" t="str">
            <v/>
          </cell>
          <cell r="V6331" t="str">
            <v/>
          </cell>
          <cell r="Z6331" t="str">
            <v/>
          </cell>
          <cell r="AA6331" t="str">
            <v/>
          </cell>
          <cell r="AB6331" t="str">
            <v/>
          </cell>
          <cell r="AC6331" t="str">
            <v/>
          </cell>
          <cell r="AD6331" t="str">
            <v/>
          </cell>
          <cell r="AY6331" t="str">
            <v/>
          </cell>
          <cell r="AZ6331" t="str">
            <v/>
          </cell>
          <cell r="BA6331" t="str">
            <v/>
          </cell>
        </row>
        <row r="6332">
          <cell r="B6332" t="str">
            <v>-</v>
          </cell>
          <cell r="E6332" t="str">
            <v/>
          </cell>
          <cell r="G6332" t="str">
            <v/>
          </cell>
          <cell r="J6332" t="str">
            <v/>
          </cell>
          <cell r="O6332" t="str">
            <v/>
          </cell>
          <cell r="P6332" t="str">
            <v/>
          </cell>
          <cell r="Q6332" t="str">
            <v/>
          </cell>
          <cell r="S6332" t="str">
            <v/>
          </cell>
          <cell r="V6332" t="str">
            <v/>
          </cell>
          <cell r="Z6332" t="str">
            <v/>
          </cell>
          <cell r="AA6332" t="str">
            <v/>
          </cell>
          <cell r="AB6332" t="str">
            <v/>
          </cell>
          <cell r="AC6332" t="str">
            <v/>
          </cell>
          <cell r="AD6332" t="str">
            <v/>
          </cell>
          <cell r="AY6332" t="str">
            <v/>
          </cell>
          <cell r="AZ6332" t="str">
            <v/>
          </cell>
          <cell r="BA6332" t="str">
            <v/>
          </cell>
        </row>
        <row r="6333">
          <cell r="B6333" t="str">
            <v>-</v>
          </cell>
          <cell r="E6333" t="str">
            <v/>
          </cell>
          <cell r="G6333" t="str">
            <v/>
          </cell>
          <cell r="J6333" t="str">
            <v/>
          </cell>
          <cell r="O6333" t="str">
            <v/>
          </cell>
          <cell r="P6333" t="str">
            <v/>
          </cell>
          <cell r="Q6333" t="str">
            <v/>
          </cell>
          <cell r="S6333" t="str">
            <v/>
          </cell>
          <cell r="V6333" t="str">
            <v/>
          </cell>
          <cell r="Z6333" t="str">
            <v/>
          </cell>
          <cell r="AA6333" t="str">
            <v/>
          </cell>
          <cell r="AB6333" t="str">
            <v/>
          </cell>
          <cell r="AC6333" t="str">
            <v/>
          </cell>
          <cell r="AD6333" t="str">
            <v/>
          </cell>
          <cell r="AY6333" t="str">
            <v/>
          </cell>
          <cell r="AZ6333" t="str">
            <v/>
          </cell>
          <cell r="BA6333" t="str">
            <v/>
          </cell>
        </row>
        <row r="6334">
          <cell r="B6334" t="str">
            <v>-</v>
          </cell>
          <cell r="E6334" t="str">
            <v/>
          </cell>
          <cell r="G6334" t="str">
            <v/>
          </cell>
          <cell r="J6334" t="str">
            <v/>
          </cell>
          <cell r="O6334" t="str">
            <v/>
          </cell>
          <cell r="P6334" t="str">
            <v/>
          </cell>
          <cell r="Q6334" t="str">
            <v/>
          </cell>
          <cell r="S6334" t="str">
            <v/>
          </cell>
          <cell r="V6334" t="str">
            <v/>
          </cell>
          <cell r="Z6334" t="str">
            <v/>
          </cell>
          <cell r="AA6334" t="str">
            <v/>
          </cell>
          <cell r="AB6334" t="str">
            <v/>
          </cell>
          <cell r="AC6334" t="str">
            <v/>
          </cell>
          <cell r="AD6334" t="str">
            <v/>
          </cell>
          <cell r="AY6334" t="str">
            <v/>
          </cell>
          <cell r="AZ6334" t="str">
            <v/>
          </cell>
          <cell r="BA6334" t="str">
            <v/>
          </cell>
        </row>
        <row r="6335">
          <cell r="B6335" t="str">
            <v>-</v>
          </cell>
          <cell r="E6335" t="str">
            <v/>
          </cell>
          <cell r="G6335" t="str">
            <v/>
          </cell>
          <cell r="J6335" t="str">
            <v/>
          </cell>
          <cell r="O6335" t="str">
            <v/>
          </cell>
          <cell r="P6335" t="str">
            <v/>
          </cell>
          <cell r="Q6335" t="str">
            <v/>
          </cell>
          <cell r="S6335" t="str">
            <v/>
          </cell>
          <cell r="V6335" t="str">
            <v/>
          </cell>
          <cell r="Z6335" t="str">
            <v/>
          </cell>
          <cell r="AA6335" t="str">
            <v/>
          </cell>
          <cell r="AB6335" t="str">
            <v/>
          </cell>
          <cell r="AC6335" t="str">
            <v/>
          </cell>
          <cell r="AD6335" t="str">
            <v/>
          </cell>
          <cell r="AY6335" t="str">
            <v/>
          </cell>
          <cell r="AZ6335" t="str">
            <v/>
          </cell>
          <cell r="BA6335" t="str">
            <v/>
          </cell>
        </row>
        <row r="6336">
          <cell r="B6336" t="str">
            <v>-</v>
          </cell>
          <cell r="E6336" t="str">
            <v/>
          </cell>
          <cell r="G6336" t="str">
            <v/>
          </cell>
          <cell r="J6336" t="str">
            <v/>
          </cell>
          <cell r="O6336" t="str">
            <v/>
          </cell>
          <cell r="P6336" t="str">
            <v/>
          </cell>
          <cell r="Q6336" t="str">
            <v/>
          </cell>
          <cell r="S6336" t="str">
            <v/>
          </cell>
          <cell r="V6336" t="str">
            <v/>
          </cell>
          <cell r="Z6336" t="str">
            <v/>
          </cell>
          <cell r="AA6336" t="str">
            <v/>
          </cell>
          <cell r="AB6336" t="str">
            <v/>
          </cell>
          <cell r="AC6336" t="str">
            <v/>
          </cell>
          <cell r="AD6336" t="str">
            <v/>
          </cell>
          <cell r="AY6336" t="str">
            <v/>
          </cell>
          <cell r="AZ6336" t="str">
            <v/>
          </cell>
          <cell r="BA6336" t="str">
            <v/>
          </cell>
        </row>
        <row r="6337">
          <cell r="B6337" t="str">
            <v>-</v>
          </cell>
          <cell r="E6337" t="str">
            <v/>
          </cell>
          <cell r="G6337" t="str">
            <v/>
          </cell>
          <cell r="J6337" t="str">
            <v/>
          </cell>
          <cell r="O6337" t="str">
            <v/>
          </cell>
          <cell r="P6337" t="str">
            <v/>
          </cell>
          <cell r="Q6337" t="str">
            <v/>
          </cell>
          <cell r="S6337" t="str">
            <v/>
          </cell>
          <cell r="V6337" t="str">
            <v/>
          </cell>
          <cell r="Z6337" t="str">
            <v/>
          </cell>
          <cell r="AA6337" t="str">
            <v/>
          </cell>
          <cell r="AB6337" t="str">
            <v/>
          </cell>
          <cell r="AC6337" t="str">
            <v/>
          </cell>
          <cell r="AD6337" t="str">
            <v/>
          </cell>
          <cell r="AY6337" t="str">
            <v/>
          </cell>
          <cell r="AZ6337" t="str">
            <v/>
          </cell>
          <cell r="BA6337" t="str">
            <v/>
          </cell>
        </row>
        <row r="6338">
          <cell r="B6338" t="str">
            <v>-</v>
          </cell>
          <cell r="E6338" t="str">
            <v/>
          </cell>
          <cell r="G6338" t="str">
            <v/>
          </cell>
          <cell r="J6338" t="str">
            <v/>
          </cell>
          <cell r="O6338" t="str">
            <v/>
          </cell>
          <cell r="P6338" t="str">
            <v/>
          </cell>
          <cell r="Q6338" t="str">
            <v/>
          </cell>
          <cell r="S6338" t="str">
            <v/>
          </cell>
          <cell r="V6338" t="str">
            <v/>
          </cell>
          <cell r="Z6338" t="str">
            <v/>
          </cell>
          <cell r="AA6338" t="str">
            <v/>
          </cell>
          <cell r="AB6338" t="str">
            <v/>
          </cell>
          <cell r="AC6338" t="str">
            <v/>
          </cell>
          <cell r="AD6338" t="str">
            <v/>
          </cell>
          <cell r="AY6338" t="str">
            <v/>
          </cell>
          <cell r="AZ6338" t="str">
            <v/>
          </cell>
          <cell r="BA6338" t="str">
            <v/>
          </cell>
        </row>
        <row r="6339">
          <cell r="B6339" t="str">
            <v>-</v>
          </cell>
          <cell r="E6339" t="str">
            <v/>
          </cell>
          <cell r="G6339" t="str">
            <v/>
          </cell>
          <cell r="J6339" t="str">
            <v/>
          </cell>
          <cell r="O6339" t="str">
            <v/>
          </cell>
          <cell r="P6339" t="str">
            <v/>
          </cell>
          <cell r="Q6339" t="str">
            <v/>
          </cell>
          <cell r="S6339" t="str">
            <v/>
          </cell>
          <cell r="V6339" t="str">
            <v/>
          </cell>
          <cell r="Z6339" t="str">
            <v/>
          </cell>
          <cell r="AA6339" t="str">
            <v/>
          </cell>
          <cell r="AB6339" t="str">
            <v/>
          </cell>
          <cell r="AC6339" t="str">
            <v/>
          </cell>
          <cell r="AD6339" t="str">
            <v/>
          </cell>
          <cell r="AY6339" t="str">
            <v/>
          </cell>
          <cell r="AZ6339" t="str">
            <v/>
          </cell>
          <cell r="BA6339" t="str">
            <v/>
          </cell>
        </row>
        <row r="6340">
          <cell r="B6340" t="str">
            <v>-</v>
          </cell>
          <cell r="E6340" t="str">
            <v/>
          </cell>
          <cell r="G6340" t="str">
            <v/>
          </cell>
          <cell r="J6340" t="str">
            <v/>
          </cell>
          <cell r="O6340" t="str">
            <v/>
          </cell>
          <cell r="P6340" t="str">
            <v/>
          </cell>
          <cell r="Q6340" t="str">
            <v/>
          </cell>
          <cell r="S6340" t="str">
            <v/>
          </cell>
          <cell r="V6340" t="str">
            <v/>
          </cell>
          <cell r="Z6340" t="str">
            <v/>
          </cell>
          <cell r="AA6340" t="str">
            <v/>
          </cell>
          <cell r="AB6340" t="str">
            <v/>
          </cell>
          <cell r="AC6340" t="str">
            <v/>
          </cell>
          <cell r="AD6340" t="str">
            <v/>
          </cell>
          <cell r="AY6340" t="str">
            <v/>
          </cell>
          <cell r="AZ6340" t="str">
            <v/>
          </cell>
          <cell r="BA6340" t="str">
            <v/>
          </cell>
        </row>
        <row r="6341">
          <cell r="B6341" t="str">
            <v>-</v>
          </cell>
          <cell r="E6341" t="str">
            <v/>
          </cell>
          <cell r="G6341" t="str">
            <v/>
          </cell>
          <cell r="J6341" t="str">
            <v/>
          </cell>
          <cell r="O6341" t="str">
            <v/>
          </cell>
          <cell r="P6341" t="str">
            <v/>
          </cell>
          <cell r="Q6341" t="str">
            <v/>
          </cell>
          <cell r="S6341" t="str">
            <v/>
          </cell>
          <cell r="V6341" t="str">
            <v/>
          </cell>
          <cell r="Z6341" t="str">
            <v/>
          </cell>
          <cell r="AA6341" t="str">
            <v/>
          </cell>
          <cell r="AB6341" t="str">
            <v/>
          </cell>
          <cell r="AC6341" t="str">
            <v/>
          </cell>
          <cell r="AD6341" t="str">
            <v/>
          </cell>
          <cell r="AY6341" t="str">
            <v/>
          </cell>
          <cell r="AZ6341" t="str">
            <v/>
          </cell>
          <cell r="BA6341" t="str">
            <v/>
          </cell>
        </row>
        <row r="6342">
          <cell r="B6342" t="str">
            <v>-</v>
          </cell>
          <cell r="E6342" t="str">
            <v/>
          </cell>
          <cell r="G6342" t="str">
            <v/>
          </cell>
          <cell r="J6342" t="str">
            <v/>
          </cell>
          <cell r="O6342" t="str">
            <v/>
          </cell>
          <cell r="P6342" t="str">
            <v/>
          </cell>
          <cell r="Q6342" t="str">
            <v/>
          </cell>
          <cell r="S6342" t="str">
            <v/>
          </cell>
          <cell r="V6342" t="str">
            <v/>
          </cell>
          <cell r="Z6342" t="str">
            <v/>
          </cell>
          <cell r="AA6342" t="str">
            <v/>
          </cell>
          <cell r="AB6342" t="str">
            <v/>
          </cell>
          <cell r="AC6342" t="str">
            <v/>
          </cell>
          <cell r="AD6342" t="str">
            <v/>
          </cell>
          <cell r="AY6342" t="str">
            <v/>
          </cell>
          <cell r="AZ6342" t="str">
            <v/>
          </cell>
          <cell r="BA6342" t="str">
            <v/>
          </cell>
        </row>
        <row r="6343">
          <cell r="B6343" t="str">
            <v>-</v>
          </cell>
          <cell r="E6343" t="str">
            <v/>
          </cell>
          <cell r="G6343" t="str">
            <v/>
          </cell>
          <cell r="J6343" t="str">
            <v/>
          </cell>
          <cell r="O6343" t="str">
            <v/>
          </cell>
          <cell r="P6343" t="str">
            <v/>
          </cell>
          <cell r="Q6343" t="str">
            <v/>
          </cell>
          <cell r="S6343" t="str">
            <v/>
          </cell>
          <cell r="V6343" t="str">
            <v/>
          </cell>
          <cell r="Z6343" t="str">
            <v/>
          </cell>
          <cell r="AA6343" t="str">
            <v/>
          </cell>
          <cell r="AB6343" t="str">
            <v/>
          </cell>
          <cell r="AC6343" t="str">
            <v/>
          </cell>
          <cell r="AD6343" t="str">
            <v/>
          </cell>
          <cell r="AY6343" t="str">
            <v/>
          </cell>
          <cell r="AZ6343" t="str">
            <v/>
          </cell>
          <cell r="BA6343" t="str">
            <v/>
          </cell>
        </row>
        <row r="6344">
          <cell r="B6344" t="str">
            <v>-</v>
          </cell>
          <cell r="E6344" t="str">
            <v/>
          </cell>
          <cell r="G6344" t="str">
            <v/>
          </cell>
          <cell r="J6344" t="str">
            <v/>
          </cell>
          <cell r="O6344" t="str">
            <v/>
          </cell>
          <cell r="P6344" t="str">
            <v/>
          </cell>
          <cell r="Q6344" t="str">
            <v/>
          </cell>
          <cell r="S6344" t="str">
            <v/>
          </cell>
          <cell r="V6344" t="str">
            <v/>
          </cell>
          <cell r="Z6344" t="str">
            <v/>
          </cell>
          <cell r="AA6344" t="str">
            <v/>
          </cell>
          <cell r="AB6344" t="str">
            <v/>
          </cell>
          <cell r="AC6344" t="str">
            <v/>
          </cell>
          <cell r="AD6344" t="str">
            <v/>
          </cell>
          <cell r="AY6344" t="str">
            <v/>
          </cell>
          <cell r="AZ6344" t="str">
            <v/>
          </cell>
          <cell r="BA6344" t="str">
            <v/>
          </cell>
        </row>
        <row r="6345">
          <cell r="B6345" t="str">
            <v>-</v>
          </cell>
          <cell r="E6345" t="str">
            <v/>
          </cell>
          <cell r="G6345" t="str">
            <v/>
          </cell>
          <cell r="J6345" t="str">
            <v/>
          </cell>
          <cell r="O6345" t="str">
            <v/>
          </cell>
          <cell r="P6345" t="str">
            <v/>
          </cell>
          <cell r="Q6345" t="str">
            <v/>
          </cell>
          <cell r="S6345" t="str">
            <v/>
          </cell>
          <cell r="V6345" t="str">
            <v/>
          </cell>
          <cell r="Z6345" t="str">
            <v/>
          </cell>
          <cell r="AA6345" t="str">
            <v/>
          </cell>
          <cell r="AB6345" t="str">
            <v/>
          </cell>
          <cell r="AC6345" t="str">
            <v/>
          </cell>
          <cell r="AD6345" t="str">
            <v/>
          </cell>
          <cell r="AY6345" t="str">
            <v/>
          </cell>
          <cell r="AZ6345" t="str">
            <v/>
          </cell>
          <cell r="BA6345" t="str">
            <v/>
          </cell>
        </row>
        <row r="6346">
          <cell r="B6346" t="str">
            <v>-</v>
          </cell>
          <cell r="E6346" t="str">
            <v/>
          </cell>
          <cell r="G6346" t="str">
            <v/>
          </cell>
          <cell r="J6346" t="str">
            <v/>
          </cell>
          <cell r="O6346" t="str">
            <v/>
          </cell>
          <cell r="P6346" t="str">
            <v/>
          </cell>
          <cell r="Q6346" t="str">
            <v/>
          </cell>
          <cell r="S6346" t="str">
            <v/>
          </cell>
          <cell r="V6346" t="str">
            <v/>
          </cell>
          <cell r="Z6346" t="str">
            <v/>
          </cell>
          <cell r="AA6346" t="str">
            <v/>
          </cell>
          <cell r="AB6346" t="str">
            <v/>
          </cell>
          <cell r="AC6346" t="str">
            <v/>
          </cell>
          <cell r="AD6346" t="str">
            <v/>
          </cell>
          <cell r="AY6346" t="str">
            <v/>
          </cell>
          <cell r="AZ6346" t="str">
            <v/>
          </cell>
          <cell r="BA6346" t="str">
            <v/>
          </cell>
        </row>
        <row r="6347">
          <cell r="B6347" t="str">
            <v>-</v>
          </cell>
          <cell r="E6347" t="str">
            <v/>
          </cell>
          <cell r="G6347" t="str">
            <v/>
          </cell>
          <cell r="J6347" t="str">
            <v/>
          </cell>
          <cell r="O6347" t="str">
            <v/>
          </cell>
          <cell r="P6347" t="str">
            <v/>
          </cell>
          <cell r="Q6347" t="str">
            <v/>
          </cell>
          <cell r="S6347" t="str">
            <v/>
          </cell>
          <cell r="V6347" t="str">
            <v/>
          </cell>
          <cell r="Z6347" t="str">
            <v/>
          </cell>
          <cell r="AA6347" t="str">
            <v/>
          </cell>
          <cell r="AB6347" t="str">
            <v/>
          </cell>
          <cell r="AC6347" t="str">
            <v/>
          </cell>
          <cell r="AD6347" t="str">
            <v/>
          </cell>
          <cell r="AY6347" t="str">
            <v/>
          </cell>
          <cell r="AZ6347" t="str">
            <v/>
          </cell>
          <cell r="BA6347" t="str">
            <v/>
          </cell>
        </row>
        <row r="6348">
          <cell r="B6348" t="str">
            <v>-</v>
          </cell>
          <cell r="E6348" t="str">
            <v/>
          </cell>
          <cell r="G6348" t="str">
            <v/>
          </cell>
          <cell r="J6348" t="str">
            <v/>
          </cell>
          <cell r="O6348" t="str">
            <v/>
          </cell>
          <cell r="P6348" t="str">
            <v/>
          </cell>
          <cell r="Q6348" t="str">
            <v/>
          </cell>
          <cell r="S6348" t="str">
            <v/>
          </cell>
          <cell r="V6348" t="str">
            <v/>
          </cell>
          <cell r="Z6348" t="str">
            <v/>
          </cell>
          <cell r="AA6348" t="str">
            <v/>
          </cell>
          <cell r="AB6348" t="str">
            <v/>
          </cell>
          <cell r="AC6348" t="str">
            <v/>
          </cell>
          <cell r="AD6348" t="str">
            <v/>
          </cell>
          <cell r="AY6348" t="str">
            <v/>
          </cell>
          <cell r="AZ6348" t="str">
            <v/>
          </cell>
          <cell r="BA6348" t="str">
            <v/>
          </cell>
        </row>
        <row r="6349">
          <cell r="B6349" t="str">
            <v>-</v>
          </cell>
          <cell r="E6349" t="str">
            <v/>
          </cell>
          <cell r="G6349" t="str">
            <v/>
          </cell>
          <cell r="J6349" t="str">
            <v/>
          </cell>
          <cell r="O6349" t="str">
            <v/>
          </cell>
          <cell r="P6349" t="str">
            <v/>
          </cell>
          <cell r="Q6349" t="str">
            <v/>
          </cell>
          <cell r="S6349" t="str">
            <v/>
          </cell>
          <cell r="V6349" t="str">
            <v/>
          </cell>
          <cell r="Z6349" t="str">
            <v/>
          </cell>
          <cell r="AA6349" t="str">
            <v/>
          </cell>
          <cell r="AB6349" t="str">
            <v/>
          </cell>
          <cell r="AC6349" t="str">
            <v/>
          </cell>
          <cell r="AD6349" t="str">
            <v/>
          </cell>
          <cell r="AY6349" t="str">
            <v/>
          </cell>
          <cell r="AZ6349" t="str">
            <v/>
          </cell>
          <cell r="BA6349" t="str">
            <v/>
          </cell>
        </row>
        <row r="6350">
          <cell r="B6350" t="str">
            <v>-</v>
          </cell>
          <cell r="E6350" t="str">
            <v/>
          </cell>
          <cell r="G6350" t="str">
            <v/>
          </cell>
          <cell r="J6350" t="str">
            <v/>
          </cell>
          <cell r="O6350" t="str">
            <v/>
          </cell>
          <cell r="P6350" t="str">
            <v/>
          </cell>
          <cell r="Q6350" t="str">
            <v/>
          </cell>
          <cell r="S6350" t="str">
            <v/>
          </cell>
          <cell r="V6350" t="str">
            <v/>
          </cell>
          <cell r="Z6350" t="str">
            <v/>
          </cell>
          <cell r="AA6350" t="str">
            <v/>
          </cell>
          <cell r="AB6350" t="str">
            <v/>
          </cell>
          <cell r="AC6350" t="str">
            <v/>
          </cell>
          <cell r="AD6350" t="str">
            <v/>
          </cell>
          <cell r="AY6350" t="str">
            <v/>
          </cell>
          <cell r="AZ6350" t="str">
            <v/>
          </cell>
          <cell r="BA6350" t="str">
            <v/>
          </cell>
        </row>
        <row r="6351">
          <cell r="B6351" t="str">
            <v>-</v>
          </cell>
          <cell r="E6351" t="str">
            <v/>
          </cell>
          <cell r="G6351" t="str">
            <v/>
          </cell>
          <cell r="J6351" t="str">
            <v/>
          </cell>
          <cell r="O6351" t="str">
            <v/>
          </cell>
          <cell r="P6351" t="str">
            <v/>
          </cell>
          <cell r="Q6351" t="str">
            <v/>
          </cell>
          <cell r="S6351" t="str">
            <v/>
          </cell>
          <cell r="V6351" t="str">
            <v/>
          </cell>
          <cell r="Z6351" t="str">
            <v/>
          </cell>
          <cell r="AA6351" t="str">
            <v/>
          </cell>
          <cell r="AB6351" t="str">
            <v/>
          </cell>
          <cell r="AC6351" t="str">
            <v/>
          </cell>
          <cell r="AD6351" t="str">
            <v/>
          </cell>
          <cell r="AY6351" t="str">
            <v/>
          </cell>
          <cell r="AZ6351" t="str">
            <v/>
          </cell>
          <cell r="BA6351" t="str">
            <v/>
          </cell>
        </row>
        <row r="6352">
          <cell r="B6352" t="str">
            <v>-</v>
          </cell>
          <cell r="E6352" t="str">
            <v/>
          </cell>
          <cell r="G6352" t="str">
            <v/>
          </cell>
          <cell r="J6352" t="str">
            <v/>
          </cell>
          <cell r="O6352" t="str">
            <v/>
          </cell>
          <cell r="P6352" t="str">
            <v/>
          </cell>
          <cell r="Q6352" t="str">
            <v/>
          </cell>
          <cell r="S6352" t="str">
            <v/>
          </cell>
          <cell r="V6352" t="str">
            <v/>
          </cell>
          <cell r="Z6352" t="str">
            <v/>
          </cell>
          <cell r="AA6352" t="str">
            <v/>
          </cell>
          <cell r="AB6352" t="str">
            <v/>
          </cell>
          <cell r="AC6352" t="str">
            <v/>
          </cell>
          <cell r="AD6352" t="str">
            <v/>
          </cell>
          <cell r="AY6352" t="str">
            <v/>
          </cell>
          <cell r="AZ6352" t="str">
            <v/>
          </cell>
          <cell r="BA6352" t="str">
            <v/>
          </cell>
        </row>
        <row r="6353">
          <cell r="B6353" t="str">
            <v>-</v>
          </cell>
          <cell r="E6353" t="str">
            <v/>
          </cell>
          <cell r="G6353" t="str">
            <v/>
          </cell>
          <cell r="J6353" t="str">
            <v/>
          </cell>
          <cell r="O6353" t="str">
            <v/>
          </cell>
          <cell r="P6353" t="str">
            <v/>
          </cell>
          <cell r="Q6353" t="str">
            <v/>
          </cell>
          <cell r="S6353" t="str">
            <v/>
          </cell>
          <cell r="V6353" t="str">
            <v/>
          </cell>
          <cell r="Z6353" t="str">
            <v/>
          </cell>
          <cell r="AA6353" t="str">
            <v/>
          </cell>
          <cell r="AB6353" t="str">
            <v/>
          </cell>
          <cell r="AC6353" t="str">
            <v/>
          </cell>
          <cell r="AD6353" t="str">
            <v/>
          </cell>
          <cell r="AY6353" t="str">
            <v/>
          </cell>
          <cell r="AZ6353" t="str">
            <v/>
          </cell>
          <cell r="BA6353" t="str">
            <v/>
          </cell>
        </row>
        <row r="6354">
          <cell r="B6354" t="str">
            <v>-</v>
          </cell>
          <cell r="E6354" t="str">
            <v/>
          </cell>
          <cell r="G6354" t="str">
            <v/>
          </cell>
          <cell r="J6354" t="str">
            <v/>
          </cell>
          <cell r="O6354" t="str">
            <v/>
          </cell>
          <cell r="P6354" t="str">
            <v/>
          </cell>
          <cell r="Q6354" t="str">
            <v/>
          </cell>
          <cell r="S6354" t="str">
            <v/>
          </cell>
          <cell r="V6354" t="str">
            <v/>
          </cell>
          <cell r="Z6354" t="str">
            <v/>
          </cell>
          <cell r="AA6354" t="str">
            <v/>
          </cell>
          <cell r="AB6354" t="str">
            <v/>
          </cell>
          <cell r="AC6354" t="str">
            <v/>
          </cell>
          <cell r="AD6354" t="str">
            <v/>
          </cell>
          <cell r="AY6354" t="str">
            <v/>
          </cell>
          <cell r="AZ6354" t="str">
            <v/>
          </cell>
          <cell r="BA6354" t="str">
            <v/>
          </cell>
        </row>
        <row r="6355">
          <cell r="B6355" t="str">
            <v>-</v>
          </cell>
          <cell r="E6355" t="str">
            <v/>
          </cell>
          <cell r="G6355" t="str">
            <v/>
          </cell>
          <cell r="J6355" t="str">
            <v/>
          </cell>
          <cell r="O6355" t="str">
            <v/>
          </cell>
          <cell r="P6355" t="str">
            <v/>
          </cell>
          <cell r="Q6355" t="str">
            <v/>
          </cell>
          <cell r="S6355" t="str">
            <v/>
          </cell>
          <cell r="V6355" t="str">
            <v/>
          </cell>
          <cell r="Z6355" t="str">
            <v/>
          </cell>
          <cell r="AA6355" t="str">
            <v/>
          </cell>
          <cell r="AB6355" t="str">
            <v/>
          </cell>
          <cell r="AC6355" t="str">
            <v/>
          </cell>
          <cell r="AD6355" t="str">
            <v/>
          </cell>
          <cell r="AY6355" t="str">
            <v/>
          </cell>
          <cell r="AZ6355" t="str">
            <v/>
          </cell>
          <cell r="BA6355" t="str">
            <v/>
          </cell>
        </row>
        <row r="6356">
          <cell r="B6356" t="str">
            <v>-</v>
          </cell>
          <cell r="E6356" t="str">
            <v/>
          </cell>
          <cell r="G6356" t="str">
            <v/>
          </cell>
          <cell r="J6356" t="str">
            <v/>
          </cell>
          <cell r="O6356" t="str">
            <v/>
          </cell>
          <cell r="P6356" t="str">
            <v/>
          </cell>
          <cell r="Q6356" t="str">
            <v/>
          </cell>
          <cell r="S6356" t="str">
            <v/>
          </cell>
          <cell r="V6356" t="str">
            <v/>
          </cell>
          <cell r="Z6356" t="str">
            <v/>
          </cell>
          <cell r="AA6356" t="str">
            <v/>
          </cell>
          <cell r="AB6356" t="str">
            <v/>
          </cell>
          <cell r="AC6356" t="str">
            <v/>
          </cell>
          <cell r="AD6356" t="str">
            <v/>
          </cell>
          <cell r="AY6356" t="str">
            <v/>
          </cell>
          <cell r="AZ6356" t="str">
            <v/>
          </cell>
          <cell r="BA6356" t="str">
            <v/>
          </cell>
        </row>
        <row r="6357">
          <cell r="B6357" t="str">
            <v>-</v>
          </cell>
          <cell r="E6357" t="str">
            <v/>
          </cell>
          <cell r="G6357" t="str">
            <v/>
          </cell>
          <cell r="J6357" t="str">
            <v/>
          </cell>
          <cell r="O6357" t="str">
            <v/>
          </cell>
          <cell r="P6357" t="str">
            <v/>
          </cell>
          <cell r="Q6357" t="str">
            <v/>
          </cell>
          <cell r="S6357" t="str">
            <v/>
          </cell>
          <cell r="V6357" t="str">
            <v/>
          </cell>
          <cell r="Z6357" t="str">
            <v/>
          </cell>
          <cell r="AA6357" t="str">
            <v/>
          </cell>
          <cell r="AB6357" t="str">
            <v/>
          </cell>
          <cell r="AC6357" t="str">
            <v/>
          </cell>
          <cell r="AD6357" t="str">
            <v/>
          </cell>
          <cell r="AY6357" t="str">
            <v/>
          </cell>
          <cell r="AZ6357" t="str">
            <v/>
          </cell>
          <cell r="BA6357" t="str">
            <v/>
          </cell>
        </row>
        <row r="6358">
          <cell r="B6358" t="str">
            <v>-</v>
          </cell>
          <cell r="E6358" t="str">
            <v/>
          </cell>
          <cell r="G6358" t="str">
            <v/>
          </cell>
          <cell r="J6358" t="str">
            <v/>
          </cell>
          <cell r="O6358" t="str">
            <v/>
          </cell>
          <cell r="P6358" t="str">
            <v/>
          </cell>
          <cell r="Q6358" t="str">
            <v/>
          </cell>
          <cell r="S6358" t="str">
            <v/>
          </cell>
          <cell r="V6358" t="str">
            <v/>
          </cell>
          <cell r="Z6358" t="str">
            <v/>
          </cell>
          <cell r="AA6358" t="str">
            <v/>
          </cell>
          <cell r="AB6358" t="str">
            <v/>
          </cell>
          <cell r="AC6358" t="str">
            <v/>
          </cell>
          <cell r="AD6358" t="str">
            <v/>
          </cell>
          <cell r="AY6358" t="str">
            <v/>
          </cell>
          <cell r="AZ6358" t="str">
            <v/>
          </cell>
          <cell r="BA6358" t="str">
            <v/>
          </cell>
        </row>
        <row r="6359">
          <cell r="B6359" t="str">
            <v>-</v>
          </cell>
          <cell r="E6359" t="str">
            <v/>
          </cell>
          <cell r="G6359" t="str">
            <v/>
          </cell>
          <cell r="J6359" t="str">
            <v/>
          </cell>
          <cell r="O6359" t="str">
            <v/>
          </cell>
          <cell r="P6359" t="str">
            <v/>
          </cell>
          <cell r="Q6359" t="str">
            <v/>
          </cell>
          <cell r="S6359" t="str">
            <v/>
          </cell>
          <cell r="V6359" t="str">
            <v/>
          </cell>
          <cell r="Z6359" t="str">
            <v/>
          </cell>
          <cell r="AA6359" t="str">
            <v/>
          </cell>
          <cell r="AB6359" t="str">
            <v/>
          </cell>
          <cell r="AC6359" t="str">
            <v/>
          </cell>
          <cell r="AD6359" t="str">
            <v/>
          </cell>
          <cell r="AY6359" t="str">
            <v/>
          </cell>
          <cell r="AZ6359" t="str">
            <v/>
          </cell>
          <cell r="BA6359" t="str">
            <v/>
          </cell>
        </row>
        <row r="6360">
          <cell r="B6360" t="str">
            <v>-</v>
          </cell>
          <cell r="E6360" t="str">
            <v/>
          </cell>
          <cell r="G6360" t="str">
            <v/>
          </cell>
          <cell r="J6360" t="str">
            <v/>
          </cell>
          <cell r="O6360" t="str">
            <v/>
          </cell>
          <cell r="P6360" t="str">
            <v/>
          </cell>
          <cell r="Q6360" t="str">
            <v/>
          </cell>
          <cell r="S6360" t="str">
            <v/>
          </cell>
          <cell r="V6360" t="str">
            <v/>
          </cell>
          <cell r="Z6360" t="str">
            <v/>
          </cell>
          <cell r="AA6360" t="str">
            <v/>
          </cell>
          <cell r="AB6360" t="str">
            <v/>
          </cell>
          <cell r="AC6360" t="str">
            <v/>
          </cell>
          <cell r="AD6360" t="str">
            <v/>
          </cell>
          <cell r="AY6360" t="str">
            <v/>
          </cell>
          <cell r="AZ6360" t="str">
            <v/>
          </cell>
          <cell r="BA6360" t="str">
            <v/>
          </cell>
        </row>
        <row r="6361">
          <cell r="B6361" t="str">
            <v>-</v>
          </cell>
          <cell r="E6361" t="str">
            <v/>
          </cell>
          <cell r="G6361" t="str">
            <v/>
          </cell>
          <cell r="J6361" t="str">
            <v/>
          </cell>
          <cell r="O6361" t="str">
            <v/>
          </cell>
          <cell r="P6361" t="str">
            <v/>
          </cell>
          <cell r="Q6361" t="str">
            <v/>
          </cell>
          <cell r="S6361" t="str">
            <v/>
          </cell>
          <cell r="V6361" t="str">
            <v/>
          </cell>
          <cell r="Z6361" t="str">
            <v/>
          </cell>
          <cell r="AA6361" t="str">
            <v/>
          </cell>
          <cell r="AB6361" t="str">
            <v/>
          </cell>
          <cell r="AC6361" t="str">
            <v/>
          </cell>
          <cell r="AD6361" t="str">
            <v/>
          </cell>
          <cell r="AY6361" t="str">
            <v/>
          </cell>
          <cell r="AZ6361" t="str">
            <v/>
          </cell>
          <cell r="BA6361" t="str">
            <v/>
          </cell>
        </row>
        <row r="6362">
          <cell r="B6362" t="str">
            <v>-</v>
          </cell>
          <cell r="E6362" t="str">
            <v/>
          </cell>
          <cell r="G6362" t="str">
            <v/>
          </cell>
          <cell r="J6362" t="str">
            <v/>
          </cell>
          <cell r="O6362" t="str">
            <v/>
          </cell>
          <cell r="P6362" t="str">
            <v/>
          </cell>
          <cell r="Q6362" t="str">
            <v/>
          </cell>
          <cell r="S6362" t="str">
            <v/>
          </cell>
          <cell r="V6362" t="str">
            <v/>
          </cell>
          <cell r="Z6362" t="str">
            <v/>
          </cell>
          <cell r="AA6362" t="str">
            <v/>
          </cell>
          <cell r="AB6362" t="str">
            <v/>
          </cell>
          <cell r="AC6362" t="str">
            <v/>
          </cell>
          <cell r="AD6362" t="str">
            <v/>
          </cell>
          <cell r="AY6362" t="str">
            <v/>
          </cell>
          <cell r="AZ6362" t="str">
            <v/>
          </cell>
          <cell r="BA6362" t="str">
            <v/>
          </cell>
        </row>
        <row r="6363">
          <cell r="B6363" t="str">
            <v>-</v>
          </cell>
          <cell r="E6363" t="str">
            <v/>
          </cell>
          <cell r="G6363" t="str">
            <v/>
          </cell>
          <cell r="J6363" t="str">
            <v/>
          </cell>
          <cell r="O6363" t="str">
            <v/>
          </cell>
          <cell r="P6363" t="str">
            <v/>
          </cell>
          <cell r="Q6363" t="str">
            <v/>
          </cell>
          <cell r="S6363" t="str">
            <v/>
          </cell>
          <cell r="V6363" t="str">
            <v/>
          </cell>
          <cell r="Z6363" t="str">
            <v/>
          </cell>
          <cell r="AA6363" t="str">
            <v/>
          </cell>
          <cell r="AB6363" t="str">
            <v/>
          </cell>
          <cell r="AC6363" t="str">
            <v/>
          </cell>
          <cell r="AD6363" t="str">
            <v/>
          </cell>
          <cell r="AY6363" t="str">
            <v/>
          </cell>
          <cell r="AZ6363" t="str">
            <v/>
          </cell>
          <cell r="BA6363" t="str">
            <v/>
          </cell>
        </row>
        <row r="6364">
          <cell r="B6364" t="str">
            <v>-</v>
          </cell>
          <cell r="E6364" t="str">
            <v/>
          </cell>
          <cell r="G6364" t="str">
            <v/>
          </cell>
          <cell r="J6364" t="str">
            <v/>
          </cell>
          <cell r="O6364" t="str">
            <v/>
          </cell>
          <cell r="P6364" t="str">
            <v/>
          </cell>
          <cell r="Q6364" t="str">
            <v/>
          </cell>
          <cell r="S6364" t="str">
            <v/>
          </cell>
          <cell r="V6364" t="str">
            <v/>
          </cell>
          <cell r="Z6364" t="str">
            <v/>
          </cell>
          <cell r="AA6364" t="str">
            <v/>
          </cell>
          <cell r="AB6364" t="str">
            <v/>
          </cell>
          <cell r="AC6364" t="str">
            <v/>
          </cell>
          <cell r="AD6364" t="str">
            <v/>
          </cell>
          <cell r="AY6364" t="str">
            <v/>
          </cell>
          <cell r="AZ6364" t="str">
            <v/>
          </cell>
          <cell r="BA6364" t="str">
            <v/>
          </cell>
        </row>
        <row r="6365">
          <cell r="B6365" t="str">
            <v>-</v>
          </cell>
          <cell r="E6365" t="str">
            <v/>
          </cell>
          <cell r="G6365" t="str">
            <v/>
          </cell>
          <cell r="J6365" t="str">
            <v/>
          </cell>
          <cell r="O6365" t="str">
            <v/>
          </cell>
          <cell r="P6365" t="str">
            <v/>
          </cell>
          <cell r="Q6365" t="str">
            <v/>
          </cell>
          <cell r="S6365" t="str">
            <v/>
          </cell>
          <cell r="V6365" t="str">
            <v/>
          </cell>
          <cell r="Z6365" t="str">
            <v/>
          </cell>
          <cell r="AA6365" t="str">
            <v/>
          </cell>
          <cell r="AB6365" t="str">
            <v/>
          </cell>
          <cell r="AC6365" t="str">
            <v/>
          </cell>
          <cell r="AD6365" t="str">
            <v/>
          </cell>
          <cell r="AY6365" t="str">
            <v/>
          </cell>
          <cell r="AZ6365" t="str">
            <v/>
          </cell>
          <cell r="BA6365" t="str">
            <v/>
          </cell>
        </row>
        <row r="6366">
          <cell r="B6366" t="str">
            <v>-</v>
          </cell>
          <cell r="E6366" t="str">
            <v/>
          </cell>
          <cell r="G6366" t="str">
            <v/>
          </cell>
          <cell r="J6366" t="str">
            <v/>
          </cell>
          <cell r="O6366" t="str">
            <v/>
          </cell>
          <cell r="P6366" t="str">
            <v/>
          </cell>
          <cell r="Q6366" t="str">
            <v/>
          </cell>
          <cell r="S6366" t="str">
            <v/>
          </cell>
          <cell r="V6366" t="str">
            <v/>
          </cell>
          <cell r="Z6366" t="str">
            <v/>
          </cell>
          <cell r="AA6366" t="str">
            <v/>
          </cell>
          <cell r="AB6366" t="str">
            <v/>
          </cell>
          <cell r="AC6366" t="str">
            <v/>
          </cell>
          <cell r="AD6366" t="str">
            <v/>
          </cell>
          <cell r="AY6366" t="str">
            <v/>
          </cell>
          <cell r="AZ6366" t="str">
            <v/>
          </cell>
          <cell r="BA6366" t="str">
            <v/>
          </cell>
        </row>
        <row r="6367">
          <cell r="B6367" t="str">
            <v>-</v>
          </cell>
          <cell r="E6367" t="str">
            <v/>
          </cell>
          <cell r="G6367" t="str">
            <v/>
          </cell>
          <cell r="J6367" t="str">
            <v/>
          </cell>
          <cell r="O6367" t="str">
            <v/>
          </cell>
          <cell r="P6367" t="str">
            <v/>
          </cell>
          <cell r="Q6367" t="str">
            <v/>
          </cell>
          <cell r="S6367" t="str">
            <v/>
          </cell>
          <cell r="V6367" t="str">
            <v/>
          </cell>
          <cell r="Z6367" t="str">
            <v/>
          </cell>
          <cell r="AA6367" t="str">
            <v/>
          </cell>
          <cell r="AB6367" t="str">
            <v/>
          </cell>
          <cell r="AC6367" t="str">
            <v/>
          </cell>
          <cell r="AD6367" t="str">
            <v/>
          </cell>
          <cell r="AY6367" t="str">
            <v/>
          </cell>
          <cell r="AZ6367" t="str">
            <v/>
          </cell>
          <cell r="BA6367" t="str">
            <v/>
          </cell>
        </row>
        <row r="6368">
          <cell r="B6368" t="str">
            <v>-</v>
          </cell>
          <cell r="E6368" t="str">
            <v/>
          </cell>
          <cell r="G6368" t="str">
            <v/>
          </cell>
          <cell r="J6368" t="str">
            <v/>
          </cell>
          <cell r="O6368" t="str">
            <v/>
          </cell>
          <cell r="P6368" t="str">
            <v/>
          </cell>
          <cell r="Q6368" t="str">
            <v/>
          </cell>
          <cell r="S6368" t="str">
            <v/>
          </cell>
          <cell r="V6368" t="str">
            <v/>
          </cell>
          <cell r="Z6368" t="str">
            <v/>
          </cell>
          <cell r="AA6368" t="str">
            <v/>
          </cell>
          <cell r="AB6368" t="str">
            <v/>
          </cell>
          <cell r="AC6368" t="str">
            <v/>
          </cell>
          <cell r="AD6368" t="str">
            <v/>
          </cell>
          <cell r="AY6368" t="str">
            <v/>
          </cell>
          <cell r="AZ6368" t="str">
            <v/>
          </cell>
          <cell r="BA6368" t="str">
            <v/>
          </cell>
        </row>
        <row r="6369">
          <cell r="B6369" t="str">
            <v>-</v>
          </cell>
          <cell r="E6369" t="str">
            <v/>
          </cell>
          <cell r="G6369" t="str">
            <v/>
          </cell>
          <cell r="J6369" t="str">
            <v/>
          </cell>
          <cell r="O6369" t="str">
            <v/>
          </cell>
          <cell r="P6369" t="str">
            <v/>
          </cell>
          <cell r="Q6369" t="str">
            <v/>
          </cell>
          <cell r="S6369" t="str">
            <v/>
          </cell>
          <cell r="V6369" t="str">
            <v/>
          </cell>
          <cell r="Z6369" t="str">
            <v/>
          </cell>
          <cell r="AA6369" t="str">
            <v/>
          </cell>
          <cell r="AB6369" t="str">
            <v/>
          </cell>
          <cell r="AC6369" t="str">
            <v/>
          </cell>
          <cell r="AD6369" t="str">
            <v/>
          </cell>
          <cell r="AY6369" t="str">
            <v/>
          </cell>
          <cell r="AZ6369" t="str">
            <v/>
          </cell>
          <cell r="BA6369" t="str">
            <v/>
          </cell>
        </row>
        <row r="6370">
          <cell r="B6370" t="str">
            <v>-</v>
          </cell>
          <cell r="E6370" t="str">
            <v/>
          </cell>
          <cell r="G6370" t="str">
            <v/>
          </cell>
          <cell r="J6370" t="str">
            <v/>
          </cell>
          <cell r="O6370" t="str">
            <v/>
          </cell>
          <cell r="P6370" t="str">
            <v/>
          </cell>
          <cell r="Q6370" t="str">
            <v/>
          </cell>
          <cell r="S6370" t="str">
            <v/>
          </cell>
          <cell r="V6370" t="str">
            <v/>
          </cell>
          <cell r="Z6370" t="str">
            <v/>
          </cell>
          <cell r="AA6370" t="str">
            <v/>
          </cell>
          <cell r="AB6370" t="str">
            <v/>
          </cell>
          <cell r="AC6370" t="str">
            <v/>
          </cell>
          <cell r="AD6370" t="str">
            <v/>
          </cell>
          <cell r="AY6370" t="str">
            <v/>
          </cell>
          <cell r="AZ6370" t="str">
            <v/>
          </cell>
          <cell r="BA6370" t="str">
            <v/>
          </cell>
        </row>
        <row r="6371">
          <cell r="B6371" t="str">
            <v>-</v>
          </cell>
          <cell r="E6371" t="str">
            <v/>
          </cell>
          <cell r="G6371" t="str">
            <v/>
          </cell>
          <cell r="J6371" t="str">
            <v/>
          </cell>
          <cell r="O6371" t="str">
            <v/>
          </cell>
          <cell r="P6371" t="str">
            <v/>
          </cell>
          <cell r="Q6371" t="str">
            <v/>
          </cell>
          <cell r="S6371" t="str">
            <v/>
          </cell>
          <cell r="V6371" t="str">
            <v/>
          </cell>
          <cell r="Z6371" t="str">
            <v/>
          </cell>
          <cell r="AA6371" t="str">
            <v/>
          </cell>
          <cell r="AB6371" t="str">
            <v/>
          </cell>
          <cell r="AC6371" t="str">
            <v/>
          </cell>
          <cell r="AD6371" t="str">
            <v/>
          </cell>
          <cell r="AY6371" t="str">
            <v/>
          </cell>
          <cell r="AZ6371" t="str">
            <v/>
          </cell>
          <cell r="BA6371" t="str">
            <v/>
          </cell>
        </row>
        <row r="6372">
          <cell r="B6372" t="str">
            <v>-</v>
          </cell>
          <cell r="E6372" t="str">
            <v/>
          </cell>
          <cell r="G6372" t="str">
            <v/>
          </cell>
          <cell r="J6372" t="str">
            <v/>
          </cell>
          <cell r="O6372" t="str">
            <v/>
          </cell>
          <cell r="P6372" t="str">
            <v/>
          </cell>
          <cell r="Q6372" t="str">
            <v/>
          </cell>
          <cell r="S6372" t="str">
            <v/>
          </cell>
          <cell r="V6372" t="str">
            <v/>
          </cell>
          <cell r="Z6372" t="str">
            <v/>
          </cell>
          <cell r="AA6372" t="str">
            <v/>
          </cell>
          <cell r="AB6372" t="str">
            <v/>
          </cell>
          <cell r="AC6372" t="str">
            <v/>
          </cell>
          <cell r="AD6372" t="str">
            <v/>
          </cell>
          <cell r="AY6372" t="str">
            <v/>
          </cell>
          <cell r="AZ6372" t="str">
            <v/>
          </cell>
          <cell r="BA6372" t="str">
            <v/>
          </cell>
        </row>
        <row r="6373">
          <cell r="B6373" t="str">
            <v>-</v>
          </cell>
          <cell r="E6373" t="str">
            <v/>
          </cell>
          <cell r="G6373" t="str">
            <v/>
          </cell>
          <cell r="J6373" t="str">
            <v/>
          </cell>
          <cell r="O6373" t="str">
            <v/>
          </cell>
          <cell r="P6373" t="str">
            <v/>
          </cell>
          <cell r="Q6373" t="str">
            <v/>
          </cell>
          <cell r="S6373" t="str">
            <v/>
          </cell>
          <cell r="V6373" t="str">
            <v/>
          </cell>
          <cell r="Z6373" t="str">
            <v/>
          </cell>
          <cell r="AA6373" t="str">
            <v/>
          </cell>
          <cell r="AB6373" t="str">
            <v/>
          </cell>
          <cell r="AC6373" t="str">
            <v/>
          </cell>
          <cell r="AD6373" t="str">
            <v/>
          </cell>
          <cell r="AY6373" t="str">
            <v/>
          </cell>
          <cell r="AZ6373" t="str">
            <v/>
          </cell>
          <cell r="BA6373" t="str">
            <v/>
          </cell>
        </row>
        <row r="6374">
          <cell r="B6374" t="str">
            <v>-</v>
          </cell>
          <cell r="E6374" t="str">
            <v/>
          </cell>
          <cell r="G6374" t="str">
            <v/>
          </cell>
          <cell r="J6374" t="str">
            <v/>
          </cell>
          <cell r="O6374" t="str">
            <v/>
          </cell>
          <cell r="P6374" t="str">
            <v/>
          </cell>
          <cell r="Q6374" t="str">
            <v/>
          </cell>
          <cell r="S6374" t="str">
            <v/>
          </cell>
          <cell r="V6374" t="str">
            <v/>
          </cell>
          <cell r="Z6374" t="str">
            <v/>
          </cell>
          <cell r="AA6374" t="str">
            <v/>
          </cell>
          <cell r="AB6374" t="str">
            <v/>
          </cell>
          <cell r="AC6374" t="str">
            <v/>
          </cell>
          <cell r="AD6374" t="str">
            <v/>
          </cell>
          <cell r="AY6374" t="str">
            <v/>
          </cell>
          <cell r="AZ6374" t="str">
            <v/>
          </cell>
          <cell r="BA6374" t="str">
            <v/>
          </cell>
        </row>
        <row r="6375">
          <cell r="B6375" t="str">
            <v>-</v>
          </cell>
          <cell r="E6375" t="str">
            <v/>
          </cell>
          <cell r="G6375" t="str">
            <v/>
          </cell>
          <cell r="J6375" t="str">
            <v/>
          </cell>
          <cell r="O6375" t="str">
            <v/>
          </cell>
          <cell r="P6375" t="str">
            <v/>
          </cell>
          <cell r="Q6375" t="str">
            <v/>
          </cell>
          <cell r="S6375" t="str">
            <v/>
          </cell>
          <cell r="V6375" t="str">
            <v/>
          </cell>
          <cell r="Z6375" t="str">
            <v/>
          </cell>
          <cell r="AA6375" t="str">
            <v/>
          </cell>
          <cell r="AB6375" t="str">
            <v/>
          </cell>
          <cell r="AC6375" t="str">
            <v/>
          </cell>
          <cell r="AD6375" t="str">
            <v/>
          </cell>
          <cell r="AY6375" t="str">
            <v/>
          </cell>
          <cell r="AZ6375" t="str">
            <v/>
          </cell>
          <cell r="BA6375" t="str">
            <v/>
          </cell>
        </row>
        <row r="6376">
          <cell r="B6376" t="str">
            <v>-</v>
          </cell>
          <cell r="E6376" t="str">
            <v/>
          </cell>
          <cell r="G6376" t="str">
            <v/>
          </cell>
          <cell r="J6376" t="str">
            <v/>
          </cell>
          <cell r="O6376" t="str">
            <v/>
          </cell>
          <cell r="P6376" t="str">
            <v/>
          </cell>
          <cell r="Q6376" t="str">
            <v/>
          </cell>
          <cell r="S6376" t="str">
            <v/>
          </cell>
          <cell r="V6376" t="str">
            <v/>
          </cell>
          <cell r="Z6376" t="str">
            <v/>
          </cell>
          <cell r="AA6376" t="str">
            <v/>
          </cell>
          <cell r="AB6376" t="str">
            <v/>
          </cell>
          <cell r="AC6376" t="str">
            <v/>
          </cell>
          <cell r="AD6376" t="str">
            <v/>
          </cell>
          <cell r="AY6376" t="str">
            <v/>
          </cell>
          <cell r="AZ6376" t="str">
            <v/>
          </cell>
          <cell r="BA6376" t="str">
            <v/>
          </cell>
        </row>
        <row r="6377">
          <cell r="B6377" t="str">
            <v>-</v>
          </cell>
          <cell r="E6377" t="str">
            <v/>
          </cell>
          <cell r="G6377" t="str">
            <v/>
          </cell>
          <cell r="J6377" t="str">
            <v/>
          </cell>
          <cell r="O6377" t="str">
            <v/>
          </cell>
          <cell r="P6377" t="str">
            <v/>
          </cell>
          <cell r="Q6377" t="str">
            <v/>
          </cell>
          <cell r="S6377" t="str">
            <v/>
          </cell>
          <cell r="V6377" t="str">
            <v/>
          </cell>
          <cell r="Z6377" t="str">
            <v/>
          </cell>
          <cell r="AA6377" t="str">
            <v/>
          </cell>
          <cell r="AB6377" t="str">
            <v/>
          </cell>
          <cell r="AC6377" t="str">
            <v/>
          </cell>
          <cell r="AD6377" t="str">
            <v/>
          </cell>
          <cell r="AY6377" t="str">
            <v/>
          </cell>
          <cell r="AZ6377" t="str">
            <v/>
          </cell>
          <cell r="BA6377" t="str">
            <v/>
          </cell>
        </row>
        <row r="6378">
          <cell r="B6378" t="str">
            <v>-</v>
          </cell>
          <cell r="E6378" t="str">
            <v/>
          </cell>
          <cell r="G6378" t="str">
            <v/>
          </cell>
          <cell r="J6378" t="str">
            <v/>
          </cell>
          <cell r="O6378" t="str">
            <v/>
          </cell>
          <cell r="P6378" t="str">
            <v/>
          </cell>
          <cell r="Q6378" t="str">
            <v/>
          </cell>
          <cell r="S6378" t="str">
            <v/>
          </cell>
          <cell r="V6378" t="str">
            <v/>
          </cell>
          <cell r="Z6378" t="str">
            <v/>
          </cell>
          <cell r="AA6378" t="str">
            <v/>
          </cell>
          <cell r="AB6378" t="str">
            <v/>
          </cell>
          <cell r="AC6378" t="str">
            <v/>
          </cell>
          <cell r="AD6378" t="str">
            <v/>
          </cell>
          <cell r="AY6378" t="str">
            <v/>
          </cell>
          <cell r="AZ6378" t="str">
            <v/>
          </cell>
          <cell r="BA6378" t="str">
            <v/>
          </cell>
        </row>
        <row r="6379">
          <cell r="B6379" t="str">
            <v>-</v>
          </cell>
          <cell r="E6379" t="str">
            <v/>
          </cell>
          <cell r="G6379" t="str">
            <v/>
          </cell>
          <cell r="J6379" t="str">
            <v/>
          </cell>
          <cell r="O6379" t="str">
            <v/>
          </cell>
          <cell r="P6379" t="str">
            <v/>
          </cell>
          <cell r="Q6379" t="str">
            <v/>
          </cell>
          <cell r="S6379" t="str">
            <v/>
          </cell>
          <cell r="V6379" t="str">
            <v/>
          </cell>
          <cell r="Z6379" t="str">
            <v/>
          </cell>
          <cell r="AA6379" t="str">
            <v/>
          </cell>
          <cell r="AB6379" t="str">
            <v/>
          </cell>
          <cell r="AC6379" t="str">
            <v/>
          </cell>
          <cell r="AD6379" t="str">
            <v/>
          </cell>
          <cell r="AY6379" t="str">
            <v/>
          </cell>
          <cell r="AZ6379" t="str">
            <v/>
          </cell>
          <cell r="BA6379" t="str">
            <v/>
          </cell>
        </row>
        <row r="6380">
          <cell r="B6380" t="str">
            <v>-</v>
          </cell>
          <cell r="E6380" t="str">
            <v/>
          </cell>
          <cell r="G6380" t="str">
            <v/>
          </cell>
          <cell r="J6380" t="str">
            <v/>
          </cell>
          <cell r="O6380" t="str">
            <v/>
          </cell>
          <cell r="P6380" t="str">
            <v/>
          </cell>
          <cell r="Q6380" t="str">
            <v/>
          </cell>
          <cell r="S6380" t="str">
            <v/>
          </cell>
          <cell r="V6380" t="str">
            <v/>
          </cell>
          <cell r="Z6380" t="str">
            <v/>
          </cell>
          <cell r="AA6380" t="str">
            <v/>
          </cell>
          <cell r="AB6380" t="str">
            <v/>
          </cell>
          <cell r="AC6380" t="str">
            <v/>
          </cell>
          <cell r="AD6380" t="str">
            <v/>
          </cell>
          <cell r="AY6380" t="str">
            <v/>
          </cell>
          <cell r="AZ6380" t="str">
            <v/>
          </cell>
          <cell r="BA6380" t="str">
            <v/>
          </cell>
        </row>
        <row r="6381">
          <cell r="B6381" t="str">
            <v>-</v>
          </cell>
          <cell r="E6381" t="str">
            <v/>
          </cell>
          <cell r="G6381" t="str">
            <v/>
          </cell>
          <cell r="J6381" t="str">
            <v/>
          </cell>
          <cell r="O6381" t="str">
            <v/>
          </cell>
          <cell r="P6381" t="str">
            <v/>
          </cell>
          <cell r="Q6381" t="str">
            <v/>
          </cell>
          <cell r="S6381" t="str">
            <v/>
          </cell>
          <cell r="V6381" t="str">
            <v/>
          </cell>
          <cell r="Z6381" t="str">
            <v/>
          </cell>
          <cell r="AA6381" t="str">
            <v/>
          </cell>
          <cell r="AB6381" t="str">
            <v/>
          </cell>
          <cell r="AC6381" t="str">
            <v/>
          </cell>
          <cell r="AD6381" t="str">
            <v/>
          </cell>
          <cell r="AY6381" t="str">
            <v/>
          </cell>
          <cell r="AZ6381" t="str">
            <v/>
          </cell>
          <cell r="BA6381" t="str">
            <v/>
          </cell>
        </row>
        <row r="6382">
          <cell r="B6382" t="str">
            <v>-</v>
          </cell>
          <cell r="E6382" t="str">
            <v/>
          </cell>
          <cell r="G6382" t="str">
            <v/>
          </cell>
          <cell r="J6382" t="str">
            <v/>
          </cell>
          <cell r="O6382" t="str">
            <v/>
          </cell>
          <cell r="P6382" t="str">
            <v/>
          </cell>
          <cell r="Q6382" t="str">
            <v/>
          </cell>
          <cell r="S6382" t="str">
            <v/>
          </cell>
          <cell r="V6382" t="str">
            <v/>
          </cell>
          <cell r="Z6382" t="str">
            <v/>
          </cell>
          <cell r="AA6382" t="str">
            <v/>
          </cell>
          <cell r="AB6382" t="str">
            <v/>
          </cell>
          <cell r="AC6382" t="str">
            <v/>
          </cell>
          <cell r="AD6382" t="str">
            <v/>
          </cell>
          <cell r="AY6382" t="str">
            <v/>
          </cell>
          <cell r="AZ6382" t="str">
            <v/>
          </cell>
          <cell r="BA6382" t="str">
            <v/>
          </cell>
        </row>
        <row r="6383">
          <cell r="B6383" t="str">
            <v>-</v>
          </cell>
          <cell r="E6383" t="str">
            <v/>
          </cell>
          <cell r="G6383" t="str">
            <v/>
          </cell>
          <cell r="J6383" t="str">
            <v/>
          </cell>
          <cell r="O6383" t="str">
            <v/>
          </cell>
          <cell r="P6383" t="str">
            <v/>
          </cell>
          <cell r="Q6383" t="str">
            <v/>
          </cell>
          <cell r="S6383" t="str">
            <v/>
          </cell>
          <cell r="V6383" t="str">
            <v/>
          </cell>
          <cell r="Z6383" t="str">
            <v/>
          </cell>
          <cell r="AA6383" t="str">
            <v/>
          </cell>
          <cell r="AB6383" t="str">
            <v/>
          </cell>
          <cell r="AC6383" t="str">
            <v/>
          </cell>
          <cell r="AD6383" t="str">
            <v/>
          </cell>
          <cell r="AY6383" t="str">
            <v/>
          </cell>
          <cell r="AZ6383" t="str">
            <v/>
          </cell>
          <cell r="BA6383" t="str">
            <v/>
          </cell>
        </row>
        <row r="6384">
          <cell r="B6384" t="str">
            <v>-</v>
          </cell>
          <cell r="E6384" t="str">
            <v/>
          </cell>
          <cell r="G6384" t="str">
            <v/>
          </cell>
          <cell r="J6384" t="str">
            <v/>
          </cell>
          <cell r="O6384" t="str">
            <v/>
          </cell>
          <cell r="P6384" t="str">
            <v/>
          </cell>
          <cell r="Q6384" t="str">
            <v/>
          </cell>
          <cell r="S6384" t="str">
            <v/>
          </cell>
          <cell r="V6384" t="str">
            <v/>
          </cell>
          <cell r="Z6384" t="str">
            <v/>
          </cell>
          <cell r="AA6384" t="str">
            <v/>
          </cell>
          <cell r="AB6384" t="str">
            <v/>
          </cell>
          <cell r="AC6384" t="str">
            <v/>
          </cell>
          <cell r="AD6384" t="str">
            <v/>
          </cell>
          <cell r="AY6384" t="str">
            <v/>
          </cell>
          <cell r="AZ6384" t="str">
            <v/>
          </cell>
          <cell r="BA6384" t="str">
            <v/>
          </cell>
        </row>
        <row r="6385">
          <cell r="B6385" t="str">
            <v>-</v>
          </cell>
          <cell r="E6385" t="str">
            <v/>
          </cell>
          <cell r="G6385" t="str">
            <v/>
          </cell>
          <cell r="J6385" t="str">
            <v/>
          </cell>
          <cell r="O6385" t="str">
            <v/>
          </cell>
          <cell r="P6385" t="str">
            <v/>
          </cell>
          <cell r="Q6385" t="str">
            <v/>
          </cell>
          <cell r="S6385" t="str">
            <v/>
          </cell>
          <cell r="V6385" t="str">
            <v/>
          </cell>
          <cell r="Z6385" t="str">
            <v/>
          </cell>
          <cell r="AA6385" t="str">
            <v/>
          </cell>
          <cell r="AB6385" t="str">
            <v/>
          </cell>
          <cell r="AC6385" t="str">
            <v/>
          </cell>
          <cell r="AD6385" t="str">
            <v/>
          </cell>
          <cell r="AY6385" t="str">
            <v/>
          </cell>
          <cell r="AZ6385" t="str">
            <v/>
          </cell>
          <cell r="BA6385" t="str">
            <v/>
          </cell>
        </row>
        <row r="6386">
          <cell r="B6386" t="str">
            <v>-</v>
          </cell>
          <cell r="E6386" t="str">
            <v/>
          </cell>
          <cell r="G6386" t="str">
            <v/>
          </cell>
          <cell r="J6386" t="str">
            <v/>
          </cell>
          <cell r="O6386" t="str">
            <v/>
          </cell>
          <cell r="P6386" t="str">
            <v/>
          </cell>
          <cell r="Q6386" t="str">
            <v/>
          </cell>
          <cell r="S6386" t="str">
            <v/>
          </cell>
          <cell r="V6386" t="str">
            <v/>
          </cell>
          <cell r="Z6386" t="str">
            <v/>
          </cell>
          <cell r="AA6386" t="str">
            <v/>
          </cell>
          <cell r="AB6386" t="str">
            <v/>
          </cell>
          <cell r="AC6386" t="str">
            <v/>
          </cell>
          <cell r="AD6386" t="str">
            <v/>
          </cell>
          <cell r="AY6386" t="str">
            <v/>
          </cell>
          <cell r="AZ6386" t="str">
            <v/>
          </cell>
          <cell r="BA6386" t="str">
            <v/>
          </cell>
        </row>
        <row r="6387">
          <cell r="B6387" t="str">
            <v>-</v>
          </cell>
          <cell r="E6387" t="str">
            <v/>
          </cell>
          <cell r="G6387" t="str">
            <v/>
          </cell>
          <cell r="J6387" t="str">
            <v/>
          </cell>
          <cell r="O6387" t="str">
            <v/>
          </cell>
          <cell r="P6387" t="str">
            <v/>
          </cell>
          <cell r="Q6387" t="str">
            <v/>
          </cell>
          <cell r="S6387" t="str">
            <v/>
          </cell>
          <cell r="V6387" t="str">
            <v/>
          </cell>
          <cell r="Z6387" t="str">
            <v/>
          </cell>
          <cell r="AA6387" t="str">
            <v/>
          </cell>
          <cell r="AB6387" t="str">
            <v/>
          </cell>
          <cell r="AC6387" t="str">
            <v/>
          </cell>
          <cell r="AD6387" t="str">
            <v/>
          </cell>
          <cell r="AY6387" t="str">
            <v/>
          </cell>
          <cell r="AZ6387" t="str">
            <v/>
          </cell>
          <cell r="BA6387" t="str">
            <v/>
          </cell>
        </row>
        <row r="6388">
          <cell r="B6388" t="str">
            <v>-</v>
          </cell>
          <cell r="E6388" t="str">
            <v/>
          </cell>
          <cell r="G6388" t="str">
            <v/>
          </cell>
          <cell r="J6388" t="str">
            <v/>
          </cell>
          <cell r="O6388" t="str">
            <v/>
          </cell>
          <cell r="P6388" t="str">
            <v/>
          </cell>
          <cell r="Q6388" t="str">
            <v/>
          </cell>
          <cell r="S6388" t="str">
            <v/>
          </cell>
          <cell r="V6388" t="str">
            <v/>
          </cell>
          <cell r="Z6388" t="str">
            <v/>
          </cell>
          <cell r="AA6388" t="str">
            <v/>
          </cell>
          <cell r="AB6388" t="str">
            <v/>
          </cell>
          <cell r="AC6388" t="str">
            <v/>
          </cell>
          <cell r="AD6388" t="str">
            <v/>
          </cell>
          <cell r="AY6388" t="str">
            <v/>
          </cell>
          <cell r="AZ6388" t="str">
            <v/>
          </cell>
          <cell r="BA6388" t="str">
            <v/>
          </cell>
        </row>
        <row r="6389">
          <cell r="B6389" t="str">
            <v>-</v>
          </cell>
          <cell r="E6389" t="str">
            <v/>
          </cell>
          <cell r="G6389" t="str">
            <v/>
          </cell>
          <cell r="J6389" t="str">
            <v/>
          </cell>
          <cell r="O6389" t="str">
            <v/>
          </cell>
          <cell r="P6389" t="str">
            <v/>
          </cell>
          <cell r="Q6389" t="str">
            <v/>
          </cell>
          <cell r="S6389" t="str">
            <v/>
          </cell>
          <cell r="V6389" t="str">
            <v/>
          </cell>
          <cell r="Z6389" t="str">
            <v/>
          </cell>
          <cell r="AA6389" t="str">
            <v/>
          </cell>
          <cell r="AB6389" t="str">
            <v/>
          </cell>
          <cell r="AC6389" t="str">
            <v/>
          </cell>
          <cell r="AD6389" t="str">
            <v/>
          </cell>
          <cell r="AY6389" t="str">
            <v/>
          </cell>
          <cell r="AZ6389" t="str">
            <v/>
          </cell>
          <cell r="BA6389" t="str">
            <v/>
          </cell>
        </row>
        <row r="6390">
          <cell r="B6390" t="str">
            <v>-</v>
          </cell>
          <cell r="E6390" t="str">
            <v/>
          </cell>
          <cell r="G6390" t="str">
            <v/>
          </cell>
          <cell r="J6390" t="str">
            <v/>
          </cell>
          <cell r="O6390" t="str">
            <v/>
          </cell>
          <cell r="P6390" t="str">
            <v/>
          </cell>
          <cell r="Q6390" t="str">
            <v/>
          </cell>
          <cell r="S6390" t="str">
            <v/>
          </cell>
          <cell r="V6390" t="str">
            <v/>
          </cell>
          <cell r="Z6390" t="str">
            <v/>
          </cell>
          <cell r="AA6390" t="str">
            <v/>
          </cell>
          <cell r="AB6390" t="str">
            <v/>
          </cell>
          <cell r="AC6390" t="str">
            <v/>
          </cell>
          <cell r="AD6390" t="str">
            <v/>
          </cell>
          <cell r="AY6390" t="str">
            <v/>
          </cell>
          <cell r="AZ6390" t="str">
            <v/>
          </cell>
          <cell r="BA6390" t="str">
            <v/>
          </cell>
        </row>
        <row r="6391">
          <cell r="B6391" t="str">
            <v>-</v>
          </cell>
          <cell r="E6391" t="str">
            <v/>
          </cell>
          <cell r="G6391" t="str">
            <v/>
          </cell>
          <cell r="J6391" t="str">
            <v/>
          </cell>
          <cell r="O6391" t="str">
            <v/>
          </cell>
          <cell r="P6391" t="str">
            <v/>
          </cell>
          <cell r="Q6391" t="str">
            <v/>
          </cell>
          <cell r="S6391" t="str">
            <v/>
          </cell>
          <cell r="V6391" t="str">
            <v/>
          </cell>
          <cell r="Z6391" t="str">
            <v/>
          </cell>
          <cell r="AA6391" t="str">
            <v/>
          </cell>
          <cell r="AB6391" t="str">
            <v/>
          </cell>
          <cell r="AC6391" t="str">
            <v/>
          </cell>
          <cell r="AD6391" t="str">
            <v/>
          </cell>
          <cell r="AY6391" t="str">
            <v/>
          </cell>
          <cell r="AZ6391" t="str">
            <v/>
          </cell>
          <cell r="BA6391" t="str">
            <v/>
          </cell>
        </row>
        <row r="6392">
          <cell r="B6392" t="str">
            <v>-</v>
          </cell>
          <cell r="E6392" t="str">
            <v/>
          </cell>
          <cell r="G6392" t="str">
            <v/>
          </cell>
          <cell r="J6392" t="str">
            <v/>
          </cell>
          <cell r="O6392" t="str">
            <v/>
          </cell>
          <cell r="P6392" t="str">
            <v/>
          </cell>
          <cell r="Q6392" t="str">
            <v/>
          </cell>
          <cell r="S6392" t="str">
            <v/>
          </cell>
          <cell r="V6392" t="str">
            <v/>
          </cell>
          <cell r="Z6392" t="str">
            <v/>
          </cell>
          <cell r="AA6392" t="str">
            <v/>
          </cell>
          <cell r="AB6392" t="str">
            <v/>
          </cell>
          <cell r="AC6392" t="str">
            <v/>
          </cell>
          <cell r="AD6392" t="str">
            <v/>
          </cell>
          <cell r="AY6392" t="str">
            <v/>
          </cell>
          <cell r="AZ6392" t="str">
            <v/>
          </cell>
          <cell r="BA6392" t="str">
            <v/>
          </cell>
        </row>
        <row r="6393">
          <cell r="B6393" t="str">
            <v>-</v>
          </cell>
          <cell r="E6393" t="str">
            <v/>
          </cell>
          <cell r="G6393" t="str">
            <v/>
          </cell>
          <cell r="J6393" t="str">
            <v/>
          </cell>
          <cell r="O6393" t="str">
            <v/>
          </cell>
          <cell r="P6393" t="str">
            <v/>
          </cell>
          <cell r="Q6393" t="str">
            <v/>
          </cell>
          <cell r="S6393" t="str">
            <v/>
          </cell>
          <cell r="V6393" t="str">
            <v/>
          </cell>
          <cell r="Z6393" t="str">
            <v/>
          </cell>
          <cell r="AA6393" t="str">
            <v/>
          </cell>
          <cell r="AB6393" t="str">
            <v/>
          </cell>
          <cell r="AC6393" t="str">
            <v/>
          </cell>
          <cell r="AD6393" t="str">
            <v/>
          </cell>
          <cell r="AY6393" t="str">
            <v/>
          </cell>
          <cell r="AZ6393" t="str">
            <v/>
          </cell>
          <cell r="BA6393" t="str">
            <v/>
          </cell>
        </row>
        <row r="6394">
          <cell r="B6394" t="str">
            <v>-</v>
          </cell>
          <cell r="E6394" t="str">
            <v/>
          </cell>
          <cell r="G6394" t="str">
            <v/>
          </cell>
          <cell r="J6394" t="str">
            <v/>
          </cell>
          <cell r="O6394" t="str">
            <v/>
          </cell>
          <cell r="P6394" t="str">
            <v/>
          </cell>
          <cell r="Q6394" t="str">
            <v/>
          </cell>
          <cell r="S6394" t="str">
            <v/>
          </cell>
          <cell r="V6394" t="str">
            <v/>
          </cell>
          <cell r="Z6394" t="str">
            <v/>
          </cell>
          <cell r="AA6394" t="str">
            <v/>
          </cell>
          <cell r="AB6394" t="str">
            <v/>
          </cell>
          <cell r="AC6394" t="str">
            <v/>
          </cell>
          <cell r="AD6394" t="str">
            <v/>
          </cell>
          <cell r="AY6394" t="str">
            <v/>
          </cell>
          <cell r="AZ6394" t="str">
            <v/>
          </cell>
          <cell r="BA6394" t="str">
            <v/>
          </cell>
        </row>
        <row r="6395">
          <cell r="B6395" t="str">
            <v>-</v>
          </cell>
          <cell r="E6395" t="str">
            <v/>
          </cell>
          <cell r="G6395" t="str">
            <v/>
          </cell>
          <cell r="J6395" t="str">
            <v/>
          </cell>
          <cell r="O6395" t="str">
            <v/>
          </cell>
          <cell r="P6395" t="str">
            <v/>
          </cell>
          <cell r="Q6395" t="str">
            <v/>
          </cell>
          <cell r="S6395" t="str">
            <v/>
          </cell>
          <cell r="V6395" t="str">
            <v/>
          </cell>
          <cell r="Z6395" t="str">
            <v/>
          </cell>
          <cell r="AA6395" t="str">
            <v/>
          </cell>
          <cell r="AB6395" t="str">
            <v/>
          </cell>
          <cell r="AC6395" t="str">
            <v/>
          </cell>
          <cell r="AD6395" t="str">
            <v/>
          </cell>
          <cell r="AY6395" t="str">
            <v/>
          </cell>
          <cell r="AZ6395" t="str">
            <v/>
          </cell>
          <cell r="BA6395" t="str">
            <v/>
          </cell>
        </row>
        <row r="6396">
          <cell r="B6396" t="str">
            <v>-</v>
          </cell>
          <cell r="E6396" t="str">
            <v/>
          </cell>
          <cell r="G6396" t="str">
            <v/>
          </cell>
          <cell r="J6396" t="str">
            <v/>
          </cell>
          <cell r="O6396" t="str">
            <v/>
          </cell>
          <cell r="P6396" t="str">
            <v/>
          </cell>
          <cell r="Q6396" t="str">
            <v/>
          </cell>
          <cell r="S6396" t="str">
            <v/>
          </cell>
          <cell r="V6396" t="str">
            <v/>
          </cell>
          <cell r="Z6396" t="str">
            <v/>
          </cell>
          <cell r="AA6396" t="str">
            <v/>
          </cell>
          <cell r="AB6396" t="str">
            <v/>
          </cell>
          <cell r="AC6396" t="str">
            <v/>
          </cell>
          <cell r="AD6396" t="str">
            <v/>
          </cell>
          <cell r="AY6396" t="str">
            <v/>
          </cell>
          <cell r="AZ6396" t="str">
            <v/>
          </cell>
          <cell r="BA6396" t="str">
            <v/>
          </cell>
        </row>
        <row r="6397">
          <cell r="B6397" t="str">
            <v>-</v>
          </cell>
          <cell r="E6397" t="str">
            <v/>
          </cell>
          <cell r="G6397" t="str">
            <v/>
          </cell>
          <cell r="J6397" t="str">
            <v/>
          </cell>
          <cell r="O6397" t="str">
            <v/>
          </cell>
          <cell r="P6397" t="str">
            <v/>
          </cell>
          <cell r="Q6397" t="str">
            <v/>
          </cell>
          <cell r="S6397" t="str">
            <v/>
          </cell>
          <cell r="V6397" t="str">
            <v/>
          </cell>
          <cell r="Z6397" t="str">
            <v/>
          </cell>
          <cell r="AA6397" t="str">
            <v/>
          </cell>
          <cell r="AB6397" t="str">
            <v/>
          </cell>
          <cell r="AC6397" t="str">
            <v/>
          </cell>
          <cell r="AD6397" t="str">
            <v/>
          </cell>
          <cell r="AY6397" t="str">
            <v/>
          </cell>
          <cell r="AZ6397" t="str">
            <v/>
          </cell>
          <cell r="BA6397" t="str">
            <v/>
          </cell>
        </row>
        <row r="6398">
          <cell r="B6398" t="str">
            <v>-</v>
          </cell>
          <cell r="E6398" t="str">
            <v/>
          </cell>
          <cell r="G6398" t="str">
            <v/>
          </cell>
          <cell r="J6398" t="str">
            <v/>
          </cell>
          <cell r="O6398" t="str">
            <v/>
          </cell>
          <cell r="P6398" t="str">
            <v/>
          </cell>
          <cell r="Q6398" t="str">
            <v/>
          </cell>
          <cell r="S6398" t="str">
            <v/>
          </cell>
          <cell r="V6398" t="str">
            <v/>
          </cell>
          <cell r="Z6398" t="str">
            <v/>
          </cell>
          <cell r="AA6398" t="str">
            <v/>
          </cell>
          <cell r="AB6398" t="str">
            <v/>
          </cell>
          <cell r="AC6398" t="str">
            <v/>
          </cell>
          <cell r="AD6398" t="str">
            <v/>
          </cell>
          <cell r="AY6398" t="str">
            <v/>
          </cell>
          <cell r="AZ6398" t="str">
            <v/>
          </cell>
          <cell r="BA6398" t="str">
            <v/>
          </cell>
        </row>
        <row r="6399">
          <cell r="B6399" t="str">
            <v>-</v>
          </cell>
          <cell r="E6399" t="str">
            <v/>
          </cell>
          <cell r="G6399" t="str">
            <v/>
          </cell>
          <cell r="J6399" t="str">
            <v/>
          </cell>
          <cell r="O6399" t="str">
            <v/>
          </cell>
          <cell r="P6399" t="str">
            <v/>
          </cell>
          <cell r="Q6399" t="str">
            <v/>
          </cell>
          <cell r="S6399" t="str">
            <v/>
          </cell>
          <cell r="V6399" t="str">
            <v/>
          </cell>
          <cell r="Z6399" t="str">
            <v/>
          </cell>
          <cell r="AA6399" t="str">
            <v/>
          </cell>
          <cell r="AB6399" t="str">
            <v/>
          </cell>
          <cell r="AC6399" t="str">
            <v/>
          </cell>
          <cell r="AD6399" t="str">
            <v/>
          </cell>
          <cell r="AY6399" t="str">
            <v/>
          </cell>
          <cell r="AZ6399" t="str">
            <v/>
          </cell>
          <cell r="BA6399" t="str">
            <v/>
          </cell>
        </row>
        <row r="6400">
          <cell r="B6400" t="str">
            <v>-</v>
          </cell>
          <cell r="E6400" t="str">
            <v/>
          </cell>
          <cell r="G6400" t="str">
            <v/>
          </cell>
          <cell r="J6400" t="str">
            <v/>
          </cell>
          <cell r="O6400" t="str">
            <v/>
          </cell>
          <cell r="P6400" t="str">
            <v/>
          </cell>
          <cell r="Q6400" t="str">
            <v/>
          </cell>
          <cell r="S6400" t="str">
            <v/>
          </cell>
          <cell r="V6400" t="str">
            <v/>
          </cell>
          <cell r="Z6400" t="str">
            <v/>
          </cell>
          <cell r="AA6400" t="str">
            <v/>
          </cell>
          <cell r="AB6400" t="str">
            <v/>
          </cell>
          <cell r="AC6400" t="str">
            <v/>
          </cell>
          <cell r="AD6400" t="str">
            <v/>
          </cell>
          <cell r="AY6400" t="str">
            <v/>
          </cell>
          <cell r="AZ6400" t="str">
            <v/>
          </cell>
          <cell r="BA6400" t="str">
            <v/>
          </cell>
        </row>
        <row r="6401">
          <cell r="B6401" t="str">
            <v>-</v>
          </cell>
          <cell r="E6401" t="str">
            <v/>
          </cell>
          <cell r="G6401" t="str">
            <v/>
          </cell>
          <cell r="J6401" t="str">
            <v/>
          </cell>
          <cell r="O6401" t="str">
            <v/>
          </cell>
          <cell r="P6401" t="str">
            <v/>
          </cell>
          <cell r="Q6401" t="str">
            <v/>
          </cell>
          <cell r="S6401" t="str">
            <v/>
          </cell>
          <cell r="V6401" t="str">
            <v/>
          </cell>
          <cell r="Z6401" t="str">
            <v/>
          </cell>
          <cell r="AA6401" t="str">
            <v/>
          </cell>
          <cell r="AB6401" t="str">
            <v/>
          </cell>
          <cell r="AC6401" t="str">
            <v/>
          </cell>
          <cell r="AD6401" t="str">
            <v/>
          </cell>
          <cell r="AY6401" t="str">
            <v/>
          </cell>
          <cell r="AZ6401" t="str">
            <v/>
          </cell>
          <cell r="BA6401" t="str">
            <v/>
          </cell>
        </row>
        <row r="6402">
          <cell r="B6402" t="str">
            <v>-</v>
          </cell>
          <cell r="E6402" t="str">
            <v/>
          </cell>
          <cell r="G6402" t="str">
            <v/>
          </cell>
          <cell r="J6402" t="str">
            <v/>
          </cell>
          <cell r="O6402" t="str">
            <v/>
          </cell>
          <cell r="P6402" t="str">
            <v/>
          </cell>
          <cell r="Q6402" t="str">
            <v/>
          </cell>
          <cell r="S6402" t="str">
            <v/>
          </cell>
          <cell r="V6402" t="str">
            <v/>
          </cell>
          <cell r="Z6402" t="str">
            <v/>
          </cell>
          <cell r="AA6402" t="str">
            <v/>
          </cell>
          <cell r="AB6402" t="str">
            <v/>
          </cell>
          <cell r="AC6402" t="str">
            <v/>
          </cell>
          <cell r="AD6402" t="str">
            <v/>
          </cell>
          <cell r="AY6402" t="str">
            <v/>
          </cell>
          <cell r="AZ6402" t="str">
            <v/>
          </cell>
          <cell r="BA6402" t="str">
            <v/>
          </cell>
        </row>
        <row r="6403">
          <cell r="B6403" t="str">
            <v>-</v>
          </cell>
          <cell r="E6403" t="str">
            <v/>
          </cell>
          <cell r="G6403" t="str">
            <v/>
          </cell>
          <cell r="J6403" t="str">
            <v/>
          </cell>
          <cell r="O6403" t="str">
            <v/>
          </cell>
          <cell r="P6403" t="str">
            <v/>
          </cell>
          <cell r="Q6403" t="str">
            <v/>
          </cell>
          <cell r="S6403" t="str">
            <v/>
          </cell>
          <cell r="V6403" t="str">
            <v/>
          </cell>
          <cell r="Z6403" t="str">
            <v/>
          </cell>
          <cell r="AA6403" t="str">
            <v/>
          </cell>
          <cell r="AB6403" t="str">
            <v/>
          </cell>
          <cell r="AC6403" t="str">
            <v/>
          </cell>
          <cell r="AD6403" t="str">
            <v/>
          </cell>
          <cell r="AY6403" t="str">
            <v/>
          </cell>
          <cell r="AZ6403" t="str">
            <v/>
          </cell>
          <cell r="BA6403" t="str">
            <v/>
          </cell>
        </row>
        <row r="6404">
          <cell r="B6404" t="str">
            <v>-</v>
          </cell>
          <cell r="E6404" t="str">
            <v/>
          </cell>
          <cell r="G6404" t="str">
            <v/>
          </cell>
          <cell r="J6404" t="str">
            <v/>
          </cell>
          <cell r="O6404" t="str">
            <v/>
          </cell>
          <cell r="P6404" t="str">
            <v/>
          </cell>
          <cell r="Q6404" t="str">
            <v/>
          </cell>
          <cell r="S6404" t="str">
            <v/>
          </cell>
          <cell r="V6404" t="str">
            <v/>
          </cell>
          <cell r="Z6404" t="str">
            <v/>
          </cell>
          <cell r="AA6404" t="str">
            <v/>
          </cell>
          <cell r="AB6404" t="str">
            <v/>
          </cell>
          <cell r="AC6404" t="str">
            <v/>
          </cell>
          <cell r="AD6404" t="str">
            <v/>
          </cell>
          <cell r="AY6404" t="str">
            <v/>
          </cell>
          <cell r="AZ6404" t="str">
            <v/>
          </cell>
          <cell r="BA6404" t="str">
            <v/>
          </cell>
        </row>
        <row r="6405">
          <cell r="B6405" t="str">
            <v>-</v>
          </cell>
          <cell r="E6405" t="str">
            <v/>
          </cell>
          <cell r="G6405" t="str">
            <v/>
          </cell>
          <cell r="J6405" t="str">
            <v/>
          </cell>
          <cell r="O6405" t="str">
            <v/>
          </cell>
          <cell r="P6405" t="str">
            <v/>
          </cell>
          <cell r="Q6405" t="str">
            <v/>
          </cell>
          <cell r="S6405" t="str">
            <v/>
          </cell>
          <cell r="V6405" t="str">
            <v/>
          </cell>
          <cell r="Z6405" t="str">
            <v/>
          </cell>
          <cell r="AA6405" t="str">
            <v/>
          </cell>
          <cell r="AB6405" t="str">
            <v/>
          </cell>
          <cell r="AC6405" t="str">
            <v/>
          </cell>
          <cell r="AD6405" t="str">
            <v/>
          </cell>
          <cell r="AY6405" t="str">
            <v/>
          </cell>
          <cell r="AZ6405" t="str">
            <v/>
          </cell>
          <cell r="BA6405" t="str">
            <v/>
          </cell>
        </row>
        <row r="6406">
          <cell r="B6406" t="str">
            <v>-</v>
          </cell>
          <cell r="E6406" t="str">
            <v/>
          </cell>
          <cell r="G6406" t="str">
            <v/>
          </cell>
          <cell r="J6406" t="str">
            <v/>
          </cell>
          <cell r="O6406" t="str">
            <v/>
          </cell>
          <cell r="P6406" t="str">
            <v/>
          </cell>
          <cell r="Q6406" t="str">
            <v/>
          </cell>
          <cell r="S6406" t="str">
            <v/>
          </cell>
          <cell r="V6406" t="str">
            <v/>
          </cell>
          <cell r="Z6406" t="str">
            <v/>
          </cell>
          <cell r="AA6406" t="str">
            <v/>
          </cell>
          <cell r="AB6406" t="str">
            <v/>
          </cell>
          <cell r="AC6406" t="str">
            <v/>
          </cell>
          <cell r="AD6406" t="str">
            <v/>
          </cell>
          <cell r="AY6406" t="str">
            <v/>
          </cell>
          <cell r="AZ6406" t="str">
            <v/>
          </cell>
          <cell r="BA6406" t="str">
            <v/>
          </cell>
        </row>
        <row r="6407">
          <cell r="B6407" t="str">
            <v>-</v>
          </cell>
          <cell r="E6407" t="str">
            <v/>
          </cell>
          <cell r="G6407" t="str">
            <v/>
          </cell>
          <cell r="J6407" t="str">
            <v/>
          </cell>
          <cell r="O6407" t="str">
            <v/>
          </cell>
          <cell r="P6407" t="str">
            <v/>
          </cell>
          <cell r="Q6407" t="str">
            <v/>
          </cell>
          <cell r="S6407" t="str">
            <v/>
          </cell>
          <cell r="V6407" t="str">
            <v/>
          </cell>
          <cell r="Z6407" t="str">
            <v/>
          </cell>
          <cell r="AA6407" t="str">
            <v/>
          </cell>
          <cell r="AB6407" t="str">
            <v/>
          </cell>
          <cell r="AC6407" t="str">
            <v/>
          </cell>
          <cell r="AD6407" t="str">
            <v/>
          </cell>
          <cell r="AY6407" t="str">
            <v/>
          </cell>
          <cell r="AZ6407" t="str">
            <v/>
          </cell>
          <cell r="BA6407" t="str">
            <v/>
          </cell>
        </row>
        <row r="6408">
          <cell r="B6408" t="str">
            <v>-</v>
          </cell>
          <cell r="E6408" t="str">
            <v/>
          </cell>
          <cell r="G6408" t="str">
            <v/>
          </cell>
          <cell r="J6408" t="str">
            <v/>
          </cell>
          <cell r="O6408" t="str">
            <v/>
          </cell>
          <cell r="P6408" t="str">
            <v/>
          </cell>
          <cell r="Q6408" t="str">
            <v/>
          </cell>
          <cell r="S6408" t="str">
            <v/>
          </cell>
          <cell r="V6408" t="str">
            <v/>
          </cell>
          <cell r="Z6408" t="str">
            <v/>
          </cell>
          <cell r="AA6408" t="str">
            <v/>
          </cell>
          <cell r="AB6408" t="str">
            <v/>
          </cell>
          <cell r="AC6408" t="str">
            <v/>
          </cell>
          <cell r="AD6408" t="str">
            <v/>
          </cell>
          <cell r="AY6408" t="str">
            <v/>
          </cell>
          <cell r="AZ6408" t="str">
            <v/>
          </cell>
          <cell r="BA6408" t="str">
            <v/>
          </cell>
        </row>
        <row r="6409">
          <cell r="B6409" t="str">
            <v>-</v>
          </cell>
          <cell r="E6409" t="str">
            <v/>
          </cell>
          <cell r="G6409" t="str">
            <v/>
          </cell>
          <cell r="J6409" t="str">
            <v/>
          </cell>
          <cell r="O6409" t="str">
            <v/>
          </cell>
          <cell r="P6409" t="str">
            <v/>
          </cell>
          <cell r="Q6409" t="str">
            <v/>
          </cell>
          <cell r="S6409" t="str">
            <v/>
          </cell>
          <cell r="V6409" t="str">
            <v/>
          </cell>
          <cell r="Z6409" t="str">
            <v/>
          </cell>
          <cell r="AA6409" t="str">
            <v/>
          </cell>
          <cell r="AB6409" t="str">
            <v/>
          </cell>
          <cell r="AC6409" t="str">
            <v/>
          </cell>
          <cell r="AD6409" t="str">
            <v/>
          </cell>
          <cell r="AY6409" t="str">
            <v/>
          </cell>
          <cell r="AZ6409" t="str">
            <v/>
          </cell>
          <cell r="BA6409" t="str">
            <v/>
          </cell>
        </row>
        <row r="6410">
          <cell r="B6410" t="str">
            <v>-</v>
          </cell>
          <cell r="E6410" t="str">
            <v/>
          </cell>
          <cell r="G6410" t="str">
            <v/>
          </cell>
          <cell r="J6410" t="str">
            <v/>
          </cell>
          <cell r="O6410" t="str">
            <v/>
          </cell>
          <cell r="P6410" t="str">
            <v/>
          </cell>
          <cell r="Q6410" t="str">
            <v/>
          </cell>
          <cell r="S6410" t="str">
            <v/>
          </cell>
          <cell r="V6410" t="str">
            <v/>
          </cell>
          <cell r="Z6410" t="str">
            <v/>
          </cell>
          <cell r="AA6410" t="str">
            <v/>
          </cell>
          <cell r="AB6410" t="str">
            <v/>
          </cell>
          <cell r="AC6410" t="str">
            <v/>
          </cell>
          <cell r="AD6410" t="str">
            <v/>
          </cell>
          <cell r="AY6410" t="str">
            <v/>
          </cell>
          <cell r="AZ6410" t="str">
            <v/>
          </cell>
          <cell r="BA6410" t="str">
            <v/>
          </cell>
        </row>
        <row r="6411">
          <cell r="B6411" t="str">
            <v>-</v>
          </cell>
          <cell r="E6411" t="str">
            <v/>
          </cell>
          <cell r="G6411" t="str">
            <v/>
          </cell>
          <cell r="J6411" t="str">
            <v/>
          </cell>
          <cell r="O6411" t="str">
            <v/>
          </cell>
          <cell r="P6411" t="str">
            <v/>
          </cell>
          <cell r="Q6411" t="str">
            <v/>
          </cell>
          <cell r="S6411" t="str">
            <v/>
          </cell>
          <cell r="V6411" t="str">
            <v/>
          </cell>
          <cell r="Z6411" t="str">
            <v/>
          </cell>
          <cell r="AA6411" t="str">
            <v/>
          </cell>
          <cell r="AB6411" t="str">
            <v/>
          </cell>
          <cell r="AC6411" t="str">
            <v/>
          </cell>
          <cell r="AD6411" t="str">
            <v/>
          </cell>
          <cell r="AY6411" t="str">
            <v/>
          </cell>
          <cell r="AZ6411" t="str">
            <v/>
          </cell>
          <cell r="BA6411" t="str">
            <v/>
          </cell>
        </row>
        <row r="6412">
          <cell r="B6412" t="str">
            <v>-</v>
          </cell>
          <cell r="E6412" t="str">
            <v/>
          </cell>
          <cell r="G6412" t="str">
            <v/>
          </cell>
          <cell r="J6412" t="str">
            <v/>
          </cell>
          <cell r="O6412" t="str">
            <v/>
          </cell>
          <cell r="P6412" t="str">
            <v/>
          </cell>
          <cell r="Q6412" t="str">
            <v/>
          </cell>
          <cell r="S6412" t="str">
            <v/>
          </cell>
          <cell r="V6412" t="str">
            <v/>
          </cell>
          <cell r="Z6412" t="str">
            <v/>
          </cell>
          <cell r="AA6412" t="str">
            <v/>
          </cell>
          <cell r="AB6412" t="str">
            <v/>
          </cell>
          <cell r="AC6412" t="str">
            <v/>
          </cell>
          <cell r="AD6412" t="str">
            <v/>
          </cell>
          <cell r="AY6412" t="str">
            <v/>
          </cell>
          <cell r="AZ6412" t="str">
            <v/>
          </cell>
          <cell r="BA6412" t="str">
            <v/>
          </cell>
        </row>
        <row r="6413">
          <cell r="B6413" t="str">
            <v>-</v>
          </cell>
          <cell r="E6413" t="str">
            <v/>
          </cell>
          <cell r="G6413" t="str">
            <v/>
          </cell>
          <cell r="J6413" t="str">
            <v/>
          </cell>
          <cell r="O6413" t="str">
            <v/>
          </cell>
          <cell r="P6413" t="str">
            <v/>
          </cell>
          <cell r="Q6413" t="str">
            <v/>
          </cell>
          <cell r="S6413" t="str">
            <v/>
          </cell>
          <cell r="V6413" t="str">
            <v/>
          </cell>
          <cell r="Z6413" t="str">
            <v/>
          </cell>
          <cell r="AA6413" t="str">
            <v/>
          </cell>
          <cell r="AB6413" t="str">
            <v/>
          </cell>
          <cell r="AC6413" t="str">
            <v/>
          </cell>
          <cell r="AD6413" t="str">
            <v/>
          </cell>
          <cell r="AY6413" t="str">
            <v/>
          </cell>
          <cell r="AZ6413" t="str">
            <v/>
          </cell>
          <cell r="BA6413" t="str">
            <v/>
          </cell>
        </row>
        <row r="6414">
          <cell r="B6414" t="str">
            <v>-</v>
          </cell>
          <cell r="E6414" t="str">
            <v/>
          </cell>
          <cell r="G6414" t="str">
            <v/>
          </cell>
          <cell r="J6414" t="str">
            <v/>
          </cell>
          <cell r="O6414" t="str">
            <v/>
          </cell>
          <cell r="P6414" t="str">
            <v/>
          </cell>
          <cell r="Q6414" t="str">
            <v/>
          </cell>
          <cell r="S6414" t="str">
            <v/>
          </cell>
          <cell r="V6414" t="str">
            <v/>
          </cell>
          <cell r="Z6414" t="str">
            <v/>
          </cell>
          <cell r="AA6414" t="str">
            <v/>
          </cell>
          <cell r="AB6414" t="str">
            <v/>
          </cell>
          <cell r="AC6414" t="str">
            <v/>
          </cell>
          <cell r="AD6414" t="str">
            <v/>
          </cell>
          <cell r="AY6414" t="str">
            <v/>
          </cell>
          <cell r="AZ6414" t="str">
            <v/>
          </cell>
          <cell r="BA6414" t="str">
            <v/>
          </cell>
        </row>
        <row r="6415">
          <cell r="B6415" t="str">
            <v>-</v>
          </cell>
          <cell r="E6415" t="str">
            <v/>
          </cell>
          <cell r="G6415" t="str">
            <v/>
          </cell>
          <cell r="J6415" t="str">
            <v/>
          </cell>
          <cell r="O6415" t="str">
            <v/>
          </cell>
          <cell r="P6415" t="str">
            <v/>
          </cell>
          <cell r="Q6415" t="str">
            <v/>
          </cell>
          <cell r="S6415" t="str">
            <v/>
          </cell>
          <cell r="V6415" t="str">
            <v/>
          </cell>
          <cell r="Z6415" t="str">
            <v/>
          </cell>
          <cell r="AA6415" t="str">
            <v/>
          </cell>
          <cell r="AB6415" t="str">
            <v/>
          </cell>
          <cell r="AC6415" t="str">
            <v/>
          </cell>
          <cell r="AD6415" t="str">
            <v/>
          </cell>
          <cell r="AY6415" t="str">
            <v/>
          </cell>
          <cell r="AZ6415" t="str">
            <v/>
          </cell>
          <cell r="BA6415" t="str">
            <v/>
          </cell>
        </row>
        <row r="6416">
          <cell r="B6416" t="str">
            <v>-</v>
          </cell>
          <cell r="E6416" t="str">
            <v/>
          </cell>
          <cell r="G6416" t="str">
            <v/>
          </cell>
          <cell r="J6416" t="str">
            <v/>
          </cell>
          <cell r="O6416" t="str">
            <v/>
          </cell>
          <cell r="P6416" t="str">
            <v/>
          </cell>
          <cell r="Q6416" t="str">
            <v/>
          </cell>
          <cell r="S6416" t="str">
            <v/>
          </cell>
          <cell r="V6416" t="str">
            <v/>
          </cell>
          <cell r="Z6416" t="str">
            <v/>
          </cell>
          <cell r="AA6416" t="str">
            <v/>
          </cell>
          <cell r="AB6416" t="str">
            <v/>
          </cell>
          <cell r="AC6416" t="str">
            <v/>
          </cell>
          <cell r="AD6416" t="str">
            <v/>
          </cell>
          <cell r="AY6416" t="str">
            <v/>
          </cell>
          <cell r="AZ6416" t="str">
            <v/>
          </cell>
          <cell r="BA6416" t="str">
            <v/>
          </cell>
        </row>
        <row r="6417">
          <cell r="B6417" t="str">
            <v>-</v>
          </cell>
          <cell r="E6417" t="str">
            <v/>
          </cell>
          <cell r="G6417" t="str">
            <v/>
          </cell>
          <cell r="J6417" t="str">
            <v/>
          </cell>
          <cell r="O6417" t="str">
            <v/>
          </cell>
          <cell r="P6417" t="str">
            <v/>
          </cell>
          <cell r="Q6417" t="str">
            <v/>
          </cell>
          <cell r="S6417" t="str">
            <v/>
          </cell>
          <cell r="V6417" t="str">
            <v/>
          </cell>
          <cell r="Z6417" t="str">
            <v/>
          </cell>
          <cell r="AA6417" t="str">
            <v/>
          </cell>
          <cell r="AB6417" t="str">
            <v/>
          </cell>
          <cell r="AC6417" t="str">
            <v/>
          </cell>
          <cell r="AD6417" t="str">
            <v/>
          </cell>
          <cell r="AY6417" t="str">
            <v/>
          </cell>
          <cell r="AZ6417" t="str">
            <v/>
          </cell>
          <cell r="BA6417" t="str">
            <v/>
          </cell>
        </row>
        <row r="6418">
          <cell r="B6418" t="str">
            <v>-</v>
          </cell>
          <cell r="E6418" t="str">
            <v/>
          </cell>
          <cell r="G6418" t="str">
            <v/>
          </cell>
          <cell r="J6418" t="str">
            <v/>
          </cell>
          <cell r="O6418" t="str">
            <v/>
          </cell>
          <cell r="P6418" t="str">
            <v/>
          </cell>
          <cell r="Q6418" t="str">
            <v/>
          </cell>
          <cell r="S6418" t="str">
            <v/>
          </cell>
          <cell r="V6418" t="str">
            <v/>
          </cell>
          <cell r="Z6418" t="str">
            <v/>
          </cell>
          <cell r="AA6418" t="str">
            <v/>
          </cell>
          <cell r="AB6418" t="str">
            <v/>
          </cell>
          <cell r="AC6418" t="str">
            <v/>
          </cell>
          <cell r="AD6418" t="str">
            <v/>
          </cell>
          <cell r="AY6418" t="str">
            <v/>
          </cell>
          <cell r="AZ6418" t="str">
            <v/>
          </cell>
          <cell r="BA6418" t="str">
            <v/>
          </cell>
        </row>
        <row r="6419">
          <cell r="B6419" t="str">
            <v>-</v>
          </cell>
          <cell r="E6419" t="str">
            <v/>
          </cell>
          <cell r="G6419" t="str">
            <v/>
          </cell>
          <cell r="J6419" t="str">
            <v/>
          </cell>
          <cell r="O6419" t="str">
            <v/>
          </cell>
          <cell r="P6419" t="str">
            <v/>
          </cell>
          <cell r="Q6419" t="str">
            <v/>
          </cell>
          <cell r="S6419" t="str">
            <v/>
          </cell>
          <cell r="V6419" t="str">
            <v/>
          </cell>
          <cell r="Z6419" t="str">
            <v/>
          </cell>
          <cell r="AA6419" t="str">
            <v/>
          </cell>
          <cell r="AB6419" t="str">
            <v/>
          </cell>
          <cell r="AC6419" t="str">
            <v/>
          </cell>
          <cell r="AD6419" t="str">
            <v/>
          </cell>
          <cell r="AY6419" t="str">
            <v/>
          </cell>
          <cell r="AZ6419" t="str">
            <v/>
          </cell>
          <cell r="BA6419" t="str">
            <v/>
          </cell>
        </row>
        <row r="6420">
          <cell r="B6420" t="str">
            <v>-</v>
          </cell>
          <cell r="E6420" t="str">
            <v/>
          </cell>
          <cell r="G6420" t="str">
            <v/>
          </cell>
          <cell r="J6420" t="str">
            <v/>
          </cell>
          <cell r="O6420" t="str">
            <v/>
          </cell>
          <cell r="P6420" t="str">
            <v/>
          </cell>
          <cell r="Q6420" t="str">
            <v/>
          </cell>
          <cell r="S6420" t="str">
            <v/>
          </cell>
          <cell r="V6420" t="str">
            <v/>
          </cell>
          <cell r="Z6420" t="str">
            <v/>
          </cell>
          <cell r="AA6420" t="str">
            <v/>
          </cell>
          <cell r="AB6420" t="str">
            <v/>
          </cell>
          <cell r="AC6420" t="str">
            <v/>
          </cell>
          <cell r="AD6420" t="str">
            <v/>
          </cell>
          <cell r="AY6420" t="str">
            <v/>
          </cell>
          <cell r="AZ6420" t="str">
            <v/>
          </cell>
          <cell r="BA6420" t="str">
            <v/>
          </cell>
        </row>
        <row r="6421">
          <cell r="B6421" t="str">
            <v>-</v>
          </cell>
          <cell r="E6421" t="str">
            <v/>
          </cell>
          <cell r="G6421" t="str">
            <v/>
          </cell>
          <cell r="J6421" t="str">
            <v/>
          </cell>
          <cell r="O6421" t="str">
            <v/>
          </cell>
          <cell r="P6421" t="str">
            <v/>
          </cell>
          <cell r="Q6421" t="str">
            <v/>
          </cell>
          <cell r="S6421" t="str">
            <v/>
          </cell>
          <cell r="V6421" t="str">
            <v/>
          </cell>
          <cell r="Z6421" t="str">
            <v/>
          </cell>
          <cell r="AA6421" t="str">
            <v/>
          </cell>
          <cell r="AB6421" t="str">
            <v/>
          </cell>
          <cell r="AC6421" t="str">
            <v/>
          </cell>
          <cell r="AD6421" t="str">
            <v/>
          </cell>
          <cell r="AY6421" t="str">
            <v/>
          </cell>
          <cell r="AZ6421" t="str">
            <v/>
          </cell>
          <cell r="BA6421" t="str">
            <v/>
          </cell>
        </row>
        <row r="6422">
          <cell r="B6422" t="str">
            <v>-</v>
          </cell>
          <cell r="E6422" t="str">
            <v/>
          </cell>
          <cell r="G6422" t="str">
            <v/>
          </cell>
          <cell r="J6422" t="str">
            <v/>
          </cell>
          <cell r="O6422" t="str">
            <v/>
          </cell>
          <cell r="P6422" t="str">
            <v/>
          </cell>
          <cell r="Q6422" t="str">
            <v/>
          </cell>
          <cell r="S6422" t="str">
            <v/>
          </cell>
          <cell r="V6422" t="str">
            <v/>
          </cell>
          <cell r="Z6422" t="str">
            <v/>
          </cell>
          <cell r="AA6422" t="str">
            <v/>
          </cell>
          <cell r="AB6422" t="str">
            <v/>
          </cell>
          <cell r="AC6422" t="str">
            <v/>
          </cell>
          <cell r="AD6422" t="str">
            <v/>
          </cell>
          <cell r="AY6422" t="str">
            <v/>
          </cell>
          <cell r="AZ6422" t="str">
            <v/>
          </cell>
          <cell r="BA6422" t="str">
            <v/>
          </cell>
        </row>
        <row r="6423">
          <cell r="B6423" t="str">
            <v>-</v>
          </cell>
          <cell r="E6423" t="str">
            <v/>
          </cell>
          <cell r="G6423" t="str">
            <v/>
          </cell>
          <cell r="J6423" t="str">
            <v/>
          </cell>
          <cell r="O6423" t="str">
            <v/>
          </cell>
          <cell r="P6423" t="str">
            <v/>
          </cell>
          <cell r="Q6423" t="str">
            <v/>
          </cell>
          <cell r="S6423" t="str">
            <v/>
          </cell>
          <cell r="V6423" t="str">
            <v/>
          </cell>
          <cell r="Z6423" t="str">
            <v/>
          </cell>
          <cell r="AA6423" t="str">
            <v/>
          </cell>
          <cell r="AB6423" t="str">
            <v/>
          </cell>
          <cell r="AC6423" t="str">
            <v/>
          </cell>
          <cell r="AD6423" t="str">
            <v/>
          </cell>
          <cell r="AY6423" t="str">
            <v/>
          </cell>
          <cell r="AZ6423" t="str">
            <v/>
          </cell>
          <cell r="BA6423" t="str">
            <v/>
          </cell>
        </row>
        <row r="6424">
          <cell r="B6424" t="str">
            <v>-</v>
          </cell>
          <cell r="E6424" t="str">
            <v/>
          </cell>
          <cell r="G6424" t="str">
            <v/>
          </cell>
          <cell r="J6424" t="str">
            <v/>
          </cell>
          <cell r="O6424" t="str">
            <v/>
          </cell>
          <cell r="P6424" t="str">
            <v/>
          </cell>
          <cell r="Q6424" t="str">
            <v/>
          </cell>
          <cell r="S6424" t="str">
            <v/>
          </cell>
          <cell r="V6424" t="str">
            <v/>
          </cell>
          <cell r="Z6424" t="str">
            <v/>
          </cell>
          <cell r="AA6424" t="str">
            <v/>
          </cell>
          <cell r="AB6424" t="str">
            <v/>
          </cell>
          <cell r="AC6424" t="str">
            <v/>
          </cell>
          <cell r="AD6424" t="str">
            <v/>
          </cell>
          <cell r="AY6424" t="str">
            <v/>
          </cell>
          <cell r="AZ6424" t="str">
            <v/>
          </cell>
          <cell r="BA6424" t="str">
            <v/>
          </cell>
        </row>
        <row r="6425">
          <cell r="B6425" t="str">
            <v>-</v>
          </cell>
          <cell r="E6425" t="str">
            <v/>
          </cell>
          <cell r="G6425" t="str">
            <v/>
          </cell>
          <cell r="J6425" t="str">
            <v/>
          </cell>
          <cell r="O6425" t="str">
            <v/>
          </cell>
          <cell r="P6425" t="str">
            <v/>
          </cell>
          <cell r="Q6425" t="str">
            <v/>
          </cell>
          <cell r="S6425" t="str">
            <v/>
          </cell>
          <cell r="V6425" t="str">
            <v/>
          </cell>
          <cell r="Z6425" t="str">
            <v/>
          </cell>
          <cell r="AA6425" t="str">
            <v/>
          </cell>
          <cell r="AB6425" t="str">
            <v/>
          </cell>
          <cell r="AC6425" t="str">
            <v/>
          </cell>
          <cell r="AD6425" t="str">
            <v/>
          </cell>
          <cell r="AY6425" t="str">
            <v/>
          </cell>
          <cell r="AZ6425" t="str">
            <v/>
          </cell>
          <cell r="BA6425" t="str">
            <v/>
          </cell>
        </row>
        <row r="6426">
          <cell r="B6426" t="str">
            <v>-</v>
          </cell>
          <cell r="E6426" t="str">
            <v/>
          </cell>
          <cell r="G6426" t="str">
            <v/>
          </cell>
          <cell r="J6426" t="str">
            <v/>
          </cell>
          <cell r="O6426" t="str">
            <v/>
          </cell>
          <cell r="P6426" t="str">
            <v/>
          </cell>
          <cell r="Q6426" t="str">
            <v/>
          </cell>
          <cell r="S6426" t="str">
            <v/>
          </cell>
          <cell r="V6426" t="str">
            <v/>
          </cell>
          <cell r="Z6426" t="str">
            <v/>
          </cell>
          <cell r="AA6426" t="str">
            <v/>
          </cell>
          <cell r="AB6426" t="str">
            <v/>
          </cell>
          <cell r="AC6426" t="str">
            <v/>
          </cell>
          <cell r="AD6426" t="str">
            <v/>
          </cell>
          <cell r="AY6426" t="str">
            <v/>
          </cell>
          <cell r="AZ6426" t="str">
            <v/>
          </cell>
          <cell r="BA6426" t="str">
            <v/>
          </cell>
        </row>
        <row r="6427">
          <cell r="B6427" t="str">
            <v>-</v>
          </cell>
          <cell r="E6427" t="str">
            <v/>
          </cell>
          <cell r="G6427" t="str">
            <v/>
          </cell>
          <cell r="J6427" t="str">
            <v/>
          </cell>
          <cell r="O6427" t="str">
            <v/>
          </cell>
          <cell r="P6427" t="str">
            <v/>
          </cell>
          <cell r="Q6427" t="str">
            <v/>
          </cell>
          <cell r="S6427" t="str">
            <v/>
          </cell>
          <cell r="V6427" t="str">
            <v/>
          </cell>
          <cell r="Z6427" t="str">
            <v/>
          </cell>
          <cell r="AA6427" t="str">
            <v/>
          </cell>
          <cell r="AB6427" t="str">
            <v/>
          </cell>
          <cell r="AC6427" t="str">
            <v/>
          </cell>
          <cell r="AD6427" t="str">
            <v/>
          </cell>
          <cell r="AY6427" t="str">
            <v/>
          </cell>
          <cell r="AZ6427" t="str">
            <v/>
          </cell>
          <cell r="BA6427" t="str">
            <v/>
          </cell>
        </row>
        <row r="6428">
          <cell r="B6428" t="str">
            <v>-</v>
          </cell>
          <cell r="E6428" t="str">
            <v/>
          </cell>
          <cell r="G6428" t="str">
            <v/>
          </cell>
          <cell r="J6428" t="str">
            <v/>
          </cell>
          <cell r="O6428" t="str">
            <v/>
          </cell>
          <cell r="P6428" t="str">
            <v/>
          </cell>
          <cell r="Q6428" t="str">
            <v/>
          </cell>
          <cell r="S6428" t="str">
            <v/>
          </cell>
          <cell r="V6428" t="str">
            <v/>
          </cell>
          <cell r="Z6428" t="str">
            <v/>
          </cell>
          <cell r="AA6428" t="str">
            <v/>
          </cell>
          <cell r="AB6428" t="str">
            <v/>
          </cell>
          <cell r="AC6428" t="str">
            <v/>
          </cell>
          <cell r="AD6428" t="str">
            <v/>
          </cell>
          <cell r="AY6428" t="str">
            <v/>
          </cell>
          <cell r="AZ6428" t="str">
            <v/>
          </cell>
          <cell r="BA6428" t="str">
            <v/>
          </cell>
        </row>
        <row r="6429">
          <cell r="B6429" t="str">
            <v>-</v>
          </cell>
          <cell r="E6429" t="str">
            <v/>
          </cell>
          <cell r="G6429" t="str">
            <v/>
          </cell>
          <cell r="J6429" t="str">
            <v/>
          </cell>
          <cell r="O6429" t="str">
            <v/>
          </cell>
          <cell r="P6429" t="str">
            <v/>
          </cell>
          <cell r="Q6429" t="str">
            <v/>
          </cell>
          <cell r="S6429" t="str">
            <v/>
          </cell>
          <cell r="V6429" t="str">
            <v/>
          </cell>
          <cell r="Z6429" t="str">
            <v/>
          </cell>
          <cell r="AA6429" t="str">
            <v/>
          </cell>
          <cell r="AB6429" t="str">
            <v/>
          </cell>
          <cell r="AC6429" t="str">
            <v/>
          </cell>
          <cell r="AD6429" t="str">
            <v/>
          </cell>
          <cell r="AY6429" t="str">
            <v/>
          </cell>
          <cell r="AZ6429" t="str">
            <v/>
          </cell>
          <cell r="BA6429" t="str">
            <v/>
          </cell>
        </row>
        <row r="6430">
          <cell r="B6430" t="str">
            <v>-</v>
          </cell>
          <cell r="E6430" t="str">
            <v/>
          </cell>
          <cell r="G6430" t="str">
            <v/>
          </cell>
          <cell r="J6430" t="str">
            <v/>
          </cell>
          <cell r="O6430" t="str">
            <v/>
          </cell>
          <cell r="P6430" t="str">
            <v/>
          </cell>
          <cell r="Q6430" t="str">
            <v/>
          </cell>
          <cell r="S6430" t="str">
            <v/>
          </cell>
          <cell r="V6430" t="str">
            <v/>
          </cell>
          <cell r="Z6430" t="str">
            <v/>
          </cell>
          <cell r="AA6430" t="str">
            <v/>
          </cell>
          <cell r="AB6430" t="str">
            <v/>
          </cell>
          <cell r="AC6430" t="str">
            <v/>
          </cell>
          <cell r="AD6430" t="str">
            <v/>
          </cell>
          <cell r="AY6430" t="str">
            <v/>
          </cell>
          <cell r="AZ6430" t="str">
            <v/>
          </cell>
          <cell r="BA6430" t="str">
            <v/>
          </cell>
        </row>
        <row r="6431">
          <cell r="B6431" t="str">
            <v>-</v>
          </cell>
          <cell r="E6431" t="str">
            <v/>
          </cell>
          <cell r="G6431" t="str">
            <v/>
          </cell>
          <cell r="J6431" t="str">
            <v/>
          </cell>
          <cell r="O6431" t="str">
            <v/>
          </cell>
          <cell r="P6431" t="str">
            <v/>
          </cell>
          <cell r="Q6431" t="str">
            <v/>
          </cell>
          <cell r="S6431" t="str">
            <v/>
          </cell>
          <cell r="V6431" t="str">
            <v/>
          </cell>
          <cell r="Z6431" t="str">
            <v/>
          </cell>
          <cell r="AA6431" t="str">
            <v/>
          </cell>
          <cell r="AB6431" t="str">
            <v/>
          </cell>
          <cell r="AC6431" t="str">
            <v/>
          </cell>
          <cell r="AD6431" t="str">
            <v/>
          </cell>
          <cell r="AY6431" t="str">
            <v/>
          </cell>
          <cell r="AZ6431" t="str">
            <v/>
          </cell>
          <cell r="BA6431" t="str">
            <v/>
          </cell>
        </row>
        <row r="6432">
          <cell r="B6432" t="str">
            <v>-</v>
          </cell>
          <cell r="E6432" t="str">
            <v/>
          </cell>
          <cell r="G6432" t="str">
            <v/>
          </cell>
          <cell r="J6432" t="str">
            <v/>
          </cell>
          <cell r="O6432" t="str">
            <v/>
          </cell>
          <cell r="P6432" t="str">
            <v/>
          </cell>
          <cell r="Q6432" t="str">
            <v/>
          </cell>
          <cell r="S6432" t="str">
            <v/>
          </cell>
          <cell r="V6432" t="str">
            <v/>
          </cell>
          <cell r="Z6432" t="str">
            <v/>
          </cell>
          <cell r="AA6432" t="str">
            <v/>
          </cell>
          <cell r="AB6432" t="str">
            <v/>
          </cell>
          <cell r="AC6432" t="str">
            <v/>
          </cell>
          <cell r="AD6432" t="str">
            <v/>
          </cell>
          <cell r="AY6432" t="str">
            <v/>
          </cell>
          <cell r="AZ6432" t="str">
            <v/>
          </cell>
          <cell r="BA6432" t="str">
            <v/>
          </cell>
        </row>
        <row r="6433">
          <cell r="B6433" t="str">
            <v>-</v>
          </cell>
          <cell r="E6433" t="str">
            <v/>
          </cell>
          <cell r="G6433" t="str">
            <v/>
          </cell>
          <cell r="J6433" t="str">
            <v/>
          </cell>
          <cell r="O6433" t="str">
            <v/>
          </cell>
          <cell r="P6433" t="str">
            <v/>
          </cell>
          <cell r="Q6433" t="str">
            <v/>
          </cell>
          <cell r="S6433" t="str">
            <v/>
          </cell>
          <cell r="V6433" t="str">
            <v/>
          </cell>
          <cell r="Z6433" t="str">
            <v/>
          </cell>
          <cell r="AA6433" t="str">
            <v/>
          </cell>
          <cell r="AB6433" t="str">
            <v/>
          </cell>
          <cell r="AC6433" t="str">
            <v/>
          </cell>
          <cell r="AD6433" t="str">
            <v/>
          </cell>
          <cell r="AY6433" t="str">
            <v/>
          </cell>
          <cell r="AZ6433" t="str">
            <v/>
          </cell>
          <cell r="BA6433" t="str">
            <v/>
          </cell>
        </row>
        <row r="6434">
          <cell r="B6434" t="str">
            <v>-</v>
          </cell>
          <cell r="E6434" t="str">
            <v/>
          </cell>
          <cell r="G6434" t="str">
            <v/>
          </cell>
          <cell r="J6434" t="str">
            <v/>
          </cell>
          <cell r="O6434" t="str">
            <v/>
          </cell>
          <cell r="P6434" t="str">
            <v/>
          </cell>
          <cell r="Q6434" t="str">
            <v/>
          </cell>
          <cell r="S6434" t="str">
            <v/>
          </cell>
          <cell r="V6434" t="str">
            <v/>
          </cell>
          <cell r="Z6434" t="str">
            <v/>
          </cell>
          <cell r="AA6434" t="str">
            <v/>
          </cell>
          <cell r="AB6434" t="str">
            <v/>
          </cell>
          <cell r="AC6434" t="str">
            <v/>
          </cell>
          <cell r="AD6434" t="str">
            <v/>
          </cell>
          <cell r="AY6434" t="str">
            <v/>
          </cell>
          <cell r="AZ6434" t="str">
            <v/>
          </cell>
          <cell r="BA6434" t="str">
            <v/>
          </cell>
        </row>
        <row r="6435">
          <cell r="B6435" t="str">
            <v>-</v>
          </cell>
          <cell r="E6435" t="str">
            <v/>
          </cell>
          <cell r="G6435" t="str">
            <v/>
          </cell>
          <cell r="J6435" t="str">
            <v/>
          </cell>
          <cell r="O6435" t="str">
            <v/>
          </cell>
          <cell r="P6435" t="str">
            <v/>
          </cell>
          <cell r="Q6435" t="str">
            <v/>
          </cell>
          <cell r="S6435" t="str">
            <v/>
          </cell>
          <cell r="V6435" t="str">
            <v/>
          </cell>
          <cell r="Z6435" t="str">
            <v/>
          </cell>
          <cell r="AA6435" t="str">
            <v/>
          </cell>
          <cell r="AB6435" t="str">
            <v/>
          </cell>
          <cell r="AC6435" t="str">
            <v/>
          </cell>
          <cell r="AD6435" t="str">
            <v/>
          </cell>
          <cell r="AY6435" t="str">
            <v/>
          </cell>
          <cell r="AZ6435" t="str">
            <v/>
          </cell>
          <cell r="BA6435" t="str">
            <v/>
          </cell>
        </row>
        <row r="6436">
          <cell r="B6436" t="str">
            <v>-</v>
          </cell>
          <cell r="E6436" t="str">
            <v/>
          </cell>
          <cell r="G6436" t="str">
            <v/>
          </cell>
          <cell r="J6436" t="str">
            <v/>
          </cell>
          <cell r="O6436" t="str">
            <v/>
          </cell>
          <cell r="P6436" t="str">
            <v/>
          </cell>
          <cell r="Q6436" t="str">
            <v/>
          </cell>
          <cell r="S6436" t="str">
            <v/>
          </cell>
          <cell r="V6436" t="str">
            <v/>
          </cell>
          <cell r="Z6436" t="str">
            <v/>
          </cell>
          <cell r="AA6436" t="str">
            <v/>
          </cell>
          <cell r="AB6436" t="str">
            <v/>
          </cell>
          <cell r="AC6436" t="str">
            <v/>
          </cell>
          <cell r="AD6436" t="str">
            <v/>
          </cell>
          <cell r="AY6436" t="str">
            <v/>
          </cell>
          <cell r="AZ6436" t="str">
            <v/>
          </cell>
          <cell r="BA6436" t="str">
            <v/>
          </cell>
        </row>
        <row r="6437">
          <cell r="B6437" t="str">
            <v>-</v>
          </cell>
          <cell r="E6437" t="str">
            <v/>
          </cell>
          <cell r="G6437" t="str">
            <v/>
          </cell>
          <cell r="J6437" t="str">
            <v/>
          </cell>
          <cell r="O6437" t="str">
            <v/>
          </cell>
          <cell r="P6437" t="str">
            <v/>
          </cell>
          <cell r="Q6437" t="str">
            <v/>
          </cell>
          <cell r="S6437" t="str">
            <v/>
          </cell>
          <cell r="V6437" t="str">
            <v/>
          </cell>
          <cell r="Z6437" t="str">
            <v/>
          </cell>
          <cell r="AA6437" t="str">
            <v/>
          </cell>
          <cell r="AB6437" t="str">
            <v/>
          </cell>
          <cell r="AC6437" t="str">
            <v/>
          </cell>
          <cell r="AD6437" t="str">
            <v/>
          </cell>
          <cell r="AY6437" t="str">
            <v/>
          </cell>
          <cell r="AZ6437" t="str">
            <v/>
          </cell>
          <cell r="BA6437" t="str">
            <v/>
          </cell>
        </row>
        <row r="6438">
          <cell r="B6438" t="str">
            <v>-</v>
          </cell>
          <cell r="E6438" t="str">
            <v/>
          </cell>
          <cell r="G6438" t="str">
            <v/>
          </cell>
          <cell r="J6438" t="str">
            <v/>
          </cell>
          <cell r="O6438" t="str">
            <v/>
          </cell>
          <cell r="P6438" t="str">
            <v/>
          </cell>
          <cell r="Q6438" t="str">
            <v/>
          </cell>
          <cell r="S6438" t="str">
            <v/>
          </cell>
          <cell r="V6438" t="str">
            <v/>
          </cell>
          <cell r="Z6438" t="str">
            <v/>
          </cell>
          <cell r="AA6438" t="str">
            <v/>
          </cell>
          <cell r="AB6438" t="str">
            <v/>
          </cell>
          <cell r="AC6438" t="str">
            <v/>
          </cell>
          <cell r="AD6438" t="str">
            <v/>
          </cell>
          <cell r="AY6438" t="str">
            <v/>
          </cell>
          <cell r="AZ6438" t="str">
            <v/>
          </cell>
          <cell r="BA6438" t="str">
            <v/>
          </cell>
        </row>
        <row r="6439">
          <cell r="B6439" t="str">
            <v>-</v>
          </cell>
          <cell r="E6439" t="str">
            <v/>
          </cell>
          <cell r="G6439" t="str">
            <v/>
          </cell>
          <cell r="J6439" t="str">
            <v/>
          </cell>
          <cell r="O6439" t="str">
            <v/>
          </cell>
          <cell r="P6439" t="str">
            <v/>
          </cell>
          <cell r="Q6439" t="str">
            <v/>
          </cell>
          <cell r="S6439" t="str">
            <v/>
          </cell>
          <cell r="V6439" t="str">
            <v/>
          </cell>
          <cell r="Z6439" t="str">
            <v/>
          </cell>
          <cell r="AA6439" t="str">
            <v/>
          </cell>
          <cell r="AB6439" t="str">
            <v/>
          </cell>
          <cell r="AC6439" t="str">
            <v/>
          </cell>
          <cell r="AD6439" t="str">
            <v/>
          </cell>
          <cell r="AY6439" t="str">
            <v/>
          </cell>
          <cell r="AZ6439" t="str">
            <v/>
          </cell>
          <cell r="BA6439" t="str">
            <v/>
          </cell>
        </row>
        <row r="6440">
          <cell r="B6440" t="str">
            <v>-</v>
          </cell>
          <cell r="E6440" t="str">
            <v/>
          </cell>
          <cell r="G6440" t="str">
            <v/>
          </cell>
          <cell r="J6440" t="str">
            <v/>
          </cell>
          <cell r="O6440" t="str">
            <v/>
          </cell>
          <cell r="P6440" t="str">
            <v/>
          </cell>
          <cell r="Q6440" t="str">
            <v/>
          </cell>
          <cell r="S6440" t="str">
            <v/>
          </cell>
          <cell r="V6440" t="str">
            <v/>
          </cell>
          <cell r="Z6440" t="str">
            <v/>
          </cell>
          <cell r="AA6440" t="str">
            <v/>
          </cell>
          <cell r="AB6440" t="str">
            <v/>
          </cell>
          <cell r="AC6440" t="str">
            <v/>
          </cell>
          <cell r="AD6440" t="str">
            <v/>
          </cell>
          <cell r="AY6440" t="str">
            <v/>
          </cell>
          <cell r="AZ6440" t="str">
            <v/>
          </cell>
          <cell r="BA6440" t="str">
            <v/>
          </cell>
        </row>
        <row r="6441">
          <cell r="B6441" t="str">
            <v>-</v>
          </cell>
          <cell r="E6441" t="str">
            <v/>
          </cell>
          <cell r="G6441" t="str">
            <v/>
          </cell>
          <cell r="J6441" t="str">
            <v/>
          </cell>
          <cell r="O6441" t="str">
            <v/>
          </cell>
          <cell r="P6441" t="str">
            <v/>
          </cell>
          <cell r="Q6441" t="str">
            <v/>
          </cell>
          <cell r="S6441" t="str">
            <v/>
          </cell>
          <cell r="V6441" t="str">
            <v/>
          </cell>
          <cell r="Z6441" t="str">
            <v/>
          </cell>
          <cell r="AA6441" t="str">
            <v/>
          </cell>
          <cell r="AB6441" t="str">
            <v/>
          </cell>
          <cell r="AC6441" t="str">
            <v/>
          </cell>
          <cell r="AD6441" t="str">
            <v/>
          </cell>
          <cell r="AY6441" t="str">
            <v/>
          </cell>
          <cell r="AZ6441" t="str">
            <v/>
          </cell>
          <cell r="BA6441" t="str">
            <v/>
          </cell>
        </row>
        <row r="6442">
          <cell r="B6442" t="str">
            <v>-</v>
          </cell>
          <cell r="E6442" t="str">
            <v/>
          </cell>
          <cell r="G6442" t="str">
            <v/>
          </cell>
          <cell r="J6442" t="str">
            <v/>
          </cell>
          <cell r="O6442" t="str">
            <v/>
          </cell>
          <cell r="P6442" t="str">
            <v/>
          </cell>
          <cell r="Q6442" t="str">
            <v/>
          </cell>
          <cell r="S6442" t="str">
            <v/>
          </cell>
          <cell r="V6442" t="str">
            <v/>
          </cell>
          <cell r="Z6442" t="str">
            <v/>
          </cell>
          <cell r="AA6442" t="str">
            <v/>
          </cell>
          <cell r="AB6442" t="str">
            <v/>
          </cell>
          <cell r="AC6442" t="str">
            <v/>
          </cell>
          <cell r="AD6442" t="str">
            <v/>
          </cell>
          <cell r="AY6442" t="str">
            <v/>
          </cell>
          <cell r="AZ6442" t="str">
            <v/>
          </cell>
          <cell r="BA6442" t="str">
            <v/>
          </cell>
        </row>
        <row r="6443">
          <cell r="B6443" t="str">
            <v>-</v>
          </cell>
          <cell r="E6443" t="str">
            <v/>
          </cell>
          <cell r="G6443" t="str">
            <v/>
          </cell>
          <cell r="J6443" t="str">
            <v/>
          </cell>
          <cell r="O6443" t="str">
            <v/>
          </cell>
          <cell r="P6443" t="str">
            <v/>
          </cell>
          <cell r="Q6443" t="str">
            <v/>
          </cell>
          <cell r="S6443" t="str">
            <v/>
          </cell>
          <cell r="V6443" t="str">
            <v/>
          </cell>
          <cell r="Z6443" t="str">
            <v/>
          </cell>
          <cell r="AA6443" t="str">
            <v/>
          </cell>
          <cell r="AB6443" t="str">
            <v/>
          </cell>
          <cell r="AC6443" t="str">
            <v/>
          </cell>
          <cell r="AD6443" t="str">
            <v/>
          </cell>
          <cell r="AY6443" t="str">
            <v/>
          </cell>
          <cell r="AZ6443" t="str">
            <v/>
          </cell>
          <cell r="BA6443" t="str">
            <v/>
          </cell>
        </row>
        <row r="6444">
          <cell r="B6444" t="str">
            <v>-</v>
          </cell>
          <cell r="E6444" t="str">
            <v/>
          </cell>
          <cell r="G6444" t="str">
            <v/>
          </cell>
          <cell r="J6444" t="str">
            <v/>
          </cell>
          <cell r="O6444" t="str">
            <v/>
          </cell>
          <cell r="P6444" t="str">
            <v/>
          </cell>
          <cell r="Q6444" t="str">
            <v/>
          </cell>
          <cell r="S6444" t="str">
            <v/>
          </cell>
          <cell r="V6444" t="str">
            <v/>
          </cell>
          <cell r="Z6444" t="str">
            <v/>
          </cell>
          <cell r="AA6444" t="str">
            <v/>
          </cell>
          <cell r="AB6444" t="str">
            <v/>
          </cell>
          <cell r="AC6444" t="str">
            <v/>
          </cell>
          <cell r="AD6444" t="str">
            <v/>
          </cell>
          <cell r="AY6444" t="str">
            <v/>
          </cell>
          <cell r="AZ6444" t="str">
            <v/>
          </cell>
          <cell r="BA6444" t="str">
            <v/>
          </cell>
        </row>
        <row r="6445">
          <cell r="B6445" t="str">
            <v>-</v>
          </cell>
          <cell r="E6445" t="str">
            <v/>
          </cell>
          <cell r="G6445" t="str">
            <v/>
          </cell>
          <cell r="J6445" t="str">
            <v/>
          </cell>
          <cell r="O6445" t="str">
            <v/>
          </cell>
          <cell r="P6445" t="str">
            <v/>
          </cell>
          <cell r="Q6445" t="str">
            <v/>
          </cell>
          <cell r="S6445" t="str">
            <v/>
          </cell>
          <cell r="V6445" t="str">
            <v/>
          </cell>
          <cell r="Z6445" t="str">
            <v/>
          </cell>
          <cell r="AA6445" t="str">
            <v/>
          </cell>
          <cell r="AB6445" t="str">
            <v/>
          </cell>
          <cell r="AC6445" t="str">
            <v/>
          </cell>
          <cell r="AD6445" t="str">
            <v/>
          </cell>
          <cell r="AY6445" t="str">
            <v/>
          </cell>
          <cell r="AZ6445" t="str">
            <v/>
          </cell>
          <cell r="BA6445" t="str">
            <v/>
          </cell>
        </row>
        <row r="6446">
          <cell r="B6446" t="str">
            <v>-</v>
          </cell>
          <cell r="E6446" t="str">
            <v/>
          </cell>
          <cell r="G6446" t="str">
            <v/>
          </cell>
          <cell r="J6446" t="str">
            <v/>
          </cell>
          <cell r="O6446" t="str">
            <v/>
          </cell>
          <cell r="P6446" t="str">
            <v/>
          </cell>
          <cell r="Q6446" t="str">
            <v/>
          </cell>
          <cell r="S6446" t="str">
            <v/>
          </cell>
          <cell r="V6446" t="str">
            <v/>
          </cell>
          <cell r="Z6446" t="str">
            <v/>
          </cell>
          <cell r="AA6446" t="str">
            <v/>
          </cell>
          <cell r="AB6446" t="str">
            <v/>
          </cell>
          <cell r="AC6446" t="str">
            <v/>
          </cell>
          <cell r="AD6446" t="str">
            <v/>
          </cell>
          <cell r="AY6446" t="str">
            <v/>
          </cell>
          <cell r="AZ6446" t="str">
            <v/>
          </cell>
          <cell r="BA6446" t="str">
            <v/>
          </cell>
        </row>
        <row r="6447">
          <cell r="B6447" t="str">
            <v>-</v>
          </cell>
          <cell r="E6447" t="str">
            <v/>
          </cell>
          <cell r="G6447" t="str">
            <v/>
          </cell>
          <cell r="J6447" t="str">
            <v/>
          </cell>
          <cell r="O6447" t="str">
            <v/>
          </cell>
          <cell r="P6447" t="str">
            <v/>
          </cell>
          <cell r="Q6447" t="str">
            <v/>
          </cell>
          <cell r="S6447" t="str">
            <v/>
          </cell>
          <cell r="V6447" t="str">
            <v/>
          </cell>
          <cell r="Z6447" t="str">
            <v/>
          </cell>
          <cell r="AA6447" t="str">
            <v/>
          </cell>
          <cell r="AB6447" t="str">
            <v/>
          </cell>
          <cell r="AC6447" t="str">
            <v/>
          </cell>
          <cell r="AD6447" t="str">
            <v/>
          </cell>
          <cell r="AY6447" t="str">
            <v/>
          </cell>
          <cell r="AZ6447" t="str">
            <v/>
          </cell>
          <cell r="BA6447" t="str">
            <v/>
          </cell>
        </row>
        <row r="6448">
          <cell r="B6448" t="str">
            <v>-</v>
          </cell>
          <cell r="E6448" t="str">
            <v/>
          </cell>
          <cell r="G6448" t="str">
            <v/>
          </cell>
          <cell r="J6448" t="str">
            <v/>
          </cell>
          <cell r="O6448" t="str">
            <v/>
          </cell>
          <cell r="P6448" t="str">
            <v/>
          </cell>
          <cell r="Q6448" t="str">
            <v/>
          </cell>
          <cell r="S6448" t="str">
            <v/>
          </cell>
          <cell r="V6448" t="str">
            <v/>
          </cell>
          <cell r="Z6448" t="str">
            <v/>
          </cell>
          <cell r="AA6448" t="str">
            <v/>
          </cell>
          <cell r="AB6448" t="str">
            <v/>
          </cell>
          <cell r="AC6448" t="str">
            <v/>
          </cell>
          <cell r="AD6448" t="str">
            <v/>
          </cell>
          <cell r="AY6448" t="str">
            <v/>
          </cell>
          <cell r="AZ6448" t="str">
            <v/>
          </cell>
          <cell r="BA6448" t="str">
            <v/>
          </cell>
        </row>
        <row r="6449">
          <cell r="B6449" t="str">
            <v>-</v>
          </cell>
          <cell r="E6449" t="str">
            <v/>
          </cell>
          <cell r="G6449" t="str">
            <v/>
          </cell>
          <cell r="J6449" t="str">
            <v/>
          </cell>
          <cell r="O6449" t="str">
            <v/>
          </cell>
          <cell r="P6449" t="str">
            <v/>
          </cell>
          <cell r="Q6449" t="str">
            <v/>
          </cell>
          <cell r="S6449" t="str">
            <v/>
          </cell>
          <cell r="V6449" t="str">
            <v/>
          </cell>
          <cell r="Z6449" t="str">
            <v/>
          </cell>
          <cell r="AA6449" t="str">
            <v/>
          </cell>
          <cell r="AB6449" t="str">
            <v/>
          </cell>
          <cell r="AC6449" t="str">
            <v/>
          </cell>
          <cell r="AD6449" t="str">
            <v/>
          </cell>
          <cell r="AY6449" t="str">
            <v/>
          </cell>
          <cell r="AZ6449" t="str">
            <v/>
          </cell>
          <cell r="BA6449" t="str">
            <v/>
          </cell>
        </row>
        <row r="6450">
          <cell r="B6450" t="str">
            <v>-</v>
          </cell>
          <cell r="E6450" t="str">
            <v/>
          </cell>
          <cell r="G6450" t="str">
            <v/>
          </cell>
          <cell r="J6450" t="str">
            <v/>
          </cell>
          <cell r="O6450" t="str">
            <v/>
          </cell>
          <cell r="P6450" t="str">
            <v/>
          </cell>
          <cell r="Q6450" t="str">
            <v/>
          </cell>
          <cell r="S6450" t="str">
            <v/>
          </cell>
          <cell r="V6450" t="str">
            <v/>
          </cell>
          <cell r="Z6450" t="str">
            <v/>
          </cell>
          <cell r="AA6450" t="str">
            <v/>
          </cell>
          <cell r="AB6450" t="str">
            <v/>
          </cell>
          <cell r="AC6450" t="str">
            <v/>
          </cell>
          <cell r="AD6450" t="str">
            <v/>
          </cell>
          <cell r="AY6450" t="str">
            <v/>
          </cell>
          <cell r="AZ6450" t="str">
            <v/>
          </cell>
          <cell r="BA6450" t="str">
            <v/>
          </cell>
        </row>
        <row r="6451">
          <cell r="B6451" t="str">
            <v>-</v>
          </cell>
          <cell r="E6451" t="str">
            <v/>
          </cell>
          <cell r="G6451" t="str">
            <v/>
          </cell>
          <cell r="J6451" t="str">
            <v/>
          </cell>
          <cell r="O6451" t="str">
            <v/>
          </cell>
          <cell r="P6451" t="str">
            <v/>
          </cell>
          <cell r="Q6451" t="str">
            <v/>
          </cell>
          <cell r="S6451" t="str">
            <v/>
          </cell>
          <cell r="V6451" t="str">
            <v/>
          </cell>
          <cell r="Z6451" t="str">
            <v/>
          </cell>
          <cell r="AA6451" t="str">
            <v/>
          </cell>
          <cell r="AB6451" t="str">
            <v/>
          </cell>
          <cell r="AC6451" t="str">
            <v/>
          </cell>
          <cell r="AD6451" t="str">
            <v/>
          </cell>
          <cell r="AY6451" t="str">
            <v/>
          </cell>
          <cell r="AZ6451" t="str">
            <v/>
          </cell>
          <cell r="BA6451" t="str">
            <v/>
          </cell>
        </row>
        <row r="6452">
          <cell r="B6452" t="str">
            <v>-</v>
          </cell>
          <cell r="E6452" t="str">
            <v/>
          </cell>
          <cell r="G6452" t="str">
            <v/>
          </cell>
          <cell r="J6452" t="str">
            <v/>
          </cell>
          <cell r="O6452" t="str">
            <v/>
          </cell>
          <cell r="P6452" t="str">
            <v/>
          </cell>
          <cell r="Q6452" t="str">
            <v/>
          </cell>
          <cell r="S6452" t="str">
            <v/>
          </cell>
          <cell r="V6452" t="str">
            <v/>
          </cell>
          <cell r="Z6452" t="str">
            <v/>
          </cell>
          <cell r="AA6452" t="str">
            <v/>
          </cell>
          <cell r="AB6452" t="str">
            <v/>
          </cell>
          <cell r="AC6452" t="str">
            <v/>
          </cell>
          <cell r="AD6452" t="str">
            <v/>
          </cell>
          <cell r="AY6452" t="str">
            <v/>
          </cell>
          <cell r="AZ6452" t="str">
            <v/>
          </cell>
          <cell r="BA6452" t="str">
            <v/>
          </cell>
        </row>
        <row r="6453">
          <cell r="B6453" t="str">
            <v>-</v>
          </cell>
          <cell r="E6453" t="str">
            <v/>
          </cell>
          <cell r="G6453" t="str">
            <v/>
          </cell>
          <cell r="J6453" t="str">
            <v/>
          </cell>
          <cell r="O6453" t="str">
            <v/>
          </cell>
          <cell r="P6453" t="str">
            <v/>
          </cell>
          <cell r="Q6453" t="str">
            <v/>
          </cell>
          <cell r="S6453" t="str">
            <v/>
          </cell>
          <cell r="V6453" t="str">
            <v/>
          </cell>
          <cell r="Z6453" t="str">
            <v/>
          </cell>
          <cell r="AA6453" t="str">
            <v/>
          </cell>
          <cell r="AB6453" t="str">
            <v/>
          </cell>
          <cell r="AC6453" t="str">
            <v/>
          </cell>
          <cell r="AD6453" t="str">
            <v/>
          </cell>
          <cell r="AY6453" t="str">
            <v/>
          </cell>
          <cell r="AZ6453" t="str">
            <v/>
          </cell>
          <cell r="BA6453" t="str">
            <v/>
          </cell>
        </row>
        <row r="6454">
          <cell r="B6454" t="str">
            <v>-</v>
          </cell>
          <cell r="E6454" t="str">
            <v/>
          </cell>
          <cell r="G6454" t="str">
            <v/>
          </cell>
          <cell r="J6454" t="str">
            <v/>
          </cell>
          <cell r="O6454" t="str">
            <v/>
          </cell>
          <cell r="P6454" t="str">
            <v/>
          </cell>
          <cell r="Q6454" t="str">
            <v/>
          </cell>
          <cell r="S6454" t="str">
            <v/>
          </cell>
          <cell r="V6454" t="str">
            <v/>
          </cell>
          <cell r="Z6454" t="str">
            <v/>
          </cell>
          <cell r="AA6454" t="str">
            <v/>
          </cell>
          <cell r="AB6454" t="str">
            <v/>
          </cell>
          <cell r="AC6454" t="str">
            <v/>
          </cell>
          <cell r="AD6454" t="str">
            <v/>
          </cell>
          <cell r="AY6454" t="str">
            <v/>
          </cell>
          <cell r="AZ6454" t="str">
            <v/>
          </cell>
          <cell r="BA6454" t="str">
            <v/>
          </cell>
        </row>
        <row r="6455">
          <cell r="B6455" t="str">
            <v>-</v>
          </cell>
          <cell r="E6455" t="str">
            <v/>
          </cell>
          <cell r="G6455" t="str">
            <v/>
          </cell>
          <cell r="J6455" t="str">
            <v/>
          </cell>
          <cell r="O6455" t="str">
            <v/>
          </cell>
          <cell r="P6455" t="str">
            <v/>
          </cell>
          <cell r="Q6455" t="str">
            <v/>
          </cell>
          <cell r="S6455" t="str">
            <v/>
          </cell>
          <cell r="V6455" t="str">
            <v/>
          </cell>
          <cell r="Z6455" t="str">
            <v/>
          </cell>
          <cell r="AA6455" t="str">
            <v/>
          </cell>
          <cell r="AB6455" t="str">
            <v/>
          </cell>
          <cell r="AC6455" t="str">
            <v/>
          </cell>
          <cell r="AD6455" t="str">
            <v/>
          </cell>
          <cell r="AY6455" t="str">
            <v/>
          </cell>
          <cell r="AZ6455" t="str">
            <v/>
          </cell>
          <cell r="BA6455" t="str">
            <v/>
          </cell>
        </row>
        <row r="6456">
          <cell r="B6456" t="str">
            <v>-</v>
          </cell>
          <cell r="E6456" t="str">
            <v/>
          </cell>
          <cell r="G6456" t="str">
            <v/>
          </cell>
          <cell r="J6456" t="str">
            <v/>
          </cell>
          <cell r="O6456" t="str">
            <v/>
          </cell>
          <cell r="P6456" t="str">
            <v/>
          </cell>
          <cell r="Q6456" t="str">
            <v/>
          </cell>
          <cell r="S6456" t="str">
            <v/>
          </cell>
          <cell r="V6456" t="str">
            <v/>
          </cell>
          <cell r="Z6456" t="str">
            <v/>
          </cell>
          <cell r="AA6456" t="str">
            <v/>
          </cell>
          <cell r="AB6456" t="str">
            <v/>
          </cell>
          <cell r="AC6456" t="str">
            <v/>
          </cell>
          <cell r="AD6456" t="str">
            <v/>
          </cell>
          <cell r="AY6456" t="str">
            <v/>
          </cell>
          <cell r="AZ6456" t="str">
            <v/>
          </cell>
          <cell r="BA6456" t="str">
            <v/>
          </cell>
        </row>
        <row r="6457">
          <cell r="B6457" t="str">
            <v>-</v>
          </cell>
          <cell r="E6457" t="str">
            <v/>
          </cell>
          <cell r="G6457" t="str">
            <v/>
          </cell>
          <cell r="J6457" t="str">
            <v/>
          </cell>
          <cell r="O6457" t="str">
            <v/>
          </cell>
          <cell r="P6457" t="str">
            <v/>
          </cell>
          <cell r="Q6457" t="str">
            <v/>
          </cell>
          <cell r="S6457" t="str">
            <v/>
          </cell>
          <cell r="V6457" t="str">
            <v/>
          </cell>
          <cell r="Z6457" t="str">
            <v/>
          </cell>
          <cell r="AA6457" t="str">
            <v/>
          </cell>
          <cell r="AB6457" t="str">
            <v/>
          </cell>
          <cell r="AC6457" t="str">
            <v/>
          </cell>
          <cell r="AD6457" t="str">
            <v/>
          </cell>
          <cell r="AY6457" t="str">
            <v/>
          </cell>
          <cell r="AZ6457" t="str">
            <v/>
          </cell>
          <cell r="BA6457" t="str">
            <v/>
          </cell>
        </row>
        <row r="6458">
          <cell r="B6458" t="str">
            <v>-</v>
          </cell>
          <cell r="E6458" t="str">
            <v/>
          </cell>
          <cell r="G6458" t="str">
            <v/>
          </cell>
          <cell r="J6458" t="str">
            <v/>
          </cell>
          <cell r="O6458" t="str">
            <v/>
          </cell>
          <cell r="P6458" t="str">
            <v/>
          </cell>
          <cell r="Q6458" t="str">
            <v/>
          </cell>
          <cell r="S6458" t="str">
            <v/>
          </cell>
          <cell r="V6458" t="str">
            <v/>
          </cell>
          <cell r="Z6458" t="str">
            <v/>
          </cell>
          <cell r="AA6458" t="str">
            <v/>
          </cell>
          <cell r="AB6458" t="str">
            <v/>
          </cell>
          <cell r="AC6458" t="str">
            <v/>
          </cell>
          <cell r="AD6458" t="str">
            <v/>
          </cell>
          <cell r="AY6458" t="str">
            <v/>
          </cell>
          <cell r="AZ6458" t="str">
            <v/>
          </cell>
          <cell r="BA6458" t="str">
            <v/>
          </cell>
        </row>
        <row r="6459">
          <cell r="B6459" t="str">
            <v>-</v>
          </cell>
          <cell r="E6459" t="str">
            <v/>
          </cell>
          <cell r="G6459" t="str">
            <v/>
          </cell>
          <cell r="J6459" t="str">
            <v/>
          </cell>
          <cell r="O6459" t="str">
            <v/>
          </cell>
          <cell r="P6459" t="str">
            <v/>
          </cell>
          <cell r="Q6459" t="str">
            <v/>
          </cell>
          <cell r="S6459" t="str">
            <v/>
          </cell>
          <cell r="V6459" t="str">
            <v/>
          </cell>
          <cell r="Z6459" t="str">
            <v/>
          </cell>
          <cell r="AA6459" t="str">
            <v/>
          </cell>
          <cell r="AB6459" t="str">
            <v/>
          </cell>
          <cell r="AC6459" t="str">
            <v/>
          </cell>
          <cell r="AD6459" t="str">
            <v/>
          </cell>
          <cell r="AY6459" t="str">
            <v/>
          </cell>
          <cell r="AZ6459" t="str">
            <v/>
          </cell>
          <cell r="BA6459" t="str">
            <v/>
          </cell>
        </row>
        <row r="6460">
          <cell r="B6460" t="str">
            <v>-</v>
          </cell>
          <cell r="E6460" t="str">
            <v/>
          </cell>
          <cell r="G6460" t="str">
            <v/>
          </cell>
          <cell r="J6460" t="str">
            <v/>
          </cell>
          <cell r="O6460" t="str">
            <v/>
          </cell>
          <cell r="P6460" t="str">
            <v/>
          </cell>
          <cell r="Q6460" t="str">
            <v/>
          </cell>
          <cell r="S6460" t="str">
            <v/>
          </cell>
          <cell r="V6460" t="str">
            <v/>
          </cell>
          <cell r="Z6460" t="str">
            <v/>
          </cell>
          <cell r="AA6460" t="str">
            <v/>
          </cell>
          <cell r="AB6460" t="str">
            <v/>
          </cell>
          <cell r="AC6460" t="str">
            <v/>
          </cell>
          <cell r="AD6460" t="str">
            <v/>
          </cell>
          <cell r="AY6460" t="str">
            <v/>
          </cell>
          <cell r="AZ6460" t="str">
            <v/>
          </cell>
          <cell r="BA6460" t="str">
            <v/>
          </cell>
        </row>
        <row r="6461">
          <cell r="B6461" t="str">
            <v>-</v>
          </cell>
          <cell r="E6461" t="str">
            <v/>
          </cell>
          <cell r="G6461" t="str">
            <v/>
          </cell>
          <cell r="J6461" t="str">
            <v/>
          </cell>
          <cell r="O6461" t="str">
            <v/>
          </cell>
          <cell r="P6461" t="str">
            <v/>
          </cell>
          <cell r="Q6461" t="str">
            <v/>
          </cell>
          <cell r="S6461" t="str">
            <v/>
          </cell>
          <cell r="V6461" t="str">
            <v/>
          </cell>
          <cell r="Z6461" t="str">
            <v/>
          </cell>
          <cell r="AA6461" t="str">
            <v/>
          </cell>
          <cell r="AB6461" t="str">
            <v/>
          </cell>
          <cell r="AC6461" t="str">
            <v/>
          </cell>
          <cell r="AD6461" t="str">
            <v/>
          </cell>
          <cell r="AY6461" t="str">
            <v/>
          </cell>
          <cell r="AZ6461" t="str">
            <v/>
          </cell>
          <cell r="BA6461" t="str">
            <v/>
          </cell>
        </row>
        <row r="6462">
          <cell r="B6462" t="str">
            <v>-</v>
          </cell>
          <cell r="E6462" t="str">
            <v/>
          </cell>
          <cell r="G6462" t="str">
            <v/>
          </cell>
          <cell r="J6462" t="str">
            <v/>
          </cell>
          <cell r="O6462" t="str">
            <v/>
          </cell>
          <cell r="P6462" t="str">
            <v/>
          </cell>
          <cell r="Q6462" t="str">
            <v/>
          </cell>
          <cell r="S6462" t="str">
            <v/>
          </cell>
          <cell r="V6462" t="str">
            <v/>
          </cell>
          <cell r="Z6462" t="str">
            <v/>
          </cell>
          <cell r="AA6462" t="str">
            <v/>
          </cell>
          <cell r="AB6462" t="str">
            <v/>
          </cell>
          <cell r="AC6462" t="str">
            <v/>
          </cell>
          <cell r="AD6462" t="str">
            <v/>
          </cell>
          <cell r="AY6462" t="str">
            <v/>
          </cell>
          <cell r="AZ6462" t="str">
            <v/>
          </cell>
          <cell r="BA6462" t="str">
            <v/>
          </cell>
        </row>
        <row r="6463">
          <cell r="B6463" t="str">
            <v>-</v>
          </cell>
          <cell r="E6463" t="str">
            <v/>
          </cell>
          <cell r="G6463" t="str">
            <v/>
          </cell>
          <cell r="J6463" t="str">
            <v/>
          </cell>
          <cell r="O6463" t="str">
            <v/>
          </cell>
          <cell r="P6463" t="str">
            <v/>
          </cell>
          <cell r="Q6463" t="str">
            <v/>
          </cell>
          <cell r="S6463" t="str">
            <v/>
          </cell>
          <cell r="V6463" t="str">
            <v/>
          </cell>
          <cell r="Z6463" t="str">
            <v/>
          </cell>
          <cell r="AA6463" t="str">
            <v/>
          </cell>
          <cell r="AB6463" t="str">
            <v/>
          </cell>
          <cell r="AC6463" t="str">
            <v/>
          </cell>
          <cell r="AD6463" t="str">
            <v/>
          </cell>
          <cell r="AY6463" t="str">
            <v/>
          </cell>
          <cell r="AZ6463" t="str">
            <v/>
          </cell>
          <cell r="BA6463" t="str">
            <v/>
          </cell>
        </row>
        <row r="6464">
          <cell r="B6464" t="str">
            <v>-</v>
          </cell>
          <cell r="E6464" t="str">
            <v/>
          </cell>
          <cell r="G6464" t="str">
            <v/>
          </cell>
          <cell r="J6464" t="str">
            <v/>
          </cell>
          <cell r="O6464" t="str">
            <v/>
          </cell>
          <cell r="P6464" t="str">
            <v/>
          </cell>
          <cell r="Q6464" t="str">
            <v/>
          </cell>
          <cell r="S6464" t="str">
            <v/>
          </cell>
          <cell r="V6464" t="str">
            <v/>
          </cell>
          <cell r="Z6464" t="str">
            <v/>
          </cell>
          <cell r="AA6464" t="str">
            <v/>
          </cell>
          <cell r="AB6464" t="str">
            <v/>
          </cell>
          <cell r="AC6464" t="str">
            <v/>
          </cell>
          <cell r="AD6464" t="str">
            <v/>
          </cell>
          <cell r="AY6464" t="str">
            <v/>
          </cell>
          <cell r="AZ6464" t="str">
            <v/>
          </cell>
          <cell r="BA6464" t="str">
            <v/>
          </cell>
        </row>
        <row r="6465">
          <cell r="B6465" t="str">
            <v>-</v>
          </cell>
          <cell r="E6465" t="str">
            <v/>
          </cell>
          <cell r="G6465" t="str">
            <v/>
          </cell>
          <cell r="J6465" t="str">
            <v/>
          </cell>
          <cell r="O6465" t="str">
            <v/>
          </cell>
          <cell r="P6465" t="str">
            <v/>
          </cell>
          <cell r="Q6465" t="str">
            <v/>
          </cell>
          <cell r="S6465" t="str">
            <v/>
          </cell>
          <cell r="V6465" t="str">
            <v/>
          </cell>
          <cell r="Z6465" t="str">
            <v/>
          </cell>
          <cell r="AA6465" t="str">
            <v/>
          </cell>
          <cell r="AB6465" t="str">
            <v/>
          </cell>
          <cell r="AC6465" t="str">
            <v/>
          </cell>
          <cell r="AD6465" t="str">
            <v/>
          </cell>
          <cell r="AY6465" t="str">
            <v/>
          </cell>
          <cell r="AZ6465" t="str">
            <v/>
          </cell>
          <cell r="BA6465" t="str">
            <v/>
          </cell>
        </row>
        <row r="6466">
          <cell r="B6466" t="str">
            <v>-</v>
          </cell>
          <cell r="E6466" t="str">
            <v/>
          </cell>
          <cell r="G6466" t="str">
            <v/>
          </cell>
          <cell r="J6466" t="str">
            <v/>
          </cell>
          <cell r="O6466" t="str">
            <v/>
          </cell>
          <cell r="P6466" t="str">
            <v/>
          </cell>
          <cell r="Q6466" t="str">
            <v/>
          </cell>
          <cell r="S6466" t="str">
            <v/>
          </cell>
          <cell r="V6466" t="str">
            <v/>
          </cell>
          <cell r="Z6466" t="str">
            <v/>
          </cell>
          <cell r="AA6466" t="str">
            <v/>
          </cell>
          <cell r="AB6466" t="str">
            <v/>
          </cell>
          <cell r="AC6466" t="str">
            <v/>
          </cell>
          <cell r="AD6466" t="str">
            <v/>
          </cell>
          <cell r="AY6466" t="str">
            <v/>
          </cell>
          <cell r="AZ6466" t="str">
            <v/>
          </cell>
          <cell r="BA6466" t="str">
            <v/>
          </cell>
        </row>
        <row r="6467">
          <cell r="B6467" t="str">
            <v>-</v>
          </cell>
          <cell r="E6467" t="str">
            <v/>
          </cell>
          <cell r="G6467" t="str">
            <v/>
          </cell>
          <cell r="J6467" t="str">
            <v/>
          </cell>
          <cell r="O6467" t="str">
            <v/>
          </cell>
          <cell r="P6467" t="str">
            <v/>
          </cell>
          <cell r="Q6467" t="str">
            <v/>
          </cell>
          <cell r="S6467" t="str">
            <v/>
          </cell>
          <cell r="V6467" t="str">
            <v/>
          </cell>
          <cell r="Z6467" t="str">
            <v/>
          </cell>
          <cell r="AA6467" t="str">
            <v/>
          </cell>
          <cell r="AB6467" t="str">
            <v/>
          </cell>
          <cell r="AC6467" t="str">
            <v/>
          </cell>
          <cell r="AD6467" t="str">
            <v/>
          </cell>
          <cell r="AY6467" t="str">
            <v/>
          </cell>
          <cell r="AZ6467" t="str">
            <v/>
          </cell>
          <cell r="BA6467" t="str">
            <v/>
          </cell>
        </row>
        <row r="6468">
          <cell r="B6468" t="str">
            <v>-</v>
          </cell>
          <cell r="E6468" t="str">
            <v/>
          </cell>
          <cell r="G6468" t="str">
            <v/>
          </cell>
          <cell r="J6468" t="str">
            <v/>
          </cell>
          <cell r="O6468" t="str">
            <v/>
          </cell>
          <cell r="P6468" t="str">
            <v/>
          </cell>
          <cell r="Q6468" t="str">
            <v/>
          </cell>
          <cell r="S6468" t="str">
            <v/>
          </cell>
          <cell r="V6468" t="str">
            <v/>
          </cell>
          <cell r="Z6468" t="str">
            <v/>
          </cell>
          <cell r="AA6468" t="str">
            <v/>
          </cell>
          <cell r="AB6468" t="str">
            <v/>
          </cell>
          <cell r="AC6468" t="str">
            <v/>
          </cell>
          <cell r="AD6468" t="str">
            <v/>
          </cell>
          <cell r="AY6468" t="str">
            <v/>
          </cell>
          <cell r="AZ6468" t="str">
            <v/>
          </cell>
          <cell r="BA6468" t="str">
            <v/>
          </cell>
        </row>
        <row r="6469">
          <cell r="B6469" t="str">
            <v>-</v>
          </cell>
          <cell r="E6469" t="str">
            <v/>
          </cell>
          <cell r="G6469" t="str">
            <v/>
          </cell>
          <cell r="J6469" t="str">
            <v/>
          </cell>
          <cell r="O6469" t="str">
            <v/>
          </cell>
          <cell r="P6469" t="str">
            <v/>
          </cell>
          <cell r="Q6469" t="str">
            <v/>
          </cell>
          <cell r="S6469" t="str">
            <v/>
          </cell>
          <cell r="V6469" t="str">
            <v/>
          </cell>
          <cell r="Z6469" t="str">
            <v/>
          </cell>
          <cell r="AA6469" t="str">
            <v/>
          </cell>
          <cell r="AB6469" t="str">
            <v/>
          </cell>
          <cell r="AC6469" t="str">
            <v/>
          </cell>
          <cell r="AD6469" t="str">
            <v/>
          </cell>
          <cell r="AY6469" t="str">
            <v/>
          </cell>
          <cell r="AZ6469" t="str">
            <v/>
          </cell>
          <cell r="BA6469" t="str">
            <v/>
          </cell>
        </row>
        <row r="6470">
          <cell r="B6470" t="str">
            <v>-</v>
          </cell>
          <cell r="E6470" t="str">
            <v/>
          </cell>
          <cell r="G6470" t="str">
            <v/>
          </cell>
          <cell r="J6470" t="str">
            <v/>
          </cell>
          <cell r="O6470" t="str">
            <v/>
          </cell>
          <cell r="P6470" t="str">
            <v/>
          </cell>
          <cell r="Q6470" t="str">
            <v/>
          </cell>
          <cell r="S6470" t="str">
            <v/>
          </cell>
          <cell r="V6470" t="str">
            <v/>
          </cell>
          <cell r="Z6470" t="str">
            <v/>
          </cell>
          <cell r="AA6470" t="str">
            <v/>
          </cell>
          <cell r="AB6470" t="str">
            <v/>
          </cell>
          <cell r="AC6470" t="str">
            <v/>
          </cell>
          <cell r="AD6470" t="str">
            <v/>
          </cell>
          <cell r="AY6470" t="str">
            <v/>
          </cell>
          <cell r="AZ6470" t="str">
            <v/>
          </cell>
          <cell r="BA6470" t="str">
            <v/>
          </cell>
        </row>
        <row r="6471">
          <cell r="B6471" t="str">
            <v>-</v>
          </cell>
          <cell r="E6471" t="str">
            <v/>
          </cell>
          <cell r="G6471" t="str">
            <v/>
          </cell>
          <cell r="J6471" t="str">
            <v/>
          </cell>
          <cell r="O6471" t="str">
            <v/>
          </cell>
          <cell r="P6471" t="str">
            <v/>
          </cell>
          <cell r="Q6471" t="str">
            <v/>
          </cell>
          <cell r="S6471" t="str">
            <v/>
          </cell>
          <cell r="V6471" t="str">
            <v/>
          </cell>
          <cell r="Z6471" t="str">
            <v/>
          </cell>
          <cell r="AA6471" t="str">
            <v/>
          </cell>
          <cell r="AB6471" t="str">
            <v/>
          </cell>
          <cell r="AC6471" t="str">
            <v/>
          </cell>
          <cell r="AD6471" t="str">
            <v/>
          </cell>
          <cell r="AY6471" t="str">
            <v/>
          </cell>
          <cell r="AZ6471" t="str">
            <v/>
          </cell>
          <cell r="BA6471" t="str">
            <v/>
          </cell>
        </row>
        <row r="6472">
          <cell r="B6472" t="str">
            <v>-</v>
          </cell>
          <cell r="E6472" t="str">
            <v/>
          </cell>
          <cell r="G6472" t="str">
            <v/>
          </cell>
          <cell r="J6472" t="str">
            <v/>
          </cell>
          <cell r="O6472" t="str">
            <v/>
          </cell>
          <cell r="P6472" t="str">
            <v/>
          </cell>
          <cell r="Q6472" t="str">
            <v/>
          </cell>
          <cell r="S6472" t="str">
            <v/>
          </cell>
          <cell r="V6472" t="str">
            <v/>
          </cell>
          <cell r="Z6472" t="str">
            <v/>
          </cell>
          <cell r="AA6472" t="str">
            <v/>
          </cell>
          <cell r="AB6472" t="str">
            <v/>
          </cell>
          <cell r="AC6472" t="str">
            <v/>
          </cell>
          <cell r="AD6472" t="str">
            <v/>
          </cell>
          <cell r="AY6472" t="str">
            <v/>
          </cell>
          <cell r="AZ6472" t="str">
            <v/>
          </cell>
          <cell r="BA6472" t="str">
            <v/>
          </cell>
        </row>
        <row r="6473">
          <cell r="B6473" t="str">
            <v>-</v>
          </cell>
          <cell r="E6473" t="str">
            <v/>
          </cell>
          <cell r="G6473" t="str">
            <v/>
          </cell>
          <cell r="J6473" t="str">
            <v/>
          </cell>
          <cell r="O6473" t="str">
            <v/>
          </cell>
          <cell r="P6473" t="str">
            <v/>
          </cell>
          <cell r="Q6473" t="str">
            <v/>
          </cell>
          <cell r="S6473" t="str">
            <v/>
          </cell>
          <cell r="V6473" t="str">
            <v/>
          </cell>
          <cell r="Z6473" t="str">
            <v/>
          </cell>
          <cell r="AA6473" t="str">
            <v/>
          </cell>
          <cell r="AB6473" t="str">
            <v/>
          </cell>
          <cell r="AC6473" t="str">
            <v/>
          </cell>
          <cell r="AD6473" t="str">
            <v/>
          </cell>
          <cell r="AY6473" t="str">
            <v/>
          </cell>
          <cell r="AZ6473" t="str">
            <v/>
          </cell>
          <cell r="BA6473" t="str">
            <v/>
          </cell>
        </row>
        <row r="6474">
          <cell r="B6474" t="str">
            <v>-</v>
          </cell>
          <cell r="E6474" t="str">
            <v/>
          </cell>
          <cell r="G6474" t="str">
            <v/>
          </cell>
          <cell r="J6474" t="str">
            <v/>
          </cell>
          <cell r="O6474" t="str">
            <v/>
          </cell>
          <cell r="P6474" t="str">
            <v/>
          </cell>
          <cell r="Q6474" t="str">
            <v/>
          </cell>
          <cell r="S6474" t="str">
            <v/>
          </cell>
          <cell r="V6474" t="str">
            <v/>
          </cell>
          <cell r="Z6474" t="str">
            <v/>
          </cell>
          <cell r="AA6474" t="str">
            <v/>
          </cell>
          <cell r="AB6474" t="str">
            <v/>
          </cell>
          <cell r="AC6474" t="str">
            <v/>
          </cell>
          <cell r="AD6474" t="str">
            <v/>
          </cell>
          <cell r="AY6474" t="str">
            <v/>
          </cell>
          <cell r="AZ6474" t="str">
            <v/>
          </cell>
          <cell r="BA6474" t="str">
            <v/>
          </cell>
        </row>
        <row r="6475">
          <cell r="B6475" t="str">
            <v>-</v>
          </cell>
          <cell r="E6475" t="str">
            <v/>
          </cell>
          <cell r="G6475" t="str">
            <v/>
          </cell>
          <cell r="J6475" t="str">
            <v/>
          </cell>
          <cell r="O6475" t="str">
            <v/>
          </cell>
          <cell r="P6475" t="str">
            <v/>
          </cell>
          <cell r="Q6475" t="str">
            <v/>
          </cell>
          <cell r="S6475" t="str">
            <v/>
          </cell>
          <cell r="V6475" t="str">
            <v/>
          </cell>
          <cell r="Z6475" t="str">
            <v/>
          </cell>
          <cell r="AA6475" t="str">
            <v/>
          </cell>
          <cell r="AB6475" t="str">
            <v/>
          </cell>
          <cell r="AC6475" t="str">
            <v/>
          </cell>
          <cell r="AD6475" t="str">
            <v/>
          </cell>
          <cell r="AY6475" t="str">
            <v/>
          </cell>
          <cell r="AZ6475" t="str">
            <v/>
          </cell>
          <cell r="BA6475" t="str">
            <v/>
          </cell>
        </row>
        <row r="6476">
          <cell r="B6476" t="str">
            <v>-</v>
          </cell>
          <cell r="E6476" t="str">
            <v/>
          </cell>
          <cell r="G6476" t="str">
            <v/>
          </cell>
          <cell r="J6476" t="str">
            <v/>
          </cell>
          <cell r="O6476" t="str">
            <v/>
          </cell>
          <cell r="P6476" t="str">
            <v/>
          </cell>
          <cell r="Q6476" t="str">
            <v/>
          </cell>
          <cell r="S6476" t="str">
            <v/>
          </cell>
          <cell r="V6476" t="str">
            <v/>
          </cell>
          <cell r="Z6476" t="str">
            <v/>
          </cell>
          <cell r="AA6476" t="str">
            <v/>
          </cell>
          <cell r="AB6476" t="str">
            <v/>
          </cell>
          <cell r="AC6476" t="str">
            <v/>
          </cell>
          <cell r="AD6476" t="str">
            <v/>
          </cell>
          <cell r="AY6476" t="str">
            <v/>
          </cell>
          <cell r="AZ6476" t="str">
            <v/>
          </cell>
          <cell r="BA6476" t="str">
            <v/>
          </cell>
        </row>
        <row r="6477">
          <cell r="B6477" t="str">
            <v>-</v>
          </cell>
          <cell r="E6477" t="str">
            <v/>
          </cell>
          <cell r="G6477" t="str">
            <v/>
          </cell>
          <cell r="J6477" t="str">
            <v/>
          </cell>
          <cell r="O6477" t="str">
            <v/>
          </cell>
          <cell r="P6477" t="str">
            <v/>
          </cell>
          <cell r="Q6477" t="str">
            <v/>
          </cell>
          <cell r="S6477" t="str">
            <v/>
          </cell>
          <cell r="V6477" t="str">
            <v/>
          </cell>
          <cell r="Z6477" t="str">
            <v/>
          </cell>
          <cell r="AA6477" t="str">
            <v/>
          </cell>
          <cell r="AB6477" t="str">
            <v/>
          </cell>
          <cell r="AC6477" t="str">
            <v/>
          </cell>
          <cell r="AD6477" t="str">
            <v/>
          </cell>
          <cell r="AY6477" t="str">
            <v/>
          </cell>
          <cell r="AZ6477" t="str">
            <v/>
          </cell>
          <cell r="BA6477" t="str">
            <v/>
          </cell>
        </row>
        <row r="6478">
          <cell r="B6478" t="str">
            <v>-</v>
          </cell>
          <cell r="E6478" t="str">
            <v/>
          </cell>
          <cell r="G6478" t="str">
            <v/>
          </cell>
          <cell r="J6478" t="str">
            <v/>
          </cell>
          <cell r="O6478" t="str">
            <v/>
          </cell>
          <cell r="P6478" t="str">
            <v/>
          </cell>
          <cell r="Q6478" t="str">
            <v/>
          </cell>
          <cell r="S6478" t="str">
            <v/>
          </cell>
          <cell r="V6478" t="str">
            <v/>
          </cell>
          <cell r="Z6478" t="str">
            <v/>
          </cell>
          <cell r="AA6478" t="str">
            <v/>
          </cell>
          <cell r="AB6478" t="str">
            <v/>
          </cell>
          <cell r="AC6478" t="str">
            <v/>
          </cell>
          <cell r="AD6478" t="str">
            <v/>
          </cell>
          <cell r="AY6478" t="str">
            <v/>
          </cell>
          <cell r="AZ6478" t="str">
            <v/>
          </cell>
          <cell r="BA6478" t="str">
            <v/>
          </cell>
        </row>
        <row r="6479">
          <cell r="B6479" t="str">
            <v>-</v>
          </cell>
          <cell r="E6479" t="str">
            <v/>
          </cell>
          <cell r="G6479" t="str">
            <v/>
          </cell>
          <cell r="J6479" t="str">
            <v/>
          </cell>
          <cell r="O6479" t="str">
            <v/>
          </cell>
          <cell r="P6479" t="str">
            <v/>
          </cell>
          <cell r="Q6479" t="str">
            <v/>
          </cell>
          <cell r="S6479" t="str">
            <v/>
          </cell>
          <cell r="V6479" t="str">
            <v/>
          </cell>
          <cell r="Z6479" t="str">
            <v/>
          </cell>
          <cell r="AA6479" t="str">
            <v/>
          </cell>
          <cell r="AB6479" t="str">
            <v/>
          </cell>
          <cell r="AC6479" t="str">
            <v/>
          </cell>
          <cell r="AD6479" t="str">
            <v/>
          </cell>
          <cell r="AY6479" t="str">
            <v/>
          </cell>
          <cell r="AZ6479" t="str">
            <v/>
          </cell>
          <cell r="BA6479" t="str">
            <v/>
          </cell>
        </row>
        <row r="6480">
          <cell r="B6480" t="str">
            <v>-</v>
          </cell>
          <cell r="E6480" t="str">
            <v/>
          </cell>
          <cell r="G6480" t="str">
            <v/>
          </cell>
          <cell r="J6480" t="str">
            <v/>
          </cell>
          <cell r="O6480" t="str">
            <v/>
          </cell>
          <cell r="P6480" t="str">
            <v/>
          </cell>
          <cell r="Q6480" t="str">
            <v/>
          </cell>
          <cell r="S6480" t="str">
            <v/>
          </cell>
          <cell r="V6480" t="str">
            <v/>
          </cell>
          <cell r="Z6480" t="str">
            <v/>
          </cell>
          <cell r="AA6480" t="str">
            <v/>
          </cell>
          <cell r="AB6480" t="str">
            <v/>
          </cell>
          <cell r="AC6480" t="str">
            <v/>
          </cell>
          <cell r="AD6480" t="str">
            <v/>
          </cell>
          <cell r="AY6480" t="str">
            <v/>
          </cell>
          <cell r="AZ6480" t="str">
            <v/>
          </cell>
          <cell r="BA6480" t="str">
            <v/>
          </cell>
        </row>
        <row r="6481">
          <cell r="B6481" t="str">
            <v>-</v>
          </cell>
          <cell r="E6481" t="str">
            <v/>
          </cell>
          <cell r="G6481" t="str">
            <v/>
          </cell>
          <cell r="J6481" t="str">
            <v/>
          </cell>
          <cell r="O6481" t="str">
            <v/>
          </cell>
          <cell r="P6481" t="str">
            <v/>
          </cell>
          <cell r="Q6481" t="str">
            <v/>
          </cell>
          <cell r="S6481" t="str">
            <v/>
          </cell>
          <cell r="V6481" t="str">
            <v/>
          </cell>
          <cell r="Z6481" t="str">
            <v/>
          </cell>
          <cell r="AA6481" t="str">
            <v/>
          </cell>
          <cell r="AB6481" t="str">
            <v/>
          </cell>
          <cell r="AC6481" t="str">
            <v/>
          </cell>
          <cell r="AD6481" t="str">
            <v/>
          </cell>
          <cell r="AY6481" t="str">
            <v/>
          </cell>
          <cell r="AZ6481" t="str">
            <v/>
          </cell>
          <cell r="BA6481" t="str">
            <v/>
          </cell>
        </row>
        <row r="6482">
          <cell r="B6482" t="str">
            <v>-</v>
          </cell>
          <cell r="E6482" t="str">
            <v/>
          </cell>
          <cell r="G6482" t="str">
            <v/>
          </cell>
          <cell r="J6482" t="str">
            <v/>
          </cell>
          <cell r="O6482" t="str">
            <v/>
          </cell>
          <cell r="P6482" t="str">
            <v/>
          </cell>
          <cell r="Q6482" t="str">
            <v/>
          </cell>
          <cell r="S6482" t="str">
            <v/>
          </cell>
          <cell r="V6482" t="str">
            <v/>
          </cell>
          <cell r="Z6482" t="str">
            <v/>
          </cell>
          <cell r="AA6482" t="str">
            <v/>
          </cell>
          <cell r="AB6482" t="str">
            <v/>
          </cell>
          <cell r="AC6482" t="str">
            <v/>
          </cell>
          <cell r="AD6482" t="str">
            <v/>
          </cell>
          <cell r="AY6482" t="str">
            <v/>
          </cell>
          <cell r="AZ6482" t="str">
            <v/>
          </cell>
          <cell r="BA6482" t="str">
            <v/>
          </cell>
        </row>
        <row r="6483">
          <cell r="B6483" t="str">
            <v>-</v>
          </cell>
          <cell r="E6483" t="str">
            <v/>
          </cell>
          <cell r="G6483" t="str">
            <v/>
          </cell>
          <cell r="J6483" t="str">
            <v/>
          </cell>
          <cell r="O6483" t="str">
            <v/>
          </cell>
          <cell r="P6483" t="str">
            <v/>
          </cell>
          <cell r="Q6483" t="str">
            <v/>
          </cell>
          <cell r="S6483" t="str">
            <v/>
          </cell>
          <cell r="V6483" t="str">
            <v/>
          </cell>
          <cell r="Z6483" t="str">
            <v/>
          </cell>
          <cell r="AA6483" t="str">
            <v/>
          </cell>
          <cell r="AB6483" t="str">
            <v/>
          </cell>
          <cell r="AC6483" t="str">
            <v/>
          </cell>
          <cell r="AD6483" t="str">
            <v/>
          </cell>
          <cell r="AY6483" t="str">
            <v/>
          </cell>
          <cell r="AZ6483" t="str">
            <v/>
          </cell>
          <cell r="BA6483" t="str">
            <v/>
          </cell>
        </row>
        <row r="6484">
          <cell r="B6484" t="str">
            <v>-</v>
          </cell>
          <cell r="E6484" t="str">
            <v/>
          </cell>
          <cell r="G6484" t="str">
            <v/>
          </cell>
          <cell r="J6484" t="str">
            <v/>
          </cell>
          <cell r="O6484" t="str">
            <v/>
          </cell>
          <cell r="P6484" t="str">
            <v/>
          </cell>
          <cell r="Q6484" t="str">
            <v/>
          </cell>
          <cell r="S6484" t="str">
            <v/>
          </cell>
          <cell r="V6484" t="str">
            <v/>
          </cell>
          <cell r="Z6484" t="str">
            <v/>
          </cell>
          <cell r="AA6484" t="str">
            <v/>
          </cell>
          <cell r="AB6484" t="str">
            <v/>
          </cell>
          <cell r="AC6484" t="str">
            <v/>
          </cell>
          <cell r="AD6484" t="str">
            <v/>
          </cell>
          <cell r="AY6484" t="str">
            <v/>
          </cell>
          <cell r="AZ6484" t="str">
            <v/>
          </cell>
          <cell r="BA6484" t="str">
            <v/>
          </cell>
        </row>
        <row r="6485">
          <cell r="B6485" t="str">
            <v>-</v>
          </cell>
          <cell r="E6485" t="str">
            <v/>
          </cell>
          <cell r="G6485" t="str">
            <v/>
          </cell>
          <cell r="J6485" t="str">
            <v/>
          </cell>
          <cell r="O6485" t="str">
            <v/>
          </cell>
          <cell r="P6485" t="str">
            <v/>
          </cell>
          <cell r="Q6485" t="str">
            <v/>
          </cell>
          <cell r="S6485" t="str">
            <v/>
          </cell>
          <cell r="V6485" t="str">
            <v/>
          </cell>
          <cell r="Z6485" t="str">
            <v/>
          </cell>
          <cell r="AA6485" t="str">
            <v/>
          </cell>
          <cell r="AB6485" t="str">
            <v/>
          </cell>
          <cell r="AC6485" t="str">
            <v/>
          </cell>
          <cell r="AD6485" t="str">
            <v/>
          </cell>
          <cell r="AY6485" t="str">
            <v/>
          </cell>
          <cell r="AZ6485" t="str">
            <v/>
          </cell>
          <cell r="BA6485" t="str">
            <v/>
          </cell>
        </row>
        <row r="6486">
          <cell r="B6486" t="str">
            <v>-</v>
          </cell>
          <cell r="E6486" t="str">
            <v/>
          </cell>
          <cell r="G6486" t="str">
            <v/>
          </cell>
          <cell r="J6486" t="str">
            <v/>
          </cell>
          <cell r="O6486" t="str">
            <v/>
          </cell>
          <cell r="P6486" t="str">
            <v/>
          </cell>
          <cell r="Q6486" t="str">
            <v/>
          </cell>
          <cell r="S6486" t="str">
            <v/>
          </cell>
          <cell r="V6486" t="str">
            <v/>
          </cell>
          <cell r="Z6486" t="str">
            <v/>
          </cell>
          <cell r="AA6486" t="str">
            <v/>
          </cell>
          <cell r="AB6486" t="str">
            <v/>
          </cell>
          <cell r="AC6486" t="str">
            <v/>
          </cell>
          <cell r="AD6486" t="str">
            <v/>
          </cell>
          <cell r="AY6486" t="str">
            <v/>
          </cell>
          <cell r="AZ6486" t="str">
            <v/>
          </cell>
          <cell r="BA6486" t="str">
            <v/>
          </cell>
        </row>
        <row r="6487">
          <cell r="B6487" t="str">
            <v>-</v>
          </cell>
          <cell r="E6487" t="str">
            <v/>
          </cell>
          <cell r="G6487" t="str">
            <v/>
          </cell>
          <cell r="J6487" t="str">
            <v/>
          </cell>
          <cell r="O6487" t="str">
            <v/>
          </cell>
          <cell r="P6487" t="str">
            <v/>
          </cell>
          <cell r="Q6487" t="str">
            <v/>
          </cell>
          <cell r="S6487" t="str">
            <v/>
          </cell>
          <cell r="V6487" t="str">
            <v/>
          </cell>
          <cell r="Z6487" t="str">
            <v/>
          </cell>
          <cell r="AA6487" t="str">
            <v/>
          </cell>
          <cell r="AB6487" t="str">
            <v/>
          </cell>
          <cell r="AC6487" t="str">
            <v/>
          </cell>
          <cell r="AD6487" t="str">
            <v/>
          </cell>
          <cell r="AY6487" t="str">
            <v/>
          </cell>
          <cell r="AZ6487" t="str">
            <v/>
          </cell>
          <cell r="BA6487" t="str">
            <v/>
          </cell>
        </row>
        <row r="6488">
          <cell r="B6488" t="str">
            <v>-</v>
          </cell>
          <cell r="E6488" t="str">
            <v/>
          </cell>
          <cell r="G6488" t="str">
            <v/>
          </cell>
          <cell r="J6488" t="str">
            <v/>
          </cell>
          <cell r="O6488" t="str">
            <v/>
          </cell>
          <cell r="P6488" t="str">
            <v/>
          </cell>
          <cell r="Q6488" t="str">
            <v/>
          </cell>
          <cell r="S6488" t="str">
            <v/>
          </cell>
          <cell r="V6488" t="str">
            <v/>
          </cell>
          <cell r="Z6488" t="str">
            <v/>
          </cell>
          <cell r="AA6488" t="str">
            <v/>
          </cell>
          <cell r="AB6488" t="str">
            <v/>
          </cell>
          <cell r="AC6488" t="str">
            <v/>
          </cell>
          <cell r="AD6488" t="str">
            <v/>
          </cell>
          <cell r="AY6488" t="str">
            <v/>
          </cell>
          <cell r="AZ6488" t="str">
            <v/>
          </cell>
          <cell r="BA6488" t="str">
            <v/>
          </cell>
        </row>
        <row r="6489">
          <cell r="B6489" t="str">
            <v>-</v>
          </cell>
          <cell r="E6489" t="str">
            <v/>
          </cell>
          <cell r="G6489" t="str">
            <v/>
          </cell>
          <cell r="J6489" t="str">
            <v/>
          </cell>
          <cell r="O6489" t="str">
            <v/>
          </cell>
          <cell r="P6489" t="str">
            <v/>
          </cell>
          <cell r="Q6489" t="str">
            <v/>
          </cell>
          <cell r="S6489" t="str">
            <v/>
          </cell>
          <cell r="V6489" t="str">
            <v/>
          </cell>
          <cell r="Z6489" t="str">
            <v/>
          </cell>
          <cell r="AA6489" t="str">
            <v/>
          </cell>
          <cell r="AB6489" t="str">
            <v/>
          </cell>
          <cell r="AC6489" t="str">
            <v/>
          </cell>
          <cell r="AD6489" t="str">
            <v/>
          </cell>
          <cell r="AY6489" t="str">
            <v/>
          </cell>
          <cell r="AZ6489" t="str">
            <v/>
          </cell>
          <cell r="BA6489" t="str">
            <v/>
          </cell>
        </row>
        <row r="6490">
          <cell r="B6490" t="str">
            <v>-</v>
          </cell>
          <cell r="E6490" t="str">
            <v/>
          </cell>
          <cell r="G6490" t="str">
            <v/>
          </cell>
          <cell r="J6490" t="str">
            <v/>
          </cell>
          <cell r="O6490" t="str">
            <v/>
          </cell>
          <cell r="P6490" t="str">
            <v/>
          </cell>
          <cell r="Q6490" t="str">
            <v/>
          </cell>
          <cell r="S6490" t="str">
            <v/>
          </cell>
          <cell r="V6490" t="str">
            <v/>
          </cell>
          <cell r="Z6490" t="str">
            <v/>
          </cell>
          <cell r="AA6490" t="str">
            <v/>
          </cell>
          <cell r="AB6490" t="str">
            <v/>
          </cell>
          <cell r="AC6490" t="str">
            <v/>
          </cell>
          <cell r="AD6490" t="str">
            <v/>
          </cell>
          <cell r="AY6490" t="str">
            <v/>
          </cell>
          <cell r="AZ6490" t="str">
            <v/>
          </cell>
          <cell r="BA6490" t="str">
            <v/>
          </cell>
        </row>
        <row r="6491">
          <cell r="B6491" t="str">
            <v>-</v>
          </cell>
          <cell r="E6491" t="str">
            <v/>
          </cell>
          <cell r="G6491" t="str">
            <v/>
          </cell>
          <cell r="J6491" t="str">
            <v/>
          </cell>
          <cell r="O6491" t="str">
            <v/>
          </cell>
          <cell r="P6491" t="str">
            <v/>
          </cell>
          <cell r="Q6491" t="str">
            <v/>
          </cell>
          <cell r="S6491" t="str">
            <v/>
          </cell>
          <cell r="V6491" t="str">
            <v/>
          </cell>
          <cell r="Z6491" t="str">
            <v/>
          </cell>
          <cell r="AA6491" t="str">
            <v/>
          </cell>
          <cell r="AB6491" t="str">
            <v/>
          </cell>
          <cell r="AC6491" t="str">
            <v/>
          </cell>
          <cell r="AD6491" t="str">
            <v/>
          </cell>
          <cell r="AY6491" t="str">
            <v/>
          </cell>
          <cell r="AZ6491" t="str">
            <v/>
          </cell>
          <cell r="BA6491" t="str">
            <v/>
          </cell>
        </row>
        <row r="6492">
          <cell r="B6492" t="str">
            <v>-</v>
          </cell>
          <cell r="E6492" t="str">
            <v/>
          </cell>
          <cell r="G6492" t="str">
            <v/>
          </cell>
          <cell r="J6492" t="str">
            <v/>
          </cell>
          <cell r="O6492" t="str">
            <v/>
          </cell>
          <cell r="P6492" t="str">
            <v/>
          </cell>
          <cell r="Q6492" t="str">
            <v/>
          </cell>
          <cell r="S6492" t="str">
            <v/>
          </cell>
          <cell r="V6492" t="str">
            <v/>
          </cell>
          <cell r="Z6492" t="str">
            <v/>
          </cell>
          <cell r="AA6492" t="str">
            <v/>
          </cell>
          <cell r="AB6492" t="str">
            <v/>
          </cell>
          <cell r="AC6492" t="str">
            <v/>
          </cell>
          <cell r="AD6492" t="str">
            <v/>
          </cell>
          <cell r="AY6492" t="str">
            <v/>
          </cell>
          <cell r="AZ6492" t="str">
            <v/>
          </cell>
          <cell r="BA6492" t="str">
            <v/>
          </cell>
        </row>
        <row r="6493">
          <cell r="B6493" t="str">
            <v>-</v>
          </cell>
          <cell r="E6493" t="str">
            <v/>
          </cell>
          <cell r="G6493" t="str">
            <v/>
          </cell>
          <cell r="J6493" t="str">
            <v/>
          </cell>
          <cell r="O6493" t="str">
            <v/>
          </cell>
          <cell r="P6493" t="str">
            <v/>
          </cell>
          <cell r="Q6493" t="str">
            <v/>
          </cell>
          <cell r="S6493" t="str">
            <v/>
          </cell>
          <cell r="V6493" t="str">
            <v/>
          </cell>
          <cell r="Z6493" t="str">
            <v/>
          </cell>
          <cell r="AA6493" t="str">
            <v/>
          </cell>
          <cell r="AB6493" t="str">
            <v/>
          </cell>
          <cell r="AC6493" t="str">
            <v/>
          </cell>
          <cell r="AD6493" t="str">
            <v/>
          </cell>
          <cell r="AY6493" t="str">
            <v/>
          </cell>
          <cell r="AZ6493" t="str">
            <v/>
          </cell>
          <cell r="BA6493" t="str">
            <v/>
          </cell>
        </row>
        <row r="6494">
          <cell r="B6494" t="str">
            <v>-</v>
          </cell>
          <cell r="E6494" t="str">
            <v/>
          </cell>
          <cell r="G6494" t="str">
            <v/>
          </cell>
          <cell r="J6494" t="str">
            <v/>
          </cell>
          <cell r="O6494" t="str">
            <v/>
          </cell>
          <cell r="P6494" t="str">
            <v/>
          </cell>
          <cell r="Q6494" t="str">
            <v/>
          </cell>
          <cell r="S6494" t="str">
            <v/>
          </cell>
          <cell r="V6494" t="str">
            <v/>
          </cell>
          <cell r="Z6494" t="str">
            <v/>
          </cell>
          <cell r="AA6494" t="str">
            <v/>
          </cell>
          <cell r="AB6494" t="str">
            <v/>
          </cell>
          <cell r="AC6494" t="str">
            <v/>
          </cell>
          <cell r="AD6494" t="str">
            <v/>
          </cell>
          <cell r="AY6494" t="str">
            <v/>
          </cell>
          <cell r="AZ6494" t="str">
            <v/>
          </cell>
          <cell r="BA6494" t="str">
            <v/>
          </cell>
        </row>
        <row r="6495">
          <cell r="B6495" t="str">
            <v>-</v>
          </cell>
          <cell r="E6495" t="str">
            <v/>
          </cell>
          <cell r="G6495" t="str">
            <v/>
          </cell>
          <cell r="J6495" t="str">
            <v/>
          </cell>
          <cell r="O6495" t="str">
            <v/>
          </cell>
          <cell r="P6495" t="str">
            <v/>
          </cell>
          <cell r="Q6495" t="str">
            <v/>
          </cell>
          <cell r="S6495" t="str">
            <v/>
          </cell>
          <cell r="V6495" t="str">
            <v/>
          </cell>
          <cell r="Z6495" t="str">
            <v/>
          </cell>
          <cell r="AA6495" t="str">
            <v/>
          </cell>
          <cell r="AB6495" t="str">
            <v/>
          </cell>
          <cell r="AC6495" t="str">
            <v/>
          </cell>
          <cell r="AD6495" t="str">
            <v/>
          </cell>
          <cell r="AY6495" t="str">
            <v/>
          </cell>
          <cell r="AZ6495" t="str">
            <v/>
          </cell>
          <cell r="BA6495" t="str">
            <v/>
          </cell>
        </row>
        <row r="6496">
          <cell r="B6496" t="str">
            <v>-</v>
          </cell>
          <cell r="E6496" t="str">
            <v/>
          </cell>
          <cell r="G6496" t="str">
            <v/>
          </cell>
          <cell r="J6496" t="str">
            <v/>
          </cell>
          <cell r="O6496" t="str">
            <v/>
          </cell>
          <cell r="P6496" t="str">
            <v/>
          </cell>
          <cell r="Q6496" t="str">
            <v/>
          </cell>
          <cell r="S6496" t="str">
            <v/>
          </cell>
          <cell r="V6496" t="str">
            <v/>
          </cell>
          <cell r="Z6496" t="str">
            <v/>
          </cell>
          <cell r="AA6496" t="str">
            <v/>
          </cell>
          <cell r="AB6496" t="str">
            <v/>
          </cell>
          <cell r="AC6496" t="str">
            <v/>
          </cell>
          <cell r="AD6496" t="str">
            <v/>
          </cell>
          <cell r="AY6496" t="str">
            <v/>
          </cell>
          <cell r="AZ6496" t="str">
            <v/>
          </cell>
          <cell r="BA6496" t="str">
            <v/>
          </cell>
        </row>
        <row r="6497">
          <cell r="B6497" t="str">
            <v>-</v>
          </cell>
          <cell r="E6497" t="str">
            <v/>
          </cell>
          <cell r="G6497" t="str">
            <v/>
          </cell>
          <cell r="J6497" t="str">
            <v/>
          </cell>
          <cell r="O6497" t="str">
            <v/>
          </cell>
          <cell r="P6497" t="str">
            <v/>
          </cell>
          <cell r="Q6497" t="str">
            <v/>
          </cell>
          <cell r="S6497" t="str">
            <v/>
          </cell>
          <cell r="V6497" t="str">
            <v/>
          </cell>
          <cell r="Z6497" t="str">
            <v/>
          </cell>
          <cell r="AA6497" t="str">
            <v/>
          </cell>
          <cell r="AB6497" t="str">
            <v/>
          </cell>
          <cell r="AC6497" t="str">
            <v/>
          </cell>
          <cell r="AD6497" t="str">
            <v/>
          </cell>
          <cell r="AY6497" t="str">
            <v/>
          </cell>
          <cell r="AZ6497" t="str">
            <v/>
          </cell>
          <cell r="BA6497" t="str">
            <v/>
          </cell>
        </row>
        <row r="6498">
          <cell r="B6498" t="str">
            <v>-</v>
          </cell>
          <cell r="E6498" t="str">
            <v/>
          </cell>
          <cell r="G6498" t="str">
            <v/>
          </cell>
          <cell r="J6498" t="str">
            <v/>
          </cell>
          <cell r="O6498" t="str">
            <v/>
          </cell>
          <cell r="P6498" t="str">
            <v/>
          </cell>
          <cell r="Q6498" t="str">
            <v/>
          </cell>
          <cell r="S6498" t="str">
            <v/>
          </cell>
          <cell r="V6498" t="str">
            <v/>
          </cell>
          <cell r="Z6498" t="str">
            <v/>
          </cell>
          <cell r="AA6498" t="str">
            <v/>
          </cell>
          <cell r="AB6498" t="str">
            <v/>
          </cell>
          <cell r="AC6498" t="str">
            <v/>
          </cell>
          <cell r="AD6498" t="str">
            <v/>
          </cell>
          <cell r="AY6498" t="str">
            <v/>
          </cell>
          <cell r="AZ6498" t="str">
            <v/>
          </cell>
          <cell r="BA6498" t="str">
            <v/>
          </cell>
        </row>
        <row r="6499">
          <cell r="B6499" t="str">
            <v>-</v>
          </cell>
          <cell r="E6499" t="str">
            <v/>
          </cell>
          <cell r="G6499" t="str">
            <v/>
          </cell>
          <cell r="J6499" t="str">
            <v/>
          </cell>
          <cell r="O6499" t="str">
            <v/>
          </cell>
          <cell r="P6499" t="str">
            <v/>
          </cell>
          <cell r="Q6499" t="str">
            <v/>
          </cell>
          <cell r="S6499" t="str">
            <v/>
          </cell>
          <cell r="V6499" t="str">
            <v/>
          </cell>
          <cell r="Z6499" t="str">
            <v/>
          </cell>
          <cell r="AA6499" t="str">
            <v/>
          </cell>
          <cell r="AB6499" t="str">
            <v/>
          </cell>
          <cell r="AC6499" t="str">
            <v/>
          </cell>
          <cell r="AD6499" t="str">
            <v/>
          </cell>
          <cell r="AY6499" t="str">
            <v/>
          </cell>
          <cell r="AZ6499" t="str">
            <v/>
          </cell>
          <cell r="BA6499" t="str">
            <v/>
          </cell>
        </row>
        <row r="6500">
          <cell r="B6500" t="str">
            <v>-</v>
          </cell>
          <cell r="E6500" t="str">
            <v/>
          </cell>
          <cell r="G6500" t="str">
            <v/>
          </cell>
          <cell r="J6500" t="str">
            <v/>
          </cell>
          <cell r="O6500" t="str">
            <v/>
          </cell>
          <cell r="P6500" t="str">
            <v/>
          </cell>
          <cell r="Q6500" t="str">
            <v/>
          </cell>
          <cell r="S6500" t="str">
            <v/>
          </cell>
          <cell r="V6500" t="str">
            <v/>
          </cell>
          <cell r="Z6500" t="str">
            <v/>
          </cell>
          <cell r="AA6500" t="str">
            <v/>
          </cell>
          <cell r="AB6500" t="str">
            <v/>
          </cell>
          <cell r="AC6500" t="str">
            <v/>
          </cell>
          <cell r="AD6500" t="str">
            <v/>
          </cell>
          <cell r="AY6500" t="str">
            <v/>
          </cell>
          <cell r="AZ6500" t="str">
            <v/>
          </cell>
          <cell r="BA6500" t="str">
            <v/>
          </cell>
        </row>
        <row r="6501">
          <cell r="B6501" t="str">
            <v>-</v>
          </cell>
          <cell r="E6501" t="str">
            <v/>
          </cell>
          <cell r="G6501" t="str">
            <v/>
          </cell>
          <cell r="J6501" t="str">
            <v/>
          </cell>
          <cell r="O6501" t="str">
            <v/>
          </cell>
          <cell r="P6501" t="str">
            <v/>
          </cell>
          <cell r="Q6501" t="str">
            <v/>
          </cell>
          <cell r="S6501" t="str">
            <v/>
          </cell>
          <cell r="V6501" t="str">
            <v/>
          </cell>
          <cell r="Z6501" t="str">
            <v/>
          </cell>
          <cell r="AA6501" t="str">
            <v/>
          </cell>
          <cell r="AB6501" t="str">
            <v/>
          </cell>
          <cell r="AC6501" t="str">
            <v/>
          </cell>
          <cell r="AD6501" t="str">
            <v/>
          </cell>
          <cell r="AY6501" t="str">
            <v/>
          </cell>
          <cell r="AZ6501" t="str">
            <v/>
          </cell>
          <cell r="BA6501" t="str">
            <v/>
          </cell>
        </row>
        <row r="6502">
          <cell r="B6502" t="str">
            <v>-</v>
          </cell>
          <cell r="E6502" t="str">
            <v/>
          </cell>
          <cell r="G6502" t="str">
            <v/>
          </cell>
          <cell r="J6502" t="str">
            <v/>
          </cell>
          <cell r="O6502" t="str">
            <v/>
          </cell>
          <cell r="P6502" t="str">
            <v/>
          </cell>
          <cell r="Q6502" t="str">
            <v/>
          </cell>
          <cell r="S6502" t="str">
            <v/>
          </cell>
          <cell r="V6502" t="str">
            <v/>
          </cell>
          <cell r="Z6502" t="str">
            <v/>
          </cell>
          <cell r="AA6502" t="str">
            <v/>
          </cell>
          <cell r="AB6502" t="str">
            <v/>
          </cell>
          <cell r="AC6502" t="str">
            <v/>
          </cell>
          <cell r="AD6502" t="str">
            <v/>
          </cell>
          <cell r="AY6502" t="str">
            <v/>
          </cell>
          <cell r="AZ6502" t="str">
            <v/>
          </cell>
          <cell r="BA6502" t="str">
            <v/>
          </cell>
        </row>
        <row r="6503">
          <cell r="B6503" t="str">
            <v>-</v>
          </cell>
          <cell r="E6503" t="str">
            <v/>
          </cell>
          <cell r="G6503" t="str">
            <v/>
          </cell>
          <cell r="J6503" t="str">
            <v/>
          </cell>
          <cell r="O6503" t="str">
            <v/>
          </cell>
          <cell r="P6503" t="str">
            <v/>
          </cell>
          <cell r="Q6503" t="str">
            <v/>
          </cell>
          <cell r="S6503" t="str">
            <v/>
          </cell>
          <cell r="V6503" t="str">
            <v/>
          </cell>
          <cell r="Z6503" t="str">
            <v/>
          </cell>
          <cell r="AA6503" t="str">
            <v/>
          </cell>
          <cell r="AB6503" t="str">
            <v/>
          </cell>
          <cell r="AC6503" t="str">
            <v/>
          </cell>
          <cell r="AD6503" t="str">
            <v/>
          </cell>
          <cell r="AY6503" t="str">
            <v/>
          </cell>
          <cell r="AZ6503" t="str">
            <v/>
          </cell>
          <cell r="BA6503" t="str">
            <v/>
          </cell>
        </row>
        <row r="6504">
          <cell r="B6504" t="str">
            <v>-</v>
          </cell>
          <cell r="E6504" t="str">
            <v/>
          </cell>
          <cell r="G6504" t="str">
            <v/>
          </cell>
          <cell r="J6504" t="str">
            <v/>
          </cell>
          <cell r="O6504" t="str">
            <v/>
          </cell>
          <cell r="P6504" t="str">
            <v/>
          </cell>
          <cell r="Q6504" t="str">
            <v/>
          </cell>
          <cell r="S6504" t="str">
            <v/>
          </cell>
          <cell r="V6504" t="str">
            <v/>
          </cell>
          <cell r="Z6504" t="str">
            <v/>
          </cell>
          <cell r="AA6504" t="str">
            <v/>
          </cell>
          <cell r="AB6504" t="str">
            <v/>
          </cell>
          <cell r="AC6504" t="str">
            <v/>
          </cell>
          <cell r="AD6504" t="str">
            <v/>
          </cell>
          <cell r="AY6504" t="str">
            <v/>
          </cell>
          <cell r="AZ6504" t="str">
            <v/>
          </cell>
          <cell r="BA6504" t="str">
            <v/>
          </cell>
        </row>
        <row r="6505">
          <cell r="B6505" t="str">
            <v>-</v>
          </cell>
          <cell r="E6505" t="str">
            <v/>
          </cell>
          <cell r="G6505" t="str">
            <v/>
          </cell>
          <cell r="J6505" t="str">
            <v/>
          </cell>
          <cell r="O6505" t="str">
            <v/>
          </cell>
          <cell r="P6505" t="str">
            <v/>
          </cell>
          <cell r="Q6505" t="str">
            <v/>
          </cell>
          <cell r="S6505" t="str">
            <v/>
          </cell>
          <cell r="V6505" t="str">
            <v/>
          </cell>
          <cell r="Z6505" t="str">
            <v/>
          </cell>
          <cell r="AA6505" t="str">
            <v/>
          </cell>
          <cell r="AB6505" t="str">
            <v/>
          </cell>
          <cell r="AC6505" t="str">
            <v/>
          </cell>
          <cell r="AD6505" t="str">
            <v/>
          </cell>
          <cell r="AY6505" t="str">
            <v/>
          </cell>
          <cell r="AZ6505" t="str">
            <v/>
          </cell>
          <cell r="BA6505" t="str">
            <v/>
          </cell>
        </row>
        <row r="6506">
          <cell r="B6506" t="str">
            <v>-</v>
          </cell>
          <cell r="E6506" t="str">
            <v/>
          </cell>
          <cell r="G6506" t="str">
            <v/>
          </cell>
          <cell r="J6506" t="str">
            <v/>
          </cell>
          <cell r="O6506" t="str">
            <v/>
          </cell>
          <cell r="P6506" t="str">
            <v/>
          </cell>
          <cell r="Q6506" t="str">
            <v/>
          </cell>
          <cell r="S6506" t="str">
            <v/>
          </cell>
          <cell r="V6506" t="str">
            <v/>
          </cell>
          <cell r="Z6506" t="str">
            <v/>
          </cell>
          <cell r="AA6506" t="str">
            <v/>
          </cell>
          <cell r="AB6506" t="str">
            <v/>
          </cell>
          <cell r="AC6506" t="str">
            <v/>
          </cell>
          <cell r="AD6506" t="str">
            <v/>
          </cell>
          <cell r="AY6506" t="str">
            <v/>
          </cell>
          <cell r="AZ6506" t="str">
            <v/>
          </cell>
          <cell r="BA6506" t="str">
            <v/>
          </cell>
        </row>
        <row r="6507">
          <cell r="B6507" t="str">
            <v>-</v>
          </cell>
          <cell r="E6507" t="str">
            <v/>
          </cell>
          <cell r="G6507" t="str">
            <v/>
          </cell>
          <cell r="J6507" t="str">
            <v/>
          </cell>
          <cell r="O6507" t="str">
            <v/>
          </cell>
          <cell r="P6507" t="str">
            <v/>
          </cell>
          <cell r="Q6507" t="str">
            <v/>
          </cell>
          <cell r="S6507" t="str">
            <v/>
          </cell>
          <cell r="V6507" t="str">
            <v/>
          </cell>
          <cell r="Z6507" t="str">
            <v/>
          </cell>
          <cell r="AA6507" t="str">
            <v/>
          </cell>
          <cell r="AB6507" t="str">
            <v/>
          </cell>
          <cell r="AC6507" t="str">
            <v/>
          </cell>
          <cell r="AD6507" t="str">
            <v/>
          </cell>
          <cell r="AY6507" t="str">
            <v/>
          </cell>
          <cell r="AZ6507" t="str">
            <v/>
          </cell>
          <cell r="BA6507" t="str">
            <v/>
          </cell>
        </row>
        <row r="6508">
          <cell r="B6508" t="str">
            <v>-</v>
          </cell>
          <cell r="E6508" t="str">
            <v/>
          </cell>
          <cell r="G6508" t="str">
            <v/>
          </cell>
          <cell r="J6508" t="str">
            <v/>
          </cell>
          <cell r="O6508" t="str">
            <v/>
          </cell>
          <cell r="P6508" t="str">
            <v/>
          </cell>
          <cell r="Q6508" t="str">
            <v/>
          </cell>
          <cell r="S6508" t="str">
            <v/>
          </cell>
          <cell r="V6508" t="str">
            <v/>
          </cell>
          <cell r="Z6508" t="str">
            <v/>
          </cell>
          <cell r="AA6508" t="str">
            <v/>
          </cell>
          <cell r="AB6508" t="str">
            <v/>
          </cell>
          <cell r="AC6508" t="str">
            <v/>
          </cell>
          <cell r="AD6508" t="str">
            <v/>
          </cell>
          <cell r="AY6508" t="str">
            <v/>
          </cell>
          <cell r="AZ6508" t="str">
            <v/>
          </cell>
          <cell r="BA6508" t="str">
            <v/>
          </cell>
        </row>
        <row r="6509">
          <cell r="B6509" t="str">
            <v>-</v>
          </cell>
          <cell r="E6509" t="str">
            <v/>
          </cell>
          <cell r="G6509" t="str">
            <v/>
          </cell>
          <cell r="J6509" t="str">
            <v/>
          </cell>
          <cell r="O6509" t="str">
            <v/>
          </cell>
          <cell r="P6509" t="str">
            <v/>
          </cell>
          <cell r="Q6509" t="str">
            <v/>
          </cell>
          <cell r="S6509" t="str">
            <v/>
          </cell>
          <cell r="V6509" t="str">
            <v/>
          </cell>
          <cell r="Z6509" t="str">
            <v/>
          </cell>
          <cell r="AA6509" t="str">
            <v/>
          </cell>
          <cell r="AB6509" t="str">
            <v/>
          </cell>
          <cell r="AC6509" t="str">
            <v/>
          </cell>
          <cell r="AD6509" t="str">
            <v/>
          </cell>
          <cell r="AY6509" t="str">
            <v/>
          </cell>
          <cell r="AZ6509" t="str">
            <v/>
          </cell>
          <cell r="BA6509" t="str">
            <v/>
          </cell>
        </row>
        <row r="6510">
          <cell r="B6510" t="str">
            <v>-</v>
          </cell>
          <cell r="E6510" t="str">
            <v/>
          </cell>
          <cell r="G6510" t="str">
            <v/>
          </cell>
          <cell r="J6510" t="str">
            <v/>
          </cell>
          <cell r="O6510" t="str">
            <v/>
          </cell>
          <cell r="P6510" t="str">
            <v/>
          </cell>
          <cell r="Q6510" t="str">
            <v/>
          </cell>
          <cell r="S6510" t="str">
            <v/>
          </cell>
          <cell r="V6510" t="str">
            <v/>
          </cell>
          <cell r="Z6510" t="str">
            <v/>
          </cell>
          <cell r="AA6510" t="str">
            <v/>
          </cell>
          <cell r="AB6510" t="str">
            <v/>
          </cell>
          <cell r="AC6510" t="str">
            <v/>
          </cell>
          <cell r="AD6510" t="str">
            <v/>
          </cell>
          <cell r="AY6510" t="str">
            <v/>
          </cell>
          <cell r="AZ6510" t="str">
            <v/>
          </cell>
          <cell r="BA6510" t="str">
            <v/>
          </cell>
        </row>
        <row r="6511">
          <cell r="B6511" t="str">
            <v>-</v>
          </cell>
          <cell r="E6511" t="str">
            <v/>
          </cell>
          <cell r="G6511" t="str">
            <v/>
          </cell>
          <cell r="J6511" t="str">
            <v/>
          </cell>
          <cell r="O6511" t="str">
            <v/>
          </cell>
          <cell r="P6511" t="str">
            <v/>
          </cell>
          <cell r="Q6511" t="str">
            <v/>
          </cell>
          <cell r="S6511" t="str">
            <v/>
          </cell>
          <cell r="V6511" t="str">
            <v/>
          </cell>
          <cell r="Z6511" t="str">
            <v/>
          </cell>
          <cell r="AA6511" t="str">
            <v/>
          </cell>
          <cell r="AB6511" t="str">
            <v/>
          </cell>
          <cell r="AC6511" t="str">
            <v/>
          </cell>
          <cell r="AD6511" t="str">
            <v/>
          </cell>
          <cell r="AY6511" t="str">
            <v/>
          </cell>
          <cell r="AZ6511" t="str">
            <v/>
          </cell>
          <cell r="BA6511" t="str">
            <v/>
          </cell>
        </row>
        <row r="6512">
          <cell r="B6512" t="str">
            <v>-</v>
          </cell>
          <cell r="E6512" t="str">
            <v/>
          </cell>
          <cell r="G6512" t="str">
            <v/>
          </cell>
          <cell r="J6512" t="str">
            <v/>
          </cell>
          <cell r="O6512" t="str">
            <v/>
          </cell>
          <cell r="P6512" t="str">
            <v/>
          </cell>
          <cell r="Q6512" t="str">
            <v/>
          </cell>
          <cell r="S6512" t="str">
            <v/>
          </cell>
          <cell r="V6512" t="str">
            <v/>
          </cell>
          <cell r="Z6512" t="str">
            <v/>
          </cell>
          <cell r="AA6512" t="str">
            <v/>
          </cell>
          <cell r="AB6512" t="str">
            <v/>
          </cell>
          <cell r="AC6512" t="str">
            <v/>
          </cell>
          <cell r="AD6512" t="str">
            <v/>
          </cell>
          <cell r="AY6512" t="str">
            <v/>
          </cell>
          <cell r="AZ6512" t="str">
            <v/>
          </cell>
          <cell r="BA6512" t="str">
            <v/>
          </cell>
        </row>
        <row r="6513">
          <cell r="B6513" t="str">
            <v>-</v>
          </cell>
          <cell r="E6513" t="str">
            <v/>
          </cell>
          <cell r="G6513" t="str">
            <v/>
          </cell>
          <cell r="J6513" t="str">
            <v/>
          </cell>
          <cell r="O6513" t="str">
            <v/>
          </cell>
          <cell r="P6513" t="str">
            <v/>
          </cell>
          <cell r="Q6513" t="str">
            <v/>
          </cell>
          <cell r="S6513" t="str">
            <v/>
          </cell>
          <cell r="V6513" t="str">
            <v/>
          </cell>
          <cell r="Z6513" t="str">
            <v/>
          </cell>
          <cell r="AA6513" t="str">
            <v/>
          </cell>
          <cell r="AB6513" t="str">
            <v/>
          </cell>
          <cell r="AC6513" t="str">
            <v/>
          </cell>
          <cell r="AD6513" t="str">
            <v/>
          </cell>
          <cell r="AY6513" t="str">
            <v/>
          </cell>
          <cell r="AZ6513" t="str">
            <v/>
          </cell>
          <cell r="BA6513" t="str">
            <v/>
          </cell>
        </row>
        <row r="6514">
          <cell r="B6514" t="str">
            <v>-</v>
          </cell>
          <cell r="E6514" t="str">
            <v/>
          </cell>
          <cell r="G6514" t="str">
            <v/>
          </cell>
          <cell r="J6514" t="str">
            <v/>
          </cell>
          <cell r="O6514" t="str">
            <v/>
          </cell>
          <cell r="P6514" t="str">
            <v/>
          </cell>
          <cell r="Q6514" t="str">
            <v/>
          </cell>
          <cell r="S6514" t="str">
            <v/>
          </cell>
          <cell r="V6514" t="str">
            <v/>
          </cell>
          <cell r="Z6514" t="str">
            <v/>
          </cell>
          <cell r="AA6514" t="str">
            <v/>
          </cell>
          <cell r="AB6514" t="str">
            <v/>
          </cell>
          <cell r="AC6514" t="str">
            <v/>
          </cell>
          <cell r="AD6514" t="str">
            <v/>
          </cell>
          <cell r="AY6514" t="str">
            <v/>
          </cell>
          <cell r="AZ6514" t="str">
            <v/>
          </cell>
          <cell r="BA6514" t="str">
            <v/>
          </cell>
        </row>
        <row r="6515">
          <cell r="B6515" t="str">
            <v>-</v>
          </cell>
          <cell r="E6515" t="str">
            <v/>
          </cell>
          <cell r="G6515" t="str">
            <v/>
          </cell>
          <cell r="J6515" t="str">
            <v/>
          </cell>
          <cell r="O6515" t="str">
            <v/>
          </cell>
          <cell r="P6515" t="str">
            <v/>
          </cell>
          <cell r="Q6515" t="str">
            <v/>
          </cell>
          <cell r="S6515" t="str">
            <v/>
          </cell>
          <cell r="V6515" t="str">
            <v/>
          </cell>
          <cell r="Z6515" t="str">
            <v/>
          </cell>
          <cell r="AA6515" t="str">
            <v/>
          </cell>
          <cell r="AB6515" t="str">
            <v/>
          </cell>
          <cell r="AC6515" t="str">
            <v/>
          </cell>
          <cell r="AD6515" t="str">
            <v/>
          </cell>
          <cell r="AY6515" t="str">
            <v/>
          </cell>
          <cell r="AZ6515" t="str">
            <v/>
          </cell>
          <cell r="BA6515" t="str">
            <v/>
          </cell>
        </row>
        <row r="6516">
          <cell r="B6516" t="str">
            <v>-</v>
          </cell>
          <cell r="E6516" t="str">
            <v/>
          </cell>
          <cell r="G6516" t="str">
            <v/>
          </cell>
          <cell r="J6516" t="str">
            <v/>
          </cell>
          <cell r="O6516" t="str">
            <v/>
          </cell>
          <cell r="P6516" t="str">
            <v/>
          </cell>
          <cell r="Q6516" t="str">
            <v/>
          </cell>
          <cell r="S6516" t="str">
            <v/>
          </cell>
          <cell r="V6516" t="str">
            <v/>
          </cell>
          <cell r="Z6516" t="str">
            <v/>
          </cell>
          <cell r="AA6516" t="str">
            <v/>
          </cell>
          <cell r="AB6516" t="str">
            <v/>
          </cell>
          <cell r="AC6516" t="str">
            <v/>
          </cell>
          <cell r="AD6516" t="str">
            <v/>
          </cell>
          <cell r="AY6516" t="str">
            <v/>
          </cell>
          <cell r="AZ6516" t="str">
            <v/>
          </cell>
          <cell r="BA6516" t="str">
            <v/>
          </cell>
        </row>
        <row r="6517">
          <cell r="B6517" t="str">
            <v>-</v>
          </cell>
          <cell r="E6517" t="str">
            <v/>
          </cell>
          <cell r="G6517" t="str">
            <v/>
          </cell>
          <cell r="J6517" t="str">
            <v/>
          </cell>
          <cell r="O6517" t="str">
            <v/>
          </cell>
          <cell r="P6517" t="str">
            <v/>
          </cell>
          <cell r="Q6517" t="str">
            <v/>
          </cell>
          <cell r="S6517" t="str">
            <v/>
          </cell>
          <cell r="V6517" t="str">
            <v/>
          </cell>
          <cell r="Z6517" t="str">
            <v/>
          </cell>
          <cell r="AA6517" t="str">
            <v/>
          </cell>
          <cell r="AB6517" t="str">
            <v/>
          </cell>
          <cell r="AC6517" t="str">
            <v/>
          </cell>
          <cell r="AD6517" t="str">
            <v/>
          </cell>
          <cell r="AY6517" t="str">
            <v/>
          </cell>
          <cell r="AZ6517" t="str">
            <v/>
          </cell>
          <cell r="BA6517" t="str">
            <v/>
          </cell>
        </row>
        <row r="6518">
          <cell r="B6518" t="str">
            <v>-</v>
          </cell>
          <cell r="E6518" t="str">
            <v/>
          </cell>
          <cell r="G6518" t="str">
            <v/>
          </cell>
          <cell r="J6518" t="str">
            <v/>
          </cell>
          <cell r="O6518" t="str">
            <v/>
          </cell>
          <cell r="P6518" t="str">
            <v/>
          </cell>
          <cell r="Q6518" t="str">
            <v/>
          </cell>
          <cell r="S6518" t="str">
            <v/>
          </cell>
          <cell r="V6518" t="str">
            <v/>
          </cell>
          <cell r="Z6518" t="str">
            <v/>
          </cell>
          <cell r="AA6518" t="str">
            <v/>
          </cell>
          <cell r="AB6518" t="str">
            <v/>
          </cell>
          <cell r="AC6518" t="str">
            <v/>
          </cell>
          <cell r="AD6518" t="str">
            <v/>
          </cell>
          <cell r="AY6518" t="str">
            <v/>
          </cell>
          <cell r="AZ6518" t="str">
            <v/>
          </cell>
          <cell r="BA6518" t="str">
            <v/>
          </cell>
        </row>
        <row r="6519">
          <cell r="B6519" t="str">
            <v>-</v>
          </cell>
          <cell r="E6519" t="str">
            <v/>
          </cell>
          <cell r="G6519" t="str">
            <v/>
          </cell>
          <cell r="J6519" t="str">
            <v/>
          </cell>
          <cell r="O6519" t="str">
            <v/>
          </cell>
          <cell r="P6519" t="str">
            <v/>
          </cell>
          <cell r="Q6519" t="str">
            <v/>
          </cell>
          <cell r="S6519" t="str">
            <v/>
          </cell>
          <cell r="V6519" t="str">
            <v/>
          </cell>
          <cell r="Z6519" t="str">
            <v/>
          </cell>
          <cell r="AA6519" t="str">
            <v/>
          </cell>
          <cell r="AB6519" t="str">
            <v/>
          </cell>
          <cell r="AC6519" t="str">
            <v/>
          </cell>
          <cell r="AD6519" t="str">
            <v/>
          </cell>
          <cell r="AY6519" t="str">
            <v/>
          </cell>
          <cell r="AZ6519" t="str">
            <v/>
          </cell>
          <cell r="BA6519" t="str">
            <v/>
          </cell>
        </row>
        <row r="6520">
          <cell r="B6520" t="str">
            <v>-</v>
          </cell>
          <cell r="E6520" t="str">
            <v/>
          </cell>
          <cell r="G6520" t="str">
            <v/>
          </cell>
          <cell r="J6520" t="str">
            <v/>
          </cell>
          <cell r="O6520" t="str">
            <v/>
          </cell>
          <cell r="P6520" t="str">
            <v/>
          </cell>
          <cell r="Q6520" t="str">
            <v/>
          </cell>
          <cell r="S6520" t="str">
            <v/>
          </cell>
          <cell r="V6520" t="str">
            <v/>
          </cell>
          <cell r="Z6520" t="str">
            <v/>
          </cell>
          <cell r="AA6520" t="str">
            <v/>
          </cell>
          <cell r="AB6520" t="str">
            <v/>
          </cell>
          <cell r="AC6520" t="str">
            <v/>
          </cell>
          <cell r="AD6520" t="str">
            <v/>
          </cell>
          <cell r="AY6520" t="str">
            <v/>
          </cell>
          <cell r="AZ6520" t="str">
            <v/>
          </cell>
          <cell r="BA6520" t="str">
            <v/>
          </cell>
        </row>
        <row r="6521">
          <cell r="B6521" t="str">
            <v>-</v>
          </cell>
          <cell r="E6521" t="str">
            <v/>
          </cell>
          <cell r="G6521" t="str">
            <v/>
          </cell>
          <cell r="J6521" t="str">
            <v/>
          </cell>
          <cell r="O6521" t="str">
            <v/>
          </cell>
          <cell r="P6521" t="str">
            <v/>
          </cell>
          <cell r="Q6521" t="str">
            <v/>
          </cell>
          <cell r="S6521" t="str">
            <v/>
          </cell>
          <cell r="V6521" t="str">
            <v/>
          </cell>
          <cell r="Z6521" t="str">
            <v/>
          </cell>
          <cell r="AA6521" t="str">
            <v/>
          </cell>
          <cell r="AB6521" t="str">
            <v/>
          </cell>
          <cell r="AC6521" t="str">
            <v/>
          </cell>
          <cell r="AD6521" t="str">
            <v/>
          </cell>
          <cell r="AY6521" t="str">
            <v/>
          </cell>
          <cell r="AZ6521" t="str">
            <v/>
          </cell>
          <cell r="BA6521" t="str">
            <v/>
          </cell>
        </row>
        <row r="6522">
          <cell r="B6522" t="str">
            <v>-</v>
          </cell>
          <cell r="E6522" t="str">
            <v/>
          </cell>
          <cell r="G6522" t="str">
            <v/>
          </cell>
          <cell r="J6522" t="str">
            <v/>
          </cell>
          <cell r="O6522" t="str">
            <v/>
          </cell>
          <cell r="P6522" t="str">
            <v/>
          </cell>
          <cell r="Q6522" t="str">
            <v/>
          </cell>
          <cell r="S6522" t="str">
            <v/>
          </cell>
          <cell r="V6522" t="str">
            <v/>
          </cell>
          <cell r="Z6522" t="str">
            <v/>
          </cell>
          <cell r="AA6522" t="str">
            <v/>
          </cell>
          <cell r="AB6522" t="str">
            <v/>
          </cell>
          <cell r="AC6522" t="str">
            <v/>
          </cell>
          <cell r="AD6522" t="str">
            <v/>
          </cell>
          <cell r="AY6522" t="str">
            <v/>
          </cell>
          <cell r="AZ6522" t="str">
            <v/>
          </cell>
          <cell r="BA6522" t="str">
            <v/>
          </cell>
        </row>
        <row r="6523">
          <cell r="B6523" t="str">
            <v>-</v>
          </cell>
          <cell r="E6523" t="str">
            <v/>
          </cell>
          <cell r="G6523" t="str">
            <v/>
          </cell>
          <cell r="J6523" t="str">
            <v/>
          </cell>
          <cell r="O6523" t="str">
            <v/>
          </cell>
          <cell r="P6523" t="str">
            <v/>
          </cell>
          <cell r="Q6523" t="str">
            <v/>
          </cell>
          <cell r="S6523" t="str">
            <v/>
          </cell>
          <cell r="V6523" t="str">
            <v/>
          </cell>
          <cell r="Z6523" t="str">
            <v/>
          </cell>
          <cell r="AA6523" t="str">
            <v/>
          </cell>
          <cell r="AB6523" t="str">
            <v/>
          </cell>
          <cell r="AC6523" t="str">
            <v/>
          </cell>
          <cell r="AD6523" t="str">
            <v/>
          </cell>
          <cell r="AY6523" t="str">
            <v/>
          </cell>
          <cell r="AZ6523" t="str">
            <v/>
          </cell>
          <cell r="BA6523" t="str">
            <v/>
          </cell>
        </row>
        <row r="6524">
          <cell r="B6524" t="str">
            <v>-</v>
          </cell>
          <cell r="E6524" t="str">
            <v/>
          </cell>
          <cell r="G6524" t="str">
            <v/>
          </cell>
          <cell r="J6524" t="str">
            <v/>
          </cell>
          <cell r="O6524" t="str">
            <v/>
          </cell>
          <cell r="P6524" t="str">
            <v/>
          </cell>
          <cell r="Q6524" t="str">
            <v/>
          </cell>
          <cell r="S6524" t="str">
            <v/>
          </cell>
          <cell r="V6524" t="str">
            <v/>
          </cell>
          <cell r="Z6524" t="str">
            <v/>
          </cell>
          <cell r="AA6524" t="str">
            <v/>
          </cell>
          <cell r="AB6524" t="str">
            <v/>
          </cell>
          <cell r="AC6524" t="str">
            <v/>
          </cell>
          <cell r="AD6524" t="str">
            <v/>
          </cell>
          <cell r="AY6524" t="str">
            <v/>
          </cell>
          <cell r="AZ6524" t="str">
            <v/>
          </cell>
          <cell r="BA6524" t="str">
            <v/>
          </cell>
        </row>
        <row r="6525">
          <cell r="B6525" t="str">
            <v>-</v>
          </cell>
          <cell r="E6525" t="str">
            <v/>
          </cell>
          <cell r="G6525" t="str">
            <v/>
          </cell>
          <cell r="J6525" t="str">
            <v/>
          </cell>
          <cell r="O6525" t="str">
            <v/>
          </cell>
          <cell r="P6525" t="str">
            <v/>
          </cell>
          <cell r="Q6525" t="str">
            <v/>
          </cell>
          <cell r="S6525" t="str">
            <v/>
          </cell>
          <cell r="V6525" t="str">
            <v/>
          </cell>
          <cell r="Z6525" t="str">
            <v/>
          </cell>
          <cell r="AA6525" t="str">
            <v/>
          </cell>
          <cell r="AB6525" t="str">
            <v/>
          </cell>
          <cell r="AC6525" t="str">
            <v/>
          </cell>
          <cell r="AD6525" t="str">
            <v/>
          </cell>
          <cell r="AY6525" t="str">
            <v/>
          </cell>
          <cell r="AZ6525" t="str">
            <v/>
          </cell>
          <cell r="BA6525" t="str">
            <v/>
          </cell>
        </row>
        <row r="6526">
          <cell r="B6526" t="str">
            <v>-</v>
          </cell>
          <cell r="E6526" t="str">
            <v/>
          </cell>
          <cell r="G6526" t="str">
            <v/>
          </cell>
          <cell r="J6526" t="str">
            <v/>
          </cell>
          <cell r="O6526" t="str">
            <v/>
          </cell>
          <cell r="P6526" t="str">
            <v/>
          </cell>
          <cell r="Q6526" t="str">
            <v/>
          </cell>
          <cell r="S6526" t="str">
            <v/>
          </cell>
          <cell r="V6526" t="str">
            <v/>
          </cell>
          <cell r="Z6526" t="str">
            <v/>
          </cell>
          <cell r="AA6526" t="str">
            <v/>
          </cell>
          <cell r="AB6526" t="str">
            <v/>
          </cell>
          <cell r="AC6526" t="str">
            <v/>
          </cell>
          <cell r="AD6526" t="str">
            <v/>
          </cell>
          <cell r="AY6526" t="str">
            <v/>
          </cell>
          <cell r="AZ6526" t="str">
            <v/>
          </cell>
          <cell r="BA6526" t="str">
            <v/>
          </cell>
        </row>
        <row r="6527">
          <cell r="B6527" t="str">
            <v>-</v>
          </cell>
          <cell r="E6527" t="str">
            <v/>
          </cell>
          <cell r="G6527" t="str">
            <v/>
          </cell>
          <cell r="J6527" t="str">
            <v/>
          </cell>
          <cell r="O6527" t="str">
            <v/>
          </cell>
          <cell r="P6527" t="str">
            <v/>
          </cell>
          <cell r="Q6527" t="str">
            <v/>
          </cell>
          <cell r="S6527" t="str">
            <v/>
          </cell>
          <cell r="V6527" t="str">
            <v/>
          </cell>
          <cell r="Z6527" t="str">
            <v/>
          </cell>
          <cell r="AA6527" t="str">
            <v/>
          </cell>
          <cell r="AB6527" t="str">
            <v/>
          </cell>
          <cell r="AC6527" t="str">
            <v/>
          </cell>
          <cell r="AD6527" t="str">
            <v/>
          </cell>
          <cell r="AY6527" t="str">
            <v/>
          </cell>
          <cell r="AZ6527" t="str">
            <v/>
          </cell>
          <cell r="BA6527" t="str">
            <v/>
          </cell>
        </row>
        <row r="6528">
          <cell r="B6528" t="str">
            <v>-</v>
          </cell>
          <cell r="E6528" t="str">
            <v/>
          </cell>
          <cell r="G6528" t="str">
            <v/>
          </cell>
          <cell r="J6528" t="str">
            <v/>
          </cell>
          <cell r="O6528" t="str">
            <v/>
          </cell>
          <cell r="P6528" t="str">
            <v/>
          </cell>
          <cell r="Q6528" t="str">
            <v/>
          </cell>
          <cell r="S6528" t="str">
            <v/>
          </cell>
          <cell r="V6528" t="str">
            <v/>
          </cell>
          <cell r="Z6528" t="str">
            <v/>
          </cell>
          <cell r="AA6528" t="str">
            <v/>
          </cell>
          <cell r="AB6528" t="str">
            <v/>
          </cell>
          <cell r="AC6528" t="str">
            <v/>
          </cell>
          <cell r="AD6528" t="str">
            <v/>
          </cell>
          <cell r="AY6528" t="str">
            <v/>
          </cell>
          <cell r="AZ6528" t="str">
            <v/>
          </cell>
          <cell r="BA6528" t="str">
            <v/>
          </cell>
        </row>
        <row r="6529">
          <cell r="B6529" t="str">
            <v>-</v>
          </cell>
          <cell r="E6529" t="str">
            <v/>
          </cell>
          <cell r="G6529" t="str">
            <v/>
          </cell>
          <cell r="J6529" t="str">
            <v/>
          </cell>
          <cell r="O6529" t="str">
            <v/>
          </cell>
          <cell r="P6529" t="str">
            <v/>
          </cell>
          <cell r="Q6529" t="str">
            <v/>
          </cell>
          <cell r="S6529" t="str">
            <v/>
          </cell>
          <cell r="V6529" t="str">
            <v/>
          </cell>
          <cell r="Z6529" t="str">
            <v/>
          </cell>
          <cell r="AA6529" t="str">
            <v/>
          </cell>
          <cell r="AB6529" t="str">
            <v/>
          </cell>
          <cell r="AC6529" t="str">
            <v/>
          </cell>
          <cell r="AD6529" t="str">
            <v/>
          </cell>
          <cell r="AY6529" t="str">
            <v/>
          </cell>
          <cell r="AZ6529" t="str">
            <v/>
          </cell>
          <cell r="BA6529" t="str">
            <v/>
          </cell>
        </row>
        <row r="6530">
          <cell r="B6530" t="str">
            <v>-</v>
          </cell>
          <cell r="E6530" t="str">
            <v/>
          </cell>
          <cell r="G6530" t="str">
            <v/>
          </cell>
          <cell r="J6530" t="str">
            <v/>
          </cell>
          <cell r="O6530" t="str">
            <v/>
          </cell>
          <cell r="P6530" t="str">
            <v/>
          </cell>
          <cell r="Q6530" t="str">
            <v/>
          </cell>
          <cell r="S6530" t="str">
            <v/>
          </cell>
          <cell r="V6530" t="str">
            <v/>
          </cell>
          <cell r="Z6530" t="str">
            <v/>
          </cell>
          <cell r="AA6530" t="str">
            <v/>
          </cell>
          <cell r="AB6530" t="str">
            <v/>
          </cell>
          <cell r="AC6530" t="str">
            <v/>
          </cell>
          <cell r="AD6530" t="str">
            <v/>
          </cell>
          <cell r="AY6530" t="str">
            <v/>
          </cell>
          <cell r="AZ6530" t="str">
            <v/>
          </cell>
          <cell r="BA6530" t="str">
            <v/>
          </cell>
        </row>
        <row r="6531">
          <cell r="B6531" t="str">
            <v>-</v>
          </cell>
          <cell r="E6531" t="str">
            <v/>
          </cell>
          <cell r="G6531" t="str">
            <v/>
          </cell>
          <cell r="J6531" t="str">
            <v/>
          </cell>
          <cell r="O6531" t="str">
            <v/>
          </cell>
          <cell r="P6531" t="str">
            <v/>
          </cell>
          <cell r="Q6531" t="str">
            <v/>
          </cell>
          <cell r="S6531" t="str">
            <v/>
          </cell>
          <cell r="V6531" t="str">
            <v/>
          </cell>
          <cell r="Z6531" t="str">
            <v/>
          </cell>
          <cell r="AA6531" t="str">
            <v/>
          </cell>
          <cell r="AB6531" t="str">
            <v/>
          </cell>
          <cell r="AC6531" t="str">
            <v/>
          </cell>
          <cell r="AD6531" t="str">
            <v/>
          </cell>
          <cell r="AY6531" t="str">
            <v/>
          </cell>
          <cell r="AZ6531" t="str">
            <v/>
          </cell>
          <cell r="BA6531" t="str">
            <v/>
          </cell>
        </row>
        <row r="6532">
          <cell r="B6532" t="str">
            <v>-</v>
          </cell>
          <cell r="E6532" t="str">
            <v/>
          </cell>
          <cell r="G6532" t="str">
            <v/>
          </cell>
          <cell r="J6532" t="str">
            <v/>
          </cell>
          <cell r="O6532" t="str">
            <v/>
          </cell>
          <cell r="P6532" t="str">
            <v/>
          </cell>
          <cell r="Q6532" t="str">
            <v/>
          </cell>
          <cell r="S6532" t="str">
            <v/>
          </cell>
          <cell r="V6532" t="str">
            <v/>
          </cell>
          <cell r="Z6532" t="str">
            <v/>
          </cell>
          <cell r="AA6532" t="str">
            <v/>
          </cell>
          <cell r="AB6532" t="str">
            <v/>
          </cell>
          <cell r="AC6532" t="str">
            <v/>
          </cell>
          <cell r="AD6532" t="str">
            <v/>
          </cell>
          <cell r="AY6532" t="str">
            <v/>
          </cell>
          <cell r="AZ6532" t="str">
            <v/>
          </cell>
          <cell r="BA6532" t="str">
            <v/>
          </cell>
        </row>
        <row r="6533">
          <cell r="B6533" t="str">
            <v>-</v>
          </cell>
          <cell r="E6533" t="str">
            <v/>
          </cell>
          <cell r="G6533" t="str">
            <v/>
          </cell>
          <cell r="J6533" t="str">
            <v/>
          </cell>
          <cell r="O6533" t="str">
            <v/>
          </cell>
          <cell r="P6533" t="str">
            <v/>
          </cell>
          <cell r="Q6533" t="str">
            <v/>
          </cell>
          <cell r="S6533" t="str">
            <v/>
          </cell>
          <cell r="V6533" t="str">
            <v/>
          </cell>
          <cell r="Z6533" t="str">
            <v/>
          </cell>
          <cell r="AA6533" t="str">
            <v/>
          </cell>
          <cell r="AB6533" t="str">
            <v/>
          </cell>
          <cell r="AC6533" t="str">
            <v/>
          </cell>
          <cell r="AD6533" t="str">
            <v/>
          </cell>
          <cell r="AY6533" t="str">
            <v/>
          </cell>
          <cell r="AZ6533" t="str">
            <v/>
          </cell>
          <cell r="BA6533" t="str">
            <v/>
          </cell>
        </row>
        <row r="6534">
          <cell r="B6534" t="str">
            <v>-</v>
          </cell>
          <cell r="E6534" t="str">
            <v/>
          </cell>
          <cell r="G6534" t="str">
            <v/>
          </cell>
          <cell r="J6534" t="str">
            <v/>
          </cell>
          <cell r="O6534" t="str">
            <v/>
          </cell>
          <cell r="P6534" t="str">
            <v/>
          </cell>
          <cell r="Q6534" t="str">
            <v/>
          </cell>
          <cell r="S6534" t="str">
            <v/>
          </cell>
          <cell r="V6534" t="str">
            <v/>
          </cell>
          <cell r="Z6534" t="str">
            <v/>
          </cell>
          <cell r="AA6534" t="str">
            <v/>
          </cell>
          <cell r="AB6534" t="str">
            <v/>
          </cell>
          <cell r="AC6534" t="str">
            <v/>
          </cell>
          <cell r="AD6534" t="str">
            <v/>
          </cell>
          <cell r="AY6534" t="str">
            <v/>
          </cell>
          <cell r="AZ6534" t="str">
            <v/>
          </cell>
          <cell r="BA6534" t="str">
            <v/>
          </cell>
        </row>
        <row r="6535">
          <cell r="B6535" t="str">
            <v>-</v>
          </cell>
          <cell r="E6535" t="str">
            <v/>
          </cell>
          <cell r="G6535" t="str">
            <v/>
          </cell>
          <cell r="J6535" t="str">
            <v/>
          </cell>
          <cell r="O6535" t="str">
            <v/>
          </cell>
          <cell r="P6535" t="str">
            <v/>
          </cell>
          <cell r="Q6535" t="str">
            <v/>
          </cell>
          <cell r="S6535" t="str">
            <v/>
          </cell>
          <cell r="V6535" t="str">
            <v/>
          </cell>
          <cell r="Z6535" t="str">
            <v/>
          </cell>
          <cell r="AA6535" t="str">
            <v/>
          </cell>
          <cell r="AB6535" t="str">
            <v/>
          </cell>
          <cell r="AC6535" t="str">
            <v/>
          </cell>
          <cell r="AD6535" t="str">
            <v/>
          </cell>
          <cell r="AY6535" t="str">
            <v/>
          </cell>
          <cell r="AZ6535" t="str">
            <v/>
          </cell>
          <cell r="BA6535" t="str">
            <v/>
          </cell>
        </row>
        <row r="6536">
          <cell r="B6536" t="str">
            <v>-</v>
          </cell>
          <cell r="E6536" t="str">
            <v/>
          </cell>
          <cell r="G6536" t="str">
            <v/>
          </cell>
          <cell r="J6536" t="str">
            <v/>
          </cell>
          <cell r="O6536" t="str">
            <v/>
          </cell>
          <cell r="P6536" t="str">
            <v/>
          </cell>
          <cell r="Q6536" t="str">
            <v/>
          </cell>
          <cell r="S6536" t="str">
            <v/>
          </cell>
          <cell r="V6536" t="str">
            <v/>
          </cell>
          <cell r="Z6536" t="str">
            <v/>
          </cell>
          <cell r="AA6536" t="str">
            <v/>
          </cell>
          <cell r="AB6536" t="str">
            <v/>
          </cell>
          <cell r="AC6536" t="str">
            <v/>
          </cell>
          <cell r="AD6536" t="str">
            <v/>
          </cell>
          <cell r="AY6536" t="str">
            <v/>
          </cell>
          <cell r="AZ6536" t="str">
            <v/>
          </cell>
          <cell r="BA6536" t="str">
            <v/>
          </cell>
        </row>
        <row r="6537">
          <cell r="B6537" t="str">
            <v>-</v>
          </cell>
          <cell r="E6537" t="str">
            <v/>
          </cell>
          <cell r="G6537" t="str">
            <v/>
          </cell>
          <cell r="J6537" t="str">
            <v/>
          </cell>
          <cell r="O6537" t="str">
            <v/>
          </cell>
          <cell r="P6537" t="str">
            <v/>
          </cell>
          <cell r="Q6537" t="str">
            <v/>
          </cell>
          <cell r="S6537" t="str">
            <v/>
          </cell>
          <cell r="V6537" t="str">
            <v/>
          </cell>
          <cell r="Z6537" t="str">
            <v/>
          </cell>
          <cell r="AA6537" t="str">
            <v/>
          </cell>
          <cell r="AB6537" t="str">
            <v/>
          </cell>
          <cell r="AC6537" t="str">
            <v/>
          </cell>
          <cell r="AD6537" t="str">
            <v/>
          </cell>
          <cell r="AY6537" t="str">
            <v/>
          </cell>
          <cell r="AZ6537" t="str">
            <v/>
          </cell>
          <cell r="BA6537" t="str">
            <v/>
          </cell>
        </row>
        <row r="6538">
          <cell r="B6538" t="str">
            <v>-</v>
          </cell>
          <cell r="E6538" t="str">
            <v/>
          </cell>
          <cell r="G6538" t="str">
            <v/>
          </cell>
          <cell r="J6538" t="str">
            <v/>
          </cell>
          <cell r="O6538" t="str">
            <v/>
          </cell>
          <cell r="P6538" t="str">
            <v/>
          </cell>
          <cell r="Q6538" t="str">
            <v/>
          </cell>
          <cell r="S6538" t="str">
            <v/>
          </cell>
          <cell r="V6538" t="str">
            <v/>
          </cell>
          <cell r="Z6538" t="str">
            <v/>
          </cell>
          <cell r="AA6538" t="str">
            <v/>
          </cell>
          <cell r="AB6538" t="str">
            <v/>
          </cell>
          <cell r="AC6538" t="str">
            <v/>
          </cell>
          <cell r="AD6538" t="str">
            <v/>
          </cell>
          <cell r="AY6538" t="str">
            <v/>
          </cell>
          <cell r="AZ6538" t="str">
            <v/>
          </cell>
          <cell r="BA6538" t="str">
            <v/>
          </cell>
        </row>
        <row r="6539">
          <cell r="B6539" t="str">
            <v>-</v>
          </cell>
          <cell r="E6539" t="str">
            <v/>
          </cell>
          <cell r="G6539" t="str">
            <v/>
          </cell>
          <cell r="J6539" t="str">
            <v/>
          </cell>
          <cell r="O6539" t="str">
            <v/>
          </cell>
          <cell r="P6539" t="str">
            <v/>
          </cell>
          <cell r="Q6539" t="str">
            <v/>
          </cell>
          <cell r="S6539" t="str">
            <v/>
          </cell>
          <cell r="V6539" t="str">
            <v/>
          </cell>
          <cell r="Z6539" t="str">
            <v/>
          </cell>
          <cell r="AA6539" t="str">
            <v/>
          </cell>
          <cell r="AB6539" t="str">
            <v/>
          </cell>
          <cell r="AC6539" t="str">
            <v/>
          </cell>
          <cell r="AD6539" t="str">
            <v/>
          </cell>
          <cell r="AY6539" t="str">
            <v/>
          </cell>
          <cell r="AZ6539" t="str">
            <v/>
          </cell>
          <cell r="BA6539" t="str">
            <v/>
          </cell>
        </row>
        <row r="6540">
          <cell r="B6540" t="str">
            <v>-</v>
          </cell>
          <cell r="E6540" t="str">
            <v/>
          </cell>
          <cell r="G6540" t="str">
            <v/>
          </cell>
          <cell r="J6540" t="str">
            <v/>
          </cell>
          <cell r="O6540" t="str">
            <v/>
          </cell>
          <cell r="P6540" t="str">
            <v/>
          </cell>
          <cell r="Q6540" t="str">
            <v/>
          </cell>
          <cell r="S6540" t="str">
            <v/>
          </cell>
          <cell r="V6540" t="str">
            <v/>
          </cell>
          <cell r="Z6540" t="str">
            <v/>
          </cell>
          <cell r="AA6540" t="str">
            <v/>
          </cell>
          <cell r="AB6540" t="str">
            <v/>
          </cell>
          <cell r="AC6540" t="str">
            <v/>
          </cell>
          <cell r="AD6540" t="str">
            <v/>
          </cell>
          <cell r="AY6540" t="str">
            <v/>
          </cell>
          <cell r="AZ6540" t="str">
            <v/>
          </cell>
          <cell r="BA6540" t="str">
            <v/>
          </cell>
        </row>
        <row r="6541">
          <cell r="B6541" t="str">
            <v>-</v>
          </cell>
          <cell r="E6541" t="str">
            <v/>
          </cell>
          <cell r="G6541" t="str">
            <v/>
          </cell>
          <cell r="J6541" t="str">
            <v/>
          </cell>
          <cell r="O6541" t="str">
            <v/>
          </cell>
          <cell r="P6541" t="str">
            <v/>
          </cell>
          <cell r="Q6541" t="str">
            <v/>
          </cell>
          <cell r="S6541" t="str">
            <v/>
          </cell>
          <cell r="V6541" t="str">
            <v/>
          </cell>
          <cell r="Z6541" t="str">
            <v/>
          </cell>
          <cell r="AA6541" t="str">
            <v/>
          </cell>
          <cell r="AB6541" t="str">
            <v/>
          </cell>
          <cell r="AC6541" t="str">
            <v/>
          </cell>
          <cell r="AD6541" t="str">
            <v/>
          </cell>
          <cell r="AY6541" t="str">
            <v/>
          </cell>
          <cell r="AZ6541" t="str">
            <v/>
          </cell>
          <cell r="BA6541" t="str">
            <v/>
          </cell>
        </row>
        <row r="6542">
          <cell r="B6542" t="str">
            <v>-</v>
          </cell>
          <cell r="E6542" t="str">
            <v/>
          </cell>
          <cell r="G6542" t="str">
            <v/>
          </cell>
          <cell r="J6542" t="str">
            <v/>
          </cell>
          <cell r="O6542" t="str">
            <v/>
          </cell>
          <cell r="P6542" t="str">
            <v/>
          </cell>
          <cell r="Q6542" t="str">
            <v/>
          </cell>
          <cell r="S6542" t="str">
            <v/>
          </cell>
          <cell r="V6542" t="str">
            <v/>
          </cell>
          <cell r="Z6542" t="str">
            <v/>
          </cell>
          <cell r="AA6542" t="str">
            <v/>
          </cell>
          <cell r="AB6542" t="str">
            <v/>
          </cell>
          <cell r="AC6542" t="str">
            <v/>
          </cell>
          <cell r="AD6542" t="str">
            <v/>
          </cell>
          <cell r="AY6542" t="str">
            <v/>
          </cell>
          <cell r="AZ6542" t="str">
            <v/>
          </cell>
          <cell r="BA6542" t="str">
            <v/>
          </cell>
        </row>
        <row r="6543">
          <cell r="B6543" t="str">
            <v>-</v>
          </cell>
          <cell r="E6543" t="str">
            <v/>
          </cell>
          <cell r="G6543" t="str">
            <v/>
          </cell>
          <cell r="J6543" t="str">
            <v/>
          </cell>
          <cell r="O6543" t="str">
            <v/>
          </cell>
          <cell r="P6543" t="str">
            <v/>
          </cell>
          <cell r="Q6543" t="str">
            <v/>
          </cell>
          <cell r="S6543" t="str">
            <v/>
          </cell>
          <cell r="V6543" t="str">
            <v/>
          </cell>
          <cell r="Z6543" t="str">
            <v/>
          </cell>
          <cell r="AA6543" t="str">
            <v/>
          </cell>
          <cell r="AB6543" t="str">
            <v/>
          </cell>
          <cell r="AC6543" t="str">
            <v/>
          </cell>
          <cell r="AD6543" t="str">
            <v/>
          </cell>
          <cell r="AY6543" t="str">
            <v/>
          </cell>
          <cell r="AZ6543" t="str">
            <v/>
          </cell>
          <cell r="BA6543" t="str">
            <v/>
          </cell>
        </row>
        <row r="6544">
          <cell r="B6544" t="str">
            <v>-</v>
          </cell>
          <cell r="E6544" t="str">
            <v/>
          </cell>
          <cell r="G6544" t="str">
            <v/>
          </cell>
          <cell r="J6544" t="str">
            <v/>
          </cell>
          <cell r="O6544" t="str">
            <v/>
          </cell>
          <cell r="P6544" t="str">
            <v/>
          </cell>
          <cell r="Q6544" t="str">
            <v/>
          </cell>
          <cell r="S6544" t="str">
            <v/>
          </cell>
          <cell r="V6544" t="str">
            <v/>
          </cell>
          <cell r="Z6544" t="str">
            <v/>
          </cell>
          <cell r="AA6544" t="str">
            <v/>
          </cell>
          <cell r="AB6544" t="str">
            <v/>
          </cell>
          <cell r="AC6544" t="str">
            <v/>
          </cell>
          <cell r="AD6544" t="str">
            <v/>
          </cell>
          <cell r="AY6544" t="str">
            <v/>
          </cell>
          <cell r="AZ6544" t="str">
            <v/>
          </cell>
          <cell r="BA6544" t="str">
            <v/>
          </cell>
        </row>
        <row r="6545">
          <cell r="B6545" t="str">
            <v>-</v>
          </cell>
          <cell r="E6545" t="str">
            <v/>
          </cell>
          <cell r="G6545" t="str">
            <v/>
          </cell>
          <cell r="J6545" t="str">
            <v/>
          </cell>
          <cell r="O6545" t="str">
            <v/>
          </cell>
          <cell r="P6545" t="str">
            <v/>
          </cell>
          <cell r="Q6545" t="str">
            <v/>
          </cell>
          <cell r="S6545" t="str">
            <v/>
          </cell>
          <cell r="V6545" t="str">
            <v/>
          </cell>
          <cell r="Z6545" t="str">
            <v/>
          </cell>
          <cell r="AA6545" t="str">
            <v/>
          </cell>
          <cell r="AB6545" t="str">
            <v/>
          </cell>
          <cell r="AC6545" t="str">
            <v/>
          </cell>
          <cell r="AD6545" t="str">
            <v/>
          </cell>
          <cell r="AY6545" t="str">
            <v/>
          </cell>
          <cell r="AZ6545" t="str">
            <v/>
          </cell>
          <cell r="BA6545" t="str">
            <v/>
          </cell>
        </row>
        <row r="6546">
          <cell r="B6546" t="str">
            <v>-</v>
          </cell>
          <cell r="E6546" t="str">
            <v/>
          </cell>
          <cell r="G6546" t="str">
            <v/>
          </cell>
          <cell r="J6546" t="str">
            <v/>
          </cell>
          <cell r="O6546" t="str">
            <v/>
          </cell>
          <cell r="P6546" t="str">
            <v/>
          </cell>
          <cell r="Q6546" t="str">
            <v/>
          </cell>
          <cell r="S6546" t="str">
            <v/>
          </cell>
          <cell r="V6546" t="str">
            <v/>
          </cell>
          <cell r="Z6546" t="str">
            <v/>
          </cell>
          <cell r="AA6546" t="str">
            <v/>
          </cell>
          <cell r="AB6546" t="str">
            <v/>
          </cell>
          <cell r="AC6546" t="str">
            <v/>
          </cell>
          <cell r="AD6546" t="str">
            <v/>
          </cell>
          <cell r="AY6546" t="str">
            <v/>
          </cell>
          <cell r="AZ6546" t="str">
            <v/>
          </cell>
          <cell r="BA6546" t="str">
            <v/>
          </cell>
        </row>
        <row r="6547">
          <cell r="B6547" t="str">
            <v>-</v>
          </cell>
          <cell r="E6547" t="str">
            <v/>
          </cell>
          <cell r="G6547" t="str">
            <v/>
          </cell>
          <cell r="J6547" t="str">
            <v/>
          </cell>
          <cell r="O6547" t="str">
            <v/>
          </cell>
          <cell r="P6547" t="str">
            <v/>
          </cell>
          <cell r="Q6547" t="str">
            <v/>
          </cell>
          <cell r="S6547" t="str">
            <v/>
          </cell>
          <cell r="V6547" t="str">
            <v/>
          </cell>
          <cell r="Z6547" t="str">
            <v/>
          </cell>
          <cell r="AA6547" t="str">
            <v/>
          </cell>
          <cell r="AB6547" t="str">
            <v/>
          </cell>
          <cell r="AC6547" t="str">
            <v/>
          </cell>
          <cell r="AD6547" t="str">
            <v/>
          </cell>
          <cell r="AY6547" t="str">
            <v/>
          </cell>
          <cell r="AZ6547" t="str">
            <v/>
          </cell>
          <cell r="BA6547" t="str">
            <v/>
          </cell>
        </row>
        <row r="6548">
          <cell r="B6548" t="str">
            <v>-</v>
          </cell>
          <cell r="E6548" t="str">
            <v/>
          </cell>
          <cell r="G6548" t="str">
            <v/>
          </cell>
          <cell r="J6548" t="str">
            <v/>
          </cell>
          <cell r="O6548" t="str">
            <v/>
          </cell>
          <cell r="P6548" t="str">
            <v/>
          </cell>
          <cell r="Q6548" t="str">
            <v/>
          </cell>
          <cell r="S6548" t="str">
            <v/>
          </cell>
          <cell r="V6548" t="str">
            <v/>
          </cell>
          <cell r="Z6548" t="str">
            <v/>
          </cell>
          <cell r="AA6548" t="str">
            <v/>
          </cell>
          <cell r="AB6548" t="str">
            <v/>
          </cell>
          <cell r="AC6548" t="str">
            <v/>
          </cell>
          <cell r="AD6548" t="str">
            <v/>
          </cell>
          <cell r="AY6548" t="str">
            <v/>
          </cell>
          <cell r="AZ6548" t="str">
            <v/>
          </cell>
          <cell r="BA6548" t="str">
            <v/>
          </cell>
        </row>
        <row r="6549">
          <cell r="B6549" t="str">
            <v>-</v>
          </cell>
          <cell r="E6549" t="str">
            <v/>
          </cell>
          <cell r="G6549" t="str">
            <v/>
          </cell>
          <cell r="J6549" t="str">
            <v/>
          </cell>
          <cell r="O6549" t="str">
            <v/>
          </cell>
          <cell r="P6549" t="str">
            <v/>
          </cell>
          <cell r="Q6549" t="str">
            <v/>
          </cell>
          <cell r="S6549" t="str">
            <v/>
          </cell>
          <cell r="V6549" t="str">
            <v/>
          </cell>
          <cell r="Z6549" t="str">
            <v/>
          </cell>
          <cell r="AA6549" t="str">
            <v/>
          </cell>
          <cell r="AB6549" t="str">
            <v/>
          </cell>
          <cell r="AC6549" t="str">
            <v/>
          </cell>
          <cell r="AD6549" t="str">
            <v/>
          </cell>
          <cell r="AY6549" t="str">
            <v/>
          </cell>
          <cell r="AZ6549" t="str">
            <v/>
          </cell>
          <cell r="BA6549" t="str">
            <v/>
          </cell>
        </row>
        <row r="6550">
          <cell r="B6550" t="str">
            <v>-</v>
          </cell>
          <cell r="E6550" t="str">
            <v/>
          </cell>
          <cell r="G6550" t="str">
            <v/>
          </cell>
          <cell r="J6550" t="str">
            <v/>
          </cell>
          <cell r="O6550" t="str">
            <v/>
          </cell>
          <cell r="P6550" t="str">
            <v/>
          </cell>
          <cell r="Q6550" t="str">
            <v/>
          </cell>
          <cell r="S6550" t="str">
            <v/>
          </cell>
          <cell r="V6550" t="str">
            <v/>
          </cell>
          <cell r="Z6550" t="str">
            <v/>
          </cell>
          <cell r="AA6550" t="str">
            <v/>
          </cell>
          <cell r="AB6550" t="str">
            <v/>
          </cell>
          <cell r="AC6550" t="str">
            <v/>
          </cell>
          <cell r="AD6550" t="str">
            <v/>
          </cell>
          <cell r="AY6550" t="str">
            <v/>
          </cell>
          <cell r="AZ6550" t="str">
            <v/>
          </cell>
          <cell r="BA6550" t="str">
            <v/>
          </cell>
        </row>
        <row r="6551">
          <cell r="B6551" t="str">
            <v>-</v>
          </cell>
          <cell r="E6551" t="str">
            <v/>
          </cell>
          <cell r="G6551" t="str">
            <v/>
          </cell>
          <cell r="J6551" t="str">
            <v/>
          </cell>
          <cell r="O6551" t="str">
            <v/>
          </cell>
          <cell r="P6551" t="str">
            <v/>
          </cell>
          <cell r="Q6551" t="str">
            <v/>
          </cell>
          <cell r="S6551" t="str">
            <v/>
          </cell>
          <cell r="V6551" t="str">
            <v/>
          </cell>
          <cell r="Z6551" t="str">
            <v/>
          </cell>
          <cell r="AA6551" t="str">
            <v/>
          </cell>
          <cell r="AB6551" t="str">
            <v/>
          </cell>
          <cell r="AC6551" t="str">
            <v/>
          </cell>
          <cell r="AD6551" t="str">
            <v/>
          </cell>
          <cell r="AY6551" t="str">
            <v/>
          </cell>
          <cell r="AZ6551" t="str">
            <v/>
          </cell>
          <cell r="BA6551" t="str">
            <v/>
          </cell>
        </row>
        <row r="6552">
          <cell r="B6552" t="str">
            <v>-</v>
          </cell>
          <cell r="E6552" t="str">
            <v/>
          </cell>
          <cell r="G6552" t="str">
            <v/>
          </cell>
          <cell r="J6552" t="str">
            <v/>
          </cell>
          <cell r="O6552" t="str">
            <v/>
          </cell>
          <cell r="P6552" t="str">
            <v/>
          </cell>
          <cell r="Q6552" t="str">
            <v/>
          </cell>
          <cell r="S6552" t="str">
            <v/>
          </cell>
          <cell r="V6552" t="str">
            <v/>
          </cell>
          <cell r="Z6552" t="str">
            <v/>
          </cell>
          <cell r="AA6552" t="str">
            <v/>
          </cell>
          <cell r="AB6552" t="str">
            <v/>
          </cell>
          <cell r="AC6552" t="str">
            <v/>
          </cell>
          <cell r="AD6552" t="str">
            <v/>
          </cell>
          <cell r="AY6552" t="str">
            <v/>
          </cell>
          <cell r="AZ6552" t="str">
            <v/>
          </cell>
          <cell r="BA6552" t="str">
            <v/>
          </cell>
        </row>
        <row r="6553">
          <cell r="B6553" t="str">
            <v>-</v>
          </cell>
          <cell r="E6553" t="str">
            <v/>
          </cell>
          <cell r="G6553" t="str">
            <v/>
          </cell>
          <cell r="J6553" t="str">
            <v/>
          </cell>
          <cell r="O6553" t="str">
            <v/>
          </cell>
          <cell r="P6553" t="str">
            <v/>
          </cell>
          <cell r="Q6553" t="str">
            <v/>
          </cell>
          <cell r="S6553" t="str">
            <v/>
          </cell>
          <cell r="V6553" t="str">
            <v/>
          </cell>
          <cell r="Z6553" t="str">
            <v/>
          </cell>
          <cell r="AA6553" t="str">
            <v/>
          </cell>
          <cell r="AB6553" t="str">
            <v/>
          </cell>
          <cell r="AC6553" t="str">
            <v/>
          </cell>
          <cell r="AD6553" t="str">
            <v/>
          </cell>
          <cell r="AY6553" t="str">
            <v/>
          </cell>
          <cell r="AZ6553" t="str">
            <v/>
          </cell>
          <cell r="BA6553" t="str">
            <v/>
          </cell>
        </row>
        <row r="6554">
          <cell r="B6554" t="str">
            <v>-</v>
          </cell>
          <cell r="E6554" t="str">
            <v/>
          </cell>
          <cell r="G6554" t="str">
            <v/>
          </cell>
          <cell r="J6554" t="str">
            <v/>
          </cell>
          <cell r="O6554" t="str">
            <v/>
          </cell>
          <cell r="P6554" t="str">
            <v/>
          </cell>
          <cell r="Q6554" t="str">
            <v/>
          </cell>
          <cell r="S6554" t="str">
            <v/>
          </cell>
          <cell r="V6554" t="str">
            <v/>
          </cell>
          <cell r="Z6554" t="str">
            <v/>
          </cell>
          <cell r="AA6554" t="str">
            <v/>
          </cell>
          <cell r="AB6554" t="str">
            <v/>
          </cell>
          <cell r="AC6554" t="str">
            <v/>
          </cell>
          <cell r="AD6554" t="str">
            <v/>
          </cell>
          <cell r="AY6554" t="str">
            <v/>
          </cell>
          <cell r="AZ6554" t="str">
            <v/>
          </cell>
          <cell r="BA6554" t="str">
            <v/>
          </cell>
        </row>
        <row r="6555">
          <cell r="B6555" t="str">
            <v>-</v>
          </cell>
          <cell r="E6555" t="str">
            <v/>
          </cell>
          <cell r="G6555" t="str">
            <v/>
          </cell>
          <cell r="J6555" t="str">
            <v/>
          </cell>
          <cell r="O6555" t="str">
            <v/>
          </cell>
          <cell r="P6555" t="str">
            <v/>
          </cell>
          <cell r="Q6555" t="str">
            <v/>
          </cell>
          <cell r="S6555" t="str">
            <v/>
          </cell>
          <cell r="V6555" t="str">
            <v/>
          </cell>
          <cell r="Z6555" t="str">
            <v/>
          </cell>
          <cell r="AA6555" t="str">
            <v/>
          </cell>
          <cell r="AB6555" t="str">
            <v/>
          </cell>
          <cell r="AC6555" t="str">
            <v/>
          </cell>
          <cell r="AD6555" t="str">
            <v/>
          </cell>
          <cell r="AY6555" t="str">
            <v/>
          </cell>
          <cell r="AZ6555" t="str">
            <v/>
          </cell>
          <cell r="BA6555" t="str">
            <v/>
          </cell>
        </row>
        <row r="6556">
          <cell r="B6556" t="str">
            <v>-</v>
          </cell>
          <cell r="E6556" t="str">
            <v/>
          </cell>
          <cell r="G6556" t="str">
            <v/>
          </cell>
          <cell r="J6556" t="str">
            <v/>
          </cell>
          <cell r="O6556" t="str">
            <v/>
          </cell>
          <cell r="P6556" t="str">
            <v/>
          </cell>
          <cell r="Q6556" t="str">
            <v/>
          </cell>
          <cell r="S6556" t="str">
            <v/>
          </cell>
          <cell r="V6556" t="str">
            <v/>
          </cell>
          <cell r="Z6556" t="str">
            <v/>
          </cell>
          <cell r="AA6556" t="str">
            <v/>
          </cell>
          <cell r="AB6556" t="str">
            <v/>
          </cell>
          <cell r="AC6556" t="str">
            <v/>
          </cell>
          <cell r="AD6556" t="str">
            <v/>
          </cell>
          <cell r="AY6556" t="str">
            <v/>
          </cell>
          <cell r="AZ6556" t="str">
            <v/>
          </cell>
          <cell r="BA6556" t="str">
            <v/>
          </cell>
        </row>
        <row r="6557">
          <cell r="B6557" t="str">
            <v>-</v>
          </cell>
          <cell r="E6557" t="str">
            <v/>
          </cell>
          <cell r="G6557" t="str">
            <v/>
          </cell>
          <cell r="J6557" t="str">
            <v/>
          </cell>
          <cell r="O6557" t="str">
            <v/>
          </cell>
          <cell r="P6557" t="str">
            <v/>
          </cell>
          <cell r="Q6557" t="str">
            <v/>
          </cell>
          <cell r="S6557" t="str">
            <v/>
          </cell>
          <cell r="V6557" t="str">
            <v/>
          </cell>
          <cell r="Z6557" t="str">
            <v/>
          </cell>
          <cell r="AA6557" t="str">
            <v/>
          </cell>
          <cell r="AB6557" t="str">
            <v/>
          </cell>
          <cell r="AC6557" t="str">
            <v/>
          </cell>
          <cell r="AD6557" t="str">
            <v/>
          </cell>
          <cell r="AY6557" t="str">
            <v/>
          </cell>
          <cell r="AZ6557" t="str">
            <v/>
          </cell>
          <cell r="BA6557" t="str">
            <v/>
          </cell>
        </row>
        <row r="6558">
          <cell r="B6558" t="str">
            <v>-</v>
          </cell>
          <cell r="E6558" t="str">
            <v/>
          </cell>
          <cell r="G6558" t="str">
            <v/>
          </cell>
          <cell r="J6558" t="str">
            <v/>
          </cell>
          <cell r="O6558" t="str">
            <v/>
          </cell>
          <cell r="P6558" t="str">
            <v/>
          </cell>
          <cell r="Q6558" t="str">
            <v/>
          </cell>
          <cell r="S6558" t="str">
            <v/>
          </cell>
          <cell r="V6558" t="str">
            <v/>
          </cell>
          <cell r="Z6558" t="str">
            <v/>
          </cell>
          <cell r="AA6558" t="str">
            <v/>
          </cell>
          <cell r="AB6558" t="str">
            <v/>
          </cell>
          <cell r="AC6558" t="str">
            <v/>
          </cell>
          <cell r="AD6558" t="str">
            <v/>
          </cell>
          <cell r="AY6558" t="str">
            <v/>
          </cell>
          <cell r="AZ6558" t="str">
            <v/>
          </cell>
          <cell r="BA6558" t="str">
            <v/>
          </cell>
        </row>
        <row r="6559">
          <cell r="B6559" t="str">
            <v>-</v>
          </cell>
          <cell r="E6559" t="str">
            <v/>
          </cell>
          <cell r="G6559" t="str">
            <v/>
          </cell>
          <cell r="J6559" t="str">
            <v/>
          </cell>
          <cell r="O6559" t="str">
            <v/>
          </cell>
          <cell r="P6559" t="str">
            <v/>
          </cell>
          <cell r="Q6559" t="str">
            <v/>
          </cell>
          <cell r="S6559" t="str">
            <v/>
          </cell>
          <cell r="V6559" t="str">
            <v/>
          </cell>
          <cell r="Z6559" t="str">
            <v/>
          </cell>
          <cell r="AA6559" t="str">
            <v/>
          </cell>
          <cell r="AB6559" t="str">
            <v/>
          </cell>
          <cell r="AC6559" t="str">
            <v/>
          </cell>
          <cell r="AD6559" t="str">
            <v/>
          </cell>
          <cell r="AY6559" t="str">
            <v/>
          </cell>
          <cell r="AZ6559" t="str">
            <v/>
          </cell>
          <cell r="BA6559" t="str">
            <v/>
          </cell>
        </row>
        <row r="6560">
          <cell r="B6560" t="str">
            <v>-</v>
          </cell>
          <cell r="E6560" t="str">
            <v/>
          </cell>
          <cell r="G6560" t="str">
            <v/>
          </cell>
          <cell r="J6560" t="str">
            <v/>
          </cell>
          <cell r="O6560" t="str">
            <v/>
          </cell>
          <cell r="P6560" t="str">
            <v/>
          </cell>
          <cell r="Q6560" t="str">
            <v/>
          </cell>
          <cell r="S6560" t="str">
            <v/>
          </cell>
          <cell r="V6560" t="str">
            <v/>
          </cell>
          <cell r="Z6560" t="str">
            <v/>
          </cell>
          <cell r="AA6560" t="str">
            <v/>
          </cell>
          <cell r="AB6560" t="str">
            <v/>
          </cell>
          <cell r="AC6560" t="str">
            <v/>
          </cell>
          <cell r="AD6560" t="str">
            <v/>
          </cell>
          <cell r="AY6560" t="str">
            <v/>
          </cell>
          <cell r="AZ6560" t="str">
            <v/>
          </cell>
          <cell r="BA6560" t="str">
            <v/>
          </cell>
        </row>
        <row r="6561">
          <cell r="B6561" t="str">
            <v>-</v>
          </cell>
          <cell r="E6561" t="str">
            <v/>
          </cell>
          <cell r="G6561" t="str">
            <v/>
          </cell>
          <cell r="J6561" t="str">
            <v/>
          </cell>
          <cell r="O6561" t="str">
            <v/>
          </cell>
          <cell r="P6561" t="str">
            <v/>
          </cell>
          <cell r="Q6561" t="str">
            <v/>
          </cell>
          <cell r="S6561" t="str">
            <v/>
          </cell>
          <cell r="V6561" t="str">
            <v/>
          </cell>
          <cell r="Z6561" t="str">
            <v/>
          </cell>
          <cell r="AA6561" t="str">
            <v/>
          </cell>
          <cell r="AB6561" t="str">
            <v/>
          </cell>
          <cell r="AC6561" t="str">
            <v/>
          </cell>
          <cell r="AD6561" t="str">
            <v/>
          </cell>
          <cell r="AY6561" t="str">
            <v/>
          </cell>
          <cell r="AZ6561" t="str">
            <v/>
          </cell>
          <cell r="BA6561" t="str">
            <v/>
          </cell>
        </row>
        <row r="6562">
          <cell r="B6562" t="str">
            <v>-</v>
          </cell>
          <cell r="E6562" t="str">
            <v/>
          </cell>
          <cell r="G6562" t="str">
            <v/>
          </cell>
          <cell r="J6562" t="str">
            <v/>
          </cell>
          <cell r="O6562" t="str">
            <v/>
          </cell>
          <cell r="P6562" t="str">
            <v/>
          </cell>
          <cell r="Q6562" t="str">
            <v/>
          </cell>
          <cell r="S6562" t="str">
            <v/>
          </cell>
          <cell r="V6562" t="str">
            <v/>
          </cell>
          <cell r="Z6562" t="str">
            <v/>
          </cell>
          <cell r="AA6562" t="str">
            <v/>
          </cell>
          <cell r="AB6562" t="str">
            <v/>
          </cell>
          <cell r="AC6562" t="str">
            <v/>
          </cell>
          <cell r="AD6562" t="str">
            <v/>
          </cell>
          <cell r="AY6562" t="str">
            <v/>
          </cell>
          <cell r="AZ6562" t="str">
            <v/>
          </cell>
          <cell r="BA6562" t="str">
            <v/>
          </cell>
        </row>
        <row r="6563">
          <cell r="B6563" t="str">
            <v>-</v>
          </cell>
          <cell r="E6563" t="str">
            <v/>
          </cell>
          <cell r="G6563" t="str">
            <v/>
          </cell>
          <cell r="J6563" t="str">
            <v/>
          </cell>
          <cell r="O6563" t="str">
            <v/>
          </cell>
          <cell r="P6563" t="str">
            <v/>
          </cell>
          <cell r="Q6563" t="str">
            <v/>
          </cell>
          <cell r="S6563" t="str">
            <v/>
          </cell>
          <cell r="V6563" t="str">
            <v/>
          </cell>
          <cell r="Z6563" t="str">
            <v/>
          </cell>
          <cell r="AA6563" t="str">
            <v/>
          </cell>
          <cell r="AB6563" t="str">
            <v/>
          </cell>
          <cell r="AC6563" t="str">
            <v/>
          </cell>
          <cell r="AD6563" t="str">
            <v/>
          </cell>
          <cell r="AY6563" t="str">
            <v/>
          </cell>
          <cell r="AZ6563" t="str">
            <v/>
          </cell>
          <cell r="BA6563" t="str">
            <v/>
          </cell>
        </row>
        <row r="6564">
          <cell r="B6564" t="str">
            <v>-</v>
          </cell>
          <cell r="E6564" t="str">
            <v/>
          </cell>
          <cell r="G6564" t="str">
            <v/>
          </cell>
          <cell r="J6564" t="str">
            <v/>
          </cell>
          <cell r="O6564" t="str">
            <v/>
          </cell>
          <cell r="P6564" t="str">
            <v/>
          </cell>
          <cell r="Q6564" t="str">
            <v/>
          </cell>
          <cell r="S6564" t="str">
            <v/>
          </cell>
          <cell r="V6564" t="str">
            <v/>
          </cell>
          <cell r="Z6564" t="str">
            <v/>
          </cell>
          <cell r="AA6564" t="str">
            <v/>
          </cell>
          <cell r="AB6564" t="str">
            <v/>
          </cell>
          <cell r="AC6564" t="str">
            <v/>
          </cell>
          <cell r="AD6564" t="str">
            <v/>
          </cell>
          <cell r="AY6564" t="str">
            <v/>
          </cell>
          <cell r="AZ6564" t="str">
            <v/>
          </cell>
          <cell r="BA6564" t="str">
            <v/>
          </cell>
        </row>
        <row r="6565">
          <cell r="B6565" t="str">
            <v>-</v>
          </cell>
          <cell r="E6565" t="str">
            <v/>
          </cell>
          <cell r="G6565" t="str">
            <v/>
          </cell>
          <cell r="J6565" t="str">
            <v/>
          </cell>
          <cell r="O6565" t="str">
            <v/>
          </cell>
          <cell r="P6565" t="str">
            <v/>
          </cell>
          <cell r="Q6565" t="str">
            <v/>
          </cell>
          <cell r="S6565" t="str">
            <v/>
          </cell>
          <cell r="V6565" t="str">
            <v/>
          </cell>
          <cell r="Z6565" t="str">
            <v/>
          </cell>
          <cell r="AA6565" t="str">
            <v/>
          </cell>
          <cell r="AB6565" t="str">
            <v/>
          </cell>
          <cell r="AC6565" t="str">
            <v/>
          </cell>
          <cell r="AD6565" t="str">
            <v/>
          </cell>
          <cell r="AY6565" t="str">
            <v/>
          </cell>
          <cell r="AZ6565" t="str">
            <v/>
          </cell>
          <cell r="BA6565" t="str">
            <v/>
          </cell>
        </row>
        <row r="6566">
          <cell r="B6566" t="str">
            <v>-</v>
          </cell>
          <cell r="E6566" t="str">
            <v/>
          </cell>
          <cell r="G6566" t="str">
            <v/>
          </cell>
          <cell r="J6566" t="str">
            <v/>
          </cell>
          <cell r="O6566" t="str">
            <v/>
          </cell>
          <cell r="P6566" t="str">
            <v/>
          </cell>
          <cell r="Q6566" t="str">
            <v/>
          </cell>
          <cell r="S6566" t="str">
            <v/>
          </cell>
          <cell r="V6566" t="str">
            <v/>
          </cell>
          <cell r="Z6566" t="str">
            <v/>
          </cell>
          <cell r="AA6566" t="str">
            <v/>
          </cell>
          <cell r="AB6566" t="str">
            <v/>
          </cell>
          <cell r="AC6566" t="str">
            <v/>
          </cell>
          <cell r="AD6566" t="str">
            <v/>
          </cell>
          <cell r="AY6566" t="str">
            <v/>
          </cell>
          <cell r="AZ6566" t="str">
            <v/>
          </cell>
          <cell r="BA6566" t="str">
            <v/>
          </cell>
        </row>
        <row r="6567">
          <cell r="B6567" t="str">
            <v>-</v>
          </cell>
          <cell r="E6567" t="str">
            <v/>
          </cell>
          <cell r="G6567" t="str">
            <v/>
          </cell>
          <cell r="J6567" t="str">
            <v/>
          </cell>
          <cell r="O6567" t="str">
            <v/>
          </cell>
          <cell r="P6567" t="str">
            <v/>
          </cell>
          <cell r="Q6567" t="str">
            <v/>
          </cell>
          <cell r="S6567" t="str">
            <v/>
          </cell>
          <cell r="V6567" t="str">
            <v/>
          </cell>
          <cell r="Z6567" t="str">
            <v/>
          </cell>
          <cell r="AA6567" t="str">
            <v/>
          </cell>
          <cell r="AB6567" t="str">
            <v/>
          </cell>
          <cell r="AC6567" t="str">
            <v/>
          </cell>
          <cell r="AD6567" t="str">
            <v/>
          </cell>
          <cell r="AY6567" t="str">
            <v/>
          </cell>
          <cell r="AZ6567" t="str">
            <v/>
          </cell>
          <cell r="BA6567" t="str">
            <v/>
          </cell>
        </row>
        <row r="6568">
          <cell r="B6568" t="str">
            <v>-</v>
          </cell>
          <cell r="E6568" t="str">
            <v/>
          </cell>
          <cell r="G6568" t="str">
            <v/>
          </cell>
          <cell r="J6568" t="str">
            <v/>
          </cell>
          <cell r="O6568" t="str">
            <v/>
          </cell>
          <cell r="P6568" t="str">
            <v/>
          </cell>
          <cell r="Q6568" t="str">
            <v/>
          </cell>
          <cell r="S6568" t="str">
            <v/>
          </cell>
          <cell r="V6568" t="str">
            <v/>
          </cell>
          <cell r="Z6568" t="str">
            <v/>
          </cell>
          <cell r="AA6568" t="str">
            <v/>
          </cell>
          <cell r="AB6568" t="str">
            <v/>
          </cell>
          <cell r="AC6568" t="str">
            <v/>
          </cell>
          <cell r="AD6568" t="str">
            <v/>
          </cell>
          <cell r="AY6568" t="str">
            <v/>
          </cell>
          <cell r="AZ6568" t="str">
            <v/>
          </cell>
          <cell r="BA6568" t="str">
            <v/>
          </cell>
        </row>
        <row r="6569">
          <cell r="B6569" t="str">
            <v>-</v>
          </cell>
          <cell r="E6569" t="str">
            <v/>
          </cell>
          <cell r="G6569" t="str">
            <v/>
          </cell>
          <cell r="J6569" t="str">
            <v/>
          </cell>
          <cell r="O6569" t="str">
            <v/>
          </cell>
          <cell r="P6569" t="str">
            <v/>
          </cell>
          <cell r="Q6569" t="str">
            <v/>
          </cell>
          <cell r="S6569" t="str">
            <v/>
          </cell>
          <cell r="V6569" t="str">
            <v/>
          </cell>
          <cell r="Z6569" t="str">
            <v/>
          </cell>
          <cell r="AA6569" t="str">
            <v/>
          </cell>
          <cell r="AB6569" t="str">
            <v/>
          </cell>
          <cell r="AC6569" t="str">
            <v/>
          </cell>
          <cell r="AD6569" t="str">
            <v/>
          </cell>
          <cell r="AY6569" t="str">
            <v/>
          </cell>
          <cell r="AZ6569" t="str">
            <v/>
          </cell>
          <cell r="BA6569" t="str">
            <v/>
          </cell>
        </row>
        <row r="6570">
          <cell r="B6570" t="str">
            <v>-</v>
          </cell>
          <cell r="E6570" t="str">
            <v/>
          </cell>
          <cell r="G6570" t="str">
            <v/>
          </cell>
          <cell r="J6570" t="str">
            <v/>
          </cell>
          <cell r="O6570" t="str">
            <v/>
          </cell>
          <cell r="P6570" t="str">
            <v/>
          </cell>
          <cell r="Q6570" t="str">
            <v/>
          </cell>
          <cell r="S6570" t="str">
            <v/>
          </cell>
          <cell r="V6570" t="str">
            <v/>
          </cell>
          <cell r="Z6570" t="str">
            <v/>
          </cell>
          <cell r="AA6570" t="str">
            <v/>
          </cell>
          <cell r="AB6570" t="str">
            <v/>
          </cell>
          <cell r="AC6570" t="str">
            <v/>
          </cell>
          <cell r="AD6570" t="str">
            <v/>
          </cell>
          <cell r="AY6570" t="str">
            <v/>
          </cell>
          <cell r="AZ6570" t="str">
            <v/>
          </cell>
          <cell r="BA6570" t="str">
            <v/>
          </cell>
        </row>
        <row r="6571">
          <cell r="B6571" t="str">
            <v>-</v>
          </cell>
          <cell r="E6571" t="str">
            <v/>
          </cell>
          <cell r="G6571" t="str">
            <v/>
          </cell>
          <cell r="J6571" t="str">
            <v/>
          </cell>
          <cell r="O6571" t="str">
            <v/>
          </cell>
          <cell r="P6571" t="str">
            <v/>
          </cell>
          <cell r="Q6571" t="str">
            <v/>
          </cell>
          <cell r="S6571" t="str">
            <v/>
          </cell>
          <cell r="V6571" t="str">
            <v/>
          </cell>
          <cell r="Z6571" t="str">
            <v/>
          </cell>
          <cell r="AA6571" t="str">
            <v/>
          </cell>
          <cell r="AB6571" t="str">
            <v/>
          </cell>
          <cell r="AC6571" t="str">
            <v/>
          </cell>
          <cell r="AD6571" t="str">
            <v/>
          </cell>
          <cell r="AY6571" t="str">
            <v/>
          </cell>
          <cell r="AZ6571" t="str">
            <v/>
          </cell>
          <cell r="BA6571" t="str">
            <v/>
          </cell>
        </row>
        <row r="6572">
          <cell r="B6572" t="str">
            <v>-</v>
          </cell>
          <cell r="E6572" t="str">
            <v/>
          </cell>
          <cell r="G6572" t="str">
            <v/>
          </cell>
          <cell r="J6572" t="str">
            <v/>
          </cell>
          <cell r="O6572" t="str">
            <v/>
          </cell>
          <cell r="P6572" t="str">
            <v/>
          </cell>
          <cell r="Q6572" t="str">
            <v/>
          </cell>
          <cell r="S6572" t="str">
            <v/>
          </cell>
          <cell r="V6572" t="str">
            <v/>
          </cell>
          <cell r="Z6572" t="str">
            <v/>
          </cell>
          <cell r="AA6572" t="str">
            <v/>
          </cell>
          <cell r="AB6572" t="str">
            <v/>
          </cell>
          <cell r="AC6572" t="str">
            <v/>
          </cell>
          <cell r="AD6572" t="str">
            <v/>
          </cell>
          <cell r="AY6572" t="str">
            <v/>
          </cell>
          <cell r="AZ6572" t="str">
            <v/>
          </cell>
          <cell r="BA6572" t="str">
            <v/>
          </cell>
        </row>
        <row r="6573">
          <cell r="B6573" t="str">
            <v>-</v>
          </cell>
          <cell r="E6573" t="str">
            <v/>
          </cell>
          <cell r="G6573" t="str">
            <v/>
          </cell>
          <cell r="J6573" t="str">
            <v/>
          </cell>
          <cell r="O6573" t="str">
            <v/>
          </cell>
          <cell r="P6573" t="str">
            <v/>
          </cell>
          <cell r="Q6573" t="str">
            <v/>
          </cell>
          <cell r="S6573" t="str">
            <v/>
          </cell>
          <cell r="V6573" t="str">
            <v/>
          </cell>
          <cell r="Z6573" t="str">
            <v/>
          </cell>
          <cell r="AA6573" t="str">
            <v/>
          </cell>
          <cell r="AB6573" t="str">
            <v/>
          </cell>
          <cell r="AC6573" t="str">
            <v/>
          </cell>
          <cell r="AD6573" t="str">
            <v/>
          </cell>
          <cell r="AY6573" t="str">
            <v/>
          </cell>
          <cell r="AZ6573" t="str">
            <v/>
          </cell>
          <cell r="BA6573" t="str">
            <v/>
          </cell>
        </row>
        <row r="6574">
          <cell r="B6574" t="str">
            <v>-</v>
          </cell>
          <cell r="E6574" t="str">
            <v/>
          </cell>
          <cell r="G6574" t="str">
            <v/>
          </cell>
          <cell r="J6574" t="str">
            <v/>
          </cell>
          <cell r="O6574" t="str">
            <v/>
          </cell>
          <cell r="P6574" t="str">
            <v/>
          </cell>
          <cell r="Q6574" t="str">
            <v/>
          </cell>
          <cell r="S6574" t="str">
            <v/>
          </cell>
          <cell r="V6574" t="str">
            <v/>
          </cell>
          <cell r="Z6574" t="str">
            <v/>
          </cell>
          <cell r="AA6574" t="str">
            <v/>
          </cell>
          <cell r="AB6574" t="str">
            <v/>
          </cell>
          <cell r="AC6574" t="str">
            <v/>
          </cell>
          <cell r="AD6574" t="str">
            <v/>
          </cell>
          <cell r="AY6574" t="str">
            <v/>
          </cell>
          <cell r="AZ6574" t="str">
            <v/>
          </cell>
          <cell r="BA6574" t="str">
            <v/>
          </cell>
        </row>
        <row r="6575">
          <cell r="B6575" t="str">
            <v>-</v>
          </cell>
          <cell r="E6575" t="str">
            <v/>
          </cell>
          <cell r="G6575" t="str">
            <v/>
          </cell>
          <cell r="J6575" t="str">
            <v/>
          </cell>
          <cell r="O6575" t="str">
            <v/>
          </cell>
          <cell r="P6575" t="str">
            <v/>
          </cell>
          <cell r="Q6575" t="str">
            <v/>
          </cell>
          <cell r="S6575" t="str">
            <v/>
          </cell>
          <cell r="V6575" t="str">
            <v/>
          </cell>
          <cell r="Z6575" t="str">
            <v/>
          </cell>
          <cell r="AA6575" t="str">
            <v/>
          </cell>
          <cell r="AB6575" t="str">
            <v/>
          </cell>
          <cell r="AC6575" t="str">
            <v/>
          </cell>
          <cell r="AD6575" t="str">
            <v/>
          </cell>
          <cell r="AY6575" t="str">
            <v/>
          </cell>
          <cell r="AZ6575" t="str">
            <v/>
          </cell>
          <cell r="BA6575" t="str">
            <v/>
          </cell>
        </row>
        <row r="6576">
          <cell r="B6576" t="str">
            <v>-</v>
          </cell>
          <cell r="E6576" t="str">
            <v/>
          </cell>
          <cell r="G6576" t="str">
            <v/>
          </cell>
          <cell r="J6576" t="str">
            <v/>
          </cell>
          <cell r="O6576" t="str">
            <v/>
          </cell>
          <cell r="P6576" t="str">
            <v/>
          </cell>
          <cell r="Q6576" t="str">
            <v/>
          </cell>
          <cell r="S6576" t="str">
            <v/>
          </cell>
          <cell r="V6576" t="str">
            <v/>
          </cell>
          <cell r="Z6576" t="str">
            <v/>
          </cell>
          <cell r="AA6576" t="str">
            <v/>
          </cell>
          <cell r="AB6576" t="str">
            <v/>
          </cell>
          <cell r="AC6576" t="str">
            <v/>
          </cell>
          <cell r="AD6576" t="str">
            <v/>
          </cell>
          <cell r="AY6576" t="str">
            <v/>
          </cell>
          <cell r="AZ6576" t="str">
            <v/>
          </cell>
          <cell r="BA6576" t="str">
            <v/>
          </cell>
        </row>
        <row r="6577">
          <cell r="B6577" t="str">
            <v>-</v>
          </cell>
          <cell r="E6577" t="str">
            <v/>
          </cell>
          <cell r="G6577" t="str">
            <v/>
          </cell>
          <cell r="J6577" t="str">
            <v/>
          </cell>
          <cell r="O6577" t="str">
            <v/>
          </cell>
          <cell r="P6577" t="str">
            <v/>
          </cell>
          <cell r="Q6577" t="str">
            <v/>
          </cell>
          <cell r="S6577" t="str">
            <v/>
          </cell>
          <cell r="V6577" t="str">
            <v/>
          </cell>
          <cell r="Z6577" t="str">
            <v/>
          </cell>
          <cell r="AA6577" t="str">
            <v/>
          </cell>
          <cell r="AB6577" t="str">
            <v/>
          </cell>
          <cell r="AC6577" t="str">
            <v/>
          </cell>
          <cell r="AD6577" t="str">
            <v/>
          </cell>
          <cell r="AY6577" t="str">
            <v/>
          </cell>
          <cell r="AZ6577" t="str">
            <v/>
          </cell>
          <cell r="BA6577" t="str">
            <v/>
          </cell>
        </row>
        <row r="6578">
          <cell r="B6578" t="str">
            <v>-</v>
          </cell>
          <cell r="E6578" t="str">
            <v/>
          </cell>
          <cell r="G6578" t="str">
            <v/>
          </cell>
          <cell r="J6578" t="str">
            <v/>
          </cell>
          <cell r="O6578" t="str">
            <v/>
          </cell>
          <cell r="P6578" t="str">
            <v/>
          </cell>
          <cell r="Q6578" t="str">
            <v/>
          </cell>
          <cell r="S6578" t="str">
            <v/>
          </cell>
          <cell r="V6578" t="str">
            <v/>
          </cell>
          <cell r="Z6578" t="str">
            <v/>
          </cell>
          <cell r="AA6578" t="str">
            <v/>
          </cell>
          <cell r="AB6578" t="str">
            <v/>
          </cell>
          <cell r="AC6578" t="str">
            <v/>
          </cell>
          <cell r="AD6578" t="str">
            <v/>
          </cell>
          <cell r="AY6578" t="str">
            <v/>
          </cell>
          <cell r="AZ6578" t="str">
            <v/>
          </cell>
          <cell r="BA6578" t="str">
            <v/>
          </cell>
        </row>
        <row r="6579">
          <cell r="B6579" t="str">
            <v>-</v>
          </cell>
          <cell r="E6579" t="str">
            <v/>
          </cell>
          <cell r="G6579" t="str">
            <v/>
          </cell>
          <cell r="J6579" t="str">
            <v/>
          </cell>
          <cell r="O6579" t="str">
            <v/>
          </cell>
          <cell r="P6579" t="str">
            <v/>
          </cell>
          <cell r="Q6579" t="str">
            <v/>
          </cell>
          <cell r="S6579" t="str">
            <v/>
          </cell>
          <cell r="V6579" t="str">
            <v/>
          </cell>
          <cell r="Z6579" t="str">
            <v/>
          </cell>
          <cell r="AA6579" t="str">
            <v/>
          </cell>
          <cell r="AB6579" t="str">
            <v/>
          </cell>
          <cell r="AC6579" t="str">
            <v/>
          </cell>
          <cell r="AD6579" t="str">
            <v/>
          </cell>
          <cell r="AY6579" t="str">
            <v/>
          </cell>
          <cell r="AZ6579" t="str">
            <v/>
          </cell>
          <cell r="BA6579" t="str">
            <v/>
          </cell>
        </row>
        <row r="6580">
          <cell r="B6580" t="str">
            <v>-</v>
          </cell>
          <cell r="E6580" t="str">
            <v/>
          </cell>
          <cell r="G6580" t="str">
            <v/>
          </cell>
          <cell r="J6580" t="str">
            <v/>
          </cell>
          <cell r="O6580" t="str">
            <v/>
          </cell>
          <cell r="P6580" t="str">
            <v/>
          </cell>
          <cell r="Q6580" t="str">
            <v/>
          </cell>
          <cell r="S6580" t="str">
            <v/>
          </cell>
          <cell r="V6580" t="str">
            <v/>
          </cell>
          <cell r="Z6580" t="str">
            <v/>
          </cell>
          <cell r="AA6580" t="str">
            <v/>
          </cell>
          <cell r="AB6580" t="str">
            <v/>
          </cell>
          <cell r="AC6580" t="str">
            <v/>
          </cell>
          <cell r="AD6580" t="str">
            <v/>
          </cell>
          <cell r="AY6580" t="str">
            <v/>
          </cell>
          <cell r="AZ6580" t="str">
            <v/>
          </cell>
          <cell r="BA6580" t="str">
            <v/>
          </cell>
        </row>
        <row r="6581">
          <cell r="B6581" t="str">
            <v>-</v>
          </cell>
          <cell r="E6581" t="str">
            <v/>
          </cell>
          <cell r="G6581" t="str">
            <v/>
          </cell>
          <cell r="J6581" t="str">
            <v/>
          </cell>
          <cell r="O6581" t="str">
            <v/>
          </cell>
          <cell r="P6581" t="str">
            <v/>
          </cell>
          <cell r="Q6581" t="str">
            <v/>
          </cell>
          <cell r="S6581" t="str">
            <v/>
          </cell>
          <cell r="V6581" t="str">
            <v/>
          </cell>
          <cell r="Z6581" t="str">
            <v/>
          </cell>
          <cell r="AA6581" t="str">
            <v/>
          </cell>
          <cell r="AB6581" t="str">
            <v/>
          </cell>
          <cell r="AC6581" t="str">
            <v/>
          </cell>
          <cell r="AD6581" t="str">
            <v/>
          </cell>
          <cell r="AY6581" t="str">
            <v/>
          </cell>
          <cell r="AZ6581" t="str">
            <v/>
          </cell>
          <cell r="BA6581" t="str">
            <v/>
          </cell>
        </row>
        <row r="6582">
          <cell r="B6582" t="str">
            <v>-</v>
          </cell>
          <cell r="E6582" t="str">
            <v/>
          </cell>
          <cell r="G6582" t="str">
            <v/>
          </cell>
          <cell r="J6582" t="str">
            <v/>
          </cell>
          <cell r="O6582" t="str">
            <v/>
          </cell>
          <cell r="P6582" t="str">
            <v/>
          </cell>
          <cell r="Q6582" t="str">
            <v/>
          </cell>
          <cell r="S6582" t="str">
            <v/>
          </cell>
          <cell r="V6582" t="str">
            <v/>
          </cell>
          <cell r="Z6582" t="str">
            <v/>
          </cell>
          <cell r="AA6582" t="str">
            <v/>
          </cell>
          <cell r="AB6582" t="str">
            <v/>
          </cell>
          <cell r="AC6582" t="str">
            <v/>
          </cell>
          <cell r="AD6582" t="str">
            <v/>
          </cell>
          <cell r="AY6582" t="str">
            <v/>
          </cell>
          <cell r="AZ6582" t="str">
            <v/>
          </cell>
          <cell r="BA6582" t="str">
            <v/>
          </cell>
        </row>
        <row r="6583">
          <cell r="B6583" t="str">
            <v>-</v>
          </cell>
          <cell r="E6583" t="str">
            <v/>
          </cell>
          <cell r="G6583" t="str">
            <v/>
          </cell>
          <cell r="J6583" t="str">
            <v/>
          </cell>
          <cell r="O6583" t="str">
            <v/>
          </cell>
          <cell r="P6583" t="str">
            <v/>
          </cell>
          <cell r="Q6583" t="str">
            <v/>
          </cell>
          <cell r="S6583" t="str">
            <v/>
          </cell>
          <cell r="V6583" t="str">
            <v/>
          </cell>
          <cell r="Z6583" t="str">
            <v/>
          </cell>
          <cell r="AA6583" t="str">
            <v/>
          </cell>
          <cell r="AB6583" t="str">
            <v/>
          </cell>
          <cell r="AC6583" t="str">
            <v/>
          </cell>
          <cell r="AD6583" t="str">
            <v/>
          </cell>
          <cell r="AY6583" t="str">
            <v/>
          </cell>
          <cell r="AZ6583" t="str">
            <v/>
          </cell>
          <cell r="BA6583" t="str">
            <v/>
          </cell>
        </row>
        <row r="6584">
          <cell r="B6584" t="str">
            <v>-</v>
          </cell>
          <cell r="E6584" t="str">
            <v/>
          </cell>
          <cell r="G6584" t="str">
            <v/>
          </cell>
          <cell r="J6584" t="str">
            <v/>
          </cell>
          <cell r="O6584" t="str">
            <v/>
          </cell>
          <cell r="P6584" t="str">
            <v/>
          </cell>
          <cell r="Q6584" t="str">
            <v/>
          </cell>
          <cell r="S6584" t="str">
            <v/>
          </cell>
          <cell r="V6584" t="str">
            <v/>
          </cell>
          <cell r="Z6584" t="str">
            <v/>
          </cell>
          <cell r="AA6584" t="str">
            <v/>
          </cell>
          <cell r="AB6584" t="str">
            <v/>
          </cell>
          <cell r="AC6584" t="str">
            <v/>
          </cell>
          <cell r="AD6584" t="str">
            <v/>
          </cell>
          <cell r="AY6584" t="str">
            <v/>
          </cell>
          <cell r="AZ6584" t="str">
            <v/>
          </cell>
          <cell r="BA6584" t="str">
            <v/>
          </cell>
        </row>
        <row r="6585">
          <cell r="B6585" t="str">
            <v>-</v>
          </cell>
          <cell r="E6585" t="str">
            <v/>
          </cell>
          <cell r="G6585" t="str">
            <v/>
          </cell>
          <cell r="J6585" t="str">
            <v/>
          </cell>
          <cell r="O6585" t="str">
            <v/>
          </cell>
          <cell r="P6585" t="str">
            <v/>
          </cell>
          <cell r="Q6585" t="str">
            <v/>
          </cell>
          <cell r="S6585" t="str">
            <v/>
          </cell>
          <cell r="V6585" t="str">
            <v/>
          </cell>
          <cell r="Z6585" t="str">
            <v/>
          </cell>
          <cell r="AA6585" t="str">
            <v/>
          </cell>
          <cell r="AB6585" t="str">
            <v/>
          </cell>
          <cell r="AC6585" t="str">
            <v/>
          </cell>
          <cell r="AD6585" t="str">
            <v/>
          </cell>
          <cell r="AY6585" t="str">
            <v/>
          </cell>
          <cell r="AZ6585" t="str">
            <v/>
          </cell>
          <cell r="BA6585" t="str">
            <v/>
          </cell>
        </row>
        <row r="6586">
          <cell r="B6586" t="str">
            <v>-</v>
          </cell>
          <cell r="E6586" t="str">
            <v/>
          </cell>
          <cell r="G6586" t="str">
            <v/>
          </cell>
          <cell r="J6586" t="str">
            <v/>
          </cell>
          <cell r="O6586" t="str">
            <v/>
          </cell>
          <cell r="P6586" t="str">
            <v/>
          </cell>
          <cell r="Q6586" t="str">
            <v/>
          </cell>
          <cell r="S6586" t="str">
            <v/>
          </cell>
          <cell r="V6586" t="str">
            <v/>
          </cell>
          <cell r="Z6586" t="str">
            <v/>
          </cell>
          <cell r="AA6586" t="str">
            <v/>
          </cell>
          <cell r="AB6586" t="str">
            <v/>
          </cell>
          <cell r="AC6586" t="str">
            <v/>
          </cell>
          <cell r="AD6586" t="str">
            <v/>
          </cell>
          <cell r="AY6586" t="str">
            <v/>
          </cell>
          <cell r="AZ6586" t="str">
            <v/>
          </cell>
          <cell r="BA6586" t="str">
            <v/>
          </cell>
        </row>
        <row r="6587">
          <cell r="B6587" t="str">
            <v>-</v>
          </cell>
          <cell r="E6587" t="str">
            <v/>
          </cell>
          <cell r="G6587" t="str">
            <v/>
          </cell>
          <cell r="J6587" t="str">
            <v/>
          </cell>
          <cell r="O6587" t="str">
            <v/>
          </cell>
          <cell r="P6587" t="str">
            <v/>
          </cell>
          <cell r="Q6587" t="str">
            <v/>
          </cell>
          <cell r="S6587" t="str">
            <v/>
          </cell>
          <cell r="V6587" t="str">
            <v/>
          </cell>
          <cell r="Z6587" t="str">
            <v/>
          </cell>
          <cell r="AA6587" t="str">
            <v/>
          </cell>
          <cell r="AB6587" t="str">
            <v/>
          </cell>
          <cell r="AC6587" t="str">
            <v/>
          </cell>
          <cell r="AD6587" t="str">
            <v/>
          </cell>
          <cell r="AY6587" t="str">
            <v/>
          </cell>
          <cell r="AZ6587" t="str">
            <v/>
          </cell>
          <cell r="BA6587" t="str">
            <v/>
          </cell>
        </row>
        <row r="6588">
          <cell r="B6588" t="str">
            <v>-</v>
          </cell>
          <cell r="E6588" t="str">
            <v/>
          </cell>
          <cell r="G6588" t="str">
            <v/>
          </cell>
          <cell r="J6588" t="str">
            <v/>
          </cell>
          <cell r="O6588" t="str">
            <v/>
          </cell>
          <cell r="P6588" t="str">
            <v/>
          </cell>
          <cell r="Q6588" t="str">
            <v/>
          </cell>
          <cell r="S6588" t="str">
            <v/>
          </cell>
          <cell r="V6588" t="str">
            <v/>
          </cell>
          <cell r="Z6588" t="str">
            <v/>
          </cell>
          <cell r="AA6588" t="str">
            <v/>
          </cell>
          <cell r="AB6588" t="str">
            <v/>
          </cell>
          <cell r="AC6588" t="str">
            <v/>
          </cell>
          <cell r="AD6588" t="str">
            <v/>
          </cell>
          <cell r="AY6588" t="str">
            <v/>
          </cell>
          <cell r="AZ6588" t="str">
            <v/>
          </cell>
          <cell r="BA6588" t="str">
            <v/>
          </cell>
        </row>
        <row r="6589">
          <cell r="B6589" t="str">
            <v>-</v>
          </cell>
          <cell r="E6589" t="str">
            <v/>
          </cell>
          <cell r="G6589" t="str">
            <v/>
          </cell>
          <cell r="J6589" t="str">
            <v/>
          </cell>
          <cell r="O6589" t="str">
            <v/>
          </cell>
          <cell r="P6589" t="str">
            <v/>
          </cell>
          <cell r="Q6589" t="str">
            <v/>
          </cell>
          <cell r="S6589" t="str">
            <v/>
          </cell>
          <cell r="V6589" t="str">
            <v/>
          </cell>
          <cell r="Z6589" t="str">
            <v/>
          </cell>
          <cell r="AA6589" t="str">
            <v/>
          </cell>
          <cell r="AB6589" t="str">
            <v/>
          </cell>
          <cell r="AC6589" t="str">
            <v/>
          </cell>
          <cell r="AD6589" t="str">
            <v/>
          </cell>
          <cell r="AY6589" t="str">
            <v/>
          </cell>
          <cell r="AZ6589" t="str">
            <v/>
          </cell>
          <cell r="BA6589" t="str">
            <v/>
          </cell>
        </row>
        <row r="6590">
          <cell r="B6590" t="str">
            <v>-</v>
          </cell>
          <cell r="E6590" t="str">
            <v/>
          </cell>
          <cell r="G6590" t="str">
            <v/>
          </cell>
          <cell r="J6590" t="str">
            <v/>
          </cell>
          <cell r="O6590" t="str">
            <v/>
          </cell>
          <cell r="P6590" t="str">
            <v/>
          </cell>
          <cell r="Q6590" t="str">
            <v/>
          </cell>
          <cell r="S6590" t="str">
            <v/>
          </cell>
          <cell r="V6590" t="str">
            <v/>
          </cell>
          <cell r="Z6590" t="str">
            <v/>
          </cell>
          <cell r="AA6590" t="str">
            <v/>
          </cell>
          <cell r="AB6590" t="str">
            <v/>
          </cell>
          <cell r="AC6590" t="str">
            <v/>
          </cell>
          <cell r="AD6590" t="str">
            <v/>
          </cell>
          <cell r="AY6590" t="str">
            <v/>
          </cell>
          <cell r="AZ6590" t="str">
            <v/>
          </cell>
          <cell r="BA6590" t="str">
            <v/>
          </cell>
        </row>
        <row r="6591">
          <cell r="B6591" t="str">
            <v>-</v>
          </cell>
          <cell r="E6591" t="str">
            <v/>
          </cell>
          <cell r="G6591" t="str">
            <v/>
          </cell>
          <cell r="J6591" t="str">
            <v/>
          </cell>
          <cell r="O6591" t="str">
            <v/>
          </cell>
          <cell r="P6591" t="str">
            <v/>
          </cell>
          <cell r="Q6591" t="str">
            <v/>
          </cell>
          <cell r="S6591" t="str">
            <v/>
          </cell>
          <cell r="V6591" t="str">
            <v/>
          </cell>
          <cell r="Z6591" t="str">
            <v/>
          </cell>
          <cell r="AA6591" t="str">
            <v/>
          </cell>
          <cell r="AB6591" t="str">
            <v/>
          </cell>
          <cell r="AC6591" t="str">
            <v/>
          </cell>
          <cell r="AD6591" t="str">
            <v/>
          </cell>
          <cell r="AY6591" t="str">
            <v/>
          </cell>
          <cell r="AZ6591" t="str">
            <v/>
          </cell>
          <cell r="BA6591" t="str">
            <v/>
          </cell>
        </row>
        <row r="6592">
          <cell r="B6592" t="str">
            <v>-</v>
          </cell>
          <cell r="E6592" t="str">
            <v/>
          </cell>
          <cell r="G6592" t="str">
            <v/>
          </cell>
          <cell r="J6592" t="str">
            <v/>
          </cell>
          <cell r="O6592" t="str">
            <v/>
          </cell>
          <cell r="P6592" t="str">
            <v/>
          </cell>
          <cell r="Q6592" t="str">
            <v/>
          </cell>
          <cell r="S6592" t="str">
            <v/>
          </cell>
          <cell r="V6592" t="str">
            <v/>
          </cell>
          <cell r="Z6592" t="str">
            <v/>
          </cell>
          <cell r="AA6592" t="str">
            <v/>
          </cell>
          <cell r="AB6592" t="str">
            <v/>
          </cell>
          <cell r="AC6592" t="str">
            <v/>
          </cell>
          <cell r="AD6592" t="str">
            <v/>
          </cell>
          <cell r="AY6592" t="str">
            <v/>
          </cell>
          <cell r="AZ6592" t="str">
            <v/>
          </cell>
          <cell r="BA6592" t="str">
            <v/>
          </cell>
        </row>
        <row r="6593">
          <cell r="B6593" t="str">
            <v>-</v>
          </cell>
          <cell r="E6593" t="str">
            <v/>
          </cell>
          <cell r="G6593" t="str">
            <v/>
          </cell>
          <cell r="J6593" t="str">
            <v/>
          </cell>
          <cell r="O6593" t="str">
            <v/>
          </cell>
          <cell r="P6593" t="str">
            <v/>
          </cell>
          <cell r="Q6593" t="str">
            <v/>
          </cell>
          <cell r="S6593" t="str">
            <v/>
          </cell>
          <cell r="V6593" t="str">
            <v/>
          </cell>
          <cell r="Z6593" t="str">
            <v/>
          </cell>
          <cell r="AA6593" t="str">
            <v/>
          </cell>
          <cell r="AB6593" t="str">
            <v/>
          </cell>
          <cell r="AC6593" t="str">
            <v/>
          </cell>
          <cell r="AD6593" t="str">
            <v/>
          </cell>
          <cell r="AY6593" t="str">
            <v/>
          </cell>
          <cell r="AZ6593" t="str">
            <v/>
          </cell>
          <cell r="BA6593" t="str">
            <v/>
          </cell>
        </row>
        <row r="6594">
          <cell r="B6594" t="str">
            <v>-</v>
          </cell>
          <cell r="E6594" t="str">
            <v/>
          </cell>
          <cell r="G6594" t="str">
            <v/>
          </cell>
          <cell r="J6594" t="str">
            <v/>
          </cell>
          <cell r="O6594" t="str">
            <v/>
          </cell>
          <cell r="P6594" t="str">
            <v/>
          </cell>
          <cell r="Q6594" t="str">
            <v/>
          </cell>
          <cell r="S6594" t="str">
            <v/>
          </cell>
          <cell r="V6594" t="str">
            <v/>
          </cell>
          <cell r="Z6594" t="str">
            <v/>
          </cell>
          <cell r="AA6594" t="str">
            <v/>
          </cell>
          <cell r="AB6594" t="str">
            <v/>
          </cell>
          <cell r="AC6594" t="str">
            <v/>
          </cell>
          <cell r="AD6594" t="str">
            <v/>
          </cell>
          <cell r="AY6594" t="str">
            <v/>
          </cell>
          <cell r="AZ6594" t="str">
            <v/>
          </cell>
          <cell r="BA6594" t="str">
            <v/>
          </cell>
        </row>
        <row r="6595">
          <cell r="B6595" t="str">
            <v>-</v>
          </cell>
          <cell r="E6595" t="str">
            <v/>
          </cell>
          <cell r="G6595" t="str">
            <v/>
          </cell>
          <cell r="J6595" t="str">
            <v/>
          </cell>
          <cell r="O6595" t="str">
            <v/>
          </cell>
          <cell r="P6595" t="str">
            <v/>
          </cell>
          <cell r="Q6595" t="str">
            <v/>
          </cell>
          <cell r="S6595" t="str">
            <v/>
          </cell>
          <cell r="V6595" t="str">
            <v/>
          </cell>
          <cell r="Z6595" t="str">
            <v/>
          </cell>
          <cell r="AA6595" t="str">
            <v/>
          </cell>
          <cell r="AB6595" t="str">
            <v/>
          </cell>
          <cell r="AC6595" t="str">
            <v/>
          </cell>
          <cell r="AD6595" t="str">
            <v/>
          </cell>
          <cell r="AY6595" t="str">
            <v/>
          </cell>
          <cell r="AZ6595" t="str">
            <v/>
          </cell>
          <cell r="BA6595" t="str">
            <v/>
          </cell>
        </row>
        <row r="6596">
          <cell r="B6596" t="str">
            <v>-</v>
          </cell>
          <cell r="E6596" t="str">
            <v/>
          </cell>
          <cell r="G6596" t="str">
            <v/>
          </cell>
          <cell r="J6596" t="str">
            <v/>
          </cell>
          <cell r="O6596" t="str">
            <v/>
          </cell>
          <cell r="P6596" t="str">
            <v/>
          </cell>
          <cell r="Q6596" t="str">
            <v/>
          </cell>
          <cell r="S6596" t="str">
            <v/>
          </cell>
          <cell r="V6596" t="str">
            <v/>
          </cell>
          <cell r="Z6596" t="str">
            <v/>
          </cell>
          <cell r="AA6596" t="str">
            <v/>
          </cell>
          <cell r="AB6596" t="str">
            <v/>
          </cell>
          <cell r="AC6596" t="str">
            <v/>
          </cell>
          <cell r="AD6596" t="str">
            <v/>
          </cell>
          <cell r="AY6596" t="str">
            <v/>
          </cell>
          <cell r="AZ6596" t="str">
            <v/>
          </cell>
          <cell r="BA6596" t="str">
            <v/>
          </cell>
        </row>
        <row r="6597">
          <cell r="B6597" t="str">
            <v>-</v>
          </cell>
          <cell r="E6597" t="str">
            <v/>
          </cell>
          <cell r="G6597" t="str">
            <v/>
          </cell>
          <cell r="J6597" t="str">
            <v/>
          </cell>
          <cell r="O6597" t="str">
            <v/>
          </cell>
          <cell r="P6597" t="str">
            <v/>
          </cell>
          <cell r="Q6597" t="str">
            <v/>
          </cell>
          <cell r="S6597" t="str">
            <v/>
          </cell>
          <cell r="V6597" t="str">
            <v/>
          </cell>
          <cell r="Z6597" t="str">
            <v/>
          </cell>
          <cell r="AA6597" t="str">
            <v/>
          </cell>
          <cell r="AB6597" t="str">
            <v/>
          </cell>
          <cell r="AC6597" t="str">
            <v/>
          </cell>
          <cell r="AD6597" t="str">
            <v/>
          </cell>
          <cell r="AY6597" t="str">
            <v/>
          </cell>
          <cell r="AZ6597" t="str">
            <v/>
          </cell>
          <cell r="BA6597" t="str">
            <v/>
          </cell>
        </row>
        <row r="6598">
          <cell r="B6598" t="str">
            <v>-</v>
          </cell>
          <cell r="E6598" t="str">
            <v/>
          </cell>
          <cell r="G6598" t="str">
            <v/>
          </cell>
          <cell r="J6598" t="str">
            <v/>
          </cell>
          <cell r="O6598" t="str">
            <v/>
          </cell>
          <cell r="P6598" t="str">
            <v/>
          </cell>
          <cell r="Q6598" t="str">
            <v/>
          </cell>
          <cell r="S6598" t="str">
            <v/>
          </cell>
          <cell r="V6598" t="str">
            <v/>
          </cell>
          <cell r="Z6598" t="str">
            <v/>
          </cell>
          <cell r="AA6598" t="str">
            <v/>
          </cell>
          <cell r="AB6598" t="str">
            <v/>
          </cell>
          <cell r="AC6598" t="str">
            <v/>
          </cell>
          <cell r="AD6598" t="str">
            <v/>
          </cell>
          <cell r="AY6598" t="str">
            <v/>
          </cell>
          <cell r="AZ6598" t="str">
            <v/>
          </cell>
          <cell r="BA6598" t="str">
            <v/>
          </cell>
        </row>
        <row r="6599">
          <cell r="B6599" t="str">
            <v>-</v>
          </cell>
          <cell r="E6599" t="str">
            <v/>
          </cell>
          <cell r="G6599" t="str">
            <v/>
          </cell>
          <cell r="J6599" t="str">
            <v/>
          </cell>
          <cell r="O6599" t="str">
            <v/>
          </cell>
          <cell r="P6599" t="str">
            <v/>
          </cell>
          <cell r="Q6599" t="str">
            <v/>
          </cell>
          <cell r="S6599" t="str">
            <v/>
          </cell>
          <cell r="V6599" t="str">
            <v/>
          </cell>
          <cell r="Z6599" t="str">
            <v/>
          </cell>
          <cell r="AA6599" t="str">
            <v/>
          </cell>
          <cell r="AB6599" t="str">
            <v/>
          </cell>
          <cell r="AC6599" t="str">
            <v/>
          </cell>
          <cell r="AD6599" t="str">
            <v/>
          </cell>
          <cell r="AY6599" t="str">
            <v/>
          </cell>
          <cell r="AZ6599" t="str">
            <v/>
          </cell>
          <cell r="BA6599" t="str">
            <v/>
          </cell>
        </row>
        <row r="6600">
          <cell r="B6600" t="str">
            <v>-</v>
          </cell>
          <cell r="E6600" t="str">
            <v/>
          </cell>
          <cell r="G6600" t="str">
            <v/>
          </cell>
          <cell r="J6600" t="str">
            <v/>
          </cell>
          <cell r="O6600" t="str">
            <v/>
          </cell>
          <cell r="P6600" t="str">
            <v/>
          </cell>
          <cell r="Q6600" t="str">
            <v/>
          </cell>
          <cell r="S6600" t="str">
            <v/>
          </cell>
          <cell r="V6600" t="str">
            <v/>
          </cell>
          <cell r="Z6600" t="str">
            <v/>
          </cell>
          <cell r="AA6600" t="str">
            <v/>
          </cell>
          <cell r="AB6600" t="str">
            <v/>
          </cell>
          <cell r="AC6600" t="str">
            <v/>
          </cell>
          <cell r="AD6600" t="str">
            <v/>
          </cell>
          <cell r="AY6600" t="str">
            <v/>
          </cell>
          <cell r="AZ6600" t="str">
            <v/>
          </cell>
          <cell r="BA6600" t="str">
            <v/>
          </cell>
        </row>
        <row r="6601">
          <cell r="B6601" t="str">
            <v>-</v>
          </cell>
          <cell r="E6601" t="str">
            <v/>
          </cell>
          <cell r="G6601" t="str">
            <v/>
          </cell>
          <cell r="J6601" t="str">
            <v/>
          </cell>
          <cell r="O6601" t="str">
            <v/>
          </cell>
          <cell r="P6601" t="str">
            <v/>
          </cell>
          <cell r="Q6601" t="str">
            <v/>
          </cell>
          <cell r="S6601" t="str">
            <v/>
          </cell>
          <cell r="V6601" t="str">
            <v/>
          </cell>
          <cell r="Z6601" t="str">
            <v/>
          </cell>
          <cell r="AA6601" t="str">
            <v/>
          </cell>
          <cell r="AB6601" t="str">
            <v/>
          </cell>
          <cell r="AC6601" t="str">
            <v/>
          </cell>
          <cell r="AD6601" t="str">
            <v/>
          </cell>
          <cell r="AY6601" t="str">
            <v/>
          </cell>
          <cell r="AZ6601" t="str">
            <v/>
          </cell>
          <cell r="BA6601" t="str">
            <v/>
          </cell>
        </row>
        <row r="6602">
          <cell r="B6602" t="str">
            <v>-</v>
          </cell>
          <cell r="E6602" t="str">
            <v/>
          </cell>
          <cell r="G6602" t="str">
            <v/>
          </cell>
          <cell r="J6602" t="str">
            <v/>
          </cell>
          <cell r="O6602" t="str">
            <v/>
          </cell>
          <cell r="P6602" t="str">
            <v/>
          </cell>
          <cell r="Q6602" t="str">
            <v/>
          </cell>
          <cell r="S6602" t="str">
            <v/>
          </cell>
          <cell r="V6602" t="str">
            <v/>
          </cell>
          <cell r="Z6602" t="str">
            <v/>
          </cell>
          <cell r="AA6602" t="str">
            <v/>
          </cell>
          <cell r="AB6602" t="str">
            <v/>
          </cell>
          <cell r="AC6602" t="str">
            <v/>
          </cell>
          <cell r="AD6602" t="str">
            <v/>
          </cell>
          <cell r="AY6602" t="str">
            <v/>
          </cell>
          <cell r="AZ6602" t="str">
            <v/>
          </cell>
          <cell r="BA6602" t="str">
            <v/>
          </cell>
        </row>
        <row r="6603">
          <cell r="B6603" t="str">
            <v>-</v>
          </cell>
          <cell r="E6603" t="str">
            <v/>
          </cell>
          <cell r="G6603" t="str">
            <v/>
          </cell>
          <cell r="J6603" t="str">
            <v/>
          </cell>
          <cell r="O6603" t="str">
            <v/>
          </cell>
          <cell r="P6603" t="str">
            <v/>
          </cell>
          <cell r="Q6603" t="str">
            <v/>
          </cell>
          <cell r="S6603" t="str">
            <v/>
          </cell>
          <cell r="V6603" t="str">
            <v/>
          </cell>
          <cell r="Z6603" t="str">
            <v/>
          </cell>
          <cell r="AA6603" t="str">
            <v/>
          </cell>
          <cell r="AB6603" t="str">
            <v/>
          </cell>
          <cell r="AC6603" t="str">
            <v/>
          </cell>
          <cell r="AD6603" t="str">
            <v/>
          </cell>
          <cell r="AY6603" t="str">
            <v/>
          </cell>
          <cell r="AZ6603" t="str">
            <v/>
          </cell>
          <cell r="BA6603" t="str">
            <v/>
          </cell>
        </row>
        <row r="6604">
          <cell r="B6604" t="str">
            <v>-</v>
          </cell>
          <cell r="E6604" t="str">
            <v/>
          </cell>
          <cell r="G6604" t="str">
            <v/>
          </cell>
          <cell r="J6604" t="str">
            <v/>
          </cell>
          <cell r="O6604" t="str">
            <v/>
          </cell>
          <cell r="P6604" t="str">
            <v/>
          </cell>
          <cell r="Q6604" t="str">
            <v/>
          </cell>
          <cell r="S6604" t="str">
            <v/>
          </cell>
          <cell r="V6604" t="str">
            <v/>
          </cell>
          <cell r="Z6604" t="str">
            <v/>
          </cell>
          <cell r="AA6604" t="str">
            <v/>
          </cell>
          <cell r="AB6604" t="str">
            <v/>
          </cell>
          <cell r="AC6604" t="str">
            <v/>
          </cell>
          <cell r="AD6604" t="str">
            <v/>
          </cell>
          <cell r="AY6604" t="str">
            <v/>
          </cell>
          <cell r="AZ6604" t="str">
            <v/>
          </cell>
          <cell r="BA6604" t="str">
            <v/>
          </cell>
        </row>
        <row r="6605">
          <cell r="B6605" t="str">
            <v>-</v>
          </cell>
          <cell r="E6605" t="str">
            <v/>
          </cell>
          <cell r="G6605" t="str">
            <v/>
          </cell>
          <cell r="J6605" t="str">
            <v/>
          </cell>
          <cell r="O6605" t="str">
            <v/>
          </cell>
          <cell r="P6605" t="str">
            <v/>
          </cell>
          <cell r="Q6605" t="str">
            <v/>
          </cell>
          <cell r="S6605" t="str">
            <v/>
          </cell>
          <cell r="V6605" t="str">
            <v/>
          </cell>
          <cell r="Z6605" t="str">
            <v/>
          </cell>
          <cell r="AA6605" t="str">
            <v/>
          </cell>
          <cell r="AB6605" t="str">
            <v/>
          </cell>
          <cell r="AC6605" t="str">
            <v/>
          </cell>
          <cell r="AD6605" t="str">
            <v/>
          </cell>
          <cell r="AY6605" t="str">
            <v/>
          </cell>
          <cell r="AZ6605" t="str">
            <v/>
          </cell>
          <cell r="BA6605" t="str">
            <v/>
          </cell>
        </row>
        <row r="6606">
          <cell r="B6606" t="str">
            <v>-</v>
          </cell>
          <cell r="E6606" t="str">
            <v/>
          </cell>
          <cell r="G6606" t="str">
            <v/>
          </cell>
          <cell r="J6606" t="str">
            <v/>
          </cell>
          <cell r="O6606" t="str">
            <v/>
          </cell>
          <cell r="P6606" t="str">
            <v/>
          </cell>
          <cell r="Q6606" t="str">
            <v/>
          </cell>
          <cell r="S6606" t="str">
            <v/>
          </cell>
          <cell r="V6606" t="str">
            <v/>
          </cell>
          <cell r="Z6606" t="str">
            <v/>
          </cell>
          <cell r="AA6606" t="str">
            <v/>
          </cell>
          <cell r="AB6606" t="str">
            <v/>
          </cell>
          <cell r="AC6606" t="str">
            <v/>
          </cell>
          <cell r="AD6606" t="str">
            <v/>
          </cell>
          <cell r="AY6606" t="str">
            <v/>
          </cell>
          <cell r="AZ6606" t="str">
            <v/>
          </cell>
          <cell r="BA6606" t="str">
            <v/>
          </cell>
        </row>
        <row r="6607">
          <cell r="B6607" t="str">
            <v>-</v>
          </cell>
          <cell r="E6607" t="str">
            <v/>
          </cell>
          <cell r="G6607" t="str">
            <v/>
          </cell>
          <cell r="J6607" t="str">
            <v/>
          </cell>
          <cell r="O6607" t="str">
            <v/>
          </cell>
          <cell r="P6607" t="str">
            <v/>
          </cell>
          <cell r="Q6607" t="str">
            <v/>
          </cell>
          <cell r="S6607" t="str">
            <v/>
          </cell>
          <cell r="V6607" t="str">
            <v/>
          </cell>
          <cell r="Z6607" t="str">
            <v/>
          </cell>
          <cell r="AA6607" t="str">
            <v/>
          </cell>
          <cell r="AB6607" t="str">
            <v/>
          </cell>
          <cell r="AC6607" t="str">
            <v/>
          </cell>
          <cell r="AD6607" t="str">
            <v/>
          </cell>
          <cell r="AY6607" t="str">
            <v/>
          </cell>
          <cell r="AZ6607" t="str">
            <v/>
          </cell>
          <cell r="BA6607" t="str">
            <v/>
          </cell>
        </row>
        <row r="6608">
          <cell r="B6608" t="str">
            <v>-</v>
          </cell>
          <cell r="E6608" t="str">
            <v/>
          </cell>
          <cell r="G6608" t="str">
            <v/>
          </cell>
          <cell r="J6608" t="str">
            <v/>
          </cell>
          <cell r="O6608" t="str">
            <v/>
          </cell>
          <cell r="P6608" t="str">
            <v/>
          </cell>
          <cell r="Q6608" t="str">
            <v/>
          </cell>
          <cell r="S6608" t="str">
            <v/>
          </cell>
          <cell r="V6608" t="str">
            <v/>
          </cell>
          <cell r="Z6608" t="str">
            <v/>
          </cell>
          <cell r="AA6608" t="str">
            <v/>
          </cell>
          <cell r="AB6608" t="str">
            <v/>
          </cell>
          <cell r="AC6608" t="str">
            <v/>
          </cell>
          <cell r="AD6608" t="str">
            <v/>
          </cell>
          <cell r="AY6608" t="str">
            <v/>
          </cell>
          <cell r="AZ6608" t="str">
            <v/>
          </cell>
          <cell r="BA6608" t="str">
            <v/>
          </cell>
        </row>
        <row r="6609">
          <cell r="B6609" t="str">
            <v>-</v>
          </cell>
          <cell r="E6609" t="str">
            <v/>
          </cell>
          <cell r="G6609" t="str">
            <v/>
          </cell>
          <cell r="J6609" t="str">
            <v/>
          </cell>
          <cell r="O6609" t="str">
            <v/>
          </cell>
          <cell r="P6609" t="str">
            <v/>
          </cell>
          <cell r="Q6609" t="str">
            <v/>
          </cell>
          <cell r="S6609" t="str">
            <v/>
          </cell>
          <cell r="V6609" t="str">
            <v/>
          </cell>
          <cell r="Z6609" t="str">
            <v/>
          </cell>
          <cell r="AA6609" t="str">
            <v/>
          </cell>
          <cell r="AB6609" t="str">
            <v/>
          </cell>
          <cell r="AC6609" t="str">
            <v/>
          </cell>
          <cell r="AD6609" t="str">
            <v/>
          </cell>
          <cell r="AY6609" t="str">
            <v/>
          </cell>
          <cell r="AZ6609" t="str">
            <v/>
          </cell>
          <cell r="BA6609" t="str">
            <v/>
          </cell>
        </row>
        <row r="6610">
          <cell r="B6610" t="str">
            <v>-</v>
          </cell>
          <cell r="E6610" t="str">
            <v/>
          </cell>
          <cell r="G6610" t="str">
            <v/>
          </cell>
          <cell r="J6610" t="str">
            <v/>
          </cell>
          <cell r="O6610" t="str">
            <v/>
          </cell>
          <cell r="P6610" t="str">
            <v/>
          </cell>
          <cell r="Q6610" t="str">
            <v/>
          </cell>
          <cell r="S6610" t="str">
            <v/>
          </cell>
          <cell r="V6610" t="str">
            <v/>
          </cell>
          <cell r="Z6610" t="str">
            <v/>
          </cell>
          <cell r="AA6610" t="str">
            <v/>
          </cell>
          <cell r="AB6610" t="str">
            <v/>
          </cell>
          <cell r="AC6610" t="str">
            <v/>
          </cell>
          <cell r="AD6610" t="str">
            <v/>
          </cell>
          <cell r="AY6610" t="str">
            <v/>
          </cell>
          <cell r="AZ6610" t="str">
            <v/>
          </cell>
          <cell r="BA6610" t="str">
            <v/>
          </cell>
        </row>
        <row r="6611">
          <cell r="B6611" t="str">
            <v>-</v>
          </cell>
          <cell r="E6611" t="str">
            <v/>
          </cell>
          <cell r="G6611" t="str">
            <v/>
          </cell>
          <cell r="J6611" t="str">
            <v/>
          </cell>
          <cell r="O6611" t="str">
            <v/>
          </cell>
          <cell r="P6611" t="str">
            <v/>
          </cell>
          <cell r="Q6611" t="str">
            <v/>
          </cell>
          <cell r="S6611" t="str">
            <v/>
          </cell>
          <cell r="V6611" t="str">
            <v/>
          </cell>
          <cell r="Z6611" t="str">
            <v/>
          </cell>
          <cell r="AA6611" t="str">
            <v/>
          </cell>
          <cell r="AB6611" t="str">
            <v/>
          </cell>
          <cell r="AC6611" t="str">
            <v/>
          </cell>
          <cell r="AD6611" t="str">
            <v/>
          </cell>
          <cell r="AY6611" t="str">
            <v/>
          </cell>
          <cell r="AZ6611" t="str">
            <v/>
          </cell>
          <cell r="BA6611" t="str">
            <v/>
          </cell>
        </row>
        <row r="6612">
          <cell r="B6612" t="str">
            <v>-</v>
          </cell>
          <cell r="E6612" t="str">
            <v/>
          </cell>
          <cell r="G6612" t="str">
            <v/>
          </cell>
          <cell r="J6612" t="str">
            <v/>
          </cell>
          <cell r="O6612" t="str">
            <v/>
          </cell>
          <cell r="P6612" t="str">
            <v/>
          </cell>
          <cell r="Q6612" t="str">
            <v/>
          </cell>
          <cell r="S6612" t="str">
            <v/>
          </cell>
          <cell r="V6612" t="str">
            <v/>
          </cell>
          <cell r="Z6612" t="str">
            <v/>
          </cell>
          <cell r="AA6612" t="str">
            <v/>
          </cell>
          <cell r="AB6612" t="str">
            <v/>
          </cell>
          <cell r="AC6612" t="str">
            <v/>
          </cell>
          <cell r="AD6612" t="str">
            <v/>
          </cell>
          <cell r="AY6612" t="str">
            <v/>
          </cell>
          <cell r="AZ6612" t="str">
            <v/>
          </cell>
          <cell r="BA6612" t="str">
            <v/>
          </cell>
        </row>
        <row r="6613">
          <cell r="B6613" t="str">
            <v>-</v>
          </cell>
          <cell r="E6613" t="str">
            <v/>
          </cell>
          <cell r="G6613" t="str">
            <v/>
          </cell>
          <cell r="J6613" t="str">
            <v/>
          </cell>
          <cell r="O6613" t="str">
            <v/>
          </cell>
          <cell r="P6613" t="str">
            <v/>
          </cell>
          <cell r="Q6613" t="str">
            <v/>
          </cell>
          <cell r="S6613" t="str">
            <v/>
          </cell>
          <cell r="V6613" t="str">
            <v/>
          </cell>
          <cell r="Z6613" t="str">
            <v/>
          </cell>
          <cell r="AA6613" t="str">
            <v/>
          </cell>
          <cell r="AB6613" t="str">
            <v/>
          </cell>
          <cell r="AC6613" t="str">
            <v/>
          </cell>
          <cell r="AD6613" t="str">
            <v/>
          </cell>
          <cell r="AY6613" t="str">
            <v/>
          </cell>
          <cell r="AZ6613" t="str">
            <v/>
          </cell>
          <cell r="BA6613" t="str">
            <v/>
          </cell>
        </row>
        <row r="6614">
          <cell r="B6614" t="str">
            <v>-</v>
          </cell>
          <cell r="E6614" t="str">
            <v/>
          </cell>
          <cell r="G6614" t="str">
            <v/>
          </cell>
          <cell r="J6614" t="str">
            <v/>
          </cell>
          <cell r="O6614" t="str">
            <v/>
          </cell>
          <cell r="P6614" t="str">
            <v/>
          </cell>
          <cell r="Q6614" t="str">
            <v/>
          </cell>
          <cell r="S6614" t="str">
            <v/>
          </cell>
          <cell r="V6614" t="str">
            <v/>
          </cell>
          <cell r="Z6614" t="str">
            <v/>
          </cell>
          <cell r="AA6614" t="str">
            <v/>
          </cell>
          <cell r="AB6614" t="str">
            <v/>
          </cell>
          <cell r="AC6614" t="str">
            <v/>
          </cell>
          <cell r="AD6614" t="str">
            <v/>
          </cell>
          <cell r="AY6614" t="str">
            <v/>
          </cell>
          <cell r="AZ6614" t="str">
            <v/>
          </cell>
          <cell r="BA6614" t="str">
            <v/>
          </cell>
        </row>
        <row r="6615">
          <cell r="B6615" t="str">
            <v>-</v>
          </cell>
          <cell r="E6615" t="str">
            <v/>
          </cell>
          <cell r="G6615" t="str">
            <v/>
          </cell>
          <cell r="J6615" t="str">
            <v/>
          </cell>
          <cell r="O6615" t="str">
            <v/>
          </cell>
          <cell r="P6615" t="str">
            <v/>
          </cell>
          <cell r="Q6615" t="str">
            <v/>
          </cell>
          <cell r="S6615" t="str">
            <v/>
          </cell>
          <cell r="V6615" t="str">
            <v/>
          </cell>
          <cell r="Z6615" t="str">
            <v/>
          </cell>
          <cell r="AA6615" t="str">
            <v/>
          </cell>
          <cell r="AB6615" t="str">
            <v/>
          </cell>
          <cell r="AC6615" t="str">
            <v/>
          </cell>
          <cell r="AD6615" t="str">
            <v/>
          </cell>
          <cell r="AY6615" t="str">
            <v/>
          </cell>
          <cell r="AZ6615" t="str">
            <v/>
          </cell>
          <cell r="BA6615" t="str">
            <v/>
          </cell>
        </row>
        <row r="6616">
          <cell r="B6616" t="str">
            <v>-</v>
          </cell>
          <cell r="E6616" t="str">
            <v/>
          </cell>
          <cell r="G6616" t="str">
            <v/>
          </cell>
          <cell r="J6616" t="str">
            <v/>
          </cell>
          <cell r="O6616" t="str">
            <v/>
          </cell>
          <cell r="P6616" t="str">
            <v/>
          </cell>
          <cell r="Q6616" t="str">
            <v/>
          </cell>
          <cell r="S6616" t="str">
            <v/>
          </cell>
          <cell r="V6616" t="str">
            <v/>
          </cell>
          <cell r="Z6616" t="str">
            <v/>
          </cell>
          <cell r="AA6616" t="str">
            <v/>
          </cell>
          <cell r="AB6616" t="str">
            <v/>
          </cell>
          <cell r="AC6616" t="str">
            <v/>
          </cell>
          <cell r="AD6616" t="str">
            <v/>
          </cell>
          <cell r="AY6616" t="str">
            <v/>
          </cell>
          <cell r="AZ6616" t="str">
            <v/>
          </cell>
          <cell r="BA6616" t="str">
            <v/>
          </cell>
        </row>
        <row r="6617">
          <cell r="B6617" t="str">
            <v>-</v>
          </cell>
          <cell r="E6617" t="str">
            <v/>
          </cell>
          <cell r="G6617" t="str">
            <v/>
          </cell>
          <cell r="J6617" t="str">
            <v/>
          </cell>
          <cell r="O6617" t="str">
            <v/>
          </cell>
          <cell r="P6617" t="str">
            <v/>
          </cell>
          <cell r="Q6617" t="str">
            <v/>
          </cell>
          <cell r="S6617" t="str">
            <v/>
          </cell>
          <cell r="V6617" t="str">
            <v/>
          </cell>
          <cell r="Z6617" t="str">
            <v/>
          </cell>
          <cell r="AA6617" t="str">
            <v/>
          </cell>
          <cell r="AB6617" t="str">
            <v/>
          </cell>
          <cell r="AC6617" t="str">
            <v/>
          </cell>
          <cell r="AD6617" t="str">
            <v/>
          </cell>
          <cell r="AY6617" t="str">
            <v/>
          </cell>
          <cell r="AZ6617" t="str">
            <v/>
          </cell>
          <cell r="BA6617" t="str">
            <v/>
          </cell>
        </row>
        <row r="6618">
          <cell r="B6618" t="str">
            <v>-</v>
          </cell>
          <cell r="E6618" t="str">
            <v/>
          </cell>
          <cell r="G6618" t="str">
            <v/>
          </cell>
          <cell r="J6618" t="str">
            <v/>
          </cell>
          <cell r="O6618" t="str">
            <v/>
          </cell>
          <cell r="P6618" t="str">
            <v/>
          </cell>
          <cell r="Q6618" t="str">
            <v/>
          </cell>
          <cell r="S6618" t="str">
            <v/>
          </cell>
          <cell r="V6618" t="str">
            <v/>
          </cell>
          <cell r="Z6618" t="str">
            <v/>
          </cell>
          <cell r="AA6618" t="str">
            <v/>
          </cell>
          <cell r="AB6618" t="str">
            <v/>
          </cell>
          <cell r="AC6618" t="str">
            <v/>
          </cell>
          <cell r="AD6618" t="str">
            <v/>
          </cell>
          <cell r="AY6618" t="str">
            <v/>
          </cell>
          <cell r="AZ6618" t="str">
            <v/>
          </cell>
          <cell r="BA6618" t="str">
            <v/>
          </cell>
        </row>
        <row r="6619">
          <cell r="B6619" t="str">
            <v>-</v>
          </cell>
          <cell r="E6619" t="str">
            <v/>
          </cell>
          <cell r="G6619" t="str">
            <v/>
          </cell>
          <cell r="J6619" t="str">
            <v/>
          </cell>
          <cell r="O6619" t="str">
            <v/>
          </cell>
          <cell r="P6619" t="str">
            <v/>
          </cell>
          <cell r="Q6619" t="str">
            <v/>
          </cell>
          <cell r="S6619" t="str">
            <v/>
          </cell>
          <cell r="V6619" t="str">
            <v/>
          </cell>
          <cell r="Z6619" t="str">
            <v/>
          </cell>
          <cell r="AA6619" t="str">
            <v/>
          </cell>
          <cell r="AB6619" t="str">
            <v/>
          </cell>
          <cell r="AC6619" t="str">
            <v/>
          </cell>
          <cell r="AD6619" t="str">
            <v/>
          </cell>
          <cell r="AY6619" t="str">
            <v/>
          </cell>
          <cell r="AZ6619" t="str">
            <v/>
          </cell>
          <cell r="BA6619" t="str">
            <v/>
          </cell>
        </row>
        <row r="6620">
          <cell r="B6620" t="str">
            <v>-</v>
          </cell>
          <cell r="E6620" t="str">
            <v/>
          </cell>
          <cell r="G6620" t="str">
            <v/>
          </cell>
          <cell r="J6620" t="str">
            <v/>
          </cell>
          <cell r="O6620" t="str">
            <v/>
          </cell>
          <cell r="P6620" t="str">
            <v/>
          </cell>
          <cell r="Q6620" t="str">
            <v/>
          </cell>
          <cell r="S6620" t="str">
            <v/>
          </cell>
          <cell r="V6620" t="str">
            <v/>
          </cell>
          <cell r="Z6620" t="str">
            <v/>
          </cell>
          <cell r="AA6620" t="str">
            <v/>
          </cell>
          <cell r="AB6620" t="str">
            <v/>
          </cell>
          <cell r="AC6620" t="str">
            <v/>
          </cell>
          <cell r="AD6620" t="str">
            <v/>
          </cell>
          <cell r="AY6620" t="str">
            <v/>
          </cell>
          <cell r="AZ6620" t="str">
            <v/>
          </cell>
          <cell r="BA6620" t="str">
            <v/>
          </cell>
        </row>
        <row r="6621">
          <cell r="B6621" t="str">
            <v>-</v>
          </cell>
          <cell r="E6621" t="str">
            <v/>
          </cell>
          <cell r="G6621" t="str">
            <v/>
          </cell>
          <cell r="J6621" t="str">
            <v/>
          </cell>
          <cell r="O6621" t="str">
            <v/>
          </cell>
          <cell r="P6621" t="str">
            <v/>
          </cell>
          <cell r="Q6621" t="str">
            <v/>
          </cell>
          <cell r="S6621" t="str">
            <v/>
          </cell>
          <cell r="V6621" t="str">
            <v/>
          </cell>
          <cell r="Z6621" t="str">
            <v/>
          </cell>
          <cell r="AA6621" t="str">
            <v/>
          </cell>
          <cell r="AB6621" t="str">
            <v/>
          </cell>
          <cell r="AC6621" t="str">
            <v/>
          </cell>
          <cell r="AD6621" t="str">
            <v/>
          </cell>
          <cell r="AY6621" t="str">
            <v/>
          </cell>
          <cell r="AZ6621" t="str">
            <v/>
          </cell>
          <cell r="BA6621" t="str">
            <v/>
          </cell>
        </row>
        <row r="6622">
          <cell r="B6622" t="str">
            <v>-</v>
          </cell>
          <cell r="E6622" t="str">
            <v/>
          </cell>
          <cell r="G6622" t="str">
            <v/>
          </cell>
          <cell r="J6622" t="str">
            <v/>
          </cell>
          <cell r="O6622" t="str">
            <v/>
          </cell>
          <cell r="P6622" t="str">
            <v/>
          </cell>
          <cell r="Q6622" t="str">
            <v/>
          </cell>
          <cell r="S6622" t="str">
            <v/>
          </cell>
          <cell r="V6622" t="str">
            <v/>
          </cell>
          <cell r="Z6622" t="str">
            <v/>
          </cell>
          <cell r="AA6622" t="str">
            <v/>
          </cell>
          <cell r="AB6622" t="str">
            <v/>
          </cell>
          <cell r="AC6622" t="str">
            <v/>
          </cell>
          <cell r="AD6622" t="str">
            <v/>
          </cell>
          <cell r="AY6622" t="str">
            <v/>
          </cell>
          <cell r="AZ6622" t="str">
            <v/>
          </cell>
          <cell r="BA6622" t="str">
            <v/>
          </cell>
        </row>
        <row r="6623">
          <cell r="B6623" t="str">
            <v>-</v>
          </cell>
          <cell r="E6623" t="str">
            <v/>
          </cell>
          <cell r="G6623" t="str">
            <v/>
          </cell>
          <cell r="J6623" t="str">
            <v/>
          </cell>
          <cell r="O6623" t="str">
            <v/>
          </cell>
          <cell r="P6623" t="str">
            <v/>
          </cell>
          <cell r="Q6623" t="str">
            <v/>
          </cell>
          <cell r="S6623" t="str">
            <v/>
          </cell>
          <cell r="V6623" t="str">
            <v/>
          </cell>
          <cell r="Z6623" t="str">
            <v/>
          </cell>
          <cell r="AA6623" t="str">
            <v/>
          </cell>
          <cell r="AB6623" t="str">
            <v/>
          </cell>
          <cell r="AC6623" t="str">
            <v/>
          </cell>
          <cell r="AD6623" t="str">
            <v/>
          </cell>
          <cell r="AY6623" t="str">
            <v/>
          </cell>
          <cell r="AZ6623" t="str">
            <v/>
          </cell>
          <cell r="BA6623" t="str">
            <v/>
          </cell>
        </row>
        <row r="6624">
          <cell r="B6624" t="str">
            <v>-</v>
          </cell>
          <cell r="E6624" t="str">
            <v/>
          </cell>
          <cell r="G6624" t="str">
            <v/>
          </cell>
          <cell r="J6624" t="str">
            <v/>
          </cell>
          <cell r="O6624" t="str">
            <v/>
          </cell>
          <cell r="P6624" t="str">
            <v/>
          </cell>
          <cell r="Q6624" t="str">
            <v/>
          </cell>
          <cell r="S6624" t="str">
            <v/>
          </cell>
          <cell r="V6624" t="str">
            <v/>
          </cell>
          <cell r="Z6624" t="str">
            <v/>
          </cell>
          <cell r="AA6624" t="str">
            <v/>
          </cell>
          <cell r="AB6624" t="str">
            <v/>
          </cell>
          <cell r="AC6624" t="str">
            <v/>
          </cell>
          <cell r="AD6624" t="str">
            <v/>
          </cell>
          <cell r="AY6624" t="str">
            <v/>
          </cell>
          <cell r="AZ6624" t="str">
            <v/>
          </cell>
          <cell r="BA6624" t="str">
            <v/>
          </cell>
        </row>
        <row r="6625">
          <cell r="B6625" t="str">
            <v>-</v>
          </cell>
          <cell r="E6625" t="str">
            <v/>
          </cell>
          <cell r="G6625" t="str">
            <v/>
          </cell>
          <cell r="J6625" t="str">
            <v/>
          </cell>
          <cell r="O6625" t="str">
            <v/>
          </cell>
          <cell r="P6625" t="str">
            <v/>
          </cell>
          <cell r="Q6625" t="str">
            <v/>
          </cell>
          <cell r="S6625" t="str">
            <v/>
          </cell>
          <cell r="V6625" t="str">
            <v/>
          </cell>
          <cell r="Z6625" t="str">
            <v/>
          </cell>
          <cell r="AA6625" t="str">
            <v/>
          </cell>
          <cell r="AB6625" t="str">
            <v/>
          </cell>
          <cell r="AC6625" t="str">
            <v/>
          </cell>
          <cell r="AD6625" t="str">
            <v/>
          </cell>
          <cell r="AY6625" t="str">
            <v/>
          </cell>
          <cell r="AZ6625" t="str">
            <v/>
          </cell>
          <cell r="BA6625" t="str">
            <v/>
          </cell>
        </row>
        <row r="6626">
          <cell r="B6626" t="str">
            <v>-</v>
          </cell>
          <cell r="E6626" t="str">
            <v/>
          </cell>
          <cell r="G6626" t="str">
            <v/>
          </cell>
          <cell r="J6626" t="str">
            <v/>
          </cell>
          <cell r="O6626" t="str">
            <v/>
          </cell>
          <cell r="P6626" t="str">
            <v/>
          </cell>
          <cell r="Q6626" t="str">
            <v/>
          </cell>
          <cell r="S6626" t="str">
            <v/>
          </cell>
          <cell r="V6626" t="str">
            <v/>
          </cell>
          <cell r="Z6626" t="str">
            <v/>
          </cell>
          <cell r="AA6626" t="str">
            <v/>
          </cell>
          <cell r="AB6626" t="str">
            <v/>
          </cell>
          <cell r="AC6626" t="str">
            <v/>
          </cell>
          <cell r="AD6626" t="str">
            <v/>
          </cell>
          <cell r="AY6626" t="str">
            <v/>
          </cell>
          <cell r="AZ6626" t="str">
            <v/>
          </cell>
          <cell r="BA6626" t="str">
            <v/>
          </cell>
        </row>
        <row r="6627">
          <cell r="B6627" t="str">
            <v>-</v>
          </cell>
          <cell r="E6627" t="str">
            <v/>
          </cell>
          <cell r="G6627" t="str">
            <v/>
          </cell>
          <cell r="J6627" t="str">
            <v/>
          </cell>
          <cell r="O6627" t="str">
            <v/>
          </cell>
          <cell r="P6627" t="str">
            <v/>
          </cell>
          <cell r="Q6627" t="str">
            <v/>
          </cell>
          <cell r="S6627" t="str">
            <v/>
          </cell>
          <cell r="V6627" t="str">
            <v/>
          </cell>
          <cell r="Z6627" t="str">
            <v/>
          </cell>
          <cell r="AA6627" t="str">
            <v/>
          </cell>
          <cell r="AB6627" t="str">
            <v/>
          </cell>
          <cell r="AC6627" t="str">
            <v/>
          </cell>
          <cell r="AD6627" t="str">
            <v/>
          </cell>
          <cell r="AY6627" t="str">
            <v/>
          </cell>
          <cell r="AZ6627" t="str">
            <v/>
          </cell>
          <cell r="BA6627" t="str">
            <v/>
          </cell>
        </row>
        <row r="6628">
          <cell r="B6628" t="str">
            <v>-</v>
          </cell>
          <cell r="E6628" t="str">
            <v/>
          </cell>
          <cell r="G6628" t="str">
            <v/>
          </cell>
          <cell r="J6628" t="str">
            <v/>
          </cell>
          <cell r="O6628" t="str">
            <v/>
          </cell>
          <cell r="P6628" t="str">
            <v/>
          </cell>
          <cell r="Q6628" t="str">
            <v/>
          </cell>
          <cell r="S6628" t="str">
            <v/>
          </cell>
          <cell r="V6628" t="str">
            <v/>
          </cell>
          <cell r="Z6628" t="str">
            <v/>
          </cell>
          <cell r="AA6628" t="str">
            <v/>
          </cell>
          <cell r="AB6628" t="str">
            <v/>
          </cell>
          <cell r="AC6628" t="str">
            <v/>
          </cell>
          <cell r="AD6628" t="str">
            <v/>
          </cell>
          <cell r="AY6628" t="str">
            <v/>
          </cell>
          <cell r="AZ6628" t="str">
            <v/>
          </cell>
          <cell r="BA6628" t="str">
            <v/>
          </cell>
        </row>
        <row r="6629">
          <cell r="B6629" t="str">
            <v>-</v>
          </cell>
          <cell r="E6629" t="str">
            <v/>
          </cell>
          <cell r="G6629" t="str">
            <v/>
          </cell>
          <cell r="J6629" t="str">
            <v/>
          </cell>
          <cell r="O6629" t="str">
            <v/>
          </cell>
          <cell r="P6629" t="str">
            <v/>
          </cell>
          <cell r="Q6629" t="str">
            <v/>
          </cell>
          <cell r="S6629" t="str">
            <v/>
          </cell>
          <cell r="V6629" t="str">
            <v/>
          </cell>
          <cell r="Z6629" t="str">
            <v/>
          </cell>
          <cell r="AA6629" t="str">
            <v/>
          </cell>
          <cell r="AB6629" t="str">
            <v/>
          </cell>
          <cell r="AC6629" t="str">
            <v/>
          </cell>
          <cell r="AD6629" t="str">
            <v/>
          </cell>
          <cell r="AY6629" t="str">
            <v/>
          </cell>
          <cell r="AZ6629" t="str">
            <v/>
          </cell>
          <cell r="BA6629" t="str">
            <v/>
          </cell>
        </row>
        <row r="6630">
          <cell r="B6630" t="str">
            <v>-</v>
          </cell>
          <cell r="E6630" t="str">
            <v/>
          </cell>
          <cell r="G6630" t="str">
            <v/>
          </cell>
          <cell r="J6630" t="str">
            <v/>
          </cell>
          <cell r="O6630" t="str">
            <v/>
          </cell>
          <cell r="P6630" t="str">
            <v/>
          </cell>
          <cell r="Q6630" t="str">
            <v/>
          </cell>
          <cell r="S6630" t="str">
            <v/>
          </cell>
          <cell r="V6630" t="str">
            <v/>
          </cell>
          <cell r="Z6630" t="str">
            <v/>
          </cell>
          <cell r="AA6630" t="str">
            <v/>
          </cell>
          <cell r="AB6630" t="str">
            <v/>
          </cell>
          <cell r="AC6630" t="str">
            <v/>
          </cell>
          <cell r="AD6630" t="str">
            <v/>
          </cell>
          <cell r="AY6630" t="str">
            <v/>
          </cell>
          <cell r="AZ6630" t="str">
            <v/>
          </cell>
          <cell r="BA6630" t="str">
            <v/>
          </cell>
        </row>
        <row r="6631">
          <cell r="B6631" t="str">
            <v>-</v>
          </cell>
          <cell r="E6631" t="str">
            <v/>
          </cell>
          <cell r="G6631" t="str">
            <v/>
          </cell>
          <cell r="J6631" t="str">
            <v/>
          </cell>
          <cell r="O6631" t="str">
            <v/>
          </cell>
          <cell r="P6631" t="str">
            <v/>
          </cell>
          <cell r="Q6631" t="str">
            <v/>
          </cell>
          <cell r="S6631" t="str">
            <v/>
          </cell>
          <cell r="V6631" t="str">
            <v/>
          </cell>
          <cell r="Z6631" t="str">
            <v/>
          </cell>
          <cell r="AA6631" t="str">
            <v/>
          </cell>
          <cell r="AB6631" t="str">
            <v/>
          </cell>
          <cell r="AC6631" t="str">
            <v/>
          </cell>
          <cell r="AD6631" t="str">
            <v/>
          </cell>
          <cell r="AY6631" t="str">
            <v/>
          </cell>
          <cell r="AZ6631" t="str">
            <v/>
          </cell>
          <cell r="BA6631" t="str">
            <v/>
          </cell>
        </row>
        <row r="6632">
          <cell r="B6632" t="str">
            <v>-</v>
          </cell>
          <cell r="E6632" t="str">
            <v/>
          </cell>
          <cell r="G6632" t="str">
            <v/>
          </cell>
          <cell r="J6632" t="str">
            <v/>
          </cell>
          <cell r="O6632" t="str">
            <v/>
          </cell>
          <cell r="P6632" t="str">
            <v/>
          </cell>
          <cell r="Q6632" t="str">
            <v/>
          </cell>
          <cell r="S6632" t="str">
            <v/>
          </cell>
          <cell r="V6632" t="str">
            <v/>
          </cell>
          <cell r="Z6632" t="str">
            <v/>
          </cell>
          <cell r="AA6632" t="str">
            <v/>
          </cell>
          <cell r="AB6632" t="str">
            <v/>
          </cell>
          <cell r="AC6632" t="str">
            <v/>
          </cell>
          <cell r="AD6632" t="str">
            <v/>
          </cell>
          <cell r="AY6632" t="str">
            <v/>
          </cell>
          <cell r="AZ6632" t="str">
            <v/>
          </cell>
          <cell r="BA6632" t="str">
            <v/>
          </cell>
        </row>
        <row r="6633">
          <cell r="B6633" t="str">
            <v>-</v>
          </cell>
          <cell r="E6633" t="str">
            <v/>
          </cell>
          <cell r="G6633" t="str">
            <v/>
          </cell>
          <cell r="J6633" t="str">
            <v/>
          </cell>
          <cell r="O6633" t="str">
            <v/>
          </cell>
          <cell r="P6633" t="str">
            <v/>
          </cell>
          <cell r="Q6633" t="str">
            <v/>
          </cell>
          <cell r="S6633" t="str">
            <v/>
          </cell>
          <cell r="V6633" t="str">
            <v/>
          </cell>
          <cell r="Z6633" t="str">
            <v/>
          </cell>
          <cell r="AA6633" t="str">
            <v/>
          </cell>
          <cell r="AB6633" t="str">
            <v/>
          </cell>
          <cell r="AC6633" t="str">
            <v/>
          </cell>
          <cell r="AD6633" t="str">
            <v/>
          </cell>
          <cell r="AY6633" t="str">
            <v/>
          </cell>
          <cell r="AZ6633" t="str">
            <v/>
          </cell>
          <cell r="BA6633" t="str">
            <v/>
          </cell>
        </row>
        <row r="6634">
          <cell r="B6634" t="str">
            <v>-</v>
          </cell>
          <cell r="E6634" t="str">
            <v/>
          </cell>
          <cell r="G6634" t="str">
            <v/>
          </cell>
          <cell r="J6634" t="str">
            <v/>
          </cell>
          <cell r="O6634" t="str">
            <v/>
          </cell>
          <cell r="P6634" t="str">
            <v/>
          </cell>
          <cell r="Q6634" t="str">
            <v/>
          </cell>
          <cell r="S6634" t="str">
            <v/>
          </cell>
          <cell r="V6634" t="str">
            <v/>
          </cell>
          <cell r="Z6634" t="str">
            <v/>
          </cell>
          <cell r="AA6634" t="str">
            <v/>
          </cell>
          <cell r="AB6634" t="str">
            <v/>
          </cell>
          <cell r="AC6634" t="str">
            <v/>
          </cell>
          <cell r="AD6634" t="str">
            <v/>
          </cell>
          <cell r="AY6634" t="str">
            <v/>
          </cell>
          <cell r="AZ6634" t="str">
            <v/>
          </cell>
          <cell r="BA6634" t="str">
            <v/>
          </cell>
        </row>
        <row r="6635">
          <cell r="B6635" t="str">
            <v>-</v>
          </cell>
          <cell r="E6635" t="str">
            <v/>
          </cell>
          <cell r="G6635" t="str">
            <v/>
          </cell>
          <cell r="J6635" t="str">
            <v/>
          </cell>
          <cell r="O6635" t="str">
            <v/>
          </cell>
          <cell r="P6635" t="str">
            <v/>
          </cell>
          <cell r="Q6635" t="str">
            <v/>
          </cell>
          <cell r="S6635" t="str">
            <v/>
          </cell>
          <cell r="V6635" t="str">
            <v/>
          </cell>
          <cell r="Z6635" t="str">
            <v/>
          </cell>
          <cell r="AA6635" t="str">
            <v/>
          </cell>
          <cell r="AB6635" t="str">
            <v/>
          </cell>
          <cell r="AC6635" t="str">
            <v/>
          </cell>
          <cell r="AD6635" t="str">
            <v/>
          </cell>
          <cell r="AY6635" t="str">
            <v/>
          </cell>
          <cell r="AZ6635" t="str">
            <v/>
          </cell>
          <cell r="BA6635" t="str">
            <v/>
          </cell>
        </row>
        <row r="6636">
          <cell r="B6636" t="str">
            <v>-</v>
          </cell>
          <cell r="E6636" t="str">
            <v/>
          </cell>
          <cell r="G6636" t="str">
            <v/>
          </cell>
          <cell r="J6636" t="str">
            <v/>
          </cell>
          <cell r="O6636" t="str">
            <v/>
          </cell>
          <cell r="P6636" t="str">
            <v/>
          </cell>
          <cell r="Q6636" t="str">
            <v/>
          </cell>
          <cell r="S6636" t="str">
            <v/>
          </cell>
          <cell r="V6636" t="str">
            <v/>
          </cell>
          <cell r="Z6636" t="str">
            <v/>
          </cell>
          <cell r="AA6636" t="str">
            <v/>
          </cell>
          <cell r="AB6636" t="str">
            <v/>
          </cell>
          <cell r="AC6636" t="str">
            <v/>
          </cell>
          <cell r="AD6636" t="str">
            <v/>
          </cell>
          <cell r="AY6636" t="str">
            <v/>
          </cell>
          <cell r="AZ6636" t="str">
            <v/>
          </cell>
          <cell r="BA6636" t="str">
            <v/>
          </cell>
        </row>
        <row r="6637">
          <cell r="B6637" t="str">
            <v>-</v>
          </cell>
          <cell r="E6637" t="str">
            <v/>
          </cell>
          <cell r="G6637" t="str">
            <v/>
          </cell>
          <cell r="J6637" t="str">
            <v/>
          </cell>
          <cell r="O6637" t="str">
            <v/>
          </cell>
          <cell r="P6637" t="str">
            <v/>
          </cell>
          <cell r="Q6637" t="str">
            <v/>
          </cell>
          <cell r="S6637" t="str">
            <v/>
          </cell>
          <cell r="V6637" t="str">
            <v/>
          </cell>
          <cell r="Z6637" t="str">
            <v/>
          </cell>
          <cell r="AA6637" t="str">
            <v/>
          </cell>
          <cell r="AB6637" t="str">
            <v/>
          </cell>
          <cell r="AC6637" t="str">
            <v/>
          </cell>
          <cell r="AD6637" t="str">
            <v/>
          </cell>
          <cell r="AY6637" t="str">
            <v/>
          </cell>
          <cell r="AZ6637" t="str">
            <v/>
          </cell>
          <cell r="BA6637" t="str">
            <v/>
          </cell>
        </row>
        <row r="6638">
          <cell r="B6638" t="str">
            <v>-</v>
          </cell>
          <cell r="E6638" t="str">
            <v/>
          </cell>
          <cell r="G6638" t="str">
            <v/>
          </cell>
          <cell r="J6638" t="str">
            <v/>
          </cell>
          <cell r="O6638" t="str">
            <v/>
          </cell>
          <cell r="P6638" t="str">
            <v/>
          </cell>
          <cell r="Q6638" t="str">
            <v/>
          </cell>
          <cell r="S6638" t="str">
            <v/>
          </cell>
          <cell r="V6638" t="str">
            <v/>
          </cell>
          <cell r="Z6638" t="str">
            <v/>
          </cell>
          <cell r="AA6638" t="str">
            <v/>
          </cell>
          <cell r="AB6638" t="str">
            <v/>
          </cell>
          <cell r="AC6638" t="str">
            <v/>
          </cell>
          <cell r="AD6638" t="str">
            <v/>
          </cell>
          <cell r="AY6638" t="str">
            <v/>
          </cell>
          <cell r="AZ6638" t="str">
            <v/>
          </cell>
          <cell r="BA6638" t="str">
            <v/>
          </cell>
        </row>
        <row r="6639">
          <cell r="B6639" t="str">
            <v>-</v>
          </cell>
          <cell r="E6639" t="str">
            <v/>
          </cell>
          <cell r="G6639" t="str">
            <v/>
          </cell>
          <cell r="J6639" t="str">
            <v/>
          </cell>
          <cell r="O6639" t="str">
            <v/>
          </cell>
          <cell r="P6639" t="str">
            <v/>
          </cell>
          <cell r="Q6639" t="str">
            <v/>
          </cell>
          <cell r="S6639" t="str">
            <v/>
          </cell>
          <cell r="V6639" t="str">
            <v/>
          </cell>
          <cell r="Z6639" t="str">
            <v/>
          </cell>
          <cell r="AA6639" t="str">
            <v/>
          </cell>
          <cell r="AB6639" t="str">
            <v/>
          </cell>
          <cell r="AC6639" t="str">
            <v/>
          </cell>
          <cell r="AD6639" t="str">
            <v/>
          </cell>
          <cell r="AY6639" t="str">
            <v/>
          </cell>
          <cell r="AZ6639" t="str">
            <v/>
          </cell>
          <cell r="BA6639" t="str">
            <v/>
          </cell>
        </row>
        <row r="6640">
          <cell r="B6640" t="str">
            <v>-</v>
          </cell>
          <cell r="E6640" t="str">
            <v/>
          </cell>
          <cell r="G6640" t="str">
            <v/>
          </cell>
          <cell r="J6640" t="str">
            <v/>
          </cell>
          <cell r="O6640" t="str">
            <v/>
          </cell>
          <cell r="P6640" t="str">
            <v/>
          </cell>
          <cell r="Q6640" t="str">
            <v/>
          </cell>
          <cell r="S6640" t="str">
            <v/>
          </cell>
          <cell r="V6640" t="str">
            <v/>
          </cell>
          <cell r="Z6640" t="str">
            <v/>
          </cell>
          <cell r="AA6640" t="str">
            <v/>
          </cell>
          <cell r="AB6640" t="str">
            <v/>
          </cell>
          <cell r="AC6640" t="str">
            <v/>
          </cell>
          <cell r="AD6640" t="str">
            <v/>
          </cell>
          <cell r="AY6640" t="str">
            <v/>
          </cell>
          <cell r="AZ6640" t="str">
            <v/>
          </cell>
          <cell r="BA6640" t="str">
            <v/>
          </cell>
        </row>
        <row r="6641">
          <cell r="B6641" t="str">
            <v>-</v>
          </cell>
          <cell r="E6641" t="str">
            <v/>
          </cell>
          <cell r="G6641" t="str">
            <v/>
          </cell>
          <cell r="J6641" t="str">
            <v/>
          </cell>
          <cell r="O6641" t="str">
            <v/>
          </cell>
          <cell r="P6641" t="str">
            <v/>
          </cell>
          <cell r="Q6641" t="str">
            <v/>
          </cell>
          <cell r="S6641" t="str">
            <v/>
          </cell>
          <cell r="V6641" t="str">
            <v/>
          </cell>
          <cell r="Z6641" t="str">
            <v/>
          </cell>
          <cell r="AA6641" t="str">
            <v/>
          </cell>
          <cell r="AB6641" t="str">
            <v/>
          </cell>
          <cell r="AC6641" t="str">
            <v/>
          </cell>
          <cell r="AD6641" t="str">
            <v/>
          </cell>
          <cell r="AY6641" t="str">
            <v/>
          </cell>
          <cell r="AZ6641" t="str">
            <v/>
          </cell>
          <cell r="BA6641" t="str">
            <v/>
          </cell>
        </row>
        <row r="6642">
          <cell r="B6642" t="str">
            <v>-</v>
          </cell>
          <cell r="E6642" t="str">
            <v/>
          </cell>
          <cell r="G6642" t="str">
            <v/>
          </cell>
          <cell r="J6642" t="str">
            <v/>
          </cell>
          <cell r="O6642" t="str">
            <v/>
          </cell>
          <cell r="P6642" t="str">
            <v/>
          </cell>
          <cell r="Q6642" t="str">
            <v/>
          </cell>
          <cell r="S6642" t="str">
            <v/>
          </cell>
          <cell r="V6642" t="str">
            <v/>
          </cell>
          <cell r="Z6642" t="str">
            <v/>
          </cell>
          <cell r="AA6642" t="str">
            <v/>
          </cell>
          <cell r="AB6642" t="str">
            <v/>
          </cell>
          <cell r="AC6642" t="str">
            <v/>
          </cell>
          <cell r="AD6642" t="str">
            <v/>
          </cell>
          <cell r="AY6642" t="str">
            <v/>
          </cell>
          <cell r="AZ6642" t="str">
            <v/>
          </cell>
          <cell r="BA6642" t="str">
            <v/>
          </cell>
        </row>
        <row r="6643">
          <cell r="B6643" t="str">
            <v>-</v>
          </cell>
          <cell r="E6643" t="str">
            <v/>
          </cell>
          <cell r="G6643" t="str">
            <v/>
          </cell>
          <cell r="J6643" t="str">
            <v/>
          </cell>
          <cell r="O6643" t="str">
            <v/>
          </cell>
          <cell r="P6643" t="str">
            <v/>
          </cell>
          <cell r="Q6643" t="str">
            <v/>
          </cell>
          <cell r="S6643" t="str">
            <v/>
          </cell>
          <cell r="V6643" t="str">
            <v/>
          </cell>
          <cell r="Z6643" t="str">
            <v/>
          </cell>
          <cell r="AA6643" t="str">
            <v/>
          </cell>
          <cell r="AB6643" t="str">
            <v/>
          </cell>
          <cell r="AC6643" t="str">
            <v/>
          </cell>
          <cell r="AD6643" t="str">
            <v/>
          </cell>
          <cell r="AY6643" t="str">
            <v/>
          </cell>
          <cell r="AZ6643" t="str">
            <v/>
          </cell>
          <cell r="BA6643" t="str">
            <v/>
          </cell>
        </row>
        <row r="6644">
          <cell r="B6644" t="str">
            <v>-</v>
          </cell>
          <cell r="E6644" t="str">
            <v/>
          </cell>
          <cell r="G6644" t="str">
            <v/>
          </cell>
          <cell r="J6644" t="str">
            <v/>
          </cell>
          <cell r="O6644" t="str">
            <v/>
          </cell>
          <cell r="P6644" t="str">
            <v/>
          </cell>
          <cell r="Q6644" t="str">
            <v/>
          </cell>
          <cell r="S6644" t="str">
            <v/>
          </cell>
          <cell r="V6644" t="str">
            <v/>
          </cell>
          <cell r="Z6644" t="str">
            <v/>
          </cell>
          <cell r="AA6644" t="str">
            <v/>
          </cell>
          <cell r="AB6644" t="str">
            <v/>
          </cell>
          <cell r="AC6644" t="str">
            <v/>
          </cell>
          <cell r="AD6644" t="str">
            <v/>
          </cell>
          <cell r="AY6644" t="str">
            <v/>
          </cell>
          <cell r="AZ6644" t="str">
            <v/>
          </cell>
          <cell r="BA6644" t="str">
            <v/>
          </cell>
        </row>
        <row r="6645">
          <cell r="B6645" t="str">
            <v>-</v>
          </cell>
          <cell r="E6645" t="str">
            <v/>
          </cell>
          <cell r="G6645" t="str">
            <v/>
          </cell>
          <cell r="J6645" t="str">
            <v/>
          </cell>
          <cell r="O6645" t="str">
            <v/>
          </cell>
          <cell r="P6645" t="str">
            <v/>
          </cell>
          <cell r="Q6645" t="str">
            <v/>
          </cell>
          <cell r="S6645" t="str">
            <v/>
          </cell>
          <cell r="V6645" t="str">
            <v/>
          </cell>
          <cell r="Z6645" t="str">
            <v/>
          </cell>
          <cell r="AA6645" t="str">
            <v/>
          </cell>
          <cell r="AB6645" t="str">
            <v/>
          </cell>
          <cell r="AC6645" t="str">
            <v/>
          </cell>
          <cell r="AD6645" t="str">
            <v/>
          </cell>
          <cell r="AY6645" t="str">
            <v/>
          </cell>
          <cell r="AZ6645" t="str">
            <v/>
          </cell>
          <cell r="BA6645" t="str">
            <v/>
          </cell>
        </row>
        <row r="6646">
          <cell r="B6646" t="str">
            <v>-</v>
          </cell>
          <cell r="E6646" t="str">
            <v/>
          </cell>
          <cell r="G6646" t="str">
            <v/>
          </cell>
          <cell r="J6646" t="str">
            <v/>
          </cell>
          <cell r="O6646" t="str">
            <v/>
          </cell>
          <cell r="P6646" t="str">
            <v/>
          </cell>
          <cell r="Q6646" t="str">
            <v/>
          </cell>
          <cell r="S6646" t="str">
            <v/>
          </cell>
          <cell r="V6646" t="str">
            <v/>
          </cell>
          <cell r="Z6646" t="str">
            <v/>
          </cell>
          <cell r="AA6646" t="str">
            <v/>
          </cell>
          <cell r="AB6646" t="str">
            <v/>
          </cell>
          <cell r="AC6646" t="str">
            <v/>
          </cell>
          <cell r="AD6646" t="str">
            <v/>
          </cell>
          <cell r="AY6646" t="str">
            <v/>
          </cell>
          <cell r="AZ6646" t="str">
            <v/>
          </cell>
          <cell r="BA6646" t="str">
            <v/>
          </cell>
        </row>
        <row r="6647">
          <cell r="B6647" t="str">
            <v>-</v>
          </cell>
          <cell r="E6647" t="str">
            <v/>
          </cell>
          <cell r="G6647" t="str">
            <v/>
          </cell>
          <cell r="J6647" t="str">
            <v/>
          </cell>
          <cell r="O6647" t="str">
            <v/>
          </cell>
          <cell r="P6647" t="str">
            <v/>
          </cell>
          <cell r="Q6647" t="str">
            <v/>
          </cell>
          <cell r="S6647" t="str">
            <v/>
          </cell>
          <cell r="V6647" t="str">
            <v/>
          </cell>
          <cell r="Z6647" t="str">
            <v/>
          </cell>
          <cell r="AA6647" t="str">
            <v/>
          </cell>
          <cell r="AB6647" t="str">
            <v/>
          </cell>
          <cell r="AC6647" t="str">
            <v/>
          </cell>
          <cell r="AD6647" t="str">
            <v/>
          </cell>
          <cell r="AY6647" t="str">
            <v/>
          </cell>
          <cell r="AZ6647" t="str">
            <v/>
          </cell>
          <cell r="BA6647" t="str">
            <v/>
          </cell>
        </row>
        <row r="6648">
          <cell r="B6648" t="str">
            <v>-</v>
          </cell>
          <cell r="E6648" t="str">
            <v/>
          </cell>
          <cell r="G6648" t="str">
            <v/>
          </cell>
          <cell r="J6648" t="str">
            <v/>
          </cell>
          <cell r="O6648" t="str">
            <v/>
          </cell>
          <cell r="P6648" t="str">
            <v/>
          </cell>
          <cell r="Q6648" t="str">
            <v/>
          </cell>
          <cell r="S6648" t="str">
            <v/>
          </cell>
          <cell r="V6648" t="str">
            <v/>
          </cell>
          <cell r="Z6648" t="str">
            <v/>
          </cell>
          <cell r="AA6648" t="str">
            <v/>
          </cell>
          <cell r="AB6648" t="str">
            <v/>
          </cell>
          <cell r="AC6648" t="str">
            <v/>
          </cell>
          <cell r="AD6648" t="str">
            <v/>
          </cell>
          <cell r="AY6648" t="str">
            <v/>
          </cell>
          <cell r="AZ6648" t="str">
            <v/>
          </cell>
          <cell r="BA6648" t="str">
            <v/>
          </cell>
        </row>
        <row r="6649">
          <cell r="B6649" t="str">
            <v>-</v>
          </cell>
          <cell r="E6649" t="str">
            <v/>
          </cell>
          <cell r="G6649" t="str">
            <v/>
          </cell>
          <cell r="J6649" t="str">
            <v/>
          </cell>
          <cell r="O6649" t="str">
            <v/>
          </cell>
          <cell r="P6649" t="str">
            <v/>
          </cell>
          <cell r="Q6649" t="str">
            <v/>
          </cell>
          <cell r="S6649" t="str">
            <v/>
          </cell>
          <cell r="V6649" t="str">
            <v/>
          </cell>
          <cell r="Z6649" t="str">
            <v/>
          </cell>
          <cell r="AA6649" t="str">
            <v/>
          </cell>
          <cell r="AB6649" t="str">
            <v/>
          </cell>
          <cell r="AC6649" t="str">
            <v/>
          </cell>
          <cell r="AD6649" t="str">
            <v/>
          </cell>
          <cell r="AY6649" t="str">
            <v/>
          </cell>
          <cell r="AZ6649" t="str">
            <v/>
          </cell>
          <cell r="BA6649" t="str">
            <v/>
          </cell>
        </row>
        <row r="6650">
          <cell r="B6650" t="str">
            <v>-</v>
          </cell>
          <cell r="E6650" t="str">
            <v/>
          </cell>
          <cell r="G6650" t="str">
            <v/>
          </cell>
          <cell r="J6650" t="str">
            <v/>
          </cell>
          <cell r="O6650" t="str">
            <v/>
          </cell>
          <cell r="P6650" t="str">
            <v/>
          </cell>
          <cell r="Q6650" t="str">
            <v/>
          </cell>
          <cell r="S6650" t="str">
            <v/>
          </cell>
          <cell r="V6650" t="str">
            <v/>
          </cell>
          <cell r="Z6650" t="str">
            <v/>
          </cell>
          <cell r="AA6650" t="str">
            <v/>
          </cell>
          <cell r="AB6650" t="str">
            <v/>
          </cell>
          <cell r="AC6650" t="str">
            <v/>
          </cell>
          <cell r="AD6650" t="str">
            <v/>
          </cell>
          <cell r="AY6650" t="str">
            <v/>
          </cell>
          <cell r="AZ6650" t="str">
            <v/>
          </cell>
          <cell r="BA6650" t="str">
            <v/>
          </cell>
        </row>
        <row r="6651">
          <cell r="B6651" t="str">
            <v>-</v>
          </cell>
          <cell r="E6651" t="str">
            <v/>
          </cell>
          <cell r="G6651" t="str">
            <v/>
          </cell>
          <cell r="J6651" t="str">
            <v/>
          </cell>
          <cell r="O6651" t="str">
            <v/>
          </cell>
          <cell r="P6651" t="str">
            <v/>
          </cell>
          <cell r="Q6651" t="str">
            <v/>
          </cell>
          <cell r="S6651" t="str">
            <v/>
          </cell>
          <cell r="V6651" t="str">
            <v/>
          </cell>
          <cell r="Z6651" t="str">
            <v/>
          </cell>
          <cell r="AA6651" t="str">
            <v/>
          </cell>
          <cell r="AB6651" t="str">
            <v/>
          </cell>
          <cell r="AC6651" t="str">
            <v/>
          </cell>
          <cell r="AD6651" t="str">
            <v/>
          </cell>
          <cell r="AY6651" t="str">
            <v/>
          </cell>
          <cell r="AZ6651" t="str">
            <v/>
          </cell>
          <cell r="BA6651" t="str">
            <v/>
          </cell>
        </row>
        <row r="6652">
          <cell r="B6652" t="str">
            <v>-</v>
          </cell>
          <cell r="E6652" t="str">
            <v/>
          </cell>
          <cell r="G6652" t="str">
            <v/>
          </cell>
          <cell r="J6652" t="str">
            <v/>
          </cell>
          <cell r="O6652" t="str">
            <v/>
          </cell>
          <cell r="P6652" t="str">
            <v/>
          </cell>
          <cell r="Q6652" t="str">
            <v/>
          </cell>
          <cell r="S6652" t="str">
            <v/>
          </cell>
          <cell r="V6652" t="str">
            <v/>
          </cell>
          <cell r="Z6652" t="str">
            <v/>
          </cell>
          <cell r="AA6652" t="str">
            <v/>
          </cell>
          <cell r="AB6652" t="str">
            <v/>
          </cell>
          <cell r="AC6652" t="str">
            <v/>
          </cell>
          <cell r="AD6652" t="str">
            <v/>
          </cell>
          <cell r="AY6652" t="str">
            <v/>
          </cell>
          <cell r="AZ6652" t="str">
            <v/>
          </cell>
          <cell r="BA6652" t="str">
            <v/>
          </cell>
        </row>
        <row r="6653">
          <cell r="B6653" t="str">
            <v>-</v>
          </cell>
          <cell r="E6653" t="str">
            <v/>
          </cell>
          <cell r="G6653" t="str">
            <v/>
          </cell>
          <cell r="J6653" t="str">
            <v/>
          </cell>
          <cell r="O6653" t="str">
            <v/>
          </cell>
          <cell r="P6653" t="str">
            <v/>
          </cell>
          <cell r="Q6653" t="str">
            <v/>
          </cell>
          <cell r="S6653" t="str">
            <v/>
          </cell>
          <cell r="V6653" t="str">
            <v/>
          </cell>
          <cell r="Z6653" t="str">
            <v/>
          </cell>
          <cell r="AA6653" t="str">
            <v/>
          </cell>
          <cell r="AB6653" t="str">
            <v/>
          </cell>
          <cell r="AC6653" t="str">
            <v/>
          </cell>
          <cell r="AD6653" t="str">
            <v/>
          </cell>
          <cell r="AY6653" t="str">
            <v/>
          </cell>
          <cell r="AZ6653" t="str">
            <v/>
          </cell>
          <cell r="BA6653" t="str">
            <v/>
          </cell>
        </row>
        <row r="6654">
          <cell r="B6654" t="str">
            <v>-</v>
          </cell>
          <cell r="E6654" t="str">
            <v/>
          </cell>
          <cell r="G6654" t="str">
            <v/>
          </cell>
          <cell r="J6654" t="str">
            <v/>
          </cell>
          <cell r="O6654" t="str">
            <v/>
          </cell>
          <cell r="P6654" t="str">
            <v/>
          </cell>
          <cell r="Q6654" t="str">
            <v/>
          </cell>
          <cell r="S6654" t="str">
            <v/>
          </cell>
          <cell r="V6654" t="str">
            <v/>
          </cell>
          <cell r="Z6654" t="str">
            <v/>
          </cell>
          <cell r="AA6654" t="str">
            <v/>
          </cell>
          <cell r="AB6654" t="str">
            <v/>
          </cell>
          <cell r="AC6654" t="str">
            <v/>
          </cell>
          <cell r="AD6654" t="str">
            <v/>
          </cell>
          <cell r="AY6654" t="str">
            <v/>
          </cell>
          <cell r="AZ6654" t="str">
            <v/>
          </cell>
          <cell r="BA6654" t="str">
            <v/>
          </cell>
        </row>
        <row r="6655">
          <cell r="B6655" t="str">
            <v>-</v>
          </cell>
          <cell r="E6655" t="str">
            <v/>
          </cell>
          <cell r="G6655" t="str">
            <v/>
          </cell>
          <cell r="J6655" t="str">
            <v/>
          </cell>
          <cell r="O6655" t="str">
            <v/>
          </cell>
          <cell r="P6655" t="str">
            <v/>
          </cell>
          <cell r="Q6655" t="str">
            <v/>
          </cell>
          <cell r="S6655" t="str">
            <v/>
          </cell>
          <cell r="V6655" t="str">
            <v/>
          </cell>
          <cell r="Z6655" t="str">
            <v/>
          </cell>
          <cell r="AA6655" t="str">
            <v/>
          </cell>
          <cell r="AB6655" t="str">
            <v/>
          </cell>
          <cell r="AC6655" t="str">
            <v/>
          </cell>
          <cell r="AD6655" t="str">
            <v/>
          </cell>
          <cell r="AY6655" t="str">
            <v/>
          </cell>
          <cell r="AZ6655" t="str">
            <v/>
          </cell>
          <cell r="BA6655" t="str">
            <v/>
          </cell>
        </row>
        <row r="6656">
          <cell r="B6656" t="str">
            <v>-</v>
          </cell>
          <cell r="E6656" t="str">
            <v/>
          </cell>
          <cell r="G6656" t="str">
            <v/>
          </cell>
          <cell r="J6656" t="str">
            <v/>
          </cell>
          <cell r="O6656" t="str">
            <v/>
          </cell>
          <cell r="P6656" t="str">
            <v/>
          </cell>
          <cell r="Q6656" t="str">
            <v/>
          </cell>
          <cell r="S6656" t="str">
            <v/>
          </cell>
          <cell r="V6656" t="str">
            <v/>
          </cell>
          <cell r="Z6656" t="str">
            <v/>
          </cell>
          <cell r="AA6656" t="str">
            <v/>
          </cell>
          <cell r="AB6656" t="str">
            <v/>
          </cell>
          <cell r="AC6656" t="str">
            <v/>
          </cell>
          <cell r="AD6656" t="str">
            <v/>
          </cell>
          <cell r="AY6656" t="str">
            <v/>
          </cell>
          <cell r="AZ6656" t="str">
            <v/>
          </cell>
          <cell r="BA6656" t="str">
            <v/>
          </cell>
        </row>
        <row r="6657">
          <cell r="B6657" t="str">
            <v>-</v>
          </cell>
          <cell r="E6657" t="str">
            <v/>
          </cell>
          <cell r="G6657" t="str">
            <v/>
          </cell>
          <cell r="J6657" t="str">
            <v/>
          </cell>
          <cell r="O6657" t="str">
            <v/>
          </cell>
          <cell r="P6657" t="str">
            <v/>
          </cell>
          <cell r="Q6657" t="str">
            <v/>
          </cell>
          <cell r="S6657" t="str">
            <v/>
          </cell>
          <cell r="V6657" t="str">
            <v/>
          </cell>
          <cell r="Z6657" t="str">
            <v/>
          </cell>
          <cell r="AA6657" t="str">
            <v/>
          </cell>
          <cell r="AB6657" t="str">
            <v/>
          </cell>
          <cell r="AC6657" t="str">
            <v/>
          </cell>
          <cell r="AD6657" t="str">
            <v/>
          </cell>
          <cell r="AY6657" t="str">
            <v/>
          </cell>
          <cell r="AZ6657" t="str">
            <v/>
          </cell>
          <cell r="BA6657" t="str">
            <v/>
          </cell>
        </row>
        <row r="6658">
          <cell r="B6658" t="str">
            <v>-</v>
          </cell>
          <cell r="E6658" t="str">
            <v/>
          </cell>
          <cell r="G6658" t="str">
            <v/>
          </cell>
          <cell r="J6658" t="str">
            <v/>
          </cell>
          <cell r="O6658" t="str">
            <v/>
          </cell>
          <cell r="P6658" t="str">
            <v/>
          </cell>
          <cell r="Q6658" t="str">
            <v/>
          </cell>
          <cell r="S6658" t="str">
            <v/>
          </cell>
          <cell r="V6658" t="str">
            <v/>
          </cell>
          <cell r="Z6658" t="str">
            <v/>
          </cell>
          <cell r="AA6658" t="str">
            <v/>
          </cell>
          <cell r="AB6658" t="str">
            <v/>
          </cell>
          <cell r="AC6658" t="str">
            <v/>
          </cell>
          <cell r="AD6658" t="str">
            <v/>
          </cell>
          <cell r="AY6658" t="str">
            <v/>
          </cell>
          <cell r="AZ6658" t="str">
            <v/>
          </cell>
          <cell r="BA6658" t="str">
            <v/>
          </cell>
        </row>
        <row r="6659">
          <cell r="B6659" t="str">
            <v>-</v>
          </cell>
          <cell r="E6659" t="str">
            <v/>
          </cell>
          <cell r="G6659" t="str">
            <v/>
          </cell>
          <cell r="J6659" t="str">
            <v/>
          </cell>
          <cell r="O6659" t="str">
            <v/>
          </cell>
          <cell r="P6659" t="str">
            <v/>
          </cell>
          <cell r="Q6659" t="str">
            <v/>
          </cell>
          <cell r="S6659" t="str">
            <v/>
          </cell>
          <cell r="V6659" t="str">
            <v/>
          </cell>
          <cell r="Z6659" t="str">
            <v/>
          </cell>
          <cell r="AA6659" t="str">
            <v/>
          </cell>
          <cell r="AB6659" t="str">
            <v/>
          </cell>
          <cell r="AC6659" t="str">
            <v/>
          </cell>
          <cell r="AD6659" t="str">
            <v/>
          </cell>
          <cell r="AY6659" t="str">
            <v/>
          </cell>
          <cell r="AZ6659" t="str">
            <v/>
          </cell>
          <cell r="BA6659" t="str">
            <v/>
          </cell>
        </row>
        <row r="6660">
          <cell r="B6660" t="str">
            <v>-</v>
          </cell>
          <cell r="E6660" t="str">
            <v/>
          </cell>
          <cell r="G6660" t="str">
            <v/>
          </cell>
          <cell r="J6660" t="str">
            <v/>
          </cell>
          <cell r="O6660" t="str">
            <v/>
          </cell>
          <cell r="P6660" t="str">
            <v/>
          </cell>
          <cell r="Q6660" t="str">
            <v/>
          </cell>
          <cell r="S6660" t="str">
            <v/>
          </cell>
          <cell r="V6660" t="str">
            <v/>
          </cell>
          <cell r="Z6660" t="str">
            <v/>
          </cell>
          <cell r="AA6660" t="str">
            <v/>
          </cell>
          <cell r="AB6660" t="str">
            <v/>
          </cell>
          <cell r="AC6660" t="str">
            <v/>
          </cell>
          <cell r="AD6660" t="str">
            <v/>
          </cell>
          <cell r="AY6660" t="str">
            <v/>
          </cell>
          <cell r="AZ6660" t="str">
            <v/>
          </cell>
          <cell r="BA6660" t="str">
            <v/>
          </cell>
        </row>
        <row r="6661">
          <cell r="B6661" t="str">
            <v>-</v>
          </cell>
          <cell r="E6661" t="str">
            <v/>
          </cell>
          <cell r="G6661" t="str">
            <v/>
          </cell>
          <cell r="J6661" t="str">
            <v/>
          </cell>
          <cell r="O6661" t="str">
            <v/>
          </cell>
          <cell r="P6661" t="str">
            <v/>
          </cell>
          <cell r="Q6661" t="str">
            <v/>
          </cell>
          <cell r="S6661" t="str">
            <v/>
          </cell>
          <cell r="V6661" t="str">
            <v/>
          </cell>
          <cell r="Z6661" t="str">
            <v/>
          </cell>
          <cell r="AA6661" t="str">
            <v/>
          </cell>
          <cell r="AB6661" t="str">
            <v/>
          </cell>
          <cell r="AC6661" t="str">
            <v/>
          </cell>
          <cell r="AD6661" t="str">
            <v/>
          </cell>
          <cell r="AY6661" t="str">
            <v/>
          </cell>
          <cell r="AZ6661" t="str">
            <v/>
          </cell>
          <cell r="BA6661" t="str">
            <v/>
          </cell>
        </row>
        <row r="6662">
          <cell r="B6662" t="str">
            <v>-</v>
          </cell>
          <cell r="E6662" t="str">
            <v/>
          </cell>
          <cell r="G6662" t="str">
            <v/>
          </cell>
          <cell r="J6662" t="str">
            <v/>
          </cell>
          <cell r="O6662" t="str">
            <v/>
          </cell>
          <cell r="P6662" t="str">
            <v/>
          </cell>
          <cell r="Q6662" t="str">
            <v/>
          </cell>
          <cell r="S6662" t="str">
            <v/>
          </cell>
          <cell r="V6662" t="str">
            <v/>
          </cell>
          <cell r="Z6662" t="str">
            <v/>
          </cell>
          <cell r="AA6662" t="str">
            <v/>
          </cell>
          <cell r="AB6662" t="str">
            <v/>
          </cell>
          <cell r="AC6662" t="str">
            <v/>
          </cell>
          <cell r="AD6662" t="str">
            <v/>
          </cell>
          <cell r="AY6662" t="str">
            <v/>
          </cell>
          <cell r="AZ6662" t="str">
            <v/>
          </cell>
          <cell r="BA6662" t="str">
            <v/>
          </cell>
        </row>
        <row r="6663">
          <cell r="B6663" t="str">
            <v>-</v>
          </cell>
          <cell r="E6663" t="str">
            <v/>
          </cell>
          <cell r="G6663" t="str">
            <v/>
          </cell>
          <cell r="J6663" t="str">
            <v/>
          </cell>
          <cell r="O6663" t="str">
            <v/>
          </cell>
          <cell r="P6663" t="str">
            <v/>
          </cell>
          <cell r="Q6663" t="str">
            <v/>
          </cell>
          <cell r="S6663" t="str">
            <v/>
          </cell>
          <cell r="V6663" t="str">
            <v/>
          </cell>
          <cell r="Z6663" t="str">
            <v/>
          </cell>
          <cell r="AA6663" t="str">
            <v/>
          </cell>
          <cell r="AB6663" t="str">
            <v/>
          </cell>
          <cell r="AC6663" t="str">
            <v/>
          </cell>
          <cell r="AD6663" t="str">
            <v/>
          </cell>
          <cell r="AY6663" t="str">
            <v/>
          </cell>
          <cell r="AZ6663" t="str">
            <v/>
          </cell>
          <cell r="BA6663" t="str">
            <v/>
          </cell>
        </row>
        <row r="6664">
          <cell r="B6664" t="str">
            <v>-</v>
          </cell>
          <cell r="E6664" t="str">
            <v/>
          </cell>
          <cell r="G6664" t="str">
            <v/>
          </cell>
          <cell r="J6664" t="str">
            <v/>
          </cell>
          <cell r="O6664" t="str">
            <v/>
          </cell>
          <cell r="P6664" t="str">
            <v/>
          </cell>
          <cell r="Q6664" t="str">
            <v/>
          </cell>
          <cell r="S6664" t="str">
            <v/>
          </cell>
          <cell r="V6664" t="str">
            <v/>
          </cell>
          <cell r="Z6664" t="str">
            <v/>
          </cell>
          <cell r="AA6664" t="str">
            <v/>
          </cell>
          <cell r="AB6664" t="str">
            <v/>
          </cell>
          <cell r="AC6664" t="str">
            <v/>
          </cell>
          <cell r="AD6664" t="str">
            <v/>
          </cell>
          <cell r="AY6664" t="str">
            <v/>
          </cell>
          <cell r="AZ6664" t="str">
            <v/>
          </cell>
          <cell r="BA6664" t="str">
            <v/>
          </cell>
        </row>
        <row r="6665">
          <cell r="B6665" t="str">
            <v>-</v>
          </cell>
          <cell r="E6665" t="str">
            <v/>
          </cell>
          <cell r="G6665" t="str">
            <v/>
          </cell>
          <cell r="J6665" t="str">
            <v/>
          </cell>
          <cell r="O6665" t="str">
            <v/>
          </cell>
          <cell r="P6665" t="str">
            <v/>
          </cell>
          <cell r="Q6665" t="str">
            <v/>
          </cell>
          <cell r="S6665" t="str">
            <v/>
          </cell>
          <cell r="V6665" t="str">
            <v/>
          </cell>
          <cell r="Z6665" t="str">
            <v/>
          </cell>
          <cell r="AA6665" t="str">
            <v/>
          </cell>
          <cell r="AB6665" t="str">
            <v/>
          </cell>
          <cell r="AC6665" t="str">
            <v/>
          </cell>
          <cell r="AD6665" t="str">
            <v/>
          </cell>
          <cell r="AY6665" t="str">
            <v/>
          </cell>
          <cell r="AZ6665" t="str">
            <v/>
          </cell>
          <cell r="BA6665" t="str">
            <v/>
          </cell>
        </row>
        <row r="6666">
          <cell r="B6666" t="str">
            <v>-</v>
          </cell>
          <cell r="E6666" t="str">
            <v/>
          </cell>
          <cell r="G6666" t="str">
            <v/>
          </cell>
          <cell r="J6666" t="str">
            <v/>
          </cell>
          <cell r="O6666" t="str">
            <v/>
          </cell>
          <cell r="P6666" t="str">
            <v/>
          </cell>
          <cell r="Q6666" t="str">
            <v/>
          </cell>
          <cell r="S6666" t="str">
            <v/>
          </cell>
          <cell r="V6666" t="str">
            <v/>
          </cell>
          <cell r="Z6666" t="str">
            <v/>
          </cell>
          <cell r="AA6666" t="str">
            <v/>
          </cell>
          <cell r="AB6666" t="str">
            <v/>
          </cell>
          <cell r="AC6666" t="str">
            <v/>
          </cell>
          <cell r="AD6666" t="str">
            <v/>
          </cell>
          <cell r="AY6666" t="str">
            <v/>
          </cell>
          <cell r="AZ6666" t="str">
            <v/>
          </cell>
          <cell r="BA6666" t="str">
            <v/>
          </cell>
        </row>
        <row r="6667">
          <cell r="B6667" t="str">
            <v>-</v>
          </cell>
          <cell r="E6667" t="str">
            <v/>
          </cell>
          <cell r="G6667" t="str">
            <v/>
          </cell>
          <cell r="J6667" t="str">
            <v/>
          </cell>
          <cell r="O6667" t="str">
            <v/>
          </cell>
          <cell r="P6667" t="str">
            <v/>
          </cell>
          <cell r="Q6667" t="str">
            <v/>
          </cell>
          <cell r="S6667" t="str">
            <v/>
          </cell>
          <cell r="V6667" t="str">
            <v/>
          </cell>
          <cell r="Z6667" t="str">
            <v/>
          </cell>
          <cell r="AA6667" t="str">
            <v/>
          </cell>
          <cell r="AB6667" t="str">
            <v/>
          </cell>
          <cell r="AC6667" t="str">
            <v/>
          </cell>
          <cell r="AD6667" t="str">
            <v/>
          </cell>
          <cell r="AY6667" t="str">
            <v/>
          </cell>
          <cell r="AZ6667" t="str">
            <v/>
          </cell>
          <cell r="BA6667" t="str">
            <v/>
          </cell>
        </row>
        <row r="6668">
          <cell r="B6668" t="str">
            <v>-</v>
          </cell>
          <cell r="E6668" t="str">
            <v/>
          </cell>
          <cell r="G6668" t="str">
            <v/>
          </cell>
          <cell r="J6668" t="str">
            <v/>
          </cell>
          <cell r="O6668" t="str">
            <v/>
          </cell>
          <cell r="P6668" t="str">
            <v/>
          </cell>
          <cell r="Q6668" t="str">
            <v/>
          </cell>
          <cell r="S6668" t="str">
            <v/>
          </cell>
          <cell r="V6668" t="str">
            <v/>
          </cell>
          <cell r="Z6668" t="str">
            <v/>
          </cell>
          <cell r="AA6668" t="str">
            <v/>
          </cell>
          <cell r="AB6668" t="str">
            <v/>
          </cell>
          <cell r="AC6668" t="str">
            <v/>
          </cell>
          <cell r="AD6668" t="str">
            <v/>
          </cell>
          <cell r="AY6668" t="str">
            <v/>
          </cell>
          <cell r="AZ6668" t="str">
            <v/>
          </cell>
          <cell r="BA6668" t="str">
            <v/>
          </cell>
        </row>
        <row r="6669">
          <cell r="B6669" t="str">
            <v>-</v>
          </cell>
          <cell r="E6669" t="str">
            <v/>
          </cell>
          <cell r="G6669" t="str">
            <v/>
          </cell>
          <cell r="J6669" t="str">
            <v/>
          </cell>
          <cell r="O6669" t="str">
            <v/>
          </cell>
          <cell r="P6669" t="str">
            <v/>
          </cell>
          <cell r="Q6669" t="str">
            <v/>
          </cell>
          <cell r="S6669" t="str">
            <v/>
          </cell>
          <cell r="V6669" t="str">
            <v/>
          </cell>
          <cell r="Z6669" t="str">
            <v/>
          </cell>
          <cell r="AA6669" t="str">
            <v/>
          </cell>
          <cell r="AB6669" t="str">
            <v/>
          </cell>
          <cell r="AC6669" t="str">
            <v/>
          </cell>
          <cell r="AD6669" t="str">
            <v/>
          </cell>
          <cell r="AY6669" t="str">
            <v/>
          </cell>
          <cell r="AZ6669" t="str">
            <v/>
          </cell>
          <cell r="BA6669" t="str">
            <v/>
          </cell>
        </row>
        <row r="6670">
          <cell r="B6670" t="str">
            <v>-</v>
          </cell>
          <cell r="E6670" t="str">
            <v/>
          </cell>
          <cell r="G6670" t="str">
            <v/>
          </cell>
          <cell r="J6670" t="str">
            <v/>
          </cell>
          <cell r="O6670" t="str">
            <v/>
          </cell>
          <cell r="P6670" t="str">
            <v/>
          </cell>
          <cell r="Q6670" t="str">
            <v/>
          </cell>
          <cell r="S6670" t="str">
            <v/>
          </cell>
          <cell r="V6670" t="str">
            <v/>
          </cell>
          <cell r="Z6670" t="str">
            <v/>
          </cell>
          <cell r="AA6670" t="str">
            <v/>
          </cell>
          <cell r="AB6670" t="str">
            <v/>
          </cell>
          <cell r="AC6670" t="str">
            <v/>
          </cell>
          <cell r="AD6670" t="str">
            <v/>
          </cell>
          <cell r="AY6670" t="str">
            <v/>
          </cell>
          <cell r="AZ6670" t="str">
            <v/>
          </cell>
          <cell r="BA6670" t="str">
            <v/>
          </cell>
        </row>
        <row r="6671">
          <cell r="B6671" t="str">
            <v>-</v>
          </cell>
          <cell r="E6671" t="str">
            <v/>
          </cell>
          <cell r="G6671" t="str">
            <v/>
          </cell>
          <cell r="J6671" t="str">
            <v/>
          </cell>
          <cell r="O6671" t="str">
            <v/>
          </cell>
          <cell r="P6671" t="str">
            <v/>
          </cell>
          <cell r="Q6671" t="str">
            <v/>
          </cell>
          <cell r="S6671" t="str">
            <v/>
          </cell>
          <cell r="V6671" t="str">
            <v/>
          </cell>
          <cell r="Z6671" t="str">
            <v/>
          </cell>
          <cell r="AA6671" t="str">
            <v/>
          </cell>
          <cell r="AB6671" t="str">
            <v/>
          </cell>
          <cell r="AC6671" t="str">
            <v/>
          </cell>
          <cell r="AD6671" t="str">
            <v/>
          </cell>
          <cell r="AY6671" t="str">
            <v/>
          </cell>
          <cell r="AZ6671" t="str">
            <v/>
          </cell>
          <cell r="BA6671" t="str">
            <v/>
          </cell>
        </row>
        <row r="6672">
          <cell r="B6672" t="str">
            <v>-</v>
          </cell>
          <cell r="E6672" t="str">
            <v/>
          </cell>
          <cell r="G6672" t="str">
            <v/>
          </cell>
          <cell r="J6672" t="str">
            <v/>
          </cell>
          <cell r="O6672" t="str">
            <v/>
          </cell>
          <cell r="P6672" t="str">
            <v/>
          </cell>
          <cell r="Q6672" t="str">
            <v/>
          </cell>
          <cell r="S6672" t="str">
            <v/>
          </cell>
          <cell r="V6672" t="str">
            <v/>
          </cell>
          <cell r="Z6672" t="str">
            <v/>
          </cell>
          <cell r="AA6672" t="str">
            <v/>
          </cell>
          <cell r="AB6672" t="str">
            <v/>
          </cell>
          <cell r="AC6672" t="str">
            <v/>
          </cell>
          <cell r="AD6672" t="str">
            <v/>
          </cell>
          <cell r="AY6672" t="str">
            <v/>
          </cell>
          <cell r="AZ6672" t="str">
            <v/>
          </cell>
          <cell r="BA6672" t="str">
            <v/>
          </cell>
        </row>
        <row r="6673">
          <cell r="B6673" t="str">
            <v>-</v>
          </cell>
          <cell r="E6673" t="str">
            <v/>
          </cell>
          <cell r="G6673" t="str">
            <v/>
          </cell>
          <cell r="J6673" t="str">
            <v/>
          </cell>
          <cell r="O6673" t="str">
            <v/>
          </cell>
          <cell r="P6673" t="str">
            <v/>
          </cell>
          <cell r="Q6673" t="str">
            <v/>
          </cell>
          <cell r="S6673" t="str">
            <v/>
          </cell>
          <cell r="V6673" t="str">
            <v/>
          </cell>
          <cell r="Z6673" t="str">
            <v/>
          </cell>
          <cell r="AA6673" t="str">
            <v/>
          </cell>
          <cell r="AB6673" t="str">
            <v/>
          </cell>
          <cell r="AC6673" t="str">
            <v/>
          </cell>
          <cell r="AD6673" t="str">
            <v/>
          </cell>
          <cell r="AY6673" t="str">
            <v/>
          </cell>
          <cell r="AZ6673" t="str">
            <v/>
          </cell>
          <cell r="BA6673" t="str">
            <v/>
          </cell>
        </row>
        <row r="6674">
          <cell r="B6674" t="str">
            <v>-</v>
          </cell>
          <cell r="E6674" t="str">
            <v/>
          </cell>
          <cell r="G6674" t="str">
            <v/>
          </cell>
          <cell r="J6674" t="str">
            <v/>
          </cell>
          <cell r="O6674" t="str">
            <v/>
          </cell>
          <cell r="P6674" t="str">
            <v/>
          </cell>
          <cell r="Q6674" t="str">
            <v/>
          </cell>
          <cell r="S6674" t="str">
            <v/>
          </cell>
          <cell r="V6674" t="str">
            <v/>
          </cell>
          <cell r="Z6674" t="str">
            <v/>
          </cell>
          <cell r="AA6674" t="str">
            <v/>
          </cell>
          <cell r="AB6674" t="str">
            <v/>
          </cell>
          <cell r="AC6674" t="str">
            <v/>
          </cell>
          <cell r="AD6674" t="str">
            <v/>
          </cell>
          <cell r="AY6674" t="str">
            <v/>
          </cell>
          <cell r="AZ6674" t="str">
            <v/>
          </cell>
          <cell r="BA6674" t="str">
            <v/>
          </cell>
        </row>
        <row r="6675">
          <cell r="B6675" t="str">
            <v>-</v>
          </cell>
          <cell r="E6675" t="str">
            <v/>
          </cell>
          <cell r="G6675" t="str">
            <v/>
          </cell>
          <cell r="J6675" t="str">
            <v/>
          </cell>
          <cell r="O6675" t="str">
            <v/>
          </cell>
          <cell r="P6675" t="str">
            <v/>
          </cell>
          <cell r="Q6675" t="str">
            <v/>
          </cell>
          <cell r="S6675" t="str">
            <v/>
          </cell>
          <cell r="V6675" t="str">
            <v/>
          </cell>
          <cell r="Z6675" t="str">
            <v/>
          </cell>
          <cell r="AA6675" t="str">
            <v/>
          </cell>
          <cell r="AB6675" t="str">
            <v/>
          </cell>
          <cell r="AC6675" t="str">
            <v/>
          </cell>
          <cell r="AD6675" t="str">
            <v/>
          </cell>
          <cell r="AY6675" t="str">
            <v/>
          </cell>
          <cell r="AZ6675" t="str">
            <v/>
          </cell>
          <cell r="BA6675" t="str">
            <v/>
          </cell>
        </row>
        <row r="6676">
          <cell r="B6676" t="str">
            <v>-</v>
          </cell>
          <cell r="E6676" t="str">
            <v/>
          </cell>
          <cell r="G6676" t="str">
            <v/>
          </cell>
          <cell r="J6676" t="str">
            <v/>
          </cell>
          <cell r="O6676" t="str">
            <v/>
          </cell>
          <cell r="P6676" t="str">
            <v/>
          </cell>
          <cell r="Q6676" t="str">
            <v/>
          </cell>
          <cell r="S6676" t="str">
            <v/>
          </cell>
          <cell r="V6676" t="str">
            <v/>
          </cell>
          <cell r="Z6676" t="str">
            <v/>
          </cell>
          <cell r="AA6676" t="str">
            <v/>
          </cell>
          <cell r="AB6676" t="str">
            <v/>
          </cell>
          <cell r="AC6676" t="str">
            <v/>
          </cell>
          <cell r="AD6676" t="str">
            <v/>
          </cell>
          <cell r="AY6676" t="str">
            <v/>
          </cell>
          <cell r="AZ6676" t="str">
            <v/>
          </cell>
          <cell r="BA6676" t="str">
            <v/>
          </cell>
        </row>
        <row r="6677">
          <cell r="B6677" t="str">
            <v>-</v>
          </cell>
          <cell r="E6677" t="str">
            <v/>
          </cell>
          <cell r="G6677" t="str">
            <v/>
          </cell>
          <cell r="J6677" t="str">
            <v/>
          </cell>
          <cell r="O6677" t="str">
            <v/>
          </cell>
          <cell r="P6677" t="str">
            <v/>
          </cell>
          <cell r="Q6677" t="str">
            <v/>
          </cell>
          <cell r="S6677" t="str">
            <v/>
          </cell>
          <cell r="V6677" t="str">
            <v/>
          </cell>
          <cell r="Z6677" t="str">
            <v/>
          </cell>
          <cell r="AA6677" t="str">
            <v/>
          </cell>
          <cell r="AB6677" t="str">
            <v/>
          </cell>
          <cell r="AC6677" t="str">
            <v/>
          </cell>
          <cell r="AD6677" t="str">
            <v/>
          </cell>
          <cell r="AY6677" t="str">
            <v/>
          </cell>
          <cell r="AZ6677" t="str">
            <v/>
          </cell>
          <cell r="BA6677" t="str">
            <v/>
          </cell>
        </row>
        <row r="6678">
          <cell r="B6678" t="str">
            <v>-</v>
          </cell>
          <cell r="E6678" t="str">
            <v/>
          </cell>
          <cell r="G6678" t="str">
            <v/>
          </cell>
          <cell r="J6678" t="str">
            <v/>
          </cell>
          <cell r="O6678" t="str">
            <v/>
          </cell>
          <cell r="P6678" t="str">
            <v/>
          </cell>
          <cell r="Q6678" t="str">
            <v/>
          </cell>
          <cell r="S6678" t="str">
            <v/>
          </cell>
          <cell r="V6678" t="str">
            <v/>
          </cell>
          <cell r="Z6678" t="str">
            <v/>
          </cell>
          <cell r="AA6678" t="str">
            <v/>
          </cell>
          <cell r="AB6678" t="str">
            <v/>
          </cell>
          <cell r="AC6678" t="str">
            <v/>
          </cell>
          <cell r="AD6678" t="str">
            <v/>
          </cell>
          <cell r="AY6678" t="str">
            <v/>
          </cell>
          <cell r="AZ6678" t="str">
            <v/>
          </cell>
          <cell r="BA6678" t="str">
            <v/>
          </cell>
        </row>
        <row r="6679">
          <cell r="B6679" t="str">
            <v>-</v>
          </cell>
          <cell r="E6679" t="str">
            <v/>
          </cell>
          <cell r="G6679" t="str">
            <v/>
          </cell>
          <cell r="J6679" t="str">
            <v/>
          </cell>
          <cell r="O6679" t="str">
            <v/>
          </cell>
          <cell r="P6679" t="str">
            <v/>
          </cell>
          <cell r="Q6679" t="str">
            <v/>
          </cell>
          <cell r="S6679" t="str">
            <v/>
          </cell>
          <cell r="V6679" t="str">
            <v/>
          </cell>
          <cell r="Z6679" t="str">
            <v/>
          </cell>
          <cell r="AA6679" t="str">
            <v/>
          </cell>
          <cell r="AB6679" t="str">
            <v/>
          </cell>
          <cell r="AC6679" t="str">
            <v/>
          </cell>
          <cell r="AD6679" t="str">
            <v/>
          </cell>
          <cell r="AY6679" t="str">
            <v/>
          </cell>
          <cell r="AZ6679" t="str">
            <v/>
          </cell>
          <cell r="BA6679" t="str">
            <v/>
          </cell>
        </row>
        <row r="6680">
          <cell r="B6680" t="str">
            <v>-</v>
          </cell>
          <cell r="E6680" t="str">
            <v/>
          </cell>
          <cell r="G6680" t="str">
            <v/>
          </cell>
          <cell r="J6680" t="str">
            <v/>
          </cell>
          <cell r="O6680" t="str">
            <v/>
          </cell>
          <cell r="P6680" t="str">
            <v/>
          </cell>
          <cell r="Q6680" t="str">
            <v/>
          </cell>
          <cell r="S6680" t="str">
            <v/>
          </cell>
          <cell r="V6680" t="str">
            <v/>
          </cell>
          <cell r="Z6680" t="str">
            <v/>
          </cell>
          <cell r="AA6680" t="str">
            <v/>
          </cell>
          <cell r="AB6680" t="str">
            <v/>
          </cell>
          <cell r="AC6680" t="str">
            <v/>
          </cell>
          <cell r="AD6680" t="str">
            <v/>
          </cell>
          <cell r="AY6680" t="str">
            <v/>
          </cell>
          <cell r="AZ6680" t="str">
            <v/>
          </cell>
          <cell r="BA6680" t="str">
            <v/>
          </cell>
        </row>
        <row r="6681">
          <cell r="B6681" t="str">
            <v>-</v>
          </cell>
          <cell r="E6681" t="str">
            <v/>
          </cell>
          <cell r="G6681" t="str">
            <v/>
          </cell>
          <cell r="J6681" t="str">
            <v/>
          </cell>
          <cell r="O6681" t="str">
            <v/>
          </cell>
          <cell r="P6681" t="str">
            <v/>
          </cell>
          <cell r="Q6681" t="str">
            <v/>
          </cell>
          <cell r="S6681" t="str">
            <v/>
          </cell>
          <cell r="V6681" t="str">
            <v/>
          </cell>
          <cell r="Z6681" t="str">
            <v/>
          </cell>
          <cell r="AA6681" t="str">
            <v/>
          </cell>
          <cell r="AB6681" t="str">
            <v/>
          </cell>
          <cell r="AC6681" t="str">
            <v/>
          </cell>
          <cell r="AD6681" t="str">
            <v/>
          </cell>
          <cell r="AY6681" t="str">
            <v/>
          </cell>
          <cell r="AZ6681" t="str">
            <v/>
          </cell>
          <cell r="BA6681" t="str">
            <v/>
          </cell>
        </row>
        <row r="6682">
          <cell r="B6682" t="str">
            <v>-</v>
          </cell>
          <cell r="E6682" t="str">
            <v/>
          </cell>
          <cell r="G6682" t="str">
            <v/>
          </cell>
          <cell r="J6682" t="str">
            <v/>
          </cell>
          <cell r="O6682" t="str">
            <v/>
          </cell>
          <cell r="P6682" t="str">
            <v/>
          </cell>
          <cell r="Q6682" t="str">
            <v/>
          </cell>
          <cell r="S6682" t="str">
            <v/>
          </cell>
          <cell r="V6682" t="str">
            <v/>
          </cell>
          <cell r="Z6682" t="str">
            <v/>
          </cell>
          <cell r="AA6682" t="str">
            <v/>
          </cell>
          <cell r="AB6682" t="str">
            <v/>
          </cell>
          <cell r="AC6682" t="str">
            <v/>
          </cell>
          <cell r="AD6682" t="str">
            <v/>
          </cell>
          <cell r="AY6682" t="str">
            <v/>
          </cell>
          <cell r="AZ6682" t="str">
            <v/>
          </cell>
          <cell r="BA6682" t="str">
            <v/>
          </cell>
        </row>
        <row r="6683">
          <cell r="B6683" t="str">
            <v>-</v>
          </cell>
          <cell r="E6683" t="str">
            <v/>
          </cell>
          <cell r="G6683" t="str">
            <v/>
          </cell>
          <cell r="J6683" t="str">
            <v/>
          </cell>
          <cell r="O6683" t="str">
            <v/>
          </cell>
          <cell r="P6683" t="str">
            <v/>
          </cell>
          <cell r="Q6683" t="str">
            <v/>
          </cell>
          <cell r="S6683" t="str">
            <v/>
          </cell>
          <cell r="V6683" t="str">
            <v/>
          </cell>
          <cell r="Z6683" t="str">
            <v/>
          </cell>
          <cell r="AA6683" t="str">
            <v/>
          </cell>
          <cell r="AB6683" t="str">
            <v/>
          </cell>
          <cell r="AC6683" t="str">
            <v/>
          </cell>
          <cell r="AD6683" t="str">
            <v/>
          </cell>
          <cell r="AY6683" t="str">
            <v/>
          </cell>
          <cell r="AZ6683" t="str">
            <v/>
          </cell>
          <cell r="BA6683" t="str">
            <v/>
          </cell>
        </row>
        <row r="6684">
          <cell r="B6684" t="str">
            <v>-</v>
          </cell>
          <cell r="E6684" t="str">
            <v/>
          </cell>
          <cell r="G6684" t="str">
            <v/>
          </cell>
          <cell r="J6684" t="str">
            <v/>
          </cell>
          <cell r="O6684" t="str">
            <v/>
          </cell>
          <cell r="P6684" t="str">
            <v/>
          </cell>
          <cell r="Q6684" t="str">
            <v/>
          </cell>
          <cell r="S6684" t="str">
            <v/>
          </cell>
          <cell r="V6684" t="str">
            <v/>
          </cell>
          <cell r="Z6684" t="str">
            <v/>
          </cell>
          <cell r="AA6684" t="str">
            <v/>
          </cell>
          <cell r="AB6684" t="str">
            <v/>
          </cell>
          <cell r="AC6684" t="str">
            <v/>
          </cell>
          <cell r="AD6684" t="str">
            <v/>
          </cell>
          <cell r="AY6684" t="str">
            <v/>
          </cell>
          <cell r="AZ6684" t="str">
            <v/>
          </cell>
          <cell r="BA6684" t="str">
            <v/>
          </cell>
        </row>
        <row r="6685">
          <cell r="B6685" t="str">
            <v>-</v>
          </cell>
          <cell r="E6685" t="str">
            <v/>
          </cell>
          <cell r="G6685" t="str">
            <v/>
          </cell>
          <cell r="J6685" t="str">
            <v/>
          </cell>
          <cell r="O6685" t="str">
            <v/>
          </cell>
          <cell r="P6685" t="str">
            <v/>
          </cell>
          <cell r="Q6685" t="str">
            <v/>
          </cell>
          <cell r="S6685" t="str">
            <v/>
          </cell>
          <cell r="V6685" t="str">
            <v/>
          </cell>
          <cell r="Z6685" t="str">
            <v/>
          </cell>
          <cell r="AA6685" t="str">
            <v/>
          </cell>
          <cell r="AB6685" t="str">
            <v/>
          </cell>
          <cell r="AC6685" t="str">
            <v/>
          </cell>
          <cell r="AD6685" t="str">
            <v/>
          </cell>
          <cell r="AY6685" t="str">
            <v/>
          </cell>
          <cell r="AZ6685" t="str">
            <v/>
          </cell>
          <cell r="BA6685" t="str">
            <v/>
          </cell>
        </row>
        <row r="6686">
          <cell r="B6686" t="str">
            <v>-</v>
          </cell>
          <cell r="E6686" t="str">
            <v/>
          </cell>
          <cell r="G6686" t="str">
            <v/>
          </cell>
          <cell r="J6686" t="str">
            <v/>
          </cell>
          <cell r="O6686" t="str">
            <v/>
          </cell>
          <cell r="P6686" t="str">
            <v/>
          </cell>
          <cell r="Q6686" t="str">
            <v/>
          </cell>
          <cell r="S6686" t="str">
            <v/>
          </cell>
          <cell r="V6686" t="str">
            <v/>
          </cell>
          <cell r="Z6686" t="str">
            <v/>
          </cell>
          <cell r="AA6686" t="str">
            <v/>
          </cell>
          <cell r="AB6686" t="str">
            <v/>
          </cell>
          <cell r="AC6686" t="str">
            <v/>
          </cell>
          <cell r="AD6686" t="str">
            <v/>
          </cell>
          <cell r="AY6686" t="str">
            <v/>
          </cell>
          <cell r="AZ6686" t="str">
            <v/>
          </cell>
          <cell r="BA6686" t="str">
            <v/>
          </cell>
        </row>
        <row r="6687">
          <cell r="B6687" t="str">
            <v>-</v>
          </cell>
          <cell r="E6687" t="str">
            <v/>
          </cell>
          <cell r="G6687" t="str">
            <v/>
          </cell>
          <cell r="J6687" t="str">
            <v/>
          </cell>
          <cell r="O6687" t="str">
            <v/>
          </cell>
          <cell r="P6687" t="str">
            <v/>
          </cell>
          <cell r="Q6687" t="str">
            <v/>
          </cell>
          <cell r="S6687" t="str">
            <v/>
          </cell>
          <cell r="V6687" t="str">
            <v/>
          </cell>
          <cell r="Z6687" t="str">
            <v/>
          </cell>
          <cell r="AA6687" t="str">
            <v/>
          </cell>
          <cell r="AB6687" t="str">
            <v/>
          </cell>
          <cell r="AC6687" t="str">
            <v/>
          </cell>
          <cell r="AD6687" t="str">
            <v/>
          </cell>
          <cell r="AY6687" t="str">
            <v/>
          </cell>
          <cell r="AZ6687" t="str">
            <v/>
          </cell>
          <cell r="BA6687" t="str">
            <v/>
          </cell>
        </row>
        <row r="6688">
          <cell r="B6688" t="str">
            <v>-</v>
          </cell>
          <cell r="E6688" t="str">
            <v/>
          </cell>
          <cell r="G6688" t="str">
            <v/>
          </cell>
          <cell r="J6688" t="str">
            <v/>
          </cell>
          <cell r="O6688" t="str">
            <v/>
          </cell>
          <cell r="P6688" t="str">
            <v/>
          </cell>
          <cell r="Q6688" t="str">
            <v/>
          </cell>
          <cell r="S6688" t="str">
            <v/>
          </cell>
          <cell r="V6688" t="str">
            <v/>
          </cell>
          <cell r="Z6688" t="str">
            <v/>
          </cell>
          <cell r="AA6688" t="str">
            <v/>
          </cell>
          <cell r="AB6688" t="str">
            <v/>
          </cell>
          <cell r="AC6688" t="str">
            <v/>
          </cell>
          <cell r="AD6688" t="str">
            <v/>
          </cell>
          <cell r="AY6688" t="str">
            <v/>
          </cell>
          <cell r="AZ6688" t="str">
            <v/>
          </cell>
          <cell r="BA6688" t="str">
            <v/>
          </cell>
        </row>
        <row r="6689">
          <cell r="B6689" t="str">
            <v>-</v>
          </cell>
          <cell r="E6689" t="str">
            <v/>
          </cell>
          <cell r="G6689" t="str">
            <v/>
          </cell>
          <cell r="J6689" t="str">
            <v/>
          </cell>
          <cell r="O6689" t="str">
            <v/>
          </cell>
          <cell r="P6689" t="str">
            <v/>
          </cell>
          <cell r="Q6689" t="str">
            <v/>
          </cell>
          <cell r="S6689" t="str">
            <v/>
          </cell>
          <cell r="V6689" t="str">
            <v/>
          </cell>
          <cell r="Z6689" t="str">
            <v/>
          </cell>
          <cell r="AA6689" t="str">
            <v/>
          </cell>
          <cell r="AB6689" t="str">
            <v/>
          </cell>
          <cell r="AC6689" t="str">
            <v/>
          </cell>
          <cell r="AD6689" t="str">
            <v/>
          </cell>
          <cell r="AY6689" t="str">
            <v/>
          </cell>
          <cell r="AZ6689" t="str">
            <v/>
          </cell>
          <cell r="BA6689" t="str">
            <v/>
          </cell>
        </row>
        <row r="6690">
          <cell r="B6690" t="str">
            <v>-</v>
          </cell>
          <cell r="E6690" t="str">
            <v/>
          </cell>
          <cell r="G6690" t="str">
            <v/>
          </cell>
          <cell r="J6690" t="str">
            <v/>
          </cell>
          <cell r="O6690" t="str">
            <v/>
          </cell>
          <cell r="P6690" t="str">
            <v/>
          </cell>
          <cell r="Q6690" t="str">
            <v/>
          </cell>
          <cell r="S6690" t="str">
            <v/>
          </cell>
          <cell r="V6690" t="str">
            <v/>
          </cell>
          <cell r="Z6690" t="str">
            <v/>
          </cell>
          <cell r="AA6690" t="str">
            <v/>
          </cell>
          <cell r="AB6690" t="str">
            <v/>
          </cell>
          <cell r="AC6690" t="str">
            <v/>
          </cell>
          <cell r="AD6690" t="str">
            <v/>
          </cell>
          <cell r="AY6690" t="str">
            <v/>
          </cell>
          <cell r="AZ6690" t="str">
            <v/>
          </cell>
          <cell r="BA6690" t="str">
            <v/>
          </cell>
        </row>
        <row r="6691">
          <cell r="B6691" t="str">
            <v>-</v>
          </cell>
          <cell r="E6691" t="str">
            <v/>
          </cell>
          <cell r="G6691" t="str">
            <v/>
          </cell>
          <cell r="J6691" t="str">
            <v/>
          </cell>
          <cell r="O6691" t="str">
            <v/>
          </cell>
          <cell r="P6691" t="str">
            <v/>
          </cell>
          <cell r="Q6691" t="str">
            <v/>
          </cell>
          <cell r="S6691" t="str">
            <v/>
          </cell>
          <cell r="V6691" t="str">
            <v/>
          </cell>
          <cell r="Z6691" t="str">
            <v/>
          </cell>
          <cell r="AA6691" t="str">
            <v/>
          </cell>
          <cell r="AB6691" t="str">
            <v/>
          </cell>
          <cell r="AC6691" t="str">
            <v/>
          </cell>
          <cell r="AD6691" t="str">
            <v/>
          </cell>
          <cell r="AY6691" t="str">
            <v/>
          </cell>
          <cell r="AZ6691" t="str">
            <v/>
          </cell>
          <cell r="BA6691" t="str">
            <v/>
          </cell>
        </row>
        <row r="6692">
          <cell r="B6692" t="str">
            <v>-</v>
          </cell>
          <cell r="E6692" t="str">
            <v/>
          </cell>
          <cell r="G6692" t="str">
            <v/>
          </cell>
          <cell r="J6692" t="str">
            <v/>
          </cell>
          <cell r="O6692" t="str">
            <v/>
          </cell>
          <cell r="P6692" t="str">
            <v/>
          </cell>
          <cell r="Q6692" t="str">
            <v/>
          </cell>
          <cell r="S6692" t="str">
            <v/>
          </cell>
          <cell r="V6692" t="str">
            <v/>
          </cell>
          <cell r="Z6692" t="str">
            <v/>
          </cell>
          <cell r="AA6692" t="str">
            <v/>
          </cell>
          <cell r="AB6692" t="str">
            <v/>
          </cell>
          <cell r="AC6692" t="str">
            <v/>
          </cell>
          <cell r="AD6692" t="str">
            <v/>
          </cell>
          <cell r="AY6692" t="str">
            <v/>
          </cell>
          <cell r="AZ6692" t="str">
            <v/>
          </cell>
          <cell r="BA6692" t="str">
            <v/>
          </cell>
        </row>
        <row r="6693">
          <cell r="B6693" t="str">
            <v>-</v>
          </cell>
          <cell r="E6693" t="str">
            <v/>
          </cell>
          <cell r="G6693" t="str">
            <v/>
          </cell>
          <cell r="J6693" t="str">
            <v/>
          </cell>
          <cell r="O6693" t="str">
            <v/>
          </cell>
          <cell r="P6693" t="str">
            <v/>
          </cell>
          <cell r="Q6693" t="str">
            <v/>
          </cell>
          <cell r="S6693" t="str">
            <v/>
          </cell>
          <cell r="V6693" t="str">
            <v/>
          </cell>
          <cell r="Z6693" t="str">
            <v/>
          </cell>
          <cell r="AA6693" t="str">
            <v/>
          </cell>
          <cell r="AB6693" t="str">
            <v/>
          </cell>
          <cell r="AC6693" t="str">
            <v/>
          </cell>
          <cell r="AD6693" t="str">
            <v/>
          </cell>
          <cell r="AY6693" t="str">
            <v/>
          </cell>
          <cell r="AZ6693" t="str">
            <v/>
          </cell>
          <cell r="BA6693" t="str">
            <v/>
          </cell>
        </row>
        <row r="6694">
          <cell r="B6694" t="str">
            <v>-</v>
          </cell>
          <cell r="E6694" t="str">
            <v/>
          </cell>
          <cell r="G6694" t="str">
            <v/>
          </cell>
          <cell r="J6694" t="str">
            <v/>
          </cell>
          <cell r="O6694" t="str">
            <v/>
          </cell>
          <cell r="P6694" t="str">
            <v/>
          </cell>
          <cell r="Q6694" t="str">
            <v/>
          </cell>
          <cell r="S6694" t="str">
            <v/>
          </cell>
          <cell r="V6694" t="str">
            <v/>
          </cell>
          <cell r="Z6694" t="str">
            <v/>
          </cell>
          <cell r="AA6694" t="str">
            <v/>
          </cell>
          <cell r="AB6694" t="str">
            <v/>
          </cell>
          <cell r="AC6694" t="str">
            <v/>
          </cell>
          <cell r="AD6694" t="str">
            <v/>
          </cell>
          <cell r="AY6694" t="str">
            <v/>
          </cell>
          <cell r="AZ6694" t="str">
            <v/>
          </cell>
          <cell r="BA6694" t="str">
            <v/>
          </cell>
        </row>
        <row r="6695">
          <cell r="B6695" t="str">
            <v>-</v>
          </cell>
          <cell r="E6695" t="str">
            <v/>
          </cell>
          <cell r="G6695" t="str">
            <v/>
          </cell>
          <cell r="J6695" t="str">
            <v/>
          </cell>
          <cell r="O6695" t="str">
            <v/>
          </cell>
          <cell r="P6695" t="str">
            <v/>
          </cell>
          <cell r="Q6695" t="str">
            <v/>
          </cell>
          <cell r="S6695" t="str">
            <v/>
          </cell>
          <cell r="V6695" t="str">
            <v/>
          </cell>
          <cell r="Z6695" t="str">
            <v/>
          </cell>
          <cell r="AA6695" t="str">
            <v/>
          </cell>
          <cell r="AB6695" t="str">
            <v/>
          </cell>
          <cell r="AC6695" t="str">
            <v/>
          </cell>
          <cell r="AD6695" t="str">
            <v/>
          </cell>
          <cell r="AY6695" t="str">
            <v/>
          </cell>
          <cell r="AZ6695" t="str">
            <v/>
          </cell>
          <cell r="BA6695" t="str">
            <v/>
          </cell>
        </row>
        <row r="6696">
          <cell r="B6696" t="str">
            <v>-</v>
          </cell>
          <cell r="E6696" t="str">
            <v/>
          </cell>
          <cell r="G6696" t="str">
            <v/>
          </cell>
          <cell r="J6696" t="str">
            <v/>
          </cell>
          <cell r="O6696" t="str">
            <v/>
          </cell>
          <cell r="P6696" t="str">
            <v/>
          </cell>
          <cell r="Q6696" t="str">
            <v/>
          </cell>
          <cell r="S6696" t="str">
            <v/>
          </cell>
          <cell r="V6696" t="str">
            <v/>
          </cell>
          <cell r="Z6696" t="str">
            <v/>
          </cell>
          <cell r="AA6696" t="str">
            <v/>
          </cell>
          <cell r="AB6696" t="str">
            <v/>
          </cell>
          <cell r="AC6696" t="str">
            <v/>
          </cell>
          <cell r="AD6696" t="str">
            <v/>
          </cell>
          <cell r="AY6696" t="str">
            <v/>
          </cell>
          <cell r="AZ6696" t="str">
            <v/>
          </cell>
          <cell r="BA6696" t="str">
            <v/>
          </cell>
        </row>
        <row r="6697">
          <cell r="B6697" t="str">
            <v>-</v>
          </cell>
          <cell r="E6697" t="str">
            <v/>
          </cell>
          <cell r="G6697" t="str">
            <v/>
          </cell>
          <cell r="J6697" t="str">
            <v/>
          </cell>
          <cell r="O6697" t="str">
            <v/>
          </cell>
          <cell r="P6697" t="str">
            <v/>
          </cell>
          <cell r="Q6697" t="str">
            <v/>
          </cell>
          <cell r="S6697" t="str">
            <v/>
          </cell>
          <cell r="V6697" t="str">
            <v/>
          </cell>
          <cell r="Z6697" t="str">
            <v/>
          </cell>
          <cell r="AA6697" t="str">
            <v/>
          </cell>
          <cell r="AB6697" t="str">
            <v/>
          </cell>
          <cell r="AC6697" t="str">
            <v/>
          </cell>
          <cell r="AD6697" t="str">
            <v/>
          </cell>
          <cell r="AY6697" t="str">
            <v/>
          </cell>
          <cell r="AZ6697" t="str">
            <v/>
          </cell>
          <cell r="BA6697" t="str">
            <v/>
          </cell>
        </row>
        <row r="6698">
          <cell r="B6698" t="str">
            <v>-</v>
          </cell>
          <cell r="E6698" t="str">
            <v/>
          </cell>
          <cell r="G6698" t="str">
            <v/>
          </cell>
          <cell r="J6698" t="str">
            <v/>
          </cell>
          <cell r="O6698" t="str">
            <v/>
          </cell>
          <cell r="P6698" t="str">
            <v/>
          </cell>
          <cell r="Q6698" t="str">
            <v/>
          </cell>
          <cell r="S6698" t="str">
            <v/>
          </cell>
          <cell r="V6698" t="str">
            <v/>
          </cell>
          <cell r="Z6698" t="str">
            <v/>
          </cell>
          <cell r="AA6698" t="str">
            <v/>
          </cell>
          <cell r="AB6698" t="str">
            <v/>
          </cell>
          <cell r="AC6698" t="str">
            <v/>
          </cell>
          <cell r="AD6698" t="str">
            <v/>
          </cell>
          <cell r="AY6698" t="str">
            <v/>
          </cell>
          <cell r="AZ6698" t="str">
            <v/>
          </cell>
          <cell r="BA6698" t="str">
            <v/>
          </cell>
        </row>
        <row r="6699">
          <cell r="B6699" t="str">
            <v>-</v>
          </cell>
          <cell r="E6699" t="str">
            <v/>
          </cell>
          <cell r="G6699" t="str">
            <v/>
          </cell>
          <cell r="J6699" t="str">
            <v/>
          </cell>
          <cell r="O6699" t="str">
            <v/>
          </cell>
          <cell r="P6699" t="str">
            <v/>
          </cell>
          <cell r="Q6699" t="str">
            <v/>
          </cell>
          <cell r="S6699" t="str">
            <v/>
          </cell>
          <cell r="V6699" t="str">
            <v/>
          </cell>
          <cell r="Z6699" t="str">
            <v/>
          </cell>
          <cell r="AA6699" t="str">
            <v/>
          </cell>
          <cell r="AB6699" t="str">
            <v/>
          </cell>
          <cell r="AC6699" t="str">
            <v/>
          </cell>
          <cell r="AD6699" t="str">
            <v/>
          </cell>
          <cell r="AY6699" t="str">
            <v/>
          </cell>
          <cell r="AZ6699" t="str">
            <v/>
          </cell>
          <cell r="BA6699" t="str">
            <v/>
          </cell>
        </row>
        <row r="6700">
          <cell r="B6700" t="str">
            <v>-</v>
          </cell>
          <cell r="E6700" t="str">
            <v/>
          </cell>
          <cell r="G6700" t="str">
            <v/>
          </cell>
          <cell r="J6700" t="str">
            <v/>
          </cell>
          <cell r="O6700" t="str">
            <v/>
          </cell>
          <cell r="P6700" t="str">
            <v/>
          </cell>
          <cell r="Q6700" t="str">
            <v/>
          </cell>
          <cell r="S6700" t="str">
            <v/>
          </cell>
          <cell r="V6700" t="str">
            <v/>
          </cell>
          <cell r="Z6700" t="str">
            <v/>
          </cell>
          <cell r="AA6700" t="str">
            <v/>
          </cell>
          <cell r="AB6700" t="str">
            <v/>
          </cell>
          <cell r="AC6700" t="str">
            <v/>
          </cell>
          <cell r="AD6700" t="str">
            <v/>
          </cell>
          <cell r="AY6700" t="str">
            <v/>
          </cell>
          <cell r="AZ6700" t="str">
            <v/>
          </cell>
          <cell r="BA6700" t="str">
            <v/>
          </cell>
        </row>
        <row r="6701">
          <cell r="B6701" t="str">
            <v>-</v>
          </cell>
          <cell r="E6701" t="str">
            <v/>
          </cell>
          <cell r="G6701" t="str">
            <v/>
          </cell>
          <cell r="J6701" t="str">
            <v/>
          </cell>
          <cell r="O6701" t="str">
            <v/>
          </cell>
          <cell r="P6701" t="str">
            <v/>
          </cell>
          <cell r="Q6701" t="str">
            <v/>
          </cell>
          <cell r="S6701" t="str">
            <v/>
          </cell>
          <cell r="V6701" t="str">
            <v/>
          </cell>
          <cell r="Z6701" t="str">
            <v/>
          </cell>
          <cell r="AA6701" t="str">
            <v/>
          </cell>
          <cell r="AB6701" t="str">
            <v/>
          </cell>
          <cell r="AC6701" t="str">
            <v/>
          </cell>
          <cell r="AD6701" t="str">
            <v/>
          </cell>
          <cell r="AY6701" t="str">
            <v/>
          </cell>
          <cell r="AZ6701" t="str">
            <v/>
          </cell>
          <cell r="BA6701" t="str">
            <v/>
          </cell>
        </row>
        <row r="6702">
          <cell r="B6702" t="str">
            <v>-</v>
          </cell>
          <cell r="E6702" t="str">
            <v/>
          </cell>
          <cell r="G6702" t="str">
            <v/>
          </cell>
          <cell r="J6702" t="str">
            <v/>
          </cell>
          <cell r="O6702" t="str">
            <v/>
          </cell>
          <cell r="P6702" t="str">
            <v/>
          </cell>
          <cell r="Q6702" t="str">
            <v/>
          </cell>
          <cell r="S6702" t="str">
            <v/>
          </cell>
          <cell r="V6702" t="str">
            <v/>
          </cell>
          <cell r="Z6702" t="str">
            <v/>
          </cell>
          <cell r="AA6702" t="str">
            <v/>
          </cell>
          <cell r="AB6702" t="str">
            <v/>
          </cell>
          <cell r="AC6702" t="str">
            <v/>
          </cell>
          <cell r="AD6702" t="str">
            <v/>
          </cell>
          <cell r="AY6702" t="str">
            <v/>
          </cell>
          <cell r="AZ6702" t="str">
            <v/>
          </cell>
          <cell r="BA6702" t="str">
            <v/>
          </cell>
        </row>
        <row r="6703">
          <cell r="B6703" t="str">
            <v>-</v>
          </cell>
          <cell r="E6703" t="str">
            <v/>
          </cell>
          <cell r="G6703" t="str">
            <v/>
          </cell>
          <cell r="J6703" t="str">
            <v/>
          </cell>
          <cell r="O6703" t="str">
            <v/>
          </cell>
          <cell r="P6703" t="str">
            <v/>
          </cell>
          <cell r="Q6703" t="str">
            <v/>
          </cell>
          <cell r="S6703" t="str">
            <v/>
          </cell>
          <cell r="V6703" t="str">
            <v/>
          </cell>
          <cell r="Z6703" t="str">
            <v/>
          </cell>
          <cell r="AA6703" t="str">
            <v/>
          </cell>
          <cell r="AB6703" t="str">
            <v/>
          </cell>
          <cell r="AC6703" t="str">
            <v/>
          </cell>
          <cell r="AD6703" t="str">
            <v/>
          </cell>
          <cell r="AY6703" t="str">
            <v/>
          </cell>
          <cell r="AZ6703" t="str">
            <v/>
          </cell>
          <cell r="BA6703" t="str">
            <v/>
          </cell>
        </row>
        <row r="6704">
          <cell r="B6704" t="str">
            <v>-</v>
          </cell>
          <cell r="E6704" t="str">
            <v/>
          </cell>
          <cell r="G6704" t="str">
            <v/>
          </cell>
          <cell r="J6704" t="str">
            <v/>
          </cell>
          <cell r="O6704" t="str">
            <v/>
          </cell>
          <cell r="P6704" t="str">
            <v/>
          </cell>
          <cell r="Q6704" t="str">
            <v/>
          </cell>
          <cell r="S6704" t="str">
            <v/>
          </cell>
          <cell r="V6704" t="str">
            <v/>
          </cell>
          <cell r="Z6704" t="str">
            <v/>
          </cell>
          <cell r="AA6704" t="str">
            <v/>
          </cell>
          <cell r="AB6704" t="str">
            <v/>
          </cell>
          <cell r="AC6704" t="str">
            <v/>
          </cell>
          <cell r="AD6704" t="str">
            <v/>
          </cell>
          <cell r="AY6704" t="str">
            <v/>
          </cell>
          <cell r="AZ6704" t="str">
            <v/>
          </cell>
          <cell r="BA6704" t="str">
            <v/>
          </cell>
        </row>
        <row r="6705">
          <cell r="B6705" t="str">
            <v>-</v>
          </cell>
          <cell r="E6705" t="str">
            <v/>
          </cell>
          <cell r="G6705" t="str">
            <v/>
          </cell>
          <cell r="J6705" t="str">
            <v/>
          </cell>
          <cell r="O6705" t="str">
            <v/>
          </cell>
          <cell r="P6705" t="str">
            <v/>
          </cell>
          <cell r="Q6705" t="str">
            <v/>
          </cell>
          <cell r="S6705" t="str">
            <v/>
          </cell>
          <cell r="V6705" t="str">
            <v/>
          </cell>
          <cell r="Z6705" t="str">
            <v/>
          </cell>
          <cell r="AA6705" t="str">
            <v/>
          </cell>
          <cell r="AB6705" t="str">
            <v/>
          </cell>
          <cell r="AC6705" t="str">
            <v/>
          </cell>
          <cell r="AD6705" t="str">
            <v/>
          </cell>
          <cell r="AY6705" t="str">
            <v/>
          </cell>
          <cell r="AZ6705" t="str">
            <v/>
          </cell>
          <cell r="BA6705" t="str">
            <v/>
          </cell>
        </row>
        <row r="6706">
          <cell r="B6706" t="str">
            <v>-</v>
          </cell>
          <cell r="E6706" t="str">
            <v/>
          </cell>
          <cell r="G6706" t="str">
            <v/>
          </cell>
          <cell r="J6706" t="str">
            <v/>
          </cell>
          <cell r="O6706" t="str">
            <v/>
          </cell>
          <cell r="P6706" t="str">
            <v/>
          </cell>
          <cell r="Q6706" t="str">
            <v/>
          </cell>
          <cell r="S6706" t="str">
            <v/>
          </cell>
          <cell r="V6706" t="str">
            <v/>
          </cell>
          <cell r="Z6706" t="str">
            <v/>
          </cell>
          <cell r="AA6706" t="str">
            <v/>
          </cell>
          <cell r="AB6706" t="str">
            <v/>
          </cell>
          <cell r="AC6706" t="str">
            <v/>
          </cell>
          <cell r="AD6706" t="str">
            <v/>
          </cell>
          <cell r="AY6706" t="str">
            <v/>
          </cell>
          <cell r="AZ6706" t="str">
            <v/>
          </cell>
          <cell r="BA6706" t="str">
            <v/>
          </cell>
        </row>
        <row r="6707">
          <cell r="B6707" t="str">
            <v>-</v>
          </cell>
          <cell r="E6707" t="str">
            <v/>
          </cell>
          <cell r="G6707" t="str">
            <v/>
          </cell>
          <cell r="J6707" t="str">
            <v/>
          </cell>
          <cell r="O6707" t="str">
            <v/>
          </cell>
          <cell r="P6707" t="str">
            <v/>
          </cell>
          <cell r="Q6707" t="str">
            <v/>
          </cell>
          <cell r="S6707" t="str">
            <v/>
          </cell>
          <cell r="V6707" t="str">
            <v/>
          </cell>
          <cell r="Z6707" t="str">
            <v/>
          </cell>
          <cell r="AA6707" t="str">
            <v/>
          </cell>
          <cell r="AB6707" t="str">
            <v/>
          </cell>
          <cell r="AC6707" t="str">
            <v/>
          </cell>
          <cell r="AD6707" t="str">
            <v/>
          </cell>
          <cell r="AY6707" t="str">
            <v/>
          </cell>
          <cell r="AZ6707" t="str">
            <v/>
          </cell>
          <cell r="BA6707" t="str">
            <v/>
          </cell>
        </row>
        <row r="6708">
          <cell r="B6708" t="str">
            <v>-</v>
          </cell>
          <cell r="E6708" t="str">
            <v/>
          </cell>
          <cell r="G6708" t="str">
            <v/>
          </cell>
          <cell r="J6708" t="str">
            <v/>
          </cell>
          <cell r="O6708" t="str">
            <v/>
          </cell>
          <cell r="P6708" t="str">
            <v/>
          </cell>
          <cell r="Q6708" t="str">
            <v/>
          </cell>
          <cell r="S6708" t="str">
            <v/>
          </cell>
          <cell r="V6708" t="str">
            <v/>
          </cell>
          <cell r="Z6708" t="str">
            <v/>
          </cell>
          <cell r="AA6708" t="str">
            <v/>
          </cell>
          <cell r="AB6708" t="str">
            <v/>
          </cell>
          <cell r="AC6708" t="str">
            <v/>
          </cell>
          <cell r="AD6708" t="str">
            <v/>
          </cell>
          <cell r="AY6708" t="str">
            <v/>
          </cell>
          <cell r="AZ6708" t="str">
            <v/>
          </cell>
          <cell r="BA6708" t="str">
            <v/>
          </cell>
        </row>
        <row r="6709">
          <cell r="B6709" t="str">
            <v>-</v>
          </cell>
          <cell r="E6709" t="str">
            <v/>
          </cell>
          <cell r="G6709" t="str">
            <v/>
          </cell>
          <cell r="J6709" t="str">
            <v/>
          </cell>
          <cell r="O6709" t="str">
            <v/>
          </cell>
          <cell r="P6709" t="str">
            <v/>
          </cell>
          <cell r="Q6709" t="str">
            <v/>
          </cell>
          <cell r="S6709" t="str">
            <v/>
          </cell>
          <cell r="V6709" t="str">
            <v/>
          </cell>
          <cell r="Z6709" t="str">
            <v/>
          </cell>
          <cell r="AA6709" t="str">
            <v/>
          </cell>
          <cell r="AB6709" t="str">
            <v/>
          </cell>
          <cell r="AC6709" t="str">
            <v/>
          </cell>
          <cell r="AD6709" t="str">
            <v/>
          </cell>
          <cell r="AY6709" t="str">
            <v/>
          </cell>
          <cell r="AZ6709" t="str">
            <v/>
          </cell>
          <cell r="BA6709" t="str">
            <v/>
          </cell>
        </row>
        <row r="6710">
          <cell r="B6710" t="str">
            <v>-</v>
          </cell>
          <cell r="E6710" t="str">
            <v/>
          </cell>
          <cell r="G6710" t="str">
            <v/>
          </cell>
          <cell r="J6710" t="str">
            <v/>
          </cell>
          <cell r="O6710" t="str">
            <v/>
          </cell>
          <cell r="P6710" t="str">
            <v/>
          </cell>
          <cell r="Q6710" t="str">
            <v/>
          </cell>
          <cell r="S6710" t="str">
            <v/>
          </cell>
          <cell r="V6710" t="str">
            <v/>
          </cell>
          <cell r="Z6710" t="str">
            <v/>
          </cell>
          <cell r="AA6710" t="str">
            <v/>
          </cell>
          <cell r="AB6710" t="str">
            <v/>
          </cell>
          <cell r="AC6710" t="str">
            <v/>
          </cell>
          <cell r="AD6710" t="str">
            <v/>
          </cell>
          <cell r="AY6710" t="str">
            <v/>
          </cell>
          <cell r="AZ6710" t="str">
            <v/>
          </cell>
          <cell r="BA6710" t="str">
            <v/>
          </cell>
        </row>
        <row r="6711">
          <cell r="B6711" t="str">
            <v>-</v>
          </cell>
          <cell r="E6711" t="str">
            <v/>
          </cell>
          <cell r="G6711" t="str">
            <v/>
          </cell>
          <cell r="J6711" t="str">
            <v/>
          </cell>
          <cell r="O6711" t="str">
            <v/>
          </cell>
          <cell r="P6711" t="str">
            <v/>
          </cell>
          <cell r="Q6711" t="str">
            <v/>
          </cell>
          <cell r="S6711" t="str">
            <v/>
          </cell>
          <cell r="V6711" t="str">
            <v/>
          </cell>
          <cell r="Z6711" t="str">
            <v/>
          </cell>
          <cell r="AA6711" t="str">
            <v/>
          </cell>
          <cell r="AB6711" t="str">
            <v/>
          </cell>
          <cell r="AC6711" t="str">
            <v/>
          </cell>
          <cell r="AD6711" t="str">
            <v/>
          </cell>
          <cell r="AY6711" t="str">
            <v/>
          </cell>
          <cell r="AZ6711" t="str">
            <v/>
          </cell>
          <cell r="BA6711" t="str">
            <v/>
          </cell>
        </row>
        <row r="6712">
          <cell r="B6712" t="str">
            <v>-</v>
          </cell>
          <cell r="E6712" t="str">
            <v/>
          </cell>
          <cell r="G6712" t="str">
            <v/>
          </cell>
          <cell r="J6712" t="str">
            <v/>
          </cell>
          <cell r="O6712" t="str">
            <v/>
          </cell>
          <cell r="P6712" t="str">
            <v/>
          </cell>
          <cell r="Q6712" t="str">
            <v/>
          </cell>
          <cell r="S6712" t="str">
            <v/>
          </cell>
          <cell r="V6712" t="str">
            <v/>
          </cell>
          <cell r="Z6712" t="str">
            <v/>
          </cell>
          <cell r="AA6712" t="str">
            <v/>
          </cell>
          <cell r="AB6712" t="str">
            <v/>
          </cell>
          <cell r="AC6712" t="str">
            <v/>
          </cell>
          <cell r="AD6712" t="str">
            <v/>
          </cell>
          <cell r="AY6712" t="str">
            <v/>
          </cell>
          <cell r="AZ6712" t="str">
            <v/>
          </cell>
          <cell r="BA6712" t="str">
            <v/>
          </cell>
        </row>
        <row r="6713">
          <cell r="B6713" t="str">
            <v>-</v>
          </cell>
          <cell r="E6713" t="str">
            <v/>
          </cell>
          <cell r="G6713" t="str">
            <v/>
          </cell>
          <cell r="J6713" t="str">
            <v/>
          </cell>
          <cell r="O6713" t="str">
            <v/>
          </cell>
          <cell r="P6713" t="str">
            <v/>
          </cell>
          <cell r="Q6713" t="str">
            <v/>
          </cell>
          <cell r="S6713" t="str">
            <v/>
          </cell>
          <cell r="V6713" t="str">
            <v/>
          </cell>
          <cell r="Z6713" t="str">
            <v/>
          </cell>
          <cell r="AA6713" t="str">
            <v/>
          </cell>
          <cell r="AB6713" t="str">
            <v/>
          </cell>
          <cell r="AC6713" t="str">
            <v/>
          </cell>
          <cell r="AD6713" t="str">
            <v/>
          </cell>
          <cell r="AY6713" t="str">
            <v/>
          </cell>
          <cell r="AZ6713" t="str">
            <v/>
          </cell>
          <cell r="BA6713" t="str">
            <v/>
          </cell>
        </row>
        <row r="6714">
          <cell r="B6714" t="str">
            <v>-</v>
          </cell>
          <cell r="E6714" t="str">
            <v/>
          </cell>
          <cell r="G6714" t="str">
            <v/>
          </cell>
          <cell r="J6714" t="str">
            <v/>
          </cell>
          <cell r="O6714" t="str">
            <v/>
          </cell>
          <cell r="P6714" t="str">
            <v/>
          </cell>
          <cell r="Q6714" t="str">
            <v/>
          </cell>
          <cell r="S6714" t="str">
            <v/>
          </cell>
          <cell r="V6714" t="str">
            <v/>
          </cell>
          <cell r="Z6714" t="str">
            <v/>
          </cell>
          <cell r="AA6714" t="str">
            <v/>
          </cell>
          <cell r="AB6714" t="str">
            <v/>
          </cell>
          <cell r="AC6714" t="str">
            <v/>
          </cell>
          <cell r="AD6714" t="str">
            <v/>
          </cell>
          <cell r="AY6714" t="str">
            <v/>
          </cell>
          <cell r="AZ6714" t="str">
            <v/>
          </cell>
          <cell r="BA6714" t="str">
            <v/>
          </cell>
        </row>
        <row r="6715">
          <cell r="B6715" t="str">
            <v>-</v>
          </cell>
          <cell r="E6715" t="str">
            <v/>
          </cell>
          <cell r="G6715" t="str">
            <v/>
          </cell>
          <cell r="J6715" t="str">
            <v/>
          </cell>
          <cell r="O6715" t="str">
            <v/>
          </cell>
          <cell r="P6715" t="str">
            <v/>
          </cell>
          <cell r="Q6715" t="str">
            <v/>
          </cell>
          <cell r="S6715" t="str">
            <v/>
          </cell>
          <cell r="V6715" t="str">
            <v/>
          </cell>
          <cell r="Z6715" t="str">
            <v/>
          </cell>
          <cell r="AA6715" t="str">
            <v/>
          </cell>
          <cell r="AB6715" t="str">
            <v/>
          </cell>
          <cell r="AC6715" t="str">
            <v/>
          </cell>
          <cell r="AD6715" t="str">
            <v/>
          </cell>
          <cell r="AY6715" t="str">
            <v/>
          </cell>
          <cell r="AZ6715" t="str">
            <v/>
          </cell>
          <cell r="BA6715" t="str">
            <v/>
          </cell>
        </row>
        <row r="6716">
          <cell r="B6716" t="str">
            <v>-</v>
          </cell>
          <cell r="E6716" t="str">
            <v/>
          </cell>
          <cell r="G6716" t="str">
            <v/>
          </cell>
          <cell r="J6716" t="str">
            <v/>
          </cell>
          <cell r="O6716" t="str">
            <v/>
          </cell>
          <cell r="P6716" t="str">
            <v/>
          </cell>
          <cell r="Q6716" t="str">
            <v/>
          </cell>
          <cell r="S6716" t="str">
            <v/>
          </cell>
          <cell r="V6716" t="str">
            <v/>
          </cell>
          <cell r="Z6716" t="str">
            <v/>
          </cell>
          <cell r="AA6716" t="str">
            <v/>
          </cell>
          <cell r="AB6716" t="str">
            <v/>
          </cell>
          <cell r="AC6716" t="str">
            <v/>
          </cell>
          <cell r="AD6716" t="str">
            <v/>
          </cell>
          <cell r="AY6716" t="str">
            <v/>
          </cell>
          <cell r="AZ6716" t="str">
            <v/>
          </cell>
          <cell r="BA6716" t="str">
            <v/>
          </cell>
        </row>
        <row r="6717">
          <cell r="B6717" t="str">
            <v>-</v>
          </cell>
          <cell r="E6717" t="str">
            <v/>
          </cell>
          <cell r="G6717" t="str">
            <v/>
          </cell>
          <cell r="J6717" t="str">
            <v/>
          </cell>
          <cell r="O6717" t="str">
            <v/>
          </cell>
          <cell r="P6717" t="str">
            <v/>
          </cell>
          <cell r="Q6717" t="str">
            <v/>
          </cell>
          <cell r="S6717" t="str">
            <v/>
          </cell>
          <cell r="V6717" t="str">
            <v/>
          </cell>
          <cell r="Z6717" t="str">
            <v/>
          </cell>
          <cell r="AA6717" t="str">
            <v/>
          </cell>
          <cell r="AB6717" t="str">
            <v/>
          </cell>
          <cell r="AC6717" t="str">
            <v/>
          </cell>
          <cell r="AD6717" t="str">
            <v/>
          </cell>
          <cell r="AY6717" t="str">
            <v/>
          </cell>
          <cell r="AZ6717" t="str">
            <v/>
          </cell>
          <cell r="BA6717" t="str">
            <v/>
          </cell>
        </row>
        <row r="6718">
          <cell r="B6718" t="str">
            <v>-</v>
          </cell>
          <cell r="E6718" t="str">
            <v/>
          </cell>
          <cell r="G6718" t="str">
            <v/>
          </cell>
          <cell r="J6718" t="str">
            <v/>
          </cell>
          <cell r="O6718" t="str">
            <v/>
          </cell>
          <cell r="P6718" t="str">
            <v/>
          </cell>
          <cell r="Q6718" t="str">
            <v/>
          </cell>
          <cell r="S6718" t="str">
            <v/>
          </cell>
          <cell r="V6718" t="str">
            <v/>
          </cell>
          <cell r="Z6718" t="str">
            <v/>
          </cell>
          <cell r="AA6718" t="str">
            <v/>
          </cell>
          <cell r="AB6718" t="str">
            <v/>
          </cell>
          <cell r="AC6718" t="str">
            <v/>
          </cell>
          <cell r="AD6718" t="str">
            <v/>
          </cell>
          <cell r="AY6718" t="str">
            <v/>
          </cell>
          <cell r="AZ6718" t="str">
            <v/>
          </cell>
          <cell r="BA6718" t="str">
            <v/>
          </cell>
        </row>
        <row r="6719">
          <cell r="B6719" t="str">
            <v>-</v>
          </cell>
          <cell r="E6719" t="str">
            <v/>
          </cell>
          <cell r="G6719" t="str">
            <v/>
          </cell>
          <cell r="J6719" t="str">
            <v/>
          </cell>
          <cell r="O6719" t="str">
            <v/>
          </cell>
          <cell r="P6719" t="str">
            <v/>
          </cell>
          <cell r="Q6719" t="str">
            <v/>
          </cell>
          <cell r="S6719" t="str">
            <v/>
          </cell>
          <cell r="V6719" t="str">
            <v/>
          </cell>
          <cell r="Z6719" t="str">
            <v/>
          </cell>
          <cell r="AA6719" t="str">
            <v/>
          </cell>
          <cell r="AB6719" t="str">
            <v/>
          </cell>
          <cell r="AC6719" t="str">
            <v/>
          </cell>
          <cell r="AD6719" t="str">
            <v/>
          </cell>
          <cell r="AY6719" t="str">
            <v/>
          </cell>
          <cell r="AZ6719" t="str">
            <v/>
          </cell>
          <cell r="BA6719" t="str">
            <v/>
          </cell>
        </row>
        <row r="6720">
          <cell r="B6720" t="str">
            <v>-</v>
          </cell>
          <cell r="E6720" t="str">
            <v/>
          </cell>
          <cell r="G6720" t="str">
            <v/>
          </cell>
          <cell r="J6720" t="str">
            <v/>
          </cell>
          <cell r="O6720" t="str">
            <v/>
          </cell>
          <cell r="P6720" t="str">
            <v/>
          </cell>
          <cell r="Q6720" t="str">
            <v/>
          </cell>
          <cell r="S6720" t="str">
            <v/>
          </cell>
          <cell r="V6720" t="str">
            <v/>
          </cell>
          <cell r="Z6720" t="str">
            <v/>
          </cell>
          <cell r="AA6720" t="str">
            <v/>
          </cell>
          <cell r="AB6720" t="str">
            <v/>
          </cell>
          <cell r="AC6720" t="str">
            <v/>
          </cell>
          <cell r="AD6720" t="str">
            <v/>
          </cell>
          <cell r="AY6720" t="str">
            <v/>
          </cell>
          <cell r="AZ6720" t="str">
            <v/>
          </cell>
          <cell r="BA6720" t="str">
            <v/>
          </cell>
        </row>
        <row r="6721">
          <cell r="B6721" t="str">
            <v>-</v>
          </cell>
          <cell r="E6721" t="str">
            <v/>
          </cell>
          <cell r="G6721" t="str">
            <v/>
          </cell>
          <cell r="J6721" t="str">
            <v/>
          </cell>
          <cell r="O6721" t="str">
            <v/>
          </cell>
          <cell r="P6721" t="str">
            <v/>
          </cell>
          <cell r="Q6721" t="str">
            <v/>
          </cell>
          <cell r="S6721" t="str">
            <v/>
          </cell>
          <cell r="V6721" t="str">
            <v/>
          </cell>
          <cell r="Z6721" t="str">
            <v/>
          </cell>
          <cell r="AA6721" t="str">
            <v/>
          </cell>
          <cell r="AB6721" t="str">
            <v/>
          </cell>
          <cell r="AC6721" t="str">
            <v/>
          </cell>
          <cell r="AD6721" t="str">
            <v/>
          </cell>
          <cell r="AY6721" t="str">
            <v/>
          </cell>
          <cell r="AZ6721" t="str">
            <v/>
          </cell>
          <cell r="BA6721" t="str">
            <v/>
          </cell>
        </row>
        <row r="6722">
          <cell r="B6722" t="str">
            <v>-</v>
          </cell>
          <cell r="E6722" t="str">
            <v/>
          </cell>
          <cell r="G6722" t="str">
            <v/>
          </cell>
          <cell r="J6722" t="str">
            <v/>
          </cell>
          <cell r="O6722" t="str">
            <v/>
          </cell>
          <cell r="P6722" t="str">
            <v/>
          </cell>
          <cell r="Q6722" t="str">
            <v/>
          </cell>
          <cell r="S6722" t="str">
            <v/>
          </cell>
          <cell r="V6722" t="str">
            <v/>
          </cell>
          <cell r="Z6722" t="str">
            <v/>
          </cell>
          <cell r="AA6722" t="str">
            <v/>
          </cell>
          <cell r="AB6722" t="str">
            <v/>
          </cell>
          <cell r="AC6722" t="str">
            <v/>
          </cell>
          <cell r="AD6722" t="str">
            <v/>
          </cell>
          <cell r="AY6722" t="str">
            <v/>
          </cell>
          <cell r="AZ6722" t="str">
            <v/>
          </cell>
          <cell r="BA6722" t="str">
            <v/>
          </cell>
        </row>
        <row r="6723">
          <cell r="B6723" t="str">
            <v>-</v>
          </cell>
          <cell r="E6723" t="str">
            <v/>
          </cell>
          <cell r="G6723" t="str">
            <v/>
          </cell>
          <cell r="J6723" t="str">
            <v/>
          </cell>
          <cell r="O6723" t="str">
            <v/>
          </cell>
          <cell r="P6723" t="str">
            <v/>
          </cell>
          <cell r="Q6723" t="str">
            <v/>
          </cell>
          <cell r="S6723" t="str">
            <v/>
          </cell>
          <cell r="V6723" t="str">
            <v/>
          </cell>
          <cell r="Z6723" t="str">
            <v/>
          </cell>
          <cell r="AA6723" t="str">
            <v/>
          </cell>
          <cell r="AB6723" t="str">
            <v/>
          </cell>
          <cell r="AC6723" t="str">
            <v/>
          </cell>
          <cell r="AD6723" t="str">
            <v/>
          </cell>
          <cell r="AY6723" t="str">
            <v/>
          </cell>
          <cell r="AZ6723" t="str">
            <v/>
          </cell>
          <cell r="BA6723" t="str">
            <v/>
          </cell>
        </row>
        <row r="6724">
          <cell r="B6724" t="str">
            <v>-</v>
          </cell>
          <cell r="E6724" t="str">
            <v/>
          </cell>
          <cell r="G6724" t="str">
            <v/>
          </cell>
          <cell r="J6724" t="str">
            <v/>
          </cell>
          <cell r="O6724" t="str">
            <v/>
          </cell>
          <cell r="P6724" t="str">
            <v/>
          </cell>
          <cell r="Q6724" t="str">
            <v/>
          </cell>
          <cell r="S6724" t="str">
            <v/>
          </cell>
          <cell r="V6724" t="str">
            <v/>
          </cell>
          <cell r="Z6724" t="str">
            <v/>
          </cell>
          <cell r="AA6724" t="str">
            <v/>
          </cell>
          <cell r="AB6724" t="str">
            <v/>
          </cell>
          <cell r="AC6724" t="str">
            <v/>
          </cell>
          <cell r="AD6724" t="str">
            <v/>
          </cell>
          <cell r="AY6724" t="str">
            <v/>
          </cell>
          <cell r="AZ6724" t="str">
            <v/>
          </cell>
          <cell r="BA6724" t="str">
            <v/>
          </cell>
        </row>
        <row r="6725">
          <cell r="B6725" t="str">
            <v>-</v>
          </cell>
          <cell r="E6725" t="str">
            <v/>
          </cell>
          <cell r="G6725" t="str">
            <v/>
          </cell>
          <cell r="J6725" t="str">
            <v/>
          </cell>
          <cell r="O6725" t="str">
            <v/>
          </cell>
          <cell r="P6725" t="str">
            <v/>
          </cell>
          <cell r="Q6725" t="str">
            <v/>
          </cell>
          <cell r="S6725" t="str">
            <v/>
          </cell>
          <cell r="V6725" t="str">
            <v/>
          </cell>
          <cell r="Z6725" t="str">
            <v/>
          </cell>
          <cell r="AA6725" t="str">
            <v/>
          </cell>
          <cell r="AB6725" t="str">
            <v/>
          </cell>
          <cell r="AC6725" t="str">
            <v/>
          </cell>
          <cell r="AD6725" t="str">
            <v/>
          </cell>
          <cell r="AY6725" t="str">
            <v/>
          </cell>
          <cell r="AZ6725" t="str">
            <v/>
          </cell>
          <cell r="BA6725" t="str">
            <v/>
          </cell>
        </row>
        <row r="6726">
          <cell r="B6726" t="str">
            <v>-</v>
          </cell>
          <cell r="E6726" t="str">
            <v/>
          </cell>
          <cell r="G6726" t="str">
            <v/>
          </cell>
          <cell r="J6726" t="str">
            <v/>
          </cell>
          <cell r="O6726" t="str">
            <v/>
          </cell>
          <cell r="P6726" t="str">
            <v/>
          </cell>
          <cell r="Q6726" t="str">
            <v/>
          </cell>
          <cell r="S6726" t="str">
            <v/>
          </cell>
          <cell r="V6726" t="str">
            <v/>
          </cell>
          <cell r="Z6726" t="str">
            <v/>
          </cell>
          <cell r="AA6726" t="str">
            <v/>
          </cell>
          <cell r="AB6726" t="str">
            <v/>
          </cell>
          <cell r="AC6726" t="str">
            <v/>
          </cell>
          <cell r="AD6726" t="str">
            <v/>
          </cell>
          <cell r="AY6726" t="str">
            <v/>
          </cell>
          <cell r="AZ6726" t="str">
            <v/>
          </cell>
          <cell r="BA6726" t="str">
            <v/>
          </cell>
        </row>
        <row r="6727">
          <cell r="B6727" t="str">
            <v>-</v>
          </cell>
          <cell r="E6727" t="str">
            <v/>
          </cell>
          <cell r="G6727" t="str">
            <v/>
          </cell>
          <cell r="J6727" t="str">
            <v/>
          </cell>
          <cell r="O6727" t="str">
            <v/>
          </cell>
          <cell r="P6727" t="str">
            <v/>
          </cell>
          <cell r="Q6727" t="str">
            <v/>
          </cell>
          <cell r="S6727" t="str">
            <v/>
          </cell>
          <cell r="V6727" t="str">
            <v/>
          </cell>
          <cell r="Z6727" t="str">
            <v/>
          </cell>
          <cell r="AA6727" t="str">
            <v/>
          </cell>
          <cell r="AB6727" t="str">
            <v/>
          </cell>
          <cell r="AC6727" t="str">
            <v/>
          </cell>
          <cell r="AD6727" t="str">
            <v/>
          </cell>
          <cell r="AY6727" t="str">
            <v/>
          </cell>
          <cell r="AZ6727" t="str">
            <v/>
          </cell>
          <cell r="BA6727" t="str">
            <v/>
          </cell>
        </row>
        <row r="6728">
          <cell r="B6728" t="str">
            <v>-</v>
          </cell>
          <cell r="E6728" t="str">
            <v/>
          </cell>
          <cell r="G6728" t="str">
            <v/>
          </cell>
          <cell r="J6728" t="str">
            <v/>
          </cell>
          <cell r="O6728" t="str">
            <v/>
          </cell>
          <cell r="P6728" t="str">
            <v/>
          </cell>
          <cell r="Q6728" t="str">
            <v/>
          </cell>
          <cell r="S6728" t="str">
            <v/>
          </cell>
          <cell r="V6728" t="str">
            <v/>
          </cell>
          <cell r="Z6728" t="str">
            <v/>
          </cell>
          <cell r="AA6728" t="str">
            <v/>
          </cell>
          <cell r="AB6728" t="str">
            <v/>
          </cell>
          <cell r="AC6728" t="str">
            <v/>
          </cell>
          <cell r="AD6728" t="str">
            <v/>
          </cell>
          <cell r="AY6728" t="str">
            <v/>
          </cell>
          <cell r="AZ6728" t="str">
            <v/>
          </cell>
          <cell r="BA6728" t="str">
            <v/>
          </cell>
        </row>
        <row r="6729">
          <cell r="B6729" t="str">
            <v>-</v>
          </cell>
          <cell r="E6729" t="str">
            <v/>
          </cell>
          <cell r="G6729" t="str">
            <v/>
          </cell>
          <cell r="J6729" t="str">
            <v/>
          </cell>
          <cell r="O6729" t="str">
            <v/>
          </cell>
          <cell r="P6729" t="str">
            <v/>
          </cell>
          <cell r="Q6729" t="str">
            <v/>
          </cell>
          <cell r="S6729" t="str">
            <v/>
          </cell>
          <cell r="V6729" t="str">
            <v/>
          </cell>
          <cell r="Z6729" t="str">
            <v/>
          </cell>
          <cell r="AA6729" t="str">
            <v/>
          </cell>
          <cell r="AB6729" t="str">
            <v/>
          </cell>
          <cell r="AC6729" t="str">
            <v/>
          </cell>
          <cell r="AD6729" t="str">
            <v/>
          </cell>
          <cell r="AY6729" t="str">
            <v/>
          </cell>
          <cell r="AZ6729" t="str">
            <v/>
          </cell>
          <cell r="BA6729" t="str">
            <v/>
          </cell>
        </row>
        <row r="6730">
          <cell r="B6730" t="str">
            <v>-</v>
          </cell>
          <cell r="E6730" t="str">
            <v/>
          </cell>
          <cell r="G6730" t="str">
            <v/>
          </cell>
          <cell r="J6730" t="str">
            <v/>
          </cell>
          <cell r="O6730" t="str">
            <v/>
          </cell>
          <cell r="P6730" t="str">
            <v/>
          </cell>
          <cell r="Q6730" t="str">
            <v/>
          </cell>
          <cell r="S6730" t="str">
            <v/>
          </cell>
          <cell r="V6730" t="str">
            <v/>
          </cell>
          <cell r="Z6730" t="str">
            <v/>
          </cell>
          <cell r="AA6730" t="str">
            <v/>
          </cell>
          <cell r="AB6730" t="str">
            <v/>
          </cell>
          <cell r="AC6730" t="str">
            <v/>
          </cell>
          <cell r="AD6730" t="str">
            <v/>
          </cell>
          <cell r="AY6730" t="str">
            <v/>
          </cell>
          <cell r="AZ6730" t="str">
            <v/>
          </cell>
          <cell r="BA6730" t="str">
            <v/>
          </cell>
        </row>
        <row r="6731">
          <cell r="B6731" t="str">
            <v>-</v>
          </cell>
          <cell r="E6731" t="str">
            <v/>
          </cell>
          <cell r="G6731" t="str">
            <v/>
          </cell>
          <cell r="J6731" t="str">
            <v/>
          </cell>
          <cell r="O6731" t="str">
            <v/>
          </cell>
          <cell r="P6731" t="str">
            <v/>
          </cell>
          <cell r="Q6731" t="str">
            <v/>
          </cell>
          <cell r="S6731" t="str">
            <v/>
          </cell>
          <cell r="V6731" t="str">
            <v/>
          </cell>
          <cell r="Z6731" t="str">
            <v/>
          </cell>
          <cell r="AA6731" t="str">
            <v/>
          </cell>
          <cell r="AB6731" t="str">
            <v/>
          </cell>
          <cell r="AC6731" t="str">
            <v/>
          </cell>
          <cell r="AD6731" t="str">
            <v/>
          </cell>
          <cell r="AY6731" t="str">
            <v/>
          </cell>
          <cell r="AZ6731" t="str">
            <v/>
          </cell>
          <cell r="BA6731" t="str">
            <v/>
          </cell>
        </row>
        <row r="6732">
          <cell r="B6732" t="str">
            <v>-</v>
          </cell>
          <cell r="E6732" t="str">
            <v/>
          </cell>
          <cell r="G6732" t="str">
            <v/>
          </cell>
          <cell r="J6732" t="str">
            <v/>
          </cell>
          <cell r="O6732" t="str">
            <v/>
          </cell>
          <cell r="P6732" t="str">
            <v/>
          </cell>
          <cell r="Q6732" t="str">
            <v/>
          </cell>
          <cell r="S6732" t="str">
            <v/>
          </cell>
          <cell r="V6732" t="str">
            <v/>
          </cell>
          <cell r="Z6732" t="str">
            <v/>
          </cell>
          <cell r="AA6732" t="str">
            <v/>
          </cell>
          <cell r="AB6732" t="str">
            <v/>
          </cell>
          <cell r="AC6732" t="str">
            <v/>
          </cell>
          <cell r="AD6732" t="str">
            <v/>
          </cell>
          <cell r="AY6732" t="str">
            <v/>
          </cell>
          <cell r="AZ6732" t="str">
            <v/>
          </cell>
          <cell r="BA6732" t="str">
            <v/>
          </cell>
        </row>
        <row r="6733">
          <cell r="B6733" t="str">
            <v>-</v>
          </cell>
          <cell r="E6733" t="str">
            <v/>
          </cell>
          <cell r="G6733" t="str">
            <v/>
          </cell>
          <cell r="J6733" t="str">
            <v/>
          </cell>
          <cell r="O6733" t="str">
            <v/>
          </cell>
          <cell r="P6733" t="str">
            <v/>
          </cell>
          <cell r="Q6733" t="str">
            <v/>
          </cell>
          <cell r="S6733" t="str">
            <v/>
          </cell>
          <cell r="V6733" t="str">
            <v/>
          </cell>
          <cell r="Z6733" t="str">
            <v/>
          </cell>
          <cell r="AA6733" t="str">
            <v/>
          </cell>
          <cell r="AB6733" t="str">
            <v/>
          </cell>
          <cell r="AC6733" t="str">
            <v/>
          </cell>
          <cell r="AD6733" t="str">
            <v/>
          </cell>
          <cell r="AY6733" t="str">
            <v/>
          </cell>
          <cell r="AZ6733" t="str">
            <v/>
          </cell>
          <cell r="BA6733" t="str">
            <v/>
          </cell>
        </row>
        <row r="6734">
          <cell r="B6734" t="str">
            <v>-</v>
          </cell>
          <cell r="E6734" t="str">
            <v/>
          </cell>
          <cell r="G6734" t="str">
            <v/>
          </cell>
          <cell r="J6734" t="str">
            <v/>
          </cell>
          <cell r="O6734" t="str">
            <v/>
          </cell>
          <cell r="P6734" t="str">
            <v/>
          </cell>
          <cell r="Q6734" t="str">
            <v/>
          </cell>
          <cell r="S6734" t="str">
            <v/>
          </cell>
          <cell r="V6734" t="str">
            <v/>
          </cell>
          <cell r="Z6734" t="str">
            <v/>
          </cell>
          <cell r="AA6734" t="str">
            <v/>
          </cell>
          <cell r="AB6734" t="str">
            <v/>
          </cell>
          <cell r="AC6734" t="str">
            <v/>
          </cell>
          <cell r="AD6734" t="str">
            <v/>
          </cell>
          <cell r="AY6734" t="str">
            <v/>
          </cell>
          <cell r="AZ6734" t="str">
            <v/>
          </cell>
          <cell r="BA6734" t="str">
            <v/>
          </cell>
        </row>
        <row r="6735">
          <cell r="B6735" t="str">
            <v>-</v>
          </cell>
          <cell r="E6735" t="str">
            <v/>
          </cell>
          <cell r="G6735" t="str">
            <v/>
          </cell>
          <cell r="J6735" t="str">
            <v/>
          </cell>
          <cell r="O6735" t="str">
            <v/>
          </cell>
          <cell r="P6735" t="str">
            <v/>
          </cell>
          <cell r="Q6735" t="str">
            <v/>
          </cell>
          <cell r="S6735" t="str">
            <v/>
          </cell>
          <cell r="V6735" t="str">
            <v/>
          </cell>
          <cell r="Z6735" t="str">
            <v/>
          </cell>
          <cell r="AA6735" t="str">
            <v/>
          </cell>
          <cell r="AB6735" t="str">
            <v/>
          </cell>
          <cell r="AC6735" t="str">
            <v/>
          </cell>
          <cell r="AD6735" t="str">
            <v/>
          </cell>
          <cell r="AY6735" t="str">
            <v/>
          </cell>
          <cell r="AZ6735" t="str">
            <v/>
          </cell>
          <cell r="BA6735" t="str">
            <v/>
          </cell>
        </row>
        <row r="6736">
          <cell r="B6736" t="str">
            <v>-</v>
          </cell>
          <cell r="E6736" t="str">
            <v/>
          </cell>
          <cell r="G6736" t="str">
            <v/>
          </cell>
          <cell r="J6736" t="str">
            <v/>
          </cell>
          <cell r="O6736" t="str">
            <v/>
          </cell>
          <cell r="P6736" t="str">
            <v/>
          </cell>
          <cell r="Q6736" t="str">
            <v/>
          </cell>
          <cell r="S6736" t="str">
            <v/>
          </cell>
          <cell r="V6736" t="str">
            <v/>
          </cell>
          <cell r="Z6736" t="str">
            <v/>
          </cell>
          <cell r="AA6736" t="str">
            <v/>
          </cell>
          <cell r="AB6736" t="str">
            <v/>
          </cell>
          <cell r="AC6736" t="str">
            <v/>
          </cell>
          <cell r="AD6736" t="str">
            <v/>
          </cell>
          <cell r="AY6736" t="str">
            <v/>
          </cell>
          <cell r="AZ6736" t="str">
            <v/>
          </cell>
          <cell r="BA6736" t="str">
            <v/>
          </cell>
        </row>
        <row r="6737">
          <cell r="B6737" t="str">
            <v>-</v>
          </cell>
          <cell r="E6737" t="str">
            <v/>
          </cell>
          <cell r="G6737" t="str">
            <v/>
          </cell>
          <cell r="J6737" t="str">
            <v/>
          </cell>
          <cell r="O6737" t="str">
            <v/>
          </cell>
          <cell r="P6737" t="str">
            <v/>
          </cell>
          <cell r="Q6737" t="str">
            <v/>
          </cell>
          <cell r="S6737" t="str">
            <v/>
          </cell>
          <cell r="V6737" t="str">
            <v/>
          </cell>
          <cell r="Z6737" t="str">
            <v/>
          </cell>
          <cell r="AA6737" t="str">
            <v/>
          </cell>
          <cell r="AB6737" t="str">
            <v/>
          </cell>
          <cell r="AC6737" t="str">
            <v/>
          </cell>
          <cell r="AD6737" t="str">
            <v/>
          </cell>
          <cell r="AY6737" t="str">
            <v/>
          </cell>
          <cell r="AZ6737" t="str">
            <v/>
          </cell>
          <cell r="BA6737" t="str">
            <v/>
          </cell>
        </row>
        <row r="6738">
          <cell r="B6738" t="str">
            <v>-</v>
          </cell>
          <cell r="E6738" t="str">
            <v/>
          </cell>
          <cell r="G6738" t="str">
            <v/>
          </cell>
          <cell r="J6738" t="str">
            <v/>
          </cell>
          <cell r="O6738" t="str">
            <v/>
          </cell>
          <cell r="P6738" t="str">
            <v/>
          </cell>
          <cell r="Q6738" t="str">
            <v/>
          </cell>
          <cell r="S6738" t="str">
            <v/>
          </cell>
          <cell r="V6738" t="str">
            <v/>
          </cell>
          <cell r="Z6738" t="str">
            <v/>
          </cell>
          <cell r="AA6738" t="str">
            <v/>
          </cell>
          <cell r="AB6738" t="str">
            <v/>
          </cell>
          <cell r="AC6738" t="str">
            <v/>
          </cell>
          <cell r="AD6738" t="str">
            <v/>
          </cell>
          <cell r="AY6738" t="str">
            <v/>
          </cell>
          <cell r="AZ6738" t="str">
            <v/>
          </cell>
          <cell r="BA6738" t="str">
            <v/>
          </cell>
        </row>
        <row r="6739">
          <cell r="B6739" t="str">
            <v>-</v>
          </cell>
          <cell r="E6739" t="str">
            <v/>
          </cell>
          <cell r="G6739" t="str">
            <v/>
          </cell>
          <cell r="J6739" t="str">
            <v/>
          </cell>
          <cell r="O6739" t="str">
            <v/>
          </cell>
          <cell r="P6739" t="str">
            <v/>
          </cell>
          <cell r="Q6739" t="str">
            <v/>
          </cell>
          <cell r="S6739" t="str">
            <v/>
          </cell>
          <cell r="V6739" t="str">
            <v/>
          </cell>
          <cell r="Z6739" t="str">
            <v/>
          </cell>
          <cell r="AA6739" t="str">
            <v/>
          </cell>
          <cell r="AB6739" t="str">
            <v/>
          </cell>
          <cell r="AC6739" t="str">
            <v/>
          </cell>
          <cell r="AD6739" t="str">
            <v/>
          </cell>
          <cell r="AY6739" t="str">
            <v/>
          </cell>
          <cell r="AZ6739" t="str">
            <v/>
          </cell>
          <cell r="BA6739" t="str">
            <v/>
          </cell>
        </row>
        <row r="6740">
          <cell r="B6740" t="str">
            <v>-</v>
          </cell>
          <cell r="E6740" t="str">
            <v/>
          </cell>
          <cell r="G6740" t="str">
            <v/>
          </cell>
          <cell r="J6740" t="str">
            <v/>
          </cell>
          <cell r="O6740" t="str">
            <v/>
          </cell>
          <cell r="P6740" t="str">
            <v/>
          </cell>
          <cell r="Q6740" t="str">
            <v/>
          </cell>
          <cell r="S6740" t="str">
            <v/>
          </cell>
          <cell r="V6740" t="str">
            <v/>
          </cell>
          <cell r="Z6740" t="str">
            <v/>
          </cell>
          <cell r="AA6740" t="str">
            <v/>
          </cell>
          <cell r="AB6740" t="str">
            <v/>
          </cell>
          <cell r="AC6740" t="str">
            <v/>
          </cell>
          <cell r="AD6740" t="str">
            <v/>
          </cell>
          <cell r="AY6740" t="str">
            <v/>
          </cell>
          <cell r="AZ6740" t="str">
            <v/>
          </cell>
          <cell r="BA6740" t="str">
            <v/>
          </cell>
        </row>
        <row r="6741">
          <cell r="B6741" t="str">
            <v>-</v>
          </cell>
          <cell r="E6741" t="str">
            <v/>
          </cell>
          <cell r="G6741" t="str">
            <v/>
          </cell>
          <cell r="J6741" t="str">
            <v/>
          </cell>
          <cell r="O6741" t="str">
            <v/>
          </cell>
          <cell r="P6741" t="str">
            <v/>
          </cell>
          <cell r="Q6741" t="str">
            <v/>
          </cell>
          <cell r="S6741" t="str">
            <v/>
          </cell>
          <cell r="V6741" t="str">
            <v/>
          </cell>
          <cell r="Z6741" t="str">
            <v/>
          </cell>
          <cell r="AA6741" t="str">
            <v/>
          </cell>
          <cell r="AB6741" t="str">
            <v/>
          </cell>
          <cell r="AC6741" t="str">
            <v/>
          </cell>
          <cell r="AD6741" t="str">
            <v/>
          </cell>
          <cell r="AY6741" t="str">
            <v/>
          </cell>
          <cell r="AZ6741" t="str">
            <v/>
          </cell>
          <cell r="BA6741" t="str">
            <v/>
          </cell>
        </row>
        <row r="6742">
          <cell r="B6742" t="str">
            <v>-</v>
          </cell>
          <cell r="E6742" t="str">
            <v/>
          </cell>
          <cell r="G6742" t="str">
            <v/>
          </cell>
          <cell r="J6742" t="str">
            <v/>
          </cell>
          <cell r="O6742" t="str">
            <v/>
          </cell>
          <cell r="P6742" t="str">
            <v/>
          </cell>
          <cell r="Q6742" t="str">
            <v/>
          </cell>
          <cell r="S6742" t="str">
            <v/>
          </cell>
          <cell r="V6742" t="str">
            <v/>
          </cell>
          <cell r="Z6742" t="str">
            <v/>
          </cell>
          <cell r="AA6742" t="str">
            <v/>
          </cell>
          <cell r="AB6742" t="str">
            <v/>
          </cell>
          <cell r="AC6742" t="str">
            <v/>
          </cell>
          <cell r="AD6742" t="str">
            <v/>
          </cell>
          <cell r="AY6742" t="str">
            <v/>
          </cell>
          <cell r="AZ6742" t="str">
            <v/>
          </cell>
          <cell r="BA6742" t="str">
            <v/>
          </cell>
        </row>
        <row r="6743">
          <cell r="B6743" t="str">
            <v>-</v>
          </cell>
          <cell r="E6743" t="str">
            <v/>
          </cell>
          <cell r="G6743" t="str">
            <v/>
          </cell>
          <cell r="J6743" t="str">
            <v/>
          </cell>
          <cell r="O6743" t="str">
            <v/>
          </cell>
          <cell r="P6743" t="str">
            <v/>
          </cell>
          <cell r="Q6743" t="str">
            <v/>
          </cell>
          <cell r="S6743" t="str">
            <v/>
          </cell>
          <cell r="V6743" t="str">
            <v/>
          </cell>
          <cell r="Z6743" t="str">
            <v/>
          </cell>
          <cell r="AA6743" t="str">
            <v/>
          </cell>
          <cell r="AB6743" t="str">
            <v/>
          </cell>
          <cell r="AC6743" t="str">
            <v/>
          </cell>
          <cell r="AD6743" t="str">
            <v/>
          </cell>
          <cell r="AY6743" t="str">
            <v/>
          </cell>
          <cell r="AZ6743" t="str">
            <v/>
          </cell>
          <cell r="BA6743" t="str">
            <v/>
          </cell>
        </row>
        <row r="6744">
          <cell r="B6744" t="str">
            <v>-</v>
          </cell>
          <cell r="E6744" t="str">
            <v/>
          </cell>
          <cell r="G6744" t="str">
            <v/>
          </cell>
          <cell r="J6744" t="str">
            <v/>
          </cell>
          <cell r="O6744" t="str">
            <v/>
          </cell>
          <cell r="P6744" t="str">
            <v/>
          </cell>
          <cell r="Q6744" t="str">
            <v/>
          </cell>
          <cell r="S6744" t="str">
            <v/>
          </cell>
          <cell r="V6744" t="str">
            <v/>
          </cell>
          <cell r="Z6744" t="str">
            <v/>
          </cell>
          <cell r="AA6744" t="str">
            <v/>
          </cell>
          <cell r="AB6744" t="str">
            <v/>
          </cell>
          <cell r="AC6744" t="str">
            <v/>
          </cell>
          <cell r="AD6744" t="str">
            <v/>
          </cell>
          <cell r="AY6744" t="str">
            <v/>
          </cell>
          <cell r="AZ6744" t="str">
            <v/>
          </cell>
          <cell r="BA6744" t="str">
            <v/>
          </cell>
        </row>
        <row r="6745">
          <cell r="B6745" t="str">
            <v>-</v>
          </cell>
          <cell r="E6745" t="str">
            <v/>
          </cell>
          <cell r="G6745" t="str">
            <v/>
          </cell>
          <cell r="J6745" t="str">
            <v/>
          </cell>
          <cell r="O6745" t="str">
            <v/>
          </cell>
          <cell r="P6745" t="str">
            <v/>
          </cell>
          <cell r="Q6745" t="str">
            <v/>
          </cell>
          <cell r="S6745" t="str">
            <v/>
          </cell>
          <cell r="V6745" t="str">
            <v/>
          </cell>
          <cell r="Z6745" t="str">
            <v/>
          </cell>
          <cell r="AA6745" t="str">
            <v/>
          </cell>
          <cell r="AB6745" t="str">
            <v/>
          </cell>
          <cell r="AC6745" t="str">
            <v/>
          </cell>
          <cell r="AD6745" t="str">
            <v/>
          </cell>
          <cell r="AY6745" t="str">
            <v/>
          </cell>
          <cell r="AZ6745" t="str">
            <v/>
          </cell>
          <cell r="BA6745" t="str">
            <v/>
          </cell>
        </row>
        <row r="6746">
          <cell r="B6746" t="str">
            <v>-</v>
          </cell>
          <cell r="E6746" t="str">
            <v/>
          </cell>
          <cell r="G6746" t="str">
            <v/>
          </cell>
          <cell r="J6746" t="str">
            <v/>
          </cell>
          <cell r="O6746" t="str">
            <v/>
          </cell>
          <cell r="P6746" t="str">
            <v/>
          </cell>
          <cell r="Q6746" t="str">
            <v/>
          </cell>
          <cell r="S6746" t="str">
            <v/>
          </cell>
          <cell r="V6746" t="str">
            <v/>
          </cell>
          <cell r="Z6746" t="str">
            <v/>
          </cell>
          <cell r="AA6746" t="str">
            <v/>
          </cell>
          <cell r="AB6746" t="str">
            <v/>
          </cell>
          <cell r="AC6746" t="str">
            <v/>
          </cell>
          <cell r="AD6746" t="str">
            <v/>
          </cell>
          <cell r="AY6746" t="str">
            <v/>
          </cell>
          <cell r="AZ6746" t="str">
            <v/>
          </cell>
          <cell r="BA6746" t="str">
            <v/>
          </cell>
        </row>
        <row r="6747">
          <cell r="B6747" t="str">
            <v>-</v>
          </cell>
          <cell r="E6747" t="str">
            <v/>
          </cell>
          <cell r="G6747" t="str">
            <v/>
          </cell>
          <cell r="J6747" t="str">
            <v/>
          </cell>
          <cell r="O6747" t="str">
            <v/>
          </cell>
          <cell r="P6747" t="str">
            <v/>
          </cell>
          <cell r="Q6747" t="str">
            <v/>
          </cell>
          <cell r="S6747" t="str">
            <v/>
          </cell>
          <cell r="V6747" t="str">
            <v/>
          </cell>
          <cell r="Z6747" t="str">
            <v/>
          </cell>
          <cell r="AA6747" t="str">
            <v/>
          </cell>
          <cell r="AB6747" t="str">
            <v/>
          </cell>
          <cell r="AC6747" t="str">
            <v/>
          </cell>
          <cell r="AD6747" t="str">
            <v/>
          </cell>
          <cell r="AY6747" t="str">
            <v/>
          </cell>
          <cell r="AZ6747" t="str">
            <v/>
          </cell>
          <cell r="BA6747" t="str">
            <v/>
          </cell>
        </row>
        <row r="6748">
          <cell r="B6748" t="str">
            <v>-</v>
          </cell>
          <cell r="E6748" t="str">
            <v/>
          </cell>
          <cell r="G6748" t="str">
            <v/>
          </cell>
          <cell r="J6748" t="str">
            <v/>
          </cell>
          <cell r="O6748" t="str">
            <v/>
          </cell>
          <cell r="P6748" t="str">
            <v/>
          </cell>
          <cell r="Q6748" t="str">
            <v/>
          </cell>
          <cell r="S6748" t="str">
            <v/>
          </cell>
          <cell r="V6748" t="str">
            <v/>
          </cell>
          <cell r="Z6748" t="str">
            <v/>
          </cell>
          <cell r="AA6748" t="str">
            <v/>
          </cell>
          <cell r="AB6748" t="str">
            <v/>
          </cell>
          <cell r="AC6748" t="str">
            <v/>
          </cell>
          <cell r="AD6748" t="str">
            <v/>
          </cell>
          <cell r="AY6748" t="str">
            <v/>
          </cell>
          <cell r="AZ6748" t="str">
            <v/>
          </cell>
          <cell r="BA6748" t="str">
            <v/>
          </cell>
        </row>
        <row r="6749">
          <cell r="B6749" t="str">
            <v>-</v>
          </cell>
          <cell r="E6749" t="str">
            <v/>
          </cell>
          <cell r="G6749" t="str">
            <v/>
          </cell>
          <cell r="J6749" t="str">
            <v/>
          </cell>
          <cell r="O6749" t="str">
            <v/>
          </cell>
          <cell r="P6749" t="str">
            <v/>
          </cell>
          <cell r="Q6749" t="str">
            <v/>
          </cell>
          <cell r="S6749" t="str">
            <v/>
          </cell>
          <cell r="V6749" t="str">
            <v/>
          </cell>
          <cell r="Z6749" t="str">
            <v/>
          </cell>
          <cell r="AA6749" t="str">
            <v/>
          </cell>
          <cell r="AB6749" t="str">
            <v/>
          </cell>
          <cell r="AC6749" t="str">
            <v/>
          </cell>
          <cell r="AD6749" t="str">
            <v/>
          </cell>
          <cell r="AY6749" t="str">
            <v/>
          </cell>
          <cell r="AZ6749" t="str">
            <v/>
          </cell>
          <cell r="BA6749" t="str">
            <v/>
          </cell>
        </row>
        <row r="6750">
          <cell r="B6750" t="str">
            <v>-</v>
          </cell>
          <cell r="E6750" t="str">
            <v/>
          </cell>
          <cell r="G6750" t="str">
            <v/>
          </cell>
          <cell r="J6750" t="str">
            <v/>
          </cell>
          <cell r="O6750" t="str">
            <v/>
          </cell>
          <cell r="P6750" t="str">
            <v/>
          </cell>
          <cell r="Q6750" t="str">
            <v/>
          </cell>
          <cell r="S6750" t="str">
            <v/>
          </cell>
          <cell r="V6750" t="str">
            <v/>
          </cell>
          <cell r="Z6750" t="str">
            <v/>
          </cell>
          <cell r="AA6750" t="str">
            <v/>
          </cell>
          <cell r="AB6750" t="str">
            <v/>
          </cell>
          <cell r="AC6750" t="str">
            <v/>
          </cell>
          <cell r="AD6750" t="str">
            <v/>
          </cell>
          <cell r="AY6750" t="str">
            <v/>
          </cell>
          <cell r="AZ6750" t="str">
            <v/>
          </cell>
          <cell r="BA6750" t="str">
            <v/>
          </cell>
        </row>
        <row r="6751">
          <cell r="B6751" t="str">
            <v>-</v>
          </cell>
          <cell r="E6751" t="str">
            <v/>
          </cell>
          <cell r="G6751" t="str">
            <v/>
          </cell>
          <cell r="J6751" t="str">
            <v/>
          </cell>
          <cell r="O6751" t="str">
            <v/>
          </cell>
          <cell r="P6751" t="str">
            <v/>
          </cell>
          <cell r="Q6751" t="str">
            <v/>
          </cell>
          <cell r="S6751" t="str">
            <v/>
          </cell>
          <cell r="V6751" t="str">
            <v/>
          </cell>
          <cell r="Z6751" t="str">
            <v/>
          </cell>
          <cell r="AA6751" t="str">
            <v/>
          </cell>
          <cell r="AB6751" t="str">
            <v/>
          </cell>
          <cell r="AC6751" t="str">
            <v/>
          </cell>
          <cell r="AD6751" t="str">
            <v/>
          </cell>
          <cell r="AY6751" t="str">
            <v/>
          </cell>
          <cell r="AZ6751" t="str">
            <v/>
          </cell>
          <cell r="BA6751" t="str">
            <v/>
          </cell>
        </row>
        <row r="6752">
          <cell r="B6752" t="str">
            <v>-</v>
          </cell>
          <cell r="E6752" t="str">
            <v/>
          </cell>
          <cell r="G6752" t="str">
            <v/>
          </cell>
          <cell r="J6752" t="str">
            <v/>
          </cell>
          <cell r="O6752" t="str">
            <v/>
          </cell>
          <cell r="P6752" t="str">
            <v/>
          </cell>
          <cell r="Q6752" t="str">
            <v/>
          </cell>
          <cell r="S6752" t="str">
            <v/>
          </cell>
          <cell r="V6752" t="str">
            <v/>
          </cell>
          <cell r="Z6752" t="str">
            <v/>
          </cell>
          <cell r="AA6752" t="str">
            <v/>
          </cell>
          <cell r="AB6752" t="str">
            <v/>
          </cell>
          <cell r="AC6752" t="str">
            <v/>
          </cell>
          <cell r="AD6752" t="str">
            <v/>
          </cell>
          <cell r="AY6752" t="str">
            <v/>
          </cell>
          <cell r="AZ6752" t="str">
            <v/>
          </cell>
          <cell r="BA6752" t="str">
            <v/>
          </cell>
        </row>
        <row r="6753">
          <cell r="B6753" t="str">
            <v>-</v>
          </cell>
          <cell r="E6753" t="str">
            <v/>
          </cell>
          <cell r="G6753" t="str">
            <v/>
          </cell>
          <cell r="J6753" t="str">
            <v/>
          </cell>
          <cell r="O6753" t="str">
            <v/>
          </cell>
          <cell r="P6753" t="str">
            <v/>
          </cell>
          <cell r="Q6753" t="str">
            <v/>
          </cell>
          <cell r="S6753" t="str">
            <v/>
          </cell>
          <cell r="V6753" t="str">
            <v/>
          </cell>
          <cell r="Z6753" t="str">
            <v/>
          </cell>
          <cell r="AA6753" t="str">
            <v/>
          </cell>
          <cell r="AB6753" t="str">
            <v/>
          </cell>
          <cell r="AC6753" t="str">
            <v/>
          </cell>
          <cell r="AD6753" t="str">
            <v/>
          </cell>
          <cell r="AY6753" t="str">
            <v/>
          </cell>
          <cell r="AZ6753" t="str">
            <v/>
          </cell>
          <cell r="BA6753" t="str">
            <v/>
          </cell>
        </row>
        <row r="6754">
          <cell r="B6754" t="str">
            <v>-</v>
          </cell>
          <cell r="E6754" t="str">
            <v/>
          </cell>
          <cell r="G6754" t="str">
            <v/>
          </cell>
          <cell r="J6754" t="str">
            <v/>
          </cell>
          <cell r="O6754" t="str">
            <v/>
          </cell>
          <cell r="P6754" t="str">
            <v/>
          </cell>
          <cell r="Q6754" t="str">
            <v/>
          </cell>
          <cell r="S6754" t="str">
            <v/>
          </cell>
          <cell r="V6754" t="str">
            <v/>
          </cell>
          <cell r="Z6754" t="str">
            <v/>
          </cell>
          <cell r="AA6754" t="str">
            <v/>
          </cell>
          <cell r="AB6754" t="str">
            <v/>
          </cell>
          <cell r="AC6754" t="str">
            <v/>
          </cell>
          <cell r="AD6754" t="str">
            <v/>
          </cell>
          <cell r="AY6754" t="str">
            <v/>
          </cell>
          <cell r="AZ6754" t="str">
            <v/>
          </cell>
          <cell r="BA6754" t="str">
            <v/>
          </cell>
        </row>
        <row r="6755">
          <cell r="B6755" t="str">
            <v>-</v>
          </cell>
          <cell r="E6755" t="str">
            <v/>
          </cell>
          <cell r="G6755" t="str">
            <v/>
          </cell>
          <cell r="J6755" t="str">
            <v/>
          </cell>
          <cell r="O6755" t="str">
            <v/>
          </cell>
          <cell r="P6755" t="str">
            <v/>
          </cell>
          <cell r="Q6755" t="str">
            <v/>
          </cell>
          <cell r="S6755" t="str">
            <v/>
          </cell>
          <cell r="V6755" t="str">
            <v/>
          </cell>
          <cell r="Z6755" t="str">
            <v/>
          </cell>
          <cell r="AA6755" t="str">
            <v/>
          </cell>
          <cell r="AB6755" t="str">
            <v/>
          </cell>
          <cell r="AC6755" t="str">
            <v/>
          </cell>
          <cell r="AD6755" t="str">
            <v/>
          </cell>
          <cell r="AY6755" t="str">
            <v/>
          </cell>
          <cell r="AZ6755" t="str">
            <v/>
          </cell>
          <cell r="BA6755" t="str">
            <v/>
          </cell>
        </row>
        <row r="6756">
          <cell r="B6756" t="str">
            <v>-</v>
          </cell>
          <cell r="E6756" t="str">
            <v/>
          </cell>
          <cell r="G6756" t="str">
            <v/>
          </cell>
          <cell r="J6756" t="str">
            <v/>
          </cell>
          <cell r="O6756" t="str">
            <v/>
          </cell>
          <cell r="P6756" t="str">
            <v/>
          </cell>
          <cell r="Q6756" t="str">
            <v/>
          </cell>
          <cell r="S6756" t="str">
            <v/>
          </cell>
          <cell r="V6756" t="str">
            <v/>
          </cell>
          <cell r="Z6756" t="str">
            <v/>
          </cell>
          <cell r="AA6756" t="str">
            <v/>
          </cell>
          <cell r="AB6756" t="str">
            <v/>
          </cell>
          <cell r="AC6756" t="str">
            <v/>
          </cell>
          <cell r="AD6756" t="str">
            <v/>
          </cell>
          <cell r="AY6756" t="str">
            <v/>
          </cell>
          <cell r="AZ6756" t="str">
            <v/>
          </cell>
          <cell r="BA6756" t="str">
            <v/>
          </cell>
        </row>
        <row r="6757">
          <cell r="B6757" t="str">
            <v>-</v>
          </cell>
          <cell r="E6757" t="str">
            <v/>
          </cell>
          <cell r="G6757" t="str">
            <v/>
          </cell>
          <cell r="J6757" t="str">
            <v/>
          </cell>
          <cell r="O6757" t="str">
            <v/>
          </cell>
          <cell r="P6757" t="str">
            <v/>
          </cell>
          <cell r="Q6757" t="str">
            <v/>
          </cell>
          <cell r="S6757" t="str">
            <v/>
          </cell>
          <cell r="V6757" t="str">
            <v/>
          </cell>
          <cell r="Z6757" t="str">
            <v/>
          </cell>
          <cell r="AA6757" t="str">
            <v/>
          </cell>
          <cell r="AB6757" t="str">
            <v/>
          </cell>
          <cell r="AC6757" t="str">
            <v/>
          </cell>
          <cell r="AD6757" t="str">
            <v/>
          </cell>
          <cell r="AY6757" t="str">
            <v/>
          </cell>
          <cell r="AZ6757" t="str">
            <v/>
          </cell>
          <cell r="BA6757" t="str">
            <v/>
          </cell>
        </row>
        <row r="6758">
          <cell r="B6758" t="str">
            <v>-</v>
          </cell>
          <cell r="E6758" t="str">
            <v/>
          </cell>
          <cell r="G6758" t="str">
            <v/>
          </cell>
          <cell r="J6758" t="str">
            <v/>
          </cell>
          <cell r="O6758" t="str">
            <v/>
          </cell>
          <cell r="P6758" t="str">
            <v/>
          </cell>
          <cell r="Q6758" t="str">
            <v/>
          </cell>
          <cell r="S6758" t="str">
            <v/>
          </cell>
          <cell r="V6758" t="str">
            <v/>
          </cell>
          <cell r="Z6758" t="str">
            <v/>
          </cell>
          <cell r="AA6758" t="str">
            <v/>
          </cell>
          <cell r="AB6758" t="str">
            <v/>
          </cell>
          <cell r="AC6758" t="str">
            <v/>
          </cell>
          <cell r="AD6758" t="str">
            <v/>
          </cell>
          <cell r="AY6758" t="str">
            <v/>
          </cell>
          <cell r="AZ6758" t="str">
            <v/>
          </cell>
          <cell r="BA6758" t="str">
            <v/>
          </cell>
        </row>
        <row r="6759">
          <cell r="B6759" t="str">
            <v>-</v>
          </cell>
          <cell r="E6759" t="str">
            <v/>
          </cell>
          <cell r="G6759" t="str">
            <v/>
          </cell>
          <cell r="J6759" t="str">
            <v/>
          </cell>
          <cell r="O6759" t="str">
            <v/>
          </cell>
          <cell r="P6759" t="str">
            <v/>
          </cell>
          <cell r="Q6759" t="str">
            <v/>
          </cell>
          <cell r="S6759" t="str">
            <v/>
          </cell>
          <cell r="V6759" t="str">
            <v/>
          </cell>
          <cell r="Z6759" t="str">
            <v/>
          </cell>
          <cell r="AA6759" t="str">
            <v/>
          </cell>
          <cell r="AB6759" t="str">
            <v/>
          </cell>
          <cell r="AC6759" t="str">
            <v/>
          </cell>
          <cell r="AD6759" t="str">
            <v/>
          </cell>
          <cell r="AY6759" t="str">
            <v/>
          </cell>
          <cell r="AZ6759" t="str">
            <v/>
          </cell>
          <cell r="BA6759" t="str">
            <v/>
          </cell>
        </row>
        <row r="6760">
          <cell r="B6760" t="str">
            <v>-</v>
          </cell>
          <cell r="E6760" t="str">
            <v/>
          </cell>
          <cell r="G6760" t="str">
            <v/>
          </cell>
          <cell r="J6760" t="str">
            <v/>
          </cell>
          <cell r="O6760" t="str">
            <v/>
          </cell>
          <cell r="P6760" t="str">
            <v/>
          </cell>
          <cell r="Q6760" t="str">
            <v/>
          </cell>
          <cell r="S6760" t="str">
            <v/>
          </cell>
          <cell r="V6760" t="str">
            <v/>
          </cell>
          <cell r="Z6760" t="str">
            <v/>
          </cell>
          <cell r="AA6760" t="str">
            <v/>
          </cell>
          <cell r="AB6760" t="str">
            <v/>
          </cell>
          <cell r="AC6760" t="str">
            <v/>
          </cell>
          <cell r="AD6760" t="str">
            <v/>
          </cell>
          <cell r="AY6760" t="str">
            <v/>
          </cell>
          <cell r="AZ6760" t="str">
            <v/>
          </cell>
          <cell r="BA6760" t="str">
            <v/>
          </cell>
        </row>
        <row r="6761">
          <cell r="B6761" t="str">
            <v>-</v>
          </cell>
          <cell r="E6761" t="str">
            <v/>
          </cell>
          <cell r="G6761" t="str">
            <v/>
          </cell>
          <cell r="J6761" t="str">
            <v/>
          </cell>
          <cell r="O6761" t="str">
            <v/>
          </cell>
          <cell r="P6761" t="str">
            <v/>
          </cell>
          <cell r="Q6761" t="str">
            <v/>
          </cell>
          <cell r="S6761" t="str">
            <v/>
          </cell>
          <cell r="V6761" t="str">
            <v/>
          </cell>
          <cell r="Z6761" t="str">
            <v/>
          </cell>
          <cell r="AA6761" t="str">
            <v/>
          </cell>
          <cell r="AB6761" t="str">
            <v/>
          </cell>
          <cell r="AC6761" t="str">
            <v/>
          </cell>
          <cell r="AD6761" t="str">
            <v/>
          </cell>
          <cell r="AY6761" t="str">
            <v/>
          </cell>
          <cell r="AZ6761" t="str">
            <v/>
          </cell>
          <cell r="BA6761" t="str">
            <v/>
          </cell>
        </row>
        <row r="6762">
          <cell r="B6762" t="str">
            <v>-</v>
          </cell>
          <cell r="E6762" t="str">
            <v/>
          </cell>
          <cell r="G6762" t="str">
            <v/>
          </cell>
          <cell r="J6762" t="str">
            <v/>
          </cell>
          <cell r="O6762" t="str">
            <v/>
          </cell>
          <cell r="P6762" t="str">
            <v/>
          </cell>
          <cell r="Q6762" t="str">
            <v/>
          </cell>
          <cell r="S6762" t="str">
            <v/>
          </cell>
          <cell r="V6762" t="str">
            <v/>
          </cell>
          <cell r="Z6762" t="str">
            <v/>
          </cell>
          <cell r="AA6762" t="str">
            <v/>
          </cell>
          <cell r="AB6762" t="str">
            <v/>
          </cell>
          <cell r="AC6762" t="str">
            <v/>
          </cell>
          <cell r="AD6762" t="str">
            <v/>
          </cell>
          <cell r="AY6762" t="str">
            <v/>
          </cell>
          <cell r="AZ6762" t="str">
            <v/>
          </cell>
          <cell r="BA6762" t="str">
            <v/>
          </cell>
        </row>
        <row r="6763">
          <cell r="B6763" t="str">
            <v>-</v>
          </cell>
          <cell r="E6763" t="str">
            <v/>
          </cell>
          <cell r="G6763" t="str">
            <v/>
          </cell>
          <cell r="J6763" t="str">
            <v/>
          </cell>
          <cell r="O6763" t="str">
            <v/>
          </cell>
          <cell r="P6763" t="str">
            <v/>
          </cell>
          <cell r="Q6763" t="str">
            <v/>
          </cell>
          <cell r="S6763" t="str">
            <v/>
          </cell>
          <cell r="V6763" t="str">
            <v/>
          </cell>
          <cell r="Z6763" t="str">
            <v/>
          </cell>
          <cell r="AA6763" t="str">
            <v/>
          </cell>
          <cell r="AB6763" t="str">
            <v/>
          </cell>
          <cell r="AC6763" t="str">
            <v/>
          </cell>
          <cell r="AD6763" t="str">
            <v/>
          </cell>
          <cell r="AY6763" t="str">
            <v/>
          </cell>
          <cell r="AZ6763" t="str">
            <v/>
          </cell>
          <cell r="BA6763" t="str">
            <v/>
          </cell>
        </row>
        <row r="6764">
          <cell r="B6764" t="str">
            <v>-</v>
          </cell>
          <cell r="E6764" t="str">
            <v/>
          </cell>
          <cell r="G6764" t="str">
            <v/>
          </cell>
          <cell r="J6764" t="str">
            <v/>
          </cell>
          <cell r="O6764" t="str">
            <v/>
          </cell>
          <cell r="P6764" t="str">
            <v/>
          </cell>
          <cell r="Q6764" t="str">
            <v/>
          </cell>
          <cell r="S6764" t="str">
            <v/>
          </cell>
          <cell r="V6764" t="str">
            <v/>
          </cell>
          <cell r="Z6764" t="str">
            <v/>
          </cell>
          <cell r="AA6764" t="str">
            <v/>
          </cell>
          <cell r="AB6764" t="str">
            <v/>
          </cell>
          <cell r="AC6764" t="str">
            <v/>
          </cell>
          <cell r="AD6764" t="str">
            <v/>
          </cell>
          <cell r="AY6764" t="str">
            <v/>
          </cell>
          <cell r="AZ6764" t="str">
            <v/>
          </cell>
          <cell r="BA6764" t="str">
            <v/>
          </cell>
        </row>
        <row r="6765">
          <cell r="B6765" t="str">
            <v>-</v>
          </cell>
          <cell r="E6765" t="str">
            <v/>
          </cell>
          <cell r="G6765" t="str">
            <v/>
          </cell>
          <cell r="J6765" t="str">
            <v/>
          </cell>
          <cell r="O6765" t="str">
            <v/>
          </cell>
          <cell r="P6765" t="str">
            <v/>
          </cell>
          <cell r="Q6765" t="str">
            <v/>
          </cell>
          <cell r="S6765" t="str">
            <v/>
          </cell>
          <cell r="V6765" t="str">
            <v/>
          </cell>
          <cell r="Z6765" t="str">
            <v/>
          </cell>
          <cell r="AA6765" t="str">
            <v/>
          </cell>
          <cell r="AB6765" t="str">
            <v/>
          </cell>
          <cell r="AC6765" t="str">
            <v/>
          </cell>
          <cell r="AD6765" t="str">
            <v/>
          </cell>
          <cell r="AY6765" t="str">
            <v/>
          </cell>
          <cell r="AZ6765" t="str">
            <v/>
          </cell>
          <cell r="BA6765" t="str">
            <v/>
          </cell>
        </row>
        <row r="6766">
          <cell r="B6766" t="str">
            <v>-</v>
          </cell>
          <cell r="E6766" t="str">
            <v/>
          </cell>
          <cell r="G6766" t="str">
            <v/>
          </cell>
          <cell r="J6766" t="str">
            <v/>
          </cell>
          <cell r="O6766" t="str">
            <v/>
          </cell>
          <cell r="P6766" t="str">
            <v/>
          </cell>
          <cell r="Q6766" t="str">
            <v/>
          </cell>
          <cell r="S6766" t="str">
            <v/>
          </cell>
          <cell r="V6766" t="str">
            <v/>
          </cell>
          <cell r="Z6766" t="str">
            <v/>
          </cell>
          <cell r="AA6766" t="str">
            <v/>
          </cell>
          <cell r="AB6766" t="str">
            <v/>
          </cell>
          <cell r="AC6766" t="str">
            <v/>
          </cell>
          <cell r="AD6766" t="str">
            <v/>
          </cell>
          <cell r="AY6766" t="str">
            <v/>
          </cell>
          <cell r="AZ6766" t="str">
            <v/>
          </cell>
          <cell r="BA6766" t="str">
            <v/>
          </cell>
        </row>
        <row r="6767">
          <cell r="B6767" t="str">
            <v>-</v>
          </cell>
          <cell r="E6767" t="str">
            <v/>
          </cell>
          <cell r="G6767" t="str">
            <v/>
          </cell>
          <cell r="J6767" t="str">
            <v/>
          </cell>
          <cell r="O6767" t="str">
            <v/>
          </cell>
          <cell r="P6767" t="str">
            <v/>
          </cell>
          <cell r="Q6767" t="str">
            <v/>
          </cell>
          <cell r="S6767" t="str">
            <v/>
          </cell>
          <cell r="V6767" t="str">
            <v/>
          </cell>
          <cell r="Z6767" t="str">
            <v/>
          </cell>
          <cell r="AA6767" t="str">
            <v/>
          </cell>
          <cell r="AB6767" t="str">
            <v/>
          </cell>
          <cell r="AC6767" t="str">
            <v/>
          </cell>
          <cell r="AD6767" t="str">
            <v/>
          </cell>
          <cell r="AY6767" t="str">
            <v/>
          </cell>
          <cell r="AZ6767" t="str">
            <v/>
          </cell>
          <cell r="BA6767" t="str">
            <v/>
          </cell>
        </row>
        <row r="6768">
          <cell r="B6768" t="str">
            <v>-</v>
          </cell>
          <cell r="E6768" t="str">
            <v/>
          </cell>
          <cell r="G6768" t="str">
            <v/>
          </cell>
          <cell r="J6768" t="str">
            <v/>
          </cell>
          <cell r="O6768" t="str">
            <v/>
          </cell>
          <cell r="P6768" t="str">
            <v/>
          </cell>
          <cell r="Q6768" t="str">
            <v/>
          </cell>
          <cell r="S6768" t="str">
            <v/>
          </cell>
          <cell r="V6768" t="str">
            <v/>
          </cell>
          <cell r="Z6768" t="str">
            <v/>
          </cell>
          <cell r="AA6768" t="str">
            <v/>
          </cell>
          <cell r="AB6768" t="str">
            <v/>
          </cell>
          <cell r="AC6768" t="str">
            <v/>
          </cell>
          <cell r="AD6768" t="str">
            <v/>
          </cell>
          <cell r="AY6768" t="str">
            <v/>
          </cell>
          <cell r="AZ6768" t="str">
            <v/>
          </cell>
          <cell r="BA6768" t="str">
            <v/>
          </cell>
        </row>
        <row r="6769">
          <cell r="B6769" t="str">
            <v>-</v>
          </cell>
          <cell r="E6769" t="str">
            <v/>
          </cell>
          <cell r="G6769" t="str">
            <v/>
          </cell>
          <cell r="J6769" t="str">
            <v/>
          </cell>
          <cell r="O6769" t="str">
            <v/>
          </cell>
          <cell r="P6769" t="str">
            <v/>
          </cell>
          <cell r="Q6769" t="str">
            <v/>
          </cell>
          <cell r="S6769" t="str">
            <v/>
          </cell>
          <cell r="V6769" t="str">
            <v/>
          </cell>
          <cell r="Z6769" t="str">
            <v/>
          </cell>
          <cell r="AA6769" t="str">
            <v/>
          </cell>
          <cell r="AB6769" t="str">
            <v/>
          </cell>
          <cell r="AC6769" t="str">
            <v/>
          </cell>
          <cell r="AD6769" t="str">
            <v/>
          </cell>
          <cell r="AY6769" t="str">
            <v/>
          </cell>
          <cell r="AZ6769" t="str">
            <v/>
          </cell>
          <cell r="BA6769" t="str">
            <v/>
          </cell>
        </row>
        <row r="6770">
          <cell r="B6770" t="str">
            <v>-</v>
          </cell>
          <cell r="E6770" t="str">
            <v/>
          </cell>
          <cell r="G6770" t="str">
            <v/>
          </cell>
          <cell r="J6770" t="str">
            <v/>
          </cell>
          <cell r="O6770" t="str">
            <v/>
          </cell>
          <cell r="P6770" t="str">
            <v/>
          </cell>
          <cell r="Q6770" t="str">
            <v/>
          </cell>
          <cell r="S6770" t="str">
            <v/>
          </cell>
          <cell r="V6770" t="str">
            <v/>
          </cell>
          <cell r="Z6770" t="str">
            <v/>
          </cell>
          <cell r="AA6770" t="str">
            <v/>
          </cell>
          <cell r="AB6770" t="str">
            <v/>
          </cell>
          <cell r="AC6770" t="str">
            <v/>
          </cell>
          <cell r="AD6770" t="str">
            <v/>
          </cell>
          <cell r="AY6770" t="str">
            <v/>
          </cell>
          <cell r="AZ6770" t="str">
            <v/>
          </cell>
          <cell r="BA6770" t="str">
            <v/>
          </cell>
        </row>
        <row r="6771">
          <cell r="B6771" t="str">
            <v>-</v>
          </cell>
          <cell r="E6771" t="str">
            <v/>
          </cell>
          <cell r="G6771" t="str">
            <v/>
          </cell>
          <cell r="J6771" t="str">
            <v/>
          </cell>
          <cell r="O6771" t="str">
            <v/>
          </cell>
          <cell r="P6771" t="str">
            <v/>
          </cell>
          <cell r="Q6771" t="str">
            <v/>
          </cell>
          <cell r="S6771" t="str">
            <v/>
          </cell>
          <cell r="V6771" t="str">
            <v/>
          </cell>
          <cell r="Z6771" t="str">
            <v/>
          </cell>
          <cell r="AA6771" t="str">
            <v/>
          </cell>
          <cell r="AB6771" t="str">
            <v/>
          </cell>
          <cell r="AC6771" t="str">
            <v/>
          </cell>
          <cell r="AD6771" t="str">
            <v/>
          </cell>
          <cell r="AY6771" t="str">
            <v/>
          </cell>
          <cell r="AZ6771" t="str">
            <v/>
          </cell>
          <cell r="BA6771" t="str">
            <v/>
          </cell>
        </row>
        <row r="6772">
          <cell r="B6772" t="str">
            <v>-</v>
          </cell>
          <cell r="E6772" t="str">
            <v/>
          </cell>
          <cell r="G6772" t="str">
            <v/>
          </cell>
          <cell r="J6772" t="str">
            <v/>
          </cell>
          <cell r="O6772" t="str">
            <v/>
          </cell>
          <cell r="P6772" t="str">
            <v/>
          </cell>
          <cell r="Q6772" t="str">
            <v/>
          </cell>
          <cell r="S6772" t="str">
            <v/>
          </cell>
          <cell r="V6772" t="str">
            <v/>
          </cell>
          <cell r="Z6772" t="str">
            <v/>
          </cell>
          <cell r="AA6772" t="str">
            <v/>
          </cell>
          <cell r="AB6772" t="str">
            <v/>
          </cell>
          <cell r="AC6772" t="str">
            <v/>
          </cell>
          <cell r="AD6772" t="str">
            <v/>
          </cell>
          <cell r="AY6772" t="str">
            <v/>
          </cell>
          <cell r="AZ6772" t="str">
            <v/>
          </cell>
          <cell r="BA6772" t="str">
            <v/>
          </cell>
        </row>
        <row r="6773">
          <cell r="B6773" t="str">
            <v>-</v>
          </cell>
          <cell r="E6773" t="str">
            <v/>
          </cell>
          <cell r="G6773" t="str">
            <v/>
          </cell>
          <cell r="J6773" t="str">
            <v/>
          </cell>
          <cell r="O6773" t="str">
            <v/>
          </cell>
          <cell r="P6773" t="str">
            <v/>
          </cell>
          <cell r="Q6773" t="str">
            <v/>
          </cell>
          <cell r="S6773" t="str">
            <v/>
          </cell>
          <cell r="V6773" t="str">
            <v/>
          </cell>
          <cell r="Z6773" t="str">
            <v/>
          </cell>
          <cell r="AA6773" t="str">
            <v/>
          </cell>
          <cell r="AB6773" t="str">
            <v/>
          </cell>
          <cell r="AC6773" t="str">
            <v/>
          </cell>
          <cell r="AD6773" t="str">
            <v/>
          </cell>
          <cell r="AY6773" t="str">
            <v/>
          </cell>
          <cell r="AZ6773" t="str">
            <v/>
          </cell>
          <cell r="BA6773" t="str">
            <v/>
          </cell>
        </row>
        <row r="6774">
          <cell r="B6774" t="str">
            <v>-</v>
          </cell>
          <cell r="E6774" t="str">
            <v/>
          </cell>
          <cell r="G6774" t="str">
            <v/>
          </cell>
          <cell r="J6774" t="str">
            <v/>
          </cell>
          <cell r="O6774" t="str">
            <v/>
          </cell>
          <cell r="P6774" t="str">
            <v/>
          </cell>
          <cell r="Q6774" t="str">
            <v/>
          </cell>
          <cell r="S6774" t="str">
            <v/>
          </cell>
          <cell r="V6774" t="str">
            <v/>
          </cell>
          <cell r="Z6774" t="str">
            <v/>
          </cell>
          <cell r="AA6774" t="str">
            <v/>
          </cell>
          <cell r="AB6774" t="str">
            <v/>
          </cell>
          <cell r="AC6774" t="str">
            <v/>
          </cell>
          <cell r="AD6774" t="str">
            <v/>
          </cell>
          <cell r="AY6774" t="str">
            <v/>
          </cell>
          <cell r="AZ6774" t="str">
            <v/>
          </cell>
          <cell r="BA6774" t="str">
            <v/>
          </cell>
        </row>
        <row r="6775">
          <cell r="B6775" t="str">
            <v>-</v>
          </cell>
          <cell r="E6775" t="str">
            <v/>
          </cell>
          <cell r="G6775" t="str">
            <v/>
          </cell>
          <cell r="J6775" t="str">
            <v/>
          </cell>
          <cell r="O6775" t="str">
            <v/>
          </cell>
          <cell r="P6775" t="str">
            <v/>
          </cell>
          <cell r="Q6775" t="str">
            <v/>
          </cell>
          <cell r="S6775" t="str">
            <v/>
          </cell>
          <cell r="V6775" t="str">
            <v/>
          </cell>
          <cell r="Z6775" t="str">
            <v/>
          </cell>
          <cell r="AA6775" t="str">
            <v/>
          </cell>
          <cell r="AB6775" t="str">
            <v/>
          </cell>
          <cell r="AC6775" t="str">
            <v/>
          </cell>
          <cell r="AD6775" t="str">
            <v/>
          </cell>
          <cell r="AY6775" t="str">
            <v/>
          </cell>
          <cell r="AZ6775" t="str">
            <v/>
          </cell>
          <cell r="BA6775" t="str">
            <v/>
          </cell>
        </row>
        <row r="6776">
          <cell r="B6776" t="str">
            <v>-</v>
          </cell>
          <cell r="E6776" t="str">
            <v/>
          </cell>
          <cell r="G6776" t="str">
            <v/>
          </cell>
          <cell r="J6776" t="str">
            <v/>
          </cell>
          <cell r="O6776" t="str">
            <v/>
          </cell>
          <cell r="P6776" t="str">
            <v/>
          </cell>
          <cell r="Q6776" t="str">
            <v/>
          </cell>
          <cell r="S6776" t="str">
            <v/>
          </cell>
          <cell r="V6776" t="str">
            <v/>
          </cell>
          <cell r="Z6776" t="str">
            <v/>
          </cell>
          <cell r="AA6776" t="str">
            <v/>
          </cell>
          <cell r="AB6776" t="str">
            <v/>
          </cell>
          <cell r="AC6776" t="str">
            <v/>
          </cell>
          <cell r="AD6776" t="str">
            <v/>
          </cell>
          <cell r="AY6776" t="str">
            <v/>
          </cell>
          <cell r="AZ6776" t="str">
            <v/>
          </cell>
          <cell r="BA6776" t="str">
            <v/>
          </cell>
        </row>
        <row r="6777">
          <cell r="B6777" t="str">
            <v>-</v>
          </cell>
          <cell r="E6777" t="str">
            <v/>
          </cell>
          <cell r="G6777" t="str">
            <v/>
          </cell>
          <cell r="J6777" t="str">
            <v/>
          </cell>
          <cell r="O6777" t="str">
            <v/>
          </cell>
          <cell r="P6777" t="str">
            <v/>
          </cell>
          <cell r="Q6777" t="str">
            <v/>
          </cell>
          <cell r="S6777" t="str">
            <v/>
          </cell>
          <cell r="V6777" t="str">
            <v/>
          </cell>
          <cell r="Z6777" t="str">
            <v/>
          </cell>
          <cell r="AA6777" t="str">
            <v/>
          </cell>
          <cell r="AB6777" t="str">
            <v/>
          </cell>
          <cell r="AC6777" t="str">
            <v/>
          </cell>
          <cell r="AD6777" t="str">
            <v/>
          </cell>
          <cell r="AY6777" t="str">
            <v/>
          </cell>
          <cell r="AZ6777" t="str">
            <v/>
          </cell>
          <cell r="BA6777" t="str">
            <v/>
          </cell>
        </row>
        <row r="6778">
          <cell r="B6778" t="str">
            <v>-</v>
          </cell>
          <cell r="E6778" t="str">
            <v/>
          </cell>
          <cell r="G6778" t="str">
            <v/>
          </cell>
          <cell r="J6778" t="str">
            <v/>
          </cell>
          <cell r="O6778" t="str">
            <v/>
          </cell>
          <cell r="P6778" t="str">
            <v/>
          </cell>
          <cell r="Q6778" t="str">
            <v/>
          </cell>
          <cell r="S6778" t="str">
            <v/>
          </cell>
          <cell r="V6778" t="str">
            <v/>
          </cell>
          <cell r="Z6778" t="str">
            <v/>
          </cell>
          <cell r="AA6778" t="str">
            <v/>
          </cell>
          <cell r="AB6778" t="str">
            <v/>
          </cell>
          <cell r="AC6778" t="str">
            <v/>
          </cell>
          <cell r="AD6778" t="str">
            <v/>
          </cell>
          <cell r="AY6778" t="str">
            <v/>
          </cell>
          <cell r="AZ6778" t="str">
            <v/>
          </cell>
          <cell r="BA6778" t="str">
            <v/>
          </cell>
        </row>
        <row r="6779">
          <cell r="B6779" t="str">
            <v>-</v>
          </cell>
          <cell r="E6779" t="str">
            <v/>
          </cell>
          <cell r="G6779" t="str">
            <v/>
          </cell>
          <cell r="J6779" t="str">
            <v/>
          </cell>
          <cell r="O6779" t="str">
            <v/>
          </cell>
          <cell r="P6779" t="str">
            <v/>
          </cell>
          <cell r="Q6779" t="str">
            <v/>
          </cell>
          <cell r="S6779" t="str">
            <v/>
          </cell>
          <cell r="V6779" t="str">
            <v/>
          </cell>
          <cell r="Z6779" t="str">
            <v/>
          </cell>
          <cell r="AA6779" t="str">
            <v/>
          </cell>
          <cell r="AB6779" t="str">
            <v/>
          </cell>
          <cell r="AC6779" t="str">
            <v/>
          </cell>
          <cell r="AD6779" t="str">
            <v/>
          </cell>
          <cell r="AY6779" t="str">
            <v/>
          </cell>
          <cell r="AZ6779" t="str">
            <v/>
          </cell>
          <cell r="BA6779" t="str">
            <v/>
          </cell>
        </row>
        <row r="6780">
          <cell r="B6780" t="str">
            <v>-</v>
          </cell>
          <cell r="E6780" t="str">
            <v/>
          </cell>
          <cell r="G6780" t="str">
            <v/>
          </cell>
          <cell r="J6780" t="str">
            <v/>
          </cell>
          <cell r="O6780" t="str">
            <v/>
          </cell>
          <cell r="P6780" t="str">
            <v/>
          </cell>
          <cell r="Q6780" t="str">
            <v/>
          </cell>
          <cell r="S6780" t="str">
            <v/>
          </cell>
          <cell r="V6780" t="str">
            <v/>
          </cell>
          <cell r="Z6780" t="str">
            <v/>
          </cell>
          <cell r="AA6780" t="str">
            <v/>
          </cell>
          <cell r="AB6780" t="str">
            <v/>
          </cell>
          <cell r="AC6780" t="str">
            <v/>
          </cell>
          <cell r="AD6780" t="str">
            <v/>
          </cell>
          <cell r="AY6780" t="str">
            <v/>
          </cell>
          <cell r="AZ6780" t="str">
            <v/>
          </cell>
          <cell r="BA6780" t="str">
            <v/>
          </cell>
        </row>
        <row r="6781">
          <cell r="B6781" t="str">
            <v>-</v>
          </cell>
          <cell r="E6781" t="str">
            <v/>
          </cell>
          <cell r="G6781" t="str">
            <v/>
          </cell>
          <cell r="J6781" t="str">
            <v/>
          </cell>
          <cell r="O6781" t="str">
            <v/>
          </cell>
          <cell r="P6781" t="str">
            <v/>
          </cell>
          <cell r="Q6781" t="str">
            <v/>
          </cell>
          <cell r="S6781" t="str">
            <v/>
          </cell>
          <cell r="V6781" t="str">
            <v/>
          </cell>
          <cell r="Z6781" t="str">
            <v/>
          </cell>
          <cell r="AA6781" t="str">
            <v/>
          </cell>
          <cell r="AB6781" t="str">
            <v/>
          </cell>
          <cell r="AC6781" t="str">
            <v/>
          </cell>
          <cell r="AD6781" t="str">
            <v/>
          </cell>
          <cell r="AY6781" t="str">
            <v/>
          </cell>
          <cell r="AZ6781" t="str">
            <v/>
          </cell>
          <cell r="BA6781" t="str">
            <v/>
          </cell>
        </row>
        <row r="6782">
          <cell r="B6782" t="str">
            <v>-</v>
          </cell>
          <cell r="E6782" t="str">
            <v/>
          </cell>
          <cell r="G6782" t="str">
            <v/>
          </cell>
          <cell r="J6782" t="str">
            <v/>
          </cell>
          <cell r="O6782" t="str">
            <v/>
          </cell>
          <cell r="P6782" t="str">
            <v/>
          </cell>
          <cell r="Q6782" t="str">
            <v/>
          </cell>
          <cell r="S6782" t="str">
            <v/>
          </cell>
          <cell r="V6782" t="str">
            <v/>
          </cell>
          <cell r="Z6782" t="str">
            <v/>
          </cell>
          <cell r="AA6782" t="str">
            <v/>
          </cell>
          <cell r="AB6782" t="str">
            <v/>
          </cell>
          <cell r="AC6782" t="str">
            <v/>
          </cell>
          <cell r="AD6782" t="str">
            <v/>
          </cell>
          <cell r="AY6782" t="str">
            <v/>
          </cell>
          <cell r="AZ6782" t="str">
            <v/>
          </cell>
          <cell r="BA6782" t="str">
            <v/>
          </cell>
        </row>
        <row r="6783">
          <cell r="B6783" t="str">
            <v>-</v>
          </cell>
          <cell r="E6783" t="str">
            <v/>
          </cell>
          <cell r="G6783" t="str">
            <v/>
          </cell>
          <cell r="J6783" t="str">
            <v/>
          </cell>
          <cell r="O6783" t="str">
            <v/>
          </cell>
          <cell r="P6783" t="str">
            <v/>
          </cell>
          <cell r="Q6783" t="str">
            <v/>
          </cell>
          <cell r="S6783" t="str">
            <v/>
          </cell>
          <cell r="V6783" t="str">
            <v/>
          </cell>
          <cell r="Z6783" t="str">
            <v/>
          </cell>
          <cell r="AA6783" t="str">
            <v/>
          </cell>
          <cell r="AB6783" t="str">
            <v/>
          </cell>
          <cell r="AC6783" t="str">
            <v/>
          </cell>
          <cell r="AD6783" t="str">
            <v/>
          </cell>
          <cell r="AY6783" t="str">
            <v/>
          </cell>
          <cell r="AZ6783" t="str">
            <v/>
          </cell>
          <cell r="BA6783" t="str">
            <v/>
          </cell>
        </row>
        <row r="6784">
          <cell r="B6784" t="str">
            <v>-</v>
          </cell>
          <cell r="E6784" t="str">
            <v/>
          </cell>
          <cell r="G6784" t="str">
            <v/>
          </cell>
          <cell r="J6784" t="str">
            <v/>
          </cell>
          <cell r="O6784" t="str">
            <v/>
          </cell>
          <cell r="P6784" t="str">
            <v/>
          </cell>
          <cell r="Q6784" t="str">
            <v/>
          </cell>
          <cell r="S6784" t="str">
            <v/>
          </cell>
          <cell r="V6784" t="str">
            <v/>
          </cell>
          <cell r="Z6784" t="str">
            <v/>
          </cell>
          <cell r="AA6784" t="str">
            <v/>
          </cell>
          <cell r="AB6784" t="str">
            <v/>
          </cell>
          <cell r="AC6784" t="str">
            <v/>
          </cell>
          <cell r="AD6784" t="str">
            <v/>
          </cell>
          <cell r="AY6784" t="str">
            <v/>
          </cell>
          <cell r="AZ6784" t="str">
            <v/>
          </cell>
          <cell r="BA6784" t="str">
            <v/>
          </cell>
        </row>
        <row r="6785">
          <cell r="B6785" t="str">
            <v>-</v>
          </cell>
          <cell r="E6785" t="str">
            <v/>
          </cell>
          <cell r="G6785" t="str">
            <v/>
          </cell>
          <cell r="J6785" t="str">
            <v/>
          </cell>
          <cell r="O6785" t="str">
            <v/>
          </cell>
          <cell r="P6785" t="str">
            <v/>
          </cell>
          <cell r="Q6785" t="str">
            <v/>
          </cell>
          <cell r="S6785" t="str">
            <v/>
          </cell>
          <cell r="V6785" t="str">
            <v/>
          </cell>
          <cell r="Z6785" t="str">
            <v/>
          </cell>
          <cell r="AA6785" t="str">
            <v/>
          </cell>
          <cell r="AB6785" t="str">
            <v/>
          </cell>
          <cell r="AC6785" t="str">
            <v/>
          </cell>
          <cell r="AD6785" t="str">
            <v/>
          </cell>
          <cell r="AY6785" t="str">
            <v/>
          </cell>
          <cell r="AZ6785" t="str">
            <v/>
          </cell>
          <cell r="BA6785" t="str">
            <v/>
          </cell>
        </row>
        <row r="6786">
          <cell r="B6786" t="str">
            <v>-</v>
          </cell>
          <cell r="E6786" t="str">
            <v/>
          </cell>
          <cell r="G6786" t="str">
            <v/>
          </cell>
          <cell r="J6786" t="str">
            <v/>
          </cell>
          <cell r="O6786" t="str">
            <v/>
          </cell>
          <cell r="P6786" t="str">
            <v/>
          </cell>
          <cell r="Q6786" t="str">
            <v/>
          </cell>
          <cell r="S6786" t="str">
            <v/>
          </cell>
          <cell r="V6786" t="str">
            <v/>
          </cell>
          <cell r="Z6786" t="str">
            <v/>
          </cell>
          <cell r="AA6786" t="str">
            <v/>
          </cell>
          <cell r="AB6786" t="str">
            <v/>
          </cell>
          <cell r="AC6786" t="str">
            <v/>
          </cell>
          <cell r="AD6786" t="str">
            <v/>
          </cell>
          <cell r="AY6786" t="str">
            <v/>
          </cell>
          <cell r="AZ6786" t="str">
            <v/>
          </cell>
          <cell r="BA6786" t="str">
            <v/>
          </cell>
        </row>
        <row r="6787">
          <cell r="B6787" t="str">
            <v>-</v>
          </cell>
          <cell r="E6787" t="str">
            <v/>
          </cell>
          <cell r="G6787" t="str">
            <v/>
          </cell>
          <cell r="J6787" t="str">
            <v/>
          </cell>
          <cell r="O6787" t="str">
            <v/>
          </cell>
          <cell r="P6787" t="str">
            <v/>
          </cell>
          <cell r="Q6787" t="str">
            <v/>
          </cell>
          <cell r="S6787" t="str">
            <v/>
          </cell>
          <cell r="V6787" t="str">
            <v/>
          </cell>
          <cell r="Z6787" t="str">
            <v/>
          </cell>
          <cell r="AA6787" t="str">
            <v/>
          </cell>
          <cell r="AB6787" t="str">
            <v/>
          </cell>
          <cell r="AC6787" t="str">
            <v/>
          </cell>
          <cell r="AD6787" t="str">
            <v/>
          </cell>
          <cell r="AY6787" t="str">
            <v/>
          </cell>
          <cell r="AZ6787" t="str">
            <v/>
          </cell>
          <cell r="BA6787" t="str">
            <v/>
          </cell>
        </row>
        <row r="6788">
          <cell r="B6788" t="str">
            <v>-</v>
          </cell>
          <cell r="E6788" t="str">
            <v/>
          </cell>
          <cell r="G6788" t="str">
            <v/>
          </cell>
          <cell r="J6788" t="str">
            <v/>
          </cell>
          <cell r="O6788" t="str">
            <v/>
          </cell>
          <cell r="P6788" t="str">
            <v/>
          </cell>
          <cell r="Q6788" t="str">
            <v/>
          </cell>
          <cell r="S6788" t="str">
            <v/>
          </cell>
          <cell r="V6788" t="str">
            <v/>
          </cell>
          <cell r="Z6788" t="str">
            <v/>
          </cell>
          <cell r="AA6788" t="str">
            <v/>
          </cell>
          <cell r="AB6788" t="str">
            <v/>
          </cell>
          <cell r="AC6788" t="str">
            <v/>
          </cell>
          <cell r="AD6788" t="str">
            <v/>
          </cell>
          <cell r="AY6788" t="str">
            <v/>
          </cell>
          <cell r="AZ6788" t="str">
            <v/>
          </cell>
          <cell r="BA6788" t="str">
            <v/>
          </cell>
        </row>
        <row r="6789">
          <cell r="B6789" t="str">
            <v>-</v>
          </cell>
          <cell r="E6789" t="str">
            <v/>
          </cell>
          <cell r="G6789" t="str">
            <v/>
          </cell>
          <cell r="J6789" t="str">
            <v/>
          </cell>
          <cell r="O6789" t="str">
            <v/>
          </cell>
          <cell r="P6789" t="str">
            <v/>
          </cell>
          <cell r="Q6789" t="str">
            <v/>
          </cell>
          <cell r="S6789" t="str">
            <v/>
          </cell>
          <cell r="V6789" t="str">
            <v/>
          </cell>
          <cell r="Z6789" t="str">
            <v/>
          </cell>
          <cell r="AA6789" t="str">
            <v/>
          </cell>
          <cell r="AB6789" t="str">
            <v/>
          </cell>
          <cell r="AC6789" t="str">
            <v/>
          </cell>
          <cell r="AD6789" t="str">
            <v/>
          </cell>
          <cell r="AY6789" t="str">
            <v/>
          </cell>
          <cell r="AZ6789" t="str">
            <v/>
          </cell>
          <cell r="BA6789" t="str">
            <v/>
          </cell>
        </row>
        <row r="6790">
          <cell r="B6790" t="str">
            <v>-</v>
          </cell>
          <cell r="E6790" t="str">
            <v/>
          </cell>
          <cell r="G6790" t="str">
            <v/>
          </cell>
          <cell r="J6790" t="str">
            <v/>
          </cell>
          <cell r="O6790" t="str">
            <v/>
          </cell>
          <cell r="P6790" t="str">
            <v/>
          </cell>
          <cell r="Q6790" t="str">
            <v/>
          </cell>
          <cell r="S6790" t="str">
            <v/>
          </cell>
          <cell r="V6790" t="str">
            <v/>
          </cell>
          <cell r="Z6790" t="str">
            <v/>
          </cell>
          <cell r="AA6790" t="str">
            <v/>
          </cell>
          <cell r="AB6790" t="str">
            <v/>
          </cell>
          <cell r="AC6790" t="str">
            <v/>
          </cell>
          <cell r="AD6790" t="str">
            <v/>
          </cell>
          <cell r="AY6790" t="str">
            <v/>
          </cell>
          <cell r="AZ6790" t="str">
            <v/>
          </cell>
          <cell r="BA6790" t="str">
            <v/>
          </cell>
        </row>
        <row r="6791">
          <cell r="B6791" t="str">
            <v>-</v>
          </cell>
          <cell r="E6791" t="str">
            <v/>
          </cell>
          <cell r="G6791" t="str">
            <v/>
          </cell>
          <cell r="J6791" t="str">
            <v/>
          </cell>
          <cell r="O6791" t="str">
            <v/>
          </cell>
          <cell r="P6791" t="str">
            <v/>
          </cell>
          <cell r="Q6791" t="str">
            <v/>
          </cell>
          <cell r="S6791" t="str">
            <v/>
          </cell>
          <cell r="V6791" t="str">
            <v/>
          </cell>
          <cell r="Z6791" t="str">
            <v/>
          </cell>
          <cell r="AA6791" t="str">
            <v/>
          </cell>
          <cell r="AB6791" t="str">
            <v/>
          </cell>
          <cell r="AC6791" t="str">
            <v/>
          </cell>
          <cell r="AD6791" t="str">
            <v/>
          </cell>
          <cell r="AY6791" t="str">
            <v/>
          </cell>
          <cell r="AZ6791" t="str">
            <v/>
          </cell>
          <cell r="BA6791" t="str">
            <v/>
          </cell>
        </row>
        <row r="6792">
          <cell r="B6792" t="str">
            <v>-</v>
          </cell>
          <cell r="E6792" t="str">
            <v/>
          </cell>
          <cell r="G6792" t="str">
            <v/>
          </cell>
          <cell r="J6792" t="str">
            <v/>
          </cell>
          <cell r="O6792" t="str">
            <v/>
          </cell>
          <cell r="P6792" t="str">
            <v/>
          </cell>
          <cell r="Q6792" t="str">
            <v/>
          </cell>
          <cell r="S6792" t="str">
            <v/>
          </cell>
          <cell r="V6792" t="str">
            <v/>
          </cell>
          <cell r="Z6792" t="str">
            <v/>
          </cell>
          <cell r="AA6792" t="str">
            <v/>
          </cell>
          <cell r="AB6792" t="str">
            <v/>
          </cell>
          <cell r="AC6792" t="str">
            <v/>
          </cell>
          <cell r="AD6792" t="str">
            <v/>
          </cell>
          <cell r="AY6792" t="str">
            <v/>
          </cell>
          <cell r="AZ6792" t="str">
            <v/>
          </cell>
          <cell r="BA6792" t="str">
            <v/>
          </cell>
        </row>
        <row r="6793">
          <cell r="B6793" t="str">
            <v>-</v>
          </cell>
          <cell r="E6793" t="str">
            <v/>
          </cell>
          <cell r="G6793" t="str">
            <v/>
          </cell>
          <cell r="J6793" t="str">
            <v/>
          </cell>
          <cell r="O6793" t="str">
            <v/>
          </cell>
          <cell r="P6793" t="str">
            <v/>
          </cell>
          <cell r="Q6793" t="str">
            <v/>
          </cell>
          <cell r="S6793" t="str">
            <v/>
          </cell>
          <cell r="V6793" t="str">
            <v/>
          </cell>
          <cell r="Z6793" t="str">
            <v/>
          </cell>
          <cell r="AA6793" t="str">
            <v/>
          </cell>
          <cell r="AB6793" t="str">
            <v/>
          </cell>
          <cell r="AC6793" t="str">
            <v/>
          </cell>
          <cell r="AD6793" t="str">
            <v/>
          </cell>
          <cell r="AY6793" t="str">
            <v/>
          </cell>
          <cell r="AZ6793" t="str">
            <v/>
          </cell>
          <cell r="BA6793" t="str">
            <v/>
          </cell>
        </row>
        <row r="6794">
          <cell r="B6794" t="str">
            <v>-</v>
          </cell>
          <cell r="E6794" t="str">
            <v/>
          </cell>
          <cell r="G6794" t="str">
            <v/>
          </cell>
          <cell r="J6794" t="str">
            <v/>
          </cell>
          <cell r="O6794" t="str">
            <v/>
          </cell>
          <cell r="P6794" t="str">
            <v/>
          </cell>
          <cell r="Q6794" t="str">
            <v/>
          </cell>
          <cell r="S6794" t="str">
            <v/>
          </cell>
          <cell r="V6794" t="str">
            <v/>
          </cell>
          <cell r="Z6794" t="str">
            <v/>
          </cell>
          <cell r="AA6794" t="str">
            <v/>
          </cell>
          <cell r="AB6794" t="str">
            <v/>
          </cell>
          <cell r="AC6794" t="str">
            <v/>
          </cell>
          <cell r="AD6794" t="str">
            <v/>
          </cell>
          <cell r="AY6794" t="str">
            <v/>
          </cell>
          <cell r="AZ6794" t="str">
            <v/>
          </cell>
          <cell r="BA6794" t="str">
            <v/>
          </cell>
        </row>
        <row r="6795">
          <cell r="B6795" t="str">
            <v>-</v>
          </cell>
          <cell r="E6795" t="str">
            <v/>
          </cell>
          <cell r="G6795" t="str">
            <v/>
          </cell>
          <cell r="J6795" t="str">
            <v/>
          </cell>
          <cell r="O6795" t="str">
            <v/>
          </cell>
          <cell r="P6795" t="str">
            <v/>
          </cell>
          <cell r="Q6795" t="str">
            <v/>
          </cell>
          <cell r="S6795" t="str">
            <v/>
          </cell>
          <cell r="V6795" t="str">
            <v/>
          </cell>
          <cell r="Z6795" t="str">
            <v/>
          </cell>
          <cell r="AA6795" t="str">
            <v/>
          </cell>
          <cell r="AB6795" t="str">
            <v/>
          </cell>
          <cell r="AC6795" t="str">
            <v/>
          </cell>
          <cell r="AD6795" t="str">
            <v/>
          </cell>
          <cell r="AY6795" t="str">
            <v/>
          </cell>
          <cell r="AZ6795" t="str">
            <v/>
          </cell>
          <cell r="BA6795" t="str">
            <v/>
          </cell>
        </row>
        <row r="6796">
          <cell r="B6796" t="str">
            <v>-</v>
          </cell>
          <cell r="E6796" t="str">
            <v/>
          </cell>
          <cell r="G6796" t="str">
            <v/>
          </cell>
          <cell r="J6796" t="str">
            <v/>
          </cell>
          <cell r="O6796" t="str">
            <v/>
          </cell>
          <cell r="P6796" t="str">
            <v/>
          </cell>
          <cell r="Q6796" t="str">
            <v/>
          </cell>
          <cell r="S6796" t="str">
            <v/>
          </cell>
          <cell r="V6796" t="str">
            <v/>
          </cell>
          <cell r="Z6796" t="str">
            <v/>
          </cell>
          <cell r="AA6796" t="str">
            <v/>
          </cell>
          <cell r="AB6796" t="str">
            <v/>
          </cell>
          <cell r="AC6796" t="str">
            <v/>
          </cell>
          <cell r="AD6796" t="str">
            <v/>
          </cell>
          <cell r="AY6796" t="str">
            <v/>
          </cell>
          <cell r="AZ6796" t="str">
            <v/>
          </cell>
          <cell r="BA6796" t="str">
            <v/>
          </cell>
        </row>
        <row r="6797">
          <cell r="B6797" t="str">
            <v>-</v>
          </cell>
          <cell r="E6797" t="str">
            <v/>
          </cell>
          <cell r="G6797" t="str">
            <v/>
          </cell>
          <cell r="J6797" t="str">
            <v/>
          </cell>
          <cell r="O6797" t="str">
            <v/>
          </cell>
          <cell r="P6797" t="str">
            <v/>
          </cell>
          <cell r="Q6797" t="str">
            <v/>
          </cell>
          <cell r="S6797" t="str">
            <v/>
          </cell>
          <cell r="V6797" t="str">
            <v/>
          </cell>
          <cell r="Z6797" t="str">
            <v/>
          </cell>
          <cell r="AA6797" t="str">
            <v/>
          </cell>
          <cell r="AB6797" t="str">
            <v/>
          </cell>
          <cell r="AC6797" t="str">
            <v/>
          </cell>
          <cell r="AD6797" t="str">
            <v/>
          </cell>
          <cell r="AY6797" t="str">
            <v/>
          </cell>
          <cell r="AZ6797" t="str">
            <v/>
          </cell>
          <cell r="BA6797" t="str">
            <v/>
          </cell>
        </row>
        <row r="6798">
          <cell r="B6798" t="str">
            <v>-</v>
          </cell>
          <cell r="E6798" t="str">
            <v/>
          </cell>
          <cell r="G6798" t="str">
            <v/>
          </cell>
          <cell r="J6798" t="str">
            <v/>
          </cell>
          <cell r="O6798" t="str">
            <v/>
          </cell>
          <cell r="P6798" t="str">
            <v/>
          </cell>
          <cell r="Q6798" t="str">
            <v/>
          </cell>
          <cell r="S6798" t="str">
            <v/>
          </cell>
          <cell r="V6798" t="str">
            <v/>
          </cell>
          <cell r="Z6798" t="str">
            <v/>
          </cell>
          <cell r="AA6798" t="str">
            <v/>
          </cell>
          <cell r="AB6798" t="str">
            <v/>
          </cell>
          <cell r="AC6798" t="str">
            <v/>
          </cell>
          <cell r="AD6798" t="str">
            <v/>
          </cell>
          <cell r="AY6798" t="str">
            <v/>
          </cell>
          <cell r="AZ6798" t="str">
            <v/>
          </cell>
          <cell r="BA6798" t="str">
            <v/>
          </cell>
        </row>
        <row r="6799">
          <cell r="B6799" t="str">
            <v>-</v>
          </cell>
          <cell r="E6799" t="str">
            <v/>
          </cell>
          <cell r="G6799" t="str">
            <v/>
          </cell>
          <cell r="J6799" t="str">
            <v/>
          </cell>
          <cell r="O6799" t="str">
            <v/>
          </cell>
          <cell r="P6799" t="str">
            <v/>
          </cell>
          <cell r="Q6799" t="str">
            <v/>
          </cell>
          <cell r="S6799" t="str">
            <v/>
          </cell>
          <cell r="V6799" t="str">
            <v/>
          </cell>
          <cell r="Z6799" t="str">
            <v/>
          </cell>
          <cell r="AA6799" t="str">
            <v/>
          </cell>
          <cell r="AB6799" t="str">
            <v/>
          </cell>
          <cell r="AC6799" t="str">
            <v/>
          </cell>
          <cell r="AD6799" t="str">
            <v/>
          </cell>
          <cell r="AY6799" t="str">
            <v/>
          </cell>
          <cell r="AZ6799" t="str">
            <v/>
          </cell>
          <cell r="BA6799" t="str">
            <v/>
          </cell>
        </row>
        <row r="6800">
          <cell r="B6800" t="str">
            <v>-</v>
          </cell>
          <cell r="E6800" t="str">
            <v/>
          </cell>
          <cell r="G6800" t="str">
            <v/>
          </cell>
          <cell r="J6800" t="str">
            <v/>
          </cell>
          <cell r="O6800" t="str">
            <v/>
          </cell>
          <cell r="P6800" t="str">
            <v/>
          </cell>
          <cell r="Q6800" t="str">
            <v/>
          </cell>
          <cell r="S6800" t="str">
            <v/>
          </cell>
          <cell r="V6800" t="str">
            <v/>
          </cell>
          <cell r="Z6800" t="str">
            <v/>
          </cell>
          <cell r="AA6800" t="str">
            <v/>
          </cell>
          <cell r="AB6800" t="str">
            <v/>
          </cell>
          <cell r="AC6800" t="str">
            <v/>
          </cell>
          <cell r="AD6800" t="str">
            <v/>
          </cell>
          <cell r="AY6800" t="str">
            <v/>
          </cell>
          <cell r="AZ6800" t="str">
            <v/>
          </cell>
          <cell r="BA6800" t="str">
            <v/>
          </cell>
        </row>
        <row r="6801">
          <cell r="B6801" t="str">
            <v>-</v>
          </cell>
          <cell r="E6801" t="str">
            <v/>
          </cell>
          <cell r="G6801" t="str">
            <v/>
          </cell>
          <cell r="J6801" t="str">
            <v/>
          </cell>
          <cell r="O6801" t="str">
            <v/>
          </cell>
          <cell r="P6801" t="str">
            <v/>
          </cell>
          <cell r="Q6801" t="str">
            <v/>
          </cell>
          <cell r="S6801" t="str">
            <v/>
          </cell>
          <cell r="V6801" t="str">
            <v/>
          </cell>
          <cell r="Z6801" t="str">
            <v/>
          </cell>
          <cell r="AA6801" t="str">
            <v/>
          </cell>
          <cell r="AB6801" t="str">
            <v/>
          </cell>
          <cell r="AC6801" t="str">
            <v/>
          </cell>
          <cell r="AD6801" t="str">
            <v/>
          </cell>
          <cell r="AY6801" t="str">
            <v/>
          </cell>
          <cell r="AZ6801" t="str">
            <v/>
          </cell>
          <cell r="BA6801" t="str">
            <v/>
          </cell>
        </row>
        <row r="6802">
          <cell r="B6802" t="str">
            <v>-</v>
          </cell>
          <cell r="E6802" t="str">
            <v/>
          </cell>
          <cell r="G6802" t="str">
            <v/>
          </cell>
          <cell r="J6802" t="str">
            <v/>
          </cell>
          <cell r="O6802" t="str">
            <v/>
          </cell>
          <cell r="P6802" t="str">
            <v/>
          </cell>
          <cell r="Q6802" t="str">
            <v/>
          </cell>
          <cell r="S6802" t="str">
            <v/>
          </cell>
          <cell r="V6802" t="str">
            <v/>
          </cell>
          <cell r="Z6802" t="str">
            <v/>
          </cell>
          <cell r="AA6802" t="str">
            <v/>
          </cell>
          <cell r="AB6802" t="str">
            <v/>
          </cell>
          <cell r="AC6802" t="str">
            <v/>
          </cell>
          <cell r="AD6802" t="str">
            <v/>
          </cell>
          <cell r="AY6802" t="str">
            <v/>
          </cell>
          <cell r="AZ6802" t="str">
            <v/>
          </cell>
          <cell r="BA6802" t="str">
            <v/>
          </cell>
        </row>
        <row r="6803">
          <cell r="B6803" t="str">
            <v>-</v>
          </cell>
          <cell r="E6803" t="str">
            <v/>
          </cell>
          <cell r="G6803" t="str">
            <v/>
          </cell>
          <cell r="J6803" t="str">
            <v/>
          </cell>
          <cell r="O6803" t="str">
            <v/>
          </cell>
          <cell r="P6803" t="str">
            <v/>
          </cell>
          <cell r="Q6803" t="str">
            <v/>
          </cell>
          <cell r="S6803" t="str">
            <v/>
          </cell>
          <cell r="V6803" t="str">
            <v/>
          </cell>
          <cell r="Z6803" t="str">
            <v/>
          </cell>
          <cell r="AA6803" t="str">
            <v/>
          </cell>
          <cell r="AB6803" t="str">
            <v/>
          </cell>
          <cell r="AC6803" t="str">
            <v/>
          </cell>
          <cell r="AD6803" t="str">
            <v/>
          </cell>
          <cell r="AY6803" t="str">
            <v/>
          </cell>
          <cell r="AZ6803" t="str">
            <v/>
          </cell>
          <cell r="BA6803" t="str">
            <v/>
          </cell>
        </row>
        <row r="6804">
          <cell r="B6804" t="str">
            <v>-</v>
          </cell>
          <cell r="E6804" t="str">
            <v/>
          </cell>
          <cell r="G6804" t="str">
            <v/>
          </cell>
          <cell r="J6804" t="str">
            <v/>
          </cell>
          <cell r="O6804" t="str">
            <v/>
          </cell>
          <cell r="P6804" t="str">
            <v/>
          </cell>
          <cell r="Q6804" t="str">
            <v/>
          </cell>
          <cell r="S6804" t="str">
            <v/>
          </cell>
          <cell r="V6804" t="str">
            <v/>
          </cell>
          <cell r="Z6804" t="str">
            <v/>
          </cell>
          <cell r="AA6804" t="str">
            <v/>
          </cell>
          <cell r="AB6804" t="str">
            <v/>
          </cell>
          <cell r="AC6804" t="str">
            <v/>
          </cell>
          <cell r="AD6804" t="str">
            <v/>
          </cell>
          <cell r="AY6804" t="str">
            <v/>
          </cell>
          <cell r="AZ6804" t="str">
            <v/>
          </cell>
          <cell r="BA6804" t="str">
            <v/>
          </cell>
        </row>
        <row r="6805">
          <cell r="B6805" t="str">
            <v>-</v>
          </cell>
          <cell r="E6805" t="str">
            <v/>
          </cell>
          <cell r="G6805" t="str">
            <v/>
          </cell>
          <cell r="J6805" t="str">
            <v/>
          </cell>
          <cell r="O6805" t="str">
            <v/>
          </cell>
          <cell r="P6805" t="str">
            <v/>
          </cell>
          <cell r="Q6805" t="str">
            <v/>
          </cell>
          <cell r="S6805" t="str">
            <v/>
          </cell>
          <cell r="V6805" t="str">
            <v/>
          </cell>
          <cell r="Z6805" t="str">
            <v/>
          </cell>
          <cell r="AA6805" t="str">
            <v/>
          </cell>
          <cell r="AB6805" t="str">
            <v/>
          </cell>
          <cell r="AC6805" t="str">
            <v/>
          </cell>
          <cell r="AD6805" t="str">
            <v/>
          </cell>
          <cell r="AY6805" t="str">
            <v/>
          </cell>
          <cell r="AZ6805" t="str">
            <v/>
          </cell>
          <cell r="BA6805" t="str">
            <v/>
          </cell>
        </row>
        <row r="6806">
          <cell r="B6806" t="str">
            <v>-</v>
          </cell>
          <cell r="E6806" t="str">
            <v/>
          </cell>
          <cell r="G6806" t="str">
            <v/>
          </cell>
          <cell r="J6806" t="str">
            <v/>
          </cell>
          <cell r="O6806" t="str">
            <v/>
          </cell>
          <cell r="P6806" t="str">
            <v/>
          </cell>
          <cell r="Q6806" t="str">
            <v/>
          </cell>
          <cell r="S6806" t="str">
            <v/>
          </cell>
          <cell r="V6806" t="str">
            <v/>
          </cell>
          <cell r="Z6806" t="str">
            <v/>
          </cell>
          <cell r="AA6806" t="str">
            <v/>
          </cell>
          <cell r="AB6806" t="str">
            <v/>
          </cell>
          <cell r="AC6806" t="str">
            <v/>
          </cell>
          <cell r="AD6806" t="str">
            <v/>
          </cell>
          <cell r="AY6806" t="str">
            <v/>
          </cell>
          <cell r="AZ6806" t="str">
            <v/>
          </cell>
          <cell r="BA6806" t="str">
            <v/>
          </cell>
        </row>
        <row r="6807">
          <cell r="B6807" t="str">
            <v>-</v>
          </cell>
          <cell r="E6807" t="str">
            <v/>
          </cell>
          <cell r="G6807" t="str">
            <v/>
          </cell>
          <cell r="J6807" t="str">
            <v/>
          </cell>
          <cell r="O6807" t="str">
            <v/>
          </cell>
          <cell r="P6807" t="str">
            <v/>
          </cell>
          <cell r="Q6807" t="str">
            <v/>
          </cell>
          <cell r="S6807" t="str">
            <v/>
          </cell>
          <cell r="V6807" t="str">
            <v/>
          </cell>
          <cell r="Z6807" t="str">
            <v/>
          </cell>
          <cell r="AA6807" t="str">
            <v/>
          </cell>
          <cell r="AB6807" t="str">
            <v/>
          </cell>
          <cell r="AC6807" t="str">
            <v/>
          </cell>
          <cell r="AD6807" t="str">
            <v/>
          </cell>
          <cell r="AY6807" t="str">
            <v/>
          </cell>
          <cell r="AZ6807" t="str">
            <v/>
          </cell>
          <cell r="BA6807" t="str">
            <v/>
          </cell>
        </row>
        <row r="6808">
          <cell r="B6808" t="str">
            <v>-</v>
          </cell>
          <cell r="E6808" t="str">
            <v/>
          </cell>
          <cell r="G6808" t="str">
            <v/>
          </cell>
          <cell r="J6808" t="str">
            <v/>
          </cell>
          <cell r="O6808" t="str">
            <v/>
          </cell>
          <cell r="P6808" t="str">
            <v/>
          </cell>
          <cell r="Q6808" t="str">
            <v/>
          </cell>
          <cell r="S6808" t="str">
            <v/>
          </cell>
          <cell r="V6808" t="str">
            <v/>
          </cell>
          <cell r="Z6808" t="str">
            <v/>
          </cell>
          <cell r="AA6808" t="str">
            <v/>
          </cell>
          <cell r="AB6808" t="str">
            <v/>
          </cell>
          <cell r="AC6808" t="str">
            <v/>
          </cell>
          <cell r="AD6808" t="str">
            <v/>
          </cell>
          <cell r="AY6808" t="str">
            <v/>
          </cell>
          <cell r="AZ6808" t="str">
            <v/>
          </cell>
          <cell r="BA6808" t="str">
            <v/>
          </cell>
        </row>
        <row r="6809">
          <cell r="B6809" t="str">
            <v>-</v>
          </cell>
          <cell r="E6809" t="str">
            <v/>
          </cell>
          <cell r="G6809" t="str">
            <v/>
          </cell>
          <cell r="J6809" t="str">
            <v/>
          </cell>
          <cell r="O6809" t="str">
            <v/>
          </cell>
          <cell r="P6809" t="str">
            <v/>
          </cell>
          <cell r="Q6809" t="str">
            <v/>
          </cell>
          <cell r="S6809" t="str">
            <v/>
          </cell>
          <cell r="V6809" t="str">
            <v/>
          </cell>
          <cell r="Z6809" t="str">
            <v/>
          </cell>
          <cell r="AA6809" t="str">
            <v/>
          </cell>
          <cell r="AB6809" t="str">
            <v/>
          </cell>
          <cell r="AC6809" t="str">
            <v/>
          </cell>
          <cell r="AD6809" t="str">
            <v/>
          </cell>
          <cell r="AY6809" t="str">
            <v/>
          </cell>
          <cell r="AZ6809" t="str">
            <v/>
          </cell>
          <cell r="BA6809" t="str">
            <v/>
          </cell>
        </row>
        <row r="6810">
          <cell r="B6810" t="str">
            <v>-</v>
          </cell>
          <cell r="E6810" t="str">
            <v/>
          </cell>
          <cell r="G6810" t="str">
            <v/>
          </cell>
          <cell r="J6810" t="str">
            <v/>
          </cell>
          <cell r="O6810" t="str">
            <v/>
          </cell>
          <cell r="P6810" t="str">
            <v/>
          </cell>
          <cell r="Q6810" t="str">
            <v/>
          </cell>
          <cell r="S6810" t="str">
            <v/>
          </cell>
          <cell r="V6810" t="str">
            <v/>
          </cell>
          <cell r="Z6810" t="str">
            <v/>
          </cell>
          <cell r="AA6810" t="str">
            <v/>
          </cell>
          <cell r="AB6810" t="str">
            <v/>
          </cell>
          <cell r="AC6810" t="str">
            <v/>
          </cell>
          <cell r="AD6810" t="str">
            <v/>
          </cell>
          <cell r="AY6810" t="str">
            <v/>
          </cell>
          <cell r="AZ6810" t="str">
            <v/>
          </cell>
          <cell r="BA6810" t="str">
            <v/>
          </cell>
        </row>
        <row r="6811">
          <cell r="B6811" t="str">
            <v>-</v>
          </cell>
          <cell r="E6811" t="str">
            <v/>
          </cell>
          <cell r="G6811" t="str">
            <v/>
          </cell>
          <cell r="J6811" t="str">
            <v/>
          </cell>
          <cell r="O6811" t="str">
            <v/>
          </cell>
          <cell r="P6811" t="str">
            <v/>
          </cell>
          <cell r="Q6811" t="str">
            <v/>
          </cell>
          <cell r="S6811" t="str">
            <v/>
          </cell>
          <cell r="V6811" t="str">
            <v/>
          </cell>
          <cell r="Z6811" t="str">
            <v/>
          </cell>
          <cell r="AA6811" t="str">
            <v/>
          </cell>
          <cell r="AB6811" t="str">
            <v/>
          </cell>
          <cell r="AC6811" t="str">
            <v/>
          </cell>
          <cell r="AD6811" t="str">
            <v/>
          </cell>
          <cell r="AY6811" t="str">
            <v/>
          </cell>
          <cell r="AZ6811" t="str">
            <v/>
          </cell>
          <cell r="BA6811" t="str">
            <v/>
          </cell>
        </row>
        <row r="6812">
          <cell r="B6812" t="str">
            <v>-</v>
          </cell>
          <cell r="E6812" t="str">
            <v/>
          </cell>
          <cell r="G6812" t="str">
            <v/>
          </cell>
          <cell r="J6812" t="str">
            <v/>
          </cell>
          <cell r="O6812" t="str">
            <v/>
          </cell>
          <cell r="P6812" t="str">
            <v/>
          </cell>
          <cell r="Q6812" t="str">
            <v/>
          </cell>
          <cell r="S6812" t="str">
            <v/>
          </cell>
          <cell r="V6812" t="str">
            <v/>
          </cell>
          <cell r="Z6812" t="str">
            <v/>
          </cell>
          <cell r="AA6812" t="str">
            <v/>
          </cell>
          <cell r="AB6812" t="str">
            <v/>
          </cell>
          <cell r="AC6812" t="str">
            <v/>
          </cell>
          <cell r="AD6812" t="str">
            <v/>
          </cell>
          <cell r="AY6812" t="str">
            <v/>
          </cell>
          <cell r="AZ6812" t="str">
            <v/>
          </cell>
          <cell r="BA6812" t="str">
            <v/>
          </cell>
        </row>
        <row r="6813">
          <cell r="B6813" t="str">
            <v>-</v>
          </cell>
          <cell r="E6813" t="str">
            <v/>
          </cell>
          <cell r="G6813" t="str">
            <v/>
          </cell>
          <cell r="J6813" t="str">
            <v/>
          </cell>
          <cell r="O6813" t="str">
            <v/>
          </cell>
          <cell r="P6813" t="str">
            <v/>
          </cell>
          <cell r="Q6813" t="str">
            <v/>
          </cell>
          <cell r="S6813" t="str">
            <v/>
          </cell>
          <cell r="V6813" t="str">
            <v/>
          </cell>
          <cell r="Z6813" t="str">
            <v/>
          </cell>
          <cell r="AA6813" t="str">
            <v/>
          </cell>
          <cell r="AB6813" t="str">
            <v/>
          </cell>
          <cell r="AC6813" t="str">
            <v/>
          </cell>
          <cell r="AD6813" t="str">
            <v/>
          </cell>
          <cell r="AY6813" t="str">
            <v/>
          </cell>
          <cell r="AZ6813" t="str">
            <v/>
          </cell>
          <cell r="BA6813" t="str">
            <v/>
          </cell>
        </row>
        <row r="6814">
          <cell r="B6814" t="str">
            <v>-</v>
          </cell>
          <cell r="E6814" t="str">
            <v/>
          </cell>
          <cell r="G6814" t="str">
            <v/>
          </cell>
          <cell r="J6814" t="str">
            <v/>
          </cell>
          <cell r="O6814" t="str">
            <v/>
          </cell>
          <cell r="P6814" t="str">
            <v/>
          </cell>
          <cell r="Q6814" t="str">
            <v/>
          </cell>
          <cell r="S6814" t="str">
            <v/>
          </cell>
          <cell r="V6814" t="str">
            <v/>
          </cell>
          <cell r="Z6814" t="str">
            <v/>
          </cell>
          <cell r="AA6814" t="str">
            <v/>
          </cell>
          <cell r="AB6814" t="str">
            <v/>
          </cell>
          <cell r="AC6814" t="str">
            <v/>
          </cell>
          <cell r="AD6814" t="str">
            <v/>
          </cell>
          <cell r="AY6814" t="str">
            <v/>
          </cell>
          <cell r="AZ6814" t="str">
            <v/>
          </cell>
          <cell r="BA6814" t="str">
            <v/>
          </cell>
        </row>
        <row r="6815">
          <cell r="B6815" t="str">
            <v>-</v>
          </cell>
          <cell r="E6815" t="str">
            <v/>
          </cell>
          <cell r="G6815" t="str">
            <v/>
          </cell>
          <cell r="J6815" t="str">
            <v/>
          </cell>
          <cell r="O6815" t="str">
            <v/>
          </cell>
          <cell r="P6815" t="str">
            <v/>
          </cell>
          <cell r="Q6815" t="str">
            <v/>
          </cell>
          <cell r="S6815" t="str">
            <v/>
          </cell>
          <cell r="V6815" t="str">
            <v/>
          </cell>
          <cell r="Z6815" t="str">
            <v/>
          </cell>
          <cell r="AA6815" t="str">
            <v/>
          </cell>
          <cell r="AB6815" t="str">
            <v/>
          </cell>
          <cell r="AC6815" t="str">
            <v/>
          </cell>
          <cell r="AD6815" t="str">
            <v/>
          </cell>
          <cell r="AY6815" t="str">
            <v/>
          </cell>
          <cell r="AZ6815" t="str">
            <v/>
          </cell>
          <cell r="BA6815" t="str">
            <v/>
          </cell>
        </row>
        <row r="6816">
          <cell r="B6816" t="str">
            <v>-</v>
          </cell>
          <cell r="E6816" t="str">
            <v/>
          </cell>
          <cell r="G6816" t="str">
            <v/>
          </cell>
          <cell r="J6816" t="str">
            <v/>
          </cell>
          <cell r="O6816" t="str">
            <v/>
          </cell>
          <cell r="P6816" t="str">
            <v/>
          </cell>
          <cell r="Q6816" t="str">
            <v/>
          </cell>
          <cell r="S6816" t="str">
            <v/>
          </cell>
          <cell r="V6816" t="str">
            <v/>
          </cell>
          <cell r="Z6816" t="str">
            <v/>
          </cell>
          <cell r="AA6816" t="str">
            <v/>
          </cell>
          <cell r="AB6816" t="str">
            <v/>
          </cell>
          <cell r="AC6816" t="str">
            <v/>
          </cell>
          <cell r="AD6816" t="str">
            <v/>
          </cell>
          <cell r="AY6816" t="str">
            <v/>
          </cell>
          <cell r="AZ6816" t="str">
            <v/>
          </cell>
          <cell r="BA6816" t="str">
            <v/>
          </cell>
        </row>
        <row r="6817">
          <cell r="B6817" t="str">
            <v>-</v>
          </cell>
          <cell r="E6817" t="str">
            <v/>
          </cell>
          <cell r="G6817" t="str">
            <v/>
          </cell>
          <cell r="J6817" t="str">
            <v/>
          </cell>
          <cell r="O6817" t="str">
            <v/>
          </cell>
          <cell r="P6817" t="str">
            <v/>
          </cell>
          <cell r="Q6817" t="str">
            <v/>
          </cell>
          <cell r="S6817" t="str">
            <v/>
          </cell>
          <cell r="V6817" t="str">
            <v/>
          </cell>
          <cell r="Z6817" t="str">
            <v/>
          </cell>
          <cell r="AA6817" t="str">
            <v/>
          </cell>
          <cell r="AB6817" t="str">
            <v/>
          </cell>
          <cell r="AC6817" t="str">
            <v/>
          </cell>
          <cell r="AD6817" t="str">
            <v/>
          </cell>
          <cell r="AY6817" t="str">
            <v/>
          </cell>
          <cell r="AZ6817" t="str">
            <v/>
          </cell>
          <cell r="BA6817" t="str">
            <v/>
          </cell>
        </row>
        <row r="6818">
          <cell r="B6818" t="str">
            <v>-</v>
          </cell>
          <cell r="E6818" t="str">
            <v/>
          </cell>
          <cell r="G6818" t="str">
            <v/>
          </cell>
          <cell r="J6818" t="str">
            <v/>
          </cell>
          <cell r="O6818" t="str">
            <v/>
          </cell>
          <cell r="P6818" t="str">
            <v/>
          </cell>
          <cell r="Q6818" t="str">
            <v/>
          </cell>
          <cell r="S6818" t="str">
            <v/>
          </cell>
          <cell r="V6818" t="str">
            <v/>
          </cell>
          <cell r="Z6818" t="str">
            <v/>
          </cell>
          <cell r="AA6818" t="str">
            <v/>
          </cell>
          <cell r="AB6818" t="str">
            <v/>
          </cell>
          <cell r="AC6818" t="str">
            <v/>
          </cell>
          <cell r="AD6818" t="str">
            <v/>
          </cell>
          <cell r="AY6818" t="str">
            <v/>
          </cell>
          <cell r="AZ6818" t="str">
            <v/>
          </cell>
          <cell r="BA6818" t="str">
            <v/>
          </cell>
        </row>
        <row r="6819">
          <cell r="B6819" t="str">
            <v>-</v>
          </cell>
          <cell r="E6819" t="str">
            <v/>
          </cell>
          <cell r="G6819" t="str">
            <v/>
          </cell>
          <cell r="J6819" t="str">
            <v/>
          </cell>
          <cell r="O6819" t="str">
            <v/>
          </cell>
          <cell r="P6819" t="str">
            <v/>
          </cell>
          <cell r="Q6819" t="str">
            <v/>
          </cell>
          <cell r="S6819" t="str">
            <v/>
          </cell>
          <cell r="V6819" t="str">
            <v/>
          </cell>
          <cell r="Z6819" t="str">
            <v/>
          </cell>
          <cell r="AA6819" t="str">
            <v/>
          </cell>
          <cell r="AB6819" t="str">
            <v/>
          </cell>
          <cell r="AC6819" t="str">
            <v/>
          </cell>
          <cell r="AD6819" t="str">
            <v/>
          </cell>
          <cell r="AY6819" t="str">
            <v/>
          </cell>
          <cell r="AZ6819" t="str">
            <v/>
          </cell>
          <cell r="BA6819" t="str">
            <v/>
          </cell>
        </row>
        <row r="6820">
          <cell r="B6820" t="str">
            <v>-</v>
          </cell>
          <cell r="E6820" t="str">
            <v/>
          </cell>
          <cell r="G6820" t="str">
            <v/>
          </cell>
          <cell r="J6820" t="str">
            <v/>
          </cell>
          <cell r="O6820" t="str">
            <v/>
          </cell>
          <cell r="P6820" t="str">
            <v/>
          </cell>
          <cell r="Q6820" t="str">
            <v/>
          </cell>
          <cell r="S6820" t="str">
            <v/>
          </cell>
          <cell r="V6820" t="str">
            <v/>
          </cell>
          <cell r="Z6820" t="str">
            <v/>
          </cell>
          <cell r="AA6820" t="str">
            <v/>
          </cell>
          <cell r="AB6820" t="str">
            <v/>
          </cell>
          <cell r="AC6820" t="str">
            <v/>
          </cell>
          <cell r="AD6820" t="str">
            <v/>
          </cell>
          <cell r="AY6820" t="str">
            <v/>
          </cell>
          <cell r="AZ6820" t="str">
            <v/>
          </cell>
          <cell r="BA6820" t="str">
            <v/>
          </cell>
        </row>
        <row r="6821">
          <cell r="B6821" t="str">
            <v>-</v>
          </cell>
          <cell r="E6821" t="str">
            <v/>
          </cell>
          <cell r="G6821" t="str">
            <v/>
          </cell>
          <cell r="J6821" t="str">
            <v/>
          </cell>
          <cell r="O6821" t="str">
            <v/>
          </cell>
          <cell r="P6821" t="str">
            <v/>
          </cell>
          <cell r="Q6821" t="str">
            <v/>
          </cell>
          <cell r="S6821" t="str">
            <v/>
          </cell>
          <cell r="V6821" t="str">
            <v/>
          </cell>
          <cell r="Z6821" t="str">
            <v/>
          </cell>
          <cell r="AA6821" t="str">
            <v/>
          </cell>
          <cell r="AB6821" t="str">
            <v/>
          </cell>
          <cell r="AC6821" t="str">
            <v/>
          </cell>
          <cell r="AD6821" t="str">
            <v/>
          </cell>
          <cell r="AY6821" t="str">
            <v/>
          </cell>
          <cell r="AZ6821" t="str">
            <v/>
          </cell>
          <cell r="BA6821" t="str">
            <v/>
          </cell>
        </row>
        <row r="6822">
          <cell r="B6822" t="str">
            <v>-</v>
          </cell>
          <cell r="E6822" t="str">
            <v/>
          </cell>
          <cell r="G6822" t="str">
            <v/>
          </cell>
          <cell r="J6822" t="str">
            <v/>
          </cell>
          <cell r="O6822" t="str">
            <v/>
          </cell>
          <cell r="P6822" t="str">
            <v/>
          </cell>
          <cell r="Q6822" t="str">
            <v/>
          </cell>
          <cell r="S6822" t="str">
            <v/>
          </cell>
          <cell r="V6822" t="str">
            <v/>
          </cell>
          <cell r="Z6822" t="str">
            <v/>
          </cell>
          <cell r="AA6822" t="str">
            <v/>
          </cell>
          <cell r="AB6822" t="str">
            <v/>
          </cell>
          <cell r="AC6822" t="str">
            <v/>
          </cell>
          <cell r="AD6822" t="str">
            <v/>
          </cell>
          <cell r="AY6822" t="str">
            <v/>
          </cell>
          <cell r="AZ6822" t="str">
            <v/>
          </cell>
          <cell r="BA6822" t="str">
            <v/>
          </cell>
        </row>
        <row r="6823">
          <cell r="B6823" t="str">
            <v>-</v>
          </cell>
          <cell r="E6823" t="str">
            <v/>
          </cell>
          <cell r="G6823" t="str">
            <v/>
          </cell>
          <cell r="J6823" t="str">
            <v/>
          </cell>
          <cell r="O6823" t="str">
            <v/>
          </cell>
          <cell r="P6823" t="str">
            <v/>
          </cell>
          <cell r="Q6823" t="str">
            <v/>
          </cell>
          <cell r="S6823" t="str">
            <v/>
          </cell>
          <cell r="V6823" t="str">
            <v/>
          </cell>
          <cell r="Z6823" t="str">
            <v/>
          </cell>
          <cell r="AA6823" t="str">
            <v/>
          </cell>
          <cell r="AB6823" t="str">
            <v/>
          </cell>
          <cell r="AC6823" t="str">
            <v/>
          </cell>
          <cell r="AD6823" t="str">
            <v/>
          </cell>
          <cell r="AY6823" t="str">
            <v/>
          </cell>
          <cell r="AZ6823" t="str">
            <v/>
          </cell>
          <cell r="BA6823" t="str">
            <v/>
          </cell>
        </row>
        <row r="6824">
          <cell r="B6824" t="str">
            <v>-</v>
          </cell>
          <cell r="E6824" t="str">
            <v/>
          </cell>
          <cell r="G6824" t="str">
            <v/>
          </cell>
          <cell r="J6824" t="str">
            <v/>
          </cell>
          <cell r="O6824" t="str">
            <v/>
          </cell>
          <cell r="P6824" t="str">
            <v/>
          </cell>
          <cell r="Q6824" t="str">
            <v/>
          </cell>
          <cell r="S6824" t="str">
            <v/>
          </cell>
          <cell r="V6824" t="str">
            <v/>
          </cell>
          <cell r="Z6824" t="str">
            <v/>
          </cell>
          <cell r="AA6824" t="str">
            <v/>
          </cell>
          <cell r="AB6824" t="str">
            <v/>
          </cell>
          <cell r="AC6824" t="str">
            <v/>
          </cell>
          <cell r="AD6824" t="str">
            <v/>
          </cell>
          <cell r="AY6824" t="str">
            <v/>
          </cell>
          <cell r="AZ6824" t="str">
            <v/>
          </cell>
          <cell r="BA6824" t="str">
            <v/>
          </cell>
        </row>
        <row r="6825">
          <cell r="B6825" t="str">
            <v>-</v>
          </cell>
          <cell r="E6825" t="str">
            <v/>
          </cell>
          <cell r="G6825" t="str">
            <v/>
          </cell>
          <cell r="J6825" t="str">
            <v/>
          </cell>
          <cell r="O6825" t="str">
            <v/>
          </cell>
          <cell r="P6825" t="str">
            <v/>
          </cell>
          <cell r="Q6825" t="str">
            <v/>
          </cell>
          <cell r="S6825" t="str">
            <v/>
          </cell>
          <cell r="V6825" t="str">
            <v/>
          </cell>
          <cell r="Z6825" t="str">
            <v/>
          </cell>
          <cell r="AA6825" t="str">
            <v/>
          </cell>
          <cell r="AB6825" t="str">
            <v/>
          </cell>
          <cell r="AC6825" t="str">
            <v/>
          </cell>
          <cell r="AD6825" t="str">
            <v/>
          </cell>
          <cell r="AY6825" t="str">
            <v/>
          </cell>
          <cell r="AZ6825" t="str">
            <v/>
          </cell>
          <cell r="BA6825" t="str">
            <v/>
          </cell>
        </row>
        <row r="6826">
          <cell r="B6826" t="str">
            <v>-</v>
          </cell>
          <cell r="E6826" t="str">
            <v/>
          </cell>
          <cell r="G6826" t="str">
            <v/>
          </cell>
          <cell r="J6826" t="str">
            <v/>
          </cell>
          <cell r="O6826" t="str">
            <v/>
          </cell>
          <cell r="P6826" t="str">
            <v/>
          </cell>
          <cell r="Q6826" t="str">
            <v/>
          </cell>
          <cell r="S6826" t="str">
            <v/>
          </cell>
          <cell r="V6826" t="str">
            <v/>
          </cell>
          <cell r="Z6826" t="str">
            <v/>
          </cell>
          <cell r="AA6826" t="str">
            <v/>
          </cell>
          <cell r="AB6826" t="str">
            <v/>
          </cell>
          <cell r="AC6826" t="str">
            <v/>
          </cell>
          <cell r="AD6826" t="str">
            <v/>
          </cell>
          <cell r="AY6826" t="str">
            <v/>
          </cell>
          <cell r="AZ6826" t="str">
            <v/>
          </cell>
          <cell r="BA6826" t="str">
            <v/>
          </cell>
        </row>
        <row r="6827">
          <cell r="B6827" t="str">
            <v>-</v>
          </cell>
          <cell r="E6827" t="str">
            <v/>
          </cell>
          <cell r="G6827" t="str">
            <v/>
          </cell>
          <cell r="J6827" t="str">
            <v/>
          </cell>
          <cell r="O6827" t="str">
            <v/>
          </cell>
          <cell r="P6827" t="str">
            <v/>
          </cell>
          <cell r="Q6827" t="str">
            <v/>
          </cell>
          <cell r="S6827" t="str">
            <v/>
          </cell>
          <cell r="V6827" t="str">
            <v/>
          </cell>
          <cell r="Z6827" t="str">
            <v/>
          </cell>
          <cell r="AA6827" t="str">
            <v/>
          </cell>
          <cell r="AB6827" t="str">
            <v/>
          </cell>
          <cell r="AC6827" t="str">
            <v/>
          </cell>
          <cell r="AD6827" t="str">
            <v/>
          </cell>
          <cell r="AY6827" t="str">
            <v/>
          </cell>
          <cell r="AZ6827" t="str">
            <v/>
          </cell>
          <cell r="BA6827" t="str">
            <v/>
          </cell>
        </row>
        <row r="6828">
          <cell r="B6828" t="str">
            <v>-</v>
          </cell>
          <cell r="E6828" t="str">
            <v/>
          </cell>
          <cell r="G6828" t="str">
            <v/>
          </cell>
          <cell r="J6828" t="str">
            <v/>
          </cell>
          <cell r="O6828" t="str">
            <v/>
          </cell>
          <cell r="P6828" t="str">
            <v/>
          </cell>
          <cell r="Q6828" t="str">
            <v/>
          </cell>
          <cell r="S6828" t="str">
            <v/>
          </cell>
          <cell r="V6828" t="str">
            <v/>
          </cell>
          <cell r="Z6828" t="str">
            <v/>
          </cell>
          <cell r="AA6828" t="str">
            <v/>
          </cell>
          <cell r="AB6828" t="str">
            <v/>
          </cell>
          <cell r="AC6828" t="str">
            <v/>
          </cell>
          <cell r="AD6828" t="str">
            <v/>
          </cell>
          <cell r="AY6828" t="str">
            <v/>
          </cell>
          <cell r="AZ6828" t="str">
            <v/>
          </cell>
          <cell r="BA6828" t="str">
            <v/>
          </cell>
        </row>
        <row r="6829">
          <cell r="B6829" t="str">
            <v>-</v>
          </cell>
          <cell r="E6829" t="str">
            <v/>
          </cell>
          <cell r="G6829" t="str">
            <v/>
          </cell>
          <cell r="J6829" t="str">
            <v/>
          </cell>
          <cell r="O6829" t="str">
            <v/>
          </cell>
          <cell r="P6829" t="str">
            <v/>
          </cell>
          <cell r="Q6829" t="str">
            <v/>
          </cell>
          <cell r="S6829" t="str">
            <v/>
          </cell>
          <cell r="V6829" t="str">
            <v/>
          </cell>
          <cell r="Z6829" t="str">
            <v/>
          </cell>
          <cell r="AA6829" t="str">
            <v/>
          </cell>
          <cell r="AB6829" t="str">
            <v/>
          </cell>
          <cell r="AC6829" t="str">
            <v/>
          </cell>
          <cell r="AD6829" t="str">
            <v/>
          </cell>
          <cell r="AY6829" t="str">
            <v/>
          </cell>
          <cell r="AZ6829" t="str">
            <v/>
          </cell>
          <cell r="BA6829" t="str">
            <v/>
          </cell>
        </row>
        <row r="6830">
          <cell r="B6830" t="str">
            <v>-</v>
          </cell>
          <cell r="E6830" t="str">
            <v/>
          </cell>
          <cell r="G6830" t="str">
            <v/>
          </cell>
          <cell r="J6830" t="str">
            <v/>
          </cell>
          <cell r="O6830" t="str">
            <v/>
          </cell>
          <cell r="P6830" t="str">
            <v/>
          </cell>
          <cell r="Q6830" t="str">
            <v/>
          </cell>
          <cell r="S6830" t="str">
            <v/>
          </cell>
          <cell r="V6830" t="str">
            <v/>
          </cell>
          <cell r="Z6830" t="str">
            <v/>
          </cell>
          <cell r="AA6830" t="str">
            <v/>
          </cell>
          <cell r="AB6830" t="str">
            <v/>
          </cell>
          <cell r="AC6830" t="str">
            <v/>
          </cell>
          <cell r="AD6830" t="str">
            <v/>
          </cell>
          <cell r="AY6830" t="str">
            <v/>
          </cell>
          <cell r="AZ6830" t="str">
            <v/>
          </cell>
          <cell r="BA6830" t="str">
            <v/>
          </cell>
        </row>
        <row r="6831">
          <cell r="B6831" t="str">
            <v>-</v>
          </cell>
          <cell r="E6831" t="str">
            <v/>
          </cell>
          <cell r="G6831" t="str">
            <v/>
          </cell>
          <cell r="J6831" t="str">
            <v/>
          </cell>
          <cell r="O6831" t="str">
            <v/>
          </cell>
          <cell r="P6831" t="str">
            <v/>
          </cell>
          <cell r="Q6831" t="str">
            <v/>
          </cell>
          <cell r="S6831" t="str">
            <v/>
          </cell>
          <cell r="V6831" t="str">
            <v/>
          </cell>
          <cell r="Z6831" t="str">
            <v/>
          </cell>
          <cell r="AA6831" t="str">
            <v/>
          </cell>
          <cell r="AB6831" t="str">
            <v/>
          </cell>
          <cell r="AC6831" t="str">
            <v/>
          </cell>
          <cell r="AD6831" t="str">
            <v/>
          </cell>
          <cell r="AY6831" t="str">
            <v/>
          </cell>
          <cell r="AZ6831" t="str">
            <v/>
          </cell>
          <cell r="BA6831" t="str">
            <v/>
          </cell>
        </row>
        <row r="6832">
          <cell r="B6832" t="str">
            <v>-</v>
          </cell>
          <cell r="E6832" t="str">
            <v/>
          </cell>
          <cell r="G6832" t="str">
            <v/>
          </cell>
          <cell r="J6832" t="str">
            <v/>
          </cell>
          <cell r="O6832" t="str">
            <v/>
          </cell>
          <cell r="P6832" t="str">
            <v/>
          </cell>
          <cell r="Q6832" t="str">
            <v/>
          </cell>
          <cell r="S6832" t="str">
            <v/>
          </cell>
          <cell r="V6832" t="str">
            <v/>
          </cell>
          <cell r="Z6832" t="str">
            <v/>
          </cell>
          <cell r="AA6832" t="str">
            <v/>
          </cell>
          <cell r="AB6832" t="str">
            <v/>
          </cell>
          <cell r="AC6832" t="str">
            <v/>
          </cell>
          <cell r="AD6832" t="str">
            <v/>
          </cell>
          <cell r="AY6832" t="str">
            <v/>
          </cell>
          <cell r="AZ6832" t="str">
            <v/>
          </cell>
          <cell r="BA6832" t="str">
            <v/>
          </cell>
        </row>
        <row r="6833">
          <cell r="B6833" t="str">
            <v>-</v>
          </cell>
          <cell r="E6833" t="str">
            <v/>
          </cell>
          <cell r="G6833" t="str">
            <v/>
          </cell>
          <cell r="J6833" t="str">
            <v/>
          </cell>
          <cell r="O6833" t="str">
            <v/>
          </cell>
          <cell r="P6833" t="str">
            <v/>
          </cell>
          <cell r="Q6833" t="str">
            <v/>
          </cell>
          <cell r="S6833" t="str">
            <v/>
          </cell>
          <cell r="V6833" t="str">
            <v/>
          </cell>
          <cell r="Z6833" t="str">
            <v/>
          </cell>
          <cell r="AA6833" t="str">
            <v/>
          </cell>
          <cell r="AB6833" t="str">
            <v/>
          </cell>
          <cell r="AC6833" t="str">
            <v/>
          </cell>
          <cell r="AD6833" t="str">
            <v/>
          </cell>
          <cell r="AY6833" t="str">
            <v/>
          </cell>
          <cell r="AZ6833" t="str">
            <v/>
          </cell>
          <cell r="BA6833" t="str">
            <v/>
          </cell>
        </row>
        <row r="6834">
          <cell r="B6834" t="str">
            <v>-</v>
          </cell>
          <cell r="E6834" t="str">
            <v/>
          </cell>
          <cell r="G6834" t="str">
            <v/>
          </cell>
          <cell r="J6834" t="str">
            <v/>
          </cell>
          <cell r="O6834" t="str">
            <v/>
          </cell>
          <cell r="P6834" t="str">
            <v/>
          </cell>
          <cell r="Q6834" t="str">
            <v/>
          </cell>
          <cell r="S6834" t="str">
            <v/>
          </cell>
          <cell r="V6834" t="str">
            <v/>
          </cell>
          <cell r="Z6834" t="str">
            <v/>
          </cell>
          <cell r="AA6834" t="str">
            <v/>
          </cell>
          <cell r="AB6834" t="str">
            <v/>
          </cell>
          <cell r="AC6834" t="str">
            <v/>
          </cell>
          <cell r="AD6834" t="str">
            <v/>
          </cell>
          <cell r="AY6834" t="str">
            <v/>
          </cell>
          <cell r="AZ6834" t="str">
            <v/>
          </cell>
          <cell r="BA6834" t="str">
            <v/>
          </cell>
        </row>
        <row r="6835">
          <cell r="B6835" t="str">
            <v>-</v>
          </cell>
          <cell r="E6835" t="str">
            <v/>
          </cell>
          <cell r="G6835" t="str">
            <v/>
          </cell>
          <cell r="J6835" t="str">
            <v/>
          </cell>
          <cell r="O6835" t="str">
            <v/>
          </cell>
          <cell r="P6835" t="str">
            <v/>
          </cell>
          <cell r="Q6835" t="str">
            <v/>
          </cell>
          <cell r="S6835" t="str">
            <v/>
          </cell>
          <cell r="V6835" t="str">
            <v/>
          </cell>
          <cell r="Z6835" t="str">
            <v/>
          </cell>
          <cell r="AA6835" t="str">
            <v/>
          </cell>
          <cell r="AB6835" t="str">
            <v/>
          </cell>
          <cell r="AC6835" t="str">
            <v/>
          </cell>
          <cell r="AD6835" t="str">
            <v/>
          </cell>
          <cell r="AY6835" t="str">
            <v/>
          </cell>
          <cell r="AZ6835" t="str">
            <v/>
          </cell>
          <cell r="BA6835" t="str">
            <v/>
          </cell>
        </row>
        <row r="6836">
          <cell r="B6836" t="str">
            <v>-</v>
          </cell>
          <cell r="E6836" t="str">
            <v/>
          </cell>
          <cell r="G6836" t="str">
            <v/>
          </cell>
          <cell r="J6836" t="str">
            <v/>
          </cell>
          <cell r="O6836" t="str">
            <v/>
          </cell>
          <cell r="P6836" t="str">
            <v/>
          </cell>
          <cell r="Q6836" t="str">
            <v/>
          </cell>
          <cell r="S6836" t="str">
            <v/>
          </cell>
          <cell r="V6836" t="str">
            <v/>
          </cell>
          <cell r="Z6836" t="str">
            <v/>
          </cell>
          <cell r="AA6836" t="str">
            <v/>
          </cell>
          <cell r="AB6836" t="str">
            <v/>
          </cell>
          <cell r="AC6836" t="str">
            <v/>
          </cell>
          <cell r="AD6836" t="str">
            <v/>
          </cell>
          <cell r="AY6836" t="str">
            <v/>
          </cell>
          <cell r="AZ6836" t="str">
            <v/>
          </cell>
          <cell r="BA6836" t="str">
            <v/>
          </cell>
        </row>
        <row r="6837">
          <cell r="B6837" t="str">
            <v>-</v>
          </cell>
          <cell r="E6837" t="str">
            <v/>
          </cell>
          <cell r="G6837" t="str">
            <v/>
          </cell>
          <cell r="J6837" t="str">
            <v/>
          </cell>
          <cell r="O6837" t="str">
            <v/>
          </cell>
          <cell r="P6837" t="str">
            <v/>
          </cell>
          <cell r="Q6837" t="str">
            <v/>
          </cell>
          <cell r="S6837" t="str">
            <v/>
          </cell>
          <cell r="V6837" t="str">
            <v/>
          </cell>
          <cell r="Z6837" t="str">
            <v/>
          </cell>
          <cell r="AA6837" t="str">
            <v/>
          </cell>
          <cell r="AB6837" t="str">
            <v/>
          </cell>
          <cell r="AC6837" t="str">
            <v/>
          </cell>
          <cell r="AD6837" t="str">
            <v/>
          </cell>
          <cell r="AY6837" t="str">
            <v/>
          </cell>
          <cell r="AZ6837" t="str">
            <v/>
          </cell>
          <cell r="BA6837" t="str">
            <v/>
          </cell>
        </row>
        <row r="6838">
          <cell r="B6838" t="str">
            <v>-</v>
          </cell>
          <cell r="E6838" t="str">
            <v/>
          </cell>
          <cell r="G6838" t="str">
            <v/>
          </cell>
          <cell r="J6838" t="str">
            <v/>
          </cell>
          <cell r="O6838" t="str">
            <v/>
          </cell>
          <cell r="P6838" t="str">
            <v/>
          </cell>
          <cell r="Q6838" t="str">
            <v/>
          </cell>
          <cell r="S6838" t="str">
            <v/>
          </cell>
          <cell r="V6838" t="str">
            <v/>
          </cell>
          <cell r="Z6838" t="str">
            <v/>
          </cell>
          <cell r="AA6838" t="str">
            <v/>
          </cell>
          <cell r="AB6838" t="str">
            <v/>
          </cell>
          <cell r="AC6838" t="str">
            <v/>
          </cell>
          <cell r="AD6838" t="str">
            <v/>
          </cell>
          <cell r="AY6838" t="str">
            <v/>
          </cell>
          <cell r="AZ6838" t="str">
            <v/>
          </cell>
          <cell r="BA6838" t="str">
            <v/>
          </cell>
        </row>
        <row r="6839">
          <cell r="B6839" t="str">
            <v>-</v>
          </cell>
          <cell r="E6839" t="str">
            <v/>
          </cell>
          <cell r="G6839" t="str">
            <v/>
          </cell>
          <cell r="J6839" t="str">
            <v/>
          </cell>
          <cell r="O6839" t="str">
            <v/>
          </cell>
          <cell r="P6839" t="str">
            <v/>
          </cell>
          <cell r="Q6839" t="str">
            <v/>
          </cell>
          <cell r="S6839" t="str">
            <v/>
          </cell>
          <cell r="V6839" t="str">
            <v/>
          </cell>
          <cell r="Z6839" t="str">
            <v/>
          </cell>
          <cell r="AA6839" t="str">
            <v/>
          </cell>
          <cell r="AB6839" t="str">
            <v/>
          </cell>
          <cell r="AC6839" t="str">
            <v/>
          </cell>
          <cell r="AD6839" t="str">
            <v/>
          </cell>
          <cell r="AY6839" t="str">
            <v/>
          </cell>
          <cell r="AZ6839" t="str">
            <v/>
          </cell>
          <cell r="BA6839" t="str">
            <v/>
          </cell>
        </row>
        <row r="6840">
          <cell r="B6840" t="str">
            <v>-</v>
          </cell>
          <cell r="E6840" t="str">
            <v/>
          </cell>
          <cell r="G6840" t="str">
            <v/>
          </cell>
          <cell r="J6840" t="str">
            <v/>
          </cell>
          <cell r="O6840" t="str">
            <v/>
          </cell>
          <cell r="P6840" t="str">
            <v/>
          </cell>
          <cell r="Q6840" t="str">
            <v/>
          </cell>
          <cell r="S6840" t="str">
            <v/>
          </cell>
          <cell r="V6840" t="str">
            <v/>
          </cell>
          <cell r="Z6840" t="str">
            <v/>
          </cell>
          <cell r="AA6840" t="str">
            <v/>
          </cell>
          <cell r="AB6840" t="str">
            <v/>
          </cell>
          <cell r="AC6840" t="str">
            <v/>
          </cell>
          <cell r="AD6840" t="str">
            <v/>
          </cell>
          <cell r="AY6840" t="str">
            <v/>
          </cell>
          <cell r="AZ6840" t="str">
            <v/>
          </cell>
          <cell r="BA6840" t="str">
            <v/>
          </cell>
        </row>
        <row r="6841">
          <cell r="B6841" t="str">
            <v>-</v>
          </cell>
          <cell r="E6841" t="str">
            <v/>
          </cell>
          <cell r="G6841" t="str">
            <v/>
          </cell>
          <cell r="J6841" t="str">
            <v/>
          </cell>
          <cell r="O6841" t="str">
            <v/>
          </cell>
          <cell r="P6841" t="str">
            <v/>
          </cell>
          <cell r="Q6841" t="str">
            <v/>
          </cell>
          <cell r="S6841" t="str">
            <v/>
          </cell>
          <cell r="V6841" t="str">
            <v/>
          </cell>
          <cell r="Z6841" t="str">
            <v/>
          </cell>
          <cell r="AA6841" t="str">
            <v/>
          </cell>
          <cell r="AB6841" t="str">
            <v/>
          </cell>
          <cell r="AC6841" t="str">
            <v/>
          </cell>
          <cell r="AD6841" t="str">
            <v/>
          </cell>
          <cell r="AY6841" t="str">
            <v/>
          </cell>
          <cell r="AZ6841" t="str">
            <v/>
          </cell>
          <cell r="BA6841" t="str">
            <v/>
          </cell>
        </row>
        <row r="6842">
          <cell r="B6842" t="str">
            <v>-</v>
          </cell>
          <cell r="E6842" t="str">
            <v/>
          </cell>
          <cell r="G6842" t="str">
            <v/>
          </cell>
          <cell r="J6842" t="str">
            <v/>
          </cell>
          <cell r="O6842" t="str">
            <v/>
          </cell>
          <cell r="P6842" t="str">
            <v/>
          </cell>
          <cell r="Q6842" t="str">
            <v/>
          </cell>
          <cell r="S6842" t="str">
            <v/>
          </cell>
          <cell r="V6842" t="str">
            <v/>
          </cell>
          <cell r="Z6842" t="str">
            <v/>
          </cell>
          <cell r="AA6842" t="str">
            <v/>
          </cell>
          <cell r="AB6842" t="str">
            <v/>
          </cell>
          <cell r="AC6842" t="str">
            <v/>
          </cell>
          <cell r="AD6842" t="str">
            <v/>
          </cell>
          <cell r="AY6842" t="str">
            <v/>
          </cell>
          <cell r="AZ6842" t="str">
            <v/>
          </cell>
          <cell r="BA6842" t="str">
            <v/>
          </cell>
        </row>
        <row r="6843">
          <cell r="B6843" t="str">
            <v>-</v>
          </cell>
          <cell r="E6843" t="str">
            <v/>
          </cell>
          <cell r="G6843" t="str">
            <v/>
          </cell>
          <cell r="J6843" t="str">
            <v/>
          </cell>
          <cell r="O6843" t="str">
            <v/>
          </cell>
          <cell r="P6843" t="str">
            <v/>
          </cell>
          <cell r="Q6843" t="str">
            <v/>
          </cell>
          <cell r="S6843" t="str">
            <v/>
          </cell>
          <cell r="V6843" t="str">
            <v/>
          </cell>
          <cell r="Z6843" t="str">
            <v/>
          </cell>
          <cell r="AA6843" t="str">
            <v/>
          </cell>
          <cell r="AB6843" t="str">
            <v/>
          </cell>
          <cell r="AC6843" t="str">
            <v/>
          </cell>
          <cell r="AD6843" t="str">
            <v/>
          </cell>
          <cell r="AY6843" t="str">
            <v/>
          </cell>
          <cell r="AZ6843" t="str">
            <v/>
          </cell>
          <cell r="BA6843" t="str">
            <v/>
          </cell>
        </row>
        <row r="6844">
          <cell r="B6844" t="str">
            <v>-</v>
          </cell>
          <cell r="E6844" t="str">
            <v/>
          </cell>
          <cell r="G6844" t="str">
            <v/>
          </cell>
          <cell r="J6844" t="str">
            <v/>
          </cell>
          <cell r="O6844" t="str">
            <v/>
          </cell>
          <cell r="P6844" t="str">
            <v/>
          </cell>
          <cell r="Q6844" t="str">
            <v/>
          </cell>
          <cell r="S6844" t="str">
            <v/>
          </cell>
          <cell r="V6844" t="str">
            <v/>
          </cell>
          <cell r="Z6844" t="str">
            <v/>
          </cell>
          <cell r="AA6844" t="str">
            <v/>
          </cell>
          <cell r="AB6844" t="str">
            <v/>
          </cell>
          <cell r="AC6844" t="str">
            <v/>
          </cell>
          <cell r="AD6844" t="str">
            <v/>
          </cell>
          <cell r="AY6844" t="str">
            <v/>
          </cell>
          <cell r="AZ6844" t="str">
            <v/>
          </cell>
          <cell r="BA6844" t="str">
            <v/>
          </cell>
        </row>
        <row r="6845">
          <cell r="B6845" t="str">
            <v>-</v>
          </cell>
          <cell r="E6845" t="str">
            <v/>
          </cell>
          <cell r="G6845" t="str">
            <v/>
          </cell>
          <cell r="J6845" t="str">
            <v/>
          </cell>
          <cell r="O6845" t="str">
            <v/>
          </cell>
          <cell r="P6845" t="str">
            <v/>
          </cell>
          <cell r="Q6845" t="str">
            <v/>
          </cell>
          <cell r="S6845" t="str">
            <v/>
          </cell>
          <cell r="V6845" t="str">
            <v/>
          </cell>
          <cell r="Z6845" t="str">
            <v/>
          </cell>
          <cell r="AA6845" t="str">
            <v/>
          </cell>
          <cell r="AB6845" t="str">
            <v/>
          </cell>
          <cell r="AC6845" t="str">
            <v/>
          </cell>
          <cell r="AD6845" t="str">
            <v/>
          </cell>
          <cell r="AY6845" t="str">
            <v/>
          </cell>
          <cell r="AZ6845" t="str">
            <v/>
          </cell>
          <cell r="BA6845" t="str">
            <v/>
          </cell>
        </row>
        <row r="6846">
          <cell r="B6846" t="str">
            <v>-</v>
          </cell>
          <cell r="E6846" t="str">
            <v/>
          </cell>
          <cell r="G6846" t="str">
            <v/>
          </cell>
          <cell r="J6846" t="str">
            <v/>
          </cell>
          <cell r="O6846" t="str">
            <v/>
          </cell>
          <cell r="P6846" t="str">
            <v/>
          </cell>
          <cell r="Q6846" t="str">
            <v/>
          </cell>
          <cell r="S6846" t="str">
            <v/>
          </cell>
          <cell r="V6846" t="str">
            <v/>
          </cell>
          <cell r="Z6846" t="str">
            <v/>
          </cell>
          <cell r="AA6846" t="str">
            <v/>
          </cell>
          <cell r="AB6846" t="str">
            <v/>
          </cell>
          <cell r="AC6846" t="str">
            <v/>
          </cell>
          <cell r="AD6846" t="str">
            <v/>
          </cell>
          <cell r="AY6846" t="str">
            <v/>
          </cell>
          <cell r="AZ6846" t="str">
            <v/>
          </cell>
          <cell r="BA6846" t="str">
            <v/>
          </cell>
        </row>
        <row r="6847">
          <cell r="B6847" t="str">
            <v>-</v>
          </cell>
          <cell r="E6847" t="str">
            <v/>
          </cell>
          <cell r="G6847" t="str">
            <v/>
          </cell>
          <cell r="J6847" t="str">
            <v/>
          </cell>
          <cell r="O6847" t="str">
            <v/>
          </cell>
          <cell r="P6847" t="str">
            <v/>
          </cell>
          <cell r="Q6847" t="str">
            <v/>
          </cell>
          <cell r="S6847" t="str">
            <v/>
          </cell>
          <cell r="V6847" t="str">
            <v/>
          </cell>
          <cell r="Z6847" t="str">
            <v/>
          </cell>
          <cell r="AA6847" t="str">
            <v/>
          </cell>
          <cell r="AB6847" t="str">
            <v/>
          </cell>
          <cell r="AC6847" t="str">
            <v/>
          </cell>
          <cell r="AD6847" t="str">
            <v/>
          </cell>
          <cell r="AY6847" t="str">
            <v/>
          </cell>
          <cell r="AZ6847" t="str">
            <v/>
          </cell>
          <cell r="BA6847" t="str">
            <v/>
          </cell>
        </row>
        <row r="6848">
          <cell r="B6848" t="str">
            <v>-</v>
          </cell>
          <cell r="E6848" t="str">
            <v/>
          </cell>
          <cell r="G6848" t="str">
            <v/>
          </cell>
          <cell r="J6848" t="str">
            <v/>
          </cell>
          <cell r="O6848" t="str">
            <v/>
          </cell>
          <cell r="P6848" t="str">
            <v/>
          </cell>
          <cell r="Q6848" t="str">
            <v/>
          </cell>
          <cell r="S6848" t="str">
            <v/>
          </cell>
          <cell r="V6848" t="str">
            <v/>
          </cell>
          <cell r="Z6848" t="str">
            <v/>
          </cell>
          <cell r="AA6848" t="str">
            <v/>
          </cell>
          <cell r="AB6848" t="str">
            <v/>
          </cell>
          <cell r="AC6848" t="str">
            <v/>
          </cell>
          <cell r="AD6848" t="str">
            <v/>
          </cell>
          <cell r="AY6848" t="str">
            <v/>
          </cell>
          <cell r="AZ6848" t="str">
            <v/>
          </cell>
          <cell r="BA6848" t="str">
            <v/>
          </cell>
        </row>
        <row r="6849">
          <cell r="B6849" t="str">
            <v>-</v>
          </cell>
          <cell r="E6849" t="str">
            <v/>
          </cell>
          <cell r="G6849" t="str">
            <v/>
          </cell>
          <cell r="J6849" t="str">
            <v/>
          </cell>
          <cell r="O6849" t="str">
            <v/>
          </cell>
          <cell r="P6849" t="str">
            <v/>
          </cell>
          <cell r="Q6849" t="str">
            <v/>
          </cell>
          <cell r="S6849" t="str">
            <v/>
          </cell>
          <cell r="V6849" t="str">
            <v/>
          </cell>
          <cell r="Z6849" t="str">
            <v/>
          </cell>
          <cell r="AA6849" t="str">
            <v/>
          </cell>
          <cell r="AB6849" t="str">
            <v/>
          </cell>
          <cell r="AC6849" t="str">
            <v/>
          </cell>
          <cell r="AD6849" t="str">
            <v/>
          </cell>
          <cell r="AY6849" t="str">
            <v/>
          </cell>
          <cell r="AZ6849" t="str">
            <v/>
          </cell>
          <cell r="BA6849" t="str">
            <v/>
          </cell>
        </row>
        <row r="6850">
          <cell r="B6850" t="str">
            <v>-</v>
          </cell>
          <cell r="E6850" t="str">
            <v/>
          </cell>
          <cell r="G6850" t="str">
            <v/>
          </cell>
          <cell r="J6850" t="str">
            <v/>
          </cell>
          <cell r="O6850" t="str">
            <v/>
          </cell>
          <cell r="P6850" t="str">
            <v/>
          </cell>
          <cell r="Q6850" t="str">
            <v/>
          </cell>
          <cell r="S6850" t="str">
            <v/>
          </cell>
          <cell r="V6850" t="str">
            <v/>
          </cell>
          <cell r="Z6850" t="str">
            <v/>
          </cell>
          <cell r="AA6850" t="str">
            <v/>
          </cell>
          <cell r="AB6850" t="str">
            <v/>
          </cell>
          <cell r="AC6850" t="str">
            <v/>
          </cell>
          <cell r="AD6850" t="str">
            <v/>
          </cell>
          <cell r="AY6850" t="str">
            <v/>
          </cell>
          <cell r="AZ6850" t="str">
            <v/>
          </cell>
          <cell r="BA6850" t="str">
            <v/>
          </cell>
        </row>
        <row r="6851">
          <cell r="B6851" t="str">
            <v>-</v>
          </cell>
          <cell r="E6851" t="str">
            <v/>
          </cell>
          <cell r="G6851" t="str">
            <v/>
          </cell>
          <cell r="J6851" t="str">
            <v/>
          </cell>
          <cell r="O6851" t="str">
            <v/>
          </cell>
          <cell r="P6851" t="str">
            <v/>
          </cell>
          <cell r="Q6851" t="str">
            <v/>
          </cell>
          <cell r="S6851" t="str">
            <v/>
          </cell>
          <cell r="V6851" t="str">
            <v/>
          </cell>
          <cell r="Z6851" t="str">
            <v/>
          </cell>
          <cell r="AA6851" t="str">
            <v/>
          </cell>
          <cell r="AB6851" t="str">
            <v/>
          </cell>
          <cell r="AC6851" t="str">
            <v/>
          </cell>
          <cell r="AD6851" t="str">
            <v/>
          </cell>
          <cell r="AY6851" t="str">
            <v/>
          </cell>
          <cell r="AZ6851" t="str">
            <v/>
          </cell>
          <cell r="BA6851" t="str">
            <v/>
          </cell>
        </row>
        <row r="6852">
          <cell r="B6852" t="str">
            <v>-</v>
          </cell>
          <cell r="E6852" t="str">
            <v/>
          </cell>
          <cell r="G6852" t="str">
            <v/>
          </cell>
          <cell r="J6852" t="str">
            <v/>
          </cell>
          <cell r="O6852" t="str">
            <v/>
          </cell>
          <cell r="P6852" t="str">
            <v/>
          </cell>
          <cell r="Q6852" t="str">
            <v/>
          </cell>
          <cell r="S6852" t="str">
            <v/>
          </cell>
          <cell r="V6852" t="str">
            <v/>
          </cell>
          <cell r="Z6852" t="str">
            <v/>
          </cell>
          <cell r="AA6852" t="str">
            <v/>
          </cell>
          <cell r="AB6852" t="str">
            <v/>
          </cell>
          <cell r="AC6852" t="str">
            <v/>
          </cell>
          <cell r="AD6852" t="str">
            <v/>
          </cell>
          <cell r="AY6852" t="str">
            <v/>
          </cell>
          <cell r="AZ6852" t="str">
            <v/>
          </cell>
          <cell r="BA6852" t="str">
            <v/>
          </cell>
        </row>
        <row r="6853">
          <cell r="B6853" t="str">
            <v>-</v>
          </cell>
          <cell r="E6853" t="str">
            <v/>
          </cell>
          <cell r="G6853" t="str">
            <v/>
          </cell>
          <cell r="J6853" t="str">
            <v/>
          </cell>
          <cell r="O6853" t="str">
            <v/>
          </cell>
          <cell r="P6853" t="str">
            <v/>
          </cell>
          <cell r="Q6853" t="str">
            <v/>
          </cell>
          <cell r="S6853" t="str">
            <v/>
          </cell>
          <cell r="V6853" t="str">
            <v/>
          </cell>
          <cell r="Z6853" t="str">
            <v/>
          </cell>
          <cell r="AA6853" t="str">
            <v/>
          </cell>
          <cell r="AB6853" t="str">
            <v/>
          </cell>
          <cell r="AC6853" t="str">
            <v/>
          </cell>
          <cell r="AD6853" t="str">
            <v/>
          </cell>
          <cell r="AY6853" t="str">
            <v/>
          </cell>
          <cell r="AZ6853" t="str">
            <v/>
          </cell>
          <cell r="BA6853" t="str">
            <v/>
          </cell>
        </row>
        <row r="6854">
          <cell r="B6854" t="str">
            <v>-</v>
          </cell>
          <cell r="E6854" t="str">
            <v/>
          </cell>
          <cell r="G6854" t="str">
            <v/>
          </cell>
          <cell r="J6854" t="str">
            <v/>
          </cell>
          <cell r="O6854" t="str">
            <v/>
          </cell>
          <cell r="P6854" t="str">
            <v/>
          </cell>
          <cell r="Q6854" t="str">
            <v/>
          </cell>
          <cell r="S6854" t="str">
            <v/>
          </cell>
          <cell r="V6854" t="str">
            <v/>
          </cell>
          <cell r="Z6854" t="str">
            <v/>
          </cell>
          <cell r="AA6854" t="str">
            <v/>
          </cell>
          <cell r="AB6854" t="str">
            <v/>
          </cell>
          <cell r="AC6854" t="str">
            <v/>
          </cell>
          <cell r="AD6854" t="str">
            <v/>
          </cell>
          <cell r="AY6854" t="str">
            <v/>
          </cell>
          <cell r="AZ6854" t="str">
            <v/>
          </cell>
          <cell r="BA6854" t="str">
            <v/>
          </cell>
        </row>
        <row r="6855">
          <cell r="B6855" t="str">
            <v>-</v>
          </cell>
          <cell r="E6855" t="str">
            <v/>
          </cell>
          <cell r="G6855" t="str">
            <v/>
          </cell>
          <cell r="J6855" t="str">
            <v/>
          </cell>
          <cell r="O6855" t="str">
            <v/>
          </cell>
          <cell r="P6855" t="str">
            <v/>
          </cell>
          <cell r="Q6855" t="str">
            <v/>
          </cell>
          <cell r="S6855" t="str">
            <v/>
          </cell>
          <cell r="V6855" t="str">
            <v/>
          </cell>
          <cell r="Z6855" t="str">
            <v/>
          </cell>
          <cell r="AA6855" t="str">
            <v/>
          </cell>
          <cell r="AB6855" t="str">
            <v/>
          </cell>
          <cell r="AC6855" t="str">
            <v/>
          </cell>
          <cell r="AD6855" t="str">
            <v/>
          </cell>
          <cell r="AY6855" t="str">
            <v/>
          </cell>
          <cell r="AZ6855" t="str">
            <v/>
          </cell>
          <cell r="BA6855" t="str">
            <v/>
          </cell>
        </row>
        <row r="6856">
          <cell r="B6856" t="str">
            <v>-</v>
          </cell>
          <cell r="E6856" t="str">
            <v/>
          </cell>
          <cell r="G6856" t="str">
            <v/>
          </cell>
          <cell r="J6856" t="str">
            <v/>
          </cell>
          <cell r="O6856" t="str">
            <v/>
          </cell>
          <cell r="P6856" t="str">
            <v/>
          </cell>
          <cell r="Q6856" t="str">
            <v/>
          </cell>
          <cell r="S6856" t="str">
            <v/>
          </cell>
          <cell r="V6856" t="str">
            <v/>
          </cell>
          <cell r="Z6856" t="str">
            <v/>
          </cell>
          <cell r="AA6856" t="str">
            <v/>
          </cell>
          <cell r="AB6856" t="str">
            <v/>
          </cell>
          <cell r="AC6856" t="str">
            <v/>
          </cell>
          <cell r="AD6856" t="str">
            <v/>
          </cell>
          <cell r="AY6856" t="str">
            <v/>
          </cell>
          <cell r="AZ6856" t="str">
            <v/>
          </cell>
          <cell r="BA6856" t="str">
            <v/>
          </cell>
        </row>
        <row r="6857">
          <cell r="B6857" t="str">
            <v>-</v>
          </cell>
          <cell r="E6857" t="str">
            <v/>
          </cell>
          <cell r="G6857" t="str">
            <v/>
          </cell>
          <cell r="J6857" t="str">
            <v/>
          </cell>
          <cell r="O6857" t="str">
            <v/>
          </cell>
          <cell r="P6857" t="str">
            <v/>
          </cell>
          <cell r="Q6857" t="str">
            <v/>
          </cell>
          <cell r="S6857" t="str">
            <v/>
          </cell>
          <cell r="V6857" t="str">
            <v/>
          </cell>
          <cell r="Z6857" t="str">
            <v/>
          </cell>
          <cell r="AA6857" t="str">
            <v/>
          </cell>
          <cell r="AB6857" t="str">
            <v/>
          </cell>
          <cell r="AC6857" t="str">
            <v/>
          </cell>
          <cell r="AD6857" t="str">
            <v/>
          </cell>
          <cell r="AY6857" t="str">
            <v/>
          </cell>
          <cell r="AZ6857" t="str">
            <v/>
          </cell>
          <cell r="BA6857" t="str">
            <v/>
          </cell>
        </row>
        <row r="6858">
          <cell r="B6858" t="str">
            <v>-</v>
          </cell>
          <cell r="E6858" t="str">
            <v/>
          </cell>
          <cell r="G6858" t="str">
            <v/>
          </cell>
          <cell r="J6858" t="str">
            <v/>
          </cell>
          <cell r="O6858" t="str">
            <v/>
          </cell>
          <cell r="P6858" t="str">
            <v/>
          </cell>
          <cell r="Q6858" t="str">
            <v/>
          </cell>
          <cell r="S6858" t="str">
            <v/>
          </cell>
          <cell r="V6858" t="str">
            <v/>
          </cell>
          <cell r="Z6858" t="str">
            <v/>
          </cell>
          <cell r="AA6858" t="str">
            <v/>
          </cell>
          <cell r="AB6858" t="str">
            <v/>
          </cell>
          <cell r="AC6858" t="str">
            <v/>
          </cell>
          <cell r="AD6858" t="str">
            <v/>
          </cell>
          <cell r="AY6858" t="str">
            <v/>
          </cell>
          <cell r="AZ6858" t="str">
            <v/>
          </cell>
          <cell r="BA6858" t="str">
            <v/>
          </cell>
        </row>
        <row r="6859">
          <cell r="B6859" t="str">
            <v>-</v>
          </cell>
          <cell r="E6859" t="str">
            <v/>
          </cell>
          <cell r="G6859" t="str">
            <v/>
          </cell>
          <cell r="J6859" t="str">
            <v/>
          </cell>
          <cell r="O6859" t="str">
            <v/>
          </cell>
          <cell r="P6859" t="str">
            <v/>
          </cell>
          <cell r="Q6859" t="str">
            <v/>
          </cell>
          <cell r="S6859" t="str">
            <v/>
          </cell>
          <cell r="V6859" t="str">
            <v/>
          </cell>
          <cell r="Z6859" t="str">
            <v/>
          </cell>
          <cell r="AA6859" t="str">
            <v/>
          </cell>
          <cell r="AB6859" t="str">
            <v/>
          </cell>
          <cell r="AC6859" t="str">
            <v/>
          </cell>
          <cell r="AD6859" t="str">
            <v/>
          </cell>
          <cell r="AY6859" t="str">
            <v/>
          </cell>
          <cell r="AZ6859" t="str">
            <v/>
          </cell>
          <cell r="BA6859" t="str">
            <v/>
          </cell>
        </row>
        <row r="6860">
          <cell r="B6860" t="str">
            <v>-</v>
          </cell>
          <cell r="E6860" t="str">
            <v/>
          </cell>
          <cell r="G6860" t="str">
            <v/>
          </cell>
          <cell r="J6860" t="str">
            <v/>
          </cell>
          <cell r="O6860" t="str">
            <v/>
          </cell>
          <cell r="P6860" t="str">
            <v/>
          </cell>
          <cell r="Q6860" t="str">
            <v/>
          </cell>
          <cell r="S6860" t="str">
            <v/>
          </cell>
          <cell r="V6860" t="str">
            <v/>
          </cell>
          <cell r="Z6860" t="str">
            <v/>
          </cell>
          <cell r="AA6860" t="str">
            <v/>
          </cell>
          <cell r="AB6860" t="str">
            <v/>
          </cell>
          <cell r="AC6860" t="str">
            <v/>
          </cell>
          <cell r="AD6860" t="str">
            <v/>
          </cell>
          <cell r="AY6860" t="str">
            <v/>
          </cell>
          <cell r="AZ6860" t="str">
            <v/>
          </cell>
          <cell r="BA6860" t="str">
            <v/>
          </cell>
        </row>
        <row r="6861">
          <cell r="B6861" t="str">
            <v>-</v>
          </cell>
          <cell r="E6861" t="str">
            <v/>
          </cell>
          <cell r="G6861" t="str">
            <v/>
          </cell>
          <cell r="J6861" t="str">
            <v/>
          </cell>
          <cell r="O6861" t="str">
            <v/>
          </cell>
          <cell r="P6861" t="str">
            <v/>
          </cell>
          <cell r="Q6861" t="str">
            <v/>
          </cell>
          <cell r="S6861" t="str">
            <v/>
          </cell>
          <cell r="V6861" t="str">
            <v/>
          </cell>
          <cell r="Z6861" t="str">
            <v/>
          </cell>
          <cell r="AA6861" t="str">
            <v/>
          </cell>
          <cell r="AB6861" t="str">
            <v/>
          </cell>
          <cell r="AC6861" t="str">
            <v/>
          </cell>
          <cell r="AD6861" t="str">
            <v/>
          </cell>
          <cell r="AY6861" t="str">
            <v/>
          </cell>
          <cell r="AZ6861" t="str">
            <v/>
          </cell>
          <cell r="BA6861" t="str">
            <v/>
          </cell>
        </row>
        <row r="6862">
          <cell r="B6862" t="str">
            <v>-</v>
          </cell>
          <cell r="E6862" t="str">
            <v/>
          </cell>
          <cell r="G6862" t="str">
            <v/>
          </cell>
          <cell r="J6862" t="str">
            <v/>
          </cell>
          <cell r="O6862" t="str">
            <v/>
          </cell>
          <cell r="P6862" t="str">
            <v/>
          </cell>
          <cell r="Q6862" t="str">
            <v/>
          </cell>
          <cell r="S6862" t="str">
            <v/>
          </cell>
          <cell r="V6862" t="str">
            <v/>
          </cell>
          <cell r="Z6862" t="str">
            <v/>
          </cell>
          <cell r="AA6862" t="str">
            <v/>
          </cell>
          <cell r="AB6862" t="str">
            <v/>
          </cell>
          <cell r="AC6862" t="str">
            <v/>
          </cell>
          <cell r="AD6862" t="str">
            <v/>
          </cell>
          <cell r="AY6862" t="str">
            <v/>
          </cell>
          <cell r="AZ6862" t="str">
            <v/>
          </cell>
          <cell r="BA6862" t="str">
            <v/>
          </cell>
        </row>
        <row r="6863">
          <cell r="B6863" t="str">
            <v>-</v>
          </cell>
          <cell r="E6863" t="str">
            <v/>
          </cell>
          <cell r="G6863" t="str">
            <v/>
          </cell>
          <cell r="J6863" t="str">
            <v/>
          </cell>
          <cell r="O6863" t="str">
            <v/>
          </cell>
          <cell r="P6863" t="str">
            <v/>
          </cell>
          <cell r="Q6863" t="str">
            <v/>
          </cell>
          <cell r="S6863" t="str">
            <v/>
          </cell>
          <cell r="V6863" t="str">
            <v/>
          </cell>
          <cell r="Z6863" t="str">
            <v/>
          </cell>
          <cell r="AA6863" t="str">
            <v/>
          </cell>
          <cell r="AB6863" t="str">
            <v/>
          </cell>
          <cell r="AC6863" t="str">
            <v/>
          </cell>
          <cell r="AD6863" t="str">
            <v/>
          </cell>
          <cell r="AY6863" t="str">
            <v/>
          </cell>
          <cell r="AZ6863" t="str">
            <v/>
          </cell>
          <cell r="BA6863" t="str">
            <v/>
          </cell>
        </row>
        <row r="6864">
          <cell r="B6864" t="str">
            <v>-</v>
          </cell>
          <cell r="E6864" t="str">
            <v/>
          </cell>
          <cell r="G6864" t="str">
            <v/>
          </cell>
          <cell r="J6864" t="str">
            <v/>
          </cell>
          <cell r="O6864" t="str">
            <v/>
          </cell>
          <cell r="P6864" t="str">
            <v/>
          </cell>
          <cell r="Q6864" t="str">
            <v/>
          </cell>
          <cell r="S6864" t="str">
            <v/>
          </cell>
          <cell r="V6864" t="str">
            <v/>
          </cell>
          <cell r="Z6864" t="str">
            <v/>
          </cell>
          <cell r="AA6864" t="str">
            <v/>
          </cell>
          <cell r="AB6864" t="str">
            <v/>
          </cell>
          <cell r="AC6864" t="str">
            <v/>
          </cell>
          <cell r="AD6864" t="str">
            <v/>
          </cell>
          <cell r="AY6864" t="str">
            <v/>
          </cell>
          <cell r="AZ6864" t="str">
            <v/>
          </cell>
          <cell r="BA6864" t="str">
            <v/>
          </cell>
        </row>
        <row r="6865">
          <cell r="B6865" t="str">
            <v>-</v>
          </cell>
          <cell r="E6865" t="str">
            <v/>
          </cell>
          <cell r="G6865" t="str">
            <v/>
          </cell>
          <cell r="J6865" t="str">
            <v/>
          </cell>
          <cell r="O6865" t="str">
            <v/>
          </cell>
          <cell r="P6865" t="str">
            <v/>
          </cell>
          <cell r="Q6865" t="str">
            <v/>
          </cell>
          <cell r="S6865" t="str">
            <v/>
          </cell>
          <cell r="V6865" t="str">
            <v/>
          </cell>
          <cell r="Z6865" t="str">
            <v/>
          </cell>
          <cell r="AA6865" t="str">
            <v/>
          </cell>
          <cell r="AB6865" t="str">
            <v/>
          </cell>
          <cell r="AC6865" t="str">
            <v/>
          </cell>
          <cell r="AD6865" t="str">
            <v/>
          </cell>
          <cell r="AY6865" t="str">
            <v/>
          </cell>
          <cell r="AZ6865" t="str">
            <v/>
          </cell>
          <cell r="BA6865" t="str">
            <v/>
          </cell>
        </row>
        <row r="6866">
          <cell r="B6866" t="str">
            <v>-</v>
          </cell>
          <cell r="E6866" t="str">
            <v/>
          </cell>
          <cell r="G6866" t="str">
            <v/>
          </cell>
          <cell r="J6866" t="str">
            <v/>
          </cell>
          <cell r="O6866" t="str">
            <v/>
          </cell>
          <cell r="P6866" t="str">
            <v/>
          </cell>
          <cell r="Q6866" t="str">
            <v/>
          </cell>
          <cell r="S6866" t="str">
            <v/>
          </cell>
          <cell r="V6866" t="str">
            <v/>
          </cell>
          <cell r="Z6866" t="str">
            <v/>
          </cell>
          <cell r="AA6866" t="str">
            <v/>
          </cell>
          <cell r="AB6866" t="str">
            <v/>
          </cell>
          <cell r="AC6866" t="str">
            <v/>
          </cell>
          <cell r="AD6866" t="str">
            <v/>
          </cell>
          <cell r="AY6866" t="str">
            <v/>
          </cell>
          <cell r="AZ6866" t="str">
            <v/>
          </cell>
          <cell r="BA6866" t="str">
            <v/>
          </cell>
        </row>
        <row r="6867">
          <cell r="B6867" t="str">
            <v>-</v>
          </cell>
          <cell r="E6867" t="str">
            <v/>
          </cell>
          <cell r="G6867" t="str">
            <v/>
          </cell>
          <cell r="J6867" t="str">
            <v/>
          </cell>
          <cell r="O6867" t="str">
            <v/>
          </cell>
          <cell r="P6867" t="str">
            <v/>
          </cell>
          <cell r="Q6867" t="str">
            <v/>
          </cell>
          <cell r="S6867" t="str">
            <v/>
          </cell>
          <cell r="V6867" t="str">
            <v/>
          </cell>
          <cell r="Z6867" t="str">
            <v/>
          </cell>
          <cell r="AA6867" t="str">
            <v/>
          </cell>
          <cell r="AB6867" t="str">
            <v/>
          </cell>
          <cell r="AC6867" t="str">
            <v/>
          </cell>
          <cell r="AD6867" t="str">
            <v/>
          </cell>
          <cell r="AY6867" t="str">
            <v/>
          </cell>
          <cell r="AZ6867" t="str">
            <v/>
          </cell>
          <cell r="BA6867" t="str">
            <v/>
          </cell>
        </row>
        <row r="6868">
          <cell r="B6868" t="str">
            <v>-</v>
          </cell>
          <cell r="E6868" t="str">
            <v/>
          </cell>
          <cell r="G6868" t="str">
            <v/>
          </cell>
          <cell r="J6868" t="str">
            <v/>
          </cell>
          <cell r="O6868" t="str">
            <v/>
          </cell>
          <cell r="P6868" t="str">
            <v/>
          </cell>
          <cell r="Q6868" t="str">
            <v/>
          </cell>
          <cell r="S6868" t="str">
            <v/>
          </cell>
          <cell r="V6868" t="str">
            <v/>
          </cell>
          <cell r="Z6868" t="str">
            <v/>
          </cell>
          <cell r="AA6868" t="str">
            <v/>
          </cell>
          <cell r="AB6868" t="str">
            <v/>
          </cell>
          <cell r="AC6868" t="str">
            <v/>
          </cell>
          <cell r="AD6868" t="str">
            <v/>
          </cell>
          <cell r="AY6868" t="str">
            <v/>
          </cell>
          <cell r="AZ6868" t="str">
            <v/>
          </cell>
          <cell r="BA6868" t="str">
            <v/>
          </cell>
        </row>
        <row r="6869">
          <cell r="B6869" t="str">
            <v>-</v>
          </cell>
          <cell r="E6869" t="str">
            <v/>
          </cell>
          <cell r="G6869" t="str">
            <v/>
          </cell>
          <cell r="J6869" t="str">
            <v/>
          </cell>
          <cell r="O6869" t="str">
            <v/>
          </cell>
          <cell r="P6869" t="str">
            <v/>
          </cell>
          <cell r="Q6869" t="str">
            <v/>
          </cell>
          <cell r="S6869" t="str">
            <v/>
          </cell>
          <cell r="V6869" t="str">
            <v/>
          </cell>
          <cell r="Z6869" t="str">
            <v/>
          </cell>
          <cell r="AA6869" t="str">
            <v/>
          </cell>
          <cell r="AB6869" t="str">
            <v/>
          </cell>
          <cell r="AC6869" t="str">
            <v/>
          </cell>
          <cell r="AD6869" t="str">
            <v/>
          </cell>
          <cell r="AY6869" t="str">
            <v/>
          </cell>
          <cell r="AZ6869" t="str">
            <v/>
          </cell>
          <cell r="BA6869" t="str">
            <v/>
          </cell>
        </row>
        <row r="6870">
          <cell r="B6870" t="str">
            <v>-</v>
          </cell>
          <cell r="E6870" t="str">
            <v/>
          </cell>
          <cell r="G6870" t="str">
            <v/>
          </cell>
          <cell r="J6870" t="str">
            <v/>
          </cell>
          <cell r="O6870" t="str">
            <v/>
          </cell>
          <cell r="P6870" t="str">
            <v/>
          </cell>
          <cell r="Q6870" t="str">
            <v/>
          </cell>
          <cell r="S6870" t="str">
            <v/>
          </cell>
          <cell r="V6870" t="str">
            <v/>
          </cell>
          <cell r="Z6870" t="str">
            <v/>
          </cell>
          <cell r="AA6870" t="str">
            <v/>
          </cell>
          <cell r="AB6870" t="str">
            <v/>
          </cell>
          <cell r="AC6870" t="str">
            <v/>
          </cell>
          <cell r="AD6870" t="str">
            <v/>
          </cell>
          <cell r="AY6870" t="str">
            <v/>
          </cell>
          <cell r="AZ6870" t="str">
            <v/>
          </cell>
          <cell r="BA6870" t="str">
            <v/>
          </cell>
        </row>
        <row r="6871">
          <cell r="B6871" t="str">
            <v>-</v>
          </cell>
          <cell r="E6871" t="str">
            <v/>
          </cell>
          <cell r="G6871" t="str">
            <v/>
          </cell>
          <cell r="J6871" t="str">
            <v/>
          </cell>
          <cell r="O6871" t="str">
            <v/>
          </cell>
          <cell r="P6871" t="str">
            <v/>
          </cell>
          <cell r="Q6871" t="str">
            <v/>
          </cell>
          <cell r="S6871" t="str">
            <v/>
          </cell>
          <cell r="V6871" t="str">
            <v/>
          </cell>
          <cell r="Z6871" t="str">
            <v/>
          </cell>
          <cell r="AA6871" t="str">
            <v/>
          </cell>
          <cell r="AB6871" t="str">
            <v/>
          </cell>
          <cell r="AC6871" t="str">
            <v/>
          </cell>
          <cell r="AD6871" t="str">
            <v/>
          </cell>
          <cell r="AY6871" t="str">
            <v/>
          </cell>
          <cell r="AZ6871" t="str">
            <v/>
          </cell>
          <cell r="BA6871" t="str">
            <v/>
          </cell>
        </row>
        <row r="6872">
          <cell r="B6872" t="str">
            <v>-</v>
          </cell>
          <cell r="E6872" t="str">
            <v/>
          </cell>
          <cell r="G6872" t="str">
            <v/>
          </cell>
          <cell r="J6872" t="str">
            <v/>
          </cell>
          <cell r="O6872" t="str">
            <v/>
          </cell>
          <cell r="P6872" t="str">
            <v/>
          </cell>
          <cell r="Q6872" t="str">
            <v/>
          </cell>
          <cell r="S6872" t="str">
            <v/>
          </cell>
          <cell r="V6872" t="str">
            <v/>
          </cell>
          <cell r="Z6872" t="str">
            <v/>
          </cell>
          <cell r="AA6872" t="str">
            <v/>
          </cell>
          <cell r="AB6872" t="str">
            <v/>
          </cell>
          <cell r="AC6872" t="str">
            <v/>
          </cell>
          <cell r="AD6872" t="str">
            <v/>
          </cell>
          <cell r="AY6872" t="str">
            <v/>
          </cell>
          <cell r="AZ6872" t="str">
            <v/>
          </cell>
          <cell r="BA6872" t="str">
            <v/>
          </cell>
        </row>
        <row r="6873">
          <cell r="B6873" t="str">
            <v>-</v>
          </cell>
          <cell r="E6873" t="str">
            <v/>
          </cell>
          <cell r="G6873" t="str">
            <v/>
          </cell>
          <cell r="J6873" t="str">
            <v/>
          </cell>
          <cell r="O6873" t="str">
            <v/>
          </cell>
          <cell r="P6873" t="str">
            <v/>
          </cell>
          <cell r="Q6873" t="str">
            <v/>
          </cell>
          <cell r="S6873" t="str">
            <v/>
          </cell>
          <cell r="V6873" t="str">
            <v/>
          </cell>
          <cell r="Z6873" t="str">
            <v/>
          </cell>
          <cell r="AA6873" t="str">
            <v/>
          </cell>
          <cell r="AB6873" t="str">
            <v/>
          </cell>
          <cell r="AC6873" t="str">
            <v/>
          </cell>
          <cell r="AD6873" t="str">
            <v/>
          </cell>
          <cell r="AY6873" t="str">
            <v/>
          </cell>
          <cell r="AZ6873" t="str">
            <v/>
          </cell>
          <cell r="BA6873" t="str">
            <v/>
          </cell>
        </row>
        <row r="6874">
          <cell r="B6874" t="str">
            <v>-</v>
          </cell>
          <cell r="E6874" t="str">
            <v/>
          </cell>
          <cell r="G6874" t="str">
            <v/>
          </cell>
          <cell r="J6874" t="str">
            <v/>
          </cell>
          <cell r="O6874" t="str">
            <v/>
          </cell>
          <cell r="P6874" t="str">
            <v/>
          </cell>
          <cell r="Q6874" t="str">
            <v/>
          </cell>
          <cell r="S6874" t="str">
            <v/>
          </cell>
          <cell r="V6874" t="str">
            <v/>
          </cell>
          <cell r="Z6874" t="str">
            <v/>
          </cell>
          <cell r="AA6874" t="str">
            <v/>
          </cell>
          <cell r="AB6874" t="str">
            <v/>
          </cell>
          <cell r="AC6874" t="str">
            <v/>
          </cell>
          <cell r="AD6874" t="str">
            <v/>
          </cell>
          <cell r="AY6874" t="str">
            <v/>
          </cell>
          <cell r="AZ6874" t="str">
            <v/>
          </cell>
          <cell r="BA6874" t="str">
            <v/>
          </cell>
        </row>
        <row r="6875">
          <cell r="B6875" t="str">
            <v>-</v>
          </cell>
          <cell r="E6875" t="str">
            <v/>
          </cell>
          <cell r="G6875" t="str">
            <v/>
          </cell>
          <cell r="J6875" t="str">
            <v/>
          </cell>
          <cell r="O6875" t="str">
            <v/>
          </cell>
          <cell r="P6875" t="str">
            <v/>
          </cell>
          <cell r="Q6875" t="str">
            <v/>
          </cell>
          <cell r="S6875" t="str">
            <v/>
          </cell>
          <cell r="V6875" t="str">
            <v/>
          </cell>
          <cell r="Z6875" t="str">
            <v/>
          </cell>
          <cell r="AA6875" t="str">
            <v/>
          </cell>
          <cell r="AB6875" t="str">
            <v/>
          </cell>
          <cell r="AC6875" t="str">
            <v/>
          </cell>
          <cell r="AD6875" t="str">
            <v/>
          </cell>
          <cell r="AY6875" t="str">
            <v/>
          </cell>
          <cell r="AZ6875" t="str">
            <v/>
          </cell>
          <cell r="BA6875" t="str">
            <v/>
          </cell>
        </row>
        <row r="6876">
          <cell r="B6876" t="str">
            <v>-</v>
          </cell>
          <cell r="E6876" t="str">
            <v/>
          </cell>
          <cell r="G6876" t="str">
            <v/>
          </cell>
          <cell r="J6876" t="str">
            <v/>
          </cell>
          <cell r="O6876" t="str">
            <v/>
          </cell>
          <cell r="P6876" t="str">
            <v/>
          </cell>
          <cell r="Q6876" t="str">
            <v/>
          </cell>
          <cell r="S6876" t="str">
            <v/>
          </cell>
          <cell r="V6876" t="str">
            <v/>
          </cell>
          <cell r="Z6876" t="str">
            <v/>
          </cell>
          <cell r="AA6876" t="str">
            <v/>
          </cell>
          <cell r="AB6876" t="str">
            <v/>
          </cell>
          <cell r="AC6876" t="str">
            <v/>
          </cell>
          <cell r="AD6876" t="str">
            <v/>
          </cell>
          <cell r="AY6876" t="str">
            <v/>
          </cell>
          <cell r="AZ6876" t="str">
            <v/>
          </cell>
          <cell r="BA6876" t="str">
            <v/>
          </cell>
        </row>
        <row r="6877">
          <cell r="B6877" t="str">
            <v>-</v>
          </cell>
          <cell r="E6877" t="str">
            <v/>
          </cell>
          <cell r="G6877" t="str">
            <v/>
          </cell>
          <cell r="J6877" t="str">
            <v/>
          </cell>
          <cell r="O6877" t="str">
            <v/>
          </cell>
          <cell r="P6877" t="str">
            <v/>
          </cell>
          <cell r="Q6877" t="str">
            <v/>
          </cell>
          <cell r="S6877" t="str">
            <v/>
          </cell>
          <cell r="V6877" t="str">
            <v/>
          </cell>
          <cell r="Z6877" t="str">
            <v/>
          </cell>
          <cell r="AA6877" t="str">
            <v/>
          </cell>
          <cell r="AB6877" t="str">
            <v/>
          </cell>
          <cell r="AC6877" t="str">
            <v/>
          </cell>
          <cell r="AD6877" t="str">
            <v/>
          </cell>
          <cell r="AY6877" t="str">
            <v/>
          </cell>
          <cell r="AZ6877" t="str">
            <v/>
          </cell>
          <cell r="BA6877" t="str">
            <v/>
          </cell>
        </row>
        <row r="6878">
          <cell r="B6878" t="str">
            <v>-</v>
          </cell>
          <cell r="E6878" t="str">
            <v/>
          </cell>
          <cell r="G6878" t="str">
            <v/>
          </cell>
          <cell r="J6878" t="str">
            <v/>
          </cell>
          <cell r="O6878" t="str">
            <v/>
          </cell>
          <cell r="P6878" t="str">
            <v/>
          </cell>
          <cell r="Q6878" t="str">
            <v/>
          </cell>
          <cell r="S6878" t="str">
            <v/>
          </cell>
          <cell r="V6878" t="str">
            <v/>
          </cell>
          <cell r="Z6878" t="str">
            <v/>
          </cell>
          <cell r="AA6878" t="str">
            <v/>
          </cell>
          <cell r="AB6878" t="str">
            <v/>
          </cell>
          <cell r="AC6878" t="str">
            <v/>
          </cell>
          <cell r="AD6878" t="str">
            <v/>
          </cell>
          <cell r="AY6878" t="str">
            <v/>
          </cell>
          <cell r="AZ6878" t="str">
            <v/>
          </cell>
          <cell r="BA6878" t="str">
            <v/>
          </cell>
        </row>
        <row r="6879">
          <cell r="B6879" t="str">
            <v>-</v>
          </cell>
          <cell r="E6879" t="str">
            <v/>
          </cell>
          <cell r="G6879" t="str">
            <v/>
          </cell>
          <cell r="J6879" t="str">
            <v/>
          </cell>
          <cell r="O6879" t="str">
            <v/>
          </cell>
          <cell r="P6879" t="str">
            <v/>
          </cell>
          <cell r="Q6879" t="str">
            <v/>
          </cell>
          <cell r="S6879" t="str">
            <v/>
          </cell>
          <cell r="V6879" t="str">
            <v/>
          </cell>
          <cell r="Z6879" t="str">
            <v/>
          </cell>
          <cell r="AA6879" t="str">
            <v/>
          </cell>
          <cell r="AB6879" t="str">
            <v/>
          </cell>
          <cell r="AC6879" t="str">
            <v/>
          </cell>
          <cell r="AD6879" t="str">
            <v/>
          </cell>
          <cell r="AY6879" t="str">
            <v/>
          </cell>
          <cell r="AZ6879" t="str">
            <v/>
          </cell>
          <cell r="BA6879" t="str">
            <v/>
          </cell>
        </row>
        <row r="6880">
          <cell r="B6880" t="str">
            <v>-</v>
          </cell>
          <cell r="E6880" t="str">
            <v/>
          </cell>
          <cell r="G6880" t="str">
            <v/>
          </cell>
          <cell r="J6880" t="str">
            <v/>
          </cell>
          <cell r="O6880" t="str">
            <v/>
          </cell>
          <cell r="P6880" t="str">
            <v/>
          </cell>
          <cell r="Q6880" t="str">
            <v/>
          </cell>
          <cell r="S6880" t="str">
            <v/>
          </cell>
          <cell r="V6880" t="str">
            <v/>
          </cell>
          <cell r="Z6880" t="str">
            <v/>
          </cell>
          <cell r="AA6880" t="str">
            <v/>
          </cell>
          <cell r="AB6880" t="str">
            <v/>
          </cell>
          <cell r="AC6880" t="str">
            <v/>
          </cell>
          <cell r="AD6880" t="str">
            <v/>
          </cell>
          <cell r="AY6880" t="str">
            <v/>
          </cell>
          <cell r="AZ6880" t="str">
            <v/>
          </cell>
          <cell r="BA6880" t="str">
            <v/>
          </cell>
        </row>
        <row r="6881">
          <cell r="B6881" t="str">
            <v>-</v>
          </cell>
          <cell r="E6881" t="str">
            <v/>
          </cell>
          <cell r="G6881" t="str">
            <v/>
          </cell>
          <cell r="J6881" t="str">
            <v/>
          </cell>
          <cell r="O6881" t="str">
            <v/>
          </cell>
          <cell r="P6881" t="str">
            <v/>
          </cell>
          <cell r="Q6881" t="str">
            <v/>
          </cell>
          <cell r="S6881" t="str">
            <v/>
          </cell>
          <cell r="V6881" t="str">
            <v/>
          </cell>
          <cell r="Z6881" t="str">
            <v/>
          </cell>
          <cell r="AA6881" t="str">
            <v/>
          </cell>
          <cell r="AB6881" t="str">
            <v/>
          </cell>
          <cell r="AC6881" t="str">
            <v/>
          </cell>
          <cell r="AD6881" t="str">
            <v/>
          </cell>
          <cell r="AY6881" t="str">
            <v/>
          </cell>
          <cell r="AZ6881" t="str">
            <v/>
          </cell>
          <cell r="BA6881" t="str">
            <v/>
          </cell>
        </row>
        <row r="6882">
          <cell r="B6882" t="str">
            <v>-</v>
          </cell>
          <cell r="E6882" t="str">
            <v/>
          </cell>
          <cell r="G6882" t="str">
            <v/>
          </cell>
          <cell r="J6882" t="str">
            <v/>
          </cell>
          <cell r="O6882" t="str">
            <v/>
          </cell>
          <cell r="P6882" t="str">
            <v/>
          </cell>
          <cell r="Q6882" t="str">
            <v/>
          </cell>
          <cell r="S6882" t="str">
            <v/>
          </cell>
          <cell r="V6882" t="str">
            <v/>
          </cell>
          <cell r="Z6882" t="str">
            <v/>
          </cell>
          <cell r="AA6882" t="str">
            <v/>
          </cell>
          <cell r="AB6882" t="str">
            <v/>
          </cell>
          <cell r="AC6882" t="str">
            <v/>
          </cell>
          <cell r="AD6882" t="str">
            <v/>
          </cell>
          <cell r="AY6882" t="str">
            <v/>
          </cell>
          <cell r="AZ6882" t="str">
            <v/>
          </cell>
          <cell r="BA6882" t="str">
            <v/>
          </cell>
        </row>
        <row r="6883">
          <cell r="B6883" t="str">
            <v>-</v>
          </cell>
          <cell r="E6883" t="str">
            <v/>
          </cell>
          <cell r="G6883" t="str">
            <v/>
          </cell>
          <cell r="J6883" t="str">
            <v/>
          </cell>
          <cell r="O6883" t="str">
            <v/>
          </cell>
          <cell r="P6883" t="str">
            <v/>
          </cell>
          <cell r="Q6883" t="str">
            <v/>
          </cell>
          <cell r="S6883" t="str">
            <v/>
          </cell>
          <cell r="V6883" t="str">
            <v/>
          </cell>
          <cell r="Z6883" t="str">
            <v/>
          </cell>
          <cell r="AA6883" t="str">
            <v/>
          </cell>
          <cell r="AB6883" t="str">
            <v/>
          </cell>
          <cell r="AC6883" t="str">
            <v/>
          </cell>
          <cell r="AD6883" t="str">
            <v/>
          </cell>
          <cell r="AY6883" t="str">
            <v/>
          </cell>
          <cell r="AZ6883" t="str">
            <v/>
          </cell>
          <cell r="BA6883" t="str">
            <v/>
          </cell>
        </row>
        <row r="6884">
          <cell r="B6884" t="str">
            <v>-</v>
          </cell>
          <cell r="E6884" t="str">
            <v/>
          </cell>
          <cell r="G6884" t="str">
            <v/>
          </cell>
          <cell r="J6884" t="str">
            <v/>
          </cell>
          <cell r="O6884" t="str">
            <v/>
          </cell>
          <cell r="P6884" t="str">
            <v/>
          </cell>
          <cell r="Q6884" t="str">
            <v/>
          </cell>
          <cell r="S6884" t="str">
            <v/>
          </cell>
          <cell r="V6884" t="str">
            <v/>
          </cell>
          <cell r="Z6884" t="str">
            <v/>
          </cell>
          <cell r="AA6884" t="str">
            <v/>
          </cell>
          <cell r="AB6884" t="str">
            <v/>
          </cell>
          <cell r="AC6884" t="str">
            <v/>
          </cell>
          <cell r="AD6884" t="str">
            <v/>
          </cell>
          <cell r="AY6884" t="str">
            <v/>
          </cell>
          <cell r="AZ6884" t="str">
            <v/>
          </cell>
          <cell r="BA6884" t="str">
            <v/>
          </cell>
        </row>
        <row r="6885">
          <cell r="B6885" t="str">
            <v>-</v>
          </cell>
          <cell r="E6885" t="str">
            <v/>
          </cell>
          <cell r="G6885" t="str">
            <v/>
          </cell>
          <cell r="J6885" t="str">
            <v/>
          </cell>
          <cell r="O6885" t="str">
            <v/>
          </cell>
          <cell r="P6885" t="str">
            <v/>
          </cell>
          <cell r="Q6885" t="str">
            <v/>
          </cell>
          <cell r="S6885" t="str">
            <v/>
          </cell>
          <cell r="V6885" t="str">
            <v/>
          </cell>
          <cell r="Z6885" t="str">
            <v/>
          </cell>
          <cell r="AA6885" t="str">
            <v/>
          </cell>
          <cell r="AB6885" t="str">
            <v/>
          </cell>
          <cell r="AC6885" t="str">
            <v/>
          </cell>
          <cell r="AD6885" t="str">
            <v/>
          </cell>
          <cell r="AY6885" t="str">
            <v/>
          </cell>
          <cell r="AZ6885" t="str">
            <v/>
          </cell>
          <cell r="BA6885" t="str">
            <v/>
          </cell>
        </row>
        <row r="6886">
          <cell r="B6886" t="str">
            <v>-</v>
          </cell>
          <cell r="E6886" t="str">
            <v/>
          </cell>
          <cell r="G6886" t="str">
            <v/>
          </cell>
          <cell r="J6886" t="str">
            <v/>
          </cell>
          <cell r="O6886" t="str">
            <v/>
          </cell>
          <cell r="P6886" t="str">
            <v/>
          </cell>
          <cell r="Q6886" t="str">
            <v/>
          </cell>
          <cell r="S6886" t="str">
            <v/>
          </cell>
          <cell r="V6886" t="str">
            <v/>
          </cell>
          <cell r="Z6886" t="str">
            <v/>
          </cell>
          <cell r="AA6886" t="str">
            <v/>
          </cell>
          <cell r="AB6886" t="str">
            <v/>
          </cell>
          <cell r="AC6886" t="str">
            <v/>
          </cell>
          <cell r="AD6886" t="str">
            <v/>
          </cell>
          <cell r="AY6886" t="str">
            <v/>
          </cell>
          <cell r="AZ6886" t="str">
            <v/>
          </cell>
          <cell r="BA6886" t="str">
            <v/>
          </cell>
        </row>
        <row r="6887">
          <cell r="B6887" t="str">
            <v>-</v>
          </cell>
          <cell r="E6887" t="str">
            <v/>
          </cell>
          <cell r="G6887" t="str">
            <v/>
          </cell>
          <cell r="J6887" t="str">
            <v/>
          </cell>
          <cell r="O6887" t="str">
            <v/>
          </cell>
          <cell r="P6887" t="str">
            <v/>
          </cell>
          <cell r="Q6887" t="str">
            <v/>
          </cell>
          <cell r="S6887" t="str">
            <v/>
          </cell>
          <cell r="V6887" t="str">
            <v/>
          </cell>
          <cell r="Z6887" t="str">
            <v/>
          </cell>
          <cell r="AA6887" t="str">
            <v/>
          </cell>
          <cell r="AB6887" t="str">
            <v/>
          </cell>
          <cell r="AC6887" t="str">
            <v/>
          </cell>
          <cell r="AD6887" t="str">
            <v/>
          </cell>
          <cell r="AY6887" t="str">
            <v/>
          </cell>
          <cell r="AZ6887" t="str">
            <v/>
          </cell>
          <cell r="BA6887" t="str">
            <v/>
          </cell>
        </row>
        <row r="6888">
          <cell r="B6888" t="str">
            <v>-</v>
          </cell>
          <cell r="E6888" t="str">
            <v/>
          </cell>
          <cell r="G6888" t="str">
            <v/>
          </cell>
          <cell r="J6888" t="str">
            <v/>
          </cell>
          <cell r="O6888" t="str">
            <v/>
          </cell>
          <cell r="P6888" t="str">
            <v/>
          </cell>
          <cell r="Q6888" t="str">
            <v/>
          </cell>
          <cell r="S6888" t="str">
            <v/>
          </cell>
          <cell r="V6888" t="str">
            <v/>
          </cell>
          <cell r="Z6888" t="str">
            <v/>
          </cell>
          <cell r="AA6888" t="str">
            <v/>
          </cell>
          <cell r="AB6888" t="str">
            <v/>
          </cell>
          <cell r="AC6888" t="str">
            <v/>
          </cell>
          <cell r="AD6888" t="str">
            <v/>
          </cell>
          <cell r="AY6888" t="str">
            <v/>
          </cell>
          <cell r="AZ6888" t="str">
            <v/>
          </cell>
          <cell r="BA6888" t="str">
            <v/>
          </cell>
        </row>
        <row r="6889">
          <cell r="B6889" t="str">
            <v>-</v>
          </cell>
          <cell r="E6889" t="str">
            <v/>
          </cell>
          <cell r="G6889" t="str">
            <v/>
          </cell>
          <cell r="J6889" t="str">
            <v/>
          </cell>
          <cell r="O6889" t="str">
            <v/>
          </cell>
          <cell r="P6889" t="str">
            <v/>
          </cell>
          <cell r="Q6889" t="str">
            <v/>
          </cell>
          <cell r="S6889" t="str">
            <v/>
          </cell>
          <cell r="V6889" t="str">
            <v/>
          </cell>
          <cell r="Z6889" t="str">
            <v/>
          </cell>
          <cell r="AA6889" t="str">
            <v/>
          </cell>
          <cell r="AB6889" t="str">
            <v/>
          </cell>
          <cell r="AC6889" t="str">
            <v/>
          </cell>
          <cell r="AD6889" t="str">
            <v/>
          </cell>
          <cell r="AY6889" t="str">
            <v/>
          </cell>
          <cell r="AZ6889" t="str">
            <v/>
          </cell>
          <cell r="BA6889" t="str">
            <v/>
          </cell>
        </row>
        <row r="6890">
          <cell r="B6890" t="str">
            <v>-</v>
          </cell>
          <cell r="E6890" t="str">
            <v/>
          </cell>
          <cell r="G6890" t="str">
            <v/>
          </cell>
          <cell r="J6890" t="str">
            <v/>
          </cell>
          <cell r="O6890" t="str">
            <v/>
          </cell>
          <cell r="P6890" t="str">
            <v/>
          </cell>
          <cell r="Q6890" t="str">
            <v/>
          </cell>
          <cell r="S6890" t="str">
            <v/>
          </cell>
          <cell r="V6890" t="str">
            <v/>
          </cell>
          <cell r="Z6890" t="str">
            <v/>
          </cell>
          <cell r="AA6890" t="str">
            <v/>
          </cell>
          <cell r="AB6890" t="str">
            <v/>
          </cell>
          <cell r="AC6890" t="str">
            <v/>
          </cell>
          <cell r="AD6890" t="str">
            <v/>
          </cell>
          <cell r="AY6890" t="str">
            <v/>
          </cell>
          <cell r="AZ6890" t="str">
            <v/>
          </cell>
          <cell r="BA6890" t="str">
            <v/>
          </cell>
        </row>
        <row r="6891">
          <cell r="B6891" t="str">
            <v>-</v>
          </cell>
          <cell r="E6891" t="str">
            <v/>
          </cell>
          <cell r="G6891" t="str">
            <v/>
          </cell>
          <cell r="J6891" t="str">
            <v/>
          </cell>
          <cell r="O6891" t="str">
            <v/>
          </cell>
          <cell r="P6891" t="str">
            <v/>
          </cell>
          <cell r="Q6891" t="str">
            <v/>
          </cell>
          <cell r="S6891" t="str">
            <v/>
          </cell>
          <cell r="V6891" t="str">
            <v/>
          </cell>
          <cell r="Z6891" t="str">
            <v/>
          </cell>
          <cell r="AA6891" t="str">
            <v/>
          </cell>
          <cell r="AB6891" t="str">
            <v/>
          </cell>
          <cell r="AC6891" t="str">
            <v/>
          </cell>
          <cell r="AD6891" t="str">
            <v/>
          </cell>
          <cell r="AY6891" t="str">
            <v/>
          </cell>
          <cell r="AZ6891" t="str">
            <v/>
          </cell>
          <cell r="BA6891" t="str">
            <v/>
          </cell>
        </row>
        <row r="6892">
          <cell r="B6892" t="str">
            <v>-</v>
          </cell>
          <cell r="E6892" t="str">
            <v/>
          </cell>
          <cell r="G6892" t="str">
            <v/>
          </cell>
          <cell r="J6892" t="str">
            <v/>
          </cell>
          <cell r="O6892" t="str">
            <v/>
          </cell>
          <cell r="P6892" t="str">
            <v/>
          </cell>
          <cell r="Q6892" t="str">
            <v/>
          </cell>
          <cell r="S6892" t="str">
            <v/>
          </cell>
          <cell r="V6892" t="str">
            <v/>
          </cell>
          <cell r="Z6892" t="str">
            <v/>
          </cell>
          <cell r="AA6892" t="str">
            <v/>
          </cell>
          <cell r="AB6892" t="str">
            <v/>
          </cell>
          <cell r="AC6892" t="str">
            <v/>
          </cell>
          <cell r="AD6892" t="str">
            <v/>
          </cell>
          <cell r="AY6892" t="str">
            <v/>
          </cell>
          <cell r="AZ6892" t="str">
            <v/>
          </cell>
          <cell r="BA6892" t="str">
            <v/>
          </cell>
        </row>
        <row r="6893">
          <cell r="B6893" t="str">
            <v>-</v>
          </cell>
          <cell r="E6893" t="str">
            <v/>
          </cell>
          <cell r="G6893" t="str">
            <v/>
          </cell>
          <cell r="J6893" t="str">
            <v/>
          </cell>
          <cell r="O6893" t="str">
            <v/>
          </cell>
          <cell r="P6893" t="str">
            <v/>
          </cell>
          <cell r="Q6893" t="str">
            <v/>
          </cell>
          <cell r="S6893" t="str">
            <v/>
          </cell>
          <cell r="V6893" t="str">
            <v/>
          </cell>
          <cell r="Z6893" t="str">
            <v/>
          </cell>
          <cell r="AA6893" t="str">
            <v/>
          </cell>
          <cell r="AB6893" t="str">
            <v/>
          </cell>
          <cell r="AC6893" t="str">
            <v/>
          </cell>
          <cell r="AD6893" t="str">
            <v/>
          </cell>
          <cell r="AY6893" t="str">
            <v/>
          </cell>
          <cell r="AZ6893" t="str">
            <v/>
          </cell>
          <cell r="BA6893" t="str">
            <v/>
          </cell>
        </row>
        <row r="6894">
          <cell r="B6894" t="str">
            <v>-</v>
          </cell>
          <cell r="E6894" t="str">
            <v/>
          </cell>
          <cell r="G6894" t="str">
            <v/>
          </cell>
          <cell r="J6894" t="str">
            <v/>
          </cell>
          <cell r="O6894" t="str">
            <v/>
          </cell>
          <cell r="P6894" t="str">
            <v/>
          </cell>
          <cell r="Q6894" t="str">
            <v/>
          </cell>
          <cell r="S6894" t="str">
            <v/>
          </cell>
          <cell r="V6894" t="str">
            <v/>
          </cell>
          <cell r="Z6894" t="str">
            <v/>
          </cell>
          <cell r="AA6894" t="str">
            <v/>
          </cell>
          <cell r="AB6894" t="str">
            <v/>
          </cell>
          <cell r="AC6894" t="str">
            <v/>
          </cell>
          <cell r="AD6894" t="str">
            <v/>
          </cell>
          <cell r="AY6894" t="str">
            <v/>
          </cell>
          <cell r="AZ6894" t="str">
            <v/>
          </cell>
          <cell r="BA6894" t="str">
            <v/>
          </cell>
        </row>
        <row r="6895">
          <cell r="B6895" t="str">
            <v>-</v>
          </cell>
          <cell r="E6895" t="str">
            <v/>
          </cell>
          <cell r="G6895" t="str">
            <v/>
          </cell>
          <cell r="J6895" t="str">
            <v/>
          </cell>
          <cell r="O6895" t="str">
            <v/>
          </cell>
          <cell r="P6895" t="str">
            <v/>
          </cell>
          <cell r="Q6895" t="str">
            <v/>
          </cell>
          <cell r="S6895" t="str">
            <v/>
          </cell>
          <cell r="V6895" t="str">
            <v/>
          </cell>
          <cell r="Z6895" t="str">
            <v/>
          </cell>
          <cell r="AA6895" t="str">
            <v/>
          </cell>
          <cell r="AB6895" t="str">
            <v/>
          </cell>
          <cell r="AC6895" t="str">
            <v/>
          </cell>
          <cell r="AD6895" t="str">
            <v/>
          </cell>
          <cell r="AY6895" t="str">
            <v/>
          </cell>
          <cell r="AZ6895" t="str">
            <v/>
          </cell>
          <cell r="BA6895" t="str">
            <v/>
          </cell>
        </row>
        <row r="6896">
          <cell r="B6896" t="str">
            <v>-</v>
          </cell>
          <cell r="E6896" t="str">
            <v/>
          </cell>
          <cell r="G6896" t="str">
            <v/>
          </cell>
          <cell r="J6896" t="str">
            <v/>
          </cell>
          <cell r="O6896" t="str">
            <v/>
          </cell>
          <cell r="P6896" t="str">
            <v/>
          </cell>
          <cell r="Q6896" t="str">
            <v/>
          </cell>
          <cell r="S6896" t="str">
            <v/>
          </cell>
          <cell r="V6896" t="str">
            <v/>
          </cell>
          <cell r="Z6896" t="str">
            <v/>
          </cell>
          <cell r="AA6896" t="str">
            <v/>
          </cell>
          <cell r="AB6896" t="str">
            <v/>
          </cell>
          <cell r="AC6896" t="str">
            <v/>
          </cell>
          <cell r="AD6896" t="str">
            <v/>
          </cell>
          <cell r="AY6896" t="str">
            <v/>
          </cell>
          <cell r="AZ6896" t="str">
            <v/>
          </cell>
          <cell r="BA6896" t="str">
            <v/>
          </cell>
        </row>
        <row r="6897">
          <cell r="B6897" t="str">
            <v>-</v>
          </cell>
          <cell r="E6897" t="str">
            <v/>
          </cell>
          <cell r="G6897" t="str">
            <v/>
          </cell>
          <cell r="J6897" t="str">
            <v/>
          </cell>
          <cell r="O6897" t="str">
            <v/>
          </cell>
          <cell r="P6897" t="str">
            <v/>
          </cell>
          <cell r="Q6897" t="str">
            <v/>
          </cell>
          <cell r="S6897" t="str">
            <v/>
          </cell>
          <cell r="V6897" t="str">
            <v/>
          </cell>
          <cell r="Z6897" t="str">
            <v/>
          </cell>
          <cell r="AA6897" t="str">
            <v/>
          </cell>
          <cell r="AB6897" t="str">
            <v/>
          </cell>
          <cell r="AC6897" t="str">
            <v/>
          </cell>
          <cell r="AD6897" t="str">
            <v/>
          </cell>
          <cell r="AY6897" t="str">
            <v/>
          </cell>
          <cell r="AZ6897" t="str">
            <v/>
          </cell>
          <cell r="BA6897" t="str">
            <v/>
          </cell>
        </row>
        <row r="6898">
          <cell r="B6898" t="str">
            <v>-</v>
          </cell>
          <cell r="E6898" t="str">
            <v/>
          </cell>
          <cell r="G6898" t="str">
            <v/>
          </cell>
          <cell r="J6898" t="str">
            <v/>
          </cell>
          <cell r="O6898" t="str">
            <v/>
          </cell>
          <cell r="P6898" t="str">
            <v/>
          </cell>
          <cell r="Q6898" t="str">
            <v/>
          </cell>
          <cell r="S6898" t="str">
            <v/>
          </cell>
          <cell r="V6898" t="str">
            <v/>
          </cell>
          <cell r="Z6898" t="str">
            <v/>
          </cell>
          <cell r="AA6898" t="str">
            <v/>
          </cell>
          <cell r="AB6898" t="str">
            <v/>
          </cell>
          <cell r="AC6898" t="str">
            <v/>
          </cell>
          <cell r="AD6898" t="str">
            <v/>
          </cell>
          <cell r="AY6898" t="str">
            <v/>
          </cell>
          <cell r="AZ6898" t="str">
            <v/>
          </cell>
          <cell r="BA6898" t="str">
            <v/>
          </cell>
        </row>
        <row r="6899">
          <cell r="B6899" t="str">
            <v>-</v>
          </cell>
          <cell r="E6899" t="str">
            <v/>
          </cell>
          <cell r="G6899" t="str">
            <v/>
          </cell>
          <cell r="J6899" t="str">
            <v/>
          </cell>
          <cell r="O6899" t="str">
            <v/>
          </cell>
          <cell r="P6899" t="str">
            <v/>
          </cell>
          <cell r="Q6899" t="str">
            <v/>
          </cell>
          <cell r="S6899" t="str">
            <v/>
          </cell>
          <cell r="V6899" t="str">
            <v/>
          </cell>
          <cell r="Z6899" t="str">
            <v/>
          </cell>
          <cell r="AA6899" t="str">
            <v/>
          </cell>
          <cell r="AB6899" t="str">
            <v/>
          </cell>
          <cell r="AC6899" t="str">
            <v/>
          </cell>
          <cell r="AD6899" t="str">
            <v/>
          </cell>
          <cell r="AY6899" t="str">
            <v/>
          </cell>
          <cell r="AZ6899" t="str">
            <v/>
          </cell>
          <cell r="BA6899" t="str">
            <v/>
          </cell>
        </row>
        <row r="6900">
          <cell r="B6900" t="str">
            <v>-</v>
          </cell>
          <cell r="E6900" t="str">
            <v/>
          </cell>
          <cell r="G6900" t="str">
            <v/>
          </cell>
          <cell r="J6900" t="str">
            <v/>
          </cell>
          <cell r="O6900" t="str">
            <v/>
          </cell>
          <cell r="P6900" t="str">
            <v/>
          </cell>
          <cell r="Q6900" t="str">
            <v/>
          </cell>
          <cell r="S6900" t="str">
            <v/>
          </cell>
          <cell r="V6900" t="str">
            <v/>
          </cell>
          <cell r="Z6900" t="str">
            <v/>
          </cell>
          <cell r="AA6900" t="str">
            <v/>
          </cell>
          <cell r="AB6900" t="str">
            <v/>
          </cell>
          <cell r="AC6900" t="str">
            <v/>
          </cell>
          <cell r="AD6900" t="str">
            <v/>
          </cell>
          <cell r="AY6900" t="str">
            <v/>
          </cell>
          <cell r="AZ6900" t="str">
            <v/>
          </cell>
          <cell r="BA6900" t="str">
            <v/>
          </cell>
        </row>
        <row r="6901">
          <cell r="B6901" t="str">
            <v>-</v>
          </cell>
          <cell r="E6901" t="str">
            <v/>
          </cell>
          <cell r="G6901" t="str">
            <v/>
          </cell>
          <cell r="J6901" t="str">
            <v/>
          </cell>
          <cell r="O6901" t="str">
            <v/>
          </cell>
          <cell r="P6901" t="str">
            <v/>
          </cell>
          <cell r="Q6901" t="str">
            <v/>
          </cell>
          <cell r="S6901" t="str">
            <v/>
          </cell>
          <cell r="V6901" t="str">
            <v/>
          </cell>
          <cell r="Z6901" t="str">
            <v/>
          </cell>
          <cell r="AA6901" t="str">
            <v/>
          </cell>
          <cell r="AB6901" t="str">
            <v/>
          </cell>
          <cell r="AC6901" t="str">
            <v/>
          </cell>
          <cell r="AD6901" t="str">
            <v/>
          </cell>
          <cell r="AY6901" t="str">
            <v/>
          </cell>
          <cell r="AZ6901" t="str">
            <v/>
          </cell>
          <cell r="BA6901" t="str">
            <v/>
          </cell>
        </row>
        <row r="6902">
          <cell r="B6902" t="str">
            <v>-</v>
          </cell>
          <cell r="E6902" t="str">
            <v/>
          </cell>
          <cell r="G6902" t="str">
            <v/>
          </cell>
          <cell r="J6902" t="str">
            <v/>
          </cell>
          <cell r="O6902" t="str">
            <v/>
          </cell>
          <cell r="P6902" t="str">
            <v/>
          </cell>
          <cell r="Q6902" t="str">
            <v/>
          </cell>
          <cell r="S6902" t="str">
            <v/>
          </cell>
          <cell r="V6902" t="str">
            <v/>
          </cell>
          <cell r="Z6902" t="str">
            <v/>
          </cell>
          <cell r="AA6902" t="str">
            <v/>
          </cell>
          <cell r="AB6902" t="str">
            <v/>
          </cell>
          <cell r="AC6902" t="str">
            <v/>
          </cell>
          <cell r="AD6902" t="str">
            <v/>
          </cell>
          <cell r="AY6902" t="str">
            <v/>
          </cell>
          <cell r="AZ6902" t="str">
            <v/>
          </cell>
          <cell r="BA6902" t="str">
            <v/>
          </cell>
        </row>
        <row r="6903">
          <cell r="B6903" t="str">
            <v>-</v>
          </cell>
          <cell r="E6903" t="str">
            <v/>
          </cell>
          <cell r="G6903" t="str">
            <v/>
          </cell>
          <cell r="J6903" t="str">
            <v/>
          </cell>
          <cell r="O6903" t="str">
            <v/>
          </cell>
          <cell r="P6903" t="str">
            <v/>
          </cell>
          <cell r="Q6903" t="str">
            <v/>
          </cell>
          <cell r="S6903" t="str">
            <v/>
          </cell>
          <cell r="V6903" t="str">
            <v/>
          </cell>
          <cell r="Z6903" t="str">
            <v/>
          </cell>
          <cell r="AA6903" t="str">
            <v/>
          </cell>
          <cell r="AB6903" t="str">
            <v/>
          </cell>
          <cell r="AC6903" t="str">
            <v/>
          </cell>
          <cell r="AD6903" t="str">
            <v/>
          </cell>
          <cell r="AY6903" t="str">
            <v/>
          </cell>
          <cell r="AZ6903" t="str">
            <v/>
          </cell>
          <cell r="BA6903" t="str">
            <v/>
          </cell>
        </row>
        <row r="6904">
          <cell r="B6904" t="str">
            <v>-</v>
          </cell>
          <cell r="E6904" t="str">
            <v/>
          </cell>
          <cell r="G6904" t="str">
            <v/>
          </cell>
          <cell r="J6904" t="str">
            <v/>
          </cell>
          <cell r="O6904" t="str">
            <v/>
          </cell>
          <cell r="P6904" t="str">
            <v/>
          </cell>
          <cell r="Q6904" t="str">
            <v/>
          </cell>
          <cell r="S6904" t="str">
            <v/>
          </cell>
          <cell r="V6904" t="str">
            <v/>
          </cell>
          <cell r="Z6904" t="str">
            <v/>
          </cell>
          <cell r="AA6904" t="str">
            <v/>
          </cell>
          <cell r="AB6904" t="str">
            <v/>
          </cell>
          <cell r="AC6904" t="str">
            <v/>
          </cell>
          <cell r="AD6904" t="str">
            <v/>
          </cell>
          <cell r="AY6904" t="str">
            <v/>
          </cell>
          <cell r="AZ6904" t="str">
            <v/>
          </cell>
          <cell r="BA6904" t="str">
            <v/>
          </cell>
        </row>
        <row r="6905">
          <cell r="B6905" t="str">
            <v>-</v>
          </cell>
          <cell r="E6905" t="str">
            <v/>
          </cell>
          <cell r="G6905" t="str">
            <v/>
          </cell>
          <cell r="J6905" t="str">
            <v/>
          </cell>
          <cell r="O6905" t="str">
            <v/>
          </cell>
          <cell r="P6905" t="str">
            <v/>
          </cell>
          <cell r="Q6905" t="str">
            <v/>
          </cell>
          <cell r="S6905" t="str">
            <v/>
          </cell>
          <cell r="V6905" t="str">
            <v/>
          </cell>
          <cell r="Z6905" t="str">
            <v/>
          </cell>
          <cell r="AA6905" t="str">
            <v/>
          </cell>
          <cell r="AB6905" t="str">
            <v/>
          </cell>
          <cell r="AC6905" t="str">
            <v/>
          </cell>
          <cell r="AD6905" t="str">
            <v/>
          </cell>
          <cell r="AY6905" t="str">
            <v/>
          </cell>
          <cell r="AZ6905" t="str">
            <v/>
          </cell>
          <cell r="BA6905" t="str">
            <v/>
          </cell>
        </row>
        <row r="6906">
          <cell r="B6906" t="str">
            <v>-</v>
          </cell>
          <cell r="E6906" t="str">
            <v/>
          </cell>
          <cell r="G6906" t="str">
            <v/>
          </cell>
          <cell r="J6906" t="str">
            <v/>
          </cell>
          <cell r="O6906" t="str">
            <v/>
          </cell>
          <cell r="P6906" t="str">
            <v/>
          </cell>
          <cell r="Q6906" t="str">
            <v/>
          </cell>
          <cell r="S6906" t="str">
            <v/>
          </cell>
          <cell r="V6906" t="str">
            <v/>
          </cell>
          <cell r="Z6906" t="str">
            <v/>
          </cell>
          <cell r="AA6906" t="str">
            <v/>
          </cell>
          <cell r="AB6906" t="str">
            <v/>
          </cell>
          <cell r="AC6906" t="str">
            <v/>
          </cell>
          <cell r="AD6906" t="str">
            <v/>
          </cell>
          <cell r="AY6906" t="str">
            <v/>
          </cell>
          <cell r="AZ6906" t="str">
            <v/>
          </cell>
          <cell r="BA6906" t="str">
            <v/>
          </cell>
        </row>
        <row r="6907">
          <cell r="B6907" t="str">
            <v>-</v>
          </cell>
          <cell r="E6907" t="str">
            <v/>
          </cell>
          <cell r="G6907" t="str">
            <v/>
          </cell>
          <cell r="J6907" t="str">
            <v/>
          </cell>
          <cell r="O6907" t="str">
            <v/>
          </cell>
          <cell r="P6907" t="str">
            <v/>
          </cell>
          <cell r="Q6907" t="str">
            <v/>
          </cell>
          <cell r="S6907" t="str">
            <v/>
          </cell>
          <cell r="V6907" t="str">
            <v/>
          </cell>
          <cell r="Z6907" t="str">
            <v/>
          </cell>
          <cell r="AA6907" t="str">
            <v/>
          </cell>
          <cell r="AB6907" t="str">
            <v/>
          </cell>
          <cell r="AC6907" t="str">
            <v/>
          </cell>
          <cell r="AD6907" t="str">
            <v/>
          </cell>
          <cell r="AY6907" t="str">
            <v/>
          </cell>
          <cell r="AZ6907" t="str">
            <v/>
          </cell>
          <cell r="BA6907" t="str">
            <v/>
          </cell>
        </row>
        <row r="6908">
          <cell r="B6908" t="str">
            <v>-</v>
          </cell>
          <cell r="E6908" t="str">
            <v/>
          </cell>
          <cell r="G6908" t="str">
            <v/>
          </cell>
          <cell r="J6908" t="str">
            <v/>
          </cell>
          <cell r="O6908" t="str">
            <v/>
          </cell>
          <cell r="P6908" t="str">
            <v/>
          </cell>
          <cell r="Q6908" t="str">
            <v/>
          </cell>
          <cell r="S6908" t="str">
            <v/>
          </cell>
          <cell r="V6908" t="str">
            <v/>
          </cell>
          <cell r="Z6908" t="str">
            <v/>
          </cell>
          <cell r="AA6908" t="str">
            <v/>
          </cell>
          <cell r="AB6908" t="str">
            <v/>
          </cell>
          <cell r="AC6908" t="str">
            <v/>
          </cell>
          <cell r="AD6908" t="str">
            <v/>
          </cell>
          <cell r="AY6908" t="str">
            <v/>
          </cell>
          <cell r="AZ6908" t="str">
            <v/>
          </cell>
          <cell r="BA6908" t="str">
            <v/>
          </cell>
        </row>
        <row r="6909">
          <cell r="B6909" t="str">
            <v>-</v>
          </cell>
          <cell r="E6909" t="str">
            <v/>
          </cell>
          <cell r="G6909" t="str">
            <v/>
          </cell>
          <cell r="J6909" t="str">
            <v/>
          </cell>
          <cell r="O6909" t="str">
            <v/>
          </cell>
          <cell r="P6909" t="str">
            <v/>
          </cell>
          <cell r="Q6909" t="str">
            <v/>
          </cell>
          <cell r="S6909" t="str">
            <v/>
          </cell>
          <cell r="V6909" t="str">
            <v/>
          </cell>
          <cell r="Z6909" t="str">
            <v/>
          </cell>
          <cell r="AA6909" t="str">
            <v/>
          </cell>
          <cell r="AB6909" t="str">
            <v/>
          </cell>
          <cell r="AC6909" t="str">
            <v/>
          </cell>
          <cell r="AD6909" t="str">
            <v/>
          </cell>
          <cell r="AY6909" t="str">
            <v/>
          </cell>
          <cell r="AZ6909" t="str">
            <v/>
          </cell>
          <cell r="BA6909" t="str">
            <v/>
          </cell>
        </row>
        <row r="6910">
          <cell r="B6910" t="str">
            <v>-</v>
          </cell>
          <cell r="E6910" t="str">
            <v/>
          </cell>
          <cell r="G6910" t="str">
            <v/>
          </cell>
          <cell r="J6910" t="str">
            <v/>
          </cell>
          <cell r="O6910" t="str">
            <v/>
          </cell>
          <cell r="P6910" t="str">
            <v/>
          </cell>
          <cell r="Q6910" t="str">
            <v/>
          </cell>
          <cell r="S6910" t="str">
            <v/>
          </cell>
          <cell r="V6910" t="str">
            <v/>
          </cell>
          <cell r="Z6910" t="str">
            <v/>
          </cell>
          <cell r="AA6910" t="str">
            <v/>
          </cell>
          <cell r="AB6910" t="str">
            <v/>
          </cell>
          <cell r="AC6910" t="str">
            <v/>
          </cell>
          <cell r="AD6910" t="str">
            <v/>
          </cell>
          <cell r="AY6910" t="str">
            <v/>
          </cell>
          <cell r="AZ6910" t="str">
            <v/>
          </cell>
          <cell r="BA6910" t="str">
            <v/>
          </cell>
        </row>
        <row r="6911">
          <cell r="B6911" t="str">
            <v>-</v>
          </cell>
          <cell r="E6911" t="str">
            <v/>
          </cell>
          <cell r="G6911" t="str">
            <v/>
          </cell>
          <cell r="J6911" t="str">
            <v/>
          </cell>
          <cell r="O6911" t="str">
            <v/>
          </cell>
          <cell r="P6911" t="str">
            <v/>
          </cell>
          <cell r="Q6911" t="str">
            <v/>
          </cell>
          <cell r="S6911" t="str">
            <v/>
          </cell>
          <cell r="V6911" t="str">
            <v/>
          </cell>
          <cell r="Z6911" t="str">
            <v/>
          </cell>
          <cell r="AA6911" t="str">
            <v/>
          </cell>
          <cell r="AB6911" t="str">
            <v/>
          </cell>
          <cell r="AC6911" t="str">
            <v/>
          </cell>
          <cell r="AD6911" t="str">
            <v/>
          </cell>
          <cell r="AY6911" t="str">
            <v/>
          </cell>
          <cell r="AZ6911" t="str">
            <v/>
          </cell>
          <cell r="BA6911" t="str">
            <v/>
          </cell>
        </row>
        <row r="6912">
          <cell r="B6912" t="str">
            <v>-</v>
          </cell>
          <cell r="E6912" t="str">
            <v/>
          </cell>
          <cell r="G6912" t="str">
            <v/>
          </cell>
          <cell r="J6912" t="str">
            <v/>
          </cell>
          <cell r="O6912" t="str">
            <v/>
          </cell>
          <cell r="P6912" t="str">
            <v/>
          </cell>
          <cell r="Q6912" t="str">
            <v/>
          </cell>
          <cell r="S6912" t="str">
            <v/>
          </cell>
          <cell r="V6912" t="str">
            <v/>
          </cell>
          <cell r="Z6912" t="str">
            <v/>
          </cell>
          <cell r="AA6912" t="str">
            <v/>
          </cell>
          <cell r="AB6912" t="str">
            <v/>
          </cell>
          <cell r="AC6912" t="str">
            <v/>
          </cell>
          <cell r="AD6912" t="str">
            <v/>
          </cell>
          <cell r="AY6912" t="str">
            <v/>
          </cell>
          <cell r="AZ6912" t="str">
            <v/>
          </cell>
          <cell r="BA6912" t="str">
            <v/>
          </cell>
        </row>
        <row r="6913">
          <cell r="B6913" t="str">
            <v>-</v>
          </cell>
          <cell r="E6913" t="str">
            <v/>
          </cell>
          <cell r="G6913" t="str">
            <v/>
          </cell>
          <cell r="J6913" t="str">
            <v/>
          </cell>
          <cell r="O6913" t="str">
            <v/>
          </cell>
          <cell r="P6913" t="str">
            <v/>
          </cell>
          <cell r="Q6913" t="str">
            <v/>
          </cell>
          <cell r="S6913" t="str">
            <v/>
          </cell>
          <cell r="V6913" t="str">
            <v/>
          </cell>
          <cell r="Z6913" t="str">
            <v/>
          </cell>
          <cell r="AA6913" t="str">
            <v/>
          </cell>
          <cell r="AB6913" t="str">
            <v/>
          </cell>
          <cell r="AC6913" t="str">
            <v/>
          </cell>
          <cell r="AD6913" t="str">
            <v/>
          </cell>
          <cell r="AY6913" t="str">
            <v/>
          </cell>
          <cell r="AZ6913" t="str">
            <v/>
          </cell>
          <cell r="BA6913" t="str">
            <v/>
          </cell>
        </row>
        <row r="6914">
          <cell r="B6914" t="str">
            <v>-</v>
          </cell>
          <cell r="E6914" t="str">
            <v/>
          </cell>
          <cell r="G6914" t="str">
            <v/>
          </cell>
          <cell r="J6914" t="str">
            <v/>
          </cell>
          <cell r="O6914" t="str">
            <v/>
          </cell>
          <cell r="P6914" t="str">
            <v/>
          </cell>
          <cell r="Q6914" t="str">
            <v/>
          </cell>
          <cell r="S6914" t="str">
            <v/>
          </cell>
          <cell r="V6914" t="str">
            <v/>
          </cell>
          <cell r="Z6914" t="str">
            <v/>
          </cell>
          <cell r="AA6914" t="str">
            <v/>
          </cell>
          <cell r="AB6914" t="str">
            <v/>
          </cell>
          <cell r="AC6914" t="str">
            <v/>
          </cell>
          <cell r="AD6914" t="str">
            <v/>
          </cell>
          <cell r="AY6914" t="str">
            <v/>
          </cell>
          <cell r="AZ6914" t="str">
            <v/>
          </cell>
          <cell r="BA6914" t="str">
            <v/>
          </cell>
        </row>
        <row r="6915">
          <cell r="B6915" t="str">
            <v>-</v>
          </cell>
          <cell r="E6915" t="str">
            <v/>
          </cell>
          <cell r="G6915" t="str">
            <v/>
          </cell>
          <cell r="J6915" t="str">
            <v/>
          </cell>
          <cell r="O6915" t="str">
            <v/>
          </cell>
          <cell r="P6915" t="str">
            <v/>
          </cell>
          <cell r="Q6915" t="str">
            <v/>
          </cell>
          <cell r="S6915" t="str">
            <v/>
          </cell>
          <cell r="V6915" t="str">
            <v/>
          </cell>
          <cell r="Z6915" t="str">
            <v/>
          </cell>
          <cell r="AA6915" t="str">
            <v/>
          </cell>
          <cell r="AB6915" t="str">
            <v/>
          </cell>
          <cell r="AC6915" t="str">
            <v/>
          </cell>
          <cell r="AD6915" t="str">
            <v/>
          </cell>
          <cell r="AY6915" t="str">
            <v/>
          </cell>
          <cell r="AZ6915" t="str">
            <v/>
          </cell>
          <cell r="BA6915" t="str">
            <v/>
          </cell>
        </row>
        <row r="6916">
          <cell r="B6916" t="str">
            <v>-</v>
          </cell>
          <cell r="E6916" t="str">
            <v/>
          </cell>
          <cell r="G6916" t="str">
            <v/>
          </cell>
          <cell r="J6916" t="str">
            <v/>
          </cell>
          <cell r="O6916" t="str">
            <v/>
          </cell>
          <cell r="P6916" t="str">
            <v/>
          </cell>
          <cell r="Q6916" t="str">
            <v/>
          </cell>
          <cell r="S6916" t="str">
            <v/>
          </cell>
          <cell r="V6916" t="str">
            <v/>
          </cell>
          <cell r="Z6916" t="str">
            <v/>
          </cell>
          <cell r="AA6916" t="str">
            <v/>
          </cell>
          <cell r="AB6916" t="str">
            <v/>
          </cell>
          <cell r="AC6916" t="str">
            <v/>
          </cell>
          <cell r="AD6916" t="str">
            <v/>
          </cell>
          <cell r="AY6916" t="str">
            <v/>
          </cell>
          <cell r="AZ6916" t="str">
            <v/>
          </cell>
          <cell r="BA6916" t="str">
            <v/>
          </cell>
        </row>
        <row r="6917">
          <cell r="B6917" t="str">
            <v>-</v>
          </cell>
          <cell r="E6917" t="str">
            <v/>
          </cell>
          <cell r="G6917" t="str">
            <v/>
          </cell>
          <cell r="J6917" t="str">
            <v/>
          </cell>
          <cell r="O6917" t="str">
            <v/>
          </cell>
          <cell r="P6917" t="str">
            <v/>
          </cell>
          <cell r="Q6917" t="str">
            <v/>
          </cell>
          <cell r="S6917" t="str">
            <v/>
          </cell>
          <cell r="V6917" t="str">
            <v/>
          </cell>
          <cell r="Z6917" t="str">
            <v/>
          </cell>
          <cell r="AA6917" t="str">
            <v/>
          </cell>
          <cell r="AB6917" t="str">
            <v/>
          </cell>
          <cell r="AC6917" t="str">
            <v/>
          </cell>
          <cell r="AD6917" t="str">
            <v/>
          </cell>
          <cell r="AY6917" t="str">
            <v/>
          </cell>
          <cell r="AZ6917" t="str">
            <v/>
          </cell>
          <cell r="BA6917" t="str">
            <v/>
          </cell>
        </row>
        <row r="6918">
          <cell r="B6918" t="str">
            <v>-</v>
          </cell>
          <cell r="E6918" t="str">
            <v/>
          </cell>
          <cell r="G6918" t="str">
            <v/>
          </cell>
          <cell r="J6918" t="str">
            <v/>
          </cell>
          <cell r="O6918" t="str">
            <v/>
          </cell>
          <cell r="P6918" t="str">
            <v/>
          </cell>
          <cell r="Q6918" t="str">
            <v/>
          </cell>
          <cell r="S6918" t="str">
            <v/>
          </cell>
          <cell r="V6918" t="str">
            <v/>
          </cell>
          <cell r="Z6918" t="str">
            <v/>
          </cell>
          <cell r="AA6918" t="str">
            <v/>
          </cell>
          <cell r="AB6918" t="str">
            <v/>
          </cell>
          <cell r="AC6918" t="str">
            <v/>
          </cell>
          <cell r="AD6918" t="str">
            <v/>
          </cell>
          <cell r="AY6918" t="str">
            <v/>
          </cell>
          <cell r="AZ6918" t="str">
            <v/>
          </cell>
          <cell r="BA6918" t="str">
            <v/>
          </cell>
        </row>
        <row r="6919">
          <cell r="B6919" t="str">
            <v>-</v>
          </cell>
          <cell r="E6919" t="str">
            <v/>
          </cell>
          <cell r="G6919" t="str">
            <v/>
          </cell>
          <cell r="J6919" t="str">
            <v/>
          </cell>
          <cell r="O6919" t="str">
            <v/>
          </cell>
          <cell r="P6919" t="str">
            <v/>
          </cell>
          <cell r="Q6919" t="str">
            <v/>
          </cell>
          <cell r="S6919" t="str">
            <v/>
          </cell>
          <cell r="V6919" t="str">
            <v/>
          </cell>
          <cell r="Z6919" t="str">
            <v/>
          </cell>
          <cell r="AA6919" t="str">
            <v/>
          </cell>
          <cell r="AB6919" t="str">
            <v/>
          </cell>
          <cell r="AC6919" t="str">
            <v/>
          </cell>
          <cell r="AD6919" t="str">
            <v/>
          </cell>
          <cell r="AY6919" t="str">
            <v/>
          </cell>
          <cell r="AZ6919" t="str">
            <v/>
          </cell>
          <cell r="BA6919" t="str">
            <v/>
          </cell>
        </row>
        <row r="6920">
          <cell r="B6920" t="str">
            <v>-</v>
          </cell>
          <cell r="E6920" t="str">
            <v/>
          </cell>
          <cell r="G6920" t="str">
            <v/>
          </cell>
          <cell r="J6920" t="str">
            <v/>
          </cell>
          <cell r="O6920" t="str">
            <v/>
          </cell>
          <cell r="P6920" t="str">
            <v/>
          </cell>
          <cell r="Q6920" t="str">
            <v/>
          </cell>
          <cell r="S6920" t="str">
            <v/>
          </cell>
          <cell r="V6920" t="str">
            <v/>
          </cell>
          <cell r="Z6920" t="str">
            <v/>
          </cell>
          <cell r="AA6920" t="str">
            <v/>
          </cell>
          <cell r="AB6920" t="str">
            <v/>
          </cell>
          <cell r="AC6920" t="str">
            <v/>
          </cell>
          <cell r="AD6920" t="str">
            <v/>
          </cell>
          <cell r="AY6920" t="str">
            <v/>
          </cell>
          <cell r="AZ6920" t="str">
            <v/>
          </cell>
          <cell r="BA6920" t="str">
            <v/>
          </cell>
        </row>
        <row r="6921">
          <cell r="B6921" t="str">
            <v>-</v>
          </cell>
          <cell r="E6921" t="str">
            <v/>
          </cell>
          <cell r="G6921" t="str">
            <v/>
          </cell>
          <cell r="J6921" t="str">
            <v/>
          </cell>
          <cell r="O6921" t="str">
            <v/>
          </cell>
          <cell r="P6921" t="str">
            <v/>
          </cell>
          <cell r="Q6921" t="str">
            <v/>
          </cell>
          <cell r="S6921" t="str">
            <v/>
          </cell>
          <cell r="V6921" t="str">
            <v/>
          </cell>
          <cell r="Z6921" t="str">
            <v/>
          </cell>
          <cell r="AA6921" t="str">
            <v/>
          </cell>
          <cell r="AB6921" t="str">
            <v/>
          </cell>
          <cell r="AC6921" t="str">
            <v/>
          </cell>
          <cell r="AD6921" t="str">
            <v/>
          </cell>
          <cell r="AY6921" t="str">
            <v/>
          </cell>
          <cell r="AZ6921" t="str">
            <v/>
          </cell>
          <cell r="BA6921" t="str">
            <v/>
          </cell>
        </row>
        <row r="6922">
          <cell r="B6922" t="str">
            <v>-</v>
          </cell>
          <cell r="E6922" t="str">
            <v/>
          </cell>
          <cell r="G6922" t="str">
            <v/>
          </cell>
          <cell r="J6922" t="str">
            <v/>
          </cell>
          <cell r="O6922" t="str">
            <v/>
          </cell>
          <cell r="P6922" t="str">
            <v/>
          </cell>
          <cell r="Q6922" t="str">
            <v/>
          </cell>
          <cell r="S6922" t="str">
            <v/>
          </cell>
          <cell r="V6922" t="str">
            <v/>
          </cell>
          <cell r="Z6922" t="str">
            <v/>
          </cell>
          <cell r="AA6922" t="str">
            <v/>
          </cell>
          <cell r="AB6922" t="str">
            <v/>
          </cell>
          <cell r="AC6922" t="str">
            <v/>
          </cell>
          <cell r="AD6922" t="str">
            <v/>
          </cell>
          <cell r="AY6922" t="str">
            <v/>
          </cell>
          <cell r="AZ6922" t="str">
            <v/>
          </cell>
          <cell r="BA6922" t="str">
            <v/>
          </cell>
        </row>
        <row r="6923">
          <cell r="B6923" t="str">
            <v>-</v>
          </cell>
          <cell r="E6923" t="str">
            <v/>
          </cell>
          <cell r="G6923" t="str">
            <v/>
          </cell>
          <cell r="J6923" t="str">
            <v/>
          </cell>
          <cell r="O6923" t="str">
            <v/>
          </cell>
          <cell r="P6923" t="str">
            <v/>
          </cell>
          <cell r="Q6923" t="str">
            <v/>
          </cell>
          <cell r="S6923" t="str">
            <v/>
          </cell>
          <cell r="V6923" t="str">
            <v/>
          </cell>
          <cell r="Z6923" t="str">
            <v/>
          </cell>
          <cell r="AA6923" t="str">
            <v/>
          </cell>
          <cell r="AB6923" t="str">
            <v/>
          </cell>
          <cell r="AC6923" t="str">
            <v/>
          </cell>
          <cell r="AD6923" t="str">
            <v/>
          </cell>
          <cell r="AY6923" t="str">
            <v/>
          </cell>
          <cell r="AZ6923" t="str">
            <v/>
          </cell>
          <cell r="BA6923" t="str">
            <v/>
          </cell>
        </row>
        <row r="6924">
          <cell r="B6924" t="str">
            <v>-</v>
          </cell>
          <cell r="E6924" t="str">
            <v/>
          </cell>
          <cell r="G6924" t="str">
            <v/>
          </cell>
          <cell r="J6924" t="str">
            <v/>
          </cell>
          <cell r="O6924" t="str">
            <v/>
          </cell>
          <cell r="P6924" t="str">
            <v/>
          </cell>
          <cell r="Q6924" t="str">
            <v/>
          </cell>
          <cell r="S6924" t="str">
            <v/>
          </cell>
          <cell r="V6924" t="str">
            <v/>
          </cell>
          <cell r="Z6924" t="str">
            <v/>
          </cell>
          <cell r="AA6924" t="str">
            <v/>
          </cell>
          <cell r="AB6924" t="str">
            <v/>
          </cell>
          <cell r="AC6924" t="str">
            <v/>
          </cell>
          <cell r="AD6924" t="str">
            <v/>
          </cell>
          <cell r="AY6924" t="str">
            <v/>
          </cell>
          <cell r="AZ6924" t="str">
            <v/>
          </cell>
          <cell r="BA6924" t="str">
            <v/>
          </cell>
        </row>
        <row r="6925">
          <cell r="B6925" t="str">
            <v>-</v>
          </cell>
          <cell r="E6925" t="str">
            <v/>
          </cell>
          <cell r="G6925" t="str">
            <v/>
          </cell>
          <cell r="J6925" t="str">
            <v/>
          </cell>
          <cell r="O6925" t="str">
            <v/>
          </cell>
          <cell r="P6925" t="str">
            <v/>
          </cell>
          <cell r="Q6925" t="str">
            <v/>
          </cell>
          <cell r="S6925" t="str">
            <v/>
          </cell>
          <cell r="V6925" t="str">
            <v/>
          </cell>
          <cell r="Z6925" t="str">
            <v/>
          </cell>
          <cell r="AA6925" t="str">
            <v/>
          </cell>
          <cell r="AB6925" t="str">
            <v/>
          </cell>
          <cell r="AC6925" t="str">
            <v/>
          </cell>
          <cell r="AD6925" t="str">
            <v/>
          </cell>
          <cell r="AY6925" t="str">
            <v/>
          </cell>
          <cell r="AZ6925" t="str">
            <v/>
          </cell>
          <cell r="BA6925" t="str">
            <v/>
          </cell>
        </row>
        <row r="6926">
          <cell r="B6926" t="str">
            <v>-</v>
          </cell>
          <cell r="E6926" t="str">
            <v/>
          </cell>
          <cell r="G6926" t="str">
            <v/>
          </cell>
          <cell r="J6926" t="str">
            <v/>
          </cell>
          <cell r="O6926" t="str">
            <v/>
          </cell>
          <cell r="P6926" t="str">
            <v/>
          </cell>
          <cell r="Q6926" t="str">
            <v/>
          </cell>
          <cell r="S6926" t="str">
            <v/>
          </cell>
          <cell r="V6926" t="str">
            <v/>
          </cell>
          <cell r="Z6926" t="str">
            <v/>
          </cell>
          <cell r="AA6926" t="str">
            <v/>
          </cell>
          <cell r="AB6926" t="str">
            <v/>
          </cell>
          <cell r="AC6926" t="str">
            <v/>
          </cell>
          <cell r="AD6926" t="str">
            <v/>
          </cell>
          <cell r="AY6926" t="str">
            <v/>
          </cell>
          <cell r="AZ6926" t="str">
            <v/>
          </cell>
          <cell r="BA6926" t="str">
            <v/>
          </cell>
        </row>
        <row r="6927">
          <cell r="B6927" t="str">
            <v>-</v>
          </cell>
          <cell r="E6927" t="str">
            <v/>
          </cell>
          <cell r="G6927" t="str">
            <v/>
          </cell>
          <cell r="J6927" t="str">
            <v/>
          </cell>
          <cell r="O6927" t="str">
            <v/>
          </cell>
          <cell r="P6927" t="str">
            <v/>
          </cell>
          <cell r="Q6927" t="str">
            <v/>
          </cell>
          <cell r="S6927" t="str">
            <v/>
          </cell>
          <cell r="V6927" t="str">
            <v/>
          </cell>
          <cell r="Z6927" t="str">
            <v/>
          </cell>
          <cell r="AA6927" t="str">
            <v/>
          </cell>
          <cell r="AB6927" t="str">
            <v/>
          </cell>
          <cell r="AC6927" t="str">
            <v/>
          </cell>
          <cell r="AD6927" t="str">
            <v/>
          </cell>
          <cell r="AY6927" t="str">
            <v/>
          </cell>
          <cell r="AZ6927" t="str">
            <v/>
          </cell>
          <cell r="BA6927" t="str">
            <v/>
          </cell>
        </row>
        <row r="6928">
          <cell r="B6928" t="str">
            <v>-</v>
          </cell>
          <cell r="E6928" t="str">
            <v/>
          </cell>
          <cell r="G6928" t="str">
            <v/>
          </cell>
          <cell r="J6928" t="str">
            <v/>
          </cell>
          <cell r="O6928" t="str">
            <v/>
          </cell>
          <cell r="P6928" t="str">
            <v/>
          </cell>
          <cell r="Q6928" t="str">
            <v/>
          </cell>
          <cell r="S6928" t="str">
            <v/>
          </cell>
          <cell r="V6928" t="str">
            <v/>
          </cell>
          <cell r="Z6928" t="str">
            <v/>
          </cell>
          <cell r="AA6928" t="str">
            <v/>
          </cell>
          <cell r="AB6928" t="str">
            <v/>
          </cell>
          <cell r="AC6928" t="str">
            <v/>
          </cell>
          <cell r="AD6928" t="str">
            <v/>
          </cell>
          <cell r="AY6928" t="str">
            <v/>
          </cell>
          <cell r="AZ6928" t="str">
            <v/>
          </cell>
          <cell r="BA6928" t="str">
            <v/>
          </cell>
        </row>
        <row r="6929">
          <cell r="B6929" t="str">
            <v>-</v>
          </cell>
          <cell r="E6929" t="str">
            <v/>
          </cell>
          <cell r="G6929" t="str">
            <v/>
          </cell>
          <cell r="J6929" t="str">
            <v/>
          </cell>
          <cell r="O6929" t="str">
            <v/>
          </cell>
          <cell r="P6929" t="str">
            <v/>
          </cell>
          <cell r="Q6929" t="str">
            <v/>
          </cell>
          <cell r="S6929" t="str">
            <v/>
          </cell>
          <cell r="V6929" t="str">
            <v/>
          </cell>
          <cell r="Z6929" t="str">
            <v/>
          </cell>
          <cell r="AA6929" t="str">
            <v/>
          </cell>
          <cell r="AB6929" t="str">
            <v/>
          </cell>
          <cell r="AC6929" t="str">
            <v/>
          </cell>
          <cell r="AD6929" t="str">
            <v/>
          </cell>
          <cell r="AY6929" t="str">
            <v/>
          </cell>
          <cell r="AZ6929" t="str">
            <v/>
          </cell>
          <cell r="BA6929" t="str">
            <v/>
          </cell>
        </row>
        <row r="6930">
          <cell r="B6930" t="str">
            <v>-</v>
          </cell>
          <cell r="E6930" t="str">
            <v/>
          </cell>
          <cell r="G6930" t="str">
            <v/>
          </cell>
          <cell r="J6930" t="str">
            <v/>
          </cell>
          <cell r="O6930" t="str">
            <v/>
          </cell>
          <cell r="P6930" t="str">
            <v/>
          </cell>
          <cell r="Q6930" t="str">
            <v/>
          </cell>
          <cell r="S6930" t="str">
            <v/>
          </cell>
          <cell r="V6930" t="str">
            <v/>
          </cell>
          <cell r="Z6930" t="str">
            <v/>
          </cell>
          <cell r="AA6930" t="str">
            <v/>
          </cell>
          <cell r="AB6930" t="str">
            <v/>
          </cell>
          <cell r="AC6930" t="str">
            <v/>
          </cell>
          <cell r="AD6930" t="str">
            <v/>
          </cell>
          <cell r="AY6930" t="str">
            <v/>
          </cell>
          <cell r="AZ6930" t="str">
            <v/>
          </cell>
          <cell r="BA6930" t="str">
            <v/>
          </cell>
        </row>
        <row r="6931">
          <cell r="B6931" t="str">
            <v>-</v>
          </cell>
          <cell r="E6931" t="str">
            <v/>
          </cell>
          <cell r="G6931" t="str">
            <v/>
          </cell>
          <cell r="J6931" t="str">
            <v/>
          </cell>
          <cell r="O6931" t="str">
            <v/>
          </cell>
          <cell r="P6931" t="str">
            <v/>
          </cell>
          <cell r="Q6931" t="str">
            <v/>
          </cell>
          <cell r="S6931" t="str">
            <v/>
          </cell>
          <cell r="V6931" t="str">
            <v/>
          </cell>
          <cell r="Z6931" t="str">
            <v/>
          </cell>
          <cell r="AA6931" t="str">
            <v/>
          </cell>
          <cell r="AB6931" t="str">
            <v/>
          </cell>
          <cell r="AC6931" t="str">
            <v/>
          </cell>
          <cell r="AD6931" t="str">
            <v/>
          </cell>
          <cell r="AY6931" t="str">
            <v/>
          </cell>
          <cell r="AZ6931" t="str">
            <v/>
          </cell>
          <cell r="BA6931" t="str">
            <v/>
          </cell>
        </row>
        <row r="6932">
          <cell r="B6932" t="str">
            <v>-</v>
          </cell>
          <cell r="E6932" t="str">
            <v/>
          </cell>
          <cell r="G6932" t="str">
            <v/>
          </cell>
          <cell r="J6932" t="str">
            <v/>
          </cell>
          <cell r="O6932" t="str">
            <v/>
          </cell>
          <cell r="P6932" t="str">
            <v/>
          </cell>
          <cell r="Q6932" t="str">
            <v/>
          </cell>
          <cell r="S6932" t="str">
            <v/>
          </cell>
          <cell r="V6932" t="str">
            <v/>
          </cell>
          <cell r="Z6932" t="str">
            <v/>
          </cell>
          <cell r="AA6932" t="str">
            <v/>
          </cell>
          <cell r="AB6932" t="str">
            <v/>
          </cell>
          <cell r="AC6932" t="str">
            <v/>
          </cell>
          <cell r="AD6932" t="str">
            <v/>
          </cell>
          <cell r="AY6932" t="str">
            <v/>
          </cell>
          <cell r="AZ6932" t="str">
            <v/>
          </cell>
          <cell r="BA6932" t="str">
            <v/>
          </cell>
        </row>
        <row r="6933">
          <cell r="B6933" t="str">
            <v>-</v>
          </cell>
          <cell r="E6933" t="str">
            <v/>
          </cell>
          <cell r="G6933" t="str">
            <v/>
          </cell>
          <cell r="J6933" t="str">
            <v/>
          </cell>
          <cell r="O6933" t="str">
            <v/>
          </cell>
          <cell r="P6933" t="str">
            <v/>
          </cell>
          <cell r="Q6933" t="str">
            <v/>
          </cell>
          <cell r="S6933" t="str">
            <v/>
          </cell>
          <cell r="V6933" t="str">
            <v/>
          </cell>
          <cell r="Z6933" t="str">
            <v/>
          </cell>
          <cell r="AA6933" t="str">
            <v/>
          </cell>
          <cell r="AB6933" t="str">
            <v/>
          </cell>
          <cell r="AC6933" t="str">
            <v/>
          </cell>
          <cell r="AD6933" t="str">
            <v/>
          </cell>
          <cell r="AY6933" t="str">
            <v/>
          </cell>
          <cell r="AZ6933" t="str">
            <v/>
          </cell>
          <cell r="BA6933" t="str">
            <v/>
          </cell>
        </row>
        <row r="6934">
          <cell r="B6934" t="str">
            <v>-</v>
          </cell>
          <cell r="E6934" t="str">
            <v/>
          </cell>
          <cell r="G6934" t="str">
            <v/>
          </cell>
          <cell r="J6934" t="str">
            <v/>
          </cell>
          <cell r="O6934" t="str">
            <v/>
          </cell>
          <cell r="P6934" t="str">
            <v/>
          </cell>
          <cell r="Q6934" t="str">
            <v/>
          </cell>
          <cell r="S6934" t="str">
            <v/>
          </cell>
          <cell r="V6934" t="str">
            <v/>
          </cell>
          <cell r="Z6934" t="str">
            <v/>
          </cell>
          <cell r="AA6934" t="str">
            <v/>
          </cell>
          <cell r="AB6934" t="str">
            <v/>
          </cell>
          <cell r="AC6934" t="str">
            <v/>
          </cell>
          <cell r="AD6934" t="str">
            <v/>
          </cell>
          <cell r="AY6934" t="str">
            <v/>
          </cell>
          <cell r="AZ6934" t="str">
            <v/>
          </cell>
          <cell r="BA6934" t="str">
            <v/>
          </cell>
        </row>
        <row r="6935">
          <cell r="B6935" t="str">
            <v>-</v>
          </cell>
          <cell r="E6935" t="str">
            <v/>
          </cell>
          <cell r="G6935" t="str">
            <v/>
          </cell>
          <cell r="J6935" t="str">
            <v/>
          </cell>
          <cell r="O6935" t="str">
            <v/>
          </cell>
          <cell r="P6935" t="str">
            <v/>
          </cell>
          <cell r="Q6935" t="str">
            <v/>
          </cell>
          <cell r="S6935" t="str">
            <v/>
          </cell>
          <cell r="V6935" t="str">
            <v/>
          </cell>
          <cell r="Z6935" t="str">
            <v/>
          </cell>
          <cell r="AA6935" t="str">
            <v/>
          </cell>
          <cell r="AB6935" t="str">
            <v/>
          </cell>
          <cell r="AC6935" t="str">
            <v/>
          </cell>
          <cell r="AD6935" t="str">
            <v/>
          </cell>
          <cell r="AY6935" t="str">
            <v/>
          </cell>
          <cell r="AZ6935" t="str">
            <v/>
          </cell>
          <cell r="BA6935" t="str">
            <v/>
          </cell>
        </row>
        <row r="6936">
          <cell r="B6936" t="str">
            <v>-</v>
          </cell>
          <cell r="E6936" t="str">
            <v/>
          </cell>
          <cell r="G6936" t="str">
            <v/>
          </cell>
          <cell r="J6936" t="str">
            <v/>
          </cell>
          <cell r="O6936" t="str">
            <v/>
          </cell>
          <cell r="P6936" t="str">
            <v/>
          </cell>
          <cell r="Q6936" t="str">
            <v/>
          </cell>
          <cell r="S6936" t="str">
            <v/>
          </cell>
          <cell r="V6936" t="str">
            <v/>
          </cell>
          <cell r="Z6936" t="str">
            <v/>
          </cell>
          <cell r="AA6936" t="str">
            <v/>
          </cell>
          <cell r="AB6936" t="str">
            <v/>
          </cell>
          <cell r="AC6936" t="str">
            <v/>
          </cell>
          <cell r="AD6936" t="str">
            <v/>
          </cell>
          <cell r="AY6936" t="str">
            <v/>
          </cell>
          <cell r="AZ6936" t="str">
            <v/>
          </cell>
          <cell r="BA6936" t="str">
            <v/>
          </cell>
        </row>
        <row r="6937">
          <cell r="B6937" t="str">
            <v>-</v>
          </cell>
          <cell r="E6937" t="str">
            <v/>
          </cell>
          <cell r="G6937" t="str">
            <v/>
          </cell>
          <cell r="J6937" t="str">
            <v/>
          </cell>
          <cell r="O6937" t="str">
            <v/>
          </cell>
          <cell r="P6937" t="str">
            <v/>
          </cell>
          <cell r="Q6937" t="str">
            <v/>
          </cell>
          <cell r="S6937" t="str">
            <v/>
          </cell>
          <cell r="V6937" t="str">
            <v/>
          </cell>
          <cell r="Z6937" t="str">
            <v/>
          </cell>
          <cell r="AA6937" t="str">
            <v/>
          </cell>
          <cell r="AB6937" t="str">
            <v/>
          </cell>
          <cell r="AC6937" t="str">
            <v/>
          </cell>
          <cell r="AD6937" t="str">
            <v/>
          </cell>
          <cell r="AY6937" t="str">
            <v/>
          </cell>
          <cell r="AZ6937" t="str">
            <v/>
          </cell>
          <cell r="BA6937" t="str">
            <v/>
          </cell>
        </row>
        <row r="6938">
          <cell r="B6938" t="str">
            <v>-</v>
          </cell>
          <cell r="E6938" t="str">
            <v/>
          </cell>
          <cell r="G6938" t="str">
            <v/>
          </cell>
          <cell r="J6938" t="str">
            <v/>
          </cell>
          <cell r="O6938" t="str">
            <v/>
          </cell>
          <cell r="P6938" t="str">
            <v/>
          </cell>
          <cell r="Q6938" t="str">
            <v/>
          </cell>
          <cell r="S6938" t="str">
            <v/>
          </cell>
          <cell r="V6938" t="str">
            <v/>
          </cell>
          <cell r="Z6938" t="str">
            <v/>
          </cell>
          <cell r="AA6938" t="str">
            <v/>
          </cell>
          <cell r="AB6938" t="str">
            <v/>
          </cell>
          <cell r="AC6938" t="str">
            <v/>
          </cell>
          <cell r="AD6938" t="str">
            <v/>
          </cell>
          <cell r="AY6938" t="str">
            <v/>
          </cell>
          <cell r="AZ6938" t="str">
            <v/>
          </cell>
          <cell r="BA6938" t="str">
            <v/>
          </cell>
        </row>
        <row r="6939">
          <cell r="B6939" t="str">
            <v>-</v>
          </cell>
          <cell r="E6939" t="str">
            <v/>
          </cell>
          <cell r="G6939" t="str">
            <v/>
          </cell>
          <cell r="J6939" t="str">
            <v/>
          </cell>
          <cell r="O6939" t="str">
            <v/>
          </cell>
          <cell r="P6939" t="str">
            <v/>
          </cell>
          <cell r="Q6939" t="str">
            <v/>
          </cell>
          <cell r="S6939" t="str">
            <v/>
          </cell>
          <cell r="V6939" t="str">
            <v/>
          </cell>
          <cell r="Z6939" t="str">
            <v/>
          </cell>
          <cell r="AA6939" t="str">
            <v/>
          </cell>
          <cell r="AB6939" t="str">
            <v/>
          </cell>
          <cell r="AC6939" t="str">
            <v/>
          </cell>
          <cell r="AD6939" t="str">
            <v/>
          </cell>
          <cell r="AY6939" t="str">
            <v/>
          </cell>
          <cell r="AZ6939" t="str">
            <v/>
          </cell>
          <cell r="BA6939" t="str">
            <v/>
          </cell>
        </row>
        <row r="6940">
          <cell r="B6940" t="str">
            <v>-</v>
          </cell>
          <cell r="E6940" t="str">
            <v/>
          </cell>
          <cell r="G6940" t="str">
            <v/>
          </cell>
          <cell r="J6940" t="str">
            <v/>
          </cell>
          <cell r="O6940" t="str">
            <v/>
          </cell>
          <cell r="P6940" t="str">
            <v/>
          </cell>
          <cell r="Q6940" t="str">
            <v/>
          </cell>
          <cell r="S6940" t="str">
            <v/>
          </cell>
          <cell r="V6940" t="str">
            <v/>
          </cell>
          <cell r="Z6940" t="str">
            <v/>
          </cell>
          <cell r="AA6940" t="str">
            <v/>
          </cell>
          <cell r="AB6940" t="str">
            <v/>
          </cell>
          <cell r="AC6940" t="str">
            <v/>
          </cell>
          <cell r="AD6940" t="str">
            <v/>
          </cell>
          <cell r="AY6940" t="str">
            <v/>
          </cell>
          <cell r="AZ6940" t="str">
            <v/>
          </cell>
          <cell r="BA6940" t="str">
            <v/>
          </cell>
        </row>
        <row r="6941">
          <cell r="B6941" t="str">
            <v>-</v>
          </cell>
          <cell r="E6941" t="str">
            <v/>
          </cell>
          <cell r="G6941" t="str">
            <v/>
          </cell>
          <cell r="J6941" t="str">
            <v/>
          </cell>
          <cell r="O6941" t="str">
            <v/>
          </cell>
          <cell r="P6941" t="str">
            <v/>
          </cell>
          <cell r="Q6941" t="str">
            <v/>
          </cell>
          <cell r="S6941" t="str">
            <v/>
          </cell>
          <cell r="V6941" t="str">
            <v/>
          </cell>
          <cell r="Z6941" t="str">
            <v/>
          </cell>
          <cell r="AA6941" t="str">
            <v/>
          </cell>
          <cell r="AB6941" t="str">
            <v/>
          </cell>
          <cell r="AC6941" t="str">
            <v/>
          </cell>
          <cell r="AD6941" t="str">
            <v/>
          </cell>
          <cell r="AY6941" t="str">
            <v/>
          </cell>
          <cell r="AZ6941" t="str">
            <v/>
          </cell>
          <cell r="BA6941" t="str">
            <v/>
          </cell>
        </row>
        <row r="6942">
          <cell r="B6942" t="str">
            <v>-</v>
          </cell>
          <cell r="E6942" t="str">
            <v/>
          </cell>
          <cell r="G6942" t="str">
            <v/>
          </cell>
          <cell r="J6942" t="str">
            <v/>
          </cell>
          <cell r="O6942" t="str">
            <v/>
          </cell>
          <cell r="P6942" t="str">
            <v/>
          </cell>
          <cell r="Q6942" t="str">
            <v/>
          </cell>
          <cell r="S6942" t="str">
            <v/>
          </cell>
          <cell r="V6942" t="str">
            <v/>
          </cell>
          <cell r="Z6942" t="str">
            <v/>
          </cell>
          <cell r="AA6942" t="str">
            <v/>
          </cell>
          <cell r="AB6942" t="str">
            <v/>
          </cell>
          <cell r="AC6942" t="str">
            <v/>
          </cell>
          <cell r="AD6942" t="str">
            <v/>
          </cell>
          <cell r="AY6942" t="str">
            <v/>
          </cell>
          <cell r="AZ6942" t="str">
            <v/>
          </cell>
          <cell r="BA6942" t="str">
            <v/>
          </cell>
        </row>
        <row r="6943">
          <cell r="B6943" t="str">
            <v>-</v>
          </cell>
          <cell r="E6943" t="str">
            <v/>
          </cell>
          <cell r="G6943" t="str">
            <v/>
          </cell>
          <cell r="J6943" t="str">
            <v/>
          </cell>
          <cell r="O6943" t="str">
            <v/>
          </cell>
          <cell r="P6943" t="str">
            <v/>
          </cell>
          <cell r="Q6943" t="str">
            <v/>
          </cell>
          <cell r="S6943" t="str">
            <v/>
          </cell>
          <cell r="V6943" t="str">
            <v/>
          </cell>
          <cell r="Z6943" t="str">
            <v/>
          </cell>
          <cell r="AA6943" t="str">
            <v/>
          </cell>
          <cell r="AB6943" t="str">
            <v/>
          </cell>
          <cell r="AC6943" t="str">
            <v/>
          </cell>
          <cell r="AD6943" t="str">
            <v/>
          </cell>
          <cell r="AY6943" t="str">
            <v/>
          </cell>
          <cell r="AZ6943" t="str">
            <v/>
          </cell>
          <cell r="BA6943" t="str">
            <v/>
          </cell>
        </row>
        <row r="6944">
          <cell r="B6944" t="str">
            <v>-</v>
          </cell>
          <cell r="E6944" t="str">
            <v/>
          </cell>
          <cell r="G6944" t="str">
            <v/>
          </cell>
          <cell r="J6944" t="str">
            <v/>
          </cell>
          <cell r="O6944" t="str">
            <v/>
          </cell>
          <cell r="P6944" t="str">
            <v/>
          </cell>
          <cell r="Q6944" t="str">
            <v/>
          </cell>
          <cell r="S6944" t="str">
            <v/>
          </cell>
          <cell r="V6944" t="str">
            <v/>
          </cell>
          <cell r="Z6944" t="str">
            <v/>
          </cell>
          <cell r="AA6944" t="str">
            <v/>
          </cell>
          <cell r="AB6944" t="str">
            <v/>
          </cell>
          <cell r="AC6944" t="str">
            <v/>
          </cell>
          <cell r="AD6944" t="str">
            <v/>
          </cell>
          <cell r="AY6944" t="str">
            <v/>
          </cell>
          <cell r="AZ6944" t="str">
            <v/>
          </cell>
          <cell r="BA6944" t="str">
            <v/>
          </cell>
        </row>
        <row r="6945">
          <cell r="B6945" t="str">
            <v>-</v>
          </cell>
          <cell r="E6945" t="str">
            <v/>
          </cell>
          <cell r="G6945" t="str">
            <v/>
          </cell>
          <cell r="J6945" t="str">
            <v/>
          </cell>
          <cell r="O6945" t="str">
            <v/>
          </cell>
          <cell r="P6945" t="str">
            <v/>
          </cell>
          <cell r="Q6945" t="str">
            <v/>
          </cell>
          <cell r="S6945" t="str">
            <v/>
          </cell>
          <cell r="V6945" t="str">
            <v/>
          </cell>
          <cell r="Z6945" t="str">
            <v/>
          </cell>
          <cell r="AA6945" t="str">
            <v/>
          </cell>
          <cell r="AB6945" t="str">
            <v/>
          </cell>
          <cell r="AC6945" t="str">
            <v/>
          </cell>
          <cell r="AD6945" t="str">
            <v/>
          </cell>
          <cell r="AY6945" t="str">
            <v/>
          </cell>
          <cell r="AZ6945" t="str">
            <v/>
          </cell>
          <cell r="BA6945" t="str">
            <v/>
          </cell>
        </row>
        <row r="6946">
          <cell r="B6946" t="str">
            <v>-</v>
          </cell>
          <cell r="E6946" t="str">
            <v/>
          </cell>
          <cell r="G6946" t="str">
            <v/>
          </cell>
          <cell r="J6946" t="str">
            <v/>
          </cell>
          <cell r="O6946" t="str">
            <v/>
          </cell>
          <cell r="P6946" t="str">
            <v/>
          </cell>
          <cell r="Q6946" t="str">
            <v/>
          </cell>
          <cell r="S6946" t="str">
            <v/>
          </cell>
          <cell r="V6946" t="str">
            <v/>
          </cell>
          <cell r="Z6946" t="str">
            <v/>
          </cell>
          <cell r="AA6946" t="str">
            <v/>
          </cell>
          <cell r="AB6946" t="str">
            <v/>
          </cell>
          <cell r="AC6946" t="str">
            <v/>
          </cell>
          <cell r="AD6946" t="str">
            <v/>
          </cell>
          <cell r="AY6946" t="str">
            <v/>
          </cell>
          <cell r="AZ6946" t="str">
            <v/>
          </cell>
          <cell r="BA6946" t="str">
            <v/>
          </cell>
        </row>
        <row r="6947">
          <cell r="B6947" t="str">
            <v>-</v>
          </cell>
          <cell r="E6947" t="str">
            <v/>
          </cell>
          <cell r="G6947" t="str">
            <v/>
          </cell>
          <cell r="J6947" t="str">
            <v/>
          </cell>
          <cell r="O6947" t="str">
            <v/>
          </cell>
          <cell r="P6947" t="str">
            <v/>
          </cell>
          <cell r="Q6947" t="str">
            <v/>
          </cell>
          <cell r="S6947" t="str">
            <v/>
          </cell>
          <cell r="V6947" t="str">
            <v/>
          </cell>
          <cell r="Z6947" t="str">
            <v/>
          </cell>
          <cell r="AA6947" t="str">
            <v/>
          </cell>
          <cell r="AB6947" t="str">
            <v/>
          </cell>
          <cell r="AC6947" t="str">
            <v/>
          </cell>
          <cell r="AD6947" t="str">
            <v/>
          </cell>
          <cell r="AY6947" t="str">
            <v/>
          </cell>
          <cell r="AZ6947" t="str">
            <v/>
          </cell>
          <cell r="BA6947" t="str">
            <v/>
          </cell>
        </row>
        <row r="6948">
          <cell r="B6948" t="str">
            <v>-</v>
          </cell>
          <cell r="E6948" t="str">
            <v/>
          </cell>
          <cell r="G6948" t="str">
            <v/>
          </cell>
          <cell r="J6948" t="str">
            <v/>
          </cell>
          <cell r="O6948" t="str">
            <v/>
          </cell>
          <cell r="P6948" t="str">
            <v/>
          </cell>
          <cell r="Q6948" t="str">
            <v/>
          </cell>
          <cell r="S6948" t="str">
            <v/>
          </cell>
          <cell r="V6948" t="str">
            <v/>
          </cell>
          <cell r="Z6948" t="str">
            <v/>
          </cell>
          <cell r="AA6948" t="str">
            <v/>
          </cell>
          <cell r="AB6948" t="str">
            <v/>
          </cell>
          <cell r="AC6948" t="str">
            <v/>
          </cell>
          <cell r="AD6948" t="str">
            <v/>
          </cell>
          <cell r="AY6948" t="str">
            <v/>
          </cell>
          <cell r="AZ6948" t="str">
            <v/>
          </cell>
          <cell r="BA6948" t="str">
            <v/>
          </cell>
        </row>
        <row r="6949">
          <cell r="B6949" t="str">
            <v>-</v>
          </cell>
          <cell r="E6949" t="str">
            <v/>
          </cell>
          <cell r="G6949" t="str">
            <v/>
          </cell>
          <cell r="J6949" t="str">
            <v/>
          </cell>
          <cell r="O6949" t="str">
            <v/>
          </cell>
          <cell r="P6949" t="str">
            <v/>
          </cell>
          <cell r="Q6949" t="str">
            <v/>
          </cell>
          <cell r="S6949" t="str">
            <v/>
          </cell>
          <cell r="V6949" t="str">
            <v/>
          </cell>
          <cell r="Z6949" t="str">
            <v/>
          </cell>
          <cell r="AA6949" t="str">
            <v/>
          </cell>
          <cell r="AB6949" t="str">
            <v/>
          </cell>
          <cell r="AC6949" t="str">
            <v/>
          </cell>
          <cell r="AD6949" t="str">
            <v/>
          </cell>
          <cell r="AY6949" t="str">
            <v/>
          </cell>
          <cell r="AZ6949" t="str">
            <v/>
          </cell>
          <cell r="BA6949" t="str">
            <v/>
          </cell>
        </row>
        <row r="6950">
          <cell r="B6950" t="str">
            <v>-</v>
          </cell>
          <cell r="E6950" t="str">
            <v/>
          </cell>
          <cell r="G6950" t="str">
            <v/>
          </cell>
          <cell r="J6950" t="str">
            <v/>
          </cell>
          <cell r="O6950" t="str">
            <v/>
          </cell>
          <cell r="P6950" t="str">
            <v/>
          </cell>
          <cell r="Q6950" t="str">
            <v/>
          </cell>
          <cell r="S6950" t="str">
            <v/>
          </cell>
          <cell r="V6950" t="str">
            <v/>
          </cell>
          <cell r="Z6950" t="str">
            <v/>
          </cell>
          <cell r="AA6950" t="str">
            <v/>
          </cell>
          <cell r="AB6950" t="str">
            <v/>
          </cell>
          <cell r="AC6950" t="str">
            <v/>
          </cell>
          <cell r="AD6950" t="str">
            <v/>
          </cell>
          <cell r="AY6950" t="str">
            <v/>
          </cell>
          <cell r="AZ6950" t="str">
            <v/>
          </cell>
          <cell r="BA6950" t="str">
            <v/>
          </cell>
        </row>
        <row r="6951">
          <cell r="B6951" t="str">
            <v>-</v>
          </cell>
          <cell r="E6951" t="str">
            <v/>
          </cell>
          <cell r="G6951" t="str">
            <v/>
          </cell>
          <cell r="J6951" t="str">
            <v/>
          </cell>
          <cell r="O6951" t="str">
            <v/>
          </cell>
          <cell r="P6951" t="str">
            <v/>
          </cell>
          <cell r="Q6951" t="str">
            <v/>
          </cell>
          <cell r="S6951" t="str">
            <v/>
          </cell>
          <cell r="V6951" t="str">
            <v/>
          </cell>
          <cell r="Z6951" t="str">
            <v/>
          </cell>
          <cell r="AA6951" t="str">
            <v/>
          </cell>
          <cell r="AB6951" t="str">
            <v/>
          </cell>
          <cell r="AC6951" t="str">
            <v/>
          </cell>
          <cell r="AD6951" t="str">
            <v/>
          </cell>
          <cell r="AY6951" t="str">
            <v/>
          </cell>
          <cell r="AZ6951" t="str">
            <v/>
          </cell>
          <cell r="BA6951" t="str">
            <v/>
          </cell>
        </row>
        <row r="6952">
          <cell r="B6952" t="str">
            <v>-</v>
          </cell>
          <cell r="E6952" t="str">
            <v/>
          </cell>
          <cell r="G6952" t="str">
            <v/>
          </cell>
          <cell r="J6952" t="str">
            <v/>
          </cell>
          <cell r="O6952" t="str">
            <v/>
          </cell>
          <cell r="P6952" t="str">
            <v/>
          </cell>
          <cell r="Q6952" t="str">
            <v/>
          </cell>
          <cell r="S6952" t="str">
            <v/>
          </cell>
          <cell r="V6952" t="str">
            <v/>
          </cell>
          <cell r="Z6952" t="str">
            <v/>
          </cell>
          <cell r="AA6952" t="str">
            <v/>
          </cell>
          <cell r="AB6952" t="str">
            <v/>
          </cell>
          <cell r="AC6952" t="str">
            <v/>
          </cell>
          <cell r="AD6952" t="str">
            <v/>
          </cell>
          <cell r="AY6952" t="str">
            <v/>
          </cell>
          <cell r="AZ6952" t="str">
            <v/>
          </cell>
          <cell r="BA6952" t="str">
            <v/>
          </cell>
        </row>
        <row r="6953">
          <cell r="B6953" t="str">
            <v>-</v>
          </cell>
          <cell r="E6953" t="str">
            <v/>
          </cell>
          <cell r="G6953" t="str">
            <v/>
          </cell>
          <cell r="J6953" t="str">
            <v/>
          </cell>
          <cell r="O6953" t="str">
            <v/>
          </cell>
          <cell r="P6953" t="str">
            <v/>
          </cell>
          <cell r="Q6953" t="str">
            <v/>
          </cell>
          <cell r="S6953" t="str">
            <v/>
          </cell>
          <cell r="V6953" t="str">
            <v/>
          </cell>
          <cell r="Z6953" t="str">
            <v/>
          </cell>
          <cell r="AA6953" t="str">
            <v/>
          </cell>
          <cell r="AB6953" t="str">
            <v/>
          </cell>
          <cell r="AC6953" t="str">
            <v/>
          </cell>
          <cell r="AD6953" t="str">
            <v/>
          </cell>
          <cell r="AY6953" t="str">
            <v/>
          </cell>
          <cell r="AZ6953" t="str">
            <v/>
          </cell>
          <cell r="BA6953" t="str">
            <v/>
          </cell>
        </row>
        <row r="6954">
          <cell r="B6954" t="str">
            <v>-</v>
          </cell>
          <cell r="E6954" t="str">
            <v/>
          </cell>
          <cell r="G6954" t="str">
            <v/>
          </cell>
          <cell r="J6954" t="str">
            <v/>
          </cell>
          <cell r="O6954" t="str">
            <v/>
          </cell>
          <cell r="P6954" t="str">
            <v/>
          </cell>
          <cell r="Q6954" t="str">
            <v/>
          </cell>
          <cell r="S6954" t="str">
            <v/>
          </cell>
          <cell r="V6954" t="str">
            <v/>
          </cell>
          <cell r="Z6954" t="str">
            <v/>
          </cell>
          <cell r="AA6954" t="str">
            <v/>
          </cell>
          <cell r="AB6954" t="str">
            <v/>
          </cell>
          <cell r="AC6954" t="str">
            <v/>
          </cell>
          <cell r="AD6954" t="str">
            <v/>
          </cell>
          <cell r="AY6954" t="str">
            <v/>
          </cell>
          <cell r="AZ6954" t="str">
            <v/>
          </cell>
          <cell r="BA6954" t="str">
            <v/>
          </cell>
        </row>
        <row r="6955">
          <cell r="B6955" t="str">
            <v>-</v>
          </cell>
          <cell r="E6955" t="str">
            <v/>
          </cell>
          <cell r="G6955" t="str">
            <v/>
          </cell>
          <cell r="J6955" t="str">
            <v/>
          </cell>
          <cell r="O6955" t="str">
            <v/>
          </cell>
          <cell r="P6955" t="str">
            <v/>
          </cell>
          <cell r="Q6955" t="str">
            <v/>
          </cell>
          <cell r="S6955" t="str">
            <v/>
          </cell>
          <cell r="V6955" t="str">
            <v/>
          </cell>
          <cell r="Z6955" t="str">
            <v/>
          </cell>
          <cell r="AA6955" t="str">
            <v/>
          </cell>
          <cell r="AB6955" t="str">
            <v/>
          </cell>
          <cell r="AC6955" t="str">
            <v/>
          </cell>
          <cell r="AD6955" t="str">
            <v/>
          </cell>
          <cell r="AY6955" t="str">
            <v/>
          </cell>
          <cell r="AZ6955" t="str">
            <v/>
          </cell>
          <cell r="BA6955" t="str">
            <v/>
          </cell>
        </row>
        <row r="6956">
          <cell r="B6956" t="str">
            <v>-</v>
          </cell>
          <cell r="E6956" t="str">
            <v/>
          </cell>
          <cell r="G6956" t="str">
            <v/>
          </cell>
          <cell r="J6956" t="str">
            <v/>
          </cell>
          <cell r="O6956" t="str">
            <v/>
          </cell>
          <cell r="P6956" t="str">
            <v/>
          </cell>
          <cell r="Q6956" t="str">
            <v/>
          </cell>
          <cell r="S6956" t="str">
            <v/>
          </cell>
          <cell r="V6956" t="str">
            <v/>
          </cell>
          <cell r="Z6956" t="str">
            <v/>
          </cell>
          <cell r="AA6956" t="str">
            <v/>
          </cell>
          <cell r="AB6956" t="str">
            <v/>
          </cell>
          <cell r="AC6956" t="str">
            <v/>
          </cell>
          <cell r="AD6956" t="str">
            <v/>
          </cell>
          <cell r="AY6956" t="str">
            <v/>
          </cell>
          <cell r="AZ6956" t="str">
            <v/>
          </cell>
          <cell r="BA6956" t="str">
            <v/>
          </cell>
        </row>
        <row r="6957">
          <cell r="B6957" t="str">
            <v>-</v>
          </cell>
          <cell r="E6957" t="str">
            <v/>
          </cell>
          <cell r="G6957" t="str">
            <v/>
          </cell>
          <cell r="J6957" t="str">
            <v/>
          </cell>
          <cell r="O6957" t="str">
            <v/>
          </cell>
          <cell r="P6957" t="str">
            <v/>
          </cell>
          <cell r="Q6957" t="str">
            <v/>
          </cell>
          <cell r="S6957" t="str">
            <v/>
          </cell>
          <cell r="V6957" t="str">
            <v/>
          </cell>
          <cell r="Z6957" t="str">
            <v/>
          </cell>
          <cell r="AA6957" t="str">
            <v/>
          </cell>
          <cell r="AB6957" t="str">
            <v/>
          </cell>
          <cell r="AC6957" t="str">
            <v/>
          </cell>
          <cell r="AD6957" t="str">
            <v/>
          </cell>
          <cell r="AY6957" t="str">
            <v/>
          </cell>
          <cell r="AZ6957" t="str">
            <v/>
          </cell>
          <cell r="BA6957" t="str">
            <v/>
          </cell>
        </row>
        <row r="6958">
          <cell r="B6958" t="str">
            <v>-</v>
          </cell>
          <cell r="E6958" t="str">
            <v/>
          </cell>
          <cell r="G6958" t="str">
            <v/>
          </cell>
          <cell r="J6958" t="str">
            <v/>
          </cell>
          <cell r="O6958" t="str">
            <v/>
          </cell>
          <cell r="P6958" t="str">
            <v/>
          </cell>
          <cell r="Q6958" t="str">
            <v/>
          </cell>
          <cell r="S6958" t="str">
            <v/>
          </cell>
          <cell r="V6958" t="str">
            <v/>
          </cell>
          <cell r="Z6958" t="str">
            <v/>
          </cell>
          <cell r="AA6958" t="str">
            <v/>
          </cell>
          <cell r="AB6958" t="str">
            <v/>
          </cell>
          <cell r="AC6958" t="str">
            <v/>
          </cell>
          <cell r="AD6958" t="str">
            <v/>
          </cell>
          <cell r="AY6958" t="str">
            <v/>
          </cell>
          <cell r="AZ6958" t="str">
            <v/>
          </cell>
          <cell r="BA6958" t="str">
            <v/>
          </cell>
        </row>
        <row r="6959">
          <cell r="B6959" t="str">
            <v>-</v>
          </cell>
          <cell r="E6959" t="str">
            <v/>
          </cell>
          <cell r="G6959" t="str">
            <v/>
          </cell>
          <cell r="J6959" t="str">
            <v/>
          </cell>
          <cell r="O6959" t="str">
            <v/>
          </cell>
          <cell r="P6959" t="str">
            <v/>
          </cell>
          <cell r="Q6959" t="str">
            <v/>
          </cell>
          <cell r="S6959" t="str">
            <v/>
          </cell>
          <cell r="V6959" t="str">
            <v/>
          </cell>
          <cell r="Z6959" t="str">
            <v/>
          </cell>
          <cell r="AA6959" t="str">
            <v/>
          </cell>
          <cell r="AB6959" t="str">
            <v/>
          </cell>
          <cell r="AC6959" t="str">
            <v/>
          </cell>
          <cell r="AD6959" t="str">
            <v/>
          </cell>
          <cell r="AY6959" t="str">
            <v/>
          </cell>
          <cell r="AZ6959" t="str">
            <v/>
          </cell>
          <cell r="BA6959" t="str">
            <v/>
          </cell>
        </row>
        <row r="6960">
          <cell r="B6960" t="str">
            <v>-</v>
          </cell>
          <cell r="E6960" t="str">
            <v/>
          </cell>
          <cell r="G6960" t="str">
            <v/>
          </cell>
          <cell r="J6960" t="str">
            <v/>
          </cell>
          <cell r="O6960" t="str">
            <v/>
          </cell>
          <cell r="P6960" t="str">
            <v/>
          </cell>
          <cell r="Q6960" t="str">
            <v/>
          </cell>
          <cell r="S6960" t="str">
            <v/>
          </cell>
          <cell r="V6960" t="str">
            <v/>
          </cell>
          <cell r="Z6960" t="str">
            <v/>
          </cell>
          <cell r="AA6960" t="str">
            <v/>
          </cell>
          <cell r="AB6960" t="str">
            <v/>
          </cell>
          <cell r="AC6960" t="str">
            <v/>
          </cell>
          <cell r="AD6960" t="str">
            <v/>
          </cell>
          <cell r="AY6960" t="str">
            <v/>
          </cell>
          <cell r="AZ6960" t="str">
            <v/>
          </cell>
          <cell r="BA6960" t="str">
            <v/>
          </cell>
        </row>
        <row r="6961">
          <cell r="B6961" t="str">
            <v>-</v>
          </cell>
          <cell r="E6961" t="str">
            <v/>
          </cell>
          <cell r="G6961" t="str">
            <v/>
          </cell>
          <cell r="J6961" t="str">
            <v/>
          </cell>
          <cell r="O6961" t="str">
            <v/>
          </cell>
          <cell r="P6961" t="str">
            <v/>
          </cell>
          <cell r="Q6961" t="str">
            <v/>
          </cell>
          <cell r="S6961" t="str">
            <v/>
          </cell>
          <cell r="V6961" t="str">
            <v/>
          </cell>
          <cell r="Z6961" t="str">
            <v/>
          </cell>
          <cell r="AA6961" t="str">
            <v/>
          </cell>
          <cell r="AB6961" t="str">
            <v/>
          </cell>
          <cell r="AC6961" t="str">
            <v/>
          </cell>
          <cell r="AD6961" t="str">
            <v/>
          </cell>
          <cell r="AY6961" t="str">
            <v/>
          </cell>
          <cell r="AZ6961" t="str">
            <v/>
          </cell>
          <cell r="BA6961" t="str">
            <v/>
          </cell>
        </row>
        <row r="6962">
          <cell r="B6962" t="str">
            <v>-</v>
          </cell>
          <cell r="E6962" t="str">
            <v/>
          </cell>
          <cell r="G6962" t="str">
            <v/>
          </cell>
          <cell r="J6962" t="str">
            <v/>
          </cell>
          <cell r="O6962" t="str">
            <v/>
          </cell>
          <cell r="P6962" t="str">
            <v/>
          </cell>
          <cell r="Q6962" t="str">
            <v/>
          </cell>
          <cell r="S6962" t="str">
            <v/>
          </cell>
          <cell r="V6962" t="str">
            <v/>
          </cell>
          <cell r="Z6962" t="str">
            <v/>
          </cell>
          <cell r="AA6962" t="str">
            <v/>
          </cell>
          <cell r="AB6962" t="str">
            <v/>
          </cell>
          <cell r="AC6962" t="str">
            <v/>
          </cell>
          <cell r="AD6962" t="str">
            <v/>
          </cell>
          <cell r="AY6962" t="str">
            <v/>
          </cell>
          <cell r="AZ6962" t="str">
            <v/>
          </cell>
          <cell r="BA6962" t="str">
            <v/>
          </cell>
        </row>
        <row r="6963">
          <cell r="B6963" t="str">
            <v>-</v>
          </cell>
          <cell r="E6963" t="str">
            <v/>
          </cell>
          <cell r="G6963" t="str">
            <v/>
          </cell>
          <cell r="J6963" t="str">
            <v/>
          </cell>
          <cell r="O6963" t="str">
            <v/>
          </cell>
          <cell r="P6963" t="str">
            <v/>
          </cell>
          <cell r="Q6963" t="str">
            <v/>
          </cell>
          <cell r="S6963" t="str">
            <v/>
          </cell>
          <cell r="V6963" t="str">
            <v/>
          </cell>
          <cell r="Z6963" t="str">
            <v/>
          </cell>
          <cell r="AA6963" t="str">
            <v/>
          </cell>
          <cell r="AB6963" t="str">
            <v/>
          </cell>
          <cell r="AC6963" t="str">
            <v/>
          </cell>
          <cell r="AD6963" t="str">
            <v/>
          </cell>
          <cell r="AY6963" t="str">
            <v/>
          </cell>
          <cell r="AZ6963" t="str">
            <v/>
          </cell>
          <cell r="BA6963" t="str">
            <v/>
          </cell>
        </row>
        <row r="6964">
          <cell r="B6964" t="str">
            <v>-</v>
          </cell>
          <cell r="E6964" t="str">
            <v/>
          </cell>
          <cell r="G6964" t="str">
            <v/>
          </cell>
          <cell r="J6964" t="str">
            <v/>
          </cell>
          <cell r="O6964" t="str">
            <v/>
          </cell>
          <cell r="P6964" t="str">
            <v/>
          </cell>
          <cell r="Q6964" t="str">
            <v/>
          </cell>
          <cell r="S6964" t="str">
            <v/>
          </cell>
          <cell r="V6964" t="str">
            <v/>
          </cell>
          <cell r="Z6964" t="str">
            <v/>
          </cell>
          <cell r="AA6964" t="str">
            <v/>
          </cell>
          <cell r="AB6964" t="str">
            <v/>
          </cell>
          <cell r="AC6964" t="str">
            <v/>
          </cell>
          <cell r="AD6964" t="str">
            <v/>
          </cell>
          <cell r="AY6964" t="str">
            <v/>
          </cell>
          <cell r="AZ6964" t="str">
            <v/>
          </cell>
          <cell r="BA6964" t="str">
            <v/>
          </cell>
        </row>
        <row r="6965">
          <cell r="B6965" t="str">
            <v>-</v>
          </cell>
          <cell r="E6965" t="str">
            <v/>
          </cell>
          <cell r="G6965" t="str">
            <v/>
          </cell>
          <cell r="J6965" t="str">
            <v/>
          </cell>
          <cell r="O6965" t="str">
            <v/>
          </cell>
          <cell r="P6965" t="str">
            <v/>
          </cell>
          <cell r="Q6965" t="str">
            <v/>
          </cell>
          <cell r="S6965" t="str">
            <v/>
          </cell>
          <cell r="V6965" t="str">
            <v/>
          </cell>
          <cell r="Z6965" t="str">
            <v/>
          </cell>
          <cell r="AA6965" t="str">
            <v/>
          </cell>
          <cell r="AB6965" t="str">
            <v/>
          </cell>
          <cell r="AC6965" t="str">
            <v/>
          </cell>
          <cell r="AD6965" t="str">
            <v/>
          </cell>
          <cell r="AY6965" t="str">
            <v/>
          </cell>
          <cell r="AZ6965" t="str">
            <v/>
          </cell>
          <cell r="BA6965" t="str">
            <v/>
          </cell>
        </row>
        <row r="6966">
          <cell r="B6966" t="str">
            <v>-</v>
          </cell>
          <cell r="E6966" t="str">
            <v/>
          </cell>
          <cell r="G6966" t="str">
            <v/>
          </cell>
          <cell r="J6966" t="str">
            <v/>
          </cell>
          <cell r="O6966" t="str">
            <v/>
          </cell>
          <cell r="P6966" t="str">
            <v/>
          </cell>
          <cell r="Q6966" t="str">
            <v/>
          </cell>
          <cell r="S6966" t="str">
            <v/>
          </cell>
          <cell r="V6966" t="str">
            <v/>
          </cell>
          <cell r="Z6966" t="str">
            <v/>
          </cell>
          <cell r="AA6966" t="str">
            <v/>
          </cell>
          <cell r="AB6966" t="str">
            <v/>
          </cell>
          <cell r="AC6966" t="str">
            <v/>
          </cell>
          <cell r="AD6966" t="str">
            <v/>
          </cell>
          <cell r="AY6966" t="str">
            <v/>
          </cell>
          <cell r="AZ6966" t="str">
            <v/>
          </cell>
          <cell r="BA6966" t="str">
            <v/>
          </cell>
        </row>
        <row r="6967">
          <cell r="B6967" t="str">
            <v>-</v>
          </cell>
          <cell r="E6967" t="str">
            <v/>
          </cell>
          <cell r="G6967" t="str">
            <v/>
          </cell>
          <cell r="J6967" t="str">
            <v/>
          </cell>
          <cell r="O6967" t="str">
            <v/>
          </cell>
          <cell r="P6967" t="str">
            <v/>
          </cell>
          <cell r="Q6967" t="str">
            <v/>
          </cell>
          <cell r="S6967" t="str">
            <v/>
          </cell>
          <cell r="V6967" t="str">
            <v/>
          </cell>
          <cell r="Z6967" t="str">
            <v/>
          </cell>
          <cell r="AA6967" t="str">
            <v/>
          </cell>
          <cell r="AB6967" t="str">
            <v/>
          </cell>
          <cell r="AC6967" t="str">
            <v/>
          </cell>
          <cell r="AD6967" t="str">
            <v/>
          </cell>
          <cell r="AY6967" t="str">
            <v/>
          </cell>
          <cell r="AZ6967" t="str">
            <v/>
          </cell>
          <cell r="BA6967" t="str">
            <v/>
          </cell>
        </row>
        <row r="6968">
          <cell r="B6968" t="str">
            <v>-</v>
          </cell>
          <cell r="E6968" t="str">
            <v/>
          </cell>
          <cell r="G6968" t="str">
            <v/>
          </cell>
          <cell r="J6968" t="str">
            <v/>
          </cell>
          <cell r="O6968" t="str">
            <v/>
          </cell>
          <cell r="P6968" t="str">
            <v/>
          </cell>
          <cell r="Q6968" t="str">
            <v/>
          </cell>
          <cell r="S6968" t="str">
            <v/>
          </cell>
          <cell r="V6968" t="str">
            <v/>
          </cell>
          <cell r="Z6968" t="str">
            <v/>
          </cell>
          <cell r="AA6968" t="str">
            <v/>
          </cell>
          <cell r="AB6968" t="str">
            <v/>
          </cell>
          <cell r="AC6968" t="str">
            <v/>
          </cell>
          <cell r="AD6968" t="str">
            <v/>
          </cell>
          <cell r="AY6968" t="str">
            <v/>
          </cell>
          <cell r="AZ6968" t="str">
            <v/>
          </cell>
          <cell r="BA6968" t="str">
            <v/>
          </cell>
        </row>
        <row r="6969">
          <cell r="B6969" t="str">
            <v>-</v>
          </cell>
          <cell r="E6969" t="str">
            <v/>
          </cell>
          <cell r="G6969" t="str">
            <v/>
          </cell>
          <cell r="J6969" t="str">
            <v/>
          </cell>
          <cell r="O6969" t="str">
            <v/>
          </cell>
          <cell r="P6969" t="str">
            <v/>
          </cell>
          <cell r="Q6969" t="str">
            <v/>
          </cell>
          <cell r="S6969" t="str">
            <v/>
          </cell>
          <cell r="V6969" t="str">
            <v/>
          </cell>
          <cell r="Z6969" t="str">
            <v/>
          </cell>
          <cell r="AA6969" t="str">
            <v/>
          </cell>
          <cell r="AB6969" t="str">
            <v/>
          </cell>
          <cell r="AC6969" t="str">
            <v/>
          </cell>
          <cell r="AD6969" t="str">
            <v/>
          </cell>
          <cell r="AY6969" t="str">
            <v/>
          </cell>
          <cell r="AZ6969" t="str">
            <v/>
          </cell>
          <cell r="BA6969" t="str">
            <v/>
          </cell>
        </row>
        <row r="6970">
          <cell r="B6970" t="str">
            <v>-</v>
          </cell>
          <cell r="E6970" t="str">
            <v/>
          </cell>
          <cell r="G6970" t="str">
            <v/>
          </cell>
          <cell r="J6970" t="str">
            <v/>
          </cell>
          <cell r="O6970" t="str">
            <v/>
          </cell>
          <cell r="P6970" t="str">
            <v/>
          </cell>
          <cell r="Q6970" t="str">
            <v/>
          </cell>
          <cell r="S6970" t="str">
            <v/>
          </cell>
          <cell r="V6970" t="str">
            <v/>
          </cell>
          <cell r="Z6970" t="str">
            <v/>
          </cell>
          <cell r="AA6970" t="str">
            <v/>
          </cell>
          <cell r="AB6970" t="str">
            <v/>
          </cell>
          <cell r="AC6970" t="str">
            <v/>
          </cell>
          <cell r="AD6970" t="str">
            <v/>
          </cell>
          <cell r="AY6970" t="str">
            <v/>
          </cell>
          <cell r="AZ6970" t="str">
            <v/>
          </cell>
          <cell r="BA6970" t="str">
            <v/>
          </cell>
        </row>
        <row r="6971">
          <cell r="B6971" t="str">
            <v>-</v>
          </cell>
          <cell r="E6971" t="str">
            <v/>
          </cell>
          <cell r="G6971" t="str">
            <v/>
          </cell>
          <cell r="J6971" t="str">
            <v/>
          </cell>
          <cell r="O6971" t="str">
            <v/>
          </cell>
          <cell r="P6971" t="str">
            <v/>
          </cell>
          <cell r="Q6971" t="str">
            <v/>
          </cell>
          <cell r="S6971" t="str">
            <v/>
          </cell>
          <cell r="V6971" t="str">
            <v/>
          </cell>
          <cell r="Z6971" t="str">
            <v/>
          </cell>
          <cell r="AA6971" t="str">
            <v/>
          </cell>
          <cell r="AB6971" t="str">
            <v/>
          </cell>
          <cell r="AC6971" t="str">
            <v/>
          </cell>
          <cell r="AD6971" t="str">
            <v/>
          </cell>
          <cell r="AY6971" t="str">
            <v/>
          </cell>
          <cell r="AZ6971" t="str">
            <v/>
          </cell>
          <cell r="BA6971" t="str">
            <v/>
          </cell>
        </row>
        <row r="6972">
          <cell r="B6972" t="str">
            <v>-</v>
          </cell>
          <cell r="E6972" t="str">
            <v/>
          </cell>
          <cell r="G6972" t="str">
            <v/>
          </cell>
          <cell r="J6972" t="str">
            <v/>
          </cell>
          <cell r="O6972" t="str">
            <v/>
          </cell>
          <cell r="P6972" t="str">
            <v/>
          </cell>
          <cell r="Q6972" t="str">
            <v/>
          </cell>
          <cell r="S6972" t="str">
            <v/>
          </cell>
          <cell r="V6972" t="str">
            <v/>
          </cell>
          <cell r="Z6972" t="str">
            <v/>
          </cell>
          <cell r="AA6972" t="str">
            <v/>
          </cell>
          <cell r="AB6972" t="str">
            <v/>
          </cell>
          <cell r="AC6972" t="str">
            <v/>
          </cell>
          <cell r="AD6972" t="str">
            <v/>
          </cell>
          <cell r="AY6972" t="str">
            <v/>
          </cell>
          <cell r="AZ6972" t="str">
            <v/>
          </cell>
          <cell r="BA6972" t="str">
            <v/>
          </cell>
        </row>
        <row r="6973">
          <cell r="B6973" t="str">
            <v>-</v>
          </cell>
          <cell r="E6973" t="str">
            <v/>
          </cell>
          <cell r="G6973" t="str">
            <v/>
          </cell>
          <cell r="J6973" t="str">
            <v/>
          </cell>
          <cell r="O6973" t="str">
            <v/>
          </cell>
          <cell r="P6973" t="str">
            <v/>
          </cell>
          <cell r="Q6973" t="str">
            <v/>
          </cell>
          <cell r="S6973" t="str">
            <v/>
          </cell>
          <cell r="V6973" t="str">
            <v/>
          </cell>
          <cell r="Z6973" t="str">
            <v/>
          </cell>
          <cell r="AA6973" t="str">
            <v/>
          </cell>
          <cell r="AB6973" t="str">
            <v/>
          </cell>
          <cell r="AC6973" t="str">
            <v/>
          </cell>
          <cell r="AD6973" t="str">
            <v/>
          </cell>
          <cell r="AY6973" t="str">
            <v/>
          </cell>
          <cell r="AZ6973" t="str">
            <v/>
          </cell>
          <cell r="BA6973" t="str">
            <v/>
          </cell>
        </row>
        <row r="6974">
          <cell r="B6974" t="str">
            <v>-</v>
          </cell>
          <cell r="E6974" t="str">
            <v/>
          </cell>
          <cell r="G6974" t="str">
            <v/>
          </cell>
          <cell r="J6974" t="str">
            <v/>
          </cell>
          <cell r="O6974" t="str">
            <v/>
          </cell>
          <cell r="P6974" t="str">
            <v/>
          </cell>
          <cell r="Q6974" t="str">
            <v/>
          </cell>
          <cell r="S6974" t="str">
            <v/>
          </cell>
          <cell r="V6974" t="str">
            <v/>
          </cell>
          <cell r="Z6974" t="str">
            <v/>
          </cell>
          <cell r="AA6974" t="str">
            <v/>
          </cell>
          <cell r="AB6974" t="str">
            <v/>
          </cell>
          <cell r="AC6974" t="str">
            <v/>
          </cell>
          <cell r="AD6974" t="str">
            <v/>
          </cell>
          <cell r="AY6974" t="str">
            <v/>
          </cell>
          <cell r="AZ6974" t="str">
            <v/>
          </cell>
          <cell r="BA6974" t="str">
            <v/>
          </cell>
        </row>
        <row r="6975">
          <cell r="B6975" t="str">
            <v>-</v>
          </cell>
          <cell r="E6975" t="str">
            <v/>
          </cell>
          <cell r="G6975" t="str">
            <v/>
          </cell>
          <cell r="J6975" t="str">
            <v/>
          </cell>
          <cell r="O6975" t="str">
            <v/>
          </cell>
          <cell r="P6975" t="str">
            <v/>
          </cell>
          <cell r="Q6975" t="str">
            <v/>
          </cell>
          <cell r="S6975" t="str">
            <v/>
          </cell>
          <cell r="V6975" t="str">
            <v/>
          </cell>
          <cell r="Z6975" t="str">
            <v/>
          </cell>
          <cell r="AA6975" t="str">
            <v/>
          </cell>
          <cell r="AB6975" t="str">
            <v/>
          </cell>
          <cell r="AC6975" t="str">
            <v/>
          </cell>
          <cell r="AD6975" t="str">
            <v/>
          </cell>
          <cell r="AY6975" t="str">
            <v/>
          </cell>
          <cell r="AZ6975" t="str">
            <v/>
          </cell>
          <cell r="BA6975" t="str">
            <v/>
          </cell>
        </row>
        <row r="6976">
          <cell r="B6976" t="str">
            <v>-</v>
          </cell>
          <cell r="E6976" t="str">
            <v/>
          </cell>
          <cell r="G6976" t="str">
            <v/>
          </cell>
          <cell r="J6976" t="str">
            <v/>
          </cell>
          <cell r="O6976" t="str">
            <v/>
          </cell>
          <cell r="P6976" t="str">
            <v/>
          </cell>
          <cell r="Q6976" t="str">
            <v/>
          </cell>
          <cell r="S6976" t="str">
            <v/>
          </cell>
          <cell r="V6976" t="str">
            <v/>
          </cell>
          <cell r="Z6976" t="str">
            <v/>
          </cell>
          <cell r="AA6976" t="str">
            <v/>
          </cell>
          <cell r="AB6976" t="str">
            <v/>
          </cell>
          <cell r="AC6976" t="str">
            <v/>
          </cell>
          <cell r="AD6976" t="str">
            <v/>
          </cell>
          <cell r="AY6976" t="str">
            <v/>
          </cell>
          <cell r="AZ6976" t="str">
            <v/>
          </cell>
          <cell r="BA6976" t="str">
            <v/>
          </cell>
        </row>
        <row r="6977">
          <cell r="B6977" t="str">
            <v>-</v>
          </cell>
          <cell r="E6977" t="str">
            <v/>
          </cell>
          <cell r="G6977" t="str">
            <v/>
          </cell>
          <cell r="J6977" t="str">
            <v/>
          </cell>
          <cell r="O6977" t="str">
            <v/>
          </cell>
          <cell r="P6977" t="str">
            <v/>
          </cell>
          <cell r="Q6977" t="str">
            <v/>
          </cell>
          <cell r="S6977" t="str">
            <v/>
          </cell>
          <cell r="V6977" t="str">
            <v/>
          </cell>
          <cell r="Z6977" t="str">
            <v/>
          </cell>
          <cell r="AA6977" t="str">
            <v/>
          </cell>
          <cell r="AB6977" t="str">
            <v/>
          </cell>
          <cell r="AC6977" t="str">
            <v/>
          </cell>
          <cell r="AD6977" t="str">
            <v/>
          </cell>
          <cell r="AY6977" t="str">
            <v/>
          </cell>
          <cell r="AZ6977" t="str">
            <v/>
          </cell>
          <cell r="BA6977" t="str">
            <v/>
          </cell>
        </row>
        <row r="6978">
          <cell r="B6978" t="str">
            <v>-</v>
          </cell>
          <cell r="E6978" t="str">
            <v/>
          </cell>
          <cell r="G6978" t="str">
            <v/>
          </cell>
          <cell r="J6978" t="str">
            <v/>
          </cell>
          <cell r="O6978" t="str">
            <v/>
          </cell>
          <cell r="P6978" t="str">
            <v/>
          </cell>
          <cell r="Q6978" t="str">
            <v/>
          </cell>
          <cell r="S6978" t="str">
            <v/>
          </cell>
          <cell r="V6978" t="str">
            <v/>
          </cell>
          <cell r="Z6978" t="str">
            <v/>
          </cell>
          <cell r="AA6978" t="str">
            <v/>
          </cell>
          <cell r="AB6978" t="str">
            <v/>
          </cell>
          <cell r="AC6978" t="str">
            <v/>
          </cell>
          <cell r="AD6978" t="str">
            <v/>
          </cell>
          <cell r="AY6978" t="str">
            <v/>
          </cell>
          <cell r="AZ6978" t="str">
            <v/>
          </cell>
          <cell r="BA6978" t="str">
            <v/>
          </cell>
        </row>
        <row r="6979">
          <cell r="B6979" t="str">
            <v>-</v>
          </cell>
          <cell r="E6979" t="str">
            <v/>
          </cell>
          <cell r="G6979" t="str">
            <v/>
          </cell>
          <cell r="J6979" t="str">
            <v/>
          </cell>
          <cell r="O6979" t="str">
            <v/>
          </cell>
          <cell r="P6979" t="str">
            <v/>
          </cell>
          <cell r="Q6979" t="str">
            <v/>
          </cell>
          <cell r="S6979" t="str">
            <v/>
          </cell>
          <cell r="V6979" t="str">
            <v/>
          </cell>
          <cell r="Z6979" t="str">
            <v/>
          </cell>
          <cell r="AA6979" t="str">
            <v/>
          </cell>
          <cell r="AB6979" t="str">
            <v/>
          </cell>
          <cell r="AC6979" t="str">
            <v/>
          </cell>
          <cell r="AD6979" t="str">
            <v/>
          </cell>
          <cell r="AY6979" t="str">
            <v/>
          </cell>
          <cell r="AZ6979" t="str">
            <v/>
          </cell>
          <cell r="BA6979" t="str">
            <v/>
          </cell>
        </row>
        <row r="6980">
          <cell r="B6980" t="str">
            <v>-</v>
          </cell>
          <cell r="E6980" t="str">
            <v/>
          </cell>
          <cell r="G6980" t="str">
            <v/>
          </cell>
          <cell r="J6980" t="str">
            <v/>
          </cell>
          <cell r="O6980" t="str">
            <v/>
          </cell>
          <cell r="P6980" t="str">
            <v/>
          </cell>
          <cell r="Q6980" t="str">
            <v/>
          </cell>
          <cell r="S6980" t="str">
            <v/>
          </cell>
          <cell r="V6980" t="str">
            <v/>
          </cell>
          <cell r="Z6980" t="str">
            <v/>
          </cell>
          <cell r="AA6980" t="str">
            <v/>
          </cell>
          <cell r="AB6980" t="str">
            <v/>
          </cell>
          <cell r="AC6980" t="str">
            <v/>
          </cell>
          <cell r="AD6980" t="str">
            <v/>
          </cell>
          <cell r="AY6980" t="str">
            <v/>
          </cell>
          <cell r="AZ6980" t="str">
            <v/>
          </cell>
          <cell r="BA6980" t="str">
            <v/>
          </cell>
        </row>
        <row r="6981">
          <cell r="B6981" t="str">
            <v>-</v>
          </cell>
          <cell r="E6981" t="str">
            <v/>
          </cell>
          <cell r="G6981" t="str">
            <v/>
          </cell>
          <cell r="J6981" t="str">
            <v/>
          </cell>
          <cell r="O6981" t="str">
            <v/>
          </cell>
          <cell r="P6981" t="str">
            <v/>
          </cell>
          <cell r="Q6981" t="str">
            <v/>
          </cell>
          <cell r="S6981" t="str">
            <v/>
          </cell>
          <cell r="V6981" t="str">
            <v/>
          </cell>
          <cell r="Z6981" t="str">
            <v/>
          </cell>
          <cell r="AA6981" t="str">
            <v/>
          </cell>
          <cell r="AB6981" t="str">
            <v/>
          </cell>
          <cell r="AC6981" t="str">
            <v/>
          </cell>
          <cell r="AD6981" t="str">
            <v/>
          </cell>
          <cell r="AY6981" t="str">
            <v/>
          </cell>
          <cell r="AZ6981" t="str">
            <v/>
          </cell>
          <cell r="BA6981" t="str">
            <v/>
          </cell>
        </row>
        <row r="6982">
          <cell r="B6982" t="str">
            <v>-</v>
          </cell>
          <cell r="E6982" t="str">
            <v/>
          </cell>
          <cell r="G6982" t="str">
            <v/>
          </cell>
          <cell r="J6982" t="str">
            <v/>
          </cell>
          <cell r="O6982" t="str">
            <v/>
          </cell>
          <cell r="P6982" t="str">
            <v/>
          </cell>
          <cell r="Q6982" t="str">
            <v/>
          </cell>
          <cell r="S6982" t="str">
            <v/>
          </cell>
          <cell r="V6982" t="str">
            <v/>
          </cell>
          <cell r="Z6982" t="str">
            <v/>
          </cell>
          <cell r="AA6982" t="str">
            <v/>
          </cell>
          <cell r="AB6982" t="str">
            <v/>
          </cell>
          <cell r="AC6982" t="str">
            <v/>
          </cell>
          <cell r="AD6982" t="str">
            <v/>
          </cell>
          <cell r="AY6982" t="str">
            <v/>
          </cell>
          <cell r="AZ6982" t="str">
            <v/>
          </cell>
          <cell r="BA6982" t="str">
            <v/>
          </cell>
        </row>
        <row r="6983">
          <cell r="B6983" t="str">
            <v>-</v>
          </cell>
          <cell r="E6983" t="str">
            <v/>
          </cell>
          <cell r="G6983" t="str">
            <v/>
          </cell>
          <cell r="J6983" t="str">
            <v/>
          </cell>
          <cell r="O6983" t="str">
            <v/>
          </cell>
          <cell r="P6983" t="str">
            <v/>
          </cell>
          <cell r="Q6983" t="str">
            <v/>
          </cell>
          <cell r="S6983" t="str">
            <v/>
          </cell>
          <cell r="V6983" t="str">
            <v/>
          </cell>
          <cell r="Z6983" t="str">
            <v/>
          </cell>
          <cell r="AA6983" t="str">
            <v/>
          </cell>
          <cell r="AB6983" t="str">
            <v/>
          </cell>
          <cell r="AC6983" t="str">
            <v/>
          </cell>
          <cell r="AD6983" t="str">
            <v/>
          </cell>
          <cell r="AY6983" t="str">
            <v/>
          </cell>
          <cell r="AZ6983" t="str">
            <v/>
          </cell>
          <cell r="BA6983" t="str">
            <v/>
          </cell>
        </row>
        <row r="6984">
          <cell r="B6984" t="str">
            <v>-</v>
          </cell>
          <cell r="E6984" t="str">
            <v/>
          </cell>
          <cell r="G6984" t="str">
            <v/>
          </cell>
          <cell r="J6984" t="str">
            <v/>
          </cell>
          <cell r="O6984" t="str">
            <v/>
          </cell>
          <cell r="P6984" t="str">
            <v/>
          </cell>
          <cell r="Q6984" t="str">
            <v/>
          </cell>
          <cell r="S6984" t="str">
            <v/>
          </cell>
          <cell r="V6984" t="str">
            <v/>
          </cell>
          <cell r="Z6984" t="str">
            <v/>
          </cell>
          <cell r="AA6984" t="str">
            <v/>
          </cell>
          <cell r="AB6984" t="str">
            <v/>
          </cell>
          <cell r="AC6984" t="str">
            <v/>
          </cell>
          <cell r="AD6984" t="str">
            <v/>
          </cell>
          <cell r="AY6984" t="str">
            <v/>
          </cell>
          <cell r="AZ6984" t="str">
            <v/>
          </cell>
          <cell r="BA6984" t="str">
            <v/>
          </cell>
        </row>
        <row r="6985">
          <cell r="B6985" t="str">
            <v>-</v>
          </cell>
          <cell r="E6985" t="str">
            <v/>
          </cell>
          <cell r="G6985" t="str">
            <v/>
          </cell>
          <cell r="J6985" t="str">
            <v/>
          </cell>
          <cell r="O6985" t="str">
            <v/>
          </cell>
          <cell r="P6985" t="str">
            <v/>
          </cell>
          <cell r="Q6985" t="str">
            <v/>
          </cell>
          <cell r="S6985" t="str">
            <v/>
          </cell>
          <cell r="V6985" t="str">
            <v/>
          </cell>
          <cell r="Z6985" t="str">
            <v/>
          </cell>
          <cell r="AA6985" t="str">
            <v/>
          </cell>
          <cell r="AB6985" t="str">
            <v/>
          </cell>
          <cell r="AC6985" t="str">
            <v/>
          </cell>
          <cell r="AD6985" t="str">
            <v/>
          </cell>
          <cell r="AY6985" t="str">
            <v/>
          </cell>
          <cell r="AZ6985" t="str">
            <v/>
          </cell>
          <cell r="BA6985" t="str">
            <v/>
          </cell>
        </row>
        <row r="6986">
          <cell r="B6986" t="str">
            <v>-</v>
          </cell>
          <cell r="E6986" t="str">
            <v/>
          </cell>
          <cell r="G6986" t="str">
            <v/>
          </cell>
          <cell r="J6986" t="str">
            <v/>
          </cell>
          <cell r="O6986" t="str">
            <v/>
          </cell>
          <cell r="P6986" t="str">
            <v/>
          </cell>
          <cell r="Q6986" t="str">
            <v/>
          </cell>
          <cell r="S6986" t="str">
            <v/>
          </cell>
          <cell r="V6986" t="str">
            <v/>
          </cell>
          <cell r="Z6986" t="str">
            <v/>
          </cell>
          <cell r="AA6986" t="str">
            <v/>
          </cell>
          <cell r="AB6986" t="str">
            <v/>
          </cell>
          <cell r="AC6986" t="str">
            <v/>
          </cell>
          <cell r="AD6986" t="str">
            <v/>
          </cell>
          <cell r="AY6986" t="str">
            <v/>
          </cell>
          <cell r="AZ6986" t="str">
            <v/>
          </cell>
          <cell r="BA6986" t="str">
            <v/>
          </cell>
        </row>
        <row r="6987">
          <cell r="B6987" t="str">
            <v>-</v>
          </cell>
          <cell r="E6987" t="str">
            <v/>
          </cell>
          <cell r="G6987" t="str">
            <v/>
          </cell>
          <cell r="J6987" t="str">
            <v/>
          </cell>
          <cell r="O6987" t="str">
            <v/>
          </cell>
          <cell r="P6987" t="str">
            <v/>
          </cell>
          <cell r="Q6987" t="str">
            <v/>
          </cell>
          <cell r="S6987" t="str">
            <v/>
          </cell>
          <cell r="V6987" t="str">
            <v/>
          </cell>
          <cell r="Z6987" t="str">
            <v/>
          </cell>
          <cell r="AA6987" t="str">
            <v/>
          </cell>
          <cell r="AB6987" t="str">
            <v/>
          </cell>
          <cell r="AC6987" t="str">
            <v/>
          </cell>
          <cell r="AD6987" t="str">
            <v/>
          </cell>
          <cell r="AY6987" t="str">
            <v/>
          </cell>
          <cell r="AZ6987" t="str">
            <v/>
          </cell>
          <cell r="BA6987" t="str">
            <v/>
          </cell>
        </row>
        <row r="6988">
          <cell r="B6988" t="str">
            <v>-</v>
          </cell>
          <cell r="E6988" t="str">
            <v/>
          </cell>
          <cell r="G6988" t="str">
            <v/>
          </cell>
          <cell r="J6988" t="str">
            <v/>
          </cell>
          <cell r="O6988" t="str">
            <v/>
          </cell>
          <cell r="P6988" t="str">
            <v/>
          </cell>
          <cell r="Q6988" t="str">
            <v/>
          </cell>
          <cell r="S6988" t="str">
            <v/>
          </cell>
          <cell r="V6988" t="str">
            <v/>
          </cell>
          <cell r="Z6988" t="str">
            <v/>
          </cell>
          <cell r="AA6988" t="str">
            <v/>
          </cell>
          <cell r="AB6988" t="str">
            <v/>
          </cell>
          <cell r="AC6988" t="str">
            <v/>
          </cell>
          <cell r="AD6988" t="str">
            <v/>
          </cell>
          <cell r="AY6988" t="str">
            <v/>
          </cell>
          <cell r="AZ6988" t="str">
            <v/>
          </cell>
          <cell r="BA6988" t="str">
            <v/>
          </cell>
        </row>
        <row r="6989">
          <cell r="B6989" t="str">
            <v>-</v>
          </cell>
          <cell r="E6989" t="str">
            <v/>
          </cell>
          <cell r="G6989" t="str">
            <v/>
          </cell>
          <cell r="J6989" t="str">
            <v/>
          </cell>
          <cell r="O6989" t="str">
            <v/>
          </cell>
          <cell r="P6989" t="str">
            <v/>
          </cell>
          <cell r="Q6989" t="str">
            <v/>
          </cell>
          <cell r="S6989" t="str">
            <v/>
          </cell>
          <cell r="V6989" t="str">
            <v/>
          </cell>
          <cell r="Z6989" t="str">
            <v/>
          </cell>
          <cell r="AA6989" t="str">
            <v/>
          </cell>
          <cell r="AB6989" t="str">
            <v/>
          </cell>
          <cell r="AC6989" t="str">
            <v/>
          </cell>
          <cell r="AD6989" t="str">
            <v/>
          </cell>
          <cell r="AY6989" t="str">
            <v/>
          </cell>
          <cell r="AZ6989" t="str">
            <v/>
          </cell>
          <cell r="BA6989" t="str">
            <v/>
          </cell>
        </row>
        <row r="6990">
          <cell r="B6990" t="str">
            <v>-</v>
          </cell>
          <cell r="E6990" t="str">
            <v/>
          </cell>
          <cell r="G6990" t="str">
            <v/>
          </cell>
          <cell r="J6990" t="str">
            <v/>
          </cell>
          <cell r="O6990" t="str">
            <v/>
          </cell>
          <cell r="P6990" t="str">
            <v/>
          </cell>
          <cell r="Q6990" t="str">
            <v/>
          </cell>
          <cell r="S6990" t="str">
            <v/>
          </cell>
          <cell r="V6990" t="str">
            <v/>
          </cell>
          <cell r="Z6990" t="str">
            <v/>
          </cell>
          <cell r="AA6990" t="str">
            <v/>
          </cell>
          <cell r="AB6990" t="str">
            <v/>
          </cell>
          <cell r="AC6990" t="str">
            <v/>
          </cell>
          <cell r="AD6990" t="str">
            <v/>
          </cell>
          <cell r="AY6990" t="str">
            <v/>
          </cell>
          <cell r="AZ6990" t="str">
            <v/>
          </cell>
          <cell r="BA6990" t="str">
            <v/>
          </cell>
        </row>
        <row r="6991">
          <cell r="B6991" t="str">
            <v>-</v>
          </cell>
          <cell r="E6991" t="str">
            <v/>
          </cell>
          <cell r="G6991" t="str">
            <v/>
          </cell>
          <cell r="J6991" t="str">
            <v/>
          </cell>
          <cell r="O6991" t="str">
            <v/>
          </cell>
          <cell r="P6991" t="str">
            <v/>
          </cell>
          <cell r="Q6991" t="str">
            <v/>
          </cell>
          <cell r="S6991" t="str">
            <v/>
          </cell>
          <cell r="V6991" t="str">
            <v/>
          </cell>
          <cell r="Z6991" t="str">
            <v/>
          </cell>
          <cell r="AA6991" t="str">
            <v/>
          </cell>
          <cell r="AB6991" t="str">
            <v/>
          </cell>
          <cell r="AC6991" t="str">
            <v/>
          </cell>
          <cell r="AD6991" t="str">
            <v/>
          </cell>
          <cell r="AY6991" t="str">
            <v/>
          </cell>
          <cell r="AZ6991" t="str">
            <v/>
          </cell>
          <cell r="BA6991" t="str">
            <v/>
          </cell>
        </row>
        <row r="6992">
          <cell r="B6992" t="str">
            <v>-</v>
          </cell>
          <cell r="E6992" t="str">
            <v/>
          </cell>
          <cell r="G6992" t="str">
            <v/>
          </cell>
          <cell r="J6992" t="str">
            <v/>
          </cell>
          <cell r="O6992" t="str">
            <v/>
          </cell>
          <cell r="P6992" t="str">
            <v/>
          </cell>
          <cell r="Q6992" t="str">
            <v/>
          </cell>
          <cell r="S6992" t="str">
            <v/>
          </cell>
          <cell r="V6992" t="str">
            <v/>
          </cell>
          <cell r="Z6992" t="str">
            <v/>
          </cell>
          <cell r="AA6992" t="str">
            <v/>
          </cell>
          <cell r="AB6992" t="str">
            <v/>
          </cell>
          <cell r="AC6992" t="str">
            <v/>
          </cell>
          <cell r="AD6992" t="str">
            <v/>
          </cell>
          <cell r="AY6992" t="str">
            <v/>
          </cell>
          <cell r="AZ6992" t="str">
            <v/>
          </cell>
          <cell r="BA6992" t="str">
            <v/>
          </cell>
        </row>
        <row r="6993">
          <cell r="B6993" t="str">
            <v>-</v>
          </cell>
          <cell r="E6993" t="str">
            <v/>
          </cell>
          <cell r="G6993" t="str">
            <v/>
          </cell>
          <cell r="J6993" t="str">
            <v/>
          </cell>
          <cell r="O6993" t="str">
            <v/>
          </cell>
          <cell r="P6993" t="str">
            <v/>
          </cell>
          <cell r="Q6993" t="str">
            <v/>
          </cell>
          <cell r="S6993" t="str">
            <v/>
          </cell>
          <cell r="V6993" t="str">
            <v/>
          </cell>
          <cell r="Z6993" t="str">
            <v/>
          </cell>
          <cell r="AA6993" t="str">
            <v/>
          </cell>
          <cell r="AB6993" t="str">
            <v/>
          </cell>
          <cell r="AC6993" t="str">
            <v/>
          </cell>
          <cell r="AD6993" t="str">
            <v/>
          </cell>
          <cell r="AY6993" t="str">
            <v/>
          </cell>
          <cell r="AZ6993" t="str">
            <v/>
          </cell>
          <cell r="BA6993" t="str">
            <v/>
          </cell>
        </row>
        <row r="6994">
          <cell r="B6994" t="str">
            <v>-</v>
          </cell>
          <cell r="E6994" t="str">
            <v/>
          </cell>
          <cell r="G6994" t="str">
            <v/>
          </cell>
          <cell r="J6994" t="str">
            <v/>
          </cell>
          <cell r="O6994" t="str">
            <v/>
          </cell>
          <cell r="P6994" t="str">
            <v/>
          </cell>
          <cell r="Q6994" t="str">
            <v/>
          </cell>
          <cell r="S6994" t="str">
            <v/>
          </cell>
          <cell r="V6994" t="str">
            <v/>
          </cell>
          <cell r="Z6994" t="str">
            <v/>
          </cell>
          <cell r="AA6994" t="str">
            <v/>
          </cell>
          <cell r="AB6994" t="str">
            <v/>
          </cell>
          <cell r="AC6994" t="str">
            <v/>
          </cell>
          <cell r="AD6994" t="str">
            <v/>
          </cell>
          <cell r="AY6994" t="str">
            <v/>
          </cell>
          <cell r="AZ6994" t="str">
            <v/>
          </cell>
          <cell r="BA6994" t="str">
            <v/>
          </cell>
        </row>
        <row r="6995">
          <cell r="B6995" t="str">
            <v>-</v>
          </cell>
          <cell r="E6995" t="str">
            <v/>
          </cell>
          <cell r="G6995" t="str">
            <v/>
          </cell>
          <cell r="J6995" t="str">
            <v/>
          </cell>
          <cell r="O6995" t="str">
            <v/>
          </cell>
          <cell r="P6995" t="str">
            <v/>
          </cell>
          <cell r="Q6995" t="str">
            <v/>
          </cell>
          <cell r="S6995" t="str">
            <v/>
          </cell>
          <cell r="V6995" t="str">
            <v/>
          </cell>
          <cell r="Z6995" t="str">
            <v/>
          </cell>
          <cell r="AA6995" t="str">
            <v/>
          </cell>
          <cell r="AB6995" t="str">
            <v/>
          </cell>
          <cell r="AC6995" t="str">
            <v/>
          </cell>
          <cell r="AD6995" t="str">
            <v/>
          </cell>
          <cell r="AY6995" t="str">
            <v/>
          </cell>
          <cell r="AZ6995" t="str">
            <v/>
          </cell>
          <cell r="BA6995" t="str">
            <v/>
          </cell>
        </row>
        <row r="6996">
          <cell r="B6996" t="str">
            <v>-</v>
          </cell>
          <cell r="E6996" t="str">
            <v/>
          </cell>
          <cell r="G6996" t="str">
            <v/>
          </cell>
          <cell r="J6996" t="str">
            <v/>
          </cell>
          <cell r="O6996" t="str">
            <v/>
          </cell>
          <cell r="P6996" t="str">
            <v/>
          </cell>
          <cell r="Q6996" t="str">
            <v/>
          </cell>
          <cell r="S6996" t="str">
            <v/>
          </cell>
          <cell r="V6996" t="str">
            <v/>
          </cell>
          <cell r="Z6996" t="str">
            <v/>
          </cell>
          <cell r="AA6996" t="str">
            <v/>
          </cell>
          <cell r="AB6996" t="str">
            <v/>
          </cell>
          <cell r="AC6996" t="str">
            <v/>
          </cell>
          <cell r="AD6996" t="str">
            <v/>
          </cell>
          <cell r="AY6996" t="str">
            <v/>
          </cell>
          <cell r="AZ6996" t="str">
            <v/>
          </cell>
          <cell r="BA6996" t="str">
            <v/>
          </cell>
        </row>
        <row r="6997">
          <cell r="B6997" t="str">
            <v>-</v>
          </cell>
          <cell r="E6997" t="str">
            <v/>
          </cell>
          <cell r="G6997" t="str">
            <v/>
          </cell>
          <cell r="J6997" t="str">
            <v/>
          </cell>
          <cell r="O6997" t="str">
            <v/>
          </cell>
          <cell r="P6997" t="str">
            <v/>
          </cell>
          <cell r="Q6997" t="str">
            <v/>
          </cell>
          <cell r="S6997" t="str">
            <v/>
          </cell>
          <cell r="V6997" t="str">
            <v/>
          </cell>
          <cell r="Z6997" t="str">
            <v/>
          </cell>
          <cell r="AA6997" t="str">
            <v/>
          </cell>
          <cell r="AB6997" t="str">
            <v/>
          </cell>
          <cell r="AC6997" t="str">
            <v/>
          </cell>
          <cell r="AD6997" t="str">
            <v/>
          </cell>
          <cell r="AY6997" t="str">
            <v/>
          </cell>
          <cell r="AZ6997" t="str">
            <v/>
          </cell>
          <cell r="BA6997" t="str">
            <v/>
          </cell>
        </row>
        <row r="6998">
          <cell r="B6998" t="str">
            <v>-</v>
          </cell>
          <cell r="E6998" t="str">
            <v/>
          </cell>
          <cell r="G6998" t="str">
            <v/>
          </cell>
          <cell r="J6998" t="str">
            <v/>
          </cell>
          <cell r="O6998" t="str">
            <v/>
          </cell>
          <cell r="P6998" t="str">
            <v/>
          </cell>
          <cell r="Q6998" t="str">
            <v/>
          </cell>
          <cell r="S6998" t="str">
            <v/>
          </cell>
          <cell r="V6998" t="str">
            <v/>
          </cell>
          <cell r="Z6998" t="str">
            <v/>
          </cell>
          <cell r="AA6998" t="str">
            <v/>
          </cell>
          <cell r="AB6998" t="str">
            <v/>
          </cell>
          <cell r="AC6998" t="str">
            <v/>
          </cell>
          <cell r="AD6998" t="str">
            <v/>
          </cell>
          <cell r="AY6998" t="str">
            <v/>
          </cell>
          <cell r="AZ6998" t="str">
            <v/>
          </cell>
          <cell r="BA6998" t="str">
            <v/>
          </cell>
        </row>
        <row r="6999">
          <cell r="B6999" t="str">
            <v>-</v>
          </cell>
          <cell r="E6999" t="str">
            <v/>
          </cell>
          <cell r="G6999" t="str">
            <v/>
          </cell>
          <cell r="J6999" t="str">
            <v/>
          </cell>
          <cell r="O6999" t="str">
            <v/>
          </cell>
          <cell r="P6999" t="str">
            <v/>
          </cell>
          <cell r="Q6999" t="str">
            <v/>
          </cell>
          <cell r="S6999" t="str">
            <v/>
          </cell>
          <cell r="V6999" t="str">
            <v/>
          </cell>
          <cell r="Z6999" t="str">
            <v/>
          </cell>
          <cell r="AA6999" t="str">
            <v/>
          </cell>
          <cell r="AB6999" t="str">
            <v/>
          </cell>
          <cell r="AC6999" t="str">
            <v/>
          </cell>
          <cell r="AD6999" t="str">
            <v/>
          </cell>
          <cell r="AY6999" t="str">
            <v/>
          </cell>
          <cell r="AZ6999" t="str">
            <v/>
          </cell>
          <cell r="BA6999" t="str">
            <v/>
          </cell>
        </row>
        <row r="7000">
          <cell r="B7000" t="str">
            <v>-</v>
          </cell>
          <cell r="E7000" t="str">
            <v/>
          </cell>
          <cell r="G7000" t="str">
            <v/>
          </cell>
          <cell r="J7000" t="str">
            <v/>
          </cell>
          <cell r="O7000" t="str">
            <v/>
          </cell>
          <cell r="P7000" t="str">
            <v/>
          </cell>
          <cell r="Q7000" t="str">
            <v/>
          </cell>
          <cell r="S7000" t="str">
            <v/>
          </cell>
          <cell r="V7000" t="str">
            <v/>
          </cell>
          <cell r="Z7000" t="str">
            <v/>
          </cell>
          <cell r="AA7000" t="str">
            <v/>
          </cell>
          <cell r="AB7000" t="str">
            <v/>
          </cell>
          <cell r="AC7000" t="str">
            <v/>
          </cell>
          <cell r="AD7000" t="str">
            <v/>
          </cell>
          <cell r="AY7000" t="str">
            <v/>
          </cell>
          <cell r="AZ7000" t="str">
            <v/>
          </cell>
          <cell r="BA7000" t="str">
            <v/>
          </cell>
        </row>
        <row r="7001">
          <cell r="B7001" t="str">
            <v>-</v>
          </cell>
          <cell r="E7001" t="str">
            <v/>
          </cell>
          <cell r="G7001" t="str">
            <v/>
          </cell>
          <cell r="J7001" t="str">
            <v/>
          </cell>
          <cell r="O7001" t="str">
            <v/>
          </cell>
          <cell r="P7001" t="str">
            <v/>
          </cell>
          <cell r="Q7001" t="str">
            <v/>
          </cell>
          <cell r="S7001" t="str">
            <v/>
          </cell>
          <cell r="V7001" t="str">
            <v/>
          </cell>
          <cell r="Z7001" t="str">
            <v/>
          </cell>
          <cell r="AA7001" t="str">
            <v/>
          </cell>
          <cell r="AB7001" t="str">
            <v/>
          </cell>
          <cell r="AC7001" t="str">
            <v/>
          </cell>
          <cell r="AD7001" t="str">
            <v/>
          </cell>
          <cell r="AY7001" t="str">
            <v/>
          </cell>
          <cell r="AZ7001" t="str">
            <v/>
          </cell>
          <cell r="BA7001" t="str">
            <v/>
          </cell>
        </row>
        <row r="7002">
          <cell r="B7002" t="str">
            <v>-</v>
          </cell>
          <cell r="E7002" t="str">
            <v/>
          </cell>
          <cell r="G7002" t="str">
            <v/>
          </cell>
          <cell r="J7002" t="str">
            <v/>
          </cell>
          <cell r="O7002" t="str">
            <v/>
          </cell>
          <cell r="P7002" t="str">
            <v/>
          </cell>
          <cell r="Q7002" t="str">
            <v/>
          </cell>
          <cell r="S7002" t="str">
            <v/>
          </cell>
          <cell r="V7002" t="str">
            <v/>
          </cell>
          <cell r="Z7002" t="str">
            <v/>
          </cell>
          <cell r="AA7002" t="str">
            <v/>
          </cell>
          <cell r="AB7002" t="str">
            <v/>
          </cell>
          <cell r="AC7002" t="str">
            <v/>
          </cell>
          <cell r="AD7002" t="str">
            <v/>
          </cell>
          <cell r="AY7002" t="str">
            <v/>
          </cell>
          <cell r="AZ7002" t="str">
            <v/>
          </cell>
          <cell r="BA7002" t="str">
            <v/>
          </cell>
        </row>
        <row r="7003">
          <cell r="B7003" t="str">
            <v>-</v>
          </cell>
          <cell r="E7003" t="str">
            <v/>
          </cell>
          <cell r="G7003" t="str">
            <v/>
          </cell>
          <cell r="J7003" t="str">
            <v/>
          </cell>
          <cell r="O7003" t="str">
            <v/>
          </cell>
          <cell r="P7003" t="str">
            <v/>
          </cell>
          <cell r="Q7003" t="str">
            <v/>
          </cell>
          <cell r="S7003" t="str">
            <v/>
          </cell>
          <cell r="V7003" t="str">
            <v/>
          </cell>
          <cell r="Z7003" t="str">
            <v/>
          </cell>
          <cell r="AA7003" t="str">
            <v/>
          </cell>
          <cell r="AB7003" t="str">
            <v/>
          </cell>
          <cell r="AC7003" t="str">
            <v/>
          </cell>
          <cell r="AD7003" t="str">
            <v/>
          </cell>
          <cell r="AY7003" t="str">
            <v/>
          </cell>
          <cell r="AZ7003" t="str">
            <v/>
          </cell>
          <cell r="BA7003" t="str">
            <v/>
          </cell>
        </row>
        <row r="7004">
          <cell r="B7004" t="str">
            <v>-</v>
          </cell>
          <cell r="E7004" t="str">
            <v/>
          </cell>
          <cell r="G7004" t="str">
            <v/>
          </cell>
          <cell r="J7004" t="str">
            <v/>
          </cell>
          <cell r="O7004" t="str">
            <v/>
          </cell>
          <cell r="P7004" t="str">
            <v/>
          </cell>
          <cell r="Q7004" t="str">
            <v/>
          </cell>
          <cell r="S7004" t="str">
            <v/>
          </cell>
          <cell r="V7004" t="str">
            <v/>
          </cell>
          <cell r="Z7004" t="str">
            <v/>
          </cell>
          <cell r="AA7004" t="str">
            <v/>
          </cell>
          <cell r="AB7004" t="str">
            <v/>
          </cell>
          <cell r="AC7004" t="str">
            <v/>
          </cell>
          <cell r="AD7004" t="str">
            <v/>
          </cell>
          <cell r="AY7004" t="str">
            <v/>
          </cell>
          <cell r="AZ7004" t="str">
            <v/>
          </cell>
          <cell r="BA7004" t="str">
            <v/>
          </cell>
        </row>
        <row r="7005">
          <cell r="B7005" t="str">
            <v>-</v>
          </cell>
          <cell r="E7005" t="str">
            <v/>
          </cell>
          <cell r="G7005" t="str">
            <v/>
          </cell>
          <cell r="J7005" t="str">
            <v/>
          </cell>
          <cell r="O7005" t="str">
            <v/>
          </cell>
          <cell r="P7005" t="str">
            <v/>
          </cell>
          <cell r="Q7005" t="str">
            <v/>
          </cell>
          <cell r="S7005" t="str">
            <v/>
          </cell>
          <cell r="V7005" t="str">
            <v/>
          </cell>
          <cell r="Z7005" t="str">
            <v/>
          </cell>
          <cell r="AA7005" t="str">
            <v/>
          </cell>
          <cell r="AB7005" t="str">
            <v/>
          </cell>
          <cell r="AC7005" t="str">
            <v/>
          </cell>
          <cell r="AD7005" t="str">
            <v/>
          </cell>
          <cell r="AY7005" t="str">
            <v/>
          </cell>
          <cell r="AZ7005" t="str">
            <v/>
          </cell>
          <cell r="BA7005" t="str">
            <v/>
          </cell>
        </row>
        <row r="7006">
          <cell r="B7006" t="str">
            <v>-</v>
          </cell>
          <cell r="E7006" t="str">
            <v/>
          </cell>
          <cell r="G7006" t="str">
            <v/>
          </cell>
          <cell r="J7006" t="str">
            <v/>
          </cell>
          <cell r="O7006" t="str">
            <v/>
          </cell>
          <cell r="P7006" t="str">
            <v/>
          </cell>
          <cell r="Q7006" t="str">
            <v/>
          </cell>
          <cell r="S7006" t="str">
            <v/>
          </cell>
          <cell r="V7006" t="str">
            <v/>
          </cell>
          <cell r="Z7006" t="str">
            <v/>
          </cell>
          <cell r="AA7006" t="str">
            <v/>
          </cell>
          <cell r="AB7006" t="str">
            <v/>
          </cell>
          <cell r="AC7006" t="str">
            <v/>
          </cell>
          <cell r="AD7006" t="str">
            <v/>
          </cell>
          <cell r="AY7006" t="str">
            <v/>
          </cell>
          <cell r="AZ7006" t="str">
            <v/>
          </cell>
          <cell r="BA7006" t="str">
            <v/>
          </cell>
        </row>
        <row r="7007">
          <cell r="B7007" t="str">
            <v>-</v>
          </cell>
          <cell r="E7007" t="str">
            <v/>
          </cell>
          <cell r="G7007" t="str">
            <v/>
          </cell>
          <cell r="J7007" t="str">
            <v/>
          </cell>
          <cell r="O7007" t="str">
            <v/>
          </cell>
          <cell r="P7007" t="str">
            <v/>
          </cell>
          <cell r="Q7007" t="str">
            <v/>
          </cell>
          <cell r="S7007" t="str">
            <v/>
          </cell>
          <cell r="V7007" t="str">
            <v/>
          </cell>
          <cell r="Z7007" t="str">
            <v/>
          </cell>
          <cell r="AA7007" t="str">
            <v/>
          </cell>
          <cell r="AB7007" t="str">
            <v/>
          </cell>
          <cell r="AC7007" t="str">
            <v/>
          </cell>
          <cell r="AD7007" t="str">
            <v/>
          </cell>
          <cell r="AY7007" t="str">
            <v/>
          </cell>
          <cell r="AZ7007" t="str">
            <v/>
          </cell>
          <cell r="BA7007" t="str">
            <v/>
          </cell>
        </row>
        <row r="7008">
          <cell r="B7008" t="str">
            <v>-</v>
          </cell>
          <cell r="E7008" t="str">
            <v/>
          </cell>
          <cell r="G7008" t="str">
            <v/>
          </cell>
          <cell r="J7008" t="str">
            <v/>
          </cell>
          <cell r="O7008" t="str">
            <v/>
          </cell>
          <cell r="P7008" t="str">
            <v/>
          </cell>
          <cell r="Q7008" t="str">
            <v/>
          </cell>
          <cell r="S7008" t="str">
            <v/>
          </cell>
          <cell r="V7008" t="str">
            <v/>
          </cell>
          <cell r="Z7008" t="str">
            <v/>
          </cell>
          <cell r="AA7008" t="str">
            <v/>
          </cell>
          <cell r="AB7008" t="str">
            <v/>
          </cell>
          <cell r="AC7008" t="str">
            <v/>
          </cell>
          <cell r="AD7008" t="str">
            <v/>
          </cell>
          <cell r="AY7008" t="str">
            <v/>
          </cell>
          <cell r="AZ7008" t="str">
            <v/>
          </cell>
          <cell r="BA7008" t="str">
            <v/>
          </cell>
        </row>
        <row r="7009">
          <cell r="B7009" t="str">
            <v>-</v>
          </cell>
          <cell r="E7009" t="str">
            <v/>
          </cell>
          <cell r="G7009" t="str">
            <v/>
          </cell>
          <cell r="J7009" t="str">
            <v/>
          </cell>
          <cell r="O7009" t="str">
            <v/>
          </cell>
          <cell r="P7009" t="str">
            <v/>
          </cell>
          <cell r="Q7009" t="str">
            <v/>
          </cell>
          <cell r="S7009" t="str">
            <v/>
          </cell>
          <cell r="V7009" t="str">
            <v/>
          </cell>
          <cell r="Z7009" t="str">
            <v/>
          </cell>
          <cell r="AA7009" t="str">
            <v/>
          </cell>
          <cell r="AB7009" t="str">
            <v/>
          </cell>
          <cell r="AC7009" t="str">
            <v/>
          </cell>
          <cell r="AD7009" t="str">
            <v/>
          </cell>
          <cell r="AY7009" t="str">
            <v/>
          </cell>
          <cell r="AZ7009" t="str">
            <v/>
          </cell>
          <cell r="BA7009" t="str">
            <v/>
          </cell>
        </row>
        <row r="7010">
          <cell r="B7010" t="str">
            <v>-</v>
          </cell>
          <cell r="E7010" t="str">
            <v/>
          </cell>
          <cell r="G7010" t="str">
            <v/>
          </cell>
          <cell r="J7010" t="str">
            <v/>
          </cell>
          <cell r="O7010" t="str">
            <v/>
          </cell>
          <cell r="P7010" t="str">
            <v/>
          </cell>
          <cell r="Q7010" t="str">
            <v/>
          </cell>
          <cell r="S7010" t="str">
            <v/>
          </cell>
          <cell r="V7010" t="str">
            <v/>
          </cell>
          <cell r="Z7010" t="str">
            <v/>
          </cell>
          <cell r="AA7010" t="str">
            <v/>
          </cell>
          <cell r="AB7010" t="str">
            <v/>
          </cell>
          <cell r="AC7010" t="str">
            <v/>
          </cell>
          <cell r="AD7010" t="str">
            <v/>
          </cell>
          <cell r="AY7010" t="str">
            <v/>
          </cell>
          <cell r="AZ7010" t="str">
            <v/>
          </cell>
          <cell r="BA7010" t="str">
            <v/>
          </cell>
        </row>
        <row r="7011">
          <cell r="B7011" t="str">
            <v>-</v>
          </cell>
          <cell r="E7011" t="str">
            <v/>
          </cell>
          <cell r="G7011" t="str">
            <v/>
          </cell>
          <cell r="J7011" t="str">
            <v/>
          </cell>
          <cell r="O7011" t="str">
            <v/>
          </cell>
          <cell r="P7011" t="str">
            <v/>
          </cell>
          <cell r="Q7011" t="str">
            <v/>
          </cell>
          <cell r="S7011" t="str">
            <v/>
          </cell>
          <cell r="V7011" t="str">
            <v/>
          </cell>
          <cell r="Z7011" t="str">
            <v/>
          </cell>
          <cell r="AA7011" t="str">
            <v/>
          </cell>
          <cell r="AB7011" t="str">
            <v/>
          </cell>
          <cell r="AC7011" t="str">
            <v/>
          </cell>
          <cell r="AD7011" t="str">
            <v/>
          </cell>
          <cell r="AY7011" t="str">
            <v/>
          </cell>
          <cell r="AZ7011" t="str">
            <v/>
          </cell>
          <cell r="BA7011" t="str">
            <v/>
          </cell>
        </row>
        <row r="7012">
          <cell r="B7012" t="str">
            <v>-</v>
          </cell>
          <cell r="E7012" t="str">
            <v/>
          </cell>
          <cell r="G7012" t="str">
            <v/>
          </cell>
          <cell r="J7012" t="str">
            <v/>
          </cell>
          <cell r="O7012" t="str">
            <v/>
          </cell>
          <cell r="P7012" t="str">
            <v/>
          </cell>
          <cell r="Q7012" t="str">
            <v/>
          </cell>
          <cell r="S7012" t="str">
            <v/>
          </cell>
          <cell r="V7012" t="str">
            <v/>
          </cell>
          <cell r="Z7012" t="str">
            <v/>
          </cell>
          <cell r="AA7012" t="str">
            <v/>
          </cell>
          <cell r="AB7012" t="str">
            <v/>
          </cell>
          <cell r="AC7012" t="str">
            <v/>
          </cell>
          <cell r="AD7012" t="str">
            <v/>
          </cell>
          <cell r="AY7012" t="str">
            <v/>
          </cell>
          <cell r="AZ7012" t="str">
            <v/>
          </cell>
          <cell r="BA7012" t="str">
            <v/>
          </cell>
        </row>
        <row r="7013">
          <cell r="B7013" t="str">
            <v>-</v>
          </cell>
          <cell r="E7013" t="str">
            <v/>
          </cell>
          <cell r="G7013" t="str">
            <v/>
          </cell>
          <cell r="J7013" t="str">
            <v/>
          </cell>
          <cell r="O7013" t="str">
            <v/>
          </cell>
          <cell r="P7013" t="str">
            <v/>
          </cell>
          <cell r="Q7013" t="str">
            <v/>
          </cell>
          <cell r="S7013" t="str">
            <v/>
          </cell>
          <cell r="V7013" t="str">
            <v/>
          </cell>
          <cell r="Z7013" t="str">
            <v/>
          </cell>
          <cell r="AA7013" t="str">
            <v/>
          </cell>
          <cell r="AB7013" t="str">
            <v/>
          </cell>
          <cell r="AC7013" t="str">
            <v/>
          </cell>
          <cell r="AD7013" t="str">
            <v/>
          </cell>
          <cell r="AY7013" t="str">
            <v/>
          </cell>
          <cell r="AZ7013" t="str">
            <v/>
          </cell>
          <cell r="BA7013" t="str">
            <v/>
          </cell>
        </row>
        <row r="7014">
          <cell r="B7014" t="str">
            <v>-</v>
          </cell>
          <cell r="E7014" t="str">
            <v/>
          </cell>
          <cell r="G7014" t="str">
            <v/>
          </cell>
          <cell r="J7014" t="str">
            <v/>
          </cell>
          <cell r="O7014" t="str">
            <v/>
          </cell>
          <cell r="P7014" t="str">
            <v/>
          </cell>
          <cell r="Q7014" t="str">
            <v/>
          </cell>
          <cell r="S7014" t="str">
            <v/>
          </cell>
          <cell r="V7014" t="str">
            <v/>
          </cell>
          <cell r="Z7014" t="str">
            <v/>
          </cell>
          <cell r="AA7014" t="str">
            <v/>
          </cell>
          <cell r="AB7014" t="str">
            <v/>
          </cell>
          <cell r="AC7014" t="str">
            <v/>
          </cell>
          <cell r="AD7014" t="str">
            <v/>
          </cell>
          <cell r="AY7014" t="str">
            <v/>
          </cell>
          <cell r="AZ7014" t="str">
            <v/>
          </cell>
          <cell r="BA7014" t="str">
            <v/>
          </cell>
        </row>
        <row r="7015">
          <cell r="B7015" t="str">
            <v>-</v>
          </cell>
          <cell r="E7015" t="str">
            <v/>
          </cell>
          <cell r="G7015" t="str">
            <v/>
          </cell>
          <cell r="J7015" t="str">
            <v/>
          </cell>
          <cell r="O7015" t="str">
            <v/>
          </cell>
          <cell r="P7015" t="str">
            <v/>
          </cell>
          <cell r="Q7015" t="str">
            <v/>
          </cell>
          <cell r="S7015" t="str">
            <v/>
          </cell>
          <cell r="V7015" t="str">
            <v/>
          </cell>
          <cell r="Z7015" t="str">
            <v/>
          </cell>
          <cell r="AA7015" t="str">
            <v/>
          </cell>
          <cell r="AB7015" t="str">
            <v/>
          </cell>
          <cell r="AC7015" t="str">
            <v/>
          </cell>
          <cell r="AD7015" t="str">
            <v/>
          </cell>
          <cell r="AY7015" t="str">
            <v/>
          </cell>
          <cell r="AZ7015" t="str">
            <v/>
          </cell>
          <cell r="BA7015" t="str">
            <v/>
          </cell>
        </row>
        <row r="7016">
          <cell r="B7016" t="str">
            <v>-</v>
          </cell>
          <cell r="E7016" t="str">
            <v/>
          </cell>
          <cell r="G7016" t="str">
            <v/>
          </cell>
          <cell r="J7016" t="str">
            <v/>
          </cell>
          <cell r="O7016" t="str">
            <v/>
          </cell>
          <cell r="P7016" t="str">
            <v/>
          </cell>
          <cell r="Q7016" t="str">
            <v/>
          </cell>
          <cell r="S7016" t="str">
            <v/>
          </cell>
          <cell r="V7016" t="str">
            <v/>
          </cell>
          <cell r="Z7016" t="str">
            <v/>
          </cell>
          <cell r="AA7016" t="str">
            <v/>
          </cell>
          <cell r="AB7016" t="str">
            <v/>
          </cell>
          <cell r="AC7016" t="str">
            <v/>
          </cell>
          <cell r="AD7016" t="str">
            <v/>
          </cell>
          <cell r="AY7016" t="str">
            <v/>
          </cell>
          <cell r="AZ7016" t="str">
            <v/>
          </cell>
          <cell r="BA7016" t="str">
            <v/>
          </cell>
        </row>
        <row r="7017">
          <cell r="B7017" t="str">
            <v>-</v>
          </cell>
          <cell r="E7017" t="str">
            <v/>
          </cell>
          <cell r="G7017" t="str">
            <v/>
          </cell>
          <cell r="J7017" t="str">
            <v/>
          </cell>
          <cell r="O7017" t="str">
            <v/>
          </cell>
          <cell r="P7017" t="str">
            <v/>
          </cell>
          <cell r="Q7017" t="str">
            <v/>
          </cell>
          <cell r="S7017" t="str">
            <v/>
          </cell>
          <cell r="V7017" t="str">
            <v/>
          </cell>
          <cell r="Z7017" t="str">
            <v/>
          </cell>
          <cell r="AA7017" t="str">
            <v/>
          </cell>
          <cell r="AB7017" t="str">
            <v/>
          </cell>
          <cell r="AC7017" t="str">
            <v/>
          </cell>
          <cell r="AD7017" t="str">
            <v/>
          </cell>
          <cell r="AY7017" t="str">
            <v/>
          </cell>
          <cell r="AZ7017" t="str">
            <v/>
          </cell>
          <cell r="BA7017" t="str">
            <v/>
          </cell>
        </row>
        <row r="7018">
          <cell r="B7018" t="str">
            <v>-</v>
          </cell>
          <cell r="E7018" t="str">
            <v/>
          </cell>
          <cell r="G7018" t="str">
            <v/>
          </cell>
          <cell r="J7018" t="str">
            <v/>
          </cell>
          <cell r="O7018" t="str">
            <v/>
          </cell>
          <cell r="P7018" t="str">
            <v/>
          </cell>
          <cell r="Q7018" t="str">
            <v/>
          </cell>
          <cell r="S7018" t="str">
            <v/>
          </cell>
          <cell r="V7018" t="str">
            <v/>
          </cell>
          <cell r="Z7018" t="str">
            <v/>
          </cell>
          <cell r="AA7018" t="str">
            <v/>
          </cell>
          <cell r="AB7018" t="str">
            <v/>
          </cell>
          <cell r="AC7018" t="str">
            <v/>
          </cell>
          <cell r="AD7018" t="str">
            <v/>
          </cell>
          <cell r="AY7018" t="str">
            <v/>
          </cell>
          <cell r="AZ7018" t="str">
            <v/>
          </cell>
          <cell r="BA7018" t="str">
            <v/>
          </cell>
        </row>
        <row r="7019">
          <cell r="B7019" t="str">
            <v>-</v>
          </cell>
          <cell r="E7019" t="str">
            <v/>
          </cell>
          <cell r="G7019" t="str">
            <v/>
          </cell>
          <cell r="J7019" t="str">
            <v/>
          </cell>
          <cell r="O7019" t="str">
            <v/>
          </cell>
          <cell r="P7019" t="str">
            <v/>
          </cell>
          <cell r="Q7019" t="str">
            <v/>
          </cell>
          <cell r="S7019" t="str">
            <v/>
          </cell>
          <cell r="V7019" t="str">
            <v/>
          </cell>
          <cell r="Z7019" t="str">
            <v/>
          </cell>
          <cell r="AA7019" t="str">
            <v/>
          </cell>
          <cell r="AB7019" t="str">
            <v/>
          </cell>
          <cell r="AC7019" t="str">
            <v/>
          </cell>
          <cell r="AD7019" t="str">
            <v/>
          </cell>
          <cell r="AY7019" t="str">
            <v/>
          </cell>
          <cell r="AZ7019" t="str">
            <v/>
          </cell>
          <cell r="BA7019" t="str">
            <v/>
          </cell>
        </row>
        <row r="7020">
          <cell r="B7020" t="str">
            <v>-</v>
          </cell>
          <cell r="E7020" t="str">
            <v/>
          </cell>
          <cell r="G7020" t="str">
            <v/>
          </cell>
          <cell r="J7020" t="str">
            <v/>
          </cell>
          <cell r="O7020" t="str">
            <v/>
          </cell>
          <cell r="P7020" t="str">
            <v/>
          </cell>
          <cell r="Q7020" t="str">
            <v/>
          </cell>
          <cell r="S7020" t="str">
            <v/>
          </cell>
          <cell r="V7020" t="str">
            <v/>
          </cell>
          <cell r="Z7020" t="str">
            <v/>
          </cell>
          <cell r="AA7020" t="str">
            <v/>
          </cell>
          <cell r="AB7020" t="str">
            <v/>
          </cell>
          <cell r="AC7020" t="str">
            <v/>
          </cell>
          <cell r="AD7020" t="str">
            <v/>
          </cell>
          <cell r="AY7020" t="str">
            <v/>
          </cell>
          <cell r="AZ7020" t="str">
            <v/>
          </cell>
          <cell r="BA7020" t="str">
            <v/>
          </cell>
        </row>
        <row r="7021">
          <cell r="B7021" t="str">
            <v>-</v>
          </cell>
          <cell r="E7021" t="str">
            <v/>
          </cell>
          <cell r="G7021" t="str">
            <v/>
          </cell>
          <cell r="J7021" t="str">
            <v/>
          </cell>
          <cell r="O7021" t="str">
            <v/>
          </cell>
          <cell r="P7021" t="str">
            <v/>
          </cell>
          <cell r="Q7021" t="str">
            <v/>
          </cell>
          <cell r="S7021" t="str">
            <v/>
          </cell>
          <cell r="V7021" t="str">
            <v/>
          </cell>
          <cell r="Z7021" t="str">
            <v/>
          </cell>
          <cell r="AA7021" t="str">
            <v/>
          </cell>
          <cell r="AB7021" t="str">
            <v/>
          </cell>
          <cell r="AC7021" t="str">
            <v/>
          </cell>
          <cell r="AD7021" t="str">
            <v/>
          </cell>
          <cell r="AY7021" t="str">
            <v/>
          </cell>
          <cell r="AZ7021" t="str">
            <v/>
          </cell>
          <cell r="BA7021" t="str">
            <v/>
          </cell>
        </row>
        <row r="7022">
          <cell r="B7022" t="str">
            <v>-</v>
          </cell>
          <cell r="E7022" t="str">
            <v/>
          </cell>
          <cell r="G7022" t="str">
            <v/>
          </cell>
          <cell r="J7022" t="str">
            <v/>
          </cell>
          <cell r="O7022" t="str">
            <v/>
          </cell>
          <cell r="P7022" t="str">
            <v/>
          </cell>
          <cell r="Q7022" t="str">
            <v/>
          </cell>
          <cell r="S7022" t="str">
            <v/>
          </cell>
          <cell r="V7022" t="str">
            <v/>
          </cell>
          <cell r="Z7022" t="str">
            <v/>
          </cell>
          <cell r="AA7022" t="str">
            <v/>
          </cell>
          <cell r="AB7022" t="str">
            <v/>
          </cell>
          <cell r="AC7022" t="str">
            <v/>
          </cell>
          <cell r="AD7022" t="str">
            <v/>
          </cell>
          <cell r="AY7022" t="str">
            <v/>
          </cell>
          <cell r="AZ7022" t="str">
            <v/>
          </cell>
          <cell r="BA7022" t="str">
            <v/>
          </cell>
        </row>
        <row r="7023">
          <cell r="B7023" t="str">
            <v>-</v>
          </cell>
          <cell r="E7023" t="str">
            <v/>
          </cell>
          <cell r="G7023" t="str">
            <v/>
          </cell>
          <cell r="J7023" t="str">
            <v/>
          </cell>
          <cell r="O7023" t="str">
            <v/>
          </cell>
          <cell r="P7023" t="str">
            <v/>
          </cell>
          <cell r="Q7023" t="str">
            <v/>
          </cell>
          <cell r="S7023" t="str">
            <v/>
          </cell>
          <cell r="V7023" t="str">
            <v/>
          </cell>
          <cell r="Z7023" t="str">
            <v/>
          </cell>
          <cell r="AA7023" t="str">
            <v/>
          </cell>
          <cell r="AB7023" t="str">
            <v/>
          </cell>
          <cell r="AC7023" t="str">
            <v/>
          </cell>
          <cell r="AD7023" t="str">
            <v/>
          </cell>
          <cell r="AY7023" t="str">
            <v/>
          </cell>
          <cell r="AZ7023" t="str">
            <v/>
          </cell>
          <cell r="BA7023" t="str">
            <v/>
          </cell>
        </row>
        <row r="7024">
          <cell r="B7024" t="str">
            <v>-</v>
          </cell>
          <cell r="E7024" t="str">
            <v/>
          </cell>
          <cell r="G7024" t="str">
            <v/>
          </cell>
          <cell r="J7024" t="str">
            <v/>
          </cell>
          <cell r="O7024" t="str">
            <v/>
          </cell>
          <cell r="P7024" t="str">
            <v/>
          </cell>
          <cell r="Q7024" t="str">
            <v/>
          </cell>
          <cell r="S7024" t="str">
            <v/>
          </cell>
          <cell r="V7024" t="str">
            <v/>
          </cell>
          <cell r="Z7024" t="str">
            <v/>
          </cell>
          <cell r="AA7024" t="str">
            <v/>
          </cell>
          <cell r="AB7024" t="str">
            <v/>
          </cell>
          <cell r="AC7024" t="str">
            <v/>
          </cell>
          <cell r="AD7024" t="str">
            <v/>
          </cell>
          <cell r="AY7024" t="str">
            <v/>
          </cell>
          <cell r="AZ7024" t="str">
            <v/>
          </cell>
          <cell r="BA7024" t="str">
            <v/>
          </cell>
        </row>
        <row r="7025">
          <cell r="B7025" t="str">
            <v>-</v>
          </cell>
          <cell r="E7025" t="str">
            <v/>
          </cell>
          <cell r="G7025" t="str">
            <v/>
          </cell>
          <cell r="J7025" t="str">
            <v/>
          </cell>
          <cell r="O7025" t="str">
            <v/>
          </cell>
          <cell r="P7025" t="str">
            <v/>
          </cell>
          <cell r="Q7025" t="str">
            <v/>
          </cell>
          <cell r="S7025" t="str">
            <v/>
          </cell>
          <cell r="V7025" t="str">
            <v/>
          </cell>
          <cell r="Z7025" t="str">
            <v/>
          </cell>
          <cell r="AA7025" t="str">
            <v/>
          </cell>
          <cell r="AB7025" t="str">
            <v/>
          </cell>
          <cell r="AC7025" t="str">
            <v/>
          </cell>
          <cell r="AD7025" t="str">
            <v/>
          </cell>
          <cell r="AY7025" t="str">
            <v/>
          </cell>
          <cell r="AZ7025" t="str">
            <v/>
          </cell>
          <cell r="BA7025" t="str">
            <v/>
          </cell>
        </row>
        <row r="7026">
          <cell r="B7026" t="str">
            <v>-</v>
          </cell>
          <cell r="E7026" t="str">
            <v/>
          </cell>
          <cell r="G7026" t="str">
            <v/>
          </cell>
          <cell r="J7026" t="str">
            <v/>
          </cell>
          <cell r="O7026" t="str">
            <v/>
          </cell>
          <cell r="P7026" t="str">
            <v/>
          </cell>
          <cell r="Q7026" t="str">
            <v/>
          </cell>
          <cell r="S7026" t="str">
            <v/>
          </cell>
          <cell r="V7026" t="str">
            <v/>
          </cell>
          <cell r="Z7026" t="str">
            <v/>
          </cell>
          <cell r="AA7026" t="str">
            <v/>
          </cell>
          <cell r="AB7026" t="str">
            <v/>
          </cell>
          <cell r="AC7026" t="str">
            <v/>
          </cell>
          <cell r="AD7026" t="str">
            <v/>
          </cell>
          <cell r="AY7026" t="str">
            <v/>
          </cell>
          <cell r="AZ7026" t="str">
            <v/>
          </cell>
          <cell r="BA7026" t="str">
            <v/>
          </cell>
        </row>
        <row r="7027">
          <cell r="B7027" t="str">
            <v>-</v>
          </cell>
          <cell r="E7027" t="str">
            <v/>
          </cell>
          <cell r="G7027" t="str">
            <v/>
          </cell>
          <cell r="J7027" t="str">
            <v/>
          </cell>
          <cell r="O7027" t="str">
            <v/>
          </cell>
          <cell r="P7027" t="str">
            <v/>
          </cell>
          <cell r="Q7027" t="str">
            <v/>
          </cell>
          <cell r="S7027" t="str">
            <v/>
          </cell>
          <cell r="V7027" t="str">
            <v/>
          </cell>
          <cell r="Z7027" t="str">
            <v/>
          </cell>
          <cell r="AA7027" t="str">
            <v/>
          </cell>
          <cell r="AB7027" t="str">
            <v/>
          </cell>
          <cell r="AC7027" t="str">
            <v/>
          </cell>
          <cell r="AD7027" t="str">
            <v/>
          </cell>
          <cell r="AY7027" t="str">
            <v/>
          </cell>
          <cell r="AZ7027" t="str">
            <v/>
          </cell>
          <cell r="BA7027" t="str">
            <v/>
          </cell>
        </row>
        <row r="7028">
          <cell r="B7028" t="str">
            <v>-</v>
          </cell>
          <cell r="E7028" t="str">
            <v/>
          </cell>
          <cell r="G7028" t="str">
            <v/>
          </cell>
          <cell r="J7028" t="str">
            <v/>
          </cell>
          <cell r="O7028" t="str">
            <v/>
          </cell>
          <cell r="P7028" t="str">
            <v/>
          </cell>
          <cell r="Q7028" t="str">
            <v/>
          </cell>
          <cell r="S7028" t="str">
            <v/>
          </cell>
          <cell r="V7028" t="str">
            <v/>
          </cell>
          <cell r="Z7028" t="str">
            <v/>
          </cell>
          <cell r="AA7028" t="str">
            <v/>
          </cell>
          <cell r="AB7028" t="str">
            <v/>
          </cell>
          <cell r="AC7028" t="str">
            <v/>
          </cell>
          <cell r="AD7028" t="str">
            <v/>
          </cell>
          <cell r="AY7028" t="str">
            <v/>
          </cell>
          <cell r="AZ7028" t="str">
            <v/>
          </cell>
          <cell r="BA7028" t="str">
            <v/>
          </cell>
        </row>
        <row r="7029">
          <cell r="B7029" t="str">
            <v>-</v>
          </cell>
          <cell r="E7029" t="str">
            <v/>
          </cell>
          <cell r="G7029" t="str">
            <v/>
          </cell>
          <cell r="J7029" t="str">
            <v/>
          </cell>
          <cell r="O7029" t="str">
            <v/>
          </cell>
          <cell r="P7029" t="str">
            <v/>
          </cell>
          <cell r="Q7029" t="str">
            <v/>
          </cell>
          <cell r="S7029" t="str">
            <v/>
          </cell>
          <cell r="V7029" t="str">
            <v/>
          </cell>
          <cell r="Z7029" t="str">
            <v/>
          </cell>
          <cell r="AA7029" t="str">
            <v/>
          </cell>
          <cell r="AB7029" t="str">
            <v/>
          </cell>
          <cell r="AC7029" t="str">
            <v/>
          </cell>
          <cell r="AD7029" t="str">
            <v/>
          </cell>
          <cell r="AY7029" t="str">
            <v/>
          </cell>
          <cell r="AZ7029" t="str">
            <v/>
          </cell>
          <cell r="BA7029" t="str">
            <v/>
          </cell>
        </row>
        <row r="7030">
          <cell r="B7030" t="str">
            <v>-</v>
          </cell>
          <cell r="E7030" t="str">
            <v/>
          </cell>
          <cell r="G7030" t="str">
            <v/>
          </cell>
          <cell r="J7030" t="str">
            <v/>
          </cell>
          <cell r="O7030" t="str">
            <v/>
          </cell>
          <cell r="P7030" t="str">
            <v/>
          </cell>
          <cell r="Q7030" t="str">
            <v/>
          </cell>
          <cell r="S7030" t="str">
            <v/>
          </cell>
          <cell r="V7030" t="str">
            <v/>
          </cell>
          <cell r="Z7030" t="str">
            <v/>
          </cell>
          <cell r="AA7030" t="str">
            <v/>
          </cell>
          <cell r="AB7030" t="str">
            <v/>
          </cell>
          <cell r="AC7030" t="str">
            <v/>
          </cell>
          <cell r="AD7030" t="str">
            <v/>
          </cell>
          <cell r="AY7030" t="str">
            <v/>
          </cell>
          <cell r="AZ7030" t="str">
            <v/>
          </cell>
          <cell r="BA7030" t="str">
            <v/>
          </cell>
        </row>
        <row r="7031">
          <cell r="B7031" t="str">
            <v>-</v>
          </cell>
          <cell r="E7031" t="str">
            <v/>
          </cell>
          <cell r="G7031" t="str">
            <v/>
          </cell>
          <cell r="J7031" t="str">
            <v/>
          </cell>
          <cell r="O7031" t="str">
            <v/>
          </cell>
          <cell r="P7031" t="str">
            <v/>
          </cell>
          <cell r="Q7031" t="str">
            <v/>
          </cell>
          <cell r="S7031" t="str">
            <v/>
          </cell>
          <cell r="V7031" t="str">
            <v/>
          </cell>
          <cell r="Z7031" t="str">
            <v/>
          </cell>
          <cell r="AA7031" t="str">
            <v/>
          </cell>
          <cell r="AB7031" t="str">
            <v/>
          </cell>
          <cell r="AC7031" t="str">
            <v/>
          </cell>
          <cell r="AD7031" t="str">
            <v/>
          </cell>
          <cell r="AY7031" t="str">
            <v/>
          </cell>
          <cell r="AZ7031" t="str">
            <v/>
          </cell>
          <cell r="BA7031" t="str">
            <v/>
          </cell>
        </row>
        <row r="7032">
          <cell r="B7032" t="str">
            <v>-</v>
          </cell>
          <cell r="E7032" t="str">
            <v/>
          </cell>
          <cell r="G7032" t="str">
            <v/>
          </cell>
          <cell r="J7032" t="str">
            <v/>
          </cell>
          <cell r="O7032" t="str">
            <v/>
          </cell>
          <cell r="P7032" t="str">
            <v/>
          </cell>
          <cell r="Q7032" t="str">
            <v/>
          </cell>
          <cell r="S7032" t="str">
            <v/>
          </cell>
          <cell r="V7032" t="str">
            <v/>
          </cell>
          <cell r="Z7032" t="str">
            <v/>
          </cell>
          <cell r="AA7032" t="str">
            <v/>
          </cell>
          <cell r="AB7032" t="str">
            <v/>
          </cell>
          <cell r="AC7032" t="str">
            <v/>
          </cell>
          <cell r="AD7032" t="str">
            <v/>
          </cell>
          <cell r="AY7032" t="str">
            <v/>
          </cell>
          <cell r="AZ7032" t="str">
            <v/>
          </cell>
          <cell r="BA7032" t="str">
            <v/>
          </cell>
        </row>
        <row r="7033">
          <cell r="B7033" t="str">
            <v>-</v>
          </cell>
          <cell r="E7033" t="str">
            <v/>
          </cell>
          <cell r="G7033" t="str">
            <v/>
          </cell>
          <cell r="J7033" t="str">
            <v/>
          </cell>
          <cell r="O7033" t="str">
            <v/>
          </cell>
          <cell r="P7033" t="str">
            <v/>
          </cell>
          <cell r="Q7033" t="str">
            <v/>
          </cell>
          <cell r="S7033" t="str">
            <v/>
          </cell>
          <cell r="V7033" t="str">
            <v/>
          </cell>
          <cell r="Z7033" t="str">
            <v/>
          </cell>
          <cell r="AA7033" t="str">
            <v/>
          </cell>
          <cell r="AB7033" t="str">
            <v/>
          </cell>
          <cell r="AC7033" t="str">
            <v/>
          </cell>
          <cell r="AD7033" t="str">
            <v/>
          </cell>
          <cell r="AY7033" t="str">
            <v/>
          </cell>
          <cell r="AZ7033" t="str">
            <v/>
          </cell>
          <cell r="BA7033" t="str">
            <v/>
          </cell>
        </row>
        <row r="7034">
          <cell r="B7034" t="str">
            <v>-</v>
          </cell>
          <cell r="E7034" t="str">
            <v/>
          </cell>
          <cell r="G7034" t="str">
            <v/>
          </cell>
          <cell r="J7034" t="str">
            <v/>
          </cell>
          <cell r="O7034" t="str">
            <v/>
          </cell>
          <cell r="P7034" t="str">
            <v/>
          </cell>
          <cell r="Q7034" t="str">
            <v/>
          </cell>
          <cell r="S7034" t="str">
            <v/>
          </cell>
          <cell r="V7034" t="str">
            <v/>
          </cell>
          <cell r="Z7034" t="str">
            <v/>
          </cell>
          <cell r="AA7034" t="str">
            <v/>
          </cell>
          <cell r="AB7034" t="str">
            <v/>
          </cell>
          <cell r="AC7034" t="str">
            <v/>
          </cell>
          <cell r="AD7034" t="str">
            <v/>
          </cell>
          <cell r="AY7034" t="str">
            <v/>
          </cell>
          <cell r="AZ7034" t="str">
            <v/>
          </cell>
          <cell r="BA7034" t="str">
            <v/>
          </cell>
        </row>
        <row r="7035">
          <cell r="B7035" t="str">
            <v>-</v>
          </cell>
          <cell r="E7035" t="str">
            <v/>
          </cell>
          <cell r="G7035" t="str">
            <v/>
          </cell>
          <cell r="J7035" t="str">
            <v/>
          </cell>
          <cell r="O7035" t="str">
            <v/>
          </cell>
          <cell r="P7035" t="str">
            <v/>
          </cell>
          <cell r="Q7035" t="str">
            <v/>
          </cell>
          <cell r="S7035" t="str">
            <v/>
          </cell>
          <cell r="V7035" t="str">
            <v/>
          </cell>
          <cell r="Z7035" t="str">
            <v/>
          </cell>
          <cell r="AA7035" t="str">
            <v/>
          </cell>
          <cell r="AB7035" t="str">
            <v/>
          </cell>
          <cell r="AC7035" t="str">
            <v/>
          </cell>
          <cell r="AD7035" t="str">
            <v/>
          </cell>
          <cell r="AY7035" t="str">
            <v/>
          </cell>
          <cell r="AZ7035" t="str">
            <v/>
          </cell>
          <cell r="BA7035" t="str">
            <v/>
          </cell>
        </row>
        <row r="7036">
          <cell r="B7036" t="str">
            <v>-</v>
          </cell>
          <cell r="E7036" t="str">
            <v/>
          </cell>
          <cell r="G7036" t="str">
            <v/>
          </cell>
          <cell r="J7036" t="str">
            <v/>
          </cell>
          <cell r="O7036" t="str">
            <v/>
          </cell>
          <cell r="P7036" t="str">
            <v/>
          </cell>
          <cell r="Q7036" t="str">
            <v/>
          </cell>
          <cell r="S7036" t="str">
            <v/>
          </cell>
          <cell r="V7036" t="str">
            <v/>
          </cell>
          <cell r="Z7036" t="str">
            <v/>
          </cell>
          <cell r="AA7036" t="str">
            <v/>
          </cell>
          <cell r="AB7036" t="str">
            <v/>
          </cell>
          <cell r="AC7036" t="str">
            <v/>
          </cell>
          <cell r="AD7036" t="str">
            <v/>
          </cell>
          <cell r="AY7036" t="str">
            <v/>
          </cell>
          <cell r="AZ7036" t="str">
            <v/>
          </cell>
          <cell r="BA7036" t="str">
            <v/>
          </cell>
        </row>
        <row r="7037">
          <cell r="B7037" t="str">
            <v>-</v>
          </cell>
          <cell r="E7037" t="str">
            <v/>
          </cell>
          <cell r="G7037" t="str">
            <v/>
          </cell>
          <cell r="J7037" t="str">
            <v/>
          </cell>
          <cell r="O7037" t="str">
            <v/>
          </cell>
          <cell r="P7037" t="str">
            <v/>
          </cell>
          <cell r="Q7037" t="str">
            <v/>
          </cell>
          <cell r="S7037" t="str">
            <v/>
          </cell>
          <cell r="V7037" t="str">
            <v/>
          </cell>
          <cell r="Z7037" t="str">
            <v/>
          </cell>
          <cell r="AA7037" t="str">
            <v/>
          </cell>
          <cell r="AB7037" t="str">
            <v/>
          </cell>
          <cell r="AC7037" t="str">
            <v/>
          </cell>
          <cell r="AD7037" t="str">
            <v/>
          </cell>
          <cell r="AY7037" t="str">
            <v/>
          </cell>
          <cell r="AZ7037" t="str">
            <v/>
          </cell>
          <cell r="BA7037" t="str">
            <v/>
          </cell>
        </row>
        <row r="7038">
          <cell r="B7038" t="str">
            <v>-</v>
          </cell>
          <cell r="E7038" t="str">
            <v/>
          </cell>
          <cell r="G7038" t="str">
            <v/>
          </cell>
          <cell r="J7038" t="str">
            <v/>
          </cell>
          <cell r="O7038" t="str">
            <v/>
          </cell>
          <cell r="P7038" t="str">
            <v/>
          </cell>
          <cell r="Q7038" t="str">
            <v/>
          </cell>
          <cell r="S7038" t="str">
            <v/>
          </cell>
          <cell r="V7038" t="str">
            <v/>
          </cell>
          <cell r="Z7038" t="str">
            <v/>
          </cell>
          <cell r="AA7038" t="str">
            <v/>
          </cell>
          <cell r="AB7038" t="str">
            <v/>
          </cell>
          <cell r="AC7038" t="str">
            <v/>
          </cell>
          <cell r="AD7038" t="str">
            <v/>
          </cell>
          <cell r="AY7038" t="str">
            <v/>
          </cell>
          <cell r="AZ7038" t="str">
            <v/>
          </cell>
          <cell r="BA7038" t="str">
            <v/>
          </cell>
        </row>
        <row r="7039">
          <cell r="B7039" t="str">
            <v>-</v>
          </cell>
          <cell r="E7039" t="str">
            <v/>
          </cell>
          <cell r="G7039" t="str">
            <v/>
          </cell>
          <cell r="J7039" t="str">
            <v/>
          </cell>
          <cell r="O7039" t="str">
            <v/>
          </cell>
          <cell r="P7039" t="str">
            <v/>
          </cell>
          <cell r="Q7039" t="str">
            <v/>
          </cell>
          <cell r="S7039" t="str">
            <v/>
          </cell>
          <cell r="V7039" t="str">
            <v/>
          </cell>
          <cell r="Z7039" t="str">
            <v/>
          </cell>
          <cell r="AA7039" t="str">
            <v/>
          </cell>
          <cell r="AB7039" t="str">
            <v/>
          </cell>
          <cell r="AC7039" t="str">
            <v/>
          </cell>
          <cell r="AD7039" t="str">
            <v/>
          </cell>
          <cell r="AY7039" t="str">
            <v/>
          </cell>
          <cell r="AZ7039" t="str">
            <v/>
          </cell>
          <cell r="BA7039" t="str">
            <v/>
          </cell>
        </row>
        <row r="7040">
          <cell r="B7040" t="str">
            <v>-</v>
          </cell>
          <cell r="E7040" t="str">
            <v/>
          </cell>
          <cell r="G7040" t="str">
            <v/>
          </cell>
          <cell r="J7040" t="str">
            <v/>
          </cell>
          <cell r="O7040" t="str">
            <v/>
          </cell>
          <cell r="P7040" t="str">
            <v/>
          </cell>
          <cell r="Q7040" t="str">
            <v/>
          </cell>
          <cell r="S7040" t="str">
            <v/>
          </cell>
          <cell r="V7040" t="str">
            <v/>
          </cell>
          <cell r="Z7040" t="str">
            <v/>
          </cell>
          <cell r="AA7040" t="str">
            <v/>
          </cell>
          <cell r="AB7040" t="str">
            <v/>
          </cell>
          <cell r="AC7040" t="str">
            <v/>
          </cell>
          <cell r="AD7040" t="str">
            <v/>
          </cell>
          <cell r="AY7040" t="str">
            <v/>
          </cell>
          <cell r="AZ7040" t="str">
            <v/>
          </cell>
          <cell r="BA7040" t="str">
            <v/>
          </cell>
        </row>
        <row r="7041">
          <cell r="B7041" t="str">
            <v>-</v>
          </cell>
          <cell r="E7041" t="str">
            <v/>
          </cell>
          <cell r="G7041" t="str">
            <v/>
          </cell>
          <cell r="J7041" t="str">
            <v/>
          </cell>
          <cell r="O7041" t="str">
            <v/>
          </cell>
          <cell r="P7041" t="str">
            <v/>
          </cell>
          <cell r="Q7041" t="str">
            <v/>
          </cell>
          <cell r="S7041" t="str">
            <v/>
          </cell>
          <cell r="V7041" t="str">
            <v/>
          </cell>
          <cell r="Z7041" t="str">
            <v/>
          </cell>
          <cell r="AA7041" t="str">
            <v/>
          </cell>
          <cell r="AB7041" t="str">
            <v/>
          </cell>
          <cell r="AC7041" t="str">
            <v/>
          </cell>
          <cell r="AD7041" t="str">
            <v/>
          </cell>
          <cell r="AY7041" t="str">
            <v/>
          </cell>
          <cell r="AZ7041" t="str">
            <v/>
          </cell>
          <cell r="BA7041" t="str">
            <v/>
          </cell>
        </row>
        <row r="7042">
          <cell r="B7042" t="str">
            <v>-</v>
          </cell>
          <cell r="E7042" t="str">
            <v/>
          </cell>
          <cell r="G7042" t="str">
            <v/>
          </cell>
          <cell r="J7042" t="str">
            <v/>
          </cell>
          <cell r="O7042" t="str">
            <v/>
          </cell>
          <cell r="P7042" t="str">
            <v/>
          </cell>
          <cell r="Q7042" t="str">
            <v/>
          </cell>
          <cell r="S7042" t="str">
            <v/>
          </cell>
          <cell r="V7042" t="str">
            <v/>
          </cell>
          <cell r="Z7042" t="str">
            <v/>
          </cell>
          <cell r="AA7042" t="str">
            <v/>
          </cell>
          <cell r="AB7042" t="str">
            <v/>
          </cell>
          <cell r="AC7042" t="str">
            <v/>
          </cell>
          <cell r="AD7042" t="str">
            <v/>
          </cell>
          <cell r="AY7042" t="str">
            <v/>
          </cell>
          <cell r="AZ7042" t="str">
            <v/>
          </cell>
          <cell r="BA7042" t="str">
            <v/>
          </cell>
        </row>
        <row r="7043">
          <cell r="B7043" t="str">
            <v>-</v>
          </cell>
          <cell r="E7043" t="str">
            <v/>
          </cell>
          <cell r="G7043" t="str">
            <v/>
          </cell>
          <cell r="J7043" t="str">
            <v/>
          </cell>
          <cell r="O7043" t="str">
            <v/>
          </cell>
          <cell r="P7043" t="str">
            <v/>
          </cell>
          <cell r="Q7043" t="str">
            <v/>
          </cell>
          <cell r="S7043" t="str">
            <v/>
          </cell>
          <cell r="V7043" t="str">
            <v/>
          </cell>
          <cell r="Z7043" t="str">
            <v/>
          </cell>
          <cell r="AA7043" t="str">
            <v/>
          </cell>
          <cell r="AB7043" t="str">
            <v/>
          </cell>
          <cell r="AC7043" t="str">
            <v/>
          </cell>
          <cell r="AD7043" t="str">
            <v/>
          </cell>
          <cell r="AY7043" t="str">
            <v/>
          </cell>
          <cell r="AZ7043" t="str">
            <v/>
          </cell>
          <cell r="BA7043" t="str">
            <v/>
          </cell>
        </row>
        <row r="7044">
          <cell r="B7044" t="str">
            <v>-</v>
          </cell>
          <cell r="E7044" t="str">
            <v/>
          </cell>
          <cell r="G7044" t="str">
            <v/>
          </cell>
          <cell r="J7044" t="str">
            <v/>
          </cell>
          <cell r="O7044" t="str">
            <v/>
          </cell>
          <cell r="P7044" t="str">
            <v/>
          </cell>
          <cell r="Q7044" t="str">
            <v/>
          </cell>
          <cell r="S7044" t="str">
            <v/>
          </cell>
          <cell r="V7044" t="str">
            <v/>
          </cell>
          <cell r="Z7044" t="str">
            <v/>
          </cell>
          <cell r="AA7044" t="str">
            <v/>
          </cell>
          <cell r="AB7044" t="str">
            <v/>
          </cell>
          <cell r="AC7044" t="str">
            <v/>
          </cell>
          <cell r="AD7044" t="str">
            <v/>
          </cell>
          <cell r="AY7044" t="str">
            <v/>
          </cell>
          <cell r="AZ7044" t="str">
            <v/>
          </cell>
          <cell r="BA7044" t="str">
            <v/>
          </cell>
        </row>
        <row r="7045">
          <cell r="B7045" t="str">
            <v>-</v>
          </cell>
          <cell r="E7045" t="str">
            <v/>
          </cell>
          <cell r="G7045" t="str">
            <v/>
          </cell>
          <cell r="J7045" t="str">
            <v/>
          </cell>
          <cell r="O7045" t="str">
            <v/>
          </cell>
          <cell r="P7045" t="str">
            <v/>
          </cell>
          <cell r="Q7045" t="str">
            <v/>
          </cell>
          <cell r="S7045" t="str">
            <v/>
          </cell>
          <cell r="V7045" t="str">
            <v/>
          </cell>
          <cell r="Z7045" t="str">
            <v/>
          </cell>
          <cell r="AA7045" t="str">
            <v/>
          </cell>
          <cell r="AB7045" t="str">
            <v/>
          </cell>
          <cell r="AC7045" t="str">
            <v/>
          </cell>
          <cell r="AD7045" t="str">
            <v/>
          </cell>
          <cell r="AY7045" t="str">
            <v/>
          </cell>
          <cell r="AZ7045" t="str">
            <v/>
          </cell>
          <cell r="BA7045" t="str">
            <v/>
          </cell>
        </row>
        <row r="7046">
          <cell r="B7046" t="str">
            <v>-</v>
          </cell>
          <cell r="E7046" t="str">
            <v/>
          </cell>
          <cell r="G7046" t="str">
            <v/>
          </cell>
          <cell r="J7046" t="str">
            <v/>
          </cell>
          <cell r="O7046" t="str">
            <v/>
          </cell>
          <cell r="P7046" t="str">
            <v/>
          </cell>
          <cell r="Q7046" t="str">
            <v/>
          </cell>
          <cell r="S7046" t="str">
            <v/>
          </cell>
          <cell r="V7046" t="str">
            <v/>
          </cell>
          <cell r="Z7046" t="str">
            <v/>
          </cell>
          <cell r="AA7046" t="str">
            <v/>
          </cell>
          <cell r="AB7046" t="str">
            <v/>
          </cell>
          <cell r="AC7046" t="str">
            <v/>
          </cell>
          <cell r="AD7046" t="str">
            <v/>
          </cell>
          <cell r="AY7046" t="str">
            <v/>
          </cell>
          <cell r="AZ7046" t="str">
            <v/>
          </cell>
          <cell r="BA7046" t="str">
            <v/>
          </cell>
        </row>
        <row r="7047">
          <cell r="B7047" t="str">
            <v>-</v>
          </cell>
          <cell r="E7047" t="str">
            <v/>
          </cell>
          <cell r="G7047" t="str">
            <v/>
          </cell>
          <cell r="J7047" t="str">
            <v/>
          </cell>
          <cell r="O7047" t="str">
            <v/>
          </cell>
          <cell r="P7047" t="str">
            <v/>
          </cell>
          <cell r="Q7047" t="str">
            <v/>
          </cell>
          <cell r="S7047" t="str">
            <v/>
          </cell>
          <cell r="V7047" t="str">
            <v/>
          </cell>
          <cell r="Z7047" t="str">
            <v/>
          </cell>
          <cell r="AA7047" t="str">
            <v/>
          </cell>
          <cell r="AB7047" t="str">
            <v/>
          </cell>
          <cell r="AC7047" t="str">
            <v/>
          </cell>
          <cell r="AD7047" t="str">
            <v/>
          </cell>
          <cell r="AY7047" t="str">
            <v/>
          </cell>
          <cell r="AZ7047" t="str">
            <v/>
          </cell>
          <cell r="BA7047" t="str">
            <v/>
          </cell>
        </row>
        <row r="7048">
          <cell r="B7048" t="str">
            <v>-</v>
          </cell>
          <cell r="E7048" t="str">
            <v/>
          </cell>
          <cell r="G7048" t="str">
            <v/>
          </cell>
          <cell r="J7048" t="str">
            <v/>
          </cell>
          <cell r="O7048" t="str">
            <v/>
          </cell>
          <cell r="P7048" t="str">
            <v/>
          </cell>
          <cell r="Q7048" t="str">
            <v/>
          </cell>
          <cell r="S7048" t="str">
            <v/>
          </cell>
          <cell r="V7048" t="str">
            <v/>
          </cell>
          <cell r="Z7048" t="str">
            <v/>
          </cell>
          <cell r="AA7048" t="str">
            <v/>
          </cell>
          <cell r="AB7048" t="str">
            <v/>
          </cell>
          <cell r="AC7048" t="str">
            <v/>
          </cell>
          <cell r="AD7048" t="str">
            <v/>
          </cell>
          <cell r="AY7048" t="str">
            <v/>
          </cell>
          <cell r="AZ7048" t="str">
            <v/>
          </cell>
          <cell r="BA7048" t="str">
            <v/>
          </cell>
        </row>
        <row r="7049">
          <cell r="B7049" t="str">
            <v>-</v>
          </cell>
          <cell r="E7049" t="str">
            <v/>
          </cell>
          <cell r="G7049" t="str">
            <v/>
          </cell>
          <cell r="J7049" t="str">
            <v/>
          </cell>
          <cell r="O7049" t="str">
            <v/>
          </cell>
          <cell r="P7049" t="str">
            <v/>
          </cell>
          <cell r="Q7049" t="str">
            <v/>
          </cell>
          <cell r="S7049" t="str">
            <v/>
          </cell>
          <cell r="V7049" t="str">
            <v/>
          </cell>
          <cell r="Z7049" t="str">
            <v/>
          </cell>
          <cell r="AA7049" t="str">
            <v/>
          </cell>
          <cell r="AB7049" t="str">
            <v/>
          </cell>
          <cell r="AC7049" t="str">
            <v/>
          </cell>
          <cell r="AD7049" t="str">
            <v/>
          </cell>
          <cell r="AY7049" t="str">
            <v/>
          </cell>
          <cell r="AZ7049" t="str">
            <v/>
          </cell>
          <cell r="BA7049" t="str">
            <v/>
          </cell>
        </row>
        <row r="7050">
          <cell r="B7050" t="str">
            <v>-</v>
          </cell>
          <cell r="E7050" t="str">
            <v/>
          </cell>
          <cell r="G7050" t="str">
            <v/>
          </cell>
          <cell r="J7050" t="str">
            <v/>
          </cell>
          <cell r="O7050" t="str">
            <v/>
          </cell>
          <cell r="P7050" t="str">
            <v/>
          </cell>
          <cell r="Q7050" t="str">
            <v/>
          </cell>
          <cell r="S7050" t="str">
            <v/>
          </cell>
          <cell r="V7050" t="str">
            <v/>
          </cell>
          <cell r="Z7050" t="str">
            <v/>
          </cell>
          <cell r="AA7050" t="str">
            <v/>
          </cell>
          <cell r="AB7050" t="str">
            <v/>
          </cell>
          <cell r="AC7050" t="str">
            <v/>
          </cell>
          <cell r="AD7050" t="str">
            <v/>
          </cell>
          <cell r="AY7050" t="str">
            <v/>
          </cell>
          <cell r="AZ7050" t="str">
            <v/>
          </cell>
          <cell r="BA7050" t="str">
            <v/>
          </cell>
        </row>
        <row r="7051">
          <cell r="B7051" t="str">
            <v>-</v>
          </cell>
          <cell r="E7051" t="str">
            <v/>
          </cell>
          <cell r="G7051" t="str">
            <v/>
          </cell>
          <cell r="J7051" t="str">
            <v/>
          </cell>
          <cell r="O7051" t="str">
            <v/>
          </cell>
          <cell r="P7051" t="str">
            <v/>
          </cell>
          <cell r="Q7051" t="str">
            <v/>
          </cell>
          <cell r="S7051" t="str">
            <v/>
          </cell>
          <cell r="V7051" t="str">
            <v/>
          </cell>
          <cell r="Z7051" t="str">
            <v/>
          </cell>
          <cell r="AA7051" t="str">
            <v/>
          </cell>
          <cell r="AB7051" t="str">
            <v/>
          </cell>
          <cell r="AC7051" t="str">
            <v/>
          </cell>
          <cell r="AD7051" t="str">
            <v/>
          </cell>
          <cell r="AY7051" t="str">
            <v/>
          </cell>
          <cell r="AZ7051" t="str">
            <v/>
          </cell>
          <cell r="BA7051" t="str">
            <v/>
          </cell>
        </row>
        <row r="7052">
          <cell r="B7052" t="str">
            <v>-</v>
          </cell>
          <cell r="E7052" t="str">
            <v/>
          </cell>
          <cell r="G7052" t="str">
            <v/>
          </cell>
          <cell r="J7052" t="str">
            <v/>
          </cell>
          <cell r="O7052" t="str">
            <v/>
          </cell>
          <cell r="P7052" t="str">
            <v/>
          </cell>
          <cell r="Q7052" t="str">
            <v/>
          </cell>
          <cell r="S7052" t="str">
            <v/>
          </cell>
          <cell r="V7052" t="str">
            <v/>
          </cell>
          <cell r="Z7052" t="str">
            <v/>
          </cell>
          <cell r="AA7052" t="str">
            <v/>
          </cell>
          <cell r="AB7052" t="str">
            <v/>
          </cell>
          <cell r="AC7052" t="str">
            <v/>
          </cell>
          <cell r="AD7052" t="str">
            <v/>
          </cell>
          <cell r="AY7052" t="str">
            <v/>
          </cell>
          <cell r="AZ7052" t="str">
            <v/>
          </cell>
          <cell r="BA7052" t="str">
            <v/>
          </cell>
        </row>
        <row r="7053">
          <cell r="B7053" t="str">
            <v>-</v>
          </cell>
          <cell r="E7053" t="str">
            <v/>
          </cell>
          <cell r="G7053" t="str">
            <v/>
          </cell>
          <cell r="J7053" t="str">
            <v/>
          </cell>
          <cell r="O7053" t="str">
            <v/>
          </cell>
          <cell r="P7053" t="str">
            <v/>
          </cell>
          <cell r="Q7053" t="str">
            <v/>
          </cell>
          <cell r="S7053" t="str">
            <v/>
          </cell>
          <cell r="V7053" t="str">
            <v/>
          </cell>
          <cell r="Z7053" t="str">
            <v/>
          </cell>
          <cell r="AA7053" t="str">
            <v/>
          </cell>
          <cell r="AB7053" t="str">
            <v/>
          </cell>
          <cell r="AC7053" t="str">
            <v/>
          </cell>
          <cell r="AD7053" t="str">
            <v/>
          </cell>
          <cell r="AY7053" t="str">
            <v/>
          </cell>
          <cell r="AZ7053" t="str">
            <v/>
          </cell>
          <cell r="BA7053" t="str">
            <v/>
          </cell>
        </row>
        <row r="7054">
          <cell r="B7054" t="str">
            <v>-</v>
          </cell>
          <cell r="E7054" t="str">
            <v/>
          </cell>
          <cell r="G7054" t="str">
            <v/>
          </cell>
          <cell r="J7054" t="str">
            <v/>
          </cell>
          <cell r="O7054" t="str">
            <v/>
          </cell>
          <cell r="P7054" t="str">
            <v/>
          </cell>
          <cell r="Q7054" t="str">
            <v/>
          </cell>
          <cell r="S7054" t="str">
            <v/>
          </cell>
          <cell r="V7054" t="str">
            <v/>
          </cell>
          <cell r="Z7054" t="str">
            <v/>
          </cell>
          <cell r="AA7054" t="str">
            <v/>
          </cell>
          <cell r="AB7054" t="str">
            <v/>
          </cell>
          <cell r="AC7054" t="str">
            <v/>
          </cell>
          <cell r="AD7054" t="str">
            <v/>
          </cell>
          <cell r="AY7054" t="str">
            <v/>
          </cell>
          <cell r="AZ7054" t="str">
            <v/>
          </cell>
          <cell r="BA7054" t="str">
            <v/>
          </cell>
        </row>
        <row r="7055">
          <cell r="B7055" t="str">
            <v>-</v>
          </cell>
          <cell r="E7055" t="str">
            <v/>
          </cell>
          <cell r="G7055" t="str">
            <v/>
          </cell>
          <cell r="J7055" t="str">
            <v/>
          </cell>
          <cell r="O7055" t="str">
            <v/>
          </cell>
          <cell r="P7055" t="str">
            <v/>
          </cell>
          <cell r="Q7055" t="str">
            <v/>
          </cell>
          <cell r="S7055" t="str">
            <v/>
          </cell>
          <cell r="V7055" t="str">
            <v/>
          </cell>
          <cell r="Z7055" t="str">
            <v/>
          </cell>
          <cell r="AA7055" t="str">
            <v/>
          </cell>
          <cell r="AB7055" t="str">
            <v/>
          </cell>
          <cell r="AC7055" t="str">
            <v/>
          </cell>
          <cell r="AD7055" t="str">
            <v/>
          </cell>
          <cell r="AY7055" t="str">
            <v/>
          </cell>
          <cell r="AZ7055" t="str">
            <v/>
          </cell>
          <cell r="BA7055" t="str">
            <v/>
          </cell>
        </row>
        <row r="7056">
          <cell r="B7056" t="str">
            <v>-</v>
          </cell>
          <cell r="E7056" t="str">
            <v/>
          </cell>
          <cell r="G7056" t="str">
            <v/>
          </cell>
          <cell r="J7056" t="str">
            <v/>
          </cell>
          <cell r="O7056" t="str">
            <v/>
          </cell>
          <cell r="P7056" t="str">
            <v/>
          </cell>
          <cell r="Q7056" t="str">
            <v/>
          </cell>
          <cell r="S7056" t="str">
            <v/>
          </cell>
          <cell r="V7056" t="str">
            <v/>
          </cell>
          <cell r="Z7056" t="str">
            <v/>
          </cell>
          <cell r="AA7056" t="str">
            <v/>
          </cell>
          <cell r="AB7056" t="str">
            <v/>
          </cell>
          <cell r="AC7056" t="str">
            <v/>
          </cell>
          <cell r="AD7056" t="str">
            <v/>
          </cell>
          <cell r="AY7056" t="str">
            <v/>
          </cell>
          <cell r="AZ7056" t="str">
            <v/>
          </cell>
          <cell r="BA7056" t="str">
            <v/>
          </cell>
        </row>
        <row r="7057">
          <cell r="B7057" t="str">
            <v>-</v>
          </cell>
          <cell r="E7057" t="str">
            <v/>
          </cell>
          <cell r="G7057" t="str">
            <v/>
          </cell>
          <cell r="J7057" t="str">
            <v/>
          </cell>
          <cell r="O7057" t="str">
            <v/>
          </cell>
          <cell r="P7057" t="str">
            <v/>
          </cell>
          <cell r="Q7057" t="str">
            <v/>
          </cell>
          <cell r="S7057" t="str">
            <v/>
          </cell>
          <cell r="V7057" t="str">
            <v/>
          </cell>
          <cell r="Z7057" t="str">
            <v/>
          </cell>
          <cell r="AA7057" t="str">
            <v/>
          </cell>
          <cell r="AB7057" t="str">
            <v/>
          </cell>
          <cell r="AC7057" t="str">
            <v/>
          </cell>
          <cell r="AD7057" t="str">
            <v/>
          </cell>
          <cell r="AY7057" t="str">
            <v/>
          </cell>
          <cell r="AZ7057" t="str">
            <v/>
          </cell>
          <cell r="BA7057" t="str">
            <v/>
          </cell>
        </row>
        <row r="7058">
          <cell r="B7058" t="str">
            <v>-</v>
          </cell>
          <cell r="E7058" t="str">
            <v/>
          </cell>
          <cell r="G7058" t="str">
            <v/>
          </cell>
          <cell r="J7058" t="str">
            <v/>
          </cell>
          <cell r="O7058" t="str">
            <v/>
          </cell>
          <cell r="P7058" t="str">
            <v/>
          </cell>
          <cell r="Q7058" t="str">
            <v/>
          </cell>
          <cell r="S7058" t="str">
            <v/>
          </cell>
          <cell r="V7058" t="str">
            <v/>
          </cell>
          <cell r="Z7058" t="str">
            <v/>
          </cell>
          <cell r="AA7058" t="str">
            <v/>
          </cell>
          <cell r="AB7058" t="str">
            <v/>
          </cell>
          <cell r="AC7058" t="str">
            <v/>
          </cell>
          <cell r="AD7058" t="str">
            <v/>
          </cell>
          <cell r="AY7058" t="str">
            <v/>
          </cell>
          <cell r="AZ7058" t="str">
            <v/>
          </cell>
          <cell r="BA7058" t="str">
            <v/>
          </cell>
        </row>
        <row r="7059">
          <cell r="B7059" t="str">
            <v>-</v>
          </cell>
          <cell r="E7059" t="str">
            <v/>
          </cell>
          <cell r="G7059" t="str">
            <v/>
          </cell>
          <cell r="J7059" t="str">
            <v/>
          </cell>
          <cell r="O7059" t="str">
            <v/>
          </cell>
          <cell r="P7059" t="str">
            <v/>
          </cell>
          <cell r="Q7059" t="str">
            <v/>
          </cell>
          <cell r="S7059" t="str">
            <v/>
          </cell>
          <cell r="V7059" t="str">
            <v/>
          </cell>
          <cell r="Z7059" t="str">
            <v/>
          </cell>
          <cell r="AA7059" t="str">
            <v/>
          </cell>
          <cell r="AB7059" t="str">
            <v/>
          </cell>
          <cell r="AC7059" t="str">
            <v/>
          </cell>
          <cell r="AD7059" t="str">
            <v/>
          </cell>
          <cell r="AY7059" t="str">
            <v/>
          </cell>
          <cell r="AZ7059" t="str">
            <v/>
          </cell>
          <cell r="BA7059" t="str">
            <v/>
          </cell>
        </row>
        <row r="7060">
          <cell r="B7060" t="str">
            <v>-</v>
          </cell>
          <cell r="E7060" t="str">
            <v/>
          </cell>
          <cell r="G7060" t="str">
            <v/>
          </cell>
          <cell r="J7060" t="str">
            <v/>
          </cell>
          <cell r="O7060" t="str">
            <v/>
          </cell>
          <cell r="P7060" t="str">
            <v/>
          </cell>
          <cell r="Q7060" t="str">
            <v/>
          </cell>
          <cell r="S7060" t="str">
            <v/>
          </cell>
          <cell r="V7060" t="str">
            <v/>
          </cell>
          <cell r="Z7060" t="str">
            <v/>
          </cell>
          <cell r="AA7060" t="str">
            <v/>
          </cell>
          <cell r="AB7060" t="str">
            <v/>
          </cell>
          <cell r="AC7060" t="str">
            <v/>
          </cell>
          <cell r="AD7060" t="str">
            <v/>
          </cell>
          <cell r="AY7060" t="str">
            <v/>
          </cell>
          <cell r="AZ7060" t="str">
            <v/>
          </cell>
          <cell r="BA7060" t="str">
            <v/>
          </cell>
        </row>
        <row r="7061">
          <cell r="B7061" t="str">
            <v>-</v>
          </cell>
          <cell r="E7061" t="str">
            <v/>
          </cell>
          <cell r="G7061" t="str">
            <v/>
          </cell>
          <cell r="J7061" t="str">
            <v/>
          </cell>
          <cell r="O7061" t="str">
            <v/>
          </cell>
          <cell r="P7061" t="str">
            <v/>
          </cell>
          <cell r="Q7061" t="str">
            <v/>
          </cell>
          <cell r="S7061" t="str">
            <v/>
          </cell>
          <cell r="V7061" t="str">
            <v/>
          </cell>
          <cell r="Z7061" t="str">
            <v/>
          </cell>
          <cell r="AA7061" t="str">
            <v/>
          </cell>
          <cell r="AB7061" t="str">
            <v/>
          </cell>
          <cell r="AC7061" t="str">
            <v/>
          </cell>
          <cell r="AD7061" t="str">
            <v/>
          </cell>
          <cell r="AY7061" t="str">
            <v/>
          </cell>
          <cell r="AZ7061" t="str">
            <v/>
          </cell>
          <cell r="BA7061" t="str">
            <v/>
          </cell>
        </row>
        <row r="7062">
          <cell r="B7062" t="str">
            <v>-</v>
          </cell>
          <cell r="E7062" t="str">
            <v/>
          </cell>
          <cell r="G7062" t="str">
            <v/>
          </cell>
          <cell r="J7062" t="str">
            <v/>
          </cell>
          <cell r="O7062" t="str">
            <v/>
          </cell>
          <cell r="P7062" t="str">
            <v/>
          </cell>
          <cell r="Q7062" t="str">
            <v/>
          </cell>
          <cell r="S7062" t="str">
            <v/>
          </cell>
          <cell r="V7062" t="str">
            <v/>
          </cell>
          <cell r="Z7062" t="str">
            <v/>
          </cell>
          <cell r="AA7062" t="str">
            <v/>
          </cell>
          <cell r="AB7062" t="str">
            <v/>
          </cell>
          <cell r="AC7062" t="str">
            <v/>
          </cell>
          <cell r="AD7062" t="str">
            <v/>
          </cell>
          <cell r="AY7062" t="str">
            <v/>
          </cell>
          <cell r="AZ7062" t="str">
            <v/>
          </cell>
          <cell r="BA7062" t="str">
            <v/>
          </cell>
        </row>
        <row r="7063">
          <cell r="B7063" t="str">
            <v>-</v>
          </cell>
          <cell r="E7063" t="str">
            <v/>
          </cell>
          <cell r="G7063" t="str">
            <v/>
          </cell>
          <cell r="J7063" t="str">
            <v/>
          </cell>
          <cell r="O7063" t="str">
            <v/>
          </cell>
          <cell r="P7063" t="str">
            <v/>
          </cell>
          <cell r="Q7063" t="str">
            <v/>
          </cell>
          <cell r="S7063" t="str">
            <v/>
          </cell>
          <cell r="V7063" t="str">
            <v/>
          </cell>
          <cell r="Z7063" t="str">
            <v/>
          </cell>
          <cell r="AA7063" t="str">
            <v/>
          </cell>
          <cell r="AB7063" t="str">
            <v/>
          </cell>
          <cell r="AC7063" t="str">
            <v/>
          </cell>
          <cell r="AD7063" t="str">
            <v/>
          </cell>
          <cell r="AY7063" t="str">
            <v/>
          </cell>
          <cell r="AZ7063" t="str">
            <v/>
          </cell>
          <cell r="BA7063" t="str">
            <v/>
          </cell>
        </row>
        <row r="7064">
          <cell r="B7064" t="str">
            <v>-</v>
          </cell>
          <cell r="E7064" t="str">
            <v/>
          </cell>
          <cell r="G7064" t="str">
            <v/>
          </cell>
          <cell r="J7064" t="str">
            <v/>
          </cell>
          <cell r="O7064" t="str">
            <v/>
          </cell>
          <cell r="P7064" t="str">
            <v/>
          </cell>
          <cell r="Q7064" t="str">
            <v/>
          </cell>
          <cell r="S7064" t="str">
            <v/>
          </cell>
          <cell r="V7064" t="str">
            <v/>
          </cell>
          <cell r="Z7064" t="str">
            <v/>
          </cell>
          <cell r="AA7064" t="str">
            <v/>
          </cell>
          <cell r="AB7064" t="str">
            <v/>
          </cell>
          <cell r="AC7064" t="str">
            <v/>
          </cell>
          <cell r="AD7064" t="str">
            <v/>
          </cell>
          <cell r="AY7064" t="str">
            <v/>
          </cell>
          <cell r="AZ7064" t="str">
            <v/>
          </cell>
          <cell r="BA7064" t="str">
            <v/>
          </cell>
        </row>
        <row r="7065">
          <cell r="B7065" t="str">
            <v>-</v>
          </cell>
          <cell r="E7065" t="str">
            <v/>
          </cell>
          <cell r="G7065" t="str">
            <v/>
          </cell>
          <cell r="J7065" t="str">
            <v/>
          </cell>
          <cell r="O7065" t="str">
            <v/>
          </cell>
          <cell r="P7065" t="str">
            <v/>
          </cell>
          <cell r="Q7065" t="str">
            <v/>
          </cell>
          <cell r="S7065" t="str">
            <v/>
          </cell>
          <cell r="V7065" t="str">
            <v/>
          </cell>
          <cell r="Z7065" t="str">
            <v/>
          </cell>
          <cell r="AA7065" t="str">
            <v/>
          </cell>
          <cell r="AB7065" t="str">
            <v/>
          </cell>
          <cell r="AC7065" t="str">
            <v/>
          </cell>
          <cell r="AD7065" t="str">
            <v/>
          </cell>
          <cell r="AY7065" t="str">
            <v/>
          </cell>
          <cell r="AZ7065" t="str">
            <v/>
          </cell>
          <cell r="BA7065" t="str">
            <v/>
          </cell>
        </row>
        <row r="7066">
          <cell r="B7066" t="str">
            <v>-</v>
          </cell>
          <cell r="E7066" t="str">
            <v/>
          </cell>
          <cell r="G7066" t="str">
            <v/>
          </cell>
          <cell r="J7066" t="str">
            <v/>
          </cell>
          <cell r="O7066" t="str">
            <v/>
          </cell>
          <cell r="P7066" t="str">
            <v/>
          </cell>
          <cell r="Q7066" t="str">
            <v/>
          </cell>
          <cell r="S7066" t="str">
            <v/>
          </cell>
          <cell r="V7066" t="str">
            <v/>
          </cell>
          <cell r="Z7066" t="str">
            <v/>
          </cell>
          <cell r="AA7066" t="str">
            <v/>
          </cell>
          <cell r="AB7066" t="str">
            <v/>
          </cell>
          <cell r="AC7066" t="str">
            <v/>
          </cell>
          <cell r="AD7066" t="str">
            <v/>
          </cell>
          <cell r="AY7066" t="str">
            <v/>
          </cell>
          <cell r="AZ7066" t="str">
            <v/>
          </cell>
          <cell r="BA7066" t="str">
            <v/>
          </cell>
        </row>
        <row r="7067">
          <cell r="B7067" t="str">
            <v>-</v>
          </cell>
          <cell r="E7067" t="str">
            <v/>
          </cell>
          <cell r="G7067" t="str">
            <v/>
          </cell>
          <cell r="J7067" t="str">
            <v/>
          </cell>
          <cell r="O7067" t="str">
            <v/>
          </cell>
          <cell r="P7067" t="str">
            <v/>
          </cell>
          <cell r="Q7067" t="str">
            <v/>
          </cell>
          <cell r="S7067" t="str">
            <v/>
          </cell>
          <cell r="V7067" t="str">
            <v/>
          </cell>
          <cell r="Z7067" t="str">
            <v/>
          </cell>
          <cell r="AA7067" t="str">
            <v/>
          </cell>
          <cell r="AB7067" t="str">
            <v/>
          </cell>
          <cell r="AC7067" t="str">
            <v/>
          </cell>
          <cell r="AD7067" t="str">
            <v/>
          </cell>
          <cell r="AY7067" t="str">
            <v/>
          </cell>
          <cell r="AZ7067" t="str">
            <v/>
          </cell>
          <cell r="BA7067" t="str">
            <v/>
          </cell>
        </row>
        <row r="7068">
          <cell r="B7068" t="str">
            <v>-</v>
          </cell>
          <cell r="E7068" t="str">
            <v/>
          </cell>
          <cell r="G7068" t="str">
            <v/>
          </cell>
          <cell r="J7068" t="str">
            <v/>
          </cell>
          <cell r="O7068" t="str">
            <v/>
          </cell>
          <cell r="P7068" t="str">
            <v/>
          </cell>
          <cell r="Q7068" t="str">
            <v/>
          </cell>
          <cell r="S7068" t="str">
            <v/>
          </cell>
          <cell r="V7068" t="str">
            <v/>
          </cell>
          <cell r="Z7068" t="str">
            <v/>
          </cell>
          <cell r="AA7068" t="str">
            <v/>
          </cell>
          <cell r="AB7068" t="str">
            <v/>
          </cell>
          <cell r="AC7068" t="str">
            <v/>
          </cell>
          <cell r="AD7068" t="str">
            <v/>
          </cell>
          <cell r="AY7068" t="str">
            <v/>
          </cell>
          <cell r="AZ7068" t="str">
            <v/>
          </cell>
          <cell r="BA7068" t="str">
            <v/>
          </cell>
        </row>
        <row r="7069">
          <cell r="B7069" t="str">
            <v>-</v>
          </cell>
          <cell r="E7069" t="str">
            <v/>
          </cell>
          <cell r="G7069" t="str">
            <v/>
          </cell>
          <cell r="J7069" t="str">
            <v/>
          </cell>
          <cell r="O7069" t="str">
            <v/>
          </cell>
          <cell r="P7069" t="str">
            <v/>
          </cell>
          <cell r="Q7069" t="str">
            <v/>
          </cell>
          <cell r="S7069" t="str">
            <v/>
          </cell>
          <cell r="V7069" t="str">
            <v/>
          </cell>
          <cell r="Z7069" t="str">
            <v/>
          </cell>
          <cell r="AA7069" t="str">
            <v/>
          </cell>
          <cell r="AB7069" t="str">
            <v/>
          </cell>
          <cell r="AC7069" t="str">
            <v/>
          </cell>
          <cell r="AD7069" t="str">
            <v/>
          </cell>
          <cell r="AY7069" t="str">
            <v/>
          </cell>
          <cell r="AZ7069" t="str">
            <v/>
          </cell>
          <cell r="BA7069" t="str">
            <v/>
          </cell>
        </row>
        <row r="7070">
          <cell r="B7070" t="str">
            <v>-</v>
          </cell>
          <cell r="E7070" t="str">
            <v/>
          </cell>
          <cell r="G7070" t="str">
            <v/>
          </cell>
          <cell r="J7070" t="str">
            <v/>
          </cell>
          <cell r="O7070" t="str">
            <v/>
          </cell>
          <cell r="P7070" t="str">
            <v/>
          </cell>
          <cell r="Q7070" t="str">
            <v/>
          </cell>
          <cell r="S7070" t="str">
            <v/>
          </cell>
          <cell r="V7070" t="str">
            <v/>
          </cell>
          <cell r="Z7070" t="str">
            <v/>
          </cell>
          <cell r="AA7070" t="str">
            <v/>
          </cell>
          <cell r="AB7070" t="str">
            <v/>
          </cell>
          <cell r="AC7070" t="str">
            <v/>
          </cell>
          <cell r="AD7070" t="str">
            <v/>
          </cell>
          <cell r="AY7070" t="str">
            <v/>
          </cell>
          <cell r="AZ7070" t="str">
            <v/>
          </cell>
          <cell r="BA7070" t="str">
            <v/>
          </cell>
        </row>
        <row r="7071">
          <cell r="B7071" t="str">
            <v>-</v>
          </cell>
          <cell r="E7071" t="str">
            <v/>
          </cell>
          <cell r="G7071" t="str">
            <v/>
          </cell>
          <cell r="J7071" t="str">
            <v/>
          </cell>
          <cell r="O7071" t="str">
            <v/>
          </cell>
          <cell r="P7071" t="str">
            <v/>
          </cell>
          <cell r="Q7071" t="str">
            <v/>
          </cell>
          <cell r="S7071" t="str">
            <v/>
          </cell>
          <cell r="V7071" t="str">
            <v/>
          </cell>
          <cell r="Z7071" t="str">
            <v/>
          </cell>
          <cell r="AA7071" t="str">
            <v/>
          </cell>
          <cell r="AB7071" t="str">
            <v/>
          </cell>
          <cell r="AC7071" t="str">
            <v/>
          </cell>
          <cell r="AD7071" t="str">
            <v/>
          </cell>
          <cell r="AY7071" t="str">
            <v/>
          </cell>
          <cell r="AZ7071" t="str">
            <v/>
          </cell>
          <cell r="BA7071" t="str">
            <v/>
          </cell>
        </row>
        <row r="7072">
          <cell r="B7072" t="str">
            <v>-</v>
          </cell>
          <cell r="E7072" t="str">
            <v/>
          </cell>
          <cell r="G7072" t="str">
            <v/>
          </cell>
          <cell r="J7072" t="str">
            <v/>
          </cell>
          <cell r="O7072" t="str">
            <v/>
          </cell>
          <cell r="P7072" t="str">
            <v/>
          </cell>
          <cell r="Q7072" t="str">
            <v/>
          </cell>
          <cell r="S7072" t="str">
            <v/>
          </cell>
          <cell r="V7072" t="str">
            <v/>
          </cell>
          <cell r="Z7072" t="str">
            <v/>
          </cell>
          <cell r="AA7072" t="str">
            <v/>
          </cell>
          <cell r="AB7072" t="str">
            <v/>
          </cell>
          <cell r="AC7072" t="str">
            <v/>
          </cell>
          <cell r="AD7072" t="str">
            <v/>
          </cell>
          <cell r="AY7072" t="str">
            <v/>
          </cell>
          <cell r="AZ7072" t="str">
            <v/>
          </cell>
          <cell r="BA7072" t="str">
            <v/>
          </cell>
        </row>
        <row r="7073">
          <cell r="B7073" t="str">
            <v>-</v>
          </cell>
          <cell r="E7073" t="str">
            <v/>
          </cell>
          <cell r="G7073" t="str">
            <v/>
          </cell>
          <cell r="J7073" t="str">
            <v/>
          </cell>
          <cell r="O7073" t="str">
            <v/>
          </cell>
          <cell r="P7073" t="str">
            <v/>
          </cell>
          <cell r="Q7073" t="str">
            <v/>
          </cell>
          <cell r="S7073" t="str">
            <v/>
          </cell>
          <cell r="V7073" t="str">
            <v/>
          </cell>
          <cell r="Z7073" t="str">
            <v/>
          </cell>
          <cell r="AA7073" t="str">
            <v/>
          </cell>
          <cell r="AB7073" t="str">
            <v/>
          </cell>
          <cell r="AC7073" t="str">
            <v/>
          </cell>
          <cell r="AD7073" t="str">
            <v/>
          </cell>
          <cell r="AY7073" t="str">
            <v/>
          </cell>
          <cell r="AZ7073" t="str">
            <v/>
          </cell>
          <cell r="BA7073" t="str">
            <v/>
          </cell>
        </row>
        <row r="7074">
          <cell r="B7074" t="str">
            <v>-</v>
          </cell>
          <cell r="E7074" t="str">
            <v/>
          </cell>
          <cell r="G7074" t="str">
            <v/>
          </cell>
          <cell r="J7074" t="str">
            <v/>
          </cell>
          <cell r="O7074" t="str">
            <v/>
          </cell>
          <cell r="P7074" t="str">
            <v/>
          </cell>
          <cell r="Q7074" t="str">
            <v/>
          </cell>
          <cell r="S7074" t="str">
            <v/>
          </cell>
          <cell r="V7074" t="str">
            <v/>
          </cell>
          <cell r="Z7074" t="str">
            <v/>
          </cell>
          <cell r="AA7074" t="str">
            <v/>
          </cell>
          <cell r="AB7074" t="str">
            <v/>
          </cell>
          <cell r="AC7074" t="str">
            <v/>
          </cell>
          <cell r="AD7074" t="str">
            <v/>
          </cell>
          <cell r="AY7074" t="str">
            <v/>
          </cell>
          <cell r="AZ7074" t="str">
            <v/>
          </cell>
          <cell r="BA7074" t="str">
            <v/>
          </cell>
        </row>
        <row r="7075">
          <cell r="B7075" t="str">
            <v>-</v>
          </cell>
          <cell r="E7075" t="str">
            <v/>
          </cell>
          <cell r="G7075" t="str">
            <v/>
          </cell>
          <cell r="J7075" t="str">
            <v/>
          </cell>
          <cell r="O7075" t="str">
            <v/>
          </cell>
          <cell r="P7075" t="str">
            <v/>
          </cell>
          <cell r="Q7075" t="str">
            <v/>
          </cell>
          <cell r="S7075" t="str">
            <v/>
          </cell>
          <cell r="V7075" t="str">
            <v/>
          </cell>
          <cell r="Z7075" t="str">
            <v/>
          </cell>
          <cell r="AA7075" t="str">
            <v/>
          </cell>
          <cell r="AB7075" t="str">
            <v/>
          </cell>
          <cell r="AC7075" t="str">
            <v/>
          </cell>
          <cell r="AD7075" t="str">
            <v/>
          </cell>
          <cell r="AY7075" t="str">
            <v/>
          </cell>
          <cell r="AZ7075" t="str">
            <v/>
          </cell>
          <cell r="BA7075" t="str">
            <v/>
          </cell>
        </row>
        <row r="7076">
          <cell r="B7076" t="str">
            <v>-</v>
          </cell>
          <cell r="E7076" t="str">
            <v/>
          </cell>
          <cell r="G7076" t="str">
            <v/>
          </cell>
          <cell r="J7076" t="str">
            <v/>
          </cell>
          <cell r="O7076" t="str">
            <v/>
          </cell>
          <cell r="P7076" t="str">
            <v/>
          </cell>
          <cell r="Q7076" t="str">
            <v/>
          </cell>
          <cell r="S7076" t="str">
            <v/>
          </cell>
          <cell r="V7076" t="str">
            <v/>
          </cell>
          <cell r="Z7076" t="str">
            <v/>
          </cell>
          <cell r="AA7076" t="str">
            <v/>
          </cell>
          <cell r="AB7076" t="str">
            <v/>
          </cell>
          <cell r="AC7076" t="str">
            <v/>
          </cell>
          <cell r="AD7076" t="str">
            <v/>
          </cell>
          <cell r="AY7076" t="str">
            <v/>
          </cell>
          <cell r="AZ7076" t="str">
            <v/>
          </cell>
          <cell r="BA7076" t="str">
            <v/>
          </cell>
        </row>
        <row r="7077">
          <cell r="B7077" t="str">
            <v>-</v>
          </cell>
          <cell r="E7077" t="str">
            <v/>
          </cell>
          <cell r="G7077" t="str">
            <v/>
          </cell>
          <cell r="J7077" t="str">
            <v/>
          </cell>
          <cell r="O7077" t="str">
            <v/>
          </cell>
          <cell r="P7077" t="str">
            <v/>
          </cell>
          <cell r="Q7077" t="str">
            <v/>
          </cell>
          <cell r="S7077" t="str">
            <v/>
          </cell>
          <cell r="V7077" t="str">
            <v/>
          </cell>
          <cell r="Z7077" t="str">
            <v/>
          </cell>
          <cell r="AA7077" t="str">
            <v/>
          </cell>
          <cell r="AB7077" t="str">
            <v/>
          </cell>
          <cell r="AC7077" t="str">
            <v/>
          </cell>
          <cell r="AD7077" t="str">
            <v/>
          </cell>
          <cell r="AY7077" t="str">
            <v/>
          </cell>
          <cell r="AZ7077" t="str">
            <v/>
          </cell>
          <cell r="BA7077" t="str">
            <v/>
          </cell>
        </row>
        <row r="7078">
          <cell r="B7078" t="str">
            <v>-</v>
          </cell>
          <cell r="E7078" t="str">
            <v/>
          </cell>
          <cell r="G7078" t="str">
            <v/>
          </cell>
          <cell r="J7078" t="str">
            <v/>
          </cell>
          <cell r="O7078" t="str">
            <v/>
          </cell>
          <cell r="P7078" t="str">
            <v/>
          </cell>
          <cell r="Q7078" t="str">
            <v/>
          </cell>
          <cell r="S7078" t="str">
            <v/>
          </cell>
          <cell r="V7078" t="str">
            <v/>
          </cell>
          <cell r="Z7078" t="str">
            <v/>
          </cell>
          <cell r="AA7078" t="str">
            <v/>
          </cell>
          <cell r="AB7078" t="str">
            <v/>
          </cell>
          <cell r="AC7078" t="str">
            <v/>
          </cell>
          <cell r="AD7078" t="str">
            <v/>
          </cell>
          <cell r="AY7078" t="str">
            <v/>
          </cell>
          <cell r="AZ7078" t="str">
            <v/>
          </cell>
          <cell r="BA7078" t="str">
            <v/>
          </cell>
        </row>
        <row r="7079">
          <cell r="B7079" t="str">
            <v>-</v>
          </cell>
          <cell r="E7079" t="str">
            <v/>
          </cell>
          <cell r="G7079" t="str">
            <v/>
          </cell>
          <cell r="J7079" t="str">
            <v/>
          </cell>
          <cell r="O7079" t="str">
            <v/>
          </cell>
          <cell r="P7079" t="str">
            <v/>
          </cell>
          <cell r="Q7079" t="str">
            <v/>
          </cell>
          <cell r="S7079" t="str">
            <v/>
          </cell>
          <cell r="V7079" t="str">
            <v/>
          </cell>
          <cell r="Z7079" t="str">
            <v/>
          </cell>
          <cell r="AA7079" t="str">
            <v/>
          </cell>
          <cell r="AB7079" t="str">
            <v/>
          </cell>
          <cell r="AC7079" t="str">
            <v/>
          </cell>
          <cell r="AD7079" t="str">
            <v/>
          </cell>
          <cell r="AY7079" t="str">
            <v/>
          </cell>
          <cell r="AZ7079" t="str">
            <v/>
          </cell>
          <cell r="BA7079" t="str">
            <v/>
          </cell>
        </row>
        <row r="7080">
          <cell r="B7080" t="str">
            <v>-</v>
          </cell>
          <cell r="E7080" t="str">
            <v/>
          </cell>
          <cell r="G7080" t="str">
            <v/>
          </cell>
          <cell r="J7080" t="str">
            <v/>
          </cell>
          <cell r="O7080" t="str">
            <v/>
          </cell>
          <cell r="P7080" t="str">
            <v/>
          </cell>
          <cell r="Q7080" t="str">
            <v/>
          </cell>
          <cell r="S7080" t="str">
            <v/>
          </cell>
          <cell r="V7080" t="str">
            <v/>
          </cell>
          <cell r="Z7080" t="str">
            <v/>
          </cell>
          <cell r="AA7080" t="str">
            <v/>
          </cell>
          <cell r="AB7080" t="str">
            <v/>
          </cell>
          <cell r="AC7080" t="str">
            <v/>
          </cell>
          <cell r="AD7080" t="str">
            <v/>
          </cell>
          <cell r="AY7080" t="str">
            <v/>
          </cell>
          <cell r="AZ7080" t="str">
            <v/>
          </cell>
          <cell r="BA7080" t="str">
            <v/>
          </cell>
        </row>
        <row r="7081">
          <cell r="B7081" t="str">
            <v>-</v>
          </cell>
          <cell r="E7081" t="str">
            <v/>
          </cell>
          <cell r="G7081" t="str">
            <v/>
          </cell>
          <cell r="J7081" t="str">
            <v/>
          </cell>
          <cell r="O7081" t="str">
            <v/>
          </cell>
          <cell r="P7081" t="str">
            <v/>
          </cell>
          <cell r="Q7081" t="str">
            <v/>
          </cell>
          <cell r="S7081" t="str">
            <v/>
          </cell>
          <cell r="V7081" t="str">
            <v/>
          </cell>
          <cell r="Z7081" t="str">
            <v/>
          </cell>
          <cell r="AA7081" t="str">
            <v/>
          </cell>
          <cell r="AB7081" t="str">
            <v/>
          </cell>
          <cell r="AC7081" t="str">
            <v/>
          </cell>
          <cell r="AD7081" t="str">
            <v/>
          </cell>
          <cell r="AY7081" t="str">
            <v/>
          </cell>
          <cell r="AZ7081" t="str">
            <v/>
          </cell>
          <cell r="BA7081" t="str">
            <v/>
          </cell>
        </row>
        <row r="7082">
          <cell r="B7082" t="str">
            <v>-</v>
          </cell>
          <cell r="E7082" t="str">
            <v/>
          </cell>
          <cell r="G7082" t="str">
            <v/>
          </cell>
          <cell r="J7082" t="str">
            <v/>
          </cell>
          <cell r="O7082" t="str">
            <v/>
          </cell>
          <cell r="P7082" t="str">
            <v/>
          </cell>
          <cell r="Q7082" t="str">
            <v/>
          </cell>
          <cell r="S7082" t="str">
            <v/>
          </cell>
          <cell r="V7082" t="str">
            <v/>
          </cell>
          <cell r="Z7082" t="str">
            <v/>
          </cell>
          <cell r="AA7082" t="str">
            <v/>
          </cell>
          <cell r="AB7082" t="str">
            <v/>
          </cell>
          <cell r="AC7082" t="str">
            <v/>
          </cell>
          <cell r="AD7082" t="str">
            <v/>
          </cell>
          <cell r="AY7082" t="str">
            <v/>
          </cell>
          <cell r="AZ7082" t="str">
            <v/>
          </cell>
          <cell r="BA7082" t="str">
            <v/>
          </cell>
        </row>
        <row r="7083">
          <cell r="B7083" t="str">
            <v>-</v>
          </cell>
          <cell r="E7083" t="str">
            <v/>
          </cell>
          <cell r="G7083" t="str">
            <v/>
          </cell>
          <cell r="J7083" t="str">
            <v/>
          </cell>
          <cell r="O7083" t="str">
            <v/>
          </cell>
          <cell r="P7083" t="str">
            <v/>
          </cell>
          <cell r="Q7083" t="str">
            <v/>
          </cell>
          <cell r="S7083" t="str">
            <v/>
          </cell>
          <cell r="V7083" t="str">
            <v/>
          </cell>
          <cell r="Z7083" t="str">
            <v/>
          </cell>
          <cell r="AA7083" t="str">
            <v/>
          </cell>
          <cell r="AB7083" t="str">
            <v/>
          </cell>
          <cell r="AC7083" t="str">
            <v/>
          </cell>
          <cell r="AD7083" t="str">
            <v/>
          </cell>
          <cell r="AY7083" t="str">
            <v/>
          </cell>
          <cell r="AZ7083" t="str">
            <v/>
          </cell>
          <cell r="BA7083" t="str">
            <v/>
          </cell>
        </row>
        <row r="7084">
          <cell r="B7084" t="str">
            <v>-</v>
          </cell>
          <cell r="E7084" t="str">
            <v/>
          </cell>
          <cell r="G7084" t="str">
            <v/>
          </cell>
          <cell r="J7084" t="str">
            <v/>
          </cell>
          <cell r="O7084" t="str">
            <v/>
          </cell>
          <cell r="P7084" t="str">
            <v/>
          </cell>
          <cell r="Q7084" t="str">
            <v/>
          </cell>
          <cell r="S7084" t="str">
            <v/>
          </cell>
          <cell r="V7084" t="str">
            <v/>
          </cell>
          <cell r="Z7084" t="str">
            <v/>
          </cell>
          <cell r="AA7084" t="str">
            <v/>
          </cell>
          <cell r="AB7084" t="str">
            <v/>
          </cell>
          <cell r="AC7084" t="str">
            <v/>
          </cell>
          <cell r="AD7084" t="str">
            <v/>
          </cell>
          <cell r="AY7084" t="str">
            <v/>
          </cell>
          <cell r="AZ7084" t="str">
            <v/>
          </cell>
          <cell r="BA7084" t="str">
            <v/>
          </cell>
        </row>
        <row r="7085">
          <cell r="B7085" t="str">
            <v>-</v>
          </cell>
          <cell r="E7085" t="str">
            <v/>
          </cell>
          <cell r="G7085" t="str">
            <v/>
          </cell>
          <cell r="J7085" t="str">
            <v/>
          </cell>
          <cell r="O7085" t="str">
            <v/>
          </cell>
          <cell r="P7085" t="str">
            <v/>
          </cell>
          <cell r="Q7085" t="str">
            <v/>
          </cell>
          <cell r="S7085" t="str">
            <v/>
          </cell>
          <cell r="V7085" t="str">
            <v/>
          </cell>
          <cell r="Z7085" t="str">
            <v/>
          </cell>
          <cell r="AA7085" t="str">
            <v/>
          </cell>
          <cell r="AB7085" t="str">
            <v/>
          </cell>
          <cell r="AC7085" t="str">
            <v/>
          </cell>
          <cell r="AD7085" t="str">
            <v/>
          </cell>
          <cell r="AY7085" t="str">
            <v/>
          </cell>
          <cell r="AZ7085" t="str">
            <v/>
          </cell>
          <cell r="BA7085" t="str">
            <v/>
          </cell>
        </row>
        <row r="7086">
          <cell r="B7086" t="str">
            <v>-</v>
          </cell>
          <cell r="E7086" t="str">
            <v/>
          </cell>
          <cell r="G7086" t="str">
            <v/>
          </cell>
          <cell r="J7086" t="str">
            <v/>
          </cell>
          <cell r="O7086" t="str">
            <v/>
          </cell>
          <cell r="P7086" t="str">
            <v/>
          </cell>
          <cell r="Q7086" t="str">
            <v/>
          </cell>
          <cell r="S7086" t="str">
            <v/>
          </cell>
          <cell r="V7086" t="str">
            <v/>
          </cell>
          <cell r="Z7086" t="str">
            <v/>
          </cell>
          <cell r="AA7086" t="str">
            <v/>
          </cell>
          <cell r="AB7086" t="str">
            <v/>
          </cell>
          <cell r="AC7086" t="str">
            <v/>
          </cell>
          <cell r="AD7086" t="str">
            <v/>
          </cell>
          <cell r="AY7086" t="str">
            <v/>
          </cell>
          <cell r="AZ7086" t="str">
            <v/>
          </cell>
          <cell r="BA7086" t="str">
            <v/>
          </cell>
        </row>
        <row r="7087">
          <cell r="B7087" t="str">
            <v>-</v>
          </cell>
          <cell r="E7087" t="str">
            <v/>
          </cell>
          <cell r="G7087" t="str">
            <v/>
          </cell>
          <cell r="J7087" t="str">
            <v/>
          </cell>
          <cell r="O7087" t="str">
            <v/>
          </cell>
          <cell r="P7087" t="str">
            <v/>
          </cell>
          <cell r="Q7087" t="str">
            <v/>
          </cell>
          <cell r="S7087" t="str">
            <v/>
          </cell>
          <cell r="V7087" t="str">
            <v/>
          </cell>
          <cell r="Z7087" t="str">
            <v/>
          </cell>
          <cell r="AA7087" t="str">
            <v/>
          </cell>
          <cell r="AB7087" t="str">
            <v/>
          </cell>
          <cell r="AC7087" t="str">
            <v/>
          </cell>
          <cell r="AD7087" t="str">
            <v/>
          </cell>
          <cell r="AY7087" t="str">
            <v/>
          </cell>
          <cell r="AZ7087" t="str">
            <v/>
          </cell>
          <cell r="BA7087" t="str">
            <v/>
          </cell>
        </row>
        <row r="7088">
          <cell r="B7088" t="str">
            <v>-</v>
          </cell>
          <cell r="E7088" t="str">
            <v/>
          </cell>
          <cell r="G7088" t="str">
            <v/>
          </cell>
          <cell r="J7088" t="str">
            <v/>
          </cell>
          <cell r="O7088" t="str">
            <v/>
          </cell>
          <cell r="P7088" t="str">
            <v/>
          </cell>
          <cell r="Q7088" t="str">
            <v/>
          </cell>
          <cell r="S7088" t="str">
            <v/>
          </cell>
          <cell r="V7088" t="str">
            <v/>
          </cell>
          <cell r="Z7088" t="str">
            <v/>
          </cell>
          <cell r="AA7088" t="str">
            <v/>
          </cell>
          <cell r="AB7088" t="str">
            <v/>
          </cell>
          <cell r="AC7088" t="str">
            <v/>
          </cell>
          <cell r="AD7088" t="str">
            <v/>
          </cell>
          <cell r="AY7088" t="str">
            <v/>
          </cell>
          <cell r="AZ7088" t="str">
            <v/>
          </cell>
          <cell r="BA7088" t="str">
            <v/>
          </cell>
        </row>
        <row r="7089">
          <cell r="B7089" t="str">
            <v>-</v>
          </cell>
          <cell r="E7089" t="str">
            <v/>
          </cell>
          <cell r="G7089" t="str">
            <v/>
          </cell>
          <cell r="J7089" t="str">
            <v/>
          </cell>
          <cell r="O7089" t="str">
            <v/>
          </cell>
          <cell r="P7089" t="str">
            <v/>
          </cell>
          <cell r="Q7089" t="str">
            <v/>
          </cell>
          <cell r="S7089" t="str">
            <v/>
          </cell>
          <cell r="V7089" t="str">
            <v/>
          </cell>
          <cell r="Z7089" t="str">
            <v/>
          </cell>
          <cell r="AA7089" t="str">
            <v/>
          </cell>
          <cell r="AB7089" t="str">
            <v/>
          </cell>
          <cell r="AC7089" t="str">
            <v/>
          </cell>
          <cell r="AD7089" t="str">
            <v/>
          </cell>
          <cell r="AY7089" t="str">
            <v/>
          </cell>
          <cell r="AZ7089" t="str">
            <v/>
          </cell>
          <cell r="BA7089" t="str">
            <v/>
          </cell>
        </row>
        <row r="7090">
          <cell r="B7090" t="str">
            <v>-</v>
          </cell>
          <cell r="E7090" t="str">
            <v/>
          </cell>
          <cell r="G7090" t="str">
            <v/>
          </cell>
          <cell r="J7090" t="str">
            <v/>
          </cell>
          <cell r="O7090" t="str">
            <v/>
          </cell>
          <cell r="P7090" t="str">
            <v/>
          </cell>
          <cell r="Q7090" t="str">
            <v/>
          </cell>
          <cell r="S7090" t="str">
            <v/>
          </cell>
          <cell r="V7090" t="str">
            <v/>
          </cell>
          <cell r="Z7090" t="str">
            <v/>
          </cell>
          <cell r="AA7090" t="str">
            <v/>
          </cell>
          <cell r="AB7090" t="str">
            <v/>
          </cell>
          <cell r="AC7090" t="str">
            <v/>
          </cell>
          <cell r="AD7090" t="str">
            <v/>
          </cell>
          <cell r="AY7090" t="str">
            <v/>
          </cell>
          <cell r="AZ7090" t="str">
            <v/>
          </cell>
          <cell r="BA7090" t="str">
            <v/>
          </cell>
        </row>
        <row r="7091">
          <cell r="B7091" t="str">
            <v>-</v>
          </cell>
          <cell r="E7091" t="str">
            <v/>
          </cell>
          <cell r="G7091" t="str">
            <v/>
          </cell>
          <cell r="J7091" t="str">
            <v/>
          </cell>
          <cell r="O7091" t="str">
            <v/>
          </cell>
          <cell r="P7091" t="str">
            <v/>
          </cell>
          <cell r="Q7091" t="str">
            <v/>
          </cell>
          <cell r="S7091" t="str">
            <v/>
          </cell>
          <cell r="V7091" t="str">
            <v/>
          </cell>
          <cell r="Z7091" t="str">
            <v/>
          </cell>
          <cell r="AA7091" t="str">
            <v/>
          </cell>
          <cell r="AB7091" t="str">
            <v/>
          </cell>
          <cell r="AC7091" t="str">
            <v/>
          </cell>
          <cell r="AD7091" t="str">
            <v/>
          </cell>
          <cell r="AY7091" t="str">
            <v/>
          </cell>
          <cell r="AZ7091" t="str">
            <v/>
          </cell>
          <cell r="BA7091" t="str">
            <v/>
          </cell>
        </row>
        <row r="7092">
          <cell r="B7092" t="str">
            <v>-</v>
          </cell>
          <cell r="E7092" t="str">
            <v/>
          </cell>
          <cell r="G7092" t="str">
            <v/>
          </cell>
          <cell r="J7092" t="str">
            <v/>
          </cell>
          <cell r="O7092" t="str">
            <v/>
          </cell>
          <cell r="P7092" t="str">
            <v/>
          </cell>
          <cell r="Q7092" t="str">
            <v/>
          </cell>
          <cell r="S7092" t="str">
            <v/>
          </cell>
          <cell r="V7092" t="str">
            <v/>
          </cell>
          <cell r="Z7092" t="str">
            <v/>
          </cell>
          <cell r="AA7092" t="str">
            <v/>
          </cell>
          <cell r="AB7092" t="str">
            <v/>
          </cell>
          <cell r="AC7092" t="str">
            <v/>
          </cell>
          <cell r="AD7092" t="str">
            <v/>
          </cell>
          <cell r="AY7092" t="str">
            <v/>
          </cell>
          <cell r="AZ7092" t="str">
            <v/>
          </cell>
          <cell r="BA7092" t="str">
            <v/>
          </cell>
        </row>
        <row r="7093">
          <cell r="B7093" t="str">
            <v>-</v>
          </cell>
          <cell r="E7093" t="str">
            <v/>
          </cell>
          <cell r="G7093" t="str">
            <v/>
          </cell>
          <cell r="J7093" t="str">
            <v/>
          </cell>
          <cell r="O7093" t="str">
            <v/>
          </cell>
          <cell r="P7093" t="str">
            <v/>
          </cell>
          <cell r="Q7093" t="str">
            <v/>
          </cell>
          <cell r="S7093" t="str">
            <v/>
          </cell>
          <cell r="V7093" t="str">
            <v/>
          </cell>
          <cell r="Z7093" t="str">
            <v/>
          </cell>
          <cell r="AA7093" t="str">
            <v/>
          </cell>
          <cell r="AB7093" t="str">
            <v/>
          </cell>
          <cell r="AC7093" t="str">
            <v/>
          </cell>
          <cell r="AD7093" t="str">
            <v/>
          </cell>
          <cell r="AY7093" t="str">
            <v/>
          </cell>
          <cell r="AZ7093" t="str">
            <v/>
          </cell>
          <cell r="BA7093" t="str">
            <v/>
          </cell>
        </row>
        <row r="7094">
          <cell r="B7094" t="str">
            <v>-</v>
          </cell>
          <cell r="E7094" t="str">
            <v/>
          </cell>
          <cell r="G7094" t="str">
            <v/>
          </cell>
          <cell r="J7094" t="str">
            <v/>
          </cell>
          <cell r="O7094" t="str">
            <v/>
          </cell>
          <cell r="P7094" t="str">
            <v/>
          </cell>
          <cell r="Q7094" t="str">
            <v/>
          </cell>
          <cell r="S7094" t="str">
            <v/>
          </cell>
          <cell r="V7094" t="str">
            <v/>
          </cell>
          <cell r="Z7094" t="str">
            <v/>
          </cell>
          <cell r="AA7094" t="str">
            <v/>
          </cell>
          <cell r="AB7094" t="str">
            <v/>
          </cell>
          <cell r="AC7094" t="str">
            <v/>
          </cell>
          <cell r="AD7094" t="str">
            <v/>
          </cell>
          <cell r="AY7094" t="str">
            <v/>
          </cell>
          <cell r="AZ7094" t="str">
            <v/>
          </cell>
          <cell r="BA7094" t="str">
            <v/>
          </cell>
        </row>
        <row r="7095">
          <cell r="B7095" t="str">
            <v>-</v>
          </cell>
          <cell r="E7095" t="str">
            <v/>
          </cell>
          <cell r="G7095" t="str">
            <v/>
          </cell>
          <cell r="J7095" t="str">
            <v/>
          </cell>
          <cell r="O7095" t="str">
            <v/>
          </cell>
          <cell r="P7095" t="str">
            <v/>
          </cell>
          <cell r="Q7095" t="str">
            <v/>
          </cell>
          <cell r="S7095" t="str">
            <v/>
          </cell>
          <cell r="V7095" t="str">
            <v/>
          </cell>
          <cell r="Z7095" t="str">
            <v/>
          </cell>
          <cell r="AA7095" t="str">
            <v/>
          </cell>
          <cell r="AB7095" t="str">
            <v/>
          </cell>
          <cell r="AC7095" t="str">
            <v/>
          </cell>
          <cell r="AD7095" t="str">
            <v/>
          </cell>
          <cell r="AY7095" t="str">
            <v/>
          </cell>
          <cell r="AZ7095" t="str">
            <v/>
          </cell>
          <cell r="BA7095" t="str">
            <v/>
          </cell>
        </row>
        <row r="7096">
          <cell r="B7096" t="str">
            <v>-</v>
          </cell>
          <cell r="E7096" t="str">
            <v/>
          </cell>
          <cell r="G7096" t="str">
            <v/>
          </cell>
          <cell r="J7096" t="str">
            <v/>
          </cell>
          <cell r="O7096" t="str">
            <v/>
          </cell>
          <cell r="P7096" t="str">
            <v/>
          </cell>
          <cell r="Q7096" t="str">
            <v/>
          </cell>
          <cell r="S7096" t="str">
            <v/>
          </cell>
          <cell r="V7096" t="str">
            <v/>
          </cell>
          <cell r="Z7096" t="str">
            <v/>
          </cell>
          <cell r="AA7096" t="str">
            <v/>
          </cell>
          <cell r="AB7096" t="str">
            <v/>
          </cell>
          <cell r="AC7096" t="str">
            <v/>
          </cell>
          <cell r="AD7096" t="str">
            <v/>
          </cell>
          <cell r="AY7096" t="str">
            <v/>
          </cell>
          <cell r="AZ7096" t="str">
            <v/>
          </cell>
          <cell r="BA7096" t="str">
            <v/>
          </cell>
        </row>
        <row r="7097">
          <cell r="B7097" t="str">
            <v>-</v>
          </cell>
          <cell r="E7097" t="str">
            <v/>
          </cell>
          <cell r="G7097" t="str">
            <v/>
          </cell>
          <cell r="J7097" t="str">
            <v/>
          </cell>
          <cell r="O7097" t="str">
            <v/>
          </cell>
          <cell r="P7097" t="str">
            <v/>
          </cell>
          <cell r="Q7097" t="str">
            <v/>
          </cell>
          <cell r="S7097" t="str">
            <v/>
          </cell>
          <cell r="V7097" t="str">
            <v/>
          </cell>
          <cell r="Z7097" t="str">
            <v/>
          </cell>
          <cell r="AA7097" t="str">
            <v/>
          </cell>
          <cell r="AB7097" t="str">
            <v/>
          </cell>
          <cell r="AC7097" t="str">
            <v/>
          </cell>
          <cell r="AD7097" t="str">
            <v/>
          </cell>
          <cell r="AY7097" t="str">
            <v/>
          </cell>
          <cell r="AZ7097" t="str">
            <v/>
          </cell>
          <cell r="BA7097" t="str">
            <v/>
          </cell>
        </row>
        <row r="7098">
          <cell r="B7098" t="str">
            <v>-</v>
          </cell>
          <cell r="E7098" t="str">
            <v/>
          </cell>
          <cell r="G7098" t="str">
            <v/>
          </cell>
          <cell r="J7098" t="str">
            <v/>
          </cell>
          <cell r="O7098" t="str">
            <v/>
          </cell>
          <cell r="P7098" t="str">
            <v/>
          </cell>
          <cell r="Q7098" t="str">
            <v/>
          </cell>
          <cell r="S7098" t="str">
            <v/>
          </cell>
          <cell r="V7098" t="str">
            <v/>
          </cell>
          <cell r="Z7098" t="str">
            <v/>
          </cell>
          <cell r="AA7098" t="str">
            <v/>
          </cell>
          <cell r="AB7098" t="str">
            <v/>
          </cell>
          <cell r="AC7098" t="str">
            <v/>
          </cell>
          <cell r="AD7098" t="str">
            <v/>
          </cell>
          <cell r="AY7098" t="str">
            <v/>
          </cell>
          <cell r="AZ7098" t="str">
            <v/>
          </cell>
          <cell r="BA7098" t="str">
            <v/>
          </cell>
        </row>
        <row r="7099">
          <cell r="B7099" t="str">
            <v>-</v>
          </cell>
          <cell r="E7099" t="str">
            <v/>
          </cell>
          <cell r="G7099" t="str">
            <v/>
          </cell>
          <cell r="J7099" t="str">
            <v/>
          </cell>
          <cell r="O7099" t="str">
            <v/>
          </cell>
          <cell r="P7099" t="str">
            <v/>
          </cell>
          <cell r="Q7099" t="str">
            <v/>
          </cell>
          <cell r="S7099" t="str">
            <v/>
          </cell>
          <cell r="V7099" t="str">
            <v/>
          </cell>
          <cell r="Z7099" t="str">
            <v/>
          </cell>
          <cell r="AA7099" t="str">
            <v/>
          </cell>
          <cell r="AB7099" t="str">
            <v/>
          </cell>
          <cell r="AC7099" t="str">
            <v/>
          </cell>
          <cell r="AD7099" t="str">
            <v/>
          </cell>
          <cell r="AY7099" t="str">
            <v/>
          </cell>
          <cell r="AZ7099" t="str">
            <v/>
          </cell>
          <cell r="BA7099" t="str">
            <v/>
          </cell>
        </row>
        <row r="7100">
          <cell r="B7100" t="str">
            <v>-</v>
          </cell>
          <cell r="E7100" t="str">
            <v/>
          </cell>
          <cell r="G7100" t="str">
            <v/>
          </cell>
          <cell r="J7100" t="str">
            <v/>
          </cell>
          <cell r="O7100" t="str">
            <v/>
          </cell>
          <cell r="P7100" t="str">
            <v/>
          </cell>
          <cell r="Q7100" t="str">
            <v/>
          </cell>
          <cell r="S7100" t="str">
            <v/>
          </cell>
          <cell r="V7100" t="str">
            <v/>
          </cell>
          <cell r="Z7100" t="str">
            <v/>
          </cell>
          <cell r="AA7100" t="str">
            <v/>
          </cell>
          <cell r="AB7100" t="str">
            <v/>
          </cell>
          <cell r="AC7100" t="str">
            <v/>
          </cell>
          <cell r="AD7100" t="str">
            <v/>
          </cell>
          <cell r="AY7100" t="str">
            <v/>
          </cell>
          <cell r="AZ7100" t="str">
            <v/>
          </cell>
          <cell r="BA7100" t="str">
            <v/>
          </cell>
        </row>
        <row r="7101">
          <cell r="B7101" t="str">
            <v>-</v>
          </cell>
          <cell r="E7101" t="str">
            <v/>
          </cell>
          <cell r="G7101" t="str">
            <v/>
          </cell>
          <cell r="J7101" t="str">
            <v/>
          </cell>
          <cell r="O7101" t="str">
            <v/>
          </cell>
          <cell r="P7101" t="str">
            <v/>
          </cell>
          <cell r="Q7101" t="str">
            <v/>
          </cell>
          <cell r="S7101" t="str">
            <v/>
          </cell>
          <cell r="V7101" t="str">
            <v/>
          </cell>
          <cell r="Z7101" t="str">
            <v/>
          </cell>
          <cell r="AA7101" t="str">
            <v/>
          </cell>
          <cell r="AB7101" t="str">
            <v/>
          </cell>
          <cell r="AC7101" t="str">
            <v/>
          </cell>
          <cell r="AD7101" t="str">
            <v/>
          </cell>
          <cell r="AY7101" t="str">
            <v/>
          </cell>
          <cell r="AZ7101" t="str">
            <v/>
          </cell>
          <cell r="BA7101" t="str">
            <v/>
          </cell>
        </row>
        <row r="7102">
          <cell r="B7102" t="str">
            <v>-</v>
          </cell>
          <cell r="E7102" t="str">
            <v/>
          </cell>
          <cell r="G7102" t="str">
            <v/>
          </cell>
          <cell r="J7102" t="str">
            <v/>
          </cell>
          <cell r="O7102" t="str">
            <v/>
          </cell>
          <cell r="P7102" t="str">
            <v/>
          </cell>
          <cell r="Q7102" t="str">
            <v/>
          </cell>
          <cell r="S7102" t="str">
            <v/>
          </cell>
          <cell r="V7102" t="str">
            <v/>
          </cell>
          <cell r="Z7102" t="str">
            <v/>
          </cell>
          <cell r="AA7102" t="str">
            <v/>
          </cell>
          <cell r="AB7102" t="str">
            <v/>
          </cell>
          <cell r="AC7102" t="str">
            <v/>
          </cell>
          <cell r="AD7102" t="str">
            <v/>
          </cell>
          <cell r="AY7102" t="str">
            <v/>
          </cell>
          <cell r="AZ7102" t="str">
            <v/>
          </cell>
          <cell r="BA7102" t="str">
            <v/>
          </cell>
        </row>
        <row r="7103">
          <cell r="B7103" t="str">
            <v>-</v>
          </cell>
          <cell r="E7103" t="str">
            <v/>
          </cell>
          <cell r="G7103" t="str">
            <v/>
          </cell>
          <cell r="J7103" t="str">
            <v/>
          </cell>
          <cell r="O7103" t="str">
            <v/>
          </cell>
          <cell r="P7103" t="str">
            <v/>
          </cell>
          <cell r="Q7103" t="str">
            <v/>
          </cell>
          <cell r="S7103" t="str">
            <v/>
          </cell>
          <cell r="V7103" t="str">
            <v/>
          </cell>
          <cell r="Z7103" t="str">
            <v/>
          </cell>
          <cell r="AA7103" t="str">
            <v/>
          </cell>
          <cell r="AB7103" t="str">
            <v/>
          </cell>
          <cell r="AC7103" t="str">
            <v/>
          </cell>
          <cell r="AD7103" t="str">
            <v/>
          </cell>
          <cell r="AY7103" t="str">
            <v/>
          </cell>
          <cell r="AZ7103" t="str">
            <v/>
          </cell>
          <cell r="BA7103" t="str">
            <v/>
          </cell>
        </row>
        <row r="7104">
          <cell r="B7104" t="str">
            <v>-</v>
          </cell>
          <cell r="E7104" t="str">
            <v/>
          </cell>
          <cell r="G7104" t="str">
            <v/>
          </cell>
          <cell r="J7104" t="str">
            <v/>
          </cell>
          <cell r="O7104" t="str">
            <v/>
          </cell>
          <cell r="P7104" t="str">
            <v/>
          </cell>
          <cell r="Q7104" t="str">
            <v/>
          </cell>
          <cell r="S7104" t="str">
            <v/>
          </cell>
          <cell r="V7104" t="str">
            <v/>
          </cell>
          <cell r="Z7104" t="str">
            <v/>
          </cell>
          <cell r="AA7104" t="str">
            <v/>
          </cell>
          <cell r="AB7104" t="str">
            <v/>
          </cell>
          <cell r="AC7104" t="str">
            <v/>
          </cell>
          <cell r="AD7104" t="str">
            <v/>
          </cell>
          <cell r="AY7104" t="str">
            <v/>
          </cell>
          <cell r="AZ7104" t="str">
            <v/>
          </cell>
          <cell r="BA7104" t="str">
            <v/>
          </cell>
        </row>
        <row r="7105">
          <cell r="B7105" t="str">
            <v>-</v>
          </cell>
          <cell r="E7105" t="str">
            <v/>
          </cell>
          <cell r="G7105" t="str">
            <v/>
          </cell>
          <cell r="J7105" t="str">
            <v/>
          </cell>
          <cell r="O7105" t="str">
            <v/>
          </cell>
          <cell r="P7105" t="str">
            <v/>
          </cell>
          <cell r="Q7105" t="str">
            <v/>
          </cell>
          <cell r="S7105" t="str">
            <v/>
          </cell>
          <cell r="V7105" t="str">
            <v/>
          </cell>
          <cell r="Z7105" t="str">
            <v/>
          </cell>
          <cell r="AA7105" t="str">
            <v/>
          </cell>
          <cell r="AB7105" t="str">
            <v/>
          </cell>
          <cell r="AC7105" t="str">
            <v/>
          </cell>
          <cell r="AD7105" t="str">
            <v/>
          </cell>
          <cell r="AY7105" t="str">
            <v/>
          </cell>
          <cell r="AZ7105" t="str">
            <v/>
          </cell>
          <cell r="BA7105" t="str">
            <v/>
          </cell>
        </row>
        <row r="7106">
          <cell r="B7106" t="str">
            <v>-</v>
          </cell>
          <cell r="E7106" t="str">
            <v/>
          </cell>
          <cell r="G7106" t="str">
            <v/>
          </cell>
          <cell r="J7106" t="str">
            <v/>
          </cell>
          <cell r="O7106" t="str">
            <v/>
          </cell>
          <cell r="P7106" t="str">
            <v/>
          </cell>
          <cell r="Q7106" t="str">
            <v/>
          </cell>
          <cell r="S7106" t="str">
            <v/>
          </cell>
          <cell r="V7106" t="str">
            <v/>
          </cell>
          <cell r="Z7106" t="str">
            <v/>
          </cell>
          <cell r="AA7106" t="str">
            <v/>
          </cell>
          <cell r="AB7106" t="str">
            <v/>
          </cell>
          <cell r="AC7106" t="str">
            <v/>
          </cell>
          <cell r="AD7106" t="str">
            <v/>
          </cell>
          <cell r="AY7106" t="str">
            <v/>
          </cell>
          <cell r="AZ7106" t="str">
            <v/>
          </cell>
          <cell r="BA7106" t="str">
            <v/>
          </cell>
        </row>
        <row r="7107">
          <cell r="B7107" t="str">
            <v>-</v>
          </cell>
          <cell r="E7107" t="str">
            <v/>
          </cell>
          <cell r="G7107" t="str">
            <v/>
          </cell>
          <cell r="J7107" t="str">
            <v/>
          </cell>
          <cell r="O7107" t="str">
            <v/>
          </cell>
          <cell r="P7107" t="str">
            <v/>
          </cell>
          <cell r="Q7107" t="str">
            <v/>
          </cell>
          <cell r="S7107" t="str">
            <v/>
          </cell>
          <cell r="V7107" t="str">
            <v/>
          </cell>
          <cell r="Z7107" t="str">
            <v/>
          </cell>
          <cell r="AA7107" t="str">
            <v/>
          </cell>
          <cell r="AB7107" t="str">
            <v/>
          </cell>
          <cell r="AC7107" t="str">
            <v/>
          </cell>
          <cell r="AD7107" t="str">
            <v/>
          </cell>
          <cell r="AY7107" t="str">
            <v/>
          </cell>
          <cell r="AZ7107" t="str">
            <v/>
          </cell>
          <cell r="BA7107" t="str">
            <v/>
          </cell>
        </row>
        <row r="7108">
          <cell r="B7108" t="str">
            <v>-</v>
          </cell>
          <cell r="E7108" t="str">
            <v/>
          </cell>
          <cell r="G7108" t="str">
            <v/>
          </cell>
          <cell r="J7108" t="str">
            <v/>
          </cell>
          <cell r="O7108" t="str">
            <v/>
          </cell>
          <cell r="P7108" t="str">
            <v/>
          </cell>
          <cell r="Q7108" t="str">
            <v/>
          </cell>
          <cell r="S7108" t="str">
            <v/>
          </cell>
          <cell r="V7108" t="str">
            <v/>
          </cell>
          <cell r="Z7108" t="str">
            <v/>
          </cell>
          <cell r="AA7108" t="str">
            <v/>
          </cell>
          <cell r="AB7108" t="str">
            <v/>
          </cell>
          <cell r="AC7108" t="str">
            <v/>
          </cell>
          <cell r="AD7108" t="str">
            <v/>
          </cell>
          <cell r="AY7108" t="str">
            <v/>
          </cell>
          <cell r="AZ7108" t="str">
            <v/>
          </cell>
          <cell r="BA7108" t="str">
            <v/>
          </cell>
        </row>
        <row r="7109">
          <cell r="B7109" t="str">
            <v>-</v>
          </cell>
          <cell r="E7109" t="str">
            <v/>
          </cell>
          <cell r="G7109" t="str">
            <v/>
          </cell>
          <cell r="J7109" t="str">
            <v/>
          </cell>
          <cell r="O7109" t="str">
            <v/>
          </cell>
          <cell r="P7109" t="str">
            <v/>
          </cell>
          <cell r="Q7109" t="str">
            <v/>
          </cell>
          <cell r="S7109" t="str">
            <v/>
          </cell>
          <cell r="V7109" t="str">
            <v/>
          </cell>
          <cell r="Z7109" t="str">
            <v/>
          </cell>
          <cell r="AA7109" t="str">
            <v/>
          </cell>
          <cell r="AB7109" t="str">
            <v/>
          </cell>
          <cell r="AC7109" t="str">
            <v/>
          </cell>
          <cell r="AD7109" t="str">
            <v/>
          </cell>
          <cell r="AY7109" t="str">
            <v/>
          </cell>
          <cell r="AZ7109" t="str">
            <v/>
          </cell>
          <cell r="BA7109" t="str">
            <v/>
          </cell>
        </row>
        <row r="7110">
          <cell r="B7110" t="str">
            <v>-</v>
          </cell>
          <cell r="E7110" t="str">
            <v/>
          </cell>
          <cell r="G7110" t="str">
            <v/>
          </cell>
          <cell r="J7110" t="str">
            <v/>
          </cell>
          <cell r="O7110" t="str">
            <v/>
          </cell>
          <cell r="P7110" t="str">
            <v/>
          </cell>
          <cell r="Q7110" t="str">
            <v/>
          </cell>
          <cell r="S7110" t="str">
            <v/>
          </cell>
          <cell r="V7110" t="str">
            <v/>
          </cell>
          <cell r="Z7110" t="str">
            <v/>
          </cell>
          <cell r="AA7110" t="str">
            <v/>
          </cell>
          <cell r="AB7110" t="str">
            <v/>
          </cell>
          <cell r="AC7110" t="str">
            <v/>
          </cell>
          <cell r="AD7110" t="str">
            <v/>
          </cell>
          <cell r="AY7110" t="str">
            <v/>
          </cell>
          <cell r="AZ7110" t="str">
            <v/>
          </cell>
          <cell r="BA7110" t="str">
            <v/>
          </cell>
        </row>
        <row r="7111">
          <cell r="B7111" t="str">
            <v>-</v>
          </cell>
          <cell r="E7111" t="str">
            <v/>
          </cell>
          <cell r="G7111" t="str">
            <v/>
          </cell>
          <cell r="J7111" t="str">
            <v/>
          </cell>
          <cell r="O7111" t="str">
            <v/>
          </cell>
          <cell r="P7111" t="str">
            <v/>
          </cell>
          <cell r="Q7111" t="str">
            <v/>
          </cell>
          <cell r="S7111" t="str">
            <v/>
          </cell>
          <cell r="V7111" t="str">
            <v/>
          </cell>
          <cell r="Z7111" t="str">
            <v/>
          </cell>
          <cell r="AA7111" t="str">
            <v/>
          </cell>
          <cell r="AB7111" t="str">
            <v/>
          </cell>
          <cell r="AC7111" t="str">
            <v/>
          </cell>
          <cell r="AD7111" t="str">
            <v/>
          </cell>
          <cell r="AY7111" t="str">
            <v/>
          </cell>
          <cell r="AZ7111" t="str">
            <v/>
          </cell>
          <cell r="BA7111" t="str">
            <v/>
          </cell>
        </row>
        <row r="7112">
          <cell r="B7112" t="str">
            <v>-</v>
          </cell>
          <cell r="E7112" t="str">
            <v/>
          </cell>
          <cell r="G7112" t="str">
            <v/>
          </cell>
          <cell r="J7112" t="str">
            <v/>
          </cell>
          <cell r="O7112" t="str">
            <v/>
          </cell>
          <cell r="P7112" t="str">
            <v/>
          </cell>
          <cell r="Q7112" t="str">
            <v/>
          </cell>
          <cell r="S7112" t="str">
            <v/>
          </cell>
          <cell r="V7112" t="str">
            <v/>
          </cell>
          <cell r="Z7112" t="str">
            <v/>
          </cell>
          <cell r="AA7112" t="str">
            <v/>
          </cell>
          <cell r="AB7112" t="str">
            <v/>
          </cell>
          <cell r="AC7112" t="str">
            <v/>
          </cell>
          <cell r="AD7112" t="str">
            <v/>
          </cell>
          <cell r="AY7112" t="str">
            <v/>
          </cell>
          <cell r="AZ7112" t="str">
            <v/>
          </cell>
          <cell r="BA7112" t="str">
            <v/>
          </cell>
        </row>
        <row r="7113">
          <cell r="B7113" t="str">
            <v>-</v>
          </cell>
          <cell r="E7113" t="str">
            <v/>
          </cell>
          <cell r="G7113" t="str">
            <v/>
          </cell>
          <cell r="J7113" t="str">
            <v/>
          </cell>
          <cell r="O7113" t="str">
            <v/>
          </cell>
          <cell r="P7113" t="str">
            <v/>
          </cell>
          <cell r="Q7113" t="str">
            <v/>
          </cell>
          <cell r="S7113" t="str">
            <v/>
          </cell>
          <cell r="V7113" t="str">
            <v/>
          </cell>
          <cell r="Z7113" t="str">
            <v/>
          </cell>
          <cell r="AA7113" t="str">
            <v/>
          </cell>
          <cell r="AB7113" t="str">
            <v/>
          </cell>
          <cell r="AC7113" t="str">
            <v/>
          </cell>
          <cell r="AD7113" t="str">
            <v/>
          </cell>
          <cell r="AY7113" t="str">
            <v/>
          </cell>
          <cell r="AZ7113" t="str">
            <v/>
          </cell>
          <cell r="BA7113" t="str">
            <v/>
          </cell>
        </row>
        <row r="7114">
          <cell r="B7114" t="str">
            <v>-</v>
          </cell>
          <cell r="E7114" t="str">
            <v/>
          </cell>
          <cell r="G7114" t="str">
            <v/>
          </cell>
          <cell r="J7114" t="str">
            <v/>
          </cell>
          <cell r="O7114" t="str">
            <v/>
          </cell>
          <cell r="P7114" t="str">
            <v/>
          </cell>
          <cell r="Q7114" t="str">
            <v/>
          </cell>
          <cell r="S7114" t="str">
            <v/>
          </cell>
          <cell r="V7114" t="str">
            <v/>
          </cell>
          <cell r="Z7114" t="str">
            <v/>
          </cell>
          <cell r="AA7114" t="str">
            <v/>
          </cell>
          <cell r="AB7114" t="str">
            <v/>
          </cell>
          <cell r="AC7114" t="str">
            <v/>
          </cell>
          <cell r="AD7114" t="str">
            <v/>
          </cell>
          <cell r="AY7114" t="str">
            <v/>
          </cell>
          <cell r="AZ7114" t="str">
            <v/>
          </cell>
          <cell r="BA7114" t="str">
            <v/>
          </cell>
        </row>
        <row r="7115">
          <cell r="B7115" t="str">
            <v>-</v>
          </cell>
          <cell r="E7115" t="str">
            <v/>
          </cell>
          <cell r="G7115" t="str">
            <v/>
          </cell>
          <cell r="J7115" t="str">
            <v/>
          </cell>
          <cell r="O7115" t="str">
            <v/>
          </cell>
          <cell r="P7115" t="str">
            <v/>
          </cell>
          <cell r="Q7115" t="str">
            <v/>
          </cell>
          <cell r="S7115" t="str">
            <v/>
          </cell>
          <cell r="V7115" t="str">
            <v/>
          </cell>
          <cell r="Z7115" t="str">
            <v/>
          </cell>
          <cell r="AA7115" t="str">
            <v/>
          </cell>
          <cell r="AB7115" t="str">
            <v/>
          </cell>
          <cell r="AC7115" t="str">
            <v/>
          </cell>
          <cell r="AD7115" t="str">
            <v/>
          </cell>
          <cell r="AY7115" t="str">
            <v/>
          </cell>
          <cell r="AZ7115" t="str">
            <v/>
          </cell>
          <cell r="BA7115" t="str">
            <v/>
          </cell>
        </row>
        <row r="7116">
          <cell r="B7116" t="str">
            <v>-</v>
          </cell>
          <cell r="E7116" t="str">
            <v/>
          </cell>
          <cell r="G7116" t="str">
            <v/>
          </cell>
          <cell r="J7116" t="str">
            <v/>
          </cell>
          <cell r="O7116" t="str">
            <v/>
          </cell>
          <cell r="P7116" t="str">
            <v/>
          </cell>
          <cell r="Q7116" t="str">
            <v/>
          </cell>
          <cell r="S7116" t="str">
            <v/>
          </cell>
          <cell r="V7116" t="str">
            <v/>
          </cell>
          <cell r="Z7116" t="str">
            <v/>
          </cell>
          <cell r="AA7116" t="str">
            <v/>
          </cell>
          <cell r="AB7116" t="str">
            <v/>
          </cell>
          <cell r="AC7116" t="str">
            <v/>
          </cell>
          <cell r="AD7116" t="str">
            <v/>
          </cell>
          <cell r="AY7116" t="str">
            <v/>
          </cell>
          <cell r="AZ7116" t="str">
            <v/>
          </cell>
          <cell r="BA7116" t="str">
            <v/>
          </cell>
        </row>
        <row r="7117">
          <cell r="B7117" t="str">
            <v>-</v>
          </cell>
          <cell r="E7117" t="str">
            <v/>
          </cell>
          <cell r="G7117" t="str">
            <v/>
          </cell>
          <cell r="J7117" t="str">
            <v/>
          </cell>
          <cell r="O7117" t="str">
            <v/>
          </cell>
          <cell r="P7117" t="str">
            <v/>
          </cell>
          <cell r="Q7117" t="str">
            <v/>
          </cell>
          <cell r="S7117" t="str">
            <v/>
          </cell>
          <cell r="V7117" t="str">
            <v/>
          </cell>
          <cell r="Z7117" t="str">
            <v/>
          </cell>
          <cell r="AA7117" t="str">
            <v/>
          </cell>
          <cell r="AB7117" t="str">
            <v/>
          </cell>
          <cell r="AC7117" t="str">
            <v/>
          </cell>
          <cell r="AD7117" t="str">
            <v/>
          </cell>
          <cell r="AY7117" t="str">
            <v/>
          </cell>
          <cell r="AZ7117" t="str">
            <v/>
          </cell>
          <cell r="BA7117" t="str">
            <v/>
          </cell>
        </row>
        <row r="7118">
          <cell r="B7118" t="str">
            <v>-</v>
          </cell>
          <cell r="E7118" t="str">
            <v/>
          </cell>
          <cell r="G7118" t="str">
            <v/>
          </cell>
          <cell r="J7118" t="str">
            <v/>
          </cell>
          <cell r="O7118" t="str">
            <v/>
          </cell>
          <cell r="P7118" t="str">
            <v/>
          </cell>
          <cell r="Q7118" t="str">
            <v/>
          </cell>
          <cell r="S7118" t="str">
            <v/>
          </cell>
          <cell r="V7118" t="str">
            <v/>
          </cell>
          <cell r="Z7118" t="str">
            <v/>
          </cell>
          <cell r="AA7118" t="str">
            <v/>
          </cell>
          <cell r="AB7118" t="str">
            <v/>
          </cell>
          <cell r="AC7118" t="str">
            <v/>
          </cell>
          <cell r="AD7118" t="str">
            <v/>
          </cell>
          <cell r="AY7118" t="str">
            <v/>
          </cell>
          <cell r="AZ7118" t="str">
            <v/>
          </cell>
          <cell r="BA7118" t="str">
            <v/>
          </cell>
        </row>
        <row r="7119">
          <cell r="B7119" t="str">
            <v>-</v>
          </cell>
          <cell r="E7119" t="str">
            <v/>
          </cell>
          <cell r="G7119" t="str">
            <v/>
          </cell>
          <cell r="J7119" t="str">
            <v/>
          </cell>
          <cell r="O7119" t="str">
            <v/>
          </cell>
          <cell r="P7119" t="str">
            <v/>
          </cell>
          <cell r="Q7119" t="str">
            <v/>
          </cell>
          <cell r="S7119" t="str">
            <v/>
          </cell>
          <cell r="V7119" t="str">
            <v/>
          </cell>
          <cell r="Z7119" t="str">
            <v/>
          </cell>
          <cell r="AA7119" t="str">
            <v/>
          </cell>
          <cell r="AB7119" t="str">
            <v/>
          </cell>
          <cell r="AC7119" t="str">
            <v/>
          </cell>
          <cell r="AD7119" t="str">
            <v/>
          </cell>
          <cell r="AY7119" t="str">
            <v/>
          </cell>
          <cell r="AZ7119" t="str">
            <v/>
          </cell>
          <cell r="BA7119" t="str">
            <v/>
          </cell>
        </row>
        <row r="7120">
          <cell r="B7120" t="str">
            <v>-</v>
          </cell>
          <cell r="E7120" t="str">
            <v/>
          </cell>
          <cell r="G7120" t="str">
            <v/>
          </cell>
          <cell r="J7120" t="str">
            <v/>
          </cell>
          <cell r="O7120" t="str">
            <v/>
          </cell>
          <cell r="P7120" t="str">
            <v/>
          </cell>
          <cell r="Q7120" t="str">
            <v/>
          </cell>
          <cell r="S7120" t="str">
            <v/>
          </cell>
          <cell r="V7120" t="str">
            <v/>
          </cell>
          <cell r="Z7120" t="str">
            <v/>
          </cell>
          <cell r="AA7120" t="str">
            <v/>
          </cell>
          <cell r="AB7120" t="str">
            <v/>
          </cell>
          <cell r="AC7120" t="str">
            <v/>
          </cell>
          <cell r="AD7120" t="str">
            <v/>
          </cell>
          <cell r="AY7120" t="str">
            <v/>
          </cell>
          <cell r="AZ7120" t="str">
            <v/>
          </cell>
          <cell r="BA7120" t="str">
            <v/>
          </cell>
        </row>
        <row r="7121">
          <cell r="B7121" t="str">
            <v>-</v>
          </cell>
          <cell r="E7121" t="str">
            <v/>
          </cell>
          <cell r="G7121" t="str">
            <v/>
          </cell>
          <cell r="J7121" t="str">
            <v/>
          </cell>
          <cell r="O7121" t="str">
            <v/>
          </cell>
          <cell r="P7121" t="str">
            <v/>
          </cell>
          <cell r="Q7121" t="str">
            <v/>
          </cell>
          <cell r="S7121" t="str">
            <v/>
          </cell>
          <cell r="V7121" t="str">
            <v/>
          </cell>
          <cell r="Z7121" t="str">
            <v/>
          </cell>
          <cell r="AA7121" t="str">
            <v/>
          </cell>
          <cell r="AB7121" t="str">
            <v/>
          </cell>
          <cell r="AC7121" t="str">
            <v/>
          </cell>
          <cell r="AD7121" t="str">
            <v/>
          </cell>
          <cell r="AY7121" t="str">
            <v/>
          </cell>
          <cell r="AZ7121" t="str">
            <v/>
          </cell>
          <cell r="BA7121" t="str">
            <v/>
          </cell>
        </row>
        <row r="7122">
          <cell r="B7122" t="str">
            <v>-</v>
          </cell>
          <cell r="E7122" t="str">
            <v/>
          </cell>
          <cell r="G7122" t="str">
            <v/>
          </cell>
          <cell r="J7122" t="str">
            <v/>
          </cell>
          <cell r="O7122" t="str">
            <v/>
          </cell>
          <cell r="P7122" t="str">
            <v/>
          </cell>
          <cell r="Q7122" t="str">
            <v/>
          </cell>
          <cell r="S7122" t="str">
            <v/>
          </cell>
          <cell r="V7122" t="str">
            <v/>
          </cell>
          <cell r="Z7122" t="str">
            <v/>
          </cell>
          <cell r="AA7122" t="str">
            <v/>
          </cell>
          <cell r="AB7122" t="str">
            <v/>
          </cell>
          <cell r="AC7122" t="str">
            <v/>
          </cell>
          <cell r="AD7122" t="str">
            <v/>
          </cell>
          <cell r="AY7122" t="str">
            <v/>
          </cell>
          <cell r="AZ7122" t="str">
            <v/>
          </cell>
          <cell r="BA7122" t="str">
            <v/>
          </cell>
        </row>
        <row r="7123">
          <cell r="B7123" t="str">
            <v>-</v>
          </cell>
          <cell r="E7123" t="str">
            <v/>
          </cell>
          <cell r="G7123" t="str">
            <v/>
          </cell>
          <cell r="J7123" t="str">
            <v/>
          </cell>
          <cell r="O7123" t="str">
            <v/>
          </cell>
          <cell r="P7123" t="str">
            <v/>
          </cell>
          <cell r="Q7123" t="str">
            <v/>
          </cell>
          <cell r="S7123" t="str">
            <v/>
          </cell>
          <cell r="V7123" t="str">
            <v/>
          </cell>
          <cell r="Z7123" t="str">
            <v/>
          </cell>
          <cell r="AA7123" t="str">
            <v/>
          </cell>
          <cell r="AB7123" t="str">
            <v/>
          </cell>
          <cell r="AC7123" t="str">
            <v/>
          </cell>
          <cell r="AD7123" t="str">
            <v/>
          </cell>
          <cell r="AY7123" t="str">
            <v/>
          </cell>
          <cell r="AZ7123" t="str">
            <v/>
          </cell>
          <cell r="BA7123" t="str">
            <v/>
          </cell>
        </row>
        <row r="7124">
          <cell r="B7124" t="str">
            <v>-</v>
          </cell>
          <cell r="E7124" t="str">
            <v/>
          </cell>
          <cell r="G7124" t="str">
            <v/>
          </cell>
          <cell r="J7124" t="str">
            <v/>
          </cell>
          <cell r="O7124" t="str">
            <v/>
          </cell>
          <cell r="P7124" t="str">
            <v/>
          </cell>
          <cell r="Q7124" t="str">
            <v/>
          </cell>
          <cell r="S7124" t="str">
            <v/>
          </cell>
          <cell r="V7124" t="str">
            <v/>
          </cell>
          <cell r="Z7124" t="str">
            <v/>
          </cell>
          <cell r="AA7124" t="str">
            <v/>
          </cell>
          <cell r="AB7124" t="str">
            <v/>
          </cell>
          <cell r="AC7124" t="str">
            <v/>
          </cell>
          <cell r="AD7124" t="str">
            <v/>
          </cell>
          <cell r="AY7124" t="str">
            <v/>
          </cell>
          <cell r="AZ7124" t="str">
            <v/>
          </cell>
          <cell r="BA7124" t="str">
            <v/>
          </cell>
        </row>
        <row r="7125">
          <cell r="B7125" t="str">
            <v>-</v>
          </cell>
          <cell r="E7125" t="str">
            <v/>
          </cell>
          <cell r="G7125" t="str">
            <v/>
          </cell>
          <cell r="J7125" t="str">
            <v/>
          </cell>
          <cell r="O7125" t="str">
            <v/>
          </cell>
          <cell r="P7125" t="str">
            <v/>
          </cell>
          <cell r="Q7125" t="str">
            <v/>
          </cell>
          <cell r="S7125" t="str">
            <v/>
          </cell>
          <cell r="V7125" t="str">
            <v/>
          </cell>
          <cell r="Z7125" t="str">
            <v/>
          </cell>
          <cell r="AA7125" t="str">
            <v/>
          </cell>
          <cell r="AB7125" t="str">
            <v/>
          </cell>
          <cell r="AC7125" t="str">
            <v/>
          </cell>
          <cell r="AD7125" t="str">
            <v/>
          </cell>
          <cell r="AY7125" t="str">
            <v/>
          </cell>
          <cell r="AZ7125" t="str">
            <v/>
          </cell>
          <cell r="BA7125" t="str">
            <v/>
          </cell>
        </row>
        <row r="7126">
          <cell r="B7126" t="str">
            <v>-</v>
          </cell>
          <cell r="E7126" t="str">
            <v/>
          </cell>
          <cell r="G7126" t="str">
            <v/>
          </cell>
          <cell r="J7126" t="str">
            <v/>
          </cell>
          <cell r="O7126" t="str">
            <v/>
          </cell>
          <cell r="P7126" t="str">
            <v/>
          </cell>
          <cell r="Q7126" t="str">
            <v/>
          </cell>
          <cell r="S7126" t="str">
            <v/>
          </cell>
          <cell r="V7126" t="str">
            <v/>
          </cell>
          <cell r="Z7126" t="str">
            <v/>
          </cell>
          <cell r="AA7126" t="str">
            <v/>
          </cell>
          <cell r="AB7126" t="str">
            <v/>
          </cell>
          <cell r="AC7126" t="str">
            <v/>
          </cell>
          <cell r="AD7126" t="str">
            <v/>
          </cell>
          <cell r="AY7126" t="str">
            <v/>
          </cell>
          <cell r="AZ7126" t="str">
            <v/>
          </cell>
          <cell r="BA7126" t="str">
            <v/>
          </cell>
        </row>
        <row r="7127">
          <cell r="B7127" t="str">
            <v>-</v>
          </cell>
          <cell r="E7127" t="str">
            <v/>
          </cell>
          <cell r="G7127" t="str">
            <v/>
          </cell>
          <cell r="J7127" t="str">
            <v/>
          </cell>
          <cell r="O7127" t="str">
            <v/>
          </cell>
          <cell r="P7127" t="str">
            <v/>
          </cell>
          <cell r="Q7127" t="str">
            <v/>
          </cell>
          <cell r="S7127" t="str">
            <v/>
          </cell>
          <cell r="V7127" t="str">
            <v/>
          </cell>
          <cell r="Z7127" t="str">
            <v/>
          </cell>
          <cell r="AA7127" t="str">
            <v/>
          </cell>
          <cell r="AB7127" t="str">
            <v/>
          </cell>
          <cell r="AC7127" t="str">
            <v/>
          </cell>
          <cell r="AD7127" t="str">
            <v/>
          </cell>
          <cell r="AY7127" t="str">
            <v/>
          </cell>
          <cell r="AZ7127" t="str">
            <v/>
          </cell>
          <cell r="BA7127" t="str">
            <v/>
          </cell>
        </row>
        <row r="7128">
          <cell r="B7128" t="str">
            <v>-</v>
          </cell>
          <cell r="E7128" t="str">
            <v/>
          </cell>
          <cell r="G7128" t="str">
            <v/>
          </cell>
          <cell r="J7128" t="str">
            <v/>
          </cell>
          <cell r="O7128" t="str">
            <v/>
          </cell>
          <cell r="P7128" t="str">
            <v/>
          </cell>
          <cell r="Q7128" t="str">
            <v/>
          </cell>
          <cell r="S7128" t="str">
            <v/>
          </cell>
          <cell r="V7128" t="str">
            <v/>
          </cell>
          <cell r="Z7128" t="str">
            <v/>
          </cell>
          <cell r="AA7128" t="str">
            <v/>
          </cell>
          <cell r="AB7128" t="str">
            <v/>
          </cell>
          <cell r="AC7128" t="str">
            <v/>
          </cell>
          <cell r="AD7128" t="str">
            <v/>
          </cell>
          <cell r="AY7128" t="str">
            <v/>
          </cell>
          <cell r="AZ7128" t="str">
            <v/>
          </cell>
          <cell r="BA7128" t="str">
            <v/>
          </cell>
        </row>
        <row r="7129">
          <cell r="B7129" t="str">
            <v>-</v>
          </cell>
          <cell r="E7129" t="str">
            <v/>
          </cell>
          <cell r="G7129" t="str">
            <v/>
          </cell>
          <cell r="J7129" t="str">
            <v/>
          </cell>
          <cell r="O7129" t="str">
            <v/>
          </cell>
          <cell r="P7129" t="str">
            <v/>
          </cell>
          <cell r="Q7129" t="str">
            <v/>
          </cell>
          <cell r="S7129" t="str">
            <v/>
          </cell>
          <cell r="V7129" t="str">
            <v/>
          </cell>
          <cell r="Z7129" t="str">
            <v/>
          </cell>
          <cell r="AA7129" t="str">
            <v/>
          </cell>
          <cell r="AB7129" t="str">
            <v/>
          </cell>
          <cell r="AC7129" t="str">
            <v/>
          </cell>
          <cell r="AD7129" t="str">
            <v/>
          </cell>
          <cell r="AY7129" t="str">
            <v/>
          </cell>
          <cell r="AZ7129" t="str">
            <v/>
          </cell>
          <cell r="BA7129" t="str">
            <v/>
          </cell>
        </row>
        <row r="7130">
          <cell r="B7130" t="str">
            <v>-</v>
          </cell>
          <cell r="E7130" t="str">
            <v/>
          </cell>
          <cell r="G7130" t="str">
            <v/>
          </cell>
          <cell r="J7130" t="str">
            <v/>
          </cell>
          <cell r="O7130" t="str">
            <v/>
          </cell>
          <cell r="P7130" t="str">
            <v/>
          </cell>
          <cell r="Q7130" t="str">
            <v/>
          </cell>
          <cell r="S7130" t="str">
            <v/>
          </cell>
          <cell r="V7130" t="str">
            <v/>
          </cell>
          <cell r="Z7130" t="str">
            <v/>
          </cell>
          <cell r="AA7130" t="str">
            <v/>
          </cell>
          <cell r="AB7130" t="str">
            <v/>
          </cell>
          <cell r="AC7130" t="str">
            <v/>
          </cell>
          <cell r="AD7130" t="str">
            <v/>
          </cell>
          <cell r="AY7130" t="str">
            <v/>
          </cell>
          <cell r="AZ7130" t="str">
            <v/>
          </cell>
          <cell r="BA7130" t="str">
            <v/>
          </cell>
        </row>
        <row r="7131">
          <cell r="B7131" t="str">
            <v>-</v>
          </cell>
          <cell r="E7131" t="str">
            <v/>
          </cell>
          <cell r="G7131" t="str">
            <v/>
          </cell>
          <cell r="J7131" t="str">
            <v/>
          </cell>
          <cell r="O7131" t="str">
            <v/>
          </cell>
          <cell r="P7131" t="str">
            <v/>
          </cell>
          <cell r="Q7131" t="str">
            <v/>
          </cell>
          <cell r="S7131" t="str">
            <v/>
          </cell>
          <cell r="V7131" t="str">
            <v/>
          </cell>
          <cell r="Z7131" t="str">
            <v/>
          </cell>
          <cell r="AA7131" t="str">
            <v/>
          </cell>
          <cell r="AB7131" t="str">
            <v/>
          </cell>
          <cell r="AC7131" t="str">
            <v/>
          </cell>
          <cell r="AD7131" t="str">
            <v/>
          </cell>
          <cell r="AY7131" t="str">
            <v/>
          </cell>
          <cell r="AZ7131" t="str">
            <v/>
          </cell>
          <cell r="BA7131" t="str">
            <v/>
          </cell>
        </row>
        <row r="7132">
          <cell r="B7132" t="str">
            <v>-</v>
          </cell>
          <cell r="E7132" t="str">
            <v/>
          </cell>
          <cell r="G7132" t="str">
            <v/>
          </cell>
          <cell r="J7132" t="str">
            <v/>
          </cell>
          <cell r="O7132" t="str">
            <v/>
          </cell>
          <cell r="P7132" t="str">
            <v/>
          </cell>
          <cell r="Q7132" t="str">
            <v/>
          </cell>
          <cell r="S7132" t="str">
            <v/>
          </cell>
          <cell r="V7132" t="str">
            <v/>
          </cell>
          <cell r="Z7132" t="str">
            <v/>
          </cell>
          <cell r="AA7132" t="str">
            <v/>
          </cell>
          <cell r="AB7132" t="str">
            <v/>
          </cell>
          <cell r="AC7132" t="str">
            <v/>
          </cell>
          <cell r="AD7132" t="str">
            <v/>
          </cell>
          <cell r="AY7132" t="str">
            <v/>
          </cell>
          <cell r="AZ7132" t="str">
            <v/>
          </cell>
          <cell r="BA7132" t="str">
            <v/>
          </cell>
        </row>
        <row r="7133">
          <cell r="B7133" t="str">
            <v>-</v>
          </cell>
          <cell r="E7133" t="str">
            <v/>
          </cell>
          <cell r="G7133" t="str">
            <v/>
          </cell>
          <cell r="J7133" t="str">
            <v/>
          </cell>
          <cell r="O7133" t="str">
            <v/>
          </cell>
          <cell r="P7133" t="str">
            <v/>
          </cell>
          <cell r="Q7133" t="str">
            <v/>
          </cell>
          <cell r="S7133" t="str">
            <v/>
          </cell>
          <cell r="V7133" t="str">
            <v/>
          </cell>
          <cell r="Z7133" t="str">
            <v/>
          </cell>
          <cell r="AA7133" t="str">
            <v/>
          </cell>
          <cell r="AB7133" t="str">
            <v/>
          </cell>
          <cell r="AC7133" t="str">
            <v/>
          </cell>
          <cell r="AD7133" t="str">
            <v/>
          </cell>
          <cell r="AY7133" t="str">
            <v/>
          </cell>
          <cell r="AZ7133" t="str">
            <v/>
          </cell>
          <cell r="BA7133" t="str">
            <v/>
          </cell>
        </row>
        <row r="7134">
          <cell r="B7134" t="str">
            <v>-</v>
          </cell>
          <cell r="E7134" t="str">
            <v/>
          </cell>
          <cell r="G7134" t="str">
            <v/>
          </cell>
          <cell r="J7134" t="str">
            <v/>
          </cell>
          <cell r="O7134" t="str">
            <v/>
          </cell>
          <cell r="P7134" t="str">
            <v/>
          </cell>
          <cell r="Q7134" t="str">
            <v/>
          </cell>
          <cell r="S7134" t="str">
            <v/>
          </cell>
          <cell r="V7134" t="str">
            <v/>
          </cell>
          <cell r="Z7134" t="str">
            <v/>
          </cell>
          <cell r="AA7134" t="str">
            <v/>
          </cell>
          <cell r="AB7134" t="str">
            <v/>
          </cell>
          <cell r="AC7134" t="str">
            <v/>
          </cell>
          <cell r="AD7134" t="str">
            <v/>
          </cell>
          <cell r="AY7134" t="str">
            <v/>
          </cell>
          <cell r="AZ7134" t="str">
            <v/>
          </cell>
          <cell r="BA7134" t="str">
            <v/>
          </cell>
        </row>
        <row r="7135">
          <cell r="B7135" t="str">
            <v>-</v>
          </cell>
          <cell r="E7135" t="str">
            <v/>
          </cell>
          <cell r="G7135" t="str">
            <v/>
          </cell>
          <cell r="J7135" t="str">
            <v/>
          </cell>
          <cell r="O7135" t="str">
            <v/>
          </cell>
          <cell r="P7135" t="str">
            <v/>
          </cell>
          <cell r="Q7135" t="str">
            <v/>
          </cell>
          <cell r="S7135" t="str">
            <v/>
          </cell>
          <cell r="V7135" t="str">
            <v/>
          </cell>
          <cell r="Z7135" t="str">
            <v/>
          </cell>
          <cell r="AA7135" t="str">
            <v/>
          </cell>
          <cell r="AB7135" t="str">
            <v/>
          </cell>
          <cell r="AC7135" t="str">
            <v/>
          </cell>
          <cell r="AD7135" t="str">
            <v/>
          </cell>
          <cell r="AY7135" t="str">
            <v/>
          </cell>
          <cell r="AZ7135" t="str">
            <v/>
          </cell>
          <cell r="BA7135" t="str">
            <v/>
          </cell>
        </row>
        <row r="7136">
          <cell r="B7136" t="str">
            <v>-</v>
          </cell>
          <cell r="E7136" t="str">
            <v/>
          </cell>
          <cell r="G7136" t="str">
            <v/>
          </cell>
          <cell r="J7136" t="str">
            <v/>
          </cell>
          <cell r="O7136" t="str">
            <v/>
          </cell>
          <cell r="P7136" t="str">
            <v/>
          </cell>
          <cell r="Q7136" t="str">
            <v/>
          </cell>
          <cell r="S7136" t="str">
            <v/>
          </cell>
          <cell r="V7136" t="str">
            <v/>
          </cell>
          <cell r="Z7136" t="str">
            <v/>
          </cell>
          <cell r="AA7136" t="str">
            <v/>
          </cell>
          <cell r="AB7136" t="str">
            <v/>
          </cell>
          <cell r="AC7136" t="str">
            <v/>
          </cell>
          <cell r="AD7136" t="str">
            <v/>
          </cell>
          <cell r="AY7136" t="str">
            <v/>
          </cell>
          <cell r="AZ7136" t="str">
            <v/>
          </cell>
          <cell r="BA7136" t="str">
            <v/>
          </cell>
        </row>
        <row r="7137">
          <cell r="B7137" t="str">
            <v>-</v>
          </cell>
          <cell r="E7137" t="str">
            <v/>
          </cell>
          <cell r="G7137" t="str">
            <v/>
          </cell>
          <cell r="J7137" t="str">
            <v/>
          </cell>
          <cell r="O7137" t="str">
            <v/>
          </cell>
          <cell r="P7137" t="str">
            <v/>
          </cell>
          <cell r="Q7137" t="str">
            <v/>
          </cell>
          <cell r="S7137" t="str">
            <v/>
          </cell>
          <cell r="V7137" t="str">
            <v/>
          </cell>
          <cell r="Z7137" t="str">
            <v/>
          </cell>
          <cell r="AA7137" t="str">
            <v/>
          </cell>
          <cell r="AB7137" t="str">
            <v/>
          </cell>
          <cell r="AC7137" t="str">
            <v/>
          </cell>
          <cell r="AD7137" t="str">
            <v/>
          </cell>
          <cell r="AY7137" t="str">
            <v/>
          </cell>
          <cell r="AZ7137" t="str">
            <v/>
          </cell>
          <cell r="BA7137" t="str">
            <v/>
          </cell>
        </row>
        <row r="7138">
          <cell r="B7138" t="str">
            <v>-</v>
          </cell>
          <cell r="E7138" t="str">
            <v/>
          </cell>
          <cell r="G7138" t="str">
            <v/>
          </cell>
          <cell r="J7138" t="str">
            <v/>
          </cell>
          <cell r="O7138" t="str">
            <v/>
          </cell>
          <cell r="P7138" t="str">
            <v/>
          </cell>
          <cell r="Q7138" t="str">
            <v/>
          </cell>
          <cell r="S7138" t="str">
            <v/>
          </cell>
          <cell r="V7138" t="str">
            <v/>
          </cell>
          <cell r="Z7138" t="str">
            <v/>
          </cell>
          <cell r="AA7138" t="str">
            <v/>
          </cell>
          <cell r="AB7138" t="str">
            <v/>
          </cell>
          <cell r="AC7138" t="str">
            <v/>
          </cell>
          <cell r="AD7138" t="str">
            <v/>
          </cell>
          <cell r="AY7138" t="str">
            <v/>
          </cell>
          <cell r="AZ7138" t="str">
            <v/>
          </cell>
          <cell r="BA7138" t="str">
            <v/>
          </cell>
        </row>
        <row r="7139">
          <cell r="B7139" t="str">
            <v>-</v>
          </cell>
          <cell r="E7139" t="str">
            <v/>
          </cell>
          <cell r="G7139" t="str">
            <v/>
          </cell>
          <cell r="J7139" t="str">
            <v/>
          </cell>
          <cell r="O7139" t="str">
            <v/>
          </cell>
          <cell r="P7139" t="str">
            <v/>
          </cell>
          <cell r="Q7139" t="str">
            <v/>
          </cell>
          <cell r="S7139" t="str">
            <v/>
          </cell>
          <cell r="V7139" t="str">
            <v/>
          </cell>
          <cell r="Z7139" t="str">
            <v/>
          </cell>
          <cell r="AA7139" t="str">
            <v/>
          </cell>
          <cell r="AB7139" t="str">
            <v/>
          </cell>
          <cell r="AC7139" t="str">
            <v/>
          </cell>
          <cell r="AD7139" t="str">
            <v/>
          </cell>
          <cell r="AY7139" t="str">
            <v/>
          </cell>
          <cell r="AZ7139" t="str">
            <v/>
          </cell>
          <cell r="BA7139" t="str">
            <v/>
          </cell>
        </row>
        <row r="7140">
          <cell r="B7140" t="str">
            <v>-</v>
          </cell>
          <cell r="E7140" t="str">
            <v/>
          </cell>
          <cell r="G7140" t="str">
            <v/>
          </cell>
          <cell r="J7140" t="str">
            <v/>
          </cell>
          <cell r="O7140" t="str">
            <v/>
          </cell>
          <cell r="P7140" t="str">
            <v/>
          </cell>
          <cell r="Q7140" t="str">
            <v/>
          </cell>
          <cell r="S7140" t="str">
            <v/>
          </cell>
          <cell r="V7140" t="str">
            <v/>
          </cell>
          <cell r="Z7140" t="str">
            <v/>
          </cell>
          <cell r="AA7140" t="str">
            <v/>
          </cell>
          <cell r="AB7140" t="str">
            <v/>
          </cell>
          <cell r="AC7140" t="str">
            <v/>
          </cell>
          <cell r="AD7140" t="str">
            <v/>
          </cell>
          <cell r="AY7140" t="str">
            <v/>
          </cell>
          <cell r="AZ7140" t="str">
            <v/>
          </cell>
          <cell r="BA7140" t="str">
            <v/>
          </cell>
        </row>
        <row r="7141">
          <cell r="B7141" t="str">
            <v>-</v>
          </cell>
          <cell r="E7141" t="str">
            <v/>
          </cell>
          <cell r="G7141" t="str">
            <v/>
          </cell>
          <cell r="J7141" t="str">
            <v/>
          </cell>
          <cell r="O7141" t="str">
            <v/>
          </cell>
          <cell r="P7141" t="str">
            <v/>
          </cell>
          <cell r="Q7141" t="str">
            <v/>
          </cell>
          <cell r="S7141" t="str">
            <v/>
          </cell>
          <cell r="V7141" t="str">
            <v/>
          </cell>
          <cell r="Z7141" t="str">
            <v/>
          </cell>
          <cell r="AA7141" t="str">
            <v/>
          </cell>
          <cell r="AB7141" t="str">
            <v/>
          </cell>
          <cell r="AC7141" t="str">
            <v/>
          </cell>
          <cell r="AD7141" t="str">
            <v/>
          </cell>
          <cell r="AY7141" t="str">
            <v/>
          </cell>
          <cell r="AZ7141" t="str">
            <v/>
          </cell>
          <cell r="BA7141" t="str">
            <v/>
          </cell>
        </row>
        <row r="7142">
          <cell r="B7142" t="str">
            <v>-</v>
          </cell>
          <cell r="E7142" t="str">
            <v/>
          </cell>
          <cell r="G7142" t="str">
            <v/>
          </cell>
          <cell r="J7142" t="str">
            <v/>
          </cell>
          <cell r="O7142" t="str">
            <v/>
          </cell>
          <cell r="P7142" t="str">
            <v/>
          </cell>
          <cell r="Q7142" t="str">
            <v/>
          </cell>
          <cell r="S7142" t="str">
            <v/>
          </cell>
          <cell r="V7142" t="str">
            <v/>
          </cell>
          <cell r="Z7142" t="str">
            <v/>
          </cell>
          <cell r="AA7142" t="str">
            <v/>
          </cell>
          <cell r="AB7142" t="str">
            <v/>
          </cell>
          <cell r="AC7142" t="str">
            <v/>
          </cell>
          <cell r="AD7142" t="str">
            <v/>
          </cell>
          <cell r="AY7142" t="str">
            <v/>
          </cell>
          <cell r="AZ7142" t="str">
            <v/>
          </cell>
          <cell r="BA7142" t="str">
            <v/>
          </cell>
        </row>
        <row r="7143">
          <cell r="B7143" t="str">
            <v>-</v>
          </cell>
          <cell r="E7143" t="str">
            <v/>
          </cell>
          <cell r="G7143" t="str">
            <v/>
          </cell>
          <cell r="J7143" t="str">
            <v/>
          </cell>
          <cell r="O7143" t="str">
            <v/>
          </cell>
          <cell r="P7143" t="str">
            <v/>
          </cell>
          <cell r="Q7143" t="str">
            <v/>
          </cell>
          <cell r="S7143" t="str">
            <v/>
          </cell>
          <cell r="V7143" t="str">
            <v/>
          </cell>
          <cell r="Z7143" t="str">
            <v/>
          </cell>
          <cell r="AA7143" t="str">
            <v/>
          </cell>
          <cell r="AB7143" t="str">
            <v/>
          </cell>
          <cell r="AC7143" t="str">
            <v/>
          </cell>
          <cell r="AD7143" t="str">
            <v/>
          </cell>
          <cell r="AY7143" t="str">
            <v/>
          </cell>
          <cell r="AZ7143" t="str">
            <v/>
          </cell>
          <cell r="BA7143" t="str">
            <v/>
          </cell>
        </row>
        <row r="7144">
          <cell r="B7144" t="str">
            <v>-</v>
          </cell>
          <cell r="E7144" t="str">
            <v/>
          </cell>
          <cell r="G7144" t="str">
            <v/>
          </cell>
          <cell r="J7144" t="str">
            <v/>
          </cell>
          <cell r="O7144" t="str">
            <v/>
          </cell>
          <cell r="P7144" t="str">
            <v/>
          </cell>
          <cell r="Q7144" t="str">
            <v/>
          </cell>
          <cell r="S7144" t="str">
            <v/>
          </cell>
          <cell r="V7144" t="str">
            <v/>
          </cell>
          <cell r="Z7144" t="str">
            <v/>
          </cell>
          <cell r="AA7144" t="str">
            <v/>
          </cell>
          <cell r="AB7144" t="str">
            <v/>
          </cell>
          <cell r="AC7144" t="str">
            <v/>
          </cell>
          <cell r="AD7144" t="str">
            <v/>
          </cell>
          <cell r="AY7144" t="str">
            <v/>
          </cell>
          <cell r="AZ7144" t="str">
            <v/>
          </cell>
          <cell r="BA7144" t="str">
            <v/>
          </cell>
        </row>
        <row r="7145">
          <cell r="B7145" t="str">
            <v>-</v>
          </cell>
          <cell r="E7145" t="str">
            <v/>
          </cell>
          <cell r="G7145" t="str">
            <v/>
          </cell>
          <cell r="J7145" t="str">
            <v/>
          </cell>
          <cell r="O7145" t="str">
            <v/>
          </cell>
          <cell r="P7145" t="str">
            <v/>
          </cell>
          <cell r="Q7145" t="str">
            <v/>
          </cell>
          <cell r="S7145" t="str">
            <v/>
          </cell>
          <cell r="V7145" t="str">
            <v/>
          </cell>
          <cell r="Z7145" t="str">
            <v/>
          </cell>
          <cell r="AA7145" t="str">
            <v/>
          </cell>
          <cell r="AB7145" t="str">
            <v/>
          </cell>
          <cell r="AC7145" t="str">
            <v/>
          </cell>
          <cell r="AD7145" t="str">
            <v/>
          </cell>
          <cell r="AY7145" t="str">
            <v/>
          </cell>
          <cell r="AZ7145" t="str">
            <v/>
          </cell>
          <cell r="BA7145" t="str">
            <v/>
          </cell>
        </row>
        <row r="7146">
          <cell r="B7146" t="str">
            <v>-</v>
          </cell>
          <cell r="E7146" t="str">
            <v/>
          </cell>
          <cell r="G7146" t="str">
            <v/>
          </cell>
          <cell r="J7146" t="str">
            <v/>
          </cell>
          <cell r="O7146" t="str">
            <v/>
          </cell>
          <cell r="P7146" t="str">
            <v/>
          </cell>
          <cell r="Q7146" t="str">
            <v/>
          </cell>
          <cell r="S7146" t="str">
            <v/>
          </cell>
          <cell r="V7146" t="str">
            <v/>
          </cell>
          <cell r="Z7146" t="str">
            <v/>
          </cell>
          <cell r="AA7146" t="str">
            <v/>
          </cell>
          <cell r="AB7146" t="str">
            <v/>
          </cell>
          <cell r="AC7146" t="str">
            <v/>
          </cell>
          <cell r="AD7146" t="str">
            <v/>
          </cell>
          <cell r="AY7146" t="str">
            <v/>
          </cell>
          <cell r="AZ7146" t="str">
            <v/>
          </cell>
          <cell r="BA7146" t="str">
            <v/>
          </cell>
        </row>
        <row r="7147">
          <cell r="B7147" t="str">
            <v>-</v>
          </cell>
          <cell r="E7147" t="str">
            <v/>
          </cell>
          <cell r="G7147" t="str">
            <v/>
          </cell>
          <cell r="J7147" t="str">
            <v/>
          </cell>
          <cell r="O7147" t="str">
            <v/>
          </cell>
          <cell r="P7147" t="str">
            <v/>
          </cell>
          <cell r="Q7147" t="str">
            <v/>
          </cell>
          <cell r="S7147" t="str">
            <v/>
          </cell>
          <cell r="V7147" t="str">
            <v/>
          </cell>
          <cell r="Z7147" t="str">
            <v/>
          </cell>
          <cell r="AA7147" t="str">
            <v/>
          </cell>
          <cell r="AB7147" t="str">
            <v/>
          </cell>
          <cell r="AC7147" t="str">
            <v/>
          </cell>
          <cell r="AD7147" t="str">
            <v/>
          </cell>
          <cell r="AY7147" t="str">
            <v/>
          </cell>
          <cell r="AZ7147" t="str">
            <v/>
          </cell>
          <cell r="BA7147" t="str">
            <v/>
          </cell>
        </row>
        <row r="7148">
          <cell r="B7148" t="str">
            <v>-</v>
          </cell>
          <cell r="E7148" t="str">
            <v/>
          </cell>
          <cell r="G7148" t="str">
            <v/>
          </cell>
          <cell r="J7148" t="str">
            <v/>
          </cell>
          <cell r="O7148" t="str">
            <v/>
          </cell>
          <cell r="P7148" t="str">
            <v/>
          </cell>
          <cell r="Q7148" t="str">
            <v/>
          </cell>
          <cell r="S7148" t="str">
            <v/>
          </cell>
          <cell r="V7148" t="str">
            <v/>
          </cell>
          <cell r="Z7148" t="str">
            <v/>
          </cell>
          <cell r="AA7148" t="str">
            <v/>
          </cell>
          <cell r="AB7148" t="str">
            <v/>
          </cell>
          <cell r="AC7148" t="str">
            <v/>
          </cell>
          <cell r="AD7148" t="str">
            <v/>
          </cell>
          <cell r="AY7148" t="str">
            <v/>
          </cell>
          <cell r="AZ7148" t="str">
            <v/>
          </cell>
          <cell r="BA7148" t="str">
            <v/>
          </cell>
        </row>
        <row r="7149">
          <cell r="B7149" t="str">
            <v>-</v>
          </cell>
          <cell r="E7149" t="str">
            <v/>
          </cell>
          <cell r="G7149" t="str">
            <v/>
          </cell>
          <cell r="J7149" t="str">
            <v/>
          </cell>
          <cell r="O7149" t="str">
            <v/>
          </cell>
          <cell r="P7149" t="str">
            <v/>
          </cell>
          <cell r="Q7149" t="str">
            <v/>
          </cell>
          <cell r="S7149" t="str">
            <v/>
          </cell>
          <cell r="V7149" t="str">
            <v/>
          </cell>
          <cell r="Z7149" t="str">
            <v/>
          </cell>
          <cell r="AA7149" t="str">
            <v/>
          </cell>
          <cell r="AB7149" t="str">
            <v/>
          </cell>
          <cell r="AC7149" t="str">
            <v/>
          </cell>
          <cell r="AD7149" t="str">
            <v/>
          </cell>
          <cell r="AY7149" t="str">
            <v/>
          </cell>
          <cell r="AZ7149" t="str">
            <v/>
          </cell>
          <cell r="BA7149" t="str">
            <v/>
          </cell>
        </row>
        <row r="7150">
          <cell r="B7150" t="str">
            <v>-</v>
          </cell>
          <cell r="E7150" t="str">
            <v/>
          </cell>
          <cell r="G7150" t="str">
            <v/>
          </cell>
          <cell r="J7150" t="str">
            <v/>
          </cell>
          <cell r="O7150" t="str">
            <v/>
          </cell>
          <cell r="P7150" t="str">
            <v/>
          </cell>
          <cell r="Q7150" t="str">
            <v/>
          </cell>
          <cell r="S7150" t="str">
            <v/>
          </cell>
          <cell r="V7150" t="str">
            <v/>
          </cell>
          <cell r="Z7150" t="str">
            <v/>
          </cell>
          <cell r="AA7150" t="str">
            <v/>
          </cell>
          <cell r="AB7150" t="str">
            <v/>
          </cell>
          <cell r="AC7150" t="str">
            <v/>
          </cell>
          <cell r="AD7150" t="str">
            <v/>
          </cell>
          <cell r="AY7150" t="str">
            <v/>
          </cell>
          <cell r="AZ7150" t="str">
            <v/>
          </cell>
          <cell r="BA7150" t="str">
            <v/>
          </cell>
        </row>
        <row r="7151">
          <cell r="B7151" t="str">
            <v>-</v>
          </cell>
          <cell r="E7151" t="str">
            <v/>
          </cell>
          <cell r="G7151" t="str">
            <v/>
          </cell>
          <cell r="J7151" t="str">
            <v/>
          </cell>
          <cell r="O7151" t="str">
            <v/>
          </cell>
          <cell r="P7151" t="str">
            <v/>
          </cell>
          <cell r="Q7151" t="str">
            <v/>
          </cell>
          <cell r="S7151" t="str">
            <v/>
          </cell>
          <cell r="V7151" t="str">
            <v/>
          </cell>
          <cell r="Z7151" t="str">
            <v/>
          </cell>
          <cell r="AA7151" t="str">
            <v/>
          </cell>
          <cell r="AB7151" t="str">
            <v/>
          </cell>
          <cell r="AC7151" t="str">
            <v/>
          </cell>
          <cell r="AD7151" t="str">
            <v/>
          </cell>
          <cell r="AY7151" t="str">
            <v/>
          </cell>
          <cell r="AZ7151" t="str">
            <v/>
          </cell>
          <cell r="BA7151" t="str">
            <v/>
          </cell>
        </row>
        <row r="7152">
          <cell r="B7152" t="str">
            <v>-</v>
          </cell>
          <cell r="E7152" t="str">
            <v/>
          </cell>
          <cell r="G7152" t="str">
            <v/>
          </cell>
          <cell r="J7152" t="str">
            <v/>
          </cell>
          <cell r="O7152" t="str">
            <v/>
          </cell>
          <cell r="P7152" t="str">
            <v/>
          </cell>
          <cell r="Q7152" t="str">
            <v/>
          </cell>
          <cell r="S7152" t="str">
            <v/>
          </cell>
          <cell r="V7152" t="str">
            <v/>
          </cell>
          <cell r="Z7152" t="str">
            <v/>
          </cell>
          <cell r="AA7152" t="str">
            <v/>
          </cell>
          <cell r="AB7152" t="str">
            <v/>
          </cell>
          <cell r="AC7152" t="str">
            <v/>
          </cell>
          <cell r="AD7152" t="str">
            <v/>
          </cell>
          <cell r="AY7152" t="str">
            <v/>
          </cell>
          <cell r="AZ7152" t="str">
            <v/>
          </cell>
          <cell r="BA7152" t="str">
            <v/>
          </cell>
        </row>
        <row r="7153">
          <cell r="B7153" t="str">
            <v>-</v>
          </cell>
          <cell r="E7153" t="str">
            <v/>
          </cell>
          <cell r="G7153" t="str">
            <v/>
          </cell>
          <cell r="J7153" t="str">
            <v/>
          </cell>
          <cell r="O7153" t="str">
            <v/>
          </cell>
          <cell r="P7153" t="str">
            <v/>
          </cell>
          <cell r="Q7153" t="str">
            <v/>
          </cell>
          <cell r="S7153" t="str">
            <v/>
          </cell>
          <cell r="V7153" t="str">
            <v/>
          </cell>
          <cell r="Z7153" t="str">
            <v/>
          </cell>
          <cell r="AA7153" t="str">
            <v/>
          </cell>
          <cell r="AB7153" t="str">
            <v/>
          </cell>
          <cell r="AC7153" t="str">
            <v/>
          </cell>
          <cell r="AD7153" t="str">
            <v/>
          </cell>
          <cell r="AY7153" t="str">
            <v/>
          </cell>
          <cell r="AZ7153" t="str">
            <v/>
          </cell>
          <cell r="BA7153" t="str">
            <v/>
          </cell>
        </row>
        <row r="7154">
          <cell r="B7154" t="str">
            <v>-</v>
          </cell>
          <cell r="E7154" t="str">
            <v/>
          </cell>
          <cell r="G7154" t="str">
            <v/>
          </cell>
          <cell r="J7154" t="str">
            <v/>
          </cell>
          <cell r="O7154" t="str">
            <v/>
          </cell>
          <cell r="P7154" t="str">
            <v/>
          </cell>
          <cell r="Q7154" t="str">
            <v/>
          </cell>
          <cell r="S7154" t="str">
            <v/>
          </cell>
          <cell r="V7154" t="str">
            <v/>
          </cell>
          <cell r="Z7154" t="str">
            <v/>
          </cell>
          <cell r="AA7154" t="str">
            <v/>
          </cell>
          <cell r="AB7154" t="str">
            <v/>
          </cell>
          <cell r="AC7154" t="str">
            <v/>
          </cell>
          <cell r="AD7154" t="str">
            <v/>
          </cell>
          <cell r="AY7154" t="str">
            <v/>
          </cell>
          <cell r="AZ7154" t="str">
            <v/>
          </cell>
          <cell r="BA7154" t="str">
            <v/>
          </cell>
        </row>
        <row r="7155">
          <cell r="B7155" t="str">
            <v>-</v>
          </cell>
          <cell r="E7155" t="str">
            <v/>
          </cell>
          <cell r="G7155" t="str">
            <v/>
          </cell>
          <cell r="J7155" t="str">
            <v/>
          </cell>
          <cell r="O7155" t="str">
            <v/>
          </cell>
          <cell r="P7155" t="str">
            <v/>
          </cell>
          <cell r="Q7155" t="str">
            <v/>
          </cell>
          <cell r="S7155" t="str">
            <v/>
          </cell>
          <cell r="V7155" t="str">
            <v/>
          </cell>
          <cell r="Z7155" t="str">
            <v/>
          </cell>
          <cell r="AA7155" t="str">
            <v/>
          </cell>
          <cell r="AB7155" t="str">
            <v/>
          </cell>
          <cell r="AC7155" t="str">
            <v/>
          </cell>
          <cell r="AD7155" t="str">
            <v/>
          </cell>
          <cell r="AY7155" t="str">
            <v/>
          </cell>
          <cell r="AZ7155" t="str">
            <v/>
          </cell>
          <cell r="BA7155" t="str">
            <v/>
          </cell>
        </row>
        <row r="7156">
          <cell r="B7156" t="str">
            <v>-</v>
          </cell>
          <cell r="E7156" t="str">
            <v/>
          </cell>
          <cell r="G7156" t="str">
            <v/>
          </cell>
          <cell r="J7156" t="str">
            <v/>
          </cell>
          <cell r="O7156" t="str">
            <v/>
          </cell>
          <cell r="P7156" t="str">
            <v/>
          </cell>
          <cell r="Q7156" t="str">
            <v/>
          </cell>
          <cell r="S7156" t="str">
            <v/>
          </cell>
          <cell r="V7156" t="str">
            <v/>
          </cell>
          <cell r="Z7156" t="str">
            <v/>
          </cell>
          <cell r="AA7156" t="str">
            <v/>
          </cell>
          <cell r="AB7156" t="str">
            <v/>
          </cell>
          <cell r="AC7156" t="str">
            <v/>
          </cell>
          <cell r="AD7156" t="str">
            <v/>
          </cell>
          <cell r="AY7156" t="str">
            <v/>
          </cell>
          <cell r="AZ7156" t="str">
            <v/>
          </cell>
          <cell r="BA7156" t="str">
            <v/>
          </cell>
        </row>
        <row r="7157">
          <cell r="B7157" t="str">
            <v>-</v>
          </cell>
          <cell r="E7157" t="str">
            <v/>
          </cell>
          <cell r="G7157" t="str">
            <v/>
          </cell>
          <cell r="J7157" t="str">
            <v/>
          </cell>
          <cell r="O7157" t="str">
            <v/>
          </cell>
          <cell r="P7157" t="str">
            <v/>
          </cell>
          <cell r="Q7157" t="str">
            <v/>
          </cell>
          <cell r="S7157" t="str">
            <v/>
          </cell>
          <cell r="V7157" t="str">
            <v/>
          </cell>
          <cell r="Z7157" t="str">
            <v/>
          </cell>
          <cell r="AA7157" t="str">
            <v/>
          </cell>
          <cell r="AB7157" t="str">
            <v/>
          </cell>
          <cell r="AC7157" t="str">
            <v/>
          </cell>
          <cell r="AD7157" t="str">
            <v/>
          </cell>
          <cell r="AY7157" t="str">
            <v/>
          </cell>
          <cell r="AZ7157" t="str">
            <v/>
          </cell>
          <cell r="BA7157" t="str">
            <v/>
          </cell>
        </row>
        <row r="7158">
          <cell r="B7158" t="str">
            <v>-</v>
          </cell>
          <cell r="E7158" t="str">
            <v/>
          </cell>
          <cell r="G7158" t="str">
            <v/>
          </cell>
          <cell r="J7158" t="str">
            <v/>
          </cell>
          <cell r="O7158" t="str">
            <v/>
          </cell>
          <cell r="P7158" t="str">
            <v/>
          </cell>
          <cell r="Q7158" t="str">
            <v/>
          </cell>
          <cell r="S7158" t="str">
            <v/>
          </cell>
          <cell r="V7158" t="str">
            <v/>
          </cell>
          <cell r="Z7158" t="str">
            <v/>
          </cell>
          <cell r="AA7158" t="str">
            <v/>
          </cell>
          <cell r="AB7158" t="str">
            <v/>
          </cell>
          <cell r="AC7158" t="str">
            <v/>
          </cell>
          <cell r="AD7158" t="str">
            <v/>
          </cell>
          <cell r="AY7158" t="str">
            <v/>
          </cell>
          <cell r="AZ7158" t="str">
            <v/>
          </cell>
          <cell r="BA7158" t="str">
            <v/>
          </cell>
        </row>
        <row r="7159">
          <cell r="B7159" t="str">
            <v>-</v>
          </cell>
          <cell r="E7159" t="str">
            <v/>
          </cell>
          <cell r="G7159" t="str">
            <v/>
          </cell>
          <cell r="J7159" t="str">
            <v/>
          </cell>
          <cell r="O7159" t="str">
            <v/>
          </cell>
          <cell r="P7159" t="str">
            <v/>
          </cell>
          <cell r="Q7159" t="str">
            <v/>
          </cell>
          <cell r="S7159" t="str">
            <v/>
          </cell>
          <cell r="V7159" t="str">
            <v/>
          </cell>
          <cell r="Z7159" t="str">
            <v/>
          </cell>
          <cell r="AA7159" t="str">
            <v/>
          </cell>
          <cell r="AB7159" t="str">
            <v/>
          </cell>
          <cell r="AC7159" t="str">
            <v/>
          </cell>
          <cell r="AD7159" t="str">
            <v/>
          </cell>
          <cell r="AY7159" t="str">
            <v/>
          </cell>
          <cell r="AZ7159" t="str">
            <v/>
          </cell>
          <cell r="BA7159" t="str">
            <v/>
          </cell>
        </row>
        <row r="7160">
          <cell r="B7160" t="str">
            <v>-</v>
          </cell>
          <cell r="E7160" t="str">
            <v/>
          </cell>
          <cell r="G7160" t="str">
            <v/>
          </cell>
          <cell r="J7160" t="str">
            <v/>
          </cell>
          <cell r="O7160" t="str">
            <v/>
          </cell>
          <cell r="P7160" t="str">
            <v/>
          </cell>
          <cell r="Q7160" t="str">
            <v/>
          </cell>
          <cell r="S7160" t="str">
            <v/>
          </cell>
          <cell r="V7160" t="str">
            <v/>
          </cell>
          <cell r="Z7160" t="str">
            <v/>
          </cell>
          <cell r="AA7160" t="str">
            <v/>
          </cell>
          <cell r="AB7160" t="str">
            <v/>
          </cell>
          <cell r="AC7160" t="str">
            <v/>
          </cell>
          <cell r="AD7160" t="str">
            <v/>
          </cell>
          <cell r="AY7160" t="str">
            <v/>
          </cell>
          <cell r="AZ7160" t="str">
            <v/>
          </cell>
          <cell r="BA7160" t="str">
            <v/>
          </cell>
        </row>
        <row r="7161">
          <cell r="B7161" t="str">
            <v>-</v>
          </cell>
          <cell r="E7161" t="str">
            <v/>
          </cell>
          <cell r="G7161" t="str">
            <v/>
          </cell>
          <cell r="J7161" t="str">
            <v/>
          </cell>
          <cell r="O7161" t="str">
            <v/>
          </cell>
          <cell r="P7161" t="str">
            <v/>
          </cell>
          <cell r="Q7161" t="str">
            <v/>
          </cell>
          <cell r="S7161" t="str">
            <v/>
          </cell>
          <cell r="V7161" t="str">
            <v/>
          </cell>
          <cell r="Z7161" t="str">
            <v/>
          </cell>
          <cell r="AA7161" t="str">
            <v/>
          </cell>
          <cell r="AB7161" t="str">
            <v/>
          </cell>
          <cell r="AC7161" t="str">
            <v/>
          </cell>
          <cell r="AD7161" t="str">
            <v/>
          </cell>
          <cell r="AY7161" t="str">
            <v/>
          </cell>
          <cell r="AZ7161" t="str">
            <v/>
          </cell>
          <cell r="BA7161" t="str">
            <v/>
          </cell>
        </row>
        <row r="7162">
          <cell r="B7162" t="str">
            <v>-</v>
          </cell>
          <cell r="E7162" t="str">
            <v/>
          </cell>
          <cell r="G7162" t="str">
            <v/>
          </cell>
          <cell r="J7162" t="str">
            <v/>
          </cell>
          <cell r="O7162" t="str">
            <v/>
          </cell>
          <cell r="P7162" t="str">
            <v/>
          </cell>
          <cell r="Q7162" t="str">
            <v/>
          </cell>
          <cell r="S7162" t="str">
            <v/>
          </cell>
          <cell r="V7162" t="str">
            <v/>
          </cell>
          <cell r="Z7162" t="str">
            <v/>
          </cell>
          <cell r="AA7162" t="str">
            <v/>
          </cell>
          <cell r="AB7162" t="str">
            <v/>
          </cell>
          <cell r="AC7162" t="str">
            <v/>
          </cell>
          <cell r="AD7162" t="str">
            <v/>
          </cell>
          <cell r="AY7162" t="str">
            <v/>
          </cell>
          <cell r="AZ7162" t="str">
            <v/>
          </cell>
          <cell r="BA7162" t="str">
            <v/>
          </cell>
        </row>
        <row r="7163">
          <cell r="B7163" t="str">
            <v>-</v>
          </cell>
          <cell r="E7163" t="str">
            <v/>
          </cell>
          <cell r="G7163" t="str">
            <v/>
          </cell>
          <cell r="J7163" t="str">
            <v/>
          </cell>
          <cell r="O7163" t="str">
            <v/>
          </cell>
          <cell r="P7163" t="str">
            <v/>
          </cell>
          <cell r="Q7163" t="str">
            <v/>
          </cell>
          <cell r="S7163" t="str">
            <v/>
          </cell>
          <cell r="V7163" t="str">
            <v/>
          </cell>
          <cell r="Z7163" t="str">
            <v/>
          </cell>
          <cell r="AA7163" t="str">
            <v/>
          </cell>
          <cell r="AB7163" t="str">
            <v/>
          </cell>
          <cell r="AC7163" t="str">
            <v/>
          </cell>
          <cell r="AD7163" t="str">
            <v/>
          </cell>
          <cell r="AY7163" t="str">
            <v/>
          </cell>
          <cell r="AZ7163" t="str">
            <v/>
          </cell>
          <cell r="BA7163" t="str">
            <v/>
          </cell>
        </row>
        <row r="7164">
          <cell r="B7164" t="str">
            <v>-</v>
          </cell>
          <cell r="E7164" t="str">
            <v/>
          </cell>
          <cell r="G7164" t="str">
            <v/>
          </cell>
          <cell r="J7164" t="str">
            <v/>
          </cell>
          <cell r="O7164" t="str">
            <v/>
          </cell>
          <cell r="P7164" t="str">
            <v/>
          </cell>
          <cell r="Q7164" t="str">
            <v/>
          </cell>
          <cell r="S7164" t="str">
            <v/>
          </cell>
          <cell r="V7164" t="str">
            <v/>
          </cell>
          <cell r="Z7164" t="str">
            <v/>
          </cell>
          <cell r="AA7164" t="str">
            <v/>
          </cell>
          <cell r="AB7164" t="str">
            <v/>
          </cell>
          <cell r="AC7164" t="str">
            <v/>
          </cell>
          <cell r="AD7164" t="str">
            <v/>
          </cell>
          <cell r="AY7164" t="str">
            <v/>
          </cell>
          <cell r="AZ7164" t="str">
            <v/>
          </cell>
          <cell r="BA7164" t="str">
            <v/>
          </cell>
        </row>
        <row r="7165">
          <cell r="B7165" t="str">
            <v>-</v>
          </cell>
          <cell r="E7165" t="str">
            <v/>
          </cell>
          <cell r="G7165" t="str">
            <v/>
          </cell>
          <cell r="J7165" t="str">
            <v/>
          </cell>
          <cell r="O7165" t="str">
            <v/>
          </cell>
          <cell r="P7165" t="str">
            <v/>
          </cell>
          <cell r="Q7165" t="str">
            <v/>
          </cell>
          <cell r="S7165" t="str">
            <v/>
          </cell>
          <cell r="V7165" t="str">
            <v/>
          </cell>
          <cell r="Z7165" t="str">
            <v/>
          </cell>
          <cell r="AA7165" t="str">
            <v/>
          </cell>
          <cell r="AB7165" t="str">
            <v/>
          </cell>
          <cell r="AC7165" t="str">
            <v/>
          </cell>
          <cell r="AD7165" t="str">
            <v/>
          </cell>
          <cell r="AY7165" t="str">
            <v/>
          </cell>
          <cell r="AZ7165" t="str">
            <v/>
          </cell>
          <cell r="BA7165" t="str">
            <v/>
          </cell>
        </row>
        <row r="7166">
          <cell r="B7166" t="str">
            <v>-</v>
          </cell>
          <cell r="E7166" t="str">
            <v/>
          </cell>
          <cell r="G7166" t="str">
            <v/>
          </cell>
          <cell r="J7166" t="str">
            <v/>
          </cell>
          <cell r="O7166" t="str">
            <v/>
          </cell>
          <cell r="P7166" t="str">
            <v/>
          </cell>
          <cell r="Q7166" t="str">
            <v/>
          </cell>
          <cell r="S7166" t="str">
            <v/>
          </cell>
          <cell r="V7166" t="str">
            <v/>
          </cell>
          <cell r="Z7166" t="str">
            <v/>
          </cell>
          <cell r="AA7166" t="str">
            <v/>
          </cell>
          <cell r="AB7166" t="str">
            <v/>
          </cell>
          <cell r="AC7166" t="str">
            <v/>
          </cell>
          <cell r="AD7166" t="str">
            <v/>
          </cell>
          <cell r="AY7166" t="str">
            <v/>
          </cell>
          <cell r="AZ7166" t="str">
            <v/>
          </cell>
          <cell r="BA7166" t="str">
            <v/>
          </cell>
        </row>
        <row r="7167">
          <cell r="B7167" t="str">
            <v>-</v>
          </cell>
          <cell r="E7167" t="str">
            <v/>
          </cell>
          <cell r="G7167" t="str">
            <v/>
          </cell>
          <cell r="J7167" t="str">
            <v/>
          </cell>
          <cell r="O7167" t="str">
            <v/>
          </cell>
          <cell r="P7167" t="str">
            <v/>
          </cell>
          <cell r="Q7167" t="str">
            <v/>
          </cell>
          <cell r="S7167" t="str">
            <v/>
          </cell>
          <cell r="V7167" t="str">
            <v/>
          </cell>
          <cell r="Z7167" t="str">
            <v/>
          </cell>
          <cell r="AA7167" t="str">
            <v/>
          </cell>
          <cell r="AB7167" t="str">
            <v/>
          </cell>
          <cell r="AC7167" t="str">
            <v/>
          </cell>
          <cell r="AD7167" t="str">
            <v/>
          </cell>
          <cell r="AY7167" t="str">
            <v/>
          </cell>
          <cell r="AZ7167" t="str">
            <v/>
          </cell>
          <cell r="BA7167" t="str">
            <v/>
          </cell>
        </row>
        <row r="7168">
          <cell r="B7168" t="str">
            <v>-</v>
          </cell>
          <cell r="E7168" t="str">
            <v/>
          </cell>
          <cell r="G7168" t="str">
            <v/>
          </cell>
          <cell r="J7168" t="str">
            <v/>
          </cell>
          <cell r="O7168" t="str">
            <v/>
          </cell>
          <cell r="P7168" t="str">
            <v/>
          </cell>
          <cell r="Q7168" t="str">
            <v/>
          </cell>
          <cell r="S7168" t="str">
            <v/>
          </cell>
          <cell r="V7168" t="str">
            <v/>
          </cell>
          <cell r="Z7168" t="str">
            <v/>
          </cell>
          <cell r="AA7168" t="str">
            <v/>
          </cell>
          <cell r="AB7168" t="str">
            <v/>
          </cell>
          <cell r="AC7168" t="str">
            <v/>
          </cell>
          <cell r="AD7168" t="str">
            <v/>
          </cell>
          <cell r="AY7168" t="str">
            <v/>
          </cell>
          <cell r="AZ7168" t="str">
            <v/>
          </cell>
          <cell r="BA7168" t="str">
            <v/>
          </cell>
        </row>
        <row r="7169">
          <cell r="B7169" t="str">
            <v>-</v>
          </cell>
          <cell r="E7169" t="str">
            <v/>
          </cell>
          <cell r="G7169" t="str">
            <v/>
          </cell>
          <cell r="J7169" t="str">
            <v/>
          </cell>
          <cell r="O7169" t="str">
            <v/>
          </cell>
          <cell r="P7169" t="str">
            <v/>
          </cell>
          <cell r="Q7169" t="str">
            <v/>
          </cell>
          <cell r="S7169" t="str">
            <v/>
          </cell>
          <cell r="V7169" t="str">
            <v/>
          </cell>
          <cell r="Z7169" t="str">
            <v/>
          </cell>
          <cell r="AA7169" t="str">
            <v/>
          </cell>
          <cell r="AB7169" t="str">
            <v/>
          </cell>
          <cell r="AC7169" t="str">
            <v/>
          </cell>
          <cell r="AD7169" t="str">
            <v/>
          </cell>
          <cell r="AY7169" t="str">
            <v/>
          </cell>
          <cell r="AZ7169" t="str">
            <v/>
          </cell>
          <cell r="BA7169" t="str">
            <v/>
          </cell>
        </row>
        <row r="7170">
          <cell r="B7170" t="str">
            <v>-</v>
          </cell>
          <cell r="E7170" t="str">
            <v/>
          </cell>
          <cell r="G7170" t="str">
            <v/>
          </cell>
          <cell r="J7170" t="str">
            <v/>
          </cell>
          <cell r="O7170" t="str">
            <v/>
          </cell>
          <cell r="P7170" t="str">
            <v/>
          </cell>
          <cell r="Q7170" t="str">
            <v/>
          </cell>
          <cell r="S7170" t="str">
            <v/>
          </cell>
          <cell r="V7170" t="str">
            <v/>
          </cell>
          <cell r="Z7170" t="str">
            <v/>
          </cell>
          <cell r="AA7170" t="str">
            <v/>
          </cell>
          <cell r="AB7170" t="str">
            <v/>
          </cell>
          <cell r="AC7170" t="str">
            <v/>
          </cell>
          <cell r="AD7170" t="str">
            <v/>
          </cell>
          <cell r="AY7170" t="str">
            <v/>
          </cell>
          <cell r="AZ7170" t="str">
            <v/>
          </cell>
          <cell r="BA7170" t="str">
            <v/>
          </cell>
        </row>
        <row r="7171">
          <cell r="B7171" t="str">
            <v>-</v>
          </cell>
          <cell r="E7171" t="str">
            <v/>
          </cell>
          <cell r="G7171" t="str">
            <v/>
          </cell>
          <cell r="J7171" t="str">
            <v/>
          </cell>
          <cell r="O7171" t="str">
            <v/>
          </cell>
          <cell r="P7171" t="str">
            <v/>
          </cell>
          <cell r="Q7171" t="str">
            <v/>
          </cell>
          <cell r="S7171" t="str">
            <v/>
          </cell>
          <cell r="V7171" t="str">
            <v/>
          </cell>
          <cell r="Z7171" t="str">
            <v/>
          </cell>
          <cell r="AA7171" t="str">
            <v/>
          </cell>
          <cell r="AB7171" t="str">
            <v/>
          </cell>
          <cell r="AC7171" t="str">
            <v/>
          </cell>
          <cell r="AD7171" t="str">
            <v/>
          </cell>
          <cell r="AY7171" t="str">
            <v/>
          </cell>
          <cell r="AZ7171" t="str">
            <v/>
          </cell>
          <cell r="BA7171" t="str">
            <v/>
          </cell>
        </row>
        <row r="7172">
          <cell r="B7172" t="str">
            <v>-</v>
          </cell>
          <cell r="E7172" t="str">
            <v/>
          </cell>
          <cell r="G7172" t="str">
            <v/>
          </cell>
          <cell r="J7172" t="str">
            <v/>
          </cell>
          <cell r="O7172" t="str">
            <v/>
          </cell>
          <cell r="P7172" t="str">
            <v/>
          </cell>
          <cell r="Q7172" t="str">
            <v/>
          </cell>
          <cell r="S7172" t="str">
            <v/>
          </cell>
          <cell r="V7172" t="str">
            <v/>
          </cell>
          <cell r="Z7172" t="str">
            <v/>
          </cell>
          <cell r="AA7172" t="str">
            <v/>
          </cell>
          <cell r="AB7172" t="str">
            <v/>
          </cell>
          <cell r="AC7172" t="str">
            <v/>
          </cell>
          <cell r="AD7172" t="str">
            <v/>
          </cell>
          <cell r="AY7172" t="str">
            <v/>
          </cell>
          <cell r="AZ7172" t="str">
            <v/>
          </cell>
          <cell r="BA7172" t="str">
            <v/>
          </cell>
        </row>
        <row r="7173">
          <cell r="B7173" t="str">
            <v>-</v>
          </cell>
          <cell r="E7173" t="str">
            <v/>
          </cell>
          <cell r="G7173" t="str">
            <v/>
          </cell>
          <cell r="J7173" t="str">
            <v/>
          </cell>
          <cell r="O7173" t="str">
            <v/>
          </cell>
          <cell r="P7173" t="str">
            <v/>
          </cell>
          <cell r="Q7173" t="str">
            <v/>
          </cell>
          <cell r="S7173" t="str">
            <v/>
          </cell>
          <cell r="V7173" t="str">
            <v/>
          </cell>
          <cell r="Z7173" t="str">
            <v/>
          </cell>
          <cell r="AA7173" t="str">
            <v/>
          </cell>
          <cell r="AB7173" t="str">
            <v/>
          </cell>
          <cell r="AC7173" t="str">
            <v/>
          </cell>
          <cell r="AD7173" t="str">
            <v/>
          </cell>
          <cell r="AY7173" t="str">
            <v/>
          </cell>
          <cell r="AZ7173" t="str">
            <v/>
          </cell>
          <cell r="BA7173" t="str">
            <v/>
          </cell>
        </row>
        <row r="7174">
          <cell r="B7174" t="str">
            <v>-</v>
          </cell>
          <cell r="E7174" t="str">
            <v/>
          </cell>
          <cell r="G7174" t="str">
            <v/>
          </cell>
          <cell r="J7174" t="str">
            <v/>
          </cell>
          <cell r="O7174" t="str">
            <v/>
          </cell>
          <cell r="P7174" t="str">
            <v/>
          </cell>
          <cell r="Q7174" t="str">
            <v/>
          </cell>
          <cell r="S7174" t="str">
            <v/>
          </cell>
          <cell r="V7174" t="str">
            <v/>
          </cell>
          <cell r="Z7174" t="str">
            <v/>
          </cell>
          <cell r="AA7174" t="str">
            <v/>
          </cell>
          <cell r="AB7174" t="str">
            <v/>
          </cell>
          <cell r="AC7174" t="str">
            <v/>
          </cell>
          <cell r="AD7174" t="str">
            <v/>
          </cell>
          <cell r="AY7174" t="str">
            <v/>
          </cell>
          <cell r="AZ7174" t="str">
            <v/>
          </cell>
          <cell r="BA7174" t="str">
            <v/>
          </cell>
        </row>
        <row r="7175">
          <cell r="B7175" t="str">
            <v>-</v>
          </cell>
          <cell r="E7175" t="str">
            <v/>
          </cell>
          <cell r="G7175" t="str">
            <v/>
          </cell>
          <cell r="J7175" t="str">
            <v/>
          </cell>
          <cell r="O7175" t="str">
            <v/>
          </cell>
          <cell r="P7175" t="str">
            <v/>
          </cell>
          <cell r="Q7175" t="str">
            <v/>
          </cell>
          <cell r="S7175" t="str">
            <v/>
          </cell>
          <cell r="V7175" t="str">
            <v/>
          </cell>
          <cell r="Z7175" t="str">
            <v/>
          </cell>
          <cell r="AA7175" t="str">
            <v/>
          </cell>
          <cell r="AB7175" t="str">
            <v/>
          </cell>
          <cell r="AC7175" t="str">
            <v/>
          </cell>
          <cell r="AD7175" t="str">
            <v/>
          </cell>
          <cell r="AY7175" t="str">
            <v/>
          </cell>
          <cell r="AZ7175" t="str">
            <v/>
          </cell>
          <cell r="BA7175" t="str">
            <v/>
          </cell>
        </row>
        <row r="7176">
          <cell r="B7176" t="str">
            <v>-</v>
          </cell>
          <cell r="E7176" t="str">
            <v/>
          </cell>
          <cell r="G7176" t="str">
            <v/>
          </cell>
          <cell r="J7176" t="str">
            <v/>
          </cell>
          <cell r="O7176" t="str">
            <v/>
          </cell>
          <cell r="P7176" t="str">
            <v/>
          </cell>
          <cell r="Q7176" t="str">
            <v/>
          </cell>
          <cell r="S7176" t="str">
            <v/>
          </cell>
          <cell r="V7176" t="str">
            <v/>
          </cell>
          <cell r="Z7176" t="str">
            <v/>
          </cell>
          <cell r="AA7176" t="str">
            <v/>
          </cell>
          <cell r="AB7176" t="str">
            <v/>
          </cell>
          <cell r="AC7176" t="str">
            <v/>
          </cell>
          <cell r="AD7176" t="str">
            <v/>
          </cell>
          <cell r="AY7176" t="str">
            <v/>
          </cell>
          <cell r="AZ7176" t="str">
            <v/>
          </cell>
          <cell r="BA7176" t="str">
            <v/>
          </cell>
        </row>
        <row r="7177">
          <cell r="B7177" t="str">
            <v>-</v>
          </cell>
          <cell r="E7177" t="str">
            <v/>
          </cell>
          <cell r="G7177" t="str">
            <v/>
          </cell>
          <cell r="J7177" t="str">
            <v/>
          </cell>
          <cell r="O7177" t="str">
            <v/>
          </cell>
          <cell r="P7177" t="str">
            <v/>
          </cell>
          <cell r="Q7177" t="str">
            <v/>
          </cell>
          <cell r="S7177" t="str">
            <v/>
          </cell>
          <cell r="V7177" t="str">
            <v/>
          </cell>
          <cell r="Z7177" t="str">
            <v/>
          </cell>
          <cell r="AA7177" t="str">
            <v/>
          </cell>
          <cell r="AB7177" t="str">
            <v/>
          </cell>
          <cell r="AC7177" t="str">
            <v/>
          </cell>
          <cell r="AD7177" t="str">
            <v/>
          </cell>
          <cell r="AY7177" t="str">
            <v/>
          </cell>
          <cell r="AZ7177" t="str">
            <v/>
          </cell>
          <cell r="BA7177" t="str">
            <v/>
          </cell>
        </row>
        <row r="7178">
          <cell r="B7178" t="str">
            <v>-</v>
          </cell>
          <cell r="E7178" t="str">
            <v/>
          </cell>
          <cell r="G7178" t="str">
            <v/>
          </cell>
          <cell r="J7178" t="str">
            <v/>
          </cell>
          <cell r="O7178" t="str">
            <v/>
          </cell>
          <cell r="P7178" t="str">
            <v/>
          </cell>
          <cell r="Q7178" t="str">
            <v/>
          </cell>
          <cell r="S7178" t="str">
            <v/>
          </cell>
          <cell r="V7178" t="str">
            <v/>
          </cell>
          <cell r="Z7178" t="str">
            <v/>
          </cell>
          <cell r="AA7178" t="str">
            <v/>
          </cell>
          <cell r="AB7178" t="str">
            <v/>
          </cell>
          <cell r="AC7178" t="str">
            <v/>
          </cell>
          <cell r="AD7178" t="str">
            <v/>
          </cell>
          <cell r="AY7178" t="str">
            <v/>
          </cell>
          <cell r="AZ7178" t="str">
            <v/>
          </cell>
          <cell r="BA7178" t="str">
            <v/>
          </cell>
        </row>
        <row r="7179">
          <cell r="B7179" t="str">
            <v>-</v>
          </cell>
          <cell r="E7179" t="str">
            <v/>
          </cell>
          <cell r="G7179" t="str">
            <v/>
          </cell>
          <cell r="J7179" t="str">
            <v/>
          </cell>
          <cell r="O7179" t="str">
            <v/>
          </cell>
          <cell r="P7179" t="str">
            <v/>
          </cell>
          <cell r="Q7179" t="str">
            <v/>
          </cell>
          <cell r="S7179" t="str">
            <v/>
          </cell>
          <cell r="V7179" t="str">
            <v/>
          </cell>
          <cell r="Z7179" t="str">
            <v/>
          </cell>
          <cell r="AA7179" t="str">
            <v/>
          </cell>
          <cell r="AB7179" t="str">
            <v/>
          </cell>
          <cell r="AC7179" t="str">
            <v/>
          </cell>
          <cell r="AD7179" t="str">
            <v/>
          </cell>
          <cell r="AY7179" t="str">
            <v/>
          </cell>
          <cell r="AZ7179" t="str">
            <v/>
          </cell>
          <cell r="BA7179" t="str">
            <v/>
          </cell>
        </row>
        <row r="7180">
          <cell r="B7180" t="str">
            <v>-</v>
          </cell>
          <cell r="E7180" t="str">
            <v/>
          </cell>
          <cell r="G7180" t="str">
            <v/>
          </cell>
          <cell r="J7180" t="str">
            <v/>
          </cell>
          <cell r="O7180" t="str">
            <v/>
          </cell>
          <cell r="P7180" t="str">
            <v/>
          </cell>
          <cell r="Q7180" t="str">
            <v/>
          </cell>
          <cell r="S7180" t="str">
            <v/>
          </cell>
          <cell r="V7180" t="str">
            <v/>
          </cell>
          <cell r="Z7180" t="str">
            <v/>
          </cell>
          <cell r="AA7180" t="str">
            <v/>
          </cell>
          <cell r="AB7180" t="str">
            <v/>
          </cell>
          <cell r="AC7180" t="str">
            <v/>
          </cell>
          <cell r="AD7180" t="str">
            <v/>
          </cell>
          <cell r="AY7180" t="str">
            <v/>
          </cell>
          <cell r="AZ7180" t="str">
            <v/>
          </cell>
          <cell r="BA7180" t="str">
            <v/>
          </cell>
        </row>
        <row r="7181">
          <cell r="B7181" t="str">
            <v>-</v>
          </cell>
          <cell r="E7181" t="str">
            <v/>
          </cell>
          <cell r="G7181" t="str">
            <v/>
          </cell>
          <cell r="J7181" t="str">
            <v/>
          </cell>
          <cell r="O7181" t="str">
            <v/>
          </cell>
          <cell r="P7181" t="str">
            <v/>
          </cell>
          <cell r="Q7181" t="str">
            <v/>
          </cell>
          <cell r="S7181" t="str">
            <v/>
          </cell>
          <cell r="V7181" t="str">
            <v/>
          </cell>
          <cell r="Z7181" t="str">
            <v/>
          </cell>
          <cell r="AA7181" t="str">
            <v/>
          </cell>
          <cell r="AB7181" t="str">
            <v/>
          </cell>
          <cell r="AC7181" t="str">
            <v/>
          </cell>
          <cell r="AD7181" t="str">
            <v/>
          </cell>
          <cell r="AY7181" t="str">
            <v/>
          </cell>
          <cell r="AZ7181" t="str">
            <v/>
          </cell>
          <cell r="BA7181" t="str">
            <v/>
          </cell>
        </row>
        <row r="7182">
          <cell r="B7182" t="str">
            <v>-</v>
          </cell>
          <cell r="E7182" t="str">
            <v/>
          </cell>
          <cell r="G7182" t="str">
            <v/>
          </cell>
          <cell r="J7182" t="str">
            <v/>
          </cell>
          <cell r="O7182" t="str">
            <v/>
          </cell>
          <cell r="P7182" t="str">
            <v/>
          </cell>
          <cell r="Q7182" t="str">
            <v/>
          </cell>
          <cell r="S7182" t="str">
            <v/>
          </cell>
          <cell r="V7182" t="str">
            <v/>
          </cell>
          <cell r="Z7182" t="str">
            <v/>
          </cell>
          <cell r="AA7182" t="str">
            <v/>
          </cell>
          <cell r="AB7182" t="str">
            <v/>
          </cell>
          <cell r="AC7182" t="str">
            <v/>
          </cell>
          <cell r="AD7182" t="str">
            <v/>
          </cell>
          <cell r="AY7182" t="str">
            <v/>
          </cell>
          <cell r="AZ7182" t="str">
            <v/>
          </cell>
          <cell r="BA7182" t="str">
            <v/>
          </cell>
        </row>
        <row r="7183">
          <cell r="B7183" t="str">
            <v>-</v>
          </cell>
          <cell r="E7183" t="str">
            <v/>
          </cell>
          <cell r="G7183" t="str">
            <v/>
          </cell>
          <cell r="J7183" t="str">
            <v/>
          </cell>
          <cell r="O7183" t="str">
            <v/>
          </cell>
          <cell r="P7183" t="str">
            <v/>
          </cell>
          <cell r="Q7183" t="str">
            <v/>
          </cell>
          <cell r="S7183" t="str">
            <v/>
          </cell>
          <cell r="V7183" t="str">
            <v/>
          </cell>
          <cell r="Z7183" t="str">
            <v/>
          </cell>
          <cell r="AA7183" t="str">
            <v/>
          </cell>
          <cell r="AB7183" t="str">
            <v/>
          </cell>
          <cell r="AC7183" t="str">
            <v/>
          </cell>
          <cell r="AD7183" t="str">
            <v/>
          </cell>
          <cell r="AY7183" t="str">
            <v/>
          </cell>
          <cell r="AZ7183" t="str">
            <v/>
          </cell>
          <cell r="BA7183" t="str">
            <v/>
          </cell>
        </row>
        <row r="7184">
          <cell r="B7184" t="str">
            <v>-</v>
          </cell>
          <cell r="E7184" t="str">
            <v/>
          </cell>
          <cell r="G7184" t="str">
            <v/>
          </cell>
          <cell r="J7184" t="str">
            <v/>
          </cell>
          <cell r="O7184" t="str">
            <v/>
          </cell>
          <cell r="P7184" t="str">
            <v/>
          </cell>
          <cell r="Q7184" t="str">
            <v/>
          </cell>
          <cell r="S7184" t="str">
            <v/>
          </cell>
          <cell r="V7184" t="str">
            <v/>
          </cell>
          <cell r="Z7184" t="str">
            <v/>
          </cell>
          <cell r="AA7184" t="str">
            <v/>
          </cell>
          <cell r="AB7184" t="str">
            <v/>
          </cell>
          <cell r="AC7184" t="str">
            <v/>
          </cell>
          <cell r="AD7184" t="str">
            <v/>
          </cell>
          <cell r="AY7184" t="str">
            <v/>
          </cell>
          <cell r="AZ7184" t="str">
            <v/>
          </cell>
          <cell r="BA7184" t="str">
            <v/>
          </cell>
        </row>
        <row r="7185">
          <cell r="B7185" t="str">
            <v>-</v>
          </cell>
          <cell r="E7185" t="str">
            <v/>
          </cell>
          <cell r="G7185" t="str">
            <v/>
          </cell>
          <cell r="J7185" t="str">
            <v/>
          </cell>
          <cell r="O7185" t="str">
            <v/>
          </cell>
          <cell r="P7185" t="str">
            <v/>
          </cell>
          <cell r="Q7185" t="str">
            <v/>
          </cell>
          <cell r="S7185" t="str">
            <v/>
          </cell>
          <cell r="V7185" t="str">
            <v/>
          </cell>
          <cell r="Z7185" t="str">
            <v/>
          </cell>
          <cell r="AA7185" t="str">
            <v/>
          </cell>
          <cell r="AB7185" t="str">
            <v/>
          </cell>
          <cell r="AC7185" t="str">
            <v/>
          </cell>
          <cell r="AD7185" t="str">
            <v/>
          </cell>
          <cell r="AY7185" t="str">
            <v/>
          </cell>
          <cell r="AZ7185" t="str">
            <v/>
          </cell>
          <cell r="BA7185" t="str">
            <v/>
          </cell>
        </row>
        <row r="7186">
          <cell r="B7186" t="str">
            <v>-</v>
          </cell>
          <cell r="E7186" t="str">
            <v/>
          </cell>
          <cell r="G7186" t="str">
            <v/>
          </cell>
          <cell r="J7186" t="str">
            <v/>
          </cell>
          <cell r="O7186" t="str">
            <v/>
          </cell>
          <cell r="P7186" t="str">
            <v/>
          </cell>
          <cell r="Q7186" t="str">
            <v/>
          </cell>
          <cell r="S7186" t="str">
            <v/>
          </cell>
          <cell r="V7186" t="str">
            <v/>
          </cell>
          <cell r="Z7186" t="str">
            <v/>
          </cell>
          <cell r="AA7186" t="str">
            <v/>
          </cell>
          <cell r="AB7186" t="str">
            <v/>
          </cell>
          <cell r="AC7186" t="str">
            <v/>
          </cell>
          <cell r="AD7186" t="str">
            <v/>
          </cell>
          <cell r="AY7186" t="str">
            <v/>
          </cell>
          <cell r="AZ7186" t="str">
            <v/>
          </cell>
          <cell r="BA7186" t="str">
            <v/>
          </cell>
        </row>
        <row r="7187">
          <cell r="B7187" t="str">
            <v>-</v>
          </cell>
          <cell r="E7187" t="str">
            <v/>
          </cell>
          <cell r="G7187" t="str">
            <v/>
          </cell>
          <cell r="J7187" t="str">
            <v/>
          </cell>
          <cell r="O7187" t="str">
            <v/>
          </cell>
          <cell r="P7187" t="str">
            <v/>
          </cell>
          <cell r="Q7187" t="str">
            <v/>
          </cell>
          <cell r="S7187" t="str">
            <v/>
          </cell>
          <cell r="V7187" t="str">
            <v/>
          </cell>
          <cell r="Z7187" t="str">
            <v/>
          </cell>
          <cell r="AA7187" t="str">
            <v/>
          </cell>
          <cell r="AB7187" t="str">
            <v/>
          </cell>
          <cell r="AC7187" t="str">
            <v/>
          </cell>
          <cell r="AD7187" t="str">
            <v/>
          </cell>
          <cell r="AY7187" t="str">
            <v/>
          </cell>
          <cell r="AZ7187" t="str">
            <v/>
          </cell>
          <cell r="BA7187" t="str">
            <v/>
          </cell>
        </row>
        <row r="7188">
          <cell r="B7188" t="str">
            <v>-</v>
          </cell>
          <cell r="E7188" t="str">
            <v/>
          </cell>
          <cell r="G7188" t="str">
            <v/>
          </cell>
          <cell r="J7188" t="str">
            <v/>
          </cell>
          <cell r="O7188" t="str">
            <v/>
          </cell>
          <cell r="P7188" t="str">
            <v/>
          </cell>
          <cell r="Q7188" t="str">
            <v/>
          </cell>
          <cell r="S7188" t="str">
            <v/>
          </cell>
          <cell r="V7188" t="str">
            <v/>
          </cell>
          <cell r="Z7188" t="str">
            <v/>
          </cell>
          <cell r="AA7188" t="str">
            <v/>
          </cell>
          <cell r="AB7188" t="str">
            <v/>
          </cell>
          <cell r="AC7188" t="str">
            <v/>
          </cell>
          <cell r="AD7188" t="str">
            <v/>
          </cell>
          <cell r="AY7188" t="str">
            <v/>
          </cell>
          <cell r="AZ7188" t="str">
            <v/>
          </cell>
          <cell r="BA7188" t="str">
            <v/>
          </cell>
        </row>
        <row r="7189">
          <cell r="B7189" t="str">
            <v>-</v>
          </cell>
          <cell r="E7189" t="str">
            <v/>
          </cell>
          <cell r="G7189" t="str">
            <v/>
          </cell>
          <cell r="J7189" t="str">
            <v/>
          </cell>
          <cell r="O7189" t="str">
            <v/>
          </cell>
          <cell r="P7189" t="str">
            <v/>
          </cell>
          <cell r="Q7189" t="str">
            <v/>
          </cell>
          <cell r="S7189" t="str">
            <v/>
          </cell>
          <cell r="V7189" t="str">
            <v/>
          </cell>
          <cell r="Z7189" t="str">
            <v/>
          </cell>
          <cell r="AA7189" t="str">
            <v/>
          </cell>
          <cell r="AB7189" t="str">
            <v/>
          </cell>
          <cell r="AC7189" t="str">
            <v/>
          </cell>
          <cell r="AD7189" t="str">
            <v/>
          </cell>
          <cell r="AY7189" t="str">
            <v/>
          </cell>
          <cell r="AZ7189" t="str">
            <v/>
          </cell>
          <cell r="BA7189" t="str">
            <v/>
          </cell>
        </row>
        <row r="7190">
          <cell r="B7190" t="str">
            <v>-</v>
          </cell>
          <cell r="E7190" t="str">
            <v/>
          </cell>
          <cell r="G7190" t="str">
            <v/>
          </cell>
          <cell r="J7190" t="str">
            <v/>
          </cell>
          <cell r="O7190" t="str">
            <v/>
          </cell>
          <cell r="P7190" t="str">
            <v/>
          </cell>
          <cell r="Q7190" t="str">
            <v/>
          </cell>
          <cell r="S7190" t="str">
            <v/>
          </cell>
          <cell r="V7190" t="str">
            <v/>
          </cell>
          <cell r="Z7190" t="str">
            <v/>
          </cell>
          <cell r="AA7190" t="str">
            <v/>
          </cell>
          <cell r="AB7190" t="str">
            <v/>
          </cell>
          <cell r="AC7190" t="str">
            <v/>
          </cell>
          <cell r="AD7190" t="str">
            <v/>
          </cell>
          <cell r="AY7190" t="str">
            <v/>
          </cell>
          <cell r="AZ7190" t="str">
            <v/>
          </cell>
          <cell r="BA7190" t="str">
            <v/>
          </cell>
        </row>
        <row r="7191">
          <cell r="B7191" t="str">
            <v>-</v>
          </cell>
          <cell r="E7191" t="str">
            <v/>
          </cell>
          <cell r="G7191" t="str">
            <v/>
          </cell>
          <cell r="J7191" t="str">
            <v/>
          </cell>
          <cell r="O7191" t="str">
            <v/>
          </cell>
          <cell r="P7191" t="str">
            <v/>
          </cell>
          <cell r="Q7191" t="str">
            <v/>
          </cell>
          <cell r="S7191" t="str">
            <v/>
          </cell>
          <cell r="V7191" t="str">
            <v/>
          </cell>
          <cell r="Z7191" t="str">
            <v/>
          </cell>
          <cell r="AA7191" t="str">
            <v/>
          </cell>
          <cell r="AB7191" t="str">
            <v/>
          </cell>
          <cell r="AC7191" t="str">
            <v/>
          </cell>
          <cell r="AD7191" t="str">
            <v/>
          </cell>
          <cell r="AY7191" t="str">
            <v/>
          </cell>
          <cell r="AZ7191" t="str">
            <v/>
          </cell>
          <cell r="BA7191" t="str">
            <v/>
          </cell>
        </row>
        <row r="7192">
          <cell r="B7192" t="str">
            <v>-</v>
          </cell>
          <cell r="E7192" t="str">
            <v/>
          </cell>
          <cell r="G7192" t="str">
            <v/>
          </cell>
          <cell r="J7192" t="str">
            <v/>
          </cell>
          <cell r="O7192" t="str">
            <v/>
          </cell>
          <cell r="P7192" t="str">
            <v/>
          </cell>
          <cell r="Q7192" t="str">
            <v/>
          </cell>
          <cell r="S7192" t="str">
            <v/>
          </cell>
          <cell r="V7192" t="str">
            <v/>
          </cell>
          <cell r="Z7192" t="str">
            <v/>
          </cell>
          <cell r="AA7192" t="str">
            <v/>
          </cell>
          <cell r="AB7192" t="str">
            <v/>
          </cell>
          <cell r="AC7192" t="str">
            <v/>
          </cell>
          <cell r="AD7192" t="str">
            <v/>
          </cell>
          <cell r="AY7192" t="str">
            <v/>
          </cell>
          <cell r="AZ7192" t="str">
            <v/>
          </cell>
          <cell r="BA7192" t="str">
            <v/>
          </cell>
        </row>
        <row r="7193">
          <cell r="B7193" t="str">
            <v>-</v>
          </cell>
          <cell r="E7193" t="str">
            <v/>
          </cell>
          <cell r="G7193" t="str">
            <v/>
          </cell>
          <cell r="J7193" t="str">
            <v/>
          </cell>
          <cell r="O7193" t="str">
            <v/>
          </cell>
          <cell r="P7193" t="str">
            <v/>
          </cell>
          <cell r="Q7193" t="str">
            <v/>
          </cell>
          <cell r="S7193" t="str">
            <v/>
          </cell>
          <cell r="V7193" t="str">
            <v/>
          </cell>
          <cell r="Z7193" t="str">
            <v/>
          </cell>
          <cell r="AA7193" t="str">
            <v/>
          </cell>
          <cell r="AB7193" t="str">
            <v/>
          </cell>
          <cell r="AC7193" t="str">
            <v/>
          </cell>
          <cell r="AD7193" t="str">
            <v/>
          </cell>
          <cell r="AY7193" t="str">
            <v/>
          </cell>
          <cell r="AZ7193" t="str">
            <v/>
          </cell>
          <cell r="BA7193" t="str">
            <v/>
          </cell>
        </row>
        <row r="7194">
          <cell r="B7194" t="str">
            <v>-</v>
          </cell>
          <cell r="E7194" t="str">
            <v/>
          </cell>
          <cell r="G7194" t="str">
            <v/>
          </cell>
          <cell r="J7194" t="str">
            <v/>
          </cell>
          <cell r="O7194" t="str">
            <v/>
          </cell>
          <cell r="P7194" t="str">
            <v/>
          </cell>
          <cell r="Q7194" t="str">
            <v/>
          </cell>
          <cell r="S7194" t="str">
            <v/>
          </cell>
          <cell r="V7194" t="str">
            <v/>
          </cell>
          <cell r="Z7194" t="str">
            <v/>
          </cell>
          <cell r="AA7194" t="str">
            <v/>
          </cell>
          <cell r="AB7194" t="str">
            <v/>
          </cell>
          <cell r="AC7194" t="str">
            <v/>
          </cell>
          <cell r="AD7194" t="str">
            <v/>
          </cell>
          <cell r="AY7194" t="str">
            <v/>
          </cell>
          <cell r="AZ7194" t="str">
            <v/>
          </cell>
          <cell r="BA7194" t="str">
            <v/>
          </cell>
        </row>
        <row r="7195">
          <cell r="B7195" t="str">
            <v>-</v>
          </cell>
          <cell r="E7195" t="str">
            <v/>
          </cell>
          <cell r="G7195" t="str">
            <v/>
          </cell>
          <cell r="J7195" t="str">
            <v/>
          </cell>
          <cell r="O7195" t="str">
            <v/>
          </cell>
          <cell r="P7195" t="str">
            <v/>
          </cell>
          <cell r="Q7195" t="str">
            <v/>
          </cell>
          <cell r="S7195" t="str">
            <v/>
          </cell>
          <cell r="V7195" t="str">
            <v/>
          </cell>
          <cell r="Z7195" t="str">
            <v/>
          </cell>
          <cell r="AA7195" t="str">
            <v/>
          </cell>
          <cell r="AB7195" t="str">
            <v/>
          </cell>
          <cell r="AC7195" t="str">
            <v/>
          </cell>
          <cell r="AD7195" t="str">
            <v/>
          </cell>
          <cell r="AY7195" t="str">
            <v/>
          </cell>
          <cell r="AZ7195" t="str">
            <v/>
          </cell>
          <cell r="BA7195" t="str">
            <v/>
          </cell>
        </row>
        <row r="7196">
          <cell r="B7196" t="str">
            <v>-</v>
          </cell>
          <cell r="E7196" t="str">
            <v/>
          </cell>
          <cell r="G7196" t="str">
            <v/>
          </cell>
          <cell r="J7196" t="str">
            <v/>
          </cell>
          <cell r="O7196" t="str">
            <v/>
          </cell>
          <cell r="P7196" t="str">
            <v/>
          </cell>
          <cell r="Q7196" t="str">
            <v/>
          </cell>
          <cell r="S7196" t="str">
            <v/>
          </cell>
          <cell r="V7196" t="str">
            <v/>
          </cell>
          <cell r="Z7196" t="str">
            <v/>
          </cell>
          <cell r="AA7196" t="str">
            <v/>
          </cell>
          <cell r="AB7196" t="str">
            <v/>
          </cell>
          <cell r="AC7196" t="str">
            <v/>
          </cell>
          <cell r="AD7196" t="str">
            <v/>
          </cell>
          <cell r="AY7196" t="str">
            <v/>
          </cell>
          <cell r="AZ7196" t="str">
            <v/>
          </cell>
          <cell r="BA7196" t="str">
            <v/>
          </cell>
        </row>
        <row r="7197">
          <cell r="B7197" t="str">
            <v>-</v>
          </cell>
          <cell r="E7197" t="str">
            <v/>
          </cell>
          <cell r="G7197" t="str">
            <v/>
          </cell>
          <cell r="J7197" t="str">
            <v/>
          </cell>
          <cell r="O7197" t="str">
            <v/>
          </cell>
          <cell r="P7197" t="str">
            <v/>
          </cell>
          <cell r="Q7197" t="str">
            <v/>
          </cell>
          <cell r="S7197" t="str">
            <v/>
          </cell>
          <cell r="V7197" t="str">
            <v/>
          </cell>
          <cell r="Z7197" t="str">
            <v/>
          </cell>
          <cell r="AA7197" t="str">
            <v/>
          </cell>
          <cell r="AB7197" t="str">
            <v/>
          </cell>
          <cell r="AC7197" t="str">
            <v/>
          </cell>
          <cell r="AD7197" t="str">
            <v/>
          </cell>
          <cell r="AY7197" t="str">
            <v/>
          </cell>
          <cell r="AZ7197" t="str">
            <v/>
          </cell>
          <cell r="BA7197" t="str">
            <v/>
          </cell>
        </row>
        <row r="7198">
          <cell r="B7198" t="str">
            <v>-</v>
          </cell>
          <cell r="E7198" t="str">
            <v/>
          </cell>
          <cell r="G7198" t="str">
            <v/>
          </cell>
          <cell r="J7198" t="str">
            <v/>
          </cell>
          <cell r="O7198" t="str">
            <v/>
          </cell>
          <cell r="P7198" t="str">
            <v/>
          </cell>
          <cell r="Q7198" t="str">
            <v/>
          </cell>
          <cell r="S7198" t="str">
            <v/>
          </cell>
          <cell r="V7198" t="str">
            <v/>
          </cell>
          <cell r="Z7198" t="str">
            <v/>
          </cell>
          <cell r="AA7198" t="str">
            <v/>
          </cell>
          <cell r="AB7198" t="str">
            <v/>
          </cell>
          <cell r="AC7198" t="str">
            <v/>
          </cell>
          <cell r="AD7198" t="str">
            <v/>
          </cell>
          <cell r="AY7198" t="str">
            <v/>
          </cell>
          <cell r="AZ7198" t="str">
            <v/>
          </cell>
          <cell r="BA7198" t="str">
            <v/>
          </cell>
        </row>
        <row r="7199">
          <cell r="B7199" t="str">
            <v>-</v>
          </cell>
          <cell r="E7199" t="str">
            <v/>
          </cell>
          <cell r="G7199" t="str">
            <v/>
          </cell>
          <cell r="J7199" t="str">
            <v/>
          </cell>
          <cell r="O7199" t="str">
            <v/>
          </cell>
          <cell r="P7199" t="str">
            <v/>
          </cell>
          <cell r="Q7199" t="str">
            <v/>
          </cell>
          <cell r="S7199" t="str">
            <v/>
          </cell>
          <cell r="V7199" t="str">
            <v/>
          </cell>
          <cell r="Z7199" t="str">
            <v/>
          </cell>
          <cell r="AA7199" t="str">
            <v/>
          </cell>
          <cell r="AB7199" t="str">
            <v/>
          </cell>
          <cell r="AC7199" t="str">
            <v/>
          </cell>
          <cell r="AD7199" t="str">
            <v/>
          </cell>
          <cell r="AY7199" t="str">
            <v/>
          </cell>
          <cell r="AZ7199" t="str">
            <v/>
          </cell>
          <cell r="BA7199" t="str">
            <v/>
          </cell>
        </row>
        <row r="7200">
          <cell r="B7200" t="str">
            <v>-</v>
          </cell>
          <cell r="E7200" t="str">
            <v/>
          </cell>
          <cell r="G7200" t="str">
            <v/>
          </cell>
          <cell r="J7200" t="str">
            <v/>
          </cell>
          <cell r="O7200" t="str">
            <v/>
          </cell>
          <cell r="P7200" t="str">
            <v/>
          </cell>
          <cell r="Q7200" t="str">
            <v/>
          </cell>
          <cell r="S7200" t="str">
            <v/>
          </cell>
          <cell r="V7200" t="str">
            <v/>
          </cell>
          <cell r="Z7200" t="str">
            <v/>
          </cell>
          <cell r="AA7200" t="str">
            <v/>
          </cell>
          <cell r="AB7200" t="str">
            <v/>
          </cell>
          <cell r="AC7200" t="str">
            <v/>
          </cell>
          <cell r="AD7200" t="str">
            <v/>
          </cell>
          <cell r="AY7200" t="str">
            <v/>
          </cell>
          <cell r="AZ7200" t="str">
            <v/>
          </cell>
          <cell r="BA7200" t="str">
            <v/>
          </cell>
        </row>
        <row r="7201">
          <cell r="B7201" t="str">
            <v>-</v>
          </cell>
          <cell r="E7201" t="str">
            <v/>
          </cell>
          <cell r="G7201" t="str">
            <v/>
          </cell>
          <cell r="J7201" t="str">
            <v/>
          </cell>
          <cell r="O7201" t="str">
            <v/>
          </cell>
          <cell r="P7201" t="str">
            <v/>
          </cell>
          <cell r="Q7201" t="str">
            <v/>
          </cell>
          <cell r="S7201" t="str">
            <v/>
          </cell>
          <cell r="V7201" t="str">
            <v/>
          </cell>
          <cell r="Z7201" t="str">
            <v/>
          </cell>
          <cell r="AA7201" t="str">
            <v/>
          </cell>
          <cell r="AB7201" t="str">
            <v/>
          </cell>
          <cell r="AC7201" t="str">
            <v/>
          </cell>
          <cell r="AD7201" t="str">
            <v/>
          </cell>
          <cell r="AY7201" t="str">
            <v/>
          </cell>
          <cell r="AZ7201" t="str">
            <v/>
          </cell>
          <cell r="BA7201" t="str">
            <v/>
          </cell>
        </row>
        <row r="7202">
          <cell r="B7202" t="str">
            <v>-</v>
          </cell>
          <cell r="E7202" t="str">
            <v/>
          </cell>
          <cell r="G7202" t="str">
            <v/>
          </cell>
          <cell r="J7202" t="str">
            <v/>
          </cell>
          <cell r="O7202" t="str">
            <v/>
          </cell>
          <cell r="P7202" t="str">
            <v/>
          </cell>
          <cell r="Q7202" t="str">
            <v/>
          </cell>
          <cell r="S7202" t="str">
            <v/>
          </cell>
          <cell r="V7202" t="str">
            <v/>
          </cell>
          <cell r="Z7202" t="str">
            <v/>
          </cell>
          <cell r="AA7202" t="str">
            <v/>
          </cell>
          <cell r="AB7202" t="str">
            <v/>
          </cell>
          <cell r="AC7202" t="str">
            <v/>
          </cell>
          <cell r="AD7202" t="str">
            <v/>
          </cell>
          <cell r="AY7202" t="str">
            <v/>
          </cell>
          <cell r="AZ7202" t="str">
            <v/>
          </cell>
          <cell r="BA7202" t="str">
            <v/>
          </cell>
        </row>
        <row r="7203">
          <cell r="B7203" t="str">
            <v>-</v>
          </cell>
          <cell r="E7203" t="str">
            <v/>
          </cell>
          <cell r="G7203" t="str">
            <v/>
          </cell>
          <cell r="J7203" t="str">
            <v/>
          </cell>
          <cell r="O7203" t="str">
            <v/>
          </cell>
          <cell r="P7203" t="str">
            <v/>
          </cell>
          <cell r="Q7203" t="str">
            <v/>
          </cell>
          <cell r="S7203" t="str">
            <v/>
          </cell>
          <cell r="V7203" t="str">
            <v/>
          </cell>
          <cell r="Z7203" t="str">
            <v/>
          </cell>
          <cell r="AA7203" t="str">
            <v/>
          </cell>
          <cell r="AB7203" t="str">
            <v/>
          </cell>
          <cell r="AC7203" t="str">
            <v/>
          </cell>
          <cell r="AD7203" t="str">
            <v/>
          </cell>
          <cell r="AY7203" t="str">
            <v/>
          </cell>
          <cell r="AZ7203" t="str">
            <v/>
          </cell>
          <cell r="BA7203" t="str">
            <v/>
          </cell>
        </row>
        <row r="7204">
          <cell r="B7204" t="str">
            <v>-</v>
          </cell>
          <cell r="E7204" t="str">
            <v/>
          </cell>
          <cell r="G7204" t="str">
            <v/>
          </cell>
          <cell r="J7204" t="str">
            <v/>
          </cell>
          <cell r="O7204" t="str">
            <v/>
          </cell>
          <cell r="P7204" t="str">
            <v/>
          </cell>
          <cell r="Q7204" t="str">
            <v/>
          </cell>
          <cell r="S7204" t="str">
            <v/>
          </cell>
          <cell r="V7204" t="str">
            <v/>
          </cell>
          <cell r="Z7204" t="str">
            <v/>
          </cell>
          <cell r="AA7204" t="str">
            <v/>
          </cell>
          <cell r="AB7204" t="str">
            <v/>
          </cell>
          <cell r="AC7204" t="str">
            <v/>
          </cell>
          <cell r="AD7204" t="str">
            <v/>
          </cell>
          <cell r="AY7204" t="str">
            <v/>
          </cell>
          <cell r="AZ7204" t="str">
            <v/>
          </cell>
          <cell r="BA7204" t="str">
            <v/>
          </cell>
        </row>
        <row r="7205">
          <cell r="B7205" t="str">
            <v>-</v>
          </cell>
          <cell r="E7205" t="str">
            <v/>
          </cell>
          <cell r="G7205" t="str">
            <v/>
          </cell>
          <cell r="J7205" t="str">
            <v/>
          </cell>
          <cell r="O7205" t="str">
            <v/>
          </cell>
          <cell r="P7205" t="str">
            <v/>
          </cell>
          <cell r="Q7205" t="str">
            <v/>
          </cell>
          <cell r="S7205" t="str">
            <v/>
          </cell>
          <cell r="V7205" t="str">
            <v/>
          </cell>
          <cell r="Z7205" t="str">
            <v/>
          </cell>
          <cell r="AA7205" t="str">
            <v/>
          </cell>
          <cell r="AB7205" t="str">
            <v/>
          </cell>
          <cell r="AC7205" t="str">
            <v/>
          </cell>
          <cell r="AD7205" t="str">
            <v/>
          </cell>
          <cell r="AY7205" t="str">
            <v/>
          </cell>
          <cell r="AZ7205" t="str">
            <v/>
          </cell>
          <cell r="BA7205" t="str">
            <v/>
          </cell>
        </row>
        <row r="7206">
          <cell r="B7206" t="str">
            <v>-</v>
          </cell>
          <cell r="E7206" t="str">
            <v/>
          </cell>
          <cell r="G7206" t="str">
            <v/>
          </cell>
          <cell r="J7206" t="str">
            <v/>
          </cell>
          <cell r="O7206" t="str">
            <v/>
          </cell>
          <cell r="P7206" t="str">
            <v/>
          </cell>
          <cell r="Q7206" t="str">
            <v/>
          </cell>
          <cell r="S7206" t="str">
            <v/>
          </cell>
          <cell r="V7206" t="str">
            <v/>
          </cell>
          <cell r="Z7206" t="str">
            <v/>
          </cell>
          <cell r="AA7206" t="str">
            <v/>
          </cell>
          <cell r="AB7206" t="str">
            <v/>
          </cell>
          <cell r="AC7206" t="str">
            <v/>
          </cell>
          <cell r="AD7206" t="str">
            <v/>
          </cell>
          <cell r="AY7206" t="str">
            <v/>
          </cell>
          <cell r="AZ7206" t="str">
            <v/>
          </cell>
          <cell r="BA7206" t="str">
            <v/>
          </cell>
        </row>
        <row r="7207">
          <cell r="B7207" t="str">
            <v>-</v>
          </cell>
          <cell r="E7207" t="str">
            <v/>
          </cell>
          <cell r="G7207" t="str">
            <v/>
          </cell>
          <cell r="J7207" t="str">
            <v/>
          </cell>
          <cell r="O7207" t="str">
            <v/>
          </cell>
          <cell r="P7207" t="str">
            <v/>
          </cell>
          <cell r="Q7207" t="str">
            <v/>
          </cell>
          <cell r="S7207" t="str">
            <v/>
          </cell>
          <cell r="V7207" t="str">
            <v/>
          </cell>
          <cell r="Z7207" t="str">
            <v/>
          </cell>
          <cell r="AA7207" t="str">
            <v/>
          </cell>
          <cell r="AB7207" t="str">
            <v/>
          </cell>
          <cell r="AC7207" t="str">
            <v/>
          </cell>
          <cell r="AD7207" t="str">
            <v/>
          </cell>
          <cell r="AY7207" t="str">
            <v/>
          </cell>
          <cell r="AZ7207" t="str">
            <v/>
          </cell>
          <cell r="BA7207" t="str">
            <v/>
          </cell>
        </row>
        <row r="7208">
          <cell r="B7208" t="str">
            <v>-</v>
          </cell>
          <cell r="E7208" t="str">
            <v/>
          </cell>
          <cell r="G7208" t="str">
            <v/>
          </cell>
          <cell r="J7208" t="str">
            <v/>
          </cell>
          <cell r="O7208" t="str">
            <v/>
          </cell>
          <cell r="P7208" t="str">
            <v/>
          </cell>
          <cell r="Q7208" t="str">
            <v/>
          </cell>
          <cell r="S7208" t="str">
            <v/>
          </cell>
          <cell r="V7208" t="str">
            <v/>
          </cell>
          <cell r="Z7208" t="str">
            <v/>
          </cell>
          <cell r="AA7208" t="str">
            <v/>
          </cell>
          <cell r="AB7208" t="str">
            <v/>
          </cell>
          <cell r="AC7208" t="str">
            <v/>
          </cell>
          <cell r="AD7208" t="str">
            <v/>
          </cell>
          <cell r="AY7208" t="str">
            <v/>
          </cell>
          <cell r="AZ7208" t="str">
            <v/>
          </cell>
          <cell r="BA7208" t="str">
            <v/>
          </cell>
        </row>
        <row r="7209">
          <cell r="B7209" t="str">
            <v>-</v>
          </cell>
          <cell r="E7209" t="str">
            <v/>
          </cell>
          <cell r="G7209" t="str">
            <v/>
          </cell>
          <cell r="J7209" t="str">
            <v/>
          </cell>
          <cell r="O7209" t="str">
            <v/>
          </cell>
          <cell r="P7209" t="str">
            <v/>
          </cell>
          <cell r="Q7209" t="str">
            <v/>
          </cell>
          <cell r="S7209" t="str">
            <v/>
          </cell>
          <cell r="V7209" t="str">
            <v/>
          </cell>
          <cell r="Z7209" t="str">
            <v/>
          </cell>
          <cell r="AA7209" t="str">
            <v/>
          </cell>
          <cell r="AB7209" t="str">
            <v/>
          </cell>
          <cell r="AC7209" t="str">
            <v/>
          </cell>
          <cell r="AD7209" t="str">
            <v/>
          </cell>
          <cell r="AY7209" t="str">
            <v/>
          </cell>
          <cell r="AZ7209" t="str">
            <v/>
          </cell>
          <cell r="BA7209" t="str">
            <v/>
          </cell>
        </row>
        <row r="7210">
          <cell r="B7210" t="str">
            <v>-</v>
          </cell>
          <cell r="E7210" t="str">
            <v/>
          </cell>
          <cell r="G7210" t="str">
            <v/>
          </cell>
          <cell r="J7210" t="str">
            <v/>
          </cell>
          <cell r="O7210" t="str">
            <v/>
          </cell>
          <cell r="P7210" t="str">
            <v/>
          </cell>
          <cell r="Q7210" t="str">
            <v/>
          </cell>
          <cell r="S7210" t="str">
            <v/>
          </cell>
          <cell r="V7210" t="str">
            <v/>
          </cell>
          <cell r="Z7210" t="str">
            <v/>
          </cell>
          <cell r="AA7210" t="str">
            <v/>
          </cell>
          <cell r="AB7210" t="str">
            <v/>
          </cell>
          <cell r="AC7210" t="str">
            <v/>
          </cell>
          <cell r="AD7210" t="str">
            <v/>
          </cell>
          <cell r="AY7210" t="str">
            <v/>
          </cell>
          <cell r="AZ7210" t="str">
            <v/>
          </cell>
          <cell r="BA7210" t="str">
            <v/>
          </cell>
        </row>
        <row r="7211">
          <cell r="B7211" t="str">
            <v>-</v>
          </cell>
          <cell r="E7211" t="str">
            <v/>
          </cell>
          <cell r="G7211" t="str">
            <v/>
          </cell>
          <cell r="J7211" t="str">
            <v/>
          </cell>
          <cell r="O7211" t="str">
            <v/>
          </cell>
          <cell r="P7211" t="str">
            <v/>
          </cell>
          <cell r="Q7211" t="str">
            <v/>
          </cell>
          <cell r="S7211" t="str">
            <v/>
          </cell>
          <cell r="V7211" t="str">
            <v/>
          </cell>
          <cell r="Z7211" t="str">
            <v/>
          </cell>
          <cell r="AA7211" t="str">
            <v/>
          </cell>
          <cell r="AB7211" t="str">
            <v/>
          </cell>
          <cell r="AC7211" t="str">
            <v/>
          </cell>
          <cell r="AD7211" t="str">
            <v/>
          </cell>
          <cell r="AY7211" t="str">
            <v/>
          </cell>
          <cell r="AZ7211" t="str">
            <v/>
          </cell>
          <cell r="BA7211" t="str">
            <v/>
          </cell>
        </row>
        <row r="7212">
          <cell r="B7212" t="str">
            <v>-</v>
          </cell>
          <cell r="E7212" t="str">
            <v/>
          </cell>
          <cell r="G7212" t="str">
            <v/>
          </cell>
          <cell r="J7212" t="str">
            <v/>
          </cell>
          <cell r="O7212" t="str">
            <v/>
          </cell>
          <cell r="P7212" t="str">
            <v/>
          </cell>
          <cell r="Q7212" t="str">
            <v/>
          </cell>
          <cell r="S7212" t="str">
            <v/>
          </cell>
          <cell r="V7212" t="str">
            <v/>
          </cell>
          <cell r="Z7212" t="str">
            <v/>
          </cell>
          <cell r="AA7212" t="str">
            <v/>
          </cell>
          <cell r="AB7212" t="str">
            <v/>
          </cell>
          <cell r="AC7212" t="str">
            <v/>
          </cell>
          <cell r="AD7212" t="str">
            <v/>
          </cell>
          <cell r="AY7212" t="str">
            <v/>
          </cell>
          <cell r="AZ7212" t="str">
            <v/>
          </cell>
          <cell r="BA7212" t="str">
            <v/>
          </cell>
        </row>
        <row r="7213">
          <cell r="B7213" t="str">
            <v>-</v>
          </cell>
          <cell r="E7213" t="str">
            <v/>
          </cell>
          <cell r="G7213" t="str">
            <v/>
          </cell>
          <cell r="J7213" t="str">
            <v/>
          </cell>
          <cell r="O7213" t="str">
            <v/>
          </cell>
          <cell r="P7213" t="str">
            <v/>
          </cell>
          <cell r="Q7213" t="str">
            <v/>
          </cell>
          <cell r="S7213" t="str">
            <v/>
          </cell>
          <cell r="V7213" t="str">
            <v/>
          </cell>
          <cell r="Z7213" t="str">
            <v/>
          </cell>
          <cell r="AA7213" t="str">
            <v/>
          </cell>
          <cell r="AB7213" t="str">
            <v/>
          </cell>
          <cell r="AC7213" t="str">
            <v/>
          </cell>
          <cell r="AD7213" t="str">
            <v/>
          </cell>
          <cell r="AY7213" t="str">
            <v/>
          </cell>
          <cell r="AZ7213" t="str">
            <v/>
          </cell>
          <cell r="BA7213" t="str">
            <v/>
          </cell>
        </row>
        <row r="7214">
          <cell r="B7214" t="str">
            <v>-</v>
          </cell>
          <cell r="E7214" t="str">
            <v/>
          </cell>
          <cell r="G7214" t="str">
            <v/>
          </cell>
          <cell r="J7214" t="str">
            <v/>
          </cell>
          <cell r="O7214" t="str">
            <v/>
          </cell>
          <cell r="P7214" t="str">
            <v/>
          </cell>
          <cell r="Q7214" t="str">
            <v/>
          </cell>
          <cell r="S7214" t="str">
            <v/>
          </cell>
          <cell r="V7214" t="str">
            <v/>
          </cell>
          <cell r="Z7214" t="str">
            <v/>
          </cell>
          <cell r="AA7214" t="str">
            <v/>
          </cell>
          <cell r="AB7214" t="str">
            <v/>
          </cell>
          <cell r="AC7214" t="str">
            <v/>
          </cell>
          <cell r="AD7214" t="str">
            <v/>
          </cell>
          <cell r="AY7214" t="str">
            <v/>
          </cell>
          <cell r="AZ7214" t="str">
            <v/>
          </cell>
          <cell r="BA7214" t="str">
            <v/>
          </cell>
        </row>
        <row r="7215">
          <cell r="B7215" t="str">
            <v>-</v>
          </cell>
          <cell r="E7215" t="str">
            <v/>
          </cell>
          <cell r="G7215" t="str">
            <v/>
          </cell>
          <cell r="J7215" t="str">
            <v/>
          </cell>
          <cell r="O7215" t="str">
            <v/>
          </cell>
          <cell r="P7215" t="str">
            <v/>
          </cell>
          <cell r="Q7215" t="str">
            <v/>
          </cell>
          <cell r="S7215" t="str">
            <v/>
          </cell>
          <cell r="V7215" t="str">
            <v/>
          </cell>
          <cell r="Z7215" t="str">
            <v/>
          </cell>
          <cell r="AA7215" t="str">
            <v/>
          </cell>
          <cell r="AB7215" t="str">
            <v/>
          </cell>
          <cell r="AC7215" t="str">
            <v/>
          </cell>
          <cell r="AD7215" t="str">
            <v/>
          </cell>
          <cell r="AY7215" t="str">
            <v/>
          </cell>
          <cell r="AZ7215" t="str">
            <v/>
          </cell>
          <cell r="BA7215" t="str">
            <v/>
          </cell>
        </row>
        <row r="7216">
          <cell r="B7216" t="str">
            <v>-</v>
          </cell>
          <cell r="E7216" t="str">
            <v/>
          </cell>
          <cell r="G7216" t="str">
            <v/>
          </cell>
          <cell r="J7216" t="str">
            <v/>
          </cell>
          <cell r="O7216" t="str">
            <v/>
          </cell>
          <cell r="P7216" t="str">
            <v/>
          </cell>
          <cell r="Q7216" t="str">
            <v/>
          </cell>
          <cell r="S7216" t="str">
            <v/>
          </cell>
          <cell r="V7216" t="str">
            <v/>
          </cell>
          <cell r="Z7216" t="str">
            <v/>
          </cell>
          <cell r="AA7216" t="str">
            <v/>
          </cell>
          <cell r="AB7216" t="str">
            <v/>
          </cell>
          <cell r="AC7216" t="str">
            <v/>
          </cell>
          <cell r="AD7216" t="str">
            <v/>
          </cell>
          <cell r="AY7216" t="str">
            <v/>
          </cell>
          <cell r="AZ7216" t="str">
            <v/>
          </cell>
          <cell r="BA7216" t="str">
            <v/>
          </cell>
        </row>
        <row r="7217">
          <cell r="B7217" t="str">
            <v>-</v>
          </cell>
          <cell r="E7217" t="str">
            <v/>
          </cell>
          <cell r="G7217" t="str">
            <v/>
          </cell>
          <cell r="J7217" t="str">
            <v/>
          </cell>
          <cell r="O7217" t="str">
            <v/>
          </cell>
          <cell r="P7217" t="str">
            <v/>
          </cell>
          <cell r="Q7217" t="str">
            <v/>
          </cell>
          <cell r="S7217" t="str">
            <v/>
          </cell>
          <cell r="V7217" t="str">
            <v/>
          </cell>
          <cell r="Z7217" t="str">
            <v/>
          </cell>
          <cell r="AA7217" t="str">
            <v/>
          </cell>
          <cell r="AB7217" t="str">
            <v/>
          </cell>
          <cell r="AC7217" t="str">
            <v/>
          </cell>
          <cell r="AD7217" t="str">
            <v/>
          </cell>
          <cell r="AY7217" t="str">
            <v/>
          </cell>
          <cell r="AZ7217" t="str">
            <v/>
          </cell>
          <cell r="BA7217" t="str">
            <v/>
          </cell>
        </row>
        <row r="7218">
          <cell r="B7218" t="str">
            <v>-</v>
          </cell>
          <cell r="E7218" t="str">
            <v/>
          </cell>
          <cell r="G7218" t="str">
            <v/>
          </cell>
          <cell r="J7218" t="str">
            <v/>
          </cell>
          <cell r="O7218" t="str">
            <v/>
          </cell>
          <cell r="P7218" t="str">
            <v/>
          </cell>
          <cell r="Q7218" t="str">
            <v/>
          </cell>
          <cell r="S7218" t="str">
            <v/>
          </cell>
          <cell r="V7218" t="str">
            <v/>
          </cell>
          <cell r="Z7218" t="str">
            <v/>
          </cell>
          <cell r="AA7218" t="str">
            <v/>
          </cell>
          <cell r="AB7218" t="str">
            <v/>
          </cell>
          <cell r="AC7218" t="str">
            <v/>
          </cell>
          <cell r="AD7218" t="str">
            <v/>
          </cell>
          <cell r="AY7218" t="str">
            <v/>
          </cell>
          <cell r="AZ7218" t="str">
            <v/>
          </cell>
          <cell r="BA7218" t="str">
            <v/>
          </cell>
        </row>
        <row r="7219">
          <cell r="B7219" t="str">
            <v>-</v>
          </cell>
          <cell r="E7219" t="str">
            <v/>
          </cell>
          <cell r="G7219" t="str">
            <v/>
          </cell>
          <cell r="J7219" t="str">
            <v/>
          </cell>
          <cell r="O7219" t="str">
            <v/>
          </cell>
          <cell r="P7219" t="str">
            <v/>
          </cell>
          <cell r="Q7219" t="str">
            <v/>
          </cell>
          <cell r="S7219" t="str">
            <v/>
          </cell>
          <cell r="V7219" t="str">
            <v/>
          </cell>
          <cell r="Z7219" t="str">
            <v/>
          </cell>
          <cell r="AA7219" t="str">
            <v/>
          </cell>
          <cell r="AB7219" t="str">
            <v/>
          </cell>
          <cell r="AC7219" t="str">
            <v/>
          </cell>
          <cell r="AD7219" t="str">
            <v/>
          </cell>
          <cell r="AY7219" t="str">
            <v/>
          </cell>
          <cell r="AZ7219" t="str">
            <v/>
          </cell>
          <cell r="BA7219" t="str">
            <v/>
          </cell>
        </row>
        <row r="7220">
          <cell r="B7220" t="str">
            <v>-</v>
          </cell>
          <cell r="E7220" t="str">
            <v/>
          </cell>
          <cell r="G7220" t="str">
            <v/>
          </cell>
          <cell r="J7220" t="str">
            <v/>
          </cell>
          <cell r="O7220" t="str">
            <v/>
          </cell>
          <cell r="P7220" t="str">
            <v/>
          </cell>
          <cell r="Q7220" t="str">
            <v/>
          </cell>
          <cell r="S7220" t="str">
            <v/>
          </cell>
          <cell r="V7220" t="str">
            <v/>
          </cell>
          <cell r="Z7220" t="str">
            <v/>
          </cell>
          <cell r="AA7220" t="str">
            <v/>
          </cell>
          <cell r="AB7220" t="str">
            <v/>
          </cell>
          <cell r="AC7220" t="str">
            <v/>
          </cell>
          <cell r="AD7220" t="str">
            <v/>
          </cell>
          <cell r="AY7220" t="str">
            <v/>
          </cell>
          <cell r="AZ7220" t="str">
            <v/>
          </cell>
          <cell r="BA7220" t="str">
            <v/>
          </cell>
        </row>
        <row r="7221">
          <cell r="B7221" t="str">
            <v>-</v>
          </cell>
          <cell r="E7221" t="str">
            <v/>
          </cell>
          <cell r="G7221" t="str">
            <v/>
          </cell>
          <cell r="J7221" t="str">
            <v/>
          </cell>
          <cell r="O7221" t="str">
            <v/>
          </cell>
          <cell r="P7221" t="str">
            <v/>
          </cell>
          <cell r="Q7221" t="str">
            <v/>
          </cell>
          <cell r="S7221" t="str">
            <v/>
          </cell>
          <cell r="V7221" t="str">
            <v/>
          </cell>
          <cell r="Z7221" t="str">
            <v/>
          </cell>
          <cell r="AA7221" t="str">
            <v/>
          </cell>
          <cell r="AB7221" t="str">
            <v/>
          </cell>
          <cell r="AC7221" t="str">
            <v/>
          </cell>
          <cell r="AD7221" t="str">
            <v/>
          </cell>
          <cell r="AY7221" t="str">
            <v/>
          </cell>
          <cell r="AZ7221" t="str">
            <v/>
          </cell>
          <cell r="BA7221" t="str">
            <v/>
          </cell>
        </row>
        <row r="7222">
          <cell r="B7222" t="str">
            <v>-</v>
          </cell>
          <cell r="E7222" t="str">
            <v/>
          </cell>
          <cell r="G7222" t="str">
            <v/>
          </cell>
          <cell r="J7222" t="str">
            <v/>
          </cell>
          <cell r="O7222" t="str">
            <v/>
          </cell>
          <cell r="P7222" t="str">
            <v/>
          </cell>
          <cell r="Q7222" t="str">
            <v/>
          </cell>
          <cell r="S7222" t="str">
            <v/>
          </cell>
          <cell r="V7222" t="str">
            <v/>
          </cell>
          <cell r="Z7222" t="str">
            <v/>
          </cell>
          <cell r="AA7222" t="str">
            <v/>
          </cell>
          <cell r="AB7222" t="str">
            <v/>
          </cell>
          <cell r="AC7222" t="str">
            <v/>
          </cell>
          <cell r="AD7222" t="str">
            <v/>
          </cell>
          <cell r="AY7222" t="str">
            <v/>
          </cell>
          <cell r="AZ7222" t="str">
            <v/>
          </cell>
          <cell r="BA7222" t="str">
            <v/>
          </cell>
        </row>
        <row r="7223">
          <cell r="B7223" t="str">
            <v>-</v>
          </cell>
          <cell r="E7223" t="str">
            <v/>
          </cell>
          <cell r="G7223" t="str">
            <v/>
          </cell>
          <cell r="J7223" t="str">
            <v/>
          </cell>
          <cell r="O7223" t="str">
            <v/>
          </cell>
          <cell r="P7223" t="str">
            <v/>
          </cell>
          <cell r="Q7223" t="str">
            <v/>
          </cell>
          <cell r="S7223" t="str">
            <v/>
          </cell>
          <cell r="V7223" t="str">
            <v/>
          </cell>
          <cell r="Z7223" t="str">
            <v/>
          </cell>
          <cell r="AA7223" t="str">
            <v/>
          </cell>
          <cell r="AB7223" t="str">
            <v/>
          </cell>
          <cell r="AC7223" t="str">
            <v/>
          </cell>
          <cell r="AD7223" t="str">
            <v/>
          </cell>
          <cell r="AY7223" t="str">
            <v/>
          </cell>
          <cell r="AZ7223" t="str">
            <v/>
          </cell>
          <cell r="BA7223" t="str">
            <v/>
          </cell>
        </row>
        <row r="7224">
          <cell r="B7224" t="str">
            <v>-</v>
          </cell>
          <cell r="E7224" t="str">
            <v/>
          </cell>
          <cell r="G7224" t="str">
            <v/>
          </cell>
          <cell r="J7224" t="str">
            <v/>
          </cell>
          <cell r="O7224" t="str">
            <v/>
          </cell>
          <cell r="P7224" t="str">
            <v/>
          </cell>
          <cell r="Q7224" t="str">
            <v/>
          </cell>
          <cell r="S7224" t="str">
            <v/>
          </cell>
          <cell r="V7224" t="str">
            <v/>
          </cell>
          <cell r="Z7224" t="str">
            <v/>
          </cell>
          <cell r="AA7224" t="str">
            <v/>
          </cell>
          <cell r="AB7224" t="str">
            <v/>
          </cell>
          <cell r="AC7224" t="str">
            <v/>
          </cell>
          <cell r="AD7224" t="str">
            <v/>
          </cell>
          <cell r="AY7224" t="str">
            <v/>
          </cell>
          <cell r="AZ7224" t="str">
            <v/>
          </cell>
          <cell r="BA7224" t="str">
            <v/>
          </cell>
        </row>
        <row r="7225">
          <cell r="B7225" t="str">
            <v>-</v>
          </cell>
          <cell r="E7225" t="str">
            <v/>
          </cell>
          <cell r="G7225" t="str">
            <v/>
          </cell>
          <cell r="J7225" t="str">
            <v/>
          </cell>
          <cell r="O7225" t="str">
            <v/>
          </cell>
          <cell r="P7225" t="str">
            <v/>
          </cell>
          <cell r="Q7225" t="str">
            <v/>
          </cell>
          <cell r="S7225" t="str">
            <v/>
          </cell>
          <cell r="V7225" t="str">
            <v/>
          </cell>
          <cell r="Z7225" t="str">
            <v/>
          </cell>
          <cell r="AA7225" t="str">
            <v/>
          </cell>
          <cell r="AB7225" t="str">
            <v/>
          </cell>
          <cell r="AC7225" t="str">
            <v/>
          </cell>
          <cell r="AD7225" t="str">
            <v/>
          </cell>
          <cell r="AY7225" t="str">
            <v/>
          </cell>
          <cell r="AZ7225" t="str">
            <v/>
          </cell>
          <cell r="BA7225" t="str">
            <v/>
          </cell>
        </row>
        <row r="7226">
          <cell r="B7226" t="str">
            <v>-</v>
          </cell>
          <cell r="E7226" t="str">
            <v/>
          </cell>
          <cell r="G7226" t="str">
            <v/>
          </cell>
          <cell r="J7226" t="str">
            <v/>
          </cell>
          <cell r="O7226" t="str">
            <v/>
          </cell>
          <cell r="P7226" t="str">
            <v/>
          </cell>
          <cell r="Q7226" t="str">
            <v/>
          </cell>
          <cell r="S7226" t="str">
            <v/>
          </cell>
          <cell r="V7226" t="str">
            <v/>
          </cell>
          <cell r="Z7226" t="str">
            <v/>
          </cell>
          <cell r="AA7226" t="str">
            <v/>
          </cell>
          <cell r="AB7226" t="str">
            <v/>
          </cell>
          <cell r="AC7226" t="str">
            <v/>
          </cell>
          <cell r="AD7226" t="str">
            <v/>
          </cell>
          <cell r="AY7226" t="str">
            <v/>
          </cell>
          <cell r="AZ7226" t="str">
            <v/>
          </cell>
          <cell r="BA7226" t="str">
            <v/>
          </cell>
        </row>
        <row r="7227">
          <cell r="B7227" t="str">
            <v>-</v>
          </cell>
          <cell r="E7227" t="str">
            <v/>
          </cell>
          <cell r="G7227" t="str">
            <v/>
          </cell>
          <cell r="J7227" t="str">
            <v/>
          </cell>
          <cell r="O7227" t="str">
            <v/>
          </cell>
          <cell r="P7227" t="str">
            <v/>
          </cell>
          <cell r="Q7227" t="str">
            <v/>
          </cell>
          <cell r="S7227" t="str">
            <v/>
          </cell>
          <cell r="V7227" t="str">
            <v/>
          </cell>
          <cell r="Z7227" t="str">
            <v/>
          </cell>
          <cell r="AA7227" t="str">
            <v/>
          </cell>
          <cell r="AB7227" t="str">
            <v/>
          </cell>
          <cell r="AC7227" t="str">
            <v/>
          </cell>
          <cell r="AD7227" t="str">
            <v/>
          </cell>
          <cell r="AY7227" t="str">
            <v/>
          </cell>
          <cell r="AZ7227" t="str">
            <v/>
          </cell>
          <cell r="BA7227" t="str">
            <v/>
          </cell>
        </row>
        <row r="7228">
          <cell r="B7228" t="str">
            <v>-</v>
          </cell>
          <cell r="E7228" t="str">
            <v/>
          </cell>
          <cell r="G7228" t="str">
            <v/>
          </cell>
          <cell r="J7228" t="str">
            <v/>
          </cell>
          <cell r="O7228" t="str">
            <v/>
          </cell>
          <cell r="P7228" t="str">
            <v/>
          </cell>
          <cell r="Q7228" t="str">
            <v/>
          </cell>
          <cell r="S7228" t="str">
            <v/>
          </cell>
          <cell r="V7228" t="str">
            <v/>
          </cell>
          <cell r="Z7228" t="str">
            <v/>
          </cell>
          <cell r="AA7228" t="str">
            <v/>
          </cell>
          <cell r="AB7228" t="str">
            <v/>
          </cell>
          <cell r="AC7228" t="str">
            <v/>
          </cell>
          <cell r="AD7228" t="str">
            <v/>
          </cell>
          <cell r="AY7228" t="str">
            <v/>
          </cell>
          <cell r="AZ7228" t="str">
            <v/>
          </cell>
          <cell r="BA7228" t="str">
            <v/>
          </cell>
        </row>
        <row r="7229">
          <cell r="B7229" t="str">
            <v>-</v>
          </cell>
          <cell r="E7229" t="str">
            <v/>
          </cell>
          <cell r="G7229" t="str">
            <v/>
          </cell>
          <cell r="J7229" t="str">
            <v/>
          </cell>
          <cell r="O7229" t="str">
            <v/>
          </cell>
          <cell r="P7229" t="str">
            <v/>
          </cell>
          <cell r="Q7229" t="str">
            <v/>
          </cell>
          <cell r="S7229" t="str">
            <v/>
          </cell>
          <cell r="V7229" t="str">
            <v/>
          </cell>
          <cell r="Z7229" t="str">
            <v/>
          </cell>
          <cell r="AA7229" t="str">
            <v/>
          </cell>
          <cell r="AB7229" t="str">
            <v/>
          </cell>
          <cell r="AC7229" t="str">
            <v/>
          </cell>
          <cell r="AD7229" t="str">
            <v/>
          </cell>
          <cell r="AY7229" t="str">
            <v/>
          </cell>
          <cell r="AZ7229" t="str">
            <v/>
          </cell>
          <cell r="BA7229" t="str">
            <v/>
          </cell>
        </row>
        <row r="7230">
          <cell r="B7230" t="str">
            <v>-</v>
          </cell>
          <cell r="E7230" t="str">
            <v/>
          </cell>
          <cell r="G7230" t="str">
            <v/>
          </cell>
          <cell r="J7230" t="str">
            <v/>
          </cell>
          <cell r="O7230" t="str">
            <v/>
          </cell>
          <cell r="P7230" t="str">
            <v/>
          </cell>
          <cell r="Q7230" t="str">
            <v/>
          </cell>
          <cell r="S7230" t="str">
            <v/>
          </cell>
          <cell r="V7230" t="str">
            <v/>
          </cell>
          <cell r="Z7230" t="str">
            <v/>
          </cell>
          <cell r="AA7230" t="str">
            <v/>
          </cell>
          <cell r="AB7230" t="str">
            <v/>
          </cell>
          <cell r="AC7230" t="str">
            <v/>
          </cell>
          <cell r="AD7230" t="str">
            <v/>
          </cell>
          <cell r="AY7230" t="str">
            <v/>
          </cell>
          <cell r="AZ7230" t="str">
            <v/>
          </cell>
          <cell r="BA7230" t="str">
            <v/>
          </cell>
        </row>
        <row r="7231">
          <cell r="B7231" t="str">
            <v>-</v>
          </cell>
          <cell r="E7231" t="str">
            <v/>
          </cell>
          <cell r="G7231" t="str">
            <v/>
          </cell>
          <cell r="J7231" t="str">
            <v/>
          </cell>
          <cell r="O7231" t="str">
            <v/>
          </cell>
          <cell r="P7231" t="str">
            <v/>
          </cell>
          <cell r="Q7231" t="str">
            <v/>
          </cell>
          <cell r="S7231" t="str">
            <v/>
          </cell>
          <cell r="V7231" t="str">
            <v/>
          </cell>
          <cell r="Z7231" t="str">
            <v/>
          </cell>
          <cell r="AA7231" t="str">
            <v/>
          </cell>
          <cell r="AB7231" t="str">
            <v/>
          </cell>
          <cell r="AC7231" t="str">
            <v/>
          </cell>
          <cell r="AD7231" t="str">
            <v/>
          </cell>
          <cell r="AY7231" t="str">
            <v/>
          </cell>
          <cell r="AZ7231" t="str">
            <v/>
          </cell>
          <cell r="BA7231" t="str">
            <v/>
          </cell>
        </row>
        <row r="7232">
          <cell r="B7232" t="str">
            <v>-</v>
          </cell>
          <cell r="E7232" t="str">
            <v/>
          </cell>
          <cell r="G7232" t="str">
            <v/>
          </cell>
          <cell r="J7232" t="str">
            <v/>
          </cell>
          <cell r="O7232" t="str">
            <v/>
          </cell>
          <cell r="P7232" t="str">
            <v/>
          </cell>
          <cell r="Q7232" t="str">
            <v/>
          </cell>
          <cell r="S7232" t="str">
            <v/>
          </cell>
          <cell r="V7232" t="str">
            <v/>
          </cell>
          <cell r="Z7232" t="str">
            <v/>
          </cell>
          <cell r="AA7232" t="str">
            <v/>
          </cell>
          <cell r="AB7232" t="str">
            <v/>
          </cell>
          <cell r="AC7232" t="str">
            <v/>
          </cell>
          <cell r="AD7232" t="str">
            <v/>
          </cell>
          <cell r="AY7232" t="str">
            <v/>
          </cell>
          <cell r="AZ7232" t="str">
            <v/>
          </cell>
          <cell r="BA7232" t="str">
            <v/>
          </cell>
        </row>
        <row r="7233">
          <cell r="B7233" t="str">
            <v>-</v>
          </cell>
          <cell r="E7233" t="str">
            <v/>
          </cell>
          <cell r="G7233" t="str">
            <v/>
          </cell>
          <cell r="J7233" t="str">
            <v/>
          </cell>
          <cell r="O7233" t="str">
            <v/>
          </cell>
          <cell r="P7233" t="str">
            <v/>
          </cell>
          <cell r="Q7233" t="str">
            <v/>
          </cell>
          <cell r="S7233" t="str">
            <v/>
          </cell>
          <cell r="V7233" t="str">
            <v/>
          </cell>
          <cell r="Z7233" t="str">
            <v/>
          </cell>
          <cell r="AA7233" t="str">
            <v/>
          </cell>
          <cell r="AB7233" t="str">
            <v/>
          </cell>
          <cell r="AC7233" t="str">
            <v/>
          </cell>
          <cell r="AD7233" t="str">
            <v/>
          </cell>
          <cell r="AY7233" t="str">
            <v/>
          </cell>
          <cell r="AZ7233" t="str">
            <v/>
          </cell>
          <cell r="BA7233" t="str">
            <v/>
          </cell>
        </row>
        <row r="7234">
          <cell r="B7234" t="str">
            <v>-</v>
          </cell>
          <cell r="E7234" t="str">
            <v/>
          </cell>
          <cell r="G7234" t="str">
            <v/>
          </cell>
          <cell r="J7234" t="str">
            <v/>
          </cell>
          <cell r="O7234" t="str">
            <v/>
          </cell>
          <cell r="P7234" t="str">
            <v/>
          </cell>
          <cell r="Q7234" t="str">
            <v/>
          </cell>
          <cell r="S7234" t="str">
            <v/>
          </cell>
          <cell r="V7234" t="str">
            <v/>
          </cell>
          <cell r="Z7234" t="str">
            <v/>
          </cell>
          <cell r="AA7234" t="str">
            <v/>
          </cell>
          <cell r="AB7234" t="str">
            <v/>
          </cell>
          <cell r="AC7234" t="str">
            <v/>
          </cell>
          <cell r="AD7234" t="str">
            <v/>
          </cell>
          <cell r="AY7234" t="str">
            <v/>
          </cell>
          <cell r="AZ7234" t="str">
            <v/>
          </cell>
          <cell r="BA7234" t="str">
            <v/>
          </cell>
        </row>
        <row r="7235">
          <cell r="B7235" t="str">
            <v>-</v>
          </cell>
          <cell r="E7235" t="str">
            <v/>
          </cell>
          <cell r="G7235" t="str">
            <v/>
          </cell>
          <cell r="J7235" t="str">
            <v/>
          </cell>
          <cell r="O7235" t="str">
            <v/>
          </cell>
          <cell r="P7235" t="str">
            <v/>
          </cell>
          <cell r="Q7235" t="str">
            <v/>
          </cell>
          <cell r="S7235" t="str">
            <v/>
          </cell>
          <cell r="V7235" t="str">
            <v/>
          </cell>
          <cell r="Z7235" t="str">
            <v/>
          </cell>
          <cell r="AA7235" t="str">
            <v/>
          </cell>
          <cell r="AB7235" t="str">
            <v/>
          </cell>
          <cell r="AC7235" t="str">
            <v/>
          </cell>
          <cell r="AD7235" t="str">
            <v/>
          </cell>
          <cell r="AY7235" t="str">
            <v/>
          </cell>
          <cell r="AZ7235" t="str">
            <v/>
          </cell>
          <cell r="BA7235" t="str">
            <v/>
          </cell>
        </row>
        <row r="7236">
          <cell r="B7236" t="str">
            <v>-</v>
          </cell>
          <cell r="E7236" t="str">
            <v/>
          </cell>
          <cell r="G7236" t="str">
            <v/>
          </cell>
          <cell r="J7236" t="str">
            <v/>
          </cell>
          <cell r="O7236" t="str">
            <v/>
          </cell>
          <cell r="P7236" t="str">
            <v/>
          </cell>
          <cell r="Q7236" t="str">
            <v/>
          </cell>
          <cell r="S7236" t="str">
            <v/>
          </cell>
          <cell r="V7236" t="str">
            <v/>
          </cell>
          <cell r="Z7236" t="str">
            <v/>
          </cell>
          <cell r="AA7236" t="str">
            <v/>
          </cell>
          <cell r="AB7236" t="str">
            <v/>
          </cell>
          <cell r="AC7236" t="str">
            <v/>
          </cell>
          <cell r="AD7236" t="str">
            <v/>
          </cell>
          <cell r="AY7236" t="str">
            <v/>
          </cell>
          <cell r="AZ7236" t="str">
            <v/>
          </cell>
          <cell r="BA7236" t="str">
            <v/>
          </cell>
        </row>
        <row r="7237">
          <cell r="B7237" t="str">
            <v>-</v>
          </cell>
          <cell r="E7237" t="str">
            <v/>
          </cell>
          <cell r="G7237" t="str">
            <v/>
          </cell>
          <cell r="J7237" t="str">
            <v/>
          </cell>
          <cell r="O7237" t="str">
            <v/>
          </cell>
          <cell r="P7237" t="str">
            <v/>
          </cell>
          <cell r="Q7237" t="str">
            <v/>
          </cell>
          <cell r="S7237" t="str">
            <v/>
          </cell>
          <cell r="V7237" t="str">
            <v/>
          </cell>
          <cell r="Z7237" t="str">
            <v/>
          </cell>
          <cell r="AA7237" t="str">
            <v/>
          </cell>
          <cell r="AB7237" t="str">
            <v/>
          </cell>
          <cell r="AC7237" t="str">
            <v/>
          </cell>
          <cell r="AD7237" t="str">
            <v/>
          </cell>
          <cell r="AY7237" t="str">
            <v/>
          </cell>
          <cell r="AZ7237" t="str">
            <v/>
          </cell>
          <cell r="BA7237" t="str">
            <v/>
          </cell>
        </row>
        <row r="7238">
          <cell r="B7238" t="str">
            <v>-</v>
          </cell>
          <cell r="E7238" t="str">
            <v/>
          </cell>
          <cell r="G7238" t="str">
            <v/>
          </cell>
          <cell r="J7238" t="str">
            <v/>
          </cell>
          <cell r="O7238" t="str">
            <v/>
          </cell>
          <cell r="P7238" t="str">
            <v/>
          </cell>
          <cell r="Q7238" t="str">
            <v/>
          </cell>
          <cell r="S7238" t="str">
            <v/>
          </cell>
          <cell r="V7238" t="str">
            <v/>
          </cell>
          <cell r="Z7238" t="str">
            <v/>
          </cell>
          <cell r="AA7238" t="str">
            <v/>
          </cell>
          <cell r="AB7238" t="str">
            <v/>
          </cell>
          <cell r="AC7238" t="str">
            <v/>
          </cell>
          <cell r="AD7238" t="str">
            <v/>
          </cell>
          <cell r="AY7238" t="str">
            <v/>
          </cell>
          <cell r="AZ7238" t="str">
            <v/>
          </cell>
          <cell r="BA7238" t="str">
            <v/>
          </cell>
        </row>
        <row r="7239">
          <cell r="B7239" t="str">
            <v>-</v>
          </cell>
          <cell r="E7239" t="str">
            <v/>
          </cell>
          <cell r="G7239" t="str">
            <v/>
          </cell>
          <cell r="J7239" t="str">
            <v/>
          </cell>
          <cell r="O7239" t="str">
            <v/>
          </cell>
          <cell r="P7239" t="str">
            <v/>
          </cell>
          <cell r="Q7239" t="str">
            <v/>
          </cell>
          <cell r="S7239" t="str">
            <v/>
          </cell>
          <cell r="V7239" t="str">
            <v/>
          </cell>
          <cell r="Z7239" t="str">
            <v/>
          </cell>
          <cell r="AA7239" t="str">
            <v/>
          </cell>
          <cell r="AB7239" t="str">
            <v/>
          </cell>
          <cell r="AC7239" t="str">
            <v/>
          </cell>
          <cell r="AD7239" t="str">
            <v/>
          </cell>
          <cell r="AY7239" t="str">
            <v/>
          </cell>
          <cell r="AZ7239" t="str">
            <v/>
          </cell>
          <cell r="BA7239" t="str">
            <v/>
          </cell>
        </row>
        <row r="7240">
          <cell r="B7240" t="str">
            <v>-</v>
          </cell>
          <cell r="E7240" t="str">
            <v/>
          </cell>
          <cell r="G7240" t="str">
            <v/>
          </cell>
          <cell r="J7240" t="str">
            <v/>
          </cell>
          <cell r="O7240" t="str">
            <v/>
          </cell>
          <cell r="P7240" t="str">
            <v/>
          </cell>
          <cell r="Q7240" t="str">
            <v/>
          </cell>
          <cell r="S7240" t="str">
            <v/>
          </cell>
          <cell r="V7240" t="str">
            <v/>
          </cell>
          <cell r="Z7240" t="str">
            <v/>
          </cell>
          <cell r="AA7240" t="str">
            <v/>
          </cell>
          <cell r="AB7240" t="str">
            <v/>
          </cell>
          <cell r="AC7240" t="str">
            <v/>
          </cell>
          <cell r="AD7240" t="str">
            <v/>
          </cell>
          <cell r="AY7240" t="str">
            <v/>
          </cell>
          <cell r="AZ7240" t="str">
            <v/>
          </cell>
          <cell r="BA7240" t="str">
            <v/>
          </cell>
        </row>
        <row r="7241">
          <cell r="B7241" t="str">
            <v>-</v>
          </cell>
          <cell r="E7241" t="str">
            <v/>
          </cell>
          <cell r="G7241" t="str">
            <v/>
          </cell>
          <cell r="J7241" t="str">
            <v/>
          </cell>
          <cell r="O7241" t="str">
            <v/>
          </cell>
          <cell r="P7241" t="str">
            <v/>
          </cell>
          <cell r="Q7241" t="str">
            <v/>
          </cell>
          <cell r="S7241" t="str">
            <v/>
          </cell>
          <cell r="V7241" t="str">
            <v/>
          </cell>
          <cell r="Z7241" t="str">
            <v/>
          </cell>
          <cell r="AA7241" t="str">
            <v/>
          </cell>
          <cell r="AB7241" t="str">
            <v/>
          </cell>
          <cell r="AC7241" t="str">
            <v/>
          </cell>
          <cell r="AD7241" t="str">
            <v/>
          </cell>
          <cell r="AY7241" t="str">
            <v/>
          </cell>
          <cell r="AZ7241" t="str">
            <v/>
          </cell>
          <cell r="BA7241" t="str">
            <v/>
          </cell>
        </row>
        <row r="7242">
          <cell r="B7242" t="str">
            <v>-</v>
          </cell>
          <cell r="E7242" t="str">
            <v/>
          </cell>
          <cell r="G7242" t="str">
            <v/>
          </cell>
          <cell r="J7242" t="str">
            <v/>
          </cell>
          <cell r="O7242" t="str">
            <v/>
          </cell>
          <cell r="P7242" t="str">
            <v/>
          </cell>
          <cell r="Q7242" t="str">
            <v/>
          </cell>
          <cell r="S7242" t="str">
            <v/>
          </cell>
          <cell r="V7242" t="str">
            <v/>
          </cell>
          <cell r="Z7242" t="str">
            <v/>
          </cell>
          <cell r="AA7242" t="str">
            <v/>
          </cell>
          <cell r="AB7242" t="str">
            <v/>
          </cell>
          <cell r="AC7242" t="str">
            <v/>
          </cell>
          <cell r="AD7242" t="str">
            <v/>
          </cell>
          <cell r="AY7242" t="str">
            <v/>
          </cell>
          <cell r="AZ7242" t="str">
            <v/>
          </cell>
          <cell r="BA7242" t="str">
            <v/>
          </cell>
        </row>
        <row r="7243">
          <cell r="B7243" t="str">
            <v>-</v>
          </cell>
          <cell r="E7243" t="str">
            <v/>
          </cell>
          <cell r="G7243" t="str">
            <v/>
          </cell>
          <cell r="J7243" t="str">
            <v/>
          </cell>
          <cell r="O7243" t="str">
            <v/>
          </cell>
          <cell r="P7243" t="str">
            <v/>
          </cell>
          <cell r="Q7243" t="str">
            <v/>
          </cell>
          <cell r="S7243" t="str">
            <v/>
          </cell>
          <cell r="V7243" t="str">
            <v/>
          </cell>
          <cell r="Z7243" t="str">
            <v/>
          </cell>
          <cell r="AA7243" t="str">
            <v/>
          </cell>
          <cell r="AB7243" t="str">
            <v/>
          </cell>
          <cell r="AC7243" t="str">
            <v/>
          </cell>
          <cell r="AD7243" t="str">
            <v/>
          </cell>
          <cell r="AY7243" t="str">
            <v/>
          </cell>
          <cell r="AZ7243" t="str">
            <v/>
          </cell>
          <cell r="BA7243" t="str">
            <v/>
          </cell>
        </row>
        <row r="7244">
          <cell r="B7244" t="str">
            <v>-</v>
          </cell>
          <cell r="E7244" t="str">
            <v/>
          </cell>
          <cell r="G7244" t="str">
            <v/>
          </cell>
          <cell r="J7244" t="str">
            <v/>
          </cell>
          <cell r="O7244" t="str">
            <v/>
          </cell>
          <cell r="P7244" t="str">
            <v/>
          </cell>
          <cell r="Q7244" t="str">
            <v/>
          </cell>
          <cell r="S7244" t="str">
            <v/>
          </cell>
          <cell r="V7244" t="str">
            <v/>
          </cell>
          <cell r="Z7244" t="str">
            <v/>
          </cell>
          <cell r="AA7244" t="str">
            <v/>
          </cell>
          <cell r="AB7244" t="str">
            <v/>
          </cell>
          <cell r="AC7244" t="str">
            <v/>
          </cell>
          <cell r="AD7244" t="str">
            <v/>
          </cell>
          <cell r="AY7244" t="str">
            <v/>
          </cell>
          <cell r="AZ7244" t="str">
            <v/>
          </cell>
          <cell r="BA7244" t="str">
            <v/>
          </cell>
        </row>
        <row r="7245">
          <cell r="B7245" t="str">
            <v>-</v>
          </cell>
          <cell r="E7245" t="str">
            <v/>
          </cell>
          <cell r="G7245" t="str">
            <v/>
          </cell>
          <cell r="J7245" t="str">
            <v/>
          </cell>
          <cell r="O7245" t="str">
            <v/>
          </cell>
          <cell r="P7245" t="str">
            <v/>
          </cell>
          <cell r="Q7245" t="str">
            <v/>
          </cell>
          <cell r="S7245" t="str">
            <v/>
          </cell>
          <cell r="V7245" t="str">
            <v/>
          </cell>
          <cell r="Z7245" t="str">
            <v/>
          </cell>
          <cell r="AA7245" t="str">
            <v/>
          </cell>
          <cell r="AB7245" t="str">
            <v/>
          </cell>
          <cell r="AC7245" t="str">
            <v/>
          </cell>
          <cell r="AD7245" t="str">
            <v/>
          </cell>
          <cell r="AY7245" t="str">
            <v/>
          </cell>
          <cell r="AZ7245" t="str">
            <v/>
          </cell>
          <cell r="BA7245" t="str">
            <v/>
          </cell>
        </row>
        <row r="7246">
          <cell r="B7246" t="str">
            <v>-</v>
          </cell>
          <cell r="E7246" t="str">
            <v/>
          </cell>
          <cell r="G7246" t="str">
            <v/>
          </cell>
          <cell r="J7246" t="str">
            <v/>
          </cell>
          <cell r="O7246" t="str">
            <v/>
          </cell>
          <cell r="P7246" t="str">
            <v/>
          </cell>
          <cell r="Q7246" t="str">
            <v/>
          </cell>
          <cell r="S7246" t="str">
            <v/>
          </cell>
          <cell r="V7246" t="str">
            <v/>
          </cell>
          <cell r="Z7246" t="str">
            <v/>
          </cell>
          <cell r="AA7246" t="str">
            <v/>
          </cell>
          <cell r="AB7246" t="str">
            <v/>
          </cell>
          <cell r="AC7246" t="str">
            <v/>
          </cell>
          <cell r="AD7246" t="str">
            <v/>
          </cell>
          <cell r="AY7246" t="str">
            <v/>
          </cell>
          <cell r="AZ7246" t="str">
            <v/>
          </cell>
          <cell r="BA7246" t="str">
            <v/>
          </cell>
        </row>
        <row r="7247">
          <cell r="B7247" t="str">
            <v>-</v>
          </cell>
          <cell r="E7247" t="str">
            <v/>
          </cell>
          <cell r="G7247" t="str">
            <v/>
          </cell>
          <cell r="J7247" t="str">
            <v/>
          </cell>
          <cell r="O7247" t="str">
            <v/>
          </cell>
          <cell r="P7247" t="str">
            <v/>
          </cell>
          <cell r="Q7247" t="str">
            <v/>
          </cell>
          <cell r="S7247" t="str">
            <v/>
          </cell>
          <cell r="V7247" t="str">
            <v/>
          </cell>
          <cell r="Z7247" t="str">
            <v/>
          </cell>
          <cell r="AA7247" t="str">
            <v/>
          </cell>
          <cell r="AB7247" t="str">
            <v/>
          </cell>
          <cell r="AC7247" t="str">
            <v/>
          </cell>
          <cell r="AD7247" t="str">
            <v/>
          </cell>
          <cell r="AY7247" t="str">
            <v/>
          </cell>
          <cell r="AZ7247" t="str">
            <v/>
          </cell>
          <cell r="BA7247" t="str">
            <v/>
          </cell>
        </row>
        <row r="7248">
          <cell r="B7248" t="str">
            <v>-</v>
          </cell>
          <cell r="E7248" t="str">
            <v/>
          </cell>
          <cell r="G7248" t="str">
            <v/>
          </cell>
          <cell r="J7248" t="str">
            <v/>
          </cell>
          <cell r="O7248" t="str">
            <v/>
          </cell>
          <cell r="P7248" t="str">
            <v/>
          </cell>
          <cell r="Q7248" t="str">
            <v/>
          </cell>
          <cell r="S7248" t="str">
            <v/>
          </cell>
          <cell r="V7248" t="str">
            <v/>
          </cell>
          <cell r="Z7248" t="str">
            <v/>
          </cell>
          <cell r="AA7248" t="str">
            <v/>
          </cell>
          <cell r="AB7248" t="str">
            <v/>
          </cell>
          <cell r="AC7248" t="str">
            <v/>
          </cell>
          <cell r="AD7248" t="str">
            <v/>
          </cell>
          <cell r="AY7248" t="str">
            <v/>
          </cell>
          <cell r="AZ7248" t="str">
            <v/>
          </cell>
          <cell r="BA7248" t="str">
            <v/>
          </cell>
        </row>
        <row r="7249">
          <cell r="B7249" t="str">
            <v>-</v>
          </cell>
          <cell r="E7249" t="str">
            <v/>
          </cell>
          <cell r="G7249" t="str">
            <v/>
          </cell>
          <cell r="J7249" t="str">
            <v/>
          </cell>
          <cell r="O7249" t="str">
            <v/>
          </cell>
          <cell r="P7249" t="str">
            <v/>
          </cell>
          <cell r="Q7249" t="str">
            <v/>
          </cell>
          <cell r="S7249" t="str">
            <v/>
          </cell>
          <cell r="V7249" t="str">
            <v/>
          </cell>
          <cell r="Z7249" t="str">
            <v/>
          </cell>
          <cell r="AA7249" t="str">
            <v/>
          </cell>
          <cell r="AB7249" t="str">
            <v/>
          </cell>
          <cell r="AC7249" t="str">
            <v/>
          </cell>
          <cell r="AD7249" t="str">
            <v/>
          </cell>
          <cell r="AY7249" t="str">
            <v/>
          </cell>
          <cell r="AZ7249" t="str">
            <v/>
          </cell>
          <cell r="BA7249" t="str">
            <v/>
          </cell>
        </row>
        <row r="7250">
          <cell r="B7250" t="str">
            <v>-</v>
          </cell>
          <cell r="E7250" t="str">
            <v/>
          </cell>
          <cell r="G7250" t="str">
            <v/>
          </cell>
          <cell r="J7250" t="str">
            <v/>
          </cell>
          <cell r="O7250" t="str">
            <v/>
          </cell>
          <cell r="P7250" t="str">
            <v/>
          </cell>
          <cell r="Q7250" t="str">
            <v/>
          </cell>
          <cell r="S7250" t="str">
            <v/>
          </cell>
          <cell r="V7250" t="str">
            <v/>
          </cell>
          <cell r="Z7250" t="str">
            <v/>
          </cell>
          <cell r="AA7250" t="str">
            <v/>
          </cell>
          <cell r="AB7250" t="str">
            <v/>
          </cell>
          <cell r="AC7250" t="str">
            <v/>
          </cell>
          <cell r="AD7250" t="str">
            <v/>
          </cell>
          <cell r="AY7250" t="str">
            <v/>
          </cell>
          <cell r="AZ7250" t="str">
            <v/>
          </cell>
          <cell r="BA7250" t="str">
            <v/>
          </cell>
        </row>
        <row r="7251">
          <cell r="B7251" t="str">
            <v>-</v>
          </cell>
          <cell r="E7251" t="str">
            <v/>
          </cell>
          <cell r="G7251" t="str">
            <v/>
          </cell>
          <cell r="J7251" t="str">
            <v/>
          </cell>
          <cell r="O7251" t="str">
            <v/>
          </cell>
          <cell r="P7251" t="str">
            <v/>
          </cell>
          <cell r="Q7251" t="str">
            <v/>
          </cell>
          <cell r="S7251" t="str">
            <v/>
          </cell>
          <cell r="V7251" t="str">
            <v/>
          </cell>
          <cell r="Z7251" t="str">
            <v/>
          </cell>
          <cell r="AA7251" t="str">
            <v/>
          </cell>
          <cell r="AB7251" t="str">
            <v/>
          </cell>
          <cell r="AC7251" t="str">
            <v/>
          </cell>
          <cell r="AD7251" t="str">
            <v/>
          </cell>
          <cell r="AY7251" t="str">
            <v/>
          </cell>
          <cell r="AZ7251" t="str">
            <v/>
          </cell>
          <cell r="BA7251" t="str">
            <v/>
          </cell>
        </row>
        <row r="7252">
          <cell r="B7252" t="str">
            <v>-</v>
          </cell>
          <cell r="E7252" t="str">
            <v/>
          </cell>
          <cell r="G7252" t="str">
            <v/>
          </cell>
          <cell r="J7252" t="str">
            <v/>
          </cell>
          <cell r="O7252" t="str">
            <v/>
          </cell>
          <cell r="P7252" t="str">
            <v/>
          </cell>
          <cell r="Q7252" t="str">
            <v/>
          </cell>
          <cell r="S7252" t="str">
            <v/>
          </cell>
          <cell r="V7252" t="str">
            <v/>
          </cell>
          <cell r="Z7252" t="str">
            <v/>
          </cell>
          <cell r="AA7252" t="str">
            <v/>
          </cell>
          <cell r="AB7252" t="str">
            <v/>
          </cell>
          <cell r="AC7252" t="str">
            <v/>
          </cell>
          <cell r="AD7252" t="str">
            <v/>
          </cell>
          <cell r="AY7252" t="str">
            <v/>
          </cell>
          <cell r="AZ7252" t="str">
            <v/>
          </cell>
          <cell r="BA7252" t="str">
            <v/>
          </cell>
        </row>
        <row r="7253">
          <cell r="B7253" t="str">
            <v>-</v>
          </cell>
          <cell r="E7253" t="str">
            <v/>
          </cell>
          <cell r="G7253" t="str">
            <v/>
          </cell>
          <cell r="J7253" t="str">
            <v/>
          </cell>
          <cell r="O7253" t="str">
            <v/>
          </cell>
          <cell r="P7253" t="str">
            <v/>
          </cell>
          <cell r="Q7253" t="str">
            <v/>
          </cell>
          <cell r="S7253" t="str">
            <v/>
          </cell>
          <cell r="V7253" t="str">
            <v/>
          </cell>
          <cell r="Z7253" t="str">
            <v/>
          </cell>
          <cell r="AA7253" t="str">
            <v/>
          </cell>
          <cell r="AB7253" t="str">
            <v/>
          </cell>
          <cell r="AC7253" t="str">
            <v/>
          </cell>
          <cell r="AD7253" t="str">
            <v/>
          </cell>
          <cell r="AY7253" t="str">
            <v/>
          </cell>
          <cell r="AZ7253" t="str">
            <v/>
          </cell>
          <cell r="BA7253" t="str">
            <v/>
          </cell>
        </row>
        <row r="7254">
          <cell r="B7254" t="str">
            <v>-</v>
          </cell>
          <cell r="E7254" t="str">
            <v/>
          </cell>
          <cell r="G7254" t="str">
            <v/>
          </cell>
          <cell r="J7254" t="str">
            <v/>
          </cell>
          <cell r="O7254" t="str">
            <v/>
          </cell>
          <cell r="P7254" t="str">
            <v/>
          </cell>
          <cell r="Q7254" t="str">
            <v/>
          </cell>
          <cell r="S7254" t="str">
            <v/>
          </cell>
          <cell r="V7254" t="str">
            <v/>
          </cell>
          <cell r="Z7254" t="str">
            <v/>
          </cell>
          <cell r="AA7254" t="str">
            <v/>
          </cell>
          <cell r="AB7254" t="str">
            <v/>
          </cell>
          <cell r="AC7254" t="str">
            <v/>
          </cell>
          <cell r="AD7254" t="str">
            <v/>
          </cell>
          <cell r="AY7254" t="str">
            <v/>
          </cell>
          <cell r="AZ7254" t="str">
            <v/>
          </cell>
          <cell r="BA7254" t="str">
            <v/>
          </cell>
        </row>
        <row r="7255">
          <cell r="B7255" t="str">
            <v>-</v>
          </cell>
          <cell r="E7255" t="str">
            <v/>
          </cell>
          <cell r="G7255" t="str">
            <v/>
          </cell>
          <cell r="J7255" t="str">
            <v/>
          </cell>
          <cell r="O7255" t="str">
            <v/>
          </cell>
          <cell r="P7255" t="str">
            <v/>
          </cell>
          <cell r="Q7255" t="str">
            <v/>
          </cell>
          <cell r="S7255" t="str">
            <v/>
          </cell>
          <cell r="V7255" t="str">
            <v/>
          </cell>
          <cell r="Z7255" t="str">
            <v/>
          </cell>
          <cell r="AA7255" t="str">
            <v/>
          </cell>
          <cell r="AB7255" t="str">
            <v/>
          </cell>
          <cell r="AC7255" t="str">
            <v/>
          </cell>
          <cell r="AD7255" t="str">
            <v/>
          </cell>
          <cell r="AY7255" t="str">
            <v/>
          </cell>
          <cell r="AZ7255" t="str">
            <v/>
          </cell>
          <cell r="BA7255" t="str">
            <v/>
          </cell>
        </row>
        <row r="7256">
          <cell r="B7256" t="str">
            <v>-</v>
          </cell>
          <cell r="E7256" t="str">
            <v/>
          </cell>
          <cell r="G7256" t="str">
            <v/>
          </cell>
          <cell r="J7256" t="str">
            <v/>
          </cell>
          <cell r="O7256" t="str">
            <v/>
          </cell>
          <cell r="P7256" t="str">
            <v/>
          </cell>
          <cell r="Q7256" t="str">
            <v/>
          </cell>
          <cell r="S7256" t="str">
            <v/>
          </cell>
          <cell r="V7256" t="str">
            <v/>
          </cell>
          <cell r="Z7256" t="str">
            <v/>
          </cell>
          <cell r="AA7256" t="str">
            <v/>
          </cell>
          <cell r="AB7256" t="str">
            <v/>
          </cell>
          <cell r="AC7256" t="str">
            <v/>
          </cell>
          <cell r="AD7256" t="str">
            <v/>
          </cell>
          <cell r="AY7256" t="str">
            <v/>
          </cell>
          <cell r="AZ7256" t="str">
            <v/>
          </cell>
          <cell r="BA7256" t="str">
            <v/>
          </cell>
        </row>
        <row r="7257">
          <cell r="B7257" t="str">
            <v>-</v>
          </cell>
          <cell r="E7257" t="str">
            <v/>
          </cell>
          <cell r="G7257" t="str">
            <v/>
          </cell>
          <cell r="J7257" t="str">
            <v/>
          </cell>
          <cell r="O7257" t="str">
            <v/>
          </cell>
          <cell r="P7257" t="str">
            <v/>
          </cell>
          <cell r="Q7257" t="str">
            <v/>
          </cell>
          <cell r="S7257" t="str">
            <v/>
          </cell>
          <cell r="V7257" t="str">
            <v/>
          </cell>
          <cell r="Z7257" t="str">
            <v/>
          </cell>
          <cell r="AA7257" t="str">
            <v/>
          </cell>
          <cell r="AB7257" t="str">
            <v/>
          </cell>
          <cell r="AC7257" t="str">
            <v/>
          </cell>
          <cell r="AD7257" t="str">
            <v/>
          </cell>
          <cell r="AY7257" t="str">
            <v/>
          </cell>
          <cell r="AZ7257" t="str">
            <v/>
          </cell>
          <cell r="BA7257" t="str">
            <v/>
          </cell>
        </row>
        <row r="7258">
          <cell r="B7258" t="str">
            <v>-</v>
          </cell>
          <cell r="E7258" t="str">
            <v/>
          </cell>
          <cell r="G7258" t="str">
            <v/>
          </cell>
          <cell r="J7258" t="str">
            <v/>
          </cell>
          <cell r="O7258" t="str">
            <v/>
          </cell>
          <cell r="P7258" t="str">
            <v/>
          </cell>
          <cell r="Q7258" t="str">
            <v/>
          </cell>
          <cell r="S7258" t="str">
            <v/>
          </cell>
          <cell r="V7258" t="str">
            <v/>
          </cell>
          <cell r="Z7258" t="str">
            <v/>
          </cell>
          <cell r="AA7258" t="str">
            <v/>
          </cell>
          <cell r="AB7258" t="str">
            <v/>
          </cell>
          <cell r="AC7258" t="str">
            <v/>
          </cell>
          <cell r="AD7258" t="str">
            <v/>
          </cell>
          <cell r="AY7258" t="str">
            <v/>
          </cell>
          <cell r="AZ7258" t="str">
            <v/>
          </cell>
          <cell r="BA7258" t="str">
            <v/>
          </cell>
        </row>
        <row r="7259">
          <cell r="B7259" t="str">
            <v>-</v>
          </cell>
          <cell r="E7259" t="str">
            <v/>
          </cell>
          <cell r="G7259" t="str">
            <v/>
          </cell>
          <cell r="J7259" t="str">
            <v/>
          </cell>
          <cell r="O7259" t="str">
            <v/>
          </cell>
          <cell r="P7259" t="str">
            <v/>
          </cell>
          <cell r="Q7259" t="str">
            <v/>
          </cell>
          <cell r="S7259" t="str">
            <v/>
          </cell>
          <cell r="V7259" t="str">
            <v/>
          </cell>
          <cell r="Z7259" t="str">
            <v/>
          </cell>
          <cell r="AA7259" t="str">
            <v/>
          </cell>
          <cell r="AB7259" t="str">
            <v/>
          </cell>
          <cell r="AC7259" t="str">
            <v/>
          </cell>
          <cell r="AD7259" t="str">
            <v/>
          </cell>
          <cell r="AY7259" t="str">
            <v/>
          </cell>
          <cell r="AZ7259" t="str">
            <v/>
          </cell>
          <cell r="BA7259" t="str">
            <v/>
          </cell>
        </row>
        <row r="7260">
          <cell r="B7260" t="str">
            <v>-</v>
          </cell>
          <cell r="E7260" t="str">
            <v/>
          </cell>
          <cell r="G7260" t="str">
            <v/>
          </cell>
          <cell r="J7260" t="str">
            <v/>
          </cell>
          <cell r="O7260" t="str">
            <v/>
          </cell>
          <cell r="P7260" t="str">
            <v/>
          </cell>
          <cell r="Q7260" t="str">
            <v/>
          </cell>
          <cell r="S7260" t="str">
            <v/>
          </cell>
          <cell r="V7260" t="str">
            <v/>
          </cell>
          <cell r="Z7260" t="str">
            <v/>
          </cell>
          <cell r="AA7260" t="str">
            <v/>
          </cell>
          <cell r="AB7260" t="str">
            <v/>
          </cell>
          <cell r="AC7260" t="str">
            <v/>
          </cell>
          <cell r="AD7260" t="str">
            <v/>
          </cell>
          <cell r="AY7260" t="str">
            <v/>
          </cell>
          <cell r="AZ7260" t="str">
            <v/>
          </cell>
          <cell r="BA7260" t="str">
            <v/>
          </cell>
        </row>
        <row r="7261">
          <cell r="B7261" t="str">
            <v>-</v>
          </cell>
          <cell r="E7261" t="str">
            <v/>
          </cell>
          <cell r="G7261" t="str">
            <v/>
          </cell>
          <cell r="J7261" t="str">
            <v/>
          </cell>
          <cell r="O7261" t="str">
            <v/>
          </cell>
          <cell r="P7261" t="str">
            <v/>
          </cell>
          <cell r="Q7261" t="str">
            <v/>
          </cell>
          <cell r="S7261" t="str">
            <v/>
          </cell>
          <cell r="V7261" t="str">
            <v/>
          </cell>
          <cell r="Z7261" t="str">
            <v/>
          </cell>
          <cell r="AA7261" t="str">
            <v/>
          </cell>
          <cell r="AB7261" t="str">
            <v/>
          </cell>
          <cell r="AC7261" t="str">
            <v/>
          </cell>
          <cell r="AD7261" t="str">
            <v/>
          </cell>
          <cell r="AY7261" t="str">
            <v/>
          </cell>
          <cell r="AZ7261" t="str">
            <v/>
          </cell>
          <cell r="BA7261" t="str">
            <v/>
          </cell>
        </row>
        <row r="7262">
          <cell r="B7262" t="str">
            <v>-</v>
          </cell>
          <cell r="E7262" t="str">
            <v/>
          </cell>
          <cell r="G7262" t="str">
            <v/>
          </cell>
          <cell r="J7262" t="str">
            <v/>
          </cell>
          <cell r="O7262" t="str">
            <v/>
          </cell>
          <cell r="P7262" t="str">
            <v/>
          </cell>
          <cell r="Q7262" t="str">
            <v/>
          </cell>
          <cell r="S7262" t="str">
            <v/>
          </cell>
          <cell r="V7262" t="str">
            <v/>
          </cell>
          <cell r="Z7262" t="str">
            <v/>
          </cell>
          <cell r="AA7262" t="str">
            <v/>
          </cell>
          <cell r="AB7262" t="str">
            <v/>
          </cell>
          <cell r="AC7262" t="str">
            <v/>
          </cell>
          <cell r="AD7262" t="str">
            <v/>
          </cell>
          <cell r="AY7262" t="str">
            <v/>
          </cell>
          <cell r="AZ7262" t="str">
            <v/>
          </cell>
          <cell r="BA7262" t="str">
            <v/>
          </cell>
        </row>
        <row r="7263">
          <cell r="B7263" t="str">
            <v>-</v>
          </cell>
          <cell r="E7263" t="str">
            <v/>
          </cell>
          <cell r="G7263" t="str">
            <v/>
          </cell>
          <cell r="J7263" t="str">
            <v/>
          </cell>
          <cell r="O7263" t="str">
            <v/>
          </cell>
          <cell r="P7263" t="str">
            <v/>
          </cell>
          <cell r="Q7263" t="str">
            <v/>
          </cell>
          <cell r="S7263" t="str">
            <v/>
          </cell>
          <cell r="V7263" t="str">
            <v/>
          </cell>
          <cell r="Z7263" t="str">
            <v/>
          </cell>
          <cell r="AA7263" t="str">
            <v/>
          </cell>
          <cell r="AB7263" t="str">
            <v/>
          </cell>
          <cell r="AC7263" t="str">
            <v/>
          </cell>
          <cell r="AD7263" t="str">
            <v/>
          </cell>
          <cell r="AY7263" t="str">
            <v/>
          </cell>
          <cell r="AZ7263" t="str">
            <v/>
          </cell>
          <cell r="BA7263" t="str">
            <v/>
          </cell>
        </row>
        <row r="7264">
          <cell r="B7264" t="str">
            <v>-</v>
          </cell>
          <cell r="E7264" t="str">
            <v/>
          </cell>
          <cell r="G7264" t="str">
            <v/>
          </cell>
          <cell r="J7264" t="str">
            <v/>
          </cell>
          <cell r="O7264" t="str">
            <v/>
          </cell>
          <cell r="P7264" t="str">
            <v/>
          </cell>
          <cell r="Q7264" t="str">
            <v/>
          </cell>
          <cell r="S7264" t="str">
            <v/>
          </cell>
          <cell r="V7264" t="str">
            <v/>
          </cell>
          <cell r="Z7264" t="str">
            <v/>
          </cell>
          <cell r="AA7264" t="str">
            <v/>
          </cell>
          <cell r="AB7264" t="str">
            <v/>
          </cell>
          <cell r="AC7264" t="str">
            <v/>
          </cell>
          <cell r="AD7264" t="str">
            <v/>
          </cell>
          <cell r="AY7264" t="str">
            <v/>
          </cell>
          <cell r="AZ7264" t="str">
            <v/>
          </cell>
          <cell r="BA7264" t="str">
            <v/>
          </cell>
        </row>
        <row r="7265">
          <cell r="B7265" t="str">
            <v>-</v>
          </cell>
          <cell r="E7265" t="str">
            <v/>
          </cell>
          <cell r="G7265" t="str">
            <v/>
          </cell>
          <cell r="J7265" t="str">
            <v/>
          </cell>
          <cell r="O7265" t="str">
            <v/>
          </cell>
          <cell r="P7265" t="str">
            <v/>
          </cell>
          <cell r="Q7265" t="str">
            <v/>
          </cell>
          <cell r="S7265" t="str">
            <v/>
          </cell>
          <cell r="V7265" t="str">
            <v/>
          </cell>
          <cell r="Z7265" t="str">
            <v/>
          </cell>
          <cell r="AA7265" t="str">
            <v/>
          </cell>
          <cell r="AB7265" t="str">
            <v/>
          </cell>
          <cell r="AC7265" t="str">
            <v/>
          </cell>
          <cell r="AD7265" t="str">
            <v/>
          </cell>
          <cell r="AY7265" t="str">
            <v/>
          </cell>
          <cell r="AZ7265" t="str">
            <v/>
          </cell>
          <cell r="BA7265" t="str">
            <v/>
          </cell>
        </row>
        <row r="7266">
          <cell r="B7266" t="str">
            <v>-</v>
          </cell>
          <cell r="E7266" t="str">
            <v/>
          </cell>
          <cell r="G7266" t="str">
            <v/>
          </cell>
          <cell r="J7266" t="str">
            <v/>
          </cell>
          <cell r="O7266" t="str">
            <v/>
          </cell>
          <cell r="P7266" t="str">
            <v/>
          </cell>
          <cell r="Q7266" t="str">
            <v/>
          </cell>
          <cell r="S7266" t="str">
            <v/>
          </cell>
          <cell r="V7266" t="str">
            <v/>
          </cell>
          <cell r="Z7266" t="str">
            <v/>
          </cell>
          <cell r="AA7266" t="str">
            <v/>
          </cell>
          <cell r="AB7266" t="str">
            <v/>
          </cell>
          <cell r="AC7266" t="str">
            <v/>
          </cell>
          <cell r="AD7266" t="str">
            <v/>
          </cell>
          <cell r="AY7266" t="str">
            <v/>
          </cell>
          <cell r="AZ7266" t="str">
            <v/>
          </cell>
          <cell r="BA7266" t="str">
            <v/>
          </cell>
        </row>
        <row r="7267">
          <cell r="B7267" t="str">
            <v>-</v>
          </cell>
          <cell r="E7267" t="str">
            <v/>
          </cell>
          <cell r="G7267" t="str">
            <v/>
          </cell>
          <cell r="J7267" t="str">
            <v/>
          </cell>
          <cell r="O7267" t="str">
            <v/>
          </cell>
          <cell r="P7267" t="str">
            <v/>
          </cell>
          <cell r="Q7267" t="str">
            <v/>
          </cell>
          <cell r="S7267" t="str">
            <v/>
          </cell>
          <cell r="V7267" t="str">
            <v/>
          </cell>
          <cell r="Z7267" t="str">
            <v/>
          </cell>
          <cell r="AA7267" t="str">
            <v/>
          </cell>
          <cell r="AB7267" t="str">
            <v/>
          </cell>
          <cell r="AC7267" t="str">
            <v/>
          </cell>
          <cell r="AD7267" t="str">
            <v/>
          </cell>
          <cell r="AY7267" t="str">
            <v/>
          </cell>
          <cell r="AZ7267" t="str">
            <v/>
          </cell>
          <cell r="BA7267" t="str">
            <v/>
          </cell>
        </row>
        <row r="7268">
          <cell r="B7268" t="str">
            <v>-</v>
          </cell>
          <cell r="E7268" t="str">
            <v/>
          </cell>
          <cell r="G7268" t="str">
            <v/>
          </cell>
          <cell r="J7268" t="str">
            <v/>
          </cell>
          <cell r="O7268" t="str">
            <v/>
          </cell>
          <cell r="P7268" t="str">
            <v/>
          </cell>
          <cell r="Q7268" t="str">
            <v/>
          </cell>
          <cell r="S7268" t="str">
            <v/>
          </cell>
          <cell r="V7268" t="str">
            <v/>
          </cell>
          <cell r="Z7268" t="str">
            <v/>
          </cell>
          <cell r="AA7268" t="str">
            <v/>
          </cell>
          <cell r="AB7268" t="str">
            <v/>
          </cell>
          <cell r="AC7268" t="str">
            <v/>
          </cell>
          <cell r="AD7268" t="str">
            <v/>
          </cell>
          <cell r="AY7268" t="str">
            <v/>
          </cell>
          <cell r="AZ7268" t="str">
            <v/>
          </cell>
          <cell r="BA7268" t="str">
            <v/>
          </cell>
        </row>
        <row r="7269">
          <cell r="B7269" t="str">
            <v>-</v>
          </cell>
          <cell r="E7269" t="str">
            <v/>
          </cell>
          <cell r="G7269" t="str">
            <v/>
          </cell>
          <cell r="J7269" t="str">
            <v/>
          </cell>
          <cell r="O7269" t="str">
            <v/>
          </cell>
          <cell r="P7269" t="str">
            <v/>
          </cell>
          <cell r="Q7269" t="str">
            <v/>
          </cell>
          <cell r="S7269" t="str">
            <v/>
          </cell>
          <cell r="V7269" t="str">
            <v/>
          </cell>
          <cell r="Z7269" t="str">
            <v/>
          </cell>
          <cell r="AA7269" t="str">
            <v/>
          </cell>
          <cell r="AB7269" t="str">
            <v/>
          </cell>
          <cell r="AC7269" t="str">
            <v/>
          </cell>
          <cell r="AD7269" t="str">
            <v/>
          </cell>
          <cell r="AY7269" t="str">
            <v/>
          </cell>
          <cell r="AZ7269" t="str">
            <v/>
          </cell>
          <cell r="BA7269" t="str">
            <v/>
          </cell>
        </row>
        <row r="7270">
          <cell r="B7270" t="str">
            <v>-</v>
          </cell>
          <cell r="E7270" t="str">
            <v/>
          </cell>
          <cell r="G7270" t="str">
            <v/>
          </cell>
          <cell r="J7270" t="str">
            <v/>
          </cell>
          <cell r="O7270" t="str">
            <v/>
          </cell>
          <cell r="P7270" t="str">
            <v/>
          </cell>
          <cell r="Q7270" t="str">
            <v/>
          </cell>
          <cell r="S7270" t="str">
            <v/>
          </cell>
          <cell r="V7270" t="str">
            <v/>
          </cell>
          <cell r="Z7270" t="str">
            <v/>
          </cell>
          <cell r="AA7270" t="str">
            <v/>
          </cell>
          <cell r="AB7270" t="str">
            <v/>
          </cell>
          <cell r="AC7270" t="str">
            <v/>
          </cell>
          <cell r="AD7270" t="str">
            <v/>
          </cell>
          <cell r="AY7270" t="str">
            <v/>
          </cell>
          <cell r="AZ7270" t="str">
            <v/>
          </cell>
          <cell r="BA7270" t="str">
            <v/>
          </cell>
        </row>
        <row r="7271">
          <cell r="B7271" t="str">
            <v>-</v>
          </cell>
          <cell r="E7271" t="str">
            <v/>
          </cell>
          <cell r="G7271" t="str">
            <v/>
          </cell>
          <cell r="J7271" t="str">
            <v/>
          </cell>
          <cell r="O7271" t="str">
            <v/>
          </cell>
          <cell r="P7271" t="str">
            <v/>
          </cell>
          <cell r="Q7271" t="str">
            <v/>
          </cell>
          <cell r="S7271" t="str">
            <v/>
          </cell>
          <cell r="V7271" t="str">
            <v/>
          </cell>
          <cell r="Z7271" t="str">
            <v/>
          </cell>
          <cell r="AA7271" t="str">
            <v/>
          </cell>
          <cell r="AB7271" t="str">
            <v/>
          </cell>
          <cell r="AC7271" t="str">
            <v/>
          </cell>
          <cell r="AD7271" t="str">
            <v/>
          </cell>
          <cell r="AY7271" t="str">
            <v/>
          </cell>
          <cell r="AZ7271" t="str">
            <v/>
          </cell>
          <cell r="BA7271" t="str">
            <v/>
          </cell>
        </row>
        <row r="7272">
          <cell r="B7272" t="str">
            <v>-</v>
          </cell>
          <cell r="E7272" t="str">
            <v/>
          </cell>
          <cell r="G7272" t="str">
            <v/>
          </cell>
          <cell r="J7272" t="str">
            <v/>
          </cell>
          <cell r="O7272" t="str">
            <v/>
          </cell>
          <cell r="P7272" t="str">
            <v/>
          </cell>
          <cell r="Q7272" t="str">
            <v/>
          </cell>
          <cell r="S7272" t="str">
            <v/>
          </cell>
          <cell r="V7272" t="str">
            <v/>
          </cell>
          <cell r="Z7272" t="str">
            <v/>
          </cell>
          <cell r="AA7272" t="str">
            <v/>
          </cell>
          <cell r="AB7272" t="str">
            <v/>
          </cell>
          <cell r="AC7272" t="str">
            <v/>
          </cell>
          <cell r="AD7272" t="str">
            <v/>
          </cell>
          <cell r="AY7272" t="str">
            <v/>
          </cell>
          <cell r="AZ7272" t="str">
            <v/>
          </cell>
          <cell r="BA7272" t="str">
            <v/>
          </cell>
        </row>
        <row r="7273">
          <cell r="B7273" t="str">
            <v>-</v>
          </cell>
          <cell r="E7273" t="str">
            <v/>
          </cell>
          <cell r="G7273" t="str">
            <v/>
          </cell>
          <cell r="J7273" t="str">
            <v/>
          </cell>
          <cell r="O7273" t="str">
            <v/>
          </cell>
          <cell r="P7273" t="str">
            <v/>
          </cell>
          <cell r="Q7273" t="str">
            <v/>
          </cell>
          <cell r="S7273" t="str">
            <v/>
          </cell>
          <cell r="V7273" t="str">
            <v/>
          </cell>
          <cell r="Z7273" t="str">
            <v/>
          </cell>
          <cell r="AA7273" t="str">
            <v/>
          </cell>
          <cell r="AB7273" t="str">
            <v/>
          </cell>
          <cell r="AC7273" t="str">
            <v/>
          </cell>
          <cell r="AD7273" t="str">
            <v/>
          </cell>
          <cell r="AY7273" t="str">
            <v/>
          </cell>
          <cell r="AZ7273" t="str">
            <v/>
          </cell>
          <cell r="BA7273" t="str">
            <v/>
          </cell>
        </row>
        <row r="7274">
          <cell r="B7274" t="str">
            <v>-</v>
          </cell>
          <cell r="E7274" t="str">
            <v/>
          </cell>
          <cell r="G7274" t="str">
            <v/>
          </cell>
          <cell r="J7274" t="str">
            <v/>
          </cell>
          <cell r="O7274" t="str">
            <v/>
          </cell>
          <cell r="P7274" t="str">
            <v/>
          </cell>
          <cell r="Q7274" t="str">
            <v/>
          </cell>
          <cell r="S7274" t="str">
            <v/>
          </cell>
          <cell r="V7274" t="str">
            <v/>
          </cell>
          <cell r="Z7274" t="str">
            <v/>
          </cell>
          <cell r="AA7274" t="str">
            <v/>
          </cell>
          <cell r="AB7274" t="str">
            <v/>
          </cell>
          <cell r="AC7274" t="str">
            <v/>
          </cell>
          <cell r="AD7274" t="str">
            <v/>
          </cell>
          <cell r="AY7274" t="str">
            <v/>
          </cell>
          <cell r="AZ7274" t="str">
            <v/>
          </cell>
          <cell r="BA7274" t="str">
            <v/>
          </cell>
        </row>
        <row r="7275">
          <cell r="B7275" t="str">
            <v>-</v>
          </cell>
          <cell r="E7275" t="str">
            <v/>
          </cell>
          <cell r="G7275" t="str">
            <v/>
          </cell>
          <cell r="J7275" t="str">
            <v/>
          </cell>
          <cell r="O7275" t="str">
            <v/>
          </cell>
          <cell r="P7275" t="str">
            <v/>
          </cell>
          <cell r="Q7275" t="str">
            <v/>
          </cell>
          <cell r="S7275" t="str">
            <v/>
          </cell>
          <cell r="V7275" t="str">
            <v/>
          </cell>
          <cell r="Z7275" t="str">
            <v/>
          </cell>
          <cell r="AA7275" t="str">
            <v/>
          </cell>
          <cell r="AB7275" t="str">
            <v/>
          </cell>
          <cell r="AC7275" t="str">
            <v/>
          </cell>
          <cell r="AD7275" t="str">
            <v/>
          </cell>
          <cell r="AY7275" t="str">
            <v/>
          </cell>
          <cell r="AZ7275" t="str">
            <v/>
          </cell>
          <cell r="BA7275" t="str">
            <v/>
          </cell>
        </row>
        <row r="7276">
          <cell r="B7276" t="str">
            <v>-</v>
          </cell>
          <cell r="E7276" t="str">
            <v/>
          </cell>
          <cell r="G7276" t="str">
            <v/>
          </cell>
          <cell r="J7276" t="str">
            <v/>
          </cell>
          <cell r="O7276" t="str">
            <v/>
          </cell>
          <cell r="P7276" t="str">
            <v/>
          </cell>
          <cell r="Q7276" t="str">
            <v/>
          </cell>
          <cell r="S7276" t="str">
            <v/>
          </cell>
          <cell r="V7276" t="str">
            <v/>
          </cell>
          <cell r="Z7276" t="str">
            <v/>
          </cell>
          <cell r="AA7276" t="str">
            <v/>
          </cell>
          <cell r="AB7276" t="str">
            <v/>
          </cell>
          <cell r="AC7276" t="str">
            <v/>
          </cell>
          <cell r="AD7276" t="str">
            <v/>
          </cell>
          <cell r="AY7276" t="str">
            <v/>
          </cell>
          <cell r="AZ7276" t="str">
            <v/>
          </cell>
          <cell r="BA7276" t="str">
            <v/>
          </cell>
        </row>
        <row r="7277">
          <cell r="B7277" t="str">
            <v>-</v>
          </cell>
          <cell r="E7277" t="str">
            <v/>
          </cell>
          <cell r="G7277" t="str">
            <v/>
          </cell>
          <cell r="J7277" t="str">
            <v/>
          </cell>
          <cell r="O7277" t="str">
            <v/>
          </cell>
          <cell r="P7277" t="str">
            <v/>
          </cell>
          <cell r="Q7277" t="str">
            <v/>
          </cell>
          <cell r="S7277" t="str">
            <v/>
          </cell>
          <cell r="V7277" t="str">
            <v/>
          </cell>
          <cell r="Z7277" t="str">
            <v/>
          </cell>
          <cell r="AA7277" t="str">
            <v/>
          </cell>
          <cell r="AB7277" t="str">
            <v/>
          </cell>
          <cell r="AC7277" t="str">
            <v/>
          </cell>
          <cell r="AD7277" t="str">
            <v/>
          </cell>
          <cell r="AY7277" t="str">
            <v/>
          </cell>
          <cell r="AZ7277" t="str">
            <v/>
          </cell>
          <cell r="BA7277" t="str">
            <v/>
          </cell>
        </row>
        <row r="7278">
          <cell r="B7278" t="str">
            <v>-</v>
          </cell>
          <cell r="E7278" t="str">
            <v/>
          </cell>
          <cell r="G7278" t="str">
            <v/>
          </cell>
          <cell r="J7278" t="str">
            <v/>
          </cell>
          <cell r="O7278" t="str">
            <v/>
          </cell>
          <cell r="P7278" t="str">
            <v/>
          </cell>
          <cell r="Q7278" t="str">
            <v/>
          </cell>
          <cell r="S7278" t="str">
            <v/>
          </cell>
          <cell r="V7278" t="str">
            <v/>
          </cell>
          <cell r="Z7278" t="str">
            <v/>
          </cell>
          <cell r="AA7278" t="str">
            <v/>
          </cell>
          <cell r="AB7278" t="str">
            <v/>
          </cell>
          <cell r="AC7278" t="str">
            <v/>
          </cell>
          <cell r="AD7278" t="str">
            <v/>
          </cell>
          <cell r="AY7278" t="str">
            <v/>
          </cell>
          <cell r="AZ7278" t="str">
            <v/>
          </cell>
          <cell r="BA7278" t="str">
            <v/>
          </cell>
        </row>
        <row r="7279">
          <cell r="B7279" t="str">
            <v>-</v>
          </cell>
          <cell r="E7279" t="str">
            <v/>
          </cell>
          <cell r="G7279" t="str">
            <v/>
          </cell>
          <cell r="J7279" t="str">
            <v/>
          </cell>
          <cell r="O7279" t="str">
            <v/>
          </cell>
          <cell r="P7279" t="str">
            <v/>
          </cell>
          <cell r="Q7279" t="str">
            <v/>
          </cell>
          <cell r="S7279" t="str">
            <v/>
          </cell>
          <cell r="V7279" t="str">
            <v/>
          </cell>
          <cell r="Z7279" t="str">
            <v/>
          </cell>
          <cell r="AA7279" t="str">
            <v/>
          </cell>
          <cell r="AB7279" t="str">
            <v/>
          </cell>
          <cell r="AC7279" t="str">
            <v/>
          </cell>
          <cell r="AD7279" t="str">
            <v/>
          </cell>
          <cell r="AY7279" t="str">
            <v/>
          </cell>
          <cell r="AZ7279" t="str">
            <v/>
          </cell>
          <cell r="BA7279" t="str">
            <v/>
          </cell>
        </row>
        <row r="7280">
          <cell r="B7280" t="str">
            <v>-</v>
          </cell>
          <cell r="E7280" t="str">
            <v/>
          </cell>
          <cell r="G7280" t="str">
            <v/>
          </cell>
          <cell r="J7280" t="str">
            <v/>
          </cell>
          <cell r="O7280" t="str">
            <v/>
          </cell>
          <cell r="P7280" t="str">
            <v/>
          </cell>
          <cell r="Q7280" t="str">
            <v/>
          </cell>
          <cell r="S7280" t="str">
            <v/>
          </cell>
          <cell r="V7280" t="str">
            <v/>
          </cell>
          <cell r="Z7280" t="str">
            <v/>
          </cell>
          <cell r="AA7280" t="str">
            <v/>
          </cell>
          <cell r="AB7280" t="str">
            <v/>
          </cell>
          <cell r="AC7280" t="str">
            <v/>
          </cell>
          <cell r="AD7280" t="str">
            <v/>
          </cell>
          <cell r="AY7280" t="str">
            <v/>
          </cell>
          <cell r="AZ7280" t="str">
            <v/>
          </cell>
          <cell r="BA7280" t="str">
            <v/>
          </cell>
        </row>
        <row r="7281">
          <cell r="B7281" t="str">
            <v>-</v>
          </cell>
          <cell r="E7281" t="str">
            <v/>
          </cell>
          <cell r="G7281" t="str">
            <v/>
          </cell>
          <cell r="J7281" t="str">
            <v/>
          </cell>
          <cell r="O7281" t="str">
            <v/>
          </cell>
          <cell r="P7281" t="str">
            <v/>
          </cell>
          <cell r="Q7281" t="str">
            <v/>
          </cell>
          <cell r="S7281" t="str">
            <v/>
          </cell>
          <cell r="V7281" t="str">
            <v/>
          </cell>
          <cell r="Z7281" t="str">
            <v/>
          </cell>
          <cell r="AA7281" t="str">
            <v/>
          </cell>
          <cell r="AB7281" t="str">
            <v/>
          </cell>
          <cell r="AC7281" t="str">
            <v/>
          </cell>
          <cell r="AD7281" t="str">
            <v/>
          </cell>
          <cell r="AY7281" t="str">
            <v/>
          </cell>
          <cell r="AZ7281" t="str">
            <v/>
          </cell>
          <cell r="BA7281" t="str">
            <v/>
          </cell>
        </row>
        <row r="7282">
          <cell r="B7282" t="str">
            <v>-</v>
          </cell>
          <cell r="E7282" t="str">
            <v/>
          </cell>
          <cell r="G7282" t="str">
            <v/>
          </cell>
          <cell r="J7282" t="str">
            <v/>
          </cell>
          <cell r="O7282" t="str">
            <v/>
          </cell>
          <cell r="P7282" t="str">
            <v/>
          </cell>
          <cell r="Q7282" t="str">
            <v/>
          </cell>
          <cell r="S7282" t="str">
            <v/>
          </cell>
          <cell r="V7282" t="str">
            <v/>
          </cell>
          <cell r="Z7282" t="str">
            <v/>
          </cell>
          <cell r="AA7282" t="str">
            <v/>
          </cell>
          <cell r="AB7282" t="str">
            <v/>
          </cell>
          <cell r="AC7282" t="str">
            <v/>
          </cell>
          <cell r="AD7282" t="str">
            <v/>
          </cell>
          <cell r="AY7282" t="str">
            <v/>
          </cell>
          <cell r="AZ7282" t="str">
            <v/>
          </cell>
          <cell r="BA7282" t="str">
            <v/>
          </cell>
        </row>
        <row r="7283">
          <cell r="B7283" t="str">
            <v>-</v>
          </cell>
          <cell r="E7283" t="str">
            <v/>
          </cell>
          <cell r="G7283" t="str">
            <v/>
          </cell>
          <cell r="J7283" t="str">
            <v/>
          </cell>
          <cell r="O7283" t="str">
            <v/>
          </cell>
          <cell r="P7283" t="str">
            <v/>
          </cell>
          <cell r="Q7283" t="str">
            <v/>
          </cell>
          <cell r="S7283" t="str">
            <v/>
          </cell>
          <cell r="V7283" t="str">
            <v/>
          </cell>
          <cell r="Z7283" t="str">
            <v/>
          </cell>
          <cell r="AA7283" t="str">
            <v/>
          </cell>
          <cell r="AB7283" t="str">
            <v/>
          </cell>
          <cell r="AC7283" t="str">
            <v/>
          </cell>
          <cell r="AD7283" t="str">
            <v/>
          </cell>
          <cell r="AY7283" t="str">
            <v/>
          </cell>
          <cell r="AZ7283" t="str">
            <v/>
          </cell>
          <cell r="BA7283" t="str">
            <v/>
          </cell>
        </row>
        <row r="7284">
          <cell r="B7284" t="str">
            <v>-</v>
          </cell>
          <cell r="E7284" t="str">
            <v/>
          </cell>
          <cell r="G7284" t="str">
            <v/>
          </cell>
          <cell r="J7284" t="str">
            <v/>
          </cell>
          <cell r="O7284" t="str">
            <v/>
          </cell>
          <cell r="P7284" t="str">
            <v/>
          </cell>
          <cell r="Q7284" t="str">
            <v/>
          </cell>
          <cell r="S7284" t="str">
            <v/>
          </cell>
          <cell r="V7284" t="str">
            <v/>
          </cell>
          <cell r="Z7284" t="str">
            <v/>
          </cell>
          <cell r="AA7284" t="str">
            <v/>
          </cell>
          <cell r="AB7284" t="str">
            <v/>
          </cell>
          <cell r="AC7284" t="str">
            <v/>
          </cell>
          <cell r="AD7284" t="str">
            <v/>
          </cell>
          <cell r="AY7284" t="str">
            <v/>
          </cell>
          <cell r="AZ7284" t="str">
            <v/>
          </cell>
          <cell r="BA7284" t="str">
            <v/>
          </cell>
        </row>
        <row r="7285">
          <cell r="B7285" t="str">
            <v>-</v>
          </cell>
          <cell r="E7285" t="str">
            <v/>
          </cell>
          <cell r="G7285" t="str">
            <v/>
          </cell>
          <cell r="J7285" t="str">
            <v/>
          </cell>
          <cell r="O7285" t="str">
            <v/>
          </cell>
          <cell r="P7285" t="str">
            <v/>
          </cell>
          <cell r="Q7285" t="str">
            <v/>
          </cell>
          <cell r="S7285" t="str">
            <v/>
          </cell>
          <cell r="V7285" t="str">
            <v/>
          </cell>
          <cell r="Z7285" t="str">
            <v/>
          </cell>
          <cell r="AA7285" t="str">
            <v/>
          </cell>
          <cell r="AB7285" t="str">
            <v/>
          </cell>
          <cell r="AC7285" t="str">
            <v/>
          </cell>
          <cell r="AD7285" t="str">
            <v/>
          </cell>
          <cell r="AY7285" t="str">
            <v/>
          </cell>
          <cell r="AZ7285" t="str">
            <v/>
          </cell>
          <cell r="BA7285" t="str">
            <v/>
          </cell>
        </row>
        <row r="7286">
          <cell r="B7286" t="str">
            <v>-</v>
          </cell>
          <cell r="E7286" t="str">
            <v/>
          </cell>
          <cell r="G7286" t="str">
            <v/>
          </cell>
          <cell r="J7286" t="str">
            <v/>
          </cell>
          <cell r="O7286" t="str">
            <v/>
          </cell>
          <cell r="P7286" t="str">
            <v/>
          </cell>
          <cell r="Q7286" t="str">
            <v/>
          </cell>
          <cell r="S7286" t="str">
            <v/>
          </cell>
          <cell r="V7286" t="str">
            <v/>
          </cell>
          <cell r="Z7286" t="str">
            <v/>
          </cell>
          <cell r="AA7286" t="str">
            <v/>
          </cell>
          <cell r="AB7286" t="str">
            <v/>
          </cell>
          <cell r="AC7286" t="str">
            <v/>
          </cell>
          <cell r="AD7286" t="str">
            <v/>
          </cell>
          <cell r="AY7286" t="str">
            <v/>
          </cell>
          <cell r="AZ7286" t="str">
            <v/>
          </cell>
          <cell r="BA7286" t="str">
            <v/>
          </cell>
        </row>
        <row r="7287">
          <cell r="B7287" t="str">
            <v>-</v>
          </cell>
          <cell r="E7287" t="str">
            <v/>
          </cell>
          <cell r="G7287" t="str">
            <v/>
          </cell>
          <cell r="J7287" t="str">
            <v/>
          </cell>
          <cell r="O7287" t="str">
            <v/>
          </cell>
          <cell r="P7287" t="str">
            <v/>
          </cell>
          <cell r="Q7287" t="str">
            <v/>
          </cell>
          <cell r="S7287" t="str">
            <v/>
          </cell>
          <cell r="V7287" t="str">
            <v/>
          </cell>
          <cell r="Z7287" t="str">
            <v/>
          </cell>
          <cell r="AA7287" t="str">
            <v/>
          </cell>
          <cell r="AB7287" t="str">
            <v/>
          </cell>
          <cell r="AC7287" t="str">
            <v/>
          </cell>
          <cell r="AD7287" t="str">
            <v/>
          </cell>
          <cell r="AY7287" t="str">
            <v/>
          </cell>
          <cell r="AZ7287" t="str">
            <v/>
          </cell>
          <cell r="BA7287" t="str">
            <v/>
          </cell>
        </row>
        <row r="7288">
          <cell r="B7288" t="str">
            <v>-</v>
          </cell>
          <cell r="E7288" t="str">
            <v/>
          </cell>
          <cell r="G7288" t="str">
            <v/>
          </cell>
          <cell r="J7288" t="str">
            <v/>
          </cell>
          <cell r="O7288" t="str">
            <v/>
          </cell>
          <cell r="P7288" t="str">
            <v/>
          </cell>
          <cell r="Q7288" t="str">
            <v/>
          </cell>
          <cell r="S7288" t="str">
            <v/>
          </cell>
          <cell r="V7288" t="str">
            <v/>
          </cell>
          <cell r="Z7288" t="str">
            <v/>
          </cell>
          <cell r="AA7288" t="str">
            <v/>
          </cell>
          <cell r="AB7288" t="str">
            <v/>
          </cell>
          <cell r="AC7288" t="str">
            <v/>
          </cell>
          <cell r="AD7288" t="str">
            <v/>
          </cell>
          <cell r="AY7288" t="str">
            <v/>
          </cell>
          <cell r="AZ7288" t="str">
            <v/>
          </cell>
          <cell r="BA7288" t="str">
            <v/>
          </cell>
        </row>
        <row r="7289">
          <cell r="B7289" t="str">
            <v>-</v>
          </cell>
          <cell r="E7289" t="str">
            <v/>
          </cell>
          <cell r="G7289" t="str">
            <v/>
          </cell>
          <cell r="J7289" t="str">
            <v/>
          </cell>
          <cell r="O7289" t="str">
            <v/>
          </cell>
          <cell r="P7289" t="str">
            <v/>
          </cell>
          <cell r="Q7289" t="str">
            <v/>
          </cell>
          <cell r="S7289" t="str">
            <v/>
          </cell>
          <cell r="V7289" t="str">
            <v/>
          </cell>
          <cell r="Z7289" t="str">
            <v/>
          </cell>
          <cell r="AA7289" t="str">
            <v/>
          </cell>
          <cell r="AB7289" t="str">
            <v/>
          </cell>
          <cell r="AC7289" t="str">
            <v/>
          </cell>
          <cell r="AD7289" t="str">
            <v/>
          </cell>
          <cell r="AY7289" t="str">
            <v/>
          </cell>
          <cell r="AZ7289" t="str">
            <v/>
          </cell>
          <cell r="BA7289" t="str">
            <v/>
          </cell>
        </row>
        <row r="7290">
          <cell r="B7290" t="str">
            <v>-</v>
          </cell>
          <cell r="E7290" t="str">
            <v/>
          </cell>
          <cell r="G7290" t="str">
            <v/>
          </cell>
          <cell r="J7290" t="str">
            <v/>
          </cell>
          <cell r="O7290" t="str">
            <v/>
          </cell>
          <cell r="P7290" t="str">
            <v/>
          </cell>
          <cell r="Q7290" t="str">
            <v/>
          </cell>
          <cell r="S7290" t="str">
            <v/>
          </cell>
          <cell r="V7290" t="str">
            <v/>
          </cell>
          <cell r="Z7290" t="str">
            <v/>
          </cell>
          <cell r="AA7290" t="str">
            <v/>
          </cell>
          <cell r="AB7290" t="str">
            <v/>
          </cell>
          <cell r="AC7290" t="str">
            <v/>
          </cell>
          <cell r="AD7290" t="str">
            <v/>
          </cell>
          <cell r="AY7290" t="str">
            <v/>
          </cell>
          <cell r="AZ7290" t="str">
            <v/>
          </cell>
          <cell r="BA7290" t="str">
            <v/>
          </cell>
        </row>
        <row r="7291">
          <cell r="B7291" t="str">
            <v>-</v>
          </cell>
          <cell r="E7291" t="str">
            <v/>
          </cell>
          <cell r="G7291" t="str">
            <v/>
          </cell>
          <cell r="J7291" t="str">
            <v/>
          </cell>
          <cell r="O7291" t="str">
            <v/>
          </cell>
          <cell r="P7291" t="str">
            <v/>
          </cell>
          <cell r="Q7291" t="str">
            <v/>
          </cell>
          <cell r="S7291" t="str">
            <v/>
          </cell>
          <cell r="V7291" t="str">
            <v/>
          </cell>
          <cell r="Z7291" t="str">
            <v/>
          </cell>
          <cell r="AA7291" t="str">
            <v/>
          </cell>
          <cell r="AB7291" t="str">
            <v/>
          </cell>
          <cell r="AC7291" t="str">
            <v/>
          </cell>
          <cell r="AD7291" t="str">
            <v/>
          </cell>
          <cell r="AY7291" t="str">
            <v/>
          </cell>
          <cell r="AZ7291" t="str">
            <v/>
          </cell>
          <cell r="BA7291" t="str">
            <v/>
          </cell>
        </row>
        <row r="7292">
          <cell r="B7292" t="str">
            <v>-</v>
          </cell>
          <cell r="E7292" t="str">
            <v/>
          </cell>
          <cell r="G7292" t="str">
            <v/>
          </cell>
          <cell r="J7292" t="str">
            <v/>
          </cell>
          <cell r="O7292" t="str">
            <v/>
          </cell>
          <cell r="P7292" t="str">
            <v/>
          </cell>
          <cell r="Q7292" t="str">
            <v/>
          </cell>
          <cell r="S7292" t="str">
            <v/>
          </cell>
          <cell r="V7292" t="str">
            <v/>
          </cell>
          <cell r="Z7292" t="str">
            <v/>
          </cell>
          <cell r="AA7292" t="str">
            <v/>
          </cell>
          <cell r="AB7292" t="str">
            <v/>
          </cell>
          <cell r="AC7292" t="str">
            <v/>
          </cell>
          <cell r="AD7292" t="str">
            <v/>
          </cell>
          <cell r="AY7292" t="str">
            <v/>
          </cell>
          <cell r="AZ7292" t="str">
            <v/>
          </cell>
          <cell r="BA7292" t="str">
            <v/>
          </cell>
        </row>
        <row r="7293">
          <cell r="B7293" t="str">
            <v>-</v>
          </cell>
          <cell r="E7293" t="str">
            <v/>
          </cell>
          <cell r="G7293" t="str">
            <v/>
          </cell>
          <cell r="J7293" t="str">
            <v/>
          </cell>
          <cell r="O7293" t="str">
            <v/>
          </cell>
          <cell r="P7293" t="str">
            <v/>
          </cell>
          <cell r="Q7293" t="str">
            <v/>
          </cell>
          <cell r="S7293" t="str">
            <v/>
          </cell>
          <cell r="V7293" t="str">
            <v/>
          </cell>
          <cell r="Z7293" t="str">
            <v/>
          </cell>
          <cell r="AA7293" t="str">
            <v/>
          </cell>
          <cell r="AB7293" t="str">
            <v/>
          </cell>
          <cell r="AC7293" t="str">
            <v/>
          </cell>
          <cell r="AD7293" t="str">
            <v/>
          </cell>
          <cell r="AY7293" t="str">
            <v/>
          </cell>
          <cell r="AZ7293" t="str">
            <v/>
          </cell>
          <cell r="BA7293" t="str">
            <v/>
          </cell>
        </row>
        <row r="7294">
          <cell r="B7294" t="str">
            <v>-</v>
          </cell>
          <cell r="E7294" t="str">
            <v/>
          </cell>
          <cell r="G7294" t="str">
            <v/>
          </cell>
          <cell r="J7294" t="str">
            <v/>
          </cell>
          <cell r="O7294" t="str">
            <v/>
          </cell>
          <cell r="P7294" t="str">
            <v/>
          </cell>
          <cell r="Q7294" t="str">
            <v/>
          </cell>
          <cell r="S7294" t="str">
            <v/>
          </cell>
          <cell r="V7294" t="str">
            <v/>
          </cell>
          <cell r="Z7294" t="str">
            <v/>
          </cell>
          <cell r="AA7294" t="str">
            <v/>
          </cell>
          <cell r="AB7294" t="str">
            <v/>
          </cell>
          <cell r="AC7294" t="str">
            <v/>
          </cell>
          <cell r="AD7294" t="str">
            <v/>
          </cell>
          <cell r="AY7294" t="str">
            <v/>
          </cell>
          <cell r="AZ7294" t="str">
            <v/>
          </cell>
          <cell r="BA7294" t="str">
            <v/>
          </cell>
        </row>
        <row r="7295">
          <cell r="B7295" t="str">
            <v>-</v>
          </cell>
          <cell r="E7295" t="str">
            <v/>
          </cell>
          <cell r="G7295" t="str">
            <v/>
          </cell>
          <cell r="J7295" t="str">
            <v/>
          </cell>
          <cell r="O7295" t="str">
            <v/>
          </cell>
          <cell r="P7295" t="str">
            <v/>
          </cell>
          <cell r="Q7295" t="str">
            <v/>
          </cell>
          <cell r="S7295" t="str">
            <v/>
          </cell>
          <cell r="V7295" t="str">
            <v/>
          </cell>
          <cell r="Z7295" t="str">
            <v/>
          </cell>
          <cell r="AA7295" t="str">
            <v/>
          </cell>
          <cell r="AB7295" t="str">
            <v/>
          </cell>
          <cell r="AC7295" t="str">
            <v/>
          </cell>
          <cell r="AD7295" t="str">
            <v/>
          </cell>
          <cell r="AY7295" t="str">
            <v/>
          </cell>
          <cell r="AZ7295" t="str">
            <v/>
          </cell>
          <cell r="BA7295" t="str">
            <v/>
          </cell>
        </row>
        <row r="7296">
          <cell r="B7296" t="str">
            <v>-</v>
          </cell>
          <cell r="E7296" t="str">
            <v/>
          </cell>
          <cell r="G7296" t="str">
            <v/>
          </cell>
          <cell r="J7296" t="str">
            <v/>
          </cell>
          <cell r="O7296" t="str">
            <v/>
          </cell>
          <cell r="P7296" t="str">
            <v/>
          </cell>
          <cell r="Q7296" t="str">
            <v/>
          </cell>
          <cell r="S7296" t="str">
            <v/>
          </cell>
          <cell r="V7296" t="str">
            <v/>
          </cell>
          <cell r="Z7296" t="str">
            <v/>
          </cell>
          <cell r="AA7296" t="str">
            <v/>
          </cell>
          <cell r="AB7296" t="str">
            <v/>
          </cell>
          <cell r="AC7296" t="str">
            <v/>
          </cell>
          <cell r="AD7296" t="str">
            <v/>
          </cell>
          <cell r="AY7296" t="str">
            <v/>
          </cell>
          <cell r="AZ7296" t="str">
            <v/>
          </cell>
          <cell r="BA7296" t="str">
            <v/>
          </cell>
        </row>
        <row r="7297">
          <cell r="B7297" t="str">
            <v>-</v>
          </cell>
          <cell r="E7297" t="str">
            <v/>
          </cell>
          <cell r="G7297" t="str">
            <v/>
          </cell>
          <cell r="J7297" t="str">
            <v/>
          </cell>
          <cell r="O7297" t="str">
            <v/>
          </cell>
          <cell r="P7297" t="str">
            <v/>
          </cell>
          <cell r="Q7297" t="str">
            <v/>
          </cell>
          <cell r="S7297" t="str">
            <v/>
          </cell>
          <cell r="V7297" t="str">
            <v/>
          </cell>
          <cell r="Z7297" t="str">
            <v/>
          </cell>
          <cell r="AA7297" t="str">
            <v/>
          </cell>
          <cell r="AB7297" t="str">
            <v/>
          </cell>
          <cell r="AC7297" t="str">
            <v/>
          </cell>
          <cell r="AD7297" t="str">
            <v/>
          </cell>
          <cell r="AY7297" t="str">
            <v/>
          </cell>
          <cell r="AZ7297" t="str">
            <v/>
          </cell>
          <cell r="BA7297" t="str">
            <v/>
          </cell>
        </row>
        <row r="7298">
          <cell r="B7298" t="str">
            <v>-</v>
          </cell>
          <cell r="E7298" t="str">
            <v/>
          </cell>
          <cell r="G7298" t="str">
            <v/>
          </cell>
          <cell r="J7298" t="str">
            <v/>
          </cell>
          <cell r="O7298" t="str">
            <v/>
          </cell>
          <cell r="P7298" t="str">
            <v/>
          </cell>
          <cell r="Q7298" t="str">
            <v/>
          </cell>
          <cell r="S7298" t="str">
            <v/>
          </cell>
          <cell r="V7298" t="str">
            <v/>
          </cell>
          <cell r="Z7298" t="str">
            <v/>
          </cell>
          <cell r="AA7298" t="str">
            <v/>
          </cell>
          <cell r="AB7298" t="str">
            <v/>
          </cell>
          <cell r="AC7298" t="str">
            <v/>
          </cell>
          <cell r="AD7298" t="str">
            <v/>
          </cell>
          <cell r="AY7298" t="str">
            <v/>
          </cell>
          <cell r="AZ7298" t="str">
            <v/>
          </cell>
          <cell r="BA7298" t="str">
            <v/>
          </cell>
        </row>
        <row r="7299">
          <cell r="B7299" t="str">
            <v>-</v>
          </cell>
          <cell r="E7299" t="str">
            <v/>
          </cell>
          <cell r="G7299" t="str">
            <v/>
          </cell>
          <cell r="J7299" t="str">
            <v/>
          </cell>
          <cell r="O7299" t="str">
            <v/>
          </cell>
          <cell r="P7299" t="str">
            <v/>
          </cell>
          <cell r="Q7299" t="str">
            <v/>
          </cell>
          <cell r="S7299" t="str">
            <v/>
          </cell>
          <cell r="V7299" t="str">
            <v/>
          </cell>
          <cell r="Z7299" t="str">
            <v/>
          </cell>
          <cell r="AA7299" t="str">
            <v/>
          </cell>
          <cell r="AB7299" t="str">
            <v/>
          </cell>
          <cell r="AC7299" t="str">
            <v/>
          </cell>
          <cell r="AD7299" t="str">
            <v/>
          </cell>
          <cell r="AY7299" t="str">
            <v/>
          </cell>
          <cell r="AZ7299" t="str">
            <v/>
          </cell>
          <cell r="BA7299" t="str">
            <v/>
          </cell>
        </row>
        <row r="7300">
          <cell r="B7300" t="str">
            <v>-</v>
          </cell>
          <cell r="E7300" t="str">
            <v/>
          </cell>
          <cell r="G7300" t="str">
            <v/>
          </cell>
          <cell r="J7300" t="str">
            <v/>
          </cell>
          <cell r="O7300" t="str">
            <v/>
          </cell>
          <cell r="P7300" t="str">
            <v/>
          </cell>
          <cell r="Q7300" t="str">
            <v/>
          </cell>
          <cell r="S7300" t="str">
            <v/>
          </cell>
          <cell r="V7300" t="str">
            <v/>
          </cell>
          <cell r="Z7300" t="str">
            <v/>
          </cell>
          <cell r="AA7300" t="str">
            <v/>
          </cell>
          <cell r="AB7300" t="str">
            <v/>
          </cell>
          <cell r="AC7300" t="str">
            <v/>
          </cell>
          <cell r="AD7300" t="str">
            <v/>
          </cell>
          <cell r="AY7300" t="str">
            <v/>
          </cell>
          <cell r="AZ7300" t="str">
            <v/>
          </cell>
          <cell r="BA7300" t="str">
            <v/>
          </cell>
        </row>
        <row r="7301">
          <cell r="B7301" t="str">
            <v>-</v>
          </cell>
          <cell r="E7301" t="str">
            <v/>
          </cell>
          <cell r="G7301" t="str">
            <v/>
          </cell>
          <cell r="J7301" t="str">
            <v/>
          </cell>
          <cell r="O7301" t="str">
            <v/>
          </cell>
          <cell r="P7301" t="str">
            <v/>
          </cell>
          <cell r="Q7301" t="str">
            <v/>
          </cell>
          <cell r="S7301" t="str">
            <v/>
          </cell>
          <cell r="V7301" t="str">
            <v/>
          </cell>
          <cell r="Z7301" t="str">
            <v/>
          </cell>
          <cell r="AA7301" t="str">
            <v/>
          </cell>
          <cell r="AB7301" t="str">
            <v/>
          </cell>
          <cell r="AC7301" t="str">
            <v/>
          </cell>
          <cell r="AD7301" t="str">
            <v/>
          </cell>
          <cell r="AY7301" t="str">
            <v/>
          </cell>
          <cell r="AZ7301" t="str">
            <v/>
          </cell>
          <cell r="BA7301" t="str">
            <v/>
          </cell>
        </row>
        <row r="7302">
          <cell r="B7302" t="str">
            <v>-</v>
          </cell>
          <cell r="E7302" t="str">
            <v/>
          </cell>
          <cell r="G7302" t="str">
            <v/>
          </cell>
          <cell r="J7302" t="str">
            <v/>
          </cell>
          <cell r="O7302" t="str">
            <v/>
          </cell>
          <cell r="P7302" t="str">
            <v/>
          </cell>
          <cell r="Q7302" t="str">
            <v/>
          </cell>
          <cell r="S7302" t="str">
            <v/>
          </cell>
          <cell r="V7302" t="str">
            <v/>
          </cell>
          <cell r="Z7302" t="str">
            <v/>
          </cell>
          <cell r="AA7302" t="str">
            <v/>
          </cell>
          <cell r="AB7302" t="str">
            <v/>
          </cell>
          <cell r="AC7302" t="str">
            <v/>
          </cell>
          <cell r="AD7302" t="str">
            <v/>
          </cell>
          <cell r="AY7302" t="str">
            <v/>
          </cell>
          <cell r="AZ7302" t="str">
            <v/>
          </cell>
          <cell r="BA7302" t="str">
            <v/>
          </cell>
        </row>
        <row r="7303">
          <cell r="B7303" t="str">
            <v>-</v>
          </cell>
          <cell r="E7303" t="str">
            <v/>
          </cell>
          <cell r="G7303" t="str">
            <v/>
          </cell>
          <cell r="J7303" t="str">
            <v/>
          </cell>
          <cell r="O7303" t="str">
            <v/>
          </cell>
          <cell r="P7303" t="str">
            <v/>
          </cell>
          <cell r="Q7303" t="str">
            <v/>
          </cell>
          <cell r="S7303" t="str">
            <v/>
          </cell>
          <cell r="V7303" t="str">
            <v/>
          </cell>
          <cell r="Z7303" t="str">
            <v/>
          </cell>
          <cell r="AA7303" t="str">
            <v/>
          </cell>
          <cell r="AB7303" t="str">
            <v/>
          </cell>
          <cell r="AC7303" t="str">
            <v/>
          </cell>
          <cell r="AD7303" t="str">
            <v/>
          </cell>
          <cell r="AY7303" t="str">
            <v/>
          </cell>
          <cell r="AZ7303" t="str">
            <v/>
          </cell>
          <cell r="BA7303" t="str">
            <v/>
          </cell>
        </row>
        <row r="7304">
          <cell r="B7304" t="str">
            <v>-</v>
          </cell>
          <cell r="E7304" t="str">
            <v/>
          </cell>
          <cell r="G7304" t="str">
            <v/>
          </cell>
          <cell r="J7304" t="str">
            <v/>
          </cell>
          <cell r="O7304" t="str">
            <v/>
          </cell>
          <cell r="P7304" t="str">
            <v/>
          </cell>
          <cell r="Q7304" t="str">
            <v/>
          </cell>
          <cell r="S7304" t="str">
            <v/>
          </cell>
          <cell r="V7304" t="str">
            <v/>
          </cell>
          <cell r="Z7304" t="str">
            <v/>
          </cell>
          <cell r="AA7304" t="str">
            <v/>
          </cell>
          <cell r="AB7304" t="str">
            <v/>
          </cell>
          <cell r="AC7304" t="str">
            <v/>
          </cell>
          <cell r="AD7304" t="str">
            <v/>
          </cell>
          <cell r="AY7304" t="str">
            <v/>
          </cell>
          <cell r="AZ7304" t="str">
            <v/>
          </cell>
          <cell r="BA7304" t="str">
            <v/>
          </cell>
        </row>
        <row r="7305">
          <cell r="B7305" t="str">
            <v>-</v>
          </cell>
          <cell r="E7305" t="str">
            <v/>
          </cell>
          <cell r="G7305" t="str">
            <v/>
          </cell>
          <cell r="J7305" t="str">
            <v/>
          </cell>
          <cell r="O7305" t="str">
            <v/>
          </cell>
          <cell r="P7305" t="str">
            <v/>
          </cell>
          <cell r="Q7305" t="str">
            <v/>
          </cell>
          <cell r="S7305" t="str">
            <v/>
          </cell>
          <cell r="V7305" t="str">
            <v/>
          </cell>
          <cell r="Z7305" t="str">
            <v/>
          </cell>
          <cell r="AA7305" t="str">
            <v/>
          </cell>
          <cell r="AB7305" t="str">
            <v/>
          </cell>
          <cell r="AC7305" t="str">
            <v/>
          </cell>
          <cell r="AD7305" t="str">
            <v/>
          </cell>
          <cell r="AY7305" t="str">
            <v/>
          </cell>
          <cell r="AZ7305" t="str">
            <v/>
          </cell>
          <cell r="BA7305" t="str">
            <v/>
          </cell>
        </row>
        <row r="7306">
          <cell r="B7306" t="str">
            <v>-</v>
          </cell>
          <cell r="E7306" t="str">
            <v/>
          </cell>
          <cell r="G7306" t="str">
            <v/>
          </cell>
          <cell r="J7306" t="str">
            <v/>
          </cell>
          <cell r="O7306" t="str">
            <v/>
          </cell>
          <cell r="P7306" t="str">
            <v/>
          </cell>
          <cell r="Q7306" t="str">
            <v/>
          </cell>
          <cell r="S7306" t="str">
            <v/>
          </cell>
          <cell r="V7306" t="str">
            <v/>
          </cell>
          <cell r="Z7306" t="str">
            <v/>
          </cell>
          <cell r="AA7306" t="str">
            <v/>
          </cell>
          <cell r="AB7306" t="str">
            <v/>
          </cell>
          <cell r="AC7306" t="str">
            <v/>
          </cell>
          <cell r="AD7306" t="str">
            <v/>
          </cell>
          <cell r="AY7306" t="str">
            <v/>
          </cell>
          <cell r="AZ7306" t="str">
            <v/>
          </cell>
          <cell r="BA7306" t="str">
            <v/>
          </cell>
        </row>
        <row r="7307">
          <cell r="B7307" t="str">
            <v>-</v>
          </cell>
          <cell r="E7307" t="str">
            <v/>
          </cell>
          <cell r="G7307" t="str">
            <v/>
          </cell>
          <cell r="J7307" t="str">
            <v/>
          </cell>
          <cell r="O7307" t="str">
            <v/>
          </cell>
          <cell r="P7307" t="str">
            <v/>
          </cell>
          <cell r="Q7307" t="str">
            <v/>
          </cell>
          <cell r="S7307" t="str">
            <v/>
          </cell>
          <cell r="V7307" t="str">
            <v/>
          </cell>
          <cell r="Z7307" t="str">
            <v/>
          </cell>
          <cell r="AA7307" t="str">
            <v/>
          </cell>
          <cell r="AB7307" t="str">
            <v/>
          </cell>
          <cell r="AC7307" t="str">
            <v/>
          </cell>
          <cell r="AD7307" t="str">
            <v/>
          </cell>
          <cell r="AY7307" t="str">
            <v/>
          </cell>
          <cell r="AZ7307" t="str">
            <v/>
          </cell>
          <cell r="BA7307" t="str">
            <v/>
          </cell>
        </row>
        <row r="7308">
          <cell r="B7308" t="str">
            <v>-</v>
          </cell>
          <cell r="E7308" t="str">
            <v/>
          </cell>
          <cell r="G7308" t="str">
            <v/>
          </cell>
          <cell r="J7308" t="str">
            <v/>
          </cell>
          <cell r="O7308" t="str">
            <v/>
          </cell>
          <cell r="P7308" t="str">
            <v/>
          </cell>
          <cell r="Q7308" t="str">
            <v/>
          </cell>
          <cell r="S7308" t="str">
            <v/>
          </cell>
          <cell r="V7308" t="str">
            <v/>
          </cell>
          <cell r="Z7308" t="str">
            <v/>
          </cell>
          <cell r="AA7308" t="str">
            <v/>
          </cell>
          <cell r="AB7308" t="str">
            <v/>
          </cell>
          <cell r="AC7308" t="str">
            <v/>
          </cell>
          <cell r="AD7308" t="str">
            <v/>
          </cell>
          <cell r="AY7308" t="str">
            <v/>
          </cell>
          <cell r="AZ7308" t="str">
            <v/>
          </cell>
          <cell r="BA7308" t="str">
            <v/>
          </cell>
        </row>
        <row r="7309">
          <cell r="B7309" t="str">
            <v>-</v>
          </cell>
          <cell r="E7309" t="str">
            <v/>
          </cell>
          <cell r="G7309" t="str">
            <v/>
          </cell>
          <cell r="J7309" t="str">
            <v/>
          </cell>
          <cell r="O7309" t="str">
            <v/>
          </cell>
          <cell r="P7309" t="str">
            <v/>
          </cell>
          <cell r="Q7309" t="str">
            <v/>
          </cell>
          <cell r="S7309" t="str">
            <v/>
          </cell>
          <cell r="V7309" t="str">
            <v/>
          </cell>
          <cell r="Z7309" t="str">
            <v/>
          </cell>
          <cell r="AA7309" t="str">
            <v/>
          </cell>
          <cell r="AB7309" t="str">
            <v/>
          </cell>
          <cell r="AC7309" t="str">
            <v/>
          </cell>
          <cell r="AD7309" t="str">
            <v/>
          </cell>
          <cell r="AY7309" t="str">
            <v/>
          </cell>
          <cell r="AZ7309" t="str">
            <v/>
          </cell>
          <cell r="BA7309" t="str">
            <v/>
          </cell>
        </row>
        <row r="7310">
          <cell r="B7310" t="str">
            <v>-</v>
          </cell>
          <cell r="E7310" t="str">
            <v/>
          </cell>
          <cell r="G7310" t="str">
            <v/>
          </cell>
          <cell r="J7310" t="str">
            <v/>
          </cell>
          <cell r="O7310" t="str">
            <v/>
          </cell>
          <cell r="P7310" t="str">
            <v/>
          </cell>
          <cell r="Q7310" t="str">
            <v/>
          </cell>
          <cell r="S7310" t="str">
            <v/>
          </cell>
          <cell r="V7310" t="str">
            <v/>
          </cell>
          <cell r="Z7310" t="str">
            <v/>
          </cell>
          <cell r="AA7310" t="str">
            <v/>
          </cell>
          <cell r="AB7310" t="str">
            <v/>
          </cell>
          <cell r="AC7310" t="str">
            <v/>
          </cell>
          <cell r="AD7310" t="str">
            <v/>
          </cell>
          <cell r="AY7310" t="str">
            <v/>
          </cell>
          <cell r="AZ7310" t="str">
            <v/>
          </cell>
          <cell r="BA7310" t="str">
            <v/>
          </cell>
        </row>
        <row r="7311">
          <cell r="B7311" t="str">
            <v>-</v>
          </cell>
          <cell r="E7311" t="str">
            <v/>
          </cell>
          <cell r="G7311" t="str">
            <v/>
          </cell>
          <cell r="J7311" t="str">
            <v/>
          </cell>
          <cell r="O7311" t="str">
            <v/>
          </cell>
          <cell r="P7311" t="str">
            <v/>
          </cell>
          <cell r="Q7311" t="str">
            <v/>
          </cell>
          <cell r="S7311" t="str">
            <v/>
          </cell>
          <cell r="V7311" t="str">
            <v/>
          </cell>
          <cell r="Z7311" t="str">
            <v/>
          </cell>
          <cell r="AA7311" t="str">
            <v/>
          </cell>
          <cell r="AB7311" t="str">
            <v/>
          </cell>
          <cell r="AC7311" t="str">
            <v/>
          </cell>
          <cell r="AD7311" t="str">
            <v/>
          </cell>
          <cell r="AY7311" t="str">
            <v/>
          </cell>
          <cell r="AZ7311" t="str">
            <v/>
          </cell>
          <cell r="BA7311" t="str">
            <v/>
          </cell>
        </row>
        <row r="7312">
          <cell r="B7312" t="str">
            <v>-</v>
          </cell>
          <cell r="E7312" t="str">
            <v/>
          </cell>
          <cell r="G7312" t="str">
            <v/>
          </cell>
          <cell r="J7312" t="str">
            <v/>
          </cell>
          <cell r="O7312" t="str">
            <v/>
          </cell>
          <cell r="P7312" t="str">
            <v/>
          </cell>
          <cell r="Q7312" t="str">
            <v/>
          </cell>
          <cell r="S7312" t="str">
            <v/>
          </cell>
          <cell r="V7312" t="str">
            <v/>
          </cell>
          <cell r="Z7312" t="str">
            <v/>
          </cell>
          <cell r="AA7312" t="str">
            <v/>
          </cell>
          <cell r="AB7312" t="str">
            <v/>
          </cell>
          <cell r="AC7312" t="str">
            <v/>
          </cell>
          <cell r="AD7312" t="str">
            <v/>
          </cell>
          <cell r="AY7312" t="str">
            <v/>
          </cell>
          <cell r="AZ7312" t="str">
            <v/>
          </cell>
          <cell r="BA7312" t="str">
            <v/>
          </cell>
        </row>
        <row r="7313">
          <cell r="B7313" t="str">
            <v>-</v>
          </cell>
          <cell r="E7313" t="str">
            <v/>
          </cell>
          <cell r="G7313" t="str">
            <v/>
          </cell>
          <cell r="J7313" t="str">
            <v/>
          </cell>
          <cell r="O7313" t="str">
            <v/>
          </cell>
          <cell r="P7313" t="str">
            <v/>
          </cell>
          <cell r="Q7313" t="str">
            <v/>
          </cell>
          <cell r="S7313" t="str">
            <v/>
          </cell>
          <cell r="V7313" t="str">
            <v/>
          </cell>
          <cell r="Z7313" t="str">
            <v/>
          </cell>
          <cell r="AA7313" t="str">
            <v/>
          </cell>
          <cell r="AB7313" t="str">
            <v/>
          </cell>
          <cell r="AC7313" t="str">
            <v/>
          </cell>
          <cell r="AD7313" t="str">
            <v/>
          </cell>
          <cell r="AY7313" t="str">
            <v/>
          </cell>
          <cell r="AZ7313" t="str">
            <v/>
          </cell>
          <cell r="BA7313" t="str">
            <v/>
          </cell>
        </row>
        <row r="7314">
          <cell r="B7314" t="str">
            <v>-</v>
          </cell>
          <cell r="E7314" t="str">
            <v/>
          </cell>
          <cell r="G7314" t="str">
            <v/>
          </cell>
          <cell r="J7314" t="str">
            <v/>
          </cell>
          <cell r="O7314" t="str">
            <v/>
          </cell>
          <cell r="P7314" t="str">
            <v/>
          </cell>
          <cell r="Q7314" t="str">
            <v/>
          </cell>
          <cell r="S7314" t="str">
            <v/>
          </cell>
          <cell r="V7314" t="str">
            <v/>
          </cell>
          <cell r="Z7314" t="str">
            <v/>
          </cell>
          <cell r="AA7314" t="str">
            <v/>
          </cell>
          <cell r="AB7314" t="str">
            <v/>
          </cell>
          <cell r="AC7314" t="str">
            <v/>
          </cell>
          <cell r="AD7314" t="str">
            <v/>
          </cell>
          <cell r="AY7314" t="str">
            <v/>
          </cell>
          <cell r="AZ7314" t="str">
            <v/>
          </cell>
          <cell r="BA7314" t="str">
            <v/>
          </cell>
        </row>
        <row r="7315">
          <cell r="B7315" t="str">
            <v>-</v>
          </cell>
          <cell r="E7315" t="str">
            <v/>
          </cell>
          <cell r="G7315" t="str">
            <v/>
          </cell>
          <cell r="J7315" t="str">
            <v/>
          </cell>
          <cell r="O7315" t="str">
            <v/>
          </cell>
          <cell r="P7315" t="str">
            <v/>
          </cell>
          <cell r="Q7315" t="str">
            <v/>
          </cell>
          <cell r="S7315" t="str">
            <v/>
          </cell>
          <cell r="V7315" t="str">
            <v/>
          </cell>
          <cell r="Z7315" t="str">
            <v/>
          </cell>
          <cell r="AA7315" t="str">
            <v/>
          </cell>
          <cell r="AB7315" t="str">
            <v/>
          </cell>
          <cell r="AC7315" t="str">
            <v/>
          </cell>
          <cell r="AD7315" t="str">
            <v/>
          </cell>
          <cell r="AY7315" t="str">
            <v/>
          </cell>
          <cell r="AZ7315" t="str">
            <v/>
          </cell>
          <cell r="BA7315" t="str">
            <v/>
          </cell>
        </row>
        <row r="7316">
          <cell r="B7316" t="str">
            <v>-</v>
          </cell>
          <cell r="E7316" t="str">
            <v/>
          </cell>
          <cell r="G7316" t="str">
            <v/>
          </cell>
          <cell r="J7316" t="str">
            <v/>
          </cell>
          <cell r="O7316" t="str">
            <v/>
          </cell>
          <cell r="P7316" t="str">
            <v/>
          </cell>
          <cell r="Q7316" t="str">
            <v/>
          </cell>
          <cell r="S7316" t="str">
            <v/>
          </cell>
          <cell r="V7316" t="str">
            <v/>
          </cell>
          <cell r="Z7316" t="str">
            <v/>
          </cell>
          <cell r="AA7316" t="str">
            <v/>
          </cell>
          <cell r="AB7316" t="str">
            <v/>
          </cell>
          <cell r="AC7316" t="str">
            <v/>
          </cell>
          <cell r="AD7316" t="str">
            <v/>
          </cell>
          <cell r="AY7316" t="str">
            <v/>
          </cell>
          <cell r="AZ7316" t="str">
            <v/>
          </cell>
          <cell r="BA7316" t="str">
            <v/>
          </cell>
        </row>
        <row r="7317">
          <cell r="B7317" t="str">
            <v>-</v>
          </cell>
          <cell r="E7317" t="str">
            <v/>
          </cell>
          <cell r="G7317" t="str">
            <v/>
          </cell>
          <cell r="J7317" t="str">
            <v/>
          </cell>
          <cell r="O7317" t="str">
            <v/>
          </cell>
          <cell r="P7317" t="str">
            <v/>
          </cell>
          <cell r="Q7317" t="str">
            <v/>
          </cell>
          <cell r="S7317" t="str">
            <v/>
          </cell>
          <cell r="V7317" t="str">
            <v/>
          </cell>
          <cell r="Z7317" t="str">
            <v/>
          </cell>
          <cell r="AA7317" t="str">
            <v/>
          </cell>
          <cell r="AB7317" t="str">
            <v/>
          </cell>
          <cell r="AC7317" t="str">
            <v/>
          </cell>
          <cell r="AD7317" t="str">
            <v/>
          </cell>
          <cell r="AY7317" t="str">
            <v/>
          </cell>
          <cell r="AZ7317" t="str">
            <v/>
          </cell>
          <cell r="BA7317" t="str">
            <v/>
          </cell>
        </row>
        <row r="7318">
          <cell r="B7318" t="str">
            <v>-</v>
          </cell>
          <cell r="E7318" t="str">
            <v/>
          </cell>
          <cell r="G7318" t="str">
            <v/>
          </cell>
          <cell r="J7318" t="str">
            <v/>
          </cell>
          <cell r="O7318" t="str">
            <v/>
          </cell>
          <cell r="P7318" t="str">
            <v/>
          </cell>
          <cell r="Q7318" t="str">
            <v/>
          </cell>
          <cell r="S7318" t="str">
            <v/>
          </cell>
          <cell r="V7318" t="str">
            <v/>
          </cell>
          <cell r="Z7318" t="str">
            <v/>
          </cell>
          <cell r="AA7318" t="str">
            <v/>
          </cell>
          <cell r="AB7318" t="str">
            <v/>
          </cell>
          <cell r="AC7318" t="str">
            <v/>
          </cell>
          <cell r="AD7318" t="str">
            <v/>
          </cell>
          <cell r="AY7318" t="str">
            <v/>
          </cell>
          <cell r="AZ7318" t="str">
            <v/>
          </cell>
          <cell r="BA7318" t="str">
            <v/>
          </cell>
        </row>
        <row r="7319">
          <cell r="B7319" t="str">
            <v>-</v>
          </cell>
          <cell r="E7319" t="str">
            <v/>
          </cell>
          <cell r="G7319" t="str">
            <v/>
          </cell>
          <cell r="J7319" t="str">
            <v/>
          </cell>
          <cell r="O7319" t="str">
            <v/>
          </cell>
          <cell r="P7319" t="str">
            <v/>
          </cell>
          <cell r="Q7319" t="str">
            <v/>
          </cell>
          <cell r="S7319" t="str">
            <v/>
          </cell>
          <cell r="V7319" t="str">
            <v/>
          </cell>
          <cell r="Z7319" t="str">
            <v/>
          </cell>
          <cell r="AA7319" t="str">
            <v/>
          </cell>
          <cell r="AB7319" t="str">
            <v/>
          </cell>
          <cell r="AC7319" t="str">
            <v/>
          </cell>
          <cell r="AD7319" t="str">
            <v/>
          </cell>
          <cell r="AY7319" t="str">
            <v/>
          </cell>
          <cell r="AZ7319" t="str">
            <v/>
          </cell>
          <cell r="BA7319" t="str">
            <v/>
          </cell>
        </row>
        <row r="7320">
          <cell r="B7320" t="str">
            <v>-</v>
          </cell>
          <cell r="E7320" t="str">
            <v/>
          </cell>
          <cell r="G7320" t="str">
            <v/>
          </cell>
          <cell r="J7320" t="str">
            <v/>
          </cell>
          <cell r="O7320" t="str">
            <v/>
          </cell>
          <cell r="P7320" t="str">
            <v/>
          </cell>
          <cell r="Q7320" t="str">
            <v/>
          </cell>
          <cell r="S7320" t="str">
            <v/>
          </cell>
          <cell r="V7320" t="str">
            <v/>
          </cell>
          <cell r="Z7320" t="str">
            <v/>
          </cell>
          <cell r="AA7320" t="str">
            <v/>
          </cell>
          <cell r="AB7320" t="str">
            <v/>
          </cell>
          <cell r="AC7320" t="str">
            <v/>
          </cell>
          <cell r="AD7320" t="str">
            <v/>
          </cell>
          <cell r="AY7320" t="str">
            <v/>
          </cell>
          <cell r="AZ7320" t="str">
            <v/>
          </cell>
          <cell r="BA7320" t="str">
            <v/>
          </cell>
        </row>
        <row r="7321">
          <cell r="B7321" t="str">
            <v>-</v>
          </cell>
          <cell r="E7321" t="str">
            <v/>
          </cell>
          <cell r="G7321" t="str">
            <v/>
          </cell>
          <cell r="J7321" t="str">
            <v/>
          </cell>
          <cell r="O7321" t="str">
            <v/>
          </cell>
          <cell r="P7321" t="str">
            <v/>
          </cell>
          <cell r="Q7321" t="str">
            <v/>
          </cell>
          <cell r="S7321" t="str">
            <v/>
          </cell>
          <cell r="V7321" t="str">
            <v/>
          </cell>
          <cell r="Z7321" t="str">
            <v/>
          </cell>
          <cell r="AA7321" t="str">
            <v/>
          </cell>
          <cell r="AB7321" t="str">
            <v/>
          </cell>
          <cell r="AC7321" t="str">
            <v/>
          </cell>
          <cell r="AD7321" t="str">
            <v/>
          </cell>
          <cell r="AY7321" t="str">
            <v/>
          </cell>
          <cell r="AZ7321" t="str">
            <v/>
          </cell>
          <cell r="BA7321" t="str">
            <v/>
          </cell>
        </row>
        <row r="7322">
          <cell r="B7322" t="str">
            <v>-</v>
          </cell>
          <cell r="E7322" t="str">
            <v/>
          </cell>
          <cell r="G7322" t="str">
            <v/>
          </cell>
          <cell r="J7322" t="str">
            <v/>
          </cell>
          <cell r="O7322" t="str">
            <v/>
          </cell>
          <cell r="P7322" t="str">
            <v/>
          </cell>
          <cell r="Q7322" t="str">
            <v/>
          </cell>
          <cell r="S7322" t="str">
            <v/>
          </cell>
          <cell r="V7322" t="str">
            <v/>
          </cell>
          <cell r="Z7322" t="str">
            <v/>
          </cell>
          <cell r="AA7322" t="str">
            <v/>
          </cell>
          <cell r="AB7322" t="str">
            <v/>
          </cell>
          <cell r="AC7322" t="str">
            <v/>
          </cell>
          <cell r="AD7322" t="str">
            <v/>
          </cell>
          <cell r="AY7322" t="str">
            <v/>
          </cell>
          <cell r="AZ7322" t="str">
            <v/>
          </cell>
          <cell r="BA7322" t="str">
            <v/>
          </cell>
        </row>
        <row r="7323">
          <cell r="B7323" t="str">
            <v>-</v>
          </cell>
          <cell r="E7323" t="str">
            <v/>
          </cell>
          <cell r="G7323" t="str">
            <v/>
          </cell>
          <cell r="J7323" t="str">
            <v/>
          </cell>
          <cell r="O7323" t="str">
            <v/>
          </cell>
          <cell r="P7323" t="str">
            <v/>
          </cell>
          <cell r="Q7323" t="str">
            <v/>
          </cell>
          <cell r="S7323" t="str">
            <v/>
          </cell>
          <cell r="V7323" t="str">
            <v/>
          </cell>
          <cell r="Z7323" t="str">
            <v/>
          </cell>
          <cell r="AA7323" t="str">
            <v/>
          </cell>
          <cell r="AB7323" t="str">
            <v/>
          </cell>
          <cell r="AC7323" t="str">
            <v/>
          </cell>
          <cell r="AD7323" t="str">
            <v/>
          </cell>
          <cell r="AY7323" t="str">
            <v/>
          </cell>
          <cell r="AZ7323" t="str">
            <v/>
          </cell>
          <cell r="BA7323" t="str">
            <v/>
          </cell>
        </row>
        <row r="7324">
          <cell r="B7324" t="str">
            <v>-</v>
          </cell>
          <cell r="E7324" t="str">
            <v/>
          </cell>
          <cell r="G7324" t="str">
            <v/>
          </cell>
          <cell r="J7324" t="str">
            <v/>
          </cell>
          <cell r="O7324" t="str">
            <v/>
          </cell>
          <cell r="P7324" t="str">
            <v/>
          </cell>
          <cell r="Q7324" t="str">
            <v/>
          </cell>
          <cell r="S7324" t="str">
            <v/>
          </cell>
          <cell r="V7324" t="str">
            <v/>
          </cell>
          <cell r="Z7324" t="str">
            <v/>
          </cell>
          <cell r="AA7324" t="str">
            <v/>
          </cell>
          <cell r="AB7324" t="str">
            <v/>
          </cell>
          <cell r="AC7324" t="str">
            <v/>
          </cell>
          <cell r="AD7324" t="str">
            <v/>
          </cell>
          <cell r="AY7324" t="str">
            <v/>
          </cell>
          <cell r="AZ7324" t="str">
            <v/>
          </cell>
          <cell r="BA7324" t="str">
            <v/>
          </cell>
        </row>
        <row r="7325">
          <cell r="B7325" t="str">
            <v>-</v>
          </cell>
          <cell r="E7325" t="str">
            <v/>
          </cell>
          <cell r="G7325" t="str">
            <v/>
          </cell>
          <cell r="J7325" t="str">
            <v/>
          </cell>
          <cell r="O7325" t="str">
            <v/>
          </cell>
          <cell r="P7325" t="str">
            <v/>
          </cell>
          <cell r="Q7325" t="str">
            <v/>
          </cell>
          <cell r="S7325" t="str">
            <v/>
          </cell>
          <cell r="V7325" t="str">
            <v/>
          </cell>
          <cell r="Z7325" t="str">
            <v/>
          </cell>
          <cell r="AA7325" t="str">
            <v/>
          </cell>
          <cell r="AB7325" t="str">
            <v/>
          </cell>
          <cell r="AC7325" t="str">
            <v/>
          </cell>
          <cell r="AD7325" t="str">
            <v/>
          </cell>
          <cell r="AY7325" t="str">
            <v/>
          </cell>
          <cell r="AZ7325" t="str">
            <v/>
          </cell>
          <cell r="BA7325" t="str">
            <v/>
          </cell>
        </row>
        <row r="7326">
          <cell r="B7326" t="str">
            <v>-</v>
          </cell>
          <cell r="E7326" t="str">
            <v/>
          </cell>
          <cell r="G7326" t="str">
            <v/>
          </cell>
          <cell r="J7326" t="str">
            <v/>
          </cell>
          <cell r="O7326" t="str">
            <v/>
          </cell>
          <cell r="P7326" t="str">
            <v/>
          </cell>
          <cell r="Q7326" t="str">
            <v/>
          </cell>
          <cell r="S7326" t="str">
            <v/>
          </cell>
          <cell r="V7326" t="str">
            <v/>
          </cell>
          <cell r="Z7326" t="str">
            <v/>
          </cell>
          <cell r="AA7326" t="str">
            <v/>
          </cell>
          <cell r="AB7326" t="str">
            <v/>
          </cell>
          <cell r="AC7326" t="str">
            <v/>
          </cell>
          <cell r="AD7326" t="str">
            <v/>
          </cell>
          <cell r="AY7326" t="str">
            <v/>
          </cell>
          <cell r="AZ7326" t="str">
            <v/>
          </cell>
          <cell r="BA7326" t="str">
            <v/>
          </cell>
        </row>
        <row r="7327">
          <cell r="B7327" t="str">
            <v>-</v>
          </cell>
          <cell r="E7327" t="str">
            <v/>
          </cell>
          <cell r="G7327" t="str">
            <v/>
          </cell>
          <cell r="J7327" t="str">
            <v/>
          </cell>
          <cell r="O7327" t="str">
            <v/>
          </cell>
          <cell r="P7327" t="str">
            <v/>
          </cell>
          <cell r="Q7327" t="str">
            <v/>
          </cell>
          <cell r="S7327" t="str">
            <v/>
          </cell>
          <cell r="V7327" t="str">
            <v/>
          </cell>
          <cell r="Z7327" t="str">
            <v/>
          </cell>
          <cell r="AA7327" t="str">
            <v/>
          </cell>
          <cell r="AB7327" t="str">
            <v/>
          </cell>
          <cell r="AC7327" t="str">
            <v/>
          </cell>
          <cell r="AD7327" t="str">
            <v/>
          </cell>
          <cell r="AY7327" t="str">
            <v/>
          </cell>
          <cell r="AZ7327" t="str">
            <v/>
          </cell>
          <cell r="BA7327" t="str">
            <v/>
          </cell>
        </row>
        <row r="7328">
          <cell r="B7328" t="str">
            <v>-</v>
          </cell>
          <cell r="E7328" t="str">
            <v/>
          </cell>
          <cell r="G7328" t="str">
            <v/>
          </cell>
          <cell r="J7328" t="str">
            <v/>
          </cell>
          <cell r="O7328" t="str">
            <v/>
          </cell>
          <cell r="P7328" t="str">
            <v/>
          </cell>
          <cell r="Q7328" t="str">
            <v/>
          </cell>
          <cell r="S7328" t="str">
            <v/>
          </cell>
          <cell r="V7328" t="str">
            <v/>
          </cell>
          <cell r="Z7328" t="str">
            <v/>
          </cell>
          <cell r="AA7328" t="str">
            <v/>
          </cell>
          <cell r="AB7328" t="str">
            <v/>
          </cell>
          <cell r="AC7328" t="str">
            <v/>
          </cell>
          <cell r="AD7328" t="str">
            <v/>
          </cell>
          <cell r="AY7328" t="str">
            <v/>
          </cell>
          <cell r="AZ7328" t="str">
            <v/>
          </cell>
          <cell r="BA7328" t="str">
            <v/>
          </cell>
        </row>
        <row r="7329">
          <cell r="B7329" t="str">
            <v>-</v>
          </cell>
          <cell r="E7329" t="str">
            <v/>
          </cell>
          <cell r="G7329" t="str">
            <v/>
          </cell>
          <cell r="J7329" t="str">
            <v/>
          </cell>
          <cell r="O7329" t="str">
            <v/>
          </cell>
          <cell r="P7329" t="str">
            <v/>
          </cell>
          <cell r="Q7329" t="str">
            <v/>
          </cell>
          <cell r="S7329" t="str">
            <v/>
          </cell>
          <cell r="V7329" t="str">
            <v/>
          </cell>
          <cell r="Z7329" t="str">
            <v/>
          </cell>
          <cell r="AA7329" t="str">
            <v/>
          </cell>
          <cell r="AB7329" t="str">
            <v/>
          </cell>
          <cell r="AC7329" t="str">
            <v/>
          </cell>
          <cell r="AD7329" t="str">
            <v/>
          </cell>
          <cell r="AY7329" t="str">
            <v/>
          </cell>
          <cell r="AZ7329" t="str">
            <v/>
          </cell>
          <cell r="BA7329" t="str">
            <v/>
          </cell>
        </row>
        <row r="7330">
          <cell r="B7330" t="str">
            <v>-</v>
          </cell>
          <cell r="E7330" t="str">
            <v/>
          </cell>
          <cell r="G7330" t="str">
            <v/>
          </cell>
          <cell r="J7330" t="str">
            <v/>
          </cell>
          <cell r="O7330" t="str">
            <v/>
          </cell>
          <cell r="P7330" t="str">
            <v/>
          </cell>
          <cell r="Q7330" t="str">
            <v/>
          </cell>
          <cell r="S7330" t="str">
            <v/>
          </cell>
          <cell r="V7330" t="str">
            <v/>
          </cell>
          <cell r="Z7330" t="str">
            <v/>
          </cell>
          <cell r="AA7330" t="str">
            <v/>
          </cell>
          <cell r="AB7330" t="str">
            <v/>
          </cell>
          <cell r="AC7330" t="str">
            <v/>
          </cell>
          <cell r="AD7330" t="str">
            <v/>
          </cell>
          <cell r="AY7330" t="str">
            <v/>
          </cell>
          <cell r="AZ7330" t="str">
            <v/>
          </cell>
          <cell r="BA7330" t="str">
            <v/>
          </cell>
        </row>
        <row r="7331">
          <cell r="B7331" t="str">
            <v>-</v>
          </cell>
          <cell r="E7331" t="str">
            <v/>
          </cell>
          <cell r="G7331" t="str">
            <v/>
          </cell>
          <cell r="J7331" t="str">
            <v/>
          </cell>
          <cell r="O7331" t="str">
            <v/>
          </cell>
          <cell r="P7331" t="str">
            <v/>
          </cell>
          <cell r="Q7331" t="str">
            <v/>
          </cell>
          <cell r="S7331" t="str">
            <v/>
          </cell>
          <cell r="V7331" t="str">
            <v/>
          </cell>
          <cell r="Z7331" t="str">
            <v/>
          </cell>
          <cell r="AA7331" t="str">
            <v/>
          </cell>
          <cell r="AB7331" t="str">
            <v/>
          </cell>
          <cell r="AC7331" t="str">
            <v/>
          </cell>
          <cell r="AD7331" t="str">
            <v/>
          </cell>
          <cell r="AY7331" t="str">
            <v/>
          </cell>
          <cell r="AZ7331" t="str">
            <v/>
          </cell>
          <cell r="BA7331" t="str">
            <v/>
          </cell>
        </row>
        <row r="7332">
          <cell r="B7332" t="str">
            <v>-</v>
          </cell>
          <cell r="E7332" t="str">
            <v/>
          </cell>
          <cell r="G7332" t="str">
            <v/>
          </cell>
          <cell r="J7332" t="str">
            <v/>
          </cell>
          <cell r="O7332" t="str">
            <v/>
          </cell>
          <cell r="P7332" t="str">
            <v/>
          </cell>
          <cell r="Q7332" t="str">
            <v/>
          </cell>
          <cell r="S7332" t="str">
            <v/>
          </cell>
          <cell r="V7332" t="str">
            <v/>
          </cell>
          <cell r="Z7332" t="str">
            <v/>
          </cell>
          <cell r="AA7332" t="str">
            <v/>
          </cell>
          <cell r="AB7332" t="str">
            <v/>
          </cell>
          <cell r="AC7332" t="str">
            <v/>
          </cell>
          <cell r="AD7332" t="str">
            <v/>
          </cell>
          <cell r="AY7332" t="str">
            <v/>
          </cell>
          <cell r="AZ7332" t="str">
            <v/>
          </cell>
          <cell r="BA7332" t="str">
            <v/>
          </cell>
        </row>
        <row r="7333">
          <cell r="B7333" t="str">
            <v>-</v>
          </cell>
          <cell r="E7333" t="str">
            <v/>
          </cell>
          <cell r="G7333" t="str">
            <v/>
          </cell>
          <cell r="J7333" t="str">
            <v/>
          </cell>
          <cell r="O7333" t="str">
            <v/>
          </cell>
          <cell r="P7333" t="str">
            <v/>
          </cell>
          <cell r="Q7333" t="str">
            <v/>
          </cell>
          <cell r="S7333" t="str">
            <v/>
          </cell>
          <cell r="V7333" t="str">
            <v/>
          </cell>
          <cell r="Z7333" t="str">
            <v/>
          </cell>
          <cell r="AA7333" t="str">
            <v/>
          </cell>
          <cell r="AB7333" t="str">
            <v/>
          </cell>
          <cell r="AC7333" t="str">
            <v/>
          </cell>
          <cell r="AD7333" t="str">
            <v/>
          </cell>
          <cell r="AY7333" t="str">
            <v/>
          </cell>
          <cell r="AZ7333" t="str">
            <v/>
          </cell>
          <cell r="BA7333" t="str">
            <v/>
          </cell>
        </row>
        <row r="7334">
          <cell r="B7334" t="str">
            <v>-</v>
          </cell>
          <cell r="E7334" t="str">
            <v/>
          </cell>
          <cell r="G7334" t="str">
            <v/>
          </cell>
          <cell r="J7334" t="str">
            <v/>
          </cell>
          <cell r="O7334" t="str">
            <v/>
          </cell>
          <cell r="P7334" t="str">
            <v/>
          </cell>
          <cell r="Q7334" t="str">
            <v/>
          </cell>
          <cell r="S7334" t="str">
            <v/>
          </cell>
          <cell r="V7334" t="str">
            <v/>
          </cell>
          <cell r="Z7334" t="str">
            <v/>
          </cell>
          <cell r="AA7334" t="str">
            <v/>
          </cell>
          <cell r="AB7334" t="str">
            <v/>
          </cell>
          <cell r="AC7334" t="str">
            <v/>
          </cell>
          <cell r="AD7334" t="str">
            <v/>
          </cell>
          <cell r="AY7334" t="str">
            <v/>
          </cell>
          <cell r="AZ7334" t="str">
            <v/>
          </cell>
          <cell r="BA7334" t="str">
            <v/>
          </cell>
        </row>
        <row r="7335">
          <cell r="B7335" t="str">
            <v>-</v>
          </cell>
          <cell r="E7335" t="str">
            <v/>
          </cell>
          <cell r="G7335" t="str">
            <v/>
          </cell>
          <cell r="J7335" t="str">
            <v/>
          </cell>
          <cell r="O7335" t="str">
            <v/>
          </cell>
          <cell r="P7335" t="str">
            <v/>
          </cell>
          <cell r="Q7335" t="str">
            <v/>
          </cell>
          <cell r="S7335" t="str">
            <v/>
          </cell>
          <cell r="V7335" t="str">
            <v/>
          </cell>
          <cell r="Z7335" t="str">
            <v/>
          </cell>
          <cell r="AA7335" t="str">
            <v/>
          </cell>
          <cell r="AB7335" t="str">
            <v/>
          </cell>
          <cell r="AC7335" t="str">
            <v/>
          </cell>
          <cell r="AD7335" t="str">
            <v/>
          </cell>
          <cell r="AY7335" t="str">
            <v/>
          </cell>
          <cell r="AZ7335" t="str">
            <v/>
          </cell>
          <cell r="BA7335" t="str">
            <v/>
          </cell>
        </row>
        <row r="7336">
          <cell r="B7336" t="str">
            <v>-</v>
          </cell>
          <cell r="E7336" t="str">
            <v/>
          </cell>
          <cell r="G7336" t="str">
            <v/>
          </cell>
          <cell r="J7336" t="str">
            <v/>
          </cell>
          <cell r="O7336" t="str">
            <v/>
          </cell>
          <cell r="P7336" t="str">
            <v/>
          </cell>
          <cell r="Q7336" t="str">
            <v/>
          </cell>
          <cell r="S7336" t="str">
            <v/>
          </cell>
          <cell r="V7336" t="str">
            <v/>
          </cell>
          <cell r="Z7336" t="str">
            <v/>
          </cell>
          <cell r="AA7336" t="str">
            <v/>
          </cell>
          <cell r="AB7336" t="str">
            <v/>
          </cell>
          <cell r="AC7336" t="str">
            <v/>
          </cell>
          <cell r="AD7336" t="str">
            <v/>
          </cell>
          <cell r="AY7336" t="str">
            <v/>
          </cell>
          <cell r="AZ7336" t="str">
            <v/>
          </cell>
          <cell r="BA7336" t="str">
            <v/>
          </cell>
        </row>
        <row r="7337">
          <cell r="B7337" t="str">
            <v>-</v>
          </cell>
          <cell r="E7337" t="str">
            <v/>
          </cell>
          <cell r="G7337" t="str">
            <v/>
          </cell>
          <cell r="J7337" t="str">
            <v/>
          </cell>
          <cell r="O7337" t="str">
            <v/>
          </cell>
          <cell r="P7337" t="str">
            <v/>
          </cell>
          <cell r="Q7337" t="str">
            <v/>
          </cell>
          <cell r="S7337" t="str">
            <v/>
          </cell>
          <cell r="V7337" t="str">
            <v/>
          </cell>
          <cell r="Z7337" t="str">
            <v/>
          </cell>
          <cell r="AA7337" t="str">
            <v/>
          </cell>
          <cell r="AB7337" t="str">
            <v/>
          </cell>
          <cell r="AC7337" t="str">
            <v/>
          </cell>
          <cell r="AD7337" t="str">
            <v/>
          </cell>
          <cell r="AY7337" t="str">
            <v/>
          </cell>
          <cell r="AZ7337" t="str">
            <v/>
          </cell>
          <cell r="BA7337" t="str">
            <v/>
          </cell>
        </row>
        <row r="7338">
          <cell r="B7338" t="str">
            <v>-</v>
          </cell>
          <cell r="E7338" t="str">
            <v/>
          </cell>
          <cell r="G7338" t="str">
            <v/>
          </cell>
          <cell r="J7338" t="str">
            <v/>
          </cell>
          <cell r="O7338" t="str">
            <v/>
          </cell>
          <cell r="P7338" t="str">
            <v/>
          </cell>
          <cell r="Q7338" t="str">
            <v/>
          </cell>
          <cell r="S7338" t="str">
            <v/>
          </cell>
          <cell r="V7338" t="str">
            <v/>
          </cell>
          <cell r="Z7338" t="str">
            <v/>
          </cell>
          <cell r="AA7338" t="str">
            <v/>
          </cell>
          <cell r="AB7338" t="str">
            <v/>
          </cell>
          <cell r="AC7338" t="str">
            <v/>
          </cell>
          <cell r="AD7338" t="str">
            <v/>
          </cell>
          <cell r="AY7338" t="str">
            <v/>
          </cell>
          <cell r="AZ7338" t="str">
            <v/>
          </cell>
          <cell r="BA7338" t="str">
            <v/>
          </cell>
        </row>
        <row r="7339">
          <cell r="B7339" t="str">
            <v>-</v>
          </cell>
          <cell r="E7339" t="str">
            <v/>
          </cell>
          <cell r="G7339" t="str">
            <v/>
          </cell>
          <cell r="J7339" t="str">
            <v/>
          </cell>
          <cell r="O7339" t="str">
            <v/>
          </cell>
          <cell r="P7339" t="str">
            <v/>
          </cell>
          <cell r="Q7339" t="str">
            <v/>
          </cell>
          <cell r="S7339" t="str">
            <v/>
          </cell>
          <cell r="V7339" t="str">
            <v/>
          </cell>
          <cell r="Z7339" t="str">
            <v/>
          </cell>
          <cell r="AA7339" t="str">
            <v/>
          </cell>
          <cell r="AB7339" t="str">
            <v/>
          </cell>
          <cell r="AC7339" t="str">
            <v/>
          </cell>
          <cell r="AD7339" t="str">
            <v/>
          </cell>
          <cell r="AY7339" t="str">
            <v/>
          </cell>
          <cell r="AZ7339" t="str">
            <v/>
          </cell>
          <cell r="BA7339" t="str">
            <v/>
          </cell>
        </row>
        <row r="7340">
          <cell r="B7340" t="str">
            <v>-</v>
          </cell>
          <cell r="E7340" t="str">
            <v/>
          </cell>
          <cell r="G7340" t="str">
            <v/>
          </cell>
          <cell r="J7340" t="str">
            <v/>
          </cell>
          <cell r="O7340" t="str">
            <v/>
          </cell>
          <cell r="P7340" t="str">
            <v/>
          </cell>
          <cell r="Q7340" t="str">
            <v/>
          </cell>
          <cell r="S7340" t="str">
            <v/>
          </cell>
          <cell r="V7340" t="str">
            <v/>
          </cell>
          <cell r="Z7340" t="str">
            <v/>
          </cell>
          <cell r="AA7340" t="str">
            <v/>
          </cell>
          <cell r="AB7340" t="str">
            <v/>
          </cell>
          <cell r="AC7340" t="str">
            <v/>
          </cell>
          <cell r="AD7340" t="str">
            <v/>
          </cell>
          <cell r="AY7340" t="str">
            <v/>
          </cell>
          <cell r="AZ7340" t="str">
            <v/>
          </cell>
          <cell r="BA7340" t="str">
            <v/>
          </cell>
        </row>
        <row r="7341">
          <cell r="B7341" t="str">
            <v>-</v>
          </cell>
          <cell r="E7341" t="str">
            <v/>
          </cell>
          <cell r="G7341" t="str">
            <v/>
          </cell>
          <cell r="J7341" t="str">
            <v/>
          </cell>
          <cell r="O7341" t="str">
            <v/>
          </cell>
          <cell r="P7341" t="str">
            <v/>
          </cell>
          <cell r="Q7341" t="str">
            <v/>
          </cell>
          <cell r="S7341" t="str">
            <v/>
          </cell>
          <cell r="V7341" t="str">
            <v/>
          </cell>
          <cell r="Z7341" t="str">
            <v/>
          </cell>
          <cell r="AA7341" t="str">
            <v/>
          </cell>
          <cell r="AB7341" t="str">
            <v/>
          </cell>
          <cell r="AC7341" t="str">
            <v/>
          </cell>
          <cell r="AD7341" t="str">
            <v/>
          </cell>
          <cell r="AY7341" t="str">
            <v/>
          </cell>
          <cell r="AZ7341" t="str">
            <v/>
          </cell>
          <cell r="BA7341" t="str">
            <v/>
          </cell>
        </row>
        <row r="7342">
          <cell r="B7342" t="str">
            <v>-</v>
          </cell>
          <cell r="E7342" t="str">
            <v/>
          </cell>
          <cell r="G7342" t="str">
            <v/>
          </cell>
          <cell r="J7342" t="str">
            <v/>
          </cell>
          <cell r="O7342" t="str">
            <v/>
          </cell>
          <cell r="P7342" t="str">
            <v/>
          </cell>
          <cell r="Q7342" t="str">
            <v/>
          </cell>
          <cell r="S7342" t="str">
            <v/>
          </cell>
          <cell r="V7342" t="str">
            <v/>
          </cell>
          <cell r="Z7342" t="str">
            <v/>
          </cell>
          <cell r="AA7342" t="str">
            <v/>
          </cell>
          <cell r="AB7342" t="str">
            <v/>
          </cell>
          <cell r="AC7342" t="str">
            <v/>
          </cell>
          <cell r="AD7342" t="str">
            <v/>
          </cell>
          <cell r="AY7342" t="str">
            <v/>
          </cell>
          <cell r="AZ7342" t="str">
            <v/>
          </cell>
          <cell r="BA7342" t="str">
            <v/>
          </cell>
        </row>
        <row r="7343">
          <cell r="B7343" t="str">
            <v>-</v>
          </cell>
          <cell r="E7343" t="str">
            <v/>
          </cell>
          <cell r="G7343" t="str">
            <v/>
          </cell>
          <cell r="J7343" t="str">
            <v/>
          </cell>
          <cell r="O7343" t="str">
            <v/>
          </cell>
          <cell r="P7343" t="str">
            <v/>
          </cell>
          <cell r="Q7343" t="str">
            <v/>
          </cell>
          <cell r="S7343" t="str">
            <v/>
          </cell>
          <cell r="V7343" t="str">
            <v/>
          </cell>
          <cell r="Z7343" t="str">
            <v/>
          </cell>
          <cell r="AA7343" t="str">
            <v/>
          </cell>
          <cell r="AB7343" t="str">
            <v/>
          </cell>
          <cell r="AC7343" t="str">
            <v/>
          </cell>
          <cell r="AD7343" t="str">
            <v/>
          </cell>
          <cell r="AY7343" t="str">
            <v/>
          </cell>
          <cell r="AZ7343" t="str">
            <v/>
          </cell>
          <cell r="BA7343" t="str">
            <v/>
          </cell>
        </row>
        <row r="7344">
          <cell r="B7344" t="str">
            <v>-</v>
          </cell>
          <cell r="E7344" t="str">
            <v/>
          </cell>
          <cell r="G7344" t="str">
            <v/>
          </cell>
          <cell r="J7344" t="str">
            <v/>
          </cell>
          <cell r="O7344" t="str">
            <v/>
          </cell>
          <cell r="P7344" t="str">
            <v/>
          </cell>
          <cell r="Q7344" t="str">
            <v/>
          </cell>
          <cell r="S7344" t="str">
            <v/>
          </cell>
          <cell r="V7344" t="str">
            <v/>
          </cell>
          <cell r="Z7344" t="str">
            <v/>
          </cell>
          <cell r="AA7344" t="str">
            <v/>
          </cell>
          <cell r="AB7344" t="str">
            <v/>
          </cell>
          <cell r="AC7344" t="str">
            <v/>
          </cell>
          <cell r="AD7344" t="str">
            <v/>
          </cell>
          <cell r="AY7344" t="str">
            <v/>
          </cell>
          <cell r="AZ7344" t="str">
            <v/>
          </cell>
          <cell r="BA7344" t="str">
            <v/>
          </cell>
        </row>
        <row r="7345">
          <cell r="B7345" t="str">
            <v>-</v>
          </cell>
          <cell r="E7345" t="str">
            <v/>
          </cell>
          <cell r="G7345" t="str">
            <v/>
          </cell>
          <cell r="J7345" t="str">
            <v/>
          </cell>
          <cell r="O7345" t="str">
            <v/>
          </cell>
          <cell r="P7345" t="str">
            <v/>
          </cell>
          <cell r="Q7345" t="str">
            <v/>
          </cell>
          <cell r="S7345" t="str">
            <v/>
          </cell>
          <cell r="V7345" t="str">
            <v/>
          </cell>
          <cell r="Z7345" t="str">
            <v/>
          </cell>
          <cell r="AA7345" t="str">
            <v/>
          </cell>
          <cell r="AB7345" t="str">
            <v/>
          </cell>
          <cell r="AC7345" t="str">
            <v/>
          </cell>
          <cell r="AD7345" t="str">
            <v/>
          </cell>
          <cell r="AY7345" t="str">
            <v/>
          </cell>
          <cell r="AZ7345" t="str">
            <v/>
          </cell>
          <cell r="BA7345" t="str">
            <v/>
          </cell>
        </row>
        <row r="7346">
          <cell r="B7346" t="str">
            <v>-</v>
          </cell>
          <cell r="E7346" t="str">
            <v/>
          </cell>
          <cell r="G7346" t="str">
            <v/>
          </cell>
          <cell r="J7346" t="str">
            <v/>
          </cell>
          <cell r="O7346" t="str">
            <v/>
          </cell>
          <cell r="P7346" t="str">
            <v/>
          </cell>
          <cell r="Q7346" t="str">
            <v/>
          </cell>
          <cell r="S7346" t="str">
            <v/>
          </cell>
          <cell r="V7346" t="str">
            <v/>
          </cell>
          <cell r="Z7346" t="str">
            <v/>
          </cell>
          <cell r="AA7346" t="str">
            <v/>
          </cell>
          <cell r="AB7346" t="str">
            <v/>
          </cell>
          <cell r="AC7346" t="str">
            <v/>
          </cell>
          <cell r="AD7346" t="str">
            <v/>
          </cell>
          <cell r="AY7346" t="str">
            <v/>
          </cell>
          <cell r="AZ7346" t="str">
            <v/>
          </cell>
          <cell r="BA7346" t="str">
            <v/>
          </cell>
        </row>
        <row r="7347">
          <cell r="B7347" t="str">
            <v>-</v>
          </cell>
          <cell r="E7347" t="str">
            <v/>
          </cell>
          <cell r="G7347" t="str">
            <v/>
          </cell>
          <cell r="J7347" t="str">
            <v/>
          </cell>
          <cell r="O7347" t="str">
            <v/>
          </cell>
          <cell r="P7347" t="str">
            <v/>
          </cell>
          <cell r="Q7347" t="str">
            <v/>
          </cell>
          <cell r="S7347" t="str">
            <v/>
          </cell>
          <cell r="V7347" t="str">
            <v/>
          </cell>
          <cell r="Z7347" t="str">
            <v/>
          </cell>
          <cell r="AA7347" t="str">
            <v/>
          </cell>
          <cell r="AB7347" t="str">
            <v/>
          </cell>
          <cell r="AC7347" t="str">
            <v/>
          </cell>
          <cell r="AD7347" t="str">
            <v/>
          </cell>
          <cell r="AY7347" t="str">
            <v/>
          </cell>
          <cell r="AZ7347" t="str">
            <v/>
          </cell>
          <cell r="BA7347" t="str">
            <v/>
          </cell>
        </row>
        <row r="7348">
          <cell r="B7348" t="str">
            <v>-</v>
          </cell>
          <cell r="E7348" t="str">
            <v/>
          </cell>
          <cell r="G7348" t="str">
            <v/>
          </cell>
          <cell r="J7348" t="str">
            <v/>
          </cell>
          <cell r="O7348" t="str">
            <v/>
          </cell>
          <cell r="P7348" t="str">
            <v/>
          </cell>
          <cell r="Q7348" t="str">
            <v/>
          </cell>
          <cell r="S7348" t="str">
            <v/>
          </cell>
          <cell r="V7348" t="str">
            <v/>
          </cell>
          <cell r="Z7348" t="str">
            <v/>
          </cell>
          <cell r="AA7348" t="str">
            <v/>
          </cell>
          <cell r="AB7348" t="str">
            <v/>
          </cell>
          <cell r="AC7348" t="str">
            <v/>
          </cell>
          <cell r="AD7348" t="str">
            <v/>
          </cell>
          <cell r="AY7348" t="str">
            <v/>
          </cell>
          <cell r="AZ7348" t="str">
            <v/>
          </cell>
          <cell r="BA7348" t="str">
            <v/>
          </cell>
        </row>
        <row r="7349">
          <cell r="B7349" t="str">
            <v>-</v>
          </cell>
          <cell r="E7349" t="str">
            <v/>
          </cell>
          <cell r="G7349" t="str">
            <v/>
          </cell>
          <cell r="J7349" t="str">
            <v/>
          </cell>
          <cell r="O7349" t="str">
            <v/>
          </cell>
          <cell r="P7349" t="str">
            <v/>
          </cell>
          <cell r="Q7349" t="str">
            <v/>
          </cell>
          <cell r="S7349" t="str">
            <v/>
          </cell>
          <cell r="V7349" t="str">
            <v/>
          </cell>
          <cell r="Z7349" t="str">
            <v/>
          </cell>
          <cell r="AA7349" t="str">
            <v/>
          </cell>
          <cell r="AB7349" t="str">
            <v/>
          </cell>
          <cell r="AC7349" t="str">
            <v/>
          </cell>
          <cell r="AD7349" t="str">
            <v/>
          </cell>
          <cell r="AY7349" t="str">
            <v/>
          </cell>
          <cell r="AZ7349" t="str">
            <v/>
          </cell>
          <cell r="BA7349" t="str">
            <v/>
          </cell>
        </row>
        <row r="7350">
          <cell r="B7350" t="str">
            <v>-</v>
          </cell>
          <cell r="E7350" t="str">
            <v/>
          </cell>
          <cell r="G7350" t="str">
            <v/>
          </cell>
          <cell r="J7350" t="str">
            <v/>
          </cell>
          <cell r="O7350" t="str">
            <v/>
          </cell>
          <cell r="P7350" t="str">
            <v/>
          </cell>
          <cell r="Q7350" t="str">
            <v/>
          </cell>
          <cell r="S7350" t="str">
            <v/>
          </cell>
          <cell r="V7350" t="str">
            <v/>
          </cell>
          <cell r="Z7350" t="str">
            <v/>
          </cell>
          <cell r="AA7350" t="str">
            <v/>
          </cell>
          <cell r="AB7350" t="str">
            <v/>
          </cell>
          <cell r="AC7350" t="str">
            <v/>
          </cell>
          <cell r="AD7350" t="str">
            <v/>
          </cell>
          <cell r="AY7350" t="str">
            <v/>
          </cell>
          <cell r="AZ7350" t="str">
            <v/>
          </cell>
          <cell r="BA7350" t="str">
            <v/>
          </cell>
        </row>
        <row r="7351">
          <cell r="B7351" t="str">
            <v>-</v>
          </cell>
          <cell r="E7351" t="str">
            <v/>
          </cell>
          <cell r="G7351" t="str">
            <v/>
          </cell>
          <cell r="J7351" t="str">
            <v/>
          </cell>
          <cell r="O7351" t="str">
            <v/>
          </cell>
          <cell r="P7351" t="str">
            <v/>
          </cell>
          <cell r="Q7351" t="str">
            <v/>
          </cell>
          <cell r="S7351" t="str">
            <v/>
          </cell>
          <cell r="V7351" t="str">
            <v/>
          </cell>
          <cell r="Z7351" t="str">
            <v/>
          </cell>
          <cell r="AA7351" t="str">
            <v/>
          </cell>
          <cell r="AB7351" t="str">
            <v/>
          </cell>
          <cell r="AC7351" t="str">
            <v/>
          </cell>
          <cell r="AD7351" t="str">
            <v/>
          </cell>
          <cell r="AY7351" t="str">
            <v/>
          </cell>
          <cell r="AZ7351" t="str">
            <v/>
          </cell>
          <cell r="BA7351" t="str">
            <v/>
          </cell>
        </row>
        <row r="7352">
          <cell r="B7352" t="str">
            <v>-</v>
          </cell>
          <cell r="E7352" t="str">
            <v/>
          </cell>
          <cell r="G7352" t="str">
            <v/>
          </cell>
          <cell r="J7352" t="str">
            <v/>
          </cell>
          <cell r="O7352" t="str">
            <v/>
          </cell>
          <cell r="P7352" t="str">
            <v/>
          </cell>
          <cell r="Q7352" t="str">
            <v/>
          </cell>
          <cell r="S7352" t="str">
            <v/>
          </cell>
          <cell r="V7352" t="str">
            <v/>
          </cell>
          <cell r="Z7352" t="str">
            <v/>
          </cell>
          <cell r="AA7352" t="str">
            <v/>
          </cell>
          <cell r="AB7352" t="str">
            <v/>
          </cell>
          <cell r="AC7352" t="str">
            <v/>
          </cell>
          <cell r="AD7352" t="str">
            <v/>
          </cell>
          <cell r="AY7352" t="str">
            <v/>
          </cell>
          <cell r="AZ7352" t="str">
            <v/>
          </cell>
          <cell r="BA7352" t="str">
            <v/>
          </cell>
        </row>
        <row r="7353">
          <cell r="B7353" t="str">
            <v>-</v>
          </cell>
          <cell r="E7353" t="str">
            <v/>
          </cell>
          <cell r="G7353" t="str">
            <v/>
          </cell>
          <cell r="J7353" t="str">
            <v/>
          </cell>
          <cell r="O7353" t="str">
            <v/>
          </cell>
          <cell r="P7353" t="str">
            <v/>
          </cell>
          <cell r="Q7353" t="str">
            <v/>
          </cell>
          <cell r="S7353" t="str">
            <v/>
          </cell>
          <cell r="V7353" t="str">
            <v/>
          </cell>
          <cell r="Z7353" t="str">
            <v/>
          </cell>
          <cell r="AA7353" t="str">
            <v/>
          </cell>
          <cell r="AB7353" t="str">
            <v/>
          </cell>
          <cell r="AC7353" t="str">
            <v/>
          </cell>
          <cell r="AD7353" t="str">
            <v/>
          </cell>
          <cell r="AY7353" t="str">
            <v/>
          </cell>
          <cell r="AZ7353" t="str">
            <v/>
          </cell>
          <cell r="BA7353" t="str">
            <v/>
          </cell>
        </row>
        <row r="7354">
          <cell r="B7354" t="str">
            <v>-</v>
          </cell>
          <cell r="E7354" t="str">
            <v/>
          </cell>
          <cell r="G7354" t="str">
            <v/>
          </cell>
          <cell r="J7354" t="str">
            <v/>
          </cell>
          <cell r="O7354" t="str">
            <v/>
          </cell>
          <cell r="P7354" t="str">
            <v/>
          </cell>
          <cell r="Q7354" t="str">
            <v/>
          </cell>
          <cell r="S7354" t="str">
            <v/>
          </cell>
          <cell r="V7354" t="str">
            <v/>
          </cell>
          <cell r="Z7354" t="str">
            <v/>
          </cell>
          <cell r="AA7354" t="str">
            <v/>
          </cell>
          <cell r="AB7354" t="str">
            <v/>
          </cell>
          <cell r="AC7354" t="str">
            <v/>
          </cell>
          <cell r="AD7354" t="str">
            <v/>
          </cell>
          <cell r="AY7354" t="str">
            <v/>
          </cell>
          <cell r="AZ7354" t="str">
            <v/>
          </cell>
          <cell r="BA7354" t="str">
            <v/>
          </cell>
        </row>
        <row r="7355">
          <cell r="B7355" t="str">
            <v>-</v>
          </cell>
          <cell r="E7355" t="str">
            <v/>
          </cell>
          <cell r="G7355" t="str">
            <v/>
          </cell>
          <cell r="J7355" t="str">
            <v/>
          </cell>
          <cell r="O7355" t="str">
            <v/>
          </cell>
          <cell r="P7355" t="str">
            <v/>
          </cell>
          <cell r="Q7355" t="str">
            <v/>
          </cell>
          <cell r="S7355" t="str">
            <v/>
          </cell>
          <cell r="V7355" t="str">
            <v/>
          </cell>
          <cell r="Z7355" t="str">
            <v/>
          </cell>
          <cell r="AA7355" t="str">
            <v/>
          </cell>
          <cell r="AB7355" t="str">
            <v/>
          </cell>
          <cell r="AC7355" t="str">
            <v/>
          </cell>
          <cell r="AD7355" t="str">
            <v/>
          </cell>
          <cell r="AY7355" t="str">
            <v/>
          </cell>
          <cell r="AZ7355" t="str">
            <v/>
          </cell>
          <cell r="BA7355" t="str">
            <v/>
          </cell>
        </row>
        <row r="7356">
          <cell r="B7356" t="str">
            <v>-</v>
          </cell>
          <cell r="E7356" t="str">
            <v/>
          </cell>
          <cell r="G7356" t="str">
            <v/>
          </cell>
          <cell r="J7356" t="str">
            <v/>
          </cell>
          <cell r="O7356" t="str">
            <v/>
          </cell>
          <cell r="P7356" t="str">
            <v/>
          </cell>
          <cell r="Q7356" t="str">
            <v/>
          </cell>
          <cell r="S7356" t="str">
            <v/>
          </cell>
          <cell r="V7356" t="str">
            <v/>
          </cell>
          <cell r="Z7356" t="str">
            <v/>
          </cell>
          <cell r="AA7356" t="str">
            <v/>
          </cell>
          <cell r="AB7356" t="str">
            <v/>
          </cell>
          <cell r="AC7356" t="str">
            <v/>
          </cell>
          <cell r="AD7356" t="str">
            <v/>
          </cell>
          <cell r="AY7356" t="str">
            <v/>
          </cell>
          <cell r="AZ7356" t="str">
            <v/>
          </cell>
          <cell r="BA7356" t="str">
            <v/>
          </cell>
        </row>
        <row r="7357">
          <cell r="B7357" t="str">
            <v>-</v>
          </cell>
          <cell r="E7357" t="str">
            <v/>
          </cell>
          <cell r="G7357" t="str">
            <v/>
          </cell>
          <cell r="J7357" t="str">
            <v/>
          </cell>
          <cell r="O7357" t="str">
            <v/>
          </cell>
          <cell r="P7357" t="str">
            <v/>
          </cell>
          <cell r="Q7357" t="str">
            <v/>
          </cell>
          <cell r="S7357" t="str">
            <v/>
          </cell>
          <cell r="V7357" t="str">
            <v/>
          </cell>
          <cell r="Z7357" t="str">
            <v/>
          </cell>
          <cell r="AA7357" t="str">
            <v/>
          </cell>
          <cell r="AB7357" t="str">
            <v/>
          </cell>
          <cell r="AC7357" t="str">
            <v/>
          </cell>
          <cell r="AD7357" t="str">
            <v/>
          </cell>
          <cell r="AY7357" t="str">
            <v/>
          </cell>
          <cell r="AZ7357" t="str">
            <v/>
          </cell>
          <cell r="BA7357" t="str">
            <v/>
          </cell>
        </row>
        <row r="7358">
          <cell r="B7358" t="str">
            <v>-</v>
          </cell>
          <cell r="E7358" t="str">
            <v/>
          </cell>
          <cell r="G7358" t="str">
            <v/>
          </cell>
          <cell r="J7358" t="str">
            <v/>
          </cell>
          <cell r="O7358" t="str">
            <v/>
          </cell>
          <cell r="P7358" t="str">
            <v/>
          </cell>
          <cell r="Q7358" t="str">
            <v/>
          </cell>
          <cell r="S7358" t="str">
            <v/>
          </cell>
          <cell r="V7358" t="str">
            <v/>
          </cell>
          <cell r="Z7358" t="str">
            <v/>
          </cell>
          <cell r="AA7358" t="str">
            <v/>
          </cell>
          <cell r="AB7358" t="str">
            <v/>
          </cell>
          <cell r="AC7358" t="str">
            <v/>
          </cell>
          <cell r="AD7358" t="str">
            <v/>
          </cell>
          <cell r="AY7358" t="str">
            <v/>
          </cell>
          <cell r="AZ7358" t="str">
            <v/>
          </cell>
          <cell r="BA7358" t="str">
            <v/>
          </cell>
        </row>
        <row r="7359">
          <cell r="B7359" t="str">
            <v>-</v>
          </cell>
          <cell r="E7359" t="str">
            <v/>
          </cell>
          <cell r="G7359" t="str">
            <v/>
          </cell>
          <cell r="J7359" t="str">
            <v/>
          </cell>
          <cell r="O7359" t="str">
            <v/>
          </cell>
          <cell r="P7359" t="str">
            <v/>
          </cell>
          <cell r="Q7359" t="str">
            <v/>
          </cell>
          <cell r="S7359" t="str">
            <v/>
          </cell>
          <cell r="V7359" t="str">
            <v/>
          </cell>
          <cell r="Z7359" t="str">
            <v/>
          </cell>
          <cell r="AA7359" t="str">
            <v/>
          </cell>
          <cell r="AB7359" t="str">
            <v/>
          </cell>
          <cell r="AC7359" t="str">
            <v/>
          </cell>
          <cell r="AD7359" t="str">
            <v/>
          </cell>
          <cell r="AY7359" t="str">
            <v/>
          </cell>
          <cell r="AZ7359" t="str">
            <v/>
          </cell>
          <cell r="BA7359" t="str">
            <v/>
          </cell>
        </row>
        <row r="7360">
          <cell r="B7360" t="str">
            <v>-</v>
          </cell>
          <cell r="E7360" t="str">
            <v/>
          </cell>
          <cell r="G7360" t="str">
            <v/>
          </cell>
          <cell r="J7360" t="str">
            <v/>
          </cell>
          <cell r="O7360" t="str">
            <v/>
          </cell>
          <cell r="P7360" t="str">
            <v/>
          </cell>
          <cell r="Q7360" t="str">
            <v/>
          </cell>
          <cell r="S7360" t="str">
            <v/>
          </cell>
          <cell r="V7360" t="str">
            <v/>
          </cell>
          <cell r="Z7360" t="str">
            <v/>
          </cell>
          <cell r="AA7360" t="str">
            <v/>
          </cell>
          <cell r="AB7360" t="str">
            <v/>
          </cell>
          <cell r="AC7360" t="str">
            <v/>
          </cell>
          <cell r="AD7360" t="str">
            <v/>
          </cell>
          <cell r="AY7360" t="str">
            <v/>
          </cell>
          <cell r="AZ7360" t="str">
            <v/>
          </cell>
          <cell r="BA7360" t="str">
            <v/>
          </cell>
        </row>
        <row r="7361">
          <cell r="B7361" t="str">
            <v>-</v>
          </cell>
          <cell r="E7361" t="str">
            <v/>
          </cell>
          <cell r="G7361" t="str">
            <v/>
          </cell>
          <cell r="J7361" t="str">
            <v/>
          </cell>
          <cell r="O7361" t="str">
            <v/>
          </cell>
          <cell r="P7361" t="str">
            <v/>
          </cell>
          <cell r="Q7361" t="str">
            <v/>
          </cell>
          <cell r="S7361" t="str">
            <v/>
          </cell>
          <cell r="V7361" t="str">
            <v/>
          </cell>
          <cell r="Z7361" t="str">
            <v/>
          </cell>
          <cell r="AA7361" t="str">
            <v/>
          </cell>
          <cell r="AB7361" t="str">
            <v/>
          </cell>
          <cell r="AC7361" t="str">
            <v/>
          </cell>
          <cell r="AD7361" t="str">
            <v/>
          </cell>
          <cell r="AY7361" t="str">
            <v/>
          </cell>
          <cell r="AZ7361" t="str">
            <v/>
          </cell>
          <cell r="BA7361" t="str">
            <v/>
          </cell>
        </row>
        <row r="7362">
          <cell r="B7362" t="str">
            <v>-</v>
          </cell>
          <cell r="E7362" t="str">
            <v/>
          </cell>
          <cell r="G7362" t="str">
            <v/>
          </cell>
          <cell r="J7362" t="str">
            <v/>
          </cell>
          <cell r="O7362" t="str">
            <v/>
          </cell>
          <cell r="P7362" t="str">
            <v/>
          </cell>
          <cell r="Q7362" t="str">
            <v/>
          </cell>
          <cell r="S7362" t="str">
            <v/>
          </cell>
          <cell r="V7362" t="str">
            <v/>
          </cell>
          <cell r="Z7362" t="str">
            <v/>
          </cell>
          <cell r="AA7362" t="str">
            <v/>
          </cell>
          <cell r="AB7362" t="str">
            <v/>
          </cell>
          <cell r="AC7362" t="str">
            <v/>
          </cell>
          <cell r="AD7362" t="str">
            <v/>
          </cell>
          <cell r="AY7362" t="str">
            <v/>
          </cell>
          <cell r="AZ7362" t="str">
            <v/>
          </cell>
          <cell r="BA7362" t="str">
            <v/>
          </cell>
        </row>
        <row r="7363">
          <cell r="B7363" t="str">
            <v>-</v>
          </cell>
          <cell r="E7363" t="str">
            <v/>
          </cell>
          <cell r="G7363" t="str">
            <v/>
          </cell>
          <cell r="J7363" t="str">
            <v/>
          </cell>
          <cell r="O7363" t="str">
            <v/>
          </cell>
          <cell r="P7363" t="str">
            <v/>
          </cell>
          <cell r="Q7363" t="str">
            <v/>
          </cell>
          <cell r="S7363" t="str">
            <v/>
          </cell>
          <cell r="V7363" t="str">
            <v/>
          </cell>
          <cell r="Z7363" t="str">
            <v/>
          </cell>
          <cell r="AA7363" t="str">
            <v/>
          </cell>
          <cell r="AB7363" t="str">
            <v/>
          </cell>
          <cell r="AC7363" t="str">
            <v/>
          </cell>
          <cell r="AD7363" t="str">
            <v/>
          </cell>
          <cell r="AY7363" t="str">
            <v/>
          </cell>
          <cell r="AZ7363" t="str">
            <v/>
          </cell>
          <cell r="BA7363" t="str">
            <v/>
          </cell>
        </row>
        <row r="7364">
          <cell r="B7364" t="str">
            <v>-</v>
          </cell>
          <cell r="E7364" t="str">
            <v/>
          </cell>
          <cell r="G7364" t="str">
            <v/>
          </cell>
          <cell r="J7364" t="str">
            <v/>
          </cell>
          <cell r="O7364" t="str">
            <v/>
          </cell>
          <cell r="P7364" t="str">
            <v/>
          </cell>
          <cell r="Q7364" t="str">
            <v/>
          </cell>
          <cell r="S7364" t="str">
            <v/>
          </cell>
          <cell r="V7364" t="str">
            <v/>
          </cell>
          <cell r="Z7364" t="str">
            <v/>
          </cell>
          <cell r="AA7364" t="str">
            <v/>
          </cell>
          <cell r="AB7364" t="str">
            <v/>
          </cell>
          <cell r="AC7364" t="str">
            <v/>
          </cell>
          <cell r="AD7364" t="str">
            <v/>
          </cell>
          <cell r="AY7364" t="str">
            <v/>
          </cell>
          <cell r="AZ7364" t="str">
            <v/>
          </cell>
          <cell r="BA7364" t="str">
            <v/>
          </cell>
        </row>
        <row r="7365">
          <cell r="B7365" t="str">
            <v>-</v>
          </cell>
          <cell r="E7365" t="str">
            <v/>
          </cell>
          <cell r="G7365" t="str">
            <v/>
          </cell>
          <cell r="J7365" t="str">
            <v/>
          </cell>
          <cell r="O7365" t="str">
            <v/>
          </cell>
          <cell r="P7365" t="str">
            <v/>
          </cell>
          <cell r="Q7365" t="str">
            <v/>
          </cell>
          <cell r="S7365" t="str">
            <v/>
          </cell>
          <cell r="V7365" t="str">
            <v/>
          </cell>
          <cell r="Z7365" t="str">
            <v/>
          </cell>
          <cell r="AA7365" t="str">
            <v/>
          </cell>
          <cell r="AB7365" t="str">
            <v/>
          </cell>
          <cell r="AC7365" t="str">
            <v/>
          </cell>
          <cell r="AD7365" t="str">
            <v/>
          </cell>
          <cell r="AY7365" t="str">
            <v/>
          </cell>
          <cell r="AZ7365" t="str">
            <v/>
          </cell>
          <cell r="BA7365" t="str">
            <v/>
          </cell>
        </row>
        <row r="7366">
          <cell r="B7366" t="str">
            <v>-</v>
          </cell>
          <cell r="E7366" t="str">
            <v/>
          </cell>
          <cell r="G7366" t="str">
            <v/>
          </cell>
          <cell r="J7366" t="str">
            <v/>
          </cell>
          <cell r="O7366" t="str">
            <v/>
          </cell>
          <cell r="P7366" t="str">
            <v/>
          </cell>
          <cell r="Q7366" t="str">
            <v/>
          </cell>
          <cell r="S7366" t="str">
            <v/>
          </cell>
          <cell r="V7366" t="str">
            <v/>
          </cell>
          <cell r="Z7366" t="str">
            <v/>
          </cell>
          <cell r="AA7366" t="str">
            <v/>
          </cell>
          <cell r="AB7366" t="str">
            <v/>
          </cell>
          <cell r="AC7366" t="str">
            <v/>
          </cell>
          <cell r="AD7366" t="str">
            <v/>
          </cell>
          <cell r="AY7366" t="str">
            <v/>
          </cell>
          <cell r="AZ7366" t="str">
            <v/>
          </cell>
          <cell r="BA7366" t="str">
            <v/>
          </cell>
        </row>
        <row r="7367">
          <cell r="B7367" t="str">
            <v>-</v>
          </cell>
          <cell r="E7367" t="str">
            <v/>
          </cell>
          <cell r="G7367" t="str">
            <v/>
          </cell>
          <cell r="J7367" t="str">
            <v/>
          </cell>
          <cell r="O7367" t="str">
            <v/>
          </cell>
          <cell r="P7367" t="str">
            <v/>
          </cell>
          <cell r="Q7367" t="str">
            <v/>
          </cell>
          <cell r="S7367" t="str">
            <v/>
          </cell>
          <cell r="V7367" t="str">
            <v/>
          </cell>
          <cell r="Z7367" t="str">
            <v/>
          </cell>
          <cell r="AA7367" t="str">
            <v/>
          </cell>
          <cell r="AB7367" t="str">
            <v/>
          </cell>
          <cell r="AC7367" t="str">
            <v/>
          </cell>
          <cell r="AD7367" t="str">
            <v/>
          </cell>
          <cell r="AY7367" t="str">
            <v/>
          </cell>
          <cell r="AZ7367" t="str">
            <v/>
          </cell>
          <cell r="BA7367" t="str">
            <v/>
          </cell>
        </row>
        <row r="7368">
          <cell r="B7368" t="str">
            <v>-</v>
          </cell>
          <cell r="E7368" t="str">
            <v/>
          </cell>
          <cell r="G7368" t="str">
            <v/>
          </cell>
          <cell r="J7368" t="str">
            <v/>
          </cell>
          <cell r="O7368" t="str">
            <v/>
          </cell>
          <cell r="P7368" t="str">
            <v/>
          </cell>
          <cell r="Q7368" t="str">
            <v/>
          </cell>
          <cell r="S7368" t="str">
            <v/>
          </cell>
          <cell r="V7368" t="str">
            <v/>
          </cell>
          <cell r="Z7368" t="str">
            <v/>
          </cell>
          <cell r="AA7368" t="str">
            <v/>
          </cell>
          <cell r="AB7368" t="str">
            <v/>
          </cell>
          <cell r="AC7368" t="str">
            <v/>
          </cell>
          <cell r="AD7368" t="str">
            <v/>
          </cell>
          <cell r="AY7368" t="str">
            <v/>
          </cell>
          <cell r="AZ7368" t="str">
            <v/>
          </cell>
          <cell r="BA7368" t="str">
            <v/>
          </cell>
        </row>
        <row r="7369">
          <cell r="B7369" t="str">
            <v>-</v>
          </cell>
          <cell r="E7369" t="str">
            <v/>
          </cell>
          <cell r="G7369" t="str">
            <v/>
          </cell>
          <cell r="J7369" t="str">
            <v/>
          </cell>
          <cell r="O7369" t="str">
            <v/>
          </cell>
          <cell r="P7369" t="str">
            <v/>
          </cell>
          <cell r="Q7369" t="str">
            <v/>
          </cell>
          <cell r="S7369" t="str">
            <v/>
          </cell>
          <cell r="V7369" t="str">
            <v/>
          </cell>
          <cell r="Z7369" t="str">
            <v/>
          </cell>
          <cell r="AA7369" t="str">
            <v/>
          </cell>
          <cell r="AB7369" t="str">
            <v/>
          </cell>
          <cell r="AC7369" t="str">
            <v/>
          </cell>
          <cell r="AD7369" t="str">
            <v/>
          </cell>
          <cell r="AY7369" t="str">
            <v/>
          </cell>
          <cell r="AZ7369" t="str">
            <v/>
          </cell>
          <cell r="BA7369" t="str">
            <v/>
          </cell>
        </row>
        <row r="7370">
          <cell r="B7370" t="str">
            <v>-</v>
          </cell>
          <cell r="E7370" t="str">
            <v/>
          </cell>
          <cell r="G7370" t="str">
            <v/>
          </cell>
          <cell r="J7370" t="str">
            <v/>
          </cell>
          <cell r="O7370" t="str">
            <v/>
          </cell>
          <cell r="P7370" t="str">
            <v/>
          </cell>
          <cell r="Q7370" t="str">
            <v/>
          </cell>
          <cell r="S7370" t="str">
            <v/>
          </cell>
          <cell r="V7370" t="str">
            <v/>
          </cell>
          <cell r="Z7370" t="str">
            <v/>
          </cell>
          <cell r="AA7370" t="str">
            <v/>
          </cell>
          <cell r="AB7370" t="str">
            <v/>
          </cell>
          <cell r="AC7370" t="str">
            <v/>
          </cell>
          <cell r="AD7370" t="str">
            <v/>
          </cell>
          <cell r="AY7370" t="str">
            <v/>
          </cell>
          <cell r="AZ7370" t="str">
            <v/>
          </cell>
          <cell r="BA7370" t="str">
            <v/>
          </cell>
        </row>
        <row r="7371">
          <cell r="B7371" t="str">
            <v>-</v>
          </cell>
          <cell r="E7371" t="str">
            <v/>
          </cell>
          <cell r="G7371" t="str">
            <v/>
          </cell>
          <cell r="J7371" t="str">
            <v/>
          </cell>
          <cell r="O7371" t="str">
            <v/>
          </cell>
          <cell r="P7371" t="str">
            <v/>
          </cell>
          <cell r="Q7371" t="str">
            <v/>
          </cell>
          <cell r="S7371" t="str">
            <v/>
          </cell>
          <cell r="V7371" t="str">
            <v/>
          </cell>
          <cell r="Z7371" t="str">
            <v/>
          </cell>
          <cell r="AA7371" t="str">
            <v/>
          </cell>
          <cell r="AB7371" t="str">
            <v/>
          </cell>
          <cell r="AC7371" t="str">
            <v/>
          </cell>
          <cell r="AD7371" t="str">
            <v/>
          </cell>
          <cell r="AY7371" t="str">
            <v/>
          </cell>
          <cell r="AZ7371" t="str">
            <v/>
          </cell>
          <cell r="BA7371" t="str">
            <v/>
          </cell>
        </row>
        <row r="7372">
          <cell r="B7372" t="str">
            <v>-</v>
          </cell>
          <cell r="E7372" t="str">
            <v/>
          </cell>
          <cell r="G7372" t="str">
            <v/>
          </cell>
          <cell r="J7372" t="str">
            <v/>
          </cell>
          <cell r="O7372" t="str">
            <v/>
          </cell>
          <cell r="P7372" t="str">
            <v/>
          </cell>
          <cell r="Q7372" t="str">
            <v/>
          </cell>
          <cell r="S7372" t="str">
            <v/>
          </cell>
          <cell r="V7372" t="str">
            <v/>
          </cell>
          <cell r="Z7372" t="str">
            <v/>
          </cell>
          <cell r="AA7372" t="str">
            <v/>
          </cell>
          <cell r="AB7372" t="str">
            <v/>
          </cell>
          <cell r="AC7372" t="str">
            <v/>
          </cell>
          <cell r="AD7372" t="str">
            <v/>
          </cell>
          <cell r="AY7372" t="str">
            <v/>
          </cell>
          <cell r="AZ7372" t="str">
            <v/>
          </cell>
          <cell r="BA7372" t="str">
            <v/>
          </cell>
        </row>
        <row r="7373">
          <cell r="B7373" t="str">
            <v>-</v>
          </cell>
          <cell r="E7373" t="str">
            <v/>
          </cell>
          <cell r="G7373" t="str">
            <v/>
          </cell>
          <cell r="J7373" t="str">
            <v/>
          </cell>
          <cell r="O7373" t="str">
            <v/>
          </cell>
          <cell r="P7373" t="str">
            <v/>
          </cell>
          <cell r="Q7373" t="str">
            <v/>
          </cell>
          <cell r="S7373" t="str">
            <v/>
          </cell>
          <cell r="V7373" t="str">
            <v/>
          </cell>
          <cell r="Z7373" t="str">
            <v/>
          </cell>
          <cell r="AA7373" t="str">
            <v/>
          </cell>
          <cell r="AB7373" t="str">
            <v/>
          </cell>
          <cell r="AC7373" t="str">
            <v/>
          </cell>
          <cell r="AD7373" t="str">
            <v/>
          </cell>
          <cell r="AY7373" t="str">
            <v/>
          </cell>
          <cell r="AZ7373" t="str">
            <v/>
          </cell>
          <cell r="BA7373" t="str">
            <v/>
          </cell>
        </row>
        <row r="7374">
          <cell r="B7374" t="str">
            <v>-</v>
          </cell>
          <cell r="E7374" t="str">
            <v/>
          </cell>
          <cell r="G7374" t="str">
            <v/>
          </cell>
          <cell r="J7374" t="str">
            <v/>
          </cell>
          <cell r="O7374" t="str">
            <v/>
          </cell>
          <cell r="P7374" t="str">
            <v/>
          </cell>
          <cell r="Q7374" t="str">
            <v/>
          </cell>
          <cell r="S7374" t="str">
            <v/>
          </cell>
          <cell r="V7374" t="str">
            <v/>
          </cell>
          <cell r="Z7374" t="str">
            <v/>
          </cell>
          <cell r="AA7374" t="str">
            <v/>
          </cell>
          <cell r="AB7374" t="str">
            <v/>
          </cell>
          <cell r="AC7374" t="str">
            <v/>
          </cell>
          <cell r="AD7374" t="str">
            <v/>
          </cell>
          <cell r="AY7374" t="str">
            <v/>
          </cell>
          <cell r="AZ7374" t="str">
            <v/>
          </cell>
          <cell r="BA7374" t="str">
            <v/>
          </cell>
        </row>
        <row r="7375">
          <cell r="B7375" t="str">
            <v>-</v>
          </cell>
          <cell r="E7375" t="str">
            <v/>
          </cell>
          <cell r="G7375" t="str">
            <v/>
          </cell>
          <cell r="J7375" t="str">
            <v/>
          </cell>
          <cell r="O7375" t="str">
            <v/>
          </cell>
          <cell r="P7375" t="str">
            <v/>
          </cell>
          <cell r="Q7375" t="str">
            <v/>
          </cell>
          <cell r="S7375" t="str">
            <v/>
          </cell>
          <cell r="V7375" t="str">
            <v/>
          </cell>
          <cell r="Z7375" t="str">
            <v/>
          </cell>
          <cell r="AA7375" t="str">
            <v/>
          </cell>
          <cell r="AB7375" t="str">
            <v/>
          </cell>
          <cell r="AC7375" t="str">
            <v/>
          </cell>
          <cell r="AD7375" t="str">
            <v/>
          </cell>
          <cell r="AY7375" t="str">
            <v/>
          </cell>
          <cell r="AZ7375" t="str">
            <v/>
          </cell>
          <cell r="BA7375" t="str">
            <v/>
          </cell>
        </row>
        <row r="7376">
          <cell r="B7376" t="str">
            <v>-</v>
          </cell>
          <cell r="E7376" t="str">
            <v/>
          </cell>
          <cell r="G7376" t="str">
            <v/>
          </cell>
          <cell r="J7376" t="str">
            <v/>
          </cell>
          <cell r="O7376" t="str">
            <v/>
          </cell>
          <cell r="P7376" t="str">
            <v/>
          </cell>
          <cell r="Q7376" t="str">
            <v/>
          </cell>
          <cell r="S7376" t="str">
            <v/>
          </cell>
          <cell r="V7376" t="str">
            <v/>
          </cell>
          <cell r="Z7376" t="str">
            <v/>
          </cell>
          <cell r="AA7376" t="str">
            <v/>
          </cell>
          <cell r="AB7376" t="str">
            <v/>
          </cell>
          <cell r="AC7376" t="str">
            <v/>
          </cell>
          <cell r="AD7376" t="str">
            <v/>
          </cell>
          <cell r="AY7376" t="str">
            <v/>
          </cell>
          <cell r="AZ7376" t="str">
            <v/>
          </cell>
          <cell r="BA7376" t="str">
            <v/>
          </cell>
        </row>
        <row r="7377">
          <cell r="B7377" t="str">
            <v>-</v>
          </cell>
          <cell r="E7377" t="str">
            <v/>
          </cell>
          <cell r="G7377" t="str">
            <v/>
          </cell>
          <cell r="J7377" t="str">
            <v/>
          </cell>
          <cell r="O7377" t="str">
            <v/>
          </cell>
          <cell r="P7377" t="str">
            <v/>
          </cell>
          <cell r="Q7377" t="str">
            <v/>
          </cell>
          <cell r="S7377" t="str">
            <v/>
          </cell>
          <cell r="V7377" t="str">
            <v/>
          </cell>
          <cell r="Z7377" t="str">
            <v/>
          </cell>
          <cell r="AA7377" t="str">
            <v/>
          </cell>
          <cell r="AB7377" t="str">
            <v/>
          </cell>
          <cell r="AC7377" t="str">
            <v/>
          </cell>
          <cell r="AD7377" t="str">
            <v/>
          </cell>
          <cell r="AY7377" t="str">
            <v/>
          </cell>
          <cell r="AZ7377" t="str">
            <v/>
          </cell>
          <cell r="BA7377" t="str">
            <v/>
          </cell>
        </row>
        <row r="7378">
          <cell r="B7378" t="str">
            <v>-</v>
          </cell>
          <cell r="E7378" t="str">
            <v/>
          </cell>
          <cell r="G7378" t="str">
            <v/>
          </cell>
          <cell r="J7378" t="str">
            <v/>
          </cell>
          <cell r="O7378" t="str">
            <v/>
          </cell>
          <cell r="P7378" t="str">
            <v/>
          </cell>
          <cell r="Q7378" t="str">
            <v/>
          </cell>
          <cell r="S7378" t="str">
            <v/>
          </cell>
          <cell r="V7378" t="str">
            <v/>
          </cell>
          <cell r="Z7378" t="str">
            <v/>
          </cell>
          <cell r="AA7378" t="str">
            <v/>
          </cell>
          <cell r="AB7378" t="str">
            <v/>
          </cell>
          <cell r="AC7378" t="str">
            <v/>
          </cell>
          <cell r="AD7378" t="str">
            <v/>
          </cell>
          <cell r="AY7378" t="str">
            <v/>
          </cell>
          <cell r="AZ7378" t="str">
            <v/>
          </cell>
          <cell r="BA7378" t="str">
            <v/>
          </cell>
        </row>
        <row r="7379">
          <cell r="B7379" t="str">
            <v>-</v>
          </cell>
          <cell r="E7379" t="str">
            <v/>
          </cell>
          <cell r="G7379" t="str">
            <v/>
          </cell>
          <cell r="J7379" t="str">
            <v/>
          </cell>
          <cell r="O7379" t="str">
            <v/>
          </cell>
          <cell r="P7379" t="str">
            <v/>
          </cell>
          <cell r="Q7379" t="str">
            <v/>
          </cell>
          <cell r="S7379" t="str">
            <v/>
          </cell>
          <cell r="V7379" t="str">
            <v/>
          </cell>
          <cell r="Z7379" t="str">
            <v/>
          </cell>
          <cell r="AA7379" t="str">
            <v/>
          </cell>
          <cell r="AB7379" t="str">
            <v/>
          </cell>
          <cell r="AC7379" t="str">
            <v/>
          </cell>
          <cell r="AD7379" t="str">
            <v/>
          </cell>
          <cell r="AY7379" t="str">
            <v/>
          </cell>
          <cell r="AZ7379" t="str">
            <v/>
          </cell>
          <cell r="BA7379" t="str">
            <v/>
          </cell>
        </row>
        <row r="7380">
          <cell r="B7380" t="str">
            <v>-</v>
          </cell>
          <cell r="E7380" t="str">
            <v/>
          </cell>
          <cell r="G7380" t="str">
            <v/>
          </cell>
          <cell r="J7380" t="str">
            <v/>
          </cell>
          <cell r="O7380" t="str">
            <v/>
          </cell>
          <cell r="P7380" t="str">
            <v/>
          </cell>
          <cell r="Q7380" t="str">
            <v/>
          </cell>
          <cell r="S7380" t="str">
            <v/>
          </cell>
          <cell r="V7380" t="str">
            <v/>
          </cell>
          <cell r="Z7380" t="str">
            <v/>
          </cell>
          <cell r="AA7380" t="str">
            <v/>
          </cell>
          <cell r="AB7380" t="str">
            <v/>
          </cell>
          <cell r="AC7380" t="str">
            <v/>
          </cell>
          <cell r="AD7380" t="str">
            <v/>
          </cell>
          <cell r="AY7380" t="str">
            <v/>
          </cell>
          <cell r="AZ7380" t="str">
            <v/>
          </cell>
          <cell r="BA7380" t="str">
            <v/>
          </cell>
        </row>
        <row r="7381">
          <cell r="B7381" t="str">
            <v>-</v>
          </cell>
          <cell r="E7381" t="str">
            <v/>
          </cell>
          <cell r="G7381" t="str">
            <v/>
          </cell>
          <cell r="J7381" t="str">
            <v/>
          </cell>
          <cell r="O7381" t="str">
            <v/>
          </cell>
          <cell r="P7381" t="str">
            <v/>
          </cell>
          <cell r="Q7381" t="str">
            <v/>
          </cell>
          <cell r="S7381" t="str">
            <v/>
          </cell>
          <cell r="V7381" t="str">
            <v/>
          </cell>
          <cell r="Z7381" t="str">
            <v/>
          </cell>
          <cell r="AA7381" t="str">
            <v/>
          </cell>
          <cell r="AB7381" t="str">
            <v/>
          </cell>
          <cell r="AC7381" t="str">
            <v/>
          </cell>
          <cell r="AD7381" t="str">
            <v/>
          </cell>
          <cell r="AY7381" t="str">
            <v/>
          </cell>
          <cell r="AZ7381" t="str">
            <v/>
          </cell>
          <cell r="BA7381" t="str">
            <v/>
          </cell>
        </row>
        <row r="7382">
          <cell r="B7382" t="str">
            <v>-</v>
          </cell>
          <cell r="E7382" t="str">
            <v/>
          </cell>
          <cell r="G7382" t="str">
            <v/>
          </cell>
          <cell r="J7382" t="str">
            <v/>
          </cell>
          <cell r="O7382" t="str">
            <v/>
          </cell>
          <cell r="P7382" t="str">
            <v/>
          </cell>
          <cell r="Q7382" t="str">
            <v/>
          </cell>
          <cell r="S7382" t="str">
            <v/>
          </cell>
          <cell r="V7382" t="str">
            <v/>
          </cell>
          <cell r="Z7382" t="str">
            <v/>
          </cell>
          <cell r="AA7382" t="str">
            <v/>
          </cell>
          <cell r="AB7382" t="str">
            <v/>
          </cell>
          <cell r="AC7382" t="str">
            <v/>
          </cell>
          <cell r="AD7382" t="str">
            <v/>
          </cell>
          <cell r="AY7382" t="str">
            <v/>
          </cell>
          <cell r="AZ7382" t="str">
            <v/>
          </cell>
          <cell r="BA7382" t="str">
            <v/>
          </cell>
        </row>
        <row r="7383">
          <cell r="B7383" t="str">
            <v>-</v>
          </cell>
          <cell r="E7383" t="str">
            <v/>
          </cell>
          <cell r="G7383" t="str">
            <v/>
          </cell>
          <cell r="J7383" t="str">
            <v/>
          </cell>
          <cell r="O7383" t="str">
            <v/>
          </cell>
          <cell r="P7383" t="str">
            <v/>
          </cell>
          <cell r="Q7383" t="str">
            <v/>
          </cell>
          <cell r="S7383" t="str">
            <v/>
          </cell>
          <cell r="V7383" t="str">
            <v/>
          </cell>
          <cell r="Z7383" t="str">
            <v/>
          </cell>
          <cell r="AA7383" t="str">
            <v/>
          </cell>
          <cell r="AB7383" t="str">
            <v/>
          </cell>
          <cell r="AC7383" t="str">
            <v/>
          </cell>
          <cell r="AD7383" t="str">
            <v/>
          </cell>
          <cell r="AY7383" t="str">
            <v/>
          </cell>
          <cell r="AZ7383" t="str">
            <v/>
          </cell>
          <cell r="BA7383" t="str">
            <v/>
          </cell>
        </row>
        <row r="7384">
          <cell r="B7384" t="str">
            <v>-</v>
          </cell>
          <cell r="E7384" t="str">
            <v/>
          </cell>
          <cell r="G7384" t="str">
            <v/>
          </cell>
          <cell r="J7384" t="str">
            <v/>
          </cell>
          <cell r="O7384" t="str">
            <v/>
          </cell>
          <cell r="P7384" t="str">
            <v/>
          </cell>
          <cell r="Q7384" t="str">
            <v/>
          </cell>
          <cell r="S7384" t="str">
            <v/>
          </cell>
          <cell r="V7384" t="str">
            <v/>
          </cell>
          <cell r="Z7384" t="str">
            <v/>
          </cell>
          <cell r="AA7384" t="str">
            <v/>
          </cell>
          <cell r="AB7384" t="str">
            <v/>
          </cell>
          <cell r="AC7384" t="str">
            <v/>
          </cell>
          <cell r="AD7384" t="str">
            <v/>
          </cell>
          <cell r="AY7384" t="str">
            <v/>
          </cell>
          <cell r="AZ7384" t="str">
            <v/>
          </cell>
          <cell r="BA7384" t="str">
            <v/>
          </cell>
        </row>
        <row r="7385">
          <cell r="B7385" t="str">
            <v>-</v>
          </cell>
          <cell r="E7385" t="str">
            <v/>
          </cell>
          <cell r="G7385" t="str">
            <v/>
          </cell>
          <cell r="J7385" t="str">
            <v/>
          </cell>
          <cell r="O7385" t="str">
            <v/>
          </cell>
          <cell r="P7385" t="str">
            <v/>
          </cell>
          <cell r="Q7385" t="str">
            <v/>
          </cell>
          <cell r="S7385" t="str">
            <v/>
          </cell>
          <cell r="V7385" t="str">
            <v/>
          </cell>
          <cell r="Z7385" t="str">
            <v/>
          </cell>
          <cell r="AA7385" t="str">
            <v/>
          </cell>
          <cell r="AB7385" t="str">
            <v/>
          </cell>
          <cell r="AC7385" t="str">
            <v/>
          </cell>
          <cell r="AD7385" t="str">
            <v/>
          </cell>
          <cell r="AY7385" t="str">
            <v/>
          </cell>
          <cell r="AZ7385" t="str">
            <v/>
          </cell>
          <cell r="BA7385" t="str">
            <v/>
          </cell>
        </row>
        <row r="7386">
          <cell r="B7386" t="str">
            <v>-</v>
          </cell>
          <cell r="E7386" t="str">
            <v/>
          </cell>
          <cell r="G7386" t="str">
            <v/>
          </cell>
          <cell r="J7386" t="str">
            <v/>
          </cell>
          <cell r="O7386" t="str">
            <v/>
          </cell>
          <cell r="P7386" t="str">
            <v/>
          </cell>
          <cell r="Q7386" t="str">
            <v/>
          </cell>
          <cell r="S7386" t="str">
            <v/>
          </cell>
          <cell r="V7386" t="str">
            <v/>
          </cell>
          <cell r="Z7386" t="str">
            <v/>
          </cell>
          <cell r="AA7386" t="str">
            <v/>
          </cell>
          <cell r="AB7386" t="str">
            <v/>
          </cell>
          <cell r="AC7386" t="str">
            <v/>
          </cell>
          <cell r="AD7386" t="str">
            <v/>
          </cell>
          <cell r="AY7386" t="str">
            <v/>
          </cell>
          <cell r="AZ7386" t="str">
            <v/>
          </cell>
          <cell r="BA7386" t="str">
            <v/>
          </cell>
        </row>
        <row r="7387">
          <cell r="B7387" t="str">
            <v>-</v>
          </cell>
          <cell r="E7387" t="str">
            <v/>
          </cell>
          <cell r="G7387" t="str">
            <v/>
          </cell>
          <cell r="J7387" t="str">
            <v/>
          </cell>
          <cell r="O7387" t="str">
            <v/>
          </cell>
          <cell r="P7387" t="str">
            <v/>
          </cell>
          <cell r="Q7387" t="str">
            <v/>
          </cell>
          <cell r="S7387" t="str">
            <v/>
          </cell>
          <cell r="V7387" t="str">
            <v/>
          </cell>
          <cell r="Z7387" t="str">
            <v/>
          </cell>
          <cell r="AA7387" t="str">
            <v/>
          </cell>
          <cell r="AB7387" t="str">
            <v/>
          </cell>
          <cell r="AC7387" t="str">
            <v/>
          </cell>
          <cell r="AD7387" t="str">
            <v/>
          </cell>
          <cell r="AY7387" t="str">
            <v/>
          </cell>
          <cell r="AZ7387" t="str">
            <v/>
          </cell>
          <cell r="BA7387" t="str">
            <v/>
          </cell>
        </row>
        <row r="7388">
          <cell r="B7388" t="str">
            <v>-</v>
          </cell>
          <cell r="E7388" t="str">
            <v/>
          </cell>
          <cell r="G7388" t="str">
            <v/>
          </cell>
          <cell r="J7388" t="str">
            <v/>
          </cell>
          <cell r="O7388" t="str">
            <v/>
          </cell>
          <cell r="P7388" t="str">
            <v/>
          </cell>
          <cell r="Q7388" t="str">
            <v/>
          </cell>
          <cell r="S7388" t="str">
            <v/>
          </cell>
          <cell r="V7388" t="str">
            <v/>
          </cell>
          <cell r="Z7388" t="str">
            <v/>
          </cell>
          <cell r="AA7388" t="str">
            <v/>
          </cell>
          <cell r="AB7388" t="str">
            <v/>
          </cell>
          <cell r="AC7388" t="str">
            <v/>
          </cell>
          <cell r="AD7388" t="str">
            <v/>
          </cell>
          <cell r="AY7388" t="str">
            <v/>
          </cell>
          <cell r="AZ7388" t="str">
            <v/>
          </cell>
          <cell r="BA7388" t="str">
            <v/>
          </cell>
        </row>
        <row r="7389">
          <cell r="B7389" t="str">
            <v>-</v>
          </cell>
          <cell r="E7389" t="str">
            <v/>
          </cell>
          <cell r="G7389" t="str">
            <v/>
          </cell>
          <cell r="J7389" t="str">
            <v/>
          </cell>
          <cell r="O7389" t="str">
            <v/>
          </cell>
          <cell r="P7389" t="str">
            <v/>
          </cell>
          <cell r="Q7389" t="str">
            <v/>
          </cell>
          <cell r="S7389" t="str">
            <v/>
          </cell>
          <cell r="V7389" t="str">
            <v/>
          </cell>
          <cell r="Z7389" t="str">
            <v/>
          </cell>
          <cell r="AA7389" t="str">
            <v/>
          </cell>
          <cell r="AB7389" t="str">
            <v/>
          </cell>
          <cell r="AC7389" t="str">
            <v/>
          </cell>
          <cell r="AD7389" t="str">
            <v/>
          </cell>
          <cell r="AY7389" t="str">
            <v/>
          </cell>
          <cell r="AZ7389" t="str">
            <v/>
          </cell>
          <cell r="BA7389" t="str">
            <v/>
          </cell>
        </row>
        <row r="7390">
          <cell r="B7390" t="str">
            <v>-</v>
          </cell>
          <cell r="E7390" t="str">
            <v/>
          </cell>
          <cell r="G7390" t="str">
            <v/>
          </cell>
          <cell r="J7390" t="str">
            <v/>
          </cell>
          <cell r="O7390" t="str">
            <v/>
          </cell>
          <cell r="P7390" t="str">
            <v/>
          </cell>
          <cell r="Q7390" t="str">
            <v/>
          </cell>
          <cell r="S7390" t="str">
            <v/>
          </cell>
          <cell r="V7390" t="str">
            <v/>
          </cell>
          <cell r="Z7390" t="str">
            <v/>
          </cell>
          <cell r="AA7390" t="str">
            <v/>
          </cell>
          <cell r="AB7390" t="str">
            <v/>
          </cell>
          <cell r="AC7390" t="str">
            <v/>
          </cell>
          <cell r="AD7390" t="str">
            <v/>
          </cell>
          <cell r="AY7390" t="str">
            <v/>
          </cell>
          <cell r="AZ7390" t="str">
            <v/>
          </cell>
          <cell r="BA7390" t="str">
            <v/>
          </cell>
        </row>
        <row r="7391">
          <cell r="B7391" t="str">
            <v>-</v>
          </cell>
          <cell r="E7391" t="str">
            <v/>
          </cell>
          <cell r="G7391" t="str">
            <v/>
          </cell>
          <cell r="J7391" t="str">
            <v/>
          </cell>
          <cell r="O7391" t="str">
            <v/>
          </cell>
          <cell r="P7391" t="str">
            <v/>
          </cell>
          <cell r="Q7391" t="str">
            <v/>
          </cell>
          <cell r="S7391" t="str">
            <v/>
          </cell>
          <cell r="V7391" t="str">
            <v/>
          </cell>
          <cell r="Z7391" t="str">
            <v/>
          </cell>
          <cell r="AA7391" t="str">
            <v/>
          </cell>
          <cell r="AB7391" t="str">
            <v/>
          </cell>
          <cell r="AC7391" t="str">
            <v/>
          </cell>
          <cell r="AD7391" t="str">
            <v/>
          </cell>
          <cell r="AY7391" t="str">
            <v/>
          </cell>
          <cell r="AZ7391" t="str">
            <v/>
          </cell>
          <cell r="BA7391" t="str">
            <v/>
          </cell>
        </row>
        <row r="7392">
          <cell r="B7392" t="str">
            <v>-</v>
          </cell>
          <cell r="E7392" t="str">
            <v/>
          </cell>
          <cell r="G7392" t="str">
            <v/>
          </cell>
          <cell r="J7392" t="str">
            <v/>
          </cell>
          <cell r="O7392" t="str">
            <v/>
          </cell>
          <cell r="P7392" t="str">
            <v/>
          </cell>
          <cell r="Q7392" t="str">
            <v/>
          </cell>
          <cell r="S7392" t="str">
            <v/>
          </cell>
          <cell r="V7392" t="str">
            <v/>
          </cell>
          <cell r="Z7392" t="str">
            <v/>
          </cell>
          <cell r="AA7392" t="str">
            <v/>
          </cell>
          <cell r="AB7392" t="str">
            <v/>
          </cell>
          <cell r="AC7392" t="str">
            <v/>
          </cell>
          <cell r="AD7392" t="str">
            <v/>
          </cell>
          <cell r="AY7392" t="str">
            <v/>
          </cell>
          <cell r="AZ7392" t="str">
            <v/>
          </cell>
          <cell r="BA7392" t="str">
            <v/>
          </cell>
        </row>
        <row r="7393">
          <cell r="B7393" t="str">
            <v>-</v>
          </cell>
          <cell r="E7393" t="str">
            <v/>
          </cell>
          <cell r="G7393" t="str">
            <v/>
          </cell>
          <cell r="J7393" t="str">
            <v/>
          </cell>
          <cell r="O7393" t="str">
            <v/>
          </cell>
          <cell r="P7393" t="str">
            <v/>
          </cell>
          <cell r="Q7393" t="str">
            <v/>
          </cell>
          <cell r="S7393" t="str">
            <v/>
          </cell>
          <cell r="V7393" t="str">
            <v/>
          </cell>
          <cell r="Z7393" t="str">
            <v/>
          </cell>
          <cell r="AA7393" t="str">
            <v/>
          </cell>
          <cell r="AB7393" t="str">
            <v/>
          </cell>
          <cell r="AC7393" t="str">
            <v/>
          </cell>
          <cell r="AD7393" t="str">
            <v/>
          </cell>
          <cell r="AY7393" t="str">
            <v/>
          </cell>
          <cell r="AZ7393" t="str">
            <v/>
          </cell>
          <cell r="BA7393" t="str">
            <v/>
          </cell>
        </row>
        <row r="7394">
          <cell r="B7394" t="str">
            <v>-</v>
          </cell>
          <cell r="E7394" t="str">
            <v/>
          </cell>
          <cell r="G7394" t="str">
            <v/>
          </cell>
          <cell r="J7394" t="str">
            <v/>
          </cell>
          <cell r="O7394" t="str">
            <v/>
          </cell>
          <cell r="P7394" t="str">
            <v/>
          </cell>
          <cell r="Q7394" t="str">
            <v/>
          </cell>
          <cell r="S7394" t="str">
            <v/>
          </cell>
          <cell r="V7394" t="str">
            <v/>
          </cell>
          <cell r="Z7394" t="str">
            <v/>
          </cell>
          <cell r="AA7394" t="str">
            <v/>
          </cell>
          <cell r="AB7394" t="str">
            <v/>
          </cell>
          <cell r="AC7394" t="str">
            <v/>
          </cell>
          <cell r="AD7394" t="str">
            <v/>
          </cell>
          <cell r="AY7394" t="str">
            <v/>
          </cell>
          <cell r="AZ7394" t="str">
            <v/>
          </cell>
          <cell r="BA7394" t="str">
            <v/>
          </cell>
        </row>
        <row r="7395">
          <cell r="B7395" t="str">
            <v>-</v>
          </cell>
          <cell r="E7395" t="str">
            <v/>
          </cell>
          <cell r="G7395" t="str">
            <v/>
          </cell>
          <cell r="J7395" t="str">
            <v/>
          </cell>
          <cell r="O7395" t="str">
            <v/>
          </cell>
          <cell r="P7395" t="str">
            <v/>
          </cell>
          <cell r="Q7395" t="str">
            <v/>
          </cell>
          <cell r="S7395" t="str">
            <v/>
          </cell>
          <cell r="V7395" t="str">
            <v/>
          </cell>
          <cell r="Z7395" t="str">
            <v/>
          </cell>
          <cell r="AA7395" t="str">
            <v/>
          </cell>
          <cell r="AB7395" t="str">
            <v/>
          </cell>
          <cell r="AC7395" t="str">
            <v/>
          </cell>
          <cell r="AD7395" t="str">
            <v/>
          </cell>
          <cell r="AY7395" t="str">
            <v/>
          </cell>
          <cell r="AZ7395" t="str">
            <v/>
          </cell>
          <cell r="BA7395" t="str">
            <v/>
          </cell>
        </row>
        <row r="7396">
          <cell r="B7396" t="str">
            <v>-</v>
          </cell>
          <cell r="E7396" t="str">
            <v/>
          </cell>
          <cell r="G7396" t="str">
            <v/>
          </cell>
          <cell r="J7396" t="str">
            <v/>
          </cell>
          <cell r="O7396" t="str">
            <v/>
          </cell>
          <cell r="P7396" t="str">
            <v/>
          </cell>
          <cell r="Q7396" t="str">
            <v/>
          </cell>
          <cell r="S7396" t="str">
            <v/>
          </cell>
          <cell r="V7396" t="str">
            <v/>
          </cell>
          <cell r="Z7396" t="str">
            <v/>
          </cell>
          <cell r="AA7396" t="str">
            <v/>
          </cell>
          <cell r="AB7396" t="str">
            <v/>
          </cell>
          <cell r="AC7396" t="str">
            <v/>
          </cell>
          <cell r="AD7396" t="str">
            <v/>
          </cell>
          <cell r="AY7396" t="str">
            <v/>
          </cell>
          <cell r="AZ7396" t="str">
            <v/>
          </cell>
          <cell r="BA7396" t="str">
            <v/>
          </cell>
        </row>
        <row r="7397">
          <cell r="B7397" t="str">
            <v>-</v>
          </cell>
          <cell r="E7397" t="str">
            <v/>
          </cell>
          <cell r="G7397" t="str">
            <v/>
          </cell>
          <cell r="J7397" t="str">
            <v/>
          </cell>
          <cell r="O7397" t="str">
            <v/>
          </cell>
          <cell r="P7397" t="str">
            <v/>
          </cell>
          <cell r="Q7397" t="str">
            <v/>
          </cell>
          <cell r="S7397" t="str">
            <v/>
          </cell>
          <cell r="V7397" t="str">
            <v/>
          </cell>
          <cell r="Z7397" t="str">
            <v/>
          </cell>
          <cell r="AA7397" t="str">
            <v/>
          </cell>
          <cell r="AB7397" t="str">
            <v/>
          </cell>
          <cell r="AC7397" t="str">
            <v/>
          </cell>
          <cell r="AD7397" t="str">
            <v/>
          </cell>
          <cell r="AY7397" t="str">
            <v/>
          </cell>
          <cell r="AZ7397" t="str">
            <v/>
          </cell>
          <cell r="BA7397" t="str">
            <v/>
          </cell>
        </row>
        <row r="7398">
          <cell r="B7398" t="str">
            <v>-</v>
          </cell>
          <cell r="E7398" t="str">
            <v/>
          </cell>
          <cell r="G7398" t="str">
            <v/>
          </cell>
          <cell r="J7398" t="str">
            <v/>
          </cell>
          <cell r="O7398" t="str">
            <v/>
          </cell>
          <cell r="P7398" t="str">
            <v/>
          </cell>
          <cell r="Q7398" t="str">
            <v/>
          </cell>
          <cell r="S7398" t="str">
            <v/>
          </cell>
          <cell r="V7398" t="str">
            <v/>
          </cell>
          <cell r="Z7398" t="str">
            <v/>
          </cell>
          <cell r="AA7398" t="str">
            <v/>
          </cell>
          <cell r="AB7398" t="str">
            <v/>
          </cell>
          <cell r="AC7398" t="str">
            <v/>
          </cell>
          <cell r="AD7398" t="str">
            <v/>
          </cell>
          <cell r="AY7398" t="str">
            <v/>
          </cell>
          <cell r="AZ7398" t="str">
            <v/>
          </cell>
          <cell r="BA7398" t="str">
            <v/>
          </cell>
        </row>
        <row r="7399">
          <cell r="B7399" t="str">
            <v>-</v>
          </cell>
          <cell r="E7399" t="str">
            <v/>
          </cell>
          <cell r="G7399" t="str">
            <v/>
          </cell>
          <cell r="J7399" t="str">
            <v/>
          </cell>
          <cell r="O7399" t="str">
            <v/>
          </cell>
          <cell r="P7399" t="str">
            <v/>
          </cell>
          <cell r="Q7399" t="str">
            <v/>
          </cell>
          <cell r="S7399" t="str">
            <v/>
          </cell>
          <cell r="V7399" t="str">
            <v/>
          </cell>
          <cell r="Z7399" t="str">
            <v/>
          </cell>
          <cell r="AA7399" t="str">
            <v/>
          </cell>
          <cell r="AB7399" t="str">
            <v/>
          </cell>
          <cell r="AC7399" t="str">
            <v/>
          </cell>
          <cell r="AD7399" t="str">
            <v/>
          </cell>
          <cell r="AY7399" t="str">
            <v/>
          </cell>
          <cell r="AZ7399" t="str">
            <v/>
          </cell>
          <cell r="BA7399" t="str">
            <v/>
          </cell>
        </row>
        <row r="7400">
          <cell r="B7400" t="str">
            <v>-</v>
          </cell>
          <cell r="E7400" t="str">
            <v/>
          </cell>
          <cell r="G7400" t="str">
            <v/>
          </cell>
          <cell r="J7400" t="str">
            <v/>
          </cell>
          <cell r="O7400" t="str">
            <v/>
          </cell>
          <cell r="P7400" t="str">
            <v/>
          </cell>
          <cell r="Q7400" t="str">
            <v/>
          </cell>
          <cell r="S7400" t="str">
            <v/>
          </cell>
          <cell r="V7400" t="str">
            <v/>
          </cell>
          <cell r="Z7400" t="str">
            <v/>
          </cell>
          <cell r="AA7400" t="str">
            <v/>
          </cell>
          <cell r="AB7400" t="str">
            <v/>
          </cell>
          <cell r="AC7400" t="str">
            <v/>
          </cell>
          <cell r="AD7400" t="str">
            <v/>
          </cell>
          <cell r="AY7400" t="str">
            <v/>
          </cell>
          <cell r="AZ7400" t="str">
            <v/>
          </cell>
          <cell r="BA7400" t="str">
            <v/>
          </cell>
        </row>
        <row r="7401">
          <cell r="B7401" t="str">
            <v>-</v>
          </cell>
          <cell r="E7401" t="str">
            <v/>
          </cell>
          <cell r="G7401" t="str">
            <v/>
          </cell>
          <cell r="J7401" t="str">
            <v/>
          </cell>
          <cell r="O7401" t="str">
            <v/>
          </cell>
          <cell r="P7401" t="str">
            <v/>
          </cell>
          <cell r="Q7401" t="str">
            <v/>
          </cell>
          <cell r="S7401" t="str">
            <v/>
          </cell>
          <cell r="V7401" t="str">
            <v/>
          </cell>
          <cell r="Z7401" t="str">
            <v/>
          </cell>
          <cell r="AA7401" t="str">
            <v/>
          </cell>
          <cell r="AB7401" t="str">
            <v/>
          </cell>
          <cell r="AC7401" t="str">
            <v/>
          </cell>
          <cell r="AD7401" t="str">
            <v/>
          </cell>
          <cell r="AY7401" t="str">
            <v/>
          </cell>
          <cell r="AZ7401" t="str">
            <v/>
          </cell>
          <cell r="BA7401" t="str">
            <v/>
          </cell>
        </row>
        <row r="7402">
          <cell r="B7402" t="str">
            <v>-</v>
          </cell>
          <cell r="E7402" t="str">
            <v/>
          </cell>
          <cell r="G7402" t="str">
            <v/>
          </cell>
          <cell r="J7402" t="str">
            <v/>
          </cell>
          <cell r="O7402" t="str">
            <v/>
          </cell>
          <cell r="P7402" t="str">
            <v/>
          </cell>
          <cell r="Q7402" t="str">
            <v/>
          </cell>
          <cell r="S7402" t="str">
            <v/>
          </cell>
          <cell r="V7402" t="str">
            <v/>
          </cell>
          <cell r="Z7402" t="str">
            <v/>
          </cell>
          <cell r="AA7402" t="str">
            <v/>
          </cell>
          <cell r="AB7402" t="str">
            <v/>
          </cell>
          <cell r="AC7402" t="str">
            <v/>
          </cell>
          <cell r="AD7402" t="str">
            <v/>
          </cell>
          <cell r="AY7402" t="str">
            <v/>
          </cell>
          <cell r="AZ7402" t="str">
            <v/>
          </cell>
          <cell r="BA7402" t="str">
            <v/>
          </cell>
        </row>
        <row r="7403">
          <cell r="B7403" t="str">
            <v>-</v>
          </cell>
          <cell r="E7403" t="str">
            <v/>
          </cell>
          <cell r="G7403" t="str">
            <v/>
          </cell>
          <cell r="J7403" t="str">
            <v/>
          </cell>
          <cell r="O7403" t="str">
            <v/>
          </cell>
          <cell r="P7403" t="str">
            <v/>
          </cell>
          <cell r="Q7403" t="str">
            <v/>
          </cell>
          <cell r="S7403" t="str">
            <v/>
          </cell>
          <cell r="V7403" t="str">
            <v/>
          </cell>
          <cell r="Z7403" t="str">
            <v/>
          </cell>
          <cell r="AA7403" t="str">
            <v/>
          </cell>
          <cell r="AB7403" t="str">
            <v/>
          </cell>
          <cell r="AC7403" t="str">
            <v/>
          </cell>
          <cell r="AD7403" t="str">
            <v/>
          </cell>
          <cell r="AY7403" t="str">
            <v/>
          </cell>
          <cell r="AZ7403" t="str">
            <v/>
          </cell>
          <cell r="BA7403" t="str">
            <v/>
          </cell>
        </row>
        <row r="7404">
          <cell r="B7404" t="str">
            <v>-</v>
          </cell>
          <cell r="E7404" t="str">
            <v/>
          </cell>
          <cell r="G7404" t="str">
            <v/>
          </cell>
          <cell r="J7404" t="str">
            <v/>
          </cell>
          <cell r="O7404" t="str">
            <v/>
          </cell>
          <cell r="P7404" t="str">
            <v/>
          </cell>
          <cell r="Q7404" t="str">
            <v/>
          </cell>
          <cell r="S7404" t="str">
            <v/>
          </cell>
          <cell r="V7404" t="str">
            <v/>
          </cell>
          <cell r="Z7404" t="str">
            <v/>
          </cell>
          <cell r="AA7404" t="str">
            <v/>
          </cell>
          <cell r="AB7404" t="str">
            <v/>
          </cell>
          <cell r="AC7404" t="str">
            <v/>
          </cell>
          <cell r="AD7404" t="str">
            <v/>
          </cell>
          <cell r="AY7404" t="str">
            <v/>
          </cell>
          <cell r="AZ7404" t="str">
            <v/>
          </cell>
          <cell r="BA7404" t="str">
            <v/>
          </cell>
        </row>
        <row r="7405">
          <cell r="B7405" t="str">
            <v>-</v>
          </cell>
          <cell r="E7405" t="str">
            <v/>
          </cell>
          <cell r="G7405" t="str">
            <v/>
          </cell>
          <cell r="J7405" t="str">
            <v/>
          </cell>
          <cell r="O7405" t="str">
            <v/>
          </cell>
          <cell r="P7405" t="str">
            <v/>
          </cell>
          <cell r="Q7405" t="str">
            <v/>
          </cell>
          <cell r="S7405" t="str">
            <v/>
          </cell>
          <cell r="V7405" t="str">
            <v/>
          </cell>
          <cell r="Z7405" t="str">
            <v/>
          </cell>
          <cell r="AA7405" t="str">
            <v/>
          </cell>
          <cell r="AB7405" t="str">
            <v/>
          </cell>
          <cell r="AC7405" t="str">
            <v/>
          </cell>
          <cell r="AD7405" t="str">
            <v/>
          </cell>
          <cell r="AY7405" t="str">
            <v/>
          </cell>
          <cell r="AZ7405" t="str">
            <v/>
          </cell>
          <cell r="BA7405" t="str">
            <v/>
          </cell>
        </row>
        <row r="7406">
          <cell r="B7406" t="str">
            <v>-</v>
          </cell>
          <cell r="E7406" t="str">
            <v/>
          </cell>
          <cell r="G7406" t="str">
            <v/>
          </cell>
          <cell r="J7406" t="str">
            <v/>
          </cell>
          <cell r="O7406" t="str">
            <v/>
          </cell>
          <cell r="P7406" t="str">
            <v/>
          </cell>
          <cell r="Q7406" t="str">
            <v/>
          </cell>
          <cell r="S7406" t="str">
            <v/>
          </cell>
          <cell r="V7406" t="str">
            <v/>
          </cell>
          <cell r="Z7406" t="str">
            <v/>
          </cell>
          <cell r="AA7406" t="str">
            <v/>
          </cell>
          <cell r="AB7406" t="str">
            <v/>
          </cell>
          <cell r="AC7406" t="str">
            <v/>
          </cell>
          <cell r="AD7406" t="str">
            <v/>
          </cell>
          <cell r="AY7406" t="str">
            <v/>
          </cell>
          <cell r="AZ7406" t="str">
            <v/>
          </cell>
          <cell r="BA7406" t="str">
            <v/>
          </cell>
        </row>
        <row r="7407">
          <cell r="B7407" t="str">
            <v>-</v>
          </cell>
          <cell r="E7407" t="str">
            <v/>
          </cell>
          <cell r="G7407" t="str">
            <v/>
          </cell>
          <cell r="J7407" t="str">
            <v/>
          </cell>
          <cell r="O7407" t="str">
            <v/>
          </cell>
          <cell r="P7407" t="str">
            <v/>
          </cell>
          <cell r="Q7407" t="str">
            <v/>
          </cell>
          <cell r="S7407" t="str">
            <v/>
          </cell>
          <cell r="V7407" t="str">
            <v/>
          </cell>
          <cell r="Z7407" t="str">
            <v/>
          </cell>
          <cell r="AA7407" t="str">
            <v/>
          </cell>
          <cell r="AB7407" t="str">
            <v/>
          </cell>
          <cell r="AC7407" t="str">
            <v/>
          </cell>
          <cell r="AD7407" t="str">
            <v/>
          </cell>
          <cell r="AY7407" t="str">
            <v/>
          </cell>
          <cell r="AZ7407" t="str">
            <v/>
          </cell>
          <cell r="BA7407" t="str">
            <v/>
          </cell>
        </row>
        <row r="7408">
          <cell r="B7408" t="str">
            <v>-</v>
          </cell>
          <cell r="E7408" t="str">
            <v/>
          </cell>
          <cell r="G7408" t="str">
            <v/>
          </cell>
          <cell r="J7408" t="str">
            <v/>
          </cell>
          <cell r="O7408" t="str">
            <v/>
          </cell>
          <cell r="P7408" t="str">
            <v/>
          </cell>
          <cell r="Q7408" t="str">
            <v/>
          </cell>
          <cell r="S7408" t="str">
            <v/>
          </cell>
          <cell r="V7408" t="str">
            <v/>
          </cell>
          <cell r="Z7408" t="str">
            <v/>
          </cell>
          <cell r="AA7408" t="str">
            <v/>
          </cell>
          <cell r="AB7408" t="str">
            <v/>
          </cell>
          <cell r="AC7408" t="str">
            <v/>
          </cell>
          <cell r="AD7408" t="str">
            <v/>
          </cell>
          <cell r="AY7408" t="str">
            <v/>
          </cell>
          <cell r="AZ7408" t="str">
            <v/>
          </cell>
          <cell r="BA7408" t="str">
            <v/>
          </cell>
        </row>
        <row r="7409">
          <cell r="B7409" t="str">
            <v>-</v>
          </cell>
          <cell r="E7409" t="str">
            <v/>
          </cell>
          <cell r="G7409" t="str">
            <v/>
          </cell>
          <cell r="J7409" t="str">
            <v/>
          </cell>
          <cell r="O7409" t="str">
            <v/>
          </cell>
          <cell r="P7409" t="str">
            <v/>
          </cell>
          <cell r="Q7409" t="str">
            <v/>
          </cell>
          <cell r="S7409" t="str">
            <v/>
          </cell>
          <cell r="V7409" t="str">
            <v/>
          </cell>
          <cell r="Z7409" t="str">
            <v/>
          </cell>
          <cell r="AA7409" t="str">
            <v/>
          </cell>
          <cell r="AB7409" t="str">
            <v/>
          </cell>
          <cell r="AC7409" t="str">
            <v/>
          </cell>
          <cell r="AD7409" t="str">
            <v/>
          </cell>
          <cell r="AY7409" t="str">
            <v/>
          </cell>
          <cell r="AZ7409" t="str">
            <v/>
          </cell>
          <cell r="BA7409" t="str">
            <v/>
          </cell>
        </row>
        <row r="7410">
          <cell r="B7410" t="str">
            <v>-</v>
          </cell>
          <cell r="E7410" t="str">
            <v/>
          </cell>
          <cell r="G7410" t="str">
            <v/>
          </cell>
          <cell r="J7410" t="str">
            <v/>
          </cell>
          <cell r="O7410" t="str">
            <v/>
          </cell>
          <cell r="P7410" t="str">
            <v/>
          </cell>
          <cell r="Q7410" t="str">
            <v/>
          </cell>
          <cell r="S7410" t="str">
            <v/>
          </cell>
          <cell r="V7410" t="str">
            <v/>
          </cell>
          <cell r="Z7410" t="str">
            <v/>
          </cell>
          <cell r="AA7410" t="str">
            <v/>
          </cell>
          <cell r="AB7410" t="str">
            <v/>
          </cell>
          <cell r="AC7410" t="str">
            <v/>
          </cell>
          <cell r="AD7410" t="str">
            <v/>
          </cell>
          <cell r="AY7410" t="str">
            <v/>
          </cell>
          <cell r="AZ7410" t="str">
            <v/>
          </cell>
          <cell r="BA7410" t="str">
            <v/>
          </cell>
        </row>
        <row r="7411">
          <cell r="B7411" t="str">
            <v>-</v>
          </cell>
          <cell r="E7411" t="str">
            <v/>
          </cell>
          <cell r="G7411" t="str">
            <v/>
          </cell>
          <cell r="J7411" t="str">
            <v/>
          </cell>
          <cell r="O7411" t="str">
            <v/>
          </cell>
          <cell r="P7411" t="str">
            <v/>
          </cell>
          <cell r="Q7411" t="str">
            <v/>
          </cell>
          <cell r="S7411" t="str">
            <v/>
          </cell>
          <cell r="V7411" t="str">
            <v/>
          </cell>
          <cell r="Z7411" t="str">
            <v/>
          </cell>
          <cell r="AA7411" t="str">
            <v/>
          </cell>
          <cell r="AB7411" t="str">
            <v/>
          </cell>
          <cell r="AC7411" t="str">
            <v/>
          </cell>
          <cell r="AD7411" t="str">
            <v/>
          </cell>
          <cell r="AY7411" t="str">
            <v/>
          </cell>
          <cell r="AZ7411" t="str">
            <v/>
          </cell>
          <cell r="BA7411" t="str">
            <v/>
          </cell>
        </row>
        <row r="7412">
          <cell r="B7412" t="str">
            <v>-</v>
          </cell>
          <cell r="E7412" t="str">
            <v/>
          </cell>
          <cell r="G7412" t="str">
            <v/>
          </cell>
          <cell r="J7412" t="str">
            <v/>
          </cell>
          <cell r="O7412" t="str">
            <v/>
          </cell>
          <cell r="P7412" t="str">
            <v/>
          </cell>
          <cell r="Q7412" t="str">
            <v/>
          </cell>
          <cell r="S7412" t="str">
            <v/>
          </cell>
          <cell r="V7412" t="str">
            <v/>
          </cell>
          <cell r="Z7412" t="str">
            <v/>
          </cell>
          <cell r="AA7412" t="str">
            <v/>
          </cell>
          <cell r="AB7412" t="str">
            <v/>
          </cell>
          <cell r="AC7412" t="str">
            <v/>
          </cell>
          <cell r="AD7412" t="str">
            <v/>
          </cell>
          <cell r="AY7412" t="str">
            <v/>
          </cell>
          <cell r="AZ7412" t="str">
            <v/>
          </cell>
          <cell r="BA7412" t="str">
            <v/>
          </cell>
        </row>
        <row r="7413">
          <cell r="B7413" t="str">
            <v>-</v>
          </cell>
          <cell r="E7413" t="str">
            <v/>
          </cell>
          <cell r="G7413" t="str">
            <v/>
          </cell>
          <cell r="J7413" t="str">
            <v/>
          </cell>
          <cell r="O7413" t="str">
            <v/>
          </cell>
          <cell r="P7413" t="str">
            <v/>
          </cell>
          <cell r="Q7413" t="str">
            <v/>
          </cell>
          <cell r="S7413" t="str">
            <v/>
          </cell>
          <cell r="V7413" t="str">
            <v/>
          </cell>
          <cell r="Z7413" t="str">
            <v/>
          </cell>
          <cell r="AA7413" t="str">
            <v/>
          </cell>
          <cell r="AB7413" t="str">
            <v/>
          </cell>
          <cell r="AC7413" t="str">
            <v/>
          </cell>
          <cell r="AD7413" t="str">
            <v/>
          </cell>
          <cell r="AY7413" t="str">
            <v/>
          </cell>
          <cell r="AZ7413" t="str">
            <v/>
          </cell>
          <cell r="BA7413" t="str">
            <v/>
          </cell>
        </row>
        <row r="7414">
          <cell r="B7414" t="str">
            <v>-</v>
          </cell>
          <cell r="E7414" t="str">
            <v/>
          </cell>
          <cell r="G7414" t="str">
            <v/>
          </cell>
          <cell r="J7414" t="str">
            <v/>
          </cell>
          <cell r="O7414" t="str">
            <v/>
          </cell>
          <cell r="P7414" t="str">
            <v/>
          </cell>
          <cell r="Q7414" t="str">
            <v/>
          </cell>
          <cell r="S7414" t="str">
            <v/>
          </cell>
          <cell r="V7414" t="str">
            <v/>
          </cell>
          <cell r="Z7414" t="str">
            <v/>
          </cell>
          <cell r="AA7414" t="str">
            <v/>
          </cell>
          <cell r="AB7414" t="str">
            <v/>
          </cell>
          <cell r="AC7414" t="str">
            <v/>
          </cell>
          <cell r="AD7414" t="str">
            <v/>
          </cell>
          <cell r="AY7414" t="str">
            <v/>
          </cell>
          <cell r="AZ7414" t="str">
            <v/>
          </cell>
          <cell r="BA7414" t="str">
            <v/>
          </cell>
        </row>
        <row r="7415">
          <cell r="B7415" t="str">
            <v>-</v>
          </cell>
          <cell r="E7415" t="str">
            <v/>
          </cell>
          <cell r="G7415" t="str">
            <v/>
          </cell>
          <cell r="J7415" t="str">
            <v/>
          </cell>
          <cell r="O7415" t="str">
            <v/>
          </cell>
          <cell r="P7415" t="str">
            <v/>
          </cell>
          <cell r="Q7415" t="str">
            <v/>
          </cell>
          <cell r="S7415" t="str">
            <v/>
          </cell>
          <cell r="V7415" t="str">
            <v/>
          </cell>
          <cell r="Z7415" t="str">
            <v/>
          </cell>
          <cell r="AA7415" t="str">
            <v/>
          </cell>
          <cell r="AB7415" t="str">
            <v/>
          </cell>
          <cell r="AC7415" t="str">
            <v/>
          </cell>
          <cell r="AD7415" t="str">
            <v/>
          </cell>
          <cell r="AY7415" t="str">
            <v/>
          </cell>
          <cell r="AZ7415" t="str">
            <v/>
          </cell>
          <cell r="BA7415" t="str">
            <v/>
          </cell>
        </row>
        <row r="7416">
          <cell r="B7416" t="str">
            <v>-</v>
          </cell>
          <cell r="E7416" t="str">
            <v/>
          </cell>
          <cell r="G7416" t="str">
            <v/>
          </cell>
          <cell r="J7416" t="str">
            <v/>
          </cell>
          <cell r="O7416" t="str">
            <v/>
          </cell>
          <cell r="P7416" t="str">
            <v/>
          </cell>
          <cell r="Q7416" t="str">
            <v/>
          </cell>
          <cell r="S7416" t="str">
            <v/>
          </cell>
          <cell r="V7416" t="str">
            <v/>
          </cell>
          <cell r="Z7416" t="str">
            <v/>
          </cell>
          <cell r="AA7416" t="str">
            <v/>
          </cell>
          <cell r="AB7416" t="str">
            <v/>
          </cell>
          <cell r="AC7416" t="str">
            <v/>
          </cell>
          <cell r="AD7416" t="str">
            <v/>
          </cell>
          <cell r="AY7416" t="str">
            <v/>
          </cell>
          <cell r="AZ7416" t="str">
            <v/>
          </cell>
          <cell r="BA7416" t="str">
            <v/>
          </cell>
        </row>
        <row r="7417">
          <cell r="B7417" t="str">
            <v>-</v>
          </cell>
          <cell r="E7417" t="str">
            <v/>
          </cell>
          <cell r="G7417" t="str">
            <v/>
          </cell>
          <cell r="J7417" t="str">
            <v/>
          </cell>
          <cell r="O7417" t="str">
            <v/>
          </cell>
          <cell r="P7417" t="str">
            <v/>
          </cell>
          <cell r="Q7417" t="str">
            <v/>
          </cell>
          <cell r="S7417" t="str">
            <v/>
          </cell>
          <cell r="V7417" t="str">
            <v/>
          </cell>
          <cell r="Z7417" t="str">
            <v/>
          </cell>
          <cell r="AA7417" t="str">
            <v/>
          </cell>
          <cell r="AB7417" t="str">
            <v/>
          </cell>
          <cell r="AC7417" t="str">
            <v/>
          </cell>
          <cell r="AD7417" t="str">
            <v/>
          </cell>
          <cell r="AY7417" t="str">
            <v/>
          </cell>
          <cell r="AZ7417" t="str">
            <v/>
          </cell>
          <cell r="BA7417" t="str">
            <v/>
          </cell>
        </row>
        <row r="7418">
          <cell r="B7418" t="str">
            <v>-</v>
          </cell>
          <cell r="E7418" t="str">
            <v/>
          </cell>
          <cell r="G7418" t="str">
            <v/>
          </cell>
          <cell r="J7418" t="str">
            <v/>
          </cell>
          <cell r="O7418" t="str">
            <v/>
          </cell>
          <cell r="P7418" t="str">
            <v/>
          </cell>
          <cell r="Q7418" t="str">
            <v/>
          </cell>
          <cell r="S7418" t="str">
            <v/>
          </cell>
          <cell r="V7418" t="str">
            <v/>
          </cell>
          <cell r="Z7418" t="str">
            <v/>
          </cell>
          <cell r="AA7418" t="str">
            <v/>
          </cell>
          <cell r="AB7418" t="str">
            <v/>
          </cell>
          <cell r="AC7418" t="str">
            <v/>
          </cell>
          <cell r="AD7418" t="str">
            <v/>
          </cell>
          <cell r="AY7418" t="str">
            <v/>
          </cell>
          <cell r="AZ7418" t="str">
            <v/>
          </cell>
          <cell r="BA7418" t="str">
            <v/>
          </cell>
        </row>
        <row r="7419">
          <cell r="B7419" t="str">
            <v>-</v>
          </cell>
          <cell r="E7419" t="str">
            <v/>
          </cell>
          <cell r="G7419" t="str">
            <v/>
          </cell>
          <cell r="J7419" t="str">
            <v/>
          </cell>
          <cell r="O7419" t="str">
            <v/>
          </cell>
          <cell r="P7419" t="str">
            <v/>
          </cell>
          <cell r="Q7419" t="str">
            <v/>
          </cell>
          <cell r="S7419" t="str">
            <v/>
          </cell>
          <cell r="V7419" t="str">
            <v/>
          </cell>
          <cell r="Z7419" t="str">
            <v/>
          </cell>
          <cell r="AA7419" t="str">
            <v/>
          </cell>
          <cell r="AB7419" t="str">
            <v/>
          </cell>
          <cell r="AC7419" t="str">
            <v/>
          </cell>
          <cell r="AD7419" t="str">
            <v/>
          </cell>
          <cell r="AY7419" t="str">
            <v/>
          </cell>
          <cell r="AZ7419" t="str">
            <v/>
          </cell>
          <cell r="BA7419" t="str">
            <v/>
          </cell>
        </row>
        <row r="7420">
          <cell r="B7420" t="str">
            <v>-</v>
          </cell>
          <cell r="E7420" t="str">
            <v/>
          </cell>
          <cell r="G7420" t="str">
            <v/>
          </cell>
          <cell r="J7420" t="str">
            <v/>
          </cell>
          <cell r="O7420" t="str">
            <v/>
          </cell>
          <cell r="P7420" t="str">
            <v/>
          </cell>
          <cell r="Q7420" t="str">
            <v/>
          </cell>
          <cell r="S7420" t="str">
            <v/>
          </cell>
          <cell r="V7420" t="str">
            <v/>
          </cell>
          <cell r="Z7420" t="str">
            <v/>
          </cell>
          <cell r="AA7420" t="str">
            <v/>
          </cell>
          <cell r="AB7420" t="str">
            <v/>
          </cell>
          <cell r="AC7420" t="str">
            <v/>
          </cell>
          <cell r="AD7420" t="str">
            <v/>
          </cell>
          <cell r="AY7420" t="str">
            <v/>
          </cell>
          <cell r="AZ7420" t="str">
            <v/>
          </cell>
          <cell r="BA7420" t="str">
            <v/>
          </cell>
        </row>
        <row r="7421">
          <cell r="B7421" t="str">
            <v>-</v>
          </cell>
          <cell r="E7421" t="str">
            <v/>
          </cell>
          <cell r="G7421" t="str">
            <v/>
          </cell>
          <cell r="J7421" t="str">
            <v/>
          </cell>
          <cell r="O7421" t="str">
            <v/>
          </cell>
          <cell r="P7421" t="str">
            <v/>
          </cell>
          <cell r="Q7421" t="str">
            <v/>
          </cell>
          <cell r="S7421" t="str">
            <v/>
          </cell>
          <cell r="V7421" t="str">
            <v/>
          </cell>
          <cell r="Z7421" t="str">
            <v/>
          </cell>
          <cell r="AA7421" t="str">
            <v/>
          </cell>
          <cell r="AB7421" t="str">
            <v/>
          </cell>
          <cell r="AC7421" t="str">
            <v/>
          </cell>
          <cell r="AD7421" t="str">
            <v/>
          </cell>
          <cell r="AY7421" t="str">
            <v/>
          </cell>
          <cell r="AZ7421" t="str">
            <v/>
          </cell>
          <cell r="BA7421" t="str">
            <v/>
          </cell>
        </row>
        <row r="7422">
          <cell r="B7422" t="str">
            <v>-</v>
          </cell>
          <cell r="E7422" t="str">
            <v/>
          </cell>
          <cell r="G7422" t="str">
            <v/>
          </cell>
          <cell r="J7422" t="str">
            <v/>
          </cell>
          <cell r="O7422" t="str">
            <v/>
          </cell>
          <cell r="P7422" t="str">
            <v/>
          </cell>
          <cell r="Q7422" t="str">
            <v/>
          </cell>
          <cell r="S7422" t="str">
            <v/>
          </cell>
          <cell r="V7422" t="str">
            <v/>
          </cell>
          <cell r="Z7422" t="str">
            <v/>
          </cell>
          <cell r="AA7422" t="str">
            <v/>
          </cell>
          <cell r="AB7422" t="str">
            <v/>
          </cell>
          <cell r="AC7422" t="str">
            <v/>
          </cell>
          <cell r="AD7422" t="str">
            <v/>
          </cell>
          <cell r="AY7422" t="str">
            <v/>
          </cell>
          <cell r="AZ7422" t="str">
            <v/>
          </cell>
          <cell r="BA7422" t="str">
            <v/>
          </cell>
        </row>
        <row r="7423">
          <cell r="B7423" t="str">
            <v>-</v>
          </cell>
          <cell r="E7423" t="str">
            <v/>
          </cell>
          <cell r="G7423" t="str">
            <v/>
          </cell>
          <cell r="J7423" t="str">
            <v/>
          </cell>
          <cell r="O7423" t="str">
            <v/>
          </cell>
          <cell r="P7423" t="str">
            <v/>
          </cell>
          <cell r="Q7423" t="str">
            <v/>
          </cell>
          <cell r="S7423" t="str">
            <v/>
          </cell>
          <cell r="V7423" t="str">
            <v/>
          </cell>
          <cell r="Z7423" t="str">
            <v/>
          </cell>
          <cell r="AA7423" t="str">
            <v/>
          </cell>
          <cell r="AB7423" t="str">
            <v/>
          </cell>
          <cell r="AC7423" t="str">
            <v/>
          </cell>
          <cell r="AD7423" t="str">
            <v/>
          </cell>
          <cell r="AY7423" t="str">
            <v/>
          </cell>
          <cell r="AZ7423" t="str">
            <v/>
          </cell>
          <cell r="BA7423" t="str">
            <v/>
          </cell>
        </row>
        <row r="7424">
          <cell r="B7424" t="str">
            <v>-</v>
          </cell>
          <cell r="E7424" t="str">
            <v/>
          </cell>
          <cell r="G7424" t="str">
            <v/>
          </cell>
          <cell r="J7424" t="str">
            <v/>
          </cell>
          <cell r="O7424" t="str">
            <v/>
          </cell>
          <cell r="P7424" t="str">
            <v/>
          </cell>
          <cell r="Q7424" t="str">
            <v/>
          </cell>
          <cell r="S7424" t="str">
            <v/>
          </cell>
          <cell r="V7424" t="str">
            <v/>
          </cell>
          <cell r="Z7424" t="str">
            <v/>
          </cell>
          <cell r="AA7424" t="str">
            <v/>
          </cell>
          <cell r="AB7424" t="str">
            <v/>
          </cell>
          <cell r="AC7424" t="str">
            <v/>
          </cell>
          <cell r="AD7424" t="str">
            <v/>
          </cell>
          <cell r="AY7424" t="str">
            <v/>
          </cell>
          <cell r="AZ7424" t="str">
            <v/>
          </cell>
          <cell r="BA7424" t="str">
            <v/>
          </cell>
        </row>
        <row r="7425">
          <cell r="B7425" t="str">
            <v>-</v>
          </cell>
          <cell r="E7425" t="str">
            <v/>
          </cell>
          <cell r="G7425" t="str">
            <v/>
          </cell>
          <cell r="J7425" t="str">
            <v/>
          </cell>
          <cell r="O7425" t="str">
            <v/>
          </cell>
          <cell r="P7425" t="str">
            <v/>
          </cell>
          <cell r="Q7425" t="str">
            <v/>
          </cell>
          <cell r="S7425" t="str">
            <v/>
          </cell>
          <cell r="V7425" t="str">
            <v/>
          </cell>
          <cell r="Z7425" t="str">
            <v/>
          </cell>
          <cell r="AA7425" t="str">
            <v/>
          </cell>
          <cell r="AB7425" t="str">
            <v/>
          </cell>
          <cell r="AC7425" t="str">
            <v/>
          </cell>
          <cell r="AD7425" t="str">
            <v/>
          </cell>
          <cell r="AY7425" t="str">
            <v/>
          </cell>
          <cell r="AZ7425" t="str">
            <v/>
          </cell>
          <cell r="BA7425" t="str">
            <v/>
          </cell>
        </row>
        <row r="7426">
          <cell r="B7426" t="str">
            <v>-</v>
          </cell>
          <cell r="E7426" t="str">
            <v/>
          </cell>
          <cell r="G7426" t="str">
            <v/>
          </cell>
          <cell r="J7426" t="str">
            <v/>
          </cell>
          <cell r="O7426" t="str">
            <v/>
          </cell>
          <cell r="P7426" t="str">
            <v/>
          </cell>
          <cell r="Q7426" t="str">
            <v/>
          </cell>
          <cell r="S7426" t="str">
            <v/>
          </cell>
          <cell r="V7426" t="str">
            <v/>
          </cell>
          <cell r="Z7426" t="str">
            <v/>
          </cell>
          <cell r="AA7426" t="str">
            <v/>
          </cell>
          <cell r="AB7426" t="str">
            <v/>
          </cell>
          <cell r="AC7426" t="str">
            <v/>
          </cell>
          <cell r="AD7426" t="str">
            <v/>
          </cell>
          <cell r="AY7426" t="str">
            <v/>
          </cell>
          <cell r="AZ7426" t="str">
            <v/>
          </cell>
          <cell r="BA7426" t="str">
            <v/>
          </cell>
        </row>
        <row r="7427">
          <cell r="B7427" t="str">
            <v>-</v>
          </cell>
          <cell r="E7427" t="str">
            <v/>
          </cell>
          <cell r="G7427" t="str">
            <v/>
          </cell>
          <cell r="J7427" t="str">
            <v/>
          </cell>
          <cell r="O7427" t="str">
            <v/>
          </cell>
          <cell r="P7427" t="str">
            <v/>
          </cell>
          <cell r="Q7427" t="str">
            <v/>
          </cell>
          <cell r="S7427" t="str">
            <v/>
          </cell>
          <cell r="V7427" t="str">
            <v/>
          </cell>
          <cell r="Z7427" t="str">
            <v/>
          </cell>
          <cell r="AA7427" t="str">
            <v/>
          </cell>
          <cell r="AB7427" t="str">
            <v/>
          </cell>
          <cell r="AC7427" t="str">
            <v/>
          </cell>
          <cell r="AD7427" t="str">
            <v/>
          </cell>
          <cell r="AY7427" t="str">
            <v/>
          </cell>
          <cell r="AZ7427" t="str">
            <v/>
          </cell>
          <cell r="BA7427" t="str">
            <v/>
          </cell>
        </row>
        <row r="7428">
          <cell r="B7428" t="str">
            <v>-</v>
          </cell>
          <cell r="E7428" t="str">
            <v/>
          </cell>
          <cell r="G7428" t="str">
            <v/>
          </cell>
          <cell r="J7428" t="str">
            <v/>
          </cell>
          <cell r="O7428" t="str">
            <v/>
          </cell>
          <cell r="P7428" t="str">
            <v/>
          </cell>
          <cell r="Q7428" t="str">
            <v/>
          </cell>
          <cell r="S7428" t="str">
            <v/>
          </cell>
          <cell r="V7428" t="str">
            <v/>
          </cell>
          <cell r="Z7428" t="str">
            <v/>
          </cell>
          <cell r="AA7428" t="str">
            <v/>
          </cell>
          <cell r="AB7428" t="str">
            <v/>
          </cell>
          <cell r="AC7428" t="str">
            <v/>
          </cell>
          <cell r="AD7428" t="str">
            <v/>
          </cell>
          <cell r="AY7428" t="str">
            <v/>
          </cell>
          <cell r="AZ7428" t="str">
            <v/>
          </cell>
          <cell r="BA7428" t="str">
            <v/>
          </cell>
        </row>
        <row r="7429">
          <cell r="B7429" t="str">
            <v>-</v>
          </cell>
          <cell r="E7429" t="str">
            <v/>
          </cell>
          <cell r="G7429" t="str">
            <v/>
          </cell>
          <cell r="J7429" t="str">
            <v/>
          </cell>
          <cell r="O7429" t="str">
            <v/>
          </cell>
          <cell r="P7429" t="str">
            <v/>
          </cell>
          <cell r="Q7429" t="str">
            <v/>
          </cell>
          <cell r="S7429" t="str">
            <v/>
          </cell>
          <cell r="V7429" t="str">
            <v/>
          </cell>
          <cell r="Z7429" t="str">
            <v/>
          </cell>
          <cell r="AA7429" t="str">
            <v/>
          </cell>
          <cell r="AB7429" t="str">
            <v/>
          </cell>
          <cell r="AC7429" t="str">
            <v/>
          </cell>
          <cell r="AD7429" t="str">
            <v/>
          </cell>
          <cell r="AY7429" t="str">
            <v/>
          </cell>
          <cell r="AZ7429" t="str">
            <v/>
          </cell>
          <cell r="BA7429" t="str">
            <v/>
          </cell>
        </row>
        <row r="7430">
          <cell r="B7430" t="str">
            <v>-</v>
          </cell>
          <cell r="E7430" t="str">
            <v/>
          </cell>
          <cell r="G7430" t="str">
            <v/>
          </cell>
          <cell r="J7430" t="str">
            <v/>
          </cell>
          <cell r="O7430" t="str">
            <v/>
          </cell>
          <cell r="P7430" t="str">
            <v/>
          </cell>
          <cell r="Q7430" t="str">
            <v/>
          </cell>
          <cell r="S7430" t="str">
            <v/>
          </cell>
          <cell r="V7430" t="str">
            <v/>
          </cell>
          <cell r="Z7430" t="str">
            <v/>
          </cell>
          <cell r="AA7430" t="str">
            <v/>
          </cell>
          <cell r="AB7430" t="str">
            <v/>
          </cell>
          <cell r="AC7430" t="str">
            <v/>
          </cell>
          <cell r="AD7430" t="str">
            <v/>
          </cell>
          <cell r="AY7430" t="str">
            <v/>
          </cell>
          <cell r="AZ7430" t="str">
            <v/>
          </cell>
          <cell r="BA7430" t="str">
            <v/>
          </cell>
        </row>
        <row r="7431">
          <cell r="B7431" t="str">
            <v>-</v>
          </cell>
          <cell r="E7431" t="str">
            <v/>
          </cell>
          <cell r="G7431" t="str">
            <v/>
          </cell>
          <cell r="J7431" t="str">
            <v/>
          </cell>
          <cell r="O7431" t="str">
            <v/>
          </cell>
          <cell r="P7431" t="str">
            <v/>
          </cell>
          <cell r="Q7431" t="str">
            <v/>
          </cell>
          <cell r="S7431" t="str">
            <v/>
          </cell>
          <cell r="V7431" t="str">
            <v/>
          </cell>
          <cell r="Z7431" t="str">
            <v/>
          </cell>
          <cell r="AA7431" t="str">
            <v/>
          </cell>
          <cell r="AB7431" t="str">
            <v/>
          </cell>
          <cell r="AC7431" t="str">
            <v/>
          </cell>
          <cell r="AD7431" t="str">
            <v/>
          </cell>
          <cell r="AY7431" t="str">
            <v/>
          </cell>
          <cell r="AZ7431" t="str">
            <v/>
          </cell>
          <cell r="BA7431" t="str">
            <v/>
          </cell>
        </row>
        <row r="7432">
          <cell r="B7432" t="str">
            <v>-</v>
          </cell>
          <cell r="E7432" t="str">
            <v/>
          </cell>
          <cell r="G7432" t="str">
            <v/>
          </cell>
          <cell r="J7432" t="str">
            <v/>
          </cell>
          <cell r="O7432" t="str">
            <v/>
          </cell>
          <cell r="P7432" t="str">
            <v/>
          </cell>
          <cell r="Q7432" t="str">
            <v/>
          </cell>
          <cell r="S7432" t="str">
            <v/>
          </cell>
          <cell r="V7432" t="str">
            <v/>
          </cell>
          <cell r="Z7432" t="str">
            <v/>
          </cell>
          <cell r="AA7432" t="str">
            <v/>
          </cell>
          <cell r="AB7432" t="str">
            <v/>
          </cell>
          <cell r="AC7432" t="str">
            <v/>
          </cell>
          <cell r="AD7432" t="str">
            <v/>
          </cell>
          <cell r="AY7432" t="str">
            <v/>
          </cell>
          <cell r="AZ7432" t="str">
            <v/>
          </cell>
          <cell r="BA7432" t="str">
            <v/>
          </cell>
        </row>
        <row r="7433">
          <cell r="B7433" t="str">
            <v>-</v>
          </cell>
          <cell r="E7433" t="str">
            <v/>
          </cell>
          <cell r="G7433" t="str">
            <v/>
          </cell>
          <cell r="J7433" t="str">
            <v/>
          </cell>
          <cell r="O7433" t="str">
            <v/>
          </cell>
          <cell r="P7433" t="str">
            <v/>
          </cell>
          <cell r="Q7433" t="str">
            <v/>
          </cell>
          <cell r="S7433" t="str">
            <v/>
          </cell>
          <cell r="V7433" t="str">
            <v/>
          </cell>
          <cell r="Z7433" t="str">
            <v/>
          </cell>
          <cell r="AA7433" t="str">
            <v/>
          </cell>
          <cell r="AB7433" t="str">
            <v/>
          </cell>
          <cell r="AC7433" t="str">
            <v/>
          </cell>
          <cell r="AD7433" t="str">
            <v/>
          </cell>
          <cell r="AY7433" t="str">
            <v/>
          </cell>
          <cell r="AZ7433" t="str">
            <v/>
          </cell>
          <cell r="BA7433" t="str">
            <v/>
          </cell>
        </row>
        <row r="7434">
          <cell r="B7434" t="str">
            <v>-</v>
          </cell>
          <cell r="E7434" t="str">
            <v/>
          </cell>
          <cell r="G7434" t="str">
            <v/>
          </cell>
          <cell r="J7434" t="str">
            <v/>
          </cell>
          <cell r="O7434" t="str">
            <v/>
          </cell>
          <cell r="P7434" t="str">
            <v/>
          </cell>
          <cell r="Q7434" t="str">
            <v/>
          </cell>
          <cell r="S7434" t="str">
            <v/>
          </cell>
          <cell r="V7434" t="str">
            <v/>
          </cell>
          <cell r="Z7434" t="str">
            <v/>
          </cell>
          <cell r="AA7434" t="str">
            <v/>
          </cell>
          <cell r="AB7434" t="str">
            <v/>
          </cell>
          <cell r="AC7434" t="str">
            <v/>
          </cell>
          <cell r="AD7434" t="str">
            <v/>
          </cell>
          <cell r="AY7434" t="str">
            <v/>
          </cell>
          <cell r="AZ7434" t="str">
            <v/>
          </cell>
          <cell r="BA7434" t="str">
            <v/>
          </cell>
        </row>
        <row r="7435">
          <cell r="B7435" t="str">
            <v>-</v>
          </cell>
          <cell r="E7435" t="str">
            <v/>
          </cell>
          <cell r="G7435" t="str">
            <v/>
          </cell>
          <cell r="J7435" t="str">
            <v/>
          </cell>
          <cell r="O7435" t="str">
            <v/>
          </cell>
          <cell r="P7435" t="str">
            <v/>
          </cell>
          <cell r="Q7435" t="str">
            <v/>
          </cell>
          <cell r="S7435" t="str">
            <v/>
          </cell>
          <cell r="V7435" t="str">
            <v/>
          </cell>
          <cell r="Z7435" t="str">
            <v/>
          </cell>
          <cell r="AA7435" t="str">
            <v/>
          </cell>
          <cell r="AB7435" t="str">
            <v/>
          </cell>
          <cell r="AC7435" t="str">
            <v/>
          </cell>
          <cell r="AD7435" t="str">
            <v/>
          </cell>
          <cell r="AY7435" t="str">
            <v/>
          </cell>
          <cell r="AZ7435" t="str">
            <v/>
          </cell>
          <cell r="BA7435" t="str">
            <v/>
          </cell>
        </row>
        <row r="7436">
          <cell r="B7436" t="str">
            <v>-</v>
          </cell>
          <cell r="E7436" t="str">
            <v/>
          </cell>
          <cell r="G7436" t="str">
            <v/>
          </cell>
          <cell r="J7436" t="str">
            <v/>
          </cell>
          <cell r="O7436" t="str">
            <v/>
          </cell>
          <cell r="P7436" t="str">
            <v/>
          </cell>
          <cell r="Q7436" t="str">
            <v/>
          </cell>
          <cell r="S7436" t="str">
            <v/>
          </cell>
          <cell r="V7436" t="str">
            <v/>
          </cell>
          <cell r="Z7436" t="str">
            <v/>
          </cell>
          <cell r="AA7436" t="str">
            <v/>
          </cell>
          <cell r="AB7436" t="str">
            <v/>
          </cell>
          <cell r="AC7436" t="str">
            <v/>
          </cell>
          <cell r="AD7436" t="str">
            <v/>
          </cell>
          <cell r="AY7436" t="str">
            <v/>
          </cell>
          <cell r="AZ7436" t="str">
            <v/>
          </cell>
          <cell r="BA7436" t="str">
            <v/>
          </cell>
        </row>
        <row r="7437">
          <cell r="B7437" t="str">
            <v>-</v>
          </cell>
          <cell r="E7437" t="str">
            <v/>
          </cell>
          <cell r="G7437" t="str">
            <v/>
          </cell>
          <cell r="J7437" t="str">
            <v/>
          </cell>
          <cell r="O7437" t="str">
            <v/>
          </cell>
          <cell r="P7437" t="str">
            <v/>
          </cell>
          <cell r="Q7437" t="str">
            <v/>
          </cell>
          <cell r="S7437" t="str">
            <v/>
          </cell>
          <cell r="V7437" t="str">
            <v/>
          </cell>
          <cell r="Z7437" t="str">
            <v/>
          </cell>
          <cell r="AA7437" t="str">
            <v/>
          </cell>
          <cell r="AB7437" t="str">
            <v/>
          </cell>
          <cell r="AC7437" t="str">
            <v/>
          </cell>
          <cell r="AD7437" t="str">
            <v/>
          </cell>
          <cell r="AY7437" t="str">
            <v/>
          </cell>
          <cell r="AZ7437" t="str">
            <v/>
          </cell>
          <cell r="BA7437" t="str">
            <v/>
          </cell>
        </row>
        <row r="7438">
          <cell r="B7438" t="str">
            <v>-</v>
          </cell>
          <cell r="E7438" t="str">
            <v/>
          </cell>
          <cell r="G7438" t="str">
            <v/>
          </cell>
          <cell r="J7438" t="str">
            <v/>
          </cell>
          <cell r="O7438" t="str">
            <v/>
          </cell>
          <cell r="P7438" t="str">
            <v/>
          </cell>
          <cell r="Q7438" t="str">
            <v/>
          </cell>
          <cell r="S7438" t="str">
            <v/>
          </cell>
          <cell r="V7438" t="str">
            <v/>
          </cell>
          <cell r="Z7438" t="str">
            <v/>
          </cell>
          <cell r="AA7438" t="str">
            <v/>
          </cell>
          <cell r="AB7438" t="str">
            <v/>
          </cell>
          <cell r="AC7438" t="str">
            <v/>
          </cell>
          <cell r="AD7438" t="str">
            <v/>
          </cell>
          <cell r="AY7438" t="str">
            <v/>
          </cell>
          <cell r="AZ7438" t="str">
            <v/>
          </cell>
          <cell r="BA7438" t="str">
            <v/>
          </cell>
        </row>
        <row r="7439">
          <cell r="B7439" t="str">
            <v>-</v>
          </cell>
          <cell r="E7439" t="str">
            <v/>
          </cell>
          <cell r="G7439" t="str">
            <v/>
          </cell>
          <cell r="J7439" t="str">
            <v/>
          </cell>
          <cell r="O7439" t="str">
            <v/>
          </cell>
          <cell r="P7439" t="str">
            <v/>
          </cell>
          <cell r="Q7439" t="str">
            <v/>
          </cell>
          <cell r="S7439" t="str">
            <v/>
          </cell>
          <cell r="V7439" t="str">
            <v/>
          </cell>
          <cell r="Z7439" t="str">
            <v/>
          </cell>
          <cell r="AA7439" t="str">
            <v/>
          </cell>
          <cell r="AB7439" t="str">
            <v/>
          </cell>
          <cell r="AC7439" t="str">
            <v/>
          </cell>
          <cell r="AD7439" t="str">
            <v/>
          </cell>
          <cell r="AY7439" t="str">
            <v/>
          </cell>
          <cell r="AZ7439" t="str">
            <v/>
          </cell>
          <cell r="BA7439" t="str">
            <v/>
          </cell>
        </row>
        <row r="7440">
          <cell r="B7440" t="str">
            <v>-</v>
          </cell>
          <cell r="E7440" t="str">
            <v/>
          </cell>
          <cell r="G7440" t="str">
            <v/>
          </cell>
          <cell r="J7440" t="str">
            <v/>
          </cell>
          <cell r="O7440" t="str">
            <v/>
          </cell>
          <cell r="P7440" t="str">
            <v/>
          </cell>
          <cell r="Q7440" t="str">
            <v/>
          </cell>
          <cell r="S7440" t="str">
            <v/>
          </cell>
          <cell r="V7440" t="str">
            <v/>
          </cell>
          <cell r="Z7440" t="str">
            <v/>
          </cell>
          <cell r="AA7440" t="str">
            <v/>
          </cell>
          <cell r="AB7440" t="str">
            <v/>
          </cell>
          <cell r="AC7440" t="str">
            <v/>
          </cell>
          <cell r="AD7440" t="str">
            <v/>
          </cell>
          <cell r="AY7440" t="str">
            <v/>
          </cell>
          <cell r="AZ7440" t="str">
            <v/>
          </cell>
          <cell r="BA7440" t="str">
            <v/>
          </cell>
        </row>
        <row r="7441">
          <cell r="B7441" t="str">
            <v>-</v>
          </cell>
          <cell r="E7441" t="str">
            <v/>
          </cell>
          <cell r="G7441" t="str">
            <v/>
          </cell>
          <cell r="J7441" t="str">
            <v/>
          </cell>
          <cell r="O7441" t="str">
            <v/>
          </cell>
          <cell r="P7441" t="str">
            <v/>
          </cell>
          <cell r="Q7441" t="str">
            <v/>
          </cell>
          <cell r="S7441" t="str">
            <v/>
          </cell>
          <cell r="V7441" t="str">
            <v/>
          </cell>
          <cell r="Z7441" t="str">
            <v/>
          </cell>
          <cell r="AA7441" t="str">
            <v/>
          </cell>
          <cell r="AB7441" t="str">
            <v/>
          </cell>
          <cell r="AC7441" t="str">
            <v/>
          </cell>
          <cell r="AD7441" t="str">
            <v/>
          </cell>
          <cell r="AY7441" t="str">
            <v/>
          </cell>
          <cell r="AZ7441" t="str">
            <v/>
          </cell>
          <cell r="BA7441" t="str">
            <v/>
          </cell>
        </row>
        <row r="7442">
          <cell r="B7442" t="str">
            <v>-</v>
          </cell>
          <cell r="E7442" t="str">
            <v/>
          </cell>
          <cell r="G7442" t="str">
            <v/>
          </cell>
          <cell r="J7442" t="str">
            <v/>
          </cell>
          <cell r="O7442" t="str">
            <v/>
          </cell>
          <cell r="P7442" t="str">
            <v/>
          </cell>
          <cell r="Q7442" t="str">
            <v/>
          </cell>
          <cell r="S7442" t="str">
            <v/>
          </cell>
          <cell r="V7442" t="str">
            <v/>
          </cell>
          <cell r="Z7442" t="str">
            <v/>
          </cell>
          <cell r="AA7442" t="str">
            <v/>
          </cell>
          <cell r="AB7442" t="str">
            <v/>
          </cell>
          <cell r="AC7442" t="str">
            <v/>
          </cell>
          <cell r="AD7442" t="str">
            <v/>
          </cell>
          <cell r="AY7442" t="str">
            <v/>
          </cell>
          <cell r="AZ7442" t="str">
            <v/>
          </cell>
          <cell r="BA7442" t="str">
            <v/>
          </cell>
        </row>
        <row r="7443">
          <cell r="B7443" t="str">
            <v>-</v>
          </cell>
          <cell r="E7443" t="str">
            <v/>
          </cell>
          <cell r="G7443" t="str">
            <v/>
          </cell>
          <cell r="J7443" t="str">
            <v/>
          </cell>
          <cell r="O7443" t="str">
            <v/>
          </cell>
          <cell r="P7443" t="str">
            <v/>
          </cell>
          <cell r="Q7443" t="str">
            <v/>
          </cell>
          <cell r="S7443" t="str">
            <v/>
          </cell>
          <cell r="V7443" t="str">
            <v/>
          </cell>
          <cell r="Z7443" t="str">
            <v/>
          </cell>
          <cell r="AA7443" t="str">
            <v/>
          </cell>
          <cell r="AB7443" t="str">
            <v/>
          </cell>
          <cell r="AC7443" t="str">
            <v/>
          </cell>
          <cell r="AD7443" t="str">
            <v/>
          </cell>
          <cell r="AY7443" t="str">
            <v/>
          </cell>
          <cell r="AZ7443" t="str">
            <v/>
          </cell>
          <cell r="BA7443" t="str">
            <v/>
          </cell>
        </row>
        <row r="7444">
          <cell r="B7444" t="str">
            <v>-</v>
          </cell>
          <cell r="E7444" t="str">
            <v/>
          </cell>
          <cell r="G7444" t="str">
            <v/>
          </cell>
          <cell r="J7444" t="str">
            <v/>
          </cell>
          <cell r="O7444" t="str">
            <v/>
          </cell>
          <cell r="P7444" t="str">
            <v/>
          </cell>
          <cell r="Q7444" t="str">
            <v/>
          </cell>
          <cell r="S7444" t="str">
            <v/>
          </cell>
          <cell r="V7444" t="str">
            <v/>
          </cell>
          <cell r="Z7444" t="str">
            <v/>
          </cell>
          <cell r="AA7444" t="str">
            <v/>
          </cell>
          <cell r="AB7444" t="str">
            <v/>
          </cell>
          <cell r="AC7444" t="str">
            <v/>
          </cell>
          <cell r="AD7444" t="str">
            <v/>
          </cell>
          <cell r="AY7444" t="str">
            <v/>
          </cell>
          <cell r="AZ7444" t="str">
            <v/>
          </cell>
          <cell r="BA7444" t="str">
            <v/>
          </cell>
        </row>
        <row r="7445">
          <cell r="B7445" t="str">
            <v>-</v>
          </cell>
          <cell r="E7445" t="str">
            <v/>
          </cell>
          <cell r="G7445" t="str">
            <v/>
          </cell>
          <cell r="J7445" t="str">
            <v/>
          </cell>
          <cell r="O7445" t="str">
            <v/>
          </cell>
          <cell r="P7445" t="str">
            <v/>
          </cell>
          <cell r="Q7445" t="str">
            <v/>
          </cell>
          <cell r="S7445" t="str">
            <v/>
          </cell>
          <cell r="V7445" t="str">
            <v/>
          </cell>
          <cell r="Z7445" t="str">
            <v/>
          </cell>
          <cell r="AA7445" t="str">
            <v/>
          </cell>
          <cell r="AB7445" t="str">
            <v/>
          </cell>
          <cell r="AC7445" t="str">
            <v/>
          </cell>
          <cell r="AD7445" t="str">
            <v/>
          </cell>
          <cell r="AY7445" t="str">
            <v/>
          </cell>
          <cell r="AZ7445" t="str">
            <v/>
          </cell>
          <cell r="BA7445" t="str">
            <v/>
          </cell>
        </row>
        <row r="7446">
          <cell r="B7446" t="str">
            <v>-</v>
          </cell>
          <cell r="E7446" t="str">
            <v/>
          </cell>
          <cell r="G7446" t="str">
            <v/>
          </cell>
          <cell r="J7446" t="str">
            <v/>
          </cell>
          <cell r="O7446" t="str">
            <v/>
          </cell>
          <cell r="P7446" t="str">
            <v/>
          </cell>
          <cell r="Q7446" t="str">
            <v/>
          </cell>
          <cell r="S7446" t="str">
            <v/>
          </cell>
          <cell r="V7446" t="str">
            <v/>
          </cell>
          <cell r="Z7446" t="str">
            <v/>
          </cell>
          <cell r="AA7446" t="str">
            <v/>
          </cell>
          <cell r="AB7446" t="str">
            <v/>
          </cell>
          <cell r="AC7446" t="str">
            <v/>
          </cell>
          <cell r="AD7446" t="str">
            <v/>
          </cell>
          <cell r="AY7446" t="str">
            <v/>
          </cell>
          <cell r="AZ7446" t="str">
            <v/>
          </cell>
          <cell r="BA7446" t="str">
            <v/>
          </cell>
        </row>
        <row r="7447">
          <cell r="B7447" t="str">
            <v>-</v>
          </cell>
          <cell r="E7447" t="str">
            <v/>
          </cell>
          <cell r="G7447" t="str">
            <v/>
          </cell>
          <cell r="J7447" t="str">
            <v/>
          </cell>
          <cell r="O7447" t="str">
            <v/>
          </cell>
          <cell r="P7447" t="str">
            <v/>
          </cell>
          <cell r="Q7447" t="str">
            <v/>
          </cell>
          <cell r="S7447" t="str">
            <v/>
          </cell>
          <cell r="V7447" t="str">
            <v/>
          </cell>
          <cell r="Z7447" t="str">
            <v/>
          </cell>
          <cell r="AA7447" t="str">
            <v/>
          </cell>
          <cell r="AB7447" t="str">
            <v/>
          </cell>
          <cell r="AC7447" t="str">
            <v/>
          </cell>
          <cell r="AD7447" t="str">
            <v/>
          </cell>
          <cell r="AY7447" t="str">
            <v/>
          </cell>
          <cell r="AZ7447" t="str">
            <v/>
          </cell>
          <cell r="BA7447" t="str">
            <v/>
          </cell>
        </row>
        <row r="7448">
          <cell r="B7448" t="str">
            <v>-</v>
          </cell>
          <cell r="E7448" t="str">
            <v/>
          </cell>
          <cell r="G7448" t="str">
            <v/>
          </cell>
          <cell r="J7448" t="str">
            <v/>
          </cell>
          <cell r="O7448" t="str">
            <v/>
          </cell>
          <cell r="P7448" t="str">
            <v/>
          </cell>
          <cell r="Q7448" t="str">
            <v/>
          </cell>
          <cell r="S7448" t="str">
            <v/>
          </cell>
          <cell r="V7448" t="str">
            <v/>
          </cell>
          <cell r="Z7448" t="str">
            <v/>
          </cell>
          <cell r="AA7448" t="str">
            <v/>
          </cell>
          <cell r="AB7448" t="str">
            <v/>
          </cell>
          <cell r="AC7448" t="str">
            <v/>
          </cell>
          <cell r="AD7448" t="str">
            <v/>
          </cell>
          <cell r="AY7448" t="str">
            <v/>
          </cell>
          <cell r="AZ7448" t="str">
            <v/>
          </cell>
          <cell r="BA7448" t="str">
            <v/>
          </cell>
        </row>
        <row r="7449">
          <cell r="B7449" t="str">
            <v>-</v>
          </cell>
          <cell r="E7449" t="str">
            <v/>
          </cell>
          <cell r="G7449" t="str">
            <v/>
          </cell>
          <cell r="J7449" t="str">
            <v/>
          </cell>
          <cell r="O7449" t="str">
            <v/>
          </cell>
          <cell r="P7449" t="str">
            <v/>
          </cell>
          <cell r="Q7449" t="str">
            <v/>
          </cell>
          <cell r="S7449" t="str">
            <v/>
          </cell>
          <cell r="V7449" t="str">
            <v/>
          </cell>
          <cell r="Z7449" t="str">
            <v/>
          </cell>
          <cell r="AA7449" t="str">
            <v/>
          </cell>
          <cell r="AB7449" t="str">
            <v/>
          </cell>
          <cell r="AC7449" t="str">
            <v/>
          </cell>
          <cell r="AD7449" t="str">
            <v/>
          </cell>
          <cell r="AY7449" t="str">
            <v/>
          </cell>
          <cell r="AZ7449" t="str">
            <v/>
          </cell>
          <cell r="BA7449" t="str">
            <v/>
          </cell>
        </row>
        <row r="7450">
          <cell r="B7450" t="str">
            <v>-</v>
          </cell>
          <cell r="E7450" t="str">
            <v/>
          </cell>
          <cell r="G7450" t="str">
            <v/>
          </cell>
          <cell r="J7450" t="str">
            <v/>
          </cell>
          <cell r="O7450" t="str">
            <v/>
          </cell>
          <cell r="P7450" t="str">
            <v/>
          </cell>
          <cell r="Q7450" t="str">
            <v/>
          </cell>
          <cell r="S7450" t="str">
            <v/>
          </cell>
          <cell r="V7450" t="str">
            <v/>
          </cell>
          <cell r="Z7450" t="str">
            <v/>
          </cell>
          <cell r="AA7450" t="str">
            <v/>
          </cell>
          <cell r="AB7450" t="str">
            <v/>
          </cell>
          <cell r="AC7450" t="str">
            <v/>
          </cell>
          <cell r="AD7450" t="str">
            <v/>
          </cell>
          <cell r="AY7450" t="str">
            <v/>
          </cell>
          <cell r="AZ7450" t="str">
            <v/>
          </cell>
          <cell r="BA7450" t="str">
            <v/>
          </cell>
        </row>
        <row r="7451">
          <cell r="B7451" t="str">
            <v>-</v>
          </cell>
          <cell r="E7451" t="str">
            <v/>
          </cell>
          <cell r="G7451" t="str">
            <v/>
          </cell>
          <cell r="J7451" t="str">
            <v/>
          </cell>
          <cell r="O7451" t="str">
            <v/>
          </cell>
          <cell r="P7451" t="str">
            <v/>
          </cell>
          <cell r="Q7451" t="str">
            <v/>
          </cell>
          <cell r="S7451" t="str">
            <v/>
          </cell>
          <cell r="V7451" t="str">
            <v/>
          </cell>
          <cell r="Z7451" t="str">
            <v/>
          </cell>
          <cell r="AA7451" t="str">
            <v/>
          </cell>
          <cell r="AB7451" t="str">
            <v/>
          </cell>
          <cell r="AC7451" t="str">
            <v/>
          </cell>
          <cell r="AD7451" t="str">
            <v/>
          </cell>
          <cell r="AY7451" t="str">
            <v/>
          </cell>
          <cell r="AZ7451" t="str">
            <v/>
          </cell>
          <cell r="BA7451" t="str">
            <v/>
          </cell>
        </row>
        <row r="7452">
          <cell r="B7452" t="str">
            <v>-</v>
          </cell>
          <cell r="E7452" t="str">
            <v/>
          </cell>
          <cell r="G7452" t="str">
            <v/>
          </cell>
          <cell r="J7452" t="str">
            <v/>
          </cell>
          <cell r="O7452" t="str">
            <v/>
          </cell>
          <cell r="P7452" t="str">
            <v/>
          </cell>
          <cell r="Q7452" t="str">
            <v/>
          </cell>
          <cell r="S7452" t="str">
            <v/>
          </cell>
          <cell r="V7452" t="str">
            <v/>
          </cell>
          <cell r="Z7452" t="str">
            <v/>
          </cell>
          <cell r="AA7452" t="str">
            <v/>
          </cell>
          <cell r="AB7452" t="str">
            <v/>
          </cell>
          <cell r="AC7452" t="str">
            <v/>
          </cell>
          <cell r="AD7452" t="str">
            <v/>
          </cell>
          <cell r="AY7452" t="str">
            <v/>
          </cell>
          <cell r="AZ7452" t="str">
            <v/>
          </cell>
          <cell r="BA7452" t="str">
            <v/>
          </cell>
        </row>
        <row r="7453">
          <cell r="B7453" t="str">
            <v>-</v>
          </cell>
          <cell r="E7453" t="str">
            <v/>
          </cell>
          <cell r="G7453" t="str">
            <v/>
          </cell>
          <cell r="J7453" t="str">
            <v/>
          </cell>
          <cell r="O7453" t="str">
            <v/>
          </cell>
          <cell r="P7453" t="str">
            <v/>
          </cell>
          <cell r="Q7453" t="str">
            <v/>
          </cell>
          <cell r="S7453" t="str">
            <v/>
          </cell>
          <cell r="V7453" t="str">
            <v/>
          </cell>
          <cell r="Z7453" t="str">
            <v/>
          </cell>
          <cell r="AA7453" t="str">
            <v/>
          </cell>
          <cell r="AB7453" t="str">
            <v/>
          </cell>
          <cell r="AC7453" t="str">
            <v/>
          </cell>
          <cell r="AD7453" t="str">
            <v/>
          </cell>
          <cell r="AY7453" t="str">
            <v/>
          </cell>
          <cell r="AZ7453" t="str">
            <v/>
          </cell>
          <cell r="BA7453" t="str">
            <v/>
          </cell>
        </row>
        <row r="7454">
          <cell r="B7454" t="str">
            <v>-</v>
          </cell>
          <cell r="E7454" t="str">
            <v/>
          </cell>
          <cell r="G7454" t="str">
            <v/>
          </cell>
          <cell r="J7454" t="str">
            <v/>
          </cell>
          <cell r="O7454" t="str">
            <v/>
          </cell>
          <cell r="P7454" t="str">
            <v/>
          </cell>
          <cell r="Q7454" t="str">
            <v/>
          </cell>
          <cell r="S7454" t="str">
            <v/>
          </cell>
          <cell r="V7454" t="str">
            <v/>
          </cell>
          <cell r="Z7454" t="str">
            <v/>
          </cell>
          <cell r="AA7454" t="str">
            <v/>
          </cell>
          <cell r="AB7454" t="str">
            <v/>
          </cell>
          <cell r="AC7454" t="str">
            <v/>
          </cell>
          <cell r="AD7454" t="str">
            <v/>
          </cell>
          <cell r="AY7454" t="str">
            <v/>
          </cell>
          <cell r="AZ7454" t="str">
            <v/>
          </cell>
          <cell r="BA7454" t="str">
            <v/>
          </cell>
        </row>
        <row r="7455">
          <cell r="B7455" t="str">
            <v>-</v>
          </cell>
          <cell r="E7455" t="str">
            <v/>
          </cell>
          <cell r="G7455" t="str">
            <v/>
          </cell>
          <cell r="J7455" t="str">
            <v/>
          </cell>
          <cell r="O7455" t="str">
            <v/>
          </cell>
          <cell r="P7455" t="str">
            <v/>
          </cell>
          <cell r="Q7455" t="str">
            <v/>
          </cell>
          <cell r="S7455" t="str">
            <v/>
          </cell>
          <cell r="V7455" t="str">
            <v/>
          </cell>
          <cell r="Z7455" t="str">
            <v/>
          </cell>
          <cell r="AA7455" t="str">
            <v/>
          </cell>
          <cell r="AB7455" t="str">
            <v/>
          </cell>
          <cell r="AC7455" t="str">
            <v/>
          </cell>
          <cell r="AD7455" t="str">
            <v/>
          </cell>
          <cell r="AY7455" t="str">
            <v/>
          </cell>
          <cell r="AZ7455" t="str">
            <v/>
          </cell>
          <cell r="BA7455" t="str">
            <v/>
          </cell>
        </row>
        <row r="7456">
          <cell r="B7456" t="str">
            <v>-</v>
          </cell>
          <cell r="E7456" t="str">
            <v/>
          </cell>
          <cell r="G7456" t="str">
            <v/>
          </cell>
          <cell r="J7456" t="str">
            <v/>
          </cell>
          <cell r="O7456" t="str">
            <v/>
          </cell>
          <cell r="P7456" t="str">
            <v/>
          </cell>
          <cell r="Q7456" t="str">
            <v/>
          </cell>
          <cell r="S7456" t="str">
            <v/>
          </cell>
          <cell r="V7456" t="str">
            <v/>
          </cell>
          <cell r="Z7456" t="str">
            <v/>
          </cell>
          <cell r="AA7456" t="str">
            <v/>
          </cell>
          <cell r="AB7456" t="str">
            <v/>
          </cell>
          <cell r="AC7456" t="str">
            <v/>
          </cell>
          <cell r="AD7456" t="str">
            <v/>
          </cell>
          <cell r="AY7456" t="str">
            <v/>
          </cell>
          <cell r="AZ7456" t="str">
            <v/>
          </cell>
          <cell r="BA7456" t="str">
            <v/>
          </cell>
        </row>
        <row r="7457">
          <cell r="B7457" t="str">
            <v>-</v>
          </cell>
          <cell r="E7457" t="str">
            <v/>
          </cell>
          <cell r="G7457" t="str">
            <v/>
          </cell>
          <cell r="J7457" t="str">
            <v/>
          </cell>
          <cell r="O7457" t="str">
            <v/>
          </cell>
          <cell r="P7457" t="str">
            <v/>
          </cell>
          <cell r="Q7457" t="str">
            <v/>
          </cell>
          <cell r="S7457" t="str">
            <v/>
          </cell>
          <cell r="V7457" t="str">
            <v/>
          </cell>
          <cell r="Z7457" t="str">
            <v/>
          </cell>
          <cell r="AA7457" t="str">
            <v/>
          </cell>
          <cell r="AB7457" t="str">
            <v/>
          </cell>
          <cell r="AC7457" t="str">
            <v/>
          </cell>
          <cell r="AD7457" t="str">
            <v/>
          </cell>
          <cell r="AY7457" t="str">
            <v/>
          </cell>
          <cell r="AZ7457" t="str">
            <v/>
          </cell>
          <cell r="BA7457" t="str">
            <v/>
          </cell>
        </row>
        <row r="7458">
          <cell r="B7458" t="str">
            <v>-</v>
          </cell>
          <cell r="E7458" t="str">
            <v/>
          </cell>
          <cell r="G7458" t="str">
            <v/>
          </cell>
          <cell r="J7458" t="str">
            <v/>
          </cell>
          <cell r="O7458" t="str">
            <v/>
          </cell>
          <cell r="P7458" t="str">
            <v/>
          </cell>
          <cell r="Q7458" t="str">
            <v/>
          </cell>
          <cell r="S7458" t="str">
            <v/>
          </cell>
          <cell r="V7458" t="str">
            <v/>
          </cell>
          <cell r="Z7458" t="str">
            <v/>
          </cell>
          <cell r="AA7458" t="str">
            <v/>
          </cell>
          <cell r="AB7458" t="str">
            <v/>
          </cell>
          <cell r="AC7458" t="str">
            <v/>
          </cell>
          <cell r="AD7458" t="str">
            <v/>
          </cell>
          <cell r="AY7458" t="str">
            <v/>
          </cell>
          <cell r="AZ7458" t="str">
            <v/>
          </cell>
          <cell r="BA7458" t="str">
            <v/>
          </cell>
        </row>
        <row r="7459">
          <cell r="B7459" t="str">
            <v>-</v>
          </cell>
          <cell r="E7459" t="str">
            <v/>
          </cell>
          <cell r="G7459" t="str">
            <v/>
          </cell>
          <cell r="J7459" t="str">
            <v/>
          </cell>
          <cell r="O7459" t="str">
            <v/>
          </cell>
          <cell r="P7459" t="str">
            <v/>
          </cell>
          <cell r="Q7459" t="str">
            <v/>
          </cell>
          <cell r="S7459" t="str">
            <v/>
          </cell>
          <cell r="V7459" t="str">
            <v/>
          </cell>
          <cell r="Z7459" t="str">
            <v/>
          </cell>
          <cell r="AA7459" t="str">
            <v/>
          </cell>
          <cell r="AB7459" t="str">
            <v/>
          </cell>
          <cell r="AC7459" t="str">
            <v/>
          </cell>
          <cell r="AD7459" t="str">
            <v/>
          </cell>
          <cell r="AY7459" t="str">
            <v/>
          </cell>
          <cell r="AZ7459" t="str">
            <v/>
          </cell>
          <cell r="BA7459" t="str">
            <v/>
          </cell>
        </row>
        <row r="7460">
          <cell r="B7460" t="str">
            <v>-</v>
          </cell>
          <cell r="E7460" t="str">
            <v/>
          </cell>
          <cell r="G7460" t="str">
            <v/>
          </cell>
          <cell r="J7460" t="str">
            <v/>
          </cell>
          <cell r="O7460" t="str">
            <v/>
          </cell>
          <cell r="P7460" t="str">
            <v/>
          </cell>
          <cell r="Q7460" t="str">
            <v/>
          </cell>
          <cell r="S7460" t="str">
            <v/>
          </cell>
          <cell r="V7460" t="str">
            <v/>
          </cell>
          <cell r="Z7460" t="str">
            <v/>
          </cell>
          <cell r="AA7460" t="str">
            <v/>
          </cell>
          <cell r="AB7460" t="str">
            <v/>
          </cell>
          <cell r="AC7460" t="str">
            <v/>
          </cell>
          <cell r="AD7460" t="str">
            <v/>
          </cell>
          <cell r="AY7460" t="str">
            <v/>
          </cell>
          <cell r="AZ7460" t="str">
            <v/>
          </cell>
          <cell r="BA7460" t="str">
            <v/>
          </cell>
        </row>
        <row r="7461">
          <cell r="B7461" t="str">
            <v>-</v>
          </cell>
          <cell r="E7461" t="str">
            <v/>
          </cell>
          <cell r="G7461" t="str">
            <v/>
          </cell>
          <cell r="J7461" t="str">
            <v/>
          </cell>
          <cell r="O7461" t="str">
            <v/>
          </cell>
          <cell r="P7461" t="str">
            <v/>
          </cell>
          <cell r="Q7461" t="str">
            <v/>
          </cell>
          <cell r="S7461" t="str">
            <v/>
          </cell>
          <cell r="V7461" t="str">
            <v/>
          </cell>
          <cell r="Z7461" t="str">
            <v/>
          </cell>
          <cell r="AA7461" t="str">
            <v/>
          </cell>
          <cell r="AB7461" t="str">
            <v/>
          </cell>
          <cell r="AC7461" t="str">
            <v/>
          </cell>
          <cell r="AD7461" t="str">
            <v/>
          </cell>
          <cell r="AY7461" t="str">
            <v/>
          </cell>
          <cell r="AZ7461" t="str">
            <v/>
          </cell>
          <cell r="BA7461" t="str">
            <v/>
          </cell>
        </row>
        <row r="7462">
          <cell r="B7462" t="str">
            <v>-</v>
          </cell>
          <cell r="E7462" t="str">
            <v/>
          </cell>
          <cell r="G7462" t="str">
            <v/>
          </cell>
          <cell r="J7462" t="str">
            <v/>
          </cell>
          <cell r="O7462" t="str">
            <v/>
          </cell>
          <cell r="P7462" t="str">
            <v/>
          </cell>
          <cell r="Q7462" t="str">
            <v/>
          </cell>
          <cell r="S7462" t="str">
            <v/>
          </cell>
          <cell r="V7462" t="str">
            <v/>
          </cell>
          <cell r="Z7462" t="str">
            <v/>
          </cell>
          <cell r="AA7462" t="str">
            <v/>
          </cell>
          <cell r="AB7462" t="str">
            <v/>
          </cell>
          <cell r="AC7462" t="str">
            <v/>
          </cell>
          <cell r="AD7462" t="str">
            <v/>
          </cell>
          <cell r="AY7462" t="str">
            <v/>
          </cell>
          <cell r="AZ7462" t="str">
            <v/>
          </cell>
          <cell r="BA7462" t="str">
            <v/>
          </cell>
        </row>
        <row r="7463">
          <cell r="B7463" t="str">
            <v>-</v>
          </cell>
          <cell r="E7463" t="str">
            <v/>
          </cell>
          <cell r="G7463" t="str">
            <v/>
          </cell>
          <cell r="J7463" t="str">
            <v/>
          </cell>
          <cell r="O7463" t="str">
            <v/>
          </cell>
          <cell r="P7463" t="str">
            <v/>
          </cell>
          <cell r="Q7463" t="str">
            <v/>
          </cell>
          <cell r="S7463" t="str">
            <v/>
          </cell>
          <cell r="V7463" t="str">
            <v/>
          </cell>
          <cell r="Z7463" t="str">
            <v/>
          </cell>
          <cell r="AA7463" t="str">
            <v/>
          </cell>
          <cell r="AB7463" t="str">
            <v/>
          </cell>
          <cell r="AC7463" t="str">
            <v/>
          </cell>
          <cell r="AD7463" t="str">
            <v/>
          </cell>
          <cell r="AY7463" t="str">
            <v/>
          </cell>
          <cell r="AZ7463" t="str">
            <v/>
          </cell>
          <cell r="BA7463" t="str">
            <v/>
          </cell>
        </row>
        <row r="7464">
          <cell r="B7464" t="str">
            <v>-</v>
          </cell>
          <cell r="E7464" t="str">
            <v/>
          </cell>
          <cell r="G7464" t="str">
            <v/>
          </cell>
          <cell r="J7464" t="str">
            <v/>
          </cell>
          <cell r="O7464" t="str">
            <v/>
          </cell>
          <cell r="P7464" t="str">
            <v/>
          </cell>
          <cell r="Q7464" t="str">
            <v/>
          </cell>
          <cell r="S7464" t="str">
            <v/>
          </cell>
          <cell r="V7464" t="str">
            <v/>
          </cell>
          <cell r="Z7464" t="str">
            <v/>
          </cell>
          <cell r="AA7464" t="str">
            <v/>
          </cell>
          <cell r="AB7464" t="str">
            <v/>
          </cell>
          <cell r="AC7464" t="str">
            <v/>
          </cell>
          <cell r="AD7464" t="str">
            <v/>
          </cell>
          <cell r="AY7464" t="str">
            <v/>
          </cell>
          <cell r="AZ7464" t="str">
            <v/>
          </cell>
          <cell r="BA7464" t="str">
            <v/>
          </cell>
        </row>
        <row r="7465">
          <cell r="B7465" t="str">
            <v>-</v>
          </cell>
          <cell r="E7465" t="str">
            <v/>
          </cell>
          <cell r="G7465" t="str">
            <v/>
          </cell>
          <cell r="J7465" t="str">
            <v/>
          </cell>
          <cell r="O7465" t="str">
            <v/>
          </cell>
          <cell r="P7465" t="str">
            <v/>
          </cell>
          <cell r="Q7465" t="str">
            <v/>
          </cell>
          <cell r="S7465" t="str">
            <v/>
          </cell>
          <cell r="V7465" t="str">
            <v/>
          </cell>
          <cell r="Z7465" t="str">
            <v/>
          </cell>
          <cell r="AA7465" t="str">
            <v/>
          </cell>
          <cell r="AB7465" t="str">
            <v/>
          </cell>
          <cell r="AC7465" t="str">
            <v/>
          </cell>
          <cell r="AD7465" t="str">
            <v/>
          </cell>
          <cell r="AY7465" t="str">
            <v/>
          </cell>
          <cell r="AZ7465" t="str">
            <v/>
          </cell>
          <cell r="BA7465" t="str">
            <v/>
          </cell>
        </row>
        <row r="7466">
          <cell r="B7466" t="str">
            <v>-</v>
          </cell>
          <cell r="E7466" t="str">
            <v/>
          </cell>
          <cell r="G7466" t="str">
            <v/>
          </cell>
          <cell r="J7466" t="str">
            <v/>
          </cell>
          <cell r="O7466" t="str">
            <v/>
          </cell>
          <cell r="P7466" t="str">
            <v/>
          </cell>
          <cell r="Q7466" t="str">
            <v/>
          </cell>
          <cell r="S7466" t="str">
            <v/>
          </cell>
          <cell r="V7466" t="str">
            <v/>
          </cell>
          <cell r="Z7466" t="str">
            <v/>
          </cell>
          <cell r="AA7466" t="str">
            <v/>
          </cell>
          <cell r="AB7466" t="str">
            <v/>
          </cell>
          <cell r="AC7466" t="str">
            <v/>
          </cell>
          <cell r="AD7466" t="str">
            <v/>
          </cell>
          <cell r="AY7466" t="str">
            <v/>
          </cell>
          <cell r="AZ7466" t="str">
            <v/>
          </cell>
          <cell r="BA7466" t="str">
            <v/>
          </cell>
        </row>
        <row r="7467">
          <cell r="B7467" t="str">
            <v>-</v>
          </cell>
          <cell r="E7467" t="str">
            <v/>
          </cell>
          <cell r="G7467" t="str">
            <v/>
          </cell>
          <cell r="J7467" t="str">
            <v/>
          </cell>
          <cell r="O7467" t="str">
            <v/>
          </cell>
          <cell r="P7467" t="str">
            <v/>
          </cell>
          <cell r="Q7467" t="str">
            <v/>
          </cell>
          <cell r="S7467" t="str">
            <v/>
          </cell>
          <cell r="V7467" t="str">
            <v/>
          </cell>
          <cell r="Z7467" t="str">
            <v/>
          </cell>
          <cell r="AA7467" t="str">
            <v/>
          </cell>
          <cell r="AB7467" t="str">
            <v/>
          </cell>
          <cell r="AC7467" t="str">
            <v/>
          </cell>
          <cell r="AD7467" t="str">
            <v/>
          </cell>
          <cell r="AY7467" t="str">
            <v/>
          </cell>
          <cell r="AZ7467" t="str">
            <v/>
          </cell>
          <cell r="BA7467" t="str">
            <v/>
          </cell>
        </row>
        <row r="7468">
          <cell r="B7468" t="str">
            <v>-</v>
          </cell>
          <cell r="E7468" t="str">
            <v/>
          </cell>
          <cell r="G7468" t="str">
            <v/>
          </cell>
          <cell r="J7468" t="str">
            <v/>
          </cell>
          <cell r="O7468" t="str">
            <v/>
          </cell>
          <cell r="P7468" t="str">
            <v/>
          </cell>
          <cell r="Q7468" t="str">
            <v/>
          </cell>
          <cell r="S7468" t="str">
            <v/>
          </cell>
          <cell r="V7468" t="str">
            <v/>
          </cell>
          <cell r="Z7468" t="str">
            <v/>
          </cell>
          <cell r="AA7468" t="str">
            <v/>
          </cell>
          <cell r="AB7468" t="str">
            <v/>
          </cell>
          <cell r="AC7468" t="str">
            <v/>
          </cell>
          <cell r="AD7468" t="str">
            <v/>
          </cell>
          <cell r="AY7468" t="str">
            <v/>
          </cell>
          <cell r="AZ7468" t="str">
            <v/>
          </cell>
          <cell r="BA7468" t="str">
            <v/>
          </cell>
        </row>
        <row r="7469">
          <cell r="B7469" t="str">
            <v>-</v>
          </cell>
          <cell r="E7469" t="str">
            <v/>
          </cell>
          <cell r="G7469" t="str">
            <v/>
          </cell>
          <cell r="J7469" t="str">
            <v/>
          </cell>
          <cell r="O7469" t="str">
            <v/>
          </cell>
          <cell r="P7469" t="str">
            <v/>
          </cell>
          <cell r="Q7469" t="str">
            <v/>
          </cell>
          <cell r="S7469" t="str">
            <v/>
          </cell>
          <cell r="V7469" t="str">
            <v/>
          </cell>
          <cell r="Z7469" t="str">
            <v/>
          </cell>
          <cell r="AA7469" t="str">
            <v/>
          </cell>
          <cell r="AB7469" t="str">
            <v/>
          </cell>
          <cell r="AC7469" t="str">
            <v/>
          </cell>
          <cell r="AD7469" t="str">
            <v/>
          </cell>
          <cell r="AY7469" t="str">
            <v/>
          </cell>
          <cell r="AZ7469" t="str">
            <v/>
          </cell>
          <cell r="BA7469" t="str">
            <v/>
          </cell>
        </row>
        <row r="7470">
          <cell r="B7470" t="str">
            <v>-</v>
          </cell>
          <cell r="E7470" t="str">
            <v/>
          </cell>
          <cell r="G7470" t="str">
            <v/>
          </cell>
          <cell r="J7470" t="str">
            <v/>
          </cell>
          <cell r="O7470" t="str">
            <v/>
          </cell>
          <cell r="P7470" t="str">
            <v/>
          </cell>
          <cell r="Q7470" t="str">
            <v/>
          </cell>
          <cell r="S7470" t="str">
            <v/>
          </cell>
          <cell r="V7470" t="str">
            <v/>
          </cell>
          <cell r="Z7470" t="str">
            <v/>
          </cell>
          <cell r="AA7470" t="str">
            <v/>
          </cell>
          <cell r="AB7470" t="str">
            <v/>
          </cell>
          <cell r="AC7470" t="str">
            <v/>
          </cell>
          <cell r="AD7470" t="str">
            <v/>
          </cell>
          <cell r="AY7470" t="str">
            <v/>
          </cell>
          <cell r="AZ7470" t="str">
            <v/>
          </cell>
          <cell r="BA7470" t="str">
            <v/>
          </cell>
        </row>
        <row r="7471">
          <cell r="B7471" t="str">
            <v>-</v>
          </cell>
          <cell r="E7471" t="str">
            <v/>
          </cell>
          <cell r="G7471" t="str">
            <v/>
          </cell>
          <cell r="J7471" t="str">
            <v/>
          </cell>
          <cell r="O7471" t="str">
            <v/>
          </cell>
          <cell r="P7471" t="str">
            <v/>
          </cell>
          <cell r="Q7471" t="str">
            <v/>
          </cell>
          <cell r="S7471" t="str">
            <v/>
          </cell>
          <cell r="V7471" t="str">
            <v/>
          </cell>
          <cell r="Z7471" t="str">
            <v/>
          </cell>
          <cell r="AA7471" t="str">
            <v/>
          </cell>
          <cell r="AB7471" t="str">
            <v/>
          </cell>
          <cell r="AC7471" t="str">
            <v/>
          </cell>
          <cell r="AD7471" t="str">
            <v/>
          </cell>
          <cell r="AY7471" t="str">
            <v/>
          </cell>
          <cell r="AZ7471" t="str">
            <v/>
          </cell>
          <cell r="BA7471" t="str">
            <v/>
          </cell>
        </row>
        <row r="7472">
          <cell r="B7472" t="str">
            <v>-</v>
          </cell>
          <cell r="E7472" t="str">
            <v/>
          </cell>
          <cell r="G7472" t="str">
            <v/>
          </cell>
          <cell r="J7472" t="str">
            <v/>
          </cell>
          <cell r="O7472" t="str">
            <v/>
          </cell>
          <cell r="P7472" t="str">
            <v/>
          </cell>
          <cell r="Q7472" t="str">
            <v/>
          </cell>
          <cell r="S7472" t="str">
            <v/>
          </cell>
          <cell r="V7472" t="str">
            <v/>
          </cell>
          <cell r="Z7472" t="str">
            <v/>
          </cell>
          <cell r="AA7472" t="str">
            <v/>
          </cell>
          <cell r="AB7472" t="str">
            <v/>
          </cell>
          <cell r="AC7472" t="str">
            <v/>
          </cell>
          <cell r="AD7472" t="str">
            <v/>
          </cell>
          <cell r="AY7472" t="str">
            <v/>
          </cell>
          <cell r="AZ7472" t="str">
            <v/>
          </cell>
          <cell r="BA7472" t="str">
            <v/>
          </cell>
        </row>
        <row r="7473">
          <cell r="B7473" t="str">
            <v>-</v>
          </cell>
          <cell r="E7473" t="str">
            <v/>
          </cell>
          <cell r="G7473" t="str">
            <v/>
          </cell>
          <cell r="J7473" t="str">
            <v/>
          </cell>
          <cell r="O7473" t="str">
            <v/>
          </cell>
          <cell r="P7473" t="str">
            <v/>
          </cell>
          <cell r="Q7473" t="str">
            <v/>
          </cell>
          <cell r="S7473" t="str">
            <v/>
          </cell>
          <cell r="V7473" t="str">
            <v/>
          </cell>
          <cell r="Z7473" t="str">
            <v/>
          </cell>
          <cell r="AA7473" t="str">
            <v/>
          </cell>
          <cell r="AB7473" t="str">
            <v/>
          </cell>
          <cell r="AC7473" t="str">
            <v/>
          </cell>
          <cell r="AD7473" t="str">
            <v/>
          </cell>
          <cell r="AY7473" t="str">
            <v/>
          </cell>
          <cell r="AZ7473" t="str">
            <v/>
          </cell>
          <cell r="BA7473" t="str">
            <v/>
          </cell>
        </row>
        <row r="7474">
          <cell r="B7474" t="str">
            <v>-</v>
          </cell>
          <cell r="E7474" t="str">
            <v/>
          </cell>
          <cell r="G7474" t="str">
            <v/>
          </cell>
          <cell r="J7474" t="str">
            <v/>
          </cell>
          <cell r="O7474" t="str">
            <v/>
          </cell>
          <cell r="P7474" t="str">
            <v/>
          </cell>
          <cell r="Q7474" t="str">
            <v/>
          </cell>
          <cell r="S7474" t="str">
            <v/>
          </cell>
          <cell r="V7474" t="str">
            <v/>
          </cell>
          <cell r="Z7474" t="str">
            <v/>
          </cell>
          <cell r="AA7474" t="str">
            <v/>
          </cell>
          <cell r="AB7474" t="str">
            <v/>
          </cell>
          <cell r="AC7474" t="str">
            <v/>
          </cell>
          <cell r="AD7474" t="str">
            <v/>
          </cell>
          <cell r="AY7474" t="str">
            <v/>
          </cell>
          <cell r="AZ7474" t="str">
            <v/>
          </cell>
          <cell r="BA7474" t="str">
            <v/>
          </cell>
        </row>
        <row r="7475">
          <cell r="B7475" t="str">
            <v>-</v>
          </cell>
          <cell r="E7475" t="str">
            <v/>
          </cell>
          <cell r="G7475" t="str">
            <v/>
          </cell>
          <cell r="J7475" t="str">
            <v/>
          </cell>
          <cell r="O7475" t="str">
            <v/>
          </cell>
          <cell r="P7475" t="str">
            <v/>
          </cell>
          <cell r="Q7475" t="str">
            <v/>
          </cell>
          <cell r="S7475" t="str">
            <v/>
          </cell>
          <cell r="V7475" t="str">
            <v/>
          </cell>
          <cell r="Z7475" t="str">
            <v/>
          </cell>
          <cell r="AA7475" t="str">
            <v/>
          </cell>
          <cell r="AB7475" t="str">
            <v/>
          </cell>
          <cell r="AC7475" t="str">
            <v/>
          </cell>
          <cell r="AD7475" t="str">
            <v/>
          </cell>
          <cell r="AY7475" t="str">
            <v/>
          </cell>
          <cell r="AZ7475" t="str">
            <v/>
          </cell>
          <cell r="BA7475" t="str">
            <v/>
          </cell>
        </row>
        <row r="7476">
          <cell r="B7476" t="str">
            <v>-</v>
          </cell>
          <cell r="E7476" t="str">
            <v/>
          </cell>
          <cell r="G7476" t="str">
            <v/>
          </cell>
          <cell r="J7476" t="str">
            <v/>
          </cell>
          <cell r="O7476" t="str">
            <v/>
          </cell>
          <cell r="P7476" t="str">
            <v/>
          </cell>
          <cell r="Q7476" t="str">
            <v/>
          </cell>
          <cell r="S7476" t="str">
            <v/>
          </cell>
          <cell r="V7476" t="str">
            <v/>
          </cell>
          <cell r="Z7476" t="str">
            <v/>
          </cell>
          <cell r="AA7476" t="str">
            <v/>
          </cell>
          <cell r="AB7476" t="str">
            <v/>
          </cell>
          <cell r="AC7476" t="str">
            <v/>
          </cell>
          <cell r="AD7476" t="str">
            <v/>
          </cell>
          <cell r="AY7476" t="str">
            <v/>
          </cell>
          <cell r="AZ7476" t="str">
            <v/>
          </cell>
          <cell r="BA7476" t="str">
            <v/>
          </cell>
        </row>
        <row r="7477">
          <cell r="B7477" t="str">
            <v>-</v>
          </cell>
          <cell r="E7477" t="str">
            <v/>
          </cell>
          <cell r="G7477" t="str">
            <v/>
          </cell>
          <cell r="J7477" t="str">
            <v/>
          </cell>
          <cell r="O7477" t="str">
            <v/>
          </cell>
          <cell r="P7477" t="str">
            <v/>
          </cell>
          <cell r="Q7477" t="str">
            <v/>
          </cell>
          <cell r="S7477" t="str">
            <v/>
          </cell>
          <cell r="V7477" t="str">
            <v/>
          </cell>
          <cell r="Z7477" t="str">
            <v/>
          </cell>
          <cell r="AA7477" t="str">
            <v/>
          </cell>
          <cell r="AB7477" t="str">
            <v/>
          </cell>
          <cell r="AC7477" t="str">
            <v/>
          </cell>
          <cell r="AD7477" t="str">
            <v/>
          </cell>
          <cell r="AY7477" t="str">
            <v/>
          </cell>
          <cell r="AZ7477" t="str">
            <v/>
          </cell>
          <cell r="BA7477" t="str">
            <v/>
          </cell>
        </row>
        <row r="7478">
          <cell r="B7478" t="str">
            <v>-</v>
          </cell>
          <cell r="E7478" t="str">
            <v/>
          </cell>
          <cell r="G7478" t="str">
            <v/>
          </cell>
          <cell r="J7478" t="str">
            <v/>
          </cell>
          <cell r="O7478" t="str">
            <v/>
          </cell>
          <cell r="P7478" t="str">
            <v/>
          </cell>
          <cell r="Q7478" t="str">
            <v/>
          </cell>
          <cell r="S7478" t="str">
            <v/>
          </cell>
          <cell r="V7478" t="str">
            <v/>
          </cell>
          <cell r="Z7478" t="str">
            <v/>
          </cell>
          <cell r="AA7478" t="str">
            <v/>
          </cell>
          <cell r="AB7478" t="str">
            <v/>
          </cell>
          <cell r="AC7478" t="str">
            <v/>
          </cell>
          <cell r="AD7478" t="str">
            <v/>
          </cell>
          <cell r="AY7478" t="str">
            <v/>
          </cell>
          <cell r="AZ7478" t="str">
            <v/>
          </cell>
          <cell r="BA7478" t="str">
            <v/>
          </cell>
        </row>
        <row r="7479">
          <cell r="B7479" t="str">
            <v>-</v>
          </cell>
          <cell r="E7479" t="str">
            <v/>
          </cell>
          <cell r="G7479" t="str">
            <v/>
          </cell>
          <cell r="J7479" t="str">
            <v/>
          </cell>
          <cell r="O7479" t="str">
            <v/>
          </cell>
          <cell r="P7479" t="str">
            <v/>
          </cell>
          <cell r="Q7479" t="str">
            <v/>
          </cell>
          <cell r="S7479" t="str">
            <v/>
          </cell>
          <cell r="V7479" t="str">
            <v/>
          </cell>
          <cell r="Z7479" t="str">
            <v/>
          </cell>
          <cell r="AA7479" t="str">
            <v/>
          </cell>
          <cell r="AB7479" t="str">
            <v/>
          </cell>
          <cell r="AC7479" t="str">
            <v/>
          </cell>
          <cell r="AD7479" t="str">
            <v/>
          </cell>
          <cell r="AY7479" t="str">
            <v/>
          </cell>
          <cell r="AZ7479" t="str">
            <v/>
          </cell>
          <cell r="BA7479" t="str">
            <v/>
          </cell>
        </row>
        <row r="7480">
          <cell r="B7480" t="str">
            <v>-</v>
          </cell>
          <cell r="E7480" t="str">
            <v/>
          </cell>
          <cell r="G7480" t="str">
            <v/>
          </cell>
          <cell r="J7480" t="str">
            <v/>
          </cell>
          <cell r="O7480" t="str">
            <v/>
          </cell>
          <cell r="P7480" t="str">
            <v/>
          </cell>
          <cell r="Q7480" t="str">
            <v/>
          </cell>
          <cell r="S7480" t="str">
            <v/>
          </cell>
          <cell r="V7480" t="str">
            <v/>
          </cell>
          <cell r="Z7480" t="str">
            <v/>
          </cell>
          <cell r="AA7480" t="str">
            <v/>
          </cell>
          <cell r="AB7480" t="str">
            <v/>
          </cell>
          <cell r="AC7480" t="str">
            <v/>
          </cell>
          <cell r="AD7480" t="str">
            <v/>
          </cell>
          <cell r="AY7480" t="str">
            <v/>
          </cell>
          <cell r="AZ7480" t="str">
            <v/>
          </cell>
          <cell r="BA7480" t="str">
            <v/>
          </cell>
        </row>
        <row r="7481">
          <cell r="B7481" t="str">
            <v>-</v>
          </cell>
          <cell r="E7481" t="str">
            <v/>
          </cell>
          <cell r="G7481" t="str">
            <v/>
          </cell>
          <cell r="J7481" t="str">
            <v/>
          </cell>
          <cell r="O7481" t="str">
            <v/>
          </cell>
          <cell r="P7481" t="str">
            <v/>
          </cell>
          <cell r="Q7481" t="str">
            <v/>
          </cell>
          <cell r="S7481" t="str">
            <v/>
          </cell>
          <cell r="V7481" t="str">
            <v/>
          </cell>
          <cell r="Z7481" t="str">
            <v/>
          </cell>
          <cell r="AA7481" t="str">
            <v/>
          </cell>
          <cell r="AB7481" t="str">
            <v/>
          </cell>
          <cell r="AC7481" t="str">
            <v/>
          </cell>
          <cell r="AD7481" t="str">
            <v/>
          </cell>
          <cell r="AY7481" t="str">
            <v/>
          </cell>
          <cell r="AZ7481" t="str">
            <v/>
          </cell>
          <cell r="BA7481" t="str">
            <v/>
          </cell>
        </row>
        <row r="7482">
          <cell r="B7482" t="str">
            <v>-</v>
          </cell>
          <cell r="E7482" t="str">
            <v/>
          </cell>
          <cell r="G7482" t="str">
            <v/>
          </cell>
          <cell r="J7482" t="str">
            <v/>
          </cell>
          <cell r="O7482" t="str">
            <v/>
          </cell>
          <cell r="P7482" t="str">
            <v/>
          </cell>
          <cell r="Q7482" t="str">
            <v/>
          </cell>
          <cell r="S7482" t="str">
            <v/>
          </cell>
          <cell r="V7482" t="str">
            <v/>
          </cell>
          <cell r="Z7482" t="str">
            <v/>
          </cell>
          <cell r="AA7482" t="str">
            <v/>
          </cell>
          <cell r="AB7482" t="str">
            <v/>
          </cell>
          <cell r="AC7482" t="str">
            <v/>
          </cell>
          <cell r="AD7482" t="str">
            <v/>
          </cell>
          <cell r="AY7482" t="str">
            <v/>
          </cell>
          <cell r="AZ7482" t="str">
            <v/>
          </cell>
          <cell r="BA7482" t="str">
            <v/>
          </cell>
        </row>
        <row r="7483">
          <cell r="B7483" t="str">
            <v>-</v>
          </cell>
          <cell r="E7483" t="str">
            <v/>
          </cell>
          <cell r="G7483" t="str">
            <v/>
          </cell>
          <cell r="J7483" t="str">
            <v/>
          </cell>
          <cell r="O7483" t="str">
            <v/>
          </cell>
          <cell r="P7483" t="str">
            <v/>
          </cell>
          <cell r="Q7483" t="str">
            <v/>
          </cell>
          <cell r="S7483" t="str">
            <v/>
          </cell>
          <cell r="V7483" t="str">
            <v/>
          </cell>
          <cell r="Z7483" t="str">
            <v/>
          </cell>
          <cell r="AA7483" t="str">
            <v/>
          </cell>
          <cell r="AB7483" t="str">
            <v/>
          </cell>
          <cell r="AC7483" t="str">
            <v/>
          </cell>
          <cell r="AD7483" t="str">
            <v/>
          </cell>
          <cell r="AY7483" t="str">
            <v/>
          </cell>
          <cell r="AZ7483" t="str">
            <v/>
          </cell>
          <cell r="BA7483" t="str">
            <v/>
          </cell>
        </row>
        <row r="7484">
          <cell r="B7484" t="str">
            <v>-</v>
          </cell>
          <cell r="E7484" t="str">
            <v/>
          </cell>
          <cell r="G7484" t="str">
            <v/>
          </cell>
          <cell r="J7484" t="str">
            <v/>
          </cell>
          <cell r="O7484" t="str">
            <v/>
          </cell>
          <cell r="P7484" t="str">
            <v/>
          </cell>
          <cell r="Q7484" t="str">
            <v/>
          </cell>
          <cell r="S7484" t="str">
            <v/>
          </cell>
          <cell r="V7484" t="str">
            <v/>
          </cell>
          <cell r="Z7484" t="str">
            <v/>
          </cell>
          <cell r="AA7484" t="str">
            <v/>
          </cell>
          <cell r="AB7484" t="str">
            <v/>
          </cell>
          <cell r="AC7484" t="str">
            <v/>
          </cell>
          <cell r="AD7484" t="str">
            <v/>
          </cell>
          <cell r="AY7484" t="str">
            <v/>
          </cell>
          <cell r="AZ7484" t="str">
            <v/>
          </cell>
          <cell r="BA7484" t="str">
            <v/>
          </cell>
        </row>
        <row r="7485">
          <cell r="B7485" t="str">
            <v>-</v>
          </cell>
          <cell r="E7485" t="str">
            <v/>
          </cell>
          <cell r="G7485" t="str">
            <v/>
          </cell>
          <cell r="J7485" t="str">
            <v/>
          </cell>
          <cell r="O7485" t="str">
            <v/>
          </cell>
          <cell r="P7485" t="str">
            <v/>
          </cell>
          <cell r="Q7485" t="str">
            <v/>
          </cell>
          <cell r="S7485" t="str">
            <v/>
          </cell>
          <cell r="V7485" t="str">
            <v/>
          </cell>
          <cell r="Z7485" t="str">
            <v/>
          </cell>
          <cell r="AA7485" t="str">
            <v/>
          </cell>
          <cell r="AB7485" t="str">
            <v/>
          </cell>
          <cell r="AC7485" t="str">
            <v/>
          </cell>
          <cell r="AD7485" t="str">
            <v/>
          </cell>
          <cell r="AY7485" t="str">
            <v/>
          </cell>
          <cell r="AZ7485" t="str">
            <v/>
          </cell>
          <cell r="BA7485" t="str">
            <v/>
          </cell>
        </row>
        <row r="7486">
          <cell r="B7486" t="str">
            <v>-</v>
          </cell>
          <cell r="E7486" t="str">
            <v/>
          </cell>
          <cell r="G7486" t="str">
            <v/>
          </cell>
          <cell r="J7486" t="str">
            <v/>
          </cell>
          <cell r="O7486" t="str">
            <v/>
          </cell>
          <cell r="P7486" t="str">
            <v/>
          </cell>
          <cell r="Q7486" t="str">
            <v/>
          </cell>
          <cell r="S7486" t="str">
            <v/>
          </cell>
          <cell r="V7486" t="str">
            <v/>
          </cell>
          <cell r="Z7486" t="str">
            <v/>
          </cell>
          <cell r="AA7486" t="str">
            <v/>
          </cell>
          <cell r="AB7486" t="str">
            <v/>
          </cell>
          <cell r="AC7486" t="str">
            <v/>
          </cell>
          <cell r="AD7486" t="str">
            <v/>
          </cell>
          <cell r="AY7486" t="str">
            <v/>
          </cell>
          <cell r="AZ7486" t="str">
            <v/>
          </cell>
          <cell r="BA7486" t="str">
            <v/>
          </cell>
        </row>
        <row r="7487">
          <cell r="B7487" t="str">
            <v>-</v>
          </cell>
          <cell r="E7487" t="str">
            <v/>
          </cell>
          <cell r="G7487" t="str">
            <v/>
          </cell>
          <cell r="J7487" t="str">
            <v/>
          </cell>
          <cell r="O7487" t="str">
            <v/>
          </cell>
          <cell r="P7487" t="str">
            <v/>
          </cell>
          <cell r="Q7487" t="str">
            <v/>
          </cell>
          <cell r="S7487" t="str">
            <v/>
          </cell>
          <cell r="V7487" t="str">
            <v/>
          </cell>
          <cell r="Z7487" t="str">
            <v/>
          </cell>
          <cell r="AA7487" t="str">
            <v/>
          </cell>
          <cell r="AB7487" t="str">
            <v/>
          </cell>
          <cell r="AC7487" t="str">
            <v/>
          </cell>
          <cell r="AD7487" t="str">
            <v/>
          </cell>
          <cell r="AY7487" t="str">
            <v/>
          </cell>
          <cell r="AZ7487" t="str">
            <v/>
          </cell>
          <cell r="BA7487" t="str">
            <v/>
          </cell>
        </row>
        <row r="7488">
          <cell r="B7488" t="str">
            <v>-</v>
          </cell>
          <cell r="E7488" t="str">
            <v/>
          </cell>
          <cell r="G7488" t="str">
            <v/>
          </cell>
          <cell r="J7488" t="str">
            <v/>
          </cell>
          <cell r="O7488" t="str">
            <v/>
          </cell>
          <cell r="P7488" t="str">
            <v/>
          </cell>
          <cell r="Q7488" t="str">
            <v/>
          </cell>
          <cell r="S7488" t="str">
            <v/>
          </cell>
          <cell r="V7488" t="str">
            <v/>
          </cell>
          <cell r="Z7488" t="str">
            <v/>
          </cell>
          <cell r="AA7488" t="str">
            <v/>
          </cell>
          <cell r="AB7488" t="str">
            <v/>
          </cell>
          <cell r="AC7488" t="str">
            <v/>
          </cell>
          <cell r="AD7488" t="str">
            <v/>
          </cell>
          <cell r="AY7488" t="str">
            <v/>
          </cell>
          <cell r="AZ7488" t="str">
            <v/>
          </cell>
          <cell r="BA7488" t="str">
            <v/>
          </cell>
        </row>
        <row r="7489">
          <cell r="B7489" t="str">
            <v>-</v>
          </cell>
          <cell r="E7489" t="str">
            <v/>
          </cell>
          <cell r="G7489" t="str">
            <v/>
          </cell>
          <cell r="J7489" t="str">
            <v/>
          </cell>
          <cell r="O7489" t="str">
            <v/>
          </cell>
          <cell r="P7489" t="str">
            <v/>
          </cell>
          <cell r="Q7489" t="str">
            <v/>
          </cell>
          <cell r="S7489" t="str">
            <v/>
          </cell>
          <cell r="V7489" t="str">
            <v/>
          </cell>
          <cell r="Z7489" t="str">
            <v/>
          </cell>
          <cell r="AA7489" t="str">
            <v/>
          </cell>
          <cell r="AB7489" t="str">
            <v/>
          </cell>
          <cell r="AC7489" t="str">
            <v/>
          </cell>
          <cell r="AD7489" t="str">
            <v/>
          </cell>
          <cell r="AY7489" t="str">
            <v/>
          </cell>
          <cell r="AZ7489" t="str">
            <v/>
          </cell>
          <cell r="BA7489" t="str">
            <v/>
          </cell>
        </row>
        <row r="7490">
          <cell r="B7490" t="str">
            <v>-</v>
          </cell>
          <cell r="E7490" t="str">
            <v/>
          </cell>
          <cell r="G7490" t="str">
            <v/>
          </cell>
          <cell r="J7490" t="str">
            <v/>
          </cell>
          <cell r="O7490" t="str">
            <v/>
          </cell>
          <cell r="P7490" t="str">
            <v/>
          </cell>
          <cell r="Q7490" t="str">
            <v/>
          </cell>
          <cell r="S7490" t="str">
            <v/>
          </cell>
          <cell r="V7490" t="str">
            <v/>
          </cell>
          <cell r="Z7490" t="str">
            <v/>
          </cell>
          <cell r="AA7490" t="str">
            <v/>
          </cell>
          <cell r="AB7490" t="str">
            <v/>
          </cell>
          <cell r="AC7490" t="str">
            <v/>
          </cell>
          <cell r="AD7490" t="str">
            <v/>
          </cell>
          <cell r="AY7490" t="str">
            <v/>
          </cell>
          <cell r="AZ7490" t="str">
            <v/>
          </cell>
          <cell r="BA7490" t="str">
            <v/>
          </cell>
        </row>
        <row r="7491">
          <cell r="B7491" t="str">
            <v>-</v>
          </cell>
          <cell r="E7491" t="str">
            <v/>
          </cell>
          <cell r="G7491" t="str">
            <v/>
          </cell>
          <cell r="J7491" t="str">
            <v/>
          </cell>
          <cell r="O7491" t="str">
            <v/>
          </cell>
          <cell r="P7491" t="str">
            <v/>
          </cell>
          <cell r="Q7491" t="str">
            <v/>
          </cell>
          <cell r="S7491" t="str">
            <v/>
          </cell>
          <cell r="V7491" t="str">
            <v/>
          </cell>
          <cell r="Z7491" t="str">
            <v/>
          </cell>
          <cell r="AA7491" t="str">
            <v/>
          </cell>
          <cell r="AB7491" t="str">
            <v/>
          </cell>
          <cell r="AC7491" t="str">
            <v/>
          </cell>
          <cell r="AD7491" t="str">
            <v/>
          </cell>
          <cell r="AY7491" t="str">
            <v/>
          </cell>
          <cell r="AZ7491" t="str">
            <v/>
          </cell>
          <cell r="BA7491" t="str">
            <v/>
          </cell>
        </row>
        <row r="7492">
          <cell r="B7492" t="str">
            <v>-</v>
          </cell>
          <cell r="E7492" t="str">
            <v/>
          </cell>
          <cell r="G7492" t="str">
            <v/>
          </cell>
          <cell r="J7492" t="str">
            <v/>
          </cell>
          <cell r="O7492" t="str">
            <v/>
          </cell>
          <cell r="P7492" t="str">
            <v/>
          </cell>
          <cell r="Q7492" t="str">
            <v/>
          </cell>
          <cell r="S7492" t="str">
            <v/>
          </cell>
          <cell r="V7492" t="str">
            <v/>
          </cell>
          <cell r="Z7492" t="str">
            <v/>
          </cell>
          <cell r="AA7492" t="str">
            <v/>
          </cell>
          <cell r="AB7492" t="str">
            <v/>
          </cell>
          <cell r="AC7492" t="str">
            <v/>
          </cell>
          <cell r="AD7492" t="str">
            <v/>
          </cell>
          <cell r="AY7492" t="str">
            <v/>
          </cell>
          <cell r="AZ7492" t="str">
            <v/>
          </cell>
          <cell r="BA7492" t="str">
            <v/>
          </cell>
        </row>
        <row r="7493">
          <cell r="B7493" t="str">
            <v>-</v>
          </cell>
          <cell r="E7493" t="str">
            <v/>
          </cell>
          <cell r="G7493" t="str">
            <v/>
          </cell>
          <cell r="J7493" t="str">
            <v/>
          </cell>
          <cell r="O7493" t="str">
            <v/>
          </cell>
          <cell r="P7493" t="str">
            <v/>
          </cell>
          <cell r="Q7493" t="str">
            <v/>
          </cell>
          <cell r="S7493" t="str">
            <v/>
          </cell>
          <cell r="V7493" t="str">
            <v/>
          </cell>
          <cell r="Z7493" t="str">
            <v/>
          </cell>
          <cell r="AA7493" t="str">
            <v/>
          </cell>
          <cell r="AB7493" t="str">
            <v/>
          </cell>
          <cell r="AC7493" t="str">
            <v/>
          </cell>
          <cell r="AD7493" t="str">
            <v/>
          </cell>
          <cell r="AY7493" t="str">
            <v/>
          </cell>
          <cell r="AZ7493" t="str">
            <v/>
          </cell>
          <cell r="BA7493" t="str">
            <v/>
          </cell>
        </row>
        <row r="7494">
          <cell r="B7494" t="str">
            <v>-</v>
          </cell>
          <cell r="E7494" t="str">
            <v/>
          </cell>
          <cell r="G7494" t="str">
            <v/>
          </cell>
          <cell r="J7494" t="str">
            <v/>
          </cell>
          <cell r="O7494" t="str">
            <v/>
          </cell>
          <cell r="P7494" t="str">
            <v/>
          </cell>
          <cell r="Q7494" t="str">
            <v/>
          </cell>
          <cell r="S7494" t="str">
            <v/>
          </cell>
          <cell r="V7494" t="str">
            <v/>
          </cell>
          <cell r="Z7494" t="str">
            <v/>
          </cell>
          <cell r="AA7494" t="str">
            <v/>
          </cell>
          <cell r="AB7494" t="str">
            <v/>
          </cell>
          <cell r="AC7494" t="str">
            <v/>
          </cell>
          <cell r="AD7494" t="str">
            <v/>
          </cell>
          <cell r="AY7494" t="str">
            <v/>
          </cell>
          <cell r="AZ7494" t="str">
            <v/>
          </cell>
          <cell r="BA7494" t="str">
            <v/>
          </cell>
        </row>
        <row r="7495">
          <cell r="B7495" t="str">
            <v>-</v>
          </cell>
          <cell r="E7495" t="str">
            <v/>
          </cell>
          <cell r="G7495" t="str">
            <v/>
          </cell>
          <cell r="J7495" t="str">
            <v/>
          </cell>
          <cell r="O7495" t="str">
            <v/>
          </cell>
          <cell r="P7495" t="str">
            <v/>
          </cell>
          <cell r="Q7495" t="str">
            <v/>
          </cell>
          <cell r="S7495" t="str">
            <v/>
          </cell>
          <cell r="V7495" t="str">
            <v/>
          </cell>
          <cell r="Z7495" t="str">
            <v/>
          </cell>
          <cell r="AA7495" t="str">
            <v/>
          </cell>
          <cell r="AB7495" t="str">
            <v/>
          </cell>
          <cell r="AC7495" t="str">
            <v/>
          </cell>
          <cell r="AD7495" t="str">
            <v/>
          </cell>
          <cell r="AY7495" t="str">
            <v/>
          </cell>
          <cell r="AZ7495" t="str">
            <v/>
          </cell>
          <cell r="BA7495" t="str">
            <v/>
          </cell>
        </row>
        <row r="7496">
          <cell r="B7496" t="str">
            <v>-</v>
          </cell>
          <cell r="E7496" t="str">
            <v/>
          </cell>
          <cell r="G7496" t="str">
            <v/>
          </cell>
          <cell r="J7496" t="str">
            <v/>
          </cell>
          <cell r="O7496" t="str">
            <v/>
          </cell>
          <cell r="P7496" t="str">
            <v/>
          </cell>
          <cell r="Q7496" t="str">
            <v/>
          </cell>
          <cell r="S7496" t="str">
            <v/>
          </cell>
          <cell r="V7496" t="str">
            <v/>
          </cell>
          <cell r="Z7496" t="str">
            <v/>
          </cell>
          <cell r="AA7496" t="str">
            <v/>
          </cell>
          <cell r="AB7496" t="str">
            <v/>
          </cell>
          <cell r="AC7496" t="str">
            <v/>
          </cell>
          <cell r="AD7496" t="str">
            <v/>
          </cell>
          <cell r="AY7496" t="str">
            <v/>
          </cell>
          <cell r="AZ7496" t="str">
            <v/>
          </cell>
          <cell r="BA7496" t="str">
            <v/>
          </cell>
        </row>
        <row r="7497">
          <cell r="B7497" t="str">
            <v>-</v>
          </cell>
          <cell r="E7497" t="str">
            <v/>
          </cell>
          <cell r="G7497" t="str">
            <v/>
          </cell>
          <cell r="J7497" t="str">
            <v/>
          </cell>
          <cell r="O7497" t="str">
            <v/>
          </cell>
          <cell r="P7497" t="str">
            <v/>
          </cell>
          <cell r="Q7497" t="str">
            <v/>
          </cell>
          <cell r="S7497" t="str">
            <v/>
          </cell>
          <cell r="V7497" t="str">
            <v/>
          </cell>
          <cell r="Z7497" t="str">
            <v/>
          </cell>
          <cell r="AA7497" t="str">
            <v/>
          </cell>
          <cell r="AB7497" t="str">
            <v/>
          </cell>
          <cell r="AC7497" t="str">
            <v/>
          </cell>
          <cell r="AD7497" t="str">
            <v/>
          </cell>
          <cell r="AY7497" t="str">
            <v/>
          </cell>
          <cell r="AZ7497" t="str">
            <v/>
          </cell>
          <cell r="BA7497" t="str">
            <v/>
          </cell>
        </row>
        <row r="7498">
          <cell r="B7498" t="str">
            <v>-</v>
          </cell>
          <cell r="E7498" t="str">
            <v/>
          </cell>
          <cell r="G7498" t="str">
            <v/>
          </cell>
          <cell r="J7498" t="str">
            <v/>
          </cell>
          <cell r="O7498" t="str">
            <v/>
          </cell>
          <cell r="P7498" t="str">
            <v/>
          </cell>
          <cell r="Q7498" t="str">
            <v/>
          </cell>
          <cell r="S7498" t="str">
            <v/>
          </cell>
          <cell r="V7498" t="str">
            <v/>
          </cell>
          <cell r="Z7498" t="str">
            <v/>
          </cell>
          <cell r="AA7498" t="str">
            <v/>
          </cell>
          <cell r="AB7498" t="str">
            <v/>
          </cell>
          <cell r="AC7498" t="str">
            <v/>
          </cell>
          <cell r="AD7498" t="str">
            <v/>
          </cell>
          <cell r="AY7498" t="str">
            <v/>
          </cell>
          <cell r="AZ7498" t="str">
            <v/>
          </cell>
          <cell r="BA7498" t="str">
            <v/>
          </cell>
        </row>
        <row r="7499">
          <cell r="B7499" t="str">
            <v>-</v>
          </cell>
          <cell r="E7499" t="str">
            <v/>
          </cell>
          <cell r="G7499" t="str">
            <v/>
          </cell>
          <cell r="J7499" t="str">
            <v/>
          </cell>
          <cell r="O7499" t="str">
            <v/>
          </cell>
          <cell r="P7499" t="str">
            <v/>
          </cell>
          <cell r="Q7499" t="str">
            <v/>
          </cell>
          <cell r="S7499" t="str">
            <v/>
          </cell>
          <cell r="V7499" t="str">
            <v/>
          </cell>
          <cell r="Z7499" t="str">
            <v/>
          </cell>
          <cell r="AA7499" t="str">
            <v/>
          </cell>
          <cell r="AB7499" t="str">
            <v/>
          </cell>
          <cell r="AC7499" t="str">
            <v/>
          </cell>
          <cell r="AD7499" t="str">
            <v/>
          </cell>
          <cell r="AY7499" t="str">
            <v/>
          </cell>
          <cell r="AZ7499" t="str">
            <v/>
          </cell>
          <cell r="BA7499" t="str">
            <v/>
          </cell>
        </row>
        <row r="7500">
          <cell r="B7500" t="str">
            <v>-</v>
          </cell>
          <cell r="E7500" t="str">
            <v/>
          </cell>
          <cell r="G7500" t="str">
            <v/>
          </cell>
          <cell r="J7500" t="str">
            <v/>
          </cell>
          <cell r="O7500" t="str">
            <v/>
          </cell>
          <cell r="P7500" t="str">
            <v/>
          </cell>
          <cell r="Q7500" t="str">
            <v/>
          </cell>
          <cell r="S7500" t="str">
            <v/>
          </cell>
          <cell r="V7500" t="str">
            <v/>
          </cell>
          <cell r="Z7500" t="str">
            <v/>
          </cell>
          <cell r="AA7500" t="str">
            <v/>
          </cell>
          <cell r="AB7500" t="str">
            <v/>
          </cell>
          <cell r="AC7500" t="str">
            <v/>
          </cell>
          <cell r="AD7500" t="str">
            <v/>
          </cell>
          <cell r="AY7500" t="str">
            <v/>
          </cell>
          <cell r="AZ7500" t="str">
            <v/>
          </cell>
          <cell r="BA7500" t="str">
            <v/>
          </cell>
        </row>
        <row r="7501">
          <cell r="B7501" t="str">
            <v>-</v>
          </cell>
          <cell r="E7501" t="str">
            <v/>
          </cell>
          <cell r="G7501" t="str">
            <v/>
          </cell>
          <cell r="J7501" t="str">
            <v/>
          </cell>
          <cell r="O7501" t="str">
            <v/>
          </cell>
          <cell r="P7501" t="str">
            <v/>
          </cell>
          <cell r="Q7501" t="str">
            <v/>
          </cell>
          <cell r="S7501" t="str">
            <v/>
          </cell>
          <cell r="V7501" t="str">
            <v/>
          </cell>
          <cell r="Z7501" t="str">
            <v/>
          </cell>
          <cell r="AA7501" t="str">
            <v/>
          </cell>
          <cell r="AB7501" t="str">
            <v/>
          </cell>
          <cell r="AC7501" t="str">
            <v/>
          </cell>
          <cell r="AD7501" t="str">
            <v/>
          </cell>
          <cell r="AY7501" t="str">
            <v/>
          </cell>
          <cell r="AZ7501" t="str">
            <v/>
          </cell>
          <cell r="BA7501" t="str">
            <v/>
          </cell>
        </row>
        <row r="7502">
          <cell r="B7502" t="str">
            <v>-</v>
          </cell>
          <cell r="E7502" t="str">
            <v/>
          </cell>
          <cell r="G7502" t="str">
            <v/>
          </cell>
          <cell r="J7502" t="str">
            <v/>
          </cell>
          <cell r="O7502" t="str">
            <v/>
          </cell>
          <cell r="P7502" t="str">
            <v/>
          </cell>
          <cell r="Q7502" t="str">
            <v/>
          </cell>
          <cell r="S7502" t="str">
            <v/>
          </cell>
          <cell r="V7502" t="str">
            <v/>
          </cell>
          <cell r="Z7502" t="str">
            <v/>
          </cell>
          <cell r="AA7502" t="str">
            <v/>
          </cell>
          <cell r="AB7502" t="str">
            <v/>
          </cell>
          <cell r="AC7502" t="str">
            <v/>
          </cell>
          <cell r="AD7502" t="str">
            <v/>
          </cell>
          <cell r="AY7502" t="str">
            <v/>
          </cell>
          <cell r="AZ7502" t="str">
            <v/>
          </cell>
          <cell r="BA7502" t="str">
            <v/>
          </cell>
        </row>
        <row r="7503">
          <cell r="B7503" t="str">
            <v>-</v>
          </cell>
          <cell r="E7503" t="str">
            <v/>
          </cell>
          <cell r="G7503" t="str">
            <v/>
          </cell>
          <cell r="J7503" t="str">
            <v/>
          </cell>
          <cell r="O7503" t="str">
            <v/>
          </cell>
          <cell r="P7503" t="str">
            <v/>
          </cell>
          <cell r="Q7503" t="str">
            <v/>
          </cell>
          <cell r="S7503" t="str">
            <v/>
          </cell>
          <cell r="V7503" t="str">
            <v/>
          </cell>
          <cell r="Z7503" t="str">
            <v/>
          </cell>
          <cell r="AA7503" t="str">
            <v/>
          </cell>
          <cell r="AB7503" t="str">
            <v/>
          </cell>
          <cell r="AC7503" t="str">
            <v/>
          </cell>
          <cell r="AD7503" t="str">
            <v/>
          </cell>
          <cell r="AY7503" t="str">
            <v/>
          </cell>
          <cell r="AZ7503" t="str">
            <v/>
          </cell>
          <cell r="BA7503" t="str">
            <v/>
          </cell>
        </row>
        <row r="7504">
          <cell r="B7504" t="str">
            <v>-</v>
          </cell>
          <cell r="E7504" t="str">
            <v/>
          </cell>
          <cell r="G7504" t="str">
            <v/>
          </cell>
          <cell r="J7504" t="str">
            <v/>
          </cell>
          <cell r="O7504" t="str">
            <v/>
          </cell>
          <cell r="P7504" t="str">
            <v/>
          </cell>
          <cell r="Q7504" t="str">
            <v/>
          </cell>
          <cell r="S7504" t="str">
            <v/>
          </cell>
          <cell r="V7504" t="str">
            <v/>
          </cell>
          <cell r="Z7504" t="str">
            <v/>
          </cell>
          <cell r="AA7504" t="str">
            <v/>
          </cell>
          <cell r="AB7504" t="str">
            <v/>
          </cell>
          <cell r="AC7504" t="str">
            <v/>
          </cell>
          <cell r="AD7504" t="str">
            <v/>
          </cell>
          <cell r="AY7504" t="str">
            <v/>
          </cell>
          <cell r="AZ7504" t="str">
            <v/>
          </cell>
          <cell r="BA7504" t="str">
            <v/>
          </cell>
        </row>
        <row r="7505">
          <cell r="B7505" t="str">
            <v>-</v>
          </cell>
          <cell r="E7505" t="str">
            <v/>
          </cell>
          <cell r="G7505" t="str">
            <v/>
          </cell>
          <cell r="J7505" t="str">
            <v/>
          </cell>
          <cell r="O7505" t="str">
            <v/>
          </cell>
          <cell r="P7505" t="str">
            <v/>
          </cell>
          <cell r="Q7505" t="str">
            <v/>
          </cell>
          <cell r="S7505" t="str">
            <v/>
          </cell>
          <cell r="V7505" t="str">
            <v/>
          </cell>
          <cell r="Z7505" t="str">
            <v/>
          </cell>
          <cell r="AA7505" t="str">
            <v/>
          </cell>
          <cell r="AB7505" t="str">
            <v/>
          </cell>
          <cell r="AC7505" t="str">
            <v/>
          </cell>
          <cell r="AD7505" t="str">
            <v/>
          </cell>
          <cell r="AY7505" t="str">
            <v/>
          </cell>
          <cell r="AZ7505" t="str">
            <v/>
          </cell>
          <cell r="BA7505" t="str">
            <v/>
          </cell>
        </row>
        <row r="7506">
          <cell r="B7506" t="str">
            <v>-</v>
          </cell>
          <cell r="E7506" t="str">
            <v/>
          </cell>
          <cell r="G7506" t="str">
            <v/>
          </cell>
          <cell r="J7506" t="str">
            <v/>
          </cell>
          <cell r="O7506" t="str">
            <v/>
          </cell>
          <cell r="P7506" t="str">
            <v/>
          </cell>
          <cell r="Q7506" t="str">
            <v/>
          </cell>
          <cell r="S7506" t="str">
            <v/>
          </cell>
          <cell r="V7506" t="str">
            <v/>
          </cell>
          <cell r="Z7506" t="str">
            <v/>
          </cell>
          <cell r="AA7506" t="str">
            <v/>
          </cell>
          <cell r="AB7506" t="str">
            <v/>
          </cell>
          <cell r="AC7506" t="str">
            <v/>
          </cell>
          <cell r="AD7506" t="str">
            <v/>
          </cell>
          <cell r="AY7506" t="str">
            <v/>
          </cell>
          <cell r="AZ7506" t="str">
            <v/>
          </cell>
          <cell r="BA7506" t="str">
            <v/>
          </cell>
        </row>
        <row r="7507">
          <cell r="B7507" t="str">
            <v>-</v>
          </cell>
          <cell r="E7507" t="str">
            <v/>
          </cell>
          <cell r="G7507" t="str">
            <v/>
          </cell>
          <cell r="J7507" t="str">
            <v/>
          </cell>
          <cell r="O7507" t="str">
            <v/>
          </cell>
          <cell r="P7507" t="str">
            <v/>
          </cell>
          <cell r="Q7507" t="str">
            <v/>
          </cell>
          <cell r="S7507" t="str">
            <v/>
          </cell>
          <cell r="V7507" t="str">
            <v/>
          </cell>
          <cell r="Z7507" t="str">
            <v/>
          </cell>
          <cell r="AA7507" t="str">
            <v/>
          </cell>
          <cell r="AB7507" t="str">
            <v/>
          </cell>
          <cell r="AC7507" t="str">
            <v/>
          </cell>
          <cell r="AD7507" t="str">
            <v/>
          </cell>
          <cell r="AY7507" t="str">
            <v/>
          </cell>
          <cell r="AZ7507" t="str">
            <v/>
          </cell>
          <cell r="BA7507" t="str">
            <v/>
          </cell>
        </row>
        <row r="7508">
          <cell r="B7508" t="str">
            <v>-</v>
          </cell>
          <cell r="E7508" t="str">
            <v/>
          </cell>
          <cell r="G7508" t="str">
            <v/>
          </cell>
          <cell r="J7508" t="str">
            <v/>
          </cell>
          <cell r="O7508" t="str">
            <v/>
          </cell>
          <cell r="P7508" t="str">
            <v/>
          </cell>
          <cell r="Q7508" t="str">
            <v/>
          </cell>
          <cell r="S7508" t="str">
            <v/>
          </cell>
          <cell r="V7508" t="str">
            <v/>
          </cell>
          <cell r="Z7508" t="str">
            <v/>
          </cell>
          <cell r="AA7508" t="str">
            <v/>
          </cell>
          <cell r="AB7508" t="str">
            <v/>
          </cell>
          <cell r="AC7508" t="str">
            <v/>
          </cell>
          <cell r="AD7508" t="str">
            <v/>
          </cell>
          <cell r="AY7508" t="str">
            <v/>
          </cell>
          <cell r="AZ7508" t="str">
            <v/>
          </cell>
          <cell r="BA7508" t="str">
            <v/>
          </cell>
        </row>
        <row r="7509">
          <cell r="B7509" t="str">
            <v>-</v>
          </cell>
          <cell r="E7509" t="str">
            <v/>
          </cell>
          <cell r="G7509" t="str">
            <v/>
          </cell>
          <cell r="J7509" t="str">
            <v/>
          </cell>
          <cell r="O7509" t="str">
            <v/>
          </cell>
          <cell r="P7509" t="str">
            <v/>
          </cell>
          <cell r="Q7509" t="str">
            <v/>
          </cell>
          <cell r="S7509" t="str">
            <v/>
          </cell>
          <cell r="V7509" t="str">
            <v/>
          </cell>
          <cell r="Z7509" t="str">
            <v/>
          </cell>
          <cell r="AA7509" t="str">
            <v/>
          </cell>
          <cell r="AB7509" t="str">
            <v/>
          </cell>
          <cell r="AC7509" t="str">
            <v/>
          </cell>
          <cell r="AD7509" t="str">
            <v/>
          </cell>
          <cell r="AY7509" t="str">
            <v/>
          </cell>
          <cell r="AZ7509" t="str">
            <v/>
          </cell>
          <cell r="BA7509" t="str">
            <v/>
          </cell>
        </row>
        <row r="7510">
          <cell r="B7510" t="str">
            <v>-</v>
          </cell>
          <cell r="E7510" t="str">
            <v/>
          </cell>
          <cell r="G7510" t="str">
            <v/>
          </cell>
          <cell r="J7510" t="str">
            <v/>
          </cell>
          <cell r="O7510" t="str">
            <v/>
          </cell>
          <cell r="P7510" t="str">
            <v/>
          </cell>
          <cell r="Q7510" t="str">
            <v/>
          </cell>
          <cell r="S7510" t="str">
            <v/>
          </cell>
          <cell r="V7510" t="str">
            <v/>
          </cell>
          <cell r="Z7510" t="str">
            <v/>
          </cell>
          <cell r="AA7510" t="str">
            <v/>
          </cell>
          <cell r="AB7510" t="str">
            <v/>
          </cell>
          <cell r="AC7510" t="str">
            <v/>
          </cell>
          <cell r="AD7510" t="str">
            <v/>
          </cell>
          <cell r="AY7510" t="str">
            <v/>
          </cell>
          <cell r="AZ7510" t="str">
            <v/>
          </cell>
          <cell r="BA7510" t="str">
            <v/>
          </cell>
        </row>
        <row r="7511">
          <cell r="B7511" t="str">
            <v>-</v>
          </cell>
          <cell r="E7511" t="str">
            <v/>
          </cell>
          <cell r="G7511" t="str">
            <v/>
          </cell>
          <cell r="J7511" t="str">
            <v/>
          </cell>
          <cell r="O7511" t="str">
            <v/>
          </cell>
          <cell r="P7511" t="str">
            <v/>
          </cell>
          <cell r="Q7511" t="str">
            <v/>
          </cell>
          <cell r="S7511" t="str">
            <v/>
          </cell>
          <cell r="V7511" t="str">
            <v/>
          </cell>
          <cell r="Z7511" t="str">
            <v/>
          </cell>
          <cell r="AA7511" t="str">
            <v/>
          </cell>
          <cell r="AB7511" t="str">
            <v/>
          </cell>
          <cell r="AC7511" t="str">
            <v/>
          </cell>
          <cell r="AD7511" t="str">
            <v/>
          </cell>
          <cell r="AY7511" t="str">
            <v/>
          </cell>
          <cell r="AZ7511" t="str">
            <v/>
          </cell>
          <cell r="BA7511" t="str">
            <v/>
          </cell>
        </row>
        <row r="7512">
          <cell r="B7512" t="str">
            <v>-</v>
          </cell>
          <cell r="E7512" t="str">
            <v/>
          </cell>
          <cell r="G7512" t="str">
            <v/>
          </cell>
          <cell r="J7512" t="str">
            <v/>
          </cell>
          <cell r="O7512" t="str">
            <v/>
          </cell>
          <cell r="P7512" t="str">
            <v/>
          </cell>
          <cell r="Q7512" t="str">
            <v/>
          </cell>
          <cell r="S7512" t="str">
            <v/>
          </cell>
          <cell r="V7512" t="str">
            <v/>
          </cell>
          <cell r="Z7512" t="str">
            <v/>
          </cell>
          <cell r="AA7512" t="str">
            <v/>
          </cell>
          <cell r="AB7512" t="str">
            <v/>
          </cell>
          <cell r="AC7512" t="str">
            <v/>
          </cell>
          <cell r="AD7512" t="str">
            <v/>
          </cell>
          <cell r="AY7512" t="str">
            <v/>
          </cell>
          <cell r="AZ7512" t="str">
            <v/>
          </cell>
          <cell r="BA7512" t="str">
            <v/>
          </cell>
        </row>
        <row r="7513">
          <cell r="B7513" t="str">
            <v>-</v>
          </cell>
          <cell r="E7513" t="str">
            <v/>
          </cell>
          <cell r="G7513" t="str">
            <v/>
          </cell>
          <cell r="J7513" t="str">
            <v/>
          </cell>
          <cell r="O7513" t="str">
            <v/>
          </cell>
          <cell r="P7513" t="str">
            <v/>
          </cell>
          <cell r="Q7513" t="str">
            <v/>
          </cell>
          <cell r="S7513" t="str">
            <v/>
          </cell>
          <cell r="V7513" t="str">
            <v/>
          </cell>
          <cell r="Z7513" t="str">
            <v/>
          </cell>
          <cell r="AA7513" t="str">
            <v/>
          </cell>
          <cell r="AB7513" t="str">
            <v/>
          </cell>
          <cell r="AC7513" t="str">
            <v/>
          </cell>
          <cell r="AD7513" t="str">
            <v/>
          </cell>
          <cell r="AY7513" t="str">
            <v/>
          </cell>
          <cell r="AZ7513" t="str">
            <v/>
          </cell>
          <cell r="BA7513" t="str">
            <v/>
          </cell>
        </row>
        <row r="7514">
          <cell r="B7514" t="str">
            <v>-</v>
          </cell>
          <cell r="E7514" t="str">
            <v/>
          </cell>
          <cell r="G7514" t="str">
            <v/>
          </cell>
          <cell r="J7514" t="str">
            <v/>
          </cell>
          <cell r="O7514" t="str">
            <v/>
          </cell>
          <cell r="P7514" t="str">
            <v/>
          </cell>
          <cell r="Q7514" t="str">
            <v/>
          </cell>
          <cell r="S7514" t="str">
            <v/>
          </cell>
          <cell r="V7514" t="str">
            <v/>
          </cell>
          <cell r="Z7514" t="str">
            <v/>
          </cell>
          <cell r="AA7514" t="str">
            <v/>
          </cell>
          <cell r="AB7514" t="str">
            <v/>
          </cell>
          <cell r="AC7514" t="str">
            <v/>
          </cell>
          <cell r="AD7514" t="str">
            <v/>
          </cell>
          <cell r="AY7514" t="str">
            <v/>
          </cell>
          <cell r="AZ7514" t="str">
            <v/>
          </cell>
          <cell r="BA7514" t="str">
            <v/>
          </cell>
        </row>
        <row r="7515">
          <cell r="B7515" t="str">
            <v>-</v>
          </cell>
          <cell r="E7515" t="str">
            <v/>
          </cell>
          <cell r="G7515" t="str">
            <v/>
          </cell>
          <cell r="J7515" t="str">
            <v/>
          </cell>
          <cell r="O7515" t="str">
            <v/>
          </cell>
          <cell r="P7515" t="str">
            <v/>
          </cell>
          <cell r="Q7515" t="str">
            <v/>
          </cell>
          <cell r="S7515" t="str">
            <v/>
          </cell>
          <cell r="V7515" t="str">
            <v/>
          </cell>
          <cell r="Z7515" t="str">
            <v/>
          </cell>
          <cell r="AA7515" t="str">
            <v/>
          </cell>
          <cell r="AB7515" t="str">
            <v/>
          </cell>
          <cell r="AC7515" t="str">
            <v/>
          </cell>
          <cell r="AD7515" t="str">
            <v/>
          </cell>
          <cell r="AY7515" t="str">
            <v/>
          </cell>
          <cell r="AZ7515" t="str">
            <v/>
          </cell>
          <cell r="BA7515" t="str">
            <v/>
          </cell>
        </row>
        <row r="7516">
          <cell r="B7516" t="str">
            <v>-</v>
          </cell>
          <cell r="E7516" t="str">
            <v/>
          </cell>
          <cell r="G7516" t="str">
            <v/>
          </cell>
          <cell r="J7516" t="str">
            <v/>
          </cell>
          <cell r="O7516" t="str">
            <v/>
          </cell>
          <cell r="P7516" t="str">
            <v/>
          </cell>
          <cell r="Q7516" t="str">
            <v/>
          </cell>
          <cell r="S7516" t="str">
            <v/>
          </cell>
          <cell r="V7516" t="str">
            <v/>
          </cell>
          <cell r="Z7516" t="str">
            <v/>
          </cell>
          <cell r="AA7516" t="str">
            <v/>
          </cell>
          <cell r="AB7516" t="str">
            <v/>
          </cell>
          <cell r="AC7516" t="str">
            <v/>
          </cell>
          <cell r="AD7516" t="str">
            <v/>
          </cell>
          <cell r="AY7516" t="str">
            <v/>
          </cell>
          <cell r="AZ7516" t="str">
            <v/>
          </cell>
          <cell r="BA7516" t="str">
            <v/>
          </cell>
        </row>
        <row r="7517">
          <cell r="B7517" t="str">
            <v>-</v>
          </cell>
          <cell r="E7517" t="str">
            <v/>
          </cell>
          <cell r="G7517" t="str">
            <v/>
          </cell>
          <cell r="J7517" t="str">
            <v/>
          </cell>
          <cell r="O7517" t="str">
            <v/>
          </cell>
          <cell r="P7517" t="str">
            <v/>
          </cell>
          <cell r="Q7517" t="str">
            <v/>
          </cell>
          <cell r="S7517" t="str">
            <v/>
          </cell>
          <cell r="V7517" t="str">
            <v/>
          </cell>
          <cell r="Z7517" t="str">
            <v/>
          </cell>
          <cell r="AA7517" t="str">
            <v/>
          </cell>
          <cell r="AB7517" t="str">
            <v/>
          </cell>
          <cell r="AC7517" t="str">
            <v/>
          </cell>
          <cell r="AD7517" t="str">
            <v/>
          </cell>
          <cell r="AY7517" t="str">
            <v/>
          </cell>
          <cell r="AZ7517" t="str">
            <v/>
          </cell>
          <cell r="BA7517" t="str">
            <v/>
          </cell>
        </row>
        <row r="7518">
          <cell r="B7518" t="str">
            <v>-</v>
          </cell>
          <cell r="E7518" t="str">
            <v/>
          </cell>
          <cell r="G7518" t="str">
            <v/>
          </cell>
          <cell r="J7518" t="str">
            <v/>
          </cell>
          <cell r="O7518" t="str">
            <v/>
          </cell>
          <cell r="P7518" t="str">
            <v/>
          </cell>
          <cell r="Q7518" t="str">
            <v/>
          </cell>
          <cell r="S7518" t="str">
            <v/>
          </cell>
          <cell r="V7518" t="str">
            <v/>
          </cell>
          <cell r="Z7518" t="str">
            <v/>
          </cell>
          <cell r="AA7518" t="str">
            <v/>
          </cell>
          <cell r="AB7518" t="str">
            <v/>
          </cell>
          <cell r="AC7518" t="str">
            <v/>
          </cell>
          <cell r="AD7518" t="str">
            <v/>
          </cell>
          <cell r="AY7518" t="str">
            <v/>
          </cell>
          <cell r="AZ7518" t="str">
            <v/>
          </cell>
          <cell r="BA7518" t="str">
            <v/>
          </cell>
        </row>
        <row r="7519">
          <cell r="B7519" t="str">
            <v>-</v>
          </cell>
          <cell r="E7519" t="str">
            <v/>
          </cell>
          <cell r="G7519" t="str">
            <v/>
          </cell>
          <cell r="J7519" t="str">
            <v/>
          </cell>
          <cell r="O7519" t="str">
            <v/>
          </cell>
          <cell r="P7519" t="str">
            <v/>
          </cell>
          <cell r="Q7519" t="str">
            <v/>
          </cell>
          <cell r="S7519" t="str">
            <v/>
          </cell>
          <cell r="V7519" t="str">
            <v/>
          </cell>
          <cell r="Z7519" t="str">
            <v/>
          </cell>
          <cell r="AA7519" t="str">
            <v/>
          </cell>
          <cell r="AB7519" t="str">
            <v/>
          </cell>
          <cell r="AC7519" t="str">
            <v/>
          </cell>
          <cell r="AD7519" t="str">
            <v/>
          </cell>
          <cell r="AY7519" t="str">
            <v/>
          </cell>
          <cell r="AZ7519" t="str">
            <v/>
          </cell>
          <cell r="BA7519" t="str">
            <v/>
          </cell>
        </row>
        <row r="7520">
          <cell r="B7520" t="str">
            <v>-</v>
          </cell>
          <cell r="E7520" t="str">
            <v/>
          </cell>
          <cell r="G7520" t="str">
            <v/>
          </cell>
          <cell r="J7520" t="str">
            <v/>
          </cell>
          <cell r="O7520" t="str">
            <v/>
          </cell>
          <cell r="P7520" t="str">
            <v/>
          </cell>
          <cell r="Q7520" t="str">
            <v/>
          </cell>
          <cell r="S7520" t="str">
            <v/>
          </cell>
          <cell r="V7520" t="str">
            <v/>
          </cell>
          <cell r="Z7520" t="str">
            <v/>
          </cell>
          <cell r="AA7520" t="str">
            <v/>
          </cell>
          <cell r="AB7520" t="str">
            <v/>
          </cell>
          <cell r="AC7520" t="str">
            <v/>
          </cell>
          <cell r="AD7520" t="str">
            <v/>
          </cell>
          <cell r="AY7520" t="str">
            <v/>
          </cell>
          <cell r="AZ7520" t="str">
            <v/>
          </cell>
          <cell r="BA7520" t="str">
            <v/>
          </cell>
        </row>
        <row r="7521">
          <cell r="B7521" t="str">
            <v>-</v>
          </cell>
          <cell r="E7521" t="str">
            <v/>
          </cell>
          <cell r="G7521" t="str">
            <v/>
          </cell>
          <cell r="J7521" t="str">
            <v/>
          </cell>
          <cell r="O7521" t="str">
            <v/>
          </cell>
          <cell r="P7521" t="str">
            <v/>
          </cell>
          <cell r="Q7521" t="str">
            <v/>
          </cell>
          <cell r="S7521" t="str">
            <v/>
          </cell>
          <cell r="V7521" t="str">
            <v/>
          </cell>
          <cell r="Z7521" t="str">
            <v/>
          </cell>
          <cell r="AA7521" t="str">
            <v/>
          </cell>
          <cell r="AB7521" t="str">
            <v/>
          </cell>
          <cell r="AC7521" t="str">
            <v/>
          </cell>
          <cell r="AD7521" t="str">
            <v/>
          </cell>
          <cell r="AY7521" t="str">
            <v/>
          </cell>
          <cell r="AZ7521" t="str">
            <v/>
          </cell>
          <cell r="BA7521" t="str">
            <v/>
          </cell>
        </row>
        <row r="7522">
          <cell r="B7522" t="str">
            <v>-</v>
          </cell>
          <cell r="E7522" t="str">
            <v/>
          </cell>
          <cell r="G7522" t="str">
            <v/>
          </cell>
          <cell r="J7522" t="str">
            <v/>
          </cell>
          <cell r="O7522" t="str">
            <v/>
          </cell>
          <cell r="P7522" t="str">
            <v/>
          </cell>
          <cell r="Q7522" t="str">
            <v/>
          </cell>
          <cell r="S7522" t="str">
            <v/>
          </cell>
          <cell r="V7522" t="str">
            <v/>
          </cell>
          <cell r="Z7522" t="str">
            <v/>
          </cell>
          <cell r="AA7522" t="str">
            <v/>
          </cell>
          <cell r="AB7522" t="str">
            <v/>
          </cell>
          <cell r="AC7522" t="str">
            <v/>
          </cell>
          <cell r="AD7522" t="str">
            <v/>
          </cell>
          <cell r="AY7522" t="str">
            <v/>
          </cell>
          <cell r="AZ7522" t="str">
            <v/>
          </cell>
          <cell r="BA7522" t="str">
            <v/>
          </cell>
        </row>
        <row r="7523">
          <cell r="B7523" t="str">
            <v>-</v>
          </cell>
          <cell r="E7523" t="str">
            <v/>
          </cell>
          <cell r="G7523" t="str">
            <v/>
          </cell>
          <cell r="J7523" t="str">
            <v/>
          </cell>
          <cell r="O7523" t="str">
            <v/>
          </cell>
          <cell r="P7523" t="str">
            <v/>
          </cell>
          <cell r="Q7523" t="str">
            <v/>
          </cell>
          <cell r="S7523" t="str">
            <v/>
          </cell>
          <cell r="V7523" t="str">
            <v/>
          </cell>
          <cell r="Z7523" t="str">
            <v/>
          </cell>
          <cell r="AA7523" t="str">
            <v/>
          </cell>
          <cell r="AB7523" t="str">
            <v/>
          </cell>
          <cell r="AC7523" t="str">
            <v/>
          </cell>
          <cell r="AD7523" t="str">
            <v/>
          </cell>
          <cell r="AY7523" t="str">
            <v/>
          </cell>
          <cell r="AZ7523" t="str">
            <v/>
          </cell>
          <cell r="BA7523" t="str">
            <v/>
          </cell>
        </row>
        <row r="7524">
          <cell r="B7524" t="str">
            <v>-</v>
          </cell>
          <cell r="E7524" t="str">
            <v/>
          </cell>
          <cell r="G7524" t="str">
            <v/>
          </cell>
          <cell r="J7524" t="str">
            <v/>
          </cell>
          <cell r="O7524" t="str">
            <v/>
          </cell>
          <cell r="P7524" t="str">
            <v/>
          </cell>
          <cell r="Q7524" t="str">
            <v/>
          </cell>
          <cell r="S7524" t="str">
            <v/>
          </cell>
          <cell r="V7524" t="str">
            <v/>
          </cell>
          <cell r="Z7524" t="str">
            <v/>
          </cell>
          <cell r="AA7524" t="str">
            <v/>
          </cell>
          <cell r="AB7524" t="str">
            <v/>
          </cell>
          <cell r="AC7524" t="str">
            <v/>
          </cell>
          <cell r="AD7524" t="str">
            <v/>
          </cell>
          <cell r="AY7524" t="str">
            <v/>
          </cell>
          <cell r="AZ7524" t="str">
            <v/>
          </cell>
          <cell r="BA7524" t="str">
            <v/>
          </cell>
        </row>
        <row r="7525">
          <cell r="B7525" t="str">
            <v>-</v>
          </cell>
          <cell r="E7525" t="str">
            <v/>
          </cell>
          <cell r="G7525" t="str">
            <v/>
          </cell>
          <cell r="J7525" t="str">
            <v/>
          </cell>
          <cell r="O7525" t="str">
            <v/>
          </cell>
          <cell r="P7525" t="str">
            <v/>
          </cell>
          <cell r="Q7525" t="str">
            <v/>
          </cell>
          <cell r="S7525" t="str">
            <v/>
          </cell>
          <cell r="V7525" t="str">
            <v/>
          </cell>
          <cell r="Z7525" t="str">
            <v/>
          </cell>
          <cell r="AA7525" t="str">
            <v/>
          </cell>
          <cell r="AB7525" t="str">
            <v/>
          </cell>
          <cell r="AC7525" t="str">
            <v/>
          </cell>
          <cell r="AD7525" t="str">
            <v/>
          </cell>
          <cell r="AY7525" t="str">
            <v/>
          </cell>
          <cell r="AZ7525" t="str">
            <v/>
          </cell>
          <cell r="BA7525" t="str">
            <v/>
          </cell>
        </row>
        <row r="7526">
          <cell r="B7526" t="str">
            <v>-</v>
          </cell>
          <cell r="E7526" t="str">
            <v/>
          </cell>
          <cell r="G7526" t="str">
            <v/>
          </cell>
          <cell r="J7526" t="str">
            <v/>
          </cell>
          <cell r="O7526" t="str">
            <v/>
          </cell>
          <cell r="P7526" t="str">
            <v/>
          </cell>
          <cell r="Q7526" t="str">
            <v/>
          </cell>
          <cell r="S7526" t="str">
            <v/>
          </cell>
          <cell r="V7526" t="str">
            <v/>
          </cell>
          <cell r="Z7526" t="str">
            <v/>
          </cell>
          <cell r="AA7526" t="str">
            <v/>
          </cell>
          <cell r="AB7526" t="str">
            <v/>
          </cell>
          <cell r="AC7526" t="str">
            <v/>
          </cell>
          <cell r="AD7526" t="str">
            <v/>
          </cell>
          <cell r="AY7526" t="str">
            <v/>
          </cell>
          <cell r="AZ7526" t="str">
            <v/>
          </cell>
          <cell r="BA7526" t="str">
            <v/>
          </cell>
        </row>
        <row r="7527">
          <cell r="B7527" t="str">
            <v>-</v>
          </cell>
          <cell r="E7527" t="str">
            <v/>
          </cell>
          <cell r="G7527" t="str">
            <v/>
          </cell>
          <cell r="J7527" t="str">
            <v/>
          </cell>
          <cell r="O7527" t="str">
            <v/>
          </cell>
          <cell r="P7527" t="str">
            <v/>
          </cell>
          <cell r="Q7527" t="str">
            <v/>
          </cell>
          <cell r="S7527" t="str">
            <v/>
          </cell>
          <cell r="V7527" t="str">
            <v/>
          </cell>
          <cell r="Z7527" t="str">
            <v/>
          </cell>
          <cell r="AA7527" t="str">
            <v/>
          </cell>
          <cell r="AB7527" t="str">
            <v/>
          </cell>
          <cell r="AC7527" t="str">
            <v/>
          </cell>
          <cell r="AD7527" t="str">
            <v/>
          </cell>
          <cell r="AY7527" t="str">
            <v/>
          </cell>
          <cell r="AZ7527" t="str">
            <v/>
          </cell>
          <cell r="BA7527" t="str">
            <v/>
          </cell>
        </row>
        <row r="7528">
          <cell r="B7528" t="str">
            <v>-</v>
          </cell>
          <cell r="E7528" t="str">
            <v/>
          </cell>
          <cell r="G7528" t="str">
            <v/>
          </cell>
          <cell r="J7528" t="str">
            <v/>
          </cell>
          <cell r="O7528" t="str">
            <v/>
          </cell>
          <cell r="P7528" t="str">
            <v/>
          </cell>
          <cell r="Q7528" t="str">
            <v/>
          </cell>
          <cell r="S7528" t="str">
            <v/>
          </cell>
          <cell r="V7528" t="str">
            <v/>
          </cell>
          <cell r="Z7528" t="str">
            <v/>
          </cell>
          <cell r="AA7528" t="str">
            <v/>
          </cell>
          <cell r="AB7528" t="str">
            <v/>
          </cell>
          <cell r="AC7528" t="str">
            <v/>
          </cell>
          <cell r="AD7528" t="str">
            <v/>
          </cell>
          <cell r="AY7528" t="str">
            <v/>
          </cell>
          <cell r="AZ7528" t="str">
            <v/>
          </cell>
          <cell r="BA7528" t="str">
            <v/>
          </cell>
        </row>
        <row r="7529">
          <cell r="B7529" t="str">
            <v>-</v>
          </cell>
          <cell r="E7529" t="str">
            <v/>
          </cell>
          <cell r="G7529" t="str">
            <v/>
          </cell>
          <cell r="J7529" t="str">
            <v/>
          </cell>
          <cell r="O7529" t="str">
            <v/>
          </cell>
          <cell r="P7529" t="str">
            <v/>
          </cell>
          <cell r="Q7529" t="str">
            <v/>
          </cell>
          <cell r="S7529" t="str">
            <v/>
          </cell>
          <cell r="V7529" t="str">
            <v/>
          </cell>
          <cell r="Z7529" t="str">
            <v/>
          </cell>
          <cell r="AA7529" t="str">
            <v/>
          </cell>
          <cell r="AB7529" t="str">
            <v/>
          </cell>
          <cell r="AC7529" t="str">
            <v/>
          </cell>
          <cell r="AD7529" t="str">
            <v/>
          </cell>
          <cell r="AY7529" t="str">
            <v/>
          </cell>
          <cell r="AZ7529" t="str">
            <v/>
          </cell>
          <cell r="BA7529" t="str">
            <v/>
          </cell>
        </row>
        <row r="7530">
          <cell r="B7530" t="str">
            <v>-</v>
          </cell>
          <cell r="E7530" t="str">
            <v/>
          </cell>
          <cell r="G7530" t="str">
            <v/>
          </cell>
          <cell r="J7530" t="str">
            <v/>
          </cell>
          <cell r="O7530" t="str">
            <v/>
          </cell>
          <cell r="P7530" t="str">
            <v/>
          </cell>
          <cell r="Q7530" t="str">
            <v/>
          </cell>
          <cell r="S7530" t="str">
            <v/>
          </cell>
          <cell r="V7530" t="str">
            <v/>
          </cell>
          <cell r="Z7530" t="str">
            <v/>
          </cell>
          <cell r="AA7530" t="str">
            <v/>
          </cell>
          <cell r="AB7530" t="str">
            <v/>
          </cell>
          <cell r="AC7530" t="str">
            <v/>
          </cell>
          <cell r="AD7530" t="str">
            <v/>
          </cell>
          <cell r="AY7530" t="str">
            <v/>
          </cell>
          <cell r="AZ7530" t="str">
            <v/>
          </cell>
          <cell r="BA7530" t="str">
            <v/>
          </cell>
        </row>
        <row r="7531">
          <cell r="B7531" t="str">
            <v>-</v>
          </cell>
          <cell r="E7531" t="str">
            <v/>
          </cell>
          <cell r="G7531" t="str">
            <v/>
          </cell>
          <cell r="J7531" t="str">
            <v/>
          </cell>
          <cell r="O7531" t="str">
            <v/>
          </cell>
          <cell r="P7531" t="str">
            <v/>
          </cell>
          <cell r="Q7531" t="str">
            <v/>
          </cell>
          <cell r="S7531" t="str">
            <v/>
          </cell>
          <cell r="V7531" t="str">
            <v/>
          </cell>
          <cell r="Z7531" t="str">
            <v/>
          </cell>
          <cell r="AA7531" t="str">
            <v/>
          </cell>
          <cell r="AB7531" t="str">
            <v/>
          </cell>
          <cell r="AC7531" t="str">
            <v/>
          </cell>
          <cell r="AD7531" t="str">
            <v/>
          </cell>
          <cell r="AY7531" t="str">
            <v/>
          </cell>
          <cell r="AZ7531" t="str">
            <v/>
          </cell>
          <cell r="BA7531" t="str">
            <v/>
          </cell>
        </row>
        <row r="7532">
          <cell r="B7532" t="str">
            <v>-</v>
          </cell>
          <cell r="E7532" t="str">
            <v/>
          </cell>
          <cell r="G7532" t="str">
            <v/>
          </cell>
          <cell r="J7532" t="str">
            <v/>
          </cell>
          <cell r="O7532" t="str">
            <v/>
          </cell>
          <cell r="P7532" t="str">
            <v/>
          </cell>
          <cell r="Q7532" t="str">
            <v/>
          </cell>
          <cell r="S7532" t="str">
            <v/>
          </cell>
          <cell r="V7532" t="str">
            <v/>
          </cell>
          <cell r="Z7532" t="str">
            <v/>
          </cell>
          <cell r="AA7532" t="str">
            <v/>
          </cell>
          <cell r="AB7532" t="str">
            <v/>
          </cell>
          <cell r="AC7532" t="str">
            <v/>
          </cell>
          <cell r="AD7532" t="str">
            <v/>
          </cell>
          <cell r="AY7532" t="str">
            <v/>
          </cell>
          <cell r="AZ7532" t="str">
            <v/>
          </cell>
          <cell r="BA7532" t="str">
            <v/>
          </cell>
        </row>
        <row r="7533">
          <cell r="B7533" t="str">
            <v>-</v>
          </cell>
          <cell r="E7533" t="str">
            <v/>
          </cell>
          <cell r="G7533" t="str">
            <v/>
          </cell>
          <cell r="J7533" t="str">
            <v/>
          </cell>
          <cell r="O7533" t="str">
            <v/>
          </cell>
          <cell r="P7533" t="str">
            <v/>
          </cell>
          <cell r="Q7533" t="str">
            <v/>
          </cell>
          <cell r="S7533" t="str">
            <v/>
          </cell>
          <cell r="V7533" t="str">
            <v/>
          </cell>
          <cell r="Z7533" t="str">
            <v/>
          </cell>
          <cell r="AA7533" t="str">
            <v/>
          </cell>
          <cell r="AB7533" t="str">
            <v/>
          </cell>
          <cell r="AC7533" t="str">
            <v/>
          </cell>
          <cell r="AD7533" t="str">
            <v/>
          </cell>
          <cell r="AY7533" t="str">
            <v/>
          </cell>
          <cell r="AZ7533" t="str">
            <v/>
          </cell>
          <cell r="BA7533" t="str">
            <v/>
          </cell>
        </row>
        <row r="7534">
          <cell r="B7534" t="str">
            <v>-</v>
          </cell>
          <cell r="E7534" t="str">
            <v/>
          </cell>
          <cell r="G7534" t="str">
            <v/>
          </cell>
          <cell r="J7534" t="str">
            <v/>
          </cell>
          <cell r="O7534" t="str">
            <v/>
          </cell>
          <cell r="P7534" t="str">
            <v/>
          </cell>
          <cell r="Q7534" t="str">
            <v/>
          </cell>
          <cell r="S7534" t="str">
            <v/>
          </cell>
          <cell r="V7534" t="str">
            <v/>
          </cell>
          <cell r="Z7534" t="str">
            <v/>
          </cell>
          <cell r="AA7534" t="str">
            <v/>
          </cell>
          <cell r="AB7534" t="str">
            <v/>
          </cell>
          <cell r="AC7534" t="str">
            <v/>
          </cell>
          <cell r="AD7534" t="str">
            <v/>
          </cell>
          <cell r="AY7534" t="str">
            <v/>
          </cell>
          <cell r="AZ7534" t="str">
            <v/>
          </cell>
          <cell r="BA7534" t="str">
            <v/>
          </cell>
        </row>
        <row r="7535">
          <cell r="B7535" t="str">
            <v>-</v>
          </cell>
          <cell r="E7535" t="str">
            <v/>
          </cell>
          <cell r="G7535" t="str">
            <v/>
          </cell>
          <cell r="J7535" t="str">
            <v/>
          </cell>
          <cell r="O7535" t="str">
            <v/>
          </cell>
          <cell r="P7535" t="str">
            <v/>
          </cell>
          <cell r="Q7535" t="str">
            <v/>
          </cell>
          <cell r="S7535" t="str">
            <v/>
          </cell>
          <cell r="V7535" t="str">
            <v/>
          </cell>
          <cell r="Z7535" t="str">
            <v/>
          </cell>
          <cell r="AA7535" t="str">
            <v/>
          </cell>
          <cell r="AB7535" t="str">
            <v/>
          </cell>
          <cell r="AC7535" t="str">
            <v/>
          </cell>
          <cell r="AD7535" t="str">
            <v/>
          </cell>
          <cell r="AY7535" t="str">
            <v/>
          </cell>
          <cell r="AZ7535" t="str">
            <v/>
          </cell>
          <cell r="BA7535" t="str">
            <v/>
          </cell>
        </row>
        <row r="7536">
          <cell r="B7536" t="str">
            <v>-</v>
          </cell>
          <cell r="E7536" t="str">
            <v/>
          </cell>
          <cell r="G7536" t="str">
            <v/>
          </cell>
          <cell r="J7536" t="str">
            <v/>
          </cell>
          <cell r="O7536" t="str">
            <v/>
          </cell>
          <cell r="P7536" t="str">
            <v/>
          </cell>
          <cell r="Q7536" t="str">
            <v/>
          </cell>
          <cell r="S7536" t="str">
            <v/>
          </cell>
          <cell r="V7536" t="str">
            <v/>
          </cell>
          <cell r="Z7536" t="str">
            <v/>
          </cell>
          <cell r="AA7536" t="str">
            <v/>
          </cell>
          <cell r="AB7536" t="str">
            <v/>
          </cell>
          <cell r="AC7536" t="str">
            <v/>
          </cell>
          <cell r="AD7536" t="str">
            <v/>
          </cell>
          <cell r="AY7536" t="str">
            <v/>
          </cell>
          <cell r="AZ7536" t="str">
            <v/>
          </cell>
          <cell r="BA7536" t="str">
            <v/>
          </cell>
        </row>
        <row r="7537">
          <cell r="B7537" t="str">
            <v>-</v>
          </cell>
          <cell r="E7537" t="str">
            <v/>
          </cell>
          <cell r="G7537" t="str">
            <v/>
          </cell>
          <cell r="J7537" t="str">
            <v/>
          </cell>
          <cell r="O7537" t="str">
            <v/>
          </cell>
          <cell r="P7537" t="str">
            <v/>
          </cell>
          <cell r="Q7537" t="str">
            <v/>
          </cell>
          <cell r="S7537" t="str">
            <v/>
          </cell>
          <cell r="V7537" t="str">
            <v/>
          </cell>
          <cell r="Z7537" t="str">
            <v/>
          </cell>
          <cell r="AA7537" t="str">
            <v/>
          </cell>
          <cell r="AB7537" t="str">
            <v/>
          </cell>
          <cell r="AC7537" t="str">
            <v/>
          </cell>
          <cell r="AD7537" t="str">
            <v/>
          </cell>
          <cell r="AY7537" t="str">
            <v/>
          </cell>
          <cell r="AZ7537" t="str">
            <v/>
          </cell>
          <cell r="BA7537" t="str">
            <v/>
          </cell>
        </row>
        <row r="7538">
          <cell r="B7538" t="str">
            <v>-</v>
          </cell>
          <cell r="E7538" t="str">
            <v/>
          </cell>
          <cell r="G7538" t="str">
            <v/>
          </cell>
          <cell r="J7538" t="str">
            <v/>
          </cell>
          <cell r="O7538" t="str">
            <v/>
          </cell>
          <cell r="P7538" t="str">
            <v/>
          </cell>
          <cell r="Q7538" t="str">
            <v/>
          </cell>
          <cell r="S7538" t="str">
            <v/>
          </cell>
          <cell r="V7538" t="str">
            <v/>
          </cell>
          <cell r="Z7538" t="str">
            <v/>
          </cell>
          <cell r="AA7538" t="str">
            <v/>
          </cell>
          <cell r="AB7538" t="str">
            <v/>
          </cell>
          <cell r="AC7538" t="str">
            <v/>
          </cell>
          <cell r="AD7538" t="str">
            <v/>
          </cell>
          <cell r="AY7538" t="str">
            <v/>
          </cell>
          <cell r="AZ7538" t="str">
            <v/>
          </cell>
          <cell r="BA7538" t="str">
            <v/>
          </cell>
        </row>
        <row r="7539">
          <cell r="B7539" t="str">
            <v>-</v>
          </cell>
          <cell r="E7539" t="str">
            <v/>
          </cell>
          <cell r="G7539" t="str">
            <v/>
          </cell>
          <cell r="J7539" t="str">
            <v/>
          </cell>
          <cell r="O7539" t="str">
            <v/>
          </cell>
          <cell r="P7539" t="str">
            <v/>
          </cell>
          <cell r="Q7539" t="str">
            <v/>
          </cell>
          <cell r="S7539" t="str">
            <v/>
          </cell>
          <cell r="V7539" t="str">
            <v/>
          </cell>
          <cell r="Z7539" t="str">
            <v/>
          </cell>
          <cell r="AA7539" t="str">
            <v/>
          </cell>
          <cell r="AB7539" t="str">
            <v/>
          </cell>
          <cell r="AC7539" t="str">
            <v/>
          </cell>
          <cell r="AD7539" t="str">
            <v/>
          </cell>
          <cell r="AY7539" t="str">
            <v/>
          </cell>
          <cell r="AZ7539" t="str">
            <v/>
          </cell>
          <cell r="BA7539" t="str">
            <v/>
          </cell>
        </row>
        <row r="7540">
          <cell r="B7540" t="str">
            <v>-</v>
          </cell>
          <cell r="E7540" t="str">
            <v/>
          </cell>
          <cell r="G7540" t="str">
            <v/>
          </cell>
          <cell r="J7540" t="str">
            <v/>
          </cell>
          <cell r="O7540" t="str">
            <v/>
          </cell>
          <cell r="P7540" t="str">
            <v/>
          </cell>
          <cell r="Q7540" t="str">
            <v/>
          </cell>
          <cell r="S7540" t="str">
            <v/>
          </cell>
          <cell r="V7540" t="str">
            <v/>
          </cell>
          <cell r="Z7540" t="str">
            <v/>
          </cell>
          <cell r="AA7540" t="str">
            <v/>
          </cell>
          <cell r="AB7540" t="str">
            <v/>
          </cell>
          <cell r="AC7540" t="str">
            <v/>
          </cell>
          <cell r="AD7540" t="str">
            <v/>
          </cell>
          <cell r="AY7540" t="str">
            <v/>
          </cell>
          <cell r="AZ7540" t="str">
            <v/>
          </cell>
          <cell r="BA7540" t="str">
            <v/>
          </cell>
        </row>
        <row r="7541">
          <cell r="B7541" t="str">
            <v>-</v>
          </cell>
          <cell r="E7541" t="str">
            <v/>
          </cell>
          <cell r="G7541" t="str">
            <v/>
          </cell>
          <cell r="J7541" t="str">
            <v/>
          </cell>
          <cell r="O7541" t="str">
            <v/>
          </cell>
          <cell r="P7541" t="str">
            <v/>
          </cell>
          <cell r="Q7541" t="str">
            <v/>
          </cell>
          <cell r="S7541" t="str">
            <v/>
          </cell>
          <cell r="V7541" t="str">
            <v/>
          </cell>
          <cell r="Z7541" t="str">
            <v/>
          </cell>
          <cell r="AA7541" t="str">
            <v/>
          </cell>
          <cell r="AB7541" t="str">
            <v/>
          </cell>
          <cell r="AC7541" t="str">
            <v/>
          </cell>
          <cell r="AD7541" t="str">
            <v/>
          </cell>
          <cell r="AY7541" t="str">
            <v/>
          </cell>
          <cell r="AZ7541" t="str">
            <v/>
          </cell>
          <cell r="BA7541" t="str">
            <v/>
          </cell>
        </row>
        <row r="7542">
          <cell r="B7542" t="str">
            <v>-</v>
          </cell>
          <cell r="E7542" t="str">
            <v/>
          </cell>
          <cell r="G7542" t="str">
            <v/>
          </cell>
          <cell r="J7542" t="str">
            <v/>
          </cell>
          <cell r="O7542" t="str">
            <v/>
          </cell>
          <cell r="P7542" t="str">
            <v/>
          </cell>
          <cell r="Q7542" t="str">
            <v/>
          </cell>
          <cell r="S7542" t="str">
            <v/>
          </cell>
          <cell r="V7542" t="str">
            <v/>
          </cell>
          <cell r="Z7542" t="str">
            <v/>
          </cell>
          <cell r="AA7542" t="str">
            <v/>
          </cell>
          <cell r="AB7542" t="str">
            <v/>
          </cell>
          <cell r="AC7542" t="str">
            <v/>
          </cell>
          <cell r="AD7542" t="str">
            <v/>
          </cell>
          <cell r="AY7542" t="str">
            <v/>
          </cell>
          <cell r="AZ7542" t="str">
            <v/>
          </cell>
          <cell r="BA7542" t="str">
            <v/>
          </cell>
        </row>
        <row r="7543">
          <cell r="B7543" t="str">
            <v>-</v>
          </cell>
          <cell r="E7543" t="str">
            <v/>
          </cell>
          <cell r="G7543" t="str">
            <v/>
          </cell>
          <cell r="J7543" t="str">
            <v/>
          </cell>
          <cell r="O7543" t="str">
            <v/>
          </cell>
          <cell r="P7543" t="str">
            <v/>
          </cell>
          <cell r="Q7543" t="str">
            <v/>
          </cell>
          <cell r="S7543" t="str">
            <v/>
          </cell>
          <cell r="V7543" t="str">
            <v/>
          </cell>
          <cell r="Z7543" t="str">
            <v/>
          </cell>
          <cell r="AA7543" t="str">
            <v/>
          </cell>
          <cell r="AB7543" t="str">
            <v/>
          </cell>
          <cell r="AC7543" t="str">
            <v/>
          </cell>
          <cell r="AD7543" t="str">
            <v/>
          </cell>
          <cell r="AY7543" t="str">
            <v/>
          </cell>
          <cell r="AZ7543" t="str">
            <v/>
          </cell>
          <cell r="BA7543" t="str">
            <v/>
          </cell>
        </row>
        <row r="7544">
          <cell r="B7544" t="str">
            <v>-</v>
          </cell>
          <cell r="E7544" t="str">
            <v/>
          </cell>
          <cell r="G7544" t="str">
            <v/>
          </cell>
          <cell r="J7544" t="str">
            <v/>
          </cell>
          <cell r="O7544" t="str">
            <v/>
          </cell>
          <cell r="P7544" t="str">
            <v/>
          </cell>
          <cell r="Q7544" t="str">
            <v/>
          </cell>
          <cell r="S7544" t="str">
            <v/>
          </cell>
          <cell r="V7544" t="str">
            <v/>
          </cell>
          <cell r="Z7544" t="str">
            <v/>
          </cell>
          <cell r="AA7544" t="str">
            <v/>
          </cell>
          <cell r="AB7544" t="str">
            <v/>
          </cell>
          <cell r="AC7544" t="str">
            <v/>
          </cell>
          <cell r="AD7544" t="str">
            <v/>
          </cell>
          <cell r="AY7544" t="str">
            <v/>
          </cell>
          <cell r="AZ7544" t="str">
            <v/>
          </cell>
          <cell r="BA7544" t="str">
            <v/>
          </cell>
        </row>
        <row r="7545">
          <cell r="B7545" t="str">
            <v>-</v>
          </cell>
          <cell r="E7545" t="str">
            <v/>
          </cell>
          <cell r="G7545" t="str">
            <v/>
          </cell>
          <cell r="J7545" t="str">
            <v/>
          </cell>
          <cell r="O7545" t="str">
            <v/>
          </cell>
          <cell r="P7545" t="str">
            <v/>
          </cell>
          <cell r="Q7545" t="str">
            <v/>
          </cell>
          <cell r="S7545" t="str">
            <v/>
          </cell>
          <cell r="V7545" t="str">
            <v/>
          </cell>
          <cell r="Z7545" t="str">
            <v/>
          </cell>
          <cell r="AA7545" t="str">
            <v/>
          </cell>
          <cell r="AB7545" t="str">
            <v/>
          </cell>
          <cell r="AC7545" t="str">
            <v/>
          </cell>
          <cell r="AD7545" t="str">
            <v/>
          </cell>
          <cell r="AY7545" t="str">
            <v/>
          </cell>
          <cell r="AZ7545" t="str">
            <v/>
          </cell>
          <cell r="BA7545" t="str">
            <v/>
          </cell>
        </row>
        <row r="7546">
          <cell r="B7546" t="str">
            <v>-</v>
          </cell>
          <cell r="E7546" t="str">
            <v/>
          </cell>
          <cell r="G7546" t="str">
            <v/>
          </cell>
          <cell r="J7546" t="str">
            <v/>
          </cell>
          <cell r="O7546" t="str">
            <v/>
          </cell>
          <cell r="P7546" t="str">
            <v/>
          </cell>
          <cell r="Q7546" t="str">
            <v/>
          </cell>
          <cell r="S7546" t="str">
            <v/>
          </cell>
          <cell r="V7546" t="str">
            <v/>
          </cell>
          <cell r="Z7546" t="str">
            <v/>
          </cell>
          <cell r="AA7546" t="str">
            <v/>
          </cell>
          <cell r="AB7546" t="str">
            <v/>
          </cell>
          <cell r="AC7546" t="str">
            <v/>
          </cell>
          <cell r="AD7546" t="str">
            <v/>
          </cell>
          <cell r="AY7546" t="str">
            <v/>
          </cell>
          <cell r="AZ7546" t="str">
            <v/>
          </cell>
          <cell r="BA7546" t="str">
            <v/>
          </cell>
        </row>
        <row r="7547">
          <cell r="B7547" t="str">
            <v>-</v>
          </cell>
          <cell r="E7547" t="str">
            <v/>
          </cell>
          <cell r="G7547" t="str">
            <v/>
          </cell>
          <cell r="J7547" t="str">
            <v/>
          </cell>
          <cell r="O7547" t="str">
            <v/>
          </cell>
          <cell r="P7547" t="str">
            <v/>
          </cell>
          <cell r="Q7547" t="str">
            <v/>
          </cell>
          <cell r="S7547" t="str">
            <v/>
          </cell>
          <cell r="V7547" t="str">
            <v/>
          </cell>
          <cell r="Z7547" t="str">
            <v/>
          </cell>
          <cell r="AA7547" t="str">
            <v/>
          </cell>
          <cell r="AB7547" t="str">
            <v/>
          </cell>
          <cell r="AC7547" t="str">
            <v/>
          </cell>
          <cell r="AD7547" t="str">
            <v/>
          </cell>
          <cell r="AY7547" t="str">
            <v/>
          </cell>
          <cell r="AZ7547" t="str">
            <v/>
          </cell>
          <cell r="BA7547" t="str">
            <v/>
          </cell>
        </row>
        <row r="7548">
          <cell r="B7548" t="str">
            <v>-</v>
          </cell>
          <cell r="E7548" t="str">
            <v/>
          </cell>
          <cell r="G7548" t="str">
            <v/>
          </cell>
          <cell r="J7548" t="str">
            <v/>
          </cell>
          <cell r="O7548" t="str">
            <v/>
          </cell>
          <cell r="P7548" t="str">
            <v/>
          </cell>
          <cell r="Q7548" t="str">
            <v/>
          </cell>
          <cell r="S7548" t="str">
            <v/>
          </cell>
          <cell r="V7548" t="str">
            <v/>
          </cell>
          <cell r="Z7548" t="str">
            <v/>
          </cell>
          <cell r="AA7548" t="str">
            <v/>
          </cell>
          <cell r="AB7548" t="str">
            <v/>
          </cell>
          <cell r="AC7548" t="str">
            <v/>
          </cell>
          <cell r="AD7548" t="str">
            <v/>
          </cell>
          <cell r="AY7548" t="str">
            <v/>
          </cell>
          <cell r="AZ7548" t="str">
            <v/>
          </cell>
          <cell r="BA7548" t="str">
            <v/>
          </cell>
        </row>
        <row r="7549">
          <cell r="B7549" t="str">
            <v>-</v>
          </cell>
          <cell r="E7549" t="str">
            <v/>
          </cell>
          <cell r="G7549" t="str">
            <v/>
          </cell>
          <cell r="J7549" t="str">
            <v/>
          </cell>
          <cell r="O7549" t="str">
            <v/>
          </cell>
          <cell r="P7549" t="str">
            <v/>
          </cell>
          <cell r="Q7549" t="str">
            <v/>
          </cell>
          <cell r="S7549" t="str">
            <v/>
          </cell>
          <cell r="V7549" t="str">
            <v/>
          </cell>
          <cell r="Z7549" t="str">
            <v/>
          </cell>
          <cell r="AA7549" t="str">
            <v/>
          </cell>
          <cell r="AB7549" t="str">
            <v/>
          </cell>
          <cell r="AC7549" t="str">
            <v/>
          </cell>
          <cell r="AD7549" t="str">
            <v/>
          </cell>
          <cell r="AY7549" t="str">
            <v/>
          </cell>
          <cell r="AZ7549" t="str">
            <v/>
          </cell>
          <cell r="BA7549" t="str">
            <v/>
          </cell>
        </row>
        <row r="7550">
          <cell r="B7550" t="str">
            <v>-</v>
          </cell>
          <cell r="E7550" t="str">
            <v/>
          </cell>
          <cell r="G7550" t="str">
            <v/>
          </cell>
          <cell r="J7550" t="str">
            <v/>
          </cell>
          <cell r="O7550" t="str">
            <v/>
          </cell>
          <cell r="P7550" t="str">
            <v/>
          </cell>
          <cell r="Q7550" t="str">
            <v/>
          </cell>
          <cell r="S7550" t="str">
            <v/>
          </cell>
          <cell r="V7550" t="str">
            <v/>
          </cell>
          <cell r="Z7550" t="str">
            <v/>
          </cell>
          <cell r="AA7550" t="str">
            <v/>
          </cell>
          <cell r="AB7550" t="str">
            <v/>
          </cell>
          <cell r="AC7550" t="str">
            <v/>
          </cell>
          <cell r="AD7550" t="str">
            <v/>
          </cell>
          <cell r="AY7550" t="str">
            <v/>
          </cell>
          <cell r="AZ7550" t="str">
            <v/>
          </cell>
          <cell r="BA7550" t="str">
            <v/>
          </cell>
        </row>
        <row r="7551">
          <cell r="B7551" t="str">
            <v>-</v>
          </cell>
          <cell r="E7551" t="str">
            <v/>
          </cell>
          <cell r="G7551" t="str">
            <v/>
          </cell>
          <cell r="J7551" t="str">
            <v/>
          </cell>
          <cell r="O7551" t="str">
            <v/>
          </cell>
          <cell r="P7551" t="str">
            <v/>
          </cell>
          <cell r="Q7551" t="str">
            <v/>
          </cell>
          <cell r="S7551" t="str">
            <v/>
          </cell>
          <cell r="V7551" t="str">
            <v/>
          </cell>
          <cell r="Z7551" t="str">
            <v/>
          </cell>
          <cell r="AA7551" t="str">
            <v/>
          </cell>
          <cell r="AB7551" t="str">
            <v/>
          </cell>
          <cell r="AC7551" t="str">
            <v/>
          </cell>
          <cell r="AD7551" t="str">
            <v/>
          </cell>
          <cell r="AY7551" t="str">
            <v/>
          </cell>
          <cell r="AZ7551" t="str">
            <v/>
          </cell>
          <cell r="BA7551" t="str">
            <v/>
          </cell>
        </row>
        <row r="7552">
          <cell r="B7552" t="str">
            <v>-</v>
          </cell>
          <cell r="E7552" t="str">
            <v/>
          </cell>
          <cell r="G7552" t="str">
            <v/>
          </cell>
          <cell r="J7552" t="str">
            <v/>
          </cell>
          <cell r="O7552" t="str">
            <v/>
          </cell>
          <cell r="P7552" t="str">
            <v/>
          </cell>
          <cell r="Q7552" t="str">
            <v/>
          </cell>
          <cell r="S7552" t="str">
            <v/>
          </cell>
          <cell r="V7552" t="str">
            <v/>
          </cell>
          <cell r="Z7552" t="str">
            <v/>
          </cell>
          <cell r="AA7552" t="str">
            <v/>
          </cell>
          <cell r="AB7552" t="str">
            <v/>
          </cell>
          <cell r="AC7552" t="str">
            <v/>
          </cell>
          <cell r="AD7552" t="str">
            <v/>
          </cell>
          <cell r="AY7552" t="str">
            <v/>
          </cell>
          <cell r="AZ7552" t="str">
            <v/>
          </cell>
          <cell r="BA7552" t="str">
            <v/>
          </cell>
        </row>
        <row r="7553">
          <cell r="B7553" t="str">
            <v>-</v>
          </cell>
          <cell r="E7553" t="str">
            <v/>
          </cell>
          <cell r="G7553" t="str">
            <v/>
          </cell>
          <cell r="J7553" t="str">
            <v/>
          </cell>
          <cell r="O7553" t="str">
            <v/>
          </cell>
          <cell r="P7553" t="str">
            <v/>
          </cell>
          <cell r="Q7553" t="str">
            <v/>
          </cell>
          <cell r="S7553" t="str">
            <v/>
          </cell>
          <cell r="V7553" t="str">
            <v/>
          </cell>
          <cell r="Z7553" t="str">
            <v/>
          </cell>
          <cell r="AA7553" t="str">
            <v/>
          </cell>
          <cell r="AB7553" t="str">
            <v/>
          </cell>
          <cell r="AC7553" t="str">
            <v/>
          </cell>
          <cell r="AD7553" t="str">
            <v/>
          </cell>
          <cell r="AY7553" t="str">
            <v/>
          </cell>
          <cell r="AZ7553" t="str">
            <v/>
          </cell>
          <cell r="BA7553" t="str">
            <v/>
          </cell>
        </row>
        <row r="7554">
          <cell r="B7554" t="str">
            <v>-</v>
          </cell>
          <cell r="E7554" t="str">
            <v/>
          </cell>
          <cell r="G7554" t="str">
            <v/>
          </cell>
          <cell r="J7554" t="str">
            <v/>
          </cell>
          <cell r="O7554" t="str">
            <v/>
          </cell>
          <cell r="P7554" t="str">
            <v/>
          </cell>
          <cell r="Q7554" t="str">
            <v/>
          </cell>
          <cell r="S7554" t="str">
            <v/>
          </cell>
          <cell r="V7554" t="str">
            <v/>
          </cell>
          <cell r="Z7554" t="str">
            <v/>
          </cell>
          <cell r="AA7554" t="str">
            <v/>
          </cell>
          <cell r="AB7554" t="str">
            <v/>
          </cell>
          <cell r="AC7554" t="str">
            <v/>
          </cell>
          <cell r="AD7554" t="str">
            <v/>
          </cell>
          <cell r="AY7554" t="str">
            <v/>
          </cell>
          <cell r="AZ7554" t="str">
            <v/>
          </cell>
          <cell r="BA7554" t="str">
            <v/>
          </cell>
        </row>
        <row r="7555">
          <cell r="B7555" t="str">
            <v>-</v>
          </cell>
          <cell r="E7555" t="str">
            <v/>
          </cell>
          <cell r="G7555" t="str">
            <v/>
          </cell>
          <cell r="J7555" t="str">
            <v/>
          </cell>
          <cell r="O7555" t="str">
            <v/>
          </cell>
          <cell r="P7555" t="str">
            <v/>
          </cell>
          <cell r="Q7555" t="str">
            <v/>
          </cell>
          <cell r="S7555" t="str">
            <v/>
          </cell>
          <cell r="V7555" t="str">
            <v/>
          </cell>
          <cell r="Z7555" t="str">
            <v/>
          </cell>
          <cell r="AA7555" t="str">
            <v/>
          </cell>
          <cell r="AB7555" t="str">
            <v/>
          </cell>
          <cell r="AC7555" t="str">
            <v/>
          </cell>
          <cell r="AD7555" t="str">
            <v/>
          </cell>
          <cell r="AY7555" t="str">
            <v/>
          </cell>
          <cell r="AZ7555" t="str">
            <v/>
          </cell>
          <cell r="BA7555" t="str">
            <v/>
          </cell>
        </row>
        <row r="7556">
          <cell r="B7556" t="str">
            <v>-</v>
          </cell>
          <cell r="E7556" t="str">
            <v/>
          </cell>
          <cell r="G7556" t="str">
            <v/>
          </cell>
          <cell r="J7556" t="str">
            <v/>
          </cell>
          <cell r="O7556" t="str">
            <v/>
          </cell>
          <cell r="P7556" t="str">
            <v/>
          </cell>
          <cell r="Q7556" t="str">
            <v/>
          </cell>
          <cell r="S7556" t="str">
            <v/>
          </cell>
          <cell r="V7556" t="str">
            <v/>
          </cell>
          <cell r="Z7556" t="str">
            <v/>
          </cell>
          <cell r="AA7556" t="str">
            <v/>
          </cell>
          <cell r="AB7556" t="str">
            <v/>
          </cell>
          <cell r="AC7556" t="str">
            <v/>
          </cell>
          <cell r="AD7556" t="str">
            <v/>
          </cell>
          <cell r="AY7556" t="str">
            <v/>
          </cell>
          <cell r="AZ7556" t="str">
            <v/>
          </cell>
          <cell r="BA7556" t="str">
            <v/>
          </cell>
        </row>
        <row r="7557">
          <cell r="B7557" t="str">
            <v>-</v>
          </cell>
          <cell r="E7557" t="str">
            <v/>
          </cell>
          <cell r="G7557" t="str">
            <v/>
          </cell>
          <cell r="J7557" t="str">
            <v/>
          </cell>
          <cell r="O7557" t="str">
            <v/>
          </cell>
          <cell r="P7557" t="str">
            <v/>
          </cell>
          <cell r="Q7557" t="str">
            <v/>
          </cell>
          <cell r="S7557" t="str">
            <v/>
          </cell>
          <cell r="V7557" t="str">
            <v/>
          </cell>
          <cell r="Z7557" t="str">
            <v/>
          </cell>
          <cell r="AA7557" t="str">
            <v/>
          </cell>
          <cell r="AB7557" t="str">
            <v/>
          </cell>
          <cell r="AC7557" t="str">
            <v/>
          </cell>
          <cell r="AD7557" t="str">
            <v/>
          </cell>
          <cell r="AY7557" t="str">
            <v/>
          </cell>
          <cell r="AZ7557" t="str">
            <v/>
          </cell>
          <cell r="BA7557" t="str">
            <v/>
          </cell>
        </row>
        <row r="7558">
          <cell r="B7558" t="str">
            <v>-</v>
          </cell>
          <cell r="E7558" t="str">
            <v/>
          </cell>
          <cell r="G7558" t="str">
            <v/>
          </cell>
          <cell r="J7558" t="str">
            <v/>
          </cell>
          <cell r="O7558" t="str">
            <v/>
          </cell>
          <cell r="P7558" t="str">
            <v/>
          </cell>
          <cell r="Q7558" t="str">
            <v/>
          </cell>
          <cell r="S7558" t="str">
            <v/>
          </cell>
          <cell r="V7558" t="str">
            <v/>
          </cell>
          <cell r="Z7558" t="str">
            <v/>
          </cell>
          <cell r="AA7558" t="str">
            <v/>
          </cell>
          <cell r="AB7558" t="str">
            <v/>
          </cell>
          <cell r="AC7558" t="str">
            <v/>
          </cell>
          <cell r="AD7558" t="str">
            <v/>
          </cell>
          <cell r="AY7558" t="str">
            <v/>
          </cell>
          <cell r="AZ7558" t="str">
            <v/>
          </cell>
          <cell r="BA7558" t="str">
            <v/>
          </cell>
        </row>
        <row r="7559">
          <cell r="B7559" t="str">
            <v>-</v>
          </cell>
          <cell r="E7559" t="str">
            <v/>
          </cell>
          <cell r="G7559" t="str">
            <v/>
          </cell>
          <cell r="J7559" t="str">
            <v/>
          </cell>
          <cell r="O7559" t="str">
            <v/>
          </cell>
          <cell r="P7559" t="str">
            <v/>
          </cell>
          <cell r="Q7559" t="str">
            <v/>
          </cell>
          <cell r="S7559" t="str">
            <v/>
          </cell>
          <cell r="V7559" t="str">
            <v/>
          </cell>
          <cell r="Z7559" t="str">
            <v/>
          </cell>
          <cell r="AA7559" t="str">
            <v/>
          </cell>
          <cell r="AB7559" t="str">
            <v/>
          </cell>
          <cell r="AC7559" t="str">
            <v/>
          </cell>
          <cell r="AD7559" t="str">
            <v/>
          </cell>
          <cell r="AY7559" t="str">
            <v/>
          </cell>
          <cell r="AZ7559" t="str">
            <v/>
          </cell>
          <cell r="BA7559" t="str">
            <v/>
          </cell>
        </row>
        <row r="7560">
          <cell r="B7560" t="str">
            <v>-</v>
          </cell>
          <cell r="E7560" t="str">
            <v/>
          </cell>
          <cell r="G7560" t="str">
            <v/>
          </cell>
          <cell r="J7560" t="str">
            <v/>
          </cell>
          <cell r="O7560" t="str">
            <v/>
          </cell>
          <cell r="P7560" t="str">
            <v/>
          </cell>
          <cell r="Q7560" t="str">
            <v/>
          </cell>
          <cell r="S7560" t="str">
            <v/>
          </cell>
          <cell r="V7560" t="str">
            <v/>
          </cell>
          <cell r="Z7560" t="str">
            <v/>
          </cell>
          <cell r="AA7560" t="str">
            <v/>
          </cell>
          <cell r="AB7560" t="str">
            <v/>
          </cell>
          <cell r="AC7560" t="str">
            <v/>
          </cell>
          <cell r="AD7560" t="str">
            <v/>
          </cell>
          <cell r="AY7560" t="str">
            <v/>
          </cell>
          <cell r="AZ7560" t="str">
            <v/>
          </cell>
          <cell r="BA7560" t="str">
            <v/>
          </cell>
        </row>
        <row r="7561">
          <cell r="B7561" t="str">
            <v>-</v>
          </cell>
          <cell r="E7561" t="str">
            <v/>
          </cell>
          <cell r="G7561" t="str">
            <v/>
          </cell>
          <cell r="J7561" t="str">
            <v/>
          </cell>
          <cell r="O7561" t="str">
            <v/>
          </cell>
          <cell r="P7561" t="str">
            <v/>
          </cell>
          <cell r="Q7561" t="str">
            <v/>
          </cell>
          <cell r="S7561" t="str">
            <v/>
          </cell>
          <cell r="V7561" t="str">
            <v/>
          </cell>
          <cell r="Z7561" t="str">
            <v/>
          </cell>
          <cell r="AA7561" t="str">
            <v/>
          </cell>
          <cell r="AB7561" t="str">
            <v/>
          </cell>
          <cell r="AC7561" t="str">
            <v/>
          </cell>
          <cell r="AD7561" t="str">
            <v/>
          </cell>
          <cell r="AY7561" t="str">
            <v/>
          </cell>
          <cell r="AZ7561" t="str">
            <v/>
          </cell>
          <cell r="BA7561" t="str">
            <v/>
          </cell>
        </row>
        <row r="7562">
          <cell r="B7562" t="str">
            <v>-</v>
          </cell>
          <cell r="E7562" t="str">
            <v/>
          </cell>
          <cell r="G7562" t="str">
            <v/>
          </cell>
          <cell r="J7562" t="str">
            <v/>
          </cell>
          <cell r="O7562" t="str">
            <v/>
          </cell>
          <cell r="P7562" t="str">
            <v/>
          </cell>
          <cell r="Q7562" t="str">
            <v/>
          </cell>
          <cell r="S7562" t="str">
            <v/>
          </cell>
          <cell r="V7562" t="str">
            <v/>
          </cell>
          <cell r="Z7562" t="str">
            <v/>
          </cell>
          <cell r="AA7562" t="str">
            <v/>
          </cell>
          <cell r="AB7562" t="str">
            <v/>
          </cell>
          <cell r="AC7562" t="str">
            <v/>
          </cell>
          <cell r="AD7562" t="str">
            <v/>
          </cell>
          <cell r="AY7562" t="str">
            <v/>
          </cell>
          <cell r="AZ7562" t="str">
            <v/>
          </cell>
          <cell r="BA7562" t="str">
            <v/>
          </cell>
        </row>
        <row r="7563">
          <cell r="B7563" t="str">
            <v>-</v>
          </cell>
          <cell r="E7563" t="str">
            <v/>
          </cell>
          <cell r="G7563" t="str">
            <v/>
          </cell>
          <cell r="J7563" t="str">
            <v/>
          </cell>
          <cell r="O7563" t="str">
            <v/>
          </cell>
          <cell r="P7563" t="str">
            <v/>
          </cell>
          <cell r="Q7563" t="str">
            <v/>
          </cell>
          <cell r="S7563" t="str">
            <v/>
          </cell>
          <cell r="V7563" t="str">
            <v/>
          </cell>
          <cell r="Z7563" t="str">
            <v/>
          </cell>
          <cell r="AA7563" t="str">
            <v/>
          </cell>
          <cell r="AB7563" t="str">
            <v/>
          </cell>
          <cell r="AC7563" t="str">
            <v/>
          </cell>
          <cell r="AD7563" t="str">
            <v/>
          </cell>
          <cell r="AY7563" t="str">
            <v/>
          </cell>
          <cell r="AZ7563" t="str">
            <v/>
          </cell>
          <cell r="BA7563" t="str">
            <v/>
          </cell>
        </row>
        <row r="7564">
          <cell r="B7564" t="str">
            <v>-</v>
          </cell>
          <cell r="E7564" t="str">
            <v/>
          </cell>
          <cell r="G7564" t="str">
            <v/>
          </cell>
          <cell r="J7564" t="str">
            <v/>
          </cell>
          <cell r="O7564" t="str">
            <v/>
          </cell>
          <cell r="P7564" t="str">
            <v/>
          </cell>
          <cell r="Q7564" t="str">
            <v/>
          </cell>
          <cell r="S7564" t="str">
            <v/>
          </cell>
          <cell r="V7564" t="str">
            <v/>
          </cell>
          <cell r="Z7564" t="str">
            <v/>
          </cell>
          <cell r="AA7564" t="str">
            <v/>
          </cell>
          <cell r="AB7564" t="str">
            <v/>
          </cell>
          <cell r="AC7564" t="str">
            <v/>
          </cell>
          <cell r="AD7564" t="str">
            <v/>
          </cell>
          <cell r="AY7564" t="str">
            <v/>
          </cell>
          <cell r="AZ7564" t="str">
            <v/>
          </cell>
          <cell r="BA7564" t="str">
            <v/>
          </cell>
        </row>
        <row r="7565">
          <cell r="B7565" t="str">
            <v>-</v>
          </cell>
          <cell r="E7565" t="str">
            <v/>
          </cell>
          <cell r="G7565" t="str">
            <v/>
          </cell>
          <cell r="J7565" t="str">
            <v/>
          </cell>
          <cell r="O7565" t="str">
            <v/>
          </cell>
          <cell r="P7565" t="str">
            <v/>
          </cell>
          <cell r="Q7565" t="str">
            <v/>
          </cell>
          <cell r="S7565" t="str">
            <v/>
          </cell>
          <cell r="V7565" t="str">
            <v/>
          </cell>
          <cell r="Z7565" t="str">
            <v/>
          </cell>
          <cell r="AA7565" t="str">
            <v/>
          </cell>
          <cell r="AB7565" t="str">
            <v/>
          </cell>
          <cell r="AC7565" t="str">
            <v/>
          </cell>
          <cell r="AD7565" t="str">
            <v/>
          </cell>
          <cell r="AY7565" t="str">
            <v/>
          </cell>
          <cell r="AZ7565" t="str">
            <v/>
          </cell>
          <cell r="BA7565" t="str">
            <v/>
          </cell>
        </row>
        <row r="7566">
          <cell r="B7566" t="str">
            <v>-</v>
          </cell>
          <cell r="E7566" t="str">
            <v/>
          </cell>
          <cell r="G7566" t="str">
            <v/>
          </cell>
          <cell r="J7566" t="str">
            <v/>
          </cell>
          <cell r="O7566" t="str">
            <v/>
          </cell>
          <cell r="P7566" t="str">
            <v/>
          </cell>
          <cell r="Q7566" t="str">
            <v/>
          </cell>
          <cell r="S7566" t="str">
            <v/>
          </cell>
          <cell r="V7566" t="str">
            <v/>
          </cell>
          <cell r="Z7566" t="str">
            <v/>
          </cell>
          <cell r="AA7566" t="str">
            <v/>
          </cell>
          <cell r="AB7566" t="str">
            <v/>
          </cell>
          <cell r="AC7566" t="str">
            <v/>
          </cell>
          <cell r="AD7566" t="str">
            <v/>
          </cell>
          <cell r="AY7566" t="str">
            <v/>
          </cell>
          <cell r="AZ7566" t="str">
            <v/>
          </cell>
          <cell r="BA7566" t="str">
            <v/>
          </cell>
        </row>
        <row r="7567">
          <cell r="B7567" t="str">
            <v>-</v>
          </cell>
          <cell r="E7567" t="str">
            <v/>
          </cell>
          <cell r="G7567" t="str">
            <v/>
          </cell>
          <cell r="J7567" t="str">
            <v/>
          </cell>
          <cell r="O7567" t="str">
            <v/>
          </cell>
          <cell r="P7567" t="str">
            <v/>
          </cell>
          <cell r="Q7567" t="str">
            <v/>
          </cell>
          <cell r="S7567" t="str">
            <v/>
          </cell>
          <cell r="V7567" t="str">
            <v/>
          </cell>
          <cell r="Z7567" t="str">
            <v/>
          </cell>
          <cell r="AA7567" t="str">
            <v/>
          </cell>
          <cell r="AB7567" t="str">
            <v/>
          </cell>
          <cell r="AC7567" t="str">
            <v/>
          </cell>
          <cell r="AD7567" t="str">
            <v/>
          </cell>
          <cell r="AY7567" t="str">
            <v/>
          </cell>
          <cell r="AZ7567" t="str">
            <v/>
          </cell>
          <cell r="BA7567" t="str">
            <v/>
          </cell>
        </row>
        <row r="7568">
          <cell r="B7568" t="str">
            <v>-</v>
          </cell>
          <cell r="E7568" t="str">
            <v/>
          </cell>
          <cell r="G7568" t="str">
            <v/>
          </cell>
          <cell r="J7568" t="str">
            <v/>
          </cell>
          <cell r="O7568" t="str">
            <v/>
          </cell>
          <cell r="P7568" t="str">
            <v/>
          </cell>
          <cell r="Q7568" t="str">
            <v/>
          </cell>
          <cell r="S7568" t="str">
            <v/>
          </cell>
          <cell r="V7568" t="str">
            <v/>
          </cell>
          <cell r="Z7568" t="str">
            <v/>
          </cell>
          <cell r="AA7568" t="str">
            <v/>
          </cell>
          <cell r="AB7568" t="str">
            <v/>
          </cell>
          <cell r="AC7568" t="str">
            <v/>
          </cell>
          <cell r="AD7568" t="str">
            <v/>
          </cell>
          <cell r="AY7568" t="str">
            <v/>
          </cell>
          <cell r="AZ7568" t="str">
            <v/>
          </cell>
          <cell r="BA7568" t="str">
            <v/>
          </cell>
        </row>
        <row r="7569">
          <cell r="B7569" t="str">
            <v>-</v>
          </cell>
          <cell r="E7569" t="str">
            <v/>
          </cell>
          <cell r="G7569" t="str">
            <v/>
          </cell>
          <cell r="J7569" t="str">
            <v/>
          </cell>
          <cell r="O7569" t="str">
            <v/>
          </cell>
          <cell r="P7569" t="str">
            <v/>
          </cell>
          <cell r="Q7569" t="str">
            <v/>
          </cell>
          <cell r="S7569" t="str">
            <v/>
          </cell>
          <cell r="V7569" t="str">
            <v/>
          </cell>
          <cell r="Z7569" t="str">
            <v/>
          </cell>
          <cell r="AA7569" t="str">
            <v/>
          </cell>
          <cell r="AB7569" t="str">
            <v/>
          </cell>
          <cell r="AC7569" t="str">
            <v/>
          </cell>
          <cell r="AD7569" t="str">
            <v/>
          </cell>
          <cell r="AY7569" t="str">
            <v/>
          </cell>
          <cell r="AZ7569" t="str">
            <v/>
          </cell>
          <cell r="BA7569" t="str">
            <v/>
          </cell>
        </row>
        <row r="7570">
          <cell r="B7570" t="str">
            <v>-</v>
          </cell>
          <cell r="E7570" t="str">
            <v/>
          </cell>
          <cell r="G7570" t="str">
            <v/>
          </cell>
          <cell r="J7570" t="str">
            <v/>
          </cell>
          <cell r="O7570" t="str">
            <v/>
          </cell>
          <cell r="P7570" t="str">
            <v/>
          </cell>
          <cell r="Q7570" t="str">
            <v/>
          </cell>
          <cell r="S7570" t="str">
            <v/>
          </cell>
          <cell r="V7570" t="str">
            <v/>
          </cell>
          <cell r="Z7570" t="str">
            <v/>
          </cell>
          <cell r="AA7570" t="str">
            <v/>
          </cell>
          <cell r="AB7570" t="str">
            <v/>
          </cell>
          <cell r="AC7570" t="str">
            <v/>
          </cell>
          <cell r="AD7570" t="str">
            <v/>
          </cell>
          <cell r="AY7570" t="str">
            <v/>
          </cell>
          <cell r="AZ7570" t="str">
            <v/>
          </cell>
          <cell r="BA7570" t="str">
            <v/>
          </cell>
        </row>
        <row r="7571">
          <cell r="B7571" t="str">
            <v>-</v>
          </cell>
          <cell r="E7571" t="str">
            <v/>
          </cell>
          <cell r="G7571" t="str">
            <v/>
          </cell>
          <cell r="J7571" t="str">
            <v/>
          </cell>
          <cell r="O7571" t="str">
            <v/>
          </cell>
          <cell r="P7571" t="str">
            <v/>
          </cell>
          <cell r="Q7571" t="str">
            <v/>
          </cell>
          <cell r="S7571" t="str">
            <v/>
          </cell>
          <cell r="V7571" t="str">
            <v/>
          </cell>
          <cell r="Z7571" t="str">
            <v/>
          </cell>
          <cell r="AA7571" t="str">
            <v/>
          </cell>
          <cell r="AB7571" t="str">
            <v/>
          </cell>
          <cell r="AC7571" t="str">
            <v/>
          </cell>
          <cell r="AD7571" t="str">
            <v/>
          </cell>
          <cell r="AY7571" t="str">
            <v/>
          </cell>
          <cell r="AZ7571" t="str">
            <v/>
          </cell>
          <cell r="BA7571" t="str">
            <v/>
          </cell>
        </row>
        <row r="7572">
          <cell r="B7572" t="str">
            <v>-</v>
          </cell>
          <cell r="E7572" t="str">
            <v/>
          </cell>
          <cell r="G7572" t="str">
            <v/>
          </cell>
          <cell r="J7572" t="str">
            <v/>
          </cell>
          <cell r="O7572" t="str">
            <v/>
          </cell>
          <cell r="P7572" t="str">
            <v/>
          </cell>
          <cell r="Q7572" t="str">
            <v/>
          </cell>
          <cell r="S7572" t="str">
            <v/>
          </cell>
          <cell r="V7572" t="str">
            <v/>
          </cell>
          <cell r="Z7572" t="str">
            <v/>
          </cell>
          <cell r="AA7572" t="str">
            <v/>
          </cell>
          <cell r="AB7572" t="str">
            <v/>
          </cell>
          <cell r="AC7572" t="str">
            <v/>
          </cell>
          <cell r="AD7572" t="str">
            <v/>
          </cell>
          <cell r="AY7572" t="str">
            <v/>
          </cell>
          <cell r="AZ7572" t="str">
            <v/>
          </cell>
          <cell r="BA7572" t="str">
            <v/>
          </cell>
        </row>
        <row r="7573">
          <cell r="B7573" t="str">
            <v>-</v>
          </cell>
          <cell r="E7573" t="str">
            <v/>
          </cell>
          <cell r="G7573" t="str">
            <v/>
          </cell>
          <cell r="J7573" t="str">
            <v/>
          </cell>
          <cell r="O7573" t="str">
            <v/>
          </cell>
          <cell r="P7573" t="str">
            <v/>
          </cell>
          <cell r="Q7573" t="str">
            <v/>
          </cell>
          <cell r="S7573" t="str">
            <v/>
          </cell>
          <cell r="V7573" t="str">
            <v/>
          </cell>
          <cell r="Z7573" t="str">
            <v/>
          </cell>
          <cell r="AA7573" t="str">
            <v/>
          </cell>
          <cell r="AB7573" t="str">
            <v/>
          </cell>
          <cell r="AC7573" t="str">
            <v/>
          </cell>
          <cell r="AD7573" t="str">
            <v/>
          </cell>
          <cell r="AY7573" t="str">
            <v/>
          </cell>
          <cell r="AZ7573" t="str">
            <v/>
          </cell>
          <cell r="BA7573" t="str">
            <v/>
          </cell>
        </row>
        <row r="7574">
          <cell r="B7574" t="str">
            <v>-</v>
          </cell>
          <cell r="E7574" t="str">
            <v/>
          </cell>
          <cell r="G7574" t="str">
            <v/>
          </cell>
          <cell r="J7574" t="str">
            <v/>
          </cell>
          <cell r="O7574" t="str">
            <v/>
          </cell>
          <cell r="P7574" t="str">
            <v/>
          </cell>
          <cell r="Q7574" t="str">
            <v/>
          </cell>
          <cell r="S7574" t="str">
            <v/>
          </cell>
          <cell r="V7574" t="str">
            <v/>
          </cell>
          <cell r="Z7574" t="str">
            <v/>
          </cell>
          <cell r="AA7574" t="str">
            <v/>
          </cell>
          <cell r="AB7574" t="str">
            <v/>
          </cell>
          <cell r="AC7574" t="str">
            <v/>
          </cell>
          <cell r="AD7574" t="str">
            <v/>
          </cell>
          <cell r="AY7574" t="str">
            <v/>
          </cell>
          <cell r="AZ7574" t="str">
            <v/>
          </cell>
          <cell r="BA7574" t="str">
            <v/>
          </cell>
        </row>
        <row r="7575">
          <cell r="B7575" t="str">
            <v>-</v>
          </cell>
          <cell r="E7575" t="str">
            <v/>
          </cell>
          <cell r="G7575" t="str">
            <v/>
          </cell>
          <cell r="J7575" t="str">
            <v/>
          </cell>
          <cell r="O7575" t="str">
            <v/>
          </cell>
          <cell r="P7575" t="str">
            <v/>
          </cell>
          <cell r="Q7575" t="str">
            <v/>
          </cell>
          <cell r="S7575" t="str">
            <v/>
          </cell>
          <cell r="V7575" t="str">
            <v/>
          </cell>
          <cell r="Z7575" t="str">
            <v/>
          </cell>
          <cell r="AA7575" t="str">
            <v/>
          </cell>
          <cell r="AB7575" t="str">
            <v/>
          </cell>
          <cell r="AC7575" t="str">
            <v/>
          </cell>
          <cell r="AD7575" t="str">
            <v/>
          </cell>
          <cell r="AY7575" t="str">
            <v/>
          </cell>
          <cell r="AZ7575" t="str">
            <v/>
          </cell>
          <cell r="BA7575" t="str">
            <v/>
          </cell>
        </row>
        <row r="7576">
          <cell r="B7576" t="str">
            <v>-</v>
          </cell>
          <cell r="E7576" t="str">
            <v/>
          </cell>
          <cell r="G7576" t="str">
            <v/>
          </cell>
          <cell r="J7576" t="str">
            <v/>
          </cell>
          <cell r="O7576" t="str">
            <v/>
          </cell>
          <cell r="P7576" t="str">
            <v/>
          </cell>
          <cell r="Q7576" t="str">
            <v/>
          </cell>
          <cell r="S7576" t="str">
            <v/>
          </cell>
          <cell r="V7576" t="str">
            <v/>
          </cell>
          <cell r="Z7576" t="str">
            <v/>
          </cell>
          <cell r="AA7576" t="str">
            <v/>
          </cell>
          <cell r="AB7576" t="str">
            <v/>
          </cell>
          <cell r="AC7576" t="str">
            <v/>
          </cell>
          <cell r="AD7576" t="str">
            <v/>
          </cell>
          <cell r="AY7576" t="str">
            <v/>
          </cell>
          <cell r="AZ7576" t="str">
            <v/>
          </cell>
          <cell r="BA7576" t="str">
            <v/>
          </cell>
        </row>
        <row r="7577">
          <cell r="B7577" t="str">
            <v>-</v>
          </cell>
          <cell r="E7577" t="str">
            <v/>
          </cell>
          <cell r="G7577" t="str">
            <v/>
          </cell>
          <cell r="J7577" t="str">
            <v/>
          </cell>
          <cell r="O7577" t="str">
            <v/>
          </cell>
          <cell r="P7577" t="str">
            <v/>
          </cell>
          <cell r="Q7577" t="str">
            <v/>
          </cell>
          <cell r="S7577" t="str">
            <v/>
          </cell>
          <cell r="V7577" t="str">
            <v/>
          </cell>
          <cell r="Z7577" t="str">
            <v/>
          </cell>
          <cell r="AA7577" t="str">
            <v/>
          </cell>
          <cell r="AB7577" t="str">
            <v/>
          </cell>
          <cell r="AC7577" t="str">
            <v/>
          </cell>
          <cell r="AD7577" t="str">
            <v/>
          </cell>
          <cell r="AY7577" t="str">
            <v/>
          </cell>
          <cell r="AZ7577" t="str">
            <v/>
          </cell>
          <cell r="BA7577" t="str">
            <v/>
          </cell>
        </row>
        <row r="7578">
          <cell r="B7578" t="str">
            <v>-</v>
          </cell>
          <cell r="E7578" t="str">
            <v/>
          </cell>
          <cell r="G7578" t="str">
            <v/>
          </cell>
          <cell r="J7578" t="str">
            <v/>
          </cell>
          <cell r="O7578" t="str">
            <v/>
          </cell>
          <cell r="P7578" t="str">
            <v/>
          </cell>
          <cell r="Q7578" t="str">
            <v/>
          </cell>
          <cell r="S7578" t="str">
            <v/>
          </cell>
          <cell r="V7578" t="str">
            <v/>
          </cell>
          <cell r="Z7578" t="str">
            <v/>
          </cell>
          <cell r="AA7578" t="str">
            <v/>
          </cell>
          <cell r="AB7578" t="str">
            <v/>
          </cell>
          <cell r="AC7578" t="str">
            <v/>
          </cell>
          <cell r="AD7578" t="str">
            <v/>
          </cell>
          <cell r="AY7578" t="str">
            <v/>
          </cell>
          <cell r="AZ7578" t="str">
            <v/>
          </cell>
          <cell r="BA7578" t="str">
            <v/>
          </cell>
        </row>
        <row r="7579">
          <cell r="B7579" t="str">
            <v>-</v>
          </cell>
          <cell r="E7579" t="str">
            <v/>
          </cell>
          <cell r="G7579" t="str">
            <v/>
          </cell>
          <cell r="J7579" t="str">
            <v/>
          </cell>
          <cell r="O7579" t="str">
            <v/>
          </cell>
          <cell r="P7579" t="str">
            <v/>
          </cell>
          <cell r="Q7579" t="str">
            <v/>
          </cell>
          <cell r="S7579" t="str">
            <v/>
          </cell>
          <cell r="V7579" t="str">
            <v/>
          </cell>
          <cell r="Z7579" t="str">
            <v/>
          </cell>
          <cell r="AA7579" t="str">
            <v/>
          </cell>
          <cell r="AB7579" t="str">
            <v/>
          </cell>
          <cell r="AC7579" t="str">
            <v/>
          </cell>
          <cell r="AD7579" t="str">
            <v/>
          </cell>
          <cell r="AY7579" t="str">
            <v/>
          </cell>
          <cell r="AZ7579" t="str">
            <v/>
          </cell>
          <cell r="BA7579" t="str">
            <v/>
          </cell>
        </row>
        <row r="7580">
          <cell r="B7580" t="str">
            <v>-</v>
          </cell>
          <cell r="E7580" t="str">
            <v/>
          </cell>
          <cell r="G7580" t="str">
            <v/>
          </cell>
          <cell r="J7580" t="str">
            <v/>
          </cell>
          <cell r="O7580" t="str">
            <v/>
          </cell>
          <cell r="P7580" t="str">
            <v/>
          </cell>
          <cell r="Q7580" t="str">
            <v/>
          </cell>
          <cell r="S7580" t="str">
            <v/>
          </cell>
          <cell r="V7580" t="str">
            <v/>
          </cell>
          <cell r="Z7580" t="str">
            <v/>
          </cell>
          <cell r="AA7580" t="str">
            <v/>
          </cell>
          <cell r="AB7580" t="str">
            <v/>
          </cell>
          <cell r="AC7580" t="str">
            <v/>
          </cell>
          <cell r="AD7580" t="str">
            <v/>
          </cell>
          <cell r="AY7580" t="str">
            <v/>
          </cell>
          <cell r="AZ7580" t="str">
            <v/>
          </cell>
          <cell r="BA7580" t="str">
            <v/>
          </cell>
        </row>
        <row r="7581">
          <cell r="B7581" t="str">
            <v>-</v>
          </cell>
          <cell r="E7581" t="str">
            <v/>
          </cell>
          <cell r="G7581" t="str">
            <v/>
          </cell>
          <cell r="J7581" t="str">
            <v/>
          </cell>
          <cell r="O7581" t="str">
            <v/>
          </cell>
          <cell r="P7581" t="str">
            <v/>
          </cell>
          <cell r="Q7581" t="str">
            <v/>
          </cell>
          <cell r="S7581" t="str">
            <v/>
          </cell>
          <cell r="V7581" t="str">
            <v/>
          </cell>
          <cell r="Z7581" t="str">
            <v/>
          </cell>
          <cell r="AA7581" t="str">
            <v/>
          </cell>
          <cell r="AB7581" t="str">
            <v/>
          </cell>
          <cell r="AC7581" t="str">
            <v/>
          </cell>
          <cell r="AD7581" t="str">
            <v/>
          </cell>
          <cell r="AY7581" t="str">
            <v/>
          </cell>
          <cell r="AZ7581" t="str">
            <v/>
          </cell>
          <cell r="BA7581" t="str">
            <v/>
          </cell>
        </row>
        <row r="7582">
          <cell r="B7582" t="str">
            <v>-</v>
          </cell>
          <cell r="E7582" t="str">
            <v/>
          </cell>
          <cell r="G7582" t="str">
            <v/>
          </cell>
          <cell r="J7582" t="str">
            <v/>
          </cell>
          <cell r="O7582" t="str">
            <v/>
          </cell>
          <cell r="P7582" t="str">
            <v/>
          </cell>
          <cell r="Q7582" t="str">
            <v/>
          </cell>
          <cell r="S7582" t="str">
            <v/>
          </cell>
          <cell r="V7582" t="str">
            <v/>
          </cell>
          <cell r="Z7582" t="str">
            <v/>
          </cell>
          <cell r="AA7582" t="str">
            <v/>
          </cell>
          <cell r="AB7582" t="str">
            <v/>
          </cell>
          <cell r="AC7582" t="str">
            <v/>
          </cell>
          <cell r="AD7582" t="str">
            <v/>
          </cell>
          <cell r="AY7582" t="str">
            <v/>
          </cell>
          <cell r="AZ7582" t="str">
            <v/>
          </cell>
          <cell r="BA7582" t="str">
            <v/>
          </cell>
        </row>
        <row r="7583">
          <cell r="B7583" t="str">
            <v>-</v>
          </cell>
          <cell r="E7583" t="str">
            <v/>
          </cell>
          <cell r="G7583" t="str">
            <v/>
          </cell>
          <cell r="J7583" t="str">
            <v/>
          </cell>
          <cell r="O7583" t="str">
            <v/>
          </cell>
          <cell r="P7583" t="str">
            <v/>
          </cell>
          <cell r="Q7583" t="str">
            <v/>
          </cell>
          <cell r="S7583" t="str">
            <v/>
          </cell>
          <cell r="V7583" t="str">
            <v/>
          </cell>
          <cell r="Z7583" t="str">
            <v/>
          </cell>
          <cell r="AA7583" t="str">
            <v/>
          </cell>
          <cell r="AB7583" t="str">
            <v/>
          </cell>
          <cell r="AC7583" t="str">
            <v/>
          </cell>
          <cell r="AD7583" t="str">
            <v/>
          </cell>
          <cell r="AY7583" t="str">
            <v/>
          </cell>
          <cell r="AZ7583" t="str">
            <v/>
          </cell>
          <cell r="BA7583" t="str">
            <v/>
          </cell>
        </row>
        <row r="7584">
          <cell r="B7584" t="str">
            <v>-</v>
          </cell>
          <cell r="E7584" t="str">
            <v/>
          </cell>
          <cell r="G7584" t="str">
            <v/>
          </cell>
          <cell r="J7584" t="str">
            <v/>
          </cell>
          <cell r="O7584" t="str">
            <v/>
          </cell>
          <cell r="P7584" t="str">
            <v/>
          </cell>
          <cell r="Q7584" t="str">
            <v/>
          </cell>
          <cell r="S7584" t="str">
            <v/>
          </cell>
          <cell r="V7584" t="str">
            <v/>
          </cell>
          <cell r="Z7584" t="str">
            <v/>
          </cell>
          <cell r="AA7584" t="str">
            <v/>
          </cell>
          <cell r="AB7584" t="str">
            <v/>
          </cell>
          <cell r="AC7584" t="str">
            <v/>
          </cell>
          <cell r="AD7584" t="str">
            <v/>
          </cell>
          <cell r="AY7584" t="str">
            <v/>
          </cell>
          <cell r="AZ7584" t="str">
            <v/>
          </cell>
          <cell r="BA7584" t="str">
            <v/>
          </cell>
        </row>
        <row r="7585">
          <cell r="B7585" t="str">
            <v>-</v>
          </cell>
          <cell r="E7585" t="str">
            <v/>
          </cell>
          <cell r="G7585" t="str">
            <v/>
          </cell>
          <cell r="J7585" t="str">
            <v/>
          </cell>
          <cell r="O7585" t="str">
            <v/>
          </cell>
          <cell r="P7585" t="str">
            <v/>
          </cell>
          <cell r="Q7585" t="str">
            <v/>
          </cell>
          <cell r="S7585" t="str">
            <v/>
          </cell>
          <cell r="V7585" t="str">
            <v/>
          </cell>
          <cell r="Z7585" t="str">
            <v/>
          </cell>
          <cell r="AA7585" t="str">
            <v/>
          </cell>
          <cell r="AB7585" t="str">
            <v/>
          </cell>
          <cell r="AC7585" t="str">
            <v/>
          </cell>
          <cell r="AD7585" t="str">
            <v/>
          </cell>
          <cell r="AY7585" t="str">
            <v/>
          </cell>
          <cell r="AZ7585" t="str">
            <v/>
          </cell>
          <cell r="BA7585" t="str">
            <v/>
          </cell>
        </row>
        <row r="7586">
          <cell r="B7586" t="str">
            <v>-</v>
          </cell>
          <cell r="E7586" t="str">
            <v/>
          </cell>
          <cell r="G7586" t="str">
            <v/>
          </cell>
          <cell r="J7586" t="str">
            <v/>
          </cell>
          <cell r="O7586" t="str">
            <v/>
          </cell>
          <cell r="P7586" t="str">
            <v/>
          </cell>
          <cell r="Q7586" t="str">
            <v/>
          </cell>
          <cell r="S7586" t="str">
            <v/>
          </cell>
          <cell r="V7586" t="str">
            <v/>
          </cell>
          <cell r="Z7586" t="str">
            <v/>
          </cell>
          <cell r="AA7586" t="str">
            <v/>
          </cell>
          <cell r="AB7586" t="str">
            <v/>
          </cell>
          <cell r="AC7586" t="str">
            <v/>
          </cell>
          <cell r="AD7586" t="str">
            <v/>
          </cell>
          <cell r="AY7586" t="str">
            <v/>
          </cell>
          <cell r="AZ7586" t="str">
            <v/>
          </cell>
          <cell r="BA7586" t="str">
            <v/>
          </cell>
        </row>
        <row r="7587">
          <cell r="B7587" t="str">
            <v>-</v>
          </cell>
          <cell r="E7587" t="str">
            <v/>
          </cell>
          <cell r="G7587" t="str">
            <v/>
          </cell>
          <cell r="J7587" t="str">
            <v/>
          </cell>
          <cell r="O7587" t="str">
            <v/>
          </cell>
          <cell r="P7587" t="str">
            <v/>
          </cell>
          <cell r="Q7587" t="str">
            <v/>
          </cell>
          <cell r="S7587" t="str">
            <v/>
          </cell>
          <cell r="V7587" t="str">
            <v/>
          </cell>
          <cell r="Z7587" t="str">
            <v/>
          </cell>
          <cell r="AA7587" t="str">
            <v/>
          </cell>
          <cell r="AB7587" t="str">
            <v/>
          </cell>
          <cell r="AC7587" t="str">
            <v/>
          </cell>
          <cell r="AD7587" t="str">
            <v/>
          </cell>
          <cell r="AY7587" t="str">
            <v/>
          </cell>
          <cell r="AZ7587" t="str">
            <v/>
          </cell>
          <cell r="BA7587" t="str">
            <v/>
          </cell>
        </row>
        <row r="7588">
          <cell r="B7588" t="str">
            <v>-</v>
          </cell>
          <cell r="E7588" t="str">
            <v/>
          </cell>
          <cell r="G7588" t="str">
            <v/>
          </cell>
          <cell r="J7588" t="str">
            <v/>
          </cell>
          <cell r="O7588" t="str">
            <v/>
          </cell>
          <cell r="P7588" t="str">
            <v/>
          </cell>
          <cell r="Q7588" t="str">
            <v/>
          </cell>
          <cell r="S7588" t="str">
            <v/>
          </cell>
          <cell r="V7588" t="str">
            <v/>
          </cell>
          <cell r="Z7588" t="str">
            <v/>
          </cell>
          <cell r="AA7588" t="str">
            <v/>
          </cell>
          <cell r="AB7588" t="str">
            <v/>
          </cell>
          <cell r="AC7588" t="str">
            <v/>
          </cell>
          <cell r="AD7588" t="str">
            <v/>
          </cell>
          <cell r="AY7588" t="str">
            <v/>
          </cell>
          <cell r="AZ7588" t="str">
            <v/>
          </cell>
          <cell r="BA7588" t="str">
            <v/>
          </cell>
        </row>
        <row r="7589">
          <cell r="B7589" t="str">
            <v>-</v>
          </cell>
          <cell r="E7589" t="str">
            <v/>
          </cell>
          <cell r="G7589" t="str">
            <v/>
          </cell>
          <cell r="J7589" t="str">
            <v/>
          </cell>
          <cell r="O7589" t="str">
            <v/>
          </cell>
          <cell r="P7589" t="str">
            <v/>
          </cell>
          <cell r="Q7589" t="str">
            <v/>
          </cell>
          <cell r="S7589" t="str">
            <v/>
          </cell>
          <cell r="V7589" t="str">
            <v/>
          </cell>
          <cell r="Z7589" t="str">
            <v/>
          </cell>
          <cell r="AA7589" t="str">
            <v/>
          </cell>
          <cell r="AB7589" t="str">
            <v/>
          </cell>
          <cell r="AC7589" t="str">
            <v/>
          </cell>
          <cell r="AD7589" t="str">
            <v/>
          </cell>
          <cell r="AY7589" t="str">
            <v/>
          </cell>
          <cell r="AZ7589" t="str">
            <v/>
          </cell>
          <cell r="BA7589" t="str">
            <v/>
          </cell>
        </row>
        <row r="7590">
          <cell r="B7590" t="str">
            <v>-</v>
          </cell>
          <cell r="E7590" t="str">
            <v/>
          </cell>
          <cell r="G7590" t="str">
            <v/>
          </cell>
          <cell r="J7590" t="str">
            <v/>
          </cell>
          <cell r="O7590" t="str">
            <v/>
          </cell>
          <cell r="P7590" t="str">
            <v/>
          </cell>
          <cell r="Q7590" t="str">
            <v/>
          </cell>
          <cell r="S7590" t="str">
            <v/>
          </cell>
          <cell r="V7590" t="str">
            <v/>
          </cell>
          <cell r="Z7590" t="str">
            <v/>
          </cell>
          <cell r="AA7590" t="str">
            <v/>
          </cell>
          <cell r="AB7590" t="str">
            <v/>
          </cell>
          <cell r="AC7590" t="str">
            <v/>
          </cell>
          <cell r="AD7590" t="str">
            <v/>
          </cell>
          <cell r="AY7590" t="str">
            <v/>
          </cell>
          <cell r="AZ7590" t="str">
            <v/>
          </cell>
          <cell r="BA7590" t="str">
            <v/>
          </cell>
        </row>
        <row r="7591">
          <cell r="B7591" t="str">
            <v>-</v>
          </cell>
          <cell r="E7591" t="str">
            <v/>
          </cell>
          <cell r="G7591" t="str">
            <v/>
          </cell>
          <cell r="J7591" t="str">
            <v/>
          </cell>
          <cell r="O7591" t="str">
            <v/>
          </cell>
          <cell r="P7591" t="str">
            <v/>
          </cell>
          <cell r="Q7591" t="str">
            <v/>
          </cell>
          <cell r="S7591" t="str">
            <v/>
          </cell>
          <cell r="V7591" t="str">
            <v/>
          </cell>
          <cell r="Z7591" t="str">
            <v/>
          </cell>
          <cell r="AA7591" t="str">
            <v/>
          </cell>
          <cell r="AB7591" t="str">
            <v/>
          </cell>
          <cell r="AC7591" t="str">
            <v/>
          </cell>
          <cell r="AD7591" t="str">
            <v/>
          </cell>
          <cell r="AY7591" t="str">
            <v/>
          </cell>
          <cell r="AZ7591" t="str">
            <v/>
          </cell>
          <cell r="BA7591" t="str">
            <v/>
          </cell>
        </row>
        <row r="7592">
          <cell r="B7592" t="str">
            <v>-</v>
          </cell>
          <cell r="E7592" t="str">
            <v/>
          </cell>
          <cell r="G7592" t="str">
            <v/>
          </cell>
          <cell r="J7592" t="str">
            <v/>
          </cell>
          <cell r="O7592" t="str">
            <v/>
          </cell>
          <cell r="P7592" t="str">
            <v/>
          </cell>
          <cell r="Q7592" t="str">
            <v/>
          </cell>
          <cell r="S7592" t="str">
            <v/>
          </cell>
          <cell r="V7592" t="str">
            <v/>
          </cell>
          <cell r="Z7592" t="str">
            <v/>
          </cell>
          <cell r="AA7592" t="str">
            <v/>
          </cell>
          <cell r="AB7592" t="str">
            <v/>
          </cell>
          <cell r="AC7592" t="str">
            <v/>
          </cell>
          <cell r="AD7592" t="str">
            <v/>
          </cell>
          <cell r="AY7592" t="str">
            <v/>
          </cell>
          <cell r="AZ7592" t="str">
            <v/>
          </cell>
          <cell r="BA7592" t="str">
            <v/>
          </cell>
        </row>
        <row r="7593">
          <cell r="B7593" t="str">
            <v>-</v>
          </cell>
          <cell r="E7593" t="str">
            <v/>
          </cell>
          <cell r="G7593" t="str">
            <v/>
          </cell>
          <cell r="J7593" t="str">
            <v/>
          </cell>
          <cell r="O7593" t="str">
            <v/>
          </cell>
          <cell r="P7593" t="str">
            <v/>
          </cell>
          <cell r="Q7593" t="str">
            <v/>
          </cell>
          <cell r="S7593" t="str">
            <v/>
          </cell>
          <cell r="V7593" t="str">
            <v/>
          </cell>
          <cell r="Z7593" t="str">
            <v/>
          </cell>
          <cell r="AA7593" t="str">
            <v/>
          </cell>
          <cell r="AB7593" t="str">
            <v/>
          </cell>
          <cell r="AC7593" t="str">
            <v/>
          </cell>
          <cell r="AD7593" t="str">
            <v/>
          </cell>
          <cell r="AY7593" t="str">
            <v/>
          </cell>
          <cell r="AZ7593" t="str">
            <v/>
          </cell>
          <cell r="BA7593" t="str">
            <v/>
          </cell>
        </row>
        <row r="7594">
          <cell r="B7594" t="str">
            <v>-</v>
          </cell>
          <cell r="E7594" t="str">
            <v/>
          </cell>
          <cell r="G7594" t="str">
            <v/>
          </cell>
          <cell r="J7594" t="str">
            <v/>
          </cell>
          <cell r="O7594" t="str">
            <v/>
          </cell>
          <cell r="P7594" t="str">
            <v/>
          </cell>
          <cell r="Q7594" t="str">
            <v/>
          </cell>
          <cell r="S7594" t="str">
            <v/>
          </cell>
          <cell r="V7594" t="str">
            <v/>
          </cell>
          <cell r="Z7594" t="str">
            <v/>
          </cell>
          <cell r="AA7594" t="str">
            <v/>
          </cell>
          <cell r="AB7594" t="str">
            <v/>
          </cell>
          <cell r="AC7594" t="str">
            <v/>
          </cell>
          <cell r="AD7594" t="str">
            <v/>
          </cell>
          <cell r="AY7594" t="str">
            <v/>
          </cell>
          <cell r="AZ7594" t="str">
            <v/>
          </cell>
          <cell r="BA7594" t="str">
            <v/>
          </cell>
        </row>
        <row r="7595">
          <cell r="B7595" t="str">
            <v>-</v>
          </cell>
          <cell r="E7595" t="str">
            <v/>
          </cell>
          <cell r="G7595" t="str">
            <v/>
          </cell>
          <cell r="J7595" t="str">
            <v/>
          </cell>
          <cell r="O7595" t="str">
            <v/>
          </cell>
          <cell r="P7595" t="str">
            <v/>
          </cell>
          <cell r="Q7595" t="str">
            <v/>
          </cell>
          <cell r="S7595" t="str">
            <v/>
          </cell>
          <cell r="V7595" t="str">
            <v/>
          </cell>
          <cell r="Z7595" t="str">
            <v/>
          </cell>
          <cell r="AA7595" t="str">
            <v/>
          </cell>
          <cell r="AB7595" t="str">
            <v/>
          </cell>
          <cell r="AC7595" t="str">
            <v/>
          </cell>
          <cell r="AD7595" t="str">
            <v/>
          </cell>
          <cell r="AY7595" t="str">
            <v/>
          </cell>
          <cell r="AZ7595" t="str">
            <v/>
          </cell>
          <cell r="BA7595" t="str">
            <v/>
          </cell>
        </row>
        <row r="7596">
          <cell r="B7596" t="str">
            <v>-</v>
          </cell>
          <cell r="E7596" t="str">
            <v/>
          </cell>
          <cell r="G7596" t="str">
            <v/>
          </cell>
          <cell r="J7596" t="str">
            <v/>
          </cell>
          <cell r="O7596" t="str">
            <v/>
          </cell>
          <cell r="P7596" t="str">
            <v/>
          </cell>
          <cell r="Q7596" t="str">
            <v/>
          </cell>
          <cell r="S7596" t="str">
            <v/>
          </cell>
          <cell r="V7596" t="str">
            <v/>
          </cell>
          <cell r="Z7596" t="str">
            <v/>
          </cell>
          <cell r="AA7596" t="str">
            <v/>
          </cell>
          <cell r="AB7596" t="str">
            <v/>
          </cell>
          <cell r="AC7596" t="str">
            <v/>
          </cell>
          <cell r="AD7596" t="str">
            <v/>
          </cell>
          <cell r="AY7596" t="str">
            <v/>
          </cell>
          <cell r="AZ7596" t="str">
            <v/>
          </cell>
          <cell r="BA7596" t="str">
            <v/>
          </cell>
        </row>
        <row r="7597">
          <cell r="B7597" t="str">
            <v>-</v>
          </cell>
          <cell r="E7597" t="str">
            <v/>
          </cell>
          <cell r="G7597" t="str">
            <v/>
          </cell>
          <cell r="J7597" t="str">
            <v/>
          </cell>
          <cell r="O7597" t="str">
            <v/>
          </cell>
          <cell r="P7597" t="str">
            <v/>
          </cell>
          <cell r="Q7597" t="str">
            <v/>
          </cell>
          <cell r="S7597" t="str">
            <v/>
          </cell>
          <cell r="V7597" t="str">
            <v/>
          </cell>
          <cell r="Z7597" t="str">
            <v/>
          </cell>
          <cell r="AA7597" t="str">
            <v/>
          </cell>
          <cell r="AB7597" t="str">
            <v/>
          </cell>
          <cell r="AC7597" t="str">
            <v/>
          </cell>
          <cell r="AD7597" t="str">
            <v/>
          </cell>
          <cell r="AY7597" t="str">
            <v/>
          </cell>
          <cell r="AZ7597" t="str">
            <v/>
          </cell>
          <cell r="BA7597" t="str">
            <v/>
          </cell>
        </row>
        <row r="7598">
          <cell r="B7598" t="str">
            <v>-</v>
          </cell>
          <cell r="E7598" t="str">
            <v/>
          </cell>
          <cell r="G7598" t="str">
            <v/>
          </cell>
          <cell r="J7598" t="str">
            <v/>
          </cell>
          <cell r="O7598" t="str">
            <v/>
          </cell>
          <cell r="P7598" t="str">
            <v/>
          </cell>
          <cell r="Q7598" t="str">
            <v/>
          </cell>
          <cell r="S7598" t="str">
            <v/>
          </cell>
          <cell r="V7598" t="str">
            <v/>
          </cell>
          <cell r="Z7598" t="str">
            <v/>
          </cell>
          <cell r="AA7598" t="str">
            <v/>
          </cell>
          <cell r="AB7598" t="str">
            <v/>
          </cell>
          <cell r="AC7598" t="str">
            <v/>
          </cell>
          <cell r="AD7598" t="str">
            <v/>
          </cell>
          <cell r="AY7598" t="str">
            <v/>
          </cell>
          <cell r="AZ7598" t="str">
            <v/>
          </cell>
          <cell r="BA7598" t="str">
            <v/>
          </cell>
        </row>
        <row r="7599">
          <cell r="B7599" t="str">
            <v>-</v>
          </cell>
          <cell r="E7599" t="str">
            <v/>
          </cell>
          <cell r="G7599" t="str">
            <v/>
          </cell>
          <cell r="J7599" t="str">
            <v/>
          </cell>
          <cell r="O7599" t="str">
            <v/>
          </cell>
          <cell r="P7599" t="str">
            <v/>
          </cell>
          <cell r="Q7599" t="str">
            <v/>
          </cell>
          <cell r="S7599" t="str">
            <v/>
          </cell>
          <cell r="V7599" t="str">
            <v/>
          </cell>
          <cell r="Z7599" t="str">
            <v/>
          </cell>
          <cell r="AA7599" t="str">
            <v/>
          </cell>
          <cell r="AB7599" t="str">
            <v/>
          </cell>
          <cell r="AC7599" t="str">
            <v/>
          </cell>
          <cell r="AD7599" t="str">
            <v/>
          </cell>
          <cell r="AY7599" t="str">
            <v/>
          </cell>
          <cell r="AZ7599" t="str">
            <v/>
          </cell>
          <cell r="BA7599" t="str">
            <v/>
          </cell>
        </row>
        <row r="7600">
          <cell r="B7600" t="str">
            <v>-</v>
          </cell>
          <cell r="E7600" t="str">
            <v/>
          </cell>
          <cell r="G7600" t="str">
            <v/>
          </cell>
          <cell r="J7600" t="str">
            <v/>
          </cell>
          <cell r="O7600" t="str">
            <v/>
          </cell>
          <cell r="P7600" t="str">
            <v/>
          </cell>
          <cell r="Q7600" t="str">
            <v/>
          </cell>
          <cell r="S7600" t="str">
            <v/>
          </cell>
          <cell r="V7600" t="str">
            <v/>
          </cell>
          <cell r="Z7600" t="str">
            <v/>
          </cell>
          <cell r="AA7600" t="str">
            <v/>
          </cell>
          <cell r="AB7600" t="str">
            <v/>
          </cell>
          <cell r="AC7600" t="str">
            <v/>
          </cell>
          <cell r="AD7600" t="str">
            <v/>
          </cell>
          <cell r="AY7600" t="str">
            <v/>
          </cell>
          <cell r="AZ7600" t="str">
            <v/>
          </cell>
          <cell r="BA7600" t="str">
            <v/>
          </cell>
        </row>
        <row r="7601">
          <cell r="B7601" t="str">
            <v>-</v>
          </cell>
          <cell r="E7601" t="str">
            <v/>
          </cell>
          <cell r="G7601" t="str">
            <v/>
          </cell>
          <cell r="J7601" t="str">
            <v/>
          </cell>
          <cell r="O7601" t="str">
            <v/>
          </cell>
          <cell r="P7601" t="str">
            <v/>
          </cell>
          <cell r="Q7601" t="str">
            <v/>
          </cell>
          <cell r="S7601" t="str">
            <v/>
          </cell>
          <cell r="V7601" t="str">
            <v/>
          </cell>
          <cell r="Z7601" t="str">
            <v/>
          </cell>
          <cell r="AA7601" t="str">
            <v/>
          </cell>
          <cell r="AB7601" t="str">
            <v/>
          </cell>
          <cell r="AC7601" t="str">
            <v/>
          </cell>
          <cell r="AD7601" t="str">
            <v/>
          </cell>
          <cell r="AY7601" t="str">
            <v/>
          </cell>
          <cell r="AZ7601" t="str">
            <v/>
          </cell>
          <cell r="BA7601" t="str">
            <v/>
          </cell>
        </row>
        <row r="7602">
          <cell r="B7602" t="str">
            <v>-</v>
          </cell>
          <cell r="E7602" t="str">
            <v/>
          </cell>
          <cell r="G7602" t="str">
            <v/>
          </cell>
          <cell r="J7602" t="str">
            <v/>
          </cell>
          <cell r="O7602" t="str">
            <v/>
          </cell>
          <cell r="P7602" t="str">
            <v/>
          </cell>
          <cell r="Q7602" t="str">
            <v/>
          </cell>
          <cell r="S7602" t="str">
            <v/>
          </cell>
          <cell r="V7602" t="str">
            <v/>
          </cell>
          <cell r="Z7602" t="str">
            <v/>
          </cell>
          <cell r="AA7602" t="str">
            <v/>
          </cell>
          <cell r="AB7602" t="str">
            <v/>
          </cell>
          <cell r="AC7602" t="str">
            <v/>
          </cell>
          <cell r="AD7602" t="str">
            <v/>
          </cell>
          <cell r="AY7602" t="str">
            <v/>
          </cell>
          <cell r="AZ7602" t="str">
            <v/>
          </cell>
          <cell r="BA7602" t="str">
            <v/>
          </cell>
        </row>
        <row r="7603">
          <cell r="B7603" t="str">
            <v>-</v>
          </cell>
          <cell r="E7603" t="str">
            <v/>
          </cell>
          <cell r="G7603" t="str">
            <v/>
          </cell>
          <cell r="J7603" t="str">
            <v/>
          </cell>
          <cell r="O7603" t="str">
            <v/>
          </cell>
          <cell r="P7603" t="str">
            <v/>
          </cell>
          <cell r="Q7603" t="str">
            <v/>
          </cell>
          <cell r="S7603" t="str">
            <v/>
          </cell>
          <cell r="V7603" t="str">
            <v/>
          </cell>
          <cell r="Z7603" t="str">
            <v/>
          </cell>
          <cell r="AA7603" t="str">
            <v/>
          </cell>
          <cell r="AB7603" t="str">
            <v/>
          </cell>
          <cell r="AC7603" t="str">
            <v/>
          </cell>
          <cell r="AD7603" t="str">
            <v/>
          </cell>
          <cell r="AY7603" t="str">
            <v/>
          </cell>
          <cell r="AZ7603" t="str">
            <v/>
          </cell>
          <cell r="BA7603" t="str">
            <v/>
          </cell>
        </row>
        <row r="7604">
          <cell r="B7604" t="str">
            <v>-</v>
          </cell>
          <cell r="E7604" t="str">
            <v/>
          </cell>
          <cell r="G7604" t="str">
            <v/>
          </cell>
          <cell r="J7604" t="str">
            <v/>
          </cell>
          <cell r="O7604" t="str">
            <v/>
          </cell>
          <cell r="P7604" t="str">
            <v/>
          </cell>
          <cell r="Q7604" t="str">
            <v/>
          </cell>
          <cell r="S7604" t="str">
            <v/>
          </cell>
          <cell r="V7604" t="str">
            <v/>
          </cell>
          <cell r="Z7604" t="str">
            <v/>
          </cell>
          <cell r="AA7604" t="str">
            <v/>
          </cell>
          <cell r="AB7604" t="str">
            <v/>
          </cell>
          <cell r="AC7604" t="str">
            <v/>
          </cell>
          <cell r="AD7604" t="str">
            <v/>
          </cell>
          <cell r="AY7604" t="str">
            <v/>
          </cell>
          <cell r="AZ7604" t="str">
            <v/>
          </cell>
          <cell r="BA7604" t="str">
            <v/>
          </cell>
        </row>
        <row r="7605">
          <cell r="B7605" t="str">
            <v>-</v>
          </cell>
          <cell r="E7605" t="str">
            <v/>
          </cell>
          <cell r="G7605" t="str">
            <v/>
          </cell>
          <cell r="J7605" t="str">
            <v/>
          </cell>
          <cell r="O7605" t="str">
            <v/>
          </cell>
          <cell r="P7605" t="str">
            <v/>
          </cell>
          <cell r="Q7605" t="str">
            <v/>
          </cell>
          <cell r="S7605" t="str">
            <v/>
          </cell>
          <cell r="V7605" t="str">
            <v/>
          </cell>
          <cell r="Z7605" t="str">
            <v/>
          </cell>
          <cell r="AA7605" t="str">
            <v/>
          </cell>
          <cell r="AB7605" t="str">
            <v/>
          </cell>
          <cell r="AC7605" t="str">
            <v/>
          </cell>
          <cell r="AD7605" t="str">
            <v/>
          </cell>
          <cell r="AY7605" t="str">
            <v/>
          </cell>
          <cell r="AZ7605" t="str">
            <v/>
          </cell>
          <cell r="BA7605" t="str">
            <v/>
          </cell>
        </row>
        <row r="7606">
          <cell r="B7606" t="str">
            <v>-</v>
          </cell>
          <cell r="E7606" t="str">
            <v/>
          </cell>
          <cell r="G7606" t="str">
            <v/>
          </cell>
          <cell r="J7606" t="str">
            <v/>
          </cell>
          <cell r="O7606" t="str">
            <v/>
          </cell>
          <cell r="P7606" t="str">
            <v/>
          </cell>
          <cell r="Q7606" t="str">
            <v/>
          </cell>
          <cell r="S7606" t="str">
            <v/>
          </cell>
          <cell r="V7606" t="str">
            <v/>
          </cell>
          <cell r="Z7606" t="str">
            <v/>
          </cell>
          <cell r="AA7606" t="str">
            <v/>
          </cell>
          <cell r="AB7606" t="str">
            <v/>
          </cell>
          <cell r="AC7606" t="str">
            <v/>
          </cell>
          <cell r="AD7606" t="str">
            <v/>
          </cell>
          <cell r="AY7606" t="str">
            <v/>
          </cell>
          <cell r="AZ7606" t="str">
            <v/>
          </cell>
          <cell r="BA7606" t="str">
            <v/>
          </cell>
        </row>
        <row r="7607">
          <cell r="B7607" t="str">
            <v>-</v>
          </cell>
          <cell r="E7607" t="str">
            <v/>
          </cell>
          <cell r="G7607" t="str">
            <v/>
          </cell>
          <cell r="J7607" t="str">
            <v/>
          </cell>
          <cell r="O7607" t="str">
            <v/>
          </cell>
          <cell r="P7607" t="str">
            <v/>
          </cell>
          <cell r="Q7607" t="str">
            <v/>
          </cell>
          <cell r="S7607" t="str">
            <v/>
          </cell>
          <cell r="V7607" t="str">
            <v/>
          </cell>
          <cell r="Z7607" t="str">
            <v/>
          </cell>
          <cell r="AA7607" t="str">
            <v/>
          </cell>
          <cell r="AB7607" t="str">
            <v/>
          </cell>
          <cell r="AC7607" t="str">
            <v/>
          </cell>
          <cell r="AD7607" t="str">
            <v/>
          </cell>
          <cell r="AY7607" t="str">
            <v/>
          </cell>
          <cell r="AZ7607" t="str">
            <v/>
          </cell>
          <cell r="BA7607" t="str">
            <v/>
          </cell>
        </row>
        <row r="7608">
          <cell r="B7608" t="str">
            <v>-</v>
          </cell>
          <cell r="E7608" t="str">
            <v/>
          </cell>
          <cell r="G7608" t="str">
            <v/>
          </cell>
          <cell r="J7608" t="str">
            <v/>
          </cell>
          <cell r="O7608" t="str">
            <v/>
          </cell>
          <cell r="P7608" t="str">
            <v/>
          </cell>
          <cell r="Q7608" t="str">
            <v/>
          </cell>
          <cell r="S7608" t="str">
            <v/>
          </cell>
          <cell r="V7608" t="str">
            <v/>
          </cell>
          <cell r="Z7608" t="str">
            <v/>
          </cell>
          <cell r="AA7608" t="str">
            <v/>
          </cell>
          <cell r="AB7608" t="str">
            <v/>
          </cell>
          <cell r="AC7608" t="str">
            <v/>
          </cell>
          <cell r="AD7608" t="str">
            <v/>
          </cell>
          <cell r="AY7608" t="str">
            <v/>
          </cell>
          <cell r="AZ7608" t="str">
            <v/>
          </cell>
          <cell r="BA7608" t="str">
            <v/>
          </cell>
        </row>
        <row r="7609">
          <cell r="B7609" t="str">
            <v>-</v>
          </cell>
          <cell r="E7609" t="str">
            <v/>
          </cell>
          <cell r="G7609" t="str">
            <v/>
          </cell>
          <cell r="J7609" t="str">
            <v/>
          </cell>
          <cell r="O7609" t="str">
            <v/>
          </cell>
          <cell r="P7609" t="str">
            <v/>
          </cell>
          <cell r="Q7609" t="str">
            <v/>
          </cell>
          <cell r="S7609" t="str">
            <v/>
          </cell>
          <cell r="V7609" t="str">
            <v/>
          </cell>
          <cell r="Z7609" t="str">
            <v/>
          </cell>
          <cell r="AA7609" t="str">
            <v/>
          </cell>
          <cell r="AB7609" t="str">
            <v/>
          </cell>
          <cell r="AC7609" t="str">
            <v/>
          </cell>
          <cell r="AD7609" t="str">
            <v/>
          </cell>
          <cell r="AY7609" t="str">
            <v/>
          </cell>
          <cell r="AZ7609" t="str">
            <v/>
          </cell>
          <cell r="BA7609" t="str">
            <v/>
          </cell>
        </row>
        <row r="7610">
          <cell r="B7610" t="str">
            <v>-</v>
          </cell>
          <cell r="E7610" t="str">
            <v/>
          </cell>
          <cell r="G7610" t="str">
            <v/>
          </cell>
          <cell r="J7610" t="str">
            <v/>
          </cell>
          <cell r="O7610" t="str">
            <v/>
          </cell>
          <cell r="P7610" t="str">
            <v/>
          </cell>
          <cell r="Q7610" t="str">
            <v/>
          </cell>
          <cell r="S7610" t="str">
            <v/>
          </cell>
          <cell r="V7610" t="str">
            <v/>
          </cell>
          <cell r="Z7610" t="str">
            <v/>
          </cell>
          <cell r="AA7610" t="str">
            <v/>
          </cell>
          <cell r="AB7610" t="str">
            <v/>
          </cell>
          <cell r="AC7610" t="str">
            <v/>
          </cell>
          <cell r="AD7610" t="str">
            <v/>
          </cell>
          <cell r="AY7610" t="str">
            <v/>
          </cell>
          <cell r="AZ7610" t="str">
            <v/>
          </cell>
          <cell r="BA7610" t="str">
            <v/>
          </cell>
        </row>
        <row r="7611">
          <cell r="B7611" t="str">
            <v>-</v>
          </cell>
          <cell r="E7611" t="str">
            <v/>
          </cell>
          <cell r="G7611" t="str">
            <v/>
          </cell>
          <cell r="J7611" t="str">
            <v/>
          </cell>
          <cell r="O7611" t="str">
            <v/>
          </cell>
          <cell r="P7611" t="str">
            <v/>
          </cell>
          <cell r="Q7611" t="str">
            <v/>
          </cell>
          <cell r="S7611" t="str">
            <v/>
          </cell>
          <cell r="V7611" t="str">
            <v/>
          </cell>
          <cell r="Z7611" t="str">
            <v/>
          </cell>
          <cell r="AA7611" t="str">
            <v/>
          </cell>
          <cell r="AB7611" t="str">
            <v/>
          </cell>
          <cell r="AC7611" t="str">
            <v/>
          </cell>
          <cell r="AD7611" t="str">
            <v/>
          </cell>
          <cell r="AY7611" t="str">
            <v/>
          </cell>
          <cell r="AZ7611" t="str">
            <v/>
          </cell>
          <cell r="BA7611" t="str">
            <v/>
          </cell>
        </row>
        <row r="7612">
          <cell r="B7612" t="str">
            <v>-</v>
          </cell>
          <cell r="E7612" t="str">
            <v/>
          </cell>
          <cell r="G7612" t="str">
            <v/>
          </cell>
          <cell r="J7612" t="str">
            <v/>
          </cell>
          <cell r="O7612" t="str">
            <v/>
          </cell>
          <cell r="P7612" t="str">
            <v/>
          </cell>
          <cell r="Q7612" t="str">
            <v/>
          </cell>
          <cell r="S7612" t="str">
            <v/>
          </cell>
          <cell r="V7612" t="str">
            <v/>
          </cell>
          <cell r="Z7612" t="str">
            <v/>
          </cell>
          <cell r="AA7612" t="str">
            <v/>
          </cell>
          <cell r="AB7612" t="str">
            <v/>
          </cell>
          <cell r="AC7612" t="str">
            <v/>
          </cell>
          <cell r="AD7612" t="str">
            <v/>
          </cell>
          <cell r="AY7612" t="str">
            <v/>
          </cell>
          <cell r="AZ7612" t="str">
            <v/>
          </cell>
          <cell r="BA7612" t="str">
            <v/>
          </cell>
        </row>
        <row r="7613">
          <cell r="B7613" t="str">
            <v>-</v>
          </cell>
          <cell r="E7613" t="str">
            <v/>
          </cell>
          <cell r="G7613" t="str">
            <v/>
          </cell>
          <cell r="J7613" t="str">
            <v/>
          </cell>
          <cell r="O7613" t="str">
            <v/>
          </cell>
          <cell r="P7613" t="str">
            <v/>
          </cell>
          <cell r="Q7613" t="str">
            <v/>
          </cell>
          <cell r="S7613" t="str">
            <v/>
          </cell>
          <cell r="V7613" t="str">
            <v/>
          </cell>
          <cell r="Z7613" t="str">
            <v/>
          </cell>
          <cell r="AA7613" t="str">
            <v/>
          </cell>
          <cell r="AB7613" t="str">
            <v/>
          </cell>
          <cell r="AC7613" t="str">
            <v/>
          </cell>
          <cell r="AD7613" t="str">
            <v/>
          </cell>
          <cell r="AY7613" t="str">
            <v/>
          </cell>
          <cell r="AZ7613" t="str">
            <v/>
          </cell>
          <cell r="BA7613" t="str">
            <v/>
          </cell>
        </row>
        <row r="7614">
          <cell r="B7614" t="str">
            <v>-</v>
          </cell>
          <cell r="E7614" t="str">
            <v/>
          </cell>
          <cell r="G7614" t="str">
            <v/>
          </cell>
          <cell r="J7614" t="str">
            <v/>
          </cell>
          <cell r="O7614" t="str">
            <v/>
          </cell>
          <cell r="P7614" t="str">
            <v/>
          </cell>
          <cell r="Q7614" t="str">
            <v/>
          </cell>
          <cell r="S7614" t="str">
            <v/>
          </cell>
          <cell r="V7614" t="str">
            <v/>
          </cell>
          <cell r="Z7614" t="str">
            <v/>
          </cell>
          <cell r="AA7614" t="str">
            <v/>
          </cell>
          <cell r="AB7614" t="str">
            <v/>
          </cell>
          <cell r="AC7614" t="str">
            <v/>
          </cell>
          <cell r="AD7614" t="str">
            <v/>
          </cell>
          <cell r="AY7614" t="str">
            <v/>
          </cell>
          <cell r="AZ7614" t="str">
            <v/>
          </cell>
          <cell r="BA7614" t="str">
            <v/>
          </cell>
        </row>
        <row r="7615">
          <cell r="B7615" t="str">
            <v>-</v>
          </cell>
          <cell r="E7615" t="str">
            <v/>
          </cell>
          <cell r="G7615" t="str">
            <v/>
          </cell>
          <cell r="J7615" t="str">
            <v/>
          </cell>
          <cell r="O7615" t="str">
            <v/>
          </cell>
          <cell r="P7615" t="str">
            <v/>
          </cell>
          <cell r="Q7615" t="str">
            <v/>
          </cell>
          <cell r="S7615" t="str">
            <v/>
          </cell>
          <cell r="V7615" t="str">
            <v/>
          </cell>
          <cell r="Z7615" t="str">
            <v/>
          </cell>
          <cell r="AA7615" t="str">
            <v/>
          </cell>
          <cell r="AB7615" t="str">
            <v/>
          </cell>
          <cell r="AC7615" t="str">
            <v/>
          </cell>
          <cell r="AD7615" t="str">
            <v/>
          </cell>
          <cell r="AY7615" t="str">
            <v/>
          </cell>
          <cell r="AZ7615" t="str">
            <v/>
          </cell>
          <cell r="BA7615" t="str">
            <v/>
          </cell>
        </row>
        <row r="7616">
          <cell r="B7616" t="str">
            <v>-</v>
          </cell>
          <cell r="E7616" t="str">
            <v/>
          </cell>
          <cell r="G7616" t="str">
            <v/>
          </cell>
          <cell r="J7616" t="str">
            <v/>
          </cell>
          <cell r="O7616" t="str">
            <v/>
          </cell>
          <cell r="P7616" t="str">
            <v/>
          </cell>
          <cell r="Q7616" t="str">
            <v/>
          </cell>
          <cell r="S7616" t="str">
            <v/>
          </cell>
          <cell r="V7616" t="str">
            <v/>
          </cell>
          <cell r="Z7616" t="str">
            <v/>
          </cell>
          <cell r="AA7616" t="str">
            <v/>
          </cell>
          <cell r="AB7616" t="str">
            <v/>
          </cell>
          <cell r="AC7616" t="str">
            <v/>
          </cell>
          <cell r="AD7616" t="str">
            <v/>
          </cell>
          <cell r="AY7616" t="str">
            <v/>
          </cell>
          <cell r="AZ7616" t="str">
            <v/>
          </cell>
          <cell r="BA7616" t="str">
            <v/>
          </cell>
        </row>
        <row r="7617">
          <cell r="B7617" t="str">
            <v>-</v>
          </cell>
          <cell r="E7617" t="str">
            <v/>
          </cell>
          <cell r="G7617" t="str">
            <v/>
          </cell>
          <cell r="J7617" t="str">
            <v/>
          </cell>
          <cell r="O7617" t="str">
            <v/>
          </cell>
          <cell r="P7617" t="str">
            <v/>
          </cell>
          <cell r="Q7617" t="str">
            <v/>
          </cell>
          <cell r="S7617" t="str">
            <v/>
          </cell>
          <cell r="V7617" t="str">
            <v/>
          </cell>
          <cell r="Z7617" t="str">
            <v/>
          </cell>
          <cell r="AA7617" t="str">
            <v/>
          </cell>
          <cell r="AB7617" t="str">
            <v/>
          </cell>
          <cell r="AC7617" t="str">
            <v/>
          </cell>
          <cell r="AD7617" t="str">
            <v/>
          </cell>
          <cell r="AY7617" t="str">
            <v/>
          </cell>
          <cell r="AZ7617" t="str">
            <v/>
          </cell>
          <cell r="BA7617" t="str">
            <v/>
          </cell>
        </row>
        <row r="7618">
          <cell r="B7618" t="str">
            <v>-</v>
          </cell>
          <cell r="E7618" t="str">
            <v/>
          </cell>
          <cell r="G7618" t="str">
            <v/>
          </cell>
          <cell r="J7618" t="str">
            <v/>
          </cell>
          <cell r="O7618" t="str">
            <v/>
          </cell>
          <cell r="P7618" t="str">
            <v/>
          </cell>
          <cell r="Q7618" t="str">
            <v/>
          </cell>
          <cell r="S7618" t="str">
            <v/>
          </cell>
          <cell r="V7618" t="str">
            <v/>
          </cell>
          <cell r="Z7618" t="str">
            <v/>
          </cell>
          <cell r="AA7618" t="str">
            <v/>
          </cell>
          <cell r="AB7618" t="str">
            <v/>
          </cell>
          <cell r="AC7618" t="str">
            <v/>
          </cell>
          <cell r="AD7618" t="str">
            <v/>
          </cell>
          <cell r="AY7618" t="str">
            <v/>
          </cell>
          <cell r="AZ7618" t="str">
            <v/>
          </cell>
          <cell r="BA7618" t="str">
            <v/>
          </cell>
        </row>
        <row r="7619">
          <cell r="B7619" t="str">
            <v>-</v>
          </cell>
          <cell r="E7619" t="str">
            <v/>
          </cell>
          <cell r="G7619" t="str">
            <v/>
          </cell>
          <cell r="J7619" t="str">
            <v/>
          </cell>
          <cell r="O7619" t="str">
            <v/>
          </cell>
          <cell r="P7619" t="str">
            <v/>
          </cell>
          <cell r="Q7619" t="str">
            <v/>
          </cell>
          <cell r="S7619" t="str">
            <v/>
          </cell>
          <cell r="V7619" t="str">
            <v/>
          </cell>
          <cell r="Z7619" t="str">
            <v/>
          </cell>
          <cell r="AA7619" t="str">
            <v/>
          </cell>
          <cell r="AB7619" t="str">
            <v/>
          </cell>
          <cell r="AC7619" t="str">
            <v/>
          </cell>
          <cell r="AD7619" t="str">
            <v/>
          </cell>
          <cell r="AY7619" t="str">
            <v/>
          </cell>
          <cell r="AZ7619" t="str">
            <v/>
          </cell>
          <cell r="BA7619" t="str">
            <v/>
          </cell>
        </row>
        <row r="7620">
          <cell r="B7620" t="str">
            <v>-</v>
          </cell>
          <cell r="E7620" t="str">
            <v/>
          </cell>
          <cell r="G7620" t="str">
            <v/>
          </cell>
          <cell r="J7620" t="str">
            <v/>
          </cell>
          <cell r="O7620" t="str">
            <v/>
          </cell>
          <cell r="P7620" t="str">
            <v/>
          </cell>
          <cell r="Q7620" t="str">
            <v/>
          </cell>
          <cell r="S7620" t="str">
            <v/>
          </cell>
          <cell r="V7620" t="str">
            <v/>
          </cell>
          <cell r="Z7620" t="str">
            <v/>
          </cell>
          <cell r="AA7620" t="str">
            <v/>
          </cell>
          <cell r="AB7620" t="str">
            <v/>
          </cell>
          <cell r="AC7620" t="str">
            <v/>
          </cell>
          <cell r="AD7620" t="str">
            <v/>
          </cell>
          <cell r="AY7620" t="str">
            <v/>
          </cell>
          <cell r="AZ7620" t="str">
            <v/>
          </cell>
          <cell r="BA7620" t="str">
            <v/>
          </cell>
        </row>
        <row r="7621">
          <cell r="B7621" t="str">
            <v>-</v>
          </cell>
          <cell r="E7621" t="str">
            <v/>
          </cell>
          <cell r="G7621" t="str">
            <v/>
          </cell>
          <cell r="J7621" t="str">
            <v/>
          </cell>
          <cell r="O7621" t="str">
            <v/>
          </cell>
          <cell r="P7621" t="str">
            <v/>
          </cell>
          <cell r="Q7621" t="str">
            <v/>
          </cell>
          <cell r="S7621" t="str">
            <v/>
          </cell>
          <cell r="V7621" t="str">
            <v/>
          </cell>
          <cell r="Z7621" t="str">
            <v/>
          </cell>
          <cell r="AA7621" t="str">
            <v/>
          </cell>
          <cell r="AB7621" t="str">
            <v/>
          </cell>
          <cell r="AC7621" t="str">
            <v/>
          </cell>
          <cell r="AD7621" t="str">
            <v/>
          </cell>
          <cell r="AY7621" t="str">
            <v/>
          </cell>
          <cell r="AZ7621" t="str">
            <v/>
          </cell>
          <cell r="BA7621" t="str">
            <v/>
          </cell>
        </row>
        <row r="7622">
          <cell r="B7622" t="str">
            <v>-</v>
          </cell>
          <cell r="E7622" t="str">
            <v/>
          </cell>
          <cell r="G7622" t="str">
            <v/>
          </cell>
          <cell r="J7622" t="str">
            <v/>
          </cell>
          <cell r="O7622" t="str">
            <v/>
          </cell>
          <cell r="P7622" t="str">
            <v/>
          </cell>
          <cell r="Q7622" t="str">
            <v/>
          </cell>
          <cell r="S7622" t="str">
            <v/>
          </cell>
          <cell r="V7622" t="str">
            <v/>
          </cell>
          <cell r="Z7622" t="str">
            <v/>
          </cell>
          <cell r="AA7622" t="str">
            <v/>
          </cell>
          <cell r="AB7622" t="str">
            <v/>
          </cell>
          <cell r="AC7622" t="str">
            <v/>
          </cell>
          <cell r="AD7622" t="str">
            <v/>
          </cell>
          <cell r="AY7622" t="str">
            <v/>
          </cell>
          <cell r="AZ7622" t="str">
            <v/>
          </cell>
          <cell r="BA7622" t="str">
            <v/>
          </cell>
        </row>
        <row r="7623">
          <cell r="B7623" t="str">
            <v>-</v>
          </cell>
          <cell r="E7623" t="str">
            <v/>
          </cell>
          <cell r="G7623" t="str">
            <v/>
          </cell>
          <cell r="J7623" t="str">
            <v/>
          </cell>
          <cell r="O7623" t="str">
            <v/>
          </cell>
          <cell r="P7623" t="str">
            <v/>
          </cell>
          <cell r="Q7623" t="str">
            <v/>
          </cell>
          <cell r="S7623" t="str">
            <v/>
          </cell>
          <cell r="V7623" t="str">
            <v/>
          </cell>
          <cell r="Z7623" t="str">
            <v/>
          </cell>
          <cell r="AA7623" t="str">
            <v/>
          </cell>
          <cell r="AB7623" t="str">
            <v/>
          </cell>
          <cell r="AC7623" t="str">
            <v/>
          </cell>
          <cell r="AD7623" t="str">
            <v/>
          </cell>
          <cell r="AY7623" t="str">
            <v/>
          </cell>
          <cell r="AZ7623" t="str">
            <v/>
          </cell>
          <cell r="BA7623" t="str">
            <v/>
          </cell>
        </row>
        <row r="7624">
          <cell r="B7624" t="str">
            <v>-</v>
          </cell>
          <cell r="E7624" t="str">
            <v/>
          </cell>
          <cell r="G7624" t="str">
            <v/>
          </cell>
          <cell r="J7624" t="str">
            <v/>
          </cell>
          <cell r="O7624" t="str">
            <v/>
          </cell>
          <cell r="P7624" t="str">
            <v/>
          </cell>
          <cell r="Q7624" t="str">
            <v/>
          </cell>
          <cell r="S7624" t="str">
            <v/>
          </cell>
          <cell r="V7624" t="str">
            <v/>
          </cell>
          <cell r="Z7624" t="str">
            <v/>
          </cell>
          <cell r="AA7624" t="str">
            <v/>
          </cell>
          <cell r="AB7624" t="str">
            <v/>
          </cell>
          <cell r="AC7624" t="str">
            <v/>
          </cell>
          <cell r="AD7624" t="str">
            <v/>
          </cell>
          <cell r="AY7624" t="str">
            <v/>
          </cell>
          <cell r="AZ7624" t="str">
            <v/>
          </cell>
          <cell r="BA7624" t="str">
            <v/>
          </cell>
        </row>
        <row r="7625">
          <cell r="B7625" t="str">
            <v>-</v>
          </cell>
          <cell r="E7625" t="str">
            <v/>
          </cell>
          <cell r="G7625" t="str">
            <v/>
          </cell>
          <cell r="J7625" t="str">
            <v/>
          </cell>
          <cell r="O7625" t="str">
            <v/>
          </cell>
          <cell r="P7625" t="str">
            <v/>
          </cell>
          <cell r="Q7625" t="str">
            <v/>
          </cell>
          <cell r="S7625" t="str">
            <v/>
          </cell>
          <cell r="V7625" t="str">
            <v/>
          </cell>
          <cell r="Z7625" t="str">
            <v/>
          </cell>
          <cell r="AA7625" t="str">
            <v/>
          </cell>
          <cell r="AB7625" t="str">
            <v/>
          </cell>
          <cell r="AC7625" t="str">
            <v/>
          </cell>
          <cell r="AD7625" t="str">
            <v/>
          </cell>
          <cell r="AY7625" t="str">
            <v/>
          </cell>
          <cell r="AZ7625" t="str">
            <v/>
          </cell>
          <cell r="BA7625" t="str">
            <v/>
          </cell>
        </row>
        <row r="7626">
          <cell r="B7626" t="str">
            <v>-</v>
          </cell>
          <cell r="E7626" t="str">
            <v/>
          </cell>
          <cell r="G7626" t="str">
            <v/>
          </cell>
          <cell r="J7626" t="str">
            <v/>
          </cell>
          <cell r="O7626" t="str">
            <v/>
          </cell>
          <cell r="P7626" t="str">
            <v/>
          </cell>
          <cell r="Q7626" t="str">
            <v/>
          </cell>
          <cell r="S7626" t="str">
            <v/>
          </cell>
          <cell r="V7626" t="str">
            <v/>
          </cell>
          <cell r="Z7626" t="str">
            <v/>
          </cell>
          <cell r="AA7626" t="str">
            <v/>
          </cell>
          <cell r="AB7626" t="str">
            <v/>
          </cell>
          <cell r="AC7626" t="str">
            <v/>
          </cell>
          <cell r="AD7626" t="str">
            <v/>
          </cell>
          <cell r="AY7626" t="str">
            <v/>
          </cell>
          <cell r="AZ7626" t="str">
            <v/>
          </cell>
          <cell r="BA7626" t="str">
            <v/>
          </cell>
        </row>
        <row r="7627">
          <cell r="B7627" t="str">
            <v>-</v>
          </cell>
          <cell r="E7627" t="str">
            <v/>
          </cell>
          <cell r="G7627" t="str">
            <v/>
          </cell>
          <cell r="J7627" t="str">
            <v/>
          </cell>
          <cell r="O7627" t="str">
            <v/>
          </cell>
          <cell r="P7627" t="str">
            <v/>
          </cell>
          <cell r="Q7627" t="str">
            <v/>
          </cell>
          <cell r="S7627" t="str">
            <v/>
          </cell>
          <cell r="V7627" t="str">
            <v/>
          </cell>
          <cell r="Z7627" t="str">
            <v/>
          </cell>
          <cell r="AA7627" t="str">
            <v/>
          </cell>
          <cell r="AB7627" t="str">
            <v/>
          </cell>
          <cell r="AC7627" t="str">
            <v/>
          </cell>
          <cell r="AD7627" t="str">
            <v/>
          </cell>
          <cell r="AY7627" t="str">
            <v/>
          </cell>
          <cell r="AZ7627" t="str">
            <v/>
          </cell>
          <cell r="BA7627" t="str">
            <v/>
          </cell>
        </row>
        <row r="7628">
          <cell r="B7628" t="str">
            <v>-</v>
          </cell>
          <cell r="E7628" t="str">
            <v/>
          </cell>
          <cell r="G7628" t="str">
            <v/>
          </cell>
          <cell r="J7628" t="str">
            <v/>
          </cell>
          <cell r="O7628" t="str">
            <v/>
          </cell>
          <cell r="P7628" t="str">
            <v/>
          </cell>
          <cell r="Q7628" t="str">
            <v/>
          </cell>
          <cell r="S7628" t="str">
            <v/>
          </cell>
          <cell r="V7628" t="str">
            <v/>
          </cell>
          <cell r="Z7628" t="str">
            <v/>
          </cell>
          <cell r="AA7628" t="str">
            <v/>
          </cell>
          <cell r="AB7628" t="str">
            <v/>
          </cell>
          <cell r="AC7628" t="str">
            <v/>
          </cell>
          <cell r="AD7628" t="str">
            <v/>
          </cell>
          <cell r="AY7628" t="str">
            <v/>
          </cell>
          <cell r="AZ7628" t="str">
            <v/>
          </cell>
          <cell r="BA7628" t="str">
            <v/>
          </cell>
        </row>
        <row r="7629">
          <cell r="B7629" t="str">
            <v>-</v>
          </cell>
          <cell r="E7629" t="str">
            <v/>
          </cell>
          <cell r="G7629" t="str">
            <v/>
          </cell>
          <cell r="J7629" t="str">
            <v/>
          </cell>
          <cell r="O7629" t="str">
            <v/>
          </cell>
          <cell r="P7629" t="str">
            <v/>
          </cell>
          <cell r="Q7629" t="str">
            <v/>
          </cell>
          <cell r="S7629" t="str">
            <v/>
          </cell>
          <cell r="V7629" t="str">
            <v/>
          </cell>
          <cell r="Z7629" t="str">
            <v/>
          </cell>
          <cell r="AA7629" t="str">
            <v/>
          </cell>
          <cell r="AB7629" t="str">
            <v/>
          </cell>
          <cell r="AC7629" t="str">
            <v/>
          </cell>
          <cell r="AD7629" t="str">
            <v/>
          </cell>
          <cell r="AY7629" t="str">
            <v/>
          </cell>
          <cell r="AZ7629" t="str">
            <v/>
          </cell>
          <cell r="BA7629" t="str">
            <v/>
          </cell>
        </row>
        <row r="7630">
          <cell r="B7630" t="str">
            <v>-</v>
          </cell>
          <cell r="E7630" t="str">
            <v/>
          </cell>
          <cell r="G7630" t="str">
            <v/>
          </cell>
          <cell r="J7630" t="str">
            <v/>
          </cell>
          <cell r="O7630" t="str">
            <v/>
          </cell>
          <cell r="P7630" t="str">
            <v/>
          </cell>
          <cell r="Q7630" t="str">
            <v/>
          </cell>
          <cell r="S7630" t="str">
            <v/>
          </cell>
          <cell r="V7630" t="str">
            <v/>
          </cell>
          <cell r="Z7630" t="str">
            <v/>
          </cell>
          <cell r="AA7630" t="str">
            <v/>
          </cell>
          <cell r="AB7630" t="str">
            <v/>
          </cell>
          <cell r="AC7630" t="str">
            <v/>
          </cell>
          <cell r="AD7630" t="str">
            <v/>
          </cell>
          <cell r="AY7630" t="str">
            <v/>
          </cell>
          <cell r="AZ7630" t="str">
            <v/>
          </cell>
          <cell r="BA7630" t="str">
            <v/>
          </cell>
        </row>
        <row r="7631">
          <cell r="B7631" t="str">
            <v>-</v>
          </cell>
          <cell r="E7631" t="str">
            <v/>
          </cell>
          <cell r="G7631" t="str">
            <v/>
          </cell>
          <cell r="J7631" t="str">
            <v/>
          </cell>
          <cell r="O7631" t="str">
            <v/>
          </cell>
          <cell r="P7631" t="str">
            <v/>
          </cell>
          <cell r="Q7631" t="str">
            <v/>
          </cell>
          <cell r="S7631" t="str">
            <v/>
          </cell>
          <cell r="V7631" t="str">
            <v/>
          </cell>
          <cell r="Z7631" t="str">
            <v/>
          </cell>
          <cell r="AA7631" t="str">
            <v/>
          </cell>
          <cell r="AB7631" t="str">
            <v/>
          </cell>
          <cell r="AC7631" t="str">
            <v/>
          </cell>
          <cell r="AD7631" t="str">
            <v/>
          </cell>
          <cell r="AY7631" t="str">
            <v/>
          </cell>
          <cell r="AZ7631" t="str">
            <v/>
          </cell>
          <cell r="BA7631" t="str">
            <v/>
          </cell>
        </row>
        <row r="7632">
          <cell r="B7632" t="str">
            <v>-</v>
          </cell>
          <cell r="E7632" t="str">
            <v/>
          </cell>
          <cell r="G7632" t="str">
            <v/>
          </cell>
          <cell r="J7632" t="str">
            <v/>
          </cell>
          <cell r="O7632" t="str">
            <v/>
          </cell>
          <cell r="P7632" t="str">
            <v/>
          </cell>
          <cell r="Q7632" t="str">
            <v/>
          </cell>
          <cell r="S7632" t="str">
            <v/>
          </cell>
          <cell r="V7632" t="str">
            <v/>
          </cell>
          <cell r="Z7632" t="str">
            <v/>
          </cell>
          <cell r="AA7632" t="str">
            <v/>
          </cell>
          <cell r="AB7632" t="str">
            <v/>
          </cell>
          <cell r="AC7632" t="str">
            <v/>
          </cell>
          <cell r="AD7632" t="str">
            <v/>
          </cell>
          <cell r="AY7632" t="str">
            <v/>
          </cell>
          <cell r="AZ7632" t="str">
            <v/>
          </cell>
          <cell r="BA7632" t="str">
            <v/>
          </cell>
        </row>
        <row r="7633">
          <cell r="B7633" t="str">
            <v>-</v>
          </cell>
          <cell r="E7633" t="str">
            <v/>
          </cell>
          <cell r="G7633" t="str">
            <v/>
          </cell>
          <cell r="J7633" t="str">
            <v/>
          </cell>
          <cell r="O7633" t="str">
            <v/>
          </cell>
          <cell r="P7633" t="str">
            <v/>
          </cell>
          <cell r="Q7633" t="str">
            <v/>
          </cell>
          <cell r="S7633" t="str">
            <v/>
          </cell>
          <cell r="V7633" t="str">
            <v/>
          </cell>
          <cell r="Z7633" t="str">
            <v/>
          </cell>
          <cell r="AA7633" t="str">
            <v/>
          </cell>
          <cell r="AB7633" t="str">
            <v/>
          </cell>
          <cell r="AC7633" t="str">
            <v/>
          </cell>
          <cell r="AD7633" t="str">
            <v/>
          </cell>
          <cell r="AY7633" t="str">
            <v/>
          </cell>
          <cell r="AZ7633" t="str">
            <v/>
          </cell>
          <cell r="BA7633" t="str">
            <v/>
          </cell>
        </row>
        <row r="7634">
          <cell r="B7634" t="str">
            <v>-</v>
          </cell>
          <cell r="E7634" t="str">
            <v/>
          </cell>
          <cell r="G7634" t="str">
            <v/>
          </cell>
          <cell r="J7634" t="str">
            <v/>
          </cell>
          <cell r="O7634" t="str">
            <v/>
          </cell>
          <cell r="P7634" t="str">
            <v/>
          </cell>
          <cell r="Q7634" t="str">
            <v/>
          </cell>
          <cell r="S7634" t="str">
            <v/>
          </cell>
          <cell r="V7634" t="str">
            <v/>
          </cell>
          <cell r="Z7634" t="str">
            <v/>
          </cell>
          <cell r="AA7634" t="str">
            <v/>
          </cell>
          <cell r="AB7634" t="str">
            <v/>
          </cell>
          <cell r="AC7634" t="str">
            <v/>
          </cell>
          <cell r="AD7634" t="str">
            <v/>
          </cell>
          <cell r="AY7634" t="str">
            <v/>
          </cell>
          <cell r="AZ7634" t="str">
            <v/>
          </cell>
          <cell r="BA7634" t="str">
            <v/>
          </cell>
        </row>
        <row r="7635">
          <cell r="B7635" t="str">
            <v>-</v>
          </cell>
          <cell r="E7635" t="str">
            <v/>
          </cell>
          <cell r="G7635" t="str">
            <v/>
          </cell>
          <cell r="J7635" t="str">
            <v/>
          </cell>
          <cell r="O7635" t="str">
            <v/>
          </cell>
          <cell r="P7635" t="str">
            <v/>
          </cell>
          <cell r="Q7635" t="str">
            <v/>
          </cell>
          <cell r="S7635" t="str">
            <v/>
          </cell>
          <cell r="V7635" t="str">
            <v/>
          </cell>
          <cell r="Z7635" t="str">
            <v/>
          </cell>
          <cell r="AA7635" t="str">
            <v/>
          </cell>
          <cell r="AB7635" t="str">
            <v/>
          </cell>
          <cell r="AC7635" t="str">
            <v/>
          </cell>
          <cell r="AD7635" t="str">
            <v/>
          </cell>
          <cell r="AY7635" t="str">
            <v/>
          </cell>
          <cell r="AZ7635" t="str">
            <v/>
          </cell>
          <cell r="BA7635" t="str">
            <v/>
          </cell>
        </row>
        <row r="7636">
          <cell r="B7636" t="str">
            <v>-</v>
          </cell>
          <cell r="E7636" t="str">
            <v/>
          </cell>
          <cell r="G7636" t="str">
            <v/>
          </cell>
          <cell r="J7636" t="str">
            <v/>
          </cell>
          <cell r="O7636" t="str">
            <v/>
          </cell>
          <cell r="P7636" t="str">
            <v/>
          </cell>
          <cell r="Q7636" t="str">
            <v/>
          </cell>
          <cell r="S7636" t="str">
            <v/>
          </cell>
          <cell r="V7636" t="str">
            <v/>
          </cell>
          <cell r="Z7636" t="str">
            <v/>
          </cell>
          <cell r="AA7636" t="str">
            <v/>
          </cell>
          <cell r="AB7636" t="str">
            <v/>
          </cell>
          <cell r="AC7636" t="str">
            <v/>
          </cell>
          <cell r="AD7636" t="str">
            <v/>
          </cell>
          <cell r="AY7636" t="str">
            <v/>
          </cell>
          <cell r="AZ7636" t="str">
            <v/>
          </cell>
          <cell r="BA7636" t="str">
            <v/>
          </cell>
        </row>
        <row r="7637">
          <cell r="B7637" t="str">
            <v>-</v>
          </cell>
          <cell r="E7637" t="str">
            <v/>
          </cell>
          <cell r="G7637" t="str">
            <v/>
          </cell>
          <cell r="J7637" t="str">
            <v/>
          </cell>
          <cell r="O7637" t="str">
            <v/>
          </cell>
          <cell r="P7637" t="str">
            <v/>
          </cell>
          <cell r="Q7637" t="str">
            <v/>
          </cell>
          <cell r="S7637" t="str">
            <v/>
          </cell>
          <cell r="V7637" t="str">
            <v/>
          </cell>
          <cell r="Z7637" t="str">
            <v/>
          </cell>
          <cell r="AA7637" t="str">
            <v/>
          </cell>
          <cell r="AB7637" t="str">
            <v/>
          </cell>
          <cell r="AC7637" t="str">
            <v/>
          </cell>
          <cell r="AD7637" t="str">
            <v/>
          </cell>
          <cell r="AY7637" t="str">
            <v/>
          </cell>
          <cell r="AZ7637" t="str">
            <v/>
          </cell>
          <cell r="BA7637" t="str">
            <v/>
          </cell>
        </row>
        <row r="7638">
          <cell r="B7638" t="str">
            <v>-</v>
          </cell>
          <cell r="E7638" t="str">
            <v/>
          </cell>
          <cell r="G7638" t="str">
            <v/>
          </cell>
          <cell r="J7638" t="str">
            <v/>
          </cell>
          <cell r="O7638" t="str">
            <v/>
          </cell>
          <cell r="P7638" t="str">
            <v/>
          </cell>
          <cell r="Q7638" t="str">
            <v/>
          </cell>
          <cell r="S7638" t="str">
            <v/>
          </cell>
          <cell r="V7638" t="str">
            <v/>
          </cell>
          <cell r="Z7638" t="str">
            <v/>
          </cell>
          <cell r="AA7638" t="str">
            <v/>
          </cell>
          <cell r="AB7638" t="str">
            <v/>
          </cell>
          <cell r="AC7638" t="str">
            <v/>
          </cell>
          <cell r="AD7638" t="str">
            <v/>
          </cell>
          <cell r="AY7638" t="str">
            <v/>
          </cell>
          <cell r="AZ7638" t="str">
            <v/>
          </cell>
          <cell r="BA7638" t="str">
            <v/>
          </cell>
        </row>
        <row r="7639">
          <cell r="B7639" t="str">
            <v>-</v>
          </cell>
          <cell r="E7639" t="str">
            <v/>
          </cell>
          <cell r="G7639" t="str">
            <v/>
          </cell>
          <cell r="J7639" t="str">
            <v/>
          </cell>
          <cell r="O7639" t="str">
            <v/>
          </cell>
          <cell r="P7639" t="str">
            <v/>
          </cell>
          <cell r="Q7639" t="str">
            <v/>
          </cell>
          <cell r="S7639" t="str">
            <v/>
          </cell>
          <cell r="V7639" t="str">
            <v/>
          </cell>
          <cell r="Z7639" t="str">
            <v/>
          </cell>
          <cell r="AA7639" t="str">
            <v/>
          </cell>
          <cell r="AB7639" t="str">
            <v/>
          </cell>
          <cell r="AC7639" t="str">
            <v/>
          </cell>
          <cell r="AD7639" t="str">
            <v/>
          </cell>
          <cell r="AY7639" t="str">
            <v/>
          </cell>
          <cell r="AZ7639" t="str">
            <v/>
          </cell>
          <cell r="BA7639" t="str">
            <v/>
          </cell>
        </row>
        <row r="7640">
          <cell r="B7640" t="str">
            <v>-</v>
          </cell>
          <cell r="E7640" t="str">
            <v/>
          </cell>
          <cell r="G7640" t="str">
            <v/>
          </cell>
          <cell r="J7640" t="str">
            <v/>
          </cell>
          <cell r="O7640" t="str">
            <v/>
          </cell>
          <cell r="P7640" t="str">
            <v/>
          </cell>
          <cell r="Q7640" t="str">
            <v/>
          </cell>
          <cell r="S7640" t="str">
            <v/>
          </cell>
          <cell r="V7640" t="str">
            <v/>
          </cell>
          <cell r="Z7640" t="str">
            <v/>
          </cell>
          <cell r="AA7640" t="str">
            <v/>
          </cell>
          <cell r="AB7640" t="str">
            <v/>
          </cell>
          <cell r="AC7640" t="str">
            <v/>
          </cell>
          <cell r="AD7640" t="str">
            <v/>
          </cell>
          <cell r="AY7640" t="str">
            <v/>
          </cell>
          <cell r="AZ7640" t="str">
            <v/>
          </cell>
          <cell r="BA7640" t="str">
            <v/>
          </cell>
        </row>
        <row r="7641">
          <cell r="B7641" t="str">
            <v>-</v>
          </cell>
          <cell r="E7641" t="str">
            <v/>
          </cell>
          <cell r="G7641" t="str">
            <v/>
          </cell>
          <cell r="J7641" t="str">
            <v/>
          </cell>
          <cell r="O7641" t="str">
            <v/>
          </cell>
          <cell r="P7641" t="str">
            <v/>
          </cell>
          <cell r="Q7641" t="str">
            <v/>
          </cell>
          <cell r="S7641" t="str">
            <v/>
          </cell>
          <cell r="V7641" t="str">
            <v/>
          </cell>
          <cell r="Z7641" t="str">
            <v/>
          </cell>
          <cell r="AA7641" t="str">
            <v/>
          </cell>
          <cell r="AB7641" t="str">
            <v/>
          </cell>
          <cell r="AC7641" t="str">
            <v/>
          </cell>
          <cell r="AD7641" t="str">
            <v/>
          </cell>
          <cell r="AY7641" t="str">
            <v/>
          </cell>
          <cell r="AZ7641" t="str">
            <v/>
          </cell>
          <cell r="BA7641" t="str">
            <v/>
          </cell>
        </row>
        <row r="7642">
          <cell r="B7642" t="str">
            <v>-</v>
          </cell>
          <cell r="E7642" t="str">
            <v/>
          </cell>
          <cell r="G7642" t="str">
            <v/>
          </cell>
          <cell r="J7642" t="str">
            <v/>
          </cell>
          <cell r="O7642" t="str">
            <v/>
          </cell>
          <cell r="P7642" t="str">
            <v/>
          </cell>
          <cell r="Q7642" t="str">
            <v/>
          </cell>
          <cell r="S7642" t="str">
            <v/>
          </cell>
          <cell r="V7642" t="str">
            <v/>
          </cell>
          <cell r="Z7642" t="str">
            <v/>
          </cell>
          <cell r="AA7642" t="str">
            <v/>
          </cell>
          <cell r="AB7642" t="str">
            <v/>
          </cell>
          <cell r="AC7642" t="str">
            <v/>
          </cell>
          <cell r="AD7642" t="str">
            <v/>
          </cell>
          <cell r="AY7642" t="str">
            <v/>
          </cell>
          <cell r="AZ7642" t="str">
            <v/>
          </cell>
          <cell r="BA7642" t="str">
            <v/>
          </cell>
        </row>
        <row r="7643">
          <cell r="B7643" t="str">
            <v>-</v>
          </cell>
          <cell r="E7643" t="str">
            <v/>
          </cell>
          <cell r="G7643" t="str">
            <v/>
          </cell>
          <cell r="J7643" t="str">
            <v/>
          </cell>
          <cell r="O7643" t="str">
            <v/>
          </cell>
          <cell r="P7643" t="str">
            <v/>
          </cell>
          <cell r="Q7643" t="str">
            <v/>
          </cell>
          <cell r="S7643" t="str">
            <v/>
          </cell>
          <cell r="V7643" t="str">
            <v/>
          </cell>
          <cell r="Z7643" t="str">
            <v/>
          </cell>
          <cell r="AA7643" t="str">
            <v/>
          </cell>
          <cell r="AB7643" t="str">
            <v/>
          </cell>
          <cell r="AC7643" t="str">
            <v/>
          </cell>
          <cell r="AD7643" t="str">
            <v/>
          </cell>
          <cell r="AY7643" t="str">
            <v/>
          </cell>
          <cell r="AZ7643" t="str">
            <v/>
          </cell>
          <cell r="BA7643" t="str">
            <v/>
          </cell>
        </row>
        <row r="7644">
          <cell r="B7644" t="str">
            <v>-</v>
          </cell>
          <cell r="E7644" t="str">
            <v/>
          </cell>
          <cell r="G7644" t="str">
            <v/>
          </cell>
          <cell r="J7644" t="str">
            <v/>
          </cell>
          <cell r="O7644" t="str">
            <v/>
          </cell>
          <cell r="P7644" t="str">
            <v/>
          </cell>
          <cell r="Q7644" t="str">
            <v/>
          </cell>
          <cell r="S7644" t="str">
            <v/>
          </cell>
          <cell r="V7644" t="str">
            <v/>
          </cell>
          <cell r="Z7644" t="str">
            <v/>
          </cell>
          <cell r="AA7644" t="str">
            <v/>
          </cell>
          <cell r="AB7644" t="str">
            <v/>
          </cell>
          <cell r="AC7644" t="str">
            <v/>
          </cell>
          <cell r="AD7644" t="str">
            <v/>
          </cell>
          <cell r="AY7644" t="str">
            <v/>
          </cell>
          <cell r="AZ7644" t="str">
            <v/>
          </cell>
          <cell r="BA7644" t="str">
            <v/>
          </cell>
        </row>
        <row r="7645">
          <cell r="B7645" t="str">
            <v>-</v>
          </cell>
          <cell r="E7645" t="str">
            <v/>
          </cell>
          <cell r="G7645" t="str">
            <v/>
          </cell>
          <cell r="J7645" t="str">
            <v/>
          </cell>
          <cell r="O7645" t="str">
            <v/>
          </cell>
          <cell r="P7645" t="str">
            <v/>
          </cell>
          <cell r="Q7645" t="str">
            <v/>
          </cell>
          <cell r="S7645" t="str">
            <v/>
          </cell>
          <cell r="V7645" t="str">
            <v/>
          </cell>
          <cell r="Z7645" t="str">
            <v/>
          </cell>
          <cell r="AA7645" t="str">
            <v/>
          </cell>
          <cell r="AB7645" t="str">
            <v/>
          </cell>
          <cell r="AC7645" t="str">
            <v/>
          </cell>
          <cell r="AD7645" t="str">
            <v/>
          </cell>
          <cell r="AY7645" t="str">
            <v/>
          </cell>
          <cell r="AZ7645" t="str">
            <v/>
          </cell>
          <cell r="BA7645" t="str">
            <v/>
          </cell>
        </row>
        <row r="7646">
          <cell r="B7646" t="str">
            <v>-</v>
          </cell>
          <cell r="E7646" t="str">
            <v/>
          </cell>
          <cell r="G7646" t="str">
            <v/>
          </cell>
          <cell r="J7646" t="str">
            <v/>
          </cell>
          <cell r="O7646" t="str">
            <v/>
          </cell>
          <cell r="P7646" t="str">
            <v/>
          </cell>
          <cell r="Q7646" t="str">
            <v/>
          </cell>
          <cell r="S7646" t="str">
            <v/>
          </cell>
          <cell r="V7646" t="str">
            <v/>
          </cell>
          <cell r="Z7646" t="str">
            <v/>
          </cell>
          <cell r="AA7646" t="str">
            <v/>
          </cell>
          <cell r="AB7646" t="str">
            <v/>
          </cell>
          <cell r="AC7646" t="str">
            <v/>
          </cell>
          <cell r="AD7646" t="str">
            <v/>
          </cell>
          <cell r="AY7646" t="str">
            <v/>
          </cell>
          <cell r="AZ7646" t="str">
            <v/>
          </cell>
          <cell r="BA7646" t="str">
            <v/>
          </cell>
        </row>
        <row r="7647">
          <cell r="B7647" t="str">
            <v>-</v>
          </cell>
          <cell r="E7647" t="str">
            <v/>
          </cell>
          <cell r="G7647" t="str">
            <v/>
          </cell>
          <cell r="J7647" t="str">
            <v/>
          </cell>
          <cell r="O7647" t="str">
            <v/>
          </cell>
          <cell r="P7647" t="str">
            <v/>
          </cell>
          <cell r="Q7647" t="str">
            <v/>
          </cell>
          <cell r="S7647" t="str">
            <v/>
          </cell>
          <cell r="V7647" t="str">
            <v/>
          </cell>
          <cell r="Z7647" t="str">
            <v/>
          </cell>
          <cell r="AA7647" t="str">
            <v/>
          </cell>
          <cell r="AB7647" t="str">
            <v/>
          </cell>
          <cell r="AC7647" t="str">
            <v/>
          </cell>
          <cell r="AD7647" t="str">
            <v/>
          </cell>
          <cell r="AY7647" t="str">
            <v/>
          </cell>
          <cell r="AZ7647" t="str">
            <v/>
          </cell>
          <cell r="BA7647" t="str">
            <v/>
          </cell>
        </row>
        <row r="7648">
          <cell r="B7648" t="str">
            <v>-</v>
          </cell>
          <cell r="E7648" t="str">
            <v/>
          </cell>
          <cell r="G7648" t="str">
            <v/>
          </cell>
          <cell r="J7648" t="str">
            <v/>
          </cell>
          <cell r="O7648" t="str">
            <v/>
          </cell>
          <cell r="P7648" t="str">
            <v/>
          </cell>
          <cell r="Q7648" t="str">
            <v/>
          </cell>
          <cell r="S7648" t="str">
            <v/>
          </cell>
          <cell r="V7648" t="str">
            <v/>
          </cell>
          <cell r="Z7648" t="str">
            <v/>
          </cell>
          <cell r="AA7648" t="str">
            <v/>
          </cell>
          <cell r="AB7648" t="str">
            <v/>
          </cell>
          <cell r="AC7648" t="str">
            <v/>
          </cell>
          <cell r="AD7648" t="str">
            <v/>
          </cell>
          <cell r="AY7648" t="str">
            <v/>
          </cell>
          <cell r="AZ7648" t="str">
            <v/>
          </cell>
          <cell r="BA7648" t="str">
            <v/>
          </cell>
        </row>
        <row r="7649">
          <cell r="B7649" t="str">
            <v>-</v>
          </cell>
          <cell r="E7649" t="str">
            <v/>
          </cell>
          <cell r="G7649" t="str">
            <v/>
          </cell>
          <cell r="J7649" t="str">
            <v/>
          </cell>
          <cell r="O7649" t="str">
            <v/>
          </cell>
          <cell r="P7649" t="str">
            <v/>
          </cell>
          <cell r="Q7649" t="str">
            <v/>
          </cell>
          <cell r="S7649" t="str">
            <v/>
          </cell>
          <cell r="V7649" t="str">
            <v/>
          </cell>
          <cell r="Z7649" t="str">
            <v/>
          </cell>
          <cell r="AA7649" t="str">
            <v/>
          </cell>
          <cell r="AB7649" t="str">
            <v/>
          </cell>
          <cell r="AC7649" t="str">
            <v/>
          </cell>
          <cell r="AD7649" t="str">
            <v/>
          </cell>
          <cell r="AY7649" t="str">
            <v/>
          </cell>
          <cell r="AZ7649" t="str">
            <v/>
          </cell>
          <cell r="BA7649" t="str">
            <v/>
          </cell>
        </row>
        <row r="7650">
          <cell r="B7650" t="str">
            <v>-</v>
          </cell>
          <cell r="E7650" t="str">
            <v/>
          </cell>
          <cell r="G7650" t="str">
            <v/>
          </cell>
          <cell r="J7650" t="str">
            <v/>
          </cell>
          <cell r="O7650" t="str">
            <v/>
          </cell>
          <cell r="P7650" t="str">
            <v/>
          </cell>
          <cell r="Q7650" t="str">
            <v/>
          </cell>
          <cell r="S7650" t="str">
            <v/>
          </cell>
          <cell r="V7650" t="str">
            <v/>
          </cell>
          <cell r="Z7650" t="str">
            <v/>
          </cell>
          <cell r="AA7650" t="str">
            <v/>
          </cell>
          <cell r="AB7650" t="str">
            <v/>
          </cell>
          <cell r="AC7650" t="str">
            <v/>
          </cell>
          <cell r="AD7650" t="str">
            <v/>
          </cell>
          <cell r="AY7650" t="str">
            <v/>
          </cell>
          <cell r="AZ7650" t="str">
            <v/>
          </cell>
          <cell r="BA7650" t="str">
            <v/>
          </cell>
        </row>
        <row r="7651">
          <cell r="B7651" t="str">
            <v>-</v>
          </cell>
          <cell r="E7651" t="str">
            <v/>
          </cell>
          <cell r="G7651" t="str">
            <v/>
          </cell>
          <cell r="J7651" t="str">
            <v/>
          </cell>
          <cell r="O7651" t="str">
            <v/>
          </cell>
          <cell r="P7651" t="str">
            <v/>
          </cell>
          <cell r="Q7651" t="str">
            <v/>
          </cell>
          <cell r="S7651" t="str">
            <v/>
          </cell>
          <cell r="V7651" t="str">
            <v/>
          </cell>
          <cell r="Z7651" t="str">
            <v/>
          </cell>
          <cell r="AA7651" t="str">
            <v/>
          </cell>
          <cell r="AB7651" t="str">
            <v/>
          </cell>
          <cell r="AC7651" t="str">
            <v/>
          </cell>
          <cell r="AD7651" t="str">
            <v/>
          </cell>
          <cell r="AY7651" t="str">
            <v/>
          </cell>
          <cell r="AZ7651" t="str">
            <v/>
          </cell>
          <cell r="BA7651" t="str">
            <v/>
          </cell>
        </row>
        <row r="7652">
          <cell r="B7652" t="str">
            <v>-</v>
          </cell>
          <cell r="E7652" t="str">
            <v/>
          </cell>
          <cell r="G7652" t="str">
            <v/>
          </cell>
          <cell r="J7652" t="str">
            <v/>
          </cell>
          <cell r="O7652" t="str">
            <v/>
          </cell>
          <cell r="P7652" t="str">
            <v/>
          </cell>
          <cell r="Q7652" t="str">
            <v/>
          </cell>
          <cell r="S7652" t="str">
            <v/>
          </cell>
          <cell r="V7652" t="str">
            <v/>
          </cell>
          <cell r="Z7652" t="str">
            <v/>
          </cell>
          <cell r="AA7652" t="str">
            <v/>
          </cell>
          <cell r="AB7652" t="str">
            <v/>
          </cell>
          <cell r="AC7652" t="str">
            <v/>
          </cell>
          <cell r="AD7652" t="str">
            <v/>
          </cell>
          <cell r="AY7652" t="str">
            <v/>
          </cell>
          <cell r="AZ7652" t="str">
            <v/>
          </cell>
          <cell r="BA7652" t="str">
            <v/>
          </cell>
        </row>
        <row r="7653">
          <cell r="B7653" t="str">
            <v>-</v>
          </cell>
          <cell r="E7653" t="str">
            <v/>
          </cell>
          <cell r="G7653" t="str">
            <v/>
          </cell>
          <cell r="J7653" t="str">
            <v/>
          </cell>
          <cell r="O7653" t="str">
            <v/>
          </cell>
          <cell r="P7653" t="str">
            <v/>
          </cell>
          <cell r="Q7653" t="str">
            <v/>
          </cell>
          <cell r="S7653" t="str">
            <v/>
          </cell>
          <cell r="V7653" t="str">
            <v/>
          </cell>
          <cell r="Z7653" t="str">
            <v/>
          </cell>
          <cell r="AA7653" t="str">
            <v/>
          </cell>
          <cell r="AB7653" t="str">
            <v/>
          </cell>
          <cell r="AC7653" t="str">
            <v/>
          </cell>
          <cell r="AD7653" t="str">
            <v/>
          </cell>
          <cell r="AY7653" t="str">
            <v/>
          </cell>
          <cell r="AZ7653" t="str">
            <v/>
          </cell>
          <cell r="BA7653" t="str">
            <v/>
          </cell>
        </row>
        <row r="7654">
          <cell r="B7654" t="str">
            <v>-</v>
          </cell>
          <cell r="E7654" t="str">
            <v/>
          </cell>
          <cell r="G7654" t="str">
            <v/>
          </cell>
          <cell r="J7654" t="str">
            <v/>
          </cell>
          <cell r="O7654" t="str">
            <v/>
          </cell>
          <cell r="P7654" t="str">
            <v/>
          </cell>
          <cell r="Q7654" t="str">
            <v/>
          </cell>
          <cell r="S7654" t="str">
            <v/>
          </cell>
          <cell r="V7654" t="str">
            <v/>
          </cell>
          <cell r="Z7654" t="str">
            <v/>
          </cell>
          <cell r="AA7654" t="str">
            <v/>
          </cell>
          <cell r="AB7654" t="str">
            <v/>
          </cell>
          <cell r="AC7654" t="str">
            <v/>
          </cell>
          <cell r="AD7654" t="str">
            <v/>
          </cell>
          <cell r="AY7654" t="str">
            <v/>
          </cell>
          <cell r="AZ7654" t="str">
            <v/>
          </cell>
          <cell r="BA7654" t="str">
            <v/>
          </cell>
        </row>
        <row r="7655">
          <cell r="B7655" t="str">
            <v>-</v>
          </cell>
          <cell r="E7655" t="str">
            <v/>
          </cell>
          <cell r="G7655" t="str">
            <v/>
          </cell>
          <cell r="J7655" t="str">
            <v/>
          </cell>
          <cell r="O7655" t="str">
            <v/>
          </cell>
          <cell r="P7655" t="str">
            <v/>
          </cell>
          <cell r="Q7655" t="str">
            <v/>
          </cell>
          <cell r="S7655" t="str">
            <v/>
          </cell>
          <cell r="V7655" t="str">
            <v/>
          </cell>
          <cell r="Z7655" t="str">
            <v/>
          </cell>
          <cell r="AA7655" t="str">
            <v/>
          </cell>
          <cell r="AB7655" t="str">
            <v/>
          </cell>
          <cell r="AC7655" t="str">
            <v/>
          </cell>
          <cell r="AD7655" t="str">
            <v/>
          </cell>
          <cell r="AY7655" t="str">
            <v/>
          </cell>
          <cell r="AZ7655" t="str">
            <v/>
          </cell>
          <cell r="BA7655" t="str">
            <v/>
          </cell>
        </row>
        <row r="7656">
          <cell r="B7656" t="str">
            <v>-</v>
          </cell>
          <cell r="E7656" t="str">
            <v/>
          </cell>
          <cell r="G7656" t="str">
            <v/>
          </cell>
          <cell r="J7656" t="str">
            <v/>
          </cell>
          <cell r="O7656" t="str">
            <v/>
          </cell>
          <cell r="P7656" t="str">
            <v/>
          </cell>
          <cell r="Q7656" t="str">
            <v/>
          </cell>
          <cell r="S7656" t="str">
            <v/>
          </cell>
          <cell r="V7656" t="str">
            <v/>
          </cell>
          <cell r="Z7656" t="str">
            <v/>
          </cell>
          <cell r="AA7656" t="str">
            <v/>
          </cell>
          <cell r="AB7656" t="str">
            <v/>
          </cell>
          <cell r="AC7656" t="str">
            <v/>
          </cell>
          <cell r="AD7656" t="str">
            <v/>
          </cell>
          <cell r="AY7656" t="str">
            <v/>
          </cell>
          <cell r="AZ7656" t="str">
            <v/>
          </cell>
          <cell r="BA7656" t="str">
            <v/>
          </cell>
        </row>
        <row r="7657">
          <cell r="B7657" t="str">
            <v>-</v>
          </cell>
          <cell r="E7657" t="str">
            <v/>
          </cell>
          <cell r="G7657" t="str">
            <v/>
          </cell>
          <cell r="J7657" t="str">
            <v/>
          </cell>
          <cell r="O7657" t="str">
            <v/>
          </cell>
          <cell r="P7657" t="str">
            <v/>
          </cell>
          <cell r="Q7657" t="str">
            <v/>
          </cell>
          <cell r="S7657" t="str">
            <v/>
          </cell>
          <cell r="V7657" t="str">
            <v/>
          </cell>
          <cell r="Z7657" t="str">
            <v/>
          </cell>
          <cell r="AA7657" t="str">
            <v/>
          </cell>
          <cell r="AB7657" t="str">
            <v/>
          </cell>
          <cell r="AC7657" t="str">
            <v/>
          </cell>
          <cell r="AD7657" t="str">
            <v/>
          </cell>
          <cell r="AY7657" t="str">
            <v/>
          </cell>
          <cell r="AZ7657" t="str">
            <v/>
          </cell>
          <cell r="BA7657" t="str">
            <v/>
          </cell>
        </row>
        <row r="7658">
          <cell r="B7658" t="str">
            <v>-</v>
          </cell>
          <cell r="E7658" t="str">
            <v/>
          </cell>
          <cell r="G7658" t="str">
            <v/>
          </cell>
          <cell r="J7658" t="str">
            <v/>
          </cell>
          <cell r="O7658" t="str">
            <v/>
          </cell>
          <cell r="P7658" t="str">
            <v/>
          </cell>
          <cell r="Q7658" t="str">
            <v/>
          </cell>
          <cell r="S7658" t="str">
            <v/>
          </cell>
          <cell r="V7658" t="str">
            <v/>
          </cell>
          <cell r="Z7658" t="str">
            <v/>
          </cell>
          <cell r="AA7658" t="str">
            <v/>
          </cell>
          <cell r="AB7658" t="str">
            <v/>
          </cell>
          <cell r="AC7658" t="str">
            <v/>
          </cell>
          <cell r="AD7658" t="str">
            <v/>
          </cell>
          <cell r="AY7658" t="str">
            <v/>
          </cell>
          <cell r="AZ7658" t="str">
            <v/>
          </cell>
          <cell r="BA7658" t="str">
            <v/>
          </cell>
        </row>
        <row r="7659">
          <cell r="B7659" t="str">
            <v>-</v>
          </cell>
          <cell r="E7659" t="str">
            <v/>
          </cell>
          <cell r="G7659" t="str">
            <v/>
          </cell>
          <cell r="J7659" t="str">
            <v/>
          </cell>
          <cell r="O7659" t="str">
            <v/>
          </cell>
          <cell r="P7659" t="str">
            <v/>
          </cell>
          <cell r="Q7659" t="str">
            <v/>
          </cell>
          <cell r="S7659" t="str">
            <v/>
          </cell>
          <cell r="V7659" t="str">
            <v/>
          </cell>
          <cell r="Z7659" t="str">
            <v/>
          </cell>
          <cell r="AA7659" t="str">
            <v/>
          </cell>
          <cell r="AB7659" t="str">
            <v/>
          </cell>
          <cell r="AC7659" t="str">
            <v/>
          </cell>
          <cell r="AD7659" t="str">
            <v/>
          </cell>
          <cell r="AY7659" t="str">
            <v/>
          </cell>
          <cell r="AZ7659" t="str">
            <v/>
          </cell>
          <cell r="BA7659" t="str">
            <v/>
          </cell>
        </row>
        <row r="7660">
          <cell r="B7660" t="str">
            <v>-</v>
          </cell>
          <cell r="E7660" t="str">
            <v/>
          </cell>
          <cell r="G7660" t="str">
            <v/>
          </cell>
          <cell r="J7660" t="str">
            <v/>
          </cell>
          <cell r="O7660" t="str">
            <v/>
          </cell>
          <cell r="P7660" t="str">
            <v/>
          </cell>
          <cell r="Q7660" t="str">
            <v/>
          </cell>
          <cell r="S7660" t="str">
            <v/>
          </cell>
          <cell r="V7660" t="str">
            <v/>
          </cell>
          <cell r="Z7660" t="str">
            <v/>
          </cell>
          <cell r="AA7660" t="str">
            <v/>
          </cell>
          <cell r="AB7660" t="str">
            <v/>
          </cell>
          <cell r="AC7660" t="str">
            <v/>
          </cell>
          <cell r="AD7660" t="str">
            <v/>
          </cell>
          <cell r="AY7660" t="str">
            <v/>
          </cell>
          <cell r="AZ7660" t="str">
            <v/>
          </cell>
          <cell r="BA7660" t="str">
            <v/>
          </cell>
        </row>
        <row r="7661">
          <cell r="B7661" t="str">
            <v>-</v>
          </cell>
          <cell r="E7661" t="str">
            <v/>
          </cell>
          <cell r="G7661" t="str">
            <v/>
          </cell>
          <cell r="J7661" t="str">
            <v/>
          </cell>
          <cell r="O7661" t="str">
            <v/>
          </cell>
          <cell r="P7661" t="str">
            <v/>
          </cell>
          <cell r="Q7661" t="str">
            <v/>
          </cell>
          <cell r="S7661" t="str">
            <v/>
          </cell>
          <cell r="V7661" t="str">
            <v/>
          </cell>
          <cell r="Z7661" t="str">
            <v/>
          </cell>
          <cell r="AA7661" t="str">
            <v/>
          </cell>
          <cell r="AB7661" t="str">
            <v/>
          </cell>
          <cell r="AC7661" t="str">
            <v/>
          </cell>
          <cell r="AD7661" t="str">
            <v/>
          </cell>
          <cell r="AY7661" t="str">
            <v/>
          </cell>
          <cell r="AZ7661" t="str">
            <v/>
          </cell>
          <cell r="BA7661" t="str">
            <v/>
          </cell>
        </row>
        <row r="7662">
          <cell r="B7662" t="str">
            <v>-</v>
          </cell>
          <cell r="E7662" t="str">
            <v/>
          </cell>
          <cell r="G7662" t="str">
            <v/>
          </cell>
          <cell r="J7662" t="str">
            <v/>
          </cell>
          <cell r="O7662" t="str">
            <v/>
          </cell>
          <cell r="P7662" t="str">
            <v/>
          </cell>
          <cell r="Q7662" t="str">
            <v/>
          </cell>
          <cell r="S7662" t="str">
            <v/>
          </cell>
          <cell r="V7662" t="str">
            <v/>
          </cell>
          <cell r="Z7662" t="str">
            <v/>
          </cell>
          <cell r="AA7662" t="str">
            <v/>
          </cell>
          <cell r="AB7662" t="str">
            <v/>
          </cell>
          <cell r="AC7662" t="str">
            <v/>
          </cell>
          <cell r="AD7662" t="str">
            <v/>
          </cell>
          <cell r="AY7662" t="str">
            <v/>
          </cell>
          <cell r="AZ7662" t="str">
            <v/>
          </cell>
          <cell r="BA7662" t="str">
            <v/>
          </cell>
        </row>
        <row r="7663">
          <cell r="B7663" t="str">
            <v>-</v>
          </cell>
          <cell r="E7663" t="str">
            <v/>
          </cell>
          <cell r="G7663" t="str">
            <v/>
          </cell>
          <cell r="J7663" t="str">
            <v/>
          </cell>
          <cell r="O7663" t="str">
            <v/>
          </cell>
          <cell r="P7663" t="str">
            <v/>
          </cell>
          <cell r="Q7663" t="str">
            <v/>
          </cell>
          <cell r="S7663" t="str">
            <v/>
          </cell>
          <cell r="V7663" t="str">
            <v/>
          </cell>
          <cell r="Z7663" t="str">
            <v/>
          </cell>
          <cell r="AA7663" t="str">
            <v/>
          </cell>
          <cell r="AB7663" t="str">
            <v/>
          </cell>
          <cell r="AC7663" t="str">
            <v/>
          </cell>
          <cell r="AD7663" t="str">
            <v/>
          </cell>
          <cell r="AY7663" t="str">
            <v/>
          </cell>
          <cell r="AZ7663" t="str">
            <v/>
          </cell>
          <cell r="BA7663" t="str">
            <v/>
          </cell>
        </row>
        <row r="7664">
          <cell r="B7664" t="str">
            <v>-</v>
          </cell>
          <cell r="E7664" t="str">
            <v/>
          </cell>
          <cell r="G7664" t="str">
            <v/>
          </cell>
          <cell r="J7664" t="str">
            <v/>
          </cell>
          <cell r="O7664" t="str">
            <v/>
          </cell>
          <cell r="P7664" t="str">
            <v/>
          </cell>
          <cell r="Q7664" t="str">
            <v/>
          </cell>
          <cell r="S7664" t="str">
            <v/>
          </cell>
          <cell r="V7664" t="str">
            <v/>
          </cell>
          <cell r="Z7664" t="str">
            <v/>
          </cell>
          <cell r="AA7664" t="str">
            <v/>
          </cell>
          <cell r="AB7664" t="str">
            <v/>
          </cell>
          <cell r="AC7664" t="str">
            <v/>
          </cell>
          <cell r="AD7664" t="str">
            <v/>
          </cell>
          <cell r="AY7664" t="str">
            <v/>
          </cell>
          <cell r="AZ7664" t="str">
            <v/>
          </cell>
          <cell r="BA7664" t="str">
            <v/>
          </cell>
        </row>
        <row r="7665">
          <cell r="B7665" t="str">
            <v>-</v>
          </cell>
          <cell r="E7665" t="str">
            <v/>
          </cell>
          <cell r="G7665" t="str">
            <v/>
          </cell>
          <cell r="J7665" t="str">
            <v/>
          </cell>
          <cell r="O7665" t="str">
            <v/>
          </cell>
          <cell r="P7665" t="str">
            <v/>
          </cell>
          <cell r="Q7665" t="str">
            <v/>
          </cell>
          <cell r="S7665" t="str">
            <v/>
          </cell>
          <cell r="V7665" t="str">
            <v/>
          </cell>
          <cell r="Z7665" t="str">
            <v/>
          </cell>
          <cell r="AA7665" t="str">
            <v/>
          </cell>
          <cell r="AB7665" t="str">
            <v/>
          </cell>
          <cell r="AC7665" t="str">
            <v/>
          </cell>
          <cell r="AD7665" t="str">
            <v/>
          </cell>
          <cell r="AY7665" t="str">
            <v/>
          </cell>
          <cell r="AZ7665" t="str">
            <v/>
          </cell>
          <cell r="BA7665" t="str">
            <v/>
          </cell>
        </row>
        <row r="7666">
          <cell r="B7666" t="str">
            <v>-</v>
          </cell>
          <cell r="E7666" t="str">
            <v/>
          </cell>
          <cell r="G7666" t="str">
            <v/>
          </cell>
          <cell r="J7666" t="str">
            <v/>
          </cell>
          <cell r="O7666" t="str">
            <v/>
          </cell>
          <cell r="P7666" t="str">
            <v/>
          </cell>
          <cell r="Q7666" t="str">
            <v/>
          </cell>
          <cell r="S7666" t="str">
            <v/>
          </cell>
          <cell r="V7666" t="str">
            <v/>
          </cell>
          <cell r="Z7666" t="str">
            <v/>
          </cell>
          <cell r="AA7666" t="str">
            <v/>
          </cell>
          <cell r="AB7666" t="str">
            <v/>
          </cell>
          <cell r="AC7666" t="str">
            <v/>
          </cell>
          <cell r="AD7666" t="str">
            <v/>
          </cell>
          <cell r="AY7666" t="str">
            <v/>
          </cell>
          <cell r="AZ7666" t="str">
            <v/>
          </cell>
          <cell r="BA7666" t="str">
            <v/>
          </cell>
        </row>
        <row r="7667">
          <cell r="B7667" t="str">
            <v>-</v>
          </cell>
          <cell r="E7667" t="str">
            <v/>
          </cell>
          <cell r="G7667" t="str">
            <v/>
          </cell>
          <cell r="J7667" t="str">
            <v/>
          </cell>
          <cell r="O7667" t="str">
            <v/>
          </cell>
          <cell r="P7667" t="str">
            <v/>
          </cell>
          <cell r="Q7667" t="str">
            <v/>
          </cell>
          <cell r="S7667" t="str">
            <v/>
          </cell>
          <cell r="V7667" t="str">
            <v/>
          </cell>
          <cell r="Z7667" t="str">
            <v/>
          </cell>
          <cell r="AA7667" t="str">
            <v/>
          </cell>
          <cell r="AB7667" t="str">
            <v/>
          </cell>
          <cell r="AC7667" t="str">
            <v/>
          </cell>
          <cell r="AD7667" t="str">
            <v/>
          </cell>
          <cell r="AY7667" t="str">
            <v/>
          </cell>
          <cell r="AZ7667" t="str">
            <v/>
          </cell>
          <cell r="BA7667" t="str">
            <v/>
          </cell>
        </row>
        <row r="7668">
          <cell r="B7668" t="str">
            <v>-</v>
          </cell>
          <cell r="E7668" t="str">
            <v/>
          </cell>
          <cell r="G7668" t="str">
            <v/>
          </cell>
          <cell r="J7668" t="str">
            <v/>
          </cell>
          <cell r="O7668" t="str">
            <v/>
          </cell>
          <cell r="P7668" t="str">
            <v/>
          </cell>
          <cell r="Q7668" t="str">
            <v/>
          </cell>
          <cell r="S7668" t="str">
            <v/>
          </cell>
          <cell r="V7668" t="str">
            <v/>
          </cell>
          <cell r="Z7668" t="str">
            <v/>
          </cell>
          <cell r="AA7668" t="str">
            <v/>
          </cell>
          <cell r="AB7668" t="str">
            <v/>
          </cell>
          <cell r="AC7668" t="str">
            <v/>
          </cell>
          <cell r="AD7668" t="str">
            <v/>
          </cell>
          <cell r="AY7668" t="str">
            <v/>
          </cell>
          <cell r="AZ7668" t="str">
            <v/>
          </cell>
          <cell r="BA7668" t="str">
            <v/>
          </cell>
        </row>
        <row r="7669">
          <cell r="B7669" t="str">
            <v>-</v>
          </cell>
          <cell r="E7669" t="str">
            <v/>
          </cell>
          <cell r="G7669" t="str">
            <v/>
          </cell>
          <cell r="J7669" t="str">
            <v/>
          </cell>
          <cell r="O7669" t="str">
            <v/>
          </cell>
          <cell r="P7669" t="str">
            <v/>
          </cell>
          <cell r="Q7669" t="str">
            <v/>
          </cell>
          <cell r="S7669" t="str">
            <v/>
          </cell>
          <cell r="V7669" t="str">
            <v/>
          </cell>
          <cell r="Z7669" t="str">
            <v/>
          </cell>
          <cell r="AA7669" t="str">
            <v/>
          </cell>
          <cell r="AB7669" t="str">
            <v/>
          </cell>
          <cell r="AC7669" t="str">
            <v/>
          </cell>
          <cell r="AD7669" t="str">
            <v/>
          </cell>
          <cell r="AY7669" t="str">
            <v/>
          </cell>
          <cell r="AZ7669" t="str">
            <v/>
          </cell>
          <cell r="BA7669" t="str">
            <v/>
          </cell>
        </row>
        <row r="7670">
          <cell r="B7670" t="str">
            <v>-</v>
          </cell>
          <cell r="E7670" t="str">
            <v/>
          </cell>
          <cell r="G7670" t="str">
            <v/>
          </cell>
          <cell r="J7670" t="str">
            <v/>
          </cell>
          <cell r="O7670" t="str">
            <v/>
          </cell>
          <cell r="P7670" t="str">
            <v/>
          </cell>
          <cell r="Q7670" t="str">
            <v/>
          </cell>
          <cell r="S7670" t="str">
            <v/>
          </cell>
          <cell r="V7670" t="str">
            <v/>
          </cell>
          <cell r="Z7670" t="str">
            <v/>
          </cell>
          <cell r="AA7670" t="str">
            <v/>
          </cell>
          <cell r="AB7670" t="str">
            <v/>
          </cell>
          <cell r="AC7670" t="str">
            <v/>
          </cell>
          <cell r="AD7670" t="str">
            <v/>
          </cell>
          <cell r="AY7670" t="str">
            <v/>
          </cell>
          <cell r="AZ7670" t="str">
            <v/>
          </cell>
          <cell r="BA7670" t="str">
            <v/>
          </cell>
        </row>
        <row r="7671">
          <cell r="B7671" t="str">
            <v>-</v>
          </cell>
          <cell r="E7671" t="str">
            <v/>
          </cell>
          <cell r="G7671" t="str">
            <v/>
          </cell>
          <cell r="J7671" t="str">
            <v/>
          </cell>
          <cell r="O7671" t="str">
            <v/>
          </cell>
          <cell r="P7671" t="str">
            <v/>
          </cell>
          <cell r="Q7671" t="str">
            <v/>
          </cell>
          <cell r="S7671" t="str">
            <v/>
          </cell>
          <cell r="V7671" t="str">
            <v/>
          </cell>
          <cell r="Z7671" t="str">
            <v/>
          </cell>
          <cell r="AA7671" t="str">
            <v/>
          </cell>
          <cell r="AB7671" t="str">
            <v/>
          </cell>
          <cell r="AC7671" t="str">
            <v/>
          </cell>
          <cell r="AD7671" t="str">
            <v/>
          </cell>
          <cell r="AY7671" t="str">
            <v/>
          </cell>
          <cell r="AZ7671" t="str">
            <v/>
          </cell>
          <cell r="BA7671" t="str">
            <v/>
          </cell>
        </row>
        <row r="7672">
          <cell r="B7672" t="str">
            <v>-</v>
          </cell>
          <cell r="E7672" t="str">
            <v/>
          </cell>
          <cell r="G7672" t="str">
            <v/>
          </cell>
          <cell r="J7672" t="str">
            <v/>
          </cell>
          <cell r="O7672" t="str">
            <v/>
          </cell>
          <cell r="P7672" t="str">
            <v/>
          </cell>
          <cell r="Q7672" t="str">
            <v/>
          </cell>
          <cell r="S7672" t="str">
            <v/>
          </cell>
          <cell r="V7672" t="str">
            <v/>
          </cell>
          <cell r="Z7672" t="str">
            <v/>
          </cell>
          <cell r="AA7672" t="str">
            <v/>
          </cell>
          <cell r="AB7672" t="str">
            <v/>
          </cell>
          <cell r="AC7672" t="str">
            <v/>
          </cell>
          <cell r="AD7672" t="str">
            <v/>
          </cell>
          <cell r="AY7672" t="str">
            <v/>
          </cell>
          <cell r="AZ7672" t="str">
            <v/>
          </cell>
          <cell r="BA7672" t="str">
            <v/>
          </cell>
        </row>
        <row r="7673">
          <cell r="B7673" t="str">
            <v>-</v>
          </cell>
          <cell r="E7673" t="str">
            <v/>
          </cell>
          <cell r="G7673" t="str">
            <v/>
          </cell>
          <cell r="J7673" t="str">
            <v/>
          </cell>
          <cell r="O7673" t="str">
            <v/>
          </cell>
          <cell r="P7673" t="str">
            <v/>
          </cell>
          <cell r="Q7673" t="str">
            <v/>
          </cell>
          <cell r="S7673" t="str">
            <v/>
          </cell>
          <cell r="V7673" t="str">
            <v/>
          </cell>
          <cell r="Z7673" t="str">
            <v/>
          </cell>
          <cell r="AA7673" t="str">
            <v/>
          </cell>
          <cell r="AB7673" t="str">
            <v/>
          </cell>
          <cell r="AC7673" t="str">
            <v/>
          </cell>
          <cell r="AD7673" t="str">
            <v/>
          </cell>
          <cell r="AY7673" t="str">
            <v/>
          </cell>
          <cell r="AZ7673" t="str">
            <v/>
          </cell>
          <cell r="BA7673" t="str">
            <v/>
          </cell>
        </row>
        <row r="7674">
          <cell r="B7674" t="str">
            <v>-</v>
          </cell>
          <cell r="E7674" t="str">
            <v/>
          </cell>
          <cell r="G7674" t="str">
            <v/>
          </cell>
          <cell r="J7674" t="str">
            <v/>
          </cell>
          <cell r="O7674" t="str">
            <v/>
          </cell>
          <cell r="P7674" t="str">
            <v/>
          </cell>
          <cell r="Q7674" t="str">
            <v/>
          </cell>
          <cell r="S7674" t="str">
            <v/>
          </cell>
          <cell r="V7674" t="str">
            <v/>
          </cell>
          <cell r="Z7674" t="str">
            <v/>
          </cell>
          <cell r="AA7674" t="str">
            <v/>
          </cell>
          <cell r="AB7674" t="str">
            <v/>
          </cell>
          <cell r="AC7674" t="str">
            <v/>
          </cell>
          <cell r="AD7674" t="str">
            <v/>
          </cell>
          <cell r="AY7674" t="str">
            <v/>
          </cell>
          <cell r="AZ7674" t="str">
            <v/>
          </cell>
          <cell r="BA7674" t="str">
            <v/>
          </cell>
        </row>
        <row r="7675">
          <cell r="B7675" t="str">
            <v>-</v>
          </cell>
          <cell r="E7675" t="str">
            <v/>
          </cell>
          <cell r="G7675" t="str">
            <v/>
          </cell>
          <cell r="J7675" t="str">
            <v/>
          </cell>
          <cell r="O7675" t="str">
            <v/>
          </cell>
          <cell r="P7675" t="str">
            <v/>
          </cell>
          <cell r="Q7675" t="str">
            <v/>
          </cell>
          <cell r="S7675" t="str">
            <v/>
          </cell>
          <cell r="V7675" t="str">
            <v/>
          </cell>
          <cell r="Z7675" t="str">
            <v/>
          </cell>
          <cell r="AA7675" t="str">
            <v/>
          </cell>
          <cell r="AB7675" t="str">
            <v/>
          </cell>
          <cell r="AC7675" t="str">
            <v/>
          </cell>
          <cell r="AD7675" t="str">
            <v/>
          </cell>
          <cell r="AY7675" t="str">
            <v/>
          </cell>
          <cell r="AZ7675" t="str">
            <v/>
          </cell>
          <cell r="BA7675" t="str">
            <v/>
          </cell>
        </row>
        <row r="7676">
          <cell r="B7676" t="str">
            <v>-</v>
          </cell>
          <cell r="E7676" t="str">
            <v/>
          </cell>
          <cell r="G7676" t="str">
            <v/>
          </cell>
          <cell r="J7676" t="str">
            <v/>
          </cell>
          <cell r="O7676" t="str">
            <v/>
          </cell>
          <cell r="P7676" t="str">
            <v/>
          </cell>
          <cell r="Q7676" t="str">
            <v/>
          </cell>
          <cell r="S7676" t="str">
            <v/>
          </cell>
          <cell r="V7676" t="str">
            <v/>
          </cell>
          <cell r="Z7676" t="str">
            <v/>
          </cell>
          <cell r="AA7676" t="str">
            <v/>
          </cell>
          <cell r="AB7676" t="str">
            <v/>
          </cell>
          <cell r="AC7676" t="str">
            <v/>
          </cell>
          <cell r="AD7676" t="str">
            <v/>
          </cell>
          <cell r="AY7676" t="str">
            <v/>
          </cell>
          <cell r="AZ7676" t="str">
            <v/>
          </cell>
          <cell r="BA7676" t="str">
            <v/>
          </cell>
        </row>
        <row r="7677">
          <cell r="B7677" t="str">
            <v>-</v>
          </cell>
          <cell r="E7677" t="str">
            <v/>
          </cell>
          <cell r="G7677" t="str">
            <v/>
          </cell>
          <cell r="J7677" t="str">
            <v/>
          </cell>
          <cell r="O7677" t="str">
            <v/>
          </cell>
          <cell r="P7677" t="str">
            <v/>
          </cell>
          <cell r="Q7677" t="str">
            <v/>
          </cell>
          <cell r="S7677" t="str">
            <v/>
          </cell>
          <cell r="V7677" t="str">
            <v/>
          </cell>
          <cell r="Z7677" t="str">
            <v/>
          </cell>
          <cell r="AA7677" t="str">
            <v/>
          </cell>
          <cell r="AB7677" t="str">
            <v/>
          </cell>
          <cell r="AC7677" t="str">
            <v/>
          </cell>
          <cell r="AD7677" t="str">
            <v/>
          </cell>
          <cell r="AY7677" t="str">
            <v/>
          </cell>
          <cell r="AZ7677" t="str">
            <v/>
          </cell>
          <cell r="BA7677" t="str">
            <v/>
          </cell>
        </row>
        <row r="7678">
          <cell r="B7678" t="str">
            <v>-</v>
          </cell>
          <cell r="E7678" t="str">
            <v/>
          </cell>
          <cell r="G7678" t="str">
            <v/>
          </cell>
          <cell r="J7678" t="str">
            <v/>
          </cell>
          <cell r="O7678" t="str">
            <v/>
          </cell>
          <cell r="P7678" t="str">
            <v/>
          </cell>
          <cell r="Q7678" t="str">
            <v/>
          </cell>
          <cell r="S7678" t="str">
            <v/>
          </cell>
          <cell r="V7678" t="str">
            <v/>
          </cell>
          <cell r="Z7678" t="str">
            <v/>
          </cell>
          <cell r="AA7678" t="str">
            <v/>
          </cell>
          <cell r="AB7678" t="str">
            <v/>
          </cell>
          <cell r="AC7678" t="str">
            <v/>
          </cell>
          <cell r="AD7678" t="str">
            <v/>
          </cell>
          <cell r="AY7678" t="str">
            <v/>
          </cell>
          <cell r="AZ7678" t="str">
            <v/>
          </cell>
          <cell r="BA7678" t="str">
            <v/>
          </cell>
        </row>
        <row r="7679">
          <cell r="B7679" t="str">
            <v>-</v>
          </cell>
          <cell r="E7679" t="str">
            <v/>
          </cell>
          <cell r="G7679" t="str">
            <v/>
          </cell>
          <cell r="J7679" t="str">
            <v/>
          </cell>
          <cell r="O7679" t="str">
            <v/>
          </cell>
          <cell r="P7679" t="str">
            <v/>
          </cell>
          <cell r="Q7679" t="str">
            <v/>
          </cell>
          <cell r="S7679" t="str">
            <v/>
          </cell>
          <cell r="V7679" t="str">
            <v/>
          </cell>
          <cell r="Z7679" t="str">
            <v/>
          </cell>
          <cell r="AA7679" t="str">
            <v/>
          </cell>
          <cell r="AB7679" t="str">
            <v/>
          </cell>
          <cell r="AC7679" t="str">
            <v/>
          </cell>
          <cell r="AD7679" t="str">
            <v/>
          </cell>
          <cell r="AY7679" t="str">
            <v/>
          </cell>
          <cell r="AZ7679" t="str">
            <v/>
          </cell>
          <cell r="BA7679" t="str">
            <v/>
          </cell>
        </row>
        <row r="7680">
          <cell r="B7680" t="str">
            <v>-</v>
          </cell>
          <cell r="E7680" t="str">
            <v/>
          </cell>
          <cell r="G7680" t="str">
            <v/>
          </cell>
          <cell r="J7680" t="str">
            <v/>
          </cell>
          <cell r="O7680" t="str">
            <v/>
          </cell>
          <cell r="P7680" t="str">
            <v/>
          </cell>
          <cell r="Q7680" t="str">
            <v/>
          </cell>
          <cell r="S7680" t="str">
            <v/>
          </cell>
          <cell r="V7680" t="str">
            <v/>
          </cell>
          <cell r="Z7680" t="str">
            <v/>
          </cell>
          <cell r="AA7680" t="str">
            <v/>
          </cell>
          <cell r="AB7680" t="str">
            <v/>
          </cell>
          <cell r="AC7680" t="str">
            <v/>
          </cell>
          <cell r="AD7680" t="str">
            <v/>
          </cell>
          <cell r="AY7680" t="str">
            <v/>
          </cell>
          <cell r="AZ7680" t="str">
            <v/>
          </cell>
          <cell r="BA7680" t="str">
            <v/>
          </cell>
        </row>
        <row r="7681">
          <cell r="B7681" t="str">
            <v>-</v>
          </cell>
          <cell r="E7681" t="str">
            <v/>
          </cell>
          <cell r="G7681" t="str">
            <v/>
          </cell>
          <cell r="J7681" t="str">
            <v/>
          </cell>
          <cell r="O7681" t="str">
            <v/>
          </cell>
          <cell r="P7681" t="str">
            <v/>
          </cell>
          <cell r="Q7681" t="str">
            <v/>
          </cell>
          <cell r="S7681" t="str">
            <v/>
          </cell>
          <cell r="V7681" t="str">
            <v/>
          </cell>
          <cell r="Z7681" t="str">
            <v/>
          </cell>
          <cell r="AA7681" t="str">
            <v/>
          </cell>
          <cell r="AB7681" t="str">
            <v/>
          </cell>
          <cell r="AC7681" t="str">
            <v/>
          </cell>
          <cell r="AD7681" t="str">
            <v/>
          </cell>
          <cell r="AY7681" t="str">
            <v/>
          </cell>
          <cell r="AZ7681" t="str">
            <v/>
          </cell>
          <cell r="BA7681" t="str">
            <v/>
          </cell>
        </row>
        <row r="7682">
          <cell r="B7682" t="str">
            <v>-</v>
          </cell>
          <cell r="E7682" t="str">
            <v/>
          </cell>
          <cell r="G7682" t="str">
            <v/>
          </cell>
          <cell r="J7682" t="str">
            <v/>
          </cell>
          <cell r="O7682" t="str">
            <v/>
          </cell>
          <cell r="P7682" t="str">
            <v/>
          </cell>
          <cell r="Q7682" t="str">
            <v/>
          </cell>
          <cell r="S7682" t="str">
            <v/>
          </cell>
          <cell r="V7682" t="str">
            <v/>
          </cell>
          <cell r="Z7682" t="str">
            <v/>
          </cell>
          <cell r="AA7682" t="str">
            <v/>
          </cell>
          <cell r="AB7682" t="str">
            <v/>
          </cell>
          <cell r="AC7682" t="str">
            <v/>
          </cell>
          <cell r="AD7682" t="str">
            <v/>
          </cell>
          <cell r="AY7682" t="str">
            <v/>
          </cell>
          <cell r="AZ7682" t="str">
            <v/>
          </cell>
          <cell r="BA7682" t="str">
            <v/>
          </cell>
        </row>
        <row r="7683">
          <cell r="B7683" t="str">
            <v>-</v>
          </cell>
          <cell r="E7683" t="str">
            <v/>
          </cell>
          <cell r="G7683" t="str">
            <v/>
          </cell>
          <cell r="J7683" t="str">
            <v/>
          </cell>
          <cell r="O7683" t="str">
            <v/>
          </cell>
          <cell r="P7683" t="str">
            <v/>
          </cell>
          <cell r="Q7683" t="str">
            <v/>
          </cell>
          <cell r="S7683" t="str">
            <v/>
          </cell>
          <cell r="V7683" t="str">
            <v/>
          </cell>
          <cell r="Z7683" t="str">
            <v/>
          </cell>
          <cell r="AA7683" t="str">
            <v/>
          </cell>
          <cell r="AB7683" t="str">
            <v/>
          </cell>
          <cell r="AC7683" t="str">
            <v/>
          </cell>
          <cell r="AD7683" t="str">
            <v/>
          </cell>
          <cell r="AY7683" t="str">
            <v/>
          </cell>
          <cell r="AZ7683" t="str">
            <v/>
          </cell>
          <cell r="BA7683" t="str">
            <v/>
          </cell>
        </row>
        <row r="7684">
          <cell r="B7684" t="str">
            <v>-</v>
          </cell>
          <cell r="E7684" t="str">
            <v/>
          </cell>
          <cell r="G7684" t="str">
            <v/>
          </cell>
          <cell r="J7684" t="str">
            <v/>
          </cell>
          <cell r="O7684" t="str">
            <v/>
          </cell>
          <cell r="P7684" t="str">
            <v/>
          </cell>
          <cell r="Q7684" t="str">
            <v/>
          </cell>
          <cell r="S7684" t="str">
            <v/>
          </cell>
          <cell r="V7684" t="str">
            <v/>
          </cell>
          <cell r="Z7684" t="str">
            <v/>
          </cell>
          <cell r="AA7684" t="str">
            <v/>
          </cell>
          <cell r="AB7684" t="str">
            <v/>
          </cell>
          <cell r="AC7684" t="str">
            <v/>
          </cell>
          <cell r="AD7684" t="str">
            <v/>
          </cell>
          <cell r="AY7684" t="str">
            <v/>
          </cell>
          <cell r="AZ7684" t="str">
            <v/>
          </cell>
          <cell r="BA7684" t="str">
            <v/>
          </cell>
        </row>
        <row r="7685">
          <cell r="B7685" t="str">
            <v>-</v>
          </cell>
          <cell r="E7685" t="str">
            <v/>
          </cell>
          <cell r="G7685" t="str">
            <v/>
          </cell>
          <cell r="J7685" t="str">
            <v/>
          </cell>
          <cell r="O7685" t="str">
            <v/>
          </cell>
          <cell r="P7685" t="str">
            <v/>
          </cell>
          <cell r="Q7685" t="str">
            <v/>
          </cell>
          <cell r="S7685" t="str">
            <v/>
          </cell>
          <cell r="V7685" t="str">
            <v/>
          </cell>
          <cell r="Z7685" t="str">
            <v/>
          </cell>
          <cell r="AA7685" t="str">
            <v/>
          </cell>
          <cell r="AB7685" t="str">
            <v/>
          </cell>
          <cell r="AC7685" t="str">
            <v/>
          </cell>
          <cell r="AD7685" t="str">
            <v/>
          </cell>
          <cell r="AY7685" t="str">
            <v/>
          </cell>
          <cell r="AZ7685" t="str">
            <v/>
          </cell>
          <cell r="BA7685" t="str">
            <v/>
          </cell>
        </row>
        <row r="7686">
          <cell r="B7686" t="str">
            <v>-</v>
          </cell>
          <cell r="E7686" t="str">
            <v/>
          </cell>
          <cell r="G7686" t="str">
            <v/>
          </cell>
          <cell r="J7686" t="str">
            <v/>
          </cell>
          <cell r="O7686" t="str">
            <v/>
          </cell>
          <cell r="P7686" t="str">
            <v/>
          </cell>
          <cell r="Q7686" t="str">
            <v/>
          </cell>
          <cell r="S7686" t="str">
            <v/>
          </cell>
          <cell r="V7686" t="str">
            <v/>
          </cell>
          <cell r="Z7686" t="str">
            <v/>
          </cell>
          <cell r="AA7686" t="str">
            <v/>
          </cell>
          <cell r="AB7686" t="str">
            <v/>
          </cell>
          <cell r="AC7686" t="str">
            <v/>
          </cell>
          <cell r="AD7686" t="str">
            <v/>
          </cell>
          <cell r="AY7686" t="str">
            <v/>
          </cell>
          <cell r="AZ7686" t="str">
            <v/>
          </cell>
          <cell r="BA7686" t="str">
            <v/>
          </cell>
        </row>
        <row r="7687">
          <cell r="B7687" t="str">
            <v>-</v>
          </cell>
          <cell r="E7687" t="str">
            <v/>
          </cell>
          <cell r="G7687" t="str">
            <v/>
          </cell>
          <cell r="J7687" t="str">
            <v/>
          </cell>
          <cell r="O7687" t="str">
            <v/>
          </cell>
          <cell r="P7687" t="str">
            <v/>
          </cell>
          <cell r="Q7687" t="str">
            <v/>
          </cell>
          <cell r="S7687" t="str">
            <v/>
          </cell>
          <cell r="V7687" t="str">
            <v/>
          </cell>
          <cell r="Z7687" t="str">
            <v/>
          </cell>
          <cell r="AA7687" t="str">
            <v/>
          </cell>
          <cell r="AB7687" t="str">
            <v/>
          </cell>
          <cell r="AC7687" t="str">
            <v/>
          </cell>
          <cell r="AD7687" t="str">
            <v/>
          </cell>
          <cell r="AY7687" t="str">
            <v/>
          </cell>
          <cell r="AZ7687" t="str">
            <v/>
          </cell>
          <cell r="BA7687" t="str">
            <v/>
          </cell>
        </row>
        <row r="7688">
          <cell r="B7688" t="str">
            <v>-</v>
          </cell>
          <cell r="E7688" t="str">
            <v/>
          </cell>
          <cell r="G7688" t="str">
            <v/>
          </cell>
          <cell r="J7688" t="str">
            <v/>
          </cell>
          <cell r="O7688" t="str">
            <v/>
          </cell>
          <cell r="P7688" t="str">
            <v/>
          </cell>
          <cell r="Q7688" t="str">
            <v/>
          </cell>
          <cell r="S7688" t="str">
            <v/>
          </cell>
          <cell r="V7688" t="str">
            <v/>
          </cell>
          <cell r="Z7688" t="str">
            <v/>
          </cell>
          <cell r="AA7688" t="str">
            <v/>
          </cell>
          <cell r="AB7688" t="str">
            <v/>
          </cell>
          <cell r="AC7688" t="str">
            <v/>
          </cell>
          <cell r="AD7688" t="str">
            <v/>
          </cell>
          <cell r="AY7688" t="str">
            <v/>
          </cell>
          <cell r="AZ7688" t="str">
            <v/>
          </cell>
          <cell r="BA7688" t="str">
            <v/>
          </cell>
        </row>
        <row r="7689">
          <cell r="B7689" t="str">
            <v>-</v>
          </cell>
          <cell r="E7689" t="str">
            <v/>
          </cell>
          <cell r="G7689" t="str">
            <v/>
          </cell>
          <cell r="J7689" t="str">
            <v/>
          </cell>
          <cell r="O7689" t="str">
            <v/>
          </cell>
          <cell r="P7689" t="str">
            <v/>
          </cell>
          <cell r="Q7689" t="str">
            <v/>
          </cell>
          <cell r="S7689" t="str">
            <v/>
          </cell>
          <cell r="V7689" t="str">
            <v/>
          </cell>
          <cell r="Z7689" t="str">
            <v/>
          </cell>
          <cell r="AA7689" t="str">
            <v/>
          </cell>
          <cell r="AB7689" t="str">
            <v/>
          </cell>
          <cell r="AC7689" t="str">
            <v/>
          </cell>
          <cell r="AD7689" t="str">
            <v/>
          </cell>
          <cell r="AY7689" t="str">
            <v/>
          </cell>
          <cell r="AZ7689" t="str">
            <v/>
          </cell>
          <cell r="BA7689" t="str">
            <v/>
          </cell>
        </row>
        <row r="7690">
          <cell r="B7690" t="str">
            <v>-</v>
          </cell>
          <cell r="E7690" t="str">
            <v/>
          </cell>
          <cell r="G7690" t="str">
            <v/>
          </cell>
          <cell r="J7690" t="str">
            <v/>
          </cell>
          <cell r="O7690" t="str">
            <v/>
          </cell>
          <cell r="P7690" t="str">
            <v/>
          </cell>
          <cell r="Q7690" t="str">
            <v/>
          </cell>
          <cell r="S7690" t="str">
            <v/>
          </cell>
          <cell r="V7690" t="str">
            <v/>
          </cell>
          <cell r="Z7690" t="str">
            <v/>
          </cell>
          <cell r="AA7690" t="str">
            <v/>
          </cell>
          <cell r="AB7690" t="str">
            <v/>
          </cell>
          <cell r="AC7690" t="str">
            <v/>
          </cell>
          <cell r="AD7690" t="str">
            <v/>
          </cell>
          <cell r="AY7690" t="str">
            <v/>
          </cell>
          <cell r="AZ7690" t="str">
            <v/>
          </cell>
          <cell r="BA7690" t="str">
            <v/>
          </cell>
        </row>
        <row r="7691">
          <cell r="B7691" t="str">
            <v>-</v>
          </cell>
          <cell r="E7691" t="str">
            <v/>
          </cell>
          <cell r="G7691" t="str">
            <v/>
          </cell>
          <cell r="J7691" t="str">
            <v/>
          </cell>
          <cell r="O7691" t="str">
            <v/>
          </cell>
          <cell r="P7691" t="str">
            <v/>
          </cell>
          <cell r="Q7691" t="str">
            <v/>
          </cell>
          <cell r="S7691" t="str">
            <v/>
          </cell>
          <cell r="V7691" t="str">
            <v/>
          </cell>
          <cell r="Z7691" t="str">
            <v/>
          </cell>
          <cell r="AA7691" t="str">
            <v/>
          </cell>
          <cell r="AB7691" t="str">
            <v/>
          </cell>
          <cell r="AC7691" t="str">
            <v/>
          </cell>
          <cell r="AD7691" t="str">
            <v/>
          </cell>
          <cell r="AY7691" t="str">
            <v/>
          </cell>
          <cell r="AZ7691" t="str">
            <v/>
          </cell>
          <cell r="BA7691" t="str">
            <v/>
          </cell>
        </row>
        <row r="7692">
          <cell r="B7692" t="str">
            <v>-</v>
          </cell>
          <cell r="E7692" t="str">
            <v/>
          </cell>
          <cell r="G7692" t="str">
            <v/>
          </cell>
          <cell r="J7692" t="str">
            <v/>
          </cell>
          <cell r="O7692" t="str">
            <v/>
          </cell>
          <cell r="P7692" t="str">
            <v/>
          </cell>
          <cell r="Q7692" t="str">
            <v/>
          </cell>
          <cell r="S7692" t="str">
            <v/>
          </cell>
          <cell r="V7692" t="str">
            <v/>
          </cell>
          <cell r="Z7692" t="str">
            <v/>
          </cell>
          <cell r="AA7692" t="str">
            <v/>
          </cell>
          <cell r="AB7692" t="str">
            <v/>
          </cell>
          <cell r="AC7692" t="str">
            <v/>
          </cell>
          <cell r="AD7692" t="str">
            <v/>
          </cell>
          <cell r="AY7692" t="str">
            <v/>
          </cell>
          <cell r="AZ7692" t="str">
            <v/>
          </cell>
          <cell r="BA7692" t="str">
            <v/>
          </cell>
        </row>
        <row r="7693">
          <cell r="B7693" t="str">
            <v>-</v>
          </cell>
          <cell r="E7693" t="str">
            <v/>
          </cell>
          <cell r="G7693" t="str">
            <v/>
          </cell>
          <cell r="J7693" t="str">
            <v/>
          </cell>
          <cell r="O7693" t="str">
            <v/>
          </cell>
          <cell r="P7693" t="str">
            <v/>
          </cell>
          <cell r="Q7693" t="str">
            <v/>
          </cell>
          <cell r="S7693" t="str">
            <v/>
          </cell>
          <cell r="V7693" t="str">
            <v/>
          </cell>
          <cell r="Z7693" t="str">
            <v/>
          </cell>
          <cell r="AA7693" t="str">
            <v/>
          </cell>
          <cell r="AB7693" t="str">
            <v/>
          </cell>
          <cell r="AC7693" t="str">
            <v/>
          </cell>
          <cell r="AD7693" t="str">
            <v/>
          </cell>
          <cell r="AY7693" t="str">
            <v/>
          </cell>
          <cell r="AZ7693" t="str">
            <v/>
          </cell>
          <cell r="BA7693" t="str">
            <v/>
          </cell>
        </row>
        <row r="7694">
          <cell r="B7694" t="str">
            <v>-</v>
          </cell>
          <cell r="E7694" t="str">
            <v/>
          </cell>
          <cell r="G7694" t="str">
            <v/>
          </cell>
          <cell r="J7694" t="str">
            <v/>
          </cell>
          <cell r="O7694" t="str">
            <v/>
          </cell>
          <cell r="P7694" t="str">
            <v/>
          </cell>
          <cell r="Q7694" t="str">
            <v/>
          </cell>
          <cell r="S7694" t="str">
            <v/>
          </cell>
          <cell r="V7694" t="str">
            <v/>
          </cell>
          <cell r="Z7694" t="str">
            <v/>
          </cell>
          <cell r="AA7694" t="str">
            <v/>
          </cell>
          <cell r="AB7694" t="str">
            <v/>
          </cell>
          <cell r="AC7694" t="str">
            <v/>
          </cell>
          <cell r="AD7694" t="str">
            <v/>
          </cell>
          <cell r="AY7694" t="str">
            <v/>
          </cell>
          <cell r="AZ7694" t="str">
            <v/>
          </cell>
          <cell r="BA7694" t="str">
            <v/>
          </cell>
        </row>
        <row r="7695">
          <cell r="B7695" t="str">
            <v>-</v>
          </cell>
          <cell r="E7695" t="str">
            <v/>
          </cell>
          <cell r="G7695" t="str">
            <v/>
          </cell>
          <cell r="J7695" t="str">
            <v/>
          </cell>
          <cell r="O7695" t="str">
            <v/>
          </cell>
          <cell r="P7695" t="str">
            <v/>
          </cell>
          <cell r="Q7695" t="str">
            <v/>
          </cell>
          <cell r="S7695" t="str">
            <v/>
          </cell>
          <cell r="V7695" t="str">
            <v/>
          </cell>
          <cell r="Z7695" t="str">
            <v/>
          </cell>
          <cell r="AA7695" t="str">
            <v/>
          </cell>
          <cell r="AB7695" t="str">
            <v/>
          </cell>
          <cell r="AC7695" t="str">
            <v/>
          </cell>
          <cell r="AD7695" t="str">
            <v/>
          </cell>
          <cell r="AY7695" t="str">
            <v/>
          </cell>
          <cell r="AZ7695" t="str">
            <v/>
          </cell>
          <cell r="BA7695" t="str">
            <v/>
          </cell>
        </row>
        <row r="7696">
          <cell r="B7696" t="str">
            <v>-</v>
          </cell>
          <cell r="E7696" t="str">
            <v/>
          </cell>
          <cell r="G7696" t="str">
            <v/>
          </cell>
          <cell r="J7696" t="str">
            <v/>
          </cell>
          <cell r="O7696" t="str">
            <v/>
          </cell>
          <cell r="P7696" t="str">
            <v/>
          </cell>
          <cell r="Q7696" t="str">
            <v/>
          </cell>
          <cell r="S7696" t="str">
            <v/>
          </cell>
          <cell r="V7696" t="str">
            <v/>
          </cell>
          <cell r="Z7696" t="str">
            <v/>
          </cell>
          <cell r="AA7696" t="str">
            <v/>
          </cell>
          <cell r="AB7696" t="str">
            <v/>
          </cell>
          <cell r="AC7696" t="str">
            <v/>
          </cell>
          <cell r="AD7696" t="str">
            <v/>
          </cell>
          <cell r="AY7696" t="str">
            <v/>
          </cell>
          <cell r="AZ7696" t="str">
            <v/>
          </cell>
          <cell r="BA7696" t="str">
            <v/>
          </cell>
        </row>
        <row r="7697">
          <cell r="B7697" t="str">
            <v>-</v>
          </cell>
          <cell r="E7697" t="str">
            <v/>
          </cell>
          <cell r="G7697" t="str">
            <v/>
          </cell>
          <cell r="J7697" t="str">
            <v/>
          </cell>
          <cell r="O7697" t="str">
            <v/>
          </cell>
          <cell r="P7697" t="str">
            <v/>
          </cell>
          <cell r="Q7697" t="str">
            <v/>
          </cell>
          <cell r="S7697" t="str">
            <v/>
          </cell>
          <cell r="V7697" t="str">
            <v/>
          </cell>
          <cell r="Z7697" t="str">
            <v/>
          </cell>
          <cell r="AA7697" t="str">
            <v/>
          </cell>
          <cell r="AB7697" t="str">
            <v/>
          </cell>
          <cell r="AC7697" t="str">
            <v/>
          </cell>
          <cell r="AD7697" t="str">
            <v/>
          </cell>
          <cell r="AY7697" t="str">
            <v/>
          </cell>
          <cell r="AZ7697" t="str">
            <v/>
          </cell>
          <cell r="BA7697" t="str">
            <v/>
          </cell>
        </row>
        <row r="7698">
          <cell r="B7698" t="str">
            <v>-</v>
          </cell>
          <cell r="E7698" t="str">
            <v/>
          </cell>
          <cell r="G7698" t="str">
            <v/>
          </cell>
          <cell r="J7698" t="str">
            <v/>
          </cell>
          <cell r="O7698" t="str">
            <v/>
          </cell>
          <cell r="P7698" t="str">
            <v/>
          </cell>
          <cell r="Q7698" t="str">
            <v/>
          </cell>
          <cell r="S7698" t="str">
            <v/>
          </cell>
          <cell r="V7698" t="str">
            <v/>
          </cell>
          <cell r="Z7698" t="str">
            <v/>
          </cell>
          <cell r="AA7698" t="str">
            <v/>
          </cell>
          <cell r="AB7698" t="str">
            <v/>
          </cell>
          <cell r="AC7698" t="str">
            <v/>
          </cell>
          <cell r="AD7698" t="str">
            <v/>
          </cell>
          <cell r="AY7698" t="str">
            <v/>
          </cell>
          <cell r="AZ7698" t="str">
            <v/>
          </cell>
          <cell r="BA7698" t="str">
            <v/>
          </cell>
        </row>
        <row r="7699">
          <cell r="B7699" t="str">
            <v>-</v>
          </cell>
          <cell r="E7699" t="str">
            <v/>
          </cell>
          <cell r="G7699" t="str">
            <v/>
          </cell>
          <cell r="J7699" t="str">
            <v/>
          </cell>
          <cell r="O7699" t="str">
            <v/>
          </cell>
          <cell r="P7699" t="str">
            <v/>
          </cell>
          <cell r="Q7699" t="str">
            <v/>
          </cell>
          <cell r="S7699" t="str">
            <v/>
          </cell>
          <cell r="V7699" t="str">
            <v/>
          </cell>
          <cell r="Z7699" t="str">
            <v/>
          </cell>
          <cell r="AA7699" t="str">
            <v/>
          </cell>
          <cell r="AB7699" t="str">
            <v/>
          </cell>
          <cell r="AC7699" t="str">
            <v/>
          </cell>
          <cell r="AD7699" t="str">
            <v/>
          </cell>
          <cell r="AY7699" t="str">
            <v/>
          </cell>
          <cell r="AZ7699" t="str">
            <v/>
          </cell>
          <cell r="BA7699" t="str">
            <v/>
          </cell>
        </row>
        <row r="7700">
          <cell r="B7700" t="str">
            <v>-</v>
          </cell>
          <cell r="E7700" t="str">
            <v/>
          </cell>
          <cell r="G7700" t="str">
            <v/>
          </cell>
          <cell r="J7700" t="str">
            <v/>
          </cell>
          <cell r="O7700" t="str">
            <v/>
          </cell>
          <cell r="P7700" t="str">
            <v/>
          </cell>
          <cell r="Q7700" t="str">
            <v/>
          </cell>
          <cell r="S7700" t="str">
            <v/>
          </cell>
          <cell r="V7700" t="str">
            <v/>
          </cell>
          <cell r="Z7700" t="str">
            <v/>
          </cell>
          <cell r="AA7700" t="str">
            <v/>
          </cell>
          <cell r="AB7700" t="str">
            <v/>
          </cell>
          <cell r="AC7700" t="str">
            <v/>
          </cell>
          <cell r="AD7700" t="str">
            <v/>
          </cell>
          <cell r="AY7700" t="str">
            <v/>
          </cell>
          <cell r="AZ7700" t="str">
            <v/>
          </cell>
          <cell r="BA7700" t="str">
            <v/>
          </cell>
        </row>
        <row r="7701">
          <cell r="B7701" t="str">
            <v>-</v>
          </cell>
          <cell r="E7701" t="str">
            <v/>
          </cell>
          <cell r="G7701" t="str">
            <v/>
          </cell>
          <cell r="J7701" t="str">
            <v/>
          </cell>
          <cell r="O7701" t="str">
            <v/>
          </cell>
          <cell r="P7701" t="str">
            <v/>
          </cell>
          <cell r="Q7701" t="str">
            <v/>
          </cell>
          <cell r="S7701" t="str">
            <v/>
          </cell>
          <cell r="V7701" t="str">
            <v/>
          </cell>
          <cell r="Z7701" t="str">
            <v/>
          </cell>
          <cell r="AA7701" t="str">
            <v/>
          </cell>
          <cell r="AB7701" t="str">
            <v/>
          </cell>
          <cell r="AC7701" t="str">
            <v/>
          </cell>
          <cell r="AD7701" t="str">
            <v/>
          </cell>
          <cell r="AY7701" t="str">
            <v/>
          </cell>
          <cell r="AZ7701" t="str">
            <v/>
          </cell>
          <cell r="BA7701" t="str">
            <v/>
          </cell>
        </row>
        <row r="7702">
          <cell r="B7702" t="str">
            <v>-</v>
          </cell>
          <cell r="E7702" t="str">
            <v/>
          </cell>
          <cell r="G7702" t="str">
            <v/>
          </cell>
          <cell r="J7702" t="str">
            <v/>
          </cell>
          <cell r="O7702" t="str">
            <v/>
          </cell>
          <cell r="P7702" t="str">
            <v/>
          </cell>
          <cell r="Q7702" t="str">
            <v/>
          </cell>
          <cell r="S7702" t="str">
            <v/>
          </cell>
          <cell r="V7702" t="str">
            <v/>
          </cell>
          <cell r="Z7702" t="str">
            <v/>
          </cell>
          <cell r="AA7702" t="str">
            <v/>
          </cell>
          <cell r="AB7702" t="str">
            <v/>
          </cell>
          <cell r="AC7702" t="str">
            <v/>
          </cell>
          <cell r="AD7702" t="str">
            <v/>
          </cell>
          <cell r="AY7702" t="str">
            <v/>
          </cell>
          <cell r="AZ7702" t="str">
            <v/>
          </cell>
          <cell r="BA7702" t="str">
            <v/>
          </cell>
        </row>
        <row r="7703">
          <cell r="B7703" t="str">
            <v>-</v>
          </cell>
          <cell r="E7703" t="str">
            <v/>
          </cell>
          <cell r="G7703" t="str">
            <v/>
          </cell>
          <cell r="J7703" t="str">
            <v/>
          </cell>
          <cell r="O7703" t="str">
            <v/>
          </cell>
          <cell r="P7703" t="str">
            <v/>
          </cell>
          <cell r="Q7703" t="str">
            <v/>
          </cell>
          <cell r="S7703" t="str">
            <v/>
          </cell>
          <cell r="V7703" t="str">
            <v/>
          </cell>
          <cell r="Z7703" t="str">
            <v/>
          </cell>
          <cell r="AA7703" t="str">
            <v/>
          </cell>
          <cell r="AB7703" t="str">
            <v/>
          </cell>
          <cell r="AC7703" t="str">
            <v/>
          </cell>
          <cell r="AD7703" t="str">
            <v/>
          </cell>
          <cell r="AY7703" t="str">
            <v/>
          </cell>
          <cell r="AZ7703" t="str">
            <v/>
          </cell>
          <cell r="BA7703" t="str">
            <v/>
          </cell>
        </row>
        <row r="7704">
          <cell r="B7704" t="str">
            <v>-</v>
          </cell>
          <cell r="E7704" t="str">
            <v/>
          </cell>
          <cell r="G7704" t="str">
            <v/>
          </cell>
          <cell r="J7704" t="str">
            <v/>
          </cell>
          <cell r="O7704" t="str">
            <v/>
          </cell>
          <cell r="P7704" t="str">
            <v/>
          </cell>
          <cell r="Q7704" t="str">
            <v/>
          </cell>
          <cell r="S7704" t="str">
            <v/>
          </cell>
          <cell r="V7704" t="str">
            <v/>
          </cell>
          <cell r="Z7704" t="str">
            <v/>
          </cell>
          <cell r="AA7704" t="str">
            <v/>
          </cell>
          <cell r="AB7704" t="str">
            <v/>
          </cell>
          <cell r="AC7704" t="str">
            <v/>
          </cell>
          <cell r="AD7704" t="str">
            <v/>
          </cell>
          <cell r="AY7704" t="str">
            <v/>
          </cell>
          <cell r="AZ7704" t="str">
            <v/>
          </cell>
          <cell r="BA7704" t="str">
            <v/>
          </cell>
        </row>
        <row r="7705">
          <cell r="B7705" t="str">
            <v>-</v>
          </cell>
          <cell r="E7705" t="str">
            <v/>
          </cell>
          <cell r="G7705" t="str">
            <v/>
          </cell>
          <cell r="J7705" t="str">
            <v/>
          </cell>
          <cell r="O7705" t="str">
            <v/>
          </cell>
          <cell r="P7705" t="str">
            <v/>
          </cell>
          <cell r="Q7705" t="str">
            <v/>
          </cell>
          <cell r="S7705" t="str">
            <v/>
          </cell>
          <cell r="V7705" t="str">
            <v/>
          </cell>
          <cell r="Z7705" t="str">
            <v/>
          </cell>
          <cell r="AA7705" t="str">
            <v/>
          </cell>
          <cell r="AB7705" t="str">
            <v/>
          </cell>
          <cell r="AC7705" t="str">
            <v/>
          </cell>
          <cell r="AD7705" t="str">
            <v/>
          </cell>
          <cell r="AY7705" t="str">
            <v/>
          </cell>
          <cell r="AZ7705" t="str">
            <v/>
          </cell>
          <cell r="BA7705" t="str">
            <v/>
          </cell>
        </row>
        <row r="7706">
          <cell r="B7706" t="str">
            <v>-</v>
          </cell>
          <cell r="E7706" t="str">
            <v/>
          </cell>
          <cell r="G7706" t="str">
            <v/>
          </cell>
          <cell r="J7706" t="str">
            <v/>
          </cell>
          <cell r="O7706" t="str">
            <v/>
          </cell>
          <cell r="P7706" t="str">
            <v/>
          </cell>
          <cell r="Q7706" t="str">
            <v/>
          </cell>
          <cell r="S7706" t="str">
            <v/>
          </cell>
          <cell r="V7706" t="str">
            <v/>
          </cell>
          <cell r="Z7706" t="str">
            <v/>
          </cell>
          <cell r="AA7706" t="str">
            <v/>
          </cell>
          <cell r="AB7706" t="str">
            <v/>
          </cell>
          <cell r="AC7706" t="str">
            <v/>
          </cell>
          <cell r="AD7706" t="str">
            <v/>
          </cell>
          <cell r="AY7706" t="str">
            <v/>
          </cell>
          <cell r="AZ7706" t="str">
            <v/>
          </cell>
          <cell r="BA7706" t="str">
            <v/>
          </cell>
        </row>
        <row r="7707">
          <cell r="B7707" t="str">
            <v>-</v>
          </cell>
          <cell r="E7707" t="str">
            <v/>
          </cell>
          <cell r="G7707" t="str">
            <v/>
          </cell>
          <cell r="J7707" t="str">
            <v/>
          </cell>
          <cell r="O7707" t="str">
            <v/>
          </cell>
          <cell r="P7707" t="str">
            <v/>
          </cell>
          <cell r="Q7707" t="str">
            <v/>
          </cell>
          <cell r="S7707" t="str">
            <v/>
          </cell>
          <cell r="V7707" t="str">
            <v/>
          </cell>
          <cell r="Z7707" t="str">
            <v/>
          </cell>
          <cell r="AA7707" t="str">
            <v/>
          </cell>
          <cell r="AB7707" t="str">
            <v/>
          </cell>
          <cell r="AC7707" t="str">
            <v/>
          </cell>
          <cell r="AD7707" t="str">
            <v/>
          </cell>
          <cell r="AY7707" t="str">
            <v/>
          </cell>
          <cell r="AZ7707" t="str">
            <v/>
          </cell>
          <cell r="BA7707" t="str">
            <v/>
          </cell>
        </row>
        <row r="7708">
          <cell r="B7708" t="str">
            <v>-</v>
          </cell>
          <cell r="E7708" t="str">
            <v/>
          </cell>
          <cell r="G7708" t="str">
            <v/>
          </cell>
          <cell r="J7708" t="str">
            <v/>
          </cell>
          <cell r="O7708" t="str">
            <v/>
          </cell>
          <cell r="P7708" t="str">
            <v/>
          </cell>
          <cell r="Q7708" t="str">
            <v/>
          </cell>
          <cell r="S7708" t="str">
            <v/>
          </cell>
          <cell r="V7708" t="str">
            <v/>
          </cell>
          <cell r="Z7708" t="str">
            <v/>
          </cell>
          <cell r="AA7708" t="str">
            <v/>
          </cell>
          <cell r="AB7708" t="str">
            <v/>
          </cell>
          <cell r="AC7708" t="str">
            <v/>
          </cell>
          <cell r="AD7708" t="str">
            <v/>
          </cell>
          <cell r="AY7708" t="str">
            <v/>
          </cell>
          <cell r="AZ7708" t="str">
            <v/>
          </cell>
          <cell r="BA7708" t="str">
            <v/>
          </cell>
        </row>
        <row r="7709">
          <cell r="B7709" t="str">
            <v>-</v>
          </cell>
          <cell r="E7709" t="str">
            <v/>
          </cell>
          <cell r="G7709" t="str">
            <v/>
          </cell>
          <cell r="J7709" t="str">
            <v/>
          </cell>
          <cell r="O7709" t="str">
            <v/>
          </cell>
          <cell r="P7709" t="str">
            <v/>
          </cell>
          <cell r="Q7709" t="str">
            <v/>
          </cell>
          <cell r="S7709" t="str">
            <v/>
          </cell>
          <cell r="V7709" t="str">
            <v/>
          </cell>
          <cell r="Z7709" t="str">
            <v/>
          </cell>
          <cell r="AA7709" t="str">
            <v/>
          </cell>
          <cell r="AB7709" t="str">
            <v/>
          </cell>
          <cell r="AC7709" t="str">
            <v/>
          </cell>
          <cell r="AD7709" t="str">
            <v/>
          </cell>
          <cell r="AY7709" t="str">
            <v/>
          </cell>
          <cell r="AZ7709" t="str">
            <v/>
          </cell>
          <cell r="BA7709" t="str">
            <v/>
          </cell>
        </row>
        <row r="7710">
          <cell r="B7710" t="str">
            <v>-</v>
          </cell>
          <cell r="E7710" t="str">
            <v/>
          </cell>
          <cell r="G7710" t="str">
            <v/>
          </cell>
          <cell r="J7710" t="str">
            <v/>
          </cell>
          <cell r="O7710" t="str">
            <v/>
          </cell>
          <cell r="P7710" t="str">
            <v/>
          </cell>
          <cell r="Q7710" t="str">
            <v/>
          </cell>
          <cell r="S7710" t="str">
            <v/>
          </cell>
          <cell r="V7710" t="str">
            <v/>
          </cell>
          <cell r="Z7710" t="str">
            <v/>
          </cell>
          <cell r="AA7710" t="str">
            <v/>
          </cell>
          <cell r="AB7710" t="str">
            <v/>
          </cell>
          <cell r="AC7710" t="str">
            <v/>
          </cell>
          <cell r="AD7710" t="str">
            <v/>
          </cell>
          <cell r="AY7710" t="str">
            <v/>
          </cell>
          <cell r="AZ7710" t="str">
            <v/>
          </cell>
          <cell r="BA7710" t="str">
            <v/>
          </cell>
        </row>
        <row r="7711">
          <cell r="B7711" t="str">
            <v>-</v>
          </cell>
          <cell r="E7711" t="str">
            <v/>
          </cell>
          <cell r="G7711" t="str">
            <v/>
          </cell>
          <cell r="J7711" t="str">
            <v/>
          </cell>
          <cell r="O7711" t="str">
            <v/>
          </cell>
          <cell r="P7711" t="str">
            <v/>
          </cell>
          <cell r="Q7711" t="str">
            <v/>
          </cell>
          <cell r="S7711" t="str">
            <v/>
          </cell>
          <cell r="V7711" t="str">
            <v/>
          </cell>
          <cell r="Z7711" t="str">
            <v/>
          </cell>
          <cell r="AA7711" t="str">
            <v/>
          </cell>
          <cell r="AB7711" t="str">
            <v/>
          </cell>
          <cell r="AC7711" t="str">
            <v/>
          </cell>
          <cell r="AD7711" t="str">
            <v/>
          </cell>
          <cell r="AY7711" t="str">
            <v/>
          </cell>
          <cell r="AZ7711" t="str">
            <v/>
          </cell>
          <cell r="BA7711" t="str">
            <v/>
          </cell>
        </row>
        <row r="7712">
          <cell r="B7712" t="str">
            <v>-</v>
          </cell>
          <cell r="E7712" t="str">
            <v/>
          </cell>
          <cell r="G7712" t="str">
            <v/>
          </cell>
          <cell r="J7712" t="str">
            <v/>
          </cell>
          <cell r="O7712" t="str">
            <v/>
          </cell>
          <cell r="P7712" t="str">
            <v/>
          </cell>
          <cell r="Q7712" t="str">
            <v/>
          </cell>
          <cell r="S7712" t="str">
            <v/>
          </cell>
          <cell r="V7712" t="str">
            <v/>
          </cell>
          <cell r="Z7712" t="str">
            <v/>
          </cell>
          <cell r="AA7712" t="str">
            <v/>
          </cell>
          <cell r="AB7712" t="str">
            <v/>
          </cell>
          <cell r="AC7712" t="str">
            <v/>
          </cell>
          <cell r="AD7712" t="str">
            <v/>
          </cell>
          <cell r="AY7712" t="str">
            <v/>
          </cell>
          <cell r="AZ7712" t="str">
            <v/>
          </cell>
          <cell r="BA7712" t="str">
            <v/>
          </cell>
        </row>
        <row r="7713">
          <cell r="B7713" t="str">
            <v>-</v>
          </cell>
          <cell r="E7713" t="str">
            <v/>
          </cell>
          <cell r="G7713" t="str">
            <v/>
          </cell>
          <cell r="J7713" t="str">
            <v/>
          </cell>
          <cell r="O7713" t="str">
            <v/>
          </cell>
          <cell r="P7713" t="str">
            <v/>
          </cell>
          <cell r="Q7713" t="str">
            <v/>
          </cell>
          <cell r="S7713" t="str">
            <v/>
          </cell>
          <cell r="V7713" t="str">
            <v/>
          </cell>
          <cell r="Z7713" t="str">
            <v/>
          </cell>
          <cell r="AA7713" t="str">
            <v/>
          </cell>
          <cell r="AB7713" t="str">
            <v/>
          </cell>
          <cell r="AC7713" t="str">
            <v/>
          </cell>
          <cell r="AD7713" t="str">
            <v/>
          </cell>
          <cell r="AY7713" t="str">
            <v/>
          </cell>
          <cell r="AZ7713" t="str">
            <v/>
          </cell>
          <cell r="BA7713" t="str">
            <v/>
          </cell>
        </row>
        <row r="7714">
          <cell r="B7714" t="str">
            <v>-</v>
          </cell>
          <cell r="E7714" t="str">
            <v/>
          </cell>
          <cell r="G7714" t="str">
            <v/>
          </cell>
          <cell r="J7714" t="str">
            <v/>
          </cell>
          <cell r="O7714" t="str">
            <v/>
          </cell>
          <cell r="P7714" t="str">
            <v/>
          </cell>
          <cell r="Q7714" t="str">
            <v/>
          </cell>
          <cell r="S7714" t="str">
            <v/>
          </cell>
          <cell r="V7714" t="str">
            <v/>
          </cell>
          <cell r="Z7714" t="str">
            <v/>
          </cell>
          <cell r="AA7714" t="str">
            <v/>
          </cell>
          <cell r="AB7714" t="str">
            <v/>
          </cell>
          <cell r="AC7714" t="str">
            <v/>
          </cell>
          <cell r="AD7714" t="str">
            <v/>
          </cell>
          <cell r="AY7714" t="str">
            <v/>
          </cell>
          <cell r="AZ7714" t="str">
            <v/>
          </cell>
          <cell r="BA7714" t="str">
            <v/>
          </cell>
        </row>
        <row r="7715">
          <cell r="B7715" t="str">
            <v>-</v>
          </cell>
          <cell r="E7715" t="str">
            <v/>
          </cell>
          <cell r="G7715" t="str">
            <v/>
          </cell>
          <cell r="J7715" t="str">
            <v/>
          </cell>
          <cell r="O7715" t="str">
            <v/>
          </cell>
          <cell r="P7715" t="str">
            <v/>
          </cell>
          <cell r="Q7715" t="str">
            <v/>
          </cell>
          <cell r="S7715" t="str">
            <v/>
          </cell>
          <cell r="V7715" t="str">
            <v/>
          </cell>
          <cell r="Z7715" t="str">
            <v/>
          </cell>
          <cell r="AA7715" t="str">
            <v/>
          </cell>
          <cell r="AB7715" t="str">
            <v/>
          </cell>
          <cell r="AC7715" t="str">
            <v/>
          </cell>
          <cell r="AD7715" t="str">
            <v/>
          </cell>
          <cell r="AY7715" t="str">
            <v/>
          </cell>
          <cell r="AZ7715" t="str">
            <v/>
          </cell>
          <cell r="BA7715" t="str">
            <v/>
          </cell>
        </row>
        <row r="7716">
          <cell r="B7716" t="str">
            <v>-</v>
          </cell>
          <cell r="E7716" t="str">
            <v/>
          </cell>
          <cell r="G7716" t="str">
            <v/>
          </cell>
          <cell r="J7716" t="str">
            <v/>
          </cell>
          <cell r="O7716" t="str">
            <v/>
          </cell>
          <cell r="P7716" t="str">
            <v/>
          </cell>
          <cell r="Q7716" t="str">
            <v/>
          </cell>
          <cell r="S7716" t="str">
            <v/>
          </cell>
          <cell r="V7716" t="str">
            <v/>
          </cell>
          <cell r="Z7716" t="str">
            <v/>
          </cell>
          <cell r="AA7716" t="str">
            <v/>
          </cell>
          <cell r="AB7716" t="str">
            <v/>
          </cell>
          <cell r="AC7716" t="str">
            <v/>
          </cell>
          <cell r="AD7716" t="str">
            <v/>
          </cell>
          <cell r="AY7716" t="str">
            <v/>
          </cell>
          <cell r="AZ7716" t="str">
            <v/>
          </cell>
          <cell r="BA7716" t="str">
            <v/>
          </cell>
        </row>
        <row r="7717">
          <cell r="B7717" t="str">
            <v>-</v>
          </cell>
          <cell r="E7717" t="str">
            <v/>
          </cell>
          <cell r="G7717" t="str">
            <v/>
          </cell>
          <cell r="J7717" t="str">
            <v/>
          </cell>
          <cell r="O7717" t="str">
            <v/>
          </cell>
          <cell r="P7717" t="str">
            <v/>
          </cell>
          <cell r="Q7717" t="str">
            <v/>
          </cell>
          <cell r="S7717" t="str">
            <v/>
          </cell>
          <cell r="V7717" t="str">
            <v/>
          </cell>
          <cell r="Z7717" t="str">
            <v/>
          </cell>
          <cell r="AA7717" t="str">
            <v/>
          </cell>
          <cell r="AB7717" t="str">
            <v/>
          </cell>
          <cell r="AC7717" t="str">
            <v/>
          </cell>
          <cell r="AD7717" t="str">
            <v/>
          </cell>
          <cell r="AY7717" t="str">
            <v/>
          </cell>
          <cell r="AZ7717" t="str">
            <v/>
          </cell>
          <cell r="BA7717" t="str">
            <v/>
          </cell>
        </row>
        <row r="7718">
          <cell r="B7718" t="str">
            <v>-</v>
          </cell>
          <cell r="E7718" t="str">
            <v/>
          </cell>
          <cell r="G7718" t="str">
            <v/>
          </cell>
          <cell r="J7718" t="str">
            <v/>
          </cell>
          <cell r="O7718" t="str">
            <v/>
          </cell>
          <cell r="P7718" t="str">
            <v/>
          </cell>
          <cell r="Q7718" t="str">
            <v/>
          </cell>
          <cell r="S7718" t="str">
            <v/>
          </cell>
          <cell r="V7718" t="str">
            <v/>
          </cell>
          <cell r="Z7718" t="str">
            <v/>
          </cell>
          <cell r="AA7718" t="str">
            <v/>
          </cell>
          <cell r="AB7718" t="str">
            <v/>
          </cell>
          <cell r="AC7718" t="str">
            <v/>
          </cell>
          <cell r="AD7718" t="str">
            <v/>
          </cell>
          <cell r="AY7718" t="str">
            <v/>
          </cell>
          <cell r="AZ7718" t="str">
            <v/>
          </cell>
          <cell r="BA7718" t="str">
            <v/>
          </cell>
        </row>
        <row r="7719">
          <cell r="B7719" t="str">
            <v>-</v>
          </cell>
          <cell r="E7719" t="str">
            <v/>
          </cell>
          <cell r="G7719" t="str">
            <v/>
          </cell>
          <cell r="J7719" t="str">
            <v/>
          </cell>
          <cell r="O7719" t="str">
            <v/>
          </cell>
          <cell r="P7719" t="str">
            <v/>
          </cell>
          <cell r="Q7719" t="str">
            <v/>
          </cell>
          <cell r="S7719" t="str">
            <v/>
          </cell>
          <cell r="V7719" t="str">
            <v/>
          </cell>
          <cell r="Z7719" t="str">
            <v/>
          </cell>
          <cell r="AA7719" t="str">
            <v/>
          </cell>
          <cell r="AB7719" t="str">
            <v/>
          </cell>
          <cell r="AC7719" t="str">
            <v/>
          </cell>
          <cell r="AD7719" t="str">
            <v/>
          </cell>
          <cell r="AY7719" t="str">
            <v/>
          </cell>
          <cell r="AZ7719" t="str">
            <v/>
          </cell>
          <cell r="BA7719" t="str">
            <v/>
          </cell>
        </row>
        <row r="7720">
          <cell r="B7720" t="str">
            <v>-</v>
          </cell>
          <cell r="E7720" t="str">
            <v/>
          </cell>
          <cell r="G7720" t="str">
            <v/>
          </cell>
          <cell r="J7720" t="str">
            <v/>
          </cell>
          <cell r="O7720" t="str">
            <v/>
          </cell>
          <cell r="P7720" t="str">
            <v/>
          </cell>
          <cell r="Q7720" t="str">
            <v/>
          </cell>
          <cell r="S7720" t="str">
            <v/>
          </cell>
          <cell r="V7720" t="str">
            <v/>
          </cell>
          <cell r="Z7720" t="str">
            <v/>
          </cell>
          <cell r="AA7720" t="str">
            <v/>
          </cell>
          <cell r="AB7720" t="str">
            <v/>
          </cell>
          <cell r="AC7720" t="str">
            <v/>
          </cell>
          <cell r="AD7720" t="str">
            <v/>
          </cell>
          <cell r="AY7720" t="str">
            <v/>
          </cell>
          <cell r="AZ7720" t="str">
            <v/>
          </cell>
          <cell r="BA7720" t="str">
            <v/>
          </cell>
        </row>
        <row r="7721">
          <cell r="B7721" t="str">
            <v>-</v>
          </cell>
          <cell r="E7721" t="str">
            <v/>
          </cell>
          <cell r="G7721" t="str">
            <v/>
          </cell>
          <cell r="J7721" t="str">
            <v/>
          </cell>
          <cell r="O7721" t="str">
            <v/>
          </cell>
          <cell r="P7721" t="str">
            <v/>
          </cell>
          <cell r="Q7721" t="str">
            <v/>
          </cell>
          <cell r="S7721" t="str">
            <v/>
          </cell>
          <cell r="V7721" t="str">
            <v/>
          </cell>
          <cell r="Z7721" t="str">
            <v/>
          </cell>
          <cell r="AA7721" t="str">
            <v/>
          </cell>
          <cell r="AB7721" t="str">
            <v/>
          </cell>
          <cell r="AC7721" t="str">
            <v/>
          </cell>
          <cell r="AD7721" t="str">
            <v/>
          </cell>
          <cell r="AY7721" t="str">
            <v/>
          </cell>
          <cell r="AZ7721" t="str">
            <v/>
          </cell>
          <cell r="BA7721" t="str">
            <v/>
          </cell>
        </row>
        <row r="7722">
          <cell r="B7722" t="str">
            <v>-</v>
          </cell>
          <cell r="E7722" t="str">
            <v/>
          </cell>
          <cell r="G7722" t="str">
            <v/>
          </cell>
          <cell r="J7722" t="str">
            <v/>
          </cell>
          <cell r="O7722" t="str">
            <v/>
          </cell>
          <cell r="P7722" t="str">
            <v/>
          </cell>
          <cell r="Q7722" t="str">
            <v/>
          </cell>
          <cell r="S7722" t="str">
            <v/>
          </cell>
          <cell r="V7722" t="str">
            <v/>
          </cell>
          <cell r="Z7722" t="str">
            <v/>
          </cell>
          <cell r="AA7722" t="str">
            <v/>
          </cell>
          <cell r="AB7722" t="str">
            <v/>
          </cell>
          <cell r="AC7722" t="str">
            <v/>
          </cell>
          <cell r="AD7722" t="str">
            <v/>
          </cell>
          <cell r="AY7722" t="str">
            <v/>
          </cell>
          <cell r="AZ7722" t="str">
            <v/>
          </cell>
          <cell r="BA7722" t="str">
            <v/>
          </cell>
        </row>
        <row r="7723">
          <cell r="B7723" t="str">
            <v>-</v>
          </cell>
          <cell r="E7723" t="str">
            <v/>
          </cell>
          <cell r="G7723" t="str">
            <v/>
          </cell>
          <cell r="J7723" t="str">
            <v/>
          </cell>
          <cell r="O7723" t="str">
            <v/>
          </cell>
          <cell r="P7723" t="str">
            <v/>
          </cell>
          <cell r="Q7723" t="str">
            <v/>
          </cell>
          <cell r="S7723" t="str">
            <v/>
          </cell>
          <cell r="V7723" t="str">
            <v/>
          </cell>
          <cell r="Z7723" t="str">
            <v/>
          </cell>
          <cell r="AA7723" t="str">
            <v/>
          </cell>
          <cell r="AB7723" t="str">
            <v/>
          </cell>
          <cell r="AC7723" t="str">
            <v/>
          </cell>
          <cell r="AD7723" t="str">
            <v/>
          </cell>
          <cell r="AY7723" t="str">
            <v/>
          </cell>
          <cell r="AZ7723" t="str">
            <v/>
          </cell>
          <cell r="BA7723" t="str">
            <v/>
          </cell>
        </row>
        <row r="7724">
          <cell r="B7724" t="str">
            <v>-</v>
          </cell>
          <cell r="E7724" t="str">
            <v/>
          </cell>
          <cell r="G7724" t="str">
            <v/>
          </cell>
          <cell r="J7724" t="str">
            <v/>
          </cell>
          <cell r="O7724" t="str">
            <v/>
          </cell>
          <cell r="P7724" t="str">
            <v/>
          </cell>
          <cell r="Q7724" t="str">
            <v/>
          </cell>
          <cell r="S7724" t="str">
            <v/>
          </cell>
          <cell r="V7724" t="str">
            <v/>
          </cell>
          <cell r="Z7724" t="str">
            <v/>
          </cell>
          <cell r="AA7724" t="str">
            <v/>
          </cell>
          <cell r="AB7724" t="str">
            <v/>
          </cell>
          <cell r="AC7724" t="str">
            <v/>
          </cell>
          <cell r="AD7724" t="str">
            <v/>
          </cell>
          <cell r="AY7724" t="str">
            <v/>
          </cell>
          <cell r="AZ7724" t="str">
            <v/>
          </cell>
          <cell r="BA7724" t="str">
            <v/>
          </cell>
        </row>
        <row r="7725">
          <cell r="B7725" t="str">
            <v>-</v>
          </cell>
          <cell r="E7725" t="str">
            <v/>
          </cell>
          <cell r="G7725" t="str">
            <v/>
          </cell>
          <cell r="J7725" t="str">
            <v/>
          </cell>
          <cell r="O7725" t="str">
            <v/>
          </cell>
          <cell r="P7725" t="str">
            <v/>
          </cell>
          <cell r="Q7725" t="str">
            <v/>
          </cell>
          <cell r="S7725" t="str">
            <v/>
          </cell>
          <cell r="V7725" t="str">
            <v/>
          </cell>
          <cell r="Z7725" t="str">
            <v/>
          </cell>
          <cell r="AA7725" t="str">
            <v/>
          </cell>
          <cell r="AB7725" t="str">
            <v/>
          </cell>
          <cell r="AC7725" t="str">
            <v/>
          </cell>
          <cell r="AD7725" t="str">
            <v/>
          </cell>
          <cell r="AY7725" t="str">
            <v/>
          </cell>
          <cell r="AZ7725" t="str">
            <v/>
          </cell>
          <cell r="BA7725" t="str">
            <v/>
          </cell>
        </row>
        <row r="7726">
          <cell r="B7726" t="str">
            <v>-</v>
          </cell>
          <cell r="E7726" t="str">
            <v/>
          </cell>
          <cell r="G7726" t="str">
            <v/>
          </cell>
          <cell r="J7726" t="str">
            <v/>
          </cell>
          <cell r="O7726" t="str">
            <v/>
          </cell>
          <cell r="P7726" t="str">
            <v/>
          </cell>
          <cell r="Q7726" t="str">
            <v/>
          </cell>
          <cell r="S7726" t="str">
            <v/>
          </cell>
          <cell r="V7726" t="str">
            <v/>
          </cell>
          <cell r="Z7726" t="str">
            <v/>
          </cell>
          <cell r="AA7726" t="str">
            <v/>
          </cell>
          <cell r="AB7726" t="str">
            <v/>
          </cell>
          <cell r="AC7726" t="str">
            <v/>
          </cell>
          <cell r="AD7726" t="str">
            <v/>
          </cell>
          <cell r="AY7726" t="str">
            <v/>
          </cell>
          <cell r="AZ7726" t="str">
            <v/>
          </cell>
          <cell r="BA7726" t="str">
            <v/>
          </cell>
        </row>
        <row r="7727">
          <cell r="B7727" t="str">
            <v>-</v>
          </cell>
          <cell r="E7727" t="str">
            <v/>
          </cell>
          <cell r="G7727" t="str">
            <v/>
          </cell>
          <cell r="J7727" t="str">
            <v/>
          </cell>
          <cell r="O7727" t="str">
            <v/>
          </cell>
          <cell r="P7727" t="str">
            <v/>
          </cell>
          <cell r="Q7727" t="str">
            <v/>
          </cell>
          <cell r="S7727" t="str">
            <v/>
          </cell>
          <cell r="V7727" t="str">
            <v/>
          </cell>
          <cell r="Z7727" t="str">
            <v/>
          </cell>
          <cell r="AA7727" t="str">
            <v/>
          </cell>
          <cell r="AB7727" t="str">
            <v/>
          </cell>
          <cell r="AC7727" t="str">
            <v/>
          </cell>
          <cell r="AD7727" t="str">
            <v/>
          </cell>
          <cell r="AY7727" t="str">
            <v/>
          </cell>
          <cell r="AZ7727" t="str">
            <v/>
          </cell>
          <cell r="BA7727" t="str">
            <v/>
          </cell>
        </row>
        <row r="7728">
          <cell r="B7728" t="str">
            <v>-</v>
          </cell>
          <cell r="E7728" t="str">
            <v/>
          </cell>
          <cell r="G7728" t="str">
            <v/>
          </cell>
          <cell r="J7728" t="str">
            <v/>
          </cell>
          <cell r="O7728" t="str">
            <v/>
          </cell>
          <cell r="P7728" t="str">
            <v/>
          </cell>
          <cell r="Q7728" t="str">
            <v/>
          </cell>
          <cell r="S7728" t="str">
            <v/>
          </cell>
          <cell r="V7728" t="str">
            <v/>
          </cell>
          <cell r="Z7728" t="str">
            <v/>
          </cell>
          <cell r="AA7728" t="str">
            <v/>
          </cell>
          <cell r="AB7728" t="str">
            <v/>
          </cell>
          <cell r="AC7728" t="str">
            <v/>
          </cell>
          <cell r="AD7728" t="str">
            <v/>
          </cell>
          <cell r="AY7728" t="str">
            <v/>
          </cell>
          <cell r="AZ7728" t="str">
            <v/>
          </cell>
          <cell r="BA7728" t="str">
            <v/>
          </cell>
        </row>
        <row r="7729">
          <cell r="B7729" t="str">
            <v>-</v>
          </cell>
          <cell r="E7729" t="str">
            <v/>
          </cell>
          <cell r="G7729" t="str">
            <v/>
          </cell>
          <cell r="J7729" t="str">
            <v/>
          </cell>
          <cell r="O7729" t="str">
            <v/>
          </cell>
          <cell r="P7729" t="str">
            <v/>
          </cell>
          <cell r="Q7729" t="str">
            <v/>
          </cell>
          <cell r="S7729" t="str">
            <v/>
          </cell>
          <cell r="V7729" t="str">
            <v/>
          </cell>
          <cell r="Z7729" t="str">
            <v/>
          </cell>
          <cell r="AA7729" t="str">
            <v/>
          </cell>
          <cell r="AB7729" t="str">
            <v/>
          </cell>
          <cell r="AC7729" t="str">
            <v/>
          </cell>
          <cell r="AD7729" t="str">
            <v/>
          </cell>
          <cell r="AY7729" t="str">
            <v/>
          </cell>
          <cell r="AZ7729" t="str">
            <v/>
          </cell>
          <cell r="BA7729" t="str">
            <v/>
          </cell>
        </row>
        <row r="7730">
          <cell r="B7730" t="str">
            <v>-</v>
          </cell>
          <cell r="E7730" t="str">
            <v/>
          </cell>
          <cell r="G7730" t="str">
            <v/>
          </cell>
          <cell r="J7730" t="str">
            <v/>
          </cell>
          <cell r="O7730" t="str">
            <v/>
          </cell>
          <cell r="P7730" t="str">
            <v/>
          </cell>
          <cell r="Q7730" t="str">
            <v/>
          </cell>
          <cell r="S7730" t="str">
            <v/>
          </cell>
          <cell r="V7730" t="str">
            <v/>
          </cell>
          <cell r="Z7730" t="str">
            <v/>
          </cell>
          <cell r="AA7730" t="str">
            <v/>
          </cell>
          <cell r="AB7730" t="str">
            <v/>
          </cell>
          <cell r="AC7730" t="str">
            <v/>
          </cell>
          <cell r="AD7730" t="str">
            <v/>
          </cell>
          <cell r="AY7730" t="str">
            <v/>
          </cell>
          <cell r="AZ7730" t="str">
            <v/>
          </cell>
          <cell r="BA7730" t="str">
            <v/>
          </cell>
        </row>
        <row r="7731">
          <cell r="B7731" t="str">
            <v>-</v>
          </cell>
          <cell r="E7731" t="str">
            <v/>
          </cell>
          <cell r="G7731" t="str">
            <v/>
          </cell>
          <cell r="J7731" t="str">
            <v/>
          </cell>
          <cell r="O7731" t="str">
            <v/>
          </cell>
          <cell r="P7731" t="str">
            <v/>
          </cell>
          <cell r="Q7731" t="str">
            <v/>
          </cell>
          <cell r="S7731" t="str">
            <v/>
          </cell>
          <cell r="V7731" t="str">
            <v/>
          </cell>
          <cell r="Z7731" t="str">
            <v/>
          </cell>
          <cell r="AA7731" t="str">
            <v/>
          </cell>
          <cell r="AB7731" t="str">
            <v/>
          </cell>
          <cell r="AC7731" t="str">
            <v/>
          </cell>
          <cell r="AD7731" t="str">
            <v/>
          </cell>
          <cell r="AY7731" t="str">
            <v/>
          </cell>
          <cell r="AZ7731" t="str">
            <v/>
          </cell>
          <cell r="BA7731" t="str">
            <v/>
          </cell>
        </row>
        <row r="7732">
          <cell r="B7732" t="str">
            <v>-</v>
          </cell>
          <cell r="E7732" t="str">
            <v/>
          </cell>
          <cell r="G7732" t="str">
            <v/>
          </cell>
          <cell r="J7732" t="str">
            <v/>
          </cell>
          <cell r="O7732" t="str">
            <v/>
          </cell>
          <cell r="P7732" t="str">
            <v/>
          </cell>
          <cell r="Q7732" t="str">
            <v/>
          </cell>
          <cell r="S7732" t="str">
            <v/>
          </cell>
          <cell r="V7732" t="str">
            <v/>
          </cell>
          <cell r="Z7732" t="str">
            <v/>
          </cell>
          <cell r="AA7732" t="str">
            <v/>
          </cell>
          <cell r="AB7732" t="str">
            <v/>
          </cell>
          <cell r="AC7732" t="str">
            <v/>
          </cell>
          <cell r="AD7732" t="str">
            <v/>
          </cell>
          <cell r="AY7732" t="str">
            <v/>
          </cell>
          <cell r="AZ7732" t="str">
            <v/>
          </cell>
          <cell r="BA7732" t="str">
            <v/>
          </cell>
        </row>
        <row r="7733">
          <cell r="B7733" t="str">
            <v>-</v>
          </cell>
          <cell r="E7733" t="str">
            <v/>
          </cell>
          <cell r="G7733" t="str">
            <v/>
          </cell>
          <cell r="J7733" t="str">
            <v/>
          </cell>
          <cell r="O7733" t="str">
            <v/>
          </cell>
          <cell r="P7733" t="str">
            <v/>
          </cell>
          <cell r="Q7733" t="str">
            <v/>
          </cell>
          <cell r="S7733" t="str">
            <v/>
          </cell>
          <cell r="V7733" t="str">
            <v/>
          </cell>
          <cell r="Z7733" t="str">
            <v/>
          </cell>
          <cell r="AA7733" t="str">
            <v/>
          </cell>
          <cell r="AB7733" t="str">
            <v/>
          </cell>
          <cell r="AC7733" t="str">
            <v/>
          </cell>
          <cell r="AD7733" t="str">
            <v/>
          </cell>
          <cell r="AY7733" t="str">
            <v/>
          </cell>
          <cell r="AZ7733" t="str">
            <v/>
          </cell>
          <cell r="BA7733" t="str">
            <v/>
          </cell>
        </row>
        <row r="7734">
          <cell r="B7734" t="str">
            <v>-</v>
          </cell>
          <cell r="E7734" t="str">
            <v/>
          </cell>
          <cell r="G7734" t="str">
            <v/>
          </cell>
          <cell r="J7734" t="str">
            <v/>
          </cell>
          <cell r="O7734" t="str">
            <v/>
          </cell>
          <cell r="P7734" t="str">
            <v/>
          </cell>
          <cell r="Q7734" t="str">
            <v/>
          </cell>
          <cell r="S7734" t="str">
            <v/>
          </cell>
          <cell r="V7734" t="str">
            <v/>
          </cell>
          <cell r="Z7734" t="str">
            <v/>
          </cell>
          <cell r="AA7734" t="str">
            <v/>
          </cell>
          <cell r="AB7734" t="str">
            <v/>
          </cell>
          <cell r="AC7734" t="str">
            <v/>
          </cell>
          <cell r="AD7734" t="str">
            <v/>
          </cell>
          <cell r="AY7734" t="str">
            <v/>
          </cell>
          <cell r="AZ7734" t="str">
            <v/>
          </cell>
          <cell r="BA7734" t="str">
            <v/>
          </cell>
        </row>
        <row r="7735">
          <cell r="B7735" t="str">
            <v>-</v>
          </cell>
          <cell r="E7735" t="str">
            <v/>
          </cell>
          <cell r="G7735" t="str">
            <v/>
          </cell>
          <cell r="J7735" t="str">
            <v/>
          </cell>
          <cell r="O7735" t="str">
            <v/>
          </cell>
          <cell r="P7735" t="str">
            <v/>
          </cell>
          <cell r="Q7735" t="str">
            <v/>
          </cell>
          <cell r="S7735" t="str">
            <v/>
          </cell>
          <cell r="V7735" t="str">
            <v/>
          </cell>
          <cell r="Z7735" t="str">
            <v/>
          </cell>
          <cell r="AA7735" t="str">
            <v/>
          </cell>
          <cell r="AB7735" t="str">
            <v/>
          </cell>
          <cell r="AC7735" t="str">
            <v/>
          </cell>
          <cell r="AD7735" t="str">
            <v/>
          </cell>
          <cell r="AY7735" t="str">
            <v/>
          </cell>
          <cell r="AZ7735" t="str">
            <v/>
          </cell>
          <cell r="BA7735" t="str">
            <v/>
          </cell>
        </row>
        <row r="7736">
          <cell r="B7736" t="str">
            <v>-</v>
          </cell>
          <cell r="E7736" t="str">
            <v/>
          </cell>
          <cell r="G7736" t="str">
            <v/>
          </cell>
          <cell r="J7736" t="str">
            <v/>
          </cell>
          <cell r="O7736" t="str">
            <v/>
          </cell>
          <cell r="P7736" t="str">
            <v/>
          </cell>
          <cell r="Q7736" t="str">
            <v/>
          </cell>
          <cell r="S7736" t="str">
            <v/>
          </cell>
          <cell r="V7736" t="str">
            <v/>
          </cell>
          <cell r="Z7736" t="str">
            <v/>
          </cell>
          <cell r="AA7736" t="str">
            <v/>
          </cell>
          <cell r="AB7736" t="str">
            <v/>
          </cell>
          <cell r="AC7736" t="str">
            <v/>
          </cell>
          <cell r="AD7736" t="str">
            <v/>
          </cell>
          <cell r="AY7736" t="str">
            <v/>
          </cell>
          <cell r="AZ7736" t="str">
            <v/>
          </cell>
          <cell r="BA7736" t="str">
            <v/>
          </cell>
        </row>
        <row r="7737">
          <cell r="B7737" t="str">
            <v>-</v>
          </cell>
          <cell r="E7737" t="str">
            <v/>
          </cell>
          <cell r="G7737" t="str">
            <v/>
          </cell>
          <cell r="J7737" t="str">
            <v/>
          </cell>
          <cell r="O7737" t="str">
            <v/>
          </cell>
          <cell r="P7737" t="str">
            <v/>
          </cell>
          <cell r="Q7737" t="str">
            <v/>
          </cell>
          <cell r="S7737" t="str">
            <v/>
          </cell>
          <cell r="V7737" t="str">
            <v/>
          </cell>
          <cell r="Z7737" t="str">
            <v/>
          </cell>
          <cell r="AA7737" t="str">
            <v/>
          </cell>
          <cell r="AB7737" t="str">
            <v/>
          </cell>
          <cell r="AC7737" t="str">
            <v/>
          </cell>
          <cell r="AD7737" t="str">
            <v/>
          </cell>
          <cell r="AY7737" t="str">
            <v/>
          </cell>
          <cell r="AZ7737" t="str">
            <v/>
          </cell>
          <cell r="BA7737" t="str">
            <v/>
          </cell>
        </row>
        <row r="7738">
          <cell r="B7738" t="str">
            <v>-</v>
          </cell>
          <cell r="E7738" t="str">
            <v/>
          </cell>
          <cell r="G7738" t="str">
            <v/>
          </cell>
          <cell r="J7738" t="str">
            <v/>
          </cell>
          <cell r="O7738" t="str">
            <v/>
          </cell>
          <cell r="P7738" t="str">
            <v/>
          </cell>
          <cell r="Q7738" t="str">
            <v/>
          </cell>
          <cell r="S7738" t="str">
            <v/>
          </cell>
          <cell r="V7738" t="str">
            <v/>
          </cell>
          <cell r="Z7738" t="str">
            <v/>
          </cell>
          <cell r="AA7738" t="str">
            <v/>
          </cell>
          <cell r="AB7738" t="str">
            <v/>
          </cell>
          <cell r="AC7738" t="str">
            <v/>
          </cell>
          <cell r="AD7738" t="str">
            <v/>
          </cell>
          <cell r="AY7738" t="str">
            <v/>
          </cell>
          <cell r="AZ7738" t="str">
            <v/>
          </cell>
          <cell r="BA7738" t="str">
            <v/>
          </cell>
        </row>
        <row r="7739">
          <cell r="B7739" t="str">
            <v>-</v>
          </cell>
          <cell r="E7739" t="str">
            <v/>
          </cell>
          <cell r="G7739" t="str">
            <v/>
          </cell>
          <cell r="J7739" t="str">
            <v/>
          </cell>
          <cell r="O7739" t="str">
            <v/>
          </cell>
          <cell r="P7739" t="str">
            <v/>
          </cell>
          <cell r="Q7739" t="str">
            <v/>
          </cell>
          <cell r="S7739" t="str">
            <v/>
          </cell>
          <cell r="V7739" t="str">
            <v/>
          </cell>
          <cell r="Z7739" t="str">
            <v/>
          </cell>
          <cell r="AA7739" t="str">
            <v/>
          </cell>
          <cell r="AB7739" t="str">
            <v/>
          </cell>
          <cell r="AC7739" t="str">
            <v/>
          </cell>
          <cell r="AD7739" t="str">
            <v/>
          </cell>
          <cell r="AY7739" t="str">
            <v/>
          </cell>
          <cell r="AZ7739" t="str">
            <v/>
          </cell>
          <cell r="BA7739" t="str">
            <v/>
          </cell>
        </row>
        <row r="7740">
          <cell r="B7740" t="str">
            <v>-</v>
          </cell>
          <cell r="E7740" t="str">
            <v/>
          </cell>
          <cell r="G7740" t="str">
            <v/>
          </cell>
          <cell r="J7740" t="str">
            <v/>
          </cell>
          <cell r="O7740" t="str">
            <v/>
          </cell>
          <cell r="P7740" t="str">
            <v/>
          </cell>
          <cell r="Q7740" t="str">
            <v/>
          </cell>
          <cell r="S7740" t="str">
            <v/>
          </cell>
          <cell r="V7740" t="str">
            <v/>
          </cell>
          <cell r="Z7740" t="str">
            <v/>
          </cell>
          <cell r="AA7740" t="str">
            <v/>
          </cell>
          <cell r="AB7740" t="str">
            <v/>
          </cell>
          <cell r="AC7740" t="str">
            <v/>
          </cell>
          <cell r="AD7740" t="str">
            <v/>
          </cell>
          <cell r="AY7740" t="str">
            <v/>
          </cell>
          <cell r="AZ7740" t="str">
            <v/>
          </cell>
          <cell r="BA7740" t="str">
            <v/>
          </cell>
        </row>
        <row r="7741">
          <cell r="B7741" t="str">
            <v>-</v>
          </cell>
          <cell r="E7741" t="str">
            <v/>
          </cell>
          <cell r="G7741" t="str">
            <v/>
          </cell>
          <cell r="J7741" t="str">
            <v/>
          </cell>
          <cell r="O7741" t="str">
            <v/>
          </cell>
          <cell r="P7741" t="str">
            <v/>
          </cell>
          <cell r="Q7741" t="str">
            <v/>
          </cell>
          <cell r="S7741" t="str">
            <v/>
          </cell>
          <cell r="V7741" t="str">
            <v/>
          </cell>
          <cell r="Z7741" t="str">
            <v/>
          </cell>
          <cell r="AA7741" t="str">
            <v/>
          </cell>
          <cell r="AB7741" t="str">
            <v/>
          </cell>
          <cell r="AC7741" t="str">
            <v/>
          </cell>
          <cell r="AD7741" t="str">
            <v/>
          </cell>
          <cell r="AY7741" t="str">
            <v/>
          </cell>
          <cell r="AZ7741" t="str">
            <v/>
          </cell>
          <cell r="BA7741" t="str">
            <v/>
          </cell>
        </row>
        <row r="7742">
          <cell r="B7742" t="str">
            <v>-</v>
          </cell>
          <cell r="E7742" t="str">
            <v/>
          </cell>
          <cell r="G7742" t="str">
            <v/>
          </cell>
          <cell r="J7742" t="str">
            <v/>
          </cell>
          <cell r="O7742" t="str">
            <v/>
          </cell>
          <cell r="P7742" t="str">
            <v/>
          </cell>
          <cell r="Q7742" t="str">
            <v/>
          </cell>
          <cell r="S7742" t="str">
            <v/>
          </cell>
          <cell r="V7742" t="str">
            <v/>
          </cell>
          <cell r="Z7742" t="str">
            <v/>
          </cell>
          <cell r="AA7742" t="str">
            <v/>
          </cell>
          <cell r="AB7742" t="str">
            <v/>
          </cell>
          <cell r="AC7742" t="str">
            <v/>
          </cell>
          <cell r="AD7742" t="str">
            <v/>
          </cell>
          <cell r="AY7742" t="str">
            <v/>
          </cell>
          <cell r="AZ7742" t="str">
            <v/>
          </cell>
          <cell r="BA7742" t="str">
            <v/>
          </cell>
        </row>
        <row r="7743">
          <cell r="B7743" t="str">
            <v>-</v>
          </cell>
          <cell r="E7743" t="str">
            <v/>
          </cell>
          <cell r="G7743" t="str">
            <v/>
          </cell>
          <cell r="J7743" t="str">
            <v/>
          </cell>
          <cell r="O7743" t="str">
            <v/>
          </cell>
          <cell r="P7743" t="str">
            <v/>
          </cell>
          <cell r="Q7743" t="str">
            <v/>
          </cell>
          <cell r="S7743" t="str">
            <v/>
          </cell>
          <cell r="V7743" t="str">
            <v/>
          </cell>
          <cell r="Z7743" t="str">
            <v/>
          </cell>
          <cell r="AA7743" t="str">
            <v/>
          </cell>
          <cell r="AB7743" t="str">
            <v/>
          </cell>
          <cell r="AC7743" t="str">
            <v/>
          </cell>
          <cell r="AD7743" t="str">
            <v/>
          </cell>
          <cell r="AY7743" t="str">
            <v/>
          </cell>
          <cell r="AZ7743" t="str">
            <v/>
          </cell>
          <cell r="BA7743" t="str">
            <v/>
          </cell>
        </row>
        <row r="7744">
          <cell r="B7744" t="str">
            <v>-</v>
          </cell>
          <cell r="E7744" t="str">
            <v/>
          </cell>
          <cell r="G7744" t="str">
            <v/>
          </cell>
          <cell r="J7744" t="str">
            <v/>
          </cell>
          <cell r="O7744" t="str">
            <v/>
          </cell>
          <cell r="P7744" t="str">
            <v/>
          </cell>
          <cell r="Q7744" t="str">
            <v/>
          </cell>
          <cell r="S7744" t="str">
            <v/>
          </cell>
          <cell r="V7744" t="str">
            <v/>
          </cell>
          <cell r="Z7744" t="str">
            <v/>
          </cell>
          <cell r="AA7744" t="str">
            <v/>
          </cell>
          <cell r="AB7744" t="str">
            <v/>
          </cell>
          <cell r="AC7744" t="str">
            <v/>
          </cell>
          <cell r="AD7744" t="str">
            <v/>
          </cell>
          <cell r="AY7744" t="str">
            <v/>
          </cell>
          <cell r="AZ7744" t="str">
            <v/>
          </cell>
          <cell r="BA7744" t="str">
            <v/>
          </cell>
        </row>
        <row r="7745">
          <cell r="B7745" t="str">
            <v>-</v>
          </cell>
          <cell r="E7745" t="str">
            <v/>
          </cell>
          <cell r="G7745" t="str">
            <v/>
          </cell>
          <cell r="J7745" t="str">
            <v/>
          </cell>
          <cell r="O7745" t="str">
            <v/>
          </cell>
          <cell r="P7745" t="str">
            <v/>
          </cell>
          <cell r="Q7745" t="str">
            <v/>
          </cell>
          <cell r="S7745" t="str">
            <v/>
          </cell>
          <cell r="V7745" t="str">
            <v/>
          </cell>
          <cell r="Z7745" t="str">
            <v/>
          </cell>
          <cell r="AA7745" t="str">
            <v/>
          </cell>
          <cell r="AB7745" t="str">
            <v/>
          </cell>
          <cell r="AC7745" t="str">
            <v/>
          </cell>
          <cell r="AD7745" t="str">
            <v/>
          </cell>
          <cell r="AY7745" t="str">
            <v/>
          </cell>
          <cell r="AZ7745" t="str">
            <v/>
          </cell>
          <cell r="BA7745" t="str">
            <v/>
          </cell>
        </row>
        <row r="7746">
          <cell r="B7746" t="str">
            <v>-</v>
          </cell>
          <cell r="E7746" t="str">
            <v/>
          </cell>
          <cell r="G7746" t="str">
            <v/>
          </cell>
          <cell r="J7746" t="str">
            <v/>
          </cell>
          <cell r="O7746" t="str">
            <v/>
          </cell>
          <cell r="P7746" t="str">
            <v/>
          </cell>
          <cell r="Q7746" t="str">
            <v/>
          </cell>
          <cell r="S7746" t="str">
            <v/>
          </cell>
          <cell r="V7746" t="str">
            <v/>
          </cell>
          <cell r="Z7746" t="str">
            <v/>
          </cell>
          <cell r="AA7746" t="str">
            <v/>
          </cell>
          <cell r="AB7746" t="str">
            <v/>
          </cell>
          <cell r="AC7746" t="str">
            <v/>
          </cell>
          <cell r="AD7746" t="str">
            <v/>
          </cell>
          <cell r="AY7746" t="str">
            <v/>
          </cell>
          <cell r="AZ7746" t="str">
            <v/>
          </cell>
          <cell r="BA7746" t="str">
            <v/>
          </cell>
        </row>
        <row r="7747">
          <cell r="B7747" t="str">
            <v>-</v>
          </cell>
          <cell r="E7747" t="str">
            <v/>
          </cell>
          <cell r="G7747" t="str">
            <v/>
          </cell>
          <cell r="J7747" t="str">
            <v/>
          </cell>
          <cell r="O7747" t="str">
            <v/>
          </cell>
          <cell r="P7747" t="str">
            <v/>
          </cell>
          <cell r="Q7747" t="str">
            <v/>
          </cell>
          <cell r="S7747" t="str">
            <v/>
          </cell>
          <cell r="V7747" t="str">
            <v/>
          </cell>
          <cell r="Z7747" t="str">
            <v/>
          </cell>
          <cell r="AA7747" t="str">
            <v/>
          </cell>
          <cell r="AB7747" t="str">
            <v/>
          </cell>
          <cell r="AC7747" t="str">
            <v/>
          </cell>
          <cell r="AD7747" t="str">
            <v/>
          </cell>
          <cell r="AY7747" t="str">
            <v/>
          </cell>
          <cell r="AZ7747" t="str">
            <v/>
          </cell>
          <cell r="BA7747" t="str">
            <v/>
          </cell>
        </row>
        <row r="7748">
          <cell r="B7748" t="str">
            <v>-</v>
          </cell>
          <cell r="E7748" t="str">
            <v/>
          </cell>
          <cell r="G7748" t="str">
            <v/>
          </cell>
          <cell r="J7748" t="str">
            <v/>
          </cell>
          <cell r="O7748" t="str">
            <v/>
          </cell>
          <cell r="P7748" t="str">
            <v/>
          </cell>
          <cell r="Q7748" t="str">
            <v/>
          </cell>
          <cell r="S7748" t="str">
            <v/>
          </cell>
          <cell r="V7748" t="str">
            <v/>
          </cell>
          <cell r="Z7748" t="str">
            <v/>
          </cell>
          <cell r="AA7748" t="str">
            <v/>
          </cell>
          <cell r="AB7748" t="str">
            <v/>
          </cell>
          <cell r="AC7748" t="str">
            <v/>
          </cell>
          <cell r="AD7748" t="str">
            <v/>
          </cell>
          <cell r="AY7748" t="str">
            <v/>
          </cell>
          <cell r="AZ7748" t="str">
            <v/>
          </cell>
          <cell r="BA7748" t="str">
            <v/>
          </cell>
        </row>
        <row r="7749">
          <cell r="B7749" t="str">
            <v>-</v>
          </cell>
          <cell r="E7749" t="str">
            <v/>
          </cell>
          <cell r="G7749" t="str">
            <v/>
          </cell>
          <cell r="J7749" t="str">
            <v/>
          </cell>
          <cell r="O7749" t="str">
            <v/>
          </cell>
          <cell r="P7749" t="str">
            <v/>
          </cell>
          <cell r="Q7749" t="str">
            <v/>
          </cell>
          <cell r="S7749" t="str">
            <v/>
          </cell>
          <cell r="V7749" t="str">
            <v/>
          </cell>
          <cell r="Z7749" t="str">
            <v/>
          </cell>
          <cell r="AA7749" t="str">
            <v/>
          </cell>
          <cell r="AB7749" t="str">
            <v/>
          </cell>
          <cell r="AC7749" t="str">
            <v/>
          </cell>
          <cell r="AD7749" t="str">
            <v/>
          </cell>
          <cell r="AY7749" t="str">
            <v/>
          </cell>
          <cell r="AZ7749" t="str">
            <v/>
          </cell>
          <cell r="BA7749" t="str">
            <v/>
          </cell>
        </row>
        <row r="7750">
          <cell r="B7750" t="str">
            <v>-</v>
          </cell>
          <cell r="E7750" t="str">
            <v/>
          </cell>
          <cell r="G7750" t="str">
            <v/>
          </cell>
          <cell r="J7750" t="str">
            <v/>
          </cell>
          <cell r="O7750" t="str">
            <v/>
          </cell>
          <cell r="P7750" t="str">
            <v/>
          </cell>
          <cell r="Q7750" t="str">
            <v/>
          </cell>
          <cell r="S7750" t="str">
            <v/>
          </cell>
          <cell r="V7750" t="str">
            <v/>
          </cell>
          <cell r="Z7750" t="str">
            <v/>
          </cell>
          <cell r="AA7750" t="str">
            <v/>
          </cell>
          <cell r="AB7750" t="str">
            <v/>
          </cell>
          <cell r="AC7750" t="str">
            <v/>
          </cell>
          <cell r="AD7750" t="str">
            <v/>
          </cell>
          <cell r="AY7750" t="str">
            <v/>
          </cell>
          <cell r="AZ7750" t="str">
            <v/>
          </cell>
          <cell r="BA7750" t="str">
            <v/>
          </cell>
        </row>
        <row r="7751">
          <cell r="B7751" t="str">
            <v>-</v>
          </cell>
          <cell r="E7751" t="str">
            <v/>
          </cell>
          <cell r="G7751" t="str">
            <v/>
          </cell>
          <cell r="J7751" t="str">
            <v/>
          </cell>
          <cell r="O7751" t="str">
            <v/>
          </cell>
          <cell r="P7751" t="str">
            <v/>
          </cell>
          <cell r="Q7751" t="str">
            <v/>
          </cell>
          <cell r="S7751" t="str">
            <v/>
          </cell>
          <cell r="V7751" t="str">
            <v/>
          </cell>
          <cell r="Z7751" t="str">
            <v/>
          </cell>
          <cell r="AA7751" t="str">
            <v/>
          </cell>
          <cell r="AB7751" t="str">
            <v/>
          </cell>
          <cell r="AC7751" t="str">
            <v/>
          </cell>
          <cell r="AD7751" t="str">
            <v/>
          </cell>
          <cell r="AY7751" t="str">
            <v/>
          </cell>
          <cell r="AZ7751" t="str">
            <v/>
          </cell>
          <cell r="BA7751" t="str">
            <v/>
          </cell>
        </row>
        <row r="7752">
          <cell r="B7752" t="str">
            <v>-</v>
          </cell>
          <cell r="E7752" t="str">
            <v/>
          </cell>
          <cell r="G7752" t="str">
            <v/>
          </cell>
          <cell r="J7752" t="str">
            <v/>
          </cell>
          <cell r="O7752" t="str">
            <v/>
          </cell>
          <cell r="P7752" t="str">
            <v/>
          </cell>
          <cell r="Q7752" t="str">
            <v/>
          </cell>
          <cell r="S7752" t="str">
            <v/>
          </cell>
          <cell r="V7752" t="str">
            <v/>
          </cell>
          <cell r="Z7752" t="str">
            <v/>
          </cell>
          <cell r="AA7752" t="str">
            <v/>
          </cell>
          <cell r="AB7752" t="str">
            <v/>
          </cell>
          <cell r="AC7752" t="str">
            <v/>
          </cell>
          <cell r="AD7752" t="str">
            <v/>
          </cell>
          <cell r="AY7752" t="str">
            <v/>
          </cell>
          <cell r="AZ7752" t="str">
            <v/>
          </cell>
          <cell r="BA7752" t="str">
            <v/>
          </cell>
        </row>
        <row r="7753">
          <cell r="B7753" t="str">
            <v>-</v>
          </cell>
          <cell r="E7753" t="str">
            <v/>
          </cell>
          <cell r="G7753" t="str">
            <v/>
          </cell>
          <cell r="J7753" t="str">
            <v/>
          </cell>
          <cell r="O7753" t="str">
            <v/>
          </cell>
          <cell r="P7753" t="str">
            <v/>
          </cell>
          <cell r="Q7753" t="str">
            <v/>
          </cell>
          <cell r="S7753" t="str">
            <v/>
          </cell>
          <cell r="V7753" t="str">
            <v/>
          </cell>
          <cell r="Z7753" t="str">
            <v/>
          </cell>
          <cell r="AA7753" t="str">
            <v/>
          </cell>
          <cell r="AB7753" t="str">
            <v/>
          </cell>
          <cell r="AC7753" t="str">
            <v/>
          </cell>
          <cell r="AD7753" t="str">
            <v/>
          </cell>
          <cell r="AY7753" t="str">
            <v/>
          </cell>
          <cell r="AZ7753" t="str">
            <v/>
          </cell>
          <cell r="BA7753" t="str">
            <v/>
          </cell>
        </row>
        <row r="7754">
          <cell r="B7754" t="str">
            <v>-</v>
          </cell>
          <cell r="E7754" t="str">
            <v/>
          </cell>
          <cell r="G7754" t="str">
            <v/>
          </cell>
          <cell r="J7754" t="str">
            <v/>
          </cell>
          <cell r="O7754" t="str">
            <v/>
          </cell>
          <cell r="P7754" t="str">
            <v/>
          </cell>
          <cell r="Q7754" t="str">
            <v/>
          </cell>
          <cell r="S7754" t="str">
            <v/>
          </cell>
          <cell r="V7754" t="str">
            <v/>
          </cell>
          <cell r="Z7754" t="str">
            <v/>
          </cell>
          <cell r="AA7754" t="str">
            <v/>
          </cell>
          <cell r="AB7754" t="str">
            <v/>
          </cell>
          <cell r="AC7754" t="str">
            <v/>
          </cell>
          <cell r="AD7754" t="str">
            <v/>
          </cell>
          <cell r="AY7754" t="str">
            <v/>
          </cell>
          <cell r="AZ7754" t="str">
            <v/>
          </cell>
          <cell r="BA7754" t="str">
            <v/>
          </cell>
        </row>
        <row r="7755">
          <cell r="B7755" t="str">
            <v>-</v>
          </cell>
          <cell r="E7755" t="str">
            <v/>
          </cell>
          <cell r="G7755" t="str">
            <v/>
          </cell>
          <cell r="J7755" t="str">
            <v/>
          </cell>
          <cell r="O7755" t="str">
            <v/>
          </cell>
          <cell r="P7755" t="str">
            <v/>
          </cell>
          <cell r="Q7755" t="str">
            <v/>
          </cell>
          <cell r="S7755" t="str">
            <v/>
          </cell>
          <cell r="V7755" t="str">
            <v/>
          </cell>
          <cell r="Z7755" t="str">
            <v/>
          </cell>
          <cell r="AA7755" t="str">
            <v/>
          </cell>
          <cell r="AB7755" t="str">
            <v/>
          </cell>
          <cell r="AC7755" t="str">
            <v/>
          </cell>
          <cell r="AD7755" t="str">
            <v/>
          </cell>
          <cell r="AY7755" t="str">
            <v/>
          </cell>
          <cell r="AZ7755" t="str">
            <v/>
          </cell>
          <cell r="BA7755" t="str">
            <v/>
          </cell>
        </row>
        <row r="7756">
          <cell r="B7756" t="str">
            <v>-</v>
          </cell>
          <cell r="E7756" t="str">
            <v/>
          </cell>
          <cell r="G7756" t="str">
            <v/>
          </cell>
          <cell r="J7756" t="str">
            <v/>
          </cell>
          <cell r="O7756" t="str">
            <v/>
          </cell>
          <cell r="P7756" t="str">
            <v/>
          </cell>
          <cell r="Q7756" t="str">
            <v/>
          </cell>
          <cell r="S7756" t="str">
            <v/>
          </cell>
          <cell r="V7756" t="str">
            <v/>
          </cell>
          <cell r="Z7756" t="str">
            <v/>
          </cell>
          <cell r="AA7756" t="str">
            <v/>
          </cell>
          <cell r="AB7756" t="str">
            <v/>
          </cell>
          <cell r="AC7756" t="str">
            <v/>
          </cell>
          <cell r="AD7756" t="str">
            <v/>
          </cell>
          <cell r="AY7756" t="str">
            <v/>
          </cell>
          <cell r="AZ7756" t="str">
            <v/>
          </cell>
          <cell r="BA7756" t="str">
            <v/>
          </cell>
        </row>
        <row r="7757">
          <cell r="B7757" t="str">
            <v>-</v>
          </cell>
          <cell r="E7757" t="str">
            <v/>
          </cell>
          <cell r="G7757" t="str">
            <v/>
          </cell>
          <cell r="J7757" t="str">
            <v/>
          </cell>
          <cell r="O7757" t="str">
            <v/>
          </cell>
          <cell r="P7757" t="str">
            <v/>
          </cell>
          <cell r="Q7757" t="str">
            <v/>
          </cell>
          <cell r="S7757" t="str">
            <v/>
          </cell>
          <cell r="V7757" t="str">
            <v/>
          </cell>
          <cell r="Z7757" t="str">
            <v/>
          </cell>
          <cell r="AA7757" t="str">
            <v/>
          </cell>
          <cell r="AB7757" t="str">
            <v/>
          </cell>
          <cell r="AC7757" t="str">
            <v/>
          </cell>
          <cell r="AD7757" t="str">
            <v/>
          </cell>
          <cell r="AY7757" t="str">
            <v/>
          </cell>
          <cell r="AZ7757" t="str">
            <v/>
          </cell>
          <cell r="BA7757" t="str">
            <v/>
          </cell>
        </row>
        <row r="7758">
          <cell r="B7758" t="str">
            <v>-</v>
          </cell>
          <cell r="E7758" t="str">
            <v/>
          </cell>
          <cell r="G7758" t="str">
            <v/>
          </cell>
          <cell r="J7758" t="str">
            <v/>
          </cell>
          <cell r="O7758" t="str">
            <v/>
          </cell>
          <cell r="P7758" t="str">
            <v/>
          </cell>
          <cell r="Q7758" t="str">
            <v/>
          </cell>
          <cell r="S7758" t="str">
            <v/>
          </cell>
          <cell r="V7758" t="str">
            <v/>
          </cell>
          <cell r="Z7758" t="str">
            <v/>
          </cell>
          <cell r="AA7758" t="str">
            <v/>
          </cell>
          <cell r="AB7758" t="str">
            <v/>
          </cell>
          <cell r="AC7758" t="str">
            <v/>
          </cell>
          <cell r="AD7758" t="str">
            <v/>
          </cell>
          <cell r="AY7758" t="str">
            <v/>
          </cell>
          <cell r="AZ7758" t="str">
            <v/>
          </cell>
          <cell r="BA7758" t="str">
            <v/>
          </cell>
        </row>
        <row r="7759">
          <cell r="B7759" t="str">
            <v>-</v>
          </cell>
          <cell r="E7759" t="str">
            <v/>
          </cell>
          <cell r="G7759" t="str">
            <v/>
          </cell>
          <cell r="J7759" t="str">
            <v/>
          </cell>
          <cell r="O7759" t="str">
            <v/>
          </cell>
          <cell r="P7759" t="str">
            <v/>
          </cell>
          <cell r="Q7759" t="str">
            <v/>
          </cell>
          <cell r="S7759" t="str">
            <v/>
          </cell>
          <cell r="V7759" t="str">
            <v/>
          </cell>
          <cell r="Z7759" t="str">
            <v/>
          </cell>
          <cell r="AA7759" t="str">
            <v/>
          </cell>
          <cell r="AB7759" t="str">
            <v/>
          </cell>
          <cell r="AC7759" t="str">
            <v/>
          </cell>
          <cell r="AD7759" t="str">
            <v/>
          </cell>
          <cell r="AY7759" t="str">
            <v/>
          </cell>
          <cell r="AZ7759" t="str">
            <v/>
          </cell>
          <cell r="BA7759" t="str">
            <v/>
          </cell>
        </row>
        <row r="7760">
          <cell r="B7760" t="str">
            <v>-</v>
          </cell>
          <cell r="E7760" t="str">
            <v/>
          </cell>
          <cell r="G7760" t="str">
            <v/>
          </cell>
          <cell r="J7760" t="str">
            <v/>
          </cell>
          <cell r="O7760" t="str">
            <v/>
          </cell>
          <cell r="P7760" t="str">
            <v/>
          </cell>
          <cell r="Q7760" t="str">
            <v/>
          </cell>
          <cell r="S7760" t="str">
            <v/>
          </cell>
          <cell r="V7760" t="str">
            <v/>
          </cell>
          <cell r="Z7760" t="str">
            <v/>
          </cell>
          <cell r="AA7760" t="str">
            <v/>
          </cell>
          <cell r="AB7760" t="str">
            <v/>
          </cell>
          <cell r="AC7760" t="str">
            <v/>
          </cell>
          <cell r="AD7760" t="str">
            <v/>
          </cell>
          <cell r="AY7760" t="str">
            <v/>
          </cell>
          <cell r="AZ7760" t="str">
            <v/>
          </cell>
          <cell r="BA7760" t="str">
            <v/>
          </cell>
        </row>
        <row r="7761">
          <cell r="B7761" t="str">
            <v>-</v>
          </cell>
          <cell r="E7761" t="str">
            <v/>
          </cell>
          <cell r="G7761" t="str">
            <v/>
          </cell>
          <cell r="J7761" t="str">
            <v/>
          </cell>
          <cell r="O7761" t="str">
            <v/>
          </cell>
          <cell r="P7761" t="str">
            <v/>
          </cell>
          <cell r="Q7761" t="str">
            <v/>
          </cell>
          <cell r="S7761" t="str">
            <v/>
          </cell>
          <cell r="V7761" t="str">
            <v/>
          </cell>
          <cell r="Z7761" t="str">
            <v/>
          </cell>
          <cell r="AA7761" t="str">
            <v/>
          </cell>
          <cell r="AB7761" t="str">
            <v/>
          </cell>
          <cell r="AC7761" t="str">
            <v/>
          </cell>
          <cell r="AD7761" t="str">
            <v/>
          </cell>
          <cell r="AY7761" t="str">
            <v/>
          </cell>
          <cell r="AZ7761" t="str">
            <v/>
          </cell>
          <cell r="BA7761" t="str">
            <v/>
          </cell>
        </row>
        <row r="7762">
          <cell r="B7762" t="str">
            <v>-</v>
          </cell>
          <cell r="E7762" t="str">
            <v/>
          </cell>
          <cell r="G7762" t="str">
            <v/>
          </cell>
          <cell r="J7762" t="str">
            <v/>
          </cell>
          <cell r="O7762" t="str">
            <v/>
          </cell>
          <cell r="P7762" t="str">
            <v/>
          </cell>
          <cell r="Q7762" t="str">
            <v/>
          </cell>
          <cell r="S7762" t="str">
            <v/>
          </cell>
          <cell r="V7762" t="str">
            <v/>
          </cell>
          <cell r="Z7762" t="str">
            <v/>
          </cell>
          <cell r="AA7762" t="str">
            <v/>
          </cell>
          <cell r="AB7762" t="str">
            <v/>
          </cell>
          <cell r="AC7762" t="str">
            <v/>
          </cell>
          <cell r="AD7762" t="str">
            <v/>
          </cell>
          <cell r="AY7762" t="str">
            <v/>
          </cell>
          <cell r="AZ7762" t="str">
            <v/>
          </cell>
          <cell r="BA7762" t="str">
            <v/>
          </cell>
        </row>
        <row r="7763">
          <cell r="B7763" t="str">
            <v>-</v>
          </cell>
          <cell r="E7763" t="str">
            <v/>
          </cell>
          <cell r="G7763" t="str">
            <v/>
          </cell>
          <cell r="J7763" t="str">
            <v/>
          </cell>
          <cell r="O7763" t="str">
            <v/>
          </cell>
          <cell r="P7763" t="str">
            <v/>
          </cell>
          <cell r="Q7763" t="str">
            <v/>
          </cell>
          <cell r="S7763" t="str">
            <v/>
          </cell>
          <cell r="V7763" t="str">
            <v/>
          </cell>
          <cell r="Z7763" t="str">
            <v/>
          </cell>
          <cell r="AA7763" t="str">
            <v/>
          </cell>
          <cell r="AB7763" t="str">
            <v/>
          </cell>
          <cell r="AC7763" t="str">
            <v/>
          </cell>
          <cell r="AD7763" t="str">
            <v/>
          </cell>
          <cell r="AY7763" t="str">
            <v/>
          </cell>
          <cell r="AZ7763" t="str">
            <v/>
          </cell>
          <cell r="BA7763" t="str">
            <v/>
          </cell>
        </row>
        <row r="7764">
          <cell r="B7764" t="str">
            <v>-</v>
          </cell>
          <cell r="E7764" t="str">
            <v/>
          </cell>
          <cell r="G7764" t="str">
            <v/>
          </cell>
          <cell r="J7764" t="str">
            <v/>
          </cell>
          <cell r="O7764" t="str">
            <v/>
          </cell>
          <cell r="P7764" t="str">
            <v/>
          </cell>
          <cell r="Q7764" t="str">
            <v/>
          </cell>
          <cell r="S7764" t="str">
            <v/>
          </cell>
          <cell r="V7764" t="str">
            <v/>
          </cell>
          <cell r="Z7764" t="str">
            <v/>
          </cell>
          <cell r="AA7764" t="str">
            <v/>
          </cell>
          <cell r="AB7764" t="str">
            <v/>
          </cell>
          <cell r="AC7764" t="str">
            <v/>
          </cell>
          <cell r="AD7764" t="str">
            <v/>
          </cell>
          <cell r="AY7764" t="str">
            <v/>
          </cell>
          <cell r="AZ7764" t="str">
            <v/>
          </cell>
          <cell r="BA7764" t="str">
            <v/>
          </cell>
        </row>
        <row r="7765">
          <cell r="B7765" t="str">
            <v>-</v>
          </cell>
          <cell r="E7765" t="str">
            <v/>
          </cell>
          <cell r="G7765" t="str">
            <v/>
          </cell>
          <cell r="J7765" t="str">
            <v/>
          </cell>
          <cell r="O7765" t="str">
            <v/>
          </cell>
          <cell r="P7765" t="str">
            <v/>
          </cell>
          <cell r="Q7765" t="str">
            <v/>
          </cell>
          <cell r="S7765" t="str">
            <v/>
          </cell>
          <cell r="V7765" t="str">
            <v/>
          </cell>
          <cell r="Z7765" t="str">
            <v/>
          </cell>
          <cell r="AA7765" t="str">
            <v/>
          </cell>
          <cell r="AB7765" t="str">
            <v/>
          </cell>
          <cell r="AC7765" t="str">
            <v/>
          </cell>
          <cell r="AD7765" t="str">
            <v/>
          </cell>
          <cell r="AY7765" t="str">
            <v/>
          </cell>
          <cell r="AZ7765" t="str">
            <v/>
          </cell>
          <cell r="BA7765" t="str">
            <v/>
          </cell>
        </row>
        <row r="7766">
          <cell r="B7766" t="str">
            <v>-</v>
          </cell>
          <cell r="E7766" t="str">
            <v/>
          </cell>
          <cell r="G7766" t="str">
            <v/>
          </cell>
          <cell r="J7766" t="str">
            <v/>
          </cell>
          <cell r="O7766" t="str">
            <v/>
          </cell>
          <cell r="P7766" t="str">
            <v/>
          </cell>
          <cell r="Q7766" t="str">
            <v/>
          </cell>
          <cell r="S7766" t="str">
            <v/>
          </cell>
          <cell r="V7766" t="str">
            <v/>
          </cell>
          <cell r="Z7766" t="str">
            <v/>
          </cell>
          <cell r="AA7766" t="str">
            <v/>
          </cell>
          <cell r="AB7766" t="str">
            <v/>
          </cell>
          <cell r="AC7766" t="str">
            <v/>
          </cell>
          <cell r="AD7766" t="str">
            <v/>
          </cell>
          <cell r="AY7766" t="str">
            <v/>
          </cell>
          <cell r="AZ7766" t="str">
            <v/>
          </cell>
          <cell r="BA7766" t="str">
            <v/>
          </cell>
        </row>
        <row r="7767">
          <cell r="B7767" t="str">
            <v>-</v>
          </cell>
          <cell r="E7767" t="str">
            <v/>
          </cell>
          <cell r="G7767" t="str">
            <v/>
          </cell>
          <cell r="J7767" t="str">
            <v/>
          </cell>
          <cell r="O7767" t="str">
            <v/>
          </cell>
          <cell r="P7767" t="str">
            <v/>
          </cell>
          <cell r="Q7767" t="str">
            <v/>
          </cell>
          <cell r="S7767" t="str">
            <v/>
          </cell>
          <cell r="V7767" t="str">
            <v/>
          </cell>
          <cell r="Z7767" t="str">
            <v/>
          </cell>
          <cell r="AA7767" t="str">
            <v/>
          </cell>
          <cell r="AB7767" t="str">
            <v/>
          </cell>
          <cell r="AC7767" t="str">
            <v/>
          </cell>
          <cell r="AD7767" t="str">
            <v/>
          </cell>
          <cell r="AY7767" t="str">
            <v/>
          </cell>
          <cell r="AZ7767" t="str">
            <v/>
          </cell>
          <cell r="BA7767" t="str">
            <v/>
          </cell>
        </row>
        <row r="7768">
          <cell r="B7768" t="str">
            <v>-</v>
          </cell>
          <cell r="E7768" t="str">
            <v/>
          </cell>
          <cell r="G7768" t="str">
            <v/>
          </cell>
          <cell r="J7768" t="str">
            <v/>
          </cell>
          <cell r="O7768" t="str">
            <v/>
          </cell>
          <cell r="P7768" t="str">
            <v/>
          </cell>
          <cell r="Q7768" t="str">
            <v/>
          </cell>
          <cell r="S7768" t="str">
            <v/>
          </cell>
          <cell r="V7768" t="str">
            <v/>
          </cell>
          <cell r="Z7768" t="str">
            <v/>
          </cell>
          <cell r="AA7768" t="str">
            <v/>
          </cell>
          <cell r="AB7768" t="str">
            <v/>
          </cell>
          <cell r="AC7768" t="str">
            <v/>
          </cell>
          <cell r="AD7768" t="str">
            <v/>
          </cell>
          <cell r="AY7768" t="str">
            <v/>
          </cell>
          <cell r="AZ7768" t="str">
            <v/>
          </cell>
          <cell r="BA7768" t="str">
            <v/>
          </cell>
        </row>
        <row r="7769">
          <cell r="B7769" t="str">
            <v>-</v>
          </cell>
          <cell r="E7769" t="str">
            <v/>
          </cell>
          <cell r="G7769" t="str">
            <v/>
          </cell>
          <cell r="J7769" t="str">
            <v/>
          </cell>
          <cell r="O7769" t="str">
            <v/>
          </cell>
          <cell r="P7769" t="str">
            <v/>
          </cell>
          <cell r="Q7769" t="str">
            <v/>
          </cell>
          <cell r="S7769" t="str">
            <v/>
          </cell>
          <cell r="V7769" t="str">
            <v/>
          </cell>
          <cell r="Z7769" t="str">
            <v/>
          </cell>
          <cell r="AA7769" t="str">
            <v/>
          </cell>
          <cell r="AB7769" t="str">
            <v/>
          </cell>
          <cell r="AC7769" t="str">
            <v/>
          </cell>
          <cell r="AD7769" t="str">
            <v/>
          </cell>
          <cell r="AY7769" t="str">
            <v/>
          </cell>
          <cell r="AZ7769" t="str">
            <v/>
          </cell>
          <cell r="BA7769" t="str">
            <v/>
          </cell>
        </row>
        <row r="7770">
          <cell r="B7770" t="str">
            <v>-</v>
          </cell>
          <cell r="E7770" t="str">
            <v/>
          </cell>
          <cell r="G7770" t="str">
            <v/>
          </cell>
          <cell r="J7770" t="str">
            <v/>
          </cell>
          <cell r="O7770" t="str">
            <v/>
          </cell>
          <cell r="P7770" t="str">
            <v/>
          </cell>
          <cell r="Q7770" t="str">
            <v/>
          </cell>
          <cell r="S7770" t="str">
            <v/>
          </cell>
          <cell r="V7770" t="str">
            <v/>
          </cell>
          <cell r="Z7770" t="str">
            <v/>
          </cell>
          <cell r="AA7770" t="str">
            <v/>
          </cell>
          <cell r="AB7770" t="str">
            <v/>
          </cell>
          <cell r="AC7770" t="str">
            <v/>
          </cell>
          <cell r="AD7770" t="str">
            <v/>
          </cell>
          <cell r="AY7770" t="str">
            <v/>
          </cell>
          <cell r="AZ7770" t="str">
            <v/>
          </cell>
          <cell r="BA7770" t="str">
            <v/>
          </cell>
        </row>
        <row r="7771">
          <cell r="B7771" t="str">
            <v>-</v>
          </cell>
          <cell r="E7771" t="str">
            <v/>
          </cell>
          <cell r="G7771" t="str">
            <v/>
          </cell>
          <cell r="J7771" t="str">
            <v/>
          </cell>
          <cell r="O7771" t="str">
            <v/>
          </cell>
          <cell r="P7771" t="str">
            <v/>
          </cell>
          <cell r="Q7771" t="str">
            <v/>
          </cell>
          <cell r="S7771" t="str">
            <v/>
          </cell>
          <cell r="V7771" t="str">
            <v/>
          </cell>
          <cell r="Z7771" t="str">
            <v/>
          </cell>
          <cell r="AA7771" t="str">
            <v/>
          </cell>
          <cell r="AB7771" t="str">
            <v/>
          </cell>
          <cell r="AC7771" t="str">
            <v/>
          </cell>
          <cell r="AD7771" t="str">
            <v/>
          </cell>
          <cell r="AY7771" t="str">
            <v/>
          </cell>
          <cell r="AZ7771" t="str">
            <v/>
          </cell>
          <cell r="BA7771" t="str">
            <v/>
          </cell>
        </row>
        <row r="7772">
          <cell r="B7772" t="str">
            <v>-</v>
          </cell>
          <cell r="E7772" t="str">
            <v/>
          </cell>
          <cell r="G7772" t="str">
            <v/>
          </cell>
          <cell r="J7772" t="str">
            <v/>
          </cell>
          <cell r="O7772" t="str">
            <v/>
          </cell>
          <cell r="P7772" t="str">
            <v/>
          </cell>
          <cell r="Q7772" t="str">
            <v/>
          </cell>
          <cell r="S7772" t="str">
            <v/>
          </cell>
          <cell r="V7772" t="str">
            <v/>
          </cell>
          <cell r="Z7772" t="str">
            <v/>
          </cell>
          <cell r="AA7772" t="str">
            <v/>
          </cell>
          <cell r="AB7772" t="str">
            <v/>
          </cell>
          <cell r="AC7772" t="str">
            <v/>
          </cell>
          <cell r="AD7772" t="str">
            <v/>
          </cell>
          <cell r="AY7772" t="str">
            <v/>
          </cell>
          <cell r="AZ7772" t="str">
            <v/>
          </cell>
          <cell r="BA7772" t="str">
            <v/>
          </cell>
        </row>
        <row r="7773">
          <cell r="B7773" t="str">
            <v>-</v>
          </cell>
          <cell r="E7773" t="str">
            <v/>
          </cell>
          <cell r="G7773" t="str">
            <v/>
          </cell>
          <cell r="J7773" t="str">
            <v/>
          </cell>
          <cell r="O7773" t="str">
            <v/>
          </cell>
          <cell r="P7773" t="str">
            <v/>
          </cell>
          <cell r="Q7773" t="str">
            <v/>
          </cell>
          <cell r="S7773" t="str">
            <v/>
          </cell>
          <cell r="V7773" t="str">
            <v/>
          </cell>
          <cell r="Z7773" t="str">
            <v/>
          </cell>
          <cell r="AA7773" t="str">
            <v/>
          </cell>
          <cell r="AB7773" t="str">
            <v/>
          </cell>
          <cell r="AC7773" t="str">
            <v/>
          </cell>
          <cell r="AD7773" t="str">
            <v/>
          </cell>
          <cell r="AY7773" t="str">
            <v/>
          </cell>
          <cell r="AZ7773" t="str">
            <v/>
          </cell>
          <cell r="BA7773" t="str">
            <v/>
          </cell>
        </row>
        <row r="7774">
          <cell r="B7774" t="str">
            <v>-</v>
          </cell>
          <cell r="E7774" t="str">
            <v/>
          </cell>
          <cell r="G7774" t="str">
            <v/>
          </cell>
          <cell r="J7774" t="str">
            <v/>
          </cell>
          <cell r="O7774" t="str">
            <v/>
          </cell>
          <cell r="P7774" t="str">
            <v/>
          </cell>
          <cell r="Q7774" t="str">
            <v/>
          </cell>
          <cell r="S7774" t="str">
            <v/>
          </cell>
          <cell r="V7774" t="str">
            <v/>
          </cell>
          <cell r="Z7774" t="str">
            <v/>
          </cell>
          <cell r="AA7774" t="str">
            <v/>
          </cell>
          <cell r="AB7774" t="str">
            <v/>
          </cell>
          <cell r="AC7774" t="str">
            <v/>
          </cell>
          <cell r="AD7774" t="str">
            <v/>
          </cell>
          <cell r="AY7774" t="str">
            <v/>
          </cell>
          <cell r="AZ7774" t="str">
            <v/>
          </cell>
          <cell r="BA7774" t="str">
            <v/>
          </cell>
        </row>
        <row r="7775">
          <cell r="B7775" t="str">
            <v>-</v>
          </cell>
          <cell r="E7775" t="str">
            <v/>
          </cell>
          <cell r="G7775" t="str">
            <v/>
          </cell>
          <cell r="J7775" t="str">
            <v/>
          </cell>
          <cell r="O7775" t="str">
            <v/>
          </cell>
          <cell r="P7775" t="str">
            <v/>
          </cell>
          <cell r="Q7775" t="str">
            <v/>
          </cell>
          <cell r="S7775" t="str">
            <v/>
          </cell>
          <cell r="V7775" t="str">
            <v/>
          </cell>
          <cell r="Z7775" t="str">
            <v/>
          </cell>
          <cell r="AA7775" t="str">
            <v/>
          </cell>
          <cell r="AB7775" t="str">
            <v/>
          </cell>
          <cell r="AC7775" t="str">
            <v/>
          </cell>
          <cell r="AD7775" t="str">
            <v/>
          </cell>
          <cell r="AY7775" t="str">
            <v/>
          </cell>
          <cell r="AZ7775" t="str">
            <v/>
          </cell>
          <cell r="BA7775" t="str">
            <v/>
          </cell>
        </row>
        <row r="7776">
          <cell r="B7776" t="str">
            <v>-</v>
          </cell>
          <cell r="E7776" t="str">
            <v/>
          </cell>
          <cell r="G7776" t="str">
            <v/>
          </cell>
          <cell r="J7776" t="str">
            <v/>
          </cell>
          <cell r="O7776" t="str">
            <v/>
          </cell>
          <cell r="P7776" t="str">
            <v/>
          </cell>
          <cell r="Q7776" t="str">
            <v/>
          </cell>
          <cell r="S7776" t="str">
            <v/>
          </cell>
          <cell r="V7776" t="str">
            <v/>
          </cell>
          <cell r="Z7776" t="str">
            <v/>
          </cell>
          <cell r="AA7776" t="str">
            <v/>
          </cell>
          <cell r="AB7776" t="str">
            <v/>
          </cell>
          <cell r="AC7776" t="str">
            <v/>
          </cell>
          <cell r="AD7776" t="str">
            <v/>
          </cell>
          <cell r="AY7776" t="str">
            <v/>
          </cell>
          <cell r="AZ7776" t="str">
            <v/>
          </cell>
          <cell r="BA7776" t="str">
            <v/>
          </cell>
        </row>
        <row r="7777">
          <cell r="B7777" t="str">
            <v>-</v>
          </cell>
          <cell r="E7777" t="str">
            <v/>
          </cell>
          <cell r="G7777" t="str">
            <v/>
          </cell>
          <cell r="J7777" t="str">
            <v/>
          </cell>
          <cell r="O7777" t="str">
            <v/>
          </cell>
          <cell r="P7777" t="str">
            <v/>
          </cell>
          <cell r="Q7777" t="str">
            <v/>
          </cell>
          <cell r="S7777" t="str">
            <v/>
          </cell>
          <cell r="V7777" t="str">
            <v/>
          </cell>
          <cell r="Z7777" t="str">
            <v/>
          </cell>
          <cell r="AA7777" t="str">
            <v/>
          </cell>
          <cell r="AB7777" t="str">
            <v/>
          </cell>
          <cell r="AC7777" t="str">
            <v/>
          </cell>
          <cell r="AD7777" t="str">
            <v/>
          </cell>
          <cell r="AY7777" t="str">
            <v/>
          </cell>
          <cell r="AZ7777" t="str">
            <v/>
          </cell>
          <cell r="BA7777" t="str">
            <v/>
          </cell>
        </row>
        <row r="7778">
          <cell r="B7778" t="str">
            <v>-</v>
          </cell>
          <cell r="E7778" t="str">
            <v/>
          </cell>
          <cell r="G7778" t="str">
            <v/>
          </cell>
          <cell r="J7778" t="str">
            <v/>
          </cell>
          <cell r="O7778" t="str">
            <v/>
          </cell>
          <cell r="P7778" t="str">
            <v/>
          </cell>
          <cell r="Q7778" t="str">
            <v/>
          </cell>
          <cell r="S7778" t="str">
            <v/>
          </cell>
          <cell r="V7778" t="str">
            <v/>
          </cell>
          <cell r="Z7778" t="str">
            <v/>
          </cell>
          <cell r="AA7778" t="str">
            <v/>
          </cell>
          <cell r="AB7778" t="str">
            <v/>
          </cell>
          <cell r="AC7778" t="str">
            <v/>
          </cell>
          <cell r="AD7778" t="str">
            <v/>
          </cell>
          <cell r="AY7778" t="str">
            <v/>
          </cell>
          <cell r="AZ7778" t="str">
            <v/>
          </cell>
          <cell r="BA7778" t="str">
            <v/>
          </cell>
        </row>
        <row r="7779">
          <cell r="B7779" t="str">
            <v>-</v>
          </cell>
          <cell r="E7779" t="str">
            <v/>
          </cell>
          <cell r="G7779" t="str">
            <v/>
          </cell>
          <cell r="J7779" t="str">
            <v/>
          </cell>
          <cell r="O7779" t="str">
            <v/>
          </cell>
          <cell r="P7779" t="str">
            <v/>
          </cell>
          <cell r="Q7779" t="str">
            <v/>
          </cell>
          <cell r="S7779" t="str">
            <v/>
          </cell>
          <cell r="V7779" t="str">
            <v/>
          </cell>
          <cell r="Z7779" t="str">
            <v/>
          </cell>
          <cell r="AA7779" t="str">
            <v/>
          </cell>
          <cell r="AB7779" t="str">
            <v/>
          </cell>
          <cell r="AC7779" t="str">
            <v/>
          </cell>
          <cell r="AD7779" t="str">
            <v/>
          </cell>
          <cell r="AY7779" t="str">
            <v/>
          </cell>
          <cell r="AZ7779" t="str">
            <v/>
          </cell>
          <cell r="BA7779" t="str">
            <v/>
          </cell>
        </row>
        <row r="7780">
          <cell r="B7780" t="str">
            <v>-</v>
          </cell>
          <cell r="E7780" t="str">
            <v/>
          </cell>
          <cell r="G7780" t="str">
            <v/>
          </cell>
          <cell r="J7780" t="str">
            <v/>
          </cell>
          <cell r="O7780" t="str">
            <v/>
          </cell>
          <cell r="P7780" t="str">
            <v/>
          </cell>
          <cell r="Q7780" t="str">
            <v/>
          </cell>
          <cell r="S7780" t="str">
            <v/>
          </cell>
          <cell r="V7780" t="str">
            <v/>
          </cell>
          <cell r="Z7780" t="str">
            <v/>
          </cell>
          <cell r="AA7780" t="str">
            <v/>
          </cell>
          <cell r="AB7780" t="str">
            <v/>
          </cell>
          <cell r="AC7780" t="str">
            <v/>
          </cell>
          <cell r="AD7780" t="str">
            <v/>
          </cell>
          <cell r="AY7780" t="str">
            <v/>
          </cell>
          <cell r="AZ7780" t="str">
            <v/>
          </cell>
          <cell r="BA7780" t="str">
            <v/>
          </cell>
        </row>
        <row r="7781">
          <cell r="B7781" t="str">
            <v>-</v>
          </cell>
          <cell r="E7781" t="str">
            <v/>
          </cell>
          <cell r="G7781" t="str">
            <v/>
          </cell>
          <cell r="J7781" t="str">
            <v/>
          </cell>
          <cell r="O7781" t="str">
            <v/>
          </cell>
          <cell r="P7781" t="str">
            <v/>
          </cell>
          <cell r="Q7781" t="str">
            <v/>
          </cell>
          <cell r="S7781" t="str">
            <v/>
          </cell>
          <cell r="V7781" t="str">
            <v/>
          </cell>
          <cell r="Z7781" t="str">
            <v/>
          </cell>
          <cell r="AA7781" t="str">
            <v/>
          </cell>
          <cell r="AB7781" t="str">
            <v/>
          </cell>
          <cell r="AC7781" t="str">
            <v/>
          </cell>
          <cell r="AD7781" t="str">
            <v/>
          </cell>
          <cell r="AY7781" t="str">
            <v/>
          </cell>
          <cell r="AZ7781" t="str">
            <v/>
          </cell>
          <cell r="BA7781" t="str">
            <v/>
          </cell>
        </row>
        <row r="7782">
          <cell r="B7782" t="str">
            <v>-</v>
          </cell>
          <cell r="E7782" t="str">
            <v/>
          </cell>
          <cell r="G7782" t="str">
            <v/>
          </cell>
          <cell r="J7782" t="str">
            <v/>
          </cell>
          <cell r="O7782" t="str">
            <v/>
          </cell>
          <cell r="P7782" t="str">
            <v/>
          </cell>
          <cell r="Q7782" t="str">
            <v/>
          </cell>
          <cell r="S7782" t="str">
            <v/>
          </cell>
          <cell r="V7782" t="str">
            <v/>
          </cell>
          <cell r="Z7782" t="str">
            <v/>
          </cell>
          <cell r="AA7782" t="str">
            <v/>
          </cell>
          <cell r="AB7782" t="str">
            <v/>
          </cell>
          <cell r="AC7782" t="str">
            <v/>
          </cell>
          <cell r="AD7782" t="str">
            <v/>
          </cell>
          <cell r="AY7782" t="str">
            <v/>
          </cell>
          <cell r="AZ7782" t="str">
            <v/>
          </cell>
          <cell r="BA7782" t="str">
            <v/>
          </cell>
        </row>
        <row r="7783">
          <cell r="B7783" t="str">
            <v>-</v>
          </cell>
          <cell r="E7783" t="str">
            <v/>
          </cell>
          <cell r="G7783" t="str">
            <v/>
          </cell>
          <cell r="J7783" t="str">
            <v/>
          </cell>
          <cell r="O7783" t="str">
            <v/>
          </cell>
          <cell r="P7783" t="str">
            <v/>
          </cell>
          <cell r="Q7783" t="str">
            <v/>
          </cell>
          <cell r="S7783" t="str">
            <v/>
          </cell>
          <cell r="V7783" t="str">
            <v/>
          </cell>
          <cell r="Z7783" t="str">
            <v/>
          </cell>
          <cell r="AA7783" t="str">
            <v/>
          </cell>
          <cell r="AB7783" t="str">
            <v/>
          </cell>
          <cell r="AC7783" t="str">
            <v/>
          </cell>
          <cell r="AD7783" t="str">
            <v/>
          </cell>
          <cell r="AY7783" t="str">
            <v/>
          </cell>
          <cell r="AZ7783" t="str">
            <v/>
          </cell>
          <cell r="BA7783" t="str">
            <v/>
          </cell>
        </row>
        <row r="7784">
          <cell r="B7784" t="str">
            <v>-</v>
          </cell>
          <cell r="E7784" t="str">
            <v/>
          </cell>
          <cell r="G7784" t="str">
            <v/>
          </cell>
          <cell r="J7784" t="str">
            <v/>
          </cell>
          <cell r="O7784" t="str">
            <v/>
          </cell>
          <cell r="P7784" t="str">
            <v/>
          </cell>
          <cell r="Q7784" t="str">
            <v/>
          </cell>
          <cell r="S7784" t="str">
            <v/>
          </cell>
          <cell r="V7784" t="str">
            <v/>
          </cell>
          <cell r="Z7784" t="str">
            <v/>
          </cell>
          <cell r="AA7784" t="str">
            <v/>
          </cell>
          <cell r="AB7784" t="str">
            <v/>
          </cell>
          <cell r="AC7784" t="str">
            <v/>
          </cell>
          <cell r="AD7784" t="str">
            <v/>
          </cell>
          <cell r="AY7784" t="str">
            <v/>
          </cell>
          <cell r="AZ7784" t="str">
            <v/>
          </cell>
          <cell r="BA7784" t="str">
            <v/>
          </cell>
        </row>
        <row r="7785">
          <cell r="B7785" t="str">
            <v>-</v>
          </cell>
          <cell r="E7785" t="str">
            <v/>
          </cell>
          <cell r="G7785" t="str">
            <v/>
          </cell>
          <cell r="J7785" t="str">
            <v/>
          </cell>
          <cell r="O7785" t="str">
            <v/>
          </cell>
          <cell r="P7785" t="str">
            <v/>
          </cell>
          <cell r="Q7785" t="str">
            <v/>
          </cell>
          <cell r="S7785" t="str">
            <v/>
          </cell>
          <cell r="V7785" t="str">
            <v/>
          </cell>
          <cell r="Z7785" t="str">
            <v/>
          </cell>
          <cell r="AA7785" t="str">
            <v/>
          </cell>
          <cell r="AB7785" t="str">
            <v/>
          </cell>
          <cell r="AC7785" t="str">
            <v/>
          </cell>
          <cell r="AD7785" t="str">
            <v/>
          </cell>
          <cell r="AY7785" t="str">
            <v/>
          </cell>
          <cell r="AZ7785" t="str">
            <v/>
          </cell>
          <cell r="BA7785" t="str">
            <v/>
          </cell>
        </row>
        <row r="7786">
          <cell r="B7786" t="str">
            <v>-</v>
          </cell>
          <cell r="E7786" t="str">
            <v/>
          </cell>
          <cell r="G7786" t="str">
            <v/>
          </cell>
          <cell r="J7786" t="str">
            <v/>
          </cell>
          <cell r="O7786" t="str">
            <v/>
          </cell>
          <cell r="P7786" t="str">
            <v/>
          </cell>
          <cell r="Q7786" t="str">
            <v/>
          </cell>
          <cell r="S7786" t="str">
            <v/>
          </cell>
          <cell r="V7786" t="str">
            <v/>
          </cell>
          <cell r="Z7786" t="str">
            <v/>
          </cell>
          <cell r="AA7786" t="str">
            <v/>
          </cell>
          <cell r="AB7786" t="str">
            <v/>
          </cell>
          <cell r="AC7786" t="str">
            <v/>
          </cell>
          <cell r="AD7786" t="str">
            <v/>
          </cell>
          <cell r="AY7786" t="str">
            <v/>
          </cell>
          <cell r="AZ7786" t="str">
            <v/>
          </cell>
          <cell r="BA7786" t="str">
            <v/>
          </cell>
        </row>
        <row r="7787">
          <cell r="B7787" t="str">
            <v>-</v>
          </cell>
          <cell r="E7787" t="str">
            <v/>
          </cell>
          <cell r="G7787" t="str">
            <v/>
          </cell>
          <cell r="J7787" t="str">
            <v/>
          </cell>
          <cell r="O7787" t="str">
            <v/>
          </cell>
          <cell r="P7787" t="str">
            <v/>
          </cell>
          <cell r="Q7787" t="str">
            <v/>
          </cell>
          <cell r="S7787" t="str">
            <v/>
          </cell>
          <cell r="V7787" t="str">
            <v/>
          </cell>
          <cell r="Z7787" t="str">
            <v/>
          </cell>
          <cell r="AA7787" t="str">
            <v/>
          </cell>
          <cell r="AB7787" t="str">
            <v/>
          </cell>
          <cell r="AC7787" t="str">
            <v/>
          </cell>
          <cell r="AD7787" t="str">
            <v/>
          </cell>
          <cell r="AY7787" t="str">
            <v/>
          </cell>
          <cell r="AZ7787" t="str">
            <v/>
          </cell>
          <cell r="BA7787" t="str">
            <v/>
          </cell>
        </row>
        <row r="7788">
          <cell r="B7788" t="str">
            <v>-</v>
          </cell>
          <cell r="E7788" t="str">
            <v/>
          </cell>
          <cell r="G7788" t="str">
            <v/>
          </cell>
          <cell r="J7788" t="str">
            <v/>
          </cell>
          <cell r="O7788" t="str">
            <v/>
          </cell>
          <cell r="P7788" t="str">
            <v/>
          </cell>
          <cell r="Q7788" t="str">
            <v/>
          </cell>
          <cell r="S7788" t="str">
            <v/>
          </cell>
          <cell r="V7788" t="str">
            <v/>
          </cell>
          <cell r="Z7788" t="str">
            <v/>
          </cell>
          <cell r="AA7788" t="str">
            <v/>
          </cell>
          <cell r="AB7788" t="str">
            <v/>
          </cell>
          <cell r="AC7788" t="str">
            <v/>
          </cell>
          <cell r="AD7788" t="str">
            <v/>
          </cell>
          <cell r="AY7788" t="str">
            <v/>
          </cell>
          <cell r="AZ7788" t="str">
            <v/>
          </cell>
          <cell r="BA7788" t="str">
            <v/>
          </cell>
        </row>
        <row r="7789">
          <cell r="B7789" t="str">
            <v>-</v>
          </cell>
          <cell r="E7789" t="str">
            <v/>
          </cell>
          <cell r="G7789" t="str">
            <v/>
          </cell>
          <cell r="J7789" t="str">
            <v/>
          </cell>
          <cell r="O7789" t="str">
            <v/>
          </cell>
          <cell r="P7789" t="str">
            <v/>
          </cell>
          <cell r="Q7789" t="str">
            <v/>
          </cell>
          <cell r="S7789" t="str">
            <v/>
          </cell>
          <cell r="V7789" t="str">
            <v/>
          </cell>
          <cell r="Z7789" t="str">
            <v/>
          </cell>
          <cell r="AA7789" t="str">
            <v/>
          </cell>
          <cell r="AB7789" t="str">
            <v/>
          </cell>
          <cell r="AC7789" t="str">
            <v/>
          </cell>
          <cell r="AD7789" t="str">
            <v/>
          </cell>
          <cell r="AY7789" t="str">
            <v/>
          </cell>
          <cell r="AZ7789" t="str">
            <v/>
          </cell>
          <cell r="BA7789" t="str">
            <v/>
          </cell>
        </row>
        <row r="7790">
          <cell r="B7790" t="str">
            <v>-</v>
          </cell>
          <cell r="E7790" t="str">
            <v/>
          </cell>
          <cell r="G7790" t="str">
            <v/>
          </cell>
          <cell r="J7790" t="str">
            <v/>
          </cell>
          <cell r="O7790" t="str">
            <v/>
          </cell>
          <cell r="P7790" t="str">
            <v/>
          </cell>
          <cell r="Q7790" t="str">
            <v/>
          </cell>
          <cell r="S7790" t="str">
            <v/>
          </cell>
          <cell r="V7790" t="str">
            <v/>
          </cell>
          <cell r="Z7790" t="str">
            <v/>
          </cell>
          <cell r="AA7790" t="str">
            <v/>
          </cell>
          <cell r="AB7790" t="str">
            <v/>
          </cell>
          <cell r="AC7790" t="str">
            <v/>
          </cell>
          <cell r="AD7790" t="str">
            <v/>
          </cell>
          <cell r="AY7790" t="str">
            <v/>
          </cell>
          <cell r="AZ7790" t="str">
            <v/>
          </cell>
          <cell r="BA7790" t="str">
            <v/>
          </cell>
        </row>
        <row r="7791">
          <cell r="B7791" t="str">
            <v>-</v>
          </cell>
          <cell r="E7791" t="str">
            <v/>
          </cell>
          <cell r="G7791" t="str">
            <v/>
          </cell>
          <cell r="J7791" t="str">
            <v/>
          </cell>
          <cell r="O7791" t="str">
            <v/>
          </cell>
          <cell r="P7791" t="str">
            <v/>
          </cell>
          <cell r="Q7791" t="str">
            <v/>
          </cell>
          <cell r="S7791" t="str">
            <v/>
          </cell>
          <cell r="V7791" t="str">
            <v/>
          </cell>
          <cell r="Z7791" t="str">
            <v/>
          </cell>
          <cell r="AA7791" t="str">
            <v/>
          </cell>
          <cell r="AB7791" t="str">
            <v/>
          </cell>
          <cell r="AC7791" t="str">
            <v/>
          </cell>
          <cell r="AD7791" t="str">
            <v/>
          </cell>
          <cell r="AY7791" t="str">
            <v/>
          </cell>
          <cell r="AZ7791" t="str">
            <v/>
          </cell>
          <cell r="BA7791" t="str">
            <v/>
          </cell>
        </row>
        <row r="7792">
          <cell r="B7792" t="str">
            <v>-</v>
          </cell>
          <cell r="E7792" t="str">
            <v/>
          </cell>
          <cell r="G7792" t="str">
            <v/>
          </cell>
          <cell r="J7792" t="str">
            <v/>
          </cell>
          <cell r="O7792" t="str">
            <v/>
          </cell>
          <cell r="P7792" t="str">
            <v/>
          </cell>
          <cell r="Q7792" t="str">
            <v/>
          </cell>
          <cell r="S7792" t="str">
            <v/>
          </cell>
          <cell r="V7792" t="str">
            <v/>
          </cell>
          <cell r="Z7792" t="str">
            <v/>
          </cell>
          <cell r="AA7792" t="str">
            <v/>
          </cell>
          <cell r="AB7792" t="str">
            <v/>
          </cell>
          <cell r="AC7792" t="str">
            <v/>
          </cell>
          <cell r="AD7792" t="str">
            <v/>
          </cell>
          <cell r="AY7792" t="str">
            <v/>
          </cell>
          <cell r="AZ7792" t="str">
            <v/>
          </cell>
          <cell r="BA7792" t="str">
            <v/>
          </cell>
        </row>
        <row r="7793">
          <cell r="B7793" t="str">
            <v>-</v>
          </cell>
          <cell r="E7793" t="str">
            <v/>
          </cell>
          <cell r="G7793" t="str">
            <v/>
          </cell>
          <cell r="J7793" t="str">
            <v/>
          </cell>
          <cell r="O7793" t="str">
            <v/>
          </cell>
          <cell r="P7793" t="str">
            <v/>
          </cell>
          <cell r="Q7793" t="str">
            <v/>
          </cell>
          <cell r="S7793" t="str">
            <v/>
          </cell>
          <cell r="V7793" t="str">
            <v/>
          </cell>
          <cell r="Z7793" t="str">
            <v/>
          </cell>
          <cell r="AA7793" t="str">
            <v/>
          </cell>
          <cell r="AB7793" t="str">
            <v/>
          </cell>
          <cell r="AC7793" t="str">
            <v/>
          </cell>
          <cell r="AD7793" t="str">
            <v/>
          </cell>
          <cell r="AY7793" t="str">
            <v/>
          </cell>
          <cell r="AZ7793" t="str">
            <v/>
          </cell>
          <cell r="BA7793" t="str">
            <v/>
          </cell>
        </row>
        <row r="7794">
          <cell r="B7794" t="str">
            <v>-</v>
          </cell>
          <cell r="E7794" t="str">
            <v/>
          </cell>
          <cell r="G7794" t="str">
            <v/>
          </cell>
          <cell r="J7794" t="str">
            <v/>
          </cell>
          <cell r="O7794" t="str">
            <v/>
          </cell>
          <cell r="P7794" t="str">
            <v/>
          </cell>
          <cell r="Q7794" t="str">
            <v/>
          </cell>
          <cell r="S7794" t="str">
            <v/>
          </cell>
          <cell r="V7794" t="str">
            <v/>
          </cell>
          <cell r="Z7794" t="str">
            <v/>
          </cell>
          <cell r="AA7794" t="str">
            <v/>
          </cell>
          <cell r="AB7794" t="str">
            <v/>
          </cell>
          <cell r="AC7794" t="str">
            <v/>
          </cell>
          <cell r="AD7794" t="str">
            <v/>
          </cell>
          <cell r="AY7794" t="str">
            <v/>
          </cell>
          <cell r="AZ7794" t="str">
            <v/>
          </cell>
          <cell r="BA7794" t="str">
            <v/>
          </cell>
        </row>
        <row r="7795">
          <cell r="B7795" t="str">
            <v>-</v>
          </cell>
          <cell r="E7795" t="str">
            <v/>
          </cell>
          <cell r="G7795" t="str">
            <v/>
          </cell>
          <cell r="J7795" t="str">
            <v/>
          </cell>
          <cell r="O7795" t="str">
            <v/>
          </cell>
          <cell r="P7795" t="str">
            <v/>
          </cell>
          <cell r="Q7795" t="str">
            <v/>
          </cell>
          <cell r="S7795" t="str">
            <v/>
          </cell>
          <cell r="V7795" t="str">
            <v/>
          </cell>
          <cell r="Z7795" t="str">
            <v/>
          </cell>
          <cell r="AA7795" t="str">
            <v/>
          </cell>
          <cell r="AB7795" t="str">
            <v/>
          </cell>
          <cell r="AC7795" t="str">
            <v/>
          </cell>
          <cell r="AD7795" t="str">
            <v/>
          </cell>
          <cell r="AY7795" t="str">
            <v/>
          </cell>
          <cell r="AZ7795" t="str">
            <v/>
          </cell>
          <cell r="BA7795" t="str">
            <v/>
          </cell>
        </row>
        <row r="7796">
          <cell r="B7796" t="str">
            <v>-</v>
          </cell>
          <cell r="E7796" t="str">
            <v/>
          </cell>
          <cell r="G7796" t="str">
            <v/>
          </cell>
          <cell r="J7796" t="str">
            <v/>
          </cell>
          <cell r="O7796" t="str">
            <v/>
          </cell>
          <cell r="P7796" t="str">
            <v/>
          </cell>
          <cell r="Q7796" t="str">
            <v/>
          </cell>
          <cell r="S7796" t="str">
            <v/>
          </cell>
          <cell r="V7796" t="str">
            <v/>
          </cell>
          <cell r="Z7796" t="str">
            <v/>
          </cell>
          <cell r="AA7796" t="str">
            <v/>
          </cell>
          <cell r="AB7796" t="str">
            <v/>
          </cell>
          <cell r="AC7796" t="str">
            <v/>
          </cell>
          <cell r="AD7796" t="str">
            <v/>
          </cell>
          <cell r="AY7796" t="str">
            <v/>
          </cell>
          <cell r="AZ7796" t="str">
            <v/>
          </cell>
          <cell r="BA7796" t="str">
            <v/>
          </cell>
        </row>
        <row r="7797">
          <cell r="B7797" t="str">
            <v>-</v>
          </cell>
          <cell r="E7797" t="str">
            <v/>
          </cell>
          <cell r="G7797" t="str">
            <v/>
          </cell>
          <cell r="J7797" t="str">
            <v/>
          </cell>
          <cell r="O7797" t="str">
            <v/>
          </cell>
          <cell r="P7797" t="str">
            <v/>
          </cell>
          <cell r="Q7797" t="str">
            <v/>
          </cell>
          <cell r="S7797" t="str">
            <v/>
          </cell>
          <cell r="V7797" t="str">
            <v/>
          </cell>
          <cell r="Z7797" t="str">
            <v/>
          </cell>
          <cell r="AA7797" t="str">
            <v/>
          </cell>
          <cell r="AB7797" t="str">
            <v/>
          </cell>
          <cell r="AC7797" t="str">
            <v/>
          </cell>
          <cell r="AD7797" t="str">
            <v/>
          </cell>
          <cell r="AY7797" t="str">
            <v/>
          </cell>
          <cell r="AZ7797" t="str">
            <v/>
          </cell>
          <cell r="BA7797" t="str">
            <v/>
          </cell>
        </row>
        <row r="7798">
          <cell r="B7798" t="str">
            <v>-</v>
          </cell>
          <cell r="E7798" t="str">
            <v/>
          </cell>
          <cell r="G7798" t="str">
            <v/>
          </cell>
          <cell r="J7798" t="str">
            <v/>
          </cell>
          <cell r="O7798" t="str">
            <v/>
          </cell>
          <cell r="P7798" t="str">
            <v/>
          </cell>
          <cell r="Q7798" t="str">
            <v/>
          </cell>
          <cell r="S7798" t="str">
            <v/>
          </cell>
          <cell r="V7798" t="str">
            <v/>
          </cell>
          <cell r="Z7798" t="str">
            <v/>
          </cell>
          <cell r="AA7798" t="str">
            <v/>
          </cell>
          <cell r="AB7798" t="str">
            <v/>
          </cell>
          <cell r="AC7798" t="str">
            <v/>
          </cell>
          <cell r="AD7798" t="str">
            <v/>
          </cell>
          <cell r="AY7798" t="str">
            <v/>
          </cell>
          <cell r="AZ7798" t="str">
            <v/>
          </cell>
          <cell r="BA7798" t="str">
            <v/>
          </cell>
        </row>
        <row r="7799">
          <cell r="B7799" t="str">
            <v>-</v>
          </cell>
          <cell r="E7799" t="str">
            <v/>
          </cell>
          <cell r="G7799" t="str">
            <v/>
          </cell>
          <cell r="J7799" t="str">
            <v/>
          </cell>
          <cell r="O7799" t="str">
            <v/>
          </cell>
          <cell r="P7799" t="str">
            <v/>
          </cell>
          <cell r="Q7799" t="str">
            <v/>
          </cell>
          <cell r="S7799" t="str">
            <v/>
          </cell>
          <cell r="V7799" t="str">
            <v/>
          </cell>
          <cell r="Z7799" t="str">
            <v/>
          </cell>
          <cell r="AA7799" t="str">
            <v/>
          </cell>
          <cell r="AB7799" t="str">
            <v/>
          </cell>
          <cell r="AC7799" t="str">
            <v/>
          </cell>
          <cell r="AD7799" t="str">
            <v/>
          </cell>
          <cell r="AY7799" t="str">
            <v/>
          </cell>
          <cell r="AZ7799" t="str">
            <v/>
          </cell>
          <cell r="BA7799" t="str">
            <v/>
          </cell>
        </row>
        <row r="7800">
          <cell r="B7800" t="str">
            <v>-</v>
          </cell>
          <cell r="E7800" t="str">
            <v/>
          </cell>
          <cell r="G7800" t="str">
            <v/>
          </cell>
          <cell r="J7800" t="str">
            <v/>
          </cell>
          <cell r="O7800" t="str">
            <v/>
          </cell>
          <cell r="P7800" t="str">
            <v/>
          </cell>
          <cell r="Q7800" t="str">
            <v/>
          </cell>
          <cell r="S7800" t="str">
            <v/>
          </cell>
          <cell r="V7800" t="str">
            <v/>
          </cell>
          <cell r="Z7800" t="str">
            <v/>
          </cell>
          <cell r="AA7800" t="str">
            <v/>
          </cell>
          <cell r="AB7800" t="str">
            <v/>
          </cell>
          <cell r="AC7800" t="str">
            <v/>
          </cell>
          <cell r="AD7800" t="str">
            <v/>
          </cell>
          <cell r="AY7800" t="str">
            <v/>
          </cell>
          <cell r="AZ7800" t="str">
            <v/>
          </cell>
          <cell r="BA7800" t="str">
            <v/>
          </cell>
        </row>
        <row r="7801">
          <cell r="B7801" t="str">
            <v>-</v>
          </cell>
          <cell r="E7801" t="str">
            <v/>
          </cell>
          <cell r="G7801" t="str">
            <v/>
          </cell>
          <cell r="J7801" t="str">
            <v/>
          </cell>
          <cell r="O7801" t="str">
            <v/>
          </cell>
          <cell r="P7801" t="str">
            <v/>
          </cell>
          <cell r="Q7801" t="str">
            <v/>
          </cell>
          <cell r="S7801" t="str">
            <v/>
          </cell>
          <cell r="V7801" t="str">
            <v/>
          </cell>
          <cell r="Z7801" t="str">
            <v/>
          </cell>
          <cell r="AA7801" t="str">
            <v/>
          </cell>
          <cell r="AB7801" t="str">
            <v/>
          </cell>
          <cell r="AC7801" t="str">
            <v/>
          </cell>
          <cell r="AD7801" t="str">
            <v/>
          </cell>
          <cell r="AY7801" t="str">
            <v/>
          </cell>
          <cell r="AZ7801" t="str">
            <v/>
          </cell>
          <cell r="BA7801" t="str">
            <v/>
          </cell>
        </row>
        <row r="7802">
          <cell r="B7802" t="str">
            <v>-</v>
          </cell>
          <cell r="E7802" t="str">
            <v/>
          </cell>
          <cell r="G7802" t="str">
            <v/>
          </cell>
          <cell r="J7802" t="str">
            <v/>
          </cell>
          <cell r="O7802" t="str">
            <v/>
          </cell>
          <cell r="P7802" t="str">
            <v/>
          </cell>
          <cell r="Q7802" t="str">
            <v/>
          </cell>
          <cell r="S7802" t="str">
            <v/>
          </cell>
          <cell r="V7802" t="str">
            <v/>
          </cell>
          <cell r="Z7802" t="str">
            <v/>
          </cell>
          <cell r="AA7802" t="str">
            <v/>
          </cell>
          <cell r="AB7802" t="str">
            <v/>
          </cell>
          <cell r="AC7802" t="str">
            <v/>
          </cell>
          <cell r="AD7802" t="str">
            <v/>
          </cell>
          <cell r="AY7802" t="str">
            <v/>
          </cell>
          <cell r="AZ7802" t="str">
            <v/>
          </cell>
          <cell r="BA7802" t="str">
            <v/>
          </cell>
        </row>
        <row r="7803">
          <cell r="B7803" t="str">
            <v>-</v>
          </cell>
          <cell r="E7803" t="str">
            <v/>
          </cell>
          <cell r="G7803" t="str">
            <v/>
          </cell>
          <cell r="J7803" t="str">
            <v/>
          </cell>
          <cell r="O7803" t="str">
            <v/>
          </cell>
          <cell r="P7803" t="str">
            <v/>
          </cell>
          <cell r="Q7803" t="str">
            <v/>
          </cell>
          <cell r="S7803" t="str">
            <v/>
          </cell>
          <cell r="V7803" t="str">
            <v/>
          </cell>
          <cell r="Z7803" t="str">
            <v/>
          </cell>
          <cell r="AA7803" t="str">
            <v/>
          </cell>
          <cell r="AB7803" t="str">
            <v/>
          </cell>
          <cell r="AC7803" t="str">
            <v/>
          </cell>
          <cell r="AD7803" t="str">
            <v/>
          </cell>
          <cell r="AY7803" t="str">
            <v/>
          </cell>
          <cell r="AZ7803" t="str">
            <v/>
          </cell>
          <cell r="BA7803" t="str">
            <v/>
          </cell>
        </row>
        <row r="7804">
          <cell r="B7804" t="str">
            <v>-</v>
          </cell>
          <cell r="E7804" t="str">
            <v/>
          </cell>
          <cell r="G7804" t="str">
            <v/>
          </cell>
          <cell r="J7804" t="str">
            <v/>
          </cell>
          <cell r="O7804" t="str">
            <v/>
          </cell>
          <cell r="P7804" t="str">
            <v/>
          </cell>
          <cell r="Q7804" t="str">
            <v/>
          </cell>
          <cell r="S7804" t="str">
            <v/>
          </cell>
          <cell r="V7804" t="str">
            <v/>
          </cell>
          <cell r="Z7804" t="str">
            <v/>
          </cell>
          <cell r="AA7804" t="str">
            <v/>
          </cell>
          <cell r="AB7804" t="str">
            <v/>
          </cell>
          <cell r="AC7804" t="str">
            <v/>
          </cell>
          <cell r="AD7804" t="str">
            <v/>
          </cell>
          <cell r="AY7804" t="str">
            <v/>
          </cell>
          <cell r="AZ7804" t="str">
            <v/>
          </cell>
          <cell r="BA7804" t="str">
            <v/>
          </cell>
        </row>
        <row r="7805">
          <cell r="B7805" t="str">
            <v>-</v>
          </cell>
          <cell r="E7805" t="str">
            <v/>
          </cell>
          <cell r="G7805" t="str">
            <v/>
          </cell>
          <cell r="J7805" t="str">
            <v/>
          </cell>
          <cell r="O7805" t="str">
            <v/>
          </cell>
          <cell r="P7805" t="str">
            <v/>
          </cell>
          <cell r="Q7805" t="str">
            <v/>
          </cell>
          <cell r="S7805" t="str">
            <v/>
          </cell>
          <cell r="V7805" t="str">
            <v/>
          </cell>
          <cell r="Z7805" t="str">
            <v/>
          </cell>
          <cell r="AA7805" t="str">
            <v/>
          </cell>
          <cell r="AB7805" t="str">
            <v/>
          </cell>
          <cell r="AC7805" t="str">
            <v/>
          </cell>
          <cell r="AD7805" t="str">
            <v/>
          </cell>
          <cell r="AY7805" t="str">
            <v/>
          </cell>
          <cell r="AZ7805" t="str">
            <v/>
          </cell>
          <cell r="BA7805" t="str">
            <v/>
          </cell>
        </row>
        <row r="7806">
          <cell r="B7806" t="str">
            <v>-</v>
          </cell>
          <cell r="E7806" t="str">
            <v/>
          </cell>
          <cell r="G7806" t="str">
            <v/>
          </cell>
          <cell r="J7806" t="str">
            <v/>
          </cell>
          <cell r="O7806" t="str">
            <v/>
          </cell>
          <cell r="P7806" t="str">
            <v/>
          </cell>
          <cell r="Q7806" t="str">
            <v/>
          </cell>
          <cell r="S7806" t="str">
            <v/>
          </cell>
          <cell r="V7806" t="str">
            <v/>
          </cell>
          <cell r="Z7806" t="str">
            <v/>
          </cell>
          <cell r="AA7806" t="str">
            <v/>
          </cell>
          <cell r="AB7806" t="str">
            <v/>
          </cell>
          <cell r="AC7806" t="str">
            <v/>
          </cell>
          <cell r="AD7806" t="str">
            <v/>
          </cell>
          <cell r="AY7806" t="str">
            <v/>
          </cell>
          <cell r="AZ7806" t="str">
            <v/>
          </cell>
          <cell r="BA7806" t="str">
            <v/>
          </cell>
        </row>
        <row r="7807">
          <cell r="B7807" t="str">
            <v>-</v>
          </cell>
          <cell r="E7807" t="str">
            <v/>
          </cell>
          <cell r="G7807" t="str">
            <v/>
          </cell>
          <cell r="J7807" t="str">
            <v/>
          </cell>
          <cell r="O7807" t="str">
            <v/>
          </cell>
          <cell r="P7807" t="str">
            <v/>
          </cell>
          <cell r="Q7807" t="str">
            <v/>
          </cell>
          <cell r="S7807" t="str">
            <v/>
          </cell>
          <cell r="V7807" t="str">
            <v/>
          </cell>
          <cell r="Z7807" t="str">
            <v/>
          </cell>
          <cell r="AA7807" t="str">
            <v/>
          </cell>
          <cell r="AB7807" t="str">
            <v/>
          </cell>
          <cell r="AC7807" t="str">
            <v/>
          </cell>
          <cell r="AD7807" t="str">
            <v/>
          </cell>
          <cell r="AY7807" t="str">
            <v/>
          </cell>
          <cell r="AZ7807" t="str">
            <v/>
          </cell>
          <cell r="BA7807" t="str">
            <v/>
          </cell>
        </row>
        <row r="7808">
          <cell r="B7808" t="str">
            <v>-</v>
          </cell>
          <cell r="E7808" t="str">
            <v/>
          </cell>
          <cell r="G7808" t="str">
            <v/>
          </cell>
          <cell r="J7808" t="str">
            <v/>
          </cell>
          <cell r="O7808" t="str">
            <v/>
          </cell>
          <cell r="P7808" t="str">
            <v/>
          </cell>
          <cell r="Q7808" t="str">
            <v/>
          </cell>
          <cell r="S7808" t="str">
            <v/>
          </cell>
          <cell r="V7808" t="str">
            <v/>
          </cell>
          <cell r="Z7808" t="str">
            <v/>
          </cell>
          <cell r="AA7808" t="str">
            <v/>
          </cell>
          <cell r="AB7808" t="str">
            <v/>
          </cell>
          <cell r="AC7808" t="str">
            <v/>
          </cell>
          <cell r="AD7808" t="str">
            <v/>
          </cell>
          <cell r="AY7808" t="str">
            <v/>
          </cell>
          <cell r="AZ7808" t="str">
            <v/>
          </cell>
          <cell r="BA7808" t="str">
            <v/>
          </cell>
        </row>
        <row r="7809">
          <cell r="B7809" t="str">
            <v>-</v>
          </cell>
          <cell r="E7809" t="str">
            <v/>
          </cell>
          <cell r="G7809" t="str">
            <v/>
          </cell>
          <cell r="J7809" t="str">
            <v/>
          </cell>
          <cell r="O7809" t="str">
            <v/>
          </cell>
          <cell r="P7809" t="str">
            <v/>
          </cell>
          <cell r="Q7809" t="str">
            <v/>
          </cell>
          <cell r="S7809" t="str">
            <v/>
          </cell>
          <cell r="V7809" t="str">
            <v/>
          </cell>
          <cell r="Z7809" t="str">
            <v/>
          </cell>
          <cell r="AA7809" t="str">
            <v/>
          </cell>
          <cell r="AB7809" t="str">
            <v/>
          </cell>
          <cell r="AC7809" t="str">
            <v/>
          </cell>
          <cell r="AD7809" t="str">
            <v/>
          </cell>
          <cell r="AY7809" t="str">
            <v/>
          </cell>
          <cell r="AZ7809" t="str">
            <v/>
          </cell>
          <cell r="BA7809" t="str">
            <v/>
          </cell>
        </row>
        <row r="7810">
          <cell r="B7810" t="str">
            <v>-</v>
          </cell>
          <cell r="E7810" t="str">
            <v/>
          </cell>
          <cell r="G7810" t="str">
            <v/>
          </cell>
          <cell r="J7810" t="str">
            <v/>
          </cell>
          <cell r="O7810" t="str">
            <v/>
          </cell>
          <cell r="P7810" t="str">
            <v/>
          </cell>
          <cell r="Q7810" t="str">
            <v/>
          </cell>
          <cell r="S7810" t="str">
            <v/>
          </cell>
          <cell r="V7810" t="str">
            <v/>
          </cell>
          <cell r="Z7810" t="str">
            <v/>
          </cell>
          <cell r="AA7810" t="str">
            <v/>
          </cell>
          <cell r="AB7810" t="str">
            <v/>
          </cell>
          <cell r="AC7810" t="str">
            <v/>
          </cell>
          <cell r="AD7810" t="str">
            <v/>
          </cell>
          <cell r="AY7810" t="str">
            <v/>
          </cell>
          <cell r="AZ7810" t="str">
            <v/>
          </cell>
          <cell r="BA7810" t="str">
            <v/>
          </cell>
        </row>
        <row r="7811">
          <cell r="B7811" t="str">
            <v>-</v>
          </cell>
          <cell r="E7811" t="str">
            <v/>
          </cell>
          <cell r="G7811" t="str">
            <v/>
          </cell>
          <cell r="J7811" t="str">
            <v/>
          </cell>
          <cell r="O7811" t="str">
            <v/>
          </cell>
          <cell r="P7811" t="str">
            <v/>
          </cell>
          <cell r="Q7811" t="str">
            <v/>
          </cell>
          <cell r="S7811" t="str">
            <v/>
          </cell>
          <cell r="V7811" t="str">
            <v/>
          </cell>
          <cell r="Z7811" t="str">
            <v/>
          </cell>
          <cell r="AA7811" t="str">
            <v/>
          </cell>
          <cell r="AB7811" t="str">
            <v/>
          </cell>
          <cell r="AC7811" t="str">
            <v/>
          </cell>
          <cell r="AD7811" t="str">
            <v/>
          </cell>
          <cell r="AY7811" t="str">
            <v/>
          </cell>
          <cell r="AZ7811" t="str">
            <v/>
          </cell>
          <cell r="BA7811" t="str">
            <v/>
          </cell>
        </row>
        <row r="7812">
          <cell r="B7812" t="str">
            <v>-</v>
          </cell>
          <cell r="E7812" t="str">
            <v/>
          </cell>
          <cell r="G7812" t="str">
            <v/>
          </cell>
          <cell r="J7812" t="str">
            <v/>
          </cell>
          <cell r="O7812" t="str">
            <v/>
          </cell>
          <cell r="P7812" t="str">
            <v/>
          </cell>
          <cell r="Q7812" t="str">
            <v/>
          </cell>
          <cell r="S7812" t="str">
            <v/>
          </cell>
          <cell r="V7812" t="str">
            <v/>
          </cell>
          <cell r="Z7812" t="str">
            <v/>
          </cell>
          <cell r="AA7812" t="str">
            <v/>
          </cell>
          <cell r="AB7812" t="str">
            <v/>
          </cell>
          <cell r="AC7812" t="str">
            <v/>
          </cell>
          <cell r="AD7812" t="str">
            <v/>
          </cell>
          <cell r="AY7812" t="str">
            <v/>
          </cell>
          <cell r="AZ7812" t="str">
            <v/>
          </cell>
          <cell r="BA7812" t="str">
            <v/>
          </cell>
        </row>
        <row r="7813">
          <cell r="B7813" t="str">
            <v>-</v>
          </cell>
          <cell r="E7813" t="str">
            <v/>
          </cell>
          <cell r="G7813" t="str">
            <v/>
          </cell>
          <cell r="J7813" t="str">
            <v/>
          </cell>
          <cell r="O7813" t="str">
            <v/>
          </cell>
          <cell r="P7813" t="str">
            <v/>
          </cell>
          <cell r="Q7813" t="str">
            <v/>
          </cell>
          <cell r="S7813" t="str">
            <v/>
          </cell>
          <cell r="V7813" t="str">
            <v/>
          </cell>
          <cell r="Z7813" t="str">
            <v/>
          </cell>
          <cell r="AA7813" t="str">
            <v/>
          </cell>
          <cell r="AB7813" t="str">
            <v/>
          </cell>
          <cell r="AC7813" t="str">
            <v/>
          </cell>
          <cell r="AD7813" t="str">
            <v/>
          </cell>
          <cell r="AY7813" t="str">
            <v/>
          </cell>
          <cell r="AZ7813" t="str">
            <v/>
          </cell>
          <cell r="BA7813" t="str">
            <v/>
          </cell>
        </row>
        <row r="7814">
          <cell r="B7814" t="str">
            <v>-</v>
          </cell>
          <cell r="E7814" t="str">
            <v/>
          </cell>
          <cell r="G7814" t="str">
            <v/>
          </cell>
          <cell r="J7814" t="str">
            <v/>
          </cell>
          <cell r="O7814" t="str">
            <v/>
          </cell>
          <cell r="P7814" t="str">
            <v/>
          </cell>
          <cell r="Q7814" t="str">
            <v/>
          </cell>
          <cell r="S7814" t="str">
            <v/>
          </cell>
          <cell r="V7814" t="str">
            <v/>
          </cell>
          <cell r="Z7814" t="str">
            <v/>
          </cell>
          <cell r="AA7814" t="str">
            <v/>
          </cell>
          <cell r="AB7814" t="str">
            <v/>
          </cell>
          <cell r="AC7814" t="str">
            <v/>
          </cell>
          <cell r="AD7814" t="str">
            <v/>
          </cell>
          <cell r="AY7814" t="str">
            <v/>
          </cell>
          <cell r="AZ7814" t="str">
            <v/>
          </cell>
          <cell r="BA7814" t="str">
            <v/>
          </cell>
        </row>
        <row r="7815">
          <cell r="B7815" t="str">
            <v>-</v>
          </cell>
          <cell r="E7815" t="str">
            <v/>
          </cell>
          <cell r="G7815" t="str">
            <v/>
          </cell>
          <cell r="J7815" t="str">
            <v/>
          </cell>
          <cell r="O7815" t="str">
            <v/>
          </cell>
          <cell r="P7815" t="str">
            <v/>
          </cell>
          <cell r="Q7815" t="str">
            <v/>
          </cell>
          <cell r="S7815" t="str">
            <v/>
          </cell>
          <cell r="V7815" t="str">
            <v/>
          </cell>
          <cell r="Z7815" t="str">
            <v/>
          </cell>
          <cell r="AA7815" t="str">
            <v/>
          </cell>
          <cell r="AB7815" t="str">
            <v/>
          </cell>
          <cell r="AC7815" t="str">
            <v/>
          </cell>
          <cell r="AD7815" t="str">
            <v/>
          </cell>
          <cell r="AY7815" t="str">
            <v/>
          </cell>
          <cell r="AZ7815" t="str">
            <v/>
          </cell>
          <cell r="BA7815" t="str">
            <v/>
          </cell>
        </row>
        <row r="7816">
          <cell r="B7816" t="str">
            <v>-</v>
          </cell>
          <cell r="E7816" t="str">
            <v/>
          </cell>
          <cell r="G7816" t="str">
            <v/>
          </cell>
          <cell r="J7816" t="str">
            <v/>
          </cell>
          <cell r="O7816" t="str">
            <v/>
          </cell>
          <cell r="P7816" t="str">
            <v/>
          </cell>
          <cell r="Q7816" t="str">
            <v/>
          </cell>
          <cell r="S7816" t="str">
            <v/>
          </cell>
          <cell r="V7816" t="str">
            <v/>
          </cell>
          <cell r="Z7816" t="str">
            <v/>
          </cell>
          <cell r="AA7816" t="str">
            <v/>
          </cell>
          <cell r="AB7816" t="str">
            <v/>
          </cell>
          <cell r="AC7816" t="str">
            <v/>
          </cell>
          <cell r="AD7816" t="str">
            <v/>
          </cell>
          <cell r="AY7816" t="str">
            <v/>
          </cell>
          <cell r="AZ7816" t="str">
            <v/>
          </cell>
          <cell r="BA7816" t="str">
            <v/>
          </cell>
        </row>
        <row r="7817">
          <cell r="B7817" t="str">
            <v>-</v>
          </cell>
          <cell r="E7817" t="str">
            <v/>
          </cell>
          <cell r="G7817" t="str">
            <v/>
          </cell>
          <cell r="J7817" t="str">
            <v/>
          </cell>
          <cell r="O7817" t="str">
            <v/>
          </cell>
          <cell r="P7817" t="str">
            <v/>
          </cell>
          <cell r="Q7817" t="str">
            <v/>
          </cell>
          <cell r="S7817" t="str">
            <v/>
          </cell>
          <cell r="V7817" t="str">
            <v/>
          </cell>
          <cell r="Z7817" t="str">
            <v/>
          </cell>
          <cell r="AA7817" t="str">
            <v/>
          </cell>
          <cell r="AB7817" t="str">
            <v/>
          </cell>
          <cell r="AC7817" t="str">
            <v/>
          </cell>
          <cell r="AD7817" t="str">
            <v/>
          </cell>
          <cell r="AY7817" t="str">
            <v/>
          </cell>
          <cell r="AZ7817" t="str">
            <v/>
          </cell>
          <cell r="BA7817" t="str">
            <v/>
          </cell>
        </row>
        <row r="7818">
          <cell r="B7818" t="str">
            <v>-</v>
          </cell>
          <cell r="E7818" t="str">
            <v/>
          </cell>
          <cell r="G7818" t="str">
            <v/>
          </cell>
          <cell r="J7818" t="str">
            <v/>
          </cell>
          <cell r="O7818" t="str">
            <v/>
          </cell>
          <cell r="P7818" t="str">
            <v/>
          </cell>
          <cell r="Q7818" t="str">
            <v/>
          </cell>
          <cell r="S7818" t="str">
            <v/>
          </cell>
          <cell r="V7818" t="str">
            <v/>
          </cell>
          <cell r="Z7818" t="str">
            <v/>
          </cell>
          <cell r="AA7818" t="str">
            <v/>
          </cell>
          <cell r="AB7818" t="str">
            <v/>
          </cell>
          <cell r="AC7818" t="str">
            <v/>
          </cell>
          <cell r="AD7818" t="str">
            <v/>
          </cell>
          <cell r="AY7818" t="str">
            <v/>
          </cell>
          <cell r="AZ7818" t="str">
            <v/>
          </cell>
          <cell r="BA7818" t="str">
            <v/>
          </cell>
        </row>
        <row r="7819">
          <cell r="B7819" t="str">
            <v>-</v>
          </cell>
          <cell r="E7819" t="str">
            <v/>
          </cell>
          <cell r="G7819" t="str">
            <v/>
          </cell>
          <cell r="J7819" t="str">
            <v/>
          </cell>
          <cell r="O7819" t="str">
            <v/>
          </cell>
          <cell r="P7819" t="str">
            <v/>
          </cell>
          <cell r="Q7819" t="str">
            <v/>
          </cell>
          <cell r="S7819" t="str">
            <v/>
          </cell>
          <cell r="V7819" t="str">
            <v/>
          </cell>
          <cell r="Z7819" t="str">
            <v/>
          </cell>
          <cell r="AA7819" t="str">
            <v/>
          </cell>
          <cell r="AB7819" t="str">
            <v/>
          </cell>
          <cell r="AC7819" t="str">
            <v/>
          </cell>
          <cell r="AD7819" t="str">
            <v/>
          </cell>
          <cell r="AY7819" t="str">
            <v/>
          </cell>
          <cell r="AZ7819" t="str">
            <v/>
          </cell>
          <cell r="BA7819" t="str">
            <v/>
          </cell>
        </row>
        <row r="7820">
          <cell r="B7820" t="str">
            <v>-</v>
          </cell>
          <cell r="E7820" t="str">
            <v/>
          </cell>
          <cell r="G7820" t="str">
            <v/>
          </cell>
          <cell r="J7820" t="str">
            <v/>
          </cell>
          <cell r="O7820" t="str">
            <v/>
          </cell>
          <cell r="P7820" t="str">
            <v/>
          </cell>
          <cell r="Q7820" t="str">
            <v/>
          </cell>
          <cell r="S7820" t="str">
            <v/>
          </cell>
          <cell r="V7820" t="str">
            <v/>
          </cell>
          <cell r="Z7820" t="str">
            <v/>
          </cell>
          <cell r="AA7820" t="str">
            <v/>
          </cell>
          <cell r="AB7820" t="str">
            <v/>
          </cell>
          <cell r="AC7820" t="str">
            <v/>
          </cell>
          <cell r="AD7820" t="str">
            <v/>
          </cell>
          <cell r="AY7820" t="str">
            <v/>
          </cell>
          <cell r="AZ7820" t="str">
            <v/>
          </cell>
          <cell r="BA7820" t="str">
            <v/>
          </cell>
        </row>
        <row r="7821">
          <cell r="B7821" t="str">
            <v>-</v>
          </cell>
          <cell r="E7821" t="str">
            <v/>
          </cell>
          <cell r="G7821" t="str">
            <v/>
          </cell>
          <cell r="J7821" t="str">
            <v/>
          </cell>
          <cell r="O7821" t="str">
            <v/>
          </cell>
          <cell r="P7821" t="str">
            <v/>
          </cell>
          <cell r="Q7821" t="str">
            <v/>
          </cell>
          <cell r="S7821" t="str">
            <v/>
          </cell>
          <cell r="V7821" t="str">
            <v/>
          </cell>
          <cell r="Z7821" t="str">
            <v/>
          </cell>
          <cell r="AA7821" t="str">
            <v/>
          </cell>
          <cell r="AB7821" t="str">
            <v/>
          </cell>
          <cell r="AC7821" t="str">
            <v/>
          </cell>
          <cell r="AD7821" t="str">
            <v/>
          </cell>
          <cell r="AY7821" t="str">
            <v/>
          </cell>
          <cell r="AZ7821" t="str">
            <v/>
          </cell>
          <cell r="BA7821" t="str">
            <v/>
          </cell>
        </row>
        <row r="7822">
          <cell r="B7822" t="str">
            <v>-</v>
          </cell>
          <cell r="E7822" t="str">
            <v/>
          </cell>
          <cell r="G7822" t="str">
            <v/>
          </cell>
          <cell r="J7822" t="str">
            <v/>
          </cell>
          <cell r="O7822" t="str">
            <v/>
          </cell>
          <cell r="P7822" t="str">
            <v/>
          </cell>
          <cell r="Q7822" t="str">
            <v/>
          </cell>
          <cell r="S7822" t="str">
            <v/>
          </cell>
          <cell r="V7822" t="str">
            <v/>
          </cell>
          <cell r="Z7822" t="str">
            <v/>
          </cell>
          <cell r="AA7822" t="str">
            <v/>
          </cell>
          <cell r="AB7822" t="str">
            <v/>
          </cell>
          <cell r="AC7822" t="str">
            <v/>
          </cell>
          <cell r="AD7822" t="str">
            <v/>
          </cell>
          <cell r="AY7822" t="str">
            <v/>
          </cell>
          <cell r="AZ7822" t="str">
            <v/>
          </cell>
          <cell r="BA7822" t="str">
            <v/>
          </cell>
        </row>
        <row r="7823">
          <cell r="B7823" t="str">
            <v>-</v>
          </cell>
          <cell r="E7823" t="str">
            <v/>
          </cell>
          <cell r="G7823" t="str">
            <v/>
          </cell>
          <cell r="J7823" t="str">
            <v/>
          </cell>
          <cell r="O7823" t="str">
            <v/>
          </cell>
          <cell r="P7823" t="str">
            <v/>
          </cell>
          <cell r="Q7823" t="str">
            <v/>
          </cell>
          <cell r="S7823" t="str">
            <v/>
          </cell>
          <cell r="V7823" t="str">
            <v/>
          </cell>
          <cell r="Z7823" t="str">
            <v/>
          </cell>
          <cell r="AA7823" t="str">
            <v/>
          </cell>
          <cell r="AB7823" t="str">
            <v/>
          </cell>
          <cell r="AC7823" t="str">
            <v/>
          </cell>
          <cell r="AD7823" t="str">
            <v/>
          </cell>
          <cell r="AY7823" t="str">
            <v/>
          </cell>
          <cell r="AZ7823" t="str">
            <v/>
          </cell>
          <cell r="BA7823" t="str">
            <v/>
          </cell>
        </row>
        <row r="7824">
          <cell r="B7824" t="str">
            <v>-</v>
          </cell>
          <cell r="E7824" t="str">
            <v/>
          </cell>
          <cell r="G7824" t="str">
            <v/>
          </cell>
          <cell r="J7824" t="str">
            <v/>
          </cell>
          <cell r="O7824" t="str">
            <v/>
          </cell>
          <cell r="P7824" t="str">
            <v/>
          </cell>
          <cell r="Q7824" t="str">
            <v/>
          </cell>
          <cell r="S7824" t="str">
            <v/>
          </cell>
          <cell r="V7824" t="str">
            <v/>
          </cell>
          <cell r="Z7824" t="str">
            <v/>
          </cell>
          <cell r="AA7824" t="str">
            <v/>
          </cell>
          <cell r="AB7824" t="str">
            <v/>
          </cell>
          <cell r="AC7824" t="str">
            <v/>
          </cell>
          <cell r="AD7824" t="str">
            <v/>
          </cell>
          <cell r="AY7824" t="str">
            <v/>
          </cell>
          <cell r="AZ7824" t="str">
            <v/>
          </cell>
          <cell r="BA7824" t="str">
            <v/>
          </cell>
        </row>
        <row r="7825">
          <cell r="B7825" t="str">
            <v>-</v>
          </cell>
          <cell r="E7825" t="str">
            <v/>
          </cell>
          <cell r="G7825" t="str">
            <v/>
          </cell>
          <cell r="J7825" t="str">
            <v/>
          </cell>
          <cell r="O7825" t="str">
            <v/>
          </cell>
          <cell r="P7825" t="str">
            <v/>
          </cell>
          <cell r="Q7825" t="str">
            <v/>
          </cell>
          <cell r="S7825" t="str">
            <v/>
          </cell>
          <cell r="V7825" t="str">
            <v/>
          </cell>
          <cell r="Z7825" t="str">
            <v/>
          </cell>
          <cell r="AA7825" t="str">
            <v/>
          </cell>
          <cell r="AB7825" t="str">
            <v/>
          </cell>
          <cell r="AC7825" t="str">
            <v/>
          </cell>
          <cell r="AD7825" t="str">
            <v/>
          </cell>
          <cell r="AY7825" t="str">
            <v/>
          </cell>
          <cell r="AZ7825" t="str">
            <v/>
          </cell>
          <cell r="BA7825" t="str">
            <v/>
          </cell>
        </row>
        <row r="7826">
          <cell r="B7826" t="str">
            <v>-</v>
          </cell>
          <cell r="E7826" t="str">
            <v/>
          </cell>
          <cell r="G7826" t="str">
            <v/>
          </cell>
          <cell r="J7826" t="str">
            <v/>
          </cell>
          <cell r="O7826" t="str">
            <v/>
          </cell>
          <cell r="P7826" t="str">
            <v/>
          </cell>
          <cell r="Q7826" t="str">
            <v/>
          </cell>
          <cell r="S7826" t="str">
            <v/>
          </cell>
          <cell r="V7826" t="str">
            <v/>
          </cell>
          <cell r="Z7826" t="str">
            <v/>
          </cell>
          <cell r="AA7826" t="str">
            <v/>
          </cell>
          <cell r="AB7826" t="str">
            <v/>
          </cell>
          <cell r="AC7826" t="str">
            <v/>
          </cell>
          <cell r="AD7826" t="str">
            <v/>
          </cell>
          <cell r="AY7826" t="str">
            <v/>
          </cell>
          <cell r="AZ7826" t="str">
            <v/>
          </cell>
          <cell r="BA7826" t="str">
            <v/>
          </cell>
        </row>
        <row r="7827">
          <cell r="B7827" t="str">
            <v>-</v>
          </cell>
          <cell r="E7827" t="str">
            <v/>
          </cell>
          <cell r="G7827" t="str">
            <v/>
          </cell>
          <cell r="J7827" t="str">
            <v/>
          </cell>
          <cell r="O7827" t="str">
            <v/>
          </cell>
          <cell r="P7827" t="str">
            <v/>
          </cell>
          <cell r="Q7827" t="str">
            <v/>
          </cell>
          <cell r="S7827" t="str">
            <v/>
          </cell>
          <cell r="V7827" t="str">
            <v/>
          </cell>
          <cell r="Z7827" t="str">
            <v/>
          </cell>
          <cell r="AA7827" t="str">
            <v/>
          </cell>
          <cell r="AB7827" t="str">
            <v/>
          </cell>
          <cell r="AC7827" t="str">
            <v/>
          </cell>
          <cell r="AD7827" t="str">
            <v/>
          </cell>
          <cell r="AY7827" t="str">
            <v/>
          </cell>
          <cell r="AZ7827" t="str">
            <v/>
          </cell>
          <cell r="BA7827" t="str">
            <v/>
          </cell>
        </row>
        <row r="7828">
          <cell r="B7828" t="str">
            <v>-</v>
          </cell>
          <cell r="E7828" t="str">
            <v/>
          </cell>
          <cell r="G7828" t="str">
            <v/>
          </cell>
          <cell r="J7828" t="str">
            <v/>
          </cell>
          <cell r="O7828" t="str">
            <v/>
          </cell>
          <cell r="P7828" t="str">
            <v/>
          </cell>
          <cell r="Q7828" t="str">
            <v/>
          </cell>
          <cell r="S7828" t="str">
            <v/>
          </cell>
          <cell r="V7828" t="str">
            <v/>
          </cell>
          <cell r="Z7828" t="str">
            <v/>
          </cell>
          <cell r="AA7828" t="str">
            <v/>
          </cell>
          <cell r="AB7828" t="str">
            <v/>
          </cell>
          <cell r="AC7828" t="str">
            <v/>
          </cell>
          <cell r="AD7828" t="str">
            <v/>
          </cell>
          <cell r="AY7828" t="str">
            <v/>
          </cell>
          <cell r="AZ7828" t="str">
            <v/>
          </cell>
          <cell r="BA7828" t="str">
            <v/>
          </cell>
        </row>
        <row r="7829">
          <cell r="B7829" t="str">
            <v>-</v>
          </cell>
          <cell r="E7829" t="str">
            <v/>
          </cell>
          <cell r="G7829" t="str">
            <v/>
          </cell>
          <cell r="J7829" t="str">
            <v/>
          </cell>
          <cell r="O7829" t="str">
            <v/>
          </cell>
          <cell r="P7829" t="str">
            <v/>
          </cell>
          <cell r="Q7829" t="str">
            <v/>
          </cell>
          <cell r="S7829" t="str">
            <v/>
          </cell>
          <cell r="V7829" t="str">
            <v/>
          </cell>
          <cell r="Z7829" t="str">
            <v/>
          </cell>
          <cell r="AA7829" t="str">
            <v/>
          </cell>
          <cell r="AB7829" t="str">
            <v/>
          </cell>
          <cell r="AC7829" t="str">
            <v/>
          </cell>
          <cell r="AD7829" t="str">
            <v/>
          </cell>
          <cell r="AY7829" t="str">
            <v/>
          </cell>
          <cell r="AZ7829" t="str">
            <v/>
          </cell>
          <cell r="BA7829" t="str">
            <v/>
          </cell>
        </row>
        <row r="7830">
          <cell r="B7830" t="str">
            <v>-</v>
          </cell>
          <cell r="E7830" t="str">
            <v/>
          </cell>
          <cell r="G7830" t="str">
            <v/>
          </cell>
          <cell r="J7830" t="str">
            <v/>
          </cell>
          <cell r="O7830" t="str">
            <v/>
          </cell>
          <cell r="P7830" t="str">
            <v/>
          </cell>
          <cell r="Q7830" t="str">
            <v/>
          </cell>
          <cell r="S7830" t="str">
            <v/>
          </cell>
          <cell r="V7830" t="str">
            <v/>
          </cell>
          <cell r="Z7830" t="str">
            <v/>
          </cell>
          <cell r="AA7830" t="str">
            <v/>
          </cell>
          <cell r="AB7830" t="str">
            <v/>
          </cell>
          <cell r="AC7830" t="str">
            <v/>
          </cell>
          <cell r="AD7830" t="str">
            <v/>
          </cell>
          <cell r="AY7830" t="str">
            <v/>
          </cell>
          <cell r="AZ7830" t="str">
            <v/>
          </cell>
          <cell r="BA7830" t="str">
            <v/>
          </cell>
        </row>
        <row r="7831">
          <cell r="B7831" t="str">
            <v>-</v>
          </cell>
          <cell r="E7831" t="str">
            <v/>
          </cell>
          <cell r="G7831" t="str">
            <v/>
          </cell>
          <cell r="J7831" t="str">
            <v/>
          </cell>
          <cell r="O7831" t="str">
            <v/>
          </cell>
          <cell r="P7831" t="str">
            <v/>
          </cell>
          <cell r="Q7831" t="str">
            <v/>
          </cell>
          <cell r="S7831" t="str">
            <v/>
          </cell>
          <cell r="V7831" t="str">
            <v/>
          </cell>
          <cell r="Z7831" t="str">
            <v/>
          </cell>
          <cell r="AA7831" t="str">
            <v/>
          </cell>
          <cell r="AB7831" t="str">
            <v/>
          </cell>
          <cell r="AC7831" t="str">
            <v/>
          </cell>
          <cell r="AD7831" t="str">
            <v/>
          </cell>
          <cell r="AY7831" t="str">
            <v/>
          </cell>
          <cell r="AZ7831" t="str">
            <v/>
          </cell>
          <cell r="BA7831" t="str">
            <v/>
          </cell>
        </row>
        <row r="7832">
          <cell r="B7832" t="str">
            <v>-</v>
          </cell>
          <cell r="E7832" t="str">
            <v/>
          </cell>
          <cell r="G7832" t="str">
            <v/>
          </cell>
          <cell r="J7832" t="str">
            <v/>
          </cell>
          <cell r="O7832" t="str">
            <v/>
          </cell>
          <cell r="P7832" t="str">
            <v/>
          </cell>
          <cell r="Q7832" t="str">
            <v/>
          </cell>
          <cell r="S7832" t="str">
            <v/>
          </cell>
          <cell r="V7832" t="str">
            <v/>
          </cell>
          <cell r="Z7832" t="str">
            <v/>
          </cell>
          <cell r="AA7832" t="str">
            <v/>
          </cell>
          <cell r="AB7832" t="str">
            <v/>
          </cell>
          <cell r="AC7832" t="str">
            <v/>
          </cell>
          <cell r="AD7832" t="str">
            <v/>
          </cell>
          <cell r="AY7832" t="str">
            <v/>
          </cell>
          <cell r="AZ7832" t="str">
            <v/>
          </cell>
          <cell r="BA7832" t="str">
            <v/>
          </cell>
        </row>
        <row r="7833">
          <cell r="B7833" t="str">
            <v>-</v>
          </cell>
          <cell r="E7833" t="str">
            <v/>
          </cell>
          <cell r="G7833" t="str">
            <v/>
          </cell>
          <cell r="J7833" t="str">
            <v/>
          </cell>
          <cell r="O7833" t="str">
            <v/>
          </cell>
          <cell r="P7833" t="str">
            <v/>
          </cell>
          <cell r="Q7833" t="str">
            <v/>
          </cell>
          <cell r="S7833" t="str">
            <v/>
          </cell>
          <cell r="V7833" t="str">
            <v/>
          </cell>
          <cell r="Z7833" t="str">
            <v/>
          </cell>
          <cell r="AA7833" t="str">
            <v/>
          </cell>
          <cell r="AB7833" t="str">
            <v/>
          </cell>
          <cell r="AC7833" t="str">
            <v/>
          </cell>
          <cell r="AD7833" t="str">
            <v/>
          </cell>
          <cell r="AY7833" t="str">
            <v/>
          </cell>
          <cell r="AZ7833" t="str">
            <v/>
          </cell>
          <cell r="BA7833" t="str">
            <v/>
          </cell>
        </row>
        <row r="7834">
          <cell r="B7834" t="str">
            <v>-</v>
          </cell>
          <cell r="E7834" t="str">
            <v/>
          </cell>
          <cell r="G7834" t="str">
            <v/>
          </cell>
          <cell r="J7834" t="str">
            <v/>
          </cell>
          <cell r="O7834" t="str">
            <v/>
          </cell>
          <cell r="P7834" t="str">
            <v/>
          </cell>
          <cell r="Q7834" t="str">
            <v/>
          </cell>
          <cell r="S7834" t="str">
            <v/>
          </cell>
          <cell r="V7834" t="str">
            <v/>
          </cell>
          <cell r="Z7834" t="str">
            <v/>
          </cell>
          <cell r="AA7834" t="str">
            <v/>
          </cell>
          <cell r="AB7834" t="str">
            <v/>
          </cell>
          <cell r="AC7834" t="str">
            <v/>
          </cell>
          <cell r="AD7834" t="str">
            <v/>
          </cell>
          <cell r="AY7834" t="str">
            <v/>
          </cell>
          <cell r="AZ7834" t="str">
            <v/>
          </cell>
          <cell r="BA7834" t="str">
            <v/>
          </cell>
        </row>
        <row r="7835">
          <cell r="B7835" t="str">
            <v>-</v>
          </cell>
          <cell r="E7835" t="str">
            <v/>
          </cell>
          <cell r="G7835" t="str">
            <v/>
          </cell>
          <cell r="J7835" t="str">
            <v/>
          </cell>
          <cell r="O7835" t="str">
            <v/>
          </cell>
          <cell r="P7835" t="str">
            <v/>
          </cell>
          <cell r="Q7835" t="str">
            <v/>
          </cell>
          <cell r="S7835" t="str">
            <v/>
          </cell>
          <cell r="V7835" t="str">
            <v/>
          </cell>
          <cell r="Z7835" t="str">
            <v/>
          </cell>
          <cell r="AA7835" t="str">
            <v/>
          </cell>
          <cell r="AB7835" t="str">
            <v/>
          </cell>
          <cell r="AC7835" t="str">
            <v/>
          </cell>
          <cell r="AD7835" t="str">
            <v/>
          </cell>
          <cell r="AY7835" t="str">
            <v/>
          </cell>
          <cell r="AZ7835" t="str">
            <v/>
          </cell>
          <cell r="BA7835" t="str">
            <v/>
          </cell>
        </row>
        <row r="7836">
          <cell r="B7836" t="str">
            <v>-</v>
          </cell>
          <cell r="E7836" t="str">
            <v/>
          </cell>
          <cell r="G7836" t="str">
            <v/>
          </cell>
          <cell r="J7836" t="str">
            <v/>
          </cell>
          <cell r="O7836" t="str">
            <v/>
          </cell>
          <cell r="P7836" t="str">
            <v/>
          </cell>
          <cell r="Q7836" t="str">
            <v/>
          </cell>
          <cell r="S7836" t="str">
            <v/>
          </cell>
          <cell r="V7836" t="str">
            <v/>
          </cell>
          <cell r="Z7836" t="str">
            <v/>
          </cell>
          <cell r="AA7836" t="str">
            <v/>
          </cell>
          <cell r="AB7836" t="str">
            <v/>
          </cell>
          <cell r="AC7836" t="str">
            <v/>
          </cell>
          <cell r="AD7836" t="str">
            <v/>
          </cell>
          <cell r="AY7836" t="str">
            <v/>
          </cell>
          <cell r="AZ7836" t="str">
            <v/>
          </cell>
          <cell r="BA7836" t="str">
            <v/>
          </cell>
        </row>
        <row r="7837">
          <cell r="B7837" t="str">
            <v>-</v>
          </cell>
          <cell r="E7837" t="str">
            <v/>
          </cell>
          <cell r="G7837" t="str">
            <v/>
          </cell>
          <cell r="J7837" t="str">
            <v/>
          </cell>
          <cell r="O7837" t="str">
            <v/>
          </cell>
          <cell r="P7837" t="str">
            <v/>
          </cell>
          <cell r="Q7837" t="str">
            <v/>
          </cell>
          <cell r="S7837" t="str">
            <v/>
          </cell>
          <cell r="V7837" t="str">
            <v/>
          </cell>
          <cell r="Z7837" t="str">
            <v/>
          </cell>
          <cell r="AA7837" t="str">
            <v/>
          </cell>
          <cell r="AB7837" t="str">
            <v/>
          </cell>
          <cell r="AC7837" t="str">
            <v/>
          </cell>
          <cell r="AD7837" t="str">
            <v/>
          </cell>
          <cell r="AY7837" t="str">
            <v/>
          </cell>
          <cell r="AZ7837" t="str">
            <v/>
          </cell>
          <cell r="BA7837" t="str">
            <v/>
          </cell>
        </row>
        <row r="7838">
          <cell r="B7838" t="str">
            <v>-</v>
          </cell>
          <cell r="E7838" t="str">
            <v/>
          </cell>
          <cell r="G7838" t="str">
            <v/>
          </cell>
          <cell r="J7838" t="str">
            <v/>
          </cell>
          <cell r="O7838" t="str">
            <v/>
          </cell>
          <cell r="P7838" t="str">
            <v/>
          </cell>
          <cell r="Q7838" t="str">
            <v/>
          </cell>
          <cell r="S7838" t="str">
            <v/>
          </cell>
          <cell r="V7838" t="str">
            <v/>
          </cell>
          <cell r="Z7838" t="str">
            <v/>
          </cell>
          <cell r="AA7838" t="str">
            <v/>
          </cell>
          <cell r="AB7838" t="str">
            <v/>
          </cell>
          <cell r="AC7838" t="str">
            <v/>
          </cell>
          <cell r="AD7838" t="str">
            <v/>
          </cell>
          <cell r="AY7838" t="str">
            <v/>
          </cell>
          <cell r="AZ7838" t="str">
            <v/>
          </cell>
          <cell r="BA7838" t="str">
            <v/>
          </cell>
        </row>
        <row r="7839">
          <cell r="B7839" t="str">
            <v>-</v>
          </cell>
          <cell r="E7839" t="str">
            <v/>
          </cell>
          <cell r="G7839" t="str">
            <v/>
          </cell>
          <cell r="J7839" t="str">
            <v/>
          </cell>
          <cell r="O7839" t="str">
            <v/>
          </cell>
          <cell r="P7839" t="str">
            <v/>
          </cell>
          <cell r="Q7839" t="str">
            <v/>
          </cell>
          <cell r="S7839" t="str">
            <v/>
          </cell>
          <cell r="V7839" t="str">
            <v/>
          </cell>
          <cell r="Z7839" t="str">
            <v/>
          </cell>
          <cell r="AA7839" t="str">
            <v/>
          </cell>
          <cell r="AB7839" t="str">
            <v/>
          </cell>
          <cell r="AC7839" t="str">
            <v/>
          </cell>
          <cell r="AD7839" t="str">
            <v/>
          </cell>
          <cell r="AY7839" t="str">
            <v/>
          </cell>
          <cell r="AZ7839" t="str">
            <v/>
          </cell>
          <cell r="BA7839" t="str">
            <v/>
          </cell>
        </row>
        <row r="7840">
          <cell r="B7840" t="str">
            <v>-</v>
          </cell>
          <cell r="E7840" t="str">
            <v/>
          </cell>
          <cell r="G7840" t="str">
            <v/>
          </cell>
          <cell r="J7840" t="str">
            <v/>
          </cell>
          <cell r="O7840" t="str">
            <v/>
          </cell>
          <cell r="P7840" t="str">
            <v/>
          </cell>
          <cell r="Q7840" t="str">
            <v/>
          </cell>
          <cell r="S7840" t="str">
            <v/>
          </cell>
          <cell r="V7840" t="str">
            <v/>
          </cell>
          <cell r="Z7840" t="str">
            <v/>
          </cell>
          <cell r="AA7840" t="str">
            <v/>
          </cell>
          <cell r="AB7840" t="str">
            <v/>
          </cell>
          <cell r="AC7840" t="str">
            <v/>
          </cell>
          <cell r="AD7840" t="str">
            <v/>
          </cell>
          <cell r="AY7840" t="str">
            <v/>
          </cell>
          <cell r="AZ7840" t="str">
            <v/>
          </cell>
          <cell r="BA7840" t="str">
            <v/>
          </cell>
        </row>
        <row r="7841">
          <cell r="B7841" t="str">
            <v>-</v>
          </cell>
          <cell r="E7841" t="str">
            <v/>
          </cell>
          <cell r="G7841" t="str">
            <v/>
          </cell>
          <cell r="J7841" t="str">
            <v/>
          </cell>
          <cell r="O7841" t="str">
            <v/>
          </cell>
          <cell r="P7841" t="str">
            <v/>
          </cell>
          <cell r="Q7841" t="str">
            <v/>
          </cell>
          <cell r="S7841" t="str">
            <v/>
          </cell>
          <cell r="V7841" t="str">
            <v/>
          </cell>
          <cell r="Z7841" t="str">
            <v/>
          </cell>
          <cell r="AA7841" t="str">
            <v/>
          </cell>
          <cell r="AB7841" t="str">
            <v/>
          </cell>
          <cell r="AC7841" t="str">
            <v/>
          </cell>
          <cell r="AD7841" t="str">
            <v/>
          </cell>
          <cell r="AY7841" t="str">
            <v/>
          </cell>
          <cell r="AZ7841" t="str">
            <v/>
          </cell>
          <cell r="BA7841" t="str">
            <v/>
          </cell>
        </row>
        <row r="7842">
          <cell r="B7842" t="str">
            <v>-</v>
          </cell>
          <cell r="E7842" t="str">
            <v/>
          </cell>
          <cell r="G7842" t="str">
            <v/>
          </cell>
          <cell r="J7842" t="str">
            <v/>
          </cell>
          <cell r="O7842" t="str">
            <v/>
          </cell>
          <cell r="P7842" t="str">
            <v/>
          </cell>
          <cell r="Q7842" t="str">
            <v/>
          </cell>
          <cell r="S7842" t="str">
            <v/>
          </cell>
          <cell r="V7842" t="str">
            <v/>
          </cell>
          <cell r="Z7842" t="str">
            <v/>
          </cell>
          <cell r="AA7842" t="str">
            <v/>
          </cell>
          <cell r="AB7842" t="str">
            <v/>
          </cell>
          <cell r="AC7842" t="str">
            <v/>
          </cell>
          <cell r="AD7842" t="str">
            <v/>
          </cell>
          <cell r="AY7842" t="str">
            <v/>
          </cell>
          <cell r="AZ7842" t="str">
            <v/>
          </cell>
          <cell r="BA7842" t="str">
            <v/>
          </cell>
        </row>
        <row r="7843">
          <cell r="B7843" t="str">
            <v>-</v>
          </cell>
          <cell r="E7843" t="str">
            <v/>
          </cell>
          <cell r="G7843" t="str">
            <v/>
          </cell>
          <cell r="J7843" t="str">
            <v/>
          </cell>
          <cell r="O7843" t="str">
            <v/>
          </cell>
          <cell r="P7843" t="str">
            <v/>
          </cell>
          <cell r="Q7843" t="str">
            <v/>
          </cell>
          <cell r="S7843" t="str">
            <v/>
          </cell>
          <cell r="V7843" t="str">
            <v/>
          </cell>
          <cell r="Z7843" t="str">
            <v/>
          </cell>
          <cell r="AA7843" t="str">
            <v/>
          </cell>
          <cell r="AB7843" t="str">
            <v/>
          </cell>
          <cell r="AC7843" t="str">
            <v/>
          </cell>
          <cell r="AD7843" t="str">
            <v/>
          </cell>
          <cell r="AY7843" t="str">
            <v/>
          </cell>
          <cell r="AZ7843" t="str">
            <v/>
          </cell>
          <cell r="BA7843" t="str">
            <v/>
          </cell>
        </row>
        <row r="7844">
          <cell r="B7844" t="str">
            <v>-</v>
          </cell>
          <cell r="E7844" t="str">
            <v/>
          </cell>
          <cell r="G7844" t="str">
            <v/>
          </cell>
          <cell r="J7844" t="str">
            <v/>
          </cell>
          <cell r="O7844" t="str">
            <v/>
          </cell>
          <cell r="P7844" t="str">
            <v/>
          </cell>
          <cell r="Q7844" t="str">
            <v/>
          </cell>
          <cell r="S7844" t="str">
            <v/>
          </cell>
          <cell r="V7844" t="str">
            <v/>
          </cell>
          <cell r="Z7844" t="str">
            <v/>
          </cell>
          <cell r="AA7844" t="str">
            <v/>
          </cell>
          <cell r="AB7844" t="str">
            <v/>
          </cell>
          <cell r="AC7844" t="str">
            <v/>
          </cell>
          <cell r="AD7844" t="str">
            <v/>
          </cell>
          <cell r="AY7844" t="str">
            <v/>
          </cell>
          <cell r="AZ7844" t="str">
            <v/>
          </cell>
          <cell r="BA7844" t="str">
            <v/>
          </cell>
        </row>
        <row r="7845">
          <cell r="B7845" t="str">
            <v>-</v>
          </cell>
          <cell r="E7845" t="str">
            <v/>
          </cell>
          <cell r="G7845" t="str">
            <v/>
          </cell>
          <cell r="J7845" t="str">
            <v/>
          </cell>
          <cell r="O7845" t="str">
            <v/>
          </cell>
          <cell r="P7845" t="str">
            <v/>
          </cell>
          <cell r="Q7845" t="str">
            <v/>
          </cell>
          <cell r="S7845" t="str">
            <v/>
          </cell>
          <cell r="V7845" t="str">
            <v/>
          </cell>
          <cell r="Z7845" t="str">
            <v/>
          </cell>
          <cell r="AA7845" t="str">
            <v/>
          </cell>
          <cell r="AB7845" t="str">
            <v/>
          </cell>
          <cell r="AC7845" t="str">
            <v/>
          </cell>
          <cell r="AD7845" t="str">
            <v/>
          </cell>
          <cell r="AY7845" t="str">
            <v/>
          </cell>
          <cell r="AZ7845" t="str">
            <v/>
          </cell>
          <cell r="BA7845" t="str">
            <v/>
          </cell>
        </row>
        <row r="7846">
          <cell r="B7846" t="str">
            <v>-</v>
          </cell>
          <cell r="E7846" t="str">
            <v/>
          </cell>
          <cell r="G7846" t="str">
            <v/>
          </cell>
          <cell r="J7846" t="str">
            <v/>
          </cell>
          <cell r="O7846" t="str">
            <v/>
          </cell>
          <cell r="P7846" t="str">
            <v/>
          </cell>
          <cell r="Q7846" t="str">
            <v/>
          </cell>
          <cell r="S7846" t="str">
            <v/>
          </cell>
          <cell r="V7846" t="str">
            <v/>
          </cell>
          <cell r="Z7846" t="str">
            <v/>
          </cell>
          <cell r="AA7846" t="str">
            <v/>
          </cell>
          <cell r="AB7846" t="str">
            <v/>
          </cell>
          <cell r="AC7846" t="str">
            <v/>
          </cell>
          <cell r="AD7846" t="str">
            <v/>
          </cell>
          <cell r="AY7846" t="str">
            <v/>
          </cell>
          <cell r="AZ7846" t="str">
            <v/>
          </cell>
          <cell r="BA7846" t="str">
            <v/>
          </cell>
        </row>
        <row r="7847">
          <cell r="B7847" t="str">
            <v>-</v>
          </cell>
          <cell r="E7847" t="str">
            <v/>
          </cell>
          <cell r="G7847" t="str">
            <v/>
          </cell>
          <cell r="J7847" t="str">
            <v/>
          </cell>
          <cell r="O7847" t="str">
            <v/>
          </cell>
          <cell r="P7847" t="str">
            <v/>
          </cell>
          <cell r="Q7847" t="str">
            <v/>
          </cell>
          <cell r="S7847" t="str">
            <v/>
          </cell>
          <cell r="V7847" t="str">
            <v/>
          </cell>
          <cell r="Z7847" t="str">
            <v/>
          </cell>
          <cell r="AA7847" t="str">
            <v/>
          </cell>
          <cell r="AB7847" t="str">
            <v/>
          </cell>
          <cell r="AC7847" t="str">
            <v/>
          </cell>
          <cell r="AD7847" t="str">
            <v/>
          </cell>
          <cell r="AY7847" t="str">
            <v/>
          </cell>
          <cell r="AZ7847" t="str">
            <v/>
          </cell>
          <cell r="BA7847" t="str">
            <v/>
          </cell>
        </row>
        <row r="7848">
          <cell r="B7848" t="str">
            <v>-</v>
          </cell>
          <cell r="E7848" t="str">
            <v/>
          </cell>
          <cell r="G7848" t="str">
            <v/>
          </cell>
          <cell r="J7848" t="str">
            <v/>
          </cell>
          <cell r="O7848" t="str">
            <v/>
          </cell>
          <cell r="P7848" t="str">
            <v/>
          </cell>
          <cell r="Q7848" t="str">
            <v/>
          </cell>
          <cell r="S7848" t="str">
            <v/>
          </cell>
          <cell r="V7848" t="str">
            <v/>
          </cell>
          <cell r="Z7848" t="str">
            <v/>
          </cell>
          <cell r="AA7848" t="str">
            <v/>
          </cell>
          <cell r="AB7848" t="str">
            <v/>
          </cell>
          <cell r="AC7848" t="str">
            <v/>
          </cell>
          <cell r="AD7848" t="str">
            <v/>
          </cell>
          <cell r="AY7848" t="str">
            <v/>
          </cell>
          <cell r="AZ7848" t="str">
            <v/>
          </cell>
          <cell r="BA7848" t="str">
            <v/>
          </cell>
        </row>
        <row r="7849">
          <cell r="B7849" t="str">
            <v>-</v>
          </cell>
          <cell r="E7849" t="str">
            <v/>
          </cell>
          <cell r="G7849" t="str">
            <v/>
          </cell>
          <cell r="J7849" t="str">
            <v/>
          </cell>
          <cell r="O7849" t="str">
            <v/>
          </cell>
          <cell r="P7849" t="str">
            <v/>
          </cell>
          <cell r="Q7849" t="str">
            <v/>
          </cell>
          <cell r="S7849" t="str">
            <v/>
          </cell>
          <cell r="V7849" t="str">
            <v/>
          </cell>
          <cell r="Z7849" t="str">
            <v/>
          </cell>
          <cell r="AA7849" t="str">
            <v/>
          </cell>
          <cell r="AB7849" t="str">
            <v/>
          </cell>
          <cell r="AC7849" t="str">
            <v/>
          </cell>
          <cell r="AD7849" t="str">
            <v/>
          </cell>
          <cell r="AY7849" t="str">
            <v/>
          </cell>
          <cell r="AZ7849" t="str">
            <v/>
          </cell>
          <cell r="BA7849" t="str">
            <v/>
          </cell>
        </row>
        <row r="7850">
          <cell r="B7850" t="str">
            <v>-</v>
          </cell>
          <cell r="E7850" t="str">
            <v/>
          </cell>
          <cell r="G7850" t="str">
            <v/>
          </cell>
          <cell r="J7850" t="str">
            <v/>
          </cell>
          <cell r="O7850" t="str">
            <v/>
          </cell>
          <cell r="P7850" t="str">
            <v/>
          </cell>
          <cell r="Q7850" t="str">
            <v/>
          </cell>
          <cell r="S7850" t="str">
            <v/>
          </cell>
          <cell r="V7850" t="str">
            <v/>
          </cell>
          <cell r="Z7850" t="str">
            <v/>
          </cell>
          <cell r="AA7850" t="str">
            <v/>
          </cell>
          <cell r="AB7850" t="str">
            <v/>
          </cell>
          <cell r="AC7850" t="str">
            <v/>
          </cell>
          <cell r="AD7850" t="str">
            <v/>
          </cell>
          <cell r="AY7850" t="str">
            <v/>
          </cell>
          <cell r="AZ7850" t="str">
            <v/>
          </cell>
          <cell r="BA7850" t="str">
            <v/>
          </cell>
        </row>
        <row r="7851">
          <cell r="B7851" t="str">
            <v>-</v>
          </cell>
          <cell r="E7851" t="str">
            <v/>
          </cell>
          <cell r="G7851" t="str">
            <v/>
          </cell>
          <cell r="J7851" t="str">
            <v/>
          </cell>
          <cell r="O7851" t="str">
            <v/>
          </cell>
          <cell r="P7851" t="str">
            <v/>
          </cell>
          <cell r="Q7851" t="str">
            <v/>
          </cell>
          <cell r="S7851" t="str">
            <v/>
          </cell>
          <cell r="V7851" t="str">
            <v/>
          </cell>
          <cell r="Z7851" t="str">
            <v/>
          </cell>
          <cell r="AA7851" t="str">
            <v/>
          </cell>
          <cell r="AB7851" t="str">
            <v/>
          </cell>
          <cell r="AC7851" t="str">
            <v/>
          </cell>
          <cell r="AD7851" t="str">
            <v/>
          </cell>
          <cell r="AY7851" t="str">
            <v/>
          </cell>
          <cell r="AZ7851" t="str">
            <v/>
          </cell>
          <cell r="BA7851" t="str">
            <v/>
          </cell>
        </row>
        <row r="7852">
          <cell r="B7852" t="str">
            <v>-</v>
          </cell>
          <cell r="E7852" t="str">
            <v/>
          </cell>
          <cell r="G7852" t="str">
            <v/>
          </cell>
          <cell r="J7852" t="str">
            <v/>
          </cell>
          <cell r="O7852" t="str">
            <v/>
          </cell>
          <cell r="P7852" t="str">
            <v/>
          </cell>
          <cell r="Q7852" t="str">
            <v/>
          </cell>
          <cell r="S7852" t="str">
            <v/>
          </cell>
          <cell r="V7852" t="str">
            <v/>
          </cell>
          <cell r="Z7852" t="str">
            <v/>
          </cell>
          <cell r="AA7852" t="str">
            <v/>
          </cell>
          <cell r="AB7852" t="str">
            <v/>
          </cell>
          <cell r="AC7852" t="str">
            <v/>
          </cell>
          <cell r="AD7852" t="str">
            <v/>
          </cell>
          <cell r="AY7852" t="str">
            <v/>
          </cell>
          <cell r="AZ7852" t="str">
            <v/>
          </cell>
          <cell r="BA7852" t="str">
            <v/>
          </cell>
        </row>
        <row r="7853">
          <cell r="B7853" t="str">
            <v>-</v>
          </cell>
          <cell r="E7853" t="str">
            <v/>
          </cell>
          <cell r="G7853" t="str">
            <v/>
          </cell>
          <cell r="J7853" t="str">
            <v/>
          </cell>
          <cell r="O7853" t="str">
            <v/>
          </cell>
          <cell r="P7853" t="str">
            <v/>
          </cell>
          <cell r="Q7853" t="str">
            <v/>
          </cell>
          <cell r="S7853" t="str">
            <v/>
          </cell>
          <cell r="V7853" t="str">
            <v/>
          </cell>
          <cell r="Z7853" t="str">
            <v/>
          </cell>
          <cell r="AA7853" t="str">
            <v/>
          </cell>
          <cell r="AB7853" t="str">
            <v/>
          </cell>
          <cell r="AC7853" t="str">
            <v/>
          </cell>
          <cell r="AD7853" t="str">
            <v/>
          </cell>
          <cell r="AY7853" t="str">
            <v/>
          </cell>
          <cell r="AZ7853" t="str">
            <v/>
          </cell>
          <cell r="BA7853" t="str">
            <v/>
          </cell>
        </row>
        <row r="7854">
          <cell r="B7854" t="str">
            <v>-</v>
          </cell>
          <cell r="E7854" t="str">
            <v/>
          </cell>
          <cell r="G7854" t="str">
            <v/>
          </cell>
          <cell r="J7854" t="str">
            <v/>
          </cell>
          <cell r="O7854" t="str">
            <v/>
          </cell>
          <cell r="P7854" t="str">
            <v/>
          </cell>
          <cell r="Q7854" t="str">
            <v/>
          </cell>
          <cell r="S7854" t="str">
            <v/>
          </cell>
          <cell r="V7854" t="str">
            <v/>
          </cell>
          <cell r="Z7854" t="str">
            <v/>
          </cell>
          <cell r="AA7854" t="str">
            <v/>
          </cell>
          <cell r="AB7854" t="str">
            <v/>
          </cell>
          <cell r="AC7854" t="str">
            <v/>
          </cell>
          <cell r="AD7854" t="str">
            <v/>
          </cell>
          <cell r="AY7854" t="str">
            <v/>
          </cell>
          <cell r="AZ7854" t="str">
            <v/>
          </cell>
          <cell r="BA7854" t="str">
            <v/>
          </cell>
        </row>
        <row r="7855">
          <cell r="B7855" t="str">
            <v>-</v>
          </cell>
          <cell r="E7855" t="str">
            <v/>
          </cell>
          <cell r="G7855" t="str">
            <v/>
          </cell>
          <cell r="J7855" t="str">
            <v/>
          </cell>
          <cell r="O7855" t="str">
            <v/>
          </cell>
          <cell r="P7855" t="str">
            <v/>
          </cell>
          <cell r="Q7855" t="str">
            <v/>
          </cell>
          <cell r="S7855" t="str">
            <v/>
          </cell>
          <cell r="V7855" t="str">
            <v/>
          </cell>
          <cell r="Z7855" t="str">
            <v/>
          </cell>
          <cell r="AA7855" t="str">
            <v/>
          </cell>
          <cell r="AB7855" t="str">
            <v/>
          </cell>
          <cell r="AC7855" t="str">
            <v/>
          </cell>
          <cell r="AD7855" t="str">
            <v/>
          </cell>
          <cell r="AY7855" t="str">
            <v/>
          </cell>
          <cell r="AZ7855" t="str">
            <v/>
          </cell>
          <cell r="BA7855" t="str">
            <v/>
          </cell>
        </row>
        <row r="7856">
          <cell r="B7856" t="str">
            <v>-</v>
          </cell>
          <cell r="E7856" t="str">
            <v/>
          </cell>
          <cell r="G7856" t="str">
            <v/>
          </cell>
          <cell r="J7856" t="str">
            <v/>
          </cell>
          <cell r="O7856" t="str">
            <v/>
          </cell>
          <cell r="P7856" t="str">
            <v/>
          </cell>
          <cell r="Q7856" t="str">
            <v/>
          </cell>
          <cell r="S7856" t="str">
            <v/>
          </cell>
          <cell r="V7856" t="str">
            <v/>
          </cell>
          <cell r="Z7856" t="str">
            <v/>
          </cell>
          <cell r="AA7856" t="str">
            <v/>
          </cell>
          <cell r="AB7856" t="str">
            <v/>
          </cell>
          <cell r="AC7856" t="str">
            <v/>
          </cell>
          <cell r="AD7856" t="str">
            <v/>
          </cell>
          <cell r="AY7856" t="str">
            <v/>
          </cell>
          <cell r="AZ7856" t="str">
            <v/>
          </cell>
          <cell r="BA7856" t="str">
            <v/>
          </cell>
        </row>
        <row r="7857">
          <cell r="B7857" t="str">
            <v>-</v>
          </cell>
          <cell r="E7857" t="str">
            <v/>
          </cell>
          <cell r="G7857" t="str">
            <v/>
          </cell>
          <cell r="J7857" t="str">
            <v/>
          </cell>
          <cell r="O7857" t="str">
            <v/>
          </cell>
          <cell r="P7857" t="str">
            <v/>
          </cell>
          <cell r="Q7857" t="str">
            <v/>
          </cell>
          <cell r="S7857" t="str">
            <v/>
          </cell>
          <cell r="V7857" t="str">
            <v/>
          </cell>
          <cell r="Z7857" t="str">
            <v/>
          </cell>
          <cell r="AA7857" t="str">
            <v/>
          </cell>
          <cell r="AB7857" t="str">
            <v/>
          </cell>
          <cell r="AC7857" t="str">
            <v/>
          </cell>
          <cell r="AD7857" t="str">
            <v/>
          </cell>
          <cell r="AY7857" t="str">
            <v/>
          </cell>
          <cell r="AZ7857" t="str">
            <v/>
          </cell>
          <cell r="BA7857" t="str">
            <v/>
          </cell>
        </row>
        <row r="7858">
          <cell r="B7858" t="str">
            <v>-</v>
          </cell>
          <cell r="E7858" t="str">
            <v/>
          </cell>
          <cell r="G7858" t="str">
            <v/>
          </cell>
          <cell r="J7858" t="str">
            <v/>
          </cell>
          <cell r="O7858" t="str">
            <v/>
          </cell>
          <cell r="P7858" t="str">
            <v/>
          </cell>
          <cell r="Q7858" t="str">
            <v/>
          </cell>
          <cell r="S7858" t="str">
            <v/>
          </cell>
          <cell r="V7858" t="str">
            <v/>
          </cell>
          <cell r="Z7858" t="str">
            <v/>
          </cell>
          <cell r="AA7858" t="str">
            <v/>
          </cell>
          <cell r="AB7858" t="str">
            <v/>
          </cell>
          <cell r="AC7858" t="str">
            <v/>
          </cell>
          <cell r="AD7858" t="str">
            <v/>
          </cell>
          <cell r="AY7858" t="str">
            <v/>
          </cell>
          <cell r="AZ7858" t="str">
            <v/>
          </cell>
          <cell r="BA7858" t="str">
            <v/>
          </cell>
        </row>
        <row r="7859">
          <cell r="B7859" t="str">
            <v>-</v>
          </cell>
          <cell r="E7859" t="str">
            <v/>
          </cell>
          <cell r="G7859" t="str">
            <v/>
          </cell>
          <cell r="J7859" t="str">
            <v/>
          </cell>
          <cell r="O7859" t="str">
            <v/>
          </cell>
          <cell r="P7859" t="str">
            <v/>
          </cell>
          <cell r="Q7859" t="str">
            <v/>
          </cell>
          <cell r="S7859" t="str">
            <v/>
          </cell>
          <cell r="V7859" t="str">
            <v/>
          </cell>
          <cell r="Z7859" t="str">
            <v/>
          </cell>
          <cell r="AA7859" t="str">
            <v/>
          </cell>
          <cell r="AB7859" t="str">
            <v/>
          </cell>
          <cell r="AC7859" t="str">
            <v/>
          </cell>
          <cell r="AD7859" t="str">
            <v/>
          </cell>
          <cell r="AY7859" t="str">
            <v/>
          </cell>
          <cell r="AZ7859" t="str">
            <v/>
          </cell>
          <cell r="BA7859" t="str">
            <v/>
          </cell>
        </row>
        <row r="7860">
          <cell r="B7860" t="str">
            <v>-</v>
          </cell>
          <cell r="E7860" t="str">
            <v/>
          </cell>
          <cell r="G7860" t="str">
            <v/>
          </cell>
          <cell r="J7860" t="str">
            <v/>
          </cell>
          <cell r="O7860" t="str">
            <v/>
          </cell>
          <cell r="P7860" t="str">
            <v/>
          </cell>
          <cell r="Q7860" t="str">
            <v/>
          </cell>
          <cell r="S7860" t="str">
            <v/>
          </cell>
          <cell r="V7860" t="str">
            <v/>
          </cell>
          <cell r="Z7860" t="str">
            <v/>
          </cell>
          <cell r="AA7860" t="str">
            <v/>
          </cell>
          <cell r="AB7860" t="str">
            <v/>
          </cell>
          <cell r="AC7860" t="str">
            <v/>
          </cell>
          <cell r="AD7860" t="str">
            <v/>
          </cell>
          <cell r="AY7860" t="str">
            <v/>
          </cell>
          <cell r="AZ7860" t="str">
            <v/>
          </cell>
          <cell r="BA7860" t="str">
            <v/>
          </cell>
        </row>
        <row r="7861">
          <cell r="B7861" t="str">
            <v>-</v>
          </cell>
          <cell r="E7861" t="str">
            <v/>
          </cell>
          <cell r="G7861" t="str">
            <v/>
          </cell>
          <cell r="J7861" t="str">
            <v/>
          </cell>
          <cell r="O7861" t="str">
            <v/>
          </cell>
          <cell r="P7861" t="str">
            <v/>
          </cell>
          <cell r="Q7861" t="str">
            <v/>
          </cell>
          <cell r="S7861" t="str">
            <v/>
          </cell>
          <cell r="V7861" t="str">
            <v/>
          </cell>
          <cell r="Z7861" t="str">
            <v/>
          </cell>
          <cell r="AA7861" t="str">
            <v/>
          </cell>
          <cell r="AB7861" t="str">
            <v/>
          </cell>
          <cell r="AC7861" t="str">
            <v/>
          </cell>
          <cell r="AD7861" t="str">
            <v/>
          </cell>
          <cell r="AY7861" t="str">
            <v/>
          </cell>
          <cell r="AZ7861" t="str">
            <v/>
          </cell>
          <cell r="BA7861" t="str">
            <v/>
          </cell>
        </row>
        <row r="7862">
          <cell r="B7862" t="str">
            <v>-</v>
          </cell>
          <cell r="E7862" t="str">
            <v/>
          </cell>
          <cell r="G7862" t="str">
            <v/>
          </cell>
          <cell r="J7862" t="str">
            <v/>
          </cell>
          <cell r="O7862" t="str">
            <v/>
          </cell>
          <cell r="P7862" t="str">
            <v/>
          </cell>
          <cell r="Q7862" t="str">
            <v/>
          </cell>
          <cell r="S7862" t="str">
            <v/>
          </cell>
          <cell r="V7862" t="str">
            <v/>
          </cell>
          <cell r="Z7862" t="str">
            <v/>
          </cell>
          <cell r="AA7862" t="str">
            <v/>
          </cell>
          <cell r="AB7862" t="str">
            <v/>
          </cell>
          <cell r="AC7862" t="str">
            <v/>
          </cell>
          <cell r="AD7862" t="str">
            <v/>
          </cell>
          <cell r="AY7862" t="str">
            <v/>
          </cell>
          <cell r="AZ7862" t="str">
            <v/>
          </cell>
          <cell r="BA7862" t="str">
            <v/>
          </cell>
        </row>
        <row r="7863">
          <cell r="B7863" t="str">
            <v>-</v>
          </cell>
          <cell r="E7863" t="str">
            <v/>
          </cell>
          <cell r="G7863" t="str">
            <v/>
          </cell>
          <cell r="J7863" t="str">
            <v/>
          </cell>
          <cell r="O7863" t="str">
            <v/>
          </cell>
          <cell r="P7863" t="str">
            <v/>
          </cell>
          <cell r="Q7863" t="str">
            <v/>
          </cell>
          <cell r="S7863" t="str">
            <v/>
          </cell>
          <cell r="V7863" t="str">
            <v/>
          </cell>
          <cell r="Z7863" t="str">
            <v/>
          </cell>
          <cell r="AA7863" t="str">
            <v/>
          </cell>
          <cell r="AB7863" t="str">
            <v/>
          </cell>
          <cell r="AC7863" t="str">
            <v/>
          </cell>
          <cell r="AD7863" t="str">
            <v/>
          </cell>
          <cell r="AY7863" t="str">
            <v/>
          </cell>
          <cell r="AZ7863" t="str">
            <v/>
          </cell>
          <cell r="BA7863" t="str">
            <v/>
          </cell>
        </row>
        <row r="7864">
          <cell r="B7864" t="str">
            <v>-</v>
          </cell>
          <cell r="E7864" t="str">
            <v/>
          </cell>
          <cell r="G7864" t="str">
            <v/>
          </cell>
          <cell r="J7864" t="str">
            <v/>
          </cell>
          <cell r="O7864" t="str">
            <v/>
          </cell>
          <cell r="P7864" t="str">
            <v/>
          </cell>
          <cell r="Q7864" t="str">
            <v/>
          </cell>
          <cell r="S7864" t="str">
            <v/>
          </cell>
          <cell r="V7864" t="str">
            <v/>
          </cell>
          <cell r="Z7864" t="str">
            <v/>
          </cell>
          <cell r="AA7864" t="str">
            <v/>
          </cell>
          <cell r="AB7864" t="str">
            <v/>
          </cell>
          <cell r="AC7864" t="str">
            <v/>
          </cell>
          <cell r="AD7864" t="str">
            <v/>
          </cell>
          <cell r="AY7864" t="str">
            <v/>
          </cell>
          <cell r="AZ7864" t="str">
            <v/>
          </cell>
          <cell r="BA7864" t="str">
            <v/>
          </cell>
        </row>
        <row r="7865">
          <cell r="B7865" t="str">
            <v>-</v>
          </cell>
          <cell r="E7865" t="str">
            <v/>
          </cell>
          <cell r="G7865" t="str">
            <v/>
          </cell>
          <cell r="J7865" t="str">
            <v/>
          </cell>
          <cell r="O7865" t="str">
            <v/>
          </cell>
          <cell r="P7865" t="str">
            <v/>
          </cell>
          <cell r="Q7865" t="str">
            <v/>
          </cell>
          <cell r="S7865" t="str">
            <v/>
          </cell>
          <cell r="V7865" t="str">
            <v/>
          </cell>
          <cell r="Z7865" t="str">
            <v/>
          </cell>
          <cell r="AA7865" t="str">
            <v/>
          </cell>
          <cell r="AB7865" t="str">
            <v/>
          </cell>
          <cell r="AC7865" t="str">
            <v/>
          </cell>
          <cell r="AD7865" t="str">
            <v/>
          </cell>
          <cell r="AY7865" t="str">
            <v/>
          </cell>
          <cell r="AZ7865" t="str">
            <v/>
          </cell>
          <cell r="BA7865" t="str">
            <v/>
          </cell>
        </row>
        <row r="7866">
          <cell r="B7866" t="str">
            <v>-</v>
          </cell>
          <cell r="E7866" t="str">
            <v/>
          </cell>
          <cell r="G7866" t="str">
            <v/>
          </cell>
          <cell r="J7866" t="str">
            <v/>
          </cell>
          <cell r="O7866" t="str">
            <v/>
          </cell>
          <cell r="P7866" t="str">
            <v/>
          </cell>
          <cell r="Q7866" t="str">
            <v/>
          </cell>
          <cell r="S7866" t="str">
            <v/>
          </cell>
          <cell r="V7866" t="str">
            <v/>
          </cell>
          <cell r="Z7866" t="str">
            <v/>
          </cell>
          <cell r="AA7866" t="str">
            <v/>
          </cell>
          <cell r="AB7866" t="str">
            <v/>
          </cell>
          <cell r="AC7866" t="str">
            <v/>
          </cell>
          <cell r="AD7866" t="str">
            <v/>
          </cell>
          <cell r="AY7866" t="str">
            <v/>
          </cell>
          <cell r="AZ7866" t="str">
            <v/>
          </cell>
          <cell r="BA7866" t="str">
            <v/>
          </cell>
        </row>
        <row r="7867">
          <cell r="B7867" t="str">
            <v>-</v>
          </cell>
          <cell r="E7867" t="str">
            <v/>
          </cell>
          <cell r="G7867" t="str">
            <v/>
          </cell>
          <cell r="J7867" t="str">
            <v/>
          </cell>
          <cell r="O7867" t="str">
            <v/>
          </cell>
          <cell r="P7867" t="str">
            <v/>
          </cell>
          <cell r="Q7867" t="str">
            <v/>
          </cell>
          <cell r="S7867" t="str">
            <v/>
          </cell>
          <cell r="V7867" t="str">
            <v/>
          </cell>
          <cell r="Z7867" t="str">
            <v/>
          </cell>
          <cell r="AA7867" t="str">
            <v/>
          </cell>
          <cell r="AB7867" t="str">
            <v/>
          </cell>
          <cell r="AC7867" t="str">
            <v/>
          </cell>
          <cell r="AD7867" t="str">
            <v/>
          </cell>
          <cell r="AY7867" t="str">
            <v/>
          </cell>
          <cell r="AZ7867" t="str">
            <v/>
          </cell>
          <cell r="BA7867" t="str">
            <v/>
          </cell>
        </row>
        <row r="7868">
          <cell r="B7868" t="str">
            <v>-</v>
          </cell>
          <cell r="E7868" t="str">
            <v/>
          </cell>
          <cell r="G7868" t="str">
            <v/>
          </cell>
          <cell r="J7868" t="str">
            <v/>
          </cell>
          <cell r="O7868" t="str">
            <v/>
          </cell>
          <cell r="P7868" t="str">
            <v/>
          </cell>
          <cell r="Q7868" t="str">
            <v/>
          </cell>
          <cell r="S7868" t="str">
            <v/>
          </cell>
          <cell r="V7868" t="str">
            <v/>
          </cell>
          <cell r="Z7868" t="str">
            <v/>
          </cell>
          <cell r="AA7868" t="str">
            <v/>
          </cell>
          <cell r="AB7868" t="str">
            <v/>
          </cell>
          <cell r="AC7868" t="str">
            <v/>
          </cell>
          <cell r="AD7868" t="str">
            <v/>
          </cell>
          <cell r="AY7868" t="str">
            <v/>
          </cell>
          <cell r="AZ7868" t="str">
            <v/>
          </cell>
          <cell r="BA7868" t="str">
            <v/>
          </cell>
        </row>
        <row r="7869">
          <cell r="B7869" t="str">
            <v>-</v>
          </cell>
          <cell r="E7869" t="str">
            <v/>
          </cell>
          <cell r="G7869" t="str">
            <v/>
          </cell>
          <cell r="J7869" t="str">
            <v/>
          </cell>
          <cell r="O7869" t="str">
            <v/>
          </cell>
          <cell r="P7869" t="str">
            <v/>
          </cell>
          <cell r="Q7869" t="str">
            <v/>
          </cell>
          <cell r="S7869" t="str">
            <v/>
          </cell>
          <cell r="V7869" t="str">
            <v/>
          </cell>
          <cell r="Z7869" t="str">
            <v/>
          </cell>
          <cell r="AA7869" t="str">
            <v/>
          </cell>
          <cell r="AB7869" t="str">
            <v/>
          </cell>
          <cell r="AC7869" t="str">
            <v/>
          </cell>
          <cell r="AD7869" t="str">
            <v/>
          </cell>
          <cell r="AY7869" t="str">
            <v/>
          </cell>
          <cell r="AZ7869" t="str">
            <v/>
          </cell>
          <cell r="BA7869" t="str">
            <v/>
          </cell>
        </row>
        <row r="7870">
          <cell r="B7870" t="str">
            <v>-</v>
          </cell>
          <cell r="E7870" t="str">
            <v/>
          </cell>
          <cell r="G7870" t="str">
            <v/>
          </cell>
          <cell r="J7870" t="str">
            <v/>
          </cell>
          <cell r="O7870" t="str">
            <v/>
          </cell>
          <cell r="P7870" t="str">
            <v/>
          </cell>
          <cell r="Q7870" t="str">
            <v/>
          </cell>
          <cell r="S7870" t="str">
            <v/>
          </cell>
          <cell r="V7870" t="str">
            <v/>
          </cell>
          <cell r="Z7870" t="str">
            <v/>
          </cell>
          <cell r="AA7870" t="str">
            <v/>
          </cell>
          <cell r="AB7870" t="str">
            <v/>
          </cell>
          <cell r="AC7870" t="str">
            <v/>
          </cell>
          <cell r="AD7870" t="str">
            <v/>
          </cell>
          <cell r="AY7870" t="str">
            <v/>
          </cell>
          <cell r="AZ7870" t="str">
            <v/>
          </cell>
          <cell r="BA7870" t="str">
            <v/>
          </cell>
        </row>
        <row r="7871">
          <cell r="B7871" t="str">
            <v>-</v>
          </cell>
          <cell r="E7871" t="str">
            <v/>
          </cell>
          <cell r="G7871" t="str">
            <v/>
          </cell>
          <cell r="J7871" t="str">
            <v/>
          </cell>
          <cell r="O7871" t="str">
            <v/>
          </cell>
          <cell r="P7871" t="str">
            <v/>
          </cell>
          <cell r="Q7871" t="str">
            <v/>
          </cell>
          <cell r="S7871" t="str">
            <v/>
          </cell>
          <cell r="V7871" t="str">
            <v/>
          </cell>
          <cell r="Z7871" t="str">
            <v/>
          </cell>
          <cell r="AA7871" t="str">
            <v/>
          </cell>
          <cell r="AB7871" t="str">
            <v/>
          </cell>
          <cell r="AC7871" t="str">
            <v/>
          </cell>
          <cell r="AD7871" t="str">
            <v/>
          </cell>
          <cell r="AY7871" t="str">
            <v/>
          </cell>
          <cell r="AZ7871" t="str">
            <v/>
          </cell>
          <cell r="BA7871" t="str">
            <v/>
          </cell>
        </row>
        <row r="7872">
          <cell r="B7872" t="str">
            <v>-</v>
          </cell>
          <cell r="E7872" t="str">
            <v/>
          </cell>
          <cell r="G7872" t="str">
            <v/>
          </cell>
          <cell r="J7872" t="str">
            <v/>
          </cell>
          <cell r="O7872" t="str">
            <v/>
          </cell>
          <cell r="P7872" t="str">
            <v/>
          </cell>
          <cell r="Q7872" t="str">
            <v/>
          </cell>
          <cell r="S7872" t="str">
            <v/>
          </cell>
          <cell r="V7872" t="str">
            <v/>
          </cell>
          <cell r="Z7872" t="str">
            <v/>
          </cell>
          <cell r="AA7872" t="str">
            <v/>
          </cell>
          <cell r="AB7872" t="str">
            <v/>
          </cell>
          <cell r="AC7872" t="str">
            <v/>
          </cell>
          <cell r="AD7872" t="str">
            <v/>
          </cell>
          <cell r="AY7872" t="str">
            <v/>
          </cell>
          <cell r="AZ7872" t="str">
            <v/>
          </cell>
          <cell r="BA7872" t="str">
            <v/>
          </cell>
        </row>
        <row r="7873">
          <cell r="B7873" t="str">
            <v>-</v>
          </cell>
          <cell r="E7873" t="str">
            <v/>
          </cell>
          <cell r="G7873" t="str">
            <v/>
          </cell>
          <cell r="J7873" t="str">
            <v/>
          </cell>
          <cell r="O7873" t="str">
            <v/>
          </cell>
          <cell r="P7873" t="str">
            <v/>
          </cell>
          <cell r="Q7873" t="str">
            <v/>
          </cell>
          <cell r="S7873" t="str">
            <v/>
          </cell>
          <cell r="V7873" t="str">
            <v/>
          </cell>
          <cell r="Z7873" t="str">
            <v/>
          </cell>
          <cell r="AA7873" t="str">
            <v/>
          </cell>
          <cell r="AB7873" t="str">
            <v/>
          </cell>
          <cell r="AC7873" t="str">
            <v/>
          </cell>
          <cell r="AD7873" t="str">
            <v/>
          </cell>
          <cell r="AY7873" t="str">
            <v/>
          </cell>
          <cell r="AZ7873" t="str">
            <v/>
          </cell>
          <cell r="BA7873" t="str">
            <v/>
          </cell>
        </row>
        <row r="7874">
          <cell r="B7874" t="str">
            <v>-</v>
          </cell>
          <cell r="E7874" t="str">
            <v/>
          </cell>
          <cell r="G7874" t="str">
            <v/>
          </cell>
          <cell r="J7874" t="str">
            <v/>
          </cell>
          <cell r="O7874" t="str">
            <v/>
          </cell>
          <cell r="P7874" t="str">
            <v/>
          </cell>
          <cell r="Q7874" t="str">
            <v/>
          </cell>
          <cell r="S7874" t="str">
            <v/>
          </cell>
          <cell r="V7874" t="str">
            <v/>
          </cell>
          <cell r="Z7874" t="str">
            <v/>
          </cell>
          <cell r="AA7874" t="str">
            <v/>
          </cell>
          <cell r="AB7874" t="str">
            <v/>
          </cell>
          <cell r="AC7874" t="str">
            <v/>
          </cell>
          <cell r="AD7874" t="str">
            <v/>
          </cell>
          <cell r="AY7874" t="str">
            <v/>
          </cell>
          <cell r="AZ7874" t="str">
            <v/>
          </cell>
          <cell r="BA7874" t="str">
            <v/>
          </cell>
        </row>
        <row r="7875">
          <cell r="B7875" t="str">
            <v>-</v>
          </cell>
          <cell r="E7875" t="str">
            <v/>
          </cell>
          <cell r="G7875" t="str">
            <v/>
          </cell>
          <cell r="J7875" t="str">
            <v/>
          </cell>
          <cell r="O7875" t="str">
            <v/>
          </cell>
          <cell r="P7875" t="str">
            <v/>
          </cell>
          <cell r="Q7875" t="str">
            <v/>
          </cell>
          <cell r="S7875" t="str">
            <v/>
          </cell>
          <cell r="V7875" t="str">
            <v/>
          </cell>
          <cell r="Z7875" t="str">
            <v/>
          </cell>
          <cell r="AA7875" t="str">
            <v/>
          </cell>
          <cell r="AB7875" t="str">
            <v/>
          </cell>
          <cell r="AC7875" t="str">
            <v/>
          </cell>
          <cell r="AD7875" t="str">
            <v/>
          </cell>
          <cell r="AY7875" t="str">
            <v/>
          </cell>
          <cell r="AZ7875" t="str">
            <v/>
          </cell>
          <cell r="BA7875" t="str">
            <v/>
          </cell>
        </row>
        <row r="7876">
          <cell r="B7876" t="str">
            <v>-</v>
          </cell>
          <cell r="E7876" t="str">
            <v/>
          </cell>
          <cell r="G7876" t="str">
            <v/>
          </cell>
          <cell r="J7876" t="str">
            <v/>
          </cell>
          <cell r="O7876" t="str">
            <v/>
          </cell>
          <cell r="P7876" t="str">
            <v/>
          </cell>
          <cell r="Q7876" t="str">
            <v/>
          </cell>
          <cell r="S7876" t="str">
            <v/>
          </cell>
          <cell r="V7876" t="str">
            <v/>
          </cell>
          <cell r="Z7876" t="str">
            <v/>
          </cell>
          <cell r="AA7876" t="str">
            <v/>
          </cell>
          <cell r="AB7876" t="str">
            <v/>
          </cell>
          <cell r="AC7876" t="str">
            <v/>
          </cell>
          <cell r="AD7876" t="str">
            <v/>
          </cell>
          <cell r="AY7876" t="str">
            <v/>
          </cell>
          <cell r="AZ7876" t="str">
            <v/>
          </cell>
          <cell r="BA7876" t="str">
            <v/>
          </cell>
        </row>
        <row r="7877">
          <cell r="B7877" t="str">
            <v>-</v>
          </cell>
          <cell r="E7877" t="str">
            <v/>
          </cell>
          <cell r="G7877" t="str">
            <v/>
          </cell>
          <cell r="J7877" t="str">
            <v/>
          </cell>
          <cell r="O7877" t="str">
            <v/>
          </cell>
          <cell r="P7877" t="str">
            <v/>
          </cell>
          <cell r="Q7877" t="str">
            <v/>
          </cell>
          <cell r="S7877" t="str">
            <v/>
          </cell>
          <cell r="V7877" t="str">
            <v/>
          </cell>
          <cell r="Z7877" t="str">
            <v/>
          </cell>
          <cell r="AA7877" t="str">
            <v/>
          </cell>
          <cell r="AB7877" t="str">
            <v/>
          </cell>
          <cell r="AC7877" t="str">
            <v/>
          </cell>
          <cell r="AD7877" t="str">
            <v/>
          </cell>
          <cell r="AY7877" t="str">
            <v/>
          </cell>
          <cell r="AZ7877" t="str">
            <v/>
          </cell>
          <cell r="BA7877" t="str">
            <v/>
          </cell>
        </row>
        <row r="7878">
          <cell r="B7878" t="str">
            <v>-</v>
          </cell>
          <cell r="E7878" t="str">
            <v/>
          </cell>
          <cell r="G7878" t="str">
            <v/>
          </cell>
          <cell r="J7878" t="str">
            <v/>
          </cell>
          <cell r="O7878" t="str">
            <v/>
          </cell>
          <cell r="P7878" t="str">
            <v/>
          </cell>
          <cell r="Q7878" t="str">
            <v/>
          </cell>
          <cell r="S7878" t="str">
            <v/>
          </cell>
          <cell r="V7878" t="str">
            <v/>
          </cell>
          <cell r="Z7878" t="str">
            <v/>
          </cell>
          <cell r="AA7878" t="str">
            <v/>
          </cell>
          <cell r="AB7878" t="str">
            <v/>
          </cell>
          <cell r="AC7878" t="str">
            <v/>
          </cell>
          <cell r="AD7878" t="str">
            <v/>
          </cell>
          <cell r="AY7878" t="str">
            <v/>
          </cell>
          <cell r="AZ7878" t="str">
            <v/>
          </cell>
          <cell r="BA7878" t="str">
            <v/>
          </cell>
        </row>
        <row r="7879">
          <cell r="B7879" t="str">
            <v>-</v>
          </cell>
          <cell r="E7879" t="str">
            <v/>
          </cell>
          <cell r="G7879" t="str">
            <v/>
          </cell>
          <cell r="J7879" t="str">
            <v/>
          </cell>
          <cell r="O7879" t="str">
            <v/>
          </cell>
          <cell r="P7879" t="str">
            <v/>
          </cell>
          <cell r="Q7879" t="str">
            <v/>
          </cell>
          <cell r="S7879" t="str">
            <v/>
          </cell>
          <cell r="V7879" t="str">
            <v/>
          </cell>
          <cell r="Z7879" t="str">
            <v/>
          </cell>
          <cell r="AA7879" t="str">
            <v/>
          </cell>
          <cell r="AB7879" t="str">
            <v/>
          </cell>
          <cell r="AC7879" t="str">
            <v/>
          </cell>
          <cell r="AD7879" t="str">
            <v/>
          </cell>
          <cell r="AY7879" t="str">
            <v/>
          </cell>
          <cell r="AZ7879" t="str">
            <v/>
          </cell>
          <cell r="BA7879" t="str">
            <v/>
          </cell>
        </row>
        <row r="7880">
          <cell r="B7880" t="str">
            <v>-</v>
          </cell>
          <cell r="E7880" t="str">
            <v/>
          </cell>
          <cell r="G7880" t="str">
            <v/>
          </cell>
          <cell r="J7880" t="str">
            <v/>
          </cell>
          <cell r="O7880" t="str">
            <v/>
          </cell>
          <cell r="P7880" t="str">
            <v/>
          </cell>
          <cell r="Q7880" t="str">
            <v/>
          </cell>
          <cell r="S7880" t="str">
            <v/>
          </cell>
          <cell r="V7880" t="str">
            <v/>
          </cell>
          <cell r="Z7880" t="str">
            <v/>
          </cell>
          <cell r="AA7880" t="str">
            <v/>
          </cell>
          <cell r="AB7880" t="str">
            <v/>
          </cell>
          <cell r="AC7880" t="str">
            <v/>
          </cell>
          <cell r="AD7880" t="str">
            <v/>
          </cell>
          <cell r="AY7880" t="str">
            <v/>
          </cell>
          <cell r="AZ7880" t="str">
            <v/>
          </cell>
          <cell r="BA7880" t="str">
            <v/>
          </cell>
        </row>
        <row r="7881">
          <cell r="B7881" t="str">
            <v>-</v>
          </cell>
          <cell r="E7881" t="str">
            <v/>
          </cell>
          <cell r="G7881" t="str">
            <v/>
          </cell>
          <cell r="J7881" t="str">
            <v/>
          </cell>
          <cell r="O7881" t="str">
            <v/>
          </cell>
          <cell r="P7881" t="str">
            <v/>
          </cell>
          <cell r="Q7881" t="str">
            <v/>
          </cell>
          <cell r="S7881" t="str">
            <v/>
          </cell>
          <cell r="V7881" t="str">
            <v/>
          </cell>
          <cell r="Z7881" t="str">
            <v/>
          </cell>
          <cell r="AA7881" t="str">
            <v/>
          </cell>
          <cell r="AB7881" t="str">
            <v/>
          </cell>
          <cell r="AC7881" t="str">
            <v/>
          </cell>
          <cell r="AD7881" t="str">
            <v/>
          </cell>
          <cell r="AY7881" t="str">
            <v/>
          </cell>
          <cell r="AZ7881" t="str">
            <v/>
          </cell>
          <cell r="BA7881" t="str">
            <v/>
          </cell>
        </row>
        <row r="7882">
          <cell r="B7882" t="str">
            <v>-</v>
          </cell>
          <cell r="E7882" t="str">
            <v/>
          </cell>
          <cell r="G7882" t="str">
            <v/>
          </cell>
          <cell r="J7882" t="str">
            <v/>
          </cell>
          <cell r="O7882" t="str">
            <v/>
          </cell>
          <cell r="P7882" t="str">
            <v/>
          </cell>
          <cell r="Q7882" t="str">
            <v/>
          </cell>
          <cell r="S7882" t="str">
            <v/>
          </cell>
          <cell r="V7882" t="str">
            <v/>
          </cell>
          <cell r="Z7882" t="str">
            <v/>
          </cell>
          <cell r="AA7882" t="str">
            <v/>
          </cell>
          <cell r="AB7882" t="str">
            <v/>
          </cell>
          <cell r="AC7882" t="str">
            <v/>
          </cell>
          <cell r="AD7882" t="str">
            <v/>
          </cell>
          <cell r="AY7882" t="str">
            <v/>
          </cell>
          <cell r="AZ7882" t="str">
            <v/>
          </cell>
          <cell r="BA7882" t="str">
            <v/>
          </cell>
        </row>
        <row r="7883">
          <cell r="B7883" t="str">
            <v>-</v>
          </cell>
          <cell r="E7883" t="str">
            <v/>
          </cell>
          <cell r="G7883" t="str">
            <v/>
          </cell>
          <cell r="J7883" t="str">
            <v/>
          </cell>
          <cell r="O7883" t="str">
            <v/>
          </cell>
          <cell r="P7883" t="str">
            <v/>
          </cell>
          <cell r="Q7883" t="str">
            <v/>
          </cell>
          <cell r="S7883" t="str">
            <v/>
          </cell>
          <cell r="V7883" t="str">
            <v/>
          </cell>
          <cell r="Z7883" t="str">
            <v/>
          </cell>
          <cell r="AA7883" t="str">
            <v/>
          </cell>
          <cell r="AB7883" t="str">
            <v/>
          </cell>
          <cell r="AC7883" t="str">
            <v/>
          </cell>
          <cell r="AD7883" t="str">
            <v/>
          </cell>
          <cell r="AY7883" t="str">
            <v/>
          </cell>
          <cell r="AZ7883" t="str">
            <v/>
          </cell>
          <cell r="BA7883" t="str">
            <v/>
          </cell>
        </row>
        <row r="7884">
          <cell r="B7884" t="str">
            <v>-</v>
          </cell>
          <cell r="E7884" t="str">
            <v/>
          </cell>
          <cell r="G7884" t="str">
            <v/>
          </cell>
          <cell r="J7884" t="str">
            <v/>
          </cell>
          <cell r="O7884" t="str">
            <v/>
          </cell>
          <cell r="P7884" t="str">
            <v/>
          </cell>
          <cell r="Q7884" t="str">
            <v/>
          </cell>
          <cell r="S7884" t="str">
            <v/>
          </cell>
          <cell r="V7884" t="str">
            <v/>
          </cell>
          <cell r="Z7884" t="str">
            <v/>
          </cell>
          <cell r="AA7884" t="str">
            <v/>
          </cell>
          <cell r="AB7884" t="str">
            <v/>
          </cell>
          <cell r="AC7884" t="str">
            <v/>
          </cell>
          <cell r="AD7884" t="str">
            <v/>
          </cell>
          <cell r="AY7884" t="str">
            <v/>
          </cell>
          <cell r="AZ7884" t="str">
            <v/>
          </cell>
          <cell r="BA7884" t="str">
            <v/>
          </cell>
        </row>
        <row r="7885">
          <cell r="B7885" t="str">
            <v>-</v>
          </cell>
          <cell r="E7885" t="str">
            <v/>
          </cell>
          <cell r="G7885" t="str">
            <v/>
          </cell>
          <cell r="J7885" t="str">
            <v/>
          </cell>
          <cell r="O7885" t="str">
            <v/>
          </cell>
          <cell r="P7885" t="str">
            <v/>
          </cell>
          <cell r="Q7885" t="str">
            <v/>
          </cell>
          <cell r="S7885" t="str">
            <v/>
          </cell>
          <cell r="V7885" t="str">
            <v/>
          </cell>
          <cell r="Z7885" t="str">
            <v/>
          </cell>
          <cell r="AA7885" t="str">
            <v/>
          </cell>
          <cell r="AB7885" t="str">
            <v/>
          </cell>
          <cell r="AC7885" t="str">
            <v/>
          </cell>
          <cell r="AD7885" t="str">
            <v/>
          </cell>
          <cell r="AY7885" t="str">
            <v/>
          </cell>
          <cell r="AZ7885" t="str">
            <v/>
          </cell>
          <cell r="BA7885" t="str">
            <v/>
          </cell>
        </row>
        <row r="7886">
          <cell r="B7886" t="str">
            <v>-</v>
          </cell>
          <cell r="E7886" t="str">
            <v/>
          </cell>
          <cell r="G7886" t="str">
            <v/>
          </cell>
          <cell r="J7886" t="str">
            <v/>
          </cell>
          <cell r="O7886" t="str">
            <v/>
          </cell>
          <cell r="P7886" t="str">
            <v/>
          </cell>
          <cell r="Q7886" t="str">
            <v/>
          </cell>
          <cell r="S7886" t="str">
            <v/>
          </cell>
          <cell r="V7886" t="str">
            <v/>
          </cell>
          <cell r="Z7886" t="str">
            <v/>
          </cell>
          <cell r="AA7886" t="str">
            <v/>
          </cell>
          <cell r="AB7886" t="str">
            <v/>
          </cell>
          <cell r="AC7886" t="str">
            <v/>
          </cell>
          <cell r="AD7886" t="str">
            <v/>
          </cell>
          <cell r="AY7886" t="str">
            <v/>
          </cell>
          <cell r="AZ7886" t="str">
            <v/>
          </cell>
          <cell r="BA7886" t="str">
            <v/>
          </cell>
        </row>
        <row r="7887">
          <cell r="B7887" t="str">
            <v>-</v>
          </cell>
          <cell r="E7887" t="str">
            <v/>
          </cell>
          <cell r="G7887" t="str">
            <v/>
          </cell>
          <cell r="J7887" t="str">
            <v/>
          </cell>
          <cell r="O7887" t="str">
            <v/>
          </cell>
          <cell r="P7887" t="str">
            <v/>
          </cell>
          <cell r="Q7887" t="str">
            <v/>
          </cell>
          <cell r="S7887" t="str">
            <v/>
          </cell>
          <cell r="V7887" t="str">
            <v/>
          </cell>
          <cell r="Z7887" t="str">
            <v/>
          </cell>
          <cell r="AA7887" t="str">
            <v/>
          </cell>
          <cell r="AB7887" t="str">
            <v/>
          </cell>
          <cell r="AC7887" t="str">
            <v/>
          </cell>
          <cell r="AD7887" t="str">
            <v/>
          </cell>
          <cell r="AY7887" t="str">
            <v/>
          </cell>
          <cell r="AZ7887" t="str">
            <v/>
          </cell>
          <cell r="BA7887" t="str">
            <v/>
          </cell>
        </row>
        <row r="7888">
          <cell r="B7888" t="str">
            <v>-</v>
          </cell>
          <cell r="E7888" t="str">
            <v/>
          </cell>
          <cell r="G7888" t="str">
            <v/>
          </cell>
          <cell r="J7888" t="str">
            <v/>
          </cell>
          <cell r="O7888" t="str">
            <v/>
          </cell>
          <cell r="P7888" t="str">
            <v/>
          </cell>
          <cell r="Q7888" t="str">
            <v/>
          </cell>
          <cell r="S7888" t="str">
            <v/>
          </cell>
          <cell r="V7888" t="str">
            <v/>
          </cell>
          <cell r="Z7888" t="str">
            <v/>
          </cell>
          <cell r="AA7888" t="str">
            <v/>
          </cell>
          <cell r="AB7888" t="str">
            <v/>
          </cell>
          <cell r="AC7888" t="str">
            <v/>
          </cell>
          <cell r="AD7888" t="str">
            <v/>
          </cell>
          <cell r="AY7888" t="str">
            <v/>
          </cell>
          <cell r="AZ7888" t="str">
            <v/>
          </cell>
          <cell r="BA7888" t="str">
            <v/>
          </cell>
        </row>
        <row r="7889">
          <cell r="B7889" t="str">
            <v>-</v>
          </cell>
          <cell r="E7889" t="str">
            <v/>
          </cell>
          <cell r="G7889" t="str">
            <v/>
          </cell>
          <cell r="J7889" t="str">
            <v/>
          </cell>
          <cell r="O7889" t="str">
            <v/>
          </cell>
          <cell r="P7889" t="str">
            <v/>
          </cell>
          <cell r="Q7889" t="str">
            <v/>
          </cell>
          <cell r="S7889" t="str">
            <v/>
          </cell>
          <cell r="V7889" t="str">
            <v/>
          </cell>
          <cell r="Z7889" t="str">
            <v/>
          </cell>
          <cell r="AA7889" t="str">
            <v/>
          </cell>
          <cell r="AB7889" t="str">
            <v/>
          </cell>
          <cell r="AC7889" t="str">
            <v/>
          </cell>
          <cell r="AD7889" t="str">
            <v/>
          </cell>
          <cell r="AY7889" t="str">
            <v/>
          </cell>
          <cell r="AZ7889" t="str">
            <v/>
          </cell>
          <cell r="BA7889" t="str">
            <v/>
          </cell>
        </row>
        <row r="7890">
          <cell r="B7890" t="str">
            <v>-</v>
          </cell>
          <cell r="E7890" t="str">
            <v/>
          </cell>
          <cell r="G7890" t="str">
            <v/>
          </cell>
          <cell r="J7890" t="str">
            <v/>
          </cell>
          <cell r="O7890" t="str">
            <v/>
          </cell>
          <cell r="P7890" t="str">
            <v/>
          </cell>
          <cell r="Q7890" t="str">
            <v/>
          </cell>
          <cell r="S7890" t="str">
            <v/>
          </cell>
          <cell r="V7890" t="str">
            <v/>
          </cell>
          <cell r="Z7890" t="str">
            <v/>
          </cell>
          <cell r="AA7890" t="str">
            <v/>
          </cell>
          <cell r="AB7890" t="str">
            <v/>
          </cell>
          <cell r="AC7890" t="str">
            <v/>
          </cell>
          <cell r="AD7890" t="str">
            <v/>
          </cell>
          <cell r="AY7890" t="str">
            <v/>
          </cell>
          <cell r="AZ7890" t="str">
            <v/>
          </cell>
          <cell r="BA7890" t="str">
            <v/>
          </cell>
        </row>
        <row r="7891">
          <cell r="B7891" t="str">
            <v>-</v>
          </cell>
          <cell r="E7891" t="str">
            <v/>
          </cell>
          <cell r="G7891" t="str">
            <v/>
          </cell>
          <cell r="J7891" t="str">
            <v/>
          </cell>
          <cell r="O7891" t="str">
            <v/>
          </cell>
          <cell r="P7891" t="str">
            <v/>
          </cell>
          <cell r="Q7891" t="str">
            <v/>
          </cell>
          <cell r="S7891" t="str">
            <v/>
          </cell>
          <cell r="V7891" t="str">
            <v/>
          </cell>
          <cell r="Z7891" t="str">
            <v/>
          </cell>
          <cell r="AA7891" t="str">
            <v/>
          </cell>
          <cell r="AB7891" t="str">
            <v/>
          </cell>
          <cell r="AC7891" t="str">
            <v/>
          </cell>
          <cell r="AD7891" t="str">
            <v/>
          </cell>
          <cell r="AY7891" t="str">
            <v/>
          </cell>
          <cell r="AZ7891" t="str">
            <v/>
          </cell>
          <cell r="BA7891" t="str">
            <v/>
          </cell>
        </row>
        <row r="7892">
          <cell r="B7892" t="str">
            <v>-</v>
          </cell>
          <cell r="E7892" t="str">
            <v/>
          </cell>
          <cell r="G7892" t="str">
            <v/>
          </cell>
          <cell r="J7892" t="str">
            <v/>
          </cell>
          <cell r="O7892" t="str">
            <v/>
          </cell>
          <cell r="P7892" t="str">
            <v/>
          </cell>
          <cell r="Q7892" t="str">
            <v/>
          </cell>
          <cell r="S7892" t="str">
            <v/>
          </cell>
          <cell r="V7892" t="str">
            <v/>
          </cell>
          <cell r="Z7892" t="str">
            <v/>
          </cell>
          <cell r="AA7892" t="str">
            <v/>
          </cell>
          <cell r="AB7892" t="str">
            <v/>
          </cell>
          <cell r="AC7892" t="str">
            <v/>
          </cell>
          <cell r="AD7892" t="str">
            <v/>
          </cell>
          <cell r="AY7892" t="str">
            <v/>
          </cell>
          <cell r="AZ7892" t="str">
            <v/>
          </cell>
          <cell r="BA7892" t="str">
            <v/>
          </cell>
        </row>
        <row r="7893">
          <cell r="B7893" t="str">
            <v>-</v>
          </cell>
          <cell r="E7893" t="str">
            <v/>
          </cell>
          <cell r="G7893" t="str">
            <v/>
          </cell>
          <cell r="J7893" t="str">
            <v/>
          </cell>
          <cell r="O7893" t="str">
            <v/>
          </cell>
          <cell r="P7893" t="str">
            <v/>
          </cell>
          <cell r="Q7893" t="str">
            <v/>
          </cell>
          <cell r="S7893" t="str">
            <v/>
          </cell>
          <cell r="V7893" t="str">
            <v/>
          </cell>
          <cell r="Z7893" t="str">
            <v/>
          </cell>
          <cell r="AA7893" t="str">
            <v/>
          </cell>
          <cell r="AB7893" t="str">
            <v/>
          </cell>
          <cell r="AC7893" t="str">
            <v/>
          </cell>
          <cell r="AD7893" t="str">
            <v/>
          </cell>
          <cell r="AY7893" t="str">
            <v/>
          </cell>
          <cell r="AZ7893" t="str">
            <v/>
          </cell>
          <cell r="BA7893" t="str">
            <v/>
          </cell>
        </row>
        <row r="7894">
          <cell r="B7894" t="str">
            <v>-</v>
          </cell>
          <cell r="E7894" t="str">
            <v/>
          </cell>
          <cell r="G7894" t="str">
            <v/>
          </cell>
          <cell r="J7894" t="str">
            <v/>
          </cell>
          <cell r="O7894" t="str">
            <v/>
          </cell>
          <cell r="P7894" t="str">
            <v/>
          </cell>
          <cell r="Q7894" t="str">
            <v/>
          </cell>
          <cell r="S7894" t="str">
            <v/>
          </cell>
          <cell r="V7894" t="str">
            <v/>
          </cell>
          <cell r="Z7894" t="str">
            <v/>
          </cell>
          <cell r="AA7894" t="str">
            <v/>
          </cell>
          <cell r="AB7894" t="str">
            <v/>
          </cell>
          <cell r="AC7894" t="str">
            <v/>
          </cell>
          <cell r="AD7894" t="str">
            <v/>
          </cell>
          <cell r="AY7894" t="str">
            <v/>
          </cell>
          <cell r="AZ7894" t="str">
            <v/>
          </cell>
          <cell r="BA7894" t="str">
            <v/>
          </cell>
        </row>
        <row r="7895">
          <cell r="B7895" t="str">
            <v>-</v>
          </cell>
          <cell r="E7895" t="str">
            <v/>
          </cell>
          <cell r="G7895" t="str">
            <v/>
          </cell>
          <cell r="J7895" t="str">
            <v/>
          </cell>
          <cell r="O7895" t="str">
            <v/>
          </cell>
          <cell r="P7895" t="str">
            <v/>
          </cell>
          <cell r="Q7895" t="str">
            <v/>
          </cell>
          <cell r="S7895" t="str">
            <v/>
          </cell>
          <cell r="V7895" t="str">
            <v/>
          </cell>
          <cell r="Z7895" t="str">
            <v/>
          </cell>
          <cell r="AA7895" t="str">
            <v/>
          </cell>
          <cell r="AB7895" t="str">
            <v/>
          </cell>
          <cell r="AC7895" t="str">
            <v/>
          </cell>
          <cell r="AD7895" t="str">
            <v/>
          </cell>
          <cell r="AY7895" t="str">
            <v/>
          </cell>
          <cell r="AZ7895" t="str">
            <v/>
          </cell>
          <cell r="BA7895" t="str">
            <v/>
          </cell>
        </row>
        <row r="7896">
          <cell r="B7896" t="str">
            <v>-</v>
          </cell>
          <cell r="E7896" t="str">
            <v/>
          </cell>
          <cell r="G7896" t="str">
            <v/>
          </cell>
          <cell r="J7896" t="str">
            <v/>
          </cell>
          <cell r="O7896" t="str">
            <v/>
          </cell>
          <cell r="P7896" t="str">
            <v/>
          </cell>
          <cell r="Q7896" t="str">
            <v/>
          </cell>
          <cell r="S7896" t="str">
            <v/>
          </cell>
          <cell r="V7896" t="str">
            <v/>
          </cell>
          <cell r="Z7896" t="str">
            <v/>
          </cell>
          <cell r="AA7896" t="str">
            <v/>
          </cell>
          <cell r="AB7896" t="str">
            <v/>
          </cell>
          <cell r="AC7896" t="str">
            <v/>
          </cell>
          <cell r="AD7896" t="str">
            <v/>
          </cell>
          <cell r="AY7896" t="str">
            <v/>
          </cell>
          <cell r="AZ7896" t="str">
            <v/>
          </cell>
          <cell r="BA7896" t="str">
            <v/>
          </cell>
        </row>
        <row r="7897">
          <cell r="B7897" t="str">
            <v>-</v>
          </cell>
          <cell r="E7897" t="str">
            <v/>
          </cell>
          <cell r="G7897" t="str">
            <v/>
          </cell>
          <cell r="J7897" t="str">
            <v/>
          </cell>
          <cell r="O7897" t="str">
            <v/>
          </cell>
          <cell r="P7897" t="str">
            <v/>
          </cell>
          <cell r="Q7897" t="str">
            <v/>
          </cell>
          <cell r="S7897" t="str">
            <v/>
          </cell>
          <cell r="V7897" t="str">
            <v/>
          </cell>
          <cell r="Z7897" t="str">
            <v/>
          </cell>
          <cell r="AA7897" t="str">
            <v/>
          </cell>
          <cell r="AB7897" t="str">
            <v/>
          </cell>
          <cell r="AC7897" t="str">
            <v/>
          </cell>
          <cell r="AD7897" t="str">
            <v/>
          </cell>
          <cell r="AY7897" t="str">
            <v/>
          </cell>
          <cell r="AZ7897" t="str">
            <v/>
          </cell>
          <cell r="BA7897" t="str">
            <v/>
          </cell>
        </row>
        <row r="7898">
          <cell r="B7898" t="str">
            <v>-</v>
          </cell>
          <cell r="E7898" t="str">
            <v/>
          </cell>
          <cell r="G7898" t="str">
            <v/>
          </cell>
          <cell r="J7898" t="str">
            <v/>
          </cell>
          <cell r="O7898" t="str">
            <v/>
          </cell>
          <cell r="P7898" t="str">
            <v/>
          </cell>
          <cell r="Q7898" t="str">
            <v/>
          </cell>
          <cell r="S7898" t="str">
            <v/>
          </cell>
          <cell r="V7898" t="str">
            <v/>
          </cell>
          <cell r="Z7898" t="str">
            <v/>
          </cell>
          <cell r="AA7898" t="str">
            <v/>
          </cell>
          <cell r="AB7898" t="str">
            <v/>
          </cell>
          <cell r="AC7898" t="str">
            <v/>
          </cell>
          <cell r="AD7898" t="str">
            <v/>
          </cell>
          <cell r="AY7898" t="str">
            <v/>
          </cell>
          <cell r="AZ7898" t="str">
            <v/>
          </cell>
          <cell r="BA7898" t="str">
            <v/>
          </cell>
        </row>
        <row r="7899">
          <cell r="B7899" t="str">
            <v>-</v>
          </cell>
          <cell r="E7899" t="str">
            <v/>
          </cell>
          <cell r="G7899" t="str">
            <v/>
          </cell>
          <cell r="J7899" t="str">
            <v/>
          </cell>
          <cell r="O7899" t="str">
            <v/>
          </cell>
          <cell r="P7899" t="str">
            <v/>
          </cell>
          <cell r="Q7899" t="str">
            <v/>
          </cell>
          <cell r="S7899" t="str">
            <v/>
          </cell>
          <cell r="V7899" t="str">
            <v/>
          </cell>
          <cell r="Z7899" t="str">
            <v/>
          </cell>
          <cell r="AA7899" t="str">
            <v/>
          </cell>
          <cell r="AB7899" t="str">
            <v/>
          </cell>
          <cell r="AC7899" t="str">
            <v/>
          </cell>
          <cell r="AD7899" t="str">
            <v/>
          </cell>
          <cell r="AY7899" t="str">
            <v/>
          </cell>
          <cell r="AZ7899" t="str">
            <v/>
          </cell>
          <cell r="BA7899" t="str">
            <v/>
          </cell>
        </row>
        <row r="7900">
          <cell r="B7900" t="str">
            <v>-</v>
          </cell>
          <cell r="E7900" t="str">
            <v/>
          </cell>
          <cell r="G7900" t="str">
            <v/>
          </cell>
          <cell r="J7900" t="str">
            <v/>
          </cell>
          <cell r="O7900" t="str">
            <v/>
          </cell>
          <cell r="P7900" t="str">
            <v/>
          </cell>
          <cell r="Q7900" t="str">
            <v/>
          </cell>
          <cell r="S7900" t="str">
            <v/>
          </cell>
          <cell r="V7900" t="str">
            <v/>
          </cell>
          <cell r="Z7900" t="str">
            <v/>
          </cell>
          <cell r="AA7900" t="str">
            <v/>
          </cell>
          <cell r="AB7900" t="str">
            <v/>
          </cell>
          <cell r="AC7900" t="str">
            <v/>
          </cell>
          <cell r="AD7900" t="str">
            <v/>
          </cell>
          <cell r="AY7900" t="str">
            <v/>
          </cell>
          <cell r="AZ7900" t="str">
            <v/>
          </cell>
          <cell r="BA7900" t="str">
            <v/>
          </cell>
        </row>
        <row r="7901">
          <cell r="B7901" t="str">
            <v>-</v>
          </cell>
          <cell r="E7901" t="str">
            <v/>
          </cell>
          <cell r="G7901" t="str">
            <v/>
          </cell>
          <cell r="J7901" t="str">
            <v/>
          </cell>
          <cell r="O7901" t="str">
            <v/>
          </cell>
          <cell r="P7901" t="str">
            <v/>
          </cell>
          <cell r="Q7901" t="str">
            <v/>
          </cell>
          <cell r="S7901" t="str">
            <v/>
          </cell>
          <cell r="V7901" t="str">
            <v/>
          </cell>
          <cell r="Z7901" t="str">
            <v/>
          </cell>
          <cell r="AA7901" t="str">
            <v/>
          </cell>
          <cell r="AB7901" t="str">
            <v/>
          </cell>
          <cell r="AC7901" t="str">
            <v/>
          </cell>
          <cell r="AD7901" t="str">
            <v/>
          </cell>
          <cell r="AY7901" t="str">
            <v/>
          </cell>
          <cell r="AZ7901" t="str">
            <v/>
          </cell>
          <cell r="BA7901" t="str">
            <v/>
          </cell>
        </row>
        <row r="7902">
          <cell r="B7902" t="str">
            <v>-</v>
          </cell>
          <cell r="E7902" t="str">
            <v/>
          </cell>
          <cell r="G7902" t="str">
            <v/>
          </cell>
          <cell r="J7902" t="str">
            <v/>
          </cell>
          <cell r="O7902" t="str">
            <v/>
          </cell>
          <cell r="P7902" t="str">
            <v/>
          </cell>
          <cell r="Q7902" t="str">
            <v/>
          </cell>
          <cell r="S7902" t="str">
            <v/>
          </cell>
          <cell r="V7902" t="str">
            <v/>
          </cell>
          <cell r="Z7902" t="str">
            <v/>
          </cell>
          <cell r="AA7902" t="str">
            <v/>
          </cell>
          <cell r="AB7902" t="str">
            <v/>
          </cell>
          <cell r="AC7902" t="str">
            <v/>
          </cell>
          <cell r="AD7902" t="str">
            <v/>
          </cell>
          <cell r="AY7902" t="str">
            <v/>
          </cell>
          <cell r="AZ7902" t="str">
            <v/>
          </cell>
          <cell r="BA7902" t="str">
            <v/>
          </cell>
        </row>
        <row r="7903">
          <cell r="B7903" t="str">
            <v>-</v>
          </cell>
          <cell r="E7903" t="str">
            <v/>
          </cell>
          <cell r="G7903" t="str">
            <v/>
          </cell>
          <cell r="J7903" t="str">
            <v/>
          </cell>
          <cell r="O7903" t="str">
            <v/>
          </cell>
          <cell r="P7903" t="str">
            <v/>
          </cell>
          <cell r="Q7903" t="str">
            <v/>
          </cell>
          <cell r="S7903" t="str">
            <v/>
          </cell>
          <cell r="V7903" t="str">
            <v/>
          </cell>
          <cell r="Z7903" t="str">
            <v/>
          </cell>
          <cell r="AA7903" t="str">
            <v/>
          </cell>
          <cell r="AB7903" t="str">
            <v/>
          </cell>
          <cell r="AC7903" t="str">
            <v/>
          </cell>
          <cell r="AD7903" t="str">
            <v/>
          </cell>
          <cell r="AY7903" t="str">
            <v/>
          </cell>
          <cell r="AZ7903" t="str">
            <v/>
          </cell>
          <cell r="BA7903" t="str">
            <v/>
          </cell>
        </row>
        <row r="7904">
          <cell r="B7904" t="str">
            <v>-</v>
          </cell>
          <cell r="E7904" t="str">
            <v/>
          </cell>
          <cell r="G7904" t="str">
            <v/>
          </cell>
          <cell r="J7904" t="str">
            <v/>
          </cell>
          <cell r="O7904" t="str">
            <v/>
          </cell>
          <cell r="P7904" t="str">
            <v/>
          </cell>
          <cell r="Q7904" t="str">
            <v/>
          </cell>
          <cell r="S7904" t="str">
            <v/>
          </cell>
          <cell r="V7904" t="str">
            <v/>
          </cell>
          <cell r="Z7904" t="str">
            <v/>
          </cell>
          <cell r="AA7904" t="str">
            <v/>
          </cell>
          <cell r="AB7904" t="str">
            <v/>
          </cell>
          <cell r="AC7904" t="str">
            <v/>
          </cell>
          <cell r="AD7904" t="str">
            <v/>
          </cell>
          <cell r="AY7904" t="str">
            <v/>
          </cell>
          <cell r="AZ7904" t="str">
            <v/>
          </cell>
          <cell r="BA7904" t="str">
            <v/>
          </cell>
        </row>
        <row r="7905">
          <cell r="B7905" t="str">
            <v>-</v>
          </cell>
          <cell r="E7905" t="str">
            <v/>
          </cell>
          <cell r="G7905" t="str">
            <v/>
          </cell>
          <cell r="J7905" t="str">
            <v/>
          </cell>
          <cell r="O7905" t="str">
            <v/>
          </cell>
          <cell r="P7905" t="str">
            <v/>
          </cell>
          <cell r="Q7905" t="str">
            <v/>
          </cell>
          <cell r="S7905" t="str">
            <v/>
          </cell>
          <cell r="V7905" t="str">
            <v/>
          </cell>
          <cell r="Z7905" t="str">
            <v/>
          </cell>
          <cell r="AA7905" t="str">
            <v/>
          </cell>
          <cell r="AB7905" t="str">
            <v/>
          </cell>
          <cell r="AC7905" t="str">
            <v/>
          </cell>
          <cell r="AD7905" t="str">
            <v/>
          </cell>
          <cell r="AY7905" t="str">
            <v/>
          </cell>
          <cell r="AZ7905" t="str">
            <v/>
          </cell>
          <cell r="BA7905" t="str">
            <v/>
          </cell>
        </row>
        <row r="7906">
          <cell r="B7906" t="str">
            <v>-</v>
          </cell>
          <cell r="E7906" t="str">
            <v/>
          </cell>
          <cell r="G7906" t="str">
            <v/>
          </cell>
          <cell r="J7906" t="str">
            <v/>
          </cell>
          <cell r="O7906" t="str">
            <v/>
          </cell>
          <cell r="P7906" t="str">
            <v/>
          </cell>
          <cell r="Q7906" t="str">
            <v/>
          </cell>
          <cell r="S7906" t="str">
            <v/>
          </cell>
          <cell r="V7906" t="str">
            <v/>
          </cell>
          <cell r="Z7906" t="str">
            <v/>
          </cell>
          <cell r="AA7906" t="str">
            <v/>
          </cell>
          <cell r="AB7906" t="str">
            <v/>
          </cell>
          <cell r="AC7906" t="str">
            <v/>
          </cell>
          <cell r="AD7906" t="str">
            <v/>
          </cell>
          <cell r="AY7906" t="str">
            <v/>
          </cell>
          <cell r="AZ7906" t="str">
            <v/>
          </cell>
          <cell r="BA7906" t="str">
            <v/>
          </cell>
        </row>
        <row r="7907">
          <cell r="B7907" t="str">
            <v>-</v>
          </cell>
          <cell r="E7907" t="str">
            <v/>
          </cell>
          <cell r="G7907" t="str">
            <v/>
          </cell>
          <cell r="J7907" t="str">
            <v/>
          </cell>
          <cell r="O7907" t="str">
            <v/>
          </cell>
          <cell r="P7907" t="str">
            <v/>
          </cell>
          <cell r="Q7907" t="str">
            <v/>
          </cell>
          <cell r="S7907" t="str">
            <v/>
          </cell>
          <cell r="V7907" t="str">
            <v/>
          </cell>
          <cell r="Z7907" t="str">
            <v/>
          </cell>
          <cell r="AA7907" t="str">
            <v/>
          </cell>
          <cell r="AB7907" t="str">
            <v/>
          </cell>
          <cell r="AC7907" t="str">
            <v/>
          </cell>
          <cell r="AD7907" t="str">
            <v/>
          </cell>
          <cell r="AY7907" t="str">
            <v/>
          </cell>
          <cell r="AZ7907" t="str">
            <v/>
          </cell>
          <cell r="BA7907" t="str">
            <v/>
          </cell>
        </row>
        <row r="7908">
          <cell r="B7908" t="str">
            <v>-</v>
          </cell>
          <cell r="E7908" t="str">
            <v/>
          </cell>
          <cell r="G7908" t="str">
            <v/>
          </cell>
          <cell r="J7908" t="str">
            <v/>
          </cell>
          <cell r="O7908" t="str">
            <v/>
          </cell>
          <cell r="P7908" t="str">
            <v/>
          </cell>
          <cell r="Q7908" t="str">
            <v/>
          </cell>
          <cell r="S7908" t="str">
            <v/>
          </cell>
          <cell r="V7908" t="str">
            <v/>
          </cell>
          <cell r="Z7908" t="str">
            <v/>
          </cell>
          <cell r="AA7908" t="str">
            <v/>
          </cell>
          <cell r="AB7908" t="str">
            <v/>
          </cell>
          <cell r="AC7908" t="str">
            <v/>
          </cell>
          <cell r="AD7908" t="str">
            <v/>
          </cell>
          <cell r="AY7908" t="str">
            <v/>
          </cell>
          <cell r="AZ7908" t="str">
            <v/>
          </cell>
          <cell r="BA7908" t="str">
            <v/>
          </cell>
        </row>
        <row r="7909">
          <cell r="B7909" t="str">
            <v>-</v>
          </cell>
          <cell r="E7909" t="str">
            <v/>
          </cell>
          <cell r="G7909" t="str">
            <v/>
          </cell>
          <cell r="J7909" t="str">
            <v/>
          </cell>
          <cell r="O7909" t="str">
            <v/>
          </cell>
          <cell r="P7909" t="str">
            <v/>
          </cell>
          <cell r="Q7909" t="str">
            <v/>
          </cell>
          <cell r="S7909" t="str">
            <v/>
          </cell>
          <cell r="V7909" t="str">
            <v/>
          </cell>
          <cell r="Z7909" t="str">
            <v/>
          </cell>
          <cell r="AA7909" t="str">
            <v/>
          </cell>
          <cell r="AB7909" t="str">
            <v/>
          </cell>
          <cell r="AC7909" t="str">
            <v/>
          </cell>
          <cell r="AD7909" t="str">
            <v/>
          </cell>
          <cell r="AY7909" t="str">
            <v/>
          </cell>
          <cell r="AZ7909" t="str">
            <v/>
          </cell>
          <cell r="BA7909" t="str">
            <v/>
          </cell>
        </row>
        <row r="7910">
          <cell r="B7910" t="str">
            <v>-</v>
          </cell>
          <cell r="E7910" t="str">
            <v/>
          </cell>
          <cell r="G7910" t="str">
            <v/>
          </cell>
          <cell r="J7910" t="str">
            <v/>
          </cell>
          <cell r="O7910" t="str">
            <v/>
          </cell>
          <cell r="P7910" t="str">
            <v/>
          </cell>
          <cell r="Q7910" t="str">
            <v/>
          </cell>
          <cell r="S7910" t="str">
            <v/>
          </cell>
          <cell r="V7910" t="str">
            <v/>
          </cell>
          <cell r="Z7910" t="str">
            <v/>
          </cell>
          <cell r="AA7910" t="str">
            <v/>
          </cell>
          <cell r="AB7910" t="str">
            <v/>
          </cell>
          <cell r="AC7910" t="str">
            <v/>
          </cell>
          <cell r="AD7910" t="str">
            <v/>
          </cell>
          <cell r="AY7910" t="str">
            <v/>
          </cell>
          <cell r="AZ7910" t="str">
            <v/>
          </cell>
          <cell r="BA7910" t="str">
            <v/>
          </cell>
        </row>
        <row r="7911">
          <cell r="B7911" t="str">
            <v>-</v>
          </cell>
          <cell r="E7911" t="str">
            <v/>
          </cell>
          <cell r="G7911" t="str">
            <v/>
          </cell>
          <cell r="J7911" t="str">
            <v/>
          </cell>
          <cell r="O7911" t="str">
            <v/>
          </cell>
          <cell r="P7911" t="str">
            <v/>
          </cell>
          <cell r="Q7911" t="str">
            <v/>
          </cell>
          <cell r="S7911" t="str">
            <v/>
          </cell>
          <cell r="V7911" t="str">
            <v/>
          </cell>
          <cell r="Z7911" t="str">
            <v/>
          </cell>
          <cell r="AA7911" t="str">
            <v/>
          </cell>
          <cell r="AB7911" t="str">
            <v/>
          </cell>
          <cell r="AC7911" t="str">
            <v/>
          </cell>
          <cell r="AD7911" t="str">
            <v/>
          </cell>
          <cell r="AY7911" t="str">
            <v/>
          </cell>
          <cell r="AZ7911" t="str">
            <v/>
          </cell>
          <cell r="BA7911" t="str">
            <v/>
          </cell>
        </row>
        <row r="7912">
          <cell r="B7912" t="str">
            <v>-</v>
          </cell>
          <cell r="E7912" t="str">
            <v/>
          </cell>
          <cell r="G7912" t="str">
            <v/>
          </cell>
          <cell r="J7912" t="str">
            <v/>
          </cell>
          <cell r="O7912" t="str">
            <v/>
          </cell>
          <cell r="P7912" t="str">
            <v/>
          </cell>
          <cell r="Q7912" t="str">
            <v/>
          </cell>
          <cell r="S7912" t="str">
            <v/>
          </cell>
          <cell r="V7912" t="str">
            <v/>
          </cell>
          <cell r="Z7912" t="str">
            <v/>
          </cell>
          <cell r="AA7912" t="str">
            <v/>
          </cell>
          <cell r="AB7912" t="str">
            <v/>
          </cell>
          <cell r="AC7912" t="str">
            <v/>
          </cell>
          <cell r="AD7912" t="str">
            <v/>
          </cell>
          <cell r="AY7912" t="str">
            <v/>
          </cell>
          <cell r="AZ7912" t="str">
            <v/>
          </cell>
          <cell r="BA7912" t="str">
            <v/>
          </cell>
        </row>
        <row r="7913">
          <cell r="B7913" t="str">
            <v>-</v>
          </cell>
          <cell r="E7913" t="str">
            <v/>
          </cell>
          <cell r="G7913" t="str">
            <v/>
          </cell>
          <cell r="J7913" t="str">
            <v/>
          </cell>
          <cell r="O7913" t="str">
            <v/>
          </cell>
          <cell r="P7913" t="str">
            <v/>
          </cell>
          <cell r="Q7913" t="str">
            <v/>
          </cell>
          <cell r="S7913" t="str">
            <v/>
          </cell>
          <cell r="V7913" t="str">
            <v/>
          </cell>
          <cell r="Z7913" t="str">
            <v/>
          </cell>
          <cell r="AA7913" t="str">
            <v/>
          </cell>
          <cell r="AB7913" t="str">
            <v/>
          </cell>
          <cell r="AC7913" t="str">
            <v/>
          </cell>
          <cell r="AD7913" t="str">
            <v/>
          </cell>
          <cell r="AY7913" t="str">
            <v/>
          </cell>
          <cell r="AZ7913" t="str">
            <v/>
          </cell>
          <cell r="BA7913" t="str">
            <v/>
          </cell>
        </row>
        <row r="7914">
          <cell r="B7914" t="str">
            <v>-</v>
          </cell>
          <cell r="E7914" t="str">
            <v/>
          </cell>
          <cell r="G7914" t="str">
            <v/>
          </cell>
          <cell r="J7914" t="str">
            <v/>
          </cell>
          <cell r="O7914" t="str">
            <v/>
          </cell>
          <cell r="P7914" t="str">
            <v/>
          </cell>
          <cell r="Q7914" t="str">
            <v/>
          </cell>
          <cell r="S7914" t="str">
            <v/>
          </cell>
          <cell r="V7914" t="str">
            <v/>
          </cell>
          <cell r="Z7914" t="str">
            <v/>
          </cell>
          <cell r="AA7914" t="str">
            <v/>
          </cell>
          <cell r="AB7914" t="str">
            <v/>
          </cell>
          <cell r="AC7914" t="str">
            <v/>
          </cell>
          <cell r="AD7914" t="str">
            <v/>
          </cell>
          <cell r="AY7914" t="str">
            <v/>
          </cell>
          <cell r="AZ7914" t="str">
            <v/>
          </cell>
          <cell r="BA7914" t="str">
            <v/>
          </cell>
        </row>
        <row r="7915">
          <cell r="B7915" t="str">
            <v>-</v>
          </cell>
          <cell r="E7915" t="str">
            <v/>
          </cell>
          <cell r="G7915" t="str">
            <v/>
          </cell>
          <cell r="J7915" t="str">
            <v/>
          </cell>
          <cell r="O7915" t="str">
            <v/>
          </cell>
          <cell r="P7915" t="str">
            <v/>
          </cell>
          <cell r="Q7915" t="str">
            <v/>
          </cell>
          <cell r="S7915" t="str">
            <v/>
          </cell>
          <cell r="V7915" t="str">
            <v/>
          </cell>
          <cell r="Z7915" t="str">
            <v/>
          </cell>
          <cell r="AA7915" t="str">
            <v/>
          </cell>
          <cell r="AB7915" t="str">
            <v/>
          </cell>
          <cell r="AC7915" t="str">
            <v/>
          </cell>
          <cell r="AD7915" t="str">
            <v/>
          </cell>
          <cell r="AY7915" t="str">
            <v/>
          </cell>
          <cell r="AZ7915" t="str">
            <v/>
          </cell>
          <cell r="BA7915" t="str">
            <v/>
          </cell>
        </row>
        <row r="7916">
          <cell r="B7916" t="str">
            <v>-</v>
          </cell>
          <cell r="E7916" t="str">
            <v/>
          </cell>
          <cell r="G7916" t="str">
            <v/>
          </cell>
          <cell r="J7916" t="str">
            <v/>
          </cell>
          <cell r="O7916" t="str">
            <v/>
          </cell>
          <cell r="P7916" t="str">
            <v/>
          </cell>
          <cell r="Q7916" t="str">
            <v/>
          </cell>
          <cell r="S7916" t="str">
            <v/>
          </cell>
          <cell r="V7916" t="str">
            <v/>
          </cell>
          <cell r="Z7916" t="str">
            <v/>
          </cell>
          <cell r="AA7916" t="str">
            <v/>
          </cell>
          <cell r="AB7916" t="str">
            <v/>
          </cell>
          <cell r="AC7916" t="str">
            <v/>
          </cell>
          <cell r="AD7916" t="str">
            <v/>
          </cell>
          <cell r="AY7916" t="str">
            <v/>
          </cell>
          <cell r="AZ7916" t="str">
            <v/>
          </cell>
          <cell r="BA7916" t="str">
            <v/>
          </cell>
        </row>
        <row r="7917">
          <cell r="B7917" t="str">
            <v>-</v>
          </cell>
          <cell r="E7917" t="str">
            <v/>
          </cell>
          <cell r="G7917" t="str">
            <v/>
          </cell>
          <cell r="J7917" t="str">
            <v/>
          </cell>
          <cell r="O7917" t="str">
            <v/>
          </cell>
          <cell r="P7917" t="str">
            <v/>
          </cell>
          <cell r="Q7917" t="str">
            <v/>
          </cell>
          <cell r="S7917" t="str">
            <v/>
          </cell>
          <cell r="V7917" t="str">
            <v/>
          </cell>
          <cell r="Z7917" t="str">
            <v/>
          </cell>
          <cell r="AA7917" t="str">
            <v/>
          </cell>
          <cell r="AB7917" t="str">
            <v/>
          </cell>
          <cell r="AC7917" t="str">
            <v/>
          </cell>
          <cell r="AD7917" t="str">
            <v/>
          </cell>
          <cell r="AY7917" t="str">
            <v/>
          </cell>
          <cell r="AZ7917" t="str">
            <v/>
          </cell>
          <cell r="BA7917" t="str">
            <v/>
          </cell>
        </row>
        <row r="7918">
          <cell r="B7918" t="str">
            <v>-</v>
          </cell>
          <cell r="E7918" t="str">
            <v/>
          </cell>
          <cell r="G7918" t="str">
            <v/>
          </cell>
          <cell r="J7918" t="str">
            <v/>
          </cell>
          <cell r="O7918" t="str">
            <v/>
          </cell>
          <cell r="P7918" t="str">
            <v/>
          </cell>
          <cell r="Q7918" t="str">
            <v/>
          </cell>
          <cell r="S7918" t="str">
            <v/>
          </cell>
          <cell r="V7918" t="str">
            <v/>
          </cell>
          <cell r="Z7918" t="str">
            <v/>
          </cell>
          <cell r="AA7918" t="str">
            <v/>
          </cell>
          <cell r="AB7918" t="str">
            <v/>
          </cell>
          <cell r="AC7918" t="str">
            <v/>
          </cell>
          <cell r="AD7918" t="str">
            <v/>
          </cell>
          <cell r="AY7918" t="str">
            <v/>
          </cell>
          <cell r="AZ7918" t="str">
            <v/>
          </cell>
          <cell r="BA7918" t="str">
            <v/>
          </cell>
        </row>
        <row r="7919">
          <cell r="B7919" t="str">
            <v>-</v>
          </cell>
          <cell r="E7919" t="str">
            <v/>
          </cell>
          <cell r="G7919" t="str">
            <v/>
          </cell>
          <cell r="J7919" t="str">
            <v/>
          </cell>
          <cell r="O7919" t="str">
            <v/>
          </cell>
          <cell r="P7919" t="str">
            <v/>
          </cell>
          <cell r="Q7919" t="str">
            <v/>
          </cell>
          <cell r="S7919" t="str">
            <v/>
          </cell>
          <cell r="V7919" t="str">
            <v/>
          </cell>
          <cell r="Z7919" t="str">
            <v/>
          </cell>
          <cell r="AA7919" t="str">
            <v/>
          </cell>
          <cell r="AB7919" t="str">
            <v/>
          </cell>
          <cell r="AC7919" t="str">
            <v/>
          </cell>
          <cell r="AD7919" t="str">
            <v/>
          </cell>
          <cell r="AY7919" t="str">
            <v/>
          </cell>
          <cell r="AZ7919" t="str">
            <v/>
          </cell>
          <cell r="BA7919" t="str">
            <v/>
          </cell>
        </row>
        <row r="7920">
          <cell r="B7920" t="str">
            <v>-</v>
          </cell>
          <cell r="E7920" t="str">
            <v/>
          </cell>
          <cell r="G7920" t="str">
            <v/>
          </cell>
          <cell r="J7920" t="str">
            <v/>
          </cell>
          <cell r="O7920" t="str">
            <v/>
          </cell>
          <cell r="P7920" t="str">
            <v/>
          </cell>
          <cell r="Q7920" t="str">
            <v/>
          </cell>
          <cell r="S7920" t="str">
            <v/>
          </cell>
          <cell r="V7920" t="str">
            <v/>
          </cell>
          <cell r="Z7920" t="str">
            <v/>
          </cell>
          <cell r="AA7920" t="str">
            <v/>
          </cell>
          <cell r="AB7920" t="str">
            <v/>
          </cell>
          <cell r="AC7920" t="str">
            <v/>
          </cell>
          <cell r="AD7920" t="str">
            <v/>
          </cell>
          <cell r="AY7920" t="str">
            <v/>
          </cell>
          <cell r="AZ7920" t="str">
            <v/>
          </cell>
          <cell r="BA7920" t="str">
            <v/>
          </cell>
        </row>
        <row r="7921">
          <cell r="B7921" t="str">
            <v>-</v>
          </cell>
          <cell r="E7921" t="str">
            <v/>
          </cell>
          <cell r="G7921" t="str">
            <v/>
          </cell>
          <cell r="J7921" t="str">
            <v/>
          </cell>
          <cell r="O7921" t="str">
            <v/>
          </cell>
          <cell r="P7921" t="str">
            <v/>
          </cell>
          <cell r="Q7921" t="str">
            <v/>
          </cell>
          <cell r="S7921" t="str">
            <v/>
          </cell>
          <cell r="V7921" t="str">
            <v/>
          </cell>
          <cell r="Z7921" t="str">
            <v/>
          </cell>
          <cell r="AA7921" t="str">
            <v/>
          </cell>
          <cell r="AB7921" t="str">
            <v/>
          </cell>
          <cell r="AC7921" t="str">
            <v/>
          </cell>
          <cell r="AD7921" t="str">
            <v/>
          </cell>
          <cell r="AY7921" t="str">
            <v/>
          </cell>
          <cell r="AZ7921" t="str">
            <v/>
          </cell>
          <cell r="BA7921" t="str">
            <v/>
          </cell>
        </row>
        <row r="7922">
          <cell r="B7922" t="str">
            <v>-</v>
          </cell>
          <cell r="E7922" t="str">
            <v/>
          </cell>
          <cell r="G7922" t="str">
            <v/>
          </cell>
          <cell r="J7922" t="str">
            <v/>
          </cell>
          <cell r="O7922" t="str">
            <v/>
          </cell>
          <cell r="P7922" t="str">
            <v/>
          </cell>
          <cell r="Q7922" t="str">
            <v/>
          </cell>
          <cell r="S7922" t="str">
            <v/>
          </cell>
          <cell r="V7922" t="str">
            <v/>
          </cell>
          <cell r="Z7922" t="str">
            <v/>
          </cell>
          <cell r="AA7922" t="str">
            <v/>
          </cell>
          <cell r="AB7922" t="str">
            <v/>
          </cell>
          <cell r="AC7922" t="str">
            <v/>
          </cell>
          <cell r="AD7922" t="str">
            <v/>
          </cell>
          <cell r="AY7922" t="str">
            <v/>
          </cell>
          <cell r="AZ7922" t="str">
            <v/>
          </cell>
          <cell r="BA7922" t="str">
            <v/>
          </cell>
        </row>
        <row r="7923">
          <cell r="B7923" t="str">
            <v>-</v>
          </cell>
          <cell r="E7923" t="str">
            <v/>
          </cell>
          <cell r="G7923" t="str">
            <v/>
          </cell>
          <cell r="J7923" t="str">
            <v/>
          </cell>
          <cell r="O7923" t="str">
            <v/>
          </cell>
          <cell r="P7923" t="str">
            <v/>
          </cell>
          <cell r="Q7923" t="str">
            <v/>
          </cell>
          <cell r="S7923" t="str">
            <v/>
          </cell>
          <cell r="V7923" t="str">
            <v/>
          </cell>
          <cell r="Z7923" t="str">
            <v/>
          </cell>
          <cell r="AA7923" t="str">
            <v/>
          </cell>
          <cell r="AB7923" t="str">
            <v/>
          </cell>
          <cell r="AC7923" t="str">
            <v/>
          </cell>
          <cell r="AD7923" t="str">
            <v/>
          </cell>
          <cell r="AY7923" t="str">
            <v/>
          </cell>
          <cell r="AZ7923" t="str">
            <v/>
          </cell>
          <cell r="BA7923" t="str">
            <v/>
          </cell>
        </row>
        <row r="7924">
          <cell r="B7924" t="str">
            <v>-</v>
          </cell>
          <cell r="E7924" t="str">
            <v/>
          </cell>
          <cell r="G7924" t="str">
            <v/>
          </cell>
          <cell r="J7924" t="str">
            <v/>
          </cell>
          <cell r="O7924" t="str">
            <v/>
          </cell>
          <cell r="P7924" t="str">
            <v/>
          </cell>
          <cell r="Q7924" t="str">
            <v/>
          </cell>
          <cell r="S7924" t="str">
            <v/>
          </cell>
          <cell r="V7924" t="str">
            <v/>
          </cell>
          <cell r="Z7924" t="str">
            <v/>
          </cell>
          <cell r="AA7924" t="str">
            <v/>
          </cell>
          <cell r="AB7924" t="str">
            <v/>
          </cell>
          <cell r="AC7924" t="str">
            <v/>
          </cell>
          <cell r="AD7924" t="str">
            <v/>
          </cell>
          <cell r="AY7924" t="str">
            <v/>
          </cell>
          <cell r="AZ7924" t="str">
            <v/>
          </cell>
          <cell r="BA7924" t="str">
            <v/>
          </cell>
        </row>
        <row r="7925">
          <cell r="B7925" t="str">
            <v>-</v>
          </cell>
          <cell r="E7925" t="str">
            <v/>
          </cell>
          <cell r="G7925" t="str">
            <v/>
          </cell>
          <cell r="J7925" t="str">
            <v/>
          </cell>
          <cell r="O7925" t="str">
            <v/>
          </cell>
          <cell r="P7925" t="str">
            <v/>
          </cell>
          <cell r="Q7925" t="str">
            <v/>
          </cell>
          <cell r="S7925" t="str">
            <v/>
          </cell>
          <cell r="V7925" t="str">
            <v/>
          </cell>
          <cell r="Z7925" t="str">
            <v/>
          </cell>
          <cell r="AA7925" t="str">
            <v/>
          </cell>
          <cell r="AB7925" t="str">
            <v/>
          </cell>
          <cell r="AC7925" t="str">
            <v/>
          </cell>
          <cell r="AD7925" t="str">
            <v/>
          </cell>
          <cell r="AY7925" t="str">
            <v/>
          </cell>
          <cell r="AZ7925" t="str">
            <v/>
          </cell>
          <cell r="BA7925" t="str">
            <v/>
          </cell>
        </row>
        <row r="7926">
          <cell r="B7926" t="str">
            <v>-</v>
          </cell>
          <cell r="E7926" t="str">
            <v/>
          </cell>
          <cell r="G7926" t="str">
            <v/>
          </cell>
          <cell r="J7926" t="str">
            <v/>
          </cell>
          <cell r="O7926" t="str">
            <v/>
          </cell>
          <cell r="P7926" t="str">
            <v/>
          </cell>
          <cell r="Q7926" t="str">
            <v/>
          </cell>
          <cell r="S7926" t="str">
            <v/>
          </cell>
          <cell r="V7926" t="str">
            <v/>
          </cell>
          <cell r="Z7926" t="str">
            <v/>
          </cell>
          <cell r="AA7926" t="str">
            <v/>
          </cell>
          <cell r="AB7926" t="str">
            <v/>
          </cell>
          <cell r="AC7926" t="str">
            <v/>
          </cell>
          <cell r="AD7926" t="str">
            <v/>
          </cell>
          <cell r="AY7926" t="str">
            <v/>
          </cell>
          <cell r="AZ7926" t="str">
            <v/>
          </cell>
          <cell r="BA7926" t="str">
            <v/>
          </cell>
        </row>
        <row r="7927">
          <cell r="B7927" t="str">
            <v>-</v>
          </cell>
          <cell r="E7927" t="str">
            <v/>
          </cell>
          <cell r="G7927" t="str">
            <v/>
          </cell>
          <cell r="J7927" t="str">
            <v/>
          </cell>
          <cell r="O7927" t="str">
            <v/>
          </cell>
          <cell r="P7927" t="str">
            <v/>
          </cell>
          <cell r="Q7927" t="str">
            <v/>
          </cell>
          <cell r="S7927" t="str">
            <v/>
          </cell>
          <cell r="V7927" t="str">
            <v/>
          </cell>
          <cell r="Z7927" t="str">
            <v/>
          </cell>
          <cell r="AA7927" t="str">
            <v/>
          </cell>
          <cell r="AB7927" t="str">
            <v/>
          </cell>
          <cell r="AC7927" t="str">
            <v/>
          </cell>
          <cell r="AD7927" t="str">
            <v/>
          </cell>
          <cell r="AY7927" t="str">
            <v/>
          </cell>
          <cell r="AZ7927" t="str">
            <v/>
          </cell>
          <cell r="BA7927" t="str">
            <v/>
          </cell>
        </row>
        <row r="7928">
          <cell r="B7928" t="str">
            <v>-</v>
          </cell>
          <cell r="E7928" t="str">
            <v/>
          </cell>
          <cell r="G7928" t="str">
            <v/>
          </cell>
          <cell r="J7928" t="str">
            <v/>
          </cell>
          <cell r="O7928" t="str">
            <v/>
          </cell>
          <cell r="P7928" t="str">
            <v/>
          </cell>
          <cell r="Q7928" t="str">
            <v/>
          </cell>
          <cell r="S7928" t="str">
            <v/>
          </cell>
          <cell r="V7928" t="str">
            <v/>
          </cell>
          <cell r="Z7928" t="str">
            <v/>
          </cell>
          <cell r="AA7928" t="str">
            <v/>
          </cell>
          <cell r="AB7928" t="str">
            <v/>
          </cell>
          <cell r="AC7928" t="str">
            <v/>
          </cell>
          <cell r="AD7928" t="str">
            <v/>
          </cell>
          <cell r="AY7928" t="str">
            <v/>
          </cell>
          <cell r="AZ7928" t="str">
            <v/>
          </cell>
          <cell r="BA7928" t="str">
            <v/>
          </cell>
        </row>
        <row r="7929">
          <cell r="B7929" t="str">
            <v>-</v>
          </cell>
          <cell r="E7929" t="str">
            <v/>
          </cell>
          <cell r="G7929" t="str">
            <v/>
          </cell>
          <cell r="J7929" t="str">
            <v/>
          </cell>
          <cell r="O7929" t="str">
            <v/>
          </cell>
          <cell r="P7929" t="str">
            <v/>
          </cell>
          <cell r="Q7929" t="str">
            <v/>
          </cell>
          <cell r="S7929" t="str">
            <v/>
          </cell>
          <cell r="V7929" t="str">
            <v/>
          </cell>
          <cell r="Z7929" t="str">
            <v/>
          </cell>
          <cell r="AA7929" t="str">
            <v/>
          </cell>
          <cell r="AB7929" t="str">
            <v/>
          </cell>
          <cell r="AC7929" t="str">
            <v/>
          </cell>
          <cell r="AD7929" t="str">
            <v/>
          </cell>
          <cell r="AY7929" t="str">
            <v/>
          </cell>
          <cell r="AZ7929" t="str">
            <v/>
          </cell>
          <cell r="BA7929" t="str">
            <v/>
          </cell>
        </row>
        <row r="7930">
          <cell r="B7930" t="str">
            <v>-</v>
          </cell>
          <cell r="E7930" t="str">
            <v/>
          </cell>
          <cell r="G7930" t="str">
            <v/>
          </cell>
          <cell r="J7930" t="str">
            <v/>
          </cell>
          <cell r="O7930" t="str">
            <v/>
          </cell>
          <cell r="P7930" t="str">
            <v/>
          </cell>
          <cell r="Q7930" t="str">
            <v/>
          </cell>
          <cell r="S7930" t="str">
            <v/>
          </cell>
          <cell r="V7930" t="str">
            <v/>
          </cell>
          <cell r="Z7930" t="str">
            <v/>
          </cell>
          <cell r="AA7930" t="str">
            <v/>
          </cell>
          <cell r="AB7930" t="str">
            <v/>
          </cell>
          <cell r="AC7930" t="str">
            <v/>
          </cell>
          <cell r="AD7930" t="str">
            <v/>
          </cell>
          <cell r="AY7930" t="str">
            <v/>
          </cell>
          <cell r="AZ7930" t="str">
            <v/>
          </cell>
          <cell r="BA7930" t="str">
            <v/>
          </cell>
        </row>
        <row r="7931">
          <cell r="B7931" t="str">
            <v>-</v>
          </cell>
          <cell r="E7931" t="str">
            <v/>
          </cell>
          <cell r="G7931" t="str">
            <v/>
          </cell>
          <cell r="J7931" t="str">
            <v/>
          </cell>
          <cell r="O7931" t="str">
            <v/>
          </cell>
          <cell r="P7931" t="str">
            <v/>
          </cell>
          <cell r="Q7931" t="str">
            <v/>
          </cell>
          <cell r="S7931" t="str">
            <v/>
          </cell>
          <cell r="V7931" t="str">
            <v/>
          </cell>
          <cell r="Z7931" t="str">
            <v/>
          </cell>
          <cell r="AA7931" t="str">
            <v/>
          </cell>
          <cell r="AB7931" t="str">
            <v/>
          </cell>
          <cell r="AC7931" t="str">
            <v/>
          </cell>
          <cell r="AD7931" t="str">
            <v/>
          </cell>
          <cell r="AY7931" t="str">
            <v/>
          </cell>
          <cell r="AZ7931" t="str">
            <v/>
          </cell>
          <cell r="BA7931" t="str">
            <v/>
          </cell>
        </row>
        <row r="7932">
          <cell r="B7932" t="str">
            <v>-</v>
          </cell>
          <cell r="E7932" t="str">
            <v/>
          </cell>
          <cell r="G7932" t="str">
            <v/>
          </cell>
          <cell r="J7932" t="str">
            <v/>
          </cell>
          <cell r="O7932" t="str">
            <v/>
          </cell>
          <cell r="P7932" t="str">
            <v/>
          </cell>
          <cell r="Q7932" t="str">
            <v/>
          </cell>
          <cell r="S7932" t="str">
            <v/>
          </cell>
          <cell r="V7932" t="str">
            <v/>
          </cell>
          <cell r="Z7932" t="str">
            <v/>
          </cell>
          <cell r="AA7932" t="str">
            <v/>
          </cell>
          <cell r="AB7932" t="str">
            <v/>
          </cell>
          <cell r="AC7932" t="str">
            <v/>
          </cell>
          <cell r="AD7932" t="str">
            <v/>
          </cell>
          <cell r="AY7932" t="str">
            <v/>
          </cell>
          <cell r="AZ7932" t="str">
            <v/>
          </cell>
          <cell r="BA7932" t="str">
            <v/>
          </cell>
        </row>
        <row r="7933">
          <cell r="B7933" t="str">
            <v>-</v>
          </cell>
          <cell r="E7933" t="str">
            <v/>
          </cell>
          <cell r="G7933" t="str">
            <v/>
          </cell>
          <cell r="J7933" t="str">
            <v/>
          </cell>
          <cell r="O7933" t="str">
            <v/>
          </cell>
          <cell r="P7933" t="str">
            <v/>
          </cell>
          <cell r="Q7933" t="str">
            <v/>
          </cell>
          <cell r="S7933" t="str">
            <v/>
          </cell>
          <cell r="V7933" t="str">
            <v/>
          </cell>
          <cell r="Z7933" t="str">
            <v/>
          </cell>
          <cell r="AA7933" t="str">
            <v/>
          </cell>
          <cell r="AB7933" t="str">
            <v/>
          </cell>
          <cell r="AC7933" t="str">
            <v/>
          </cell>
          <cell r="AD7933" t="str">
            <v/>
          </cell>
          <cell r="AY7933" t="str">
            <v/>
          </cell>
          <cell r="AZ7933" t="str">
            <v/>
          </cell>
          <cell r="BA7933" t="str">
            <v/>
          </cell>
        </row>
        <row r="7934">
          <cell r="B7934" t="str">
            <v>-</v>
          </cell>
          <cell r="E7934" t="str">
            <v/>
          </cell>
          <cell r="G7934" t="str">
            <v/>
          </cell>
          <cell r="J7934" t="str">
            <v/>
          </cell>
          <cell r="O7934" t="str">
            <v/>
          </cell>
          <cell r="P7934" t="str">
            <v/>
          </cell>
          <cell r="Q7934" t="str">
            <v/>
          </cell>
          <cell r="S7934" t="str">
            <v/>
          </cell>
          <cell r="V7934" t="str">
            <v/>
          </cell>
          <cell r="Z7934" t="str">
            <v/>
          </cell>
          <cell r="AA7934" t="str">
            <v/>
          </cell>
          <cell r="AB7934" t="str">
            <v/>
          </cell>
          <cell r="AC7934" t="str">
            <v/>
          </cell>
          <cell r="AD7934" t="str">
            <v/>
          </cell>
          <cell r="AY7934" t="str">
            <v/>
          </cell>
          <cell r="AZ7934" t="str">
            <v/>
          </cell>
          <cell r="BA7934" t="str">
            <v/>
          </cell>
        </row>
        <row r="7935">
          <cell r="B7935" t="str">
            <v>-</v>
          </cell>
          <cell r="E7935" t="str">
            <v/>
          </cell>
          <cell r="G7935" t="str">
            <v/>
          </cell>
          <cell r="J7935" t="str">
            <v/>
          </cell>
          <cell r="O7935" t="str">
            <v/>
          </cell>
          <cell r="P7935" t="str">
            <v/>
          </cell>
          <cell r="Q7935" t="str">
            <v/>
          </cell>
          <cell r="S7935" t="str">
            <v/>
          </cell>
          <cell r="V7935" t="str">
            <v/>
          </cell>
          <cell r="Z7935" t="str">
            <v/>
          </cell>
          <cell r="AA7935" t="str">
            <v/>
          </cell>
          <cell r="AB7935" t="str">
            <v/>
          </cell>
          <cell r="AC7935" t="str">
            <v/>
          </cell>
          <cell r="AD7935" t="str">
            <v/>
          </cell>
          <cell r="AY7935" t="str">
            <v/>
          </cell>
          <cell r="AZ7935" t="str">
            <v/>
          </cell>
          <cell r="BA7935" t="str">
            <v/>
          </cell>
        </row>
        <row r="7936">
          <cell r="B7936" t="str">
            <v>-</v>
          </cell>
          <cell r="E7936" t="str">
            <v/>
          </cell>
          <cell r="G7936" t="str">
            <v/>
          </cell>
          <cell r="J7936" t="str">
            <v/>
          </cell>
          <cell r="O7936" t="str">
            <v/>
          </cell>
          <cell r="P7936" t="str">
            <v/>
          </cell>
          <cell r="Q7936" t="str">
            <v/>
          </cell>
          <cell r="S7936" t="str">
            <v/>
          </cell>
          <cell r="V7936" t="str">
            <v/>
          </cell>
          <cell r="Z7936" t="str">
            <v/>
          </cell>
          <cell r="AA7936" t="str">
            <v/>
          </cell>
          <cell r="AB7936" t="str">
            <v/>
          </cell>
          <cell r="AC7936" t="str">
            <v/>
          </cell>
          <cell r="AD7936" t="str">
            <v/>
          </cell>
          <cell r="AY7936" t="str">
            <v/>
          </cell>
          <cell r="AZ7936" t="str">
            <v/>
          </cell>
          <cell r="BA7936" t="str">
            <v/>
          </cell>
        </row>
        <row r="7937">
          <cell r="B7937" t="str">
            <v>-</v>
          </cell>
          <cell r="E7937" t="str">
            <v/>
          </cell>
          <cell r="G7937" t="str">
            <v/>
          </cell>
          <cell r="J7937" t="str">
            <v/>
          </cell>
          <cell r="O7937" t="str">
            <v/>
          </cell>
          <cell r="P7937" t="str">
            <v/>
          </cell>
          <cell r="Q7937" t="str">
            <v/>
          </cell>
          <cell r="S7937" t="str">
            <v/>
          </cell>
          <cell r="V7937" t="str">
            <v/>
          </cell>
          <cell r="Z7937" t="str">
            <v/>
          </cell>
          <cell r="AA7937" t="str">
            <v/>
          </cell>
          <cell r="AB7937" t="str">
            <v/>
          </cell>
          <cell r="AC7937" t="str">
            <v/>
          </cell>
          <cell r="AD7937" t="str">
            <v/>
          </cell>
          <cell r="AY7937" t="str">
            <v/>
          </cell>
          <cell r="AZ7937" t="str">
            <v/>
          </cell>
          <cell r="BA7937" t="str">
            <v/>
          </cell>
        </row>
        <row r="7938">
          <cell r="B7938" t="str">
            <v>-</v>
          </cell>
          <cell r="E7938" t="str">
            <v/>
          </cell>
          <cell r="G7938" t="str">
            <v/>
          </cell>
          <cell r="J7938" t="str">
            <v/>
          </cell>
          <cell r="O7938" t="str">
            <v/>
          </cell>
          <cell r="P7938" t="str">
            <v/>
          </cell>
          <cell r="Q7938" t="str">
            <v/>
          </cell>
          <cell r="S7938" t="str">
            <v/>
          </cell>
          <cell r="V7938" t="str">
            <v/>
          </cell>
          <cell r="Z7938" t="str">
            <v/>
          </cell>
          <cell r="AA7938" t="str">
            <v/>
          </cell>
          <cell r="AB7938" t="str">
            <v/>
          </cell>
          <cell r="AC7938" t="str">
            <v/>
          </cell>
          <cell r="AD7938" t="str">
            <v/>
          </cell>
          <cell r="AY7938" t="str">
            <v/>
          </cell>
          <cell r="AZ7938" t="str">
            <v/>
          </cell>
          <cell r="BA7938" t="str">
            <v/>
          </cell>
        </row>
        <row r="7939">
          <cell r="B7939" t="str">
            <v>-</v>
          </cell>
          <cell r="E7939" t="str">
            <v/>
          </cell>
          <cell r="G7939" t="str">
            <v/>
          </cell>
          <cell r="J7939" t="str">
            <v/>
          </cell>
          <cell r="O7939" t="str">
            <v/>
          </cell>
          <cell r="P7939" t="str">
            <v/>
          </cell>
          <cell r="Q7939" t="str">
            <v/>
          </cell>
          <cell r="S7939" t="str">
            <v/>
          </cell>
          <cell r="V7939" t="str">
            <v/>
          </cell>
          <cell r="Z7939" t="str">
            <v/>
          </cell>
          <cell r="AA7939" t="str">
            <v/>
          </cell>
          <cell r="AB7939" t="str">
            <v/>
          </cell>
          <cell r="AC7939" t="str">
            <v/>
          </cell>
          <cell r="AD7939" t="str">
            <v/>
          </cell>
          <cell r="AY7939" t="str">
            <v/>
          </cell>
          <cell r="AZ7939" t="str">
            <v/>
          </cell>
          <cell r="BA7939" t="str">
            <v/>
          </cell>
        </row>
        <row r="7940">
          <cell r="B7940" t="str">
            <v>-</v>
          </cell>
          <cell r="E7940" t="str">
            <v/>
          </cell>
          <cell r="G7940" t="str">
            <v/>
          </cell>
          <cell r="J7940" t="str">
            <v/>
          </cell>
          <cell r="O7940" t="str">
            <v/>
          </cell>
          <cell r="P7940" t="str">
            <v/>
          </cell>
          <cell r="Q7940" t="str">
            <v/>
          </cell>
          <cell r="S7940" t="str">
            <v/>
          </cell>
          <cell r="V7940" t="str">
            <v/>
          </cell>
          <cell r="Z7940" t="str">
            <v/>
          </cell>
          <cell r="AA7940" t="str">
            <v/>
          </cell>
          <cell r="AB7940" t="str">
            <v/>
          </cell>
          <cell r="AC7940" t="str">
            <v/>
          </cell>
          <cell r="AD7940" t="str">
            <v/>
          </cell>
          <cell r="AY7940" t="str">
            <v/>
          </cell>
          <cell r="AZ7940" t="str">
            <v/>
          </cell>
          <cell r="BA7940" t="str">
            <v/>
          </cell>
        </row>
        <row r="7941">
          <cell r="B7941" t="str">
            <v>-</v>
          </cell>
          <cell r="E7941" t="str">
            <v/>
          </cell>
          <cell r="G7941" t="str">
            <v/>
          </cell>
          <cell r="J7941" t="str">
            <v/>
          </cell>
          <cell r="O7941" t="str">
            <v/>
          </cell>
          <cell r="P7941" t="str">
            <v/>
          </cell>
          <cell r="Q7941" t="str">
            <v/>
          </cell>
          <cell r="S7941" t="str">
            <v/>
          </cell>
          <cell r="V7941" t="str">
            <v/>
          </cell>
          <cell r="Z7941" t="str">
            <v/>
          </cell>
          <cell r="AA7941" t="str">
            <v/>
          </cell>
          <cell r="AB7941" t="str">
            <v/>
          </cell>
          <cell r="AC7941" t="str">
            <v/>
          </cell>
          <cell r="AD7941" t="str">
            <v/>
          </cell>
          <cell r="AY7941" t="str">
            <v/>
          </cell>
          <cell r="AZ7941" t="str">
            <v/>
          </cell>
          <cell r="BA7941" t="str">
            <v/>
          </cell>
        </row>
        <row r="7942">
          <cell r="B7942" t="str">
            <v>-</v>
          </cell>
          <cell r="E7942" t="str">
            <v/>
          </cell>
          <cell r="G7942" t="str">
            <v/>
          </cell>
          <cell r="J7942" t="str">
            <v/>
          </cell>
          <cell r="O7942" t="str">
            <v/>
          </cell>
          <cell r="P7942" t="str">
            <v/>
          </cell>
          <cell r="Q7942" t="str">
            <v/>
          </cell>
          <cell r="S7942" t="str">
            <v/>
          </cell>
          <cell r="V7942" t="str">
            <v/>
          </cell>
          <cell r="Z7942" t="str">
            <v/>
          </cell>
          <cell r="AA7942" t="str">
            <v/>
          </cell>
          <cell r="AB7942" t="str">
            <v/>
          </cell>
          <cell r="AC7942" t="str">
            <v/>
          </cell>
          <cell r="AD7942" t="str">
            <v/>
          </cell>
          <cell r="AY7942" t="str">
            <v/>
          </cell>
          <cell r="AZ7942" t="str">
            <v/>
          </cell>
          <cell r="BA7942" t="str">
            <v/>
          </cell>
        </row>
        <row r="7943">
          <cell r="B7943" t="str">
            <v>-</v>
          </cell>
          <cell r="E7943" t="str">
            <v/>
          </cell>
          <cell r="G7943" t="str">
            <v/>
          </cell>
          <cell r="J7943" t="str">
            <v/>
          </cell>
          <cell r="O7943" t="str">
            <v/>
          </cell>
          <cell r="P7943" t="str">
            <v/>
          </cell>
          <cell r="Q7943" t="str">
            <v/>
          </cell>
          <cell r="S7943" t="str">
            <v/>
          </cell>
          <cell r="V7943" t="str">
            <v/>
          </cell>
          <cell r="Z7943" t="str">
            <v/>
          </cell>
          <cell r="AA7943" t="str">
            <v/>
          </cell>
          <cell r="AB7943" t="str">
            <v/>
          </cell>
          <cell r="AC7943" t="str">
            <v/>
          </cell>
          <cell r="AD7943" t="str">
            <v/>
          </cell>
          <cell r="AY7943" t="str">
            <v/>
          </cell>
          <cell r="AZ7943" t="str">
            <v/>
          </cell>
          <cell r="BA7943" t="str">
            <v/>
          </cell>
        </row>
        <row r="7944">
          <cell r="B7944" t="str">
            <v>-</v>
          </cell>
          <cell r="E7944" t="str">
            <v/>
          </cell>
          <cell r="G7944" t="str">
            <v/>
          </cell>
          <cell r="J7944" t="str">
            <v/>
          </cell>
          <cell r="O7944" t="str">
            <v/>
          </cell>
          <cell r="P7944" t="str">
            <v/>
          </cell>
          <cell r="Q7944" t="str">
            <v/>
          </cell>
          <cell r="S7944" t="str">
            <v/>
          </cell>
          <cell r="V7944" t="str">
            <v/>
          </cell>
          <cell r="Z7944" t="str">
            <v/>
          </cell>
          <cell r="AA7944" t="str">
            <v/>
          </cell>
          <cell r="AB7944" t="str">
            <v/>
          </cell>
          <cell r="AC7944" t="str">
            <v/>
          </cell>
          <cell r="AD7944" t="str">
            <v/>
          </cell>
          <cell r="AY7944" t="str">
            <v/>
          </cell>
          <cell r="AZ7944" t="str">
            <v/>
          </cell>
          <cell r="BA7944" t="str">
            <v/>
          </cell>
        </row>
        <row r="7945">
          <cell r="B7945" t="str">
            <v>-</v>
          </cell>
          <cell r="E7945" t="str">
            <v/>
          </cell>
          <cell r="G7945" t="str">
            <v/>
          </cell>
          <cell r="J7945" t="str">
            <v/>
          </cell>
          <cell r="O7945" t="str">
            <v/>
          </cell>
          <cell r="P7945" t="str">
            <v/>
          </cell>
          <cell r="Q7945" t="str">
            <v/>
          </cell>
          <cell r="S7945" t="str">
            <v/>
          </cell>
          <cell r="V7945" t="str">
            <v/>
          </cell>
          <cell r="Z7945" t="str">
            <v/>
          </cell>
          <cell r="AA7945" t="str">
            <v/>
          </cell>
          <cell r="AB7945" t="str">
            <v/>
          </cell>
          <cell r="AC7945" t="str">
            <v/>
          </cell>
          <cell r="AD7945" t="str">
            <v/>
          </cell>
          <cell r="AY7945" t="str">
            <v/>
          </cell>
          <cell r="AZ7945" t="str">
            <v/>
          </cell>
          <cell r="BA7945" t="str">
            <v/>
          </cell>
        </row>
        <row r="7946">
          <cell r="B7946" t="str">
            <v>-</v>
          </cell>
          <cell r="E7946" t="str">
            <v/>
          </cell>
          <cell r="G7946" t="str">
            <v/>
          </cell>
          <cell r="J7946" t="str">
            <v/>
          </cell>
          <cell r="O7946" t="str">
            <v/>
          </cell>
          <cell r="P7946" t="str">
            <v/>
          </cell>
          <cell r="Q7946" t="str">
            <v/>
          </cell>
          <cell r="S7946" t="str">
            <v/>
          </cell>
          <cell r="V7946" t="str">
            <v/>
          </cell>
          <cell r="Z7946" t="str">
            <v/>
          </cell>
          <cell r="AA7946" t="str">
            <v/>
          </cell>
          <cell r="AB7946" t="str">
            <v/>
          </cell>
          <cell r="AC7946" t="str">
            <v/>
          </cell>
          <cell r="AD7946" t="str">
            <v/>
          </cell>
          <cell r="AY7946" t="str">
            <v/>
          </cell>
          <cell r="AZ7946" t="str">
            <v/>
          </cell>
          <cell r="BA7946" t="str">
            <v/>
          </cell>
        </row>
        <row r="7947">
          <cell r="B7947" t="str">
            <v>-</v>
          </cell>
          <cell r="E7947" t="str">
            <v/>
          </cell>
          <cell r="G7947" t="str">
            <v/>
          </cell>
          <cell r="J7947" t="str">
            <v/>
          </cell>
          <cell r="O7947" t="str">
            <v/>
          </cell>
          <cell r="P7947" t="str">
            <v/>
          </cell>
          <cell r="Q7947" t="str">
            <v/>
          </cell>
          <cell r="S7947" t="str">
            <v/>
          </cell>
          <cell r="V7947" t="str">
            <v/>
          </cell>
          <cell r="Z7947" t="str">
            <v/>
          </cell>
          <cell r="AA7947" t="str">
            <v/>
          </cell>
          <cell r="AB7947" t="str">
            <v/>
          </cell>
          <cell r="AC7947" t="str">
            <v/>
          </cell>
          <cell r="AD7947" t="str">
            <v/>
          </cell>
          <cell r="AY7947" t="str">
            <v/>
          </cell>
          <cell r="AZ7947" t="str">
            <v/>
          </cell>
          <cell r="BA7947" t="str">
            <v/>
          </cell>
        </row>
        <row r="7948">
          <cell r="B7948" t="str">
            <v>-</v>
          </cell>
          <cell r="E7948" t="str">
            <v/>
          </cell>
          <cell r="G7948" t="str">
            <v/>
          </cell>
          <cell r="J7948" t="str">
            <v/>
          </cell>
          <cell r="O7948" t="str">
            <v/>
          </cell>
          <cell r="P7948" t="str">
            <v/>
          </cell>
          <cell r="Q7948" t="str">
            <v/>
          </cell>
          <cell r="S7948" t="str">
            <v/>
          </cell>
          <cell r="V7948" t="str">
            <v/>
          </cell>
          <cell r="Z7948" t="str">
            <v/>
          </cell>
          <cell r="AA7948" t="str">
            <v/>
          </cell>
          <cell r="AB7948" t="str">
            <v/>
          </cell>
          <cell r="AC7948" t="str">
            <v/>
          </cell>
          <cell r="AD7948" t="str">
            <v/>
          </cell>
          <cell r="AY7948" t="str">
            <v/>
          </cell>
          <cell r="AZ7948" t="str">
            <v/>
          </cell>
          <cell r="BA7948" t="str">
            <v/>
          </cell>
        </row>
        <row r="7949">
          <cell r="B7949" t="str">
            <v>-</v>
          </cell>
          <cell r="E7949" t="str">
            <v/>
          </cell>
          <cell r="G7949" t="str">
            <v/>
          </cell>
          <cell r="J7949" t="str">
            <v/>
          </cell>
          <cell r="O7949" t="str">
            <v/>
          </cell>
          <cell r="P7949" t="str">
            <v/>
          </cell>
          <cell r="Q7949" t="str">
            <v/>
          </cell>
          <cell r="S7949" t="str">
            <v/>
          </cell>
          <cell r="V7949" t="str">
            <v/>
          </cell>
          <cell r="Z7949" t="str">
            <v/>
          </cell>
          <cell r="AA7949" t="str">
            <v/>
          </cell>
          <cell r="AB7949" t="str">
            <v/>
          </cell>
          <cell r="AC7949" t="str">
            <v/>
          </cell>
          <cell r="AD7949" t="str">
            <v/>
          </cell>
          <cell r="AY7949" t="str">
            <v/>
          </cell>
          <cell r="AZ7949" t="str">
            <v/>
          </cell>
          <cell r="BA7949" t="str">
            <v/>
          </cell>
        </row>
        <row r="7950">
          <cell r="B7950" t="str">
            <v>-</v>
          </cell>
          <cell r="E7950" t="str">
            <v/>
          </cell>
          <cell r="G7950" t="str">
            <v/>
          </cell>
          <cell r="J7950" t="str">
            <v/>
          </cell>
          <cell r="O7950" t="str">
            <v/>
          </cell>
          <cell r="P7950" t="str">
            <v/>
          </cell>
          <cell r="Q7950" t="str">
            <v/>
          </cell>
          <cell r="S7950" t="str">
            <v/>
          </cell>
          <cell r="V7950" t="str">
            <v/>
          </cell>
          <cell r="Z7950" t="str">
            <v/>
          </cell>
          <cell r="AA7950" t="str">
            <v/>
          </cell>
          <cell r="AB7950" t="str">
            <v/>
          </cell>
          <cell r="AC7950" t="str">
            <v/>
          </cell>
          <cell r="AD7950" t="str">
            <v/>
          </cell>
          <cell r="AY7950" t="str">
            <v/>
          </cell>
          <cell r="AZ7950" t="str">
            <v/>
          </cell>
          <cell r="BA7950" t="str">
            <v/>
          </cell>
        </row>
        <row r="7951">
          <cell r="B7951" t="str">
            <v>-</v>
          </cell>
          <cell r="E7951" t="str">
            <v/>
          </cell>
          <cell r="G7951" t="str">
            <v/>
          </cell>
          <cell r="J7951" t="str">
            <v/>
          </cell>
          <cell r="O7951" t="str">
            <v/>
          </cell>
          <cell r="P7951" t="str">
            <v/>
          </cell>
          <cell r="Q7951" t="str">
            <v/>
          </cell>
          <cell r="S7951" t="str">
            <v/>
          </cell>
          <cell r="V7951" t="str">
            <v/>
          </cell>
          <cell r="Z7951" t="str">
            <v/>
          </cell>
          <cell r="AA7951" t="str">
            <v/>
          </cell>
          <cell r="AB7951" t="str">
            <v/>
          </cell>
          <cell r="AC7951" t="str">
            <v/>
          </cell>
          <cell r="AD7951" t="str">
            <v/>
          </cell>
          <cell r="AY7951" t="str">
            <v/>
          </cell>
          <cell r="AZ7951" t="str">
            <v/>
          </cell>
          <cell r="BA7951" t="str">
            <v/>
          </cell>
        </row>
        <row r="7952">
          <cell r="B7952" t="str">
            <v>-</v>
          </cell>
          <cell r="E7952" t="str">
            <v/>
          </cell>
          <cell r="G7952" t="str">
            <v/>
          </cell>
          <cell r="J7952" t="str">
            <v/>
          </cell>
          <cell r="O7952" t="str">
            <v/>
          </cell>
          <cell r="P7952" t="str">
            <v/>
          </cell>
          <cell r="Q7952" t="str">
            <v/>
          </cell>
          <cell r="S7952" t="str">
            <v/>
          </cell>
          <cell r="V7952" t="str">
            <v/>
          </cell>
          <cell r="Z7952" t="str">
            <v/>
          </cell>
          <cell r="AA7952" t="str">
            <v/>
          </cell>
          <cell r="AB7952" t="str">
            <v/>
          </cell>
          <cell r="AC7952" t="str">
            <v/>
          </cell>
          <cell r="AD7952" t="str">
            <v/>
          </cell>
          <cell r="AY7952" t="str">
            <v/>
          </cell>
          <cell r="AZ7952" t="str">
            <v/>
          </cell>
          <cell r="BA7952" t="str">
            <v/>
          </cell>
        </row>
        <row r="7953">
          <cell r="B7953" t="str">
            <v>-</v>
          </cell>
          <cell r="E7953" t="str">
            <v/>
          </cell>
          <cell r="G7953" t="str">
            <v/>
          </cell>
          <cell r="J7953" t="str">
            <v/>
          </cell>
          <cell r="O7953" t="str">
            <v/>
          </cell>
          <cell r="P7953" t="str">
            <v/>
          </cell>
          <cell r="Q7953" t="str">
            <v/>
          </cell>
          <cell r="S7953" t="str">
            <v/>
          </cell>
          <cell r="V7953" t="str">
            <v/>
          </cell>
          <cell r="Z7953" t="str">
            <v/>
          </cell>
          <cell r="AA7953" t="str">
            <v/>
          </cell>
          <cell r="AB7953" t="str">
            <v/>
          </cell>
          <cell r="AC7953" t="str">
            <v/>
          </cell>
          <cell r="AD7953" t="str">
            <v/>
          </cell>
          <cell r="AY7953" t="str">
            <v/>
          </cell>
          <cell r="AZ7953" t="str">
            <v/>
          </cell>
          <cell r="BA7953" t="str">
            <v/>
          </cell>
        </row>
        <row r="7954">
          <cell r="B7954" t="str">
            <v>-</v>
          </cell>
          <cell r="E7954" t="str">
            <v/>
          </cell>
          <cell r="G7954" t="str">
            <v/>
          </cell>
          <cell r="J7954" t="str">
            <v/>
          </cell>
          <cell r="O7954" t="str">
            <v/>
          </cell>
          <cell r="P7954" t="str">
            <v/>
          </cell>
          <cell r="Q7954" t="str">
            <v/>
          </cell>
          <cell r="S7954" t="str">
            <v/>
          </cell>
          <cell r="V7954" t="str">
            <v/>
          </cell>
          <cell r="Z7954" t="str">
            <v/>
          </cell>
          <cell r="AA7954" t="str">
            <v/>
          </cell>
          <cell r="AB7954" t="str">
            <v/>
          </cell>
          <cell r="AC7954" t="str">
            <v/>
          </cell>
          <cell r="AD7954" t="str">
            <v/>
          </cell>
          <cell r="AY7954" t="str">
            <v/>
          </cell>
          <cell r="AZ7954" t="str">
            <v/>
          </cell>
          <cell r="BA7954" t="str">
            <v/>
          </cell>
        </row>
        <row r="7955">
          <cell r="B7955" t="str">
            <v>-</v>
          </cell>
          <cell r="E7955" t="str">
            <v/>
          </cell>
          <cell r="G7955" t="str">
            <v/>
          </cell>
          <cell r="J7955" t="str">
            <v/>
          </cell>
          <cell r="O7955" t="str">
            <v/>
          </cell>
          <cell r="P7955" t="str">
            <v/>
          </cell>
          <cell r="Q7955" t="str">
            <v/>
          </cell>
          <cell r="S7955" t="str">
            <v/>
          </cell>
          <cell r="V7955" t="str">
            <v/>
          </cell>
          <cell r="Z7955" t="str">
            <v/>
          </cell>
          <cell r="AA7955" t="str">
            <v/>
          </cell>
          <cell r="AB7955" t="str">
            <v/>
          </cell>
          <cell r="AC7955" t="str">
            <v/>
          </cell>
          <cell r="AD7955" t="str">
            <v/>
          </cell>
          <cell r="AY7955" t="str">
            <v/>
          </cell>
          <cell r="AZ7955" t="str">
            <v/>
          </cell>
          <cell r="BA7955" t="str">
            <v/>
          </cell>
        </row>
        <row r="7956">
          <cell r="B7956" t="str">
            <v>-</v>
          </cell>
          <cell r="E7956" t="str">
            <v/>
          </cell>
          <cell r="G7956" t="str">
            <v/>
          </cell>
          <cell r="J7956" t="str">
            <v/>
          </cell>
          <cell r="O7956" t="str">
            <v/>
          </cell>
          <cell r="P7956" t="str">
            <v/>
          </cell>
          <cell r="Q7956" t="str">
            <v/>
          </cell>
          <cell r="S7956" t="str">
            <v/>
          </cell>
          <cell r="V7956" t="str">
            <v/>
          </cell>
          <cell r="Z7956" t="str">
            <v/>
          </cell>
          <cell r="AA7956" t="str">
            <v/>
          </cell>
          <cell r="AB7956" t="str">
            <v/>
          </cell>
          <cell r="AC7956" t="str">
            <v/>
          </cell>
          <cell r="AD7956" t="str">
            <v/>
          </cell>
          <cell r="AY7956" t="str">
            <v/>
          </cell>
          <cell r="AZ7956" t="str">
            <v/>
          </cell>
          <cell r="BA7956" t="str">
            <v/>
          </cell>
        </row>
        <row r="7957">
          <cell r="B7957" t="str">
            <v>-</v>
          </cell>
          <cell r="E7957" t="str">
            <v/>
          </cell>
          <cell r="G7957" t="str">
            <v/>
          </cell>
          <cell r="J7957" t="str">
            <v/>
          </cell>
          <cell r="O7957" t="str">
            <v/>
          </cell>
          <cell r="P7957" t="str">
            <v/>
          </cell>
          <cell r="Q7957" t="str">
            <v/>
          </cell>
          <cell r="S7957" t="str">
            <v/>
          </cell>
          <cell r="V7957" t="str">
            <v/>
          </cell>
          <cell r="Z7957" t="str">
            <v/>
          </cell>
          <cell r="AA7957" t="str">
            <v/>
          </cell>
          <cell r="AB7957" t="str">
            <v/>
          </cell>
          <cell r="AC7957" t="str">
            <v/>
          </cell>
          <cell r="AD7957" t="str">
            <v/>
          </cell>
          <cell r="AY7957" t="str">
            <v/>
          </cell>
          <cell r="AZ7957" t="str">
            <v/>
          </cell>
          <cell r="BA7957" t="str">
            <v/>
          </cell>
        </row>
        <row r="7958">
          <cell r="B7958" t="str">
            <v>-</v>
          </cell>
          <cell r="E7958" t="str">
            <v/>
          </cell>
          <cell r="G7958" t="str">
            <v/>
          </cell>
          <cell r="J7958" t="str">
            <v/>
          </cell>
          <cell r="O7958" t="str">
            <v/>
          </cell>
          <cell r="P7958" t="str">
            <v/>
          </cell>
          <cell r="Q7958" t="str">
            <v/>
          </cell>
          <cell r="S7958" t="str">
            <v/>
          </cell>
          <cell r="V7958" t="str">
            <v/>
          </cell>
          <cell r="Z7958" t="str">
            <v/>
          </cell>
          <cell r="AA7958" t="str">
            <v/>
          </cell>
          <cell r="AB7958" t="str">
            <v/>
          </cell>
          <cell r="AC7958" t="str">
            <v/>
          </cell>
          <cell r="AD7958" t="str">
            <v/>
          </cell>
          <cell r="AY7958" t="str">
            <v/>
          </cell>
          <cell r="AZ7958" t="str">
            <v/>
          </cell>
          <cell r="BA7958" t="str">
            <v/>
          </cell>
        </row>
        <row r="7959">
          <cell r="B7959" t="str">
            <v>-</v>
          </cell>
          <cell r="E7959" t="str">
            <v/>
          </cell>
          <cell r="G7959" t="str">
            <v/>
          </cell>
          <cell r="J7959" t="str">
            <v/>
          </cell>
          <cell r="O7959" t="str">
            <v/>
          </cell>
          <cell r="P7959" t="str">
            <v/>
          </cell>
          <cell r="Q7959" t="str">
            <v/>
          </cell>
          <cell r="S7959" t="str">
            <v/>
          </cell>
          <cell r="V7959" t="str">
            <v/>
          </cell>
          <cell r="Z7959" t="str">
            <v/>
          </cell>
          <cell r="AA7959" t="str">
            <v/>
          </cell>
          <cell r="AB7959" t="str">
            <v/>
          </cell>
          <cell r="AC7959" t="str">
            <v/>
          </cell>
          <cell r="AD7959" t="str">
            <v/>
          </cell>
          <cell r="AY7959" t="str">
            <v/>
          </cell>
          <cell r="AZ7959" t="str">
            <v/>
          </cell>
          <cell r="BA7959" t="str">
            <v/>
          </cell>
        </row>
        <row r="7960">
          <cell r="B7960" t="str">
            <v>-</v>
          </cell>
          <cell r="E7960" t="str">
            <v/>
          </cell>
          <cell r="G7960" t="str">
            <v/>
          </cell>
          <cell r="J7960" t="str">
            <v/>
          </cell>
          <cell r="O7960" t="str">
            <v/>
          </cell>
          <cell r="P7960" t="str">
            <v/>
          </cell>
          <cell r="Q7960" t="str">
            <v/>
          </cell>
          <cell r="S7960" t="str">
            <v/>
          </cell>
          <cell r="V7960" t="str">
            <v/>
          </cell>
          <cell r="Z7960" t="str">
            <v/>
          </cell>
          <cell r="AA7960" t="str">
            <v/>
          </cell>
          <cell r="AB7960" t="str">
            <v/>
          </cell>
          <cell r="AC7960" t="str">
            <v/>
          </cell>
          <cell r="AD7960" t="str">
            <v/>
          </cell>
          <cell r="AY7960" t="str">
            <v/>
          </cell>
          <cell r="AZ7960" t="str">
            <v/>
          </cell>
          <cell r="BA7960" t="str">
            <v/>
          </cell>
        </row>
        <row r="7961">
          <cell r="B7961" t="str">
            <v>-</v>
          </cell>
          <cell r="E7961" t="str">
            <v/>
          </cell>
          <cell r="G7961" t="str">
            <v/>
          </cell>
          <cell r="J7961" t="str">
            <v/>
          </cell>
          <cell r="O7961" t="str">
            <v/>
          </cell>
          <cell r="P7961" t="str">
            <v/>
          </cell>
          <cell r="Q7961" t="str">
            <v/>
          </cell>
          <cell r="S7961" t="str">
            <v/>
          </cell>
          <cell r="V7961" t="str">
            <v/>
          </cell>
          <cell r="Z7961" t="str">
            <v/>
          </cell>
          <cell r="AA7961" t="str">
            <v/>
          </cell>
          <cell r="AB7961" t="str">
            <v/>
          </cell>
          <cell r="AC7961" t="str">
            <v/>
          </cell>
          <cell r="AD7961" t="str">
            <v/>
          </cell>
          <cell r="AY7961" t="str">
            <v/>
          </cell>
          <cell r="AZ7961" t="str">
            <v/>
          </cell>
          <cell r="BA7961" t="str">
            <v/>
          </cell>
        </row>
        <row r="7962">
          <cell r="B7962" t="str">
            <v>-</v>
          </cell>
          <cell r="E7962" t="str">
            <v/>
          </cell>
          <cell r="G7962" t="str">
            <v/>
          </cell>
          <cell r="J7962" t="str">
            <v/>
          </cell>
          <cell r="O7962" t="str">
            <v/>
          </cell>
          <cell r="P7962" t="str">
            <v/>
          </cell>
          <cell r="Q7962" t="str">
            <v/>
          </cell>
          <cell r="S7962" t="str">
            <v/>
          </cell>
          <cell r="V7962" t="str">
            <v/>
          </cell>
          <cell r="Z7962" t="str">
            <v/>
          </cell>
          <cell r="AA7962" t="str">
            <v/>
          </cell>
          <cell r="AB7962" t="str">
            <v/>
          </cell>
          <cell r="AC7962" t="str">
            <v/>
          </cell>
          <cell r="AD7962" t="str">
            <v/>
          </cell>
          <cell r="AY7962" t="str">
            <v/>
          </cell>
          <cell r="AZ7962" t="str">
            <v/>
          </cell>
          <cell r="BA7962" t="str">
            <v/>
          </cell>
        </row>
        <row r="7963">
          <cell r="B7963" t="str">
            <v>-</v>
          </cell>
          <cell r="E7963" t="str">
            <v/>
          </cell>
          <cell r="G7963" t="str">
            <v/>
          </cell>
          <cell r="J7963" t="str">
            <v/>
          </cell>
          <cell r="O7963" t="str">
            <v/>
          </cell>
          <cell r="P7963" t="str">
            <v/>
          </cell>
          <cell r="Q7963" t="str">
            <v/>
          </cell>
          <cell r="S7963" t="str">
            <v/>
          </cell>
          <cell r="V7963" t="str">
            <v/>
          </cell>
          <cell r="Z7963" t="str">
            <v/>
          </cell>
          <cell r="AA7963" t="str">
            <v/>
          </cell>
          <cell r="AB7963" t="str">
            <v/>
          </cell>
          <cell r="AC7963" t="str">
            <v/>
          </cell>
          <cell r="AD7963" t="str">
            <v/>
          </cell>
          <cell r="AY7963" t="str">
            <v/>
          </cell>
          <cell r="AZ7963" t="str">
            <v/>
          </cell>
          <cell r="BA7963" t="str">
            <v/>
          </cell>
        </row>
        <row r="7964">
          <cell r="B7964" t="str">
            <v>-</v>
          </cell>
          <cell r="E7964" t="str">
            <v/>
          </cell>
          <cell r="G7964" t="str">
            <v/>
          </cell>
          <cell r="J7964" t="str">
            <v/>
          </cell>
          <cell r="O7964" t="str">
            <v/>
          </cell>
          <cell r="P7964" t="str">
            <v/>
          </cell>
          <cell r="Q7964" t="str">
            <v/>
          </cell>
          <cell r="S7964" t="str">
            <v/>
          </cell>
          <cell r="V7964" t="str">
            <v/>
          </cell>
          <cell r="Z7964" t="str">
            <v/>
          </cell>
          <cell r="AA7964" t="str">
            <v/>
          </cell>
          <cell r="AB7964" t="str">
            <v/>
          </cell>
          <cell r="AC7964" t="str">
            <v/>
          </cell>
          <cell r="AD7964" t="str">
            <v/>
          </cell>
          <cell r="AY7964" t="str">
            <v/>
          </cell>
          <cell r="AZ7964" t="str">
            <v/>
          </cell>
          <cell r="BA7964" t="str">
            <v/>
          </cell>
        </row>
        <row r="7965">
          <cell r="B7965" t="str">
            <v>-</v>
          </cell>
          <cell r="E7965" t="str">
            <v/>
          </cell>
          <cell r="G7965" t="str">
            <v/>
          </cell>
          <cell r="J7965" t="str">
            <v/>
          </cell>
          <cell r="O7965" t="str">
            <v/>
          </cell>
          <cell r="P7965" t="str">
            <v/>
          </cell>
          <cell r="Q7965" t="str">
            <v/>
          </cell>
          <cell r="S7965" t="str">
            <v/>
          </cell>
          <cell r="V7965" t="str">
            <v/>
          </cell>
          <cell r="Z7965" t="str">
            <v/>
          </cell>
          <cell r="AA7965" t="str">
            <v/>
          </cell>
          <cell r="AB7965" t="str">
            <v/>
          </cell>
          <cell r="AC7965" t="str">
            <v/>
          </cell>
          <cell r="AD7965" t="str">
            <v/>
          </cell>
          <cell r="AY7965" t="str">
            <v/>
          </cell>
          <cell r="AZ7965" t="str">
            <v/>
          </cell>
          <cell r="BA7965" t="str">
            <v/>
          </cell>
        </row>
        <row r="7966">
          <cell r="B7966" t="str">
            <v>-</v>
          </cell>
          <cell r="E7966" t="str">
            <v/>
          </cell>
          <cell r="G7966" t="str">
            <v/>
          </cell>
          <cell r="J7966" t="str">
            <v/>
          </cell>
          <cell r="O7966" t="str">
            <v/>
          </cell>
          <cell r="P7966" t="str">
            <v/>
          </cell>
          <cell r="Q7966" t="str">
            <v/>
          </cell>
          <cell r="S7966" t="str">
            <v/>
          </cell>
          <cell r="V7966" t="str">
            <v/>
          </cell>
          <cell r="Z7966" t="str">
            <v/>
          </cell>
          <cell r="AA7966" t="str">
            <v/>
          </cell>
          <cell r="AB7966" t="str">
            <v/>
          </cell>
          <cell r="AC7966" t="str">
            <v/>
          </cell>
          <cell r="AD7966" t="str">
            <v/>
          </cell>
          <cell r="AY7966" t="str">
            <v/>
          </cell>
          <cell r="AZ7966" t="str">
            <v/>
          </cell>
          <cell r="BA7966" t="str">
            <v/>
          </cell>
        </row>
        <row r="7967">
          <cell r="B7967" t="str">
            <v>-</v>
          </cell>
          <cell r="E7967" t="str">
            <v/>
          </cell>
          <cell r="G7967" t="str">
            <v/>
          </cell>
          <cell r="J7967" t="str">
            <v/>
          </cell>
          <cell r="O7967" t="str">
            <v/>
          </cell>
          <cell r="P7967" t="str">
            <v/>
          </cell>
          <cell r="Q7967" t="str">
            <v/>
          </cell>
          <cell r="S7967" t="str">
            <v/>
          </cell>
          <cell r="V7967" t="str">
            <v/>
          </cell>
          <cell r="Z7967" t="str">
            <v/>
          </cell>
          <cell r="AA7967" t="str">
            <v/>
          </cell>
          <cell r="AB7967" t="str">
            <v/>
          </cell>
          <cell r="AC7967" t="str">
            <v/>
          </cell>
          <cell r="AD7967" t="str">
            <v/>
          </cell>
          <cell r="AY7967" t="str">
            <v/>
          </cell>
          <cell r="AZ7967" t="str">
            <v/>
          </cell>
          <cell r="BA7967" t="str">
            <v/>
          </cell>
        </row>
        <row r="7968">
          <cell r="B7968" t="str">
            <v>-</v>
          </cell>
          <cell r="E7968" t="str">
            <v/>
          </cell>
          <cell r="G7968" t="str">
            <v/>
          </cell>
          <cell r="J7968" t="str">
            <v/>
          </cell>
          <cell r="O7968" t="str">
            <v/>
          </cell>
          <cell r="P7968" t="str">
            <v/>
          </cell>
          <cell r="Q7968" t="str">
            <v/>
          </cell>
          <cell r="S7968" t="str">
            <v/>
          </cell>
          <cell r="V7968" t="str">
            <v/>
          </cell>
          <cell r="Z7968" t="str">
            <v/>
          </cell>
          <cell r="AA7968" t="str">
            <v/>
          </cell>
          <cell r="AB7968" t="str">
            <v/>
          </cell>
          <cell r="AC7968" t="str">
            <v/>
          </cell>
          <cell r="AD7968" t="str">
            <v/>
          </cell>
          <cell r="AY7968" t="str">
            <v/>
          </cell>
          <cell r="AZ7968" t="str">
            <v/>
          </cell>
          <cell r="BA7968" t="str">
            <v/>
          </cell>
        </row>
        <row r="7969">
          <cell r="B7969" t="str">
            <v>-</v>
          </cell>
          <cell r="E7969" t="str">
            <v/>
          </cell>
          <cell r="G7969" t="str">
            <v/>
          </cell>
          <cell r="J7969" t="str">
            <v/>
          </cell>
          <cell r="O7969" t="str">
            <v/>
          </cell>
          <cell r="P7969" t="str">
            <v/>
          </cell>
          <cell r="Q7969" t="str">
            <v/>
          </cell>
          <cell r="S7969" t="str">
            <v/>
          </cell>
          <cell r="V7969" t="str">
            <v/>
          </cell>
          <cell r="Z7969" t="str">
            <v/>
          </cell>
          <cell r="AA7969" t="str">
            <v/>
          </cell>
          <cell r="AB7969" t="str">
            <v/>
          </cell>
          <cell r="AC7969" t="str">
            <v/>
          </cell>
          <cell r="AD7969" t="str">
            <v/>
          </cell>
          <cell r="AY7969" t="str">
            <v/>
          </cell>
          <cell r="AZ7969" t="str">
            <v/>
          </cell>
          <cell r="BA7969" t="str">
            <v/>
          </cell>
        </row>
        <row r="7970">
          <cell r="B7970" t="str">
            <v>-</v>
          </cell>
          <cell r="E7970" t="str">
            <v/>
          </cell>
          <cell r="G7970" t="str">
            <v/>
          </cell>
          <cell r="J7970" t="str">
            <v/>
          </cell>
          <cell r="O7970" t="str">
            <v/>
          </cell>
          <cell r="P7970" t="str">
            <v/>
          </cell>
          <cell r="Q7970" t="str">
            <v/>
          </cell>
          <cell r="S7970" t="str">
            <v/>
          </cell>
          <cell r="V7970" t="str">
            <v/>
          </cell>
          <cell r="Z7970" t="str">
            <v/>
          </cell>
          <cell r="AA7970" t="str">
            <v/>
          </cell>
          <cell r="AB7970" t="str">
            <v/>
          </cell>
          <cell r="AC7970" t="str">
            <v/>
          </cell>
          <cell r="AD7970" t="str">
            <v/>
          </cell>
          <cell r="AY7970" t="str">
            <v/>
          </cell>
          <cell r="AZ7970" t="str">
            <v/>
          </cell>
          <cell r="BA7970" t="str">
            <v/>
          </cell>
        </row>
        <row r="7971">
          <cell r="B7971" t="str">
            <v>-</v>
          </cell>
          <cell r="E7971" t="str">
            <v/>
          </cell>
          <cell r="G7971" t="str">
            <v/>
          </cell>
          <cell r="J7971" t="str">
            <v/>
          </cell>
          <cell r="O7971" t="str">
            <v/>
          </cell>
          <cell r="P7971" t="str">
            <v/>
          </cell>
          <cell r="Q7971" t="str">
            <v/>
          </cell>
          <cell r="S7971" t="str">
            <v/>
          </cell>
          <cell r="V7971" t="str">
            <v/>
          </cell>
          <cell r="Z7971" t="str">
            <v/>
          </cell>
          <cell r="AA7971" t="str">
            <v/>
          </cell>
          <cell r="AB7971" t="str">
            <v/>
          </cell>
          <cell r="AC7971" t="str">
            <v/>
          </cell>
          <cell r="AD7971" t="str">
            <v/>
          </cell>
          <cell r="AY7971" t="str">
            <v/>
          </cell>
          <cell r="AZ7971" t="str">
            <v/>
          </cell>
          <cell r="BA7971" t="str">
            <v/>
          </cell>
        </row>
        <row r="7972">
          <cell r="B7972" t="str">
            <v>-</v>
          </cell>
          <cell r="E7972" t="str">
            <v/>
          </cell>
          <cell r="G7972" t="str">
            <v/>
          </cell>
          <cell r="J7972" t="str">
            <v/>
          </cell>
          <cell r="O7972" t="str">
            <v/>
          </cell>
          <cell r="P7972" t="str">
            <v/>
          </cell>
          <cell r="Q7972" t="str">
            <v/>
          </cell>
          <cell r="S7972" t="str">
            <v/>
          </cell>
          <cell r="V7972" t="str">
            <v/>
          </cell>
          <cell r="Z7972" t="str">
            <v/>
          </cell>
          <cell r="AA7972" t="str">
            <v/>
          </cell>
          <cell r="AB7972" t="str">
            <v/>
          </cell>
          <cell r="AC7972" t="str">
            <v/>
          </cell>
          <cell r="AD7972" t="str">
            <v/>
          </cell>
          <cell r="AY7972" t="str">
            <v/>
          </cell>
          <cell r="AZ7972" t="str">
            <v/>
          </cell>
          <cell r="BA7972" t="str">
            <v/>
          </cell>
        </row>
        <row r="7973">
          <cell r="B7973" t="str">
            <v>-</v>
          </cell>
          <cell r="E7973" t="str">
            <v/>
          </cell>
          <cell r="G7973" t="str">
            <v/>
          </cell>
          <cell r="J7973" t="str">
            <v/>
          </cell>
          <cell r="O7973" t="str">
            <v/>
          </cell>
          <cell r="P7973" t="str">
            <v/>
          </cell>
          <cell r="Q7973" t="str">
            <v/>
          </cell>
          <cell r="S7973" t="str">
            <v/>
          </cell>
          <cell r="V7973" t="str">
            <v/>
          </cell>
          <cell r="Z7973" t="str">
            <v/>
          </cell>
          <cell r="AA7973" t="str">
            <v/>
          </cell>
          <cell r="AB7973" t="str">
            <v/>
          </cell>
          <cell r="AC7973" t="str">
            <v/>
          </cell>
          <cell r="AD7973" t="str">
            <v/>
          </cell>
          <cell r="AY7973" t="str">
            <v/>
          </cell>
          <cell r="AZ7973" t="str">
            <v/>
          </cell>
          <cell r="BA7973" t="str">
            <v/>
          </cell>
        </row>
        <row r="7974">
          <cell r="B7974" t="str">
            <v>-</v>
          </cell>
          <cell r="E7974" t="str">
            <v/>
          </cell>
          <cell r="G7974" t="str">
            <v/>
          </cell>
          <cell r="J7974" t="str">
            <v/>
          </cell>
          <cell r="O7974" t="str">
            <v/>
          </cell>
          <cell r="P7974" t="str">
            <v/>
          </cell>
          <cell r="Q7974" t="str">
            <v/>
          </cell>
          <cell r="S7974" t="str">
            <v/>
          </cell>
          <cell r="V7974" t="str">
            <v/>
          </cell>
          <cell r="Z7974" t="str">
            <v/>
          </cell>
          <cell r="AA7974" t="str">
            <v/>
          </cell>
          <cell r="AB7974" t="str">
            <v/>
          </cell>
          <cell r="AC7974" t="str">
            <v/>
          </cell>
          <cell r="AD7974" t="str">
            <v/>
          </cell>
          <cell r="AY7974" t="str">
            <v/>
          </cell>
          <cell r="AZ7974" t="str">
            <v/>
          </cell>
          <cell r="BA7974" t="str">
            <v/>
          </cell>
        </row>
        <row r="7975">
          <cell r="B7975" t="str">
            <v>-</v>
          </cell>
          <cell r="E7975" t="str">
            <v/>
          </cell>
          <cell r="G7975" t="str">
            <v/>
          </cell>
          <cell r="J7975" t="str">
            <v/>
          </cell>
          <cell r="O7975" t="str">
            <v/>
          </cell>
          <cell r="P7975" t="str">
            <v/>
          </cell>
          <cell r="Q7975" t="str">
            <v/>
          </cell>
          <cell r="S7975" t="str">
            <v/>
          </cell>
          <cell r="V7975" t="str">
            <v/>
          </cell>
          <cell r="Z7975" t="str">
            <v/>
          </cell>
          <cell r="AA7975" t="str">
            <v/>
          </cell>
          <cell r="AB7975" t="str">
            <v/>
          </cell>
          <cell r="AC7975" t="str">
            <v/>
          </cell>
          <cell r="AD7975" t="str">
            <v/>
          </cell>
          <cell r="AY7975" t="str">
            <v/>
          </cell>
          <cell r="AZ7975" t="str">
            <v/>
          </cell>
          <cell r="BA7975" t="str">
            <v/>
          </cell>
        </row>
        <row r="7976">
          <cell r="B7976" t="str">
            <v>-</v>
          </cell>
          <cell r="E7976" t="str">
            <v/>
          </cell>
          <cell r="G7976" t="str">
            <v/>
          </cell>
          <cell r="J7976" t="str">
            <v/>
          </cell>
          <cell r="O7976" t="str">
            <v/>
          </cell>
          <cell r="P7976" t="str">
            <v/>
          </cell>
          <cell r="Q7976" t="str">
            <v/>
          </cell>
          <cell r="S7976" t="str">
            <v/>
          </cell>
          <cell r="V7976" t="str">
            <v/>
          </cell>
          <cell r="Z7976" t="str">
            <v/>
          </cell>
          <cell r="AA7976" t="str">
            <v/>
          </cell>
          <cell r="AB7976" t="str">
            <v/>
          </cell>
          <cell r="AC7976" t="str">
            <v/>
          </cell>
          <cell r="AD7976" t="str">
            <v/>
          </cell>
          <cell r="AY7976" t="str">
            <v/>
          </cell>
          <cell r="AZ7976" t="str">
            <v/>
          </cell>
          <cell r="BA7976" t="str">
            <v/>
          </cell>
        </row>
        <row r="7977">
          <cell r="B7977" t="str">
            <v>-</v>
          </cell>
          <cell r="E7977" t="str">
            <v/>
          </cell>
          <cell r="G7977" t="str">
            <v/>
          </cell>
          <cell r="J7977" t="str">
            <v/>
          </cell>
          <cell r="O7977" t="str">
            <v/>
          </cell>
          <cell r="P7977" t="str">
            <v/>
          </cell>
          <cell r="Q7977" t="str">
            <v/>
          </cell>
          <cell r="S7977" t="str">
            <v/>
          </cell>
          <cell r="V7977" t="str">
            <v/>
          </cell>
          <cell r="Z7977" t="str">
            <v/>
          </cell>
          <cell r="AA7977" t="str">
            <v/>
          </cell>
          <cell r="AB7977" t="str">
            <v/>
          </cell>
          <cell r="AC7977" t="str">
            <v/>
          </cell>
          <cell r="AD7977" t="str">
            <v/>
          </cell>
          <cell r="AY7977" t="str">
            <v/>
          </cell>
          <cell r="AZ7977" t="str">
            <v/>
          </cell>
          <cell r="BA7977" t="str">
            <v/>
          </cell>
        </row>
        <row r="7978">
          <cell r="B7978" t="str">
            <v>-</v>
          </cell>
          <cell r="E7978" t="str">
            <v/>
          </cell>
          <cell r="G7978" t="str">
            <v/>
          </cell>
          <cell r="J7978" t="str">
            <v/>
          </cell>
          <cell r="O7978" t="str">
            <v/>
          </cell>
          <cell r="P7978" t="str">
            <v/>
          </cell>
          <cell r="Q7978" t="str">
            <v/>
          </cell>
          <cell r="S7978" t="str">
            <v/>
          </cell>
          <cell r="V7978" t="str">
            <v/>
          </cell>
          <cell r="Z7978" t="str">
            <v/>
          </cell>
          <cell r="AA7978" t="str">
            <v/>
          </cell>
          <cell r="AB7978" t="str">
            <v/>
          </cell>
          <cell r="AC7978" t="str">
            <v/>
          </cell>
          <cell r="AD7978" t="str">
            <v/>
          </cell>
          <cell r="AY7978" t="str">
            <v/>
          </cell>
          <cell r="AZ7978" t="str">
            <v/>
          </cell>
          <cell r="BA7978" t="str">
            <v/>
          </cell>
        </row>
        <row r="7979">
          <cell r="B7979" t="str">
            <v>-</v>
          </cell>
          <cell r="E7979" t="str">
            <v/>
          </cell>
          <cell r="G7979" t="str">
            <v/>
          </cell>
          <cell r="J7979" t="str">
            <v/>
          </cell>
          <cell r="O7979" t="str">
            <v/>
          </cell>
          <cell r="P7979" t="str">
            <v/>
          </cell>
          <cell r="Q7979" t="str">
            <v/>
          </cell>
          <cell r="S7979" t="str">
            <v/>
          </cell>
          <cell r="V7979" t="str">
            <v/>
          </cell>
          <cell r="Z7979" t="str">
            <v/>
          </cell>
          <cell r="AA7979" t="str">
            <v/>
          </cell>
          <cell r="AB7979" t="str">
            <v/>
          </cell>
          <cell r="AC7979" t="str">
            <v/>
          </cell>
          <cell r="AD7979" t="str">
            <v/>
          </cell>
          <cell r="AY7979" t="str">
            <v/>
          </cell>
          <cell r="AZ7979" t="str">
            <v/>
          </cell>
          <cell r="BA7979" t="str">
            <v/>
          </cell>
        </row>
        <row r="7980">
          <cell r="B7980" t="str">
            <v>-</v>
          </cell>
          <cell r="E7980" t="str">
            <v/>
          </cell>
          <cell r="G7980" t="str">
            <v/>
          </cell>
          <cell r="J7980" t="str">
            <v/>
          </cell>
          <cell r="O7980" t="str">
            <v/>
          </cell>
          <cell r="P7980" t="str">
            <v/>
          </cell>
          <cell r="Q7980" t="str">
            <v/>
          </cell>
          <cell r="S7980" t="str">
            <v/>
          </cell>
          <cell r="V7980" t="str">
            <v/>
          </cell>
          <cell r="Z7980" t="str">
            <v/>
          </cell>
          <cell r="AA7980" t="str">
            <v/>
          </cell>
          <cell r="AB7980" t="str">
            <v/>
          </cell>
          <cell r="AC7980" t="str">
            <v/>
          </cell>
          <cell r="AD7980" t="str">
            <v/>
          </cell>
          <cell r="AY7980" t="str">
            <v/>
          </cell>
          <cell r="AZ7980" t="str">
            <v/>
          </cell>
          <cell r="BA7980" t="str">
            <v/>
          </cell>
        </row>
        <row r="7981">
          <cell r="B7981" t="str">
            <v>-</v>
          </cell>
          <cell r="E7981" t="str">
            <v/>
          </cell>
          <cell r="G7981" t="str">
            <v/>
          </cell>
          <cell r="J7981" t="str">
            <v/>
          </cell>
          <cell r="O7981" t="str">
            <v/>
          </cell>
          <cell r="P7981" t="str">
            <v/>
          </cell>
          <cell r="Q7981" t="str">
            <v/>
          </cell>
          <cell r="S7981" t="str">
            <v/>
          </cell>
          <cell r="V7981" t="str">
            <v/>
          </cell>
          <cell r="Z7981" t="str">
            <v/>
          </cell>
          <cell r="AA7981" t="str">
            <v/>
          </cell>
          <cell r="AB7981" t="str">
            <v/>
          </cell>
          <cell r="AC7981" t="str">
            <v/>
          </cell>
          <cell r="AD7981" t="str">
            <v/>
          </cell>
          <cell r="AY7981" t="str">
            <v/>
          </cell>
          <cell r="AZ7981" t="str">
            <v/>
          </cell>
          <cell r="BA7981" t="str">
            <v/>
          </cell>
        </row>
        <row r="7982">
          <cell r="B7982" t="str">
            <v>-</v>
          </cell>
          <cell r="E7982" t="str">
            <v/>
          </cell>
          <cell r="G7982" t="str">
            <v/>
          </cell>
          <cell r="J7982" t="str">
            <v/>
          </cell>
          <cell r="O7982" t="str">
            <v/>
          </cell>
          <cell r="P7982" t="str">
            <v/>
          </cell>
          <cell r="Q7982" t="str">
            <v/>
          </cell>
          <cell r="S7982" t="str">
            <v/>
          </cell>
          <cell r="V7982" t="str">
            <v/>
          </cell>
          <cell r="Z7982" t="str">
            <v/>
          </cell>
          <cell r="AA7982" t="str">
            <v/>
          </cell>
          <cell r="AB7982" t="str">
            <v/>
          </cell>
          <cell r="AC7982" t="str">
            <v/>
          </cell>
          <cell r="AD7982" t="str">
            <v/>
          </cell>
          <cell r="AY7982" t="str">
            <v/>
          </cell>
          <cell r="AZ7982" t="str">
            <v/>
          </cell>
          <cell r="BA7982" t="str">
            <v/>
          </cell>
        </row>
        <row r="7983">
          <cell r="B7983" t="str">
            <v>-</v>
          </cell>
          <cell r="E7983" t="str">
            <v/>
          </cell>
          <cell r="G7983" t="str">
            <v/>
          </cell>
          <cell r="J7983" t="str">
            <v/>
          </cell>
          <cell r="O7983" t="str">
            <v/>
          </cell>
          <cell r="P7983" t="str">
            <v/>
          </cell>
          <cell r="Q7983" t="str">
            <v/>
          </cell>
          <cell r="S7983" t="str">
            <v/>
          </cell>
          <cell r="V7983" t="str">
            <v/>
          </cell>
          <cell r="Z7983" t="str">
            <v/>
          </cell>
          <cell r="AA7983" t="str">
            <v/>
          </cell>
          <cell r="AB7983" t="str">
            <v/>
          </cell>
          <cell r="AC7983" t="str">
            <v/>
          </cell>
          <cell r="AD7983" t="str">
            <v/>
          </cell>
          <cell r="AY7983" t="str">
            <v/>
          </cell>
          <cell r="AZ7983" t="str">
            <v/>
          </cell>
          <cell r="BA7983" t="str">
            <v/>
          </cell>
        </row>
        <row r="7984">
          <cell r="B7984" t="str">
            <v>-</v>
          </cell>
          <cell r="E7984" t="str">
            <v/>
          </cell>
          <cell r="G7984" t="str">
            <v/>
          </cell>
          <cell r="J7984" t="str">
            <v/>
          </cell>
          <cell r="O7984" t="str">
            <v/>
          </cell>
          <cell r="P7984" t="str">
            <v/>
          </cell>
          <cell r="Q7984" t="str">
            <v/>
          </cell>
          <cell r="S7984" t="str">
            <v/>
          </cell>
          <cell r="V7984" t="str">
            <v/>
          </cell>
          <cell r="Z7984" t="str">
            <v/>
          </cell>
          <cell r="AA7984" t="str">
            <v/>
          </cell>
          <cell r="AB7984" t="str">
            <v/>
          </cell>
          <cell r="AC7984" t="str">
            <v/>
          </cell>
          <cell r="AD7984" t="str">
            <v/>
          </cell>
          <cell r="AY7984" t="str">
            <v/>
          </cell>
          <cell r="AZ7984" t="str">
            <v/>
          </cell>
          <cell r="BA7984" t="str">
            <v/>
          </cell>
        </row>
        <row r="7985">
          <cell r="B7985" t="str">
            <v>-</v>
          </cell>
          <cell r="E7985" t="str">
            <v/>
          </cell>
          <cell r="G7985" t="str">
            <v/>
          </cell>
          <cell r="J7985" t="str">
            <v/>
          </cell>
          <cell r="O7985" t="str">
            <v/>
          </cell>
          <cell r="P7985" t="str">
            <v/>
          </cell>
          <cell r="Q7985" t="str">
            <v/>
          </cell>
          <cell r="S7985" t="str">
            <v/>
          </cell>
          <cell r="V7985" t="str">
            <v/>
          </cell>
          <cell r="Z7985" t="str">
            <v/>
          </cell>
          <cell r="AA7985" t="str">
            <v/>
          </cell>
          <cell r="AB7985" t="str">
            <v/>
          </cell>
          <cell r="AC7985" t="str">
            <v/>
          </cell>
          <cell r="AD7985" t="str">
            <v/>
          </cell>
          <cell r="AY7985" t="str">
            <v/>
          </cell>
          <cell r="AZ7985" t="str">
            <v/>
          </cell>
          <cell r="BA7985" t="str">
            <v/>
          </cell>
        </row>
        <row r="7986">
          <cell r="B7986" t="str">
            <v>-</v>
          </cell>
          <cell r="E7986" t="str">
            <v/>
          </cell>
          <cell r="G7986" t="str">
            <v/>
          </cell>
          <cell r="J7986" t="str">
            <v/>
          </cell>
          <cell r="O7986" t="str">
            <v/>
          </cell>
          <cell r="P7986" t="str">
            <v/>
          </cell>
          <cell r="Q7986" t="str">
            <v/>
          </cell>
          <cell r="S7986" t="str">
            <v/>
          </cell>
          <cell r="V7986" t="str">
            <v/>
          </cell>
          <cell r="Z7986" t="str">
            <v/>
          </cell>
          <cell r="AA7986" t="str">
            <v/>
          </cell>
          <cell r="AB7986" t="str">
            <v/>
          </cell>
          <cell r="AC7986" t="str">
            <v/>
          </cell>
          <cell r="AD7986" t="str">
            <v/>
          </cell>
          <cell r="AY7986" t="str">
            <v/>
          </cell>
          <cell r="AZ7986" t="str">
            <v/>
          </cell>
          <cell r="BA7986" t="str">
            <v/>
          </cell>
        </row>
        <row r="7987">
          <cell r="B7987" t="str">
            <v>-</v>
          </cell>
          <cell r="E7987" t="str">
            <v/>
          </cell>
          <cell r="G7987" t="str">
            <v/>
          </cell>
          <cell r="J7987" t="str">
            <v/>
          </cell>
          <cell r="O7987" t="str">
            <v/>
          </cell>
          <cell r="P7987" t="str">
            <v/>
          </cell>
          <cell r="Q7987" t="str">
            <v/>
          </cell>
          <cell r="S7987" t="str">
            <v/>
          </cell>
          <cell r="V7987" t="str">
            <v/>
          </cell>
          <cell r="Z7987" t="str">
            <v/>
          </cell>
          <cell r="AA7987" t="str">
            <v/>
          </cell>
          <cell r="AB7987" t="str">
            <v/>
          </cell>
          <cell r="AC7987" t="str">
            <v/>
          </cell>
          <cell r="AD7987" t="str">
            <v/>
          </cell>
          <cell r="AY7987" t="str">
            <v/>
          </cell>
          <cell r="AZ7987" t="str">
            <v/>
          </cell>
          <cell r="BA7987" t="str">
            <v/>
          </cell>
        </row>
        <row r="7988">
          <cell r="B7988" t="str">
            <v>-</v>
          </cell>
          <cell r="E7988" t="str">
            <v/>
          </cell>
          <cell r="G7988" t="str">
            <v/>
          </cell>
          <cell r="J7988" t="str">
            <v/>
          </cell>
          <cell r="O7988" t="str">
            <v/>
          </cell>
          <cell r="P7988" t="str">
            <v/>
          </cell>
          <cell r="Q7988" t="str">
            <v/>
          </cell>
          <cell r="S7988" t="str">
            <v/>
          </cell>
          <cell r="V7988" t="str">
            <v/>
          </cell>
          <cell r="Z7988" t="str">
            <v/>
          </cell>
          <cell r="AA7988" t="str">
            <v/>
          </cell>
          <cell r="AB7988" t="str">
            <v/>
          </cell>
          <cell r="AC7988" t="str">
            <v/>
          </cell>
          <cell r="AD7988" t="str">
            <v/>
          </cell>
          <cell r="AY7988" t="str">
            <v/>
          </cell>
          <cell r="AZ7988" t="str">
            <v/>
          </cell>
          <cell r="BA7988" t="str">
            <v/>
          </cell>
        </row>
        <row r="7989">
          <cell r="B7989" t="str">
            <v>-</v>
          </cell>
          <cell r="E7989" t="str">
            <v/>
          </cell>
          <cell r="G7989" t="str">
            <v/>
          </cell>
          <cell r="J7989" t="str">
            <v/>
          </cell>
          <cell r="O7989" t="str">
            <v/>
          </cell>
          <cell r="P7989" t="str">
            <v/>
          </cell>
          <cell r="Q7989" t="str">
            <v/>
          </cell>
          <cell r="S7989" t="str">
            <v/>
          </cell>
          <cell r="V7989" t="str">
            <v/>
          </cell>
          <cell r="Z7989" t="str">
            <v/>
          </cell>
          <cell r="AA7989" t="str">
            <v/>
          </cell>
          <cell r="AB7989" t="str">
            <v/>
          </cell>
          <cell r="AC7989" t="str">
            <v/>
          </cell>
          <cell r="AD7989" t="str">
            <v/>
          </cell>
          <cell r="AY7989" t="str">
            <v/>
          </cell>
          <cell r="AZ7989" t="str">
            <v/>
          </cell>
          <cell r="BA7989" t="str">
            <v/>
          </cell>
        </row>
        <row r="7990">
          <cell r="B7990" t="str">
            <v>-</v>
          </cell>
          <cell r="E7990" t="str">
            <v/>
          </cell>
          <cell r="G7990" t="str">
            <v/>
          </cell>
          <cell r="J7990" t="str">
            <v/>
          </cell>
          <cell r="O7990" t="str">
            <v/>
          </cell>
          <cell r="P7990" t="str">
            <v/>
          </cell>
          <cell r="Q7990" t="str">
            <v/>
          </cell>
          <cell r="S7990" t="str">
            <v/>
          </cell>
          <cell r="V7990" t="str">
            <v/>
          </cell>
          <cell r="Z7990" t="str">
            <v/>
          </cell>
          <cell r="AA7990" t="str">
            <v/>
          </cell>
          <cell r="AB7990" t="str">
            <v/>
          </cell>
          <cell r="AC7990" t="str">
            <v/>
          </cell>
          <cell r="AD7990" t="str">
            <v/>
          </cell>
          <cell r="AY7990" t="str">
            <v/>
          </cell>
          <cell r="AZ7990" t="str">
            <v/>
          </cell>
          <cell r="BA7990" t="str">
            <v/>
          </cell>
        </row>
        <row r="7991">
          <cell r="B7991" t="str">
            <v>-</v>
          </cell>
          <cell r="E7991" t="str">
            <v/>
          </cell>
          <cell r="G7991" t="str">
            <v/>
          </cell>
          <cell r="J7991" t="str">
            <v/>
          </cell>
          <cell r="O7991" t="str">
            <v/>
          </cell>
          <cell r="P7991" t="str">
            <v/>
          </cell>
          <cell r="Q7991" t="str">
            <v/>
          </cell>
          <cell r="S7991" t="str">
            <v/>
          </cell>
          <cell r="V7991" t="str">
            <v/>
          </cell>
          <cell r="Z7991" t="str">
            <v/>
          </cell>
          <cell r="AA7991" t="str">
            <v/>
          </cell>
          <cell r="AB7991" t="str">
            <v/>
          </cell>
          <cell r="AC7991" t="str">
            <v/>
          </cell>
          <cell r="AD7991" t="str">
            <v/>
          </cell>
          <cell r="AY7991" t="str">
            <v/>
          </cell>
          <cell r="AZ7991" t="str">
            <v/>
          </cell>
          <cell r="BA7991" t="str">
            <v/>
          </cell>
        </row>
        <row r="7992">
          <cell r="B7992" t="str">
            <v>-</v>
          </cell>
          <cell r="E7992" t="str">
            <v/>
          </cell>
          <cell r="G7992" t="str">
            <v/>
          </cell>
          <cell r="J7992" t="str">
            <v/>
          </cell>
          <cell r="O7992" t="str">
            <v/>
          </cell>
          <cell r="P7992" t="str">
            <v/>
          </cell>
          <cell r="Q7992" t="str">
            <v/>
          </cell>
          <cell r="S7992" t="str">
            <v/>
          </cell>
          <cell r="V7992" t="str">
            <v/>
          </cell>
          <cell r="Z7992" t="str">
            <v/>
          </cell>
          <cell r="AA7992" t="str">
            <v/>
          </cell>
          <cell r="AB7992" t="str">
            <v/>
          </cell>
          <cell r="AC7992" t="str">
            <v/>
          </cell>
          <cell r="AD7992" t="str">
            <v/>
          </cell>
          <cell r="AY7992" t="str">
            <v/>
          </cell>
          <cell r="AZ7992" t="str">
            <v/>
          </cell>
          <cell r="BA7992" t="str">
            <v/>
          </cell>
        </row>
        <row r="7993">
          <cell r="B7993" t="str">
            <v>-</v>
          </cell>
          <cell r="E7993" t="str">
            <v/>
          </cell>
          <cell r="G7993" t="str">
            <v/>
          </cell>
          <cell r="J7993" t="str">
            <v/>
          </cell>
          <cell r="O7993" t="str">
            <v/>
          </cell>
          <cell r="P7993" t="str">
            <v/>
          </cell>
          <cell r="Q7993" t="str">
            <v/>
          </cell>
          <cell r="S7993" t="str">
            <v/>
          </cell>
          <cell r="V7993" t="str">
            <v/>
          </cell>
          <cell r="Z7993" t="str">
            <v/>
          </cell>
          <cell r="AA7993" t="str">
            <v/>
          </cell>
          <cell r="AB7993" t="str">
            <v/>
          </cell>
          <cell r="AC7993" t="str">
            <v/>
          </cell>
          <cell r="AD7993" t="str">
            <v/>
          </cell>
          <cell r="AY7993" t="str">
            <v/>
          </cell>
          <cell r="AZ7993" t="str">
            <v/>
          </cell>
          <cell r="BA7993" t="str">
            <v/>
          </cell>
        </row>
        <row r="7994">
          <cell r="B7994" t="str">
            <v>-</v>
          </cell>
          <cell r="E7994" t="str">
            <v/>
          </cell>
          <cell r="G7994" t="str">
            <v/>
          </cell>
          <cell r="J7994" t="str">
            <v/>
          </cell>
          <cell r="O7994" t="str">
            <v/>
          </cell>
          <cell r="P7994" t="str">
            <v/>
          </cell>
          <cell r="Q7994" t="str">
            <v/>
          </cell>
          <cell r="S7994" t="str">
            <v/>
          </cell>
          <cell r="V7994" t="str">
            <v/>
          </cell>
          <cell r="Z7994" t="str">
            <v/>
          </cell>
          <cell r="AA7994" t="str">
            <v/>
          </cell>
          <cell r="AB7994" t="str">
            <v/>
          </cell>
          <cell r="AC7994" t="str">
            <v/>
          </cell>
          <cell r="AD7994" t="str">
            <v/>
          </cell>
          <cell r="AY7994" t="str">
            <v/>
          </cell>
          <cell r="AZ7994" t="str">
            <v/>
          </cell>
          <cell r="BA7994" t="str">
            <v/>
          </cell>
        </row>
        <row r="7995">
          <cell r="B7995" t="str">
            <v>-</v>
          </cell>
          <cell r="E7995" t="str">
            <v/>
          </cell>
          <cell r="G7995" t="str">
            <v/>
          </cell>
          <cell r="J7995" t="str">
            <v/>
          </cell>
          <cell r="O7995" t="str">
            <v/>
          </cell>
          <cell r="P7995" t="str">
            <v/>
          </cell>
          <cell r="Q7995" t="str">
            <v/>
          </cell>
          <cell r="S7995" t="str">
            <v/>
          </cell>
          <cell r="V7995" t="str">
            <v/>
          </cell>
          <cell r="Z7995" t="str">
            <v/>
          </cell>
          <cell r="AA7995" t="str">
            <v/>
          </cell>
          <cell r="AB7995" t="str">
            <v/>
          </cell>
          <cell r="AC7995" t="str">
            <v/>
          </cell>
          <cell r="AD7995" t="str">
            <v/>
          </cell>
          <cell r="AY7995" t="str">
            <v/>
          </cell>
          <cell r="AZ7995" t="str">
            <v/>
          </cell>
          <cell r="BA7995" t="str">
            <v/>
          </cell>
        </row>
        <row r="7996">
          <cell r="B7996" t="str">
            <v>-</v>
          </cell>
          <cell r="E7996" t="str">
            <v/>
          </cell>
          <cell r="G7996" t="str">
            <v/>
          </cell>
          <cell r="J7996" t="str">
            <v/>
          </cell>
          <cell r="O7996" t="str">
            <v/>
          </cell>
          <cell r="P7996" t="str">
            <v/>
          </cell>
          <cell r="Q7996" t="str">
            <v/>
          </cell>
          <cell r="S7996" t="str">
            <v/>
          </cell>
          <cell r="V7996" t="str">
            <v/>
          </cell>
          <cell r="Z7996" t="str">
            <v/>
          </cell>
          <cell r="AA7996" t="str">
            <v/>
          </cell>
          <cell r="AB7996" t="str">
            <v/>
          </cell>
          <cell r="AC7996" t="str">
            <v/>
          </cell>
          <cell r="AD7996" t="str">
            <v/>
          </cell>
          <cell r="AY7996" t="str">
            <v/>
          </cell>
          <cell r="AZ7996" t="str">
            <v/>
          </cell>
          <cell r="BA7996" t="str">
            <v/>
          </cell>
        </row>
        <row r="7997">
          <cell r="B7997" t="str">
            <v>-</v>
          </cell>
          <cell r="E7997" t="str">
            <v/>
          </cell>
          <cell r="G7997" t="str">
            <v/>
          </cell>
          <cell r="J7997" t="str">
            <v/>
          </cell>
          <cell r="O7997" t="str">
            <v/>
          </cell>
          <cell r="P7997" t="str">
            <v/>
          </cell>
          <cell r="Q7997" t="str">
            <v/>
          </cell>
          <cell r="S7997" t="str">
            <v/>
          </cell>
          <cell r="V7997" t="str">
            <v/>
          </cell>
          <cell r="Z7997" t="str">
            <v/>
          </cell>
          <cell r="AA7997" t="str">
            <v/>
          </cell>
          <cell r="AB7997" t="str">
            <v/>
          </cell>
          <cell r="AC7997" t="str">
            <v/>
          </cell>
          <cell r="AD7997" t="str">
            <v/>
          </cell>
          <cell r="AY7997" t="str">
            <v/>
          </cell>
          <cell r="AZ7997" t="str">
            <v/>
          </cell>
          <cell r="BA7997" t="str">
            <v/>
          </cell>
        </row>
        <row r="7998">
          <cell r="B7998" t="str">
            <v>-</v>
          </cell>
          <cell r="E7998" t="str">
            <v/>
          </cell>
          <cell r="G7998" t="str">
            <v/>
          </cell>
          <cell r="J7998" t="str">
            <v/>
          </cell>
          <cell r="O7998" t="str">
            <v/>
          </cell>
          <cell r="P7998" t="str">
            <v/>
          </cell>
          <cell r="Q7998" t="str">
            <v/>
          </cell>
          <cell r="S7998" t="str">
            <v/>
          </cell>
          <cell r="V7998" t="str">
            <v/>
          </cell>
          <cell r="Z7998" t="str">
            <v/>
          </cell>
          <cell r="AA7998" t="str">
            <v/>
          </cell>
          <cell r="AB7998" t="str">
            <v/>
          </cell>
          <cell r="AC7998" t="str">
            <v/>
          </cell>
          <cell r="AD7998" t="str">
            <v/>
          </cell>
          <cell r="AY7998" t="str">
            <v/>
          </cell>
          <cell r="AZ7998" t="str">
            <v/>
          </cell>
          <cell r="BA7998" t="str">
            <v/>
          </cell>
        </row>
        <row r="7999">
          <cell r="B7999" t="str">
            <v>-</v>
          </cell>
          <cell r="E7999" t="str">
            <v/>
          </cell>
          <cell r="G7999" t="str">
            <v/>
          </cell>
          <cell r="J7999" t="str">
            <v/>
          </cell>
          <cell r="O7999" t="str">
            <v/>
          </cell>
          <cell r="P7999" t="str">
            <v/>
          </cell>
          <cell r="Q7999" t="str">
            <v/>
          </cell>
          <cell r="S7999" t="str">
            <v/>
          </cell>
          <cell r="V7999" t="str">
            <v/>
          </cell>
          <cell r="Z7999" t="str">
            <v/>
          </cell>
          <cell r="AA7999" t="str">
            <v/>
          </cell>
          <cell r="AB7999" t="str">
            <v/>
          </cell>
          <cell r="AC7999" t="str">
            <v/>
          </cell>
          <cell r="AD7999" t="str">
            <v/>
          </cell>
          <cell r="AY7999" t="str">
            <v/>
          </cell>
          <cell r="AZ7999" t="str">
            <v/>
          </cell>
          <cell r="BA7999" t="str">
            <v/>
          </cell>
        </row>
        <row r="8000">
          <cell r="B8000" t="str">
            <v>-</v>
          </cell>
          <cell r="E8000" t="str">
            <v/>
          </cell>
          <cell r="G8000" t="str">
            <v/>
          </cell>
          <cell r="J8000" t="str">
            <v/>
          </cell>
          <cell r="O8000" t="str">
            <v/>
          </cell>
          <cell r="P8000" t="str">
            <v/>
          </cell>
          <cell r="Q8000" t="str">
            <v/>
          </cell>
          <cell r="S8000" t="str">
            <v/>
          </cell>
          <cell r="V8000" t="str">
            <v/>
          </cell>
          <cell r="Z8000" t="str">
            <v/>
          </cell>
          <cell r="AA8000" t="str">
            <v/>
          </cell>
          <cell r="AB8000" t="str">
            <v/>
          </cell>
          <cell r="AC8000" t="str">
            <v/>
          </cell>
          <cell r="AD8000" t="str">
            <v/>
          </cell>
          <cell r="AY8000" t="str">
            <v/>
          </cell>
          <cell r="AZ8000" t="str">
            <v/>
          </cell>
          <cell r="BA8000" t="str">
            <v/>
          </cell>
        </row>
        <row r="8001">
          <cell r="B8001" t="str">
            <v>-</v>
          </cell>
          <cell r="E8001" t="str">
            <v/>
          </cell>
          <cell r="G8001" t="str">
            <v/>
          </cell>
          <cell r="J8001" t="str">
            <v/>
          </cell>
          <cell r="O8001" t="str">
            <v/>
          </cell>
          <cell r="P8001" t="str">
            <v/>
          </cell>
          <cell r="Q8001" t="str">
            <v/>
          </cell>
          <cell r="S8001" t="str">
            <v/>
          </cell>
          <cell r="V8001" t="str">
            <v/>
          </cell>
          <cell r="Z8001" t="str">
            <v/>
          </cell>
          <cell r="AA8001" t="str">
            <v/>
          </cell>
          <cell r="AB8001" t="str">
            <v/>
          </cell>
          <cell r="AC8001" t="str">
            <v/>
          </cell>
          <cell r="AD8001" t="str">
            <v/>
          </cell>
          <cell r="AY8001" t="str">
            <v/>
          </cell>
          <cell r="AZ8001" t="str">
            <v/>
          </cell>
          <cell r="BA8001" t="str">
            <v/>
          </cell>
        </row>
        <row r="8002">
          <cell r="B8002" t="str">
            <v>-</v>
          </cell>
          <cell r="E8002" t="str">
            <v/>
          </cell>
          <cell r="G8002" t="str">
            <v/>
          </cell>
          <cell r="J8002" t="str">
            <v/>
          </cell>
          <cell r="O8002" t="str">
            <v/>
          </cell>
          <cell r="P8002" t="str">
            <v/>
          </cell>
          <cell r="Q8002" t="str">
            <v/>
          </cell>
          <cell r="S8002" t="str">
            <v/>
          </cell>
          <cell r="V8002" t="str">
            <v/>
          </cell>
          <cell r="Z8002" t="str">
            <v/>
          </cell>
          <cell r="AA8002" t="str">
            <v/>
          </cell>
          <cell r="AB8002" t="str">
            <v/>
          </cell>
          <cell r="AC8002" t="str">
            <v/>
          </cell>
          <cell r="AD8002" t="str">
            <v/>
          </cell>
          <cell r="AY8002" t="str">
            <v/>
          </cell>
          <cell r="AZ8002" t="str">
            <v/>
          </cell>
          <cell r="BA8002" t="str">
            <v/>
          </cell>
        </row>
        <row r="8003">
          <cell r="B8003" t="str">
            <v>-</v>
          </cell>
          <cell r="E8003" t="str">
            <v/>
          </cell>
          <cell r="G8003" t="str">
            <v/>
          </cell>
          <cell r="J8003" t="str">
            <v/>
          </cell>
          <cell r="O8003" t="str">
            <v/>
          </cell>
          <cell r="P8003" t="str">
            <v/>
          </cell>
          <cell r="Q8003" t="str">
            <v/>
          </cell>
          <cell r="S8003" t="str">
            <v/>
          </cell>
          <cell r="V8003" t="str">
            <v/>
          </cell>
          <cell r="Z8003" t="str">
            <v/>
          </cell>
          <cell r="AA8003" t="str">
            <v/>
          </cell>
          <cell r="AB8003" t="str">
            <v/>
          </cell>
          <cell r="AC8003" t="str">
            <v/>
          </cell>
          <cell r="AD8003" t="str">
            <v/>
          </cell>
          <cell r="AY8003" t="str">
            <v/>
          </cell>
          <cell r="AZ8003" t="str">
            <v/>
          </cell>
          <cell r="BA8003" t="str">
            <v/>
          </cell>
        </row>
        <row r="8004">
          <cell r="B8004" t="str">
            <v>-</v>
          </cell>
          <cell r="E8004" t="str">
            <v/>
          </cell>
          <cell r="G8004" t="str">
            <v/>
          </cell>
          <cell r="J8004" t="str">
            <v/>
          </cell>
          <cell r="O8004" t="str">
            <v/>
          </cell>
          <cell r="P8004" t="str">
            <v/>
          </cell>
          <cell r="Q8004" t="str">
            <v/>
          </cell>
          <cell r="S8004" t="str">
            <v/>
          </cell>
          <cell r="V8004" t="str">
            <v/>
          </cell>
          <cell r="Z8004" t="str">
            <v/>
          </cell>
          <cell r="AA8004" t="str">
            <v/>
          </cell>
          <cell r="AB8004" t="str">
            <v/>
          </cell>
          <cell r="AC8004" t="str">
            <v/>
          </cell>
          <cell r="AD8004" t="str">
            <v/>
          </cell>
          <cell r="AY8004" t="str">
            <v/>
          </cell>
          <cell r="AZ8004" t="str">
            <v/>
          </cell>
          <cell r="BA8004" t="str">
            <v/>
          </cell>
        </row>
        <row r="8005">
          <cell r="B8005" t="str">
            <v>-</v>
          </cell>
          <cell r="E8005" t="str">
            <v/>
          </cell>
          <cell r="G8005" t="str">
            <v/>
          </cell>
          <cell r="J8005" t="str">
            <v/>
          </cell>
          <cell r="O8005" t="str">
            <v/>
          </cell>
          <cell r="P8005" t="str">
            <v/>
          </cell>
          <cell r="Q8005" t="str">
            <v/>
          </cell>
          <cell r="S8005" t="str">
            <v/>
          </cell>
          <cell r="V8005" t="str">
            <v/>
          </cell>
          <cell r="Z8005" t="str">
            <v/>
          </cell>
          <cell r="AA8005" t="str">
            <v/>
          </cell>
          <cell r="AB8005" t="str">
            <v/>
          </cell>
          <cell r="AC8005" t="str">
            <v/>
          </cell>
          <cell r="AD8005" t="str">
            <v/>
          </cell>
          <cell r="AY8005" t="str">
            <v/>
          </cell>
          <cell r="AZ8005" t="str">
            <v/>
          </cell>
          <cell r="BA8005" t="str">
            <v/>
          </cell>
        </row>
        <row r="8006">
          <cell r="B8006" t="str">
            <v>-</v>
          </cell>
          <cell r="E8006" t="str">
            <v/>
          </cell>
          <cell r="G8006" t="str">
            <v/>
          </cell>
          <cell r="J8006" t="str">
            <v/>
          </cell>
          <cell r="O8006" t="str">
            <v/>
          </cell>
          <cell r="P8006" t="str">
            <v/>
          </cell>
          <cell r="Q8006" t="str">
            <v/>
          </cell>
          <cell r="S8006" t="str">
            <v/>
          </cell>
          <cell r="V8006" t="str">
            <v/>
          </cell>
          <cell r="Z8006" t="str">
            <v/>
          </cell>
          <cell r="AA8006" t="str">
            <v/>
          </cell>
          <cell r="AB8006" t="str">
            <v/>
          </cell>
          <cell r="AC8006" t="str">
            <v/>
          </cell>
          <cell r="AD8006" t="str">
            <v/>
          </cell>
          <cell r="AY8006" t="str">
            <v/>
          </cell>
          <cell r="AZ8006" t="str">
            <v/>
          </cell>
          <cell r="BA8006" t="str">
            <v/>
          </cell>
        </row>
        <row r="8007">
          <cell r="B8007" t="str">
            <v>-</v>
          </cell>
          <cell r="E8007" t="str">
            <v/>
          </cell>
          <cell r="G8007" t="str">
            <v/>
          </cell>
          <cell r="J8007" t="str">
            <v/>
          </cell>
          <cell r="O8007" t="str">
            <v/>
          </cell>
          <cell r="P8007" t="str">
            <v/>
          </cell>
          <cell r="Q8007" t="str">
            <v/>
          </cell>
          <cell r="S8007" t="str">
            <v/>
          </cell>
          <cell r="V8007" t="str">
            <v/>
          </cell>
          <cell r="Z8007" t="str">
            <v/>
          </cell>
          <cell r="AA8007" t="str">
            <v/>
          </cell>
          <cell r="AB8007" t="str">
            <v/>
          </cell>
          <cell r="AC8007" t="str">
            <v/>
          </cell>
          <cell r="AD8007" t="str">
            <v/>
          </cell>
          <cell r="AY8007" t="str">
            <v/>
          </cell>
          <cell r="AZ8007" t="str">
            <v/>
          </cell>
          <cell r="BA8007" t="str">
            <v/>
          </cell>
        </row>
        <row r="8008">
          <cell r="B8008" t="str">
            <v>-</v>
          </cell>
          <cell r="E8008" t="str">
            <v/>
          </cell>
          <cell r="G8008" t="str">
            <v/>
          </cell>
          <cell r="J8008" t="str">
            <v/>
          </cell>
          <cell r="O8008" t="str">
            <v/>
          </cell>
          <cell r="P8008" t="str">
            <v/>
          </cell>
          <cell r="Q8008" t="str">
            <v/>
          </cell>
          <cell r="S8008" t="str">
            <v/>
          </cell>
          <cell r="V8008" t="str">
            <v/>
          </cell>
          <cell r="Z8008" t="str">
            <v/>
          </cell>
          <cell r="AA8008" t="str">
            <v/>
          </cell>
          <cell r="AB8008" t="str">
            <v/>
          </cell>
          <cell r="AC8008" t="str">
            <v/>
          </cell>
          <cell r="AD8008" t="str">
            <v/>
          </cell>
          <cell r="AY8008" t="str">
            <v/>
          </cell>
          <cell r="AZ8008" t="str">
            <v/>
          </cell>
          <cell r="BA8008" t="str">
            <v/>
          </cell>
        </row>
        <row r="8009">
          <cell r="B8009" t="str">
            <v>-</v>
          </cell>
          <cell r="E8009" t="str">
            <v/>
          </cell>
          <cell r="G8009" t="str">
            <v/>
          </cell>
          <cell r="J8009" t="str">
            <v/>
          </cell>
          <cell r="O8009" t="str">
            <v/>
          </cell>
          <cell r="P8009" t="str">
            <v/>
          </cell>
          <cell r="Q8009" t="str">
            <v/>
          </cell>
          <cell r="S8009" t="str">
            <v/>
          </cell>
          <cell r="V8009" t="str">
            <v/>
          </cell>
          <cell r="Z8009" t="str">
            <v/>
          </cell>
          <cell r="AA8009" t="str">
            <v/>
          </cell>
          <cell r="AB8009" t="str">
            <v/>
          </cell>
          <cell r="AC8009" t="str">
            <v/>
          </cell>
          <cell r="AD8009" t="str">
            <v/>
          </cell>
          <cell r="AY8009" t="str">
            <v/>
          </cell>
          <cell r="AZ8009" t="str">
            <v/>
          </cell>
          <cell r="BA8009" t="str">
            <v/>
          </cell>
        </row>
        <row r="8010">
          <cell r="B8010" t="str">
            <v>-</v>
          </cell>
          <cell r="E8010" t="str">
            <v/>
          </cell>
          <cell r="G8010" t="str">
            <v/>
          </cell>
          <cell r="J8010" t="str">
            <v/>
          </cell>
          <cell r="O8010" t="str">
            <v/>
          </cell>
          <cell r="P8010" t="str">
            <v/>
          </cell>
          <cell r="Q8010" t="str">
            <v/>
          </cell>
          <cell r="S8010" t="str">
            <v/>
          </cell>
          <cell r="V8010" t="str">
            <v/>
          </cell>
          <cell r="Z8010" t="str">
            <v/>
          </cell>
          <cell r="AA8010" t="str">
            <v/>
          </cell>
          <cell r="AB8010" t="str">
            <v/>
          </cell>
          <cell r="AC8010" t="str">
            <v/>
          </cell>
          <cell r="AD8010" t="str">
            <v/>
          </cell>
          <cell r="AY8010" t="str">
            <v/>
          </cell>
          <cell r="AZ8010" t="str">
            <v/>
          </cell>
          <cell r="BA8010" t="str">
            <v/>
          </cell>
        </row>
        <row r="8011">
          <cell r="B8011" t="str">
            <v>-</v>
          </cell>
          <cell r="E8011" t="str">
            <v/>
          </cell>
          <cell r="G8011" t="str">
            <v/>
          </cell>
          <cell r="J8011" t="str">
            <v/>
          </cell>
          <cell r="O8011" t="str">
            <v/>
          </cell>
          <cell r="P8011" t="str">
            <v/>
          </cell>
          <cell r="Q8011" t="str">
            <v/>
          </cell>
          <cell r="S8011" t="str">
            <v/>
          </cell>
          <cell r="V8011" t="str">
            <v/>
          </cell>
          <cell r="Z8011" t="str">
            <v/>
          </cell>
          <cell r="AA8011" t="str">
            <v/>
          </cell>
          <cell r="AB8011" t="str">
            <v/>
          </cell>
          <cell r="AC8011" t="str">
            <v/>
          </cell>
          <cell r="AD8011" t="str">
            <v/>
          </cell>
          <cell r="AY8011" t="str">
            <v/>
          </cell>
          <cell r="AZ8011" t="str">
            <v/>
          </cell>
          <cell r="BA8011" t="str">
            <v/>
          </cell>
        </row>
        <row r="8012">
          <cell r="B8012" t="str">
            <v>-</v>
          </cell>
          <cell r="E8012" t="str">
            <v/>
          </cell>
          <cell r="G8012" t="str">
            <v/>
          </cell>
          <cell r="J8012" t="str">
            <v/>
          </cell>
          <cell r="O8012" t="str">
            <v/>
          </cell>
          <cell r="P8012" t="str">
            <v/>
          </cell>
          <cell r="Q8012" t="str">
            <v/>
          </cell>
          <cell r="S8012" t="str">
            <v/>
          </cell>
          <cell r="V8012" t="str">
            <v/>
          </cell>
          <cell r="Z8012" t="str">
            <v/>
          </cell>
          <cell r="AA8012" t="str">
            <v/>
          </cell>
          <cell r="AB8012" t="str">
            <v/>
          </cell>
          <cell r="AC8012" t="str">
            <v/>
          </cell>
          <cell r="AD8012" t="str">
            <v/>
          </cell>
          <cell r="AY8012" t="str">
            <v/>
          </cell>
          <cell r="AZ8012" t="str">
            <v/>
          </cell>
          <cell r="BA8012" t="str">
            <v/>
          </cell>
        </row>
        <row r="8013">
          <cell r="B8013" t="str">
            <v>-</v>
          </cell>
          <cell r="E8013" t="str">
            <v/>
          </cell>
          <cell r="G8013" t="str">
            <v/>
          </cell>
          <cell r="J8013" t="str">
            <v/>
          </cell>
          <cell r="O8013" t="str">
            <v/>
          </cell>
          <cell r="P8013" t="str">
            <v/>
          </cell>
          <cell r="Q8013" t="str">
            <v/>
          </cell>
          <cell r="S8013" t="str">
            <v/>
          </cell>
          <cell r="V8013" t="str">
            <v/>
          </cell>
          <cell r="Z8013" t="str">
            <v/>
          </cell>
          <cell r="AA8013" t="str">
            <v/>
          </cell>
          <cell r="AB8013" t="str">
            <v/>
          </cell>
          <cell r="AC8013" t="str">
            <v/>
          </cell>
          <cell r="AD8013" t="str">
            <v/>
          </cell>
          <cell r="AY8013" t="str">
            <v/>
          </cell>
          <cell r="AZ8013" t="str">
            <v/>
          </cell>
          <cell r="BA8013" t="str">
            <v/>
          </cell>
        </row>
        <row r="8014">
          <cell r="B8014" t="str">
            <v>-</v>
          </cell>
          <cell r="E8014" t="str">
            <v/>
          </cell>
          <cell r="G8014" t="str">
            <v/>
          </cell>
          <cell r="J8014" t="str">
            <v/>
          </cell>
          <cell r="O8014" t="str">
            <v/>
          </cell>
          <cell r="P8014" t="str">
            <v/>
          </cell>
          <cell r="Q8014" t="str">
            <v/>
          </cell>
          <cell r="S8014" t="str">
            <v/>
          </cell>
          <cell r="V8014" t="str">
            <v/>
          </cell>
          <cell r="Z8014" t="str">
            <v/>
          </cell>
          <cell r="AA8014" t="str">
            <v/>
          </cell>
          <cell r="AB8014" t="str">
            <v/>
          </cell>
          <cell r="AC8014" t="str">
            <v/>
          </cell>
          <cell r="AD8014" t="str">
            <v/>
          </cell>
          <cell r="AY8014" t="str">
            <v/>
          </cell>
          <cell r="AZ8014" t="str">
            <v/>
          </cell>
          <cell r="BA8014" t="str">
            <v/>
          </cell>
        </row>
        <row r="8015">
          <cell r="B8015" t="str">
            <v>-</v>
          </cell>
          <cell r="E8015" t="str">
            <v/>
          </cell>
          <cell r="G8015" t="str">
            <v/>
          </cell>
          <cell r="J8015" t="str">
            <v/>
          </cell>
          <cell r="O8015" t="str">
            <v/>
          </cell>
          <cell r="P8015" t="str">
            <v/>
          </cell>
          <cell r="Q8015" t="str">
            <v/>
          </cell>
          <cell r="S8015" t="str">
            <v/>
          </cell>
          <cell r="V8015" t="str">
            <v/>
          </cell>
          <cell r="Z8015" t="str">
            <v/>
          </cell>
          <cell r="AA8015" t="str">
            <v/>
          </cell>
          <cell r="AB8015" t="str">
            <v/>
          </cell>
          <cell r="AC8015" t="str">
            <v/>
          </cell>
          <cell r="AD8015" t="str">
            <v/>
          </cell>
          <cell r="AY8015" t="str">
            <v/>
          </cell>
          <cell r="AZ8015" t="str">
            <v/>
          </cell>
          <cell r="BA8015" t="str">
            <v/>
          </cell>
        </row>
        <row r="8016">
          <cell r="B8016" t="str">
            <v>-</v>
          </cell>
          <cell r="E8016" t="str">
            <v/>
          </cell>
          <cell r="G8016" t="str">
            <v/>
          </cell>
          <cell r="J8016" t="str">
            <v/>
          </cell>
          <cell r="O8016" t="str">
            <v/>
          </cell>
          <cell r="P8016" t="str">
            <v/>
          </cell>
          <cell r="Q8016" t="str">
            <v/>
          </cell>
          <cell r="S8016" t="str">
            <v/>
          </cell>
          <cell r="V8016" t="str">
            <v/>
          </cell>
          <cell r="Z8016" t="str">
            <v/>
          </cell>
          <cell r="AA8016" t="str">
            <v/>
          </cell>
          <cell r="AB8016" t="str">
            <v/>
          </cell>
          <cell r="AC8016" t="str">
            <v/>
          </cell>
          <cell r="AD8016" t="str">
            <v/>
          </cell>
          <cell r="AY8016" t="str">
            <v/>
          </cell>
          <cell r="AZ8016" t="str">
            <v/>
          </cell>
          <cell r="BA8016" t="str">
            <v/>
          </cell>
        </row>
        <row r="8017">
          <cell r="B8017" t="str">
            <v>-</v>
          </cell>
          <cell r="E8017" t="str">
            <v/>
          </cell>
          <cell r="G8017" t="str">
            <v/>
          </cell>
          <cell r="J8017" t="str">
            <v/>
          </cell>
          <cell r="O8017" t="str">
            <v/>
          </cell>
          <cell r="P8017" t="str">
            <v/>
          </cell>
          <cell r="Q8017" t="str">
            <v/>
          </cell>
          <cell r="S8017" t="str">
            <v/>
          </cell>
          <cell r="V8017" t="str">
            <v/>
          </cell>
          <cell r="Z8017" t="str">
            <v/>
          </cell>
          <cell r="AA8017" t="str">
            <v/>
          </cell>
          <cell r="AB8017" t="str">
            <v/>
          </cell>
          <cell r="AC8017" t="str">
            <v/>
          </cell>
          <cell r="AD8017" t="str">
            <v/>
          </cell>
          <cell r="AY8017" t="str">
            <v/>
          </cell>
          <cell r="AZ8017" t="str">
            <v/>
          </cell>
          <cell r="BA8017" t="str">
            <v/>
          </cell>
        </row>
        <row r="8018">
          <cell r="B8018" t="str">
            <v>-</v>
          </cell>
          <cell r="E8018" t="str">
            <v/>
          </cell>
          <cell r="G8018" t="str">
            <v/>
          </cell>
          <cell r="J8018" t="str">
            <v/>
          </cell>
          <cell r="O8018" t="str">
            <v/>
          </cell>
          <cell r="P8018" t="str">
            <v/>
          </cell>
          <cell r="Q8018" t="str">
            <v/>
          </cell>
          <cell r="S8018" t="str">
            <v/>
          </cell>
          <cell r="V8018" t="str">
            <v/>
          </cell>
          <cell r="Z8018" t="str">
            <v/>
          </cell>
          <cell r="AA8018" t="str">
            <v/>
          </cell>
          <cell r="AB8018" t="str">
            <v/>
          </cell>
          <cell r="AC8018" t="str">
            <v/>
          </cell>
          <cell r="AD8018" t="str">
            <v/>
          </cell>
          <cell r="AY8018" t="str">
            <v/>
          </cell>
          <cell r="AZ8018" t="str">
            <v/>
          </cell>
          <cell r="BA8018" t="str">
            <v/>
          </cell>
        </row>
        <row r="8019">
          <cell r="B8019" t="str">
            <v>-</v>
          </cell>
          <cell r="E8019" t="str">
            <v/>
          </cell>
          <cell r="G8019" t="str">
            <v/>
          </cell>
          <cell r="J8019" t="str">
            <v/>
          </cell>
          <cell r="O8019" t="str">
            <v/>
          </cell>
          <cell r="P8019" t="str">
            <v/>
          </cell>
          <cell r="Q8019" t="str">
            <v/>
          </cell>
          <cell r="S8019" t="str">
            <v/>
          </cell>
          <cell r="V8019" t="str">
            <v/>
          </cell>
          <cell r="Z8019" t="str">
            <v/>
          </cell>
          <cell r="AA8019" t="str">
            <v/>
          </cell>
          <cell r="AB8019" t="str">
            <v/>
          </cell>
          <cell r="AC8019" t="str">
            <v/>
          </cell>
          <cell r="AD8019" t="str">
            <v/>
          </cell>
          <cell r="AY8019" t="str">
            <v/>
          </cell>
          <cell r="AZ8019" t="str">
            <v/>
          </cell>
          <cell r="BA8019" t="str">
            <v/>
          </cell>
        </row>
        <row r="8020">
          <cell r="B8020" t="str">
            <v>-</v>
          </cell>
          <cell r="E8020" t="str">
            <v/>
          </cell>
          <cell r="G8020" t="str">
            <v/>
          </cell>
          <cell r="J8020" t="str">
            <v/>
          </cell>
          <cell r="O8020" t="str">
            <v/>
          </cell>
          <cell r="P8020" t="str">
            <v/>
          </cell>
          <cell r="Q8020" t="str">
            <v/>
          </cell>
          <cell r="S8020" t="str">
            <v/>
          </cell>
          <cell r="V8020" t="str">
            <v/>
          </cell>
          <cell r="Z8020" t="str">
            <v/>
          </cell>
          <cell r="AA8020" t="str">
            <v/>
          </cell>
          <cell r="AB8020" t="str">
            <v/>
          </cell>
          <cell r="AC8020" t="str">
            <v/>
          </cell>
          <cell r="AD8020" t="str">
            <v/>
          </cell>
          <cell r="AY8020" t="str">
            <v/>
          </cell>
          <cell r="AZ8020" t="str">
            <v/>
          </cell>
          <cell r="BA8020" t="str">
            <v/>
          </cell>
        </row>
        <row r="8021">
          <cell r="B8021" t="str">
            <v>-</v>
          </cell>
          <cell r="E8021" t="str">
            <v/>
          </cell>
          <cell r="G8021" t="str">
            <v/>
          </cell>
          <cell r="J8021" t="str">
            <v/>
          </cell>
          <cell r="O8021" t="str">
            <v/>
          </cell>
          <cell r="P8021" t="str">
            <v/>
          </cell>
          <cell r="Q8021" t="str">
            <v/>
          </cell>
          <cell r="S8021" t="str">
            <v/>
          </cell>
          <cell r="V8021" t="str">
            <v/>
          </cell>
          <cell r="Z8021" t="str">
            <v/>
          </cell>
          <cell r="AA8021" t="str">
            <v/>
          </cell>
          <cell r="AB8021" t="str">
            <v/>
          </cell>
          <cell r="AC8021" t="str">
            <v/>
          </cell>
          <cell r="AD8021" t="str">
            <v/>
          </cell>
          <cell r="AY8021" t="str">
            <v/>
          </cell>
          <cell r="AZ8021" t="str">
            <v/>
          </cell>
          <cell r="BA8021" t="str">
            <v/>
          </cell>
        </row>
        <row r="8022">
          <cell r="B8022" t="str">
            <v>-</v>
          </cell>
          <cell r="E8022" t="str">
            <v/>
          </cell>
          <cell r="G8022" t="str">
            <v/>
          </cell>
          <cell r="J8022" t="str">
            <v/>
          </cell>
          <cell r="O8022" t="str">
            <v/>
          </cell>
          <cell r="P8022" t="str">
            <v/>
          </cell>
          <cell r="Q8022" t="str">
            <v/>
          </cell>
          <cell r="S8022" t="str">
            <v/>
          </cell>
          <cell r="V8022" t="str">
            <v/>
          </cell>
          <cell r="Z8022" t="str">
            <v/>
          </cell>
          <cell r="AA8022" t="str">
            <v/>
          </cell>
          <cell r="AB8022" t="str">
            <v/>
          </cell>
          <cell r="AC8022" t="str">
            <v/>
          </cell>
          <cell r="AD8022" t="str">
            <v/>
          </cell>
          <cell r="AY8022" t="str">
            <v/>
          </cell>
          <cell r="AZ8022" t="str">
            <v/>
          </cell>
          <cell r="BA8022" t="str">
            <v/>
          </cell>
        </row>
        <row r="8023">
          <cell r="B8023" t="str">
            <v>-</v>
          </cell>
          <cell r="E8023" t="str">
            <v/>
          </cell>
          <cell r="G8023" t="str">
            <v/>
          </cell>
          <cell r="J8023" t="str">
            <v/>
          </cell>
          <cell r="O8023" t="str">
            <v/>
          </cell>
          <cell r="P8023" t="str">
            <v/>
          </cell>
          <cell r="Q8023" t="str">
            <v/>
          </cell>
          <cell r="S8023" t="str">
            <v/>
          </cell>
          <cell r="V8023" t="str">
            <v/>
          </cell>
          <cell r="Z8023" t="str">
            <v/>
          </cell>
          <cell r="AA8023" t="str">
            <v/>
          </cell>
          <cell r="AB8023" t="str">
            <v/>
          </cell>
          <cell r="AC8023" t="str">
            <v/>
          </cell>
          <cell r="AD8023" t="str">
            <v/>
          </cell>
          <cell r="AY8023" t="str">
            <v/>
          </cell>
          <cell r="AZ8023" t="str">
            <v/>
          </cell>
          <cell r="BA8023" t="str">
            <v/>
          </cell>
        </row>
        <row r="8024">
          <cell r="B8024" t="str">
            <v>-</v>
          </cell>
          <cell r="E8024" t="str">
            <v/>
          </cell>
          <cell r="G8024" t="str">
            <v/>
          </cell>
          <cell r="J8024" t="str">
            <v/>
          </cell>
          <cell r="O8024" t="str">
            <v/>
          </cell>
          <cell r="P8024" t="str">
            <v/>
          </cell>
          <cell r="Q8024" t="str">
            <v/>
          </cell>
          <cell r="S8024" t="str">
            <v/>
          </cell>
          <cell r="V8024" t="str">
            <v/>
          </cell>
          <cell r="Z8024" t="str">
            <v/>
          </cell>
          <cell r="AA8024" t="str">
            <v/>
          </cell>
          <cell r="AB8024" t="str">
            <v/>
          </cell>
          <cell r="AC8024" t="str">
            <v/>
          </cell>
          <cell r="AD8024" t="str">
            <v/>
          </cell>
          <cell r="AY8024" t="str">
            <v/>
          </cell>
          <cell r="AZ8024" t="str">
            <v/>
          </cell>
          <cell r="BA8024" t="str">
            <v/>
          </cell>
        </row>
        <row r="8025">
          <cell r="B8025" t="str">
            <v>-</v>
          </cell>
          <cell r="E8025" t="str">
            <v/>
          </cell>
          <cell r="G8025" t="str">
            <v/>
          </cell>
          <cell r="J8025" t="str">
            <v/>
          </cell>
          <cell r="O8025" t="str">
            <v/>
          </cell>
          <cell r="P8025" t="str">
            <v/>
          </cell>
          <cell r="Q8025" t="str">
            <v/>
          </cell>
          <cell r="S8025" t="str">
            <v/>
          </cell>
          <cell r="V8025" t="str">
            <v/>
          </cell>
          <cell r="Z8025" t="str">
            <v/>
          </cell>
          <cell r="AA8025" t="str">
            <v/>
          </cell>
          <cell r="AB8025" t="str">
            <v/>
          </cell>
          <cell r="AC8025" t="str">
            <v/>
          </cell>
          <cell r="AD8025" t="str">
            <v/>
          </cell>
          <cell r="AY8025" t="str">
            <v/>
          </cell>
          <cell r="AZ8025" t="str">
            <v/>
          </cell>
          <cell r="BA8025" t="str">
            <v/>
          </cell>
        </row>
        <row r="8026">
          <cell r="B8026" t="str">
            <v>-</v>
          </cell>
          <cell r="E8026" t="str">
            <v/>
          </cell>
          <cell r="G8026" t="str">
            <v/>
          </cell>
          <cell r="J8026" t="str">
            <v/>
          </cell>
          <cell r="O8026" t="str">
            <v/>
          </cell>
          <cell r="P8026" t="str">
            <v/>
          </cell>
          <cell r="Q8026" t="str">
            <v/>
          </cell>
          <cell r="S8026" t="str">
            <v/>
          </cell>
          <cell r="V8026" t="str">
            <v/>
          </cell>
          <cell r="Z8026" t="str">
            <v/>
          </cell>
          <cell r="AA8026" t="str">
            <v/>
          </cell>
          <cell r="AB8026" t="str">
            <v/>
          </cell>
          <cell r="AC8026" t="str">
            <v/>
          </cell>
          <cell r="AD8026" t="str">
            <v/>
          </cell>
          <cell r="AY8026" t="str">
            <v/>
          </cell>
          <cell r="AZ8026" t="str">
            <v/>
          </cell>
          <cell r="BA8026" t="str">
            <v/>
          </cell>
        </row>
        <row r="8027">
          <cell r="B8027" t="str">
            <v>-</v>
          </cell>
          <cell r="E8027" t="str">
            <v/>
          </cell>
          <cell r="G8027" t="str">
            <v/>
          </cell>
          <cell r="J8027" t="str">
            <v/>
          </cell>
          <cell r="O8027" t="str">
            <v/>
          </cell>
          <cell r="P8027" t="str">
            <v/>
          </cell>
          <cell r="Q8027" t="str">
            <v/>
          </cell>
          <cell r="S8027" t="str">
            <v/>
          </cell>
          <cell r="V8027" t="str">
            <v/>
          </cell>
          <cell r="Z8027" t="str">
            <v/>
          </cell>
          <cell r="AA8027" t="str">
            <v/>
          </cell>
          <cell r="AB8027" t="str">
            <v/>
          </cell>
          <cell r="AC8027" t="str">
            <v/>
          </cell>
          <cell r="AD8027" t="str">
            <v/>
          </cell>
          <cell r="AY8027" t="str">
            <v/>
          </cell>
          <cell r="AZ8027" t="str">
            <v/>
          </cell>
          <cell r="BA8027" t="str">
            <v/>
          </cell>
        </row>
        <row r="8028">
          <cell r="B8028" t="str">
            <v>-</v>
          </cell>
          <cell r="E8028" t="str">
            <v/>
          </cell>
          <cell r="G8028" t="str">
            <v/>
          </cell>
          <cell r="J8028" t="str">
            <v/>
          </cell>
          <cell r="O8028" t="str">
            <v/>
          </cell>
          <cell r="P8028" t="str">
            <v/>
          </cell>
          <cell r="Q8028" t="str">
            <v/>
          </cell>
          <cell r="S8028" t="str">
            <v/>
          </cell>
          <cell r="V8028" t="str">
            <v/>
          </cell>
          <cell r="Z8028" t="str">
            <v/>
          </cell>
          <cell r="AA8028" t="str">
            <v/>
          </cell>
          <cell r="AB8028" t="str">
            <v/>
          </cell>
          <cell r="AC8028" t="str">
            <v/>
          </cell>
          <cell r="AD8028" t="str">
            <v/>
          </cell>
          <cell r="AY8028" t="str">
            <v/>
          </cell>
          <cell r="AZ8028" t="str">
            <v/>
          </cell>
          <cell r="BA8028" t="str">
            <v/>
          </cell>
        </row>
        <row r="8029">
          <cell r="B8029" t="str">
            <v>-</v>
          </cell>
          <cell r="E8029" t="str">
            <v/>
          </cell>
          <cell r="G8029" t="str">
            <v/>
          </cell>
          <cell r="J8029" t="str">
            <v/>
          </cell>
          <cell r="O8029" t="str">
            <v/>
          </cell>
          <cell r="P8029" t="str">
            <v/>
          </cell>
          <cell r="Q8029" t="str">
            <v/>
          </cell>
          <cell r="S8029" t="str">
            <v/>
          </cell>
          <cell r="V8029" t="str">
            <v/>
          </cell>
          <cell r="Z8029" t="str">
            <v/>
          </cell>
          <cell r="AA8029" t="str">
            <v/>
          </cell>
          <cell r="AB8029" t="str">
            <v/>
          </cell>
          <cell r="AC8029" t="str">
            <v/>
          </cell>
          <cell r="AD8029" t="str">
            <v/>
          </cell>
          <cell r="AY8029" t="str">
            <v/>
          </cell>
          <cell r="AZ8029" t="str">
            <v/>
          </cell>
          <cell r="BA8029" t="str">
            <v/>
          </cell>
        </row>
        <row r="8030">
          <cell r="B8030" t="str">
            <v>-</v>
          </cell>
          <cell r="E8030" t="str">
            <v/>
          </cell>
          <cell r="G8030" t="str">
            <v/>
          </cell>
          <cell r="J8030" t="str">
            <v/>
          </cell>
          <cell r="O8030" t="str">
            <v/>
          </cell>
          <cell r="P8030" t="str">
            <v/>
          </cell>
          <cell r="Q8030" t="str">
            <v/>
          </cell>
          <cell r="S8030" t="str">
            <v/>
          </cell>
          <cell r="V8030" t="str">
            <v/>
          </cell>
          <cell r="Z8030" t="str">
            <v/>
          </cell>
          <cell r="AA8030" t="str">
            <v/>
          </cell>
          <cell r="AB8030" t="str">
            <v/>
          </cell>
          <cell r="AC8030" t="str">
            <v/>
          </cell>
          <cell r="AD8030" t="str">
            <v/>
          </cell>
          <cell r="AY8030" t="str">
            <v/>
          </cell>
          <cell r="AZ8030" t="str">
            <v/>
          </cell>
          <cell r="BA8030" t="str">
            <v/>
          </cell>
        </row>
        <row r="8031">
          <cell r="B8031" t="str">
            <v>-</v>
          </cell>
          <cell r="E8031" t="str">
            <v/>
          </cell>
          <cell r="G8031" t="str">
            <v/>
          </cell>
          <cell r="J8031" t="str">
            <v/>
          </cell>
          <cell r="O8031" t="str">
            <v/>
          </cell>
          <cell r="P8031" t="str">
            <v/>
          </cell>
          <cell r="Q8031" t="str">
            <v/>
          </cell>
          <cell r="S8031" t="str">
            <v/>
          </cell>
          <cell r="V8031" t="str">
            <v/>
          </cell>
          <cell r="Z8031" t="str">
            <v/>
          </cell>
          <cell r="AA8031" t="str">
            <v/>
          </cell>
          <cell r="AB8031" t="str">
            <v/>
          </cell>
          <cell r="AC8031" t="str">
            <v/>
          </cell>
          <cell r="AD8031" t="str">
            <v/>
          </cell>
          <cell r="AY8031" t="str">
            <v/>
          </cell>
          <cell r="AZ8031" t="str">
            <v/>
          </cell>
          <cell r="BA8031" t="str">
            <v/>
          </cell>
        </row>
        <row r="8032">
          <cell r="B8032" t="str">
            <v>-</v>
          </cell>
          <cell r="E8032" t="str">
            <v/>
          </cell>
          <cell r="G8032" t="str">
            <v/>
          </cell>
          <cell r="J8032" t="str">
            <v/>
          </cell>
          <cell r="O8032" t="str">
            <v/>
          </cell>
          <cell r="P8032" t="str">
            <v/>
          </cell>
          <cell r="Q8032" t="str">
            <v/>
          </cell>
          <cell r="S8032" t="str">
            <v/>
          </cell>
          <cell r="V8032" t="str">
            <v/>
          </cell>
          <cell r="Z8032" t="str">
            <v/>
          </cell>
          <cell r="AA8032" t="str">
            <v/>
          </cell>
          <cell r="AB8032" t="str">
            <v/>
          </cell>
          <cell r="AC8032" t="str">
            <v/>
          </cell>
          <cell r="AD8032" t="str">
            <v/>
          </cell>
          <cell r="AY8032" t="str">
            <v/>
          </cell>
          <cell r="AZ8032" t="str">
            <v/>
          </cell>
          <cell r="BA8032" t="str">
            <v/>
          </cell>
        </row>
        <row r="8033">
          <cell r="B8033" t="str">
            <v>-</v>
          </cell>
          <cell r="E8033" t="str">
            <v/>
          </cell>
          <cell r="G8033" t="str">
            <v/>
          </cell>
          <cell r="J8033" t="str">
            <v/>
          </cell>
          <cell r="O8033" t="str">
            <v/>
          </cell>
          <cell r="P8033" t="str">
            <v/>
          </cell>
          <cell r="Q8033" t="str">
            <v/>
          </cell>
          <cell r="S8033" t="str">
            <v/>
          </cell>
          <cell r="V8033" t="str">
            <v/>
          </cell>
          <cell r="Z8033" t="str">
            <v/>
          </cell>
          <cell r="AA8033" t="str">
            <v/>
          </cell>
          <cell r="AB8033" t="str">
            <v/>
          </cell>
          <cell r="AC8033" t="str">
            <v/>
          </cell>
          <cell r="AD8033" t="str">
            <v/>
          </cell>
          <cell r="AY8033" t="str">
            <v/>
          </cell>
          <cell r="AZ8033" t="str">
            <v/>
          </cell>
          <cell r="BA8033" t="str">
            <v/>
          </cell>
        </row>
        <row r="8034">
          <cell r="B8034" t="str">
            <v>-</v>
          </cell>
          <cell r="E8034" t="str">
            <v/>
          </cell>
          <cell r="G8034" t="str">
            <v/>
          </cell>
          <cell r="J8034" t="str">
            <v/>
          </cell>
          <cell r="O8034" t="str">
            <v/>
          </cell>
          <cell r="P8034" t="str">
            <v/>
          </cell>
          <cell r="Q8034" t="str">
            <v/>
          </cell>
          <cell r="S8034" t="str">
            <v/>
          </cell>
          <cell r="V8034" t="str">
            <v/>
          </cell>
          <cell r="Z8034" t="str">
            <v/>
          </cell>
          <cell r="AA8034" t="str">
            <v/>
          </cell>
          <cell r="AB8034" t="str">
            <v/>
          </cell>
          <cell r="AC8034" t="str">
            <v/>
          </cell>
          <cell r="AD8034" t="str">
            <v/>
          </cell>
          <cell r="AY8034" t="str">
            <v/>
          </cell>
          <cell r="AZ8034" t="str">
            <v/>
          </cell>
          <cell r="BA8034" t="str">
            <v/>
          </cell>
        </row>
        <row r="8035">
          <cell r="B8035" t="str">
            <v>-</v>
          </cell>
          <cell r="E8035" t="str">
            <v/>
          </cell>
          <cell r="G8035" t="str">
            <v/>
          </cell>
          <cell r="J8035" t="str">
            <v/>
          </cell>
          <cell r="O8035" t="str">
            <v/>
          </cell>
          <cell r="P8035" t="str">
            <v/>
          </cell>
          <cell r="Q8035" t="str">
            <v/>
          </cell>
          <cell r="S8035" t="str">
            <v/>
          </cell>
          <cell r="V8035" t="str">
            <v/>
          </cell>
          <cell r="Z8035" t="str">
            <v/>
          </cell>
          <cell r="AA8035" t="str">
            <v/>
          </cell>
          <cell r="AB8035" t="str">
            <v/>
          </cell>
          <cell r="AC8035" t="str">
            <v/>
          </cell>
          <cell r="AD8035" t="str">
            <v/>
          </cell>
          <cell r="AY8035" t="str">
            <v/>
          </cell>
          <cell r="AZ8035" t="str">
            <v/>
          </cell>
          <cell r="BA8035" t="str">
            <v/>
          </cell>
        </row>
        <row r="8036">
          <cell r="B8036" t="str">
            <v>-</v>
          </cell>
          <cell r="E8036" t="str">
            <v/>
          </cell>
          <cell r="G8036" t="str">
            <v/>
          </cell>
          <cell r="J8036" t="str">
            <v/>
          </cell>
          <cell r="O8036" t="str">
            <v/>
          </cell>
          <cell r="P8036" t="str">
            <v/>
          </cell>
          <cell r="Q8036" t="str">
            <v/>
          </cell>
          <cell r="S8036" t="str">
            <v/>
          </cell>
          <cell r="V8036" t="str">
            <v/>
          </cell>
          <cell r="Z8036" t="str">
            <v/>
          </cell>
          <cell r="AA8036" t="str">
            <v/>
          </cell>
          <cell r="AB8036" t="str">
            <v/>
          </cell>
          <cell r="AC8036" t="str">
            <v/>
          </cell>
          <cell r="AD8036" t="str">
            <v/>
          </cell>
          <cell r="AY8036" t="str">
            <v/>
          </cell>
          <cell r="AZ8036" t="str">
            <v/>
          </cell>
          <cell r="BA8036" t="str">
            <v/>
          </cell>
        </row>
        <row r="8037">
          <cell r="B8037" t="str">
            <v>-</v>
          </cell>
          <cell r="E8037" t="str">
            <v/>
          </cell>
          <cell r="G8037" t="str">
            <v/>
          </cell>
          <cell r="J8037" t="str">
            <v/>
          </cell>
          <cell r="O8037" t="str">
            <v/>
          </cell>
          <cell r="P8037" t="str">
            <v/>
          </cell>
          <cell r="Q8037" t="str">
            <v/>
          </cell>
          <cell r="S8037" t="str">
            <v/>
          </cell>
          <cell r="V8037" t="str">
            <v/>
          </cell>
          <cell r="Z8037" t="str">
            <v/>
          </cell>
          <cell r="AA8037" t="str">
            <v/>
          </cell>
          <cell r="AB8037" t="str">
            <v/>
          </cell>
          <cell r="AC8037" t="str">
            <v/>
          </cell>
          <cell r="AD8037" t="str">
            <v/>
          </cell>
          <cell r="AY8037" t="str">
            <v/>
          </cell>
          <cell r="AZ8037" t="str">
            <v/>
          </cell>
          <cell r="BA8037" t="str">
            <v/>
          </cell>
        </row>
        <row r="8038">
          <cell r="B8038" t="str">
            <v>-</v>
          </cell>
          <cell r="E8038" t="str">
            <v/>
          </cell>
          <cell r="G8038" t="str">
            <v/>
          </cell>
          <cell r="J8038" t="str">
            <v/>
          </cell>
          <cell r="O8038" t="str">
            <v/>
          </cell>
          <cell r="P8038" t="str">
            <v/>
          </cell>
          <cell r="Q8038" t="str">
            <v/>
          </cell>
          <cell r="S8038" t="str">
            <v/>
          </cell>
          <cell r="V8038" t="str">
            <v/>
          </cell>
          <cell r="Z8038" t="str">
            <v/>
          </cell>
          <cell r="AA8038" t="str">
            <v/>
          </cell>
          <cell r="AB8038" t="str">
            <v/>
          </cell>
          <cell r="AC8038" t="str">
            <v/>
          </cell>
          <cell r="AD8038" t="str">
            <v/>
          </cell>
          <cell r="AY8038" t="str">
            <v/>
          </cell>
          <cell r="AZ8038" t="str">
            <v/>
          </cell>
          <cell r="BA8038" t="str">
            <v/>
          </cell>
        </row>
        <row r="8039">
          <cell r="B8039" t="str">
            <v>-</v>
          </cell>
          <cell r="E8039" t="str">
            <v/>
          </cell>
          <cell r="G8039" t="str">
            <v/>
          </cell>
          <cell r="J8039" t="str">
            <v/>
          </cell>
          <cell r="O8039" t="str">
            <v/>
          </cell>
          <cell r="P8039" t="str">
            <v/>
          </cell>
          <cell r="Q8039" t="str">
            <v/>
          </cell>
          <cell r="S8039" t="str">
            <v/>
          </cell>
          <cell r="V8039" t="str">
            <v/>
          </cell>
          <cell r="Z8039" t="str">
            <v/>
          </cell>
          <cell r="AA8039" t="str">
            <v/>
          </cell>
          <cell r="AB8039" t="str">
            <v/>
          </cell>
          <cell r="AC8039" t="str">
            <v/>
          </cell>
          <cell r="AD8039" t="str">
            <v/>
          </cell>
          <cell r="AY8039" t="str">
            <v/>
          </cell>
          <cell r="AZ8039" t="str">
            <v/>
          </cell>
          <cell r="BA8039" t="str">
            <v/>
          </cell>
        </row>
        <row r="8040">
          <cell r="B8040" t="str">
            <v>-</v>
          </cell>
          <cell r="E8040" t="str">
            <v/>
          </cell>
          <cell r="G8040" t="str">
            <v/>
          </cell>
          <cell r="J8040" t="str">
            <v/>
          </cell>
          <cell r="O8040" t="str">
            <v/>
          </cell>
          <cell r="P8040" t="str">
            <v/>
          </cell>
          <cell r="Q8040" t="str">
            <v/>
          </cell>
          <cell r="S8040" t="str">
            <v/>
          </cell>
          <cell r="V8040" t="str">
            <v/>
          </cell>
          <cell r="Z8040" t="str">
            <v/>
          </cell>
          <cell r="AA8040" t="str">
            <v/>
          </cell>
          <cell r="AB8040" t="str">
            <v/>
          </cell>
          <cell r="AC8040" t="str">
            <v/>
          </cell>
          <cell r="AD8040" t="str">
            <v/>
          </cell>
          <cell r="AY8040" t="str">
            <v/>
          </cell>
          <cell r="AZ8040" t="str">
            <v/>
          </cell>
          <cell r="BA8040" t="str">
            <v/>
          </cell>
        </row>
        <row r="8041">
          <cell r="B8041" t="str">
            <v>-</v>
          </cell>
          <cell r="E8041" t="str">
            <v/>
          </cell>
          <cell r="G8041" t="str">
            <v/>
          </cell>
          <cell r="J8041" t="str">
            <v/>
          </cell>
          <cell r="O8041" t="str">
            <v/>
          </cell>
          <cell r="P8041" t="str">
            <v/>
          </cell>
          <cell r="Q8041" t="str">
            <v/>
          </cell>
          <cell r="S8041" t="str">
            <v/>
          </cell>
          <cell r="V8041" t="str">
            <v/>
          </cell>
          <cell r="Z8041" t="str">
            <v/>
          </cell>
          <cell r="AA8041" t="str">
            <v/>
          </cell>
          <cell r="AB8041" t="str">
            <v/>
          </cell>
          <cell r="AC8041" t="str">
            <v/>
          </cell>
          <cell r="AD8041" t="str">
            <v/>
          </cell>
          <cell r="AY8041" t="str">
            <v/>
          </cell>
          <cell r="AZ8041" t="str">
            <v/>
          </cell>
          <cell r="BA8041" t="str">
            <v/>
          </cell>
        </row>
        <row r="8042">
          <cell r="B8042" t="str">
            <v>-</v>
          </cell>
          <cell r="E8042" t="str">
            <v/>
          </cell>
          <cell r="G8042" t="str">
            <v/>
          </cell>
          <cell r="J8042" t="str">
            <v/>
          </cell>
          <cell r="O8042" t="str">
            <v/>
          </cell>
          <cell r="P8042" t="str">
            <v/>
          </cell>
          <cell r="Q8042" t="str">
            <v/>
          </cell>
          <cell r="S8042" t="str">
            <v/>
          </cell>
          <cell r="V8042" t="str">
            <v/>
          </cell>
          <cell r="Z8042" t="str">
            <v/>
          </cell>
          <cell r="AA8042" t="str">
            <v/>
          </cell>
          <cell r="AB8042" t="str">
            <v/>
          </cell>
          <cell r="AC8042" t="str">
            <v/>
          </cell>
          <cell r="AD8042" t="str">
            <v/>
          </cell>
          <cell r="AY8042" t="str">
            <v/>
          </cell>
          <cell r="AZ8042" t="str">
            <v/>
          </cell>
          <cell r="BA8042" t="str">
            <v/>
          </cell>
        </row>
        <row r="8043">
          <cell r="B8043" t="str">
            <v>-</v>
          </cell>
          <cell r="E8043" t="str">
            <v/>
          </cell>
          <cell r="G8043" t="str">
            <v/>
          </cell>
          <cell r="J8043" t="str">
            <v/>
          </cell>
          <cell r="O8043" t="str">
            <v/>
          </cell>
          <cell r="P8043" t="str">
            <v/>
          </cell>
          <cell r="Q8043" t="str">
            <v/>
          </cell>
          <cell r="S8043" t="str">
            <v/>
          </cell>
          <cell r="V8043" t="str">
            <v/>
          </cell>
          <cell r="Z8043" t="str">
            <v/>
          </cell>
          <cell r="AA8043" t="str">
            <v/>
          </cell>
          <cell r="AB8043" t="str">
            <v/>
          </cell>
          <cell r="AC8043" t="str">
            <v/>
          </cell>
          <cell r="AD8043" t="str">
            <v/>
          </cell>
          <cell r="AY8043" t="str">
            <v/>
          </cell>
          <cell r="AZ8043" t="str">
            <v/>
          </cell>
          <cell r="BA8043" t="str">
            <v/>
          </cell>
        </row>
        <row r="8044">
          <cell r="B8044" t="str">
            <v>-</v>
          </cell>
          <cell r="E8044" t="str">
            <v/>
          </cell>
          <cell r="G8044" t="str">
            <v/>
          </cell>
          <cell r="J8044" t="str">
            <v/>
          </cell>
          <cell r="O8044" t="str">
            <v/>
          </cell>
          <cell r="P8044" t="str">
            <v/>
          </cell>
          <cell r="Q8044" t="str">
            <v/>
          </cell>
          <cell r="S8044" t="str">
            <v/>
          </cell>
          <cell r="V8044" t="str">
            <v/>
          </cell>
          <cell r="Z8044" t="str">
            <v/>
          </cell>
          <cell r="AA8044" t="str">
            <v/>
          </cell>
          <cell r="AB8044" t="str">
            <v/>
          </cell>
          <cell r="AC8044" t="str">
            <v/>
          </cell>
          <cell r="AD8044" t="str">
            <v/>
          </cell>
          <cell r="AY8044" t="str">
            <v/>
          </cell>
          <cell r="AZ8044" t="str">
            <v/>
          </cell>
          <cell r="BA8044" t="str">
            <v/>
          </cell>
        </row>
        <row r="8045">
          <cell r="B8045" t="str">
            <v>-</v>
          </cell>
          <cell r="E8045" t="str">
            <v/>
          </cell>
          <cell r="G8045" t="str">
            <v/>
          </cell>
          <cell r="J8045" t="str">
            <v/>
          </cell>
          <cell r="O8045" t="str">
            <v/>
          </cell>
          <cell r="P8045" t="str">
            <v/>
          </cell>
          <cell r="Q8045" t="str">
            <v/>
          </cell>
          <cell r="S8045" t="str">
            <v/>
          </cell>
          <cell r="V8045" t="str">
            <v/>
          </cell>
          <cell r="Z8045" t="str">
            <v/>
          </cell>
          <cell r="AA8045" t="str">
            <v/>
          </cell>
          <cell r="AB8045" t="str">
            <v/>
          </cell>
          <cell r="AC8045" t="str">
            <v/>
          </cell>
          <cell r="AD8045" t="str">
            <v/>
          </cell>
          <cell r="AY8045" t="str">
            <v/>
          </cell>
          <cell r="AZ8045" t="str">
            <v/>
          </cell>
          <cell r="BA8045" t="str">
            <v/>
          </cell>
        </row>
        <row r="8046">
          <cell r="B8046" t="str">
            <v>-</v>
          </cell>
          <cell r="E8046" t="str">
            <v/>
          </cell>
          <cell r="G8046" t="str">
            <v/>
          </cell>
          <cell r="J8046" t="str">
            <v/>
          </cell>
          <cell r="O8046" t="str">
            <v/>
          </cell>
          <cell r="P8046" t="str">
            <v/>
          </cell>
          <cell r="Q8046" t="str">
            <v/>
          </cell>
          <cell r="S8046" t="str">
            <v/>
          </cell>
          <cell r="V8046" t="str">
            <v/>
          </cell>
          <cell r="Z8046" t="str">
            <v/>
          </cell>
          <cell r="AA8046" t="str">
            <v/>
          </cell>
          <cell r="AB8046" t="str">
            <v/>
          </cell>
          <cell r="AC8046" t="str">
            <v/>
          </cell>
          <cell r="AD8046" t="str">
            <v/>
          </cell>
          <cell r="AY8046" t="str">
            <v/>
          </cell>
          <cell r="AZ8046" t="str">
            <v/>
          </cell>
          <cell r="BA8046" t="str">
            <v/>
          </cell>
        </row>
        <row r="8047">
          <cell r="B8047" t="str">
            <v>-</v>
          </cell>
          <cell r="E8047" t="str">
            <v/>
          </cell>
          <cell r="G8047" t="str">
            <v/>
          </cell>
          <cell r="J8047" t="str">
            <v/>
          </cell>
          <cell r="O8047" t="str">
            <v/>
          </cell>
          <cell r="P8047" t="str">
            <v/>
          </cell>
          <cell r="Q8047" t="str">
            <v/>
          </cell>
          <cell r="S8047" t="str">
            <v/>
          </cell>
          <cell r="V8047" t="str">
            <v/>
          </cell>
          <cell r="Z8047" t="str">
            <v/>
          </cell>
          <cell r="AA8047" t="str">
            <v/>
          </cell>
          <cell r="AB8047" t="str">
            <v/>
          </cell>
          <cell r="AC8047" t="str">
            <v/>
          </cell>
          <cell r="AD8047" t="str">
            <v/>
          </cell>
          <cell r="AY8047" t="str">
            <v/>
          </cell>
          <cell r="AZ8047" t="str">
            <v/>
          </cell>
          <cell r="BA8047" t="str">
            <v/>
          </cell>
        </row>
        <row r="8048">
          <cell r="B8048" t="str">
            <v>-</v>
          </cell>
          <cell r="E8048" t="str">
            <v/>
          </cell>
          <cell r="G8048" t="str">
            <v/>
          </cell>
          <cell r="J8048" t="str">
            <v/>
          </cell>
          <cell r="O8048" t="str">
            <v/>
          </cell>
          <cell r="P8048" t="str">
            <v/>
          </cell>
          <cell r="Q8048" t="str">
            <v/>
          </cell>
          <cell r="S8048" t="str">
            <v/>
          </cell>
          <cell r="V8048" t="str">
            <v/>
          </cell>
          <cell r="Z8048" t="str">
            <v/>
          </cell>
          <cell r="AA8048" t="str">
            <v/>
          </cell>
          <cell r="AB8048" t="str">
            <v/>
          </cell>
          <cell r="AC8048" t="str">
            <v/>
          </cell>
          <cell r="AD8048" t="str">
            <v/>
          </cell>
          <cell r="AY8048" t="str">
            <v/>
          </cell>
          <cell r="AZ8048" t="str">
            <v/>
          </cell>
          <cell r="BA8048" t="str">
            <v/>
          </cell>
        </row>
        <row r="8049">
          <cell r="B8049" t="str">
            <v>-</v>
          </cell>
          <cell r="E8049" t="str">
            <v/>
          </cell>
          <cell r="G8049" t="str">
            <v/>
          </cell>
          <cell r="J8049" t="str">
            <v/>
          </cell>
          <cell r="O8049" t="str">
            <v/>
          </cell>
          <cell r="P8049" t="str">
            <v/>
          </cell>
          <cell r="Q8049" t="str">
            <v/>
          </cell>
          <cell r="S8049" t="str">
            <v/>
          </cell>
          <cell r="V8049" t="str">
            <v/>
          </cell>
          <cell r="Z8049" t="str">
            <v/>
          </cell>
          <cell r="AA8049" t="str">
            <v/>
          </cell>
          <cell r="AB8049" t="str">
            <v/>
          </cell>
          <cell r="AC8049" t="str">
            <v/>
          </cell>
          <cell r="AD8049" t="str">
            <v/>
          </cell>
          <cell r="AY8049" t="str">
            <v/>
          </cell>
          <cell r="AZ8049" t="str">
            <v/>
          </cell>
          <cell r="BA8049" t="str">
            <v/>
          </cell>
        </row>
        <row r="8050">
          <cell r="B8050" t="str">
            <v>-</v>
          </cell>
          <cell r="E8050" t="str">
            <v/>
          </cell>
          <cell r="G8050" t="str">
            <v/>
          </cell>
          <cell r="J8050" t="str">
            <v/>
          </cell>
          <cell r="O8050" t="str">
            <v/>
          </cell>
          <cell r="P8050" t="str">
            <v/>
          </cell>
          <cell r="Q8050" t="str">
            <v/>
          </cell>
          <cell r="S8050" t="str">
            <v/>
          </cell>
          <cell r="V8050" t="str">
            <v/>
          </cell>
          <cell r="Z8050" t="str">
            <v/>
          </cell>
          <cell r="AA8050" t="str">
            <v/>
          </cell>
          <cell r="AB8050" t="str">
            <v/>
          </cell>
          <cell r="AC8050" t="str">
            <v/>
          </cell>
          <cell r="AD8050" t="str">
            <v/>
          </cell>
          <cell r="AY8050" t="str">
            <v/>
          </cell>
          <cell r="AZ8050" t="str">
            <v/>
          </cell>
          <cell r="BA8050" t="str">
            <v/>
          </cell>
        </row>
        <row r="8051">
          <cell r="B8051" t="str">
            <v>-</v>
          </cell>
          <cell r="E8051" t="str">
            <v/>
          </cell>
          <cell r="G8051" t="str">
            <v/>
          </cell>
          <cell r="J8051" t="str">
            <v/>
          </cell>
          <cell r="O8051" t="str">
            <v/>
          </cell>
          <cell r="P8051" t="str">
            <v/>
          </cell>
          <cell r="Q8051" t="str">
            <v/>
          </cell>
          <cell r="S8051" t="str">
            <v/>
          </cell>
          <cell r="V8051" t="str">
            <v/>
          </cell>
          <cell r="Z8051" t="str">
            <v/>
          </cell>
          <cell r="AA8051" t="str">
            <v/>
          </cell>
          <cell r="AB8051" t="str">
            <v/>
          </cell>
          <cell r="AC8051" t="str">
            <v/>
          </cell>
          <cell r="AD8051" t="str">
            <v/>
          </cell>
          <cell r="AY8051" t="str">
            <v/>
          </cell>
          <cell r="AZ8051" t="str">
            <v/>
          </cell>
          <cell r="BA8051" t="str">
            <v/>
          </cell>
        </row>
        <row r="8052">
          <cell r="B8052" t="str">
            <v>-</v>
          </cell>
          <cell r="E8052" t="str">
            <v/>
          </cell>
          <cell r="G8052" t="str">
            <v/>
          </cell>
          <cell r="J8052" t="str">
            <v/>
          </cell>
          <cell r="O8052" t="str">
            <v/>
          </cell>
          <cell r="P8052" t="str">
            <v/>
          </cell>
          <cell r="Q8052" t="str">
            <v/>
          </cell>
          <cell r="S8052" t="str">
            <v/>
          </cell>
          <cell r="V8052" t="str">
            <v/>
          </cell>
          <cell r="Z8052" t="str">
            <v/>
          </cell>
          <cell r="AA8052" t="str">
            <v/>
          </cell>
          <cell r="AB8052" t="str">
            <v/>
          </cell>
          <cell r="AC8052" t="str">
            <v/>
          </cell>
          <cell r="AD8052" t="str">
            <v/>
          </cell>
          <cell r="AY8052" t="str">
            <v/>
          </cell>
          <cell r="AZ8052" t="str">
            <v/>
          </cell>
          <cell r="BA8052" t="str">
            <v/>
          </cell>
        </row>
        <row r="8053">
          <cell r="B8053" t="str">
            <v>-</v>
          </cell>
          <cell r="E8053" t="str">
            <v/>
          </cell>
          <cell r="G8053" t="str">
            <v/>
          </cell>
          <cell r="J8053" t="str">
            <v/>
          </cell>
          <cell r="O8053" t="str">
            <v/>
          </cell>
          <cell r="P8053" t="str">
            <v/>
          </cell>
          <cell r="Q8053" t="str">
            <v/>
          </cell>
          <cell r="S8053" t="str">
            <v/>
          </cell>
          <cell r="V8053" t="str">
            <v/>
          </cell>
          <cell r="Z8053" t="str">
            <v/>
          </cell>
          <cell r="AA8053" t="str">
            <v/>
          </cell>
          <cell r="AB8053" t="str">
            <v/>
          </cell>
          <cell r="AC8053" t="str">
            <v/>
          </cell>
          <cell r="AD8053" t="str">
            <v/>
          </cell>
          <cell r="AY8053" t="str">
            <v/>
          </cell>
          <cell r="AZ8053" t="str">
            <v/>
          </cell>
          <cell r="BA8053" t="str">
            <v/>
          </cell>
        </row>
        <row r="8054">
          <cell r="B8054" t="str">
            <v>-</v>
          </cell>
          <cell r="E8054" t="str">
            <v/>
          </cell>
          <cell r="G8054" t="str">
            <v/>
          </cell>
          <cell r="J8054" t="str">
            <v/>
          </cell>
          <cell r="O8054" t="str">
            <v/>
          </cell>
          <cell r="P8054" t="str">
            <v/>
          </cell>
          <cell r="Q8054" t="str">
            <v/>
          </cell>
          <cell r="S8054" t="str">
            <v/>
          </cell>
          <cell r="V8054" t="str">
            <v/>
          </cell>
          <cell r="Z8054" t="str">
            <v/>
          </cell>
          <cell r="AA8054" t="str">
            <v/>
          </cell>
          <cell r="AB8054" t="str">
            <v/>
          </cell>
          <cell r="AC8054" t="str">
            <v/>
          </cell>
          <cell r="AD8054" t="str">
            <v/>
          </cell>
          <cell r="AY8054" t="str">
            <v/>
          </cell>
          <cell r="AZ8054" t="str">
            <v/>
          </cell>
          <cell r="BA8054" t="str">
            <v/>
          </cell>
        </row>
        <row r="8055">
          <cell r="B8055" t="str">
            <v>-</v>
          </cell>
          <cell r="E8055" t="str">
            <v/>
          </cell>
          <cell r="G8055" t="str">
            <v/>
          </cell>
          <cell r="J8055" t="str">
            <v/>
          </cell>
          <cell r="O8055" t="str">
            <v/>
          </cell>
          <cell r="P8055" t="str">
            <v/>
          </cell>
          <cell r="Q8055" t="str">
            <v/>
          </cell>
          <cell r="S8055" t="str">
            <v/>
          </cell>
          <cell r="V8055" t="str">
            <v/>
          </cell>
          <cell r="Z8055" t="str">
            <v/>
          </cell>
          <cell r="AA8055" t="str">
            <v/>
          </cell>
          <cell r="AB8055" t="str">
            <v/>
          </cell>
          <cell r="AC8055" t="str">
            <v/>
          </cell>
          <cell r="AD8055" t="str">
            <v/>
          </cell>
          <cell r="AY8055" t="str">
            <v/>
          </cell>
          <cell r="AZ8055" t="str">
            <v/>
          </cell>
          <cell r="BA8055" t="str">
            <v/>
          </cell>
        </row>
        <row r="8056">
          <cell r="B8056" t="str">
            <v>-</v>
          </cell>
          <cell r="E8056" t="str">
            <v/>
          </cell>
          <cell r="G8056" t="str">
            <v/>
          </cell>
          <cell r="J8056" t="str">
            <v/>
          </cell>
          <cell r="O8056" t="str">
            <v/>
          </cell>
          <cell r="P8056" t="str">
            <v/>
          </cell>
          <cell r="Q8056" t="str">
            <v/>
          </cell>
          <cell r="S8056" t="str">
            <v/>
          </cell>
          <cell r="V8056" t="str">
            <v/>
          </cell>
          <cell r="Z8056" t="str">
            <v/>
          </cell>
          <cell r="AA8056" t="str">
            <v/>
          </cell>
          <cell r="AB8056" t="str">
            <v/>
          </cell>
          <cell r="AC8056" t="str">
            <v/>
          </cell>
          <cell r="AD8056" t="str">
            <v/>
          </cell>
          <cell r="AY8056" t="str">
            <v/>
          </cell>
          <cell r="AZ8056" t="str">
            <v/>
          </cell>
          <cell r="BA8056" t="str">
            <v/>
          </cell>
        </row>
        <row r="8057">
          <cell r="B8057" t="str">
            <v>-</v>
          </cell>
          <cell r="E8057" t="str">
            <v/>
          </cell>
          <cell r="G8057" t="str">
            <v/>
          </cell>
          <cell r="J8057" t="str">
            <v/>
          </cell>
          <cell r="O8057" t="str">
            <v/>
          </cell>
          <cell r="P8057" t="str">
            <v/>
          </cell>
          <cell r="Q8057" t="str">
            <v/>
          </cell>
          <cell r="S8057" t="str">
            <v/>
          </cell>
          <cell r="V8057" t="str">
            <v/>
          </cell>
          <cell r="Z8057" t="str">
            <v/>
          </cell>
          <cell r="AA8057" t="str">
            <v/>
          </cell>
          <cell r="AB8057" t="str">
            <v/>
          </cell>
          <cell r="AC8057" t="str">
            <v/>
          </cell>
          <cell r="AD8057" t="str">
            <v/>
          </cell>
          <cell r="AY8057" t="str">
            <v/>
          </cell>
          <cell r="AZ8057" t="str">
            <v/>
          </cell>
          <cell r="BA8057" t="str">
            <v/>
          </cell>
        </row>
        <row r="8058">
          <cell r="B8058" t="str">
            <v>-</v>
          </cell>
          <cell r="E8058" t="str">
            <v/>
          </cell>
          <cell r="G8058" t="str">
            <v/>
          </cell>
          <cell r="J8058" t="str">
            <v/>
          </cell>
          <cell r="O8058" t="str">
            <v/>
          </cell>
          <cell r="P8058" t="str">
            <v/>
          </cell>
          <cell r="Q8058" t="str">
            <v/>
          </cell>
          <cell r="S8058" t="str">
            <v/>
          </cell>
          <cell r="V8058" t="str">
            <v/>
          </cell>
          <cell r="Z8058" t="str">
            <v/>
          </cell>
          <cell r="AA8058" t="str">
            <v/>
          </cell>
          <cell r="AB8058" t="str">
            <v/>
          </cell>
          <cell r="AC8058" t="str">
            <v/>
          </cell>
          <cell r="AD8058" t="str">
            <v/>
          </cell>
          <cell r="AY8058" t="str">
            <v/>
          </cell>
          <cell r="AZ8058" t="str">
            <v/>
          </cell>
          <cell r="BA8058" t="str">
            <v/>
          </cell>
        </row>
        <row r="8059">
          <cell r="B8059" t="str">
            <v>-</v>
          </cell>
          <cell r="E8059" t="str">
            <v/>
          </cell>
          <cell r="G8059" t="str">
            <v/>
          </cell>
          <cell r="J8059" t="str">
            <v/>
          </cell>
          <cell r="O8059" t="str">
            <v/>
          </cell>
          <cell r="P8059" t="str">
            <v/>
          </cell>
          <cell r="Q8059" t="str">
            <v/>
          </cell>
          <cell r="S8059" t="str">
            <v/>
          </cell>
          <cell r="V8059" t="str">
            <v/>
          </cell>
          <cell r="Z8059" t="str">
            <v/>
          </cell>
          <cell r="AA8059" t="str">
            <v/>
          </cell>
          <cell r="AB8059" t="str">
            <v/>
          </cell>
          <cell r="AC8059" t="str">
            <v/>
          </cell>
          <cell r="AD8059" t="str">
            <v/>
          </cell>
          <cell r="AY8059" t="str">
            <v/>
          </cell>
          <cell r="AZ8059" t="str">
            <v/>
          </cell>
          <cell r="BA8059" t="str">
            <v/>
          </cell>
        </row>
        <row r="8060">
          <cell r="B8060" t="str">
            <v>-</v>
          </cell>
          <cell r="E8060" t="str">
            <v/>
          </cell>
          <cell r="G8060" t="str">
            <v/>
          </cell>
          <cell r="J8060" t="str">
            <v/>
          </cell>
          <cell r="O8060" t="str">
            <v/>
          </cell>
          <cell r="P8060" t="str">
            <v/>
          </cell>
          <cell r="Q8060" t="str">
            <v/>
          </cell>
          <cell r="S8060" t="str">
            <v/>
          </cell>
          <cell r="V8060" t="str">
            <v/>
          </cell>
          <cell r="Z8060" t="str">
            <v/>
          </cell>
          <cell r="AA8060" t="str">
            <v/>
          </cell>
          <cell r="AB8060" t="str">
            <v/>
          </cell>
          <cell r="AC8060" t="str">
            <v/>
          </cell>
          <cell r="AD8060" t="str">
            <v/>
          </cell>
          <cell r="AY8060" t="str">
            <v/>
          </cell>
          <cell r="AZ8060" t="str">
            <v/>
          </cell>
          <cell r="BA8060" t="str">
            <v/>
          </cell>
        </row>
        <row r="8061">
          <cell r="B8061" t="str">
            <v>-</v>
          </cell>
          <cell r="E8061" t="str">
            <v/>
          </cell>
          <cell r="G8061" t="str">
            <v/>
          </cell>
          <cell r="J8061" t="str">
            <v/>
          </cell>
          <cell r="O8061" t="str">
            <v/>
          </cell>
          <cell r="P8061" t="str">
            <v/>
          </cell>
          <cell r="Q8061" t="str">
            <v/>
          </cell>
          <cell r="S8061" t="str">
            <v/>
          </cell>
          <cell r="V8061" t="str">
            <v/>
          </cell>
          <cell r="Z8061" t="str">
            <v/>
          </cell>
          <cell r="AA8061" t="str">
            <v/>
          </cell>
          <cell r="AB8061" t="str">
            <v/>
          </cell>
          <cell r="AC8061" t="str">
            <v/>
          </cell>
          <cell r="AD8061" t="str">
            <v/>
          </cell>
          <cell r="AY8061" t="str">
            <v/>
          </cell>
          <cell r="AZ8061" t="str">
            <v/>
          </cell>
          <cell r="BA8061" t="str">
            <v/>
          </cell>
        </row>
        <row r="8062">
          <cell r="B8062" t="str">
            <v>-</v>
          </cell>
          <cell r="E8062" t="str">
            <v/>
          </cell>
          <cell r="G8062" t="str">
            <v/>
          </cell>
          <cell r="J8062" t="str">
            <v/>
          </cell>
          <cell r="O8062" t="str">
            <v/>
          </cell>
          <cell r="P8062" t="str">
            <v/>
          </cell>
          <cell r="Q8062" t="str">
            <v/>
          </cell>
          <cell r="S8062" t="str">
            <v/>
          </cell>
          <cell r="V8062" t="str">
            <v/>
          </cell>
          <cell r="Z8062" t="str">
            <v/>
          </cell>
          <cell r="AA8062" t="str">
            <v/>
          </cell>
          <cell r="AB8062" t="str">
            <v/>
          </cell>
          <cell r="AC8062" t="str">
            <v/>
          </cell>
          <cell r="AD8062" t="str">
            <v/>
          </cell>
          <cell r="AY8062" t="str">
            <v/>
          </cell>
          <cell r="AZ8062" t="str">
            <v/>
          </cell>
          <cell r="BA8062" t="str">
            <v/>
          </cell>
        </row>
        <row r="8063">
          <cell r="B8063" t="str">
            <v>-</v>
          </cell>
          <cell r="E8063" t="str">
            <v/>
          </cell>
          <cell r="G8063" t="str">
            <v/>
          </cell>
          <cell r="J8063" t="str">
            <v/>
          </cell>
          <cell r="O8063" t="str">
            <v/>
          </cell>
          <cell r="P8063" t="str">
            <v/>
          </cell>
          <cell r="Q8063" t="str">
            <v/>
          </cell>
          <cell r="S8063" t="str">
            <v/>
          </cell>
          <cell r="V8063" t="str">
            <v/>
          </cell>
          <cell r="Z8063" t="str">
            <v/>
          </cell>
          <cell r="AA8063" t="str">
            <v/>
          </cell>
          <cell r="AB8063" t="str">
            <v/>
          </cell>
          <cell r="AC8063" t="str">
            <v/>
          </cell>
          <cell r="AD8063" t="str">
            <v/>
          </cell>
          <cell r="AY8063" t="str">
            <v/>
          </cell>
          <cell r="AZ8063" t="str">
            <v/>
          </cell>
          <cell r="BA8063" t="str">
            <v/>
          </cell>
        </row>
        <row r="8064">
          <cell r="B8064" t="str">
            <v>-</v>
          </cell>
          <cell r="E8064" t="str">
            <v/>
          </cell>
          <cell r="G8064" t="str">
            <v/>
          </cell>
          <cell r="J8064" t="str">
            <v/>
          </cell>
          <cell r="O8064" t="str">
            <v/>
          </cell>
          <cell r="P8064" t="str">
            <v/>
          </cell>
          <cell r="Q8064" t="str">
            <v/>
          </cell>
          <cell r="S8064" t="str">
            <v/>
          </cell>
          <cell r="V8064" t="str">
            <v/>
          </cell>
          <cell r="Z8064" t="str">
            <v/>
          </cell>
          <cell r="AA8064" t="str">
            <v/>
          </cell>
          <cell r="AB8064" t="str">
            <v/>
          </cell>
          <cell r="AC8064" t="str">
            <v/>
          </cell>
          <cell r="AD8064" t="str">
            <v/>
          </cell>
          <cell r="AY8064" t="str">
            <v/>
          </cell>
          <cell r="AZ8064" t="str">
            <v/>
          </cell>
          <cell r="BA8064" t="str">
            <v/>
          </cell>
        </row>
        <row r="8065">
          <cell r="B8065" t="str">
            <v>-</v>
          </cell>
          <cell r="E8065" t="str">
            <v/>
          </cell>
          <cell r="G8065" t="str">
            <v/>
          </cell>
          <cell r="J8065" t="str">
            <v/>
          </cell>
          <cell r="O8065" t="str">
            <v/>
          </cell>
          <cell r="P8065" t="str">
            <v/>
          </cell>
          <cell r="Q8065" t="str">
            <v/>
          </cell>
          <cell r="S8065" t="str">
            <v/>
          </cell>
          <cell r="V8065" t="str">
            <v/>
          </cell>
          <cell r="Z8065" t="str">
            <v/>
          </cell>
          <cell r="AA8065" t="str">
            <v/>
          </cell>
          <cell r="AB8065" t="str">
            <v/>
          </cell>
          <cell r="AC8065" t="str">
            <v/>
          </cell>
          <cell r="AD8065" t="str">
            <v/>
          </cell>
          <cell r="AY8065" t="str">
            <v/>
          </cell>
          <cell r="AZ8065" t="str">
            <v/>
          </cell>
          <cell r="BA8065" t="str">
            <v/>
          </cell>
        </row>
        <row r="8066">
          <cell r="B8066" t="str">
            <v>-</v>
          </cell>
          <cell r="E8066" t="str">
            <v/>
          </cell>
          <cell r="G8066" t="str">
            <v/>
          </cell>
          <cell r="J8066" t="str">
            <v/>
          </cell>
          <cell r="O8066" t="str">
            <v/>
          </cell>
          <cell r="P8066" t="str">
            <v/>
          </cell>
          <cell r="Q8066" t="str">
            <v/>
          </cell>
          <cell r="S8066" t="str">
            <v/>
          </cell>
          <cell r="V8066" t="str">
            <v/>
          </cell>
          <cell r="Z8066" t="str">
            <v/>
          </cell>
          <cell r="AA8066" t="str">
            <v/>
          </cell>
          <cell r="AB8066" t="str">
            <v/>
          </cell>
          <cell r="AC8066" t="str">
            <v/>
          </cell>
          <cell r="AD8066" t="str">
            <v/>
          </cell>
          <cell r="AY8066" t="str">
            <v/>
          </cell>
          <cell r="AZ8066" t="str">
            <v/>
          </cell>
          <cell r="BA8066" t="str">
            <v/>
          </cell>
        </row>
        <row r="8067">
          <cell r="B8067" t="str">
            <v>-</v>
          </cell>
          <cell r="E8067" t="str">
            <v/>
          </cell>
          <cell r="G8067" t="str">
            <v/>
          </cell>
          <cell r="J8067" t="str">
            <v/>
          </cell>
          <cell r="O8067" t="str">
            <v/>
          </cell>
          <cell r="P8067" t="str">
            <v/>
          </cell>
          <cell r="Q8067" t="str">
            <v/>
          </cell>
          <cell r="S8067" t="str">
            <v/>
          </cell>
          <cell r="V8067" t="str">
            <v/>
          </cell>
          <cell r="Z8067" t="str">
            <v/>
          </cell>
          <cell r="AA8067" t="str">
            <v/>
          </cell>
          <cell r="AB8067" t="str">
            <v/>
          </cell>
          <cell r="AC8067" t="str">
            <v/>
          </cell>
          <cell r="AD8067" t="str">
            <v/>
          </cell>
          <cell r="AY8067" t="str">
            <v/>
          </cell>
          <cell r="AZ8067" t="str">
            <v/>
          </cell>
          <cell r="BA8067" t="str">
            <v/>
          </cell>
        </row>
        <row r="8068">
          <cell r="B8068" t="str">
            <v>-</v>
          </cell>
          <cell r="E8068" t="str">
            <v/>
          </cell>
          <cell r="G8068" t="str">
            <v/>
          </cell>
          <cell r="J8068" t="str">
            <v/>
          </cell>
          <cell r="O8068" t="str">
            <v/>
          </cell>
          <cell r="P8068" t="str">
            <v/>
          </cell>
          <cell r="Q8068" t="str">
            <v/>
          </cell>
          <cell r="S8068" t="str">
            <v/>
          </cell>
          <cell r="V8068" t="str">
            <v/>
          </cell>
          <cell r="Z8068" t="str">
            <v/>
          </cell>
          <cell r="AA8068" t="str">
            <v/>
          </cell>
          <cell r="AB8068" t="str">
            <v/>
          </cell>
          <cell r="AC8068" t="str">
            <v/>
          </cell>
          <cell r="AD8068" t="str">
            <v/>
          </cell>
          <cell r="AY8068" t="str">
            <v/>
          </cell>
          <cell r="AZ8068" t="str">
            <v/>
          </cell>
          <cell r="BA8068" t="str">
            <v/>
          </cell>
        </row>
        <row r="8069">
          <cell r="B8069" t="str">
            <v>-</v>
          </cell>
          <cell r="E8069" t="str">
            <v/>
          </cell>
          <cell r="G8069" t="str">
            <v/>
          </cell>
          <cell r="J8069" t="str">
            <v/>
          </cell>
          <cell r="O8069" t="str">
            <v/>
          </cell>
          <cell r="P8069" t="str">
            <v/>
          </cell>
          <cell r="Q8069" t="str">
            <v/>
          </cell>
          <cell r="S8069" t="str">
            <v/>
          </cell>
          <cell r="V8069" t="str">
            <v/>
          </cell>
          <cell r="Z8069" t="str">
            <v/>
          </cell>
          <cell r="AA8069" t="str">
            <v/>
          </cell>
          <cell r="AB8069" t="str">
            <v/>
          </cell>
          <cell r="AC8069" t="str">
            <v/>
          </cell>
          <cell r="AD8069" t="str">
            <v/>
          </cell>
          <cell r="AY8069" t="str">
            <v/>
          </cell>
          <cell r="AZ8069" t="str">
            <v/>
          </cell>
          <cell r="BA8069" t="str">
            <v/>
          </cell>
        </row>
        <row r="8070">
          <cell r="B8070" t="str">
            <v>-</v>
          </cell>
          <cell r="E8070" t="str">
            <v/>
          </cell>
          <cell r="G8070" t="str">
            <v/>
          </cell>
          <cell r="J8070" t="str">
            <v/>
          </cell>
          <cell r="O8070" t="str">
            <v/>
          </cell>
          <cell r="P8070" t="str">
            <v/>
          </cell>
          <cell r="Q8070" t="str">
            <v/>
          </cell>
          <cell r="S8070" t="str">
            <v/>
          </cell>
          <cell r="V8070" t="str">
            <v/>
          </cell>
          <cell r="Z8070" t="str">
            <v/>
          </cell>
          <cell r="AA8070" t="str">
            <v/>
          </cell>
          <cell r="AB8070" t="str">
            <v/>
          </cell>
          <cell r="AC8070" t="str">
            <v/>
          </cell>
          <cell r="AD8070" t="str">
            <v/>
          </cell>
          <cell r="AY8070" t="str">
            <v/>
          </cell>
          <cell r="AZ8070" t="str">
            <v/>
          </cell>
          <cell r="BA8070" t="str">
            <v/>
          </cell>
        </row>
        <row r="8071">
          <cell r="B8071" t="str">
            <v>-</v>
          </cell>
          <cell r="E8071" t="str">
            <v/>
          </cell>
          <cell r="G8071" t="str">
            <v/>
          </cell>
          <cell r="J8071" t="str">
            <v/>
          </cell>
          <cell r="O8071" t="str">
            <v/>
          </cell>
          <cell r="P8071" t="str">
            <v/>
          </cell>
          <cell r="Q8071" t="str">
            <v/>
          </cell>
          <cell r="S8071" t="str">
            <v/>
          </cell>
          <cell r="V8071" t="str">
            <v/>
          </cell>
          <cell r="Z8071" t="str">
            <v/>
          </cell>
          <cell r="AA8071" t="str">
            <v/>
          </cell>
          <cell r="AB8071" t="str">
            <v/>
          </cell>
          <cell r="AC8071" t="str">
            <v/>
          </cell>
          <cell r="AD8071" t="str">
            <v/>
          </cell>
          <cell r="AY8071" t="str">
            <v/>
          </cell>
          <cell r="AZ8071" t="str">
            <v/>
          </cell>
          <cell r="BA8071" t="str">
            <v/>
          </cell>
        </row>
        <row r="8072">
          <cell r="B8072" t="str">
            <v>-</v>
          </cell>
          <cell r="E8072" t="str">
            <v/>
          </cell>
          <cell r="G8072" t="str">
            <v/>
          </cell>
          <cell r="J8072" t="str">
            <v/>
          </cell>
          <cell r="O8072" t="str">
            <v/>
          </cell>
          <cell r="P8072" t="str">
            <v/>
          </cell>
          <cell r="Q8072" t="str">
            <v/>
          </cell>
          <cell r="S8072" t="str">
            <v/>
          </cell>
          <cell r="V8072" t="str">
            <v/>
          </cell>
          <cell r="Z8072" t="str">
            <v/>
          </cell>
          <cell r="AA8072" t="str">
            <v/>
          </cell>
          <cell r="AB8072" t="str">
            <v/>
          </cell>
          <cell r="AC8072" t="str">
            <v/>
          </cell>
          <cell r="AD8072" t="str">
            <v/>
          </cell>
          <cell r="AY8072" t="str">
            <v/>
          </cell>
          <cell r="AZ8072" t="str">
            <v/>
          </cell>
          <cell r="BA8072" t="str">
            <v/>
          </cell>
        </row>
        <row r="8073">
          <cell r="B8073" t="str">
            <v>-</v>
          </cell>
          <cell r="E8073" t="str">
            <v/>
          </cell>
          <cell r="G8073" t="str">
            <v/>
          </cell>
          <cell r="J8073" t="str">
            <v/>
          </cell>
          <cell r="O8073" t="str">
            <v/>
          </cell>
          <cell r="P8073" t="str">
            <v/>
          </cell>
          <cell r="Q8073" t="str">
            <v/>
          </cell>
          <cell r="S8073" t="str">
            <v/>
          </cell>
          <cell r="V8073" t="str">
            <v/>
          </cell>
          <cell r="Z8073" t="str">
            <v/>
          </cell>
          <cell r="AA8073" t="str">
            <v/>
          </cell>
          <cell r="AB8073" t="str">
            <v/>
          </cell>
          <cell r="AC8073" t="str">
            <v/>
          </cell>
          <cell r="AD8073" t="str">
            <v/>
          </cell>
          <cell r="AY8073" t="str">
            <v/>
          </cell>
          <cell r="AZ8073" t="str">
            <v/>
          </cell>
          <cell r="BA8073" t="str">
            <v/>
          </cell>
        </row>
        <row r="8074">
          <cell r="B8074" t="str">
            <v>-</v>
          </cell>
          <cell r="E8074" t="str">
            <v/>
          </cell>
          <cell r="G8074" t="str">
            <v/>
          </cell>
          <cell r="J8074" t="str">
            <v/>
          </cell>
          <cell r="O8074" t="str">
            <v/>
          </cell>
          <cell r="P8074" t="str">
            <v/>
          </cell>
          <cell r="Q8074" t="str">
            <v/>
          </cell>
          <cell r="S8074" t="str">
            <v/>
          </cell>
          <cell r="V8074" t="str">
            <v/>
          </cell>
          <cell r="Z8074" t="str">
            <v/>
          </cell>
          <cell r="AA8074" t="str">
            <v/>
          </cell>
          <cell r="AB8074" t="str">
            <v/>
          </cell>
          <cell r="AC8074" t="str">
            <v/>
          </cell>
          <cell r="AD8074" t="str">
            <v/>
          </cell>
          <cell r="AY8074" t="str">
            <v/>
          </cell>
          <cell r="AZ8074" t="str">
            <v/>
          </cell>
          <cell r="BA8074" t="str">
            <v/>
          </cell>
        </row>
        <row r="8075">
          <cell r="B8075" t="str">
            <v>-</v>
          </cell>
          <cell r="E8075" t="str">
            <v/>
          </cell>
          <cell r="G8075" t="str">
            <v/>
          </cell>
          <cell r="J8075" t="str">
            <v/>
          </cell>
          <cell r="O8075" t="str">
            <v/>
          </cell>
          <cell r="P8075" t="str">
            <v/>
          </cell>
          <cell r="Q8075" t="str">
            <v/>
          </cell>
          <cell r="S8075" t="str">
            <v/>
          </cell>
          <cell r="V8075" t="str">
            <v/>
          </cell>
          <cell r="Z8075" t="str">
            <v/>
          </cell>
          <cell r="AA8075" t="str">
            <v/>
          </cell>
          <cell r="AB8075" t="str">
            <v/>
          </cell>
          <cell r="AC8075" t="str">
            <v/>
          </cell>
          <cell r="AD8075" t="str">
            <v/>
          </cell>
          <cell r="AY8075" t="str">
            <v/>
          </cell>
          <cell r="AZ8075" t="str">
            <v/>
          </cell>
          <cell r="BA8075" t="str">
            <v/>
          </cell>
        </row>
        <row r="8076">
          <cell r="B8076" t="str">
            <v>-</v>
          </cell>
          <cell r="E8076" t="str">
            <v/>
          </cell>
          <cell r="G8076" t="str">
            <v/>
          </cell>
          <cell r="J8076" t="str">
            <v/>
          </cell>
          <cell r="O8076" t="str">
            <v/>
          </cell>
          <cell r="P8076" t="str">
            <v/>
          </cell>
          <cell r="Q8076" t="str">
            <v/>
          </cell>
          <cell r="S8076" t="str">
            <v/>
          </cell>
          <cell r="V8076" t="str">
            <v/>
          </cell>
          <cell r="Z8076" t="str">
            <v/>
          </cell>
          <cell r="AA8076" t="str">
            <v/>
          </cell>
          <cell r="AB8076" t="str">
            <v/>
          </cell>
          <cell r="AC8076" t="str">
            <v/>
          </cell>
          <cell r="AD8076" t="str">
            <v/>
          </cell>
          <cell r="AY8076" t="str">
            <v/>
          </cell>
          <cell r="AZ8076" t="str">
            <v/>
          </cell>
          <cell r="BA8076" t="str">
            <v/>
          </cell>
        </row>
        <row r="8077">
          <cell r="B8077" t="str">
            <v>-</v>
          </cell>
          <cell r="E8077" t="str">
            <v/>
          </cell>
          <cell r="G8077" t="str">
            <v/>
          </cell>
          <cell r="J8077" t="str">
            <v/>
          </cell>
          <cell r="O8077" t="str">
            <v/>
          </cell>
          <cell r="P8077" t="str">
            <v/>
          </cell>
          <cell r="Q8077" t="str">
            <v/>
          </cell>
          <cell r="S8077" t="str">
            <v/>
          </cell>
          <cell r="V8077" t="str">
            <v/>
          </cell>
          <cell r="Z8077" t="str">
            <v/>
          </cell>
          <cell r="AA8077" t="str">
            <v/>
          </cell>
          <cell r="AB8077" t="str">
            <v/>
          </cell>
          <cell r="AC8077" t="str">
            <v/>
          </cell>
          <cell r="AD8077" t="str">
            <v/>
          </cell>
          <cell r="AY8077" t="str">
            <v/>
          </cell>
          <cell r="AZ8077" t="str">
            <v/>
          </cell>
          <cell r="BA8077" t="str">
            <v/>
          </cell>
        </row>
        <row r="8078">
          <cell r="B8078" t="str">
            <v>-</v>
          </cell>
          <cell r="E8078" t="str">
            <v/>
          </cell>
          <cell r="G8078" t="str">
            <v/>
          </cell>
          <cell r="J8078" t="str">
            <v/>
          </cell>
          <cell r="O8078" t="str">
            <v/>
          </cell>
          <cell r="P8078" t="str">
            <v/>
          </cell>
          <cell r="Q8078" t="str">
            <v/>
          </cell>
          <cell r="S8078" t="str">
            <v/>
          </cell>
          <cell r="V8078" t="str">
            <v/>
          </cell>
          <cell r="Z8078" t="str">
            <v/>
          </cell>
          <cell r="AA8078" t="str">
            <v/>
          </cell>
          <cell r="AB8078" t="str">
            <v/>
          </cell>
          <cell r="AC8078" t="str">
            <v/>
          </cell>
          <cell r="AD8078" t="str">
            <v/>
          </cell>
          <cell r="AY8078" t="str">
            <v/>
          </cell>
          <cell r="AZ8078" t="str">
            <v/>
          </cell>
          <cell r="BA8078" t="str">
            <v/>
          </cell>
        </row>
        <row r="8079">
          <cell r="B8079" t="str">
            <v>-</v>
          </cell>
          <cell r="E8079" t="str">
            <v/>
          </cell>
          <cell r="G8079" t="str">
            <v/>
          </cell>
          <cell r="J8079" t="str">
            <v/>
          </cell>
          <cell r="O8079" t="str">
            <v/>
          </cell>
          <cell r="P8079" t="str">
            <v/>
          </cell>
          <cell r="Q8079" t="str">
            <v/>
          </cell>
          <cell r="S8079" t="str">
            <v/>
          </cell>
          <cell r="V8079" t="str">
            <v/>
          </cell>
          <cell r="Z8079" t="str">
            <v/>
          </cell>
          <cell r="AA8079" t="str">
            <v/>
          </cell>
          <cell r="AB8079" t="str">
            <v/>
          </cell>
          <cell r="AC8079" t="str">
            <v/>
          </cell>
          <cell r="AD8079" t="str">
            <v/>
          </cell>
          <cell r="AY8079" t="str">
            <v/>
          </cell>
          <cell r="AZ8079" t="str">
            <v/>
          </cell>
          <cell r="BA8079" t="str">
            <v/>
          </cell>
        </row>
        <row r="8080">
          <cell r="B8080" t="str">
            <v>-</v>
          </cell>
          <cell r="E8080" t="str">
            <v/>
          </cell>
          <cell r="G8080" t="str">
            <v/>
          </cell>
          <cell r="J8080" t="str">
            <v/>
          </cell>
          <cell r="O8080" t="str">
            <v/>
          </cell>
          <cell r="P8080" t="str">
            <v/>
          </cell>
          <cell r="Q8080" t="str">
            <v/>
          </cell>
          <cell r="S8080" t="str">
            <v/>
          </cell>
          <cell r="V8080" t="str">
            <v/>
          </cell>
          <cell r="Z8080" t="str">
            <v/>
          </cell>
          <cell r="AA8080" t="str">
            <v/>
          </cell>
          <cell r="AB8080" t="str">
            <v/>
          </cell>
          <cell r="AC8080" t="str">
            <v/>
          </cell>
          <cell r="AD8080" t="str">
            <v/>
          </cell>
          <cell r="AY8080" t="str">
            <v/>
          </cell>
          <cell r="AZ8080" t="str">
            <v/>
          </cell>
          <cell r="BA8080" t="str">
            <v/>
          </cell>
        </row>
        <row r="8081">
          <cell r="B8081" t="str">
            <v>-</v>
          </cell>
          <cell r="E8081" t="str">
            <v/>
          </cell>
          <cell r="G8081" t="str">
            <v/>
          </cell>
          <cell r="J8081" t="str">
            <v/>
          </cell>
          <cell r="O8081" t="str">
            <v/>
          </cell>
          <cell r="P8081" t="str">
            <v/>
          </cell>
          <cell r="Q8081" t="str">
            <v/>
          </cell>
          <cell r="S8081" t="str">
            <v/>
          </cell>
          <cell r="V8081" t="str">
            <v/>
          </cell>
          <cell r="Z8081" t="str">
            <v/>
          </cell>
          <cell r="AA8081" t="str">
            <v/>
          </cell>
          <cell r="AB8081" t="str">
            <v/>
          </cell>
          <cell r="AC8081" t="str">
            <v/>
          </cell>
          <cell r="AD8081" t="str">
            <v/>
          </cell>
          <cell r="AY8081" t="str">
            <v/>
          </cell>
          <cell r="AZ8081" t="str">
            <v/>
          </cell>
          <cell r="BA8081" t="str">
            <v/>
          </cell>
        </row>
        <row r="8082">
          <cell r="B8082" t="str">
            <v>-</v>
          </cell>
          <cell r="E8082" t="str">
            <v/>
          </cell>
          <cell r="G8082" t="str">
            <v/>
          </cell>
          <cell r="J8082" t="str">
            <v/>
          </cell>
          <cell r="O8082" t="str">
            <v/>
          </cell>
          <cell r="P8082" t="str">
            <v/>
          </cell>
          <cell r="Q8082" t="str">
            <v/>
          </cell>
          <cell r="S8082" t="str">
            <v/>
          </cell>
          <cell r="V8082" t="str">
            <v/>
          </cell>
          <cell r="Z8082" t="str">
            <v/>
          </cell>
          <cell r="AA8082" t="str">
            <v/>
          </cell>
          <cell r="AB8082" t="str">
            <v/>
          </cell>
          <cell r="AC8082" t="str">
            <v/>
          </cell>
          <cell r="AD8082" t="str">
            <v/>
          </cell>
          <cell r="AY8082" t="str">
            <v/>
          </cell>
          <cell r="AZ8082" t="str">
            <v/>
          </cell>
          <cell r="BA8082" t="str">
            <v/>
          </cell>
        </row>
        <row r="8083">
          <cell r="B8083" t="str">
            <v>-</v>
          </cell>
          <cell r="E8083" t="str">
            <v/>
          </cell>
          <cell r="G8083" t="str">
            <v/>
          </cell>
          <cell r="J8083" t="str">
            <v/>
          </cell>
          <cell r="O8083" t="str">
            <v/>
          </cell>
          <cell r="P8083" t="str">
            <v/>
          </cell>
          <cell r="Q8083" t="str">
            <v/>
          </cell>
          <cell r="S8083" t="str">
            <v/>
          </cell>
          <cell r="V8083" t="str">
            <v/>
          </cell>
          <cell r="Z8083" t="str">
            <v/>
          </cell>
          <cell r="AA8083" t="str">
            <v/>
          </cell>
          <cell r="AB8083" t="str">
            <v/>
          </cell>
          <cell r="AC8083" t="str">
            <v/>
          </cell>
          <cell r="AD8083" t="str">
            <v/>
          </cell>
          <cell r="AY8083" t="str">
            <v/>
          </cell>
          <cell r="AZ8083" t="str">
            <v/>
          </cell>
          <cell r="BA8083" t="str">
            <v/>
          </cell>
        </row>
        <row r="8084">
          <cell r="B8084" t="str">
            <v>-</v>
          </cell>
          <cell r="E8084" t="str">
            <v/>
          </cell>
          <cell r="G8084" t="str">
            <v/>
          </cell>
          <cell r="J8084" t="str">
            <v/>
          </cell>
          <cell r="O8084" t="str">
            <v/>
          </cell>
          <cell r="P8084" t="str">
            <v/>
          </cell>
          <cell r="Q8084" t="str">
            <v/>
          </cell>
          <cell r="S8084" t="str">
            <v/>
          </cell>
          <cell r="V8084" t="str">
            <v/>
          </cell>
          <cell r="Z8084" t="str">
            <v/>
          </cell>
          <cell r="AA8084" t="str">
            <v/>
          </cell>
          <cell r="AB8084" t="str">
            <v/>
          </cell>
          <cell r="AC8084" t="str">
            <v/>
          </cell>
          <cell r="AD8084" t="str">
            <v/>
          </cell>
          <cell r="AY8084" t="str">
            <v/>
          </cell>
          <cell r="AZ8084" t="str">
            <v/>
          </cell>
          <cell r="BA8084" t="str">
            <v/>
          </cell>
        </row>
        <row r="8085">
          <cell r="B8085" t="str">
            <v>-</v>
          </cell>
          <cell r="E8085" t="str">
            <v/>
          </cell>
          <cell r="G8085" t="str">
            <v/>
          </cell>
          <cell r="J8085" t="str">
            <v/>
          </cell>
          <cell r="O8085" t="str">
            <v/>
          </cell>
          <cell r="P8085" t="str">
            <v/>
          </cell>
          <cell r="Q8085" t="str">
            <v/>
          </cell>
          <cell r="S8085" t="str">
            <v/>
          </cell>
          <cell r="V8085" t="str">
            <v/>
          </cell>
          <cell r="Z8085" t="str">
            <v/>
          </cell>
          <cell r="AA8085" t="str">
            <v/>
          </cell>
          <cell r="AB8085" t="str">
            <v/>
          </cell>
          <cell r="AC8085" t="str">
            <v/>
          </cell>
          <cell r="AD8085" t="str">
            <v/>
          </cell>
          <cell r="AY8085" t="str">
            <v/>
          </cell>
          <cell r="AZ8085" t="str">
            <v/>
          </cell>
          <cell r="BA8085" t="str">
            <v/>
          </cell>
        </row>
        <row r="8086">
          <cell r="B8086" t="str">
            <v>-</v>
          </cell>
          <cell r="E8086" t="str">
            <v/>
          </cell>
          <cell r="G8086" t="str">
            <v/>
          </cell>
          <cell r="J8086" t="str">
            <v/>
          </cell>
          <cell r="O8086" t="str">
            <v/>
          </cell>
          <cell r="P8086" t="str">
            <v/>
          </cell>
          <cell r="Q8086" t="str">
            <v/>
          </cell>
          <cell r="S8086" t="str">
            <v/>
          </cell>
          <cell r="V8086" t="str">
            <v/>
          </cell>
          <cell r="Z8086" t="str">
            <v/>
          </cell>
          <cell r="AA8086" t="str">
            <v/>
          </cell>
          <cell r="AB8086" t="str">
            <v/>
          </cell>
          <cell r="AC8086" t="str">
            <v/>
          </cell>
          <cell r="AD8086" t="str">
            <v/>
          </cell>
          <cell r="AY8086" t="str">
            <v/>
          </cell>
          <cell r="AZ8086" t="str">
            <v/>
          </cell>
          <cell r="BA8086" t="str">
            <v/>
          </cell>
        </row>
        <row r="8087">
          <cell r="B8087" t="str">
            <v>-</v>
          </cell>
          <cell r="E8087" t="str">
            <v/>
          </cell>
          <cell r="G8087" t="str">
            <v/>
          </cell>
          <cell r="J8087" t="str">
            <v/>
          </cell>
          <cell r="O8087" t="str">
            <v/>
          </cell>
          <cell r="P8087" t="str">
            <v/>
          </cell>
          <cell r="Q8087" t="str">
            <v/>
          </cell>
          <cell r="S8087" t="str">
            <v/>
          </cell>
          <cell r="V8087" t="str">
            <v/>
          </cell>
          <cell r="Z8087" t="str">
            <v/>
          </cell>
          <cell r="AA8087" t="str">
            <v/>
          </cell>
          <cell r="AB8087" t="str">
            <v/>
          </cell>
          <cell r="AC8087" t="str">
            <v/>
          </cell>
          <cell r="AD8087" t="str">
            <v/>
          </cell>
          <cell r="AY8087" t="str">
            <v/>
          </cell>
          <cell r="AZ8087" t="str">
            <v/>
          </cell>
          <cell r="BA8087" t="str">
            <v/>
          </cell>
        </row>
        <row r="8088">
          <cell r="B8088" t="str">
            <v>-</v>
          </cell>
          <cell r="E8088" t="str">
            <v/>
          </cell>
          <cell r="G8088" t="str">
            <v/>
          </cell>
          <cell r="J8088" t="str">
            <v/>
          </cell>
          <cell r="O8088" t="str">
            <v/>
          </cell>
          <cell r="P8088" t="str">
            <v/>
          </cell>
          <cell r="Q8088" t="str">
            <v/>
          </cell>
          <cell r="S8088" t="str">
            <v/>
          </cell>
          <cell r="V8088" t="str">
            <v/>
          </cell>
          <cell r="Z8088" t="str">
            <v/>
          </cell>
          <cell r="AA8088" t="str">
            <v/>
          </cell>
          <cell r="AB8088" t="str">
            <v/>
          </cell>
          <cell r="AC8088" t="str">
            <v/>
          </cell>
          <cell r="AD8088" t="str">
            <v/>
          </cell>
          <cell r="AY8088" t="str">
            <v/>
          </cell>
          <cell r="AZ8088" t="str">
            <v/>
          </cell>
          <cell r="BA8088" t="str">
            <v/>
          </cell>
        </row>
        <row r="8089">
          <cell r="B8089" t="str">
            <v>-</v>
          </cell>
          <cell r="E8089" t="str">
            <v/>
          </cell>
          <cell r="G8089" t="str">
            <v/>
          </cell>
          <cell r="J8089" t="str">
            <v/>
          </cell>
          <cell r="O8089" t="str">
            <v/>
          </cell>
          <cell r="P8089" t="str">
            <v/>
          </cell>
          <cell r="Q8089" t="str">
            <v/>
          </cell>
          <cell r="S8089" t="str">
            <v/>
          </cell>
          <cell r="V8089" t="str">
            <v/>
          </cell>
          <cell r="Z8089" t="str">
            <v/>
          </cell>
          <cell r="AA8089" t="str">
            <v/>
          </cell>
          <cell r="AB8089" t="str">
            <v/>
          </cell>
          <cell r="AC8089" t="str">
            <v/>
          </cell>
          <cell r="AD8089" t="str">
            <v/>
          </cell>
          <cell r="AY8089" t="str">
            <v/>
          </cell>
          <cell r="AZ8089" t="str">
            <v/>
          </cell>
          <cell r="BA8089" t="str">
            <v/>
          </cell>
        </row>
        <row r="8090">
          <cell r="B8090" t="str">
            <v>-</v>
          </cell>
          <cell r="E8090" t="str">
            <v/>
          </cell>
          <cell r="G8090" t="str">
            <v/>
          </cell>
          <cell r="J8090" t="str">
            <v/>
          </cell>
          <cell r="O8090" t="str">
            <v/>
          </cell>
          <cell r="P8090" t="str">
            <v/>
          </cell>
          <cell r="Q8090" t="str">
            <v/>
          </cell>
          <cell r="S8090" t="str">
            <v/>
          </cell>
          <cell r="V8090" t="str">
            <v/>
          </cell>
          <cell r="Z8090" t="str">
            <v/>
          </cell>
          <cell r="AA8090" t="str">
            <v/>
          </cell>
          <cell r="AB8090" t="str">
            <v/>
          </cell>
          <cell r="AC8090" t="str">
            <v/>
          </cell>
          <cell r="AD8090" t="str">
            <v/>
          </cell>
          <cell r="AY8090" t="str">
            <v/>
          </cell>
          <cell r="AZ8090" t="str">
            <v/>
          </cell>
          <cell r="BA8090" t="str">
            <v/>
          </cell>
        </row>
        <row r="8091">
          <cell r="B8091" t="str">
            <v>-</v>
          </cell>
          <cell r="E8091" t="str">
            <v/>
          </cell>
          <cell r="G8091" t="str">
            <v/>
          </cell>
          <cell r="J8091" t="str">
            <v/>
          </cell>
          <cell r="O8091" t="str">
            <v/>
          </cell>
          <cell r="P8091" t="str">
            <v/>
          </cell>
          <cell r="Q8091" t="str">
            <v/>
          </cell>
          <cell r="S8091" t="str">
            <v/>
          </cell>
          <cell r="V8091" t="str">
            <v/>
          </cell>
          <cell r="Z8091" t="str">
            <v/>
          </cell>
          <cell r="AA8091" t="str">
            <v/>
          </cell>
          <cell r="AB8091" t="str">
            <v/>
          </cell>
          <cell r="AC8091" t="str">
            <v/>
          </cell>
          <cell r="AD8091" t="str">
            <v/>
          </cell>
          <cell r="AY8091" t="str">
            <v/>
          </cell>
          <cell r="AZ8091" t="str">
            <v/>
          </cell>
          <cell r="BA8091" t="str">
            <v/>
          </cell>
        </row>
        <row r="8092">
          <cell r="B8092" t="str">
            <v>-</v>
          </cell>
          <cell r="E8092" t="str">
            <v/>
          </cell>
          <cell r="G8092" t="str">
            <v/>
          </cell>
          <cell r="J8092" t="str">
            <v/>
          </cell>
          <cell r="O8092" t="str">
            <v/>
          </cell>
          <cell r="P8092" t="str">
            <v/>
          </cell>
          <cell r="Q8092" t="str">
            <v/>
          </cell>
          <cell r="S8092" t="str">
            <v/>
          </cell>
          <cell r="V8092" t="str">
            <v/>
          </cell>
          <cell r="Z8092" t="str">
            <v/>
          </cell>
          <cell r="AA8092" t="str">
            <v/>
          </cell>
          <cell r="AB8092" t="str">
            <v/>
          </cell>
          <cell r="AC8092" t="str">
            <v/>
          </cell>
          <cell r="AD8092" t="str">
            <v/>
          </cell>
          <cell r="AY8092" t="str">
            <v/>
          </cell>
          <cell r="AZ8092" t="str">
            <v/>
          </cell>
          <cell r="BA8092" t="str">
            <v/>
          </cell>
        </row>
        <row r="8093">
          <cell r="B8093" t="str">
            <v>-</v>
          </cell>
          <cell r="E8093" t="str">
            <v/>
          </cell>
          <cell r="G8093" t="str">
            <v/>
          </cell>
          <cell r="J8093" t="str">
            <v/>
          </cell>
          <cell r="O8093" t="str">
            <v/>
          </cell>
          <cell r="P8093" t="str">
            <v/>
          </cell>
          <cell r="Q8093" t="str">
            <v/>
          </cell>
          <cell r="S8093" t="str">
            <v/>
          </cell>
          <cell r="V8093" t="str">
            <v/>
          </cell>
          <cell r="Z8093" t="str">
            <v/>
          </cell>
          <cell r="AA8093" t="str">
            <v/>
          </cell>
          <cell r="AB8093" t="str">
            <v/>
          </cell>
          <cell r="AC8093" t="str">
            <v/>
          </cell>
          <cell r="AD8093" t="str">
            <v/>
          </cell>
          <cell r="AY8093" t="str">
            <v/>
          </cell>
          <cell r="AZ8093" t="str">
            <v/>
          </cell>
          <cell r="BA8093" t="str">
            <v/>
          </cell>
        </row>
        <row r="8094">
          <cell r="B8094" t="str">
            <v>-</v>
          </cell>
          <cell r="E8094" t="str">
            <v/>
          </cell>
          <cell r="G8094" t="str">
            <v/>
          </cell>
          <cell r="J8094" t="str">
            <v/>
          </cell>
          <cell r="O8094" t="str">
            <v/>
          </cell>
          <cell r="P8094" t="str">
            <v/>
          </cell>
          <cell r="Q8094" t="str">
            <v/>
          </cell>
          <cell r="S8094" t="str">
            <v/>
          </cell>
          <cell r="V8094" t="str">
            <v/>
          </cell>
          <cell r="Z8094" t="str">
            <v/>
          </cell>
          <cell r="AA8094" t="str">
            <v/>
          </cell>
          <cell r="AB8094" t="str">
            <v/>
          </cell>
          <cell r="AC8094" t="str">
            <v/>
          </cell>
          <cell r="AD8094" t="str">
            <v/>
          </cell>
          <cell r="AY8094" t="str">
            <v/>
          </cell>
          <cell r="AZ8094" t="str">
            <v/>
          </cell>
          <cell r="BA8094" t="str">
            <v/>
          </cell>
        </row>
        <row r="8095">
          <cell r="B8095" t="str">
            <v>-</v>
          </cell>
          <cell r="E8095" t="str">
            <v/>
          </cell>
          <cell r="G8095" t="str">
            <v/>
          </cell>
          <cell r="J8095" t="str">
            <v/>
          </cell>
          <cell r="O8095" t="str">
            <v/>
          </cell>
          <cell r="P8095" t="str">
            <v/>
          </cell>
          <cell r="Q8095" t="str">
            <v/>
          </cell>
          <cell r="S8095" t="str">
            <v/>
          </cell>
          <cell r="V8095" t="str">
            <v/>
          </cell>
          <cell r="Z8095" t="str">
            <v/>
          </cell>
          <cell r="AA8095" t="str">
            <v/>
          </cell>
          <cell r="AB8095" t="str">
            <v/>
          </cell>
          <cell r="AC8095" t="str">
            <v/>
          </cell>
          <cell r="AD8095" t="str">
            <v/>
          </cell>
          <cell r="AY8095" t="str">
            <v/>
          </cell>
          <cell r="AZ8095" t="str">
            <v/>
          </cell>
          <cell r="BA8095" t="str">
            <v/>
          </cell>
        </row>
        <row r="8096">
          <cell r="B8096" t="str">
            <v>-</v>
          </cell>
          <cell r="E8096" t="str">
            <v/>
          </cell>
          <cell r="G8096" t="str">
            <v/>
          </cell>
          <cell r="J8096" t="str">
            <v/>
          </cell>
          <cell r="O8096" t="str">
            <v/>
          </cell>
          <cell r="P8096" t="str">
            <v/>
          </cell>
          <cell r="Q8096" t="str">
            <v/>
          </cell>
          <cell r="S8096" t="str">
            <v/>
          </cell>
          <cell r="V8096" t="str">
            <v/>
          </cell>
          <cell r="Z8096" t="str">
            <v/>
          </cell>
          <cell r="AA8096" t="str">
            <v/>
          </cell>
          <cell r="AB8096" t="str">
            <v/>
          </cell>
          <cell r="AC8096" t="str">
            <v/>
          </cell>
          <cell r="AD8096" t="str">
            <v/>
          </cell>
          <cell r="AY8096" t="str">
            <v/>
          </cell>
          <cell r="AZ8096" t="str">
            <v/>
          </cell>
          <cell r="BA8096" t="str">
            <v/>
          </cell>
        </row>
        <row r="8097">
          <cell r="B8097" t="str">
            <v>-</v>
          </cell>
          <cell r="E8097" t="str">
            <v/>
          </cell>
          <cell r="G8097" t="str">
            <v/>
          </cell>
          <cell r="J8097" t="str">
            <v/>
          </cell>
          <cell r="O8097" t="str">
            <v/>
          </cell>
          <cell r="P8097" t="str">
            <v/>
          </cell>
          <cell r="Q8097" t="str">
            <v/>
          </cell>
          <cell r="S8097" t="str">
            <v/>
          </cell>
          <cell r="V8097" t="str">
            <v/>
          </cell>
          <cell r="Z8097" t="str">
            <v/>
          </cell>
          <cell r="AA8097" t="str">
            <v/>
          </cell>
          <cell r="AB8097" t="str">
            <v/>
          </cell>
          <cell r="AC8097" t="str">
            <v/>
          </cell>
          <cell r="AD8097" t="str">
            <v/>
          </cell>
          <cell r="AY8097" t="str">
            <v/>
          </cell>
          <cell r="AZ8097" t="str">
            <v/>
          </cell>
          <cell r="BA8097" t="str">
            <v/>
          </cell>
        </row>
        <row r="8098">
          <cell r="B8098" t="str">
            <v>-</v>
          </cell>
          <cell r="E8098" t="str">
            <v/>
          </cell>
          <cell r="G8098" t="str">
            <v/>
          </cell>
          <cell r="J8098" t="str">
            <v/>
          </cell>
          <cell r="O8098" t="str">
            <v/>
          </cell>
          <cell r="P8098" t="str">
            <v/>
          </cell>
          <cell r="Q8098" t="str">
            <v/>
          </cell>
          <cell r="S8098" t="str">
            <v/>
          </cell>
          <cell r="V8098" t="str">
            <v/>
          </cell>
          <cell r="Z8098" t="str">
            <v/>
          </cell>
          <cell r="AA8098" t="str">
            <v/>
          </cell>
          <cell r="AB8098" t="str">
            <v/>
          </cell>
          <cell r="AC8098" t="str">
            <v/>
          </cell>
          <cell r="AD8098" t="str">
            <v/>
          </cell>
          <cell r="AY8098" t="str">
            <v/>
          </cell>
          <cell r="AZ8098" t="str">
            <v/>
          </cell>
          <cell r="BA8098" t="str">
            <v/>
          </cell>
        </row>
        <row r="8099">
          <cell r="B8099" t="str">
            <v>-</v>
          </cell>
          <cell r="E8099" t="str">
            <v/>
          </cell>
          <cell r="G8099" t="str">
            <v/>
          </cell>
          <cell r="J8099" t="str">
            <v/>
          </cell>
          <cell r="O8099" t="str">
            <v/>
          </cell>
          <cell r="P8099" t="str">
            <v/>
          </cell>
          <cell r="Q8099" t="str">
            <v/>
          </cell>
          <cell r="S8099" t="str">
            <v/>
          </cell>
          <cell r="V8099" t="str">
            <v/>
          </cell>
          <cell r="Z8099" t="str">
            <v/>
          </cell>
          <cell r="AA8099" t="str">
            <v/>
          </cell>
          <cell r="AB8099" t="str">
            <v/>
          </cell>
          <cell r="AC8099" t="str">
            <v/>
          </cell>
          <cell r="AD8099" t="str">
            <v/>
          </cell>
          <cell r="AY8099" t="str">
            <v/>
          </cell>
          <cell r="AZ8099" t="str">
            <v/>
          </cell>
          <cell r="BA8099" t="str">
            <v/>
          </cell>
        </row>
        <row r="8100">
          <cell r="B8100" t="str">
            <v>-</v>
          </cell>
          <cell r="E8100" t="str">
            <v/>
          </cell>
          <cell r="G8100" t="str">
            <v/>
          </cell>
          <cell r="J8100" t="str">
            <v/>
          </cell>
          <cell r="O8100" t="str">
            <v/>
          </cell>
          <cell r="P8100" t="str">
            <v/>
          </cell>
          <cell r="Q8100" t="str">
            <v/>
          </cell>
          <cell r="S8100" t="str">
            <v/>
          </cell>
          <cell r="V8100" t="str">
            <v/>
          </cell>
          <cell r="Z8100" t="str">
            <v/>
          </cell>
          <cell r="AA8100" t="str">
            <v/>
          </cell>
          <cell r="AB8100" t="str">
            <v/>
          </cell>
          <cell r="AC8100" t="str">
            <v/>
          </cell>
          <cell r="AD8100" t="str">
            <v/>
          </cell>
          <cell r="AY8100" t="str">
            <v/>
          </cell>
          <cell r="AZ8100" t="str">
            <v/>
          </cell>
          <cell r="BA8100" t="str">
            <v/>
          </cell>
        </row>
        <row r="8101">
          <cell r="B8101" t="str">
            <v>-</v>
          </cell>
          <cell r="E8101" t="str">
            <v/>
          </cell>
          <cell r="G8101" t="str">
            <v/>
          </cell>
          <cell r="J8101" t="str">
            <v/>
          </cell>
          <cell r="O8101" t="str">
            <v/>
          </cell>
          <cell r="P8101" t="str">
            <v/>
          </cell>
          <cell r="Q8101" t="str">
            <v/>
          </cell>
          <cell r="S8101" t="str">
            <v/>
          </cell>
          <cell r="V8101" t="str">
            <v/>
          </cell>
          <cell r="Z8101" t="str">
            <v/>
          </cell>
          <cell r="AA8101" t="str">
            <v/>
          </cell>
          <cell r="AB8101" t="str">
            <v/>
          </cell>
          <cell r="AC8101" t="str">
            <v/>
          </cell>
          <cell r="AD8101" t="str">
            <v/>
          </cell>
          <cell r="AY8101" t="str">
            <v/>
          </cell>
          <cell r="AZ8101" t="str">
            <v/>
          </cell>
          <cell r="BA8101" t="str">
            <v/>
          </cell>
        </row>
        <row r="8102">
          <cell r="B8102" t="str">
            <v>-</v>
          </cell>
          <cell r="E8102" t="str">
            <v/>
          </cell>
          <cell r="G8102" t="str">
            <v/>
          </cell>
          <cell r="J8102" t="str">
            <v/>
          </cell>
          <cell r="O8102" t="str">
            <v/>
          </cell>
          <cell r="P8102" t="str">
            <v/>
          </cell>
          <cell r="Q8102" t="str">
            <v/>
          </cell>
          <cell r="S8102" t="str">
            <v/>
          </cell>
          <cell r="V8102" t="str">
            <v/>
          </cell>
          <cell r="Z8102" t="str">
            <v/>
          </cell>
          <cell r="AA8102" t="str">
            <v/>
          </cell>
          <cell r="AB8102" t="str">
            <v/>
          </cell>
          <cell r="AC8102" t="str">
            <v/>
          </cell>
          <cell r="AD8102" t="str">
            <v/>
          </cell>
          <cell r="AY8102" t="str">
            <v/>
          </cell>
          <cell r="AZ8102" t="str">
            <v/>
          </cell>
          <cell r="BA8102" t="str">
            <v/>
          </cell>
        </row>
        <row r="8103">
          <cell r="B8103" t="str">
            <v>-</v>
          </cell>
          <cell r="E8103" t="str">
            <v/>
          </cell>
          <cell r="G8103" t="str">
            <v/>
          </cell>
          <cell r="J8103" t="str">
            <v/>
          </cell>
          <cell r="O8103" t="str">
            <v/>
          </cell>
          <cell r="P8103" t="str">
            <v/>
          </cell>
          <cell r="Q8103" t="str">
            <v/>
          </cell>
          <cell r="S8103" t="str">
            <v/>
          </cell>
          <cell r="V8103" t="str">
            <v/>
          </cell>
          <cell r="Z8103" t="str">
            <v/>
          </cell>
          <cell r="AA8103" t="str">
            <v/>
          </cell>
          <cell r="AB8103" t="str">
            <v/>
          </cell>
          <cell r="AC8103" t="str">
            <v/>
          </cell>
          <cell r="AD8103" t="str">
            <v/>
          </cell>
          <cell r="AY8103" t="str">
            <v/>
          </cell>
          <cell r="AZ8103" t="str">
            <v/>
          </cell>
          <cell r="BA8103" t="str">
            <v/>
          </cell>
        </row>
        <row r="8104">
          <cell r="B8104" t="str">
            <v>-</v>
          </cell>
          <cell r="E8104" t="str">
            <v/>
          </cell>
          <cell r="G8104" t="str">
            <v/>
          </cell>
          <cell r="J8104" t="str">
            <v/>
          </cell>
          <cell r="O8104" t="str">
            <v/>
          </cell>
          <cell r="P8104" t="str">
            <v/>
          </cell>
          <cell r="Q8104" t="str">
            <v/>
          </cell>
          <cell r="S8104" t="str">
            <v/>
          </cell>
          <cell r="V8104" t="str">
            <v/>
          </cell>
          <cell r="Z8104" t="str">
            <v/>
          </cell>
          <cell r="AA8104" t="str">
            <v/>
          </cell>
          <cell r="AB8104" t="str">
            <v/>
          </cell>
          <cell r="AC8104" t="str">
            <v/>
          </cell>
          <cell r="AD8104" t="str">
            <v/>
          </cell>
          <cell r="AY8104" t="str">
            <v/>
          </cell>
          <cell r="AZ8104" t="str">
            <v/>
          </cell>
          <cell r="BA8104" t="str">
            <v/>
          </cell>
        </row>
        <row r="8105">
          <cell r="B8105" t="str">
            <v>-</v>
          </cell>
          <cell r="E8105" t="str">
            <v/>
          </cell>
          <cell r="G8105" t="str">
            <v/>
          </cell>
          <cell r="J8105" t="str">
            <v/>
          </cell>
          <cell r="O8105" t="str">
            <v/>
          </cell>
          <cell r="P8105" t="str">
            <v/>
          </cell>
          <cell r="Q8105" t="str">
            <v/>
          </cell>
          <cell r="S8105" t="str">
            <v/>
          </cell>
          <cell r="V8105" t="str">
            <v/>
          </cell>
          <cell r="Z8105" t="str">
            <v/>
          </cell>
          <cell r="AA8105" t="str">
            <v/>
          </cell>
          <cell r="AB8105" t="str">
            <v/>
          </cell>
          <cell r="AC8105" t="str">
            <v/>
          </cell>
          <cell r="AD8105" t="str">
            <v/>
          </cell>
          <cell r="AY8105" t="str">
            <v/>
          </cell>
          <cell r="AZ8105" t="str">
            <v/>
          </cell>
          <cell r="BA8105" t="str">
            <v/>
          </cell>
        </row>
        <row r="8106">
          <cell r="B8106" t="str">
            <v>-</v>
          </cell>
          <cell r="E8106" t="str">
            <v/>
          </cell>
          <cell r="G8106" t="str">
            <v/>
          </cell>
          <cell r="J8106" t="str">
            <v/>
          </cell>
          <cell r="O8106" t="str">
            <v/>
          </cell>
          <cell r="P8106" t="str">
            <v/>
          </cell>
          <cell r="Q8106" t="str">
            <v/>
          </cell>
          <cell r="S8106" t="str">
            <v/>
          </cell>
          <cell r="V8106" t="str">
            <v/>
          </cell>
          <cell r="Z8106" t="str">
            <v/>
          </cell>
          <cell r="AA8106" t="str">
            <v/>
          </cell>
          <cell r="AB8106" t="str">
            <v/>
          </cell>
          <cell r="AC8106" t="str">
            <v/>
          </cell>
          <cell r="AD8106" t="str">
            <v/>
          </cell>
          <cell r="AY8106" t="str">
            <v/>
          </cell>
          <cell r="AZ8106" t="str">
            <v/>
          </cell>
          <cell r="BA8106" t="str">
            <v/>
          </cell>
        </row>
        <row r="8107">
          <cell r="B8107" t="str">
            <v>-</v>
          </cell>
          <cell r="E8107" t="str">
            <v/>
          </cell>
          <cell r="G8107" t="str">
            <v/>
          </cell>
          <cell r="J8107" t="str">
            <v/>
          </cell>
          <cell r="O8107" t="str">
            <v/>
          </cell>
          <cell r="P8107" t="str">
            <v/>
          </cell>
          <cell r="Q8107" t="str">
            <v/>
          </cell>
          <cell r="S8107" t="str">
            <v/>
          </cell>
          <cell r="V8107" t="str">
            <v/>
          </cell>
          <cell r="Z8107" t="str">
            <v/>
          </cell>
          <cell r="AA8107" t="str">
            <v/>
          </cell>
          <cell r="AB8107" t="str">
            <v/>
          </cell>
          <cell r="AC8107" t="str">
            <v/>
          </cell>
          <cell r="AD8107" t="str">
            <v/>
          </cell>
          <cell r="AY8107" t="str">
            <v/>
          </cell>
          <cell r="AZ8107" t="str">
            <v/>
          </cell>
          <cell r="BA8107" t="str">
            <v/>
          </cell>
        </row>
        <row r="8108">
          <cell r="B8108" t="str">
            <v>-</v>
          </cell>
          <cell r="E8108" t="str">
            <v/>
          </cell>
          <cell r="G8108" t="str">
            <v/>
          </cell>
          <cell r="J8108" t="str">
            <v/>
          </cell>
          <cell r="O8108" t="str">
            <v/>
          </cell>
          <cell r="P8108" t="str">
            <v/>
          </cell>
          <cell r="Q8108" t="str">
            <v/>
          </cell>
          <cell r="S8108" t="str">
            <v/>
          </cell>
          <cell r="V8108" t="str">
            <v/>
          </cell>
          <cell r="Z8108" t="str">
            <v/>
          </cell>
          <cell r="AA8108" t="str">
            <v/>
          </cell>
          <cell r="AB8108" t="str">
            <v/>
          </cell>
          <cell r="AC8108" t="str">
            <v/>
          </cell>
          <cell r="AD8108" t="str">
            <v/>
          </cell>
          <cell r="AY8108" t="str">
            <v/>
          </cell>
          <cell r="AZ8108" t="str">
            <v/>
          </cell>
          <cell r="BA8108" t="str">
            <v/>
          </cell>
        </row>
        <row r="8109">
          <cell r="B8109" t="str">
            <v>-</v>
          </cell>
          <cell r="E8109" t="str">
            <v/>
          </cell>
          <cell r="G8109" t="str">
            <v/>
          </cell>
          <cell r="J8109" t="str">
            <v/>
          </cell>
          <cell r="O8109" t="str">
            <v/>
          </cell>
          <cell r="P8109" t="str">
            <v/>
          </cell>
          <cell r="Q8109" t="str">
            <v/>
          </cell>
          <cell r="S8109" t="str">
            <v/>
          </cell>
          <cell r="V8109" t="str">
            <v/>
          </cell>
          <cell r="Z8109" t="str">
            <v/>
          </cell>
          <cell r="AA8109" t="str">
            <v/>
          </cell>
          <cell r="AB8109" t="str">
            <v/>
          </cell>
          <cell r="AC8109" t="str">
            <v/>
          </cell>
          <cell r="AD8109" t="str">
            <v/>
          </cell>
          <cell r="AY8109" t="str">
            <v/>
          </cell>
          <cell r="AZ8109" t="str">
            <v/>
          </cell>
          <cell r="BA8109" t="str">
            <v/>
          </cell>
        </row>
        <row r="8110">
          <cell r="B8110" t="str">
            <v>-</v>
          </cell>
          <cell r="E8110" t="str">
            <v/>
          </cell>
          <cell r="G8110" t="str">
            <v/>
          </cell>
          <cell r="J8110" t="str">
            <v/>
          </cell>
          <cell r="O8110" t="str">
            <v/>
          </cell>
          <cell r="P8110" t="str">
            <v/>
          </cell>
          <cell r="Q8110" t="str">
            <v/>
          </cell>
          <cell r="S8110" t="str">
            <v/>
          </cell>
          <cell r="V8110" t="str">
            <v/>
          </cell>
          <cell r="Z8110" t="str">
            <v/>
          </cell>
          <cell r="AA8110" t="str">
            <v/>
          </cell>
          <cell r="AB8110" t="str">
            <v/>
          </cell>
          <cell r="AC8110" t="str">
            <v/>
          </cell>
          <cell r="AD8110" t="str">
            <v/>
          </cell>
          <cell r="AY8110" t="str">
            <v/>
          </cell>
          <cell r="AZ8110" t="str">
            <v/>
          </cell>
          <cell r="BA8110" t="str">
            <v/>
          </cell>
        </row>
        <row r="8111">
          <cell r="B8111" t="str">
            <v>-</v>
          </cell>
          <cell r="E8111" t="str">
            <v/>
          </cell>
          <cell r="G8111" t="str">
            <v/>
          </cell>
          <cell r="J8111" t="str">
            <v/>
          </cell>
          <cell r="O8111" t="str">
            <v/>
          </cell>
          <cell r="P8111" t="str">
            <v/>
          </cell>
          <cell r="Q8111" t="str">
            <v/>
          </cell>
          <cell r="S8111" t="str">
            <v/>
          </cell>
          <cell r="V8111" t="str">
            <v/>
          </cell>
          <cell r="Z8111" t="str">
            <v/>
          </cell>
          <cell r="AA8111" t="str">
            <v/>
          </cell>
          <cell r="AB8111" t="str">
            <v/>
          </cell>
          <cell r="AC8111" t="str">
            <v/>
          </cell>
          <cell r="AD8111" t="str">
            <v/>
          </cell>
          <cell r="AY8111" t="str">
            <v/>
          </cell>
          <cell r="AZ8111" t="str">
            <v/>
          </cell>
          <cell r="BA8111" t="str">
            <v/>
          </cell>
        </row>
        <row r="8112">
          <cell r="B8112" t="str">
            <v>-</v>
          </cell>
          <cell r="E8112" t="str">
            <v/>
          </cell>
          <cell r="G8112" t="str">
            <v/>
          </cell>
          <cell r="J8112" t="str">
            <v/>
          </cell>
          <cell r="O8112" t="str">
            <v/>
          </cell>
          <cell r="P8112" t="str">
            <v/>
          </cell>
          <cell r="Q8112" t="str">
            <v/>
          </cell>
          <cell r="S8112" t="str">
            <v/>
          </cell>
          <cell r="V8112" t="str">
            <v/>
          </cell>
          <cell r="Z8112" t="str">
            <v/>
          </cell>
          <cell r="AA8112" t="str">
            <v/>
          </cell>
          <cell r="AB8112" t="str">
            <v/>
          </cell>
          <cell r="AC8112" t="str">
            <v/>
          </cell>
          <cell r="AD8112" t="str">
            <v/>
          </cell>
          <cell r="AY8112" t="str">
            <v/>
          </cell>
          <cell r="AZ8112" t="str">
            <v/>
          </cell>
          <cell r="BA8112" t="str">
            <v/>
          </cell>
        </row>
        <row r="8113">
          <cell r="B8113" t="str">
            <v>-</v>
          </cell>
          <cell r="E8113" t="str">
            <v/>
          </cell>
          <cell r="G8113" t="str">
            <v/>
          </cell>
          <cell r="J8113" t="str">
            <v/>
          </cell>
          <cell r="O8113" t="str">
            <v/>
          </cell>
          <cell r="P8113" t="str">
            <v/>
          </cell>
          <cell r="Q8113" t="str">
            <v/>
          </cell>
          <cell r="S8113" t="str">
            <v/>
          </cell>
          <cell r="V8113" t="str">
            <v/>
          </cell>
          <cell r="Z8113" t="str">
            <v/>
          </cell>
          <cell r="AA8113" t="str">
            <v/>
          </cell>
          <cell r="AB8113" t="str">
            <v/>
          </cell>
          <cell r="AC8113" t="str">
            <v/>
          </cell>
          <cell r="AD8113" t="str">
            <v/>
          </cell>
          <cell r="AY8113" t="str">
            <v/>
          </cell>
          <cell r="AZ8113" t="str">
            <v/>
          </cell>
          <cell r="BA8113" t="str">
            <v/>
          </cell>
        </row>
        <row r="8114">
          <cell r="B8114" t="str">
            <v>-</v>
          </cell>
          <cell r="E8114" t="str">
            <v/>
          </cell>
          <cell r="G8114" t="str">
            <v/>
          </cell>
          <cell r="J8114" t="str">
            <v/>
          </cell>
          <cell r="O8114" t="str">
            <v/>
          </cell>
          <cell r="P8114" t="str">
            <v/>
          </cell>
          <cell r="Q8114" t="str">
            <v/>
          </cell>
          <cell r="S8114" t="str">
            <v/>
          </cell>
          <cell r="V8114" t="str">
            <v/>
          </cell>
          <cell r="Z8114" t="str">
            <v/>
          </cell>
          <cell r="AA8114" t="str">
            <v/>
          </cell>
          <cell r="AB8114" t="str">
            <v/>
          </cell>
          <cell r="AC8114" t="str">
            <v/>
          </cell>
          <cell r="AD8114" t="str">
            <v/>
          </cell>
          <cell r="AY8114" t="str">
            <v/>
          </cell>
          <cell r="AZ8114" t="str">
            <v/>
          </cell>
          <cell r="BA8114" t="str">
            <v/>
          </cell>
        </row>
        <row r="8115">
          <cell r="B8115" t="str">
            <v>-</v>
          </cell>
          <cell r="E8115" t="str">
            <v/>
          </cell>
          <cell r="G8115" t="str">
            <v/>
          </cell>
          <cell r="J8115" t="str">
            <v/>
          </cell>
          <cell r="O8115" t="str">
            <v/>
          </cell>
          <cell r="P8115" t="str">
            <v/>
          </cell>
          <cell r="Q8115" t="str">
            <v/>
          </cell>
          <cell r="S8115" t="str">
            <v/>
          </cell>
          <cell r="V8115" t="str">
            <v/>
          </cell>
          <cell r="Z8115" t="str">
            <v/>
          </cell>
          <cell r="AA8115" t="str">
            <v/>
          </cell>
          <cell r="AB8115" t="str">
            <v/>
          </cell>
          <cell r="AC8115" t="str">
            <v/>
          </cell>
          <cell r="AD8115" t="str">
            <v/>
          </cell>
          <cell r="AY8115" t="str">
            <v/>
          </cell>
          <cell r="AZ8115" t="str">
            <v/>
          </cell>
          <cell r="BA8115" t="str">
            <v/>
          </cell>
        </row>
        <row r="8116">
          <cell r="B8116" t="str">
            <v>-</v>
          </cell>
          <cell r="E8116" t="str">
            <v/>
          </cell>
          <cell r="G8116" t="str">
            <v/>
          </cell>
          <cell r="J8116" t="str">
            <v/>
          </cell>
          <cell r="O8116" t="str">
            <v/>
          </cell>
          <cell r="P8116" t="str">
            <v/>
          </cell>
          <cell r="Q8116" t="str">
            <v/>
          </cell>
          <cell r="S8116" t="str">
            <v/>
          </cell>
          <cell r="V8116" t="str">
            <v/>
          </cell>
          <cell r="Z8116" t="str">
            <v/>
          </cell>
          <cell r="AA8116" t="str">
            <v/>
          </cell>
          <cell r="AB8116" t="str">
            <v/>
          </cell>
          <cell r="AC8116" t="str">
            <v/>
          </cell>
          <cell r="AD8116" t="str">
            <v/>
          </cell>
          <cell r="AY8116" t="str">
            <v/>
          </cell>
          <cell r="AZ8116" t="str">
            <v/>
          </cell>
          <cell r="BA8116" t="str">
            <v/>
          </cell>
        </row>
        <row r="8117">
          <cell r="B8117" t="str">
            <v>-</v>
          </cell>
          <cell r="E8117" t="str">
            <v/>
          </cell>
          <cell r="G8117" t="str">
            <v/>
          </cell>
          <cell r="J8117" t="str">
            <v/>
          </cell>
          <cell r="O8117" t="str">
            <v/>
          </cell>
          <cell r="P8117" t="str">
            <v/>
          </cell>
          <cell r="Q8117" t="str">
            <v/>
          </cell>
          <cell r="S8117" t="str">
            <v/>
          </cell>
          <cell r="V8117" t="str">
            <v/>
          </cell>
          <cell r="Z8117" t="str">
            <v/>
          </cell>
          <cell r="AA8117" t="str">
            <v/>
          </cell>
          <cell r="AB8117" t="str">
            <v/>
          </cell>
          <cell r="AC8117" t="str">
            <v/>
          </cell>
          <cell r="AD8117" t="str">
            <v/>
          </cell>
          <cell r="AY8117" t="str">
            <v/>
          </cell>
          <cell r="AZ8117" t="str">
            <v/>
          </cell>
          <cell r="BA8117" t="str">
            <v/>
          </cell>
        </row>
        <row r="8118">
          <cell r="B8118" t="str">
            <v>-</v>
          </cell>
          <cell r="E8118" t="str">
            <v/>
          </cell>
          <cell r="G8118" t="str">
            <v/>
          </cell>
          <cell r="J8118" t="str">
            <v/>
          </cell>
          <cell r="O8118" t="str">
            <v/>
          </cell>
          <cell r="P8118" t="str">
            <v/>
          </cell>
          <cell r="Q8118" t="str">
            <v/>
          </cell>
          <cell r="S8118" t="str">
            <v/>
          </cell>
          <cell r="V8118" t="str">
            <v/>
          </cell>
          <cell r="Z8118" t="str">
            <v/>
          </cell>
          <cell r="AA8118" t="str">
            <v/>
          </cell>
          <cell r="AB8118" t="str">
            <v/>
          </cell>
          <cell r="AC8118" t="str">
            <v/>
          </cell>
          <cell r="AD8118" t="str">
            <v/>
          </cell>
          <cell r="AY8118" t="str">
            <v/>
          </cell>
          <cell r="AZ8118" t="str">
            <v/>
          </cell>
          <cell r="BA8118" t="str">
            <v/>
          </cell>
        </row>
        <row r="8119">
          <cell r="B8119" t="str">
            <v>-</v>
          </cell>
          <cell r="E8119" t="str">
            <v/>
          </cell>
          <cell r="G8119" t="str">
            <v/>
          </cell>
          <cell r="J8119" t="str">
            <v/>
          </cell>
          <cell r="O8119" t="str">
            <v/>
          </cell>
          <cell r="P8119" t="str">
            <v/>
          </cell>
          <cell r="Q8119" t="str">
            <v/>
          </cell>
          <cell r="S8119" t="str">
            <v/>
          </cell>
          <cell r="V8119" t="str">
            <v/>
          </cell>
          <cell r="Z8119" t="str">
            <v/>
          </cell>
          <cell r="AA8119" t="str">
            <v/>
          </cell>
          <cell r="AB8119" t="str">
            <v/>
          </cell>
          <cell r="AC8119" t="str">
            <v/>
          </cell>
          <cell r="AD8119" t="str">
            <v/>
          </cell>
          <cell r="AY8119" t="str">
            <v/>
          </cell>
          <cell r="AZ8119" t="str">
            <v/>
          </cell>
          <cell r="BA8119" t="str">
            <v/>
          </cell>
        </row>
        <row r="8120">
          <cell r="B8120" t="str">
            <v>-</v>
          </cell>
          <cell r="E8120" t="str">
            <v/>
          </cell>
          <cell r="G8120" t="str">
            <v/>
          </cell>
          <cell r="J8120" t="str">
            <v/>
          </cell>
          <cell r="O8120" t="str">
            <v/>
          </cell>
          <cell r="P8120" t="str">
            <v/>
          </cell>
          <cell r="Q8120" t="str">
            <v/>
          </cell>
          <cell r="S8120" t="str">
            <v/>
          </cell>
          <cell r="V8120" t="str">
            <v/>
          </cell>
          <cell r="Z8120" t="str">
            <v/>
          </cell>
          <cell r="AA8120" t="str">
            <v/>
          </cell>
          <cell r="AB8120" t="str">
            <v/>
          </cell>
          <cell r="AC8120" t="str">
            <v/>
          </cell>
          <cell r="AD8120" t="str">
            <v/>
          </cell>
          <cell r="AY8120" t="str">
            <v/>
          </cell>
          <cell r="AZ8120" t="str">
            <v/>
          </cell>
          <cell r="BA8120" t="str">
            <v/>
          </cell>
        </row>
        <row r="8121">
          <cell r="B8121" t="str">
            <v>-</v>
          </cell>
          <cell r="E8121" t="str">
            <v/>
          </cell>
          <cell r="G8121" t="str">
            <v/>
          </cell>
          <cell r="J8121" t="str">
            <v/>
          </cell>
          <cell r="O8121" t="str">
            <v/>
          </cell>
          <cell r="P8121" t="str">
            <v/>
          </cell>
          <cell r="Q8121" t="str">
            <v/>
          </cell>
          <cell r="S8121" t="str">
            <v/>
          </cell>
          <cell r="V8121" t="str">
            <v/>
          </cell>
          <cell r="Z8121" t="str">
            <v/>
          </cell>
          <cell r="AA8121" t="str">
            <v/>
          </cell>
          <cell r="AB8121" t="str">
            <v/>
          </cell>
          <cell r="AC8121" t="str">
            <v/>
          </cell>
          <cell r="AD8121" t="str">
            <v/>
          </cell>
          <cell r="AY8121" t="str">
            <v/>
          </cell>
          <cell r="AZ8121" t="str">
            <v/>
          </cell>
          <cell r="BA8121" t="str">
            <v/>
          </cell>
        </row>
        <row r="8122">
          <cell r="B8122" t="str">
            <v>-</v>
          </cell>
          <cell r="E8122" t="str">
            <v/>
          </cell>
          <cell r="G8122" t="str">
            <v/>
          </cell>
          <cell r="J8122" t="str">
            <v/>
          </cell>
          <cell r="O8122" t="str">
            <v/>
          </cell>
          <cell r="P8122" t="str">
            <v/>
          </cell>
          <cell r="Q8122" t="str">
            <v/>
          </cell>
          <cell r="S8122" t="str">
            <v/>
          </cell>
          <cell r="V8122" t="str">
            <v/>
          </cell>
          <cell r="Z8122" t="str">
            <v/>
          </cell>
          <cell r="AA8122" t="str">
            <v/>
          </cell>
          <cell r="AB8122" t="str">
            <v/>
          </cell>
          <cell r="AC8122" t="str">
            <v/>
          </cell>
          <cell r="AD8122" t="str">
            <v/>
          </cell>
          <cell r="AY8122" t="str">
            <v/>
          </cell>
          <cell r="AZ8122" t="str">
            <v/>
          </cell>
          <cell r="BA8122" t="str">
            <v/>
          </cell>
        </row>
        <row r="8123">
          <cell r="B8123" t="str">
            <v>-</v>
          </cell>
          <cell r="E8123" t="str">
            <v/>
          </cell>
          <cell r="G8123" t="str">
            <v/>
          </cell>
          <cell r="J8123" t="str">
            <v/>
          </cell>
          <cell r="O8123" t="str">
            <v/>
          </cell>
          <cell r="P8123" t="str">
            <v/>
          </cell>
          <cell r="Q8123" t="str">
            <v/>
          </cell>
          <cell r="S8123" t="str">
            <v/>
          </cell>
          <cell r="V8123" t="str">
            <v/>
          </cell>
          <cell r="Z8123" t="str">
            <v/>
          </cell>
          <cell r="AA8123" t="str">
            <v/>
          </cell>
          <cell r="AB8123" t="str">
            <v/>
          </cell>
          <cell r="AC8123" t="str">
            <v/>
          </cell>
          <cell r="AD8123" t="str">
            <v/>
          </cell>
          <cell r="AY8123" t="str">
            <v/>
          </cell>
          <cell r="AZ8123" t="str">
            <v/>
          </cell>
          <cell r="BA8123" t="str">
            <v/>
          </cell>
        </row>
        <row r="8124">
          <cell r="B8124" t="str">
            <v>-</v>
          </cell>
          <cell r="E8124" t="str">
            <v/>
          </cell>
          <cell r="G8124" t="str">
            <v/>
          </cell>
          <cell r="J8124" t="str">
            <v/>
          </cell>
          <cell r="O8124" t="str">
            <v/>
          </cell>
          <cell r="P8124" t="str">
            <v/>
          </cell>
          <cell r="Q8124" t="str">
            <v/>
          </cell>
          <cell r="S8124" t="str">
            <v/>
          </cell>
          <cell r="V8124" t="str">
            <v/>
          </cell>
          <cell r="Z8124" t="str">
            <v/>
          </cell>
          <cell r="AA8124" t="str">
            <v/>
          </cell>
          <cell r="AB8124" t="str">
            <v/>
          </cell>
          <cell r="AC8124" t="str">
            <v/>
          </cell>
          <cell r="AD8124" t="str">
            <v/>
          </cell>
          <cell r="AY8124" t="str">
            <v/>
          </cell>
          <cell r="AZ8124" t="str">
            <v/>
          </cell>
          <cell r="BA8124" t="str">
            <v/>
          </cell>
        </row>
        <row r="8125">
          <cell r="B8125" t="str">
            <v>-</v>
          </cell>
          <cell r="E8125" t="str">
            <v/>
          </cell>
          <cell r="G8125" t="str">
            <v/>
          </cell>
          <cell r="J8125" t="str">
            <v/>
          </cell>
          <cell r="O8125" t="str">
            <v/>
          </cell>
          <cell r="P8125" t="str">
            <v/>
          </cell>
          <cell r="Q8125" t="str">
            <v/>
          </cell>
          <cell r="S8125" t="str">
            <v/>
          </cell>
          <cell r="V8125" t="str">
            <v/>
          </cell>
          <cell r="Z8125" t="str">
            <v/>
          </cell>
          <cell r="AA8125" t="str">
            <v/>
          </cell>
          <cell r="AB8125" t="str">
            <v/>
          </cell>
          <cell r="AC8125" t="str">
            <v/>
          </cell>
          <cell r="AD8125" t="str">
            <v/>
          </cell>
          <cell r="AY8125" t="str">
            <v/>
          </cell>
          <cell r="AZ8125" t="str">
            <v/>
          </cell>
          <cell r="BA8125" t="str">
            <v/>
          </cell>
        </row>
        <row r="8126">
          <cell r="B8126" t="str">
            <v>-</v>
          </cell>
          <cell r="E8126" t="str">
            <v/>
          </cell>
          <cell r="G8126" t="str">
            <v/>
          </cell>
          <cell r="J8126" t="str">
            <v/>
          </cell>
          <cell r="O8126" t="str">
            <v/>
          </cell>
          <cell r="P8126" t="str">
            <v/>
          </cell>
          <cell r="Q8126" t="str">
            <v/>
          </cell>
          <cell r="S8126" t="str">
            <v/>
          </cell>
          <cell r="V8126" t="str">
            <v/>
          </cell>
          <cell r="Z8126" t="str">
            <v/>
          </cell>
          <cell r="AA8126" t="str">
            <v/>
          </cell>
          <cell r="AB8126" t="str">
            <v/>
          </cell>
          <cell r="AC8126" t="str">
            <v/>
          </cell>
          <cell r="AD8126" t="str">
            <v/>
          </cell>
          <cell r="AY8126" t="str">
            <v/>
          </cell>
          <cell r="AZ8126" t="str">
            <v/>
          </cell>
          <cell r="BA8126" t="str">
            <v/>
          </cell>
        </row>
        <row r="8127">
          <cell r="B8127" t="str">
            <v>-</v>
          </cell>
          <cell r="E8127" t="str">
            <v/>
          </cell>
          <cell r="G8127" t="str">
            <v/>
          </cell>
          <cell r="J8127" t="str">
            <v/>
          </cell>
          <cell r="O8127" t="str">
            <v/>
          </cell>
          <cell r="P8127" t="str">
            <v/>
          </cell>
          <cell r="Q8127" t="str">
            <v/>
          </cell>
          <cell r="S8127" t="str">
            <v/>
          </cell>
          <cell r="V8127" t="str">
            <v/>
          </cell>
          <cell r="Z8127" t="str">
            <v/>
          </cell>
          <cell r="AA8127" t="str">
            <v/>
          </cell>
          <cell r="AB8127" t="str">
            <v/>
          </cell>
          <cell r="AC8127" t="str">
            <v/>
          </cell>
          <cell r="AD8127" t="str">
            <v/>
          </cell>
          <cell r="AY8127" t="str">
            <v/>
          </cell>
          <cell r="AZ8127" t="str">
            <v/>
          </cell>
          <cell r="BA8127" t="str">
            <v/>
          </cell>
        </row>
        <row r="8128">
          <cell r="B8128" t="str">
            <v>-</v>
          </cell>
          <cell r="E8128" t="str">
            <v/>
          </cell>
          <cell r="G8128" t="str">
            <v/>
          </cell>
          <cell r="J8128" t="str">
            <v/>
          </cell>
          <cell r="O8128" t="str">
            <v/>
          </cell>
          <cell r="P8128" t="str">
            <v/>
          </cell>
          <cell r="Q8128" t="str">
            <v/>
          </cell>
          <cell r="S8128" t="str">
            <v/>
          </cell>
          <cell r="V8128" t="str">
            <v/>
          </cell>
          <cell r="Z8128" t="str">
            <v/>
          </cell>
          <cell r="AA8128" t="str">
            <v/>
          </cell>
          <cell r="AB8128" t="str">
            <v/>
          </cell>
          <cell r="AC8128" t="str">
            <v/>
          </cell>
          <cell r="AD8128" t="str">
            <v/>
          </cell>
          <cell r="AY8128" t="str">
            <v/>
          </cell>
          <cell r="AZ8128" t="str">
            <v/>
          </cell>
          <cell r="BA8128" t="str">
            <v/>
          </cell>
        </row>
        <row r="8129">
          <cell r="B8129" t="str">
            <v>-</v>
          </cell>
          <cell r="E8129" t="str">
            <v/>
          </cell>
          <cell r="G8129" t="str">
            <v/>
          </cell>
          <cell r="J8129" t="str">
            <v/>
          </cell>
          <cell r="O8129" t="str">
            <v/>
          </cell>
          <cell r="P8129" t="str">
            <v/>
          </cell>
          <cell r="Q8129" t="str">
            <v/>
          </cell>
          <cell r="S8129" t="str">
            <v/>
          </cell>
          <cell r="V8129" t="str">
            <v/>
          </cell>
          <cell r="Z8129" t="str">
            <v/>
          </cell>
          <cell r="AA8129" t="str">
            <v/>
          </cell>
          <cell r="AB8129" t="str">
            <v/>
          </cell>
          <cell r="AC8129" t="str">
            <v/>
          </cell>
          <cell r="AD8129" t="str">
            <v/>
          </cell>
          <cell r="AY8129" t="str">
            <v/>
          </cell>
          <cell r="AZ8129" t="str">
            <v/>
          </cell>
          <cell r="BA8129" t="str">
            <v/>
          </cell>
        </row>
        <row r="8130">
          <cell r="B8130" t="str">
            <v>-</v>
          </cell>
          <cell r="E8130" t="str">
            <v/>
          </cell>
          <cell r="G8130" t="str">
            <v/>
          </cell>
          <cell r="J8130" t="str">
            <v/>
          </cell>
          <cell r="O8130" t="str">
            <v/>
          </cell>
          <cell r="P8130" t="str">
            <v/>
          </cell>
          <cell r="Q8130" t="str">
            <v/>
          </cell>
          <cell r="S8130" t="str">
            <v/>
          </cell>
          <cell r="V8130" t="str">
            <v/>
          </cell>
          <cell r="Z8130" t="str">
            <v/>
          </cell>
          <cell r="AA8130" t="str">
            <v/>
          </cell>
          <cell r="AB8130" t="str">
            <v/>
          </cell>
          <cell r="AC8130" t="str">
            <v/>
          </cell>
          <cell r="AD8130" t="str">
            <v/>
          </cell>
          <cell r="AY8130" t="str">
            <v/>
          </cell>
          <cell r="AZ8130" t="str">
            <v/>
          </cell>
          <cell r="BA8130" t="str">
            <v/>
          </cell>
        </row>
        <row r="8131">
          <cell r="B8131" t="str">
            <v>-</v>
          </cell>
          <cell r="E8131" t="str">
            <v/>
          </cell>
          <cell r="G8131" t="str">
            <v/>
          </cell>
          <cell r="J8131" t="str">
            <v/>
          </cell>
          <cell r="O8131" t="str">
            <v/>
          </cell>
          <cell r="P8131" t="str">
            <v/>
          </cell>
          <cell r="Q8131" t="str">
            <v/>
          </cell>
          <cell r="S8131" t="str">
            <v/>
          </cell>
          <cell r="V8131" t="str">
            <v/>
          </cell>
          <cell r="Z8131" t="str">
            <v/>
          </cell>
          <cell r="AA8131" t="str">
            <v/>
          </cell>
          <cell r="AB8131" t="str">
            <v/>
          </cell>
          <cell r="AC8131" t="str">
            <v/>
          </cell>
          <cell r="AD8131" t="str">
            <v/>
          </cell>
          <cell r="AY8131" t="str">
            <v/>
          </cell>
          <cell r="AZ8131" t="str">
            <v/>
          </cell>
          <cell r="BA8131" t="str">
            <v/>
          </cell>
        </row>
        <row r="8132">
          <cell r="B8132" t="str">
            <v>-</v>
          </cell>
          <cell r="E8132" t="str">
            <v/>
          </cell>
          <cell r="G8132" t="str">
            <v/>
          </cell>
          <cell r="J8132" t="str">
            <v/>
          </cell>
          <cell r="O8132" t="str">
            <v/>
          </cell>
          <cell r="P8132" t="str">
            <v/>
          </cell>
          <cell r="Q8132" t="str">
            <v/>
          </cell>
          <cell r="S8132" t="str">
            <v/>
          </cell>
          <cell r="V8132" t="str">
            <v/>
          </cell>
          <cell r="Z8132" t="str">
            <v/>
          </cell>
          <cell r="AA8132" t="str">
            <v/>
          </cell>
          <cell r="AB8132" t="str">
            <v/>
          </cell>
          <cell r="AC8132" t="str">
            <v/>
          </cell>
          <cell r="AD8132" t="str">
            <v/>
          </cell>
          <cell r="AY8132" t="str">
            <v/>
          </cell>
          <cell r="AZ8132" t="str">
            <v/>
          </cell>
          <cell r="BA8132" t="str">
            <v/>
          </cell>
        </row>
        <row r="8133">
          <cell r="B8133" t="str">
            <v>-</v>
          </cell>
          <cell r="E8133" t="str">
            <v/>
          </cell>
          <cell r="G8133" t="str">
            <v/>
          </cell>
          <cell r="J8133" t="str">
            <v/>
          </cell>
          <cell r="O8133" t="str">
            <v/>
          </cell>
          <cell r="P8133" t="str">
            <v/>
          </cell>
          <cell r="Q8133" t="str">
            <v/>
          </cell>
          <cell r="S8133" t="str">
            <v/>
          </cell>
          <cell r="V8133" t="str">
            <v/>
          </cell>
          <cell r="Z8133" t="str">
            <v/>
          </cell>
          <cell r="AA8133" t="str">
            <v/>
          </cell>
          <cell r="AB8133" t="str">
            <v/>
          </cell>
          <cell r="AC8133" t="str">
            <v/>
          </cell>
          <cell r="AD8133" t="str">
            <v/>
          </cell>
          <cell r="AY8133" t="str">
            <v/>
          </cell>
          <cell r="AZ8133" t="str">
            <v/>
          </cell>
          <cell r="BA8133" t="str">
            <v/>
          </cell>
        </row>
        <row r="8134">
          <cell r="B8134" t="str">
            <v>-</v>
          </cell>
          <cell r="E8134" t="str">
            <v/>
          </cell>
          <cell r="G8134" t="str">
            <v/>
          </cell>
          <cell r="J8134" t="str">
            <v/>
          </cell>
          <cell r="O8134" t="str">
            <v/>
          </cell>
          <cell r="P8134" t="str">
            <v/>
          </cell>
          <cell r="Q8134" t="str">
            <v/>
          </cell>
          <cell r="S8134" t="str">
            <v/>
          </cell>
          <cell r="V8134" t="str">
            <v/>
          </cell>
          <cell r="Z8134" t="str">
            <v/>
          </cell>
          <cell r="AA8134" t="str">
            <v/>
          </cell>
          <cell r="AB8134" t="str">
            <v/>
          </cell>
          <cell r="AC8134" t="str">
            <v/>
          </cell>
          <cell r="AD8134" t="str">
            <v/>
          </cell>
          <cell r="AY8134" t="str">
            <v/>
          </cell>
          <cell r="AZ8134" t="str">
            <v/>
          </cell>
          <cell r="BA8134" t="str">
            <v/>
          </cell>
        </row>
        <row r="8135">
          <cell r="B8135" t="str">
            <v>-</v>
          </cell>
          <cell r="E8135" t="str">
            <v/>
          </cell>
          <cell r="G8135" t="str">
            <v/>
          </cell>
          <cell r="J8135" t="str">
            <v/>
          </cell>
          <cell r="O8135" t="str">
            <v/>
          </cell>
          <cell r="P8135" t="str">
            <v/>
          </cell>
          <cell r="Q8135" t="str">
            <v/>
          </cell>
          <cell r="S8135" t="str">
            <v/>
          </cell>
          <cell r="V8135" t="str">
            <v/>
          </cell>
          <cell r="Z8135" t="str">
            <v/>
          </cell>
          <cell r="AA8135" t="str">
            <v/>
          </cell>
          <cell r="AB8135" t="str">
            <v/>
          </cell>
          <cell r="AC8135" t="str">
            <v/>
          </cell>
          <cell r="AD8135" t="str">
            <v/>
          </cell>
          <cell r="AY8135" t="str">
            <v/>
          </cell>
          <cell r="AZ8135" t="str">
            <v/>
          </cell>
          <cell r="BA8135" t="str">
            <v/>
          </cell>
        </row>
        <row r="8136">
          <cell r="B8136" t="str">
            <v>-</v>
          </cell>
          <cell r="E8136" t="str">
            <v/>
          </cell>
          <cell r="G8136" t="str">
            <v/>
          </cell>
          <cell r="J8136" t="str">
            <v/>
          </cell>
          <cell r="O8136" t="str">
            <v/>
          </cell>
          <cell r="P8136" t="str">
            <v/>
          </cell>
          <cell r="Q8136" t="str">
            <v/>
          </cell>
          <cell r="S8136" t="str">
            <v/>
          </cell>
          <cell r="V8136" t="str">
            <v/>
          </cell>
          <cell r="Z8136" t="str">
            <v/>
          </cell>
          <cell r="AA8136" t="str">
            <v/>
          </cell>
          <cell r="AB8136" t="str">
            <v/>
          </cell>
          <cell r="AC8136" t="str">
            <v/>
          </cell>
          <cell r="AD8136" t="str">
            <v/>
          </cell>
          <cell r="AY8136" t="str">
            <v/>
          </cell>
          <cell r="AZ8136" t="str">
            <v/>
          </cell>
          <cell r="BA8136" t="str">
            <v/>
          </cell>
        </row>
        <row r="8137">
          <cell r="B8137" t="str">
            <v>-</v>
          </cell>
          <cell r="E8137" t="str">
            <v/>
          </cell>
          <cell r="G8137" t="str">
            <v/>
          </cell>
          <cell r="J8137" t="str">
            <v/>
          </cell>
          <cell r="O8137" t="str">
            <v/>
          </cell>
          <cell r="P8137" t="str">
            <v/>
          </cell>
          <cell r="Q8137" t="str">
            <v/>
          </cell>
          <cell r="S8137" t="str">
            <v/>
          </cell>
          <cell r="V8137" t="str">
            <v/>
          </cell>
          <cell r="Z8137" t="str">
            <v/>
          </cell>
          <cell r="AA8137" t="str">
            <v/>
          </cell>
          <cell r="AB8137" t="str">
            <v/>
          </cell>
          <cell r="AC8137" t="str">
            <v/>
          </cell>
          <cell r="AD8137" t="str">
            <v/>
          </cell>
          <cell r="AY8137" t="str">
            <v/>
          </cell>
          <cell r="AZ8137" t="str">
            <v/>
          </cell>
          <cell r="BA8137" t="str">
            <v/>
          </cell>
        </row>
        <row r="8138">
          <cell r="B8138" t="str">
            <v>-</v>
          </cell>
          <cell r="E8138" t="str">
            <v/>
          </cell>
          <cell r="G8138" t="str">
            <v/>
          </cell>
          <cell r="J8138" t="str">
            <v/>
          </cell>
          <cell r="O8138" t="str">
            <v/>
          </cell>
          <cell r="P8138" t="str">
            <v/>
          </cell>
          <cell r="Q8138" t="str">
            <v/>
          </cell>
          <cell r="S8138" t="str">
            <v/>
          </cell>
          <cell r="V8138" t="str">
            <v/>
          </cell>
          <cell r="Z8138" t="str">
            <v/>
          </cell>
          <cell r="AA8138" t="str">
            <v/>
          </cell>
          <cell r="AB8138" t="str">
            <v/>
          </cell>
          <cell r="AC8138" t="str">
            <v/>
          </cell>
          <cell r="AD8138" t="str">
            <v/>
          </cell>
          <cell r="AY8138" t="str">
            <v/>
          </cell>
          <cell r="AZ8138" t="str">
            <v/>
          </cell>
          <cell r="BA8138" t="str">
            <v/>
          </cell>
        </row>
        <row r="8139">
          <cell r="B8139" t="str">
            <v>-</v>
          </cell>
          <cell r="E8139" t="str">
            <v/>
          </cell>
          <cell r="G8139" t="str">
            <v/>
          </cell>
          <cell r="J8139" t="str">
            <v/>
          </cell>
          <cell r="O8139" t="str">
            <v/>
          </cell>
          <cell r="P8139" t="str">
            <v/>
          </cell>
          <cell r="Q8139" t="str">
            <v/>
          </cell>
          <cell r="S8139" t="str">
            <v/>
          </cell>
          <cell r="V8139" t="str">
            <v/>
          </cell>
          <cell r="Z8139" t="str">
            <v/>
          </cell>
          <cell r="AA8139" t="str">
            <v/>
          </cell>
          <cell r="AB8139" t="str">
            <v/>
          </cell>
          <cell r="AC8139" t="str">
            <v/>
          </cell>
          <cell r="AD8139" t="str">
            <v/>
          </cell>
          <cell r="AY8139" t="str">
            <v/>
          </cell>
          <cell r="AZ8139" t="str">
            <v/>
          </cell>
          <cell r="BA8139" t="str">
            <v/>
          </cell>
        </row>
        <row r="8140">
          <cell r="B8140" t="str">
            <v>-</v>
          </cell>
          <cell r="E8140" t="str">
            <v/>
          </cell>
          <cell r="G8140" t="str">
            <v/>
          </cell>
          <cell r="J8140" t="str">
            <v/>
          </cell>
          <cell r="O8140" t="str">
            <v/>
          </cell>
          <cell r="P8140" t="str">
            <v/>
          </cell>
          <cell r="Q8140" t="str">
            <v/>
          </cell>
          <cell r="S8140" t="str">
            <v/>
          </cell>
          <cell r="V8140" t="str">
            <v/>
          </cell>
          <cell r="Z8140" t="str">
            <v/>
          </cell>
          <cell r="AA8140" t="str">
            <v/>
          </cell>
          <cell r="AB8140" t="str">
            <v/>
          </cell>
          <cell r="AC8140" t="str">
            <v/>
          </cell>
          <cell r="AD8140" t="str">
            <v/>
          </cell>
          <cell r="AY8140" t="str">
            <v/>
          </cell>
          <cell r="AZ8140" t="str">
            <v/>
          </cell>
          <cell r="BA8140" t="str">
            <v/>
          </cell>
        </row>
        <row r="8141">
          <cell r="B8141" t="str">
            <v>-</v>
          </cell>
          <cell r="E8141" t="str">
            <v/>
          </cell>
          <cell r="G8141" t="str">
            <v/>
          </cell>
          <cell r="J8141" t="str">
            <v/>
          </cell>
          <cell r="O8141" t="str">
            <v/>
          </cell>
          <cell r="P8141" t="str">
            <v/>
          </cell>
          <cell r="Q8141" t="str">
            <v/>
          </cell>
          <cell r="S8141" t="str">
            <v/>
          </cell>
          <cell r="V8141" t="str">
            <v/>
          </cell>
          <cell r="Z8141" t="str">
            <v/>
          </cell>
          <cell r="AA8141" t="str">
            <v/>
          </cell>
          <cell r="AB8141" t="str">
            <v/>
          </cell>
          <cell r="AC8141" t="str">
            <v/>
          </cell>
          <cell r="AD8141" t="str">
            <v/>
          </cell>
          <cell r="AY8141" t="str">
            <v/>
          </cell>
          <cell r="AZ8141" t="str">
            <v/>
          </cell>
          <cell r="BA8141" t="str">
            <v/>
          </cell>
        </row>
        <row r="8142">
          <cell r="B8142" t="str">
            <v>-</v>
          </cell>
          <cell r="E8142" t="str">
            <v/>
          </cell>
          <cell r="G8142" t="str">
            <v/>
          </cell>
          <cell r="J8142" t="str">
            <v/>
          </cell>
          <cell r="O8142" t="str">
            <v/>
          </cell>
          <cell r="P8142" t="str">
            <v/>
          </cell>
          <cell r="Q8142" t="str">
            <v/>
          </cell>
          <cell r="S8142" t="str">
            <v/>
          </cell>
          <cell r="V8142" t="str">
            <v/>
          </cell>
          <cell r="Z8142" t="str">
            <v/>
          </cell>
          <cell r="AA8142" t="str">
            <v/>
          </cell>
          <cell r="AB8142" t="str">
            <v/>
          </cell>
          <cell r="AC8142" t="str">
            <v/>
          </cell>
          <cell r="AD8142" t="str">
            <v/>
          </cell>
          <cell r="AY8142" t="str">
            <v/>
          </cell>
          <cell r="AZ8142" t="str">
            <v/>
          </cell>
          <cell r="BA8142" t="str">
            <v/>
          </cell>
        </row>
        <row r="8143">
          <cell r="B8143" t="str">
            <v>-</v>
          </cell>
          <cell r="E8143" t="str">
            <v/>
          </cell>
          <cell r="G8143" t="str">
            <v/>
          </cell>
          <cell r="J8143" t="str">
            <v/>
          </cell>
          <cell r="O8143" t="str">
            <v/>
          </cell>
          <cell r="P8143" t="str">
            <v/>
          </cell>
          <cell r="Q8143" t="str">
            <v/>
          </cell>
          <cell r="S8143" t="str">
            <v/>
          </cell>
          <cell r="V8143" t="str">
            <v/>
          </cell>
          <cell r="Z8143" t="str">
            <v/>
          </cell>
          <cell r="AA8143" t="str">
            <v/>
          </cell>
          <cell r="AB8143" t="str">
            <v/>
          </cell>
          <cell r="AC8143" t="str">
            <v/>
          </cell>
          <cell r="AD8143" t="str">
            <v/>
          </cell>
          <cell r="AY8143" t="str">
            <v/>
          </cell>
          <cell r="AZ8143" t="str">
            <v/>
          </cell>
          <cell r="BA8143" t="str">
            <v/>
          </cell>
        </row>
        <row r="8144">
          <cell r="B8144" t="str">
            <v>-</v>
          </cell>
          <cell r="E8144" t="str">
            <v/>
          </cell>
          <cell r="G8144" t="str">
            <v/>
          </cell>
          <cell r="J8144" t="str">
            <v/>
          </cell>
          <cell r="O8144" t="str">
            <v/>
          </cell>
          <cell r="P8144" t="str">
            <v/>
          </cell>
          <cell r="Q8144" t="str">
            <v/>
          </cell>
          <cell r="S8144" t="str">
            <v/>
          </cell>
          <cell r="V8144" t="str">
            <v/>
          </cell>
          <cell r="Z8144" t="str">
            <v/>
          </cell>
          <cell r="AA8144" t="str">
            <v/>
          </cell>
          <cell r="AB8144" t="str">
            <v/>
          </cell>
          <cell r="AC8144" t="str">
            <v/>
          </cell>
          <cell r="AD8144" t="str">
            <v/>
          </cell>
          <cell r="AY8144" t="str">
            <v/>
          </cell>
          <cell r="AZ8144" t="str">
            <v/>
          </cell>
          <cell r="BA8144" t="str">
            <v/>
          </cell>
        </row>
        <row r="8145">
          <cell r="B8145" t="str">
            <v>-</v>
          </cell>
          <cell r="E8145" t="str">
            <v/>
          </cell>
          <cell r="G8145" t="str">
            <v/>
          </cell>
          <cell r="J8145" t="str">
            <v/>
          </cell>
          <cell r="O8145" t="str">
            <v/>
          </cell>
          <cell r="P8145" t="str">
            <v/>
          </cell>
          <cell r="Q8145" t="str">
            <v/>
          </cell>
          <cell r="S8145" t="str">
            <v/>
          </cell>
          <cell r="V8145" t="str">
            <v/>
          </cell>
          <cell r="Z8145" t="str">
            <v/>
          </cell>
          <cell r="AA8145" t="str">
            <v/>
          </cell>
          <cell r="AB8145" t="str">
            <v/>
          </cell>
          <cell r="AC8145" t="str">
            <v/>
          </cell>
          <cell r="AD8145" t="str">
            <v/>
          </cell>
          <cell r="AY8145" t="str">
            <v/>
          </cell>
          <cell r="AZ8145" t="str">
            <v/>
          </cell>
          <cell r="BA8145" t="str">
            <v/>
          </cell>
        </row>
        <row r="8146">
          <cell r="B8146" t="str">
            <v>-</v>
          </cell>
          <cell r="E8146" t="str">
            <v/>
          </cell>
          <cell r="G8146" t="str">
            <v/>
          </cell>
          <cell r="J8146" t="str">
            <v/>
          </cell>
          <cell r="O8146" t="str">
            <v/>
          </cell>
          <cell r="P8146" t="str">
            <v/>
          </cell>
          <cell r="Q8146" t="str">
            <v/>
          </cell>
          <cell r="S8146" t="str">
            <v/>
          </cell>
          <cell r="V8146" t="str">
            <v/>
          </cell>
          <cell r="Z8146" t="str">
            <v/>
          </cell>
          <cell r="AA8146" t="str">
            <v/>
          </cell>
          <cell r="AB8146" t="str">
            <v/>
          </cell>
          <cell r="AC8146" t="str">
            <v/>
          </cell>
          <cell r="AD8146" t="str">
            <v/>
          </cell>
          <cell r="AY8146" t="str">
            <v/>
          </cell>
          <cell r="AZ8146" t="str">
            <v/>
          </cell>
          <cell r="BA8146" t="str">
            <v/>
          </cell>
        </row>
        <row r="8147">
          <cell r="B8147" t="str">
            <v>-</v>
          </cell>
          <cell r="E8147" t="str">
            <v/>
          </cell>
          <cell r="G8147" t="str">
            <v/>
          </cell>
          <cell r="J8147" t="str">
            <v/>
          </cell>
          <cell r="O8147" t="str">
            <v/>
          </cell>
          <cell r="P8147" t="str">
            <v/>
          </cell>
          <cell r="Q8147" t="str">
            <v/>
          </cell>
          <cell r="S8147" t="str">
            <v/>
          </cell>
          <cell r="V8147" t="str">
            <v/>
          </cell>
          <cell r="Z8147" t="str">
            <v/>
          </cell>
          <cell r="AA8147" t="str">
            <v/>
          </cell>
          <cell r="AB8147" t="str">
            <v/>
          </cell>
          <cell r="AC8147" t="str">
            <v/>
          </cell>
          <cell r="AD8147" t="str">
            <v/>
          </cell>
          <cell r="AY8147" t="str">
            <v/>
          </cell>
          <cell r="AZ8147" t="str">
            <v/>
          </cell>
          <cell r="BA8147" t="str">
            <v/>
          </cell>
        </row>
        <row r="8148">
          <cell r="B8148" t="str">
            <v>-</v>
          </cell>
          <cell r="E8148" t="str">
            <v/>
          </cell>
          <cell r="G8148" t="str">
            <v/>
          </cell>
          <cell r="J8148" t="str">
            <v/>
          </cell>
          <cell r="O8148" t="str">
            <v/>
          </cell>
          <cell r="P8148" t="str">
            <v/>
          </cell>
          <cell r="Q8148" t="str">
            <v/>
          </cell>
          <cell r="S8148" t="str">
            <v/>
          </cell>
          <cell r="V8148" t="str">
            <v/>
          </cell>
          <cell r="Z8148" t="str">
            <v/>
          </cell>
          <cell r="AA8148" t="str">
            <v/>
          </cell>
          <cell r="AB8148" t="str">
            <v/>
          </cell>
          <cell r="AC8148" t="str">
            <v/>
          </cell>
          <cell r="AD8148" t="str">
            <v/>
          </cell>
          <cell r="AY8148" t="str">
            <v/>
          </cell>
          <cell r="AZ8148" t="str">
            <v/>
          </cell>
          <cell r="BA8148" t="str">
            <v/>
          </cell>
        </row>
        <row r="8149">
          <cell r="B8149" t="str">
            <v>-</v>
          </cell>
          <cell r="E8149" t="str">
            <v/>
          </cell>
          <cell r="G8149" t="str">
            <v/>
          </cell>
          <cell r="J8149" t="str">
            <v/>
          </cell>
          <cell r="O8149" t="str">
            <v/>
          </cell>
          <cell r="P8149" t="str">
            <v/>
          </cell>
          <cell r="Q8149" t="str">
            <v/>
          </cell>
          <cell r="S8149" t="str">
            <v/>
          </cell>
          <cell r="V8149" t="str">
            <v/>
          </cell>
          <cell r="Z8149" t="str">
            <v/>
          </cell>
          <cell r="AA8149" t="str">
            <v/>
          </cell>
          <cell r="AB8149" t="str">
            <v/>
          </cell>
          <cell r="AC8149" t="str">
            <v/>
          </cell>
          <cell r="AD8149" t="str">
            <v/>
          </cell>
          <cell r="AY8149" t="str">
            <v/>
          </cell>
          <cell r="AZ8149" t="str">
            <v/>
          </cell>
          <cell r="BA8149" t="str">
            <v/>
          </cell>
        </row>
        <row r="8150">
          <cell r="B8150" t="str">
            <v>-</v>
          </cell>
          <cell r="E8150" t="str">
            <v/>
          </cell>
          <cell r="G8150" t="str">
            <v/>
          </cell>
          <cell r="J8150" t="str">
            <v/>
          </cell>
          <cell r="O8150" t="str">
            <v/>
          </cell>
          <cell r="P8150" t="str">
            <v/>
          </cell>
          <cell r="Q8150" t="str">
            <v/>
          </cell>
          <cell r="S8150" t="str">
            <v/>
          </cell>
          <cell r="V8150" t="str">
            <v/>
          </cell>
          <cell r="Z8150" t="str">
            <v/>
          </cell>
          <cell r="AA8150" t="str">
            <v/>
          </cell>
          <cell r="AB8150" t="str">
            <v/>
          </cell>
          <cell r="AC8150" t="str">
            <v/>
          </cell>
          <cell r="AD8150" t="str">
            <v/>
          </cell>
          <cell r="AY8150" t="str">
            <v/>
          </cell>
          <cell r="AZ8150" t="str">
            <v/>
          </cell>
          <cell r="BA8150" t="str">
            <v/>
          </cell>
        </row>
        <row r="8151">
          <cell r="B8151" t="str">
            <v>-</v>
          </cell>
          <cell r="E8151" t="str">
            <v/>
          </cell>
          <cell r="G8151" t="str">
            <v/>
          </cell>
          <cell r="J8151" t="str">
            <v/>
          </cell>
          <cell r="O8151" t="str">
            <v/>
          </cell>
          <cell r="P8151" t="str">
            <v/>
          </cell>
          <cell r="Q8151" t="str">
            <v/>
          </cell>
          <cell r="S8151" t="str">
            <v/>
          </cell>
          <cell r="V8151" t="str">
            <v/>
          </cell>
          <cell r="Z8151" t="str">
            <v/>
          </cell>
          <cell r="AA8151" t="str">
            <v/>
          </cell>
          <cell r="AB8151" t="str">
            <v/>
          </cell>
          <cell r="AC8151" t="str">
            <v/>
          </cell>
          <cell r="AD8151" t="str">
            <v/>
          </cell>
          <cell r="AY8151" t="str">
            <v/>
          </cell>
          <cell r="AZ8151" t="str">
            <v/>
          </cell>
          <cell r="BA8151" t="str">
            <v/>
          </cell>
        </row>
        <row r="8152">
          <cell r="B8152" t="str">
            <v>-</v>
          </cell>
          <cell r="E8152" t="str">
            <v/>
          </cell>
          <cell r="G8152" t="str">
            <v/>
          </cell>
          <cell r="J8152" t="str">
            <v/>
          </cell>
          <cell r="O8152" t="str">
            <v/>
          </cell>
          <cell r="P8152" t="str">
            <v/>
          </cell>
          <cell r="Q8152" t="str">
            <v/>
          </cell>
          <cell r="S8152" t="str">
            <v/>
          </cell>
          <cell r="V8152" t="str">
            <v/>
          </cell>
          <cell r="Z8152" t="str">
            <v/>
          </cell>
          <cell r="AA8152" t="str">
            <v/>
          </cell>
          <cell r="AB8152" t="str">
            <v/>
          </cell>
          <cell r="AC8152" t="str">
            <v/>
          </cell>
          <cell r="AD8152" t="str">
            <v/>
          </cell>
          <cell r="AY8152" t="str">
            <v/>
          </cell>
          <cell r="AZ8152" t="str">
            <v/>
          </cell>
          <cell r="BA8152" t="str">
            <v/>
          </cell>
        </row>
        <row r="8153">
          <cell r="B8153" t="str">
            <v>-</v>
          </cell>
          <cell r="E8153" t="str">
            <v/>
          </cell>
          <cell r="G8153" t="str">
            <v/>
          </cell>
          <cell r="J8153" t="str">
            <v/>
          </cell>
          <cell r="O8153" t="str">
            <v/>
          </cell>
          <cell r="P8153" t="str">
            <v/>
          </cell>
          <cell r="Q8153" t="str">
            <v/>
          </cell>
          <cell r="S8153" t="str">
            <v/>
          </cell>
          <cell r="V8153" t="str">
            <v/>
          </cell>
          <cell r="Z8153" t="str">
            <v/>
          </cell>
          <cell r="AA8153" t="str">
            <v/>
          </cell>
          <cell r="AB8153" t="str">
            <v/>
          </cell>
          <cell r="AC8153" t="str">
            <v/>
          </cell>
          <cell r="AD8153" t="str">
            <v/>
          </cell>
          <cell r="AY8153" t="str">
            <v/>
          </cell>
          <cell r="AZ8153" t="str">
            <v/>
          </cell>
          <cell r="BA8153" t="str">
            <v/>
          </cell>
        </row>
        <row r="8154">
          <cell r="B8154" t="str">
            <v>-</v>
          </cell>
          <cell r="E8154" t="str">
            <v/>
          </cell>
          <cell r="G8154" t="str">
            <v/>
          </cell>
          <cell r="J8154" t="str">
            <v/>
          </cell>
          <cell r="O8154" t="str">
            <v/>
          </cell>
          <cell r="P8154" t="str">
            <v/>
          </cell>
          <cell r="Q8154" t="str">
            <v/>
          </cell>
          <cell r="S8154" t="str">
            <v/>
          </cell>
          <cell r="V8154" t="str">
            <v/>
          </cell>
          <cell r="Z8154" t="str">
            <v/>
          </cell>
          <cell r="AA8154" t="str">
            <v/>
          </cell>
          <cell r="AB8154" t="str">
            <v/>
          </cell>
          <cell r="AC8154" t="str">
            <v/>
          </cell>
          <cell r="AD8154" t="str">
            <v/>
          </cell>
          <cell r="AY8154" t="str">
            <v/>
          </cell>
          <cell r="AZ8154" t="str">
            <v/>
          </cell>
          <cell r="BA8154" t="str">
            <v/>
          </cell>
        </row>
        <row r="8155">
          <cell r="B8155" t="str">
            <v>-</v>
          </cell>
          <cell r="E8155" t="str">
            <v/>
          </cell>
          <cell r="G8155" t="str">
            <v/>
          </cell>
          <cell r="J8155" t="str">
            <v/>
          </cell>
          <cell r="O8155" t="str">
            <v/>
          </cell>
          <cell r="P8155" t="str">
            <v/>
          </cell>
          <cell r="Q8155" t="str">
            <v/>
          </cell>
          <cell r="S8155" t="str">
            <v/>
          </cell>
          <cell r="V8155" t="str">
            <v/>
          </cell>
          <cell r="Z8155" t="str">
            <v/>
          </cell>
          <cell r="AA8155" t="str">
            <v/>
          </cell>
          <cell r="AB8155" t="str">
            <v/>
          </cell>
          <cell r="AC8155" t="str">
            <v/>
          </cell>
          <cell r="AD8155" t="str">
            <v/>
          </cell>
          <cell r="AY8155" t="str">
            <v/>
          </cell>
          <cell r="AZ8155" t="str">
            <v/>
          </cell>
          <cell r="BA8155" t="str">
            <v/>
          </cell>
        </row>
        <row r="8156">
          <cell r="B8156" t="str">
            <v>-</v>
          </cell>
          <cell r="E8156" t="str">
            <v/>
          </cell>
          <cell r="G8156" t="str">
            <v/>
          </cell>
          <cell r="J8156" t="str">
            <v/>
          </cell>
          <cell r="O8156" t="str">
            <v/>
          </cell>
          <cell r="P8156" t="str">
            <v/>
          </cell>
          <cell r="Q8156" t="str">
            <v/>
          </cell>
          <cell r="S8156" t="str">
            <v/>
          </cell>
          <cell r="V8156" t="str">
            <v/>
          </cell>
          <cell r="Z8156" t="str">
            <v/>
          </cell>
          <cell r="AA8156" t="str">
            <v/>
          </cell>
          <cell r="AB8156" t="str">
            <v/>
          </cell>
          <cell r="AC8156" t="str">
            <v/>
          </cell>
          <cell r="AD8156" t="str">
            <v/>
          </cell>
          <cell r="AY8156" t="str">
            <v/>
          </cell>
          <cell r="AZ8156" t="str">
            <v/>
          </cell>
          <cell r="BA8156" t="str">
            <v/>
          </cell>
        </row>
        <row r="8157">
          <cell r="B8157" t="str">
            <v>-</v>
          </cell>
          <cell r="E8157" t="str">
            <v/>
          </cell>
          <cell r="G8157" t="str">
            <v/>
          </cell>
          <cell r="J8157" t="str">
            <v/>
          </cell>
          <cell r="O8157" t="str">
            <v/>
          </cell>
          <cell r="P8157" t="str">
            <v/>
          </cell>
          <cell r="Q8157" t="str">
            <v/>
          </cell>
          <cell r="S8157" t="str">
            <v/>
          </cell>
          <cell r="V8157" t="str">
            <v/>
          </cell>
          <cell r="Z8157" t="str">
            <v/>
          </cell>
          <cell r="AA8157" t="str">
            <v/>
          </cell>
          <cell r="AB8157" t="str">
            <v/>
          </cell>
          <cell r="AC8157" t="str">
            <v/>
          </cell>
          <cell r="AD8157" t="str">
            <v/>
          </cell>
          <cell r="AY8157" t="str">
            <v/>
          </cell>
          <cell r="AZ8157" t="str">
            <v/>
          </cell>
          <cell r="BA8157" t="str">
            <v/>
          </cell>
        </row>
        <row r="8158">
          <cell r="B8158" t="str">
            <v>-</v>
          </cell>
          <cell r="E8158" t="str">
            <v/>
          </cell>
          <cell r="G8158" t="str">
            <v/>
          </cell>
          <cell r="J8158" t="str">
            <v/>
          </cell>
          <cell r="O8158" t="str">
            <v/>
          </cell>
          <cell r="P8158" t="str">
            <v/>
          </cell>
          <cell r="Q8158" t="str">
            <v/>
          </cell>
          <cell r="S8158" t="str">
            <v/>
          </cell>
          <cell r="V8158" t="str">
            <v/>
          </cell>
          <cell r="Z8158" t="str">
            <v/>
          </cell>
          <cell r="AA8158" t="str">
            <v/>
          </cell>
          <cell r="AB8158" t="str">
            <v/>
          </cell>
          <cell r="AC8158" t="str">
            <v/>
          </cell>
          <cell r="AD8158" t="str">
            <v/>
          </cell>
          <cell r="AY8158" t="str">
            <v/>
          </cell>
          <cell r="AZ8158" t="str">
            <v/>
          </cell>
          <cell r="BA8158" t="str">
            <v/>
          </cell>
        </row>
        <row r="8159">
          <cell r="B8159" t="str">
            <v>-</v>
          </cell>
          <cell r="E8159" t="str">
            <v/>
          </cell>
          <cell r="G8159" t="str">
            <v/>
          </cell>
          <cell r="J8159" t="str">
            <v/>
          </cell>
          <cell r="O8159" t="str">
            <v/>
          </cell>
          <cell r="P8159" t="str">
            <v/>
          </cell>
          <cell r="Q8159" t="str">
            <v/>
          </cell>
          <cell r="S8159" t="str">
            <v/>
          </cell>
          <cell r="V8159" t="str">
            <v/>
          </cell>
          <cell r="Z8159" t="str">
            <v/>
          </cell>
          <cell r="AA8159" t="str">
            <v/>
          </cell>
          <cell r="AB8159" t="str">
            <v/>
          </cell>
          <cell r="AC8159" t="str">
            <v/>
          </cell>
          <cell r="AD8159" t="str">
            <v/>
          </cell>
          <cell r="AY8159" t="str">
            <v/>
          </cell>
          <cell r="AZ8159" t="str">
            <v/>
          </cell>
          <cell r="BA8159" t="str">
            <v/>
          </cell>
        </row>
        <row r="8160">
          <cell r="B8160" t="str">
            <v>-</v>
          </cell>
          <cell r="E8160" t="str">
            <v/>
          </cell>
          <cell r="G8160" t="str">
            <v/>
          </cell>
          <cell r="J8160" t="str">
            <v/>
          </cell>
          <cell r="O8160" t="str">
            <v/>
          </cell>
          <cell r="P8160" t="str">
            <v/>
          </cell>
          <cell r="Q8160" t="str">
            <v/>
          </cell>
          <cell r="S8160" t="str">
            <v/>
          </cell>
          <cell r="V8160" t="str">
            <v/>
          </cell>
          <cell r="Z8160" t="str">
            <v/>
          </cell>
          <cell r="AA8160" t="str">
            <v/>
          </cell>
          <cell r="AB8160" t="str">
            <v/>
          </cell>
          <cell r="AC8160" t="str">
            <v/>
          </cell>
          <cell r="AD8160" t="str">
            <v/>
          </cell>
          <cell r="AY8160" t="str">
            <v/>
          </cell>
          <cell r="AZ8160" t="str">
            <v/>
          </cell>
          <cell r="BA8160" t="str">
            <v/>
          </cell>
        </row>
        <row r="8161">
          <cell r="B8161" t="str">
            <v>-</v>
          </cell>
          <cell r="E8161" t="str">
            <v/>
          </cell>
          <cell r="G8161" t="str">
            <v/>
          </cell>
          <cell r="J8161" t="str">
            <v/>
          </cell>
          <cell r="O8161" t="str">
            <v/>
          </cell>
          <cell r="P8161" t="str">
            <v/>
          </cell>
          <cell r="Q8161" t="str">
            <v/>
          </cell>
          <cell r="S8161" t="str">
            <v/>
          </cell>
          <cell r="V8161" t="str">
            <v/>
          </cell>
          <cell r="Z8161" t="str">
            <v/>
          </cell>
          <cell r="AA8161" t="str">
            <v/>
          </cell>
          <cell r="AB8161" t="str">
            <v/>
          </cell>
          <cell r="AC8161" t="str">
            <v/>
          </cell>
          <cell r="AD8161" t="str">
            <v/>
          </cell>
          <cell r="AY8161" t="str">
            <v/>
          </cell>
          <cell r="AZ8161" t="str">
            <v/>
          </cell>
          <cell r="BA8161" t="str">
            <v/>
          </cell>
        </row>
        <row r="8162">
          <cell r="B8162" t="str">
            <v>-</v>
          </cell>
          <cell r="E8162" t="str">
            <v/>
          </cell>
          <cell r="G8162" t="str">
            <v/>
          </cell>
          <cell r="J8162" t="str">
            <v/>
          </cell>
          <cell r="O8162" t="str">
            <v/>
          </cell>
          <cell r="P8162" t="str">
            <v/>
          </cell>
          <cell r="Q8162" t="str">
            <v/>
          </cell>
          <cell r="S8162" t="str">
            <v/>
          </cell>
          <cell r="V8162" t="str">
            <v/>
          </cell>
          <cell r="Z8162" t="str">
            <v/>
          </cell>
          <cell r="AA8162" t="str">
            <v/>
          </cell>
          <cell r="AB8162" t="str">
            <v/>
          </cell>
          <cell r="AC8162" t="str">
            <v/>
          </cell>
          <cell r="AD8162" t="str">
            <v/>
          </cell>
          <cell r="AY8162" t="str">
            <v/>
          </cell>
          <cell r="AZ8162" t="str">
            <v/>
          </cell>
          <cell r="BA8162" t="str">
            <v/>
          </cell>
        </row>
        <row r="8163">
          <cell r="B8163" t="str">
            <v>-</v>
          </cell>
          <cell r="E8163" t="str">
            <v/>
          </cell>
          <cell r="G8163" t="str">
            <v/>
          </cell>
          <cell r="J8163" t="str">
            <v/>
          </cell>
          <cell r="O8163" t="str">
            <v/>
          </cell>
          <cell r="P8163" t="str">
            <v/>
          </cell>
          <cell r="Q8163" t="str">
            <v/>
          </cell>
          <cell r="S8163" t="str">
            <v/>
          </cell>
          <cell r="V8163" t="str">
            <v/>
          </cell>
          <cell r="Z8163" t="str">
            <v/>
          </cell>
          <cell r="AA8163" t="str">
            <v/>
          </cell>
          <cell r="AB8163" t="str">
            <v/>
          </cell>
          <cell r="AC8163" t="str">
            <v/>
          </cell>
          <cell r="AD8163" t="str">
            <v/>
          </cell>
          <cell r="AY8163" t="str">
            <v/>
          </cell>
          <cell r="AZ8163" t="str">
            <v/>
          </cell>
          <cell r="BA8163" t="str">
            <v/>
          </cell>
        </row>
        <row r="8164">
          <cell r="B8164" t="str">
            <v>-</v>
          </cell>
          <cell r="E8164" t="str">
            <v/>
          </cell>
          <cell r="G8164" t="str">
            <v/>
          </cell>
          <cell r="J8164" t="str">
            <v/>
          </cell>
          <cell r="O8164" t="str">
            <v/>
          </cell>
          <cell r="P8164" t="str">
            <v/>
          </cell>
          <cell r="Q8164" t="str">
            <v/>
          </cell>
          <cell r="S8164" t="str">
            <v/>
          </cell>
          <cell r="V8164" t="str">
            <v/>
          </cell>
          <cell r="Z8164" t="str">
            <v/>
          </cell>
          <cell r="AA8164" t="str">
            <v/>
          </cell>
          <cell r="AB8164" t="str">
            <v/>
          </cell>
          <cell r="AC8164" t="str">
            <v/>
          </cell>
          <cell r="AD8164" t="str">
            <v/>
          </cell>
          <cell r="AY8164" t="str">
            <v/>
          </cell>
          <cell r="AZ8164" t="str">
            <v/>
          </cell>
          <cell r="BA8164" t="str">
            <v/>
          </cell>
        </row>
        <row r="8165">
          <cell r="B8165" t="str">
            <v>-</v>
          </cell>
          <cell r="E8165" t="str">
            <v/>
          </cell>
          <cell r="G8165" t="str">
            <v/>
          </cell>
          <cell r="J8165" t="str">
            <v/>
          </cell>
          <cell r="O8165" t="str">
            <v/>
          </cell>
          <cell r="P8165" t="str">
            <v/>
          </cell>
          <cell r="Q8165" t="str">
            <v/>
          </cell>
          <cell r="S8165" t="str">
            <v/>
          </cell>
          <cell r="V8165" t="str">
            <v/>
          </cell>
          <cell r="Z8165" t="str">
            <v/>
          </cell>
          <cell r="AA8165" t="str">
            <v/>
          </cell>
          <cell r="AB8165" t="str">
            <v/>
          </cell>
          <cell r="AC8165" t="str">
            <v/>
          </cell>
          <cell r="AD8165" t="str">
            <v/>
          </cell>
          <cell r="AY8165" t="str">
            <v/>
          </cell>
          <cell r="AZ8165" t="str">
            <v/>
          </cell>
          <cell r="BA8165" t="str">
            <v/>
          </cell>
        </row>
        <row r="8166">
          <cell r="B8166" t="str">
            <v>-</v>
          </cell>
          <cell r="E8166" t="str">
            <v/>
          </cell>
          <cell r="G8166" t="str">
            <v/>
          </cell>
          <cell r="J8166" t="str">
            <v/>
          </cell>
          <cell r="O8166" t="str">
            <v/>
          </cell>
          <cell r="P8166" t="str">
            <v/>
          </cell>
          <cell r="Q8166" t="str">
            <v/>
          </cell>
          <cell r="S8166" t="str">
            <v/>
          </cell>
          <cell r="V8166" t="str">
            <v/>
          </cell>
          <cell r="Z8166" t="str">
            <v/>
          </cell>
          <cell r="AA8166" t="str">
            <v/>
          </cell>
          <cell r="AB8166" t="str">
            <v/>
          </cell>
          <cell r="AC8166" t="str">
            <v/>
          </cell>
          <cell r="AD8166" t="str">
            <v/>
          </cell>
          <cell r="AY8166" t="str">
            <v/>
          </cell>
          <cell r="AZ8166" t="str">
            <v/>
          </cell>
          <cell r="BA8166" t="str">
            <v/>
          </cell>
        </row>
        <row r="8167">
          <cell r="B8167" t="str">
            <v>-</v>
          </cell>
          <cell r="E8167" t="str">
            <v/>
          </cell>
          <cell r="G8167" t="str">
            <v/>
          </cell>
          <cell r="J8167" t="str">
            <v/>
          </cell>
          <cell r="O8167" t="str">
            <v/>
          </cell>
          <cell r="P8167" t="str">
            <v/>
          </cell>
          <cell r="Q8167" t="str">
            <v/>
          </cell>
          <cell r="S8167" t="str">
            <v/>
          </cell>
          <cell r="V8167" t="str">
            <v/>
          </cell>
          <cell r="Z8167" t="str">
            <v/>
          </cell>
          <cell r="AA8167" t="str">
            <v/>
          </cell>
          <cell r="AB8167" t="str">
            <v/>
          </cell>
          <cell r="AC8167" t="str">
            <v/>
          </cell>
          <cell r="AD8167" t="str">
            <v/>
          </cell>
          <cell r="AY8167" t="str">
            <v/>
          </cell>
          <cell r="AZ8167" t="str">
            <v/>
          </cell>
          <cell r="BA8167" t="str">
            <v/>
          </cell>
        </row>
        <row r="8168">
          <cell r="B8168" t="str">
            <v>-</v>
          </cell>
          <cell r="E8168" t="str">
            <v/>
          </cell>
          <cell r="G8168" t="str">
            <v/>
          </cell>
          <cell r="J8168" t="str">
            <v/>
          </cell>
          <cell r="O8168" t="str">
            <v/>
          </cell>
          <cell r="P8168" t="str">
            <v/>
          </cell>
          <cell r="Q8168" t="str">
            <v/>
          </cell>
          <cell r="S8168" t="str">
            <v/>
          </cell>
          <cell r="V8168" t="str">
            <v/>
          </cell>
          <cell r="Z8168" t="str">
            <v/>
          </cell>
          <cell r="AA8168" t="str">
            <v/>
          </cell>
          <cell r="AB8168" t="str">
            <v/>
          </cell>
          <cell r="AC8168" t="str">
            <v/>
          </cell>
          <cell r="AD8168" t="str">
            <v/>
          </cell>
          <cell r="AY8168" t="str">
            <v/>
          </cell>
          <cell r="AZ8168" t="str">
            <v/>
          </cell>
          <cell r="BA8168" t="str">
            <v/>
          </cell>
        </row>
        <row r="8169">
          <cell r="B8169" t="str">
            <v>-</v>
          </cell>
          <cell r="E8169" t="str">
            <v/>
          </cell>
          <cell r="G8169" t="str">
            <v/>
          </cell>
          <cell r="J8169" t="str">
            <v/>
          </cell>
          <cell r="O8169" t="str">
            <v/>
          </cell>
          <cell r="P8169" t="str">
            <v/>
          </cell>
          <cell r="Q8169" t="str">
            <v/>
          </cell>
          <cell r="S8169" t="str">
            <v/>
          </cell>
          <cell r="V8169" t="str">
            <v/>
          </cell>
          <cell r="Z8169" t="str">
            <v/>
          </cell>
          <cell r="AA8169" t="str">
            <v/>
          </cell>
          <cell r="AB8169" t="str">
            <v/>
          </cell>
          <cell r="AC8169" t="str">
            <v/>
          </cell>
          <cell r="AD8169" t="str">
            <v/>
          </cell>
          <cell r="AY8169" t="str">
            <v/>
          </cell>
          <cell r="AZ8169" t="str">
            <v/>
          </cell>
          <cell r="BA8169" t="str">
            <v/>
          </cell>
        </row>
        <row r="8170">
          <cell r="B8170" t="str">
            <v>-</v>
          </cell>
          <cell r="E8170" t="str">
            <v/>
          </cell>
          <cell r="G8170" t="str">
            <v/>
          </cell>
          <cell r="J8170" t="str">
            <v/>
          </cell>
          <cell r="O8170" t="str">
            <v/>
          </cell>
          <cell r="P8170" t="str">
            <v/>
          </cell>
          <cell r="Q8170" t="str">
            <v/>
          </cell>
          <cell r="S8170" t="str">
            <v/>
          </cell>
          <cell r="V8170" t="str">
            <v/>
          </cell>
          <cell r="Z8170" t="str">
            <v/>
          </cell>
          <cell r="AA8170" t="str">
            <v/>
          </cell>
          <cell r="AB8170" t="str">
            <v/>
          </cell>
          <cell r="AC8170" t="str">
            <v/>
          </cell>
          <cell r="AD8170" t="str">
            <v/>
          </cell>
          <cell r="AY8170" t="str">
            <v/>
          </cell>
          <cell r="AZ8170" t="str">
            <v/>
          </cell>
          <cell r="BA8170" t="str">
            <v/>
          </cell>
        </row>
        <row r="8171">
          <cell r="B8171" t="str">
            <v>-</v>
          </cell>
          <cell r="E8171" t="str">
            <v/>
          </cell>
          <cell r="G8171" t="str">
            <v/>
          </cell>
          <cell r="J8171" t="str">
            <v/>
          </cell>
          <cell r="O8171" t="str">
            <v/>
          </cell>
          <cell r="P8171" t="str">
            <v/>
          </cell>
          <cell r="Q8171" t="str">
            <v/>
          </cell>
          <cell r="S8171" t="str">
            <v/>
          </cell>
          <cell r="V8171" t="str">
            <v/>
          </cell>
          <cell r="Z8171" t="str">
            <v/>
          </cell>
          <cell r="AA8171" t="str">
            <v/>
          </cell>
          <cell r="AB8171" t="str">
            <v/>
          </cell>
          <cell r="AC8171" t="str">
            <v/>
          </cell>
          <cell r="AD8171" t="str">
            <v/>
          </cell>
          <cell r="AY8171" t="str">
            <v/>
          </cell>
          <cell r="AZ8171" t="str">
            <v/>
          </cell>
          <cell r="BA8171" t="str">
            <v/>
          </cell>
        </row>
        <row r="8172">
          <cell r="B8172" t="str">
            <v>-</v>
          </cell>
          <cell r="E8172" t="str">
            <v/>
          </cell>
          <cell r="G8172" t="str">
            <v/>
          </cell>
          <cell r="J8172" t="str">
            <v/>
          </cell>
          <cell r="O8172" t="str">
            <v/>
          </cell>
          <cell r="P8172" t="str">
            <v/>
          </cell>
          <cell r="Q8172" t="str">
            <v/>
          </cell>
          <cell r="S8172" t="str">
            <v/>
          </cell>
          <cell r="V8172" t="str">
            <v/>
          </cell>
          <cell r="Z8172" t="str">
            <v/>
          </cell>
          <cell r="AA8172" t="str">
            <v/>
          </cell>
          <cell r="AB8172" t="str">
            <v/>
          </cell>
          <cell r="AC8172" t="str">
            <v/>
          </cell>
          <cell r="AD8172" t="str">
            <v/>
          </cell>
          <cell r="AY8172" t="str">
            <v/>
          </cell>
          <cell r="AZ8172" t="str">
            <v/>
          </cell>
          <cell r="BA8172" t="str">
            <v/>
          </cell>
        </row>
        <row r="8173">
          <cell r="B8173" t="str">
            <v>-</v>
          </cell>
          <cell r="E8173" t="str">
            <v/>
          </cell>
          <cell r="G8173" t="str">
            <v/>
          </cell>
          <cell r="J8173" t="str">
            <v/>
          </cell>
          <cell r="O8173" t="str">
            <v/>
          </cell>
          <cell r="P8173" t="str">
            <v/>
          </cell>
          <cell r="Q8173" t="str">
            <v/>
          </cell>
          <cell r="S8173" t="str">
            <v/>
          </cell>
          <cell r="V8173" t="str">
            <v/>
          </cell>
          <cell r="Z8173" t="str">
            <v/>
          </cell>
          <cell r="AA8173" t="str">
            <v/>
          </cell>
          <cell r="AB8173" t="str">
            <v/>
          </cell>
          <cell r="AC8173" t="str">
            <v/>
          </cell>
          <cell r="AD8173" t="str">
            <v/>
          </cell>
          <cell r="AY8173" t="str">
            <v/>
          </cell>
          <cell r="AZ8173" t="str">
            <v/>
          </cell>
          <cell r="BA8173" t="str">
            <v/>
          </cell>
        </row>
        <row r="8174">
          <cell r="B8174" t="str">
            <v>-</v>
          </cell>
          <cell r="E8174" t="str">
            <v/>
          </cell>
          <cell r="G8174" t="str">
            <v/>
          </cell>
          <cell r="J8174" t="str">
            <v/>
          </cell>
          <cell r="O8174" t="str">
            <v/>
          </cell>
          <cell r="P8174" t="str">
            <v/>
          </cell>
          <cell r="Q8174" t="str">
            <v/>
          </cell>
          <cell r="S8174" t="str">
            <v/>
          </cell>
          <cell r="V8174" t="str">
            <v/>
          </cell>
          <cell r="Z8174" t="str">
            <v/>
          </cell>
          <cell r="AA8174" t="str">
            <v/>
          </cell>
          <cell r="AB8174" t="str">
            <v/>
          </cell>
          <cell r="AC8174" t="str">
            <v/>
          </cell>
          <cell r="AD8174" t="str">
            <v/>
          </cell>
          <cell r="AY8174" t="str">
            <v/>
          </cell>
          <cell r="AZ8174" t="str">
            <v/>
          </cell>
          <cell r="BA8174" t="str">
            <v/>
          </cell>
        </row>
        <row r="8175">
          <cell r="B8175" t="str">
            <v>-</v>
          </cell>
          <cell r="E8175" t="str">
            <v/>
          </cell>
          <cell r="G8175" t="str">
            <v/>
          </cell>
          <cell r="J8175" t="str">
            <v/>
          </cell>
          <cell r="O8175" t="str">
            <v/>
          </cell>
          <cell r="P8175" t="str">
            <v/>
          </cell>
          <cell r="Q8175" t="str">
            <v/>
          </cell>
          <cell r="S8175" t="str">
            <v/>
          </cell>
          <cell r="V8175" t="str">
            <v/>
          </cell>
          <cell r="Z8175" t="str">
            <v/>
          </cell>
          <cell r="AA8175" t="str">
            <v/>
          </cell>
          <cell r="AB8175" t="str">
            <v/>
          </cell>
          <cell r="AC8175" t="str">
            <v/>
          </cell>
          <cell r="AD8175" t="str">
            <v/>
          </cell>
          <cell r="AY8175" t="str">
            <v/>
          </cell>
          <cell r="AZ8175" t="str">
            <v/>
          </cell>
          <cell r="BA8175" t="str">
            <v/>
          </cell>
        </row>
        <row r="8176">
          <cell r="B8176" t="str">
            <v>-</v>
          </cell>
          <cell r="E8176" t="str">
            <v/>
          </cell>
          <cell r="G8176" t="str">
            <v/>
          </cell>
          <cell r="J8176" t="str">
            <v/>
          </cell>
          <cell r="O8176" t="str">
            <v/>
          </cell>
          <cell r="P8176" t="str">
            <v/>
          </cell>
          <cell r="Q8176" t="str">
            <v/>
          </cell>
          <cell r="S8176" t="str">
            <v/>
          </cell>
          <cell r="V8176" t="str">
            <v/>
          </cell>
          <cell r="Z8176" t="str">
            <v/>
          </cell>
          <cell r="AA8176" t="str">
            <v/>
          </cell>
          <cell r="AB8176" t="str">
            <v/>
          </cell>
          <cell r="AC8176" t="str">
            <v/>
          </cell>
          <cell r="AD8176" t="str">
            <v/>
          </cell>
          <cell r="AY8176" t="str">
            <v/>
          </cell>
          <cell r="AZ8176" t="str">
            <v/>
          </cell>
          <cell r="BA8176" t="str">
            <v/>
          </cell>
        </row>
        <row r="8177">
          <cell r="B8177" t="str">
            <v>-</v>
          </cell>
          <cell r="E8177" t="str">
            <v/>
          </cell>
          <cell r="G8177" t="str">
            <v/>
          </cell>
          <cell r="J8177" t="str">
            <v/>
          </cell>
          <cell r="O8177" t="str">
            <v/>
          </cell>
          <cell r="P8177" t="str">
            <v/>
          </cell>
          <cell r="Q8177" t="str">
            <v/>
          </cell>
          <cell r="S8177" t="str">
            <v/>
          </cell>
          <cell r="V8177" t="str">
            <v/>
          </cell>
          <cell r="Z8177" t="str">
            <v/>
          </cell>
          <cell r="AA8177" t="str">
            <v/>
          </cell>
          <cell r="AB8177" t="str">
            <v/>
          </cell>
          <cell r="AC8177" t="str">
            <v/>
          </cell>
          <cell r="AD8177" t="str">
            <v/>
          </cell>
          <cell r="AY8177" t="str">
            <v/>
          </cell>
          <cell r="AZ8177" t="str">
            <v/>
          </cell>
          <cell r="BA8177" t="str">
            <v/>
          </cell>
        </row>
        <row r="8178">
          <cell r="B8178" t="str">
            <v>-</v>
          </cell>
          <cell r="E8178" t="str">
            <v/>
          </cell>
          <cell r="G8178" t="str">
            <v/>
          </cell>
          <cell r="J8178" t="str">
            <v/>
          </cell>
          <cell r="O8178" t="str">
            <v/>
          </cell>
          <cell r="P8178" t="str">
            <v/>
          </cell>
          <cell r="Q8178" t="str">
            <v/>
          </cell>
          <cell r="S8178" t="str">
            <v/>
          </cell>
          <cell r="V8178" t="str">
            <v/>
          </cell>
          <cell r="Z8178" t="str">
            <v/>
          </cell>
          <cell r="AA8178" t="str">
            <v/>
          </cell>
          <cell r="AB8178" t="str">
            <v/>
          </cell>
          <cell r="AC8178" t="str">
            <v/>
          </cell>
          <cell r="AD8178" t="str">
            <v/>
          </cell>
          <cell r="AY8178" t="str">
            <v/>
          </cell>
          <cell r="AZ8178" t="str">
            <v/>
          </cell>
          <cell r="BA8178" t="str">
            <v/>
          </cell>
        </row>
        <row r="8179">
          <cell r="B8179" t="str">
            <v>-</v>
          </cell>
          <cell r="E8179" t="str">
            <v/>
          </cell>
          <cell r="G8179" t="str">
            <v/>
          </cell>
          <cell r="J8179" t="str">
            <v/>
          </cell>
          <cell r="O8179" t="str">
            <v/>
          </cell>
          <cell r="P8179" t="str">
            <v/>
          </cell>
          <cell r="Q8179" t="str">
            <v/>
          </cell>
          <cell r="S8179" t="str">
            <v/>
          </cell>
          <cell r="V8179" t="str">
            <v/>
          </cell>
          <cell r="Z8179" t="str">
            <v/>
          </cell>
          <cell r="AA8179" t="str">
            <v/>
          </cell>
          <cell r="AB8179" t="str">
            <v/>
          </cell>
          <cell r="AC8179" t="str">
            <v/>
          </cell>
          <cell r="AD8179" t="str">
            <v/>
          </cell>
          <cell r="AY8179" t="str">
            <v/>
          </cell>
          <cell r="AZ8179" t="str">
            <v/>
          </cell>
          <cell r="BA8179" t="str">
            <v/>
          </cell>
        </row>
        <row r="8180">
          <cell r="B8180" t="str">
            <v>-</v>
          </cell>
          <cell r="E8180" t="str">
            <v/>
          </cell>
          <cell r="G8180" t="str">
            <v/>
          </cell>
          <cell r="J8180" t="str">
            <v/>
          </cell>
          <cell r="O8180" t="str">
            <v/>
          </cell>
          <cell r="P8180" t="str">
            <v/>
          </cell>
          <cell r="Q8180" t="str">
            <v/>
          </cell>
          <cell r="S8180" t="str">
            <v/>
          </cell>
          <cell r="V8180" t="str">
            <v/>
          </cell>
          <cell r="Z8180" t="str">
            <v/>
          </cell>
          <cell r="AA8180" t="str">
            <v/>
          </cell>
          <cell r="AB8180" t="str">
            <v/>
          </cell>
          <cell r="AC8180" t="str">
            <v/>
          </cell>
          <cell r="AD8180" t="str">
            <v/>
          </cell>
          <cell r="AY8180" t="str">
            <v/>
          </cell>
          <cell r="AZ8180" t="str">
            <v/>
          </cell>
          <cell r="BA8180" t="str">
            <v/>
          </cell>
        </row>
        <row r="8181">
          <cell r="B8181" t="str">
            <v>-</v>
          </cell>
          <cell r="E8181" t="str">
            <v/>
          </cell>
          <cell r="G8181" t="str">
            <v/>
          </cell>
          <cell r="J8181" t="str">
            <v/>
          </cell>
          <cell r="O8181" t="str">
            <v/>
          </cell>
          <cell r="P8181" t="str">
            <v/>
          </cell>
          <cell r="Q8181" t="str">
            <v/>
          </cell>
          <cell r="S8181" t="str">
            <v/>
          </cell>
          <cell r="V8181" t="str">
            <v/>
          </cell>
          <cell r="Z8181" t="str">
            <v/>
          </cell>
          <cell r="AA8181" t="str">
            <v/>
          </cell>
          <cell r="AB8181" t="str">
            <v/>
          </cell>
          <cell r="AC8181" t="str">
            <v/>
          </cell>
          <cell r="AD8181" t="str">
            <v/>
          </cell>
          <cell r="AY8181" t="str">
            <v/>
          </cell>
          <cell r="AZ8181" t="str">
            <v/>
          </cell>
          <cell r="BA8181" t="str">
            <v/>
          </cell>
        </row>
        <row r="8182">
          <cell r="B8182" t="str">
            <v>-</v>
          </cell>
          <cell r="E8182" t="str">
            <v/>
          </cell>
          <cell r="G8182" t="str">
            <v/>
          </cell>
          <cell r="J8182" t="str">
            <v/>
          </cell>
          <cell r="O8182" t="str">
            <v/>
          </cell>
          <cell r="P8182" t="str">
            <v/>
          </cell>
          <cell r="Q8182" t="str">
            <v/>
          </cell>
          <cell r="S8182" t="str">
            <v/>
          </cell>
          <cell r="V8182" t="str">
            <v/>
          </cell>
          <cell r="Z8182" t="str">
            <v/>
          </cell>
          <cell r="AA8182" t="str">
            <v/>
          </cell>
          <cell r="AB8182" t="str">
            <v/>
          </cell>
          <cell r="AC8182" t="str">
            <v/>
          </cell>
          <cell r="AD8182" t="str">
            <v/>
          </cell>
          <cell r="AY8182" t="str">
            <v/>
          </cell>
          <cell r="AZ8182" t="str">
            <v/>
          </cell>
          <cell r="BA8182" t="str">
            <v/>
          </cell>
        </row>
        <row r="8183">
          <cell r="B8183" t="str">
            <v>-</v>
          </cell>
          <cell r="E8183" t="str">
            <v/>
          </cell>
          <cell r="G8183" t="str">
            <v/>
          </cell>
          <cell r="J8183" t="str">
            <v/>
          </cell>
          <cell r="O8183" t="str">
            <v/>
          </cell>
          <cell r="P8183" t="str">
            <v/>
          </cell>
          <cell r="Q8183" t="str">
            <v/>
          </cell>
          <cell r="S8183" t="str">
            <v/>
          </cell>
          <cell r="V8183" t="str">
            <v/>
          </cell>
          <cell r="Z8183" t="str">
            <v/>
          </cell>
          <cell r="AA8183" t="str">
            <v/>
          </cell>
          <cell r="AB8183" t="str">
            <v/>
          </cell>
          <cell r="AC8183" t="str">
            <v/>
          </cell>
          <cell r="AD8183" t="str">
            <v/>
          </cell>
          <cell r="AY8183" t="str">
            <v/>
          </cell>
          <cell r="AZ8183" t="str">
            <v/>
          </cell>
          <cell r="BA8183" t="str">
            <v/>
          </cell>
        </row>
        <row r="8184">
          <cell r="B8184" t="str">
            <v>-</v>
          </cell>
          <cell r="E8184" t="str">
            <v/>
          </cell>
          <cell r="G8184" t="str">
            <v/>
          </cell>
          <cell r="J8184" t="str">
            <v/>
          </cell>
          <cell r="O8184" t="str">
            <v/>
          </cell>
          <cell r="P8184" t="str">
            <v/>
          </cell>
          <cell r="Q8184" t="str">
            <v/>
          </cell>
          <cell r="S8184" t="str">
            <v/>
          </cell>
          <cell r="V8184" t="str">
            <v/>
          </cell>
          <cell r="Z8184" t="str">
            <v/>
          </cell>
          <cell r="AA8184" t="str">
            <v/>
          </cell>
          <cell r="AB8184" t="str">
            <v/>
          </cell>
          <cell r="AC8184" t="str">
            <v/>
          </cell>
          <cell r="AD8184" t="str">
            <v/>
          </cell>
          <cell r="AY8184" t="str">
            <v/>
          </cell>
          <cell r="AZ8184" t="str">
            <v/>
          </cell>
          <cell r="BA8184" t="str">
            <v/>
          </cell>
        </row>
        <row r="8185">
          <cell r="B8185" t="str">
            <v>-</v>
          </cell>
          <cell r="E8185" t="str">
            <v/>
          </cell>
          <cell r="G8185" t="str">
            <v/>
          </cell>
          <cell r="J8185" t="str">
            <v/>
          </cell>
          <cell r="O8185" t="str">
            <v/>
          </cell>
          <cell r="P8185" t="str">
            <v/>
          </cell>
          <cell r="Q8185" t="str">
            <v/>
          </cell>
          <cell r="S8185" t="str">
            <v/>
          </cell>
          <cell r="V8185" t="str">
            <v/>
          </cell>
          <cell r="Z8185" t="str">
            <v/>
          </cell>
          <cell r="AA8185" t="str">
            <v/>
          </cell>
          <cell r="AB8185" t="str">
            <v/>
          </cell>
          <cell r="AC8185" t="str">
            <v/>
          </cell>
          <cell r="AD8185" t="str">
            <v/>
          </cell>
          <cell r="AY8185" t="str">
            <v/>
          </cell>
          <cell r="AZ8185" t="str">
            <v/>
          </cell>
          <cell r="BA8185" t="str">
            <v/>
          </cell>
        </row>
        <row r="8186">
          <cell r="B8186" t="str">
            <v>-</v>
          </cell>
          <cell r="E8186" t="str">
            <v/>
          </cell>
          <cell r="G8186" t="str">
            <v/>
          </cell>
          <cell r="J8186" t="str">
            <v/>
          </cell>
          <cell r="O8186" t="str">
            <v/>
          </cell>
          <cell r="P8186" t="str">
            <v/>
          </cell>
          <cell r="Q8186" t="str">
            <v/>
          </cell>
          <cell r="S8186" t="str">
            <v/>
          </cell>
          <cell r="V8186" t="str">
            <v/>
          </cell>
          <cell r="Z8186" t="str">
            <v/>
          </cell>
          <cell r="AA8186" t="str">
            <v/>
          </cell>
          <cell r="AB8186" t="str">
            <v/>
          </cell>
          <cell r="AC8186" t="str">
            <v/>
          </cell>
          <cell r="AD8186" t="str">
            <v/>
          </cell>
          <cell r="AY8186" t="str">
            <v/>
          </cell>
          <cell r="AZ8186" t="str">
            <v/>
          </cell>
          <cell r="BA8186" t="str">
            <v/>
          </cell>
        </row>
        <row r="8187">
          <cell r="B8187" t="str">
            <v>-</v>
          </cell>
          <cell r="E8187" t="str">
            <v/>
          </cell>
          <cell r="G8187" t="str">
            <v/>
          </cell>
          <cell r="J8187" t="str">
            <v/>
          </cell>
          <cell r="O8187" t="str">
            <v/>
          </cell>
          <cell r="P8187" t="str">
            <v/>
          </cell>
          <cell r="Q8187" t="str">
            <v/>
          </cell>
          <cell r="S8187" t="str">
            <v/>
          </cell>
          <cell r="V8187" t="str">
            <v/>
          </cell>
          <cell r="Z8187" t="str">
            <v/>
          </cell>
          <cell r="AA8187" t="str">
            <v/>
          </cell>
          <cell r="AB8187" t="str">
            <v/>
          </cell>
          <cell r="AC8187" t="str">
            <v/>
          </cell>
          <cell r="AD8187" t="str">
            <v/>
          </cell>
          <cell r="AY8187" t="str">
            <v/>
          </cell>
          <cell r="AZ8187" t="str">
            <v/>
          </cell>
          <cell r="BA8187" t="str">
            <v/>
          </cell>
        </row>
        <row r="8188">
          <cell r="B8188" t="str">
            <v>-</v>
          </cell>
          <cell r="E8188" t="str">
            <v/>
          </cell>
          <cell r="G8188" t="str">
            <v/>
          </cell>
          <cell r="J8188" t="str">
            <v/>
          </cell>
          <cell r="O8188" t="str">
            <v/>
          </cell>
          <cell r="P8188" t="str">
            <v/>
          </cell>
          <cell r="Q8188" t="str">
            <v/>
          </cell>
          <cell r="S8188" t="str">
            <v/>
          </cell>
          <cell r="V8188" t="str">
            <v/>
          </cell>
          <cell r="Z8188" t="str">
            <v/>
          </cell>
          <cell r="AA8188" t="str">
            <v/>
          </cell>
          <cell r="AB8188" t="str">
            <v/>
          </cell>
          <cell r="AC8188" t="str">
            <v/>
          </cell>
          <cell r="AD8188" t="str">
            <v/>
          </cell>
          <cell r="AY8188" t="str">
            <v/>
          </cell>
          <cell r="AZ8188" t="str">
            <v/>
          </cell>
          <cell r="BA8188" t="str">
            <v/>
          </cell>
        </row>
        <row r="8189">
          <cell r="B8189" t="str">
            <v>-</v>
          </cell>
          <cell r="E8189" t="str">
            <v/>
          </cell>
          <cell r="G8189" t="str">
            <v/>
          </cell>
          <cell r="J8189" t="str">
            <v/>
          </cell>
          <cell r="O8189" t="str">
            <v/>
          </cell>
          <cell r="P8189" t="str">
            <v/>
          </cell>
          <cell r="Q8189" t="str">
            <v/>
          </cell>
          <cell r="S8189" t="str">
            <v/>
          </cell>
          <cell r="V8189" t="str">
            <v/>
          </cell>
          <cell r="Z8189" t="str">
            <v/>
          </cell>
          <cell r="AA8189" t="str">
            <v/>
          </cell>
          <cell r="AB8189" t="str">
            <v/>
          </cell>
          <cell r="AC8189" t="str">
            <v/>
          </cell>
          <cell r="AD8189" t="str">
            <v/>
          </cell>
          <cell r="AY8189" t="str">
            <v/>
          </cell>
          <cell r="AZ8189" t="str">
            <v/>
          </cell>
          <cell r="BA8189" t="str">
            <v/>
          </cell>
        </row>
        <row r="8190">
          <cell r="B8190" t="str">
            <v>-</v>
          </cell>
          <cell r="E8190" t="str">
            <v/>
          </cell>
          <cell r="G8190" t="str">
            <v/>
          </cell>
          <cell r="J8190" t="str">
            <v/>
          </cell>
          <cell r="O8190" t="str">
            <v/>
          </cell>
          <cell r="P8190" t="str">
            <v/>
          </cell>
          <cell r="Q8190" t="str">
            <v/>
          </cell>
          <cell r="S8190" t="str">
            <v/>
          </cell>
          <cell r="V8190" t="str">
            <v/>
          </cell>
          <cell r="Z8190" t="str">
            <v/>
          </cell>
          <cell r="AA8190" t="str">
            <v/>
          </cell>
          <cell r="AB8190" t="str">
            <v/>
          </cell>
          <cell r="AC8190" t="str">
            <v/>
          </cell>
          <cell r="AD8190" t="str">
            <v/>
          </cell>
          <cell r="AY8190" t="str">
            <v/>
          </cell>
          <cell r="AZ8190" t="str">
            <v/>
          </cell>
          <cell r="BA8190" t="str">
            <v/>
          </cell>
        </row>
        <row r="8191">
          <cell r="B8191" t="str">
            <v>-</v>
          </cell>
          <cell r="E8191" t="str">
            <v/>
          </cell>
          <cell r="G8191" t="str">
            <v/>
          </cell>
          <cell r="J8191" t="str">
            <v/>
          </cell>
          <cell r="O8191" t="str">
            <v/>
          </cell>
          <cell r="P8191" t="str">
            <v/>
          </cell>
          <cell r="Q8191" t="str">
            <v/>
          </cell>
          <cell r="S8191" t="str">
            <v/>
          </cell>
          <cell r="V8191" t="str">
            <v/>
          </cell>
          <cell r="Z8191" t="str">
            <v/>
          </cell>
          <cell r="AA8191" t="str">
            <v/>
          </cell>
          <cell r="AB8191" t="str">
            <v/>
          </cell>
          <cell r="AC8191" t="str">
            <v/>
          </cell>
          <cell r="AD8191" t="str">
            <v/>
          </cell>
          <cell r="AY8191" t="str">
            <v/>
          </cell>
          <cell r="AZ8191" t="str">
            <v/>
          </cell>
          <cell r="BA8191" t="str">
            <v/>
          </cell>
        </row>
        <row r="8192">
          <cell r="B8192" t="str">
            <v>-</v>
          </cell>
          <cell r="E8192" t="str">
            <v/>
          </cell>
          <cell r="G8192" t="str">
            <v/>
          </cell>
          <cell r="J8192" t="str">
            <v/>
          </cell>
          <cell r="O8192" t="str">
            <v/>
          </cell>
          <cell r="P8192" t="str">
            <v/>
          </cell>
          <cell r="Q8192" t="str">
            <v/>
          </cell>
          <cell r="S8192" t="str">
            <v/>
          </cell>
          <cell r="V8192" t="str">
            <v/>
          </cell>
          <cell r="Z8192" t="str">
            <v/>
          </cell>
          <cell r="AA8192" t="str">
            <v/>
          </cell>
          <cell r="AB8192" t="str">
            <v/>
          </cell>
          <cell r="AC8192" t="str">
            <v/>
          </cell>
          <cell r="AD8192" t="str">
            <v/>
          </cell>
          <cell r="AY8192" t="str">
            <v/>
          </cell>
          <cell r="AZ8192" t="str">
            <v/>
          </cell>
          <cell r="BA8192" t="str">
            <v/>
          </cell>
        </row>
        <row r="8193">
          <cell r="B8193" t="str">
            <v>-</v>
          </cell>
          <cell r="E8193" t="str">
            <v/>
          </cell>
          <cell r="G8193" t="str">
            <v/>
          </cell>
          <cell r="J8193" t="str">
            <v/>
          </cell>
          <cell r="O8193" t="str">
            <v/>
          </cell>
          <cell r="P8193" t="str">
            <v/>
          </cell>
          <cell r="Q8193" t="str">
            <v/>
          </cell>
          <cell r="S8193" t="str">
            <v/>
          </cell>
          <cell r="V8193" t="str">
            <v/>
          </cell>
          <cell r="Z8193" t="str">
            <v/>
          </cell>
          <cell r="AA8193" t="str">
            <v/>
          </cell>
          <cell r="AB8193" t="str">
            <v/>
          </cell>
          <cell r="AC8193" t="str">
            <v/>
          </cell>
          <cell r="AD8193" t="str">
            <v/>
          </cell>
          <cell r="AY8193" t="str">
            <v/>
          </cell>
          <cell r="AZ8193" t="str">
            <v/>
          </cell>
          <cell r="BA8193" t="str">
            <v/>
          </cell>
        </row>
        <row r="8194">
          <cell r="B8194" t="str">
            <v>-</v>
          </cell>
          <cell r="E8194" t="str">
            <v/>
          </cell>
          <cell r="G8194" t="str">
            <v/>
          </cell>
          <cell r="J8194" t="str">
            <v/>
          </cell>
          <cell r="O8194" t="str">
            <v/>
          </cell>
          <cell r="P8194" t="str">
            <v/>
          </cell>
          <cell r="Q8194" t="str">
            <v/>
          </cell>
          <cell r="S8194" t="str">
            <v/>
          </cell>
          <cell r="V8194" t="str">
            <v/>
          </cell>
          <cell r="Z8194" t="str">
            <v/>
          </cell>
          <cell r="AA8194" t="str">
            <v/>
          </cell>
          <cell r="AB8194" t="str">
            <v/>
          </cell>
          <cell r="AC8194" t="str">
            <v/>
          </cell>
          <cell r="AD8194" t="str">
            <v/>
          </cell>
          <cell r="AY8194" t="str">
            <v/>
          </cell>
          <cell r="AZ8194" t="str">
            <v/>
          </cell>
          <cell r="BA8194" t="str">
            <v/>
          </cell>
        </row>
        <row r="8195">
          <cell r="B8195" t="str">
            <v>-</v>
          </cell>
          <cell r="E8195" t="str">
            <v/>
          </cell>
          <cell r="G8195" t="str">
            <v/>
          </cell>
          <cell r="J8195" t="str">
            <v/>
          </cell>
          <cell r="O8195" t="str">
            <v/>
          </cell>
          <cell r="P8195" t="str">
            <v/>
          </cell>
          <cell r="Q8195" t="str">
            <v/>
          </cell>
          <cell r="S8195" t="str">
            <v/>
          </cell>
          <cell r="V8195" t="str">
            <v/>
          </cell>
          <cell r="Z8195" t="str">
            <v/>
          </cell>
          <cell r="AA8195" t="str">
            <v/>
          </cell>
          <cell r="AB8195" t="str">
            <v/>
          </cell>
          <cell r="AC8195" t="str">
            <v/>
          </cell>
          <cell r="AD8195" t="str">
            <v/>
          </cell>
          <cell r="AY8195" t="str">
            <v/>
          </cell>
          <cell r="AZ8195" t="str">
            <v/>
          </cell>
          <cell r="BA8195" t="str">
            <v/>
          </cell>
        </row>
        <row r="8196">
          <cell r="B8196" t="str">
            <v>-</v>
          </cell>
          <cell r="E8196" t="str">
            <v/>
          </cell>
          <cell r="G8196" t="str">
            <v/>
          </cell>
          <cell r="J8196" t="str">
            <v/>
          </cell>
          <cell r="O8196" t="str">
            <v/>
          </cell>
          <cell r="P8196" t="str">
            <v/>
          </cell>
          <cell r="Q8196" t="str">
            <v/>
          </cell>
          <cell r="S8196" t="str">
            <v/>
          </cell>
          <cell r="V8196" t="str">
            <v/>
          </cell>
          <cell r="Z8196" t="str">
            <v/>
          </cell>
          <cell r="AA8196" t="str">
            <v/>
          </cell>
          <cell r="AB8196" t="str">
            <v/>
          </cell>
          <cell r="AC8196" t="str">
            <v/>
          </cell>
          <cell r="AD8196" t="str">
            <v/>
          </cell>
          <cell r="AY8196" t="str">
            <v/>
          </cell>
          <cell r="AZ8196" t="str">
            <v/>
          </cell>
          <cell r="BA8196" t="str">
            <v/>
          </cell>
        </row>
        <row r="8197">
          <cell r="B8197" t="str">
            <v>-</v>
          </cell>
          <cell r="E8197" t="str">
            <v/>
          </cell>
          <cell r="G8197" t="str">
            <v/>
          </cell>
          <cell r="J8197" t="str">
            <v/>
          </cell>
          <cell r="O8197" t="str">
            <v/>
          </cell>
          <cell r="P8197" t="str">
            <v/>
          </cell>
          <cell r="Q8197" t="str">
            <v/>
          </cell>
          <cell r="S8197" t="str">
            <v/>
          </cell>
          <cell r="V8197" t="str">
            <v/>
          </cell>
          <cell r="Z8197" t="str">
            <v/>
          </cell>
          <cell r="AA8197" t="str">
            <v/>
          </cell>
          <cell r="AB8197" t="str">
            <v/>
          </cell>
          <cell r="AC8197" t="str">
            <v/>
          </cell>
          <cell r="AD8197" t="str">
            <v/>
          </cell>
          <cell r="AY8197" t="str">
            <v/>
          </cell>
          <cell r="AZ8197" t="str">
            <v/>
          </cell>
          <cell r="BA8197" t="str">
            <v/>
          </cell>
        </row>
        <row r="8198">
          <cell r="B8198" t="str">
            <v>-</v>
          </cell>
          <cell r="E8198" t="str">
            <v/>
          </cell>
          <cell r="G8198" t="str">
            <v/>
          </cell>
          <cell r="J8198" t="str">
            <v/>
          </cell>
          <cell r="O8198" t="str">
            <v/>
          </cell>
          <cell r="P8198" t="str">
            <v/>
          </cell>
          <cell r="Q8198" t="str">
            <v/>
          </cell>
          <cell r="S8198" t="str">
            <v/>
          </cell>
          <cell r="V8198" t="str">
            <v/>
          </cell>
          <cell r="Z8198" t="str">
            <v/>
          </cell>
          <cell r="AA8198" t="str">
            <v/>
          </cell>
          <cell r="AB8198" t="str">
            <v/>
          </cell>
          <cell r="AC8198" t="str">
            <v/>
          </cell>
          <cell r="AD8198" t="str">
            <v/>
          </cell>
          <cell r="AY8198" t="str">
            <v/>
          </cell>
          <cell r="AZ8198" t="str">
            <v/>
          </cell>
          <cell r="BA8198" t="str">
            <v/>
          </cell>
        </row>
        <row r="8199">
          <cell r="B8199" t="str">
            <v>-</v>
          </cell>
          <cell r="E8199" t="str">
            <v/>
          </cell>
          <cell r="G8199" t="str">
            <v/>
          </cell>
          <cell r="J8199" t="str">
            <v/>
          </cell>
          <cell r="O8199" t="str">
            <v/>
          </cell>
          <cell r="P8199" t="str">
            <v/>
          </cell>
          <cell r="Q8199" t="str">
            <v/>
          </cell>
          <cell r="S8199" t="str">
            <v/>
          </cell>
          <cell r="V8199" t="str">
            <v/>
          </cell>
          <cell r="Z8199" t="str">
            <v/>
          </cell>
          <cell r="AA8199" t="str">
            <v/>
          </cell>
          <cell r="AB8199" t="str">
            <v/>
          </cell>
          <cell r="AC8199" t="str">
            <v/>
          </cell>
          <cell r="AD8199" t="str">
            <v/>
          </cell>
          <cell r="AY8199" t="str">
            <v/>
          </cell>
          <cell r="AZ8199" t="str">
            <v/>
          </cell>
          <cell r="BA8199" t="str">
            <v/>
          </cell>
        </row>
        <row r="8200">
          <cell r="B8200" t="str">
            <v>-</v>
          </cell>
          <cell r="E8200" t="str">
            <v/>
          </cell>
          <cell r="G8200" t="str">
            <v/>
          </cell>
          <cell r="J8200" t="str">
            <v/>
          </cell>
          <cell r="O8200" t="str">
            <v/>
          </cell>
          <cell r="P8200" t="str">
            <v/>
          </cell>
          <cell r="Q8200" t="str">
            <v/>
          </cell>
          <cell r="S8200" t="str">
            <v/>
          </cell>
          <cell r="V8200" t="str">
            <v/>
          </cell>
          <cell r="Z8200" t="str">
            <v/>
          </cell>
          <cell r="AA8200" t="str">
            <v/>
          </cell>
          <cell r="AB8200" t="str">
            <v/>
          </cell>
          <cell r="AC8200" t="str">
            <v/>
          </cell>
          <cell r="AD8200" t="str">
            <v/>
          </cell>
          <cell r="AY8200" t="str">
            <v/>
          </cell>
          <cell r="AZ8200" t="str">
            <v/>
          </cell>
          <cell r="BA8200" t="str">
            <v/>
          </cell>
        </row>
        <row r="8201">
          <cell r="B8201" t="str">
            <v>-</v>
          </cell>
          <cell r="E8201" t="str">
            <v/>
          </cell>
          <cell r="G8201" t="str">
            <v/>
          </cell>
          <cell r="J8201" t="str">
            <v/>
          </cell>
          <cell r="O8201" t="str">
            <v/>
          </cell>
          <cell r="P8201" t="str">
            <v/>
          </cell>
          <cell r="Q8201" t="str">
            <v/>
          </cell>
          <cell r="S8201" t="str">
            <v/>
          </cell>
          <cell r="V8201" t="str">
            <v/>
          </cell>
          <cell r="Z8201" t="str">
            <v/>
          </cell>
          <cell r="AA8201" t="str">
            <v/>
          </cell>
          <cell r="AB8201" t="str">
            <v/>
          </cell>
          <cell r="AC8201" t="str">
            <v/>
          </cell>
          <cell r="AD8201" t="str">
            <v/>
          </cell>
          <cell r="AY8201" t="str">
            <v/>
          </cell>
          <cell r="AZ8201" t="str">
            <v/>
          </cell>
          <cell r="BA8201" t="str">
            <v/>
          </cell>
        </row>
        <row r="8202">
          <cell r="B8202" t="str">
            <v>-</v>
          </cell>
          <cell r="E8202" t="str">
            <v/>
          </cell>
          <cell r="G8202" t="str">
            <v/>
          </cell>
          <cell r="J8202" t="str">
            <v/>
          </cell>
          <cell r="O8202" t="str">
            <v/>
          </cell>
          <cell r="P8202" t="str">
            <v/>
          </cell>
          <cell r="Q8202" t="str">
            <v/>
          </cell>
          <cell r="S8202" t="str">
            <v/>
          </cell>
          <cell r="V8202" t="str">
            <v/>
          </cell>
          <cell r="Z8202" t="str">
            <v/>
          </cell>
          <cell r="AA8202" t="str">
            <v/>
          </cell>
          <cell r="AB8202" t="str">
            <v/>
          </cell>
          <cell r="AC8202" t="str">
            <v/>
          </cell>
          <cell r="AD8202" t="str">
            <v/>
          </cell>
          <cell r="AY8202" t="str">
            <v/>
          </cell>
          <cell r="AZ8202" t="str">
            <v/>
          </cell>
          <cell r="BA8202" t="str">
            <v/>
          </cell>
        </row>
        <row r="8203">
          <cell r="B8203" t="str">
            <v>-</v>
          </cell>
          <cell r="E8203" t="str">
            <v/>
          </cell>
          <cell r="G8203" t="str">
            <v/>
          </cell>
          <cell r="J8203" t="str">
            <v/>
          </cell>
          <cell r="O8203" t="str">
            <v/>
          </cell>
          <cell r="P8203" t="str">
            <v/>
          </cell>
          <cell r="Q8203" t="str">
            <v/>
          </cell>
          <cell r="S8203" t="str">
            <v/>
          </cell>
          <cell r="V8203" t="str">
            <v/>
          </cell>
          <cell r="Z8203" t="str">
            <v/>
          </cell>
          <cell r="AA8203" t="str">
            <v/>
          </cell>
          <cell r="AB8203" t="str">
            <v/>
          </cell>
          <cell r="AC8203" t="str">
            <v/>
          </cell>
          <cell r="AD8203" t="str">
            <v/>
          </cell>
          <cell r="AY8203" t="str">
            <v/>
          </cell>
          <cell r="AZ8203" t="str">
            <v/>
          </cell>
          <cell r="BA8203" t="str">
            <v/>
          </cell>
        </row>
        <row r="8204">
          <cell r="B8204" t="str">
            <v>-</v>
          </cell>
          <cell r="E8204" t="str">
            <v/>
          </cell>
          <cell r="G8204" t="str">
            <v/>
          </cell>
          <cell r="J8204" t="str">
            <v/>
          </cell>
          <cell r="O8204" t="str">
            <v/>
          </cell>
          <cell r="P8204" t="str">
            <v/>
          </cell>
          <cell r="Q8204" t="str">
            <v/>
          </cell>
          <cell r="S8204" t="str">
            <v/>
          </cell>
          <cell r="V8204" t="str">
            <v/>
          </cell>
          <cell r="Z8204" t="str">
            <v/>
          </cell>
          <cell r="AA8204" t="str">
            <v/>
          </cell>
          <cell r="AB8204" t="str">
            <v/>
          </cell>
          <cell r="AC8204" t="str">
            <v/>
          </cell>
          <cell r="AD8204" t="str">
            <v/>
          </cell>
          <cell r="AY8204" t="str">
            <v/>
          </cell>
          <cell r="AZ8204" t="str">
            <v/>
          </cell>
          <cell r="BA8204" t="str">
            <v/>
          </cell>
        </row>
        <row r="8205">
          <cell r="B8205" t="str">
            <v>-</v>
          </cell>
          <cell r="E8205" t="str">
            <v/>
          </cell>
          <cell r="G8205" t="str">
            <v/>
          </cell>
          <cell r="J8205" t="str">
            <v/>
          </cell>
          <cell r="O8205" t="str">
            <v/>
          </cell>
          <cell r="P8205" t="str">
            <v/>
          </cell>
          <cell r="Q8205" t="str">
            <v/>
          </cell>
          <cell r="S8205" t="str">
            <v/>
          </cell>
          <cell r="V8205" t="str">
            <v/>
          </cell>
          <cell r="Z8205" t="str">
            <v/>
          </cell>
          <cell r="AA8205" t="str">
            <v/>
          </cell>
          <cell r="AB8205" t="str">
            <v/>
          </cell>
          <cell r="AC8205" t="str">
            <v/>
          </cell>
          <cell r="AD8205" t="str">
            <v/>
          </cell>
          <cell r="AY8205" t="str">
            <v/>
          </cell>
          <cell r="AZ8205" t="str">
            <v/>
          </cell>
          <cell r="BA8205" t="str">
            <v/>
          </cell>
        </row>
        <row r="8206">
          <cell r="B8206" t="str">
            <v>-</v>
          </cell>
          <cell r="E8206" t="str">
            <v/>
          </cell>
          <cell r="G8206" t="str">
            <v/>
          </cell>
          <cell r="J8206" t="str">
            <v/>
          </cell>
          <cell r="O8206" t="str">
            <v/>
          </cell>
          <cell r="P8206" t="str">
            <v/>
          </cell>
          <cell r="Q8206" t="str">
            <v/>
          </cell>
          <cell r="S8206" t="str">
            <v/>
          </cell>
          <cell r="V8206" t="str">
            <v/>
          </cell>
          <cell r="Z8206" t="str">
            <v/>
          </cell>
          <cell r="AA8206" t="str">
            <v/>
          </cell>
          <cell r="AB8206" t="str">
            <v/>
          </cell>
          <cell r="AC8206" t="str">
            <v/>
          </cell>
          <cell r="AD8206" t="str">
            <v/>
          </cell>
          <cell r="AY8206" t="str">
            <v/>
          </cell>
          <cell r="AZ8206" t="str">
            <v/>
          </cell>
          <cell r="BA8206" t="str">
            <v/>
          </cell>
        </row>
        <row r="8207">
          <cell r="B8207" t="str">
            <v>-</v>
          </cell>
          <cell r="E8207" t="str">
            <v/>
          </cell>
          <cell r="G8207" t="str">
            <v/>
          </cell>
          <cell r="J8207" t="str">
            <v/>
          </cell>
          <cell r="O8207" t="str">
            <v/>
          </cell>
          <cell r="P8207" t="str">
            <v/>
          </cell>
          <cell r="Q8207" t="str">
            <v/>
          </cell>
          <cell r="S8207" t="str">
            <v/>
          </cell>
          <cell r="V8207" t="str">
            <v/>
          </cell>
          <cell r="Z8207" t="str">
            <v/>
          </cell>
          <cell r="AA8207" t="str">
            <v/>
          </cell>
          <cell r="AB8207" t="str">
            <v/>
          </cell>
          <cell r="AC8207" t="str">
            <v/>
          </cell>
          <cell r="AD8207" t="str">
            <v/>
          </cell>
          <cell r="AY8207" t="str">
            <v/>
          </cell>
          <cell r="AZ8207" t="str">
            <v/>
          </cell>
          <cell r="BA8207" t="str">
            <v/>
          </cell>
        </row>
        <row r="8208">
          <cell r="B8208" t="str">
            <v>-</v>
          </cell>
          <cell r="E8208" t="str">
            <v/>
          </cell>
          <cell r="G8208" t="str">
            <v/>
          </cell>
          <cell r="J8208" t="str">
            <v/>
          </cell>
          <cell r="O8208" t="str">
            <v/>
          </cell>
          <cell r="P8208" t="str">
            <v/>
          </cell>
          <cell r="Q8208" t="str">
            <v/>
          </cell>
          <cell r="S8208" t="str">
            <v/>
          </cell>
          <cell r="V8208" t="str">
            <v/>
          </cell>
          <cell r="Z8208" t="str">
            <v/>
          </cell>
          <cell r="AA8208" t="str">
            <v/>
          </cell>
          <cell r="AB8208" t="str">
            <v/>
          </cell>
          <cell r="AC8208" t="str">
            <v/>
          </cell>
          <cell r="AD8208" t="str">
            <v/>
          </cell>
          <cell r="AY8208" t="str">
            <v/>
          </cell>
          <cell r="AZ8208" t="str">
            <v/>
          </cell>
          <cell r="BA8208" t="str">
            <v/>
          </cell>
        </row>
        <row r="8209">
          <cell r="B8209" t="str">
            <v>-</v>
          </cell>
          <cell r="E8209" t="str">
            <v/>
          </cell>
          <cell r="G8209" t="str">
            <v/>
          </cell>
          <cell r="J8209" t="str">
            <v/>
          </cell>
          <cell r="O8209" t="str">
            <v/>
          </cell>
          <cell r="P8209" t="str">
            <v/>
          </cell>
          <cell r="Q8209" t="str">
            <v/>
          </cell>
          <cell r="S8209" t="str">
            <v/>
          </cell>
          <cell r="V8209" t="str">
            <v/>
          </cell>
          <cell r="Z8209" t="str">
            <v/>
          </cell>
          <cell r="AA8209" t="str">
            <v/>
          </cell>
          <cell r="AB8209" t="str">
            <v/>
          </cell>
          <cell r="AC8209" t="str">
            <v/>
          </cell>
          <cell r="AD8209" t="str">
            <v/>
          </cell>
          <cell r="AY8209" t="str">
            <v/>
          </cell>
          <cell r="AZ8209" t="str">
            <v/>
          </cell>
          <cell r="BA8209" t="str">
            <v/>
          </cell>
        </row>
        <row r="8210">
          <cell r="B8210" t="str">
            <v>-</v>
          </cell>
          <cell r="E8210" t="str">
            <v/>
          </cell>
          <cell r="G8210" t="str">
            <v/>
          </cell>
          <cell r="J8210" t="str">
            <v/>
          </cell>
          <cell r="O8210" t="str">
            <v/>
          </cell>
          <cell r="P8210" t="str">
            <v/>
          </cell>
          <cell r="Q8210" t="str">
            <v/>
          </cell>
          <cell r="S8210" t="str">
            <v/>
          </cell>
          <cell r="V8210" t="str">
            <v/>
          </cell>
          <cell r="Z8210" t="str">
            <v/>
          </cell>
          <cell r="AA8210" t="str">
            <v/>
          </cell>
          <cell r="AB8210" t="str">
            <v/>
          </cell>
          <cell r="AC8210" t="str">
            <v/>
          </cell>
          <cell r="AD8210" t="str">
            <v/>
          </cell>
          <cell r="AY8210" t="str">
            <v/>
          </cell>
          <cell r="AZ8210" t="str">
            <v/>
          </cell>
          <cell r="BA8210" t="str">
            <v/>
          </cell>
        </row>
        <row r="8211">
          <cell r="B8211" t="str">
            <v>-</v>
          </cell>
          <cell r="E8211" t="str">
            <v/>
          </cell>
          <cell r="G8211" t="str">
            <v/>
          </cell>
          <cell r="J8211" t="str">
            <v/>
          </cell>
          <cell r="O8211" t="str">
            <v/>
          </cell>
          <cell r="P8211" t="str">
            <v/>
          </cell>
          <cell r="Q8211" t="str">
            <v/>
          </cell>
          <cell r="S8211" t="str">
            <v/>
          </cell>
          <cell r="V8211" t="str">
            <v/>
          </cell>
          <cell r="Z8211" t="str">
            <v/>
          </cell>
          <cell r="AA8211" t="str">
            <v/>
          </cell>
          <cell r="AB8211" t="str">
            <v/>
          </cell>
          <cell r="AC8211" t="str">
            <v/>
          </cell>
          <cell r="AD8211" t="str">
            <v/>
          </cell>
          <cell r="AY8211" t="str">
            <v/>
          </cell>
          <cell r="AZ8211" t="str">
            <v/>
          </cell>
          <cell r="BA8211" t="str">
            <v/>
          </cell>
        </row>
        <row r="8212">
          <cell r="B8212" t="str">
            <v>-</v>
          </cell>
          <cell r="E8212" t="str">
            <v/>
          </cell>
          <cell r="G8212" t="str">
            <v/>
          </cell>
          <cell r="J8212" t="str">
            <v/>
          </cell>
          <cell r="O8212" t="str">
            <v/>
          </cell>
          <cell r="P8212" t="str">
            <v/>
          </cell>
          <cell r="Q8212" t="str">
            <v/>
          </cell>
          <cell r="S8212" t="str">
            <v/>
          </cell>
          <cell r="V8212" t="str">
            <v/>
          </cell>
          <cell r="Z8212" t="str">
            <v/>
          </cell>
          <cell r="AA8212" t="str">
            <v/>
          </cell>
          <cell r="AB8212" t="str">
            <v/>
          </cell>
          <cell r="AC8212" t="str">
            <v/>
          </cell>
          <cell r="AD8212" t="str">
            <v/>
          </cell>
          <cell r="AY8212" t="str">
            <v/>
          </cell>
          <cell r="AZ8212" t="str">
            <v/>
          </cell>
          <cell r="BA8212" t="str">
            <v/>
          </cell>
        </row>
        <row r="8213">
          <cell r="B8213" t="str">
            <v>-</v>
          </cell>
          <cell r="E8213" t="str">
            <v/>
          </cell>
          <cell r="G8213" t="str">
            <v/>
          </cell>
          <cell r="J8213" t="str">
            <v/>
          </cell>
          <cell r="O8213" t="str">
            <v/>
          </cell>
          <cell r="P8213" t="str">
            <v/>
          </cell>
          <cell r="Q8213" t="str">
            <v/>
          </cell>
          <cell r="S8213" t="str">
            <v/>
          </cell>
          <cell r="V8213" t="str">
            <v/>
          </cell>
          <cell r="Z8213" t="str">
            <v/>
          </cell>
          <cell r="AA8213" t="str">
            <v/>
          </cell>
          <cell r="AB8213" t="str">
            <v/>
          </cell>
          <cell r="AC8213" t="str">
            <v/>
          </cell>
          <cell r="AD8213" t="str">
            <v/>
          </cell>
          <cell r="AY8213" t="str">
            <v/>
          </cell>
          <cell r="AZ8213" t="str">
            <v/>
          </cell>
          <cell r="BA8213" t="str">
            <v/>
          </cell>
        </row>
        <row r="8214">
          <cell r="B8214" t="str">
            <v>-</v>
          </cell>
          <cell r="E8214" t="str">
            <v/>
          </cell>
          <cell r="G8214" t="str">
            <v/>
          </cell>
          <cell r="J8214" t="str">
            <v/>
          </cell>
          <cell r="O8214" t="str">
            <v/>
          </cell>
          <cell r="P8214" t="str">
            <v/>
          </cell>
          <cell r="Q8214" t="str">
            <v/>
          </cell>
          <cell r="S8214" t="str">
            <v/>
          </cell>
          <cell r="V8214" t="str">
            <v/>
          </cell>
          <cell r="Z8214" t="str">
            <v/>
          </cell>
          <cell r="AA8214" t="str">
            <v/>
          </cell>
          <cell r="AB8214" t="str">
            <v/>
          </cell>
          <cell r="AC8214" t="str">
            <v/>
          </cell>
          <cell r="AD8214" t="str">
            <v/>
          </cell>
          <cell r="AY8214" t="str">
            <v/>
          </cell>
          <cell r="AZ8214" t="str">
            <v/>
          </cell>
          <cell r="BA8214" t="str">
            <v/>
          </cell>
        </row>
        <row r="8215">
          <cell r="B8215" t="str">
            <v>-</v>
          </cell>
          <cell r="E8215" t="str">
            <v/>
          </cell>
          <cell r="G8215" t="str">
            <v/>
          </cell>
          <cell r="J8215" t="str">
            <v/>
          </cell>
          <cell r="O8215" t="str">
            <v/>
          </cell>
          <cell r="P8215" t="str">
            <v/>
          </cell>
          <cell r="Q8215" t="str">
            <v/>
          </cell>
          <cell r="S8215" t="str">
            <v/>
          </cell>
          <cell r="V8215" t="str">
            <v/>
          </cell>
          <cell r="Z8215" t="str">
            <v/>
          </cell>
          <cell r="AA8215" t="str">
            <v/>
          </cell>
          <cell r="AB8215" t="str">
            <v/>
          </cell>
          <cell r="AC8215" t="str">
            <v/>
          </cell>
          <cell r="AD8215" t="str">
            <v/>
          </cell>
          <cell r="AY8215" t="str">
            <v/>
          </cell>
          <cell r="AZ8215" t="str">
            <v/>
          </cell>
          <cell r="BA8215" t="str">
            <v/>
          </cell>
        </row>
        <row r="8216">
          <cell r="B8216" t="str">
            <v>-</v>
          </cell>
          <cell r="E8216" t="str">
            <v/>
          </cell>
          <cell r="G8216" t="str">
            <v/>
          </cell>
          <cell r="J8216" t="str">
            <v/>
          </cell>
          <cell r="O8216" t="str">
            <v/>
          </cell>
          <cell r="P8216" t="str">
            <v/>
          </cell>
          <cell r="Q8216" t="str">
            <v/>
          </cell>
          <cell r="S8216" t="str">
            <v/>
          </cell>
          <cell r="V8216" t="str">
            <v/>
          </cell>
          <cell r="Z8216" t="str">
            <v/>
          </cell>
          <cell r="AA8216" t="str">
            <v/>
          </cell>
          <cell r="AB8216" t="str">
            <v/>
          </cell>
          <cell r="AC8216" t="str">
            <v/>
          </cell>
          <cell r="AD8216" t="str">
            <v/>
          </cell>
          <cell r="AY8216" t="str">
            <v/>
          </cell>
          <cell r="AZ8216" t="str">
            <v/>
          </cell>
          <cell r="BA8216" t="str">
            <v/>
          </cell>
        </row>
        <row r="8217">
          <cell r="B8217" t="str">
            <v>-</v>
          </cell>
          <cell r="E8217" t="str">
            <v/>
          </cell>
          <cell r="G8217" t="str">
            <v/>
          </cell>
          <cell r="J8217" t="str">
            <v/>
          </cell>
          <cell r="O8217" t="str">
            <v/>
          </cell>
          <cell r="P8217" t="str">
            <v/>
          </cell>
          <cell r="Q8217" t="str">
            <v/>
          </cell>
          <cell r="S8217" t="str">
            <v/>
          </cell>
          <cell r="V8217" t="str">
            <v/>
          </cell>
          <cell r="Z8217" t="str">
            <v/>
          </cell>
          <cell r="AA8217" t="str">
            <v/>
          </cell>
          <cell r="AB8217" t="str">
            <v/>
          </cell>
          <cell r="AC8217" t="str">
            <v/>
          </cell>
          <cell r="AD8217" t="str">
            <v/>
          </cell>
          <cell r="AY8217" t="str">
            <v/>
          </cell>
          <cell r="AZ8217" t="str">
            <v/>
          </cell>
          <cell r="BA8217" t="str">
            <v/>
          </cell>
        </row>
        <row r="8218">
          <cell r="B8218" t="str">
            <v>-</v>
          </cell>
          <cell r="E8218" t="str">
            <v/>
          </cell>
          <cell r="G8218" t="str">
            <v/>
          </cell>
          <cell r="J8218" t="str">
            <v/>
          </cell>
          <cell r="O8218" t="str">
            <v/>
          </cell>
          <cell r="P8218" t="str">
            <v/>
          </cell>
          <cell r="Q8218" t="str">
            <v/>
          </cell>
          <cell r="S8218" t="str">
            <v/>
          </cell>
          <cell r="V8218" t="str">
            <v/>
          </cell>
          <cell r="Z8218" t="str">
            <v/>
          </cell>
          <cell r="AA8218" t="str">
            <v/>
          </cell>
          <cell r="AB8218" t="str">
            <v/>
          </cell>
          <cell r="AC8218" t="str">
            <v/>
          </cell>
          <cell r="AD8218" t="str">
            <v/>
          </cell>
          <cell r="AY8218" t="str">
            <v/>
          </cell>
          <cell r="AZ8218" t="str">
            <v/>
          </cell>
          <cell r="BA8218" t="str">
            <v/>
          </cell>
        </row>
        <row r="8219">
          <cell r="B8219" t="str">
            <v>-</v>
          </cell>
          <cell r="E8219" t="str">
            <v/>
          </cell>
          <cell r="G8219" t="str">
            <v/>
          </cell>
          <cell r="J8219" t="str">
            <v/>
          </cell>
          <cell r="O8219" t="str">
            <v/>
          </cell>
          <cell r="P8219" t="str">
            <v/>
          </cell>
          <cell r="Q8219" t="str">
            <v/>
          </cell>
          <cell r="S8219" t="str">
            <v/>
          </cell>
          <cell r="V8219" t="str">
            <v/>
          </cell>
          <cell r="Z8219" t="str">
            <v/>
          </cell>
          <cell r="AA8219" t="str">
            <v/>
          </cell>
          <cell r="AB8219" t="str">
            <v/>
          </cell>
          <cell r="AC8219" t="str">
            <v/>
          </cell>
          <cell r="AD8219" t="str">
            <v/>
          </cell>
          <cell r="AY8219" t="str">
            <v/>
          </cell>
          <cell r="AZ8219" t="str">
            <v/>
          </cell>
          <cell r="BA8219" t="str">
            <v/>
          </cell>
        </row>
        <row r="8220">
          <cell r="B8220" t="str">
            <v>-</v>
          </cell>
          <cell r="E8220" t="str">
            <v/>
          </cell>
          <cell r="G8220" t="str">
            <v/>
          </cell>
          <cell r="J8220" t="str">
            <v/>
          </cell>
          <cell r="O8220" t="str">
            <v/>
          </cell>
          <cell r="P8220" t="str">
            <v/>
          </cell>
          <cell r="Q8220" t="str">
            <v/>
          </cell>
          <cell r="S8220" t="str">
            <v/>
          </cell>
          <cell r="V8220" t="str">
            <v/>
          </cell>
          <cell r="Z8220" t="str">
            <v/>
          </cell>
          <cell r="AA8220" t="str">
            <v/>
          </cell>
          <cell r="AB8220" t="str">
            <v/>
          </cell>
          <cell r="AC8220" t="str">
            <v/>
          </cell>
          <cell r="AD8220" t="str">
            <v/>
          </cell>
          <cell r="AY8220" t="str">
            <v/>
          </cell>
          <cell r="AZ8220" t="str">
            <v/>
          </cell>
          <cell r="BA8220" t="str">
            <v/>
          </cell>
        </row>
        <row r="8221">
          <cell r="B8221" t="str">
            <v>-</v>
          </cell>
          <cell r="E8221" t="str">
            <v/>
          </cell>
          <cell r="G8221" t="str">
            <v/>
          </cell>
          <cell r="J8221" t="str">
            <v/>
          </cell>
          <cell r="O8221" t="str">
            <v/>
          </cell>
          <cell r="P8221" t="str">
            <v/>
          </cell>
          <cell r="Q8221" t="str">
            <v/>
          </cell>
          <cell r="S8221" t="str">
            <v/>
          </cell>
          <cell r="V8221" t="str">
            <v/>
          </cell>
          <cell r="Z8221" t="str">
            <v/>
          </cell>
          <cell r="AA8221" t="str">
            <v/>
          </cell>
          <cell r="AB8221" t="str">
            <v/>
          </cell>
          <cell r="AC8221" t="str">
            <v/>
          </cell>
          <cell r="AD8221" t="str">
            <v/>
          </cell>
          <cell r="AY8221" t="str">
            <v/>
          </cell>
          <cell r="AZ8221" t="str">
            <v/>
          </cell>
          <cell r="BA8221" t="str">
            <v/>
          </cell>
        </row>
        <row r="8222">
          <cell r="B8222" t="str">
            <v>-</v>
          </cell>
          <cell r="E8222" t="str">
            <v/>
          </cell>
          <cell r="G8222" t="str">
            <v/>
          </cell>
          <cell r="J8222" t="str">
            <v/>
          </cell>
          <cell r="O8222" t="str">
            <v/>
          </cell>
          <cell r="P8222" t="str">
            <v/>
          </cell>
          <cell r="Q8222" t="str">
            <v/>
          </cell>
          <cell r="S8222" t="str">
            <v/>
          </cell>
          <cell r="V8222" t="str">
            <v/>
          </cell>
          <cell r="Z8222" t="str">
            <v/>
          </cell>
          <cell r="AA8222" t="str">
            <v/>
          </cell>
          <cell r="AB8222" t="str">
            <v/>
          </cell>
          <cell r="AC8222" t="str">
            <v/>
          </cell>
          <cell r="AD8222" t="str">
            <v/>
          </cell>
          <cell r="AY8222" t="str">
            <v/>
          </cell>
          <cell r="AZ8222" t="str">
            <v/>
          </cell>
          <cell r="BA8222" t="str">
            <v/>
          </cell>
        </row>
        <row r="8223">
          <cell r="B8223" t="str">
            <v>-</v>
          </cell>
          <cell r="E8223" t="str">
            <v/>
          </cell>
          <cell r="G8223" t="str">
            <v/>
          </cell>
          <cell r="J8223" t="str">
            <v/>
          </cell>
          <cell r="O8223" t="str">
            <v/>
          </cell>
          <cell r="P8223" t="str">
            <v/>
          </cell>
          <cell r="Q8223" t="str">
            <v/>
          </cell>
          <cell r="S8223" t="str">
            <v/>
          </cell>
          <cell r="V8223" t="str">
            <v/>
          </cell>
          <cell r="Z8223" t="str">
            <v/>
          </cell>
          <cell r="AA8223" t="str">
            <v/>
          </cell>
          <cell r="AB8223" t="str">
            <v/>
          </cell>
          <cell r="AC8223" t="str">
            <v/>
          </cell>
          <cell r="AD8223" t="str">
            <v/>
          </cell>
          <cell r="AY8223" t="str">
            <v/>
          </cell>
          <cell r="AZ8223" t="str">
            <v/>
          </cell>
          <cell r="BA8223" t="str">
            <v/>
          </cell>
        </row>
        <row r="8224">
          <cell r="B8224" t="str">
            <v>-</v>
          </cell>
          <cell r="E8224" t="str">
            <v/>
          </cell>
          <cell r="G8224" t="str">
            <v/>
          </cell>
          <cell r="J8224" t="str">
            <v/>
          </cell>
          <cell r="O8224" t="str">
            <v/>
          </cell>
          <cell r="P8224" t="str">
            <v/>
          </cell>
          <cell r="Q8224" t="str">
            <v/>
          </cell>
          <cell r="S8224" t="str">
            <v/>
          </cell>
          <cell r="V8224" t="str">
            <v/>
          </cell>
          <cell r="Z8224" t="str">
            <v/>
          </cell>
          <cell r="AA8224" t="str">
            <v/>
          </cell>
          <cell r="AB8224" t="str">
            <v/>
          </cell>
          <cell r="AC8224" t="str">
            <v/>
          </cell>
          <cell r="AD8224" t="str">
            <v/>
          </cell>
          <cell r="AY8224" t="str">
            <v/>
          </cell>
          <cell r="AZ8224" t="str">
            <v/>
          </cell>
          <cell r="BA8224" t="str">
            <v/>
          </cell>
        </row>
        <row r="8225">
          <cell r="B8225" t="str">
            <v>-</v>
          </cell>
          <cell r="E8225" t="str">
            <v/>
          </cell>
          <cell r="G8225" t="str">
            <v/>
          </cell>
          <cell r="J8225" t="str">
            <v/>
          </cell>
          <cell r="O8225" t="str">
            <v/>
          </cell>
          <cell r="P8225" t="str">
            <v/>
          </cell>
          <cell r="Q8225" t="str">
            <v/>
          </cell>
          <cell r="S8225" t="str">
            <v/>
          </cell>
          <cell r="V8225" t="str">
            <v/>
          </cell>
          <cell r="Z8225" t="str">
            <v/>
          </cell>
          <cell r="AA8225" t="str">
            <v/>
          </cell>
          <cell r="AB8225" t="str">
            <v/>
          </cell>
          <cell r="AC8225" t="str">
            <v/>
          </cell>
          <cell r="AD8225" t="str">
            <v/>
          </cell>
          <cell r="AY8225" t="str">
            <v/>
          </cell>
          <cell r="AZ8225" t="str">
            <v/>
          </cell>
          <cell r="BA8225" t="str">
            <v/>
          </cell>
        </row>
        <row r="8226">
          <cell r="B8226" t="str">
            <v>-</v>
          </cell>
          <cell r="E8226" t="str">
            <v/>
          </cell>
          <cell r="G8226" t="str">
            <v/>
          </cell>
          <cell r="J8226" t="str">
            <v/>
          </cell>
          <cell r="O8226" t="str">
            <v/>
          </cell>
          <cell r="P8226" t="str">
            <v/>
          </cell>
          <cell r="Q8226" t="str">
            <v/>
          </cell>
          <cell r="S8226" t="str">
            <v/>
          </cell>
          <cell r="V8226" t="str">
            <v/>
          </cell>
          <cell r="Z8226" t="str">
            <v/>
          </cell>
          <cell r="AA8226" t="str">
            <v/>
          </cell>
          <cell r="AB8226" t="str">
            <v/>
          </cell>
          <cell r="AC8226" t="str">
            <v/>
          </cell>
          <cell r="AD8226" t="str">
            <v/>
          </cell>
          <cell r="AY8226" t="str">
            <v/>
          </cell>
          <cell r="AZ8226" t="str">
            <v/>
          </cell>
          <cell r="BA8226" t="str">
            <v/>
          </cell>
        </row>
        <row r="8227">
          <cell r="B8227" t="str">
            <v>-</v>
          </cell>
          <cell r="E8227" t="str">
            <v/>
          </cell>
          <cell r="G8227" t="str">
            <v/>
          </cell>
          <cell r="J8227" t="str">
            <v/>
          </cell>
          <cell r="O8227" t="str">
            <v/>
          </cell>
          <cell r="P8227" t="str">
            <v/>
          </cell>
          <cell r="Q8227" t="str">
            <v/>
          </cell>
          <cell r="S8227" t="str">
            <v/>
          </cell>
          <cell r="V8227" t="str">
            <v/>
          </cell>
          <cell r="Z8227" t="str">
            <v/>
          </cell>
          <cell r="AA8227" t="str">
            <v/>
          </cell>
          <cell r="AB8227" t="str">
            <v/>
          </cell>
          <cell r="AC8227" t="str">
            <v/>
          </cell>
          <cell r="AD8227" t="str">
            <v/>
          </cell>
          <cell r="AY8227" t="str">
            <v/>
          </cell>
          <cell r="AZ8227" t="str">
            <v/>
          </cell>
          <cell r="BA8227" t="str">
            <v/>
          </cell>
        </row>
        <row r="8228">
          <cell r="B8228" t="str">
            <v>-</v>
          </cell>
          <cell r="E8228" t="str">
            <v/>
          </cell>
          <cell r="G8228" t="str">
            <v/>
          </cell>
          <cell r="J8228" t="str">
            <v/>
          </cell>
          <cell r="O8228" t="str">
            <v/>
          </cell>
          <cell r="P8228" t="str">
            <v/>
          </cell>
          <cell r="Q8228" t="str">
            <v/>
          </cell>
          <cell r="S8228" t="str">
            <v/>
          </cell>
          <cell r="V8228" t="str">
            <v/>
          </cell>
          <cell r="Z8228" t="str">
            <v/>
          </cell>
          <cell r="AA8228" t="str">
            <v/>
          </cell>
          <cell r="AB8228" t="str">
            <v/>
          </cell>
          <cell r="AC8228" t="str">
            <v/>
          </cell>
          <cell r="AD8228" t="str">
            <v/>
          </cell>
          <cell r="AY8228" t="str">
            <v/>
          </cell>
          <cell r="AZ8228" t="str">
            <v/>
          </cell>
          <cell r="BA8228" t="str">
            <v/>
          </cell>
        </row>
        <row r="8229">
          <cell r="B8229" t="str">
            <v>-</v>
          </cell>
          <cell r="E8229" t="str">
            <v/>
          </cell>
          <cell r="G8229" t="str">
            <v/>
          </cell>
          <cell r="J8229" t="str">
            <v/>
          </cell>
          <cell r="O8229" t="str">
            <v/>
          </cell>
          <cell r="P8229" t="str">
            <v/>
          </cell>
          <cell r="Q8229" t="str">
            <v/>
          </cell>
          <cell r="S8229" t="str">
            <v/>
          </cell>
          <cell r="V8229" t="str">
            <v/>
          </cell>
          <cell r="Z8229" t="str">
            <v/>
          </cell>
          <cell r="AA8229" t="str">
            <v/>
          </cell>
          <cell r="AB8229" t="str">
            <v/>
          </cell>
          <cell r="AC8229" t="str">
            <v/>
          </cell>
          <cell r="AD8229" t="str">
            <v/>
          </cell>
          <cell r="AY8229" t="str">
            <v/>
          </cell>
          <cell r="AZ8229" t="str">
            <v/>
          </cell>
          <cell r="BA8229" t="str">
            <v/>
          </cell>
        </row>
        <row r="8230">
          <cell r="B8230" t="str">
            <v>-</v>
          </cell>
          <cell r="E8230" t="str">
            <v/>
          </cell>
          <cell r="G8230" t="str">
            <v/>
          </cell>
          <cell r="J8230" t="str">
            <v/>
          </cell>
          <cell r="O8230" t="str">
            <v/>
          </cell>
          <cell r="P8230" t="str">
            <v/>
          </cell>
          <cell r="Q8230" t="str">
            <v/>
          </cell>
          <cell r="S8230" t="str">
            <v/>
          </cell>
          <cell r="V8230" t="str">
            <v/>
          </cell>
          <cell r="Z8230" t="str">
            <v/>
          </cell>
          <cell r="AA8230" t="str">
            <v/>
          </cell>
          <cell r="AB8230" t="str">
            <v/>
          </cell>
          <cell r="AC8230" t="str">
            <v/>
          </cell>
          <cell r="AD8230" t="str">
            <v/>
          </cell>
          <cell r="AY8230" t="str">
            <v/>
          </cell>
          <cell r="AZ8230" t="str">
            <v/>
          </cell>
          <cell r="BA8230" t="str">
            <v/>
          </cell>
        </row>
        <row r="8231">
          <cell r="B8231" t="str">
            <v>-</v>
          </cell>
          <cell r="E8231" t="str">
            <v/>
          </cell>
          <cell r="G8231" t="str">
            <v/>
          </cell>
          <cell r="J8231" t="str">
            <v/>
          </cell>
          <cell r="O8231" t="str">
            <v/>
          </cell>
          <cell r="P8231" t="str">
            <v/>
          </cell>
          <cell r="Q8231" t="str">
            <v/>
          </cell>
          <cell r="S8231" t="str">
            <v/>
          </cell>
          <cell r="V8231" t="str">
            <v/>
          </cell>
          <cell r="Z8231" t="str">
            <v/>
          </cell>
          <cell r="AA8231" t="str">
            <v/>
          </cell>
          <cell r="AB8231" t="str">
            <v/>
          </cell>
          <cell r="AC8231" t="str">
            <v/>
          </cell>
          <cell r="AD8231" t="str">
            <v/>
          </cell>
          <cell r="AY8231" t="str">
            <v/>
          </cell>
          <cell r="AZ8231" t="str">
            <v/>
          </cell>
          <cell r="BA8231" t="str">
            <v/>
          </cell>
        </row>
        <row r="8232">
          <cell r="B8232" t="str">
            <v>-</v>
          </cell>
          <cell r="E8232" t="str">
            <v/>
          </cell>
          <cell r="G8232" t="str">
            <v/>
          </cell>
          <cell r="J8232" t="str">
            <v/>
          </cell>
          <cell r="O8232" t="str">
            <v/>
          </cell>
          <cell r="P8232" t="str">
            <v/>
          </cell>
          <cell r="Q8232" t="str">
            <v/>
          </cell>
          <cell r="S8232" t="str">
            <v/>
          </cell>
          <cell r="V8232" t="str">
            <v/>
          </cell>
          <cell r="Z8232" t="str">
            <v/>
          </cell>
          <cell r="AA8232" t="str">
            <v/>
          </cell>
          <cell r="AB8232" t="str">
            <v/>
          </cell>
          <cell r="AC8232" t="str">
            <v/>
          </cell>
          <cell r="AD8232" t="str">
            <v/>
          </cell>
          <cell r="AY8232" t="str">
            <v/>
          </cell>
          <cell r="AZ8232" t="str">
            <v/>
          </cell>
          <cell r="BA8232" t="str">
            <v/>
          </cell>
        </row>
        <row r="8233">
          <cell r="B8233" t="str">
            <v>-</v>
          </cell>
          <cell r="E8233" t="str">
            <v/>
          </cell>
          <cell r="G8233" t="str">
            <v/>
          </cell>
          <cell r="J8233" t="str">
            <v/>
          </cell>
          <cell r="O8233" t="str">
            <v/>
          </cell>
          <cell r="P8233" t="str">
            <v/>
          </cell>
          <cell r="Q8233" t="str">
            <v/>
          </cell>
          <cell r="S8233" t="str">
            <v/>
          </cell>
          <cell r="V8233" t="str">
            <v/>
          </cell>
          <cell r="Z8233" t="str">
            <v/>
          </cell>
          <cell r="AA8233" t="str">
            <v/>
          </cell>
          <cell r="AB8233" t="str">
            <v/>
          </cell>
          <cell r="AC8233" t="str">
            <v/>
          </cell>
          <cell r="AD8233" t="str">
            <v/>
          </cell>
          <cell r="AY8233" t="str">
            <v/>
          </cell>
          <cell r="AZ8233" t="str">
            <v/>
          </cell>
          <cell r="BA8233" t="str">
            <v/>
          </cell>
        </row>
        <row r="8234">
          <cell r="B8234" t="str">
            <v>-</v>
          </cell>
          <cell r="E8234" t="str">
            <v/>
          </cell>
          <cell r="G8234" t="str">
            <v/>
          </cell>
          <cell r="J8234" t="str">
            <v/>
          </cell>
          <cell r="O8234" t="str">
            <v/>
          </cell>
          <cell r="P8234" t="str">
            <v/>
          </cell>
          <cell r="Q8234" t="str">
            <v/>
          </cell>
          <cell r="S8234" t="str">
            <v/>
          </cell>
          <cell r="V8234" t="str">
            <v/>
          </cell>
          <cell r="Z8234" t="str">
            <v/>
          </cell>
          <cell r="AA8234" t="str">
            <v/>
          </cell>
          <cell r="AB8234" t="str">
            <v/>
          </cell>
          <cell r="AC8234" t="str">
            <v/>
          </cell>
          <cell r="AD8234" t="str">
            <v/>
          </cell>
          <cell r="AY8234" t="str">
            <v/>
          </cell>
          <cell r="AZ8234" t="str">
            <v/>
          </cell>
          <cell r="BA8234" t="str">
            <v/>
          </cell>
        </row>
        <row r="8235">
          <cell r="B8235" t="str">
            <v>-</v>
          </cell>
          <cell r="E8235" t="str">
            <v/>
          </cell>
          <cell r="G8235" t="str">
            <v/>
          </cell>
          <cell r="J8235" t="str">
            <v/>
          </cell>
          <cell r="O8235" t="str">
            <v/>
          </cell>
          <cell r="P8235" t="str">
            <v/>
          </cell>
          <cell r="Q8235" t="str">
            <v/>
          </cell>
          <cell r="S8235" t="str">
            <v/>
          </cell>
          <cell r="V8235" t="str">
            <v/>
          </cell>
          <cell r="Z8235" t="str">
            <v/>
          </cell>
          <cell r="AA8235" t="str">
            <v/>
          </cell>
          <cell r="AB8235" t="str">
            <v/>
          </cell>
          <cell r="AC8235" t="str">
            <v/>
          </cell>
          <cell r="AD8235" t="str">
            <v/>
          </cell>
          <cell r="AY8235" t="str">
            <v/>
          </cell>
          <cell r="AZ8235" t="str">
            <v/>
          </cell>
          <cell r="BA8235" t="str">
            <v/>
          </cell>
        </row>
        <row r="8236">
          <cell r="B8236" t="str">
            <v>-</v>
          </cell>
          <cell r="E8236" t="str">
            <v/>
          </cell>
          <cell r="G8236" t="str">
            <v/>
          </cell>
          <cell r="J8236" t="str">
            <v/>
          </cell>
          <cell r="O8236" t="str">
            <v/>
          </cell>
          <cell r="P8236" t="str">
            <v/>
          </cell>
          <cell r="Q8236" t="str">
            <v/>
          </cell>
          <cell r="S8236" t="str">
            <v/>
          </cell>
          <cell r="V8236" t="str">
            <v/>
          </cell>
          <cell r="Z8236" t="str">
            <v/>
          </cell>
          <cell r="AA8236" t="str">
            <v/>
          </cell>
          <cell r="AB8236" t="str">
            <v/>
          </cell>
          <cell r="AC8236" t="str">
            <v/>
          </cell>
          <cell r="AD8236" t="str">
            <v/>
          </cell>
          <cell r="AY8236" t="str">
            <v/>
          </cell>
          <cell r="AZ8236" t="str">
            <v/>
          </cell>
          <cell r="BA8236" t="str">
            <v/>
          </cell>
        </row>
        <row r="8237">
          <cell r="B8237" t="str">
            <v>-</v>
          </cell>
          <cell r="E8237" t="str">
            <v/>
          </cell>
          <cell r="G8237" t="str">
            <v/>
          </cell>
          <cell r="J8237" t="str">
            <v/>
          </cell>
          <cell r="O8237" t="str">
            <v/>
          </cell>
          <cell r="P8237" t="str">
            <v/>
          </cell>
          <cell r="Q8237" t="str">
            <v/>
          </cell>
          <cell r="S8237" t="str">
            <v/>
          </cell>
          <cell r="V8237" t="str">
            <v/>
          </cell>
          <cell r="Z8237" t="str">
            <v/>
          </cell>
          <cell r="AA8237" t="str">
            <v/>
          </cell>
          <cell r="AB8237" t="str">
            <v/>
          </cell>
          <cell r="AC8237" t="str">
            <v/>
          </cell>
          <cell r="AD8237" t="str">
            <v/>
          </cell>
          <cell r="AY8237" t="str">
            <v/>
          </cell>
          <cell r="AZ8237" t="str">
            <v/>
          </cell>
          <cell r="BA8237" t="str">
            <v/>
          </cell>
        </row>
        <row r="8238">
          <cell r="B8238" t="str">
            <v>-</v>
          </cell>
          <cell r="E8238" t="str">
            <v/>
          </cell>
          <cell r="G8238" t="str">
            <v/>
          </cell>
          <cell r="J8238" t="str">
            <v/>
          </cell>
          <cell r="O8238" t="str">
            <v/>
          </cell>
          <cell r="P8238" t="str">
            <v/>
          </cell>
          <cell r="Q8238" t="str">
            <v/>
          </cell>
          <cell r="S8238" t="str">
            <v/>
          </cell>
          <cell r="V8238" t="str">
            <v/>
          </cell>
          <cell r="Z8238" t="str">
            <v/>
          </cell>
          <cell r="AA8238" t="str">
            <v/>
          </cell>
          <cell r="AB8238" t="str">
            <v/>
          </cell>
          <cell r="AC8238" t="str">
            <v/>
          </cell>
          <cell r="AD8238" t="str">
            <v/>
          </cell>
          <cell r="AY8238" t="str">
            <v/>
          </cell>
          <cell r="AZ8238" t="str">
            <v/>
          </cell>
          <cell r="BA8238" t="str">
            <v/>
          </cell>
        </row>
        <row r="8239">
          <cell r="B8239" t="str">
            <v>-</v>
          </cell>
          <cell r="E8239" t="str">
            <v/>
          </cell>
          <cell r="G8239" t="str">
            <v/>
          </cell>
          <cell r="J8239" t="str">
            <v/>
          </cell>
          <cell r="O8239" t="str">
            <v/>
          </cell>
          <cell r="P8239" t="str">
            <v/>
          </cell>
          <cell r="Q8239" t="str">
            <v/>
          </cell>
          <cell r="S8239" t="str">
            <v/>
          </cell>
          <cell r="V8239" t="str">
            <v/>
          </cell>
          <cell r="Z8239" t="str">
            <v/>
          </cell>
          <cell r="AA8239" t="str">
            <v/>
          </cell>
          <cell r="AB8239" t="str">
            <v/>
          </cell>
          <cell r="AC8239" t="str">
            <v/>
          </cell>
          <cell r="AD8239" t="str">
            <v/>
          </cell>
          <cell r="AY8239" t="str">
            <v/>
          </cell>
          <cell r="AZ8239" t="str">
            <v/>
          </cell>
          <cell r="BA8239" t="str">
            <v/>
          </cell>
        </row>
        <row r="8240">
          <cell r="B8240" t="str">
            <v>-</v>
          </cell>
          <cell r="E8240" t="str">
            <v/>
          </cell>
          <cell r="G8240" t="str">
            <v/>
          </cell>
          <cell r="J8240" t="str">
            <v/>
          </cell>
          <cell r="O8240" t="str">
            <v/>
          </cell>
          <cell r="P8240" t="str">
            <v/>
          </cell>
          <cell r="Q8240" t="str">
            <v/>
          </cell>
          <cell r="S8240" t="str">
            <v/>
          </cell>
          <cell r="V8240" t="str">
            <v/>
          </cell>
          <cell r="Z8240" t="str">
            <v/>
          </cell>
          <cell r="AA8240" t="str">
            <v/>
          </cell>
          <cell r="AB8240" t="str">
            <v/>
          </cell>
          <cell r="AC8240" t="str">
            <v/>
          </cell>
          <cell r="AD8240" t="str">
            <v/>
          </cell>
          <cell r="AY8240" t="str">
            <v/>
          </cell>
          <cell r="AZ8240" t="str">
            <v/>
          </cell>
          <cell r="BA8240" t="str">
            <v/>
          </cell>
        </row>
        <row r="8241">
          <cell r="B8241" t="str">
            <v>-</v>
          </cell>
          <cell r="E8241" t="str">
            <v/>
          </cell>
          <cell r="G8241" t="str">
            <v/>
          </cell>
          <cell r="J8241" t="str">
            <v/>
          </cell>
          <cell r="O8241" t="str">
            <v/>
          </cell>
          <cell r="P8241" t="str">
            <v/>
          </cell>
          <cell r="Q8241" t="str">
            <v/>
          </cell>
          <cell r="S8241" t="str">
            <v/>
          </cell>
          <cell r="V8241" t="str">
            <v/>
          </cell>
          <cell r="Z8241" t="str">
            <v/>
          </cell>
          <cell r="AA8241" t="str">
            <v/>
          </cell>
          <cell r="AB8241" t="str">
            <v/>
          </cell>
          <cell r="AC8241" t="str">
            <v/>
          </cell>
          <cell r="AD8241" t="str">
            <v/>
          </cell>
          <cell r="AY8241" t="str">
            <v/>
          </cell>
          <cell r="AZ8241" t="str">
            <v/>
          </cell>
          <cell r="BA8241" t="str">
            <v/>
          </cell>
        </row>
        <row r="8242">
          <cell r="B8242" t="str">
            <v>-</v>
          </cell>
          <cell r="E8242" t="str">
            <v/>
          </cell>
          <cell r="G8242" t="str">
            <v/>
          </cell>
          <cell r="J8242" t="str">
            <v/>
          </cell>
          <cell r="O8242" t="str">
            <v/>
          </cell>
          <cell r="P8242" t="str">
            <v/>
          </cell>
          <cell r="Q8242" t="str">
            <v/>
          </cell>
          <cell r="S8242" t="str">
            <v/>
          </cell>
          <cell r="V8242" t="str">
            <v/>
          </cell>
          <cell r="Z8242" t="str">
            <v/>
          </cell>
          <cell r="AA8242" t="str">
            <v/>
          </cell>
          <cell r="AB8242" t="str">
            <v/>
          </cell>
          <cell r="AC8242" t="str">
            <v/>
          </cell>
          <cell r="AD8242" t="str">
            <v/>
          </cell>
          <cell r="AY8242" t="str">
            <v/>
          </cell>
          <cell r="AZ8242" t="str">
            <v/>
          </cell>
          <cell r="BA8242" t="str">
            <v/>
          </cell>
        </row>
        <row r="8243">
          <cell r="B8243" t="str">
            <v>-</v>
          </cell>
          <cell r="E8243" t="str">
            <v/>
          </cell>
          <cell r="G8243" t="str">
            <v/>
          </cell>
          <cell r="J8243" t="str">
            <v/>
          </cell>
          <cell r="O8243" t="str">
            <v/>
          </cell>
          <cell r="P8243" t="str">
            <v/>
          </cell>
          <cell r="Q8243" t="str">
            <v/>
          </cell>
          <cell r="S8243" t="str">
            <v/>
          </cell>
          <cell r="V8243" t="str">
            <v/>
          </cell>
          <cell r="Z8243" t="str">
            <v/>
          </cell>
          <cell r="AA8243" t="str">
            <v/>
          </cell>
          <cell r="AB8243" t="str">
            <v/>
          </cell>
          <cell r="AC8243" t="str">
            <v/>
          </cell>
          <cell r="AD8243" t="str">
            <v/>
          </cell>
          <cell r="AY8243" t="str">
            <v/>
          </cell>
          <cell r="AZ8243" t="str">
            <v/>
          </cell>
          <cell r="BA8243" t="str">
            <v/>
          </cell>
        </row>
        <row r="8244">
          <cell r="B8244" t="str">
            <v>-</v>
          </cell>
          <cell r="E8244" t="str">
            <v/>
          </cell>
          <cell r="G8244" t="str">
            <v/>
          </cell>
          <cell r="J8244" t="str">
            <v/>
          </cell>
          <cell r="O8244" t="str">
            <v/>
          </cell>
          <cell r="P8244" t="str">
            <v/>
          </cell>
          <cell r="Q8244" t="str">
            <v/>
          </cell>
          <cell r="S8244" t="str">
            <v/>
          </cell>
          <cell r="V8244" t="str">
            <v/>
          </cell>
          <cell r="Z8244" t="str">
            <v/>
          </cell>
          <cell r="AA8244" t="str">
            <v/>
          </cell>
          <cell r="AB8244" t="str">
            <v/>
          </cell>
          <cell r="AC8244" t="str">
            <v/>
          </cell>
          <cell r="AD8244" t="str">
            <v/>
          </cell>
          <cell r="AY8244" t="str">
            <v/>
          </cell>
          <cell r="AZ8244" t="str">
            <v/>
          </cell>
          <cell r="BA8244" t="str">
            <v/>
          </cell>
        </row>
        <row r="8245">
          <cell r="B8245" t="str">
            <v>-</v>
          </cell>
          <cell r="E8245" t="str">
            <v/>
          </cell>
          <cell r="G8245" t="str">
            <v/>
          </cell>
          <cell r="J8245" t="str">
            <v/>
          </cell>
          <cell r="O8245" t="str">
            <v/>
          </cell>
          <cell r="P8245" t="str">
            <v/>
          </cell>
          <cell r="Q8245" t="str">
            <v/>
          </cell>
          <cell r="S8245" t="str">
            <v/>
          </cell>
          <cell r="V8245" t="str">
            <v/>
          </cell>
          <cell r="Z8245" t="str">
            <v/>
          </cell>
          <cell r="AA8245" t="str">
            <v/>
          </cell>
          <cell r="AB8245" t="str">
            <v/>
          </cell>
          <cell r="AC8245" t="str">
            <v/>
          </cell>
          <cell r="AD8245" t="str">
            <v/>
          </cell>
          <cell r="AY8245" t="str">
            <v/>
          </cell>
          <cell r="AZ8245" t="str">
            <v/>
          </cell>
          <cell r="BA8245" t="str">
            <v/>
          </cell>
        </row>
        <row r="8246">
          <cell r="B8246" t="str">
            <v>-</v>
          </cell>
          <cell r="E8246" t="str">
            <v/>
          </cell>
          <cell r="G8246" t="str">
            <v/>
          </cell>
          <cell r="J8246" t="str">
            <v/>
          </cell>
          <cell r="O8246" t="str">
            <v/>
          </cell>
          <cell r="P8246" t="str">
            <v/>
          </cell>
          <cell r="Q8246" t="str">
            <v/>
          </cell>
          <cell r="S8246" t="str">
            <v/>
          </cell>
          <cell r="V8246" t="str">
            <v/>
          </cell>
          <cell r="Z8246" t="str">
            <v/>
          </cell>
          <cell r="AA8246" t="str">
            <v/>
          </cell>
          <cell r="AB8246" t="str">
            <v/>
          </cell>
          <cell r="AC8246" t="str">
            <v/>
          </cell>
          <cell r="AD8246" t="str">
            <v/>
          </cell>
          <cell r="AY8246" t="str">
            <v/>
          </cell>
          <cell r="AZ8246" t="str">
            <v/>
          </cell>
          <cell r="BA8246" t="str">
            <v/>
          </cell>
        </row>
        <row r="8247">
          <cell r="B8247" t="str">
            <v>-</v>
          </cell>
          <cell r="E8247" t="str">
            <v/>
          </cell>
          <cell r="G8247" t="str">
            <v/>
          </cell>
          <cell r="J8247" t="str">
            <v/>
          </cell>
          <cell r="O8247" t="str">
            <v/>
          </cell>
          <cell r="P8247" t="str">
            <v/>
          </cell>
          <cell r="Q8247" t="str">
            <v/>
          </cell>
          <cell r="S8247" t="str">
            <v/>
          </cell>
          <cell r="V8247" t="str">
            <v/>
          </cell>
          <cell r="Z8247" t="str">
            <v/>
          </cell>
          <cell r="AA8247" t="str">
            <v/>
          </cell>
          <cell r="AB8247" t="str">
            <v/>
          </cell>
          <cell r="AC8247" t="str">
            <v/>
          </cell>
          <cell r="AD8247" t="str">
            <v/>
          </cell>
          <cell r="AY8247" t="str">
            <v/>
          </cell>
          <cell r="AZ8247" t="str">
            <v/>
          </cell>
          <cell r="BA8247" t="str">
            <v/>
          </cell>
        </row>
        <row r="8248">
          <cell r="B8248" t="str">
            <v>-</v>
          </cell>
          <cell r="E8248" t="str">
            <v/>
          </cell>
          <cell r="G8248" t="str">
            <v/>
          </cell>
          <cell r="J8248" t="str">
            <v/>
          </cell>
          <cell r="O8248" t="str">
            <v/>
          </cell>
          <cell r="P8248" t="str">
            <v/>
          </cell>
          <cell r="Q8248" t="str">
            <v/>
          </cell>
          <cell r="S8248" t="str">
            <v/>
          </cell>
          <cell r="V8248" t="str">
            <v/>
          </cell>
          <cell r="Z8248" t="str">
            <v/>
          </cell>
          <cell r="AA8248" t="str">
            <v/>
          </cell>
          <cell r="AB8248" t="str">
            <v/>
          </cell>
          <cell r="AC8248" t="str">
            <v/>
          </cell>
          <cell r="AD8248" t="str">
            <v/>
          </cell>
          <cell r="AY8248" t="str">
            <v/>
          </cell>
          <cell r="AZ8248" t="str">
            <v/>
          </cell>
          <cell r="BA8248" t="str">
            <v/>
          </cell>
        </row>
        <row r="8249">
          <cell r="B8249" t="str">
            <v>-</v>
          </cell>
          <cell r="E8249" t="str">
            <v/>
          </cell>
          <cell r="G8249" t="str">
            <v/>
          </cell>
          <cell r="J8249" t="str">
            <v/>
          </cell>
          <cell r="O8249" t="str">
            <v/>
          </cell>
          <cell r="P8249" t="str">
            <v/>
          </cell>
          <cell r="Q8249" t="str">
            <v/>
          </cell>
          <cell r="S8249" t="str">
            <v/>
          </cell>
          <cell r="V8249" t="str">
            <v/>
          </cell>
          <cell r="Z8249" t="str">
            <v/>
          </cell>
          <cell r="AA8249" t="str">
            <v/>
          </cell>
          <cell r="AB8249" t="str">
            <v/>
          </cell>
          <cell r="AC8249" t="str">
            <v/>
          </cell>
          <cell r="AD8249" t="str">
            <v/>
          </cell>
          <cell r="AY8249" t="str">
            <v/>
          </cell>
          <cell r="AZ8249" t="str">
            <v/>
          </cell>
          <cell r="BA8249" t="str">
            <v/>
          </cell>
        </row>
        <row r="8250">
          <cell r="B8250" t="str">
            <v>-</v>
          </cell>
          <cell r="E8250" t="str">
            <v/>
          </cell>
          <cell r="G8250" t="str">
            <v/>
          </cell>
          <cell r="J8250" t="str">
            <v/>
          </cell>
          <cell r="O8250" t="str">
            <v/>
          </cell>
          <cell r="P8250" t="str">
            <v/>
          </cell>
          <cell r="Q8250" t="str">
            <v/>
          </cell>
          <cell r="S8250" t="str">
            <v/>
          </cell>
          <cell r="V8250" t="str">
            <v/>
          </cell>
          <cell r="Z8250" t="str">
            <v/>
          </cell>
          <cell r="AA8250" t="str">
            <v/>
          </cell>
          <cell r="AB8250" t="str">
            <v/>
          </cell>
          <cell r="AC8250" t="str">
            <v/>
          </cell>
          <cell r="AD8250" t="str">
            <v/>
          </cell>
          <cell r="AY8250" t="str">
            <v/>
          </cell>
          <cell r="AZ8250" t="str">
            <v/>
          </cell>
          <cell r="BA8250" t="str">
            <v/>
          </cell>
        </row>
        <row r="8251">
          <cell r="B8251" t="str">
            <v>-</v>
          </cell>
          <cell r="E8251" t="str">
            <v/>
          </cell>
          <cell r="G8251" t="str">
            <v/>
          </cell>
          <cell r="J8251" t="str">
            <v/>
          </cell>
          <cell r="O8251" t="str">
            <v/>
          </cell>
          <cell r="P8251" t="str">
            <v/>
          </cell>
          <cell r="Q8251" t="str">
            <v/>
          </cell>
          <cell r="S8251" t="str">
            <v/>
          </cell>
          <cell r="V8251" t="str">
            <v/>
          </cell>
          <cell r="Z8251" t="str">
            <v/>
          </cell>
          <cell r="AA8251" t="str">
            <v/>
          </cell>
          <cell r="AB8251" t="str">
            <v/>
          </cell>
          <cell r="AC8251" t="str">
            <v/>
          </cell>
          <cell r="AD8251" t="str">
            <v/>
          </cell>
          <cell r="AY8251" t="str">
            <v/>
          </cell>
          <cell r="AZ8251" t="str">
            <v/>
          </cell>
          <cell r="BA8251" t="str">
            <v/>
          </cell>
        </row>
        <row r="8252">
          <cell r="B8252" t="str">
            <v>-</v>
          </cell>
          <cell r="E8252" t="str">
            <v/>
          </cell>
          <cell r="G8252" t="str">
            <v/>
          </cell>
          <cell r="J8252" t="str">
            <v/>
          </cell>
          <cell r="O8252" t="str">
            <v/>
          </cell>
          <cell r="P8252" t="str">
            <v/>
          </cell>
          <cell r="Q8252" t="str">
            <v/>
          </cell>
          <cell r="S8252" t="str">
            <v/>
          </cell>
          <cell r="V8252" t="str">
            <v/>
          </cell>
          <cell r="Z8252" t="str">
            <v/>
          </cell>
          <cell r="AA8252" t="str">
            <v/>
          </cell>
          <cell r="AB8252" t="str">
            <v/>
          </cell>
          <cell r="AC8252" t="str">
            <v/>
          </cell>
          <cell r="AD8252" t="str">
            <v/>
          </cell>
          <cell r="AY8252" t="str">
            <v/>
          </cell>
          <cell r="AZ8252" t="str">
            <v/>
          </cell>
          <cell r="BA8252" t="str">
            <v/>
          </cell>
        </row>
        <row r="8253">
          <cell r="B8253" t="str">
            <v>-</v>
          </cell>
          <cell r="E8253" t="str">
            <v/>
          </cell>
          <cell r="G8253" t="str">
            <v/>
          </cell>
          <cell r="J8253" t="str">
            <v/>
          </cell>
          <cell r="O8253" t="str">
            <v/>
          </cell>
          <cell r="P8253" t="str">
            <v/>
          </cell>
          <cell r="Q8253" t="str">
            <v/>
          </cell>
          <cell r="S8253" t="str">
            <v/>
          </cell>
          <cell r="V8253" t="str">
            <v/>
          </cell>
          <cell r="Z8253" t="str">
            <v/>
          </cell>
          <cell r="AA8253" t="str">
            <v/>
          </cell>
          <cell r="AB8253" t="str">
            <v/>
          </cell>
          <cell r="AC8253" t="str">
            <v/>
          </cell>
          <cell r="AD8253" t="str">
            <v/>
          </cell>
          <cell r="AY8253" t="str">
            <v/>
          </cell>
          <cell r="AZ8253" t="str">
            <v/>
          </cell>
          <cell r="BA8253" t="str">
            <v/>
          </cell>
        </row>
        <row r="8254">
          <cell r="B8254" t="str">
            <v>-</v>
          </cell>
          <cell r="E8254" t="str">
            <v/>
          </cell>
          <cell r="G8254" t="str">
            <v/>
          </cell>
          <cell r="J8254" t="str">
            <v/>
          </cell>
          <cell r="O8254" t="str">
            <v/>
          </cell>
          <cell r="P8254" t="str">
            <v/>
          </cell>
          <cell r="Q8254" t="str">
            <v/>
          </cell>
          <cell r="S8254" t="str">
            <v/>
          </cell>
          <cell r="V8254" t="str">
            <v/>
          </cell>
          <cell r="Z8254" t="str">
            <v/>
          </cell>
          <cell r="AA8254" t="str">
            <v/>
          </cell>
          <cell r="AB8254" t="str">
            <v/>
          </cell>
          <cell r="AC8254" t="str">
            <v/>
          </cell>
          <cell r="AD8254" t="str">
            <v/>
          </cell>
          <cell r="AY8254" t="str">
            <v/>
          </cell>
          <cell r="AZ8254" t="str">
            <v/>
          </cell>
          <cell r="BA8254" t="str">
            <v/>
          </cell>
        </row>
        <row r="8255">
          <cell r="B8255" t="str">
            <v>-</v>
          </cell>
          <cell r="E8255" t="str">
            <v/>
          </cell>
          <cell r="G8255" t="str">
            <v/>
          </cell>
          <cell r="J8255" t="str">
            <v/>
          </cell>
          <cell r="O8255" t="str">
            <v/>
          </cell>
          <cell r="P8255" t="str">
            <v/>
          </cell>
          <cell r="Q8255" t="str">
            <v/>
          </cell>
          <cell r="S8255" t="str">
            <v/>
          </cell>
          <cell r="V8255" t="str">
            <v/>
          </cell>
          <cell r="Z8255" t="str">
            <v/>
          </cell>
          <cell r="AA8255" t="str">
            <v/>
          </cell>
          <cell r="AB8255" t="str">
            <v/>
          </cell>
          <cell r="AC8255" t="str">
            <v/>
          </cell>
          <cell r="AD8255" t="str">
            <v/>
          </cell>
          <cell r="AY8255" t="str">
            <v/>
          </cell>
          <cell r="AZ8255" t="str">
            <v/>
          </cell>
          <cell r="BA8255" t="str">
            <v/>
          </cell>
        </row>
        <row r="8256">
          <cell r="B8256" t="str">
            <v>-</v>
          </cell>
          <cell r="E8256" t="str">
            <v/>
          </cell>
          <cell r="G8256" t="str">
            <v/>
          </cell>
          <cell r="J8256" t="str">
            <v/>
          </cell>
          <cell r="O8256" t="str">
            <v/>
          </cell>
          <cell r="P8256" t="str">
            <v/>
          </cell>
          <cell r="Q8256" t="str">
            <v/>
          </cell>
          <cell r="S8256" t="str">
            <v/>
          </cell>
          <cell r="V8256" t="str">
            <v/>
          </cell>
          <cell r="Z8256" t="str">
            <v/>
          </cell>
          <cell r="AA8256" t="str">
            <v/>
          </cell>
          <cell r="AB8256" t="str">
            <v/>
          </cell>
          <cell r="AC8256" t="str">
            <v/>
          </cell>
          <cell r="AD8256" t="str">
            <v/>
          </cell>
          <cell r="AY8256" t="str">
            <v/>
          </cell>
          <cell r="AZ8256" t="str">
            <v/>
          </cell>
          <cell r="BA8256" t="str">
            <v/>
          </cell>
        </row>
        <row r="8257">
          <cell r="B8257" t="str">
            <v>-</v>
          </cell>
          <cell r="E8257" t="str">
            <v/>
          </cell>
          <cell r="G8257" t="str">
            <v/>
          </cell>
          <cell r="J8257" t="str">
            <v/>
          </cell>
          <cell r="O8257" t="str">
            <v/>
          </cell>
          <cell r="P8257" t="str">
            <v/>
          </cell>
          <cell r="Q8257" t="str">
            <v/>
          </cell>
          <cell r="S8257" t="str">
            <v/>
          </cell>
          <cell r="V8257" t="str">
            <v/>
          </cell>
          <cell r="Z8257" t="str">
            <v/>
          </cell>
          <cell r="AA8257" t="str">
            <v/>
          </cell>
          <cell r="AB8257" t="str">
            <v/>
          </cell>
          <cell r="AC8257" t="str">
            <v/>
          </cell>
          <cell r="AD8257" t="str">
            <v/>
          </cell>
          <cell r="AY8257" t="str">
            <v/>
          </cell>
          <cell r="AZ8257" t="str">
            <v/>
          </cell>
          <cell r="BA8257" t="str">
            <v/>
          </cell>
        </row>
        <row r="8258">
          <cell r="B8258" t="str">
            <v>-</v>
          </cell>
          <cell r="E8258" t="str">
            <v/>
          </cell>
          <cell r="G8258" t="str">
            <v/>
          </cell>
          <cell r="J8258" t="str">
            <v/>
          </cell>
          <cell r="O8258" t="str">
            <v/>
          </cell>
          <cell r="P8258" t="str">
            <v/>
          </cell>
          <cell r="Q8258" t="str">
            <v/>
          </cell>
          <cell r="S8258" t="str">
            <v/>
          </cell>
          <cell r="V8258" t="str">
            <v/>
          </cell>
          <cell r="Z8258" t="str">
            <v/>
          </cell>
          <cell r="AA8258" t="str">
            <v/>
          </cell>
          <cell r="AB8258" t="str">
            <v/>
          </cell>
          <cell r="AC8258" t="str">
            <v/>
          </cell>
          <cell r="AD8258" t="str">
            <v/>
          </cell>
          <cell r="AY8258" t="str">
            <v/>
          </cell>
          <cell r="AZ8258" t="str">
            <v/>
          </cell>
          <cell r="BA8258" t="str">
            <v/>
          </cell>
        </row>
        <row r="8259">
          <cell r="B8259" t="str">
            <v>-</v>
          </cell>
          <cell r="E8259" t="str">
            <v/>
          </cell>
          <cell r="G8259" t="str">
            <v/>
          </cell>
          <cell r="J8259" t="str">
            <v/>
          </cell>
          <cell r="O8259" t="str">
            <v/>
          </cell>
          <cell r="P8259" t="str">
            <v/>
          </cell>
          <cell r="Q8259" t="str">
            <v/>
          </cell>
          <cell r="S8259" t="str">
            <v/>
          </cell>
          <cell r="V8259" t="str">
            <v/>
          </cell>
          <cell r="Z8259" t="str">
            <v/>
          </cell>
          <cell r="AA8259" t="str">
            <v/>
          </cell>
          <cell r="AB8259" t="str">
            <v/>
          </cell>
          <cell r="AC8259" t="str">
            <v/>
          </cell>
          <cell r="AD8259" t="str">
            <v/>
          </cell>
          <cell r="AY8259" t="str">
            <v/>
          </cell>
          <cell r="AZ8259" t="str">
            <v/>
          </cell>
          <cell r="BA8259" t="str">
            <v/>
          </cell>
        </row>
        <row r="8260">
          <cell r="B8260" t="str">
            <v>-</v>
          </cell>
          <cell r="E8260" t="str">
            <v/>
          </cell>
          <cell r="G8260" t="str">
            <v/>
          </cell>
          <cell r="J8260" t="str">
            <v/>
          </cell>
          <cell r="O8260" t="str">
            <v/>
          </cell>
          <cell r="P8260" t="str">
            <v/>
          </cell>
          <cell r="Q8260" t="str">
            <v/>
          </cell>
          <cell r="S8260" t="str">
            <v/>
          </cell>
          <cell r="V8260" t="str">
            <v/>
          </cell>
          <cell r="Z8260" t="str">
            <v/>
          </cell>
          <cell r="AA8260" t="str">
            <v/>
          </cell>
          <cell r="AB8260" t="str">
            <v/>
          </cell>
          <cell r="AC8260" t="str">
            <v/>
          </cell>
          <cell r="AD8260" t="str">
            <v/>
          </cell>
          <cell r="AY8260" t="str">
            <v/>
          </cell>
          <cell r="AZ8260" t="str">
            <v/>
          </cell>
          <cell r="BA8260" t="str">
            <v/>
          </cell>
        </row>
        <row r="8261">
          <cell r="B8261" t="str">
            <v>-</v>
          </cell>
          <cell r="E8261" t="str">
            <v/>
          </cell>
          <cell r="G8261" t="str">
            <v/>
          </cell>
          <cell r="J8261" t="str">
            <v/>
          </cell>
          <cell r="O8261" t="str">
            <v/>
          </cell>
          <cell r="P8261" t="str">
            <v/>
          </cell>
          <cell r="Q8261" t="str">
            <v/>
          </cell>
          <cell r="S8261" t="str">
            <v/>
          </cell>
          <cell r="V8261" t="str">
            <v/>
          </cell>
          <cell r="Z8261" t="str">
            <v/>
          </cell>
          <cell r="AA8261" t="str">
            <v/>
          </cell>
          <cell r="AB8261" t="str">
            <v/>
          </cell>
          <cell r="AC8261" t="str">
            <v/>
          </cell>
          <cell r="AD8261" t="str">
            <v/>
          </cell>
          <cell r="AY8261" t="str">
            <v/>
          </cell>
          <cell r="AZ8261" t="str">
            <v/>
          </cell>
          <cell r="BA8261" t="str">
            <v/>
          </cell>
        </row>
        <row r="8262">
          <cell r="B8262" t="str">
            <v>-</v>
          </cell>
          <cell r="E8262" t="str">
            <v/>
          </cell>
          <cell r="G8262" t="str">
            <v/>
          </cell>
          <cell r="J8262" t="str">
            <v/>
          </cell>
          <cell r="O8262" t="str">
            <v/>
          </cell>
          <cell r="P8262" t="str">
            <v/>
          </cell>
          <cell r="Q8262" t="str">
            <v/>
          </cell>
          <cell r="S8262" t="str">
            <v/>
          </cell>
          <cell r="V8262" t="str">
            <v/>
          </cell>
          <cell r="Z8262" t="str">
            <v/>
          </cell>
          <cell r="AA8262" t="str">
            <v/>
          </cell>
          <cell r="AB8262" t="str">
            <v/>
          </cell>
          <cell r="AC8262" t="str">
            <v/>
          </cell>
          <cell r="AD8262" t="str">
            <v/>
          </cell>
          <cell r="AY8262" t="str">
            <v/>
          </cell>
          <cell r="AZ8262" t="str">
            <v/>
          </cell>
          <cell r="BA8262" t="str">
            <v/>
          </cell>
        </row>
        <row r="8263">
          <cell r="B8263" t="str">
            <v>-</v>
          </cell>
          <cell r="E8263" t="str">
            <v/>
          </cell>
          <cell r="G8263" t="str">
            <v/>
          </cell>
          <cell r="J8263" t="str">
            <v/>
          </cell>
          <cell r="O8263" t="str">
            <v/>
          </cell>
          <cell r="P8263" t="str">
            <v/>
          </cell>
          <cell r="Q8263" t="str">
            <v/>
          </cell>
          <cell r="S8263" t="str">
            <v/>
          </cell>
          <cell r="V8263" t="str">
            <v/>
          </cell>
          <cell r="Z8263" t="str">
            <v/>
          </cell>
          <cell r="AA8263" t="str">
            <v/>
          </cell>
          <cell r="AB8263" t="str">
            <v/>
          </cell>
          <cell r="AC8263" t="str">
            <v/>
          </cell>
          <cell r="AD8263" t="str">
            <v/>
          </cell>
          <cell r="AY8263" t="str">
            <v/>
          </cell>
          <cell r="AZ8263" t="str">
            <v/>
          </cell>
          <cell r="BA8263" t="str">
            <v/>
          </cell>
        </row>
        <row r="8264">
          <cell r="B8264" t="str">
            <v>-</v>
          </cell>
          <cell r="E8264" t="str">
            <v/>
          </cell>
          <cell r="G8264" t="str">
            <v/>
          </cell>
          <cell r="J8264" t="str">
            <v/>
          </cell>
          <cell r="O8264" t="str">
            <v/>
          </cell>
          <cell r="P8264" t="str">
            <v/>
          </cell>
          <cell r="Q8264" t="str">
            <v/>
          </cell>
          <cell r="S8264" t="str">
            <v/>
          </cell>
          <cell r="V8264" t="str">
            <v/>
          </cell>
          <cell r="Z8264" t="str">
            <v/>
          </cell>
          <cell r="AA8264" t="str">
            <v/>
          </cell>
          <cell r="AB8264" t="str">
            <v/>
          </cell>
          <cell r="AC8264" t="str">
            <v/>
          </cell>
          <cell r="AD8264" t="str">
            <v/>
          </cell>
          <cell r="AY8264" t="str">
            <v/>
          </cell>
          <cell r="AZ8264" t="str">
            <v/>
          </cell>
          <cell r="BA8264" t="str">
            <v/>
          </cell>
        </row>
        <row r="8265">
          <cell r="B8265" t="str">
            <v>-</v>
          </cell>
          <cell r="E8265" t="str">
            <v/>
          </cell>
          <cell r="G8265" t="str">
            <v/>
          </cell>
          <cell r="J8265" t="str">
            <v/>
          </cell>
          <cell r="O8265" t="str">
            <v/>
          </cell>
          <cell r="P8265" t="str">
            <v/>
          </cell>
          <cell r="Q8265" t="str">
            <v/>
          </cell>
          <cell r="S8265" t="str">
            <v/>
          </cell>
          <cell r="V8265" t="str">
            <v/>
          </cell>
          <cell r="Z8265" t="str">
            <v/>
          </cell>
          <cell r="AA8265" t="str">
            <v/>
          </cell>
          <cell r="AB8265" t="str">
            <v/>
          </cell>
          <cell r="AC8265" t="str">
            <v/>
          </cell>
          <cell r="AD8265" t="str">
            <v/>
          </cell>
          <cell r="AY8265" t="str">
            <v/>
          </cell>
          <cell r="AZ8265" t="str">
            <v/>
          </cell>
          <cell r="BA8265" t="str">
            <v/>
          </cell>
        </row>
        <row r="8266">
          <cell r="B8266" t="str">
            <v>-</v>
          </cell>
          <cell r="E8266" t="str">
            <v/>
          </cell>
          <cell r="G8266" t="str">
            <v/>
          </cell>
          <cell r="J8266" t="str">
            <v/>
          </cell>
          <cell r="O8266" t="str">
            <v/>
          </cell>
          <cell r="P8266" t="str">
            <v/>
          </cell>
          <cell r="Q8266" t="str">
            <v/>
          </cell>
          <cell r="S8266" t="str">
            <v/>
          </cell>
          <cell r="V8266" t="str">
            <v/>
          </cell>
          <cell r="Z8266" t="str">
            <v/>
          </cell>
          <cell r="AA8266" t="str">
            <v/>
          </cell>
          <cell r="AB8266" t="str">
            <v/>
          </cell>
          <cell r="AC8266" t="str">
            <v/>
          </cell>
          <cell r="AD8266" t="str">
            <v/>
          </cell>
          <cell r="AY8266" t="str">
            <v/>
          </cell>
          <cell r="AZ8266" t="str">
            <v/>
          </cell>
          <cell r="BA8266" t="str">
            <v/>
          </cell>
        </row>
        <row r="8267">
          <cell r="B8267" t="str">
            <v>-</v>
          </cell>
          <cell r="E8267" t="str">
            <v/>
          </cell>
          <cell r="G8267" t="str">
            <v/>
          </cell>
          <cell r="J8267" t="str">
            <v/>
          </cell>
          <cell r="O8267" t="str">
            <v/>
          </cell>
          <cell r="P8267" t="str">
            <v/>
          </cell>
          <cell r="Q8267" t="str">
            <v/>
          </cell>
          <cell r="S8267" t="str">
            <v/>
          </cell>
          <cell r="V8267" t="str">
            <v/>
          </cell>
          <cell r="Z8267" t="str">
            <v/>
          </cell>
          <cell r="AA8267" t="str">
            <v/>
          </cell>
          <cell r="AB8267" t="str">
            <v/>
          </cell>
          <cell r="AC8267" t="str">
            <v/>
          </cell>
          <cell r="AD8267" t="str">
            <v/>
          </cell>
          <cell r="AY8267" t="str">
            <v/>
          </cell>
          <cell r="AZ8267" t="str">
            <v/>
          </cell>
          <cell r="BA8267" t="str">
            <v/>
          </cell>
        </row>
        <row r="8268">
          <cell r="B8268" t="str">
            <v>-</v>
          </cell>
          <cell r="E8268" t="str">
            <v/>
          </cell>
          <cell r="G8268" t="str">
            <v/>
          </cell>
          <cell r="J8268" t="str">
            <v/>
          </cell>
          <cell r="O8268" t="str">
            <v/>
          </cell>
          <cell r="P8268" t="str">
            <v/>
          </cell>
          <cell r="Q8268" t="str">
            <v/>
          </cell>
          <cell r="S8268" t="str">
            <v/>
          </cell>
          <cell r="V8268" t="str">
            <v/>
          </cell>
          <cell r="Z8268" t="str">
            <v/>
          </cell>
          <cell r="AA8268" t="str">
            <v/>
          </cell>
          <cell r="AB8268" t="str">
            <v/>
          </cell>
          <cell r="AC8268" t="str">
            <v/>
          </cell>
          <cell r="AD8268" t="str">
            <v/>
          </cell>
          <cell r="AY8268" t="str">
            <v/>
          </cell>
          <cell r="AZ8268" t="str">
            <v/>
          </cell>
          <cell r="BA8268" t="str">
            <v/>
          </cell>
        </row>
        <row r="8269">
          <cell r="B8269" t="str">
            <v>-</v>
          </cell>
          <cell r="E8269" t="str">
            <v/>
          </cell>
          <cell r="G8269" t="str">
            <v/>
          </cell>
          <cell r="J8269" t="str">
            <v/>
          </cell>
          <cell r="O8269" t="str">
            <v/>
          </cell>
          <cell r="P8269" t="str">
            <v/>
          </cell>
          <cell r="Q8269" t="str">
            <v/>
          </cell>
          <cell r="S8269" t="str">
            <v/>
          </cell>
          <cell r="V8269" t="str">
            <v/>
          </cell>
          <cell r="Z8269" t="str">
            <v/>
          </cell>
          <cell r="AA8269" t="str">
            <v/>
          </cell>
          <cell r="AB8269" t="str">
            <v/>
          </cell>
          <cell r="AC8269" t="str">
            <v/>
          </cell>
          <cell r="AD8269" t="str">
            <v/>
          </cell>
          <cell r="AY8269" t="str">
            <v/>
          </cell>
          <cell r="AZ8269" t="str">
            <v/>
          </cell>
          <cell r="BA8269" t="str">
            <v/>
          </cell>
        </row>
        <row r="8270">
          <cell r="B8270" t="str">
            <v>-</v>
          </cell>
          <cell r="E8270" t="str">
            <v/>
          </cell>
          <cell r="G8270" t="str">
            <v/>
          </cell>
          <cell r="J8270" t="str">
            <v/>
          </cell>
          <cell r="O8270" t="str">
            <v/>
          </cell>
          <cell r="P8270" t="str">
            <v/>
          </cell>
          <cell r="Q8270" t="str">
            <v/>
          </cell>
          <cell r="S8270" t="str">
            <v/>
          </cell>
          <cell r="V8270" t="str">
            <v/>
          </cell>
          <cell r="Z8270" t="str">
            <v/>
          </cell>
          <cell r="AA8270" t="str">
            <v/>
          </cell>
          <cell r="AB8270" t="str">
            <v/>
          </cell>
          <cell r="AC8270" t="str">
            <v/>
          </cell>
          <cell r="AD8270" t="str">
            <v/>
          </cell>
          <cell r="AY8270" t="str">
            <v/>
          </cell>
          <cell r="AZ8270" t="str">
            <v/>
          </cell>
          <cell r="BA8270" t="str">
            <v/>
          </cell>
        </row>
        <row r="8271">
          <cell r="B8271" t="str">
            <v>-</v>
          </cell>
          <cell r="E8271" t="str">
            <v/>
          </cell>
          <cell r="G8271" t="str">
            <v/>
          </cell>
          <cell r="J8271" t="str">
            <v/>
          </cell>
          <cell r="O8271" t="str">
            <v/>
          </cell>
          <cell r="P8271" t="str">
            <v/>
          </cell>
          <cell r="Q8271" t="str">
            <v/>
          </cell>
          <cell r="S8271" t="str">
            <v/>
          </cell>
          <cell r="V8271" t="str">
            <v/>
          </cell>
          <cell r="Z8271" t="str">
            <v/>
          </cell>
          <cell r="AA8271" t="str">
            <v/>
          </cell>
          <cell r="AB8271" t="str">
            <v/>
          </cell>
          <cell r="AC8271" t="str">
            <v/>
          </cell>
          <cell r="AD8271" t="str">
            <v/>
          </cell>
          <cell r="AY8271" t="str">
            <v/>
          </cell>
          <cell r="AZ8271" t="str">
            <v/>
          </cell>
          <cell r="BA8271" t="str">
            <v/>
          </cell>
        </row>
        <row r="8272">
          <cell r="B8272" t="str">
            <v>-</v>
          </cell>
          <cell r="E8272" t="str">
            <v/>
          </cell>
          <cell r="G8272" t="str">
            <v/>
          </cell>
          <cell r="J8272" t="str">
            <v/>
          </cell>
          <cell r="O8272" t="str">
            <v/>
          </cell>
          <cell r="P8272" t="str">
            <v/>
          </cell>
          <cell r="Q8272" t="str">
            <v/>
          </cell>
          <cell r="S8272" t="str">
            <v/>
          </cell>
          <cell r="V8272" t="str">
            <v/>
          </cell>
          <cell r="Z8272" t="str">
            <v/>
          </cell>
          <cell r="AA8272" t="str">
            <v/>
          </cell>
          <cell r="AB8272" t="str">
            <v/>
          </cell>
          <cell r="AC8272" t="str">
            <v/>
          </cell>
          <cell r="AD8272" t="str">
            <v/>
          </cell>
          <cell r="AY8272" t="str">
            <v/>
          </cell>
          <cell r="AZ8272" t="str">
            <v/>
          </cell>
          <cell r="BA8272" t="str">
            <v/>
          </cell>
        </row>
        <row r="8273">
          <cell r="B8273" t="str">
            <v>-</v>
          </cell>
          <cell r="E8273" t="str">
            <v/>
          </cell>
          <cell r="G8273" t="str">
            <v/>
          </cell>
          <cell r="J8273" t="str">
            <v/>
          </cell>
          <cell r="O8273" t="str">
            <v/>
          </cell>
          <cell r="P8273" t="str">
            <v/>
          </cell>
          <cell r="Q8273" t="str">
            <v/>
          </cell>
          <cell r="S8273" t="str">
            <v/>
          </cell>
          <cell r="V8273" t="str">
            <v/>
          </cell>
          <cell r="Z8273" t="str">
            <v/>
          </cell>
          <cell r="AA8273" t="str">
            <v/>
          </cell>
          <cell r="AB8273" t="str">
            <v/>
          </cell>
          <cell r="AC8273" t="str">
            <v/>
          </cell>
          <cell r="AD8273" t="str">
            <v/>
          </cell>
          <cell r="AY8273" t="str">
            <v/>
          </cell>
          <cell r="AZ8273" t="str">
            <v/>
          </cell>
          <cell r="BA8273" t="str">
            <v/>
          </cell>
        </row>
        <row r="8274">
          <cell r="B8274" t="str">
            <v>-</v>
          </cell>
          <cell r="E8274" t="str">
            <v/>
          </cell>
          <cell r="G8274" t="str">
            <v/>
          </cell>
          <cell r="J8274" t="str">
            <v/>
          </cell>
          <cell r="O8274" t="str">
            <v/>
          </cell>
          <cell r="P8274" t="str">
            <v/>
          </cell>
          <cell r="Q8274" t="str">
            <v/>
          </cell>
          <cell r="S8274" t="str">
            <v/>
          </cell>
          <cell r="V8274" t="str">
            <v/>
          </cell>
          <cell r="Z8274" t="str">
            <v/>
          </cell>
          <cell r="AA8274" t="str">
            <v/>
          </cell>
          <cell r="AB8274" t="str">
            <v/>
          </cell>
          <cell r="AC8274" t="str">
            <v/>
          </cell>
          <cell r="AD8274" t="str">
            <v/>
          </cell>
          <cell r="AY8274" t="str">
            <v/>
          </cell>
          <cell r="AZ8274" t="str">
            <v/>
          </cell>
          <cell r="BA8274" t="str">
            <v/>
          </cell>
        </row>
        <row r="8275">
          <cell r="B8275" t="str">
            <v>-</v>
          </cell>
          <cell r="E8275" t="str">
            <v/>
          </cell>
          <cell r="G8275" t="str">
            <v/>
          </cell>
          <cell r="J8275" t="str">
            <v/>
          </cell>
          <cell r="O8275" t="str">
            <v/>
          </cell>
          <cell r="P8275" t="str">
            <v/>
          </cell>
          <cell r="Q8275" t="str">
            <v/>
          </cell>
          <cell r="S8275" t="str">
            <v/>
          </cell>
          <cell r="V8275" t="str">
            <v/>
          </cell>
          <cell r="Z8275" t="str">
            <v/>
          </cell>
          <cell r="AA8275" t="str">
            <v/>
          </cell>
          <cell r="AB8275" t="str">
            <v/>
          </cell>
          <cell r="AC8275" t="str">
            <v/>
          </cell>
          <cell r="AD8275" t="str">
            <v/>
          </cell>
          <cell r="AY8275" t="str">
            <v/>
          </cell>
          <cell r="AZ8275" t="str">
            <v/>
          </cell>
          <cell r="BA8275" t="str">
            <v/>
          </cell>
        </row>
        <row r="8276">
          <cell r="B8276" t="str">
            <v>-</v>
          </cell>
          <cell r="E8276" t="str">
            <v/>
          </cell>
          <cell r="G8276" t="str">
            <v/>
          </cell>
          <cell r="J8276" t="str">
            <v/>
          </cell>
          <cell r="O8276" t="str">
            <v/>
          </cell>
          <cell r="P8276" t="str">
            <v/>
          </cell>
          <cell r="Q8276" t="str">
            <v/>
          </cell>
          <cell r="S8276" t="str">
            <v/>
          </cell>
          <cell r="V8276" t="str">
            <v/>
          </cell>
          <cell r="Z8276" t="str">
            <v/>
          </cell>
          <cell r="AA8276" t="str">
            <v/>
          </cell>
          <cell r="AB8276" t="str">
            <v/>
          </cell>
          <cell r="AC8276" t="str">
            <v/>
          </cell>
          <cell r="AD8276" t="str">
            <v/>
          </cell>
          <cell r="AY8276" t="str">
            <v/>
          </cell>
          <cell r="AZ8276" t="str">
            <v/>
          </cell>
          <cell r="BA8276" t="str">
            <v/>
          </cell>
        </row>
        <row r="8277">
          <cell r="B8277" t="str">
            <v>-</v>
          </cell>
          <cell r="E8277" t="str">
            <v/>
          </cell>
          <cell r="G8277" t="str">
            <v/>
          </cell>
          <cell r="J8277" t="str">
            <v/>
          </cell>
          <cell r="O8277" t="str">
            <v/>
          </cell>
          <cell r="P8277" t="str">
            <v/>
          </cell>
          <cell r="Q8277" t="str">
            <v/>
          </cell>
          <cell r="S8277" t="str">
            <v/>
          </cell>
          <cell r="V8277" t="str">
            <v/>
          </cell>
          <cell r="Z8277" t="str">
            <v/>
          </cell>
          <cell r="AA8277" t="str">
            <v/>
          </cell>
          <cell r="AB8277" t="str">
            <v/>
          </cell>
          <cell r="AC8277" t="str">
            <v/>
          </cell>
          <cell r="AD8277" t="str">
            <v/>
          </cell>
          <cell r="AY8277" t="str">
            <v/>
          </cell>
          <cell r="AZ8277" t="str">
            <v/>
          </cell>
          <cell r="BA8277" t="str">
            <v/>
          </cell>
        </row>
        <row r="8278">
          <cell r="B8278" t="str">
            <v>-</v>
          </cell>
          <cell r="E8278" t="str">
            <v/>
          </cell>
          <cell r="G8278" t="str">
            <v/>
          </cell>
          <cell r="J8278" t="str">
            <v/>
          </cell>
          <cell r="O8278" t="str">
            <v/>
          </cell>
          <cell r="P8278" t="str">
            <v/>
          </cell>
          <cell r="Q8278" t="str">
            <v/>
          </cell>
          <cell r="S8278" t="str">
            <v/>
          </cell>
          <cell r="V8278" t="str">
            <v/>
          </cell>
          <cell r="Z8278" t="str">
            <v/>
          </cell>
          <cell r="AA8278" t="str">
            <v/>
          </cell>
          <cell r="AB8278" t="str">
            <v/>
          </cell>
          <cell r="AC8278" t="str">
            <v/>
          </cell>
          <cell r="AD8278" t="str">
            <v/>
          </cell>
          <cell r="AY8278" t="str">
            <v/>
          </cell>
          <cell r="AZ8278" t="str">
            <v/>
          </cell>
          <cell r="BA8278" t="str">
            <v/>
          </cell>
        </row>
        <row r="8279">
          <cell r="B8279" t="str">
            <v>-</v>
          </cell>
          <cell r="E8279" t="str">
            <v/>
          </cell>
          <cell r="G8279" t="str">
            <v/>
          </cell>
          <cell r="J8279" t="str">
            <v/>
          </cell>
          <cell r="O8279" t="str">
            <v/>
          </cell>
          <cell r="P8279" t="str">
            <v/>
          </cell>
          <cell r="Q8279" t="str">
            <v/>
          </cell>
          <cell r="S8279" t="str">
            <v/>
          </cell>
          <cell r="V8279" t="str">
            <v/>
          </cell>
          <cell r="Z8279" t="str">
            <v/>
          </cell>
          <cell r="AA8279" t="str">
            <v/>
          </cell>
          <cell r="AB8279" t="str">
            <v/>
          </cell>
          <cell r="AC8279" t="str">
            <v/>
          </cell>
          <cell r="AD8279" t="str">
            <v/>
          </cell>
          <cell r="AY8279" t="str">
            <v/>
          </cell>
          <cell r="AZ8279" t="str">
            <v/>
          </cell>
          <cell r="BA8279" t="str">
            <v/>
          </cell>
        </row>
        <row r="8280">
          <cell r="B8280" t="str">
            <v>-</v>
          </cell>
          <cell r="E8280" t="str">
            <v/>
          </cell>
          <cell r="G8280" t="str">
            <v/>
          </cell>
          <cell r="J8280" t="str">
            <v/>
          </cell>
          <cell r="O8280" t="str">
            <v/>
          </cell>
          <cell r="P8280" t="str">
            <v/>
          </cell>
          <cell r="Q8280" t="str">
            <v/>
          </cell>
          <cell r="S8280" t="str">
            <v/>
          </cell>
          <cell r="V8280" t="str">
            <v/>
          </cell>
          <cell r="Z8280" t="str">
            <v/>
          </cell>
          <cell r="AA8280" t="str">
            <v/>
          </cell>
          <cell r="AB8280" t="str">
            <v/>
          </cell>
          <cell r="AC8280" t="str">
            <v/>
          </cell>
          <cell r="AD8280" t="str">
            <v/>
          </cell>
          <cell r="AY8280" t="str">
            <v/>
          </cell>
          <cell r="AZ8280" t="str">
            <v/>
          </cell>
          <cell r="BA8280" t="str">
            <v/>
          </cell>
        </row>
        <row r="8281">
          <cell r="B8281" t="str">
            <v>-</v>
          </cell>
          <cell r="E8281" t="str">
            <v/>
          </cell>
          <cell r="G8281" t="str">
            <v/>
          </cell>
          <cell r="J8281" t="str">
            <v/>
          </cell>
          <cell r="O8281" t="str">
            <v/>
          </cell>
          <cell r="P8281" t="str">
            <v/>
          </cell>
          <cell r="Q8281" t="str">
            <v/>
          </cell>
          <cell r="S8281" t="str">
            <v/>
          </cell>
          <cell r="V8281" t="str">
            <v/>
          </cell>
          <cell r="Z8281" t="str">
            <v/>
          </cell>
          <cell r="AA8281" t="str">
            <v/>
          </cell>
          <cell r="AB8281" t="str">
            <v/>
          </cell>
          <cell r="AC8281" t="str">
            <v/>
          </cell>
          <cell r="AD8281" t="str">
            <v/>
          </cell>
          <cell r="AY8281" t="str">
            <v/>
          </cell>
          <cell r="AZ8281" t="str">
            <v/>
          </cell>
          <cell r="BA8281" t="str">
            <v/>
          </cell>
        </row>
        <row r="8282">
          <cell r="B8282" t="str">
            <v>-</v>
          </cell>
          <cell r="E8282" t="str">
            <v/>
          </cell>
          <cell r="G8282" t="str">
            <v/>
          </cell>
          <cell r="J8282" t="str">
            <v/>
          </cell>
          <cell r="O8282" t="str">
            <v/>
          </cell>
          <cell r="P8282" t="str">
            <v/>
          </cell>
          <cell r="Q8282" t="str">
            <v/>
          </cell>
          <cell r="S8282" t="str">
            <v/>
          </cell>
          <cell r="V8282" t="str">
            <v/>
          </cell>
          <cell r="Z8282" t="str">
            <v/>
          </cell>
          <cell r="AA8282" t="str">
            <v/>
          </cell>
          <cell r="AB8282" t="str">
            <v/>
          </cell>
          <cell r="AC8282" t="str">
            <v/>
          </cell>
          <cell r="AD8282" t="str">
            <v/>
          </cell>
          <cell r="AY8282" t="str">
            <v/>
          </cell>
          <cell r="AZ8282" t="str">
            <v/>
          </cell>
          <cell r="BA8282" t="str">
            <v/>
          </cell>
        </row>
        <row r="8283">
          <cell r="B8283" t="str">
            <v>-</v>
          </cell>
          <cell r="E8283" t="str">
            <v/>
          </cell>
          <cell r="G8283" t="str">
            <v/>
          </cell>
          <cell r="J8283" t="str">
            <v/>
          </cell>
          <cell r="O8283" t="str">
            <v/>
          </cell>
          <cell r="P8283" t="str">
            <v/>
          </cell>
          <cell r="Q8283" t="str">
            <v/>
          </cell>
          <cell r="S8283" t="str">
            <v/>
          </cell>
          <cell r="V8283" t="str">
            <v/>
          </cell>
          <cell r="Z8283" t="str">
            <v/>
          </cell>
          <cell r="AA8283" t="str">
            <v/>
          </cell>
          <cell r="AB8283" t="str">
            <v/>
          </cell>
          <cell r="AC8283" t="str">
            <v/>
          </cell>
          <cell r="AD8283" t="str">
            <v/>
          </cell>
          <cell r="AY8283" t="str">
            <v/>
          </cell>
          <cell r="AZ8283" t="str">
            <v/>
          </cell>
          <cell r="BA8283" t="str">
            <v/>
          </cell>
        </row>
        <row r="8284">
          <cell r="B8284" t="str">
            <v>-</v>
          </cell>
          <cell r="E8284" t="str">
            <v/>
          </cell>
          <cell r="G8284" t="str">
            <v/>
          </cell>
          <cell r="J8284" t="str">
            <v/>
          </cell>
          <cell r="O8284" t="str">
            <v/>
          </cell>
          <cell r="P8284" t="str">
            <v/>
          </cell>
          <cell r="Q8284" t="str">
            <v/>
          </cell>
          <cell r="S8284" t="str">
            <v/>
          </cell>
          <cell r="V8284" t="str">
            <v/>
          </cell>
          <cell r="Z8284" t="str">
            <v/>
          </cell>
          <cell r="AA8284" t="str">
            <v/>
          </cell>
          <cell r="AB8284" t="str">
            <v/>
          </cell>
          <cell r="AC8284" t="str">
            <v/>
          </cell>
          <cell r="AD8284" t="str">
            <v/>
          </cell>
          <cell r="AY8284" t="str">
            <v/>
          </cell>
          <cell r="AZ8284" t="str">
            <v/>
          </cell>
          <cell r="BA8284" t="str">
            <v/>
          </cell>
        </row>
        <row r="8285">
          <cell r="B8285" t="str">
            <v>-</v>
          </cell>
          <cell r="E8285" t="str">
            <v/>
          </cell>
          <cell r="G8285" t="str">
            <v/>
          </cell>
          <cell r="J8285" t="str">
            <v/>
          </cell>
          <cell r="O8285" t="str">
            <v/>
          </cell>
          <cell r="P8285" t="str">
            <v/>
          </cell>
          <cell r="Q8285" t="str">
            <v/>
          </cell>
          <cell r="S8285" t="str">
            <v/>
          </cell>
          <cell r="V8285" t="str">
            <v/>
          </cell>
          <cell r="Z8285" t="str">
            <v/>
          </cell>
          <cell r="AA8285" t="str">
            <v/>
          </cell>
          <cell r="AB8285" t="str">
            <v/>
          </cell>
          <cell r="AC8285" t="str">
            <v/>
          </cell>
          <cell r="AD8285" t="str">
            <v/>
          </cell>
          <cell r="AY8285" t="str">
            <v/>
          </cell>
          <cell r="AZ8285" t="str">
            <v/>
          </cell>
          <cell r="BA8285" t="str">
            <v/>
          </cell>
        </row>
        <row r="8286">
          <cell r="B8286" t="str">
            <v>-</v>
          </cell>
          <cell r="E8286" t="str">
            <v/>
          </cell>
          <cell r="G8286" t="str">
            <v/>
          </cell>
          <cell r="J8286" t="str">
            <v/>
          </cell>
          <cell r="O8286" t="str">
            <v/>
          </cell>
          <cell r="P8286" t="str">
            <v/>
          </cell>
          <cell r="Q8286" t="str">
            <v/>
          </cell>
          <cell r="S8286" t="str">
            <v/>
          </cell>
          <cell r="V8286" t="str">
            <v/>
          </cell>
          <cell r="Z8286" t="str">
            <v/>
          </cell>
          <cell r="AA8286" t="str">
            <v/>
          </cell>
          <cell r="AB8286" t="str">
            <v/>
          </cell>
          <cell r="AC8286" t="str">
            <v/>
          </cell>
          <cell r="AD8286" t="str">
            <v/>
          </cell>
          <cell r="AY8286" t="str">
            <v/>
          </cell>
          <cell r="AZ8286" t="str">
            <v/>
          </cell>
          <cell r="BA8286" t="str">
            <v/>
          </cell>
        </row>
        <row r="8287">
          <cell r="B8287" t="str">
            <v>-</v>
          </cell>
          <cell r="E8287" t="str">
            <v/>
          </cell>
          <cell r="G8287" t="str">
            <v/>
          </cell>
          <cell r="J8287" t="str">
            <v/>
          </cell>
          <cell r="O8287" t="str">
            <v/>
          </cell>
          <cell r="P8287" t="str">
            <v/>
          </cell>
          <cell r="Q8287" t="str">
            <v/>
          </cell>
          <cell r="S8287" t="str">
            <v/>
          </cell>
          <cell r="V8287" t="str">
            <v/>
          </cell>
          <cell r="Z8287" t="str">
            <v/>
          </cell>
          <cell r="AA8287" t="str">
            <v/>
          </cell>
          <cell r="AB8287" t="str">
            <v/>
          </cell>
          <cell r="AC8287" t="str">
            <v/>
          </cell>
          <cell r="AD8287" t="str">
            <v/>
          </cell>
          <cell r="AY8287" t="str">
            <v/>
          </cell>
          <cell r="AZ8287" t="str">
            <v/>
          </cell>
          <cell r="BA8287" t="str">
            <v/>
          </cell>
        </row>
        <row r="8288">
          <cell r="B8288" t="str">
            <v>-</v>
          </cell>
          <cell r="E8288" t="str">
            <v/>
          </cell>
          <cell r="G8288" t="str">
            <v/>
          </cell>
          <cell r="J8288" t="str">
            <v/>
          </cell>
          <cell r="O8288" t="str">
            <v/>
          </cell>
          <cell r="P8288" t="str">
            <v/>
          </cell>
          <cell r="Q8288" t="str">
            <v/>
          </cell>
          <cell r="S8288" t="str">
            <v/>
          </cell>
          <cell r="V8288" t="str">
            <v/>
          </cell>
          <cell r="Z8288" t="str">
            <v/>
          </cell>
          <cell r="AA8288" t="str">
            <v/>
          </cell>
          <cell r="AB8288" t="str">
            <v/>
          </cell>
          <cell r="AC8288" t="str">
            <v/>
          </cell>
          <cell r="AD8288" t="str">
            <v/>
          </cell>
          <cell r="AY8288" t="str">
            <v/>
          </cell>
          <cell r="AZ8288" t="str">
            <v/>
          </cell>
          <cell r="BA8288" t="str">
            <v/>
          </cell>
        </row>
        <row r="8289">
          <cell r="B8289" t="str">
            <v>-</v>
          </cell>
          <cell r="E8289" t="str">
            <v/>
          </cell>
          <cell r="G8289" t="str">
            <v/>
          </cell>
          <cell r="J8289" t="str">
            <v/>
          </cell>
          <cell r="O8289" t="str">
            <v/>
          </cell>
          <cell r="P8289" t="str">
            <v/>
          </cell>
          <cell r="Q8289" t="str">
            <v/>
          </cell>
          <cell r="S8289" t="str">
            <v/>
          </cell>
          <cell r="V8289" t="str">
            <v/>
          </cell>
          <cell r="Z8289" t="str">
            <v/>
          </cell>
          <cell r="AA8289" t="str">
            <v/>
          </cell>
          <cell r="AB8289" t="str">
            <v/>
          </cell>
          <cell r="AC8289" t="str">
            <v/>
          </cell>
          <cell r="AD8289" t="str">
            <v/>
          </cell>
          <cell r="AY8289" t="str">
            <v/>
          </cell>
          <cell r="AZ8289" t="str">
            <v/>
          </cell>
          <cell r="BA8289" t="str">
            <v/>
          </cell>
        </row>
        <row r="8290">
          <cell r="B8290" t="str">
            <v>-</v>
          </cell>
          <cell r="E8290" t="str">
            <v/>
          </cell>
          <cell r="G8290" t="str">
            <v/>
          </cell>
          <cell r="J8290" t="str">
            <v/>
          </cell>
          <cell r="O8290" t="str">
            <v/>
          </cell>
          <cell r="P8290" t="str">
            <v/>
          </cell>
          <cell r="Q8290" t="str">
            <v/>
          </cell>
          <cell r="S8290" t="str">
            <v/>
          </cell>
          <cell r="V8290" t="str">
            <v/>
          </cell>
          <cell r="Z8290" t="str">
            <v/>
          </cell>
          <cell r="AA8290" t="str">
            <v/>
          </cell>
          <cell r="AB8290" t="str">
            <v/>
          </cell>
          <cell r="AC8290" t="str">
            <v/>
          </cell>
          <cell r="AD8290" t="str">
            <v/>
          </cell>
          <cell r="AY8290" t="str">
            <v/>
          </cell>
          <cell r="AZ8290" t="str">
            <v/>
          </cell>
          <cell r="BA8290" t="str">
            <v/>
          </cell>
        </row>
        <row r="8291">
          <cell r="B8291" t="str">
            <v>-</v>
          </cell>
          <cell r="E8291" t="str">
            <v/>
          </cell>
          <cell r="G8291" t="str">
            <v/>
          </cell>
          <cell r="J8291" t="str">
            <v/>
          </cell>
          <cell r="O8291" t="str">
            <v/>
          </cell>
          <cell r="P8291" t="str">
            <v/>
          </cell>
          <cell r="Q8291" t="str">
            <v/>
          </cell>
          <cell r="S8291" t="str">
            <v/>
          </cell>
          <cell r="V8291" t="str">
            <v/>
          </cell>
          <cell r="Z8291" t="str">
            <v/>
          </cell>
          <cell r="AA8291" t="str">
            <v/>
          </cell>
          <cell r="AB8291" t="str">
            <v/>
          </cell>
          <cell r="AC8291" t="str">
            <v/>
          </cell>
          <cell r="AD8291" t="str">
            <v/>
          </cell>
          <cell r="AY8291" t="str">
            <v/>
          </cell>
          <cell r="AZ8291" t="str">
            <v/>
          </cell>
          <cell r="BA8291" t="str">
            <v/>
          </cell>
        </row>
        <row r="8292">
          <cell r="B8292" t="str">
            <v>-</v>
          </cell>
          <cell r="E8292" t="str">
            <v/>
          </cell>
          <cell r="G8292" t="str">
            <v/>
          </cell>
          <cell r="J8292" t="str">
            <v/>
          </cell>
          <cell r="O8292" t="str">
            <v/>
          </cell>
          <cell r="P8292" t="str">
            <v/>
          </cell>
          <cell r="Q8292" t="str">
            <v/>
          </cell>
          <cell r="S8292" t="str">
            <v/>
          </cell>
          <cell r="V8292" t="str">
            <v/>
          </cell>
          <cell r="Z8292" t="str">
            <v/>
          </cell>
          <cell r="AA8292" t="str">
            <v/>
          </cell>
          <cell r="AB8292" t="str">
            <v/>
          </cell>
          <cell r="AC8292" t="str">
            <v/>
          </cell>
          <cell r="AD8292" t="str">
            <v/>
          </cell>
          <cell r="AY8292" t="str">
            <v/>
          </cell>
          <cell r="AZ8292" t="str">
            <v/>
          </cell>
          <cell r="BA8292" t="str">
            <v/>
          </cell>
        </row>
        <row r="8293">
          <cell r="B8293" t="str">
            <v>-</v>
          </cell>
          <cell r="E8293" t="str">
            <v/>
          </cell>
          <cell r="G8293" t="str">
            <v/>
          </cell>
          <cell r="J8293" t="str">
            <v/>
          </cell>
          <cell r="O8293" t="str">
            <v/>
          </cell>
          <cell r="P8293" t="str">
            <v/>
          </cell>
          <cell r="Q8293" t="str">
            <v/>
          </cell>
          <cell r="S8293" t="str">
            <v/>
          </cell>
          <cell r="V8293" t="str">
            <v/>
          </cell>
          <cell r="Z8293" t="str">
            <v/>
          </cell>
          <cell r="AA8293" t="str">
            <v/>
          </cell>
          <cell r="AB8293" t="str">
            <v/>
          </cell>
          <cell r="AC8293" t="str">
            <v/>
          </cell>
          <cell r="AD8293" t="str">
            <v/>
          </cell>
          <cell r="AY8293" t="str">
            <v/>
          </cell>
          <cell r="AZ8293" t="str">
            <v/>
          </cell>
          <cell r="BA8293" t="str">
            <v/>
          </cell>
        </row>
        <row r="8294">
          <cell r="B8294" t="str">
            <v>-</v>
          </cell>
          <cell r="E8294" t="str">
            <v/>
          </cell>
          <cell r="G8294" t="str">
            <v/>
          </cell>
          <cell r="J8294" t="str">
            <v/>
          </cell>
          <cell r="O8294" t="str">
            <v/>
          </cell>
          <cell r="P8294" t="str">
            <v/>
          </cell>
          <cell r="Q8294" t="str">
            <v/>
          </cell>
          <cell r="S8294" t="str">
            <v/>
          </cell>
          <cell r="V8294" t="str">
            <v/>
          </cell>
          <cell r="Z8294" t="str">
            <v/>
          </cell>
          <cell r="AA8294" t="str">
            <v/>
          </cell>
          <cell r="AB8294" t="str">
            <v/>
          </cell>
          <cell r="AC8294" t="str">
            <v/>
          </cell>
          <cell r="AD8294" t="str">
            <v/>
          </cell>
          <cell r="AY8294" t="str">
            <v/>
          </cell>
          <cell r="AZ8294" t="str">
            <v/>
          </cell>
          <cell r="BA8294" t="str">
            <v/>
          </cell>
        </row>
        <row r="8295">
          <cell r="B8295" t="str">
            <v>-</v>
          </cell>
          <cell r="E8295" t="str">
            <v/>
          </cell>
          <cell r="G8295" t="str">
            <v/>
          </cell>
          <cell r="J8295" t="str">
            <v/>
          </cell>
          <cell r="O8295" t="str">
            <v/>
          </cell>
          <cell r="P8295" t="str">
            <v/>
          </cell>
          <cell r="Q8295" t="str">
            <v/>
          </cell>
          <cell r="S8295" t="str">
            <v/>
          </cell>
          <cell r="V8295" t="str">
            <v/>
          </cell>
          <cell r="Z8295" t="str">
            <v/>
          </cell>
          <cell r="AA8295" t="str">
            <v/>
          </cell>
          <cell r="AB8295" t="str">
            <v/>
          </cell>
          <cell r="AC8295" t="str">
            <v/>
          </cell>
          <cell r="AD8295" t="str">
            <v/>
          </cell>
          <cell r="AY8295" t="str">
            <v/>
          </cell>
          <cell r="AZ8295" t="str">
            <v/>
          </cell>
          <cell r="BA8295" t="str">
            <v/>
          </cell>
        </row>
        <row r="8296">
          <cell r="B8296" t="str">
            <v>-</v>
          </cell>
          <cell r="E8296" t="str">
            <v/>
          </cell>
          <cell r="G8296" t="str">
            <v/>
          </cell>
          <cell r="J8296" t="str">
            <v/>
          </cell>
          <cell r="O8296" t="str">
            <v/>
          </cell>
          <cell r="P8296" t="str">
            <v/>
          </cell>
          <cell r="Q8296" t="str">
            <v/>
          </cell>
          <cell r="S8296" t="str">
            <v/>
          </cell>
          <cell r="V8296" t="str">
            <v/>
          </cell>
          <cell r="Z8296" t="str">
            <v/>
          </cell>
          <cell r="AA8296" t="str">
            <v/>
          </cell>
          <cell r="AB8296" t="str">
            <v/>
          </cell>
          <cell r="AC8296" t="str">
            <v/>
          </cell>
          <cell r="AD8296" t="str">
            <v/>
          </cell>
          <cell r="AY8296" t="str">
            <v/>
          </cell>
          <cell r="AZ8296" t="str">
            <v/>
          </cell>
          <cell r="BA8296" t="str">
            <v/>
          </cell>
        </row>
        <row r="8297">
          <cell r="B8297" t="str">
            <v>-</v>
          </cell>
          <cell r="E8297" t="str">
            <v/>
          </cell>
          <cell r="G8297" t="str">
            <v/>
          </cell>
          <cell r="J8297" t="str">
            <v/>
          </cell>
          <cell r="O8297" t="str">
            <v/>
          </cell>
          <cell r="P8297" t="str">
            <v/>
          </cell>
          <cell r="Q8297" t="str">
            <v/>
          </cell>
          <cell r="S8297" t="str">
            <v/>
          </cell>
          <cell r="V8297" t="str">
            <v/>
          </cell>
          <cell r="Z8297" t="str">
            <v/>
          </cell>
          <cell r="AA8297" t="str">
            <v/>
          </cell>
          <cell r="AB8297" t="str">
            <v/>
          </cell>
          <cell r="AC8297" t="str">
            <v/>
          </cell>
          <cell r="AD8297" t="str">
            <v/>
          </cell>
          <cell r="AY8297" t="str">
            <v/>
          </cell>
          <cell r="AZ8297" t="str">
            <v/>
          </cell>
          <cell r="BA8297" t="str">
            <v/>
          </cell>
        </row>
        <row r="8298">
          <cell r="B8298" t="str">
            <v>-</v>
          </cell>
          <cell r="E8298" t="str">
            <v/>
          </cell>
          <cell r="G8298" t="str">
            <v/>
          </cell>
          <cell r="J8298" t="str">
            <v/>
          </cell>
          <cell r="O8298" t="str">
            <v/>
          </cell>
          <cell r="P8298" t="str">
            <v/>
          </cell>
          <cell r="Q8298" t="str">
            <v/>
          </cell>
          <cell r="S8298" t="str">
            <v/>
          </cell>
          <cell r="V8298" t="str">
            <v/>
          </cell>
          <cell r="Z8298" t="str">
            <v/>
          </cell>
          <cell r="AA8298" t="str">
            <v/>
          </cell>
          <cell r="AB8298" t="str">
            <v/>
          </cell>
          <cell r="AC8298" t="str">
            <v/>
          </cell>
          <cell r="AD8298" t="str">
            <v/>
          </cell>
          <cell r="AY8298" t="str">
            <v/>
          </cell>
          <cell r="AZ8298" t="str">
            <v/>
          </cell>
          <cell r="BA8298" t="str">
            <v/>
          </cell>
        </row>
        <row r="8299">
          <cell r="B8299" t="str">
            <v>-</v>
          </cell>
          <cell r="E8299" t="str">
            <v/>
          </cell>
          <cell r="G8299" t="str">
            <v/>
          </cell>
          <cell r="J8299" t="str">
            <v/>
          </cell>
          <cell r="O8299" t="str">
            <v/>
          </cell>
          <cell r="P8299" t="str">
            <v/>
          </cell>
          <cell r="Q8299" t="str">
            <v/>
          </cell>
          <cell r="S8299" t="str">
            <v/>
          </cell>
          <cell r="V8299" t="str">
            <v/>
          </cell>
          <cell r="Z8299" t="str">
            <v/>
          </cell>
          <cell r="AA8299" t="str">
            <v/>
          </cell>
          <cell r="AB8299" t="str">
            <v/>
          </cell>
          <cell r="AC8299" t="str">
            <v/>
          </cell>
          <cell r="AD8299" t="str">
            <v/>
          </cell>
          <cell r="AY8299" t="str">
            <v/>
          </cell>
          <cell r="AZ8299" t="str">
            <v/>
          </cell>
          <cell r="BA8299" t="str">
            <v/>
          </cell>
        </row>
        <row r="8300">
          <cell r="B8300" t="str">
            <v>-</v>
          </cell>
          <cell r="E8300" t="str">
            <v/>
          </cell>
          <cell r="G8300" t="str">
            <v/>
          </cell>
          <cell r="J8300" t="str">
            <v/>
          </cell>
          <cell r="O8300" t="str">
            <v/>
          </cell>
          <cell r="P8300" t="str">
            <v/>
          </cell>
          <cell r="Q8300" t="str">
            <v/>
          </cell>
          <cell r="S8300" t="str">
            <v/>
          </cell>
          <cell r="V8300" t="str">
            <v/>
          </cell>
          <cell r="Z8300" t="str">
            <v/>
          </cell>
          <cell r="AA8300" t="str">
            <v/>
          </cell>
          <cell r="AB8300" t="str">
            <v/>
          </cell>
          <cell r="AC8300" t="str">
            <v/>
          </cell>
          <cell r="AD8300" t="str">
            <v/>
          </cell>
          <cell r="AY8300" t="str">
            <v/>
          </cell>
          <cell r="AZ8300" t="str">
            <v/>
          </cell>
          <cell r="BA8300" t="str">
            <v/>
          </cell>
        </row>
        <row r="8301">
          <cell r="B8301" t="str">
            <v>-</v>
          </cell>
          <cell r="E8301" t="str">
            <v/>
          </cell>
          <cell r="G8301" t="str">
            <v/>
          </cell>
          <cell r="J8301" t="str">
            <v/>
          </cell>
          <cell r="O8301" t="str">
            <v/>
          </cell>
          <cell r="P8301" t="str">
            <v/>
          </cell>
          <cell r="Q8301" t="str">
            <v/>
          </cell>
          <cell r="S8301" t="str">
            <v/>
          </cell>
          <cell r="V8301" t="str">
            <v/>
          </cell>
          <cell r="Z8301" t="str">
            <v/>
          </cell>
          <cell r="AA8301" t="str">
            <v/>
          </cell>
          <cell r="AB8301" t="str">
            <v/>
          </cell>
          <cell r="AC8301" t="str">
            <v/>
          </cell>
          <cell r="AD8301" t="str">
            <v/>
          </cell>
          <cell r="AY8301" t="str">
            <v/>
          </cell>
          <cell r="AZ8301" t="str">
            <v/>
          </cell>
          <cell r="BA8301" t="str">
            <v/>
          </cell>
        </row>
        <row r="8302">
          <cell r="B8302" t="str">
            <v>-</v>
          </cell>
          <cell r="E8302" t="str">
            <v/>
          </cell>
          <cell r="G8302" t="str">
            <v/>
          </cell>
          <cell r="J8302" t="str">
            <v/>
          </cell>
          <cell r="O8302" t="str">
            <v/>
          </cell>
          <cell r="P8302" t="str">
            <v/>
          </cell>
          <cell r="Q8302" t="str">
            <v/>
          </cell>
          <cell r="S8302" t="str">
            <v/>
          </cell>
          <cell r="V8302" t="str">
            <v/>
          </cell>
          <cell r="Z8302" t="str">
            <v/>
          </cell>
          <cell r="AA8302" t="str">
            <v/>
          </cell>
          <cell r="AB8302" t="str">
            <v/>
          </cell>
          <cell r="AC8302" t="str">
            <v/>
          </cell>
          <cell r="AD8302" t="str">
            <v/>
          </cell>
          <cell r="AY8302" t="str">
            <v/>
          </cell>
          <cell r="AZ8302" t="str">
            <v/>
          </cell>
          <cell r="BA8302" t="str">
            <v/>
          </cell>
        </row>
        <row r="8303">
          <cell r="B8303" t="str">
            <v>-</v>
          </cell>
          <cell r="E8303" t="str">
            <v/>
          </cell>
          <cell r="G8303" t="str">
            <v/>
          </cell>
          <cell r="J8303" t="str">
            <v/>
          </cell>
          <cell r="O8303" t="str">
            <v/>
          </cell>
          <cell r="P8303" t="str">
            <v/>
          </cell>
          <cell r="Q8303" t="str">
            <v/>
          </cell>
          <cell r="S8303" t="str">
            <v/>
          </cell>
          <cell r="V8303" t="str">
            <v/>
          </cell>
          <cell r="Z8303" t="str">
            <v/>
          </cell>
          <cell r="AA8303" t="str">
            <v/>
          </cell>
          <cell r="AB8303" t="str">
            <v/>
          </cell>
          <cell r="AC8303" t="str">
            <v/>
          </cell>
          <cell r="AD8303" t="str">
            <v/>
          </cell>
          <cell r="AY8303" t="str">
            <v/>
          </cell>
          <cell r="AZ8303" t="str">
            <v/>
          </cell>
          <cell r="BA8303" t="str">
            <v/>
          </cell>
        </row>
        <row r="8304">
          <cell r="B8304" t="str">
            <v>-</v>
          </cell>
          <cell r="E8304" t="str">
            <v/>
          </cell>
          <cell r="G8304" t="str">
            <v/>
          </cell>
          <cell r="J8304" t="str">
            <v/>
          </cell>
          <cell r="O8304" t="str">
            <v/>
          </cell>
          <cell r="P8304" t="str">
            <v/>
          </cell>
          <cell r="Q8304" t="str">
            <v/>
          </cell>
          <cell r="S8304" t="str">
            <v/>
          </cell>
          <cell r="V8304" t="str">
            <v/>
          </cell>
          <cell r="Z8304" t="str">
            <v/>
          </cell>
          <cell r="AA8304" t="str">
            <v/>
          </cell>
          <cell r="AB8304" t="str">
            <v/>
          </cell>
          <cell r="AC8304" t="str">
            <v/>
          </cell>
          <cell r="AD8304" t="str">
            <v/>
          </cell>
          <cell r="AY8304" t="str">
            <v/>
          </cell>
          <cell r="AZ8304" t="str">
            <v/>
          </cell>
          <cell r="BA8304" t="str">
            <v/>
          </cell>
        </row>
        <row r="8305">
          <cell r="B8305" t="str">
            <v>-</v>
          </cell>
          <cell r="E8305" t="str">
            <v/>
          </cell>
          <cell r="G8305" t="str">
            <v/>
          </cell>
          <cell r="J8305" t="str">
            <v/>
          </cell>
          <cell r="O8305" t="str">
            <v/>
          </cell>
          <cell r="P8305" t="str">
            <v/>
          </cell>
          <cell r="Q8305" t="str">
            <v/>
          </cell>
          <cell r="S8305" t="str">
            <v/>
          </cell>
          <cell r="V8305" t="str">
            <v/>
          </cell>
          <cell r="Z8305" t="str">
            <v/>
          </cell>
          <cell r="AA8305" t="str">
            <v/>
          </cell>
          <cell r="AB8305" t="str">
            <v/>
          </cell>
          <cell r="AC8305" t="str">
            <v/>
          </cell>
          <cell r="AD8305" t="str">
            <v/>
          </cell>
          <cell r="AY8305" t="str">
            <v/>
          </cell>
          <cell r="AZ8305" t="str">
            <v/>
          </cell>
          <cell r="BA8305" t="str">
            <v/>
          </cell>
        </row>
        <row r="8306">
          <cell r="B8306" t="str">
            <v>-</v>
          </cell>
          <cell r="E8306" t="str">
            <v/>
          </cell>
          <cell r="G8306" t="str">
            <v/>
          </cell>
          <cell r="J8306" t="str">
            <v/>
          </cell>
          <cell r="O8306" t="str">
            <v/>
          </cell>
          <cell r="P8306" t="str">
            <v/>
          </cell>
          <cell r="Q8306" t="str">
            <v/>
          </cell>
          <cell r="S8306" t="str">
            <v/>
          </cell>
          <cell r="V8306" t="str">
            <v/>
          </cell>
          <cell r="Z8306" t="str">
            <v/>
          </cell>
          <cell r="AA8306" t="str">
            <v/>
          </cell>
          <cell r="AB8306" t="str">
            <v/>
          </cell>
          <cell r="AC8306" t="str">
            <v/>
          </cell>
          <cell r="AD8306" t="str">
            <v/>
          </cell>
          <cell r="AY8306" t="str">
            <v/>
          </cell>
          <cell r="AZ8306" t="str">
            <v/>
          </cell>
          <cell r="BA8306" t="str">
            <v/>
          </cell>
        </row>
        <row r="8307">
          <cell r="B8307" t="str">
            <v>-</v>
          </cell>
          <cell r="E8307" t="str">
            <v/>
          </cell>
          <cell r="G8307" t="str">
            <v/>
          </cell>
          <cell r="J8307" t="str">
            <v/>
          </cell>
          <cell r="O8307" t="str">
            <v/>
          </cell>
          <cell r="P8307" t="str">
            <v/>
          </cell>
          <cell r="Q8307" t="str">
            <v/>
          </cell>
          <cell r="S8307" t="str">
            <v/>
          </cell>
          <cell r="V8307" t="str">
            <v/>
          </cell>
          <cell r="Z8307" t="str">
            <v/>
          </cell>
          <cell r="AA8307" t="str">
            <v/>
          </cell>
          <cell r="AB8307" t="str">
            <v/>
          </cell>
          <cell r="AC8307" t="str">
            <v/>
          </cell>
          <cell r="AD8307" t="str">
            <v/>
          </cell>
          <cell r="AY8307" t="str">
            <v/>
          </cell>
          <cell r="AZ8307" t="str">
            <v/>
          </cell>
          <cell r="BA8307" t="str">
            <v/>
          </cell>
        </row>
        <row r="8308">
          <cell r="B8308" t="str">
            <v>-</v>
          </cell>
          <cell r="E8308" t="str">
            <v/>
          </cell>
          <cell r="G8308" t="str">
            <v/>
          </cell>
          <cell r="J8308" t="str">
            <v/>
          </cell>
          <cell r="O8308" t="str">
            <v/>
          </cell>
          <cell r="P8308" t="str">
            <v/>
          </cell>
          <cell r="Q8308" t="str">
            <v/>
          </cell>
          <cell r="S8308" t="str">
            <v/>
          </cell>
          <cell r="V8308" t="str">
            <v/>
          </cell>
          <cell r="Z8308" t="str">
            <v/>
          </cell>
          <cell r="AA8308" t="str">
            <v/>
          </cell>
          <cell r="AB8308" t="str">
            <v/>
          </cell>
          <cell r="AC8308" t="str">
            <v/>
          </cell>
          <cell r="AD8308" t="str">
            <v/>
          </cell>
          <cell r="AY8308" t="str">
            <v/>
          </cell>
          <cell r="AZ8308" t="str">
            <v/>
          </cell>
          <cell r="BA8308" t="str">
            <v/>
          </cell>
        </row>
        <row r="8309">
          <cell r="B8309" t="str">
            <v>-</v>
          </cell>
          <cell r="E8309" t="str">
            <v/>
          </cell>
          <cell r="G8309" t="str">
            <v/>
          </cell>
          <cell r="J8309" t="str">
            <v/>
          </cell>
          <cell r="O8309" t="str">
            <v/>
          </cell>
          <cell r="P8309" t="str">
            <v/>
          </cell>
          <cell r="Q8309" t="str">
            <v/>
          </cell>
          <cell r="S8309" t="str">
            <v/>
          </cell>
          <cell r="V8309" t="str">
            <v/>
          </cell>
          <cell r="Z8309" t="str">
            <v/>
          </cell>
          <cell r="AA8309" t="str">
            <v/>
          </cell>
          <cell r="AB8309" t="str">
            <v/>
          </cell>
          <cell r="AC8309" t="str">
            <v/>
          </cell>
          <cell r="AD8309" t="str">
            <v/>
          </cell>
          <cell r="AY8309" t="str">
            <v/>
          </cell>
          <cell r="AZ8309" t="str">
            <v/>
          </cell>
          <cell r="BA8309" t="str">
            <v/>
          </cell>
        </row>
        <row r="8310">
          <cell r="B8310" t="str">
            <v>-</v>
          </cell>
          <cell r="E8310" t="str">
            <v/>
          </cell>
          <cell r="G8310" t="str">
            <v/>
          </cell>
          <cell r="J8310" t="str">
            <v/>
          </cell>
          <cell r="O8310" t="str">
            <v/>
          </cell>
          <cell r="P8310" t="str">
            <v/>
          </cell>
          <cell r="Q8310" t="str">
            <v/>
          </cell>
          <cell r="S8310" t="str">
            <v/>
          </cell>
          <cell r="V8310" t="str">
            <v/>
          </cell>
          <cell r="Z8310" t="str">
            <v/>
          </cell>
          <cell r="AA8310" t="str">
            <v/>
          </cell>
          <cell r="AB8310" t="str">
            <v/>
          </cell>
          <cell r="AC8310" t="str">
            <v/>
          </cell>
          <cell r="AD8310" t="str">
            <v/>
          </cell>
          <cell r="AY8310" t="str">
            <v/>
          </cell>
          <cell r="AZ8310" t="str">
            <v/>
          </cell>
          <cell r="BA8310" t="str">
            <v/>
          </cell>
        </row>
        <row r="8311">
          <cell r="B8311" t="str">
            <v>-</v>
          </cell>
          <cell r="E8311" t="str">
            <v/>
          </cell>
          <cell r="G8311" t="str">
            <v/>
          </cell>
          <cell r="J8311" t="str">
            <v/>
          </cell>
          <cell r="O8311" t="str">
            <v/>
          </cell>
          <cell r="P8311" t="str">
            <v/>
          </cell>
          <cell r="Q8311" t="str">
            <v/>
          </cell>
          <cell r="S8311" t="str">
            <v/>
          </cell>
          <cell r="V8311" t="str">
            <v/>
          </cell>
          <cell r="Z8311" t="str">
            <v/>
          </cell>
          <cell r="AA8311" t="str">
            <v/>
          </cell>
          <cell r="AB8311" t="str">
            <v/>
          </cell>
          <cell r="AC8311" t="str">
            <v/>
          </cell>
          <cell r="AD8311" t="str">
            <v/>
          </cell>
          <cell r="AY8311" t="str">
            <v/>
          </cell>
          <cell r="AZ8311" t="str">
            <v/>
          </cell>
          <cell r="BA8311" t="str">
            <v/>
          </cell>
        </row>
        <row r="8312">
          <cell r="B8312" t="str">
            <v>-</v>
          </cell>
          <cell r="E8312" t="str">
            <v/>
          </cell>
          <cell r="G8312" t="str">
            <v/>
          </cell>
          <cell r="J8312" t="str">
            <v/>
          </cell>
          <cell r="O8312" t="str">
            <v/>
          </cell>
          <cell r="P8312" t="str">
            <v/>
          </cell>
          <cell r="Q8312" t="str">
            <v/>
          </cell>
          <cell r="S8312" t="str">
            <v/>
          </cell>
          <cell r="V8312" t="str">
            <v/>
          </cell>
          <cell r="Z8312" t="str">
            <v/>
          </cell>
          <cell r="AA8312" t="str">
            <v/>
          </cell>
          <cell r="AB8312" t="str">
            <v/>
          </cell>
          <cell r="AC8312" t="str">
            <v/>
          </cell>
          <cell r="AD8312" t="str">
            <v/>
          </cell>
          <cell r="AY8312" t="str">
            <v/>
          </cell>
          <cell r="AZ8312" t="str">
            <v/>
          </cell>
          <cell r="BA8312" t="str">
            <v/>
          </cell>
        </row>
        <row r="8313">
          <cell r="B8313" t="str">
            <v>-</v>
          </cell>
          <cell r="E8313" t="str">
            <v/>
          </cell>
          <cell r="G8313" t="str">
            <v/>
          </cell>
          <cell r="J8313" t="str">
            <v/>
          </cell>
          <cell r="O8313" t="str">
            <v/>
          </cell>
          <cell r="P8313" t="str">
            <v/>
          </cell>
          <cell r="Q8313" t="str">
            <v/>
          </cell>
          <cell r="S8313" t="str">
            <v/>
          </cell>
          <cell r="V8313" t="str">
            <v/>
          </cell>
          <cell r="Z8313" t="str">
            <v/>
          </cell>
          <cell r="AA8313" t="str">
            <v/>
          </cell>
          <cell r="AB8313" t="str">
            <v/>
          </cell>
          <cell r="AC8313" t="str">
            <v/>
          </cell>
          <cell r="AD8313" t="str">
            <v/>
          </cell>
          <cell r="AY8313" t="str">
            <v/>
          </cell>
          <cell r="AZ8313" t="str">
            <v/>
          </cell>
          <cell r="BA8313" t="str">
            <v/>
          </cell>
        </row>
        <row r="8314">
          <cell r="B8314" t="str">
            <v>-</v>
          </cell>
          <cell r="E8314" t="str">
            <v/>
          </cell>
          <cell r="G8314" t="str">
            <v/>
          </cell>
          <cell r="J8314" t="str">
            <v/>
          </cell>
          <cell r="O8314" t="str">
            <v/>
          </cell>
          <cell r="P8314" t="str">
            <v/>
          </cell>
          <cell r="Q8314" t="str">
            <v/>
          </cell>
          <cell r="S8314" t="str">
            <v/>
          </cell>
          <cell r="V8314" t="str">
            <v/>
          </cell>
          <cell r="Z8314" t="str">
            <v/>
          </cell>
          <cell r="AA8314" t="str">
            <v/>
          </cell>
          <cell r="AB8314" t="str">
            <v/>
          </cell>
          <cell r="AC8314" t="str">
            <v/>
          </cell>
          <cell r="AD8314" t="str">
            <v/>
          </cell>
          <cell r="AY8314" t="str">
            <v/>
          </cell>
          <cell r="AZ8314" t="str">
            <v/>
          </cell>
          <cell r="BA8314" t="str">
            <v/>
          </cell>
        </row>
        <row r="8315">
          <cell r="B8315" t="str">
            <v>-</v>
          </cell>
          <cell r="E8315" t="str">
            <v/>
          </cell>
          <cell r="G8315" t="str">
            <v/>
          </cell>
          <cell r="J8315" t="str">
            <v/>
          </cell>
          <cell r="O8315" t="str">
            <v/>
          </cell>
          <cell r="P8315" t="str">
            <v/>
          </cell>
          <cell r="Q8315" t="str">
            <v/>
          </cell>
          <cell r="S8315" t="str">
            <v/>
          </cell>
          <cell r="V8315" t="str">
            <v/>
          </cell>
          <cell r="Z8315" t="str">
            <v/>
          </cell>
          <cell r="AA8315" t="str">
            <v/>
          </cell>
          <cell r="AB8315" t="str">
            <v/>
          </cell>
          <cell r="AC8315" t="str">
            <v/>
          </cell>
          <cell r="AD8315" t="str">
            <v/>
          </cell>
          <cell r="AY8315" t="str">
            <v/>
          </cell>
          <cell r="AZ8315" t="str">
            <v/>
          </cell>
          <cell r="BA8315" t="str">
            <v/>
          </cell>
        </row>
        <row r="8316">
          <cell r="B8316" t="str">
            <v>-</v>
          </cell>
          <cell r="E8316" t="str">
            <v/>
          </cell>
          <cell r="G8316" t="str">
            <v/>
          </cell>
          <cell r="J8316" t="str">
            <v/>
          </cell>
          <cell r="O8316" t="str">
            <v/>
          </cell>
          <cell r="P8316" t="str">
            <v/>
          </cell>
          <cell r="Q8316" t="str">
            <v/>
          </cell>
          <cell r="S8316" t="str">
            <v/>
          </cell>
          <cell r="V8316" t="str">
            <v/>
          </cell>
          <cell r="Z8316" t="str">
            <v/>
          </cell>
          <cell r="AA8316" t="str">
            <v/>
          </cell>
          <cell r="AB8316" t="str">
            <v/>
          </cell>
          <cell r="AC8316" t="str">
            <v/>
          </cell>
          <cell r="AD8316" t="str">
            <v/>
          </cell>
          <cell r="AY8316" t="str">
            <v/>
          </cell>
          <cell r="AZ8316" t="str">
            <v/>
          </cell>
          <cell r="BA8316" t="str">
            <v/>
          </cell>
        </row>
        <row r="8317">
          <cell r="B8317" t="str">
            <v>-</v>
          </cell>
          <cell r="E8317" t="str">
            <v/>
          </cell>
          <cell r="G8317" t="str">
            <v/>
          </cell>
          <cell r="J8317" t="str">
            <v/>
          </cell>
          <cell r="O8317" t="str">
            <v/>
          </cell>
          <cell r="P8317" t="str">
            <v/>
          </cell>
          <cell r="Q8317" t="str">
            <v/>
          </cell>
          <cell r="S8317" t="str">
            <v/>
          </cell>
          <cell r="V8317" t="str">
            <v/>
          </cell>
          <cell r="Z8317" t="str">
            <v/>
          </cell>
          <cell r="AA8317" t="str">
            <v/>
          </cell>
          <cell r="AB8317" t="str">
            <v/>
          </cell>
          <cell r="AC8317" t="str">
            <v/>
          </cell>
          <cell r="AD8317" t="str">
            <v/>
          </cell>
          <cell r="AY8317" t="str">
            <v/>
          </cell>
          <cell r="AZ8317" t="str">
            <v/>
          </cell>
          <cell r="BA8317" t="str">
            <v/>
          </cell>
        </row>
        <row r="8318">
          <cell r="B8318" t="str">
            <v>-</v>
          </cell>
          <cell r="E8318" t="str">
            <v/>
          </cell>
          <cell r="G8318" t="str">
            <v/>
          </cell>
          <cell r="J8318" t="str">
            <v/>
          </cell>
          <cell r="O8318" t="str">
            <v/>
          </cell>
          <cell r="P8318" t="str">
            <v/>
          </cell>
          <cell r="Q8318" t="str">
            <v/>
          </cell>
          <cell r="S8318" t="str">
            <v/>
          </cell>
          <cell r="V8318" t="str">
            <v/>
          </cell>
          <cell r="Z8318" t="str">
            <v/>
          </cell>
          <cell r="AA8318" t="str">
            <v/>
          </cell>
          <cell r="AB8318" t="str">
            <v/>
          </cell>
          <cell r="AC8318" t="str">
            <v/>
          </cell>
          <cell r="AD8318" t="str">
            <v/>
          </cell>
          <cell r="AY8318" t="str">
            <v/>
          </cell>
          <cell r="AZ8318" t="str">
            <v/>
          </cell>
          <cell r="BA8318" t="str">
            <v/>
          </cell>
        </row>
        <row r="8319">
          <cell r="B8319" t="str">
            <v>-</v>
          </cell>
          <cell r="E8319" t="str">
            <v/>
          </cell>
          <cell r="G8319" t="str">
            <v/>
          </cell>
          <cell r="J8319" t="str">
            <v/>
          </cell>
          <cell r="O8319" t="str">
            <v/>
          </cell>
          <cell r="P8319" t="str">
            <v/>
          </cell>
          <cell r="Q8319" t="str">
            <v/>
          </cell>
          <cell r="S8319" t="str">
            <v/>
          </cell>
          <cell r="V8319" t="str">
            <v/>
          </cell>
          <cell r="Z8319" t="str">
            <v/>
          </cell>
          <cell r="AA8319" t="str">
            <v/>
          </cell>
          <cell r="AB8319" t="str">
            <v/>
          </cell>
          <cell r="AC8319" t="str">
            <v/>
          </cell>
          <cell r="AD8319" t="str">
            <v/>
          </cell>
          <cell r="AY8319" t="str">
            <v/>
          </cell>
          <cell r="AZ8319" t="str">
            <v/>
          </cell>
          <cell r="BA8319" t="str">
            <v/>
          </cell>
        </row>
        <row r="8320">
          <cell r="B8320" t="str">
            <v>-</v>
          </cell>
          <cell r="E8320" t="str">
            <v/>
          </cell>
          <cell r="G8320" t="str">
            <v/>
          </cell>
          <cell r="J8320" t="str">
            <v/>
          </cell>
          <cell r="O8320" t="str">
            <v/>
          </cell>
          <cell r="P8320" t="str">
            <v/>
          </cell>
          <cell r="Q8320" t="str">
            <v/>
          </cell>
          <cell r="S8320" t="str">
            <v/>
          </cell>
          <cell r="V8320" t="str">
            <v/>
          </cell>
          <cell r="Z8320" t="str">
            <v/>
          </cell>
          <cell r="AA8320" t="str">
            <v/>
          </cell>
          <cell r="AB8320" t="str">
            <v/>
          </cell>
          <cell r="AC8320" t="str">
            <v/>
          </cell>
          <cell r="AD8320" t="str">
            <v/>
          </cell>
          <cell r="AY8320" t="str">
            <v/>
          </cell>
          <cell r="AZ8320" t="str">
            <v/>
          </cell>
          <cell r="BA8320" t="str">
            <v/>
          </cell>
        </row>
        <row r="8321">
          <cell r="B8321" t="str">
            <v>-</v>
          </cell>
          <cell r="E8321" t="str">
            <v/>
          </cell>
          <cell r="G8321" t="str">
            <v/>
          </cell>
          <cell r="J8321" t="str">
            <v/>
          </cell>
          <cell r="O8321" t="str">
            <v/>
          </cell>
          <cell r="P8321" t="str">
            <v/>
          </cell>
          <cell r="Q8321" t="str">
            <v/>
          </cell>
          <cell r="S8321" t="str">
            <v/>
          </cell>
          <cell r="V8321" t="str">
            <v/>
          </cell>
          <cell r="Z8321" t="str">
            <v/>
          </cell>
          <cell r="AA8321" t="str">
            <v/>
          </cell>
          <cell r="AB8321" t="str">
            <v/>
          </cell>
          <cell r="AC8321" t="str">
            <v/>
          </cell>
          <cell r="AD8321" t="str">
            <v/>
          </cell>
          <cell r="AY8321" t="str">
            <v/>
          </cell>
          <cell r="AZ8321" t="str">
            <v/>
          </cell>
          <cell r="BA8321" t="str">
            <v/>
          </cell>
        </row>
        <row r="8322">
          <cell r="B8322" t="str">
            <v>-</v>
          </cell>
          <cell r="E8322" t="str">
            <v/>
          </cell>
          <cell r="G8322" t="str">
            <v/>
          </cell>
          <cell r="J8322" t="str">
            <v/>
          </cell>
          <cell r="O8322" t="str">
            <v/>
          </cell>
          <cell r="P8322" t="str">
            <v/>
          </cell>
          <cell r="Q8322" t="str">
            <v/>
          </cell>
          <cell r="S8322" t="str">
            <v/>
          </cell>
          <cell r="V8322" t="str">
            <v/>
          </cell>
          <cell r="Z8322" t="str">
            <v/>
          </cell>
          <cell r="AA8322" t="str">
            <v/>
          </cell>
          <cell r="AB8322" t="str">
            <v/>
          </cell>
          <cell r="AC8322" t="str">
            <v/>
          </cell>
          <cell r="AD8322" t="str">
            <v/>
          </cell>
          <cell r="AY8322" t="str">
            <v/>
          </cell>
          <cell r="AZ8322" t="str">
            <v/>
          </cell>
          <cell r="BA8322" t="str">
            <v/>
          </cell>
        </row>
        <row r="8323">
          <cell r="B8323" t="str">
            <v>-</v>
          </cell>
          <cell r="E8323" t="str">
            <v/>
          </cell>
          <cell r="G8323" t="str">
            <v/>
          </cell>
          <cell r="J8323" t="str">
            <v/>
          </cell>
          <cell r="O8323" t="str">
            <v/>
          </cell>
          <cell r="P8323" t="str">
            <v/>
          </cell>
          <cell r="Q8323" t="str">
            <v/>
          </cell>
          <cell r="S8323" t="str">
            <v/>
          </cell>
          <cell r="V8323" t="str">
            <v/>
          </cell>
          <cell r="Z8323" t="str">
            <v/>
          </cell>
          <cell r="AA8323" t="str">
            <v/>
          </cell>
          <cell r="AB8323" t="str">
            <v/>
          </cell>
          <cell r="AC8323" t="str">
            <v/>
          </cell>
          <cell r="AD8323" t="str">
            <v/>
          </cell>
          <cell r="AY8323" t="str">
            <v/>
          </cell>
          <cell r="AZ8323" t="str">
            <v/>
          </cell>
          <cell r="BA8323" t="str">
            <v/>
          </cell>
        </row>
        <row r="8324">
          <cell r="B8324" t="str">
            <v>-</v>
          </cell>
          <cell r="E8324" t="str">
            <v/>
          </cell>
          <cell r="G8324" t="str">
            <v/>
          </cell>
          <cell r="J8324" t="str">
            <v/>
          </cell>
          <cell r="O8324" t="str">
            <v/>
          </cell>
          <cell r="P8324" t="str">
            <v/>
          </cell>
          <cell r="Q8324" t="str">
            <v/>
          </cell>
          <cell r="S8324" t="str">
            <v/>
          </cell>
          <cell r="V8324" t="str">
            <v/>
          </cell>
          <cell r="Z8324" t="str">
            <v/>
          </cell>
          <cell r="AA8324" t="str">
            <v/>
          </cell>
          <cell r="AB8324" t="str">
            <v/>
          </cell>
          <cell r="AC8324" t="str">
            <v/>
          </cell>
          <cell r="AD8324" t="str">
            <v/>
          </cell>
          <cell r="AY8324" t="str">
            <v/>
          </cell>
          <cell r="AZ8324" t="str">
            <v/>
          </cell>
          <cell r="BA8324" t="str">
            <v/>
          </cell>
        </row>
        <row r="8325">
          <cell r="B8325" t="str">
            <v>-</v>
          </cell>
          <cell r="E8325" t="str">
            <v/>
          </cell>
          <cell r="G8325" t="str">
            <v/>
          </cell>
          <cell r="J8325" t="str">
            <v/>
          </cell>
          <cell r="O8325" t="str">
            <v/>
          </cell>
          <cell r="P8325" t="str">
            <v/>
          </cell>
          <cell r="Q8325" t="str">
            <v/>
          </cell>
          <cell r="S8325" t="str">
            <v/>
          </cell>
          <cell r="V8325" t="str">
            <v/>
          </cell>
          <cell r="Z8325" t="str">
            <v/>
          </cell>
          <cell r="AA8325" t="str">
            <v/>
          </cell>
          <cell r="AB8325" t="str">
            <v/>
          </cell>
          <cell r="AC8325" t="str">
            <v/>
          </cell>
          <cell r="AD8325" t="str">
            <v/>
          </cell>
          <cell r="AY8325" t="str">
            <v/>
          </cell>
          <cell r="AZ8325" t="str">
            <v/>
          </cell>
          <cell r="BA8325" t="str">
            <v/>
          </cell>
        </row>
        <row r="8326">
          <cell r="B8326" t="str">
            <v>-</v>
          </cell>
          <cell r="E8326" t="str">
            <v/>
          </cell>
          <cell r="G8326" t="str">
            <v/>
          </cell>
          <cell r="J8326" t="str">
            <v/>
          </cell>
          <cell r="O8326" t="str">
            <v/>
          </cell>
          <cell r="P8326" t="str">
            <v/>
          </cell>
          <cell r="Q8326" t="str">
            <v/>
          </cell>
          <cell r="S8326" t="str">
            <v/>
          </cell>
          <cell r="V8326" t="str">
            <v/>
          </cell>
          <cell r="Z8326" t="str">
            <v/>
          </cell>
          <cell r="AA8326" t="str">
            <v/>
          </cell>
          <cell r="AB8326" t="str">
            <v/>
          </cell>
          <cell r="AC8326" t="str">
            <v/>
          </cell>
          <cell r="AD8326" t="str">
            <v/>
          </cell>
          <cell r="AY8326" t="str">
            <v/>
          </cell>
          <cell r="AZ8326" t="str">
            <v/>
          </cell>
          <cell r="BA8326" t="str">
            <v/>
          </cell>
        </row>
        <row r="8327">
          <cell r="B8327" t="str">
            <v>-</v>
          </cell>
          <cell r="E8327" t="str">
            <v/>
          </cell>
          <cell r="G8327" t="str">
            <v/>
          </cell>
          <cell r="J8327" t="str">
            <v/>
          </cell>
          <cell r="O8327" t="str">
            <v/>
          </cell>
          <cell r="P8327" t="str">
            <v/>
          </cell>
          <cell r="Q8327" t="str">
            <v/>
          </cell>
          <cell r="S8327" t="str">
            <v/>
          </cell>
          <cell r="V8327" t="str">
            <v/>
          </cell>
          <cell r="Z8327" t="str">
            <v/>
          </cell>
          <cell r="AA8327" t="str">
            <v/>
          </cell>
          <cell r="AB8327" t="str">
            <v/>
          </cell>
          <cell r="AC8327" t="str">
            <v/>
          </cell>
          <cell r="AD8327" t="str">
            <v/>
          </cell>
          <cell r="AY8327" t="str">
            <v/>
          </cell>
          <cell r="AZ8327" t="str">
            <v/>
          </cell>
          <cell r="BA8327" t="str">
            <v/>
          </cell>
        </row>
        <row r="8328">
          <cell r="B8328" t="str">
            <v>-</v>
          </cell>
          <cell r="E8328" t="str">
            <v/>
          </cell>
          <cell r="G8328" t="str">
            <v/>
          </cell>
          <cell r="J8328" t="str">
            <v/>
          </cell>
          <cell r="O8328" t="str">
            <v/>
          </cell>
          <cell r="P8328" t="str">
            <v/>
          </cell>
          <cell r="Q8328" t="str">
            <v/>
          </cell>
          <cell r="S8328" t="str">
            <v/>
          </cell>
          <cell r="V8328" t="str">
            <v/>
          </cell>
          <cell r="Z8328" t="str">
            <v/>
          </cell>
          <cell r="AA8328" t="str">
            <v/>
          </cell>
          <cell r="AB8328" t="str">
            <v/>
          </cell>
          <cell r="AC8328" t="str">
            <v/>
          </cell>
          <cell r="AD8328" t="str">
            <v/>
          </cell>
          <cell r="AY8328" t="str">
            <v/>
          </cell>
          <cell r="AZ8328" t="str">
            <v/>
          </cell>
          <cell r="BA8328" t="str">
            <v/>
          </cell>
        </row>
        <row r="8329">
          <cell r="B8329" t="str">
            <v>-</v>
          </cell>
          <cell r="E8329" t="str">
            <v/>
          </cell>
          <cell r="G8329" t="str">
            <v/>
          </cell>
          <cell r="J8329" t="str">
            <v/>
          </cell>
          <cell r="O8329" t="str">
            <v/>
          </cell>
          <cell r="P8329" t="str">
            <v/>
          </cell>
          <cell r="Q8329" t="str">
            <v/>
          </cell>
          <cell r="S8329" t="str">
            <v/>
          </cell>
          <cell r="V8329" t="str">
            <v/>
          </cell>
          <cell r="Z8329" t="str">
            <v/>
          </cell>
          <cell r="AA8329" t="str">
            <v/>
          </cell>
          <cell r="AB8329" t="str">
            <v/>
          </cell>
          <cell r="AC8329" t="str">
            <v/>
          </cell>
          <cell r="AD8329" t="str">
            <v/>
          </cell>
          <cell r="AY8329" t="str">
            <v/>
          </cell>
          <cell r="AZ8329" t="str">
            <v/>
          </cell>
          <cell r="BA8329" t="str">
            <v/>
          </cell>
        </row>
        <row r="8330">
          <cell r="B8330" t="str">
            <v>-</v>
          </cell>
          <cell r="E8330" t="str">
            <v/>
          </cell>
          <cell r="G8330" t="str">
            <v/>
          </cell>
          <cell r="J8330" t="str">
            <v/>
          </cell>
          <cell r="O8330" t="str">
            <v/>
          </cell>
          <cell r="P8330" t="str">
            <v/>
          </cell>
          <cell r="Q8330" t="str">
            <v/>
          </cell>
          <cell r="S8330" t="str">
            <v/>
          </cell>
          <cell r="V8330" t="str">
            <v/>
          </cell>
          <cell r="Z8330" t="str">
            <v/>
          </cell>
          <cell r="AA8330" t="str">
            <v/>
          </cell>
          <cell r="AB8330" t="str">
            <v/>
          </cell>
          <cell r="AC8330" t="str">
            <v/>
          </cell>
          <cell r="AD8330" t="str">
            <v/>
          </cell>
          <cell r="AY8330" t="str">
            <v/>
          </cell>
          <cell r="AZ8330" t="str">
            <v/>
          </cell>
          <cell r="BA8330" t="str">
            <v/>
          </cell>
        </row>
        <row r="8331">
          <cell r="B8331" t="str">
            <v>-</v>
          </cell>
          <cell r="E8331" t="str">
            <v/>
          </cell>
          <cell r="G8331" t="str">
            <v/>
          </cell>
          <cell r="J8331" t="str">
            <v/>
          </cell>
          <cell r="O8331" t="str">
            <v/>
          </cell>
          <cell r="P8331" t="str">
            <v/>
          </cell>
          <cell r="Q8331" t="str">
            <v/>
          </cell>
          <cell r="S8331" t="str">
            <v/>
          </cell>
          <cell r="V8331" t="str">
            <v/>
          </cell>
          <cell r="Z8331" t="str">
            <v/>
          </cell>
          <cell r="AA8331" t="str">
            <v/>
          </cell>
          <cell r="AB8331" t="str">
            <v/>
          </cell>
          <cell r="AC8331" t="str">
            <v/>
          </cell>
          <cell r="AD8331" t="str">
            <v/>
          </cell>
          <cell r="AY8331" t="str">
            <v/>
          </cell>
          <cell r="AZ8331" t="str">
            <v/>
          </cell>
          <cell r="BA8331" t="str">
            <v/>
          </cell>
        </row>
        <row r="8332">
          <cell r="B8332" t="str">
            <v>-</v>
          </cell>
          <cell r="E8332" t="str">
            <v/>
          </cell>
          <cell r="G8332" t="str">
            <v/>
          </cell>
          <cell r="J8332" t="str">
            <v/>
          </cell>
          <cell r="O8332" t="str">
            <v/>
          </cell>
          <cell r="P8332" t="str">
            <v/>
          </cell>
          <cell r="Q8332" t="str">
            <v/>
          </cell>
          <cell r="S8332" t="str">
            <v/>
          </cell>
          <cell r="V8332" t="str">
            <v/>
          </cell>
          <cell r="Z8332" t="str">
            <v/>
          </cell>
          <cell r="AA8332" t="str">
            <v/>
          </cell>
          <cell r="AB8332" t="str">
            <v/>
          </cell>
          <cell r="AC8332" t="str">
            <v/>
          </cell>
          <cell r="AD8332" t="str">
            <v/>
          </cell>
          <cell r="AY8332" t="str">
            <v/>
          </cell>
          <cell r="AZ8332" t="str">
            <v/>
          </cell>
          <cell r="BA8332" t="str">
            <v/>
          </cell>
        </row>
        <row r="8333">
          <cell r="B8333" t="str">
            <v>-</v>
          </cell>
          <cell r="E8333" t="str">
            <v/>
          </cell>
          <cell r="G8333" t="str">
            <v/>
          </cell>
          <cell r="J8333" t="str">
            <v/>
          </cell>
          <cell r="O8333" t="str">
            <v/>
          </cell>
          <cell r="P8333" t="str">
            <v/>
          </cell>
          <cell r="Q8333" t="str">
            <v/>
          </cell>
          <cell r="S8333" t="str">
            <v/>
          </cell>
          <cell r="V8333" t="str">
            <v/>
          </cell>
          <cell r="Z8333" t="str">
            <v/>
          </cell>
          <cell r="AA8333" t="str">
            <v/>
          </cell>
          <cell r="AB8333" t="str">
            <v/>
          </cell>
          <cell r="AC8333" t="str">
            <v/>
          </cell>
          <cell r="AD8333" t="str">
            <v/>
          </cell>
          <cell r="AY8333" t="str">
            <v/>
          </cell>
          <cell r="AZ8333" t="str">
            <v/>
          </cell>
          <cell r="BA8333" t="str">
            <v/>
          </cell>
        </row>
        <row r="8334">
          <cell r="B8334" t="str">
            <v>-</v>
          </cell>
          <cell r="E8334" t="str">
            <v/>
          </cell>
          <cell r="G8334" t="str">
            <v/>
          </cell>
          <cell r="J8334" t="str">
            <v/>
          </cell>
          <cell r="O8334" t="str">
            <v/>
          </cell>
          <cell r="P8334" t="str">
            <v/>
          </cell>
          <cell r="Q8334" t="str">
            <v/>
          </cell>
          <cell r="S8334" t="str">
            <v/>
          </cell>
          <cell r="V8334" t="str">
            <v/>
          </cell>
          <cell r="Z8334" t="str">
            <v/>
          </cell>
          <cell r="AA8334" t="str">
            <v/>
          </cell>
          <cell r="AB8334" t="str">
            <v/>
          </cell>
          <cell r="AC8334" t="str">
            <v/>
          </cell>
          <cell r="AD8334" t="str">
            <v/>
          </cell>
          <cell r="AY8334" t="str">
            <v/>
          </cell>
          <cell r="AZ8334" t="str">
            <v/>
          </cell>
          <cell r="BA8334" t="str">
            <v/>
          </cell>
        </row>
        <row r="8335">
          <cell r="B8335" t="str">
            <v>-</v>
          </cell>
          <cell r="E8335" t="str">
            <v/>
          </cell>
          <cell r="G8335" t="str">
            <v/>
          </cell>
          <cell r="J8335" t="str">
            <v/>
          </cell>
          <cell r="O8335" t="str">
            <v/>
          </cell>
          <cell r="P8335" t="str">
            <v/>
          </cell>
          <cell r="Q8335" t="str">
            <v/>
          </cell>
          <cell r="S8335" t="str">
            <v/>
          </cell>
          <cell r="V8335" t="str">
            <v/>
          </cell>
          <cell r="Z8335" t="str">
            <v/>
          </cell>
          <cell r="AA8335" t="str">
            <v/>
          </cell>
          <cell r="AB8335" t="str">
            <v/>
          </cell>
          <cell r="AC8335" t="str">
            <v/>
          </cell>
          <cell r="AD8335" t="str">
            <v/>
          </cell>
          <cell r="AY8335" t="str">
            <v/>
          </cell>
          <cell r="AZ8335" t="str">
            <v/>
          </cell>
          <cell r="BA8335" t="str">
            <v/>
          </cell>
        </row>
        <row r="8336">
          <cell r="B8336" t="str">
            <v>-</v>
          </cell>
          <cell r="E8336" t="str">
            <v/>
          </cell>
          <cell r="G8336" t="str">
            <v/>
          </cell>
          <cell r="J8336" t="str">
            <v/>
          </cell>
          <cell r="O8336" t="str">
            <v/>
          </cell>
          <cell r="P8336" t="str">
            <v/>
          </cell>
          <cell r="Q8336" t="str">
            <v/>
          </cell>
          <cell r="S8336" t="str">
            <v/>
          </cell>
          <cell r="V8336" t="str">
            <v/>
          </cell>
          <cell r="Z8336" t="str">
            <v/>
          </cell>
          <cell r="AA8336" t="str">
            <v/>
          </cell>
          <cell r="AB8336" t="str">
            <v/>
          </cell>
          <cell r="AC8336" t="str">
            <v/>
          </cell>
          <cell r="AD8336" t="str">
            <v/>
          </cell>
          <cell r="AY8336" t="str">
            <v/>
          </cell>
          <cell r="AZ8336" t="str">
            <v/>
          </cell>
          <cell r="BA8336" t="str">
            <v/>
          </cell>
        </row>
        <row r="8337">
          <cell r="B8337" t="str">
            <v>-</v>
          </cell>
          <cell r="E8337" t="str">
            <v/>
          </cell>
          <cell r="G8337" t="str">
            <v/>
          </cell>
          <cell r="J8337" t="str">
            <v/>
          </cell>
          <cell r="O8337" t="str">
            <v/>
          </cell>
          <cell r="P8337" t="str">
            <v/>
          </cell>
          <cell r="Q8337" t="str">
            <v/>
          </cell>
          <cell r="S8337" t="str">
            <v/>
          </cell>
          <cell r="V8337" t="str">
            <v/>
          </cell>
          <cell r="Z8337" t="str">
            <v/>
          </cell>
          <cell r="AA8337" t="str">
            <v/>
          </cell>
          <cell r="AB8337" t="str">
            <v/>
          </cell>
          <cell r="AC8337" t="str">
            <v/>
          </cell>
          <cell r="AD8337" t="str">
            <v/>
          </cell>
          <cell r="AY8337" t="str">
            <v/>
          </cell>
          <cell r="AZ8337" t="str">
            <v/>
          </cell>
          <cell r="BA8337" t="str">
            <v/>
          </cell>
        </row>
        <row r="8338">
          <cell r="B8338" t="str">
            <v>-</v>
          </cell>
          <cell r="E8338" t="str">
            <v/>
          </cell>
          <cell r="G8338" t="str">
            <v/>
          </cell>
          <cell r="J8338" t="str">
            <v/>
          </cell>
          <cell r="O8338" t="str">
            <v/>
          </cell>
          <cell r="P8338" t="str">
            <v/>
          </cell>
          <cell r="Q8338" t="str">
            <v/>
          </cell>
          <cell r="S8338" t="str">
            <v/>
          </cell>
          <cell r="V8338" t="str">
            <v/>
          </cell>
          <cell r="Z8338" t="str">
            <v/>
          </cell>
          <cell r="AA8338" t="str">
            <v/>
          </cell>
          <cell r="AB8338" t="str">
            <v/>
          </cell>
          <cell r="AC8338" t="str">
            <v/>
          </cell>
          <cell r="AD8338" t="str">
            <v/>
          </cell>
          <cell r="AY8338" t="str">
            <v/>
          </cell>
          <cell r="AZ8338" t="str">
            <v/>
          </cell>
          <cell r="BA8338" t="str">
            <v/>
          </cell>
        </row>
        <row r="8339">
          <cell r="B8339" t="str">
            <v>-</v>
          </cell>
          <cell r="E8339" t="str">
            <v/>
          </cell>
          <cell r="G8339" t="str">
            <v/>
          </cell>
          <cell r="J8339" t="str">
            <v/>
          </cell>
          <cell r="O8339" t="str">
            <v/>
          </cell>
          <cell r="P8339" t="str">
            <v/>
          </cell>
          <cell r="Q8339" t="str">
            <v/>
          </cell>
          <cell r="S8339" t="str">
            <v/>
          </cell>
          <cell r="V8339" t="str">
            <v/>
          </cell>
          <cell r="Z8339" t="str">
            <v/>
          </cell>
          <cell r="AA8339" t="str">
            <v/>
          </cell>
          <cell r="AB8339" t="str">
            <v/>
          </cell>
          <cell r="AC8339" t="str">
            <v/>
          </cell>
          <cell r="AD8339" t="str">
            <v/>
          </cell>
          <cell r="AY8339" t="str">
            <v/>
          </cell>
          <cell r="AZ8339" t="str">
            <v/>
          </cell>
          <cell r="BA8339" t="str">
            <v/>
          </cell>
        </row>
        <row r="8340">
          <cell r="B8340" t="str">
            <v>-</v>
          </cell>
          <cell r="E8340" t="str">
            <v/>
          </cell>
          <cell r="G8340" t="str">
            <v/>
          </cell>
          <cell r="J8340" t="str">
            <v/>
          </cell>
          <cell r="O8340" t="str">
            <v/>
          </cell>
          <cell r="P8340" t="str">
            <v/>
          </cell>
          <cell r="Q8340" t="str">
            <v/>
          </cell>
          <cell r="S8340" t="str">
            <v/>
          </cell>
          <cell r="V8340" t="str">
            <v/>
          </cell>
          <cell r="Z8340" t="str">
            <v/>
          </cell>
          <cell r="AA8340" t="str">
            <v/>
          </cell>
          <cell r="AB8340" t="str">
            <v/>
          </cell>
          <cell r="AC8340" t="str">
            <v/>
          </cell>
          <cell r="AD8340" t="str">
            <v/>
          </cell>
          <cell r="AY8340" t="str">
            <v/>
          </cell>
          <cell r="AZ8340" t="str">
            <v/>
          </cell>
          <cell r="BA8340" t="str">
            <v/>
          </cell>
        </row>
        <row r="8341">
          <cell r="B8341" t="str">
            <v>-</v>
          </cell>
          <cell r="E8341" t="str">
            <v/>
          </cell>
          <cell r="G8341" t="str">
            <v/>
          </cell>
          <cell r="J8341" t="str">
            <v/>
          </cell>
          <cell r="O8341" t="str">
            <v/>
          </cell>
          <cell r="P8341" t="str">
            <v/>
          </cell>
          <cell r="Q8341" t="str">
            <v/>
          </cell>
          <cell r="S8341" t="str">
            <v/>
          </cell>
          <cell r="V8341" t="str">
            <v/>
          </cell>
          <cell r="Z8341" t="str">
            <v/>
          </cell>
          <cell r="AA8341" t="str">
            <v/>
          </cell>
          <cell r="AB8341" t="str">
            <v/>
          </cell>
          <cell r="AC8341" t="str">
            <v/>
          </cell>
          <cell r="AD8341" t="str">
            <v/>
          </cell>
          <cell r="AY8341" t="str">
            <v/>
          </cell>
          <cell r="AZ8341" t="str">
            <v/>
          </cell>
          <cell r="BA8341" t="str">
            <v/>
          </cell>
        </row>
        <row r="8342">
          <cell r="B8342" t="str">
            <v>-</v>
          </cell>
          <cell r="E8342" t="str">
            <v/>
          </cell>
          <cell r="G8342" t="str">
            <v/>
          </cell>
          <cell r="J8342" t="str">
            <v/>
          </cell>
          <cell r="O8342" t="str">
            <v/>
          </cell>
          <cell r="P8342" t="str">
            <v/>
          </cell>
          <cell r="Q8342" t="str">
            <v/>
          </cell>
          <cell r="S8342" t="str">
            <v/>
          </cell>
          <cell r="V8342" t="str">
            <v/>
          </cell>
          <cell r="Z8342" t="str">
            <v/>
          </cell>
          <cell r="AA8342" t="str">
            <v/>
          </cell>
          <cell r="AB8342" t="str">
            <v/>
          </cell>
          <cell r="AC8342" t="str">
            <v/>
          </cell>
          <cell r="AD8342" t="str">
            <v/>
          </cell>
          <cell r="AY8342" t="str">
            <v/>
          </cell>
          <cell r="AZ8342" t="str">
            <v/>
          </cell>
          <cell r="BA8342" t="str">
            <v/>
          </cell>
        </row>
        <row r="8343">
          <cell r="B8343" t="str">
            <v>-</v>
          </cell>
          <cell r="E8343" t="str">
            <v/>
          </cell>
          <cell r="G8343" t="str">
            <v/>
          </cell>
          <cell r="J8343" t="str">
            <v/>
          </cell>
          <cell r="O8343" t="str">
            <v/>
          </cell>
          <cell r="P8343" t="str">
            <v/>
          </cell>
          <cell r="Q8343" t="str">
            <v/>
          </cell>
          <cell r="S8343" t="str">
            <v/>
          </cell>
          <cell r="V8343" t="str">
            <v/>
          </cell>
          <cell r="Z8343" t="str">
            <v/>
          </cell>
          <cell r="AA8343" t="str">
            <v/>
          </cell>
          <cell r="AB8343" t="str">
            <v/>
          </cell>
          <cell r="AC8343" t="str">
            <v/>
          </cell>
          <cell r="AD8343" t="str">
            <v/>
          </cell>
          <cell r="AY8343" t="str">
            <v/>
          </cell>
          <cell r="AZ8343" t="str">
            <v/>
          </cell>
          <cell r="BA8343" t="str">
            <v/>
          </cell>
        </row>
        <row r="8344">
          <cell r="B8344" t="str">
            <v>-</v>
          </cell>
          <cell r="E8344" t="str">
            <v/>
          </cell>
          <cell r="G8344" t="str">
            <v/>
          </cell>
          <cell r="J8344" t="str">
            <v/>
          </cell>
          <cell r="O8344" t="str">
            <v/>
          </cell>
          <cell r="P8344" t="str">
            <v/>
          </cell>
          <cell r="Q8344" t="str">
            <v/>
          </cell>
          <cell r="S8344" t="str">
            <v/>
          </cell>
          <cell r="V8344" t="str">
            <v/>
          </cell>
          <cell r="Z8344" t="str">
            <v/>
          </cell>
          <cell r="AA8344" t="str">
            <v/>
          </cell>
          <cell r="AB8344" t="str">
            <v/>
          </cell>
          <cell r="AC8344" t="str">
            <v/>
          </cell>
          <cell r="AD8344" t="str">
            <v/>
          </cell>
          <cell r="AY8344" t="str">
            <v/>
          </cell>
          <cell r="AZ8344" t="str">
            <v/>
          </cell>
          <cell r="BA8344" t="str">
            <v/>
          </cell>
        </row>
        <row r="8345">
          <cell r="B8345" t="str">
            <v>-</v>
          </cell>
          <cell r="E8345" t="str">
            <v/>
          </cell>
          <cell r="G8345" t="str">
            <v/>
          </cell>
          <cell r="J8345" t="str">
            <v/>
          </cell>
          <cell r="O8345" t="str">
            <v/>
          </cell>
          <cell r="P8345" t="str">
            <v/>
          </cell>
          <cell r="Q8345" t="str">
            <v/>
          </cell>
          <cell r="S8345" t="str">
            <v/>
          </cell>
          <cell r="V8345" t="str">
            <v/>
          </cell>
          <cell r="Z8345" t="str">
            <v/>
          </cell>
          <cell r="AA8345" t="str">
            <v/>
          </cell>
          <cell r="AB8345" t="str">
            <v/>
          </cell>
          <cell r="AC8345" t="str">
            <v/>
          </cell>
          <cell r="AD8345" t="str">
            <v/>
          </cell>
          <cell r="AY8345" t="str">
            <v/>
          </cell>
          <cell r="AZ8345" t="str">
            <v/>
          </cell>
          <cell r="BA8345" t="str">
            <v/>
          </cell>
        </row>
        <row r="8346">
          <cell r="B8346" t="str">
            <v>-</v>
          </cell>
          <cell r="E8346" t="str">
            <v/>
          </cell>
          <cell r="G8346" t="str">
            <v/>
          </cell>
          <cell r="J8346" t="str">
            <v/>
          </cell>
          <cell r="O8346" t="str">
            <v/>
          </cell>
          <cell r="P8346" t="str">
            <v/>
          </cell>
          <cell r="Q8346" t="str">
            <v/>
          </cell>
          <cell r="S8346" t="str">
            <v/>
          </cell>
          <cell r="V8346" t="str">
            <v/>
          </cell>
          <cell r="Z8346" t="str">
            <v/>
          </cell>
          <cell r="AA8346" t="str">
            <v/>
          </cell>
          <cell r="AB8346" t="str">
            <v/>
          </cell>
          <cell r="AC8346" t="str">
            <v/>
          </cell>
          <cell r="AD8346" t="str">
            <v/>
          </cell>
          <cell r="AY8346" t="str">
            <v/>
          </cell>
          <cell r="AZ8346" t="str">
            <v/>
          </cell>
          <cell r="BA8346" t="str">
            <v/>
          </cell>
        </row>
        <row r="8347">
          <cell r="B8347" t="str">
            <v>-</v>
          </cell>
          <cell r="E8347" t="str">
            <v/>
          </cell>
          <cell r="G8347" t="str">
            <v/>
          </cell>
          <cell r="J8347" t="str">
            <v/>
          </cell>
          <cell r="O8347" t="str">
            <v/>
          </cell>
          <cell r="P8347" t="str">
            <v/>
          </cell>
          <cell r="Q8347" t="str">
            <v/>
          </cell>
          <cell r="S8347" t="str">
            <v/>
          </cell>
          <cell r="V8347" t="str">
            <v/>
          </cell>
          <cell r="Z8347" t="str">
            <v/>
          </cell>
          <cell r="AA8347" t="str">
            <v/>
          </cell>
          <cell r="AB8347" t="str">
            <v/>
          </cell>
          <cell r="AC8347" t="str">
            <v/>
          </cell>
          <cell r="AD8347" t="str">
            <v/>
          </cell>
          <cell r="AY8347" t="str">
            <v/>
          </cell>
          <cell r="AZ8347" t="str">
            <v/>
          </cell>
          <cell r="BA8347" t="str">
            <v/>
          </cell>
        </row>
        <row r="8348">
          <cell r="B8348" t="str">
            <v>-</v>
          </cell>
          <cell r="E8348" t="str">
            <v/>
          </cell>
          <cell r="G8348" t="str">
            <v/>
          </cell>
          <cell r="J8348" t="str">
            <v/>
          </cell>
          <cell r="O8348" t="str">
            <v/>
          </cell>
          <cell r="P8348" t="str">
            <v/>
          </cell>
          <cell r="Q8348" t="str">
            <v/>
          </cell>
          <cell r="S8348" t="str">
            <v/>
          </cell>
          <cell r="V8348" t="str">
            <v/>
          </cell>
          <cell r="Z8348" t="str">
            <v/>
          </cell>
          <cell r="AA8348" t="str">
            <v/>
          </cell>
          <cell r="AB8348" t="str">
            <v/>
          </cell>
          <cell r="AC8348" t="str">
            <v/>
          </cell>
          <cell r="AD8348" t="str">
            <v/>
          </cell>
          <cell r="AY8348" t="str">
            <v/>
          </cell>
          <cell r="AZ8348" t="str">
            <v/>
          </cell>
          <cell r="BA8348" t="str">
            <v/>
          </cell>
        </row>
        <row r="8349">
          <cell r="B8349" t="str">
            <v>-</v>
          </cell>
          <cell r="E8349" t="str">
            <v/>
          </cell>
          <cell r="G8349" t="str">
            <v/>
          </cell>
          <cell r="J8349" t="str">
            <v/>
          </cell>
          <cell r="O8349" t="str">
            <v/>
          </cell>
          <cell r="P8349" t="str">
            <v/>
          </cell>
          <cell r="Q8349" t="str">
            <v/>
          </cell>
          <cell r="S8349" t="str">
            <v/>
          </cell>
          <cell r="V8349" t="str">
            <v/>
          </cell>
          <cell r="Z8349" t="str">
            <v/>
          </cell>
          <cell r="AA8349" t="str">
            <v/>
          </cell>
          <cell r="AB8349" t="str">
            <v/>
          </cell>
          <cell r="AC8349" t="str">
            <v/>
          </cell>
          <cell r="AD8349" t="str">
            <v/>
          </cell>
          <cell r="AY8349" t="str">
            <v/>
          </cell>
          <cell r="AZ8349" t="str">
            <v/>
          </cell>
          <cell r="BA8349" t="str">
            <v/>
          </cell>
        </row>
        <row r="8350">
          <cell r="B8350" t="str">
            <v>-</v>
          </cell>
          <cell r="E8350" t="str">
            <v/>
          </cell>
          <cell r="G8350" t="str">
            <v/>
          </cell>
          <cell r="J8350" t="str">
            <v/>
          </cell>
          <cell r="O8350" t="str">
            <v/>
          </cell>
          <cell r="P8350" t="str">
            <v/>
          </cell>
          <cell r="Q8350" t="str">
            <v/>
          </cell>
          <cell r="S8350" t="str">
            <v/>
          </cell>
          <cell r="V8350" t="str">
            <v/>
          </cell>
          <cell r="Z8350" t="str">
            <v/>
          </cell>
          <cell r="AA8350" t="str">
            <v/>
          </cell>
          <cell r="AB8350" t="str">
            <v/>
          </cell>
          <cell r="AC8350" t="str">
            <v/>
          </cell>
          <cell r="AD8350" t="str">
            <v/>
          </cell>
          <cell r="AY8350" t="str">
            <v/>
          </cell>
          <cell r="AZ8350" t="str">
            <v/>
          </cell>
          <cell r="BA8350" t="str">
            <v/>
          </cell>
        </row>
        <row r="8351">
          <cell r="B8351" t="str">
            <v>-</v>
          </cell>
          <cell r="E8351" t="str">
            <v/>
          </cell>
          <cell r="G8351" t="str">
            <v/>
          </cell>
          <cell r="J8351" t="str">
            <v/>
          </cell>
          <cell r="O8351" t="str">
            <v/>
          </cell>
          <cell r="P8351" t="str">
            <v/>
          </cell>
          <cell r="Q8351" t="str">
            <v/>
          </cell>
          <cell r="S8351" t="str">
            <v/>
          </cell>
          <cell r="V8351" t="str">
            <v/>
          </cell>
          <cell r="Z8351" t="str">
            <v/>
          </cell>
          <cell r="AA8351" t="str">
            <v/>
          </cell>
          <cell r="AB8351" t="str">
            <v/>
          </cell>
          <cell r="AC8351" t="str">
            <v/>
          </cell>
          <cell r="AD8351" t="str">
            <v/>
          </cell>
          <cell r="AY8351" t="str">
            <v/>
          </cell>
          <cell r="AZ8351" t="str">
            <v/>
          </cell>
          <cell r="BA8351" t="str">
            <v/>
          </cell>
        </row>
        <row r="8352">
          <cell r="B8352" t="str">
            <v>-</v>
          </cell>
          <cell r="E8352" t="str">
            <v/>
          </cell>
          <cell r="G8352" t="str">
            <v/>
          </cell>
          <cell r="J8352" t="str">
            <v/>
          </cell>
          <cell r="O8352" t="str">
            <v/>
          </cell>
          <cell r="P8352" t="str">
            <v/>
          </cell>
          <cell r="Q8352" t="str">
            <v/>
          </cell>
          <cell r="S8352" t="str">
            <v/>
          </cell>
          <cell r="V8352" t="str">
            <v/>
          </cell>
          <cell r="Z8352" t="str">
            <v/>
          </cell>
          <cell r="AA8352" t="str">
            <v/>
          </cell>
          <cell r="AB8352" t="str">
            <v/>
          </cell>
          <cell r="AC8352" t="str">
            <v/>
          </cell>
          <cell r="AD8352" t="str">
            <v/>
          </cell>
          <cell r="AY8352" t="str">
            <v/>
          </cell>
          <cell r="AZ8352" t="str">
            <v/>
          </cell>
          <cell r="BA8352" t="str">
            <v/>
          </cell>
        </row>
        <row r="8353">
          <cell r="B8353" t="str">
            <v>-</v>
          </cell>
          <cell r="E8353" t="str">
            <v/>
          </cell>
          <cell r="G8353" t="str">
            <v/>
          </cell>
          <cell r="J8353" t="str">
            <v/>
          </cell>
          <cell r="O8353" t="str">
            <v/>
          </cell>
          <cell r="P8353" t="str">
            <v/>
          </cell>
          <cell r="Q8353" t="str">
            <v/>
          </cell>
          <cell r="S8353" t="str">
            <v/>
          </cell>
          <cell r="V8353" t="str">
            <v/>
          </cell>
          <cell r="Z8353" t="str">
            <v/>
          </cell>
          <cell r="AA8353" t="str">
            <v/>
          </cell>
          <cell r="AB8353" t="str">
            <v/>
          </cell>
          <cell r="AC8353" t="str">
            <v/>
          </cell>
          <cell r="AD8353" t="str">
            <v/>
          </cell>
          <cell r="AY8353" t="str">
            <v/>
          </cell>
          <cell r="AZ8353" t="str">
            <v/>
          </cell>
          <cell r="BA8353" t="str">
            <v/>
          </cell>
        </row>
        <row r="8354">
          <cell r="B8354" t="str">
            <v>-</v>
          </cell>
          <cell r="E8354" t="str">
            <v/>
          </cell>
          <cell r="G8354" t="str">
            <v/>
          </cell>
          <cell r="J8354" t="str">
            <v/>
          </cell>
          <cell r="O8354" t="str">
            <v/>
          </cell>
          <cell r="P8354" t="str">
            <v/>
          </cell>
          <cell r="Q8354" t="str">
            <v/>
          </cell>
          <cell r="S8354" t="str">
            <v/>
          </cell>
          <cell r="V8354" t="str">
            <v/>
          </cell>
          <cell r="Z8354" t="str">
            <v/>
          </cell>
          <cell r="AA8354" t="str">
            <v/>
          </cell>
          <cell r="AB8354" t="str">
            <v/>
          </cell>
          <cell r="AC8354" t="str">
            <v/>
          </cell>
          <cell r="AD8354" t="str">
            <v/>
          </cell>
          <cell r="AY8354" t="str">
            <v/>
          </cell>
          <cell r="AZ8354" t="str">
            <v/>
          </cell>
          <cell r="BA8354" t="str">
            <v/>
          </cell>
        </row>
        <row r="8355">
          <cell r="B8355" t="str">
            <v>-</v>
          </cell>
          <cell r="E8355" t="str">
            <v/>
          </cell>
          <cell r="G8355" t="str">
            <v/>
          </cell>
          <cell r="J8355" t="str">
            <v/>
          </cell>
          <cell r="O8355" t="str">
            <v/>
          </cell>
          <cell r="P8355" t="str">
            <v/>
          </cell>
          <cell r="Q8355" t="str">
            <v/>
          </cell>
          <cell r="S8355" t="str">
            <v/>
          </cell>
          <cell r="V8355" t="str">
            <v/>
          </cell>
          <cell r="Z8355" t="str">
            <v/>
          </cell>
          <cell r="AA8355" t="str">
            <v/>
          </cell>
          <cell r="AB8355" t="str">
            <v/>
          </cell>
          <cell r="AC8355" t="str">
            <v/>
          </cell>
          <cell r="AD8355" t="str">
            <v/>
          </cell>
          <cell r="AY8355" t="str">
            <v/>
          </cell>
          <cell r="AZ8355" t="str">
            <v/>
          </cell>
          <cell r="BA8355" t="str">
            <v/>
          </cell>
        </row>
        <row r="8356">
          <cell r="B8356" t="str">
            <v>-</v>
          </cell>
          <cell r="E8356" t="str">
            <v/>
          </cell>
          <cell r="G8356" t="str">
            <v/>
          </cell>
          <cell r="J8356" t="str">
            <v/>
          </cell>
          <cell r="O8356" t="str">
            <v/>
          </cell>
          <cell r="P8356" t="str">
            <v/>
          </cell>
          <cell r="Q8356" t="str">
            <v/>
          </cell>
          <cell r="S8356" t="str">
            <v/>
          </cell>
          <cell r="V8356" t="str">
            <v/>
          </cell>
          <cell r="Z8356" t="str">
            <v/>
          </cell>
          <cell r="AA8356" t="str">
            <v/>
          </cell>
          <cell r="AB8356" t="str">
            <v/>
          </cell>
          <cell r="AC8356" t="str">
            <v/>
          </cell>
          <cell r="AD8356" t="str">
            <v/>
          </cell>
          <cell r="AY8356" t="str">
            <v/>
          </cell>
          <cell r="AZ8356" t="str">
            <v/>
          </cell>
          <cell r="BA8356" t="str">
            <v/>
          </cell>
        </row>
        <row r="8357">
          <cell r="B8357" t="str">
            <v>-</v>
          </cell>
          <cell r="E8357" t="str">
            <v/>
          </cell>
          <cell r="G8357" t="str">
            <v/>
          </cell>
          <cell r="J8357" t="str">
            <v/>
          </cell>
          <cell r="O8357" t="str">
            <v/>
          </cell>
          <cell r="P8357" t="str">
            <v/>
          </cell>
          <cell r="Q8357" t="str">
            <v/>
          </cell>
          <cell r="S8357" t="str">
            <v/>
          </cell>
          <cell r="V8357" t="str">
            <v/>
          </cell>
          <cell r="Z8357" t="str">
            <v/>
          </cell>
          <cell r="AA8357" t="str">
            <v/>
          </cell>
          <cell r="AB8357" t="str">
            <v/>
          </cell>
          <cell r="AC8357" t="str">
            <v/>
          </cell>
          <cell r="AD8357" t="str">
            <v/>
          </cell>
          <cell r="AY8357" t="str">
            <v/>
          </cell>
          <cell r="AZ8357" t="str">
            <v/>
          </cell>
          <cell r="BA8357" t="str">
            <v/>
          </cell>
        </row>
        <row r="8358">
          <cell r="B8358" t="str">
            <v>-</v>
          </cell>
          <cell r="E8358" t="str">
            <v/>
          </cell>
          <cell r="G8358" t="str">
            <v/>
          </cell>
          <cell r="J8358" t="str">
            <v/>
          </cell>
          <cell r="O8358" t="str">
            <v/>
          </cell>
          <cell r="P8358" t="str">
            <v/>
          </cell>
          <cell r="Q8358" t="str">
            <v/>
          </cell>
          <cell r="S8358" t="str">
            <v/>
          </cell>
          <cell r="V8358" t="str">
            <v/>
          </cell>
          <cell r="Z8358" t="str">
            <v/>
          </cell>
          <cell r="AA8358" t="str">
            <v/>
          </cell>
          <cell r="AB8358" t="str">
            <v/>
          </cell>
          <cell r="AC8358" t="str">
            <v/>
          </cell>
          <cell r="AD8358" t="str">
            <v/>
          </cell>
          <cell r="AY8358" t="str">
            <v/>
          </cell>
          <cell r="AZ8358" t="str">
            <v/>
          </cell>
          <cell r="BA8358" t="str">
            <v/>
          </cell>
        </row>
        <row r="8359">
          <cell r="B8359" t="str">
            <v>-</v>
          </cell>
          <cell r="E8359" t="str">
            <v/>
          </cell>
          <cell r="G8359" t="str">
            <v/>
          </cell>
          <cell r="J8359" t="str">
            <v/>
          </cell>
          <cell r="O8359" t="str">
            <v/>
          </cell>
          <cell r="P8359" t="str">
            <v/>
          </cell>
          <cell r="Q8359" t="str">
            <v/>
          </cell>
          <cell r="S8359" t="str">
            <v/>
          </cell>
          <cell r="V8359" t="str">
            <v/>
          </cell>
          <cell r="Z8359" t="str">
            <v/>
          </cell>
          <cell r="AA8359" t="str">
            <v/>
          </cell>
          <cell r="AB8359" t="str">
            <v/>
          </cell>
          <cell r="AC8359" t="str">
            <v/>
          </cell>
          <cell r="AD8359" t="str">
            <v/>
          </cell>
          <cell r="AY8359" t="str">
            <v/>
          </cell>
          <cell r="AZ8359" t="str">
            <v/>
          </cell>
          <cell r="BA8359" t="str">
            <v/>
          </cell>
        </row>
        <row r="8360">
          <cell r="B8360" t="str">
            <v>-</v>
          </cell>
          <cell r="E8360" t="str">
            <v/>
          </cell>
          <cell r="G8360" t="str">
            <v/>
          </cell>
          <cell r="J8360" t="str">
            <v/>
          </cell>
          <cell r="O8360" t="str">
            <v/>
          </cell>
          <cell r="P8360" t="str">
            <v/>
          </cell>
          <cell r="Q8360" t="str">
            <v/>
          </cell>
          <cell r="S8360" t="str">
            <v/>
          </cell>
          <cell r="V8360" t="str">
            <v/>
          </cell>
          <cell r="Z8360" t="str">
            <v/>
          </cell>
          <cell r="AA8360" t="str">
            <v/>
          </cell>
          <cell r="AB8360" t="str">
            <v/>
          </cell>
          <cell r="AC8360" t="str">
            <v/>
          </cell>
          <cell r="AD8360" t="str">
            <v/>
          </cell>
          <cell r="AY8360" t="str">
            <v/>
          </cell>
          <cell r="AZ8360" t="str">
            <v/>
          </cell>
          <cell r="BA8360" t="str">
            <v/>
          </cell>
        </row>
        <row r="8361">
          <cell r="B8361" t="str">
            <v>-</v>
          </cell>
          <cell r="E8361" t="str">
            <v/>
          </cell>
          <cell r="G8361" t="str">
            <v/>
          </cell>
          <cell r="J8361" t="str">
            <v/>
          </cell>
          <cell r="O8361" t="str">
            <v/>
          </cell>
          <cell r="P8361" t="str">
            <v/>
          </cell>
          <cell r="Q8361" t="str">
            <v/>
          </cell>
          <cell r="S8361" t="str">
            <v/>
          </cell>
          <cell r="V8361" t="str">
            <v/>
          </cell>
          <cell r="Z8361" t="str">
            <v/>
          </cell>
          <cell r="AA8361" t="str">
            <v/>
          </cell>
          <cell r="AB8361" t="str">
            <v/>
          </cell>
          <cell r="AC8361" t="str">
            <v/>
          </cell>
          <cell r="AD8361" t="str">
            <v/>
          </cell>
          <cell r="AY8361" t="str">
            <v/>
          </cell>
          <cell r="AZ8361" t="str">
            <v/>
          </cell>
          <cell r="BA8361" t="str">
            <v/>
          </cell>
        </row>
        <row r="8362">
          <cell r="B8362" t="str">
            <v>-</v>
          </cell>
          <cell r="E8362" t="str">
            <v/>
          </cell>
          <cell r="G8362" t="str">
            <v/>
          </cell>
          <cell r="J8362" t="str">
            <v/>
          </cell>
          <cell r="O8362" t="str">
            <v/>
          </cell>
          <cell r="P8362" t="str">
            <v/>
          </cell>
          <cell r="Q8362" t="str">
            <v/>
          </cell>
          <cell r="S8362" t="str">
            <v/>
          </cell>
          <cell r="V8362" t="str">
            <v/>
          </cell>
          <cell r="Z8362" t="str">
            <v/>
          </cell>
          <cell r="AA8362" t="str">
            <v/>
          </cell>
          <cell r="AB8362" t="str">
            <v/>
          </cell>
          <cell r="AC8362" t="str">
            <v/>
          </cell>
          <cell r="AD8362" t="str">
            <v/>
          </cell>
          <cell r="AY8362" t="str">
            <v/>
          </cell>
          <cell r="AZ8362" t="str">
            <v/>
          </cell>
          <cell r="BA8362" t="str">
            <v/>
          </cell>
        </row>
        <row r="8363">
          <cell r="B8363" t="str">
            <v>-</v>
          </cell>
          <cell r="E8363" t="str">
            <v/>
          </cell>
          <cell r="G8363" t="str">
            <v/>
          </cell>
          <cell r="J8363" t="str">
            <v/>
          </cell>
          <cell r="O8363" t="str">
            <v/>
          </cell>
          <cell r="P8363" t="str">
            <v/>
          </cell>
          <cell r="Q8363" t="str">
            <v/>
          </cell>
          <cell r="S8363" t="str">
            <v/>
          </cell>
          <cell r="V8363" t="str">
            <v/>
          </cell>
          <cell r="Z8363" t="str">
            <v/>
          </cell>
          <cell r="AA8363" t="str">
            <v/>
          </cell>
          <cell r="AB8363" t="str">
            <v/>
          </cell>
          <cell r="AC8363" t="str">
            <v/>
          </cell>
          <cell r="AD8363" t="str">
            <v/>
          </cell>
          <cell r="AY8363" t="str">
            <v/>
          </cell>
          <cell r="AZ8363" t="str">
            <v/>
          </cell>
          <cell r="BA8363" t="str">
            <v/>
          </cell>
        </row>
        <row r="8364">
          <cell r="B8364" t="str">
            <v>-</v>
          </cell>
          <cell r="E8364" t="str">
            <v/>
          </cell>
          <cell r="G8364" t="str">
            <v/>
          </cell>
          <cell r="J8364" t="str">
            <v/>
          </cell>
          <cell r="O8364" t="str">
            <v/>
          </cell>
          <cell r="P8364" t="str">
            <v/>
          </cell>
          <cell r="Q8364" t="str">
            <v/>
          </cell>
          <cell r="S8364" t="str">
            <v/>
          </cell>
          <cell r="V8364" t="str">
            <v/>
          </cell>
          <cell r="Z8364" t="str">
            <v/>
          </cell>
          <cell r="AA8364" t="str">
            <v/>
          </cell>
          <cell r="AB8364" t="str">
            <v/>
          </cell>
          <cell r="AC8364" t="str">
            <v/>
          </cell>
          <cell r="AD8364" t="str">
            <v/>
          </cell>
          <cell r="AY8364" t="str">
            <v/>
          </cell>
          <cell r="AZ8364" t="str">
            <v/>
          </cell>
          <cell r="BA8364" t="str">
            <v/>
          </cell>
        </row>
        <row r="8365">
          <cell r="B8365" t="str">
            <v>-</v>
          </cell>
          <cell r="E8365" t="str">
            <v/>
          </cell>
          <cell r="G8365" t="str">
            <v/>
          </cell>
          <cell r="J8365" t="str">
            <v/>
          </cell>
          <cell r="O8365" t="str">
            <v/>
          </cell>
          <cell r="P8365" t="str">
            <v/>
          </cell>
          <cell r="Q8365" t="str">
            <v/>
          </cell>
          <cell r="S8365" t="str">
            <v/>
          </cell>
          <cell r="V8365" t="str">
            <v/>
          </cell>
          <cell r="Z8365" t="str">
            <v/>
          </cell>
          <cell r="AA8365" t="str">
            <v/>
          </cell>
          <cell r="AB8365" t="str">
            <v/>
          </cell>
          <cell r="AC8365" t="str">
            <v/>
          </cell>
          <cell r="AD8365" t="str">
            <v/>
          </cell>
          <cell r="AY8365" t="str">
            <v/>
          </cell>
          <cell r="AZ8365" t="str">
            <v/>
          </cell>
          <cell r="BA8365" t="str">
            <v/>
          </cell>
        </row>
        <row r="8366">
          <cell r="B8366" t="str">
            <v>-</v>
          </cell>
          <cell r="E8366" t="str">
            <v/>
          </cell>
          <cell r="G8366" t="str">
            <v/>
          </cell>
          <cell r="J8366" t="str">
            <v/>
          </cell>
          <cell r="O8366" t="str">
            <v/>
          </cell>
          <cell r="P8366" t="str">
            <v/>
          </cell>
          <cell r="Q8366" t="str">
            <v/>
          </cell>
          <cell r="S8366" t="str">
            <v/>
          </cell>
          <cell r="V8366" t="str">
            <v/>
          </cell>
          <cell r="Z8366" t="str">
            <v/>
          </cell>
          <cell r="AA8366" t="str">
            <v/>
          </cell>
          <cell r="AB8366" t="str">
            <v/>
          </cell>
          <cell r="AC8366" t="str">
            <v/>
          </cell>
          <cell r="AD8366" t="str">
            <v/>
          </cell>
          <cell r="AY8366" t="str">
            <v/>
          </cell>
          <cell r="AZ8366" t="str">
            <v/>
          </cell>
          <cell r="BA8366" t="str">
            <v/>
          </cell>
        </row>
        <row r="8367">
          <cell r="B8367" t="str">
            <v>-</v>
          </cell>
          <cell r="E8367" t="str">
            <v/>
          </cell>
          <cell r="G8367" t="str">
            <v/>
          </cell>
          <cell r="J8367" t="str">
            <v/>
          </cell>
          <cell r="O8367" t="str">
            <v/>
          </cell>
          <cell r="P8367" t="str">
            <v/>
          </cell>
          <cell r="Q8367" t="str">
            <v/>
          </cell>
          <cell r="S8367" t="str">
            <v/>
          </cell>
          <cell r="V8367" t="str">
            <v/>
          </cell>
          <cell r="Z8367" t="str">
            <v/>
          </cell>
          <cell r="AA8367" t="str">
            <v/>
          </cell>
          <cell r="AB8367" t="str">
            <v/>
          </cell>
          <cell r="AC8367" t="str">
            <v/>
          </cell>
          <cell r="AD8367" t="str">
            <v/>
          </cell>
          <cell r="AY8367" t="str">
            <v/>
          </cell>
          <cell r="AZ8367" t="str">
            <v/>
          </cell>
          <cell r="BA8367" t="str">
            <v/>
          </cell>
        </row>
        <row r="8368">
          <cell r="B8368" t="str">
            <v>-</v>
          </cell>
          <cell r="E8368" t="str">
            <v/>
          </cell>
          <cell r="G8368" t="str">
            <v/>
          </cell>
          <cell r="J8368" t="str">
            <v/>
          </cell>
          <cell r="O8368" t="str">
            <v/>
          </cell>
          <cell r="P8368" t="str">
            <v/>
          </cell>
          <cell r="Q8368" t="str">
            <v/>
          </cell>
          <cell r="S8368" t="str">
            <v/>
          </cell>
          <cell r="V8368" t="str">
            <v/>
          </cell>
          <cell r="Z8368" t="str">
            <v/>
          </cell>
          <cell r="AA8368" t="str">
            <v/>
          </cell>
          <cell r="AB8368" t="str">
            <v/>
          </cell>
          <cell r="AC8368" t="str">
            <v/>
          </cell>
          <cell r="AD8368" t="str">
            <v/>
          </cell>
          <cell r="AY8368" t="str">
            <v/>
          </cell>
          <cell r="AZ8368" t="str">
            <v/>
          </cell>
          <cell r="BA8368" t="str">
            <v/>
          </cell>
        </row>
        <row r="8369">
          <cell r="B8369" t="str">
            <v>-</v>
          </cell>
          <cell r="E8369" t="str">
            <v/>
          </cell>
          <cell r="G8369" t="str">
            <v/>
          </cell>
          <cell r="J8369" t="str">
            <v/>
          </cell>
          <cell r="O8369" t="str">
            <v/>
          </cell>
          <cell r="P8369" t="str">
            <v/>
          </cell>
          <cell r="Q8369" t="str">
            <v/>
          </cell>
          <cell r="S8369" t="str">
            <v/>
          </cell>
          <cell r="V8369" t="str">
            <v/>
          </cell>
          <cell r="Z8369" t="str">
            <v/>
          </cell>
          <cell r="AA8369" t="str">
            <v/>
          </cell>
          <cell r="AB8369" t="str">
            <v/>
          </cell>
          <cell r="AC8369" t="str">
            <v/>
          </cell>
          <cell r="AD8369" t="str">
            <v/>
          </cell>
          <cell r="AY8369" t="str">
            <v/>
          </cell>
          <cell r="AZ8369" t="str">
            <v/>
          </cell>
          <cell r="BA8369" t="str">
            <v/>
          </cell>
        </row>
        <row r="8370">
          <cell r="B8370" t="str">
            <v>-</v>
          </cell>
          <cell r="E8370" t="str">
            <v/>
          </cell>
          <cell r="G8370" t="str">
            <v/>
          </cell>
          <cell r="J8370" t="str">
            <v/>
          </cell>
          <cell r="O8370" t="str">
            <v/>
          </cell>
          <cell r="P8370" t="str">
            <v/>
          </cell>
          <cell r="Q8370" t="str">
            <v/>
          </cell>
          <cell r="S8370" t="str">
            <v/>
          </cell>
          <cell r="V8370" t="str">
            <v/>
          </cell>
          <cell r="Z8370" t="str">
            <v/>
          </cell>
          <cell r="AA8370" t="str">
            <v/>
          </cell>
          <cell r="AB8370" t="str">
            <v/>
          </cell>
          <cell r="AC8370" t="str">
            <v/>
          </cell>
          <cell r="AD8370" t="str">
            <v/>
          </cell>
          <cell r="AY8370" t="str">
            <v/>
          </cell>
          <cell r="AZ8370" t="str">
            <v/>
          </cell>
          <cell r="BA8370" t="str">
            <v/>
          </cell>
        </row>
        <row r="8371">
          <cell r="B8371" t="str">
            <v>-</v>
          </cell>
          <cell r="E8371" t="str">
            <v/>
          </cell>
          <cell r="G8371" t="str">
            <v/>
          </cell>
          <cell r="J8371" t="str">
            <v/>
          </cell>
          <cell r="O8371" t="str">
            <v/>
          </cell>
          <cell r="P8371" t="str">
            <v/>
          </cell>
          <cell r="Q8371" t="str">
            <v/>
          </cell>
          <cell r="S8371" t="str">
            <v/>
          </cell>
          <cell r="V8371" t="str">
            <v/>
          </cell>
          <cell r="Z8371" t="str">
            <v/>
          </cell>
          <cell r="AA8371" t="str">
            <v/>
          </cell>
          <cell r="AB8371" t="str">
            <v/>
          </cell>
          <cell r="AC8371" t="str">
            <v/>
          </cell>
          <cell r="AD8371" t="str">
            <v/>
          </cell>
          <cell r="AY8371" t="str">
            <v/>
          </cell>
          <cell r="AZ8371" t="str">
            <v/>
          </cell>
          <cell r="BA8371" t="str">
            <v/>
          </cell>
        </row>
        <row r="8372">
          <cell r="B8372" t="str">
            <v>-</v>
          </cell>
          <cell r="E8372" t="str">
            <v/>
          </cell>
          <cell r="G8372" t="str">
            <v/>
          </cell>
          <cell r="J8372" t="str">
            <v/>
          </cell>
          <cell r="O8372" t="str">
            <v/>
          </cell>
          <cell r="P8372" t="str">
            <v/>
          </cell>
          <cell r="Q8372" t="str">
            <v/>
          </cell>
          <cell r="S8372" t="str">
            <v/>
          </cell>
          <cell r="V8372" t="str">
            <v/>
          </cell>
          <cell r="Z8372" t="str">
            <v/>
          </cell>
          <cell r="AA8372" t="str">
            <v/>
          </cell>
          <cell r="AB8372" t="str">
            <v/>
          </cell>
          <cell r="AC8372" t="str">
            <v/>
          </cell>
          <cell r="AD8372" t="str">
            <v/>
          </cell>
          <cell r="AY8372" t="str">
            <v/>
          </cell>
          <cell r="AZ8372" t="str">
            <v/>
          </cell>
          <cell r="BA8372" t="str">
            <v/>
          </cell>
        </row>
        <row r="8373">
          <cell r="B8373" t="str">
            <v>-</v>
          </cell>
          <cell r="E8373" t="str">
            <v/>
          </cell>
          <cell r="G8373" t="str">
            <v/>
          </cell>
          <cell r="J8373" t="str">
            <v/>
          </cell>
          <cell r="O8373" t="str">
            <v/>
          </cell>
          <cell r="P8373" t="str">
            <v/>
          </cell>
          <cell r="Q8373" t="str">
            <v/>
          </cell>
          <cell r="S8373" t="str">
            <v/>
          </cell>
          <cell r="V8373" t="str">
            <v/>
          </cell>
          <cell r="Z8373" t="str">
            <v/>
          </cell>
          <cell r="AA8373" t="str">
            <v/>
          </cell>
          <cell r="AB8373" t="str">
            <v/>
          </cell>
          <cell r="AC8373" t="str">
            <v/>
          </cell>
          <cell r="AD8373" t="str">
            <v/>
          </cell>
          <cell r="AY8373" t="str">
            <v/>
          </cell>
          <cell r="AZ8373" t="str">
            <v/>
          </cell>
          <cell r="BA8373" t="str">
            <v/>
          </cell>
        </row>
        <row r="8374">
          <cell r="B8374" t="str">
            <v>-</v>
          </cell>
          <cell r="E8374" t="str">
            <v/>
          </cell>
          <cell r="G8374" t="str">
            <v/>
          </cell>
          <cell r="J8374" t="str">
            <v/>
          </cell>
          <cell r="O8374" t="str">
            <v/>
          </cell>
          <cell r="P8374" t="str">
            <v/>
          </cell>
          <cell r="Q8374" t="str">
            <v/>
          </cell>
          <cell r="S8374" t="str">
            <v/>
          </cell>
          <cell r="V8374" t="str">
            <v/>
          </cell>
          <cell r="Z8374" t="str">
            <v/>
          </cell>
          <cell r="AA8374" t="str">
            <v/>
          </cell>
          <cell r="AB8374" t="str">
            <v/>
          </cell>
          <cell r="AC8374" t="str">
            <v/>
          </cell>
          <cell r="AD8374" t="str">
            <v/>
          </cell>
          <cell r="AY8374" t="str">
            <v/>
          </cell>
          <cell r="AZ8374" t="str">
            <v/>
          </cell>
          <cell r="BA8374" t="str">
            <v/>
          </cell>
        </row>
        <row r="8375">
          <cell r="B8375" t="str">
            <v>-</v>
          </cell>
          <cell r="E8375" t="str">
            <v/>
          </cell>
          <cell r="G8375" t="str">
            <v/>
          </cell>
          <cell r="J8375" t="str">
            <v/>
          </cell>
          <cell r="O8375" t="str">
            <v/>
          </cell>
          <cell r="P8375" t="str">
            <v/>
          </cell>
          <cell r="Q8375" t="str">
            <v/>
          </cell>
          <cell r="S8375" t="str">
            <v/>
          </cell>
          <cell r="V8375" t="str">
            <v/>
          </cell>
          <cell r="Z8375" t="str">
            <v/>
          </cell>
          <cell r="AA8375" t="str">
            <v/>
          </cell>
          <cell r="AB8375" t="str">
            <v/>
          </cell>
          <cell r="AC8375" t="str">
            <v/>
          </cell>
          <cell r="AD8375" t="str">
            <v/>
          </cell>
          <cell r="AY8375" t="str">
            <v/>
          </cell>
          <cell r="AZ8375" t="str">
            <v/>
          </cell>
          <cell r="BA8375" t="str">
            <v/>
          </cell>
        </row>
        <row r="8376">
          <cell r="B8376" t="str">
            <v>-</v>
          </cell>
          <cell r="E8376" t="str">
            <v/>
          </cell>
          <cell r="G8376" t="str">
            <v/>
          </cell>
          <cell r="J8376" t="str">
            <v/>
          </cell>
          <cell r="O8376" t="str">
            <v/>
          </cell>
          <cell r="P8376" t="str">
            <v/>
          </cell>
          <cell r="Q8376" t="str">
            <v/>
          </cell>
          <cell r="S8376" t="str">
            <v/>
          </cell>
          <cell r="V8376" t="str">
            <v/>
          </cell>
          <cell r="Z8376" t="str">
            <v/>
          </cell>
          <cell r="AA8376" t="str">
            <v/>
          </cell>
          <cell r="AB8376" t="str">
            <v/>
          </cell>
          <cell r="AC8376" t="str">
            <v/>
          </cell>
          <cell r="AD8376" t="str">
            <v/>
          </cell>
          <cell r="AY8376" t="str">
            <v/>
          </cell>
          <cell r="AZ8376" t="str">
            <v/>
          </cell>
          <cell r="BA8376" t="str">
            <v/>
          </cell>
        </row>
        <row r="8377">
          <cell r="B8377" t="str">
            <v>-</v>
          </cell>
          <cell r="E8377" t="str">
            <v/>
          </cell>
          <cell r="G8377" t="str">
            <v/>
          </cell>
          <cell r="J8377" t="str">
            <v/>
          </cell>
          <cell r="O8377" t="str">
            <v/>
          </cell>
          <cell r="P8377" t="str">
            <v/>
          </cell>
          <cell r="Q8377" t="str">
            <v/>
          </cell>
          <cell r="S8377" t="str">
            <v/>
          </cell>
          <cell r="V8377" t="str">
            <v/>
          </cell>
          <cell r="Z8377" t="str">
            <v/>
          </cell>
          <cell r="AA8377" t="str">
            <v/>
          </cell>
          <cell r="AB8377" t="str">
            <v/>
          </cell>
          <cell r="AC8377" t="str">
            <v/>
          </cell>
          <cell r="AD8377" t="str">
            <v/>
          </cell>
          <cell r="AY8377" t="str">
            <v/>
          </cell>
          <cell r="AZ8377" t="str">
            <v/>
          </cell>
          <cell r="BA8377" t="str">
            <v/>
          </cell>
        </row>
        <row r="8378">
          <cell r="B8378" t="str">
            <v>-</v>
          </cell>
          <cell r="E8378" t="str">
            <v/>
          </cell>
          <cell r="G8378" t="str">
            <v/>
          </cell>
          <cell r="J8378" t="str">
            <v/>
          </cell>
          <cell r="O8378" t="str">
            <v/>
          </cell>
          <cell r="P8378" t="str">
            <v/>
          </cell>
          <cell r="Q8378" t="str">
            <v/>
          </cell>
          <cell r="S8378" t="str">
            <v/>
          </cell>
          <cell r="V8378" t="str">
            <v/>
          </cell>
          <cell r="Z8378" t="str">
            <v/>
          </cell>
          <cell r="AA8378" t="str">
            <v/>
          </cell>
          <cell r="AB8378" t="str">
            <v/>
          </cell>
          <cell r="AC8378" t="str">
            <v/>
          </cell>
          <cell r="AD8378" t="str">
            <v/>
          </cell>
          <cell r="AY8378" t="str">
            <v/>
          </cell>
          <cell r="AZ8378" t="str">
            <v/>
          </cell>
          <cell r="BA8378" t="str">
            <v/>
          </cell>
        </row>
        <row r="8379">
          <cell r="B8379" t="str">
            <v>-</v>
          </cell>
          <cell r="E8379" t="str">
            <v/>
          </cell>
          <cell r="G8379" t="str">
            <v/>
          </cell>
          <cell r="J8379" t="str">
            <v/>
          </cell>
          <cell r="O8379" t="str">
            <v/>
          </cell>
          <cell r="P8379" t="str">
            <v/>
          </cell>
          <cell r="Q8379" t="str">
            <v/>
          </cell>
          <cell r="S8379" t="str">
            <v/>
          </cell>
          <cell r="V8379" t="str">
            <v/>
          </cell>
          <cell r="Z8379" t="str">
            <v/>
          </cell>
          <cell r="AA8379" t="str">
            <v/>
          </cell>
          <cell r="AB8379" t="str">
            <v/>
          </cell>
          <cell r="AC8379" t="str">
            <v/>
          </cell>
          <cell r="AD8379" t="str">
            <v/>
          </cell>
          <cell r="AY8379" t="str">
            <v/>
          </cell>
          <cell r="AZ8379" t="str">
            <v/>
          </cell>
          <cell r="BA8379" t="str">
            <v/>
          </cell>
        </row>
        <row r="8380">
          <cell r="B8380" t="str">
            <v>-</v>
          </cell>
          <cell r="E8380" t="str">
            <v/>
          </cell>
          <cell r="G8380" t="str">
            <v/>
          </cell>
          <cell r="J8380" t="str">
            <v/>
          </cell>
          <cell r="O8380" t="str">
            <v/>
          </cell>
          <cell r="P8380" t="str">
            <v/>
          </cell>
          <cell r="Q8380" t="str">
            <v/>
          </cell>
          <cell r="S8380" t="str">
            <v/>
          </cell>
          <cell r="V8380" t="str">
            <v/>
          </cell>
          <cell r="Z8380" t="str">
            <v/>
          </cell>
          <cell r="AA8380" t="str">
            <v/>
          </cell>
          <cell r="AB8380" t="str">
            <v/>
          </cell>
          <cell r="AC8380" t="str">
            <v/>
          </cell>
          <cell r="AD8380" t="str">
            <v/>
          </cell>
          <cell r="AY8380" t="str">
            <v/>
          </cell>
          <cell r="AZ8380" t="str">
            <v/>
          </cell>
          <cell r="BA8380" t="str">
            <v/>
          </cell>
        </row>
        <row r="8381">
          <cell r="B8381" t="str">
            <v>-</v>
          </cell>
          <cell r="E8381" t="str">
            <v/>
          </cell>
          <cell r="G8381" t="str">
            <v/>
          </cell>
          <cell r="J8381" t="str">
            <v/>
          </cell>
          <cell r="O8381" t="str">
            <v/>
          </cell>
          <cell r="P8381" t="str">
            <v/>
          </cell>
          <cell r="Q8381" t="str">
            <v/>
          </cell>
          <cell r="S8381" t="str">
            <v/>
          </cell>
          <cell r="V8381" t="str">
            <v/>
          </cell>
          <cell r="Z8381" t="str">
            <v/>
          </cell>
          <cell r="AA8381" t="str">
            <v/>
          </cell>
          <cell r="AB8381" t="str">
            <v/>
          </cell>
          <cell r="AC8381" t="str">
            <v/>
          </cell>
          <cell r="AD8381" t="str">
            <v/>
          </cell>
          <cell r="AY8381" t="str">
            <v/>
          </cell>
          <cell r="AZ8381" t="str">
            <v/>
          </cell>
          <cell r="BA8381" t="str">
            <v/>
          </cell>
        </row>
        <row r="8382">
          <cell r="B8382" t="str">
            <v>-</v>
          </cell>
          <cell r="E8382" t="str">
            <v/>
          </cell>
          <cell r="G8382" t="str">
            <v/>
          </cell>
          <cell r="J8382" t="str">
            <v/>
          </cell>
          <cell r="O8382" t="str">
            <v/>
          </cell>
          <cell r="P8382" t="str">
            <v/>
          </cell>
          <cell r="Q8382" t="str">
            <v/>
          </cell>
          <cell r="S8382" t="str">
            <v/>
          </cell>
          <cell r="V8382" t="str">
            <v/>
          </cell>
          <cell r="Z8382" t="str">
            <v/>
          </cell>
          <cell r="AA8382" t="str">
            <v/>
          </cell>
          <cell r="AB8382" t="str">
            <v/>
          </cell>
          <cell r="AC8382" t="str">
            <v/>
          </cell>
          <cell r="AD8382" t="str">
            <v/>
          </cell>
          <cell r="AY8382" t="str">
            <v/>
          </cell>
          <cell r="AZ8382" t="str">
            <v/>
          </cell>
          <cell r="BA8382" t="str">
            <v/>
          </cell>
        </row>
        <row r="8383">
          <cell r="B8383" t="str">
            <v>-</v>
          </cell>
          <cell r="E8383" t="str">
            <v/>
          </cell>
          <cell r="G8383" t="str">
            <v/>
          </cell>
          <cell r="J8383" t="str">
            <v/>
          </cell>
          <cell r="O8383" t="str">
            <v/>
          </cell>
          <cell r="P8383" t="str">
            <v/>
          </cell>
          <cell r="Q8383" t="str">
            <v/>
          </cell>
          <cell r="S8383" t="str">
            <v/>
          </cell>
          <cell r="V8383" t="str">
            <v/>
          </cell>
          <cell r="Z8383" t="str">
            <v/>
          </cell>
          <cell r="AA8383" t="str">
            <v/>
          </cell>
          <cell r="AB8383" t="str">
            <v/>
          </cell>
          <cell r="AC8383" t="str">
            <v/>
          </cell>
          <cell r="AD8383" t="str">
            <v/>
          </cell>
          <cell r="AY8383" t="str">
            <v/>
          </cell>
          <cell r="AZ8383" t="str">
            <v/>
          </cell>
          <cell r="BA8383" t="str">
            <v/>
          </cell>
        </row>
        <row r="8384">
          <cell r="B8384" t="str">
            <v>-</v>
          </cell>
          <cell r="E8384" t="str">
            <v/>
          </cell>
          <cell r="G8384" t="str">
            <v/>
          </cell>
          <cell r="J8384" t="str">
            <v/>
          </cell>
          <cell r="O8384" t="str">
            <v/>
          </cell>
          <cell r="P8384" t="str">
            <v/>
          </cell>
          <cell r="Q8384" t="str">
            <v/>
          </cell>
          <cell r="S8384" t="str">
            <v/>
          </cell>
          <cell r="V8384" t="str">
            <v/>
          </cell>
          <cell r="Z8384" t="str">
            <v/>
          </cell>
          <cell r="AA8384" t="str">
            <v/>
          </cell>
          <cell r="AB8384" t="str">
            <v/>
          </cell>
          <cell r="AC8384" t="str">
            <v/>
          </cell>
          <cell r="AD8384" t="str">
            <v/>
          </cell>
          <cell r="AY8384" t="str">
            <v/>
          </cell>
          <cell r="AZ8384" t="str">
            <v/>
          </cell>
          <cell r="BA8384" t="str">
            <v/>
          </cell>
        </row>
        <row r="8385">
          <cell r="B8385" t="str">
            <v>-</v>
          </cell>
          <cell r="E8385" t="str">
            <v/>
          </cell>
          <cell r="G8385" t="str">
            <v/>
          </cell>
          <cell r="J8385" t="str">
            <v/>
          </cell>
          <cell r="O8385" t="str">
            <v/>
          </cell>
          <cell r="P8385" t="str">
            <v/>
          </cell>
          <cell r="Q8385" t="str">
            <v/>
          </cell>
          <cell r="S8385" t="str">
            <v/>
          </cell>
          <cell r="V8385" t="str">
            <v/>
          </cell>
          <cell r="Z8385" t="str">
            <v/>
          </cell>
          <cell r="AA8385" t="str">
            <v/>
          </cell>
          <cell r="AB8385" t="str">
            <v/>
          </cell>
          <cell r="AC8385" t="str">
            <v/>
          </cell>
          <cell r="AD8385" t="str">
            <v/>
          </cell>
          <cell r="AY8385" t="str">
            <v/>
          </cell>
          <cell r="AZ8385" t="str">
            <v/>
          </cell>
          <cell r="BA8385" t="str">
            <v/>
          </cell>
        </row>
        <row r="8386">
          <cell r="B8386" t="str">
            <v>-</v>
          </cell>
          <cell r="E8386" t="str">
            <v/>
          </cell>
          <cell r="G8386" t="str">
            <v/>
          </cell>
          <cell r="J8386" t="str">
            <v/>
          </cell>
          <cell r="O8386" t="str">
            <v/>
          </cell>
          <cell r="P8386" t="str">
            <v/>
          </cell>
          <cell r="Q8386" t="str">
            <v/>
          </cell>
          <cell r="S8386" t="str">
            <v/>
          </cell>
          <cell r="V8386" t="str">
            <v/>
          </cell>
          <cell r="Z8386" t="str">
            <v/>
          </cell>
          <cell r="AA8386" t="str">
            <v/>
          </cell>
          <cell r="AB8386" t="str">
            <v/>
          </cell>
          <cell r="AC8386" t="str">
            <v/>
          </cell>
          <cell r="AD8386" t="str">
            <v/>
          </cell>
          <cell r="AY8386" t="str">
            <v/>
          </cell>
          <cell r="AZ8386" t="str">
            <v/>
          </cell>
          <cell r="BA8386" t="str">
            <v/>
          </cell>
        </row>
        <row r="8387">
          <cell r="B8387" t="str">
            <v>-</v>
          </cell>
          <cell r="E8387" t="str">
            <v/>
          </cell>
          <cell r="G8387" t="str">
            <v/>
          </cell>
          <cell r="J8387" t="str">
            <v/>
          </cell>
          <cell r="O8387" t="str">
            <v/>
          </cell>
          <cell r="P8387" t="str">
            <v/>
          </cell>
          <cell r="Q8387" t="str">
            <v/>
          </cell>
          <cell r="S8387" t="str">
            <v/>
          </cell>
          <cell r="V8387" t="str">
            <v/>
          </cell>
          <cell r="Z8387" t="str">
            <v/>
          </cell>
          <cell r="AA8387" t="str">
            <v/>
          </cell>
          <cell r="AB8387" t="str">
            <v/>
          </cell>
          <cell r="AC8387" t="str">
            <v/>
          </cell>
          <cell r="AD8387" t="str">
            <v/>
          </cell>
          <cell r="AY8387" t="str">
            <v/>
          </cell>
          <cell r="AZ8387" t="str">
            <v/>
          </cell>
          <cell r="BA8387" t="str">
            <v/>
          </cell>
        </row>
        <row r="8388">
          <cell r="B8388" t="str">
            <v>-</v>
          </cell>
          <cell r="E8388" t="str">
            <v/>
          </cell>
          <cell r="G8388" t="str">
            <v/>
          </cell>
          <cell r="J8388" t="str">
            <v/>
          </cell>
          <cell r="O8388" t="str">
            <v/>
          </cell>
          <cell r="P8388" t="str">
            <v/>
          </cell>
          <cell r="Q8388" t="str">
            <v/>
          </cell>
          <cell r="S8388" t="str">
            <v/>
          </cell>
          <cell r="V8388" t="str">
            <v/>
          </cell>
          <cell r="Z8388" t="str">
            <v/>
          </cell>
          <cell r="AA8388" t="str">
            <v/>
          </cell>
          <cell r="AB8388" t="str">
            <v/>
          </cell>
          <cell r="AC8388" t="str">
            <v/>
          </cell>
          <cell r="AD8388" t="str">
            <v/>
          </cell>
          <cell r="AY8388" t="str">
            <v/>
          </cell>
          <cell r="AZ8388" t="str">
            <v/>
          </cell>
          <cell r="BA8388" t="str">
            <v/>
          </cell>
        </row>
        <row r="8389">
          <cell r="B8389" t="str">
            <v>-</v>
          </cell>
          <cell r="E8389" t="str">
            <v/>
          </cell>
          <cell r="G8389" t="str">
            <v/>
          </cell>
          <cell r="J8389" t="str">
            <v/>
          </cell>
          <cell r="O8389" t="str">
            <v/>
          </cell>
          <cell r="P8389" t="str">
            <v/>
          </cell>
          <cell r="Q8389" t="str">
            <v/>
          </cell>
          <cell r="S8389" t="str">
            <v/>
          </cell>
          <cell r="V8389" t="str">
            <v/>
          </cell>
          <cell r="Z8389" t="str">
            <v/>
          </cell>
          <cell r="AA8389" t="str">
            <v/>
          </cell>
          <cell r="AB8389" t="str">
            <v/>
          </cell>
          <cell r="AC8389" t="str">
            <v/>
          </cell>
          <cell r="AD8389" t="str">
            <v/>
          </cell>
          <cell r="AY8389" t="str">
            <v/>
          </cell>
          <cell r="AZ8389" t="str">
            <v/>
          </cell>
          <cell r="BA8389" t="str">
            <v/>
          </cell>
        </row>
        <row r="8390">
          <cell r="B8390" t="str">
            <v>-</v>
          </cell>
          <cell r="E8390" t="str">
            <v/>
          </cell>
          <cell r="G8390" t="str">
            <v/>
          </cell>
          <cell r="J8390" t="str">
            <v/>
          </cell>
          <cell r="O8390" t="str">
            <v/>
          </cell>
          <cell r="P8390" t="str">
            <v/>
          </cell>
          <cell r="Q8390" t="str">
            <v/>
          </cell>
          <cell r="S8390" t="str">
            <v/>
          </cell>
          <cell r="V8390" t="str">
            <v/>
          </cell>
          <cell r="Z8390" t="str">
            <v/>
          </cell>
          <cell r="AA8390" t="str">
            <v/>
          </cell>
          <cell r="AB8390" t="str">
            <v/>
          </cell>
          <cell r="AC8390" t="str">
            <v/>
          </cell>
          <cell r="AD8390" t="str">
            <v/>
          </cell>
          <cell r="AY8390" t="str">
            <v/>
          </cell>
          <cell r="AZ8390" t="str">
            <v/>
          </cell>
          <cell r="BA8390" t="str">
            <v/>
          </cell>
        </row>
        <row r="8391">
          <cell r="B8391" t="str">
            <v>-</v>
          </cell>
          <cell r="E8391" t="str">
            <v/>
          </cell>
          <cell r="G8391" t="str">
            <v/>
          </cell>
          <cell r="J8391" t="str">
            <v/>
          </cell>
          <cell r="O8391" t="str">
            <v/>
          </cell>
          <cell r="P8391" t="str">
            <v/>
          </cell>
          <cell r="Q8391" t="str">
            <v/>
          </cell>
          <cell r="S8391" t="str">
            <v/>
          </cell>
          <cell r="V8391" t="str">
            <v/>
          </cell>
          <cell r="Z8391" t="str">
            <v/>
          </cell>
          <cell r="AA8391" t="str">
            <v/>
          </cell>
          <cell r="AB8391" t="str">
            <v/>
          </cell>
          <cell r="AC8391" t="str">
            <v/>
          </cell>
          <cell r="AD8391" t="str">
            <v/>
          </cell>
          <cell r="AY8391" t="str">
            <v/>
          </cell>
          <cell r="AZ8391" t="str">
            <v/>
          </cell>
          <cell r="BA8391" t="str">
            <v/>
          </cell>
        </row>
        <row r="8392">
          <cell r="B8392" t="str">
            <v>-</v>
          </cell>
          <cell r="E8392" t="str">
            <v/>
          </cell>
          <cell r="G8392" t="str">
            <v/>
          </cell>
          <cell r="J8392" t="str">
            <v/>
          </cell>
          <cell r="O8392" t="str">
            <v/>
          </cell>
          <cell r="P8392" t="str">
            <v/>
          </cell>
          <cell r="Q8392" t="str">
            <v/>
          </cell>
          <cell r="S8392" t="str">
            <v/>
          </cell>
          <cell r="V8392" t="str">
            <v/>
          </cell>
          <cell r="Z8392" t="str">
            <v/>
          </cell>
          <cell r="AA8392" t="str">
            <v/>
          </cell>
          <cell r="AB8392" t="str">
            <v/>
          </cell>
          <cell r="AC8392" t="str">
            <v/>
          </cell>
          <cell r="AD8392" t="str">
            <v/>
          </cell>
          <cell r="AY8392" t="str">
            <v/>
          </cell>
          <cell r="AZ8392" t="str">
            <v/>
          </cell>
          <cell r="BA8392" t="str">
            <v/>
          </cell>
        </row>
        <row r="8393">
          <cell r="B8393" t="str">
            <v>-</v>
          </cell>
          <cell r="E8393" t="str">
            <v/>
          </cell>
          <cell r="G8393" t="str">
            <v/>
          </cell>
          <cell r="J8393" t="str">
            <v/>
          </cell>
          <cell r="O8393" t="str">
            <v/>
          </cell>
          <cell r="P8393" t="str">
            <v/>
          </cell>
          <cell r="Q8393" t="str">
            <v/>
          </cell>
          <cell r="S8393" t="str">
            <v/>
          </cell>
          <cell r="V8393" t="str">
            <v/>
          </cell>
          <cell r="Z8393" t="str">
            <v/>
          </cell>
          <cell r="AA8393" t="str">
            <v/>
          </cell>
          <cell r="AB8393" t="str">
            <v/>
          </cell>
          <cell r="AC8393" t="str">
            <v/>
          </cell>
          <cell r="AD8393" t="str">
            <v/>
          </cell>
          <cell r="AY8393" t="str">
            <v/>
          </cell>
          <cell r="AZ8393" t="str">
            <v/>
          </cell>
          <cell r="BA8393" t="str">
            <v/>
          </cell>
        </row>
        <row r="8394">
          <cell r="B8394" t="str">
            <v>-</v>
          </cell>
          <cell r="E8394" t="str">
            <v/>
          </cell>
          <cell r="G8394" t="str">
            <v/>
          </cell>
          <cell r="J8394" t="str">
            <v/>
          </cell>
          <cell r="O8394" t="str">
            <v/>
          </cell>
          <cell r="P8394" t="str">
            <v/>
          </cell>
          <cell r="Q8394" t="str">
            <v/>
          </cell>
          <cell r="S8394" t="str">
            <v/>
          </cell>
          <cell r="V8394" t="str">
            <v/>
          </cell>
          <cell r="Z8394" t="str">
            <v/>
          </cell>
          <cell r="AA8394" t="str">
            <v/>
          </cell>
          <cell r="AB8394" t="str">
            <v/>
          </cell>
          <cell r="AC8394" t="str">
            <v/>
          </cell>
          <cell r="AD8394" t="str">
            <v/>
          </cell>
          <cell r="AY8394" t="str">
            <v/>
          </cell>
          <cell r="AZ8394" t="str">
            <v/>
          </cell>
          <cell r="BA8394" t="str">
            <v/>
          </cell>
        </row>
        <row r="8395">
          <cell r="B8395" t="str">
            <v>-</v>
          </cell>
          <cell r="E8395" t="str">
            <v/>
          </cell>
          <cell r="G8395" t="str">
            <v/>
          </cell>
          <cell r="J8395" t="str">
            <v/>
          </cell>
          <cell r="O8395" t="str">
            <v/>
          </cell>
          <cell r="P8395" t="str">
            <v/>
          </cell>
          <cell r="Q8395" t="str">
            <v/>
          </cell>
          <cell r="S8395" t="str">
            <v/>
          </cell>
          <cell r="V8395" t="str">
            <v/>
          </cell>
          <cell r="Z8395" t="str">
            <v/>
          </cell>
          <cell r="AA8395" t="str">
            <v/>
          </cell>
          <cell r="AB8395" t="str">
            <v/>
          </cell>
          <cell r="AC8395" t="str">
            <v/>
          </cell>
          <cell r="AD8395" t="str">
            <v/>
          </cell>
          <cell r="AY8395" t="str">
            <v/>
          </cell>
          <cell r="AZ8395" t="str">
            <v/>
          </cell>
          <cell r="BA8395" t="str">
            <v/>
          </cell>
        </row>
        <row r="8396">
          <cell r="B8396" t="str">
            <v>-</v>
          </cell>
          <cell r="E8396" t="str">
            <v/>
          </cell>
          <cell r="G8396" t="str">
            <v/>
          </cell>
          <cell r="J8396" t="str">
            <v/>
          </cell>
          <cell r="O8396" t="str">
            <v/>
          </cell>
          <cell r="P8396" t="str">
            <v/>
          </cell>
          <cell r="Q8396" t="str">
            <v/>
          </cell>
          <cell r="S8396" t="str">
            <v/>
          </cell>
          <cell r="V8396" t="str">
            <v/>
          </cell>
          <cell r="Z8396" t="str">
            <v/>
          </cell>
          <cell r="AA8396" t="str">
            <v/>
          </cell>
          <cell r="AB8396" t="str">
            <v/>
          </cell>
          <cell r="AC8396" t="str">
            <v/>
          </cell>
          <cell r="AD8396" t="str">
            <v/>
          </cell>
          <cell r="AY8396" t="str">
            <v/>
          </cell>
          <cell r="AZ8396" t="str">
            <v/>
          </cell>
          <cell r="BA8396" t="str">
            <v/>
          </cell>
        </row>
        <row r="8397">
          <cell r="B8397" t="str">
            <v>-</v>
          </cell>
          <cell r="E8397" t="str">
            <v/>
          </cell>
          <cell r="G8397" t="str">
            <v/>
          </cell>
          <cell r="J8397" t="str">
            <v/>
          </cell>
          <cell r="O8397" t="str">
            <v/>
          </cell>
          <cell r="P8397" t="str">
            <v/>
          </cell>
          <cell r="Q8397" t="str">
            <v/>
          </cell>
          <cell r="S8397" t="str">
            <v/>
          </cell>
          <cell r="V8397" t="str">
            <v/>
          </cell>
          <cell r="Z8397" t="str">
            <v/>
          </cell>
          <cell r="AA8397" t="str">
            <v/>
          </cell>
          <cell r="AB8397" t="str">
            <v/>
          </cell>
          <cell r="AC8397" t="str">
            <v/>
          </cell>
          <cell r="AD8397" t="str">
            <v/>
          </cell>
          <cell r="AY8397" t="str">
            <v/>
          </cell>
          <cell r="AZ8397" t="str">
            <v/>
          </cell>
          <cell r="BA8397" t="str">
            <v/>
          </cell>
        </row>
        <row r="8398">
          <cell r="B8398" t="str">
            <v>-</v>
          </cell>
          <cell r="E8398" t="str">
            <v/>
          </cell>
          <cell r="G8398" t="str">
            <v/>
          </cell>
          <cell r="J8398" t="str">
            <v/>
          </cell>
          <cell r="O8398" t="str">
            <v/>
          </cell>
          <cell r="P8398" t="str">
            <v/>
          </cell>
          <cell r="Q8398" t="str">
            <v/>
          </cell>
          <cell r="S8398" t="str">
            <v/>
          </cell>
          <cell r="V8398" t="str">
            <v/>
          </cell>
          <cell r="Z8398" t="str">
            <v/>
          </cell>
          <cell r="AA8398" t="str">
            <v/>
          </cell>
          <cell r="AB8398" t="str">
            <v/>
          </cell>
          <cell r="AC8398" t="str">
            <v/>
          </cell>
          <cell r="AD8398" t="str">
            <v/>
          </cell>
          <cell r="AY8398" t="str">
            <v/>
          </cell>
          <cell r="AZ8398" t="str">
            <v/>
          </cell>
          <cell r="BA8398" t="str">
            <v/>
          </cell>
        </row>
        <row r="8399">
          <cell r="B8399" t="str">
            <v>-</v>
          </cell>
          <cell r="E8399" t="str">
            <v/>
          </cell>
          <cell r="G8399" t="str">
            <v/>
          </cell>
          <cell r="J8399" t="str">
            <v/>
          </cell>
          <cell r="O8399" t="str">
            <v/>
          </cell>
          <cell r="P8399" t="str">
            <v/>
          </cell>
          <cell r="Q8399" t="str">
            <v/>
          </cell>
          <cell r="S8399" t="str">
            <v/>
          </cell>
          <cell r="V8399" t="str">
            <v/>
          </cell>
          <cell r="Z8399" t="str">
            <v/>
          </cell>
          <cell r="AA8399" t="str">
            <v/>
          </cell>
          <cell r="AB8399" t="str">
            <v/>
          </cell>
          <cell r="AC8399" t="str">
            <v/>
          </cell>
          <cell r="AD8399" t="str">
            <v/>
          </cell>
          <cell r="AY8399" t="str">
            <v/>
          </cell>
          <cell r="AZ8399" t="str">
            <v/>
          </cell>
          <cell r="BA8399" t="str">
            <v/>
          </cell>
        </row>
        <row r="8400">
          <cell r="B8400" t="str">
            <v>-</v>
          </cell>
          <cell r="E8400" t="str">
            <v/>
          </cell>
          <cell r="G8400" t="str">
            <v/>
          </cell>
          <cell r="J8400" t="str">
            <v/>
          </cell>
          <cell r="O8400" t="str">
            <v/>
          </cell>
          <cell r="P8400" t="str">
            <v/>
          </cell>
          <cell r="Q8400" t="str">
            <v/>
          </cell>
          <cell r="S8400" t="str">
            <v/>
          </cell>
          <cell r="V8400" t="str">
            <v/>
          </cell>
          <cell r="Z8400" t="str">
            <v/>
          </cell>
          <cell r="AA8400" t="str">
            <v/>
          </cell>
          <cell r="AB8400" t="str">
            <v/>
          </cell>
          <cell r="AC8400" t="str">
            <v/>
          </cell>
          <cell r="AD8400" t="str">
            <v/>
          </cell>
          <cell r="AY8400" t="str">
            <v/>
          </cell>
          <cell r="AZ8400" t="str">
            <v/>
          </cell>
          <cell r="BA8400" t="str">
            <v/>
          </cell>
        </row>
        <row r="8401">
          <cell r="B8401" t="str">
            <v>-</v>
          </cell>
          <cell r="E8401" t="str">
            <v/>
          </cell>
          <cell r="G8401" t="str">
            <v/>
          </cell>
          <cell r="J8401" t="str">
            <v/>
          </cell>
          <cell r="O8401" t="str">
            <v/>
          </cell>
          <cell r="P8401" t="str">
            <v/>
          </cell>
          <cell r="Q8401" t="str">
            <v/>
          </cell>
          <cell r="S8401" t="str">
            <v/>
          </cell>
          <cell r="V8401" t="str">
            <v/>
          </cell>
          <cell r="Z8401" t="str">
            <v/>
          </cell>
          <cell r="AA8401" t="str">
            <v/>
          </cell>
          <cell r="AB8401" t="str">
            <v/>
          </cell>
          <cell r="AC8401" t="str">
            <v/>
          </cell>
          <cell r="AD8401" t="str">
            <v/>
          </cell>
          <cell r="AY8401" t="str">
            <v/>
          </cell>
          <cell r="AZ8401" t="str">
            <v/>
          </cell>
          <cell r="BA8401" t="str">
            <v/>
          </cell>
        </row>
        <row r="8402">
          <cell r="B8402" t="str">
            <v>-</v>
          </cell>
          <cell r="E8402" t="str">
            <v/>
          </cell>
          <cell r="G8402" t="str">
            <v/>
          </cell>
          <cell r="J8402" t="str">
            <v/>
          </cell>
          <cell r="O8402" t="str">
            <v/>
          </cell>
          <cell r="P8402" t="str">
            <v/>
          </cell>
          <cell r="Q8402" t="str">
            <v/>
          </cell>
          <cell r="S8402" t="str">
            <v/>
          </cell>
          <cell r="V8402" t="str">
            <v/>
          </cell>
          <cell r="Z8402" t="str">
            <v/>
          </cell>
          <cell r="AA8402" t="str">
            <v/>
          </cell>
          <cell r="AB8402" t="str">
            <v/>
          </cell>
          <cell r="AC8402" t="str">
            <v/>
          </cell>
          <cell r="AD8402" t="str">
            <v/>
          </cell>
          <cell r="AY8402" t="str">
            <v/>
          </cell>
          <cell r="AZ8402" t="str">
            <v/>
          </cell>
          <cell r="BA8402" t="str">
            <v/>
          </cell>
        </row>
        <row r="8403">
          <cell r="B8403" t="str">
            <v>-</v>
          </cell>
          <cell r="E8403" t="str">
            <v/>
          </cell>
          <cell r="G8403" t="str">
            <v/>
          </cell>
          <cell r="J8403" t="str">
            <v/>
          </cell>
          <cell r="O8403" t="str">
            <v/>
          </cell>
          <cell r="P8403" t="str">
            <v/>
          </cell>
          <cell r="Q8403" t="str">
            <v/>
          </cell>
          <cell r="S8403" t="str">
            <v/>
          </cell>
          <cell r="V8403" t="str">
            <v/>
          </cell>
          <cell r="Z8403" t="str">
            <v/>
          </cell>
          <cell r="AA8403" t="str">
            <v/>
          </cell>
          <cell r="AB8403" t="str">
            <v/>
          </cell>
          <cell r="AC8403" t="str">
            <v/>
          </cell>
          <cell r="AD8403" t="str">
            <v/>
          </cell>
          <cell r="AY8403" t="str">
            <v/>
          </cell>
          <cell r="AZ8403" t="str">
            <v/>
          </cell>
          <cell r="BA8403" t="str">
            <v/>
          </cell>
        </row>
        <row r="8404">
          <cell r="B8404" t="str">
            <v>-</v>
          </cell>
          <cell r="E8404" t="str">
            <v/>
          </cell>
          <cell r="G8404" t="str">
            <v/>
          </cell>
          <cell r="J8404" t="str">
            <v/>
          </cell>
          <cell r="O8404" t="str">
            <v/>
          </cell>
          <cell r="P8404" t="str">
            <v/>
          </cell>
          <cell r="Q8404" t="str">
            <v/>
          </cell>
          <cell r="S8404" t="str">
            <v/>
          </cell>
          <cell r="V8404" t="str">
            <v/>
          </cell>
          <cell r="Z8404" t="str">
            <v/>
          </cell>
          <cell r="AA8404" t="str">
            <v/>
          </cell>
          <cell r="AB8404" t="str">
            <v/>
          </cell>
          <cell r="AC8404" t="str">
            <v/>
          </cell>
          <cell r="AD8404" t="str">
            <v/>
          </cell>
          <cell r="AY8404" t="str">
            <v/>
          </cell>
          <cell r="AZ8404" t="str">
            <v/>
          </cell>
          <cell r="BA8404" t="str">
            <v/>
          </cell>
        </row>
        <row r="8405">
          <cell r="B8405" t="str">
            <v>-</v>
          </cell>
          <cell r="E8405" t="str">
            <v/>
          </cell>
          <cell r="G8405" t="str">
            <v/>
          </cell>
          <cell r="J8405" t="str">
            <v/>
          </cell>
          <cell r="O8405" t="str">
            <v/>
          </cell>
          <cell r="P8405" t="str">
            <v/>
          </cell>
          <cell r="Q8405" t="str">
            <v/>
          </cell>
          <cell r="S8405" t="str">
            <v/>
          </cell>
          <cell r="V8405" t="str">
            <v/>
          </cell>
          <cell r="Z8405" t="str">
            <v/>
          </cell>
          <cell r="AA8405" t="str">
            <v/>
          </cell>
          <cell r="AB8405" t="str">
            <v/>
          </cell>
          <cell r="AC8405" t="str">
            <v/>
          </cell>
          <cell r="AD8405" t="str">
            <v/>
          </cell>
          <cell r="AY8405" t="str">
            <v/>
          </cell>
          <cell r="AZ8405" t="str">
            <v/>
          </cell>
          <cell r="BA8405" t="str">
            <v/>
          </cell>
        </row>
        <row r="8406">
          <cell r="B8406" t="str">
            <v>-</v>
          </cell>
          <cell r="E8406" t="str">
            <v/>
          </cell>
          <cell r="G8406" t="str">
            <v/>
          </cell>
          <cell r="J8406" t="str">
            <v/>
          </cell>
          <cell r="O8406" t="str">
            <v/>
          </cell>
          <cell r="P8406" t="str">
            <v/>
          </cell>
          <cell r="Q8406" t="str">
            <v/>
          </cell>
          <cell r="S8406" t="str">
            <v/>
          </cell>
          <cell r="V8406" t="str">
            <v/>
          </cell>
          <cell r="Z8406" t="str">
            <v/>
          </cell>
          <cell r="AA8406" t="str">
            <v/>
          </cell>
          <cell r="AB8406" t="str">
            <v/>
          </cell>
          <cell r="AC8406" t="str">
            <v/>
          </cell>
          <cell r="AD8406" t="str">
            <v/>
          </cell>
          <cell r="AY8406" t="str">
            <v/>
          </cell>
          <cell r="AZ8406" t="str">
            <v/>
          </cell>
          <cell r="BA8406" t="str">
            <v/>
          </cell>
        </row>
        <row r="8407">
          <cell r="B8407" t="str">
            <v>-</v>
          </cell>
          <cell r="E8407" t="str">
            <v/>
          </cell>
          <cell r="G8407" t="str">
            <v/>
          </cell>
          <cell r="J8407" t="str">
            <v/>
          </cell>
          <cell r="O8407" t="str">
            <v/>
          </cell>
          <cell r="P8407" t="str">
            <v/>
          </cell>
          <cell r="Q8407" t="str">
            <v/>
          </cell>
          <cell r="S8407" t="str">
            <v/>
          </cell>
          <cell r="V8407" t="str">
            <v/>
          </cell>
          <cell r="Z8407" t="str">
            <v/>
          </cell>
          <cell r="AA8407" t="str">
            <v/>
          </cell>
          <cell r="AB8407" t="str">
            <v/>
          </cell>
          <cell r="AC8407" t="str">
            <v/>
          </cell>
          <cell r="AD8407" t="str">
            <v/>
          </cell>
          <cell r="AY8407" t="str">
            <v/>
          </cell>
          <cell r="AZ8407" t="str">
            <v/>
          </cell>
          <cell r="BA8407" t="str">
            <v/>
          </cell>
        </row>
        <row r="8408">
          <cell r="B8408" t="str">
            <v>-</v>
          </cell>
          <cell r="E8408" t="str">
            <v/>
          </cell>
          <cell r="G8408" t="str">
            <v/>
          </cell>
          <cell r="J8408" t="str">
            <v/>
          </cell>
          <cell r="O8408" t="str">
            <v/>
          </cell>
          <cell r="P8408" t="str">
            <v/>
          </cell>
          <cell r="Q8408" t="str">
            <v/>
          </cell>
          <cell r="S8408" t="str">
            <v/>
          </cell>
          <cell r="V8408" t="str">
            <v/>
          </cell>
          <cell r="Z8408" t="str">
            <v/>
          </cell>
          <cell r="AA8408" t="str">
            <v/>
          </cell>
          <cell r="AB8408" t="str">
            <v/>
          </cell>
          <cell r="AC8408" t="str">
            <v/>
          </cell>
          <cell r="AD8408" t="str">
            <v/>
          </cell>
          <cell r="AY8408" t="str">
            <v/>
          </cell>
          <cell r="AZ8408" t="str">
            <v/>
          </cell>
          <cell r="BA8408" t="str">
            <v/>
          </cell>
        </row>
        <row r="8409">
          <cell r="B8409" t="str">
            <v>-</v>
          </cell>
          <cell r="E8409" t="str">
            <v/>
          </cell>
          <cell r="G8409" t="str">
            <v/>
          </cell>
          <cell r="J8409" t="str">
            <v/>
          </cell>
          <cell r="O8409" t="str">
            <v/>
          </cell>
          <cell r="P8409" t="str">
            <v/>
          </cell>
          <cell r="Q8409" t="str">
            <v/>
          </cell>
          <cell r="S8409" t="str">
            <v/>
          </cell>
          <cell r="V8409" t="str">
            <v/>
          </cell>
          <cell r="Z8409" t="str">
            <v/>
          </cell>
          <cell r="AA8409" t="str">
            <v/>
          </cell>
          <cell r="AB8409" t="str">
            <v/>
          </cell>
          <cell r="AC8409" t="str">
            <v/>
          </cell>
          <cell r="AD8409" t="str">
            <v/>
          </cell>
          <cell r="AY8409" t="str">
            <v/>
          </cell>
          <cell r="AZ8409" t="str">
            <v/>
          </cell>
          <cell r="BA8409" t="str">
            <v/>
          </cell>
        </row>
        <row r="8410">
          <cell r="B8410" t="str">
            <v>-</v>
          </cell>
          <cell r="E8410" t="str">
            <v/>
          </cell>
          <cell r="G8410" t="str">
            <v/>
          </cell>
          <cell r="J8410" t="str">
            <v/>
          </cell>
          <cell r="O8410" t="str">
            <v/>
          </cell>
          <cell r="P8410" t="str">
            <v/>
          </cell>
          <cell r="Q8410" t="str">
            <v/>
          </cell>
          <cell r="S8410" t="str">
            <v/>
          </cell>
          <cell r="V8410" t="str">
            <v/>
          </cell>
          <cell r="Z8410" t="str">
            <v/>
          </cell>
          <cell r="AA8410" t="str">
            <v/>
          </cell>
          <cell r="AB8410" t="str">
            <v/>
          </cell>
          <cell r="AC8410" t="str">
            <v/>
          </cell>
          <cell r="AD8410" t="str">
            <v/>
          </cell>
          <cell r="AY8410" t="str">
            <v/>
          </cell>
          <cell r="AZ8410" t="str">
            <v/>
          </cell>
          <cell r="BA8410" t="str">
            <v/>
          </cell>
        </row>
        <row r="8411">
          <cell r="B8411" t="str">
            <v>-</v>
          </cell>
          <cell r="E8411" t="str">
            <v/>
          </cell>
          <cell r="G8411" t="str">
            <v/>
          </cell>
          <cell r="J8411" t="str">
            <v/>
          </cell>
          <cell r="O8411" t="str">
            <v/>
          </cell>
          <cell r="P8411" t="str">
            <v/>
          </cell>
          <cell r="Q8411" t="str">
            <v/>
          </cell>
          <cell r="S8411" t="str">
            <v/>
          </cell>
          <cell r="V8411" t="str">
            <v/>
          </cell>
          <cell r="Z8411" t="str">
            <v/>
          </cell>
          <cell r="AA8411" t="str">
            <v/>
          </cell>
          <cell r="AB8411" t="str">
            <v/>
          </cell>
          <cell r="AC8411" t="str">
            <v/>
          </cell>
          <cell r="AD8411" t="str">
            <v/>
          </cell>
          <cell r="AY8411" t="str">
            <v/>
          </cell>
          <cell r="AZ8411" t="str">
            <v/>
          </cell>
          <cell r="BA8411" t="str">
            <v/>
          </cell>
        </row>
        <row r="8412">
          <cell r="B8412" t="str">
            <v>-</v>
          </cell>
          <cell r="E8412" t="str">
            <v/>
          </cell>
          <cell r="G8412" t="str">
            <v/>
          </cell>
          <cell r="J8412" t="str">
            <v/>
          </cell>
          <cell r="O8412" t="str">
            <v/>
          </cell>
          <cell r="P8412" t="str">
            <v/>
          </cell>
          <cell r="Q8412" t="str">
            <v/>
          </cell>
          <cell r="S8412" t="str">
            <v/>
          </cell>
          <cell r="V8412" t="str">
            <v/>
          </cell>
          <cell r="Z8412" t="str">
            <v/>
          </cell>
          <cell r="AA8412" t="str">
            <v/>
          </cell>
          <cell r="AB8412" t="str">
            <v/>
          </cell>
          <cell r="AC8412" t="str">
            <v/>
          </cell>
          <cell r="AD8412" t="str">
            <v/>
          </cell>
          <cell r="AY8412" t="str">
            <v/>
          </cell>
          <cell r="AZ8412" t="str">
            <v/>
          </cell>
          <cell r="BA8412" t="str">
            <v/>
          </cell>
        </row>
        <row r="8413">
          <cell r="B8413" t="str">
            <v>-</v>
          </cell>
          <cell r="E8413" t="str">
            <v/>
          </cell>
          <cell r="G8413" t="str">
            <v/>
          </cell>
          <cell r="J8413" t="str">
            <v/>
          </cell>
          <cell r="O8413" t="str">
            <v/>
          </cell>
          <cell r="P8413" t="str">
            <v/>
          </cell>
          <cell r="Q8413" t="str">
            <v/>
          </cell>
          <cell r="S8413" t="str">
            <v/>
          </cell>
          <cell r="V8413" t="str">
            <v/>
          </cell>
          <cell r="Z8413" t="str">
            <v/>
          </cell>
          <cell r="AA8413" t="str">
            <v/>
          </cell>
          <cell r="AB8413" t="str">
            <v/>
          </cell>
          <cell r="AC8413" t="str">
            <v/>
          </cell>
          <cell r="AD8413" t="str">
            <v/>
          </cell>
          <cell r="AY8413" t="str">
            <v/>
          </cell>
          <cell r="AZ8413" t="str">
            <v/>
          </cell>
          <cell r="BA8413" t="str">
            <v/>
          </cell>
        </row>
        <row r="8414">
          <cell r="B8414" t="str">
            <v>-</v>
          </cell>
          <cell r="E8414" t="str">
            <v/>
          </cell>
          <cell r="G8414" t="str">
            <v/>
          </cell>
          <cell r="J8414" t="str">
            <v/>
          </cell>
          <cell r="O8414" t="str">
            <v/>
          </cell>
          <cell r="P8414" t="str">
            <v/>
          </cell>
          <cell r="Q8414" t="str">
            <v/>
          </cell>
          <cell r="S8414" t="str">
            <v/>
          </cell>
          <cell r="V8414" t="str">
            <v/>
          </cell>
          <cell r="Z8414" t="str">
            <v/>
          </cell>
          <cell r="AA8414" t="str">
            <v/>
          </cell>
          <cell r="AB8414" t="str">
            <v/>
          </cell>
          <cell r="AC8414" t="str">
            <v/>
          </cell>
          <cell r="AD8414" t="str">
            <v/>
          </cell>
          <cell r="AY8414" t="str">
            <v/>
          </cell>
          <cell r="AZ8414" t="str">
            <v/>
          </cell>
          <cell r="BA8414" t="str">
            <v/>
          </cell>
        </row>
        <row r="8415">
          <cell r="B8415" t="str">
            <v>-</v>
          </cell>
          <cell r="E8415" t="str">
            <v/>
          </cell>
          <cell r="G8415" t="str">
            <v/>
          </cell>
          <cell r="J8415" t="str">
            <v/>
          </cell>
          <cell r="O8415" t="str">
            <v/>
          </cell>
          <cell r="P8415" t="str">
            <v/>
          </cell>
          <cell r="Q8415" t="str">
            <v/>
          </cell>
          <cell r="S8415" t="str">
            <v/>
          </cell>
          <cell r="V8415" t="str">
            <v/>
          </cell>
          <cell r="Z8415" t="str">
            <v/>
          </cell>
          <cell r="AA8415" t="str">
            <v/>
          </cell>
          <cell r="AB8415" t="str">
            <v/>
          </cell>
          <cell r="AC8415" t="str">
            <v/>
          </cell>
          <cell r="AD8415" t="str">
            <v/>
          </cell>
          <cell r="AY8415" t="str">
            <v/>
          </cell>
          <cell r="AZ8415" t="str">
            <v/>
          </cell>
          <cell r="BA8415" t="str">
            <v/>
          </cell>
        </row>
        <row r="8416">
          <cell r="B8416" t="str">
            <v>-</v>
          </cell>
          <cell r="E8416" t="str">
            <v/>
          </cell>
          <cell r="G8416" t="str">
            <v/>
          </cell>
          <cell r="J8416" t="str">
            <v/>
          </cell>
          <cell r="O8416" t="str">
            <v/>
          </cell>
          <cell r="P8416" t="str">
            <v/>
          </cell>
          <cell r="Q8416" t="str">
            <v/>
          </cell>
          <cell r="S8416" t="str">
            <v/>
          </cell>
          <cell r="V8416" t="str">
            <v/>
          </cell>
          <cell r="Z8416" t="str">
            <v/>
          </cell>
          <cell r="AA8416" t="str">
            <v/>
          </cell>
          <cell r="AB8416" t="str">
            <v/>
          </cell>
          <cell r="AC8416" t="str">
            <v/>
          </cell>
          <cell r="AD8416" t="str">
            <v/>
          </cell>
          <cell r="AY8416" t="str">
            <v/>
          </cell>
          <cell r="AZ8416" t="str">
            <v/>
          </cell>
          <cell r="BA8416" t="str">
            <v/>
          </cell>
        </row>
        <row r="8417">
          <cell r="B8417" t="str">
            <v>-</v>
          </cell>
          <cell r="E8417" t="str">
            <v/>
          </cell>
          <cell r="G8417" t="str">
            <v/>
          </cell>
          <cell r="J8417" t="str">
            <v/>
          </cell>
          <cell r="O8417" t="str">
            <v/>
          </cell>
          <cell r="P8417" t="str">
            <v/>
          </cell>
          <cell r="Q8417" t="str">
            <v/>
          </cell>
          <cell r="S8417" t="str">
            <v/>
          </cell>
          <cell r="V8417" t="str">
            <v/>
          </cell>
          <cell r="Z8417" t="str">
            <v/>
          </cell>
          <cell r="AA8417" t="str">
            <v/>
          </cell>
          <cell r="AB8417" t="str">
            <v/>
          </cell>
          <cell r="AC8417" t="str">
            <v/>
          </cell>
          <cell r="AD8417" t="str">
            <v/>
          </cell>
          <cell r="AY8417" t="str">
            <v/>
          </cell>
          <cell r="AZ8417" t="str">
            <v/>
          </cell>
          <cell r="BA8417" t="str">
            <v/>
          </cell>
        </row>
        <row r="8418">
          <cell r="B8418" t="str">
            <v>-</v>
          </cell>
          <cell r="E8418" t="str">
            <v/>
          </cell>
          <cell r="G8418" t="str">
            <v/>
          </cell>
          <cell r="J8418" t="str">
            <v/>
          </cell>
          <cell r="O8418" t="str">
            <v/>
          </cell>
          <cell r="P8418" t="str">
            <v/>
          </cell>
          <cell r="Q8418" t="str">
            <v/>
          </cell>
          <cell r="S8418" t="str">
            <v/>
          </cell>
          <cell r="V8418" t="str">
            <v/>
          </cell>
          <cell r="Z8418" t="str">
            <v/>
          </cell>
          <cell r="AA8418" t="str">
            <v/>
          </cell>
          <cell r="AB8418" t="str">
            <v/>
          </cell>
          <cell r="AC8418" t="str">
            <v/>
          </cell>
          <cell r="AD8418" t="str">
            <v/>
          </cell>
          <cell r="AY8418" t="str">
            <v/>
          </cell>
          <cell r="AZ8418" t="str">
            <v/>
          </cell>
          <cell r="BA8418" t="str">
            <v/>
          </cell>
        </row>
        <row r="8419">
          <cell r="B8419" t="str">
            <v>-</v>
          </cell>
          <cell r="E8419" t="str">
            <v/>
          </cell>
          <cell r="G8419" t="str">
            <v/>
          </cell>
          <cell r="J8419" t="str">
            <v/>
          </cell>
          <cell r="O8419" t="str">
            <v/>
          </cell>
          <cell r="P8419" t="str">
            <v/>
          </cell>
          <cell r="Q8419" t="str">
            <v/>
          </cell>
          <cell r="S8419" t="str">
            <v/>
          </cell>
          <cell r="V8419" t="str">
            <v/>
          </cell>
          <cell r="Z8419" t="str">
            <v/>
          </cell>
          <cell r="AA8419" t="str">
            <v/>
          </cell>
          <cell r="AB8419" t="str">
            <v/>
          </cell>
          <cell r="AC8419" t="str">
            <v/>
          </cell>
          <cell r="AD8419" t="str">
            <v/>
          </cell>
          <cell r="AY8419" t="str">
            <v/>
          </cell>
          <cell r="AZ8419" t="str">
            <v/>
          </cell>
          <cell r="BA8419" t="str">
            <v/>
          </cell>
        </row>
        <row r="8420">
          <cell r="B8420" t="str">
            <v>-</v>
          </cell>
          <cell r="E8420" t="str">
            <v/>
          </cell>
          <cell r="G8420" t="str">
            <v/>
          </cell>
          <cell r="J8420" t="str">
            <v/>
          </cell>
          <cell r="O8420" t="str">
            <v/>
          </cell>
          <cell r="P8420" t="str">
            <v/>
          </cell>
          <cell r="Q8420" t="str">
            <v/>
          </cell>
          <cell r="S8420" t="str">
            <v/>
          </cell>
          <cell r="V8420" t="str">
            <v/>
          </cell>
          <cell r="Z8420" t="str">
            <v/>
          </cell>
          <cell r="AA8420" t="str">
            <v/>
          </cell>
          <cell r="AB8420" t="str">
            <v/>
          </cell>
          <cell r="AC8420" t="str">
            <v/>
          </cell>
          <cell r="AD8420" t="str">
            <v/>
          </cell>
          <cell r="AY8420" t="str">
            <v/>
          </cell>
          <cell r="AZ8420" t="str">
            <v/>
          </cell>
          <cell r="BA8420" t="str">
            <v/>
          </cell>
        </row>
        <row r="8421">
          <cell r="B8421" t="str">
            <v>-</v>
          </cell>
          <cell r="E8421" t="str">
            <v/>
          </cell>
          <cell r="G8421" t="str">
            <v/>
          </cell>
          <cell r="J8421" t="str">
            <v/>
          </cell>
          <cell r="O8421" t="str">
            <v/>
          </cell>
          <cell r="P8421" t="str">
            <v/>
          </cell>
          <cell r="Q8421" t="str">
            <v/>
          </cell>
          <cell r="S8421" t="str">
            <v/>
          </cell>
          <cell r="V8421" t="str">
            <v/>
          </cell>
          <cell r="Z8421" t="str">
            <v/>
          </cell>
          <cell r="AA8421" t="str">
            <v/>
          </cell>
          <cell r="AB8421" t="str">
            <v/>
          </cell>
          <cell r="AC8421" t="str">
            <v/>
          </cell>
          <cell r="AD8421" t="str">
            <v/>
          </cell>
          <cell r="AY8421" t="str">
            <v/>
          </cell>
          <cell r="AZ8421" t="str">
            <v/>
          </cell>
          <cell r="BA8421" t="str">
            <v/>
          </cell>
        </row>
        <row r="8422">
          <cell r="B8422" t="str">
            <v>-</v>
          </cell>
          <cell r="E8422" t="str">
            <v/>
          </cell>
          <cell r="G8422" t="str">
            <v/>
          </cell>
          <cell r="J8422" t="str">
            <v/>
          </cell>
          <cell r="O8422" t="str">
            <v/>
          </cell>
          <cell r="P8422" t="str">
            <v/>
          </cell>
          <cell r="Q8422" t="str">
            <v/>
          </cell>
          <cell r="S8422" t="str">
            <v/>
          </cell>
          <cell r="V8422" t="str">
            <v/>
          </cell>
          <cell r="Z8422" t="str">
            <v/>
          </cell>
          <cell r="AA8422" t="str">
            <v/>
          </cell>
          <cell r="AB8422" t="str">
            <v/>
          </cell>
          <cell r="AC8422" t="str">
            <v/>
          </cell>
          <cell r="AD8422" t="str">
            <v/>
          </cell>
          <cell r="AY8422" t="str">
            <v/>
          </cell>
          <cell r="AZ8422" t="str">
            <v/>
          </cell>
          <cell r="BA8422" t="str">
            <v/>
          </cell>
        </row>
        <row r="8423">
          <cell r="B8423" t="str">
            <v>-</v>
          </cell>
          <cell r="E8423" t="str">
            <v/>
          </cell>
          <cell r="G8423" t="str">
            <v/>
          </cell>
          <cell r="J8423" t="str">
            <v/>
          </cell>
          <cell r="O8423" t="str">
            <v/>
          </cell>
          <cell r="P8423" t="str">
            <v/>
          </cell>
          <cell r="Q8423" t="str">
            <v/>
          </cell>
          <cell r="S8423" t="str">
            <v/>
          </cell>
          <cell r="V8423" t="str">
            <v/>
          </cell>
          <cell r="Z8423" t="str">
            <v/>
          </cell>
          <cell r="AA8423" t="str">
            <v/>
          </cell>
          <cell r="AB8423" t="str">
            <v/>
          </cell>
          <cell r="AC8423" t="str">
            <v/>
          </cell>
          <cell r="AD8423" t="str">
            <v/>
          </cell>
          <cell r="AY8423" t="str">
            <v/>
          </cell>
          <cell r="AZ8423" t="str">
            <v/>
          </cell>
          <cell r="BA8423" t="str">
            <v/>
          </cell>
        </row>
        <row r="8424">
          <cell r="B8424" t="str">
            <v>-</v>
          </cell>
          <cell r="E8424" t="str">
            <v/>
          </cell>
          <cell r="G8424" t="str">
            <v/>
          </cell>
          <cell r="J8424" t="str">
            <v/>
          </cell>
          <cell r="O8424" t="str">
            <v/>
          </cell>
          <cell r="P8424" t="str">
            <v/>
          </cell>
          <cell r="Q8424" t="str">
            <v/>
          </cell>
          <cell r="S8424" t="str">
            <v/>
          </cell>
          <cell r="V8424" t="str">
            <v/>
          </cell>
          <cell r="Z8424" t="str">
            <v/>
          </cell>
          <cell r="AA8424" t="str">
            <v/>
          </cell>
          <cell r="AB8424" t="str">
            <v/>
          </cell>
          <cell r="AC8424" t="str">
            <v/>
          </cell>
          <cell r="AD8424" t="str">
            <v/>
          </cell>
          <cell r="AY8424" t="str">
            <v/>
          </cell>
          <cell r="AZ8424" t="str">
            <v/>
          </cell>
          <cell r="BA8424" t="str">
            <v/>
          </cell>
        </row>
        <row r="8425">
          <cell r="B8425" t="str">
            <v>-</v>
          </cell>
          <cell r="E8425" t="str">
            <v/>
          </cell>
          <cell r="G8425" t="str">
            <v/>
          </cell>
          <cell r="J8425" t="str">
            <v/>
          </cell>
          <cell r="O8425" t="str">
            <v/>
          </cell>
          <cell r="P8425" t="str">
            <v/>
          </cell>
          <cell r="Q8425" t="str">
            <v/>
          </cell>
          <cell r="S8425" t="str">
            <v/>
          </cell>
          <cell r="V8425" t="str">
            <v/>
          </cell>
          <cell r="Z8425" t="str">
            <v/>
          </cell>
          <cell r="AA8425" t="str">
            <v/>
          </cell>
          <cell r="AB8425" t="str">
            <v/>
          </cell>
          <cell r="AC8425" t="str">
            <v/>
          </cell>
          <cell r="AD8425" t="str">
            <v/>
          </cell>
          <cell r="AY8425" t="str">
            <v/>
          </cell>
          <cell r="AZ8425" t="str">
            <v/>
          </cell>
          <cell r="BA8425" t="str">
            <v/>
          </cell>
        </row>
        <row r="8426">
          <cell r="B8426" t="str">
            <v>-</v>
          </cell>
          <cell r="E8426" t="str">
            <v/>
          </cell>
          <cell r="G8426" t="str">
            <v/>
          </cell>
          <cell r="J8426" t="str">
            <v/>
          </cell>
          <cell r="O8426" t="str">
            <v/>
          </cell>
          <cell r="P8426" t="str">
            <v/>
          </cell>
          <cell r="Q8426" t="str">
            <v/>
          </cell>
          <cell r="S8426" t="str">
            <v/>
          </cell>
          <cell r="V8426" t="str">
            <v/>
          </cell>
          <cell r="Z8426" t="str">
            <v/>
          </cell>
          <cell r="AA8426" t="str">
            <v/>
          </cell>
          <cell r="AB8426" t="str">
            <v/>
          </cell>
          <cell r="AC8426" t="str">
            <v/>
          </cell>
          <cell r="AD8426" t="str">
            <v/>
          </cell>
          <cell r="AY8426" t="str">
            <v/>
          </cell>
          <cell r="AZ8426" t="str">
            <v/>
          </cell>
          <cell r="BA8426" t="str">
            <v/>
          </cell>
        </row>
        <row r="8427">
          <cell r="B8427" t="str">
            <v>-</v>
          </cell>
          <cell r="E8427" t="str">
            <v/>
          </cell>
          <cell r="G8427" t="str">
            <v/>
          </cell>
          <cell r="J8427" t="str">
            <v/>
          </cell>
          <cell r="O8427" t="str">
            <v/>
          </cell>
          <cell r="P8427" t="str">
            <v/>
          </cell>
          <cell r="Q8427" t="str">
            <v/>
          </cell>
          <cell r="S8427" t="str">
            <v/>
          </cell>
          <cell r="V8427" t="str">
            <v/>
          </cell>
          <cell r="Z8427" t="str">
            <v/>
          </cell>
          <cell r="AA8427" t="str">
            <v/>
          </cell>
          <cell r="AB8427" t="str">
            <v/>
          </cell>
          <cell r="AC8427" t="str">
            <v/>
          </cell>
          <cell r="AD8427" t="str">
            <v/>
          </cell>
          <cell r="AY8427" t="str">
            <v/>
          </cell>
          <cell r="AZ8427" t="str">
            <v/>
          </cell>
          <cell r="BA8427" t="str">
            <v/>
          </cell>
        </row>
        <row r="8428">
          <cell r="B8428" t="str">
            <v>-</v>
          </cell>
          <cell r="E8428" t="str">
            <v/>
          </cell>
          <cell r="G8428" t="str">
            <v/>
          </cell>
          <cell r="J8428" t="str">
            <v/>
          </cell>
          <cell r="O8428" t="str">
            <v/>
          </cell>
          <cell r="P8428" t="str">
            <v/>
          </cell>
          <cell r="Q8428" t="str">
            <v/>
          </cell>
          <cell r="S8428" t="str">
            <v/>
          </cell>
          <cell r="V8428" t="str">
            <v/>
          </cell>
          <cell r="Z8428" t="str">
            <v/>
          </cell>
          <cell r="AA8428" t="str">
            <v/>
          </cell>
          <cell r="AB8428" t="str">
            <v/>
          </cell>
          <cell r="AC8428" t="str">
            <v/>
          </cell>
          <cell r="AD8428" t="str">
            <v/>
          </cell>
          <cell r="AY8428" t="str">
            <v/>
          </cell>
          <cell r="AZ8428" t="str">
            <v/>
          </cell>
          <cell r="BA8428" t="str">
            <v/>
          </cell>
        </row>
        <row r="8429">
          <cell r="B8429" t="str">
            <v>-</v>
          </cell>
          <cell r="E8429" t="str">
            <v/>
          </cell>
          <cell r="G8429" t="str">
            <v/>
          </cell>
          <cell r="J8429" t="str">
            <v/>
          </cell>
          <cell r="O8429" t="str">
            <v/>
          </cell>
          <cell r="P8429" t="str">
            <v/>
          </cell>
          <cell r="Q8429" t="str">
            <v/>
          </cell>
          <cell r="S8429" t="str">
            <v/>
          </cell>
          <cell r="V8429" t="str">
            <v/>
          </cell>
          <cell r="Z8429" t="str">
            <v/>
          </cell>
          <cell r="AA8429" t="str">
            <v/>
          </cell>
          <cell r="AB8429" t="str">
            <v/>
          </cell>
          <cell r="AC8429" t="str">
            <v/>
          </cell>
          <cell r="AD8429" t="str">
            <v/>
          </cell>
          <cell r="AY8429" t="str">
            <v/>
          </cell>
          <cell r="AZ8429" t="str">
            <v/>
          </cell>
          <cell r="BA8429" t="str">
            <v/>
          </cell>
        </row>
        <row r="8430">
          <cell r="B8430" t="str">
            <v>-</v>
          </cell>
          <cell r="E8430" t="str">
            <v/>
          </cell>
          <cell r="G8430" t="str">
            <v/>
          </cell>
          <cell r="J8430" t="str">
            <v/>
          </cell>
          <cell r="O8430" t="str">
            <v/>
          </cell>
          <cell r="P8430" t="str">
            <v/>
          </cell>
          <cell r="Q8430" t="str">
            <v/>
          </cell>
          <cell r="S8430" t="str">
            <v/>
          </cell>
          <cell r="V8430" t="str">
            <v/>
          </cell>
          <cell r="Z8430" t="str">
            <v/>
          </cell>
          <cell r="AA8430" t="str">
            <v/>
          </cell>
          <cell r="AB8430" t="str">
            <v/>
          </cell>
          <cell r="AC8430" t="str">
            <v/>
          </cell>
          <cell r="AD8430" t="str">
            <v/>
          </cell>
          <cell r="AY8430" t="str">
            <v/>
          </cell>
          <cell r="AZ8430" t="str">
            <v/>
          </cell>
          <cell r="BA8430" t="str">
            <v/>
          </cell>
        </row>
        <row r="8431">
          <cell r="B8431" t="str">
            <v>-</v>
          </cell>
          <cell r="E8431" t="str">
            <v/>
          </cell>
          <cell r="G8431" t="str">
            <v/>
          </cell>
          <cell r="J8431" t="str">
            <v/>
          </cell>
          <cell r="O8431" t="str">
            <v/>
          </cell>
          <cell r="P8431" t="str">
            <v/>
          </cell>
          <cell r="Q8431" t="str">
            <v/>
          </cell>
          <cell r="S8431" t="str">
            <v/>
          </cell>
          <cell r="V8431" t="str">
            <v/>
          </cell>
          <cell r="Z8431" t="str">
            <v/>
          </cell>
          <cell r="AA8431" t="str">
            <v/>
          </cell>
          <cell r="AB8431" t="str">
            <v/>
          </cell>
          <cell r="AC8431" t="str">
            <v/>
          </cell>
          <cell r="AD8431" t="str">
            <v/>
          </cell>
          <cell r="AY8431" t="str">
            <v/>
          </cell>
          <cell r="AZ8431" t="str">
            <v/>
          </cell>
          <cell r="BA8431" t="str">
            <v/>
          </cell>
        </row>
        <row r="8432">
          <cell r="B8432" t="str">
            <v>-</v>
          </cell>
          <cell r="E8432" t="str">
            <v/>
          </cell>
          <cell r="G8432" t="str">
            <v/>
          </cell>
          <cell r="J8432" t="str">
            <v/>
          </cell>
          <cell r="O8432" t="str">
            <v/>
          </cell>
          <cell r="P8432" t="str">
            <v/>
          </cell>
          <cell r="Q8432" t="str">
            <v/>
          </cell>
          <cell r="S8432" t="str">
            <v/>
          </cell>
          <cell r="V8432" t="str">
            <v/>
          </cell>
          <cell r="Z8432" t="str">
            <v/>
          </cell>
          <cell r="AA8432" t="str">
            <v/>
          </cell>
          <cell r="AB8432" t="str">
            <v/>
          </cell>
          <cell r="AC8432" t="str">
            <v/>
          </cell>
          <cell r="AD8432" t="str">
            <v/>
          </cell>
          <cell r="AY8432" t="str">
            <v/>
          </cell>
          <cell r="AZ8432" t="str">
            <v/>
          </cell>
          <cell r="BA8432" t="str">
            <v/>
          </cell>
        </row>
        <row r="8433">
          <cell r="B8433" t="str">
            <v>-</v>
          </cell>
          <cell r="E8433" t="str">
            <v/>
          </cell>
          <cell r="G8433" t="str">
            <v/>
          </cell>
          <cell r="J8433" t="str">
            <v/>
          </cell>
          <cell r="O8433" t="str">
            <v/>
          </cell>
          <cell r="P8433" t="str">
            <v/>
          </cell>
          <cell r="Q8433" t="str">
            <v/>
          </cell>
          <cell r="S8433" t="str">
            <v/>
          </cell>
          <cell r="V8433" t="str">
            <v/>
          </cell>
          <cell r="Z8433" t="str">
            <v/>
          </cell>
          <cell r="AA8433" t="str">
            <v/>
          </cell>
          <cell r="AB8433" t="str">
            <v/>
          </cell>
          <cell r="AC8433" t="str">
            <v/>
          </cell>
          <cell r="AD8433" t="str">
            <v/>
          </cell>
          <cell r="AY8433" t="str">
            <v/>
          </cell>
          <cell r="AZ8433" t="str">
            <v/>
          </cell>
          <cell r="BA8433" t="str">
            <v/>
          </cell>
        </row>
        <row r="8434">
          <cell r="B8434" t="str">
            <v>-</v>
          </cell>
          <cell r="E8434" t="str">
            <v/>
          </cell>
          <cell r="G8434" t="str">
            <v/>
          </cell>
          <cell r="J8434" t="str">
            <v/>
          </cell>
          <cell r="O8434" t="str">
            <v/>
          </cell>
          <cell r="P8434" t="str">
            <v/>
          </cell>
          <cell r="Q8434" t="str">
            <v/>
          </cell>
          <cell r="S8434" t="str">
            <v/>
          </cell>
          <cell r="V8434" t="str">
            <v/>
          </cell>
          <cell r="Z8434" t="str">
            <v/>
          </cell>
          <cell r="AA8434" t="str">
            <v/>
          </cell>
          <cell r="AB8434" t="str">
            <v/>
          </cell>
          <cell r="AC8434" t="str">
            <v/>
          </cell>
          <cell r="AD8434" t="str">
            <v/>
          </cell>
          <cell r="AY8434" t="str">
            <v/>
          </cell>
          <cell r="AZ8434" t="str">
            <v/>
          </cell>
          <cell r="BA8434" t="str">
            <v/>
          </cell>
        </row>
        <row r="8435">
          <cell r="B8435" t="str">
            <v>-</v>
          </cell>
          <cell r="E8435" t="str">
            <v/>
          </cell>
          <cell r="G8435" t="str">
            <v/>
          </cell>
          <cell r="J8435" t="str">
            <v/>
          </cell>
          <cell r="O8435" t="str">
            <v/>
          </cell>
          <cell r="P8435" t="str">
            <v/>
          </cell>
          <cell r="Q8435" t="str">
            <v/>
          </cell>
          <cell r="S8435" t="str">
            <v/>
          </cell>
          <cell r="V8435" t="str">
            <v/>
          </cell>
          <cell r="Z8435" t="str">
            <v/>
          </cell>
          <cell r="AA8435" t="str">
            <v/>
          </cell>
          <cell r="AB8435" t="str">
            <v/>
          </cell>
          <cell r="AC8435" t="str">
            <v/>
          </cell>
          <cell r="AD8435" t="str">
            <v/>
          </cell>
          <cell r="AY8435" t="str">
            <v/>
          </cell>
          <cell r="AZ8435" t="str">
            <v/>
          </cell>
          <cell r="BA8435" t="str">
            <v/>
          </cell>
        </row>
        <row r="8436">
          <cell r="B8436" t="str">
            <v>-</v>
          </cell>
          <cell r="E8436" t="str">
            <v/>
          </cell>
          <cell r="G8436" t="str">
            <v/>
          </cell>
          <cell r="J8436" t="str">
            <v/>
          </cell>
          <cell r="O8436" t="str">
            <v/>
          </cell>
          <cell r="P8436" t="str">
            <v/>
          </cell>
          <cell r="Q8436" t="str">
            <v/>
          </cell>
          <cell r="S8436" t="str">
            <v/>
          </cell>
          <cell r="V8436" t="str">
            <v/>
          </cell>
          <cell r="Z8436" t="str">
            <v/>
          </cell>
          <cell r="AA8436" t="str">
            <v/>
          </cell>
          <cell r="AB8436" t="str">
            <v/>
          </cell>
          <cell r="AC8436" t="str">
            <v/>
          </cell>
          <cell r="AD8436" t="str">
            <v/>
          </cell>
          <cell r="AY8436" t="str">
            <v/>
          </cell>
          <cell r="AZ8436" t="str">
            <v/>
          </cell>
          <cell r="BA8436" t="str">
            <v/>
          </cell>
        </row>
        <row r="8437">
          <cell r="B8437" t="str">
            <v>-</v>
          </cell>
          <cell r="E8437" t="str">
            <v/>
          </cell>
          <cell r="G8437" t="str">
            <v/>
          </cell>
          <cell r="J8437" t="str">
            <v/>
          </cell>
          <cell r="O8437" t="str">
            <v/>
          </cell>
          <cell r="P8437" t="str">
            <v/>
          </cell>
          <cell r="Q8437" t="str">
            <v/>
          </cell>
          <cell r="S8437" t="str">
            <v/>
          </cell>
          <cell r="V8437" t="str">
            <v/>
          </cell>
          <cell r="Z8437" t="str">
            <v/>
          </cell>
          <cell r="AA8437" t="str">
            <v/>
          </cell>
          <cell r="AB8437" t="str">
            <v/>
          </cell>
          <cell r="AC8437" t="str">
            <v/>
          </cell>
          <cell r="AD8437" t="str">
            <v/>
          </cell>
          <cell r="AY8437" t="str">
            <v/>
          </cell>
          <cell r="AZ8437" t="str">
            <v/>
          </cell>
          <cell r="BA8437" t="str">
            <v/>
          </cell>
        </row>
        <row r="8438">
          <cell r="B8438" t="str">
            <v>-</v>
          </cell>
          <cell r="E8438" t="str">
            <v/>
          </cell>
          <cell r="G8438" t="str">
            <v/>
          </cell>
          <cell r="J8438" t="str">
            <v/>
          </cell>
          <cell r="O8438" t="str">
            <v/>
          </cell>
          <cell r="P8438" t="str">
            <v/>
          </cell>
          <cell r="Q8438" t="str">
            <v/>
          </cell>
          <cell r="S8438" t="str">
            <v/>
          </cell>
          <cell r="V8438" t="str">
            <v/>
          </cell>
          <cell r="Z8438" t="str">
            <v/>
          </cell>
          <cell r="AA8438" t="str">
            <v/>
          </cell>
          <cell r="AB8438" t="str">
            <v/>
          </cell>
          <cell r="AC8438" t="str">
            <v/>
          </cell>
          <cell r="AD8438" t="str">
            <v/>
          </cell>
          <cell r="AY8438" t="str">
            <v/>
          </cell>
          <cell r="AZ8438" t="str">
            <v/>
          </cell>
          <cell r="BA8438" t="str">
            <v/>
          </cell>
        </row>
        <row r="8439">
          <cell r="B8439" t="str">
            <v>-</v>
          </cell>
          <cell r="E8439" t="str">
            <v/>
          </cell>
          <cell r="G8439" t="str">
            <v/>
          </cell>
          <cell r="J8439" t="str">
            <v/>
          </cell>
          <cell r="O8439" t="str">
            <v/>
          </cell>
          <cell r="P8439" t="str">
            <v/>
          </cell>
          <cell r="Q8439" t="str">
            <v/>
          </cell>
          <cell r="S8439" t="str">
            <v/>
          </cell>
          <cell r="V8439" t="str">
            <v/>
          </cell>
          <cell r="Z8439" t="str">
            <v/>
          </cell>
          <cell r="AA8439" t="str">
            <v/>
          </cell>
          <cell r="AB8439" t="str">
            <v/>
          </cell>
          <cell r="AC8439" t="str">
            <v/>
          </cell>
          <cell r="AD8439" t="str">
            <v/>
          </cell>
          <cell r="AY8439" t="str">
            <v/>
          </cell>
          <cell r="AZ8439" t="str">
            <v/>
          </cell>
          <cell r="BA8439" t="str">
            <v/>
          </cell>
        </row>
        <row r="8440">
          <cell r="B8440" t="str">
            <v>-</v>
          </cell>
          <cell r="E8440" t="str">
            <v/>
          </cell>
          <cell r="G8440" t="str">
            <v/>
          </cell>
          <cell r="J8440" t="str">
            <v/>
          </cell>
          <cell r="O8440" t="str">
            <v/>
          </cell>
          <cell r="P8440" t="str">
            <v/>
          </cell>
          <cell r="Q8440" t="str">
            <v/>
          </cell>
          <cell r="S8440" t="str">
            <v/>
          </cell>
          <cell r="V8440" t="str">
            <v/>
          </cell>
          <cell r="Z8440" t="str">
            <v/>
          </cell>
          <cell r="AA8440" t="str">
            <v/>
          </cell>
          <cell r="AB8440" t="str">
            <v/>
          </cell>
          <cell r="AC8440" t="str">
            <v/>
          </cell>
          <cell r="AD8440" t="str">
            <v/>
          </cell>
          <cell r="AY8440" t="str">
            <v/>
          </cell>
          <cell r="AZ8440" t="str">
            <v/>
          </cell>
          <cell r="BA8440" t="str">
            <v/>
          </cell>
        </row>
        <row r="8441">
          <cell r="B8441" t="str">
            <v>-</v>
          </cell>
          <cell r="E8441" t="str">
            <v/>
          </cell>
          <cell r="G8441" t="str">
            <v/>
          </cell>
          <cell r="J8441" t="str">
            <v/>
          </cell>
          <cell r="O8441" t="str">
            <v/>
          </cell>
          <cell r="P8441" t="str">
            <v/>
          </cell>
          <cell r="Q8441" t="str">
            <v/>
          </cell>
          <cell r="S8441" t="str">
            <v/>
          </cell>
          <cell r="V8441" t="str">
            <v/>
          </cell>
          <cell r="Z8441" t="str">
            <v/>
          </cell>
          <cell r="AA8441" t="str">
            <v/>
          </cell>
          <cell r="AB8441" t="str">
            <v/>
          </cell>
          <cell r="AC8441" t="str">
            <v/>
          </cell>
          <cell r="AD8441" t="str">
            <v/>
          </cell>
          <cell r="AY8441" t="str">
            <v/>
          </cell>
          <cell r="AZ8441" t="str">
            <v/>
          </cell>
          <cell r="BA8441" t="str">
            <v/>
          </cell>
        </row>
        <row r="8442">
          <cell r="B8442" t="str">
            <v>-</v>
          </cell>
          <cell r="E8442" t="str">
            <v/>
          </cell>
          <cell r="G8442" t="str">
            <v/>
          </cell>
          <cell r="J8442" t="str">
            <v/>
          </cell>
          <cell r="O8442" t="str">
            <v/>
          </cell>
          <cell r="P8442" t="str">
            <v/>
          </cell>
          <cell r="Q8442" t="str">
            <v/>
          </cell>
          <cell r="S8442" t="str">
            <v/>
          </cell>
          <cell r="V8442" t="str">
            <v/>
          </cell>
          <cell r="Z8442" t="str">
            <v/>
          </cell>
          <cell r="AA8442" t="str">
            <v/>
          </cell>
          <cell r="AB8442" t="str">
            <v/>
          </cell>
          <cell r="AC8442" t="str">
            <v/>
          </cell>
          <cell r="AD8442" t="str">
            <v/>
          </cell>
          <cell r="AY8442" t="str">
            <v/>
          </cell>
          <cell r="AZ8442" t="str">
            <v/>
          </cell>
          <cell r="BA8442" t="str">
            <v/>
          </cell>
        </row>
        <row r="8443">
          <cell r="B8443" t="str">
            <v>-</v>
          </cell>
          <cell r="E8443" t="str">
            <v/>
          </cell>
          <cell r="G8443" t="str">
            <v/>
          </cell>
          <cell r="J8443" t="str">
            <v/>
          </cell>
          <cell r="O8443" t="str">
            <v/>
          </cell>
          <cell r="P8443" t="str">
            <v/>
          </cell>
          <cell r="Q8443" t="str">
            <v/>
          </cell>
          <cell r="S8443" t="str">
            <v/>
          </cell>
          <cell r="V8443" t="str">
            <v/>
          </cell>
          <cell r="Z8443" t="str">
            <v/>
          </cell>
          <cell r="AA8443" t="str">
            <v/>
          </cell>
          <cell r="AB8443" t="str">
            <v/>
          </cell>
          <cell r="AC8443" t="str">
            <v/>
          </cell>
          <cell r="AD8443" t="str">
            <v/>
          </cell>
          <cell r="AY8443" t="str">
            <v/>
          </cell>
          <cell r="AZ8443" t="str">
            <v/>
          </cell>
          <cell r="BA8443" t="str">
            <v/>
          </cell>
        </row>
        <row r="8444">
          <cell r="B8444" t="str">
            <v>-</v>
          </cell>
          <cell r="E8444" t="str">
            <v/>
          </cell>
          <cell r="G8444" t="str">
            <v/>
          </cell>
          <cell r="J8444" t="str">
            <v/>
          </cell>
          <cell r="O8444" t="str">
            <v/>
          </cell>
          <cell r="P8444" t="str">
            <v/>
          </cell>
          <cell r="Q8444" t="str">
            <v/>
          </cell>
          <cell r="S8444" t="str">
            <v/>
          </cell>
          <cell r="V8444" t="str">
            <v/>
          </cell>
          <cell r="Z8444" t="str">
            <v/>
          </cell>
          <cell r="AA8444" t="str">
            <v/>
          </cell>
          <cell r="AB8444" t="str">
            <v/>
          </cell>
          <cell r="AC8444" t="str">
            <v/>
          </cell>
          <cell r="AD8444" t="str">
            <v/>
          </cell>
          <cell r="AY8444" t="str">
            <v/>
          </cell>
          <cell r="AZ8444" t="str">
            <v/>
          </cell>
          <cell r="BA8444" t="str">
            <v/>
          </cell>
        </row>
        <row r="8445">
          <cell r="B8445" t="str">
            <v>-</v>
          </cell>
          <cell r="E8445" t="str">
            <v/>
          </cell>
          <cell r="G8445" t="str">
            <v/>
          </cell>
          <cell r="J8445" t="str">
            <v/>
          </cell>
          <cell r="O8445" t="str">
            <v/>
          </cell>
          <cell r="P8445" t="str">
            <v/>
          </cell>
          <cell r="Q8445" t="str">
            <v/>
          </cell>
          <cell r="S8445" t="str">
            <v/>
          </cell>
          <cell r="V8445" t="str">
            <v/>
          </cell>
          <cell r="Z8445" t="str">
            <v/>
          </cell>
          <cell r="AA8445" t="str">
            <v/>
          </cell>
          <cell r="AB8445" t="str">
            <v/>
          </cell>
          <cell r="AC8445" t="str">
            <v/>
          </cell>
          <cell r="AD8445" t="str">
            <v/>
          </cell>
          <cell r="AY8445" t="str">
            <v/>
          </cell>
          <cell r="AZ8445" t="str">
            <v/>
          </cell>
          <cell r="BA8445" t="str">
            <v/>
          </cell>
        </row>
        <row r="8446">
          <cell r="B8446" t="str">
            <v>-</v>
          </cell>
          <cell r="E8446" t="str">
            <v/>
          </cell>
          <cell r="G8446" t="str">
            <v/>
          </cell>
          <cell r="J8446" t="str">
            <v/>
          </cell>
          <cell r="O8446" t="str">
            <v/>
          </cell>
          <cell r="P8446" t="str">
            <v/>
          </cell>
          <cell r="Q8446" t="str">
            <v/>
          </cell>
          <cell r="S8446" t="str">
            <v/>
          </cell>
          <cell r="V8446" t="str">
            <v/>
          </cell>
          <cell r="Z8446" t="str">
            <v/>
          </cell>
          <cell r="AA8446" t="str">
            <v/>
          </cell>
          <cell r="AB8446" t="str">
            <v/>
          </cell>
          <cell r="AC8446" t="str">
            <v/>
          </cell>
          <cell r="AD8446" t="str">
            <v/>
          </cell>
          <cell r="AY8446" t="str">
            <v/>
          </cell>
          <cell r="AZ8446" t="str">
            <v/>
          </cell>
          <cell r="BA8446" t="str">
            <v/>
          </cell>
        </row>
        <row r="8447">
          <cell r="B8447" t="str">
            <v>-</v>
          </cell>
          <cell r="E8447" t="str">
            <v/>
          </cell>
          <cell r="G8447" t="str">
            <v/>
          </cell>
          <cell r="J8447" t="str">
            <v/>
          </cell>
          <cell r="O8447" t="str">
            <v/>
          </cell>
          <cell r="P8447" t="str">
            <v/>
          </cell>
          <cell r="Q8447" t="str">
            <v/>
          </cell>
          <cell r="S8447" t="str">
            <v/>
          </cell>
          <cell r="V8447" t="str">
            <v/>
          </cell>
          <cell r="Z8447" t="str">
            <v/>
          </cell>
          <cell r="AA8447" t="str">
            <v/>
          </cell>
          <cell r="AB8447" t="str">
            <v/>
          </cell>
          <cell r="AC8447" t="str">
            <v/>
          </cell>
          <cell r="AD8447" t="str">
            <v/>
          </cell>
          <cell r="AY8447" t="str">
            <v/>
          </cell>
          <cell r="AZ8447" t="str">
            <v/>
          </cell>
          <cell r="BA8447" t="str">
            <v/>
          </cell>
        </row>
        <row r="8448">
          <cell r="B8448" t="str">
            <v>-</v>
          </cell>
          <cell r="E8448" t="str">
            <v/>
          </cell>
          <cell r="G8448" t="str">
            <v/>
          </cell>
          <cell r="J8448" t="str">
            <v/>
          </cell>
          <cell r="O8448" t="str">
            <v/>
          </cell>
          <cell r="P8448" t="str">
            <v/>
          </cell>
          <cell r="Q8448" t="str">
            <v/>
          </cell>
          <cell r="S8448" t="str">
            <v/>
          </cell>
          <cell r="V8448" t="str">
            <v/>
          </cell>
          <cell r="Z8448" t="str">
            <v/>
          </cell>
          <cell r="AA8448" t="str">
            <v/>
          </cell>
          <cell r="AB8448" t="str">
            <v/>
          </cell>
          <cell r="AC8448" t="str">
            <v/>
          </cell>
          <cell r="AD8448" t="str">
            <v/>
          </cell>
          <cell r="AY8448" t="str">
            <v/>
          </cell>
          <cell r="AZ8448" t="str">
            <v/>
          </cell>
          <cell r="BA8448" t="str">
            <v/>
          </cell>
        </row>
        <row r="8449">
          <cell r="B8449" t="str">
            <v>-</v>
          </cell>
          <cell r="E8449" t="str">
            <v/>
          </cell>
          <cell r="G8449" t="str">
            <v/>
          </cell>
          <cell r="J8449" t="str">
            <v/>
          </cell>
          <cell r="O8449" t="str">
            <v/>
          </cell>
          <cell r="P8449" t="str">
            <v/>
          </cell>
          <cell r="Q8449" t="str">
            <v/>
          </cell>
          <cell r="S8449" t="str">
            <v/>
          </cell>
          <cell r="V8449" t="str">
            <v/>
          </cell>
          <cell r="Z8449" t="str">
            <v/>
          </cell>
          <cell r="AA8449" t="str">
            <v/>
          </cell>
          <cell r="AB8449" t="str">
            <v/>
          </cell>
          <cell r="AC8449" t="str">
            <v/>
          </cell>
          <cell r="AD8449" t="str">
            <v/>
          </cell>
          <cell r="AY8449" t="str">
            <v/>
          </cell>
          <cell r="AZ8449" t="str">
            <v/>
          </cell>
          <cell r="BA8449" t="str">
            <v/>
          </cell>
        </row>
        <row r="8450">
          <cell r="B8450" t="str">
            <v>-</v>
          </cell>
          <cell r="E8450" t="str">
            <v/>
          </cell>
          <cell r="G8450" t="str">
            <v/>
          </cell>
          <cell r="J8450" t="str">
            <v/>
          </cell>
          <cell r="O8450" t="str">
            <v/>
          </cell>
          <cell r="P8450" t="str">
            <v/>
          </cell>
          <cell r="Q8450" t="str">
            <v/>
          </cell>
          <cell r="S8450" t="str">
            <v/>
          </cell>
          <cell r="V8450" t="str">
            <v/>
          </cell>
          <cell r="Z8450" t="str">
            <v/>
          </cell>
          <cell r="AA8450" t="str">
            <v/>
          </cell>
          <cell r="AB8450" t="str">
            <v/>
          </cell>
          <cell r="AC8450" t="str">
            <v/>
          </cell>
          <cell r="AD8450" t="str">
            <v/>
          </cell>
          <cell r="AY8450" t="str">
            <v/>
          </cell>
          <cell r="AZ8450" t="str">
            <v/>
          </cell>
          <cell r="BA8450" t="str">
            <v/>
          </cell>
        </row>
        <row r="8451">
          <cell r="B8451" t="str">
            <v>-</v>
          </cell>
          <cell r="E8451" t="str">
            <v/>
          </cell>
          <cell r="G8451" t="str">
            <v/>
          </cell>
          <cell r="J8451" t="str">
            <v/>
          </cell>
          <cell r="O8451" t="str">
            <v/>
          </cell>
          <cell r="P8451" t="str">
            <v/>
          </cell>
          <cell r="Q8451" t="str">
            <v/>
          </cell>
          <cell r="S8451" t="str">
            <v/>
          </cell>
          <cell r="V8451" t="str">
            <v/>
          </cell>
          <cell r="Z8451" t="str">
            <v/>
          </cell>
          <cell r="AA8451" t="str">
            <v/>
          </cell>
          <cell r="AB8451" t="str">
            <v/>
          </cell>
          <cell r="AC8451" t="str">
            <v/>
          </cell>
          <cell r="AD8451" t="str">
            <v/>
          </cell>
          <cell r="AY8451" t="str">
            <v/>
          </cell>
          <cell r="AZ8451" t="str">
            <v/>
          </cell>
          <cell r="BA8451" t="str">
            <v/>
          </cell>
        </row>
        <row r="8452">
          <cell r="B8452" t="str">
            <v>-</v>
          </cell>
          <cell r="E8452" t="str">
            <v/>
          </cell>
          <cell r="G8452" t="str">
            <v/>
          </cell>
          <cell r="J8452" t="str">
            <v/>
          </cell>
          <cell r="O8452" t="str">
            <v/>
          </cell>
          <cell r="P8452" t="str">
            <v/>
          </cell>
          <cell r="Q8452" t="str">
            <v/>
          </cell>
          <cell r="S8452" t="str">
            <v/>
          </cell>
          <cell r="V8452" t="str">
            <v/>
          </cell>
          <cell r="Z8452" t="str">
            <v/>
          </cell>
          <cell r="AA8452" t="str">
            <v/>
          </cell>
          <cell r="AB8452" t="str">
            <v/>
          </cell>
          <cell r="AC8452" t="str">
            <v/>
          </cell>
          <cell r="AD8452" t="str">
            <v/>
          </cell>
          <cell r="AY8452" t="str">
            <v/>
          </cell>
          <cell r="AZ8452" t="str">
            <v/>
          </cell>
          <cell r="BA8452" t="str">
            <v/>
          </cell>
        </row>
        <row r="8453">
          <cell r="B8453" t="str">
            <v>-</v>
          </cell>
          <cell r="E8453" t="str">
            <v/>
          </cell>
          <cell r="G8453" t="str">
            <v/>
          </cell>
          <cell r="J8453" t="str">
            <v/>
          </cell>
          <cell r="O8453" t="str">
            <v/>
          </cell>
          <cell r="P8453" t="str">
            <v/>
          </cell>
          <cell r="Q8453" t="str">
            <v/>
          </cell>
          <cell r="S8453" t="str">
            <v/>
          </cell>
          <cell r="V8453" t="str">
            <v/>
          </cell>
          <cell r="Z8453" t="str">
            <v/>
          </cell>
          <cell r="AA8453" t="str">
            <v/>
          </cell>
          <cell r="AB8453" t="str">
            <v/>
          </cell>
          <cell r="AC8453" t="str">
            <v/>
          </cell>
          <cell r="AD8453" t="str">
            <v/>
          </cell>
          <cell r="AY8453" t="str">
            <v/>
          </cell>
          <cell r="AZ8453" t="str">
            <v/>
          </cell>
          <cell r="BA8453" t="str">
            <v/>
          </cell>
        </row>
        <row r="8454">
          <cell r="B8454" t="str">
            <v>-</v>
          </cell>
          <cell r="E8454" t="str">
            <v/>
          </cell>
          <cell r="G8454" t="str">
            <v/>
          </cell>
          <cell r="J8454" t="str">
            <v/>
          </cell>
          <cell r="O8454" t="str">
            <v/>
          </cell>
          <cell r="P8454" t="str">
            <v/>
          </cell>
          <cell r="Q8454" t="str">
            <v/>
          </cell>
          <cell r="S8454" t="str">
            <v/>
          </cell>
          <cell r="V8454" t="str">
            <v/>
          </cell>
          <cell r="Z8454" t="str">
            <v/>
          </cell>
          <cell r="AA8454" t="str">
            <v/>
          </cell>
          <cell r="AB8454" t="str">
            <v/>
          </cell>
          <cell r="AC8454" t="str">
            <v/>
          </cell>
          <cell r="AD8454" t="str">
            <v/>
          </cell>
          <cell r="AY8454" t="str">
            <v/>
          </cell>
          <cell r="AZ8454" t="str">
            <v/>
          </cell>
          <cell r="BA8454" t="str">
            <v/>
          </cell>
        </row>
        <row r="8455">
          <cell r="B8455" t="str">
            <v>-</v>
          </cell>
          <cell r="E8455" t="str">
            <v/>
          </cell>
          <cell r="G8455" t="str">
            <v/>
          </cell>
          <cell r="J8455" t="str">
            <v/>
          </cell>
          <cell r="O8455" t="str">
            <v/>
          </cell>
          <cell r="P8455" t="str">
            <v/>
          </cell>
          <cell r="Q8455" t="str">
            <v/>
          </cell>
          <cell r="S8455" t="str">
            <v/>
          </cell>
          <cell r="V8455" t="str">
            <v/>
          </cell>
          <cell r="Z8455" t="str">
            <v/>
          </cell>
          <cell r="AA8455" t="str">
            <v/>
          </cell>
          <cell r="AB8455" t="str">
            <v/>
          </cell>
          <cell r="AC8455" t="str">
            <v/>
          </cell>
          <cell r="AD8455" t="str">
            <v/>
          </cell>
          <cell r="AY8455" t="str">
            <v/>
          </cell>
          <cell r="AZ8455" t="str">
            <v/>
          </cell>
          <cell r="BA8455" t="str">
            <v/>
          </cell>
        </row>
        <row r="8456">
          <cell r="B8456" t="str">
            <v>-</v>
          </cell>
          <cell r="E8456" t="str">
            <v/>
          </cell>
          <cell r="G8456" t="str">
            <v/>
          </cell>
          <cell r="J8456" t="str">
            <v/>
          </cell>
          <cell r="O8456" t="str">
            <v/>
          </cell>
          <cell r="P8456" t="str">
            <v/>
          </cell>
          <cell r="Q8456" t="str">
            <v/>
          </cell>
          <cell r="S8456" t="str">
            <v/>
          </cell>
          <cell r="V8456" t="str">
            <v/>
          </cell>
          <cell r="Z8456" t="str">
            <v/>
          </cell>
          <cell r="AA8456" t="str">
            <v/>
          </cell>
          <cell r="AB8456" t="str">
            <v/>
          </cell>
          <cell r="AC8456" t="str">
            <v/>
          </cell>
          <cell r="AD8456" t="str">
            <v/>
          </cell>
          <cell r="AY8456" t="str">
            <v/>
          </cell>
          <cell r="AZ8456" t="str">
            <v/>
          </cell>
          <cell r="BA8456" t="str">
            <v/>
          </cell>
        </row>
        <row r="8457">
          <cell r="B8457" t="str">
            <v>-</v>
          </cell>
          <cell r="E8457" t="str">
            <v/>
          </cell>
          <cell r="G8457" t="str">
            <v/>
          </cell>
          <cell r="J8457" t="str">
            <v/>
          </cell>
          <cell r="O8457" t="str">
            <v/>
          </cell>
          <cell r="P8457" t="str">
            <v/>
          </cell>
          <cell r="Q8457" t="str">
            <v/>
          </cell>
          <cell r="S8457" t="str">
            <v/>
          </cell>
          <cell r="V8457" t="str">
            <v/>
          </cell>
          <cell r="Z8457" t="str">
            <v/>
          </cell>
          <cell r="AA8457" t="str">
            <v/>
          </cell>
          <cell r="AB8457" t="str">
            <v/>
          </cell>
          <cell r="AC8457" t="str">
            <v/>
          </cell>
          <cell r="AD8457" t="str">
            <v/>
          </cell>
          <cell r="AY8457" t="str">
            <v/>
          </cell>
          <cell r="AZ8457" t="str">
            <v/>
          </cell>
          <cell r="BA8457" t="str">
            <v/>
          </cell>
        </row>
        <row r="8458">
          <cell r="B8458" t="str">
            <v>-</v>
          </cell>
          <cell r="E8458" t="str">
            <v/>
          </cell>
          <cell r="G8458" t="str">
            <v/>
          </cell>
          <cell r="J8458" t="str">
            <v/>
          </cell>
          <cell r="O8458" t="str">
            <v/>
          </cell>
          <cell r="P8458" t="str">
            <v/>
          </cell>
          <cell r="Q8458" t="str">
            <v/>
          </cell>
          <cell r="S8458" t="str">
            <v/>
          </cell>
          <cell r="V8458" t="str">
            <v/>
          </cell>
          <cell r="Z8458" t="str">
            <v/>
          </cell>
          <cell r="AA8458" t="str">
            <v/>
          </cell>
          <cell r="AB8458" t="str">
            <v/>
          </cell>
          <cell r="AC8458" t="str">
            <v/>
          </cell>
          <cell r="AD8458" t="str">
            <v/>
          </cell>
          <cell r="AY8458" t="str">
            <v/>
          </cell>
          <cell r="AZ8458" t="str">
            <v/>
          </cell>
          <cell r="BA8458" t="str">
            <v/>
          </cell>
        </row>
        <row r="8459">
          <cell r="B8459" t="str">
            <v>-</v>
          </cell>
          <cell r="E8459" t="str">
            <v/>
          </cell>
          <cell r="G8459" t="str">
            <v/>
          </cell>
          <cell r="J8459" t="str">
            <v/>
          </cell>
          <cell r="O8459" t="str">
            <v/>
          </cell>
          <cell r="P8459" t="str">
            <v/>
          </cell>
          <cell r="Q8459" t="str">
            <v/>
          </cell>
          <cell r="S8459" t="str">
            <v/>
          </cell>
          <cell r="V8459" t="str">
            <v/>
          </cell>
          <cell r="Z8459" t="str">
            <v/>
          </cell>
          <cell r="AA8459" t="str">
            <v/>
          </cell>
          <cell r="AB8459" t="str">
            <v/>
          </cell>
          <cell r="AC8459" t="str">
            <v/>
          </cell>
          <cell r="AD8459" t="str">
            <v/>
          </cell>
          <cell r="AY8459" t="str">
            <v/>
          </cell>
          <cell r="AZ8459" t="str">
            <v/>
          </cell>
          <cell r="BA8459" t="str">
            <v/>
          </cell>
        </row>
        <row r="8460">
          <cell r="B8460" t="str">
            <v>-</v>
          </cell>
          <cell r="E8460" t="str">
            <v/>
          </cell>
          <cell r="G8460" t="str">
            <v/>
          </cell>
          <cell r="J8460" t="str">
            <v/>
          </cell>
          <cell r="O8460" t="str">
            <v/>
          </cell>
          <cell r="P8460" t="str">
            <v/>
          </cell>
          <cell r="Q8460" t="str">
            <v/>
          </cell>
          <cell r="S8460" t="str">
            <v/>
          </cell>
          <cell r="V8460" t="str">
            <v/>
          </cell>
          <cell r="Z8460" t="str">
            <v/>
          </cell>
          <cell r="AA8460" t="str">
            <v/>
          </cell>
          <cell r="AB8460" t="str">
            <v/>
          </cell>
          <cell r="AC8460" t="str">
            <v/>
          </cell>
          <cell r="AD8460" t="str">
            <v/>
          </cell>
          <cell r="AY8460" t="str">
            <v/>
          </cell>
          <cell r="AZ8460" t="str">
            <v/>
          </cell>
          <cell r="BA8460" t="str">
            <v/>
          </cell>
        </row>
        <row r="8461">
          <cell r="B8461" t="str">
            <v>-</v>
          </cell>
          <cell r="E8461" t="str">
            <v/>
          </cell>
          <cell r="G8461" t="str">
            <v/>
          </cell>
          <cell r="J8461" t="str">
            <v/>
          </cell>
          <cell r="O8461" t="str">
            <v/>
          </cell>
          <cell r="P8461" t="str">
            <v/>
          </cell>
          <cell r="Q8461" t="str">
            <v/>
          </cell>
          <cell r="S8461" t="str">
            <v/>
          </cell>
          <cell r="V8461" t="str">
            <v/>
          </cell>
          <cell r="Z8461" t="str">
            <v/>
          </cell>
          <cell r="AA8461" t="str">
            <v/>
          </cell>
          <cell r="AB8461" t="str">
            <v/>
          </cell>
          <cell r="AC8461" t="str">
            <v/>
          </cell>
          <cell r="AD8461" t="str">
            <v/>
          </cell>
          <cell r="AY8461" t="str">
            <v/>
          </cell>
          <cell r="AZ8461" t="str">
            <v/>
          </cell>
          <cell r="BA8461" t="str">
            <v/>
          </cell>
        </row>
        <row r="8462">
          <cell r="B8462" t="str">
            <v>-</v>
          </cell>
          <cell r="E8462" t="str">
            <v/>
          </cell>
          <cell r="G8462" t="str">
            <v/>
          </cell>
          <cell r="J8462" t="str">
            <v/>
          </cell>
          <cell r="O8462" t="str">
            <v/>
          </cell>
          <cell r="P8462" t="str">
            <v/>
          </cell>
          <cell r="Q8462" t="str">
            <v/>
          </cell>
          <cell r="S8462" t="str">
            <v/>
          </cell>
          <cell r="V8462" t="str">
            <v/>
          </cell>
          <cell r="Z8462" t="str">
            <v/>
          </cell>
          <cell r="AA8462" t="str">
            <v/>
          </cell>
          <cell r="AB8462" t="str">
            <v/>
          </cell>
          <cell r="AC8462" t="str">
            <v/>
          </cell>
          <cell r="AD8462" t="str">
            <v/>
          </cell>
          <cell r="AY8462" t="str">
            <v/>
          </cell>
          <cell r="AZ8462" t="str">
            <v/>
          </cell>
          <cell r="BA8462" t="str">
            <v/>
          </cell>
        </row>
        <row r="8463">
          <cell r="B8463" t="str">
            <v>-</v>
          </cell>
          <cell r="E8463" t="str">
            <v/>
          </cell>
          <cell r="G8463" t="str">
            <v/>
          </cell>
          <cell r="J8463" t="str">
            <v/>
          </cell>
          <cell r="O8463" t="str">
            <v/>
          </cell>
          <cell r="P8463" t="str">
            <v/>
          </cell>
          <cell r="Q8463" t="str">
            <v/>
          </cell>
          <cell r="S8463" t="str">
            <v/>
          </cell>
          <cell r="V8463" t="str">
            <v/>
          </cell>
          <cell r="Z8463" t="str">
            <v/>
          </cell>
          <cell r="AA8463" t="str">
            <v/>
          </cell>
          <cell r="AB8463" t="str">
            <v/>
          </cell>
          <cell r="AC8463" t="str">
            <v/>
          </cell>
          <cell r="AD8463" t="str">
            <v/>
          </cell>
          <cell r="AY8463" t="str">
            <v/>
          </cell>
          <cell r="AZ8463" t="str">
            <v/>
          </cell>
          <cell r="BA8463" t="str">
            <v/>
          </cell>
        </row>
        <row r="8464">
          <cell r="B8464" t="str">
            <v>-</v>
          </cell>
          <cell r="E8464" t="str">
            <v/>
          </cell>
          <cell r="G8464" t="str">
            <v/>
          </cell>
          <cell r="J8464" t="str">
            <v/>
          </cell>
          <cell r="O8464" t="str">
            <v/>
          </cell>
          <cell r="P8464" t="str">
            <v/>
          </cell>
          <cell r="Q8464" t="str">
            <v/>
          </cell>
          <cell r="S8464" t="str">
            <v/>
          </cell>
          <cell r="V8464" t="str">
            <v/>
          </cell>
          <cell r="Z8464" t="str">
            <v/>
          </cell>
          <cell r="AA8464" t="str">
            <v/>
          </cell>
          <cell r="AB8464" t="str">
            <v/>
          </cell>
          <cell r="AC8464" t="str">
            <v/>
          </cell>
          <cell r="AD8464" t="str">
            <v/>
          </cell>
          <cell r="AY8464" t="str">
            <v/>
          </cell>
          <cell r="AZ8464" t="str">
            <v/>
          </cell>
          <cell r="BA8464" t="str">
            <v/>
          </cell>
        </row>
        <row r="8465">
          <cell r="B8465" t="str">
            <v>-</v>
          </cell>
          <cell r="E8465" t="str">
            <v/>
          </cell>
          <cell r="G8465" t="str">
            <v/>
          </cell>
          <cell r="J8465" t="str">
            <v/>
          </cell>
          <cell r="O8465" t="str">
            <v/>
          </cell>
          <cell r="P8465" t="str">
            <v/>
          </cell>
          <cell r="Q8465" t="str">
            <v/>
          </cell>
          <cell r="S8465" t="str">
            <v/>
          </cell>
          <cell r="V8465" t="str">
            <v/>
          </cell>
          <cell r="Z8465" t="str">
            <v/>
          </cell>
          <cell r="AA8465" t="str">
            <v/>
          </cell>
          <cell r="AB8465" t="str">
            <v/>
          </cell>
          <cell r="AC8465" t="str">
            <v/>
          </cell>
          <cell r="AD8465" t="str">
            <v/>
          </cell>
          <cell r="AY8465" t="str">
            <v/>
          </cell>
          <cell r="AZ8465" t="str">
            <v/>
          </cell>
          <cell r="BA8465" t="str">
            <v/>
          </cell>
        </row>
        <row r="8466">
          <cell r="B8466" t="str">
            <v>-</v>
          </cell>
          <cell r="E8466" t="str">
            <v/>
          </cell>
          <cell r="G8466" t="str">
            <v/>
          </cell>
          <cell r="J8466" t="str">
            <v/>
          </cell>
          <cell r="O8466" t="str">
            <v/>
          </cell>
          <cell r="P8466" t="str">
            <v/>
          </cell>
          <cell r="Q8466" t="str">
            <v/>
          </cell>
          <cell r="S8466" t="str">
            <v/>
          </cell>
          <cell r="V8466" t="str">
            <v/>
          </cell>
          <cell r="Z8466" t="str">
            <v/>
          </cell>
          <cell r="AA8466" t="str">
            <v/>
          </cell>
          <cell r="AB8466" t="str">
            <v/>
          </cell>
          <cell r="AC8466" t="str">
            <v/>
          </cell>
          <cell r="AD8466" t="str">
            <v/>
          </cell>
          <cell r="AY8466" t="str">
            <v/>
          </cell>
          <cell r="AZ8466" t="str">
            <v/>
          </cell>
          <cell r="BA8466" t="str">
            <v/>
          </cell>
        </row>
        <row r="8467">
          <cell r="B8467" t="str">
            <v>-</v>
          </cell>
          <cell r="E8467" t="str">
            <v/>
          </cell>
          <cell r="G8467" t="str">
            <v/>
          </cell>
          <cell r="J8467" t="str">
            <v/>
          </cell>
          <cell r="O8467" t="str">
            <v/>
          </cell>
          <cell r="P8467" t="str">
            <v/>
          </cell>
          <cell r="Q8467" t="str">
            <v/>
          </cell>
          <cell r="S8467" t="str">
            <v/>
          </cell>
          <cell r="V8467" t="str">
            <v/>
          </cell>
          <cell r="Z8467" t="str">
            <v/>
          </cell>
          <cell r="AA8467" t="str">
            <v/>
          </cell>
          <cell r="AB8467" t="str">
            <v/>
          </cell>
          <cell r="AC8467" t="str">
            <v/>
          </cell>
          <cell r="AD8467" t="str">
            <v/>
          </cell>
          <cell r="AY8467" t="str">
            <v/>
          </cell>
          <cell r="AZ8467" t="str">
            <v/>
          </cell>
          <cell r="BA8467" t="str">
            <v/>
          </cell>
        </row>
        <row r="8468">
          <cell r="B8468" t="str">
            <v>-</v>
          </cell>
          <cell r="E8468" t="str">
            <v/>
          </cell>
          <cell r="G8468" t="str">
            <v/>
          </cell>
          <cell r="J8468" t="str">
            <v/>
          </cell>
          <cell r="O8468" t="str">
            <v/>
          </cell>
          <cell r="P8468" t="str">
            <v/>
          </cell>
          <cell r="Q8468" t="str">
            <v/>
          </cell>
          <cell r="S8468" t="str">
            <v/>
          </cell>
          <cell r="V8468" t="str">
            <v/>
          </cell>
          <cell r="Z8468" t="str">
            <v/>
          </cell>
          <cell r="AA8468" t="str">
            <v/>
          </cell>
          <cell r="AB8468" t="str">
            <v/>
          </cell>
          <cell r="AC8468" t="str">
            <v/>
          </cell>
          <cell r="AD8468" t="str">
            <v/>
          </cell>
          <cell r="AY8468" t="str">
            <v/>
          </cell>
          <cell r="AZ8468" t="str">
            <v/>
          </cell>
          <cell r="BA8468" t="str">
            <v/>
          </cell>
        </row>
        <row r="8469">
          <cell r="B8469" t="str">
            <v>-</v>
          </cell>
          <cell r="E8469" t="str">
            <v/>
          </cell>
          <cell r="G8469" t="str">
            <v/>
          </cell>
          <cell r="J8469" t="str">
            <v/>
          </cell>
          <cell r="O8469" t="str">
            <v/>
          </cell>
          <cell r="P8469" t="str">
            <v/>
          </cell>
          <cell r="Q8469" t="str">
            <v/>
          </cell>
          <cell r="S8469" t="str">
            <v/>
          </cell>
          <cell r="V8469" t="str">
            <v/>
          </cell>
          <cell r="Z8469" t="str">
            <v/>
          </cell>
          <cell r="AA8469" t="str">
            <v/>
          </cell>
          <cell r="AB8469" t="str">
            <v/>
          </cell>
          <cell r="AC8469" t="str">
            <v/>
          </cell>
          <cell r="AD8469" t="str">
            <v/>
          </cell>
          <cell r="AY8469" t="str">
            <v/>
          </cell>
          <cell r="AZ8469" t="str">
            <v/>
          </cell>
          <cell r="BA8469" t="str">
            <v/>
          </cell>
        </row>
        <row r="8470">
          <cell r="B8470" t="str">
            <v>-</v>
          </cell>
          <cell r="E8470" t="str">
            <v/>
          </cell>
          <cell r="G8470" t="str">
            <v/>
          </cell>
          <cell r="J8470" t="str">
            <v/>
          </cell>
          <cell r="O8470" t="str">
            <v/>
          </cell>
          <cell r="P8470" t="str">
            <v/>
          </cell>
          <cell r="Q8470" t="str">
            <v/>
          </cell>
          <cell r="S8470" t="str">
            <v/>
          </cell>
          <cell r="V8470" t="str">
            <v/>
          </cell>
          <cell r="Z8470" t="str">
            <v/>
          </cell>
          <cell r="AA8470" t="str">
            <v/>
          </cell>
          <cell r="AB8470" t="str">
            <v/>
          </cell>
          <cell r="AC8470" t="str">
            <v/>
          </cell>
          <cell r="AD8470" t="str">
            <v/>
          </cell>
          <cell r="AY8470" t="str">
            <v/>
          </cell>
          <cell r="AZ8470" t="str">
            <v/>
          </cell>
          <cell r="BA8470" t="str">
            <v/>
          </cell>
        </row>
        <row r="8471">
          <cell r="B8471" t="str">
            <v>-</v>
          </cell>
          <cell r="E8471" t="str">
            <v/>
          </cell>
          <cell r="G8471" t="str">
            <v/>
          </cell>
          <cell r="J8471" t="str">
            <v/>
          </cell>
          <cell r="O8471" t="str">
            <v/>
          </cell>
          <cell r="P8471" t="str">
            <v/>
          </cell>
          <cell r="Q8471" t="str">
            <v/>
          </cell>
          <cell r="S8471" t="str">
            <v/>
          </cell>
          <cell r="V8471" t="str">
            <v/>
          </cell>
          <cell r="Z8471" t="str">
            <v/>
          </cell>
          <cell r="AA8471" t="str">
            <v/>
          </cell>
          <cell r="AB8471" t="str">
            <v/>
          </cell>
          <cell r="AC8471" t="str">
            <v/>
          </cell>
          <cell r="AD8471" t="str">
            <v/>
          </cell>
          <cell r="AY8471" t="str">
            <v/>
          </cell>
          <cell r="AZ8471" t="str">
            <v/>
          </cell>
          <cell r="BA8471" t="str">
            <v/>
          </cell>
        </row>
        <row r="8472">
          <cell r="B8472" t="str">
            <v>-</v>
          </cell>
          <cell r="E8472" t="str">
            <v/>
          </cell>
          <cell r="G8472" t="str">
            <v/>
          </cell>
          <cell r="J8472" t="str">
            <v/>
          </cell>
          <cell r="O8472" t="str">
            <v/>
          </cell>
          <cell r="P8472" t="str">
            <v/>
          </cell>
          <cell r="Q8472" t="str">
            <v/>
          </cell>
          <cell r="S8472" t="str">
            <v/>
          </cell>
          <cell r="V8472" t="str">
            <v/>
          </cell>
          <cell r="Z8472" t="str">
            <v/>
          </cell>
          <cell r="AA8472" t="str">
            <v/>
          </cell>
          <cell r="AB8472" t="str">
            <v/>
          </cell>
          <cell r="AC8472" t="str">
            <v/>
          </cell>
          <cell r="AD8472" t="str">
            <v/>
          </cell>
          <cell r="AY8472" t="str">
            <v/>
          </cell>
          <cell r="AZ8472" t="str">
            <v/>
          </cell>
          <cell r="BA8472" t="str">
            <v/>
          </cell>
        </row>
        <row r="8473">
          <cell r="B8473" t="str">
            <v>-</v>
          </cell>
          <cell r="E8473" t="str">
            <v/>
          </cell>
          <cell r="G8473" t="str">
            <v/>
          </cell>
          <cell r="J8473" t="str">
            <v/>
          </cell>
          <cell r="O8473" t="str">
            <v/>
          </cell>
          <cell r="P8473" t="str">
            <v/>
          </cell>
          <cell r="Q8473" t="str">
            <v/>
          </cell>
          <cell r="S8473" t="str">
            <v/>
          </cell>
          <cell r="V8473" t="str">
            <v/>
          </cell>
          <cell r="Z8473" t="str">
            <v/>
          </cell>
          <cell r="AA8473" t="str">
            <v/>
          </cell>
          <cell r="AB8473" t="str">
            <v/>
          </cell>
          <cell r="AC8473" t="str">
            <v/>
          </cell>
          <cell r="AD8473" t="str">
            <v/>
          </cell>
          <cell r="AY8473" t="str">
            <v/>
          </cell>
          <cell r="AZ8473" t="str">
            <v/>
          </cell>
          <cell r="BA8473" t="str">
            <v/>
          </cell>
        </row>
        <row r="8474">
          <cell r="B8474" t="str">
            <v>-</v>
          </cell>
          <cell r="E8474" t="str">
            <v/>
          </cell>
          <cell r="G8474" t="str">
            <v/>
          </cell>
          <cell r="J8474" t="str">
            <v/>
          </cell>
          <cell r="O8474" t="str">
            <v/>
          </cell>
          <cell r="P8474" t="str">
            <v/>
          </cell>
          <cell r="Q8474" t="str">
            <v/>
          </cell>
          <cell r="S8474" t="str">
            <v/>
          </cell>
          <cell r="V8474" t="str">
            <v/>
          </cell>
          <cell r="Z8474" t="str">
            <v/>
          </cell>
          <cell r="AA8474" t="str">
            <v/>
          </cell>
          <cell r="AB8474" t="str">
            <v/>
          </cell>
          <cell r="AC8474" t="str">
            <v/>
          </cell>
          <cell r="AD8474" t="str">
            <v/>
          </cell>
          <cell r="AY8474" t="str">
            <v/>
          </cell>
          <cell r="AZ8474" t="str">
            <v/>
          </cell>
          <cell r="BA8474" t="str">
            <v/>
          </cell>
        </row>
        <row r="8475">
          <cell r="B8475" t="str">
            <v>-</v>
          </cell>
          <cell r="E8475" t="str">
            <v/>
          </cell>
          <cell r="G8475" t="str">
            <v/>
          </cell>
          <cell r="J8475" t="str">
            <v/>
          </cell>
          <cell r="O8475" t="str">
            <v/>
          </cell>
          <cell r="P8475" t="str">
            <v/>
          </cell>
          <cell r="Q8475" t="str">
            <v/>
          </cell>
          <cell r="S8475" t="str">
            <v/>
          </cell>
          <cell r="V8475" t="str">
            <v/>
          </cell>
          <cell r="Z8475" t="str">
            <v/>
          </cell>
          <cell r="AA8475" t="str">
            <v/>
          </cell>
          <cell r="AB8475" t="str">
            <v/>
          </cell>
          <cell r="AC8475" t="str">
            <v/>
          </cell>
          <cell r="AD8475" t="str">
            <v/>
          </cell>
          <cell r="AY8475" t="str">
            <v/>
          </cell>
          <cell r="AZ8475" t="str">
            <v/>
          </cell>
          <cell r="BA8475" t="str">
            <v/>
          </cell>
        </row>
        <row r="8476">
          <cell r="B8476" t="str">
            <v>-</v>
          </cell>
          <cell r="E8476" t="str">
            <v/>
          </cell>
          <cell r="G8476" t="str">
            <v/>
          </cell>
          <cell r="J8476" t="str">
            <v/>
          </cell>
          <cell r="O8476" t="str">
            <v/>
          </cell>
          <cell r="P8476" t="str">
            <v/>
          </cell>
          <cell r="Q8476" t="str">
            <v/>
          </cell>
          <cell r="S8476" t="str">
            <v/>
          </cell>
          <cell r="V8476" t="str">
            <v/>
          </cell>
          <cell r="Z8476" t="str">
            <v/>
          </cell>
          <cell r="AA8476" t="str">
            <v/>
          </cell>
          <cell r="AB8476" t="str">
            <v/>
          </cell>
          <cell r="AC8476" t="str">
            <v/>
          </cell>
          <cell r="AD8476" t="str">
            <v/>
          </cell>
          <cell r="AY8476" t="str">
            <v/>
          </cell>
          <cell r="AZ8476" t="str">
            <v/>
          </cell>
          <cell r="BA8476" t="str">
            <v/>
          </cell>
        </row>
        <row r="8477">
          <cell r="B8477" t="str">
            <v>-</v>
          </cell>
          <cell r="E8477" t="str">
            <v/>
          </cell>
          <cell r="G8477" t="str">
            <v/>
          </cell>
          <cell r="J8477" t="str">
            <v/>
          </cell>
          <cell r="O8477" t="str">
            <v/>
          </cell>
          <cell r="P8477" t="str">
            <v/>
          </cell>
          <cell r="Q8477" t="str">
            <v/>
          </cell>
          <cell r="S8477" t="str">
            <v/>
          </cell>
          <cell r="V8477" t="str">
            <v/>
          </cell>
          <cell r="Z8477" t="str">
            <v/>
          </cell>
          <cell r="AA8477" t="str">
            <v/>
          </cell>
          <cell r="AB8477" t="str">
            <v/>
          </cell>
          <cell r="AC8477" t="str">
            <v/>
          </cell>
          <cell r="AD8477" t="str">
            <v/>
          </cell>
          <cell r="AY8477" t="str">
            <v/>
          </cell>
          <cell r="AZ8477" t="str">
            <v/>
          </cell>
          <cell r="BA8477" t="str">
            <v/>
          </cell>
        </row>
        <row r="8478">
          <cell r="B8478" t="str">
            <v>-</v>
          </cell>
          <cell r="E8478" t="str">
            <v/>
          </cell>
          <cell r="G8478" t="str">
            <v/>
          </cell>
          <cell r="J8478" t="str">
            <v/>
          </cell>
          <cell r="O8478" t="str">
            <v/>
          </cell>
          <cell r="P8478" t="str">
            <v/>
          </cell>
          <cell r="Q8478" t="str">
            <v/>
          </cell>
          <cell r="S8478" t="str">
            <v/>
          </cell>
          <cell r="V8478" t="str">
            <v/>
          </cell>
          <cell r="Z8478" t="str">
            <v/>
          </cell>
          <cell r="AA8478" t="str">
            <v/>
          </cell>
          <cell r="AB8478" t="str">
            <v/>
          </cell>
          <cell r="AC8478" t="str">
            <v/>
          </cell>
          <cell r="AD8478" t="str">
            <v/>
          </cell>
          <cell r="AY8478" t="str">
            <v/>
          </cell>
          <cell r="AZ8478" t="str">
            <v/>
          </cell>
          <cell r="BA8478" t="str">
            <v/>
          </cell>
        </row>
        <row r="8479">
          <cell r="B8479" t="str">
            <v>-</v>
          </cell>
          <cell r="E8479" t="str">
            <v/>
          </cell>
          <cell r="G8479" t="str">
            <v/>
          </cell>
          <cell r="J8479" t="str">
            <v/>
          </cell>
          <cell r="O8479" t="str">
            <v/>
          </cell>
          <cell r="P8479" t="str">
            <v/>
          </cell>
          <cell r="Q8479" t="str">
            <v/>
          </cell>
          <cell r="S8479" t="str">
            <v/>
          </cell>
          <cell r="V8479" t="str">
            <v/>
          </cell>
          <cell r="Z8479" t="str">
            <v/>
          </cell>
          <cell r="AA8479" t="str">
            <v/>
          </cell>
          <cell r="AB8479" t="str">
            <v/>
          </cell>
          <cell r="AC8479" t="str">
            <v/>
          </cell>
          <cell r="AD8479" t="str">
            <v/>
          </cell>
          <cell r="AY8479" t="str">
            <v/>
          </cell>
          <cell r="AZ8479" t="str">
            <v/>
          </cell>
          <cell r="BA8479" t="str">
            <v/>
          </cell>
        </row>
        <row r="8480">
          <cell r="B8480" t="str">
            <v>-</v>
          </cell>
          <cell r="E8480" t="str">
            <v/>
          </cell>
          <cell r="G8480" t="str">
            <v/>
          </cell>
          <cell r="J8480" t="str">
            <v/>
          </cell>
          <cell r="O8480" t="str">
            <v/>
          </cell>
          <cell r="P8480" t="str">
            <v/>
          </cell>
          <cell r="Q8480" t="str">
            <v/>
          </cell>
          <cell r="S8480" t="str">
            <v/>
          </cell>
          <cell r="V8480" t="str">
            <v/>
          </cell>
          <cell r="Z8480" t="str">
            <v/>
          </cell>
          <cell r="AA8480" t="str">
            <v/>
          </cell>
          <cell r="AB8480" t="str">
            <v/>
          </cell>
          <cell r="AC8480" t="str">
            <v/>
          </cell>
          <cell r="AD8480" t="str">
            <v/>
          </cell>
          <cell r="AY8480" t="str">
            <v/>
          </cell>
          <cell r="AZ8480" t="str">
            <v/>
          </cell>
          <cell r="BA8480" t="str">
            <v/>
          </cell>
        </row>
        <row r="8481">
          <cell r="B8481" t="str">
            <v>-</v>
          </cell>
          <cell r="E8481" t="str">
            <v/>
          </cell>
          <cell r="G8481" t="str">
            <v/>
          </cell>
          <cell r="J8481" t="str">
            <v/>
          </cell>
          <cell r="O8481" t="str">
            <v/>
          </cell>
          <cell r="P8481" t="str">
            <v/>
          </cell>
          <cell r="Q8481" t="str">
            <v/>
          </cell>
          <cell r="S8481" t="str">
            <v/>
          </cell>
          <cell r="V8481" t="str">
            <v/>
          </cell>
          <cell r="Z8481" t="str">
            <v/>
          </cell>
          <cell r="AA8481" t="str">
            <v/>
          </cell>
          <cell r="AB8481" t="str">
            <v/>
          </cell>
          <cell r="AC8481" t="str">
            <v/>
          </cell>
          <cell r="AD8481" t="str">
            <v/>
          </cell>
          <cell r="AY8481" t="str">
            <v/>
          </cell>
          <cell r="AZ8481" t="str">
            <v/>
          </cell>
          <cell r="BA8481" t="str">
            <v/>
          </cell>
        </row>
        <row r="8482">
          <cell r="B8482" t="str">
            <v>-</v>
          </cell>
          <cell r="E8482" t="str">
            <v/>
          </cell>
          <cell r="G8482" t="str">
            <v/>
          </cell>
          <cell r="J8482" t="str">
            <v/>
          </cell>
          <cell r="O8482" t="str">
            <v/>
          </cell>
          <cell r="P8482" t="str">
            <v/>
          </cell>
          <cell r="Q8482" t="str">
            <v/>
          </cell>
          <cell r="S8482" t="str">
            <v/>
          </cell>
          <cell r="V8482" t="str">
            <v/>
          </cell>
          <cell r="Z8482" t="str">
            <v/>
          </cell>
          <cell r="AA8482" t="str">
            <v/>
          </cell>
          <cell r="AB8482" t="str">
            <v/>
          </cell>
          <cell r="AC8482" t="str">
            <v/>
          </cell>
          <cell r="AD8482" t="str">
            <v/>
          </cell>
          <cell r="AY8482" t="str">
            <v/>
          </cell>
          <cell r="AZ8482" t="str">
            <v/>
          </cell>
          <cell r="BA8482" t="str">
            <v/>
          </cell>
        </row>
        <row r="8483">
          <cell r="B8483" t="str">
            <v>-</v>
          </cell>
          <cell r="E8483" t="str">
            <v/>
          </cell>
          <cell r="G8483" t="str">
            <v/>
          </cell>
          <cell r="J8483" t="str">
            <v/>
          </cell>
          <cell r="O8483" t="str">
            <v/>
          </cell>
          <cell r="P8483" t="str">
            <v/>
          </cell>
          <cell r="Q8483" t="str">
            <v/>
          </cell>
          <cell r="S8483" t="str">
            <v/>
          </cell>
          <cell r="V8483" t="str">
            <v/>
          </cell>
          <cell r="Z8483" t="str">
            <v/>
          </cell>
          <cell r="AA8483" t="str">
            <v/>
          </cell>
          <cell r="AB8483" t="str">
            <v/>
          </cell>
          <cell r="AC8483" t="str">
            <v/>
          </cell>
          <cell r="AD8483" t="str">
            <v/>
          </cell>
          <cell r="AY8483" t="str">
            <v/>
          </cell>
          <cell r="AZ8483" t="str">
            <v/>
          </cell>
          <cell r="BA8483" t="str">
            <v/>
          </cell>
        </row>
        <row r="8484">
          <cell r="B8484" t="str">
            <v>-</v>
          </cell>
          <cell r="E8484" t="str">
            <v/>
          </cell>
          <cell r="G8484" t="str">
            <v/>
          </cell>
          <cell r="J8484" t="str">
            <v/>
          </cell>
          <cell r="O8484" t="str">
            <v/>
          </cell>
          <cell r="P8484" t="str">
            <v/>
          </cell>
          <cell r="Q8484" t="str">
            <v/>
          </cell>
          <cell r="S8484" t="str">
            <v/>
          </cell>
          <cell r="V8484" t="str">
            <v/>
          </cell>
          <cell r="Z8484" t="str">
            <v/>
          </cell>
          <cell r="AA8484" t="str">
            <v/>
          </cell>
          <cell r="AB8484" t="str">
            <v/>
          </cell>
          <cell r="AC8484" t="str">
            <v/>
          </cell>
          <cell r="AD8484" t="str">
            <v/>
          </cell>
          <cell r="AY8484" t="str">
            <v/>
          </cell>
          <cell r="AZ8484" t="str">
            <v/>
          </cell>
          <cell r="BA8484" t="str">
            <v/>
          </cell>
        </row>
        <row r="8485">
          <cell r="B8485" t="str">
            <v>-</v>
          </cell>
          <cell r="E8485" t="str">
            <v/>
          </cell>
          <cell r="G8485" t="str">
            <v/>
          </cell>
          <cell r="J8485" t="str">
            <v/>
          </cell>
          <cell r="O8485" t="str">
            <v/>
          </cell>
          <cell r="P8485" t="str">
            <v/>
          </cell>
          <cell r="Q8485" t="str">
            <v/>
          </cell>
          <cell r="S8485" t="str">
            <v/>
          </cell>
          <cell r="V8485" t="str">
            <v/>
          </cell>
          <cell r="Z8485" t="str">
            <v/>
          </cell>
          <cell r="AA8485" t="str">
            <v/>
          </cell>
          <cell r="AB8485" t="str">
            <v/>
          </cell>
          <cell r="AC8485" t="str">
            <v/>
          </cell>
          <cell r="AD8485" t="str">
            <v/>
          </cell>
          <cell r="AY8485" t="str">
            <v/>
          </cell>
          <cell r="AZ8485" t="str">
            <v/>
          </cell>
          <cell r="BA8485" t="str">
            <v/>
          </cell>
        </row>
        <row r="8486">
          <cell r="B8486" t="str">
            <v>-</v>
          </cell>
          <cell r="E8486" t="str">
            <v/>
          </cell>
          <cell r="G8486" t="str">
            <v/>
          </cell>
          <cell r="J8486" t="str">
            <v/>
          </cell>
          <cell r="O8486" t="str">
            <v/>
          </cell>
          <cell r="P8486" t="str">
            <v/>
          </cell>
          <cell r="Q8486" t="str">
            <v/>
          </cell>
          <cell r="S8486" t="str">
            <v/>
          </cell>
          <cell r="V8486" t="str">
            <v/>
          </cell>
          <cell r="Z8486" t="str">
            <v/>
          </cell>
          <cell r="AA8486" t="str">
            <v/>
          </cell>
          <cell r="AB8486" t="str">
            <v/>
          </cell>
          <cell r="AC8486" t="str">
            <v/>
          </cell>
          <cell r="AD8486" t="str">
            <v/>
          </cell>
          <cell r="AY8486" t="str">
            <v/>
          </cell>
          <cell r="AZ8486" t="str">
            <v/>
          </cell>
          <cell r="BA8486" t="str">
            <v/>
          </cell>
        </row>
        <row r="8487">
          <cell r="B8487" t="str">
            <v>-</v>
          </cell>
          <cell r="E8487" t="str">
            <v/>
          </cell>
          <cell r="G8487" t="str">
            <v/>
          </cell>
          <cell r="J8487" t="str">
            <v/>
          </cell>
          <cell r="O8487" t="str">
            <v/>
          </cell>
          <cell r="P8487" t="str">
            <v/>
          </cell>
          <cell r="Q8487" t="str">
            <v/>
          </cell>
          <cell r="S8487" t="str">
            <v/>
          </cell>
          <cell r="V8487" t="str">
            <v/>
          </cell>
          <cell r="Z8487" t="str">
            <v/>
          </cell>
          <cell r="AA8487" t="str">
            <v/>
          </cell>
          <cell r="AB8487" t="str">
            <v/>
          </cell>
          <cell r="AC8487" t="str">
            <v/>
          </cell>
          <cell r="AD8487" t="str">
            <v/>
          </cell>
          <cell r="AY8487" t="str">
            <v/>
          </cell>
          <cell r="AZ8487" t="str">
            <v/>
          </cell>
          <cell r="BA8487" t="str">
            <v/>
          </cell>
        </row>
        <row r="8488">
          <cell r="B8488" t="str">
            <v>-</v>
          </cell>
          <cell r="E8488" t="str">
            <v/>
          </cell>
          <cell r="G8488" t="str">
            <v/>
          </cell>
          <cell r="J8488" t="str">
            <v/>
          </cell>
          <cell r="O8488" t="str">
            <v/>
          </cell>
          <cell r="P8488" t="str">
            <v/>
          </cell>
          <cell r="Q8488" t="str">
            <v/>
          </cell>
          <cell r="S8488" t="str">
            <v/>
          </cell>
          <cell r="V8488" t="str">
            <v/>
          </cell>
          <cell r="Z8488" t="str">
            <v/>
          </cell>
          <cell r="AA8488" t="str">
            <v/>
          </cell>
          <cell r="AB8488" t="str">
            <v/>
          </cell>
          <cell r="AC8488" t="str">
            <v/>
          </cell>
          <cell r="AD8488" t="str">
            <v/>
          </cell>
          <cell r="AY8488" t="str">
            <v/>
          </cell>
          <cell r="AZ8488" t="str">
            <v/>
          </cell>
          <cell r="BA8488" t="str">
            <v/>
          </cell>
        </row>
        <row r="8489">
          <cell r="B8489" t="str">
            <v>-</v>
          </cell>
          <cell r="E8489" t="str">
            <v/>
          </cell>
          <cell r="G8489" t="str">
            <v/>
          </cell>
          <cell r="J8489" t="str">
            <v/>
          </cell>
          <cell r="O8489" t="str">
            <v/>
          </cell>
          <cell r="P8489" t="str">
            <v/>
          </cell>
          <cell r="Q8489" t="str">
            <v/>
          </cell>
          <cell r="S8489" t="str">
            <v/>
          </cell>
          <cell r="V8489" t="str">
            <v/>
          </cell>
          <cell r="Z8489" t="str">
            <v/>
          </cell>
          <cell r="AA8489" t="str">
            <v/>
          </cell>
          <cell r="AB8489" t="str">
            <v/>
          </cell>
          <cell r="AC8489" t="str">
            <v/>
          </cell>
          <cell r="AD8489" t="str">
            <v/>
          </cell>
          <cell r="AY8489" t="str">
            <v/>
          </cell>
          <cell r="AZ8489" t="str">
            <v/>
          </cell>
          <cell r="BA8489" t="str">
            <v/>
          </cell>
        </row>
        <row r="8490">
          <cell r="B8490" t="str">
            <v>-</v>
          </cell>
          <cell r="E8490" t="str">
            <v/>
          </cell>
          <cell r="G8490" t="str">
            <v/>
          </cell>
          <cell r="J8490" t="str">
            <v/>
          </cell>
          <cell r="O8490" t="str">
            <v/>
          </cell>
          <cell r="P8490" t="str">
            <v/>
          </cell>
          <cell r="Q8490" t="str">
            <v/>
          </cell>
          <cell r="S8490" t="str">
            <v/>
          </cell>
          <cell r="V8490" t="str">
            <v/>
          </cell>
          <cell r="Z8490" t="str">
            <v/>
          </cell>
          <cell r="AA8490" t="str">
            <v/>
          </cell>
          <cell r="AB8490" t="str">
            <v/>
          </cell>
          <cell r="AC8490" t="str">
            <v/>
          </cell>
          <cell r="AD8490" t="str">
            <v/>
          </cell>
          <cell r="AY8490" t="str">
            <v/>
          </cell>
          <cell r="AZ8490" t="str">
            <v/>
          </cell>
          <cell r="BA8490" t="str">
            <v/>
          </cell>
        </row>
        <row r="8491">
          <cell r="B8491" t="str">
            <v>-</v>
          </cell>
          <cell r="E8491" t="str">
            <v/>
          </cell>
          <cell r="G8491" t="str">
            <v/>
          </cell>
          <cell r="J8491" t="str">
            <v/>
          </cell>
          <cell r="O8491" t="str">
            <v/>
          </cell>
          <cell r="P8491" t="str">
            <v/>
          </cell>
          <cell r="Q8491" t="str">
            <v/>
          </cell>
          <cell r="S8491" t="str">
            <v/>
          </cell>
          <cell r="V8491" t="str">
            <v/>
          </cell>
          <cell r="Z8491" t="str">
            <v/>
          </cell>
          <cell r="AA8491" t="str">
            <v/>
          </cell>
          <cell r="AB8491" t="str">
            <v/>
          </cell>
          <cell r="AC8491" t="str">
            <v/>
          </cell>
          <cell r="AD8491" t="str">
            <v/>
          </cell>
          <cell r="AY8491" t="str">
            <v/>
          </cell>
          <cell r="AZ8491" t="str">
            <v/>
          </cell>
          <cell r="BA8491" t="str">
            <v/>
          </cell>
        </row>
        <row r="8492">
          <cell r="B8492" t="str">
            <v>-</v>
          </cell>
          <cell r="E8492" t="str">
            <v/>
          </cell>
          <cell r="G8492" t="str">
            <v/>
          </cell>
          <cell r="J8492" t="str">
            <v/>
          </cell>
          <cell r="O8492" t="str">
            <v/>
          </cell>
          <cell r="P8492" t="str">
            <v/>
          </cell>
          <cell r="Q8492" t="str">
            <v/>
          </cell>
          <cell r="S8492" t="str">
            <v/>
          </cell>
          <cell r="V8492" t="str">
            <v/>
          </cell>
          <cell r="Z8492" t="str">
            <v/>
          </cell>
          <cell r="AA8492" t="str">
            <v/>
          </cell>
          <cell r="AB8492" t="str">
            <v/>
          </cell>
          <cell r="AC8492" t="str">
            <v/>
          </cell>
          <cell r="AD8492" t="str">
            <v/>
          </cell>
          <cell r="AY8492" t="str">
            <v/>
          </cell>
          <cell r="AZ8492" t="str">
            <v/>
          </cell>
          <cell r="BA8492" t="str">
            <v/>
          </cell>
        </row>
        <row r="8493">
          <cell r="B8493" t="str">
            <v>-</v>
          </cell>
          <cell r="E8493" t="str">
            <v/>
          </cell>
          <cell r="G8493" t="str">
            <v/>
          </cell>
          <cell r="J8493" t="str">
            <v/>
          </cell>
          <cell r="O8493" t="str">
            <v/>
          </cell>
          <cell r="P8493" t="str">
            <v/>
          </cell>
          <cell r="Q8493" t="str">
            <v/>
          </cell>
          <cell r="S8493" t="str">
            <v/>
          </cell>
          <cell r="V8493" t="str">
            <v/>
          </cell>
          <cell r="Z8493" t="str">
            <v/>
          </cell>
          <cell r="AA8493" t="str">
            <v/>
          </cell>
          <cell r="AB8493" t="str">
            <v/>
          </cell>
          <cell r="AC8493" t="str">
            <v/>
          </cell>
          <cell r="AD8493" t="str">
            <v/>
          </cell>
          <cell r="AY8493" t="str">
            <v/>
          </cell>
          <cell r="AZ8493" t="str">
            <v/>
          </cell>
          <cell r="BA8493" t="str">
            <v/>
          </cell>
        </row>
        <row r="8494">
          <cell r="B8494" t="str">
            <v>-</v>
          </cell>
          <cell r="E8494" t="str">
            <v/>
          </cell>
          <cell r="G8494" t="str">
            <v/>
          </cell>
          <cell r="J8494" t="str">
            <v/>
          </cell>
          <cell r="O8494" t="str">
            <v/>
          </cell>
          <cell r="P8494" t="str">
            <v/>
          </cell>
          <cell r="Q8494" t="str">
            <v/>
          </cell>
          <cell r="S8494" t="str">
            <v/>
          </cell>
          <cell r="V8494" t="str">
            <v/>
          </cell>
          <cell r="Z8494" t="str">
            <v/>
          </cell>
          <cell r="AA8494" t="str">
            <v/>
          </cell>
          <cell r="AB8494" t="str">
            <v/>
          </cell>
          <cell r="AC8494" t="str">
            <v/>
          </cell>
          <cell r="AD8494" t="str">
            <v/>
          </cell>
          <cell r="AY8494" t="str">
            <v/>
          </cell>
          <cell r="AZ8494" t="str">
            <v/>
          </cell>
          <cell r="BA8494" t="str">
            <v/>
          </cell>
        </row>
        <row r="8495">
          <cell r="B8495" t="str">
            <v>-</v>
          </cell>
          <cell r="E8495" t="str">
            <v/>
          </cell>
          <cell r="G8495" t="str">
            <v/>
          </cell>
          <cell r="J8495" t="str">
            <v/>
          </cell>
          <cell r="O8495" t="str">
            <v/>
          </cell>
          <cell r="P8495" t="str">
            <v/>
          </cell>
          <cell r="Q8495" t="str">
            <v/>
          </cell>
          <cell r="S8495" t="str">
            <v/>
          </cell>
          <cell r="V8495" t="str">
            <v/>
          </cell>
          <cell r="Z8495" t="str">
            <v/>
          </cell>
          <cell r="AA8495" t="str">
            <v/>
          </cell>
          <cell r="AB8495" t="str">
            <v/>
          </cell>
          <cell r="AC8495" t="str">
            <v/>
          </cell>
          <cell r="AD8495" t="str">
            <v/>
          </cell>
          <cell r="AY8495" t="str">
            <v/>
          </cell>
          <cell r="AZ8495" t="str">
            <v/>
          </cell>
          <cell r="BA8495" t="str">
            <v/>
          </cell>
        </row>
        <row r="8496">
          <cell r="B8496" t="str">
            <v>-</v>
          </cell>
          <cell r="E8496" t="str">
            <v/>
          </cell>
          <cell r="G8496" t="str">
            <v/>
          </cell>
          <cell r="J8496" t="str">
            <v/>
          </cell>
          <cell r="O8496" t="str">
            <v/>
          </cell>
          <cell r="P8496" t="str">
            <v/>
          </cell>
          <cell r="Q8496" t="str">
            <v/>
          </cell>
          <cell r="S8496" t="str">
            <v/>
          </cell>
          <cell r="V8496" t="str">
            <v/>
          </cell>
          <cell r="Z8496" t="str">
            <v/>
          </cell>
          <cell r="AA8496" t="str">
            <v/>
          </cell>
          <cell r="AB8496" t="str">
            <v/>
          </cell>
          <cell r="AC8496" t="str">
            <v/>
          </cell>
          <cell r="AD8496" t="str">
            <v/>
          </cell>
          <cell r="AY8496" t="str">
            <v/>
          </cell>
          <cell r="AZ8496" t="str">
            <v/>
          </cell>
          <cell r="BA8496" t="str">
            <v/>
          </cell>
        </row>
        <row r="8497">
          <cell r="B8497" t="str">
            <v>-</v>
          </cell>
          <cell r="E8497" t="str">
            <v/>
          </cell>
          <cell r="G8497" t="str">
            <v/>
          </cell>
          <cell r="J8497" t="str">
            <v/>
          </cell>
          <cell r="O8497" t="str">
            <v/>
          </cell>
          <cell r="P8497" t="str">
            <v/>
          </cell>
          <cell r="Q8497" t="str">
            <v/>
          </cell>
          <cell r="S8497" t="str">
            <v/>
          </cell>
          <cell r="V8497" t="str">
            <v/>
          </cell>
          <cell r="Z8497" t="str">
            <v/>
          </cell>
          <cell r="AA8497" t="str">
            <v/>
          </cell>
          <cell r="AB8497" t="str">
            <v/>
          </cell>
          <cell r="AC8497" t="str">
            <v/>
          </cell>
          <cell r="AD8497" t="str">
            <v/>
          </cell>
          <cell r="AY8497" t="str">
            <v/>
          </cell>
          <cell r="AZ8497" t="str">
            <v/>
          </cell>
          <cell r="BA8497" t="str">
            <v/>
          </cell>
        </row>
        <row r="8498">
          <cell r="B8498" t="str">
            <v>-</v>
          </cell>
          <cell r="E8498" t="str">
            <v/>
          </cell>
          <cell r="G8498" t="str">
            <v/>
          </cell>
          <cell r="J8498" t="str">
            <v/>
          </cell>
          <cell r="O8498" t="str">
            <v/>
          </cell>
          <cell r="P8498" t="str">
            <v/>
          </cell>
          <cell r="Q8498" t="str">
            <v/>
          </cell>
          <cell r="S8498" t="str">
            <v/>
          </cell>
          <cell r="V8498" t="str">
            <v/>
          </cell>
          <cell r="Z8498" t="str">
            <v/>
          </cell>
          <cell r="AA8498" t="str">
            <v/>
          </cell>
          <cell r="AB8498" t="str">
            <v/>
          </cell>
          <cell r="AC8498" t="str">
            <v/>
          </cell>
          <cell r="AD8498" t="str">
            <v/>
          </cell>
          <cell r="AY8498" t="str">
            <v/>
          </cell>
          <cell r="AZ8498" t="str">
            <v/>
          </cell>
          <cell r="BA8498" t="str">
            <v/>
          </cell>
        </row>
        <row r="8499">
          <cell r="B8499" t="str">
            <v>-</v>
          </cell>
          <cell r="E8499" t="str">
            <v/>
          </cell>
          <cell r="G8499" t="str">
            <v/>
          </cell>
          <cell r="J8499" t="str">
            <v/>
          </cell>
          <cell r="O8499" t="str">
            <v/>
          </cell>
          <cell r="P8499" t="str">
            <v/>
          </cell>
          <cell r="Q8499" t="str">
            <v/>
          </cell>
          <cell r="S8499" t="str">
            <v/>
          </cell>
          <cell r="V8499" t="str">
            <v/>
          </cell>
          <cell r="Z8499" t="str">
            <v/>
          </cell>
          <cell r="AA8499" t="str">
            <v/>
          </cell>
          <cell r="AB8499" t="str">
            <v/>
          </cell>
          <cell r="AC8499" t="str">
            <v/>
          </cell>
          <cell r="AD8499" t="str">
            <v/>
          </cell>
          <cell r="AY8499" t="str">
            <v/>
          </cell>
          <cell r="AZ8499" t="str">
            <v/>
          </cell>
          <cell r="BA8499" t="str">
            <v/>
          </cell>
        </row>
        <row r="8500">
          <cell r="B8500" t="str">
            <v>-</v>
          </cell>
          <cell r="E8500" t="str">
            <v/>
          </cell>
          <cell r="G8500" t="str">
            <v/>
          </cell>
          <cell r="J8500" t="str">
            <v/>
          </cell>
          <cell r="O8500" t="str">
            <v/>
          </cell>
          <cell r="P8500" t="str">
            <v/>
          </cell>
          <cell r="Q8500" t="str">
            <v/>
          </cell>
          <cell r="S8500" t="str">
            <v/>
          </cell>
          <cell r="V8500" t="str">
            <v/>
          </cell>
          <cell r="Z8500" t="str">
            <v/>
          </cell>
          <cell r="AA8500" t="str">
            <v/>
          </cell>
          <cell r="AB8500" t="str">
            <v/>
          </cell>
          <cell r="AC8500" t="str">
            <v/>
          </cell>
          <cell r="AD8500" t="str">
            <v/>
          </cell>
          <cell r="AY8500" t="str">
            <v/>
          </cell>
          <cell r="AZ8500" t="str">
            <v/>
          </cell>
          <cell r="BA8500" t="str">
            <v/>
          </cell>
        </row>
        <row r="8501">
          <cell r="B8501" t="str">
            <v>-</v>
          </cell>
          <cell r="E8501" t="str">
            <v/>
          </cell>
          <cell r="G8501" t="str">
            <v/>
          </cell>
          <cell r="J8501" t="str">
            <v/>
          </cell>
          <cell r="O8501" t="str">
            <v/>
          </cell>
          <cell r="P8501" t="str">
            <v/>
          </cell>
          <cell r="Q8501" t="str">
            <v/>
          </cell>
          <cell r="S8501" t="str">
            <v/>
          </cell>
          <cell r="V8501" t="str">
            <v/>
          </cell>
          <cell r="Z8501" t="str">
            <v/>
          </cell>
          <cell r="AA8501" t="str">
            <v/>
          </cell>
          <cell r="AB8501" t="str">
            <v/>
          </cell>
          <cell r="AC8501" t="str">
            <v/>
          </cell>
          <cell r="AD8501" t="str">
            <v/>
          </cell>
          <cell r="AY8501" t="str">
            <v/>
          </cell>
          <cell r="AZ8501" t="str">
            <v/>
          </cell>
          <cell r="BA8501" t="str">
            <v/>
          </cell>
        </row>
        <row r="8502">
          <cell r="B8502" t="str">
            <v>-</v>
          </cell>
          <cell r="E8502" t="str">
            <v/>
          </cell>
          <cell r="G8502" t="str">
            <v/>
          </cell>
          <cell r="J8502" t="str">
            <v/>
          </cell>
          <cell r="O8502" t="str">
            <v/>
          </cell>
          <cell r="P8502" t="str">
            <v/>
          </cell>
          <cell r="Q8502" t="str">
            <v/>
          </cell>
          <cell r="S8502" t="str">
            <v/>
          </cell>
          <cell r="V8502" t="str">
            <v/>
          </cell>
          <cell r="Z8502" t="str">
            <v/>
          </cell>
          <cell r="AA8502" t="str">
            <v/>
          </cell>
          <cell r="AB8502" t="str">
            <v/>
          </cell>
          <cell r="AC8502" t="str">
            <v/>
          </cell>
          <cell r="AD8502" t="str">
            <v/>
          </cell>
          <cell r="AY8502" t="str">
            <v/>
          </cell>
          <cell r="AZ8502" t="str">
            <v/>
          </cell>
          <cell r="BA8502" t="str">
            <v/>
          </cell>
        </row>
        <row r="8503">
          <cell r="B8503" t="str">
            <v>-</v>
          </cell>
          <cell r="E8503" t="str">
            <v/>
          </cell>
          <cell r="G8503" t="str">
            <v/>
          </cell>
          <cell r="J8503" t="str">
            <v/>
          </cell>
          <cell r="O8503" t="str">
            <v/>
          </cell>
          <cell r="P8503" t="str">
            <v/>
          </cell>
          <cell r="Q8503" t="str">
            <v/>
          </cell>
          <cell r="S8503" t="str">
            <v/>
          </cell>
          <cell r="V8503" t="str">
            <v/>
          </cell>
          <cell r="Z8503" t="str">
            <v/>
          </cell>
          <cell r="AA8503" t="str">
            <v/>
          </cell>
          <cell r="AB8503" t="str">
            <v/>
          </cell>
          <cell r="AC8503" t="str">
            <v/>
          </cell>
          <cell r="AD8503" t="str">
            <v/>
          </cell>
          <cell r="AY8503" t="str">
            <v/>
          </cell>
          <cell r="AZ8503" t="str">
            <v/>
          </cell>
          <cell r="BA8503" t="str">
            <v/>
          </cell>
        </row>
        <row r="8504">
          <cell r="B8504" t="str">
            <v>-</v>
          </cell>
          <cell r="E8504" t="str">
            <v/>
          </cell>
          <cell r="G8504" t="str">
            <v/>
          </cell>
          <cell r="J8504" t="str">
            <v/>
          </cell>
          <cell r="O8504" t="str">
            <v/>
          </cell>
          <cell r="P8504" t="str">
            <v/>
          </cell>
          <cell r="Q8504" t="str">
            <v/>
          </cell>
          <cell r="S8504" t="str">
            <v/>
          </cell>
          <cell r="V8504" t="str">
            <v/>
          </cell>
          <cell r="Z8504" t="str">
            <v/>
          </cell>
          <cell r="AA8504" t="str">
            <v/>
          </cell>
          <cell r="AB8504" t="str">
            <v/>
          </cell>
          <cell r="AC8504" t="str">
            <v/>
          </cell>
          <cell r="AD8504" t="str">
            <v/>
          </cell>
          <cell r="AY8504" t="str">
            <v/>
          </cell>
          <cell r="AZ8504" t="str">
            <v/>
          </cell>
          <cell r="BA8504" t="str">
            <v/>
          </cell>
        </row>
        <row r="8505">
          <cell r="B8505" t="str">
            <v>-</v>
          </cell>
          <cell r="E8505" t="str">
            <v/>
          </cell>
          <cell r="G8505" t="str">
            <v/>
          </cell>
          <cell r="J8505" t="str">
            <v/>
          </cell>
          <cell r="O8505" t="str">
            <v/>
          </cell>
          <cell r="P8505" t="str">
            <v/>
          </cell>
          <cell r="Q8505" t="str">
            <v/>
          </cell>
          <cell r="S8505" t="str">
            <v/>
          </cell>
          <cell r="V8505" t="str">
            <v/>
          </cell>
          <cell r="Z8505" t="str">
            <v/>
          </cell>
          <cell r="AA8505" t="str">
            <v/>
          </cell>
          <cell r="AB8505" t="str">
            <v/>
          </cell>
          <cell r="AC8505" t="str">
            <v/>
          </cell>
          <cell r="AD8505" t="str">
            <v/>
          </cell>
          <cell r="AY8505" t="str">
            <v/>
          </cell>
          <cell r="AZ8505" t="str">
            <v/>
          </cell>
          <cell r="BA8505" t="str">
            <v/>
          </cell>
        </row>
        <row r="8506">
          <cell r="B8506" t="str">
            <v>-</v>
          </cell>
          <cell r="E8506" t="str">
            <v/>
          </cell>
          <cell r="G8506" t="str">
            <v/>
          </cell>
          <cell r="J8506" t="str">
            <v/>
          </cell>
          <cell r="O8506" t="str">
            <v/>
          </cell>
          <cell r="P8506" t="str">
            <v/>
          </cell>
          <cell r="Q8506" t="str">
            <v/>
          </cell>
          <cell r="S8506" t="str">
            <v/>
          </cell>
          <cell r="V8506" t="str">
            <v/>
          </cell>
          <cell r="Z8506" t="str">
            <v/>
          </cell>
          <cell r="AA8506" t="str">
            <v/>
          </cell>
          <cell r="AB8506" t="str">
            <v/>
          </cell>
          <cell r="AC8506" t="str">
            <v/>
          </cell>
          <cell r="AD8506" t="str">
            <v/>
          </cell>
          <cell r="AY8506" t="str">
            <v/>
          </cell>
          <cell r="AZ8506" t="str">
            <v/>
          </cell>
          <cell r="BA8506" t="str">
            <v/>
          </cell>
        </row>
        <row r="8507">
          <cell r="B8507" t="str">
            <v>-</v>
          </cell>
          <cell r="E8507" t="str">
            <v/>
          </cell>
          <cell r="G8507" t="str">
            <v/>
          </cell>
          <cell r="J8507" t="str">
            <v/>
          </cell>
          <cell r="O8507" t="str">
            <v/>
          </cell>
          <cell r="P8507" t="str">
            <v/>
          </cell>
          <cell r="Q8507" t="str">
            <v/>
          </cell>
          <cell r="S8507" t="str">
            <v/>
          </cell>
          <cell r="V8507" t="str">
            <v/>
          </cell>
          <cell r="Z8507" t="str">
            <v/>
          </cell>
          <cell r="AA8507" t="str">
            <v/>
          </cell>
          <cell r="AB8507" t="str">
            <v/>
          </cell>
          <cell r="AC8507" t="str">
            <v/>
          </cell>
          <cell r="AD8507" t="str">
            <v/>
          </cell>
          <cell r="AY8507" t="str">
            <v/>
          </cell>
          <cell r="AZ8507" t="str">
            <v/>
          </cell>
          <cell r="BA8507" t="str">
            <v/>
          </cell>
        </row>
        <row r="8508">
          <cell r="B8508" t="str">
            <v>-</v>
          </cell>
          <cell r="E8508" t="str">
            <v/>
          </cell>
          <cell r="G8508" t="str">
            <v/>
          </cell>
          <cell r="J8508" t="str">
            <v/>
          </cell>
          <cell r="O8508" t="str">
            <v/>
          </cell>
          <cell r="P8508" t="str">
            <v/>
          </cell>
          <cell r="Q8508" t="str">
            <v/>
          </cell>
          <cell r="S8508" t="str">
            <v/>
          </cell>
          <cell r="V8508" t="str">
            <v/>
          </cell>
          <cell r="Z8508" t="str">
            <v/>
          </cell>
          <cell r="AA8508" t="str">
            <v/>
          </cell>
          <cell r="AB8508" t="str">
            <v/>
          </cell>
          <cell r="AC8508" t="str">
            <v/>
          </cell>
          <cell r="AD8508" t="str">
            <v/>
          </cell>
          <cell r="AY8508" t="str">
            <v/>
          </cell>
          <cell r="AZ8508" t="str">
            <v/>
          </cell>
          <cell r="BA8508" t="str">
            <v/>
          </cell>
        </row>
        <row r="8509">
          <cell r="B8509" t="str">
            <v>-</v>
          </cell>
          <cell r="E8509" t="str">
            <v/>
          </cell>
          <cell r="G8509" t="str">
            <v/>
          </cell>
          <cell r="J8509" t="str">
            <v/>
          </cell>
          <cell r="O8509" t="str">
            <v/>
          </cell>
          <cell r="P8509" t="str">
            <v/>
          </cell>
          <cell r="Q8509" t="str">
            <v/>
          </cell>
          <cell r="S8509" t="str">
            <v/>
          </cell>
          <cell r="V8509" t="str">
            <v/>
          </cell>
          <cell r="Z8509" t="str">
            <v/>
          </cell>
          <cell r="AA8509" t="str">
            <v/>
          </cell>
          <cell r="AB8509" t="str">
            <v/>
          </cell>
          <cell r="AC8509" t="str">
            <v/>
          </cell>
          <cell r="AD8509" t="str">
            <v/>
          </cell>
          <cell r="AY8509" t="str">
            <v/>
          </cell>
          <cell r="AZ8509" t="str">
            <v/>
          </cell>
          <cell r="BA8509" t="str">
            <v/>
          </cell>
        </row>
        <row r="8510">
          <cell r="B8510" t="str">
            <v>-</v>
          </cell>
          <cell r="E8510" t="str">
            <v/>
          </cell>
          <cell r="G8510" t="str">
            <v/>
          </cell>
          <cell r="J8510" t="str">
            <v/>
          </cell>
          <cell r="O8510" t="str">
            <v/>
          </cell>
          <cell r="P8510" t="str">
            <v/>
          </cell>
          <cell r="Q8510" t="str">
            <v/>
          </cell>
          <cell r="S8510" t="str">
            <v/>
          </cell>
          <cell r="V8510" t="str">
            <v/>
          </cell>
          <cell r="Z8510" t="str">
            <v/>
          </cell>
          <cell r="AA8510" t="str">
            <v/>
          </cell>
          <cell r="AB8510" t="str">
            <v/>
          </cell>
          <cell r="AC8510" t="str">
            <v/>
          </cell>
          <cell r="AD8510" t="str">
            <v/>
          </cell>
          <cell r="AY8510" t="str">
            <v/>
          </cell>
          <cell r="AZ8510" t="str">
            <v/>
          </cell>
          <cell r="BA8510" t="str">
            <v/>
          </cell>
        </row>
        <row r="8511">
          <cell r="B8511" t="str">
            <v>-</v>
          </cell>
          <cell r="E8511" t="str">
            <v/>
          </cell>
          <cell r="G8511" t="str">
            <v/>
          </cell>
          <cell r="J8511" t="str">
            <v/>
          </cell>
          <cell r="O8511" t="str">
            <v/>
          </cell>
          <cell r="P8511" t="str">
            <v/>
          </cell>
          <cell r="Q8511" t="str">
            <v/>
          </cell>
          <cell r="S8511" t="str">
            <v/>
          </cell>
          <cell r="V8511" t="str">
            <v/>
          </cell>
          <cell r="Z8511" t="str">
            <v/>
          </cell>
          <cell r="AA8511" t="str">
            <v/>
          </cell>
          <cell r="AB8511" t="str">
            <v/>
          </cell>
          <cell r="AC8511" t="str">
            <v/>
          </cell>
          <cell r="AD8511" t="str">
            <v/>
          </cell>
          <cell r="AY8511" t="str">
            <v/>
          </cell>
          <cell r="AZ8511" t="str">
            <v/>
          </cell>
          <cell r="BA8511" t="str">
            <v/>
          </cell>
        </row>
        <row r="8512">
          <cell r="B8512" t="str">
            <v>-</v>
          </cell>
          <cell r="E8512" t="str">
            <v/>
          </cell>
          <cell r="G8512" t="str">
            <v/>
          </cell>
          <cell r="J8512" t="str">
            <v/>
          </cell>
          <cell r="O8512" t="str">
            <v/>
          </cell>
          <cell r="P8512" t="str">
            <v/>
          </cell>
          <cell r="Q8512" t="str">
            <v/>
          </cell>
          <cell r="S8512" t="str">
            <v/>
          </cell>
          <cell r="V8512" t="str">
            <v/>
          </cell>
          <cell r="Z8512" t="str">
            <v/>
          </cell>
          <cell r="AA8512" t="str">
            <v/>
          </cell>
          <cell r="AB8512" t="str">
            <v/>
          </cell>
          <cell r="AC8512" t="str">
            <v/>
          </cell>
          <cell r="AD8512" t="str">
            <v/>
          </cell>
          <cell r="AY8512" t="str">
            <v/>
          </cell>
          <cell r="AZ8512" t="str">
            <v/>
          </cell>
          <cell r="BA8512" t="str">
            <v/>
          </cell>
        </row>
        <row r="8513">
          <cell r="B8513" t="str">
            <v>-</v>
          </cell>
          <cell r="E8513" t="str">
            <v/>
          </cell>
          <cell r="G8513" t="str">
            <v/>
          </cell>
          <cell r="J8513" t="str">
            <v/>
          </cell>
          <cell r="O8513" t="str">
            <v/>
          </cell>
          <cell r="P8513" t="str">
            <v/>
          </cell>
          <cell r="Q8513" t="str">
            <v/>
          </cell>
          <cell r="S8513" t="str">
            <v/>
          </cell>
          <cell r="V8513" t="str">
            <v/>
          </cell>
          <cell r="Z8513" t="str">
            <v/>
          </cell>
          <cell r="AA8513" t="str">
            <v/>
          </cell>
          <cell r="AB8513" t="str">
            <v/>
          </cell>
          <cell r="AC8513" t="str">
            <v/>
          </cell>
          <cell r="AD8513" t="str">
            <v/>
          </cell>
          <cell r="AY8513" t="str">
            <v/>
          </cell>
          <cell r="AZ8513" t="str">
            <v/>
          </cell>
          <cell r="BA8513" t="str">
            <v/>
          </cell>
        </row>
        <row r="8514">
          <cell r="B8514" t="str">
            <v>-</v>
          </cell>
          <cell r="E8514" t="str">
            <v/>
          </cell>
          <cell r="G8514" t="str">
            <v/>
          </cell>
          <cell r="J8514" t="str">
            <v/>
          </cell>
          <cell r="O8514" t="str">
            <v/>
          </cell>
          <cell r="P8514" t="str">
            <v/>
          </cell>
          <cell r="Q8514" t="str">
            <v/>
          </cell>
          <cell r="S8514" t="str">
            <v/>
          </cell>
          <cell r="V8514" t="str">
            <v/>
          </cell>
          <cell r="Z8514" t="str">
            <v/>
          </cell>
          <cell r="AA8514" t="str">
            <v/>
          </cell>
          <cell r="AB8514" t="str">
            <v/>
          </cell>
          <cell r="AC8514" t="str">
            <v/>
          </cell>
          <cell r="AD8514" t="str">
            <v/>
          </cell>
          <cell r="AY8514" t="str">
            <v/>
          </cell>
          <cell r="AZ8514" t="str">
            <v/>
          </cell>
          <cell r="BA8514" t="str">
            <v/>
          </cell>
        </row>
        <row r="8515">
          <cell r="B8515" t="str">
            <v>-</v>
          </cell>
          <cell r="E8515" t="str">
            <v/>
          </cell>
          <cell r="G8515" t="str">
            <v/>
          </cell>
          <cell r="J8515" t="str">
            <v/>
          </cell>
          <cell r="O8515" t="str">
            <v/>
          </cell>
          <cell r="P8515" t="str">
            <v/>
          </cell>
          <cell r="Q8515" t="str">
            <v/>
          </cell>
          <cell r="S8515" t="str">
            <v/>
          </cell>
          <cell r="V8515" t="str">
            <v/>
          </cell>
          <cell r="Z8515" t="str">
            <v/>
          </cell>
          <cell r="AA8515" t="str">
            <v/>
          </cell>
          <cell r="AB8515" t="str">
            <v/>
          </cell>
          <cell r="AC8515" t="str">
            <v/>
          </cell>
          <cell r="AD8515" t="str">
            <v/>
          </cell>
          <cell r="AY8515" t="str">
            <v/>
          </cell>
          <cell r="AZ8515" t="str">
            <v/>
          </cell>
          <cell r="BA8515" t="str">
            <v/>
          </cell>
        </row>
        <row r="8516">
          <cell r="B8516" t="str">
            <v>-</v>
          </cell>
          <cell r="E8516" t="str">
            <v/>
          </cell>
          <cell r="G8516" t="str">
            <v/>
          </cell>
          <cell r="J8516" t="str">
            <v/>
          </cell>
          <cell r="O8516" t="str">
            <v/>
          </cell>
          <cell r="P8516" t="str">
            <v/>
          </cell>
          <cell r="Q8516" t="str">
            <v/>
          </cell>
          <cell r="S8516" t="str">
            <v/>
          </cell>
          <cell r="V8516" t="str">
            <v/>
          </cell>
          <cell r="Z8516" t="str">
            <v/>
          </cell>
          <cell r="AA8516" t="str">
            <v/>
          </cell>
          <cell r="AB8516" t="str">
            <v/>
          </cell>
          <cell r="AC8516" t="str">
            <v/>
          </cell>
          <cell r="AD8516" t="str">
            <v/>
          </cell>
          <cell r="AY8516" t="str">
            <v/>
          </cell>
          <cell r="AZ8516" t="str">
            <v/>
          </cell>
          <cell r="BA8516" t="str">
            <v/>
          </cell>
        </row>
        <row r="8517">
          <cell r="B8517" t="str">
            <v>-</v>
          </cell>
          <cell r="E8517" t="str">
            <v/>
          </cell>
          <cell r="G8517" t="str">
            <v/>
          </cell>
          <cell r="J8517" t="str">
            <v/>
          </cell>
          <cell r="O8517" t="str">
            <v/>
          </cell>
          <cell r="P8517" t="str">
            <v/>
          </cell>
          <cell r="Q8517" t="str">
            <v/>
          </cell>
          <cell r="S8517" t="str">
            <v/>
          </cell>
          <cell r="V8517" t="str">
            <v/>
          </cell>
          <cell r="Z8517" t="str">
            <v/>
          </cell>
          <cell r="AA8517" t="str">
            <v/>
          </cell>
          <cell r="AB8517" t="str">
            <v/>
          </cell>
          <cell r="AC8517" t="str">
            <v/>
          </cell>
          <cell r="AD8517" t="str">
            <v/>
          </cell>
          <cell r="AY8517" t="str">
            <v/>
          </cell>
          <cell r="AZ8517" t="str">
            <v/>
          </cell>
          <cell r="BA8517" t="str">
            <v/>
          </cell>
        </row>
        <row r="8518">
          <cell r="B8518" t="str">
            <v>-</v>
          </cell>
          <cell r="E8518" t="str">
            <v/>
          </cell>
          <cell r="G8518" t="str">
            <v/>
          </cell>
          <cell r="J8518" t="str">
            <v/>
          </cell>
          <cell r="O8518" t="str">
            <v/>
          </cell>
          <cell r="P8518" t="str">
            <v/>
          </cell>
          <cell r="Q8518" t="str">
            <v/>
          </cell>
          <cell r="S8518" t="str">
            <v/>
          </cell>
          <cell r="V8518" t="str">
            <v/>
          </cell>
          <cell r="Z8518" t="str">
            <v/>
          </cell>
          <cell r="AA8518" t="str">
            <v/>
          </cell>
          <cell r="AB8518" t="str">
            <v/>
          </cell>
          <cell r="AC8518" t="str">
            <v/>
          </cell>
          <cell r="AD8518" t="str">
            <v/>
          </cell>
          <cell r="AY8518" t="str">
            <v/>
          </cell>
          <cell r="AZ8518" t="str">
            <v/>
          </cell>
          <cell r="BA8518" t="str">
            <v/>
          </cell>
        </row>
        <row r="8519">
          <cell r="B8519" t="str">
            <v>-</v>
          </cell>
          <cell r="E8519" t="str">
            <v/>
          </cell>
          <cell r="G8519" t="str">
            <v/>
          </cell>
          <cell r="J8519" t="str">
            <v/>
          </cell>
          <cell r="O8519" t="str">
            <v/>
          </cell>
          <cell r="P8519" t="str">
            <v/>
          </cell>
          <cell r="Q8519" t="str">
            <v/>
          </cell>
          <cell r="S8519" t="str">
            <v/>
          </cell>
          <cell r="V8519" t="str">
            <v/>
          </cell>
          <cell r="Z8519" t="str">
            <v/>
          </cell>
          <cell r="AA8519" t="str">
            <v/>
          </cell>
          <cell r="AB8519" t="str">
            <v/>
          </cell>
          <cell r="AC8519" t="str">
            <v/>
          </cell>
          <cell r="AD8519" t="str">
            <v/>
          </cell>
          <cell r="AY8519" t="str">
            <v/>
          </cell>
          <cell r="AZ8519" t="str">
            <v/>
          </cell>
          <cell r="BA8519" t="str">
            <v/>
          </cell>
        </row>
        <row r="8520">
          <cell r="B8520" t="str">
            <v>-</v>
          </cell>
          <cell r="E8520" t="str">
            <v/>
          </cell>
          <cell r="G8520" t="str">
            <v/>
          </cell>
          <cell r="J8520" t="str">
            <v/>
          </cell>
          <cell r="O8520" t="str">
            <v/>
          </cell>
          <cell r="P8520" t="str">
            <v/>
          </cell>
          <cell r="Q8520" t="str">
            <v/>
          </cell>
          <cell r="S8520" t="str">
            <v/>
          </cell>
          <cell r="V8520" t="str">
            <v/>
          </cell>
          <cell r="Z8520" t="str">
            <v/>
          </cell>
          <cell r="AA8520" t="str">
            <v/>
          </cell>
          <cell r="AB8520" t="str">
            <v/>
          </cell>
          <cell r="AC8520" t="str">
            <v/>
          </cell>
          <cell r="AD8520" t="str">
            <v/>
          </cell>
          <cell r="AY8520" t="str">
            <v/>
          </cell>
          <cell r="AZ8520" t="str">
            <v/>
          </cell>
          <cell r="BA8520" t="str">
            <v/>
          </cell>
        </row>
        <row r="8521">
          <cell r="B8521" t="str">
            <v>-</v>
          </cell>
          <cell r="E8521" t="str">
            <v/>
          </cell>
          <cell r="G8521" t="str">
            <v/>
          </cell>
          <cell r="J8521" t="str">
            <v/>
          </cell>
          <cell r="O8521" t="str">
            <v/>
          </cell>
          <cell r="P8521" t="str">
            <v/>
          </cell>
          <cell r="Q8521" t="str">
            <v/>
          </cell>
          <cell r="S8521" t="str">
            <v/>
          </cell>
          <cell r="V8521" t="str">
            <v/>
          </cell>
          <cell r="Z8521" t="str">
            <v/>
          </cell>
          <cell r="AA8521" t="str">
            <v/>
          </cell>
          <cell r="AB8521" t="str">
            <v/>
          </cell>
          <cell r="AC8521" t="str">
            <v/>
          </cell>
          <cell r="AD8521" t="str">
            <v/>
          </cell>
          <cell r="AY8521" t="str">
            <v/>
          </cell>
          <cell r="AZ8521" t="str">
            <v/>
          </cell>
          <cell r="BA8521" t="str">
            <v/>
          </cell>
        </row>
        <row r="8522">
          <cell r="B8522" t="str">
            <v>-</v>
          </cell>
          <cell r="E8522" t="str">
            <v/>
          </cell>
          <cell r="G8522" t="str">
            <v/>
          </cell>
          <cell r="J8522" t="str">
            <v/>
          </cell>
          <cell r="O8522" t="str">
            <v/>
          </cell>
          <cell r="P8522" t="str">
            <v/>
          </cell>
          <cell r="Q8522" t="str">
            <v/>
          </cell>
          <cell r="S8522" t="str">
            <v/>
          </cell>
          <cell r="V8522" t="str">
            <v/>
          </cell>
          <cell r="Z8522" t="str">
            <v/>
          </cell>
          <cell r="AA8522" t="str">
            <v/>
          </cell>
          <cell r="AB8522" t="str">
            <v/>
          </cell>
          <cell r="AC8522" t="str">
            <v/>
          </cell>
          <cell r="AD8522" t="str">
            <v/>
          </cell>
          <cell r="AY8522" t="str">
            <v/>
          </cell>
          <cell r="AZ8522" t="str">
            <v/>
          </cell>
          <cell r="BA8522" t="str">
            <v/>
          </cell>
        </row>
        <row r="8523">
          <cell r="B8523" t="str">
            <v>-</v>
          </cell>
          <cell r="E8523" t="str">
            <v/>
          </cell>
          <cell r="G8523" t="str">
            <v/>
          </cell>
          <cell r="J8523" t="str">
            <v/>
          </cell>
          <cell r="O8523" t="str">
            <v/>
          </cell>
          <cell r="P8523" t="str">
            <v/>
          </cell>
          <cell r="Q8523" t="str">
            <v/>
          </cell>
          <cell r="S8523" t="str">
            <v/>
          </cell>
          <cell r="V8523" t="str">
            <v/>
          </cell>
          <cell r="Z8523" t="str">
            <v/>
          </cell>
          <cell r="AA8523" t="str">
            <v/>
          </cell>
          <cell r="AB8523" t="str">
            <v/>
          </cell>
          <cell r="AC8523" t="str">
            <v/>
          </cell>
          <cell r="AD8523" t="str">
            <v/>
          </cell>
          <cell r="AY8523" t="str">
            <v/>
          </cell>
          <cell r="AZ8523" t="str">
            <v/>
          </cell>
          <cell r="BA8523" t="str">
            <v/>
          </cell>
        </row>
        <row r="8524">
          <cell r="B8524" t="str">
            <v>-</v>
          </cell>
          <cell r="E8524" t="str">
            <v/>
          </cell>
          <cell r="G8524" t="str">
            <v/>
          </cell>
          <cell r="J8524" t="str">
            <v/>
          </cell>
          <cell r="O8524" t="str">
            <v/>
          </cell>
          <cell r="P8524" t="str">
            <v/>
          </cell>
          <cell r="Q8524" t="str">
            <v/>
          </cell>
          <cell r="S8524" t="str">
            <v/>
          </cell>
          <cell r="V8524" t="str">
            <v/>
          </cell>
          <cell r="Z8524" t="str">
            <v/>
          </cell>
          <cell r="AA8524" t="str">
            <v/>
          </cell>
          <cell r="AB8524" t="str">
            <v/>
          </cell>
          <cell r="AC8524" t="str">
            <v/>
          </cell>
          <cell r="AD8524" t="str">
            <v/>
          </cell>
          <cell r="AY8524" t="str">
            <v/>
          </cell>
          <cell r="AZ8524" t="str">
            <v/>
          </cell>
          <cell r="BA8524" t="str">
            <v/>
          </cell>
        </row>
        <row r="8525">
          <cell r="B8525" t="str">
            <v>-</v>
          </cell>
          <cell r="E8525" t="str">
            <v/>
          </cell>
          <cell r="G8525" t="str">
            <v/>
          </cell>
          <cell r="J8525" t="str">
            <v/>
          </cell>
          <cell r="O8525" t="str">
            <v/>
          </cell>
          <cell r="P8525" t="str">
            <v/>
          </cell>
          <cell r="Q8525" t="str">
            <v/>
          </cell>
          <cell r="S8525" t="str">
            <v/>
          </cell>
          <cell r="V8525" t="str">
            <v/>
          </cell>
          <cell r="Z8525" t="str">
            <v/>
          </cell>
          <cell r="AA8525" t="str">
            <v/>
          </cell>
          <cell r="AB8525" t="str">
            <v/>
          </cell>
          <cell r="AC8525" t="str">
            <v/>
          </cell>
          <cell r="AD8525" t="str">
            <v/>
          </cell>
          <cell r="AY8525" t="str">
            <v/>
          </cell>
          <cell r="AZ8525" t="str">
            <v/>
          </cell>
          <cell r="BA8525" t="str">
            <v/>
          </cell>
        </row>
        <row r="8526">
          <cell r="B8526" t="str">
            <v>-</v>
          </cell>
          <cell r="E8526" t="str">
            <v/>
          </cell>
          <cell r="G8526" t="str">
            <v/>
          </cell>
          <cell r="J8526" t="str">
            <v/>
          </cell>
          <cell r="O8526" t="str">
            <v/>
          </cell>
          <cell r="P8526" t="str">
            <v/>
          </cell>
          <cell r="Q8526" t="str">
            <v/>
          </cell>
          <cell r="S8526" t="str">
            <v/>
          </cell>
          <cell r="V8526" t="str">
            <v/>
          </cell>
          <cell r="Z8526" t="str">
            <v/>
          </cell>
          <cell r="AA8526" t="str">
            <v/>
          </cell>
          <cell r="AB8526" t="str">
            <v/>
          </cell>
          <cell r="AC8526" t="str">
            <v/>
          </cell>
          <cell r="AD8526" t="str">
            <v/>
          </cell>
          <cell r="AY8526" t="str">
            <v/>
          </cell>
          <cell r="AZ8526" t="str">
            <v/>
          </cell>
          <cell r="BA8526" t="str">
            <v/>
          </cell>
        </row>
        <row r="8527">
          <cell r="B8527" t="str">
            <v>-</v>
          </cell>
          <cell r="E8527" t="str">
            <v/>
          </cell>
          <cell r="G8527" t="str">
            <v/>
          </cell>
          <cell r="J8527" t="str">
            <v/>
          </cell>
          <cell r="O8527" t="str">
            <v/>
          </cell>
          <cell r="P8527" t="str">
            <v/>
          </cell>
          <cell r="Q8527" t="str">
            <v/>
          </cell>
          <cell r="S8527" t="str">
            <v/>
          </cell>
          <cell r="V8527" t="str">
            <v/>
          </cell>
          <cell r="Z8527" t="str">
            <v/>
          </cell>
          <cell r="AA8527" t="str">
            <v/>
          </cell>
          <cell r="AB8527" t="str">
            <v/>
          </cell>
          <cell r="AC8527" t="str">
            <v/>
          </cell>
          <cell r="AD8527" t="str">
            <v/>
          </cell>
          <cell r="AY8527" t="str">
            <v/>
          </cell>
          <cell r="AZ8527" t="str">
            <v/>
          </cell>
          <cell r="BA8527" t="str">
            <v/>
          </cell>
        </row>
        <row r="8528">
          <cell r="B8528" t="str">
            <v>-</v>
          </cell>
          <cell r="E8528" t="str">
            <v/>
          </cell>
          <cell r="G8528" t="str">
            <v/>
          </cell>
          <cell r="J8528" t="str">
            <v/>
          </cell>
          <cell r="O8528" t="str">
            <v/>
          </cell>
          <cell r="P8528" t="str">
            <v/>
          </cell>
          <cell r="Q8528" t="str">
            <v/>
          </cell>
          <cell r="S8528" t="str">
            <v/>
          </cell>
          <cell r="V8528" t="str">
            <v/>
          </cell>
          <cell r="Z8528" t="str">
            <v/>
          </cell>
          <cell r="AA8528" t="str">
            <v/>
          </cell>
          <cell r="AB8528" t="str">
            <v/>
          </cell>
          <cell r="AC8528" t="str">
            <v/>
          </cell>
          <cell r="AD8528" t="str">
            <v/>
          </cell>
          <cell r="AY8528" t="str">
            <v/>
          </cell>
          <cell r="AZ8528" t="str">
            <v/>
          </cell>
          <cell r="BA8528" t="str">
            <v/>
          </cell>
        </row>
        <row r="8529">
          <cell r="B8529" t="str">
            <v>-</v>
          </cell>
          <cell r="E8529" t="str">
            <v/>
          </cell>
          <cell r="G8529" t="str">
            <v/>
          </cell>
          <cell r="J8529" t="str">
            <v/>
          </cell>
          <cell r="O8529" t="str">
            <v/>
          </cell>
          <cell r="P8529" t="str">
            <v/>
          </cell>
          <cell r="Q8529" t="str">
            <v/>
          </cell>
          <cell r="S8529" t="str">
            <v/>
          </cell>
          <cell r="V8529" t="str">
            <v/>
          </cell>
          <cell r="Z8529" t="str">
            <v/>
          </cell>
          <cell r="AA8529" t="str">
            <v/>
          </cell>
          <cell r="AB8529" t="str">
            <v/>
          </cell>
          <cell r="AC8529" t="str">
            <v/>
          </cell>
          <cell r="AD8529" t="str">
            <v/>
          </cell>
          <cell r="AY8529" t="str">
            <v/>
          </cell>
          <cell r="AZ8529" t="str">
            <v/>
          </cell>
          <cell r="BA8529" t="str">
            <v/>
          </cell>
        </row>
        <row r="8530">
          <cell r="B8530" t="str">
            <v>-</v>
          </cell>
          <cell r="E8530" t="str">
            <v/>
          </cell>
          <cell r="G8530" t="str">
            <v/>
          </cell>
          <cell r="J8530" t="str">
            <v/>
          </cell>
          <cell r="O8530" t="str">
            <v/>
          </cell>
          <cell r="P8530" t="str">
            <v/>
          </cell>
          <cell r="Q8530" t="str">
            <v/>
          </cell>
          <cell r="S8530" t="str">
            <v/>
          </cell>
          <cell r="V8530" t="str">
            <v/>
          </cell>
          <cell r="Z8530" t="str">
            <v/>
          </cell>
          <cell r="AA8530" t="str">
            <v/>
          </cell>
          <cell r="AB8530" t="str">
            <v/>
          </cell>
          <cell r="AC8530" t="str">
            <v/>
          </cell>
          <cell r="AD8530" t="str">
            <v/>
          </cell>
          <cell r="AY8530" t="str">
            <v/>
          </cell>
          <cell r="AZ8530" t="str">
            <v/>
          </cell>
          <cell r="BA8530" t="str">
            <v/>
          </cell>
        </row>
        <row r="8531">
          <cell r="B8531" t="str">
            <v>-</v>
          </cell>
          <cell r="E8531" t="str">
            <v/>
          </cell>
          <cell r="G8531" t="str">
            <v/>
          </cell>
          <cell r="J8531" t="str">
            <v/>
          </cell>
          <cell r="O8531" t="str">
            <v/>
          </cell>
          <cell r="P8531" t="str">
            <v/>
          </cell>
          <cell r="Q8531" t="str">
            <v/>
          </cell>
          <cell r="S8531" t="str">
            <v/>
          </cell>
          <cell r="V8531" t="str">
            <v/>
          </cell>
          <cell r="Z8531" t="str">
            <v/>
          </cell>
          <cell r="AA8531" t="str">
            <v/>
          </cell>
          <cell r="AB8531" t="str">
            <v/>
          </cell>
          <cell r="AC8531" t="str">
            <v/>
          </cell>
          <cell r="AD8531" t="str">
            <v/>
          </cell>
          <cell r="AY8531" t="str">
            <v/>
          </cell>
          <cell r="AZ8531" t="str">
            <v/>
          </cell>
          <cell r="BA8531" t="str">
            <v/>
          </cell>
        </row>
        <row r="8532">
          <cell r="B8532" t="str">
            <v>-</v>
          </cell>
          <cell r="E8532" t="str">
            <v/>
          </cell>
          <cell r="G8532" t="str">
            <v/>
          </cell>
          <cell r="J8532" t="str">
            <v/>
          </cell>
          <cell r="O8532" t="str">
            <v/>
          </cell>
          <cell r="P8532" t="str">
            <v/>
          </cell>
          <cell r="Q8532" t="str">
            <v/>
          </cell>
          <cell r="S8532" t="str">
            <v/>
          </cell>
          <cell r="V8532" t="str">
            <v/>
          </cell>
          <cell r="Z8532" t="str">
            <v/>
          </cell>
          <cell r="AA8532" t="str">
            <v/>
          </cell>
          <cell r="AB8532" t="str">
            <v/>
          </cell>
          <cell r="AC8532" t="str">
            <v/>
          </cell>
          <cell r="AD8532" t="str">
            <v/>
          </cell>
          <cell r="AY8532" t="str">
            <v/>
          </cell>
          <cell r="AZ8532" t="str">
            <v/>
          </cell>
          <cell r="BA8532" t="str">
            <v/>
          </cell>
        </row>
        <row r="8533">
          <cell r="B8533" t="str">
            <v>-</v>
          </cell>
          <cell r="E8533" t="str">
            <v/>
          </cell>
          <cell r="G8533" t="str">
            <v/>
          </cell>
          <cell r="J8533" t="str">
            <v/>
          </cell>
          <cell r="O8533" t="str">
            <v/>
          </cell>
          <cell r="P8533" t="str">
            <v/>
          </cell>
          <cell r="Q8533" t="str">
            <v/>
          </cell>
          <cell r="S8533" t="str">
            <v/>
          </cell>
          <cell r="V8533" t="str">
            <v/>
          </cell>
          <cell r="Z8533" t="str">
            <v/>
          </cell>
          <cell r="AA8533" t="str">
            <v/>
          </cell>
          <cell r="AB8533" t="str">
            <v/>
          </cell>
          <cell r="AC8533" t="str">
            <v/>
          </cell>
          <cell r="AD8533" t="str">
            <v/>
          </cell>
          <cell r="AY8533" t="str">
            <v/>
          </cell>
          <cell r="AZ8533" t="str">
            <v/>
          </cell>
          <cell r="BA8533" t="str">
            <v/>
          </cell>
        </row>
        <row r="8534">
          <cell r="B8534" t="str">
            <v>-</v>
          </cell>
          <cell r="E8534" t="str">
            <v/>
          </cell>
          <cell r="G8534" t="str">
            <v/>
          </cell>
          <cell r="J8534" t="str">
            <v/>
          </cell>
          <cell r="O8534" t="str">
            <v/>
          </cell>
          <cell r="P8534" t="str">
            <v/>
          </cell>
          <cell r="Q8534" t="str">
            <v/>
          </cell>
          <cell r="S8534" t="str">
            <v/>
          </cell>
          <cell r="V8534" t="str">
            <v/>
          </cell>
          <cell r="Z8534" t="str">
            <v/>
          </cell>
          <cell r="AA8534" t="str">
            <v/>
          </cell>
          <cell r="AB8534" t="str">
            <v/>
          </cell>
          <cell r="AC8534" t="str">
            <v/>
          </cell>
          <cell r="AD8534" t="str">
            <v/>
          </cell>
          <cell r="AY8534" t="str">
            <v/>
          </cell>
          <cell r="AZ8534" t="str">
            <v/>
          </cell>
          <cell r="BA8534" t="str">
            <v/>
          </cell>
        </row>
        <row r="8535">
          <cell r="B8535" t="str">
            <v>-</v>
          </cell>
          <cell r="E8535" t="str">
            <v/>
          </cell>
          <cell r="G8535" t="str">
            <v/>
          </cell>
          <cell r="J8535" t="str">
            <v/>
          </cell>
          <cell r="O8535" t="str">
            <v/>
          </cell>
          <cell r="P8535" t="str">
            <v/>
          </cell>
          <cell r="Q8535" t="str">
            <v/>
          </cell>
          <cell r="S8535" t="str">
            <v/>
          </cell>
          <cell r="V8535" t="str">
            <v/>
          </cell>
          <cell r="Z8535" t="str">
            <v/>
          </cell>
          <cell r="AA8535" t="str">
            <v/>
          </cell>
          <cell r="AB8535" t="str">
            <v/>
          </cell>
          <cell r="AC8535" t="str">
            <v/>
          </cell>
          <cell r="AD8535" t="str">
            <v/>
          </cell>
          <cell r="AY8535" t="str">
            <v/>
          </cell>
          <cell r="AZ8535" t="str">
            <v/>
          </cell>
          <cell r="BA8535" t="str">
            <v/>
          </cell>
        </row>
        <row r="8536">
          <cell r="B8536" t="str">
            <v>-</v>
          </cell>
          <cell r="E8536" t="str">
            <v/>
          </cell>
          <cell r="G8536" t="str">
            <v/>
          </cell>
          <cell r="J8536" t="str">
            <v/>
          </cell>
          <cell r="O8536" t="str">
            <v/>
          </cell>
          <cell r="P8536" t="str">
            <v/>
          </cell>
          <cell r="Q8536" t="str">
            <v/>
          </cell>
          <cell r="S8536" t="str">
            <v/>
          </cell>
          <cell r="V8536" t="str">
            <v/>
          </cell>
          <cell r="Z8536" t="str">
            <v/>
          </cell>
          <cell r="AA8536" t="str">
            <v/>
          </cell>
          <cell r="AB8536" t="str">
            <v/>
          </cell>
          <cell r="AC8536" t="str">
            <v/>
          </cell>
          <cell r="AD8536" t="str">
            <v/>
          </cell>
          <cell r="AY8536" t="str">
            <v/>
          </cell>
          <cell r="AZ8536" t="str">
            <v/>
          </cell>
          <cell r="BA8536" t="str">
            <v/>
          </cell>
        </row>
        <row r="8537">
          <cell r="B8537" t="str">
            <v>-</v>
          </cell>
          <cell r="E8537" t="str">
            <v/>
          </cell>
          <cell r="G8537" t="str">
            <v/>
          </cell>
          <cell r="J8537" t="str">
            <v/>
          </cell>
          <cell r="O8537" t="str">
            <v/>
          </cell>
          <cell r="P8537" t="str">
            <v/>
          </cell>
          <cell r="Q8537" t="str">
            <v/>
          </cell>
          <cell r="S8537" t="str">
            <v/>
          </cell>
          <cell r="V8537" t="str">
            <v/>
          </cell>
          <cell r="Z8537" t="str">
            <v/>
          </cell>
          <cell r="AA8537" t="str">
            <v/>
          </cell>
          <cell r="AB8537" t="str">
            <v/>
          </cell>
          <cell r="AC8537" t="str">
            <v/>
          </cell>
          <cell r="AD8537" t="str">
            <v/>
          </cell>
          <cell r="AY8537" t="str">
            <v/>
          </cell>
          <cell r="AZ8537" t="str">
            <v/>
          </cell>
          <cell r="BA8537" t="str">
            <v/>
          </cell>
        </row>
        <row r="8538">
          <cell r="B8538" t="str">
            <v>-</v>
          </cell>
          <cell r="E8538" t="str">
            <v/>
          </cell>
          <cell r="G8538" t="str">
            <v/>
          </cell>
          <cell r="J8538" t="str">
            <v/>
          </cell>
          <cell r="O8538" t="str">
            <v/>
          </cell>
          <cell r="P8538" t="str">
            <v/>
          </cell>
          <cell r="Q8538" t="str">
            <v/>
          </cell>
          <cell r="S8538" t="str">
            <v/>
          </cell>
          <cell r="V8538" t="str">
            <v/>
          </cell>
          <cell r="Z8538" t="str">
            <v/>
          </cell>
          <cell r="AA8538" t="str">
            <v/>
          </cell>
          <cell r="AB8538" t="str">
            <v/>
          </cell>
          <cell r="AC8538" t="str">
            <v/>
          </cell>
          <cell r="AD8538" t="str">
            <v/>
          </cell>
          <cell r="AY8538" t="str">
            <v/>
          </cell>
          <cell r="AZ8538" t="str">
            <v/>
          </cell>
          <cell r="BA8538" t="str">
            <v/>
          </cell>
        </row>
        <row r="8539">
          <cell r="B8539" t="str">
            <v>-</v>
          </cell>
          <cell r="E8539" t="str">
            <v/>
          </cell>
          <cell r="G8539" t="str">
            <v/>
          </cell>
          <cell r="J8539" t="str">
            <v/>
          </cell>
          <cell r="O8539" t="str">
            <v/>
          </cell>
          <cell r="P8539" t="str">
            <v/>
          </cell>
          <cell r="Q8539" t="str">
            <v/>
          </cell>
          <cell r="S8539" t="str">
            <v/>
          </cell>
          <cell r="V8539" t="str">
            <v/>
          </cell>
          <cell r="Z8539" t="str">
            <v/>
          </cell>
          <cell r="AA8539" t="str">
            <v/>
          </cell>
          <cell r="AB8539" t="str">
            <v/>
          </cell>
          <cell r="AC8539" t="str">
            <v/>
          </cell>
          <cell r="AD8539" t="str">
            <v/>
          </cell>
          <cell r="AY8539" t="str">
            <v/>
          </cell>
          <cell r="AZ8539" t="str">
            <v/>
          </cell>
          <cell r="BA8539" t="str">
            <v/>
          </cell>
        </row>
        <row r="8540">
          <cell r="B8540" t="str">
            <v>-</v>
          </cell>
          <cell r="E8540" t="str">
            <v/>
          </cell>
          <cell r="G8540" t="str">
            <v/>
          </cell>
          <cell r="J8540" t="str">
            <v/>
          </cell>
          <cell r="O8540" t="str">
            <v/>
          </cell>
          <cell r="P8540" t="str">
            <v/>
          </cell>
          <cell r="Q8540" t="str">
            <v/>
          </cell>
          <cell r="S8540" t="str">
            <v/>
          </cell>
          <cell r="V8540" t="str">
            <v/>
          </cell>
          <cell r="Z8540" t="str">
            <v/>
          </cell>
          <cell r="AA8540" t="str">
            <v/>
          </cell>
          <cell r="AB8540" t="str">
            <v/>
          </cell>
          <cell r="AC8540" t="str">
            <v/>
          </cell>
          <cell r="AD8540" t="str">
            <v/>
          </cell>
          <cell r="AY8540" t="str">
            <v/>
          </cell>
          <cell r="AZ8540" t="str">
            <v/>
          </cell>
          <cell r="BA8540" t="str">
            <v/>
          </cell>
        </row>
        <row r="8541">
          <cell r="B8541" t="str">
            <v>-</v>
          </cell>
          <cell r="E8541" t="str">
            <v/>
          </cell>
          <cell r="G8541" t="str">
            <v/>
          </cell>
          <cell r="J8541" t="str">
            <v/>
          </cell>
          <cell r="O8541" t="str">
            <v/>
          </cell>
          <cell r="P8541" t="str">
            <v/>
          </cell>
          <cell r="Q8541" t="str">
            <v/>
          </cell>
          <cell r="S8541" t="str">
            <v/>
          </cell>
          <cell r="V8541" t="str">
            <v/>
          </cell>
          <cell r="Z8541" t="str">
            <v/>
          </cell>
          <cell r="AA8541" t="str">
            <v/>
          </cell>
          <cell r="AB8541" t="str">
            <v/>
          </cell>
          <cell r="AC8541" t="str">
            <v/>
          </cell>
          <cell r="AD8541" t="str">
            <v/>
          </cell>
          <cell r="AY8541" t="str">
            <v/>
          </cell>
          <cell r="AZ8541" t="str">
            <v/>
          </cell>
          <cell r="BA8541" t="str">
            <v/>
          </cell>
        </row>
        <row r="8542">
          <cell r="B8542" t="str">
            <v>-</v>
          </cell>
          <cell r="E8542" t="str">
            <v/>
          </cell>
          <cell r="G8542" t="str">
            <v/>
          </cell>
          <cell r="J8542" t="str">
            <v/>
          </cell>
          <cell r="O8542" t="str">
            <v/>
          </cell>
          <cell r="P8542" t="str">
            <v/>
          </cell>
          <cell r="Q8542" t="str">
            <v/>
          </cell>
          <cell r="S8542" t="str">
            <v/>
          </cell>
          <cell r="V8542" t="str">
            <v/>
          </cell>
          <cell r="Z8542" t="str">
            <v/>
          </cell>
          <cell r="AA8542" t="str">
            <v/>
          </cell>
          <cell r="AB8542" t="str">
            <v/>
          </cell>
          <cell r="AC8542" t="str">
            <v/>
          </cell>
          <cell r="AD8542" t="str">
            <v/>
          </cell>
          <cell r="AY8542" t="str">
            <v/>
          </cell>
          <cell r="AZ8542" t="str">
            <v/>
          </cell>
          <cell r="BA8542" t="str">
            <v/>
          </cell>
        </row>
        <row r="8543">
          <cell r="B8543" t="str">
            <v>-</v>
          </cell>
          <cell r="E8543" t="str">
            <v/>
          </cell>
          <cell r="G8543" t="str">
            <v/>
          </cell>
          <cell r="J8543" t="str">
            <v/>
          </cell>
          <cell r="O8543" t="str">
            <v/>
          </cell>
          <cell r="P8543" t="str">
            <v/>
          </cell>
          <cell r="Q8543" t="str">
            <v/>
          </cell>
          <cell r="S8543" t="str">
            <v/>
          </cell>
          <cell r="V8543" t="str">
            <v/>
          </cell>
          <cell r="Z8543" t="str">
            <v/>
          </cell>
          <cell r="AA8543" t="str">
            <v/>
          </cell>
          <cell r="AB8543" t="str">
            <v/>
          </cell>
          <cell r="AC8543" t="str">
            <v/>
          </cell>
          <cell r="AD8543" t="str">
            <v/>
          </cell>
          <cell r="AY8543" t="str">
            <v/>
          </cell>
          <cell r="AZ8543" t="str">
            <v/>
          </cell>
          <cell r="BA8543" t="str">
            <v/>
          </cell>
        </row>
        <row r="8544">
          <cell r="B8544" t="str">
            <v>-</v>
          </cell>
          <cell r="E8544" t="str">
            <v/>
          </cell>
          <cell r="G8544" t="str">
            <v/>
          </cell>
          <cell r="J8544" t="str">
            <v/>
          </cell>
          <cell r="O8544" t="str">
            <v/>
          </cell>
          <cell r="P8544" t="str">
            <v/>
          </cell>
          <cell r="Q8544" t="str">
            <v/>
          </cell>
          <cell r="S8544" t="str">
            <v/>
          </cell>
          <cell r="V8544" t="str">
            <v/>
          </cell>
          <cell r="Z8544" t="str">
            <v/>
          </cell>
          <cell r="AA8544" t="str">
            <v/>
          </cell>
          <cell r="AB8544" t="str">
            <v/>
          </cell>
          <cell r="AC8544" t="str">
            <v/>
          </cell>
          <cell r="AD8544" t="str">
            <v/>
          </cell>
          <cell r="AY8544" t="str">
            <v/>
          </cell>
          <cell r="AZ8544" t="str">
            <v/>
          </cell>
          <cell r="BA8544" t="str">
            <v/>
          </cell>
        </row>
        <row r="8545">
          <cell r="B8545" t="str">
            <v>-</v>
          </cell>
          <cell r="E8545" t="str">
            <v/>
          </cell>
          <cell r="G8545" t="str">
            <v/>
          </cell>
          <cell r="J8545" t="str">
            <v/>
          </cell>
          <cell r="O8545" t="str">
            <v/>
          </cell>
          <cell r="P8545" t="str">
            <v/>
          </cell>
          <cell r="Q8545" t="str">
            <v/>
          </cell>
          <cell r="S8545" t="str">
            <v/>
          </cell>
          <cell r="V8545" t="str">
            <v/>
          </cell>
          <cell r="Z8545" t="str">
            <v/>
          </cell>
          <cell r="AA8545" t="str">
            <v/>
          </cell>
          <cell r="AB8545" t="str">
            <v/>
          </cell>
          <cell r="AC8545" t="str">
            <v/>
          </cell>
          <cell r="AD8545" t="str">
            <v/>
          </cell>
          <cell r="AY8545" t="str">
            <v/>
          </cell>
          <cell r="AZ8545" t="str">
            <v/>
          </cell>
          <cell r="BA8545" t="str">
            <v/>
          </cell>
        </row>
        <row r="8546">
          <cell r="B8546" t="str">
            <v>-</v>
          </cell>
          <cell r="E8546" t="str">
            <v/>
          </cell>
          <cell r="G8546" t="str">
            <v/>
          </cell>
          <cell r="J8546" t="str">
            <v/>
          </cell>
          <cell r="O8546" t="str">
            <v/>
          </cell>
          <cell r="P8546" t="str">
            <v/>
          </cell>
          <cell r="Q8546" t="str">
            <v/>
          </cell>
          <cell r="S8546" t="str">
            <v/>
          </cell>
          <cell r="V8546" t="str">
            <v/>
          </cell>
          <cell r="Z8546" t="str">
            <v/>
          </cell>
          <cell r="AA8546" t="str">
            <v/>
          </cell>
          <cell r="AB8546" t="str">
            <v/>
          </cell>
          <cell r="AC8546" t="str">
            <v/>
          </cell>
          <cell r="AD8546" t="str">
            <v/>
          </cell>
          <cell r="AY8546" t="str">
            <v/>
          </cell>
          <cell r="AZ8546" t="str">
            <v/>
          </cell>
          <cell r="BA8546" t="str">
            <v/>
          </cell>
        </row>
        <row r="8547">
          <cell r="B8547" t="str">
            <v>-</v>
          </cell>
          <cell r="E8547" t="str">
            <v/>
          </cell>
          <cell r="G8547" t="str">
            <v/>
          </cell>
          <cell r="J8547" t="str">
            <v/>
          </cell>
          <cell r="O8547" t="str">
            <v/>
          </cell>
          <cell r="P8547" t="str">
            <v/>
          </cell>
          <cell r="Q8547" t="str">
            <v/>
          </cell>
          <cell r="S8547" t="str">
            <v/>
          </cell>
          <cell r="V8547" t="str">
            <v/>
          </cell>
          <cell r="Z8547" t="str">
            <v/>
          </cell>
          <cell r="AA8547" t="str">
            <v/>
          </cell>
          <cell r="AB8547" t="str">
            <v/>
          </cell>
          <cell r="AC8547" t="str">
            <v/>
          </cell>
          <cell r="AD8547" t="str">
            <v/>
          </cell>
          <cell r="AY8547" t="str">
            <v/>
          </cell>
          <cell r="AZ8547" t="str">
            <v/>
          </cell>
          <cell r="BA8547" t="str">
            <v/>
          </cell>
        </row>
        <row r="8548">
          <cell r="B8548" t="str">
            <v>-</v>
          </cell>
          <cell r="E8548" t="str">
            <v/>
          </cell>
          <cell r="G8548" t="str">
            <v/>
          </cell>
          <cell r="J8548" t="str">
            <v/>
          </cell>
          <cell r="O8548" t="str">
            <v/>
          </cell>
          <cell r="P8548" t="str">
            <v/>
          </cell>
          <cell r="Q8548" t="str">
            <v/>
          </cell>
          <cell r="S8548" t="str">
            <v/>
          </cell>
          <cell r="V8548" t="str">
            <v/>
          </cell>
          <cell r="Z8548" t="str">
            <v/>
          </cell>
          <cell r="AA8548" t="str">
            <v/>
          </cell>
          <cell r="AB8548" t="str">
            <v/>
          </cell>
          <cell r="AC8548" t="str">
            <v/>
          </cell>
          <cell r="AD8548" t="str">
            <v/>
          </cell>
          <cell r="AY8548" t="str">
            <v/>
          </cell>
          <cell r="AZ8548" t="str">
            <v/>
          </cell>
          <cell r="BA8548" t="str">
            <v/>
          </cell>
        </row>
        <row r="8549">
          <cell r="B8549" t="str">
            <v>-</v>
          </cell>
          <cell r="E8549" t="str">
            <v/>
          </cell>
          <cell r="G8549" t="str">
            <v/>
          </cell>
          <cell r="J8549" t="str">
            <v/>
          </cell>
          <cell r="O8549" t="str">
            <v/>
          </cell>
          <cell r="P8549" t="str">
            <v/>
          </cell>
          <cell r="Q8549" t="str">
            <v/>
          </cell>
          <cell r="S8549" t="str">
            <v/>
          </cell>
          <cell r="V8549" t="str">
            <v/>
          </cell>
          <cell r="Z8549" t="str">
            <v/>
          </cell>
          <cell r="AA8549" t="str">
            <v/>
          </cell>
          <cell r="AB8549" t="str">
            <v/>
          </cell>
          <cell r="AC8549" t="str">
            <v/>
          </cell>
          <cell r="AD8549" t="str">
            <v/>
          </cell>
          <cell r="AY8549" t="str">
            <v/>
          </cell>
          <cell r="AZ8549" t="str">
            <v/>
          </cell>
          <cell r="BA8549" t="str">
            <v/>
          </cell>
        </row>
        <row r="8550">
          <cell r="B8550" t="str">
            <v>-</v>
          </cell>
          <cell r="E8550" t="str">
            <v/>
          </cell>
          <cell r="G8550" t="str">
            <v/>
          </cell>
          <cell r="J8550" t="str">
            <v/>
          </cell>
          <cell r="O8550" t="str">
            <v/>
          </cell>
          <cell r="P8550" t="str">
            <v/>
          </cell>
          <cell r="Q8550" t="str">
            <v/>
          </cell>
          <cell r="S8550" t="str">
            <v/>
          </cell>
          <cell r="V8550" t="str">
            <v/>
          </cell>
          <cell r="Z8550" t="str">
            <v/>
          </cell>
          <cell r="AA8550" t="str">
            <v/>
          </cell>
          <cell r="AB8550" t="str">
            <v/>
          </cell>
          <cell r="AC8550" t="str">
            <v/>
          </cell>
          <cell r="AD8550" t="str">
            <v/>
          </cell>
          <cell r="AY8550" t="str">
            <v/>
          </cell>
          <cell r="AZ8550" t="str">
            <v/>
          </cell>
          <cell r="BA8550" t="str">
            <v/>
          </cell>
        </row>
        <row r="8551">
          <cell r="B8551" t="str">
            <v>-</v>
          </cell>
          <cell r="E8551" t="str">
            <v/>
          </cell>
          <cell r="G8551" t="str">
            <v/>
          </cell>
          <cell r="J8551" t="str">
            <v/>
          </cell>
          <cell r="O8551" t="str">
            <v/>
          </cell>
          <cell r="P8551" t="str">
            <v/>
          </cell>
          <cell r="Q8551" t="str">
            <v/>
          </cell>
          <cell r="S8551" t="str">
            <v/>
          </cell>
          <cell r="V8551" t="str">
            <v/>
          </cell>
          <cell r="Z8551" t="str">
            <v/>
          </cell>
          <cell r="AA8551" t="str">
            <v/>
          </cell>
          <cell r="AB8551" t="str">
            <v/>
          </cell>
          <cell r="AC8551" t="str">
            <v/>
          </cell>
          <cell r="AD8551" t="str">
            <v/>
          </cell>
          <cell r="AY8551" t="str">
            <v/>
          </cell>
          <cell r="AZ8551" t="str">
            <v/>
          </cell>
          <cell r="BA8551" t="str">
            <v/>
          </cell>
        </row>
        <row r="8552">
          <cell r="B8552" t="str">
            <v>-</v>
          </cell>
          <cell r="E8552" t="str">
            <v/>
          </cell>
          <cell r="G8552" t="str">
            <v/>
          </cell>
          <cell r="J8552" t="str">
            <v/>
          </cell>
          <cell r="O8552" t="str">
            <v/>
          </cell>
          <cell r="P8552" t="str">
            <v/>
          </cell>
          <cell r="Q8552" t="str">
            <v/>
          </cell>
          <cell r="S8552" t="str">
            <v/>
          </cell>
          <cell r="V8552" t="str">
            <v/>
          </cell>
          <cell r="Z8552" t="str">
            <v/>
          </cell>
          <cell r="AA8552" t="str">
            <v/>
          </cell>
          <cell r="AB8552" t="str">
            <v/>
          </cell>
          <cell r="AC8552" t="str">
            <v/>
          </cell>
          <cell r="AD8552" t="str">
            <v/>
          </cell>
          <cell r="AY8552" t="str">
            <v/>
          </cell>
          <cell r="AZ8552" t="str">
            <v/>
          </cell>
          <cell r="BA8552" t="str">
            <v/>
          </cell>
        </row>
        <row r="8553">
          <cell r="B8553" t="str">
            <v>-</v>
          </cell>
          <cell r="E8553" t="str">
            <v/>
          </cell>
          <cell r="G8553" t="str">
            <v/>
          </cell>
          <cell r="J8553" t="str">
            <v/>
          </cell>
          <cell r="O8553" t="str">
            <v/>
          </cell>
          <cell r="P8553" t="str">
            <v/>
          </cell>
          <cell r="Q8553" t="str">
            <v/>
          </cell>
          <cell r="S8553" t="str">
            <v/>
          </cell>
          <cell r="V8553" t="str">
            <v/>
          </cell>
          <cell r="Z8553" t="str">
            <v/>
          </cell>
          <cell r="AA8553" t="str">
            <v/>
          </cell>
          <cell r="AB8553" t="str">
            <v/>
          </cell>
          <cell r="AC8553" t="str">
            <v/>
          </cell>
          <cell r="AD8553" t="str">
            <v/>
          </cell>
          <cell r="AY8553" t="str">
            <v/>
          </cell>
          <cell r="AZ8553" t="str">
            <v/>
          </cell>
          <cell r="BA8553" t="str">
            <v/>
          </cell>
        </row>
        <row r="8554">
          <cell r="B8554" t="str">
            <v>-</v>
          </cell>
          <cell r="E8554" t="str">
            <v/>
          </cell>
          <cell r="G8554" t="str">
            <v/>
          </cell>
          <cell r="J8554" t="str">
            <v/>
          </cell>
          <cell r="O8554" t="str">
            <v/>
          </cell>
          <cell r="P8554" t="str">
            <v/>
          </cell>
          <cell r="Q8554" t="str">
            <v/>
          </cell>
          <cell r="S8554" t="str">
            <v/>
          </cell>
          <cell r="V8554" t="str">
            <v/>
          </cell>
          <cell r="Z8554" t="str">
            <v/>
          </cell>
          <cell r="AA8554" t="str">
            <v/>
          </cell>
          <cell r="AB8554" t="str">
            <v/>
          </cell>
          <cell r="AC8554" t="str">
            <v/>
          </cell>
          <cell r="AD8554" t="str">
            <v/>
          </cell>
          <cell r="AY8554" t="str">
            <v/>
          </cell>
          <cell r="AZ8554" t="str">
            <v/>
          </cell>
          <cell r="BA8554" t="str">
            <v/>
          </cell>
        </row>
        <row r="8555">
          <cell r="B8555" t="str">
            <v>-</v>
          </cell>
          <cell r="E8555" t="str">
            <v/>
          </cell>
          <cell r="G8555" t="str">
            <v/>
          </cell>
          <cell r="J8555" t="str">
            <v/>
          </cell>
          <cell r="O8555" t="str">
            <v/>
          </cell>
          <cell r="P8555" t="str">
            <v/>
          </cell>
          <cell r="Q8555" t="str">
            <v/>
          </cell>
          <cell r="S8555" t="str">
            <v/>
          </cell>
          <cell r="V8555" t="str">
            <v/>
          </cell>
          <cell r="Z8555" t="str">
            <v/>
          </cell>
          <cell r="AA8555" t="str">
            <v/>
          </cell>
          <cell r="AB8555" t="str">
            <v/>
          </cell>
          <cell r="AC8555" t="str">
            <v/>
          </cell>
          <cell r="AD8555" t="str">
            <v/>
          </cell>
          <cell r="AY8555" t="str">
            <v/>
          </cell>
          <cell r="AZ8555" t="str">
            <v/>
          </cell>
          <cell r="BA8555" t="str">
            <v/>
          </cell>
        </row>
        <row r="8556">
          <cell r="B8556" t="str">
            <v>-</v>
          </cell>
          <cell r="E8556" t="str">
            <v/>
          </cell>
          <cell r="G8556" t="str">
            <v/>
          </cell>
          <cell r="J8556" t="str">
            <v/>
          </cell>
          <cell r="O8556" t="str">
            <v/>
          </cell>
          <cell r="P8556" t="str">
            <v/>
          </cell>
          <cell r="Q8556" t="str">
            <v/>
          </cell>
          <cell r="S8556" t="str">
            <v/>
          </cell>
          <cell r="V8556" t="str">
            <v/>
          </cell>
          <cell r="Z8556" t="str">
            <v/>
          </cell>
          <cell r="AA8556" t="str">
            <v/>
          </cell>
          <cell r="AB8556" t="str">
            <v/>
          </cell>
          <cell r="AC8556" t="str">
            <v/>
          </cell>
          <cell r="AD8556" t="str">
            <v/>
          </cell>
          <cell r="AY8556" t="str">
            <v/>
          </cell>
          <cell r="AZ8556" t="str">
            <v/>
          </cell>
          <cell r="BA8556" t="str">
            <v/>
          </cell>
        </row>
        <row r="8557">
          <cell r="B8557" t="str">
            <v>-</v>
          </cell>
          <cell r="E8557" t="str">
            <v/>
          </cell>
          <cell r="G8557" t="str">
            <v/>
          </cell>
          <cell r="J8557" t="str">
            <v/>
          </cell>
          <cell r="O8557" t="str">
            <v/>
          </cell>
          <cell r="P8557" t="str">
            <v/>
          </cell>
          <cell r="Q8557" t="str">
            <v/>
          </cell>
          <cell r="S8557" t="str">
            <v/>
          </cell>
          <cell r="V8557" t="str">
            <v/>
          </cell>
          <cell r="Z8557" t="str">
            <v/>
          </cell>
          <cell r="AA8557" t="str">
            <v/>
          </cell>
          <cell r="AB8557" t="str">
            <v/>
          </cell>
          <cell r="AC8557" t="str">
            <v/>
          </cell>
          <cell r="AD8557" t="str">
            <v/>
          </cell>
          <cell r="AY8557" t="str">
            <v/>
          </cell>
          <cell r="AZ8557" t="str">
            <v/>
          </cell>
          <cell r="BA8557" t="str">
            <v/>
          </cell>
        </row>
        <row r="8558">
          <cell r="B8558" t="str">
            <v>-</v>
          </cell>
          <cell r="E8558" t="str">
            <v/>
          </cell>
          <cell r="G8558" t="str">
            <v/>
          </cell>
          <cell r="J8558" t="str">
            <v/>
          </cell>
          <cell r="O8558" t="str">
            <v/>
          </cell>
          <cell r="P8558" t="str">
            <v/>
          </cell>
          <cell r="Q8558" t="str">
            <v/>
          </cell>
          <cell r="S8558" t="str">
            <v/>
          </cell>
          <cell r="V8558" t="str">
            <v/>
          </cell>
          <cell r="Z8558" t="str">
            <v/>
          </cell>
          <cell r="AA8558" t="str">
            <v/>
          </cell>
          <cell r="AB8558" t="str">
            <v/>
          </cell>
          <cell r="AC8558" t="str">
            <v/>
          </cell>
          <cell r="AD8558" t="str">
            <v/>
          </cell>
          <cell r="AY8558" t="str">
            <v/>
          </cell>
          <cell r="AZ8558" t="str">
            <v/>
          </cell>
          <cell r="BA8558" t="str">
            <v/>
          </cell>
        </row>
        <row r="8559">
          <cell r="B8559" t="str">
            <v>-</v>
          </cell>
          <cell r="E8559" t="str">
            <v/>
          </cell>
          <cell r="G8559" t="str">
            <v/>
          </cell>
          <cell r="J8559" t="str">
            <v/>
          </cell>
          <cell r="O8559" t="str">
            <v/>
          </cell>
          <cell r="P8559" t="str">
            <v/>
          </cell>
          <cell r="Q8559" t="str">
            <v/>
          </cell>
          <cell r="S8559" t="str">
            <v/>
          </cell>
          <cell r="V8559" t="str">
            <v/>
          </cell>
          <cell r="Z8559" t="str">
            <v/>
          </cell>
          <cell r="AA8559" t="str">
            <v/>
          </cell>
          <cell r="AB8559" t="str">
            <v/>
          </cell>
          <cell r="AC8559" t="str">
            <v/>
          </cell>
          <cell r="AD8559" t="str">
            <v/>
          </cell>
          <cell r="AY8559" t="str">
            <v/>
          </cell>
          <cell r="AZ8559" t="str">
            <v/>
          </cell>
          <cell r="BA8559" t="str">
            <v/>
          </cell>
        </row>
        <row r="8560">
          <cell r="B8560" t="str">
            <v>-</v>
          </cell>
          <cell r="E8560" t="str">
            <v/>
          </cell>
          <cell r="G8560" t="str">
            <v/>
          </cell>
          <cell r="J8560" t="str">
            <v/>
          </cell>
          <cell r="O8560" t="str">
            <v/>
          </cell>
          <cell r="P8560" t="str">
            <v/>
          </cell>
          <cell r="Q8560" t="str">
            <v/>
          </cell>
          <cell r="S8560" t="str">
            <v/>
          </cell>
          <cell r="V8560" t="str">
            <v/>
          </cell>
          <cell r="Z8560" t="str">
            <v/>
          </cell>
          <cell r="AA8560" t="str">
            <v/>
          </cell>
          <cell r="AB8560" t="str">
            <v/>
          </cell>
          <cell r="AC8560" t="str">
            <v/>
          </cell>
          <cell r="AD8560" t="str">
            <v/>
          </cell>
          <cell r="AY8560" t="str">
            <v/>
          </cell>
          <cell r="AZ8560" t="str">
            <v/>
          </cell>
          <cell r="BA8560" t="str">
            <v/>
          </cell>
        </row>
        <row r="8561">
          <cell r="B8561" t="str">
            <v>-</v>
          </cell>
          <cell r="E8561" t="str">
            <v/>
          </cell>
          <cell r="G8561" t="str">
            <v/>
          </cell>
          <cell r="J8561" t="str">
            <v/>
          </cell>
          <cell r="O8561" t="str">
            <v/>
          </cell>
          <cell r="P8561" t="str">
            <v/>
          </cell>
          <cell r="Q8561" t="str">
            <v/>
          </cell>
          <cell r="S8561" t="str">
            <v/>
          </cell>
          <cell r="V8561" t="str">
            <v/>
          </cell>
          <cell r="Z8561" t="str">
            <v/>
          </cell>
          <cell r="AA8561" t="str">
            <v/>
          </cell>
          <cell r="AB8561" t="str">
            <v/>
          </cell>
          <cell r="AC8561" t="str">
            <v/>
          </cell>
          <cell r="AD8561" t="str">
            <v/>
          </cell>
          <cell r="AY8561" t="str">
            <v/>
          </cell>
          <cell r="AZ8561" t="str">
            <v/>
          </cell>
          <cell r="BA8561" t="str">
            <v/>
          </cell>
        </row>
        <row r="8562">
          <cell r="B8562" t="str">
            <v>-</v>
          </cell>
          <cell r="E8562" t="str">
            <v/>
          </cell>
          <cell r="G8562" t="str">
            <v/>
          </cell>
          <cell r="J8562" t="str">
            <v/>
          </cell>
          <cell r="O8562" t="str">
            <v/>
          </cell>
          <cell r="P8562" t="str">
            <v/>
          </cell>
          <cell r="Q8562" t="str">
            <v/>
          </cell>
          <cell r="S8562" t="str">
            <v/>
          </cell>
          <cell r="V8562" t="str">
            <v/>
          </cell>
          <cell r="Z8562" t="str">
            <v/>
          </cell>
          <cell r="AA8562" t="str">
            <v/>
          </cell>
          <cell r="AB8562" t="str">
            <v/>
          </cell>
          <cell r="AC8562" t="str">
            <v/>
          </cell>
          <cell r="AD8562" t="str">
            <v/>
          </cell>
          <cell r="AY8562" t="str">
            <v/>
          </cell>
          <cell r="AZ8562" t="str">
            <v/>
          </cell>
          <cell r="BA8562" t="str">
            <v/>
          </cell>
        </row>
        <row r="8563">
          <cell r="B8563" t="str">
            <v>-</v>
          </cell>
          <cell r="E8563" t="str">
            <v/>
          </cell>
          <cell r="G8563" t="str">
            <v/>
          </cell>
          <cell r="J8563" t="str">
            <v/>
          </cell>
          <cell r="O8563" t="str">
            <v/>
          </cell>
          <cell r="P8563" t="str">
            <v/>
          </cell>
          <cell r="Q8563" t="str">
            <v/>
          </cell>
          <cell r="S8563" t="str">
            <v/>
          </cell>
          <cell r="V8563" t="str">
            <v/>
          </cell>
          <cell r="Z8563" t="str">
            <v/>
          </cell>
          <cell r="AA8563" t="str">
            <v/>
          </cell>
          <cell r="AB8563" t="str">
            <v/>
          </cell>
          <cell r="AC8563" t="str">
            <v/>
          </cell>
          <cell r="AD8563" t="str">
            <v/>
          </cell>
          <cell r="AY8563" t="str">
            <v/>
          </cell>
          <cell r="AZ8563" t="str">
            <v/>
          </cell>
          <cell r="BA8563" t="str">
            <v/>
          </cell>
        </row>
        <row r="8564">
          <cell r="B8564" t="str">
            <v>-</v>
          </cell>
          <cell r="E8564" t="str">
            <v/>
          </cell>
          <cell r="G8564" t="str">
            <v/>
          </cell>
          <cell r="J8564" t="str">
            <v/>
          </cell>
          <cell r="O8564" t="str">
            <v/>
          </cell>
          <cell r="P8564" t="str">
            <v/>
          </cell>
          <cell r="Q8564" t="str">
            <v/>
          </cell>
          <cell r="S8564" t="str">
            <v/>
          </cell>
          <cell r="V8564" t="str">
            <v/>
          </cell>
          <cell r="Z8564" t="str">
            <v/>
          </cell>
          <cell r="AA8564" t="str">
            <v/>
          </cell>
          <cell r="AB8564" t="str">
            <v/>
          </cell>
          <cell r="AC8564" t="str">
            <v/>
          </cell>
          <cell r="AD8564" t="str">
            <v/>
          </cell>
          <cell r="AY8564" t="str">
            <v/>
          </cell>
          <cell r="AZ8564" t="str">
            <v/>
          </cell>
          <cell r="BA8564" t="str">
            <v/>
          </cell>
        </row>
        <row r="8565">
          <cell r="B8565" t="str">
            <v>-</v>
          </cell>
          <cell r="E8565" t="str">
            <v/>
          </cell>
          <cell r="G8565" t="str">
            <v/>
          </cell>
          <cell r="J8565" t="str">
            <v/>
          </cell>
          <cell r="O8565" t="str">
            <v/>
          </cell>
          <cell r="P8565" t="str">
            <v/>
          </cell>
          <cell r="Q8565" t="str">
            <v/>
          </cell>
          <cell r="S8565" t="str">
            <v/>
          </cell>
          <cell r="V8565" t="str">
            <v/>
          </cell>
          <cell r="Z8565" t="str">
            <v/>
          </cell>
          <cell r="AA8565" t="str">
            <v/>
          </cell>
          <cell r="AB8565" t="str">
            <v/>
          </cell>
          <cell r="AC8565" t="str">
            <v/>
          </cell>
          <cell r="AD8565" t="str">
            <v/>
          </cell>
          <cell r="AY8565" t="str">
            <v/>
          </cell>
          <cell r="AZ8565" t="str">
            <v/>
          </cell>
          <cell r="BA8565" t="str">
            <v/>
          </cell>
        </row>
        <row r="8566">
          <cell r="B8566" t="str">
            <v>-</v>
          </cell>
          <cell r="E8566" t="str">
            <v/>
          </cell>
          <cell r="G8566" t="str">
            <v/>
          </cell>
          <cell r="J8566" t="str">
            <v/>
          </cell>
          <cell r="O8566" t="str">
            <v/>
          </cell>
          <cell r="P8566" t="str">
            <v/>
          </cell>
          <cell r="Q8566" t="str">
            <v/>
          </cell>
          <cell r="S8566" t="str">
            <v/>
          </cell>
          <cell r="V8566" t="str">
            <v/>
          </cell>
          <cell r="Z8566" t="str">
            <v/>
          </cell>
          <cell r="AA8566" t="str">
            <v/>
          </cell>
          <cell r="AB8566" t="str">
            <v/>
          </cell>
          <cell r="AC8566" t="str">
            <v/>
          </cell>
          <cell r="AD8566" t="str">
            <v/>
          </cell>
          <cell r="AY8566" t="str">
            <v/>
          </cell>
          <cell r="AZ8566" t="str">
            <v/>
          </cell>
          <cell r="BA8566" t="str">
            <v/>
          </cell>
        </row>
        <row r="8567">
          <cell r="B8567" t="str">
            <v>-</v>
          </cell>
          <cell r="E8567" t="str">
            <v/>
          </cell>
          <cell r="G8567" t="str">
            <v/>
          </cell>
          <cell r="J8567" t="str">
            <v/>
          </cell>
          <cell r="O8567" t="str">
            <v/>
          </cell>
          <cell r="P8567" t="str">
            <v/>
          </cell>
          <cell r="Q8567" t="str">
            <v/>
          </cell>
          <cell r="S8567" t="str">
            <v/>
          </cell>
          <cell r="V8567" t="str">
            <v/>
          </cell>
          <cell r="Z8567" t="str">
            <v/>
          </cell>
          <cell r="AA8567" t="str">
            <v/>
          </cell>
          <cell r="AB8567" t="str">
            <v/>
          </cell>
          <cell r="AC8567" t="str">
            <v/>
          </cell>
          <cell r="AD8567" t="str">
            <v/>
          </cell>
          <cell r="AY8567" t="str">
            <v/>
          </cell>
          <cell r="AZ8567" t="str">
            <v/>
          </cell>
          <cell r="BA8567" t="str">
            <v/>
          </cell>
        </row>
        <row r="8568">
          <cell r="B8568" t="str">
            <v>-</v>
          </cell>
          <cell r="E8568" t="str">
            <v/>
          </cell>
          <cell r="G8568" t="str">
            <v/>
          </cell>
          <cell r="J8568" t="str">
            <v/>
          </cell>
          <cell r="O8568" t="str">
            <v/>
          </cell>
          <cell r="P8568" t="str">
            <v/>
          </cell>
          <cell r="Q8568" t="str">
            <v/>
          </cell>
          <cell r="S8568" t="str">
            <v/>
          </cell>
          <cell r="V8568" t="str">
            <v/>
          </cell>
          <cell r="Z8568" t="str">
            <v/>
          </cell>
          <cell r="AA8568" t="str">
            <v/>
          </cell>
          <cell r="AB8568" t="str">
            <v/>
          </cell>
          <cell r="AC8568" t="str">
            <v/>
          </cell>
          <cell r="AD8568" t="str">
            <v/>
          </cell>
          <cell r="AY8568" t="str">
            <v/>
          </cell>
          <cell r="AZ8568" t="str">
            <v/>
          </cell>
          <cell r="BA8568" t="str">
            <v/>
          </cell>
        </row>
        <row r="8569">
          <cell r="B8569" t="str">
            <v>-</v>
          </cell>
          <cell r="E8569" t="str">
            <v/>
          </cell>
          <cell r="G8569" t="str">
            <v/>
          </cell>
          <cell r="J8569" t="str">
            <v/>
          </cell>
          <cell r="O8569" t="str">
            <v/>
          </cell>
          <cell r="P8569" t="str">
            <v/>
          </cell>
          <cell r="Q8569" t="str">
            <v/>
          </cell>
          <cell r="S8569" t="str">
            <v/>
          </cell>
          <cell r="V8569" t="str">
            <v/>
          </cell>
          <cell r="Z8569" t="str">
            <v/>
          </cell>
          <cell r="AA8569" t="str">
            <v/>
          </cell>
          <cell r="AB8569" t="str">
            <v/>
          </cell>
          <cell r="AC8569" t="str">
            <v/>
          </cell>
          <cell r="AD8569" t="str">
            <v/>
          </cell>
          <cell r="AY8569" t="str">
            <v/>
          </cell>
          <cell r="AZ8569" t="str">
            <v/>
          </cell>
          <cell r="BA8569" t="str">
            <v/>
          </cell>
        </row>
        <row r="8570">
          <cell r="B8570" t="str">
            <v>-</v>
          </cell>
          <cell r="E8570" t="str">
            <v/>
          </cell>
          <cell r="G8570" t="str">
            <v/>
          </cell>
          <cell r="J8570" t="str">
            <v/>
          </cell>
          <cell r="O8570" t="str">
            <v/>
          </cell>
          <cell r="P8570" t="str">
            <v/>
          </cell>
          <cell r="Q8570" t="str">
            <v/>
          </cell>
          <cell r="S8570" t="str">
            <v/>
          </cell>
          <cell r="V8570" t="str">
            <v/>
          </cell>
          <cell r="Z8570" t="str">
            <v/>
          </cell>
          <cell r="AA8570" t="str">
            <v/>
          </cell>
          <cell r="AB8570" t="str">
            <v/>
          </cell>
          <cell r="AC8570" t="str">
            <v/>
          </cell>
          <cell r="AD8570" t="str">
            <v/>
          </cell>
          <cell r="AY8570" t="str">
            <v/>
          </cell>
          <cell r="AZ8570" t="str">
            <v/>
          </cell>
          <cell r="BA8570" t="str">
            <v/>
          </cell>
        </row>
        <row r="8571">
          <cell r="B8571" t="str">
            <v>-</v>
          </cell>
          <cell r="E8571" t="str">
            <v/>
          </cell>
          <cell r="G8571" t="str">
            <v/>
          </cell>
          <cell r="J8571" t="str">
            <v/>
          </cell>
          <cell r="O8571" t="str">
            <v/>
          </cell>
          <cell r="P8571" t="str">
            <v/>
          </cell>
          <cell r="Q8571" t="str">
            <v/>
          </cell>
          <cell r="S8571" t="str">
            <v/>
          </cell>
          <cell r="V8571" t="str">
            <v/>
          </cell>
          <cell r="Z8571" t="str">
            <v/>
          </cell>
          <cell r="AA8571" t="str">
            <v/>
          </cell>
          <cell r="AB8571" t="str">
            <v/>
          </cell>
          <cell r="AC8571" t="str">
            <v/>
          </cell>
          <cell r="AD8571" t="str">
            <v/>
          </cell>
          <cell r="AY8571" t="str">
            <v/>
          </cell>
          <cell r="AZ8571" t="str">
            <v/>
          </cell>
          <cell r="BA8571" t="str">
            <v/>
          </cell>
        </row>
        <row r="8572">
          <cell r="B8572" t="str">
            <v>-</v>
          </cell>
          <cell r="E8572" t="str">
            <v/>
          </cell>
          <cell r="G8572" t="str">
            <v/>
          </cell>
          <cell r="J8572" t="str">
            <v/>
          </cell>
          <cell r="O8572" t="str">
            <v/>
          </cell>
          <cell r="P8572" t="str">
            <v/>
          </cell>
          <cell r="Q8572" t="str">
            <v/>
          </cell>
          <cell r="S8572" t="str">
            <v/>
          </cell>
          <cell r="V8572" t="str">
            <v/>
          </cell>
          <cell r="Z8572" t="str">
            <v/>
          </cell>
          <cell r="AA8572" t="str">
            <v/>
          </cell>
          <cell r="AB8572" t="str">
            <v/>
          </cell>
          <cell r="AC8572" t="str">
            <v/>
          </cell>
          <cell r="AD8572" t="str">
            <v/>
          </cell>
          <cell r="AY8572" t="str">
            <v/>
          </cell>
          <cell r="AZ8572" t="str">
            <v/>
          </cell>
          <cell r="BA8572" t="str">
            <v/>
          </cell>
        </row>
        <row r="8573">
          <cell r="B8573" t="str">
            <v>-</v>
          </cell>
          <cell r="E8573" t="str">
            <v/>
          </cell>
          <cell r="G8573" t="str">
            <v/>
          </cell>
          <cell r="J8573" t="str">
            <v/>
          </cell>
          <cell r="O8573" t="str">
            <v/>
          </cell>
          <cell r="P8573" t="str">
            <v/>
          </cell>
          <cell r="Q8573" t="str">
            <v/>
          </cell>
          <cell r="S8573" t="str">
            <v/>
          </cell>
          <cell r="V8573" t="str">
            <v/>
          </cell>
          <cell r="Z8573" t="str">
            <v/>
          </cell>
          <cell r="AA8573" t="str">
            <v/>
          </cell>
          <cell r="AB8573" t="str">
            <v/>
          </cell>
          <cell r="AC8573" t="str">
            <v/>
          </cell>
          <cell r="AD8573" t="str">
            <v/>
          </cell>
          <cell r="AY8573" t="str">
            <v/>
          </cell>
          <cell r="AZ8573" t="str">
            <v/>
          </cell>
          <cell r="BA8573" t="str">
            <v/>
          </cell>
        </row>
        <row r="8574">
          <cell r="B8574" t="str">
            <v>-</v>
          </cell>
          <cell r="E8574" t="str">
            <v/>
          </cell>
          <cell r="G8574" t="str">
            <v/>
          </cell>
          <cell r="J8574" t="str">
            <v/>
          </cell>
          <cell r="O8574" t="str">
            <v/>
          </cell>
          <cell r="P8574" t="str">
            <v/>
          </cell>
          <cell r="Q8574" t="str">
            <v/>
          </cell>
          <cell r="S8574" t="str">
            <v/>
          </cell>
          <cell r="V8574" t="str">
            <v/>
          </cell>
          <cell r="Z8574" t="str">
            <v/>
          </cell>
          <cell r="AA8574" t="str">
            <v/>
          </cell>
          <cell r="AB8574" t="str">
            <v/>
          </cell>
          <cell r="AC8574" t="str">
            <v/>
          </cell>
          <cell r="AD8574" t="str">
            <v/>
          </cell>
          <cell r="AY8574" t="str">
            <v/>
          </cell>
          <cell r="AZ8574" t="str">
            <v/>
          </cell>
          <cell r="BA8574" t="str">
            <v/>
          </cell>
        </row>
        <row r="8575">
          <cell r="B8575" t="str">
            <v>-</v>
          </cell>
          <cell r="E8575" t="str">
            <v/>
          </cell>
          <cell r="G8575" t="str">
            <v/>
          </cell>
          <cell r="J8575" t="str">
            <v/>
          </cell>
          <cell r="O8575" t="str">
            <v/>
          </cell>
          <cell r="P8575" t="str">
            <v/>
          </cell>
          <cell r="Q8575" t="str">
            <v/>
          </cell>
          <cell r="S8575" t="str">
            <v/>
          </cell>
          <cell r="V8575" t="str">
            <v/>
          </cell>
          <cell r="Z8575" t="str">
            <v/>
          </cell>
          <cell r="AA8575" t="str">
            <v/>
          </cell>
          <cell r="AB8575" t="str">
            <v/>
          </cell>
          <cell r="AC8575" t="str">
            <v/>
          </cell>
          <cell r="AD8575" t="str">
            <v/>
          </cell>
          <cell r="AY8575" t="str">
            <v/>
          </cell>
          <cell r="AZ8575" t="str">
            <v/>
          </cell>
          <cell r="BA8575" t="str">
            <v/>
          </cell>
        </row>
        <row r="8576">
          <cell r="B8576" t="str">
            <v>-</v>
          </cell>
          <cell r="E8576" t="str">
            <v/>
          </cell>
          <cell r="G8576" t="str">
            <v/>
          </cell>
          <cell r="J8576" t="str">
            <v/>
          </cell>
          <cell r="O8576" t="str">
            <v/>
          </cell>
          <cell r="P8576" t="str">
            <v/>
          </cell>
          <cell r="Q8576" t="str">
            <v/>
          </cell>
          <cell r="S8576" t="str">
            <v/>
          </cell>
          <cell r="V8576" t="str">
            <v/>
          </cell>
          <cell r="Z8576" t="str">
            <v/>
          </cell>
          <cell r="AA8576" t="str">
            <v/>
          </cell>
          <cell r="AB8576" t="str">
            <v/>
          </cell>
          <cell r="AC8576" t="str">
            <v/>
          </cell>
          <cell r="AD8576" t="str">
            <v/>
          </cell>
          <cell r="AY8576" t="str">
            <v/>
          </cell>
          <cell r="AZ8576" t="str">
            <v/>
          </cell>
          <cell r="BA8576" t="str">
            <v/>
          </cell>
        </row>
        <row r="8577">
          <cell r="B8577" t="str">
            <v>-</v>
          </cell>
          <cell r="E8577" t="str">
            <v/>
          </cell>
          <cell r="G8577" t="str">
            <v/>
          </cell>
          <cell r="J8577" t="str">
            <v/>
          </cell>
          <cell r="O8577" t="str">
            <v/>
          </cell>
          <cell r="P8577" t="str">
            <v/>
          </cell>
          <cell r="Q8577" t="str">
            <v/>
          </cell>
          <cell r="S8577" t="str">
            <v/>
          </cell>
          <cell r="V8577" t="str">
            <v/>
          </cell>
          <cell r="Z8577" t="str">
            <v/>
          </cell>
          <cell r="AA8577" t="str">
            <v/>
          </cell>
          <cell r="AB8577" t="str">
            <v/>
          </cell>
          <cell r="AC8577" t="str">
            <v/>
          </cell>
          <cell r="AD8577" t="str">
            <v/>
          </cell>
          <cell r="AY8577" t="str">
            <v/>
          </cell>
          <cell r="AZ8577" t="str">
            <v/>
          </cell>
          <cell r="BA8577" t="str">
            <v/>
          </cell>
        </row>
        <row r="8578">
          <cell r="B8578" t="str">
            <v>-</v>
          </cell>
          <cell r="E8578" t="str">
            <v/>
          </cell>
          <cell r="G8578" t="str">
            <v/>
          </cell>
          <cell r="J8578" t="str">
            <v/>
          </cell>
          <cell r="O8578" t="str">
            <v/>
          </cell>
          <cell r="P8578" t="str">
            <v/>
          </cell>
          <cell r="Q8578" t="str">
            <v/>
          </cell>
          <cell r="S8578" t="str">
            <v/>
          </cell>
          <cell r="V8578" t="str">
            <v/>
          </cell>
          <cell r="Z8578" t="str">
            <v/>
          </cell>
          <cell r="AA8578" t="str">
            <v/>
          </cell>
          <cell r="AB8578" t="str">
            <v/>
          </cell>
          <cell r="AC8578" t="str">
            <v/>
          </cell>
          <cell r="AD8578" t="str">
            <v/>
          </cell>
          <cell r="AY8578" t="str">
            <v/>
          </cell>
          <cell r="AZ8578" t="str">
            <v/>
          </cell>
          <cell r="BA8578" t="str">
            <v/>
          </cell>
        </row>
        <row r="8579">
          <cell r="B8579" t="str">
            <v>-</v>
          </cell>
          <cell r="E8579" t="str">
            <v/>
          </cell>
          <cell r="G8579" t="str">
            <v/>
          </cell>
          <cell r="J8579" t="str">
            <v/>
          </cell>
          <cell r="O8579" t="str">
            <v/>
          </cell>
          <cell r="P8579" t="str">
            <v/>
          </cell>
          <cell r="Q8579" t="str">
            <v/>
          </cell>
          <cell r="S8579" t="str">
            <v/>
          </cell>
          <cell r="V8579" t="str">
            <v/>
          </cell>
          <cell r="Z8579" t="str">
            <v/>
          </cell>
          <cell r="AA8579" t="str">
            <v/>
          </cell>
          <cell r="AB8579" t="str">
            <v/>
          </cell>
          <cell r="AC8579" t="str">
            <v/>
          </cell>
          <cell r="AD8579" t="str">
            <v/>
          </cell>
          <cell r="AY8579" t="str">
            <v/>
          </cell>
          <cell r="AZ8579" t="str">
            <v/>
          </cell>
          <cell r="BA8579" t="str">
            <v/>
          </cell>
        </row>
        <row r="8580">
          <cell r="B8580" t="str">
            <v>-</v>
          </cell>
          <cell r="E8580" t="str">
            <v/>
          </cell>
          <cell r="G8580" t="str">
            <v/>
          </cell>
          <cell r="J8580" t="str">
            <v/>
          </cell>
          <cell r="O8580" t="str">
            <v/>
          </cell>
          <cell r="P8580" t="str">
            <v/>
          </cell>
          <cell r="Q8580" t="str">
            <v/>
          </cell>
          <cell r="S8580" t="str">
            <v/>
          </cell>
          <cell r="V8580" t="str">
            <v/>
          </cell>
          <cell r="Z8580" t="str">
            <v/>
          </cell>
          <cell r="AA8580" t="str">
            <v/>
          </cell>
          <cell r="AB8580" t="str">
            <v/>
          </cell>
          <cell r="AC8580" t="str">
            <v/>
          </cell>
          <cell r="AD8580" t="str">
            <v/>
          </cell>
          <cell r="AY8580" t="str">
            <v/>
          </cell>
          <cell r="AZ8580" t="str">
            <v/>
          </cell>
          <cell r="BA8580" t="str">
            <v/>
          </cell>
        </row>
        <row r="8581">
          <cell r="B8581" t="str">
            <v>-</v>
          </cell>
          <cell r="E8581" t="str">
            <v/>
          </cell>
          <cell r="G8581" t="str">
            <v/>
          </cell>
          <cell r="J8581" t="str">
            <v/>
          </cell>
          <cell r="O8581" t="str">
            <v/>
          </cell>
          <cell r="P8581" t="str">
            <v/>
          </cell>
          <cell r="Q8581" t="str">
            <v/>
          </cell>
          <cell r="S8581" t="str">
            <v/>
          </cell>
          <cell r="V8581" t="str">
            <v/>
          </cell>
          <cell r="Z8581" t="str">
            <v/>
          </cell>
          <cell r="AA8581" t="str">
            <v/>
          </cell>
          <cell r="AB8581" t="str">
            <v/>
          </cell>
          <cell r="AC8581" t="str">
            <v/>
          </cell>
          <cell r="AD8581" t="str">
            <v/>
          </cell>
          <cell r="AY8581" t="str">
            <v/>
          </cell>
          <cell r="AZ8581" t="str">
            <v/>
          </cell>
          <cell r="BA8581" t="str">
            <v/>
          </cell>
        </row>
        <row r="8582">
          <cell r="B8582" t="str">
            <v>-</v>
          </cell>
          <cell r="E8582" t="str">
            <v/>
          </cell>
          <cell r="G8582" t="str">
            <v/>
          </cell>
          <cell r="J8582" t="str">
            <v/>
          </cell>
          <cell r="O8582" t="str">
            <v/>
          </cell>
          <cell r="P8582" t="str">
            <v/>
          </cell>
          <cell r="Q8582" t="str">
            <v/>
          </cell>
          <cell r="S8582" t="str">
            <v/>
          </cell>
          <cell r="V8582" t="str">
            <v/>
          </cell>
          <cell r="Z8582" t="str">
            <v/>
          </cell>
          <cell r="AA8582" t="str">
            <v/>
          </cell>
          <cell r="AB8582" t="str">
            <v/>
          </cell>
          <cell r="AC8582" t="str">
            <v/>
          </cell>
          <cell r="AD8582" t="str">
            <v/>
          </cell>
          <cell r="AY8582" t="str">
            <v/>
          </cell>
          <cell r="AZ8582" t="str">
            <v/>
          </cell>
          <cell r="BA8582" t="str">
            <v/>
          </cell>
        </row>
        <row r="8583">
          <cell r="B8583" t="str">
            <v>-</v>
          </cell>
          <cell r="E8583" t="str">
            <v/>
          </cell>
          <cell r="G8583" t="str">
            <v/>
          </cell>
          <cell r="J8583" t="str">
            <v/>
          </cell>
          <cell r="O8583" t="str">
            <v/>
          </cell>
          <cell r="P8583" t="str">
            <v/>
          </cell>
          <cell r="Q8583" t="str">
            <v/>
          </cell>
          <cell r="S8583" t="str">
            <v/>
          </cell>
          <cell r="V8583" t="str">
            <v/>
          </cell>
          <cell r="Z8583" t="str">
            <v/>
          </cell>
          <cell r="AA8583" t="str">
            <v/>
          </cell>
          <cell r="AB8583" t="str">
            <v/>
          </cell>
          <cell r="AC8583" t="str">
            <v/>
          </cell>
          <cell r="AD8583" t="str">
            <v/>
          </cell>
          <cell r="AY8583" t="str">
            <v/>
          </cell>
          <cell r="AZ8583" t="str">
            <v/>
          </cell>
          <cell r="BA8583" t="str">
            <v/>
          </cell>
        </row>
        <row r="8584">
          <cell r="B8584" t="str">
            <v>-</v>
          </cell>
          <cell r="E8584" t="str">
            <v/>
          </cell>
          <cell r="G8584" t="str">
            <v/>
          </cell>
          <cell r="J8584" t="str">
            <v/>
          </cell>
          <cell r="O8584" t="str">
            <v/>
          </cell>
          <cell r="P8584" t="str">
            <v/>
          </cell>
          <cell r="Q8584" t="str">
            <v/>
          </cell>
          <cell r="S8584" t="str">
            <v/>
          </cell>
          <cell r="V8584" t="str">
            <v/>
          </cell>
          <cell r="Z8584" t="str">
            <v/>
          </cell>
          <cell r="AA8584" t="str">
            <v/>
          </cell>
          <cell r="AB8584" t="str">
            <v/>
          </cell>
          <cell r="AC8584" t="str">
            <v/>
          </cell>
          <cell r="AD8584" t="str">
            <v/>
          </cell>
          <cell r="AY8584" t="str">
            <v/>
          </cell>
          <cell r="AZ8584" t="str">
            <v/>
          </cell>
          <cell r="BA8584" t="str">
            <v/>
          </cell>
        </row>
        <row r="8585">
          <cell r="B8585" t="str">
            <v>-</v>
          </cell>
          <cell r="E8585" t="str">
            <v/>
          </cell>
          <cell r="G8585" t="str">
            <v/>
          </cell>
          <cell r="J8585" t="str">
            <v/>
          </cell>
          <cell r="O8585" t="str">
            <v/>
          </cell>
          <cell r="P8585" t="str">
            <v/>
          </cell>
          <cell r="Q8585" t="str">
            <v/>
          </cell>
          <cell r="S8585" t="str">
            <v/>
          </cell>
          <cell r="V8585" t="str">
            <v/>
          </cell>
          <cell r="Z8585" t="str">
            <v/>
          </cell>
          <cell r="AA8585" t="str">
            <v/>
          </cell>
          <cell r="AB8585" t="str">
            <v/>
          </cell>
          <cell r="AC8585" t="str">
            <v/>
          </cell>
          <cell r="AD8585" t="str">
            <v/>
          </cell>
          <cell r="AY8585" t="str">
            <v/>
          </cell>
          <cell r="AZ8585" t="str">
            <v/>
          </cell>
          <cell r="BA8585" t="str">
            <v/>
          </cell>
        </row>
        <row r="8586">
          <cell r="B8586" t="str">
            <v>-</v>
          </cell>
          <cell r="E8586" t="str">
            <v/>
          </cell>
          <cell r="G8586" t="str">
            <v/>
          </cell>
          <cell r="J8586" t="str">
            <v/>
          </cell>
          <cell r="O8586" t="str">
            <v/>
          </cell>
          <cell r="P8586" t="str">
            <v/>
          </cell>
          <cell r="Q8586" t="str">
            <v/>
          </cell>
          <cell r="S8586" t="str">
            <v/>
          </cell>
          <cell r="V8586" t="str">
            <v/>
          </cell>
          <cell r="Z8586" t="str">
            <v/>
          </cell>
          <cell r="AA8586" t="str">
            <v/>
          </cell>
          <cell r="AB8586" t="str">
            <v/>
          </cell>
          <cell r="AC8586" t="str">
            <v/>
          </cell>
          <cell r="AD8586" t="str">
            <v/>
          </cell>
          <cell r="AY8586" t="str">
            <v/>
          </cell>
          <cell r="AZ8586" t="str">
            <v/>
          </cell>
          <cell r="BA8586" t="str">
            <v/>
          </cell>
        </row>
        <row r="8587">
          <cell r="B8587" t="str">
            <v>-</v>
          </cell>
          <cell r="E8587" t="str">
            <v/>
          </cell>
          <cell r="G8587" t="str">
            <v/>
          </cell>
          <cell r="J8587" t="str">
            <v/>
          </cell>
          <cell r="O8587" t="str">
            <v/>
          </cell>
          <cell r="P8587" t="str">
            <v/>
          </cell>
          <cell r="Q8587" t="str">
            <v/>
          </cell>
          <cell r="S8587" t="str">
            <v/>
          </cell>
          <cell r="V8587" t="str">
            <v/>
          </cell>
          <cell r="Z8587" t="str">
            <v/>
          </cell>
          <cell r="AA8587" t="str">
            <v/>
          </cell>
          <cell r="AB8587" t="str">
            <v/>
          </cell>
          <cell r="AC8587" t="str">
            <v/>
          </cell>
          <cell r="AD8587" t="str">
            <v/>
          </cell>
          <cell r="AY8587" t="str">
            <v/>
          </cell>
          <cell r="AZ8587" t="str">
            <v/>
          </cell>
          <cell r="BA8587" t="str">
            <v/>
          </cell>
        </row>
        <row r="8588">
          <cell r="B8588" t="str">
            <v>-</v>
          </cell>
          <cell r="E8588" t="str">
            <v/>
          </cell>
          <cell r="G8588" t="str">
            <v/>
          </cell>
          <cell r="J8588" t="str">
            <v/>
          </cell>
          <cell r="O8588" t="str">
            <v/>
          </cell>
          <cell r="P8588" t="str">
            <v/>
          </cell>
          <cell r="Q8588" t="str">
            <v/>
          </cell>
          <cell r="S8588" t="str">
            <v/>
          </cell>
          <cell r="V8588" t="str">
            <v/>
          </cell>
          <cell r="Z8588" t="str">
            <v/>
          </cell>
          <cell r="AA8588" t="str">
            <v/>
          </cell>
          <cell r="AB8588" t="str">
            <v/>
          </cell>
          <cell r="AC8588" t="str">
            <v/>
          </cell>
          <cell r="AD8588" t="str">
            <v/>
          </cell>
          <cell r="AY8588" t="str">
            <v/>
          </cell>
          <cell r="AZ8588" t="str">
            <v/>
          </cell>
          <cell r="BA8588" t="str">
            <v/>
          </cell>
        </row>
        <row r="8589">
          <cell r="B8589" t="str">
            <v>-</v>
          </cell>
          <cell r="E8589" t="str">
            <v/>
          </cell>
          <cell r="G8589" t="str">
            <v/>
          </cell>
          <cell r="J8589" t="str">
            <v/>
          </cell>
          <cell r="O8589" t="str">
            <v/>
          </cell>
          <cell r="P8589" t="str">
            <v/>
          </cell>
          <cell r="Q8589" t="str">
            <v/>
          </cell>
          <cell r="S8589" t="str">
            <v/>
          </cell>
          <cell r="V8589" t="str">
            <v/>
          </cell>
          <cell r="Z8589" t="str">
            <v/>
          </cell>
          <cell r="AA8589" t="str">
            <v/>
          </cell>
          <cell r="AB8589" t="str">
            <v/>
          </cell>
          <cell r="AC8589" t="str">
            <v/>
          </cell>
          <cell r="AD8589" t="str">
            <v/>
          </cell>
          <cell r="AY8589" t="str">
            <v/>
          </cell>
          <cell r="AZ8589" t="str">
            <v/>
          </cell>
          <cell r="BA8589" t="str">
            <v/>
          </cell>
        </row>
        <row r="8590">
          <cell r="B8590" t="str">
            <v>-</v>
          </cell>
          <cell r="E8590" t="str">
            <v/>
          </cell>
          <cell r="G8590" t="str">
            <v/>
          </cell>
          <cell r="J8590" t="str">
            <v/>
          </cell>
          <cell r="O8590" t="str">
            <v/>
          </cell>
          <cell r="P8590" t="str">
            <v/>
          </cell>
          <cell r="Q8590" t="str">
            <v/>
          </cell>
          <cell r="S8590" t="str">
            <v/>
          </cell>
          <cell r="V8590" t="str">
            <v/>
          </cell>
          <cell r="Z8590" t="str">
            <v/>
          </cell>
          <cell r="AA8590" t="str">
            <v/>
          </cell>
          <cell r="AB8590" t="str">
            <v/>
          </cell>
          <cell r="AC8590" t="str">
            <v/>
          </cell>
          <cell r="AD8590" t="str">
            <v/>
          </cell>
          <cell r="AY8590" t="str">
            <v/>
          </cell>
          <cell r="AZ8590" t="str">
            <v/>
          </cell>
          <cell r="BA8590" t="str">
            <v/>
          </cell>
        </row>
        <row r="8591">
          <cell r="B8591" t="str">
            <v>-</v>
          </cell>
          <cell r="E8591" t="str">
            <v/>
          </cell>
          <cell r="G8591" t="str">
            <v/>
          </cell>
          <cell r="J8591" t="str">
            <v/>
          </cell>
          <cell r="O8591" t="str">
            <v/>
          </cell>
          <cell r="P8591" t="str">
            <v/>
          </cell>
          <cell r="Q8591" t="str">
            <v/>
          </cell>
          <cell r="S8591" t="str">
            <v/>
          </cell>
          <cell r="V8591" t="str">
            <v/>
          </cell>
          <cell r="Z8591" t="str">
            <v/>
          </cell>
          <cell r="AA8591" t="str">
            <v/>
          </cell>
          <cell r="AB8591" t="str">
            <v/>
          </cell>
          <cell r="AC8591" t="str">
            <v/>
          </cell>
          <cell r="AD8591" t="str">
            <v/>
          </cell>
          <cell r="AY8591" t="str">
            <v/>
          </cell>
          <cell r="AZ8591" t="str">
            <v/>
          </cell>
          <cell r="BA8591" t="str">
            <v/>
          </cell>
        </row>
        <row r="8592">
          <cell r="B8592" t="str">
            <v>-</v>
          </cell>
          <cell r="E8592" t="str">
            <v/>
          </cell>
          <cell r="G8592" t="str">
            <v/>
          </cell>
          <cell r="J8592" t="str">
            <v/>
          </cell>
          <cell r="O8592" t="str">
            <v/>
          </cell>
          <cell r="P8592" t="str">
            <v/>
          </cell>
          <cell r="Q8592" t="str">
            <v/>
          </cell>
          <cell r="S8592" t="str">
            <v/>
          </cell>
          <cell r="V8592" t="str">
            <v/>
          </cell>
          <cell r="Z8592" t="str">
            <v/>
          </cell>
          <cell r="AA8592" t="str">
            <v/>
          </cell>
          <cell r="AB8592" t="str">
            <v/>
          </cell>
          <cell r="AC8592" t="str">
            <v/>
          </cell>
          <cell r="AD8592" t="str">
            <v/>
          </cell>
          <cell r="AY8592" t="str">
            <v/>
          </cell>
          <cell r="AZ8592" t="str">
            <v/>
          </cell>
          <cell r="BA8592" t="str">
            <v/>
          </cell>
        </row>
        <row r="8593">
          <cell r="B8593" t="str">
            <v>-</v>
          </cell>
          <cell r="E8593" t="str">
            <v/>
          </cell>
          <cell r="G8593" t="str">
            <v/>
          </cell>
          <cell r="J8593" t="str">
            <v/>
          </cell>
          <cell r="O8593" t="str">
            <v/>
          </cell>
          <cell r="P8593" t="str">
            <v/>
          </cell>
          <cell r="Q8593" t="str">
            <v/>
          </cell>
          <cell r="S8593" t="str">
            <v/>
          </cell>
          <cell r="V8593" t="str">
            <v/>
          </cell>
          <cell r="Z8593" t="str">
            <v/>
          </cell>
          <cell r="AA8593" t="str">
            <v/>
          </cell>
          <cell r="AB8593" t="str">
            <v/>
          </cell>
          <cell r="AC8593" t="str">
            <v/>
          </cell>
          <cell r="AD8593" t="str">
            <v/>
          </cell>
          <cell r="AY8593" t="str">
            <v/>
          </cell>
          <cell r="AZ8593" t="str">
            <v/>
          </cell>
          <cell r="BA8593" t="str">
            <v/>
          </cell>
        </row>
        <row r="8594">
          <cell r="B8594" t="str">
            <v>-</v>
          </cell>
          <cell r="E8594" t="str">
            <v/>
          </cell>
          <cell r="G8594" t="str">
            <v/>
          </cell>
          <cell r="J8594" t="str">
            <v/>
          </cell>
          <cell r="O8594" t="str">
            <v/>
          </cell>
          <cell r="P8594" t="str">
            <v/>
          </cell>
          <cell r="Q8594" t="str">
            <v/>
          </cell>
          <cell r="S8594" t="str">
            <v/>
          </cell>
          <cell r="V8594" t="str">
            <v/>
          </cell>
          <cell r="Z8594" t="str">
            <v/>
          </cell>
          <cell r="AA8594" t="str">
            <v/>
          </cell>
          <cell r="AB8594" t="str">
            <v/>
          </cell>
          <cell r="AC8594" t="str">
            <v/>
          </cell>
          <cell r="AD8594" t="str">
            <v/>
          </cell>
          <cell r="AY8594" t="str">
            <v/>
          </cell>
          <cell r="AZ8594" t="str">
            <v/>
          </cell>
          <cell r="BA8594" t="str">
            <v/>
          </cell>
        </row>
        <row r="8595">
          <cell r="B8595" t="str">
            <v>-</v>
          </cell>
          <cell r="E8595" t="str">
            <v/>
          </cell>
          <cell r="G8595" t="str">
            <v/>
          </cell>
          <cell r="J8595" t="str">
            <v/>
          </cell>
          <cell r="O8595" t="str">
            <v/>
          </cell>
          <cell r="P8595" t="str">
            <v/>
          </cell>
          <cell r="Q8595" t="str">
            <v/>
          </cell>
          <cell r="S8595" t="str">
            <v/>
          </cell>
          <cell r="V8595" t="str">
            <v/>
          </cell>
          <cell r="Z8595" t="str">
            <v/>
          </cell>
          <cell r="AA8595" t="str">
            <v/>
          </cell>
          <cell r="AB8595" t="str">
            <v/>
          </cell>
          <cell r="AC8595" t="str">
            <v/>
          </cell>
          <cell r="AD8595" t="str">
            <v/>
          </cell>
          <cell r="AY8595" t="str">
            <v/>
          </cell>
          <cell r="AZ8595" t="str">
            <v/>
          </cell>
          <cell r="BA8595" t="str">
            <v/>
          </cell>
        </row>
        <row r="8596">
          <cell r="B8596" t="str">
            <v>-</v>
          </cell>
          <cell r="E8596" t="str">
            <v/>
          </cell>
          <cell r="G8596" t="str">
            <v/>
          </cell>
          <cell r="J8596" t="str">
            <v/>
          </cell>
          <cell r="O8596" t="str">
            <v/>
          </cell>
          <cell r="P8596" t="str">
            <v/>
          </cell>
          <cell r="Q8596" t="str">
            <v/>
          </cell>
          <cell r="S8596" t="str">
            <v/>
          </cell>
          <cell r="V8596" t="str">
            <v/>
          </cell>
          <cell r="Z8596" t="str">
            <v/>
          </cell>
          <cell r="AA8596" t="str">
            <v/>
          </cell>
          <cell r="AB8596" t="str">
            <v/>
          </cell>
          <cell r="AC8596" t="str">
            <v/>
          </cell>
          <cell r="AD8596" t="str">
            <v/>
          </cell>
          <cell r="AY8596" t="str">
            <v/>
          </cell>
          <cell r="AZ8596" t="str">
            <v/>
          </cell>
          <cell r="BA8596" t="str">
            <v/>
          </cell>
        </row>
        <row r="8597">
          <cell r="B8597" t="str">
            <v>-</v>
          </cell>
          <cell r="E8597" t="str">
            <v/>
          </cell>
          <cell r="G8597" t="str">
            <v/>
          </cell>
          <cell r="J8597" t="str">
            <v/>
          </cell>
          <cell r="O8597" t="str">
            <v/>
          </cell>
          <cell r="P8597" t="str">
            <v/>
          </cell>
          <cell r="Q8597" t="str">
            <v/>
          </cell>
          <cell r="S8597" t="str">
            <v/>
          </cell>
          <cell r="V8597" t="str">
            <v/>
          </cell>
          <cell r="Z8597" t="str">
            <v/>
          </cell>
          <cell r="AA8597" t="str">
            <v/>
          </cell>
          <cell r="AB8597" t="str">
            <v/>
          </cell>
          <cell r="AC8597" t="str">
            <v/>
          </cell>
          <cell r="AD8597" t="str">
            <v/>
          </cell>
          <cell r="AY8597" t="str">
            <v/>
          </cell>
          <cell r="AZ8597" t="str">
            <v/>
          </cell>
          <cell r="BA8597" t="str">
            <v/>
          </cell>
        </row>
        <row r="8598">
          <cell r="B8598" t="str">
            <v>-</v>
          </cell>
          <cell r="E8598" t="str">
            <v/>
          </cell>
          <cell r="G8598" t="str">
            <v/>
          </cell>
          <cell r="J8598" t="str">
            <v/>
          </cell>
          <cell r="O8598" t="str">
            <v/>
          </cell>
          <cell r="P8598" t="str">
            <v/>
          </cell>
          <cell r="Q8598" t="str">
            <v/>
          </cell>
          <cell r="S8598" t="str">
            <v/>
          </cell>
          <cell r="V8598" t="str">
            <v/>
          </cell>
          <cell r="Z8598" t="str">
            <v/>
          </cell>
          <cell r="AA8598" t="str">
            <v/>
          </cell>
          <cell r="AB8598" t="str">
            <v/>
          </cell>
          <cell r="AC8598" t="str">
            <v/>
          </cell>
          <cell r="AD8598" t="str">
            <v/>
          </cell>
          <cell r="AY8598" t="str">
            <v/>
          </cell>
          <cell r="AZ8598" t="str">
            <v/>
          </cell>
          <cell r="BA8598" t="str">
            <v/>
          </cell>
        </row>
        <row r="8599">
          <cell r="B8599" t="str">
            <v>-</v>
          </cell>
          <cell r="E8599" t="str">
            <v/>
          </cell>
          <cell r="G8599" t="str">
            <v/>
          </cell>
          <cell r="J8599" t="str">
            <v/>
          </cell>
          <cell r="O8599" t="str">
            <v/>
          </cell>
          <cell r="P8599" t="str">
            <v/>
          </cell>
          <cell r="Q8599" t="str">
            <v/>
          </cell>
          <cell r="S8599" t="str">
            <v/>
          </cell>
          <cell r="V8599" t="str">
            <v/>
          </cell>
          <cell r="Z8599" t="str">
            <v/>
          </cell>
          <cell r="AA8599" t="str">
            <v/>
          </cell>
          <cell r="AB8599" t="str">
            <v/>
          </cell>
          <cell r="AC8599" t="str">
            <v/>
          </cell>
          <cell r="AD8599" t="str">
            <v/>
          </cell>
          <cell r="AY8599" t="str">
            <v/>
          </cell>
          <cell r="AZ8599" t="str">
            <v/>
          </cell>
          <cell r="BA8599" t="str">
            <v/>
          </cell>
        </row>
        <row r="8600">
          <cell r="B8600" t="str">
            <v>-</v>
          </cell>
          <cell r="E8600" t="str">
            <v/>
          </cell>
          <cell r="G8600" t="str">
            <v/>
          </cell>
          <cell r="J8600" t="str">
            <v/>
          </cell>
          <cell r="O8600" t="str">
            <v/>
          </cell>
          <cell r="P8600" t="str">
            <v/>
          </cell>
          <cell r="Q8600" t="str">
            <v/>
          </cell>
          <cell r="S8600" t="str">
            <v/>
          </cell>
          <cell r="V8600" t="str">
            <v/>
          </cell>
          <cell r="Z8600" t="str">
            <v/>
          </cell>
          <cell r="AA8600" t="str">
            <v/>
          </cell>
          <cell r="AB8600" t="str">
            <v/>
          </cell>
          <cell r="AC8600" t="str">
            <v/>
          </cell>
          <cell r="AD8600" t="str">
            <v/>
          </cell>
          <cell r="AY8600" t="str">
            <v/>
          </cell>
          <cell r="AZ8600" t="str">
            <v/>
          </cell>
          <cell r="BA8600" t="str">
            <v/>
          </cell>
        </row>
        <row r="8601">
          <cell r="B8601" t="str">
            <v>-</v>
          </cell>
          <cell r="E8601" t="str">
            <v/>
          </cell>
          <cell r="G8601" t="str">
            <v/>
          </cell>
          <cell r="J8601" t="str">
            <v/>
          </cell>
          <cell r="O8601" t="str">
            <v/>
          </cell>
          <cell r="P8601" t="str">
            <v/>
          </cell>
          <cell r="Q8601" t="str">
            <v/>
          </cell>
          <cell r="S8601" t="str">
            <v/>
          </cell>
          <cell r="V8601" t="str">
            <v/>
          </cell>
          <cell r="Z8601" t="str">
            <v/>
          </cell>
          <cell r="AA8601" t="str">
            <v/>
          </cell>
          <cell r="AB8601" t="str">
            <v/>
          </cell>
          <cell r="AC8601" t="str">
            <v/>
          </cell>
          <cell r="AD8601" t="str">
            <v/>
          </cell>
          <cell r="AY8601" t="str">
            <v/>
          </cell>
          <cell r="AZ8601" t="str">
            <v/>
          </cell>
          <cell r="BA8601" t="str">
            <v/>
          </cell>
        </row>
        <row r="8602">
          <cell r="B8602" t="str">
            <v>-</v>
          </cell>
          <cell r="E8602" t="str">
            <v/>
          </cell>
          <cell r="G8602" t="str">
            <v/>
          </cell>
          <cell r="J8602" t="str">
            <v/>
          </cell>
          <cell r="O8602" t="str">
            <v/>
          </cell>
          <cell r="P8602" t="str">
            <v/>
          </cell>
          <cell r="Q8602" t="str">
            <v/>
          </cell>
          <cell r="S8602" t="str">
            <v/>
          </cell>
          <cell r="V8602" t="str">
            <v/>
          </cell>
          <cell r="Z8602" t="str">
            <v/>
          </cell>
          <cell r="AA8602" t="str">
            <v/>
          </cell>
          <cell r="AB8602" t="str">
            <v/>
          </cell>
          <cell r="AC8602" t="str">
            <v/>
          </cell>
          <cell r="AD8602" t="str">
            <v/>
          </cell>
          <cell r="AY8602" t="str">
            <v/>
          </cell>
          <cell r="AZ8602" t="str">
            <v/>
          </cell>
          <cell r="BA8602" t="str">
            <v/>
          </cell>
        </row>
        <row r="8603">
          <cell r="B8603" t="str">
            <v>-</v>
          </cell>
          <cell r="E8603" t="str">
            <v/>
          </cell>
          <cell r="G8603" t="str">
            <v/>
          </cell>
          <cell r="J8603" t="str">
            <v/>
          </cell>
          <cell r="O8603" t="str">
            <v/>
          </cell>
          <cell r="P8603" t="str">
            <v/>
          </cell>
          <cell r="Q8603" t="str">
            <v/>
          </cell>
          <cell r="S8603" t="str">
            <v/>
          </cell>
          <cell r="V8603" t="str">
            <v/>
          </cell>
          <cell r="Z8603" t="str">
            <v/>
          </cell>
          <cell r="AA8603" t="str">
            <v/>
          </cell>
          <cell r="AB8603" t="str">
            <v/>
          </cell>
          <cell r="AC8603" t="str">
            <v/>
          </cell>
          <cell r="AD8603" t="str">
            <v/>
          </cell>
          <cell r="AY8603" t="str">
            <v/>
          </cell>
          <cell r="AZ8603" t="str">
            <v/>
          </cell>
          <cell r="BA8603" t="str">
            <v/>
          </cell>
        </row>
        <row r="8604">
          <cell r="B8604" t="str">
            <v>-</v>
          </cell>
          <cell r="E8604" t="str">
            <v/>
          </cell>
          <cell r="G8604" t="str">
            <v/>
          </cell>
          <cell r="J8604" t="str">
            <v/>
          </cell>
          <cell r="O8604" t="str">
            <v/>
          </cell>
          <cell r="P8604" t="str">
            <v/>
          </cell>
          <cell r="Q8604" t="str">
            <v/>
          </cell>
          <cell r="S8604" t="str">
            <v/>
          </cell>
          <cell r="V8604" t="str">
            <v/>
          </cell>
          <cell r="Z8604" t="str">
            <v/>
          </cell>
          <cell r="AA8604" t="str">
            <v/>
          </cell>
          <cell r="AB8604" t="str">
            <v/>
          </cell>
          <cell r="AC8604" t="str">
            <v/>
          </cell>
          <cell r="AD8604" t="str">
            <v/>
          </cell>
          <cell r="AY8604" t="str">
            <v/>
          </cell>
          <cell r="AZ8604" t="str">
            <v/>
          </cell>
          <cell r="BA8604" t="str">
            <v/>
          </cell>
        </row>
        <row r="8605">
          <cell r="B8605" t="str">
            <v>-</v>
          </cell>
          <cell r="E8605" t="str">
            <v/>
          </cell>
          <cell r="G8605" t="str">
            <v/>
          </cell>
          <cell r="J8605" t="str">
            <v/>
          </cell>
          <cell r="O8605" t="str">
            <v/>
          </cell>
          <cell r="P8605" t="str">
            <v/>
          </cell>
          <cell r="Q8605" t="str">
            <v/>
          </cell>
          <cell r="S8605" t="str">
            <v/>
          </cell>
          <cell r="V8605" t="str">
            <v/>
          </cell>
          <cell r="Z8605" t="str">
            <v/>
          </cell>
          <cell r="AA8605" t="str">
            <v/>
          </cell>
          <cell r="AB8605" t="str">
            <v/>
          </cell>
          <cell r="AC8605" t="str">
            <v/>
          </cell>
          <cell r="AD8605" t="str">
            <v/>
          </cell>
          <cell r="AY8605" t="str">
            <v/>
          </cell>
          <cell r="AZ8605" t="str">
            <v/>
          </cell>
          <cell r="BA8605" t="str">
            <v/>
          </cell>
        </row>
        <row r="8606">
          <cell r="B8606" t="str">
            <v>-</v>
          </cell>
          <cell r="E8606" t="str">
            <v/>
          </cell>
          <cell r="G8606" t="str">
            <v/>
          </cell>
          <cell r="J8606" t="str">
            <v/>
          </cell>
          <cell r="O8606" t="str">
            <v/>
          </cell>
          <cell r="P8606" t="str">
            <v/>
          </cell>
          <cell r="Q8606" t="str">
            <v/>
          </cell>
          <cell r="S8606" t="str">
            <v/>
          </cell>
          <cell r="V8606" t="str">
            <v/>
          </cell>
          <cell r="Z8606" t="str">
            <v/>
          </cell>
          <cell r="AA8606" t="str">
            <v/>
          </cell>
          <cell r="AB8606" t="str">
            <v/>
          </cell>
          <cell r="AC8606" t="str">
            <v/>
          </cell>
          <cell r="AD8606" t="str">
            <v/>
          </cell>
          <cell r="AY8606" t="str">
            <v/>
          </cell>
          <cell r="AZ8606" t="str">
            <v/>
          </cell>
          <cell r="BA8606" t="str">
            <v/>
          </cell>
        </row>
        <row r="8607">
          <cell r="B8607" t="str">
            <v>-</v>
          </cell>
          <cell r="E8607" t="str">
            <v/>
          </cell>
          <cell r="G8607" t="str">
            <v/>
          </cell>
          <cell r="J8607" t="str">
            <v/>
          </cell>
          <cell r="O8607" t="str">
            <v/>
          </cell>
          <cell r="P8607" t="str">
            <v/>
          </cell>
          <cell r="Q8607" t="str">
            <v/>
          </cell>
          <cell r="S8607" t="str">
            <v/>
          </cell>
          <cell r="V8607" t="str">
            <v/>
          </cell>
          <cell r="Z8607" t="str">
            <v/>
          </cell>
          <cell r="AA8607" t="str">
            <v/>
          </cell>
          <cell r="AB8607" t="str">
            <v/>
          </cell>
          <cell r="AC8607" t="str">
            <v/>
          </cell>
          <cell r="AD8607" t="str">
            <v/>
          </cell>
          <cell r="AY8607" t="str">
            <v/>
          </cell>
          <cell r="AZ8607" t="str">
            <v/>
          </cell>
          <cell r="BA8607" t="str">
            <v/>
          </cell>
        </row>
        <row r="8608">
          <cell r="B8608" t="str">
            <v>-</v>
          </cell>
          <cell r="E8608" t="str">
            <v/>
          </cell>
          <cell r="G8608" t="str">
            <v/>
          </cell>
          <cell r="J8608" t="str">
            <v/>
          </cell>
          <cell r="O8608" t="str">
            <v/>
          </cell>
          <cell r="P8608" t="str">
            <v/>
          </cell>
          <cell r="Q8608" t="str">
            <v/>
          </cell>
          <cell r="S8608" t="str">
            <v/>
          </cell>
          <cell r="V8608" t="str">
            <v/>
          </cell>
          <cell r="Z8608" t="str">
            <v/>
          </cell>
          <cell r="AA8608" t="str">
            <v/>
          </cell>
          <cell r="AB8608" t="str">
            <v/>
          </cell>
          <cell r="AC8608" t="str">
            <v/>
          </cell>
          <cell r="AD8608" t="str">
            <v/>
          </cell>
          <cell r="AY8608" t="str">
            <v/>
          </cell>
          <cell r="AZ8608" t="str">
            <v/>
          </cell>
          <cell r="BA8608" t="str">
            <v/>
          </cell>
        </row>
        <row r="8609">
          <cell r="B8609" t="str">
            <v>-</v>
          </cell>
          <cell r="E8609" t="str">
            <v/>
          </cell>
          <cell r="G8609" t="str">
            <v/>
          </cell>
          <cell r="J8609" t="str">
            <v/>
          </cell>
          <cell r="O8609" t="str">
            <v/>
          </cell>
          <cell r="P8609" t="str">
            <v/>
          </cell>
          <cell r="Q8609" t="str">
            <v/>
          </cell>
          <cell r="S8609" t="str">
            <v/>
          </cell>
          <cell r="V8609" t="str">
            <v/>
          </cell>
          <cell r="Z8609" t="str">
            <v/>
          </cell>
          <cell r="AA8609" t="str">
            <v/>
          </cell>
          <cell r="AB8609" t="str">
            <v/>
          </cell>
          <cell r="AC8609" t="str">
            <v/>
          </cell>
          <cell r="AD8609" t="str">
            <v/>
          </cell>
          <cell r="AY8609" t="str">
            <v/>
          </cell>
          <cell r="AZ8609" t="str">
            <v/>
          </cell>
          <cell r="BA8609" t="str">
            <v/>
          </cell>
        </row>
        <row r="8610">
          <cell r="B8610" t="str">
            <v>-</v>
          </cell>
          <cell r="E8610" t="str">
            <v/>
          </cell>
          <cell r="G8610" t="str">
            <v/>
          </cell>
          <cell r="J8610" t="str">
            <v/>
          </cell>
          <cell r="O8610" t="str">
            <v/>
          </cell>
          <cell r="P8610" t="str">
            <v/>
          </cell>
          <cell r="Q8610" t="str">
            <v/>
          </cell>
          <cell r="S8610" t="str">
            <v/>
          </cell>
          <cell r="V8610" t="str">
            <v/>
          </cell>
          <cell r="Z8610" t="str">
            <v/>
          </cell>
          <cell r="AA8610" t="str">
            <v/>
          </cell>
          <cell r="AB8610" t="str">
            <v/>
          </cell>
          <cell r="AC8610" t="str">
            <v/>
          </cell>
          <cell r="AD8610" t="str">
            <v/>
          </cell>
          <cell r="AY8610" t="str">
            <v/>
          </cell>
          <cell r="AZ8610" t="str">
            <v/>
          </cell>
          <cell r="BA8610" t="str">
            <v/>
          </cell>
        </row>
        <row r="8611">
          <cell r="B8611" t="str">
            <v>-</v>
          </cell>
          <cell r="E8611" t="str">
            <v/>
          </cell>
          <cell r="G8611" t="str">
            <v/>
          </cell>
          <cell r="J8611" t="str">
            <v/>
          </cell>
          <cell r="O8611" t="str">
            <v/>
          </cell>
          <cell r="P8611" t="str">
            <v/>
          </cell>
          <cell r="Q8611" t="str">
            <v/>
          </cell>
          <cell r="S8611" t="str">
            <v/>
          </cell>
          <cell r="V8611" t="str">
            <v/>
          </cell>
          <cell r="Z8611" t="str">
            <v/>
          </cell>
          <cell r="AA8611" t="str">
            <v/>
          </cell>
          <cell r="AB8611" t="str">
            <v/>
          </cell>
          <cell r="AC8611" t="str">
            <v/>
          </cell>
          <cell r="AD8611" t="str">
            <v/>
          </cell>
          <cell r="AY8611" t="str">
            <v/>
          </cell>
          <cell r="AZ8611" t="str">
            <v/>
          </cell>
          <cell r="BA8611" t="str">
            <v/>
          </cell>
        </row>
        <row r="8612">
          <cell r="B8612" t="str">
            <v>-</v>
          </cell>
          <cell r="E8612" t="str">
            <v/>
          </cell>
          <cell r="G8612" t="str">
            <v/>
          </cell>
          <cell r="J8612" t="str">
            <v/>
          </cell>
          <cell r="O8612" t="str">
            <v/>
          </cell>
          <cell r="P8612" t="str">
            <v/>
          </cell>
          <cell r="Q8612" t="str">
            <v/>
          </cell>
          <cell r="S8612" t="str">
            <v/>
          </cell>
          <cell r="V8612" t="str">
            <v/>
          </cell>
          <cell r="Z8612" t="str">
            <v/>
          </cell>
          <cell r="AA8612" t="str">
            <v/>
          </cell>
          <cell r="AB8612" t="str">
            <v/>
          </cell>
          <cell r="AC8612" t="str">
            <v/>
          </cell>
          <cell r="AD8612" t="str">
            <v/>
          </cell>
          <cell r="AY8612" t="str">
            <v/>
          </cell>
          <cell r="AZ8612" t="str">
            <v/>
          </cell>
          <cell r="BA8612" t="str">
            <v/>
          </cell>
        </row>
        <row r="8613">
          <cell r="B8613" t="str">
            <v>-</v>
          </cell>
          <cell r="E8613" t="str">
            <v/>
          </cell>
          <cell r="G8613" t="str">
            <v/>
          </cell>
          <cell r="J8613" t="str">
            <v/>
          </cell>
          <cell r="O8613" t="str">
            <v/>
          </cell>
          <cell r="P8613" t="str">
            <v/>
          </cell>
          <cell r="Q8613" t="str">
            <v/>
          </cell>
          <cell r="S8613" t="str">
            <v/>
          </cell>
          <cell r="V8613" t="str">
            <v/>
          </cell>
          <cell r="Z8613" t="str">
            <v/>
          </cell>
          <cell r="AA8613" t="str">
            <v/>
          </cell>
          <cell r="AB8613" t="str">
            <v/>
          </cell>
          <cell r="AC8613" t="str">
            <v/>
          </cell>
          <cell r="AD8613" t="str">
            <v/>
          </cell>
          <cell r="AY8613" t="str">
            <v/>
          </cell>
          <cell r="AZ8613" t="str">
            <v/>
          </cell>
          <cell r="BA8613" t="str">
            <v/>
          </cell>
        </row>
        <row r="8614">
          <cell r="B8614" t="str">
            <v>-</v>
          </cell>
          <cell r="E8614" t="str">
            <v/>
          </cell>
          <cell r="G8614" t="str">
            <v/>
          </cell>
          <cell r="J8614" t="str">
            <v/>
          </cell>
          <cell r="O8614" t="str">
            <v/>
          </cell>
          <cell r="P8614" t="str">
            <v/>
          </cell>
          <cell r="Q8614" t="str">
            <v/>
          </cell>
          <cell r="S8614" t="str">
            <v/>
          </cell>
          <cell r="V8614" t="str">
            <v/>
          </cell>
          <cell r="Z8614" t="str">
            <v/>
          </cell>
          <cell r="AA8614" t="str">
            <v/>
          </cell>
          <cell r="AB8614" t="str">
            <v/>
          </cell>
          <cell r="AC8614" t="str">
            <v/>
          </cell>
          <cell r="AD8614" t="str">
            <v/>
          </cell>
          <cell r="AY8614" t="str">
            <v/>
          </cell>
          <cell r="AZ8614" t="str">
            <v/>
          </cell>
          <cell r="BA8614" t="str">
            <v/>
          </cell>
        </row>
        <row r="8615">
          <cell r="B8615" t="str">
            <v>-</v>
          </cell>
          <cell r="E8615" t="str">
            <v/>
          </cell>
          <cell r="G8615" t="str">
            <v/>
          </cell>
          <cell r="J8615" t="str">
            <v/>
          </cell>
          <cell r="O8615" t="str">
            <v/>
          </cell>
          <cell r="P8615" t="str">
            <v/>
          </cell>
          <cell r="Q8615" t="str">
            <v/>
          </cell>
          <cell r="S8615" t="str">
            <v/>
          </cell>
          <cell r="V8615" t="str">
            <v/>
          </cell>
          <cell r="Z8615" t="str">
            <v/>
          </cell>
          <cell r="AA8615" t="str">
            <v/>
          </cell>
          <cell r="AB8615" t="str">
            <v/>
          </cell>
          <cell r="AC8615" t="str">
            <v/>
          </cell>
          <cell r="AD8615" t="str">
            <v/>
          </cell>
          <cell r="AY8615" t="str">
            <v/>
          </cell>
          <cell r="AZ8615" t="str">
            <v/>
          </cell>
          <cell r="BA8615" t="str">
            <v/>
          </cell>
        </row>
        <row r="8616">
          <cell r="B8616" t="str">
            <v>-</v>
          </cell>
          <cell r="E8616" t="str">
            <v/>
          </cell>
          <cell r="G8616" t="str">
            <v/>
          </cell>
          <cell r="J8616" t="str">
            <v/>
          </cell>
          <cell r="O8616" t="str">
            <v/>
          </cell>
          <cell r="P8616" t="str">
            <v/>
          </cell>
          <cell r="Q8616" t="str">
            <v/>
          </cell>
          <cell r="S8616" t="str">
            <v/>
          </cell>
          <cell r="V8616" t="str">
            <v/>
          </cell>
          <cell r="Z8616" t="str">
            <v/>
          </cell>
          <cell r="AA8616" t="str">
            <v/>
          </cell>
          <cell r="AB8616" t="str">
            <v/>
          </cell>
          <cell r="AC8616" t="str">
            <v/>
          </cell>
          <cell r="AD8616" t="str">
            <v/>
          </cell>
          <cell r="AY8616" t="str">
            <v/>
          </cell>
          <cell r="AZ8616" t="str">
            <v/>
          </cell>
          <cell r="BA8616" t="str">
            <v/>
          </cell>
        </row>
        <row r="8617">
          <cell r="B8617" t="str">
            <v>-</v>
          </cell>
          <cell r="E8617" t="str">
            <v/>
          </cell>
          <cell r="G8617" t="str">
            <v/>
          </cell>
          <cell r="J8617" t="str">
            <v/>
          </cell>
          <cell r="O8617" t="str">
            <v/>
          </cell>
          <cell r="P8617" t="str">
            <v/>
          </cell>
          <cell r="Q8617" t="str">
            <v/>
          </cell>
          <cell r="S8617" t="str">
            <v/>
          </cell>
          <cell r="V8617" t="str">
            <v/>
          </cell>
          <cell r="Z8617" t="str">
            <v/>
          </cell>
          <cell r="AA8617" t="str">
            <v/>
          </cell>
          <cell r="AB8617" t="str">
            <v/>
          </cell>
          <cell r="AC8617" t="str">
            <v/>
          </cell>
          <cell r="AD8617" t="str">
            <v/>
          </cell>
          <cell r="AY8617" t="str">
            <v/>
          </cell>
          <cell r="AZ8617" t="str">
            <v/>
          </cell>
          <cell r="BA8617" t="str">
            <v/>
          </cell>
        </row>
        <row r="8618">
          <cell r="B8618" t="str">
            <v>-</v>
          </cell>
          <cell r="E8618" t="str">
            <v/>
          </cell>
          <cell r="G8618" t="str">
            <v/>
          </cell>
          <cell r="J8618" t="str">
            <v/>
          </cell>
          <cell r="O8618" t="str">
            <v/>
          </cell>
          <cell r="P8618" t="str">
            <v/>
          </cell>
          <cell r="Q8618" t="str">
            <v/>
          </cell>
          <cell r="S8618" t="str">
            <v/>
          </cell>
          <cell r="V8618" t="str">
            <v/>
          </cell>
          <cell r="Z8618" t="str">
            <v/>
          </cell>
          <cell r="AA8618" t="str">
            <v/>
          </cell>
          <cell r="AB8618" t="str">
            <v/>
          </cell>
          <cell r="AC8618" t="str">
            <v/>
          </cell>
          <cell r="AD8618" t="str">
            <v/>
          </cell>
          <cell r="AY8618" t="str">
            <v/>
          </cell>
          <cell r="AZ8618" t="str">
            <v/>
          </cell>
          <cell r="BA8618" t="str">
            <v/>
          </cell>
        </row>
        <row r="8619">
          <cell r="B8619" t="str">
            <v>-</v>
          </cell>
          <cell r="E8619" t="str">
            <v/>
          </cell>
          <cell r="G8619" t="str">
            <v/>
          </cell>
          <cell r="J8619" t="str">
            <v/>
          </cell>
          <cell r="O8619" t="str">
            <v/>
          </cell>
          <cell r="P8619" t="str">
            <v/>
          </cell>
          <cell r="Q8619" t="str">
            <v/>
          </cell>
          <cell r="S8619" t="str">
            <v/>
          </cell>
          <cell r="V8619" t="str">
            <v/>
          </cell>
          <cell r="Z8619" t="str">
            <v/>
          </cell>
          <cell r="AA8619" t="str">
            <v/>
          </cell>
          <cell r="AB8619" t="str">
            <v/>
          </cell>
          <cell r="AC8619" t="str">
            <v/>
          </cell>
          <cell r="AD8619" t="str">
            <v/>
          </cell>
          <cell r="AY8619" t="str">
            <v/>
          </cell>
          <cell r="AZ8619" t="str">
            <v/>
          </cell>
          <cell r="BA8619" t="str">
            <v/>
          </cell>
        </row>
        <row r="8620">
          <cell r="B8620" t="str">
            <v>-</v>
          </cell>
          <cell r="E8620" t="str">
            <v/>
          </cell>
          <cell r="G8620" t="str">
            <v/>
          </cell>
          <cell r="J8620" t="str">
            <v/>
          </cell>
          <cell r="O8620" t="str">
            <v/>
          </cell>
          <cell r="P8620" t="str">
            <v/>
          </cell>
          <cell r="Q8620" t="str">
            <v/>
          </cell>
          <cell r="S8620" t="str">
            <v/>
          </cell>
          <cell r="V8620" t="str">
            <v/>
          </cell>
          <cell r="Z8620" t="str">
            <v/>
          </cell>
          <cell r="AA8620" t="str">
            <v/>
          </cell>
          <cell r="AB8620" t="str">
            <v/>
          </cell>
          <cell r="AC8620" t="str">
            <v/>
          </cell>
          <cell r="AD8620" t="str">
            <v/>
          </cell>
          <cell r="AY8620" t="str">
            <v/>
          </cell>
          <cell r="AZ8620" t="str">
            <v/>
          </cell>
          <cell r="BA8620" t="str">
            <v/>
          </cell>
        </row>
        <row r="8621">
          <cell r="B8621" t="str">
            <v>-</v>
          </cell>
          <cell r="E8621" t="str">
            <v/>
          </cell>
          <cell r="G8621" t="str">
            <v/>
          </cell>
          <cell r="J8621" t="str">
            <v/>
          </cell>
          <cell r="O8621" t="str">
            <v/>
          </cell>
          <cell r="P8621" t="str">
            <v/>
          </cell>
          <cell r="Q8621" t="str">
            <v/>
          </cell>
          <cell r="S8621" t="str">
            <v/>
          </cell>
          <cell r="V8621" t="str">
            <v/>
          </cell>
          <cell r="Z8621" t="str">
            <v/>
          </cell>
          <cell r="AA8621" t="str">
            <v/>
          </cell>
          <cell r="AB8621" t="str">
            <v/>
          </cell>
          <cell r="AC8621" t="str">
            <v/>
          </cell>
          <cell r="AD8621" t="str">
            <v/>
          </cell>
          <cell r="AY8621" t="str">
            <v/>
          </cell>
          <cell r="AZ8621" t="str">
            <v/>
          </cell>
          <cell r="BA8621" t="str">
            <v/>
          </cell>
        </row>
        <row r="8622">
          <cell r="B8622" t="str">
            <v>-</v>
          </cell>
          <cell r="E8622" t="str">
            <v/>
          </cell>
          <cell r="G8622" t="str">
            <v/>
          </cell>
          <cell r="J8622" t="str">
            <v/>
          </cell>
          <cell r="O8622" t="str">
            <v/>
          </cell>
          <cell r="P8622" t="str">
            <v/>
          </cell>
          <cell r="Q8622" t="str">
            <v/>
          </cell>
          <cell r="S8622" t="str">
            <v/>
          </cell>
          <cell r="V8622" t="str">
            <v/>
          </cell>
          <cell r="Z8622" t="str">
            <v/>
          </cell>
          <cell r="AA8622" t="str">
            <v/>
          </cell>
          <cell r="AB8622" t="str">
            <v/>
          </cell>
          <cell r="AC8622" t="str">
            <v/>
          </cell>
          <cell r="AD8622" t="str">
            <v/>
          </cell>
          <cell r="AY8622" t="str">
            <v/>
          </cell>
          <cell r="AZ8622" t="str">
            <v/>
          </cell>
          <cell r="BA8622" t="str">
            <v/>
          </cell>
        </row>
        <row r="8623">
          <cell r="B8623" t="str">
            <v>-</v>
          </cell>
          <cell r="E8623" t="str">
            <v/>
          </cell>
          <cell r="G8623" t="str">
            <v/>
          </cell>
          <cell r="J8623" t="str">
            <v/>
          </cell>
          <cell r="O8623" t="str">
            <v/>
          </cell>
          <cell r="P8623" t="str">
            <v/>
          </cell>
          <cell r="Q8623" t="str">
            <v/>
          </cell>
          <cell r="S8623" t="str">
            <v/>
          </cell>
          <cell r="V8623" t="str">
            <v/>
          </cell>
          <cell r="Z8623" t="str">
            <v/>
          </cell>
          <cell r="AA8623" t="str">
            <v/>
          </cell>
          <cell r="AB8623" t="str">
            <v/>
          </cell>
          <cell r="AC8623" t="str">
            <v/>
          </cell>
          <cell r="AD8623" t="str">
            <v/>
          </cell>
          <cell r="AY8623" t="str">
            <v/>
          </cell>
          <cell r="AZ8623" t="str">
            <v/>
          </cell>
          <cell r="BA8623" t="str">
            <v/>
          </cell>
        </row>
        <row r="8624">
          <cell r="B8624" t="str">
            <v>-</v>
          </cell>
          <cell r="E8624" t="str">
            <v/>
          </cell>
          <cell r="G8624" t="str">
            <v/>
          </cell>
          <cell r="J8624" t="str">
            <v/>
          </cell>
          <cell r="O8624" t="str">
            <v/>
          </cell>
          <cell r="P8624" t="str">
            <v/>
          </cell>
          <cell r="Q8624" t="str">
            <v/>
          </cell>
          <cell r="S8624" t="str">
            <v/>
          </cell>
          <cell r="V8624" t="str">
            <v/>
          </cell>
          <cell r="Z8624" t="str">
            <v/>
          </cell>
          <cell r="AA8624" t="str">
            <v/>
          </cell>
          <cell r="AB8624" t="str">
            <v/>
          </cell>
          <cell r="AC8624" t="str">
            <v/>
          </cell>
          <cell r="AD8624" t="str">
            <v/>
          </cell>
          <cell r="AY8624" t="str">
            <v/>
          </cell>
          <cell r="AZ8624" t="str">
            <v/>
          </cell>
          <cell r="BA8624" t="str">
            <v/>
          </cell>
        </row>
        <row r="8625">
          <cell r="B8625" t="str">
            <v>-</v>
          </cell>
          <cell r="E8625" t="str">
            <v/>
          </cell>
          <cell r="G8625" t="str">
            <v/>
          </cell>
          <cell r="J8625" t="str">
            <v/>
          </cell>
          <cell r="O8625" t="str">
            <v/>
          </cell>
          <cell r="P8625" t="str">
            <v/>
          </cell>
          <cell r="Q8625" t="str">
            <v/>
          </cell>
          <cell r="S8625" t="str">
            <v/>
          </cell>
          <cell r="V8625" t="str">
            <v/>
          </cell>
          <cell r="Z8625" t="str">
            <v/>
          </cell>
          <cell r="AA8625" t="str">
            <v/>
          </cell>
          <cell r="AB8625" t="str">
            <v/>
          </cell>
          <cell r="AC8625" t="str">
            <v/>
          </cell>
          <cell r="AD8625" t="str">
            <v/>
          </cell>
          <cell r="AY8625" t="str">
            <v/>
          </cell>
          <cell r="AZ8625" t="str">
            <v/>
          </cell>
          <cell r="BA8625" t="str">
            <v/>
          </cell>
        </row>
        <row r="8626">
          <cell r="B8626" t="str">
            <v>-</v>
          </cell>
          <cell r="E8626" t="str">
            <v/>
          </cell>
          <cell r="G8626" t="str">
            <v/>
          </cell>
          <cell r="J8626" t="str">
            <v/>
          </cell>
          <cell r="O8626" t="str">
            <v/>
          </cell>
          <cell r="P8626" t="str">
            <v/>
          </cell>
          <cell r="Q8626" t="str">
            <v/>
          </cell>
          <cell r="S8626" t="str">
            <v/>
          </cell>
          <cell r="V8626" t="str">
            <v/>
          </cell>
          <cell r="Z8626" t="str">
            <v/>
          </cell>
          <cell r="AA8626" t="str">
            <v/>
          </cell>
          <cell r="AB8626" t="str">
            <v/>
          </cell>
          <cell r="AC8626" t="str">
            <v/>
          </cell>
          <cell r="AD8626" t="str">
            <v/>
          </cell>
          <cell r="AY8626" t="str">
            <v/>
          </cell>
          <cell r="AZ8626" t="str">
            <v/>
          </cell>
          <cell r="BA8626" t="str">
            <v/>
          </cell>
        </row>
        <row r="8627">
          <cell r="B8627" t="str">
            <v>-</v>
          </cell>
          <cell r="E8627" t="str">
            <v/>
          </cell>
          <cell r="G8627" t="str">
            <v/>
          </cell>
          <cell r="J8627" t="str">
            <v/>
          </cell>
          <cell r="O8627" t="str">
            <v/>
          </cell>
          <cell r="P8627" t="str">
            <v/>
          </cell>
          <cell r="Q8627" t="str">
            <v/>
          </cell>
          <cell r="S8627" t="str">
            <v/>
          </cell>
          <cell r="V8627" t="str">
            <v/>
          </cell>
          <cell r="Z8627" t="str">
            <v/>
          </cell>
          <cell r="AA8627" t="str">
            <v/>
          </cell>
          <cell r="AB8627" t="str">
            <v/>
          </cell>
          <cell r="AC8627" t="str">
            <v/>
          </cell>
          <cell r="AD8627" t="str">
            <v/>
          </cell>
          <cell r="AY8627" t="str">
            <v/>
          </cell>
          <cell r="AZ8627" t="str">
            <v/>
          </cell>
          <cell r="BA8627" t="str">
            <v/>
          </cell>
        </row>
        <row r="8628">
          <cell r="B8628" t="str">
            <v>-</v>
          </cell>
          <cell r="E8628" t="str">
            <v/>
          </cell>
          <cell r="G8628" t="str">
            <v/>
          </cell>
          <cell r="J8628" t="str">
            <v/>
          </cell>
          <cell r="O8628" t="str">
            <v/>
          </cell>
          <cell r="P8628" t="str">
            <v/>
          </cell>
          <cell r="Q8628" t="str">
            <v/>
          </cell>
          <cell r="S8628" t="str">
            <v/>
          </cell>
          <cell r="V8628" t="str">
            <v/>
          </cell>
          <cell r="Z8628" t="str">
            <v/>
          </cell>
          <cell r="AA8628" t="str">
            <v/>
          </cell>
          <cell r="AB8628" t="str">
            <v/>
          </cell>
          <cell r="AC8628" t="str">
            <v/>
          </cell>
          <cell r="AD8628" t="str">
            <v/>
          </cell>
          <cell r="AY8628" t="str">
            <v/>
          </cell>
          <cell r="AZ8628" t="str">
            <v/>
          </cell>
          <cell r="BA8628" t="str">
            <v/>
          </cell>
        </row>
        <row r="8629">
          <cell r="B8629" t="str">
            <v>-</v>
          </cell>
          <cell r="E8629" t="str">
            <v/>
          </cell>
          <cell r="G8629" t="str">
            <v/>
          </cell>
          <cell r="J8629" t="str">
            <v/>
          </cell>
          <cell r="O8629" t="str">
            <v/>
          </cell>
          <cell r="P8629" t="str">
            <v/>
          </cell>
          <cell r="Q8629" t="str">
            <v/>
          </cell>
          <cell r="S8629" t="str">
            <v/>
          </cell>
          <cell r="V8629" t="str">
            <v/>
          </cell>
          <cell r="Z8629" t="str">
            <v/>
          </cell>
          <cell r="AA8629" t="str">
            <v/>
          </cell>
          <cell r="AB8629" t="str">
            <v/>
          </cell>
          <cell r="AC8629" t="str">
            <v/>
          </cell>
          <cell r="AD8629" t="str">
            <v/>
          </cell>
          <cell r="AY8629" t="str">
            <v/>
          </cell>
          <cell r="AZ8629" t="str">
            <v/>
          </cell>
          <cell r="BA8629" t="str">
            <v/>
          </cell>
        </row>
        <row r="8630">
          <cell r="B8630" t="str">
            <v>-</v>
          </cell>
          <cell r="E8630" t="str">
            <v/>
          </cell>
          <cell r="G8630" t="str">
            <v/>
          </cell>
          <cell r="J8630" t="str">
            <v/>
          </cell>
          <cell r="O8630" t="str">
            <v/>
          </cell>
          <cell r="P8630" t="str">
            <v/>
          </cell>
          <cell r="Q8630" t="str">
            <v/>
          </cell>
          <cell r="S8630" t="str">
            <v/>
          </cell>
          <cell r="V8630" t="str">
            <v/>
          </cell>
          <cell r="Z8630" t="str">
            <v/>
          </cell>
          <cell r="AA8630" t="str">
            <v/>
          </cell>
          <cell r="AB8630" t="str">
            <v/>
          </cell>
          <cell r="AC8630" t="str">
            <v/>
          </cell>
          <cell r="AD8630" t="str">
            <v/>
          </cell>
          <cell r="AY8630" t="str">
            <v/>
          </cell>
          <cell r="AZ8630" t="str">
            <v/>
          </cell>
          <cell r="BA8630" t="str">
            <v/>
          </cell>
        </row>
        <row r="8631">
          <cell r="B8631" t="str">
            <v>-</v>
          </cell>
          <cell r="E8631" t="str">
            <v/>
          </cell>
          <cell r="G8631" t="str">
            <v/>
          </cell>
          <cell r="J8631" t="str">
            <v/>
          </cell>
          <cell r="O8631" t="str">
            <v/>
          </cell>
          <cell r="P8631" t="str">
            <v/>
          </cell>
          <cell r="Q8631" t="str">
            <v/>
          </cell>
          <cell r="S8631" t="str">
            <v/>
          </cell>
          <cell r="V8631" t="str">
            <v/>
          </cell>
          <cell r="Z8631" t="str">
            <v/>
          </cell>
          <cell r="AA8631" t="str">
            <v/>
          </cell>
          <cell r="AB8631" t="str">
            <v/>
          </cell>
          <cell r="AC8631" t="str">
            <v/>
          </cell>
          <cell r="AD8631" t="str">
            <v/>
          </cell>
          <cell r="AY8631" t="str">
            <v/>
          </cell>
          <cell r="AZ8631" t="str">
            <v/>
          </cell>
          <cell r="BA8631" t="str">
            <v/>
          </cell>
        </row>
        <row r="8632">
          <cell r="B8632" t="str">
            <v>-</v>
          </cell>
          <cell r="E8632" t="str">
            <v/>
          </cell>
          <cell r="G8632" t="str">
            <v/>
          </cell>
          <cell r="J8632" t="str">
            <v/>
          </cell>
          <cell r="O8632" t="str">
            <v/>
          </cell>
          <cell r="P8632" t="str">
            <v/>
          </cell>
          <cell r="Q8632" t="str">
            <v/>
          </cell>
          <cell r="S8632" t="str">
            <v/>
          </cell>
          <cell r="V8632" t="str">
            <v/>
          </cell>
          <cell r="Z8632" t="str">
            <v/>
          </cell>
          <cell r="AA8632" t="str">
            <v/>
          </cell>
          <cell r="AB8632" t="str">
            <v/>
          </cell>
          <cell r="AC8632" t="str">
            <v/>
          </cell>
          <cell r="AD8632" t="str">
            <v/>
          </cell>
          <cell r="AY8632" t="str">
            <v/>
          </cell>
          <cell r="AZ8632" t="str">
            <v/>
          </cell>
          <cell r="BA8632" t="str">
            <v/>
          </cell>
        </row>
        <row r="8633">
          <cell r="B8633" t="str">
            <v>-</v>
          </cell>
          <cell r="E8633" t="str">
            <v/>
          </cell>
          <cell r="G8633" t="str">
            <v/>
          </cell>
          <cell r="J8633" t="str">
            <v/>
          </cell>
          <cell r="O8633" t="str">
            <v/>
          </cell>
          <cell r="P8633" t="str">
            <v/>
          </cell>
          <cell r="Q8633" t="str">
            <v/>
          </cell>
          <cell r="S8633" t="str">
            <v/>
          </cell>
          <cell r="V8633" t="str">
            <v/>
          </cell>
          <cell r="Z8633" t="str">
            <v/>
          </cell>
          <cell r="AA8633" t="str">
            <v/>
          </cell>
          <cell r="AB8633" t="str">
            <v/>
          </cell>
          <cell r="AC8633" t="str">
            <v/>
          </cell>
          <cell r="AD8633" t="str">
            <v/>
          </cell>
          <cell r="AY8633" t="str">
            <v/>
          </cell>
          <cell r="AZ8633" t="str">
            <v/>
          </cell>
          <cell r="BA8633" t="str">
            <v/>
          </cell>
        </row>
        <row r="8634">
          <cell r="B8634" t="str">
            <v>-</v>
          </cell>
          <cell r="E8634" t="str">
            <v/>
          </cell>
          <cell r="G8634" t="str">
            <v/>
          </cell>
          <cell r="J8634" t="str">
            <v/>
          </cell>
          <cell r="O8634" t="str">
            <v/>
          </cell>
          <cell r="P8634" t="str">
            <v/>
          </cell>
          <cell r="Q8634" t="str">
            <v/>
          </cell>
          <cell r="S8634" t="str">
            <v/>
          </cell>
          <cell r="V8634" t="str">
            <v/>
          </cell>
          <cell r="Z8634" t="str">
            <v/>
          </cell>
          <cell r="AA8634" t="str">
            <v/>
          </cell>
          <cell r="AB8634" t="str">
            <v/>
          </cell>
          <cell r="AC8634" t="str">
            <v/>
          </cell>
          <cell r="AD8634" t="str">
            <v/>
          </cell>
          <cell r="AY8634" t="str">
            <v/>
          </cell>
          <cell r="AZ8634" t="str">
            <v/>
          </cell>
          <cell r="BA8634" t="str">
            <v/>
          </cell>
        </row>
        <row r="8635">
          <cell r="B8635" t="str">
            <v>-</v>
          </cell>
          <cell r="E8635" t="str">
            <v/>
          </cell>
          <cell r="G8635" t="str">
            <v/>
          </cell>
          <cell r="J8635" t="str">
            <v/>
          </cell>
          <cell r="O8635" t="str">
            <v/>
          </cell>
          <cell r="P8635" t="str">
            <v/>
          </cell>
          <cell r="Q8635" t="str">
            <v/>
          </cell>
          <cell r="S8635" t="str">
            <v/>
          </cell>
          <cell r="V8635" t="str">
            <v/>
          </cell>
          <cell r="Z8635" t="str">
            <v/>
          </cell>
          <cell r="AA8635" t="str">
            <v/>
          </cell>
          <cell r="AB8635" t="str">
            <v/>
          </cell>
          <cell r="AC8635" t="str">
            <v/>
          </cell>
          <cell r="AD8635" t="str">
            <v/>
          </cell>
          <cell r="AY8635" t="str">
            <v/>
          </cell>
          <cell r="AZ8635" t="str">
            <v/>
          </cell>
          <cell r="BA8635" t="str">
            <v/>
          </cell>
        </row>
        <row r="8636">
          <cell r="B8636" t="str">
            <v>-</v>
          </cell>
          <cell r="E8636" t="str">
            <v/>
          </cell>
          <cell r="G8636" t="str">
            <v/>
          </cell>
          <cell r="J8636" t="str">
            <v/>
          </cell>
          <cell r="O8636" t="str">
            <v/>
          </cell>
          <cell r="P8636" t="str">
            <v/>
          </cell>
          <cell r="Q8636" t="str">
            <v/>
          </cell>
          <cell r="S8636" t="str">
            <v/>
          </cell>
          <cell r="V8636" t="str">
            <v/>
          </cell>
          <cell r="Z8636" t="str">
            <v/>
          </cell>
          <cell r="AA8636" t="str">
            <v/>
          </cell>
          <cell r="AB8636" t="str">
            <v/>
          </cell>
          <cell r="AC8636" t="str">
            <v/>
          </cell>
          <cell r="AD8636" t="str">
            <v/>
          </cell>
          <cell r="AY8636" t="str">
            <v/>
          </cell>
          <cell r="AZ8636" t="str">
            <v/>
          </cell>
          <cell r="BA8636" t="str">
            <v/>
          </cell>
        </row>
        <row r="8637">
          <cell r="B8637" t="str">
            <v>-</v>
          </cell>
          <cell r="E8637" t="str">
            <v/>
          </cell>
          <cell r="G8637" t="str">
            <v/>
          </cell>
          <cell r="J8637" t="str">
            <v/>
          </cell>
          <cell r="O8637" t="str">
            <v/>
          </cell>
          <cell r="P8637" t="str">
            <v/>
          </cell>
          <cell r="Q8637" t="str">
            <v/>
          </cell>
          <cell r="S8637" t="str">
            <v/>
          </cell>
          <cell r="V8637" t="str">
            <v/>
          </cell>
          <cell r="Z8637" t="str">
            <v/>
          </cell>
          <cell r="AA8637" t="str">
            <v/>
          </cell>
          <cell r="AB8637" t="str">
            <v/>
          </cell>
          <cell r="AC8637" t="str">
            <v/>
          </cell>
          <cell r="AD8637" t="str">
            <v/>
          </cell>
          <cell r="AY8637" t="str">
            <v/>
          </cell>
          <cell r="AZ8637" t="str">
            <v/>
          </cell>
          <cell r="BA8637" t="str">
            <v/>
          </cell>
        </row>
        <row r="8638">
          <cell r="B8638" t="str">
            <v>-</v>
          </cell>
          <cell r="E8638" t="str">
            <v/>
          </cell>
          <cell r="G8638" t="str">
            <v/>
          </cell>
          <cell r="J8638" t="str">
            <v/>
          </cell>
          <cell r="O8638" t="str">
            <v/>
          </cell>
          <cell r="P8638" t="str">
            <v/>
          </cell>
          <cell r="Q8638" t="str">
            <v/>
          </cell>
          <cell r="S8638" t="str">
            <v/>
          </cell>
          <cell r="V8638" t="str">
            <v/>
          </cell>
          <cell r="Z8638" t="str">
            <v/>
          </cell>
          <cell r="AA8638" t="str">
            <v/>
          </cell>
          <cell r="AB8638" t="str">
            <v/>
          </cell>
          <cell r="AC8638" t="str">
            <v/>
          </cell>
          <cell r="AD8638" t="str">
            <v/>
          </cell>
          <cell r="AY8638" t="str">
            <v/>
          </cell>
          <cell r="AZ8638" t="str">
            <v/>
          </cell>
          <cell r="BA8638" t="str">
            <v/>
          </cell>
        </row>
        <row r="8639">
          <cell r="B8639" t="str">
            <v>-</v>
          </cell>
          <cell r="E8639" t="str">
            <v/>
          </cell>
          <cell r="G8639" t="str">
            <v/>
          </cell>
          <cell r="J8639" t="str">
            <v/>
          </cell>
          <cell r="O8639" t="str">
            <v/>
          </cell>
          <cell r="P8639" t="str">
            <v/>
          </cell>
          <cell r="Q8639" t="str">
            <v/>
          </cell>
          <cell r="S8639" t="str">
            <v/>
          </cell>
          <cell r="V8639" t="str">
            <v/>
          </cell>
          <cell r="Z8639" t="str">
            <v/>
          </cell>
          <cell r="AA8639" t="str">
            <v/>
          </cell>
          <cell r="AB8639" t="str">
            <v/>
          </cell>
          <cell r="AC8639" t="str">
            <v/>
          </cell>
          <cell r="AD8639" t="str">
            <v/>
          </cell>
          <cell r="AY8639" t="str">
            <v/>
          </cell>
          <cell r="AZ8639" t="str">
            <v/>
          </cell>
          <cell r="BA8639" t="str">
            <v/>
          </cell>
        </row>
        <row r="8640">
          <cell r="B8640" t="str">
            <v>-</v>
          </cell>
          <cell r="E8640" t="str">
            <v/>
          </cell>
          <cell r="G8640" t="str">
            <v/>
          </cell>
          <cell r="J8640" t="str">
            <v/>
          </cell>
          <cell r="O8640" t="str">
            <v/>
          </cell>
          <cell r="P8640" t="str">
            <v/>
          </cell>
          <cell r="Q8640" t="str">
            <v/>
          </cell>
          <cell r="S8640" t="str">
            <v/>
          </cell>
          <cell r="V8640" t="str">
            <v/>
          </cell>
          <cell r="Z8640" t="str">
            <v/>
          </cell>
          <cell r="AA8640" t="str">
            <v/>
          </cell>
          <cell r="AB8640" t="str">
            <v/>
          </cell>
          <cell r="AC8640" t="str">
            <v/>
          </cell>
          <cell r="AD8640" t="str">
            <v/>
          </cell>
          <cell r="AY8640" t="str">
            <v/>
          </cell>
          <cell r="AZ8640" t="str">
            <v/>
          </cell>
          <cell r="BA8640" t="str">
            <v/>
          </cell>
        </row>
        <row r="8641">
          <cell r="B8641" t="str">
            <v>-</v>
          </cell>
          <cell r="E8641" t="str">
            <v/>
          </cell>
          <cell r="G8641" t="str">
            <v/>
          </cell>
          <cell r="J8641" t="str">
            <v/>
          </cell>
          <cell r="O8641" t="str">
            <v/>
          </cell>
          <cell r="P8641" t="str">
            <v/>
          </cell>
          <cell r="Q8641" t="str">
            <v/>
          </cell>
          <cell r="S8641" t="str">
            <v/>
          </cell>
          <cell r="V8641" t="str">
            <v/>
          </cell>
          <cell r="Z8641" t="str">
            <v/>
          </cell>
          <cell r="AA8641" t="str">
            <v/>
          </cell>
          <cell r="AB8641" t="str">
            <v/>
          </cell>
          <cell r="AC8641" t="str">
            <v/>
          </cell>
          <cell r="AD8641" t="str">
            <v/>
          </cell>
          <cell r="AY8641" t="str">
            <v/>
          </cell>
          <cell r="AZ8641" t="str">
            <v/>
          </cell>
          <cell r="BA8641" t="str">
            <v/>
          </cell>
        </row>
        <row r="8642">
          <cell r="B8642" t="str">
            <v>-</v>
          </cell>
          <cell r="E8642" t="str">
            <v/>
          </cell>
          <cell r="G8642" t="str">
            <v/>
          </cell>
          <cell r="J8642" t="str">
            <v/>
          </cell>
          <cell r="O8642" t="str">
            <v/>
          </cell>
          <cell r="P8642" t="str">
            <v/>
          </cell>
          <cell r="Q8642" t="str">
            <v/>
          </cell>
          <cell r="S8642" t="str">
            <v/>
          </cell>
          <cell r="V8642" t="str">
            <v/>
          </cell>
          <cell r="Z8642" t="str">
            <v/>
          </cell>
          <cell r="AA8642" t="str">
            <v/>
          </cell>
          <cell r="AB8642" t="str">
            <v/>
          </cell>
          <cell r="AC8642" t="str">
            <v/>
          </cell>
          <cell r="AD8642" t="str">
            <v/>
          </cell>
          <cell r="AY8642" t="str">
            <v/>
          </cell>
          <cell r="AZ8642" t="str">
            <v/>
          </cell>
          <cell r="BA8642" t="str">
            <v/>
          </cell>
        </row>
        <row r="8643">
          <cell r="B8643" t="str">
            <v>-</v>
          </cell>
          <cell r="E8643" t="str">
            <v/>
          </cell>
          <cell r="G8643" t="str">
            <v/>
          </cell>
          <cell r="J8643" t="str">
            <v/>
          </cell>
          <cell r="O8643" t="str">
            <v/>
          </cell>
          <cell r="P8643" t="str">
            <v/>
          </cell>
          <cell r="Q8643" t="str">
            <v/>
          </cell>
          <cell r="S8643" t="str">
            <v/>
          </cell>
          <cell r="V8643" t="str">
            <v/>
          </cell>
          <cell r="Z8643" t="str">
            <v/>
          </cell>
          <cell r="AA8643" t="str">
            <v/>
          </cell>
          <cell r="AB8643" t="str">
            <v/>
          </cell>
          <cell r="AC8643" t="str">
            <v/>
          </cell>
          <cell r="AD8643" t="str">
            <v/>
          </cell>
          <cell r="AY8643" t="str">
            <v/>
          </cell>
          <cell r="AZ8643" t="str">
            <v/>
          </cell>
          <cell r="BA8643" t="str">
            <v/>
          </cell>
        </row>
        <row r="8644">
          <cell r="B8644" t="str">
            <v>-</v>
          </cell>
          <cell r="E8644" t="str">
            <v/>
          </cell>
          <cell r="G8644" t="str">
            <v/>
          </cell>
          <cell r="J8644" t="str">
            <v/>
          </cell>
          <cell r="O8644" t="str">
            <v/>
          </cell>
          <cell r="P8644" t="str">
            <v/>
          </cell>
          <cell r="Q8644" t="str">
            <v/>
          </cell>
          <cell r="S8644" t="str">
            <v/>
          </cell>
          <cell r="V8644" t="str">
            <v/>
          </cell>
          <cell r="Z8644" t="str">
            <v/>
          </cell>
          <cell r="AA8644" t="str">
            <v/>
          </cell>
          <cell r="AB8644" t="str">
            <v/>
          </cell>
          <cell r="AC8644" t="str">
            <v/>
          </cell>
          <cell r="AD8644" t="str">
            <v/>
          </cell>
          <cell r="AY8644" t="str">
            <v/>
          </cell>
          <cell r="AZ8644" t="str">
            <v/>
          </cell>
          <cell r="BA8644" t="str">
            <v/>
          </cell>
        </row>
        <row r="8645">
          <cell r="B8645" t="str">
            <v>-</v>
          </cell>
          <cell r="E8645" t="str">
            <v/>
          </cell>
          <cell r="G8645" t="str">
            <v/>
          </cell>
          <cell r="J8645" t="str">
            <v/>
          </cell>
          <cell r="O8645" t="str">
            <v/>
          </cell>
          <cell r="P8645" t="str">
            <v/>
          </cell>
          <cell r="Q8645" t="str">
            <v/>
          </cell>
          <cell r="S8645" t="str">
            <v/>
          </cell>
          <cell r="V8645" t="str">
            <v/>
          </cell>
          <cell r="Z8645" t="str">
            <v/>
          </cell>
          <cell r="AA8645" t="str">
            <v/>
          </cell>
          <cell r="AB8645" t="str">
            <v/>
          </cell>
          <cell r="AC8645" t="str">
            <v/>
          </cell>
          <cell r="AD8645" t="str">
            <v/>
          </cell>
          <cell r="AY8645" t="str">
            <v/>
          </cell>
          <cell r="AZ8645" t="str">
            <v/>
          </cell>
          <cell r="BA8645" t="str">
            <v/>
          </cell>
        </row>
        <row r="8646">
          <cell r="B8646" t="str">
            <v>-</v>
          </cell>
          <cell r="E8646" t="str">
            <v/>
          </cell>
          <cell r="G8646" t="str">
            <v/>
          </cell>
          <cell r="J8646" t="str">
            <v/>
          </cell>
          <cell r="O8646" t="str">
            <v/>
          </cell>
          <cell r="P8646" t="str">
            <v/>
          </cell>
          <cell r="Q8646" t="str">
            <v/>
          </cell>
          <cell r="S8646" t="str">
            <v/>
          </cell>
          <cell r="V8646" t="str">
            <v/>
          </cell>
          <cell r="Z8646" t="str">
            <v/>
          </cell>
          <cell r="AA8646" t="str">
            <v/>
          </cell>
          <cell r="AB8646" t="str">
            <v/>
          </cell>
          <cell r="AC8646" t="str">
            <v/>
          </cell>
          <cell r="AD8646" t="str">
            <v/>
          </cell>
          <cell r="AY8646" t="str">
            <v/>
          </cell>
          <cell r="AZ8646" t="str">
            <v/>
          </cell>
          <cell r="BA8646" t="str">
            <v/>
          </cell>
        </row>
        <row r="8647">
          <cell r="B8647" t="str">
            <v>-</v>
          </cell>
          <cell r="E8647" t="str">
            <v/>
          </cell>
          <cell r="G8647" t="str">
            <v/>
          </cell>
          <cell r="J8647" t="str">
            <v/>
          </cell>
          <cell r="O8647" t="str">
            <v/>
          </cell>
          <cell r="P8647" t="str">
            <v/>
          </cell>
          <cell r="Q8647" t="str">
            <v/>
          </cell>
          <cell r="S8647" t="str">
            <v/>
          </cell>
          <cell r="V8647" t="str">
            <v/>
          </cell>
          <cell r="Z8647" t="str">
            <v/>
          </cell>
          <cell r="AA8647" t="str">
            <v/>
          </cell>
          <cell r="AB8647" t="str">
            <v/>
          </cell>
          <cell r="AC8647" t="str">
            <v/>
          </cell>
          <cell r="AD8647" t="str">
            <v/>
          </cell>
          <cell r="AY8647" t="str">
            <v/>
          </cell>
          <cell r="AZ8647" t="str">
            <v/>
          </cell>
          <cell r="BA8647" t="str">
            <v/>
          </cell>
        </row>
        <row r="8648">
          <cell r="B8648" t="str">
            <v>-</v>
          </cell>
          <cell r="E8648" t="str">
            <v/>
          </cell>
          <cell r="G8648" t="str">
            <v/>
          </cell>
          <cell r="J8648" t="str">
            <v/>
          </cell>
          <cell r="O8648" t="str">
            <v/>
          </cell>
          <cell r="P8648" t="str">
            <v/>
          </cell>
          <cell r="Q8648" t="str">
            <v/>
          </cell>
          <cell r="S8648" t="str">
            <v/>
          </cell>
          <cell r="V8648" t="str">
            <v/>
          </cell>
          <cell r="Z8648" t="str">
            <v/>
          </cell>
          <cell r="AA8648" t="str">
            <v/>
          </cell>
          <cell r="AB8648" t="str">
            <v/>
          </cell>
          <cell r="AC8648" t="str">
            <v/>
          </cell>
          <cell r="AD8648" t="str">
            <v/>
          </cell>
          <cell r="AY8648" t="str">
            <v/>
          </cell>
          <cell r="AZ8648" t="str">
            <v/>
          </cell>
          <cell r="BA8648" t="str">
            <v/>
          </cell>
        </row>
        <row r="8649">
          <cell r="B8649" t="str">
            <v>-</v>
          </cell>
          <cell r="E8649" t="str">
            <v/>
          </cell>
          <cell r="G8649" t="str">
            <v/>
          </cell>
          <cell r="J8649" t="str">
            <v/>
          </cell>
          <cell r="O8649" t="str">
            <v/>
          </cell>
          <cell r="P8649" t="str">
            <v/>
          </cell>
          <cell r="Q8649" t="str">
            <v/>
          </cell>
          <cell r="S8649" t="str">
            <v/>
          </cell>
          <cell r="V8649" t="str">
            <v/>
          </cell>
          <cell r="Z8649" t="str">
            <v/>
          </cell>
          <cell r="AA8649" t="str">
            <v/>
          </cell>
          <cell r="AB8649" t="str">
            <v/>
          </cell>
          <cell r="AC8649" t="str">
            <v/>
          </cell>
          <cell r="AD8649" t="str">
            <v/>
          </cell>
          <cell r="AY8649" t="str">
            <v/>
          </cell>
          <cell r="AZ8649" t="str">
            <v/>
          </cell>
          <cell r="BA8649" t="str">
            <v/>
          </cell>
        </row>
        <row r="8650">
          <cell r="B8650" t="str">
            <v>-</v>
          </cell>
          <cell r="E8650" t="str">
            <v/>
          </cell>
          <cell r="G8650" t="str">
            <v/>
          </cell>
          <cell r="J8650" t="str">
            <v/>
          </cell>
          <cell r="O8650" t="str">
            <v/>
          </cell>
          <cell r="P8650" t="str">
            <v/>
          </cell>
          <cell r="Q8650" t="str">
            <v/>
          </cell>
          <cell r="S8650" t="str">
            <v/>
          </cell>
          <cell r="V8650" t="str">
            <v/>
          </cell>
          <cell r="Z8650" t="str">
            <v/>
          </cell>
          <cell r="AA8650" t="str">
            <v/>
          </cell>
          <cell r="AB8650" t="str">
            <v/>
          </cell>
          <cell r="AC8650" t="str">
            <v/>
          </cell>
          <cell r="AD8650" t="str">
            <v/>
          </cell>
          <cell r="AY8650" t="str">
            <v/>
          </cell>
          <cell r="AZ8650" t="str">
            <v/>
          </cell>
          <cell r="BA8650" t="str">
            <v/>
          </cell>
        </row>
        <row r="8651">
          <cell r="B8651" t="str">
            <v>-</v>
          </cell>
          <cell r="E8651" t="str">
            <v/>
          </cell>
          <cell r="G8651" t="str">
            <v/>
          </cell>
          <cell r="J8651" t="str">
            <v/>
          </cell>
          <cell r="O8651" t="str">
            <v/>
          </cell>
          <cell r="P8651" t="str">
            <v/>
          </cell>
          <cell r="Q8651" t="str">
            <v/>
          </cell>
          <cell r="S8651" t="str">
            <v/>
          </cell>
          <cell r="V8651" t="str">
            <v/>
          </cell>
          <cell r="Z8651" t="str">
            <v/>
          </cell>
          <cell r="AA8651" t="str">
            <v/>
          </cell>
          <cell r="AB8651" t="str">
            <v/>
          </cell>
          <cell r="AC8651" t="str">
            <v/>
          </cell>
          <cell r="AD8651" t="str">
            <v/>
          </cell>
          <cell r="AY8651" t="str">
            <v/>
          </cell>
          <cell r="AZ8651" t="str">
            <v/>
          </cell>
          <cell r="BA8651" t="str">
            <v/>
          </cell>
        </row>
        <row r="8652">
          <cell r="B8652" t="str">
            <v>-</v>
          </cell>
          <cell r="E8652" t="str">
            <v/>
          </cell>
          <cell r="G8652" t="str">
            <v/>
          </cell>
          <cell r="J8652" t="str">
            <v/>
          </cell>
          <cell r="O8652" t="str">
            <v/>
          </cell>
          <cell r="P8652" t="str">
            <v/>
          </cell>
          <cell r="Q8652" t="str">
            <v/>
          </cell>
          <cell r="S8652" t="str">
            <v/>
          </cell>
          <cell r="V8652" t="str">
            <v/>
          </cell>
          <cell r="Z8652" t="str">
            <v/>
          </cell>
          <cell r="AA8652" t="str">
            <v/>
          </cell>
          <cell r="AB8652" t="str">
            <v/>
          </cell>
          <cell r="AC8652" t="str">
            <v/>
          </cell>
          <cell r="AD8652" t="str">
            <v/>
          </cell>
          <cell r="AY8652" t="str">
            <v/>
          </cell>
          <cell r="AZ8652" t="str">
            <v/>
          </cell>
          <cell r="BA8652" t="str">
            <v/>
          </cell>
        </row>
        <row r="8653">
          <cell r="B8653" t="str">
            <v>-</v>
          </cell>
          <cell r="E8653" t="str">
            <v/>
          </cell>
          <cell r="G8653" t="str">
            <v/>
          </cell>
          <cell r="J8653" t="str">
            <v/>
          </cell>
          <cell r="O8653" t="str">
            <v/>
          </cell>
          <cell r="P8653" t="str">
            <v/>
          </cell>
          <cell r="Q8653" t="str">
            <v/>
          </cell>
          <cell r="S8653" t="str">
            <v/>
          </cell>
          <cell r="V8653" t="str">
            <v/>
          </cell>
          <cell r="Z8653" t="str">
            <v/>
          </cell>
          <cell r="AA8653" t="str">
            <v/>
          </cell>
          <cell r="AB8653" t="str">
            <v/>
          </cell>
          <cell r="AC8653" t="str">
            <v/>
          </cell>
          <cell r="AD8653" t="str">
            <v/>
          </cell>
          <cell r="AY8653" t="str">
            <v/>
          </cell>
          <cell r="AZ8653" t="str">
            <v/>
          </cell>
          <cell r="BA8653" t="str">
            <v/>
          </cell>
        </row>
        <row r="8654">
          <cell r="B8654" t="str">
            <v>-</v>
          </cell>
          <cell r="E8654" t="str">
            <v/>
          </cell>
          <cell r="G8654" t="str">
            <v/>
          </cell>
          <cell r="J8654" t="str">
            <v/>
          </cell>
          <cell r="O8654" t="str">
            <v/>
          </cell>
          <cell r="P8654" t="str">
            <v/>
          </cell>
          <cell r="Q8654" t="str">
            <v/>
          </cell>
          <cell r="S8654" t="str">
            <v/>
          </cell>
          <cell r="V8654" t="str">
            <v/>
          </cell>
          <cell r="Z8654" t="str">
            <v/>
          </cell>
          <cell r="AA8654" t="str">
            <v/>
          </cell>
          <cell r="AB8654" t="str">
            <v/>
          </cell>
          <cell r="AC8654" t="str">
            <v/>
          </cell>
          <cell r="AD8654" t="str">
            <v/>
          </cell>
          <cell r="AY8654" t="str">
            <v/>
          </cell>
          <cell r="AZ8654" t="str">
            <v/>
          </cell>
          <cell r="BA8654" t="str">
            <v/>
          </cell>
        </row>
        <row r="8655">
          <cell r="B8655" t="str">
            <v>-</v>
          </cell>
          <cell r="E8655" t="str">
            <v/>
          </cell>
          <cell r="G8655" t="str">
            <v/>
          </cell>
          <cell r="J8655" t="str">
            <v/>
          </cell>
          <cell r="O8655" t="str">
            <v/>
          </cell>
          <cell r="P8655" t="str">
            <v/>
          </cell>
          <cell r="Q8655" t="str">
            <v/>
          </cell>
          <cell r="S8655" t="str">
            <v/>
          </cell>
          <cell r="V8655" t="str">
            <v/>
          </cell>
          <cell r="Z8655" t="str">
            <v/>
          </cell>
          <cell r="AA8655" t="str">
            <v/>
          </cell>
          <cell r="AB8655" t="str">
            <v/>
          </cell>
          <cell r="AC8655" t="str">
            <v/>
          </cell>
          <cell r="AD8655" t="str">
            <v/>
          </cell>
          <cell r="AY8655" t="str">
            <v/>
          </cell>
          <cell r="AZ8655" t="str">
            <v/>
          </cell>
          <cell r="BA8655" t="str">
            <v/>
          </cell>
        </row>
        <row r="8656">
          <cell r="B8656" t="str">
            <v>-</v>
          </cell>
          <cell r="E8656" t="str">
            <v/>
          </cell>
          <cell r="G8656" t="str">
            <v/>
          </cell>
          <cell r="J8656" t="str">
            <v/>
          </cell>
          <cell r="O8656" t="str">
            <v/>
          </cell>
          <cell r="P8656" t="str">
            <v/>
          </cell>
          <cell r="Q8656" t="str">
            <v/>
          </cell>
          <cell r="S8656" t="str">
            <v/>
          </cell>
          <cell r="V8656" t="str">
            <v/>
          </cell>
          <cell r="Z8656" t="str">
            <v/>
          </cell>
          <cell r="AA8656" t="str">
            <v/>
          </cell>
          <cell r="AB8656" t="str">
            <v/>
          </cell>
          <cell r="AC8656" t="str">
            <v/>
          </cell>
          <cell r="AD8656" t="str">
            <v/>
          </cell>
          <cell r="AY8656" t="str">
            <v/>
          </cell>
          <cell r="AZ8656" t="str">
            <v/>
          </cell>
          <cell r="BA8656" t="str">
            <v/>
          </cell>
        </row>
        <row r="8657">
          <cell r="B8657" t="str">
            <v>-</v>
          </cell>
          <cell r="E8657" t="str">
            <v/>
          </cell>
          <cell r="G8657" t="str">
            <v/>
          </cell>
          <cell r="J8657" t="str">
            <v/>
          </cell>
          <cell r="O8657" t="str">
            <v/>
          </cell>
          <cell r="P8657" t="str">
            <v/>
          </cell>
          <cell r="Q8657" t="str">
            <v/>
          </cell>
          <cell r="S8657" t="str">
            <v/>
          </cell>
          <cell r="V8657" t="str">
            <v/>
          </cell>
          <cell r="Z8657" t="str">
            <v/>
          </cell>
          <cell r="AA8657" t="str">
            <v/>
          </cell>
          <cell r="AB8657" t="str">
            <v/>
          </cell>
          <cell r="AC8657" t="str">
            <v/>
          </cell>
          <cell r="AD8657" t="str">
            <v/>
          </cell>
          <cell r="AY8657" t="str">
            <v/>
          </cell>
          <cell r="AZ8657" t="str">
            <v/>
          </cell>
          <cell r="BA8657" t="str">
            <v/>
          </cell>
        </row>
        <row r="8658">
          <cell r="B8658" t="str">
            <v>-</v>
          </cell>
          <cell r="E8658" t="str">
            <v/>
          </cell>
          <cell r="G8658" t="str">
            <v/>
          </cell>
          <cell r="J8658" t="str">
            <v/>
          </cell>
          <cell r="O8658" t="str">
            <v/>
          </cell>
          <cell r="P8658" t="str">
            <v/>
          </cell>
          <cell r="Q8658" t="str">
            <v/>
          </cell>
          <cell r="S8658" t="str">
            <v/>
          </cell>
          <cell r="V8658" t="str">
            <v/>
          </cell>
          <cell r="Z8658" t="str">
            <v/>
          </cell>
          <cell r="AA8658" t="str">
            <v/>
          </cell>
          <cell r="AB8658" t="str">
            <v/>
          </cell>
          <cell r="AC8658" t="str">
            <v/>
          </cell>
          <cell r="AD8658" t="str">
            <v/>
          </cell>
          <cell r="AY8658" t="str">
            <v/>
          </cell>
          <cell r="AZ8658" t="str">
            <v/>
          </cell>
          <cell r="BA8658" t="str">
            <v/>
          </cell>
        </row>
        <row r="8659">
          <cell r="B8659" t="str">
            <v>-</v>
          </cell>
          <cell r="E8659" t="str">
            <v/>
          </cell>
          <cell r="G8659" t="str">
            <v/>
          </cell>
          <cell r="J8659" t="str">
            <v/>
          </cell>
          <cell r="O8659" t="str">
            <v/>
          </cell>
          <cell r="P8659" t="str">
            <v/>
          </cell>
          <cell r="Q8659" t="str">
            <v/>
          </cell>
          <cell r="S8659" t="str">
            <v/>
          </cell>
          <cell r="V8659" t="str">
            <v/>
          </cell>
          <cell r="Z8659" t="str">
            <v/>
          </cell>
          <cell r="AA8659" t="str">
            <v/>
          </cell>
          <cell r="AB8659" t="str">
            <v/>
          </cell>
          <cell r="AC8659" t="str">
            <v/>
          </cell>
          <cell r="AD8659" t="str">
            <v/>
          </cell>
          <cell r="AY8659" t="str">
            <v/>
          </cell>
          <cell r="AZ8659" t="str">
            <v/>
          </cell>
          <cell r="BA8659" t="str">
            <v/>
          </cell>
        </row>
        <row r="8660">
          <cell r="B8660" t="str">
            <v>-</v>
          </cell>
          <cell r="E8660" t="str">
            <v/>
          </cell>
          <cell r="G8660" t="str">
            <v/>
          </cell>
          <cell r="J8660" t="str">
            <v/>
          </cell>
          <cell r="O8660" t="str">
            <v/>
          </cell>
          <cell r="P8660" t="str">
            <v/>
          </cell>
          <cell r="Q8660" t="str">
            <v/>
          </cell>
          <cell r="S8660" t="str">
            <v/>
          </cell>
          <cell r="V8660" t="str">
            <v/>
          </cell>
          <cell r="Z8660" t="str">
            <v/>
          </cell>
          <cell r="AA8660" t="str">
            <v/>
          </cell>
          <cell r="AB8660" t="str">
            <v/>
          </cell>
          <cell r="AC8660" t="str">
            <v/>
          </cell>
          <cell r="AD8660" t="str">
            <v/>
          </cell>
          <cell r="AY8660" t="str">
            <v/>
          </cell>
          <cell r="AZ8660" t="str">
            <v/>
          </cell>
          <cell r="BA8660" t="str">
            <v/>
          </cell>
        </row>
        <row r="8661">
          <cell r="B8661" t="str">
            <v>-</v>
          </cell>
          <cell r="E8661" t="str">
            <v/>
          </cell>
          <cell r="G8661" t="str">
            <v/>
          </cell>
          <cell r="J8661" t="str">
            <v/>
          </cell>
          <cell r="O8661" t="str">
            <v/>
          </cell>
          <cell r="P8661" t="str">
            <v/>
          </cell>
          <cell r="Q8661" t="str">
            <v/>
          </cell>
          <cell r="S8661" t="str">
            <v/>
          </cell>
          <cell r="V8661" t="str">
            <v/>
          </cell>
          <cell r="Z8661" t="str">
            <v/>
          </cell>
          <cell r="AA8661" t="str">
            <v/>
          </cell>
          <cell r="AB8661" t="str">
            <v/>
          </cell>
          <cell r="AC8661" t="str">
            <v/>
          </cell>
          <cell r="AD8661" t="str">
            <v/>
          </cell>
          <cell r="AY8661" t="str">
            <v/>
          </cell>
          <cell r="AZ8661" t="str">
            <v/>
          </cell>
          <cell r="BA8661" t="str">
            <v/>
          </cell>
        </row>
        <row r="8662">
          <cell r="B8662" t="str">
            <v>-</v>
          </cell>
          <cell r="E8662" t="str">
            <v/>
          </cell>
          <cell r="G8662" t="str">
            <v/>
          </cell>
          <cell r="J8662" t="str">
            <v/>
          </cell>
          <cell r="O8662" t="str">
            <v/>
          </cell>
          <cell r="P8662" t="str">
            <v/>
          </cell>
          <cell r="Q8662" t="str">
            <v/>
          </cell>
          <cell r="S8662" t="str">
            <v/>
          </cell>
          <cell r="V8662" t="str">
            <v/>
          </cell>
          <cell r="Z8662" t="str">
            <v/>
          </cell>
          <cell r="AA8662" t="str">
            <v/>
          </cell>
          <cell r="AB8662" t="str">
            <v/>
          </cell>
          <cell r="AC8662" t="str">
            <v/>
          </cell>
          <cell r="AD8662" t="str">
            <v/>
          </cell>
          <cell r="AY8662" t="str">
            <v/>
          </cell>
          <cell r="AZ8662" t="str">
            <v/>
          </cell>
          <cell r="BA8662" t="str">
            <v/>
          </cell>
        </row>
        <row r="8663">
          <cell r="B8663" t="str">
            <v>-</v>
          </cell>
          <cell r="E8663" t="str">
            <v/>
          </cell>
          <cell r="G8663" t="str">
            <v/>
          </cell>
          <cell r="J8663" t="str">
            <v/>
          </cell>
          <cell r="O8663" t="str">
            <v/>
          </cell>
          <cell r="P8663" t="str">
            <v/>
          </cell>
          <cell r="Q8663" t="str">
            <v/>
          </cell>
          <cell r="S8663" t="str">
            <v/>
          </cell>
          <cell r="V8663" t="str">
            <v/>
          </cell>
          <cell r="Z8663" t="str">
            <v/>
          </cell>
          <cell r="AA8663" t="str">
            <v/>
          </cell>
          <cell r="AB8663" t="str">
            <v/>
          </cell>
          <cell r="AC8663" t="str">
            <v/>
          </cell>
          <cell r="AD8663" t="str">
            <v/>
          </cell>
          <cell r="AY8663" t="str">
            <v/>
          </cell>
          <cell r="AZ8663" t="str">
            <v/>
          </cell>
          <cell r="BA8663" t="str">
            <v/>
          </cell>
        </row>
        <row r="8664">
          <cell r="B8664" t="str">
            <v>-</v>
          </cell>
          <cell r="E8664" t="str">
            <v/>
          </cell>
          <cell r="G8664" t="str">
            <v/>
          </cell>
          <cell r="J8664" t="str">
            <v/>
          </cell>
          <cell r="O8664" t="str">
            <v/>
          </cell>
          <cell r="P8664" t="str">
            <v/>
          </cell>
          <cell r="Q8664" t="str">
            <v/>
          </cell>
          <cell r="S8664" t="str">
            <v/>
          </cell>
          <cell r="V8664" t="str">
            <v/>
          </cell>
          <cell r="Z8664" t="str">
            <v/>
          </cell>
          <cell r="AA8664" t="str">
            <v/>
          </cell>
          <cell r="AB8664" t="str">
            <v/>
          </cell>
          <cell r="AC8664" t="str">
            <v/>
          </cell>
          <cell r="AD8664" t="str">
            <v/>
          </cell>
          <cell r="AY8664" t="str">
            <v/>
          </cell>
          <cell r="AZ8664" t="str">
            <v/>
          </cell>
          <cell r="BA8664" t="str">
            <v/>
          </cell>
        </row>
        <row r="8665">
          <cell r="B8665" t="str">
            <v>-</v>
          </cell>
          <cell r="E8665" t="str">
            <v/>
          </cell>
          <cell r="G8665" t="str">
            <v/>
          </cell>
          <cell r="J8665" t="str">
            <v/>
          </cell>
          <cell r="O8665" t="str">
            <v/>
          </cell>
          <cell r="P8665" t="str">
            <v/>
          </cell>
          <cell r="Q8665" t="str">
            <v/>
          </cell>
          <cell r="S8665" t="str">
            <v/>
          </cell>
          <cell r="V8665" t="str">
            <v/>
          </cell>
          <cell r="Z8665" t="str">
            <v/>
          </cell>
          <cell r="AA8665" t="str">
            <v/>
          </cell>
          <cell r="AB8665" t="str">
            <v/>
          </cell>
          <cell r="AC8665" t="str">
            <v/>
          </cell>
          <cell r="AD8665" t="str">
            <v/>
          </cell>
          <cell r="AY8665" t="str">
            <v/>
          </cell>
          <cell r="AZ8665" t="str">
            <v/>
          </cell>
          <cell r="BA8665" t="str">
            <v/>
          </cell>
        </row>
        <row r="8666">
          <cell r="B8666" t="str">
            <v>-</v>
          </cell>
          <cell r="E8666" t="str">
            <v/>
          </cell>
          <cell r="G8666" t="str">
            <v/>
          </cell>
          <cell r="J8666" t="str">
            <v/>
          </cell>
          <cell r="O8666" t="str">
            <v/>
          </cell>
          <cell r="P8666" t="str">
            <v/>
          </cell>
          <cell r="Q8666" t="str">
            <v/>
          </cell>
          <cell r="S8666" t="str">
            <v/>
          </cell>
          <cell r="V8666" t="str">
            <v/>
          </cell>
          <cell r="Z8666" t="str">
            <v/>
          </cell>
          <cell r="AA8666" t="str">
            <v/>
          </cell>
          <cell r="AB8666" t="str">
            <v/>
          </cell>
          <cell r="AC8666" t="str">
            <v/>
          </cell>
          <cell r="AD8666" t="str">
            <v/>
          </cell>
          <cell r="AY8666" t="str">
            <v/>
          </cell>
          <cell r="AZ8666" t="str">
            <v/>
          </cell>
          <cell r="BA8666" t="str">
            <v/>
          </cell>
        </row>
        <row r="8667">
          <cell r="B8667" t="str">
            <v>-</v>
          </cell>
          <cell r="E8667" t="str">
            <v/>
          </cell>
          <cell r="G8667" t="str">
            <v/>
          </cell>
          <cell r="J8667" t="str">
            <v/>
          </cell>
          <cell r="O8667" t="str">
            <v/>
          </cell>
          <cell r="P8667" t="str">
            <v/>
          </cell>
          <cell r="Q8667" t="str">
            <v/>
          </cell>
          <cell r="S8667" t="str">
            <v/>
          </cell>
          <cell r="V8667" t="str">
            <v/>
          </cell>
          <cell r="Z8667" t="str">
            <v/>
          </cell>
          <cell r="AA8667" t="str">
            <v/>
          </cell>
          <cell r="AB8667" t="str">
            <v/>
          </cell>
          <cell r="AC8667" t="str">
            <v/>
          </cell>
          <cell r="AD8667" t="str">
            <v/>
          </cell>
          <cell r="AY8667" t="str">
            <v/>
          </cell>
          <cell r="AZ8667" t="str">
            <v/>
          </cell>
          <cell r="BA8667" t="str">
            <v/>
          </cell>
        </row>
        <row r="8668">
          <cell r="B8668" t="str">
            <v>-</v>
          </cell>
          <cell r="E8668" t="str">
            <v/>
          </cell>
          <cell r="G8668" t="str">
            <v/>
          </cell>
          <cell r="J8668" t="str">
            <v/>
          </cell>
          <cell r="O8668" t="str">
            <v/>
          </cell>
          <cell r="P8668" t="str">
            <v/>
          </cell>
          <cell r="Q8668" t="str">
            <v/>
          </cell>
          <cell r="S8668" t="str">
            <v/>
          </cell>
          <cell r="V8668" t="str">
            <v/>
          </cell>
          <cell r="Z8668" t="str">
            <v/>
          </cell>
          <cell r="AA8668" t="str">
            <v/>
          </cell>
          <cell r="AB8668" t="str">
            <v/>
          </cell>
          <cell r="AC8668" t="str">
            <v/>
          </cell>
          <cell r="AD8668" t="str">
            <v/>
          </cell>
          <cell r="AY8668" t="str">
            <v/>
          </cell>
          <cell r="AZ8668" t="str">
            <v/>
          </cell>
          <cell r="BA8668" t="str">
            <v/>
          </cell>
        </row>
        <row r="8669">
          <cell r="B8669" t="str">
            <v>-</v>
          </cell>
          <cell r="E8669" t="str">
            <v/>
          </cell>
          <cell r="G8669" t="str">
            <v/>
          </cell>
          <cell r="J8669" t="str">
            <v/>
          </cell>
          <cell r="O8669" t="str">
            <v/>
          </cell>
          <cell r="P8669" t="str">
            <v/>
          </cell>
          <cell r="Q8669" t="str">
            <v/>
          </cell>
          <cell r="S8669" t="str">
            <v/>
          </cell>
          <cell r="V8669" t="str">
            <v/>
          </cell>
          <cell r="Z8669" t="str">
            <v/>
          </cell>
          <cell r="AA8669" t="str">
            <v/>
          </cell>
          <cell r="AB8669" t="str">
            <v/>
          </cell>
          <cell r="AC8669" t="str">
            <v/>
          </cell>
          <cell r="AD8669" t="str">
            <v/>
          </cell>
          <cell r="AY8669" t="str">
            <v/>
          </cell>
          <cell r="AZ8669" t="str">
            <v/>
          </cell>
          <cell r="BA8669" t="str">
            <v/>
          </cell>
        </row>
        <row r="8670">
          <cell r="B8670" t="str">
            <v>-</v>
          </cell>
          <cell r="E8670" t="str">
            <v/>
          </cell>
          <cell r="G8670" t="str">
            <v/>
          </cell>
          <cell r="J8670" t="str">
            <v/>
          </cell>
          <cell r="O8670" t="str">
            <v/>
          </cell>
          <cell r="P8670" t="str">
            <v/>
          </cell>
          <cell r="Q8670" t="str">
            <v/>
          </cell>
          <cell r="S8670" t="str">
            <v/>
          </cell>
          <cell r="V8670" t="str">
            <v/>
          </cell>
          <cell r="Z8670" t="str">
            <v/>
          </cell>
          <cell r="AA8670" t="str">
            <v/>
          </cell>
          <cell r="AB8670" t="str">
            <v/>
          </cell>
          <cell r="AC8670" t="str">
            <v/>
          </cell>
          <cell r="AD8670" t="str">
            <v/>
          </cell>
          <cell r="AY8670" t="str">
            <v/>
          </cell>
          <cell r="AZ8670" t="str">
            <v/>
          </cell>
          <cell r="BA8670" t="str">
            <v/>
          </cell>
        </row>
        <row r="8671">
          <cell r="B8671" t="str">
            <v>-</v>
          </cell>
          <cell r="E8671" t="str">
            <v/>
          </cell>
          <cell r="G8671" t="str">
            <v/>
          </cell>
          <cell r="J8671" t="str">
            <v/>
          </cell>
          <cell r="O8671" t="str">
            <v/>
          </cell>
          <cell r="P8671" t="str">
            <v/>
          </cell>
          <cell r="Q8671" t="str">
            <v/>
          </cell>
          <cell r="S8671" t="str">
            <v/>
          </cell>
          <cell r="V8671" t="str">
            <v/>
          </cell>
          <cell r="Z8671" t="str">
            <v/>
          </cell>
          <cell r="AA8671" t="str">
            <v/>
          </cell>
          <cell r="AB8671" t="str">
            <v/>
          </cell>
          <cell r="AC8671" t="str">
            <v/>
          </cell>
          <cell r="AD8671" t="str">
            <v/>
          </cell>
          <cell r="AY8671" t="str">
            <v/>
          </cell>
          <cell r="AZ8671" t="str">
            <v/>
          </cell>
          <cell r="BA8671" t="str">
            <v/>
          </cell>
        </row>
        <row r="8672">
          <cell r="B8672" t="str">
            <v>-</v>
          </cell>
          <cell r="E8672" t="str">
            <v/>
          </cell>
          <cell r="G8672" t="str">
            <v/>
          </cell>
          <cell r="J8672" t="str">
            <v/>
          </cell>
          <cell r="O8672" t="str">
            <v/>
          </cell>
          <cell r="P8672" t="str">
            <v/>
          </cell>
          <cell r="Q8672" t="str">
            <v/>
          </cell>
          <cell r="S8672" t="str">
            <v/>
          </cell>
          <cell r="V8672" t="str">
            <v/>
          </cell>
          <cell r="Z8672" t="str">
            <v/>
          </cell>
          <cell r="AA8672" t="str">
            <v/>
          </cell>
          <cell r="AB8672" t="str">
            <v/>
          </cell>
          <cell r="AC8672" t="str">
            <v/>
          </cell>
          <cell r="AD8672" t="str">
            <v/>
          </cell>
          <cell r="AY8672" t="str">
            <v/>
          </cell>
          <cell r="AZ8672" t="str">
            <v/>
          </cell>
          <cell r="BA8672" t="str">
            <v/>
          </cell>
        </row>
        <row r="8673">
          <cell r="B8673" t="str">
            <v>-</v>
          </cell>
          <cell r="E8673" t="str">
            <v/>
          </cell>
          <cell r="G8673" t="str">
            <v/>
          </cell>
          <cell r="J8673" t="str">
            <v/>
          </cell>
          <cell r="O8673" t="str">
            <v/>
          </cell>
          <cell r="P8673" t="str">
            <v/>
          </cell>
          <cell r="Q8673" t="str">
            <v/>
          </cell>
          <cell r="S8673" t="str">
            <v/>
          </cell>
          <cell r="V8673" t="str">
            <v/>
          </cell>
          <cell r="Z8673" t="str">
            <v/>
          </cell>
          <cell r="AA8673" t="str">
            <v/>
          </cell>
          <cell r="AB8673" t="str">
            <v/>
          </cell>
          <cell r="AC8673" t="str">
            <v/>
          </cell>
          <cell r="AD8673" t="str">
            <v/>
          </cell>
          <cell r="AY8673" t="str">
            <v/>
          </cell>
          <cell r="AZ8673" t="str">
            <v/>
          </cell>
          <cell r="BA8673" t="str">
            <v/>
          </cell>
        </row>
        <row r="8674">
          <cell r="B8674" t="str">
            <v>-</v>
          </cell>
          <cell r="E8674" t="str">
            <v/>
          </cell>
          <cell r="G8674" t="str">
            <v/>
          </cell>
          <cell r="J8674" t="str">
            <v/>
          </cell>
          <cell r="O8674" t="str">
            <v/>
          </cell>
          <cell r="P8674" t="str">
            <v/>
          </cell>
          <cell r="Q8674" t="str">
            <v/>
          </cell>
          <cell r="S8674" t="str">
            <v/>
          </cell>
          <cell r="V8674" t="str">
            <v/>
          </cell>
          <cell r="Z8674" t="str">
            <v/>
          </cell>
          <cell r="AA8674" t="str">
            <v/>
          </cell>
          <cell r="AB8674" t="str">
            <v/>
          </cell>
          <cell r="AC8674" t="str">
            <v/>
          </cell>
          <cell r="AD8674" t="str">
            <v/>
          </cell>
          <cell r="AY8674" t="str">
            <v/>
          </cell>
          <cell r="AZ8674" t="str">
            <v/>
          </cell>
          <cell r="BA8674" t="str">
            <v/>
          </cell>
        </row>
        <row r="8675">
          <cell r="B8675" t="str">
            <v>-</v>
          </cell>
          <cell r="E8675" t="str">
            <v/>
          </cell>
          <cell r="G8675" t="str">
            <v/>
          </cell>
          <cell r="J8675" t="str">
            <v/>
          </cell>
          <cell r="O8675" t="str">
            <v/>
          </cell>
          <cell r="P8675" t="str">
            <v/>
          </cell>
          <cell r="Q8675" t="str">
            <v/>
          </cell>
          <cell r="S8675" t="str">
            <v/>
          </cell>
          <cell r="V8675" t="str">
            <v/>
          </cell>
          <cell r="Z8675" t="str">
            <v/>
          </cell>
          <cell r="AA8675" t="str">
            <v/>
          </cell>
          <cell r="AB8675" t="str">
            <v/>
          </cell>
          <cell r="AC8675" t="str">
            <v/>
          </cell>
          <cell r="AD8675" t="str">
            <v/>
          </cell>
          <cell r="AY8675" t="str">
            <v/>
          </cell>
          <cell r="AZ8675" t="str">
            <v/>
          </cell>
          <cell r="BA8675" t="str">
            <v/>
          </cell>
        </row>
        <row r="8676">
          <cell r="B8676" t="str">
            <v>-</v>
          </cell>
          <cell r="E8676" t="str">
            <v/>
          </cell>
          <cell r="G8676" t="str">
            <v/>
          </cell>
          <cell r="J8676" t="str">
            <v/>
          </cell>
          <cell r="O8676" t="str">
            <v/>
          </cell>
          <cell r="P8676" t="str">
            <v/>
          </cell>
          <cell r="Q8676" t="str">
            <v/>
          </cell>
          <cell r="S8676" t="str">
            <v/>
          </cell>
          <cell r="V8676" t="str">
            <v/>
          </cell>
          <cell r="Z8676" t="str">
            <v/>
          </cell>
          <cell r="AA8676" t="str">
            <v/>
          </cell>
          <cell r="AB8676" t="str">
            <v/>
          </cell>
          <cell r="AC8676" t="str">
            <v/>
          </cell>
          <cell r="AD8676" t="str">
            <v/>
          </cell>
          <cell r="AY8676" t="str">
            <v/>
          </cell>
          <cell r="AZ8676" t="str">
            <v/>
          </cell>
          <cell r="BA8676" t="str">
            <v/>
          </cell>
        </row>
        <row r="8677">
          <cell r="B8677" t="str">
            <v>-</v>
          </cell>
          <cell r="E8677" t="str">
            <v/>
          </cell>
          <cell r="G8677" t="str">
            <v/>
          </cell>
          <cell r="J8677" t="str">
            <v/>
          </cell>
          <cell r="O8677" t="str">
            <v/>
          </cell>
          <cell r="P8677" t="str">
            <v/>
          </cell>
          <cell r="Q8677" t="str">
            <v/>
          </cell>
          <cell r="S8677" t="str">
            <v/>
          </cell>
          <cell r="V8677" t="str">
            <v/>
          </cell>
          <cell r="Z8677" t="str">
            <v/>
          </cell>
          <cell r="AA8677" t="str">
            <v/>
          </cell>
          <cell r="AB8677" t="str">
            <v/>
          </cell>
          <cell r="AC8677" t="str">
            <v/>
          </cell>
          <cell r="AD8677" t="str">
            <v/>
          </cell>
          <cell r="AY8677" t="str">
            <v/>
          </cell>
          <cell r="AZ8677" t="str">
            <v/>
          </cell>
          <cell r="BA8677" t="str">
            <v/>
          </cell>
        </row>
        <row r="8678">
          <cell r="B8678" t="str">
            <v>-</v>
          </cell>
          <cell r="E8678" t="str">
            <v/>
          </cell>
          <cell r="G8678" t="str">
            <v/>
          </cell>
          <cell r="J8678" t="str">
            <v/>
          </cell>
          <cell r="O8678" t="str">
            <v/>
          </cell>
          <cell r="P8678" t="str">
            <v/>
          </cell>
          <cell r="Q8678" t="str">
            <v/>
          </cell>
          <cell r="S8678" t="str">
            <v/>
          </cell>
          <cell r="V8678" t="str">
            <v/>
          </cell>
          <cell r="Z8678" t="str">
            <v/>
          </cell>
          <cell r="AA8678" t="str">
            <v/>
          </cell>
          <cell r="AB8678" t="str">
            <v/>
          </cell>
          <cell r="AC8678" t="str">
            <v/>
          </cell>
          <cell r="AD8678" t="str">
            <v/>
          </cell>
          <cell r="AY8678" t="str">
            <v/>
          </cell>
          <cell r="AZ8678" t="str">
            <v/>
          </cell>
          <cell r="BA8678" t="str">
            <v/>
          </cell>
        </row>
        <row r="8679">
          <cell r="B8679" t="str">
            <v>-</v>
          </cell>
          <cell r="E8679" t="str">
            <v/>
          </cell>
          <cell r="G8679" t="str">
            <v/>
          </cell>
          <cell r="J8679" t="str">
            <v/>
          </cell>
          <cell r="O8679" t="str">
            <v/>
          </cell>
          <cell r="P8679" t="str">
            <v/>
          </cell>
          <cell r="Q8679" t="str">
            <v/>
          </cell>
          <cell r="S8679" t="str">
            <v/>
          </cell>
          <cell r="V8679" t="str">
            <v/>
          </cell>
          <cell r="Z8679" t="str">
            <v/>
          </cell>
          <cell r="AA8679" t="str">
            <v/>
          </cell>
          <cell r="AB8679" t="str">
            <v/>
          </cell>
          <cell r="AC8679" t="str">
            <v/>
          </cell>
          <cell r="AD8679" t="str">
            <v/>
          </cell>
          <cell r="AY8679" t="str">
            <v/>
          </cell>
          <cell r="AZ8679" t="str">
            <v/>
          </cell>
          <cell r="BA8679" t="str">
            <v/>
          </cell>
        </row>
        <row r="8680">
          <cell r="B8680" t="str">
            <v>-</v>
          </cell>
          <cell r="E8680" t="str">
            <v/>
          </cell>
          <cell r="G8680" t="str">
            <v/>
          </cell>
          <cell r="J8680" t="str">
            <v/>
          </cell>
          <cell r="O8680" t="str">
            <v/>
          </cell>
          <cell r="P8680" t="str">
            <v/>
          </cell>
          <cell r="Q8680" t="str">
            <v/>
          </cell>
          <cell r="S8680" t="str">
            <v/>
          </cell>
          <cell r="V8680" t="str">
            <v/>
          </cell>
          <cell r="Z8680" t="str">
            <v/>
          </cell>
          <cell r="AA8680" t="str">
            <v/>
          </cell>
          <cell r="AB8680" t="str">
            <v/>
          </cell>
          <cell r="AC8680" t="str">
            <v/>
          </cell>
          <cell r="AD8680" t="str">
            <v/>
          </cell>
          <cell r="AY8680" t="str">
            <v/>
          </cell>
          <cell r="AZ8680" t="str">
            <v/>
          </cell>
          <cell r="BA8680" t="str">
            <v/>
          </cell>
        </row>
        <row r="8681">
          <cell r="B8681" t="str">
            <v>-</v>
          </cell>
          <cell r="E8681" t="str">
            <v/>
          </cell>
          <cell r="G8681" t="str">
            <v/>
          </cell>
          <cell r="J8681" t="str">
            <v/>
          </cell>
          <cell r="O8681" t="str">
            <v/>
          </cell>
          <cell r="P8681" t="str">
            <v/>
          </cell>
          <cell r="Q8681" t="str">
            <v/>
          </cell>
          <cell r="S8681" t="str">
            <v/>
          </cell>
          <cell r="V8681" t="str">
            <v/>
          </cell>
          <cell r="Z8681" t="str">
            <v/>
          </cell>
          <cell r="AA8681" t="str">
            <v/>
          </cell>
          <cell r="AB8681" t="str">
            <v/>
          </cell>
          <cell r="AC8681" t="str">
            <v/>
          </cell>
          <cell r="AD8681" t="str">
            <v/>
          </cell>
          <cell r="AY8681" t="str">
            <v/>
          </cell>
          <cell r="AZ8681" t="str">
            <v/>
          </cell>
          <cell r="BA8681" t="str">
            <v/>
          </cell>
        </row>
        <row r="8682">
          <cell r="B8682" t="str">
            <v>-</v>
          </cell>
          <cell r="E8682" t="str">
            <v/>
          </cell>
          <cell r="G8682" t="str">
            <v/>
          </cell>
          <cell r="J8682" t="str">
            <v/>
          </cell>
          <cell r="O8682" t="str">
            <v/>
          </cell>
          <cell r="P8682" t="str">
            <v/>
          </cell>
          <cell r="Q8682" t="str">
            <v/>
          </cell>
          <cell r="S8682" t="str">
            <v/>
          </cell>
          <cell r="V8682" t="str">
            <v/>
          </cell>
          <cell r="Z8682" t="str">
            <v/>
          </cell>
          <cell r="AA8682" t="str">
            <v/>
          </cell>
          <cell r="AB8682" t="str">
            <v/>
          </cell>
          <cell r="AC8682" t="str">
            <v/>
          </cell>
          <cell r="AD8682" t="str">
            <v/>
          </cell>
          <cell r="AY8682" t="str">
            <v/>
          </cell>
          <cell r="AZ8682" t="str">
            <v/>
          </cell>
          <cell r="BA8682" t="str">
            <v/>
          </cell>
        </row>
        <row r="8683">
          <cell r="B8683" t="str">
            <v>-</v>
          </cell>
          <cell r="E8683" t="str">
            <v/>
          </cell>
          <cell r="G8683" t="str">
            <v/>
          </cell>
          <cell r="J8683" t="str">
            <v/>
          </cell>
          <cell r="O8683" t="str">
            <v/>
          </cell>
          <cell r="P8683" t="str">
            <v/>
          </cell>
          <cell r="Q8683" t="str">
            <v/>
          </cell>
          <cell r="S8683" t="str">
            <v/>
          </cell>
          <cell r="V8683" t="str">
            <v/>
          </cell>
          <cell r="Z8683" t="str">
            <v/>
          </cell>
          <cell r="AA8683" t="str">
            <v/>
          </cell>
          <cell r="AB8683" t="str">
            <v/>
          </cell>
          <cell r="AC8683" t="str">
            <v/>
          </cell>
          <cell r="AD8683" t="str">
            <v/>
          </cell>
          <cell r="AY8683" t="str">
            <v/>
          </cell>
          <cell r="AZ8683" t="str">
            <v/>
          </cell>
          <cell r="BA8683" t="str">
            <v/>
          </cell>
        </row>
        <row r="8684">
          <cell r="B8684" t="str">
            <v>-</v>
          </cell>
          <cell r="E8684" t="str">
            <v/>
          </cell>
          <cell r="G8684" t="str">
            <v/>
          </cell>
          <cell r="J8684" t="str">
            <v/>
          </cell>
          <cell r="O8684" t="str">
            <v/>
          </cell>
          <cell r="P8684" t="str">
            <v/>
          </cell>
          <cell r="Q8684" t="str">
            <v/>
          </cell>
          <cell r="S8684" t="str">
            <v/>
          </cell>
          <cell r="V8684" t="str">
            <v/>
          </cell>
          <cell r="Z8684" t="str">
            <v/>
          </cell>
          <cell r="AA8684" t="str">
            <v/>
          </cell>
          <cell r="AB8684" t="str">
            <v/>
          </cell>
          <cell r="AC8684" t="str">
            <v/>
          </cell>
          <cell r="AD8684" t="str">
            <v/>
          </cell>
          <cell r="AY8684" t="str">
            <v/>
          </cell>
          <cell r="AZ8684" t="str">
            <v/>
          </cell>
          <cell r="BA8684" t="str">
            <v/>
          </cell>
        </row>
        <row r="8685">
          <cell r="B8685" t="str">
            <v>-</v>
          </cell>
          <cell r="E8685" t="str">
            <v/>
          </cell>
          <cell r="G8685" t="str">
            <v/>
          </cell>
          <cell r="J8685" t="str">
            <v/>
          </cell>
          <cell r="O8685" t="str">
            <v/>
          </cell>
          <cell r="P8685" t="str">
            <v/>
          </cell>
          <cell r="Q8685" t="str">
            <v/>
          </cell>
          <cell r="S8685" t="str">
            <v/>
          </cell>
          <cell r="V8685" t="str">
            <v/>
          </cell>
          <cell r="Z8685" t="str">
            <v/>
          </cell>
          <cell r="AA8685" t="str">
            <v/>
          </cell>
          <cell r="AB8685" t="str">
            <v/>
          </cell>
          <cell r="AC8685" t="str">
            <v/>
          </cell>
          <cell r="AD8685" t="str">
            <v/>
          </cell>
          <cell r="AY8685" t="str">
            <v/>
          </cell>
          <cell r="AZ8685" t="str">
            <v/>
          </cell>
          <cell r="BA8685" t="str">
            <v/>
          </cell>
        </row>
        <row r="8686">
          <cell r="B8686" t="str">
            <v>-</v>
          </cell>
          <cell r="E8686" t="str">
            <v/>
          </cell>
          <cell r="G8686" t="str">
            <v/>
          </cell>
          <cell r="J8686" t="str">
            <v/>
          </cell>
          <cell r="O8686" t="str">
            <v/>
          </cell>
          <cell r="P8686" t="str">
            <v/>
          </cell>
          <cell r="Q8686" t="str">
            <v/>
          </cell>
          <cell r="S8686" t="str">
            <v/>
          </cell>
          <cell r="V8686" t="str">
            <v/>
          </cell>
          <cell r="Z8686" t="str">
            <v/>
          </cell>
          <cell r="AA8686" t="str">
            <v/>
          </cell>
          <cell r="AB8686" t="str">
            <v/>
          </cell>
          <cell r="AC8686" t="str">
            <v/>
          </cell>
          <cell r="AD8686" t="str">
            <v/>
          </cell>
          <cell r="AY8686" t="str">
            <v/>
          </cell>
          <cell r="AZ8686" t="str">
            <v/>
          </cell>
          <cell r="BA8686" t="str">
            <v/>
          </cell>
        </row>
        <row r="8687">
          <cell r="B8687" t="str">
            <v>-</v>
          </cell>
          <cell r="E8687" t="str">
            <v/>
          </cell>
          <cell r="G8687" t="str">
            <v/>
          </cell>
          <cell r="J8687" t="str">
            <v/>
          </cell>
          <cell r="O8687" t="str">
            <v/>
          </cell>
          <cell r="P8687" t="str">
            <v/>
          </cell>
          <cell r="Q8687" t="str">
            <v/>
          </cell>
          <cell r="S8687" t="str">
            <v/>
          </cell>
          <cell r="V8687" t="str">
            <v/>
          </cell>
          <cell r="Z8687" t="str">
            <v/>
          </cell>
          <cell r="AA8687" t="str">
            <v/>
          </cell>
          <cell r="AB8687" t="str">
            <v/>
          </cell>
          <cell r="AC8687" t="str">
            <v/>
          </cell>
          <cell r="AD8687" t="str">
            <v/>
          </cell>
          <cell r="AY8687" t="str">
            <v/>
          </cell>
          <cell r="AZ8687" t="str">
            <v/>
          </cell>
          <cell r="BA8687" t="str">
            <v/>
          </cell>
        </row>
        <row r="8688">
          <cell r="B8688" t="str">
            <v>-</v>
          </cell>
          <cell r="E8688" t="str">
            <v/>
          </cell>
          <cell r="G8688" t="str">
            <v/>
          </cell>
          <cell r="J8688" t="str">
            <v/>
          </cell>
          <cell r="O8688" t="str">
            <v/>
          </cell>
          <cell r="P8688" t="str">
            <v/>
          </cell>
          <cell r="Q8688" t="str">
            <v/>
          </cell>
          <cell r="S8688" t="str">
            <v/>
          </cell>
          <cell r="V8688" t="str">
            <v/>
          </cell>
          <cell r="Z8688" t="str">
            <v/>
          </cell>
          <cell r="AA8688" t="str">
            <v/>
          </cell>
          <cell r="AB8688" t="str">
            <v/>
          </cell>
          <cell r="AC8688" t="str">
            <v/>
          </cell>
          <cell r="AD8688" t="str">
            <v/>
          </cell>
          <cell r="AY8688" t="str">
            <v/>
          </cell>
          <cell r="AZ8688" t="str">
            <v/>
          </cell>
          <cell r="BA8688" t="str">
            <v/>
          </cell>
        </row>
        <row r="8689">
          <cell r="B8689" t="str">
            <v>-</v>
          </cell>
          <cell r="E8689" t="str">
            <v/>
          </cell>
          <cell r="G8689" t="str">
            <v/>
          </cell>
          <cell r="J8689" t="str">
            <v/>
          </cell>
          <cell r="O8689" t="str">
            <v/>
          </cell>
          <cell r="P8689" t="str">
            <v/>
          </cell>
          <cell r="Q8689" t="str">
            <v/>
          </cell>
          <cell r="S8689" t="str">
            <v/>
          </cell>
          <cell r="V8689" t="str">
            <v/>
          </cell>
          <cell r="Z8689" t="str">
            <v/>
          </cell>
          <cell r="AA8689" t="str">
            <v/>
          </cell>
          <cell r="AB8689" t="str">
            <v/>
          </cell>
          <cell r="AC8689" t="str">
            <v/>
          </cell>
          <cell r="AD8689" t="str">
            <v/>
          </cell>
          <cell r="AY8689" t="str">
            <v/>
          </cell>
          <cell r="AZ8689" t="str">
            <v/>
          </cell>
          <cell r="BA8689" t="str">
            <v/>
          </cell>
        </row>
        <row r="8690">
          <cell r="B8690" t="str">
            <v>-</v>
          </cell>
          <cell r="E8690" t="str">
            <v/>
          </cell>
          <cell r="G8690" t="str">
            <v/>
          </cell>
          <cell r="J8690" t="str">
            <v/>
          </cell>
          <cell r="O8690" t="str">
            <v/>
          </cell>
          <cell r="P8690" t="str">
            <v/>
          </cell>
          <cell r="Q8690" t="str">
            <v/>
          </cell>
          <cell r="S8690" t="str">
            <v/>
          </cell>
          <cell r="V8690" t="str">
            <v/>
          </cell>
          <cell r="Z8690" t="str">
            <v/>
          </cell>
          <cell r="AA8690" t="str">
            <v/>
          </cell>
          <cell r="AB8690" t="str">
            <v/>
          </cell>
          <cell r="AC8690" t="str">
            <v/>
          </cell>
          <cell r="AD8690" t="str">
            <v/>
          </cell>
          <cell r="AY8690" t="str">
            <v/>
          </cell>
          <cell r="AZ8690" t="str">
            <v/>
          </cell>
          <cell r="BA8690" t="str">
            <v/>
          </cell>
        </row>
        <row r="8691">
          <cell r="B8691" t="str">
            <v>-</v>
          </cell>
          <cell r="E8691" t="str">
            <v/>
          </cell>
          <cell r="G8691" t="str">
            <v/>
          </cell>
          <cell r="J8691" t="str">
            <v/>
          </cell>
          <cell r="O8691" t="str">
            <v/>
          </cell>
          <cell r="P8691" t="str">
            <v/>
          </cell>
          <cell r="Q8691" t="str">
            <v/>
          </cell>
          <cell r="S8691" t="str">
            <v/>
          </cell>
          <cell r="V8691" t="str">
            <v/>
          </cell>
          <cell r="Z8691" t="str">
            <v/>
          </cell>
          <cell r="AA8691" t="str">
            <v/>
          </cell>
          <cell r="AB8691" t="str">
            <v/>
          </cell>
          <cell r="AC8691" t="str">
            <v/>
          </cell>
          <cell r="AD8691" t="str">
            <v/>
          </cell>
          <cell r="AY8691" t="str">
            <v/>
          </cell>
          <cell r="AZ8691" t="str">
            <v/>
          </cell>
          <cell r="BA8691" t="str">
            <v/>
          </cell>
        </row>
        <row r="8692">
          <cell r="B8692" t="str">
            <v>-</v>
          </cell>
          <cell r="E8692" t="str">
            <v/>
          </cell>
          <cell r="G8692" t="str">
            <v/>
          </cell>
          <cell r="J8692" t="str">
            <v/>
          </cell>
          <cell r="O8692" t="str">
            <v/>
          </cell>
          <cell r="P8692" t="str">
            <v/>
          </cell>
          <cell r="Q8692" t="str">
            <v/>
          </cell>
          <cell r="S8692" t="str">
            <v/>
          </cell>
          <cell r="V8692" t="str">
            <v/>
          </cell>
          <cell r="Z8692" t="str">
            <v/>
          </cell>
          <cell r="AA8692" t="str">
            <v/>
          </cell>
          <cell r="AB8692" t="str">
            <v/>
          </cell>
          <cell r="AC8692" t="str">
            <v/>
          </cell>
          <cell r="AD8692" t="str">
            <v/>
          </cell>
          <cell r="AY8692" t="str">
            <v/>
          </cell>
          <cell r="AZ8692" t="str">
            <v/>
          </cell>
          <cell r="BA8692" t="str">
            <v/>
          </cell>
        </row>
        <row r="8693">
          <cell r="B8693" t="str">
            <v>-</v>
          </cell>
          <cell r="E8693" t="str">
            <v/>
          </cell>
          <cell r="G8693" t="str">
            <v/>
          </cell>
          <cell r="J8693" t="str">
            <v/>
          </cell>
          <cell r="O8693" t="str">
            <v/>
          </cell>
          <cell r="P8693" t="str">
            <v/>
          </cell>
          <cell r="Q8693" t="str">
            <v/>
          </cell>
          <cell r="S8693" t="str">
            <v/>
          </cell>
          <cell r="V8693" t="str">
            <v/>
          </cell>
          <cell r="Z8693" t="str">
            <v/>
          </cell>
          <cell r="AA8693" t="str">
            <v/>
          </cell>
          <cell r="AB8693" t="str">
            <v/>
          </cell>
          <cell r="AC8693" t="str">
            <v/>
          </cell>
          <cell r="AD8693" t="str">
            <v/>
          </cell>
          <cell r="AY8693" t="str">
            <v/>
          </cell>
          <cell r="AZ8693" t="str">
            <v/>
          </cell>
          <cell r="BA8693" t="str">
            <v/>
          </cell>
        </row>
        <row r="8694">
          <cell r="B8694" t="str">
            <v>-</v>
          </cell>
          <cell r="E8694" t="str">
            <v/>
          </cell>
          <cell r="G8694" t="str">
            <v/>
          </cell>
          <cell r="J8694" t="str">
            <v/>
          </cell>
          <cell r="O8694" t="str">
            <v/>
          </cell>
          <cell r="P8694" t="str">
            <v/>
          </cell>
          <cell r="Q8694" t="str">
            <v/>
          </cell>
          <cell r="S8694" t="str">
            <v/>
          </cell>
          <cell r="V8694" t="str">
            <v/>
          </cell>
          <cell r="Z8694" t="str">
            <v/>
          </cell>
          <cell r="AA8694" t="str">
            <v/>
          </cell>
          <cell r="AB8694" t="str">
            <v/>
          </cell>
          <cell r="AC8694" t="str">
            <v/>
          </cell>
          <cell r="AD8694" t="str">
            <v/>
          </cell>
          <cell r="AY8694" t="str">
            <v/>
          </cell>
          <cell r="AZ8694" t="str">
            <v/>
          </cell>
          <cell r="BA8694" t="str">
            <v/>
          </cell>
        </row>
        <row r="8695">
          <cell r="B8695" t="str">
            <v>-</v>
          </cell>
          <cell r="E8695" t="str">
            <v/>
          </cell>
          <cell r="G8695" t="str">
            <v/>
          </cell>
          <cell r="J8695" t="str">
            <v/>
          </cell>
          <cell r="O8695" t="str">
            <v/>
          </cell>
          <cell r="P8695" t="str">
            <v/>
          </cell>
          <cell r="Q8695" t="str">
            <v/>
          </cell>
          <cell r="S8695" t="str">
            <v/>
          </cell>
          <cell r="V8695" t="str">
            <v/>
          </cell>
          <cell r="Z8695" t="str">
            <v/>
          </cell>
          <cell r="AA8695" t="str">
            <v/>
          </cell>
          <cell r="AB8695" t="str">
            <v/>
          </cell>
          <cell r="AC8695" t="str">
            <v/>
          </cell>
          <cell r="AD8695" t="str">
            <v/>
          </cell>
          <cell r="AY8695" t="str">
            <v/>
          </cell>
          <cell r="AZ8695" t="str">
            <v/>
          </cell>
          <cell r="BA8695" t="str">
            <v/>
          </cell>
        </row>
        <row r="8696">
          <cell r="B8696" t="str">
            <v>-</v>
          </cell>
          <cell r="E8696" t="str">
            <v/>
          </cell>
          <cell r="G8696" t="str">
            <v/>
          </cell>
          <cell r="J8696" t="str">
            <v/>
          </cell>
          <cell r="O8696" t="str">
            <v/>
          </cell>
          <cell r="P8696" t="str">
            <v/>
          </cell>
          <cell r="Q8696" t="str">
            <v/>
          </cell>
          <cell r="S8696" t="str">
            <v/>
          </cell>
          <cell r="V8696" t="str">
            <v/>
          </cell>
          <cell r="Z8696" t="str">
            <v/>
          </cell>
          <cell r="AA8696" t="str">
            <v/>
          </cell>
          <cell r="AB8696" t="str">
            <v/>
          </cell>
          <cell r="AC8696" t="str">
            <v/>
          </cell>
          <cell r="AD8696" t="str">
            <v/>
          </cell>
          <cell r="AY8696" t="str">
            <v/>
          </cell>
          <cell r="AZ8696" t="str">
            <v/>
          </cell>
          <cell r="BA8696" t="str">
            <v/>
          </cell>
        </row>
        <row r="8697">
          <cell r="B8697" t="str">
            <v>-</v>
          </cell>
          <cell r="E8697" t="str">
            <v/>
          </cell>
          <cell r="G8697" t="str">
            <v/>
          </cell>
          <cell r="J8697" t="str">
            <v/>
          </cell>
          <cell r="O8697" t="str">
            <v/>
          </cell>
          <cell r="P8697" t="str">
            <v/>
          </cell>
          <cell r="Q8697" t="str">
            <v/>
          </cell>
          <cell r="S8697" t="str">
            <v/>
          </cell>
          <cell r="V8697" t="str">
            <v/>
          </cell>
          <cell r="Z8697" t="str">
            <v/>
          </cell>
          <cell r="AA8697" t="str">
            <v/>
          </cell>
          <cell r="AB8697" t="str">
            <v/>
          </cell>
          <cell r="AC8697" t="str">
            <v/>
          </cell>
          <cell r="AD8697" t="str">
            <v/>
          </cell>
          <cell r="AY8697" t="str">
            <v/>
          </cell>
          <cell r="AZ8697" t="str">
            <v/>
          </cell>
          <cell r="BA8697" t="str">
            <v/>
          </cell>
        </row>
        <row r="8698">
          <cell r="B8698" t="str">
            <v>-</v>
          </cell>
          <cell r="E8698" t="str">
            <v/>
          </cell>
          <cell r="G8698" t="str">
            <v/>
          </cell>
          <cell r="J8698" t="str">
            <v/>
          </cell>
          <cell r="O8698" t="str">
            <v/>
          </cell>
          <cell r="P8698" t="str">
            <v/>
          </cell>
          <cell r="Q8698" t="str">
            <v/>
          </cell>
          <cell r="S8698" t="str">
            <v/>
          </cell>
          <cell r="V8698" t="str">
            <v/>
          </cell>
          <cell r="Z8698" t="str">
            <v/>
          </cell>
          <cell r="AA8698" t="str">
            <v/>
          </cell>
          <cell r="AB8698" t="str">
            <v/>
          </cell>
          <cell r="AC8698" t="str">
            <v/>
          </cell>
          <cell r="AD8698" t="str">
            <v/>
          </cell>
          <cell r="AY8698" t="str">
            <v/>
          </cell>
          <cell r="AZ8698" t="str">
            <v/>
          </cell>
          <cell r="BA8698" t="str">
            <v/>
          </cell>
        </row>
        <row r="8699">
          <cell r="B8699" t="str">
            <v>-</v>
          </cell>
          <cell r="E8699" t="str">
            <v/>
          </cell>
          <cell r="G8699" t="str">
            <v/>
          </cell>
          <cell r="J8699" t="str">
            <v/>
          </cell>
          <cell r="O8699" t="str">
            <v/>
          </cell>
          <cell r="P8699" t="str">
            <v/>
          </cell>
          <cell r="Q8699" t="str">
            <v/>
          </cell>
          <cell r="S8699" t="str">
            <v/>
          </cell>
          <cell r="V8699" t="str">
            <v/>
          </cell>
          <cell r="Z8699" t="str">
            <v/>
          </cell>
          <cell r="AA8699" t="str">
            <v/>
          </cell>
          <cell r="AB8699" t="str">
            <v/>
          </cell>
          <cell r="AC8699" t="str">
            <v/>
          </cell>
          <cell r="AD8699" t="str">
            <v/>
          </cell>
          <cell r="AY8699" t="str">
            <v/>
          </cell>
          <cell r="AZ8699" t="str">
            <v/>
          </cell>
          <cell r="BA8699" t="str">
            <v/>
          </cell>
        </row>
        <row r="8700">
          <cell r="B8700" t="str">
            <v>-</v>
          </cell>
          <cell r="E8700" t="str">
            <v/>
          </cell>
          <cell r="G8700" t="str">
            <v/>
          </cell>
          <cell r="J8700" t="str">
            <v/>
          </cell>
          <cell r="O8700" t="str">
            <v/>
          </cell>
          <cell r="P8700" t="str">
            <v/>
          </cell>
          <cell r="Q8700" t="str">
            <v/>
          </cell>
          <cell r="S8700" t="str">
            <v/>
          </cell>
          <cell r="V8700" t="str">
            <v/>
          </cell>
          <cell r="Z8700" t="str">
            <v/>
          </cell>
          <cell r="AA8700" t="str">
            <v/>
          </cell>
          <cell r="AB8700" t="str">
            <v/>
          </cell>
          <cell r="AC8700" t="str">
            <v/>
          </cell>
          <cell r="AD8700" t="str">
            <v/>
          </cell>
          <cell r="AY8700" t="str">
            <v/>
          </cell>
          <cell r="AZ8700" t="str">
            <v/>
          </cell>
          <cell r="BA8700" t="str">
            <v/>
          </cell>
        </row>
        <row r="8701">
          <cell r="B8701" t="str">
            <v>-</v>
          </cell>
          <cell r="E8701" t="str">
            <v/>
          </cell>
          <cell r="G8701" t="str">
            <v/>
          </cell>
          <cell r="J8701" t="str">
            <v/>
          </cell>
          <cell r="O8701" t="str">
            <v/>
          </cell>
          <cell r="P8701" t="str">
            <v/>
          </cell>
          <cell r="Q8701" t="str">
            <v/>
          </cell>
          <cell r="S8701" t="str">
            <v/>
          </cell>
          <cell r="V8701" t="str">
            <v/>
          </cell>
          <cell r="Z8701" t="str">
            <v/>
          </cell>
          <cell r="AA8701" t="str">
            <v/>
          </cell>
          <cell r="AB8701" t="str">
            <v/>
          </cell>
          <cell r="AC8701" t="str">
            <v/>
          </cell>
          <cell r="AD8701" t="str">
            <v/>
          </cell>
          <cell r="AY8701" t="str">
            <v/>
          </cell>
          <cell r="AZ8701" t="str">
            <v/>
          </cell>
          <cell r="BA8701" t="str">
            <v/>
          </cell>
        </row>
        <row r="8702">
          <cell r="B8702" t="str">
            <v>-</v>
          </cell>
          <cell r="E8702" t="str">
            <v/>
          </cell>
          <cell r="G8702" t="str">
            <v/>
          </cell>
          <cell r="J8702" t="str">
            <v/>
          </cell>
          <cell r="O8702" t="str">
            <v/>
          </cell>
          <cell r="P8702" t="str">
            <v/>
          </cell>
          <cell r="Q8702" t="str">
            <v/>
          </cell>
          <cell r="S8702" t="str">
            <v/>
          </cell>
          <cell r="V8702" t="str">
            <v/>
          </cell>
          <cell r="Z8702" t="str">
            <v/>
          </cell>
          <cell r="AA8702" t="str">
            <v/>
          </cell>
          <cell r="AB8702" t="str">
            <v/>
          </cell>
          <cell r="AC8702" t="str">
            <v/>
          </cell>
          <cell r="AD8702" t="str">
            <v/>
          </cell>
          <cell r="AY8702" t="str">
            <v/>
          </cell>
          <cell r="AZ8702" t="str">
            <v/>
          </cell>
          <cell r="BA8702" t="str">
            <v/>
          </cell>
        </row>
        <row r="8703">
          <cell r="B8703" t="str">
            <v>-</v>
          </cell>
          <cell r="E8703" t="str">
            <v/>
          </cell>
          <cell r="G8703" t="str">
            <v/>
          </cell>
          <cell r="J8703" t="str">
            <v/>
          </cell>
          <cell r="O8703" t="str">
            <v/>
          </cell>
          <cell r="P8703" t="str">
            <v/>
          </cell>
          <cell r="Q8703" t="str">
            <v/>
          </cell>
          <cell r="S8703" t="str">
            <v/>
          </cell>
          <cell r="V8703" t="str">
            <v/>
          </cell>
          <cell r="Z8703" t="str">
            <v/>
          </cell>
          <cell r="AA8703" t="str">
            <v/>
          </cell>
          <cell r="AB8703" t="str">
            <v/>
          </cell>
          <cell r="AC8703" t="str">
            <v/>
          </cell>
          <cell r="AD8703" t="str">
            <v/>
          </cell>
          <cell r="AY8703" t="str">
            <v/>
          </cell>
          <cell r="AZ8703" t="str">
            <v/>
          </cell>
          <cell r="BA8703" t="str">
            <v/>
          </cell>
        </row>
        <row r="8704">
          <cell r="B8704" t="str">
            <v>-</v>
          </cell>
          <cell r="E8704" t="str">
            <v/>
          </cell>
          <cell r="G8704" t="str">
            <v/>
          </cell>
          <cell r="J8704" t="str">
            <v/>
          </cell>
          <cell r="O8704" t="str">
            <v/>
          </cell>
          <cell r="P8704" t="str">
            <v/>
          </cell>
          <cell r="Q8704" t="str">
            <v/>
          </cell>
          <cell r="S8704" t="str">
            <v/>
          </cell>
          <cell r="V8704" t="str">
            <v/>
          </cell>
          <cell r="Z8704" t="str">
            <v/>
          </cell>
          <cell r="AA8704" t="str">
            <v/>
          </cell>
          <cell r="AB8704" t="str">
            <v/>
          </cell>
          <cell r="AC8704" t="str">
            <v/>
          </cell>
          <cell r="AD8704" t="str">
            <v/>
          </cell>
          <cell r="AY8704" t="str">
            <v/>
          </cell>
          <cell r="AZ8704" t="str">
            <v/>
          </cell>
          <cell r="BA8704" t="str">
            <v/>
          </cell>
        </row>
        <row r="8705">
          <cell r="B8705" t="str">
            <v>-</v>
          </cell>
          <cell r="E8705" t="str">
            <v/>
          </cell>
          <cell r="G8705" t="str">
            <v/>
          </cell>
          <cell r="J8705" t="str">
            <v/>
          </cell>
          <cell r="O8705" t="str">
            <v/>
          </cell>
          <cell r="P8705" t="str">
            <v/>
          </cell>
          <cell r="Q8705" t="str">
            <v/>
          </cell>
          <cell r="S8705" t="str">
            <v/>
          </cell>
          <cell r="V8705" t="str">
            <v/>
          </cell>
          <cell r="Z8705" t="str">
            <v/>
          </cell>
          <cell r="AA8705" t="str">
            <v/>
          </cell>
          <cell r="AB8705" t="str">
            <v/>
          </cell>
          <cell r="AC8705" t="str">
            <v/>
          </cell>
          <cell r="AD8705" t="str">
            <v/>
          </cell>
          <cell r="AY8705" t="str">
            <v/>
          </cell>
          <cell r="AZ8705" t="str">
            <v/>
          </cell>
          <cell r="BA8705" t="str">
            <v/>
          </cell>
        </row>
        <row r="8706">
          <cell r="B8706" t="str">
            <v>-</v>
          </cell>
          <cell r="E8706" t="str">
            <v/>
          </cell>
          <cell r="G8706" t="str">
            <v/>
          </cell>
          <cell r="J8706" t="str">
            <v/>
          </cell>
          <cell r="O8706" t="str">
            <v/>
          </cell>
          <cell r="P8706" t="str">
            <v/>
          </cell>
          <cell r="Q8706" t="str">
            <v/>
          </cell>
          <cell r="S8706" t="str">
            <v/>
          </cell>
          <cell r="V8706" t="str">
            <v/>
          </cell>
          <cell r="Z8706" t="str">
            <v/>
          </cell>
          <cell r="AA8706" t="str">
            <v/>
          </cell>
          <cell r="AB8706" t="str">
            <v/>
          </cell>
          <cell r="AC8706" t="str">
            <v/>
          </cell>
          <cell r="AD8706" t="str">
            <v/>
          </cell>
          <cell r="AY8706" t="str">
            <v/>
          </cell>
          <cell r="AZ8706" t="str">
            <v/>
          </cell>
          <cell r="BA8706" t="str">
            <v/>
          </cell>
        </row>
        <row r="8707">
          <cell r="B8707" t="str">
            <v>-</v>
          </cell>
          <cell r="E8707" t="str">
            <v/>
          </cell>
          <cell r="G8707" t="str">
            <v/>
          </cell>
          <cell r="J8707" t="str">
            <v/>
          </cell>
          <cell r="O8707" t="str">
            <v/>
          </cell>
          <cell r="P8707" t="str">
            <v/>
          </cell>
          <cell r="Q8707" t="str">
            <v/>
          </cell>
          <cell r="S8707" t="str">
            <v/>
          </cell>
          <cell r="V8707" t="str">
            <v/>
          </cell>
          <cell r="Z8707" t="str">
            <v/>
          </cell>
          <cell r="AA8707" t="str">
            <v/>
          </cell>
          <cell r="AB8707" t="str">
            <v/>
          </cell>
          <cell r="AC8707" t="str">
            <v/>
          </cell>
          <cell r="AD8707" t="str">
            <v/>
          </cell>
          <cell r="AY8707" t="str">
            <v/>
          </cell>
          <cell r="AZ8707" t="str">
            <v/>
          </cell>
          <cell r="BA8707" t="str">
            <v/>
          </cell>
        </row>
        <row r="8708">
          <cell r="B8708" t="str">
            <v>-</v>
          </cell>
          <cell r="E8708" t="str">
            <v/>
          </cell>
          <cell r="G8708" t="str">
            <v/>
          </cell>
          <cell r="J8708" t="str">
            <v/>
          </cell>
          <cell r="O8708" t="str">
            <v/>
          </cell>
          <cell r="P8708" t="str">
            <v/>
          </cell>
          <cell r="Q8708" t="str">
            <v/>
          </cell>
          <cell r="S8708" t="str">
            <v/>
          </cell>
          <cell r="V8708" t="str">
            <v/>
          </cell>
          <cell r="Z8708" t="str">
            <v/>
          </cell>
          <cell r="AA8708" t="str">
            <v/>
          </cell>
          <cell r="AB8708" t="str">
            <v/>
          </cell>
          <cell r="AC8708" t="str">
            <v/>
          </cell>
          <cell r="AD8708" t="str">
            <v/>
          </cell>
          <cell r="AY8708" t="str">
            <v/>
          </cell>
          <cell r="AZ8708" t="str">
            <v/>
          </cell>
          <cell r="BA8708" t="str">
            <v/>
          </cell>
        </row>
        <row r="8709">
          <cell r="B8709" t="str">
            <v>-</v>
          </cell>
          <cell r="E8709" t="str">
            <v/>
          </cell>
          <cell r="G8709" t="str">
            <v/>
          </cell>
          <cell r="J8709" t="str">
            <v/>
          </cell>
          <cell r="O8709" t="str">
            <v/>
          </cell>
          <cell r="P8709" t="str">
            <v/>
          </cell>
          <cell r="Q8709" t="str">
            <v/>
          </cell>
          <cell r="S8709" t="str">
            <v/>
          </cell>
          <cell r="V8709" t="str">
            <v/>
          </cell>
          <cell r="Z8709" t="str">
            <v/>
          </cell>
          <cell r="AA8709" t="str">
            <v/>
          </cell>
          <cell r="AB8709" t="str">
            <v/>
          </cell>
          <cell r="AC8709" t="str">
            <v/>
          </cell>
          <cell r="AD8709" t="str">
            <v/>
          </cell>
          <cell r="AY8709" t="str">
            <v/>
          </cell>
          <cell r="AZ8709" t="str">
            <v/>
          </cell>
          <cell r="BA8709" t="str">
            <v/>
          </cell>
        </row>
        <row r="8710">
          <cell r="B8710" t="str">
            <v>-</v>
          </cell>
          <cell r="E8710" t="str">
            <v/>
          </cell>
          <cell r="G8710" t="str">
            <v/>
          </cell>
          <cell r="J8710" t="str">
            <v/>
          </cell>
          <cell r="O8710" t="str">
            <v/>
          </cell>
          <cell r="P8710" t="str">
            <v/>
          </cell>
          <cell r="Q8710" t="str">
            <v/>
          </cell>
          <cell r="S8710" t="str">
            <v/>
          </cell>
          <cell r="V8710" t="str">
            <v/>
          </cell>
          <cell r="Z8710" t="str">
            <v/>
          </cell>
          <cell r="AA8710" t="str">
            <v/>
          </cell>
          <cell r="AB8710" t="str">
            <v/>
          </cell>
          <cell r="AC8710" t="str">
            <v/>
          </cell>
          <cell r="AD8710" t="str">
            <v/>
          </cell>
          <cell r="AY8710" t="str">
            <v/>
          </cell>
          <cell r="AZ8710" t="str">
            <v/>
          </cell>
          <cell r="BA8710" t="str">
            <v/>
          </cell>
        </row>
        <row r="8711">
          <cell r="B8711" t="str">
            <v>-</v>
          </cell>
          <cell r="E8711" t="str">
            <v/>
          </cell>
          <cell r="G8711" t="str">
            <v/>
          </cell>
          <cell r="J8711" t="str">
            <v/>
          </cell>
          <cell r="O8711" t="str">
            <v/>
          </cell>
          <cell r="P8711" t="str">
            <v/>
          </cell>
          <cell r="Q8711" t="str">
            <v/>
          </cell>
          <cell r="S8711" t="str">
            <v/>
          </cell>
          <cell r="V8711" t="str">
            <v/>
          </cell>
          <cell r="Z8711" t="str">
            <v/>
          </cell>
          <cell r="AA8711" t="str">
            <v/>
          </cell>
          <cell r="AB8711" t="str">
            <v/>
          </cell>
          <cell r="AC8711" t="str">
            <v/>
          </cell>
          <cell r="AD8711" t="str">
            <v/>
          </cell>
          <cell r="AY8711" t="str">
            <v/>
          </cell>
          <cell r="AZ8711" t="str">
            <v/>
          </cell>
          <cell r="BA8711" t="str">
            <v/>
          </cell>
        </row>
        <row r="8712">
          <cell r="B8712" t="str">
            <v>-</v>
          </cell>
          <cell r="E8712" t="str">
            <v/>
          </cell>
          <cell r="G8712" t="str">
            <v/>
          </cell>
          <cell r="J8712" t="str">
            <v/>
          </cell>
          <cell r="O8712" t="str">
            <v/>
          </cell>
          <cell r="P8712" t="str">
            <v/>
          </cell>
          <cell r="Q8712" t="str">
            <v/>
          </cell>
          <cell r="S8712" t="str">
            <v/>
          </cell>
          <cell r="V8712" t="str">
            <v/>
          </cell>
          <cell r="Z8712" t="str">
            <v/>
          </cell>
          <cell r="AA8712" t="str">
            <v/>
          </cell>
          <cell r="AB8712" t="str">
            <v/>
          </cell>
          <cell r="AC8712" t="str">
            <v/>
          </cell>
          <cell r="AD8712" t="str">
            <v/>
          </cell>
          <cell r="AY8712" t="str">
            <v/>
          </cell>
          <cell r="AZ8712" t="str">
            <v/>
          </cell>
          <cell r="BA8712" t="str">
            <v/>
          </cell>
        </row>
        <row r="8713">
          <cell r="B8713" t="str">
            <v>-</v>
          </cell>
          <cell r="E8713" t="str">
            <v/>
          </cell>
          <cell r="G8713" t="str">
            <v/>
          </cell>
          <cell r="J8713" t="str">
            <v/>
          </cell>
          <cell r="O8713" t="str">
            <v/>
          </cell>
          <cell r="P8713" t="str">
            <v/>
          </cell>
          <cell r="Q8713" t="str">
            <v/>
          </cell>
          <cell r="S8713" t="str">
            <v/>
          </cell>
          <cell r="V8713" t="str">
            <v/>
          </cell>
          <cell r="Z8713" t="str">
            <v/>
          </cell>
          <cell r="AA8713" t="str">
            <v/>
          </cell>
          <cell r="AB8713" t="str">
            <v/>
          </cell>
          <cell r="AC8713" t="str">
            <v/>
          </cell>
          <cell r="AD8713" t="str">
            <v/>
          </cell>
          <cell r="AY8713" t="str">
            <v/>
          </cell>
          <cell r="AZ8713" t="str">
            <v/>
          </cell>
          <cell r="BA8713" t="str">
            <v/>
          </cell>
        </row>
        <row r="8714">
          <cell r="B8714" t="str">
            <v>-</v>
          </cell>
          <cell r="E8714" t="str">
            <v/>
          </cell>
          <cell r="G8714" t="str">
            <v/>
          </cell>
          <cell r="J8714" t="str">
            <v/>
          </cell>
          <cell r="O8714" t="str">
            <v/>
          </cell>
          <cell r="P8714" t="str">
            <v/>
          </cell>
          <cell r="Q8714" t="str">
            <v/>
          </cell>
          <cell r="S8714" t="str">
            <v/>
          </cell>
          <cell r="V8714" t="str">
            <v/>
          </cell>
          <cell r="Z8714" t="str">
            <v/>
          </cell>
          <cell r="AA8714" t="str">
            <v/>
          </cell>
          <cell r="AB8714" t="str">
            <v/>
          </cell>
          <cell r="AC8714" t="str">
            <v/>
          </cell>
          <cell r="AD8714" t="str">
            <v/>
          </cell>
          <cell r="AY8714" t="str">
            <v/>
          </cell>
          <cell r="AZ8714" t="str">
            <v/>
          </cell>
          <cell r="BA8714" t="str">
            <v/>
          </cell>
        </row>
        <row r="8715">
          <cell r="B8715" t="str">
            <v>-</v>
          </cell>
          <cell r="E8715" t="str">
            <v/>
          </cell>
          <cell r="G8715" t="str">
            <v/>
          </cell>
          <cell r="J8715" t="str">
            <v/>
          </cell>
          <cell r="O8715" t="str">
            <v/>
          </cell>
          <cell r="P8715" t="str">
            <v/>
          </cell>
          <cell r="Q8715" t="str">
            <v/>
          </cell>
          <cell r="S8715" t="str">
            <v/>
          </cell>
          <cell r="V8715" t="str">
            <v/>
          </cell>
          <cell r="Z8715" t="str">
            <v/>
          </cell>
          <cell r="AA8715" t="str">
            <v/>
          </cell>
          <cell r="AB8715" t="str">
            <v/>
          </cell>
          <cell r="AC8715" t="str">
            <v/>
          </cell>
          <cell r="AD8715" t="str">
            <v/>
          </cell>
          <cell r="AY8715" t="str">
            <v/>
          </cell>
          <cell r="AZ8715" t="str">
            <v/>
          </cell>
          <cell r="BA8715" t="str">
            <v/>
          </cell>
        </row>
        <row r="8716">
          <cell r="B8716" t="str">
            <v>-</v>
          </cell>
          <cell r="E8716" t="str">
            <v/>
          </cell>
          <cell r="G8716" t="str">
            <v/>
          </cell>
          <cell r="J8716" t="str">
            <v/>
          </cell>
          <cell r="O8716" t="str">
            <v/>
          </cell>
          <cell r="P8716" t="str">
            <v/>
          </cell>
          <cell r="Q8716" t="str">
            <v/>
          </cell>
          <cell r="S8716" t="str">
            <v/>
          </cell>
          <cell r="V8716" t="str">
            <v/>
          </cell>
          <cell r="Z8716" t="str">
            <v/>
          </cell>
          <cell r="AA8716" t="str">
            <v/>
          </cell>
          <cell r="AB8716" t="str">
            <v/>
          </cell>
          <cell r="AC8716" t="str">
            <v/>
          </cell>
          <cell r="AD8716" t="str">
            <v/>
          </cell>
          <cell r="AY8716" t="str">
            <v/>
          </cell>
          <cell r="AZ8716" t="str">
            <v/>
          </cell>
          <cell r="BA8716" t="str">
            <v/>
          </cell>
        </row>
        <row r="8717">
          <cell r="B8717" t="str">
            <v>-</v>
          </cell>
          <cell r="E8717" t="str">
            <v/>
          </cell>
          <cell r="G8717" t="str">
            <v/>
          </cell>
          <cell r="J8717" t="str">
            <v/>
          </cell>
          <cell r="O8717" t="str">
            <v/>
          </cell>
          <cell r="P8717" t="str">
            <v/>
          </cell>
          <cell r="Q8717" t="str">
            <v/>
          </cell>
          <cell r="S8717" t="str">
            <v/>
          </cell>
          <cell r="V8717" t="str">
            <v/>
          </cell>
          <cell r="Z8717" t="str">
            <v/>
          </cell>
          <cell r="AA8717" t="str">
            <v/>
          </cell>
          <cell r="AB8717" t="str">
            <v/>
          </cell>
          <cell r="AC8717" t="str">
            <v/>
          </cell>
          <cell r="AD8717" t="str">
            <v/>
          </cell>
          <cell r="AY8717" t="str">
            <v/>
          </cell>
          <cell r="AZ8717" t="str">
            <v/>
          </cell>
          <cell r="BA8717" t="str">
            <v/>
          </cell>
        </row>
        <row r="8718">
          <cell r="B8718" t="str">
            <v>-</v>
          </cell>
          <cell r="E8718" t="str">
            <v/>
          </cell>
          <cell r="G8718" t="str">
            <v/>
          </cell>
          <cell r="J8718" t="str">
            <v/>
          </cell>
          <cell r="O8718" t="str">
            <v/>
          </cell>
          <cell r="P8718" t="str">
            <v/>
          </cell>
          <cell r="Q8718" t="str">
            <v/>
          </cell>
          <cell r="S8718" t="str">
            <v/>
          </cell>
          <cell r="V8718" t="str">
            <v/>
          </cell>
          <cell r="Z8718" t="str">
            <v/>
          </cell>
          <cell r="AA8718" t="str">
            <v/>
          </cell>
          <cell r="AB8718" t="str">
            <v/>
          </cell>
          <cell r="AC8718" t="str">
            <v/>
          </cell>
          <cell r="AD8718" t="str">
            <v/>
          </cell>
          <cell r="AY8718" t="str">
            <v/>
          </cell>
          <cell r="AZ8718" t="str">
            <v/>
          </cell>
          <cell r="BA8718" t="str">
            <v/>
          </cell>
        </row>
        <row r="8719">
          <cell r="B8719" t="str">
            <v>-</v>
          </cell>
          <cell r="E8719" t="str">
            <v/>
          </cell>
          <cell r="G8719" t="str">
            <v/>
          </cell>
          <cell r="J8719" t="str">
            <v/>
          </cell>
          <cell r="O8719" t="str">
            <v/>
          </cell>
          <cell r="P8719" t="str">
            <v/>
          </cell>
          <cell r="Q8719" t="str">
            <v/>
          </cell>
          <cell r="S8719" t="str">
            <v/>
          </cell>
          <cell r="V8719" t="str">
            <v/>
          </cell>
          <cell r="Z8719" t="str">
            <v/>
          </cell>
          <cell r="AA8719" t="str">
            <v/>
          </cell>
          <cell r="AB8719" t="str">
            <v/>
          </cell>
          <cell r="AC8719" t="str">
            <v/>
          </cell>
          <cell r="AD8719" t="str">
            <v/>
          </cell>
          <cell r="AY8719" t="str">
            <v/>
          </cell>
          <cell r="AZ8719" t="str">
            <v/>
          </cell>
          <cell r="BA8719" t="str">
            <v/>
          </cell>
        </row>
        <row r="8720">
          <cell r="B8720" t="str">
            <v>-</v>
          </cell>
          <cell r="E8720" t="str">
            <v/>
          </cell>
          <cell r="G8720" t="str">
            <v/>
          </cell>
          <cell r="J8720" t="str">
            <v/>
          </cell>
          <cell r="O8720" t="str">
            <v/>
          </cell>
          <cell r="P8720" t="str">
            <v/>
          </cell>
          <cell r="Q8720" t="str">
            <v/>
          </cell>
          <cell r="S8720" t="str">
            <v/>
          </cell>
          <cell r="V8720" t="str">
            <v/>
          </cell>
          <cell r="Z8720" t="str">
            <v/>
          </cell>
          <cell r="AA8720" t="str">
            <v/>
          </cell>
          <cell r="AB8720" t="str">
            <v/>
          </cell>
          <cell r="AC8720" t="str">
            <v/>
          </cell>
          <cell r="AD8720" t="str">
            <v/>
          </cell>
          <cell r="AY8720" t="str">
            <v/>
          </cell>
          <cell r="AZ8720" t="str">
            <v/>
          </cell>
          <cell r="BA8720" t="str">
            <v/>
          </cell>
        </row>
        <row r="8721">
          <cell r="B8721" t="str">
            <v>-</v>
          </cell>
          <cell r="E8721" t="str">
            <v/>
          </cell>
          <cell r="G8721" t="str">
            <v/>
          </cell>
          <cell r="J8721" t="str">
            <v/>
          </cell>
          <cell r="O8721" t="str">
            <v/>
          </cell>
          <cell r="P8721" t="str">
            <v/>
          </cell>
          <cell r="Q8721" t="str">
            <v/>
          </cell>
          <cell r="S8721" t="str">
            <v/>
          </cell>
          <cell r="V8721" t="str">
            <v/>
          </cell>
          <cell r="Z8721" t="str">
            <v/>
          </cell>
          <cell r="AA8721" t="str">
            <v/>
          </cell>
          <cell r="AB8721" t="str">
            <v/>
          </cell>
          <cell r="AC8721" t="str">
            <v/>
          </cell>
          <cell r="AD8721" t="str">
            <v/>
          </cell>
          <cell r="AY8721" t="str">
            <v/>
          </cell>
          <cell r="AZ8721" t="str">
            <v/>
          </cell>
          <cell r="BA8721" t="str">
            <v/>
          </cell>
        </row>
        <row r="8722">
          <cell r="B8722" t="str">
            <v>-</v>
          </cell>
          <cell r="E8722" t="str">
            <v/>
          </cell>
          <cell r="G8722" t="str">
            <v/>
          </cell>
          <cell r="J8722" t="str">
            <v/>
          </cell>
          <cell r="O8722" t="str">
            <v/>
          </cell>
          <cell r="P8722" t="str">
            <v/>
          </cell>
          <cell r="Q8722" t="str">
            <v/>
          </cell>
          <cell r="S8722" t="str">
            <v/>
          </cell>
          <cell r="V8722" t="str">
            <v/>
          </cell>
          <cell r="Z8722" t="str">
            <v/>
          </cell>
          <cell r="AA8722" t="str">
            <v/>
          </cell>
          <cell r="AB8722" t="str">
            <v/>
          </cell>
          <cell r="AC8722" t="str">
            <v/>
          </cell>
          <cell r="AD8722" t="str">
            <v/>
          </cell>
          <cell r="AY8722" t="str">
            <v/>
          </cell>
          <cell r="AZ8722" t="str">
            <v/>
          </cell>
          <cell r="BA8722" t="str">
            <v/>
          </cell>
        </row>
        <row r="8723">
          <cell r="B8723" t="str">
            <v>-</v>
          </cell>
          <cell r="E8723" t="str">
            <v/>
          </cell>
          <cell r="G8723" t="str">
            <v/>
          </cell>
          <cell r="J8723" t="str">
            <v/>
          </cell>
          <cell r="O8723" t="str">
            <v/>
          </cell>
          <cell r="P8723" t="str">
            <v/>
          </cell>
          <cell r="Q8723" t="str">
            <v/>
          </cell>
          <cell r="S8723" t="str">
            <v/>
          </cell>
          <cell r="V8723" t="str">
            <v/>
          </cell>
          <cell r="Z8723" t="str">
            <v/>
          </cell>
          <cell r="AA8723" t="str">
            <v/>
          </cell>
          <cell r="AB8723" t="str">
            <v/>
          </cell>
          <cell r="AC8723" t="str">
            <v/>
          </cell>
          <cell r="AD8723" t="str">
            <v/>
          </cell>
          <cell r="AY8723" t="str">
            <v/>
          </cell>
          <cell r="AZ8723" t="str">
            <v/>
          </cell>
          <cell r="BA8723" t="str">
            <v/>
          </cell>
        </row>
        <row r="8724">
          <cell r="B8724" t="str">
            <v>-</v>
          </cell>
          <cell r="E8724" t="str">
            <v/>
          </cell>
          <cell r="G8724" t="str">
            <v/>
          </cell>
          <cell r="J8724" t="str">
            <v/>
          </cell>
          <cell r="O8724" t="str">
            <v/>
          </cell>
          <cell r="P8724" t="str">
            <v/>
          </cell>
          <cell r="Q8724" t="str">
            <v/>
          </cell>
          <cell r="S8724" t="str">
            <v/>
          </cell>
          <cell r="V8724" t="str">
            <v/>
          </cell>
          <cell r="Z8724" t="str">
            <v/>
          </cell>
          <cell r="AA8724" t="str">
            <v/>
          </cell>
          <cell r="AB8724" t="str">
            <v/>
          </cell>
          <cell r="AC8724" t="str">
            <v/>
          </cell>
          <cell r="AD8724" t="str">
            <v/>
          </cell>
          <cell r="AY8724" t="str">
            <v/>
          </cell>
          <cell r="AZ8724" t="str">
            <v/>
          </cell>
          <cell r="BA8724" t="str">
            <v/>
          </cell>
        </row>
        <row r="8725">
          <cell r="B8725" t="str">
            <v>-</v>
          </cell>
          <cell r="E8725" t="str">
            <v/>
          </cell>
          <cell r="G8725" t="str">
            <v/>
          </cell>
          <cell r="J8725" t="str">
            <v/>
          </cell>
          <cell r="O8725" t="str">
            <v/>
          </cell>
          <cell r="P8725" t="str">
            <v/>
          </cell>
          <cell r="Q8725" t="str">
            <v/>
          </cell>
          <cell r="S8725" t="str">
            <v/>
          </cell>
          <cell r="V8725" t="str">
            <v/>
          </cell>
          <cell r="Z8725" t="str">
            <v/>
          </cell>
          <cell r="AA8725" t="str">
            <v/>
          </cell>
          <cell r="AB8725" t="str">
            <v/>
          </cell>
          <cell r="AC8725" t="str">
            <v/>
          </cell>
          <cell r="AD8725" t="str">
            <v/>
          </cell>
          <cell r="AY8725" t="str">
            <v/>
          </cell>
          <cell r="AZ8725" t="str">
            <v/>
          </cell>
          <cell r="BA8725" t="str">
            <v/>
          </cell>
        </row>
        <row r="8726">
          <cell r="B8726" t="str">
            <v>-</v>
          </cell>
          <cell r="E8726" t="str">
            <v/>
          </cell>
          <cell r="G8726" t="str">
            <v/>
          </cell>
          <cell r="J8726" t="str">
            <v/>
          </cell>
          <cell r="O8726" t="str">
            <v/>
          </cell>
          <cell r="P8726" t="str">
            <v/>
          </cell>
          <cell r="Q8726" t="str">
            <v/>
          </cell>
          <cell r="S8726" t="str">
            <v/>
          </cell>
          <cell r="V8726" t="str">
            <v/>
          </cell>
          <cell r="Z8726" t="str">
            <v/>
          </cell>
          <cell r="AA8726" t="str">
            <v/>
          </cell>
          <cell r="AB8726" t="str">
            <v/>
          </cell>
          <cell r="AC8726" t="str">
            <v/>
          </cell>
          <cell r="AD8726" t="str">
            <v/>
          </cell>
          <cell r="AY8726" t="str">
            <v/>
          </cell>
          <cell r="AZ8726" t="str">
            <v/>
          </cell>
          <cell r="BA8726" t="str">
            <v/>
          </cell>
        </row>
        <row r="8727">
          <cell r="B8727" t="str">
            <v>-</v>
          </cell>
          <cell r="E8727" t="str">
            <v/>
          </cell>
          <cell r="G8727" t="str">
            <v/>
          </cell>
          <cell r="J8727" t="str">
            <v/>
          </cell>
          <cell r="O8727" t="str">
            <v/>
          </cell>
          <cell r="P8727" t="str">
            <v/>
          </cell>
          <cell r="Q8727" t="str">
            <v/>
          </cell>
          <cell r="S8727" t="str">
            <v/>
          </cell>
          <cell r="V8727" t="str">
            <v/>
          </cell>
          <cell r="Z8727" t="str">
            <v/>
          </cell>
          <cell r="AA8727" t="str">
            <v/>
          </cell>
          <cell r="AB8727" t="str">
            <v/>
          </cell>
          <cell r="AC8727" t="str">
            <v/>
          </cell>
          <cell r="AD8727" t="str">
            <v/>
          </cell>
          <cell r="AY8727" t="str">
            <v/>
          </cell>
          <cell r="AZ8727" t="str">
            <v/>
          </cell>
          <cell r="BA8727" t="str">
            <v/>
          </cell>
        </row>
        <row r="8728">
          <cell r="B8728" t="str">
            <v>-</v>
          </cell>
          <cell r="E8728" t="str">
            <v/>
          </cell>
          <cell r="G8728" t="str">
            <v/>
          </cell>
          <cell r="J8728" t="str">
            <v/>
          </cell>
          <cell r="O8728" t="str">
            <v/>
          </cell>
          <cell r="P8728" t="str">
            <v/>
          </cell>
          <cell r="Q8728" t="str">
            <v/>
          </cell>
          <cell r="S8728" t="str">
            <v/>
          </cell>
          <cell r="V8728" t="str">
            <v/>
          </cell>
          <cell r="Z8728" t="str">
            <v/>
          </cell>
          <cell r="AA8728" t="str">
            <v/>
          </cell>
          <cell r="AB8728" t="str">
            <v/>
          </cell>
          <cell r="AC8728" t="str">
            <v/>
          </cell>
          <cell r="AD8728" t="str">
            <v/>
          </cell>
          <cell r="AY8728" t="str">
            <v/>
          </cell>
          <cell r="AZ8728" t="str">
            <v/>
          </cell>
          <cell r="BA8728" t="str">
            <v/>
          </cell>
        </row>
        <row r="8729">
          <cell r="B8729" t="str">
            <v>-</v>
          </cell>
          <cell r="E8729" t="str">
            <v/>
          </cell>
          <cell r="G8729" t="str">
            <v/>
          </cell>
          <cell r="J8729" t="str">
            <v/>
          </cell>
          <cell r="O8729" t="str">
            <v/>
          </cell>
          <cell r="P8729" t="str">
            <v/>
          </cell>
          <cell r="Q8729" t="str">
            <v/>
          </cell>
          <cell r="S8729" t="str">
            <v/>
          </cell>
          <cell r="V8729" t="str">
            <v/>
          </cell>
          <cell r="Z8729" t="str">
            <v/>
          </cell>
          <cell r="AA8729" t="str">
            <v/>
          </cell>
          <cell r="AB8729" t="str">
            <v/>
          </cell>
          <cell r="AC8729" t="str">
            <v/>
          </cell>
          <cell r="AD8729" t="str">
            <v/>
          </cell>
          <cell r="AY8729" t="str">
            <v/>
          </cell>
          <cell r="AZ8729" t="str">
            <v/>
          </cell>
          <cell r="BA8729" t="str">
            <v/>
          </cell>
        </row>
        <row r="8730">
          <cell r="B8730" t="str">
            <v>-</v>
          </cell>
          <cell r="E8730" t="str">
            <v/>
          </cell>
          <cell r="G8730" t="str">
            <v/>
          </cell>
          <cell r="J8730" t="str">
            <v/>
          </cell>
          <cell r="O8730" t="str">
            <v/>
          </cell>
          <cell r="P8730" t="str">
            <v/>
          </cell>
          <cell r="Q8730" t="str">
            <v/>
          </cell>
          <cell r="S8730" t="str">
            <v/>
          </cell>
          <cell r="V8730" t="str">
            <v/>
          </cell>
          <cell r="Z8730" t="str">
            <v/>
          </cell>
          <cell r="AA8730" t="str">
            <v/>
          </cell>
          <cell r="AB8730" t="str">
            <v/>
          </cell>
          <cell r="AC8730" t="str">
            <v/>
          </cell>
          <cell r="AD8730" t="str">
            <v/>
          </cell>
          <cell r="AY8730" t="str">
            <v/>
          </cell>
          <cell r="AZ8730" t="str">
            <v/>
          </cell>
          <cell r="BA8730" t="str">
            <v/>
          </cell>
        </row>
        <row r="8731">
          <cell r="B8731" t="str">
            <v>-</v>
          </cell>
          <cell r="E8731" t="str">
            <v/>
          </cell>
          <cell r="G8731" t="str">
            <v/>
          </cell>
          <cell r="J8731" t="str">
            <v/>
          </cell>
          <cell r="O8731" t="str">
            <v/>
          </cell>
          <cell r="P8731" t="str">
            <v/>
          </cell>
          <cell r="Q8731" t="str">
            <v/>
          </cell>
          <cell r="S8731" t="str">
            <v/>
          </cell>
          <cell r="V8731" t="str">
            <v/>
          </cell>
          <cell r="Z8731" t="str">
            <v/>
          </cell>
          <cell r="AA8731" t="str">
            <v/>
          </cell>
          <cell r="AB8731" t="str">
            <v/>
          </cell>
          <cell r="AC8731" t="str">
            <v/>
          </cell>
          <cell r="AD8731" t="str">
            <v/>
          </cell>
          <cell r="AY8731" t="str">
            <v/>
          </cell>
          <cell r="AZ8731" t="str">
            <v/>
          </cell>
          <cell r="BA8731" t="str">
            <v/>
          </cell>
        </row>
        <row r="8732">
          <cell r="B8732" t="str">
            <v>-</v>
          </cell>
          <cell r="E8732" t="str">
            <v/>
          </cell>
          <cell r="G8732" t="str">
            <v/>
          </cell>
          <cell r="J8732" t="str">
            <v/>
          </cell>
          <cell r="O8732" t="str">
            <v/>
          </cell>
          <cell r="P8732" t="str">
            <v/>
          </cell>
          <cell r="Q8732" t="str">
            <v/>
          </cell>
          <cell r="S8732" t="str">
            <v/>
          </cell>
          <cell r="V8732" t="str">
            <v/>
          </cell>
          <cell r="Z8732" t="str">
            <v/>
          </cell>
          <cell r="AA8732" t="str">
            <v/>
          </cell>
          <cell r="AB8732" t="str">
            <v/>
          </cell>
          <cell r="AC8732" t="str">
            <v/>
          </cell>
          <cell r="AD8732" t="str">
            <v/>
          </cell>
          <cell r="AY8732" t="str">
            <v/>
          </cell>
          <cell r="AZ8732" t="str">
            <v/>
          </cell>
          <cell r="BA8732" t="str">
            <v/>
          </cell>
        </row>
        <row r="8733">
          <cell r="B8733" t="str">
            <v>-</v>
          </cell>
          <cell r="E8733" t="str">
            <v/>
          </cell>
          <cell r="G8733" t="str">
            <v/>
          </cell>
          <cell r="J8733" t="str">
            <v/>
          </cell>
          <cell r="O8733" t="str">
            <v/>
          </cell>
          <cell r="P8733" t="str">
            <v/>
          </cell>
          <cell r="Q8733" t="str">
            <v/>
          </cell>
          <cell r="S8733" t="str">
            <v/>
          </cell>
          <cell r="V8733" t="str">
            <v/>
          </cell>
          <cell r="Z8733" t="str">
            <v/>
          </cell>
          <cell r="AA8733" t="str">
            <v/>
          </cell>
          <cell r="AB8733" t="str">
            <v/>
          </cell>
          <cell r="AC8733" t="str">
            <v/>
          </cell>
          <cell r="AD8733" t="str">
            <v/>
          </cell>
          <cell r="AY8733" t="str">
            <v/>
          </cell>
          <cell r="AZ8733" t="str">
            <v/>
          </cell>
          <cell r="BA8733" t="str">
            <v/>
          </cell>
        </row>
        <row r="8734">
          <cell r="B8734" t="str">
            <v>-</v>
          </cell>
          <cell r="E8734" t="str">
            <v/>
          </cell>
          <cell r="G8734" t="str">
            <v/>
          </cell>
          <cell r="J8734" t="str">
            <v/>
          </cell>
          <cell r="O8734" t="str">
            <v/>
          </cell>
          <cell r="P8734" t="str">
            <v/>
          </cell>
          <cell r="Q8734" t="str">
            <v/>
          </cell>
          <cell r="S8734" t="str">
            <v/>
          </cell>
          <cell r="V8734" t="str">
            <v/>
          </cell>
          <cell r="Z8734" t="str">
            <v/>
          </cell>
          <cell r="AA8734" t="str">
            <v/>
          </cell>
          <cell r="AB8734" t="str">
            <v/>
          </cell>
          <cell r="AC8734" t="str">
            <v/>
          </cell>
          <cell r="AD8734" t="str">
            <v/>
          </cell>
          <cell r="AY8734" t="str">
            <v/>
          </cell>
          <cell r="AZ8734" t="str">
            <v/>
          </cell>
          <cell r="BA8734" t="str">
            <v/>
          </cell>
        </row>
        <row r="8735">
          <cell r="B8735" t="str">
            <v>-</v>
          </cell>
          <cell r="E8735" t="str">
            <v/>
          </cell>
          <cell r="G8735" t="str">
            <v/>
          </cell>
          <cell r="J8735" t="str">
            <v/>
          </cell>
          <cell r="O8735" t="str">
            <v/>
          </cell>
          <cell r="P8735" t="str">
            <v/>
          </cell>
          <cell r="Q8735" t="str">
            <v/>
          </cell>
          <cell r="S8735" t="str">
            <v/>
          </cell>
          <cell r="V8735" t="str">
            <v/>
          </cell>
          <cell r="Z8735" t="str">
            <v/>
          </cell>
          <cell r="AA8735" t="str">
            <v/>
          </cell>
          <cell r="AB8735" t="str">
            <v/>
          </cell>
          <cell r="AC8735" t="str">
            <v/>
          </cell>
          <cell r="AD8735" t="str">
            <v/>
          </cell>
          <cell r="AY8735" t="str">
            <v/>
          </cell>
          <cell r="AZ8735" t="str">
            <v/>
          </cell>
          <cell r="BA8735" t="str">
            <v/>
          </cell>
        </row>
        <row r="8736">
          <cell r="B8736" t="str">
            <v>-</v>
          </cell>
          <cell r="E8736" t="str">
            <v/>
          </cell>
          <cell r="G8736" t="str">
            <v/>
          </cell>
          <cell r="J8736" t="str">
            <v/>
          </cell>
          <cell r="O8736" t="str">
            <v/>
          </cell>
          <cell r="P8736" t="str">
            <v/>
          </cell>
          <cell r="Q8736" t="str">
            <v/>
          </cell>
          <cell r="S8736" t="str">
            <v/>
          </cell>
          <cell r="V8736" t="str">
            <v/>
          </cell>
          <cell r="Z8736" t="str">
            <v/>
          </cell>
          <cell r="AA8736" t="str">
            <v/>
          </cell>
          <cell r="AB8736" t="str">
            <v/>
          </cell>
          <cell r="AC8736" t="str">
            <v/>
          </cell>
          <cell r="AD8736" t="str">
            <v/>
          </cell>
          <cell r="AY8736" t="str">
            <v/>
          </cell>
          <cell r="AZ8736" t="str">
            <v/>
          </cell>
          <cell r="BA8736" t="str">
            <v/>
          </cell>
        </row>
        <row r="8737">
          <cell r="B8737" t="str">
            <v>-</v>
          </cell>
          <cell r="E8737" t="str">
            <v/>
          </cell>
          <cell r="G8737" t="str">
            <v/>
          </cell>
          <cell r="J8737" t="str">
            <v/>
          </cell>
          <cell r="O8737" t="str">
            <v/>
          </cell>
          <cell r="P8737" t="str">
            <v/>
          </cell>
          <cell r="Q8737" t="str">
            <v/>
          </cell>
          <cell r="S8737" t="str">
            <v/>
          </cell>
          <cell r="V8737" t="str">
            <v/>
          </cell>
          <cell r="Z8737" t="str">
            <v/>
          </cell>
          <cell r="AA8737" t="str">
            <v/>
          </cell>
          <cell r="AB8737" t="str">
            <v/>
          </cell>
          <cell r="AC8737" t="str">
            <v/>
          </cell>
          <cell r="AD8737" t="str">
            <v/>
          </cell>
          <cell r="AY8737" t="str">
            <v/>
          </cell>
          <cell r="AZ8737" t="str">
            <v/>
          </cell>
          <cell r="BA8737" t="str">
            <v/>
          </cell>
        </row>
        <row r="8738">
          <cell r="B8738" t="str">
            <v>-</v>
          </cell>
          <cell r="E8738" t="str">
            <v/>
          </cell>
          <cell r="G8738" t="str">
            <v/>
          </cell>
          <cell r="J8738" t="str">
            <v/>
          </cell>
          <cell r="O8738" t="str">
            <v/>
          </cell>
          <cell r="P8738" t="str">
            <v/>
          </cell>
          <cell r="Q8738" t="str">
            <v/>
          </cell>
          <cell r="S8738" t="str">
            <v/>
          </cell>
          <cell r="V8738" t="str">
            <v/>
          </cell>
          <cell r="Z8738" t="str">
            <v/>
          </cell>
          <cell r="AA8738" t="str">
            <v/>
          </cell>
          <cell r="AB8738" t="str">
            <v/>
          </cell>
          <cell r="AC8738" t="str">
            <v/>
          </cell>
          <cell r="AD8738" t="str">
            <v/>
          </cell>
          <cell r="AY8738" t="str">
            <v/>
          </cell>
          <cell r="AZ8738" t="str">
            <v/>
          </cell>
          <cell r="BA8738" t="str">
            <v/>
          </cell>
        </row>
        <row r="8739">
          <cell r="B8739" t="str">
            <v>-</v>
          </cell>
          <cell r="E8739" t="str">
            <v/>
          </cell>
          <cell r="G8739" t="str">
            <v/>
          </cell>
          <cell r="J8739" t="str">
            <v/>
          </cell>
          <cell r="O8739" t="str">
            <v/>
          </cell>
          <cell r="P8739" t="str">
            <v/>
          </cell>
          <cell r="Q8739" t="str">
            <v/>
          </cell>
          <cell r="S8739" t="str">
            <v/>
          </cell>
          <cell r="V8739" t="str">
            <v/>
          </cell>
          <cell r="Z8739" t="str">
            <v/>
          </cell>
          <cell r="AA8739" t="str">
            <v/>
          </cell>
          <cell r="AB8739" t="str">
            <v/>
          </cell>
          <cell r="AC8739" t="str">
            <v/>
          </cell>
          <cell r="AD8739" t="str">
            <v/>
          </cell>
          <cell r="AY8739" t="str">
            <v/>
          </cell>
          <cell r="AZ8739" t="str">
            <v/>
          </cell>
          <cell r="BA8739" t="str">
            <v/>
          </cell>
        </row>
        <row r="8740">
          <cell r="B8740" t="str">
            <v>-</v>
          </cell>
          <cell r="E8740" t="str">
            <v/>
          </cell>
          <cell r="G8740" t="str">
            <v/>
          </cell>
          <cell r="J8740" t="str">
            <v/>
          </cell>
          <cell r="O8740" t="str">
            <v/>
          </cell>
          <cell r="P8740" t="str">
            <v/>
          </cell>
          <cell r="Q8740" t="str">
            <v/>
          </cell>
          <cell r="S8740" t="str">
            <v/>
          </cell>
          <cell r="V8740" t="str">
            <v/>
          </cell>
          <cell r="Z8740" t="str">
            <v/>
          </cell>
          <cell r="AA8740" t="str">
            <v/>
          </cell>
          <cell r="AB8740" t="str">
            <v/>
          </cell>
          <cell r="AC8740" t="str">
            <v/>
          </cell>
          <cell r="AD8740" t="str">
            <v/>
          </cell>
          <cell r="AY8740" t="str">
            <v/>
          </cell>
          <cell r="AZ8740" t="str">
            <v/>
          </cell>
          <cell r="BA8740" t="str">
            <v/>
          </cell>
        </row>
        <row r="8741">
          <cell r="B8741" t="str">
            <v>-</v>
          </cell>
          <cell r="E8741" t="str">
            <v/>
          </cell>
          <cell r="G8741" t="str">
            <v/>
          </cell>
          <cell r="J8741" t="str">
            <v/>
          </cell>
          <cell r="O8741" t="str">
            <v/>
          </cell>
          <cell r="P8741" t="str">
            <v/>
          </cell>
          <cell r="Q8741" t="str">
            <v/>
          </cell>
          <cell r="S8741" t="str">
            <v/>
          </cell>
          <cell r="V8741" t="str">
            <v/>
          </cell>
          <cell r="Z8741" t="str">
            <v/>
          </cell>
          <cell r="AA8741" t="str">
            <v/>
          </cell>
          <cell r="AB8741" t="str">
            <v/>
          </cell>
          <cell r="AC8741" t="str">
            <v/>
          </cell>
          <cell r="AD8741" t="str">
            <v/>
          </cell>
          <cell r="AY8741" t="str">
            <v/>
          </cell>
          <cell r="AZ8741" t="str">
            <v/>
          </cell>
          <cell r="BA8741" t="str">
            <v/>
          </cell>
        </row>
        <row r="8742">
          <cell r="B8742" t="str">
            <v>-</v>
          </cell>
          <cell r="E8742" t="str">
            <v/>
          </cell>
          <cell r="G8742" t="str">
            <v/>
          </cell>
          <cell r="J8742" t="str">
            <v/>
          </cell>
          <cell r="O8742" t="str">
            <v/>
          </cell>
          <cell r="P8742" t="str">
            <v/>
          </cell>
          <cell r="Q8742" t="str">
            <v/>
          </cell>
          <cell r="S8742" t="str">
            <v/>
          </cell>
          <cell r="V8742" t="str">
            <v/>
          </cell>
          <cell r="Z8742" t="str">
            <v/>
          </cell>
          <cell r="AA8742" t="str">
            <v/>
          </cell>
          <cell r="AB8742" t="str">
            <v/>
          </cell>
          <cell r="AC8742" t="str">
            <v/>
          </cell>
          <cell r="AD8742" t="str">
            <v/>
          </cell>
          <cell r="AY8742" t="str">
            <v/>
          </cell>
          <cell r="AZ8742" t="str">
            <v/>
          </cell>
          <cell r="BA8742" t="str">
            <v/>
          </cell>
        </row>
        <row r="8743">
          <cell r="B8743" t="str">
            <v>-</v>
          </cell>
          <cell r="E8743" t="str">
            <v/>
          </cell>
          <cell r="G8743" t="str">
            <v/>
          </cell>
          <cell r="J8743" t="str">
            <v/>
          </cell>
          <cell r="O8743" t="str">
            <v/>
          </cell>
          <cell r="P8743" t="str">
            <v/>
          </cell>
          <cell r="Q8743" t="str">
            <v/>
          </cell>
          <cell r="S8743" t="str">
            <v/>
          </cell>
          <cell r="V8743" t="str">
            <v/>
          </cell>
          <cell r="Z8743" t="str">
            <v/>
          </cell>
          <cell r="AA8743" t="str">
            <v/>
          </cell>
          <cell r="AB8743" t="str">
            <v/>
          </cell>
          <cell r="AC8743" t="str">
            <v/>
          </cell>
          <cell r="AD8743" t="str">
            <v/>
          </cell>
          <cell r="AY8743" t="str">
            <v/>
          </cell>
          <cell r="AZ8743" t="str">
            <v/>
          </cell>
          <cell r="BA8743" t="str">
            <v/>
          </cell>
        </row>
        <row r="8744">
          <cell r="B8744" t="str">
            <v>-</v>
          </cell>
          <cell r="E8744" t="str">
            <v/>
          </cell>
          <cell r="G8744" t="str">
            <v/>
          </cell>
          <cell r="J8744" t="str">
            <v/>
          </cell>
          <cell r="O8744" t="str">
            <v/>
          </cell>
          <cell r="P8744" t="str">
            <v/>
          </cell>
          <cell r="Q8744" t="str">
            <v/>
          </cell>
          <cell r="S8744" t="str">
            <v/>
          </cell>
          <cell r="V8744" t="str">
            <v/>
          </cell>
          <cell r="Z8744" t="str">
            <v/>
          </cell>
          <cell r="AA8744" t="str">
            <v/>
          </cell>
          <cell r="AB8744" t="str">
            <v/>
          </cell>
          <cell r="AC8744" t="str">
            <v/>
          </cell>
          <cell r="AD8744" t="str">
            <v/>
          </cell>
          <cell r="AY8744" t="str">
            <v/>
          </cell>
          <cell r="AZ8744" t="str">
            <v/>
          </cell>
          <cell r="BA8744" t="str">
            <v/>
          </cell>
        </row>
        <row r="8745">
          <cell r="B8745" t="str">
            <v>-</v>
          </cell>
          <cell r="E8745" t="str">
            <v/>
          </cell>
          <cell r="G8745" t="str">
            <v/>
          </cell>
          <cell r="J8745" t="str">
            <v/>
          </cell>
          <cell r="O8745" t="str">
            <v/>
          </cell>
          <cell r="P8745" t="str">
            <v/>
          </cell>
          <cell r="Q8745" t="str">
            <v/>
          </cell>
          <cell r="S8745" t="str">
            <v/>
          </cell>
          <cell r="V8745" t="str">
            <v/>
          </cell>
          <cell r="Z8745" t="str">
            <v/>
          </cell>
          <cell r="AA8745" t="str">
            <v/>
          </cell>
          <cell r="AB8745" t="str">
            <v/>
          </cell>
          <cell r="AC8745" t="str">
            <v/>
          </cell>
          <cell r="AD8745" t="str">
            <v/>
          </cell>
          <cell r="AY8745" t="str">
            <v/>
          </cell>
          <cell r="AZ8745" t="str">
            <v/>
          </cell>
          <cell r="BA8745" t="str">
            <v/>
          </cell>
        </row>
        <row r="8746">
          <cell r="B8746" t="str">
            <v>-</v>
          </cell>
          <cell r="E8746" t="str">
            <v/>
          </cell>
          <cell r="G8746" t="str">
            <v/>
          </cell>
          <cell r="J8746" t="str">
            <v/>
          </cell>
          <cell r="O8746" t="str">
            <v/>
          </cell>
          <cell r="P8746" t="str">
            <v/>
          </cell>
          <cell r="Q8746" t="str">
            <v/>
          </cell>
          <cell r="S8746" t="str">
            <v/>
          </cell>
          <cell r="V8746" t="str">
            <v/>
          </cell>
          <cell r="Z8746" t="str">
            <v/>
          </cell>
          <cell r="AA8746" t="str">
            <v/>
          </cell>
          <cell r="AB8746" t="str">
            <v/>
          </cell>
          <cell r="AC8746" t="str">
            <v/>
          </cell>
          <cell r="AD8746" t="str">
            <v/>
          </cell>
          <cell r="AY8746" t="str">
            <v/>
          </cell>
          <cell r="AZ8746" t="str">
            <v/>
          </cell>
          <cell r="BA8746" t="str">
            <v/>
          </cell>
        </row>
        <row r="8747">
          <cell r="B8747" t="str">
            <v>-</v>
          </cell>
          <cell r="E8747" t="str">
            <v/>
          </cell>
          <cell r="G8747" t="str">
            <v/>
          </cell>
          <cell r="J8747" t="str">
            <v/>
          </cell>
          <cell r="O8747" t="str">
            <v/>
          </cell>
          <cell r="P8747" t="str">
            <v/>
          </cell>
          <cell r="Q8747" t="str">
            <v/>
          </cell>
          <cell r="S8747" t="str">
            <v/>
          </cell>
          <cell r="V8747" t="str">
            <v/>
          </cell>
          <cell r="Z8747" t="str">
            <v/>
          </cell>
          <cell r="AA8747" t="str">
            <v/>
          </cell>
          <cell r="AB8747" t="str">
            <v/>
          </cell>
          <cell r="AC8747" t="str">
            <v/>
          </cell>
          <cell r="AD8747" t="str">
            <v/>
          </cell>
          <cell r="AY8747" t="str">
            <v/>
          </cell>
          <cell r="AZ8747" t="str">
            <v/>
          </cell>
          <cell r="BA8747" t="str">
            <v/>
          </cell>
        </row>
        <row r="8748">
          <cell r="B8748" t="str">
            <v>-</v>
          </cell>
          <cell r="E8748" t="str">
            <v/>
          </cell>
          <cell r="G8748" t="str">
            <v/>
          </cell>
          <cell r="J8748" t="str">
            <v/>
          </cell>
          <cell r="O8748" t="str">
            <v/>
          </cell>
          <cell r="P8748" t="str">
            <v/>
          </cell>
          <cell r="Q8748" t="str">
            <v/>
          </cell>
          <cell r="S8748" t="str">
            <v/>
          </cell>
          <cell r="V8748" t="str">
            <v/>
          </cell>
          <cell r="Z8748" t="str">
            <v/>
          </cell>
          <cell r="AA8748" t="str">
            <v/>
          </cell>
          <cell r="AB8748" t="str">
            <v/>
          </cell>
          <cell r="AC8748" t="str">
            <v/>
          </cell>
          <cell r="AD8748" t="str">
            <v/>
          </cell>
          <cell r="AY8748" t="str">
            <v/>
          </cell>
          <cell r="AZ8748" t="str">
            <v/>
          </cell>
          <cell r="BA8748" t="str">
            <v/>
          </cell>
        </row>
        <row r="8749">
          <cell r="B8749" t="str">
            <v>-</v>
          </cell>
          <cell r="E8749" t="str">
            <v/>
          </cell>
          <cell r="G8749" t="str">
            <v/>
          </cell>
          <cell r="J8749" t="str">
            <v/>
          </cell>
          <cell r="O8749" t="str">
            <v/>
          </cell>
          <cell r="P8749" t="str">
            <v/>
          </cell>
          <cell r="Q8749" t="str">
            <v/>
          </cell>
          <cell r="S8749" t="str">
            <v/>
          </cell>
          <cell r="V8749" t="str">
            <v/>
          </cell>
          <cell r="Z8749" t="str">
            <v/>
          </cell>
          <cell r="AA8749" t="str">
            <v/>
          </cell>
          <cell r="AB8749" t="str">
            <v/>
          </cell>
          <cell r="AC8749" t="str">
            <v/>
          </cell>
          <cell r="AD8749" t="str">
            <v/>
          </cell>
          <cell r="AY8749" t="str">
            <v/>
          </cell>
          <cell r="AZ8749" t="str">
            <v/>
          </cell>
          <cell r="BA8749" t="str">
            <v/>
          </cell>
        </row>
        <row r="8750">
          <cell r="B8750" t="str">
            <v>-</v>
          </cell>
          <cell r="E8750" t="str">
            <v/>
          </cell>
          <cell r="G8750" t="str">
            <v/>
          </cell>
          <cell r="J8750" t="str">
            <v/>
          </cell>
          <cell r="O8750" t="str">
            <v/>
          </cell>
          <cell r="P8750" t="str">
            <v/>
          </cell>
          <cell r="Q8750" t="str">
            <v/>
          </cell>
          <cell r="S8750" t="str">
            <v/>
          </cell>
          <cell r="V8750" t="str">
            <v/>
          </cell>
          <cell r="Z8750" t="str">
            <v/>
          </cell>
          <cell r="AA8750" t="str">
            <v/>
          </cell>
          <cell r="AB8750" t="str">
            <v/>
          </cell>
          <cell r="AC8750" t="str">
            <v/>
          </cell>
          <cell r="AD8750" t="str">
            <v/>
          </cell>
          <cell r="AY8750" t="str">
            <v/>
          </cell>
          <cell r="AZ8750" t="str">
            <v/>
          </cell>
          <cell r="BA8750" t="str">
            <v/>
          </cell>
        </row>
        <row r="8751">
          <cell r="B8751" t="str">
            <v>-</v>
          </cell>
          <cell r="E8751" t="str">
            <v/>
          </cell>
          <cell r="G8751" t="str">
            <v/>
          </cell>
          <cell r="J8751" t="str">
            <v/>
          </cell>
          <cell r="O8751" t="str">
            <v/>
          </cell>
          <cell r="P8751" t="str">
            <v/>
          </cell>
          <cell r="Q8751" t="str">
            <v/>
          </cell>
          <cell r="S8751" t="str">
            <v/>
          </cell>
          <cell r="V8751" t="str">
            <v/>
          </cell>
          <cell r="Z8751" t="str">
            <v/>
          </cell>
          <cell r="AA8751" t="str">
            <v/>
          </cell>
          <cell r="AB8751" t="str">
            <v/>
          </cell>
          <cell r="AC8751" t="str">
            <v/>
          </cell>
          <cell r="AD8751" t="str">
            <v/>
          </cell>
          <cell r="AY8751" t="str">
            <v/>
          </cell>
          <cell r="AZ8751" t="str">
            <v/>
          </cell>
          <cell r="BA8751" t="str">
            <v/>
          </cell>
        </row>
        <row r="8752">
          <cell r="B8752" t="str">
            <v>-</v>
          </cell>
          <cell r="E8752" t="str">
            <v/>
          </cell>
          <cell r="G8752" t="str">
            <v/>
          </cell>
          <cell r="J8752" t="str">
            <v/>
          </cell>
          <cell r="O8752" t="str">
            <v/>
          </cell>
          <cell r="P8752" t="str">
            <v/>
          </cell>
          <cell r="Q8752" t="str">
            <v/>
          </cell>
          <cell r="S8752" t="str">
            <v/>
          </cell>
          <cell r="V8752" t="str">
            <v/>
          </cell>
          <cell r="Z8752" t="str">
            <v/>
          </cell>
          <cell r="AA8752" t="str">
            <v/>
          </cell>
          <cell r="AB8752" t="str">
            <v/>
          </cell>
          <cell r="AC8752" t="str">
            <v/>
          </cell>
          <cell r="AD8752" t="str">
            <v/>
          </cell>
          <cell r="AY8752" t="str">
            <v/>
          </cell>
          <cell r="AZ8752" t="str">
            <v/>
          </cell>
          <cell r="BA8752" t="str">
            <v/>
          </cell>
        </row>
        <row r="8753">
          <cell r="B8753" t="str">
            <v>-</v>
          </cell>
          <cell r="E8753" t="str">
            <v/>
          </cell>
          <cell r="G8753" t="str">
            <v/>
          </cell>
          <cell r="J8753" t="str">
            <v/>
          </cell>
          <cell r="O8753" t="str">
            <v/>
          </cell>
          <cell r="P8753" t="str">
            <v/>
          </cell>
          <cell r="Q8753" t="str">
            <v/>
          </cell>
          <cell r="S8753" t="str">
            <v/>
          </cell>
          <cell r="V8753" t="str">
            <v/>
          </cell>
          <cell r="Z8753" t="str">
            <v/>
          </cell>
          <cell r="AA8753" t="str">
            <v/>
          </cell>
          <cell r="AB8753" t="str">
            <v/>
          </cell>
          <cell r="AC8753" t="str">
            <v/>
          </cell>
          <cell r="AD8753" t="str">
            <v/>
          </cell>
          <cell r="AY8753" t="str">
            <v/>
          </cell>
          <cell r="AZ8753" t="str">
            <v/>
          </cell>
          <cell r="BA8753" t="str">
            <v/>
          </cell>
        </row>
        <row r="8754">
          <cell r="B8754" t="str">
            <v>-</v>
          </cell>
          <cell r="E8754" t="str">
            <v/>
          </cell>
          <cell r="G8754" t="str">
            <v/>
          </cell>
          <cell r="J8754" t="str">
            <v/>
          </cell>
          <cell r="O8754" t="str">
            <v/>
          </cell>
          <cell r="P8754" t="str">
            <v/>
          </cell>
          <cell r="Q8754" t="str">
            <v/>
          </cell>
          <cell r="S8754" t="str">
            <v/>
          </cell>
          <cell r="V8754" t="str">
            <v/>
          </cell>
          <cell r="Z8754" t="str">
            <v/>
          </cell>
          <cell r="AA8754" t="str">
            <v/>
          </cell>
          <cell r="AB8754" t="str">
            <v/>
          </cell>
          <cell r="AC8754" t="str">
            <v/>
          </cell>
          <cell r="AD8754" t="str">
            <v/>
          </cell>
          <cell r="AY8754" t="str">
            <v/>
          </cell>
          <cell r="AZ8754" t="str">
            <v/>
          </cell>
          <cell r="BA8754" t="str">
            <v/>
          </cell>
        </row>
        <row r="8755">
          <cell r="B8755" t="str">
            <v>-</v>
          </cell>
          <cell r="E8755" t="str">
            <v/>
          </cell>
          <cell r="G8755" t="str">
            <v/>
          </cell>
          <cell r="J8755" t="str">
            <v/>
          </cell>
          <cell r="O8755" t="str">
            <v/>
          </cell>
          <cell r="P8755" t="str">
            <v/>
          </cell>
          <cell r="Q8755" t="str">
            <v/>
          </cell>
          <cell r="S8755" t="str">
            <v/>
          </cell>
          <cell r="V8755" t="str">
            <v/>
          </cell>
          <cell r="Z8755" t="str">
            <v/>
          </cell>
          <cell r="AA8755" t="str">
            <v/>
          </cell>
          <cell r="AB8755" t="str">
            <v/>
          </cell>
          <cell r="AC8755" t="str">
            <v/>
          </cell>
          <cell r="AD8755" t="str">
            <v/>
          </cell>
          <cell r="AY8755" t="str">
            <v/>
          </cell>
          <cell r="AZ8755" t="str">
            <v/>
          </cell>
          <cell r="BA8755" t="str">
            <v/>
          </cell>
        </row>
        <row r="8756">
          <cell r="B8756" t="str">
            <v>-</v>
          </cell>
          <cell r="E8756" t="str">
            <v/>
          </cell>
          <cell r="G8756" t="str">
            <v/>
          </cell>
          <cell r="J8756" t="str">
            <v/>
          </cell>
          <cell r="O8756" t="str">
            <v/>
          </cell>
          <cell r="P8756" t="str">
            <v/>
          </cell>
          <cell r="Q8756" t="str">
            <v/>
          </cell>
          <cell r="S8756" t="str">
            <v/>
          </cell>
          <cell r="V8756" t="str">
            <v/>
          </cell>
          <cell r="Z8756" t="str">
            <v/>
          </cell>
          <cell r="AA8756" t="str">
            <v/>
          </cell>
          <cell r="AB8756" t="str">
            <v/>
          </cell>
          <cell r="AC8756" t="str">
            <v/>
          </cell>
          <cell r="AD8756" t="str">
            <v/>
          </cell>
          <cell r="AY8756" t="str">
            <v/>
          </cell>
          <cell r="AZ8756" t="str">
            <v/>
          </cell>
          <cell r="BA8756" t="str">
            <v/>
          </cell>
        </row>
        <row r="8757">
          <cell r="B8757" t="str">
            <v>-</v>
          </cell>
          <cell r="E8757" t="str">
            <v/>
          </cell>
          <cell r="G8757" t="str">
            <v/>
          </cell>
          <cell r="J8757" t="str">
            <v/>
          </cell>
          <cell r="O8757" t="str">
            <v/>
          </cell>
          <cell r="P8757" t="str">
            <v/>
          </cell>
          <cell r="Q8757" t="str">
            <v/>
          </cell>
          <cell r="S8757" t="str">
            <v/>
          </cell>
          <cell r="V8757" t="str">
            <v/>
          </cell>
          <cell r="Z8757" t="str">
            <v/>
          </cell>
          <cell r="AA8757" t="str">
            <v/>
          </cell>
          <cell r="AB8757" t="str">
            <v/>
          </cell>
          <cell r="AC8757" t="str">
            <v/>
          </cell>
          <cell r="AD8757" t="str">
            <v/>
          </cell>
          <cell r="AY8757" t="str">
            <v/>
          </cell>
          <cell r="AZ8757" t="str">
            <v/>
          </cell>
          <cell r="BA8757" t="str">
            <v/>
          </cell>
        </row>
        <row r="8758">
          <cell r="B8758" t="str">
            <v>-</v>
          </cell>
          <cell r="E8758" t="str">
            <v/>
          </cell>
          <cell r="G8758" t="str">
            <v/>
          </cell>
          <cell r="J8758" t="str">
            <v/>
          </cell>
          <cell r="O8758" t="str">
            <v/>
          </cell>
          <cell r="P8758" t="str">
            <v/>
          </cell>
          <cell r="Q8758" t="str">
            <v/>
          </cell>
          <cell r="S8758" t="str">
            <v/>
          </cell>
          <cell r="V8758" t="str">
            <v/>
          </cell>
          <cell r="Z8758" t="str">
            <v/>
          </cell>
          <cell r="AA8758" t="str">
            <v/>
          </cell>
          <cell r="AB8758" t="str">
            <v/>
          </cell>
          <cell r="AC8758" t="str">
            <v/>
          </cell>
          <cell r="AD8758" t="str">
            <v/>
          </cell>
          <cell r="AY8758" t="str">
            <v/>
          </cell>
          <cell r="AZ8758" t="str">
            <v/>
          </cell>
          <cell r="BA8758" t="str">
            <v/>
          </cell>
        </row>
        <row r="8759">
          <cell r="B8759" t="str">
            <v>-</v>
          </cell>
          <cell r="E8759" t="str">
            <v/>
          </cell>
          <cell r="G8759" t="str">
            <v/>
          </cell>
          <cell r="J8759" t="str">
            <v/>
          </cell>
          <cell r="O8759" t="str">
            <v/>
          </cell>
          <cell r="P8759" t="str">
            <v/>
          </cell>
          <cell r="Q8759" t="str">
            <v/>
          </cell>
          <cell r="S8759" t="str">
            <v/>
          </cell>
          <cell r="V8759" t="str">
            <v/>
          </cell>
          <cell r="Z8759" t="str">
            <v/>
          </cell>
          <cell r="AA8759" t="str">
            <v/>
          </cell>
          <cell r="AB8759" t="str">
            <v/>
          </cell>
          <cell r="AC8759" t="str">
            <v/>
          </cell>
          <cell r="AD8759" t="str">
            <v/>
          </cell>
          <cell r="AY8759" t="str">
            <v/>
          </cell>
          <cell r="AZ8759" t="str">
            <v/>
          </cell>
          <cell r="BA8759" t="str">
            <v/>
          </cell>
        </row>
        <row r="8760">
          <cell r="B8760" t="str">
            <v>-</v>
          </cell>
          <cell r="E8760" t="str">
            <v/>
          </cell>
          <cell r="G8760" t="str">
            <v/>
          </cell>
          <cell r="J8760" t="str">
            <v/>
          </cell>
          <cell r="O8760" t="str">
            <v/>
          </cell>
          <cell r="P8760" t="str">
            <v/>
          </cell>
          <cell r="Q8760" t="str">
            <v/>
          </cell>
          <cell r="S8760" t="str">
            <v/>
          </cell>
          <cell r="V8760" t="str">
            <v/>
          </cell>
          <cell r="Z8760" t="str">
            <v/>
          </cell>
          <cell r="AA8760" t="str">
            <v/>
          </cell>
          <cell r="AB8760" t="str">
            <v/>
          </cell>
          <cell r="AC8760" t="str">
            <v/>
          </cell>
          <cell r="AD8760" t="str">
            <v/>
          </cell>
          <cell r="AY8760" t="str">
            <v/>
          </cell>
          <cell r="AZ8760" t="str">
            <v/>
          </cell>
          <cell r="BA8760" t="str">
            <v/>
          </cell>
        </row>
        <row r="8761">
          <cell r="B8761" t="str">
            <v>-</v>
          </cell>
          <cell r="E8761" t="str">
            <v/>
          </cell>
          <cell r="G8761" t="str">
            <v/>
          </cell>
          <cell r="J8761" t="str">
            <v/>
          </cell>
          <cell r="O8761" t="str">
            <v/>
          </cell>
          <cell r="P8761" t="str">
            <v/>
          </cell>
          <cell r="Q8761" t="str">
            <v/>
          </cell>
          <cell r="S8761" t="str">
            <v/>
          </cell>
          <cell r="V8761" t="str">
            <v/>
          </cell>
          <cell r="Z8761" t="str">
            <v/>
          </cell>
          <cell r="AA8761" t="str">
            <v/>
          </cell>
          <cell r="AB8761" t="str">
            <v/>
          </cell>
          <cell r="AC8761" t="str">
            <v/>
          </cell>
          <cell r="AD8761" t="str">
            <v/>
          </cell>
          <cell r="AY8761" t="str">
            <v/>
          </cell>
          <cell r="AZ8761" t="str">
            <v/>
          </cell>
          <cell r="BA8761" t="str">
            <v/>
          </cell>
        </row>
        <row r="8762">
          <cell r="B8762" t="str">
            <v>-</v>
          </cell>
          <cell r="E8762" t="str">
            <v/>
          </cell>
          <cell r="G8762" t="str">
            <v/>
          </cell>
          <cell r="J8762" t="str">
            <v/>
          </cell>
          <cell r="O8762" t="str">
            <v/>
          </cell>
          <cell r="P8762" t="str">
            <v/>
          </cell>
          <cell r="Q8762" t="str">
            <v/>
          </cell>
          <cell r="S8762" t="str">
            <v/>
          </cell>
          <cell r="V8762" t="str">
            <v/>
          </cell>
          <cell r="Z8762" t="str">
            <v/>
          </cell>
          <cell r="AA8762" t="str">
            <v/>
          </cell>
          <cell r="AB8762" t="str">
            <v/>
          </cell>
          <cell r="AC8762" t="str">
            <v/>
          </cell>
          <cell r="AD8762" t="str">
            <v/>
          </cell>
          <cell r="AY8762" t="str">
            <v/>
          </cell>
          <cell r="AZ8762" t="str">
            <v/>
          </cell>
          <cell r="BA8762" t="str">
            <v/>
          </cell>
        </row>
        <row r="8763">
          <cell r="B8763" t="str">
            <v>-</v>
          </cell>
          <cell r="E8763" t="str">
            <v/>
          </cell>
          <cell r="G8763" t="str">
            <v/>
          </cell>
          <cell r="J8763" t="str">
            <v/>
          </cell>
          <cell r="O8763" t="str">
            <v/>
          </cell>
          <cell r="P8763" t="str">
            <v/>
          </cell>
          <cell r="Q8763" t="str">
            <v/>
          </cell>
          <cell r="S8763" t="str">
            <v/>
          </cell>
          <cell r="V8763" t="str">
            <v/>
          </cell>
          <cell r="Z8763" t="str">
            <v/>
          </cell>
          <cell r="AA8763" t="str">
            <v/>
          </cell>
          <cell r="AB8763" t="str">
            <v/>
          </cell>
          <cell r="AC8763" t="str">
            <v/>
          </cell>
          <cell r="AD8763" t="str">
            <v/>
          </cell>
          <cell r="AY8763" t="str">
            <v/>
          </cell>
          <cell r="AZ8763" t="str">
            <v/>
          </cell>
          <cell r="BA8763" t="str">
            <v/>
          </cell>
        </row>
        <row r="8764">
          <cell r="B8764" t="str">
            <v>-</v>
          </cell>
          <cell r="E8764" t="str">
            <v/>
          </cell>
          <cell r="G8764" t="str">
            <v/>
          </cell>
          <cell r="J8764" t="str">
            <v/>
          </cell>
          <cell r="O8764" t="str">
            <v/>
          </cell>
          <cell r="P8764" t="str">
            <v/>
          </cell>
          <cell r="Q8764" t="str">
            <v/>
          </cell>
          <cell r="S8764" t="str">
            <v/>
          </cell>
          <cell r="V8764" t="str">
            <v/>
          </cell>
          <cell r="Z8764" t="str">
            <v/>
          </cell>
          <cell r="AA8764" t="str">
            <v/>
          </cell>
          <cell r="AB8764" t="str">
            <v/>
          </cell>
          <cell r="AC8764" t="str">
            <v/>
          </cell>
          <cell r="AD8764" t="str">
            <v/>
          </cell>
          <cell r="AY8764" t="str">
            <v/>
          </cell>
          <cell r="AZ8764" t="str">
            <v/>
          </cell>
          <cell r="BA8764" t="str">
            <v/>
          </cell>
        </row>
        <row r="8765">
          <cell r="B8765" t="str">
            <v>-</v>
          </cell>
          <cell r="E8765" t="str">
            <v/>
          </cell>
          <cell r="G8765" t="str">
            <v/>
          </cell>
          <cell r="J8765" t="str">
            <v/>
          </cell>
          <cell r="O8765" t="str">
            <v/>
          </cell>
          <cell r="P8765" t="str">
            <v/>
          </cell>
          <cell r="Q8765" t="str">
            <v/>
          </cell>
          <cell r="S8765" t="str">
            <v/>
          </cell>
          <cell r="V8765" t="str">
            <v/>
          </cell>
          <cell r="Z8765" t="str">
            <v/>
          </cell>
          <cell r="AA8765" t="str">
            <v/>
          </cell>
          <cell r="AB8765" t="str">
            <v/>
          </cell>
          <cell r="AC8765" t="str">
            <v/>
          </cell>
          <cell r="AD8765" t="str">
            <v/>
          </cell>
          <cell r="AY8765" t="str">
            <v/>
          </cell>
          <cell r="AZ8765" t="str">
            <v/>
          </cell>
          <cell r="BA8765" t="str">
            <v/>
          </cell>
        </row>
        <row r="8766">
          <cell r="B8766" t="str">
            <v>-</v>
          </cell>
          <cell r="E8766" t="str">
            <v/>
          </cell>
          <cell r="G8766" t="str">
            <v/>
          </cell>
          <cell r="J8766" t="str">
            <v/>
          </cell>
          <cell r="O8766" t="str">
            <v/>
          </cell>
          <cell r="P8766" t="str">
            <v/>
          </cell>
          <cell r="Q8766" t="str">
            <v/>
          </cell>
          <cell r="S8766" t="str">
            <v/>
          </cell>
          <cell r="V8766" t="str">
            <v/>
          </cell>
          <cell r="Z8766" t="str">
            <v/>
          </cell>
          <cell r="AA8766" t="str">
            <v/>
          </cell>
          <cell r="AB8766" t="str">
            <v/>
          </cell>
          <cell r="AC8766" t="str">
            <v/>
          </cell>
          <cell r="AD8766" t="str">
            <v/>
          </cell>
          <cell r="AY8766" t="str">
            <v/>
          </cell>
          <cell r="AZ8766" t="str">
            <v/>
          </cell>
          <cell r="BA8766" t="str">
            <v/>
          </cell>
        </row>
        <row r="8767">
          <cell r="B8767" t="str">
            <v>-</v>
          </cell>
          <cell r="E8767" t="str">
            <v/>
          </cell>
          <cell r="G8767" t="str">
            <v/>
          </cell>
          <cell r="J8767" t="str">
            <v/>
          </cell>
          <cell r="O8767" t="str">
            <v/>
          </cell>
          <cell r="P8767" t="str">
            <v/>
          </cell>
          <cell r="Q8767" t="str">
            <v/>
          </cell>
          <cell r="S8767" t="str">
            <v/>
          </cell>
          <cell r="V8767" t="str">
            <v/>
          </cell>
          <cell r="Z8767" t="str">
            <v/>
          </cell>
          <cell r="AA8767" t="str">
            <v/>
          </cell>
          <cell r="AB8767" t="str">
            <v/>
          </cell>
          <cell r="AC8767" t="str">
            <v/>
          </cell>
          <cell r="AD8767" t="str">
            <v/>
          </cell>
          <cell r="AY8767" t="str">
            <v/>
          </cell>
          <cell r="AZ8767" t="str">
            <v/>
          </cell>
          <cell r="BA8767" t="str">
            <v/>
          </cell>
        </row>
        <row r="8768">
          <cell r="B8768" t="str">
            <v>-</v>
          </cell>
          <cell r="E8768" t="str">
            <v/>
          </cell>
          <cell r="G8768" t="str">
            <v/>
          </cell>
          <cell r="J8768" t="str">
            <v/>
          </cell>
          <cell r="O8768" t="str">
            <v/>
          </cell>
          <cell r="P8768" t="str">
            <v/>
          </cell>
          <cell r="Q8768" t="str">
            <v/>
          </cell>
          <cell r="S8768" t="str">
            <v/>
          </cell>
          <cell r="V8768" t="str">
            <v/>
          </cell>
          <cell r="Z8768" t="str">
            <v/>
          </cell>
          <cell r="AA8768" t="str">
            <v/>
          </cell>
          <cell r="AB8768" t="str">
            <v/>
          </cell>
          <cell r="AC8768" t="str">
            <v/>
          </cell>
          <cell r="AD8768" t="str">
            <v/>
          </cell>
          <cell r="AY8768" t="str">
            <v/>
          </cell>
          <cell r="AZ8768" t="str">
            <v/>
          </cell>
          <cell r="BA8768" t="str">
            <v/>
          </cell>
        </row>
        <row r="8769">
          <cell r="B8769" t="str">
            <v>-</v>
          </cell>
          <cell r="E8769" t="str">
            <v/>
          </cell>
          <cell r="G8769" t="str">
            <v/>
          </cell>
          <cell r="J8769" t="str">
            <v/>
          </cell>
          <cell r="O8769" t="str">
            <v/>
          </cell>
          <cell r="P8769" t="str">
            <v/>
          </cell>
          <cell r="Q8769" t="str">
            <v/>
          </cell>
          <cell r="S8769" t="str">
            <v/>
          </cell>
          <cell r="V8769" t="str">
            <v/>
          </cell>
          <cell r="Z8769" t="str">
            <v/>
          </cell>
          <cell r="AA8769" t="str">
            <v/>
          </cell>
          <cell r="AB8769" t="str">
            <v/>
          </cell>
          <cell r="AC8769" t="str">
            <v/>
          </cell>
          <cell r="AD8769" t="str">
            <v/>
          </cell>
          <cell r="AY8769" t="str">
            <v/>
          </cell>
          <cell r="AZ8769" t="str">
            <v/>
          </cell>
          <cell r="BA8769" t="str">
            <v/>
          </cell>
        </row>
        <row r="8770">
          <cell r="B8770" t="str">
            <v>-</v>
          </cell>
          <cell r="E8770" t="str">
            <v/>
          </cell>
          <cell r="G8770" t="str">
            <v/>
          </cell>
          <cell r="J8770" t="str">
            <v/>
          </cell>
          <cell r="O8770" t="str">
            <v/>
          </cell>
          <cell r="P8770" t="str">
            <v/>
          </cell>
          <cell r="Q8770" t="str">
            <v/>
          </cell>
          <cell r="S8770" t="str">
            <v/>
          </cell>
          <cell r="V8770" t="str">
            <v/>
          </cell>
          <cell r="Z8770" t="str">
            <v/>
          </cell>
          <cell r="AA8770" t="str">
            <v/>
          </cell>
          <cell r="AB8770" t="str">
            <v/>
          </cell>
          <cell r="AC8770" t="str">
            <v/>
          </cell>
          <cell r="AD8770" t="str">
            <v/>
          </cell>
          <cell r="AY8770" t="str">
            <v/>
          </cell>
          <cell r="AZ8770" t="str">
            <v/>
          </cell>
          <cell r="BA8770" t="str">
            <v/>
          </cell>
        </row>
        <row r="8771">
          <cell r="B8771" t="str">
            <v>-</v>
          </cell>
          <cell r="E8771" t="str">
            <v/>
          </cell>
          <cell r="G8771" t="str">
            <v/>
          </cell>
          <cell r="J8771" t="str">
            <v/>
          </cell>
          <cell r="O8771" t="str">
            <v/>
          </cell>
          <cell r="P8771" t="str">
            <v/>
          </cell>
          <cell r="Q8771" t="str">
            <v/>
          </cell>
          <cell r="S8771" t="str">
            <v/>
          </cell>
          <cell r="V8771" t="str">
            <v/>
          </cell>
          <cell r="Z8771" t="str">
            <v/>
          </cell>
          <cell r="AA8771" t="str">
            <v/>
          </cell>
          <cell r="AB8771" t="str">
            <v/>
          </cell>
          <cell r="AC8771" t="str">
            <v/>
          </cell>
          <cell r="AD8771" t="str">
            <v/>
          </cell>
          <cell r="AY8771" t="str">
            <v/>
          </cell>
          <cell r="AZ8771" t="str">
            <v/>
          </cell>
          <cell r="BA8771" t="str">
            <v/>
          </cell>
        </row>
        <row r="8772">
          <cell r="B8772" t="str">
            <v>-</v>
          </cell>
          <cell r="E8772" t="str">
            <v/>
          </cell>
          <cell r="G8772" t="str">
            <v/>
          </cell>
          <cell r="J8772" t="str">
            <v/>
          </cell>
          <cell r="O8772" t="str">
            <v/>
          </cell>
          <cell r="P8772" t="str">
            <v/>
          </cell>
          <cell r="Q8772" t="str">
            <v/>
          </cell>
          <cell r="S8772" t="str">
            <v/>
          </cell>
          <cell r="V8772" t="str">
            <v/>
          </cell>
          <cell r="Z8772" t="str">
            <v/>
          </cell>
          <cell r="AA8772" t="str">
            <v/>
          </cell>
          <cell r="AB8772" t="str">
            <v/>
          </cell>
          <cell r="AC8772" t="str">
            <v/>
          </cell>
          <cell r="AD8772" t="str">
            <v/>
          </cell>
          <cell r="AY8772" t="str">
            <v/>
          </cell>
          <cell r="AZ8772" t="str">
            <v/>
          </cell>
          <cell r="BA8772" t="str">
            <v/>
          </cell>
        </row>
        <row r="8773">
          <cell r="B8773" t="str">
            <v>-</v>
          </cell>
          <cell r="E8773" t="str">
            <v/>
          </cell>
          <cell r="G8773" t="str">
            <v/>
          </cell>
          <cell r="J8773" t="str">
            <v/>
          </cell>
          <cell r="O8773" t="str">
            <v/>
          </cell>
          <cell r="P8773" t="str">
            <v/>
          </cell>
          <cell r="Q8773" t="str">
            <v/>
          </cell>
          <cell r="S8773" t="str">
            <v/>
          </cell>
          <cell r="V8773" t="str">
            <v/>
          </cell>
          <cell r="Z8773" t="str">
            <v/>
          </cell>
          <cell r="AA8773" t="str">
            <v/>
          </cell>
          <cell r="AB8773" t="str">
            <v/>
          </cell>
          <cell r="AC8773" t="str">
            <v/>
          </cell>
          <cell r="AD8773" t="str">
            <v/>
          </cell>
          <cell r="AY8773" t="str">
            <v/>
          </cell>
          <cell r="AZ8773" t="str">
            <v/>
          </cell>
          <cell r="BA8773" t="str">
            <v/>
          </cell>
        </row>
        <row r="8774">
          <cell r="B8774" t="str">
            <v>-</v>
          </cell>
          <cell r="E8774" t="str">
            <v/>
          </cell>
          <cell r="G8774" t="str">
            <v/>
          </cell>
          <cell r="J8774" t="str">
            <v/>
          </cell>
          <cell r="O8774" t="str">
            <v/>
          </cell>
          <cell r="P8774" t="str">
            <v/>
          </cell>
          <cell r="Q8774" t="str">
            <v/>
          </cell>
          <cell r="S8774" t="str">
            <v/>
          </cell>
          <cell r="V8774" t="str">
            <v/>
          </cell>
          <cell r="Z8774" t="str">
            <v/>
          </cell>
          <cell r="AA8774" t="str">
            <v/>
          </cell>
          <cell r="AB8774" t="str">
            <v/>
          </cell>
          <cell r="AC8774" t="str">
            <v/>
          </cell>
          <cell r="AD8774" t="str">
            <v/>
          </cell>
          <cell r="AY8774" t="str">
            <v/>
          </cell>
          <cell r="AZ8774" t="str">
            <v/>
          </cell>
          <cell r="BA8774" t="str">
            <v/>
          </cell>
        </row>
        <row r="8775">
          <cell r="B8775" t="str">
            <v>-</v>
          </cell>
          <cell r="E8775" t="str">
            <v/>
          </cell>
          <cell r="G8775" t="str">
            <v/>
          </cell>
          <cell r="J8775" t="str">
            <v/>
          </cell>
          <cell r="O8775" t="str">
            <v/>
          </cell>
          <cell r="P8775" t="str">
            <v/>
          </cell>
          <cell r="Q8775" t="str">
            <v/>
          </cell>
          <cell r="S8775" t="str">
            <v/>
          </cell>
          <cell r="V8775" t="str">
            <v/>
          </cell>
          <cell r="Z8775" t="str">
            <v/>
          </cell>
          <cell r="AA8775" t="str">
            <v/>
          </cell>
          <cell r="AB8775" t="str">
            <v/>
          </cell>
          <cell r="AC8775" t="str">
            <v/>
          </cell>
          <cell r="AD8775" t="str">
            <v/>
          </cell>
          <cell r="AY8775" t="str">
            <v/>
          </cell>
          <cell r="AZ8775" t="str">
            <v/>
          </cell>
          <cell r="BA8775" t="str">
            <v/>
          </cell>
        </row>
        <row r="8776">
          <cell r="B8776" t="str">
            <v>-</v>
          </cell>
          <cell r="E8776" t="str">
            <v/>
          </cell>
          <cell r="G8776" t="str">
            <v/>
          </cell>
          <cell r="J8776" t="str">
            <v/>
          </cell>
          <cell r="O8776" t="str">
            <v/>
          </cell>
          <cell r="P8776" t="str">
            <v/>
          </cell>
          <cell r="Q8776" t="str">
            <v/>
          </cell>
          <cell r="S8776" t="str">
            <v/>
          </cell>
          <cell r="V8776" t="str">
            <v/>
          </cell>
          <cell r="Z8776" t="str">
            <v/>
          </cell>
          <cell r="AA8776" t="str">
            <v/>
          </cell>
          <cell r="AB8776" t="str">
            <v/>
          </cell>
          <cell r="AC8776" t="str">
            <v/>
          </cell>
          <cell r="AD8776" t="str">
            <v/>
          </cell>
          <cell r="AY8776" t="str">
            <v/>
          </cell>
          <cell r="AZ8776" t="str">
            <v/>
          </cell>
          <cell r="BA8776" t="str">
            <v/>
          </cell>
        </row>
        <row r="8777">
          <cell r="B8777" t="str">
            <v>-</v>
          </cell>
          <cell r="E8777" t="str">
            <v/>
          </cell>
          <cell r="G8777" t="str">
            <v/>
          </cell>
          <cell r="J8777" t="str">
            <v/>
          </cell>
          <cell r="O8777" t="str">
            <v/>
          </cell>
          <cell r="P8777" t="str">
            <v/>
          </cell>
          <cell r="Q8777" t="str">
            <v/>
          </cell>
          <cell r="S8777" t="str">
            <v/>
          </cell>
          <cell r="V8777" t="str">
            <v/>
          </cell>
          <cell r="Z8777" t="str">
            <v/>
          </cell>
          <cell r="AA8777" t="str">
            <v/>
          </cell>
          <cell r="AB8777" t="str">
            <v/>
          </cell>
          <cell r="AC8777" t="str">
            <v/>
          </cell>
          <cell r="AD8777" t="str">
            <v/>
          </cell>
          <cell r="AY8777" t="str">
            <v/>
          </cell>
          <cell r="AZ8777" t="str">
            <v/>
          </cell>
          <cell r="BA8777" t="str">
            <v/>
          </cell>
        </row>
        <row r="8778">
          <cell r="B8778" t="str">
            <v>-</v>
          </cell>
          <cell r="E8778" t="str">
            <v/>
          </cell>
          <cell r="G8778" t="str">
            <v/>
          </cell>
          <cell r="J8778" t="str">
            <v/>
          </cell>
          <cell r="O8778" t="str">
            <v/>
          </cell>
          <cell r="P8778" t="str">
            <v/>
          </cell>
          <cell r="Q8778" t="str">
            <v/>
          </cell>
          <cell r="S8778" t="str">
            <v/>
          </cell>
          <cell r="V8778" t="str">
            <v/>
          </cell>
          <cell r="Z8778" t="str">
            <v/>
          </cell>
          <cell r="AA8778" t="str">
            <v/>
          </cell>
          <cell r="AB8778" t="str">
            <v/>
          </cell>
          <cell r="AC8778" t="str">
            <v/>
          </cell>
          <cell r="AD8778" t="str">
            <v/>
          </cell>
          <cell r="AY8778" t="str">
            <v/>
          </cell>
          <cell r="AZ8778" t="str">
            <v/>
          </cell>
          <cell r="BA8778" t="str">
            <v/>
          </cell>
        </row>
        <row r="8779">
          <cell r="B8779" t="str">
            <v>-</v>
          </cell>
          <cell r="E8779" t="str">
            <v/>
          </cell>
          <cell r="G8779" t="str">
            <v/>
          </cell>
          <cell r="J8779" t="str">
            <v/>
          </cell>
          <cell r="O8779" t="str">
            <v/>
          </cell>
          <cell r="P8779" t="str">
            <v/>
          </cell>
          <cell r="Q8779" t="str">
            <v/>
          </cell>
          <cell r="S8779" t="str">
            <v/>
          </cell>
          <cell r="V8779" t="str">
            <v/>
          </cell>
          <cell r="Z8779" t="str">
            <v/>
          </cell>
          <cell r="AA8779" t="str">
            <v/>
          </cell>
          <cell r="AB8779" t="str">
            <v/>
          </cell>
          <cell r="AC8779" t="str">
            <v/>
          </cell>
          <cell r="AD8779" t="str">
            <v/>
          </cell>
          <cell r="AY8779" t="str">
            <v/>
          </cell>
          <cell r="AZ8779" t="str">
            <v/>
          </cell>
          <cell r="BA8779" t="str">
            <v/>
          </cell>
        </row>
        <row r="8780">
          <cell r="B8780" t="str">
            <v>-</v>
          </cell>
          <cell r="E8780" t="str">
            <v/>
          </cell>
          <cell r="G8780" t="str">
            <v/>
          </cell>
          <cell r="J8780" t="str">
            <v/>
          </cell>
          <cell r="O8780" t="str">
            <v/>
          </cell>
          <cell r="P8780" t="str">
            <v/>
          </cell>
          <cell r="Q8780" t="str">
            <v/>
          </cell>
          <cell r="S8780" t="str">
            <v/>
          </cell>
          <cell r="V8780" t="str">
            <v/>
          </cell>
          <cell r="Z8780" t="str">
            <v/>
          </cell>
          <cell r="AA8780" t="str">
            <v/>
          </cell>
          <cell r="AB8780" t="str">
            <v/>
          </cell>
          <cell r="AC8780" t="str">
            <v/>
          </cell>
          <cell r="AD8780" t="str">
            <v/>
          </cell>
          <cell r="AY8780" t="str">
            <v/>
          </cell>
          <cell r="AZ8780" t="str">
            <v/>
          </cell>
          <cell r="BA8780" t="str">
            <v/>
          </cell>
        </row>
        <row r="8781">
          <cell r="B8781" t="str">
            <v>-</v>
          </cell>
          <cell r="E8781" t="str">
            <v/>
          </cell>
          <cell r="G8781" t="str">
            <v/>
          </cell>
          <cell r="J8781" t="str">
            <v/>
          </cell>
          <cell r="O8781" t="str">
            <v/>
          </cell>
          <cell r="P8781" t="str">
            <v/>
          </cell>
          <cell r="Q8781" t="str">
            <v/>
          </cell>
          <cell r="S8781" t="str">
            <v/>
          </cell>
          <cell r="V8781" t="str">
            <v/>
          </cell>
          <cell r="Z8781" t="str">
            <v/>
          </cell>
          <cell r="AA8781" t="str">
            <v/>
          </cell>
          <cell r="AB8781" t="str">
            <v/>
          </cell>
          <cell r="AC8781" t="str">
            <v/>
          </cell>
          <cell r="AD8781" t="str">
            <v/>
          </cell>
          <cell r="AY8781" t="str">
            <v/>
          </cell>
          <cell r="AZ8781" t="str">
            <v/>
          </cell>
          <cell r="BA8781" t="str">
            <v/>
          </cell>
        </row>
        <row r="8782">
          <cell r="B8782" t="str">
            <v>-</v>
          </cell>
          <cell r="E8782" t="str">
            <v/>
          </cell>
          <cell r="G8782" t="str">
            <v/>
          </cell>
          <cell r="J8782" t="str">
            <v/>
          </cell>
          <cell r="O8782" t="str">
            <v/>
          </cell>
          <cell r="P8782" t="str">
            <v/>
          </cell>
          <cell r="Q8782" t="str">
            <v/>
          </cell>
          <cell r="S8782" t="str">
            <v/>
          </cell>
          <cell r="V8782" t="str">
            <v/>
          </cell>
          <cell r="Z8782" t="str">
            <v/>
          </cell>
          <cell r="AA8782" t="str">
            <v/>
          </cell>
          <cell r="AB8782" t="str">
            <v/>
          </cell>
          <cell r="AC8782" t="str">
            <v/>
          </cell>
          <cell r="AD8782" t="str">
            <v/>
          </cell>
          <cell r="AY8782" t="str">
            <v/>
          </cell>
          <cell r="AZ8782" t="str">
            <v/>
          </cell>
          <cell r="BA8782" t="str">
            <v/>
          </cell>
        </row>
        <row r="8783">
          <cell r="B8783" t="str">
            <v>-</v>
          </cell>
          <cell r="E8783" t="str">
            <v/>
          </cell>
          <cell r="G8783" t="str">
            <v/>
          </cell>
          <cell r="J8783" t="str">
            <v/>
          </cell>
          <cell r="O8783" t="str">
            <v/>
          </cell>
          <cell r="P8783" t="str">
            <v/>
          </cell>
          <cell r="Q8783" t="str">
            <v/>
          </cell>
          <cell r="S8783" t="str">
            <v/>
          </cell>
          <cell r="V8783" t="str">
            <v/>
          </cell>
          <cell r="Z8783" t="str">
            <v/>
          </cell>
          <cell r="AA8783" t="str">
            <v/>
          </cell>
          <cell r="AB8783" t="str">
            <v/>
          </cell>
          <cell r="AC8783" t="str">
            <v/>
          </cell>
          <cell r="AD8783" t="str">
            <v/>
          </cell>
          <cell r="AY8783" t="str">
            <v/>
          </cell>
          <cell r="AZ8783" t="str">
            <v/>
          </cell>
          <cell r="BA8783" t="str">
            <v/>
          </cell>
        </row>
        <row r="8784">
          <cell r="B8784" t="str">
            <v>-</v>
          </cell>
          <cell r="E8784" t="str">
            <v/>
          </cell>
          <cell r="G8784" t="str">
            <v/>
          </cell>
          <cell r="J8784" t="str">
            <v/>
          </cell>
          <cell r="O8784" t="str">
            <v/>
          </cell>
          <cell r="P8784" t="str">
            <v/>
          </cell>
          <cell r="Q8784" t="str">
            <v/>
          </cell>
          <cell r="S8784" t="str">
            <v/>
          </cell>
          <cell r="V8784" t="str">
            <v/>
          </cell>
          <cell r="Z8784" t="str">
            <v/>
          </cell>
          <cell r="AA8784" t="str">
            <v/>
          </cell>
          <cell r="AB8784" t="str">
            <v/>
          </cell>
          <cell r="AC8784" t="str">
            <v/>
          </cell>
          <cell r="AD8784" t="str">
            <v/>
          </cell>
          <cell r="AY8784" t="str">
            <v/>
          </cell>
          <cell r="AZ8784" t="str">
            <v/>
          </cell>
          <cell r="BA8784" t="str">
            <v/>
          </cell>
        </row>
        <row r="8785">
          <cell r="B8785" t="str">
            <v>-</v>
          </cell>
          <cell r="E8785" t="str">
            <v/>
          </cell>
          <cell r="G8785" t="str">
            <v/>
          </cell>
          <cell r="J8785" t="str">
            <v/>
          </cell>
          <cell r="O8785" t="str">
            <v/>
          </cell>
          <cell r="P8785" t="str">
            <v/>
          </cell>
          <cell r="Q8785" t="str">
            <v/>
          </cell>
          <cell r="S8785" t="str">
            <v/>
          </cell>
          <cell r="V8785" t="str">
            <v/>
          </cell>
          <cell r="Z8785" t="str">
            <v/>
          </cell>
          <cell r="AA8785" t="str">
            <v/>
          </cell>
          <cell r="AB8785" t="str">
            <v/>
          </cell>
          <cell r="AC8785" t="str">
            <v/>
          </cell>
          <cell r="AD8785" t="str">
            <v/>
          </cell>
          <cell r="AY8785" t="str">
            <v/>
          </cell>
          <cell r="AZ8785" t="str">
            <v/>
          </cell>
          <cell r="BA8785" t="str">
            <v/>
          </cell>
        </row>
        <row r="8786">
          <cell r="B8786" t="str">
            <v>-</v>
          </cell>
          <cell r="E8786" t="str">
            <v/>
          </cell>
          <cell r="G8786" t="str">
            <v/>
          </cell>
          <cell r="J8786" t="str">
            <v/>
          </cell>
          <cell r="O8786" t="str">
            <v/>
          </cell>
          <cell r="P8786" t="str">
            <v/>
          </cell>
          <cell r="Q8786" t="str">
            <v/>
          </cell>
          <cell r="S8786" t="str">
            <v/>
          </cell>
          <cell r="V8786" t="str">
            <v/>
          </cell>
          <cell r="Z8786" t="str">
            <v/>
          </cell>
          <cell r="AA8786" t="str">
            <v/>
          </cell>
          <cell r="AB8786" t="str">
            <v/>
          </cell>
          <cell r="AC8786" t="str">
            <v/>
          </cell>
          <cell r="AD8786" t="str">
            <v/>
          </cell>
          <cell r="AY8786" t="str">
            <v/>
          </cell>
          <cell r="AZ8786" t="str">
            <v/>
          </cell>
          <cell r="BA8786" t="str">
            <v/>
          </cell>
        </row>
        <row r="8787">
          <cell r="B8787" t="str">
            <v>-</v>
          </cell>
          <cell r="E8787" t="str">
            <v/>
          </cell>
          <cell r="G8787" t="str">
            <v/>
          </cell>
          <cell r="J8787" t="str">
            <v/>
          </cell>
          <cell r="O8787" t="str">
            <v/>
          </cell>
          <cell r="P8787" t="str">
            <v/>
          </cell>
          <cell r="Q8787" t="str">
            <v/>
          </cell>
          <cell r="S8787" t="str">
            <v/>
          </cell>
          <cell r="V8787" t="str">
            <v/>
          </cell>
          <cell r="Z8787" t="str">
            <v/>
          </cell>
          <cell r="AA8787" t="str">
            <v/>
          </cell>
          <cell r="AB8787" t="str">
            <v/>
          </cell>
          <cell r="AC8787" t="str">
            <v/>
          </cell>
          <cell r="AD8787" t="str">
            <v/>
          </cell>
          <cell r="AY8787" t="str">
            <v/>
          </cell>
          <cell r="AZ8787" t="str">
            <v/>
          </cell>
          <cell r="BA8787" t="str">
            <v/>
          </cell>
        </row>
        <row r="8788">
          <cell r="B8788" t="str">
            <v>-</v>
          </cell>
          <cell r="E8788" t="str">
            <v/>
          </cell>
          <cell r="G8788" t="str">
            <v/>
          </cell>
          <cell r="J8788" t="str">
            <v/>
          </cell>
          <cell r="O8788" t="str">
            <v/>
          </cell>
          <cell r="P8788" t="str">
            <v/>
          </cell>
          <cell r="Q8788" t="str">
            <v/>
          </cell>
          <cell r="S8788" t="str">
            <v/>
          </cell>
          <cell r="V8788" t="str">
            <v/>
          </cell>
          <cell r="Z8788" t="str">
            <v/>
          </cell>
          <cell r="AA8788" t="str">
            <v/>
          </cell>
          <cell r="AB8788" t="str">
            <v/>
          </cell>
          <cell r="AC8788" t="str">
            <v/>
          </cell>
          <cell r="AD8788" t="str">
            <v/>
          </cell>
          <cell r="AY8788" t="str">
            <v/>
          </cell>
          <cell r="AZ8788" t="str">
            <v/>
          </cell>
          <cell r="BA8788" t="str">
            <v/>
          </cell>
        </row>
        <row r="8789">
          <cell r="B8789" t="str">
            <v>-</v>
          </cell>
          <cell r="E8789" t="str">
            <v/>
          </cell>
          <cell r="G8789" t="str">
            <v/>
          </cell>
          <cell r="J8789" t="str">
            <v/>
          </cell>
          <cell r="O8789" t="str">
            <v/>
          </cell>
          <cell r="P8789" t="str">
            <v/>
          </cell>
          <cell r="Q8789" t="str">
            <v/>
          </cell>
          <cell r="S8789" t="str">
            <v/>
          </cell>
          <cell r="V8789" t="str">
            <v/>
          </cell>
          <cell r="Z8789" t="str">
            <v/>
          </cell>
          <cell r="AA8789" t="str">
            <v/>
          </cell>
          <cell r="AB8789" t="str">
            <v/>
          </cell>
          <cell r="AC8789" t="str">
            <v/>
          </cell>
          <cell r="AD8789" t="str">
            <v/>
          </cell>
          <cell r="AY8789" t="str">
            <v/>
          </cell>
          <cell r="AZ8789" t="str">
            <v/>
          </cell>
          <cell r="BA8789" t="str">
            <v/>
          </cell>
        </row>
        <row r="8790">
          <cell r="B8790" t="str">
            <v>-</v>
          </cell>
          <cell r="E8790" t="str">
            <v/>
          </cell>
          <cell r="G8790" t="str">
            <v/>
          </cell>
          <cell r="J8790" t="str">
            <v/>
          </cell>
          <cell r="O8790" t="str">
            <v/>
          </cell>
          <cell r="P8790" t="str">
            <v/>
          </cell>
          <cell r="Q8790" t="str">
            <v/>
          </cell>
          <cell r="S8790" t="str">
            <v/>
          </cell>
          <cell r="V8790" t="str">
            <v/>
          </cell>
          <cell r="Z8790" t="str">
            <v/>
          </cell>
          <cell r="AA8790" t="str">
            <v/>
          </cell>
          <cell r="AB8790" t="str">
            <v/>
          </cell>
          <cell r="AC8790" t="str">
            <v/>
          </cell>
          <cell r="AD8790" t="str">
            <v/>
          </cell>
          <cell r="AY8790" t="str">
            <v/>
          </cell>
          <cell r="AZ8790" t="str">
            <v/>
          </cell>
          <cell r="BA8790" t="str">
            <v/>
          </cell>
        </row>
        <row r="8791">
          <cell r="B8791" t="str">
            <v>-</v>
          </cell>
          <cell r="E8791" t="str">
            <v/>
          </cell>
          <cell r="G8791" t="str">
            <v/>
          </cell>
          <cell r="J8791" t="str">
            <v/>
          </cell>
          <cell r="O8791" t="str">
            <v/>
          </cell>
          <cell r="P8791" t="str">
            <v/>
          </cell>
          <cell r="Q8791" t="str">
            <v/>
          </cell>
          <cell r="S8791" t="str">
            <v/>
          </cell>
          <cell r="V8791" t="str">
            <v/>
          </cell>
          <cell r="Z8791" t="str">
            <v/>
          </cell>
          <cell r="AA8791" t="str">
            <v/>
          </cell>
          <cell r="AB8791" t="str">
            <v/>
          </cell>
          <cell r="AC8791" t="str">
            <v/>
          </cell>
          <cell r="AD8791" t="str">
            <v/>
          </cell>
          <cell r="AY8791" t="str">
            <v/>
          </cell>
          <cell r="AZ8791" t="str">
            <v/>
          </cell>
          <cell r="BA8791" t="str">
            <v/>
          </cell>
        </row>
        <row r="8792">
          <cell r="B8792" t="str">
            <v>-</v>
          </cell>
          <cell r="E8792" t="str">
            <v/>
          </cell>
          <cell r="G8792" t="str">
            <v/>
          </cell>
          <cell r="J8792" t="str">
            <v/>
          </cell>
          <cell r="O8792" t="str">
            <v/>
          </cell>
          <cell r="P8792" t="str">
            <v/>
          </cell>
          <cell r="Q8792" t="str">
            <v/>
          </cell>
          <cell r="S8792" t="str">
            <v/>
          </cell>
          <cell r="V8792" t="str">
            <v/>
          </cell>
          <cell r="Z8792" t="str">
            <v/>
          </cell>
          <cell r="AA8792" t="str">
            <v/>
          </cell>
          <cell r="AB8792" t="str">
            <v/>
          </cell>
          <cell r="AC8792" t="str">
            <v/>
          </cell>
          <cell r="AD8792" t="str">
            <v/>
          </cell>
          <cell r="AY8792" t="str">
            <v/>
          </cell>
          <cell r="AZ8792" t="str">
            <v/>
          </cell>
          <cell r="BA8792" t="str">
            <v/>
          </cell>
        </row>
        <row r="8793">
          <cell r="B8793" t="str">
            <v>-</v>
          </cell>
          <cell r="E8793" t="str">
            <v/>
          </cell>
          <cell r="G8793" t="str">
            <v/>
          </cell>
          <cell r="J8793" t="str">
            <v/>
          </cell>
          <cell r="O8793" t="str">
            <v/>
          </cell>
          <cell r="P8793" t="str">
            <v/>
          </cell>
          <cell r="Q8793" t="str">
            <v/>
          </cell>
          <cell r="S8793" t="str">
            <v/>
          </cell>
          <cell r="V8793" t="str">
            <v/>
          </cell>
          <cell r="Z8793" t="str">
            <v/>
          </cell>
          <cell r="AA8793" t="str">
            <v/>
          </cell>
          <cell r="AB8793" t="str">
            <v/>
          </cell>
          <cell r="AC8793" t="str">
            <v/>
          </cell>
          <cell r="AD8793" t="str">
            <v/>
          </cell>
          <cell r="AY8793" t="str">
            <v/>
          </cell>
          <cell r="AZ8793" t="str">
            <v/>
          </cell>
          <cell r="BA8793" t="str">
            <v/>
          </cell>
        </row>
        <row r="8794">
          <cell r="B8794" t="str">
            <v>-</v>
          </cell>
          <cell r="E8794" t="str">
            <v/>
          </cell>
          <cell r="G8794" t="str">
            <v/>
          </cell>
          <cell r="J8794" t="str">
            <v/>
          </cell>
          <cell r="O8794" t="str">
            <v/>
          </cell>
          <cell r="P8794" t="str">
            <v/>
          </cell>
          <cell r="Q8794" t="str">
            <v/>
          </cell>
          <cell r="S8794" t="str">
            <v/>
          </cell>
          <cell r="V8794" t="str">
            <v/>
          </cell>
          <cell r="Z8794" t="str">
            <v/>
          </cell>
          <cell r="AA8794" t="str">
            <v/>
          </cell>
          <cell r="AB8794" t="str">
            <v/>
          </cell>
          <cell r="AC8794" t="str">
            <v/>
          </cell>
          <cell r="AD8794" t="str">
            <v/>
          </cell>
          <cell r="AY8794" t="str">
            <v/>
          </cell>
          <cell r="AZ8794" t="str">
            <v/>
          </cell>
          <cell r="BA8794" t="str">
            <v/>
          </cell>
        </row>
        <row r="8795">
          <cell r="B8795" t="str">
            <v>-</v>
          </cell>
          <cell r="E8795" t="str">
            <v/>
          </cell>
          <cell r="G8795" t="str">
            <v/>
          </cell>
          <cell r="J8795" t="str">
            <v/>
          </cell>
          <cell r="O8795" t="str">
            <v/>
          </cell>
          <cell r="P8795" t="str">
            <v/>
          </cell>
          <cell r="Q8795" t="str">
            <v/>
          </cell>
          <cell r="S8795" t="str">
            <v/>
          </cell>
          <cell r="V8795" t="str">
            <v/>
          </cell>
          <cell r="Z8795" t="str">
            <v/>
          </cell>
          <cell r="AA8795" t="str">
            <v/>
          </cell>
          <cell r="AB8795" t="str">
            <v/>
          </cell>
          <cell r="AC8795" t="str">
            <v/>
          </cell>
          <cell r="AD8795" t="str">
            <v/>
          </cell>
          <cell r="AY8795" t="str">
            <v/>
          </cell>
          <cell r="AZ8795" t="str">
            <v/>
          </cell>
          <cell r="BA8795" t="str">
            <v/>
          </cell>
        </row>
        <row r="8796">
          <cell r="B8796" t="str">
            <v>-</v>
          </cell>
          <cell r="E8796" t="str">
            <v/>
          </cell>
          <cell r="G8796" t="str">
            <v/>
          </cell>
          <cell r="J8796" t="str">
            <v/>
          </cell>
          <cell r="O8796" t="str">
            <v/>
          </cell>
          <cell r="P8796" t="str">
            <v/>
          </cell>
          <cell r="Q8796" t="str">
            <v/>
          </cell>
          <cell r="S8796" t="str">
            <v/>
          </cell>
          <cell r="V8796" t="str">
            <v/>
          </cell>
          <cell r="Z8796" t="str">
            <v/>
          </cell>
          <cell r="AA8796" t="str">
            <v/>
          </cell>
          <cell r="AB8796" t="str">
            <v/>
          </cell>
          <cell r="AC8796" t="str">
            <v/>
          </cell>
          <cell r="AD8796" t="str">
            <v/>
          </cell>
          <cell r="AY8796" t="str">
            <v/>
          </cell>
          <cell r="AZ8796" t="str">
            <v/>
          </cell>
          <cell r="BA8796" t="str">
            <v/>
          </cell>
        </row>
        <row r="8797">
          <cell r="B8797" t="str">
            <v>-</v>
          </cell>
          <cell r="E8797" t="str">
            <v/>
          </cell>
          <cell r="G8797" t="str">
            <v/>
          </cell>
          <cell r="J8797" t="str">
            <v/>
          </cell>
          <cell r="O8797" t="str">
            <v/>
          </cell>
          <cell r="P8797" t="str">
            <v/>
          </cell>
          <cell r="Q8797" t="str">
            <v/>
          </cell>
          <cell r="S8797" t="str">
            <v/>
          </cell>
          <cell r="V8797" t="str">
            <v/>
          </cell>
          <cell r="Z8797" t="str">
            <v/>
          </cell>
          <cell r="AA8797" t="str">
            <v/>
          </cell>
          <cell r="AB8797" t="str">
            <v/>
          </cell>
          <cell r="AC8797" t="str">
            <v/>
          </cell>
          <cell r="AD8797" t="str">
            <v/>
          </cell>
          <cell r="AY8797" t="str">
            <v/>
          </cell>
          <cell r="AZ8797" t="str">
            <v/>
          </cell>
          <cell r="BA8797" t="str">
            <v/>
          </cell>
        </row>
        <row r="8798">
          <cell r="B8798" t="str">
            <v>-</v>
          </cell>
          <cell r="E8798" t="str">
            <v/>
          </cell>
          <cell r="G8798" t="str">
            <v/>
          </cell>
          <cell r="J8798" t="str">
            <v/>
          </cell>
          <cell r="O8798" t="str">
            <v/>
          </cell>
          <cell r="P8798" t="str">
            <v/>
          </cell>
          <cell r="Q8798" t="str">
            <v/>
          </cell>
          <cell r="S8798" t="str">
            <v/>
          </cell>
          <cell r="V8798" t="str">
            <v/>
          </cell>
          <cell r="Z8798" t="str">
            <v/>
          </cell>
          <cell r="AA8798" t="str">
            <v/>
          </cell>
          <cell r="AB8798" t="str">
            <v/>
          </cell>
          <cell r="AC8798" t="str">
            <v/>
          </cell>
          <cell r="AD8798" t="str">
            <v/>
          </cell>
          <cell r="AY8798" t="str">
            <v/>
          </cell>
          <cell r="AZ8798" t="str">
            <v/>
          </cell>
          <cell r="BA8798" t="str">
            <v/>
          </cell>
        </row>
        <row r="8799">
          <cell r="B8799" t="str">
            <v>-</v>
          </cell>
          <cell r="E8799" t="str">
            <v/>
          </cell>
          <cell r="G8799" t="str">
            <v/>
          </cell>
          <cell r="J8799" t="str">
            <v/>
          </cell>
          <cell r="O8799" t="str">
            <v/>
          </cell>
          <cell r="P8799" t="str">
            <v/>
          </cell>
          <cell r="Q8799" t="str">
            <v/>
          </cell>
          <cell r="S8799" t="str">
            <v/>
          </cell>
          <cell r="V8799" t="str">
            <v/>
          </cell>
          <cell r="Z8799" t="str">
            <v/>
          </cell>
          <cell r="AA8799" t="str">
            <v/>
          </cell>
          <cell r="AB8799" t="str">
            <v/>
          </cell>
          <cell r="AC8799" t="str">
            <v/>
          </cell>
          <cell r="AD8799" t="str">
            <v/>
          </cell>
          <cell r="AY8799" t="str">
            <v/>
          </cell>
          <cell r="AZ8799" t="str">
            <v/>
          </cell>
          <cell r="BA8799" t="str">
            <v/>
          </cell>
        </row>
        <row r="8800">
          <cell r="B8800" t="str">
            <v>-</v>
          </cell>
          <cell r="E8800" t="str">
            <v/>
          </cell>
          <cell r="G8800" t="str">
            <v/>
          </cell>
          <cell r="J8800" t="str">
            <v/>
          </cell>
          <cell r="O8800" t="str">
            <v/>
          </cell>
          <cell r="P8800" t="str">
            <v/>
          </cell>
          <cell r="Q8800" t="str">
            <v/>
          </cell>
          <cell r="S8800" t="str">
            <v/>
          </cell>
          <cell r="V8800" t="str">
            <v/>
          </cell>
          <cell r="Z8800" t="str">
            <v/>
          </cell>
          <cell r="AA8800" t="str">
            <v/>
          </cell>
          <cell r="AB8800" t="str">
            <v/>
          </cell>
          <cell r="AC8800" t="str">
            <v/>
          </cell>
          <cell r="AD8800" t="str">
            <v/>
          </cell>
          <cell r="AY8800" t="str">
            <v/>
          </cell>
          <cell r="AZ8800" t="str">
            <v/>
          </cell>
          <cell r="BA8800" t="str">
            <v/>
          </cell>
        </row>
        <row r="8801">
          <cell r="B8801" t="str">
            <v>-</v>
          </cell>
          <cell r="E8801" t="str">
            <v/>
          </cell>
          <cell r="G8801" t="str">
            <v/>
          </cell>
          <cell r="J8801" t="str">
            <v/>
          </cell>
          <cell r="O8801" t="str">
            <v/>
          </cell>
          <cell r="P8801" t="str">
            <v/>
          </cell>
          <cell r="Q8801" t="str">
            <v/>
          </cell>
          <cell r="S8801" t="str">
            <v/>
          </cell>
          <cell r="V8801" t="str">
            <v/>
          </cell>
          <cell r="Z8801" t="str">
            <v/>
          </cell>
          <cell r="AA8801" t="str">
            <v/>
          </cell>
          <cell r="AB8801" t="str">
            <v/>
          </cell>
          <cell r="AC8801" t="str">
            <v/>
          </cell>
          <cell r="AD8801" t="str">
            <v/>
          </cell>
          <cell r="AY8801" t="str">
            <v/>
          </cell>
          <cell r="AZ8801" t="str">
            <v/>
          </cell>
          <cell r="BA8801" t="str">
            <v/>
          </cell>
        </row>
        <row r="8802">
          <cell r="B8802" t="str">
            <v>-</v>
          </cell>
          <cell r="E8802" t="str">
            <v/>
          </cell>
          <cell r="G8802" t="str">
            <v/>
          </cell>
          <cell r="J8802" t="str">
            <v/>
          </cell>
          <cell r="O8802" t="str">
            <v/>
          </cell>
          <cell r="P8802" t="str">
            <v/>
          </cell>
          <cell r="Q8802" t="str">
            <v/>
          </cell>
          <cell r="S8802" t="str">
            <v/>
          </cell>
          <cell r="V8802" t="str">
            <v/>
          </cell>
          <cell r="Z8802" t="str">
            <v/>
          </cell>
          <cell r="AA8802" t="str">
            <v/>
          </cell>
          <cell r="AB8802" t="str">
            <v/>
          </cell>
          <cell r="AC8802" t="str">
            <v/>
          </cell>
          <cell r="AD8802" t="str">
            <v/>
          </cell>
          <cell r="AY8802" t="str">
            <v/>
          </cell>
          <cell r="AZ8802" t="str">
            <v/>
          </cell>
          <cell r="BA8802" t="str">
            <v/>
          </cell>
        </row>
        <row r="8803">
          <cell r="B8803" t="str">
            <v>-</v>
          </cell>
          <cell r="E8803" t="str">
            <v/>
          </cell>
          <cell r="G8803" t="str">
            <v/>
          </cell>
          <cell r="J8803" t="str">
            <v/>
          </cell>
          <cell r="O8803" t="str">
            <v/>
          </cell>
          <cell r="P8803" t="str">
            <v/>
          </cell>
          <cell r="Q8803" t="str">
            <v/>
          </cell>
          <cell r="S8803" t="str">
            <v/>
          </cell>
          <cell r="V8803" t="str">
            <v/>
          </cell>
          <cell r="Z8803" t="str">
            <v/>
          </cell>
          <cell r="AA8803" t="str">
            <v/>
          </cell>
          <cell r="AB8803" t="str">
            <v/>
          </cell>
          <cell r="AC8803" t="str">
            <v/>
          </cell>
          <cell r="AD8803" t="str">
            <v/>
          </cell>
          <cell r="AY8803" t="str">
            <v/>
          </cell>
          <cell r="AZ8803" t="str">
            <v/>
          </cell>
          <cell r="BA8803" t="str">
            <v/>
          </cell>
        </row>
        <row r="8804">
          <cell r="B8804" t="str">
            <v>-</v>
          </cell>
          <cell r="E8804" t="str">
            <v/>
          </cell>
          <cell r="G8804" t="str">
            <v/>
          </cell>
          <cell r="J8804" t="str">
            <v/>
          </cell>
          <cell r="O8804" t="str">
            <v/>
          </cell>
          <cell r="P8804" t="str">
            <v/>
          </cell>
          <cell r="Q8804" t="str">
            <v/>
          </cell>
          <cell r="S8804" t="str">
            <v/>
          </cell>
          <cell r="V8804" t="str">
            <v/>
          </cell>
          <cell r="Z8804" t="str">
            <v/>
          </cell>
          <cell r="AA8804" t="str">
            <v/>
          </cell>
          <cell r="AB8804" t="str">
            <v/>
          </cell>
          <cell r="AC8804" t="str">
            <v/>
          </cell>
          <cell r="AD8804" t="str">
            <v/>
          </cell>
          <cell r="AY8804" t="str">
            <v/>
          </cell>
          <cell r="AZ8804" t="str">
            <v/>
          </cell>
          <cell r="BA8804" t="str">
            <v/>
          </cell>
        </row>
        <row r="8805">
          <cell r="B8805" t="str">
            <v>-</v>
          </cell>
          <cell r="E8805" t="str">
            <v/>
          </cell>
          <cell r="G8805" t="str">
            <v/>
          </cell>
          <cell r="J8805" t="str">
            <v/>
          </cell>
          <cell r="O8805" t="str">
            <v/>
          </cell>
          <cell r="P8805" t="str">
            <v/>
          </cell>
          <cell r="Q8805" t="str">
            <v/>
          </cell>
          <cell r="S8805" t="str">
            <v/>
          </cell>
          <cell r="V8805" t="str">
            <v/>
          </cell>
          <cell r="Z8805" t="str">
            <v/>
          </cell>
          <cell r="AA8805" t="str">
            <v/>
          </cell>
          <cell r="AB8805" t="str">
            <v/>
          </cell>
          <cell r="AC8805" t="str">
            <v/>
          </cell>
          <cell r="AD8805" t="str">
            <v/>
          </cell>
          <cell r="AY8805" t="str">
            <v/>
          </cell>
          <cell r="AZ8805" t="str">
            <v/>
          </cell>
          <cell r="BA8805" t="str">
            <v/>
          </cell>
        </row>
        <row r="8806">
          <cell r="B8806" t="str">
            <v>-</v>
          </cell>
          <cell r="E8806" t="str">
            <v/>
          </cell>
          <cell r="G8806" t="str">
            <v/>
          </cell>
          <cell r="J8806" t="str">
            <v/>
          </cell>
          <cell r="O8806" t="str">
            <v/>
          </cell>
          <cell r="P8806" t="str">
            <v/>
          </cell>
          <cell r="Q8806" t="str">
            <v/>
          </cell>
          <cell r="S8806" t="str">
            <v/>
          </cell>
          <cell r="V8806" t="str">
            <v/>
          </cell>
          <cell r="Z8806" t="str">
            <v/>
          </cell>
          <cell r="AA8806" t="str">
            <v/>
          </cell>
          <cell r="AB8806" t="str">
            <v/>
          </cell>
          <cell r="AC8806" t="str">
            <v/>
          </cell>
          <cell r="AD8806" t="str">
            <v/>
          </cell>
          <cell r="AY8806" t="str">
            <v/>
          </cell>
          <cell r="AZ8806" t="str">
            <v/>
          </cell>
          <cell r="BA8806" t="str">
            <v/>
          </cell>
        </row>
        <row r="8807">
          <cell r="B8807" t="str">
            <v>-</v>
          </cell>
          <cell r="E8807" t="str">
            <v/>
          </cell>
          <cell r="G8807" t="str">
            <v/>
          </cell>
          <cell r="J8807" t="str">
            <v/>
          </cell>
          <cell r="O8807" t="str">
            <v/>
          </cell>
          <cell r="P8807" t="str">
            <v/>
          </cell>
          <cell r="Q8807" t="str">
            <v/>
          </cell>
          <cell r="S8807" t="str">
            <v/>
          </cell>
          <cell r="V8807" t="str">
            <v/>
          </cell>
          <cell r="Z8807" t="str">
            <v/>
          </cell>
          <cell r="AA8807" t="str">
            <v/>
          </cell>
          <cell r="AB8807" t="str">
            <v/>
          </cell>
          <cell r="AC8807" t="str">
            <v/>
          </cell>
          <cell r="AD8807" t="str">
            <v/>
          </cell>
          <cell r="AY8807" t="str">
            <v/>
          </cell>
          <cell r="AZ8807" t="str">
            <v/>
          </cell>
          <cell r="BA8807" t="str">
            <v/>
          </cell>
        </row>
        <row r="8808">
          <cell r="B8808" t="str">
            <v>-</v>
          </cell>
          <cell r="E8808" t="str">
            <v/>
          </cell>
          <cell r="G8808" t="str">
            <v/>
          </cell>
          <cell r="J8808" t="str">
            <v/>
          </cell>
          <cell r="O8808" t="str">
            <v/>
          </cell>
          <cell r="P8808" t="str">
            <v/>
          </cell>
          <cell r="Q8808" t="str">
            <v/>
          </cell>
          <cell r="S8808" t="str">
            <v/>
          </cell>
          <cell r="V8808" t="str">
            <v/>
          </cell>
          <cell r="Z8808" t="str">
            <v/>
          </cell>
          <cell r="AA8808" t="str">
            <v/>
          </cell>
          <cell r="AB8808" t="str">
            <v/>
          </cell>
          <cell r="AC8808" t="str">
            <v/>
          </cell>
          <cell r="AD8808" t="str">
            <v/>
          </cell>
          <cell r="AY8808" t="str">
            <v/>
          </cell>
          <cell r="AZ8808" t="str">
            <v/>
          </cell>
          <cell r="BA8808" t="str">
            <v/>
          </cell>
        </row>
        <row r="8809">
          <cell r="B8809" t="str">
            <v>-</v>
          </cell>
          <cell r="E8809" t="str">
            <v/>
          </cell>
          <cell r="G8809" t="str">
            <v/>
          </cell>
          <cell r="J8809" t="str">
            <v/>
          </cell>
          <cell r="O8809" t="str">
            <v/>
          </cell>
          <cell r="P8809" t="str">
            <v/>
          </cell>
          <cell r="Q8809" t="str">
            <v/>
          </cell>
          <cell r="S8809" t="str">
            <v/>
          </cell>
          <cell r="V8809" t="str">
            <v/>
          </cell>
          <cell r="Z8809" t="str">
            <v/>
          </cell>
          <cell r="AA8809" t="str">
            <v/>
          </cell>
          <cell r="AB8809" t="str">
            <v/>
          </cell>
          <cell r="AC8809" t="str">
            <v/>
          </cell>
          <cell r="AD8809" t="str">
            <v/>
          </cell>
          <cell r="AY8809" t="str">
            <v/>
          </cell>
          <cell r="AZ8809" t="str">
            <v/>
          </cell>
          <cell r="BA8809" t="str">
            <v/>
          </cell>
        </row>
        <row r="8810">
          <cell r="B8810" t="str">
            <v>-</v>
          </cell>
          <cell r="E8810" t="str">
            <v/>
          </cell>
          <cell r="G8810" t="str">
            <v/>
          </cell>
          <cell r="J8810" t="str">
            <v/>
          </cell>
          <cell r="O8810" t="str">
            <v/>
          </cell>
          <cell r="P8810" t="str">
            <v/>
          </cell>
          <cell r="Q8810" t="str">
            <v/>
          </cell>
          <cell r="S8810" t="str">
            <v/>
          </cell>
          <cell r="V8810" t="str">
            <v/>
          </cell>
          <cell r="Z8810" t="str">
            <v/>
          </cell>
          <cell r="AA8810" t="str">
            <v/>
          </cell>
          <cell r="AB8810" t="str">
            <v/>
          </cell>
          <cell r="AC8810" t="str">
            <v/>
          </cell>
          <cell r="AD8810" t="str">
            <v/>
          </cell>
          <cell r="AY8810" t="str">
            <v/>
          </cell>
          <cell r="AZ8810" t="str">
            <v/>
          </cell>
          <cell r="BA8810" t="str">
            <v/>
          </cell>
        </row>
        <row r="8811">
          <cell r="B8811" t="str">
            <v>-</v>
          </cell>
          <cell r="E8811" t="str">
            <v/>
          </cell>
          <cell r="G8811" t="str">
            <v/>
          </cell>
          <cell r="J8811" t="str">
            <v/>
          </cell>
          <cell r="O8811" t="str">
            <v/>
          </cell>
          <cell r="P8811" t="str">
            <v/>
          </cell>
          <cell r="Q8811" t="str">
            <v/>
          </cell>
          <cell r="S8811" t="str">
            <v/>
          </cell>
          <cell r="V8811" t="str">
            <v/>
          </cell>
          <cell r="Z8811" t="str">
            <v/>
          </cell>
          <cell r="AA8811" t="str">
            <v/>
          </cell>
          <cell r="AB8811" t="str">
            <v/>
          </cell>
          <cell r="AC8811" t="str">
            <v/>
          </cell>
          <cell r="AD8811" t="str">
            <v/>
          </cell>
          <cell r="AY8811" t="str">
            <v/>
          </cell>
          <cell r="AZ8811" t="str">
            <v/>
          </cell>
          <cell r="BA8811" t="str">
            <v/>
          </cell>
        </row>
        <row r="8812">
          <cell r="B8812" t="str">
            <v>-</v>
          </cell>
          <cell r="E8812" t="str">
            <v/>
          </cell>
          <cell r="G8812" t="str">
            <v/>
          </cell>
          <cell r="J8812" t="str">
            <v/>
          </cell>
          <cell r="O8812" t="str">
            <v/>
          </cell>
          <cell r="P8812" t="str">
            <v/>
          </cell>
          <cell r="Q8812" t="str">
            <v/>
          </cell>
          <cell r="S8812" t="str">
            <v/>
          </cell>
          <cell r="V8812" t="str">
            <v/>
          </cell>
          <cell r="Z8812" t="str">
            <v/>
          </cell>
          <cell r="AA8812" t="str">
            <v/>
          </cell>
          <cell r="AB8812" t="str">
            <v/>
          </cell>
          <cell r="AC8812" t="str">
            <v/>
          </cell>
          <cell r="AD8812" t="str">
            <v/>
          </cell>
          <cell r="AY8812" t="str">
            <v/>
          </cell>
          <cell r="AZ8812" t="str">
            <v/>
          </cell>
          <cell r="BA8812" t="str">
            <v/>
          </cell>
        </row>
        <row r="8813">
          <cell r="B8813" t="str">
            <v>-</v>
          </cell>
          <cell r="E8813" t="str">
            <v/>
          </cell>
          <cell r="G8813" t="str">
            <v/>
          </cell>
          <cell r="J8813" t="str">
            <v/>
          </cell>
          <cell r="O8813" t="str">
            <v/>
          </cell>
          <cell r="P8813" t="str">
            <v/>
          </cell>
          <cell r="Q8813" t="str">
            <v/>
          </cell>
          <cell r="S8813" t="str">
            <v/>
          </cell>
          <cell r="V8813" t="str">
            <v/>
          </cell>
          <cell r="Z8813" t="str">
            <v/>
          </cell>
          <cell r="AA8813" t="str">
            <v/>
          </cell>
          <cell r="AB8813" t="str">
            <v/>
          </cell>
          <cell r="AC8813" t="str">
            <v/>
          </cell>
          <cell r="AD8813" t="str">
            <v/>
          </cell>
          <cell r="AY8813" t="str">
            <v/>
          </cell>
          <cell r="AZ8813" t="str">
            <v/>
          </cell>
          <cell r="BA8813" t="str">
            <v/>
          </cell>
        </row>
        <row r="8814">
          <cell r="B8814" t="str">
            <v>-</v>
          </cell>
          <cell r="E8814" t="str">
            <v/>
          </cell>
          <cell r="G8814" t="str">
            <v/>
          </cell>
          <cell r="J8814" t="str">
            <v/>
          </cell>
          <cell r="O8814" t="str">
            <v/>
          </cell>
          <cell r="P8814" t="str">
            <v/>
          </cell>
          <cell r="Q8814" t="str">
            <v/>
          </cell>
          <cell r="S8814" t="str">
            <v/>
          </cell>
          <cell r="V8814" t="str">
            <v/>
          </cell>
          <cell r="Z8814" t="str">
            <v/>
          </cell>
          <cell r="AA8814" t="str">
            <v/>
          </cell>
          <cell r="AB8814" t="str">
            <v/>
          </cell>
          <cell r="AC8814" t="str">
            <v/>
          </cell>
          <cell r="AD8814" t="str">
            <v/>
          </cell>
          <cell r="AY8814" t="str">
            <v/>
          </cell>
          <cell r="AZ8814" t="str">
            <v/>
          </cell>
          <cell r="BA8814" t="str">
            <v/>
          </cell>
        </row>
        <row r="8815">
          <cell r="B8815" t="str">
            <v>-</v>
          </cell>
          <cell r="E8815" t="str">
            <v/>
          </cell>
          <cell r="G8815" t="str">
            <v/>
          </cell>
          <cell r="J8815" t="str">
            <v/>
          </cell>
          <cell r="O8815" t="str">
            <v/>
          </cell>
          <cell r="P8815" t="str">
            <v/>
          </cell>
          <cell r="Q8815" t="str">
            <v/>
          </cell>
          <cell r="S8815" t="str">
            <v/>
          </cell>
          <cell r="V8815" t="str">
            <v/>
          </cell>
          <cell r="Z8815" t="str">
            <v/>
          </cell>
          <cell r="AA8815" t="str">
            <v/>
          </cell>
          <cell r="AB8815" t="str">
            <v/>
          </cell>
          <cell r="AC8815" t="str">
            <v/>
          </cell>
          <cell r="AD8815" t="str">
            <v/>
          </cell>
          <cell r="AY8815" t="str">
            <v/>
          </cell>
          <cell r="AZ8815" t="str">
            <v/>
          </cell>
          <cell r="BA8815" t="str">
            <v/>
          </cell>
        </row>
        <row r="8816">
          <cell r="B8816" t="str">
            <v>-</v>
          </cell>
          <cell r="E8816" t="str">
            <v/>
          </cell>
          <cell r="G8816" t="str">
            <v/>
          </cell>
          <cell r="J8816" t="str">
            <v/>
          </cell>
          <cell r="O8816" t="str">
            <v/>
          </cell>
          <cell r="P8816" t="str">
            <v/>
          </cell>
          <cell r="Q8816" t="str">
            <v/>
          </cell>
          <cell r="S8816" t="str">
            <v/>
          </cell>
          <cell r="V8816" t="str">
            <v/>
          </cell>
          <cell r="Z8816" t="str">
            <v/>
          </cell>
          <cell r="AA8816" t="str">
            <v/>
          </cell>
          <cell r="AB8816" t="str">
            <v/>
          </cell>
          <cell r="AC8816" t="str">
            <v/>
          </cell>
          <cell r="AD8816" t="str">
            <v/>
          </cell>
          <cell r="AY8816" t="str">
            <v/>
          </cell>
          <cell r="AZ8816" t="str">
            <v/>
          </cell>
          <cell r="BA8816" t="str">
            <v/>
          </cell>
        </row>
        <row r="8817">
          <cell r="B8817" t="str">
            <v>-</v>
          </cell>
          <cell r="E8817" t="str">
            <v/>
          </cell>
          <cell r="G8817" t="str">
            <v/>
          </cell>
          <cell r="J8817" t="str">
            <v/>
          </cell>
          <cell r="O8817" t="str">
            <v/>
          </cell>
          <cell r="P8817" t="str">
            <v/>
          </cell>
          <cell r="Q8817" t="str">
            <v/>
          </cell>
          <cell r="S8817" t="str">
            <v/>
          </cell>
          <cell r="V8817" t="str">
            <v/>
          </cell>
          <cell r="Z8817" t="str">
            <v/>
          </cell>
          <cell r="AA8817" t="str">
            <v/>
          </cell>
          <cell r="AB8817" t="str">
            <v/>
          </cell>
          <cell r="AC8817" t="str">
            <v/>
          </cell>
          <cell r="AD8817" t="str">
            <v/>
          </cell>
          <cell r="AY8817" t="str">
            <v/>
          </cell>
          <cell r="AZ8817" t="str">
            <v/>
          </cell>
          <cell r="BA8817" t="str">
            <v/>
          </cell>
        </row>
        <row r="8818">
          <cell r="B8818" t="str">
            <v>-</v>
          </cell>
          <cell r="E8818" t="str">
            <v/>
          </cell>
          <cell r="G8818" t="str">
            <v/>
          </cell>
          <cell r="J8818" t="str">
            <v/>
          </cell>
          <cell r="O8818" t="str">
            <v/>
          </cell>
          <cell r="P8818" t="str">
            <v/>
          </cell>
          <cell r="Q8818" t="str">
            <v/>
          </cell>
          <cell r="S8818" t="str">
            <v/>
          </cell>
          <cell r="V8818" t="str">
            <v/>
          </cell>
          <cell r="Z8818" t="str">
            <v/>
          </cell>
          <cell r="AA8818" t="str">
            <v/>
          </cell>
          <cell r="AB8818" t="str">
            <v/>
          </cell>
          <cell r="AC8818" t="str">
            <v/>
          </cell>
          <cell r="AD8818" t="str">
            <v/>
          </cell>
          <cell r="AY8818" t="str">
            <v/>
          </cell>
          <cell r="AZ8818" t="str">
            <v/>
          </cell>
          <cell r="BA8818" t="str">
            <v/>
          </cell>
        </row>
        <row r="8819">
          <cell r="B8819" t="str">
            <v>-</v>
          </cell>
          <cell r="E8819" t="str">
            <v/>
          </cell>
          <cell r="G8819" t="str">
            <v/>
          </cell>
          <cell r="J8819" t="str">
            <v/>
          </cell>
          <cell r="O8819" t="str">
            <v/>
          </cell>
          <cell r="P8819" t="str">
            <v/>
          </cell>
          <cell r="Q8819" t="str">
            <v/>
          </cell>
          <cell r="S8819" t="str">
            <v/>
          </cell>
          <cell r="V8819" t="str">
            <v/>
          </cell>
          <cell r="Z8819" t="str">
            <v/>
          </cell>
          <cell r="AA8819" t="str">
            <v/>
          </cell>
          <cell r="AB8819" t="str">
            <v/>
          </cell>
          <cell r="AC8819" t="str">
            <v/>
          </cell>
          <cell r="AD8819" t="str">
            <v/>
          </cell>
          <cell r="AY8819" t="str">
            <v/>
          </cell>
          <cell r="AZ8819" t="str">
            <v/>
          </cell>
          <cell r="BA8819" t="str">
            <v/>
          </cell>
        </row>
        <row r="8820">
          <cell r="B8820" t="str">
            <v>-</v>
          </cell>
          <cell r="E8820" t="str">
            <v/>
          </cell>
          <cell r="G8820" t="str">
            <v/>
          </cell>
          <cell r="J8820" t="str">
            <v/>
          </cell>
          <cell r="O8820" t="str">
            <v/>
          </cell>
          <cell r="P8820" t="str">
            <v/>
          </cell>
          <cell r="Q8820" t="str">
            <v/>
          </cell>
          <cell r="S8820" t="str">
            <v/>
          </cell>
          <cell r="V8820" t="str">
            <v/>
          </cell>
          <cell r="Z8820" t="str">
            <v/>
          </cell>
          <cell r="AA8820" t="str">
            <v/>
          </cell>
          <cell r="AB8820" t="str">
            <v/>
          </cell>
          <cell r="AC8820" t="str">
            <v/>
          </cell>
          <cell r="AD8820" t="str">
            <v/>
          </cell>
          <cell r="AY8820" t="str">
            <v/>
          </cell>
          <cell r="AZ8820" t="str">
            <v/>
          </cell>
          <cell r="BA8820" t="str">
            <v/>
          </cell>
        </row>
        <row r="8821">
          <cell r="B8821" t="str">
            <v>-</v>
          </cell>
          <cell r="E8821" t="str">
            <v/>
          </cell>
          <cell r="G8821" t="str">
            <v/>
          </cell>
          <cell r="J8821" t="str">
            <v/>
          </cell>
          <cell r="O8821" t="str">
            <v/>
          </cell>
          <cell r="P8821" t="str">
            <v/>
          </cell>
          <cell r="Q8821" t="str">
            <v/>
          </cell>
          <cell r="S8821" t="str">
            <v/>
          </cell>
          <cell r="V8821" t="str">
            <v/>
          </cell>
          <cell r="Z8821" t="str">
            <v/>
          </cell>
          <cell r="AA8821" t="str">
            <v/>
          </cell>
          <cell r="AB8821" t="str">
            <v/>
          </cell>
          <cell r="AC8821" t="str">
            <v/>
          </cell>
          <cell r="AD8821" t="str">
            <v/>
          </cell>
          <cell r="AY8821" t="str">
            <v/>
          </cell>
          <cell r="AZ8821" t="str">
            <v/>
          </cell>
          <cell r="BA8821" t="str">
            <v/>
          </cell>
        </row>
        <row r="8822">
          <cell r="B8822" t="str">
            <v>-</v>
          </cell>
          <cell r="E8822" t="str">
            <v/>
          </cell>
          <cell r="G8822" t="str">
            <v/>
          </cell>
          <cell r="J8822" t="str">
            <v/>
          </cell>
          <cell r="O8822" t="str">
            <v/>
          </cell>
          <cell r="P8822" t="str">
            <v/>
          </cell>
          <cell r="Q8822" t="str">
            <v/>
          </cell>
          <cell r="S8822" t="str">
            <v/>
          </cell>
          <cell r="V8822" t="str">
            <v/>
          </cell>
          <cell r="Z8822" t="str">
            <v/>
          </cell>
          <cell r="AA8822" t="str">
            <v/>
          </cell>
          <cell r="AB8822" t="str">
            <v/>
          </cell>
          <cell r="AC8822" t="str">
            <v/>
          </cell>
          <cell r="AD8822" t="str">
            <v/>
          </cell>
          <cell r="AY8822" t="str">
            <v/>
          </cell>
          <cell r="AZ8822" t="str">
            <v/>
          </cell>
          <cell r="BA8822" t="str">
            <v/>
          </cell>
        </row>
        <row r="8823">
          <cell r="B8823" t="str">
            <v>-</v>
          </cell>
          <cell r="E8823" t="str">
            <v/>
          </cell>
          <cell r="G8823" t="str">
            <v/>
          </cell>
          <cell r="J8823" t="str">
            <v/>
          </cell>
          <cell r="O8823" t="str">
            <v/>
          </cell>
          <cell r="P8823" t="str">
            <v/>
          </cell>
          <cell r="Q8823" t="str">
            <v/>
          </cell>
          <cell r="S8823" t="str">
            <v/>
          </cell>
          <cell r="V8823" t="str">
            <v/>
          </cell>
          <cell r="Z8823" t="str">
            <v/>
          </cell>
          <cell r="AA8823" t="str">
            <v/>
          </cell>
          <cell r="AB8823" t="str">
            <v/>
          </cell>
          <cell r="AC8823" t="str">
            <v/>
          </cell>
          <cell r="AD8823" t="str">
            <v/>
          </cell>
          <cell r="AY8823" t="str">
            <v/>
          </cell>
          <cell r="AZ8823" t="str">
            <v/>
          </cell>
          <cell r="BA8823" t="str">
            <v/>
          </cell>
        </row>
        <row r="8824">
          <cell r="B8824" t="str">
            <v>-</v>
          </cell>
          <cell r="E8824" t="str">
            <v/>
          </cell>
          <cell r="G8824" t="str">
            <v/>
          </cell>
          <cell r="J8824" t="str">
            <v/>
          </cell>
          <cell r="O8824" t="str">
            <v/>
          </cell>
          <cell r="P8824" t="str">
            <v/>
          </cell>
          <cell r="Q8824" t="str">
            <v/>
          </cell>
          <cell r="S8824" t="str">
            <v/>
          </cell>
          <cell r="V8824" t="str">
            <v/>
          </cell>
          <cell r="Z8824" t="str">
            <v/>
          </cell>
          <cell r="AA8824" t="str">
            <v/>
          </cell>
          <cell r="AB8824" t="str">
            <v/>
          </cell>
          <cell r="AC8824" t="str">
            <v/>
          </cell>
          <cell r="AD8824" t="str">
            <v/>
          </cell>
          <cell r="AY8824" t="str">
            <v/>
          </cell>
          <cell r="AZ8824" t="str">
            <v/>
          </cell>
          <cell r="BA8824" t="str">
            <v/>
          </cell>
        </row>
        <row r="8825">
          <cell r="B8825" t="str">
            <v>-</v>
          </cell>
          <cell r="E8825" t="str">
            <v/>
          </cell>
          <cell r="G8825" t="str">
            <v/>
          </cell>
          <cell r="J8825" t="str">
            <v/>
          </cell>
          <cell r="O8825" t="str">
            <v/>
          </cell>
          <cell r="P8825" t="str">
            <v/>
          </cell>
          <cell r="Q8825" t="str">
            <v/>
          </cell>
          <cell r="S8825" t="str">
            <v/>
          </cell>
          <cell r="V8825" t="str">
            <v/>
          </cell>
          <cell r="Z8825" t="str">
            <v/>
          </cell>
          <cell r="AA8825" t="str">
            <v/>
          </cell>
          <cell r="AB8825" t="str">
            <v/>
          </cell>
          <cell r="AC8825" t="str">
            <v/>
          </cell>
          <cell r="AD8825" t="str">
            <v/>
          </cell>
          <cell r="AY8825" t="str">
            <v/>
          </cell>
          <cell r="AZ8825" t="str">
            <v/>
          </cell>
          <cell r="BA8825" t="str">
            <v/>
          </cell>
        </row>
        <row r="8826">
          <cell r="B8826" t="str">
            <v>-</v>
          </cell>
          <cell r="E8826" t="str">
            <v/>
          </cell>
          <cell r="G8826" t="str">
            <v/>
          </cell>
          <cell r="J8826" t="str">
            <v/>
          </cell>
          <cell r="O8826" t="str">
            <v/>
          </cell>
          <cell r="P8826" t="str">
            <v/>
          </cell>
          <cell r="Q8826" t="str">
            <v/>
          </cell>
          <cell r="S8826" t="str">
            <v/>
          </cell>
          <cell r="V8826" t="str">
            <v/>
          </cell>
          <cell r="Z8826" t="str">
            <v/>
          </cell>
          <cell r="AA8826" t="str">
            <v/>
          </cell>
          <cell r="AB8826" t="str">
            <v/>
          </cell>
          <cell r="AC8826" t="str">
            <v/>
          </cell>
          <cell r="AD8826" t="str">
            <v/>
          </cell>
          <cell r="AY8826" t="str">
            <v/>
          </cell>
          <cell r="AZ8826" t="str">
            <v/>
          </cell>
          <cell r="BA8826" t="str">
            <v/>
          </cell>
        </row>
        <row r="8827">
          <cell r="B8827" t="str">
            <v>-</v>
          </cell>
          <cell r="E8827" t="str">
            <v/>
          </cell>
          <cell r="G8827" t="str">
            <v/>
          </cell>
          <cell r="J8827" t="str">
            <v/>
          </cell>
          <cell r="O8827" t="str">
            <v/>
          </cell>
          <cell r="P8827" t="str">
            <v/>
          </cell>
          <cell r="Q8827" t="str">
            <v/>
          </cell>
          <cell r="S8827" t="str">
            <v/>
          </cell>
          <cell r="V8827" t="str">
            <v/>
          </cell>
          <cell r="Z8827" t="str">
            <v/>
          </cell>
          <cell r="AA8827" t="str">
            <v/>
          </cell>
          <cell r="AB8827" t="str">
            <v/>
          </cell>
          <cell r="AC8827" t="str">
            <v/>
          </cell>
          <cell r="AD8827" t="str">
            <v/>
          </cell>
          <cell r="AY8827" t="str">
            <v/>
          </cell>
          <cell r="AZ8827" t="str">
            <v/>
          </cell>
          <cell r="BA8827" t="str">
            <v/>
          </cell>
        </row>
        <row r="8828">
          <cell r="B8828" t="str">
            <v>-</v>
          </cell>
          <cell r="E8828" t="str">
            <v/>
          </cell>
          <cell r="G8828" t="str">
            <v/>
          </cell>
          <cell r="J8828" t="str">
            <v/>
          </cell>
          <cell r="O8828" t="str">
            <v/>
          </cell>
          <cell r="P8828" t="str">
            <v/>
          </cell>
          <cell r="Q8828" t="str">
            <v/>
          </cell>
          <cell r="S8828" t="str">
            <v/>
          </cell>
          <cell r="V8828" t="str">
            <v/>
          </cell>
          <cell r="Z8828" t="str">
            <v/>
          </cell>
          <cell r="AA8828" t="str">
            <v/>
          </cell>
          <cell r="AB8828" t="str">
            <v/>
          </cell>
          <cell r="AC8828" t="str">
            <v/>
          </cell>
          <cell r="AD8828" t="str">
            <v/>
          </cell>
          <cell r="AY8828" t="str">
            <v/>
          </cell>
          <cell r="AZ8828" t="str">
            <v/>
          </cell>
          <cell r="BA8828" t="str">
            <v/>
          </cell>
        </row>
        <row r="8829">
          <cell r="B8829" t="str">
            <v>-</v>
          </cell>
          <cell r="E8829" t="str">
            <v/>
          </cell>
          <cell r="G8829" t="str">
            <v/>
          </cell>
          <cell r="J8829" t="str">
            <v/>
          </cell>
          <cell r="O8829" t="str">
            <v/>
          </cell>
          <cell r="P8829" t="str">
            <v/>
          </cell>
          <cell r="Q8829" t="str">
            <v/>
          </cell>
          <cell r="S8829" t="str">
            <v/>
          </cell>
          <cell r="V8829" t="str">
            <v/>
          </cell>
          <cell r="Z8829" t="str">
            <v/>
          </cell>
          <cell r="AA8829" t="str">
            <v/>
          </cell>
          <cell r="AB8829" t="str">
            <v/>
          </cell>
          <cell r="AC8829" t="str">
            <v/>
          </cell>
          <cell r="AD8829" t="str">
            <v/>
          </cell>
          <cell r="AY8829" t="str">
            <v/>
          </cell>
          <cell r="AZ8829" t="str">
            <v/>
          </cell>
          <cell r="BA8829" t="str">
            <v/>
          </cell>
        </row>
        <row r="8830">
          <cell r="B8830" t="str">
            <v>-</v>
          </cell>
          <cell r="E8830" t="str">
            <v/>
          </cell>
          <cell r="G8830" t="str">
            <v/>
          </cell>
          <cell r="J8830" t="str">
            <v/>
          </cell>
          <cell r="O8830" t="str">
            <v/>
          </cell>
          <cell r="P8830" t="str">
            <v/>
          </cell>
          <cell r="Q8830" t="str">
            <v/>
          </cell>
          <cell r="S8830" t="str">
            <v/>
          </cell>
          <cell r="V8830" t="str">
            <v/>
          </cell>
          <cell r="Z8830" t="str">
            <v/>
          </cell>
          <cell r="AA8830" t="str">
            <v/>
          </cell>
          <cell r="AB8830" t="str">
            <v/>
          </cell>
          <cell r="AC8830" t="str">
            <v/>
          </cell>
          <cell r="AD8830" t="str">
            <v/>
          </cell>
          <cell r="AY8830" t="str">
            <v/>
          </cell>
          <cell r="AZ8830" t="str">
            <v/>
          </cell>
          <cell r="BA8830" t="str">
            <v/>
          </cell>
        </row>
        <row r="8831">
          <cell r="B8831" t="str">
            <v>-</v>
          </cell>
          <cell r="E8831" t="str">
            <v/>
          </cell>
          <cell r="G8831" t="str">
            <v/>
          </cell>
          <cell r="J8831" t="str">
            <v/>
          </cell>
          <cell r="O8831" t="str">
            <v/>
          </cell>
          <cell r="P8831" t="str">
            <v/>
          </cell>
          <cell r="Q8831" t="str">
            <v/>
          </cell>
          <cell r="S8831" t="str">
            <v/>
          </cell>
          <cell r="V8831" t="str">
            <v/>
          </cell>
          <cell r="Z8831" t="str">
            <v/>
          </cell>
          <cell r="AA8831" t="str">
            <v/>
          </cell>
          <cell r="AB8831" t="str">
            <v/>
          </cell>
          <cell r="AC8831" t="str">
            <v/>
          </cell>
          <cell r="AD8831" t="str">
            <v/>
          </cell>
          <cell r="AY8831" t="str">
            <v/>
          </cell>
          <cell r="AZ8831" t="str">
            <v/>
          </cell>
          <cell r="BA8831" t="str">
            <v/>
          </cell>
        </row>
        <row r="8832">
          <cell r="B8832" t="str">
            <v>-</v>
          </cell>
          <cell r="E8832" t="str">
            <v/>
          </cell>
          <cell r="G8832" t="str">
            <v/>
          </cell>
          <cell r="J8832" t="str">
            <v/>
          </cell>
          <cell r="O8832" t="str">
            <v/>
          </cell>
          <cell r="P8832" t="str">
            <v/>
          </cell>
          <cell r="Q8832" t="str">
            <v/>
          </cell>
          <cell r="S8832" t="str">
            <v/>
          </cell>
          <cell r="V8832" t="str">
            <v/>
          </cell>
          <cell r="Z8832" t="str">
            <v/>
          </cell>
          <cell r="AA8832" t="str">
            <v/>
          </cell>
          <cell r="AB8832" t="str">
            <v/>
          </cell>
          <cell r="AC8832" t="str">
            <v/>
          </cell>
          <cell r="AD8832" t="str">
            <v/>
          </cell>
          <cell r="AY8832" t="str">
            <v/>
          </cell>
          <cell r="AZ8832" t="str">
            <v/>
          </cell>
          <cell r="BA8832" t="str">
            <v/>
          </cell>
        </row>
        <row r="8833">
          <cell r="B8833" t="str">
            <v>-</v>
          </cell>
          <cell r="E8833" t="str">
            <v/>
          </cell>
          <cell r="G8833" t="str">
            <v/>
          </cell>
          <cell r="J8833" t="str">
            <v/>
          </cell>
          <cell r="O8833" t="str">
            <v/>
          </cell>
          <cell r="P8833" t="str">
            <v/>
          </cell>
          <cell r="Q8833" t="str">
            <v/>
          </cell>
          <cell r="S8833" t="str">
            <v/>
          </cell>
          <cell r="V8833" t="str">
            <v/>
          </cell>
          <cell r="Z8833" t="str">
            <v/>
          </cell>
          <cell r="AA8833" t="str">
            <v/>
          </cell>
          <cell r="AB8833" t="str">
            <v/>
          </cell>
          <cell r="AC8833" t="str">
            <v/>
          </cell>
          <cell r="AD8833" t="str">
            <v/>
          </cell>
          <cell r="AY8833" t="str">
            <v/>
          </cell>
          <cell r="AZ8833" t="str">
            <v/>
          </cell>
          <cell r="BA8833" t="str">
            <v/>
          </cell>
        </row>
        <row r="8834">
          <cell r="B8834" t="str">
            <v>-</v>
          </cell>
          <cell r="E8834" t="str">
            <v/>
          </cell>
          <cell r="G8834" t="str">
            <v/>
          </cell>
          <cell r="J8834" t="str">
            <v/>
          </cell>
          <cell r="O8834" t="str">
            <v/>
          </cell>
          <cell r="P8834" t="str">
            <v/>
          </cell>
          <cell r="Q8834" t="str">
            <v/>
          </cell>
          <cell r="S8834" t="str">
            <v/>
          </cell>
          <cell r="V8834" t="str">
            <v/>
          </cell>
          <cell r="Z8834" t="str">
            <v/>
          </cell>
          <cell r="AA8834" t="str">
            <v/>
          </cell>
          <cell r="AB8834" t="str">
            <v/>
          </cell>
          <cell r="AC8834" t="str">
            <v/>
          </cell>
          <cell r="AD8834" t="str">
            <v/>
          </cell>
          <cell r="AY8834" t="str">
            <v/>
          </cell>
          <cell r="AZ8834" t="str">
            <v/>
          </cell>
          <cell r="BA8834" t="str">
            <v/>
          </cell>
        </row>
        <row r="8835">
          <cell r="B8835" t="str">
            <v>-</v>
          </cell>
          <cell r="E8835" t="str">
            <v/>
          </cell>
          <cell r="G8835" t="str">
            <v/>
          </cell>
          <cell r="J8835" t="str">
            <v/>
          </cell>
          <cell r="O8835" t="str">
            <v/>
          </cell>
          <cell r="P8835" t="str">
            <v/>
          </cell>
          <cell r="Q8835" t="str">
            <v/>
          </cell>
          <cell r="S8835" t="str">
            <v/>
          </cell>
          <cell r="V8835" t="str">
            <v/>
          </cell>
          <cell r="Z8835" t="str">
            <v/>
          </cell>
          <cell r="AA8835" t="str">
            <v/>
          </cell>
          <cell r="AB8835" t="str">
            <v/>
          </cell>
          <cell r="AC8835" t="str">
            <v/>
          </cell>
          <cell r="AD8835" t="str">
            <v/>
          </cell>
          <cell r="AY8835" t="str">
            <v/>
          </cell>
          <cell r="AZ8835" t="str">
            <v/>
          </cell>
          <cell r="BA8835" t="str">
            <v/>
          </cell>
        </row>
        <row r="8836">
          <cell r="B8836" t="str">
            <v>-</v>
          </cell>
          <cell r="E8836" t="str">
            <v/>
          </cell>
          <cell r="G8836" t="str">
            <v/>
          </cell>
          <cell r="J8836" t="str">
            <v/>
          </cell>
          <cell r="O8836" t="str">
            <v/>
          </cell>
          <cell r="P8836" t="str">
            <v/>
          </cell>
          <cell r="Q8836" t="str">
            <v/>
          </cell>
          <cell r="S8836" t="str">
            <v/>
          </cell>
          <cell r="V8836" t="str">
            <v/>
          </cell>
          <cell r="Z8836" t="str">
            <v/>
          </cell>
          <cell r="AA8836" t="str">
            <v/>
          </cell>
          <cell r="AB8836" t="str">
            <v/>
          </cell>
          <cell r="AC8836" t="str">
            <v/>
          </cell>
          <cell r="AD8836" t="str">
            <v/>
          </cell>
          <cell r="AY8836" t="str">
            <v/>
          </cell>
          <cell r="AZ8836" t="str">
            <v/>
          </cell>
          <cell r="BA8836" t="str">
            <v/>
          </cell>
        </row>
        <row r="8837">
          <cell r="B8837" t="str">
            <v>-</v>
          </cell>
          <cell r="E8837" t="str">
            <v/>
          </cell>
          <cell r="G8837" t="str">
            <v/>
          </cell>
          <cell r="J8837" t="str">
            <v/>
          </cell>
          <cell r="O8837" t="str">
            <v/>
          </cell>
          <cell r="P8837" t="str">
            <v/>
          </cell>
          <cell r="Q8837" t="str">
            <v/>
          </cell>
          <cell r="S8837" t="str">
            <v/>
          </cell>
          <cell r="V8837" t="str">
            <v/>
          </cell>
          <cell r="Z8837" t="str">
            <v/>
          </cell>
          <cell r="AA8837" t="str">
            <v/>
          </cell>
          <cell r="AB8837" t="str">
            <v/>
          </cell>
          <cell r="AC8837" t="str">
            <v/>
          </cell>
          <cell r="AD8837" t="str">
            <v/>
          </cell>
          <cell r="AY8837" t="str">
            <v/>
          </cell>
          <cell r="AZ8837" t="str">
            <v/>
          </cell>
          <cell r="BA8837" t="str">
            <v/>
          </cell>
        </row>
        <row r="8838">
          <cell r="B8838" t="str">
            <v>-</v>
          </cell>
          <cell r="E8838" t="str">
            <v/>
          </cell>
          <cell r="G8838" t="str">
            <v/>
          </cell>
          <cell r="J8838" t="str">
            <v/>
          </cell>
          <cell r="O8838" t="str">
            <v/>
          </cell>
          <cell r="P8838" t="str">
            <v/>
          </cell>
          <cell r="Q8838" t="str">
            <v/>
          </cell>
          <cell r="S8838" t="str">
            <v/>
          </cell>
          <cell r="V8838" t="str">
            <v/>
          </cell>
          <cell r="Z8838" t="str">
            <v/>
          </cell>
          <cell r="AA8838" t="str">
            <v/>
          </cell>
          <cell r="AB8838" t="str">
            <v/>
          </cell>
          <cell r="AC8838" t="str">
            <v/>
          </cell>
          <cell r="AD8838" t="str">
            <v/>
          </cell>
          <cell r="AY8838" t="str">
            <v/>
          </cell>
          <cell r="AZ8838" t="str">
            <v/>
          </cell>
          <cell r="BA8838" t="str">
            <v/>
          </cell>
        </row>
        <row r="8839">
          <cell r="B8839" t="str">
            <v>-</v>
          </cell>
          <cell r="E8839" t="str">
            <v/>
          </cell>
          <cell r="G8839" t="str">
            <v/>
          </cell>
          <cell r="J8839" t="str">
            <v/>
          </cell>
          <cell r="O8839" t="str">
            <v/>
          </cell>
          <cell r="P8839" t="str">
            <v/>
          </cell>
          <cell r="Q8839" t="str">
            <v/>
          </cell>
          <cell r="S8839" t="str">
            <v/>
          </cell>
          <cell r="V8839" t="str">
            <v/>
          </cell>
          <cell r="Z8839" t="str">
            <v/>
          </cell>
          <cell r="AA8839" t="str">
            <v/>
          </cell>
          <cell r="AB8839" t="str">
            <v/>
          </cell>
          <cell r="AC8839" t="str">
            <v/>
          </cell>
          <cell r="AD8839" t="str">
            <v/>
          </cell>
          <cell r="AY8839" t="str">
            <v/>
          </cell>
          <cell r="AZ8839" t="str">
            <v/>
          </cell>
          <cell r="BA8839" t="str">
            <v/>
          </cell>
        </row>
        <row r="8840">
          <cell r="B8840" t="str">
            <v>-</v>
          </cell>
          <cell r="E8840" t="str">
            <v/>
          </cell>
          <cell r="G8840" t="str">
            <v/>
          </cell>
          <cell r="J8840" t="str">
            <v/>
          </cell>
          <cell r="O8840" t="str">
            <v/>
          </cell>
          <cell r="P8840" t="str">
            <v/>
          </cell>
          <cell r="Q8840" t="str">
            <v/>
          </cell>
          <cell r="S8840" t="str">
            <v/>
          </cell>
          <cell r="V8840" t="str">
            <v/>
          </cell>
          <cell r="Z8840" t="str">
            <v/>
          </cell>
          <cell r="AA8840" t="str">
            <v/>
          </cell>
          <cell r="AB8840" t="str">
            <v/>
          </cell>
          <cell r="AC8840" t="str">
            <v/>
          </cell>
          <cell r="AD8840" t="str">
            <v/>
          </cell>
          <cell r="AY8840" t="str">
            <v/>
          </cell>
          <cell r="AZ8840" t="str">
            <v/>
          </cell>
          <cell r="BA8840" t="str">
            <v/>
          </cell>
        </row>
        <row r="8841">
          <cell r="B8841" t="str">
            <v>-</v>
          </cell>
          <cell r="E8841" t="str">
            <v/>
          </cell>
          <cell r="G8841" t="str">
            <v/>
          </cell>
          <cell r="J8841" t="str">
            <v/>
          </cell>
          <cell r="O8841" t="str">
            <v/>
          </cell>
          <cell r="P8841" t="str">
            <v/>
          </cell>
          <cell r="Q8841" t="str">
            <v/>
          </cell>
          <cell r="S8841" t="str">
            <v/>
          </cell>
          <cell r="V8841" t="str">
            <v/>
          </cell>
          <cell r="Z8841" t="str">
            <v/>
          </cell>
          <cell r="AA8841" t="str">
            <v/>
          </cell>
          <cell r="AB8841" t="str">
            <v/>
          </cell>
          <cell r="AC8841" t="str">
            <v/>
          </cell>
          <cell r="AD8841" t="str">
            <v/>
          </cell>
          <cell r="AY8841" t="str">
            <v/>
          </cell>
          <cell r="AZ8841" t="str">
            <v/>
          </cell>
          <cell r="BA8841" t="str">
            <v/>
          </cell>
        </row>
        <row r="8842">
          <cell r="B8842" t="str">
            <v>-</v>
          </cell>
          <cell r="E8842" t="str">
            <v/>
          </cell>
          <cell r="G8842" t="str">
            <v/>
          </cell>
          <cell r="J8842" t="str">
            <v/>
          </cell>
          <cell r="O8842" t="str">
            <v/>
          </cell>
          <cell r="P8842" t="str">
            <v/>
          </cell>
          <cell r="Q8842" t="str">
            <v/>
          </cell>
          <cell r="S8842" t="str">
            <v/>
          </cell>
          <cell r="V8842" t="str">
            <v/>
          </cell>
          <cell r="Z8842" t="str">
            <v/>
          </cell>
          <cell r="AA8842" t="str">
            <v/>
          </cell>
          <cell r="AB8842" t="str">
            <v/>
          </cell>
          <cell r="AC8842" t="str">
            <v/>
          </cell>
          <cell r="AD8842" t="str">
            <v/>
          </cell>
          <cell r="AY8842" t="str">
            <v/>
          </cell>
          <cell r="AZ8842" t="str">
            <v/>
          </cell>
          <cell r="BA8842" t="str">
            <v/>
          </cell>
        </row>
        <row r="8843">
          <cell r="B8843" t="str">
            <v>-</v>
          </cell>
          <cell r="E8843" t="str">
            <v/>
          </cell>
          <cell r="G8843" t="str">
            <v/>
          </cell>
          <cell r="J8843" t="str">
            <v/>
          </cell>
          <cell r="O8843" t="str">
            <v/>
          </cell>
          <cell r="P8843" t="str">
            <v/>
          </cell>
          <cell r="Q8843" t="str">
            <v/>
          </cell>
          <cell r="S8843" t="str">
            <v/>
          </cell>
          <cell r="V8843" t="str">
            <v/>
          </cell>
          <cell r="Z8843" t="str">
            <v/>
          </cell>
          <cell r="AA8843" t="str">
            <v/>
          </cell>
          <cell r="AB8843" t="str">
            <v/>
          </cell>
          <cell r="AC8843" t="str">
            <v/>
          </cell>
          <cell r="AD8843" t="str">
            <v/>
          </cell>
          <cell r="AY8843" t="str">
            <v/>
          </cell>
          <cell r="AZ8843" t="str">
            <v/>
          </cell>
          <cell r="BA8843" t="str">
            <v/>
          </cell>
        </row>
        <row r="8844">
          <cell r="B8844" t="str">
            <v>-</v>
          </cell>
          <cell r="E8844" t="str">
            <v/>
          </cell>
          <cell r="G8844" t="str">
            <v/>
          </cell>
          <cell r="J8844" t="str">
            <v/>
          </cell>
          <cell r="O8844" t="str">
            <v/>
          </cell>
          <cell r="P8844" t="str">
            <v/>
          </cell>
          <cell r="Q8844" t="str">
            <v/>
          </cell>
          <cell r="S8844" t="str">
            <v/>
          </cell>
          <cell r="V8844" t="str">
            <v/>
          </cell>
          <cell r="Z8844" t="str">
            <v/>
          </cell>
          <cell r="AA8844" t="str">
            <v/>
          </cell>
          <cell r="AB8844" t="str">
            <v/>
          </cell>
          <cell r="AC8844" t="str">
            <v/>
          </cell>
          <cell r="AD8844" t="str">
            <v/>
          </cell>
          <cell r="AY8844" t="str">
            <v/>
          </cell>
          <cell r="AZ8844" t="str">
            <v/>
          </cell>
          <cell r="BA8844" t="str">
            <v/>
          </cell>
        </row>
        <row r="8845">
          <cell r="B8845" t="str">
            <v>-</v>
          </cell>
          <cell r="E8845" t="str">
            <v/>
          </cell>
          <cell r="G8845" t="str">
            <v/>
          </cell>
          <cell r="J8845" t="str">
            <v/>
          </cell>
          <cell r="O8845" t="str">
            <v/>
          </cell>
          <cell r="P8845" t="str">
            <v/>
          </cell>
          <cell r="Q8845" t="str">
            <v/>
          </cell>
          <cell r="S8845" t="str">
            <v/>
          </cell>
          <cell r="V8845" t="str">
            <v/>
          </cell>
          <cell r="Z8845" t="str">
            <v/>
          </cell>
          <cell r="AA8845" t="str">
            <v/>
          </cell>
          <cell r="AB8845" t="str">
            <v/>
          </cell>
          <cell r="AC8845" t="str">
            <v/>
          </cell>
          <cell r="AD8845" t="str">
            <v/>
          </cell>
          <cell r="AY8845" t="str">
            <v/>
          </cell>
          <cell r="AZ8845" t="str">
            <v/>
          </cell>
          <cell r="BA8845" t="str">
            <v/>
          </cell>
        </row>
        <row r="8846">
          <cell r="B8846" t="str">
            <v>-</v>
          </cell>
          <cell r="E8846" t="str">
            <v/>
          </cell>
          <cell r="G8846" t="str">
            <v/>
          </cell>
          <cell r="J8846" t="str">
            <v/>
          </cell>
          <cell r="O8846" t="str">
            <v/>
          </cell>
          <cell r="P8846" t="str">
            <v/>
          </cell>
          <cell r="Q8846" t="str">
            <v/>
          </cell>
          <cell r="S8846" t="str">
            <v/>
          </cell>
          <cell r="V8846" t="str">
            <v/>
          </cell>
          <cell r="Z8846" t="str">
            <v/>
          </cell>
          <cell r="AA8846" t="str">
            <v/>
          </cell>
          <cell r="AB8846" t="str">
            <v/>
          </cell>
          <cell r="AC8846" t="str">
            <v/>
          </cell>
          <cell r="AD8846" t="str">
            <v/>
          </cell>
          <cell r="AY8846" t="str">
            <v/>
          </cell>
          <cell r="AZ8846" t="str">
            <v/>
          </cell>
          <cell r="BA8846" t="str">
            <v/>
          </cell>
        </row>
        <row r="8847">
          <cell r="B8847" t="str">
            <v>-</v>
          </cell>
          <cell r="E8847" t="str">
            <v/>
          </cell>
          <cell r="G8847" t="str">
            <v/>
          </cell>
          <cell r="J8847" t="str">
            <v/>
          </cell>
          <cell r="O8847" t="str">
            <v/>
          </cell>
          <cell r="P8847" t="str">
            <v/>
          </cell>
          <cell r="Q8847" t="str">
            <v/>
          </cell>
          <cell r="S8847" t="str">
            <v/>
          </cell>
          <cell r="V8847" t="str">
            <v/>
          </cell>
          <cell r="Z8847" t="str">
            <v/>
          </cell>
          <cell r="AA8847" t="str">
            <v/>
          </cell>
          <cell r="AB8847" t="str">
            <v/>
          </cell>
          <cell r="AC8847" t="str">
            <v/>
          </cell>
          <cell r="AD8847" t="str">
            <v/>
          </cell>
          <cell r="AY8847" t="str">
            <v/>
          </cell>
          <cell r="AZ8847" t="str">
            <v/>
          </cell>
          <cell r="BA8847" t="str">
            <v/>
          </cell>
        </row>
        <row r="8848">
          <cell r="B8848" t="str">
            <v>-</v>
          </cell>
          <cell r="E8848" t="str">
            <v/>
          </cell>
          <cell r="G8848" t="str">
            <v/>
          </cell>
          <cell r="J8848" t="str">
            <v/>
          </cell>
          <cell r="O8848" t="str">
            <v/>
          </cell>
          <cell r="P8848" t="str">
            <v/>
          </cell>
          <cell r="Q8848" t="str">
            <v/>
          </cell>
          <cell r="S8848" t="str">
            <v/>
          </cell>
          <cell r="V8848" t="str">
            <v/>
          </cell>
          <cell r="Z8848" t="str">
            <v/>
          </cell>
          <cell r="AA8848" t="str">
            <v/>
          </cell>
          <cell r="AB8848" t="str">
            <v/>
          </cell>
          <cell r="AC8848" t="str">
            <v/>
          </cell>
          <cell r="AD8848" t="str">
            <v/>
          </cell>
          <cell r="AY8848" t="str">
            <v/>
          </cell>
          <cell r="AZ8848" t="str">
            <v/>
          </cell>
          <cell r="BA8848" t="str">
            <v/>
          </cell>
        </row>
        <row r="8849">
          <cell r="B8849" t="str">
            <v>-</v>
          </cell>
          <cell r="E8849" t="str">
            <v/>
          </cell>
          <cell r="G8849" t="str">
            <v/>
          </cell>
          <cell r="J8849" t="str">
            <v/>
          </cell>
          <cell r="O8849" t="str">
            <v/>
          </cell>
          <cell r="P8849" t="str">
            <v/>
          </cell>
          <cell r="Q8849" t="str">
            <v/>
          </cell>
          <cell r="S8849" t="str">
            <v/>
          </cell>
          <cell r="V8849" t="str">
            <v/>
          </cell>
          <cell r="Z8849" t="str">
            <v/>
          </cell>
          <cell r="AA8849" t="str">
            <v/>
          </cell>
          <cell r="AB8849" t="str">
            <v/>
          </cell>
          <cell r="AC8849" t="str">
            <v/>
          </cell>
          <cell r="AD8849" t="str">
            <v/>
          </cell>
          <cell r="AY8849" t="str">
            <v/>
          </cell>
          <cell r="AZ8849" t="str">
            <v/>
          </cell>
          <cell r="BA8849" t="str">
            <v/>
          </cell>
        </row>
        <row r="8850">
          <cell r="B8850" t="str">
            <v>-</v>
          </cell>
          <cell r="E8850" t="str">
            <v/>
          </cell>
          <cell r="G8850" t="str">
            <v/>
          </cell>
          <cell r="J8850" t="str">
            <v/>
          </cell>
          <cell r="O8850" t="str">
            <v/>
          </cell>
          <cell r="P8850" t="str">
            <v/>
          </cell>
          <cell r="Q8850" t="str">
            <v/>
          </cell>
          <cell r="S8850" t="str">
            <v/>
          </cell>
          <cell r="V8850" t="str">
            <v/>
          </cell>
          <cell r="Z8850" t="str">
            <v/>
          </cell>
          <cell r="AA8850" t="str">
            <v/>
          </cell>
          <cell r="AB8850" t="str">
            <v/>
          </cell>
          <cell r="AC8850" t="str">
            <v/>
          </cell>
          <cell r="AD8850" t="str">
            <v/>
          </cell>
          <cell r="AY8850" t="str">
            <v/>
          </cell>
          <cell r="AZ8850" t="str">
            <v/>
          </cell>
          <cell r="BA8850" t="str">
            <v/>
          </cell>
        </row>
        <row r="8851">
          <cell r="B8851" t="str">
            <v>-</v>
          </cell>
          <cell r="E8851" t="str">
            <v/>
          </cell>
          <cell r="G8851" t="str">
            <v/>
          </cell>
          <cell r="J8851" t="str">
            <v/>
          </cell>
          <cell r="O8851" t="str">
            <v/>
          </cell>
          <cell r="P8851" t="str">
            <v/>
          </cell>
          <cell r="Q8851" t="str">
            <v/>
          </cell>
          <cell r="S8851" t="str">
            <v/>
          </cell>
          <cell r="V8851" t="str">
            <v/>
          </cell>
          <cell r="Z8851" t="str">
            <v/>
          </cell>
          <cell r="AA8851" t="str">
            <v/>
          </cell>
          <cell r="AB8851" t="str">
            <v/>
          </cell>
          <cell r="AC8851" t="str">
            <v/>
          </cell>
          <cell r="AD8851" t="str">
            <v/>
          </cell>
          <cell r="AY8851" t="str">
            <v/>
          </cell>
          <cell r="AZ8851" t="str">
            <v/>
          </cell>
          <cell r="BA8851" t="str">
            <v/>
          </cell>
        </row>
        <row r="8852">
          <cell r="B8852" t="str">
            <v>-</v>
          </cell>
          <cell r="E8852" t="str">
            <v/>
          </cell>
          <cell r="G8852" t="str">
            <v/>
          </cell>
          <cell r="J8852" t="str">
            <v/>
          </cell>
          <cell r="O8852" t="str">
            <v/>
          </cell>
          <cell r="P8852" t="str">
            <v/>
          </cell>
          <cell r="Q8852" t="str">
            <v/>
          </cell>
          <cell r="S8852" t="str">
            <v/>
          </cell>
          <cell r="V8852" t="str">
            <v/>
          </cell>
          <cell r="Z8852" t="str">
            <v/>
          </cell>
          <cell r="AA8852" t="str">
            <v/>
          </cell>
          <cell r="AB8852" t="str">
            <v/>
          </cell>
          <cell r="AC8852" t="str">
            <v/>
          </cell>
          <cell r="AD8852" t="str">
            <v/>
          </cell>
          <cell r="AY8852" t="str">
            <v/>
          </cell>
          <cell r="AZ8852" t="str">
            <v/>
          </cell>
          <cell r="BA8852" t="str">
            <v/>
          </cell>
        </row>
        <row r="8853">
          <cell r="B8853" t="str">
            <v>-</v>
          </cell>
          <cell r="E8853" t="str">
            <v/>
          </cell>
          <cell r="G8853" t="str">
            <v/>
          </cell>
          <cell r="J8853" t="str">
            <v/>
          </cell>
          <cell r="O8853" t="str">
            <v/>
          </cell>
          <cell r="P8853" t="str">
            <v/>
          </cell>
          <cell r="Q8853" t="str">
            <v/>
          </cell>
          <cell r="S8853" t="str">
            <v/>
          </cell>
          <cell r="V8853" t="str">
            <v/>
          </cell>
          <cell r="Z8853" t="str">
            <v/>
          </cell>
          <cell r="AA8853" t="str">
            <v/>
          </cell>
          <cell r="AB8853" t="str">
            <v/>
          </cell>
          <cell r="AC8853" t="str">
            <v/>
          </cell>
          <cell r="AD8853" t="str">
            <v/>
          </cell>
          <cell r="AY8853" t="str">
            <v/>
          </cell>
          <cell r="AZ8853" t="str">
            <v/>
          </cell>
          <cell r="BA8853" t="str">
            <v/>
          </cell>
        </row>
        <row r="8854">
          <cell r="B8854" t="str">
            <v>-</v>
          </cell>
          <cell r="E8854" t="str">
            <v/>
          </cell>
          <cell r="G8854" t="str">
            <v/>
          </cell>
          <cell r="J8854" t="str">
            <v/>
          </cell>
          <cell r="O8854" t="str">
            <v/>
          </cell>
          <cell r="P8854" t="str">
            <v/>
          </cell>
          <cell r="Q8854" t="str">
            <v/>
          </cell>
          <cell r="S8854" t="str">
            <v/>
          </cell>
          <cell r="V8854" t="str">
            <v/>
          </cell>
          <cell r="Z8854" t="str">
            <v/>
          </cell>
          <cell r="AA8854" t="str">
            <v/>
          </cell>
          <cell r="AB8854" t="str">
            <v/>
          </cell>
          <cell r="AC8854" t="str">
            <v/>
          </cell>
          <cell r="AD8854" t="str">
            <v/>
          </cell>
          <cell r="AY8854" t="str">
            <v/>
          </cell>
          <cell r="AZ8854" t="str">
            <v/>
          </cell>
          <cell r="BA8854" t="str">
            <v/>
          </cell>
        </row>
        <row r="8855">
          <cell r="B8855" t="str">
            <v>-</v>
          </cell>
          <cell r="E8855" t="str">
            <v/>
          </cell>
          <cell r="G8855" t="str">
            <v/>
          </cell>
          <cell r="J8855" t="str">
            <v/>
          </cell>
          <cell r="O8855" t="str">
            <v/>
          </cell>
          <cell r="P8855" t="str">
            <v/>
          </cell>
          <cell r="Q8855" t="str">
            <v/>
          </cell>
          <cell r="S8855" t="str">
            <v/>
          </cell>
          <cell r="V8855" t="str">
            <v/>
          </cell>
          <cell r="Z8855" t="str">
            <v/>
          </cell>
          <cell r="AA8855" t="str">
            <v/>
          </cell>
          <cell r="AB8855" t="str">
            <v/>
          </cell>
          <cell r="AC8855" t="str">
            <v/>
          </cell>
          <cell r="AD8855" t="str">
            <v/>
          </cell>
          <cell r="AY8855" t="str">
            <v/>
          </cell>
          <cell r="AZ8855" t="str">
            <v/>
          </cell>
          <cell r="BA8855" t="str">
            <v/>
          </cell>
        </row>
        <row r="8856">
          <cell r="B8856" t="str">
            <v>-</v>
          </cell>
          <cell r="E8856" t="str">
            <v/>
          </cell>
          <cell r="G8856" t="str">
            <v/>
          </cell>
          <cell r="J8856" t="str">
            <v/>
          </cell>
          <cell r="O8856" t="str">
            <v/>
          </cell>
          <cell r="P8856" t="str">
            <v/>
          </cell>
          <cell r="Q8856" t="str">
            <v/>
          </cell>
          <cell r="S8856" t="str">
            <v/>
          </cell>
          <cell r="V8856" t="str">
            <v/>
          </cell>
          <cell r="Z8856" t="str">
            <v/>
          </cell>
          <cell r="AA8856" t="str">
            <v/>
          </cell>
          <cell r="AB8856" t="str">
            <v/>
          </cell>
          <cell r="AC8856" t="str">
            <v/>
          </cell>
          <cell r="AD8856" t="str">
            <v/>
          </cell>
          <cell r="AY8856" t="str">
            <v/>
          </cell>
          <cell r="AZ8856" t="str">
            <v/>
          </cell>
          <cell r="BA8856" t="str">
            <v/>
          </cell>
        </row>
        <row r="8857">
          <cell r="B8857" t="str">
            <v>-</v>
          </cell>
          <cell r="E8857" t="str">
            <v/>
          </cell>
          <cell r="G8857" t="str">
            <v/>
          </cell>
          <cell r="J8857" t="str">
            <v/>
          </cell>
          <cell r="O8857" t="str">
            <v/>
          </cell>
          <cell r="P8857" t="str">
            <v/>
          </cell>
          <cell r="Q8857" t="str">
            <v/>
          </cell>
          <cell r="S8857" t="str">
            <v/>
          </cell>
          <cell r="V8857" t="str">
            <v/>
          </cell>
          <cell r="Z8857" t="str">
            <v/>
          </cell>
          <cell r="AA8857" t="str">
            <v/>
          </cell>
          <cell r="AB8857" t="str">
            <v/>
          </cell>
          <cell r="AC8857" t="str">
            <v/>
          </cell>
          <cell r="AD8857" t="str">
            <v/>
          </cell>
          <cell r="AY8857" t="str">
            <v/>
          </cell>
          <cell r="AZ8857" t="str">
            <v/>
          </cell>
          <cell r="BA8857" t="str">
            <v/>
          </cell>
        </row>
        <row r="8858">
          <cell r="B8858" t="str">
            <v>-</v>
          </cell>
          <cell r="E8858" t="str">
            <v/>
          </cell>
          <cell r="G8858" t="str">
            <v/>
          </cell>
          <cell r="J8858" t="str">
            <v/>
          </cell>
          <cell r="O8858" t="str">
            <v/>
          </cell>
          <cell r="P8858" t="str">
            <v/>
          </cell>
          <cell r="Q8858" t="str">
            <v/>
          </cell>
          <cell r="S8858" t="str">
            <v/>
          </cell>
          <cell r="V8858" t="str">
            <v/>
          </cell>
          <cell r="Z8858" t="str">
            <v/>
          </cell>
          <cell r="AA8858" t="str">
            <v/>
          </cell>
          <cell r="AB8858" t="str">
            <v/>
          </cell>
          <cell r="AC8858" t="str">
            <v/>
          </cell>
          <cell r="AD8858" t="str">
            <v/>
          </cell>
          <cell r="AY8858" t="str">
            <v/>
          </cell>
          <cell r="AZ8858" t="str">
            <v/>
          </cell>
          <cell r="BA8858" t="str">
            <v/>
          </cell>
        </row>
        <row r="8859">
          <cell r="B8859" t="str">
            <v>-</v>
          </cell>
          <cell r="E8859" t="str">
            <v/>
          </cell>
          <cell r="G8859" t="str">
            <v/>
          </cell>
          <cell r="J8859" t="str">
            <v/>
          </cell>
          <cell r="O8859" t="str">
            <v/>
          </cell>
          <cell r="P8859" t="str">
            <v/>
          </cell>
          <cell r="Q8859" t="str">
            <v/>
          </cell>
          <cell r="S8859" t="str">
            <v/>
          </cell>
          <cell r="V8859" t="str">
            <v/>
          </cell>
          <cell r="Z8859" t="str">
            <v/>
          </cell>
          <cell r="AA8859" t="str">
            <v/>
          </cell>
          <cell r="AB8859" t="str">
            <v/>
          </cell>
          <cell r="AC8859" t="str">
            <v/>
          </cell>
          <cell r="AD8859" t="str">
            <v/>
          </cell>
          <cell r="AY8859" t="str">
            <v/>
          </cell>
          <cell r="AZ8859" t="str">
            <v/>
          </cell>
          <cell r="BA8859" t="str">
            <v/>
          </cell>
        </row>
        <row r="8860">
          <cell r="B8860" t="str">
            <v>-</v>
          </cell>
          <cell r="E8860" t="str">
            <v/>
          </cell>
          <cell r="G8860" t="str">
            <v/>
          </cell>
          <cell r="J8860" t="str">
            <v/>
          </cell>
          <cell r="O8860" t="str">
            <v/>
          </cell>
          <cell r="P8860" t="str">
            <v/>
          </cell>
          <cell r="Q8860" t="str">
            <v/>
          </cell>
          <cell r="S8860" t="str">
            <v/>
          </cell>
          <cell r="V8860" t="str">
            <v/>
          </cell>
          <cell r="Z8860" t="str">
            <v/>
          </cell>
          <cell r="AA8860" t="str">
            <v/>
          </cell>
          <cell r="AB8860" t="str">
            <v/>
          </cell>
          <cell r="AC8860" t="str">
            <v/>
          </cell>
          <cell r="AD8860" t="str">
            <v/>
          </cell>
          <cell r="AY8860" t="str">
            <v/>
          </cell>
          <cell r="AZ8860" t="str">
            <v/>
          </cell>
          <cell r="BA8860" t="str">
            <v/>
          </cell>
        </row>
        <row r="8861">
          <cell r="B8861" t="str">
            <v>-</v>
          </cell>
          <cell r="E8861" t="str">
            <v/>
          </cell>
          <cell r="G8861" t="str">
            <v/>
          </cell>
          <cell r="J8861" t="str">
            <v/>
          </cell>
          <cell r="O8861" t="str">
            <v/>
          </cell>
          <cell r="P8861" t="str">
            <v/>
          </cell>
          <cell r="Q8861" t="str">
            <v/>
          </cell>
          <cell r="S8861" t="str">
            <v/>
          </cell>
          <cell r="V8861" t="str">
            <v/>
          </cell>
          <cell r="Z8861" t="str">
            <v/>
          </cell>
          <cell r="AA8861" t="str">
            <v/>
          </cell>
          <cell r="AB8861" t="str">
            <v/>
          </cell>
          <cell r="AC8861" t="str">
            <v/>
          </cell>
          <cell r="AD8861" t="str">
            <v/>
          </cell>
          <cell r="AY8861" t="str">
            <v/>
          </cell>
          <cell r="AZ8861" t="str">
            <v/>
          </cell>
          <cell r="BA8861" t="str">
            <v/>
          </cell>
        </row>
        <row r="8862">
          <cell r="B8862" t="str">
            <v>-</v>
          </cell>
          <cell r="E8862" t="str">
            <v/>
          </cell>
          <cell r="G8862" t="str">
            <v/>
          </cell>
          <cell r="J8862" t="str">
            <v/>
          </cell>
          <cell r="O8862" t="str">
            <v/>
          </cell>
          <cell r="P8862" t="str">
            <v/>
          </cell>
          <cell r="Q8862" t="str">
            <v/>
          </cell>
          <cell r="S8862" t="str">
            <v/>
          </cell>
          <cell r="V8862" t="str">
            <v/>
          </cell>
          <cell r="Z8862" t="str">
            <v/>
          </cell>
          <cell r="AA8862" t="str">
            <v/>
          </cell>
          <cell r="AB8862" t="str">
            <v/>
          </cell>
          <cell r="AC8862" t="str">
            <v/>
          </cell>
          <cell r="AD8862" t="str">
            <v/>
          </cell>
          <cell r="AY8862" t="str">
            <v/>
          </cell>
          <cell r="AZ8862" t="str">
            <v/>
          </cell>
          <cell r="BA8862" t="str">
            <v/>
          </cell>
        </row>
        <row r="8863">
          <cell r="B8863" t="str">
            <v>-</v>
          </cell>
          <cell r="E8863" t="str">
            <v/>
          </cell>
          <cell r="G8863" t="str">
            <v/>
          </cell>
          <cell r="J8863" t="str">
            <v/>
          </cell>
          <cell r="O8863" t="str">
            <v/>
          </cell>
          <cell r="P8863" t="str">
            <v/>
          </cell>
          <cell r="Q8863" t="str">
            <v/>
          </cell>
          <cell r="S8863" t="str">
            <v/>
          </cell>
          <cell r="V8863" t="str">
            <v/>
          </cell>
          <cell r="Z8863" t="str">
            <v/>
          </cell>
          <cell r="AA8863" t="str">
            <v/>
          </cell>
          <cell r="AB8863" t="str">
            <v/>
          </cell>
          <cell r="AC8863" t="str">
            <v/>
          </cell>
          <cell r="AD8863" t="str">
            <v/>
          </cell>
          <cell r="AY8863" t="str">
            <v/>
          </cell>
          <cell r="AZ8863" t="str">
            <v/>
          </cell>
          <cell r="BA8863" t="str">
            <v/>
          </cell>
        </row>
        <row r="8864">
          <cell r="B8864" t="str">
            <v>-</v>
          </cell>
          <cell r="E8864" t="str">
            <v/>
          </cell>
          <cell r="G8864" t="str">
            <v/>
          </cell>
          <cell r="J8864" t="str">
            <v/>
          </cell>
          <cell r="O8864" t="str">
            <v/>
          </cell>
          <cell r="P8864" t="str">
            <v/>
          </cell>
          <cell r="Q8864" t="str">
            <v/>
          </cell>
          <cell r="S8864" t="str">
            <v/>
          </cell>
          <cell r="V8864" t="str">
            <v/>
          </cell>
          <cell r="Z8864" t="str">
            <v/>
          </cell>
          <cell r="AA8864" t="str">
            <v/>
          </cell>
          <cell r="AB8864" t="str">
            <v/>
          </cell>
          <cell r="AC8864" t="str">
            <v/>
          </cell>
          <cell r="AD8864" t="str">
            <v/>
          </cell>
          <cell r="AY8864" t="str">
            <v/>
          </cell>
          <cell r="AZ8864" t="str">
            <v/>
          </cell>
          <cell r="BA8864" t="str">
            <v/>
          </cell>
        </row>
        <row r="8865">
          <cell r="B8865" t="str">
            <v>-</v>
          </cell>
          <cell r="E8865" t="str">
            <v/>
          </cell>
          <cell r="G8865" t="str">
            <v/>
          </cell>
          <cell r="J8865" t="str">
            <v/>
          </cell>
          <cell r="O8865" t="str">
            <v/>
          </cell>
          <cell r="P8865" t="str">
            <v/>
          </cell>
          <cell r="Q8865" t="str">
            <v/>
          </cell>
          <cell r="S8865" t="str">
            <v/>
          </cell>
          <cell r="V8865" t="str">
            <v/>
          </cell>
          <cell r="Z8865" t="str">
            <v/>
          </cell>
          <cell r="AA8865" t="str">
            <v/>
          </cell>
          <cell r="AB8865" t="str">
            <v/>
          </cell>
          <cell r="AC8865" t="str">
            <v/>
          </cell>
          <cell r="AD8865" t="str">
            <v/>
          </cell>
          <cell r="AY8865" t="str">
            <v/>
          </cell>
          <cell r="AZ8865" t="str">
            <v/>
          </cell>
          <cell r="BA8865" t="str">
            <v/>
          </cell>
        </row>
        <row r="8866">
          <cell r="B8866" t="str">
            <v>-</v>
          </cell>
          <cell r="E8866" t="str">
            <v/>
          </cell>
          <cell r="G8866" t="str">
            <v/>
          </cell>
          <cell r="J8866" t="str">
            <v/>
          </cell>
          <cell r="O8866" t="str">
            <v/>
          </cell>
          <cell r="P8866" t="str">
            <v/>
          </cell>
          <cell r="Q8866" t="str">
            <v/>
          </cell>
          <cell r="S8866" t="str">
            <v/>
          </cell>
          <cell r="V8866" t="str">
            <v/>
          </cell>
          <cell r="Z8866" t="str">
            <v/>
          </cell>
          <cell r="AA8866" t="str">
            <v/>
          </cell>
          <cell r="AB8866" t="str">
            <v/>
          </cell>
          <cell r="AC8866" t="str">
            <v/>
          </cell>
          <cell r="AD8866" t="str">
            <v/>
          </cell>
          <cell r="AY8866" t="str">
            <v/>
          </cell>
          <cell r="AZ8866" t="str">
            <v/>
          </cell>
          <cell r="BA8866" t="str">
            <v/>
          </cell>
        </row>
        <row r="8867">
          <cell r="B8867" t="str">
            <v>-</v>
          </cell>
          <cell r="E8867" t="str">
            <v/>
          </cell>
          <cell r="G8867" t="str">
            <v/>
          </cell>
          <cell r="J8867" t="str">
            <v/>
          </cell>
          <cell r="O8867" t="str">
            <v/>
          </cell>
          <cell r="P8867" t="str">
            <v/>
          </cell>
          <cell r="Q8867" t="str">
            <v/>
          </cell>
          <cell r="S8867" t="str">
            <v/>
          </cell>
          <cell r="V8867" t="str">
            <v/>
          </cell>
          <cell r="Z8867" t="str">
            <v/>
          </cell>
          <cell r="AA8867" t="str">
            <v/>
          </cell>
          <cell r="AB8867" t="str">
            <v/>
          </cell>
          <cell r="AC8867" t="str">
            <v/>
          </cell>
          <cell r="AD8867" t="str">
            <v/>
          </cell>
          <cell r="AY8867" t="str">
            <v/>
          </cell>
          <cell r="AZ8867" t="str">
            <v/>
          </cell>
          <cell r="BA8867" t="str">
            <v/>
          </cell>
        </row>
        <row r="8868">
          <cell r="B8868" t="str">
            <v>-</v>
          </cell>
          <cell r="E8868" t="str">
            <v/>
          </cell>
          <cell r="G8868" t="str">
            <v/>
          </cell>
          <cell r="J8868" t="str">
            <v/>
          </cell>
          <cell r="O8868" t="str">
            <v/>
          </cell>
          <cell r="P8868" t="str">
            <v/>
          </cell>
          <cell r="Q8868" t="str">
            <v/>
          </cell>
          <cell r="S8868" t="str">
            <v/>
          </cell>
          <cell r="V8868" t="str">
            <v/>
          </cell>
          <cell r="Z8868" t="str">
            <v/>
          </cell>
          <cell r="AA8868" t="str">
            <v/>
          </cell>
          <cell r="AB8868" t="str">
            <v/>
          </cell>
          <cell r="AC8868" t="str">
            <v/>
          </cell>
          <cell r="AD8868" t="str">
            <v/>
          </cell>
          <cell r="AY8868" t="str">
            <v/>
          </cell>
          <cell r="AZ8868" t="str">
            <v/>
          </cell>
          <cell r="BA8868" t="str">
            <v/>
          </cell>
        </row>
        <row r="8869">
          <cell r="B8869" t="str">
            <v>-</v>
          </cell>
          <cell r="E8869" t="str">
            <v/>
          </cell>
          <cell r="G8869" t="str">
            <v/>
          </cell>
          <cell r="J8869" t="str">
            <v/>
          </cell>
          <cell r="O8869" t="str">
            <v/>
          </cell>
          <cell r="P8869" t="str">
            <v/>
          </cell>
          <cell r="Q8869" t="str">
            <v/>
          </cell>
          <cell r="S8869" t="str">
            <v/>
          </cell>
          <cell r="V8869" t="str">
            <v/>
          </cell>
          <cell r="Z8869" t="str">
            <v/>
          </cell>
          <cell r="AA8869" t="str">
            <v/>
          </cell>
          <cell r="AB8869" t="str">
            <v/>
          </cell>
          <cell r="AC8869" t="str">
            <v/>
          </cell>
          <cell r="AD8869" t="str">
            <v/>
          </cell>
          <cell r="AY8869" t="str">
            <v/>
          </cell>
          <cell r="AZ8869" t="str">
            <v/>
          </cell>
          <cell r="BA8869" t="str">
            <v/>
          </cell>
        </row>
        <row r="8870">
          <cell r="B8870" t="str">
            <v>-</v>
          </cell>
          <cell r="E8870" t="str">
            <v/>
          </cell>
          <cell r="G8870" t="str">
            <v/>
          </cell>
          <cell r="J8870" t="str">
            <v/>
          </cell>
          <cell r="O8870" t="str">
            <v/>
          </cell>
          <cell r="P8870" t="str">
            <v/>
          </cell>
          <cell r="Q8870" t="str">
            <v/>
          </cell>
          <cell r="S8870" t="str">
            <v/>
          </cell>
          <cell r="V8870" t="str">
            <v/>
          </cell>
          <cell r="Z8870" t="str">
            <v/>
          </cell>
          <cell r="AA8870" t="str">
            <v/>
          </cell>
          <cell r="AB8870" t="str">
            <v/>
          </cell>
          <cell r="AC8870" t="str">
            <v/>
          </cell>
          <cell r="AD8870" t="str">
            <v/>
          </cell>
          <cell r="AY8870" t="str">
            <v/>
          </cell>
          <cell r="AZ8870" t="str">
            <v/>
          </cell>
          <cell r="BA8870" t="str">
            <v/>
          </cell>
        </row>
        <row r="8871">
          <cell r="B8871" t="str">
            <v>-</v>
          </cell>
          <cell r="E8871" t="str">
            <v/>
          </cell>
          <cell r="G8871" t="str">
            <v/>
          </cell>
          <cell r="J8871" t="str">
            <v/>
          </cell>
          <cell r="O8871" t="str">
            <v/>
          </cell>
          <cell r="P8871" t="str">
            <v/>
          </cell>
          <cell r="Q8871" t="str">
            <v/>
          </cell>
          <cell r="S8871" t="str">
            <v/>
          </cell>
          <cell r="V8871" t="str">
            <v/>
          </cell>
          <cell r="Z8871" t="str">
            <v/>
          </cell>
          <cell r="AA8871" t="str">
            <v/>
          </cell>
          <cell r="AB8871" t="str">
            <v/>
          </cell>
          <cell r="AC8871" t="str">
            <v/>
          </cell>
          <cell r="AD8871" t="str">
            <v/>
          </cell>
          <cell r="AY8871" t="str">
            <v/>
          </cell>
          <cell r="AZ8871" t="str">
            <v/>
          </cell>
          <cell r="BA8871" t="str">
            <v/>
          </cell>
        </row>
        <row r="8872">
          <cell r="B8872" t="str">
            <v>-</v>
          </cell>
          <cell r="E8872" t="str">
            <v/>
          </cell>
          <cell r="G8872" t="str">
            <v/>
          </cell>
          <cell r="J8872" t="str">
            <v/>
          </cell>
          <cell r="O8872" t="str">
            <v/>
          </cell>
          <cell r="P8872" t="str">
            <v/>
          </cell>
          <cell r="Q8872" t="str">
            <v/>
          </cell>
          <cell r="S8872" t="str">
            <v/>
          </cell>
          <cell r="V8872" t="str">
            <v/>
          </cell>
          <cell r="Z8872" t="str">
            <v/>
          </cell>
          <cell r="AA8872" t="str">
            <v/>
          </cell>
          <cell r="AB8872" t="str">
            <v/>
          </cell>
          <cell r="AC8872" t="str">
            <v/>
          </cell>
          <cell r="AD8872" t="str">
            <v/>
          </cell>
          <cell r="AY8872" t="str">
            <v/>
          </cell>
          <cell r="AZ8872" t="str">
            <v/>
          </cell>
          <cell r="BA8872" t="str">
            <v/>
          </cell>
        </row>
        <row r="8873">
          <cell r="B8873" t="str">
            <v>-</v>
          </cell>
          <cell r="E8873" t="str">
            <v/>
          </cell>
          <cell r="G8873" t="str">
            <v/>
          </cell>
          <cell r="J8873" t="str">
            <v/>
          </cell>
          <cell r="O8873" t="str">
            <v/>
          </cell>
          <cell r="P8873" t="str">
            <v/>
          </cell>
          <cell r="Q8873" t="str">
            <v/>
          </cell>
          <cell r="S8873" t="str">
            <v/>
          </cell>
          <cell r="V8873" t="str">
            <v/>
          </cell>
          <cell r="Z8873" t="str">
            <v/>
          </cell>
          <cell r="AA8873" t="str">
            <v/>
          </cell>
          <cell r="AB8873" t="str">
            <v/>
          </cell>
          <cell r="AC8873" t="str">
            <v/>
          </cell>
          <cell r="AD8873" t="str">
            <v/>
          </cell>
          <cell r="AY8873" t="str">
            <v/>
          </cell>
          <cell r="AZ8873" t="str">
            <v/>
          </cell>
          <cell r="BA8873" t="str">
            <v/>
          </cell>
        </row>
        <row r="8874">
          <cell r="B8874" t="str">
            <v>-</v>
          </cell>
          <cell r="E8874" t="str">
            <v/>
          </cell>
          <cell r="G8874" t="str">
            <v/>
          </cell>
          <cell r="J8874" t="str">
            <v/>
          </cell>
          <cell r="O8874" t="str">
            <v/>
          </cell>
          <cell r="P8874" t="str">
            <v/>
          </cell>
          <cell r="Q8874" t="str">
            <v/>
          </cell>
          <cell r="S8874" t="str">
            <v/>
          </cell>
          <cell r="V8874" t="str">
            <v/>
          </cell>
          <cell r="Z8874" t="str">
            <v/>
          </cell>
          <cell r="AA8874" t="str">
            <v/>
          </cell>
          <cell r="AB8874" t="str">
            <v/>
          </cell>
          <cell r="AC8874" t="str">
            <v/>
          </cell>
          <cell r="AD8874" t="str">
            <v/>
          </cell>
          <cell r="AY8874" t="str">
            <v/>
          </cell>
          <cell r="AZ8874" t="str">
            <v/>
          </cell>
          <cell r="BA8874" t="str">
            <v/>
          </cell>
        </row>
        <row r="8875">
          <cell r="B8875" t="str">
            <v>-</v>
          </cell>
          <cell r="E8875" t="str">
            <v/>
          </cell>
          <cell r="G8875" t="str">
            <v/>
          </cell>
          <cell r="J8875" t="str">
            <v/>
          </cell>
          <cell r="O8875" t="str">
            <v/>
          </cell>
          <cell r="P8875" t="str">
            <v/>
          </cell>
          <cell r="Q8875" t="str">
            <v/>
          </cell>
          <cell r="S8875" t="str">
            <v/>
          </cell>
          <cell r="V8875" t="str">
            <v/>
          </cell>
          <cell r="Z8875" t="str">
            <v/>
          </cell>
          <cell r="AA8875" t="str">
            <v/>
          </cell>
          <cell r="AB8875" t="str">
            <v/>
          </cell>
          <cell r="AC8875" t="str">
            <v/>
          </cell>
          <cell r="AD8875" t="str">
            <v/>
          </cell>
          <cell r="AY8875" t="str">
            <v/>
          </cell>
          <cell r="AZ8875" t="str">
            <v/>
          </cell>
          <cell r="BA8875" t="str">
            <v/>
          </cell>
        </row>
        <row r="8876">
          <cell r="B8876" t="str">
            <v>-</v>
          </cell>
          <cell r="E8876" t="str">
            <v/>
          </cell>
          <cell r="G8876" t="str">
            <v/>
          </cell>
          <cell r="J8876" t="str">
            <v/>
          </cell>
          <cell r="O8876" t="str">
            <v/>
          </cell>
          <cell r="P8876" t="str">
            <v/>
          </cell>
          <cell r="Q8876" t="str">
            <v/>
          </cell>
          <cell r="S8876" t="str">
            <v/>
          </cell>
          <cell r="V8876" t="str">
            <v/>
          </cell>
          <cell r="Z8876" t="str">
            <v/>
          </cell>
          <cell r="AA8876" t="str">
            <v/>
          </cell>
          <cell r="AB8876" t="str">
            <v/>
          </cell>
          <cell r="AC8876" t="str">
            <v/>
          </cell>
          <cell r="AD8876" t="str">
            <v/>
          </cell>
          <cell r="AY8876" t="str">
            <v/>
          </cell>
          <cell r="AZ8876" t="str">
            <v/>
          </cell>
          <cell r="BA8876" t="str">
            <v/>
          </cell>
        </row>
        <row r="8877">
          <cell r="B8877" t="str">
            <v>-</v>
          </cell>
          <cell r="E8877" t="str">
            <v/>
          </cell>
          <cell r="G8877" t="str">
            <v/>
          </cell>
          <cell r="J8877" t="str">
            <v/>
          </cell>
          <cell r="O8877" t="str">
            <v/>
          </cell>
          <cell r="P8877" t="str">
            <v/>
          </cell>
          <cell r="Q8877" t="str">
            <v/>
          </cell>
          <cell r="S8877" t="str">
            <v/>
          </cell>
          <cell r="V8877" t="str">
            <v/>
          </cell>
          <cell r="Z8877" t="str">
            <v/>
          </cell>
          <cell r="AA8877" t="str">
            <v/>
          </cell>
          <cell r="AB8877" t="str">
            <v/>
          </cell>
          <cell r="AC8877" t="str">
            <v/>
          </cell>
          <cell r="AD8877" t="str">
            <v/>
          </cell>
          <cell r="AY8877" t="str">
            <v/>
          </cell>
          <cell r="AZ8877" t="str">
            <v/>
          </cell>
          <cell r="BA8877" t="str">
            <v/>
          </cell>
        </row>
        <row r="8878">
          <cell r="B8878" t="str">
            <v>-</v>
          </cell>
          <cell r="E8878" t="str">
            <v/>
          </cell>
          <cell r="G8878" t="str">
            <v/>
          </cell>
          <cell r="J8878" t="str">
            <v/>
          </cell>
          <cell r="O8878" t="str">
            <v/>
          </cell>
          <cell r="P8878" t="str">
            <v/>
          </cell>
          <cell r="Q8878" t="str">
            <v/>
          </cell>
          <cell r="S8878" t="str">
            <v/>
          </cell>
          <cell r="V8878" t="str">
            <v/>
          </cell>
          <cell r="Z8878" t="str">
            <v/>
          </cell>
          <cell r="AA8878" t="str">
            <v/>
          </cell>
          <cell r="AB8878" t="str">
            <v/>
          </cell>
          <cell r="AC8878" t="str">
            <v/>
          </cell>
          <cell r="AD8878" t="str">
            <v/>
          </cell>
          <cell r="AY8878" t="str">
            <v/>
          </cell>
          <cell r="AZ8878" t="str">
            <v/>
          </cell>
          <cell r="BA8878" t="str">
            <v/>
          </cell>
        </row>
        <row r="8879">
          <cell r="B8879" t="str">
            <v>-</v>
          </cell>
          <cell r="E8879" t="str">
            <v/>
          </cell>
          <cell r="G8879" t="str">
            <v/>
          </cell>
          <cell r="J8879" t="str">
            <v/>
          </cell>
          <cell r="O8879" t="str">
            <v/>
          </cell>
          <cell r="P8879" t="str">
            <v/>
          </cell>
          <cell r="Q8879" t="str">
            <v/>
          </cell>
          <cell r="S8879" t="str">
            <v/>
          </cell>
          <cell r="V8879" t="str">
            <v/>
          </cell>
          <cell r="Z8879" t="str">
            <v/>
          </cell>
          <cell r="AA8879" t="str">
            <v/>
          </cell>
          <cell r="AB8879" t="str">
            <v/>
          </cell>
          <cell r="AC8879" t="str">
            <v/>
          </cell>
          <cell r="AD8879" t="str">
            <v/>
          </cell>
          <cell r="AY8879" t="str">
            <v/>
          </cell>
          <cell r="AZ8879" t="str">
            <v/>
          </cell>
          <cell r="BA8879" t="str">
            <v/>
          </cell>
        </row>
        <row r="8880">
          <cell r="B8880" t="str">
            <v>-</v>
          </cell>
          <cell r="E8880" t="str">
            <v/>
          </cell>
          <cell r="G8880" t="str">
            <v/>
          </cell>
          <cell r="J8880" t="str">
            <v/>
          </cell>
          <cell r="O8880" t="str">
            <v/>
          </cell>
          <cell r="P8880" t="str">
            <v/>
          </cell>
          <cell r="Q8880" t="str">
            <v/>
          </cell>
          <cell r="S8880" t="str">
            <v/>
          </cell>
          <cell r="V8880" t="str">
            <v/>
          </cell>
          <cell r="Z8880" t="str">
            <v/>
          </cell>
          <cell r="AA8880" t="str">
            <v/>
          </cell>
          <cell r="AB8880" t="str">
            <v/>
          </cell>
          <cell r="AC8880" t="str">
            <v/>
          </cell>
          <cell r="AD8880" t="str">
            <v/>
          </cell>
          <cell r="AY8880" t="str">
            <v/>
          </cell>
          <cell r="AZ8880" t="str">
            <v/>
          </cell>
          <cell r="BA8880" t="str">
            <v/>
          </cell>
        </row>
        <row r="8881">
          <cell r="B8881" t="str">
            <v>-</v>
          </cell>
          <cell r="E8881" t="str">
            <v/>
          </cell>
          <cell r="G8881" t="str">
            <v/>
          </cell>
          <cell r="J8881" t="str">
            <v/>
          </cell>
          <cell r="O8881" t="str">
            <v/>
          </cell>
          <cell r="P8881" t="str">
            <v/>
          </cell>
          <cell r="Q8881" t="str">
            <v/>
          </cell>
          <cell r="S8881" t="str">
            <v/>
          </cell>
          <cell r="V8881" t="str">
            <v/>
          </cell>
          <cell r="Z8881" t="str">
            <v/>
          </cell>
          <cell r="AA8881" t="str">
            <v/>
          </cell>
          <cell r="AB8881" t="str">
            <v/>
          </cell>
          <cell r="AC8881" t="str">
            <v/>
          </cell>
          <cell r="AD8881" t="str">
            <v/>
          </cell>
          <cell r="AY8881" t="str">
            <v/>
          </cell>
          <cell r="AZ8881" t="str">
            <v/>
          </cell>
          <cell r="BA8881" t="str">
            <v/>
          </cell>
        </row>
        <row r="8882">
          <cell r="B8882" t="str">
            <v>-</v>
          </cell>
          <cell r="E8882" t="str">
            <v/>
          </cell>
          <cell r="G8882" t="str">
            <v/>
          </cell>
          <cell r="J8882" t="str">
            <v/>
          </cell>
          <cell r="O8882" t="str">
            <v/>
          </cell>
          <cell r="P8882" t="str">
            <v/>
          </cell>
          <cell r="Q8882" t="str">
            <v/>
          </cell>
          <cell r="S8882" t="str">
            <v/>
          </cell>
          <cell r="V8882" t="str">
            <v/>
          </cell>
          <cell r="Z8882" t="str">
            <v/>
          </cell>
          <cell r="AA8882" t="str">
            <v/>
          </cell>
          <cell r="AB8882" t="str">
            <v/>
          </cell>
          <cell r="AC8882" t="str">
            <v/>
          </cell>
          <cell r="AD8882" t="str">
            <v/>
          </cell>
          <cell r="AY8882" t="str">
            <v/>
          </cell>
          <cell r="AZ8882" t="str">
            <v/>
          </cell>
          <cell r="BA8882" t="str">
            <v/>
          </cell>
        </row>
        <row r="8883">
          <cell r="B8883" t="str">
            <v>-</v>
          </cell>
          <cell r="E8883" t="str">
            <v/>
          </cell>
          <cell r="G8883" t="str">
            <v/>
          </cell>
          <cell r="J8883" t="str">
            <v/>
          </cell>
          <cell r="O8883" t="str">
            <v/>
          </cell>
          <cell r="P8883" t="str">
            <v/>
          </cell>
          <cell r="Q8883" t="str">
            <v/>
          </cell>
          <cell r="S8883" t="str">
            <v/>
          </cell>
          <cell r="V8883" t="str">
            <v/>
          </cell>
          <cell r="Z8883" t="str">
            <v/>
          </cell>
          <cell r="AA8883" t="str">
            <v/>
          </cell>
          <cell r="AB8883" t="str">
            <v/>
          </cell>
          <cell r="AC8883" t="str">
            <v/>
          </cell>
          <cell r="AD8883" t="str">
            <v/>
          </cell>
          <cell r="AY8883" t="str">
            <v/>
          </cell>
          <cell r="AZ8883" t="str">
            <v/>
          </cell>
          <cell r="BA8883" t="str">
            <v/>
          </cell>
        </row>
        <row r="8884">
          <cell r="B8884" t="str">
            <v>-</v>
          </cell>
          <cell r="E8884" t="str">
            <v/>
          </cell>
          <cell r="G8884" t="str">
            <v/>
          </cell>
          <cell r="J8884" t="str">
            <v/>
          </cell>
          <cell r="O8884" t="str">
            <v/>
          </cell>
          <cell r="P8884" t="str">
            <v/>
          </cell>
          <cell r="Q8884" t="str">
            <v/>
          </cell>
          <cell r="S8884" t="str">
            <v/>
          </cell>
          <cell r="V8884" t="str">
            <v/>
          </cell>
          <cell r="Z8884" t="str">
            <v/>
          </cell>
          <cell r="AA8884" t="str">
            <v/>
          </cell>
          <cell r="AB8884" t="str">
            <v/>
          </cell>
          <cell r="AC8884" t="str">
            <v/>
          </cell>
          <cell r="AD8884" t="str">
            <v/>
          </cell>
          <cell r="AY8884" t="str">
            <v/>
          </cell>
          <cell r="AZ8884" t="str">
            <v/>
          </cell>
          <cell r="BA8884" t="str">
            <v/>
          </cell>
        </row>
        <row r="8885">
          <cell r="B8885" t="str">
            <v>-</v>
          </cell>
          <cell r="E8885" t="str">
            <v/>
          </cell>
          <cell r="G8885" t="str">
            <v/>
          </cell>
          <cell r="J8885" t="str">
            <v/>
          </cell>
          <cell r="O8885" t="str">
            <v/>
          </cell>
          <cell r="P8885" t="str">
            <v/>
          </cell>
          <cell r="Q8885" t="str">
            <v/>
          </cell>
          <cell r="S8885" t="str">
            <v/>
          </cell>
          <cell r="V8885" t="str">
            <v/>
          </cell>
          <cell r="Z8885" t="str">
            <v/>
          </cell>
          <cell r="AA8885" t="str">
            <v/>
          </cell>
          <cell r="AB8885" t="str">
            <v/>
          </cell>
          <cell r="AC8885" t="str">
            <v/>
          </cell>
          <cell r="AD8885" t="str">
            <v/>
          </cell>
          <cell r="AY8885" t="str">
            <v/>
          </cell>
          <cell r="AZ8885" t="str">
            <v/>
          </cell>
          <cell r="BA8885" t="str">
            <v/>
          </cell>
        </row>
        <row r="8886">
          <cell r="B8886" t="str">
            <v>-</v>
          </cell>
          <cell r="E8886" t="str">
            <v/>
          </cell>
          <cell r="G8886" t="str">
            <v/>
          </cell>
          <cell r="J8886" t="str">
            <v/>
          </cell>
          <cell r="O8886" t="str">
            <v/>
          </cell>
          <cell r="P8886" t="str">
            <v/>
          </cell>
          <cell r="Q8886" t="str">
            <v/>
          </cell>
          <cell r="S8886" t="str">
            <v/>
          </cell>
          <cell r="V8886" t="str">
            <v/>
          </cell>
          <cell r="Z8886" t="str">
            <v/>
          </cell>
          <cell r="AA8886" t="str">
            <v/>
          </cell>
          <cell r="AB8886" t="str">
            <v/>
          </cell>
          <cell r="AC8886" t="str">
            <v/>
          </cell>
          <cell r="AD8886" t="str">
            <v/>
          </cell>
          <cell r="AY8886" t="str">
            <v/>
          </cell>
          <cell r="AZ8886" t="str">
            <v/>
          </cell>
          <cell r="BA8886" t="str">
            <v/>
          </cell>
        </row>
        <row r="8887">
          <cell r="B8887" t="str">
            <v>-</v>
          </cell>
          <cell r="E8887" t="str">
            <v/>
          </cell>
          <cell r="G8887" t="str">
            <v/>
          </cell>
          <cell r="J8887" t="str">
            <v/>
          </cell>
          <cell r="O8887" t="str">
            <v/>
          </cell>
          <cell r="P8887" t="str">
            <v/>
          </cell>
          <cell r="Q8887" t="str">
            <v/>
          </cell>
          <cell r="S8887" t="str">
            <v/>
          </cell>
          <cell r="V8887" t="str">
            <v/>
          </cell>
          <cell r="Z8887" t="str">
            <v/>
          </cell>
          <cell r="AA8887" t="str">
            <v/>
          </cell>
          <cell r="AB8887" t="str">
            <v/>
          </cell>
          <cell r="AC8887" t="str">
            <v/>
          </cell>
          <cell r="AD8887" t="str">
            <v/>
          </cell>
          <cell r="AY8887" t="str">
            <v/>
          </cell>
          <cell r="AZ8887" t="str">
            <v/>
          </cell>
          <cell r="BA8887" t="str">
            <v/>
          </cell>
        </row>
        <row r="8888">
          <cell r="B8888" t="str">
            <v>-</v>
          </cell>
          <cell r="E8888" t="str">
            <v/>
          </cell>
          <cell r="G8888" t="str">
            <v/>
          </cell>
          <cell r="J8888" t="str">
            <v/>
          </cell>
          <cell r="O8888" t="str">
            <v/>
          </cell>
          <cell r="P8888" t="str">
            <v/>
          </cell>
          <cell r="Q8888" t="str">
            <v/>
          </cell>
          <cell r="S8888" t="str">
            <v/>
          </cell>
          <cell r="V8888" t="str">
            <v/>
          </cell>
          <cell r="Z8888" t="str">
            <v/>
          </cell>
          <cell r="AA8888" t="str">
            <v/>
          </cell>
          <cell r="AB8888" t="str">
            <v/>
          </cell>
          <cell r="AC8888" t="str">
            <v/>
          </cell>
          <cell r="AD8888" t="str">
            <v/>
          </cell>
          <cell r="AY8888" t="str">
            <v/>
          </cell>
          <cell r="AZ8888" t="str">
            <v/>
          </cell>
          <cell r="BA8888" t="str">
            <v/>
          </cell>
        </row>
        <row r="8889">
          <cell r="B8889" t="str">
            <v>-</v>
          </cell>
          <cell r="E8889" t="str">
            <v/>
          </cell>
          <cell r="G8889" t="str">
            <v/>
          </cell>
          <cell r="J8889" t="str">
            <v/>
          </cell>
          <cell r="O8889" t="str">
            <v/>
          </cell>
          <cell r="P8889" t="str">
            <v/>
          </cell>
          <cell r="Q8889" t="str">
            <v/>
          </cell>
          <cell r="S8889" t="str">
            <v/>
          </cell>
          <cell r="V8889" t="str">
            <v/>
          </cell>
          <cell r="Z8889" t="str">
            <v/>
          </cell>
          <cell r="AA8889" t="str">
            <v/>
          </cell>
          <cell r="AB8889" t="str">
            <v/>
          </cell>
          <cell r="AC8889" t="str">
            <v/>
          </cell>
          <cell r="AD8889" t="str">
            <v/>
          </cell>
          <cell r="AY8889" t="str">
            <v/>
          </cell>
          <cell r="AZ8889" t="str">
            <v/>
          </cell>
          <cell r="BA8889" t="str">
            <v/>
          </cell>
        </row>
        <row r="8890">
          <cell r="B8890" t="str">
            <v>-</v>
          </cell>
          <cell r="E8890" t="str">
            <v/>
          </cell>
          <cell r="G8890" t="str">
            <v/>
          </cell>
          <cell r="J8890" t="str">
            <v/>
          </cell>
          <cell r="O8890" t="str">
            <v/>
          </cell>
          <cell r="P8890" t="str">
            <v/>
          </cell>
          <cell r="Q8890" t="str">
            <v/>
          </cell>
          <cell r="S8890" t="str">
            <v/>
          </cell>
          <cell r="V8890" t="str">
            <v/>
          </cell>
          <cell r="Z8890" t="str">
            <v/>
          </cell>
          <cell r="AA8890" t="str">
            <v/>
          </cell>
          <cell r="AB8890" t="str">
            <v/>
          </cell>
          <cell r="AC8890" t="str">
            <v/>
          </cell>
          <cell r="AD8890" t="str">
            <v/>
          </cell>
          <cell r="AY8890" t="str">
            <v/>
          </cell>
          <cell r="AZ8890" t="str">
            <v/>
          </cell>
          <cell r="BA8890" t="str">
            <v/>
          </cell>
        </row>
        <row r="8891">
          <cell r="B8891" t="str">
            <v>-</v>
          </cell>
          <cell r="E8891" t="str">
            <v/>
          </cell>
          <cell r="G8891" t="str">
            <v/>
          </cell>
          <cell r="J8891" t="str">
            <v/>
          </cell>
          <cell r="O8891" t="str">
            <v/>
          </cell>
          <cell r="P8891" t="str">
            <v/>
          </cell>
          <cell r="Q8891" t="str">
            <v/>
          </cell>
          <cell r="S8891" t="str">
            <v/>
          </cell>
          <cell r="V8891" t="str">
            <v/>
          </cell>
          <cell r="Z8891" t="str">
            <v/>
          </cell>
          <cell r="AA8891" t="str">
            <v/>
          </cell>
          <cell r="AB8891" t="str">
            <v/>
          </cell>
          <cell r="AC8891" t="str">
            <v/>
          </cell>
          <cell r="AD8891" t="str">
            <v/>
          </cell>
          <cell r="AY8891" t="str">
            <v/>
          </cell>
          <cell r="AZ8891" t="str">
            <v/>
          </cell>
          <cell r="BA8891" t="str">
            <v/>
          </cell>
        </row>
        <row r="8892">
          <cell r="B8892" t="str">
            <v>-</v>
          </cell>
          <cell r="E8892" t="str">
            <v/>
          </cell>
          <cell r="G8892" t="str">
            <v/>
          </cell>
          <cell r="J8892" t="str">
            <v/>
          </cell>
          <cell r="O8892" t="str">
            <v/>
          </cell>
          <cell r="P8892" t="str">
            <v/>
          </cell>
          <cell r="Q8892" t="str">
            <v/>
          </cell>
          <cell r="S8892" t="str">
            <v/>
          </cell>
          <cell r="V8892" t="str">
            <v/>
          </cell>
          <cell r="Z8892" t="str">
            <v/>
          </cell>
          <cell r="AA8892" t="str">
            <v/>
          </cell>
          <cell r="AB8892" t="str">
            <v/>
          </cell>
          <cell r="AC8892" t="str">
            <v/>
          </cell>
          <cell r="AD8892" t="str">
            <v/>
          </cell>
          <cell r="AY8892" t="str">
            <v/>
          </cell>
          <cell r="AZ8892" t="str">
            <v/>
          </cell>
          <cell r="BA8892" t="str">
            <v/>
          </cell>
        </row>
        <row r="8893">
          <cell r="B8893" t="str">
            <v>-</v>
          </cell>
          <cell r="E8893" t="str">
            <v/>
          </cell>
          <cell r="G8893" t="str">
            <v/>
          </cell>
          <cell r="J8893" t="str">
            <v/>
          </cell>
          <cell r="O8893" t="str">
            <v/>
          </cell>
          <cell r="P8893" t="str">
            <v/>
          </cell>
          <cell r="Q8893" t="str">
            <v/>
          </cell>
          <cell r="S8893" t="str">
            <v/>
          </cell>
          <cell r="V8893" t="str">
            <v/>
          </cell>
          <cell r="Z8893" t="str">
            <v/>
          </cell>
          <cell r="AA8893" t="str">
            <v/>
          </cell>
          <cell r="AB8893" t="str">
            <v/>
          </cell>
          <cell r="AC8893" t="str">
            <v/>
          </cell>
          <cell r="AD8893" t="str">
            <v/>
          </cell>
          <cell r="AY8893" t="str">
            <v/>
          </cell>
          <cell r="AZ8893" t="str">
            <v/>
          </cell>
          <cell r="BA8893" t="str">
            <v/>
          </cell>
        </row>
        <row r="8894">
          <cell r="B8894" t="str">
            <v>-</v>
          </cell>
          <cell r="E8894" t="str">
            <v/>
          </cell>
          <cell r="G8894" t="str">
            <v/>
          </cell>
          <cell r="J8894" t="str">
            <v/>
          </cell>
          <cell r="O8894" t="str">
            <v/>
          </cell>
          <cell r="P8894" t="str">
            <v/>
          </cell>
          <cell r="Q8894" t="str">
            <v/>
          </cell>
          <cell r="S8894" t="str">
            <v/>
          </cell>
          <cell r="V8894" t="str">
            <v/>
          </cell>
          <cell r="Z8894" t="str">
            <v/>
          </cell>
          <cell r="AA8894" t="str">
            <v/>
          </cell>
          <cell r="AB8894" t="str">
            <v/>
          </cell>
          <cell r="AC8894" t="str">
            <v/>
          </cell>
          <cell r="AD8894" t="str">
            <v/>
          </cell>
          <cell r="AY8894" t="str">
            <v/>
          </cell>
          <cell r="AZ8894" t="str">
            <v/>
          </cell>
          <cell r="BA8894" t="str">
            <v/>
          </cell>
        </row>
        <row r="8895">
          <cell r="B8895" t="str">
            <v>-</v>
          </cell>
          <cell r="E8895" t="str">
            <v/>
          </cell>
          <cell r="G8895" t="str">
            <v/>
          </cell>
          <cell r="J8895" t="str">
            <v/>
          </cell>
          <cell r="O8895" t="str">
            <v/>
          </cell>
          <cell r="P8895" t="str">
            <v/>
          </cell>
          <cell r="Q8895" t="str">
            <v/>
          </cell>
          <cell r="S8895" t="str">
            <v/>
          </cell>
          <cell r="V8895" t="str">
            <v/>
          </cell>
          <cell r="Z8895" t="str">
            <v/>
          </cell>
          <cell r="AA8895" t="str">
            <v/>
          </cell>
          <cell r="AB8895" t="str">
            <v/>
          </cell>
          <cell r="AC8895" t="str">
            <v/>
          </cell>
          <cell r="AD8895" t="str">
            <v/>
          </cell>
          <cell r="AY8895" t="str">
            <v/>
          </cell>
          <cell r="AZ8895" t="str">
            <v/>
          </cell>
          <cell r="BA8895" t="str">
            <v/>
          </cell>
        </row>
        <row r="8896">
          <cell r="B8896" t="str">
            <v>-</v>
          </cell>
          <cell r="E8896" t="str">
            <v/>
          </cell>
          <cell r="G8896" t="str">
            <v/>
          </cell>
          <cell r="J8896" t="str">
            <v/>
          </cell>
          <cell r="O8896" t="str">
            <v/>
          </cell>
          <cell r="P8896" t="str">
            <v/>
          </cell>
          <cell r="Q8896" t="str">
            <v/>
          </cell>
          <cell r="S8896" t="str">
            <v/>
          </cell>
          <cell r="V8896" t="str">
            <v/>
          </cell>
          <cell r="Z8896" t="str">
            <v/>
          </cell>
          <cell r="AA8896" t="str">
            <v/>
          </cell>
          <cell r="AB8896" t="str">
            <v/>
          </cell>
          <cell r="AC8896" t="str">
            <v/>
          </cell>
          <cell r="AD8896" t="str">
            <v/>
          </cell>
          <cell r="AY8896" t="str">
            <v/>
          </cell>
          <cell r="AZ8896" t="str">
            <v/>
          </cell>
          <cell r="BA8896" t="str">
            <v/>
          </cell>
        </row>
        <row r="8897">
          <cell r="B8897" t="str">
            <v>-</v>
          </cell>
          <cell r="E8897" t="str">
            <v/>
          </cell>
          <cell r="G8897" t="str">
            <v/>
          </cell>
          <cell r="J8897" t="str">
            <v/>
          </cell>
          <cell r="O8897" t="str">
            <v/>
          </cell>
          <cell r="P8897" t="str">
            <v/>
          </cell>
          <cell r="Q8897" t="str">
            <v/>
          </cell>
          <cell r="S8897" t="str">
            <v/>
          </cell>
          <cell r="V8897" t="str">
            <v/>
          </cell>
          <cell r="Z8897" t="str">
            <v/>
          </cell>
          <cell r="AA8897" t="str">
            <v/>
          </cell>
          <cell r="AB8897" t="str">
            <v/>
          </cell>
          <cell r="AC8897" t="str">
            <v/>
          </cell>
          <cell r="AD8897" t="str">
            <v/>
          </cell>
          <cell r="AY8897" t="str">
            <v/>
          </cell>
          <cell r="AZ8897" t="str">
            <v/>
          </cell>
          <cell r="BA8897" t="str">
            <v/>
          </cell>
        </row>
        <row r="8898">
          <cell r="B8898" t="str">
            <v>-</v>
          </cell>
          <cell r="E8898" t="str">
            <v/>
          </cell>
          <cell r="G8898" t="str">
            <v/>
          </cell>
          <cell r="J8898" t="str">
            <v/>
          </cell>
          <cell r="O8898" t="str">
            <v/>
          </cell>
          <cell r="P8898" t="str">
            <v/>
          </cell>
          <cell r="Q8898" t="str">
            <v/>
          </cell>
          <cell r="S8898" t="str">
            <v/>
          </cell>
          <cell r="V8898" t="str">
            <v/>
          </cell>
          <cell r="Z8898" t="str">
            <v/>
          </cell>
          <cell r="AA8898" t="str">
            <v/>
          </cell>
          <cell r="AB8898" t="str">
            <v/>
          </cell>
          <cell r="AC8898" t="str">
            <v/>
          </cell>
          <cell r="AD8898" t="str">
            <v/>
          </cell>
          <cell r="AY8898" t="str">
            <v/>
          </cell>
          <cell r="AZ8898" t="str">
            <v/>
          </cell>
          <cell r="BA8898" t="str">
            <v/>
          </cell>
        </row>
        <row r="8899">
          <cell r="B8899" t="str">
            <v>-</v>
          </cell>
          <cell r="E8899" t="str">
            <v/>
          </cell>
          <cell r="G8899" t="str">
            <v/>
          </cell>
          <cell r="J8899" t="str">
            <v/>
          </cell>
          <cell r="O8899" t="str">
            <v/>
          </cell>
          <cell r="P8899" t="str">
            <v/>
          </cell>
          <cell r="Q8899" t="str">
            <v/>
          </cell>
          <cell r="S8899" t="str">
            <v/>
          </cell>
          <cell r="V8899" t="str">
            <v/>
          </cell>
          <cell r="Z8899" t="str">
            <v/>
          </cell>
          <cell r="AA8899" t="str">
            <v/>
          </cell>
          <cell r="AB8899" t="str">
            <v/>
          </cell>
          <cell r="AC8899" t="str">
            <v/>
          </cell>
          <cell r="AD8899" t="str">
            <v/>
          </cell>
          <cell r="AY8899" t="str">
            <v/>
          </cell>
          <cell r="AZ8899" t="str">
            <v/>
          </cell>
          <cell r="BA8899" t="str">
            <v/>
          </cell>
        </row>
        <row r="8900">
          <cell r="B8900" t="str">
            <v>-</v>
          </cell>
          <cell r="E8900" t="str">
            <v/>
          </cell>
          <cell r="G8900" t="str">
            <v/>
          </cell>
          <cell r="J8900" t="str">
            <v/>
          </cell>
          <cell r="O8900" t="str">
            <v/>
          </cell>
          <cell r="P8900" t="str">
            <v/>
          </cell>
          <cell r="Q8900" t="str">
            <v/>
          </cell>
          <cell r="S8900" t="str">
            <v/>
          </cell>
          <cell r="V8900" t="str">
            <v/>
          </cell>
          <cell r="Z8900" t="str">
            <v/>
          </cell>
          <cell r="AA8900" t="str">
            <v/>
          </cell>
          <cell r="AB8900" t="str">
            <v/>
          </cell>
          <cell r="AC8900" t="str">
            <v/>
          </cell>
          <cell r="AD8900" t="str">
            <v/>
          </cell>
          <cell r="AY8900" t="str">
            <v/>
          </cell>
          <cell r="AZ8900" t="str">
            <v/>
          </cell>
          <cell r="BA8900" t="str">
            <v/>
          </cell>
        </row>
        <row r="8901">
          <cell r="B8901" t="str">
            <v>-</v>
          </cell>
          <cell r="E8901" t="str">
            <v/>
          </cell>
          <cell r="G8901" t="str">
            <v/>
          </cell>
          <cell r="J8901" t="str">
            <v/>
          </cell>
          <cell r="O8901" t="str">
            <v/>
          </cell>
          <cell r="P8901" t="str">
            <v/>
          </cell>
          <cell r="Q8901" t="str">
            <v/>
          </cell>
          <cell r="S8901" t="str">
            <v/>
          </cell>
          <cell r="V8901" t="str">
            <v/>
          </cell>
          <cell r="Z8901" t="str">
            <v/>
          </cell>
          <cell r="AA8901" t="str">
            <v/>
          </cell>
          <cell r="AB8901" t="str">
            <v/>
          </cell>
          <cell r="AC8901" t="str">
            <v/>
          </cell>
          <cell r="AD8901" t="str">
            <v/>
          </cell>
          <cell r="AY8901" t="str">
            <v/>
          </cell>
          <cell r="AZ8901" t="str">
            <v/>
          </cell>
          <cell r="BA8901" t="str">
            <v/>
          </cell>
        </row>
        <row r="8902">
          <cell r="B8902" t="str">
            <v>-</v>
          </cell>
          <cell r="E8902" t="str">
            <v/>
          </cell>
          <cell r="G8902" t="str">
            <v/>
          </cell>
          <cell r="J8902" t="str">
            <v/>
          </cell>
          <cell r="O8902" t="str">
            <v/>
          </cell>
          <cell r="P8902" t="str">
            <v/>
          </cell>
          <cell r="Q8902" t="str">
            <v/>
          </cell>
          <cell r="S8902" t="str">
            <v/>
          </cell>
          <cell r="V8902" t="str">
            <v/>
          </cell>
          <cell r="Z8902" t="str">
            <v/>
          </cell>
          <cell r="AA8902" t="str">
            <v/>
          </cell>
          <cell r="AB8902" t="str">
            <v/>
          </cell>
          <cell r="AC8902" t="str">
            <v/>
          </cell>
          <cell r="AD8902" t="str">
            <v/>
          </cell>
          <cell r="AY8902" t="str">
            <v/>
          </cell>
          <cell r="AZ8902" t="str">
            <v/>
          </cell>
          <cell r="BA8902" t="str">
            <v/>
          </cell>
        </row>
        <row r="8903">
          <cell r="B8903" t="str">
            <v>-</v>
          </cell>
          <cell r="E8903" t="str">
            <v/>
          </cell>
          <cell r="G8903" t="str">
            <v/>
          </cell>
          <cell r="J8903" t="str">
            <v/>
          </cell>
          <cell r="O8903" t="str">
            <v/>
          </cell>
          <cell r="P8903" t="str">
            <v/>
          </cell>
          <cell r="Q8903" t="str">
            <v/>
          </cell>
          <cell r="S8903" t="str">
            <v/>
          </cell>
          <cell r="V8903" t="str">
            <v/>
          </cell>
          <cell r="Z8903" t="str">
            <v/>
          </cell>
          <cell r="AA8903" t="str">
            <v/>
          </cell>
          <cell r="AB8903" t="str">
            <v/>
          </cell>
          <cell r="AC8903" t="str">
            <v/>
          </cell>
          <cell r="AD8903" t="str">
            <v/>
          </cell>
          <cell r="AY8903" t="str">
            <v/>
          </cell>
          <cell r="AZ8903" t="str">
            <v/>
          </cell>
          <cell r="BA8903" t="str">
            <v/>
          </cell>
        </row>
        <row r="8904">
          <cell r="B8904" t="str">
            <v>-</v>
          </cell>
          <cell r="E8904" t="str">
            <v/>
          </cell>
          <cell r="G8904" t="str">
            <v/>
          </cell>
          <cell r="J8904" t="str">
            <v/>
          </cell>
          <cell r="O8904" t="str">
            <v/>
          </cell>
          <cell r="P8904" t="str">
            <v/>
          </cell>
          <cell r="Q8904" t="str">
            <v/>
          </cell>
          <cell r="S8904" t="str">
            <v/>
          </cell>
          <cell r="V8904" t="str">
            <v/>
          </cell>
          <cell r="Z8904" t="str">
            <v/>
          </cell>
          <cell r="AA8904" t="str">
            <v/>
          </cell>
          <cell r="AB8904" t="str">
            <v/>
          </cell>
          <cell r="AC8904" t="str">
            <v/>
          </cell>
          <cell r="AD8904" t="str">
            <v/>
          </cell>
          <cell r="AY8904" t="str">
            <v/>
          </cell>
          <cell r="AZ8904" t="str">
            <v/>
          </cell>
          <cell r="BA8904" t="str">
            <v/>
          </cell>
        </row>
        <row r="8905">
          <cell r="B8905" t="str">
            <v>-</v>
          </cell>
          <cell r="E8905" t="str">
            <v/>
          </cell>
          <cell r="G8905" t="str">
            <v/>
          </cell>
          <cell r="J8905" t="str">
            <v/>
          </cell>
          <cell r="O8905" t="str">
            <v/>
          </cell>
          <cell r="P8905" t="str">
            <v/>
          </cell>
          <cell r="Q8905" t="str">
            <v/>
          </cell>
          <cell r="S8905" t="str">
            <v/>
          </cell>
          <cell r="V8905" t="str">
            <v/>
          </cell>
          <cell r="Z8905" t="str">
            <v/>
          </cell>
          <cell r="AA8905" t="str">
            <v/>
          </cell>
          <cell r="AB8905" t="str">
            <v/>
          </cell>
          <cell r="AC8905" t="str">
            <v/>
          </cell>
          <cell r="AD8905" t="str">
            <v/>
          </cell>
          <cell r="AY8905" t="str">
            <v/>
          </cell>
          <cell r="AZ8905" t="str">
            <v/>
          </cell>
          <cell r="BA8905" t="str">
            <v/>
          </cell>
        </row>
        <row r="8906">
          <cell r="B8906" t="str">
            <v>-</v>
          </cell>
          <cell r="E8906" t="str">
            <v/>
          </cell>
          <cell r="G8906" t="str">
            <v/>
          </cell>
          <cell r="J8906" t="str">
            <v/>
          </cell>
          <cell r="O8906" t="str">
            <v/>
          </cell>
          <cell r="P8906" t="str">
            <v/>
          </cell>
          <cell r="Q8906" t="str">
            <v/>
          </cell>
          <cell r="S8906" t="str">
            <v/>
          </cell>
          <cell r="V8906" t="str">
            <v/>
          </cell>
          <cell r="Z8906" t="str">
            <v/>
          </cell>
          <cell r="AA8906" t="str">
            <v/>
          </cell>
          <cell r="AB8906" t="str">
            <v/>
          </cell>
          <cell r="AC8906" t="str">
            <v/>
          </cell>
          <cell r="AD8906" t="str">
            <v/>
          </cell>
          <cell r="AY8906" t="str">
            <v/>
          </cell>
          <cell r="AZ8906" t="str">
            <v/>
          </cell>
          <cell r="BA8906" t="str">
            <v/>
          </cell>
        </row>
        <row r="8907">
          <cell r="B8907" t="str">
            <v>-</v>
          </cell>
          <cell r="E8907" t="str">
            <v/>
          </cell>
          <cell r="G8907" t="str">
            <v/>
          </cell>
          <cell r="J8907" t="str">
            <v/>
          </cell>
          <cell r="O8907" t="str">
            <v/>
          </cell>
          <cell r="P8907" t="str">
            <v/>
          </cell>
          <cell r="Q8907" t="str">
            <v/>
          </cell>
          <cell r="S8907" t="str">
            <v/>
          </cell>
          <cell r="V8907" t="str">
            <v/>
          </cell>
          <cell r="Z8907" t="str">
            <v/>
          </cell>
          <cell r="AA8907" t="str">
            <v/>
          </cell>
          <cell r="AB8907" t="str">
            <v/>
          </cell>
          <cell r="AC8907" t="str">
            <v/>
          </cell>
          <cell r="AD8907" t="str">
            <v/>
          </cell>
          <cell r="AY8907" t="str">
            <v/>
          </cell>
          <cell r="AZ8907" t="str">
            <v/>
          </cell>
          <cell r="BA8907" t="str">
            <v/>
          </cell>
        </row>
        <row r="8908">
          <cell r="B8908" t="str">
            <v>-</v>
          </cell>
          <cell r="E8908" t="str">
            <v/>
          </cell>
          <cell r="G8908" t="str">
            <v/>
          </cell>
          <cell r="J8908" t="str">
            <v/>
          </cell>
          <cell r="O8908" t="str">
            <v/>
          </cell>
          <cell r="P8908" t="str">
            <v/>
          </cell>
          <cell r="Q8908" t="str">
            <v/>
          </cell>
          <cell r="S8908" t="str">
            <v/>
          </cell>
          <cell r="V8908" t="str">
            <v/>
          </cell>
          <cell r="Z8908" t="str">
            <v/>
          </cell>
          <cell r="AA8908" t="str">
            <v/>
          </cell>
          <cell r="AB8908" t="str">
            <v/>
          </cell>
          <cell r="AC8908" t="str">
            <v/>
          </cell>
          <cell r="AD8908" t="str">
            <v/>
          </cell>
          <cell r="AY8908" t="str">
            <v/>
          </cell>
          <cell r="AZ8908" t="str">
            <v/>
          </cell>
          <cell r="BA8908" t="str">
            <v/>
          </cell>
        </row>
        <row r="8909">
          <cell r="B8909" t="str">
            <v>-</v>
          </cell>
          <cell r="E8909" t="str">
            <v/>
          </cell>
          <cell r="G8909" t="str">
            <v/>
          </cell>
          <cell r="J8909" t="str">
            <v/>
          </cell>
          <cell r="O8909" t="str">
            <v/>
          </cell>
          <cell r="P8909" t="str">
            <v/>
          </cell>
          <cell r="Q8909" t="str">
            <v/>
          </cell>
          <cell r="S8909" t="str">
            <v/>
          </cell>
          <cell r="V8909" t="str">
            <v/>
          </cell>
          <cell r="Z8909" t="str">
            <v/>
          </cell>
          <cell r="AA8909" t="str">
            <v/>
          </cell>
          <cell r="AB8909" t="str">
            <v/>
          </cell>
          <cell r="AC8909" t="str">
            <v/>
          </cell>
          <cell r="AD8909" t="str">
            <v/>
          </cell>
          <cell r="AY8909" t="str">
            <v/>
          </cell>
          <cell r="AZ8909" t="str">
            <v/>
          </cell>
          <cell r="BA8909" t="str">
            <v/>
          </cell>
        </row>
        <row r="8910">
          <cell r="B8910" t="str">
            <v>-</v>
          </cell>
          <cell r="E8910" t="str">
            <v/>
          </cell>
          <cell r="G8910" t="str">
            <v/>
          </cell>
          <cell r="J8910" t="str">
            <v/>
          </cell>
          <cell r="O8910" t="str">
            <v/>
          </cell>
          <cell r="P8910" t="str">
            <v/>
          </cell>
          <cell r="Q8910" t="str">
            <v/>
          </cell>
          <cell r="S8910" t="str">
            <v/>
          </cell>
          <cell r="V8910" t="str">
            <v/>
          </cell>
          <cell r="Z8910" t="str">
            <v/>
          </cell>
          <cell r="AA8910" t="str">
            <v/>
          </cell>
          <cell r="AB8910" t="str">
            <v/>
          </cell>
          <cell r="AC8910" t="str">
            <v/>
          </cell>
          <cell r="AD8910" t="str">
            <v/>
          </cell>
          <cell r="AY8910" t="str">
            <v/>
          </cell>
          <cell r="AZ8910" t="str">
            <v/>
          </cell>
          <cell r="BA8910" t="str">
            <v/>
          </cell>
        </row>
        <row r="8911">
          <cell r="B8911" t="str">
            <v>-</v>
          </cell>
          <cell r="E8911" t="str">
            <v/>
          </cell>
          <cell r="G8911" t="str">
            <v/>
          </cell>
          <cell r="J8911" t="str">
            <v/>
          </cell>
          <cell r="O8911" t="str">
            <v/>
          </cell>
          <cell r="P8911" t="str">
            <v/>
          </cell>
          <cell r="Q8911" t="str">
            <v/>
          </cell>
          <cell r="S8911" t="str">
            <v/>
          </cell>
          <cell r="V8911" t="str">
            <v/>
          </cell>
          <cell r="Z8911" t="str">
            <v/>
          </cell>
          <cell r="AA8911" t="str">
            <v/>
          </cell>
          <cell r="AB8911" t="str">
            <v/>
          </cell>
          <cell r="AC8911" t="str">
            <v/>
          </cell>
          <cell r="AD8911" t="str">
            <v/>
          </cell>
          <cell r="AY8911" t="str">
            <v/>
          </cell>
          <cell r="AZ8911" t="str">
            <v/>
          </cell>
          <cell r="BA8911" t="str">
            <v/>
          </cell>
        </row>
        <row r="8912">
          <cell r="B8912" t="str">
            <v>-</v>
          </cell>
          <cell r="E8912" t="str">
            <v/>
          </cell>
          <cell r="G8912" t="str">
            <v/>
          </cell>
          <cell r="J8912" t="str">
            <v/>
          </cell>
          <cell r="O8912" t="str">
            <v/>
          </cell>
          <cell r="P8912" t="str">
            <v/>
          </cell>
          <cell r="Q8912" t="str">
            <v/>
          </cell>
          <cell r="S8912" t="str">
            <v/>
          </cell>
          <cell r="V8912" t="str">
            <v/>
          </cell>
          <cell r="Z8912" t="str">
            <v/>
          </cell>
          <cell r="AA8912" t="str">
            <v/>
          </cell>
          <cell r="AB8912" t="str">
            <v/>
          </cell>
          <cell r="AC8912" t="str">
            <v/>
          </cell>
          <cell r="AD8912" t="str">
            <v/>
          </cell>
          <cell r="AY8912" t="str">
            <v/>
          </cell>
          <cell r="AZ8912" t="str">
            <v/>
          </cell>
          <cell r="BA8912" t="str">
            <v/>
          </cell>
        </row>
        <row r="8913">
          <cell r="B8913" t="str">
            <v>-</v>
          </cell>
          <cell r="E8913" t="str">
            <v/>
          </cell>
          <cell r="G8913" t="str">
            <v/>
          </cell>
          <cell r="J8913" t="str">
            <v/>
          </cell>
          <cell r="O8913" t="str">
            <v/>
          </cell>
          <cell r="P8913" t="str">
            <v/>
          </cell>
          <cell r="Q8913" t="str">
            <v/>
          </cell>
          <cell r="S8913" t="str">
            <v/>
          </cell>
          <cell r="V8913" t="str">
            <v/>
          </cell>
          <cell r="Z8913" t="str">
            <v/>
          </cell>
          <cell r="AA8913" t="str">
            <v/>
          </cell>
          <cell r="AB8913" t="str">
            <v/>
          </cell>
          <cell r="AC8913" t="str">
            <v/>
          </cell>
          <cell r="AD8913" t="str">
            <v/>
          </cell>
          <cell r="AY8913" t="str">
            <v/>
          </cell>
          <cell r="AZ8913" t="str">
            <v/>
          </cell>
          <cell r="BA8913" t="str">
            <v/>
          </cell>
        </row>
        <row r="8914">
          <cell r="B8914" t="str">
            <v>-</v>
          </cell>
          <cell r="E8914" t="str">
            <v/>
          </cell>
          <cell r="G8914" t="str">
            <v/>
          </cell>
          <cell r="J8914" t="str">
            <v/>
          </cell>
          <cell r="O8914" t="str">
            <v/>
          </cell>
          <cell r="P8914" t="str">
            <v/>
          </cell>
          <cell r="Q8914" t="str">
            <v/>
          </cell>
          <cell r="S8914" t="str">
            <v/>
          </cell>
          <cell r="V8914" t="str">
            <v/>
          </cell>
          <cell r="Z8914" t="str">
            <v/>
          </cell>
          <cell r="AA8914" t="str">
            <v/>
          </cell>
          <cell r="AB8914" t="str">
            <v/>
          </cell>
          <cell r="AC8914" t="str">
            <v/>
          </cell>
          <cell r="AD8914" t="str">
            <v/>
          </cell>
          <cell r="AY8914" t="str">
            <v/>
          </cell>
          <cell r="AZ8914" t="str">
            <v/>
          </cell>
          <cell r="BA8914" t="str">
            <v/>
          </cell>
        </row>
        <row r="8915">
          <cell r="B8915" t="str">
            <v>-</v>
          </cell>
          <cell r="E8915" t="str">
            <v/>
          </cell>
          <cell r="G8915" t="str">
            <v/>
          </cell>
          <cell r="J8915" t="str">
            <v/>
          </cell>
          <cell r="O8915" t="str">
            <v/>
          </cell>
          <cell r="P8915" t="str">
            <v/>
          </cell>
          <cell r="Q8915" t="str">
            <v/>
          </cell>
          <cell r="S8915" t="str">
            <v/>
          </cell>
          <cell r="V8915" t="str">
            <v/>
          </cell>
          <cell r="Z8915" t="str">
            <v/>
          </cell>
          <cell r="AA8915" t="str">
            <v/>
          </cell>
          <cell r="AB8915" t="str">
            <v/>
          </cell>
          <cell r="AC8915" t="str">
            <v/>
          </cell>
          <cell r="AD8915" t="str">
            <v/>
          </cell>
          <cell r="AY8915" t="str">
            <v/>
          </cell>
          <cell r="AZ8915" t="str">
            <v/>
          </cell>
          <cell r="BA8915" t="str">
            <v/>
          </cell>
        </row>
        <row r="8916">
          <cell r="B8916" t="str">
            <v>-</v>
          </cell>
          <cell r="E8916" t="str">
            <v/>
          </cell>
          <cell r="G8916" t="str">
            <v/>
          </cell>
          <cell r="J8916" t="str">
            <v/>
          </cell>
          <cell r="O8916" t="str">
            <v/>
          </cell>
          <cell r="P8916" t="str">
            <v/>
          </cell>
          <cell r="Q8916" t="str">
            <v/>
          </cell>
          <cell r="S8916" t="str">
            <v/>
          </cell>
          <cell r="V8916" t="str">
            <v/>
          </cell>
          <cell r="Z8916" t="str">
            <v/>
          </cell>
          <cell r="AA8916" t="str">
            <v/>
          </cell>
          <cell r="AB8916" t="str">
            <v/>
          </cell>
          <cell r="AC8916" t="str">
            <v/>
          </cell>
          <cell r="AD8916" t="str">
            <v/>
          </cell>
          <cell r="AY8916" t="str">
            <v/>
          </cell>
          <cell r="AZ8916" t="str">
            <v/>
          </cell>
          <cell r="BA8916" t="str">
            <v/>
          </cell>
        </row>
        <row r="8917">
          <cell r="B8917" t="str">
            <v>-</v>
          </cell>
          <cell r="E8917" t="str">
            <v/>
          </cell>
          <cell r="G8917" t="str">
            <v/>
          </cell>
          <cell r="J8917" t="str">
            <v/>
          </cell>
          <cell r="O8917" t="str">
            <v/>
          </cell>
          <cell r="P8917" t="str">
            <v/>
          </cell>
          <cell r="Q8917" t="str">
            <v/>
          </cell>
          <cell r="S8917" t="str">
            <v/>
          </cell>
          <cell r="V8917" t="str">
            <v/>
          </cell>
          <cell r="Z8917" t="str">
            <v/>
          </cell>
          <cell r="AA8917" t="str">
            <v/>
          </cell>
          <cell r="AB8917" t="str">
            <v/>
          </cell>
          <cell r="AC8917" t="str">
            <v/>
          </cell>
          <cell r="AD8917" t="str">
            <v/>
          </cell>
          <cell r="AY8917" t="str">
            <v/>
          </cell>
          <cell r="AZ8917" t="str">
            <v/>
          </cell>
          <cell r="BA8917" t="str">
            <v/>
          </cell>
        </row>
        <row r="8918">
          <cell r="B8918" t="str">
            <v>-</v>
          </cell>
          <cell r="E8918" t="str">
            <v/>
          </cell>
          <cell r="G8918" t="str">
            <v/>
          </cell>
          <cell r="J8918" t="str">
            <v/>
          </cell>
          <cell r="O8918" t="str">
            <v/>
          </cell>
          <cell r="P8918" t="str">
            <v/>
          </cell>
          <cell r="Q8918" t="str">
            <v/>
          </cell>
          <cell r="S8918" t="str">
            <v/>
          </cell>
          <cell r="V8918" t="str">
            <v/>
          </cell>
          <cell r="Z8918" t="str">
            <v/>
          </cell>
          <cell r="AA8918" t="str">
            <v/>
          </cell>
          <cell r="AB8918" t="str">
            <v/>
          </cell>
          <cell r="AC8918" t="str">
            <v/>
          </cell>
          <cell r="AD8918" t="str">
            <v/>
          </cell>
          <cell r="AY8918" t="str">
            <v/>
          </cell>
          <cell r="AZ8918" t="str">
            <v/>
          </cell>
          <cell r="BA8918" t="str">
            <v/>
          </cell>
        </row>
        <row r="8919">
          <cell r="B8919" t="str">
            <v>-</v>
          </cell>
          <cell r="E8919" t="str">
            <v/>
          </cell>
          <cell r="G8919" t="str">
            <v/>
          </cell>
          <cell r="J8919" t="str">
            <v/>
          </cell>
          <cell r="O8919" t="str">
            <v/>
          </cell>
          <cell r="P8919" t="str">
            <v/>
          </cell>
          <cell r="Q8919" t="str">
            <v/>
          </cell>
          <cell r="S8919" t="str">
            <v/>
          </cell>
          <cell r="V8919" t="str">
            <v/>
          </cell>
          <cell r="Z8919" t="str">
            <v/>
          </cell>
          <cell r="AA8919" t="str">
            <v/>
          </cell>
          <cell r="AB8919" t="str">
            <v/>
          </cell>
          <cell r="AC8919" t="str">
            <v/>
          </cell>
          <cell r="AD8919" t="str">
            <v/>
          </cell>
          <cell r="AY8919" t="str">
            <v/>
          </cell>
          <cell r="AZ8919" t="str">
            <v/>
          </cell>
          <cell r="BA8919" t="str">
            <v/>
          </cell>
        </row>
        <row r="8920">
          <cell r="B8920" t="str">
            <v>-</v>
          </cell>
          <cell r="E8920" t="str">
            <v/>
          </cell>
          <cell r="G8920" t="str">
            <v/>
          </cell>
          <cell r="J8920" t="str">
            <v/>
          </cell>
          <cell r="O8920" t="str">
            <v/>
          </cell>
          <cell r="P8920" t="str">
            <v/>
          </cell>
          <cell r="Q8920" t="str">
            <v/>
          </cell>
          <cell r="S8920" t="str">
            <v/>
          </cell>
          <cell r="V8920" t="str">
            <v/>
          </cell>
          <cell r="Z8920" t="str">
            <v/>
          </cell>
          <cell r="AA8920" t="str">
            <v/>
          </cell>
          <cell r="AB8920" t="str">
            <v/>
          </cell>
          <cell r="AC8920" t="str">
            <v/>
          </cell>
          <cell r="AD8920" t="str">
            <v/>
          </cell>
          <cell r="AY8920" t="str">
            <v/>
          </cell>
          <cell r="AZ8920" t="str">
            <v/>
          </cell>
          <cell r="BA8920" t="str">
            <v/>
          </cell>
        </row>
        <row r="8921">
          <cell r="B8921" t="str">
            <v>-</v>
          </cell>
          <cell r="E8921" t="str">
            <v/>
          </cell>
          <cell r="G8921" t="str">
            <v/>
          </cell>
          <cell r="J8921" t="str">
            <v/>
          </cell>
          <cell r="O8921" t="str">
            <v/>
          </cell>
          <cell r="P8921" t="str">
            <v/>
          </cell>
          <cell r="Q8921" t="str">
            <v/>
          </cell>
          <cell r="S8921" t="str">
            <v/>
          </cell>
          <cell r="V8921" t="str">
            <v/>
          </cell>
          <cell r="Z8921" t="str">
            <v/>
          </cell>
          <cell r="AA8921" t="str">
            <v/>
          </cell>
          <cell r="AB8921" t="str">
            <v/>
          </cell>
          <cell r="AC8921" t="str">
            <v/>
          </cell>
          <cell r="AD8921" t="str">
            <v/>
          </cell>
          <cell r="AY8921" t="str">
            <v/>
          </cell>
          <cell r="AZ8921" t="str">
            <v/>
          </cell>
          <cell r="BA8921" t="str">
            <v/>
          </cell>
        </row>
        <row r="8922">
          <cell r="B8922" t="str">
            <v>-</v>
          </cell>
          <cell r="E8922" t="str">
            <v/>
          </cell>
          <cell r="G8922" t="str">
            <v/>
          </cell>
          <cell r="J8922" t="str">
            <v/>
          </cell>
          <cell r="O8922" t="str">
            <v/>
          </cell>
          <cell r="P8922" t="str">
            <v/>
          </cell>
          <cell r="Q8922" t="str">
            <v/>
          </cell>
          <cell r="S8922" t="str">
            <v/>
          </cell>
          <cell r="V8922" t="str">
            <v/>
          </cell>
          <cell r="Z8922" t="str">
            <v/>
          </cell>
          <cell r="AA8922" t="str">
            <v/>
          </cell>
          <cell r="AB8922" t="str">
            <v/>
          </cell>
          <cell r="AC8922" t="str">
            <v/>
          </cell>
          <cell r="AD8922" t="str">
            <v/>
          </cell>
          <cell r="AY8922" t="str">
            <v/>
          </cell>
          <cell r="AZ8922" t="str">
            <v/>
          </cell>
          <cell r="BA8922" t="str">
            <v/>
          </cell>
        </row>
        <row r="8923">
          <cell r="B8923" t="str">
            <v>-</v>
          </cell>
          <cell r="E8923" t="str">
            <v/>
          </cell>
          <cell r="G8923" t="str">
            <v/>
          </cell>
          <cell r="J8923" t="str">
            <v/>
          </cell>
          <cell r="O8923" t="str">
            <v/>
          </cell>
          <cell r="P8923" t="str">
            <v/>
          </cell>
          <cell r="Q8923" t="str">
            <v/>
          </cell>
          <cell r="S8923" t="str">
            <v/>
          </cell>
          <cell r="V8923" t="str">
            <v/>
          </cell>
          <cell r="Z8923" t="str">
            <v/>
          </cell>
          <cell r="AA8923" t="str">
            <v/>
          </cell>
          <cell r="AB8923" t="str">
            <v/>
          </cell>
          <cell r="AC8923" t="str">
            <v/>
          </cell>
          <cell r="AD8923" t="str">
            <v/>
          </cell>
          <cell r="AY8923" t="str">
            <v/>
          </cell>
          <cell r="AZ8923" t="str">
            <v/>
          </cell>
          <cell r="BA8923" t="str">
            <v/>
          </cell>
        </row>
        <row r="8924">
          <cell r="B8924" t="str">
            <v>-</v>
          </cell>
          <cell r="E8924" t="str">
            <v/>
          </cell>
          <cell r="G8924" t="str">
            <v/>
          </cell>
          <cell r="J8924" t="str">
            <v/>
          </cell>
          <cell r="O8924" t="str">
            <v/>
          </cell>
          <cell r="P8924" t="str">
            <v/>
          </cell>
          <cell r="Q8924" t="str">
            <v/>
          </cell>
          <cell r="S8924" t="str">
            <v/>
          </cell>
          <cell r="V8924" t="str">
            <v/>
          </cell>
          <cell r="Z8924" t="str">
            <v/>
          </cell>
          <cell r="AA8924" t="str">
            <v/>
          </cell>
          <cell r="AB8924" t="str">
            <v/>
          </cell>
          <cell r="AC8924" t="str">
            <v/>
          </cell>
          <cell r="AD8924" t="str">
            <v/>
          </cell>
          <cell r="AY8924" t="str">
            <v/>
          </cell>
          <cell r="AZ8924" t="str">
            <v/>
          </cell>
          <cell r="BA8924" t="str">
            <v/>
          </cell>
        </row>
        <row r="8925">
          <cell r="B8925" t="str">
            <v>-</v>
          </cell>
          <cell r="E8925" t="str">
            <v/>
          </cell>
          <cell r="G8925" t="str">
            <v/>
          </cell>
          <cell r="J8925" t="str">
            <v/>
          </cell>
          <cell r="O8925" t="str">
            <v/>
          </cell>
          <cell r="P8925" t="str">
            <v/>
          </cell>
          <cell r="Q8925" t="str">
            <v/>
          </cell>
          <cell r="S8925" t="str">
            <v/>
          </cell>
          <cell r="V8925" t="str">
            <v/>
          </cell>
          <cell r="Z8925" t="str">
            <v/>
          </cell>
          <cell r="AA8925" t="str">
            <v/>
          </cell>
          <cell r="AB8925" t="str">
            <v/>
          </cell>
          <cell r="AC8925" t="str">
            <v/>
          </cell>
          <cell r="AD8925" t="str">
            <v/>
          </cell>
          <cell r="AY8925" t="str">
            <v/>
          </cell>
          <cell r="AZ8925" t="str">
            <v/>
          </cell>
          <cell r="BA8925" t="str">
            <v/>
          </cell>
        </row>
        <row r="8926">
          <cell r="B8926" t="str">
            <v>-</v>
          </cell>
          <cell r="E8926" t="str">
            <v/>
          </cell>
          <cell r="G8926" t="str">
            <v/>
          </cell>
          <cell r="J8926" t="str">
            <v/>
          </cell>
          <cell r="O8926" t="str">
            <v/>
          </cell>
          <cell r="P8926" t="str">
            <v/>
          </cell>
          <cell r="Q8926" t="str">
            <v/>
          </cell>
          <cell r="S8926" t="str">
            <v/>
          </cell>
          <cell r="V8926" t="str">
            <v/>
          </cell>
          <cell r="Z8926" t="str">
            <v/>
          </cell>
          <cell r="AA8926" t="str">
            <v/>
          </cell>
          <cell r="AB8926" t="str">
            <v/>
          </cell>
          <cell r="AC8926" t="str">
            <v/>
          </cell>
          <cell r="AD8926" t="str">
            <v/>
          </cell>
          <cell r="AY8926" t="str">
            <v/>
          </cell>
          <cell r="AZ8926" t="str">
            <v/>
          </cell>
          <cell r="BA8926" t="str">
            <v/>
          </cell>
        </row>
        <row r="8927">
          <cell r="B8927" t="str">
            <v>-</v>
          </cell>
          <cell r="E8927" t="str">
            <v/>
          </cell>
          <cell r="G8927" t="str">
            <v/>
          </cell>
          <cell r="J8927" t="str">
            <v/>
          </cell>
          <cell r="O8927" t="str">
            <v/>
          </cell>
          <cell r="P8927" t="str">
            <v/>
          </cell>
          <cell r="Q8927" t="str">
            <v/>
          </cell>
          <cell r="S8927" t="str">
            <v/>
          </cell>
          <cell r="V8927" t="str">
            <v/>
          </cell>
          <cell r="Z8927" t="str">
            <v/>
          </cell>
          <cell r="AA8927" t="str">
            <v/>
          </cell>
          <cell r="AB8927" t="str">
            <v/>
          </cell>
          <cell r="AC8927" t="str">
            <v/>
          </cell>
          <cell r="AD8927" t="str">
            <v/>
          </cell>
          <cell r="AY8927" t="str">
            <v/>
          </cell>
          <cell r="AZ8927" t="str">
            <v/>
          </cell>
          <cell r="BA8927" t="str">
            <v/>
          </cell>
        </row>
        <row r="8928">
          <cell r="B8928" t="str">
            <v>-</v>
          </cell>
          <cell r="E8928" t="str">
            <v/>
          </cell>
          <cell r="G8928" t="str">
            <v/>
          </cell>
          <cell r="J8928" t="str">
            <v/>
          </cell>
          <cell r="O8928" t="str">
            <v/>
          </cell>
          <cell r="P8928" t="str">
            <v/>
          </cell>
          <cell r="Q8928" t="str">
            <v/>
          </cell>
          <cell r="S8928" t="str">
            <v/>
          </cell>
          <cell r="V8928" t="str">
            <v/>
          </cell>
          <cell r="Z8928" t="str">
            <v/>
          </cell>
          <cell r="AA8928" t="str">
            <v/>
          </cell>
          <cell r="AB8928" t="str">
            <v/>
          </cell>
          <cell r="AC8928" t="str">
            <v/>
          </cell>
          <cell r="AD8928" t="str">
            <v/>
          </cell>
          <cell r="AY8928" t="str">
            <v/>
          </cell>
          <cell r="AZ8928" t="str">
            <v/>
          </cell>
          <cell r="BA8928" t="str">
            <v/>
          </cell>
        </row>
        <row r="8929">
          <cell r="B8929" t="str">
            <v>-</v>
          </cell>
          <cell r="E8929" t="str">
            <v/>
          </cell>
          <cell r="G8929" t="str">
            <v/>
          </cell>
          <cell r="J8929" t="str">
            <v/>
          </cell>
          <cell r="O8929" t="str">
            <v/>
          </cell>
          <cell r="P8929" t="str">
            <v/>
          </cell>
          <cell r="Q8929" t="str">
            <v/>
          </cell>
          <cell r="S8929" t="str">
            <v/>
          </cell>
          <cell r="V8929" t="str">
            <v/>
          </cell>
          <cell r="Z8929" t="str">
            <v/>
          </cell>
          <cell r="AA8929" t="str">
            <v/>
          </cell>
          <cell r="AB8929" t="str">
            <v/>
          </cell>
          <cell r="AC8929" t="str">
            <v/>
          </cell>
          <cell r="AD8929" t="str">
            <v/>
          </cell>
          <cell r="AY8929" t="str">
            <v/>
          </cell>
          <cell r="AZ8929" t="str">
            <v/>
          </cell>
          <cell r="BA8929" t="str">
            <v/>
          </cell>
        </row>
        <row r="8930">
          <cell r="B8930" t="str">
            <v>-</v>
          </cell>
          <cell r="E8930" t="str">
            <v/>
          </cell>
          <cell r="G8930" t="str">
            <v/>
          </cell>
          <cell r="J8930" t="str">
            <v/>
          </cell>
          <cell r="O8930" t="str">
            <v/>
          </cell>
          <cell r="P8930" t="str">
            <v/>
          </cell>
          <cell r="Q8930" t="str">
            <v/>
          </cell>
          <cell r="S8930" t="str">
            <v/>
          </cell>
          <cell r="V8930" t="str">
            <v/>
          </cell>
          <cell r="Z8930" t="str">
            <v/>
          </cell>
          <cell r="AA8930" t="str">
            <v/>
          </cell>
          <cell r="AB8930" t="str">
            <v/>
          </cell>
          <cell r="AC8930" t="str">
            <v/>
          </cell>
          <cell r="AD8930" t="str">
            <v/>
          </cell>
          <cell r="AY8930" t="str">
            <v/>
          </cell>
          <cell r="AZ8930" t="str">
            <v/>
          </cell>
          <cell r="BA8930" t="str">
            <v/>
          </cell>
        </row>
        <row r="8931">
          <cell r="B8931" t="str">
            <v>-</v>
          </cell>
          <cell r="E8931" t="str">
            <v/>
          </cell>
          <cell r="G8931" t="str">
            <v/>
          </cell>
          <cell r="J8931" t="str">
            <v/>
          </cell>
          <cell r="O8931" t="str">
            <v/>
          </cell>
          <cell r="P8931" t="str">
            <v/>
          </cell>
          <cell r="Q8931" t="str">
            <v/>
          </cell>
          <cell r="S8931" t="str">
            <v/>
          </cell>
          <cell r="V8931" t="str">
            <v/>
          </cell>
          <cell r="Z8931" t="str">
            <v/>
          </cell>
          <cell r="AA8931" t="str">
            <v/>
          </cell>
          <cell r="AB8931" t="str">
            <v/>
          </cell>
          <cell r="AC8931" t="str">
            <v/>
          </cell>
          <cell r="AD8931" t="str">
            <v/>
          </cell>
          <cell r="AY8931" t="str">
            <v/>
          </cell>
          <cell r="AZ8931" t="str">
            <v/>
          </cell>
          <cell r="BA8931" t="str">
            <v/>
          </cell>
        </row>
        <row r="8932">
          <cell r="B8932" t="str">
            <v>-</v>
          </cell>
          <cell r="E8932" t="str">
            <v/>
          </cell>
          <cell r="G8932" t="str">
            <v/>
          </cell>
          <cell r="J8932" t="str">
            <v/>
          </cell>
          <cell r="O8932" t="str">
            <v/>
          </cell>
          <cell r="P8932" t="str">
            <v/>
          </cell>
          <cell r="Q8932" t="str">
            <v/>
          </cell>
          <cell r="S8932" t="str">
            <v/>
          </cell>
          <cell r="V8932" t="str">
            <v/>
          </cell>
          <cell r="Z8932" t="str">
            <v/>
          </cell>
          <cell r="AA8932" t="str">
            <v/>
          </cell>
          <cell r="AB8932" t="str">
            <v/>
          </cell>
          <cell r="AC8932" t="str">
            <v/>
          </cell>
          <cell r="AD8932" t="str">
            <v/>
          </cell>
          <cell r="AY8932" t="str">
            <v/>
          </cell>
          <cell r="AZ8932" t="str">
            <v/>
          </cell>
          <cell r="BA8932" t="str">
            <v/>
          </cell>
        </row>
        <row r="8933">
          <cell r="B8933" t="str">
            <v>-</v>
          </cell>
          <cell r="E8933" t="str">
            <v/>
          </cell>
          <cell r="G8933" t="str">
            <v/>
          </cell>
          <cell r="J8933" t="str">
            <v/>
          </cell>
          <cell r="O8933" t="str">
            <v/>
          </cell>
          <cell r="P8933" t="str">
            <v/>
          </cell>
          <cell r="Q8933" t="str">
            <v/>
          </cell>
          <cell r="S8933" t="str">
            <v/>
          </cell>
          <cell r="V8933" t="str">
            <v/>
          </cell>
          <cell r="Z8933" t="str">
            <v/>
          </cell>
          <cell r="AA8933" t="str">
            <v/>
          </cell>
          <cell r="AB8933" t="str">
            <v/>
          </cell>
          <cell r="AC8933" t="str">
            <v/>
          </cell>
          <cell r="AD8933" t="str">
            <v/>
          </cell>
          <cell r="AY8933" t="str">
            <v/>
          </cell>
          <cell r="AZ8933" t="str">
            <v/>
          </cell>
          <cell r="BA8933" t="str">
            <v/>
          </cell>
        </row>
        <row r="8934">
          <cell r="B8934" t="str">
            <v>-</v>
          </cell>
          <cell r="E8934" t="str">
            <v/>
          </cell>
          <cell r="G8934" t="str">
            <v/>
          </cell>
          <cell r="J8934" t="str">
            <v/>
          </cell>
          <cell r="O8934" t="str">
            <v/>
          </cell>
          <cell r="P8934" t="str">
            <v/>
          </cell>
          <cell r="Q8934" t="str">
            <v/>
          </cell>
          <cell r="S8934" t="str">
            <v/>
          </cell>
          <cell r="V8934" t="str">
            <v/>
          </cell>
          <cell r="Z8934" t="str">
            <v/>
          </cell>
          <cell r="AA8934" t="str">
            <v/>
          </cell>
          <cell r="AB8934" t="str">
            <v/>
          </cell>
          <cell r="AC8934" t="str">
            <v/>
          </cell>
          <cell r="AD8934" t="str">
            <v/>
          </cell>
          <cell r="AY8934" t="str">
            <v/>
          </cell>
          <cell r="AZ8934" t="str">
            <v/>
          </cell>
          <cell r="BA8934" t="str">
            <v/>
          </cell>
        </row>
        <row r="8935">
          <cell r="B8935" t="str">
            <v>-</v>
          </cell>
          <cell r="E8935" t="str">
            <v/>
          </cell>
          <cell r="G8935" t="str">
            <v/>
          </cell>
          <cell r="J8935" t="str">
            <v/>
          </cell>
          <cell r="O8935" t="str">
            <v/>
          </cell>
          <cell r="P8935" t="str">
            <v/>
          </cell>
          <cell r="Q8935" t="str">
            <v/>
          </cell>
          <cell r="S8935" t="str">
            <v/>
          </cell>
          <cell r="V8935" t="str">
            <v/>
          </cell>
          <cell r="Z8935" t="str">
            <v/>
          </cell>
          <cell r="AA8935" t="str">
            <v/>
          </cell>
          <cell r="AB8935" t="str">
            <v/>
          </cell>
          <cell r="AC8935" t="str">
            <v/>
          </cell>
          <cell r="AD8935" t="str">
            <v/>
          </cell>
          <cell r="AY8935" t="str">
            <v/>
          </cell>
          <cell r="AZ8935" t="str">
            <v/>
          </cell>
          <cell r="BA8935" t="str">
            <v/>
          </cell>
        </row>
        <row r="8936">
          <cell r="B8936" t="str">
            <v>-</v>
          </cell>
          <cell r="E8936" t="str">
            <v/>
          </cell>
          <cell r="G8936" t="str">
            <v/>
          </cell>
          <cell r="J8936" t="str">
            <v/>
          </cell>
          <cell r="O8936" t="str">
            <v/>
          </cell>
          <cell r="P8936" t="str">
            <v/>
          </cell>
          <cell r="Q8936" t="str">
            <v/>
          </cell>
          <cell r="S8936" t="str">
            <v/>
          </cell>
          <cell r="V8936" t="str">
            <v/>
          </cell>
          <cell r="Z8936" t="str">
            <v/>
          </cell>
          <cell r="AA8936" t="str">
            <v/>
          </cell>
          <cell r="AB8936" t="str">
            <v/>
          </cell>
          <cell r="AC8936" t="str">
            <v/>
          </cell>
          <cell r="AD8936" t="str">
            <v/>
          </cell>
          <cell r="AY8936" t="str">
            <v/>
          </cell>
          <cell r="AZ8936" t="str">
            <v/>
          </cell>
          <cell r="BA8936" t="str">
            <v/>
          </cell>
        </row>
        <row r="8937">
          <cell r="B8937" t="str">
            <v>-</v>
          </cell>
          <cell r="E8937" t="str">
            <v/>
          </cell>
          <cell r="G8937" t="str">
            <v/>
          </cell>
          <cell r="J8937" t="str">
            <v/>
          </cell>
          <cell r="O8937" t="str">
            <v/>
          </cell>
          <cell r="P8937" t="str">
            <v/>
          </cell>
          <cell r="Q8937" t="str">
            <v/>
          </cell>
          <cell r="S8937" t="str">
            <v/>
          </cell>
          <cell r="V8937" t="str">
            <v/>
          </cell>
          <cell r="Z8937" t="str">
            <v/>
          </cell>
          <cell r="AA8937" t="str">
            <v/>
          </cell>
          <cell r="AB8937" t="str">
            <v/>
          </cell>
          <cell r="AC8937" t="str">
            <v/>
          </cell>
          <cell r="AD8937" t="str">
            <v/>
          </cell>
          <cell r="AY8937" t="str">
            <v/>
          </cell>
          <cell r="AZ8937" t="str">
            <v/>
          </cell>
          <cell r="BA8937" t="str">
            <v/>
          </cell>
        </row>
        <row r="8938">
          <cell r="B8938" t="str">
            <v>-</v>
          </cell>
          <cell r="E8938" t="str">
            <v/>
          </cell>
          <cell r="G8938" t="str">
            <v/>
          </cell>
          <cell r="J8938" t="str">
            <v/>
          </cell>
          <cell r="O8938" t="str">
            <v/>
          </cell>
          <cell r="P8938" t="str">
            <v/>
          </cell>
          <cell r="Q8938" t="str">
            <v/>
          </cell>
          <cell r="S8938" t="str">
            <v/>
          </cell>
          <cell r="V8938" t="str">
            <v/>
          </cell>
          <cell r="Z8938" t="str">
            <v/>
          </cell>
          <cell r="AA8938" t="str">
            <v/>
          </cell>
          <cell r="AB8938" t="str">
            <v/>
          </cell>
          <cell r="AC8938" t="str">
            <v/>
          </cell>
          <cell r="AD8938" t="str">
            <v/>
          </cell>
          <cell r="AY8938" t="str">
            <v/>
          </cell>
          <cell r="AZ8938" t="str">
            <v/>
          </cell>
          <cell r="BA8938" t="str">
            <v/>
          </cell>
        </row>
        <row r="8939">
          <cell r="B8939" t="str">
            <v>-</v>
          </cell>
          <cell r="E8939" t="str">
            <v/>
          </cell>
          <cell r="G8939" t="str">
            <v/>
          </cell>
          <cell r="J8939" t="str">
            <v/>
          </cell>
          <cell r="O8939" t="str">
            <v/>
          </cell>
          <cell r="P8939" t="str">
            <v/>
          </cell>
          <cell r="Q8939" t="str">
            <v/>
          </cell>
          <cell r="S8939" t="str">
            <v/>
          </cell>
          <cell r="V8939" t="str">
            <v/>
          </cell>
          <cell r="Z8939" t="str">
            <v/>
          </cell>
          <cell r="AA8939" t="str">
            <v/>
          </cell>
          <cell r="AB8939" t="str">
            <v/>
          </cell>
          <cell r="AC8939" t="str">
            <v/>
          </cell>
          <cell r="AD8939" t="str">
            <v/>
          </cell>
          <cell r="AY8939" t="str">
            <v/>
          </cell>
          <cell r="AZ8939" t="str">
            <v/>
          </cell>
          <cell r="BA8939" t="str">
            <v/>
          </cell>
        </row>
        <row r="8940">
          <cell r="B8940" t="str">
            <v>-</v>
          </cell>
          <cell r="E8940" t="str">
            <v/>
          </cell>
          <cell r="G8940" t="str">
            <v/>
          </cell>
          <cell r="J8940" t="str">
            <v/>
          </cell>
          <cell r="O8940" t="str">
            <v/>
          </cell>
          <cell r="P8940" t="str">
            <v/>
          </cell>
          <cell r="Q8940" t="str">
            <v/>
          </cell>
          <cell r="S8940" t="str">
            <v/>
          </cell>
          <cell r="V8940" t="str">
            <v/>
          </cell>
          <cell r="Z8940" t="str">
            <v/>
          </cell>
          <cell r="AA8940" t="str">
            <v/>
          </cell>
          <cell r="AB8940" t="str">
            <v/>
          </cell>
          <cell r="AC8940" t="str">
            <v/>
          </cell>
          <cell r="AD8940" t="str">
            <v/>
          </cell>
          <cell r="AY8940" t="str">
            <v/>
          </cell>
          <cell r="AZ8940" t="str">
            <v/>
          </cell>
          <cell r="BA8940" t="str">
            <v/>
          </cell>
        </row>
        <row r="8941">
          <cell r="B8941" t="str">
            <v>-</v>
          </cell>
          <cell r="E8941" t="str">
            <v/>
          </cell>
          <cell r="G8941" t="str">
            <v/>
          </cell>
          <cell r="J8941" t="str">
            <v/>
          </cell>
          <cell r="O8941" t="str">
            <v/>
          </cell>
          <cell r="P8941" t="str">
            <v/>
          </cell>
          <cell r="Q8941" t="str">
            <v/>
          </cell>
          <cell r="S8941" t="str">
            <v/>
          </cell>
          <cell r="V8941" t="str">
            <v/>
          </cell>
          <cell r="Z8941" t="str">
            <v/>
          </cell>
          <cell r="AA8941" t="str">
            <v/>
          </cell>
          <cell r="AB8941" t="str">
            <v/>
          </cell>
          <cell r="AC8941" t="str">
            <v/>
          </cell>
          <cell r="AD8941" t="str">
            <v/>
          </cell>
          <cell r="AY8941" t="str">
            <v/>
          </cell>
          <cell r="AZ8941" t="str">
            <v/>
          </cell>
          <cell r="BA8941" t="str">
            <v/>
          </cell>
        </row>
        <row r="8942">
          <cell r="B8942" t="str">
            <v>-</v>
          </cell>
          <cell r="E8942" t="str">
            <v/>
          </cell>
          <cell r="G8942" t="str">
            <v/>
          </cell>
          <cell r="J8942" t="str">
            <v/>
          </cell>
          <cell r="O8942" t="str">
            <v/>
          </cell>
          <cell r="P8942" t="str">
            <v/>
          </cell>
          <cell r="Q8942" t="str">
            <v/>
          </cell>
          <cell r="S8942" t="str">
            <v/>
          </cell>
          <cell r="V8942" t="str">
            <v/>
          </cell>
          <cell r="Z8942" t="str">
            <v/>
          </cell>
          <cell r="AA8942" t="str">
            <v/>
          </cell>
          <cell r="AB8942" t="str">
            <v/>
          </cell>
          <cell r="AC8942" t="str">
            <v/>
          </cell>
          <cell r="AD8942" t="str">
            <v/>
          </cell>
          <cell r="AY8942" t="str">
            <v/>
          </cell>
          <cell r="AZ8942" t="str">
            <v/>
          </cell>
          <cell r="BA8942" t="str">
            <v/>
          </cell>
        </row>
        <row r="8943">
          <cell r="B8943" t="str">
            <v>-</v>
          </cell>
          <cell r="E8943" t="str">
            <v/>
          </cell>
          <cell r="G8943" t="str">
            <v/>
          </cell>
          <cell r="J8943" t="str">
            <v/>
          </cell>
          <cell r="O8943" t="str">
            <v/>
          </cell>
          <cell r="P8943" t="str">
            <v/>
          </cell>
          <cell r="Q8943" t="str">
            <v/>
          </cell>
          <cell r="S8943" t="str">
            <v/>
          </cell>
          <cell r="V8943" t="str">
            <v/>
          </cell>
          <cell r="Z8943" t="str">
            <v/>
          </cell>
          <cell r="AA8943" t="str">
            <v/>
          </cell>
          <cell r="AB8943" t="str">
            <v/>
          </cell>
          <cell r="AC8943" t="str">
            <v/>
          </cell>
          <cell r="AD8943" t="str">
            <v/>
          </cell>
          <cell r="AY8943" t="str">
            <v/>
          </cell>
          <cell r="AZ8943" t="str">
            <v/>
          </cell>
          <cell r="BA8943" t="str">
            <v/>
          </cell>
        </row>
        <row r="8944">
          <cell r="B8944" t="str">
            <v>-</v>
          </cell>
          <cell r="E8944" t="str">
            <v/>
          </cell>
          <cell r="G8944" t="str">
            <v/>
          </cell>
          <cell r="J8944" t="str">
            <v/>
          </cell>
          <cell r="O8944" t="str">
            <v/>
          </cell>
          <cell r="P8944" t="str">
            <v/>
          </cell>
          <cell r="Q8944" t="str">
            <v/>
          </cell>
          <cell r="S8944" t="str">
            <v/>
          </cell>
          <cell r="V8944" t="str">
            <v/>
          </cell>
          <cell r="Z8944" t="str">
            <v/>
          </cell>
          <cell r="AA8944" t="str">
            <v/>
          </cell>
          <cell r="AB8944" t="str">
            <v/>
          </cell>
          <cell r="AC8944" t="str">
            <v/>
          </cell>
          <cell r="AD8944" t="str">
            <v/>
          </cell>
          <cell r="AY8944" t="str">
            <v/>
          </cell>
          <cell r="AZ8944" t="str">
            <v/>
          </cell>
          <cell r="BA8944" t="str">
            <v/>
          </cell>
        </row>
        <row r="8945">
          <cell r="B8945" t="str">
            <v>-</v>
          </cell>
          <cell r="E8945" t="str">
            <v/>
          </cell>
          <cell r="G8945" t="str">
            <v/>
          </cell>
          <cell r="J8945" t="str">
            <v/>
          </cell>
          <cell r="O8945" t="str">
            <v/>
          </cell>
          <cell r="P8945" t="str">
            <v/>
          </cell>
          <cell r="Q8945" t="str">
            <v/>
          </cell>
          <cell r="S8945" t="str">
            <v/>
          </cell>
          <cell r="V8945" t="str">
            <v/>
          </cell>
          <cell r="Z8945" t="str">
            <v/>
          </cell>
          <cell r="AA8945" t="str">
            <v/>
          </cell>
          <cell r="AB8945" t="str">
            <v/>
          </cell>
          <cell r="AC8945" t="str">
            <v/>
          </cell>
          <cell r="AD8945" t="str">
            <v/>
          </cell>
          <cell r="AY8945" t="str">
            <v/>
          </cell>
          <cell r="AZ8945" t="str">
            <v/>
          </cell>
          <cell r="BA8945" t="str">
            <v/>
          </cell>
        </row>
        <row r="8946">
          <cell r="B8946" t="str">
            <v>-</v>
          </cell>
          <cell r="E8946" t="str">
            <v/>
          </cell>
          <cell r="G8946" t="str">
            <v/>
          </cell>
          <cell r="J8946" t="str">
            <v/>
          </cell>
          <cell r="O8946" t="str">
            <v/>
          </cell>
          <cell r="P8946" t="str">
            <v/>
          </cell>
          <cell r="Q8946" t="str">
            <v/>
          </cell>
          <cell r="S8946" t="str">
            <v/>
          </cell>
          <cell r="V8946" t="str">
            <v/>
          </cell>
          <cell r="Z8946" t="str">
            <v/>
          </cell>
          <cell r="AA8946" t="str">
            <v/>
          </cell>
          <cell r="AB8946" t="str">
            <v/>
          </cell>
          <cell r="AC8946" t="str">
            <v/>
          </cell>
          <cell r="AD8946" t="str">
            <v/>
          </cell>
          <cell r="AY8946" t="str">
            <v/>
          </cell>
          <cell r="AZ8946" t="str">
            <v/>
          </cell>
          <cell r="BA8946" t="str">
            <v/>
          </cell>
        </row>
        <row r="8947">
          <cell r="B8947" t="str">
            <v>-</v>
          </cell>
          <cell r="E8947" t="str">
            <v/>
          </cell>
          <cell r="G8947" t="str">
            <v/>
          </cell>
          <cell r="J8947" t="str">
            <v/>
          </cell>
          <cell r="O8947" t="str">
            <v/>
          </cell>
          <cell r="P8947" t="str">
            <v/>
          </cell>
          <cell r="Q8947" t="str">
            <v/>
          </cell>
          <cell r="S8947" t="str">
            <v/>
          </cell>
          <cell r="V8947" t="str">
            <v/>
          </cell>
          <cell r="Z8947" t="str">
            <v/>
          </cell>
          <cell r="AA8947" t="str">
            <v/>
          </cell>
          <cell r="AB8947" t="str">
            <v/>
          </cell>
          <cell r="AC8947" t="str">
            <v/>
          </cell>
          <cell r="AD8947" t="str">
            <v/>
          </cell>
          <cell r="AY8947" t="str">
            <v/>
          </cell>
          <cell r="AZ8947" t="str">
            <v/>
          </cell>
          <cell r="BA8947" t="str">
            <v/>
          </cell>
        </row>
        <row r="8948">
          <cell r="B8948" t="str">
            <v>-</v>
          </cell>
          <cell r="E8948" t="str">
            <v/>
          </cell>
          <cell r="G8948" t="str">
            <v/>
          </cell>
          <cell r="J8948" t="str">
            <v/>
          </cell>
          <cell r="O8948" t="str">
            <v/>
          </cell>
          <cell r="P8948" t="str">
            <v/>
          </cell>
          <cell r="Q8948" t="str">
            <v/>
          </cell>
          <cell r="S8948" t="str">
            <v/>
          </cell>
          <cell r="V8948" t="str">
            <v/>
          </cell>
          <cell r="Z8948" t="str">
            <v/>
          </cell>
          <cell r="AA8948" t="str">
            <v/>
          </cell>
          <cell r="AB8948" t="str">
            <v/>
          </cell>
          <cell r="AC8948" t="str">
            <v/>
          </cell>
          <cell r="AD8948" t="str">
            <v/>
          </cell>
          <cell r="AY8948" t="str">
            <v/>
          </cell>
          <cell r="AZ8948" t="str">
            <v/>
          </cell>
          <cell r="BA8948" t="str">
            <v/>
          </cell>
        </row>
        <row r="8949">
          <cell r="B8949" t="str">
            <v>-</v>
          </cell>
          <cell r="E8949" t="str">
            <v/>
          </cell>
          <cell r="G8949" t="str">
            <v/>
          </cell>
          <cell r="J8949" t="str">
            <v/>
          </cell>
          <cell r="O8949" t="str">
            <v/>
          </cell>
          <cell r="P8949" t="str">
            <v/>
          </cell>
          <cell r="Q8949" t="str">
            <v/>
          </cell>
          <cell r="S8949" t="str">
            <v/>
          </cell>
          <cell r="V8949" t="str">
            <v/>
          </cell>
          <cell r="Z8949" t="str">
            <v/>
          </cell>
          <cell r="AA8949" t="str">
            <v/>
          </cell>
          <cell r="AB8949" t="str">
            <v/>
          </cell>
          <cell r="AC8949" t="str">
            <v/>
          </cell>
          <cell r="AD8949" t="str">
            <v/>
          </cell>
          <cell r="AY8949" t="str">
            <v/>
          </cell>
          <cell r="AZ8949" t="str">
            <v/>
          </cell>
          <cell r="BA8949" t="str">
            <v/>
          </cell>
        </row>
        <row r="8950">
          <cell r="B8950" t="str">
            <v>-</v>
          </cell>
          <cell r="E8950" t="str">
            <v/>
          </cell>
          <cell r="G8950" t="str">
            <v/>
          </cell>
          <cell r="J8950" t="str">
            <v/>
          </cell>
          <cell r="O8950" t="str">
            <v/>
          </cell>
          <cell r="P8950" t="str">
            <v/>
          </cell>
          <cell r="Q8950" t="str">
            <v/>
          </cell>
          <cell r="S8950" t="str">
            <v/>
          </cell>
          <cell r="V8950" t="str">
            <v/>
          </cell>
          <cell r="Z8950" t="str">
            <v/>
          </cell>
          <cell r="AA8950" t="str">
            <v/>
          </cell>
          <cell r="AB8950" t="str">
            <v/>
          </cell>
          <cell r="AC8950" t="str">
            <v/>
          </cell>
          <cell r="AD8950" t="str">
            <v/>
          </cell>
          <cell r="AY8950" t="str">
            <v/>
          </cell>
          <cell r="AZ8950" t="str">
            <v/>
          </cell>
          <cell r="BA8950" t="str">
            <v/>
          </cell>
        </row>
        <row r="8951">
          <cell r="B8951" t="str">
            <v>-</v>
          </cell>
          <cell r="E8951" t="str">
            <v/>
          </cell>
          <cell r="G8951" t="str">
            <v/>
          </cell>
          <cell r="J8951" t="str">
            <v/>
          </cell>
          <cell r="O8951" t="str">
            <v/>
          </cell>
          <cell r="P8951" t="str">
            <v/>
          </cell>
          <cell r="Q8951" t="str">
            <v/>
          </cell>
          <cell r="S8951" t="str">
            <v/>
          </cell>
          <cell r="V8951" t="str">
            <v/>
          </cell>
          <cell r="Z8951" t="str">
            <v/>
          </cell>
          <cell r="AA8951" t="str">
            <v/>
          </cell>
          <cell r="AB8951" t="str">
            <v/>
          </cell>
          <cell r="AC8951" t="str">
            <v/>
          </cell>
          <cell r="AD8951" t="str">
            <v/>
          </cell>
          <cell r="AY8951" t="str">
            <v/>
          </cell>
          <cell r="AZ8951" t="str">
            <v/>
          </cell>
          <cell r="BA8951" t="str">
            <v/>
          </cell>
        </row>
        <row r="8952">
          <cell r="B8952" t="str">
            <v>-</v>
          </cell>
          <cell r="E8952" t="str">
            <v/>
          </cell>
          <cell r="G8952" t="str">
            <v/>
          </cell>
          <cell r="J8952" t="str">
            <v/>
          </cell>
          <cell r="O8952" t="str">
            <v/>
          </cell>
          <cell r="P8952" t="str">
            <v/>
          </cell>
          <cell r="Q8952" t="str">
            <v/>
          </cell>
          <cell r="S8952" t="str">
            <v/>
          </cell>
          <cell r="V8952" t="str">
            <v/>
          </cell>
          <cell r="Z8952" t="str">
            <v/>
          </cell>
          <cell r="AA8952" t="str">
            <v/>
          </cell>
          <cell r="AB8952" t="str">
            <v/>
          </cell>
          <cell r="AC8952" t="str">
            <v/>
          </cell>
          <cell r="AD8952" t="str">
            <v/>
          </cell>
          <cell r="AY8952" t="str">
            <v/>
          </cell>
          <cell r="AZ8952" t="str">
            <v/>
          </cell>
          <cell r="BA8952" t="str">
            <v/>
          </cell>
        </row>
        <row r="8953">
          <cell r="B8953" t="str">
            <v>-</v>
          </cell>
          <cell r="E8953" t="str">
            <v/>
          </cell>
          <cell r="G8953" t="str">
            <v/>
          </cell>
          <cell r="J8953" t="str">
            <v/>
          </cell>
          <cell r="O8953" t="str">
            <v/>
          </cell>
          <cell r="P8953" t="str">
            <v/>
          </cell>
          <cell r="Q8953" t="str">
            <v/>
          </cell>
          <cell r="S8953" t="str">
            <v/>
          </cell>
          <cell r="V8953" t="str">
            <v/>
          </cell>
          <cell r="Z8953" t="str">
            <v/>
          </cell>
          <cell r="AA8953" t="str">
            <v/>
          </cell>
          <cell r="AB8953" t="str">
            <v/>
          </cell>
          <cell r="AC8953" t="str">
            <v/>
          </cell>
          <cell r="AD8953" t="str">
            <v/>
          </cell>
          <cell r="AY8953" t="str">
            <v/>
          </cell>
          <cell r="AZ8953" t="str">
            <v/>
          </cell>
          <cell r="BA8953" t="str">
            <v/>
          </cell>
        </row>
        <row r="8954">
          <cell r="B8954" t="str">
            <v>-</v>
          </cell>
          <cell r="E8954" t="str">
            <v/>
          </cell>
          <cell r="G8954" t="str">
            <v/>
          </cell>
          <cell r="J8954" t="str">
            <v/>
          </cell>
          <cell r="O8954" t="str">
            <v/>
          </cell>
          <cell r="P8954" t="str">
            <v/>
          </cell>
          <cell r="Q8954" t="str">
            <v/>
          </cell>
          <cell r="S8954" t="str">
            <v/>
          </cell>
          <cell r="V8954" t="str">
            <v/>
          </cell>
          <cell r="Z8954" t="str">
            <v/>
          </cell>
          <cell r="AA8954" t="str">
            <v/>
          </cell>
          <cell r="AB8954" t="str">
            <v/>
          </cell>
          <cell r="AC8954" t="str">
            <v/>
          </cell>
          <cell r="AD8954" t="str">
            <v/>
          </cell>
          <cell r="AY8954" t="str">
            <v/>
          </cell>
          <cell r="AZ8954" t="str">
            <v/>
          </cell>
          <cell r="BA8954" t="str">
            <v/>
          </cell>
        </row>
        <row r="8955">
          <cell r="B8955" t="str">
            <v>-</v>
          </cell>
          <cell r="E8955" t="str">
            <v/>
          </cell>
          <cell r="G8955" t="str">
            <v/>
          </cell>
          <cell r="J8955" t="str">
            <v/>
          </cell>
          <cell r="O8955" t="str">
            <v/>
          </cell>
          <cell r="P8955" t="str">
            <v/>
          </cell>
          <cell r="Q8955" t="str">
            <v/>
          </cell>
          <cell r="S8955" t="str">
            <v/>
          </cell>
          <cell r="V8955" t="str">
            <v/>
          </cell>
          <cell r="Z8955" t="str">
            <v/>
          </cell>
          <cell r="AA8955" t="str">
            <v/>
          </cell>
          <cell r="AB8955" t="str">
            <v/>
          </cell>
          <cell r="AC8955" t="str">
            <v/>
          </cell>
          <cell r="AD8955" t="str">
            <v/>
          </cell>
          <cell r="AY8955" t="str">
            <v/>
          </cell>
          <cell r="AZ8955" t="str">
            <v/>
          </cell>
          <cell r="BA8955" t="str">
            <v/>
          </cell>
        </row>
        <row r="8956">
          <cell r="B8956" t="str">
            <v>-</v>
          </cell>
          <cell r="E8956" t="str">
            <v/>
          </cell>
          <cell r="G8956" t="str">
            <v/>
          </cell>
          <cell r="J8956" t="str">
            <v/>
          </cell>
          <cell r="O8956" t="str">
            <v/>
          </cell>
          <cell r="P8956" t="str">
            <v/>
          </cell>
          <cell r="Q8956" t="str">
            <v/>
          </cell>
          <cell r="S8956" t="str">
            <v/>
          </cell>
          <cell r="V8956" t="str">
            <v/>
          </cell>
          <cell r="Z8956" t="str">
            <v/>
          </cell>
          <cell r="AA8956" t="str">
            <v/>
          </cell>
          <cell r="AB8956" t="str">
            <v/>
          </cell>
          <cell r="AC8956" t="str">
            <v/>
          </cell>
          <cell r="AD8956" t="str">
            <v/>
          </cell>
          <cell r="AY8956" t="str">
            <v/>
          </cell>
          <cell r="AZ8956" t="str">
            <v/>
          </cell>
          <cell r="BA8956" t="str">
            <v/>
          </cell>
        </row>
        <row r="8957">
          <cell r="B8957" t="str">
            <v>-</v>
          </cell>
          <cell r="E8957" t="str">
            <v/>
          </cell>
          <cell r="G8957" t="str">
            <v/>
          </cell>
          <cell r="J8957" t="str">
            <v/>
          </cell>
          <cell r="O8957" t="str">
            <v/>
          </cell>
          <cell r="P8957" t="str">
            <v/>
          </cell>
          <cell r="Q8957" t="str">
            <v/>
          </cell>
          <cell r="S8957" t="str">
            <v/>
          </cell>
          <cell r="V8957" t="str">
            <v/>
          </cell>
          <cell r="Z8957" t="str">
            <v/>
          </cell>
          <cell r="AA8957" t="str">
            <v/>
          </cell>
          <cell r="AB8957" t="str">
            <v/>
          </cell>
          <cell r="AC8957" t="str">
            <v/>
          </cell>
          <cell r="AD8957" t="str">
            <v/>
          </cell>
          <cell r="AY8957" t="str">
            <v/>
          </cell>
          <cell r="AZ8957" t="str">
            <v/>
          </cell>
          <cell r="BA8957" t="str">
            <v/>
          </cell>
        </row>
        <row r="8958">
          <cell r="B8958" t="str">
            <v>-</v>
          </cell>
          <cell r="E8958" t="str">
            <v/>
          </cell>
          <cell r="G8958" t="str">
            <v/>
          </cell>
          <cell r="J8958" t="str">
            <v/>
          </cell>
          <cell r="O8958" t="str">
            <v/>
          </cell>
          <cell r="P8958" t="str">
            <v/>
          </cell>
          <cell r="Q8958" t="str">
            <v/>
          </cell>
          <cell r="S8958" t="str">
            <v/>
          </cell>
          <cell r="V8958" t="str">
            <v/>
          </cell>
          <cell r="Z8958" t="str">
            <v/>
          </cell>
          <cell r="AA8958" t="str">
            <v/>
          </cell>
          <cell r="AB8958" t="str">
            <v/>
          </cell>
          <cell r="AC8958" t="str">
            <v/>
          </cell>
          <cell r="AD8958" t="str">
            <v/>
          </cell>
          <cell r="AY8958" t="str">
            <v/>
          </cell>
          <cell r="AZ8958" t="str">
            <v/>
          </cell>
          <cell r="BA8958" t="str">
            <v/>
          </cell>
        </row>
        <row r="8959">
          <cell r="B8959" t="str">
            <v>-</v>
          </cell>
          <cell r="E8959" t="str">
            <v/>
          </cell>
          <cell r="G8959" t="str">
            <v/>
          </cell>
          <cell r="J8959" t="str">
            <v/>
          </cell>
          <cell r="O8959" t="str">
            <v/>
          </cell>
          <cell r="P8959" t="str">
            <v/>
          </cell>
          <cell r="Q8959" t="str">
            <v/>
          </cell>
          <cell r="S8959" t="str">
            <v/>
          </cell>
          <cell r="V8959" t="str">
            <v/>
          </cell>
          <cell r="Z8959" t="str">
            <v/>
          </cell>
          <cell r="AA8959" t="str">
            <v/>
          </cell>
          <cell r="AB8959" t="str">
            <v/>
          </cell>
          <cell r="AC8959" t="str">
            <v/>
          </cell>
          <cell r="AD8959" t="str">
            <v/>
          </cell>
          <cell r="AY8959" t="str">
            <v/>
          </cell>
          <cell r="AZ8959" t="str">
            <v/>
          </cell>
          <cell r="BA8959" t="str">
            <v/>
          </cell>
        </row>
        <row r="8960">
          <cell r="B8960" t="str">
            <v>-</v>
          </cell>
          <cell r="E8960" t="str">
            <v/>
          </cell>
          <cell r="G8960" t="str">
            <v/>
          </cell>
          <cell r="J8960" t="str">
            <v/>
          </cell>
          <cell r="O8960" t="str">
            <v/>
          </cell>
          <cell r="P8960" t="str">
            <v/>
          </cell>
          <cell r="Q8960" t="str">
            <v/>
          </cell>
          <cell r="S8960" t="str">
            <v/>
          </cell>
          <cell r="V8960" t="str">
            <v/>
          </cell>
          <cell r="Z8960" t="str">
            <v/>
          </cell>
          <cell r="AA8960" t="str">
            <v/>
          </cell>
          <cell r="AB8960" t="str">
            <v/>
          </cell>
          <cell r="AC8960" t="str">
            <v/>
          </cell>
          <cell r="AD8960" t="str">
            <v/>
          </cell>
          <cell r="AY8960" t="str">
            <v/>
          </cell>
          <cell r="AZ8960" t="str">
            <v/>
          </cell>
          <cell r="BA8960" t="str">
            <v/>
          </cell>
        </row>
        <row r="8961">
          <cell r="B8961" t="str">
            <v>-</v>
          </cell>
          <cell r="E8961" t="str">
            <v/>
          </cell>
          <cell r="G8961" t="str">
            <v/>
          </cell>
          <cell r="J8961" t="str">
            <v/>
          </cell>
          <cell r="O8961" t="str">
            <v/>
          </cell>
          <cell r="P8961" t="str">
            <v/>
          </cell>
          <cell r="Q8961" t="str">
            <v/>
          </cell>
          <cell r="S8961" t="str">
            <v/>
          </cell>
          <cell r="V8961" t="str">
            <v/>
          </cell>
          <cell r="Z8961" t="str">
            <v/>
          </cell>
          <cell r="AA8961" t="str">
            <v/>
          </cell>
          <cell r="AB8961" t="str">
            <v/>
          </cell>
          <cell r="AC8961" t="str">
            <v/>
          </cell>
          <cell r="AD8961" t="str">
            <v/>
          </cell>
          <cell r="AY8961" t="str">
            <v/>
          </cell>
          <cell r="AZ8961" t="str">
            <v/>
          </cell>
          <cell r="BA8961" t="str">
            <v/>
          </cell>
        </row>
        <row r="8962">
          <cell r="B8962" t="str">
            <v>-</v>
          </cell>
          <cell r="E8962" t="str">
            <v/>
          </cell>
          <cell r="G8962" t="str">
            <v/>
          </cell>
          <cell r="J8962" t="str">
            <v/>
          </cell>
          <cell r="O8962" t="str">
            <v/>
          </cell>
          <cell r="P8962" t="str">
            <v/>
          </cell>
          <cell r="Q8962" t="str">
            <v/>
          </cell>
          <cell r="S8962" t="str">
            <v/>
          </cell>
          <cell r="V8962" t="str">
            <v/>
          </cell>
          <cell r="Z8962" t="str">
            <v/>
          </cell>
          <cell r="AA8962" t="str">
            <v/>
          </cell>
          <cell r="AB8962" t="str">
            <v/>
          </cell>
          <cell r="AC8962" t="str">
            <v/>
          </cell>
          <cell r="AD8962" t="str">
            <v/>
          </cell>
          <cell r="AY8962" t="str">
            <v/>
          </cell>
          <cell r="AZ8962" t="str">
            <v/>
          </cell>
          <cell r="BA8962" t="str">
            <v/>
          </cell>
        </row>
        <row r="8963">
          <cell r="B8963" t="str">
            <v>-</v>
          </cell>
          <cell r="E8963" t="str">
            <v/>
          </cell>
          <cell r="G8963" t="str">
            <v/>
          </cell>
          <cell r="J8963" t="str">
            <v/>
          </cell>
          <cell r="O8963" t="str">
            <v/>
          </cell>
          <cell r="P8963" t="str">
            <v/>
          </cell>
          <cell r="Q8963" t="str">
            <v/>
          </cell>
          <cell r="S8963" t="str">
            <v/>
          </cell>
          <cell r="V8963" t="str">
            <v/>
          </cell>
          <cell r="Z8963" t="str">
            <v/>
          </cell>
          <cell r="AA8963" t="str">
            <v/>
          </cell>
          <cell r="AB8963" t="str">
            <v/>
          </cell>
          <cell r="AC8963" t="str">
            <v/>
          </cell>
          <cell r="AD8963" t="str">
            <v/>
          </cell>
          <cell r="AY8963" t="str">
            <v/>
          </cell>
          <cell r="AZ8963" t="str">
            <v/>
          </cell>
          <cell r="BA8963" t="str">
            <v/>
          </cell>
        </row>
        <row r="8964">
          <cell r="B8964" t="str">
            <v>-</v>
          </cell>
          <cell r="E8964" t="str">
            <v/>
          </cell>
          <cell r="G8964" t="str">
            <v/>
          </cell>
          <cell r="J8964" t="str">
            <v/>
          </cell>
          <cell r="O8964" t="str">
            <v/>
          </cell>
          <cell r="P8964" t="str">
            <v/>
          </cell>
          <cell r="Q8964" t="str">
            <v/>
          </cell>
          <cell r="S8964" t="str">
            <v/>
          </cell>
          <cell r="V8964" t="str">
            <v/>
          </cell>
          <cell r="Z8964" t="str">
            <v/>
          </cell>
          <cell r="AA8964" t="str">
            <v/>
          </cell>
          <cell r="AB8964" t="str">
            <v/>
          </cell>
          <cell r="AC8964" t="str">
            <v/>
          </cell>
          <cell r="AD8964" t="str">
            <v/>
          </cell>
          <cell r="AY8964" t="str">
            <v/>
          </cell>
          <cell r="AZ8964" t="str">
            <v/>
          </cell>
          <cell r="BA8964" t="str">
            <v/>
          </cell>
        </row>
        <row r="8965">
          <cell r="B8965" t="str">
            <v>-</v>
          </cell>
          <cell r="E8965" t="str">
            <v/>
          </cell>
          <cell r="G8965" t="str">
            <v/>
          </cell>
          <cell r="J8965" t="str">
            <v/>
          </cell>
          <cell r="O8965" t="str">
            <v/>
          </cell>
          <cell r="P8965" t="str">
            <v/>
          </cell>
          <cell r="Q8965" t="str">
            <v/>
          </cell>
          <cell r="S8965" t="str">
            <v/>
          </cell>
          <cell r="V8965" t="str">
            <v/>
          </cell>
          <cell r="Z8965" t="str">
            <v/>
          </cell>
          <cell r="AA8965" t="str">
            <v/>
          </cell>
          <cell r="AB8965" t="str">
            <v/>
          </cell>
          <cell r="AC8965" t="str">
            <v/>
          </cell>
          <cell r="AD8965" t="str">
            <v/>
          </cell>
          <cell r="AY8965" t="str">
            <v/>
          </cell>
          <cell r="AZ8965" t="str">
            <v/>
          </cell>
          <cell r="BA8965" t="str">
            <v/>
          </cell>
        </row>
        <row r="8966">
          <cell r="B8966" t="str">
            <v>-</v>
          </cell>
          <cell r="E8966" t="str">
            <v/>
          </cell>
          <cell r="G8966" t="str">
            <v/>
          </cell>
          <cell r="J8966" t="str">
            <v/>
          </cell>
          <cell r="O8966" t="str">
            <v/>
          </cell>
          <cell r="P8966" t="str">
            <v/>
          </cell>
          <cell r="Q8966" t="str">
            <v/>
          </cell>
          <cell r="S8966" t="str">
            <v/>
          </cell>
          <cell r="V8966" t="str">
            <v/>
          </cell>
          <cell r="Z8966" t="str">
            <v/>
          </cell>
          <cell r="AA8966" t="str">
            <v/>
          </cell>
          <cell r="AB8966" t="str">
            <v/>
          </cell>
          <cell r="AC8966" t="str">
            <v/>
          </cell>
          <cell r="AD8966" t="str">
            <v/>
          </cell>
          <cell r="AY8966" t="str">
            <v/>
          </cell>
          <cell r="AZ8966" t="str">
            <v/>
          </cell>
          <cell r="BA8966" t="str">
            <v/>
          </cell>
        </row>
        <row r="8967">
          <cell r="B8967" t="str">
            <v>-</v>
          </cell>
          <cell r="E8967" t="str">
            <v/>
          </cell>
          <cell r="G8967" t="str">
            <v/>
          </cell>
          <cell r="J8967" t="str">
            <v/>
          </cell>
          <cell r="O8967" t="str">
            <v/>
          </cell>
          <cell r="P8967" t="str">
            <v/>
          </cell>
          <cell r="Q8967" t="str">
            <v/>
          </cell>
          <cell r="S8967" t="str">
            <v/>
          </cell>
          <cell r="V8967" t="str">
            <v/>
          </cell>
          <cell r="Z8967" t="str">
            <v/>
          </cell>
          <cell r="AA8967" t="str">
            <v/>
          </cell>
          <cell r="AB8967" t="str">
            <v/>
          </cell>
          <cell r="AC8967" t="str">
            <v/>
          </cell>
          <cell r="AD8967" t="str">
            <v/>
          </cell>
          <cell r="AY8967" t="str">
            <v/>
          </cell>
          <cell r="AZ8967" t="str">
            <v/>
          </cell>
          <cell r="BA8967" t="str">
            <v/>
          </cell>
        </row>
        <row r="8968">
          <cell r="B8968" t="str">
            <v>-</v>
          </cell>
          <cell r="E8968" t="str">
            <v/>
          </cell>
          <cell r="G8968" t="str">
            <v/>
          </cell>
          <cell r="J8968" t="str">
            <v/>
          </cell>
          <cell r="O8968" t="str">
            <v/>
          </cell>
          <cell r="P8968" t="str">
            <v/>
          </cell>
          <cell r="Q8968" t="str">
            <v/>
          </cell>
          <cell r="S8968" t="str">
            <v/>
          </cell>
          <cell r="V8968" t="str">
            <v/>
          </cell>
          <cell r="Z8968" t="str">
            <v/>
          </cell>
          <cell r="AA8968" t="str">
            <v/>
          </cell>
          <cell r="AB8968" t="str">
            <v/>
          </cell>
          <cell r="AC8968" t="str">
            <v/>
          </cell>
          <cell r="AD8968" t="str">
            <v/>
          </cell>
          <cell r="AY8968" t="str">
            <v/>
          </cell>
          <cell r="AZ8968" t="str">
            <v/>
          </cell>
          <cell r="BA8968" t="str">
            <v/>
          </cell>
        </row>
        <row r="8969">
          <cell r="B8969" t="str">
            <v>-</v>
          </cell>
          <cell r="E8969" t="str">
            <v/>
          </cell>
          <cell r="G8969" t="str">
            <v/>
          </cell>
          <cell r="J8969" t="str">
            <v/>
          </cell>
          <cell r="O8969" t="str">
            <v/>
          </cell>
          <cell r="P8969" t="str">
            <v/>
          </cell>
          <cell r="Q8969" t="str">
            <v/>
          </cell>
          <cell r="S8969" t="str">
            <v/>
          </cell>
          <cell r="V8969" t="str">
            <v/>
          </cell>
          <cell r="Z8969" t="str">
            <v/>
          </cell>
          <cell r="AA8969" t="str">
            <v/>
          </cell>
          <cell r="AB8969" t="str">
            <v/>
          </cell>
          <cell r="AC8969" t="str">
            <v/>
          </cell>
          <cell r="AD8969" t="str">
            <v/>
          </cell>
          <cell r="AY8969" t="str">
            <v/>
          </cell>
          <cell r="AZ8969" t="str">
            <v/>
          </cell>
          <cell r="BA8969" t="str">
            <v/>
          </cell>
        </row>
        <row r="8970">
          <cell r="B8970" t="str">
            <v>-</v>
          </cell>
          <cell r="E8970" t="str">
            <v/>
          </cell>
          <cell r="G8970" t="str">
            <v/>
          </cell>
          <cell r="J8970" t="str">
            <v/>
          </cell>
          <cell r="O8970" t="str">
            <v/>
          </cell>
          <cell r="P8970" t="str">
            <v/>
          </cell>
          <cell r="Q8970" t="str">
            <v/>
          </cell>
          <cell r="S8970" t="str">
            <v/>
          </cell>
          <cell r="V8970" t="str">
            <v/>
          </cell>
          <cell r="Z8970" t="str">
            <v/>
          </cell>
          <cell r="AA8970" t="str">
            <v/>
          </cell>
          <cell r="AB8970" t="str">
            <v/>
          </cell>
          <cell r="AC8970" t="str">
            <v/>
          </cell>
          <cell r="AD8970" t="str">
            <v/>
          </cell>
          <cell r="AY8970" t="str">
            <v/>
          </cell>
          <cell r="AZ8970" t="str">
            <v/>
          </cell>
          <cell r="BA8970" t="str">
            <v/>
          </cell>
        </row>
        <row r="8971">
          <cell r="B8971" t="str">
            <v>-</v>
          </cell>
          <cell r="E8971" t="str">
            <v/>
          </cell>
          <cell r="G8971" t="str">
            <v/>
          </cell>
          <cell r="J8971" t="str">
            <v/>
          </cell>
          <cell r="O8971" t="str">
            <v/>
          </cell>
          <cell r="P8971" t="str">
            <v/>
          </cell>
          <cell r="Q8971" t="str">
            <v/>
          </cell>
          <cell r="S8971" t="str">
            <v/>
          </cell>
          <cell r="V8971" t="str">
            <v/>
          </cell>
          <cell r="Z8971" t="str">
            <v/>
          </cell>
          <cell r="AA8971" t="str">
            <v/>
          </cell>
          <cell r="AB8971" t="str">
            <v/>
          </cell>
          <cell r="AC8971" t="str">
            <v/>
          </cell>
          <cell r="AD8971" t="str">
            <v/>
          </cell>
          <cell r="AY8971" t="str">
            <v/>
          </cell>
          <cell r="AZ8971" t="str">
            <v/>
          </cell>
          <cell r="BA8971" t="str">
            <v/>
          </cell>
        </row>
        <row r="8972">
          <cell r="B8972" t="str">
            <v>-</v>
          </cell>
          <cell r="E8972" t="str">
            <v/>
          </cell>
          <cell r="G8972" t="str">
            <v/>
          </cell>
          <cell r="J8972" t="str">
            <v/>
          </cell>
          <cell r="O8972" t="str">
            <v/>
          </cell>
          <cell r="P8972" t="str">
            <v/>
          </cell>
          <cell r="Q8972" t="str">
            <v/>
          </cell>
          <cell r="S8972" t="str">
            <v/>
          </cell>
          <cell r="V8972" t="str">
            <v/>
          </cell>
          <cell r="Z8972" t="str">
            <v/>
          </cell>
          <cell r="AA8972" t="str">
            <v/>
          </cell>
          <cell r="AB8972" t="str">
            <v/>
          </cell>
          <cell r="AC8972" t="str">
            <v/>
          </cell>
          <cell r="AD8972" t="str">
            <v/>
          </cell>
          <cell r="AY8972" t="str">
            <v/>
          </cell>
          <cell r="AZ8972" t="str">
            <v/>
          </cell>
          <cell r="BA8972" t="str">
            <v/>
          </cell>
        </row>
        <row r="8973">
          <cell r="B8973" t="str">
            <v>-</v>
          </cell>
          <cell r="E8973" t="str">
            <v/>
          </cell>
          <cell r="G8973" t="str">
            <v/>
          </cell>
          <cell r="J8973" t="str">
            <v/>
          </cell>
          <cell r="O8973" t="str">
            <v/>
          </cell>
          <cell r="P8973" t="str">
            <v/>
          </cell>
          <cell r="Q8973" t="str">
            <v/>
          </cell>
          <cell r="S8973" t="str">
            <v/>
          </cell>
          <cell r="V8973" t="str">
            <v/>
          </cell>
          <cell r="Z8973" t="str">
            <v/>
          </cell>
          <cell r="AA8973" t="str">
            <v/>
          </cell>
          <cell r="AB8973" t="str">
            <v/>
          </cell>
          <cell r="AC8973" t="str">
            <v/>
          </cell>
          <cell r="AD8973" t="str">
            <v/>
          </cell>
          <cell r="AY8973" t="str">
            <v/>
          </cell>
          <cell r="AZ8973" t="str">
            <v/>
          </cell>
          <cell r="BA8973" t="str">
            <v/>
          </cell>
        </row>
        <row r="8974">
          <cell r="B8974" t="str">
            <v>-</v>
          </cell>
          <cell r="E8974" t="str">
            <v/>
          </cell>
          <cell r="G8974" t="str">
            <v/>
          </cell>
          <cell r="J8974" t="str">
            <v/>
          </cell>
          <cell r="O8974" t="str">
            <v/>
          </cell>
          <cell r="P8974" t="str">
            <v/>
          </cell>
          <cell r="Q8974" t="str">
            <v/>
          </cell>
          <cell r="S8974" t="str">
            <v/>
          </cell>
          <cell r="V8974" t="str">
            <v/>
          </cell>
          <cell r="Z8974" t="str">
            <v/>
          </cell>
          <cell r="AA8974" t="str">
            <v/>
          </cell>
          <cell r="AB8974" t="str">
            <v/>
          </cell>
          <cell r="AC8974" t="str">
            <v/>
          </cell>
          <cell r="AD8974" t="str">
            <v/>
          </cell>
          <cell r="AY8974" t="str">
            <v/>
          </cell>
          <cell r="AZ8974" t="str">
            <v/>
          </cell>
          <cell r="BA8974" t="str">
            <v/>
          </cell>
        </row>
        <row r="8975">
          <cell r="B8975" t="str">
            <v>-</v>
          </cell>
          <cell r="E8975" t="str">
            <v/>
          </cell>
          <cell r="G8975" t="str">
            <v/>
          </cell>
          <cell r="J8975" t="str">
            <v/>
          </cell>
          <cell r="O8975" t="str">
            <v/>
          </cell>
          <cell r="P8975" t="str">
            <v/>
          </cell>
          <cell r="Q8975" t="str">
            <v/>
          </cell>
          <cell r="S8975" t="str">
            <v/>
          </cell>
          <cell r="V8975" t="str">
            <v/>
          </cell>
          <cell r="Z8975" t="str">
            <v/>
          </cell>
          <cell r="AA8975" t="str">
            <v/>
          </cell>
          <cell r="AB8975" t="str">
            <v/>
          </cell>
          <cell r="AC8975" t="str">
            <v/>
          </cell>
          <cell r="AD8975" t="str">
            <v/>
          </cell>
          <cell r="AY8975" t="str">
            <v/>
          </cell>
          <cell r="AZ8975" t="str">
            <v/>
          </cell>
          <cell r="BA8975" t="str">
            <v/>
          </cell>
        </row>
        <row r="8976">
          <cell r="B8976" t="str">
            <v>-</v>
          </cell>
          <cell r="E8976" t="str">
            <v/>
          </cell>
          <cell r="G8976" t="str">
            <v/>
          </cell>
          <cell r="J8976" t="str">
            <v/>
          </cell>
          <cell r="O8976" t="str">
            <v/>
          </cell>
          <cell r="P8976" t="str">
            <v/>
          </cell>
          <cell r="Q8976" t="str">
            <v/>
          </cell>
          <cell r="S8976" t="str">
            <v/>
          </cell>
          <cell r="V8976" t="str">
            <v/>
          </cell>
          <cell r="Z8976" t="str">
            <v/>
          </cell>
          <cell r="AA8976" t="str">
            <v/>
          </cell>
          <cell r="AB8976" t="str">
            <v/>
          </cell>
          <cell r="AC8976" t="str">
            <v/>
          </cell>
          <cell r="AD8976" t="str">
            <v/>
          </cell>
          <cell r="AY8976" t="str">
            <v/>
          </cell>
          <cell r="AZ8976" t="str">
            <v/>
          </cell>
          <cell r="BA8976" t="str">
            <v/>
          </cell>
        </row>
        <row r="8977">
          <cell r="B8977" t="str">
            <v>-</v>
          </cell>
          <cell r="E8977" t="str">
            <v/>
          </cell>
          <cell r="G8977" t="str">
            <v/>
          </cell>
          <cell r="J8977" t="str">
            <v/>
          </cell>
          <cell r="O8977" t="str">
            <v/>
          </cell>
          <cell r="P8977" t="str">
            <v/>
          </cell>
          <cell r="Q8977" t="str">
            <v/>
          </cell>
          <cell r="S8977" t="str">
            <v/>
          </cell>
          <cell r="V8977" t="str">
            <v/>
          </cell>
          <cell r="Z8977" t="str">
            <v/>
          </cell>
          <cell r="AA8977" t="str">
            <v/>
          </cell>
          <cell r="AB8977" t="str">
            <v/>
          </cell>
          <cell r="AC8977" t="str">
            <v/>
          </cell>
          <cell r="AD8977" t="str">
            <v/>
          </cell>
          <cell r="AY8977" t="str">
            <v/>
          </cell>
          <cell r="AZ8977" t="str">
            <v/>
          </cell>
          <cell r="BA8977" t="str">
            <v/>
          </cell>
        </row>
        <row r="8978">
          <cell r="B8978" t="str">
            <v>-</v>
          </cell>
          <cell r="E8978" t="str">
            <v/>
          </cell>
          <cell r="G8978" t="str">
            <v/>
          </cell>
          <cell r="J8978" t="str">
            <v/>
          </cell>
          <cell r="O8978" t="str">
            <v/>
          </cell>
          <cell r="P8978" t="str">
            <v/>
          </cell>
          <cell r="Q8978" t="str">
            <v/>
          </cell>
          <cell r="S8978" t="str">
            <v/>
          </cell>
          <cell r="V8978" t="str">
            <v/>
          </cell>
          <cell r="Z8978" t="str">
            <v/>
          </cell>
          <cell r="AA8978" t="str">
            <v/>
          </cell>
          <cell r="AB8978" t="str">
            <v/>
          </cell>
          <cell r="AC8978" t="str">
            <v/>
          </cell>
          <cell r="AD8978" t="str">
            <v/>
          </cell>
          <cell r="AY8978" t="str">
            <v/>
          </cell>
          <cell r="AZ8978" t="str">
            <v/>
          </cell>
          <cell r="BA8978" t="str">
            <v/>
          </cell>
        </row>
        <row r="8979">
          <cell r="B8979" t="str">
            <v>-</v>
          </cell>
          <cell r="E8979" t="str">
            <v/>
          </cell>
          <cell r="G8979" t="str">
            <v/>
          </cell>
          <cell r="J8979" t="str">
            <v/>
          </cell>
          <cell r="O8979" t="str">
            <v/>
          </cell>
          <cell r="P8979" t="str">
            <v/>
          </cell>
          <cell r="Q8979" t="str">
            <v/>
          </cell>
          <cell r="S8979" t="str">
            <v/>
          </cell>
          <cell r="V8979" t="str">
            <v/>
          </cell>
          <cell r="Z8979" t="str">
            <v/>
          </cell>
          <cell r="AA8979" t="str">
            <v/>
          </cell>
          <cell r="AB8979" t="str">
            <v/>
          </cell>
          <cell r="AC8979" t="str">
            <v/>
          </cell>
          <cell r="AD8979" t="str">
            <v/>
          </cell>
          <cell r="AY8979" t="str">
            <v/>
          </cell>
          <cell r="AZ8979" t="str">
            <v/>
          </cell>
          <cell r="BA8979" t="str">
            <v/>
          </cell>
        </row>
        <row r="8980">
          <cell r="B8980" t="str">
            <v>-</v>
          </cell>
          <cell r="E8980" t="str">
            <v/>
          </cell>
          <cell r="G8980" t="str">
            <v/>
          </cell>
          <cell r="J8980" t="str">
            <v/>
          </cell>
          <cell r="O8980" t="str">
            <v/>
          </cell>
          <cell r="P8980" t="str">
            <v/>
          </cell>
          <cell r="Q8980" t="str">
            <v/>
          </cell>
          <cell r="S8980" t="str">
            <v/>
          </cell>
          <cell r="V8980" t="str">
            <v/>
          </cell>
          <cell r="Z8980" t="str">
            <v/>
          </cell>
          <cell r="AA8980" t="str">
            <v/>
          </cell>
          <cell r="AB8980" t="str">
            <v/>
          </cell>
          <cell r="AC8980" t="str">
            <v/>
          </cell>
          <cell r="AD8980" t="str">
            <v/>
          </cell>
          <cell r="AY8980" t="str">
            <v/>
          </cell>
          <cell r="AZ8980" t="str">
            <v/>
          </cell>
          <cell r="BA8980" t="str">
            <v/>
          </cell>
        </row>
        <row r="8981">
          <cell r="B8981" t="str">
            <v>-</v>
          </cell>
          <cell r="E8981" t="str">
            <v/>
          </cell>
          <cell r="G8981" t="str">
            <v/>
          </cell>
          <cell r="J8981" t="str">
            <v/>
          </cell>
          <cell r="O8981" t="str">
            <v/>
          </cell>
          <cell r="P8981" t="str">
            <v/>
          </cell>
          <cell r="Q8981" t="str">
            <v/>
          </cell>
          <cell r="S8981" t="str">
            <v/>
          </cell>
          <cell r="V8981" t="str">
            <v/>
          </cell>
          <cell r="Z8981" t="str">
            <v/>
          </cell>
          <cell r="AA8981" t="str">
            <v/>
          </cell>
          <cell r="AB8981" t="str">
            <v/>
          </cell>
          <cell r="AC8981" t="str">
            <v/>
          </cell>
          <cell r="AD8981" t="str">
            <v/>
          </cell>
          <cell r="AY8981" t="str">
            <v/>
          </cell>
          <cell r="AZ8981" t="str">
            <v/>
          </cell>
          <cell r="BA8981" t="str">
            <v/>
          </cell>
        </row>
        <row r="8982">
          <cell r="B8982" t="str">
            <v>-</v>
          </cell>
          <cell r="E8982" t="str">
            <v/>
          </cell>
          <cell r="G8982" t="str">
            <v/>
          </cell>
          <cell r="J8982" t="str">
            <v/>
          </cell>
          <cell r="O8982" t="str">
            <v/>
          </cell>
          <cell r="P8982" t="str">
            <v/>
          </cell>
          <cell r="Q8982" t="str">
            <v/>
          </cell>
          <cell r="S8982" t="str">
            <v/>
          </cell>
          <cell r="V8982" t="str">
            <v/>
          </cell>
          <cell r="Z8982" t="str">
            <v/>
          </cell>
          <cell r="AA8982" t="str">
            <v/>
          </cell>
          <cell r="AB8982" t="str">
            <v/>
          </cell>
          <cell r="AC8982" t="str">
            <v/>
          </cell>
          <cell r="AD8982" t="str">
            <v/>
          </cell>
          <cell r="AY8982" t="str">
            <v/>
          </cell>
          <cell r="AZ8982" t="str">
            <v/>
          </cell>
          <cell r="BA8982" t="str">
            <v/>
          </cell>
        </row>
        <row r="8983">
          <cell r="B8983" t="str">
            <v>-</v>
          </cell>
          <cell r="E8983" t="str">
            <v/>
          </cell>
          <cell r="G8983" t="str">
            <v/>
          </cell>
          <cell r="J8983" t="str">
            <v/>
          </cell>
          <cell r="O8983" t="str">
            <v/>
          </cell>
          <cell r="P8983" t="str">
            <v/>
          </cell>
          <cell r="Q8983" t="str">
            <v/>
          </cell>
          <cell r="S8983" t="str">
            <v/>
          </cell>
          <cell r="V8983" t="str">
            <v/>
          </cell>
          <cell r="Z8983" t="str">
            <v/>
          </cell>
          <cell r="AA8983" t="str">
            <v/>
          </cell>
          <cell r="AB8983" t="str">
            <v/>
          </cell>
          <cell r="AC8983" t="str">
            <v/>
          </cell>
          <cell r="AD8983" t="str">
            <v/>
          </cell>
          <cell r="AY8983" t="str">
            <v/>
          </cell>
          <cell r="AZ8983" t="str">
            <v/>
          </cell>
          <cell r="BA8983" t="str">
            <v/>
          </cell>
        </row>
        <row r="8984">
          <cell r="B8984" t="str">
            <v>-</v>
          </cell>
          <cell r="E8984" t="str">
            <v/>
          </cell>
          <cell r="G8984" t="str">
            <v/>
          </cell>
          <cell r="J8984" t="str">
            <v/>
          </cell>
          <cell r="O8984" t="str">
            <v/>
          </cell>
          <cell r="P8984" t="str">
            <v/>
          </cell>
          <cell r="Q8984" t="str">
            <v/>
          </cell>
          <cell r="S8984" t="str">
            <v/>
          </cell>
          <cell r="V8984" t="str">
            <v/>
          </cell>
          <cell r="Z8984" t="str">
            <v/>
          </cell>
          <cell r="AA8984" t="str">
            <v/>
          </cell>
          <cell r="AB8984" t="str">
            <v/>
          </cell>
          <cell r="AC8984" t="str">
            <v/>
          </cell>
          <cell r="AD8984" t="str">
            <v/>
          </cell>
          <cell r="AY8984" t="str">
            <v/>
          </cell>
          <cell r="AZ8984" t="str">
            <v/>
          </cell>
          <cell r="BA8984" t="str">
            <v/>
          </cell>
        </row>
        <row r="8985">
          <cell r="B8985" t="str">
            <v>-</v>
          </cell>
          <cell r="E8985" t="str">
            <v/>
          </cell>
          <cell r="G8985" t="str">
            <v/>
          </cell>
          <cell r="J8985" t="str">
            <v/>
          </cell>
          <cell r="O8985" t="str">
            <v/>
          </cell>
          <cell r="P8985" t="str">
            <v/>
          </cell>
          <cell r="Q8985" t="str">
            <v/>
          </cell>
          <cell r="S8985" t="str">
            <v/>
          </cell>
          <cell r="V8985" t="str">
            <v/>
          </cell>
          <cell r="Z8985" t="str">
            <v/>
          </cell>
          <cell r="AA8985" t="str">
            <v/>
          </cell>
          <cell r="AB8985" t="str">
            <v/>
          </cell>
          <cell r="AC8985" t="str">
            <v/>
          </cell>
          <cell r="AD8985" t="str">
            <v/>
          </cell>
          <cell r="AY8985" t="str">
            <v/>
          </cell>
          <cell r="AZ8985" t="str">
            <v/>
          </cell>
          <cell r="BA8985" t="str">
            <v/>
          </cell>
        </row>
        <row r="8986">
          <cell r="B8986" t="str">
            <v>-</v>
          </cell>
          <cell r="E8986" t="str">
            <v/>
          </cell>
          <cell r="G8986" t="str">
            <v/>
          </cell>
          <cell r="J8986" t="str">
            <v/>
          </cell>
          <cell r="O8986" t="str">
            <v/>
          </cell>
          <cell r="P8986" t="str">
            <v/>
          </cell>
          <cell r="Q8986" t="str">
            <v/>
          </cell>
          <cell r="S8986" t="str">
            <v/>
          </cell>
          <cell r="V8986" t="str">
            <v/>
          </cell>
          <cell r="Z8986" t="str">
            <v/>
          </cell>
          <cell r="AA8986" t="str">
            <v/>
          </cell>
          <cell r="AB8986" t="str">
            <v/>
          </cell>
          <cell r="AC8986" t="str">
            <v/>
          </cell>
          <cell r="AD8986" t="str">
            <v/>
          </cell>
          <cell r="AY8986" t="str">
            <v/>
          </cell>
          <cell r="AZ8986" t="str">
            <v/>
          </cell>
          <cell r="BA8986" t="str">
            <v/>
          </cell>
        </row>
        <row r="8987">
          <cell r="B8987" t="str">
            <v>-</v>
          </cell>
          <cell r="E8987" t="str">
            <v/>
          </cell>
          <cell r="G8987" t="str">
            <v/>
          </cell>
          <cell r="J8987" t="str">
            <v/>
          </cell>
          <cell r="O8987" t="str">
            <v/>
          </cell>
          <cell r="P8987" t="str">
            <v/>
          </cell>
          <cell r="Q8987" t="str">
            <v/>
          </cell>
          <cell r="S8987" t="str">
            <v/>
          </cell>
          <cell r="V8987" t="str">
            <v/>
          </cell>
          <cell r="Z8987" t="str">
            <v/>
          </cell>
          <cell r="AA8987" t="str">
            <v/>
          </cell>
          <cell r="AB8987" t="str">
            <v/>
          </cell>
          <cell r="AC8987" t="str">
            <v/>
          </cell>
          <cell r="AD8987" t="str">
            <v/>
          </cell>
          <cell r="AY8987" t="str">
            <v/>
          </cell>
          <cell r="AZ8987" t="str">
            <v/>
          </cell>
          <cell r="BA8987" t="str">
            <v/>
          </cell>
        </row>
        <row r="8988">
          <cell r="B8988" t="str">
            <v>-</v>
          </cell>
          <cell r="E8988" t="str">
            <v/>
          </cell>
          <cell r="G8988" t="str">
            <v/>
          </cell>
          <cell r="J8988" t="str">
            <v/>
          </cell>
          <cell r="O8988" t="str">
            <v/>
          </cell>
          <cell r="P8988" t="str">
            <v/>
          </cell>
          <cell r="Q8988" t="str">
            <v/>
          </cell>
          <cell r="S8988" t="str">
            <v/>
          </cell>
          <cell r="V8988" t="str">
            <v/>
          </cell>
          <cell r="Z8988" t="str">
            <v/>
          </cell>
          <cell r="AA8988" t="str">
            <v/>
          </cell>
          <cell r="AB8988" t="str">
            <v/>
          </cell>
          <cell r="AC8988" t="str">
            <v/>
          </cell>
          <cell r="AD8988" t="str">
            <v/>
          </cell>
          <cell r="AY8988" t="str">
            <v/>
          </cell>
          <cell r="AZ8988" t="str">
            <v/>
          </cell>
          <cell r="BA8988" t="str">
            <v/>
          </cell>
        </row>
        <row r="8989">
          <cell r="B8989" t="str">
            <v>-</v>
          </cell>
          <cell r="E8989" t="str">
            <v/>
          </cell>
          <cell r="G8989" t="str">
            <v/>
          </cell>
          <cell r="J8989" t="str">
            <v/>
          </cell>
          <cell r="O8989" t="str">
            <v/>
          </cell>
          <cell r="P8989" t="str">
            <v/>
          </cell>
          <cell r="Q8989" t="str">
            <v/>
          </cell>
          <cell r="S8989" t="str">
            <v/>
          </cell>
          <cell r="V8989" t="str">
            <v/>
          </cell>
          <cell r="Z8989" t="str">
            <v/>
          </cell>
          <cell r="AA8989" t="str">
            <v/>
          </cell>
          <cell r="AB8989" t="str">
            <v/>
          </cell>
          <cell r="AC8989" t="str">
            <v/>
          </cell>
          <cell r="AD8989" t="str">
            <v/>
          </cell>
          <cell r="AY8989" t="str">
            <v/>
          </cell>
          <cell r="AZ8989" t="str">
            <v/>
          </cell>
          <cell r="BA8989" t="str">
            <v/>
          </cell>
        </row>
        <row r="8990">
          <cell r="B8990" t="str">
            <v>-</v>
          </cell>
          <cell r="E8990" t="str">
            <v/>
          </cell>
          <cell r="G8990" t="str">
            <v/>
          </cell>
          <cell r="J8990" t="str">
            <v/>
          </cell>
          <cell r="O8990" t="str">
            <v/>
          </cell>
          <cell r="P8990" t="str">
            <v/>
          </cell>
          <cell r="Q8990" t="str">
            <v/>
          </cell>
          <cell r="S8990" t="str">
            <v/>
          </cell>
          <cell r="V8990" t="str">
            <v/>
          </cell>
          <cell r="Z8990" t="str">
            <v/>
          </cell>
          <cell r="AA8990" t="str">
            <v/>
          </cell>
          <cell r="AB8990" t="str">
            <v/>
          </cell>
          <cell r="AC8990" t="str">
            <v/>
          </cell>
          <cell r="AD8990" t="str">
            <v/>
          </cell>
          <cell r="AY8990" t="str">
            <v/>
          </cell>
          <cell r="AZ8990" t="str">
            <v/>
          </cell>
          <cell r="BA8990" t="str">
            <v/>
          </cell>
        </row>
        <row r="8991">
          <cell r="B8991" t="str">
            <v>-</v>
          </cell>
          <cell r="E8991" t="str">
            <v/>
          </cell>
          <cell r="G8991" t="str">
            <v/>
          </cell>
          <cell r="J8991" t="str">
            <v/>
          </cell>
          <cell r="O8991" t="str">
            <v/>
          </cell>
          <cell r="P8991" t="str">
            <v/>
          </cell>
          <cell r="Q8991" t="str">
            <v/>
          </cell>
          <cell r="S8991" t="str">
            <v/>
          </cell>
          <cell r="V8991" t="str">
            <v/>
          </cell>
          <cell r="Z8991" t="str">
            <v/>
          </cell>
          <cell r="AA8991" t="str">
            <v/>
          </cell>
          <cell r="AB8991" t="str">
            <v/>
          </cell>
          <cell r="AC8991" t="str">
            <v/>
          </cell>
          <cell r="AD8991" t="str">
            <v/>
          </cell>
          <cell r="AY8991" t="str">
            <v/>
          </cell>
          <cell r="AZ8991" t="str">
            <v/>
          </cell>
          <cell r="BA8991" t="str">
            <v/>
          </cell>
        </row>
        <row r="8992">
          <cell r="B8992" t="str">
            <v>-</v>
          </cell>
          <cell r="E8992" t="str">
            <v/>
          </cell>
          <cell r="G8992" t="str">
            <v/>
          </cell>
          <cell r="J8992" t="str">
            <v/>
          </cell>
          <cell r="O8992" t="str">
            <v/>
          </cell>
          <cell r="P8992" t="str">
            <v/>
          </cell>
          <cell r="Q8992" t="str">
            <v/>
          </cell>
          <cell r="S8992" t="str">
            <v/>
          </cell>
          <cell r="V8992" t="str">
            <v/>
          </cell>
          <cell r="Z8992" t="str">
            <v/>
          </cell>
          <cell r="AA8992" t="str">
            <v/>
          </cell>
          <cell r="AB8992" t="str">
            <v/>
          </cell>
          <cell r="AC8992" t="str">
            <v/>
          </cell>
          <cell r="AD8992" t="str">
            <v/>
          </cell>
          <cell r="AY8992" t="str">
            <v/>
          </cell>
          <cell r="AZ8992" t="str">
            <v/>
          </cell>
          <cell r="BA8992" t="str">
            <v/>
          </cell>
        </row>
        <row r="8993">
          <cell r="B8993" t="str">
            <v>-</v>
          </cell>
          <cell r="E8993" t="str">
            <v/>
          </cell>
          <cell r="G8993" t="str">
            <v/>
          </cell>
          <cell r="J8993" t="str">
            <v/>
          </cell>
          <cell r="O8993" t="str">
            <v/>
          </cell>
          <cell r="P8993" t="str">
            <v/>
          </cell>
          <cell r="Q8993" t="str">
            <v/>
          </cell>
          <cell r="S8993" t="str">
            <v/>
          </cell>
          <cell r="V8993" t="str">
            <v/>
          </cell>
          <cell r="Z8993" t="str">
            <v/>
          </cell>
          <cell r="AA8993" t="str">
            <v/>
          </cell>
          <cell r="AB8993" t="str">
            <v/>
          </cell>
          <cell r="AC8993" t="str">
            <v/>
          </cell>
          <cell r="AD8993" t="str">
            <v/>
          </cell>
          <cell r="AY8993" t="str">
            <v/>
          </cell>
          <cell r="AZ8993" t="str">
            <v/>
          </cell>
          <cell r="BA8993" t="str">
            <v/>
          </cell>
        </row>
        <row r="8994">
          <cell r="B8994" t="str">
            <v>-</v>
          </cell>
          <cell r="E8994" t="str">
            <v/>
          </cell>
          <cell r="G8994" t="str">
            <v/>
          </cell>
          <cell r="J8994" t="str">
            <v/>
          </cell>
          <cell r="O8994" t="str">
            <v/>
          </cell>
          <cell r="P8994" t="str">
            <v/>
          </cell>
          <cell r="Q8994" t="str">
            <v/>
          </cell>
          <cell r="S8994" t="str">
            <v/>
          </cell>
          <cell r="V8994" t="str">
            <v/>
          </cell>
          <cell r="Z8994" t="str">
            <v/>
          </cell>
          <cell r="AA8994" t="str">
            <v/>
          </cell>
          <cell r="AB8994" t="str">
            <v/>
          </cell>
          <cell r="AC8994" t="str">
            <v/>
          </cell>
          <cell r="AD8994" t="str">
            <v/>
          </cell>
          <cell r="AY8994" t="str">
            <v/>
          </cell>
          <cell r="AZ8994" t="str">
            <v/>
          </cell>
          <cell r="BA8994" t="str">
            <v/>
          </cell>
        </row>
        <row r="8995">
          <cell r="B8995" t="str">
            <v>-</v>
          </cell>
          <cell r="E8995" t="str">
            <v/>
          </cell>
          <cell r="G8995" t="str">
            <v/>
          </cell>
          <cell r="J8995" t="str">
            <v/>
          </cell>
          <cell r="O8995" t="str">
            <v/>
          </cell>
          <cell r="P8995" t="str">
            <v/>
          </cell>
          <cell r="Q8995" t="str">
            <v/>
          </cell>
          <cell r="S8995" t="str">
            <v/>
          </cell>
          <cell r="V8995" t="str">
            <v/>
          </cell>
          <cell r="Z8995" t="str">
            <v/>
          </cell>
          <cell r="AA8995" t="str">
            <v/>
          </cell>
          <cell r="AB8995" t="str">
            <v/>
          </cell>
          <cell r="AC8995" t="str">
            <v/>
          </cell>
          <cell r="AD8995" t="str">
            <v/>
          </cell>
          <cell r="AY8995" t="str">
            <v/>
          </cell>
          <cell r="AZ8995" t="str">
            <v/>
          </cell>
          <cell r="BA8995" t="str">
            <v/>
          </cell>
        </row>
        <row r="8996">
          <cell r="B8996" t="str">
            <v>-</v>
          </cell>
          <cell r="E8996" t="str">
            <v/>
          </cell>
          <cell r="G8996" t="str">
            <v/>
          </cell>
          <cell r="J8996" t="str">
            <v/>
          </cell>
          <cell r="O8996" t="str">
            <v/>
          </cell>
          <cell r="P8996" t="str">
            <v/>
          </cell>
          <cell r="Q8996" t="str">
            <v/>
          </cell>
          <cell r="S8996" t="str">
            <v/>
          </cell>
          <cell r="V8996" t="str">
            <v/>
          </cell>
          <cell r="Z8996" t="str">
            <v/>
          </cell>
          <cell r="AA8996" t="str">
            <v/>
          </cell>
          <cell r="AB8996" t="str">
            <v/>
          </cell>
          <cell r="AC8996" t="str">
            <v/>
          </cell>
          <cell r="AD8996" t="str">
            <v/>
          </cell>
          <cell r="AY8996" t="str">
            <v/>
          </cell>
          <cell r="AZ8996" t="str">
            <v/>
          </cell>
          <cell r="BA8996" t="str">
            <v/>
          </cell>
        </row>
        <row r="8997">
          <cell r="B8997" t="str">
            <v>-</v>
          </cell>
          <cell r="E8997" t="str">
            <v/>
          </cell>
          <cell r="G8997" t="str">
            <v/>
          </cell>
          <cell r="J8997" t="str">
            <v/>
          </cell>
          <cell r="O8997" t="str">
            <v/>
          </cell>
          <cell r="P8997" t="str">
            <v/>
          </cell>
          <cell r="Q8997" t="str">
            <v/>
          </cell>
          <cell r="S8997" t="str">
            <v/>
          </cell>
          <cell r="V8997" t="str">
            <v/>
          </cell>
          <cell r="Z8997" t="str">
            <v/>
          </cell>
          <cell r="AA8997" t="str">
            <v/>
          </cell>
          <cell r="AB8997" t="str">
            <v/>
          </cell>
          <cell r="AC8997" t="str">
            <v/>
          </cell>
          <cell r="AD8997" t="str">
            <v/>
          </cell>
          <cell r="AY8997" t="str">
            <v/>
          </cell>
          <cell r="AZ8997" t="str">
            <v/>
          </cell>
          <cell r="BA8997" t="str">
            <v/>
          </cell>
        </row>
        <row r="8998">
          <cell r="B8998" t="str">
            <v>-</v>
          </cell>
          <cell r="E8998" t="str">
            <v/>
          </cell>
          <cell r="G8998" t="str">
            <v/>
          </cell>
          <cell r="J8998" t="str">
            <v/>
          </cell>
          <cell r="O8998" t="str">
            <v/>
          </cell>
          <cell r="P8998" t="str">
            <v/>
          </cell>
          <cell r="Q8998" t="str">
            <v/>
          </cell>
          <cell r="S8998" t="str">
            <v/>
          </cell>
          <cell r="V8998" t="str">
            <v/>
          </cell>
          <cell r="Z8998" t="str">
            <v/>
          </cell>
          <cell r="AA8998" t="str">
            <v/>
          </cell>
          <cell r="AB8998" t="str">
            <v/>
          </cell>
          <cell r="AC8998" t="str">
            <v/>
          </cell>
          <cell r="AD8998" t="str">
            <v/>
          </cell>
          <cell r="AY8998" t="str">
            <v/>
          </cell>
          <cell r="AZ8998" t="str">
            <v/>
          </cell>
          <cell r="BA8998" t="str">
            <v/>
          </cell>
        </row>
        <row r="8999">
          <cell r="B8999" t="str">
            <v>-</v>
          </cell>
          <cell r="E8999" t="str">
            <v/>
          </cell>
          <cell r="G8999" t="str">
            <v/>
          </cell>
          <cell r="J8999" t="str">
            <v/>
          </cell>
          <cell r="O8999" t="str">
            <v/>
          </cell>
          <cell r="P8999" t="str">
            <v/>
          </cell>
          <cell r="Q8999" t="str">
            <v/>
          </cell>
          <cell r="S8999" t="str">
            <v/>
          </cell>
          <cell r="V8999" t="str">
            <v/>
          </cell>
          <cell r="Z8999" t="str">
            <v/>
          </cell>
          <cell r="AA8999" t="str">
            <v/>
          </cell>
          <cell r="AB8999" t="str">
            <v/>
          </cell>
          <cell r="AC8999" t="str">
            <v/>
          </cell>
          <cell r="AD8999" t="str">
            <v/>
          </cell>
          <cell r="AY8999" t="str">
            <v/>
          </cell>
          <cell r="AZ8999" t="str">
            <v/>
          </cell>
          <cell r="BA8999" t="str">
            <v/>
          </cell>
        </row>
        <row r="9000">
          <cell r="B9000" t="str">
            <v>-</v>
          </cell>
          <cell r="E9000" t="str">
            <v/>
          </cell>
          <cell r="G9000" t="str">
            <v/>
          </cell>
          <cell r="J9000" t="str">
            <v/>
          </cell>
          <cell r="O9000" t="str">
            <v/>
          </cell>
          <cell r="P9000" t="str">
            <v/>
          </cell>
          <cell r="Q9000" t="str">
            <v/>
          </cell>
          <cell r="S9000" t="str">
            <v/>
          </cell>
          <cell r="V9000" t="str">
            <v/>
          </cell>
          <cell r="Z9000" t="str">
            <v/>
          </cell>
          <cell r="AA9000" t="str">
            <v/>
          </cell>
          <cell r="AB9000" t="str">
            <v/>
          </cell>
          <cell r="AC9000" t="str">
            <v/>
          </cell>
          <cell r="AD9000" t="str">
            <v/>
          </cell>
          <cell r="AY9000" t="str">
            <v/>
          </cell>
          <cell r="AZ9000" t="str">
            <v/>
          </cell>
          <cell r="BA9000" t="str">
            <v/>
          </cell>
        </row>
        <row r="9001">
          <cell r="B9001" t="str">
            <v>-</v>
          </cell>
          <cell r="E9001" t="str">
            <v/>
          </cell>
          <cell r="G9001" t="str">
            <v/>
          </cell>
          <cell r="J9001" t="str">
            <v/>
          </cell>
          <cell r="O9001" t="str">
            <v/>
          </cell>
          <cell r="P9001" t="str">
            <v/>
          </cell>
          <cell r="Q9001" t="str">
            <v/>
          </cell>
          <cell r="S9001" t="str">
            <v/>
          </cell>
          <cell r="V9001" t="str">
            <v/>
          </cell>
          <cell r="Z9001" t="str">
            <v/>
          </cell>
          <cell r="AA9001" t="str">
            <v/>
          </cell>
          <cell r="AB9001" t="str">
            <v/>
          </cell>
          <cell r="AC9001" t="str">
            <v/>
          </cell>
          <cell r="AD9001" t="str">
            <v/>
          </cell>
          <cell r="AY9001" t="str">
            <v/>
          </cell>
          <cell r="AZ9001" t="str">
            <v/>
          </cell>
          <cell r="BA9001" t="str">
            <v/>
          </cell>
        </row>
        <row r="9002">
          <cell r="B9002" t="str">
            <v>-</v>
          </cell>
          <cell r="E9002" t="str">
            <v/>
          </cell>
          <cell r="G9002" t="str">
            <v/>
          </cell>
          <cell r="J9002" t="str">
            <v/>
          </cell>
          <cell r="O9002" t="str">
            <v/>
          </cell>
          <cell r="P9002" t="str">
            <v/>
          </cell>
          <cell r="Q9002" t="str">
            <v/>
          </cell>
          <cell r="S9002" t="str">
            <v/>
          </cell>
          <cell r="V9002" t="str">
            <v/>
          </cell>
          <cell r="Z9002" t="str">
            <v/>
          </cell>
          <cell r="AA9002" t="str">
            <v/>
          </cell>
          <cell r="AB9002" t="str">
            <v/>
          </cell>
          <cell r="AC9002" t="str">
            <v/>
          </cell>
          <cell r="AD9002" t="str">
            <v/>
          </cell>
          <cell r="AY9002" t="str">
            <v/>
          </cell>
          <cell r="AZ9002" t="str">
            <v/>
          </cell>
          <cell r="BA9002" t="str">
            <v/>
          </cell>
        </row>
        <row r="9003">
          <cell r="B9003" t="str">
            <v>-</v>
          </cell>
          <cell r="E9003" t="str">
            <v/>
          </cell>
          <cell r="G9003" t="str">
            <v/>
          </cell>
          <cell r="J9003" t="str">
            <v/>
          </cell>
          <cell r="O9003" t="str">
            <v/>
          </cell>
          <cell r="P9003" t="str">
            <v/>
          </cell>
          <cell r="Q9003" t="str">
            <v/>
          </cell>
          <cell r="S9003" t="str">
            <v/>
          </cell>
          <cell r="V9003" t="str">
            <v/>
          </cell>
          <cell r="Z9003" t="str">
            <v/>
          </cell>
          <cell r="AA9003" t="str">
            <v/>
          </cell>
          <cell r="AB9003" t="str">
            <v/>
          </cell>
          <cell r="AC9003" t="str">
            <v/>
          </cell>
          <cell r="AD9003" t="str">
            <v/>
          </cell>
          <cell r="AY9003" t="str">
            <v/>
          </cell>
          <cell r="AZ9003" t="str">
            <v/>
          </cell>
          <cell r="BA9003" t="str">
            <v/>
          </cell>
        </row>
        <row r="9004">
          <cell r="B9004" t="str">
            <v>-</v>
          </cell>
          <cell r="E9004" t="str">
            <v/>
          </cell>
          <cell r="G9004" t="str">
            <v/>
          </cell>
          <cell r="J9004" t="str">
            <v/>
          </cell>
          <cell r="O9004" t="str">
            <v/>
          </cell>
          <cell r="P9004" t="str">
            <v/>
          </cell>
          <cell r="Q9004" t="str">
            <v/>
          </cell>
          <cell r="S9004" t="str">
            <v/>
          </cell>
          <cell r="V9004" t="str">
            <v/>
          </cell>
          <cell r="Z9004" t="str">
            <v/>
          </cell>
          <cell r="AA9004" t="str">
            <v/>
          </cell>
          <cell r="AB9004" t="str">
            <v/>
          </cell>
          <cell r="AC9004" t="str">
            <v/>
          </cell>
          <cell r="AD9004" t="str">
            <v/>
          </cell>
          <cell r="AY9004" t="str">
            <v/>
          </cell>
          <cell r="AZ9004" t="str">
            <v/>
          </cell>
          <cell r="BA9004" t="str">
            <v/>
          </cell>
        </row>
        <row r="9005">
          <cell r="B9005" t="str">
            <v>-</v>
          </cell>
          <cell r="E9005" t="str">
            <v/>
          </cell>
          <cell r="G9005" t="str">
            <v/>
          </cell>
          <cell r="J9005" t="str">
            <v/>
          </cell>
          <cell r="O9005" t="str">
            <v/>
          </cell>
          <cell r="P9005" t="str">
            <v/>
          </cell>
          <cell r="Q9005" t="str">
            <v/>
          </cell>
          <cell r="S9005" t="str">
            <v/>
          </cell>
          <cell r="V9005" t="str">
            <v/>
          </cell>
          <cell r="Z9005" t="str">
            <v/>
          </cell>
          <cell r="AA9005" t="str">
            <v/>
          </cell>
          <cell r="AB9005" t="str">
            <v/>
          </cell>
          <cell r="AC9005" t="str">
            <v/>
          </cell>
          <cell r="AD9005" t="str">
            <v/>
          </cell>
          <cell r="AY9005" t="str">
            <v/>
          </cell>
          <cell r="AZ9005" t="str">
            <v/>
          </cell>
          <cell r="BA9005" t="str">
            <v/>
          </cell>
        </row>
        <row r="9006">
          <cell r="B9006" t="str">
            <v>-</v>
          </cell>
          <cell r="E9006" t="str">
            <v/>
          </cell>
          <cell r="G9006" t="str">
            <v/>
          </cell>
          <cell r="J9006" t="str">
            <v/>
          </cell>
          <cell r="O9006" t="str">
            <v/>
          </cell>
          <cell r="P9006" t="str">
            <v/>
          </cell>
          <cell r="Q9006" t="str">
            <v/>
          </cell>
          <cell r="S9006" t="str">
            <v/>
          </cell>
          <cell r="V9006" t="str">
            <v/>
          </cell>
          <cell r="Z9006" t="str">
            <v/>
          </cell>
          <cell r="AA9006" t="str">
            <v/>
          </cell>
          <cell r="AB9006" t="str">
            <v/>
          </cell>
          <cell r="AC9006" t="str">
            <v/>
          </cell>
          <cell r="AD9006" t="str">
            <v/>
          </cell>
          <cell r="AY9006" t="str">
            <v/>
          </cell>
          <cell r="AZ9006" t="str">
            <v/>
          </cell>
          <cell r="BA9006" t="str">
            <v/>
          </cell>
        </row>
        <row r="9007">
          <cell r="B9007" t="str">
            <v>-</v>
          </cell>
          <cell r="E9007" t="str">
            <v/>
          </cell>
          <cell r="G9007" t="str">
            <v/>
          </cell>
          <cell r="J9007" t="str">
            <v/>
          </cell>
          <cell r="O9007" t="str">
            <v/>
          </cell>
          <cell r="P9007" t="str">
            <v/>
          </cell>
          <cell r="Q9007" t="str">
            <v/>
          </cell>
          <cell r="S9007" t="str">
            <v/>
          </cell>
          <cell r="V9007" t="str">
            <v/>
          </cell>
          <cell r="Z9007" t="str">
            <v/>
          </cell>
          <cell r="AA9007" t="str">
            <v/>
          </cell>
          <cell r="AB9007" t="str">
            <v/>
          </cell>
          <cell r="AC9007" t="str">
            <v/>
          </cell>
          <cell r="AD9007" t="str">
            <v/>
          </cell>
          <cell r="AY9007" t="str">
            <v/>
          </cell>
          <cell r="AZ9007" t="str">
            <v/>
          </cell>
          <cell r="BA9007" t="str">
            <v/>
          </cell>
        </row>
        <row r="9008">
          <cell r="B9008" t="str">
            <v>-</v>
          </cell>
          <cell r="E9008" t="str">
            <v/>
          </cell>
          <cell r="G9008" t="str">
            <v/>
          </cell>
          <cell r="J9008" t="str">
            <v/>
          </cell>
          <cell r="O9008" t="str">
            <v/>
          </cell>
          <cell r="P9008" t="str">
            <v/>
          </cell>
          <cell r="Q9008" t="str">
            <v/>
          </cell>
          <cell r="S9008" t="str">
            <v/>
          </cell>
          <cell r="V9008" t="str">
            <v/>
          </cell>
          <cell r="Z9008" t="str">
            <v/>
          </cell>
          <cell r="AA9008" t="str">
            <v/>
          </cell>
          <cell r="AB9008" t="str">
            <v/>
          </cell>
          <cell r="AC9008" t="str">
            <v/>
          </cell>
          <cell r="AD9008" t="str">
            <v/>
          </cell>
          <cell r="AY9008" t="str">
            <v/>
          </cell>
          <cell r="AZ9008" t="str">
            <v/>
          </cell>
          <cell r="BA9008" t="str">
            <v/>
          </cell>
        </row>
        <row r="9009">
          <cell r="B9009" t="str">
            <v>-</v>
          </cell>
          <cell r="E9009" t="str">
            <v/>
          </cell>
          <cell r="G9009" t="str">
            <v/>
          </cell>
          <cell r="J9009" t="str">
            <v/>
          </cell>
          <cell r="O9009" t="str">
            <v/>
          </cell>
          <cell r="P9009" t="str">
            <v/>
          </cell>
          <cell r="Q9009" t="str">
            <v/>
          </cell>
          <cell r="S9009" t="str">
            <v/>
          </cell>
          <cell r="V9009" t="str">
            <v/>
          </cell>
          <cell r="Z9009" t="str">
            <v/>
          </cell>
          <cell r="AA9009" t="str">
            <v/>
          </cell>
          <cell r="AB9009" t="str">
            <v/>
          </cell>
          <cell r="AC9009" t="str">
            <v/>
          </cell>
          <cell r="AD9009" t="str">
            <v/>
          </cell>
          <cell r="AY9009" t="str">
            <v/>
          </cell>
          <cell r="AZ9009" t="str">
            <v/>
          </cell>
          <cell r="BA9009" t="str">
            <v/>
          </cell>
        </row>
        <row r="9010">
          <cell r="B9010" t="str">
            <v>-</v>
          </cell>
          <cell r="E9010" t="str">
            <v/>
          </cell>
          <cell r="G9010" t="str">
            <v/>
          </cell>
          <cell r="J9010" t="str">
            <v/>
          </cell>
          <cell r="O9010" t="str">
            <v/>
          </cell>
          <cell r="P9010" t="str">
            <v/>
          </cell>
          <cell r="Q9010" t="str">
            <v/>
          </cell>
          <cell r="S9010" t="str">
            <v/>
          </cell>
          <cell r="V9010" t="str">
            <v/>
          </cell>
          <cell r="Z9010" t="str">
            <v/>
          </cell>
          <cell r="AA9010" t="str">
            <v/>
          </cell>
          <cell r="AB9010" t="str">
            <v/>
          </cell>
          <cell r="AC9010" t="str">
            <v/>
          </cell>
          <cell r="AD9010" t="str">
            <v/>
          </cell>
          <cell r="AY9010" t="str">
            <v/>
          </cell>
          <cell r="AZ9010" t="str">
            <v/>
          </cell>
          <cell r="BA9010" t="str">
            <v/>
          </cell>
        </row>
        <row r="9011">
          <cell r="B9011" t="str">
            <v>-</v>
          </cell>
          <cell r="E9011" t="str">
            <v/>
          </cell>
          <cell r="G9011" t="str">
            <v/>
          </cell>
          <cell r="J9011" t="str">
            <v/>
          </cell>
          <cell r="O9011" t="str">
            <v/>
          </cell>
          <cell r="P9011" t="str">
            <v/>
          </cell>
          <cell r="Q9011" t="str">
            <v/>
          </cell>
          <cell r="S9011" t="str">
            <v/>
          </cell>
          <cell r="V9011" t="str">
            <v/>
          </cell>
          <cell r="Z9011" t="str">
            <v/>
          </cell>
          <cell r="AA9011" t="str">
            <v/>
          </cell>
          <cell r="AB9011" t="str">
            <v/>
          </cell>
          <cell r="AC9011" t="str">
            <v/>
          </cell>
          <cell r="AD9011" t="str">
            <v/>
          </cell>
          <cell r="AY9011" t="str">
            <v/>
          </cell>
          <cell r="AZ9011" t="str">
            <v/>
          </cell>
          <cell r="BA9011" t="str">
            <v/>
          </cell>
        </row>
        <row r="9012">
          <cell r="B9012" t="str">
            <v>-</v>
          </cell>
          <cell r="E9012" t="str">
            <v/>
          </cell>
          <cell r="G9012" t="str">
            <v/>
          </cell>
          <cell r="J9012" t="str">
            <v/>
          </cell>
          <cell r="O9012" t="str">
            <v/>
          </cell>
          <cell r="P9012" t="str">
            <v/>
          </cell>
          <cell r="Q9012" t="str">
            <v/>
          </cell>
          <cell r="S9012" t="str">
            <v/>
          </cell>
          <cell r="V9012" t="str">
            <v/>
          </cell>
          <cell r="Z9012" t="str">
            <v/>
          </cell>
          <cell r="AA9012" t="str">
            <v/>
          </cell>
          <cell r="AB9012" t="str">
            <v/>
          </cell>
          <cell r="AC9012" t="str">
            <v/>
          </cell>
          <cell r="AD9012" t="str">
            <v/>
          </cell>
          <cell r="AY9012" t="str">
            <v/>
          </cell>
          <cell r="AZ9012" t="str">
            <v/>
          </cell>
          <cell r="BA9012" t="str">
            <v/>
          </cell>
        </row>
        <row r="9013">
          <cell r="B9013" t="str">
            <v>-</v>
          </cell>
          <cell r="E9013" t="str">
            <v/>
          </cell>
          <cell r="G9013" t="str">
            <v/>
          </cell>
          <cell r="J9013" t="str">
            <v/>
          </cell>
          <cell r="O9013" t="str">
            <v/>
          </cell>
          <cell r="P9013" t="str">
            <v/>
          </cell>
          <cell r="Q9013" t="str">
            <v/>
          </cell>
          <cell r="S9013" t="str">
            <v/>
          </cell>
          <cell r="V9013" t="str">
            <v/>
          </cell>
          <cell r="Z9013" t="str">
            <v/>
          </cell>
          <cell r="AA9013" t="str">
            <v/>
          </cell>
          <cell r="AB9013" t="str">
            <v/>
          </cell>
          <cell r="AC9013" t="str">
            <v/>
          </cell>
          <cell r="AD9013" t="str">
            <v/>
          </cell>
          <cell r="AY9013" t="str">
            <v/>
          </cell>
          <cell r="AZ9013" t="str">
            <v/>
          </cell>
          <cell r="BA9013" t="str">
            <v/>
          </cell>
        </row>
        <row r="9014">
          <cell r="B9014" t="str">
            <v>-</v>
          </cell>
          <cell r="E9014" t="str">
            <v/>
          </cell>
          <cell r="G9014" t="str">
            <v/>
          </cell>
          <cell r="J9014" t="str">
            <v/>
          </cell>
          <cell r="O9014" t="str">
            <v/>
          </cell>
          <cell r="P9014" t="str">
            <v/>
          </cell>
          <cell r="Q9014" t="str">
            <v/>
          </cell>
          <cell r="S9014" t="str">
            <v/>
          </cell>
          <cell r="V9014" t="str">
            <v/>
          </cell>
          <cell r="Z9014" t="str">
            <v/>
          </cell>
          <cell r="AA9014" t="str">
            <v/>
          </cell>
          <cell r="AB9014" t="str">
            <v/>
          </cell>
          <cell r="AC9014" t="str">
            <v/>
          </cell>
          <cell r="AD9014" t="str">
            <v/>
          </cell>
          <cell r="AY9014" t="str">
            <v/>
          </cell>
          <cell r="AZ9014" t="str">
            <v/>
          </cell>
          <cell r="BA9014" t="str">
            <v/>
          </cell>
        </row>
        <row r="9015">
          <cell r="B9015" t="str">
            <v>-</v>
          </cell>
          <cell r="E9015" t="str">
            <v/>
          </cell>
          <cell r="G9015" t="str">
            <v/>
          </cell>
          <cell r="J9015" t="str">
            <v/>
          </cell>
          <cell r="O9015" t="str">
            <v/>
          </cell>
          <cell r="P9015" t="str">
            <v/>
          </cell>
          <cell r="Q9015" t="str">
            <v/>
          </cell>
          <cell r="S9015" t="str">
            <v/>
          </cell>
          <cell r="V9015" t="str">
            <v/>
          </cell>
          <cell r="Z9015" t="str">
            <v/>
          </cell>
          <cell r="AA9015" t="str">
            <v/>
          </cell>
          <cell r="AB9015" t="str">
            <v/>
          </cell>
          <cell r="AC9015" t="str">
            <v/>
          </cell>
          <cell r="AD9015" t="str">
            <v/>
          </cell>
          <cell r="AY9015" t="str">
            <v/>
          </cell>
          <cell r="AZ9015" t="str">
            <v/>
          </cell>
          <cell r="BA9015" t="str">
            <v/>
          </cell>
        </row>
        <row r="9016">
          <cell r="B9016" t="str">
            <v>-</v>
          </cell>
          <cell r="E9016" t="str">
            <v/>
          </cell>
          <cell r="G9016" t="str">
            <v/>
          </cell>
          <cell r="J9016" t="str">
            <v/>
          </cell>
          <cell r="O9016" t="str">
            <v/>
          </cell>
          <cell r="P9016" t="str">
            <v/>
          </cell>
          <cell r="Q9016" t="str">
            <v/>
          </cell>
          <cell r="S9016" t="str">
            <v/>
          </cell>
          <cell r="V9016" t="str">
            <v/>
          </cell>
          <cell r="Z9016" t="str">
            <v/>
          </cell>
          <cell r="AA9016" t="str">
            <v/>
          </cell>
          <cell r="AB9016" t="str">
            <v/>
          </cell>
          <cell r="AC9016" t="str">
            <v/>
          </cell>
          <cell r="AD9016" t="str">
            <v/>
          </cell>
          <cell r="AY9016" t="str">
            <v/>
          </cell>
          <cell r="AZ9016" t="str">
            <v/>
          </cell>
          <cell r="BA9016" t="str">
            <v/>
          </cell>
        </row>
        <row r="9017">
          <cell r="B9017" t="str">
            <v>-</v>
          </cell>
          <cell r="E9017" t="str">
            <v/>
          </cell>
          <cell r="G9017" t="str">
            <v/>
          </cell>
          <cell r="J9017" t="str">
            <v/>
          </cell>
          <cell r="O9017" t="str">
            <v/>
          </cell>
          <cell r="P9017" t="str">
            <v/>
          </cell>
          <cell r="Q9017" t="str">
            <v/>
          </cell>
          <cell r="S9017" t="str">
            <v/>
          </cell>
          <cell r="V9017" t="str">
            <v/>
          </cell>
          <cell r="Z9017" t="str">
            <v/>
          </cell>
          <cell r="AA9017" t="str">
            <v/>
          </cell>
          <cell r="AB9017" t="str">
            <v/>
          </cell>
          <cell r="AC9017" t="str">
            <v/>
          </cell>
          <cell r="AD9017" t="str">
            <v/>
          </cell>
          <cell r="AY9017" t="str">
            <v/>
          </cell>
          <cell r="AZ9017" t="str">
            <v/>
          </cell>
          <cell r="BA9017" t="str">
            <v/>
          </cell>
        </row>
        <row r="9018">
          <cell r="B9018" t="str">
            <v>-</v>
          </cell>
          <cell r="E9018" t="str">
            <v/>
          </cell>
          <cell r="G9018" t="str">
            <v/>
          </cell>
          <cell r="J9018" t="str">
            <v/>
          </cell>
          <cell r="O9018" t="str">
            <v/>
          </cell>
          <cell r="P9018" t="str">
            <v/>
          </cell>
          <cell r="Q9018" t="str">
            <v/>
          </cell>
          <cell r="S9018" t="str">
            <v/>
          </cell>
          <cell r="V9018" t="str">
            <v/>
          </cell>
          <cell r="Z9018" t="str">
            <v/>
          </cell>
          <cell r="AA9018" t="str">
            <v/>
          </cell>
          <cell r="AB9018" t="str">
            <v/>
          </cell>
          <cell r="AC9018" t="str">
            <v/>
          </cell>
          <cell r="AD9018" t="str">
            <v/>
          </cell>
          <cell r="AY9018" t="str">
            <v/>
          </cell>
          <cell r="AZ9018" t="str">
            <v/>
          </cell>
          <cell r="BA9018" t="str">
            <v/>
          </cell>
        </row>
        <row r="9019">
          <cell r="B9019" t="str">
            <v>-</v>
          </cell>
          <cell r="E9019" t="str">
            <v/>
          </cell>
          <cell r="G9019" t="str">
            <v/>
          </cell>
          <cell r="J9019" t="str">
            <v/>
          </cell>
          <cell r="O9019" t="str">
            <v/>
          </cell>
          <cell r="P9019" t="str">
            <v/>
          </cell>
          <cell r="Q9019" t="str">
            <v/>
          </cell>
          <cell r="S9019" t="str">
            <v/>
          </cell>
          <cell r="V9019" t="str">
            <v/>
          </cell>
          <cell r="Z9019" t="str">
            <v/>
          </cell>
          <cell r="AA9019" t="str">
            <v/>
          </cell>
          <cell r="AB9019" t="str">
            <v/>
          </cell>
          <cell r="AC9019" t="str">
            <v/>
          </cell>
          <cell r="AD9019" t="str">
            <v/>
          </cell>
          <cell r="AY9019" t="str">
            <v/>
          </cell>
          <cell r="AZ9019" t="str">
            <v/>
          </cell>
          <cell r="BA9019" t="str">
            <v/>
          </cell>
        </row>
        <row r="9020">
          <cell r="B9020" t="str">
            <v>-</v>
          </cell>
          <cell r="E9020" t="str">
            <v/>
          </cell>
          <cell r="G9020" t="str">
            <v/>
          </cell>
          <cell r="J9020" t="str">
            <v/>
          </cell>
          <cell r="O9020" t="str">
            <v/>
          </cell>
          <cell r="P9020" t="str">
            <v/>
          </cell>
          <cell r="Q9020" t="str">
            <v/>
          </cell>
          <cell r="S9020" t="str">
            <v/>
          </cell>
          <cell r="V9020" t="str">
            <v/>
          </cell>
          <cell r="Z9020" t="str">
            <v/>
          </cell>
          <cell r="AA9020" t="str">
            <v/>
          </cell>
          <cell r="AB9020" t="str">
            <v/>
          </cell>
          <cell r="AC9020" t="str">
            <v/>
          </cell>
          <cell r="AD9020" t="str">
            <v/>
          </cell>
          <cell r="AY9020" t="str">
            <v/>
          </cell>
          <cell r="AZ9020" t="str">
            <v/>
          </cell>
          <cell r="BA9020" t="str">
            <v/>
          </cell>
        </row>
        <row r="9021">
          <cell r="B9021" t="str">
            <v>-</v>
          </cell>
          <cell r="E9021" t="str">
            <v/>
          </cell>
          <cell r="G9021" t="str">
            <v/>
          </cell>
          <cell r="J9021" t="str">
            <v/>
          </cell>
          <cell r="O9021" t="str">
            <v/>
          </cell>
          <cell r="P9021" t="str">
            <v/>
          </cell>
          <cell r="Q9021" t="str">
            <v/>
          </cell>
          <cell r="S9021" t="str">
            <v/>
          </cell>
          <cell r="V9021" t="str">
            <v/>
          </cell>
          <cell r="Z9021" t="str">
            <v/>
          </cell>
          <cell r="AA9021" t="str">
            <v/>
          </cell>
          <cell r="AB9021" t="str">
            <v/>
          </cell>
          <cell r="AC9021" t="str">
            <v/>
          </cell>
          <cell r="AD9021" t="str">
            <v/>
          </cell>
          <cell r="AY9021" t="str">
            <v/>
          </cell>
          <cell r="AZ9021" t="str">
            <v/>
          </cell>
          <cell r="BA9021" t="str">
            <v/>
          </cell>
        </row>
        <row r="9022">
          <cell r="B9022" t="str">
            <v>-</v>
          </cell>
          <cell r="E9022" t="str">
            <v/>
          </cell>
          <cell r="G9022" t="str">
            <v/>
          </cell>
          <cell r="J9022" t="str">
            <v/>
          </cell>
          <cell r="O9022" t="str">
            <v/>
          </cell>
          <cell r="P9022" t="str">
            <v/>
          </cell>
          <cell r="Q9022" t="str">
            <v/>
          </cell>
          <cell r="S9022" t="str">
            <v/>
          </cell>
          <cell r="V9022" t="str">
            <v/>
          </cell>
          <cell r="Z9022" t="str">
            <v/>
          </cell>
          <cell r="AA9022" t="str">
            <v/>
          </cell>
          <cell r="AB9022" t="str">
            <v/>
          </cell>
          <cell r="AC9022" t="str">
            <v/>
          </cell>
          <cell r="AD9022" t="str">
            <v/>
          </cell>
          <cell r="AY9022" t="str">
            <v/>
          </cell>
          <cell r="AZ9022" t="str">
            <v/>
          </cell>
          <cell r="BA9022" t="str">
            <v/>
          </cell>
        </row>
        <row r="9023">
          <cell r="B9023" t="str">
            <v>-</v>
          </cell>
          <cell r="E9023" t="str">
            <v/>
          </cell>
          <cell r="G9023" t="str">
            <v/>
          </cell>
          <cell r="J9023" t="str">
            <v/>
          </cell>
          <cell r="O9023" t="str">
            <v/>
          </cell>
          <cell r="P9023" t="str">
            <v/>
          </cell>
          <cell r="Q9023" t="str">
            <v/>
          </cell>
          <cell r="S9023" t="str">
            <v/>
          </cell>
          <cell r="V9023" t="str">
            <v/>
          </cell>
          <cell r="Z9023" t="str">
            <v/>
          </cell>
          <cell r="AA9023" t="str">
            <v/>
          </cell>
          <cell r="AB9023" t="str">
            <v/>
          </cell>
          <cell r="AC9023" t="str">
            <v/>
          </cell>
          <cell r="AD9023" t="str">
            <v/>
          </cell>
          <cell r="AY9023" t="str">
            <v/>
          </cell>
          <cell r="AZ9023" t="str">
            <v/>
          </cell>
          <cell r="BA9023" t="str">
            <v/>
          </cell>
        </row>
        <row r="9024">
          <cell r="B9024" t="str">
            <v>-</v>
          </cell>
          <cell r="E9024" t="str">
            <v/>
          </cell>
          <cell r="G9024" t="str">
            <v/>
          </cell>
          <cell r="J9024" t="str">
            <v/>
          </cell>
          <cell r="O9024" t="str">
            <v/>
          </cell>
          <cell r="P9024" t="str">
            <v/>
          </cell>
          <cell r="Q9024" t="str">
            <v/>
          </cell>
          <cell r="S9024" t="str">
            <v/>
          </cell>
          <cell r="V9024" t="str">
            <v/>
          </cell>
          <cell r="Z9024" t="str">
            <v/>
          </cell>
          <cell r="AA9024" t="str">
            <v/>
          </cell>
          <cell r="AB9024" t="str">
            <v/>
          </cell>
          <cell r="AC9024" t="str">
            <v/>
          </cell>
          <cell r="AD9024" t="str">
            <v/>
          </cell>
          <cell r="AY9024" t="str">
            <v/>
          </cell>
          <cell r="AZ9024" t="str">
            <v/>
          </cell>
          <cell r="BA9024" t="str">
            <v/>
          </cell>
        </row>
        <row r="9025">
          <cell r="B9025" t="str">
            <v>-</v>
          </cell>
          <cell r="E9025" t="str">
            <v/>
          </cell>
          <cell r="G9025" t="str">
            <v/>
          </cell>
          <cell r="J9025" t="str">
            <v/>
          </cell>
          <cell r="O9025" t="str">
            <v/>
          </cell>
          <cell r="P9025" t="str">
            <v/>
          </cell>
          <cell r="Q9025" t="str">
            <v/>
          </cell>
          <cell r="S9025" t="str">
            <v/>
          </cell>
          <cell r="V9025" t="str">
            <v/>
          </cell>
          <cell r="Z9025" t="str">
            <v/>
          </cell>
          <cell r="AA9025" t="str">
            <v/>
          </cell>
          <cell r="AB9025" t="str">
            <v/>
          </cell>
          <cell r="AC9025" t="str">
            <v/>
          </cell>
          <cell r="AD9025" t="str">
            <v/>
          </cell>
          <cell r="AY9025" t="str">
            <v/>
          </cell>
          <cell r="AZ9025" t="str">
            <v/>
          </cell>
          <cell r="BA9025" t="str">
            <v/>
          </cell>
        </row>
        <row r="9026">
          <cell r="B9026" t="str">
            <v>-</v>
          </cell>
          <cell r="E9026" t="str">
            <v/>
          </cell>
          <cell r="G9026" t="str">
            <v/>
          </cell>
          <cell r="J9026" t="str">
            <v/>
          </cell>
          <cell r="O9026" t="str">
            <v/>
          </cell>
          <cell r="P9026" t="str">
            <v/>
          </cell>
          <cell r="Q9026" t="str">
            <v/>
          </cell>
          <cell r="S9026" t="str">
            <v/>
          </cell>
          <cell r="V9026" t="str">
            <v/>
          </cell>
          <cell r="Z9026" t="str">
            <v/>
          </cell>
          <cell r="AA9026" t="str">
            <v/>
          </cell>
          <cell r="AB9026" t="str">
            <v/>
          </cell>
          <cell r="AC9026" t="str">
            <v/>
          </cell>
          <cell r="AD9026" t="str">
            <v/>
          </cell>
          <cell r="AY9026" t="str">
            <v/>
          </cell>
          <cell r="AZ9026" t="str">
            <v/>
          </cell>
          <cell r="BA9026" t="str">
            <v/>
          </cell>
        </row>
        <row r="9027">
          <cell r="B9027" t="str">
            <v>-</v>
          </cell>
          <cell r="E9027" t="str">
            <v/>
          </cell>
          <cell r="G9027" t="str">
            <v/>
          </cell>
          <cell r="J9027" t="str">
            <v/>
          </cell>
          <cell r="O9027" t="str">
            <v/>
          </cell>
          <cell r="P9027" t="str">
            <v/>
          </cell>
          <cell r="Q9027" t="str">
            <v/>
          </cell>
          <cell r="S9027" t="str">
            <v/>
          </cell>
          <cell r="V9027" t="str">
            <v/>
          </cell>
          <cell r="Z9027" t="str">
            <v/>
          </cell>
          <cell r="AA9027" t="str">
            <v/>
          </cell>
          <cell r="AB9027" t="str">
            <v/>
          </cell>
          <cell r="AC9027" t="str">
            <v/>
          </cell>
          <cell r="AD9027" t="str">
            <v/>
          </cell>
          <cell r="AY9027" t="str">
            <v/>
          </cell>
          <cell r="AZ9027" t="str">
            <v/>
          </cell>
          <cell r="BA9027" t="str">
            <v/>
          </cell>
        </row>
        <row r="9028">
          <cell r="B9028" t="str">
            <v>-</v>
          </cell>
          <cell r="E9028" t="str">
            <v/>
          </cell>
          <cell r="G9028" t="str">
            <v/>
          </cell>
          <cell r="J9028" t="str">
            <v/>
          </cell>
          <cell r="O9028" t="str">
            <v/>
          </cell>
          <cell r="P9028" t="str">
            <v/>
          </cell>
          <cell r="Q9028" t="str">
            <v/>
          </cell>
          <cell r="S9028" t="str">
            <v/>
          </cell>
          <cell r="V9028" t="str">
            <v/>
          </cell>
          <cell r="Z9028" t="str">
            <v/>
          </cell>
          <cell r="AA9028" t="str">
            <v/>
          </cell>
          <cell r="AB9028" t="str">
            <v/>
          </cell>
          <cell r="AC9028" t="str">
            <v/>
          </cell>
          <cell r="AD9028" t="str">
            <v/>
          </cell>
          <cell r="AY9028" t="str">
            <v/>
          </cell>
          <cell r="AZ9028" t="str">
            <v/>
          </cell>
          <cell r="BA9028" t="str">
            <v/>
          </cell>
        </row>
        <row r="9029">
          <cell r="B9029" t="str">
            <v>-</v>
          </cell>
          <cell r="E9029" t="str">
            <v/>
          </cell>
          <cell r="G9029" t="str">
            <v/>
          </cell>
          <cell r="J9029" t="str">
            <v/>
          </cell>
          <cell r="O9029" t="str">
            <v/>
          </cell>
          <cell r="P9029" t="str">
            <v/>
          </cell>
          <cell r="Q9029" t="str">
            <v/>
          </cell>
          <cell r="S9029" t="str">
            <v/>
          </cell>
          <cell r="V9029" t="str">
            <v/>
          </cell>
          <cell r="Z9029" t="str">
            <v/>
          </cell>
          <cell r="AA9029" t="str">
            <v/>
          </cell>
          <cell r="AB9029" t="str">
            <v/>
          </cell>
          <cell r="AC9029" t="str">
            <v/>
          </cell>
          <cell r="AD9029" t="str">
            <v/>
          </cell>
          <cell r="AY9029" t="str">
            <v/>
          </cell>
          <cell r="AZ9029" t="str">
            <v/>
          </cell>
          <cell r="BA9029" t="str">
            <v/>
          </cell>
        </row>
        <row r="9030">
          <cell r="B9030" t="str">
            <v>-</v>
          </cell>
          <cell r="E9030" t="str">
            <v/>
          </cell>
          <cell r="G9030" t="str">
            <v/>
          </cell>
          <cell r="J9030" t="str">
            <v/>
          </cell>
          <cell r="O9030" t="str">
            <v/>
          </cell>
          <cell r="P9030" t="str">
            <v/>
          </cell>
          <cell r="Q9030" t="str">
            <v/>
          </cell>
          <cell r="S9030" t="str">
            <v/>
          </cell>
          <cell r="V9030" t="str">
            <v/>
          </cell>
          <cell r="Z9030" t="str">
            <v/>
          </cell>
          <cell r="AA9030" t="str">
            <v/>
          </cell>
          <cell r="AB9030" t="str">
            <v/>
          </cell>
          <cell r="AC9030" t="str">
            <v/>
          </cell>
          <cell r="AD9030" t="str">
            <v/>
          </cell>
          <cell r="AY9030" t="str">
            <v/>
          </cell>
          <cell r="AZ9030" t="str">
            <v/>
          </cell>
          <cell r="BA9030" t="str">
            <v/>
          </cell>
        </row>
        <row r="9031">
          <cell r="B9031" t="str">
            <v>-</v>
          </cell>
          <cell r="E9031" t="str">
            <v/>
          </cell>
          <cell r="G9031" t="str">
            <v/>
          </cell>
          <cell r="J9031" t="str">
            <v/>
          </cell>
          <cell r="O9031" t="str">
            <v/>
          </cell>
          <cell r="P9031" t="str">
            <v/>
          </cell>
          <cell r="Q9031" t="str">
            <v/>
          </cell>
          <cell r="S9031" t="str">
            <v/>
          </cell>
          <cell r="V9031" t="str">
            <v/>
          </cell>
          <cell r="Z9031" t="str">
            <v/>
          </cell>
          <cell r="AA9031" t="str">
            <v/>
          </cell>
          <cell r="AB9031" t="str">
            <v/>
          </cell>
          <cell r="AC9031" t="str">
            <v/>
          </cell>
          <cell r="AD9031" t="str">
            <v/>
          </cell>
          <cell r="AY9031" t="str">
            <v/>
          </cell>
          <cell r="AZ9031" t="str">
            <v/>
          </cell>
          <cell r="BA9031" t="str">
            <v/>
          </cell>
        </row>
        <row r="9032">
          <cell r="B9032" t="str">
            <v>-</v>
          </cell>
          <cell r="E9032" t="str">
            <v/>
          </cell>
          <cell r="G9032" t="str">
            <v/>
          </cell>
          <cell r="J9032" t="str">
            <v/>
          </cell>
          <cell r="O9032" t="str">
            <v/>
          </cell>
          <cell r="P9032" t="str">
            <v/>
          </cell>
          <cell r="Q9032" t="str">
            <v/>
          </cell>
          <cell r="S9032" t="str">
            <v/>
          </cell>
          <cell r="V9032" t="str">
            <v/>
          </cell>
          <cell r="Z9032" t="str">
            <v/>
          </cell>
          <cell r="AA9032" t="str">
            <v/>
          </cell>
          <cell r="AB9032" t="str">
            <v/>
          </cell>
          <cell r="AC9032" t="str">
            <v/>
          </cell>
          <cell r="AD9032" t="str">
            <v/>
          </cell>
          <cell r="AY9032" t="str">
            <v/>
          </cell>
          <cell r="AZ9032" t="str">
            <v/>
          </cell>
          <cell r="BA9032" t="str">
            <v/>
          </cell>
        </row>
        <row r="9033">
          <cell r="B9033" t="str">
            <v>-</v>
          </cell>
          <cell r="E9033" t="str">
            <v/>
          </cell>
          <cell r="G9033" t="str">
            <v/>
          </cell>
          <cell r="J9033" t="str">
            <v/>
          </cell>
          <cell r="O9033" t="str">
            <v/>
          </cell>
          <cell r="P9033" t="str">
            <v/>
          </cell>
          <cell r="Q9033" t="str">
            <v/>
          </cell>
          <cell r="S9033" t="str">
            <v/>
          </cell>
          <cell r="V9033" t="str">
            <v/>
          </cell>
          <cell r="Z9033" t="str">
            <v/>
          </cell>
          <cell r="AA9033" t="str">
            <v/>
          </cell>
          <cell r="AB9033" t="str">
            <v/>
          </cell>
          <cell r="AC9033" t="str">
            <v/>
          </cell>
          <cell r="AD9033" t="str">
            <v/>
          </cell>
          <cell r="AY9033" t="str">
            <v/>
          </cell>
          <cell r="AZ9033" t="str">
            <v/>
          </cell>
          <cell r="BA9033" t="str">
            <v/>
          </cell>
        </row>
        <row r="9034">
          <cell r="B9034" t="str">
            <v>-</v>
          </cell>
          <cell r="E9034" t="str">
            <v/>
          </cell>
          <cell r="G9034" t="str">
            <v/>
          </cell>
          <cell r="J9034" t="str">
            <v/>
          </cell>
          <cell r="O9034" t="str">
            <v/>
          </cell>
          <cell r="P9034" t="str">
            <v/>
          </cell>
          <cell r="Q9034" t="str">
            <v/>
          </cell>
          <cell r="S9034" t="str">
            <v/>
          </cell>
          <cell r="V9034" t="str">
            <v/>
          </cell>
          <cell r="Z9034" t="str">
            <v/>
          </cell>
          <cell r="AA9034" t="str">
            <v/>
          </cell>
          <cell r="AB9034" t="str">
            <v/>
          </cell>
          <cell r="AC9034" t="str">
            <v/>
          </cell>
          <cell r="AD9034" t="str">
            <v/>
          </cell>
          <cell r="AY9034" t="str">
            <v/>
          </cell>
          <cell r="AZ9034" t="str">
            <v/>
          </cell>
          <cell r="BA9034" t="str">
            <v/>
          </cell>
        </row>
        <row r="9035">
          <cell r="B9035" t="str">
            <v>-</v>
          </cell>
          <cell r="E9035" t="str">
            <v/>
          </cell>
          <cell r="G9035" t="str">
            <v/>
          </cell>
          <cell r="J9035" t="str">
            <v/>
          </cell>
          <cell r="O9035" t="str">
            <v/>
          </cell>
          <cell r="P9035" t="str">
            <v/>
          </cell>
          <cell r="Q9035" t="str">
            <v/>
          </cell>
          <cell r="S9035" t="str">
            <v/>
          </cell>
          <cell r="V9035" t="str">
            <v/>
          </cell>
          <cell r="Z9035" t="str">
            <v/>
          </cell>
          <cell r="AA9035" t="str">
            <v/>
          </cell>
          <cell r="AB9035" t="str">
            <v/>
          </cell>
          <cell r="AC9035" t="str">
            <v/>
          </cell>
          <cell r="AD9035" t="str">
            <v/>
          </cell>
          <cell r="AY9035" t="str">
            <v/>
          </cell>
          <cell r="AZ9035" t="str">
            <v/>
          </cell>
          <cell r="BA9035" t="str">
            <v/>
          </cell>
        </row>
        <row r="9036">
          <cell r="B9036" t="str">
            <v>-</v>
          </cell>
          <cell r="E9036" t="str">
            <v/>
          </cell>
          <cell r="G9036" t="str">
            <v/>
          </cell>
          <cell r="J9036" t="str">
            <v/>
          </cell>
          <cell r="O9036" t="str">
            <v/>
          </cell>
          <cell r="P9036" t="str">
            <v/>
          </cell>
          <cell r="Q9036" t="str">
            <v/>
          </cell>
          <cell r="S9036" t="str">
            <v/>
          </cell>
          <cell r="V9036" t="str">
            <v/>
          </cell>
          <cell r="Z9036" t="str">
            <v/>
          </cell>
          <cell r="AA9036" t="str">
            <v/>
          </cell>
          <cell r="AB9036" t="str">
            <v/>
          </cell>
          <cell r="AC9036" t="str">
            <v/>
          </cell>
          <cell r="AD9036" t="str">
            <v/>
          </cell>
          <cell r="AY9036" t="str">
            <v/>
          </cell>
          <cell r="AZ9036" t="str">
            <v/>
          </cell>
          <cell r="BA9036" t="str">
            <v/>
          </cell>
        </row>
        <row r="9037">
          <cell r="B9037" t="str">
            <v>-</v>
          </cell>
          <cell r="E9037" t="str">
            <v/>
          </cell>
          <cell r="G9037" t="str">
            <v/>
          </cell>
          <cell r="J9037" t="str">
            <v/>
          </cell>
          <cell r="O9037" t="str">
            <v/>
          </cell>
          <cell r="P9037" t="str">
            <v/>
          </cell>
          <cell r="Q9037" t="str">
            <v/>
          </cell>
          <cell r="S9037" t="str">
            <v/>
          </cell>
          <cell r="V9037" t="str">
            <v/>
          </cell>
          <cell r="Z9037" t="str">
            <v/>
          </cell>
          <cell r="AA9037" t="str">
            <v/>
          </cell>
          <cell r="AB9037" t="str">
            <v/>
          </cell>
          <cell r="AC9037" t="str">
            <v/>
          </cell>
          <cell r="AD9037" t="str">
            <v/>
          </cell>
          <cell r="AY9037" t="str">
            <v/>
          </cell>
          <cell r="AZ9037" t="str">
            <v/>
          </cell>
          <cell r="BA9037" t="str">
            <v/>
          </cell>
        </row>
        <row r="9038">
          <cell r="B9038" t="str">
            <v>-</v>
          </cell>
          <cell r="E9038" t="str">
            <v/>
          </cell>
          <cell r="G9038" t="str">
            <v/>
          </cell>
          <cell r="J9038" t="str">
            <v/>
          </cell>
          <cell r="O9038" t="str">
            <v/>
          </cell>
          <cell r="P9038" t="str">
            <v/>
          </cell>
          <cell r="Q9038" t="str">
            <v/>
          </cell>
          <cell r="S9038" t="str">
            <v/>
          </cell>
          <cell r="V9038" t="str">
            <v/>
          </cell>
          <cell r="Z9038" t="str">
            <v/>
          </cell>
          <cell r="AA9038" t="str">
            <v/>
          </cell>
          <cell r="AB9038" t="str">
            <v/>
          </cell>
          <cell r="AC9038" t="str">
            <v/>
          </cell>
          <cell r="AD9038" t="str">
            <v/>
          </cell>
          <cell r="AY9038" t="str">
            <v/>
          </cell>
          <cell r="AZ9038" t="str">
            <v/>
          </cell>
          <cell r="BA9038" t="str">
            <v/>
          </cell>
        </row>
        <row r="9039">
          <cell r="B9039" t="str">
            <v>-</v>
          </cell>
          <cell r="E9039" t="str">
            <v/>
          </cell>
          <cell r="G9039" t="str">
            <v/>
          </cell>
          <cell r="J9039" t="str">
            <v/>
          </cell>
          <cell r="O9039" t="str">
            <v/>
          </cell>
          <cell r="P9039" t="str">
            <v/>
          </cell>
          <cell r="Q9039" t="str">
            <v/>
          </cell>
          <cell r="S9039" t="str">
            <v/>
          </cell>
          <cell r="V9039" t="str">
            <v/>
          </cell>
          <cell r="Z9039" t="str">
            <v/>
          </cell>
          <cell r="AA9039" t="str">
            <v/>
          </cell>
          <cell r="AB9039" t="str">
            <v/>
          </cell>
          <cell r="AC9039" t="str">
            <v/>
          </cell>
          <cell r="AD9039" t="str">
            <v/>
          </cell>
          <cell r="AY9039" t="str">
            <v/>
          </cell>
          <cell r="AZ9039" t="str">
            <v/>
          </cell>
          <cell r="BA9039" t="str">
            <v/>
          </cell>
        </row>
        <row r="9040">
          <cell r="B9040" t="str">
            <v>-</v>
          </cell>
          <cell r="E9040" t="str">
            <v/>
          </cell>
          <cell r="G9040" t="str">
            <v/>
          </cell>
          <cell r="J9040" t="str">
            <v/>
          </cell>
          <cell r="O9040" t="str">
            <v/>
          </cell>
          <cell r="P9040" t="str">
            <v/>
          </cell>
          <cell r="Q9040" t="str">
            <v/>
          </cell>
          <cell r="S9040" t="str">
            <v/>
          </cell>
          <cell r="V9040" t="str">
            <v/>
          </cell>
          <cell r="Z9040" t="str">
            <v/>
          </cell>
          <cell r="AA9040" t="str">
            <v/>
          </cell>
          <cell r="AB9040" t="str">
            <v/>
          </cell>
          <cell r="AC9040" t="str">
            <v/>
          </cell>
          <cell r="AD9040" t="str">
            <v/>
          </cell>
          <cell r="AY9040" t="str">
            <v/>
          </cell>
          <cell r="AZ9040" t="str">
            <v/>
          </cell>
          <cell r="BA9040" t="str">
            <v/>
          </cell>
        </row>
        <row r="9041">
          <cell r="B9041" t="str">
            <v>-</v>
          </cell>
          <cell r="E9041" t="str">
            <v/>
          </cell>
          <cell r="G9041" t="str">
            <v/>
          </cell>
          <cell r="J9041" t="str">
            <v/>
          </cell>
          <cell r="O9041" t="str">
            <v/>
          </cell>
          <cell r="P9041" t="str">
            <v/>
          </cell>
          <cell r="Q9041" t="str">
            <v/>
          </cell>
          <cell r="S9041" t="str">
            <v/>
          </cell>
          <cell r="V9041" t="str">
            <v/>
          </cell>
          <cell r="Z9041" t="str">
            <v/>
          </cell>
          <cell r="AA9041" t="str">
            <v/>
          </cell>
          <cell r="AB9041" t="str">
            <v/>
          </cell>
          <cell r="AC9041" t="str">
            <v/>
          </cell>
          <cell r="AD9041" t="str">
            <v/>
          </cell>
          <cell r="AY9041" t="str">
            <v/>
          </cell>
          <cell r="AZ9041" t="str">
            <v/>
          </cell>
          <cell r="BA9041" t="str">
            <v/>
          </cell>
        </row>
        <row r="9042">
          <cell r="B9042" t="str">
            <v>-</v>
          </cell>
          <cell r="E9042" t="str">
            <v/>
          </cell>
          <cell r="G9042" t="str">
            <v/>
          </cell>
          <cell r="J9042" t="str">
            <v/>
          </cell>
          <cell r="O9042" t="str">
            <v/>
          </cell>
          <cell r="P9042" t="str">
            <v/>
          </cell>
          <cell r="Q9042" t="str">
            <v/>
          </cell>
          <cell r="S9042" t="str">
            <v/>
          </cell>
          <cell r="V9042" t="str">
            <v/>
          </cell>
          <cell r="Z9042" t="str">
            <v/>
          </cell>
          <cell r="AA9042" t="str">
            <v/>
          </cell>
          <cell r="AB9042" t="str">
            <v/>
          </cell>
          <cell r="AC9042" t="str">
            <v/>
          </cell>
          <cell r="AD9042" t="str">
            <v/>
          </cell>
          <cell r="AY9042" t="str">
            <v/>
          </cell>
          <cell r="AZ9042" t="str">
            <v/>
          </cell>
          <cell r="BA9042" t="str">
            <v/>
          </cell>
        </row>
        <row r="9043">
          <cell r="B9043" t="str">
            <v>-</v>
          </cell>
          <cell r="E9043" t="str">
            <v/>
          </cell>
          <cell r="G9043" t="str">
            <v/>
          </cell>
          <cell r="J9043" t="str">
            <v/>
          </cell>
          <cell r="O9043" t="str">
            <v/>
          </cell>
          <cell r="P9043" t="str">
            <v/>
          </cell>
          <cell r="Q9043" t="str">
            <v/>
          </cell>
          <cell r="S9043" t="str">
            <v/>
          </cell>
          <cell r="V9043" t="str">
            <v/>
          </cell>
          <cell r="Z9043" t="str">
            <v/>
          </cell>
          <cell r="AA9043" t="str">
            <v/>
          </cell>
          <cell r="AB9043" t="str">
            <v/>
          </cell>
          <cell r="AC9043" t="str">
            <v/>
          </cell>
          <cell r="AD9043" t="str">
            <v/>
          </cell>
          <cell r="AY9043" t="str">
            <v/>
          </cell>
          <cell r="AZ9043" t="str">
            <v/>
          </cell>
          <cell r="BA9043" t="str">
            <v/>
          </cell>
        </row>
        <row r="9044">
          <cell r="B9044" t="str">
            <v>-</v>
          </cell>
          <cell r="E9044" t="str">
            <v/>
          </cell>
          <cell r="G9044" t="str">
            <v/>
          </cell>
          <cell r="J9044" t="str">
            <v/>
          </cell>
          <cell r="O9044" t="str">
            <v/>
          </cell>
          <cell r="P9044" t="str">
            <v/>
          </cell>
          <cell r="Q9044" t="str">
            <v/>
          </cell>
          <cell r="S9044" t="str">
            <v/>
          </cell>
          <cell r="V9044" t="str">
            <v/>
          </cell>
          <cell r="Z9044" t="str">
            <v/>
          </cell>
          <cell r="AA9044" t="str">
            <v/>
          </cell>
          <cell r="AB9044" t="str">
            <v/>
          </cell>
          <cell r="AC9044" t="str">
            <v/>
          </cell>
          <cell r="AD9044" t="str">
            <v/>
          </cell>
          <cell r="AY9044" t="str">
            <v/>
          </cell>
          <cell r="AZ9044" t="str">
            <v/>
          </cell>
          <cell r="BA9044" t="str">
            <v/>
          </cell>
        </row>
        <row r="9045">
          <cell r="B9045" t="str">
            <v>-</v>
          </cell>
          <cell r="E9045" t="str">
            <v/>
          </cell>
          <cell r="G9045" t="str">
            <v/>
          </cell>
          <cell r="J9045" t="str">
            <v/>
          </cell>
          <cell r="O9045" t="str">
            <v/>
          </cell>
          <cell r="P9045" t="str">
            <v/>
          </cell>
          <cell r="Q9045" t="str">
            <v/>
          </cell>
          <cell r="S9045" t="str">
            <v/>
          </cell>
          <cell r="V9045" t="str">
            <v/>
          </cell>
          <cell r="Z9045" t="str">
            <v/>
          </cell>
          <cell r="AA9045" t="str">
            <v/>
          </cell>
          <cell r="AB9045" t="str">
            <v/>
          </cell>
          <cell r="AC9045" t="str">
            <v/>
          </cell>
          <cell r="AD9045" t="str">
            <v/>
          </cell>
          <cell r="AY9045" t="str">
            <v/>
          </cell>
          <cell r="AZ9045" t="str">
            <v/>
          </cell>
          <cell r="BA9045" t="str">
            <v/>
          </cell>
        </row>
        <row r="9046">
          <cell r="B9046" t="str">
            <v>-</v>
          </cell>
          <cell r="E9046" t="str">
            <v/>
          </cell>
          <cell r="G9046" t="str">
            <v/>
          </cell>
          <cell r="J9046" t="str">
            <v/>
          </cell>
          <cell r="O9046" t="str">
            <v/>
          </cell>
          <cell r="P9046" t="str">
            <v/>
          </cell>
          <cell r="Q9046" t="str">
            <v/>
          </cell>
          <cell r="S9046" t="str">
            <v/>
          </cell>
          <cell r="V9046" t="str">
            <v/>
          </cell>
          <cell r="Z9046" t="str">
            <v/>
          </cell>
          <cell r="AA9046" t="str">
            <v/>
          </cell>
          <cell r="AB9046" t="str">
            <v/>
          </cell>
          <cell r="AC9046" t="str">
            <v/>
          </cell>
          <cell r="AD9046" t="str">
            <v/>
          </cell>
          <cell r="AY9046" t="str">
            <v/>
          </cell>
          <cell r="AZ9046" t="str">
            <v/>
          </cell>
          <cell r="BA9046" t="str">
            <v/>
          </cell>
        </row>
        <row r="9047">
          <cell r="B9047" t="str">
            <v>-</v>
          </cell>
          <cell r="E9047" t="str">
            <v/>
          </cell>
          <cell r="G9047" t="str">
            <v/>
          </cell>
          <cell r="J9047" t="str">
            <v/>
          </cell>
          <cell r="O9047" t="str">
            <v/>
          </cell>
          <cell r="P9047" t="str">
            <v/>
          </cell>
          <cell r="Q9047" t="str">
            <v/>
          </cell>
          <cell r="S9047" t="str">
            <v/>
          </cell>
          <cell r="V9047" t="str">
            <v/>
          </cell>
          <cell r="Z9047" t="str">
            <v/>
          </cell>
          <cell r="AA9047" t="str">
            <v/>
          </cell>
          <cell r="AB9047" t="str">
            <v/>
          </cell>
          <cell r="AC9047" t="str">
            <v/>
          </cell>
          <cell r="AD9047" t="str">
            <v/>
          </cell>
          <cell r="AY9047" t="str">
            <v/>
          </cell>
          <cell r="AZ9047" t="str">
            <v/>
          </cell>
          <cell r="BA9047" t="str">
            <v/>
          </cell>
        </row>
        <row r="9048">
          <cell r="B9048" t="str">
            <v>-</v>
          </cell>
          <cell r="E9048" t="str">
            <v/>
          </cell>
          <cell r="G9048" t="str">
            <v/>
          </cell>
          <cell r="J9048" t="str">
            <v/>
          </cell>
          <cell r="O9048" t="str">
            <v/>
          </cell>
          <cell r="P9048" t="str">
            <v/>
          </cell>
          <cell r="Q9048" t="str">
            <v/>
          </cell>
          <cell r="S9048" t="str">
            <v/>
          </cell>
          <cell r="V9048" t="str">
            <v/>
          </cell>
          <cell r="Z9048" t="str">
            <v/>
          </cell>
          <cell r="AA9048" t="str">
            <v/>
          </cell>
          <cell r="AB9048" t="str">
            <v/>
          </cell>
          <cell r="AC9048" t="str">
            <v/>
          </cell>
          <cell r="AD9048" t="str">
            <v/>
          </cell>
          <cell r="AY9048" t="str">
            <v/>
          </cell>
          <cell r="AZ9048" t="str">
            <v/>
          </cell>
          <cell r="BA9048" t="str">
            <v/>
          </cell>
        </row>
        <row r="9049">
          <cell r="B9049" t="str">
            <v>-</v>
          </cell>
          <cell r="E9049" t="str">
            <v/>
          </cell>
          <cell r="G9049" t="str">
            <v/>
          </cell>
          <cell r="J9049" t="str">
            <v/>
          </cell>
          <cell r="O9049" t="str">
            <v/>
          </cell>
          <cell r="P9049" t="str">
            <v/>
          </cell>
          <cell r="Q9049" t="str">
            <v/>
          </cell>
          <cell r="S9049" t="str">
            <v/>
          </cell>
          <cell r="V9049" t="str">
            <v/>
          </cell>
          <cell r="Z9049" t="str">
            <v/>
          </cell>
          <cell r="AA9049" t="str">
            <v/>
          </cell>
          <cell r="AB9049" t="str">
            <v/>
          </cell>
          <cell r="AC9049" t="str">
            <v/>
          </cell>
          <cell r="AD9049" t="str">
            <v/>
          </cell>
          <cell r="AY9049" t="str">
            <v/>
          </cell>
          <cell r="AZ9049" t="str">
            <v/>
          </cell>
          <cell r="BA9049" t="str">
            <v/>
          </cell>
        </row>
        <row r="9050">
          <cell r="B9050" t="str">
            <v>-</v>
          </cell>
          <cell r="E9050" t="str">
            <v/>
          </cell>
          <cell r="G9050" t="str">
            <v/>
          </cell>
          <cell r="J9050" t="str">
            <v/>
          </cell>
          <cell r="O9050" t="str">
            <v/>
          </cell>
          <cell r="P9050" t="str">
            <v/>
          </cell>
          <cell r="Q9050" t="str">
            <v/>
          </cell>
          <cell r="S9050" t="str">
            <v/>
          </cell>
          <cell r="V9050" t="str">
            <v/>
          </cell>
          <cell r="Z9050" t="str">
            <v/>
          </cell>
          <cell r="AA9050" t="str">
            <v/>
          </cell>
          <cell r="AB9050" t="str">
            <v/>
          </cell>
          <cell r="AC9050" t="str">
            <v/>
          </cell>
          <cell r="AD9050" t="str">
            <v/>
          </cell>
          <cell r="AY9050" t="str">
            <v/>
          </cell>
          <cell r="AZ9050" t="str">
            <v/>
          </cell>
          <cell r="BA9050" t="str">
            <v/>
          </cell>
        </row>
        <row r="9051">
          <cell r="B9051" t="str">
            <v>-</v>
          </cell>
          <cell r="E9051" t="str">
            <v/>
          </cell>
          <cell r="G9051" t="str">
            <v/>
          </cell>
          <cell r="J9051" t="str">
            <v/>
          </cell>
          <cell r="O9051" t="str">
            <v/>
          </cell>
          <cell r="P9051" t="str">
            <v/>
          </cell>
          <cell r="Q9051" t="str">
            <v/>
          </cell>
          <cell r="S9051" t="str">
            <v/>
          </cell>
          <cell r="V9051" t="str">
            <v/>
          </cell>
          <cell r="Z9051" t="str">
            <v/>
          </cell>
          <cell r="AA9051" t="str">
            <v/>
          </cell>
          <cell r="AB9051" t="str">
            <v/>
          </cell>
          <cell r="AC9051" t="str">
            <v/>
          </cell>
          <cell r="AD9051" t="str">
            <v/>
          </cell>
          <cell r="AY9051" t="str">
            <v/>
          </cell>
          <cell r="AZ9051" t="str">
            <v/>
          </cell>
          <cell r="BA9051" t="str">
            <v/>
          </cell>
        </row>
        <row r="9052">
          <cell r="B9052" t="str">
            <v>-</v>
          </cell>
          <cell r="E9052" t="str">
            <v/>
          </cell>
          <cell r="G9052" t="str">
            <v/>
          </cell>
          <cell r="J9052" t="str">
            <v/>
          </cell>
          <cell r="O9052" t="str">
            <v/>
          </cell>
          <cell r="P9052" t="str">
            <v/>
          </cell>
          <cell r="Q9052" t="str">
            <v/>
          </cell>
          <cell r="S9052" t="str">
            <v/>
          </cell>
          <cell r="V9052" t="str">
            <v/>
          </cell>
          <cell r="Z9052" t="str">
            <v/>
          </cell>
          <cell r="AA9052" t="str">
            <v/>
          </cell>
          <cell r="AB9052" t="str">
            <v/>
          </cell>
          <cell r="AC9052" t="str">
            <v/>
          </cell>
          <cell r="AD9052" t="str">
            <v/>
          </cell>
          <cell r="AY9052" t="str">
            <v/>
          </cell>
          <cell r="AZ9052" t="str">
            <v/>
          </cell>
          <cell r="BA9052" t="str">
            <v/>
          </cell>
        </row>
        <row r="9053">
          <cell r="B9053" t="str">
            <v>-</v>
          </cell>
          <cell r="E9053" t="str">
            <v/>
          </cell>
          <cell r="G9053" t="str">
            <v/>
          </cell>
          <cell r="J9053" t="str">
            <v/>
          </cell>
          <cell r="O9053" t="str">
            <v/>
          </cell>
          <cell r="P9053" t="str">
            <v/>
          </cell>
          <cell r="Q9053" t="str">
            <v/>
          </cell>
          <cell r="S9053" t="str">
            <v/>
          </cell>
          <cell r="V9053" t="str">
            <v/>
          </cell>
          <cell r="Z9053" t="str">
            <v/>
          </cell>
          <cell r="AA9053" t="str">
            <v/>
          </cell>
          <cell r="AB9053" t="str">
            <v/>
          </cell>
          <cell r="AC9053" t="str">
            <v/>
          </cell>
          <cell r="AD9053" t="str">
            <v/>
          </cell>
          <cell r="AY9053" t="str">
            <v/>
          </cell>
          <cell r="AZ9053" t="str">
            <v/>
          </cell>
          <cell r="BA9053" t="str">
            <v/>
          </cell>
        </row>
        <row r="9054">
          <cell r="B9054" t="str">
            <v>-</v>
          </cell>
          <cell r="E9054" t="str">
            <v/>
          </cell>
          <cell r="G9054" t="str">
            <v/>
          </cell>
          <cell r="J9054" t="str">
            <v/>
          </cell>
          <cell r="O9054" t="str">
            <v/>
          </cell>
          <cell r="P9054" t="str">
            <v/>
          </cell>
          <cell r="Q9054" t="str">
            <v/>
          </cell>
          <cell r="S9054" t="str">
            <v/>
          </cell>
          <cell r="V9054" t="str">
            <v/>
          </cell>
          <cell r="Z9054" t="str">
            <v/>
          </cell>
          <cell r="AA9054" t="str">
            <v/>
          </cell>
          <cell r="AB9054" t="str">
            <v/>
          </cell>
          <cell r="AC9054" t="str">
            <v/>
          </cell>
          <cell r="AD9054" t="str">
            <v/>
          </cell>
          <cell r="AY9054" t="str">
            <v/>
          </cell>
          <cell r="AZ9054" t="str">
            <v/>
          </cell>
          <cell r="BA9054" t="str">
            <v/>
          </cell>
        </row>
        <row r="9055">
          <cell r="B9055" t="str">
            <v>-</v>
          </cell>
          <cell r="E9055" t="str">
            <v/>
          </cell>
          <cell r="G9055" t="str">
            <v/>
          </cell>
          <cell r="J9055" t="str">
            <v/>
          </cell>
          <cell r="O9055" t="str">
            <v/>
          </cell>
          <cell r="P9055" t="str">
            <v/>
          </cell>
          <cell r="Q9055" t="str">
            <v/>
          </cell>
          <cell r="S9055" t="str">
            <v/>
          </cell>
          <cell r="V9055" t="str">
            <v/>
          </cell>
          <cell r="Z9055" t="str">
            <v/>
          </cell>
          <cell r="AA9055" t="str">
            <v/>
          </cell>
          <cell r="AB9055" t="str">
            <v/>
          </cell>
          <cell r="AC9055" t="str">
            <v/>
          </cell>
          <cell r="AD9055" t="str">
            <v/>
          </cell>
          <cell r="AY9055" t="str">
            <v/>
          </cell>
          <cell r="AZ9055" t="str">
            <v/>
          </cell>
          <cell r="BA9055" t="str">
            <v/>
          </cell>
        </row>
        <row r="9056">
          <cell r="B9056" t="str">
            <v>-</v>
          </cell>
          <cell r="E9056" t="str">
            <v/>
          </cell>
          <cell r="G9056" t="str">
            <v/>
          </cell>
          <cell r="J9056" t="str">
            <v/>
          </cell>
          <cell r="O9056" t="str">
            <v/>
          </cell>
          <cell r="P9056" t="str">
            <v/>
          </cell>
          <cell r="Q9056" t="str">
            <v/>
          </cell>
          <cell r="S9056" t="str">
            <v/>
          </cell>
          <cell r="V9056" t="str">
            <v/>
          </cell>
          <cell r="Z9056" t="str">
            <v/>
          </cell>
          <cell r="AA9056" t="str">
            <v/>
          </cell>
          <cell r="AB9056" t="str">
            <v/>
          </cell>
          <cell r="AC9056" t="str">
            <v/>
          </cell>
          <cell r="AD9056" t="str">
            <v/>
          </cell>
          <cell r="AY9056" t="str">
            <v/>
          </cell>
          <cell r="AZ9056" t="str">
            <v/>
          </cell>
          <cell r="BA9056" t="str">
            <v/>
          </cell>
        </row>
        <row r="9057">
          <cell r="B9057" t="str">
            <v>-</v>
          </cell>
          <cell r="E9057" t="str">
            <v/>
          </cell>
          <cell r="G9057" t="str">
            <v/>
          </cell>
          <cell r="J9057" t="str">
            <v/>
          </cell>
          <cell r="O9057" t="str">
            <v/>
          </cell>
          <cell r="P9057" t="str">
            <v/>
          </cell>
          <cell r="Q9057" t="str">
            <v/>
          </cell>
          <cell r="S9057" t="str">
            <v/>
          </cell>
          <cell r="V9057" t="str">
            <v/>
          </cell>
          <cell r="Z9057" t="str">
            <v/>
          </cell>
          <cell r="AA9057" t="str">
            <v/>
          </cell>
          <cell r="AB9057" t="str">
            <v/>
          </cell>
          <cell r="AC9057" t="str">
            <v/>
          </cell>
          <cell r="AD9057" t="str">
            <v/>
          </cell>
          <cell r="AY9057" t="str">
            <v/>
          </cell>
          <cell r="AZ9057" t="str">
            <v/>
          </cell>
          <cell r="BA9057" t="str">
            <v/>
          </cell>
        </row>
        <row r="9058">
          <cell r="B9058" t="str">
            <v>-</v>
          </cell>
          <cell r="E9058" t="str">
            <v/>
          </cell>
          <cell r="G9058" t="str">
            <v/>
          </cell>
          <cell r="J9058" t="str">
            <v/>
          </cell>
          <cell r="O9058" t="str">
            <v/>
          </cell>
          <cell r="P9058" t="str">
            <v/>
          </cell>
          <cell r="Q9058" t="str">
            <v/>
          </cell>
          <cell r="S9058" t="str">
            <v/>
          </cell>
          <cell r="V9058" t="str">
            <v/>
          </cell>
          <cell r="Z9058" t="str">
            <v/>
          </cell>
          <cell r="AA9058" t="str">
            <v/>
          </cell>
          <cell r="AB9058" t="str">
            <v/>
          </cell>
          <cell r="AC9058" t="str">
            <v/>
          </cell>
          <cell r="AD9058" t="str">
            <v/>
          </cell>
          <cell r="AY9058" t="str">
            <v/>
          </cell>
          <cell r="AZ9058" t="str">
            <v/>
          </cell>
          <cell r="BA9058" t="str">
            <v/>
          </cell>
        </row>
        <row r="9059">
          <cell r="B9059" t="str">
            <v>-</v>
          </cell>
          <cell r="E9059" t="str">
            <v/>
          </cell>
          <cell r="G9059" t="str">
            <v/>
          </cell>
          <cell r="J9059" t="str">
            <v/>
          </cell>
          <cell r="O9059" t="str">
            <v/>
          </cell>
          <cell r="P9059" t="str">
            <v/>
          </cell>
          <cell r="Q9059" t="str">
            <v/>
          </cell>
          <cell r="S9059" t="str">
            <v/>
          </cell>
          <cell r="V9059" t="str">
            <v/>
          </cell>
          <cell r="Z9059" t="str">
            <v/>
          </cell>
          <cell r="AA9059" t="str">
            <v/>
          </cell>
          <cell r="AB9059" t="str">
            <v/>
          </cell>
          <cell r="AC9059" t="str">
            <v/>
          </cell>
          <cell r="AD9059" t="str">
            <v/>
          </cell>
          <cell r="AY9059" t="str">
            <v/>
          </cell>
          <cell r="AZ9059" t="str">
            <v/>
          </cell>
          <cell r="BA9059" t="str">
            <v/>
          </cell>
        </row>
        <row r="9060">
          <cell r="B9060" t="str">
            <v>-</v>
          </cell>
          <cell r="E9060" t="str">
            <v/>
          </cell>
          <cell r="G9060" t="str">
            <v/>
          </cell>
          <cell r="J9060" t="str">
            <v/>
          </cell>
          <cell r="O9060" t="str">
            <v/>
          </cell>
          <cell r="P9060" t="str">
            <v/>
          </cell>
          <cell r="Q9060" t="str">
            <v/>
          </cell>
          <cell r="S9060" t="str">
            <v/>
          </cell>
          <cell r="V9060" t="str">
            <v/>
          </cell>
          <cell r="Z9060" t="str">
            <v/>
          </cell>
          <cell r="AA9060" t="str">
            <v/>
          </cell>
          <cell r="AB9060" t="str">
            <v/>
          </cell>
          <cell r="AC9060" t="str">
            <v/>
          </cell>
          <cell r="AD9060" t="str">
            <v/>
          </cell>
          <cell r="AY9060" t="str">
            <v/>
          </cell>
          <cell r="AZ9060" t="str">
            <v/>
          </cell>
          <cell r="BA9060" t="str">
            <v/>
          </cell>
        </row>
        <row r="9061">
          <cell r="B9061" t="str">
            <v>-</v>
          </cell>
          <cell r="E9061" t="str">
            <v/>
          </cell>
          <cell r="G9061" t="str">
            <v/>
          </cell>
          <cell r="J9061" t="str">
            <v/>
          </cell>
          <cell r="O9061" t="str">
            <v/>
          </cell>
          <cell r="P9061" t="str">
            <v/>
          </cell>
          <cell r="Q9061" t="str">
            <v/>
          </cell>
          <cell r="S9061" t="str">
            <v/>
          </cell>
          <cell r="V9061" t="str">
            <v/>
          </cell>
          <cell r="Z9061" t="str">
            <v/>
          </cell>
          <cell r="AA9061" t="str">
            <v/>
          </cell>
          <cell r="AB9061" t="str">
            <v/>
          </cell>
          <cell r="AC9061" t="str">
            <v/>
          </cell>
          <cell r="AD9061" t="str">
            <v/>
          </cell>
          <cell r="AY9061" t="str">
            <v/>
          </cell>
          <cell r="AZ9061" t="str">
            <v/>
          </cell>
          <cell r="BA9061" t="str">
            <v/>
          </cell>
        </row>
        <row r="9062">
          <cell r="B9062" t="str">
            <v>-</v>
          </cell>
          <cell r="E9062" t="str">
            <v/>
          </cell>
          <cell r="G9062" t="str">
            <v/>
          </cell>
          <cell r="J9062" t="str">
            <v/>
          </cell>
          <cell r="O9062" t="str">
            <v/>
          </cell>
          <cell r="P9062" t="str">
            <v/>
          </cell>
          <cell r="Q9062" t="str">
            <v/>
          </cell>
          <cell r="S9062" t="str">
            <v/>
          </cell>
          <cell r="V9062" t="str">
            <v/>
          </cell>
          <cell r="Z9062" t="str">
            <v/>
          </cell>
          <cell r="AA9062" t="str">
            <v/>
          </cell>
          <cell r="AB9062" t="str">
            <v/>
          </cell>
          <cell r="AC9062" t="str">
            <v/>
          </cell>
          <cell r="AD9062" t="str">
            <v/>
          </cell>
          <cell r="AY9062" t="str">
            <v/>
          </cell>
          <cell r="AZ9062" t="str">
            <v/>
          </cell>
          <cell r="BA9062" t="str">
            <v/>
          </cell>
        </row>
        <row r="9063">
          <cell r="B9063" t="str">
            <v>-</v>
          </cell>
          <cell r="E9063" t="str">
            <v/>
          </cell>
          <cell r="G9063" t="str">
            <v/>
          </cell>
          <cell r="J9063" t="str">
            <v/>
          </cell>
          <cell r="O9063" t="str">
            <v/>
          </cell>
          <cell r="P9063" t="str">
            <v/>
          </cell>
          <cell r="Q9063" t="str">
            <v/>
          </cell>
          <cell r="S9063" t="str">
            <v/>
          </cell>
          <cell r="V9063" t="str">
            <v/>
          </cell>
          <cell r="Z9063" t="str">
            <v/>
          </cell>
          <cell r="AA9063" t="str">
            <v/>
          </cell>
          <cell r="AB9063" t="str">
            <v/>
          </cell>
          <cell r="AC9063" t="str">
            <v/>
          </cell>
          <cell r="AD9063" t="str">
            <v/>
          </cell>
          <cell r="AY9063" t="str">
            <v/>
          </cell>
          <cell r="AZ9063" t="str">
            <v/>
          </cell>
          <cell r="BA9063" t="str">
            <v/>
          </cell>
        </row>
        <row r="9064">
          <cell r="B9064" t="str">
            <v>-</v>
          </cell>
          <cell r="E9064" t="str">
            <v/>
          </cell>
          <cell r="G9064" t="str">
            <v/>
          </cell>
          <cell r="J9064" t="str">
            <v/>
          </cell>
          <cell r="O9064" t="str">
            <v/>
          </cell>
          <cell r="P9064" t="str">
            <v/>
          </cell>
          <cell r="Q9064" t="str">
            <v/>
          </cell>
          <cell r="S9064" t="str">
            <v/>
          </cell>
          <cell r="V9064" t="str">
            <v/>
          </cell>
          <cell r="Z9064" t="str">
            <v/>
          </cell>
          <cell r="AA9064" t="str">
            <v/>
          </cell>
          <cell r="AB9064" t="str">
            <v/>
          </cell>
          <cell r="AC9064" t="str">
            <v/>
          </cell>
          <cell r="AD9064" t="str">
            <v/>
          </cell>
          <cell r="AY9064" t="str">
            <v/>
          </cell>
          <cell r="AZ9064" t="str">
            <v/>
          </cell>
          <cell r="BA9064" t="str">
            <v/>
          </cell>
        </row>
        <row r="9065">
          <cell r="B9065" t="str">
            <v>-</v>
          </cell>
          <cell r="E9065" t="str">
            <v/>
          </cell>
          <cell r="G9065" t="str">
            <v/>
          </cell>
          <cell r="J9065" t="str">
            <v/>
          </cell>
          <cell r="O9065" t="str">
            <v/>
          </cell>
          <cell r="P9065" t="str">
            <v/>
          </cell>
          <cell r="Q9065" t="str">
            <v/>
          </cell>
          <cell r="S9065" t="str">
            <v/>
          </cell>
          <cell r="V9065" t="str">
            <v/>
          </cell>
          <cell r="Z9065" t="str">
            <v/>
          </cell>
          <cell r="AA9065" t="str">
            <v/>
          </cell>
          <cell r="AB9065" t="str">
            <v/>
          </cell>
          <cell r="AC9065" t="str">
            <v/>
          </cell>
          <cell r="AD9065" t="str">
            <v/>
          </cell>
          <cell r="AY9065" t="str">
            <v/>
          </cell>
          <cell r="AZ9065" t="str">
            <v/>
          </cell>
          <cell r="BA9065" t="str">
            <v/>
          </cell>
        </row>
        <row r="9066">
          <cell r="B9066" t="str">
            <v>-</v>
          </cell>
          <cell r="E9066" t="str">
            <v/>
          </cell>
          <cell r="G9066" t="str">
            <v/>
          </cell>
          <cell r="J9066" t="str">
            <v/>
          </cell>
          <cell r="O9066" t="str">
            <v/>
          </cell>
          <cell r="P9066" t="str">
            <v/>
          </cell>
          <cell r="Q9066" t="str">
            <v/>
          </cell>
          <cell r="S9066" t="str">
            <v/>
          </cell>
          <cell r="V9066" t="str">
            <v/>
          </cell>
          <cell r="Z9066" t="str">
            <v/>
          </cell>
          <cell r="AA9066" t="str">
            <v/>
          </cell>
          <cell r="AB9066" t="str">
            <v/>
          </cell>
          <cell r="AC9066" t="str">
            <v/>
          </cell>
          <cell r="AD9066" t="str">
            <v/>
          </cell>
          <cell r="AY9066" t="str">
            <v/>
          </cell>
          <cell r="AZ9066" t="str">
            <v/>
          </cell>
          <cell r="BA9066" t="str">
            <v/>
          </cell>
        </row>
        <row r="9067">
          <cell r="B9067" t="str">
            <v>-</v>
          </cell>
          <cell r="E9067" t="str">
            <v/>
          </cell>
          <cell r="G9067" t="str">
            <v/>
          </cell>
          <cell r="J9067" t="str">
            <v/>
          </cell>
          <cell r="O9067" t="str">
            <v/>
          </cell>
          <cell r="P9067" t="str">
            <v/>
          </cell>
          <cell r="Q9067" t="str">
            <v/>
          </cell>
          <cell r="S9067" t="str">
            <v/>
          </cell>
          <cell r="V9067" t="str">
            <v/>
          </cell>
          <cell r="Z9067" t="str">
            <v/>
          </cell>
          <cell r="AA9067" t="str">
            <v/>
          </cell>
          <cell r="AB9067" t="str">
            <v/>
          </cell>
          <cell r="AC9067" t="str">
            <v/>
          </cell>
          <cell r="AD9067" t="str">
            <v/>
          </cell>
          <cell r="AY9067" t="str">
            <v/>
          </cell>
          <cell r="AZ9067" t="str">
            <v/>
          </cell>
          <cell r="BA9067" t="str">
            <v/>
          </cell>
        </row>
        <row r="9068">
          <cell r="B9068" t="str">
            <v>-</v>
          </cell>
          <cell r="E9068" t="str">
            <v/>
          </cell>
          <cell r="G9068" t="str">
            <v/>
          </cell>
          <cell r="J9068" t="str">
            <v/>
          </cell>
          <cell r="O9068" t="str">
            <v/>
          </cell>
          <cell r="P9068" t="str">
            <v/>
          </cell>
          <cell r="Q9068" t="str">
            <v/>
          </cell>
          <cell r="S9068" t="str">
            <v/>
          </cell>
          <cell r="V9068" t="str">
            <v/>
          </cell>
          <cell r="Z9068" t="str">
            <v/>
          </cell>
          <cell r="AA9068" t="str">
            <v/>
          </cell>
          <cell r="AB9068" t="str">
            <v/>
          </cell>
          <cell r="AC9068" t="str">
            <v/>
          </cell>
          <cell r="AD9068" t="str">
            <v/>
          </cell>
          <cell r="AY9068" t="str">
            <v/>
          </cell>
          <cell r="AZ9068" t="str">
            <v/>
          </cell>
          <cell r="BA9068" t="str">
            <v/>
          </cell>
        </row>
        <row r="9069">
          <cell r="B9069" t="str">
            <v>-</v>
          </cell>
          <cell r="E9069" t="str">
            <v/>
          </cell>
          <cell r="G9069" t="str">
            <v/>
          </cell>
          <cell r="J9069" t="str">
            <v/>
          </cell>
          <cell r="O9069" t="str">
            <v/>
          </cell>
          <cell r="P9069" t="str">
            <v/>
          </cell>
          <cell r="Q9069" t="str">
            <v/>
          </cell>
          <cell r="S9069" t="str">
            <v/>
          </cell>
          <cell r="V9069" t="str">
            <v/>
          </cell>
          <cell r="Z9069" t="str">
            <v/>
          </cell>
          <cell r="AA9069" t="str">
            <v/>
          </cell>
          <cell r="AB9069" t="str">
            <v/>
          </cell>
          <cell r="AC9069" t="str">
            <v/>
          </cell>
          <cell r="AD9069" t="str">
            <v/>
          </cell>
          <cell r="AY9069" t="str">
            <v/>
          </cell>
          <cell r="AZ9069" t="str">
            <v/>
          </cell>
          <cell r="BA9069" t="str">
            <v/>
          </cell>
        </row>
        <row r="9070">
          <cell r="B9070" t="str">
            <v>-</v>
          </cell>
          <cell r="E9070" t="str">
            <v/>
          </cell>
          <cell r="G9070" t="str">
            <v/>
          </cell>
          <cell r="J9070" t="str">
            <v/>
          </cell>
          <cell r="O9070" t="str">
            <v/>
          </cell>
          <cell r="P9070" t="str">
            <v/>
          </cell>
          <cell r="Q9070" t="str">
            <v/>
          </cell>
          <cell r="S9070" t="str">
            <v/>
          </cell>
          <cell r="V9070" t="str">
            <v/>
          </cell>
          <cell r="Z9070" t="str">
            <v/>
          </cell>
          <cell r="AA9070" t="str">
            <v/>
          </cell>
          <cell r="AB9070" t="str">
            <v/>
          </cell>
          <cell r="AC9070" t="str">
            <v/>
          </cell>
          <cell r="AD9070" t="str">
            <v/>
          </cell>
          <cell r="AY9070" t="str">
            <v/>
          </cell>
          <cell r="AZ9070" t="str">
            <v/>
          </cell>
          <cell r="BA9070" t="str">
            <v/>
          </cell>
        </row>
        <row r="9071">
          <cell r="B9071" t="str">
            <v>-</v>
          </cell>
          <cell r="E9071" t="str">
            <v/>
          </cell>
          <cell r="G9071" t="str">
            <v/>
          </cell>
          <cell r="J9071" t="str">
            <v/>
          </cell>
          <cell r="O9071" t="str">
            <v/>
          </cell>
          <cell r="P9071" t="str">
            <v/>
          </cell>
          <cell r="Q9071" t="str">
            <v/>
          </cell>
          <cell r="S9071" t="str">
            <v/>
          </cell>
          <cell r="V9071" t="str">
            <v/>
          </cell>
          <cell r="Z9071" t="str">
            <v/>
          </cell>
          <cell r="AA9071" t="str">
            <v/>
          </cell>
          <cell r="AB9071" t="str">
            <v/>
          </cell>
          <cell r="AC9071" t="str">
            <v/>
          </cell>
          <cell r="AD9071" t="str">
            <v/>
          </cell>
          <cell r="AY9071" t="str">
            <v/>
          </cell>
          <cell r="AZ9071" t="str">
            <v/>
          </cell>
          <cell r="BA9071" t="str">
            <v/>
          </cell>
        </row>
        <row r="9072">
          <cell r="B9072" t="str">
            <v>-</v>
          </cell>
          <cell r="E9072" t="str">
            <v/>
          </cell>
          <cell r="G9072" t="str">
            <v/>
          </cell>
          <cell r="J9072" t="str">
            <v/>
          </cell>
          <cell r="O9072" t="str">
            <v/>
          </cell>
          <cell r="P9072" t="str">
            <v/>
          </cell>
          <cell r="Q9072" t="str">
            <v/>
          </cell>
          <cell r="S9072" t="str">
            <v/>
          </cell>
          <cell r="V9072" t="str">
            <v/>
          </cell>
          <cell r="Z9072" t="str">
            <v/>
          </cell>
          <cell r="AA9072" t="str">
            <v/>
          </cell>
          <cell r="AB9072" t="str">
            <v/>
          </cell>
          <cell r="AC9072" t="str">
            <v/>
          </cell>
          <cell r="AD9072" t="str">
            <v/>
          </cell>
          <cell r="AY9072" t="str">
            <v/>
          </cell>
          <cell r="AZ9072" t="str">
            <v/>
          </cell>
          <cell r="BA9072" t="str">
            <v/>
          </cell>
        </row>
        <row r="9073">
          <cell r="B9073" t="str">
            <v>-</v>
          </cell>
          <cell r="E9073" t="str">
            <v/>
          </cell>
          <cell r="G9073" t="str">
            <v/>
          </cell>
          <cell r="J9073" t="str">
            <v/>
          </cell>
          <cell r="O9073" t="str">
            <v/>
          </cell>
          <cell r="P9073" t="str">
            <v/>
          </cell>
          <cell r="Q9073" t="str">
            <v/>
          </cell>
          <cell r="S9073" t="str">
            <v/>
          </cell>
          <cell r="V9073" t="str">
            <v/>
          </cell>
          <cell r="Z9073" t="str">
            <v/>
          </cell>
          <cell r="AA9073" t="str">
            <v/>
          </cell>
          <cell r="AB9073" t="str">
            <v/>
          </cell>
          <cell r="AC9073" t="str">
            <v/>
          </cell>
          <cell r="AD9073" t="str">
            <v/>
          </cell>
          <cell r="AY9073" t="str">
            <v/>
          </cell>
          <cell r="AZ9073" t="str">
            <v/>
          </cell>
          <cell r="BA9073" t="str">
            <v/>
          </cell>
        </row>
        <row r="9074">
          <cell r="B9074" t="str">
            <v>-</v>
          </cell>
          <cell r="E9074" t="str">
            <v/>
          </cell>
          <cell r="G9074" t="str">
            <v/>
          </cell>
          <cell r="J9074" t="str">
            <v/>
          </cell>
          <cell r="O9074" t="str">
            <v/>
          </cell>
          <cell r="P9074" t="str">
            <v/>
          </cell>
          <cell r="Q9074" t="str">
            <v/>
          </cell>
          <cell r="S9074" t="str">
            <v/>
          </cell>
          <cell r="V9074" t="str">
            <v/>
          </cell>
          <cell r="Z9074" t="str">
            <v/>
          </cell>
          <cell r="AA9074" t="str">
            <v/>
          </cell>
          <cell r="AB9074" t="str">
            <v/>
          </cell>
          <cell r="AC9074" t="str">
            <v/>
          </cell>
          <cell r="AD9074" t="str">
            <v/>
          </cell>
          <cell r="AY9074" t="str">
            <v/>
          </cell>
          <cell r="AZ9074" t="str">
            <v/>
          </cell>
          <cell r="BA9074" t="str">
            <v/>
          </cell>
        </row>
        <row r="9075">
          <cell r="B9075" t="str">
            <v>-</v>
          </cell>
          <cell r="E9075" t="str">
            <v/>
          </cell>
          <cell r="G9075" t="str">
            <v/>
          </cell>
          <cell r="J9075" t="str">
            <v/>
          </cell>
          <cell r="O9075" t="str">
            <v/>
          </cell>
          <cell r="P9075" t="str">
            <v/>
          </cell>
          <cell r="Q9075" t="str">
            <v/>
          </cell>
          <cell r="S9075" t="str">
            <v/>
          </cell>
          <cell r="V9075" t="str">
            <v/>
          </cell>
          <cell r="Z9075" t="str">
            <v/>
          </cell>
          <cell r="AA9075" t="str">
            <v/>
          </cell>
          <cell r="AB9075" t="str">
            <v/>
          </cell>
          <cell r="AC9075" t="str">
            <v/>
          </cell>
          <cell r="AD9075" t="str">
            <v/>
          </cell>
          <cell r="AY9075" t="str">
            <v/>
          </cell>
          <cell r="AZ9075" t="str">
            <v/>
          </cell>
          <cell r="BA9075" t="str">
            <v/>
          </cell>
        </row>
        <row r="9076">
          <cell r="B9076" t="str">
            <v>-</v>
          </cell>
          <cell r="E9076" t="str">
            <v/>
          </cell>
          <cell r="G9076" t="str">
            <v/>
          </cell>
          <cell r="J9076" t="str">
            <v/>
          </cell>
          <cell r="O9076" t="str">
            <v/>
          </cell>
          <cell r="P9076" t="str">
            <v/>
          </cell>
          <cell r="Q9076" t="str">
            <v/>
          </cell>
          <cell r="S9076" t="str">
            <v/>
          </cell>
          <cell r="V9076" t="str">
            <v/>
          </cell>
          <cell r="Z9076" t="str">
            <v/>
          </cell>
          <cell r="AA9076" t="str">
            <v/>
          </cell>
          <cell r="AB9076" t="str">
            <v/>
          </cell>
          <cell r="AC9076" t="str">
            <v/>
          </cell>
          <cell r="AD9076" t="str">
            <v/>
          </cell>
          <cell r="AY9076" t="str">
            <v/>
          </cell>
          <cell r="AZ9076" t="str">
            <v/>
          </cell>
          <cell r="BA9076" t="str">
            <v/>
          </cell>
        </row>
        <row r="9077">
          <cell r="B9077" t="str">
            <v>-</v>
          </cell>
          <cell r="E9077" t="str">
            <v/>
          </cell>
          <cell r="G9077" t="str">
            <v/>
          </cell>
          <cell r="J9077" t="str">
            <v/>
          </cell>
          <cell r="O9077" t="str">
            <v/>
          </cell>
          <cell r="P9077" t="str">
            <v/>
          </cell>
          <cell r="Q9077" t="str">
            <v/>
          </cell>
          <cell r="S9077" t="str">
            <v/>
          </cell>
          <cell r="V9077" t="str">
            <v/>
          </cell>
          <cell r="Z9077" t="str">
            <v/>
          </cell>
          <cell r="AA9077" t="str">
            <v/>
          </cell>
          <cell r="AB9077" t="str">
            <v/>
          </cell>
          <cell r="AC9077" t="str">
            <v/>
          </cell>
          <cell r="AD9077" t="str">
            <v/>
          </cell>
          <cell r="AY9077" t="str">
            <v/>
          </cell>
          <cell r="AZ9077" t="str">
            <v/>
          </cell>
          <cell r="BA9077" t="str">
            <v/>
          </cell>
        </row>
        <row r="9078">
          <cell r="B9078" t="str">
            <v>-</v>
          </cell>
          <cell r="E9078" t="str">
            <v/>
          </cell>
          <cell r="G9078" t="str">
            <v/>
          </cell>
          <cell r="J9078" t="str">
            <v/>
          </cell>
          <cell r="O9078" t="str">
            <v/>
          </cell>
          <cell r="P9078" t="str">
            <v/>
          </cell>
          <cell r="Q9078" t="str">
            <v/>
          </cell>
          <cell r="S9078" t="str">
            <v/>
          </cell>
          <cell r="V9078" t="str">
            <v/>
          </cell>
          <cell r="Z9078" t="str">
            <v/>
          </cell>
          <cell r="AA9078" t="str">
            <v/>
          </cell>
          <cell r="AB9078" t="str">
            <v/>
          </cell>
          <cell r="AC9078" t="str">
            <v/>
          </cell>
          <cell r="AD9078" t="str">
            <v/>
          </cell>
          <cell r="AY9078" t="str">
            <v/>
          </cell>
          <cell r="AZ9078" t="str">
            <v/>
          </cell>
          <cell r="BA9078" t="str">
            <v/>
          </cell>
        </row>
        <row r="9079">
          <cell r="B9079" t="str">
            <v>-</v>
          </cell>
          <cell r="E9079" t="str">
            <v/>
          </cell>
          <cell r="G9079" t="str">
            <v/>
          </cell>
          <cell r="J9079" t="str">
            <v/>
          </cell>
          <cell r="O9079" t="str">
            <v/>
          </cell>
          <cell r="P9079" t="str">
            <v/>
          </cell>
          <cell r="Q9079" t="str">
            <v/>
          </cell>
          <cell r="S9079" t="str">
            <v/>
          </cell>
          <cell r="V9079" t="str">
            <v/>
          </cell>
          <cell r="Z9079" t="str">
            <v/>
          </cell>
          <cell r="AA9079" t="str">
            <v/>
          </cell>
          <cell r="AB9079" t="str">
            <v/>
          </cell>
          <cell r="AC9079" t="str">
            <v/>
          </cell>
          <cell r="AD9079" t="str">
            <v/>
          </cell>
          <cell r="AY9079" t="str">
            <v/>
          </cell>
          <cell r="AZ9079" t="str">
            <v/>
          </cell>
          <cell r="BA9079" t="str">
            <v/>
          </cell>
        </row>
        <row r="9080">
          <cell r="B9080" t="str">
            <v>-</v>
          </cell>
          <cell r="E9080" t="str">
            <v/>
          </cell>
          <cell r="G9080" t="str">
            <v/>
          </cell>
          <cell r="J9080" t="str">
            <v/>
          </cell>
          <cell r="O9080" t="str">
            <v/>
          </cell>
          <cell r="P9080" t="str">
            <v/>
          </cell>
          <cell r="Q9080" t="str">
            <v/>
          </cell>
          <cell r="S9080" t="str">
            <v/>
          </cell>
          <cell r="V9080" t="str">
            <v/>
          </cell>
          <cell r="Z9080" t="str">
            <v/>
          </cell>
          <cell r="AA9080" t="str">
            <v/>
          </cell>
          <cell r="AB9080" t="str">
            <v/>
          </cell>
          <cell r="AC9080" t="str">
            <v/>
          </cell>
          <cell r="AD9080" t="str">
            <v/>
          </cell>
          <cell r="AY9080" t="str">
            <v/>
          </cell>
          <cell r="AZ9080" t="str">
            <v/>
          </cell>
          <cell r="BA9080" t="str">
            <v/>
          </cell>
        </row>
        <row r="9081">
          <cell r="B9081" t="str">
            <v>-</v>
          </cell>
          <cell r="E9081" t="str">
            <v/>
          </cell>
          <cell r="G9081" t="str">
            <v/>
          </cell>
          <cell r="J9081" t="str">
            <v/>
          </cell>
          <cell r="O9081" t="str">
            <v/>
          </cell>
          <cell r="P9081" t="str">
            <v/>
          </cell>
          <cell r="Q9081" t="str">
            <v/>
          </cell>
          <cell r="S9081" t="str">
            <v/>
          </cell>
          <cell r="V9081" t="str">
            <v/>
          </cell>
          <cell r="Z9081" t="str">
            <v/>
          </cell>
          <cell r="AA9081" t="str">
            <v/>
          </cell>
          <cell r="AB9081" t="str">
            <v/>
          </cell>
          <cell r="AC9081" t="str">
            <v/>
          </cell>
          <cell r="AD9081" t="str">
            <v/>
          </cell>
          <cell r="AY9081" t="str">
            <v/>
          </cell>
          <cell r="AZ9081" t="str">
            <v/>
          </cell>
          <cell r="BA9081" t="str">
            <v/>
          </cell>
        </row>
        <row r="9082">
          <cell r="B9082" t="str">
            <v>-</v>
          </cell>
          <cell r="E9082" t="str">
            <v/>
          </cell>
          <cell r="G9082" t="str">
            <v/>
          </cell>
          <cell r="J9082" t="str">
            <v/>
          </cell>
          <cell r="O9082" t="str">
            <v/>
          </cell>
          <cell r="P9082" t="str">
            <v/>
          </cell>
          <cell r="Q9082" t="str">
            <v/>
          </cell>
          <cell r="S9082" t="str">
            <v/>
          </cell>
          <cell r="V9082" t="str">
            <v/>
          </cell>
          <cell r="Z9082" t="str">
            <v/>
          </cell>
          <cell r="AA9082" t="str">
            <v/>
          </cell>
          <cell r="AB9082" t="str">
            <v/>
          </cell>
          <cell r="AC9082" t="str">
            <v/>
          </cell>
          <cell r="AD9082" t="str">
            <v/>
          </cell>
          <cell r="AY9082" t="str">
            <v/>
          </cell>
          <cell r="AZ9082" t="str">
            <v/>
          </cell>
          <cell r="BA9082" t="str">
            <v/>
          </cell>
        </row>
        <row r="9083">
          <cell r="B9083" t="str">
            <v>-</v>
          </cell>
          <cell r="E9083" t="str">
            <v/>
          </cell>
          <cell r="G9083" t="str">
            <v/>
          </cell>
          <cell r="J9083" t="str">
            <v/>
          </cell>
          <cell r="O9083" t="str">
            <v/>
          </cell>
          <cell r="P9083" t="str">
            <v/>
          </cell>
          <cell r="Q9083" t="str">
            <v/>
          </cell>
          <cell r="S9083" t="str">
            <v/>
          </cell>
          <cell r="V9083" t="str">
            <v/>
          </cell>
          <cell r="Z9083" t="str">
            <v/>
          </cell>
          <cell r="AA9083" t="str">
            <v/>
          </cell>
          <cell r="AB9083" t="str">
            <v/>
          </cell>
          <cell r="AC9083" t="str">
            <v/>
          </cell>
          <cell r="AD9083" t="str">
            <v/>
          </cell>
          <cell r="AY9083" t="str">
            <v/>
          </cell>
          <cell r="AZ9083" t="str">
            <v/>
          </cell>
          <cell r="BA9083" t="str">
            <v/>
          </cell>
        </row>
        <row r="9084">
          <cell r="B9084" t="str">
            <v>-</v>
          </cell>
          <cell r="E9084" t="str">
            <v/>
          </cell>
          <cell r="G9084" t="str">
            <v/>
          </cell>
          <cell r="J9084" t="str">
            <v/>
          </cell>
          <cell r="O9084" t="str">
            <v/>
          </cell>
          <cell r="P9084" t="str">
            <v/>
          </cell>
          <cell r="Q9084" t="str">
            <v/>
          </cell>
          <cell r="S9084" t="str">
            <v/>
          </cell>
          <cell r="V9084" t="str">
            <v/>
          </cell>
          <cell r="Z9084" t="str">
            <v/>
          </cell>
          <cell r="AA9084" t="str">
            <v/>
          </cell>
          <cell r="AB9084" t="str">
            <v/>
          </cell>
          <cell r="AC9084" t="str">
            <v/>
          </cell>
          <cell r="AD9084" t="str">
            <v/>
          </cell>
          <cell r="AY9084" t="str">
            <v/>
          </cell>
          <cell r="AZ9084" t="str">
            <v/>
          </cell>
          <cell r="BA9084" t="str">
            <v/>
          </cell>
        </row>
        <row r="9085">
          <cell r="B9085" t="str">
            <v>-</v>
          </cell>
          <cell r="E9085" t="str">
            <v/>
          </cell>
          <cell r="G9085" t="str">
            <v/>
          </cell>
          <cell r="J9085" t="str">
            <v/>
          </cell>
          <cell r="O9085" t="str">
            <v/>
          </cell>
          <cell r="P9085" t="str">
            <v/>
          </cell>
          <cell r="Q9085" t="str">
            <v/>
          </cell>
          <cell r="S9085" t="str">
            <v/>
          </cell>
          <cell r="V9085" t="str">
            <v/>
          </cell>
          <cell r="Z9085" t="str">
            <v/>
          </cell>
          <cell r="AA9085" t="str">
            <v/>
          </cell>
          <cell r="AB9085" t="str">
            <v/>
          </cell>
          <cell r="AC9085" t="str">
            <v/>
          </cell>
          <cell r="AD9085" t="str">
            <v/>
          </cell>
          <cell r="AY9085" t="str">
            <v/>
          </cell>
          <cell r="AZ9085" t="str">
            <v/>
          </cell>
          <cell r="BA9085" t="str">
            <v/>
          </cell>
        </row>
        <row r="9086">
          <cell r="B9086" t="str">
            <v>-</v>
          </cell>
          <cell r="E9086" t="str">
            <v/>
          </cell>
          <cell r="G9086" t="str">
            <v/>
          </cell>
          <cell r="J9086" t="str">
            <v/>
          </cell>
          <cell r="O9086" t="str">
            <v/>
          </cell>
          <cell r="P9086" t="str">
            <v/>
          </cell>
          <cell r="Q9086" t="str">
            <v/>
          </cell>
          <cell r="S9086" t="str">
            <v/>
          </cell>
          <cell r="V9086" t="str">
            <v/>
          </cell>
          <cell r="Z9086" t="str">
            <v/>
          </cell>
          <cell r="AA9086" t="str">
            <v/>
          </cell>
          <cell r="AB9086" t="str">
            <v/>
          </cell>
          <cell r="AC9086" t="str">
            <v/>
          </cell>
          <cell r="AD9086" t="str">
            <v/>
          </cell>
          <cell r="AY9086" t="str">
            <v/>
          </cell>
          <cell r="AZ9086" t="str">
            <v/>
          </cell>
          <cell r="BA9086" t="str">
            <v/>
          </cell>
        </row>
        <row r="9087">
          <cell r="B9087" t="str">
            <v>-</v>
          </cell>
          <cell r="E9087" t="str">
            <v/>
          </cell>
          <cell r="G9087" t="str">
            <v/>
          </cell>
          <cell r="J9087" t="str">
            <v/>
          </cell>
          <cell r="O9087" t="str">
            <v/>
          </cell>
          <cell r="P9087" t="str">
            <v/>
          </cell>
          <cell r="Q9087" t="str">
            <v/>
          </cell>
          <cell r="S9087" t="str">
            <v/>
          </cell>
          <cell r="V9087" t="str">
            <v/>
          </cell>
          <cell r="Z9087" t="str">
            <v/>
          </cell>
          <cell r="AA9087" t="str">
            <v/>
          </cell>
          <cell r="AB9087" t="str">
            <v/>
          </cell>
          <cell r="AC9087" t="str">
            <v/>
          </cell>
          <cell r="AD9087" t="str">
            <v/>
          </cell>
          <cell r="AY9087" t="str">
            <v/>
          </cell>
          <cell r="AZ9087" t="str">
            <v/>
          </cell>
          <cell r="BA9087" t="str">
            <v/>
          </cell>
        </row>
        <row r="9088">
          <cell r="B9088" t="str">
            <v>-</v>
          </cell>
          <cell r="E9088" t="str">
            <v/>
          </cell>
          <cell r="G9088" t="str">
            <v/>
          </cell>
          <cell r="J9088" t="str">
            <v/>
          </cell>
          <cell r="O9088" t="str">
            <v/>
          </cell>
          <cell r="P9088" t="str">
            <v/>
          </cell>
          <cell r="Q9088" t="str">
            <v/>
          </cell>
          <cell r="S9088" t="str">
            <v/>
          </cell>
          <cell r="V9088" t="str">
            <v/>
          </cell>
          <cell r="Z9088" t="str">
            <v/>
          </cell>
          <cell r="AA9088" t="str">
            <v/>
          </cell>
          <cell r="AB9088" t="str">
            <v/>
          </cell>
          <cell r="AC9088" t="str">
            <v/>
          </cell>
          <cell r="AD9088" t="str">
            <v/>
          </cell>
          <cell r="AY9088" t="str">
            <v/>
          </cell>
          <cell r="AZ9088" t="str">
            <v/>
          </cell>
          <cell r="BA9088" t="str">
            <v/>
          </cell>
        </row>
        <row r="9089">
          <cell r="B9089" t="str">
            <v>-</v>
          </cell>
          <cell r="E9089" t="str">
            <v/>
          </cell>
          <cell r="G9089" t="str">
            <v/>
          </cell>
          <cell r="J9089" t="str">
            <v/>
          </cell>
          <cell r="O9089" t="str">
            <v/>
          </cell>
          <cell r="P9089" t="str">
            <v/>
          </cell>
          <cell r="Q9089" t="str">
            <v/>
          </cell>
          <cell r="S9089" t="str">
            <v/>
          </cell>
          <cell r="V9089" t="str">
            <v/>
          </cell>
          <cell r="Z9089" t="str">
            <v/>
          </cell>
          <cell r="AA9089" t="str">
            <v/>
          </cell>
          <cell r="AB9089" t="str">
            <v/>
          </cell>
          <cell r="AC9089" t="str">
            <v/>
          </cell>
          <cell r="AD9089" t="str">
            <v/>
          </cell>
          <cell r="AY9089" t="str">
            <v/>
          </cell>
          <cell r="AZ9089" t="str">
            <v/>
          </cell>
          <cell r="BA9089" t="str">
            <v/>
          </cell>
        </row>
        <row r="9090">
          <cell r="B9090" t="str">
            <v>-</v>
          </cell>
          <cell r="E9090" t="str">
            <v/>
          </cell>
          <cell r="G9090" t="str">
            <v/>
          </cell>
          <cell r="J9090" t="str">
            <v/>
          </cell>
          <cell r="O9090" t="str">
            <v/>
          </cell>
          <cell r="P9090" t="str">
            <v/>
          </cell>
          <cell r="Q9090" t="str">
            <v/>
          </cell>
          <cell r="S9090" t="str">
            <v/>
          </cell>
          <cell r="V9090" t="str">
            <v/>
          </cell>
          <cell r="Z9090" t="str">
            <v/>
          </cell>
          <cell r="AA9090" t="str">
            <v/>
          </cell>
          <cell r="AB9090" t="str">
            <v/>
          </cell>
          <cell r="AC9090" t="str">
            <v/>
          </cell>
          <cell r="AD9090" t="str">
            <v/>
          </cell>
          <cell r="AY9090" t="str">
            <v/>
          </cell>
          <cell r="AZ9090" t="str">
            <v/>
          </cell>
          <cell r="BA9090" t="str">
            <v/>
          </cell>
        </row>
        <row r="9091">
          <cell r="B9091" t="str">
            <v>-</v>
          </cell>
          <cell r="E9091" t="str">
            <v/>
          </cell>
          <cell r="G9091" t="str">
            <v/>
          </cell>
          <cell r="J9091" t="str">
            <v/>
          </cell>
          <cell r="O9091" t="str">
            <v/>
          </cell>
          <cell r="P9091" t="str">
            <v/>
          </cell>
          <cell r="Q9091" t="str">
            <v/>
          </cell>
          <cell r="S9091" t="str">
            <v/>
          </cell>
          <cell r="V9091" t="str">
            <v/>
          </cell>
          <cell r="Z9091" t="str">
            <v/>
          </cell>
          <cell r="AA9091" t="str">
            <v/>
          </cell>
          <cell r="AB9091" t="str">
            <v/>
          </cell>
          <cell r="AC9091" t="str">
            <v/>
          </cell>
          <cell r="AD9091" t="str">
            <v/>
          </cell>
          <cell r="AY9091" t="str">
            <v/>
          </cell>
          <cell r="AZ9091" t="str">
            <v/>
          </cell>
          <cell r="BA9091" t="str">
            <v/>
          </cell>
        </row>
        <row r="9092">
          <cell r="B9092" t="str">
            <v>-</v>
          </cell>
          <cell r="E9092" t="str">
            <v/>
          </cell>
          <cell r="G9092" t="str">
            <v/>
          </cell>
          <cell r="J9092" t="str">
            <v/>
          </cell>
          <cell r="O9092" t="str">
            <v/>
          </cell>
          <cell r="P9092" t="str">
            <v/>
          </cell>
          <cell r="Q9092" t="str">
            <v/>
          </cell>
          <cell r="S9092" t="str">
            <v/>
          </cell>
          <cell r="V9092" t="str">
            <v/>
          </cell>
          <cell r="Z9092" t="str">
            <v/>
          </cell>
          <cell r="AA9092" t="str">
            <v/>
          </cell>
          <cell r="AB9092" t="str">
            <v/>
          </cell>
          <cell r="AC9092" t="str">
            <v/>
          </cell>
          <cell r="AD9092" t="str">
            <v/>
          </cell>
          <cell r="AY9092" t="str">
            <v/>
          </cell>
          <cell r="AZ9092" t="str">
            <v/>
          </cell>
          <cell r="BA9092" t="str">
            <v/>
          </cell>
        </row>
        <row r="9093">
          <cell r="B9093" t="str">
            <v>-</v>
          </cell>
          <cell r="E9093" t="str">
            <v/>
          </cell>
          <cell r="G9093" t="str">
            <v/>
          </cell>
          <cell r="J9093" t="str">
            <v/>
          </cell>
          <cell r="O9093" t="str">
            <v/>
          </cell>
          <cell r="P9093" t="str">
            <v/>
          </cell>
          <cell r="Q9093" t="str">
            <v/>
          </cell>
          <cell r="S9093" t="str">
            <v/>
          </cell>
          <cell r="V9093" t="str">
            <v/>
          </cell>
          <cell r="Z9093" t="str">
            <v/>
          </cell>
          <cell r="AA9093" t="str">
            <v/>
          </cell>
          <cell r="AB9093" t="str">
            <v/>
          </cell>
          <cell r="AC9093" t="str">
            <v/>
          </cell>
          <cell r="AD9093" t="str">
            <v/>
          </cell>
          <cell r="AY9093" t="str">
            <v/>
          </cell>
          <cell r="AZ9093" t="str">
            <v/>
          </cell>
          <cell r="BA9093" t="str">
            <v/>
          </cell>
        </row>
        <row r="9094">
          <cell r="B9094" t="str">
            <v>-</v>
          </cell>
          <cell r="E9094" t="str">
            <v/>
          </cell>
          <cell r="G9094" t="str">
            <v/>
          </cell>
          <cell r="J9094" t="str">
            <v/>
          </cell>
          <cell r="O9094" t="str">
            <v/>
          </cell>
          <cell r="P9094" t="str">
            <v/>
          </cell>
          <cell r="Q9094" t="str">
            <v/>
          </cell>
          <cell r="S9094" t="str">
            <v/>
          </cell>
          <cell r="V9094" t="str">
            <v/>
          </cell>
          <cell r="Z9094" t="str">
            <v/>
          </cell>
          <cell r="AA9094" t="str">
            <v/>
          </cell>
          <cell r="AB9094" t="str">
            <v/>
          </cell>
          <cell r="AC9094" t="str">
            <v/>
          </cell>
          <cell r="AD9094" t="str">
            <v/>
          </cell>
          <cell r="AY9094" t="str">
            <v/>
          </cell>
          <cell r="AZ9094" t="str">
            <v/>
          </cell>
          <cell r="BA9094" t="str">
            <v/>
          </cell>
        </row>
        <row r="9095">
          <cell r="B9095" t="str">
            <v>-</v>
          </cell>
          <cell r="E9095" t="str">
            <v/>
          </cell>
          <cell r="G9095" t="str">
            <v/>
          </cell>
          <cell r="J9095" t="str">
            <v/>
          </cell>
          <cell r="O9095" t="str">
            <v/>
          </cell>
          <cell r="P9095" t="str">
            <v/>
          </cell>
          <cell r="Q9095" t="str">
            <v/>
          </cell>
          <cell r="S9095" t="str">
            <v/>
          </cell>
          <cell r="V9095" t="str">
            <v/>
          </cell>
          <cell r="Z9095" t="str">
            <v/>
          </cell>
          <cell r="AA9095" t="str">
            <v/>
          </cell>
          <cell r="AB9095" t="str">
            <v/>
          </cell>
          <cell r="AC9095" t="str">
            <v/>
          </cell>
          <cell r="AD9095" t="str">
            <v/>
          </cell>
          <cell r="AY9095" t="str">
            <v/>
          </cell>
          <cell r="AZ9095" t="str">
            <v/>
          </cell>
          <cell r="BA9095" t="str">
            <v/>
          </cell>
        </row>
        <row r="9096">
          <cell r="B9096" t="str">
            <v>-</v>
          </cell>
          <cell r="E9096" t="str">
            <v/>
          </cell>
          <cell r="G9096" t="str">
            <v/>
          </cell>
          <cell r="J9096" t="str">
            <v/>
          </cell>
          <cell r="O9096" t="str">
            <v/>
          </cell>
          <cell r="P9096" t="str">
            <v/>
          </cell>
          <cell r="Q9096" t="str">
            <v/>
          </cell>
          <cell r="S9096" t="str">
            <v/>
          </cell>
          <cell r="V9096" t="str">
            <v/>
          </cell>
          <cell r="Z9096" t="str">
            <v/>
          </cell>
          <cell r="AA9096" t="str">
            <v/>
          </cell>
          <cell r="AB9096" t="str">
            <v/>
          </cell>
          <cell r="AC9096" t="str">
            <v/>
          </cell>
          <cell r="AD9096" t="str">
            <v/>
          </cell>
          <cell r="AY9096" t="str">
            <v/>
          </cell>
          <cell r="AZ9096" t="str">
            <v/>
          </cell>
          <cell r="BA9096" t="str">
            <v/>
          </cell>
        </row>
        <row r="9097">
          <cell r="B9097" t="str">
            <v>-</v>
          </cell>
          <cell r="E9097" t="str">
            <v/>
          </cell>
          <cell r="G9097" t="str">
            <v/>
          </cell>
          <cell r="J9097" t="str">
            <v/>
          </cell>
          <cell r="O9097" t="str">
            <v/>
          </cell>
          <cell r="P9097" t="str">
            <v/>
          </cell>
          <cell r="Q9097" t="str">
            <v/>
          </cell>
          <cell r="S9097" t="str">
            <v/>
          </cell>
          <cell r="V9097" t="str">
            <v/>
          </cell>
          <cell r="Z9097" t="str">
            <v/>
          </cell>
          <cell r="AA9097" t="str">
            <v/>
          </cell>
          <cell r="AB9097" t="str">
            <v/>
          </cell>
          <cell r="AC9097" t="str">
            <v/>
          </cell>
          <cell r="AD9097" t="str">
            <v/>
          </cell>
          <cell r="AY9097" t="str">
            <v/>
          </cell>
          <cell r="AZ9097" t="str">
            <v/>
          </cell>
          <cell r="BA9097" t="str">
            <v/>
          </cell>
        </row>
        <row r="9098">
          <cell r="B9098" t="str">
            <v>-</v>
          </cell>
          <cell r="E9098" t="str">
            <v/>
          </cell>
          <cell r="G9098" t="str">
            <v/>
          </cell>
          <cell r="J9098" t="str">
            <v/>
          </cell>
          <cell r="O9098" t="str">
            <v/>
          </cell>
          <cell r="P9098" t="str">
            <v/>
          </cell>
          <cell r="Q9098" t="str">
            <v/>
          </cell>
          <cell r="S9098" t="str">
            <v/>
          </cell>
          <cell r="V9098" t="str">
            <v/>
          </cell>
          <cell r="Z9098" t="str">
            <v/>
          </cell>
          <cell r="AA9098" t="str">
            <v/>
          </cell>
          <cell r="AB9098" t="str">
            <v/>
          </cell>
          <cell r="AC9098" t="str">
            <v/>
          </cell>
          <cell r="AD9098" t="str">
            <v/>
          </cell>
          <cell r="AY9098" t="str">
            <v/>
          </cell>
          <cell r="AZ9098" t="str">
            <v/>
          </cell>
          <cell r="BA9098" t="str">
            <v/>
          </cell>
        </row>
        <row r="9099">
          <cell r="B9099" t="str">
            <v>-</v>
          </cell>
          <cell r="E9099" t="str">
            <v/>
          </cell>
          <cell r="G9099" t="str">
            <v/>
          </cell>
          <cell r="J9099" t="str">
            <v/>
          </cell>
          <cell r="O9099" t="str">
            <v/>
          </cell>
          <cell r="P9099" t="str">
            <v/>
          </cell>
          <cell r="Q9099" t="str">
            <v/>
          </cell>
          <cell r="S9099" t="str">
            <v/>
          </cell>
          <cell r="V9099" t="str">
            <v/>
          </cell>
          <cell r="Z9099" t="str">
            <v/>
          </cell>
          <cell r="AA9099" t="str">
            <v/>
          </cell>
          <cell r="AB9099" t="str">
            <v/>
          </cell>
          <cell r="AC9099" t="str">
            <v/>
          </cell>
          <cell r="AD9099" t="str">
            <v/>
          </cell>
          <cell r="AY9099" t="str">
            <v/>
          </cell>
          <cell r="AZ9099" t="str">
            <v/>
          </cell>
          <cell r="BA9099" t="str">
            <v/>
          </cell>
        </row>
        <row r="9100">
          <cell r="B9100" t="str">
            <v>-</v>
          </cell>
          <cell r="E9100" t="str">
            <v/>
          </cell>
          <cell r="G9100" t="str">
            <v/>
          </cell>
          <cell r="J9100" t="str">
            <v/>
          </cell>
          <cell r="O9100" t="str">
            <v/>
          </cell>
          <cell r="P9100" t="str">
            <v/>
          </cell>
          <cell r="Q9100" t="str">
            <v/>
          </cell>
          <cell r="S9100" t="str">
            <v/>
          </cell>
          <cell r="V9100" t="str">
            <v/>
          </cell>
          <cell r="Z9100" t="str">
            <v/>
          </cell>
          <cell r="AA9100" t="str">
            <v/>
          </cell>
          <cell r="AB9100" t="str">
            <v/>
          </cell>
          <cell r="AC9100" t="str">
            <v/>
          </cell>
          <cell r="AD9100" t="str">
            <v/>
          </cell>
          <cell r="AY9100" t="str">
            <v/>
          </cell>
          <cell r="AZ9100" t="str">
            <v/>
          </cell>
          <cell r="BA9100" t="str">
            <v/>
          </cell>
        </row>
        <row r="9101">
          <cell r="B9101" t="str">
            <v>-</v>
          </cell>
          <cell r="E9101" t="str">
            <v/>
          </cell>
          <cell r="G9101" t="str">
            <v/>
          </cell>
          <cell r="J9101" t="str">
            <v/>
          </cell>
          <cell r="O9101" t="str">
            <v/>
          </cell>
          <cell r="P9101" t="str">
            <v/>
          </cell>
          <cell r="Q9101" t="str">
            <v/>
          </cell>
          <cell r="S9101" t="str">
            <v/>
          </cell>
          <cell r="V9101" t="str">
            <v/>
          </cell>
          <cell r="Z9101" t="str">
            <v/>
          </cell>
          <cell r="AA9101" t="str">
            <v/>
          </cell>
          <cell r="AB9101" t="str">
            <v/>
          </cell>
          <cell r="AC9101" t="str">
            <v/>
          </cell>
          <cell r="AD9101" t="str">
            <v/>
          </cell>
          <cell r="AY9101" t="str">
            <v/>
          </cell>
          <cell r="AZ9101" t="str">
            <v/>
          </cell>
          <cell r="BA9101" t="str">
            <v/>
          </cell>
        </row>
        <row r="9102">
          <cell r="B9102" t="str">
            <v>-</v>
          </cell>
          <cell r="E9102" t="str">
            <v/>
          </cell>
          <cell r="G9102" t="str">
            <v/>
          </cell>
          <cell r="J9102" t="str">
            <v/>
          </cell>
          <cell r="O9102" t="str">
            <v/>
          </cell>
          <cell r="P9102" t="str">
            <v/>
          </cell>
          <cell r="Q9102" t="str">
            <v/>
          </cell>
          <cell r="S9102" t="str">
            <v/>
          </cell>
          <cell r="V9102" t="str">
            <v/>
          </cell>
          <cell r="Z9102" t="str">
            <v/>
          </cell>
          <cell r="AA9102" t="str">
            <v/>
          </cell>
          <cell r="AB9102" t="str">
            <v/>
          </cell>
          <cell r="AC9102" t="str">
            <v/>
          </cell>
          <cell r="AD9102" t="str">
            <v/>
          </cell>
          <cell r="AY9102" t="str">
            <v/>
          </cell>
          <cell r="AZ9102" t="str">
            <v/>
          </cell>
          <cell r="BA9102" t="str">
            <v/>
          </cell>
        </row>
        <row r="9103">
          <cell r="B9103" t="str">
            <v>-</v>
          </cell>
          <cell r="E9103" t="str">
            <v/>
          </cell>
          <cell r="G9103" t="str">
            <v/>
          </cell>
          <cell r="J9103" t="str">
            <v/>
          </cell>
          <cell r="O9103" t="str">
            <v/>
          </cell>
          <cell r="P9103" t="str">
            <v/>
          </cell>
          <cell r="Q9103" t="str">
            <v/>
          </cell>
          <cell r="S9103" t="str">
            <v/>
          </cell>
          <cell r="V9103" t="str">
            <v/>
          </cell>
          <cell r="Z9103" t="str">
            <v/>
          </cell>
          <cell r="AA9103" t="str">
            <v/>
          </cell>
          <cell r="AB9103" t="str">
            <v/>
          </cell>
          <cell r="AC9103" t="str">
            <v/>
          </cell>
          <cell r="AD9103" t="str">
            <v/>
          </cell>
          <cell r="AY9103" t="str">
            <v/>
          </cell>
          <cell r="AZ9103" t="str">
            <v/>
          </cell>
          <cell r="BA9103" t="str">
            <v/>
          </cell>
        </row>
        <row r="9104">
          <cell r="B9104" t="str">
            <v>-</v>
          </cell>
          <cell r="E9104" t="str">
            <v/>
          </cell>
          <cell r="G9104" t="str">
            <v/>
          </cell>
          <cell r="J9104" t="str">
            <v/>
          </cell>
          <cell r="O9104" t="str">
            <v/>
          </cell>
          <cell r="P9104" t="str">
            <v/>
          </cell>
          <cell r="Q9104" t="str">
            <v/>
          </cell>
          <cell r="S9104" t="str">
            <v/>
          </cell>
          <cell r="V9104" t="str">
            <v/>
          </cell>
          <cell r="Z9104" t="str">
            <v/>
          </cell>
          <cell r="AA9104" t="str">
            <v/>
          </cell>
          <cell r="AB9104" t="str">
            <v/>
          </cell>
          <cell r="AC9104" t="str">
            <v/>
          </cell>
          <cell r="AD9104" t="str">
            <v/>
          </cell>
          <cell r="AY9104" t="str">
            <v/>
          </cell>
          <cell r="AZ9104" t="str">
            <v/>
          </cell>
          <cell r="BA9104" t="str">
            <v/>
          </cell>
        </row>
        <row r="9105">
          <cell r="B9105" t="str">
            <v>-</v>
          </cell>
          <cell r="E9105" t="str">
            <v/>
          </cell>
          <cell r="G9105" t="str">
            <v/>
          </cell>
          <cell r="J9105" t="str">
            <v/>
          </cell>
          <cell r="O9105" t="str">
            <v/>
          </cell>
          <cell r="P9105" t="str">
            <v/>
          </cell>
          <cell r="Q9105" t="str">
            <v/>
          </cell>
          <cell r="S9105" t="str">
            <v/>
          </cell>
          <cell r="V9105" t="str">
            <v/>
          </cell>
          <cell r="Z9105" t="str">
            <v/>
          </cell>
          <cell r="AA9105" t="str">
            <v/>
          </cell>
          <cell r="AB9105" t="str">
            <v/>
          </cell>
          <cell r="AC9105" t="str">
            <v/>
          </cell>
          <cell r="AD9105" t="str">
            <v/>
          </cell>
          <cell r="AY9105" t="str">
            <v/>
          </cell>
          <cell r="AZ9105" t="str">
            <v/>
          </cell>
          <cell r="BA9105" t="str">
            <v/>
          </cell>
        </row>
        <row r="9106">
          <cell r="B9106" t="str">
            <v>-</v>
          </cell>
          <cell r="E9106" t="str">
            <v/>
          </cell>
          <cell r="G9106" t="str">
            <v/>
          </cell>
          <cell r="J9106" t="str">
            <v/>
          </cell>
          <cell r="O9106" t="str">
            <v/>
          </cell>
          <cell r="P9106" t="str">
            <v/>
          </cell>
          <cell r="Q9106" t="str">
            <v/>
          </cell>
          <cell r="S9106" t="str">
            <v/>
          </cell>
          <cell r="V9106" t="str">
            <v/>
          </cell>
          <cell r="Z9106" t="str">
            <v/>
          </cell>
          <cell r="AA9106" t="str">
            <v/>
          </cell>
          <cell r="AB9106" t="str">
            <v/>
          </cell>
          <cell r="AC9106" t="str">
            <v/>
          </cell>
          <cell r="AD9106" t="str">
            <v/>
          </cell>
          <cell r="AY9106" t="str">
            <v/>
          </cell>
          <cell r="AZ9106" t="str">
            <v/>
          </cell>
          <cell r="BA9106" t="str">
            <v/>
          </cell>
        </row>
        <row r="9107">
          <cell r="B9107" t="str">
            <v>-</v>
          </cell>
          <cell r="E9107" t="str">
            <v/>
          </cell>
          <cell r="G9107" t="str">
            <v/>
          </cell>
          <cell r="J9107" t="str">
            <v/>
          </cell>
          <cell r="O9107" t="str">
            <v/>
          </cell>
          <cell r="P9107" t="str">
            <v/>
          </cell>
          <cell r="Q9107" t="str">
            <v/>
          </cell>
          <cell r="S9107" t="str">
            <v/>
          </cell>
          <cell r="V9107" t="str">
            <v/>
          </cell>
          <cell r="Z9107" t="str">
            <v/>
          </cell>
          <cell r="AA9107" t="str">
            <v/>
          </cell>
          <cell r="AB9107" t="str">
            <v/>
          </cell>
          <cell r="AC9107" t="str">
            <v/>
          </cell>
          <cell r="AD9107" t="str">
            <v/>
          </cell>
          <cell r="AY9107" t="str">
            <v/>
          </cell>
          <cell r="AZ9107" t="str">
            <v/>
          </cell>
          <cell r="BA9107" t="str">
            <v/>
          </cell>
        </row>
        <row r="9108">
          <cell r="B9108" t="str">
            <v>-</v>
          </cell>
          <cell r="E9108" t="str">
            <v/>
          </cell>
          <cell r="G9108" t="str">
            <v/>
          </cell>
          <cell r="J9108" t="str">
            <v/>
          </cell>
          <cell r="O9108" t="str">
            <v/>
          </cell>
          <cell r="P9108" t="str">
            <v/>
          </cell>
          <cell r="Q9108" t="str">
            <v/>
          </cell>
          <cell r="S9108" t="str">
            <v/>
          </cell>
          <cell r="V9108" t="str">
            <v/>
          </cell>
          <cell r="Z9108" t="str">
            <v/>
          </cell>
          <cell r="AA9108" t="str">
            <v/>
          </cell>
          <cell r="AB9108" t="str">
            <v/>
          </cell>
          <cell r="AC9108" t="str">
            <v/>
          </cell>
          <cell r="AD9108" t="str">
            <v/>
          </cell>
          <cell r="AY9108" t="str">
            <v/>
          </cell>
          <cell r="AZ9108" t="str">
            <v/>
          </cell>
          <cell r="BA9108" t="str">
            <v/>
          </cell>
        </row>
        <row r="9109">
          <cell r="B9109" t="str">
            <v>-</v>
          </cell>
          <cell r="E9109" t="str">
            <v/>
          </cell>
          <cell r="G9109" t="str">
            <v/>
          </cell>
          <cell r="J9109" t="str">
            <v/>
          </cell>
          <cell r="O9109" t="str">
            <v/>
          </cell>
          <cell r="P9109" t="str">
            <v/>
          </cell>
          <cell r="Q9109" t="str">
            <v/>
          </cell>
          <cell r="S9109" t="str">
            <v/>
          </cell>
          <cell r="V9109" t="str">
            <v/>
          </cell>
          <cell r="Z9109" t="str">
            <v/>
          </cell>
          <cell r="AA9109" t="str">
            <v/>
          </cell>
          <cell r="AB9109" t="str">
            <v/>
          </cell>
          <cell r="AC9109" t="str">
            <v/>
          </cell>
          <cell r="AD9109" t="str">
            <v/>
          </cell>
          <cell r="AY9109" t="str">
            <v/>
          </cell>
          <cell r="AZ9109" t="str">
            <v/>
          </cell>
          <cell r="BA9109" t="str">
            <v/>
          </cell>
        </row>
        <row r="9110">
          <cell r="B9110" t="str">
            <v>-</v>
          </cell>
          <cell r="E9110" t="str">
            <v/>
          </cell>
          <cell r="G9110" t="str">
            <v/>
          </cell>
          <cell r="J9110" t="str">
            <v/>
          </cell>
          <cell r="O9110" t="str">
            <v/>
          </cell>
          <cell r="P9110" t="str">
            <v/>
          </cell>
          <cell r="Q9110" t="str">
            <v/>
          </cell>
          <cell r="S9110" t="str">
            <v/>
          </cell>
          <cell r="V9110" t="str">
            <v/>
          </cell>
          <cell r="Z9110" t="str">
            <v/>
          </cell>
          <cell r="AA9110" t="str">
            <v/>
          </cell>
          <cell r="AB9110" t="str">
            <v/>
          </cell>
          <cell r="AC9110" t="str">
            <v/>
          </cell>
          <cell r="AD9110" t="str">
            <v/>
          </cell>
          <cell r="AY9110" t="str">
            <v/>
          </cell>
          <cell r="AZ9110" t="str">
            <v/>
          </cell>
          <cell r="BA9110" t="str">
            <v/>
          </cell>
        </row>
        <row r="9111">
          <cell r="B9111" t="str">
            <v>-</v>
          </cell>
          <cell r="E9111" t="str">
            <v/>
          </cell>
          <cell r="G9111" t="str">
            <v/>
          </cell>
          <cell r="J9111" t="str">
            <v/>
          </cell>
          <cell r="O9111" t="str">
            <v/>
          </cell>
          <cell r="P9111" t="str">
            <v/>
          </cell>
          <cell r="Q9111" t="str">
            <v/>
          </cell>
          <cell r="S9111" t="str">
            <v/>
          </cell>
          <cell r="V9111" t="str">
            <v/>
          </cell>
          <cell r="Z9111" t="str">
            <v/>
          </cell>
          <cell r="AA9111" t="str">
            <v/>
          </cell>
          <cell r="AB9111" t="str">
            <v/>
          </cell>
          <cell r="AC9111" t="str">
            <v/>
          </cell>
          <cell r="AD9111" t="str">
            <v/>
          </cell>
          <cell r="AY9111" t="str">
            <v/>
          </cell>
          <cell r="AZ9111" t="str">
            <v/>
          </cell>
          <cell r="BA9111" t="str">
            <v/>
          </cell>
        </row>
        <row r="9112">
          <cell r="B9112" t="str">
            <v>-</v>
          </cell>
          <cell r="E9112" t="str">
            <v/>
          </cell>
          <cell r="G9112" t="str">
            <v/>
          </cell>
          <cell r="J9112" t="str">
            <v/>
          </cell>
          <cell r="O9112" t="str">
            <v/>
          </cell>
          <cell r="P9112" t="str">
            <v/>
          </cell>
          <cell r="Q9112" t="str">
            <v/>
          </cell>
          <cell r="S9112" t="str">
            <v/>
          </cell>
          <cell r="V9112" t="str">
            <v/>
          </cell>
          <cell r="Z9112" t="str">
            <v/>
          </cell>
          <cell r="AA9112" t="str">
            <v/>
          </cell>
          <cell r="AB9112" t="str">
            <v/>
          </cell>
          <cell r="AC9112" t="str">
            <v/>
          </cell>
          <cell r="AD9112" t="str">
            <v/>
          </cell>
          <cell r="AY9112" t="str">
            <v/>
          </cell>
          <cell r="AZ9112" t="str">
            <v/>
          </cell>
          <cell r="BA9112" t="str">
            <v/>
          </cell>
        </row>
        <row r="9113">
          <cell r="B9113" t="str">
            <v>-</v>
          </cell>
          <cell r="E9113" t="str">
            <v/>
          </cell>
          <cell r="G9113" t="str">
            <v/>
          </cell>
          <cell r="J9113" t="str">
            <v/>
          </cell>
          <cell r="O9113" t="str">
            <v/>
          </cell>
          <cell r="P9113" t="str">
            <v/>
          </cell>
          <cell r="Q9113" t="str">
            <v/>
          </cell>
          <cell r="S9113" t="str">
            <v/>
          </cell>
          <cell r="V9113" t="str">
            <v/>
          </cell>
          <cell r="Z9113" t="str">
            <v/>
          </cell>
          <cell r="AA9113" t="str">
            <v/>
          </cell>
          <cell r="AB9113" t="str">
            <v/>
          </cell>
          <cell r="AC9113" t="str">
            <v/>
          </cell>
          <cell r="AD9113" t="str">
            <v/>
          </cell>
          <cell r="AY9113" t="str">
            <v/>
          </cell>
          <cell r="AZ9113" t="str">
            <v/>
          </cell>
          <cell r="BA9113" t="str">
            <v/>
          </cell>
        </row>
        <row r="9114">
          <cell r="B9114" t="str">
            <v>-</v>
          </cell>
          <cell r="E9114" t="str">
            <v/>
          </cell>
          <cell r="G9114" t="str">
            <v/>
          </cell>
          <cell r="J9114" t="str">
            <v/>
          </cell>
          <cell r="O9114" t="str">
            <v/>
          </cell>
          <cell r="P9114" t="str">
            <v/>
          </cell>
          <cell r="Q9114" t="str">
            <v/>
          </cell>
          <cell r="S9114" t="str">
            <v/>
          </cell>
          <cell r="V9114" t="str">
            <v/>
          </cell>
          <cell r="Z9114" t="str">
            <v/>
          </cell>
          <cell r="AA9114" t="str">
            <v/>
          </cell>
          <cell r="AB9114" t="str">
            <v/>
          </cell>
          <cell r="AC9114" t="str">
            <v/>
          </cell>
          <cell r="AD9114" t="str">
            <v/>
          </cell>
          <cell r="AY9114" t="str">
            <v/>
          </cell>
          <cell r="AZ9114" t="str">
            <v/>
          </cell>
          <cell r="BA9114" t="str">
            <v/>
          </cell>
        </row>
        <row r="9115">
          <cell r="B9115" t="str">
            <v>-</v>
          </cell>
          <cell r="E9115" t="str">
            <v/>
          </cell>
          <cell r="G9115" t="str">
            <v/>
          </cell>
          <cell r="J9115" t="str">
            <v/>
          </cell>
          <cell r="O9115" t="str">
            <v/>
          </cell>
          <cell r="P9115" t="str">
            <v/>
          </cell>
          <cell r="Q9115" t="str">
            <v/>
          </cell>
          <cell r="S9115" t="str">
            <v/>
          </cell>
          <cell r="V9115" t="str">
            <v/>
          </cell>
          <cell r="Z9115" t="str">
            <v/>
          </cell>
          <cell r="AA9115" t="str">
            <v/>
          </cell>
          <cell r="AB9115" t="str">
            <v/>
          </cell>
          <cell r="AC9115" t="str">
            <v/>
          </cell>
          <cell r="AD9115" t="str">
            <v/>
          </cell>
          <cell r="AY9115" t="str">
            <v/>
          </cell>
          <cell r="AZ9115" t="str">
            <v/>
          </cell>
          <cell r="BA9115" t="str">
            <v/>
          </cell>
        </row>
        <row r="9116">
          <cell r="B9116" t="str">
            <v>-</v>
          </cell>
          <cell r="E9116" t="str">
            <v/>
          </cell>
          <cell r="G9116" t="str">
            <v/>
          </cell>
          <cell r="J9116" t="str">
            <v/>
          </cell>
          <cell r="O9116" t="str">
            <v/>
          </cell>
          <cell r="P9116" t="str">
            <v/>
          </cell>
          <cell r="Q9116" t="str">
            <v/>
          </cell>
          <cell r="S9116" t="str">
            <v/>
          </cell>
          <cell r="V9116" t="str">
            <v/>
          </cell>
          <cell r="Z9116" t="str">
            <v/>
          </cell>
          <cell r="AA9116" t="str">
            <v/>
          </cell>
          <cell r="AB9116" t="str">
            <v/>
          </cell>
          <cell r="AC9116" t="str">
            <v/>
          </cell>
          <cell r="AD9116" t="str">
            <v/>
          </cell>
          <cell r="AY9116" t="str">
            <v/>
          </cell>
          <cell r="AZ9116" t="str">
            <v/>
          </cell>
          <cell r="BA9116" t="str">
            <v/>
          </cell>
        </row>
        <row r="9117">
          <cell r="B9117" t="str">
            <v>-</v>
          </cell>
          <cell r="E9117" t="str">
            <v/>
          </cell>
          <cell r="G9117" t="str">
            <v/>
          </cell>
          <cell r="J9117" t="str">
            <v/>
          </cell>
          <cell r="O9117" t="str">
            <v/>
          </cell>
          <cell r="P9117" t="str">
            <v/>
          </cell>
          <cell r="Q9117" t="str">
            <v/>
          </cell>
          <cell r="S9117" t="str">
            <v/>
          </cell>
          <cell r="V9117" t="str">
            <v/>
          </cell>
          <cell r="Z9117" t="str">
            <v/>
          </cell>
          <cell r="AA9117" t="str">
            <v/>
          </cell>
          <cell r="AB9117" t="str">
            <v/>
          </cell>
          <cell r="AC9117" t="str">
            <v/>
          </cell>
          <cell r="AD9117" t="str">
            <v/>
          </cell>
          <cell r="AY9117" t="str">
            <v/>
          </cell>
          <cell r="AZ9117" t="str">
            <v/>
          </cell>
          <cell r="BA9117" t="str">
            <v/>
          </cell>
        </row>
        <row r="9118">
          <cell r="B9118" t="str">
            <v>-</v>
          </cell>
          <cell r="E9118" t="str">
            <v/>
          </cell>
          <cell r="G9118" t="str">
            <v/>
          </cell>
          <cell r="J9118" t="str">
            <v/>
          </cell>
          <cell r="O9118" t="str">
            <v/>
          </cell>
          <cell r="P9118" t="str">
            <v/>
          </cell>
          <cell r="Q9118" t="str">
            <v/>
          </cell>
          <cell r="S9118" t="str">
            <v/>
          </cell>
          <cell r="V9118" t="str">
            <v/>
          </cell>
          <cell r="Z9118" t="str">
            <v/>
          </cell>
          <cell r="AA9118" t="str">
            <v/>
          </cell>
          <cell r="AB9118" t="str">
            <v/>
          </cell>
          <cell r="AC9118" t="str">
            <v/>
          </cell>
          <cell r="AD9118" t="str">
            <v/>
          </cell>
          <cell r="AY9118" t="str">
            <v/>
          </cell>
          <cell r="AZ9118" t="str">
            <v/>
          </cell>
          <cell r="BA9118" t="str">
            <v/>
          </cell>
        </row>
        <row r="9119">
          <cell r="B9119" t="str">
            <v>-</v>
          </cell>
          <cell r="E9119" t="str">
            <v/>
          </cell>
          <cell r="G9119" t="str">
            <v/>
          </cell>
          <cell r="J9119" t="str">
            <v/>
          </cell>
          <cell r="O9119" t="str">
            <v/>
          </cell>
          <cell r="P9119" t="str">
            <v/>
          </cell>
          <cell r="Q9119" t="str">
            <v/>
          </cell>
          <cell r="S9119" t="str">
            <v/>
          </cell>
          <cell r="V9119" t="str">
            <v/>
          </cell>
          <cell r="Z9119" t="str">
            <v/>
          </cell>
          <cell r="AA9119" t="str">
            <v/>
          </cell>
          <cell r="AB9119" t="str">
            <v/>
          </cell>
          <cell r="AC9119" t="str">
            <v/>
          </cell>
          <cell r="AD9119" t="str">
            <v/>
          </cell>
          <cell r="AY9119" t="str">
            <v/>
          </cell>
          <cell r="AZ9119" t="str">
            <v/>
          </cell>
          <cell r="BA9119" t="str">
            <v/>
          </cell>
        </row>
        <row r="9120">
          <cell r="B9120" t="str">
            <v>-</v>
          </cell>
          <cell r="E9120" t="str">
            <v/>
          </cell>
          <cell r="G9120" t="str">
            <v/>
          </cell>
          <cell r="J9120" t="str">
            <v/>
          </cell>
          <cell r="O9120" t="str">
            <v/>
          </cell>
          <cell r="P9120" t="str">
            <v/>
          </cell>
          <cell r="Q9120" t="str">
            <v/>
          </cell>
          <cell r="S9120" t="str">
            <v/>
          </cell>
          <cell r="V9120" t="str">
            <v/>
          </cell>
          <cell r="Z9120" t="str">
            <v/>
          </cell>
          <cell r="AA9120" t="str">
            <v/>
          </cell>
          <cell r="AB9120" t="str">
            <v/>
          </cell>
          <cell r="AC9120" t="str">
            <v/>
          </cell>
          <cell r="AD9120" t="str">
            <v/>
          </cell>
          <cell r="AY9120" t="str">
            <v/>
          </cell>
          <cell r="AZ9120" t="str">
            <v/>
          </cell>
          <cell r="BA9120" t="str">
            <v/>
          </cell>
        </row>
        <row r="9121">
          <cell r="B9121" t="str">
            <v>-</v>
          </cell>
          <cell r="E9121" t="str">
            <v/>
          </cell>
          <cell r="G9121" t="str">
            <v/>
          </cell>
          <cell r="J9121" t="str">
            <v/>
          </cell>
          <cell r="O9121" t="str">
            <v/>
          </cell>
          <cell r="P9121" t="str">
            <v/>
          </cell>
          <cell r="Q9121" t="str">
            <v/>
          </cell>
          <cell r="S9121" t="str">
            <v/>
          </cell>
          <cell r="V9121" t="str">
            <v/>
          </cell>
          <cell r="Z9121" t="str">
            <v/>
          </cell>
          <cell r="AA9121" t="str">
            <v/>
          </cell>
          <cell r="AB9121" t="str">
            <v/>
          </cell>
          <cell r="AC9121" t="str">
            <v/>
          </cell>
          <cell r="AD9121" t="str">
            <v/>
          </cell>
          <cell r="AY9121" t="str">
            <v/>
          </cell>
          <cell r="AZ9121" t="str">
            <v/>
          </cell>
          <cell r="BA9121" t="str">
            <v/>
          </cell>
        </row>
        <row r="9122">
          <cell r="B9122" t="str">
            <v>-</v>
          </cell>
          <cell r="E9122" t="str">
            <v/>
          </cell>
          <cell r="G9122" t="str">
            <v/>
          </cell>
          <cell r="J9122" t="str">
            <v/>
          </cell>
          <cell r="O9122" t="str">
            <v/>
          </cell>
          <cell r="P9122" t="str">
            <v/>
          </cell>
          <cell r="Q9122" t="str">
            <v/>
          </cell>
          <cell r="S9122" t="str">
            <v/>
          </cell>
          <cell r="V9122" t="str">
            <v/>
          </cell>
          <cell r="Z9122" t="str">
            <v/>
          </cell>
          <cell r="AA9122" t="str">
            <v/>
          </cell>
          <cell r="AB9122" t="str">
            <v/>
          </cell>
          <cell r="AC9122" t="str">
            <v/>
          </cell>
          <cell r="AD9122" t="str">
            <v/>
          </cell>
          <cell r="AY9122" t="str">
            <v/>
          </cell>
          <cell r="AZ9122" t="str">
            <v/>
          </cell>
          <cell r="BA9122" t="str">
            <v/>
          </cell>
        </row>
        <row r="9123">
          <cell r="B9123" t="str">
            <v>-</v>
          </cell>
          <cell r="E9123" t="str">
            <v/>
          </cell>
          <cell r="G9123" t="str">
            <v/>
          </cell>
          <cell r="J9123" t="str">
            <v/>
          </cell>
          <cell r="O9123" t="str">
            <v/>
          </cell>
          <cell r="P9123" t="str">
            <v/>
          </cell>
          <cell r="Q9123" t="str">
            <v/>
          </cell>
          <cell r="S9123" t="str">
            <v/>
          </cell>
          <cell r="V9123" t="str">
            <v/>
          </cell>
          <cell r="Z9123" t="str">
            <v/>
          </cell>
          <cell r="AA9123" t="str">
            <v/>
          </cell>
          <cell r="AB9123" t="str">
            <v/>
          </cell>
          <cell r="AC9123" t="str">
            <v/>
          </cell>
          <cell r="AD9123" t="str">
            <v/>
          </cell>
          <cell r="AY9123" t="str">
            <v/>
          </cell>
          <cell r="AZ9123" t="str">
            <v/>
          </cell>
          <cell r="BA9123" t="str">
            <v/>
          </cell>
        </row>
        <row r="9124">
          <cell r="B9124" t="str">
            <v>-</v>
          </cell>
          <cell r="E9124" t="str">
            <v/>
          </cell>
          <cell r="G9124" t="str">
            <v/>
          </cell>
          <cell r="J9124" t="str">
            <v/>
          </cell>
          <cell r="O9124" t="str">
            <v/>
          </cell>
          <cell r="P9124" t="str">
            <v/>
          </cell>
          <cell r="Q9124" t="str">
            <v/>
          </cell>
          <cell r="S9124" t="str">
            <v/>
          </cell>
          <cell r="V9124" t="str">
            <v/>
          </cell>
          <cell r="Z9124" t="str">
            <v/>
          </cell>
          <cell r="AA9124" t="str">
            <v/>
          </cell>
          <cell r="AB9124" t="str">
            <v/>
          </cell>
          <cell r="AC9124" t="str">
            <v/>
          </cell>
          <cell r="AD9124" t="str">
            <v/>
          </cell>
          <cell r="AY9124" t="str">
            <v/>
          </cell>
          <cell r="AZ9124" t="str">
            <v/>
          </cell>
          <cell r="BA9124" t="str">
            <v/>
          </cell>
        </row>
        <row r="9125">
          <cell r="B9125" t="str">
            <v>-</v>
          </cell>
          <cell r="E9125" t="str">
            <v/>
          </cell>
          <cell r="G9125" t="str">
            <v/>
          </cell>
          <cell r="J9125" t="str">
            <v/>
          </cell>
          <cell r="O9125" t="str">
            <v/>
          </cell>
          <cell r="P9125" t="str">
            <v/>
          </cell>
          <cell r="Q9125" t="str">
            <v/>
          </cell>
          <cell r="S9125" t="str">
            <v/>
          </cell>
          <cell r="V9125" t="str">
            <v/>
          </cell>
          <cell r="Z9125" t="str">
            <v/>
          </cell>
          <cell r="AA9125" t="str">
            <v/>
          </cell>
          <cell r="AB9125" t="str">
            <v/>
          </cell>
          <cell r="AC9125" t="str">
            <v/>
          </cell>
          <cell r="AD9125" t="str">
            <v/>
          </cell>
          <cell r="AY9125" t="str">
            <v/>
          </cell>
          <cell r="AZ9125" t="str">
            <v/>
          </cell>
          <cell r="BA9125" t="str">
            <v/>
          </cell>
        </row>
        <row r="9126">
          <cell r="B9126" t="str">
            <v>-</v>
          </cell>
          <cell r="E9126" t="str">
            <v/>
          </cell>
          <cell r="G9126" t="str">
            <v/>
          </cell>
          <cell r="J9126" t="str">
            <v/>
          </cell>
          <cell r="O9126" t="str">
            <v/>
          </cell>
          <cell r="P9126" t="str">
            <v/>
          </cell>
          <cell r="Q9126" t="str">
            <v/>
          </cell>
          <cell r="S9126" t="str">
            <v/>
          </cell>
          <cell r="V9126" t="str">
            <v/>
          </cell>
          <cell r="Z9126" t="str">
            <v/>
          </cell>
          <cell r="AA9126" t="str">
            <v/>
          </cell>
          <cell r="AB9126" t="str">
            <v/>
          </cell>
          <cell r="AC9126" t="str">
            <v/>
          </cell>
          <cell r="AD9126" t="str">
            <v/>
          </cell>
          <cell r="AY9126" t="str">
            <v/>
          </cell>
          <cell r="AZ9126" t="str">
            <v/>
          </cell>
          <cell r="BA9126" t="str">
            <v/>
          </cell>
        </row>
        <row r="9127">
          <cell r="B9127" t="str">
            <v>-</v>
          </cell>
          <cell r="E9127" t="str">
            <v/>
          </cell>
          <cell r="G9127" t="str">
            <v/>
          </cell>
          <cell r="J9127" t="str">
            <v/>
          </cell>
          <cell r="O9127" t="str">
            <v/>
          </cell>
          <cell r="P9127" t="str">
            <v/>
          </cell>
          <cell r="Q9127" t="str">
            <v/>
          </cell>
          <cell r="S9127" t="str">
            <v/>
          </cell>
          <cell r="V9127" t="str">
            <v/>
          </cell>
          <cell r="Z9127" t="str">
            <v/>
          </cell>
          <cell r="AA9127" t="str">
            <v/>
          </cell>
          <cell r="AB9127" t="str">
            <v/>
          </cell>
          <cell r="AC9127" t="str">
            <v/>
          </cell>
          <cell r="AD9127" t="str">
            <v/>
          </cell>
          <cell r="AY9127" t="str">
            <v/>
          </cell>
          <cell r="AZ9127" t="str">
            <v/>
          </cell>
          <cell r="BA9127" t="str">
            <v/>
          </cell>
        </row>
        <row r="9128">
          <cell r="B9128" t="str">
            <v>-</v>
          </cell>
          <cell r="E9128" t="str">
            <v/>
          </cell>
          <cell r="G9128" t="str">
            <v/>
          </cell>
          <cell r="J9128" t="str">
            <v/>
          </cell>
          <cell r="O9128" t="str">
            <v/>
          </cell>
          <cell r="P9128" t="str">
            <v/>
          </cell>
          <cell r="Q9128" t="str">
            <v/>
          </cell>
          <cell r="S9128" t="str">
            <v/>
          </cell>
          <cell r="V9128" t="str">
            <v/>
          </cell>
          <cell r="Z9128" t="str">
            <v/>
          </cell>
          <cell r="AA9128" t="str">
            <v/>
          </cell>
          <cell r="AB9128" t="str">
            <v/>
          </cell>
          <cell r="AC9128" t="str">
            <v/>
          </cell>
          <cell r="AD9128" t="str">
            <v/>
          </cell>
          <cell r="AY9128" t="str">
            <v/>
          </cell>
          <cell r="AZ9128" t="str">
            <v/>
          </cell>
          <cell r="BA9128" t="str">
            <v/>
          </cell>
        </row>
        <row r="9129">
          <cell r="B9129" t="str">
            <v>-</v>
          </cell>
          <cell r="E9129" t="str">
            <v/>
          </cell>
          <cell r="G9129" t="str">
            <v/>
          </cell>
          <cell r="J9129" t="str">
            <v/>
          </cell>
          <cell r="O9129" t="str">
            <v/>
          </cell>
          <cell r="P9129" t="str">
            <v/>
          </cell>
          <cell r="Q9129" t="str">
            <v/>
          </cell>
          <cell r="S9129" t="str">
            <v/>
          </cell>
          <cell r="V9129" t="str">
            <v/>
          </cell>
          <cell r="Z9129" t="str">
            <v/>
          </cell>
          <cell r="AA9129" t="str">
            <v/>
          </cell>
          <cell r="AB9129" t="str">
            <v/>
          </cell>
          <cell r="AC9129" t="str">
            <v/>
          </cell>
          <cell r="AD9129" t="str">
            <v/>
          </cell>
          <cell r="AY9129" t="str">
            <v/>
          </cell>
          <cell r="AZ9129" t="str">
            <v/>
          </cell>
          <cell r="BA9129" t="str">
            <v/>
          </cell>
        </row>
        <row r="9130">
          <cell r="B9130" t="str">
            <v>-</v>
          </cell>
          <cell r="E9130" t="str">
            <v/>
          </cell>
          <cell r="G9130" t="str">
            <v/>
          </cell>
          <cell r="J9130" t="str">
            <v/>
          </cell>
          <cell r="O9130" t="str">
            <v/>
          </cell>
          <cell r="P9130" t="str">
            <v/>
          </cell>
          <cell r="Q9130" t="str">
            <v/>
          </cell>
          <cell r="S9130" t="str">
            <v/>
          </cell>
          <cell r="V9130" t="str">
            <v/>
          </cell>
          <cell r="Z9130" t="str">
            <v/>
          </cell>
          <cell r="AA9130" t="str">
            <v/>
          </cell>
          <cell r="AB9130" t="str">
            <v/>
          </cell>
          <cell r="AC9130" t="str">
            <v/>
          </cell>
          <cell r="AD9130" t="str">
            <v/>
          </cell>
          <cell r="AY9130" t="str">
            <v/>
          </cell>
          <cell r="AZ9130" t="str">
            <v/>
          </cell>
          <cell r="BA9130" t="str">
            <v/>
          </cell>
        </row>
        <row r="9131">
          <cell r="B9131" t="str">
            <v>-</v>
          </cell>
          <cell r="E9131" t="str">
            <v/>
          </cell>
          <cell r="G9131" t="str">
            <v/>
          </cell>
          <cell r="J9131" t="str">
            <v/>
          </cell>
          <cell r="O9131" t="str">
            <v/>
          </cell>
          <cell r="P9131" t="str">
            <v/>
          </cell>
          <cell r="Q9131" t="str">
            <v/>
          </cell>
          <cell r="S9131" t="str">
            <v/>
          </cell>
          <cell r="V9131" t="str">
            <v/>
          </cell>
          <cell r="Z9131" t="str">
            <v/>
          </cell>
          <cell r="AA9131" t="str">
            <v/>
          </cell>
          <cell r="AB9131" t="str">
            <v/>
          </cell>
          <cell r="AC9131" t="str">
            <v/>
          </cell>
          <cell r="AD9131" t="str">
            <v/>
          </cell>
          <cell r="AY9131" t="str">
            <v/>
          </cell>
          <cell r="AZ9131" t="str">
            <v/>
          </cell>
          <cell r="BA9131" t="str">
            <v/>
          </cell>
        </row>
        <row r="9132">
          <cell r="B9132" t="str">
            <v>-</v>
          </cell>
          <cell r="E9132" t="str">
            <v/>
          </cell>
          <cell r="G9132" t="str">
            <v/>
          </cell>
          <cell r="J9132" t="str">
            <v/>
          </cell>
          <cell r="O9132" t="str">
            <v/>
          </cell>
          <cell r="P9132" t="str">
            <v/>
          </cell>
          <cell r="Q9132" t="str">
            <v/>
          </cell>
          <cell r="S9132" t="str">
            <v/>
          </cell>
          <cell r="V9132" t="str">
            <v/>
          </cell>
          <cell r="Z9132" t="str">
            <v/>
          </cell>
          <cell r="AA9132" t="str">
            <v/>
          </cell>
          <cell r="AB9132" t="str">
            <v/>
          </cell>
          <cell r="AC9132" t="str">
            <v/>
          </cell>
          <cell r="AD9132" t="str">
            <v/>
          </cell>
          <cell r="AY9132" t="str">
            <v/>
          </cell>
          <cell r="AZ9132" t="str">
            <v/>
          </cell>
          <cell r="BA9132" t="str">
            <v/>
          </cell>
        </row>
        <row r="9133">
          <cell r="B9133" t="str">
            <v>-</v>
          </cell>
          <cell r="E9133" t="str">
            <v/>
          </cell>
          <cell r="G9133" t="str">
            <v/>
          </cell>
          <cell r="J9133" t="str">
            <v/>
          </cell>
          <cell r="O9133" t="str">
            <v/>
          </cell>
          <cell r="P9133" t="str">
            <v/>
          </cell>
          <cell r="Q9133" t="str">
            <v/>
          </cell>
          <cell r="S9133" t="str">
            <v/>
          </cell>
          <cell r="V9133" t="str">
            <v/>
          </cell>
          <cell r="Z9133" t="str">
            <v/>
          </cell>
          <cell r="AA9133" t="str">
            <v/>
          </cell>
          <cell r="AB9133" t="str">
            <v/>
          </cell>
          <cell r="AC9133" t="str">
            <v/>
          </cell>
          <cell r="AD9133" t="str">
            <v/>
          </cell>
          <cell r="AY9133" t="str">
            <v/>
          </cell>
          <cell r="AZ9133" t="str">
            <v/>
          </cell>
          <cell r="BA9133" t="str">
            <v/>
          </cell>
        </row>
        <row r="9134">
          <cell r="B9134" t="str">
            <v>-</v>
          </cell>
          <cell r="E9134" t="str">
            <v/>
          </cell>
          <cell r="G9134" t="str">
            <v/>
          </cell>
          <cell r="J9134" t="str">
            <v/>
          </cell>
          <cell r="O9134" t="str">
            <v/>
          </cell>
          <cell r="P9134" t="str">
            <v/>
          </cell>
          <cell r="Q9134" t="str">
            <v/>
          </cell>
          <cell r="S9134" t="str">
            <v/>
          </cell>
          <cell r="V9134" t="str">
            <v/>
          </cell>
          <cell r="Z9134" t="str">
            <v/>
          </cell>
          <cell r="AA9134" t="str">
            <v/>
          </cell>
          <cell r="AB9134" t="str">
            <v/>
          </cell>
          <cell r="AC9134" t="str">
            <v/>
          </cell>
          <cell r="AD9134" t="str">
            <v/>
          </cell>
          <cell r="AY9134" t="str">
            <v/>
          </cell>
          <cell r="AZ9134" t="str">
            <v/>
          </cell>
          <cell r="BA9134" t="str">
            <v/>
          </cell>
        </row>
        <row r="9135">
          <cell r="B9135" t="str">
            <v>-</v>
          </cell>
          <cell r="E9135" t="str">
            <v/>
          </cell>
          <cell r="G9135" t="str">
            <v/>
          </cell>
          <cell r="J9135" t="str">
            <v/>
          </cell>
          <cell r="O9135" t="str">
            <v/>
          </cell>
          <cell r="P9135" t="str">
            <v/>
          </cell>
          <cell r="Q9135" t="str">
            <v/>
          </cell>
          <cell r="S9135" t="str">
            <v/>
          </cell>
          <cell r="V9135" t="str">
            <v/>
          </cell>
          <cell r="Z9135" t="str">
            <v/>
          </cell>
          <cell r="AA9135" t="str">
            <v/>
          </cell>
          <cell r="AB9135" t="str">
            <v/>
          </cell>
          <cell r="AC9135" t="str">
            <v/>
          </cell>
          <cell r="AD9135" t="str">
            <v/>
          </cell>
          <cell r="AY9135" t="str">
            <v/>
          </cell>
          <cell r="AZ9135" t="str">
            <v/>
          </cell>
          <cell r="BA9135" t="str">
            <v/>
          </cell>
        </row>
        <row r="9136">
          <cell r="B9136" t="str">
            <v>-</v>
          </cell>
          <cell r="E9136" t="str">
            <v/>
          </cell>
          <cell r="G9136" t="str">
            <v/>
          </cell>
          <cell r="J9136" t="str">
            <v/>
          </cell>
          <cell r="O9136" t="str">
            <v/>
          </cell>
          <cell r="P9136" t="str">
            <v/>
          </cell>
          <cell r="Q9136" t="str">
            <v/>
          </cell>
          <cell r="S9136" t="str">
            <v/>
          </cell>
          <cell r="V9136" t="str">
            <v/>
          </cell>
          <cell r="Z9136" t="str">
            <v/>
          </cell>
          <cell r="AA9136" t="str">
            <v/>
          </cell>
          <cell r="AB9136" t="str">
            <v/>
          </cell>
          <cell r="AC9136" t="str">
            <v/>
          </cell>
          <cell r="AD9136" t="str">
            <v/>
          </cell>
          <cell r="AY9136" t="str">
            <v/>
          </cell>
          <cell r="AZ9136" t="str">
            <v/>
          </cell>
          <cell r="BA9136" t="str">
            <v/>
          </cell>
        </row>
        <row r="9137">
          <cell r="B9137" t="str">
            <v>-</v>
          </cell>
          <cell r="E9137" t="str">
            <v/>
          </cell>
          <cell r="G9137" t="str">
            <v/>
          </cell>
          <cell r="J9137" t="str">
            <v/>
          </cell>
          <cell r="O9137" t="str">
            <v/>
          </cell>
          <cell r="P9137" t="str">
            <v/>
          </cell>
          <cell r="Q9137" t="str">
            <v/>
          </cell>
          <cell r="S9137" t="str">
            <v/>
          </cell>
          <cell r="V9137" t="str">
            <v/>
          </cell>
          <cell r="Z9137" t="str">
            <v/>
          </cell>
          <cell r="AA9137" t="str">
            <v/>
          </cell>
          <cell r="AB9137" t="str">
            <v/>
          </cell>
          <cell r="AC9137" t="str">
            <v/>
          </cell>
          <cell r="AD9137" t="str">
            <v/>
          </cell>
          <cell r="AY9137" t="str">
            <v/>
          </cell>
          <cell r="AZ9137" t="str">
            <v/>
          </cell>
          <cell r="BA9137" t="str">
            <v/>
          </cell>
        </row>
        <row r="9138">
          <cell r="B9138" t="str">
            <v>-</v>
          </cell>
          <cell r="E9138" t="str">
            <v/>
          </cell>
          <cell r="G9138" t="str">
            <v/>
          </cell>
          <cell r="J9138" t="str">
            <v/>
          </cell>
          <cell r="O9138" t="str">
            <v/>
          </cell>
          <cell r="P9138" t="str">
            <v/>
          </cell>
          <cell r="Q9138" t="str">
            <v/>
          </cell>
          <cell r="S9138" t="str">
            <v/>
          </cell>
          <cell r="V9138" t="str">
            <v/>
          </cell>
          <cell r="Z9138" t="str">
            <v/>
          </cell>
          <cell r="AA9138" t="str">
            <v/>
          </cell>
          <cell r="AB9138" t="str">
            <v/>
          </cell>
          <cell r="AC9138" t="str">
            <v/>
          </cell>
          <cell r="AD9138" t="str">
            <v/>
          </cell>
          <cell r="AY9138" t="str">
            <v/>
          </cell>
          <cell r="AZ9138" t="str">
            <v/>
          </cell>
          <cell r="BA9138" t="str">
            <v/>
          </cell>
        </row>
        <row r="9139">
          <cell r="B9139" t="str">
            <v>-</v>
          </cell>
          <cell r="E9139" t="str">
            <v/>
          </cell>
          <cell r="G9139" t="str">
            <v/>
          </cell>
          <cell r="J9139" t="str">
            <v/>
          </cell>
          <cell r="O9139" t="str">
            <v/>
          </cell>
          <cell r="P9139" t="str">
            <v/>
          </cell>
          <cell r="Q9139" t="str">
            <v/>
          </cell>
          <cell r="S9139" t="str">
            <v/>
          </cell>
          <cell r="V9139" t="str">
            <v/>
          </cell>
          <cell r="Z9139" t="str">
            <v/>
          </cell>
          <cell r="AA9139" t="str">
            <v/>
          </cell>
          <cell r="AB9139" t="str">
            <v/>
          </cell>
          <cell r="AC9139" t="str">
            <v/>
          </cell>
          <cell r="AD9139" t="str">
            <v/>
          </cell>
          <cell r="AY9139" t="str">
            <v/>
          </cell>
          <cell r="AZ9139" t="str">
            <v/>
          </cell>
          <cell r="BA9139" t="str">
            <v/>
          </cell>
        </row>
        <row r="9140">
          <cell r="B9140" t="str">
            <v>-</v>
          </cell>
          <cell r="E9140" t="str">
            <v/>
          </cell>
          <cell r="G9140" t="str">
            <v/>
          </cell>
          <cell r="J9140" t="str">
            <v/>
          </cell>
          <cell r="O9140" t="str">
            <v/>
          </cell>
          <cell r="P9140" t="str">
            <v/>
          </cell>
          <cell r="Q9140" t="str">
            <v/>
          </cell>
          <cell r="S9140" t="str">
            <v/>
          </cell>
          <cell r="V9140" t="str">
            <v/>
          </cell>
          <cell r="Z9140" t="str">
            <v/>
          </cell>
          <cell r="AA9140" t="str">
            <v/>
          </cell>
          <cell r="AB9140" t="str">
            <v/>
          </cell>
          <cell r="AC9140" t="str">
            <v/>
          </cell>
          <cell r="AD9140" t="str">
            <v/>
          </cell>
          <cell r="AY9140" t="str">
            <v/>
          </cell>
          <cell r="AZ9140" t="str">
            <v/>
          </cell>
          <cell r="BA9140" t="str">
            <v/>
          </cell>
        </row>
        <row r="9141">
          <cell r="B9141" t="str">
            <v>-</v>
          </cell>
          <cell r="E9141" t="str">
            <v/>
          </cell>
          <cell r="G9141" t="str">
            <v/>
          </cell>
          <cell r="J9141" t="str">
            <v/>
          </cell>
          <cell r="O9141" t="str">
            <v/>
          </cell>
          <cell r="P9141" t="str">
            <v/>
          </cell>
          <cell r="Q9141" t="str">
            <v/>
          </cell>
          <cell r="S9141" t="str">
            <v/>
          </cell>
          <cell r="V9141" t="str">
            <v/>
          </cell>
          <cell r="Z9141" t="str">
            <v/>
          </cell>
          <cell r="AA9141" t="str">
            <v/>
          </cell>
          <cell r="AB9141" t="str">
            <v/>
          </cell>
          <cell r="AC9141" t="str">
            <v/>
          </cell>
          <cell r="AD9141" t="str">
            <v/>
          </cell>
          <cell r="AY9141" t="str">
            <v/>
          </cell>
          <cell r="AZ9141" t="str">
            <v/>
          </cell>
          <cell r="BA9141" t="str">
            <v/>
          </cell>
        </row>
        <row r="9142">
          <cell r="B9142" t="str">
            <v>-</v>
          </cell>
          <cell r="E9142" t="str">
            <v/>
          </cell>
          <cell r="G9142" t="str">
            <v/>
          </cell>
          <cell r="J9142" t="str">
            <v/>
          </cell>
          <cell r="O9142" t="str">
            <v/>
          </cell>
          <cell r="P9142" t="str">
            <v/>
          </cell>
          <cell r="Q9142" t="str">
            <v/>
          </cell>
          <cell r="S9142" t="str">
            <v/>
          </cell>
          <cell r="V9142" t="str">
            <v/>
          </cell>
          <cell r="Z9142" t="str">
            <v/>
          </cell>
          <cell r="AA9142" t="str">
            <v/>
          </cell>
          <cell r="AB9142" t="str">
            <v/>
          </cell>
          <cell r="AC9142" t="str">
            <v/>
          </cell>
          <cell r="AD9142" t="str">
            <v/>
          </cell>
          <cell r="AY9142" t="str">
            <v/>
          </cell>
          <cell r="AZ9142" t="str">
            <v/>
          </cell>
          <cell r="BA9142" t="str">
            <v/>
          </cell>
        </row>
        <row r="9143">
          <cell r="B9143" t="str">
            <v>-</v>
          </cell>
          <cell r="E9143" t="str">
            <v/>
          </cell>
          <cell r="G9143" t="str">
            <v/>
          </cell>
          <cell r="J9143" t="str">
            <v/>
          </cell>
          <cell r="O9143" t="str">
            <v/>
          </cell>
          <cell r="P9143" t="str">
            <v/>
          </cell>
          <cell r="Q9143" t="str">
            <v/>
          </cell>
          <cell r="S9143" t="str">
            <v/>
          </cell>
          <cell r="V9143" t="str">
            <v/>
          </cell>
          <cell r="Z9143" t="str">
            <v/>
          </cell>
          <cell r="AA9143" t="str">
            <v/>
          </cell>
          <cell r="AB9143" t="str">
            <v/>
          </cell>
          <cell r="AC9143" t="str">
            <v/>
          </cell>
          <cell r="AD9143" t="str">
            <v/>
          </cell>
          <cell r="AY9143" t="str">
            <v/>
          </cell>
          <cell r="AZ9143" t="str">
            <v/>
          </cell>
          <cell r="BA9143" t="str">
            <v/>
          </cell>
        </row>
        <row r="9144">
          <cell r="B9144" t="str">
            <v>-</v>
          </cell>
          <cell r="E9144" t="str">
            <v/>
          </cell>
          <cell r="G9144" t="str">
            <v/>
          </cell>
          <cell r="J9144" t="str">
            <v/>
          </cell>
          <cell r="O9144" t="str">
            <v/>
          </cell>
          <cell r="P9144" t="str">
            <v/>
          </cell>
          <cell r="Q9144" t="str">
            <v/>
          </cell>
          <cell r="S9144" t="str">
            <v/>
          </cell>
          <cell r="V9144" t="str">
            <v/>
          </cell>
          <cell r="Z9144" t="str">
            <v/>
          </cell>
          <cell r="AA9144" t="str">
            <v/>
          </cell>
          <cell r="AB9144" t="str">
            <v/>
          </cell>
          <cell r="AC9144" t="str">
            <v/>
          </cell>
          <cell r="AD9144" t="str">
            <v/>
          </cell>
          <cell r="AY9144" t="str">
            <v/>
          </cell>
          <cell r="AZ9144" t="str">
            <v/>
          </cell>
          <cell r="BA9144" t="str">
            <v/>
          </cell>
        </row>
        <row r="9145">
          <cell r="B9145" t="str">
            <v>-</v>
          </cell>
          <cell r="E9145" t="str">
            <v/>
          </cell>
          <cell r="G9145" t="str">
            <v/>
          </cell>
          <cell r="J9145" t="str">
            <v/>
          </cell>
          <cell r="O9145" t="str">
            <v/>
          </cell>
          <cell r="P9145" t="str">
            <v/>
          </cell>
          <cell r="Q9145" t="str">
            <v/>
          </cell>
          <cell r="S9145" t="str">
            <v/>
          </cell>
          <cell r="V9145" t="str">
            <v/>
          </cell>
          <cell r="Z9145" t="str">
            <v/>
          </cell>
          <cell r="AA9145" t="str">
            <v/>
          </cell>
          <cell r="AB9145" t="str">
            <v/>
          </cell>
          <cell r="AC9145" t="str">
            <v/>
          </cell>
          <cell r="AD9145" t="str">
            <v/>
          </cell>
          <cell r="AY9145" t="str">
            <v/>
          </cell>
          <cell r="AZ9145" t="str">
            <v/>
          </cell>
          <cell r="BA9145" t="str">
            <v/>
          </cell>
        </row>
        <row r="9146">
          <cell r="B9146" t="str">
            <v>-</v>
          </cell>
          <cell r="E9146" t="str">
            <v/>
          </cell>
          <cell r="G9146" t="str">
            <v/>
          </cell>
          <cell r="J9146" t="str">
            <v/>
          </cell>
          <cell r="O9146" t="str">
            <v/>
          </cell>
          <cell r="P9146" t="str">
            <v/>
          </cell>
          <cell r="Q9146" t="str">
            <v/>
          </cell>
          <cell r="S9146" t="str">
            <v/>
          </cell>
          <cell r="V9146" t="str">
            <v/>
          </cell>
          <cell r="Z9146" t="str">
            <v/>
          </cell>
          <cell r="AA9146" t="str">
            <v/>
          </cell>
          <cell r="AB9146" t="str">
            <v/>
          </cell>
          <cell r="AC9146" t="str">
            <v/>
          </cell>
          <cell r="AD9146" t="str">
            <v/>
          </cell>
          <cell r="AY9146" t="str">
            <v/>
          </cell>
          <cell r="AZ9146" t="str">
            <v/>
          </cell>
          <cell r="BA9146" t="str">
            <v/>
          </cell>
        </row>
        <row r="9147">
          <cell r="B9147" t="str">
            <v>-</v>
          </cell>
          <cell r="E9147" t="str">
            <v/>
          </cell>
          <cell r="G9147" t="str">
            <v/>
          </cell>
          <cell r="J9147" t="str">
            <v/>
          </cell>
          <cell r="O9147" t="str">
            <v/>
          </cell>
          <cell r="P9147" t="str">
            <v/>
          </cell>
          <cell r="Q9147" t="str">
            <v/>
          </cell>
          <cell r="S9147" t="str">
            <v/>
          </cell>
          <cell r="V9147" t="str">
            <v/>
          </cell>
          <cell r="Z9147" t="str">
            <v/>
          </cell>
          <cell r="AA9147" t="str">
            <v/>
          </cell>
          <cell r="AB9147" t="str">
            <v/>
          </cell>
          <cell r="AC9147" t="str">
            <v/>
          </cell>
          <cell r="AD9147" t="str">
            <v/>
          </cell>
          <cell r="AY9147" t="str">
            <v/>
          </cell>
          <cell r="AZ9147" t="str">
            <v/>
          </cell>
          <cell r="BA9147" t="str">
            <v/>
          </cell>
        </row>
        <row r="9148">
          <cell r="B9148" t="str">
            <v>-</v>
          </cell>
          <cell r="E9148" t="str">
            <v/>
          </cell>
          <cell r="G9148" t="str">
            <v/>
          </cell>
          <cell r="J9148" t="str">
            <v/>
          </cell>
          <cell r="O9148" t="str">
            <v/>
          </cell>
          <cell r="P9148" t="str">
            <v/>
          </cell>
          <cell r="Q9148" t="str">
            <v/>
          </cell>
          <cell r="S9148" t="str">
            <v/>
          </cell>
          <cell r="V9148" t="str">
            <v/>
          </cell>
          <cell r="Z9148" t="str">
            <v/>
          </cell>
          <cell r="AA9148" t="str">
            <v/>
          </cell>
          <cell r="AB9148" t="str">
            <v/>
          </cell>
          <cell r="AC9148" t="str">
            <v/>
          </cell>
          <cell r="AD9148" t="str">
            <v/>
          </cell>
          <cell r="AY9148" t="str">
            <v/>
          </cell>
          <cell r="AZ9148" t="str">
            <v/>
          </cell>
          <cell r="BA9148" t="str">
            <v/>
          </cell>
        </row>
        <row r="9149">
          <cell r="B9149" t="str">
            <v>-</v>
          </cell>
          <cell r="E9149" t="str">
            <v/>
          </cell>
          <cell r="G9149" t="str">
            <v/>
          </cell>
          <cell r="J9149" t="str">
            <v/>
          </cell>
          <cell r="O9149" t="str">
            <v/>
          </cell>
          <cell r="P9149" t="str">
            <v/>
          </cell>
          <cell r="Q9149" t="str">
            <v/>
          </cell>
          <cell r="S9149" t="str">
            <v/>
          </cell>
          <cell r="V9149" t="str">
            <v/>
          </cell>
          <cell r="Z9149" t="str">
            <v/>
          </cell>
          <cell r="AA9149" t="str">
            <v/>
          </cell>
          <cell r="AB9149" t="str">
            <v/>
          </cell>
          <cell r="AC9149" t="str">
            <v/>
          </cell>
          <cell r="AD9149" t="str">
            <v/>
          </cell>
          <cell r="AY9149" t="str">
            <v/>
          </cell>
          <cell r="AZ9149" t="str">
            <v/>
          </cell>
          <cell r="BA9149" t="str">
            <v/>
          </cell>
        </row>
        <row r="9150">
          <cell r="B9150" t="str">
            <v>-</v>
          </cell>
          <cell r="E9150" t="str">
            <v/>
          </cell>
          <cell r="G9150" t="str">
            <v/>
          </cell>
          <cell r="J9150" t="str">
            <v/>
          </cell>
          <cell r="O9150" t="str">
            <v/>
          </cell>
          <cell r="P9150" t="str">
            <v/>
          </cell>
          <cell r="Q9150" t="str">
            <v/>
          </cell>
          <cell r="S9150" t="str">
            <v/>
          </cell>
          <cell r="V9150" t="str">
            <v/>
          </cell>
          <cell r="Z9150" t="str">
            <v/>
          </cell>
          <cell r="AA9150" t="str">
            <v/>
          </cell>
          <cell r="AB9150" t="str">
            <v/>
          </cell>
          <cell r="AC9150" t="str">
            <v/>
          </cell>
          <cell r="AD9150" t="str">
            <v/>
          </cell>
          <cell r="AY9150" t="str">
            <v/>
          </cell>
          <cell r="AZ9150" t="str">
            <v/>
          </cell>
          <cell r="BA9150" t="str">
            <v/>
          </cell>
        </row>
        <row r="9151">
          <cell r="B9151" t="str">
            <v>-</v>
          </cell>
          <cell r="E9151" t="str">
            <v/>
          </cell>
          <cell r="G9151" t="str">
            <v/>
          </cell>
          <cell r="J9151" t="str">
            <v/>
          </cell>
          <cell r="O9151" t="str">
            <v/>
          </cell>
          <cell r="P9151" t="str">
            <v/>
          </cell>
          <cell r="Q9151" t="str">
            <v/>
          </cell>
          <cell r="S9151" t="str">
            <v/>
          </cell>
          <cell r="V9151" t="str">
            <v/>
          </cell>
          <cell r="Z9151" t="str">
            <v/>
          </cell>
          <cell r="AA9151" t="str">
            <v/>
          </cell>
          <cell r="AB9151" t="str">
            <v/>
          </cell>
          <cell r="AC9151" t="str">
            <v/>
          </cell>
          <cell r="AD9151" t="str">
            <v/>
          </cell>
          <cell r="AY9151" t="str">
            <v/>
          </cell>
          <cell r="AZ9151" t="str">
            <v/>
          </cell>
          <cell r="BA9151" t="str">
            <v/>
          </cell>
        </row>
        <row r="9152">
          <cell r="B9152" t="str">
            <v>-</v>
          </cell>
          <cell r="E9152" t="str">
            <v/>
          </cell>
          <cell r="G9152" t="str">
            <v/>
          </cell>
          <cell r="J9152" t="str">
            <v/>
          </cell>
          <cell r="O9152" t="str">
            <v/>
          </cell>
          <cell r="P9152" t="str">
            <v/>
          </cell>
          <cell r="Q9152" t="str">
            <v/>
          </cell>
          <cell r="S9152" t="str">
            <v/>
          </cell>
          <cell r="V9152" t="str">
            <v/>
          </cell>
          <cell r="Z9152" t="str">
            <v/>
          </cell>
          <cell r="AA9152" t="str">
            <v/>
          </cell>
          <cell r="AB9152" t="str">
            <v/>
          </cell>
          <cell r="AC9152" t="str">
            <v/>
          </cell>
          <cell r="AD9152" t="str">
            <v/>
          </cell>
          <cell r="AY9152" t="str">
            <v/>
          </cell>
          <cell r="AZ9152" t="str">
            <v/>
          </cell>
          <cell r="BA9152" t="str">
            <v/>
          </cell>
        </row>
        <row r="9153">
          <cell r="B9153" t="str">
            <v>-</v>
          </cell>
          <cell r="E9153" t="str">
            <v/>
          </cell>
          <cell r="G9153" t="str">
            <v/>
          </cell>
          <cell r="J9153" t="str">
            <v/>
          </cell>
          <cell r="O9153" t="str">
            <v/>
          </cell>
          <cell r="P9153" t="str">
            <v/>
          </cell>
          <cell r="Q9153" t="str">
            <v/>
          </cell>
          <cell r="S9153" t="str">
            <v/>
          </cell>
          <cell r="V9153" t="str">
            <v/>
          </cell>
          <cell r="Z9153" t="str">
            <v/>
          </cell>
          <cell r="AA9153" t="str">
            <v/>
          </cell>
          <cell r="AB9153" t="str">
            <v/>
          </cell>
          <cell r="AC9153" t="str">
            <v/>
          </cell>
          <cell r="AD9153" t="str">
            <v/>
          </cell>
          <cell r="AY9153" t="str">
            <v/>
          </cell>
          <cell r="AZ9153" t="str">
            <v/>
          </cell>
          <cell r="BA9153" t="str">
            <v/>
          </cell>
        </row>
        <row r="9154">
          <cell r="B9154" t="str">
            <v>-</v>
          </cell>
          <cell r="E9154" t="str">
            <v/>
          </cell>
          <cell r="G9154" t="str">
            <v/>
          </cell>
          <cell r="J9154" t="str">
            <v/>
          </cell>
          <cell r="O9154" t="str">
            <v/>
          </cell>
          <cell r="P9154" t="str">
            <v/>
          </cell>
          <cell r="Q9154" t="str">
            <v/>
          </cell>
          <cell r="S9154" t="str">
            <v/>
          </cell>
          <cell r="V9154" t="str">
            <v/>
          </cell>
          <cell r="Z9154" t="str">
            <v/>
          </cell>
          <cell r="AA9154" t="str">
            <v/>
          </cell>
          <cell r="AB9154" t="str">
            <v/>
          </cell>
          <cell r="AC9154" t="str">
            <v/>
          </cell>
          <cell r="AD9154" t="str">
            <v/>
          </cell>
          <cell r="AY9154" t="str">
            <v/>
          </cell>
          <cell r="AZ9154" t="str">
            <v/>
          </cell>
          <cell r="BA9154" t="str">
            <v/>
          </cell>
        </row>
        <row r="9155">
          <cell r="B9155" t="str">
            <v>-</v>
          </cell>
          <cell r="E9155" t="str">
            <v/>
          </cell>
          <cell r="G9155" t="str">
            <v/>
          </cell>
          <cell r="J9155" t="str">
            <v/>
          </cell>
          <cell r="O9155" t="str">
            <v/>
          </cell>
          <cell r="P9155" t="str">
            <v/>
          </cell>
          <cell r="Q9155" t="str">
            <v/>
          </cell>
          <cell r="S9155" t="str">
            <v/>
          </cell>
          <cell r="V9155" t="str">
            <v/>
          </cell>
          <cell r="Z9155" t="str">
            <v/>
          </cell>
          <cell r="AA9155" t="str">
            <v/>
          </cell>
          <cell r="AB9155" t="str">
            <v/>
          </cell>
          <cell r="AC9155" t="str">
            <v/>
          </cell>
          <cell r="AD9155" t="str">
            <v/>
          </cell>
          <cell r="AY9155" t="str">
            <v/>
          </cell>
          <cell r="AZ9155" t="str">
            <v/>
          </cell>
          <cell r="BA9155" t="str">
            <v/>
          </cell>
        </row>
        <row r="9156">
          <cell r="B9156" t="str">
            <v>-</v>
          </cell>
          <cell r="E9156" t="str">
            <v/>
          </cell>
          <cell r="G9156" t="str">
            <v/>
          </cell>
          <cell r="J9156" t="str">
            <v/>
          </cell>
          <cell r="O9156" t="str">
            <v/>
          </cell>
          <cell r="P9156" t="str">
            <v/>
          </cell>
          <cell r="Q9156" t="str">
            <v/>
          </cell>
          <cell r="S9156" t="str">
            <v/>
          </cell>
          <cell r="V9156" t="str">
            <v/>
          </cell>
          <cell r="Z9156" t="str">
            <v/>
          </cell>
          <cell r="AA9156" t="str">
            <v/>
          </cell>
          <cell r="AB9156" t="str">
            <v/>
          </cell>
          <cell r="AC9156" t="str">
            <v/>
          </cell>
          <cell r="AD9156" t="str">
            <v/>
          </cell>
          <cell r="AY9156" t="str">
            <v/>
          </cell>
          <cell r="AZ9156" t="str">
            <v/>
          </cell>
          <cell r="BA9156" t="str">
            <v/>
          </cell>
        </row>
        <row r="9157">
          <cell r="B9157" t="str">
            <v>-</v>
          </cell>
          <cell r="E9157" t="str">
            <v/>
          </cell>
          <cell r="G9157" t="str">
            <v/>
          </cell>
          <cell r="J9157" t="str">
            <v/>
          </cell>
          <cell r="O9157" t="str">
            <v/>
          </cell>
          <cell r="P9157" t="str">
            <v/>
          </cell>
          <cell r="Q9157" t="str">
            <v/>
          </cell>
          <cell r="S9157" t="str">
            <v/>
          </cell>
          <cell r="V9157" t="str">
            <v/>
          </cell>
          <cell r="Z9157" t="str">
            <v/>
          </cell>
          <cell r="AA9157" t="str">
            <v/>
          </cell>
          <cell r="AB9157" t="str">
            <v/>
          </cell>
          <cell r="AC9157" t="str">
            <v/>
          </cell>
          <cell r="AD9157" t="str">
            <v/>
          </cell>
          <cell r="AY9157" t="str">
            <v/>
          </cell>
          <cell r="AZ9157" t="str">
            <v/>
          </cell>
          <cell r="BA9157" t="str">
            <v/>
          </cell>
        </row>
        <row r="9158">
          <cell r="B9158" t="str">
            <v>-</v>
          </cell>
          <cell r="E9158" t="str">
            <v/>
          </cell>
          <cell r="G9158" t="str">
            <v/>
          </cell>
          <cell r="J9158" t="str">
            <v/>
          </cell>
          <cell r="O9158" t="str">
            <v/>
          </cell>
          <cell r="P9158" t="str">
            <v/>
          </cell>
          <cell r="Q9158" t="str">
            <v/>
          </cell>
          <cell r="S9158" t="str">
            <v/>
          </cell>
          <cell r="V9158" t="str">
            <v/>
          </cell>
          <cell r="Z9158" t="str">
            <v/>
          </cell>
          <cell r="AA9158" t="str">
            <v/>
          </cell>
          <cell r="AB9158" t="str">
            <v/>
          </cell>
          <cell r="AC9158" t="str">
            <v/>
          </cell>
          <cell r="AD9158" t="str">
            <v/>
          </cell>
          <cell r="AY9158" t="str">
            <v/>
          </cell>
          <cell r="AZ9158" t="str">
            <v/>
          </cell>
          <cell r="BA9158" t="str">
            <v/>
          </cell>
        </row>
        <row r="9159">
          <cell r="B9159" t="str">
            <v>-</v>
          </cell>
          <cell r="E9159" t="str">
            <v/>
          </cell>
          <cell r="G9159" t="str">
            <v/>
          </cell>
          <cell r="J9159" t="str">
            <v/>
          </cell>
          <cell r="O9159" t="str">
            <v/>
          </cell>
          <cell r="P9159" t="str">
            <v/>
          </cell>
          <cell r="Q9159" t="str">
            <v/>
          </cell>
          <cell r="S9159" t="str">
            <v/>
          </cell>
          <cell r="V9159" t="str">
            <v/>
          </cell>
          <cell r="Z9159" t="str">
            <v/>
          </cell>
          <cell r="AA9159" t="str">
            <v/>
          </cell>
          <cell r="AB9159" t="str">
            <v/>
          </cell>
          <cell r="AC9159" t="str">
            <v/>
          </cell>
          <cell r="AD9159" t="str">
            <v/>
          </cell>
          <cell r="AY9159" t="str">
            <v/>
          </cell>
          <cell r="AZ9159" t="str">
            <v/>
          </cell>
          <cell r="BA9159" t="str">
            <v/>
          </cell>
        </row>
        <row r="9160">
          <cell r="B9160" t="str">
            <v>-</v>
          </cell>
          <cell r="E9160" t="str">
            <v/>
          </cell>
          <cell r="G9160" t="str">
            <v/>
          </cell>
          <cell r="J9160" t="str">
            <v/>
          </cell>
          <cell r="O9160" t="str">
            <v/>
          </cell>
          <cell r="P9160" t="str">
            <v/>
          </cell>
          <cell r="Q9160" t="str">
            <v/>
          </cell>
          <cell r="S9160" t="str">
            <v/>
          </cell>
          <cell r="V9160" t="str">
            <v/>
          </cell>
          <cell r="Z9160" t="str">
            <v/>
          </cell>
          <cell r="AA9160" t="str">
            <v/>
          </cell>
          <cell r="AB9160" t="str">
            <v/>
          </cell>
          <cell r="AC9160" t="str">
            <v/>
          </cell>
          <cell r="AD9160" t="str">
            <v/>
          </cell>
          <cell r="AY9160" t="str">
            <v/>
          </cell>
          <cell r="AZ9160" t="str">
            <v/>
          </cell>
          <cell r="BA9160" t="str">
            <v/>
          </cell>
        </row>
        <row r="9161">
          <cell r="B9161" t="str">
            <v>-</v>
          </cell>
          <cell r="E9161" t="str">
            <v/>
          </cell>
          <cell r="G9161" t="str">
            <v/>
          </cell>
          <cell r="J9161" t="str">
            <v/>
          </cell>
          <cell r="O9161" t="str">
            <v/>
          </cell>
          <cell r="P9161" t="str">
            <v/>
          </cell>
          <cell r="Q9161" t="str">
            <v/>
          </cell>
          <cell r="S9161" t="str">
            <v/>
          </cell>
          <cell r="V9161" t="str">
            <v/>
          </cell>
          <cell r="Z9161" t="str">
            <v/>
          </cell>
          <cell r="AA9161" t="str">
            <v/>
          </cell>
          <cell r="AB9161" t="str">
            <v/>
          </cell>
          <cell r="AC9161" t="str">
            <v/>
          </cell>
          <cell r="AD9161" t="str">
            <v/>
          </cell>
          <cell r="AY9161" t="str">
            <v/>
          </cell>
          <cell r="AZ9161" t="str">
            <v/>
          </cell>
          <cell r="BA9161" t="str">
            <v/>
          </cell>
        </row>
        <row r="9162">
          <cell r="B9162" t="str">
            <v>-</v>
          </cell>
          <cell r="E9162" t="str">
            <v/>
          </cell>
          <cell r="G9162" t="str">
            <v/>
          </cell>
          <cell r="J9162" t="str">
            <v/>
          </cell>
          <cell r="O9162" t="str">
            <v/>
          </cell>
          <cell r="P9162" t="str">
            <v/>
          </cell>
          <cell r="Q9162" t="str">
            <v/>
          </cell>
          <cell r="S9162" t="str">
            <v/>
          </cell>
          <cell r="V9162" t="str">
            <v/>
          </cell>
          <cell r="Z9162" t="str">
            <v/>
          </cell>
          <cell r="AA9162" t="str">
            <v/>
          </cell>
          <cell r="AB9162" t="str">
            <v/>
          </cell>
          <cell r="AC9162" t="str">
            <v/>
          </cell>
          <cell r="AD9162" t="str">
            <v/>
          </cell>
          <cell r="AY9162" t="str">
            <v/>
          </cell>
          <cell r="AZ9162" t="str">
            <v/>
          </cell>
          <cell r="BA9162" t="str">
            <v/>
          </cell>
        </row>
        <row r="9163">
          <cell r="B9163" t="str">
            <v>-</v>
          </cell>
          <cell r="E9163" t="str">
            <v/>
          </cell>
          <cell r="G9163" t="str">
            <v/>
          </cell>
          <cell r="J9163" t="str">
            <v/>
          </cell>
          <cell r="O9163" t="str">
            <v/>
          </cell>
          <cell r="P9163" t="str">
            <v/>
          </cell>
          <cell r="Q9163" t="str">
            <v/>
          </cell>
          <cell r="S9163" t="str">
            <v/>
          </cell>
          <cell r="V9163" t="str">
            <v/>
          </cell>
          <cell r="Z9163" t="str">
            <v/>
          </cell>
          <cell r="AA9163" t="str">
            <v/>
          </cell>
          <cell r="AB9163" t="str">
            <v/>
          </cell>
          <cell r="AC9163" t="str">
            <v/>
          </cell>
          <cell r="AD9163" t="str">
            <v/>
          </cell>
          <cell r="AY9163" t="str">
            <v/>
          </cell>
          <cell r="AZ9163" t="str">
            <v/>
          </cell>
          <cell r="BA9163" t="str">
            <v/>
          </cell>
        </row>
        <row r="9164">
          <cell r="B9164" t="str">
            <v>-</v>
          </cell>
          <cell r="E9164" t="str">
            <v/>
          </cell>
          <cell r="G9164" t="str">
            <v/>
          </cell>
          <cell r="J9164" t="str">
            <v/>
          </cell>
          <cell r="O9164" t="str">
            <v/>
          </cell>
          <cell r="P9164" t="str">
            <v/>
          </cell>
          <cell r="Q9164" t="str">
            <v/>
          </cell>
          <cell r="S9164" t="str">
            <v/>
          </cell>
          <cell r="V9164" t="str">
            <v/>
          </cell>
          <cell r="Z9164" t="str">
            <v/>
          </cell>
          <cell r="AA9164" t="str">
            <v/>
          </cell>
          <cell r="AB9164" t="str">
            <v/>
          </cell>
          <cell r="AC9164" t="str">
            <v/>
          </cell>
          <cell r="AD9164" t="str">
            <v/>
          </cell>
          <cell r="AY9164" t="str">
            <v/>
          </cell>
          <cell r="AZ9164" t="str">
            <v/>
          </cell>
          <cell r="BA9164" t="str">
            <v/>
          </cell>
        </row>
        <row r="9165">
          <cell r="B9165" t="str">
            <v>-</v>
          </cell>
          <cell r="E9165" t="str">
            <v/>
          </cell>
          <cell r="G9165" t="str">
            <v/>
          </cell>
          <cell r="J9165" t="str">
            <v/>
          </cell>
          <cell r="O9165" t="str">
            <v/>
          </cell>
          <cell r="P9165" t="str">
            <v/>
          </cell>
          <cell r="Q9165" t="str">
            <v/>
          </cell>
          <cell r="S9165" t="str">
            <v/>
          </cell>
          <cell r="V9165" t="str">
            <v/>
          </cell>
          <cell r="Z9165" t="str">
            <v/>
          </cell>
          <cell r="AA9165" t="str">
            <v/>
          </cell>
          <cell r="AB9165" t="str">
            <v/>
          </cell>
          <cell r="AC9165" t="str">
            <v/>
          </cell>
          <cell r="AD9165" t="str">
            <v/>
          </cell>
          <cell r="AY9165" t="str">
            <v/>
          </cell>
          <cell r="AZ9165" t="str">
            <v/>
          </cell>
          <cell r="BA9165" t="str">
            <v/>
          </cell>
        </row>
        <row r="9166">
          <cell r="B9166" t="str">
            <v>-</v>
          </cell>
          <cell r="E9166" t="str">
            <v/>
          </cell>
          <cell r="G9166" t="str">
            <v/>
          </cell>
          <cell r="J9166" t="str">
            <v/>
          </cell>
          <cell r="O9166" t="str">
            <v/>
          </cell>
          <cell r="P9166" t="str">
            <v/>
          </cell>
          <cell r="Q9166" t="str">
            <v/>
          </cell>
          <cell r="S9166" t="str">
            <v/>
          </cell>
          <cell r="V9166" t="str">
            <v/>
          </cell>
          <cell r="Z9166" t="str">
            <v/>
          </cell>
          <cell r="AA9166" t="str">
            <v/>
          </cell>
          <cell r="AB9166" t="str">
            <v/>
          </cell>
          <cell r="AC9166" t="str">
            <v/>
          </cell>
          <cell r="AD9166" t="str">
            <v/>
          </cell>
          <cell r="AY9166" t="str">
            <v/>
          </cell>
          <cell r="AZ9166" t="str">
            <v/>
          </cell>
          <cell r="BA9166" t="str">
            <v/>
          </cell>
        </row>
        <row r="9167">
          <cell r="B9167" t="str">
            <v>-</v>
          </cell>
          <cell r="E9167" t="str">
            <v/>
          </cell>
          <cell r="G9167" t="str">
            <v/>
          </cell>
          <cell r="J9167" t="str">
            <v/>
          </cell>
          <cell r="O9167" t="str">
            <v/>
          </cell>
          <cell r="P9167" t="str">
            <v/>
          </cell>
          <cell r="Q9167" t="str">
            <v/>
          </cell>
          <cell r="S9167" t="str">
            <v/>
          </cell>
          <cell r="V9167" t="str">
            <v/>
          </cell>
          <cell r="Z9167" t="str">
            <v/>
          </cell>
          <cell r="AA9167" t="str">
            <v/>
          </cell>
          <cell r="AB9167" t="str">
            <v/>
          </cell>
          <cell r="AC9167" t="str">
            <v/>
          </cell>
          <cell r="AD9167" t="str">
            <v/>
          </cell>
          <cell r="AY9167" t="str">
            <v/>
          </cell>
          <cell r="AZ9167" t="str">
            <v/>
          </cell>
          <cell r="BA9167" t="str">
            <v/>
          </cell>
        </row>
        <row r="9168">
          <cell r="B9168" t="str">
            <v>-</v>
          </cell>
          <cell r="E9168" t="str">
            <v/>
          </cell>
          <cell r="G9168" t="str">
            <v/>
          </cell>
          <cell r="J9168" t="str">
            <v/>
          </cell>
          <cell r="O9168" t="str">
            <v/>
          </cell>
          <cell r="P9168" t="str">
            <v/>
          </cell>
          <cell r="Q9168" t="str">
            <v/>
          </cell>
          <cell r="S9168" t="str">
            <v/>
          </cell>
          <cell r="V9168" t="str">
            <v/>
          </cell>
          <cell r="Z9168" t="str">
            <v/>
          </cell>
          <cell r="AA9168" t="str">
            <v/>
          </cell>
          <cell r="AB9168" t="str">
            <v/>
          </cell>
          <cell r="AC9168" t="str">
            <v/>
          </cell>
          <cell r="AD9168" t="str">
            <v/>
          </cell>
          <cell r="AY9168" t="str">
            <v/>
          </cell>
          <cell r="AZ9168" t="str">
            <v/>
          </cell>
          <cell r="BA9168" t="str">
            <v/>
          </cell>
        </row>
        <row r="9169">
          <cell r="B9169" t="str">
            <v>-</v>
          </cell>
          <cell r="E9169" t="str">
            <v/>
          </cell>
          <cell r="G9169" t="str">
            <v/>
          </cell>
          <cell r="J9169" t="str">
            <v/>
          </cell>
          <cell r="O9169" t="str">
            <v/>
          </cell>
          <cell r="P9169" t="str">
            <v/>
          </cell>
          <cell r="Q9169" t="str">
            <v/>
          </cell>
          <cell r="S9169" t="str">
            <v/>
          </cell>
          <cell r="V9169" t="str">
            <v/>
          </cell>
          <cell r="Z9169" t="str">
            <v/>
          </cell>
          <cell r="AA9169" t="str">
            <v/>
          </cell>
          <cell r="AB9169" t="str">
            <v/>
          </cell>
          <cell r="AC9169" t="str">
            <v/>
          </cell>
          <cell r="AD9169" t="str">
            <v/>
          </cell>
          <cell r="AY9169" t="str">
            <v/>
          </cell>
          <cell r="AZ9169" t="str">
            <v/>
          </cell>
          <cell r="BA9169" t="str">
            <v/>
          </cell>
        </row>
        <row r="9170">
          <cell r="B9170" t="str">
            <v>-</v>
          </cell>
          <cell r="E9170" t="str">
            <v/>
          </cell>
          <cell r="G9170" t="str">
            <v/>
          </cell>
          <cell r="J9170" t="str">
            <v/>
          </cell>
          <cell r="O9170" t="str">
            <v/>
          </cell>
          <cell r="P9170" t="str">
            <v/>
          </cell>
          <cell r="Q9170" t="str">
            <v/>
          </cell>
          <cell r="S9170" t="str">
            <v/>
          </cell>
          <cell r="V9170" t="str">
            <v/>
          </cell>
          <cell r="Z9170" t="str">
            <v/>
          </cell>
          <cell r="AA9170" t="str">
            <v/>
          </cell>
          <cell r="AB9170" t="str">
            <v/>
          </cell>
          <cell r="AC9170" t="str">
            <v/>
          </cell>
          <cell r="AD9170" t="str">
            <v/>
          </cell>
          <cell r="AY9170" t="str">
            <v/>
          </cell>
          <cell r="AZ9170" t="str">
            <v/>
          </cell>
          <cell r="BA9170" t="str">
            <v/>
          </cell>
        </row>
        <row r="9171">
          <cell r="B9171" t="str">
            <v>-</v>
          </cell>
          <cell r="E9171" t="str">
            <v/>
          </cell>
          <cell r="G9171" t="str">
            <v/>
          </cell>
          <cell r="J9171" t="str">
            <v/>
          </cell>
          <cell r="O9171" t="str">
            <v/>
          </cell>
          <cell r="P9171" t="str">
            <v/>
          </cell>
          <cell r="Q9171" t="str">
            <v/>
          </cell>
          <cell r="S9171" t="str">
            <v/>
          </cell>
          <cell r="V9171" t="str">
            <v/>
          </cell>
          <cell r="Z9171" t="str">
            <v/>
          </cell>
          <cell r="AA9171" t="str">
            <v/>
          </cell>
          <cell r="AB9171" t="str">
            <v/>
          </cell>
          <cell r="AC9171" t="str">
            <v/>
          </cell>
          <cell r="AD9171" t="str">
            <v/>
          </cell>
          <cell r="AY9171" t="str">
            <v/>
          </cell>
          <cell r="AZ9171" t="str">
            <v/>
          </cell>
          <cell r="BA9171" t="str">
            <v/>
          </cell>
        </row>
        <row r="9172">
          <cell r="B9172" t="str">
            <v>-</v>
          </cell>
          <cell r="E9172" t="str">
            <v/>
          </cell>
          <cell r="G9172" t="str">
            <v/>
          </cell>
          <cell r="J9172" t="str">
            <v/>
          </cell>
          <cell r="O9172" t="str">
            <v/>
          </cell>
          <cell r="P9172" t="str">
            <v/>
          </cell>
          <cell r="Q9172" t="str">
            <v/>
          </cell>
          <cell r="S9172" t="str">
            <v/>
          </cell>
          <cell r="V9172" t="str">
            <v/>
          </cell>
          <cell r="Z9172" t="str">
            <v/>
          </cell>
          <cell r="AA9172" t="str">
            <v/>
          </cell>
          <cell r="AB9172" t="str">
            <v/>
          </cell>
          <cell r="AC9172" t="str">
            <v/>
          </cell>
          <cell r="AD9172" t="str">
            <v/>
          </cell>
          <cell r="AY9172" t="str">
            <v/>
          </cell>
          <cell r="AZ9172" t="str">
            <v/>
          </cell>
          <cell r="BA9172" t="str">
            <v/>
          </cell>
        </row>
        <row r="9173">
          <cell r="B9173" t="str">
            <v>-</v>
          </cell>
          <cell r="E9173" t="str">
            <v/>
          </cell>
          <cell r="G9173" t="str">
            <v/>
          </cell>
          <cell r="J9173" t="str">
            <v/>
          </cell>
          <cell r="O9173" t="str">
            <v/>
          </cell>
          <cell r="P9173" t="str">
            <v/>
          </cell>
          <cell r="Q9173" t="str">
            <v/>
          </cell>
          <cell r="S9173" t="str">
            <v/>
          </cell>
          <cell r="V9173" t="str">
            <v/>
          </cell>
          <cell r="Z9173" t="str">
            <v/>
          </cell>
          <cell r="AA9173" t="str">
            <v/>
          </cell>
          <cell r="AB9173" t="str">
            <v/>
          </cell>
          <cell r="AC9173" t="str">
            <v/>
          </cell>
          <cell r="AD9173" t="str">
            <v/>
          </cell>
          <cell r="AY9173" t="str">
            <v/>
          </cell>
          <cell r="AZ9173" t="str">
            <v/>
          </cell>
          <cell r="BA9173" t="str">
            <v/>
          </cell>
        </row>
        <row r="9174">
          <cell r="B9174" t="str">
            <v>-</v>
          </cell>
          <cell r="E9174" t="str">
            <v/>
          </cell>
          <cell r="G9174" t="str">
            <v/>
          </cell>
          <cell r="J9174" t="str">
            <v/>
          </cell>
          <cell r="O9174" t="str">
            <v/>
          </cell>
          <cell r="P9174" t="str">
            <v/>
          </cell>
          <cell r="Q9174" t="str">
            <v/>
          </cell>
          <cell r="S9174" t="str">
            <v/>
          </cell>
          <cell r="V9174" t="str">
            <v/>
          </cell>
          <cell r="Z9174" t="str">
            <v/>
          </cell>
          <cell r="AA9174" t="str">
            <v/>
          </cell>
          <cell r="AB9174" t="str">
            <v/>
          </cell>
          <cell r="AC9174" t="str">
            <v/>
          </cell>
          <cell r="AD9174" t="str">
            <v/>
          </cell>
          <cell r="AY9174" t="str">
            <v/>
          </cell>
          <cell r="AZ9174" t="str">
            <v/>
          </cell>
          <cell r="BA9174" t="str">
            <v/>
          </cell>
        </row>
        <row r="9175">
          <cell r="B9175" t="str">
            <v>-</v>
          </cell>
          <cell r="E9175" t="str">
            <v/>
          </cell>
          <cell r="G9175" t="str">
            <v/>
          </cell>
          <cell r="J9175" t="str">
            <v/>
          </cell>
          <cell r="O9175" t="str">
            <v/>
          </cell>
          <cell r="P9175" t="str">
            <v/>
          </cell>
          <cell r="Q9175" t="str">
            <v/>
          </cell>
          <cell r="S9175" t="str">
            <v/>
          </cell>
          <cell r="V9175" t="str">
            <v/>
          </cell>
          <cell r="Z9175" t="str">
            <v/>
          </cell>
          <cell r="AA9175" t="str">
            <v/>
          </cell>
          <cell r="AB9175" t="str">
            <v/>
          </cell>
          <cell r="AC9175" t="str">
            <v/>
          </cell>
          <cell r="AD9175" t="str">
            <v/>
          </cell>
          <cell r="AY9175" t="str">
            <v/>
          </cell>
          <cell r="AZ9175" t="str">
            <v/>
          </cell>
          <cell r="BA9175" t="str">
            <v/>
          </cell>
        </row>
        <row r="9176">
          <cell r="B9176" t="str">
            <v>-</v>
          </cell>
          <cell r="E9176" t="str">
            <v/>
          </cell>
          <cell r="G9176" t="str">
            <v/>
          </cell>
          <cell r="J9176" t="str">
            <v/>
          </cell>
          <cell r="O9176" t="str">
            <v/>
          </cell>
          <cell r="P9176" t="str">
            <v/>
          </cell>
          <cell r="Q9176" t="str">
            <v/>
          </cell>
          <cell r="S9176" t="str">
            <v/>
          </cell>
          <cell r="V9176" t="str">
            <v/>
          </cell>
          <cell r="Z9176" t="str">
            <v/>
          </cell>
          <cell r="AA9176" t="str">
            <v/>
          </cell>
          <cell r="AB9176" t="str">
            <v/>
          </cell>
          <cell r="AC9176" t="str">
            <v/>
          </cell>
          <cell r="AD9176" t="str">
            <v/>
          </cell>
          <cell r="AY9176" t="str">
            <v/>
          </cell>
          <cell r="AZ9176" t="str">
            <v/>
          </cell>
          <cell r="BA9176" t="str">
            <v/>
          </cell>
        </row>
        <row r="9177">
          <cell r="B9177" t="str">
            <v>-</v>
          </cell>
          <cell r="E9177" t="str">
            <v/>
          </cell>
          <cell r="G9177" t="str">
            <v/>
          </cell>
          <cell r="J9177" t="str">
            <v/>
          </cell>
          <cell r="O9177" t="str">
            <v/>
          </cell>
          <cell r="P9177" t="str">
            <v/>
          </cell>
          <cell r="Q9177" t="str">
            <v/>
          </cell>
          <cell r="S9177" t="str">
            <v/>
          </cell>
          <cell r="V9177" t="str">
            <v/>
          </cell>
          <cell r="Z9177" t="str">
            <v/>
          </cell>
          <cell r="AA9177" t="str">
            <v/>
          </cell>
          <cell r="AB9177" t="str">
            <v/>
          </cell>
          <cell r="AC9177" t="str">
            <v/>
          </cell>
          <cell r="AD9177" t="str">
            <v/>
          </cell>
          <cell r="AY9177" t="str">
            <v/>
          </cell>
          <cell r="AZ9177" t="str">
            <v/>
          </cell>
          <cell r="BA9177" t="str">
            <v/>
          </cell>
        </row>
        <row r="9178">
          <cell r="B9178" t="str">
            <v>-</v>
          </cell>
          <cell r="E9178" t="str">
            <v/>
          </cell>
          <cell r="G9178" t="str">
            <v/>
          </cell>
          <cell r="J9178" t="str">
            <v/>
          </cell>
          <cell r="O9178" t="str">
            <v/>
          </cell>
          <cell r="P9178" t="str">
            <v/>
          </cell>
          <cell r="Q9178" t="str">
            <v/>
          </cell>
          <cell r="S9178" t="str">
            <v/>
          </cell>
          <cell r="V9178" t="str">
            <v/>
          </cell>
          <cell r="Z9178" t="str">
            <v/>
          </cell>
          <cell r="AA9178" t="str">
            <v/>
          </cell>
          <cell r="AB9178" t="str">
            <v/>
          </cell>
          <cell r="AC9178" t="str">
            <v/>
          </cell>
          <cell r="AD9178" t="str">
            <v/>
          </cell>
          <cell r="AY9178" t="str">
            <v/>
          </cell>
          <cell r="AZ9178" t="str">
            <v/>
          </cell>
          <cell r="BA9178" t="str">
            <v/>
          </cell>
        </row>
        <row r="9179">
          <cell r="B9179" t="str">
            <v>-</v>
          </cell>
          <cell r="E9179" t="str">
            <v/>
          </cell>
          <cell r="G9179" t="str">
            <v/>
          </cell>
          <cell r="J9179" t="str">
            <v/>
          </cell>
          <cell r="O9179" t="str">
            <v/>
          </cell>
          <cell r="P9179" t="str">
            <v/>
          </cell>
          <cell r="Q9179" t="str">
            <v/>
          </cell>
          <cell r="S9179" t="str">
            <v/>
          </cell>
          <cell r="V9179" t="str">
            <v/>
          </cell>
          <cell r="Z9179" t="str">
            <v/>
          </cell>
          <cell r="AA9179" t="str">
            <v/>
          </cell>
          <cell r="AB9179" t="str">
            <v/>
          </cell>
          <cell r="AC9179" t="str">
            <v/>
          </cell>
          <cell r="AD9179" t="str">
            <v/>
          </cell>
          <cell r="AY9179" t="str">
            <v/>
          </cell>
          <cell r="AZ9179" t="str">
            <v/>
          </cell>
          <cell r="BA9179" t="str">
            <v/>
          </cell>
        </row>
        <row r="9180">
          <cell r="B9180" t="str">
            <v>-</v>
          </cell>
          <cell r="E9180" t="str">
            <v/>
          </cell>
          <cell r="G9180" t="str">
            <v/>
          </cell>
          <cell r="J9180" t="str">
            <v/>
          </cell>
          <cell r="O9180" t="str">
            <v/>
          </cell>
          <cell r="P9180" t="str">
            <v/>
          </cell>
          <cell r="Q9180" t="str">
            <v/>
          </cell>
          <cell r="S9180" t="str">
            <v/>
          </cell>
          <cell r="V9180" t="str">
            <v/>
          </cell>
          <cell r="Z9180" t="str">
            <v/>
          </cell>
          <cell r="AA9180" t="str">
            <v/>
          </cell>
          <cell r="AB9180" t="str">
            <v/>
          </cell>
          <cell r="AC9180" t="str">
            <v/>
          </cell>
          <cell r="AD9180" t="str">
            <v/>
          </cell>
          <cell r="AY9180" t="str">
            <v/>
          </cell>
          <cell r="AZ9180" t="str">
            <v/>
          </cell>
          <cell r="BA9180" t="str">
            <v/>
          </cell>
        </row>
        <row r="9181">
          <cell r="B9181" t="str">
            <v>-</v>
          </cell>
          <cell r="E9181" t="str">
            <v/>
          </cell>
          <cell r="G9181" t="str">
            <v/>
          </cell>
          <cell r="J9181" t="str">
            <v/>
          </cell>
          <cell r="O9181" t="str">
            <v/>
          </cell>
          <cell r="P9181" t="str">
            <v/>
          </cell>
          <cell r="Q9181" t="str">
            <v/>
          </cell>
          <cell r="S9181" t="str">
            <v/>
          </cell>
          <cell r="V9181" t="str">
            <v/>
          </cell>
          <cell r="Z9181" t="str">
            <v/>
          </cell>
          <cell r="AA9181" t="str">
            <v/>
          </cell>
          <cell r="AB9181" t="str">
            <v/>
          </cell>
          <cell r="AC9181" t="str">
            <v/>
          </cell>
          <cell r="AD9181" t="str">
            <v/>
          </cell>
          <cell r="AY9181" t="str">
            <v/>
          </cell>
          <cell r="AZ9181" t="str">
            <v/>
          </cell>
          <cell r="BA9181" t="str">
            <v/>
          </cell>
        </row>
        <row r="9182">
          <cell r="B9182" t="str">
            <v>-</v>
          </cell>
          <cell r="E9182" t="str">
            <v/>
          </cell>
          <cell r="G9182" t="str">
            <v/>
          </cell>
          <cell r="J9182" t="str">
            <v/>
          </cell>
          <cell r="O9182" t="str">
            <v/>
          </cell>
          <cell r="P9182" t="str">
            <v/>
          </cell>
          <cell r="Q9182" t="str">
            <v/>
          </cell>
          <cell r="S9182" t="str">
            <v/>
          </cell>
          <cell r="V9182" t="str">
            <v/>
          </cell>
          <cell r="Z9182" t="str">
            <v/>
          </cell>
          <cell r="AA9182" t="str">
            <v/>
          </cell>
          <cell r="AB9182" t="str">
            <v/>
          </cell>
          <cell r="AC9182" t="str">
            <v/>
          </cell>
          <cell r="AD9182" t="str">
            <v/>
          </cell>
          <cell r="AY9182" t="str">
            <v/>
          </cell>
          <cell r="AZ9182" t="str">
            <v/>
          </cell>
          <cell r="BA9182" t="str">
            <v/>
          </cell>
        </row>
        <row r="9183">
          <cell r="B9183" t="str">
            <v>-</v>
          </cell>
          <cell r="E9183" t="str">
            <v/>
          </cell>
          <cell r="G9183" t="str">
            <v/>
          </cell>
          <cell r="J9183" t="str">
            <v/>
          </cell>
          <cell r="O9183" t="str">
            <v/>
          </cell>
          <cell r="P9183" t="str">
            <v/>
          </cell>
          <cell r="Q9183" t="str">
            <v/>
          </cell>
          <cell r="S9183" t="str">
            <v/>
          </cell>
          <cell r="V9183" t="str">
            <v/>
          </cell>
          <cell r="Z9183" t="str">
            <v/>
          </cell>
          <cell r="AA9183" t="str">
            <v/>
          </cell>
          <cell r="AB9183" t="str">
            <v/>
          </cell>
          <cell r="AC9183" t="str">
            <v/>
          </cell>
          <cell r="AD9183" t="str">
            <v/>
          </cell>
          <cell r="AY9183" t="str">
            <v/>
          </cell>
          <cell r="AZ9183" t="str">
            <v/>
          </cell>
          <cell r="BA9183" t="str">
            <v/>
          </cell>
        </row>
        <row r="9184">
          <cell r="B9184" t="str">
            <v>-</v>
          </cell>
          <cell r="E9184" t="str">
            <v/>
          </cell>
          <cell r="G9184" t="str">
            <v/>
          </cell>
          <cell r="J9184" t="str">
            <v/>
          </cell>
          <cell r="O9184" t="str">
            <v/>
          </cell>
          <cell r="P9184" t="str">
            <v/>
          </cell>
          <cell r="Q9184" t="str">
            <v/>
          </cell>
          <cell r="S9184" t="str">
            <v/>
          </cell>
          <cell r="V9184" t="str">
            <v/>
          </cell>
          <cell r="Z9184" t="str">
            <v/>
          </cell>
          <cell r="AA9184" t="str">
            <v/>
          </cell>
          <cell r="AB9184" t="str">
            <v/>
          </cell>
          <cell r="AC9184" t="str">
            <v/>
          </cell>
          <cell r="AD9184" t="str">
            <v/>
          </cell>
          <cell r="AY9184" t="str">
            <v/>
          </cell>
          <cell r="AZ9184" t="str">
            <v/>
          </cell>
          <cell r="BA9184" t="str">
            <v/>
          </cell>
        </row>
        <row r="9185">
          <cell r="B9185" t="str">
            <v>-</v>
          </cell>
          <cell r="E9185" t="str">
            <v/>
          </cell>
          <cell r="G9185" t="str">
            <v/>
          </cell>
          <cell r="J9185" t="str">
            <v/>
          </cell>
          <cell r="O9185" t="str">
            <v/>
          </cell>
          <cell r="P9185" t="str">
            <v/>
          </cell>
          <cell r="Q9185" t="str">
            <v/>
          </cell>
          <cell r="S9185" t="str">
            <v/>
          </cell>
          <cell r="V9185" t="str">
            <v/>
          </cell>
          <cell r="Z9185" t="str">
            <v/>
          </cell>
          <cell r="AA9185" t="str">
            <v/>
          </cell>
          <cell r="AB9185" t="str">
            <v/>
          </cell>
          <cell r="AC9185" t="str">
            <v/>
          </cell>
          <cell r="AD9185" t="str">
            <v/>
          </cell>
          <cell r="AY9185" t="str">
            <v/>
          </cell>
          <cell r="AZ9185" t="str">
            <v/>
          </cell>
          <cell r="BA9185" t="str">
            <v/>
          </cell>
        </row>
        <row r="9186">
          <cell r="B9186" t="str">
            <v>-</v>
          </cell>
          <cell r="E9186" t="str">
            <v/>
          </cell>
          <cell r="G9186" t="str">
            <v/>
          </cell>
          <cell r="J9186" t="str">
            <v/>
          </cell>
          <cell r="O9186" t="str">
            <v/>
          </cell>
          <cell r="P9186" t="str">
            <v/>
          </cell>
          <cell r="Q9186" t="str">
            <v/>
          </cell>
          <cell r="S9186" t="str">
            <v/>
          </cell>
          <cell r="V9186" t="str">
            <v/>
          </cell>
          <cell r="Z9186" t="str">
            <v/>
          </cell>
          <cell r="AA9186" t="str">
            <v/>
          </cell>
          <cell r="AB9186" t="str">
            <v/>
          </cell>
          <cell r="AC9186" t="str">
            <v/>
          </cell>
          <cell r="AD9186" t="str">
            <v/>
          </cell>
          <cell r="AY9186" t="str">
            <v/>
          </cell>
          <cell r="AZ9186" t="str">
            <v/>
          </cell>
          <cell r="BA9186" t="str">
            <v/>
          </cell>
        </row>
        <row r="9187">
          <cell r="B9187" t="str">
            <v>-</v>
          </cell>
          <cell r="E9187" t="str">
            <v/>
          </cell>
          <cell r="G9187" t="str">
            <v/>
          </cell>
          <cell r="J9187" t="str">
            <v/>
          </cell>
          <cell r="O9187" t="str">
            <v/>
          </cell>
          <cell r="P9187" t="str">
            <v/>
          </cell>
          <cell r="Q9187" t="str">
            <v/>
          </cell>
          <cell r="S9187" t="str">
            <v/>
          </cell>
          <cell r="V9187" t="str">
            <v/>
          </cell>
          <cell r="Z9187" t="str">
            <v/>
          </cell>
          <cell r="AA9187" t="str">
            <v/>
          </cell>
          <cell r="AB9187" t="str">
            <v/>
          </cell>
          <cell r="AC9187" t="str">
            <v/>
          </cell>
          <cell r="AD9187" t="str">
            <v/>
          </cell>
          <cell r="AY9187" t="str">
            <v/>
          </cell>
          <cell r="AZ9187" t="str">
            <v/>
          </cell>
          <cell r="BA9187" t="str">
            <v/>
          </cell>
        </row>
        <row r="9188">
          <cell r="B9188" t="str">
            <v>-</v>
          </cell>
          <cell r="E9188" t="str">
            <v/>
          </cell>
          <cell r="G9188" t="str">
            <v/>
          </cell>
          <cell r="J9188" t="str">
            <v/>
          </cell>
          <cell r="O9188" t="str">
            <v/>
          </cell>
          <cell r="P9188" t="str">
            <v/>
          </cell>
          <cell r="Q9188" t="str">
            <v/>
          </cell>
          <cell r="S9188" t="str">
            <v/>
          </cell>
          <cell r="V9188" t="str">
            <v/>
          </cell>
          <cell r="Z9188" t="str">
            <v/>
          </cell>
          <cell r="AA9188" t="str">
            <v/>
          </cell>
          <cell r="AB9188" t="str">
            <v/>
          </cell>
          <cell r="AC9188" t="str">
            <v/>
          </cell>
          <cell r="AD9188" t="str">
            <v/>
          </cell>
          <cell r="AY9188" t="str">
            <v/>
          </cell>
          <cell r="AZ9188" t="str">
            <v/>
          </cell>
          <cell r="BA9188" t="str">
            <v/>
          </cell>
        </row>
        <row r="9189">
          <cell r="B9189" t="str">
            <v>-</v>
          </cell>
          <cell r="E9189" t="str">
            <v/>
          </cell>
          <cell r="G9189" t="str">
            <v/>
          </cell>
          <cell r="J9189" t="str">
            <v/>
          </cell>
          <cell r="O9189" t="str">
            <v/>
          </cell>
          <cell r="P9189" t="str">
            <v/>
          </cell>
          <cell r="Q9189" t="str">
            <v/>
          </cell>
          <cell r="S9189" t="str">
            <v/>
          </cell>
          <cell r="V9189" t="str">
            <v/>
          </cell>
          <cell r="Z9189" t="str">
            <v/>
          </cell>
          <cell r="AA9189" t="str">
            <v/>
          </cell>
          <cell r="AB9189" t="str">
            <v/>
          </cell>
          <cell r="AC9189" t="str">
            <v/>
          </cell>
          <cell r="AD9189" t="str">
            <v/>
          </cell>
          <cell r="AY9189" t="str">
            <v/>
          </cell>
          <cell r="AZ9189" t="str">
            <v/>
          </cell>
          <cell r="BA9189" t="str">
            <v/>
          </cell>
        </row>
        <row r="9190">
          <cell r="B9190" t="str">
            <v>-</v>
          </cell>
          <cell r="E9190" t="str">
            <v/>
          </cell>
          <cell r="G9190" t="str">
            <v/>
          </cell>
          <cell r="J9190" t="str">
            <v/>
          </cell>
          <cell r="O9190" t="str">
            <v/>
          </cell>
          <cell r="P9190" t="str">
            <v/>
          </cell>
          <cell r="Q9190" t="str">
            <v/>
          </cell>
          <cell r="S9190" t="str">
            <v/>
          </cell>
          <cell r="V9190" t="str">
            <v/>
          </cell>
          <cell r="Z9190" t="str">
            <v/>
          </cell>
          <cell r="AA9190" t="str">
            <v/>
          </cell>
          <cell r="AB9190" t="str">
            <v/>
          </cell>
          <cell r="AC9190" t="str">
            <v/>
          </cell>
          <cell r="AD9190" t="str">
            <v/>
          </cell>
          <cell r="AY9190" t="str">
            <v/>
          </cell>
          <cell r="AZ9190" t="str">
            <v/>
          </cell>
          <cell r="BA9190" t="str">
            <v/>
          </cell>
        </row>
        <row r="9191">
          <cell r="B9191" t="str">
            <v>-</v>
          </cell>
          <cell r="E9191" t="str">
            <v/>
          </cell>
          <cell r="G9191" t="str">
            <v/>
          </cell>
          <cell r="J9191" t="str">
            <v/>
          </cell>
          <cell r="O9191" t="str">
            <v/>
          </cell>
          <cell r="P9191" t="str">
            <v/>
          </cell>
          <cell r="Q9191" t="str">
            <v/>
          </cell>
          <cell r="S9191" t="str">
            <v/>
          </cell>
          <cell r="V9191" t="str">
            <v/>
          </cell>
          <cell r="Z9191" t="str">
            <v/>
          </cell>
          <cell r="AA9191" t="str">
            <v/>
          </cell>
          <cell r="AB9191" t="str">
            <v/>
          </cell>
          <cell r="AC9191" t="str">
            <v/>
          </cell>
          <cell r="AD9191" t="str">
            <v/>
          </cell>
          <cell r="AY9191" t="str">
            <v/>
          </cell>
          <cell r="AZ9191" t="str">
            <v/>
          </cell>
          <cell r="BA9191" t="str">
            <v/>
          </cell>
        </row>
        <row r="9192">
          <cell r="B9192" t="str">
            <v>-</v>
          </cell>
          <cell r="E9192" t="str">
            <v/>
          </cell>
          <cell r="G9192" t="str">
            <v/>
          </cell>
          <cell r="J9192" t="str">
            <v/>
          </cell>
          <cell r="O9192" t="str">
            <v/>
          </cell>
          <cell r="P9192" t="str">
            <v/>
          </cell>
          <cell r="Q9192" t="str">
            <v/>
          </cell>
          <cell r="S9192" t="str">
            <v/>
          </cell>
          <cell r="V9192" t="str">
            <v/>
          </cell>
          <cell r="Z9192" t="str">
            <v/>
          </cell>
          <cell r="AA9192" t="str">
            <v/>
          </cell>
          <cell r="AB9192" t="str">
            <v/>
          </cell>
          <cell r="AC9192" t="str">
            <v/>
          </cell>
          <cell r="AD9192" t="str">
            <v/>
          </cell>
          <cell r="AY9192" t="str">
            <v/>
          </cell>
          <cell r="AZ9192" t="str">
            <v/>
          </cell>
          <cell r="BA9192" t="str">
            <v/>
          </cell>
        </row>
        <row r="9193">
          <cell r="B9193" t="str">
            <v>-</v>
          </cell>
          <cell r="E9193" t="str">
            <v/>
          </cell>
          <cell r="G9193" t="str">
            <v/>
          </cell>
          <cell r="J9193" t="str">
            <v/>
          </cell>
          <cell r="O9193" t="str">
            <v/>
          </cell>
          <cell r="P9193" t="str">
            <v/>
          </cell>
          <cell r="Q9193" t="str">
            <v/>
          </cell>
          <cell r="S9193" t="str">
            <v/>
          </cell>
          <cell r="V9193" t="str">
            <v/>
          </cell>
          <cell r="Z9193" t="str">
            <v/>
          </cell>
          <cell r="AA9193" t="str">
            <v/>
          </cell>
          <cell r="AB9193" t="str">
            <v/>
          </cell>
          <cell r="AC9193" t="str">
            <v/>
          </cell>
          <cell r="AD9193" t="str">
            <v/>
          </cell>
          <cell r="AY9193" t="str">
            <v/>
          </cell>
          <cell r="AZ9193" t="str">
            <v/>
          </cell>
          <cell r="BA9193" t="str">
            <v/>
          </cell>
        </row>
        <row r="9194">
          <cell r="B9194" t="str">
            <v>-</v>
          </cell>
          <cell r="E9194" t="str">
            <v/>
          </cell>
          <cell r="G9194" t="str">
            <v/>
          </cell>
          <cell r="J9194" t="str">
            <v/>
          </cell>
          <cell r="O9194" t="str">
            <v/>
          </cell>
          <cell r="P9194" t="str">
            <v/>
          </cell>
          <cell r="Q9194" t="str">
            <v/>
          </cell>
          <cell r="S9194" t="str">
            <v/>
          </cell>
          <cell r="V9194" t="str">
            <v/>
          </cell>
          <cell r="Z9194" t="str">
            <v/>
          </cell>
          <cell r="AA9194" t="str">
            <v/>
          </cell>
          <cell r="AB9194" t="str">
            <v/>
          </cell>
          <cell r="AC9194" t="str">
            <v/>
          </cell>
          <cell r="AD9194" t="str">
            <v/>
          </cell>
          <cell r="AY9194" t="str">
            <v/>
          </cell>
          <cell r="AZ9194" t="str">
            <v/>
          </cell>
          <cell r="BA9194" t="str">
            <v/>
          </cell>
        </row>
        <row r="9195">
          <cell r="B9195" t="str">
            <v>-</v>
          </cell>
          <cell r="E9195" t="str">
            <v/>
          </cell>
          <cell r="G9195" t="str">
            <v/>
          </cell>
          <cell r="J9195" t="str">
            <v/>
          </cell>
          <cell r="O9195" t="str">
            <v/>
          </cell>
          <cell r="P9195" t="str">
            <v/>
          </cell>
          <cell r="Q9195" t="str">
            <v/>
          </cell>
          <cell r="S9195" t="str">
            <v/>
          </cell>
          <cell r="V9195" t="str">
            <v/>
          </cell>
          <cell r="Z9195" t="str">
            <v/>
          </cell>
          <cell r="AA9195" t="str">
            <v/>
          </cell>
          <cell r="AB9195" t="str">
            <v/>
          </cell>
          <cell r="AC9195" t="str">
            <v/>
          </cell>
          <cell r="AD9195" t="str">
            <v/>
          </cell>
          <cell r="AY9195" t="str">
            <v/>
          </cell>
          <cell r="AZ9195" t="str">
            <v/>
          </cell>
          <cell r="BA9195" t="str">
            <v/>
          </cell>
        </row>
        <row r="9196">
          <cell r="B9196" t="str">
            <v>-</v>
          </cell>
          <cell r="E9196" t="str">
            <v/>
          </cell>
          <cell r="G9196" t="str">
            <v/>
          </cell>
          <cell r="J9196" t="str">
            <v/>
          </cell>
          <cell r="O9196" t="str">
            <v/>
          </cell>
          <cell r="P9196" t="str">
            <v/>
          </cell>
          <cell r="Q9196" t="str">
            <v/>
          </cell>
          <cell r="S9196" t="str">
            <v/>
          </cell>
          <cell r="V9196" t="str">
            <v/>
          </cell>
          <cell r="Z9196" t="str">
            <v/>
          </cell>
          <cell r="AA9196" t="str">
            <v/>
          </cell>
          <cell r="AB9196" t="str">
            <v/>
          </cell>
          <cell r="AC9196" t="str">
            <v/>
          </cell>
          <cell r="AD9196" t="str">
            <v/>
          </cell>
          <cell r="AY9196" t="str">
            <v/>
          </cell>
          <cell r="AZ9196" t="str">
            <v/>
          </cell>
          <cell r="BA9196" t="str">
            <v/>
          </cell>
        </row>
        <row r="9197">
          <cell r="B9197" t="str">
            <v>-</v>
          </cell>
          <cell r="E9197" t="str">
            <v/>
          </cell>
          <cell r="G9197" t="str">
            <v/>
          </cell>
          <cell r="J9197" t="str">
            <v/>
          </cell>
          <cell r="O9197" t="str">
            <v/>
          </cell>
          <cell r="P9197" t="str">
            <v/>
          </cell>
          <cell r="Q9197" t="str">
            <v/>
          </cell>
          <cell r="S9197" t="str">
            <v/>
          </cell>
          <cell r="V9197" t="str">
            <v/>
          </cell>
          <cell r="Z9197" t="str">
            <v/>
          </cell>
          <cell r="AA9197" t="str">
            <v/>
          </cell>
          <cell r="AB9197" t="str">
            <v/>
          </cell>
          <cell r="AC9197" t="str">
            <v/>
          </cell>
          <cell r="AD9197" t="str">
            <v/>
          </cell>
          <cell r="AY9197" t="str">
            <v/>
          </cell>
          <cell r="AZ9197" t="str">
            <v/>
          </cell>
          <cell r="BA9197" t="str">
            <v/>
          </cell>
        </row>
        <row r="9198">
          <cell r="B9198" t="str">
            <v>-</v>
          </cell>
          <cell r="E9198" t="str">
            <v/>
          </cell>
          <cell r="G9198" t="str">
            <v/>
          </cell>
          <cell r="J9198" t="str">
            <v/>
          </cell>
          <cell r="O9198" t="str">
            <v/>
          </cell>
          <cell r="P9198" t="str">
            <v/>
          </cell>
          <cell r="Q9198" t="str">
            <v/>
          </cell>
          <cell r="S9198" t="str">
            <v/>
          </cell>
          <cell r="V9198" t="str">
            <v/>
          </cell>
          <cell r="Z9198" t="str">
            <v/>
          </cell>
          <cell r="AA9198" t="str">
            <v/>
          </cell>
          <cell r="AB9198" t="str">
            <v/>
          </cell>
          <cell r="AC9198" t="str">
            <v/>
          </cell>
          <cell r="AD9198" t="str">
            <v/>
          </cell>
          <cell r="AY9198" t="str">
            <v/>
          </cell>
          <cell r="AZ9198" t="str">
            <v/>
          </cell>
          <cell r="BA9198" t="str">
            <v/>
          </cell>
        </row>
        <row r="9199">
          <cell r="B9199" t="str">
            <v>-</v>
          </cell>
          <cell r="E9199" t="str">
            <v/>
          </cell>
          <cell r="G9199" t="str">
            <v/>
          </cell>
          <cell r="J9199" t="str">
            <v/>
          </cell>
          <cell r="O9199" t="str">
            <v/>
          </cell>
          <cell r="P9199" t="str">
            <v/>
          </cell>
          <cell r="Q9199" t="str">
            <v/>
          </cell>
          <cell r="S9199" t="str">
            <v/>
          </cell>
          <cell r="V9199" t="str">
            <v/>
          </cell>
          <cell r="Z9199" t="str">
            <v/>
          </cell>
          <cell r="AA9199" t="str">
            <v/>
          </cell>
          <cell r="AB9199" t="str">
            <v/>
          </cell>
          <cell r="AC9199" t="str">
            <v/>
          </cell>
          <cell r="AD9199" t="str">
            <v/>
          </cell>
          <cell r="AY9199" t="str">
            <v/>
          </cell>
          <cell r="AZ9199" t="str">
            <v/>
          </cell>
          <cell r="BA9199" t="str">
            <v/>
          </cell>
        </row>
        <row r="9200">
          <cell r="B9200" t="str">
            <v>-</v>
          </cell>
          <cell r="E9200" t="str">
            <v/>
          </cell>
          <cell r="G9200" t="str">
            <v/>
          </cell>
          <cell r="J9200" t="str">
            <v/>
          </cell>
          <cell r="O9200" t="str">
            <v/>
          </cell>
          <cell r="P9200" t="str">
            <v/>
          </cell>
          <cell r="Q9200" t="str">
            <v/>
          </cell>
          <cell r="S9200" t="str">
            <v/>
          </cell>
          <cell r="V9200" t="str">
            <v/>
          </cell>
          <cell r="Z9200" t="str">
            <v/>
          </cell>
          <cell r="AA9200" t="str">
            <v/>
          </cell>
          <cell r="AB9200" t="str">
            <v/>
          </cell>
          <cell r="AC9200" t="str">
            <v/>
          </cell>
          <cell r="AD9200" t="str">
            <v/>
          </cell>
          <cell r="AY9200" t="str">
            <v/>
          </cell>
          <cell r="AZ9200" t="str">
            <v/>
          </cell>
          <cell r="BA9200" t="str">
            <v/>
          </cell>
        </row>
        <row r="9201">
          <cell r="B9201" t="str">
            <v>-</v>
          </cell>
          <cell r="E9201" t="str">
            <v/>
          </cell>
          <cell r="G9201" t="str">
            <v/>
          </cell>
          <cell r="J9201" t="str">
            <v/>
          </cell>
          <cell r="O9201" t="str">
            <v/>
          </cell>
          <cell r="P9201" t="str">
            <v/>
          </cell>
          <cell r="Q9201" t="str">
            <v/>
          </cell>
          <cell r="S9201" t="str">
            <v/>
          </cell>
          <cell r="V9201" t="str">
            <v/>
          </cell>
          <cell r="Z9201" t="str">
            <v/>
          </cell>
          <cell r="AA9201" t="str">
            <v/>
          </cell>
          <cell r="AB9201" t="str">
            <v/>
          </cell>
          <cell r="AC9201" t="str">
            <v/>
          </cell>
          <cell r="AD9201" t="str">
            <v/>
          </cell>
          <cell r="AY9201" t="str">
            <v/>
          </cell>
          <cell r="AZ9201" t="str">
            <v/>
          </cell>
          <cell r="BA9201" t="str">
            <v/>
          </cell>
        </row>
        <row r="9202">
          <cell r="B9202" t="str">
            <v>-</v>
          </cell>
          <cell r="E9202" t="str">
            <v/>
          </cell>
          <cell r="G9202" t="str">
            <v/>
          </cell>
          <cell r="J9202" t="str">
            <v/>
          </cell>
          <cell r="O9202" t="str">
            <v/>
          </cell>
          <cell r="P9202" t="str">
            <v/>
          </cell>
          <cell r="Q9202" t="str">
            <v/>
          </cell>
          <cell r="S9202" t="str">
            <v/>
          </cell>
          <cell r="V9202" t="str">
            <v/>
          </cell>
          <cell r="Z9202" t="str">
            <v/>
          </cell>
          <cell r="AA9202" t="str">
            <v/>
          </cell>
          <cell r="AB9202" t="str">
            <v/>
          </cell>
          <cell r="AC9202" t="str">
            <v/>
          </cell>
          <cell r="AD9202" t="str">
            <v/>
          </cell>
          <cell r="AY9202" t="str">
            <v/>
          </cell>
          <cell r="AZ9202" t="str">
            <v/>
          </cell>
          <cell r="BA9202" t="str">
            <v/>
          </cell>
        </row>
        <row r="9203">
          <cell r="B9203" t="str">
            <v>-</v>
          </cell>
          <cell r="E9203" t="str">
            <v/>
          </cell>
          <cell r="G9203" t="str">
            <v/>
          </cell>
          <cell r="J9203" t="str">
            <v/>
          </cell>
          <cell r="O9203" t="str">
            <v/>
          </cell>
          <cell r="P9203" t="str">
            <v/>
          </cell>
          <cell r="Q9203" t="str">
            <v/>
          </cell>
          <cell r="S9203" t="str">
            <v/>
          </cell>
          <cell r="V9203" t="str">
            <v/>
          </cell>
          <cell r="Z9203" t="str">
            <v/>
          </cell>
          <cell r="AA9203" t="str">
            <v/>
          </cell>
          <cell r="AB9203" t="str">
            <v/>
          </cell>
          <cell r="AC9203" t="str">
            <v/>
          </cell>
          <cell r="AD9203" t="str">
            <v/>
          </cell>
          <cell r="AY9203" t="str">
            <v/>
          </cell>
          <cell r="AZ9203" t="str">
            <v/>
          </cell>
          <cell r="BA9203" t="str">
            <v/>
          </cell>
        </row>
        <row r="9204">
          <cell r="B9204" t="str">
            <v>-</v>
          </cell>
          <cell r="E9204" t="str">
            <v/>
          </cell>
          <cell r="G9204" t="str">
            <v/>
          </cell>
          <cell r="J9204" t="str">
            <v/>
          </cell>
          <cell r="O9204" t="str">
            <v/>
          </cell>
          <cell r="P9204" t="str">
            <v/>
          </cell>
          <cell r="Q9204" t="str">
            <v/>
          </cell>
          <cell r="S9204" t="str">
            <v/>
          </cell>
          <cell r="V9204" t="str">
            <v/>
          </cell>
          <cell r="Z9204" t="str">
            <v/>
          </cell>
          <cell r="AA9204" t="str">
            <v/>
          </cell>
          <cell r="AB9204" t="str">
            <v/>
          </cell>
          <cell r="AC9204" t="str">
            <v/>
          </cell>
          <cell r="AD9204" t="str">
            <v/>
          </cell>
          <cell r="AY9204" t="str">
            <v/>
          </cell>
          <cell r="AZ9204" t="str">
            <v/>
          </cell>
          <cell r="BA9204" t="str">
            <v/>
          </cell>
        </row>
        <row r="9205">
          <cell r="B9205" t="str">
            <v>-</v>
          </cell>
          <cell r="E9205" t="str">
            <v/>
          </cell>
          <cell r="G9205" t="str">
            <v/>
          </cell>
          <cell r="J9205" t="str">
            <v/>
          </cell>
          <cell r="O9205" t="str">
            <v/>
          </cell>
          <cell r="P9205" t="str">
            <v/>
          </cell>
          <cell r="Q9205" t="str">
            <v/>
          </cell>
          <cell r="S9205" t="str">
            <v/>
          </cell>
          <cell r="V9205" t="str">
            <v/>
          </cell>
          <cell r="Z9205" t="str">
            <v/>
          </cell>
          <cell r="AA9205" t="str">
            <v/>
          </cell>
          <cell r="AB9205" t="str">
            <v/>
          </cell>
          <cell r="AC9205" t="str">
            <v/>
          </cell>
          <cell r="AD9205" t="str">
            <v/>
          </cell>
          <cell r="AY9205" t="str">
            <v/>
          </cell>
          <cell r="AZ9205" t="str">
            <v/>
          </cell>
          <cell r="BA9205" t="str">
            <v/>
          </cell>
        </row>
        <row r="9206">
          <cell r="B9206" t="str">
            <v>-</v>
          </cell>
          <cell r="E9206" t="str">
            <v/>
          </cell>
          <cell r="G9206" t="str">
            <v/>
          </cell>
          <cell r="J9206" t="str">
            <v/>
          </cell>
          <cell r="O9206" t="str">
            <v/>
          </cell>
          <cell r="P9206" t="str">
            <v/>
          </cell>
          <cell r="Q9206" t="str">
            <v/>
          </cell>
          <cell r="S9206" t="str">
            <v/>
          </cell>
          <cell r="V9206" t="str">
            <v/>
          </cell>
          <cell r="Z9206" t="str">
            <v/>
          </cell>
          <cell r="AA9206" t="str">
            <v/>
          </cell>
          <cell r="AB9206" t="str">
            <v/>
          </cell>
          <cell r="AC9206" t="str">
            <v/>
          </cell>
          <cell r="AD9206" t="str">
            <v/>
          </cell>
          <cell r="AY9206" t="str">
            <v/>
          </cell>
          <cell r="AZ9206" t="str">
            <v/>
          </cell>
          <cell r="BA9206" t="str">
            <v/>
          </cell>
        </row>
        <row r="9207">
          <cell r="B9207" t="str">
            <v>-</v>
          </cell>
          <cell r="E9207" t="str">
            <v/>
          </cell>
          <cell r="G9207" t="str">
            <v/>
          </cell>
          <cell r="J9207" t="str">
            <v/>
          </cell>
          <cell r="O9207" t="str">
            <v/>
          </cell>
          <cell r="P9207" t="str">
            <v/>
          </cell>
          <cell r="Q9207" t="str">
            <v/>
          </cell>
          <cell r="S9207" t="str">
            <v/>
          </cell>
          <cell r="V9207" t="str">
            <v/>
          </cell>
          <cell r="Z9207" t="str">
            <v/>
          </cell>
          <cell r="AA9207" t="str">
            <v/>
          </cell>
          <cell r="AB9207" t="str">
            <v/>
          </cell>
          <cell r="AC9207" t="str">
            <v/>
          </cell>
          <cell r="AD9207" t="str">
            <v/>
          </cell>
          <cell r="AY9207" t="str">
            <v/>
          </cell>
          <cell r="AZ9207" t="str">
            <v/>
          </cell>
          <cell r="BA9207" t="str">
            <v/>
          </cell>
        </row>
        <row r="9208">
          <cell r="B9208" t="str">
            <v>-</v>
          </cell>
          <cell r="E9208" t="str">
            <v/>
          </cell>
          <cell r="G9208" t="str">
            <v/>
          </cell>
          <cell r="J9208" t="str">
            <v/>
          </cell>
          <cell r="O9208" t="str">
            <v/>
          </cell>
          <cell r="P9208" t="str">
            <v/>
          </cell>
          <cell r="Q9208" t="str">
            <v/>
          </cell>
          <cell r="S9208" t="str">
            <v/>
          </cell>
          <cell r="V9208" t="str">
            <v/>
          </cell>
          <cell r="Z9208" t="str">
            <v/>
          </cell>
          <cell r="AA9208" t="str">
            <v/>
          </cell>
          <cell r="AB9208" t="str">
            <v/>
          </cell>
          <cell r="AC9208" t="str">
            <v/>
          </cell>
          <cell r="AD9208" t="str">
            <v/>
          </cell>
          <cell r="AY9208" t="str">
            <v/>
          </cell>
          <cell r="AZ9208" t="str">
            <v/>
          </cell>
          <cell r="BA9208" t="str">
            <v/>
          </cell>
        </row>
        <row r="9209">
          <cell r="B9209" t="str">
            <v>-</v>
          </cell>
          <cell r="E9209" t="str">
            <v/>
          </cell>
          <cell r="G9209" t="str">
            <v/>
          </cell>
          <cell r="J9209" t="str">
            <v/>
          </cell>
          <cell r="O9209" t="str">
            <v/>
          </cell>
          <cell r="P9209" t="str">
            <v/>
          </cell>
          <cell r="Q9209" t="str">
            <v/>
          </cell>
          <cell r="S9209" t="str">
            <v/>
          </cell>
          <cell r="V9209" t="str">
            <v/>
          </cell>
          <cell r="Z9209" t="str">
            <v/>
          </cell>
          <cell r="AA9209" t="str">
            <v/>
          </cell>
          <cell r="AB9209" t="str">
            <v/>
          </cell>
          <cell r="AC9209" t="str">
            <v/>
          </cell>
          <cell r="AD9209" t="str">
            <v/>
          </cell>
          <cell r="AY9209" t="str">
            <v/>
          </cell>
          <cell r="AZ9209" t="str">
            <v/>
          </cell>
          <cell r="BA9209" t="str">
            <v/>
          </cell>
        </row>
        <row r="9210">
          <cell r="B9210" t="str">
            <v>-</v>
          </cell>
          <cell r="E9210" t="str">
            <v/>
          </cell>
          <cell r="G9210" t="str">
            <v/>
          </cell>
          <cell r="J9210" t="str">
            <v/>
          </cell>
          <cell r="O9210" t="str">
            <v/>
          </cell>
          <cell r="P9210" t="str">
            <v/>
          </cell>
          <cell r="Q9210" t="str">
            <v/>
          </cell>
          <cell r="S9210" t="str">
            <v/>
          </cell>
          <cell r="V9210" t="str">
            <v/>
          </cell>
          <cell r="Z9210" t="str">
            <v/>
          </cell>
          <cell r="AA9210" t="str">
            <v/>
          </cell>
          <cell r="AB9210" t="str">
            <v/>
          </cell>
          <cell r="AC9210" t="str">
            <v/>
          </cell>
          <cell r="AD9210" t="str">
            <v/>
          </cell>
          <cell r="AY9210" t="str">
            <v/>
          </cell>
          <cell r="AZ9210" t="str">
            <v/>
          </cell>
          <cell r="BA9210" t="str">
            <v/>
          </cell>
        </row>
        <row r="9211">
          <cell r="B9211" t="str">
            <v>-</v>
          </cell>
          <cell r="E9211" t="str">
            <v/>
          </cell>
          <cell r="G9211" t="str">
            <v/>
          </cell>
          <cell r="J9211" t="str">
            <v/>
          </cell>
          <cell r="O9211" t="str">
            <v/>
          </cell>
          <cell r="P9211" t="str">
            <v/>
          </cell>
          <cell r="Q9211" t="str">
            <v/>
          </cell>
          <cell r="S9211" t="str">
            <v/>
          </cell>
          <cell r="V9211" t="str">
            <v/>
          </cell>
          <cell r="Z9211" t="str">
            <v/>
          </cell>
          <cell r="AA9211" t="str">
            <v/>
          </cell>
          <cell r="AB9211" t="str">
            <v/>
          </cell>
          <cell r="AC9211" t="str">
            <v/>
          </cell>
          <cell r="AD9211" t="str">
            <v/>
          </cell>
          <cell r="AY9211" t="str">
            <v/>
          </cell>
          <cell r="AZ9211" t="str">
            <v/>
          </cell>
          <cell r="BA9211" t="str">
            <v/>
          </cell>
        </row>
        <row r="9212">
          <cell r="B9212" t="str">
            <v>-</v>
          </cell>
          <cell r="E9212" t="str">
            <v/>
          </cell>
          <cell r="G9212" t="str">
            <v/>
          </cell>
          <cell r="J9212" t="str">
            <v/>
          </cell>
          <cell r="O9212" t="str">
            <v/>
          </cell>
          <cell r="P9212" t="str">
            <v/>
          </cell>
          <cell r="Q9212" t="str">
            <v/>
          </cell>
          <cell r="S9212" t="str">
            <v/>
          </cell>
          <cell r="V9212" t="str">
            <v/>
          </cell>
          <cell r="Z9212" t="str">
            <v/>
          </cell>
          <cell r="AA9212" t="str">
            <v/>
          </cell>
          <cell r="AB9212" t="str">
            <v/>
          </cell>
          <cell r="AC9212" t="str">
            <v/>
          </cell>
          <cell r="AD9212" t="str">
            <v/>
          </cell>
          <cell r="AY9212" t="str">
            <v/>
          </cell>
          <cell r="AZ9212" t="str">
            <v/>
          </cell>
          <cell r="BA9212" t="str">
            <v/>
          </cell>
        </row>
        <row r="9213">
          <cell r="B9213" t="str">
            <v>-</v>
          </cell>
          <cell r="E9213" t="str">
            <v/>
          </cell>
          <cell r="G9213" t="str">
            <v/>
          </cell>
          <cell r="J9213" t="str">
            <v/>
          </cell>
          <cell r="O9213" t="str">
            <v/>
          </cell>
          <cell r="P9213" t="str">
            <v/>
          </cell>
          <cell r="Q9213" t="str">
            <v/>
          </cell>
          <cell r="S9213" t="str">
            <v/>
          </cell>
          <cell r="V9213" t="str">
            <v/>
          </cell>
          <cell r="Z9213" t="str">
            <v/>
          </cell>
          <cell r="AA9213" t="str">
            <v/>
          </cell>
          <cell r="AB9213" t="str">
            <v/>
          </cell>
          <cell r="AC9213" t="str">
            <v/>
          </cell>
          <cell r="AD9213" t="str">
            <v/>
          </cell>
          <cell r="AY9213" t="str">
            <v/>
          </cell>
          <cell r="AZ9213" t="str">
            <v/>
          </cell>
          <cell r="BA9213" t="str">
            <v/>
          </cell>
        </row>
        <row r="9214">
          <cell r="B9214" t="str">
            <v>-</v>
          </cell>
          <cell r="E9214" t="str">
            <v/>
          </cell>
          <cell r="G9214" t="str">
            <v/>
          </cell>
          <cell r="J9214" t="str">
            <v/>
          </cell>
          <cell r="O9214" t="str">
            <v/>
          </cell>
          <cell r="P9214" t="str">
            <v/>
          </cell>
          <cell r="Q9214" t="str">
            <v/>
          </cell>
          <cell r="S9214" t="str">
            <v/>
          </cell>
          <cell r="V9214" t="str">
            <v/>
          </cell>
          <cell r="Z9214" t="str">
            <v/>
          </cell>
          <cell r="AA9214" t="str">
            <v/>
          </cell>
          <cell r="AB9214" t="str">
            <v/>
          </cell>
          <cell r="AC9214" t="str">
            <v/>
          </cell>
          <cell r="AD9214" t="str">
            <v/>
          </cell>
          <cell r="AY9214" t="str">
            <v/>
          </cell>
          <cell r="AZ9214" t="str">
            <v/>
          </cell>
          <cell r="BA9214" t="str">
            <v/>
          </cell>
        </row>
        <row r="9215">
          <cell r="B9215" t="str">
            <v>-</v>
          </cell>
          <cell r="E9215" t="str">
            <v/>
          </cell>
          <cell r="G9215" t="str">
            <v/>
          </cell>
          <cell r="J9215" t="str">
            <v/>
          </cell>
          <cell r="O9215" t="str">
            <v/>
          </cell>
          <cell r="P9215" t="str">
            <v/>
          </cell>
          <cell r="Q9215" t="str">
            <v/>
          </cell>
          <cell r="S9215" t="str">
            <v/>
          </cell>
          <cell r="V9215" t="str">
            <v/>
          </cell>
          <cell r="Z9215" t="str">
            <v/>
          </cell>
          <cell r="AA9215" t="str">
            <v/>
          </cell>
          <cell r="AB9215" t="str">
            <v/>
          </cell>
          <cell r="AC9215" t="str">
            <v/>
          </cell>
          <cell r="AD9215" t="str">
            <v/>
          </cell>
          <cell r="AY9215" t="str">
            <v/>
          </cell>
          <cell r="AZ9215" t="str">
            <v/>
          </cell>
          <cell r="BA9215" t="str">
            <v/>
          </cell>
        </row>
        <row r="9216">
          <cell r="B9216" t="str">
            <v>-</v>
          </cell>
          <cell r="E9216" t="str">
            <v/>
          </cell>
          <cell r="G9216" t="str">
            <v/>
          </cell>
          <cell r="J9216" t="str">
            <v/>
          </cell>
          <cell r="O9216" t="str">
            <v/>
          </cell>
          <cell r="P9216" t="str">
            <v/>
          </cell>
          <cell r="Q9216" t="str">
            <v/>
          </cell>
          <cell r="S9216" t="str">
            <v/>
          </cell>
          <cell r="V9216" t="str">
            <v/>
          </cell>
          <cell r="Z9216" t="str">
            <v/>
          </cell>
          <cell r="AA9216" t="str">
            <v/>
          </cell>
          <cell r="AB9216" t="str">
            <v/>
          </cell>
          <cell r="AC9216" t="str">
            <v/>
          </cell>
          <cell r="AD9216" t="str">
            <v/>
          </cell>
          <cell r="AY9216" t="str">
            <v/>
          </cell>
          <cell r="AZ9216" t="str">
            <v/>
          </cell>
          <cell r="BA9216" t="str">
            <v/>
          </cell>
        </row>
        <row r="9217">
          <cell r="B9217" t="str">
            <v>-</v>
          </cell>
          <cell r="E9217" t="str">
            <v/>
          </cell>
          <cell r="G9217" t="str">
            <v/>
          </cell>
          <cell r="J9217" t="str">
            <v/>
          </cell>
          <cell r="O9217" t="str">
            <v/>
          </cell>
          <cell r="P9217" t="str">
            <v/>
          </cell>
          <cell r="Q9217" t="str">
            <v/>
          </cell>
          <cell r="S9217" t="str">
            <v/>
          </cell>
          <cell r="V9217" t="str">
            <v/>
          </cell>
          <cell r="Z9217" t="str">
            <v/>
          </cell>
          <cell r="AA9217" t="str">
            <v/>
          </cell>
          <cell r="AB9217" t="str">
            <v/>
          </cell>
          <cell r="AC9217" t="str">
            <v/>
          </cell>
          <cell r="AD9217" t="str">
            <v/>
          </cell>
          <cell r="AY9217" t="str">
            <v/>
          </cell>
          <cell r="AZ9217" t="str">
            <v/>
          </cell>
          <cell r="BA9217" t="str">
            <v/>
          </cell>
        </row>
        <row r="9218">
          <cell r="B9218" t="str">
            <v>-</v>
          </cell>
          <cell r="E9218" t="str">
            <v/>
          </cell>
          <cell r="G9218" t="str">
            <v/>
          </cell>
          <cell r="J9218" t="str">
            <v/>
          </cell>
          <cell r="O9218" t="str">
            <v/>
          </cell>
          <cell r="P9218" t="str">
            <v/>
          </cell>
          <cell r="Q9218" t="str">
            <v/>
          </cell>
          <cell r="S9218" t="str">
            <v/>
          </cell>
          <cell r="V9218" t="str">
            <v/>
          </cell>
          <cell r="Z9218" t="str">
            <v/>
          </cell>
          <cell r="AA9218" t="str">
            <v/>
          </cell>
          <cell r="AB9218" t="str">
            <v/>
          </cell>
          <cell r="AC9218" t="str">
            <v/>
          </cell>
          <cell r="AD9218" t="str">
            <v/>
          </cell>
          <cell r="AY9218" t="str">
            <v/>
          </cell>
          <cell r="AZ9218" t="str">
            <v/>
          </cell>
          <cell r="BA9218" t="str">
            <v/>
          </cell>
        </row>
        <row r="9219">
          <cell r="B9219" t="str">
            <v>-</v>
          </cell>
          <cell r="E9219" t="str">
            <v/>
          </cell>
          <cell r="G9219" t="str">
            <v/>
          </cell>
          <cell r="J9219" t="str">
            <v/>
          </cell>
          <cell r="O9219" t="str">
            <v/>
          </cell>
          <cell r="P9219" t="str">
            <v/>
          </cell>
          <cell r="Q9219" t="str">
            <v/>
          </cell>
          <cell r="S9219" t="str">
            <v/>
          </cell>
          <cell r="V9219" t="str">
            <v/>
          </cell>
          <cell r="Z9219" t="str">
            <v/>
          </cell>
          <cell r="AA9219" t="str">
            <v/>
          </cell>
          <cell r="AB9219" t="str">
            <v/>
          </cell>
          <cell r="AC9219" t="str">
            <v/>
          </cell>
          <cell r="AD9219" t="str">
            <v/>
          </cell>
          <cell r="AY9219" t="str">
            <v/>
          </cell>
          <cell r="AZ9219" t="str">
            <v/>
          </cell>
          <cell r="BA9219" t="str">
            <v/>
          </cell>
        </row>
        <row r="9220">
          <cell r="B9220" t="str">
            <v>-</v>
          </cell>
          <cell r="E9220" t="str">
            <v/>
          </cell>
          <cell r="G9220" t="str">
            <v/>
          </cell>
          <cell r="J9220" t="str">
            <v/>
          </cell>
          <cell r="O9220" t="str">
            <v/>
          </cell>
          <cell r="P9220" t="str">
            <v/>
          </cell>
          <cell r="Q9220" t="str">
            <v/>
          </cell>
          <cell r="S9220" t="str">
            <v/>
          </cell>
          <cell r="V9220" t="str">
            <v/>
          </cell>
          <cell r="Z9220" t="str">
            <v/>
          </cell>
          <cell r="AA9220" t="str">
            <v/>
          </cell>
          <cell r="AB9220" t="str">
            <v/>
          </cell>
          <cell r="AC9220" t="str">
            <v/>
          </cell>
          <cell r="AD9220" t="str">
            <v/>
          </cell>
          <cell r="AY9220" t="str">
            <v/>
          </cell>
          <cell r="AZ9220" t="str">
            <v/>
          </cell>
          <cell r="BA9220" t="str">
            <v/>
          </cell>
        </row>
        <row r="9221">
          <cell r="B9221" t="str">
            <v>-</v>
          </cell>
          <cell r="E9221" t="str">
            <v/>
          </cell>
          <cell r="G9221" t="str">
            <v/>
          </cell>
          <cell r="J9221" t="str">
            <v/>
          </cell>
          <cell r="O9221" t="str">
            <v/>
          </cell>
          <cell r="P9221" t="str">
            <v/>
          </cell>
          <cell r="Q9221" t="str">
            <v/>
          </cell>
          <cell r="S9221" t="str">
            <v/>
          </cell>
          <cell r="V9221" t="str">
            <v/>
          </cell>
          <cell r="Z9221" t="str">
            <v/>
          </cell>
          <cell r="AA9221" t="str">
            <v/>
          </cell>
          <cell r="AB9221" t="str">
            <v/>
          </cell>
          <cell r="AC9221" t="str">
            <v/>
          </cell>
          <cell r="AD9221" t="str">
            <v/>
          </cell>
          <cell r="AY9221" t="str">
            <v/>
          </cell>
          <cell r="AZ9221" t="str">
            <v/>
          </cell>
          <cell r="BA9221" t="str">
            <v/>
          </cell>
        </row>
        <row r="9222">
          <cell r="B9222" t="str">
            <v>-</v>
          </cell>
          <cell r="E9222" t="str">
            <v/>
          </cell>
          <cell r="G9222" t="str">
            <v/>
          </cell>
          <cell r="J9222" t="str">
            <v/>
          </cell>
          <cell r="O9222" t="str">
            <v/>
          </cell>
          <cell r="P9222" t="str">
            <v/>
          </cell>
          <cell r="Q9222" t="str">
            <v/>
          </cell>
          <cell r="S9222" t="str">
            <v/>
          </cell>
          <cell r="V9222" t="str">
            <v/>
          </cell>
          <cell r="Z9222" t="str">
            <v/>
          </cell>
          <cell r="AA9222" t="str">
            <v/>
          </cell>
          <cell r="AB9222" t="str">
            <v/>
          </cell>
          <cell r="AC9222" t="str">
            <v/>
          </cell>
          <cell r="AD9222" t="str">
            <v/>
          </cell>
          <cell r="AY9222" t="str">
            <v/>
          </cell>
          <cell r="AZ9222" t="str">
            <v/>
          </cell>
          <cell r="BA9222" t="str">
            <v/>
          </cell>
        </row>
        <row r="9223">
          <cell r="B9223" t="str">
            <v>-</v>
          </cell>
          <cell r="E9223" t="str">
            <v/>
          </cell>
          <cell r="G9223" t="str">
            <v/>
          </cell>
          <cell r="J9223" t="str">
            <v/>
          </cell>
          <cell r="O9223" t="str">
            <v/>
          </cell>
          <cell r="P9223" t="str">
            <v/>
          </cell>
          <cell r="Q9223" t="str">
            <v/>
          </cell>
          <cell r="S9223" t="str">
            <v/>
          </cell>
          <cell r="V9223" t="str">
            <v/>
          </cell>
          <cell r="Z9223" t="str">
            <v/>
          </cell>
          <cell r="AA9223" t="str">
            <v/>
          </cell>
          <cell r="AB9223" t="str">
            <v/>
          </cell>
          <cell r="AC9223" t="str">
            <v/>
          </cell>
          <cell r="AD9223" t="str">
            <v/>
          </cell>
          <cell r="AY9223" t="str">
            <v/>
          </cell>
          <cell r="AZ9223" t="str">
            <v/>
          </cell>
          <cell r="BA9223" t="str">
            <v/>
          </cell>
        </row>
        <row r="9224">
          <cell r="B9224" t="str">
            <v>-</v>
          </cell>
          <cell r="E9224" t="str">
            <v/>
          </cell>
          <cell r="G9224" t="str">
            <v/>
          </cell>
          <cell r="J9224" t="str">
            <v/>
          </cell>
          <cell r="O9224" t="str">
            <v/>
          </cell>
          <cell r="P9224" t="str">
            <v/>
          </cell>
          <cell r="Q9224" t="str">
            <v/>
          </cell>
          <cell r="S9224" t="str">
            <v/>
          </cell>
          <cell r="V9224" t="str">
            <v/>
          </cell>
          <cell r="Z9224" t="str">
            <v/>
          </cell>
          <cell r="AA9224" t="str">
            <v/>
          </cell>
          <cell r="AB9224" t="str">
            <v/>
          </cell>
          <cell r="AC9224" t="str">
            <v/>
          </cell>
          <cell r="AD9224" t="str">
            <v/>
          </cell>
          <cell r="AY9224" t="str">
            <v/>
          </cell>
          <cell r="AZ9224" t="str">
            <v/>
          </cell>
          <cell r="BA9224" t="str">
            <v/>
          </cell>
        </row>
        <row r="9225">
          <cell r="B9225" t="str">
            <v>-</v>
          </cell>
          <cell r="E9225" t="str">
            <v/>
          </cell>
          <cell r="G9225" t="str">
            <v/>
          </cell>
          <cell r="J9225" t="str">
            <v/>
          </cell>
          <cell r="O9225" t="str">
            <v/>
          </cell>
          <cell r="P9225" t="str">
            <v/>
          </cell>
          <cell r="Q9225" t="str">
            <v/>
          </cell>
          <cell r="S9225" t="str">
            <v/>
          </cell>
          <cell r="V9225" t="str">
            <v/>
          </cell>
          <cell r="Z9225" t="str">
            <v/>
          </cell>
          <cell r="AA9225" t="str">
            <v/>
          </cell>
          <cell r="AB9225" t="str">
            <v/>
          </cell>
          <cell r="AC9225" t="str">
            <v/>
          </cell>
          <cell r="AD9225" t="str">
            <v/>
          </cell>
          <cell r="AY9225" t="str">
            <v/>
          </cell>
          <cell r="AZ9225" t="str">
            <v/>
          </cell>
          <cell r="BA9225" t="str">
            <v/>
          </cell>
        </row>
        <row r="9226">
          <cell r="B9226" t="str">
            <v>-</v>
          </cell>
          <cell r="E9226" t="str">
            <v/>
          </cell>
          <cell r="G9226" t="str">
            <v/>
          </cell>
          <cell r="J9226" t="str">
            <v/>
          </cell>
          <cell r="O9226" t="str">
            <v/>
          </cell>
          <cell r="P9226" t="str">
            <v/>
          </cell>
          <cell r="Q9226" t="str">
            <v/>
          </cell>
          <cell r="S9226" t="str">
            <v/>
          </cell>
          <cell r="V9226" t="str">
            <v/>
          </cell>
          <cell r="Z9226" t="str">
            <v/>
          </cell>
          <cell r="AA9226" t="str">
            <v/>
          </cell>
          <cell r="AB9226" t="str">
            <v/>
          </cell>
          <cell r="AC9226" t="str">
            <v/>
          </cell>
          <cell r="AD9226" t="str">
            <v/>
          </cell>
          <cell r="AY9226" t="str">
            <v/>
          </cell>
          <cell r="AZ9226" t="str">
            <v/>
          </cell>
          <cell r="BA9226" t="str">
            <v/>
          </cell>
        </row>
        <row r="9227">
          <cell r="B9227" t="str">
            <v>-</v>
          </cell>
          <cell r="E9227" t="str">
            <v/>
          </cell>
          <cell r="G9227" t="str">
            <v/>
          </cell>
          <cell r="J9227" t="str">
            <v/>
          </cell>
          <cell r="O9227" t="str">
            <v/>
          </cell>
          <cell r="P9227" t="str">
            <v/>
          </cell>
          <cell r="Q9227" t="str">
            <v/>
          </cell>
          <cell r="S9227" t="str">
            <v/>
          </cell>
          <cell r="V9227" t="str">
            <v/>
          </cell>
          <cell r="Z9227" t="str">
            <v/>
          </cell>
          <cell r="AA9227" t="str">
            <v/>
          </cell>
          <cell r="AB9227" t="str">
            <v/>
          </cell>
          <cell r="AC9227" t="str">
            <v/>
          </cell>
          <cell r="AD9227" t="str">
            <v/>
          </cell>
          <cell r="AY9227" t="str">
            <v/>
          </cell>
          <cell r="AZ9227" t="str">
            <v/>
          </cell>
          <cell r="BA9227" t="str">
            <v/>
          </cell>
        </row>
        <row r="9228">
          <cell r="B9228" t="str">
            <v>-</v>
          </cell>
          <cell r="E9228" t="str">
            <v/>
          </cell>
          <cell r="G9228" t="str">
            <v/>
          </cell>
          <cell r="J9228" t="str">
            <v/>
          </cell>
          <cell r="O9228" t="str">
            <v/>
          </cell>
          <cell r="P9228" t="str">
            <v/>
          </cell>
          <cell r="Q9228" t="str">
            <v/>
          </cell>
          <cell r="S9228" t="str">
            <v/>
          </cell>
          <cell r="V9228" t="str">
            <v/>
          </cell>
          <cell r="Z9228" t="str">
            <v/>
          </cell>
          <cell r="AA9228" t="str">
            <v/>
          </cell>
          <cell r="AB9228" t="str">
            <v/>
          </cell>
          <cell r="AC9228" t="str">
            <v/>
          </cell>
          <cell r="AD9228" t="str">
            <v/>
          </cell>
          <cell r="AY9228" t="str">
            <v/>
          </cell>
          <cell r="AZ9228" t="str">
            <v/>
          </cell>
          <cell r="BA9228" t="str">
            <v/>
          </cell>
        </row>
        <row r="9229">
          <cell r="B9229" t="str">
            <v>-</v>
          </cell>
          <cell r="E9229" t="str">
            <v/>
          </cell>
          <cell r="G9229" t="str">
            <v/>
          </cell>
          <cell r="J9229" t="str">
            <v/>
          </cell>
          <cell r="O9229" t="str">
            <v/>
          </cell>
          <cell r="P9229" t="str">
            <v/>
          </cell>
          <cell r="Q9229" t="str">
            <v/>
          </cell>
          <cell r="S9229" t="str">
            <v/>
          </cell>
          <cell r="V9229" t="str">
            <v/>
          </cell>
          <cell r="Z9229" t="str">
            <v/>
          </cell>
          <cell r="AA9229" t="str">
            <v/>
          </cell>
          <cell r="AB9229" t="str">
            <v/>
          </cell>
          <cell r="AC9229" t="str">
            <v/>
          </cell>
          <cell r="AD9229" t="str">
            <v/>
          </cell>
          <cell r="AY9229" t="str">
            <v/>
          </cell>
          <cell r="AZ9229" t="str">
            <v/>
          </cell>
          <cell r="BA9229" t="str">
            <v/>
          </cell>
        </row>
        <row r="9230">
          <cell r="B9230" t="str">
            <v>-</v>
          </cell>
          <cell r="E9230" t="str">
            <v/>
          </cell>
          <cell r="G9230" t="str">
            <v/>
          </cell>
          <cell r="J9230" t="str">
            <v/>
          </cell>
          <cell r="O9230" t="str">
            <v/>
          </cell>
          <cell r="P9230" t="str">
            <v/>
          </cell>
          <cell r="Q9230" t="str">
            <v/>
          </cell>
          <cell r="S9230" t="str">
            <v/>
          </cell>
          <cell r="V9230" t="str">
            <v/>
          </cell>
          <cell r="Z9230" t="str">
            <v/>
          </cell>
          <cell r="AA9230" t="str">
            <v/>
          </cell>
          <cell r="AB9230" t="str">
            <v/>
          </cell>
          <cell r="AC9230" t="str">
            <v/>
          </cell>
          <cell r="AD9230" t="str">
            <v/>
          </cell>
          <cell r="AY9230" t="str">
            <v/>
          </cell>
          <cell r="AZ9230" t="str">
            <v/>
          </cell>
          <cell r="BA9230" t="str">
            <v/>
          </cell>
        </row>
        <row r="9231">
          <cell r="B9231" t="str">
            <v>-</v>
          </cell>
          <cell r="E9231" t="str">
            <v/>
          </cell>
          <cell r="G9231" t="str">
            <v/>
          </cell>
          <cell r="J9231" t="str">
            <v/>
          </cell>
          <cell r="O9231" t="str">
            <v/>
          </cell>
          <cell r="P9231" t="str">
            <v/>
          </cell>
          <cell r="Q9231" t="str">
            <v/>
          </cell>
          <cell r="S9231" t="str">
            <v/>
          </cell>
          <cell r="V9231" t="str">
            <v/>
          </cell>
          <cell r="Z9231" t="str">
            <v/>
          </cell>
          <cell r="AA9231" t="str">
            <v/>
          </cell>
          <cell r="AB9231" t="str">
            <v/>
          </cell>
          <cell r="AC9231" t="str">
            <v/>
          </cell>
          <cell r="AD9231" t="str">
            <v/>
          </cell>
          <cell r="AY9231" t="str">
            <v/>
          </cell>
          <cell r="AZ9231" t="str">
            <v/>
          </cell>
          <cell r="BA9231" t="str">
            <v/>
          </cell>
        </row>
        <row r="9232">
          <cell r="B9232" t="str">
            <v>-</v>
          </cell>
          <cell r="E9232" t="str">
            <v/>
          </cell>
          <cell r="G9232" t="str">
            <v/>
          </cell>
          <cell r="J9232" t="str">
            <v/>
          </cell>
          <cell r="O9232" t="str">
            <v/>
          </cell>
          <cell r="P9232" t="str">
            <v/>
          </cell>
          <cell r="Q9232" t="str">
            <v/>
          </cell>
          <cell r="S9232" t="str">
            <v/>
          </cell>
          <cell r="V9232" t="str">
            <v/>
          </cell>
          <cell r="Z9232" t="str">
            <v/>
          </cell>
          <cell r="AA9232" t="str">
            <v/>
          </cell>
          <cell r="AB9232" t="str">
            <v/>
          </cell>
          <cell r="AC9232" t="str">
            <v/>
          </cell>
          <cell r="AD9232" t="str">
            <v/>
          </cell>
          <cell r="AY9232" t="str">
            <v/>
          </cell>
          <cell r="AZ9232" t="str">
            <v/>
          </cell>
          <cell r="BA9232" t="str">
            <v/>
          </cell>
        </row>
        <row r="9233">
          <cell r="B9233" t="str">
            <v>-</v>
          </cell>
          <cell r="E9233" t="str">
            <v/>
          </cell>
          <cell r="G9233" t="str">
            <v/>
          </cell>
          <cell r="J9233" t="str">
            <v/>
          </cell>
          <cell r="O9233" t="str">
            <v/>
          </cell>
          <cell r="P9233" t="str">
            <v/>
          </cell>
          <cell r="Q9233" t="str">
            <v/>
          </cell>
          <cell r="S9233" t="str">
            <v/>
          </cell>
          <cell r="V9233" t="str">
            <v/>
          </cell>
          <cell r="Z9233" t="str">
            <v/>
          </cell>
          <cell r="AA9233" t="str">
            <v/>
          </cell>
          <cell r="AB9233" t="str">
            <v/>
          </cell>
          <cell r="AC9233" t="str">
            <v/>
          </cell>
          <cell r="AD9233" t="str">
            <v/>
          </cell>
          <cell r="AY9233" t="str">
            <v/>
          </cell>
          <cell r="AZ9233" t="str">
            <v/>
          </cell>
          <cell r="BA9233" t="str">
            <v/>
          </cell>
        </row>
        <row r="9234">
          <cell r="B9234" t="str">
            <v>-</v>
          </cell>
          <cell r="E9234" t="str">
            <v/>
          </cell>
          <cell r="G9234" t="str">
            <v/>
          </cell>
          <cell r="J9234" t="str">
            <v/>
          </cell>
          <cell r="O9234" t="str">
            <v/>
          </cell>
          <cell r="P9234" t="str">
            <v/>
          </cell>
          <cell r="Q9234" t="str">
            <v/>
          </cell>
          <cell r="S9234" t="str">
            <v/>
          </cell>
          <cell r="V9234" t="str">
            <v/>
          </cell>
          <cell r="Z9234" t="str">
            <v/>
          </cell>
          <cell r="AA9234" t="str">
            <v/>
          </cell>
          <cell r="AB9234" t="str">
            <v/>
          </cell>
          <cell r="AC9234" t="str">
            <v/>
          </cell>
          <cell r="AD9234" t="str">
            <v/>
          </cell>
          <cell r="AY9234" t="str">
            <v/>
          </cell>
          <cell r="AZ9234" t="str">
            <v/>
          </cell>
          <cell r="BA9234" t="str">
            <v/>
          </cell>
        </row>
        <row r="9235">
          <cell r="B9235" t="str">
            <v>-</v>
          </cell>
          <cell r="E9235" t="str">
            <v/>
          </cell>
          <cell r="G9235" t="str">
            <v/>
          </cell>
          <cell r="J9235" t="str">
            <v/>
          </cell>
          <cell r="O9235" t="str">
            <v/>
          </cell>
          <cell r="P9235" t="str">
            <v/>
          </cell>
          <cell r="Q9235" t="str">
            <v/>
          </cell>
          <cell r="S9235" t="str">
            <v/>
          </cell>
          <cell r="V9235" t="str">
            <v/>
          </cell>
          <cell r="Z9235" t="str">
            <v/>
          </cell>
          <cell r="AA9235" t="str">
            <v/>
          </cell>
          <cell r="AB9235" t="str">
            <v/>
          </cell>
          <cell r="AC9235" t="str">
            <v/>
          </cell>
          <cell r="AD9235" t="str">
            <v/>
          </cell>
          <cell r="AY9235" t="str">
            <v/>
          </cell>
          <cell r="AZ9235" t="str">
            <v/>
          </cell>
          <cell r="BA9235" t="str">
            <v/>
          </cell>
        </row>
        <row r="9236">
          <cell r="B9236" t="str">
            <v>-</v>
          </cell>
          <cell r="E9236" t="str">
            <v/>
          </cell>
          <cell r="G9236" t="str">
            <v/>
          </cell>
          <cell r="J9236" t="str">
            <v/>
          </cell>
          <cell r="O9236" t="str">
            <v/>
          </cell>
          <cell r="P9236" t="str">
            <v/>
          </cell>
          <cell r="Q9236" t="str">
            <v/>
          </cell>
          <cell r="S9236" t="str">
            <v/>
          </cell>
          <cell r="V9236" t="str">
            <v/>
          </cell>
          <cell r="Z9236" t="str">
            <v/>
          </cell>
          <cell r="AA9236" t="str">
            <v/>
          </cell>
          <cell r="AB9236" t="str">
            <v/>
          </cell>
          <cell r="AC9236" t="str">
            <v/>
          </cell>
          <cell r="AD9236" t="str">
            <v/>
          </cell>
          <cell r="AY9236" t="str">
            <v/>
          </cell>
          <cell r="AZ9236" t="str">
            <v/>
          </cell>
          <cell r="BA9236" t="str">
            <v/>
          </cell>
        </row>
        <row r="9237">
          <cell r="B9237" t="str">
            <v>-</v>
          </cell>
          <cell r="E9237" t="str">
            <v/>
          </cell>
          <cell r="G9237" t="str">
            <v/>
          </cell>
          <cell r="J9237" t="str">
            <v/>
          </cell>
          <cell r="O9237" t="str">
            <v/>
          </cell>
          <cell r="P9237" t="str">
            <v/>
          </cell>
          <cell r="Q9237" t="str">
            <v/>
          </cell>
          <cell r="S9237" t="str">
            <v/>
          </cell>
          <cell r="V9237" t="str">
            <v/>
          </cell>
          <cell r="Z9237" t="str">
            <v/>
          </cell>
          <cell r="AA9237" t="str">
            <v/>
          </cell>
          <cell r="AB9237" t="str">
            <v/>
          </cell>
          <cell r="AC9237" t="str">
            <v/>
          </cell>
          <cell r="AD9237" t="str">
            <v/>
          </cell>
          <cell r="AY9237" t="str">
            <v/>
          </cell>
          <cell r="AZ9237" t="str">
            <v/>
          </cell>
          <cell r="BA9237" t="str">
            <v/>
          </cell>
        </row>
        <row r="9238">
          <cell r="B9238" t="str">
            <v>-</v>
          </cell>
          <cell r="E9238" t="str">
            <v/>
          </cell>
          <cell r="G9238" t="str">
            <v/>
          </cell>
          <cell r="J9238" t="str">
            <v/>
          </cell>
          <cell r="O9238" t="str">
            <v/>
          </cell>
          <cell r="P9238" t="str">
            <v/>
          </cell>
          <cell r="Q9238" t="str">
            <v/>
          </cell>
          <cell r="S9238" t="str">
            <v/>
          </cell>
          <cell r="V9238" t="str">
            <v/>
          </cell>
          <cell r="Z9238" t="str">
            <v/>
          </cell>
          <cell r="AA9238" t="str">
            <v/>
          </cell>
          <cell r="AB9238" t="str">
            <v/>
          </cell>
          <cell r="AC9238" t="str">
            <v/>
          </cell>
          <cell r="AD9238" t="str">
            <v/>
          </cell>
          <cell r="AY9238" t="str">
            <v/>
          </cell>
          <cell r="AZ9238" t="str">
            <v/>
          </cell>
          <cell r="BA9238" t="str">
            <v/>
          </cell>
        </row>
        <row r="9239">
          <cell r="B9239" t="str">
            <v>-</v>
          </cell>
          <cell r="E9239" t="str">
            <v/>
          </cell>
          <cell r="G9239" t="str">
            <v/>
          </cell>
          <cell r="J9239" t="str">
            <v/>
          </cell>
          <cell r="O9239" t="str">
            <v/>
          </cell>
          <cell r="P9239" t="str">
            <v/>
          </cell>
          <cell r="Q9239" t="str">
            <v/>
          </cell>
          <cell r="S9239" t="str">
            <v/>
          </cell>
          <cell r="V9239" t="str">
            <v/>
          </cell>
          <cell r="Z9239" t="str">
            <v/>
          </cell>
          <cell r="AA9239" t="str">
            <v/>
          </cell>
          <cell r="AB9239" t="str">
            <v/>
          </cell>
          <cell r="AC9239" t="str">
            <v/>
          </cell>
          <cell r="AD9239" t="str">
            <v/>
          </cell>
          <cell r="AY9239" t="str">
            <v/>
          </cell>
          <cell r="AZ9239" t="str">
            <v/>
          </cell>
          <cell r="BA9239" t="str">
            <v/>
          </cell>
        </row>
        <row r="9240">
          <cell r="B9240" t="str">
            <v>-</v>
          </cell>
          <cell r="E9240" t="str">
            <v/>
          </cell>
          <cell r="G9240" t="str">
            <v/>
          </cell>
          <cell r="J9240" t="str">
            <v/>
          </cell>
          <cell r="O9240" t="str">
            <v/>
          </cell>
          <cell r="P9240" t="str">
            <v/>
          </cell>
          <cell r="Q9240" t="str">
            <v/>
          </cell>
          <cell r="S9240" t="str">
            <v/>
          </cell>
          <cell r="V9240" t="str">
            <v/>
          </cell>
          <cell r="Z9240" t="str">
            <v/>
          </cell>
          <cell r="AA9240" t="str">
            <v/>
          </cell>
          <cell r="AB9240" t="str">
            <v/>
          </cell>
          <cell r="AC9240" t="str">
            <v/>
          </cell>
          <cell r="AD9240" t="str">
            <v/>
          </cell>
          <cell r="AY9240" t="str">
            <v/>
          </cell>
          <cell r="AZ9240" t="str">
            <v/>
          </cell>
          <cell r="BA9240" t="str">
            <v/>
          </cell>
        </row>
        <row r="9241">
          <cell r="B9241" t="str">
            <v>-</v>
          </cell>
          <cell r="E9241" t="str">
            <v/>
          </cell>
          <cell r="G9241" t="str">
            <v/>
          </cell>
          <cell r="J9241" t="str">
            <v/>
          </cell>
          <cell r="O9241" t="str">
            <v/>
          </cell>
          <cell r="P9241" t="str">
            <v/>
          </cell>
          <cell r="Q9241" t="str">
            <v/>
          </cell>
          <cell r="S9241" t="str">
            <v/>
          </cell>
          <cell r="V9241" t="str">
            <v/>
          </cell>
          <cell r="Z9241" t="str">
            <v/>
          </cell>
          <cell r="AA9241" t="str">
            <v/>
          </cell>
          <cell r="AB9241" t="str">
            <v/>
          </cell>
          <cell r="AC9241" t="str">
            <v/>
          </cell>
          <cell r="AD9241" t="str">
            <v/>
          </cell>
          <cell r="AY9241" t="str">
            <v/>
          </cell>
          <cell r="AZ9241" t="str">
            <v/>
          </cell>
          <cell r="BA9241" t="str">
            <v/>
          </cell>
        </row>
        <row r="9242">
          <cell r="B9242" t="str">
            <v>-</v>
          </cell>
          <cell r="E9242" t="str">
            <v/>
          </cell>
          <cell r="G9242" t="str">
            <v/>
          </cell>
          <cell r="J9242" t="str">
            <v/>
          </cell>
          <cell r="O9242" t="str">
            <v/>
          </cell>
          <cell r="P9242" t="str">
            <v/>
          </cell>
          <cell r="Q9242" t="str">
            <v/>
          </cell>
          <cell r="S9242" t="str">
            <v/>
          </cell>
          <cell r="V9242" t="str">
            <v/>
          </cell>
          <cell r="Z9242" t="str">
            <v/>
          </cell>
          <cell r="AA9242" t="str">
            <v/>
          </cell>
          <cell r="AB9242" t="str">
            <v/>
          </cell>
          <cell r="AC9242" t="str">
            <v/>
          </cell>
          <cell r="AD9242" t="str">
            <v/>
          </cell>
          <cell r="AY9242" t="str">
            <v/>
          </cell>
          <cell r="AZ9242" t="str">
            <v/>
          </cell>
          <cell r="BA9242" t="str">
            <v/>
          </cell>
        </row>
        <row r="9243">
          <cell r="B9243" t="str">
            <v>-</v>
          </cell>
          <cell r="E9243" t="str">
            <v/>
          </cell>
          <cell r="G9243" t="str">
            <v/>
          </cell>
          <cell r="J9243" t="str">
            <v/>
          </cell>
          <cell r="O9243" t="str">
            <v/>
          </cell>
          <cell r="P9243" t="str">
            <v/>
          </cell>
          <cell r="Q9243" t="str">
            <v/>
          </cell>
          <cell r="S9243" t="str">
            <v/>
          </cell>
          <cell r="V9243" t="str">
            <v/>
          </cell>
          <cell r="Z9243" t="str">
            <v/>
          </cell>
          <cell r="AA9243" t="str">
            <v/>
          </cell>
          <cell r="AB9243" t="str">
            <v/>
          </cell>
          <cell r="AC9243" t="str">
            <v/>
          </cell>
          <cell r="AD9243" t="str">
            <v/>
          </cell>
          <cell r="AY9243" t="str">
            <v/>
          </cell>
          <cell r="AZ9243" t="str">
            <v/>
          </cell>
          <cell r="BA9243" t="str">
            <v/>
          </cell>
        </row>
        <row r="9244">
          <cell r="B9244" t="str">
            <v>-</v>
          </cell>
          <cell r="E9244" t="str">
            <v/>
          </cell>
          <cell r="G9244" t="str">
            <v/>
          </cell>
          <cell r="J9244" t="str">
            <v/>
          </cell>
          <cell r="O9244" t="str">
            <v/>
          </cell>
          <cell r="P9244" t="str">
            <v/>
          </cell>
          <cell r="Q9244" t="str">
            <v/>
          </cell>
          <cell r="S9244" t="str">
            <v/>
          </cell>
          <cell r="V9244" t="str">
            <v/>
          </cell>
          <cell r="Z9244" t="str">
            <v/>
          </cell>
          <cell r="AA9244" t="str">
            <v/>
          </cell>
          <cell r="AB9244" t="str">
            <v/>
          </cell>
          <cell r="AC9244" t="str">
            <v/>
          </cell>
          <cell r="AD9244" t="str">
            <v/>
          </cell>
          <cell r="AY9244" t="str">
            <v/>
          </cell>
          <cell r="AZ9244" t="str">
            <v/>
          </cell>
          <cell r="BA9244" t="str">
            <v/>
          </cell>
        </row>
        <row r="9245">
          <cell r="B9245" t="str">
            <v>-</v>
          </cell>
          <cell r="E9245" t="str">
            <v/>
          </cell>
          <cell r="G9245" t="str">
            <v/>
          </cell>
          <cell r="J9245" t="str">
            <v/>
          </cell>
          <cell r="O9245" t="str">
            <v/>
          </cell>
          <cell r="P9245" t="str">
            <v/>
          </cell>
          <cell r="Q9245" t="str">
            <v/>
          </cell>
          <cell r="S9245" t="str">
            <v/>
          </cell>
          <cell r="V9245" t="str">
            <v/>
          </cell>
          <cell r="Z9245" t="str">
            <v/>
          </cell>
          <cell r="AA9245" t="str">
            <v/>
          </cell>
          <cell r="AB9245" t="str">
            <v/>
          </cell>
          <cell r="AC9245" t="str">
            <v/>
          </cell>
          <cell r="AD9245" t="str">
            <v/>
          </cell>
          <cell r="AY9245" t="str">
            <v/>
          </cell>
          <cell r="AZ9245" t="str">
            <v/>
          </cell>
          <cell r="BA9245" t="str">
            <v/>
          </cell>
        </row>
        <row r="9246">
          <cell r="B9246" t="str">
            <v>-</v>
          </cell>
          <cell r="E9246" t="str">
            <v/>
          </cell>
          <cell r="G9246" t="str">
            <v/>
          </cell>
          <cell r="J9246" t="str">
            <v/>
          </cell>
          <cell r="O9246" t="str">
            <v/>
          </cell>
          <cell r="P9246" t="str">
            <v/>
          </cell>
          <cell r="Q9246" t="str">
            <v/>
          </cell>
          <cell r="S9246" t="str">
            <v/>
          </cell>
          <cell r="V9246" t="str">
            <v/>
          </cell>
          <cell r="Z9246" t="str">
            <v/>
          </cell>
          <cell r="AA9246" t="str">
            <v/>
          </cell>
          <cell r="AB9246" t="str">
            <v/>
          </cell>
          <cell r="AC9246" t="str">
            <v/>
          </cell>
          <cell r="AD9246" t="str">
            <v/>
          </cell>
          <cell r="AY9246" t="str">
            <v/>
          </cell>
          <cell r="AZ9246" t="str">
            <v/>
          </cell>
          <cell r="BA9246" t="str">
            <v/>
          </cell>
        </row>
        <row r="9247">
          <cell r="B9247" t="str">
            <v>-</v>
          </cell>
          <cell r="E9247" t="str">
            <v/>
          </cell>
          <cell r="G9247" t="str">
            <v/>
          </cell>
          <cell r="J9247" t="str">
            <v/>
          </cell>
          <cell r="O9247" t="str">
            <v/>
          </cell>
          <cell r="P9247" t="str">
            <v/>
          </cell>
          <cell r="Q9247" t="str">
            <v/>
          </cell>
          <cell r="S9247" t="str">
            <v/>
          </cell>
          <cell r="V9247" t="str">
            <v/>
          </cell>
          <cell r="Z9247" t="str">
            <v/>
          </cell>
          <cell r="AA9247" t="str">
            <v/>
          </cell>
          <cell r="AB9247" t="str">
            <v/>
          </cell>
          <cell r="AC9247" t="str">
            <v/>
          </cell>
          <cell r="AD9247" t="str">
            <v/>
          </cell>
          <cell r="AY9247" t="str">
            <v/>
          </cell>
          <cell r="AZ9247" t="str">
            <v/>
          </cell>
          <cell r="BA9247" t="str">
            <v/>
          </cell>
        </row>
        <row r="9248">
          <cell r="B9248" t="str">
            <v>-</v>
          </cell>
          <cell r="E9248" t="str">
            <v/>
          </cell>
          <cell r="G9248" t="str">
            <v/>
          </cell>
          <cell r="J9248" t="str">
            <v/>
          </cell>
          <cell r="O9248" t="str">
            <v/>
          </cell>
          <cell r="P9248" t="str">
            <v/>
          </cell>
          <cell r="Q9248" t="str">
            <v/>
          </cell>
          <cell r="S9248" t="str">
            <v/>
          </cell>
          <cell r="V9248" t="str">
            <v/>
          </cell>
          <cell r="Z9248" t="str">
            <v/>
          </cell>
          <cell r="AA9248" t="str">
            <v/>
          </cell>
          <cell r="AB9248" t="str">
            <v/>
          </cell>
          <cell r="AC9248" t="str">
            <v/>
          </cell>
          <cell r="AD9248" t="str">
            <v/>
          </cell>
          <cell r="AY9248" t="str">
            <v/>
          </cell>
          <cell r="AZ9248" t="str">
            <v/>
          </cell>
          <cell r="BA9248" t="str">
            <v/>
          </cell>
        </row>
        <row r="9249">
          <cell r="B9249" t="str">
            <v>-</v>
          </cell>
          <cell r="E9249" t="str">
            <v/>
          </cell>
          <cell r="G9249" t="str">
            <v/>
          </cell>
          <cell r="J9249" t="str">
            <v/>
          </cell>
          <cell r="O9249" t="str">
            <v/>
          </cell>
          <cell r="P9249" t="str">
            <v/>
          </cell>
          <cell r="Q9249" t="str">
            <v/>
          </cell>
          <cell r="S9249" t="str">
            <v/>
          </cell>
          <cell r="V9249" t="str">
            <v/>
          </cell>
          <cell r="Z9249" t="str">
            <v/>
          </cell>
          <cell r="AA9249" t="str">
            <v/>
          </cell>
          <cell r="AB9249" t="str">
            <v/>
          </cell>
          <cell r="AC9249" t="str">
            <v/>
          </cell>
          <cell r="AD9249" t="str">
            <v/>
          </cell>
          <cell r="AY9249" t="str">
            <v/>
          </cell>
          <cell r="AZ9249" t="str">
            <v/>
          </cell>
          <cell r="BA9249" t="str">
            <v/>
          </cell>
        </row>
        <row r="9250">
          <cell r="B9250" t="str">
            <v>-</v>
          </cell>
          <cell r="E9250" t="str">
            <v/>
          </cell>
          <cell r="G9250" t="str">
            <v/>
          </cell>
          <cell r="J9250" t="str">
            <v/>
          </cell>
          <cell r="O9250" t="str">
            <v/>
          </cell>
          <cell r="P9250" t="str">
            <v/>
          </cell>
          <cell r="Q9250" t="str">
            <v/>
          </cell>
          <cell r="S9250" t="str">
            <v/>
          </cell>
          <cell r="V9250" t="str">
            <v/>
          </cell>
          <cell r="Z9250" t="str">
            <v/>
          </cell>
          <cell r="AA9250" t="str">
            <v/>
          </cell>
          <cell r="AB9250" t="str">
            <v/>
          </cell>
          <cell r="AC9250" t="str">
            <v/>
          </cell>
          <cell r="AD9250" t="str">
            <v/>
          </cell>
          <cell r="AY9250" t="str">
            <v/>
          </cell>
          <cell r="AZ9250" t="str">
            <v/>
          </cell>
          <cell r="BA9250" t="str">
            <v/>
          </cell>
        </row>
        <row r="9251">
          <cell r="B9251" t="str">
            <v>-</v>
          </cell>
          <cell r="E9251" t="str">
            <v/>
          </cell>
          <cell r="G9251" t="str">
            <v/>
          </cell>
          <cell r="J9251" t="str">
            <v/>
          </cell>
          <cell r="O9251" t="str">
            <v/>
          </cell>
          <cell r="P9251" t="str">
            <v/>
          </cell>
          <cell r="Q9251" t="str">
            <v/>
          </cell>
          <cell r="S9251" t="str">
            <v/>
          </cell>
          <cell r="V9251" t="str">
            <v/>
          </cell>
          <cell r="Z9251" t="str">
            <v/>
          </cell>
          <cell r="AA9251" t="str">
            <v/>
          </cell>
          <cell r="AB9251" t="str">
            <v/>
          </cell>
          <cell r="AC9251" t="str">
            <v/>
          </cell>
          <cell r="AD9251" t="str">
            <v/>
          </cell>
          <cell r="AY9251" t="str">
            <v/>
          </cell>
          <cell r="AZ9251" t="str">
            <v/>
          </cell>
          <cell r="BA9251" t="str">
            <v/>
          </cell>
        </row>
        <row r="9252">
          <cell r="B9252" t="str">
            <v>-</v>
          </cell>
          <cell r="E9252" t="str">
            <v/>
          </cell>
          <cell r="G9252" t="str">
            <v/>
          </cell>
          <cell r="J9252" t="str">
            <v/>
          </cell>
          <cell r="O9252" t="str">
            <v/>
          </cell>
          <cell r="P9252" t="str">
            <v/>
          </cell>
          <cell r="Q9252" t="str">
            <v/>
          </cell>
          <cell r="S9252" t="str">
            <v/>
          </cell>
          <cell r="V9252" t="str">
            <v/>
          </cell>
          <cell r="Z9252" t="str">
            <v/>
          </cell>
          <cell r="AA9252" t="str">
            <v/>
          </cell>
          <cell r="AB9252" t="str">
            <v/>
          </cell>
          <cell r="AC9252" t="str">
            <v/>
          </cell>
          <cell r="AD9252" t="str">
            <v/>
          </cell>
          <cell r="AY9252" t="str">
            <v/>
          </cell>
          <cell r="AZ9252" t="str">
            <v/>
          </cell>
          <cell r="BA9252" t="str">
            <v/>
          </cell>
        </row>
        <row r="9253">
          <cell r="B9253" t="str">
            <v>-</v>
          </cell>
          <cell r="E9253" t="str">
            <v/>
          </cell>
          <cell r="G9253" t="str">
            <v/>
          </cell>
          <cell r="J9253" t="str">
            <v/>
          </cell>
          <cell r="O9253" t="str">
            <v/>
          </cell>
          <cell r="P9253" t="str">
            <v/>
          </cell>
          <cell r="Q9253" t="str">
            <v/>
          </cell>
          <cell r="S9253" t="str">
            <v/>
          </cell>
          <cell r="V9253" t="str">
            <v/>
          </cell>
          <cell r="Z9253" t="str">
            <v/>
          </cell>
          <cell r="AA9253" t="str">
            <v/>
          </cell>
          <cell r="AB9253" t="str">
            <v/>
          </cell>
          <cell r="AC9253" t="str">
            <v/>
          </cell>
          <cell r="AD9253" t="str">
            <v/>
          </cell>
          <cell r="AY9253" t="str">
            <v/>
          </cell>
          <cell r="AZ9253" t="str">
            <v/>
          </cell>
          <cell r="BA9253" t="str">
            <v/>
          </cell>
        </row>
        <row r="9254">
          <cell r="B9254" t="str">
            <v>-</v>
          </cell>
          <cell r="E9254" t="str">
            <v/>
          </cell>
          <cell r="G9254" t="str">
            <v/>
          </cell>
          <cell r="J9254" t="str">
            <v/>
          </cell>
          <cell r="O9254" t="str">
            <v/>
          </cell>
          <cell r="P9254" t="str">
            <v/>
          </cell>
          <cell r="Q9254" t="str">
            <v/>
          </cell>
          <cell r="S9254" t="str">
            <v/>
          </cell>
          <cell r="V9254" t="str">
            <v/>
          </cell>
          <cell r="Z9254" t="str">
            <v/>
          </cell>
          <cell r="AA9254" t="str">
            <v/>
          </cell>
          <cell r="AB9254" t="str">
            <v/>
          </cell>
          <cell r="AC9254" t="str">
            <v/>
          </cell>
          <cell r="AD9254" t="str">
            <v/>
          </cell>
          <cell r="AY9254" t="str">
            <v/>
          </cell>
          <cell r="AZ9254" t="str">
            <v/>
          </cell>
          <cell r="BA9254" t="str">
            <v/>
          </cell>
        </row>
        <row r="9255">
          <cell r="B9255" t="str">
            <v>-</v>
          </cell>
          <cell r="E9255" t="str">
            <v/>
          </cell>
          <cell r="G9255" t="str">
            <v/>
          </cell>
          <cell r="J9255" t="str">
            <v/>
          </cell>
          <cell r="O9255" t="str">
            <v/>
          </cell>
          <cell r="P9255" t="str">
            <v/>
          </cell>
          <cell r="Q9255" t="str">
            <v/>
          </cell>
          <cell r="S9255" t="str">
            <v/>
          </cell>
          <cell r="V9255" t="str">
            <v/>
          </cell>
          <cell r="Z9255" t="str">
            <v/>
          </cell>
          <cell r="AA9255" t="str">
            <v/>
          </cell>
          <cell r="AB9255" t="str">
            <v/>
          </cell>
          <cell r="AC9255" t="str">
            <v/>
          </cell>
          <cell r="AD9255" t="str">
            <v/>
          </cell>
          <cell r="AY9255" t="str">
            <v/>
          </cell>
          <cell r="AZ9255" t="str">
            <v/>
          </cell>
          <cell r="BA9255" t="str">
            <v/>
          </cell>
        </row>
        <row r="9256">
          <cell r="B9256" t="str">
            <v>-</v>
          </cell>
          <cell r="E9256" t="str">
            <v/>
          </cell>
          <cell r="G9256" t="str">
            <v/>
          </cell>
          <cell r="J9256" t="str">
            <v/>
          </cell>
          <cell r="O9256" t="str">
            <v/>
          </cell>
          <cell r="P9256" t="str">
            <v/>
          </cell>
          <cell r="Q9256" t="str">
            <v/>
          </cell>
          <cell r="S9256" t="str">
            <v/>
          </cell>
          <cell r="V9256" t="str">
            <v/>
          </cell>
          <cell r="Z9256" t="str">
            <v/>
          </cell>
          <cell r="AA9256" t="str">
            <v/>
          </cell>
          <cell r="AB9256" t="str">
            <v/>
          </cell>
          <cell r="AC9256" t="str">
            <v/>
          </cell>
          <cell r="AD9256" t="str">
            <v/>
          </cell>
          <cell r="AY9256" t="str">
            <v/>
          </cell>
          <cell r="AZ9256" t="str">
            <v/>
          </cell>
          <cell r="BA9256" t="str">
            <v/>
          </cell>
        </row>
        <row r="9257">
          <cell r="B9257" t="str">
            <v>-</v>
          </cell>
          <cell r="E9257" t="str">
            <v/>
          </cell>
          <cell r="G9257" t="str">
            <v/>
          </cell>
          <cell r="J9257" t="str">
            <v/>
          </cell>
          <cell r="O9257" t="str">
            <v/>
          </cell>
          <cell r="P9257" t="str">
            <v/>
          </cell>
          <cell r="Q9257" t="str">
            <v/>
          </cell>
          <cell r="S9257" t="str">
            <v/>
          </cell>
          <cell r="V9257" t="str">
            <v/>
          </cell>
          <cell r="Z9257" t="str">
            <v/>
          </cell>
          <cell r="AA9257" t="str">
            <v/>
          </cell>
          <cell r="AB9257" t="str">
            <v/>
          </cell>
          <cell r="AC9257" t="str">
            <v/>
          </cell>
          <cell r="AD9257" t="str">
            <v/>
          </cell>
          <cell r="AY9257" t="str">
            <v/>
          </cell>
          <cell r="AZ9257" t="str">
            <v/>
          </cell>
          <cell r="BA9257" t="str">
            <v/>
          </cell>
        </row>
        <row r="9258">
          <cell r="B9258" t="str">
            <v>-</v>
          </cell>
          <cell r="E9258" t="str">
            <v/>
          </cell>
          <cell r="G9258" t="str">
            <v/>
          </cell>
          <cell r="J9258" t="str">
            <v/>
          </cell>
          <cell r="O9258" t="str">
            <v/>
          </cell>
          <cell r="P9258" t="str">
            <v/>
          </cell>
          <cell r="Q9258" t="str">
            <v/>
          </cell>
          <cell r="S9258" t="str">
            <v/>
          </cell>
          <cell r="V9258" t="str">
            <v/>
          </cell>
          <cell r="Z9258" t="str">
            <v/>
          </cell>
          <cell r="AA9258" t="str">
            <v/>
          </cell>
          <cell r="AB9258" t="str">
            <v/>
          </cell>
          <cell r="AC9258" t="str">
            <v/>
          </cell>
          <cell r="AD9258" t="str">
            <v/>
          </cell>
          <cell r="AY9258" t="str">
            <v/>
          </cell>
          <cell r="AZ9258" t="str">
            <v/>
          </cell>
          <cell r="BA9258" t="str">
            <v/>
          </cell>
        </row>
        <row r="9259">
          <cell r="B9259" t="str">
            <v>-</v>
          </cell>
          <cell r="E9259" t="str">
            <v/>
          </cell>
          <cell r="G9259" t="str">
            <v/>
          </cell>
          <cell r="J9259" t="str">
            <v/>
          </cell>
          <cell r="O9259" t="str">
            <v/>
          </cell>
          <cell r="P9259" t="str">
            <v/>
          </cell>
          <cell r="Q9259" t="str">
            <v/>
          </cell>
          <cell r="S9259" t="str">
            <v/>
          </cell>
          <cell r="V9259" t="str">
            <v/>
          </cell>
          <cell r="Z9259" t="str">
            <v/>
          </cell>
          <cell r="AA9259" t="str">
            <v/>
          </cell>
          <cell r="AB9259" t="str">
            <v/>
          </cell>
          <cell r="AC9259" t="str">
            <v/>
          </cell>
          <cell r="AD9259" t="str">
            <v/>
          </cell>
          <cell r="AY9259" t="str">
            <v/>
          </cell>
          <cell r="AZ9259" t="str">
            <v/>
          </cell>
          <cell r="BA9259" t="str">
            <v/>
          </cell>
        </row>
        <row r="9260">
          <cell r="B9260" t="str">
            <v>-</v>
          </cell>
          <cell r="E9260" t="str">
            <v/>
          </cell>
          <cell r="G9260" t="str">
            <v/>
          </cell>
          <cell r="J9260" t="str">
            <v/>
          </cell>
          <cell r="O9260" t="str">
            <v/>
          </cell>
          <cell r="P9260" t="str">
            <v/>
          </cell>
          <cell r="Q9260" t="str">
            <v/>
          </cell>
          <cell r="S9260" t="str">
            <v/>
          </cell>
          <cell r="V9260" t="str">
            <v/>
          </cell>
          <cell r="Z9260" t="str">
            <v/>
          </cell>
          <cell r="AA9260" t="str">
            <v/>
          </cell>
          <cell r="AB9260" t="str">
            <v/>
          </cell>
          <cell r="AC9260" t="str">
            <v/>
          </cell>
          <cell r="AD9260" t="str">
            <v/>
          </cell>
          <cell r="AY9260" t="str">
            <v/>
          </cell>
          <cell r="AZ9260" t="str">
            <v/>
          </cell>
          <cell r="BA9260" t="str">
            <v/>
          </cell>
        </row>
        <row r="9261">
          <cell r="B9261" t="str">
            <v>-</v>
          </cell>
          <cell r="E9261" t="str">
            <v/>
          </cell>
          <cell r="G9261" t="str">
            <v/>
          </cell>
          <cell r="J9261" t="str">
            <v/>
          </cell>
          <cell r="O9261" t="str">
            <v/>
          </cell>
          <cell r="P9261" t="str">
            <v/>
          </cell>
          <cell r="Q9261" t="str">
            <v/>
          </cell>
          <cell r="S9261" t="str">
            <v/>
          </cell>
          <cell r="V9261" t="str">
            <v/>
          </cell>
          <cell r="Z9261" t="str">
            <v/>
          </cell>
          <cell r="AA9261" t="str">
            <v/>
          </cell>
          <cell r="AB9261" t="str">
            <v/>
          </cell>
          <cell r="AC9261" t="str">
            <v/>
          </cell>
          <cell r="AD9261" t="str">
            <v/>
          </cell>
          <cell r="AY9261" t="str">
            <v/>
          </cell>
          <cell r="AZ9261" t="str">
            <v/>
          </cell>
          <cell r="BA9261" t="str">
            <v/>
          </cell>
        </row>
        <row r="9262">
          <cell r="B9262" t="str">
            <v>-</v>
          </cell>
          <cell r="E9262" t="str">
            <v/>
          </cell>
          <cell r="G9262" t="str">
            <v/>
          </cell>
          <cell r="J9262" t="str">
            <v/>
          </cell>
          <cell r="O9262" t="str">
            <v/>
          </cell>
          <cell r="P9262" t="str">
            <v/>
          </cell>
          <cell r="Q9262" t="str">
            <v/>
          </cell>
          <cell r="S9262" t="str">
            <v/>
          </cell>
          <cell r="V9262" t="str">
            <v/>
          </cell>
          <cell r="Z9262" t="str">
            <v/>
          </cell>
          <cell r="AA9262" t="str">
            <v/>
          </cell>
          <cell r="AB9262" t="str">
            <v/>
          </cell>
          <cell r="AC9262" t="str">
            <v/>
          </cell>
          <cell r="AD9262" t="str">
            <v/>
          </cell>
          <cell r="AY9262" t="str">
            <v/>
          </cell>
          <cell r="AZ9262" t="str">
            <v/>
          </cell>
          <cell r="BA9262" t="str">
            <v/>
          </cell>
        </row>
        <row r="9263">
          <cell r="B9263" t="str">
            <v>-</v>
          </cell>
          <cell r="E9263" t="str">
            <v/>
          </cell>
          <cell r="G9263" t="str">
            <v/>
          </cell>
          <cell r="J9263" t="str">
            <v/>
          </cell>
          <cell r="O9263" t="str">
            <v/>
          </cell>
          <cell r="P9263" t="str">
            <v/>
          </cell>
          <cell r="Q9263" t="str">
            <v/>
          </cell>
          <cell r="S9263" t="str">
            <v/>
          </cell>
          <cell r="V9263" t="str">
            <v/>
          </cell>
          <cell r="Z9263" t="str">
            <v/>
          </cell>
          <cell r="AA9263" t="str">
            <v/>
          </cell>
          <cell r="AB9263" t="str">
            <v/>
          </cell>
          <cell r="AC9263" t="str">
            <v/>
          </cell>
          <cell r="AD9263" t="str">
            <v/>
          </cell>
          <cell r="AY9263" t="str">
            <v/>
          </cell>
          <cell r="AZ9263" t="str">
            <v/>
          </cell>
          <cell r="BA9263" t="str">
            <v/>
          </cell>
        </row>
        <row r="9264">
          <cell r="B9264" t="str">
            <v>-</v>
          </cell>
          <cell r="E9264" t="str">
            <v/>
          </cell>
          <cell r="G9264" t="str">
            <v/>
          </cell>
          <cell r="J9264" t="str">
            <v/>
          </cell>
          <cell r="O9264" t="str">
            <v/>
          </cell>
          <cell r="P9264" t="str">
            <v/>
          </cell>
          <cell r="Q9264" t="str">
            <v/>
          </cell>
          <cell r="S9264" t="str">
            <v/>
          </cell>
          <cell r="V9264" t="str">
            <v/>
          </cell>
          <cell r="Z9264" t="str">
            <v/>
          </cell>
          <cell r="AA9264" t="str">
            <v/>
          </cell>
          <cell r="AB9264" t="str">
            <v/>
          </cell>
          <cell r="AC9264" t="str">
            <v/>
          </cell>
          <cell r="AD9264" t="str">
            <v/>
          </cell>
          <cell r="AY9264" t="str">
            <v/>
          </cell>
          <cell r="AZ9264" t="str">
            <v/>
          </cell>
          <cell r="BA9264" t="str">
            <v/>
          </cell>
        </row>
        <row r="9265">
          <cell r="B9265" t="str">
            <v>-</v>
          </cell>
          <cell r="E9265" t="str">
            <v/>
          </cell>
          <cell r="G9265" t="str">
            <v/>
          </cell>
          <cell r="J9265" t="str">
            <v/>
          </cell>
          <cell r="O9265" t="str">
            <v/>
          </cell>
          <cell r="P9265" t="str">
            <v/>
          </cell>
          <cell r="Q9265" t="str">
            <v/>
          </cell>
          <cell r="S9265" t="str">
            <v/>
          </cell>
          <cell r="V9265" t="str">
            <v/>
          </cell>
          <cell r="Z9265" t="str">
            <v/>
          </cell>
          <cell r="AA9265" t="str">
            <v/>
          </cell>
          <cell r="AB9265" t="str">
            <v/>
          </cell>
          <cell r="AC9265" t="str">
            <v/>
          </cell>
          <cell r="AD9265" t="str">
            <v/>
          </cell>
          <cell r="AY9265" t="str">
            <v/>
          </cell>
          <cell r="AZ9265" t="str">
            <v/>
          </cell>
          <cell r="BA9265" t="str">
            <v/>
          </cell>
        </row>
        <row r="9266">
          <cell r="B9266" t="str">
            <v>-</v>
          </cell>
          <cell r="E9266" t="str">
            <v/>
          </cell>
          <cell r="G9266" t="str">
            <v/>
          </cell>
          <cell r="J9266" t="str">
            <v/>
          </cell>
          <cell r="O9266" t="str">
            <v/>
          </cell>
          <cell r="P9266" t="str">
            <v/>
          </cell>
          <cell r="Q9266" t="str">
            <v/>
          </cell>
          <cell r="S9266" t="str">
            <v/>
          </cell>
          <cell r="V9266" t="str">
            <v/>
          </cell>
          <cell r="Z9266" t="str">
            <v/>
          </cell>
          <cell r="AA9266" t="str">
            <v/>
          </cell>
          <cell r="AB9266" t="str">
            <v/>
          </cell>
          <cell r="AC9266" t="str">
            <v/>
          </cell>
          <cell r="AD9266" t="str">
            <v/>
          </cell>
          <cell r="AY9266" t="str">
            <v/>
          </cell>
          <cell r="AZ9266" t="str">
            <v/>
          </cell>
          <cell r="BA9266" t="str">
            <v/>
          </cell>
        </row>
        <row r="9267">
          <cell r="B9267" t="str">
            <v>-</v>
          </cell>
          <cell r="E9267" t="str">
            <v/>
          </cell>
          <cell r="G9267" t="str">
            <v/>
          </cell>
          <cell r="J9267" t="str">
            <v/>
          </cell>
          <cell r="O9267" t="str">
            <v/>
          </cell>
          <cell r="P9267" t="str">
            <v/>
          </cell>
          <cell r="Q9267" t="str">
            <v/>
          </cell>
          <cell r="S9267" t="str">
            <v/>
          </cell>
          <cell r="V9267" t="str">
            <v/>
          </cell>
          <cell r="Z9267" t="str">
            <v/>
          </cell>
          <cell r="AA9267" t="str">
            <v/>
          </cell>
          <cell r="AB9267" t="str">
            <v/>
          </cell>
          <cell r="AC9267" t="str">
            <v/>
          </cell>
          <cell r="AD9267" t="str">
            <v/>
          </cell>
          <cell r="AY9267" t="str">
            <v/>
          </cell>
          <cell r="AZ9267" t="str">
            <v/>
          </cell>
          <cell r="BA9267" t="str">
            <v/>
          </cell>
        </row>
        <row r="9268">
          <cell r="B9268" t="str">
            <v>-</v>
          </cell>
          <cell r="E9268" t="str">
            <v/>
          </cell>
          <cell r="G9268" t="str">
            <v/>
          </cell>
          <cell r="J9268" t="str">
            <v/>
          </cell>
          <cell r="O9268" t="str">
            <v/>
          </cell>
          <cell r="P9268" t="str">
            <v/>
          </cell>
          <cell r="Q9268" t="str">
            <v/>
          </cell>
          <cell r="S9268" t="str">
            <v/>
          </cell>
          <cell r="V9268" t="str">
            <v/>
          </cell>
          <cell r="Z9268" t="str">
            <v/>
          </cell>
          <cell r="AA9268" t="str">
            <v/>
          </cell>
          <cell r="AB9268" t="str">
            <v/>
          </cell>
          <cell r="AC9268" t="str">
            <v/>
          </cell>
          <cell r="AD9268" t="str">
            <v/>
          </cell>
          <cell r="AY9268" t="str">
            <v/>
          </cell>
          <cell r="AZ9268" t="str">
            <v/>
          </cell>
          <cell r="BA9268" t="str">
            <v/>
          </cell>
        </row>
        <row r="9269">
          <cell r="B9269" t="str">
            <v>-</v>
          </cell>
          <cell r="E9269" t="str">
            <v/>
          </cell>
          <cell r="G9269" t="str">
            <v/>
          </cell>
          <cell r="J9269" t="str">
            <v/>
          </cell>
          <cell r="O9269" t="str">
            <v/>
          </cell>
          <cell r="P9269" t="str">
            <v/>
          </cell>
          <cell r="Q9269" t="str">
            <v/>
          </cell>
          <cell r="S9269" t="str">
            <v/>
          </cell>
          <cell r="V9269" t="str">
            <v/>
          </cell>
          <cell r="Z9269" t="str">
            <v/>
          </cell>
          <cell r="AA9269" t="str">
            <v/>
          </cell>
          <cell r="AB9269" t="str">
            <v/>
          </cell>
          <cell r="AC9269" t="str">
            <v/>
          </cell>
          <cell r="AD9269" t="str">
            <v/>
          </cell>
          <cell r="AY9269" t="str">
            <v/>
          </cell>
          <cell r="AZ9269" t="str">
            <v/>
          </cell>
          <cell r="BA9269" t="str">
            <v/>
          </cell>
        </row>
        <row r="9270">
          <cell r="B9270" t="str">
            <v>-</v>
          </cell>
          <cell r="E9270" t="str">
            <v/>
          </cell>
          <cell r="G9270" t="str">
            <v/>
          </cell>
          <cell r="J9270" t="str">
            <v/>
          </cell>
          <cell r="O9270" t="str">
            <v/>
          </cell>
          <cell r="P9270" t="str">
            <v/>
          </cell>
          <cell r="Q9270" t="str">
            <v/>
          </cell>
          <cell r="S9270" t="str">
            <v/>
          </cell>
          <cell r="V9270" t="str">
            <v/>
          </cell>
          <cell r="Z9270" t="str">
            <v/>
          </cell>
          <cell r="AA9270" t="str">
            <v/>
          </cell>
          <cell r="AB9270" t="str">
            <v/>
          </cell>
          <cell r="AC9270" t="str">
            <v/>
          </cell>
          <cell r="AD9270" t="str">
            <v/>
          </cell>
          <cell r="AY9270" t="str">
            <v/>
          </cell>
          <cell r="AZ9270" t="str">
            <v/>
          </cell>
          <cell r="BA9270" t="str">
            <v/>
          </cell>
        </row>
        <row r="9271">
          <cell r="B9271" t="str">
            <v>-</v>
          </cell>
          <cell r="E9271" t="str">
            <v/>
          </cell>
          <cell r="G9271" t="str">
            <v/>
          </cell>
          <cell r="J9271" t="str">
            <v/>
          </cell>
          <cell r="O9271" t="str">
            <v/>
          </cell>
          <cell r="P9271" t="str">
            <v/>
          </cell>
          <cell r="Q9271" t="str">
            <v/>
          </cell>
          <cell r="S9271" t="str">
            <v/>
          </cell>
          <cell r="V9271" t="str">
            <v/>
          </cell>
          <cell r="Z9271" t="str">
            <v/>
          </cell>
          <cell r="AA9271" t="str">
            <v/>
          </cell>
          <cell r="AB9271" t="str">
            <v/>
          </cell>
          <cell r="AC9271" t="str">
            <v/>
          </cell>
          <cell r="AD9271" t="str">
            <v/>
          </cell>
          <cell r="AY9271" t="str">
            <v/>
          </cell>
          <cell r="AZ9271" t="str">
            <v/>
          </cell>
          <cell r="BA9271" t="str">
            <v/>
          </cell>
        </row>
        <row r="9272">
          <cell r="B9272" t="str">
            <v>-</v>
          </cell>
          <cell r="E9272" t="str">
            <v/>
          </cell>
          <cell r="G9272" t="str">
            <v/>
          </cell>
          <cell r="J9272" t="str">
            <v/>
          </cell>
          <cell r="O9272" t="str">
            <v/>
          </cell>
          <cell r="P9272" t="str">
            <v/>
          </cell>
          <cell r="Q9272" t="str">
            <v/>
          </cell>
          <cell r="S9272" t="str">
            <v/>
          </cell>
          <cell r="V9272" t="str">
            <v/>
          </cell>
          <cell r="Z9272" t="str">
            <v/>
          </cell>
          <cell r="AA9272" t="str">
            <v/>
          </cell>
          <cell r="AB9272" t="str">
            <v/>
          </cell>
          <cell r="AC9272" t="str">
            <v/>
          </cell>
          <cell r="AD9272" t="str">
            <v/>
          </cell>
          <cell r="AY9272" t="str">
            <v/>
          </cell>
          <cell r="AZ9272" t="str">
            <v/>
          </cell>
          <cell r="BA9272" t="str">
            <v/>
          </cell>
        </row>
        <row r="9273">
          <cell r="B9273" t="str">
            <v>-</v>
          </cell>
          <cell r="E9273" t="str">
            <v/>
          </cell>
          <cell r="G9273" t="str">
            <v/>
          </cell>
          <cell r="J9273" t="str">
            <v/>
          </cell>
          <cell r="O9273" t="str">
            <v/>
          </cell>
          <cell r="P9273" t="str">
            <v/>
          </cell>
          <cell r="Q9273" t="str">
            <v/>
          </cell>
          <cell r="S9273" t="str">
            <v/>
          </cell>
          <cell r="V9273" t="str">
            <v/>
          </cell>
          <cell r="Z9273" t="str">
            <v/>
          </cell>
          <cell r="AA9273" t="str">
            <v/>
          </cell>
          <cell r="AB9273" t="str">
            <v/>
          </cell>
          <cell r="AC9273" t="str">
            <v/>
          </cell>
          <cell r="AD9273" t="str">
            <v/>
          </cell>
          <cell r="AY9273" t="str">
            <v/>
          </cell>
          <cell r="AZ9273" t="str">
            <v/>
          </cell>
          <cell r="BA9273" t="str">
            <v/>
          </cell>
        </row>
        <row r="9274">
          <cell r="B9274" t="str">
            <v>-</v>
          </cell>
          <cell r="E9274" t="str">
            <v/>
          </cell>
          <cell r="G9274" t="str">
            <v/>
          </cell>
          <cell r="J9274" t="str">
            <v/>
          </cell>
          <cell r="O9274" t="str">
            <v/>
          </cell>
          <cell r="P9274" t="str">
            <v/>
          </cell>
          <cell r="Q9274" t="str">
            <v/>
          </cell>
          <cell r="S9274" t="str">
            <v/>
          </cell>
          <cell r="V9274" t="str">
            <v/>
          </cell>
          <cell r="Z9274" t="str">
            <v/>
          </cell>
          <cell r="AA9274" t="str">
            <v/>
          </cell>
          <cell r="AB9274" t="str">
            <v/>
          </cell>
          <cell r="AC9274" t="str">
            <v/>
          </cell>
          <cell r="AD9274" t="str">
            <v/>
          </cell>
          <cell r="AY9274" t="str">
            <v/>
          </cell>
          <cell r="AZ9274" t="str">
            <v/>
          </cell>
          <cell r="BA9274" t="str">
            <v/>
          </cell>
        </row>
        <row r="9275">
          <cell r="B9275" t="str">
            <v>-</v>
          </cell>
          <cell r="E9275" t="str">
            <v/>
          </cell>
          <cell r="G9275" t="str">
            <v/>
          </cell>
          <cell r="J9275" t="str">
            <v/>
          </cell>
          <cell r="O9275" t="str">
            <v/>
          </cell>
          <cell r="P9275" t="str">
            <v/>
          </cell>
          <cell r="Q9275" t="str">
            <v/>
          </cell>
          <cell r="S9275" t="str">
            <v/>
          </cell>
          <cell r="V9275" t="str">
            <v/>
          </cell>
          <cell r="Z9275" t="str">
            <v/>
          </cell>
          <cell r="AA9275" t="str">
            <v/>
          </cell>
          <cell r="AB9275" t="str">
            <v/>
          </cell>
          <cell r="AC9275" t="str">
            <v/>
          </cell>
          <cell r="AD9275" t="str">
            <v/>
          </cell>
          <cell r="AY9275" t="str">
            <v/>
          </cell>
          <cell r="AZ9275" t="str">
            <v/>
          </cell>
          <cell r="BA9275" t="str">
            <v/>
          </cell>
        </row>
        <row r="9276">
          <cell r="B9276" t="str">
            <v>-</v>
          </cell>
          <cell r="E9276" t="str">
            <v/>
          </cell>
          <cell r="G9276" t="str">
            <v/>
          </cell>
          <cell r="J9276" t="str">
            <v/>
          </cell>
          <cell r="O9276" t="str">
            <v/>
          </cell>
          <cell r="P9276" t="str">
            <v/>
          </cell>
          <cell r="Q9276" t="str">
            <v/>
          </cell>
          <cell r="S9276" t="str">
            <v/>
          </cell>
          <cell r="V9276" t="str">
            <v/>
          </cell>
          <cell r="Z9276" t="str">
            <v/>
          </cell>
          <cell r="AA9276" t="str">
            <v/>
          </cell>
          <cell r="AB9276" t="str">
            <v/>
          </cell>
          <cell r="AC9276" t="str">
            <v/>
          </cell>
          <cell r="AD9276" t="str">
            <v/>
          </cell>
          <cell r="AY9276" t="str">
            <v/>
          </cell>
          <cell r="AZ9276" t="str">
            <v/>
          </cell>
          <cell r="BA9276" t="str">
            <v/>
          </cell>
        </row>
        <row r="9277">
          <cell r="B9277" t="str">
            <v>-</v>
          </cell>
          <cell r="E9277" t="str">
            <v/>
          </cell>
          <cell r="G9277" t="str">
            <v/>
          </cell>
          <cell r="J9277" t="str">
            <v/>
          </cell>
          <cell r="O9277" t="str">
            <v/>
          </cell>
          <cell r="P9277" t="str">
            <v/>
          </cell>
          <cell r="Q9277" t="str">
            <v/>
          </cell>
          <cell r="S9277" t="str">
            <v/>
          </cell>
          <cell r="V9277" t="str">
            <v/>
          </cell>
          <cell r="Z9277" t="str">
            <v/>
          </cell>
          <cell r="AA9277" t="str">
            <v/>
          </cell>
          <cell r="AB9277" t="str">
            <v/>
          </cell>
          <cell r="AC9277" t="str">
            <v/>
          </cell>
          <cell r="AD9277" t="str">
            <v/>
          </cell>
          <cell r="AY9277" t="str">
            <v/>
          </cell>
          <cell r="AZ9277" t="str">
            <v/>
          </cell>
          <cell r="BA9277" t="str">
            <v/>
          </cell>
        </row>
        <row r="9278">
          <cell r="B9278" t="str">
            <v>-</v>
          </cell>
          <cell r="E9278" t="str">
            <v/>
          </cell>
          <cell r="G9278" t="str">
            <v/>
          </cell>
          <cell r="J9278" t="str">
            <v/>
          </cell>
          <cell r="O9278" t="str">
            <v/>
          </cell>
          <cell r="P9278" t="str">
            <v/>
          </cell>
          <cell r="Q9278" t="str">
            <v/>
          </cell>
          <cell r="S9278" t="str">
            <v/>
          </cell>
          <cell r="V9278" t="str">
            <v/>
          </cell>
          <cell r="Z9278" t="str">
            <v/>
          </cell>
          <cell r="AA9278" t="str">
            <v/>
          </cell>
          <cell r="AB9278" t="str">
            <v/>
          </cell>
          <cell r="AC9278" t="str">
            <v/>
          </cell>
          <cell r="AD9278" t="str">
            <v/>
          </cell>
          <cell r="AY9278" t="str">
            <v/>
          </cell>
          <cell r="AZ9278" t="str">
            <v/>
          </cell>
          <cell r="BA9278" t="str">
            <v/>
          </cell>
        </row>
        <row r="9279">
          <cell r="B9279" t="str">
            <v>-</v>
          </cell>
          <cell r="E9279" t="str">
            <v/>
          </cell>
          <cell r="G9279" t="str">
            <v/>
          </cell>
          <cell r="J9279" t="str">
            <v/>
          </cell>
          <cell r="O9279" t="str">
            <v/>
          </cell>
          <cell r="P9279" t="str">
            <v/>
          </cell>
          <cell r="Q9279" t="str">
            <v/>
          </cell>
          <cell r="S9279" t="str">
            <v/>
          </cell>
          <cell r="V9279" t="str">
            <v/>
          </cell>
          <cell r="Z9279" t="str">
            <v/>
          </cell>
          <cell r="AA9279" t="str">
            <v/>
          </cell>
          <cell r="AB9279" t="str">
            <v/>
          </cell>
          <cell r="AC9279" t="str">
            <v/>
          </cell>
          <cell r="AD9279" t="str">
            <v/>
          </cell>
          <cell r="AY9279" t="str">
            <v/>
          </cell>
          <cell r="AZ9279" t="str">
            <v/>
          </cell>
          <cell r="BA9279" t="str">
            <v/>
          </cell>
        </row>
        <row r="9280">
          <cell r="B9280" t="str">
            <v>-</v>
          </cell>
          <cell r="E9280" t="str">
            <v/>
          </cell>
          <cell r="G9280" t="str">
            <v/>
          </cell>
          <cell r="J9280" t="str">
            <v/>
          </cell>
          <cell r="O9280" t="str">
            <v/>
          </cell>
          <cell r="P9280" t="str">
            <v/>
          </cell>
          <cell r="Q9280" t="str">
            <v/>
          </cell>
          <cell r="S9280" t="str">
            <v/>
          </cell>
          <cell r="V9280" t="str">
            <v/>
          </cell>
          <cell r="Z9280" t="str">
            <v/>
          </cell>
          <cell r="AA9280" t="str">
            <v/>
          </cell>
          <cell r="AB9280" t="str">
            <v/>
          </cell>
          <cell r="AC9280" t="str">
            <v/>
          </cell>
          <cell r="AD9280" t="str">
            <v/>
          </cell>
          <cell r="AY9280" t="str">
            <v/>
          </cell>
          <cell r="AZ9280" t="str">
            <v/>
          </cell>
          <cell r="BA9280" t="str">
            <v/>
          </cell>
        </row>
        <row r="9281">
          <cell r="B9281" t="str">
            <v>-</v>
          </cell>
          <cell r="E9281" t="str">
            <v/>
          </cell>
          <cell r="G9281" t="str">
            <v/>
          </cell>
          <cell r="J9281" t="str">
            <v/>
          </cell>
          <cell r="O9281" t="str">
            <v/>
          </cell>
          <cell r="P9281" t="str">
            <v/>
          </cell>
          <cell r="Q9281" t="str">
            <v/>
          </cell>
          <cell r="S9281" t="str">
            <v/>
          </cell>
          <cell r="V9281" t="str">
            <v/>
          </cell>
          <cell r="Z9281" t="str">
            <v/>
          </cell>
          <cell r="AA9281" t="str">
            <v/>
          </cell>
          <cell r="AB9281" t="str">
            <v/>
          </cell>
          <cell r="AC9281" t="str">
            <v/>
          </cell>
          <cell r="AD9281" t="str">
            <v/>
          </cell>
          <cell r="AY9281" t="str">
            <v/>
          </cell>
          <cell r="AZ9281" t="str">
            <v/>
          </cell>
          <cell r="BA9281" t="str">
            <v/>
          </cell>
        </row>
        <row r="9282">
          <cell r="B9282" t="str">
            <v>-</v>
          </cell>
          <cell r="E9282" t="str">
            <v/>
          </cell>
          <cell r="G9282" t="str">
            <v/>
          </cell>
          <cell r="J9282" t="str">
            <v/>
          </cell>
          <cell r="O9282" t="str">
            <v/>
          </cell>
          <cell r="P9282" t="str">
            <v/>
          </cell>
          <cell r="Q9282" t="str">
            <v/>
          </cell>
          <cell r="S9282" t="str">
            <v/>
          </cell>
          <cell r="V9282" t="str">
            <v/>
          </cell>
          <cell r="Z9282" t="str">
            <v/>
          </cell>
          <cell r="AA9282" t="str">
            <v/>
          </cell>
          <cell r="AB9282" t="str">
            <v/>
          </cell>
          <cell r="AC9282" t="str">
            <v/>
          </cell>
          <cell r="AD9282" t="str">
            <v/>
          </cell>
          <cell r="AY9282" t="str">
            <v/>
          </cell>
          <cell r="AZ9282" t="str">
            <v/>
          </cell>
          <cell r="BA9282" t="str">
            <v/>
          </cell>
        </row>
        <row r="9283">
          <cell r="B9283" t="str">
            <v>-</v>
          </cell>
          <cell r="E9283" t="str">
            <v/>
          </cell>
          <cell r="G9283" t="str">
            <v/>
          </cell>
          <cell r="J9283" t="str">
            <v/>
          </cell>
          <cell r="O9283" t="str">
            <v/>
          </cell>
          <cell r="P9283" t="str">
            <v/>
          </cell>
          <cell r="Q9283" t="str">
            <v/>
          </cell>
          <cell r="S9283" t="str">
            <v/>
          </cell>
          <cell r="V9283" t="str">
            <v/>
          </cell>
          <cell r="Z9283" t="str">
            <v/>
          </cell>
          <cell r="AA9283" t="str">
            <v/>
          </cell>
          <cell r="AB9283" t="str">
            <v/>
          </cell>
          <cell r="AC9283" t="str">
            <v/>
          </cell>
          <cell r="AD9283" t="str">
            <v/>
          </cell>
          <cell r="AY9283" t="str">
            <v/>
          </cell>
          <cell r="AZ9283" t="str">
            <v/>
          </cell>
          <cell r="BA9283" t="str">
            <v/>
          </cell>
        </row>
        <row r="9284">
          <cell r="B9284" t="str">
            <v>-</v>
          </cell>
          <cell r="E9284" t="str">
            <v/>
          </cell>
          <cell r="G9284" t="str">
            <v/>
          </cell>
          <cell r="J9284" t="str">
            <v/>
          </cell>
          <cell r="O9284" t="str">
            <v/>
          </cell>
          <cell r="P9284" t="str">
            <v/>
          </cell>
          <cell r="Q9284" t="str">
            <v/>
          </cell>
          <cell r="S9284" t="str">
            <v/>
          </cell>
          <cell r="V9284" t="str">
            <v/>
          </cell>
          <cell r="Z9284" t="str">
            <v/>
          </cell>
          <cell r="AA9284" t="str">
            <v/>
          </cell>
          <cell r="AB9284" t="str">
            <v/>
          </cell>
          <cell r="AC9284" t="str">
            <v/>
          </cell>
          <cell r="AD9284" t="str">
            <v/>
          </cell>
          <cell r="AY9284" t="str">
            <v/>
          </cell>
          <cell r="AZ9284" t="str">
            <v/>
          </cell>
          <cell r="BA9284" t="str">
            <v/>
          </cell>
        </row>
        <row r="9285">
          <cell r="B9285" t="str">
            <v>-</v>
          </cell>
          <cell r="E9285" t="str">
            <v/>
          </cell>
          <cell r="G9285" t="str">
            <v/>
          </cell>
          <cell r="J9285" t="str">
            <v/>
          </cell>
          <cell r="O9285" t="str">
            <v/>
          </cell>
          <cell r="P9285" t="str">
            <v/>
          </cell>
          <cell r="Q9285" t="str">
            <v/>
          </cell>
          <cell r="S9285" t="str">
            <v/>
          </cell>
          <cell r="V9285" t="str">
            <v/>
          </cell>
          <cell r="Z9285" t="str">
            <v/>
          </cell>
          <cell r="AA9285" t="str">
            <v/>
          </cell>
          <cell r="AB9285" t="str">
            <v/>
          </cell>
          <cell r="AC9285" t="str">
            <v/>
          </cell>
          <cell r="AD9285" t="str">
            <v/>
          </cell>
          <cell r="AY9285" t="str">
            <v/>
          </cell>
          <cell r="AZ9285" t="str">
            <v/>
          </cell>
          <cell r="BA9285" t="str">
            <v/>
          </cell>
        </row>
        <row r="9286">
          <cell r="B9286" t="str">
            <v>-</v>
          </cell>
          <cell r="E9286" t="str">
            <v/>
          </cell>
          <cell r="G9286" t="str">
            <v/>
          </cell>
          <cell r="J9286" t="str">
            <v/>
          </cell>
          <cell r="O9286" t="str">
            <v/>
          </cell>
          <cell r="P9286" t="str">
            <v/>
          </cell>
          <cell r="Q9286" t="str">
            <v/>
          </cell>
          <cell r="S9286" t="str">
            <v/>
          </cell>
          <cell r="V9286" t="str">
            <v/>
          </cell>
          <cell r="Z9286" t="str">
            <v/>
          </cell>
          <cell r="AA9286" t="str">
            <v/>
          </cell>
          <cell r="AB9286" t="str">
            <v/>
          </cell>
          <cell r="AC9286" t="str">
            <v/>
          </cell>
          <cell r="AD9286" t="str">
            <v/>
          </cell>
          <cell r="AY9286" t="str">
            <v/>
          </cell>
          <cell r="AZ9286" t="str">
            <v/>
          </cell>
          <cell r="BA9286" t="str">
            <v/>
          </cell>
        </row>
        <row r="9287">
          <cell r="B9287" t="str">
            <v>-</v>
          </cell>
          <cell r="E9287" t="str">
            <v/>
          </cell>
          <cell r="G9287" t="str">
            <v/>
          </cell>
          <cell r="J9287" t="str">
            <v/>
          </cell>
          <cell r="O9287" t="str">
            <v/>
          </cell>
          <cell r="P9287" t="str">
            <v/>
          </cell>
          <cell r="Q9287" t="str">
            <v/>
          </cell>
          <cell r="S9287" t="str">
            <v/>
          </cell>
          <cell r="V9287" t="str">
            <v/>
          </cell>
          <cell r="Z9287" t="str">
            <v/>
          </cell>
          <cell r="AA9287" t="str">
            <v/>
          </cell>
          <cell r="AB9287" t="str">
            <v/>
          </cell>
          <cell r="AC9287" t="str">
            <v/>
          </cell>
          <cell r="AD9287" t="str">
            <v/>
          </cell>
          <cell r="AY9287" t="str">
            <v/>
          </cell>
          <cell r="AZ9287" t="str">
            <v/>
          </cell>
          <cell r="BA9287" t="str">
            <v/>
          </cell>
        </row>
        <row r="9288">
          <cell r="B9288" t="str">
            <v>-</v>
          </cell>
          <cell r="E9288" t="str">
            <v/>
          </cell>
          <cell r="G9288" t="str">
            <v/>
          </cell>
          <cell r="J9288" t="str">
            <v/>
          </cell>
          <cell r="O9288" t="str">
            <v/>
          </cell>
          <cell r="P9288" t="str">
            <v/>
          </cell>
          <cell r="Q9288" t="str">
            <v/>
          </cell>
          <cell r="S9288" t="str">
            <v/>
          </cell>
          <cell r="V9288" t="str">
            <v/>
          </cell>
          <cell r="Z9288" t="str">
            <v/>
          </cell>
          <cell r="AA9288" t="str">
            <v/>
          </cell>
          <cell r="AB9288" t="str">
            <v/>
          </cell>
          <cell r="AC9288" t="str">
            <v/>
          </cell>
          <cell r="AD9288" t="str">
            <v/>
          </cell>
          <cell r="AY9288" t="str">
            <v/>
          </cell>
          <cell r="AZ9288" t="str">
            <v/>
          </cell>
          <cell r="BA9288" t="str">
            <v/>
          </cell>
        </row>
        <row r="9289">
          <cell r="B9289" t="str">
            <v>-</v>
          </cell>
          <cell r="E9289" t="str">
            <v/>
          </cell>
          <cell r="G9289" t="str">
            <v/>
          </cell>
          <cell r="J9289" t="str">
            <v/>
          </cell>
          <cell r="O9289" t="str">
            <v/>
          </cell>
          <cell r="P9289" t="str">
            <v/>
          </cell>
          <cell r="Q9289" t="str">
            <v/>
          </cell>
          <cell r="S9289" t="str">
            <v/>
          </cell>
          <cell r="V9289" t="str">
            <v/>
          </cell>
          <cell r="Z9289" t="str">
            <v/>
          </cell>
          <cell r="AA9289" t="str">
            <v/>
          </cell>
          <cell r="AB9289" t="str">
            <v/>
          </cell>
          <cell r="AC9289" t="str">
            <v/>
          </cell>
          <cell r="AD9289" t="str">
            <v/>
          </cell>
          <cell r="AY9289" t="str">
            <v/>
          </cell>
          <cell r="AZ9289" t="str">
            <v/>
          </cell>
          <cell r="BA9289" t="str">
            <v/>
          </cell>
        </row>
        <row r="9290">
          <cell r="B9290" t="str">
            <v>-</v>
          </cell>
          <cell r="E9290" t="str">
            <v/>
          </cell>
          <cell r="G9290" t="str">
            <v/>
          </cell>
          <cell r="J9290" t="str">
            <v/>
          </cell>
          <cell r="O9290" t="str">
            <v/>
          </cell>
          <cell r="P9290" t="str">
            <v/>
          </cell>
          <cell r="Q9290" t="str">
            <v/>
          </cell>
          <cell r="S9290" t="str">
            <v/>
          </cell>
          <cell r="V9290" t="str">
            <v/>
          </cell>
          <cell r="Z9290" t="str">
            <v/>
          </cell>
          <cell r="AA9290" t="str">
            <v/>
          </cell>
          <cell r="AB9290" t="str">
            <v/>
          </cell>
          <cell r="AC9290" t="str">
            <v/>
          </cell>
          <cell r="AD9290" t="str">
            <v/>
          </cell>
          <cell r="AY9290" t="str">
            <v/>
          </cell>
          <cell r="AZ9290" t="str">
            <v/>
          </cell>
          <cell r="BA9290" t="str">
            <v/>
          </cell>
        </row>
        <row r="9291">
          <cell r="B9291" t="str">
            <v>-</v>
          </cell>
          <cell r="E9291" t="str">
            <v/>
          </cell>
          <cell r="G9291" t="str">
            <v/>
          </cell>
          <cell r="J9291" t="str">
            <v/>
          </cell>
          <cell r="O9291" t="str">
            <v/>
          </cell>
          <cell r="P9291" t="str">
            <v/>
          </cell>
          <cell r="Q9291" t="str">
            <v/>
          </cell>
          <cell r="S9291" t="str">
            <v/>
          </cell>
          <cell r="V9291" t="str">
            <v/>
          </cell>
          <cell r="Z9291" t="str">
            <v/>
          </cell>
          <cell r="AA9291" t="str">
            <v/>
          </cell>
          <cell r="AB9291" t="str">
            <v/>
          </cell>
          <cell r="AC9291" t="str">
            <v/>
          </cell>
          <cell r="AD9291" t="str">
            <v/>
          </cell>
          <cell r="AY9291" t="str">
            <v/>
          </cell>
          <cell r="AZ9291" t="str">
            <v/>
          </cell>
          <cell r="BA9291" t="str">
            <v/>
          </cell>
        </row>
        <row r="9292">
          <cell r="B9292" t="str">
            <v>-</v>
          </cell>
          <cell r="E9292" t="str">
            <v/>
          </cell>
          <cell r="G9292" t="str">
            <v/>
          </cell>
          <cell r="J9292" t="str">
            <v/>
          </cell>
          <cell r="O9292" t="str">
            <v/>
          </cell>
          <cell r="P9292" t="str">
            <v/>
          </cell>
          <cell r="Q9292" t="str">
            <v/>
          </cell>
          <cell r="S9292" t="str">
            <v/>
          </cell>
          <cell r="V9292" t="str">
            <v/>
          </cell>
          <cell r="Z9292" t="str">
            <v/>
          </cell>
          <cell r="AA9292" t="str">
            <v/>
          </cell>
          <cell r="AB9292" t="str">
            <v/>
          </cell>
          <cell r="AC9292" t="str">
            <v/>
          </cell>
          <cell r="AD9292" t="str">
            <v/>
          </cell>
          <cell r="AY9292" t="str">
            <v/>
          </cell>
          <cell r="AZ9292" t="str">
            <v/>
          </cell>
          <cell r="BA9292" t="str">
            <v/>
          </cell>
        </row>
        <row r="9293">
          <cell r="B9293" t="str">
            <v>-</v>
          </cell>
          <cell r="E9293" t="str">
            <v/>
          </cell>
          <cell r="G9293" t="str">
            <v/>
          </cell>
          <cell r="J9293" t="str">
            <v/>
          </cell>
          <cell r="O9293" t="str">
            <v/>
          </cell>
          <cell r="P9293" t="str">
            <v/>
          </cell>
          <cell r="Q9293" t="str">
            <v/>
          </cell>
          <cell r="S9293" t="str">
            <v/>
          </cell>
          <cell r="V9293" t="str">
            <v/>
          </cell>
          <cell r="Z9293" t="str">
            <v/>
          </cell>
          <cell r="AA9293" t="str">
            <v/>
          </cell>
          <cell r="AB9293" t="str">
            <v/>
          </cell>
          <cell r="AC9293" t="str">
            <v/>
          </cell>
          <cell r="AD9293" t="str">
            <v/>
          </cell>
          <cell r="AY9293" t="str">
            <v/>
          </cell>
          <cell r="AZ9293" t="str">
            <v/>
          </cell>
          <cell r="BA9293" t="str">
            <v/>
          </cell>
        </row>
        <row r="9294">
          <cell r="B9294" t="str">
            <v>-</v>
          </cell>
          <cell r="E9294" t="str">
            <v/>
          </cell>
          <cell r="G9294" t="str">
            <v/>
          </cell>
          <cell r="J9294" t="str">
            <v/>
          </cell>
          <cell r="O9294" t="str">
            <v/>
          </cell>
          <cell r="P9294" t="str">
            <v/>
          </cell>
          <cell r="Q9294" t="str">
            <v/>
          </cell>
          <cell r="S9294" t="str">
            <v/>
          </cell>
          <cell r="V9294" t="str">
            <v/>
          </cell>
          <cell r="Z9294" t="str">
            <v/>
          </cell>
          <cell r="AA9294" t="str">
            <v/>
          </cell>
          <cell r="AB9294" t="str">
            <v/>
          </cell>
          <cell r="AC9294" t="str">
            <v/>
          </cell>
          <cell r="AD9294" t="str">
            <v/>
          </cell>
          <cell r="AY9294" t="str">
            <v/>
          </cell>
          <cell r="AZ9294" t="str">
            <v/>
          </cell>
          <cell r="BA9294" t="str">
            <v/>
          </cell>
        </row>
        <row r="9295">
          <cell r="B9295" t="str">
            <v>-</v>
          </cell>
          <cell r="E9295" t="str">
            <v/>
          </cell>
          <cell r="G9295" t="str">
            <v/>
          </cell>
          <cell r="J9295" t="str">
            <v/>
          </cell>
          <cell r="O9295" t="str">
            <v/>
          </cell>
          <cell r="P9295" t="str">
            <v/>
          </cell>
          <cell r="Q9295" t="str">
            <v/>
          </cell>
          <cell r="S9295" t="str">
            <v/>
          </cell>
          <cell r="V9295" t="str">
            <v/>
          </cell>
          <cell r="Z9295" t="str">
            <v/>
          </cell>
          <cell r="AA9295" t="str">
            <v/>
          </cell>
          <cell r="AB9295" t="str">
            <v/>
          </cell>
          <cell r="AC9295" t="str">
            <v/>
          </cell>
          <cell r="AD9295" t="str">
            <v/>
          </cell>
          <cell r="AY9295" t="str">
            <v/>
          </cell>
          <cell r="AZ9295" t="str">
            <v/>
          </cell>
          <cell r="BA9295" t="str">
            <v/>
          </cell>
        </row>
        <row r="9296">
          <cell r="B9296" t="str">
            <v>-</v>
          </cell>
          <cell r="E9296" t="str">
            <v/>
          </cell>
          <cell r="G9296" t="str">
            <v/>
          </cell>
          <cell r="J9296" t="str">
            <v/>
          </cell>
          <cell r="O9296" t="str">
            <v/>
          </cell>
          <cell r="P9296" t="str">
            <v/>
          </cell>
          <cell r="Q9296" t="str">
            <v/>
          </cell>
          <cell r="S9296" t="str">
            <v/>
          </cell>
          <cell r="V9296" t="str">
            <v/>
          </cell>
          <cell r="Z9296" t="str">
            <v/>
          </cell>
          <cell r="AA9296" t="str">
            <v/>
          </cell>
          <cell r="AB9296" t="str">
            <v/>
          </cell>
          <cell r="AC9296" t="str">
            <v/>
          </cell>
          <cell r="AD9296" t="str">
            <v/>
          </cell>
          <cell r="AY9296" t="str">
            <v/>
          </cell>
          <cell r="AZ9296" t="str">
            <v/>
          </cell>
          <cell r="BA9296" t="str">
            <v/>
          </cell>
        </row>
        <row r="9297">
          <cell r="B9297" t="str">
            <v>-</v>
          </cell>
          <cell r="E9297" t="str">
            <v/>
          </cell>
          <cell r="G9297" t="str">
            <v/>
          </cell>
          <cell r="J9297" t="str">
            <v/>
          </cell>
          <cell r="O9297" t="str">
            <v/>
          </cell>
          <cell r="P9297" t="str">
            <v/>
          </cell>
          <cell r="Q9297" t="str">
            <v/>
          </cell>
          <cell r="S9297" t="str">
            <v/>
          </cell>
          <cell r="V9297" t="str">
            <v/>
          </cell>
          <cell r="Z9297" t="str">
            <v/>
          </cell>
          <cell r="AA9297" t="str">
            <v/>
          </cell>
          <cell r="AB9297" t="str">
            <v/>
          </cell>
          <cell r="AC9297" t="str">
            <v/>
          </cell>
          <cell r="AD9297" t="str">
            <v/>
          </cell>
          <cell r="AY9297" t="str">
            <v/>
          </cell>
          <cell r="AZ9297" t="str">
            <v/>
          </cell>
          <cell r="BA9297" t="str">
            <v/>
          </cell>
        </row>
        <row r="9298">
          <cell r="B9298" t="str">
            <v>-</v>
          </cell>
          <cell r="E9298" t="str">
            <v/>
          </cell>
          <cell r="G9298" t="str">
            <v/>
          </cell>
          <cell r="J9298" t="str">
            <v/>
          </cell>
          <cell r="O9298" t="str">
            <v/>
          </cell>
          <cell r="P9298" t="str">
            <v/>
          </cell>
          <cell r="Q9298" t="str">
            <v/>
          </cell>
          <cell r="S9298" t="str">
            <v/>
          </cell>
          <cell r="V9298" t="str">
            <v/>
          </cell>
          <cell r="Z9298" t="str">
            <v/>
          </cell>
          <cell r="AA9298" t="str">
            <v/>
          </cell>
          <cell r="AB9298" t="str">
            <v/>
          </cell>
          <cell r="AC9298" t="str">
            <v/>
          </cell>
          <cell r="AD9298" t="str">
            <v/>
          </cell>
          <cell r="AY9298" t="str">
            <v/>
          </cell>
          <cell r="AZ9298" t="str">
            <v/>
          </cell>
          <cell r="BA9298" t="str">
            <v/>
          </cell>
        </row>
        <row r="9299">
          <cell r="B9299" t="str">
            <v>-</v>
          </cell>
          <cell r="E9299" t="str">
            <v/>
          </cell>
          <cell r="G9299" t="str">
            <v/>
          </cell>
          <cell r="J9299" t="str">
            <v/>
          </cell>
          <cell r="O9299" t="str">
            <v/>
          </cell>
          <cell r="P9299" t="str">
            <v/>
          </cell>
          <cell r="Q9299" t="str">
            <v/>
          </cell>
          <cell r="S9299" t="str">
            <v/>
          </cell>
          <cell r="V9299" t="str">
            <v/>
          </cell>
          <cell r="Z9299" t="str">
            <v/>
          </cell>
          <cell r="AA9299" t="str">
            <v/>
          </cell>
          <cell r="AB9299" t="str">
            <v/>
          </cell>
          <cell r="AC9299" t="str">
            <v/>
          </cell>
          <cell r="AD9299" t="str">
            <v/>
          </cell>
          <cell r="AY9299" t="str">
            <v/>
          </cell>
          <cell r="AZ9299" t="str">
            <v/>
          </cell>
          <cell r="BA9299" t="str">
            <v/>
          </cell>
        </row>
        <row r="9300">
          <cell r="B9300" t="str">
            <v>-</v>
          </cell>
          <cell r="E9300" t="str">
            <v/>
          </cell>
          <cell r="G9300" t="str">
            <v/>
          </cell>
          <cell r="J9300" t="str">
            <v/>
          </cell>
          <cell r="O9300" t="str">
            <v/>
          </cell>
          <cell r="P9300" t="str">
            <v/>
          </cell>
          <cell r="Q9300" t="str">
            <v/>
          </cell>
          <cell r="S9300" t="str">
            <v/>
          </cell>
          <cell r="V9300" t="str">
            <v/>
          </cell>
          <cell r="Z9300" t="str">
            <v/>
          </cell>
          <cell r="AA9300" t="str">
            <v/>
          </cell>
          <cell r="AB9300" t="str">
            <v/>
          </cell>
          <cell r="AC9300" t="str">
            <v/>
          </cell>
          <cell r="AD9300" t="str">
            <v/>
          </cell>
          <cell r="AY9300" t="str">
            <v/>
          </cell>
          <cell r="AZ9300" t="str">
            <v/>
          </cell>
          <cell r="BA9300" t="str">
            <v/>
          </cell>
        </row>
        <row r="9301">
          <cell r="B9301" t="str">
            <v>-</v>
          </cell>
          <cell r="E9301" t="str">
            <v/>
          </cell>
          <cell r="G9301" t="str">
            <v/>
          </cell>
          <cell r="J9301" t="str">
            <v/>
          </cell>
          <cell r="O9301" t="str">
            <v/>
          </cell>
          <cell r="P9301" t="str">
            <v/>
          </cell>
          <cell r="Q9301" t="str">
            <v/>
          </cell>
          <cell r="S9301" t="str">
            <v/>
          </cell>
          <cell r="V9301" t="str">
            <v/>
          </cell>
          <cell r="Z9301" t="str">
            <v/>
          </cell>
          <cell r="AA9301" t="str">
            <v/>
          </cell>
          <cell r="AB9301" t="str">
            <v/>
          </cell>
          <cell r="AC9301" t="str">
            <v/>
          </cell>
          <cell r="AD9301" t="str">
            <v/>
          </cell>
          <cell r="AY9301" t="str">
            <v/>
          </cell>
          <cell r="AZ9301" t="str">
            <v/>
          </cell>
          <cell r="BA9301" t="str">
            <v/>
          </cell>
        </row>
        <row r="9302">
          <cell r="B9302" t="str">
            <v>-</v>
          </cell>
          <cell r="E9302" t="str">
            <v/>
          </cell>
          <cell r="G9302" t="str">
            <v/>
          </cell>
          <cell r="J9302" t="str">
            <v/>
          </cell>
          <cell r="O9302" t="str">
            <v/>
          </cell>
          <cell r="P9302" t="str">
            <v/>
          </cell>
          <cell r="Q9302" t="str">
            <v/>
          </cell>
          <cell r="S9302" t="str">
            <v/>
          </cell>
          <cell r="V9302" t="str">
            <v/>
          </cell>
          <cell r="Z9302" t="str">
            <v/>
          </cell>
          <cell r="AA9302" t="str">
            <v/>
          </cell>
          <cell r="AB9302" t="str">
            <v/>
          </cell>
          <cell r="AC9302" t="str">
            <v/>
          </cell>
          <cell r="AD9302" t="str">
            <v/>
          </cell>
          <cell r="AY9302" t="str">
            <v/>
          </cell>
          <cell r="AZ9302" t="str">
            <v/>
          </cell>
          <cell r="BA9302" t="str">
            <v/>
          </cell>
        </row>
        <row r="9303">
          <cell r="B9303" t="str">
            <v>-</v>
          </cell>
          <cell r="E9303" t="str">
            <v/>
          </cell>
          <cell r="G9303" t="str">
            <v/>
          </cell>
          <cell r="J9303" t="str">
            <v/>
          </cell>
          <cell r="O9303" t="str">
            <v/>
          </cell>
          <cell r="P9303" t="str">
            <v/>
          </cell>
          <cell r="Q9303" t="str">
            <v/>
          </cell>
          <cell r="S9303" t="str">
            <v/>
          </cell>
          <cell r="V9303" t="str">
            <v/>
          </cell>
          <cell r="Z9303" t="str">
            <v/>
          </cell>
          <cell r="AA9303" t="str">
            <v/>
          </cell>
          <cell r="AB9303" t="str">
            <v/>
          </cell>
          <cell r="AC9303" t="str">
            <v/>
          </cell>
          <cell r="AD9303" t="str">
            <v/>
          </cell>
          <cell r="AY9303" t="str">
            <v/>
          </cell>
          <cell r="AZ9303" t="str">
            <v/>
          </cell>
          <cell r="BA9303" t="str">
            <v/>
          </cell>
        </row>
        <row r="9304">
          <cell r="B9304" t="str">
            <v>-</v>
          </cell>
          <cell r="E9304" t="str">
            <v/>
          </cell>
          <cell r="G9304" t="str">
            <v/>
          </cell>
          <cell r="J9304" t="str">
            <v/>
          </cell>
          <cell r="O9304" t="str">
            <v/>
          </cell>
          <cell r="P9304" t="str">
            <v/>
          </cell>
          <cell r="Q9304" t="str">
            <v/>
          </cell>
          <cell r="S9304" t="str">
            <v/>
          </cell>
          <cell r="V9304" t="str">
            <v/>
          </cell>
          <cell r="Z9304" t="str">
            <v/>
          </cell>
          <cell r="AA9304" t="str">
            <v/>
          </cell>
          <cell r="AB9304" t="str">
            <v/>
          </cell>
          <cell r="AC9304" t="str">
            <v/>
          </cell>
          <cell r="AD9304" t="str">
            <v/>
          </cell>
          <cell r="AY9304" t="str">
            <v/>
          </cell>
          <cell r="AZ9304" t="str">
            <v/>
          </cell>
          <cell r="BA9304" t="str">
            <v/>
          </cell>
        </row>
        <row r="9305">
          <cell r="B9305" t="str">
            <v>-</v>
          </cell>
          <cell r="E9305" t="str">
            <v/>
          </cell>
          <cell r="G9305" t="str">
            <v/>
          </cell>
          <cell r="J9305" t="str">
            <v/>
          </cell>
          <cell r="O9305" t="str">
            <v/>
          </cell>
          <cell r="P9305" t="str">
            <v/>
          </cell>
          <cell r="Q9305" t="str">
            <v/>
          </cell>
          <cell r="S9305" t="str">
            <v/>
          </cell>
          <cell r="V9305" t="str">
            <v/>
          </cell>
          <cell r="Z9305" t="str">
            <v/>
          </cell>
          <cell r="AA9305" t="str">
            <v/>
          </cell>
          <cell r="AB9305" t="str">
            <v/>
          </cell>
          <cell r="AC9305" t="str">
            <v/>
          </cell>
          <cell r="AD9305" t="str">
            <v/>
          </cell>
          <cell r="AY9305" t="str">
            <v/>
          </cell>
          <cell r="AZ9305" t="str">
            <v/>
          </cell>
          <cell r="BA9305" t="str">
            <v/>
          </cell>
        </row>
        <row r="9306">
          <cell r="B9306" t="str">
            <v>-</v>
          </cell>
          <cell r="E9306" t="str">
            <v/>
          </cell>
          <cell r="G9306" t="str">
            <v/>
          </cell>
          <cell r="J9306" t="str">
            <v/>
          </cell>
          <cell r="O9306" t="str">
            <v/>
          </cell>
          <cell r="P9306" t="str">
            <v/>
          </cell>
          <cell r="Q9306" t="str">
            <v/>
          </cell>
          <cell r="S9306" t="str">
            <v/>
          </cell>
          <cell r="V9306" t="str">
            <v/>
          </cell>
          <cell r="Z9306" t="str">
            <v/>
          </cell>
          <cell r="AA9306" t="str">
            <v/>
          </cell>
          <cell r="AB9306" t="str">
            <v/>
          </cell>
          <cell r="AC9306" t="str">
            <v/>
          </cell>
          <cell r="AD9306" t="str">
            <v/>
          </cell>
          <cell r="AY9306" t="str">
            <v/>
          </cell>
          <cell r="AZ9306" t="str">
            <v/>
          </cell>
          <cell r="BA9306" t="str">
            <v/>
          </cell>
        </row>
        <row r="9307">
          <cell r="B9307" t="str">
            <v>-</v>
          </cell>
          <cell r="E9307" t="str">
            <v/>
          </cell>
          <cell r="G9307" t="str">
            <v/>
          </cell>
          <cell r="J9307" t="str">
            <v/>
          </cell>
          <cell r="O9307" t="str">
            <v/>
          </cell>
          <cell r="P9307" t="str">
            <v/>
          </cell>
          <cell r="Q9307" t="str">
            <v/>
          </cell>
          <cell r="S9307" t="str">
            <v/>
          </cell>
          <cell r="V9307" t="str">
            <v/>
          </cell>
          <cell r="Z9307" t="str">
            <v/>
          </cell>
          <cell r="AA9307" t="str">
            <v/>
          </cell>
          <cell r="AB9307" t="str">
            <v/>
          </cell>
          <cell r="AC9307" t="str">
            <v/>
          </cell>
          <cell r="AD9307" t="str">
            <v/>
          </cell>
          <cell r="AY9307" t="str">
            <v/>
          </cell>
          <cell r="AZ9307" t="str">
            <v/>
          </cell>
          <cell r="BA9307" t="str">
            <v/>
          </cell>
        </row>
        <row r="9308">
          <cell r="B9308" t="str">
            <v>-</v>
          </cell>
          <cell r="E9308" t="str">
            <v/>
          </cell>
          <cell r="G9308" t="str">
            <v/>
          </cell>
          <cell r="J9308" t="str">
            <v/>
          </cell>
          <cell r="O9308" t="str">
            <v/>
          </cell>
          <cell r="P9308" t="str">
            <v/>
          </cell>
          <cell r="Q9308" t="str">
            <v/>
          </cell>
          <cell r="S9308" t="str">
            <v/>
          </cell>
          <cell r="V9308" t="str">
            <v/>
          </cell>
          <cell r="Z9308" t="str">
            <v/>
          </cell>
          <cell r="AA9308" t="str">
            <v/>
          </cell>
          <cell r="AB9308" t="str">
            <v/>
          </cell>
          <cell r="AC9308" t="str">
            <v/>
          </cell>
          <cell r="AD9308" t="str">
            <v/>
          </cell>
          <cell r="AY9308" t="str">
            <v/>
          </cell>
          <cell r="AZ9308" t="str">
            <v/>
          </cell>
          <cell r="BA9308" t="str">
            <v/>
          </cell>
        </row>
        <row r="9309">
          <cell r="B9309" t="str">
            <v>-</v>
          </cell>
          <cell r="E9309" t="str">
            <v/>
          </cell>
          <cell r="G9309" t="str">
            <v/>
          </cell>
          <cell r="J9309" t="str">
            <v/>
          </cell>
          <cell r="O9309" t="str">
            <v/>
          </cell>
          <cell r="P9309" t="str">
            <v/>
          </cell>
          <cell r="Q9309" t="str">
            <v/>
          </cell>
          <cell r="S9309" t="str">
            <v/>
          </cell>
          <cell r="V9309" t="str">
            <v/>
          </cell>
          <cell r="Z9309" t="str">
            <v/>
          </cell>
          <cell r="AA9309" t="str">
            <v/>
          </cell>
          <cell r="AB9309" t="str">
            <v/>
          </cell>
          <cell r="AC9309" t="str">
            <v/>
          </cell>
          <cell r="AD9309" t="str">
            <v/>
          </cell>
          <cell r="AY9309" t="str">
            <v/>
          </cell>
          <cell r="AZ9309" t="str">
            <v/>
          </cell>
          <cell r="BA9309" t="str">
            <v/>
          </cell>
        </row>
        <row r="9310">
          <cell r="B9310" t="str">
            <v>-</v>
          </cell>
          <cell r="E9310" t="str">
            <v/>
          </cell>
          <cell r="G9310" t="str">
            <v/>
          </cell>
          <cell r="J9310" t="str">
            <v/>
          </cell>
          <cell r="O9310" t="str">
            <v/>
          </cell>
          <cell r="P9310" t="str">
            <v/>
          </cell>
          <cell r="Q9310" t="str">
            <v/>
          </cell>
          <cell r="S9310" t="str">
            <v/>
          </cell>
          <cell r="V9310" t="str">
            <v/>
          </cell>
          <cell r="Z9310" t="str">
            <v/>
          </cell>
          <cell r="AA9310" t="str">
            <v/>
          </cell>
          <cell r="AB9310" t="str">
            <v/>
          </cell>
          <cell r="AC9310" t="str">
            <v/>
          </cell>
          <cell r="AD9310" t="str">
            <v/>
          </cell>
          <cell r="AY9310" t="str">
            <v/>
          </cell>
          <cell r="AZ9310" t="str">
            <v/>
          </cell>
          <cell r="BA9310" t="str">
            <v/>
          </cell>
        </row>
        <row r="9311">
          <cell r="B9311" t="str">
            <v>-</v>
          </cell>
          <cell r="E9311" t="str">
            <v/>
          </cell>
          <cell r="G9311" t="str">
            <v/>
          </cell>
          <cell r="J9311" t="str">
            <v/>
          </cell>
          <cell r="O9311" t="str">
            <v/>
          </cell>
          <cell r="P9311" t="str">
            <v/>
          </cell>
          <cell r="Q9311" t="str">
            <v/>
          </cell>
          <cell r="S9311" t="str">
            <v/>
          </cell>
          <cell r="V9311" t="str">
            <v/>
          </cell>
          <cell r="Z9311" t="str">
            <v/>
          </cell>
          <cell r="AA9311" t="str">
            <v/>
          </cell>
          <cell r="AB9311" t="str">
            <v/>
          </cell>
          <cell r="AC9311" t="str">
            <v/>
          </cell>
          <cell r="AD9311" t="str">
            <v/>
          </cell>
          <cell r="AY9311" t="str">
            <v/>
          </cell>
          <cell r="AZ9311" t="str">
            <v/>
          </cell>
          <cell r="BA9311" t="str">
            <v/>
          </cell>
        </row>
        <row r="9312">
          <cell r="B9312" t="str">
            <v>-</v>
          </cell>
          <cell r="E9312" t="str">
            <v/>
          </cell>
          <cell r="G9312" t="str">
            <v/>
          </cell>
          <cell r="J9312" t="str">
            <v/>
          </cell>
          <cell r="O9312" t="str">
            <v/>
          </cell>
          <cell r="P9312" t="str">
            <v/>
          </cell>
          <cell r="Q9312" t="str">
            <v/>
          </cell>
          <cell r="S9312" t="str">
            <v/>
          </cell>
          <cell r="V9312" t="str">
            <v/>
          </cell>
          <cell r="Z9312" t="str">
            <v/>
          </cell>
          <cell r="AA9312" t="str">
            <v/>
          </cell>
          <cell r="AB9312" t="str">
            <v/>
          </cell>
          <cell r="AC9312" t="str">
            <v/>
          </cell>
          <cell r="AD9312" t="str">
            <v/>
          </cell>
          <cell r="AY9312" t="str">
            <v/>
          </cell>
          <cell r="AZ9312" t="str">
            <v/>
          </cell>
          <cell r="BA9312" t="str">
            <v/>
          </cell>
        </row>
        <row r="9313">
          <cell r="B9313" t="str">
            <v>-</v>
          </cell>
          <cell r="E9313" t="str">
            <v/>
          </cell>
          <cell r="G9313" t="str">
            <v/>
          </cell>
          <cell r="J9313" t="str">
            <v/>
          </cell>
          <cell r="O9313" t="str">
            <v/>
          </cell>
          <cell r="P9313" t="str">
            <v/>
          </cell>
          <cell r="Q9313" t="str">
            <v/>
          </cell>
          <cell r="S9313" t="str">
            <v/>
          </cell>
          <cell r="V9313" t="str">
            <v/>
          </cell>
          <cell r="Z9313" t="str">
            <v/>
          </cell>
          <cell r="AA9313" t="str">
            <v/>
          </cell>
          <cell r="AB9313" t="str">
            <v/>
          </cell>
          <cell r="AC9313" t="str">
            <v/>
          </cell>
          <cell r="AD9313" t="str">
            <v/>
          </cell>
          <cell r="AY9313" t="str">
            <v/>
          </cell>
          <cell r="AZ9313" t="str">
            <v/>
          </cell>
          <cell r="BA9313" t="str">
            <v/>
          </cell>
        </row>
        <row r="9314">
          <cell r="B9314" t="str">
            <v>-</v>
          </cell>
          <cell r="E9314" t="str">
            <v/>
          </cell>
          <cell r="G9314" t="str">
            <v/>
          </cell>
          <cell r="J9314" t="str">
            <v/>
          </cell>
          <cell r="O9314" t="str">
            <v/>
          </cell>
          <cell r="P9314" t="str">
            <v/>
          </cell>
          <cell r="Q9314" t="str">
            <v/>
          </cell>
          <cell r="S9314" t="str">
            <v/>
          </cell>
          <cell r="V9314" t="str">
            <v/>
          </cell>
          <cell r="Z9314" t="str">
            <v/>
          </cell>
          <cell r="AA9314" t="str">
            <v/>
          </cell>
          <cell r="AB9314" t="str">
            <v/>
          </cell>
          <cell r="AC9314" t="str">
            <v/>
          </cell>
          <cell r="AD9314" t="str">
            <v/>
          </cell>
          <cell r="AY9314" t="str">
            <v/>
          </cell>
          <cell r="AZ9314" t="str">
            <v/>
          </cell>
          <cell r="BA9314" t="str">
            <v/>
          </cell>
        </row>
        <row r="9315">
          <cell r="B9315" t="str">
            <v>-</v>
          </cell>
          <cell r="E9315" t="str">
            <v/>
          </cell>
          <cell r="G9315" t="str">
            <v/>
          </cell>
          <cell r="J9315" t="str">
            <v/>
          </cell>
          <cell r="O9315" t="str">
            <v/>
          </cell>
          <cell r="P9315" t="str">
            <v/>
          </cell>
          <cell r="Q9315" t="str">
            <v/>
          </cell>
          <cell r="S9315" t="str">
            <v/>
          </cell>
          <cell r="V9315" t="str">
            <v/>
          </cell>
          <cell r="Z9315" t="str">
            <v/>
          </cell>
          <cell r="AA9315" t="str">
            <v/>
          </cell>
          <cell r="AB9315" t="str">
            <v/>
          </cell>
          <cell r="AC9315" t="str">
            <v/>
          </cell>
          <cell r="AD9315" t="str">
            <v/>
          </cell>
          <cell r="AY9315" t="str">
            <v/>
          </cell>
          <cell r="AZ9315" t="str">
            <v/>
          </cell>
          <cell r="BA9315" t="str">
            <v/>
          </cell>
        </row>
        <row r="9316">
          <cell r="B9316" t="str">
            <v>-</v>
          </cell>
          <cell r="E9316" t="str">
            <v/>
          </cell>
          <cell r="G9316" t="str">
            <v/>
          </cell>
          <cell r="J9316" t="str">
            <v/>
          </cell>
          <cell r="O9316" t="str">
            <v/>
          </cell>
          <cell r="P9316" t="str">
            <v/>
          </cell>
          <cell r="Q9316" t="str">
            <v/>
          </cell>
          <cell r="S9316" t="str">
            <v/>
          </cell>
          <cell r="V9316" t="str">
            <v/>
          </cell>
          <cell r="Z9316" t="str">
            <v/>
          </cell>
          <cell r="AA9316" t="str">
            <v/>
          </cell>
          <cell r="AB9316" t="str">
            <v/>
          </cell>
          <cell r="AC9316" t="str">
            <v/>
          </cell>
          <cell r="AD9316" t="str">
            <v/>
          </cell>
          <cell r="AY9316" t="str">
            <v/>
          </cell>
          <cell r="AZ9316" t="str">
            <v/>
          </cell>
          <cell r="BA9316" t="str">
            <v/>
          </cell>
        </row>
        <row r="9317">
          <cell r="B9317" t="str">
            <v>-</v>
          </cell>
          <cell r="E9317" t="str">
            <v/>
          </cell>
          <cell r="G9317" t="str">
            <v/>
          </cell>
          <cell r="J9317" t="str">
            <v/>
          </cell>
          <cell r="O9317" t="str">
            <v/>
          </cell>
          <cell r="P9317" t="str">
            <v/>
          </cell>
          <cell r="Q9317" t="str">
            <v/>
          </cell>
          <cell r="S9317" t="str">
            <v/>
          </cell>
          <cell r="V9317" t="str">
            <v/>
          </cell>
          <cell r="Z9317" t="str">
            <v/>
          </cell>
          <cell r="AA9317" t="str">
            <v/>
          </cell>
          <cell r="AB9317" t="str">
            <v/>
          </cell>
          <cell r="AC9317" t="str">
            <v/>
          </cell>
          <cell r="AD9317" t="str">
            <v/>
          </cell>
          <cell r="AY9317" t="str">
            <v/>
          </cell>
          <cell r="AZ9317" t="str">
            <v/>
          </cell>
          <cell r="BA9317" t="str">
            <v/>
          </cell>
        </row>
        <row r="9318">
          <cell r="B9318" t="str">
            <v>-</v>
          </cell>
          <cell r="E9318" t="str">
            <v/>
          </cell>
          <cell r="G9318" t="str">
            <v/>
          </cell>
          <cell r="J9318" t="str">
            <v/>
          </cell>
          <cell r="O9318" t="str">
            <v/>
          </cell>
          <cell r="P9318" t="str">
            <v/>
          </cell>
          <cell r="Q9318" t="str">
            <v/>
          </cell>
          <cell r="S9318" t="str">
            <v/>
          </cell>
          <cell r="V9318" t="str">
            <v/>
          </cell>
          <cell r="Z9318" t="str">
            <v/>
          </cell>
          <cell r="AA9318" t="str">
            <v/>
          </cell>
          <cell r="AB9318" t="str">
            <v/>
          </cell>
          <cell r="AC9318" t="str">
            <v/>
          </cell>
          <cell r="AD9318" t="str">
            <v/>
          </cell>
          <cell r="AY9318" t="str">
            <v/>
          </cell>
          <cell r="AZ9318" t="str">
            <v/>
          </cell>
          <cell r="BA9318" t="str">
            <v/>
          </cell>
        </row>
        <row r="9319">
          <cell r="B9319" t="str">
            <v>-</v>
          </cell>
          <cell r="E9319" t="str">
            <v/>
          </cell>
          <cell r="G9319" t="str">
            <v/>
          </cell>
          <cell r="J9319" t="str">
            <v/>
          </cell>
          <cell r="O9319" t="str">
            <v/>
          </cell>
          <cell r="P9319" t="str">
            <v/>
          </cell>
          <cell r="Q9319" t="str">
            <v/>
          </cell>
          <cell r="S9319" t="str">
            <v/>
          </cell>
          <cell r="V9319" t="str">
            <v/>
          </cell>
          <cell r="Z9319" t="str">
            <v/>
          </cell>
          <cell r="AA9319" t="str">
            <v/>
          </cell>
          <cell r="AB9319" t="str">
            <v/>
          </cell>
          <cell r="AC9319" t="str">
            <v/>
          </cell>
          <cell r="AD9319" t="str">
            <v/>
          </cell>
          <cell r="AY9319" t="str">
            <v/>
          </cell>
          <cell r="AZ9319" t="str">
            <v/>
          </cell>
          <cell r="BA9319" t="str">
            <v/>
          </cell>
        </row>
        <row r="9320">
          <cell r="B9320" t="str">
            <v>-</v>
          </cell>
          <cell r="E9320" t="str">
            <v/>
          </cell>
          <cell r="G9320" t="str">
            <v/>
          </cell>
          <cell r="J9320" t="str">
            <v/>
          </cell>
          <cell r="O9320" t="str">
            <v/>
          </cell>
          <cell r="P9320" t="str">
            <v/>
          </cell>
          <cell r="Q9320" t="str">
            <v/>
          </cell>
          <cell r="S9320" t="str">
            <v/>
          </cell>
          <cell r="V9320" t="str">
            <v/>
          </cell>
          <cell r="Z9320" t="str">
            <v/>
          </cell>
          <cell r="AA9320" t="str">
            <v/>
          </cell>
          <cell r="AB9320" t="str">
            <v/>
          </cell>
          <cell r="AC9320" t="str">
            <v/>
          </cell>
          <cell r="AD9320" t="str">
            <v/>
          </cell>
          <cell r="AY9320" t="str">
            <v/>
          </cell>
          <cell r="AZ9320" t="str">
            <v/>
          </cell>
          <cell r="BA9320" t="str">
            <v/>
          </cell>
        </row>
        <row r="9321">
          <cell r="B9321" t="str">
            <v>-</v>
          </cell>
          <cell r="E9321" t="str">
            <v/>
          </cell>
          <cell r="G9321" t="str">
            <v/>
          </cell>
          <cell r="J9321" t="str">
            <v/>
          </cell>
          <cell r="O9321" t="str">
            <v/>
          </cell>
          <cell r="P9321" t="str">
            <v/>
          </cell>
          <cell r="Q9321" t="str">
            <v/>
          </cell>
          <cell r="S9321" t="str">
            <v/>
          </cell>
          <cell r="V9321" t="str">
            <v/>
          </cell>
          <cell r="Z9321" t="str">
            <v/>
          </cell>
          <cell r="AA9321" t="str">
            <v/>
          </cell>
          <cell r="AB9321" t="str">
            <v/>
          </cell>
          <cell r="AC9321" t="str">
            <v/>
          </cell>
          <cell r="AD9321" t="str">
            <v/>
          </cell>
          <cell r="AY9321" t="str">
            <v/>
          </cell>
          <cell r="AZ9321" t="str">
            <v/>
          </cell>
          <cell r="BA9321" t="str">
            <v/>
          </cell>
        </row>
        <row r="9322">
          <cell r="B9322" t="str">
            <v>-</v>
          </cell>
          <cell r="E9322" t="str">
            <v/>
          </cell>
          <cell r="G9322" t="str">
            <v/>
          </cell>
          <cell r="J9322" t="str">
            <v/>
          </cell>
          <cell r="O9322" t="str">
            <v/>
          </cell>
          <cell r="P9322" t="str">
            <v/>
          </cell>
          <cell r="Q9322" t="str">
            <v/>
          </cell>
          <cell r="S9322" t="str">
            <v/>
          </cell>
          <cell r="V9322" t="str">
            <v/>
          </cell>
          <cell r="Z9322" t="str">
            <v/>
          </cell>
          <cell r="AA9322" t="str">
            <v/>
          </cell>
          <cell r="AB9322" t="str">
            <v/>
          </cell>
          <cell r="AC9322" t="str">
            <v/>
          </cell>
          <cell r="AD9322" t="str">
            <v/>
          </cell>
          <cell r="AY9322" t="str">
            <v/>
          </cell>
          <cell r="AZ9322" t="str">
            <v/>
          </cell>
          <cell r="BA9322" t="str">
            <v/>
          </cell>
        </row>
        <row r="9323">
          <cell r="B9323" t="str">
            <v>-</v>
          </cell>
          <cell r="E9323" t="str">
            <v/>
          </cell>
          <cell r="G9323" t="str">
            <v/>
          </cell>
          <cell r="J9323" t="str">
            <v/>
          </cell>
          <cell r="O9323" t="str">
            <v/>
          </cell>
          <cell r="P9323" t="str">
            <v/>
          </cell>
          <cell r="Q9323" t="str">
            <v/>
          </cell>
          <cell r="S9323" t="str">
            <v/>
          </cell>
          <cell r="V9323" t="str">
            <v/>
          </cell>
          <cell r="Z9323" t="str">
            <v/>
          </cell>
          <cell r="AA9323" t="str">
            <v/>
          </cell>
          <cell r="AB9323" t="str">
            <v/>
          </cell>
          <cell r="AC9323" t="str">
            <v/>
          </cell>
          <cell r="AD9323" t="str">
            <v/>
          </cell>
          <cell r="AY9323" t="str">
            <v/>
          </cell>
          <cell r="AZ9323" t="str">
            <v/>
          </cell>
          <cell r="BA9323" t="str">
            <v/>
          </cell>
        </row>
        <row r="9324">
          <cell r="B9324" t="str">
            <v>-</v>
          </cell>
          <cell r="E9324" t="str">
            <v/>
          </cell>
          <cell r="G9324" t="str">
            <v/>
          </cell>
          <cell r="J9324" t="str">
            <v/>
          </cell>
          <cell r="O9324" t="str">
            <v/>
          </cell>
          <cell r="P9324" t="str">
            <v/>
          </cell>
          <cell r="Q9324" t="str">
            <v/>
          </cell>
          <cell r="S9324" t="str">
            <v/>
          </cell>
          <cell r="V9324" t="str">
            <v/>
          </cell>
          <cell r="Z9324" t="str">
            <v/>
          </cell>
          <cell r="AA9324" t="str">
            <v/>
          </cell>
          <cell r="AB9324" t="str">
            <v/>
          </cell>
          <cell r="AC9324" t="str">
            <v/>
          </cell>
          <cell r="AD9324" t="str">
            <v/>
          </cell>
          <cell r="AY9324" t="str">
            <v/>
          </cell>
          <cell r="AZ9324" t="str">
            <v/>
          </cell>
          <cell r="BA9324" t="str">
            <v/>
          </cell>
        </row>
        <row r="9325">
          <cell r="B9325" t="str">
            <v>-</v>
          </cell>
          <cell r="E9325" t="str">
            <v/>
          </cell>
          <cell r="G9325" t="str">
            <v/>
          </cell>
          <cell r="J9325" t="str">
            <v/>
          </cell>
          <cell r="O9325" t="str">
            <v/>
          </cell>
          <cell r="P9325" t="str">
            <v/>
          </cell>
          <cell r="Q9325" t="str">
            <v/>
          </cell>
          <cell r="S9325" t="str">
            <v/>
          </cell>
          <cell r="V9325" t="str">
            <v/>
          </cell>
          <cell r="Z9325" t="str">
            <v/>
          </cell>
          <cell r="AA9325" t="str">
            <v/>
          </cell>
          <cell r="AB9325" t="str">
            <v/>
          </cell>
          <cell r="AC9325" t="str">
            <v/>
          </cell>
          <cell r="AD9325" t="str">
            <v/>
          </cell>
          <cell r="AY9325" t="str">
            <v/>
          </cell>
          <cell r="AZ9325" t="str">
            <v/>
          </cell>
          <cell r="BA9325" t="str">
            <v/>
          </cell>
        </row>
        <row r="9326">
          <cell r="B9326" t="str">
            <v>-</v>
          </cell>
          <cell r="E9326" t="str">
            <v/>
          </cell>
          <cell r="G9326" t="str">
            <v/>
          </cell>
          <cell r="J9326" t="str">
            <v/>
          </cell>
          <cell r="O9326" t="str">
            <v/>
          </cell>
          <cell r="P9326" t="str">
            <v/>
          </cell>
          <cell r="Q9326" t="str">
            <v/>
          </cell>
          <cell r="S9326" t="str">
            <v/>
          </cell>
          <cell r="V9326" t="str">
            <v/>
          </cell>
          <cell r="Z9326" t="str">
            <v/>
          </cell>
          <cell r="AA9326" t="str">
            <v/>
          </cell>
          <cell r="AB9326" t="str">
            <v/>
          </cell>
          <cell r="AC9326" t="str">
            <v/>
          </cell>
          <cell r="AD9326" t="str">
            <v/>
          </cell>
          <cell r="AY9326" t="str">
            <v/>
          </cell>
          <cell r="AZ9326" t="str">
            <v/>
          </cell>
          <cell r="BA9326" t="str">
            <v/>
          </cell>
        </row>
        <row r="9327">
          <cell r="B9327" t="str">
            <v>-</v>
          </cell>
          <cell r="E9327" t="str">
            <v/>
          </cell>
          <cell r="G9327" t="str">
            <v/>
          </cell>
          <cell r="J9327" t="str">
            <v/>
          </cell>
          <cell r="O9327" t="str">
            <v/>
          </cell>
          <cell r="P9327" t="str">
            <v/>
          </cell>
          <cell r="Q9327" t="str">
            <v/>
          </cell>
          <cell r="S9327" t="str">
            <v/>
          </cell>
          <cell r="V9327" t="str">
            <v/>
          </cell>
          <cell r="Z9327" t="str">
            <v/>
          </cell>
          <cell r="AA9327" t="str">
            <v/>
          </cell>
          <cell r="AB9327" t="str">
            <v/>
          </cell>
          <cell r="AC9327" t="str">
            <v/>
          </cell>
          <cell r="AD9327" t="str">
            <v/>
          </cell>
          <cell r="AY9327" t="str">
            <v/>
          </cell>
          <cell r="AZ9327" t="str">
            <v/>
          </cell>
          <cell r="BA9327" t="str">
            <v/>
          </cell>
        </row>
        <row r="9328">
          <cell r="B9328" t="str">
            <v>-</v>
          </cell>
          <cell r="E9328" t="str">
            <v/>
          </cell>
          <cell r="G9328" t="str">
            <v/>
          </cell>
          <cell r="J9328" t="str">
            <v/>
          </cell>
          <cell r="O9328" t="str">
            <v/>
          </cell>
          <cell r="P9328" t="str">
            <v/>
          </cell>
          <cell r="Q9328" t="str">
            <v/>
          </cell>
          <cell r="S9328" t="str">
            <v/>
          </cell>
          <cell r="V9328" t="str">
            <v/>
          </cell>
          <cell r="Z9328" t="str">
            <v/>
          </cell>
          <cell r="AA9328" t="str">
            <v/>
          </cell>
          <cell r="AB9328" t="str">
            <v/>
          </cell>
          <cell r="AC9328" t="str">
            <v/>
          </cell>
          <cell r="AD9328" t="str">
            <v/>
          </cell>
          <cell r="AY9328" t="str">
            <v/>
          </cell>
          <cell r="AZ9328" t="str">
            <v/>
          </cell>
          <cell r="BA9328" t="str">
            <v/>
          </cell>
        </row>
        <row r="9329">
          <cell r="B9329" t="str">
            <v>-</v>
          </cell>
          <cell r="E9329" t="str">
            <v/>
          </cell>
          <cell r="G9329" t="str">
            <v/>
          </cell>
          <cell r="J9329" t="str">
            <v/>
          </cell>
          <cell r="O9329" t="str">
            <v/>
          </cell>
          <cell r="P9329" t="str">
            <v/>
          </cell>
          <cell r="Q9329" t="str">
            <v/>
          </cell>
          <cell r="S9329" t="str">
            <v/>
          </cell>
          <cell r="V9329" t="str">
            <v/>
          </cell>
          <cell r="Z9329" t="str">
            <v/>
          </cell>
          <cell r="AA9329" t="str">
            <v/>
          </cell>
          <cell r="AB9329" t="str">
            <v/>
          </cell>
          <cell r="AC9329" t="str">
            <v/>
          </cell>
          <cell r="AD9329" t="str">
            <v/>
          </cell>
          <cell r="AY9329" t="str">
            <v/>
          </cell>
          <cell r="AZ9329" t="str">
            <v/>
          </cell>
          <cell r="BA9329" t="str">
            <v/>
          </cell>
        </row>
        <row r="9330">
          <cell r="B9330" t="str">
            <v>-</v>
          </cell>
          <cell r="E9330" t="str">
            <v/>
          </cell>
          <cell r="G9330" t="str">
            <v/>
          </cell>
          <cell r="J9330" t="str">
            <v/>
          </cell>
          <cell r="O9330" t="str">
            <v/>
          </cell>
          <cell r="P9330" t="str">
            <v/>
          </cell>
          <cell r="Q9330" t="str">
            <v/>
          </cell>
          <cell r="S9330" t="str">
            <v/>
          </cell>
          <cell r="V9330" t="str">
            <v/>
          </cell>
          <cell r="Z9330" t="str">
            <v/>
          </cell>
          <cell r="AA9330" t="str">
            <v/>
          </cell>
          <cell r="AB9330" t="str">
            <v/>
          </cell>
          <cell r="AC9330" t="str">
            <v/>
          </cell>
          <cell r="AD9330" t="str">
            <v/>
          </cell>
          <cell r="AY9330" t="str">
            <v/>
          </cell>
          <cell r="AZ9330" t="str">
            <v/>
          </cell>
          <cell r="BA9330" t="str">
            <v/>
          </cell>
        </row>
        <row r="9331">
          <cell r="B9331" t="str">
            <v>-</v>
          </cell>
          <cell r="E9331" t="str">
            <v/>
          </cell>
          <cell r="G9331" t="str">
            <v/>
          </cell>
          <cell r="J9331" t="str">
            <v/>
          </cell>
          <cell r="O9331" t="str">
            <v/>
          </cell>
          <cell r="P9331" t="str">
            <v/>
          </cell>
          <cell r="Q9331" t="str">
            <v/>
          </cell>
          <cell r="S9331" t="str">
            <v/>
          </cell>
          <cell r="V9331" t="str">
            <v/>
          </cell>
          <cell r="Z9331" t="str">
            <v/>
          </cell>
          <cell r="AA9331" t="str">
            <v/>
          </cell>
          <cell r="AB9331" t="str">
            <v/>
          </cell>
          <cell r="AC9331" t="str">
            <v/>
          </cell>
          <cell r="AD9331" t="str">
            <v/>
          </cell>
          <cell r="AY9331" t="str">
            <v/>
          </cell>
          <cell r="AZ9331" t="str">
            <v/>
          </cell>
          <cell r="BA9331" t="str">
            <v/>
          </cell>
        </row>
        <row r="9332">
          <cell r="B9332" t="str">
            <v>-</v>
          </cell>
          <cell r="E9332" t="str">
            <v/>
          </cell>
          <cell r="G9332" t="str">
            <v/>
          </cell>
          <cell r="J9332" t="str">
            <v/>
          </cell>
          <cell r="O9332" t="str">
            <v/>
          </cell>
          <cell r="P9332" t="str">
            <v/>
          </cell>
          <cell r="Q9332" t="str">
            <v/>
          </cell>
          <cell r="S9332" t="str">
            <v/>
          </cell>
          <cell r="V9332" t="str">
            <v/>
          </cell>
          <cell r="Z9332" t="str">
            <v/>
          </cell>
          <cell r="AA9332" t="str">
            <v/>
          </cell>
          <cell r="AB9332" t="str">
            <v/>
          </cell>
          <cell r="AC9332" t="str">
            <v/>
          </cell>
          <cell r="AD9332" t="str">
            <v/>
          </cell>
          <cell r="AY9332" t="str">
            <v/>
          </cell>
          <cell r="AZ9332" t="str">
            <v/>
          </cell>
          <cell r="BA9332" t="str">
            <v/>
          </cell>
        </row>
        <row r="9333">
          <cell r="B9333" t="str">
            <v>-</v>
          </cell>
          <cell r="E9333" t="str">
            <v/>
          </cell>
          <cell r="G9333" t="str">
            <v/>
          </cell>
          <cell r="J9333" t="str">
            <v/>
          </cell>
          <cell r="O9333" t="str">
            <v/>
          </cell>
          <cell r="P9333" t="str">
            <v/>
          </cell>
          <cell r="Q9333" t="str">
            <v/>
          </cell>
          <cell r="S9333" t="str">
            <v/>
          </cell>
          <cell r="V9333" t="str">
            <v/>
          </cell>
          <cell r="Z9333" t="str">
            <v/>
          </cell>
          <cell r="AA9333" t="str">
            <v/>
          </cell>
          <cell r="AB9333" t="str">
            <v/>
          </cell>
          <cell r="AC9333" t="str">
            <v/>
          </cell>
          <cell r="AD9333" t="str">
            <v/>
          </cell>
          <cell r="AY9333" t="str">
            <v/>
          </cell>
          <cell r="AZ9333" t="str">
            <v/>
          </cell>
          <cell r="BA9333" t="str">
            <v/>
          </cell>
        </row>
        <row r="9334">
          <cell r="B9334" t="str">
            <v>-</v>
          </cell>
          <cell r="E9334" t="str">
            <v/>
          </cell>
          <cell r="G9334" t="str">
            <v/>
          </cell>
          <cell r="J9334" t="str">
            <v/>
          </cell>
          <cell r="O9334" t="str">
            <v/>
          </cell>
          <cell r="P9334" t="str">
            <v/>
          </cell>
          <cell r="Q9334" t="str">
            <v/>
          </cell>
          <cell r="S9334" t="str">
            <v/>
          </cell>
          <cell r="V9334" t="str">
            <v/>
          </cell>
          <cell r="Z9334" t="str">
            <v/>
          </cell>
          <cell r="AA9334" t="str">
            <v/>
          </cell>
          <cell r="AB9334" t="str">
            <v/>
          </cell>
          <cell r="AC9334" t="str">
            <v/>
          </cell>
          <cell r="AD9334" t="str">
            <v/>
          </cell>
          <cell r="AY9334" t="str">
            <v/>
          </cell>
          <cell r="AZ9334" t="str">
            <v/>
          </cell>
          <cell r="BA9334" t="str">
            <v/>
          </cell>
        </row>
        <row r="9335">
          <cell r="B9335" t="str">
            <v>-</v>
          </cell>
          <cell r="E9335" t="str">
            <v/>
          </cell>
          <cell r="G9335" t="str">
            <v/>
          </cell>
          <cell r="J9335" t="str">
            <v/>
          </cell>
          <cell r="O9335" t="str">
            <v/>
          </cell>
          <cell r="P9335" t="str">
            <v/>
          </cell>
          <cell r="Q9335" t="str">
            <v/>
          </cell>
          <cell r="S9335" t="str">
            <v/>
          </cell>
          <cell r="V9335" t="str">
            <v/>
          </cell>
          <cell r="Z9335" t="str">
            <v/>
          </cell>
          <cell r="AA9335" t="str">
            <v/>
          </cell>
          <cell r="AB9335" t="str">
            <v/>
          </cell>
          <cell r="AC9335" t="str">
            <v/>
          </cell>
          <cell r="AD9335" t="str">
            <v/>
          </cell>
          <cell r="AY9335" t="str">
            <v/>
          </cell>
          <cell r="AZ9335" t="str">
            <v/>
          </cell>
          <cell r="BA9335" t="str">
            <v/>
          </cell>
        </row>
        <row r="9336">
          <cell r="B9336" t="str">
            <v>-</v>
          </cell>
          <cell r="E9336" t="str">
            <v/>
          </cell>
          <cell r="G9336" t="str">
            <v/>
          </cell>
          <cell r="J9336" t="str">
            <v/>
          </cell>
          <cell r="O9336" t="str">
            <v/>
          </cell>
          <cell r="P9336" t="str">
            <v/>
          </cell>
          <cell r="Q9336" t="str">
            <v/>
          </cell>
          <cell r="S9336" t="str">
            <v/>
          </cell>
          <cell r="V9336" t="str">
            <v/>
          </cell>
          <cell r="Z9336" t="str">
            <v/>
          </cell>
          <cell r="AA9336" t="str">
            <v/>
          </cell>
          <cell r="AB9336" t="str">
            <v/>
          </cell>
          <cell r="AC9336" t="str">
            <v/>
          </cell>
          <cell r="AD9336" t="str">
            <v/>
          </cell>
          <cell r="AY9336" t="str">
            <v/>
          </cell>
          <cell r="AZ9336" t="str">
            <v/>
          </cell>
          <cell r="BA9336" t="str">
            <v/>
          </cell>
        </row>
        <row r="9337">
          <cell r="B9337" t="str">
            <v>-</v>
          </cell>
          <cell r="E9337" t="str">
            <v/>
          </cell>
          <cell r="G9337" t="str">
            <v/>
          </cell>
          <cell r="J9337" t="str">
            <v/>
          </cell>
          <cell r="O9337" t="str">
            <v/>
          </cell>
          <cell r="P9337" t="str">
            <v/>
          </cell>
          <cell r="Q9337" t="str">
            <v/>
          </cell>
          <cell r="S9337" t="str">
            <v/>
          </cell>
          <cell r="V9337" t="str">
            <v/>
          </cell>
          <cell r="Z9337" t="str">
            <v/>
          </cell>
          <cell r="AA9337" t="str">
            <v/>
          </cell>
          <cell r="AB9337" t="str">
            <v/>
          </cell>
          <cell r="AC9337" t="str">
            <v/>
          </cell>
          <cell r="AD9337" t="str">
            <v/>
          </cell>
          <cell r="AY9337" t="str">
            <v/>
          </cell>
          <cell r="AZ9337" t="str">
            <v/>
          </cell>
          <cell r="BA9337" t="str">
            <v/>
          </cell>
        </row>
        <row r="9338">
          <cell r="B9338" t="str">
            <v>-</v>
          </cell>
          <cell r="E9338" t="str">
            <v/>
          </cell>
          <cell r="G9338" t="str">
            <v/>
          </cell>
          <cell r="J9338" t="str">
            <v/>
          </cell>
          <cell r="O9338" t="str">
            <v/>
          </cell>
          <cell r="P9338" t="str">
            <v/>
          </cell>
          <cell r="Q9338" t="str">
            <v/>
          </cell>
          <cell r="S9338" t="str">
            <v/>
          </cell>
          <cell r="V9338" t="str">
            <v/>
          </cell>
          <cell r="Z9338" t="str">
            <v/>
          </cell>
          <cell r="AA9338" t="str">
            <v/>
          </cell>
          <cell r="AB9338" t="str">
            <v/>
          </cell>
          <cell r="AC9338" t="str">
            <v/>
          </cell>
          <cell r="AD9338" t="str">
            <v/>
          </cell>
          <cell r="AY9338" t="str">
            <v/>
          </cell>
          <cell r="AZ9338" t="str">
            <v/>
          </cell>
          <cell r="BA9338" t="str">
            <v/>
          </cell>
        </row>
        <row r="9339">
          <cell r="B9339" t="str">
            <v>-</v>
          </cell>
          <cell r="E9339" t="str">
            <v/>
          </cell>
          <cell r="G9339" t="str">
            <v/>
          </cell>
          <cell r="J9339" t="str">
            <v/>
          </cell>
          <cell r="O9339" t="str">
            <v/>
          </cell>
          <cell r="P9339" t="str">
            <v/>
          </cell>
          <cell r="Q9339" t="str">
            <v/>
          </cell>
          <cell r="S9339" t="str">
            <v/>
          </cell>
          <cell r="V9339" t="str">
            <v/>
          </cell>
          <cell r="Z9339" t="str">
            <v/>
          </cell>
          <cell r="AA9339" t="str">
            <v/>
          </cell>
          <cell r="AB9339" t="str">
            <v/>
          </cell>
          <cell r="AC9339" t="str">
            <v/>
          </cell>
          <cell r="AD9339" t="str">
            <v/>
          </cell>
          <cell r="AY9339" t="str">
            <v/>
          </cell>
          <cell r="AZ9339" t="str">
            <v/>
          </cell>
          <cell r="BA9339" t="str">
            <v/>
          </cell>
        </row>
        <row r="9340">
          <cell r="B9340" t="str">
            <v>-</v>
          </cell>
          <cell r="E9340" t="str">
            <v/>
          </cell>
          <cell r="G9340" t="str">
            <v/>
          </cell>
          <cell r="J9340" t="str">
            <v/>
          </cell>
          <cell r="O9340" t="str">
            <v/>
          </cell>
          <cell r="P9340" t="str">
            <v/>
          </cell>
          <cell r="Q9340" t="str">
            <v/>
          </cell>
          <cell r="S9340" t="str">
            <v/>
          </cell>
          <cell r="V9340" t="str">
            <v/>
          </cell>
          <cell r="Z9340" t="str">
            <v/>
          </cell>
          <cell r="AA9340" t="str">
            <v/>
          </cell>
          <cell r="AB9340" t="str">
            <v/>
          </cell>
          <cell r="AC9340" t="str">
            <v/>
          </cell>
          <cell r="AD9340" t="str">
            <v/>
          </cell>
          <cell r="AY9340" t="str">
            <v/>
          </cell>
          <cell r="AZ9340" t="str">
            <v/>
          </cell>
          <cell r="BA9340" t="str">
            <v/>
          </cell>
        </row>
        <row r="9341">
          <cell r="B9341" t="str">
            <v>-</v>
          </cell>
          <cell r="E9341" t="str">
            <v/>
          </cell>
          <cell r="G9341" t="str">
            <v/>
          </cell>
          <cell r="J9341" t="str">
            <v/>
          </cell>
          <cell r="O9341" t="str">
            <v/>
          </cell>
          <cell r="P9341" t="str">
            <v/>
          </cell>
          <cell r="Q9341" t="str">
            <v/>
          </cell>
          <cell r="S9341" t="str">
            <v/>
          </cell>
          <cell r="V9341" t="str">
            <v/>
          </cell>
          <cell r="Z9341" t="str">
            <v/>
          </cell>
          <cell r="AA9341" t="str">
            <v/>
          </cell>
          <cell r="AB9341" t="str">
            <v/>
          </cell>
          <cell r="AC9341" t="str">
            <v/>
          </cell>
          <cell r="AD9341" t="str">
            <v/>
          </cell>
          <cell r="AY9341" t="str">
            <v/>
          </cell>
          <cell r="AZ9341" t="str">
            <v/>
          </cell>
          <cell r="BA9341" t="str">
            <v/>
          </cell>
        </row>
        <row r="9342">
          <cell r="B9342" t="str">
            <v>-</v>
          </cell>
          <cell r="E9342" t="str">
            <v/>
          </cell>
          <cell r="G9342" t="str">
            <v/>
          </cell>
          <cell r="J9342" t="str">
            <v/>
          </cell>
          <cell r="O9342" t="str">
            <v/>
          </cell>
          <cell r="P9342" t="str">
            <v/>
          </cell>
          <cell r="Q9342" t="str">
            <v/>
          </cell>
          <cell r="S9342" t="str">
            <v/>
          </cell>
          <cell r="V9342" t="str">
            <v/>
          </cell>
          <cell r="Z9342" t="str">
            <v/>
          </cell>
          <cell r="AA9342" t="str">
            <v/>
          </cell>
          <cell r="AB9342" t="str">
            <v/>
          </cell>
          <cell r="AC9342" t="str">
            <v/>
          </cell>
          <cell r="AD9342" t="str">
            <v/>
          </cell>
          <cell r="AY9342" t="str">
            <v/>
          </cell>
          <cell r="AZ9342" t="str">
            <v/>
          </cell>
          <cell r="BA9342" t="str">
            <v/>
          </cell>
        </row>
        <row r="9343">
          <cell r="B9343" t="str">
            <v>-</v>
          </cell>
          <cell r="E9343" t="str">
            <v/>
          </cell>
          <cell r="G9343" t="str">
            <v/>
          </cell>
          <cell r="J9343" t="str">
            <v/>
          </cell>
          <cell r="O9343" t="str">
            <v/>
          </cell>
          <cell r="P9343" t="str">
            <v/>
          </cell>
          <cell r="Q9343" t="str">
            <v/>
          </cell>
          <cell r="S9343" t="str">
            <v/>
          </cell>
          <cell r="V9343" t="str">
            <v/>
          </cell>
          <cell r="Z9343" t="str">
            <v/>
          </cell>
          <cell r="AA9343" t="str">
            <v/>
          </cell>
          <cell r="AB9343" t="str">
            <v/>
          </cell>
          <cell r="AC9343" t="str">
            <v/>
          </cell>
          <cell r="AD9343" t="str">
            <v/>
          </cell>
          <cell r="AY9343" t="str">
            <v/>
          </cell>
          <cell r="AZ9343" t="str">
            <v/>
          </cell>
          <cell r="BA9343" t="str">
            <v/>
          </cell>
        </row>
        <row r="9344">
          <cell r="B9344" t="str">
            <v>-</v>
          </cell>
          <cell r="E9344" t="str">
            <v/>
          </cell>
          <cell r="G9344" t="str">
            <v/>
          </cell>
          <cell r="J9344" t="str">
            <v/>
          </cell>
          <cell r="O9344" t="str">
            <v/>
          </cell>
          <cell r="P9344" t="str">
            <v/>
          </cell>
          <cell r="Q9344" t="str">
            <v/>
          </cell>
          <cell r="S9344" t="str">
            <v/>
          </cell>
          <cell r="V9344" t="str">
            <v/>
          </cell>
          <cell r="Z9344" t="str">
            <v/>
          </cell>
          <cell r="AA9344" t="str">
            <v/>
          </cell>
          <cell r="AB9344" t="str">
            <v/>
          </cell>
          <cell r="AC9344" t="str">
            <v/>
          </cell>
          <cell r="AD9344" t="str">
            <v/>
          </cell>
          <cell r="AY9344" t="str">
            <v/>
          </cell>
          <cell r="AZ9344" t="str">
            <v/>
          </cell>
          <cell r="BA9344" t="str">
            <v/>
          </cell>
        </row>
        <row r="9345">
          <cell r="B9345" t="str">
            <v>-</v>
          </cell>
          <cell r="E9345" t="str">
            <v/>
          </cell>
          <cell r="G9345" t="str">
            <v/>
          </cell>
          <cell r="J9345" t="str">
            <v/>
          </cell>
          <cell r="O9345" t="str">
            <v/>
          </cell>
          <cell r="P9345" t="str">
            <v/>
          </cell>
          <cell r="Q9345" t="str">
            <v/>
          </cell>
          <cell r="S9345" t="str">
            <v/>
          </cell>
          <cell r="V9345" t="str">
            <v/>
          </cell>
          <cell r="Z9345" t="str">
            <v/>
          </cell>
          <cell r="AA9345" t="str">
            <v/>
          </cell>
          <cell r="AB9345" t="str">
            <v/>
          </cell>
          <cell r="AC9345" t="str">
            <v/>
          </cell>
          <cell r="AD9345" t="str">
            <v/>
          </cell>
          <cell r="AY9345" t="str">
            <v/>
          </cell>
          <cell r="AZ9345" t="str">
            <v/>
          </cell>
          <cell r="BA9345" t="str">
            <v/>
          </cell>
        </row>
        <row r="9346">
          <cell r="B9346" t="str">
            <v>-</v>
          </cell>
          <cell r="E9346" t="str">
            <v/>
          </cell>
          <cell r="G9346" t="str">
            <v/>
          </cell>
          <cell r="J9346" t="str">
            <v/>
          </cell>
          <cell r="O9346" t="str">
            <v/>
          </cell>
          <cell r="P9346" t="str">
            <v/>
          </cell>
          <cell r="Q9346" t="str">
            <v/>
          </cell>
          <cell r="S9346" t="str">
            <v/>
          </cell>
          <cell r="V9346" t="str">
            <v/>
          </cell>
          <cell r="Z9346" t="str">
            <v/>
          </cell>
          <cell r="AA9346" t="str">
            <v/>
          </cell>
          <cell r="AB9346" t="str">
            <v/>
          </cell>
          <cell r="AC9346" t="str">
            <v/>
          </cell>
          <cell r="AD9346" t="str">
            <v/>
          </cell>
          <cell r="AY9346" t="str">
            <v/>
          </cell>
          <cell r="AZ9346" t="str">
            <v/>
          </cell>
          <cell r="BA9346" t="str">
            <v/>
          </cell>
        </row>
        <row r="9347">
          <cell r="B9347" t="str">
            <v>-</v>
          </cell>
          <cell r="E9347" t="str">
            <v/>
          </cell>
          <cell r="G9347" t="str">
            <v/>
          </cell>
          <cell r="J9347" t="str">
            <v/>
          </cell>
          <cell r="O9347" t="str">
            <v/>
          </cell>
          <cell r="P9347" t="str">
            <v/>
          </cell>
          <cell r="Q9347" t="str">
            <v/>
          </cell>
          <cell r="S9347" t="str">
            <v/>
          </cell>
          <cell r="V9347" t="str">
            <v/>
          </cell>
          <cell r="Z9347" t="str">
            <v/>
          </cell>
          <cell r="AA9347" t="str">
            <v/>
          </cell>
          <cell r="AB9347" t="str">
            <v/>
          </cell>
          <cell r="AC9347" t="str">
            <v/>
          </cell>
          <cell r="AD9347" t="str">
            <v/>
          </cell>
          <cell r="AY9347" t="str">
            <v/>
          </cell>
          <cell r="AZ9347" t="str">
            <v/>
          </cell>
          <cell r="BA9347" t="str">
            <v/>
          </cell>
        </row>
        <row r="9348">
          <cell r="B9348" t="str">
            <v>-</v>
          </cell>
          <cell r="E9348" t="str">
            <v/>
          </cell>
          <cell r="G9348" t="str">
            <v/>
          </cell>
          <cell r="J9348" t="str">
            <v/>
          </cell>
          <cell r="O9348" t="str">
            <v/>
          </cell>
          <cell r="P9348" t="str">
            <v/>
          </cell>
          <cell r="Q9348" t="str">
            <v/>
          </cell>
          <cell r="S9348" t="str">
            <v/>
          </cell>
          <cell r="V9348" t="str">
            <v/>
          </cell>
          <cell r="Z9348" t="str">
            <v/>
          </cell>
          <cell r="AA9348" t="str">
            <v/>
          </cell>
          <cell r="AB9348" t="str">
            <v/>
          </cell>
          <cell r="AC9348" t="str">
            <v/>
          </cell>
          <cell r="AD9348" t="str">
            <v/>
          </cell>
          <cell r="AY9348" t="str">
            <v/>
          </cell>
          <cell r="AZ9348" t="str">
            <v/>
          </cell>
          <cell r="BA9348" t="str">
            <v/>
          </cell>
        </row>
        <row r="9349">
          <cell r="B9349" t="str">
            <v>-</v>
          </cell>
          <cell r="E9349" t="str">
            <v/>
          </cell>
          <cell r="G9349" t="str">
            <v/>
          </cell>
          <cell r="J9349" t="str">
            <v/>
          </cell>
          <cell r="O9349" t="str">
            <v/>
          </cell>
          <cell r="P9349" t="str">
            <v/>
          </cell>
          <cell r="Q9349" t="str">
            <v/>
          </cell>
          <cell r="S9349" t="str">
            <v/>
          </cell>
          <cell r="V9349" t="str">
            <v/>
          </cell>
          <cell r="Z9349" t="str">
            <v/>
          </cell>
          <cell r="AA9349" t="str">
            <v/>
          </cell>
          <cell r="AB9349" t="str">
            <v/>
          </cell>
          <cell r="AC9349" t="str">
            <v/>
          </cell>
          <cell r="AD9349" t="str">
            <v/>
          </cell>
          <cell r="AY9349" t="str">
            <v/>
          </cell>
          <cell r="AZ9349" t="str">
            <v/>
          </cell>
          <cell r="BA9349" t="str">
            <v/>
          </cell>
        </row>
        <row r="9350">
          <cell r="B9350" t="str">
            <v>-</v>
          </cell>
          <cell r="E9350" t="str">
            <v/>
          </cell>
          <cell r="G9350" t="str">
            <v/>
          </cell>
          <cell r="J9350" t="str">
            <v/>
          </cell>
          <cell r="O9350" t="str">
            <v/>
          </cell>
          <cell r="P9350" t="str">
            <v/>
          </cell>
          <cell r="Q9350" t="str">
            <v/>
          </cell>
          <cell r="S9350" t="str">
            <v/>
          </cell>
          <cell r="V9350" t="str">
            <v/>
          </cell>
          <cell r="Z9350" t="str">
            <v/>
          </cell>
          <cell r="AA9350" t="str">
            <v/>
          </cell>
          <cell r="AB9350" t="str">
            <v/>
          </cell>
          <cell r="AC9350" t="str">
            <v/>
          </cell>
          <cell r="AD9350" t="str">
            <v/>
          </cell>
          <cell r="AY9350" t="str">
            <v/>
          </cell>
          <cell r="AZ9350" t="str">
            <v/>
          </cell>
          <cell r="BA9350" t="str">
            <v/>
          </cell>
        </row>
        <row r="9351">
          <cell r="B9351" t="str">
            <v>-</v>
          </cell>
          <cell r="E9351" t="str">
            <v/>
          </cell>
          <cell r="G9351" t="str">
            <v/>
          </cell>
          <cell r="J9351" t="str">
            <v/>
          </cell>
          <cell r="O9351" t="str">
            <v/>
          </cell>
          <cell r="P9351" t="str">
            <v/>
          </cell>
          <cell r="Q9351" t="str">
            <v/>
          </cell>
          <cell r="S9351" t="str">
            <v/>
          </cell>
          <cell r="V9351" t="str">
            <v/>
          </cell>
          <cell r="Z9351" t="str">
            <v/>
          </cell>
          <cell r="AA9351" t="str">
            <v/>
          </cell>
          <cell r="AB9351" t="str">
            <v/>
          </cell>
          <cell r="AC9351" t="str">
            <v/>
          </cell>
          <cell r="AD9351" t="str">
            <v/>
          </cell>
          <cell r="AY9351" t="str">
            <v/>
          </cell>
          <cell r="AZ9351" t="str">
            <v/>
          </cell>
          <cell r="BA9351" t="str">
            <v/>
          </cell>
        </row>
        <row r="9352">
          <cell r="B9352" t="str">
            <v>-</v>
          </cell>
          <cell r="E9352" t="str">
            <v/>
          </cell>
          <cell r="G9352" t="str">
            <v/>
          </cell>
          <cell r="J9352" t="str">
            <v/>
          </cell>
          <cell r="O9352" t="str">
            <v/>
          </cell>
          <cell r="P9352" t="str">
            <v/>
          </cell>
          <cell r="Q9352" t="str">
            <v/>
          </cell>
          <cell r="S9352" t="str">
            <v/>
          </cell>
          <cell r="V9352" t="str">
            <v/>
          </cell>
          <cell r="Z9352" t="str">
            <v/>
          </cell>
          <cell r="AA9352" t="str">
            <v/>
          </cell>
          <cell r="AB9352" t="str">
            <v/>
          </cell>
          <cell r="AC9352" t="str">
            <v/>
          </cell>
          <cell r="AD9352" t="str">
            <v/>
          </cell>
          <cell r="AY9352" t="str">
            <v/>
          </cell>
          <cell r="AZ9352" t="str">
            <v/>
          </cell>
          <cell r="BA9352" t="str">
            <v/>
          </cell>
        </row>
        <row r="9353">
          <cell r="B9353" t="str">
            <v>-</v>
          </cell>
          <cell r="E9353" t="str">
            <v/>
          </cell>
          <cell r="G9353" t="str">
            <v/>
          </cell>
          <cell r="J9353" t="str">
            <v/>
          </cell>
          <cell r="O9353" t="str">
            <v/>
          </cell>
          <cell r="P9353" t="str">
            <v/>
          </cell>
          <cell r="Q9353" t="str">
            <v/>
          </cell>
          <cell r="S9353" t="str">
            <v/>
          </cell>
          <cell r="V9353" t="str">
            <v/>
          </cell>
          <cell r="Z9353" t="str">
            <v/>
          </cell>
          <cell r="AA9353" t="str">
            <v/>
          </cell>
          <cell r="AB9353" t="str">
            <v/>
          </cell>
          <cell r="AC9353" t="str">
            <v/>
          </cell>
          <cell r="AD9353" t="str">
            <v/>
          </cell>
          <cell r="AY9353" t="str">
            <v/>
          </cell>
          <cell r="AZ9353" t="str">
            <v/>
          </cell>
          <cell r="BA9353" t="str">
            <v/>
          </cell>
        </row>
        <row r="9354">
          <cell r="B9354" t="str">
            <v>-</v>
          </cell>
          <cell r="E9354" t="str">
            <v/>
          </cell>
          <cell r="G9354" t="str">
            <v/>
          </cell>
          <cell r="J9354" t="str">
            <v/>
          </cell>
          <cell r="O9354" t="str">
            <v/>
          </cell>
          <cell r="P9354" t="str">
            <v/>
          </cell>
          <cell r="Q9354" t="str">
            <v/>
          </cell>
          <cell r="S9354" t="str">
            <v/>
          </cell>
          <cell r="V9354" t="str">
            <v/>
          </cell>
          <cell r="Z9354" t="str">
            <v/>
          </cell>
          <cell r="AA9354" t="str">
            <v/>
          </cell>
          <cell r="AB9354" t="str">
            <v/>
          </cell>
          <cell r="AC9354" t="str">
            <v/>
          </cell>
          <cell r="AD9354" t="str">
            <v/>
          </cell>
          <cell r="AY9354" t="str">
            <v/>
          </cell>
          <cell r="AZ9354" t="str">
            <v/>
          </cell>
          <cell r="BA9354" t="str">
            <v/>
          </cell>
        </row>
        <row r="9355">
          <cell r="B9355" t="str">
            <v>-</v>
          </cell>
          <cell r="E9355" t="str">
            <v/>
          </cell>
          <cell r="G9355" t="str">
            <v/>
          </cell>
          <cell r="J9355" t="str">
            <v/>
          </cell>
          <cell r="O9355" t="str">
            <v/>
          </cell>
          <cell r="P9355" t="str">
            <v/>
          </cell>
          <cell r="Q9355" t="str">
            <v/>
          </cell>
          <cell r="S9355" t="str">
            <v/>
          </cell>
          <cell r="V9355" t="str">
            <v/>
          </cell>
          <cell r="Z9355" t="str">
            <v/>
          </cell>
          <cell r="AA9355" t="str">
            <v/>
          </cell>
          <cell r="AB9355" t="str">
            <v/>
          </cell>
          <cell r="AC9355" t="str">
            <v/>
          </cell>
          <cell r="AD9355" t="str">
            <v/>
          </cell>
          <cell r="AY9355" t="str">
            <v/>
          </cell>
          <cell r="AZ9355" t="str">
            <v/>
          </cell>
          <cell r="BA9355" t="str">
            <v/>
          </cell>
        </row>
        <row r="9356">
          <cell r="B9356" t="str">
            <v>-</v>
          </cell>
          <cell r="E9356" t="str">
            <v/>
          </cell>
          <cell r="G9356" t="str">
            <v/>
          </cell>
          <cell r="J9356" t="str">
            <v/>
          </cell>
          <cell r="O9356" t="str">
            <v/>
          </cell>
          <cell r="P9356" t="str">
            <v/>
          </cell>
          <cell r="Q9356" t="str">
            <v/>
          </cell>
          <cell r="S9356" t="str">
            <v/>
          </cell>
          <cell r="V9356" t="str">
            <v/>
          </cell>
          <cell r="Z9356" t="str">
            <v/>
          </cell>
          <cell r="AA9356" t="str">
            <v/>
          </cell>
          <cell r="AB9356" t="str">
            <v/>
          </cell>
          <cell r="AC9356" t="str">
            <v/>
          </cell>
          <cell r="AD9356" t="str">
            <v/>
          </cell>
          <cell r="AY9356" t="str">
            <v/>
          </cell>
          <cell r="AZ9356" t="str">
            <v/>
          </cell>
          <cell r="BA9356" t="str">
            <v/>
          </cell>
        </row>
        <row r="9357">
          <cell r="B9357" t="str">
            <v>-</v>
          </cell>
          <cell r="E9357" t="str">
            <v/>
          </cell>
          <cell r="G9357" t="str">
            <v/>
          </cell>
          <cell r="J9357" t="str">
            <v/>
          </cell>
          <cell r="O9357" t="str">
            <v/>
          </cell>
          <cell r="P9357" t="str">
            <v/>
          </cell>
          <cell r="Q9357" t="str">
            <v/>
          </cell>
          <cell r="S9357" t="str">
            <v/>
          </cell>
          <cell r="V9357" t="str">
            <v/>
          </cell>
          <cell r="Z9357" t="str">
            <v/>
          </cell>
          <cell r="AA9357" t="str">
            <v/>
          </cell>
          <cell r="AB9357" t="str">
            <v/>
          </cell>
          <cell r="AC9357" t="str">
            <v/>
          </cell>
          <cell r="AD9357" t="str">
            <v/>
          </cell>
          <cell r="AY9357" t="str">
            <v/>
          </cell>
          <cell r="AZ9357" t="str">
            <v/>
          </cell>
          <cell r="BA9357" t="str">
            <v/>
          </cell>
        </row>
        <row r="9358">
          <cell r="B9358" t="str">
            <v>-</v>
          </cell>
          <cell r="E9358" t="str">
            <v/>
          </cell>
          <cell r="G9358" t="str">
            <v/>
          </cell>
          <cell r="J9358" t="str">
            <v/>
          </cell>
          <cell r="O9358" t="str">
            <v/>
          </cell>
          <cell r="P9358" t="str">
            <v/>
          </cell>
          <cell r="Q9358" t="str">
            <v/>
          </cell>
          <cell r="S9358" t="str">
            <v/>
          </cell>
          <cell r="V9358" t="str">
            <v/>
          </cell>
          <cell r="Z9358" t="str">
            <v/>
          </cell>
          <cell r="AA9358" t="str">
            <v/>
          </cell>
          <cell r="AB9358" t="str">
            <v/>
          </cell>
          <cell r="AC9358" t="str">
            <v/>
          </cell>
          <cell r="AD9358" t="str">
            <v/>
          </cell>
          <cell r="AY9358" t="str">
            <v/>
          </cell>
          <cell r="AZ9358" t="str">
            <v/>
          </cell>
          <cell r="BA9358" t="str">
            <v/>
          </cell>
        </row>
        <row r="9359">
          <cell r="B9359" t="str">
            <v>-</v>
          </cell>
          <cell r="E9359" t="str">
            <v/>
          </cell>
          <cell r="G9359" t="str">
            <v/>
          </cell>
          <cell r="J9359" t="str">
            <v/>
          </cell>
          <cell r="O9359" t="str">
            <v/>
          </cell>
          <cell r="P9359" t="str">
            <v/>
          </cell>
          <cell r="Q9359" t="str">
            <v/>
          </cell>
          <cell r="S9359" t="str">
            <v/>
          </cell>
          <cell r="V9359" t="str">
            <v/>
          </cell>
          <cell r="Z9359" t="str">
            <v/>
          </cell>
          <cell r="AA9359" t="str">
            <v/>
          </cell>
          <cell r="AB9359" t="str">
            <v/>
          </cell>
          <cell r="AC9359" t="str">
            <v/>
          </cell>
          <cell r="AD9359" t="str">
            <v/>
          </cell>
          <cell r="AY9359" t="str">
            <v/>
          </cell>
          <cell r="AZ9359" t="str">
            <v/>
          </cell>
          <cell r="BA9359" t="str">
            <v/>
          </cell>
        </row>
        <row r="9360">
          <cell r="B9360" t="str">
            <v>-</v>
          </cell>
          <cell r="E9360" t="str">
            <v/>
          </cell>
          <cell r="G9360" t="str">
            <v/>
          </cell>
          <cell r="J9360" t="str">
            <v/>
          </cell>
          <cell r="O9360" t="str">
            <v/>
          </cell>
          <cell r="P9360" t="str">
            <v/>
          </cell>
          <cell r="Q9360" t="str">
            <v/>
          </cell>
          <cell r="S9360" t="str">
            <v/>
          </cell>
          <cell r="V9360" t="str">
            <v/>
          </cell>
          <cell r="Z9360" t="str">
            <v/>
          </cell>
          <cell r="AA9360" t="str">
            <v/>
          </cell>
          <cell r="AB9360" t="str">
            <v/>
          </cell>
          <cell r="AC9360" t="str">
            <v/>
          </cell>
          <cell r="AD9360" t="str">
            <v/>
          </cell>
          <cell r="AY9360" t="str">
            <v/>
          </cell>
          <cell r="AZ9360" t="str">
            <v/>
          </cell>
          <cell r="BA9360" t="str">
            <v/>
          </cell>
        </row>
        <row r="9361">
          <cell r="B9361" t="str">
            <v>-</v>
          </cell>
          <cell r="E9361" t="str">
            <v/>
          </cell>
          <cell r="G9361" t="str">
            <v/>
          </cell>
          <cell r="J9361" t="str">
            <v/>
          </cell>
          <cell r="O9361" t="str">
            <v/>
          </cell>
          <cell r="P9361" t="str">
            <v/>
          </cell>
          <cell r="Q9361" t="str">
            <v/>
          </cell>
          <cell r="S9361" t="str">
            <v/>
          </cell>
          <cell r="V9361" t="str">
            <v/>
          </cell>
          <cell r="Z9361" t="str">
            <v/>
          </cell>
          <cell r="AA9361" t="str">
            <v/>
          </cell>
          <cell r="AB9361" t="str">
            <v/>
          </cell>
          <cell r="AC9361" t="str">
            <v/>
          </cell>
          <cell r="AD9361" t="str">
            <v/>
          </cell>
          <cell r="AY9361" t="str">
            <v/>
          </cell>
          <cell r="AZ9361" t="str">
            <v/>
          </cell>
          <cell r="BA9361" t="str">
            <v/>
          </cell>
        </row>
        <row r="9362">
          <cell r="B9362" t="str">
            <v>-</v>
          </cell>
          <cell r="E9362" t="str">
            <v/>
          </cell>
          <cell r="G9362" t="str">
            <v/>
          </cell>
          <cell r="J9362" t="str">
            <v/>
          </cell>
          <cell r="O9362" t="str">
            <v/>
          </cell>
          <cell r="P9362" t="str">
            <v/>
          </cell>
          <cell r="Q9362" t="str">
            <v/>
          </cell>
          <cell r="S9362" t="str">
            <v/>
          </cell>
          <cell r="V9362" t="str">
            <v/>
          </cell>
          <cell r="Z9362" t="str">
            <v/>
          </cell>
          <cell r="AA9362" t="str">
            <v/>
          </cell>
          <cell r="AB9362" t="str">
            <v/>
          </cell>
          <cell r="AC9362" t="str">
            <v/>
          </cell>
          <cell r="AD9362" t="str">
            <v/>
          </cell>
          <cell r="AY9362" t="str">
            <v/>
          </cell>
          <cell r="AZ9362" t="str">
            <v/>
          </cell>
          <cell r="BA9362" t="str">
            <v/>
          </cell>
        </row>
        <row r="9363">
          <cell r="B9363" t="str">
            <v>-</v>
          </cell>
          <cell r="E9363" t="str">
            <v/>
          </cell>
          <cell r="G9363" t="str">
            <v/>
          </cell>
          <cell r="J9363" t="str">
            <v/>
          </cell>
          <cell r="O9363" t="str">
            <v/>
          </cell>
          <cell r="P9363" t="str">
            <v/>
          </cell>
          <cell r="Q9363" t="str">
            <v/>
          </cell>
          <cell r="S9363" t="str">
            <v/>
          </cell>
          <cell r="V9363" t="str">
            <v/>
          </cell>
          <cell r="Z9363" t="str">
            <v/>
          </cell>
          <cell r="AA9363" t="str">
            <v/>
          </cell>
          <cell r="AB9363" t="str">
            <v/>
          </cell>
          <cell r="AC9363" t="str">
            <v/>
          </cell>
          <cell r="AD9363" t="str">
            <v/>
          </cell>
          <cell r="AY9363" t="str">
            <v/>
          </cell>
          <cell r="AZ9363" t="str">
            <v/>
          </cell>
          <cell r="BA9363" t="str">
            <v/>
          </cell>
        </row>
        <row r="9364">
          <cell r="B9364" t="str">
            <v>-</v>
          </cell>
          <cell r="E9364" t="str">
            <v/>
          </cell>
          <cell r="G9364" t="str">
            <v/>
          </cell>
          <cell r="J9364" t="str">
            <v/>
          </cell>
          <cell r="O9364" t="str">
            <v/>
          </cell>
          <cell r="P9364" t="str">
            <v/>
          </cell>
          <cell r="Q9364" t="str">
            <v/>
          </cell>
          <cell r="S9364" t="str">
            <v/>
          </cell>
          <cell r="V9364" t="str">
            <v/>
          </cell>
          <cell r="Z9364" t="str">
            <v/>
          </cell>
          <cell r="AA9364" t="str">
            <v/>
          </cell>
          <cell r="AB9364" t="str">
            <v/>
          </cell>
          <cell r="AC9364" t="str">
            <v/>
          </cell>
          <cell r="AD9364" t="str">
            <v/>
          </cell>
          <cell r="AY9364" t="str">
            <v/>
          </cell>
          <cell r="AZ9364" t="str">
            <v/>
          </cell>
          <cell r="BA9364" t="str">
            <v/>
          </cell>
        </row>
        <row r="9365">
          <cell r="B9365" t="str">
            <v>-</v>
          </cell>
          <cell r="E9365" t="str">
            <v/>
          </cell>
          <cell r="G9365" t="str">
            <v/>
          </cell>
          <cell r="J9365" t="str">
            <v/>
          </cell>
          <cell r="O9365" t="str">
            <v/>
          </cell>
          <cell r="P9365" t="str">
            <v/>
          </cell>
          <cell r="Q9365" t="str">
            <v/>
          </cell>
          <cell r="S9365" t="str">
            <v/>
          </cell>
          <cell r="V9365" t="str">
            <v/>
          </cell>
          <cell r="Z9365" t="str">
            <v/>
          </cell>
          <cell r="AA9365" t="str">
            <v/>
          </cell>
          <cell r="AB9365" t="str">
            <v/>
          </cell>
          <cell r="AC9365" t="str">
            <v/>
          </cell>
          <cell r="AD9365" t="str">
            <v/>
          </cell>
          <cell r="AY9365" t="str">
            <v/>
          </cell>
          <cell r="AZ9365" t="str">
            <v/>
          </cell>
          <cell r="BA9365" t="str">
            <v/>
          </cell>
        </row>
        <row r="9366">
          <cell r="B9366" t="str">
            <v>-</v>
          </cell>
          <cell r="E9366" t="str">
            <v/>
          </cell>
          <cell r="G9366" t="str">
            <v/>
          </cell>
          <cell r="J9366" t="str">
            <v/>
          </cell>
          <cell r="O9366" t="str">
            <v/>
          </cell>
          <cell r="P9366" t="str">
            <v/>
          </cell>
          <cell r="Q9366" t="str">
            <v/>
          </cell>
          <cell r="S9366" t="str">
            <v/>
          </cell>
          <cell r="V9366" t="str">
            <v/>
          </cell>
          <cell r="Z9366" t="str">
            <v/>
          </cell>
          <cell r="AA9366" t="str">
            <v/>
          </cell>
          <cell r="AB9366" t="str">
            <v/>
          </cell>
          <cell r="AC9366" t="str">
            <v/>
          </cell>
          <cell r="AD9366" t="str">
            <v/>
          </cell>
          <cell r="AY9366" t="str">
            <v/>
          </cell>
          <cell r="AZ9366" t="str">
            <v/>
          </cell>
          <cell r="BA9366" t="str">
            <v/>
          </cell>
        </row>
        <row r="9367">
          <cell r="B9367" t="str">
            <v>-</v>
          </cell>
          <cell r="E9367" t="str">
            <v/>
          </cell>
          <cell r="G9367" t="str">
            <v/>
          </cell>
          <cell r="J9367" t="str">
            <v/>
          </cell>
          <cell r="O9367" t="str">
            <v/>
          </cell>
          <cell r="P9367" t="str">
            <v/>
          </cell>
          <cell r="Q9367" t="str">
            <v/>
          </cell>
          <cell r="S9367" t="str">
            <v/>
          </cell>
          <cell r="V9367" t="str">
            <v/>
          </cell>
          <cell r="Z9367" t="str">
            <v/>
          </cell>
          <cell r="AA9367" t="str">
            <v/>
          </cell>
          <cell r="AB9367" t="str">
            <v/>
          </cell>
          <cell r="AC9367" t="str">
            <v/>
          </cell>
          <cell r="AD9367" t="str">
            <v/>
          </cell>
          <cell r="AY9367" t="str">
            <v/>
          </cell>
          <cell r="AZ9367" t="str">
            <v/>
          </cell>
          <cell r="BA9367" t="str">
            <v/>
          </cell>
        </row>
        <row r="9368">
          <cell r="B9368" t="str">
            <v>-</v>
          </cell>
          <cell r="E9368" t="str">
            <v/>
          </cell>
          <cell r="G9368" t="str">
            <v/>
          </cell>
          <cell r="J9368" t="str">
            <v/>
          </cell>
          <cell r="O9368" t="str">
            <v/>
          </cell>
          <cell r="P9368" t="str">
            <v/>
          </cell>
          <cell r="Q9368" t="str">
            <v/>
          </cell>
          <cell r="S9368" t="str">
            <v/>
          </cell>
          <cell r="V9368" t="str">
            <v/>
          </cell>
          <cell r="Z9368" t="str">
            <v/>
          </cell>
          <cell r="AA9368" t="str">
            <v/>
          </cell>
          <cell r="AB9368" t="str">
            <v/>
          </cell>
          <cell r="AC9368" t="str">
            <v/>
          </cell>
          <cell r="AD9368" t="str">
            <v/>
          </cell>
          <cell r="AY9368" t="str">
            <v/>
          </cell>
          <cell r="AZ9368" t="str">
            <v/>
          </cell>
          <cell r="BA9368" t="str">
            <v/>
          </cell>
        </row>
        <row r="9369">
          <cell r="B9369" t="str">
            <v>-</v>
          </cell>
          <cell r="E9369" t="str">
            <v/>
          </cell>
          <cell r="G9369" t="str">
            <v/>
          </cell>
          <cell r="J9369" t="str">
            <v/>
          </cell>
          <cell r="O9369" t="str">
            <v/>
          </cell>
          <cell r="P9369" t="str">
            <v/>
          </cell>
          <cell r="Q9369" t="str">
            <v/>
          </cell>
          <cell r="S9369" t="str">
            <v/>
          </cell>
          <cell r="V9369" t="str">
            <v/>
          </cell>
          <cell r="Z9369" t="str">
            <v/>
          </cell>
          <cell r="AA9369" t="str">
            <v/>
          </cell>
          <cell r="AB9369" t="str">
            <v/>
          </cell>
          <cell r="AC9369" t="str">
            <v/>
          </cell>
          <cell r="AD9369" t="str">
            <v/>
          </cell>
          <cell r="AY9369" t="str">
            <v/>
          </cell>
          <cell r="AZ9369" t="str">
            <v/>
          </cell>
          <cell r="BA9369" t="str">
            <v/>
          </cell>
        </row>
        <row r="9370">
          <cell r="B9370" t="str">
            <v>-</v>
          </cell>
          <cell r="E9370" t="str">
            <v/>
          </cell>
          <cell r="G9370" t="str">
            <v/>
          </cell>
          <cell r="J9370" t="str">
            <v/>
          </cell>
          <cell r="O9370" t="str">
            <v/>
          </cell>
          <cell r="P9370" t="str">
            <v/>
          </cell>
          <cell r="Q9370" t="str">
            <v/>
          </cell>
          <cell r="S9370" t="str">
            <v/>
          </cell>
          <cell r="V9370" t="str">
            <v/>
          </cell>
          <cell r="Z9370" t="str">
            <v/>
          </cell>
          <cell r="AA9370" t="str">
            <v/>
          </cell>
          <cell r="AB9370" t="str">
            <v/>
          </cell>
          <cell r="AC9370" t="str">
            <v/>
          </cell>
          <cell r="AD9370" t="str">
            <v/>
          </cell>
          <cell r="AY9370" t="str">
            <v/>
          </cell>
          <cell r="AZ9370" t="str">
            <v/>
          </cell>
          <cell r="BA9370" t="str">
            <v/>
          </cell>
        </row>
        <row r="9371">
          <cell r="B9371" t="str">
            <v>-</v>
          </cell>
          <cell r="E9371" t="str">
            <v/>
          </cell>
          <cell r="G9371" t="str">
            <v/>
          </cell>
          <cell r="J9371" t="str">
            <v/>
          </cell>
          <cell r="O9371" t="str">
            <v/>
          </cell>
          <cell r="P9371" t="str">
            <v/>
          </cell>
          <cell r="Q9371" t="str">
            <v/>
          </cell>
          <cell r="S9371" t="str">
            <v/>
          </cell>
          <cell r="V9371" t="str">
            <v/>
          </cell>
          <cell r="Z9371" t="str">
            <v/>
          </cell>
          <cell r="AA9371" t="str">
            <v/>
          </cell>
          <cell r="AB9371" t="str">
            <v/>
          </cell>
          <cell r="AC9371" t="str">
            <v/>
          </cell>
          <cell r="AD9371" t="str">
            <v/>
          </cell>
          <cell r="AY9371" t="str">
            <v/>
          </cell>
          <cell r="AZ9371" t="str">
            <v/>
          </cell>
          <cell r="BA9371" t="str">
            <v/>
          </cell>
        </row>
        <row r="9372">
          <cell r="B9372" t="str">
            <v>-</v>
          </cell>
          <cell r="E9372" t="str">
            <v/>
          </cell>
          <cell r="G9372" t="str">
            <v/>
          </cell>
          <cell r="J9372" t="str">
            <v/>
          </cell>
          <cell r="O9372" t="str">
            <v/>
          </cell>
          <cell r="P9372" t="str">
            <v/>
          </cell>
          <cell r="Q9372" t="str">
            <v/>
          </cell>
          <cell r="S9372" t="str">
            <v/>
          </cell>
          <cell r="V9372" t="str">
            <v/>
          </cell>
          <cell r="Z9372" t="str">
            <v/>
          </cell>
          <cell r="AA9372" t="str">
            <v/>
          </cell>
          <cell r="AB9372" t="str">
            <v/>
          </cell>
          <cell r="AC9372" t="str">
            <v/>
          </cell>
          <cell r="AD9372" t="str">
            <v/>
          </cell>
          <cell r="AY9372" t="str">
            <v/>
          </cell>
          <cell r="AZ9372" t="str">
            <v/>
          </cell>
          <cell r="BA9372" t="str">
            <v/>
          </cell>
        </row>
        <row r="9373">
          <cell r="B9373" t="str">
            <v>-</v>
          </cell>
          <cell r="E9373" t="str">
            <v/>
          </cell>
          <cell r="G9373" t="str">
            <v/>
          </cell>
          <cell r="J9373" t="str">
            <v/>
          </cell>
          <cell r="O9373" t="str">
            <v/>
          </cell>
          <cell r="P9373" t="str">
            <v/>
          </cell>
          <cell r="Q9373" t="str">
            <v/>
          </cell>
          <cell r="S9373" t="str">
            <v/>
          </cell>
          <cell r="V9373" t="str">
            <v/>
          </cell>
          <cell r="Z9373" t="str">
            <v/>
          </cell>
          <cell r="AA9373" t="str">
            <v/>
          </cell>
          <cell r="AB9373" t="str">
            <v/>
          </cell>
          <cell r="AC9373" t="str">
            <v/>
          </cell>
          <cell r="AD9373" t="str">
            <v/>
          </cell>
          <cell r="AY9373" t="str">
            <v/>
          </cell>
          <cell r="AZ9373" t="str">
            <v/>
          </cell>
          <cell r="BA9373" t="str">
            <v/>
          </cell>
        </row>
        <row r="9374">
          <cell r="B9374" t="str">
            <v>-</v>
          </cell>
          <cell r="E9374" t="str">
            <v/>
          </cell>
          <cell r="G9374" t="str">
            <v/>
          </cell>
          <cell r="J9374" t="str">
            <v/>
          </cell>
          <cell r="O9374" t="str">
            <v/>
          </cell>
          <cell r="P9374" t="str">
            <v/>
          </cell>
          <cell r="Q9374" t="str">
            <v/>
          </cell>
          <cell r="S9374" t="str">
            <v/>
          </cell>
          <cell r="V9374" t="str">
            <v/>
          </cell>
          <cell r="Z9374" t="str">
            <v/>
          </cell>
          <cell r="AA9374" t="str">
            <v/>
          </cell>
          <cell r="AB9374" t="str">
            <v/>
          </cell>
          <cell r="AC9374" t="str">
            <v/>
          </cell>
          <cell r="AD9374" t="str">
            <v/>
          </cell>
          <cell r="AY9374" t="str">
            <v/>
          </cell>
          <cell r="AZ9374" t="str">
            <v/>
          </cell>
          <cell r="BA9374" t="str">
            <v/>
          </cell>
        </row>
        <row r="9375">
          <cell r="B9375" t="str">
            <v>-</v>
          </cell>
          <cell r="E9375" t="str">
            <v/>
          </cell>
          <cell r="G9375" t="str">
            <v/>
          </cell>
          <cell r="J9375" t="str">
            <v/>
          </cell>
          <cell r="O9375" t="str">
            <v/>
          </cell>
          <cell r="P9375" t="str">
            <v/>
          </cell>
          <cell r="Q9375" t="str">
            <v/>
          </cell>
          <cell r="S9375" t="str">
            <v/>
          </cell>
          <cell r="V9375" t="str">
            <v/>
          </cell>
          <cell r="Z9375" t="str">
            <v/>
          </cell>
          <cell r="AA9375" t="str">
            <v/>
          </cell>
          <cell r="AB9375" t="str">
            <v/>
          </cell>
          <cell r="AC9375" t="str">
            <v/>
          </cell>
          <cell r="AD9375" t="str">
            <v/>
          </cell>
          <cell r="AY9375" t="str">
            <v/>
          </cell>
          <cell r="AZ9375" t="str">
            <v/>
          </cell>
          <cell r="BA9375" t="str">
            <v/>
          </cell>
        </row>
        <row r="9376">
          <cell r="B9376" t="str">
            <v>-</v>
          </cell>
          <cell r="E9376" t="str">
            <v/>
          </cell>
          <cell r="G9376" t="str">
            <v/>
          </cell>
          <cell r="J9376" t="str">
            <v/>
          </cell>
          <cell r="O9376" t="str">
            <v/>
          </cell>
          <cell r="P9376" t="str">
            <v/>
          </cell>
          <cell r="Q9376" t="str">
            <v/>
          </cell>
          <cell r="S9376" t="str">
            <v/>
          </cell>
          <cell r="V9376" t="str">
            <v/>
          </cell>
          <cell r="Z9376" t="str">
            <v/>
          </cell>
          <cell r="AA9376" t="str">
            <v/>
          </cell>
          <cell r="AB9376" t="str">
            <v/>
          </cell>
          <cell r="AC9376" t="str">
            <v/>
          </cell>
          <cell r="AD9376" t="str">
            <v/>
          </cell>
          <cell r="AY9376" t="str">
            <v/>
          </cell>
          <cell r="AZ9376" t="str">
            <v/>
          </cell>
          <cell r="BA9376" t="str">
            <v/>
          </cell>
        </row>
        <row r="9377">
          <cell r="B9377" t="str">
            <v>-</v>
          </cell>
          <cell r="E9377" t="str">
            <v/>
          </cell>
          <cell r="G9377" t="str">
            <v/>
          </cell>
          <cell r="J9377" t="str">
            <v/>
          </cell>
          <cell r="O9377" t="str">
            <v/>
          </cell>
          <cell r="P9377" t="str">
            <v/>
          </cell>
          <cell r="Q9377" t="str">
            <v/>
          </cell>
          <cell r="S9377" t="str">
            <v/>
          </cell>
          <cell r="V9377" t="str">
            <v/>
          </cell>
          <cell r="Z9377" t="str">
            <v/>
          </cell>
          <cell r="AA9377" t="str">
            <v/>
          </cell>
          <cell r="AB9377" t="str">
            <v/>
          </cell>
          <cell r="AC9377" t="str">
            <v/>
          </cell>
          <cell r="AD9377" t="str">
            <v/>
          </cell>
          <cell r="AY9377" t="str">
            <v/>
          </cell>
          <cell r="AZ9377" t="str">
            <v/>
          </cell>
          <cell r="BA9377" t="str">
            <v/>
          </cell>
        </row>
        <row r="9378">
          <cell r="B9378" t="str">
            <v>-</v>
          </cell>
          <cell r="E9378" t="str">
            <v/>
          </cell>
          <cell r="G9378" t="str">
            <v/>
          </cell>
          <cell r="J9378" t="str">
            <v/>
          </cell>
          <cell r="O9378" t="str">
            <v/>
          </cell>
          <cell r="P9378" t="str">
            <v/>
          </cell>
          <cell r="Q9378" t="str">
            <v/>
          </cell>
          <cell r="S9378" t="str">
            <v/>
          </cell>
          <cell r="V9378" t="str">
            <v/>
          </cell>
          <cell r="Z9378" t="str">
            <v/>
          </cell>
          <cell r="AA9378" t="str">
            <v/>
          </cell>
          <cell r="AB9378" t="str">
            <v/>
          </cell>
          <cell r="AC9378" t="str">
            <v/>
          </cell>
          <cell r="AD9378" t="str">
            <v/>
          </cell>
          <cell r="AY9378" t="str">
            <v/>
          </cell>
          <cell r="AZ9378" t="str">
            <v/>
          </cell>
          <cell r="BA9378" t="str">
            <v/>
          </cell>
        </row>
        <row r="9379">
          <cell r="B9379" t="str">
            <v>-</v>
          </cell>
          <cell r="E9379" t="str">
            <v/>
          </cell>
          <cell r="G9379" t="str">
            <v/>
          </cell>
          <cell r="J9379" t="str">
            <v/>
          </cell>
          <cell r="O9379" t="str">
            <v/>
          </cell>
          <cell r="P9379" t="str">
            <v/>
          </cell>
          <cell r="Q9379" t="str">
            <v/>
          </cell>
          <cell r="S9379" t="str">
            <v/>
          </cell>
          <cell r="V9379" t="str">
            <v/>
          </cell>
          <cell r="Z9379" t="str">
            <v/>
          </cell>
          <cell r="AA9379" t="str">
            <v/>
          </cell>
          <cell r="AB9379" t="str">
            <v/>
          </cell>
          <cell r="AC9379" t="str">
            <v/>
          </cell>
          <cell r="AD9379" t="str">
            <v/>
          </cell>
          <cell r="AY9379" t="str">
            <v/>
          </cell>
          <cell r="AZ9379" t="str">
            <v/>
          </cell>
          <cell r="BA9379" t="str">
            <v/>
          </cell>
        </row>
        <row r="9380">
          <cell r="B9380" t="str">
            <v>-</v>
          </cell>
          <cell r="E9380" t="str">
            <v/>
          </cell>
          <cell r="G9380" t="str">
            <v/>
          </cell>
          <cell r="J9380" t="str">
            <v/>
          </cell>
          <cell r="O9380" t="str">
            <v/>
          </cell>
          <cell r="P9380" t="str">
            <v/>
          </cell>
          <cell r="Q9380" t="str">
            <v/>
          </cell>
          <cell r="S9380" t="str">
            <v/>
          </cell>
          <cell r="V9380" t="str">
            <v/>
          </cell>
          <cell r="Z9380" t="str">
            <v/>
          </cell>
          <cell r="AA9380" t="str">
            <v/>
          </cell>
          <cell r="AB9380" t="str">
            <v/>
          </cell>
          <cell r="AC9380" t="str">
            <v/>
          </cell>
          <cell r="AD9380" t="str">
            <v/>
          </cell>
          <cell r="AY9380" t="str">
            <v/>
          </cell>
          <cell r="AZ9380" t="str">
            <v/>
          </cell>
          <cell r="BA9380" t="str">
            <v/>
          </cell>
        </row>
        <row r="9381">
          <cell r="B9381" t="str">
            <v>-</v>
          </cell>
          <cell r="E9381" t="str">
            <v/>
          </cell>
          <cell r="G9381" t="str">
            <v/>
          </cell>
          <cell r="J9381" t="str">
            <v/>
          </cell>
          <cell r="O9381" t="str">
            <v/>
          </cell>
          <cell r="P9381" t="str">
            <v/>
          </cell>
          <cell r="Q9381" t="str">
            <v/>
          </cell>
          <cell r="S9381" t="str">
            <v/>
          </cell>
          <cell r="V9381" t="str">
            <v/>
          </cell>
          <cell r="Z9381" t="str">
            <v/>
          </cell>
          <cell r="AA9381" t="str">
            <v/>
          </cell>
          <cell r="AB9381" t="str">
            <v/>
          </cell>
          <cell r="AC9381" t="str">
            <v/>
          </cell>
          <cell r="AD9381" t="str">
            <v/>
          </cell>
          <cell r="AY9381" t="str">
            <v/>
          </cell>
          <cell r="AZ9381" t="str">
            <v/>
          </cell>
          <cell r="BA9381" t="str">
            <v/>
          </cell>
        </row>
        <row r="9382">
          <cell r="B9382" t="str">
            <v>-</v>
          </cell>
          <cell r="E9382" t="str">
            <v/>
          </cell>
          <cell r="G9382" t="str">
            <v/>
          </cell>
          <cell r="J9382" t="str">
            <v/>
          </cell>
          <cell r="O9382" t="str">
            <v/>
          </cell>
          <cell r="P9382" t="str">
            <v/>
          </cell>
          <cell r="Q9382" t="str">
            <v/>
          </cell>
          <cell r="S9382" t="str">
            <v/>
          </cell>
          <cell r="V9382" t="str">
            <v/>
          </cell>
          <cell r="Z9382" t="str">
            <v/>
          </cell>
          <cell r="AA9382" t="str">
            <v/>
          </cell>
          <cell r="AB9382" t="str">
            <v/>
          </cell>
          <cell r="AC9382" t="str">
            <v/>
          </cell>
          <cell r="AD9382" t="str">
            <v/>
          </cell>
          <cell r="AY9382" t="str">
            <v/>
          </cell>
          <cell r="AZ9382" t="str">
            <v/>
          </cell>
          <cell r="BA9382" t="str">
            <v/>
          </cell>
        </row>
        <row r="9383">
          <cell r="B9383" t="str">
            <v>-</v>
          </cell>
          <cell r="E9383" t="str">
            <v/>
          </cell>
          <cell r="G9383" t="str">
            <v/>
          </cell>
          <cell r="J9383" t="str">
            <v/>
          </cell>
          <cell r="O9383" t="str">
            <v/>
          </cell>
          <cell r="P9383" t="str">
            <v/>
          </cell>
          <cell r="Q9383" t="str">
            <v/>
          </cell>
          <cell r="S9383" t="str">
            <v/>
          </cell>
          <cell r="V9383" t="str">
            <v/>
          </cell>
          <cell r="Z9383" t="str">
            <v/>
          </cell>
          <cell r="AA9383" t="str">
            <v/>
          </cell>
          <cell r="AB9383" t="str">
            <v/>
          </cell>
          <cell r="AC9383" t="str">
            <v/>
          </cell>
          <cell r="AD9383" t="str">
            <v/>
          </cell>
          <cell r="AY9383" t="str">
            <v/>
          </cell>
          <cell r="AZ9383" t="str">
            <v/>
          </cell>
          <cell r="BA9383" t="str">
            <v/>
          </cell>
        </row>
        <row r="9384">
          <cell r="B9384" t="str">
            <v>-</v>
          </cell>
          <cell r="E9384" t="str">
            <v/>
          </cell>
          <cell r="G9384" t="str">
            <v/>
          </cell>
          <cell r="J9384" t="str">
            <v/>
          </cell>
          <cell r="O9384" t="str">
            <v/>
          </cell>
          <cell r="P9384" t="str">
            <v/>
          </cell>
          <cell r="Q9384" t="str">
            <v/>
          </cell>
          <cell r="S9384" t="str">
            <v/>
          </cell>
          <cell r="V9384" t="str">
            <v/>
          </cell>
          <cell r="Z9384" t="str">
            <v/>
          </cell>
          <cell r="AA9384" t="str">
            <v/>
          </cell>
          <cell r="AB9384" t="str">
            <v/>
          </cell>
          <cell r="AC9384" t="str">
            <v/>
          </cell>
          <cell r="AD9384" t="str">
            <v/>
          </cell>
          <cell r="AY9384" t="str">
            <v/>
          </cell>
          <cell r="AZ9384" t="str">
            <v/>
          </cell>
          <cell r="BA9384" t="str">
            <v/>
          </cell>
        </row>
        <row r="9385">
          <cell r="B9385" t="str">
            <v>-</v>
          </cell>
          <cell r="E9385" t="str">
            <v/>
          </cell>
          <cell r="G9385" t="str">
            <v/>
          </cell>
          <cell r="J9385" t="str">
            <v/>
          </cell>
          <cell r="O9385" t="str">
            <v/>
          </cell>
          <cell r="P9385" t="str">
            <v/>
          </cell>
          <cell r="Q9385" t="str">
            <v/>
          </cell>
          <cell r="S9385" t="str">
            <v/>
          </cell>
          <cell r="V9385" t="str">
            <v/>
          </cell>
          <cell r="Z9385" t="str">
            <v/>
          </cell>
          <cell r="AA9385" t="str">
            <v/>
          </cell>
          <cell r="AB9385" t="str">
            <v/>
          </cell>
          <cell r="AC9385" t="str">
            <v/>
          </cell>
          <cell r="AD9385" t="str">
            <v/>
          </cell>
          <cell r="AY9385" t="str">
            <v/>
          </cell>
          <cell r="AZ9385" t="str">
            <v/>
          </cell>
          <cell r="BA9385" t="str">
            <v/>
          </cell>
        </row>
        <row r="9386">
          <cell r="B9386" t="str">
            <v>-</v>
          </cell>
          <cell r="E9386" t="str">
            <v/>
          </cell>
          <cell r="G9386" t="str">
            <v/>
          </cell>
          <cell r="J9386" t="str">
            <v/>
          </cell>
          <cell r="O9386" t="str">
            <v/>
          </cell>
          <cell r="P9386" t="str">
            <v/>
          </cell>
          <cell r="Q9386" t="str">
            <v/>
          </cell>
          <cell r="S9386" t="str">
            <v/>
          </cell>
          <cell r="V9386" t="str">
            <v/>
          </cell>
          <cell r="Z9386" t="str">
            <v/>
          </cell>
          <cell r="AA9386" t="str">
            <v/>
          </cell>
          <cell r="AB9386" t="str">
            <v/>
          </cell>
          <cell r="AC9386" t="str">
            <v/>
          </cell>
          <cell r="AD9386" t="str">
            <v/>
          </cell>
          <cell r="AY9386" t="str">
            <v/>
          </cell>
          <cell r="AZ9386" t="str">
            <v/>
          </cell>
          <cell r="BA9386" t="str">
            <v/>
          </cell>
        </row>
        <row r="9387">
          <cell r="B9387" t="str">
            <v>-</v>
          </cell>
          <cell r="E9387" t="str">
            <v/>
          </cell>
          <cell r="G9387" t="str">
            <v/>
          </cell>
          <cell r="J9387" t="str">
            <v/>
          </cell>
          <cell r="O9387" t="str">
            <v/>
          </cell>
          <cell r="P9387" t="str">
            <v/>
          </cell>
          <cell r="Q9387" t="str">
            <v/>
          </cell>
          <cell r="S9387" t="str">
            <v/>
          </cell>
          <cell r="V9387" t="str">
            <v/>
          </cell>
          <cell r="Z9387" t="str">
            <v/>
          </cell>
          <cell r="AA9387" t="str">
            <v/>
          </cell>
          <cell r="AB9387" t="str">
            <v/>
          </cell>
          <cell r="AC9387" t="str">
            <v/>
          </cell>
          <cell r="AD9387" t="str">
            <v/>
          </cell>
          <cell r="AY9387" t="str">
            <v/>
          </cell>
          <cell r="AZ9387" t="str">
            <v/>
          </cell>
          <cell r="BA9387" t="str">
            <v/>
          </cell>
        </row>
        <row r="9388">
          <cell r="B9388" t="str">
            <v>-</v>
          </cell>
          <cell r="E9388" t="str">
            <v/>
          </cell>
          <cell r="G9388" t="str">
            <v/>
          </cell>
          <cell r="J9388" t="str">
            <v/>
          </cell>
          <cell r="O9388" t="str">
            <v/>
          </cell>
          <cell r="P9388" t="str">
            <v/>
          </cell>
          <cell r="Q9388" t="str">
            <v/>
          </cell>
          <cell r="S9388" t="str">
            <v/>
          </cell>
          <cell r="V9388" t="str">
            <v/>
          </cell>
          <cell r="Z9388" t="str">
            <v/>
          </cell>
          <cell r="AA9388" t="str">
            <v/>
          </cell>
          <cell r="AB9388" t="str">
            <v/>
          </cell>
          <cell r="AC9388" t="str">
            <v/>
          </cell>
          <cell r="AD9388" t="str">
            <v/>
          </cell>
          <cell r="AY9388" t="str">
            <v/>
          </cell>
          <cell r="AZ9388" t="str">
            <v/>
          </cell>
          <cell r="BA9388" t="str">
            <v/>
          </cell>
        </row>
        <row r="9389">
          <cell r="B9389" t="str">
            <v>-</v>
          </cell>
          <cell r="E9389" t="str">
            <v/>
          </cell>
          <cell r="G9389" t="str">
            <v/>
          </cell>
          <cell r="J9389" t="str">
            <v/>
          </cell>
          <cell r="O9389" t="str">
            <v/>
          </cell>
          <cell r="P9389" t="str">
            <v/>
          </cell>
          <cell r="Q9389" t="str">
            <v/>
          </cell>
          <cell r="S9389" t="str">
            <v/>
          </cell>
          <cell r="V9389" t="str">
            <v/>
          </cell>
          <cell r="Z9389" t="str">
            <v/>
          </cell>
          <cell r="AA9389" t="str">
            <v/>
          </cell>
          <cell r="AB9389" t="str">
            <v/>
          </cell>
          <cell r="AC9389" t="str">
            <v/>
          </cell>
          <cell r="AD9389" t="str">
            <v/>
          </cell>
          <cell r="AY9389" t="str">
            <v/>
          </cell>
          <cell r="AZ9389" t="str">
            <v/>
          </cell>
          <cell r="BA9389" t="str">
            <v/>
          </cell>
        </row>
        <row r="9390">
          <cell r="B9390" t="str">
            <v>-</v>
          </cell>
          <cell r="E9390" t="str">
            <v/>
          </cell>
          <cell r="G9390" t="str">
            <v/>
          </cell>
          <cell r="J9390" t="str">
            <v/>
          </cell>
          <cell r="O9390" t="str">
            <v/>
          </cell>
          <cell r="P9390" t="str">
            <v/>
          </cell>
          <cell r="Q9390" t="str">
            <v/>
          </cell>
          <cell r="S9390" t="str">
            <v/>
          </cell>
          <cell r="V9390" t="str">
            <v/>
          </cell>
          <cell r="Z9390" t="str">
            <v/>
          </cell>
          <cell r="AA9390" t="str">
            <v/>
          </cell>
          <cell r="AB9390" t="str">
            <v/>
          </cell>
          <cell r="AC9390" t="str">
            <v/>
          </cell>
          <cell r="AD9390" t="str">
            <v/>
          </cell>
          <cell r="AY9390" t="str">
            <v/>
          </cell>
          <cell r="AZ9390" t="str">
            <v/>
          </cell>
          <cell r="BA9390" t="str">
            <v/>
          </cell>
        </row>
        <row r="9391">
          <cell r="B9391" t="str">
            <v>-</v>
          </cell>
          <cell r="E9391" t="str">
            <v/>
          </cell>
          <cell r="G9391" t="str">
            <v/>
          </cell>
          <cell r="J9391" t="str">
            <v/>
          </cell>
          <cell r="O9391" t="str">
            <v/>
          </cell>
          <cell r="P9391" t="str">
            <v/>
          </cell>
          <cell r="Q9391" t="str">
            <v/>
          </cell>
          <cell r="S9391" t="str">
            <v/>
          </cell>
          <cell r="V9391" t="str">
            <v/>
          </cell>
          <cell r="Z9391" t="str">
            <v/>
          </cell>
          <cell r="AA9391" t="str">
            <v/>
          </cell>
          <cell r="AB9391" t="str">
            <v/>
          </cell>
          <cell r="AC9391" t="str">
            <v/>
          </cell>
          <cell r="AD9391" t="str">
            <v/>
          </cell>
          <cell r="AY9391" t="str">
            <v/>
          </cell>
          <cell r="AZ9391" t="str">
            <v/>
          </cell>
          <cell r="BA9391" t="str">
            <v/>
          </cell>
        </row>
        <row r="9392">
          <cell r="B9392" t="str">
            <v>-</v>
          </cell>
          <cell r="E9392" t="str">
            <v/>
          </cell>
          <cell r="G9392" t="str">
            <v/>
          </cell>
          <cell r="J9392" t="str">
            <v/>
          </cell>
          <cell r="O9392" t="str">
            <v/>
          </cell>
          <cell r="P9392" t="str">
            <v/>
          </cell>
          <cell r="Q9392" t="str">
            <v/>
          </cell>
          <cell r="S9392" t="str">
            <v/>
          </cell>
          <cell r="V9392" t="str">
            <v/>
          </cell>
          <cell r="Z9392" t="str">
            <v/>
          </cell>
          <cell r="AA9392" t="str">
            <v/>
          </cell>
          <cell r="AB9392" t="str">
            <v/>
          </cell>
          <cell r="AC9392" t="str">
            <v/>
          </cell>
          <cell r="AD9392" t="str">
            <v/>
          </cell>
          <cell r="AY9392" t="str">
            <v/>
          </cell>
          <cell r="AZ9392" t="str">
            <v/>
          </cell>
          <cell r="BA9392" t="str">
            <v/>
          </cell>
        </row>
        <row r="9393">
          <cell r="B9393" t="str">
            <v>-</v>
          </cell>
          <cell r="E9393" t="str">
            <v/>
          </cell>
          <cell r="G9393" t="str">
            <v/>
          </cell>
          <cell r="J9393" t="str">
            <v/>
          </cell>
          <cell r="O9393" t="str">
            <v/>
          </cell>
          <cell r="P9393" t="str">
            <v/>
          </cell>
          <cell r="Q9393" t="str">
            <v/>
          </cell>
          <cell r="S9393" t="str">
            <v/>
          </cell>
          <cell r="V9393" t="str">
            <v/>
          </cell>
          <cell r="Z9393" t="str">
            <v/>
          </cell>
          <cell r="AA9393" t="str">
            <v/>
          </cell>
          <cell r="AB9393" t="str">
            <v/>
          </cell>
          <cell r="AC9393" t="str">
            <v/>
          </cell>
          <cell r="AD9393" t="str">
            <v/>
          </cell>
          <cell r="AY9393" t="str">
            <v/>
          </cell>
          <cell r="AZ9393" t="str">
            <v/>
          </cell>
          <cell r="BA9393" t="str">
            <v/>
          </cell>
        </row>
        <row r="9394">
          <cell r="B9394" t="str">
            <v>-</v>
          </cell>
          <cell r="E9394" t="str">
            <v/>
          </cell>
          <cell r="G9394" t="str">
            <v/>
          </cell>
          <cell r="J9394" t="str">
            <v/>
          </cell>
          <cell r="O9394" t="str">
            <v/>
          </cell>
          <cell r="P9394" t="str">
            <v/>
          </cell>
          <cell r="Q9394" t="str">
            <v/>
          </cell>
          <cell r="S9394" t="str">
            <v/>
          </cell>
          <cell r="V9394" t="str">
            <v/>
          </cell>
          <cell r="Z9394" t="str">
            <v/>
          </cell>
          <cell r="AA9394" t="str">
            <v/>
          </cell>
          <cell r="AB9394" t="str">
            <v/>
          </cell>
          <cell r="AC9394" t="str">
            <v/>
          </cell>
          <cell r="AD9394" t="str">
            <v/>
          </cell>
          <cell r="AY9394" t="str">
            <v/>
          </cell>
          <cell r="AZ9394" t="str">
            <v/>
          </cell>
          <cell r="BA9394" t="str">
            <v/>
          </cell>
        </row>
        <row r="9395">
          <cell r="B9395" t="str">
            <v>-</v>
          </cell>
          <cell r="E9395" t="str">
            <v/>
          </cell>
          <cell r="G9395" t="str">
            <v/>
          </cell>
          <cell r="J9395" t="str">
            <v/>
          </cell>
          <cell r="O9395" t="str">
            <v/>
          </cell>
          <cell r="P9395" t="str">
            <v/>
          </cell>
          <cell r="Q9395" t="str">
            <v/>
          </cell>
          <cell r="S9395" t="str">
            <v/>
          </cell>
          <cell r="V9395" t="str">
            <v/>
          </cell>
          <cell r="Z9395" t="str">
            <v/>
          </cell>
          <cell r="AA9395" t="str">
            <v/>
          </cell>
          <cell r="AB9395" t="str">
            <v/>
          </cell>
          <cell r="AC9395" t="str">
            <v/>
          </cell>
          <cell r="AD9395" t="str">
            <v/>
          </cell>
          <cell r="AY9395" t="str">
            <v/>
          </cell>
          <cell r="AZ9395" t="str">
            <v/>
          </cell>
          <cell r="BA9395" t="str">
            <v/>
          </cell>
        </row>
        <row r="9396">
          <cell r="B9396" t="str">
            <v>-</v>
          </cell>
          <cell r="E9396" t="str">
            <v/>
          </cell>
          <cell r="G9396" t="str">
            <v/>
          </cell>
          <cell r="J9396" t="str">
            <v/>
          </cell>
          <cell r="O9396" t="str">
            <v/>
          </cell>
          <cell r="P9396" t="str">
            <v/>
          </cell>
          <cell r="Q9396" t="str">
            <v/>
          </cell>
          <cell r="S9396" t="str">
            <v/>
          </cell>
          <cell r="V9396" t="str">
            <v/>
          </cell>
          <cell r="Z9396" t="str">
            <v/>
          </cell>
          <cell r="AA9396" t="str">
            <v/>
          </cell>
          <cell r="AB9396" t="str">
            <v/>
          </cell>
          <cell r="AC9396" t="str">
            <v/>
          </cell>
          <cell r="AD9396" t="str">
            <v/>
          </cell>
          <cell r="AY9396" t="str">
            <v/>
          </cell>
          <cell r="AZ9396" t="str">
            <v/>
          </cell>
          <cell r="BA9396" t="str">
            <v/>
          </cell>
        </row>
        <row r="9397">
          <cell r="B9397" t="str">
            <v>-</v>
          </cell>
          <cell r="E9397" t="str">
            <v/>
          </cell>
          <cell r="G9397" t="str">
            <v/>
          </cell>
          <cell r="J9397" t="str">
            <v/>
          </cell>
          <cell r="O9397" t="str">
            <v/>
          </cell>
          <cell r="P9397" t="str">
            <v/>
          </cell>
          <cell r="Q9397" t="str">
            <v/>
          </cell>
          <cell r="S9397" t="str">
            <v/>
          </cell>
          <cell r="V9397" t="str">
            <v/>
          </cell>
          <cell r="Z9397" t="str">
            <v/>
          </cell>
          <cell r="AA9397" t="str">
            <v/>
          </cell>
          <cell r="AB9397" t="str">
            <v/>
          </cell>
          <cell r="AC9397" t="str">
            <v/>
          </cell>
          <cell r="AD9397" t="str">
            <v/>
          </cell>
          <cell r="AY9397" t="str">
            <v/>
          </cell>
          <cell r="AZ9397" t="str">
            <v/>
          </cell>
          <cell r="BA9397" t="str">
            <v/>
          </cell>
        </row>
        <row r="9398">
          <cell r="B9398" t="str">
            <v>-</v>
          </cell>
          <cell r="E9398" t="str">
            <v/>
          </cell>
          <cell r="G9398" t="str">
            <v/>
          </cell>
          <cell r="J9398" t="str">
            <v/>
          </cell>
          <cell r="O9398" t="str">
            <v/>
          </cell>
          <cell r="P9398" t="str">
            <v/>
          </cell>
          <cell r="Q9398" t="str">
            <v/>
          </cell>
          <cell r="S9398" t="str">
            <v/>
          </cell>
          <cell r="V9398" t="str">
            <v/>
          </cell>
          <cell r="Z9398" t="str">
            <v/>
          </cell>
          <cell r="AA9398" t="str">
            <v/>
          </cell>
          <cell r="AB9398" t="str">
            <v/>
          </cell>
          <cell r="AC9398" t="str">
            <v/>
          </cell>
          <cell r="AD9398" t="str">
            <v/>
          </cell>
          <cell r="AY9398" t="str">
            <v/>
          </cell>
          <cell r="AZ9398" t="str">
            <v/>
          </cell>
          <cell r="BA9398" t="str">
            <v/>
          </cell>
        </row>
        <row r="9399">
          <cell r="B9399" t="str">
            <v>-</v>
          </cell>
          <cell r="E9399" t="str">
            <v/>
          </cell>
          <cell r="G9399" t="str">
            <v/>
          </cell>
          <cell r="J9399" t="str">
            <v/>
          </cell>
          <cell r="O9399" t="str">
            <v/>
          </cell>
          <cell r="P9399" t="str">
            <v/>
          </cell>
          <cell r="Q9399" t="str">
            <v/>
          </cell>
          <cell r="S9399" t="str">
            <v/>
          </cell>
          <cell r="V9399" t="str">
            <v/>
          </cell>
          <cell r="Z9399" t="str">
            <v/>
          </cell>
          <cell r="AA9399" t="str">
            <v/>
          </cell>
          <cell r="AB9399" t="str">
            <v/>
          </cell>
          <cell r="AC9399" t="str">
            <v/>
          </cell>
          <cell r="AD9399" t="str">
            <v/>
          </cell>
          <cell r="AY9399" t="str">
            <v/>
          </cell>
          <cell r="AZ9399" t="str">
            <v/>
          </cell>
          <cell r="BA9399" t="str">
            <v/>
          </cell>
        </row>
        <row r="9400">
          <cell r="B9400" t="str">
            <v>-</v>
          </cell>
          <cell r="E9400" t="str">
            <v/>
          </cell>
          <cell r="G9400" t="str">
            <v/>
          </cell>
          <cell r="J9400" t="str">
            <v/>
          </cell>
          <cell r="O9400" t="str">
            <v/>
          </cell>
          <cell r="P9400" t="str">
            <v/>
          </cell>
          <cell r="Q9400" t="str">
            <v/>
          </cell>
          <cell r="S9400" t="str">
            <v/>
          </cell>
          <cell r="V9400" t="str">
            <v/>
          </cell>
          <cell r="Z9400" t="str">
            <v/>
          </cell>
          <cell r="AA9400" t="str">
            <v/>
          </cell>
          <cell r="AB9400" t="str">
            <v/>
          </cell>
          <cell r="AC9400" t="str">
            <v/>
          </cell>
          <cell r="AD9400" t="str">
            <v/>
          </cell>
          <cell r="AY9400" t="str">
            <v/>
          </cell>
          <cell r="AZ9400" t="str">
            <v/>
          </cell>
          <cell r="BA9400" t="str">
            <v/>
          </cell>
        </row>
        <row r="9401">
          <cell r="B9401" t="str">
            <v>-</v>
          </cell>
          <cell r="E9401" t="str">
            <v/>
          </cell>
          <cell r="G9401" t="str">
            <v/>
          </cell>
          <cell r="J9401" t="str">
            <v/>
          </cell>
          <cell r="O9401" t="str">
            <v/>
          </cell>
          <cell r="P9401" t="str">
            <v/>
          </cell>
          <cell r="Q9401" t="str">
            <v/>
          </cell>
          <cell r="S9401" t="str">
            <v/>
          </cell>
          <cell r="V9401" t="str">
            <v/>
          </cell>
          <cell r="Z9401" t="str">
            <v/>
          </cell>
          <cell r="AA9401" t="str">
            <v/>
          </cell>
          <cell r="AB9401" t="str">
            <v/>
          </cell>
          <cell r="AC9401" t="str">
            <v/>
          </cell>
          <cell r="AD9401" t="str">
            <v/>
          </cell>
          <cell r="AY9401" t="str">
            <v/>
          </cell>
          <cell r="AZ9401" t="str">
            <v/>
          </cell>
          <cell r="BA9401" t="str">
            <v/>
          </cell>
        </row>
        <row r="9402">
          <cell r="B9402" t="str">
            <v>-</v>
          </cell>
          <cell r="E9402" t="str">
            <v/>
          </cell>
          <cell r="G9402" t="str">
            <v/>
          </cell>
          <cell r="J9402" t="str">
            <v/>
          </cell>
          <cell r="O9402" t="str">
            <v/>
          </cell>
          <cell r="P9402" t="str">
            <v/>
          </cell>
          <cell r="Q9402" t="str">
            <v/>
          </cell>
          <cell r="S9402" t="str">
            <v/>
          </cell>
          <cell r="V9402" t="str">
            <v/>
          </cell>
          <cell r="Z9402" t="str">
            <v/>
          </cell>
          <cell r="AA9402" t="str">
            <v/>
          </cell>
          <cell r="AB9402" t="str">
            <v/>
          </cell>
          <cell r="AC9402" t="str">
            <v/>
          </cell>
          <cell r="AD9402" t="str">
            <v/>
          </cell>
          <cell r="AY9402" t="str">
            <v/>
          </cell>
          <cell r="AZ9402" t="str">
            <v/>
          </cell>
          <cell r="BA9402" t="str">
            <v/>
          </cell>
        </row>
        <row r="9403">
          <cell r="B9403" t="str">
            <v>-</v>
          </cell>
          <cell r="E9403" t="str">
            <v/>
          </cell>
          <cell r="G9403" t="str">
            <v/>
          </cell>
          <cell r="J9403" t="str">
            <v/>
          </cell>
          <cell r="O9403" t="str">
            <v/>
          </cell>
          <cell r="P9403" t="str">
            <v/>
          </cell>
          <cell r="Q9403" t="str">
            <v/>
          </cell>
          <cell r="S9403" t="str">
            <v/>
          </cell>
          <cell r="V9403" t="str">
            <v/>
          </cell>
          <cell r="Z9403" t="str">
            <v/>
          </cell>
          <cell r="AA9403" t="str">
            <v/>
          </cell>
          <cell r="AB9403" t="str">
            <v/>
          </cell>
          <cell r="AC9403" t="str">
            <v/>
          </cell>
          <cell r="AD9403" t="str">
            <v/>
          </cell>
          <cell r="AY9403" t="str">
            <v/>
          </cell>
          <cell r="AZ9403" t="str">
            <v/>
          </cell>
          <cell r="BA9403" t="str">
            <v/>
          </cell>
        </row>
        <row r="9404">
          <cell r="B9404" t="str">
            <v>-</v>
          </cell>
          <cell r="E9404" t="str">
            <v/>
          </cell>
          <cell r="G9404" t="str">
            <v/>
          </cell>
          <cell r="J9404" t="str">
            <v/>
          </cell>
          <cell r="O9404" t="str">
            <v/>
          </cell>
          <cell r="P9404" t="str">
            <v/>
          </cell>
          <cell r="Q9404" t="str">
            <v/>
          </cell>
          <cell r="S9404" t="str">
            <v/>
          </cell>
          <cell r="V9404" t="str">
            <v/>
          </cell>
          <cell r="Z9404" t="str">
            <v/>
          </cell>
          <cell r="AA9404" t="str">
            <v/>
          </cell>
          <cell r="AB9404" t="str">
            <v/>
          </cell>
          <cell r="AC9404" t="str">
            <v/>
          </cell>
          <cell r="AD9404" t="str">
            <v/>
          </cell>
          <cell r="AY9404" t="str">
            <v/>
          </cell>
          <cell r="AZ9404" t="str">
            <v/>
          </cell>
          <cell r="BA9404" t="str">
            <v/>
          </cell>
        </row>
        <row r="9405">
          <cell r="B9405" t="str">
            <v>-</v>
          </cell>
          <cell r="E9405" t="str">
            <v/>
          </cell>
          <cell r="G9405" t="str">
            <v/>
          </cell>
          <cell r="J9405" t="str">
            <v/>
          </cell>
          <cell r="O9405" t="str">
            <v/>
          </cell>
          <cell r="P9405" t="str">
            <v/>
          </cell>
          <cell r="Q9405" t="str">
            <v/>
          </cell>
          <cell r="S9405" t="str">
            <v/>
          </cell>
          <cell r="V9405" t="str">
            <v/>
          </cell>
          <cell r="Z9405" t="str">
            <v/>
          </cell>
          <cell r="AA9405" t="str">
            <v/>
          </cell>
          <cell r="AB9405" t="str">
            <v/>
          </cell>
          <cell r="AC9405" t="str">
            <v/>
          </cell>
          <cell r="AD9405" t="str">
            <v/>
          </cell>
          <cell r="AY9405" t="str">
            <v/>
          </cell>
          <cell r="AZ9405" t="str">
            <v/>
          </cell>
          <cell r="BA9405" t="str">
            <v/>
          </cell>
        </row>
        <row r="9406">
          <cell r="B9406" t="str">
            <v>-</v>
          </cell>
          <cell r="E9406" t="str">
            <v/>
          </cell>
          <cell r="G9406" t="str">
            <v/>
          </cell>
          <cell r="J9406" t="str">
            <v/>
          </cell>
          <cell r="O9406" t="str">
            <v/>
          </cell>
          <cell r="P9406" t="str">
            <v/>
          </cell>
          <cell r="Q9406" t="str">
            <v/>
          </cell>
          <cell r="S9406" t="str">
            <v/>
          </cell>
          <cell r="V9406" t="str">
            <v/>
          </cell>
          <cell r="Z9406" t="str">
            <v/>
          </cell>
          <cell r="AA9406" t="str">
            <v/>
          </cell>
          <cell r="AB9406" t="str">
            <v/>
          </cell>
          <cell r="AC9406" t="str">
            <v/>
          </cell>
          <cell r="AD9406" t="str">
            <v/>
          </cell>
          <cell r="AY9406" t="str">
            <v/>
          </cell>
          <cell r="AZ9406" t="str">
            <v/>
          </cell>
          <cell r="BA9406" t="str">
            <v/>
          </cell>
        </row>
        <row r="9407">
          <cell r="B9407" t="str">
            <v>-</v>
          </cell>
          <cell r="E9407" t="str">
            <v/>
          </cell>
          <cell r="G9407" t="str">
            <v/>
          </cell>
          <cell r="J9407" t="str">
            <v/>
          </cell>
          <cell r="O9407" t="str">
            <v/>
          </cell>
          <cell r="P9407" t="str">
            <v/>
          </cell>
          <cell r="Q9407" t="str">
            <v/>
          </cell>
          <cell r="S9407" t="str">
            <v/>
          </cell>
          <cell r="V9407" t="str">
            <v/>
          </cell>
          <cell r="Z9407" t="str">
            <v/>
          </cell>
          <cell r="AA9407" t="str">
            <v/>
          </cell>
          <cell r="AB9407" t="str">
            <v/>
          </cell>
          <cell r="AC9407" t="str">
            <v/>
          </cell>
          <cell r="AD9407" t="str">
            <v/>
          </cell>
          <cell r="AY9407" t="str">
            <v/>
          </cell>
          <cell r="AZ9407" t="str">
            <v/>
          </cell>
          <cell r="BA9407" t="str">
            <v/>
          </cell>
        </row>
        <row r="9408">
          <cell r="B9408" t="str">
            <v>-</v>
          </cell>
          <cell r="E9408" t="str">
            <v/>
          </cell>
          <cell r="G9408" t="str">
            <v/>
          </cell>
          <cell r="J9408" t="str">
            <v/>
          </cell>
          <cell r="O9408" t="str">
            <v/>
          </cell>
          <cell r="P9408" t="str">
            <v/>
          </cell>
          <cell r="Q9408" t="str">
            <v/>
          </cell>
          <cell r="S9408" t="str">
            <v/>
          </cell>
          <cell r="V9408" t="str">
            <v/>
          </cell>
          <cell r="Z9408" t="str">
            <v/>
          </cell>
          <cell r="AA9408" t="str">
            <v/>
          </cell>
          <cell r="AB9408" t="str">
            <v/>
          </cell>
          <cell r="AC9408" t="str">
            <v/>
          </cell>
          <cell r="AD9408" t="str">
            <v/>
          </cell>
          <cell r="AY9408" t="str">
            <v/>
          </cell>
          <cell r="AZ9408" t="str">
            <v/>
          </cell>
          <cell r="BA9408" t="str">
            <v/>
          </cell>
        </row>
        <row r="9409">
          <cell r="B9409" t="str">
            <v>-</v>
          </cell>
          <cell r="E9409" t="str">
            <v/>
          </cell>
          <cell r="G9409" t="str">
            <v/>
          </cell>
          <cell r="J9409" t="str">
            <v/>
          </cell>
          <cell r="O9409" t="str">
            <v/>
          </cell>
          <cell r="P9409" t="str">
            <v/>
          </cell>
          <cell r="Q9409" t="str">
            <v/>
          </cell>
          <cell r="S9409" t="str">
            <v/>
          </cell>
          <cell r="V9409" t="str">
            <v/>
          </cell>
          <cell r="Z9409" t="str">
            <v/>
          </cell>
          <cell r="AA9409" t="str">
            <v/>
          </cell>
          <cell r="AB9409" t="str">
            <v/>
          </cell>
          <cell r="AC9409" t="str">
            <v/>
          </cell>
          <cell r="AD9409" t="str">
            <v/>
          </cell>
          <cell r="AY9409" t="str">
            <v/>
          </cell>
          <cell r="AZ9409" t="str">
            <v/>
          </cell>
          <cell r="BA9409" t="str">
            <v/>
          </cell>
        </row>
        <row r="9410">
          <cell r="B9410" t="str">
            <v>-</v>
          </cell>
          <cell r="E9410" t="str">
            <v/>
          </cell>
          <cell r="G9410" t="str">
            <v/>
          </cell>
          <cell r="J9410" t="str">
            <v/>
          </cell>
          <cell r="O9410" t="str">
            <v/>
          </cell>
          <cell r="P9410" t="str">
            <v/>
          </cell>
          <cell r="Q9410" t="str">
            <v/>
          </cell>
          <cell r="S9410" t="str">
            <v/>
          </cell>
          <cell r="V9410" t="str">
            <v/>
          </cell>
          <cell r="Z9410" t="str">
            <v/>
          </cell>
          <cell r="AA9410" t="str">
            <v/>
          </cell>
          <cell r="AB9410" t="str">
            <v/>
          </cell>
          <cell r="AC9410" t="str">
            <v/>
          </cell>
          <cell r="AD9410" t="str">
            <v/>
          </cell>
          <cell r="AY9410" t="str">
            <v/>
          </cell>
          <cell r="AZ9410" t="str">
            <v/>
          </cell>
          <cell r="BA9410" t="str">
            <v/>
          </cell>
        </row>
        <row r="9411">
          <cell r="B9411" t="str">
            <v>-</v>
          </cell>
          <cell r="E9411" t="str">
            <v/>
          </cell>
          <cell r="G9411" t="str">
            <v/>
          </cell>
          <cell r="J9411" t="str">
            <v/>
          </cell>
          <cell r="O9411" t="str">
            <v/>
          </cell>
          <cell r="P9411" t="str">
            <v/>
          </cell>
          <cell r="Q9411" t="str">
            <v/>
          </cell>
          <cell r="S9411" t="str">
            <v/>
          </cell>
          <cell r="V9411" t="str">
            <v/>
          </cell>
          <cell r="Z9411" t="str">
            <v/>
          </cell>
          <cell r="AA9411" t="str">
            <v/>
          </cell>
          <cell r="AB9411" t="str">
            <v/>
          </cell>
          <cell r="AC9411" t="str">
            <v/>
          </cell>
          <cell r="AD9411" t="str">
            <v/>
          </cell>
          <cell r="AY9411" t="str">
            <v/>
          </cell>
          <cell r="AZ9411" t="str">
            <v/>
          </cell>
          <cell r="BA9411" t="str">
            <v/>
          </cell>
        </row>
        <row r="9412">
          <cell r="B9412" t="str">
            <v>-</v>
          </cell>
          <cell r="E9412" t="str">
            <v/>
          </cell>
          <cell r="G9412" t="str">
            <v/>
          </cell>
          <cell r="J9412" t="str">
            <v/>
          </cell>
          <cell r="O9412" t="str">
            <v/>
          </cell>
          <cell r="P9412" t="str">
            <v/>
          </cell>
          <cell r="Q9412" t="str">
            <v/>
          </cell>
          <cell r="S9412" t="str">
            <v/>
          </cell>
          <cell r="V9412" t="str">
            <v/>
          </cell>
          <cell r="Z9412" t="str">
            <v/>
          </cell>
          <cell r="AA9412" t="str">
            <v/>
          </cell>
          <cell r="AB9412" t="str">
            <v/>
          </cell>
          <cell r="AC9412" t="str">
            <v/>
          </cell>
          <cell r="AD9412" t="str">
            <v/>
          </cell>
          <cell r="AY9412" t="str">
            <v/>
          </cell>
          <cell r="AZ9412" t="str">
            <v/>
          </cell>
          <cell r="BA9412" t="str">
            <v/>
          </cell>
        </row>
        <row r="9413">
          <cell r="B9413" t="str">
            <v>-</v>
          </cell>
          <cell r="E9413" t="str">
            <v/>
          </cell>
          <cell r="G9413" t="str">
            <v/>
          </cell>
          <cell r="J9413" t="str">
            <v/>
          </cell>
          <cell r="O9413" t="str">
            <v/>
          </cell>
          <cell r="P9413" t="str">
            <v/>
          </cell>
          <cell r="Q9413" t="str">
            <v/>
          </cell>
          <cell r="S9413" t="str">
            <v/>
          </cell>
          <cell r="V9413" t="str">
            <v/>
          </cell>
          <cell r="Z9413" t="str">
            <v/>
          </cell>
          <cell r="AA9413" t="str">
            <v/>
          </cell>
          <cell r="AB9413" t="str">
            <v/>
          </cell>
          <cell r="AC9413" t="str">
            <v/>
          </cell>
          <cell r="AD9413" t="str">
            <v/>
          </cell>
          <cell r="AY9413" t="str">
            <v/>
          </cell>
          <cell r="AZ9413" t="str">
            <v/>
          </cell>
          <cell r="BA9413" t="str">
            <v/>
          </cell>
        </row>
        <row r="9414">
          <cell r="B9414" t="str">
            <v>-</v>
          </cell>
          <cell r="E9414" t="str">
            <v/>
          </cell>
          <cell r="G9414" t="str">
            <v/>
          </cell>
          <cell r="J9414" t="str">
            <v/>
          </cell>
          <cell r="O9414" t="str">
            <v/>
          </cell>
          <cell r="P9414" t="str">
            <v/>
          </cell>
          <cell r="Q9414" t="str">
            <v/>
          </cell>
          <cell r="S9414" t="str">
            <v/>
          </cell>
          <cell r="V9414" t="str">
            <v/>
          </cell>
          <cell r="Z9414" t="str">
            <v/>
          </cell>
          <cell r="AA9414" t="str">
            <v/>
          </cell>
          <cell r="AB9414" t="str">
            <v/>
          </cell>
          <cell r="AC9414" t="str">
            <v/>
          </cell>
          <cell r="AD9414" t="str">
            <v/>
          </cell>
          <cell r="AY9414" t="str">
            <v/>
          </cell>
          <cell r="AZ9414" t="str">
            <v/>
          </cell>
          <cell r="BA9414" t="str">
            <v/>
          </cell>
        </row>
        <row r="9415">
          <cell r="B9415" t="str">
            <v>-</v>
          </cell>
          <cell r="E9415" t="str">
            <v/>
          </cell>
          <cell r="G9415" t="str">
            <v/>
          </cell>
          <cell r="J9415" t="str">
            <v/>
          </cell>
          <cell r="O9415" t="str">
            <v/>
          </cell>
          <cell r="P9415" t="str">
            <v/>
          </cell>
          <cell r="Q9415" t="str">
            <v/>
          </cell>
          <cell r="S9415" t="str">
            <v/>
          </cell>
          <cell r="V9415" t="str">
            <v/>
          </cell>
          <cell r="Z9415" t="str">
            <v/>
          </cell>
          <cell r="AA9415" t="str">
            <v/>
          </cell>
          <cell r="AB9415" t="str">
            <v/>
          </cell>
          <cell r="AC9415" t="str">
            <v/>
          </cell>
          <cell r="AD9415" t="str">
            <v/>
          </cell>
          <cell r="AY9415" t="str">
            <v/>
          </cell>
          <cell r="AZ9415" t="str">
            <v/>
          </cell>
          <cell r="BA9415" t="str">
            <v/>
          </cell>
        </row>
        <row r="9416">
          <cell r="B9416" t="str">
            <v>-</v>
          </cell>
          <cell r="E9416" t="str">
            <v/>
          </cell>
          <cell r="G9416" t="str">
            <v/>
          </cell>
          <cell r="J9416" t="str">
            <v/>
          </cell>
          <cell r="O9416" t="str">
            <v/>
          </cell>
          <cell r="P9416" t="str">
            <v/>
          </cell>
          <cell r="Q9416" t="str">
            <v/>
          </cell>
          <cell r="S9416" t="str">
            <v/>
          </cell>
          <cell r="V9416" t="str">
            <v/>
          </cell>
          <cell r="Z9416" t="str">
            <v/>
          </cell>
          <cell r="AA9416" t="str">
            <v/>
          </cell>
          <cell r="AB9416" t="str">
            <v/>
          </cell>
          <cell r="AC9416" t="str">
            <v/>
          </cell>
          <cell r="AD9416" t="str">
            <v/>
          </cell>
          <cell r="AY9416" t="str">
            <v/>
          </cell>
          <cell r="AZ9416" t="str">
            <v/>
          </cell>
          <cell r="BA9416" t="str">
            <v/>
          </cell>
        </row>
        <row r="9417">
          <cell r="B9417" t="str">
            <v>-</v>
          </cell>
          <cell r="E9417" t="str">
            <v/>
          </cell>
          <cell r="G9417" t="str">
            <v/>
          </cell>
          <cell r="J9417" t="str">
            <v/>
          </cell>
          <cell r="O9417" t="str">
            <v/>
          </cell>
          <cell r="P9417" t="str">
            <v/>
          </cell>
          <cell r="Q9417" t="str">
            <v/>
          </cell>
          <cell r="S9417" t="str">
            <v/>
          </cell>
          <cell r="V9417" t="str">
            <v/>
          </cell>
          <cell r="Z9417" t="str">
            <v/>
          </cell>
          <cell r="AA9417" t="str">
            <v/>
          </cell>
          <cell r="AB9417" t="str">
            <v/>
          </cell>
          <cell r="AC9417" t="str">
            <v/>
          </cell>
          <cell r="AD9417" t="str">
            <v/>
          </cell>
          <cell r="AY9417" t="str">
            <v/>
          </cell>
          <cell r="AZ9417" t="str">
            <v/>
          </cell>
          <cell r="BA9417" t="str">
            <v/>
          </cell>
        </row>
        <row r="9418">
          <cell r="B9418" t="str">
            <v>-</v>
          </cell>
          <cell r="E9418" t="str">
            <v/>
          </cell>
          <cell r="G9418" t="str">
            <v/>
          </cell>
          <cell r="J9418" t="str">
            <v/>
          </cell>
          <cell r="O9418" t="str">
            <v/>
          </cell>
          <cell r="P9418" t="str">
            <v/>
          </cell>
          <cell r="Q9418" t="str">
            <v/>
          </cell>
          <cell r="S9418" t="str">
            <v/>
          </cell>
          <cell r="V9418" t="str">
            <v/>
          </cell>
          <cell r="Z9418" t="str">
            <v/>
          </cell>
          <cell r="AA9418" t="str">
            <v/>
          </cell>
          <cell r="AB9418" t="str">
            <v/>
          </cell>
          <cell r="AC9418" t="str">
            <v/>
          </cell>
          <cell r="AD9418" t="str">
            <v/>
          </cell>
          <cell r="AY9418" t="str">
            <v/>
          </cell>
          <cell r="AZ9418" t="str">
            <v/>
          </cell>
          <cell r="BA9418" t="str">
            <v/>
          </cell>
        </row>
        <row r="9419">
          <cell r="B9419" t="str">
            <v>-</v>
          </cell>
          <cell r="E9419" t="str">
            <v/>
          </cell>
          <cell r="G9419" t="str">
            <v/>
          </cell>
          <cell r="J9419" t="str">
            <v/>
          </cell>
          <cell r="O9419" t="str">
            <v/>
          </cell>
          <cell r="P9419" t="str">
            <v/>
          </cell>
          <cell r="Q9419" t="str">
            <v/>
          </cell>
          <cell r="S9419" t="str">
            <v/>
          </cell>
          <cell r="V9419" t="str">
            <v/>
          </cell>
          <cell r="Z9419" t="str">
            <v/>
          </cell>
          <cell r="AA9419" t="str">
            <v/>
          </cell>
          <cell r="AB9419" t="str">
            <v/>
          </cell>
          <cell r="AC9419" t="str">
            <v/>
          </cell>
          <cell r="AD9419" t="str">
            <v/>
          </cell>
          <cell r="AY9419" t="str">
            <v/>
          </cell>
          <cell r="AZ9419" t="str">
            <v/>
          </cell>
          <cell r="BA9419" t="str">
            <v/>
          </cell>
        </row>
        <row r="9420">
          <cell r="B9420" t="str">
            <v>-</v>
          </cell>
          <cell r="E9420" t="str">
            <v/>
          </cell>
          <cell r="G9420" t="str">
            <v/>
          </cell>
          <cell r="J9420" t="str">
            <v/>
          </cell>
          <cell r="O9420" t="str">
            <v/>
          </cell>
          <cell r="P9420" t="str">
            <v/>
          </cell>
          <cell r="Q9420" t="str">
            <v/>
          </cell>
          <cell r="S9420" t="str">
            <v/>
          </cell>
          <cell r="V9420" t="str">
            <v/>
          </cell>
          <cell r="Z9420" t="str">
            <v/>
          </cell>
          <cell r="AA9420" t="str">
            <v/>
          </cell>
          <cell r="AB9420" t="str">
            <v/>
          </cell>
          <cell r="AC9420" t="str">
            <v/>
          </cell>
          <cell r="AD9420" t="str">
            <v/>
          </cell>
          <cell r="AY9420" t="str">
            <v/>
          </cell>
          <cell r="AZ9420" t="str">
            <v/>
          </cell>
          <cell r="BA9420" t="str">
            <v/>
          </cell>
        </row>
        <row r="9421">
          <cell r="B9421" t="str">
            <v>-</v>
          </cell>
          <cell r="E9421" t="str">
            <v/>
          </cell>
          <cell r="G9421" t="str">
            <v/>
          </cell>
          <cell r="J9421" t="str">
            <v/>
          </cell>
          <cell r="O9421" t="str">
            <v/>
          </cell>
          <cell r="P9421" t="str">
            <v/>
          </cell>
          <cell r="Q9421" t="str">
            <v/>
          </cell>
          <cell r="S9421" t="str">
            <v/>
          </cell>
          <cell r="V9421" t="str">
            <v/>
          </cell>
          <cell r="Z9421" t="str">
            <v/>
          </cell>
          <cell r="AA9421" t="str">
            <v/>
          </cell>
          <cell r="AB9421" t="str">
            <v/>
          </cell>
          <cell r="AC9421" t="str">
            <v/>
          </cell>
          <cell r="AD9421" t="str">
            <v/>
          </cell>
          <cell r="AY9421" t="str">
            <v/>
          </cell>
          <cell r="AZ9421" t="str">
            <v/>
          </cell>
          <cell r="BA9421" t="str">
            <v/>
          </cell>
        </row>
        <row r="9422">
          <cell r="B9422" t="str">
            <v>-</v>
          </cell>
          <cell r="E9422" t="str">
            <v/>
          </cell>
          <cell r="G9422" t="str">
            <v/>
          </cell>
          <cell r="J9422" t="str">
            <v/>
          </cell>
          <cell r="O9422" t="str">
            <v/>
          </cell>
          <cell r="P9422" t="str">
            <v/>
          </cell>
          <cell r="Q9422" t="str">
            <v/>
          </cell>
          <cell r="S9422" t="str">
            <v/>
          </cell>
          <cell r="V9422" t="str">
            <v/>
          </cell>
          <cell r="Z9422" t="str">
            <v/>
          </cell>
          <cell r="AA9422" t="str">
            <v/>
          </cell>
          <cell r="AB9422" t="str">
            <v/>
          </cell>
          <cell r="AC9422" t="str">
            <v/>
          </cell>
          <cell r="AD9422" t="str">
            <v/>
          </cell>
          <cell r="AY9422" t="str">
            <v/>
          </cell>
          <cell r="AZ9422" t="str">
            <v/>
          </cell>
          <cell r="BA9422" t="str">
            <v/>
          </cell>
        </row>
        <row r="9423">
          <cell r="B9423" t="str">
            <v>-</v>
          </cell>
          <cell r="E9423" t="str">
            <v/>
          </cell>
          <cell r="G9423" t="str">
            <v/>
          </cell>
          <cell r="J9423" t="str">
            <v/>
          </cell>
          <cell r="O9423" t="str">
            <v/>
          </cell>
          <cell r="P9423" t="str">
            <v/>
          </cell>
          <cell r="Q9423" t="str">
            <v/>
          </cell>
          <cell r="S9423" t="str">
            <v/>
          </cell>
          <cell r="V9423" t="str">
            <v/>
          </cell>
          <cell r="Z9423" t="str">
            <v/>
          </cell>
          <cell r="AA9423" t="str">
            <v/>
          </cell>
          <cell r="AB9423" t="str">
            <v/>
          </cell>
          <cell r="AC9423" t="str">
            <v/>
          </cell>
          <cell r="AD9423" t="str">
            <v/>
          </cell>
          <cell r="AY9423" t="str">
            <v/>
          </cell>
          <cell r="AZ9423" t="str">
            <v/>
          </cell>
          <cell r="BA9423" t="str">
            <v/>
          </cell>
        </row>
        <row r="9424">
          <cell r="B9424" t="str">
            <v>-</v>
          </cell>
          <cell r="E9424" t="str">
            <v/>
          </cell>
          <cell r="G9424" t="str">
            <v/>
          </cell>
          <cell r="J9424" t="str">
            <v/>
          </cell>
          <cell r="O9424" t="str">
            <v/>
          </cell>
          <cell r="P9424" t="str">
            <v/>
          </cell>
          <cell r="Q9424" t="str">
            <v/>
          </cell>
          <cell r="S9424" t="str">
            <v/>
          </cell>
          <cell r="V9424" t="str">
            <v/>
          </cell>
          <cell r="Z9424" t="str">
            <v/>
          </cell>
          <cell r="AA9424" t="str">
            <v/>
          </cell>
          <cell r="AB9424" t="str">
            <v/>
          </cell>
          <cell r="AC9424" t="str">
            <v/>
          </cell>
          <cell r="AD9424" t="str">
            <v/>
          </cell>
          <cell r="AY9424" t="str">
            <v/>
          </cell>
          <cell r="AZ9424" t="str">
            <v/>
          </cell>
          <cell r="BA9424" t="str">
            <v/>
          </cell>
        </row>
        <row r="9425">
          <cell r="B9425" t="str">
            <v>-</v>
          </cell>
          <cell r="E9425" t="str">
            <v/>
          </cell>
          <cell r="G9425" t="str">
            <v/>
          </cell>
          <cell r="J9425" t="str">
            <v/>
          </cell>
          <cell r="O9425" t="str">
            <v/>
          </cell>
          <cell r="P9425" t="str">
            <v/>
          </cell>
          <cell r="Q9425" t="str">
            <v/>
          </cell>
          <cell r="S9425" t="str">
            <v/>
          </cell>
          <cell r="V9425" t="str">
            <v/>
          </cell>
          <cell r="Z9425" t="str">
            <v/>
          </cell>
          <cell r="AA9425" t="str">
            <v/>
          </cell>
          <cell r="AB9425" t="str">
            <v/>
          </cell>
          <cell r="AC9425" t="str">
            <v/>
          </cell>
          <cell r="AD9425" t="str">
            <v/>
          </cell>
          <cell r="AY9425" t="str">
            <v/>
          </cell>
          <cell r="AZ9425" t="str">
            <v/>
          </cell>
          <cell r="BA9425" t="str">
            <v/>
          </cell>
        </row>
        <row r="9426">
          <cell r="B9426" t="str">
            <v>-</v>
          </cell>
          <cell r="E9426" t="str">
            <v/>
          </cell>
          <cell r="G9426" t="str">
            <v/>
          </cell>
          <cell r="J9426" t="str">
            <v/>
          </cell>
          <cell r="O9426" t="str">
            <v/>
          </cell>
          <cell r="P9426" t="str">
            <v/>
          </cell>
          <cell r="Q9426" t="str">
            <v/>
          </cell>
          <cell r="S9426" t="str">
            <v/>
          </cell>
          <cell r="V9426" t="str">
            <v/>
          </cell>
          <cell r="Z9426" t="str">
            <v/>
          </cell>
          <cell r="AA9426" t="str">
            <v/>
          </cell>
          <cell r="AB9426" t="str">
            <v/>
          </cell>
          <cell r="AC9426" t="str">
            <v/>
          </cell>
          <cell r="AD9426" t="str">
            <v/>
          </cell>
          <cell r="AY9426" t="str">
            <v/>
          </cell>
          <cell r="AZ9426" t="str">
            <v/>
          </cell>
          <cell r="BA9426" t="str">
            <v/>
          </cell>
        </row>
        <row r="9427">
          <cell r="B9427" t="str">
            <v>-</v>
          </cell>
          <cell r="E9427" t="str">
            <v/>
          </cell>
          <cell r="G9427" t="str">
            <v/>
          </cell>
          <cell r="J9427" t="str">
            <v/>
          </cell>
          <cell r="O9427" t="str">
            <v/>
          </cell>
          <cell r="P9427" t="str">
            <v/>
          </cell>
          <cell r="Q9427" t="str">
            <v/>
          </cell>
          <cell r="S9427" t="str">
            <v/>
          </cell>
          <cell r="V9427" t="str">
            <v/>
          </cell>
          <cell r="Z9427" t="str">
            <v/>
          </cell>
          <cell r="AA9427" t="str">
            <v/>
          </cell>
          <cell r="AB9427" t="str">
            <v/>
          </cell>
          <cell r="AC9427" t="str">
            <v/>
          </cell>
          <cell r="AD9427" t="str">
            <v/>
          </cell>
          <cell r="AY9427" t="str">
            <v/>
          </cell>
          <cell r="AZ9427" t="str">
            <v/>
          </cell>
          <cell r="BA9427" t="str">
            <v/>
          </cell>
        </row>
        <row r="9428">
          <cell r="B9428" t="str">
            <v>-</v>
          </cell>
          <cell r="E9428" t="str">
            <v/>
          </cell>
          <cell r="G9428" t="str">
            <v/>
          </cell>
          <cell r="J9428" t="str">
            <v/>
          </cell>
          <cell r="O9428" t="str">
            <v/>
          </cell>
          <cell r="P9428" t="str">
            <v/>
          </cell>
          <cell r="Q9428" t="str">
            <v/>
          </cell>
          <cell r="S9428" t="str">
            <v/>
          </cell>
          <cell r="V9428" t="str">
            <v/>
          </cell>
          <cell r="Z9428" t="str">
            <v/>
          </cell>
          <cell r="AA9428" t="str">
            <v/>
          </cell>
          <cell r="AB9428" t="str">
            <v/>
          </cell>
          <cell r="AC9428" t="str">
            <v/>
          </cell>
          <cell r="AD9428" t="str">
            <v/>
          </cell>
          <cell r="AY9428" t="str">
            <v/>
          </cell>
          <cell r="AZ9428" t="str">
            <v/>
          </cell>
          <cell r="BA9428" t="str">
            <v/>
          </cell>
        </row>
        <row r="9429">
          <cell r="B9429" t="str">
            <v>-</v>
          </cell>
          <cell r="E9429" t="str">
            <v/>
          </cell>
          <cell r="G9429" t="str">
            <v/>
          </cell>
          <cell r="J9429" t="str">
            <v/>
          </cell>
          <cell r="O9429" t="str">
            <v/>
          </cell>
          <cell r="P9429" t="str">
            <v/>
          </cell>
          <cell r="Q9429" t="str">
            <v/>
          </cell>
          <cell r="S9429" t="str">
            <v/>
          </cell>
          <cell r="V9429" t="str">
            <v/>
          </cell>
          <cell r="Z9429" t="str">
            <v/>
          </cell>
          <cell r="AA9429" t="str">
            <v/>
          </cell>
          <cell r="AB9429" t="str">
            <v/>
          </cell>
          <cell r="AC9429" t="str">
            <v/>
          </cell>
          <cell r="AD9429" t="str">
            <v/>
          </cell>
          <cell r="AY9429" t="str">
            <v/>
          </cell>
          <cell r="AZ9429" t="str">
            <v/>
          </cell>
          <cell r="BA9429" t="str">
            <v/>
          </cell>
        </row>
        <row r="9430">
          <cell r="B9430" t="str">
            <v>-</v>
          </cell>
          <cell r="E9430" t="str">
            <v/>
          </cell>
          <cell r="G9430" t="str">
            <v/>
          </cell>
          <cell r="J9430" t="str">
            <v/>
          </cell>
          <cell r="O9430" t="str">
            <v/>
          </cell>
          <cell r="P9430" t="str">
            <v/>
          </cell>
          <cell r="Q9430" t="str">
            <v/>
          </cell>
          <cell r="S9430" t="str">
            <v/>
          </cell>
          <cell r="V9430" t="str">
            <v/>
          </cell>
          <cell r="Z9430" t="str">
            <v/>
          </cell>
          <cell r="AA9430" t="str">
            <v/>
          </cell>
          <cell r="AB9430" t="str">
            <v/>
          </cell>
          <cell r="AC9430" t="str">
            <v/>
          </cell>
          <cell r="AD9430" t="str">
            <v/>
          </cell>
          <cell r="AY9430" t="str">
            <v/>
          </cell>
          <cell r="AZ9430" t="str">
            <v/>
          </cell>
          <cell r="BA9430" t="str">
            <v/>
          </cell>
        </row>
        <row r="9431">
          <cell r="B9431" t="str">
            <v>-</v>
          </cell>
          <cell r="E9431" t="str">
            <v/>
          </cell>
          <cell r="G9431" t="str">
            <v/>
          </cell>
          <cell r="J9431" t="str">
            <v/>
          </cell>
          <cell r="O9431" t="str">
            <v/>
          </cell>
          <cell r="P9431" t="str">
            <v/>
          </cell>
          <cell r="Q9431" t="str">
            <v/>
          </cell>
          <cell r="S9431" t="str">
            <v/>
          </cell>
          <cell r="V9431" t="str">
            <v/>
          </cell>
          <cell r="Z9431" t="str">
            <v/>
          </cell>
          <cell r="AA9431" t="str">
            <v/>
          </cell>
          <cell r="AB9431" t="str">
            <v/>
          </cell>
          <cell r="AC9431" t="str">
            <v/>
          </cell>
          <cell r="AD9431" t="str">
            <v/>
          </cell>
          <cell r="AY9431" t="str">
            <v/>
          </cell>
          <cell r="AZ9431" t="str">
            <v/>
          </cell>
          <cell r="BA9431" t="str">
            <v/>
          </cell>
        </row>
        <row r="9432">
          <cell r="B9432" t="str">
            <v>-</v>
          </cell>
          <cell r="E9432" t="str">
            <v/>
          </cell>
          <cell r="G9432" t="str">
            <v/>
          </cell>
          <cell r="J9432" t="str">
            <v/>
          </cell>
          <cell r="O9432" t="str">
            <v/>
          </cell>
          <cell r="P9432" t="str">
            <v/>
          </cell>
          <cell r="Q9432" t="str">
            <v/>
          </cell>
          <cell r="S9432" t="str">
            <v/>
          </cell>
          <cell r="V9432" t="str">
            <v/>
          </cell>
          <cell r="Z9432" t="str">
            <v/>
          </cell>
          <cell r="AA9432" t="str">
            <v/>
          </cell>
          <cell r="AB9432" t="str">
            <v/>
          </cell>
          <cell r="AC9432" t="str">
            <v/>
          </cell>
          <cell r="AD9432" t="str">
            <v/>
          </cell>
          <cell r="AY9432" t="str">
            <v/>
          </cell>
          <cell r="AZ9432" t="str">
            <v/>
          </cell>
          <cell r="BA9432" t="str">
            <v/>
          </cell>
        </row>
        <row r="9433">
          <cell r="B9433" t="str">
            <v>-</v>
          </cell>
          <cell r="E9433" t="str">
            <v/>
          </cell>
          <cell r="G9433" t="str">
            <v/>
          </cell>
          <cell r="J9433" t="str">
            <v/>
          </cell>
          <cell r="O9433" t="str">
            <v/>
          </cell>
          <cell r="P9433" t="str">
            <v/>
          </cell>
          <cell r="Q9433" t="str">
            <v/>
          </cell>
          <cell r="S9433" t="str">
            <v/>
          </cell>
          <cell r="V9433" t="str">
            <v/>
          </cell>
          <cell r="Z9433" t="str">
            <v/>
          </cell>
          <cell r="AA9433" t="str">
            <v/>
          </cell>
          <cell r="AB9433" t="str">
            <v/>
          </cell>
          <cell r="AC9433" t="str">
            <v/>
          </cell>
          <cell r="AD9433" t="str">
            <v/>
          </cell>
          <cell r="AY9433" t="str">
            <v/>
          </cell>
          <cell r="AZ9433" t="str">
            <v/>
          </cell>
          <cell r="BA9433" t="str">
            <v/>
          </cell>
        </row>
        <row r="9434">
          <cell r="B9434" t="str">
            <v>-</v>
          </cell>
          <cell r="E9434" t="str">
            <v/>
          </cell>
          <cell r="G9434" t="str">
            <v/>
          </cell>
          <cell r="J9434" t="str">
            <v/>
          </cell>
          <cell r="O9434" t="str">
            <v/>
          </cell>
          <cell r="P9434" t="str">
            <v/>
          </cell>
          <cell r="Q9434" t="str">
            <v/>
          </cell>
          <cell r="S9434" t="str">
            <v/>
          </cell>
          <cell r="V9434" t="str">
            <v/>
          </cell>
          <cell r="Z9434" t="str">
            <v/>
          </cell>
          <cell r="AA9434" t="str">
            <v/>
          </cell>
          <cell r="AB9434" t="str">
            <v/>
          </cell>
          <cell r="AC9434" t="str">
            <v/>
          </cell>
          <cell r="AD9434" t="str">
            <v/>
          </cell>
          <cell r="AY9434" t="str">
            <v/>
          </cell>
          <cell r="AZ9434" t="str">
            <v/>
          </cell>
          <cell r="BA9434" t="str">
            <v/>
          </cell>
        </row>
        <row r="9435">
          <cell r="B9435" t="str">
            <v>-</v>
          </cell>
          <cell r="E9435" t="str">
            <v/>
          </cell>
          <cell r="G9435" t="str">
            <v/>
          </cell>
          <cell r="J9435" t="str">
            <v/>
          </cell>
          <cell r="O9435" t="str">
            <v/>
          </cell>
          <cell r="P9435" t="str">
            <v/>
          </cell>
          <cell r="Q9435" t="str">
            <v/>
          </cell>
          <cell r="S9435" t="str">
            <v/>
          </cell>
          <cell r="V9435" t="str">
            <v/>
          </cell>
          <cell r="Z9435" t="str">
            <v/>
          </cell>
          <cell r="AA9435" t="str">
            <v/>
          </cell>
          <cell r="AB9435" t="str">
            <v/>
          </cell>
          <cell r="AC9435" t="str">
            <v/>
          </cell>
          <cell r="AD9435" t="str">
            <v/>
          </cell>
          <cell r="AY9435" t="str">
            <v/>
          </cell>
          <cell r="AZ9435" t="str">
            <v/>
          </cell>
          <cell r="BA9435" t="str">
            <v/>
          </cell>
        </row>
        <row r="9436">
          <cell r="B9436" t="str">
            <v>-</v>
          </cell>
          <cell r="E9436" t="str">
            <v/>
          </cell>
          <cell r="G9436" t="str">
            <v/>
          </cell>
          <cell r="J9436" t="str">
            <v/>
          </cell>
          <cell r="O9436" t="str">
            <v/>
          </cell>
          <cell r="P9436" t="str">
            <v/>
          </cell>
          <cell r="Q9436" t="str">
            <v/>
          </cell>
          <cell r="S9436" t="str">
            <v/>
          </cell>
          <cell r="V9436" t="str">
            <v/>
          </cell>
          <cell r="Z9436" t="str">
            <v/>
          </cell>
          <cell r="AA9436" t="str">
            <v/>
          </cell>
          <cell r="AB9436" t="str">
            <v/>
          </cell>
          <cell r="AC9436" t="str">
            <v/>
          </cell>
          <cell r="AD9436" t="str">
            <v/>
          </cell>
          <cell r="AY9436" t="str">
            <v/>
          </cell>
          <cell r="AZ9436" t="str">
            <v/>
          </cell>
          <cell r="BA9436" t="str">
            <v/>
          </cell>
        </row>
        <row r="9437">
          <cell r="B9437" t="str">
            <v>-</v>
          </cell>
          <cell r="E9437" t="str">
            <v/>
          </cell>
          <cell r="G9437" t="str">
            <v/>
          </cell>
          <cell r="J9437" t="str">
            <v/>
          </cell>
          <cell r="O9437" t="str">
            <v/>
          </cell>
          <cell r="P9437" t="str">
            <v/>
          </cell>
          <cell r="Q9437" t="str">
            <v/>
          </cell>
          <cell r="S9437" t="str">
            <v/>
          </cell>
          <cell r="V9437" t="str">
            <v/>
          </cell>
          <cell r="Z9437" t="str">
            <v/>
          </cell>
          <cell r="AA9437" t="str">
            <v/>
          </cell>
          <cell r="AB9437" t="str">
            <v/>
          </cell>
          <cell r="AC9437" t="str">
            <v/>
          </cell>
          <cell r="AD9437" t="str">
            <v/>
          </cell>
          <cell r="AY9437" t="str">
            <v/>
          </cell>
          <cell r="AZ9437" t="str">
            <v/>
          </cell>
          <cell r="BA9437" t="str">
            <v/>
          </cell>
        </row>
        <row r="9438">
          <cell r="B9438" t="str">
            <v>-</v>
          </cell>
          <cell r="E9438" t="str">
            <v/>
          </cell>
          <cell r="G9438" t="str">
            <v/>
          </cell>
          <cell r="J9438" t="str">
            <v/>
          </cell>
          <cell r="O9438" t="str">
            <v/>
          </cell>
          <cell r="P9438" t="str">
            <v/>
          </cell>
          <cell r="Q9438" t="str">
            <v/>
          </cell>
          <cell r="S9438" t="str">
            <v/>
          </cell>
          <cell r="V9438" t="str">
            <v/>
          </cell>
          <cell r="Z9438" t="str">
            <v/>
          </cell>
          <cell r="AA9438" t="str">
            <v/>
          </cell>
          <cell r="AB9438" t="str">
            <v/>
          </cell>
          <cell r="AC9438" t="str">
            <v/>
          </cell>
          <cell r="AD9438" t="str">
            <v/>
          </cell>
          <cell r="AY9438" t="str">
            <v/>
          </cell>
          <cell r="AZ9438" t="str">
            <v/>
          </cell>
          <cell r="BA9438" t="str">
            <v/>
          </cell>
        </row>
        <row r="9439">
          <cell r="B9439" t="str">
            <v>-</v>
          </cell>
          <cell r="E9439" t="str">
            <v/>
          </cell>
          <cell r="G9439" t="str">
            <v/>
          </cell>
          <cell r="J9439" t="str">
            <v/>
          </cell>
          <cell r="O9439" t="str">
            <v/>
          </cell>
          <cell r="P9439" t="str">
            <v/>
          </cell>
          <cell r="Q9439" t="str">
            <v/>
          </cell>
          <cell r="S9439" t="str">
            <v/>
          </cell>
          <cell r="V9439" t="str">
            <v/>
          </cell>
          <cell r="Z9439" t="str">
            <v/>
          </cell>
          <cell r="AA9439" t="str">
            <v/>
          </cell>
          <cell r="AB9439" t="str">
            <v/>
          </cell>
          <cell r="AC9439" t="str">
            <v/>
          </cell>
          <cell r="AD9439" t="str">
            <v/>
          </cell>
          <cell r="AY9439" t="str">
            <v/>
          </cell>
          <cell r="AZ9439" t="str">
            <v/>
          </cell>
          <cell r="BA9439" t="str">
            <v/>
          </cell>
        </row>
        <row r="9440">
          <cell r="B9440" t="str">
            <v>-</v>
          </cell>
          <cell r="E9440" t="str">
            <v/>
          </cell>
          <cell r="G9440" t="str">
            <v/>
          </cell>
          <cell r="J9440" t="str">
            <v/>
          </cell>
          <cell r="O9440" t="str">
            <v/>
          </cell>
          <cell r="P9440" t="str">
            <v/>
          </cell>
          <cell r="Q9440" t="str">
            <v/>
          </cell>
          <cell r="S9440" t="str">
            <v/>
          </cell>
          <cell r="V9440" t="str">
            <v/>
          </cell>
          <cell r="Z9440" t="str">
            <v/>
          </cell>
          <cell r="AA9440" t="str">
            <v/>
          </cell>
          <cell r="AB9440" t="str">
            <v/>
          </cell>
          <cell r="AC9440" t="str">
            <v/>
          </cell>
          <cell r="AD9440" t="str">
            <v/>
          </cell>
          <cell r="AY9440" t="str">
            <v/>
          </cell>
          <cell r="AZ9440" t="str">
            <v/>
          </cell>
          <cell r="BA9440" t="str">
            <v/>
          </cell>
        </row>
        <row r="9441">
          <cell r="B9441" t="str">
            <v>-</v>
          </cell>
          <cell r="E9441" t="str">
            <v/>
          </cell>
          <cell r="G9441" t="str">
            <v/>
          </cell>
          <cell r="J9441" t="str">
            <v/>
          </cell>
          <cell r="O9441" t="str">
            <v/>
          </cell>
          <cell r="P9441" t="str">
            <v/>
          </cell>
          <cell r="Q9441" t="str">
            <v/>
          </cell>
          <cell r="S9441" t="str">
            <v/>
          </cell>
          <cell r="V9441" t="str">
            <v/>
          </cell>
          <cell r="Z9441" t="str">
            <v/>
          </cell>
          <cell r="AA9441" t="str">
            <v/>
          </cell>
          <cell r="AB9441" t="str">
            <v/>
          </cell>
          <cell r="AC9441" t="str">
            <v/>
          </cell>
          <cell r="AD9441" t="str">
            <v/>
          </cell>
          <cell r="AY9441" t="str">
            <v/>
          </cell>
          <cell r="AZ9441" t="str">
            <v/>
          </cell>
          <cell r="BA9441" t="str">
            <v/>
          </cell>
        </row>
        <row r="9442">
          <cell r="B9442" t="str">
            <v>-</v>
          </cell>
          <cell r="E9442" t="str">
            <v/>
          </cell>
          <cell r="G9442" t="str">
            <v/>
          </cell>
          <cell r="J9442" t="str">
            <v/>
          </cell>
          <cell r="O9442" t="str">
            <v/>
          </cell>
          <cell r="P9442" t="str">
            <v/>
          </cell>
          <cell r="Q9442" t="str">
            <v/>
          </cell>
          <cell r="S9442" t="str">
            <v/>
          </cell>
          <cell r="V9442" t="str">
            <v/>
          </cell>
          <cell r="Z9442" t="str">
            <v/>
          </cell>
          <cell r="AA9442" t="str">
            <v/>
          </cell>
          <cell r="AB9442" t="str">
            <v/>
          </cell>
          <cell r="AC9442" t="str">
            <v/>
          </cell>
          <cell r="AD9442" t="str">
            <v/>
          </cell>
          <cell r="AY9442" t="str">
            <v/>
          </cell>
          <cell r="AZ9442" t="str">
            <v/>
          </cell>
          <cell r="BA9442" t="str">
            <v/>
          </cell>
        </row>
        <row r="9443">
          <cell r="B9443" t="str">
            <v>-</v>
          </cell>
          <cell r="E9443" t="str">
            <v/>
          </cell>
          <cell r="G9443" t="str">
            <v/>
          </cell>
          <cell r="J9443" t="str">
            <v/>
          </cell>
          <cell r="O9443" t="str">
            <v/>
          </cell>
          <cell r="P9443" t="str">
            <v/>
          </cell>
          <cell r="Q9443" t="str">
            <v/>
          </cell>
          <cell r="S9443" t="str">
            <v/>
          </cell>
          <cell r="V9443" t="str">
            <v/>
          </cell>
          <cell r="Z9443" t="str">
            <v/>
          </cell>
          <cell r="AA9443" t="str">
            <v/>
          </cell>
          <cell r="AB9443" t="str">
            <v/>
          </cell>
          <cell r="AC9443" t="str">
            <v/>
          </cell>
          <cell r="AD9443" t="str">
            <v/>
          </cell>
          <cell r="AY9443" t="str">
            <v/>
          </cell>
          <cell r="AZ9443" t="str">
            <v/>
          </cell>
          <cell r="BA9443" t="str">
            <v/>
          </cell>
        </row>
        <row r="9444">
          <cell r="B9444" t="str">
            <v>-</v>
          </cell>
          <cell r="E9444" t="str">
            <v/>
          </cell>
          <cell r="G9444" t="str">
            <v/>
          </cell>
          <cell r="J9444" t="str">
            <v/>
          </cell>
          <cell r="O9444" t="str">
            <v/>
          </cell>
          <cell r="P9444" t="str">
            <v/>
          </cell>
          <cell r="Q9444" t="str">
            <v/>
          </cell>
          <cell r="S9444" t="str">
            <v/>
          </cell>
          <cell r="V9444" t="str">
            <v/>
          </cell>
          <cell r="Z9444" t="str">
            <v/>
          </cell>
          <cell r="AA9444" t="str">
            <v/>
          </cell>
          <cell r="AB9444" t="str">
            <v/>
          </cell>
          <cell r="AC9444" t="str">
            <v/>
          </cell>
          <cell r="AD9444" t="str">
            <v/>
          </cell>
          <cell r="AY9444" t="str">
            <v/>
          </cell>
          <cell r="AZ9444" t="str">
            <v/>
          </cell>
          <cell r="BA9444" t="str">
            <v/>
          </cell>
        </row>
        <row r="9445">
          <cell r="B9445" t="str">
            <v>-</v>
          </cell>
          <cell r="E9445" t="str">
            <v/>
          </cell>
          <cell r="G9445" t="str">
            <v/>
          </cell>
          <cell r="J9445" t="str">
            <v/>
          </cell>
          <cell r="O9445" t="str">
            <v/>
          </cell>
          <cell r="P9445" t="str">
            <v/>
          </cell>
          <cell r="Q9445" t="str">
            <v/>
          </cell>
          <cell r="S9445" t="str">
            <v/>
          </cell>
          <cell r="V9445" t="str">
            <v/>
          </cell>
          <cell r="Z9445" t="str">
            <v/>
          </cell>
          <cell r="AA9445" t="str">
            <v/>
          </cell>
          <cell r="AB9445" t="str">
            <v/>
          </cell>
          <cell r="AC9445" t="str">
            <v/>
          </cell>
          <cell r="AD9445" t="str">
            <v/>
          </cell>
          <cell r="AY9445" t="str">
            <v/>
          </cell>
          <cell r="AZ9445" t="str">
            <v/>
          </cell>
          <cell r="BA9445" t="str">
            <v/>
          </cell>
        </row>
        <row r="9446">
          <cell r="B9446" t="str">
            <v>-</v>
          </cell>
          <cell r="E9446" t="str">
            <v/>
          </cell>
          <cell r="G9446" t="str">
            <v/>
          </cell>
          <cell r="J9446" t="str">
            <v/>
          </cell>
          <cell r="O9446" t="str">
            <v/>
          </cell>
          <cell r="P9446" t="str">
            <v/>
          </cell>
          <cell r="Q9446" t="str">
            <v/>
          </cell>
          <cell r="S9446" t="str">
            <v/>
          </cell>
          <cell r="V9446" t="str">
            <v/>
          </cell>
          <cell r="Z9446" t="str">
            <v/>
          </cell>
          <cell r="AA9446" t="str">
            <v/>
          </cell>
          <cell r="AB9446" t="str">
            <v/>
          </cell>
          <cell r="AC9446" t="str">
            <v/>
          </cell>
          <cell r="AD9446" t="str">
            <v/>
          </cell>
          <cell r="AY9446" t="str">
            <v/>
          </cell>
          <cell r="AZ9446" t="str">
            <v/>
          </cell>
          <cell r="BA9446" t="str">
            <v/>
          </cell>
        </row>
        <row r="9447">
          <cell r="B9447" t="str">
            <v>-</v>
          </cell>
          <cell r="E9447" t="str">
            <v/>
          </cell>
          <cell r="G9447" t="str">
            <v/>
          </cell>
          <cell r="J9447" t="str">
            <v/>
          </cell>
          <cell r="O9447" t="str">
            <v/>
          </cell>
          <cell r="P9447" t="str">
            <v/>
          </cell>
          <cell r="Q9447" t="str">
            <v/>
          </cell>
          <cell r="S9447" t="str">
            <v/>
          </cell>
          <cell r="V9447" t="str">
            <v/>
          </cell>
          <cell r="Z9447" t="str">
            <v/>
          </cell>
          <cell r="AA9447" t="str">
            <v/>
          </cell>
          <cell r="AB9447" t="str">
            <v/>
          </cell>
          <cell r="AC9447" t="str">
            <v/>
          </cell>
          <cell r="AD9447" t="str">
            <v/>
          </cell>
          <cell r="AY9447" t="str">
            <v/>
          </cell>
          <cell r="AZ9447" t="str">
            <v/>
          </cell>
          <cell r="BA9447" t="str">
            <v/>
          </cell>
        </row>
        <row r="9448">
          <cell r="B9448" t="str">
            <v>-</v>
          </cell>
          <cell r="E9448" t="str">
            <v/>
          </cell>
          <cell r="G9448" t="str">
            <v/>
          </cell>
          <cell r="J9448" t="str">
            <v/>
          </cell>
          <cell r="O9448" t="str">
            <v/>
          </cell>
          <cell r="P9448" t="str">
            <v/>
          </cell>
          <cell r="Q9448" t="str">
            <v/>
          </cell>
          <cell r="S9448" t="str">
            <v/>
          </cell>
          <cell r="V9448" t="str">
            <v/>
          </cell>
          <cell r="Z9448" t="str">
            <v/>
          </cell>
          <cell r="AA9448" t="str">
            <v/>
          </cell>
          <cell r="AB9448" t="str">
            <v/>
          </cell>
          <cell r="AC9448" t="str">
            <v/>
          </cell>
          <cell r="AD9448" t="str">
            <v/>
          </cell>
          <cell r="AY9448" t="str">
            <v/>
          </cell>
          <cell r="AZ9448" t="str">
            <v/>
          </cell>
          <cell r="BA9448" t="str">
            <v/>
          </cell>
        </row>
        <row r="9449">
          <cell r="B9449" t="str">
            <v>-</v>
          </cell>
          <cell r="E9449" t="str">
            <v/>
          </cell>
          <cell r="G9449" t="str">
            <v/>
          </cell>
          <cell r="J9449" t="str">
            <v/>
          </cell>
          <cell r="O9449" t="str">
            <v/>
          </cell>
          <cell r="P9449" t="str">
            <v/>
          </cell>
          <cell r="Q9449" t="str">
            <v/>
          </cell>
          <cell r="S9449" t="str">
            <v/>
          </cell>
          <cell r="V9449" t="str">
            <v/>
          </cell>
          <cell r="Z9449" t="str">
            <v/>
          </cell>
          <cell r="AA9449" t="str">
            <v/>
          </cell>
          <cell r="AB9449" t="str">
            <v/>
          </cell>
          <cell r="AC9449" t="str">
            <v/>
          </cell>
          <cell r="AD9449" t="str">
            <v/>
          </cell>
          <cell r="AY9449" t="str">
            <v/>
          </cell>
          <cell r="AZ9449" t="str">
            <v/>
          </cell>
          <cell r="BA9449" t="str">
            <v/>
          </cell>
        </row>
        <row r="9450">
          <cell r="B9450" t="str">
            <v>-</v>
          </cell>
          <cell r="E9450" t="str">
            <v/>
          </cell>
          <cell r="G9450" t="str">
            <v/>
          </cell>
          <cell r="J9450" t="str">
            <v/>
          </cell>
          <cell r="O9450" t="str">
            <v/>
          </cell>
          <cell r="P9450" t="str">
            <v/>
          </cell>
          <cell r="Q9450" t="str">
            <v/>
          </cell>
          <cell r="S9450" t="str">
            <v/>
          </cell>
          <cell r="V9450" t="str">
            <v/>
          </cell>
          <cell r="Z9450" t="str">
            <v/>
          </cell>
          <cell r="AA9450" t="str">
            <v/>
          </cell>
          <cell r="AB9450" t="str">
            <v/>
          </cell>
          <cell r="AC9450" t="str">
            <v/>
          </cell>
          <cell r="AD9450" t="str">
            <v/>
          </cell>
          <cell r="AY9450" t="str">
            <v/>
          </cell>
          <cell r="AZ9450" t="str">
            <v/>
          </cell>
          <cell r="BA9450" t="str">
            <v/>
          </cell>
        </row>
        <row r="9451">
          <cell r="B9451" t="str">
            <v>-</v>
          </cell>
          <cell r="E9451" t="str">
            <v/>
          </cell>
          <cell r="G9451" t="str">
            <v/>
          </cell>
          <cell r="J9451" t="str">
            <v/>
          </cell>
          <cell r="O9451" t="str">
            <v/>
          </cell>
          <cell r="P9451" t="str">
            <v/>
          </cell>
          <cell r="Q9451" t="str">
            <v/>
          </cell>
          <cell r="S9451" t="str">
            <v/>
          </cell>
          <cell r="V9451" t="str">
            <v/>
          </cell>
          <cell r="Z9451" t="str">
            <v/>
          </cell>
          <cell r="AA9451" t="str">
            <v/>
          </cell>
          <cell r="AB9451" t="str">
            <v/>
          </cell>
          <cell r="AC9451" t="str">
            <v/>
          </cell>
          <cell r="AD9451" t="str">
            <v/>
          </cell>
          <cell r="AY9451" t="str">
            <v/>
          </cell>
          <cell r="AZ9451" t="str">
            <v/>
          </cell>
          <cell r="BA9451" t="str">
            <v/>
          </cell>
        </row>
        <row r="9452">
          <cell r="B9452" t="str">
            <v>-</v>
          </cell>
          <cell r="E9452" t="str">
            <v/>
          </cell>
          <cell r="G9452" t="str">
            <v/>
          </cell>
          <cell r="J9452" t="str">
            <v/>
          </cell>
          <cell r="O9452" t="str">
            <v/>
          </cell>
          <cell r="P9452" t="str">
            <v/>
          </cell>
          <cell r="Q9452" t="str">
            <v/>
          </cell>
          <cell r="S9452" t="str">
            <v/>
          </cell>
          <cell r="V9452" t="str">
            <v/>
          </cell>
          <cell r="Z9452" t="str">
            <v/>
          </cell>
          <cell r="AA9452" t="str">
            <v/>
          </cell>
          <cell r="AB9452" t="str">
            <v/>
          </cell>
          <cell r="AC9452" t="str">
            <v/>
          </cell>
          <cell r="AD9452" t="str">
            <v/>
          </cell>
          <cell r="AY9452" t="str">
            <v/>
          </cell>
          <cell r="AZ9452" t="str">
            <v/>
          </cell>
          <cell r="BA9452" t="str">
            <v/>
          </cell>
        </row>
        <row r="9453">
          <cell r="B9453" t="str">
            <v>-</v>
          </cell>
          <cell r="E9453" t="str">
            <v/>
          </cell>
          <cell r="G9453" t="str">
            <v/>
          </cell>
          <cell r="J9453" t="str">
            <v/>
          </cell>
          <cell r="O9453" t="str">
            <v/>
          </cell>
          <cell r="P9453" t="str">
            <v/>
          </cell>
          <cell r="Q9453" t="str">
            <v/>
          </cell>
          <cell r="S9453" t="str">
            <v/>
          </cell>
          <cell r="V9453" t="str">
            <v/>
          </cell>
          <cell r="Z9453" t="str">
            <v/>
          </cell>
          <cell r="AA9453" t="str">
            <v/>
          </cell>
          <cell r="AB9453" t="str">
            <v/>
          </cell>
          <cell r="AC9453" t="str">
            <v/>
          </cell>
          <cell r="AD9453" t="str">
            <v/>
          </cell>
          <cell r="AY9453" t="str">
            <v/>
          </cell>
          <cell r="AZ9453" t="str">
            <v/>
          </cell>
          <cell r="BA9453" t="str">
            <v/>
          </cell>
        </row>
        <row r="9454">
          <cell r="B9454" t="str">
            <v>-</v>
          </cell>
          <cell r="E9454" t="str">
            <v/>
          </cell>
          <cell r="G9454" t="str">
            <v/>
          </cell>
          <cell r="J9454" t="str">
            <v/>
          </cell>
          <cell r="O9454" t="str">
            <v/>
          </cell>
          <cell r="P9454" t="str">
            <v/>
          </cell>
          <cell r="Q9454" t="str">
            <v/>
          </cell>
          <cell r="S9454" t="str">
            <v/>
          </cell>
          <cell r="V9454" t="str">
            <v/>
          </cell>
          <cell r="Z9454" t="str">
            <v/>
          </cell>
          <cell r="AA9454" t="str">
            <v/>
          </cell>
          <cell r="AB9454" t="str">
            <v/>
          </cell>
          <cell r="AC9454" t="str">
            <v/>
          </cell>
          <cell r="AD9454" t="str">
            <v/>
          </cell>
          <cell r="AY9454" t="str">
            <v/>
          </cell>
          <cell r="AZ9454" t="str">
            <v/>
          </cell>
          <cell r="BA9454" t="str">
            <v/>
          </cell>
        </row>
        <row r="9455">
          <cell r="B9455" t="str">
            <v>-</v>
          </cell>
          <cell r="E9455" t="str">
            <v/>
          </cell>
          <cell r="G9455" t="str">
            <v/>
          </cell>
          <cell r="J9455" t="str">
            <v/>
          </cell>
          <cell r="O9455" t="str">
            <v/>
          </cell>
          <cell r="P9455" t="str">
            <v/>
          </cell>
          <cell r="Q9455" t="str">
            <v/>
          </cell>
          <cell r="S9455" t="str">
            <v/>
          </cell>
          <cell r="V9455" t="str">
            <v/>
          </cell>
          <cell r="Z9455" t="str">
            <v/>
          </cell>
          <cell r="AA9455" t="str">
            <v/>
          </cell>
          <cell r="AB9455" t="str">
            <v/>
          </cell>
          <cell r="AC9455" t="str">
            <v/>
          </cell>
          <cell r="AD9455" t="str">
            <v/>
          </cell>
          <cell r="AY9455" t="str">
            <v/>
          </cell>
          <cell r="AZ9455" t="str">
            <v/>
          </cell>
          <cell r="BA9455" t="str">
            <v/>
          </cell>
        </row>
        <row r="9456">
          <cell r="B9456" t="str">
            <v>-</v>
          </cell>
          <cell r="E9456" t="str">
            <v/>
          </cell>
          <cell r="G9456" t="str">
            <v/>
          </cell>
          <cell r="J9456" t="str">
            <v/>
          </cell>
          <cell r="O9456" t="str">
            <v/>
          </cell>
          <cell r="P9456" t="str">
            <v/>
          </cell>
          <cell r="Q9456" t="str">
            <v/>
          </cell>
          <cell r="S9456" t="str">
            <v/>
          </cell>
          <cell r="V9456" t="str">
            <v/>
          </cell>
          <cell r="Z9456" t="str">
            <v/>
          </cell>
          <cell r="AA9456" t="str">
            <v/>
          </cell>
          <cell r="AB9456" t="str">
            <v/>
          </cell>
          <cell r="AC9456" t="str">
            <v/>
          </cell>
          <cell r="AD9456" t="str">
            <v/>
          </cell>
          <cell r="AY9456" t="str">
            <v/>
          </cell>
          <cell r="AZ9456" t="str">
            <v/>
          </cell>
          <cell r="BA9456" t="str">
            <v/>
          </cell>
        </row>
        <row r="9457">
          <cell r="B9457" t="str">
            <v>-</v>
          </cell>
          <cell r="E9457" t="str">
            <v/>
          </cell>
          <cell r="G9457" t="str">
            <v/>
          </cell>
          <cell r="J9457" t="str">
            <v/>
          </cell>
          <cell r="O9457" t="str">
            <v/>
          </cell>
          <cell r="P9457" t="str">
            <v/>
          </cell>
          <cell r="Q9457" t="str">
            <v/>
          </cell>
          <cell r="S9457" t="str">
            <v/>
          </cell>
          <cell r="V9457" t="str">
            <v/>
          </cell>
          <cell r="Z9457" t="str">
            <v/>
          </cell>
          <cell r="AA9457" t="str">
            <v/>
          </cell>
          <cell r="AB9457" t="str">
            <v/>
          </cell>
          <cell r="AC9457" t="str">
            <v/>
          </cell>
          <cell r="AD9457" t="str">
            <v/>
          </cell>
          <cell r="AY9457" t="str">
            <v/>
          </cell>
          <cell r="AZ9457" t="str">
            <v/>
          </cell>
          <cell r="BA9457" t="str">
            <v/>
          </cell>
        </row>
        <row r="9458">
          <cell r="B9458" t="str">
            <v>-</v>
          </cell>
          <cell r="E9458" t="str">
            <v/>
          </cell>
          <cell r="G9458" t="str">
            <v/>
          </cell>
          <cell r="J9458" t="str">
            <v/>
          </cell>
          <cell r="O9458" t="str">
            <v/>
          </cell>
          <cell r="P9458" t="str">
            <v/>
          </cell>
          <cell r="Q9458" t="str">
            <v/>
          </cell>
          <cell r="S9458" t="str">
            <v/>
          </cell>
          <cell r="V9458" t="str">
            <v/>
          </cell>
          <cell r="Z9458" t="str">
            <v/>
          </cell>
          <cell r="AA9458" t="str">
            <v/>
          </cell>
          <cell r="AB9458" t="str">
            <v/>
          </cell>
          <cell r="AC9458" t="str">
            <v/>
          </cell>
          <cell r="AD9458" t="str">
            <v/>
          </cell>
          <cell r="AY9458" t="str">
            <v/>
          </cell>
          <cell r="AZ9458" t="str">
            <v/>
          </cell>
          <cell r="BA9458" t="str">
            <v/>
          </cell>
        </row>
        <row r="9459">
          <cell r="B9459" t="str">
            <v>-</v>
          </cell>
          <cell r="E9459" t="str">
            <v/>
          </cell>
          <cell r="G9459" t="str">
            <v/>
          </cell>
          <cell r="J9459" t="str">
            <v/>
          </cell>
          <cell r="O9459" t="str">
            <v/>
          </cell>
          <cell r="P9459" t="str">
            <v/>
          </cell>
          <cell r="Q9459" t="str">
            <v/>
          </cell>
          <cell r="S9459" t="str">
            <v/>
          </cell>
          <cell r="V9459" t="str">
            <v/>
          </cell>
          <cell r="Z9459" t="str">
            <v/>
          </cell>
          <cell r="AA9459" t="str">
            <v/>
          </cell>
          <cell r="AB9459" t="str">
            <v/>
          </cell>
          <cell r="AC9459" t="str">
            <v/>
          </cell>
          <cell r="AD9459" t="str">
            <v/>
          </cell>
          <cell r="AY9459" t="str">
            <v/>
          </cell>
          <cell r="AZ9459" t="str">
            <v/>
          </cell>
          <cell r="BA9459" t="str">
            <v/>
          </cell>
        </row>
        <row r="9460">
          <cell r="B9460" t="str">
            <v>-</v>
          </cell>
          <cell r="E9460" t="str">
            <v/>
          </cell>
          <cell r="G9460" t="str">
            <v/>
          </cell>
          <cell r="J9460" t="str">
            <v/>
          </cell>
          <cell r="O9460" t="str">
            <v/>
          </cell>
          <cell r="P9460" t="str">
            <v/>
          </cell>
          <cell r="Q9460" t="str">
            <v/>
          </cell>
          <cell r="S9460" t="str">
            <v/>
          </cell>
          <cell r="V9460" t="str">
            <v/>
          </cell>
          <cell r="Z9460" t="str">
            <v/>
          </cell>
          <cell r="AA9460" t="str">
            <v/>
          </cell>
          <cell r="AB9460" t="str">
            <v/>
          </cell>
          <cell r="AC9460" t="str">
            <v/>
          </cell>
          <cell r="AD9460" t="str">
            <v/>
          </cell>
          <cell r="AY9460" t="str">
            <v/>
          </cell>
          <cell r="AZ9460" t="str">
            <v/>
          </cell>
          <cell r="BA9460" t="str">
            <v/>
          </cell>
        </row>
        <row r="9461">
          <cell r="B9461" t="str">
            <v>-</v>
          </cell>
          <cell r="E9461" t="str">
            <v/>
          </cell>
          <cell r="G9461" t="str">
            <v/>
          </cell>
          <cell r="J9461" t="str">
            <v/>
          </cell>
          <cell r="O9461" t="str">
            <v/>
          </cell>
          <cell r="P9461" t="str">
            <v/>
          </cell>
          <cell r="Q9461" t="str">
            <v/>
          </cell>
          <cell r="S9461" t="str">
            <v/>
          </cell>
          <cell r="V9461" t="str">
            <v/>
          </cell>
          <cell r="Z9461" t="str">
            <v/>
          </cell>
          <cell r="AA9461" t="str">
            <v/>
          </cell>
          <cell r="AB9461" t="str">
            <v/>
          </cell>
          <cell r="AC9461" t="str">
            <v/>
          </cell>
          <cell r="AD9461" t="str">
            <v/>
          </cell>
          <cell r="AY9461" t="str">
            <v/>
          </cell>
          <cell r="AZ9461" t="str">
            <v/>
          </cell>
          <cell r="BA9461" t="str">
            <v/>
          </cell>
        </row>
        <row r="9462">
          <cell r="B9462" t="str">
            <v>-</v>
          </cell>
          <cell r="E9462" t="str">
            <v/>
          </cell>
          <cell r="G9462" t="str">
            <v/>
          </cell>
          <cell r="J9462" t="str">
            <v/>
          </cell>
          <cell r="O9462" t="str">
            <v/>
          </cell>
          <cell r="P9462" t="str">
            <v/>
          </cell>
          <cell r="Q9462" t="str">
            <v/>
          </cell>
          <cell r="S9462" t="str">
            <v/>
          </cell>
          <cell r="V9462" t="str">
            <v/>
          </cell>
          <cell r="Z9462" t="str">
            <v/>
          </cell>
          <cell r="AA9462" t="str">
            <v/>
          </cell>
          <cell r="AB9462" t="str">
            <v/>
          </cell>
          <cell r="AC9462" t="str">
            <v/>
          </cell>
          <cell r="AD9462" t="str">
            <v/>
          </cell>
          <cell r="AY9462" t="str">
            <v/>
          </cell>
          <cell r="AZ9462" t="str">
            <v/>
          </cell>
          <cell r="BA9462" t="str">
            <v/>
          </cell>
        </row>
        <row r="9463">
          <cell r="B9463" t="str">
            <v>-</v>
          </cell>
          <cell r="E9463" t="str">
            <v/>
          </cell>
          <cell r="G9463" t="str">
            <v/>
          </cell>
          <cell r="J9463" t="str">
            <v/>
          </cell>
          <cell r="O9463" t="str">
            <v/>
          </cell>
          <cell r="P9463" t="str">
            <v/>
          </cell>
          <cell r="Q9463" t="str">
            <v/>
          </cell>
          <cell r="S9463" t="str">
            <v/>
          </cell>
          <cell r="V9463" t="str">
            <v/>
          </cell>
          <cell r="Z9463" t="str">
            <v/>
          </cell>
          <cell r="AA9463" t="str">
            <v/>
          </cell>
          <cell r="AB9463" t="str">
            <v/>
          </cell>
          <cell r="AC9463" t="str">
            <v/>
          </cell>
          <cell r="AD9463" t="str">
            <v/>
          </cell>
          <cell r="AY9463" t="str">
            <v/>
          </cell>
          <cell r="AZ9463" t="str">
            <v/>
          </cell>
          <cell r="BA9463" t="str">
            <v/>
          </cell>
        </row>
        <row r="9464">
          <cell r="B9464" t="str">
            <v>-</v>
          </cell>
          <cell r="E9464" t="str">
            <v/>
          </cell>
          <cell r="G9464" t="str">
            <v/>
          </cell>
          <cell r="J9464" t="str">
            <v/>
          </cell>
          <cell r="O9464" t="str">
            <v/>
          </cell>
          <cell r="P9464" t="str">
            <v/>
          </cell>
          <cell r="Q9464" t="str">
            <v/>
          </cell>
          <cell r="S9464" t="str">
            <v/>
          </cell>
          <cell r="V9464" t="str">
            <v/>
          </cell>
          <cell r="Z9464" t="str">
            <v/>
          </cell>
          <cell r="AA9464" t="str">
            <v/>
          </cell>
          <cell r="AB9464" t="str">
            <v/>
          </cell>
          <cell r="AC9464" t="str">
            <v/>
          </cell>
          <cell r="AD9464" t="str">
            <v/>
          </cell>
          <cell r="AY9464" t="str">
            <v/>
          </cell>
          <cell r="AZ9464" t="str">
            <v/>
          </cell>
          <cell r="BA9464" t="str">
            <v/>
          </cell>
        </row>
        <row r="9465">
          <cell r="B9465" t="str">
            <v>-</v>
          </cell>
          <cell r="E9465" t="str">
            <v/>
          </cell>
          <cell r="G9465" t="str">
            <v/>
          </cell>
          <cell r="J9465" t="str">
            <v/>
          </cell>
          <cell r="O9465" t="str">
            <v/>
          </cell>
          <cell r="P9465" t="str">
            <v/>
          </cell>
          <cell r="Q9465" t="str">
            <v/>
          </cell>
          <cell r="S9465" t="str">
            <v/>
          </cell>
          <cell r="V9465" t="str">
            <v/>
          </cell>
          <cell r="Z9465" t="str">
            <v/>
          </cell>
          <cell r="AA9465" t="str">
            <v/>
          </cell>
          <cell r="AB9465" t="str">
            <v/>
          </cell>
          <cell r="AC9465" t="str">
            <v/>
          </cell>
          <cell r="AD9465" t="str">
            <v/>
          </cell>
          <cell r="AY9465" t="str">
            <v/>
          </cell>
          <cell r="AZ9465" t="str">
            <v/>
          </cell>
          <cell r="BA9465" t="str">
            <v/>
          </cell>
        </row>
        <row r="9466">
          <cell r="B9466" t="str">
            <v>-</v>
          </cell>
          <cell r="E9466" t="str">
            <v/>
          </cell>
          <cell r="G9466" t="str">
            <v/>
          </cell>
          <cell r="J9466" t="str">
            <v/>
          </cell>
          <cell r="O9466" t="str">
            <v/>
          </cell>
          <cell r="P9466" t="str">
            <v/>
          </cell>
          <cell r="Q9466" t="str">
            <v/>
          </cell>
          <cell r="S9466" t="str">
            <v/>
          </cell>
          <cell r="V9466" t="str">
            <v/>
          </cell>
          <cell r="Z9466" t="str">
            <v/>
          </cell>
          <cell r="AA9466" t="str">
            <v/>
          </cell>
          <cell r="AB9466" t="str">
            <v/>
          </cell>
          <cell r="AC9466" t="str">
            <v/>
          </cell>
          <cell r="AD9466" t="str">
            <v/>
          </cell>
          <cell r="AY9466" t="str">
            <v/>
          </cell>
          <cell r="AZ9466" t="str">
            <v/>
          </cell>
          <cell r="BA9466" t="str">
            <v/>
          </cell>
        </row>
        <row r="9467">
          <cell r="B9467" t="str">
            <v>-</v>
          </cell>
          <cell r="E9467" t="str">
            <v/>
          </cell>
          <cell r="G9467" t="str">
            <v/>
          </cell>
          <cell r="J9467" t="str">
            <v/>
          </cell>
          <cell r="O9467" t="str">
            <v/>
          </cell>
          <cell r="P9467" t="str">
            <v/>
          </cell>
          <cell r="Q9467" t="str">
            <v/>
          </cell>
          <cell r="S9467" t="str">
            <v/>
          </cell>
          <cell r="V9467" t="str">
            <v/>
          </cell>
          <cell r="Z9467" t="str">
            <v/>
          </cell>
          <cell r="AA9467" t="str">
            <v/>
          </cell>
          <cell r="AB9467" t="str">
            <v/>
          </cell>
          <cell r="AC9467" t="str">
            <v/>
          </cell>
          <cell r="AD9467" t="str">
            <v/>
          </cell>
          <cell r="AY9467" t="str">
            <v/>
          </cell>
          <cell r="AZ9467" t="str">
            <v/>
          </cell>
          <cell r="BA9467" t="str">
            <v/>
          </cell>
        </row>
        <row r="9468">
          <cell r="B9468" t="str">
            <v>-</v>
          </cell>
          <cell r="E9468" t="str">
            <v/>
          </cell>
          <cell r="G9468" t="str">
            <v/>
          </cell>
          <cell r="J9468" t="str">
            <v/>
          </cell>
          <cell r="O9468" t="str">
            <v/>
          </cell>
          <cell r="P9468" t="str">
            <v/>
          </cell>
          <cell r="Q9468" t="str">
            <v/>
          </cell>
          <cell r="S9468" t="str">
            <v/>
          </cell>
          <cell r="V9468" t="str">
            <v/>
          </cell>
          <cell r="Z9468" t="str">
            <v/>
          </cell>
          <cell r="AA9468" t="str">
            <v/>
          </cell>
          <cell r="AB9468" t="str">
            <v/>
          </cell>
          <cell r="AC9468" t="str">
            <v/>
          </cell>
          <cell r="AD9468" t="str">
            <v/>
          </cell>
          <cell r="AY9468" t="str">
            <v/>
          </cell>
          <cell r="AZ9468" t="str">
            <v/>
          </cell>
          <cell r="BA9468" t="str">
            <v/>
          </cell>
        </row>
        <row r="9469">
          <cell r="B9469" t="str">
            <v>-</v>
          </cell>
          <cell r="E9469" t="str">
            <v/>
          </cell>
          <cell r="G9469" t="str">
            <v/>
          </cell>
          <cell r="J9469" t="str">
            <v/>
          </cell>
          <cell r="O9469" t="str">
            <v/>
          </cell>
          <cell r="P9469" t="str">
            <v/>
          </cell>
          <cell r="Q9469" t="str">
            <v/>
          </cell>
          <cell r="S9469" t="str">
            <v/>
          </cell>
          <cell r="V9469" t="str">
            <v/>
          </cell>
          <cell r="Z9469" t="str">
            <v/>
          </cell>
          <cell r="AA9469" t="str">
            <v/>
          </cell>
          <cell r="AB9469" t="str">
            <v/>
          </cell>
          <cell r="AC9469" t="str">
            <v/>
          </cell>
          <cell r="AD9469" t="str">
            <v/>
          </cell>
          <cell r="AY9469" t="str">
            <v/>
          </cell>
          <cell r="AZ9469" t="str">
            <v/>
          </cell>
          <cell r="BA9469" t="str">
            <v/>
          </cell>
        </row>
        <row r="9470">
          <cell r="B9470" t="str">
            <v>-</v>
          </cell>
          <cell r="E9470" t="str">
            <v/>
          </cell>
          <cell r="G9470" t="str">
            <v/>
          </cell>
          <cell r="J9470" t="str">
            <v/>
          </cell>
          <cell r="O9470" t="str">
            <v/>
          </cell>
          <cell r="P9470" t="str">
            <v/>
          </cell>
          <cell r="Q9470" t="str">
            <v/>
          </cell>
          <cell r="S9470" t="str">
            <v/>
          </cell>
          <cell r="V9470" t="str">
            <v/>
          </cell>
          <cell r="Z9470" t="str">
            <v/>
          </cell>
          <cell r="AA9470" t="str">
            <v/>
          </cell>
          <cell r="AB9470" t="str">
            <v/>
          </cell>
          <cell r="AC9470" t="str">
            <v/>
          </cell>
          <cell r="AD9470" t="str">
            <v/>
          </cell>
          <cell r="AY9470" t="str">
            <v/>
          </cell>
          <cell r="AZ9470" t="str">
            <v/>
          </cell>
          <cell r="BA9470" t="str">
            <v/>
          </cell>
        </row>
        <row r="9471">
          <cell r="B9471" t="str">
            <v>-</v>
          </cell>
          <cell r="E9471" t="str">
            <v/>
          </cell>
          <cell r="G9471" t="str">
            <v/>
          </cell>
          <cell r="J9471" t="str">
            <v/>
          </cell>
          <cell r="O9471" t="str">
            <v/>
          </cell>
          <cell r="P9471" t="str">
            <v/>
          </cell>
          <cell r="Q9471" t="str">
            <v/>
          </cell>
          <cell r="S9471" t="str">
            <v/>
          </cell>
          <cell r="V9471" t="str">
            <v/>
          </cell>
          <cell r="Z9471" t="str">
            <v/>
          </cell>
          <cell r="AA9471" t="str">
            <v/>
          </cell>
          <cell r="AB9471" t="str">
            <v/>
          </cell>
          <cell r="AC9471" t="str">
            <v/>
          </cell>
          <cell r="AD9471" t="str">
            <v/>
          </cell>
          <cell r="AY9471" t="str">
            <v/>
          </cell>
          <cell r="AZ9471" t="str">
            <v/>
          </cell>
          <cell r="BA9471" t="str">
            <v/>
          </cell>
        </row>
        <row r="9472">
          <cell r="B9472" t="str">
            <v>-</v>
          </cell>
          <cell r="E9472" t="str">
            <v/>
          </cell>
          <cell r="G9472" t="str">
            <v/>
          </cell>
          <cell r="J9472" t="str">
            <v/>
          </cell>
          <cell r="O9472" t="str">
            <v/>
          </cell>
          <cell r="P9472" t="str">
            <v/>
          </cell>
          <cell r="Q9472" t="str">
            <v/>
          </cell>
          <cell r="S9472" t="str">
            <v/>
          </cell>
          <cell r="V9472" t="str">
            <v/>
          </cell>
          <cell r="Z9472" t="str">
            <v/>
          </cell>
          <cell r="AA9472" t="str">
            <v/>
          </cell>
          <cell r="AB9472" t="str">
            <v/>
          </cell>
          <cell r="AC9472" t="str">
            <v/>
          </cell>
          <cell r="AD9472" t="str">
            <v/>
          </cell>
          <cell r="AY9472" t="str">
            <v/>
          </cell>
          <cell r="AZ9472" t="str">
            <v/>
          </cell>
          <cell r="BA9472" t="str">
            <v/>
          </cell>
        </row>
        <row r="9473">
          <cell r="B9473" t="str">
            <v>-</v>
          </cell>
          <cell r="E9473" t="str">
            <v/>
          </cell>
          <cell r="G9473" t="str">
            <v/>
          </cell>
          <cell r="J9473" t="str">
            <v/>
          </cell>
          <cell r="O9473" t="str">
            <v/>
          </cell>
          <cell r="P9473" t="str">
            <v/>
          </cell>
          <cell r="Q9473" t="str">
            <v/>
          </cell>
          <cell r="S9473" t="str">
            <v/>
          </cell>
          <cell r="V9473" t="str">
            <v/>
          </cell>
          <cell r="Z9473" t="str">
            <v/>
          </cell>
          <cell r="AA9473" t="str">
            <v/>
          </cell>
          <cell r="AB9473" t="str">
            <v/>
          </cell>
          <cell r="AC9473" t="str">
            <v/>
          </cell>
          <cell r="AD9473" t="str">
            <v/>
          </cell>
          <cell r="AY9473" t="str">
            <v/>
          </cell>
          <cell r="AZ9473" t="str">
            <v/>
          </cell>
          <cell r="BA9473" t="str">
            <v/>
          </cell>
        </row>
        <row r="9474">
          <cell r="B9474" t="str">
            <v>-</v>
          </cell>
          <cell r="E9474" t="str">
            <v/>
          </cell>
          <cell r="G9474" t="str">
            <v/>
          </cell>
          <cell r="J9474" t="str">
            <v/>
          </cell>
          <cell r="O9474" t="str">
            <v/>
          </cell>
          <cell r="P9474" t="str">
            <v/>
          </cell>
          <cell r="Q9474" t="str">
            <v/>
          </cell>
          <cell r="S9474" t="str">
            <v/>
          </cell>
          <cell r="V9474" t="str">
            <v/>
          </cell>
          <cell r="Z9474" t="str">
            <v/>
          </cell>
          <cell r="AA9474" t="str">
            <v/>
          </cell>
          <cell r="AB9474" t="str">
            <v/>
          </cell>
          <cell r="AC9474" t="str">
            <v/>
          </cell>
          <cell r="AD9474" t="str">
            <v/>
          </cell>
          <cell r="AY9474" t="str">
            <v/>
          </cell>
          <cell r="AZ9474" t="str">
            <v/>
          </cell>
          <cell r="BA9474" t="str">
            <v/>
          </cell>
        </row>
        <row r="9475">
          <cell r="B9475" t="str">
            <v>-</v>
          </cell>
          <cell r="E9475" t="str">
            <v/>
          </cell>
          <cell r="G9475" t="str">
            <v/>
          </cell>
          <cell r="J9475" t="str">
            <v/>
          </cell>
          <cell r="O9475" t="str">
            <v/>
          </cell>
          <cell r="P9475" t="str">
            <v/>
          </cell>
          <cell r="Q9475" t="str">
            <v/>
          </cell>
          <cell r="S9475" t="str">
            <v/>
          </cell>
          <cell r="V9475" t="str">
            <v/>
          </cell>
          <cell r="Z9475" t="str">
            <v/>
          </cell>
          <cell r="AA9475" t="str">
            <v/>
          </cell>
          <cell r="AB9475" t="str">
            <v/>
          </cell>
          <cell r="AC9475" t="str">
            <v/>
          </cell>
          <cell r="AD9475" t="str">
            <v/>
          </cell>
          <cell r="AY9475" t="str">
            <v/>
          </cell>
          <cell r="AZ9475" t="str">
            <v/>
          </cell>
          <cell r="BA9475" t="str">
            <v/>
          </cell>
        </row>
        <row r="9476">
          <cell r="B9476" t="str">
            <v>-</v>
          </cell>
          <cell r="E9476" t="str">
            <v/>
          </cell>
          <cell r="G9476" t="str">
            <v/>
          </cell>
          <cell r="J9476" t="str">
            <v/>
          </cell>
          <cell r="O9476" t="str">
            <v/>
          </cell>
          <cell r="P9476" t="str">
            <v/>
          </cell>
          <cell r="Q9476" t="str">
            <v/>
          </cell>
          <cell r="S9476" t="str">
            <v/>
          </cell>
          <cell r="V9476" t="str">
            <v/>
          </cell>
          <cell r="Z9476" t="str">
            <v/>
          </cell>
          <cell r="AA9476" t="str">
            <v/>
          </cell>
          <cell r="AB9476" t="str">
            <v/>
          </cell>
          <cell r="AC9476" t="str">
            <v/>
          </cell>
          <cell r="AD9476" t="str">
            <v/>
          </cell>
          <cell r="AY9476" t="str">
            <v/>
          </cell>
          <cell r="AZ9476" t="str">
            <v/>
          </cell>
          <cell r="BA9476" t="str">
            <v/>
          </cell>
        </row>
        <row r="9477">
          <cell r="B9477" t="str">
            <v>-</v>
          </cell>
          <cell r="E9477" t="str">
            <v/>
          </cell>
          <cell r="G9477" t="str">
            <v/>
          </cell>
          <cell r="J9477" t="str">
            <v/>
          </cell>
          <cell r="O9477" t="str">
            <v/>
          </cell>
          <cell r="P9477" t="str">
            <v/>
          </cell>
          <cell r="Q9477" t="str">
            <v/>
          </cell>
          <cell r="S9477" t="str">
            <v/>
          </cell>
          <cell r="V9477" t="str">
            <v/>
          </cell>
          <cell r="Z9477" t="str">
            <v/>
          </cell>
          <cell r="AA9477" t="str">
            <v/>
          </cell>
          <cell r="AB9477" t="str">
            <v/>
          </cell>
          <cell r="AC9477" t="str">
            <v/>
          </cell>
          <cell r="AD9477" t="str">
            <v/>
          </cell>
          <cell r="AY9477" t="str">
            <v/>
          </cell>
          <cell r="AZ9477" t="str">
            <v/>
          </cell>
          <cell r="BA9477" t="str">
            <v/>
          </cell>
        </row>
        <row r="9478">
          <cell r="B9478" t="str">
            <v>-</v>
          </cell>
          <cell r="E9478" t="str">
            <v/>
          </cell>
          <cell r="G9478" t="str">
            <v/>
          </cell>
          <cell r="J9478" t="str">
            <v/>
          </cell>
          <cell r="O9478" t="str">
            <v/>
          </cell>
          <cell r="P9478" t="str">
            <v/>
          </cell>
          <cell r="Q9478" t="str">
            <v/>
          </cell>
          <cell r="S9478" t="str">
            <v/>
          </cell>
          <cell r="V9478" t="str">
            <v/>
          </cell>
          <cell r="Z9478" t="str">
            <v/>
          </cell>
          <cell r="AA9478" t="str">
            <v/>
          </cell>
          <cell r="AB9478" t="str">
            <v/>
          </cell>
          <cell r="AC9478" t="str">
            <v/>
          </cell>
          <cell r="AD9478" t="str">
            <v/>
          </cell>
          <cell r="AY9478" t="str">
            <v/>
          </cell>
          <cell r="AZ9478" t="str">
            <v/>
          </cell>
          <cell r="BA9478" t="str">
            <v/>
          </cell>
        </row>
        <row r="9479">
          <cell r="B9479" t="str">
            <v>-</v>
          </cell>
          <cell r="E9479" t="str">
            <v/>
          </cell>
          <cell r="G9479" t="str">
            <v/>
          </cell>
          <cell r="J9479" t="str">
            <v/>
          </cell>
          <cell r="O9479" t="str">
            <v/>
          </cell>
          <cell r="P9479" t="str">
            <v/>
          </cell>
          <cell r="Q9479" t="str">
            <v/>
          </cell>
          <cell r="S9479" t="str">
            <v/>
          </cell>
          <cell r="V9479" t="str">
            <v/>
          </cell>
          <cell r="Z9479" t="str">
            <v/>
          </cell>
          <cell r="AA9479" t="str">
            <v/>
          </cell>
          <cell r="AB9479" t="str">
            <v/>
          </cell>
          <cell r="AC9479" t="str">
            <v/>
          </cell>
          <cell r="AD9479" t="str">
            <v/>
          </cell>
          <cell r="AY9479" t="str">
            <v/>
          </cell>
          <cell r="AZ9479" t="str">
            <v/>
          </cell>
          <cell r="BA9479" t="str">
            <v/>
          </cell>
        </row>
        <row r="9480">
          <cell r="B9480" t="str">
            <v>-</v>
          </cell>
          <cell r="E9480" t="str">
            <v/>
          </cell>
          <cell r="G9480" t="str">
            <v/>
          </cell>
          <cell r="J9480" t="str">
            <v/>
          </cell>
          <cell r="O9480" t="str">
            <v/>
          </cell>
          <cell r="P9480" t="str">
            <v/>
          </cell>
          <cell r="Q9480" t="str">
            <v/>
          </cell>
          <cell r="S9480" t="str">
            <v/>
          </cell>
          <cell r="V9480" t="str">
            <v/>
          </cell>
          <cell r="Z9480" t="str">
            <v/>
          </cell>
          <cell r="AA9480" t="str">
            <v/>
          </cell>
          <cell r="AB9480" t="str">
            <v/>
          </cell>
          <cell r="AC9480" t="str">
            <v/>
          </cell>
          <cell r="AD9480" t="str">
            <v/>
          </cell>
          <cell r="AY9480" t="str">
            <v/>
          </cell>
          <cell r="AZ9480" t="str">
            <v/>
          </cell>
          <cell r="BA9480" t="str">
            <v/>
          </cell>
        </row>
        <row r="9481">
          <cell r="B9481" t="str">
            <v>-</v>
          </cell>
          <cell r="E9481" t="str">
            <v/>
          </cell>
          <cell r="G9481" t="str">
            <v/>
          </cell>
          <cell r="J9481" t="str">
            <v/>
          </cell>
          <cell r="O9481" t="str">
            <v/>
          </cell>
          <cell r="P9481" t="str">
            <v/>
          </cell>
          <cell r="Q9481" t="str">
            <v/>
          </cell>
          <cell r="S9481" t="str">
            <v/>
          </cell>
          <cell r="V9481" t="str">
            <v/>
          </cell>
          <cell r="Z9481" t="str">
            <v/>
          </cell>
          <cell r="AA9481" t="str">
            <v/>
          </cell>
          <cell r="AB9481" t="str">
            <v/>
          </cell>
          <cell r="AC9481" t="str">
            <v/>
          </cell>
          <cell r="AD9481" t="str">
            <v/>
          </cell>
          <cell r="AY9481" t="str">
            <v/>
          </cell>
          <cell r="AZ9481" t="str">
            <v/>
          </cell>
          <cell r="BA9481" t="str">
            <v/>
          </cell>
        </row>
        <row r="9482">
          <cell r="B9482" t="str">
            <v>-</v>
          </cell>
          <cell r="E9482" t="str">
            <v/>
          </cell>
          <cell r="G9482" t="str">
            <v/>
          </cell>
          <cell r="J9482" t="str">
            <v/>
          </cell>
          <cell r="O9482" t="str">
            <v/>
          </cell>
          <cell r="P9482" t="str">
            <v/>
          </cell>
          <cell r="Q9482" t="str">
            <v/>
          </cell>
          <cell r="S9482" t="str">
            <v/>
          </cell>
          <cell r="V9482" t="str">
            <v/>
          </cell>
          <cell r="Z9482" t="str">
            <v/>
          </cell>
          <cell r="AA9482" t="str">
            <v/>
          </cell>
          <cell r="AB9482" t="str">
            <v/>
          </cell>
          <cell r="AC9482" t="str">
            <v/>
          </cell>
          <cell r="AD9482" t="str">
            <v/>
          </cell>
          <cell r="AY9482" t="str">
            <v/>
          </cell>
          <cell r="AZ9482" t="str">
            <v/>
          </cell>
          <cell r="BA9482" t="str">
            <v/>
          </cell>
        </row>
        <row r="9483">
          <cell r="B9483" t="str">
            <v>-</v>
          </cell>
          <cell r="E9483" t="str">
            <v/>
          </cell>
          <cell r="G9483" t="str">
            <v/>
          </cell>
          <cell r="J9483" t="str">
            <v/>
          </cell>
          <cell r="O9483" t="str">
            <v/>
          </cell>
          <cell r="P9483" t="str">
            <v/>
          </cell>
          <cell r="Q9483" t="str">
            <v/>
          </cell>
          <cell r="S9483" t="str">
            <v/>
          </cell>
          <cell r="V9483" t="str">
            <v/>
          </cell>
          <cell r="Z9483" t="str">
            <v/>
          </cell>
          <cell r="AA9483" t="str">
            <v/>
          </cell>
          <cell r="AB9483" t="str">
            <v/>
          </cell>
          <cell r="AC9483" t="str">
            <v/>
          </cell>
          <cell r="AD9483" t="str">
            <v/>
          </cell>
          <cell r="AY9483" t="str">
            <v/>
          </cell>
          <cell r="AZ9483" t="str">
            <v/>
          </cell>
          <cell r="BA9483" t="str">
            <v/>
          </cell>
        </row>
        <row r="9484">
          <cell r="B9484" t="str">
            <v>-</v>
          </cell>
          <cell r="E9484" t="str">
            <v/>
          </cell>
          <cell r="G9484" t="str">
            <v/>
          </cell>
          <cell r="J9484" t="str">
            <v/>
          </cell>
          <cell r="O9484" t="str">
            <v/>
          </cell>
          <cell r="P9484" t="str">
            <v/>
          </cell>
          <cell r="Q9484" t="str">
            <v/>
          </cell>
          <cell r="S9484" t="str">
            <v/>
          </cell>
          <cell r="V9484" t="str">
            <v/>
          </cell>
          <cell r="Z9484" t="str">
            <v/>
          </cell>
          <cell r="AA9484" t="str">
            <v/>
          </cell>
          <cell r="AB9484" t="str">
            <v/>
          </cell>
          <cell r="AC9484" t="str">
            <v/>
          </cell>
          <cell r="AD9484" t="str">
            <v/>
          </cell>
          <cell r="AY9484" t="str">
            <v/>
          </cell>
          <cell r="AZ9484" t="str">
            <v/>
          </cell>
          <cell r="BA9484" t="str">
            <v/>
          </cell>
        </row>
        <row r="9485">
          <cell r="B9485" t="str">
            <v>-</v>
          </cell>
          <cell r="E9485" t="str">
            <v/>
          </cell>
          <cell r="G9485" t="str">
            <v/>
          </cell>
          <cell r="J9485" t="str">
            <v/>
          </cell>
          <cell r="O9485" t="str">
            <v/>
          </cell>
          <cell r="P9485" t="str">
            <v/>
          </cell>
          <cell r="Q9485" t="str">
            <v/>
          </cell>
          <cell r="S9485" t="str">
            <v/>
          </cell>
          <cell r="V9485" t="str">
            <v/>
          </cell>
          <cell r="Z9485" t="str">
            <v/>
          </cell>
          <cell r="AA9485" t="str">
            <v/>
          </cell>
          <cell r="AB9485" t="str">
            <v/>
          </cell>
          <cell r="AC9485" t="str">
            <v/>
          </cell>
          <cell r="AD9485" t="str">
            <v/>
          </cell>
          <cell r="AY9485" t="str">
            <v/>
          </cell>
          <cell r="AZ9485" t="str">
            <v/>
          </cell>
          <cell r="BA9485" t="str">
            <v/>
          </cell>
        </row>
        <row r="9486">
          <cell r="B9486" t="str">
            <v>-</v>
          </cell>
          <cell r="E9486" t="str">
            <v/>
          </cell>
          <cell r="G9486" t="str">
            <v/>
          </cell>
          <cell r="J9486" t="str">
            <v/>
          </cell>
          <cell r="O9486" t="str">
            <v/>
          </cell>
          <cell r="P9486" t="str">
            <v/>
          </cell>
          <cell r="Q9486" t="str">
            <v/>
          </cell>
          <cell r="S9486" t="str">
            <v/>
          </cell>
          <cell r="V9486" t="str">
            <v/>
          </cell>
          <cell r="Z9486" t="str">
            <v/>
          </cell>
          <cell r="AA9486" t="str">
            <v/>
          </cell>
          <cell r="AB9486" t="str">
            <v/>
          </cell>
          <cell r="AC9486" t="str">
            <v/>
          </cell>
          <cell r="AD9486" t="str">
            <v/>
          </cell>
          <cell r="AY9486" t="str">
            <v/>
          </cell>
          <cell r="AZ9486" t="str">
            <v/>
          </cell>
          <cell r="BA9486" t="str">
            <v/>
          </cell>
        </row>
        <row r="9487">
          <cell r="B9487" t="str">
            <v>-</v>
          </cell>
          <cell r="E9487" t="str">
            <v/>
          </cell>
          <cell r="G9487" t="str">
            <v/>
          </cell>
          <cell r="J9487" t="str">
            <v/>
          </cell>
          <cell r="O9487" t="str">
            <v/>
          </cell>
          <cell r="P9487" t="str">
            <v/>
          </cell>
          <cell r="Q9487" t="str">
            <v/>
          </cell>
          <cell r="S9487" t="str">
            <v/>
          </cell>
          <cell r="V9487" t="str">
            <v/>
          </cell>
          <cell r="Z9487" t="str">
            <v/>
          </cell>
          <cell r="AA9487" t="str">
            <v/>
          </cell>
          <cell r="AB9487" t="str">
            <v/>
          </cell>
          <cell r="AC9487" t="str">
            <v/>
          </cell>
          <cell r="AD9487" t="str">
            <v/>
          </cell>
          <cell r="AY9487" t="str">
            <v/>
          </cell>
          <cell r="AZ9487" t="str">
            <v/>
          </cell>
          <cell r="BA9487" t="str">
            <v/>
          </cell>
        </row>
        <row r="9488">
          <cell r="B9488" t="str">
            <v>-</v>
          </cell>
          <cell r="E9488" t="str">
            <v/>
          </cell>
          <cell r="G9488" t="str">
            <v/>
          </cell>
          <cell r="J9488" t="str">
            <v/>
          </cell>
          <cell r="O9488" t="str">
            <v/>
          </cell>
          <cell r="P9488" t="str">
            <v/>
          </cell>
          <cell r="Q9488" t="str">
            <v/>
          </cell>
          <cell r="S9488" t="str">
            <v/>
          </cell>
          <cell r="V9488" t="str">
            <v/>
          </cell>
          <cell r="Z9488" t="str">
            <v/>
          </cell>
          <cell r="AA9488" t="str">
            <v/>
          </cell>
          <cell r="AB9488" t="str">
            <v/>
          </cell>
          <cell r="AC9488" t="str">
            <v/>
          </cell>
          <cell r="AD9488" t="str">
            <v/>
          </cell>
          <cell r="AY9488" t="str">
            <v/>
          </cell>
          <cell r="AZ9488" t="str">
            <v/>
          </cell>
          <cell r="BA9488" t="str">
            <v/>
          </cell>
        </row>
        <row r="9489">
          <cell r="B9489" t="str">
            <v>-</v>
          </cell>
          <cell r="E9489" t="str">
            <v/>
          </cell>
          <cell r="G9489" t="str">
            <v/>
          </cell>
          <cell r="J9489" t="str">
            <v/>
          </cell>
          <cell r="O9489" t="str">
            <v/>
          </cell>
          <cell r="P9489" t="str">
            <v/>
          </cell>
          <cell r="Q9489" t="str">
            <v/>
          </cell>
          <cell r="S9489" t="str">
            <v/>
          </cell>
          <cell r="V9489" t="str">
            <v/>
          </cell>
          <cell r="Z9489" t="str">
            <v/>
          </cell>
          <cell r="AA9489" t="str">
            <v/>
          </cell>
          <cell r="AB9489" t="str">
            <v/>
          </cell>
          <cell r="AC9489" t="str">
            <v/>
          </cell>
          <cell r="AD9489" t="str">
            <v/>
          </cell>
          <cell r="AY9489" t="str">
            <v/>
          </cell>
          <cell r="AZ9489" t="str">
            <v/>
          </cell>
          <cell r="BA9489" t="str">
            <v/>
          </cell>
        </row>
        <row r="9490">
          <cell r="B9490" t="str">
            <v>-</v>
          </cell>
          <cell r="E9490" t="str">
            <v/>
          </cell>
          <cell r="G9490" t="str">
            <v/>
          </cell>
          <cell r="J9490" t="str">
            <v/>
          </cell>
          <cell r="O9490" t="str">
            <v/>
          </cell>
          <cell r="P9490" t="str">
            <v/>
          </cell>
          <cell r="Q9490" t="str">
            <v/>
          </cell>
          <cell r="S9490" t="str">
            <v/>
          </cell>
          <cell r="V9490" t="str">
            <v/>
          </cell>
          <cell r="Z9490" t="str">
            <v/>
          </cell>
          <cell r="AA9490" t="str">
            <v/>
          </cell>
          <cell r="AB9490" t="str">
            <v/>
          </cell>
          <cell r="AC9490" t="str">
            <v/>
          </cell>
          <cell r="AD9490" t="str">
            <v/>
          </cell>
          <cell r="AY9490" t="str">
            <v/>
          </cell>
          <cell r="AZ9490" t="str">
            <v/>
          </cell>
          <cell r="BA9490" t="str">
            <v/>
          </cell>
        </row>
        <row r="9491">
          <cell r="B9491" t="str">
            <v>-</v>
          </cell>
          <cell r="E9491" t="str">
            <v/>
          </cell>
          <cell r="G9491" t="str">
            <v/>
          </cell>
          <cell r="J9491" t="str">
            <v/>
          </cell>
          <cell r="O9491" t="str">
            <v/>
          </cell>
          <cell r="P9491" t="str">
            <v/>
          </cell>
          <cell r="Q9491" t="str">
            <v/>
          </cell>
          <cell r="S9491" t="str">
            <v/>
          </cell>
          <cell r="V9491" t="str">
            <v/>
          </cell>
          <cell r="Z9491" t="str">
            <v/>
          </cell>
          <cell r="AA9491" t="str">
            <v/>
          </cell>
          <cell r="AB9491" t="str">
            <v/>
          </cell>
          <cell r="AC9491" t="str">
            <v/>
          </cell>
          <cell r="AD9491" t="str">
            <v/>
          </cell>
          <cell r="AY9491" t="str">
            <v/>
          </cell>
          <cell r="AZ9491" t="str">
            <v/>
          </cell>
          <cell r="BA9491" t="str">
            <v/>
          </cell>
        </row>
        <row r="9492">
          <cell r="B9492" t="str">
            <v>-</v>
          </cell>
          <cell r="E9492" t="str">
            <v/>
          </cell>
          <cell r="G9492" t="str">
            <v/>
          </cell>
          <cell r="J9492" t="str">
            <v/>
          </cell>
          <cell r="O9492" t="str">
            <v/>
          </cell>
          <cell r="P9492" t="str">
            <v/>
          </cell>
          <cell r="Q9492" t="str">
            <v/>
          </cell>
          <cell r="S9492" t="str">
            <v/>
          </cell>
          <cell r="V9492" t="str">
            <v/>
          </cell>
          <cell r="Z9492" t="str">
            <v/>
          </cell>
          <cell r="AA9492" t="str">
            <v/>
          </cell>
          <cell r="AB9492" t="str">
            <v/>
          </cell>
          <cell r="AC9492" t="str">
            <v/>
          </cell>
          <cell r="AD9492" t="str">
            <v/>
          </cell>
          <cell r="AY9492" t="str">
            <v/>
          </cell>
          <cell r="AZ9492" t="str">
            <v/>
          </cell>
          <cell r="BA9492" t="str">
            <v/>
          </cell>
        </row>
        <row r="9493">
          <cell r="B9493" t="str">
            <v>-</v>
          </cell>
          <cell r="E9493" t="str">
            <v/>
          </cell>
          <cell r="G9493" t="str">
            <v/>
          </cell>
          <cell r="J9493" t="str">
            <v/>
          </cell>
          <cell r="O9493" t="str">
            <v/>
          </cell>
          <cell r="P9493" t="str">
            <v/>
          </cell>
          <cell r="Q9493" t="str">
            <v/>
          </cell>
          <cell r="S9493" t="str">
            <v/>
          </cell>
          <cell r="V9493" t="str">
            <v/>
          </cell>
          <cell r="Z9493" t="str">
            <v/>
          </cell>
          <cell r="AA9493" t="str">
            <v/>
          </cell>
          <cell r="AB9493" t="str">
            <v/>
          </cell>
          <cell r="AC9493" t="str">
            <v/>
          </cell>
          <cell r="AD9493" t="str">
            <v/>
          </cell>
          <cell r="AY9493" t="str">
            <v/>
          </cell>
          <cell r="AZ9493" t="str">
            <v/>
          </cell>
          <cell r="BA9493" t="str">
            <v/>
          </cell>
        </row>
        <row r="9494">
          <cell r="B9494" t="str">
            <v>-</v>
          </cell>
          <cell r="E9494" t="str">
            <v/>
          </cell>
          <cell r="G9494" t="str">
            <v/>
          </cell>
          <cell r="J9494" t="str">
            <v/>
          </cell>
          <cell r="O9494" t="str">
            <v/>
          </cell>
          <cell r="P9494" t="str">
            <v/>
          </cell>
          <cell r="Q9494" t="str">
            <v/>
          </cell>
          <cell r="S9494" t="str">
            <v/>
          </cell>
          <cell r="V9494" t="str">
            <v/>
          </cell>
          <cell r="Z9494" t="str">
            <v/>
          </cell>
          <cell r="AA9494" t="str">
            <v/>
          </cell>
          <cell r="AB9494" t="str">
            <v/>
          </cell>
          <cell r="AC9494" t="str">
            <v/>
          </cell>
          <cell r="AD9494" t="str">
            <v/>
          </cell>
          <cell r="AY9494" t="str">
            <v/>
          </cell>
          <cell r="AZ9494" t="str">
            <v/>
          </cell>
          <cell r="BA9494" t="str">
            <v/>
          </cell>
        </row>
        <row r="9495">
          <cell r="B9495" t="str">
            <v>-</v>
          </cell>
          <cell r="E9495" t="str">
            <v/>
          </cell>
          <cell r="G9495" t="str">
            <v/>
          </cell>
          <cell r="J9495" t="str">
            <v/>
          </cell>
          <cell r="O9495" t="str">
            <v/>
          </cell>
          <cell r="P9495" t="str">
            <v/>
          </cell>
          <cell r="Q9495" t="str">
            <v/>
          </cell>
          <cell r="S9495" t="str">
            <v/>
          </cell>
          <cell r="V9495" t="str">
            <v/>
          </cell>
          <cell r="Z9495" t="str">
            <v/>
          </cell>
          <cell r="AA9495" t="str">
            <v/>
          </cell>
          <cell r="AB9495" t="str">
            <v/>
          </cell>
          <cell r="AC9495" t="str">
            <v/>
          </cell>
          <cell r="AD9495" t="str">
            <v/>
          </cell>
          <cell r="AY9495" t="str">
            <v/>
          </cell>
          <cell r="AZ9495" t="str">
            <v/>
          </cell>
          <cell r="BA9495" t="str">
            <v/>
          </cell>
        </row>
        <row r="9496">
          <cell r="B9496" t="str">
            <v>-</v>
          </cell>
          <cell r="E9496" t="str">
            <v/>
          </cell>
          <cell r="G9496" t="str">
            <v/>
          </cell>
          <cell r="J9496" t="str">
            <v/>
          </cell>
          <cell r="O9496" t="str">
            <v/>
          </cell>
          <cell r="P9496" t="str">
            <v/>
          </cell>
          <cell r="Q9496" t="str">
            <v/>
          </cell>
          <cell r="S9496" t="str">
            <v/>
          </cell>
          <cell r="V9496" t="str">
            <v/>
          </cell>
          <cell r="Z9496" t="str">
            <v/>
          </cell>
          <cell r="AA9496" t="str">
            <v/>
          </cell>
          <cell r="AB9496" t="str">
            <v/>
          </cell>
          <cell r="AC9496" t="str">
            <v/>
          </cell>
          <cell r="AD9496" t="str">
            <v/>
          </cell>
          <cell r="AY9496" t="str">
            <v/>
          </cell>
          <cell r="AZ9496" t="str">
            <v/>
          </cell>
          <cell r="BA9496" t="str">
            <v/>
          </cell>
        </row>
        <row r="9497">
          <cell r="B9497" t="str">
            <v>-</v>
          </cell>
          <cell r="E9497" t="str">
            <v/>
          </cell>
          <cell r="G9497" t="str">
            <v/>
          </cell>
          <cell r="J9497" t="str">
            <v/>
          </cell>
          <cell r="O9497" t="str">
            <v/>
          </cell>
          <cell r="P9497" t="str">
            <v/>
          </cell>
          <cell r="Q9497" t="str">
            <v/>
          </cell>
          <cell r="S9497" t="str">
            <v/>
          </cell>
          <cell r="V9497" t="str">
            <v/>
          </cell>
          <cell r="Z9497" t="str">
            <v/>
          </cell>
          <cell r="AA9497" t="str">
            <v/>
          </cell>
          <cell r="AB9497" t="str">
            <v/>
          </cell>
          <cell r="AC9497" t="str">
            <v/>
          </cell>
          <cell r="AD9497" t="str">
            <v/>
          </cell>
          <cell r="AY9497" t="str">
            <v/>
          </cell>
          <cell r="AZ9497" t="str">
            <v/>
          </cell>
          <cell r="BA9497" t="str">
            <v/>
          </cell>
        </row>
        <row r="9498">
          <cell r="B9498" t="str">
            <v>-</v>
          </cell>
          <cell r="E9498" t="str">
            <v/>
          </cell>
          <cell r="G9498" t="str">
            <v/>
          </cell>
          <cell r="J9498" t="str">
            <v/>
          </cell>
          <cell r="O9498" t="str">
            <v/>
          </cell>
          <cell r="P9498" t="str">
            <v/>
          </cell>
          <cell r="Q9498" t="str">
            <v/>
          </cell>
          <cell r="S9498" t="str">
            <v/>
          </cell>
          <cell r="V9498" t="str">
            <v/>
          </cell>
          <cell r="Z9498" t="str">
            <v/>
          </cell>
          <cell r="AA9498" t="str">
            <v/>
          </cell>
          <cell r="AB9498" t="str">
            <v/>
          </cell>
          <cell r="AC9498" t="str">
            <v/>
          </cell>
          <cell r="AD9498" t="str">
            <v/>
          </cell>
          <cell r="AY9498" t="str">
            <v/>
          </cell>
          <cell r="AZ9498" t="str">
            <v/>
          </cell>
          <cell r="BA9498" t="str">
            <v/>
          </cell>
        </row>
        <row r="9499">
          <cell r="B9499" t="str">
            <v>-</v>
          </cell>
          <cell r="E9499" t="str">
            <v/>
          </cell>
          <cell r="G9499" t="str">
            <v/>
          </cell>
          <cell r="J9499" t="str">
            <v/>
          </cell>
          <cell r="O9499" t="str">
            <v/>
          </cell>
          <cell r="P9499" t="str">
            <v/>
          </cell>
          <cell r="Q9499" t="str">
            <v/>
          </cell>
          <cell r="S9499" t="str">
            <v/>
          </cell>
          <cell r="V9499" t="str">
            <v/>
          </cell>
          <cell r="Z9499" t="str">
            <v/>
          </cell>
          <cell r="AA9499" t="str">
            <v/>
          </cell>
          <cell r="AB9499" t="str">
            <v/>
          </cell>
          <cell r="AC9499" t="str">
            <v/>
          </cell>
          <cell r="AD9499" t="str">
            <v/>
          </cell>
          <cell r="AY9499" t="str">
            <v/>
          </cell>
          <cell r="AZ9499" t="str">
            <v/>
          </cell>
          <cell r="BA9499" t="str">
            <v/>
          </cell>
        </row>
        <row r="9500">
          <cell r="B9500" t="str">
            <v>-</v>
          </cell>
          <cell r="E9500" t="str">
            <v/>
          </cell>
          <cell r="G9500" t="str">
            <v/>
          </cell>
          <cell r="J9500" t="str">
            <v/>
          </cell>
          <cell r="O9500" t="str">
            <v/>
          </cell>
          <cell r="P9500" t="str">
            <v/>
          </cell>
          <cell r="Q9500" t="str">
            <v/>
          </cell>
          <cell r="S9500" t="str">
            <v/>
          </cell>
          <cell r="V9500" t="str">
            <v/>
          </cell>
          <cell r="Z9500" t="str">
            <v/>
          </cell>
          <cell r="AA9500" t="str">
            <v/>
          </cell>
          <cell r="AB9500" t="str">
            <v/>
          </cell>
          <cell r="AC9500" t="str">
            <v/>
          </cell>
          <cell r="AD9500" t="str">
            <v/>
          </cell>
          <cell r="AY9500" t="str">
            <v/>
          </cell>
          <cell r="AZ9500" t="str">
            <v/>
          </cell>
          <cell r="BA9500" t="str">
            <v/>
          </cell>
        </row>
        <row r="9501">
          <cell r="B9501" t="str">
            <v>-</v>
          </cell>
          <cell r="E9501" t="str">
            <v/>
          </cell>
          <cell r="G9501" t="str">
            <v/>
          </cell>
          <cell r="J9501" t="str">
            <v/>
          </cell>
          <cell r="O9501" t="str">
            <v/>
          </cell>
          <cell r="P9501" t="str">
            <v/>
          </cell>
          <cell r="Q9501" t="str">
            <v/>
          </cell>
          <cell r="S9501" t="str">
            <v/>
          </cell>
          <cell r="V9501" t="str">
            <v/>
          </cell>
          <cell r="Z9501" t="str">
            <v/>
          </cell>
          <cell r="AA9501" t="str">
            <v/>
          </cell>
          <cell r="AB9501" t="str">
            <v/>
          </cell>
          <cell r="AC9501" t="str">
            <v/>
          </cell>
          <cell r="AD9501" t="str">
            <v/>
          </cell>
          <cell r="AY9501" t="str">
            <v/>
          </cell>
          <cell r="AZ9501" t="str">
            <v/>
          </cell>
          <cell r="BA9501" t="str">
            <v/>
          </cell>
        </row>
        <row r="9502">
          <cell r="B9502" t="str">
            <v>-</v>
          </cell>
          <cell r="E9502" t="str">
            <v/>
          </cell>
          <cell r="G9502" t="str">
            <v/>
          </cell>
          <cell r="J9502" t="str">
            <v/>
          </cell>
          <cell r="O9502" t="str">
            <v/>
          </cell>
          <cell r="P9502" t="str">
            <v/>
          </cell>
          <cell r="Q9502" t="str">
            <v/>
          </cell>
          <cell r="S9502" t="str">
            <v/>
          </cell>
          <cell r="V9502" t="str">
            <v/>
          </cell>
          <cell r="Z9502" t="str">
            <v/>
          </cell>
          <cell r="AA9502" t="str">
            <v/>
          </cell>
          <cell r="AB9502" t="str">
            <v/>
          </cell>
          <cell r="AC9502" t="str">
            <v/>
          </cell>
          <cell r="AD9502" t="str">
            <v/>
          </cell>
          <cell r="AY9502" t="str">
            <v/>
          </cell>
          <cell r="AZ9502" t="str">
            <v/>
          </cell>
          <cell r="BA9502" t="str">
            <v/>
          </cell>
        </row>
        <row r="9503">
          <cell r="B9503" t="str">
            <v>-</v>
          </cell>
          <cell r="E9503" t="str">
            <v/>
          </cell>
          <cell r="G9503" t="str">
            <v/>
          </cell>
          <cell r="J9503" t="str">
            <v/>
          </cell>
          <cell r="O9503" t="str">
            <v/>
          </cell>
          <cell r="P9503" t="str">
            <v/>
          </cell>
          <cell r="Q9503" t="str">
            <v/>
          </cell>
          <cell r="S9503" t="str">
            <v/>
          </cell>
          <cell r="V9503" t="str">
            <v/>
          </cell>
          <cell r="Z9503" t="str">
            <v/>
          </cell>
          <cell r="AA9503" t="str">
            <v/>
          </cell>
          <cell r="AB9503" t="str">
            <v/>
          </cell>
          <cell r="AC9503" t="str">
            <v/>
          </cell>
          <cell r="AD9503" t="str">
            <v/>
          </cell>
          <cell r="AY9503" t="str">
            <v/>
          </cell>
          <cell r="AZ9503" t="str">
            <v/>
          </cell>
          <cell r="BA9503" t="str">
            <v/>
          </cell>
        </row>
        <row r="9504">
          <cell r="B9504" t="str">
            <v>-</v>
          </cell>
          <cell r="E9504" t="str">
            <v/>
          </cell>
          <cell r="G9504" t="str">
            <v/>
          </cell>
          <cell r="J9504" t="str">
            <v/>
          </cell>
          <cell r="O9504" t="str">
            <v/>
          </cell>
          <cell r="P9504" t="str">
            <v/>
          </cell>
          <cell r="Q9504" t="str">
            <v/>
          </cell>
          <cell r="S9504" t="str">
            <v/>
          </cell>
          <cell r="V9504" t="str">
            <v/>
          </cell>
          <cell r="Z9504" t="str">
            <v/>
          </cell>
          <cell r="AA9504" t="str">
            <v/>
          </cell>
          <cell r="AB9504" t="str">
            <v/>
          </cell>
          <cell r="AC9504" t="str">
            <v/>
          </cell>
          <cell r="AD9504" t="str">
            <v/>
          </cell>
          <cell r="AY9504" t="str">
            <v/>
          </cell>
          <cell r="AZ9504" t="str">
            <v/>
          </cell>
          <cell r="BA9504" t="str">
            <v/>
          </cell>
        </row>
        <row r="9505">
          <cell r="B9505" t="str">
            <v>-</v>
          </cell>
          <cell r="E9505" t="str">
            <v/>
          </cell>
          <cell r="G9505" t="str">
            <v/>
          </cell>
          <cell r="J9505" t="str">
            <v/>
          </cell>
          <cell r="O9505" t="str">
            <v/>
          </cell>
          <cell r="P9505" t="str">
            <v/>
          </cell>
          <cell r="Q9505" t="str">
            <v/>
          </cell>
          <cell r="S9505" t="str">
            <v/>
          </cell>
          <cell r="V9505" t="str">
            <v/>
          </cell>
          <cell r="Z9505" t="str">
            <v/>
          </cell>
          <cell r="AA9505" t="str">
            <v/>
          </cell>
          <cell r="AB9505" t="str">
            <v/>
          </cell>
          <cell r="AC9505" t="str">
            <v/>
          </cell>
          <cell r="AD9505" t="str">
            <v/>
          </cell>
          <cell r="AY9505" t="str">
            <v/>
          </cell>
          <cell r="AZ9505" t="str">
            <v/>
          </cell>
          <cell r="BA9505" t="str">
            <v/>
          </cell>
        </row>
        <row r="9506">
          <cell r="B9506" t="str">
            <v>-</v>
          </cell>
          <cell r="E9506" t="str">
            <v/>
          </cell>
          <cell r="G9506" t="str">
            <v/>
          </cell>
          <cell r="J9506" t="str">
            <v/>
          </cell>
          <cell r="O9506" t="str">
            <v/>
          </cell>
          <cell r="P9506" t="str">
            <v/>
          </cell>
          <cell r="Q9506" t="str">
            <v/>
          </cell>
          <cell r="S9506" t="str">
            <v/>
          </cell>
          <cell r="V9506" t="str">
            <v/>
          </cell>
          <cell r="Z9506" t="str">
            <v/>
          </cell>
          <cell r="AA9506" t="str">
            <v/>
          </cell>
          <cell r="AB9506" t="str">
            <v/>
          </cell>
          <cell r="AC9506" t="str">
            <v/>
          </cell>
          <cell r="AD9506" t="str">
            <v/>
          </cell>
          <cell r="AY9506" t="str">
            <v/>
          </cell>
          <cell r="AZ9506" t="str">
            <v/>
          </cell>
          <cell r="BA9506" t="str">
            <v/>
          </cell>
        </row>
        <row r="9507">
          <cell r="B9507" t="str">
            <v>-</v>
          </cell>
          <cell r="E9507" t="str">
            <v/>
          </cell>
          <cell r="G9507" t="str">
            <v/>
          </cell>
          <cell r="J9507" t="str">
            <v/>
          </cell>
          <cell r="O9507" t="str">
            <v/>
          </cell>
          <cell r="P9507" t="str">
            <v/>
          </cell>
          <cell r="Q9507" t="str">
            <v/>
          </cell>
          <cell r="S9507" t="str">
            <v/>
          </cell>
          <cell r="V9507" t="str">
            <v/>
          </cell>
          <cell r="Z9507" t="str">
            <v/>
          </cell>
          <cell r="AA9507" t="str">
            <v/>
          </cell>
          <cell r="AB9507" t="str">
            <v/>
          </cell>
          <cell r="AC9507" t="str">
            <v/>
          </cell>
          <cell r="AD9507" t="str">
            <v/>
          </cell>
          <cell r="AY9507" t="str">
            <v/>
          </cell>
          <cell r="AZ9507" t="str">
            <v/>
          </cell>
          <cell r="BA9507" t="str">
            <v/>
          </cell>
        </row>
        <row r="9508">
          <cell r="B9508" t="str">
            <v>-</v>
          </cell>
          <cell r="E9508" t="str">
            <v/>
          </cell>
          <cell r="G9508" t="str">
            <v/>
          </cell>
          <cell r="J9508" t="str">
            <v/>
          </cell>
          <cell r="O9508" t="str">
            <v/>
          </cell>
          <cell r="P9508" t="str">
            <v/>
          </cell>
          <cell r="Q9508" t="str">
            <v/>
          </cell>
          <cell r="S9508" t="str">
            <v/>
          </cell>
          <cell r="V9508" t="str">
            <v/>
          </cell>
          <cell r="Z9508" t="str">
            <v/>
          </cell>
          <cell r="AA9508" t="str">
            <v/>
          </cell>
          <cell r="AB9508" t="str">
            <v/>
          </cell>
          <cell r="AC9508" t="str">
            <v/>
          </cell>
          <cell r="AD9508" t="str">
            <v/>
          </cell>
          <cell r="AY9508" t="str">
            <v/>
          </cell>
          <cell r="AZ9508" t="str">
            <v/>
          </cell>
          <cell r="BA9508" t="str">
            <v/>
          </cell>
        </row>
        <row r="9509">
          <cell r="B9509" t="str">
            <v>-</v>
          </cell>
          <cell r="E9509" t="str">
            <v/>
          </cell>
          <cell r="G9509" t="str">
            <v/>
          </cell>
          <cell r="J9509" t="str">
            <v/>
          </cell>
          <cell r="O9509" t="str">
            <v/>
          </cell>
          <cell r="P9509" t="str">
            <v/>
          </cell>
          <cell r="Q9509" t="str">
            <v/>
          </cell>
          <cell r="S9509" t="str">
            <v/>
          </cell>
          <cell r="V9509" t="str">
            <v/>
          </cell>
          <cell r="Z9509" t="str">
            <v/>
          </cell>
          <cell r="AA9509" t="str">
            <v/>
          </cell>
          <cell r="AB9509" t="str">
            <v/>
          </cell>
          <cell r="AC9509" t="str">
            <v/>
          </cell>
          <cell r="AD9509" t="str">
            <v/>
          </cell>
          <cell r="AY9509" t="str">
            <v/>
          </cell>
          <cell r="AZ9509" t="str">
            <v/>
          </cell>
          <cell r="BA9509" t="str">
            <v/>
          </cell>
        </row>
        <row r="9510">
          <cell r="B9510" t="str">
            <v>-</v>
          </cell>
          <cell r="E9510" t="str">
            <v/>
          </cell>
          <cell r="G9510" t="str">
            <v/>
          </cell>
          <cell r="J9510" t="str">
            <v/>
          </cell>
          <cell r="O9510" t="str">
            <v/>
          </cell>
          <cell r="P9510" t="str">
            <v/>
          </cell>
          <cell r="Q9510" t="str">
            <v/>
          </cell>
          <cell r="S9510" t="str">
            <v/>
          </cell>
          <cell r="V9510" t="str">
            <v/>
          </cell>
          <cell r="Z9510" t="str">
            <v/>
          </cell>
          <cell r="AA9510" t="str">
            <v/>
          </cell>
          <cell r="AB9510" t="str">
            <v/>
          </cell>
          <cell r="AC9510" t="str">
            <v/>
          </cell>
          <cell r="AD9510" t="str">
            <v/>
          </cell>
          <cell r="AY9510" t="str">
            <v/>
          </cell>
          <cell r="AZ9510" t="str">
            <v/>
          </cell>
          <cell r="BA9510" t="str">
            <v/>
          </cell>
        </row>
        <row r="9511">
          <cell r="B9511" t="str">
            <v>-</v>
          </cell>
          <cell r="E9511" t="str">
            <v/>
          </cell>
          <cell r="G9511" t="str">
            <v/>
          </cell>
          <cell r="J9511" t="str">
            <v/>
          </cell>
          <cell r="O9511" t="str">
            <v/>
          </cell>
          <cell r="P9511" t="str">
            <v/>
          </cell>
          <cell r="Q9511" t="str">
            <v/>
          </cell>
          <cell r="S9511" t="str">
            <v/>
          </cell>
          <cell r="V9511" t="str">
            <v/>
          </cell>
          <cell r="Z9511" t="str">
            <v/>
          </cell>
          <cell r="AA9511" t="str">
            <v/>
          </cell>
          <cell r="AB9511" t="str">
            <v/>
          </cell>
          <cell r="AC9511" t="str">
            <v/>
          </cell>
          <cell r="AD9511" t="str">
            <v/>
          </cell>
          <cell r="AY9511" t="str">
            <v/>
          </cell>
          <cell r="AZ9511" t="str">
            <v/>
          </cell>
          <cell r="BA9511" t="str">
            <v/>
          </cell>
        </row>
        <row r="9512">
          <cell r="B9512" t="str">
            <v>-</v>
          </cell>
          <cell r="E9512" t="str">
            <v/>
          </cell>
          <cell r="G9512" t="str">
            <v/>
          </cell>
          <cell r="J9512" t="str">
            <v/>
          </cell>
          <cell r="O9512" t="str">
            <v/>
          </cell>
          <cell r="P9512" t="str">
            <v/>
          </cell>
          <cell r="Q9512" t="str">
            <v/>
          </cell>
          <cell r="S9512" t="str">
            <v/>
          </cell>
          <cell r="V9512" t="str">
            <v/>
          </cell>
          <cell r="Z9512" t="str">
            <v/>
          </cell>
          <cell r="AA9512" t="str">
            <v/>
          </cell>
          <cell r="AB9512" t="str">
            <v/>
          </cell>
          <cell r="AC9512" t="str">
            <v/>
          </cell>
          <cell r="AD9512" t="str">
            <v/>
          </cell>
          <cell r="AY9512" t="str">
            <v/>
          </cell>
          <cell r="AZ9512" t="str">
            <v/>
          </cell>
          <cell r="BA9512" t="str">
            <v/>
          </cell>
        </row>
        <row r="9513">
          <cell r="B9513" t="str">
            <v>-</v>
          </cell>
          <cell r="E9513" t="str">
            <v/>
          </cell>
          <cell r="G9513" t="str">
            <v/>
          </cell>
          <cell r="J9513" t="str">
            <v/>
          </cell>
          <cell r="O9513" t="str">
            <v/>
          </cell>
          <cell r="P9513" t="str">
            <v/>
          </cell>
          <cell r="Q9513" t="str">
            <v/>
          </cell>
          <cell r="S9513" t="str">
            <v/>
          </cell>
          <cell r="V9513" t="str">
            <v/>
          </cell>
          <cell r="Z9513" t="str">
            <v/>
          </cell>
          <cell r="AA9513" t="str">
            <v/>
          </cell>
          <cell r="AB9513" t="str">
            <v/>
          </cell>
          <cell r="AC9513" t="str">
            <v/>
          </cell>
          <cell r="AD9513" t="str">
            <v/>
          </cell>
          <cell r="AY9513" t="str">
            <v/>
          </cell>
          <cell r="AZ9513" t="str">
            <v/>
          </cell>
          <cell r="BA9513" t="str">
            <v/>
          </cell>
        </row>
        <row r="9514">
          <cell r="B9514" t="str">
            <v>-</v>
          </cell>
          <cell r="E9514" t="str">
            <v/>
          </cell>
          <cell r="G9514" t="str">
            <v/>
          </cell>
          <cell r="J9514" t="str">
            <v/>
          </cell>
          <cell r="O9514" t="str">
            <v/>
          </cell>
          <cell r="P9514" t="str">
            <v/>
          </cell>
          <cell r="Q9514" t="str">
            <v/>
          </cell>
          <cell r="S9514" t="str">
            <v/>
          </cell>
          <cell r="V9514" t="str">
            <v/>
          </cell>
          <cell r="Z9514" t="str">
            <v/>
          </cell>
          <cell r="AA9514" t="str">
            <v/>
          </cell>
          <cell r="AB9514" t="str">
            <v/>
          </cell>
          <cell r="AC9514" t="str">
            <v/>
          </cell>
          <cell r="AD9514" t="str">
            <v/>
          </cell>
          <cell r="AY9514" t="str">
            <v/>
          </cell>
          <cell r="AZ9514" t="str">
            <v/>
          </cell>
          <cell r="BA9514" t="str">
            <v/>
          </cell>
        </row>
        <row r="9515">
          <cell r="B9515" t="str">
            <v>-</v>
          </cell>
          <cell r="E9515" t="str">
            <v/>
          </cell>
          <cell r="G9515" t="str">
            <v/>
          </cell>
          <cell r="J9515" t="str">
            <v/>
          </cell>
          <cell r="O9515" t="str">
            <v/>
          </cell>
          <cell r="P9515" t="str">
            <v/>
          </cell>
          <cell r="Q9515" t="str">
            <v/>
          </cell>
          <cell r="S9515" t="str">
            <v/>
          </cell>
          <cell r="V9515" t="str">
            <v/>
          </cell>
          <cell r="Z9515" t="str">
            <v/>
          </cell>
          <cell r="AA9515" t="str">
            <v/>
          </cell>
          <cell r="AB9515" t="str">
            <v/>
          </cell>
          <cell r="AC9515" t="str">
            <v/>
          </cell>
          <cell r="AD9515" t="str">
            <v/>
          </cell>
          <cell r="AY9515" t="str">
            <v/>
          </cell>
          <cell r="AZ9515" t="str">
            <v/>
          </cell>
          <cell r="BA9515" t="str">
            <v/>
          </cell>
        </row>
        <row r="9516">
          <cell r="B9516" t="str">
            <v>-</v>
          </cell>
          <cell r="E9516" t="str">
            <v/>
          </cell>
          <cell r="G9516" t="str">
            <v/>
          </cell>
          <cell r="J9516" t="str">
            <v/>
          </cell>
          <cell r="O9516" t="str">
            <v/>
          </cell>
          <cell r="P9516" t="str">
            <v/>
          </cell>
          <cell r="Q9516" t="str">
            <v/>
          </cell>
          <cell r="S9516" t="str">
            <v/>
          </cell>
          <cell r="V9516" t="str">
            <v/>
          </cell>
          <cell r="Z9516" t="str">
            <v/>
          </cell>
          <cell r="AA9516" t="str">
            <v/>
          </cell>
          <cell r="AB9516" t="str">
            <v/>
          </cell>
          <cell r="AC9516" t="str">
            <v/>
          </cell>
          <cell r="AD9516" t="str">
            <v/>
          </cell>
          <cell r="AY9516" t="str">
            <v/>
          </cell>
          <cell r="AZ9516" t="str">
            <v/>
          </cell>
          <cell r="BA9516" t="str">
            <v/>
          </cell>
        </row>
        <row r="9517">
          <cell r="B9517" t="str">
            <v>-</v>
          </cell>
          <cell r="E9517" t="str">
            <v/>
          </cell>
          <cell r="G9517" t="str">
            <v/>
          </cell>
          <cell r="J9517" t="str">
            <v/>
          </cell>
          <cell r="O9517" t="str">
            <v/>
          </cell>
          <cell r="P9517" t="str">
            <v/>
          </cell>
          <cell r="Q9517" t="str">
            <v/>
          </cell>
          <cell r="S9517" t="str">
            <v/>
          </cell>
          <cell r="V9517" t="str">
            <v/>
          </cell>
          <cell r="Z9517" t="str">
            <v/>
          </cell>
          <cell r="AA9517" t="str">
            <v/>
          </cell>
          <cell r="AB9517" t="str">
            <v/>
          </cell>
          <cell r="AC9517" t="str">
            <v/>
          </cell>
          <cell r="AD9517" t="str">
            <v/>
          </cell>
          <cell r="AY9517" t="str">
            <v/>
          </cell>
          <cell r="AZ9517" t="str">
            <v/>
          </cell>
          <cell r="BA9517" t="str">
            <v/>
          </cell>
        </row>
        <row r="9518">
          <cell r="B9518" t="str">
            <v>-</v>
          </cell>
          <cell r="E9518" t="str">
            <v/>
          </cell>
          <cell r="G9518" t="str">
            <v/>
          </cell>
          <cell r="J9518" t="str">
            <v/>
          </cell>
          <cell r="O9518" t="str">
            <v/>
          </cell>
          <cell r="P9518" t="str">
            <v/>
          </cell>
          <cell r="Q9518" t="str">
            <v/>
          </cell>
          <cell r="S9518" t="str">
            <v/>
          </cell>
          <cell r="V9518" t="str">
            <v/>
          </cell>
          <cell r="Z9518" t="str">
            <v/>
          </cell>
          <cell r="AA9518" t="str">
            <v/>
          </cell>
          <cell r="AB9518" t="str">
            <v/>
          </cell>
          <cell r="AC9518" t="str">
            <v/>
          </cell>
          <cell r="AD9518" t="str">
            <v/>
          </cell>
          <cell r="AY9518" t="str">
            <v/>
          </cell>
          <cell r="AZ9518" t="str">
            <v/>
          </cell>
          <cell r="BA9518" t="str">
            <v/>
          </cell>
        </row>
        <row r="9519">
          <cell r="B9519" t="str">
            <v>-</v>
          </cell>
          <cell r="E9519" t="str">
            <v/>
          </cell>
          <cell r="G9519" t="str">
            <v/>
          </cell>
          <cell r="J9519" t="str">
            <v/>
          </cell>
          <cell r="O9519" t="str">
            <v/>
          </cell>
          <cell r="P9519" t="str">
            <v/>
          </cell>
          <cell r="Q9519" t="str">
            <v/>
          </cell>
          <cell r="S9519" t="str">
            <v/>
          </cell>
          <cell r="V9519" t="str">
            <v/>
          </cell>
          <cell r="Z9519" t="str">
            <v/>
          </cell>
          <cell r="AA9519" t="str">
            <v/>
          </cell>
          <cell r="AB9519" t="str">
            <v/>
          </cell>
          <cell r="AC9519" t="str">
            <v/>
          </cell>
          <cell r="AD9519" t="str">
            <v/>
          </cell>
          <cell r="AY9519" t="str">
            <v/>
          </cell>
          <cell r="AZ9519" t="str">
            <v/>
          </cell>
          <cell r="BA9519" t="str">
            <v/>
          </cell>
        </row>
        <row r="9520">
          <cell r="B9520" t="str">
            <v>-</v>
          </cell>
          <cell r="E9520" t="str">
            <v/>
          </cell>
          <cell r="G9520" t="str">
            <v/>
          </cell>
          <cell r="J9520" t="str">
            <v/>
          </cell>
          <cell r="O9520" t="str">
            <v/>
          </cell>
          <cell r="P9520" t="str">
            <v/>
          </cell>
          <cell r="Q9520" t="str">
            <v/>
          </cell>
          <cell r="S9520" t="str">
            <v/>
          </cell>
          <cell r="V9520" t="str">
            <v/>
          </cell>
          <cell r="Z9520" t="str">
            <v/>
          </cell>
          <cell r="AA9520" t="str">
            <v/>
          </cell>
          <cell r="AB9520" t="str">
            <v/>
          </cell>
          <cell r="AC9520" t="str">
            <v/>
          </cell>
          <cell r="AD9520" t="str">
            <v/>
          </cell>
          <cell r="AY9520" t="str">
            <v/>
          </cell>
          <cell r="AZ9520" t="str">
            <v/>
          </cell>
          <cell r="BA9520" t="str">
            <v/>
          </cell>
        </row>
        <row r="9521">
          <cell r="B9521" t="str">
            <v>-</v>
          </cell>
          <cell r="E9521" t="str">
            <v/>
          </cell>
          <cell r="G9521" t="str">
            <v/>
          </cell>
          <cell r="J9521" t="str">
            <v/>
          </cell>
          <cell r="O9521" t="str">
            <v/>
          </cell>
          <cell r="P9521" t="str">
            <v/>
          </cell>
          <cell r="Q9521" t="str">
            <v/>
          </cell>
          <cell r="S9521" t="str">
            <v/>
          </cell>
          <cell r="V9521" t="str">
            <v/>
          </cell>
          <cell r="Z9521" t="str">
            <v/>
          </cell>
          <cell r="AA9521" t="str">
            <v/>
          </cell>
          <cell r="AB9521" t="str">
            <v/>
          </cell>
          <cell r="AC9521" t="str">
            <v/>
          </cell>
          <cell r="AD9521" t="str">
            <v/>
          </cell>
          <cell r="AY9521" t="str">
            <v/>
          </cell>
          <cell r="AZ9521" t="str">
            <v/>
          </cell>
          <cell r="BA9521" t="str">
            <v/>
          </cell>
        </row>
        <row r="9522">
          <cell r="B9522" t="str">
            <v>-</v>
          </cell>
          <cell r="E9522" t="str">
            <v/>
          </cell>
          <cell r="G9522" t="str">
            <v/>
          </cell>
          <cell r="J9522" t="str">
            <v/>
          </cell>
          <cell r="O9522" t="str">
            <v/>
          </cell>
          <cell r="P9522" t="str">
            <v/>
          </cell>
          <cell r="Q9522" t="str">
            <v/>
          </cell>
          <cell r="S9522" t="str">
            <v/>
          </cell>
          <cell r="V9522" t="str">
            <v/>
          </cell>
          <cell r="Z9522" t="str">
            <v/>
          </cell>
          <cell r="AA9522" t="str">
            <v/>
          </cell>
          <cell r="AB9522" t="str">
            <v/>
          </cell>
          <cell r="AC9522" t="str">
            <v/>
          </cell>
          <cell r="AD9522" t="str">
            <v/>
          </cell>
          <cell r="AY9522" t="str">
            <v/>
          </cell>
          <cell r="AZ9522" t="str">
            <v/>
          </cell>
          <cell r="BA9522" t="str">
            <v/>
          </cell>
        </row>
        <row r="9523">
          <cell r="B9523" t="str">
            <v>-</v>
          </cell>
          <cell r="E9523" t="str">
            <v/>
          </cell>
          <cell r="G9523" t="str">
            <v/>
          </cell>
          <cell r="J9523" t="str">
            <v/>
          </cell>
          <cell r="O9523" t="str">
            <v/>
          </cell>
          <cell r="P9523" t="str">
            <v/>
          </cell>
          <cell r="Q9523" t="str">
            <v/>
          </cell>
          <cell r="S9523" t="str">
            <v/>
          </cell>
          <cell r="V9523" t="str">
            <v/>
          </cell>
          <cell r="Z9523" t="str">
            <v/>
          </cell>
          <cell r="AA9523" t="str">
            <v/>
          </cell>
          <cell r="AB9523" t="str">
            <v/>
          </cell>
          <cell r="AC9523" t="str">
            <v/>
          </cell>
          <cell r="AD9523" t="str">
            <v/>
          </cell>
          <cell r="AY9523" t="str">
            <v/>
          </cell>
          <cell r="AZ9523" t="str">
            <v/>
          </cell>
          <cell r="BA9523" t="str">
            <v/>
          </cell>
        </row>
        <row r="9524">
          <cell r="B9524" t="str">
            <v>-</v>
          </cell>
          <cell r="E9524" t="str">
            <v/>
          </cell>
          <cell r="G9524" t="str">
            <v/>
          </cell>
          <cell r="J9524" t="str">
            <v/>
          </cell>
          <cell r="O9524" t="str">
            <v/>
          </cell>
          <cell r="P9524" t="str">
            <v/>
          </cell>
          <cell r="Q9524" t="str">
            <v/>
          </cell>
          <cell r="S9524" t="str">
            <v/>
          </cell>
          <cell r="V9524" t="str">
            <v/>
          </cell>
          <cell r="Z9524" t="str">
            <v/>
          </cell>
          <cell r="AA9524" t="str">
            <v/>
          </cell>
          <cell r="AB9524" t="str">
            <v/>
          </cell>
          <cell r="AC9524" t="str">
            <v/>
          </cell>
          <cell r="AD9524" t="str">
            <v/>
          </cell>
          <cell r="AY9524" t="str">
            <v/>
          </cell>
          <cell r="AZ9524" t="str">
            <v/>
          </cell>
          <cell r="BA9524" t="str">
            <v/>
          </cell>
        </row>
        <row r="9525">
          <cell r="B9525" t="str">
            <v>-</v>
          </cell>
          <cell r="E9525" t="str">
            <v/>
          </cell>
          <cell r="G9525" t="str">
            <v/>
          </cell>
          <cell r="J9525" t="str">
            <v/>
          </cell>
          <cell r="O9525" t="str">
            <v/>
          </cell>
          <cell r="P9525" t="str">
            <v/>
          </cell>
          <cell r="Q9525" t="str">
            <v/>
          </cell>
          <cell r="S9525" t="str">
            <v/>
          </cell>
          <cell r="V9525" t="str">
            <v/>
          </cell>
          <cell r="Z9525" t="str">
            <v/>
          </cell>
          <cell r="AA9525" t="str">
            <v/>
          </cell>
          <cell r="AB9525" t="str">
            <v/>
          </cell>
          <cell r="AC9525" t="str">
            <v/>
          </cell>
          <cell r="AD9525" t="str">
            <v/>
          </cell>
          <cell r="AY9525" t="str">
            <v/>
          </cell>
          <cell r="AZ9525" t="str">
            <v/>
          </cell>
          <cell r="BA9525" t="str">
            <v/>
          </cell>
        </row>
        <row r="9526">
          <cell r="B9526" t="str">
            <v>-</v>
          </cell>
          <cell r="E9526" t="str">
            <v/>
          </cell>
          <cell r="G9526" t="str">
            <v/>
          </cell>
          <cell r="J9526" t="str">
            <v/>
          </cell>
          <cell r="O9526" t="str">
            <v/>
          </cell>
          <cell r="P9526" t="str">
            <v/>
          </cell>
          <cell r="Q9526" t="str">
            <v/>
          </cell>
          <cell r="S9526" t="str">
            <v/>
          </cell>
          <cell r="V9526" t="str">
            <v/>
          </cell>
          <cell r="Z9526" t="str">
            <v/>
          </cell>
          <cell r="AA9526" t="str">
            <v/>
          </cell>
          <cell r="AB9526" t="str">
            <v/>
          </cell>
          <cell r="AC9526" t="str">
            <v/>
          </cell>
          <cell r="AD9526" t="str">
            <v/>
          </cell>
          <cell r="AY9526" t="str">
            <v/>
          </cell>
          <cell r="AZ9526" t="str">
            <v/>
          </cell>
          <cell r="BA9526" t="str">
            <v/>
          </cell>
        </row>
        <row r="9527">
          <cell r="B9527" t="str">
            <v>-</v>
          </cell>
          <cell r="E9527" t="str">
            <v/>
          </cell>
          <cell r="G9527" t="str">
            <v/>
          </cell>
          <cell r="J9527" t="str">
            <v/>
          </cell>
          <cell r="O9527" t="str">
            <v/>
          </cell>
          <cell r="P9527" t="str">
            <v/>
          </cell>
          <cell r="Q9527" t="str">
            <v/>
          </cell>
          <cell r="S9527" t="str">
            <v/>
          </cell>
          <cell r="V9527" t="str">
            <v/>
          </cell>
          <cell r="Z9527" t="str">
            <v/>
          </cell>
          <cell r="AA9527" t="str">
            <v/>
          </cell>
          <cell r="AB9527" t="str">
            <v/>
          </cell>
          <cell r="AC9527" t="str">
            <v/>
          </cell>
          <cell r="AD9527" t="str">
            <v/>
          </cell>
          <cell r="AY9527" t="str">
            <v/>
          </cell>
          <cell r="AZ9527" t="str">
            <v/>
          </cell>
          <cell r="BA9527" t="str">
            <v/>
          </cell>
        </row>
        <row r="9528">
          <cell r="B9528" t="str">
            <v>-</v>
          </cell>
          <cell r="E9528" t="str">
            <v/>
          </cell>
          <cell r="G9528" t="str">
            <v/>
          </cell>
          <cell r="J9528" t="str">
            <v/>
          </cell>
          <cell r="O9528" t="str">
            <v/>
          </cell>
          <cell r="P9528" t="str">
            <v/>
          </cell>
          <cell r="Q9528" t="str">
            <v/>
          </cell>
          <cell r="S9528" t="str">
            <v/>
          </cell>
          <cell r="V9528" t="str">
            <v/>
          </cell>
          <cell r="Z9528" t="str">
            <v/>
          </cell>
          <cell r="AA9528" t="str">
            <v/>
          </cell>
          <cell r="AB9528" t="str">
            <v/>
          </cell>
          <cell r="AC9528" t="str">
            <v/>
          </cell>
          <cell r="AD9528" t="str">
            <v/>
          </cell>
          <cell r="AY9528" t="str">
            <v/>
          </cell>
          <cell r="AZ9528" t="str">
            <v/>
          </cell>
          <cell r="BA9528" t="str">
            <v/>
          </cell>
        </row>
        <row r="9529">
          <cell r="B9529" t="str">
            <v>-</v>
          </cell>
          <cell r="E9529" t="str">
            <v/>
          </cell>
          <cell r="G9529" t="str">
            <v/>
          </cell>
          <cell r="J9529" t="str">
            <v/>
          </cell>
          <cell r="O9529" t="str">
            <v/>
          </cell>
          <cell r="P9529" t="str">
            <v/>
          </cell>
          <cell r="Q9529" t="str">
            <v/>
          </cell>
          <cell r="S9529" t="str">
            <v/>
          </cell>
          <cell r="V9529" t="str">
            <v/>
          </cell>
          <cell r="Z9529" t="str">
            <v/>
          </cell>
          <cell r="AA9529" t="str">
            <v/>
          </cell>
          <cell r="AB9529" t="str">
            <v/>
          </cell>
          <cell r="AC9529" t="str">
            <v/>
          </cell>
          <cell r="AD9529" t="str">
            <v/>
          </cell>
          <cell r="AY9529" t="str">
            <v/>
          </cell>
          <cell r="AZ9529" t="str">
            <v/>
          </cell>
          <cell r="BA9529" t="str">
            <v/>
          </cell>
        </row>
        <row r="9530">
          <cell r="B9530" t="str">
            <v>-</v>
          </cell>
          <cell r="E9530" t="str">
            <v/>
          </cell>
          <cell r="G9530" t="str">
            <v/>
          </cell>
          <cell r="J9530" t="str">
            <v/>
          </cell>
          <cell r="O9530" t="str">
            <v/>
          </cell>
          <cell r="P9530" t="str">
            <v/>
          </cell>
          <cell r="Q9530" t="str">
            <v/>
          </cell>
          <cell r="S9530" t="str">
            <v/>
          </cell>
          <cell r="V9530" t="str">
            <v/>
          </cell>
          <cell r="Z9530" t="str">
            <v/>
          </cell>
          <cell r="AA9530" t="str">
            <v/>
          </cell>
          <cell r="AB9530" t="str">
            <v/>
          </cell>
          <cell r="AC9530" t="str">
            <v/>
          </cell>
          <cell r="AD9530" t="str">
            <v/>
          </cell>
          <cell r="AY9530" t="str">
            <v/>
          </cell>
          <cell r="AZ9530" t="str">
            <v/>
          </cell>
          <cell r="BA9530" t="str">
            <v/>
          </cell>
        </row>
        <row r="9531">
          <cell r="B9531" t="str">
            <v>-</v>
          </cell>
          <cell r="E9531" t="str">
            <v/>
          </cell>
          <cell r="G9531" t="str">
            <v/>
          </cell>
          <cell r="J9531" t="str">
            <v/>
          </cell>
          <cell r="O9531" t="str">
            <v/>
          </cell>
          <cell r="P9531" t="str">
            <v/>
          </cell>
          <cell r="Q9531" t="str">
            <v/>
          </cell>
          <cell r="S9531" t="str">
            <v/>
          </cell>
          <cell r="V9531" t="str">
            <v/>
          </cell>
          <cell r="Z9531" t="str">
            <v/>
          </cell>
          <cell r="AA9531" t="str">
            <v/>
          </cell>
          <cell r="AB9531" t="str">
            <v/>
          </cell>
          <cell r="AC9531" t="str">
            <v/>
          </cell>
          <cell r="AD9531" t="str">
            <v/>
          </cell>
          <cell r="AY9531" t="str">
            <v/>
          </cell>
          <cell r="AZ9531" t="str">
            <v/>
          </cell>
          <cell r="BA9531" t="str">
            <v/>
          </cell>
        </row>
        <row r="9532">
          <cell r="B9532" t="str">
            <v>-</v>
          </cell>
          <cell r="E9532" t="str">
            <v/>
          </cell>
          <cell r="G9532" t="str">
            <v/>
          </cell>
          <cell r="J9532" t="str">
            <v/>
          </cell>
          <cell r="O9532" t="str">
            <v/>
          </cell>
          <cell r="P9532" t="str">
            <v/>
          </cell>
          <cell r="Q9532" t="str">
            <v/>
          </cell>
          <cell r="S9532" t="str">
            <v/>
          </cell>
          <cell r="V9532" t="str">
            <v/>
          </cell>
          <cell r="Z9532" t="str">
            <v/>
          </cell>
          <cell r="AA9532" t="str">
            <v/>
          </cell>
          <cell r="AB9532" t="str">
            <v/>
          </cell>
          <cell r="AC9532" t="str">
            <v/>
          </cell>
          <cell r="AD9532" t="str">
            <v/>
          </cell>
          <cell r="AY9532" t="str">
            <v/>
          </cell>
          <cell r="AZ9532" t="str">
            <v/>
          </cell>
          <cell r="BA9532" t="str">
            <v/>
          </cell>
        </row>
        <row r="9533">
          <cell r="B9533" t="str">
            <v>-</v>
          </cell>
          <cell r="E9533" t="str">
            <v/>
          </cell>
          <cell r="G9533" t="str">
            <v/>
          </cell>
          <cell r="J9533" t="str">
            <v/>
          </cell>
          <cell r="O9533" t="str">
            <v/>
          </cell>
          <cell r="P9533" t="str">
            <v/>
          </cell>
          <cell r="Q9533" t="str">
            <v/>
          </cell>
          <cell r="S9533" t="str">
            <v/>
          </cell>
          <cell r="V9533" t="str">
            <v/>
          </cell>
          <cell r="Z9533" t="str">
            <v/>
          </cell>
          <cell r="AA9533" t="str">
            <v/>
          </cell>
          <cell r="AB9533" t="str">
            <v/>
          </cell>
          <cell r="AC9533" t="str">
            <v/>
          </cell>
          <cell r="AD9533" t="str">
            <v/>
          </cell>
          <cell r="AY9533" t="str">
            <v/>
          </cell>
          <cell r="AZ9533" t="str">
            <v/>
          </cell>
          <cell r="BA9533" t="str">
            <v/>
          </cell>
        </row>
        <row r="9534">
          <cell r="B9534" t="str">
            <v>-</v>
          </cell>
          <cell r="E9534" t="str">
            <v/>
          </cell>
          <cell r="G9534" t="str">
            <v/>
          </cell>
          <cell r="J9534" t="str">
            <v/>
          </cell>
          <cell r="O9534" t="str">
            <v/>
          </cell>
          <cell r="P9534" t="str">
            <v/>
          </cell>
          <cell r="Q9534" t="str">
            <v/>
          </cell>
          <cell r="S9534" t="str">
            <v/>
          </cell>
          <cell r="V9534" t="str">
            <v/>
          </cell>
          <cell r="Z9534" t="str">
            <v/>
          </cell>
          <cell r="AA9534" t="str">
            <v/>
          </cell>
          <cell r="AB9534" t="str">
            <v/>
          </cell>
          <cell r="AC9534" t="str">
            <v/>
          </cell>
          <cell r="AD9534" t="str">
            <v/>
          </cell>
          <cell r="AY9534" t="str">
            <v/>
          </cell>
          <cell r="AZ9534" t="str">
            <v/>
          </cell>
          <cell r="BA9534" t="str">
            <v/>
          </cell>
        </row>
        <row r="9535">
          <cell r="B9535" t="str">
            <v>-</v>
          </cell>
          <cell r="E9535" t="str">
            <v/>
          </cell>
          <cell r="G9535" t="str">
            <v/>
          </cell>
          <cell r="J9535" t="str">
            <v/>
          </cell>
          <cell r="O9535" t="str">
            <v/>
          </cell>
          <cell r="P9535" t="str">
            <v/>
          </cell>
          <cell r="Q9535" t="str">
            <v/>
          </cell>
          <cell r="S9535" t="str">
            <v/>
          </cell>
          <cell r="V9535" t="str">
            <v/>
          </cell>
          <cell r="Z9535" t="str">
            <v/>
          </cell>
          <cell r="AA9535" t="str">
            <v/>
          </cell>
          <cell r="AB9535" t="str">
            <v/>
          </cell>
          <cell r="AC9535" t="str">
            <v/>
          </cell>
          <cell r="AD9535" t="str">
            <v/>
          </cell>
          <cell r="AY9535" t="str">
            <v/>
          </cell>
          <cell r="AZ9535" t="str">
            <v/>
          </cell>
          <cell r="BA9535" t="str">
            <v/>
          </cell>
        </row>
        <row r="9536">
          <cell r="B9536" t="str">
            <v>-</v>
          </cell>
          <cell r="E9536" t="str">
            <v/>
          </cell>
          <cell r="G9536" t="str">
            <v/>
          </cell>
          <cell r="J9536" t="str">
            <v/>
          </cell>
          <cell r="O9536" t="str">
            <v/>
          </cell>
          <cell r="P9536" t="str">
            <v/>
          </cell>
          <cell r="Q9536" t="str">
            <v/>
          </cell>
          <cell r="S9536" t="str">
            <v/>
          </cell>
          <cell r="V9536" t="str">
            <v/>
          </cell>
          <cell r="Z9536" t="str">
            <v/>
          </cell>
          <cell r="AA9536" t="str">
            <v/>
          </cell>
          <cell r="AB9536" t="str">
            <v/>
          </cell>
          <cell r="AC9536" t="str">
            <v/>
          </cell>
          <cell r="AD9536" t="str">
            <v/>
          </cell>
          <cell r="AY9536" t="str">
            <v/>
          </cell>
          <cell r="AZ9536" t="str">
            <v/>
          </cell>
          <cell r="BA9536" t="str">
            <v/>
          </cell>
        </row>
        <row r="9537">
          <cell r="B9537" t="str">
            <v>-</v>
          </cell>
          <cell r="E9537" t="str">
            <v/>
          </cell>
          <cell r="G9537" t="str">
            <v/>
          </cell>
          <cell r="J9537" t="str">
            <v/>
          </cell>
          <cell r="O9537" t="str">
            <v/>
          </cell>
          <cell r="P9537" t="str">
            <v/>
          </cell>
          <cell r="Q9537" t="str">
            <v/>
          </cell>
          <cell r="S9537" t="str">
            <v/>
          </cell>
          <cell r="V9537" t="str">
            <v/>
          </cell>
          <cell r="Z9537" t="str">
            <v/>
          </cell>
          <cell r="AA9537" t="str">
            <v/>
          </cell>
          <cell r="AB9537" t="str">
            <v/>
          </cell>
          <cell r="AC9537" t="str">
            <v/>
          </cell>
          <cell r="AD9537" t="str">
            <v/>
          </cell>
          <cell r="AY9537" t="str">
            <v/>
          </cell>
          <cell r="AZ9537" t="str">
            <v/>
          </cell>
          <cell r="BA9537" t="str">
            <v/>
          </cell>
        </row>
        <row r="9538">
          <cell r="B9538" t="str">
            <v>-</v>
          </cell>
          <cell r="E9538" t="str">
            <v/>
          </cell>
          <cell r="G9538" t="str">
            <v/>
          </cell>
          <cell r="J9538" t="str">
            <v/>
          </cell>
          <cell r="O9538" t="str">
            <v/>
          </cell>
          <cell r="P9538" t="str">
            <v/>
          </cell>
          <cell r="Q9538" t="str">
            <v/>
          </cell>
          <cell r="S9538" t="str">
            <v/>
          </cell>
          <cell r="V9538" t="str">
            <v/>
          </cell>
          <cell r="Z9538" t="str">
            <v/>
          </cell>
          <cell r="AA9538" t="str">
            <v/>
          </cell>
          <cell r="AB9538" t="str">
            <v/>
          </cell>
          <cell r="AC9538" t="str">
            <v/>
          </cell>
          <cell r="AD9538" t="str">
            <v/>
          </cell>
          <cell r="AY9538" t="str">
            <v/>
          </cell>
          <cell r="AZ9538" t="str">
            <v/>
          </cell>
          <cell r="BA9538" t="str">
            <v/>
          </cell>
        </row>
        <row r="9539">
          <cell r="B9539" t="str">
            <v>-</v>
          </cell>
          <cell r="E9539" t="str">
            <v/>
          </cell>
          <cell r="G9539" t="str">
            <v/>
          </cell>
          <cell r="J9539" t="str">
            <v/>
          </cell>
          <cell r="O9539" t="str">
            <v/>
          </cell>
          <cell r="P9539" t="str">
            <v/>
          </cell>
          <cell r="Q9539" t="str">
            <v/>
          </cell>
          <cell r="S9539" t="str">
            <v/>
          </cell>
          <cell r="V9539" t="str">
            <v/>
          </cell>
          <cell r="Z9539" t="str">
            <v/>
          </cell>
          <cell r="AA9539" t="str">
            <v/>
          </cell>
          <cell r="AB9539" t="str">
            <v/>
          </cell>
          <cell r="AC9539" t="str">
            <v/>
          </cell>
          <cell r="AD9539" t="str">
            <v/>
          </cell>
          <cell r="AY9539" t="str">
            <v/>
          </cell>
          <cell r="AZ9539" t="str">
            <v/>
          </cell>
          <cell r="BA9539" t="str">
            <v/>
          </cell>
        </row>
        <row r="9540">
          <cell r="B9540" t="str">
            <v>-</v>
          </cell>
          <cell r="E9540" t="str">
            <v/>
          </cell>
          <cell r="G9540" t="str">
            <v/>
          </cell>
          <cell r="J9540" t="str">
            <v/>
          </cell>
          <cell r="O9540" t="str">
            <v/>
          </cell>
          <cell r="P9540" t="str">
            <v/>
          </cell>
          <cell r="Q9540" t="str">
            <v/>
          </cell>
          <cell r="S9540" t="str">
            <v/>
          </cell>
          <cell r="V9540" t="str">
            <v/>
          </cell>
          <cell r="Z9540" t="str">
            <v/>
          </cell>
          <cell r="AA9540" t="str">
            <v/>
          </cell>
          <cell r="AB9540" t="str">
            <v/>
          </cell>
          <cell r="AC9540" t="str">
            <v/>
          </cell>
          <cell r="AD9540" t="str">
            <v/>
          </cell>
          <cell r="AY9540" t="str">
            <v/>
          </cell>
          <cell r="AZ9540" t="str">
            <v/>
          </cell>
          <cell r="BA9540" t="str">
            <v/>
          </cell>
        </row>
        <row r="9541">
          <cell r="B9541" t="str">
            <v>-</v>
          </cell>
          <cell r="E9541" t="str">
            <v/>
          </cell>
          <cell r="G9541" t="str">
            <v/>
          </cell>
          <cell r="J9541" t="str">
            <v/>
          </cell>
          <cell r="O9541" t="str">
            <v/>
          </cell>
          <cell r="P9541" t="str">
            <v/>
          </cell>
          <cell r="Q9541" t="str">
            <v/>
          </cell>
          <cell r="S9541" t="str">
            <v/>
          </cell>
          <cell r="V9541" t="str">
            <v/>
          </cell>
          <cell r="Z9541" t="str">
            <v/>
          </cell>
          <cell r="AA9541" t="str">
            <v/>
          </cell>
          <cell r="AB9541" t="str">
            <v/>
          </cell>
          <cell r="AC9541" t="str">
            <v/>
          </cell>
          <cell r="AD9541" t="str">
            <v/>
          </cell>
          <cell r="AY9541" t="str">
            <v/>
          </cell>
          <cell r="AZ9541" t="str">
            <v/>
          </cell>
          <cell r="BA9541" t="str">
            <v/>
          </cell>
        </row>
        <row r="9542">
          <cell r="B9542" t="str">
            <v>-</v>
          </cell>
          <cell r="E9542" t="str">
            <v/>
          </cell>
          <cell r="G9542" t="str">
            <v/>
          </cell>
          <cell r="J9542" t="str">
            <v/>
          </cell>
          <cell r="O9542" t="str">
            <v/>
          </cell>
          <cell r="P9542" t="str">
            <v/>
          </cell>
          <cell r="Q9542" t="str">
            <v/>
          </cell>
          <cell r="S9542" t="str">
            <v/>
          </cell>
          <cell r="V9542" t="str">
            <v/>
          </cell>
          <cell r="Z9542" t="str">
            <v/>
          </cell>
          <cell r="AA9542" t="str">
            <v/>
          </cell>
          <cell r="AB9542" t="str">
            <v/>
          </cell>
          <cell r="AC9542" t="str">
            <v/>
          </cell>
          <cell r="AD9542" t="str">
            <v/>
          </cell>
          <cell r="AY9542" t="str">
            <v/>
          </cell>
          <cell r="AZ9542" t="str">
            <v/>
          </cell>
          <cell r="BA9542" t="str">
            <v/>
          </cell>
        </row>
        <row r="9543">
          <cell r="B9543" t="str">
            <v>-</v>
          </cell>
          <cell r="E9543" t="str">
            <v/>
          </cell>
          <cell r="G9543" t="str">
            <v/>
          </cell>
          <cell r="J9543" t="str">
            <v/>
          </cell>
          <cell r="O9543" t="str">
            <v/>
          </cell>
          <cell r="P9543" t="str">
            <v/>
          </cell>
          <cell r="Q9543" t="str">
            <v/>
          </cell>
          <cell r="S9543" t="str">
            <v/>
          </cell>
          <cell r="V9543" t="str">
            <v/>
          </cell>
          <cell r="Z9543" t="str">
            <v/>
          </cell>
          <cell r="AA9543" t="str">
            <v/>
          </cell>
          <cell r="AB9543" t="str">
            <v/>
          </cell>
          <cell r="AC9543" t="str">
            <v/>
          </cell>
          <cell r="AD9543" t="str">
            <v/>
          </cell>
          <cell r="AY9543" t="str">
            <v/>
          </cell>
          <cell r="AZ9543" t="str">
            <v/>
          </cell>
          <cell r="BA9543" t="str">
            <v/>
          </cell>
        </row>
        <row r="9544">
          <cell r="B9544" t="str">
            <v>-</v>
          </cell>
          <cell r="E9544" t="str">
            <v/>
          </cell>
          <cell r="G9544" t="str">
            <v/>
          </cell>
          <cell r="J9544" t="str">
            <v/>
          </cell>
          <cell r="O9544" t="str">
            <v/>
          </cell>
          <cell r="P9544" t="str">
            <v/>
          </cell>
          <cell r="Q9544" t="str">
            <v/>
          </cell>
          <cell r="S9544" t="str">
            <v/>
          </cell>
          <cell r="V9544" t="str">
            <v/>
          </cell>
          <cell r="Z9544" t="str">
            <v/>
          </cell>
          <cell r="AA9544" t="str">
            <v/>
          </cell>
          <cell r="AB9544" t="str">
            <v/>
          </cell>
          <cell r="AC9544" t="str">
            <v/>
          </cell>
          <cell r="AD9544" t="str">
            <v/>
          </cell>
          <cell r="AY9544" t="str">
            <v/>
          </cell>
          <cell r="AZ9544" t="str">
            <v/>
          </cell>
          <cell r="BA9544" t="str">
            <v/>
          </cell>
        </row>
        <row r="9545">
          <cell r="B9545" t="str">
            <v>-</v>
          </cell>
          <cell r="E9545" t="str">
            <v/>
          </cell>
          <cell r="G9545" t="str">
            <v/>
          </cell>
          <cell r="J9545" t="str">
            <v/>
          </cell>
          <cell r="O9545" t="str">
            <v/>
          </cell>
          <cell r="P9545" t="str">
            <v/>
          </cell>
          <cell r="Q9545" t="str">
            <v/>
          </cell>
          <cell r="S9545" t="str">
            <v/>
          </cell>
          <cell r="V9545" t="str">
            <v/>
          </cell>
          <cell r="Z9545" t="str">
            <v/>
          </cell>
          <cell r="AA9545" t="str">
            <v/>
          </cell>
          <cell r="AB9545" t="str">
            <v/>
          </cell>
          <cell r="AC9545" t="str">
            <v/>
          </cell>
          <cell r="AD9545" t="str">
            <v/>
          </cell>
          <cell r="AY9545" t="str">
            <v/>
          </cell>
          <cell r="AZ9545" t="str">
            <v/>
          </cell>
          <cell r="BA9545" t="str">
            <v/>
          </cell>
        </row>
        <row r="9546">
          <cell r="B9546" t="str">
            <v>-</v>
          </cell>
          <cell r="E9546" t="str">
            <v/>
          </cell>
          <cell r="G9546" t="str">
            <v/>
          </cell>
          <cell r="J9546" t="str">
            <v/>
          </cell>
          <cell r="O9546" t="str">
            <v/>
          </cell>
          <cell r="P9546" t="str">
            <v/>
          </cell>
          <cell r="Q9546" t="str">
            <v/>
          </cell>
          <cell r="S9546" t="str">
            <v/>
          </cell>
          <cell r="V9546" t="str">
            <v/>
          </cell>
          <cell r="Z9546" t="str">
            <v/>
          </cell>
          <cell r="AA9546" t="str">
            <v/>
          </cell>
          <cell r="AB9546" t="str">
            <v/>
          </cell>
          <cell r="AC9546" t="str">
            <v/>
          </cell>
          <cell r="AD9546" t="str">
            <v/>
          </cell>
          <cell r="AY9546" t="str">
            <v/>
          </cell>
          <cell r="AZ9546" t="str">
            <v/>
          </cell>
          <cell r="BA9546" t="str">
            <v/>
          </cell>
        </row>
        <row r="9547">
          <cell r="B9547" t="str">
            <v>-</v>
          </cell>
          <cell r="E9547" t="str">
            <v/>
          </cell>
          <cell r="G9547" t="str">
            <v/>
          </cell>
          <cell r="J9547" t="str">
            <v/>
          </cell>
          <cell r="O9547" t="str">
            <v/>
          </cell>
          <cell r="P9547" t="str">
            <v/>
          </cell>
          <cell r="Q9547" t="str">
            <v/>
          </cell>
          <cell r="S9547" t="str">
            <v/>
          </cell>
          <cell r="V9547" t="str">
            <v/>
          </cell>
          <cell r="Z9547" t="str">
            <v/>
          </cell>
          <cell r="AA9547" t="str">
            <v/>
          </cell>
          <cell r="AB9547" t="str">
            <v/>
          </cell>
          <cell r="AC9547" t="str">
            <v/>
          </cell>
          <cell r="AD9547" t="str">
            <v/>
          </cell>
          <cell r="AY9547" t="str">
            <v/>
          </cell>
          <cell r="AZ9547" t="str">
            <v/>
          </cell>
          <cell r="BA9547" t="str">
            <v/>
          </cell>
        </row>
        <row r="9548">
          <cell r="B9548" t="str">
            <v>-</v>
          </cell>
          <cell r="E9548" t="str">
            <v/>
          </cell>
          <cell r="G9548" t="str">
            <v/>
          </cell>
          <cell r="J9548" t="str">
            <v/>
          </cell>
          <cell r="O9548" t="str">
            <v/>
          </cell>
          <cell r="P9548" t="str">
            <v/>
          </cell>
          <cell r="Q9548" t="str">
            <v/>
          </cell>
          <cell r="S9548" t="str">
            <v/>
          </cell>
          <cell r="V9548" t="str">
            <v/>
          </cell>
          <cell r="Z9548" t="str">
            <v/>
          </cell>
          <cell r="AA9548" t="str">
            <v/>
          </cell>
          <cell r="AB9548" t="str">
            <v/>
          </cell>
          <cell r="AC9548" t="str">
            <v/>
          </cell>
          <cell r="AD9548" t="str">
            <v/>
          </cell>
          <cell r="AY9548" t="str">
            <v/>
          </cell>
          <cell r="AZ9548" t="str">
            <v/>
          </cell>
          <cell r="BA9548" t="str">
            <v/>
          </cell>
        </row>
        <row r="9549">
          <cell r="B9549" t="str">
            <v>-</v>
          </cell>
          <cell r="E9549" t="str">
            <v/>
          </cell>
          <cell r="G9549" t="str">
            <v/>
          </cell>
          <cell r="J9549" t="str">
            <v/>
          </cell>
          <cell r="O9549" t="str">
            <v/>
          </cell>
          <cell r="P9549" t="str">
            <v/>
          </cell>
          <cell r="Q9549" t="str">
            <v/>
          </cell>
          <cell r="S9549" t="str">
            <v/>
          </cell>
          <cell r="V9549" t="str">
            <v/>
          </cell>
          <cell r="Z9549" t="str">
            <v/>
          </cell>
          <cell r="AA9549" t="str">
            <v/>
          </cell>
          <cell r="AB9549" t="str">
            <v/>
          </cell>
          <cell r="AC9549" t="str">
            <v/>
          </cell>
          <cell r="AD9549" t="str">
            <v/>
          </cell>
          <cell r="AY9549" t="str">
            <v/>
          </cell>
          <cell r="AZ9549" t="str">
            <v/>
          </cell>
          <cell r="BA9549" t="str">
            <v/>
          </cell>
        </row>
        <row r="9550">
          <cell r="B9550" t="str">
            <v>-</v>
          </cell>
          <cell r="E9550" t="str">
            <v/>
          </cell>
          <cell r="G9550" t="str">
            <v/>
          </cell>
          <cell r="J9550" t="str">
            <v/>
          </cell>
          <cell r="O9550" t="str">
            <v/>
          </cell>
          <cell r="P9550" t="str">
            <v/>
          </cell>
          <cell r="Q9550" t="str">
            <v/>
          </cell>
          <cell r="S9550" t="str">
            <v/>
          </cell>
          <cell r="V9550" t="str">
            <v/>
          </cell>
          <cell r="Z9550" t="str">
            <v/>
          </cell>
          <cell r="AA9550" t="str">
            <v/>
          </cell>
          <cell r="AB9550" t="str">
            <v/>
          </cell>
          <cell r="AC9550" t="str">
            <v/>
          </cell>
          <cell r="AD9550" t="str">
            <v/>
          </cell>
          <cell r="AY9550" t="str">
            <v/>
          </cell>
          <cell r="AZ9550" t="str">
            <v/>
          </cell>
          <cell r="BA9550" t="str">
            <v/>
          </cell>
        </row>
        <row r="9551">
          <cell r="B9551" t="str">
            <v>-</v>
          </cell>
          <cell r="E9551" t="str">
            <v/>
          </cell>
          <cell r="G9551" t="str">
            <v/>
          </cell>
          <cell r="J9551" t="str">
            <v/>
          </cell>
          <cell r="O9551" t="str">
            <v/>
          </cell>
          <cell r="P9551" t="str">
            <v/>
          </cell>
          <cell r="Q9551" t="str">
            <v/>
          </cell>
          <cell r="S9551" t="str">
            <v/>
          </cell>
          <cell r="V9551" t="str">
            <v/>
          </cell>
          <cell r="Z9551" t="str">
            <v/>
          </cell>
          <cell r="AA9551" t="str">
            <v/>
          </cell>
          <cell r="AB9551" t="str">
            <v/>
          </cell>
          <cell r="AC9551" t="str">
            <v/>
          </cell>
          <cell r="AD9551" t="str">
            <v/>
          </cell>
          <cell r="AY9551" t="str">
            <v/>
          </cell>
          <cell r="AZ9551" t="str">
            <v/>
          </cell>
          <cell r="BA9551" t="str">
            <v/>
          </cell>
        </row>
        <row r="9552">
          <cell r="B9552" t="str">
            <v>-</v>
          </cell>
          <cell r="E9552" t="str">
            <v/>
          </cell>
          <cell r="G9552" t="str">
            <v/>
          </cell>
          <cell r="J9552" t="str">
            <v/>
          </cell>
          <cell r="O9552" t="str">
            <v/>
          </cell>
          <cell r="P9552" t="str">
            <v/>
          </cell>
          <cell r="Q9552" t="str">
            <v/>
          </cell>
          <cell r="S9552" t="str">
            <v/>
          </cell>
          <cell r="V9552" t="str">
            <v/>
          </cell>
          <cell r="Z9552" t="str">
            <v/>
          </cell>
          <cell r="AA9552" t="str">
            <v/>
          </cell>
          <cell r="AB9552" t="str">
            <v/>
          </cell>
          <cell r="AC9552" t="str">
            <v/>
          </cell>
          <cell r="AD9552" t="str">
            <v/>
          </cell>
          <cell r="AY9552" t="str">
            <v/>
          </cell>
          <cell r="AZ9552" t="str">
            <v/>
          </cell>
          <cell r="BA9552" t="str">
            <v/>
          </cell>
        </row>
        <row r="9553">
          <cell r="B9553" t="str">
            <v>-</v>
          </cell>
          <cell r="E9553" t="str">
            <v/>
          </cell>
          <cell r="G9553" t="str">
            <v/>
          </cell>
          <cell r="J9553" t="str">
            <v/>
          </cell>
          <cell r="O9553" t="str">
            <v/>
          </cell>
          <cell r="P9553" t="str">
            <v/>
          </cell>
          <cell r="Q9553" t="str">
            <v/>
          </cell>
          <cell r="S9553" t="str">
            <v/>
          </cell>
          <cell r="V9553" t="str">
            <v/>
          </cell>
          <cell r="Z9553" t="str">
            <v/>
          </cell>
          <cell r="AA9553" t="str">
            <v/>
          </cell>
          <cell r="AB9553" t="str">
            <v/>
          </cell>
          <cell r="AC9553" t="str">
            <v/>
          </cell>
          <cell r="AD9553" t="str">
            <v/>
          </cell>
          <cell r="AY9553" t="str">
            <v/>
          </cell>
          <cell r="AZ9553" t="str">
            <v/>
          </cell>
          <cell r="BA9553" t="str">
            <v/>
          </cell>
        </row>
        <row r="9554">
          <cell r="B9554" t="str">
            <v>-</v>
          </cell>
          <cell r="E9554" t="str">
            <v/>
          </cell>
          <cell r="G9554" t="str">
            <v/>
          </cell>
          <cell r="J9554" t="str">
            <v/>
          </cell>
          <cell r="O9554" t="str">
            <v/>
          </cell>
          <cell r="P9554" t="str">
            <v/>
          </cell>
          <cell r="Q9554" t="str">
            <v/>
          </cell>
          <cell r="S9554" t="str">
            <v/>
          </cell>
          <cell r="V9554" t="str">
            <v/>
          </cell>
          <cell r="Z9554" t="str">
            <v/>
          </cell>
          <cell r="AA9554" t="str">
            <v/>
          </cell>
          <cell r="AB9554" t="str">
            <v/>
          </cell>
          <cell r="AC9554" t="str">
            <v/>
          </cell>
          <cell r="AD9554" t="str">
            <v/>
          </cell>
          <cell r="AY9554" t="str">
            <v/>
          </cell>
          <cell r="AZ9554" t="str">
            <v/>
          </cell>
          <cell r="BA9554" t="str">
            <v/>
          </cell>
        </row>
        <row r="9555">
          <cell r="B9555" t="str">
            <v>-</v>
          </cell>
          <cell r="E9555" t="str">
            <v/>
          </cell>
          <cell r="G9555" t="str">
            <v/>
          </cell>
          <cell r="J9555" t="str">
            <v/>
          </cell>
          <cell r="O9555" t="str">
            <v/>
          </cell>
          <cell r="P9555" t="str">
            <v/>
          </cell>
          <cell r="Q9555" t="str">
            <v/>
          </cell>
          <cell r="S9555" t="str">
            <v/>
          </cell>
          <cell r="V9555" t="str">
            <v/>
          </cell>
          <cell r="Z9555" t="str">
            <v/>
          </cell>
          <cell r="AA9555" t="str">
            <v/>
          </cell>
          <cell r="AB9555" t="str">
            <v/>
          </cell>
          <cell r="AC9555" t="str">
            <v/>
          </cell>
          <cell r="AD9555" t="str">
            <v/>
          </cell>
          <cell r="AY9555" t="str">
            <v/>
          </cell>
          <cell r="AZ9555" t="str">
            <v/>
          </cell>
          <cell r="BA9555" t="str">
            <v/>
          </cell>
        </row>
        <row r="9556">
          <cell r="B9556" t="str">
            <v>-</v>
          </cell>
          <cell r="E9556" t="str">
            <v/>
          </cell>
          <cell r="G9556" t="str">
            <v/>
          </cell>
          <cell r="J9556" t="str">
            <v/>
          </cell>
          <cell r="O9556" t="str">
            <v/>
          </cell>
          <cell r="P9556" t="str">
            <v/>
          </cell>
          <cell r="Q9556" t="str">
            <v/>
          </cell>
          <cell r="S9556" t="str">
            <v/>
          </cell>
          <cell r="V9556" t="str">
            <v/>
          </cell>
          <cell r="Z9556" t="str">
            <v/>
          </cell>
          <cell r="AA9556" t="str">
            <v/>
          </cell>
          <cell r="AB9556" t="str">
            <v/>
          </cell>
          <cell r="AC9556" t="str">
            <v/>
          </cell>
          <cell r="AD9556" t="str">
            <v/>
          </cell>
          <cell r="AY9556" t="str">
            <v/>
          </cell>
          <cell r="AZ9556" t="str">
            <v/>
          </cell>
          <cell r="BA9556" t="str">
            <v/>
          </cell>
        </row>
        <row r="9557">
          <cell r="B9557" t="str">
            <v>-</v>
          </cell>
          <cell r="E9557" t="str">
            <v/>
          </cell>
          <cell r="G9557" t="str">
            <v/>
          </cell>
          <cell r="J9557" t="str">
            <v/>
          </cell>
          <cell r="O9557" t="str">
            <v/>
          </cell>
          <cell r="P9557" t="str">
            <v/>
          </cell>
          <cell r="Q9557" t="str">
            <v/>
          </cell>
          <cell r="S9557" t="str">
            <v/>
          </cell>
          <cell r="V9557" t="str">
            <v/>
          </cell>
          <cell r="Z9557" t="str">
            <v/>
          </cell>
          <cell r="AA9557" t="str">
            <v/>
          </cell>
          <cell r="AB9557" t="str">
            <v/>
          </cell>
          <cell r="AC9557" t="str">
            <v/>
          </cell>
          <cell r="AD9557" t="str">
            <v/>
          </cell>
          <cell r="AY9557" t="str">
            <v/>
          </cell>
          <cell r="AZ9557" t="str">
            <v/>
          </cell>
          <cell r="BA9557" t="str">
            <v/>
          </cell>
        </row>
        <row r="9558">
          <cell r="B9558" t="str">
            <v>-</v>
          </cell>
          <cell r="E9558" t="str">
            <v/>
          </cell>
          <cell r="G9558" t="str">
            <v/>
          </cell>
          <cell r="J9558" t="str">
            <v/>
          </cell>
          <cell r="O9558" t="str">
            <v/>
          </cell>
          <cell r="P9558" t="str">
            <v/>
          </cell>
          <cell r="Q9558" t="str">
            <v/>
          </cell>
          <cell r="S9558" t="str">
            <v/>
          </cell>
          <cell r="V9558" t="str">
            <v/>
          </cell>
          <cell r="Z9558" t="str">
            <v/>
          </cell>
          <cell r="AA9558" t="str">
            <v/>
          </cell>
          <cell r="AB9558" t="str">
            <v/>
          </cell>
          <cell r="AC9558" t="str">
            <v/>
          </cell>
          <cell r="AD9558" t="str">
            <v/>
          </cell>
          <cell r="AY9558" t="str">
            <v/>
          </cell>
          <cell r="AZ9558" t="str">
            <v/>
          </cell>
          <cell r="BA9558" t="str">
            <v/>
          </cell>
        </row>
        <row r="9559">
          <cell r="B9559" t="str">
            <v>-</v>
          </cell>
          <cell r="E9559" t="str">
            <v/>
          </cell>
          <cell r="G9559" t="str">
            <v/>
          </cell>
          <cell r="J9559" t="str">
            <v/>
          </cell>
          <cell r="O9559" t="str">
            <v/>
          </cell>
          <cell r="P9559" t="str">
            <v/>
          </cell>
          <cell r="Q9559" t="str">
            <v/>
          </cell>
          <cell r="S9559" t="str">
            <v/>
          </cell>
          <cell r="V9559" t="str">
            <v/>
          </cell>
          <cell r="Z9559" t="str">
            <v/>
          </cell>
          <cell r="AA9559" t="str">
            <v/>
          </cell>
          <cell r="AB9559" t="str">
            <v/>
          </cell>
          <cell r="AC9559" t="str">
            <v/>
          </cell>
          <cell r="AD9559" t="str">
            <v/>
          </cell>
          <cell r="AY9559" t="str">
            <v/>
          </cell>
          <cell r="AZ9559" t="str">
            <v/>
          </cell>
          <cell r="BA9559" t="str">
            <v/>
          </cell>
        </row>
        <row r="9560">
          <cell r="B9560" t="str">
            <v>-</v>
          </cell>
          <cell r="E9560" t="str">
            <v/>
          </cell>
          <cell r="G9560" t="str">
            <v/>
          </cell>
          <cell r="J9560" t="str">
            <v/>
          </cell>
          <cell r="O9560" t="str">
            <v/>
          </cell>
          <cell r="P9560" t="str">
            <v/>
          </cell>
          <cell r="Q9560" t="str">
            <v/>
          </cell>
          <cell r="S9560" t="str">
            <v/>
          </cell>
          <cell r="V9560" t="str">
            <v/>
          </cell>
          <cell r="Z9560" t="str">
            <v/>
          </cell>
          <cell r="AA9560" t="str">
            <v/>
          </cell>
          <cell r="AB9560" t="str">
            <v/>
          </cell>
          <cell r="AC9560" t="str">
            <v/>
          </cell>
          <cell r="AD9560" t="str">
            <v/>
          </cell>
          <cell r="AY9560" t="str">
            <v/>
          </cell>
          <cell r="AZ9560" t="str">
            <v/>
          </cell>
          <cell r="BA9560" t="str">
            <v/>
          </cell>
        </row>
        <row r="9561">
          <cell r="B9561" t="str">
            <v>-</v>
          </cell>
          <cell r="E9561" t="str">
            <v/>
          </cell>
          <cell r="G9561" t="str">
            <v/>
          </cell>
          <cell r="J9561" t="str">
            <v/>
          </cell>
          <cell r="O9561" t="str">
            <v/>
          </cell>
          <cell r="P9561" t="str">
            <v/>
          </cell>
          <cell r="Q9561" t="str">
            <v/>
          </cell>
          <cell r="S9561" t="str">
            <v/>
          </cell>
          <cell r="V9561" t="str">
            <v/>
          </cell>
          <cell r="Z9561" t="str">
            <v/>
          </cell>
          <cell r="AA9561" t="str">
            <v/>
          </cell>
          <cell r="AB9561" t="str">
            <v/>
          </cell>
          <cell r="AC9561" t="str">
            <v/>
          </cell>
          <cell r="AD9561" t="str">
            <v/>
          </cell>
          <cell r="AY9561" t="str">
            <v/>
          </cell>
          <cell r="AZ9561" t="str">
            <v/>
          </cell>
          <cell r="BA9561" t="str">
            <v/>
          </cell>
        </row>
        <row r="9562">
          <cell r="B9562" t="str">
            <v>-</v>
          </cell>
          <cell r="E9562" t="str">
            <v/>
          </cell>
          <cell r="G9562" t="str">
            <v/>
          </cell>
          <cell r="J9562" t="str">
            <v/>
          </cell>
          <cell r="O9562" t="str">
            <v/>
          </cell>
          <cell r="P9562" t="str">
            <v/>
          </cell>
          <cell r="Q9562" t="str">
            <v/>
          </cell>
          <cell r="S9562" t="str">
            <v/>
          </cell>
          <cell r="V9562" t="str">
            <v/>
          </cell>
          <cell r="Z9562" t="str">
            <v/>
          </cell>
          <cell r="AA9562" t="str">
            <v/>
          </cell>
          <cell r="AB9562" t="str">
            <v/>
          </cell>
          <cell r="AC9562" t="str">
            <v/>
          </cell>
          <cell r="AD9562" t="str">
            <v/>
          </cell>
          <cell r="AY9562" t="str">
            <v/>
          </cell>
          <cell r="AZ9562" t="str">
            <v/>
          </cell>
          <cell r="BA9562" t="str">
            <v/>
          </cell>
        </row>
        <row r="9563">
          <cell r="B9563" t="str">
            <v>-</v>
          </cell>
          <cell r="E9563" t="str">
            <v/>
          </cell>
          <cell r="G9563" t="str">
            <v/>
          </cell>
          <cell r="J9563" t="str">
            <v/>
          </cell>
          <cell r="O9563" t="str">
            <v/>
          </cell>
          <cell r="P9563" t="str">
            <v/>
          </cell>
          <cell r="Q9563" t="str">
            <v/>
          </cell>
          <cell r="S9563" t="str">
            <v/>
          </cell>
          <cell r="V9563" t="str">
            <v/>
          </cell>
          <cell r="Z9563" t="str">
            <v/>
          </cell>
          <cell r="AA9563" t="str">
            <v/>
          </cell>
          <cell r="AB9563" t="str">
            <v/>
          </cell>
          <cell r="AC9563" t="str">
            <v/>
          </cell>
          <cell r="AD9563" t="str">
            <v/>
          </cell>
          <cell r="AY9563" t="str">
            <v/>
          </cell>
          <cell r="AZ9563" t="str">
            <v/>
          </cell>
          <cell r="BA9563" t="str">
            <v/>
          </cell>
        </row>
        <row r="9564">
          <cell r="B9564" t="str">
            <v>-</v>
          </cell>
          <cell r="E9564" t="str">
            <v/>
          </cell>
          <cell r="G9564" t="str">
            <v/>
          </cell>
          <cell r="J9564" t="str">
            <v/>
          </cell>
          <cell r="O9564" t="str">
            <v/>
          </cell>
          <cell r="P9564" t="str">
            <v/>
          </cell>
          <cell r="Q9564" t="str">
            <v/>
          </cell>
          <cell r="S9564" t="str">
            <v/>
          </cell>
          <cell r="V9564" t="str">
            <v/>
          </cell>
          <cell r="Z9564" t="str">
            <v/>
          </cell>
          <cell r="AA9564" t="str">
            <v/>
          </cell>
          <cell r="AB9564" t="str">
            <v/>
          </cell>
          <cell r="AC9564" t="str">
            <v/>
          </cell>
          <cell r="AD9564" t="str">
            <v/>
          </cell>
          <cell r="AY9564" t="str">
            <v/>
          </cell>
          <cell r="AZ9564" t="str">
            <v/>
          </cell>
          <cell r="BA9564" t="str">
            <v/>
          </cell>
        </row>
        <row r="9565">
          <cell r="B9565" t="str">
            <v>-</v>
          </cell>
          <cell r="E9565" t="str">
            <v/>
          </cell>
          <cell r="G9565" t="str">
            <v/>
          </cell>
          <cell r="J9565" t="str">
            <v/>
          </cell>
          <cell r="O9565" t="str">
            <v/>
          </cell>
          <cell r="P9565" t="str">
            <v/>
          </cell>
          <cell r="Q9565" t="str">
            <v/>
          </cell>
          <cell r="S9565" t="str">
            <v/>
          </cell>
          <cell r="V9565" t="str">
            <v/>
          </cell>
          <cell r="Z9565" t="str">
            <v/>
          </cell>
          <cell r="AA9565" t="str">
            <v/>
          </cell>
          <cell r="AB9565" t="str">
            <v/>
          </cell>
          <cell r="AC9565" t="str">
            <v/>
          </cell>
          <cell r="AD9565" t="str">
            <v/>
          </cell>
          <cell r="AY9565" t="str">
            <v/>
          </cell>
          <cell r="AZ9565" t="str">
            <v/>
          </cell>
          <cell r="BA9565" t="str">
            <v/>
          </cell>
        </row>
        <row r="9566">
          <cell r="B9566" t="str">
            <v>-</v>
          </cell>
          <cell r="E9566" t="str">
            <v/>
          </cell>
          <cell r="G9566" t="str">
            <v/>
          </cell>
          <cell r="J9566" t="str">
            <v/>
          </cell>
          <cell r="O9566" t="str">
            <v/>
          </cell>
          <cell r="P9566" t="str">
            <v/>
          </cell>
          <cell r="Q9566" t="str">
            <v/>
          </cell>
          <cell r="S9566" t="str">
            <v/>
          </cell>
          <cell r="V9566" t="str">
            <v/>
          </cell>
          <cell r="Z9566" t="str">
            <v/>
          </cell>
          <cell r="AA9566" t="str">
            <v/>
          </cell>
          <cell r="AB9566" t="str">
            <v/>
          </cell>
          <cell r="AC9566" t="str">
            <v/>
          </cell>
          <cell r="AD9566" t="str">
            <v/>
          </cell>
          <cell r="AY9566" t="str">
            <v/>
          </cell>
          <cell r="AZ9566" t="str">
            <v/>
          </cell>
          <cell r="BA9566" t="str">
            <v/>
          </cell>
        </row>
        <row r="9567">
          <cell r="B9567" t="str">
            <v>-</v>
          </cell>
          <cell r="E9567" t="str">
            <v/>
          </cell>
          <cell r="G9567" t="str">
            <v/>
          </cell>
          <cell r="J9567" t="str">
            <v/>
          </cell>
          <cell r="O9567" t="str">
            <v/>
          </cell>
          <cell r="P9567" t="str">
            <v/>
          </cell>
          <cell r="Q9567" t="str">
            <v/>
          </cell>
          <cell r="S9567" t="str">
            <v/>
          </cell>
          <cell r="V9567" t="str">
            <v/>
          </cell>
          <cell r="Z9567" t="str">
            <v/>
          </cell>
          <cell r="AA9567" t="str">
            <v/>
          </cell>
          <cell r="AB9567" t="str">
            <v/>
          </cell>
          <cell r="AC9567" t="str">
            <v/>
          </cell>
          <cell r="AD9567" t="str">
            <v/>
          </cell>
          <cell r="AY9567" t="str">
            <v/>
          </cell>
          <cell r="AZ9567" t="str">
            <v/>
          </cell>
          <cell r="BA9567" t="str">
            <v/>
          </cell>
        </row>
        <row r="9568">
          <cell r="B9568" t="str">
            <v>-</v>
          </cell>
          <cell r="E9568" t="str">
            <v/>
          </cell>
          <cell r="G9568" t="str">
            <v/>
          </cell>
          <cell r="J9568" t="str">
            <v/>
          </cell>
          <cell r="O9568" t="str">
            <v/>
          </cell>
          <cell r="P9568" t="str">
            <v/>
          </cell>
          <cell r="Q9568" t="str">
            <v/>
          </cell>
          <cell r="S9568" t="str">
            <v/>
          </cell>
          <cell r="V9568" t="str">
            <v/>
          </cell>
          <cell r="Z9568" t="str">
            <v/>
          </cell>
          <cell r="AA9568" t="str">
            <v/>
          </cell>
          <cell r="AB9568" t="str">
            <v/>
          </cell>
          <cell r="AC9568" t="str">
            <v/>
          </cell>
          <cell r="AD9568" t="str">
            <v/>
          </cell>
          <cell r="AY9568" t="str">
            <v/>
          </cell>
          <cell r="AZ9568" t="str">
            <v/>
          </cell>
          <cell r="BA9568" t="str">
            <v/>
          </cell>
        </row>
        <row r="9569">
          <cell r="B9569" t="str">
            <v>-</v>
          </cell>
          <cell r="E9569" t="str">
            <v/>
          </cell>
          <cell r="G9569" t="str">
            <v/>
          </cell>
          <cell r="J9569" t="str">
            <v/>
          </cell>
          <cell r="O9569" t="str">
            <v/>
          </cell>
          <cell r="P9569" t="str">
            <v/>
          </cell>
          <cell r="Q9569" t="str">
            <v/>
          </cell>
          <cell r="S9569" t="str">
            <v/>
          </cell>
          <cell r="V9569" t="str">
            <v/>
          </cell>
          <cell r="Z9569" t="str">
            <v/>
          </cell>
          <cell r="AA9569" t="str">
            <v/>
          </cell>
          <cell r="AB9569" t="str">
            <v/>
          </cell>
          <cell r="AC9569" t="str">
            <v/>
          </cell>
          <cell r="AD9569" t="str">
            <v/>
          </cell>
          <cell r="AY9569" t="str">
            <v/>
          </cell>
          <cell r="AZ9569" t="str">
            <v/>
          </cell>
          <cell r="BA9569" t="str">
            <v/>
          </cell>
        </row>
        <row r="9570">
          <cell r="B9570" t="str">
            <v>-</v>
          </cell>
          <cell r="E9570" t="str">
            <v/>
          </cell>
          <cell r="G9570" t="str">
            <v/>
          </cell>
          <cell r="J9570" t="str">
            <v/>
          </cell>
          <cell r="O9570" t="str">
            <v/>
          </cell>
          <cell r="P9570" t="str">
            <v/>
          </cell>
          <cell r="Q9570" t="str">
            <v/>
          </cell>
          <cell r="S9570" t="str">
            <v/>
          </cell>
          <cell r="V9570" t="str">
            <v/>
          </cell>
          <cell r="Z9570" t="str">
            <v/>
          </cell>
          <cell r="AA9570" t="str">
            <v/>
          </cell>
          <cell r="AB9570" t="str">
            <v/>
          </cell>
          <cell r="AC9570" t="str">
            <v/>
          </cell>
          <cell r="AD9570" t="str">
            <v/>
          </cell>
          <cell r="AY9570" t="str">
            <v/>
          </cell>
          <cell r="AZ9570" t="str">
            <v/>
          </cell>
          <cell r="BA9570" t="str">
            <v/>
          </cell>
        </row>
        <row r="9571">
          <cell r="B9571" t="str">
            <v>-</v>
          </cell>
          <cell r="E9571" t="str">
            <v/>
          </cell>
          <cell r="G9571" t="str">
            <v/>
          </cell>
          <cell r="J9571" t="str">
            <v/>
          </cell>
          <cell r="O9571" t="str">
            <v/>
          </cell>
          <cell r="P9571" t="str">
            <v/>
          </cell>
          <cell r="Q9571" t="str">
            <v/>
          </cell>
          <cell r="S9571" t="str">
            <v/>
          </cell>
          <cell r="V9571" t="str">
            <v/>
          </cell>
          <cell r="Z9571" t="str">
            <v/>
          </cell>
          <cell r="AA9571" t="str">
            <v/>
          </cell>
          <cell r="AB9571" t="str">
            <v/>
          </cell>
          <cell r="AC9571" t="str">
            <v/>
          </cell>
          <cell r="AD9571" t="str">
            <v/>
          </cell>
          <cell r="AY9571" t="str">
            <v/>
          </cell>
          <cell r="AZ9571" t="str">
            <v/>
          </cell>
          <cell r="BA9571" t="str">
            <v/>
          </cell>
        </row>
        <row r="9572">
          <cell r="B9572" t="str">
            <v>-</v>
          </cell>
          <cell r="E9572" t="str">
            <v/>
          </cell>
          <cell r="G9572" t="str">
            <v/>
          </cell>
          <cell r="J9572" t="str">
            <v/>
          </cell>
          <cell r="O9572" t="str">
            <v/>
          </cell>
          <cell r="P9572" t="str">
            <v/>
          </cell>
          <cell r="Q9572" t="str">
            <v/>
          </cell>
          <cell r="S9572" t="str">
            <v/>
          </cell>
          <cell r="V9572" t="str">
            <v/>
          </cell>
          <cell r="Z9572" t="str">
            <v/>
          </cell>
          <cell r="AA9572" t="str">
            <v/>
          </cell>
          <cell r="AB9572" t="str">
            <v/>
          </cell>
          <cell r="AC9572" t="str">
            <v/>
          </cell>
          <cell r="AD9572" t="str">
            <v/>
          </cell>
          <cell r="AY9572" t="str">
            <v/>
          </cell>
          <cell r="AZ9572" t="str">
            <v/>
          </cell>
          <cell r="BA9572" t="str">
            <v/>
          </cell>
        </row>
        <row r="9573">
          <cell r="B9573" t="str">
            <v>-</v>
          </cell>
          <cell r="E9573" t="str">
            <v/>
          </cell>
          <cell r="G9573" t="str">
            <v/>
          </cell>
          <cell r="J9573" t="str">
            <v/>
          </cell>
          <cell r="O9573" t="str">
            <v/>
          </cell>
          <cell r="P9573" t="str">
            <v/>
          </cell>
          <cell r="Q9573" t="str">
            <v/>
          </cell>
          <cell r="S9573" t="str">
            <v/>
          </cell>
          <cell r="V9573" t="str">
            <v/>
          </cell>
          <cell r="Z9573" t="str">
            <v/>
          </cell>
          <cell r="AA9573" t="str">
            <v/>
          </cell>
          <cell r="AB9573" t="str">
            <v/>
          </cell>
          <cell r="AC9573" t="str">
            <v/>
          </cell>
          <cell r="AD9573" t="str">
            <v/>
          </cell>
          <cell r="AY9573" t="str">
            <v/>
          </cell>
          <cell r="AZ9573" t="str">
            <v/>
          </cell>
          <cell r="BA9573" t="str">
            <v/>
          </cell>
        </row>
        <row r="9574">
          <cell r="B9574" t="str">
            <v>-</v>
          </cell>
          <cell r="E9574" t="str">
            <v/>
          </cell>
          <cell r="G9574" t="str">
            <v/>
          </cell>
          <cell r="J9574" t="str">
            <v/>
          </cell>
          <cell r="O9574" t="str">
            <v/>
          </cell>
          <cell r="P9574" t="str">
            <v/>
          </cell>
          <cell r="Q9574" t="str">
            <v/>
          </cell>
          <cell r="S9574" t="str">
            <v/>
          </cell>
          <cell r="V9574" t="str">
            <v/>
          </cell>
          <cell r="Z9574" t="str">
            <v/>
          </cell>
          <cell r="AA9574" t="str">
            <v/>
          </cell>
          <cell r="AB9574" t="str">
            <v/>
          </cell>
          <cell r="AC9574" t="str">
            <v/>
          </cell>
          <cell r="AD9574" t="str">
            <v/>
          </cell>
          <cell r="AY9574" t="str">
            <v/>
          </cell>
          <cell r="AZ9574" t="str">
            <v/>
          </cell>
          <cell r="BA9574" t="str">
            <v/>
          </cell>
        </row>
        <row r="9575">
          <cell r="B9575" t="str">
            <v>-</v>
          </cell>
          <cell r="E9575" t="str">
            <v/>
          </cell>
          <cell r="G9575" t="str">
            <v/>
          </cell>
          <cell r="J9575" t="str">
            <v/>
          </cell>
          <cell r="O9575" t="str">
            <v/>
          </cell>
          <cell r="P9575" t="str">
            <v/>
          </cell>
          <cell r="Q9575" t="str">
            <v/>
          </cell>
          <cell r="S9575" t="str">
            <v/>
          </cell>
          <cell r="V9575" t="str">
            <v/>
          </cell>
          <cell r="Z9575" t="str">
            <v/>
          </cell>
          <cell r="AA9575" t="str">
            <v/>
          </cell>
          <cell r="AB9575" t="str">
            <v/>
          </cell>
          <cell r="AC9575" t="str">
            <v/>
          </cell>
          <cell r="AD9575" t="str">
            <v/>
          </cell>
          <cell r="AY9575" t="str">
            <v/>
          </cell>
          <cell r="AZ9575" t="str">
            <v/>
          </cell>
          <cell r="BA9575" t="str">
            <v/>
          </cell>
        </row>
        <row r="9576">
          <cell r="B9576" t="str">
            <v>-</v>
          </cell>
          <cell r="E9576" t="str">
            <v/>
          </cell>
          <cell r="G9576" t="str">
            <v/>
          </cell>
          <cell r="J9576" t="str">
            <v/>
          </cell>
          <cell r="O9576" t="str">
            <v/>
          </cell>
          <cell r="P9576" t="str">
            <v/>
          </cell>
          <cell r="Q9576" t="str">
            <v/>
          </cell>
          <cell r="S9576" t="str">
            <v/>
          </cell>
          <cell r="V9576" t="str">
            <v/>
          </cell>
          <cell r="Z9576" t="str">
            <v/>
          </cell>
          <cell r="AA9576" t="str">
            <v/>
          </cell>
          <cell r="AB9576" t="str">
            <v/>
          </cell>
          <cell r="AC9576" t="str">
            <v/>
          </cell>
          <cell r="AD9576" t="str">
            <v/>
          </cell>
          <cell r="AY9576" t="str">
            <v/>
          </cell>
          <cell r="AZ9576" t="str">
            <v/>
          </cell>
          <cell r="BA9576" t="str">
            <v/>
          </cell>
        </row>
        <row r="9577">
          <cell r="B9577" t="str">
            <v>-</v>
          </cell>
          <cell r="E9577" t="str">
            <v/>
          </cell>
          <cell r="G9577" t="str">
            <v/>
          </cell>
          <cell r="J9577" t="str">
            <v/>
          </cell>
          <cell r="O9577" t="str">
            <v/>
          </cell>
          <cell r="P9577" t="str">
            <v/>
          </cell>
          <cell r="Q9577" t="str">
            <v/>
          </cell>
          <cell r="S9577" t="str">
            <v/>
          </cell>
          <cell r="V9577" t="str">
            <v/>
          </cell>
          <cell r="Z9577" t="str">
            <v/>
          </cell>
          <cell r="AA9577" t="str">
            <v/>
          </cell>
          <cell r="AB9577" t="str">
            <v/>
          </cell>
          <cell r="AC9577" t="str">
            <v/>
          </cell>
          <cell r="AD9577" t="str">
            <v/>
          </cell>
          <cell r="AY9577" t="str">
            <v/>
          </cell>
          <cell r="AZ9577" t="str">
            <v/>
          </cell>
          <cell r="BA9577" t="str">
            <v/>
          </cell>
        </row>
        <row r="9578">
          <cell r="B9578" t="str">
            <v>-</v>
          </cell>
          <cell r="E9578" t="str">
            <v/>
          </cell>
          <cell r="G9578" t="str">
            <v/>
          </cell>
          <cell r="J9578" t="str">
            <v/>
          </cell>
          <cell r="O9578" t="str">
            <v/>
          </cell>
          <cell r="P9578" t="str">
            <v/>
          </cell>
          <cell r="Q9578" t="str">
            <v/>
          </cell>
          <cell r="S9578" t="str">
            <v/>
          </cell>
          <cell r="V9578" t="str">
            <v/>
          </cell>
          <cell r="Z9578" t="str">
            <v/>
          </cell>
          <cell r="AA9578" t="str">
            <v/>
          </cell>
          <cell r="AB9578" t="str">
            <v/>
          </cell>
          <cell r="AC9578" t="str">
            <v/>
          </cell>
          <cell r="AD9578" t="str">
            <v/>
          </cell>
          <cell r="AY9578" t="str">
            <v/>
          </cell>
          <cell r="AZ9578" t="str">
            <v/>
          </cell>
          <cell r="BA9578" t="str">
            <v/>
          </cell>
        </row>
        <row r="9579">
          <cell r="B9579" t="str">
            <v>-</v>
          </cell>
          <cell r="E9579" t="str">
            <v/>
          </cell>
          <cell r="G9579" t="str">
            <v/>
          </cell>
          <cell r="J9579" t="str">
            <v/>
          </cell>
          <cell r="O9579" t="str">
            <v/>
          </cell>
          <cell r="P9579" t="str">
            <v/>
          </cell>
          <cell r="Q9579" t="str">
            <v/>
          </cell>
          <cell r="S9579" t="str">
            <v/>
          </cell>
          <cell r="V9579" t="str">
            <v/>
          </cell>
          <cell r="Z9579" t="str">
            <v/>
          </cell>
          <cell r="AA9579" t="str">
            <v/>
          </cell>
          <cell r="AB9579" t="str">
            <v/>
          </cell>
          <cell r="AC9579" t="str">
            <v/>
          </cell>
          <cell r="AD9579" t="str">
            <v/>
          </cell>
          <cell r="AY9579" t="str">
            <v/>
          </cell>
          <cell r="AZ9579" t="str">
            <v/>
          </cell>
          <cell r="BA9579" t="str">
            <v/>
          </cell>
        </row>
        <row r="9580">
          <cell r="B9580" t="str">
            <v>-</v>
          </cell>
          <cell r="E9580" t="str">
            <v/>
          </cell>
          <cell r="G9580" t="str">
            <v/>
          </cell>
          <cell r="J9580" t="str">
            <v/>
          </cell>
          <cell r="O9580" t="str">
            <v/>
          </cell>
          <cell r="P9580" t="str">
            <v/>
          </cell>
          <cell r="Q9580" t="str">
            <v/>
          </cell>
          <cell r="S9580" t="str">
            <v/>
          </cell>
          <cell r="V9580" t="str">
            <v/>
          </cell>
          <cell r="Z9580" t="str">
            <v/>
          </cell>
          <cell r="AA9580" t="str">
            <v/>
          </cell>
          <cell r="AB9580" t="str">
            <v/>
          </cell>
          <cell r="AC9580" t="str">
            <v/>
          </cell>
          <cell r="AD9580" t="str">
            <v/>
          </cell>
          <cell r="AY9580" t="str">
            <v/>
          </cell>
          <cell r="AZ9580" t="str">
            <v/>
          </cell>
          <cell r="BA9580" t="str">
            <v/>
          </cell>
        </row>
        <row r="9581">
          <cell r="B9581" t="str">
            <v>-</v>
          </cell>
          <cell r="E9581" t="str">
            <v/>
          </cell>
          <cell r="G9581" t="str">
            <v/>
          </cell>
          <cell r="J9581" t="str">
            <v/>
          </cell>
          <cell r="O9581" t="str">
            <v/>
          </cell>
          <cell r="P9581" t="str">
            <v/>
          </cell>
          <cell r="Q9581" t="str">
            <v/>
          </cell>
          <cell r="S9581" t="str">
            <v/>
          </cell>
          <cell r="V9581" t="str">
            <v/>
          </cell>
          <cell r="Z9581" t="str">
            <v/>
          </cell>
          <cell r="AA9581" t="str">
            <v/>
          </cell>
          <cell r="AB9581" t="str">
            <v/>
          </cell>
          <cell r="AC9581" t="str">
            <v/>
          </cell>
          <cell r="AD9581" t="str">
            <v/>
          </cell>
          <cell r="AY9581" t="str">
            <v/>
          </cell>
          <cell r="AZ9581" t="str">
            <v/>
          </cell>
          <cell r="BA9581" t="str">
            <v/>
          </cell>
        </row>
        <row r="9582">
          <cell r="B9582" t="str">
            <v>-</v>
          </cell>
          <cell r="E9582" t="str">
            <v/>
          </cell>
          <cell r="G9582" t="str">
            <v/>
          </cell>
          <cell r="J9582" t="str">
            <v/>
          </cell>
          <cell r="O9582" t="str">
            <v/>
          </cell>
          <cell r="P9582" t="str">
            <v/>
          </cell>
          <cell r="Q9582" t="str">
            <v/>
          </cell>
          <cell r="S9582" t="str">
            <v/>
          </cell>
          <cell r="V9582" t="str">
            <v/>
          </cell>
          <cell r="Z9582" t="str">
            <v/>
          </cell>
          <cell r="AA9582" t="str">
            <v/>
          </cell>
          <cell r="AB9582" t="str">
            <v/>
          </cell>
          <cell r="AC9582" t="str">
            <v/>
          </cell>
          <cell r="AD9582" t="str">
            <v/>
          </cell>
          <cell r="AY9582" t="str">
            <v/>
          </cell>
          <cell r="AZ9582" t="str">
            <v/>
          </cell>
          <cell r="BA9582" t="str">
            <v/>
          </cell>
        </row>
        <row r="9583">
          <cell r="B9583" t="str">
            <v>-</v>
          </cell>
          <cell r="E9583" t="str">
            <v/>
          </cell>
          <cell r="G9583" t="str">
            <v/>
          </cell>
          <cell r="J9583" t="str">
            <v/>
          </cell>
          <cell r="O9583" t="str">
            <v/>
          </cell>
          <cell r="P9583" t="str">
            <v/>
          </cell>
          <cell r="Q9583" t="str">
            <v/>
          </cell>
          <cell r="S9583" t="str">
            <v/>
          </cell>
          <cell r="V9583" t="str">
            <v/>
          </cell>
          <cell r="Z9583" t="str">
            <v/>
          </cell>
          <cell r="AA9583" t="str">
            <v/>
          </cell>
          <cell r="AB9583" t="str">
            <v/>
          </cell>
          <cell r="AC9583" t="str">
            <v/>
          </cell>
          <cell r="AD9583" t="str">
            <v/>
          </cell>
          <cell r="AY9583" t="str">
            <v/>
          </cell>
          <cell r="AZ9583" t="str">
            <v/>
          </cell>
          <cell r="BA9583" t="str">
            <v/>
          </cell>
        </row>
        <row r="9584">
          <cell r="B9584" t="str">
            <v>-</v>
          </cell>
          <cell r="E9584" t="str">
            <v/>
          </cell>
          <cell r="G9584" t="str">
            <v/>
          </cell>
          <cell r="J9584" t="str">
            <v/>
          </cell>
          <cell r="O9584" t="str">
            <v/>
          </cell>
          <cell r="P9584" t="str">
            <v/>
          </cell>
          <cell r="Q9584" t="str">
            <v/>
          </cell>
          <cell r="S9584" t="str">
            <v/>
          </cell>
          <cell r="V9584" t="str">
            <v/>
          </cell>
          <cell r="Z9584" t="str">
            <v/>
          </cell>
          <cell r="AA9584" t="str">
            <v/>
          </cell>
          <cell r="AB9584" t="str">
            <v/>
          </cell>
          <cell r="AC9584" t="str">
            <v/>
          </cell>
          <cell r="AD9584" t="str">
            <v/>
          </cell>
          <cell r="AY9584" t="str">
            <v/>
          </cell>
          <cell r="AZ9584" t="str">
            <v/>
          </cell>
          <cell r="BA9584" t="str">
            <v/>
          </cell>
        </row>
        <row r="9585">
          <cell r="B9585" t="str">
            <v>-</v>
          </cell>
          <cell r="E9585" t="str">
            <v/>
          </cell>
          <cell r="G9585" t="str">
            <v/>
          </cell>
          <cell r="J9585" t="str">
            <v/>
          </cell>
          <cell r="O9585" t="str">
            <v/>
          </cell>
          <cell r="P9585" t="str">
            <v/>
          </cell>
          <cell r="Q9585" t="str">
            <v/>
          </cell>
          <cell r="S9585" t="str">
            <v/>
          </cell>
          <cell r="V9585" t="str">
            <v/>
          </cell>
          <cell r="Z9585" t="str">
            <v/>
          </cell>
          <cell r="AA9585" t="str">
            <v/>
          </cell>
          <cell r="AB9585" t="str">
            <v/>
          </cell>
          <cell r="AC9585" t="str">
            <v/>
          </cell>
          <cell r="AD9585" t="str">
            <v/>
          </cell>
          <cell r="AY9585" t="str">
            <v/>
          </cell>
          <cell r="AZ9585" t="str">
            <v/>
          </cell>
          <cell r="BA9585" t="str">
            <v/>
          </cell>
        </row>
        <row r="9586">
          <cell r="B9586" t="str">
            <v>-</v>
          </cell>
          <cell r="E9586" t="str">
            <v/>
          </cell>
          <cell r="G9586" t="str">
            <v/>
          </cell>
          <cell r="J9586" t="str">
            <v/>
          </cell>
          <cell r="O9586" t="str">
            <v/>
          </cell>
          <cell r="P9586" t="str">
            <v/>
          </cell>
          <cell r="Q9586" t="str">
            <v/>
          </cell>
          <cell r="S9586" t="str">
            <v/>
          </cell>
          <cell r="V9586" t="str">
            <v/>
          </cell>
          <cell r="Z9586" t="str">
            <v/>
          </cell>
          <cell r="AA9586" t="str">
            <v/>
          </cell>
          <cell r="AB9586" t="str">
            <v/>
          </cell>
          <cell r="AC9586" t="str">
            <v/>
          </cell>
          <cell r="AD9586" t="str">
            <v/>
          </cell>
          <cell r="AY9586" t="str">
            <v/>
          </cell>
          <cell r="AZ9586" t="str">
            <v/>
          </cell>
          <cell r="BA9586" t="str">
            <v/>
          </cell>
        </row>
        <row r="9587">
          <cell r="B9587" t="str">
            <v>-</v>
          </cell>
          <cell r="E9587" t="str">
            <v/>
          </cell>
          <cell r="G9587" t="str">
            <v/>
          </cell>
          <cell r="J9587" t="str">
            <v/>
          </cell>
          <cell r="O9587" t="str">
            <v/>
          </cell>
          <cell r="P9587" t="str">
            <v/>
          </cell>
          <cell r="Q9587" t="str">
            <v/>
          </cell>
          <cell r="S9587" t="str">
            <v/>
          </cell>
          <cell r="V9587" t="str">
            <v/>
          </cell>
          <cell r="Z9587" t="str">
            <v/>
          </cell>
          <cell r="AA9587" t="str">
            <v/>
          </cell>
          <cell r="AB9587" t="str">
            <v/>
          </cell>
          <cell r="AC9587" t="str">
            <v/>
          </cell>
          <cell r="AD9587" t="str">
            <v/>
          </cell>
          <cell r="AY9587" t="str">
            <v/>
          </cell>
          <cell r="AZ9587" t="str">
            <v/>
          </cell>
          <cell r="BA9587" t="str">
            <v/>
          </cell>
        </row>
        <row r="9588">
          <cell r="B9588" t="str">
            <v>-</v>
          </cell>
          <cell r="E9588" t="str">
            <v/>
          </cell>
          <cell r="G9588" t="str">
            <v/>
          </cell>
          <cell r="J9588" t="str">
            <v/>
          </cell>
          <cell r="O9588" t="str">
            <v/>
          </cell>
          <cell r="P9588" t="str">
            <v/>
          </cell>
          <cell r="Q9588" t="str">
            <v/>
          </cell>
          <cell r="S9588" t="str">
            <v/>
          </cell>
          <cell r="V9588" t="str">
            <v/>
          </cell>
          <cell r="Z9588" t="str">
            <v/>
          </cell>
          <cell r="AA9588" t="str">
            <v/>
          </cell>
          <cell r="AB9588" t="str">
            <v/>
          </cell>
          <cell r="AC9588" t="str">
            <v/>
          </cell>
          <cell r="AD9588" t="str">
            <v/>
          </cell>
          <cell r="AY9588" t="str">
            <v/>
          </cell>
          <cell r="AZ9588" t="str">
            <v/>
          </cell>
          <cell r="BA9588" t="str">
            <v/>
          </cell>
        </row>
        <row r="9589">
          <cell r="B9589" t="str">
            <v>-</v>
          </cell>
          <cell r="E9589" t="str">
            <v/>
          </cell>
          <cell r="G9589" t="str">
            <v/>
          </cell>
          <cell r="J9589" t="str">
            <v/>
          </cell>
          <cell r="O9589" t="str">
            <v/>
          </cell>
          <cell r="P9589" t="str">
            <v/>
          </cell>
          <cell r="Q9589" t="str">
            <v/>
          </cell>
          <cell r="S9589" t="str">
            <v/>
          </cell>
          <cell r="V9589" t="str">
            <v/>
          </cell>
          <cell r="Z9589" t="str">
            <v/>
          </cell>
          <cell r="AA9589" t="str">
            <v/>
          </cell>
          <cell r="AB9589" t="str">
            <v/>
          </cell>
          <cell r="AC9589" t="str">
            <v/>
          </cell>
          <cell r="AD9589" t="str">
            <v/>
          </cell>
          <cell r="AY9589" t="str">
            <v/>
          </cell>
          <cell r="AZ9589" t="str">
            <v/>
          </cell>
          <cell r="BA9589" t="str">
            <v/>
          </cell>
        </row>
        <row r="9590">
          <cell r="B9590" t="str">
            <v>-</v>
          </cell>
          <cell r="E9590" t="str">
            <v/>
          </cell>
          <cell r="G9590" t="str">
            <v/>
          </cell>
          <cell r="J9590" t="str">
            <v/>
          </cell>
          <cell r="O9590" t="str">
            <v/>
          </cell>
          <cell r="P9590" t="str">
            <v/>
          </cell>
          <cell r="Q9590" t="str">
            <v/>
          </cell>
          <cell r="S9590" t="str">
            <v/>
          </cell>
          <cell r="V9590" t="str">
            <v/>
          </cell>
          <cell r="Z9590" t="str">
            <v/>
          </cell>
          <cell r="AA9590" t="str">
            <v/>
          </cell>
          <cell r="AB9590" t="str">
            <v/>
          </cell>
          <cell r="AC9590" t="str">
            <v/>
          </cell>
          <cell r="AD9590" t="str">
            <v/>
          </cell>
          <cell r="AY9590" t="str">
            <v/>
          </cell>
          <cell r="AZ9590" t="str">
            <v/>
          </cell>
          <cell r="BA9590" t="str">
            <v/>
          </cell>
        </row>
        <row r="9591">
          <cell r="B9591" t="str">
            <v>-</v>
          </cell>
          <cell r="E9591" t="str">
            <v/>
          </cell>
          <cell r="G9591" t="str">
            <v/>
          </cell>
          <cell r="J9591" t="str">
            <v/>
          </cell>
          <cell r="O9591" t="str">
            <v/>
          </cell>
          <cell r="P9591" t="str">
            <v/>
          </cell>
          <cell r="Q9591" t="str">
            <v/>
          </cell>
          <cell r="S9591" t="str">
            <v/>
          </cell>
          <cell r="V9591" t="str">
            <v/>
          </cell>
          <cell r="Z9591" t="str">
            <v/>
          </cell>
          <cell r="AA9591" t="str">
            <v/>
          </cell>
          <cell r="AB9591" t="str">
            <v/>
          </cell>
          <cell r="AC9591" t="str">
            <v/>
          </cell>
          <cell r="AD9591" t="str">
            <v/>
          </cell>
          <cell r="AY9591" t="str">
            <v/>
          </cell>
          <cell r="AZ9591" t="str">
            <v/>
          </cell>
          <cell r="BA9591" t="str">
            <v/>
          </cell>
        </row>
        <row r="9592">
          <cell r="B9592" t="str">
            <v>-</v>
          </cell>
          <cell r="E9592" t="str">
            <v/>
          </cell>
          <cell r="G9592" t="str">
            <v/>
          </cell>
          <cell r="J9592" t="str">
            <v/>
          </cell>
          <cell r="O9592" t="str">
            <v/>
          </cell>
          <cell r="P9592" t="str">
            <v/>
          </cell>
          <cell r="Q9592" t="str">
            <v/>
          </cell>
          <cell r="S9592" t="str">
            <v/>
          </cell>
          <cell r="V9592" t="str">
            <v/>
          </cell>
          <cell r="Z9592" t="str">
            <v/>
          </cell>
          <cell r="AA9592" t="str">
            <v/>
          </cell>
          <cell r="AB9592" t="str">
            <v/>
          </cell>
          <cell r="AC9592" t="str">
            <v/>
          </cell>
          <cell r="AD9592" t="str">
            <v/>
          </cell>
          <cell r="AY9592" t="str">
            <v/>
          </cell>
          <cell r="AZ9592" t="str">
            <v/>
          </cell>
          <cell r="BA9592" t="str">
            <v/>
          </cell>
        </row>
        <row r="9593">
          <cell r="B9593" t="str">
            <v>-</v>
          </cell>
          <cell r="E9593" t="str">
            <v/>
          </cell>
          <cell r="G9593" t="str">
            <v/>
          </cell>
          <cell r="J9593" t="str">
            <v/>
          </cell>
          <cell r="O9593" t="str">
            <v/>
          </cell>
          <cell r="P9593" t="str">
            <v/>
          </cell>
          <cell r="Q9593" t="str">
            <v/>
          </cell>
          <cell r="S9593" t="str">
            <v/>
          </cell>
          <cell r="V9593" t="str">
            <v/>
          </cell>
          <cell r="Z9593" t="str">
            <v/>
          </cell>
          <cell r="AA9593" t="str">
            <v/>
          </cell>
          <cell r="AB9593" t="str">
            <v/>
          </cell>
          <cell r="AC9593" t="str">
            <v/>
          </cell>
          <cell r="AD9593" t="str">
            <v/>
          </cell>
          <cell r="AY9593" t="str">
            <v/>
          </cell>
          <cell r="AZ9593" t="str">
            <v/>
          </cell>
          <cell r="BA9593" t="str">
            <v/>
          </cell>
        </row>
        <row r="9594">
          <cell r="B9594" t="str">
            <v>-</v>
          </cell>
          <cell r="E9594" t="str">
            <v/>
          </cell>
          <cell r="G9594" t="str">
            <v/>
          </cell>
          <cell r="J9594" t="str">
            <v/>
          </cell>
          <cell r="O9594" t="str">
            <v/>
          </cell>
          <cell r="P9594" t="str">
            <v/>
          </cell>
          <cell r="Q9594" t="str">
            <v/>
          </cell>
          <cell r="S9594" t="str">
            <v/>
          </cell>
          <cell r="V9594" t="str">
            <v/>
          </cell>
          <cell r="Z9594" t="str">
            <v/>
          </cell>
          <cell r="AA9594" t="str">
            <v/>
          </cell>
          <cell r="AB9594" t="str">
            <v/>
          </cell>
          <cell r="AC9594" t="str">
            <v/>
          </cell>
          <cell r="AD9594" t="str">
            <v/>
          </cell>
          <cell r="AY9594" t="str">
            <v/>
          </cell>
          <cell r="AZ9594" t="str">
            <v/>
          </cell>
          <cell r="BA9594" t="str">
            <v/>
          </cell>
        </row>
        <row r="9595">
          <cell r="B9595" t="str">
            <v>-</v>
          </cell>
          <cell r="E9595" t="str">
            <v/>
          </cell>
          <cell r="G9595" t="str">
            <v/>
          </cell>
          <cell r="J9595" t="str">
            <v/>
          </cell>
          <cell r="O9595" t="str">
            <v/>
          </cell>
          <cell r="P9595" t="str">
            <v/>
          </cell>
          <cell r="Q9595" t="str">
            <v/>
          </cell>
          <cell r="S9595" t="str">
            <v/>
          </cell>
          <cell r="V9595" t="str">
            <v/>
          </cell>
          <cell r="Z9595" t="str">
            <v/>
          </cell>
          <cell r="AA9595" t="str">
            <v/>
          </cell>
          <cell r="AB9595" t="str">
            <v/>
          </cell>
          <cell r="AC9595" t="str">
            <v/>
          </cell>
          <cell r="AD9595" t="str">
            <v/>
          </cell>
          <cell r="AY9595" t="str">
            <v/>
          </cell>
          <cell r="AZ9595" t="str">
            <v/>
          </cell>
          <cell r="BA9595" t="str">
            <v/>
          </cell>
        </row>
        <row r="9596">
          <cell r="B9596" t="str">
            <v>-</v>
          </cell>
          <cell r="E9596" t="str">
            <v/>
          </cell>
          <cell r="G9596" t="str">
            <v/>
          </cell>
          <cell r="J9596" t="str">
            <v/>
          </cell>
          <cell r="O9596" t="str">
            <v/>
          </cell>
          <cell r="P9596" t="str">
            <v/>
          </cell>
          <cell r="Q9596" t="str">
            <v/>
          </cell>
          <cell r="S9596" t="str">
            <v/>
          </cell>
          <cell r="V9596" t="str">
            <v/>
          </cell>
          <cell r="Z9596" t="str">
            <v/>
          </cell>
          <cell r="AA9596" t="str">
            <v/>
          </cell>
          <cell r="AB9596" t="str">
            <v/>
          </cell>
          <cell r="AC9596" t="str">
            <v/>
          </cell>
          <cell r="AD9596" t="str">
            <v/>
          </cell>
          <cell r="AY9596" t="str">
            <v/>
          </cell>
          <cell r="AZ9596" t="str">
            <v/>
          </cell>
          <cell r="BA9596" t="str">
            <v/>
          </cell>
        </row>
        <row r="9597">
          <cell r="B9597" t="str">
            <v>-</v>
          </cell>
          <cell r="E9597" t="str">
            <v/>
          </cell>
          <cell r="G9597" t="str">
            <v/>
          </cell>
          <cell r="J9597" t="str">
            <v/>
          </cell>
          <cell r="O9597" t="str">
            <v/>
          </cell>
          <cell r="P9597" t="str">
            <v/>
          </cell>
          <cell r="Q9597" t="str">
            <v/>
          </cell>
          <cell r="S9597" t="str">
            <v/>
          </cell>
          <cell r="V9597" t="str">
            <v/>
          </cell>
          <cell r="Z9597" t="str">
            <v/>
          </cell>
          <cell r="AA9597" t="str">
            <v/>
          </cell>
          <cell r="AB9597" t="str">
            <v/>
          </cell>
          <cell r="AC9597" t="str">
            <v/>
          </cell>
          <cell r="AD9597" t="str">
            <v/>
          </cell>
          <cell r="AY9597" t="str">
            <v/>
          </cell>
          <cell r="AZ9597" t="str">
            <v/>
          </cell>
          <cell r="BA9597" t="str">
            <v/>
          </cell>
        </row>
        <row r="9598">
          <cell r="B9598" t="str">
            <v>-</v>
          </cell>
          <cell r="E9598" t="str">
            <v/>
          </cell>
          <cell r="G9598" t="str">
            <v/>
          </cell>
          <cell r="J9598" t="str">
            <v/>
          </cell>
          <cell r="O9598" t="str">
            <v/>
          </cell>
          <cell r="P9598" t="str">
            <v/>
          </cell>
          <cell r="Q9598" t="str">
            <v/>
          </cell>
          <cell r="S9598" t="str">
            <v/>
          </cell>
          <cell r="V9598" t="str">
            <v/>
          </cell>
          <cell r="Z9598" t="str">
            <v/>
          </cell>
          <cell r="AA9598" t="str">
            <v/>
          </cell>
          <cell r="AB9598" t="str">
            <v/>
          </cell>
          <cell r="AC9598" t="str">
            <v/>
          </cell>
          <cell r="AD9598" t="str">
            <v/>
          </cell>
          <cell r="AY9598" t="str">
            <v/>
          </cell>
          <cell r="AZ9598" t="str">
            <v/>
          </cell>
          <cell r="BA9598" t="str">
            <v/>
          </cell>
        </row>
        <row r="9599">
          <cell r="B9599" t="str">
            <v>-</v>
          </cell>
          <cell r="E9599" t="str">
            <v/>
          </cell>
          <cell r="G9599" t="str">
            <v/>
          </cell>
          <cell r="J9599" t="str">
            <v/>
          </cell>
          <cell r="O9599" t="str">
            <v/>
          </cell>
          <cell r="P9599" t="str">
            <v/>
          </cell>
          <cell r="Q9599" t="str">
            <v/>
          </cell>
          <cell r="S9599" t="str">
            <v/>
          </cell>
          <cell r="V9599" t="str">
            <v/>
          </cell>
          <cell r="Z9599" t="str">
            <v/>
          </cell>
          <cell r="AA9599" t="str">
            <v/>
          </cell>
          <cell r="AB9599" t="str">
            <v/>
          </cell>
          <cell r="AC9599" t="str">
            <v/>
          </cell>
          <cell r="AD9599" t="str">
            <v/>
          </cell>
          <cell r="AY9599" t="str">
            <v/>
          </cell>
          <cell r="AZ9599" t="str">
            <v/>
          </cell>
          <cell r="BA9599" t="str">
            <v/>
          </cell>
        </row>
        <row r="9600">
          <cell r="B9600" t="str">
            <v>-</v>
          </cell>
          <cell r="E9600" t="str">
            <v/>
          </cell>
          <cell r="G9600" t="str">
            <v/>
          </cell>
          <cell r="J9600" t="str">
            <v/>
          </cell>
          <cell r="O9600" t="str">
            <v/>
          </cell>
          <cell r="P9600" t="str">
            <v/>
          </cell>
          <cell r="Q9600" t="str">
            <v/>
          </cell>
          <cell r="S9600" t="str">
            <v/>
          </cell>
          <cell r="V9600" t="str">
            <v/>
          </cell>
          <cell r="Z9600" t="str">
            <v/>
          </cell>
          <cell r="AA9600" t="str">
            <v/>
          </cell>
          <cell r="AB9600" t="str">
            <v/>
          </cell>
          <cell r="AC9600" t="str">
            <v/>
          </cell>
          <cell r="AD9600" t="str">
            <v/>
          </cell>
          <cell r="AY9600" t="str">
            <v/>
          </cell>
          <cell r="AZ9600" t="str">
            <v/>
          </cell>
          <cell r="BA9600" t="str">
            <v/>
          </cell>
        </row>
        <row r="9601">
          <cell r="B9601" t="str">
            <v>-</v>
          </cell>
          <cell r="E9601" t="str">
            <v/>
          </cell>
          <cell r="G9601" t="str">
            <v/>
          </cell>
          <cell r="J9601" t="str">
            <v/>
          </cell>
          <cell r="O9601" t="str">
            <v/>
          </cell>
          <cell r="P9601" t="str">
            <v/>
          </cell>
          <cell r="Q9601" t="str">
            <v/>
          </cell>
          <cell r="S9601" t="str">
            <v/>
          </cell>
          <cell r="V9601" t="str">
            <v/>
          </cell>
          <cell r="Z9601" t="str">
            <v/>
          </cell>
          <cell r="AA9601" t="str">
            <v/>
          </cell>
          <cell r="AB9601" t="str">
            <v/>
          </cell>
          <cell r="AC9601" t="str">
            <v/>
          </cell>
          <cell r="AD9601" t="str">
            <v/>
          </cell>
          <cell r="AY9601" t="str">
            <v/>
          </cell>
          <cell r="AZ9601" t="str">
            <v/>
          </cell>
          <cell r="BA9601" t="str">
            <v/>
          </cell>
        </row>
        <row r="9602">
          <cell r="B9602" t="str">
            <v>-</v>
          </cell>
          <cell r="E9602" t="str">
            <v/>
          </cell>
          <cell r="G9602" t="str">
            <v/>
          </cell>
          <cell r="J9602" t="str">
            <v/>
          </cell>
          <cell r="O9602" t="str">
            <v/>
          </cell>
          <cell r="P9602" t="str">
            <v/>
          </cell>
          <cell r="Q9602" t="str">
            <v/>
          </cell>
          <cell r="S9602" t="str">
            <v/>
          </cell>
          <cell r="V9602" t="str">
            <v/>
          </cell>
          <cell r="Z9602" t="str">
            <v/>
          </cell>
          <cell r="AA9602" t="str">
            <v/>
          </cell>
          <cell r="AB9602" t="str">
            <v/>
          </cell>
          <cell r="AC9602" t="str">
            <v/>
          </cell>
          <cell r="AD9602" t="str">
            <v/>
          </cell>
          <cell r="AY9602" t="str">
            <v/>
          </cell>
          <cell r="AZ9602" t="str">
            <v/>
          </cell>
          <cell r="BA9602" t="str">
            <v/>
          </cell>
        </row>
        <row r="9603">
          <cell r="B9603" t="str">
            <v>-</v>
          </cell>
          <cell r="E9603" t="str">
            <v/>
          </cell>
          <cell r="G9603" t="str">
            <v/>
          </cell>
          <cell r="J9603" t="str">
            <v/>
          </cell>
          <cell r="O9603" t="str">
            <v/>
          </cell>
          <cell r="P9603" t="str">
            <v/>
          </cell>
          <cell r="Q9603" t="str">
            <v/>
          </cell>
          <cell r="S9603" t="str">
            <v/>
          </cell>
          <cell r="V9603" t="str">
            <v/>
          </cell>
          <cell r="Z9603" t="str">
            <v/>
          </cell>
          <cell r="AA9603" t="str">
            <v/>
          </cell>
          <cell r="AB9603" t="str">
            <v/>
          </cell>
          <cell r="AC9603" t="str">
            <v/>
          </cell>
          <cell r="AD9603" t="str">
            <v/>
          </cell>
          <cell r="AY9603" t="str">
            <v/>
          </cell>
          <cell r="AZ9603" t="str">
            <v/>
          </cell>
          <cell r="BA9603" t="str">
            <v/>
          </cell>
        </row>
        <row r="9604">
          <cell r="B9604" t="str">
            <v>-</v>
          </cell>
          <cell r="E9604" t="str">
            <v/>
          </cell>
          <cell r="G9604" t="str">
            <v/>
          </cell>
          <cell r="J9604" t="str">
            <v/>
          </cell>
          <cell r="O9604" t="str">
            <v/>
          </cell>
          <cell r="P9604" t="str">
            <v/>
          </cell>
          <cell r="Q9604" t="str">
            <v/>
          </cell>
          <cell r="S9604" t="str">
            <v/>
          </cell>
          <cell r="V9604" t="str">
            <v/>
          </cell>
          <cell r="Z9604" t="str">
            <v/>
          </cell>
          <cell r="AA9604" t="str">
            <v/>
          </cell>
          <cell r="AB9604" t="str">
            <v/>
          </cell>
          <cell r="AC9604" t="str">
            <v/>
          </cell>
          <cell r="AD9604" t="str">
            <v/>
          </cell>
          <cell r="AY9604" t="str">
            <v/>
          </cell>
          <cell r="AZ9604" t="str">
            <v/>
          </cell>
          <cell r="BA9604" t="str">
            <v/>
          </cell>
        </row>
        <row r="9605">
          <cell r="B9605" t="str">
            <v>-</v>
          </cell>
          <cell r="E9605" t="str">
            <v/>
          </cell>
          <cell r="G9605" t="str">
            <v/>
          </cell>
          <cell r="J9605" t="str">
            <v/>
          </cell>
          <cell r="O9605" t="str">
            <v/>
          </cell>
          <cell r="P9605" t="str">
            <v/>
          </cell>
          <cell r="Q9605" t="str">
            <v/>
          </cell>
          <cell r="S9605" t="str">
            <v/>
          </cell>
          <cell r="V9605" t="str">
            <v/>
          </cell>
          <cell r="Z9605" t="str">
            <v/>
          </cell>
          <cell r="AA9605" t="str">
            <v/>
          </cell>
          <cell r="AB9605" t="str">
            <v/>
          </cell>
          <cell r="AC9605" t="str">
            <v/>
          </cell>
          <cell r="AD9605" t="str">
            <v/>
          </cell>
          <cell r="AY9605" t="str">
            <v/>
          </cell>
          <cell r="AZ9605" t="str">
            <v/>
          </cell>
          <cell r="BA9605" t="str">
            <v/>
          </cell>
        </row>
        <row r="9606">
          <cell r="B9606" t="str">
            <v>-</v>
          </cell>
          <cell r="E9606" t="str">
            <v/>
          </cell>
          <cell r="G9606" t="str">
            <v/>
          </cell>
          <cell r="J9606" t="str">
            <v/>
          </cell>
          <cell r="O9606" t="str">
            <v/>
          </cell>
          <cell r="P9606" t="str">
            <v/>
          </cell>
          <cell r="Q9606" t="str">
            <v/>
          </cell>
          <cell r="S9606" t="str">
            <v/>
          </cell>
          <cell r="V9606" t="str">
            <v/>
          </cell>
          <cell r="Z9606" t="str">
            <v/>
          </cell>
          <cell r="AA9606" t="str">
            <v/>
          </cell>
          <cell r="AB9606" t="str">
            <v/>
          </cell>
          <cell r="AC9606" t="str">
            <v/>
          </cell>
          <cell r="AD9606" t="str">
            <v/>
          </cell>
          <cell r="AY9606" t="str">
            <v/>
          </cell>
          <cell r="AZ9606" t="str">
            <v/>
          </cell>
          <cell r="BA9606" t="str">
            <v/>
          </cell>
        </row>
        <row r="9607">
          <cell r="B9607" t="str">
            <v>-</v>
          </cell>
          <cell r="E9607" t="str">
            <v/>
          </cell>
          <cell r="G9607" t="str">
            <v/>
          </cell>
          <cell r="J9607" t="str">
            <v/>
          </cell>
          <cell r="O9607" t="str">
            <v/>
          </cell>
          <cell r="P9607" t="str">
            <v/>
          </cell>
          <cell r="Q9607" t="str">
            <v/>
          </cell>
          <cell r="S9607" t="str">
            <v/>
          </cell>
          <cell r="V9607" t="str">
            <v/>
          </cell>
          <cell r="Z9607" t="str">
            <v/>
          </cell>
          <cell r="AA9607" t="str">
            <v/>
          </cell>
          <cell r="AB9607" t="str">
            <v/>
          </cell>
          <cell r="AC9607" t="str">
            <v/>
          </cell>
          <cell r="AD9607" t="str">
            <v/>
          </cell>
          <cell r="AY9607" t="str">
            <v/>
          </cell>
          <cell r="AZ9607" t="str">
            <v/>
          </cell>
          <cell r="BA9607" t="str">
            <v/>
          </cell>
        </row>
        <row r="9608">
          <cell r="B9608" t="str">
            <v>-</v>
          </cell>
          <cell r="E9608" t="str">
            <v/>
          </cell>
          <cell r="G9608" t="str">
            <v/>
          </cell>
          <cell r="J9608" t="str">
            <v/>
          </cell>
          <cell r="O9608" t="str">
            <v/>
          </cell>
          <cell r="P9608" t="str">
            <v/>
          </cell>
          <cell r="Q9608" t="str">
            <v/>
          </cell>
          <cell r="S9608" t="str">
            <v/>
          </cell>
          <cell r="V9608" t="str">
            <v/>
          </cell>
          <cell r="Z9608" t="str">
            <v/>
          </cell>
          <cell r="AA9608" t="str">
            <v/>
          </cell>
          <cell r="AB9608" t="str">
            <v/>
          </cell>
          <cell r="AC9608" t="str">
            <v/>
          </cell>
          <cell r="AD9608" t="str">
            <v/>
          </cell>
          <cell r="AY9608" t="str">
            <v/>
          </cell>
          <cell r="AZ9608" t="str">
            <v/>
          </cell>
          <cell r="BA9608" t="str">
            <v/>
          </cell>
        </row>
        <row r="9609">
          <cell r="B9609" t="str">
            <v>-</v>
          </cell>
          <cell r="E9609" t="str">
            <v/>
          </cell>
          <cell r="G9609" t="str">
            <v/>
          </cell>
          <cell r="J9609" t="str">
            <v/>
          </cell>
          <cell r="O9609" t="str">
            <v/>
          </cell>
          <cell r="P9609" t="str">
            <v/>
          </cell>
          <cell r="Q9609" t="str">
            <v/>
          </cell>
          <cell r="S9609" t="str">
            <v/>
          </cell>
          <cell r="V9609" t="str">
            <v/>
          </cell>
          <cell r="Z9609" t="str">
            <v/>
          </cell>
          <cell r="AA9609" t="str">
            <v/>
          </cell>
          <cell r="AB9609" t="str">
            <v/>
          </cell>
          <cell r="AC9609" t="str">
            <v/>
          </cell>
          <cell r="AD9609" t="str">
            <v/>
          </cell>
          <cell r="AY9609" t="str">
            <v/>
          </cell>
          <cell r="AZ9609" t="str">
            <v/>
          </cell>
          <cell r="BA9609" t="str">
            <v/>
          </cell>
        </row>
        <row r="9610">
          <cell r="B9610" t="str">
            <v>-</v>
          </cell>
          <cell r="E9610" t="str">
            <v/>
          </cell>
          <cell r="G9610" t="str">
            <v/>
          </cell>
          <cell r="J9610" t="str">
            <v/>
          </cell>
          <cell r="O9610" t="str">
            <v/>
          </cell>
          <cell r="P9610" t="str">
            <v/>
          </cell>
          <cell r="Q9610" t="str">
            <v/>
          </cell>
          <cell r="S9610" t="str">
            <v/>
          </cell>
          <cell r="V9610" t="str">
            <v/>
          </cell>
          <cell r="Z9610" t="str">
            <v/>
          </cell>
          <cell r="AA9610" t="str">
            <v/>
          </cell>
          <cell r="AB9610" t="str">
            <v/>
          </cell>
          <cell r="AC9610" t="str">
            <v/>
          </cell>
          <cell r="AD9610" t="str">
            <v/>
          </cell>
          <cell r="AY9610" t="str">
            <v/>
          </cell>
          <cell r="AZ9610" t="str">
            <v/>
          </cell>
          <cell r="BA9610" t="str">
            <v/>
          </cell>
        </row>
        <row r="9611">
          <cell r="B9611" t="str">
            <v>-</v>
          </cell>
          <cell r="E9611" t="str">
            <v/>
          </cell>
          <cell r="G9611" t="str">
            <v/>
          </cell>
          <cell r="J9611" t="str">
            <v/>
          </cell>
          <cell r="O9611" t="str">
            <v/>
          </cell>
          <cell r="P9611" t="str">
            <v/>
          </cell>
          <cell r="Q9611" t="str">
            <v/>
          </cell>
          <cell r="S9611" t="str">
            <v/>
          </cell>
          <cell r="V9611" t="str">
            <v/>
          </cell>
          <cell r="Z9611" t="str">
            <v/>
          </cell>
          <cell r="AA9611" t="str">
            <v/>
          </cell>
          <cell r="AB9611" t="str">
            <v/>
          </cell>
          <cell r="AC9611" t="str">
            <v/>
          </cell>
          <cell r="AD9611" t="str">
            <v/>
          </cell>
          <cell r="AY9611" t="str">
            <v/>
          </cell>
          <cell r="AZ9611" t="str">
            <v/>
          </cell>
          <cell r="BA9611" t="str">
            <v/>
          </cell>
        </row>
        <row r="9612">
          <cell r="B9612" t="str">
            <v>-</v>
          </cell>
          <cell r="E9612" t="str">
            <v/>
          </cell>
          <cell r="G9612" t="str">
            <v/>
          </cell>
          <cell r="J9612" t="str">
            <v/>
          </cell>
          <cell r="O9612" t="str">
            <v/>
          </cell>
          <cell r="P9612" t="str">
            <v/>
          </cell>
          <cell r="Q9612" t="str">
            <v/>
          </cell>
          <cell r="S9612" t="str">
            <v/>
          </cell>
          <cell r="V9612" t="str">
            <v/>
          </cell>
          <cell r="Z9612" t="str">
            <v/>
          </cell>
          <cell r="AA9612" t="str">
            <v/>
          </cell>
          <cell r="AB9612" t="str">
            <v/>
          </cell>
          <cell r="AC9612" t="str">
            <v/>
          </cell>
          <cell r="AD9612" t="str">
            <v/>
          </cell>
          <cell r="AY9612" t="str">
            <v/>
          </cell>
          <cell r="AZ9612" t="str">
            <v/>
          </cell>
          <cell r="BA9612" t="str">
            <v/>
          </cell>
        </row>
        <row r="9613">
          <cell r="B9613" t="str">
            <v>-</v>
          </cell>
          <cell r="E9613" t="str">
            <v/>
          </cell>
          <cell r="G9613" t="str">
            <v/>
          </cell>
          <cell r="J9613" t="str">
            <v/>
          </cell>
          <cell r="O9613" t="str">
            <v/>
          </cell>
          <cell r="P9613" t="str">
            <v/>
          </cell>
          <cell r="Q9613" t="str">
            <v/>
          </cell>
          <cell r="S9613" t="str">
            <v/>
          </cell>
          <cell r="V9613" t="str">
            <v/>
          </cell>
          <cell r="Z9613" t="str">
            <v/>
          </cell>
          <cell r="AA9613" t="str">
            <v/>
          </cell>
          <cell r="AB9613" t="str">
            <v/>
          </cell>
          <cell r="AC9613" t="str">
            <v/>
          </cell>
          <cell r="AD9613" t="str">
            <v/>
          </cell>
          <cell r="AY9613" t="str">
            <v/>
          </cell>
          <cell r="AZ9613" t="str">
            <v/>
          </cell>
          <cell r="BA9613" t="str">
            <v/>
          </cell>
        </row>
        <row r="9614">
          <cell r="B9614" t="str">
            <v>-</v>
          </cell>
          <cell r="E9614" t="str">
            <v/>
          </cell>
          <cell r="G9614" t="str">
            <v/>
          </cell>
          <cell r="J9614" t="str">
            <v/>
          </cell>
          <cell r="O9614" t="str">
            <v/>
          </cell>
          <cell r="P9614" t="str">
            <v/>
          </cell>
          <cell r="Q9614" t="str">
            <v/>
          </cell>
          <cell r="S9614" t="str">
            <v/>
          </cell>
          <cell r="V9614" t="str">
            <v/>
          </cell>
          <cell r="Z9614" t="str">
            <v/>
          </cell>
          <cell r="AA9614" t="str">
            <v/>
          </cell>
          <cell r="AB9614" t="str">
            <v/>
          </cell>
          <cell r="AC9614" t="str">
            <v/>
          </cell>
          <cell r="AD9614" t="str">
            <v/>
          </cell>
          <cell r="AY9614" t="str">
            <v/>
          </cell>
          <cell r="AZ9614" t="str">
            <v/>
          </cell>
          <cell r="BA9614" t="str">
            <v/>
          </cell>
        </row>
        <row r="9615">
          <cell r="B9615" t="str">
            <v>-</v>
          </cell>
          <cell r="E9615" t="str">
            <v/>
          </cell>
          <cell r="G9615" t="str">
            <v/>
          </cell>
          <cell r="J9615" t="str">
            <v/>
          </cell>
          <cell r="O9615" t="str">
            <v/>
          </cell>
          <cell r="P9615" t="str">
            <v/>
          </cell>
          <cell r="Q9615" t="str">
            <v/>
          </cell>
          <cell r="S9615" t="str">
            <v/>
          </cell>
          <cell r="V9615" t="str">
            <v/>
          </cell>
          <cell r="Z9615" t="str">
            <v/>
          </cell>
          <cell r="AA9615" t="str">
            <v/>
          </cell>
          <cell r="AB9615" t="str">
            <v/>
          </cell>
          <cell r="AC9615" t="str">
            <v/>
          </cell>
          <cell r="AD9615" t="str">
            <v/>
          </cell>
          <cell r="AY9615" t="str">
            <v/>
          </cell>
          <cell r="AZ9615" t="str">
            <v/>
          </cell>
          <cell r="BA9615" t="str">
            <v/>
          </cell>
        </row>
        <row r="9616">
          <cell r="B9616" t="str">
            <v>-</v>
          </cell>
          <cell r="E9616" t="str">
            <v/>
          </cell>
          <cell r="G9616" t="str">
            <v/>
          </cell>
          <cell r="J9616" t="str">
            <v/>
          </cell>
          <cell r="O9616" t="str">
            <v/>
          </cell>
          <cell r="P9616" t="str">
            <v/>
          </cell>
          <cell r="Q9616" t="str">
            <v/>
          </cell>
          <cell r="S9616" t="str">
            <v/>
          </cell>
          <cell r="V9616" t="str">
            <v/>
          </cell>
          <cell r="Z9616" t="str">
            <v/>
          </cell>
          <cell r="AA9616" t="str">
            <v/>
          </cell>
          <cell r="AB9616" t="str">
            <v/>
          </cell>
          <cell r="AC9616" t="str">
            <v/>
          </cell>
          <cell r="AD9616" t="str">
            <v/>
          </cell>
          <cell r="AY9616" t="str">
            <v/>
          </cell>
          <cell r="AZ9616" t="str">
            <v/>
          </cell>
          <cell r="BA9616" t="str">
            <v/>
          </cell>
        </row>
        <row r="9617">
          <cell r="B9617" t="str">
            <v>-</v>
          </cell>
          <cell r="E9617" t="str">
            <v/>
          </cell>
          <cell r="G9617" t="str">
            <v/>
          </cell>
          <cell r="J9617" t="str">
            <v/>
          </cell>
          <cell r="O9617" t="str">
            <v/>
          </cell>
          <cell r="P9617" t="str">
            <v/>
          </cell>
          <cell r="Q9617" t="str">
            <v/>
          </cell>
          <cell r="S9617" t="str">
            <v/>
          </cell>
          <cell r="V9617" t="str">
            <v/>
          </cell>
          <cell r="Z9617" t="str">
            <v/>
          </cell>
          <cell r="AA9617" t="str">
            <v/>
          </cell>
          <cell r="AB9617" t="str">
            <v/>
          </cell>
          <cell r="AC9617" t="str">
            <v/>
          </cell>
          <cell r="AD9617" t="str">
            <v/>
          </cell>
          <cell r="AY9617" t="str">
            <v/>
          </cell>
          <cell r="AZ9617" t="str">
            <v/>
          </cell>
          <cell r="BA9617" t="str">
            <v/>
          </cell>
        </row>
        <row r="9618">
          <cell r="B9618" t="str">
            <v>-</v>
          </cell>
          <cell r="E9618" t="str">
            <v/>
          </cell>
          <cell r="G9618" t="str">
            <v/>
          </cell>
          <cell r="J9618" t="str">
            <v/>
          </cell>
          <cell r="O9618" t="str">
            <v/>
          </cell>
          <cell r="P9618" t="str">
            <v/>
          </cell>
          <cell r="Q9618" t="str">
            <v/>
          </cell>
          <cell r="S9618" t="str">
            <v/>
          </cell>
          <cell r="V9618" t="str">
            <v/>
          </cell>
          <cell r="Z9618" t="str">
            <v/>
          </cell>
          <cell r="AA9618" t="str">
            <v/>
          </cell>
          <cell r="AB9618" t="str">
            <v/>
          </cell>
          <cell r="AC9618" t="str">
            <v/>
          </cell>
          <cell r="AD9618" t="str">
            <v/>
          </cell>
          <cell r="AY9618" t="str">
            <v/>
          </cell>
          <cell r="AZ9618" t="str">
            <v/>
          </cell>
          <cell r="BA9618" t="str">
            <v/>
          </cell>
        </row>
        <row r="9619">
          <cell r="B9619" t="str">
            <v>-</v>
          </cell>
          <cell r="E9619" t="str">
            <v/>
          </cell>
          <cell r="G9619" t="str">
            <v/>
          </cell>
          <cell r="J9619" t="str">
            <v/>
          </cell>
          <cell r="O9619" t="str">
            <v/>
          </cell>
          <cell r="P9619" t="str">
            <v/>
          </cell>
          <cell r="Q9619" t="str">
            <v/>
          </cell>
          <cell r="S9619" t="str">
            <v/>
          </cell>
          <cell r="V9619" t="str">
            <v/>
          </cell>
          <cell r="Z9619" t="str">
            <v/>
          </cell>
          <cell r="AA9619" t="str">
            <v/>
          </cell>
          <cell r="AB9619" t="str">
            <v/>
          </cell>
          <cell r="AC9619" t="str">
            <v/>
          </cell>
          <cell r="AD9619" t="str">
            <v/>
          </cell>
          <cell r="AY9619" t="str">
            <v/>
          </cell>
          <cell r="AZ9619" t="str">
            <v/>
          </cell>
          <cell r="BA9619" t="str">
            <v/>
          </cell>
        </row>
        <row r="9620">
          <cell r="B9620" t="str">
            <v>-</v>
          </cell>
          <cell r="E9620" t="str">
            <v/>
          </cell>
          <cell r="G9620" t="str">
            <v/>
          </cell>
          <cell r="J9620" t="str">
            <v/>
          </cell>
          <cell r="O9620" t="str">
            <v/>
          </cell>
          <cell r="P9620" t="str">
            <v/>
          </cell>
          <cell r="Q9620" t="str">
            <v/>
          </cell>
          <cell r="S9620" t="str">
            <v/>
          </cell>
          <cell r="V9620" t="str">
            <v/>
          </cell>
          <cell r="Z9620" t="str">
            <v/>
          </cell>
          <cell r="AA9620" t="str">
            <v/>
          </cell>
          <cell r="AB9620" t="str">
            <v/>
          </cell>
          <cell r="AC9620" t="str">
            <v/>
          </cell>
          <cell r="AD9620" t="str">
            <v/>
          </cell>
          <cell r="AY9620" t="str">
            <v/>
          </cell>
          <cell r="AZ9620" t="str">
            <v/>
          </cell>
          <cell r="BA9620" t="str">
            <v/>
          </cell>
        </row>
        <row r="9621">
          <cell r="B9621" t="str">
            <v>-</v>
          </cell>
          <cell r="E9621" t="str">
            <v/>
          </cell>
          <cell r="G9621" t="str">
            <v/>
          </cell>
          <cell r="J9621" t="str">
            <v/>
          </cell>
          <cell r="O9621" t="str">
            <v/>
          </cell>
          <cell r="P9621" t="str">
            <v/>
          </cell>
          <cell r="Q9621" t="str">
            <v/>
          </cell>
          <cell r="S9621" t="str">
            <v/>
          </cell>
          <cell r="V9621" t="str">
            <v/>
          </cell>
          <cell r="Z9621" t="str">
            <v/>
          </cell>
          <cell r="AA9621" t="str">
            <v/>
          </cell>
          <cell r="AB9621" t="str">
            <v/>
          </cell>
          <cell r="AC9621" t="str">
            <v/>
          </cell>
          <cell r="AD9621" t="str">
            <v/>
          </cell>
          <cell r="AY9621" t="str">
            <v/>
          </cell>
          <cell r="AZ9621" t="str">
            <v/>
          </cell>
          <cell r="BA9621" t="str">
            <v/>
          </cell>
        </row>
        <row r="9622">
          <cell r="B9622" t="str">
            <v>-</v>
          </cell>
          <cell r="E9622" t="str">
            <v/>
          </cell>
          <cell r="G9622" t="str">
            <v/>
          </cell>
          <cell r="J9622" t="str">
            <v/>
          </cell>
          <cell r="O9622" t="str">
            <v/>
          </cell>
          <cell r="P9622" t="str">
            <v/>
          </cell>
          <cell r="Q9622" t="str">
            <v/>
          </cell>
          <cell r="S9622" t="str">
            <v/>
          </cell>
          <cell r="V9622" t="str">
            <v/>
          </cell>
          <cell r="Z9622" t="str">
            <v/>
          </cell>
          <cell r="AA9622" t="str">
            <v/>
          </cell>
          <cell r="AB9622" t="str">
            <v/>
          </cell>
          <cell r="AC9622" t="str">
            <v/>
          </cell>
          <cell r="AD9622" t="str">
            <v/>
          </cell>
          <cell r="AY9622" t="str">
            <v/>
          </cell>
          <cell r="AZ9622" t="str">
            <v/>
          </cell>
          <cell r="BA9622" t="str">
            <v/>
          </cell>
        </row>
        <row r="9623">
          <cell r="B9623" t="str">
            <v>-</v>
          </cell>
          <cell r="E9623" t="str">
            <v/>
          </cell>
          <cell r="G9623" t="str">
            <v/>
          </cell>
          <cell r="J9623" t="str">
            <v/>
          </cell>
          <cell r="O9623" t="str">
            <v/>
          </cell>
          <cell r="P9623" t="str">
            <v/>
          </cell>
          <cell r="Q9623" t="str">
            <v/>
          </cell>
          <cell r="S9623" t="str">
            <v/>
          </cell>
          <cell r="V9623" t="str">
            <v/>
          </cell>
          <cell r="Z9623" t="str">
            <v/>
          </cell>
          <cell r="AA9623" t="str">
            <v/>
          </cell>
          <cell r="AB9623" t="str">
            <v/>
          </cell>
          <cell r="AC9623" t="str">
            <v/>
          </cell>
          <cell r="AD9623" t="str">
            <v/>
          </cell>
          <cell r="AY9623" t="str">
            <v/>
          </cell>
          <cell r="AZ9623" t="str">
            <v/>
          </cell>
          <cell r="BA9623" t="str">
            <v/>
          </cell>
        </row>
        <row r="9624">
          <cell r="B9624" t="str">
            <v>-</v>
          </cell>
          <cell r="E9624" t="str">
            <v/>
          </cell>
          <cell r="G9624" t="str">
            <v/>
          </cell>
          <cell r="J9624" t="str">
            <v/>
          </cell>
          <cell r="O9624" t="str">
            <v/>
          </cell>
          <cell r="P9624" t="str">
            <v/>
          </cell>
          <cell r="Q9624" t="str">
            <v/>
          </cell>
          <cell r="S9624" t="str">
            <v/>
          </cell>
          <cell r="V9624" t="str">
            <v/>
          </cell>
          <cell r="Z9624" t="str">
            <v/>
          </cell>
          <cell r="AA9624" t="str">
            <v/>
          </cell>
          <cell r="AB9624" t="str">
            <v/>
          </cell>
          <cell r="AC9624" t="str">
            <v/>
          </cell>
          <cell r="AD9624" t="str">
            <v/>
          </cell>
          <cell r="AY9624" t="str">
            <v/>
          </cell>
          <cell r="AZ9624" t="str">
            <v/>
          </cell>
          <cell r="BA9624" t="str">
            <v/>
          </cell>
        </row>
        <row r="9625">
          <cell r="B9625" t="str">
            <v>-</v>
          </cell>
          <cell r="E9625" t="str">
            <v/>
          </cell>
          <cell r="G9625" t="str">
            <v/>
          </cell>
          <cell r="J9625" t="str">
            <v/>
          </cell>
          <cell r="O9625" t="str">
            <v/>
          </cell>
          <cell r="P9625" t="str">
            <v/>
          </cell>
          <cell r="Q9625" t="str">
            <v/>
          </cell>
          <cell r="S9625" t="str">
            <v/>
          </cell>
          <cell r="V9625" t="str">
            <v/>
          </cell>
          <cell r="Z9625" t="str">
            <v/>
          </cell>
          <cell r="AA9625" t="str">
            <v/>
          </cell>
          <cell r="AB9625" t="str">
            <v/>
          </cell>
          <cell r="AC9625" t="str">
            <v/>
          </cell>
          <cell r="AD9625" t="str">
            <v/>
          </cell>
          <cell r="AY9625" t="str">
            <v/>
          </cell>
          <cell r="AZ9625" t="str">
            <v/>
          </cell>
          <cell r="BA9625" t="str">
            <v/>
          </cell>
        </row>
        <row r="9626">
          <cell r="B9626" t="str">
            <v>-</v>
          </cell>
          <cell r="E9626" t="str">
            <v/>
          </cell>
          <cell r="G9626" t="str">
            <v/>
          </cell>
          <cell r="J9626" t="str">
            <v/>
          </cell>
          <cell r="O9626" t="str">
            <v/>
          </cell>
          <cell r="P9626" t="str">
            <v/>
          </cell>
          <cell r="Q9626" t="str">
            <v/>
          </cell>
          <cell r="S9626" t="str">
            <v/>
          </cell>
          <cell r="V9626" t="str">
            <v/>
          </cell>
          <cell r="Z9626" t="str">
            <v/>
          </cell>
          <cell r="AA9626" t="str">
            <v/>
          </cell>
          <cell r="AB9626" t="str">
            <v/>
          </cell>
          <cell r="AC9626" t="str">
            <v/>
          </cell>
          <cell r="AD9626" t="str">
            <v/>
          </cell>
          <cell r="AY9626" t="str">
            <v/>
          </cell>
          <cell r="AZ9626" t="str">
            <v/>
          </cell>
          <cell r="BA9626" t="str">
            <v/>
          </cell>
        </row>
        <row r="9627">
          <cell r="B9627" t="str">
            <v>-</v>
          </cell>
          <cell r="E9627" t="str">
            <v/>
          </cell>
          <cell r="G9627" t="str">
            <v/>
          </cell>
          <cell r="J9627" t="str">
            <v/>
          </cell>
          <cell r="O9627" t="str">
            <v/>
          </cell>
          <cell r="P9627" t="str">
            <v/>
          </cell>
          <cell r="Q9627" t="str">
            <v/>
          </cell>
          <cell r="S9627" t="str">
            <v/>
          </cell>
          <cell r="V9627" t="str">
            <v/>
          </cell>
          <cell r="Z9627" t="str">
            <v/>
          </cell>
          <cell r="AA9627" t="str">
            <v/>
          </cell>
          <cell r="AB9627" t="str">
            <v/>
          </cell>
          <cell r="AC9627" t="str">
            <v/>
          </cell>
          <cell r="AD9627" t="str">
            <v/>
          </cell>
          <cell r="AY9627" t="str">
            <v/>
          </cell>
          <cell r="AZ9627" t="str">
            <v/>
          </cell>
          <cell r="BA9627" t="str">
            <v/>
          </cell>
        </row>
        <row r="9628">
          <cell r="B9628" t="str">
            <v>-</v>
          </cell>
          <cell r="E9628" t="str">
            <v/>
          </cell>
          <cell r="G9628" t="str">
            <v/>
          </cell>
          <cell r="J9628" t="str">
            <v/>
          </cell>
          <cell r="O9628" t="str">
            <v/>
          </cell>
          <cell r="P9628" t="str">
            <v/>
          </cell>
          <cell r="Q9628" t="str">
            <v/>
          </cell>
          <cell r="S9628" t="str">
            <v/>
          </cell>
          <cell r="V9628" t="str">
            <v/>
          </cell>
          <cell r="Z9628" t="str">
            <v/>
          </cell>
          <cell r="AA9628" t="str">
            <v/>
          </cell>
          <cell r="AB9628" t="str">
            <v/>
          </cell>
          <cell r="AC9628" t="str">
            <v/>
          </cell>
          <cell r="AD9628" t="str">
            <v/>
          </cell>
          <cell r="AY9628" t="str">
            <v/>
          </cell>
          <cell r="AZ9628" t="str">
            <v/>
          </cell>
          <cell r="BA9628" t="str">
            <v/>
          </cell>
        </row>
        <row r="9629">
          <cell r="B9629" t="str">
            <v>-</v>
          </cell>
          <cell r="E9629" t="str">
            <v/>
          </cell>
          <cell r="G9629" t="str">
            <v/>
          </cell>
          <cell r="J9629" t="str">
            <v/>
          </cell>
          <cell r="O9629" t="str">
            <v/>
          </cell>
          <cell r="P9629" t="str">
            <v/>
          </cell>
          <cell r="Q9629" t="str">
            <v/>
          </cell>
          <cell r="S9629" t="str">
            <v/>
          </cell>
          <cell r="V9629" t="str">
            <v/>
          </cell>
          <cell r="Z9629" t="str">
            <v/>
          </cell>
          <cell r="AA9629" t="str">
            <v/>
          </cell>
          <cell r="AB9629" t="str">
            <v/>
          </cell>
          <cell r="AC9629" t="str">
            <v/>
          </cell>
          <cell r="AD9629" t="str">
            <v/>
          </cell>
          <cell r="AY9629" t="str">
            <v/>
          </cell>
          <cell r="AZ9629" t="str">
            <v/>
          </cell>
          <cell r="BA9629" t="str">
            <v/>
          </cell>
        </row>
        <row r="9630">
          <cell r="B9630" t="str">
            <v>-</v>
          </cell>
          <cell r="E9630" t="str">
            <v/>
          </cell>
          <cell r="G9630" t="str">
            <v/>
          </cell>
          <cell r="J9630" t="str">
            <v/>
          </cell>
          <cell r="O9630" t="str">
            <v/>
          </cell>
          <cell r="P9630" t="str">
            <v/>
          </cell>
          <cell r="Q9630" t="str">
            <v/>
          </cell>
          <cell r="S9630" t="str">
            <v/>
          </cell>
          <cell r="V9630" t="str">
            <v/>
          </cell>
          <cell r="Z9630" t="str">
            <v/>
          </cell>
          <cell r="AA9630" t="str">
            <v/>
          </cell>
          <cell r="AB9630" t="str">
            <v/>
          </cell>
          <cell r="AC9630" t="str">
            <v/>
          </cell>
          <cell r="AD9630" t="str">
            <v/>
          </cell>
          <cell r="AY9630" t="str">
            <v/>
          </cell>
          <cell r="AZ9630" t="str">
            <v/>
          </cell>
          <cell r="BA9630" t="str">
            <v/>
          </cell>
        </row>
        <row r="9631">
          <cell r="B9631" t="str">
            <v>-</v>
          </cell>
          <cell r="E9631" t="str">
            <v/>
          </cell>
          <cell r="G9631" t="str">
            <v/>
          </cell>
          <cell r="J9631" t="str">
            <v/>
          </cell>
          <cell r="O9631" t="str">
            <v/>
          </cell>
          <cell r="P9631" t="str">
            <v/>
          </cell>
          <cell r="Q9631" t="str">
            <v/>
          </cell>
          <cell r="S9631" t="str">
            <v/>
          </cell>
          <cell r="V9631" t="str">
            <v/>
          </cell>
          <cell r="Z9631" t="str">
            <v/>
          </cell>
          <cell r="AA9631" t="str">
            <v/>
          </cell>
          <cell r="AB9631" t="str">
            <v/>
          </cell>
          <cell r="AC9631" t="str">
            <v/>
          </cell>
          <cell r="AD9631" t="str">
            <v/>
          </cell>
          <cell r="AY9631" t="str">
            <v/>
          </cell>
          <cell r="AZ9631" t="str">
            <v/>
          </cell>
          <cell r="BA9631" t="str">
            <v/>
          </cell>
        </row>
        <row r="9632">
          <cell r="B9632" t="str">
            <v>-</v>
          </cell>
          <cell r="E9632" t="str">
            <v/>
          </cell>
          <cell r="G9632" t="str">
            <v/>
          </cell>
          <cell r="J9632" t="str">
            <v/>
          </cell>
          <cell r="O9632" t="str">
            <v/>
          </cell>
          <cell r="P9632" t="str">
            <v/>
          </cell>
          <cell r="Q9632" t="str">
            <v/>
          </cell>
          <cell r="S9632" t="str">
            <v/>
          </cell>
          <cell r="V9632" t="str">
            <v/>
          </cell>
          <cell r="Z9632" t="str">
            <v/>
          </cell>
          <cell r="AA9632" t="str">
            <v/>
          </cell>
          <cell r="AB9632" t="str">
            <v/>
          </cell>
          <cell r="AC9632" t="str">
            <v/>
          </cell>
          <cell r="AD9632" t="str">
            <v/>
          </cell>
          <cell r="AY9632" t="str">
            <v/>
          </cell>
          <cell r="AZ9632" t="str">
            <v/>
          </cell>
          <cell r="BA9632" t="str">
            <v/>
          </cell>
        </row>
        <row r="9633">
          <cell r="B9633" t="str">
            <v>-</v>
          </cell>
          <cell r="E9633" t="str">
            <v/>
          </cell>
          <cell r="G9633" t="str">
            <v/>
          </cell>
          <cell r="J9633" t="str">
            <v/>
          </cell>
          <cell r="O9633" t="str">
            <v/>
          </cell>
          <cell r="P9633" t="str">
            <v/>
          </cell>
          <cell r="Q9633" t="str">
            <v/>
          </cell>
          <cell r="S9633" t="str">
            <v/>
          </cell>
          <cell r="V9633" t="str">
            <v/>
          </cell>
          <cell r="Z9633" t="str">
            <v/>
          </cell>
          <cell r="AA9633" t="str">
            <v/>
          </cell>
          <cell r="AB9633" t="str">
            <v/>
          </cell>
          <cell r="AC9633" t="str">
            <v/>
          </cell>
          <cell r="AD9633" t="str">
            <v/>
          </cell>
          <cell r="AY9633" t="str">
            <v/>
          </cell>
          <cell r="AZ9633" t="str">
            <v/>
          </cell>
          <cell r="BA9633" t="str">
            <v/>
          </cell>
        </row>
        <row r="9634">
          <cell r="B9634" t="str">
            <v>-</v>
          </cell>
          <cell r="E9634" t="str">
            <v/>
          </cell>
          <cell r="G9634" t="str">
            <v/>
          </cell>
          <cell r="J9634" t="str">
            <v/>
          </cell>
          <cell r="O9634" t="str">
            <v/>
          </cell>
          <cell r="P9634" t="str">
            <v/>
          </cell>
          <cell r="Q9634" t="str">
            <v/>
          </cell>
          <cell r="S9634" t="str">
            <v/>
          </cell>
          <cell r="V9634" t="str">
            <v/>
          </cell>
          <cell r="Z9634" t="str">
            <v/>
          </cell>
          <cell r="AA9634" t="str">
            <v/>
          </cell>
          <cell r="AB9634" t="str">
            <v/>
          </cell>
          <cell r="AC9634" t="str">
            <v/>
          </cell>
          <cell r="AD9634" t="str">
            <v/>
          </cell>
          <cell r="AY9634" t="str">
            <v/>
          </cell>
          <cell r="AZ9634" t="str">
            <v/>
          </cell>
          <cell r="BA9634" t="str">
            <v/>
          </cell>
        </row>
        <row r="9635">
          <cell r="B9635" t="str">
            <v>-</v>
          </cell>
          <cell r="E9635" t="str">
            <v/>
          </cell>
          <cell r="G9635" t="str">
            <v/>
          </cell>
          <cell r="J9635" t="str">
            <v/>
          </cell>
          <cell r="O9635" t="str">
            <v/>
          </cell>
          <cell r="P9635" t="str">
            <v/>
          </cell>
          <cell r="Q9635" t="str">
            <v/>
          </cell>
          <cell r="S9635" t="str">
            <v/>
          </cell>
          <cell r="V9635" t="str">
            <v/>
          </cell>
          <cell r="Z9635" t="str">
            <v/>
          </cell>
          <cell r="AA9635" t="str">
            <v/>
          </cell>
          <cell r="AB9635" t="str">
            <v/>
          </cell>
          <cell r="AC9635" t="str">
            <v/>
          </cell>
          <cell r="AD9635" t="str">
            <v/>
          </cell>
          <cell r="AY9635" t="str">
            <v/>
          </cell>
          <cell r="AZ9635" t="str">
            <v/>
          </cell>
          <cell r="BA9635" t="str">
            <v/>
          </cell>
        </row>
        <row r="9636">
          <cell r="B9636" t="str">
            <v>-</v>
          </cell>
          <cell r="E9636" t="str">
            <v/>
          </cell>
          <cell r="G9636" t="str">
            <v/>
          </cell>
          <cell r="J9636" t="str">
            <v/>
          </cell>
          <cell r="O9636" t="str">
            <v/>
          </cell>
          <cell r="P9636" t="str">
            <v/>
          </cell>
          <cell r="Q9636" t="str">
            <v/>
          </cell>
          <cell r="S9636" t="str">
            <v/>
          </cell>
          <cell r="V9636" t="str">
            <v/>
          </cell>
          <cell r="Z9636" t="str">
            <v/>
          </cell>
          <cell r="AA9636" t="str">
            <v/>
          </cell>
          <cell r="AB9636" t="str">
            <v/>
          </cell>
          <cell r="AC9636" t="str">
            <v/>
          </cell>
          <cell r="AD9636" t="str">
            <v/>
          </cell>
          <cell r="AY9636" t="str">
            <v/>
          </cell>
          <cell r="AZ9636" t="str">
            <v/>
          </cell>
          <cell r="BA9636" t="str">
            <v/>
          </cell>
        </row>
        <row r="9637">
          <cell r="B9637" t="str">
            <v>-</v>
          </cell>
          <cell r="E9637" t="str">
            <v/>
          </cell>
          <cell r="G9637" t="str">
            <v/>
          </cell>
          <cell r="J9637" t="str">
            <v/>
          </cell>
          <cell r="O9637" t="str">
            <v/>
          </cell>
          <cell r="P9637" t="str">
            <v/>
          </cell>
          <cell r="Q9637" t="str">
            <v/>
          </cell>
          <cell r="S9637" t="str">
            <v/>
          </cell>
          <cell r="V9637" t="str">
            <v/>
          </cell>
          <cell r="Z9637" t="str">
            <v/>
          </cell>
          <cell r="AA9637" t="str">
            <v/>
          </cell>
          <cell r="AB9637" t="str">
            <v/>
          </cell>
          <cell r="AC9637" t="str">
            <v/>
          </cell>
          <cell r="AD9637" t="str">
            <v/>
          </cell>
          <cell r="AY9637" t="str">
            <v/>
          </cell>
          <cell r="AZ9637" t="str">
            <v/>
          </cell>
          <cell r="BA9637" t="str">
            <v/>
          </cell>
        </row>
        <row r="9638">
          <cell r="B9638" t="str">
            <v>-</v>
          </cell>
          <cell r="E9638" t="str">
            <v/>
          </cell>
          <cell r="G9638" t="str">
            <v/>
          </cell>
          <cell r="J9638" t="str">
            <v/>
          </cell>
          <cell r="O9638" t="str">
            <v/>
          </cell>
          <cell r="P9638" t="str">
            <v/>
          </cell>
          <cell r="Q9638" t="str">
            <v/>
          </cell>
          <cell r="S9638" t="str">
            <v/>
          </cell>
          <cell r="V9638" t="str">
            <v/>
          </cell>
          <cell r="Z9638" t="str">
            <v/>
          </cell>
          <cell r="AA9638" t="str">
            <v/>
          </cell>
          <cell r="AB9638" t="str">
            <v/>
          </cell>
          <cell r="AC9638" t="str">
            <v/>
          </cell>
          <cell r="AD9638" t="str">
            <v/>
          </cell>
          <cell r="AY9638" t="str">
            <v/>
          </cell>
          <cell r="AZ9638" t="str">
            <v/>
          </cell>
          <cell r="BA9638" t="str">
            <v/>
          </cell>
        </row>
        <row r="9639">
          <cell r="B9639" t="str">
            <v>-</v>
          </cell>
          <cell r="E9639" t="str">
            <v/>
          </cell>
          <cell r="G9639" t="str">
            <v/>
          </cell>
          <cell r="J9639" t="str">
            <v/>
          </cell>
          <cell r="O9639" t="str">
            <v/>
          </cell>
          <cell r="P9639" t="str">
            <v/>
          </cell>
          <cell r="Q9639" t="str">
            <v/>
          </cell>
          <cell r="S9639" t="str">
            <v/>
          </cell>
          <cell r="V9639" t="str">
            <v/>
          </cell>
          <cell r="Z9639" t="str">
            <v/>
          </cell>
          <cell r="AA9639" t="str">
            <v/>
          </cell>
          <cell r="AB9639" t="str">
            <v/>
          </cell>
          <cell r="AC9639" t="str">
            <v/>
          </cell>
          <cell r="AD9639" t="str">
            <v/>
          </cell>
          <cell r="AY9639" t="str">
            <v/>
          </cell>
          <cell r="AZ9639" t="str">
            <v/>
          </cell>
          <cell r="BA9639" t="str">
            <v/>
          </cell>
        </row>
        <row r="9640">
          <cell r="B9640" t="str">
            <v>-</v>
          </cell>
          <cell r="E9640" t="str">
            <v/>
          </cell>
          <cell r="G9640" t="str">
            <v/>
          </cell>
          <cell r="J9640" t="str">
            <v/>
          </cell>
          <cell r="O9640" t="str">
            <v/>
          </cell>
          <cell r="P9640" t="str">
            <v/>
          </cell>
          <cell r="Q9640" t="str">
            <v/>
          </cell>
          <cell r="S9640" t="str">
            <v/>
          </cell>
          <cell r="V9640" t="str">
            <v/>
          </cell>
          <cell r="Z9640" t="str">
            <v/>
          </cell>
          <cell r="AA9640" t="str">
            <v/>
          </cell>
          <cell r="AB9640" t="str">
            <v/>
          </cell>
          <cell r="AC9640" t="str">
            <v/>
          </cell>
          <cell r="AD9640" t="str">
            <v/>
          </cell>
          <cell r="AY9640" t="str">
            <v/>
          </cell>
          <cell r="AZ9640" t="str">
            <v/>
          </cell>
          <cell r="BA9640" t="str">
            <v/>
          </cell>
        </row>
        <row r="9641">
          <cell r="B9641" t="str">
            <v>-</v>
          </cell>
          <cell r="E9641" t="str">
            <v/>
          </cell>
          <cell r="G9641" t="str">
            <v/>
          </cell>
          <cell r="J9641" t="str">
            <v/>
          </cell>
          <cell r="O9641" t="str">
            <v/>
          </cell>
          <cell r="P9641" t="str">
            <v/>
          </cell>
          <cell r="Q9641" t="str">
            <v/>
          </cell>
          <cell r="S9641" t="str">
            <v/>
          </cell>
          <cell r="V9641" t="str">
            <v/>
          </cell>
          <cell r="Z9641" t="str">
            <v/>
          </cell>
          <cell r="AA9641" t="str">
            <v/>
          </cell>
          <cell r="AB9641" t="str">
            <v/>
          </cell>
          <cell r="AC9641" t="str">
            <v/>
          </cell>
          <cell r="AD9641" t="str">
            <v/>
          </cell>
          <cell r="AY9641" t="str">
            <v/>
          </cell>
          <cell r="AZ9641" t="str">
            <v/>
          </cell>
          <cell r="BA9641" t="str">
            <v/>
          </cell>
        </row>
        <row r="9642">
          <cell r="B9642" t="str">
            <v>-</v>
          </cell>
          <cell r="E9642" t="str">
            <v/>
          </cell>
          <cell r="G9642" t="str">
            <v/>
          </cell>
          <cell r="J9642" t="str">
            <v/>
          </cell>
          <cell r="O9642" t="str">
            <v/>
          </cell>
          <cell r="P9642" t="str">
            <v/>
          </cell>
          <cell r="Q9642" t="str">
            <v/>
          </cell>
          <cell r="S9642" t="str">
            <v/>
          </cell>
          <cell r="V9642" t="str">
            <v/>
          </cell>
          <cell r="Z9642" t="str">
            <v/>
          </cell>
          <cell r="AA9642" t="str">
            <v/>
          </cell>
          <cell r="AB9642" t="str">
            <v/>
          </cell>
          <cell r="AC9642" t="str">
            <v/>
          </cell>
          <cell r="AD9642" t="str">
            <v/>
          </cell>
          <cell r="AY9642" t="str">
            <v/>
          </cell>
          <cell r="AZ9642" t="str">
            <v/>
          </cell>
          <cell r="BA9642" t="str">
            <v/>
          </cell>
        </row>
        <row r="9643">
          <cell r="B9643" t="str">
            <v>-</v>
          </cell>
          <cell r="E9643" t="str">
            <v/>
          </cell>
          <cell r="G9643" t="str">
            <v/>
          </cell>
          <cell r="J9643" t="str">
            <v/>
          </cell>
          <cell r="O9643" t="str">
            <v/>
          </cell>
          <cell r="P9643" t="str">
            <v/>
          </cell>
          <cell r="Q9643" t="str">
            <v/>
          </cell>
          <cell r="S9643" t="str">
            <v/>
          </cell>
          <cell r="V9643" t="str">
            <v/>
          </cell>
          <cell r="Z9643" t="str">
            <v/>
          </cell>
          <cell r="AA9643" t="str">
            <v/>
          </cell>
          <cell r="AB9643" t="str">
            <v/>
          </cell>
          <cell r="AC9643" t="str">
            <v/>
          </cell>
          <cell r="AD9643" t="str">
            <v/>
          </cell>
          <cell r="AY9643" t="str">
            <v/>
          </cell>
          <cell r="AZ9643" t="str">
            <v/>
          </cell>
          <cell r="BA9643" t="str">
            <v/>
          </cell>
        </row>
        <row r="9644">
          <cell r="B9644" t="str">
            <v>-</v>
          </cell>
          <cell r="E9644" t="str">
            <v/>
          </cell>
          <cell r="G9644" t="str">
            <v/>
          </cell>
          <cell r="J9644" t="str">
            <v/>
          </cell>
          <cell r="O9644" t="str">
            <v/>
          </cell>
          <cell r="P9644" t="str">
            <v/>
          </cell>
          <cell r="Q9644" t="str">
            <v/>
          </cell>
          <cell r="S9644" t="str">
            <v/>
          </cell>
          <cell r="V9644" t="str">
            <v/>
          </cell>
          <cell r="Z9644" t="str">
            <v/>
          </cell>
          <cell r="AA9644" t="str">
            <v/>
          </cell>
          <cell r="AB9644" t="str">
            <v/>
          </cell>
          <cell r="AC9644" t="str">
            <v/>
          </cell>
          <cell r="AD9644" t="str">
            <v/>
          </cell>
          <cell r="AY9644" t="str">
            <v/>
          </cell>
          <cell r="AZ9644" t="str">
            <v/>
          </cell>
          <cell r="BA9644" t="str">
            <v/>
          </cell>
        </row>
        <row r="9645">
          <cell r="B9645" t="str">
            <v>-</v>
          </cell>
          <cell r="E9645" t="str">
            <v/>
          </cell>
          <cell r="G9645" t="str">
            <v/>
          </cell>
          <cell r="J9645" t="str">
            <v/>
          </cell>
          <cell r="O9645" t="str">
            <v/>
          </cell>
          <cell r="P9645" t="str">
            <v/>
          </cell>
          <cell r="Q9645" t="str">
            <v/>
          </cell>
          <cell r="S9645" t="str">
            <v/>
          </cell>
          <cell r="V9645" t="str">
            <v/>
          </cell>
          <cell r="Z9645" t="str">
            <v/>
          </cell>
          <cell r="AA9645" t="str">
            <v/>
          </cell>
          <cell r="AB9645" t="str">
            <v/>
          </cell>
          <cell r="AC9645" t="str">
            <v/>
          </cell>
          <cell r="AD9645" t="str">
            <v/>
          </cell>
          <cell r="AY9645" t="str">
            <v/>
          </cell>
          <cell r="AZ9645" t="str">
            <v/>
          </cell>
          <cell r="BA9645" t="str">
            <v/>
          </cell>
        </row>
        <row r="9646">
          <cell r="B9646" t="str">
            <v>-</v>
          </cell>
          <cell r="E9646" t="str">
            <v/>
          </cell>
          <cell r="G9646" t="str">
            <v/>
          </cell>
          <cell r="J9646" t="str">
            <v/>
          </cell>
          <cell r="O9646" t="str">
            <v/>
          </cell>
          <cell r="P9646" t="str">
            <v/>
          </cell>
          <cell r="Q9646" t="str">
            <v/>
          </cell>
          <cell r="S9646" t="str">
            <v/>
          </cell>
          <cell r="V9646" t="str">
            <v/>
          </cell>
          <cell r="Z9646" t="str">
            <v/>
          </cell>
          <cell r="AA9646" t="str">
            <v/>
          </cell>
          <cell r="AB9646" t="str">
            <v/>
          </cell>
          <cell r="AC9646" t="str">
            <v/>
          </cell>
          <cell r="AD9646" t="str">
            <v/>
          </cell>
          <cell r="AY9646" t="str">
            <v/>
          </cell>
          <cell r="AZ9646" t="str">
            <v/>
          </cell>
          <cell r="BA9646" t="str">
            <v/>
          </cell>
        </row>
        <row r="9647">
          <cell r="B9647" t="str">
            <v>-</v>
          </cell>
          <cell r="E9647" t="str">
            <v/>
          </cell>
          <cell r="G9647" t="str">
            <v/>
          </cell>
          <cell r="J9647" t="str">
            <v/>
          </cell>
          <cell r="O9647" t="str">
            <v/>
          </cell>
          <cell r="P9647" t="str">
            <v/>
          </cell>
          <cell r="Q9647" t="str">
            <v/>
          </cell>
          <cell r="S9647" t="str">
            <v/>
          </cell>
          <cell r="V9647" t="str">
            <v/>
          </cell>
          <cell r="Z9647" t="str">
            <v/>
          </cell>
          <cell r="AA9647" t="str">
            <v/>
          </cell>
          <cell r="AB9647" t="str">
            <v/>
          </cell>
          <cell r="AC9647" t="str">
            <v/>
          </cell>
          <cell r="AD9647" t="str">
            <v/>
          </cell>
          <cell r="AY9647" t="str">
            <v/>
          </cell>
          <cell r="AZ9647" t="str">
            <v/>
          </cell>
          <cell r="BA9647" t="str">
            <v/>
          </cell>
        </row>
        <row r="9648">
          <cell r="B9648" t="str">
            <v>-</v>
          </cell>
          <cell r="E9648" t="str">
            <v/>
          </cell>
          <cell r="G9648" t="str">
            <v/>
          </cell>
          <cell r="J9648" t="str">
            <v/>
          </cell>
          <cell r="O9648" t="str">
            <v/>
          </cell>
          <cell r="P9648" t="str">
            <v/>
          </cell>
          <cell r="Q9648" t="str">
            <v/>
          </cell>
          <cell r="S9648" t="str">
            <v/>
          </cell>
          <cell r="V9648" t="str">
            <v/>
          </cell>
          <cell r="Z9648" t="str">
            <v/>
          </cell>
          <cell r="AA9648" t="str">
            <v/>
          </cell>
          <cell r="AB9648" t="str">
            <v/>
          </cell>
          <cell r="AC9648" t="str">
            <v/>
          </cell>
          <cell r="AD9648" t="str">
            <v/>
          </cell>
          <cell r="AY9648" t="str">
            <v/>
          </cell>
          <cell r="AZ9648" t="str">
            <v/>
          </cell>
          <cell r="BA9648" t="str">
            <v/>
          </cell>
        </row>
        <row r="9649">
          <cell r="B9649" t="str">
            <v>-</v>
          </cell>
          <cell r="E9649" t="str">
            <v/>
          </cell>
          <cell r="G9649" t="str">
            <v/>
          </cell>
          <cell r="J9649" t="str">
            <v/>
          </cell>
          <cell r="O9649" t="str">
            <v/>
          </cell>
          <cell r="P9649" t="str">
            <v/>
          </cell>
          <cell r="Q9649" t="str">
            <v/>
          </cell>
          <cell r="S9649" t="str">
            <v/>
          </cell>
          <cell r="V9649" t="str">
            <v/>
          </cell>
          <cell r="Z9649" t="str">
            <v/>
          </cell>
          <cell r="AA9649" t="str">
            <v/>
          </cell>
          <cell r="AB9649" t="str">
            <v/>
          </cell>
          <cell r="AC9649" t="str">
            <v/>
          </cell>
          <cell r="AD9649" t="str">
            <v/>
          </cell>
          <cell r="AY9649" t="str">
            <v/>
          </cell>
          <cell r="AZ9649" t="str">
            <v/>
          </cell>
          <cell r="BA9649" t="str">
            <v/>
          </cell>
        </row>
        <row r="9650">
          <cell r="B9650" t="str">
            <v>-</v>
          </cell>
          <cell r="E9650" t="str">
            <v/>
          </cell>
          <cell r="G9650" t="str">
            <v/>
          </cell>
          <cell r="J9650" t="str">
            <v/>
          </cell>
          <cell r="O9650" t="str">
            <v/>
          </cell>
          <cell r="P9650" t="str">
            <v/>
          </cell>
          <cell r="Q9650" t="str">
            <v/>
          </cell>
          <cell r="S9650" t="str">
            <v/>
          </cell>
          <cell r="V9650" t="str">
            <v/>
          </cell>
          <cell r="Z9650" t="str">
            <v/>
          </cell>
          <cell r="AA9650" t="str">
            <v/>
          </cell>
          <cell r="AB9650" t="str">
            <v/>
          </cell>
          <cell r="AC9650" t="str">
            <v/>
          </cell>
          <cell r="AD9650" t="str">
            <v/>
          </cell>
          <cell r="AY9650" t="str">
            <v/>
          </cell>
          <cell r="AZ9650" t="str">
            <v/>
          </cell>
          <cell r="BA9650" t="str">
            <v/>
          </cell>
        </row>
        <row r="9651">
          <cell r="B9651" t="str">
            <v>-</v>
          </cell>
          <cell r="E9651" t="str">
            <v/>
          </cell>
          <cell r="G9651" t="str">
            <v/>
          </cell>
          <cell r="J9651" t="str">
            <v/>
          </cell>
          <cell r="O9651" t="str">
            <v/>
          </cell>
          <cell r="P9651" t="str">
            <v/>
          </cell>
          <cell r="Q9651" t="str">
            <v/>
          </cell>
          <cell r="S9651" t="str">
            <v/>
          </cell>
          <cell r="V9651" t="str">
            <v/>
          </cell>
          <cell r="Z9651" t="str">
            <v/>
          </cell>
          <cell r="AA9651" t="str">
            <v/>
          </cell>
          <cell r="AB9651" t="str">
            <v/>
          </cell>
          <cell r="AC9651" t="str">
            <v/>
          </cell>
          <cell r="AD9651" t="str">
            <v/>
          </cell>
          <cell r="AY9651" t="str">
            <v/>
          </cell>
          <cell r="AZ9651" t="str">
            <v/>
          </cell>
          <cell r="BA9651" t="str">
            <v/>
          </cell>
        </row>
        <row r="9652">
          <cell r="B9652" t="str">
            <v>-</v>
          </cell>
          <cell r="E9652" t="str">
            <v/>
          </cell>
          <cell r="G9652" t="str">
            <v/>
          </cell>
          <cell r="J9652" t="str">
            <v/>
          </cell>
          <cell r="O9652" t="str">
            <v/>
          </cell>
          <cell r="P9652" t="str">
            <v/>
          </cell>
          <cell r="Q9652" t="str">
            <v/>
          </cell>
          <cell r="S9652" t="str">
            <v/>
          </cell>
          <cell r="V9652" t="str">
            <v/>
          </cell>
          <cell r="Z9652" t="str">
            <v/>
          </cell>
          <cell r="AA9652" t="str">
            <v/>
          </cell>
          <cell r="AB9652" t="str">
            <v/>
          </cell>
          <cell r="AC9652" t="str">
            <v/>
          </cell>
          <cell r="AD9652" t="str">
            <v/>
          </cell>
          <cell r="AY9652" t="str">
            <v/>
          </cell>
          <cell r="AZ9652" t="str">
            <v/>
          </cell>
          <cell r="BA9652" t="str">
            <v/>
          </cell>
        </row>
        <row r="9653">
          <cell r="B9653" t="str">
            <v>-</v>
          </cell>
          <cell r="E9653" t="str">
            <v/>
          </cell>
          <cell r="G9653" t="str">
            <v/>
          </cell>
          <cell r="J9653" t="str">
            <v/>
          </cell>
          <cell r="O9653" t="str">
            <v/>
          </cell>
          <cell r="P9653" t="str">
            <v/>
          </cell>
          <cell r="Q9653" t="str">
            <v/>
          </cell>
          <cell r="S9653" t="str">
            <v/>
          </cell>
          <cell r="V9653" t="str">
            <v/>
          </cell>
          <cell r="Z9653" t="str">
            <v/>
          </cell>
          <cell r="AA9653" t="str">
            <v/>
          </cell>
          <cell r="AB9653" t="str">
            <v/>
          </cell>
          <cell r="AC9653" t="str">
            <v/>
          </cell>
          <cell r="AD9653" t="str">
            <v/>
          </cell>
          <cell r="AY9653" t="str">
            <v/>
          </cell>
          <cell r="AZ9653" t="str">
            <v/>
          </cell>
          <cell r="BA9653" t="str">
            <v/>
          </cell>
        </row>
        <row r="9654">
          <cell r="B9654" t="str">
            <v>-</v>
          </cell>
          <cell r="E9654" t="str">
            <v/>
          </cell>
          <cell r="G9654" t="str">
            <v/>
          </cell>
          <cell r="J9654" t="str">
            <v/>
          </cell>
          <cell r="O9654" t="str">
            <v/>
          </cell>
          <cell r="P9654" t="str">
            <v/>
          </cell>
          <cell r="Q9654" t="str">
            <v/>
          </cell>
          <cell r="S9654" t="str">
            <v/>
          </cell>
          <cell r="V9654" t="str">
            <v/>
          </cell>
          <cell r="Z9654" t="str">
            <v/>
          </cell>
          <cell r="AA9654" t="str">
            <v/>
          </cell>
          <cell r="AB9654" t="str">
            <v/>
          </cell>
          <cell r="AC9654" t="str">
            <v/>
          </cell>
          <cell r="AD9654" t="str">
            <v/>
          </cell>
          <cell r="AY9654" t="str">
            <v/>
          </cell>
          <cell r="AZ9654" t="str">
            <v/>
          </cell>
          <cell r="BA9654" t="str">
            <v/>
          </cell>
        </row>
        <row r="9655">
          <cell r="B9655" t="str">
            <v>-</v>
          </cell>
          <cell r="E9655" t="str">
            <v/>
          </cell>
          <cell r="G9655" t="str">
            <v/>
          </cell>
          <cell r="J9655" t="str">
            <v/>
          </cell>
          <cell r="O9655" t="str">
            <v/>
          </cell>
          <cell r="P9655" t="str">
            <v/>
          </cell>
          <cell r="Q9655" t="str">
            <v/>
          </cell>
          <cell r="S9655" t="str">
            <v/>
          </cell>
          <cell r="V9655" t="str">
            <v/>
          </cell>
          <cell r="Z9655" t="str">
            <v/>
          </cell>
          <cell r="AA9655" t="str">
            <v/>
          </cell>
          <cell r="AB9655" t="str">
            <v/>
          </cell>
          <cell r="AC9655" t="str">
            <v/>
          </cell>
          <cell r="AD9655" t="str">
            <v/>
          </cell>
          <cell r="AY9655" t="str">
            <v/>
          </cell>
          <cell r="AZ9655" t="str">
            <v/>
          </cell>
          <cell r="BA9655" t="str">
            <v/>
          </cell>
        </row>
        <row r="9656">
          <cell r="B9656" t="str">
            <v>-</v>
          </cell>
          <cell r="E9656" t="str">
            <v/>
          </cell>
          <cell r="G9656" t="str">
            <v/>
          </cell>
          <cell r="J9656" t="str">
            <v/>
          </cell>
          <cell r="O9656" t="str">
            <v/>
          </cell>
          <cell r="P9656" t="str">
            <v/>
          </cell>
          <cell r="Q9656" t="str">
            <v/>
          </cell>
          <cell r="S9656" t="str">
            <v/>
          </cell>
          <cell r="V9656" t="str">
            <v/>
          </cell>
          <cell r="Z9656" t="str">
            <v/>
          </cell>
          <cell r="AA9656" t="str">
            <v/>
          </cell>
          <cell r="AB9656" t="str">
            <v/>
          </cell>
          <cell r="AC9656" t="str">
            <v/>
          </cell>
          <cell r="AD9656" t="str">
            <v/>
          </cell>
          <cell r="AY9656" t="str">
            <v/>
          </cell>
          <cell r="AZ9656" t="str">
            <v/>
          </cell>
          <cell r="BA9656" t="str">
            <v/>
          </cell>
        </row>
        <row r="9657">
          <cell r="B9657" t="str">
            <v>-</v>
          </cell>
          <cell r="E9657" t="str">
            <v/>
          </cell>
          <cell r="G9657" t="str">
            <v/>
          </cell>
          <cell r="J9657" t="str">
            <v/>
          </cell>
          <cell r="O9657" t="str">
            <v/>
          </cell>
          <cell r="P9657" t="str">
            <v/>
          </cell>
          <cell r="Q9657" t="str">
            <v/>
          </cell>
          <cell r="S9657" t="str">
            <v/>
          </cell>
          <cell r="V9657" t="str">
            <v/>
          </cell>
          <cell r="Z9657" t="str">
            <v/>
          </cell>
          <cell r="AA9657" t="str">
            <v/>
          </cell>
          <cell r="AB9657" t="str">
            <v/>
          </cell>
          <cell r="AC9657" t="str">
            <v/>
          </cell>
          <cell r="AD9657" t="str">
            <v/>
          </cell>
          <cell r="AY9657" t="str">
            <v/>
          </cell>
          <cell r="AZ9657" t="str">
            <v/>
          </cell>
          <cell r="BA9657" t="str">
            <v/>
          </cell>
        </row>
        <row r="9658">
          <cell r="B9658" t="str">
            <v>-</v>
          </cell>
          <cell r="E9658" t="str">
            <v/>
          </cell>
          <cell r="G9658" t="str">
            <v/>
          </cell>
          <cell r="J9658" t="str">
            <v/>
          </cell>
          <cell r="O9658" t="str">
            <v/>
          </cell>
          <cell r="P9658" t="str">
            <v/>
          </cell>
          <cell r="Q9658" t="str">
            <v/>
          </cell>
          <cell r="S9658" t="str">
            <v/>
          </cell>
          <cell r="V9658" t="str">
            <v/>
          </cell>
          <cell r="Z9658" t="str">
            <v/>
          </cell>
          <cell r="AA9658" t="str">
            <v/>
          </cell>
          <cell r="AB9658" t="str">
            <v/>
          </cell>
          <cell r="AC9658" t="str">
            <v/>
          </cell>
          <cell r="AD9658" t="str">
            <v/>
          </cell>
          <cell r="AY9658" t="str">
            <v/>
          </cell>
          <cell r="AZ9658" t="str">
            <v/>
          </cell>
          <cell r="BA9658" t="str">
            <v/>
          </cell>
        </row>
        <row r="9659">
          <cell r="B9659" t="str">
            <v>-</v>
          </cell>
          <cell r="E9659" t="str">
            <v/>
          </cell>
          <cell r="G9659" t="str">
            <v/>
          </cell>
          <cell r="J9659" t="str">
            <v/>
          </cell>
          <cell r="O9659" t="str">
            <v/>
          </cell>
          <cell r="P9659" t="str">
            <v/>
          </cell>
          <cell r="Q9659" t="str">
            <v/>
          </cell>
          <cell r="S9659" t="str">
            <v/>
          </cell>
          <cell r="V9659" t="str">
            <v/>
          </cell>
          <cell r="Z9659" t="str">
            <v/>
          </cell>
          <cell r="AA9659" t="str">
            <v/>
          </cell>
          <cell r="AB9659" t="str">
            <v/>
          </cell>
          <cell r="AC9659" t="str">
            <v/>
          </cell>
          <cell r="AD9659" t="str">
            <v/>
          </cell>
          <cell r="AY9659" t="str">
            <v/>
          </cell>
          <cell r="AZ9659" t="str">
            <v/>
          </cell>
          <cell r="BA9659" t="str">
            <v/>
          </cell>
        </row>
        <row r="9660">
          <cell r="B9660" t="str">
            <v>-</v>
          </cell>
          <cell r="E9660" t="str">
            <v/>
          </cell>
          <cell r="G9660" t="str">
            <v/>
          </cell>
          <cell r="J9660" t="str">
            <v/>
          </cell>
          <cell r="O9660" t="str">
            <v/>
          </cell>
          <cell r="P9660" t="str">
            <v/>
          </cell>
          <cell r="Q9660" t="str">
            <v/>
          </cell>
          <cell r="S9660" t="str">
            <v/>
          </cell>
          <cell r="V9660" t="str">
            <v/>
          </cell>
          <cell r="Z9660" t="str">
            <v/>
          </cell>
          <cell r="AA9660" t="str">
            <v/>
          </cell>
          <cell r="AB9660" t="str">
            <v/>
          </cell>
          <cell r="AC9660" t="str">
            <v/>
          </cell>
          <cell r="AD9660" t="str">
            <v/>
          </cell>
          <cell r="AY9660" t="str">
            <v/>
          </cell>
          <cell r="AZ9660" t="str">
            <v/>
          </cell>
          <cell r="BA9660" t="str">
            <v/>
          </cell>
        </row>
        <row r="9661">
          <cell r="B9661" t="str">
            <v>-</v>
          </cell>
          <cell r="E9661" t="str">
            <v/>
          </cell>
          <cell r="G9661" t="str">
            <v/>
          </cell>
          <cell r="J9661" t="str">
            <v/>
          </cell>
          <cell r="O9661" t="str">
            <v/>
          </cell>
          <cell r="P9661" t="str">
            <v/>
          </cell>
          <cell r="Q9661" t="str">
            <v/>
          </cell>
          <cell r="S9661" t="str">
            <v/>
          </cell>
          <cell r="V9661" t="str">
            <v/>
          </cell>
          <cell r="Z9661" t="str">
            <v/>
          </cell>
          <cell r="AA9661" t="str">
            <v/>
          </cell>
          <cell r="AB9661" t="str">
            <v/>
          </cell>
          <cell r="AC9661" t="str">
            <v/>
          </cell>
          <cell r="AD9661" t="str">
            <v/>
          </cell>
          <cell r="AY9661" t="str">
            <v/>
          </cell>
          <cell r="AZ9661" t="str">
            <v/>
          </cell>
          <cell r="BA9661" t="str">
            <v/>
          </cell>
        </row>
        <row r="9662">
          <cell r="B9662" t="str">
            <v>-</v>
          </cell>
          <cell r="E9662" t="str">
            <v/>
          </cell>
          <cell r="G9662" t="str">
            <v/>
          </cell>
          <cell r="J9662" t="str">
            <v/>
          </cell>
          <cell r="O9662" t="str">
            <v/>
          </cell>
          <cell r="P9662" t="str">
            <v/>
          </cell>
          <cell r="Q9662" t="str">
            <v/>
          </cell>
          <cell r="S9662" t="str">
            <v/>
          </cell>
          <cell r="V9662" t="str">
            <v/>
          </cell>
          <cell r="Z9662" t="str">
            <v/>
          </cell>
          <cell r="AA9662" t="str">
            <v/>
          </cell>
          <cell r="AB9662" t="str">
            <v/>
          </cell>
          <cell r="AC9662" t="str">
            <v/>
          </cell>
          <cell r="AD9662" t="str">
            <v/>
          </cell>
          <cell r="AY9662" t="str">
            <v/>
          </cell>
          <cell r="AZ9662" t="str">
            <v/>
          </cell>
          <cell r="BA9662" t="str">
            <v/>
          </cell>
        </row>
        <row r="9663">
          <cell r="B9663" t="str">
            <v>-</v>
          </cell>
          <cell r="E9663" t="str">
            <v/>
          </cell>
          <cell r="G9663" t="str">
            <v/>
          </cell>
          <cell r="J9663" t="str">
            <v/>
          </cell>
          <cell r="O9663" t="str">
            <v/>
          </cell>
          <cell r="P9663" t="str">
            <v/>
          </cell>
          <cell r="Q9663" t="str">
            <v/>
          </cell>
          <cell r="S9663" t="str">
            <v/>
          </cell>
          <cell r="V9663" t="str">
            <v/>
          </cell>
          <cell r="Z9663" t="str">
            <v/>
          </cell>
          <cell r="AA9663" t="str">
            <v/>
          </cell>
          <cell r="AB9663" t="str">
            <v/>
          </cell>
          <cell r="AC9663" t="str">
            <v/>
          </cell>
          <cell r="AD9663" t="str">
            <v/>
          </cell>
          <cell r="AY9663" t="str">
            <v/>
          </cell>
          <cell r="AZ9663" t="str">
            <v/>
          </cell>
          <cell r="BA9663" t="str">
            <v/>
          </cell>
        </row>
        <row r="9664">
          <cell r="B9664" t="str">
            <v>-</v>
          </cell>
          <cell r="E9664" t="str">
            <v/>
          </cell>
          <cell r="G9664" t="str">
            <v/>
          </cell>
          <cell r="J9664" t="str">
            <v/>
          </cell>
          <cell r="O9664" t="str">
            <v/>
          </cell>
          <cell r="P9664" t="str">
            <v/>
          </cell>
          <cell r="Q9664" t="str">
            <v/>
          </cell>
          <cell r="S9664" t="str">
            <v/>
          </cell>
          <cell r="V9664" t="str">
            <v/>
          </cell>
          <cell r="Z9664" t="str">
            <v/>
          </cell>
          <cell r="AA9664" t="str">
            <v/>
          </cell>
          <cell r="AB9664" t="str">
            <v/>
          </cell>
          <cell r="AC9664" t="str">
            <v/>
          </cell>
          <cell r="AD9664" t="str">
            <v/>
          </cell>
          <cell r="AY9664" t="str">
            <v/>
          </cell>
          <cell r="AZ9664" t="str">
            <v/>
          </cell>
          <cell r="BA9664" t="str">
            <v/>
          </cell>
        </row>
        <row r="9665">
          <cell r="B9665" t="str">
            <v>-</v>
          </cell>
          <cell r="E9665" t="str">
            <v/>
          </cell>
          <cell r="G9665" t="str">
            <v/>
          </cell>
          <cell r="J9665" t="str">
            <v/>
          </cell>
          <cell r="O9665" t="str">
            <v/>
          </cell>
          <cell r="P9665" t="str">
            <v/>
          </cell>
          <cell r="Q9665" t="str">
            <v/>
          </cell>
          <cell r="S9665" t="str">
            <v/>
          </cell>
          <cell r="V9665" t="str">
            <v/>
          </cell>
          <cell r="Z9665" t="str">
            <v/>
          </cell>
          <cell r="AA9665" t="str">
            <v/>
          </cell>
          <cell r="AB9665" t="str">
            <v/>
          </cell>
          <cell r="AC9665" t="str">
            <v/>
          </cell>
          <cell r="AD9665" t="str">
            <v/>
          </cell>
          <cell r="AY9665" t="str">
            <v/>
          </cell>
          <cell r="AZ9665" t="str">
            <v/>
          </cell>
          <cell r="BA9665" t="str">
            <v/>
          </cell>
        </row>
        <row r="9666">
          <cell r="B9666" t="str">
            <v>-</v>
          </cell>
          <cell r="E9666" t="str">
            <v/>
          </cell>
          <cell r="G9666" t="str">
            <v/>
          </cell>
          <cell r="J9666" t="str">
            <v/>
          </cell>
          <cell r="O9666" t="str">
            <v/>
          </cell>
          <cell r="P9666" t="str">
            <v/>
          </cell>
          <cell r="Q9666" t="str">
            <v/>
          </cell>
          <cell r="S9666" t="str">
            <v/>
          </cell>
          <cell r="V9666" t="str">
            <v/>
          </cell>
          <cell r="Z9666" t="str">
            <v/>
          </cell>
          <cell r="AA9666" t="str">
            <v/>
          </cell>
          <cell r="AB9666" t="str">
            <v/>
          </cell>
          <cell r="AC9666" t="str">
            <v/>
          </cell>
          <cell r="AD9666" t="str">
            <v/>
          </cell>
          <cell r="AY9666" t="str">
            <v/>
          </cell>
          <cell r="AZ9666" t="str">
            <v/>
          </cell>
          <cell r="BA9666" t="str">
            <v/>
          </cell>
        </row>
        <row r="9667">
          <cell r="B9667" t="str">
            <v>-</v>
          </cell>
          <cell r="E9667" t="str">
            <v/>
          </cell>
          <cell r="G9667" t="str">
            <v/>
          </cell>
          <cell r="J9667" t="str">
            <v/>
          </cell>
          <cell r="O9667" t="str">
            <v/>
          </cell>
          <cell r="P9667" t="str">
            <v/>
          </cell>
          <cell r="Q9667" t="str">
            <v/>
          </cell>
          <cell r="S9667" t="str">
            <v/>
          </cell>
          <cell r="V9667" t="str">
            <v/>
          </cell>
          <cell r="Z9667" t="str">
            <v/>
          </cell>
          <cell r="AA9667" t="str">
            <v/>
          </cell>
          <cell r="AB9667" t="str">
            <v/>
          </cell>
          <cell r="AC9667" t="str">
            <v/>
          </cell>
          <cell r="AD9667" t="str">
            <v/>
          </cell>
          <cell r="AY9667" t="str">
            <v/>
          </cell>
          <cell r="AZ9667" t="str">
            <v/>
          </cell>
          <cell r="BA9667" t="str">
            <v/>
          </cell>
        </row>
        <row r="9668">
          <cell r="B9668" t="str">
            <v>-</v>
          </cell>
          <cell r="E9668" t="str">
            <v/>
          </cell>
          <cell r="G9668" t="str">
            <v/>
          </cell>
          <cell r="J9668" t="str">
            <v/>
          </cell>
          <cell r="O9668" t="str">
            <v/>
          </cell>
          <cell r="P9668" t="str">
            <v/>
          </cell>
          <cell r="Q9668" t="str">
            <v/>
          </cell>
          <cell r="S9668" t="str">
            <v/>
          </cell>
          <cell r="V9668" t="str">
            <v/>
          </cell>
          <cell r="Z9668" t="str">
            <v/>
          </cell>
          <cell r="AA9668" t="str">
            <v/>
          </cell>
          <cell r="AB9668" t="str">
            <v/>
          </cell>
          <cell r="AC9668" t="str">
            <v/>
          </cell>
          <cell r="AD9668" t="str">
            <v/>
          </cell>
          <cell r="AY9668" t="str">
            <v/>
          </cell>
          <cell r="AZ9668" t="str">
            <v/>
          </cell>
          <cell r="BA9668" t="str">
            <v/>
          </cell>
        </row>
        <row r="9669">
          <cell r="B9669" t="str">
            <v>-</v>
          </cell>
          <cell r="E9669" t="str">
            <v/>
          </cell>
          <cell r="G9669" t="str">
            <v/>
          </cell>
          <cell r="J9669" t="str">
            <v/>
          </cell>
          <cell r="O9669" t="str">
            <v/>
          </cell>
          <cell r="P9669" t="str">
            <v/>
          </cell>
          <cell r="Q9669" t="str">
            <v/>
          </cell>
          <cell r="S9669" t="str">
            <v/>
          </cell>
          <cell r="V9669" t="str">
            <v/>
          </cell>
          <cell r="Z9669" t="str">
            <v/>
          </cell>
          <cell r="AA9669" t="str">
            <v/>
          </cell>
          <cell r="AB9669" t="str">
            <v/>
          </cell>
          <cell r="AC9669" t="str">
            <v/>
          </cell>
          <cell r="AD9669" t="str">
            <v/>
          </cell>
          <cell r="AY9669" t="str">
            <v/>
          </cell>
          <cell r="AZ9669" t="str">
            <v/>
          </cell>
          <cell r="BA9669" t="str">
            <v/>
          </cell>
        </row>
        <row r="9670">
          <cell r="B9670" t="str">
            <v>-</v>
          </cell>
          <cell r="E9670" t="str">
            <v/>
          </cell>
          <cell r="G9670" t="str">
            <v/>
          </cell>
          <cell r="J9670" t="str">
            <v/>
          </cell>
          <cell r="O9670" t="str">
            <v/>
          </cell>
          <cell r="P9670" t="str">
            <v/>
          </cell>
          <cell r="Q9670" t="str">
            <v/>
          </cell>
          <cell r="S9670" t="str">
            <v/>
          </cell>
          <cell r="V9670" t="str">
            <v/>
          </cell>
          <cell r="Z9670" t="str">
            <v/>
          </cell>
          <cell r="AA9670" t="str">
            <v/>
          </cell>
          <cell r="AB9670" t="str">
            <v/>
          </cell>
          <cell r="AC9670" t="str">
            <v/>
          </cell>
          <cell r="AD9670" t="str">
            <v/>
          </cell>
          <cell r="AY9670" t="str">
            <v/>
          </cell>
          <cell r="AZ9670" t="str">
            <v/>
          </cell>
          <cell r="BA9670" t="str">
            <v/>
          </cell>
        </row>
        <row r="9671">
          <cell r="B9671" t="str">
            <v>-</v>
          </cell>
          <cell r="E9671" t="str">
            <v/>
          </cell>
          <cell r="G9671" t="str">
            <v/>
          </cell>
          <cell r="J9671" t="str">
            <v/>
          </cell>
          <cell r="O9671" t="str">
            <v/>
          </cell>
          <cell r="P9671" t="str">
            <v/>
          </cell>
          <cell r="Q9671" t="str">
            <v/>
          </cell>
          <cell r="S9671" t="str">
            <v/>
          </cell>
          <cell r="V9671" t="str">
            <v/>
          </cell>
          <cell r="Z9671" t="str">
            <v/>
          </cell>
          <cell r="AA9671" t="str">
            <v/>
          </cell>
          <cell r="AB9671" t="str">
            <v/>
          </cell>
          <cell r="AC9671" t="str">
            <v/>
          </cell>
          <cell r="AD9671" t="str">
            <v/>
          </cell>
          <cell r="AY9671" t="str">
            <v/>
          </cell>
          <cell r="AZ9671" t="str">
            <v/>
          </cell>
          <cell r="BA9671" t="str">
            <v/>
          </cell>
        </row>
        <row r="9672">
          <cell r="B9672" t="str">
            <v>-</v>
          </cell>
          <cell r="E9672" t="str">
            <v/>
          </cell>
          <cell r="G9672" t="str">
            <v/>
          </cell>
          <cell r="J9672" t="str">
            <v/>
          </cell>
          <cell r="O9672" t="str">
            <v/>
          </cell>
          <cell r="P9672" t="str">
            <v/>
          </cell>
          <cell r="Q9672" t="str">
            <v/>
          </cell>
          <cell r="S9672" t="str">
            <v/>
          </cell>
          <cell r="V9672" t="str">
            <v/>
          </cell>
          <cell r="Z9672" t="str">
            <v/>
          </cell>
          <cell r="AA9672" t="str">
            <v/>
          </cell>
          <cell r="AB9672" t="str">
            <v/>
          </cell>
          <cell r="AC9672" t="str">
            <v/>
          </cell>
          <cell r="AD9672" t="str">
            <v/>
          </cell>
          <cell r="AY9672" t="str">
            <v/>
          </cell>
          <cell r="AZ9672" t="str">
            <v/>
          </cell>
          <cell r="BA9672" t="str">
            <v/>
          </cell>
        </row>
        <row r="9673">
          <cell r="B9673" t="str">
            <v>-</v>
          </cell>
          <cell r="E9673" t="str">
            <v/>
          </cell>
          <cell r="G9673" t="str">
            <v/>
          </cell>
          <cell r="J9673" t="str">
            <v/>
          </cell>
          <cell r="O9673" t="str">
            <v/>
          </cell>
          <cell r="P9673" t="str">
            <v/>
          </cell>
          <cell r="Q9673" t="str">
            <v/>
          </cell>
          <cell r="S9673" t="str">
            <v/>
          </cell>
          <cell r="V9673" t="str">
            <v/>
          </cell>
          <cell r="Z9673" t="str">
            <v/>
          </cell>
          <cell r="AA9673" t="str">
            <v/>
          </cell>
          <cell r="AB9673" t="str">
            <v/>
          </cell>
          <cell r="AC9673" t="str">
            <v/>
          </cell>
          <cell r="AD9673" t="str">
            <v/>
          </cell>
          <cell r="AY9673" t="str">
            <v/>
          </cell>
          <cell r="AZ9673" t="str">
            <v/>
          </cell>
          <cell r="BA9673" t="str">
            <v/>
          </cell>
        </row>
        <row r="9674">
          <cell r="B9674" t="str">
            <v>-</v>
          </cell>
          <cell r="E9674" t="str">
            <v/>
          </cell>
          <cell r="G9674" t="str">
            <v/>
          </cell>
          <cell r="J9674" t="str">
            <v/>
          </cell>
          <cell r="O9674" t="str">
            <v/>
          </cell>
          <cell r="P9674" t="str">
            <v/>
          </cell>
          <cell r="Q9674" t="str">
            <v/>
          </cell>
          <cell r="S9674" t="str">
            <v/>
          </cell>
          <cell r="V9674" t="str">
            <v/>
          </cell>
          <cell r="Z9674" t="str">
            <v/>
          </cell>
          <cell r="AA9674" t="str">
            <v/>
          </cell>
          <cell r="AB9674" t="str">
            <v/>
          </cell>
          <cell r="AC9674" t="str">
            <v/>
          </cell>
          <cell r="AD9674" t="str">
            <v/>
          </cell>
          <cell r="AY9674" t="str">
            <v/>
          </cell>
          <cell r="AZ9674" t="str">
            <v/>
          </cell>
          <cell r="BA9674" t="str">
            <v/>
          </cell>
        </row>
        <row r="9675">
          <cell r="B9675" t="str">
            <v>-</v>
          </cell>
          <cell r="E9675" t="str">
            <v/>
          </cell>
          <cell r="G9675" t="str">
            <v/>
          </cell>
          <cell r="J9675" t="str">
            <v/>
          </cell>
          <cell r="O9675" t="str">
            <v/>
          </cell>
          <cell r="P9675" t="str">
            <v/>
          </cell>
          <cell r="Q9675" t="str">
            <v/>
          </cell>
          <cell r="S9675" t="str">
            <v/>
          </cell>
          <cell r="V9675" t="str">
            <v/>
          </cell>
          <cell r="Z9675" t="str">
            <v/>
          </cell>
          <cell r="AA9675" t="str">
            <v/>
          </cell>
          <cell r="AB9675" t="str">
            <v/>
          </cell>
          <cell r="AC9675" t="str">
            <v/>
          </cell>
          <cell r="AD9675" t="str">
            <v/>
          </cell>
          <cell r="AY9675" t="str">
            <v/>
          </cell>
          <cell r="AZ9675" t="str">
            <v/>
          </cell>
          <cell r="BA9675" t="str">
            <v/>
          </cell>
        </row>
        <row r="9676">
          <cell r="B9676" t="str">
            <v>-</v>
          </cell>
          <cell r="E9676" t="str">
            <v/>
          </cell>
          <cell r="G9676" t="str">
            <v/>
          </cell>
          <cell r="J9676" t="str">
            <v/>
          </cell>
          <cell r="O9676" t="str">
            <v/>
          </cell>
          <cell r="P9676" t="str">
            <v/>
          </cell>
          <cell r="Q9676" t="str">
            <v/>
          </cell>
          <cell r="S9676" t="str">
            <v/>
          </cell>
          <cell r="V9676" t="str">
            <v/>
          </cell>
          <cell r="Z9676" t="str">
            <v/>
          </cell>
          <cell r="AA9676" t="str">
            <v/>
          </cell>
          <cell r="AB9676" t="str">
            <v/>
          </cell>
          <cell r="AC9676" t="str">
            <v/>
          </cell>
          <cell r="AD9676" t="str">
            <v/>
          </cell>
          <cell r="AY9676" t="str">
            <v/>
          </cell>
          <cell r="AZ9676" t="str">
            <v/>
          </cell>
          <cell r="BA9676" t="str">
            <v/>
          </cell>
        </row>
        <row r="9677">
          <cell r="B9677" t="str">
            <v>-</v>
          </cell>
          <cell r="E9677" t="str">
            <v/>
          </cell>
          <cell r="G9677" t="str">
            <v/>
          </cell>
          <cell r="J9677" t="str">
            <v/>
          </cell>
          <cell r="O9677" t="str">
            <v/>
          </cell>
          <cell r="P9677" t="str">
            <v/>
          </cell>
          <cell r="Q9677" t="str">
            <v/>
          </cell>
          <cell r="S9677" t="str">
            <v/>
          </cell>
          <cell r="V9677" t="str">
            <v/>
          </cell>
          <cell r="Z9677" t="str">
            <v/>
          </cell>
          <cell r="AA9677" t="str">
            <v/>
          </cell>
          <cell r="AB9677" t="str">
            <v/>
          </cell>
          <cell r="AC9677" t="str">
            <v/>
          </cell>
          <cell r="AD9677" t="str">
            <v/>
          </cell>
          <cell r="AY9677" t="str">
            <v/>
          </cell>
          <cell r="AZ9677" t="str">
            <v/>
          </cell>
          <cell r="BA9677" t="str">
            <v/>
          </cell>
        </row>
        <row r="9678">
          <cell r="B9678" t="str">
            <v>-</v>
          </cell>
          <cell r="E9678" t="str">
            <v/>
          </cell>
          <cell r="G9678" t="str">
            <v/>
          </cell>
          <cell r="J9678" t="str">
            <v/>
          </cell>
          <cell r="O9678" t="str">
            <v/>
          </cell>
          <cell r="P9678" t="str">
            <v/>
          </cell>
          <cell r="Q9678" t="str">
            <v/>
          </cell>
          <cell r="S9678" t="str">
            <v/>
          </cell>
          <cell r="V9678" t="str">
            <v/>
          </cell>
          <cell r="Z9678" t="str">
            <v/>
          </cell>
          <cell r="AA9678" t="str">
            <v/>
          </cell>
          <cell r="AB9678" t="str">
            <v/>
          </cell>
          <cell r="AC9678" t="str">
            <v/>
          </cell>
          <cell r="AD9678" t="str">
            <v/>
          </cell>
          <cell r="AY9678" t="str">
            <v/>
          </cell>
          <cell r="AZ9678" t="str">
            <v/>
          </cell>
          <cell r="BA9678" t="str">
            <v/>
          </cell>
        </row>
        <row r="9679">
          <cell r="B9679" t="str">
            <v>-</v>
          </cell>
          <cell r="E9679" t="str">
            <v/>
          </cell>
          <cell r="G9679" t="str">
            <v/>
          </cell>
          <cell r="J9679" t="str">
            <v/>
          </cell>
          <cell r="O9679" t="str">
            <v/>
          </cell>
          <cell r="P9679" t="str">
            <v/>
          </cell>
          <cell r="Q9679" t="str">
            <v/>
          </cell>
          <cell r="S9679" t="str">
            <v/>
          </cell>
          <cell r="V9679" t="str">
            <v/>
          </cell>
          <cell r="Z9679" t="str">
            <v/>
          </cell>
          <cell r="AA9679" t="str">
            <v/>
          </cell>
          <cell r="AB9679" t="str">
            <v/>
          </cell>
          <cell r="AC9679" t="str">
            <v/>
          </cell>
          <cell r="AD9679" t="str">
            <v/>
          </cell>
          <cell r="AY9679" t="str">
            <v/>
          </cell>
          <cell r="AZ9679" t="str">
            <v/>
          </cell>
          <cell r="BA9679" t="str">
            <v/>
          </cell>
        </row>
        <row r="9680">
          <cell r="B9680" t="str">
            <v>-</v>
          </cell>
          <cell r="E9680" t="str">
            <v/>
          </cell>
          <cell r="G9680" t="str">
            <v/>
          </cell>
          <cell r="J9680" t="str">
            <v/>
          </cell>
          <cell r="O9680" t="str">
            <v/>
          </cell>
          <cell r="P9680" t="str">
            <v/>
          </cell>
          <cell r="Q9680" t="str">
            <v/>
          </cell>
          <cell r="S9680" t="str">
            <v/>
          </cell>
          <cell r="V9680" t="str">
            <v/>
          </cell>
          <cell r="Z9680" t="str">
            <v/>
          </cell>
          <cell r="AA9680" t="str">
            <v/>
          </cell>
          <cell r="AB9680" t="str">
            <v/>
          </cell>
          <cell r="AC9680" t="str">
            <v/>
          </cell>
          <cell r="AD9680" t="str">
            <v/>
          </cell>
          <cell r="AY9680" t="str">
            <v/>
          </cell>
          <cell r="AZ9680" t="str">
            <v/>
          </cell>
          <cell r="BA9680" t="str">
            <v/>
          </cell>
        </row>
        <row r="9681">
          <cell r="B9681" t="str">
            <v>-</v>
          </cell>
          <cell r="E9681" t="str">
            <v/>
          </cell>
          <cell r="G9681" t="str">
            <v/>
          </cell>
          <cell r="J9681" t="str">
            <v/>
          </cell>
          <cell r="O9681" t="str">
            <v/>
          </cell>
          <cell r="P9681" t="str">
            <v/>
          </cell>
          <cell r="Q9681" t="str">
            <v/>
          </cell>
          <cell r="S9681" t="str">
            <v/>
          </cell>
          <cell r="V9681" t="str">
            <v/>
          </cell>
          <cell r="Z9681" t="str">
            <v/>
          </cell>
          <cell r="AA9681" t="str">
            <v/>
          </cell>
          <cell r="AB9681" t="str">
            <v/>
          </cell>
          <cell r="AC9681" t="str">
            <v/>
          </cell>
          <cell r="AD9681" t="str">
            <v/>
          </cell>
          <cell r="AY9681" t="str">
            <v/>
          </cell>
          <cell r="AZ9681" t="str">
            <v/>
          </cell>
          <cell r="BA9681" t="str">
            <v/>
          </cell>
        </row>
        <row r="9682">
          <cell r="B9682" t="str">
            <v>-</v>
          </cell>
          <cell r="E9682" t="str">
            <v/>
          </cell>
          <cell r="G9682" t="str">
            <v/>
          </cell>
          <cell r="J9682" t="str">
            <v/>
          </cell>
          <cell r="O9682" t="str">
            <v/>
          </cell>
          <cell r="P9682" t="str">
            <v/>
          </cell>
          <cell r="Q9682" t="str">
            <v/>
          </cell>
          <cell r="S9682" t="str">
            <v/>
          </cell>
          <cell r="V9682" t="str">
            <v/>
          </cell>
          <cell r="Z9682" t="str">
            <v/>
          </cell>
          <cell r="AA9682" t="str">
            <v/>
          </cell>
          <cell r="AB9682" t="str">
            <v/>
          </cell>
          <cell r="AC9682" t="str">
            <v/>
          </cell>
          <cell r="AD9682" t="str">
            <v/>
          </cell>
          <cell r="AY9682" t="str">
            <v/>
          </cell>
          <cell r="AZ9682" t="str">
            <v/>
          </cell>
          <cell r="BA9682" t="str">
            <v/>
          </cell>
        </row>
        <row r="9683">
          <cell r="B9683" t="str">
            <v>-</v>
          </cell>
          <cell r="E9683" t="str">
            <v/>
          </cell>
          <cell r="G9683" t="str">
            <v/>
          </cell>
          <cell r="J9683" t="str">
            <v/>
          </cell>
          <cell r="O9683" t="str">
            <v/>
          </cell>
          <cell r="P9683" t="str">
            <v/>
          </cell>
          <cell r="Q9683" t="str">
            <v/>
          </cell>
          <cell r="S9683" t="str">
            <v/>
          </cell>
          <cell r="V9683" t="str">
            <v/>
          </cell>
          <cell r="Z9683" t="str">
            <v/>
          </cell>
          <cell r="AA9683" t="str">
            <v/>
          </cell>
          <cell r="AB9683" t="str">
            <v/>
          </cell>
          <cell r="AC9683" t="str">
            <v/>
          </cell>
          <cell r="AD9683" t="str">
            <v/>
          </cell>
          <cell r="AY9683" t="str">
            <v/>
          </cell>
          <cell r="AZ9683" t="str">
            <v/>
          </cell>
          <cell r="BA9683" t="str">
            <v/>
          </cell>
        </row>
        <row r="9684">
          <cell r="B9684" t="str">
            <v>-</v>
          </cell>
          <cell r="E9684" t="str">
            <v/>
          </cell>
          <cell r="G9684" t="str">
            <v/>
          </cell>
          <cell r="J9684" t="str">
            <v/>
          </cell>
          <cell r="O9684" t="str">
            <v/>
          </cell>
          <cell r="P9684" t="str">
            <v/>
          </cell>
          <cell r="Q9684" t="str">
            <v/>
          </cell>
          <cell r="S9684" t="str">
            <v/>
          </cell>
          <cell r="V9684" t="str">
            <v/>
          </cell>
          <cell r="Z9684" t="str">
            <v/>
          </cell>
          <cell r="AA9684" t="str">
            <v/>
          </cell>
          <cell r="AB9684" t="str">
            <v/>
          </cell>
          <cell r="AC9684" t="str">
            <v/>
          </cell>
          <cell r="AD9684" t="str">
            <v/>
          </cell>
          <cell r="AY9684" t="str">
            <v/>
          </cell>
          <cell r="AZ9684" t="str">
            <v/>
          </cell>
          <cell r="BA9684" t="str">
            <v/>
          </cell>
        </row>
        <row r="9685">
          <cell r="B9685" t="str">
            <v>-</v>
          </cell>
          <cell r="E9685" t="str">
            <v/>
          </cell>
          <cell r="G9685" t="str">
            <v/>
          </cell>
          <cell r="J9685" t="str">
            <v/>
          </cell>
          <cell r="O9685" t="str">
            <v/>
          </cell>
          <cell r="P9685" t="str">
            <v/>
          </cell>
          <cell r="Q9685" t="str">
            <v/>
          </cell>
          <cell r="S9685" t="str">
            <v/>
          </cell>
          <cell r="V9685" t="str">
            <v/>
          </cell>
          <cell r="Z9685" t="str">
            <v/>
          </cell>
          <cell r="AA9685" t="str">
            <v/>
          </cell>
          <cell r="AB9685" t="str">
            <v/>
          </cell>
          <cell r="AC9685" t="str">
            <v/>
          </cell>
          <cell r="AD9685" t="str">
            <v/>
          </cell>
          <cell r="AY9685" t="str">
            <v/>
          </cell>
          <cell r="AZ9685" t="str">
            <v/>
          </cell>
          <cell r="BA9685" t="str">
            <v/>
          </cell>
        </row>
        <row r="9686">
          <cell r="B9686" t="str">
            <v>-</v>
          </cell>
          <cell r="E9686" t="str">
            <v/>
          </cell>
          <cell r="G9686" t="str">
            <v/>
          </cell>
          <cell r="J9686" t="str">
            <v/>
          </cell>
          <cell r="O9686" t="str">
            <v/>
          </cell>
          <cell r="P9686" t="str">
            <v/>
          </cell>
          <cell r="Q9686" t="str">
            <v/>
          </cell>
          <cell r="S9686" t="str">
            <v/>
          </cell>
          <cell r="V9686" t="str">
            <v/>
          </cell>
          <cell r="Z9686" t="str">
            <v/>
          </cell>
          <cell r="AA9686" t="str">
            <v/>
          </cell>
          <cell r="AB9686" t="str">
            <v/>
          </cell>
          <cell r="AC9686" t="str">
            <v/>
          </cell>
          <cell r="AD9686" t="str">
            <v/>
          </cell>
          <cell r="AY9686" t="str">
            <v/>
          </cell>
          <cell r="AZ9686" t="str">
            <v/>
          </cell>
          <cell r="BA9686" t="str">
            <v/>
          </cell>
        </row>
        <row r="9687">
          <cell r="B9687" t="str">
            <v>-</v>
          </cell>
          <cell r="E9687" t="str">
            <v/>
          </cell>
          <cell r="G9687" t="str">
            <v/>
          </cell>
          <cell r="J9687" t="str">
            <v/>
          </cell>
          <cell r="O9687" t="str">
            <v/>
          </cell>
          <cell r="P9687" t="str">
            <v/>
          </cell>
          <cell r="Q9687" t="str">
            <v/>
          </cell>
          <cell r="S9687" t="str">
            <v/>
          </cell>
          <cell r="V9687" t="str">
            <v/>
          </cell>
          <cell r="Z9687" t="str">
            <v/>
          </cell>
          <cell r="AA9687" t="str">
            <v/>
          </cell>
          <cell r="AB9687" t="str">
            <v/>
          </cell>
          <cell r="AC9687" t="str">
            <v/>
          </cell>
          <cell r="AD9687" t="str">
            <v/>
          </cell>
          <cell r="AY9687" t="str">
            <v/>
          </cell>
          <cell r="AZ9687" t="str">
            <v/>
          </cell>
          <cell r="BA9687" t="str">
            <v/>
          </cell>
        </row>
        <row r="9688">
          <cell r="B9688" t="str">
            <v>-</v>
          </cell>
          <cell r="E9688" t="str">
            <v/>
          </cell>
          <cell r="G9688" t="str">
            <v/>
          </cell>
          <cell r="J9688" t="str">
            <v/>
          </cell>
          <cell r="O9688" t="str">
            <v/>
          </cell>
          <cell r="P9688" t="str">
            <v/>
          </cell>
          <cell r="Q9688" t="str">
            <v/>
          </cell>
          <cell r="S9688" t="str">
            <v/>
          </cell>
          <cell r="V9688" t="str">
            <v/>
          </cell>
          <cell r="Z9688" t="str">
            <v/>
          </cell>
          <cell r="AA9688" t="str">
            <v/>
          </cell>
          <cell r="AB9688" t="str">
            <v/>
          </cell>
          <cell r="AC9688" t="str">
            <v/>
          </cell>
          <cell r="AD9688" t="str">
            <v/>
          </cell>
          <cell r="AY9688" t="str">
            <v/>
          </cell>
          <cell r="AZ9688" t="str">
            <v/>
          </cell>
          <cell r="BA9688" t="str">
            <v/>
          </cell>
        </row>
        <row r="9689">
          <cell r="B9689" t="str">
            <v>-</v>
          </cell>
          <cell r="E9689" t="str">
            <v/>
          </cell>
          <cell r="G9689" t="str">
            <v/>
          </cell>
          <cell r="J9689" t="str">
            <v/>
          </cell>
          <cell r="O9689" t="str">
            <v/>
          </cell>
          <cell r="P9689" t="str">
            <v/>
          </cell>
          <cell r="Q9689" t="str">
            <v/>
          </cell>
          <cell r="S9689" t="str">
            <v/>
          </cell>
          <cell r="V9689" t="str">
            <v/>
          </cell>
          <cell r="Z9689" t="str">
            <v/>
          </cell>
          <cell r="AA9689" t="str">
            <v/>
          </cell>
          <cell r="AB9689" t="str">
            <v/>
          </cell>
          <cell r="AC9689" t="str">
            <v/>
          </cell>
          <cell r="AD9689" t="str">
            <v/>
          </cell>
          <cell r="AY9689" t="str">
            <v/>
          </cell>
          <cell r="AZ9689" t="str">
            <v/>
          </cell>
          <cell r="BA9689" t="str">
            <v/>
          </cell>
        </row>
        <row r="9690">
          <cell r="B9690" t="str">
            <v>-</v>
          </cell>
          <cell r="E9690" t="str">
            <v/>
          </cell>
          <cell r="G9690" t="str">
            <v/>
          </cell>
          <cell r="J9690" t="str">
            <v/>
          </cell>
          <cell r="O9690" t="str">
            <v/>
          </cell>
          <cell r="P9690" t="str">
            <v/>
          </cell>
          <cell r="Q9690" t="str">
            <v/>
          </cell>
          <cell r="S9690" t="str">
            <v/>
          </cell>
          <cell r="V9690" t="str">
            <v/>
          </cell>
          <cell r="Z9690" t="str">
            <v/>
          </cell>
          <cell r="AA9690" t="str">
            <v/>
          </cell>
          <cell r="AB9690" t="str">
            <v/>
          </cell>
          <cell r="AC9690" t="str">
            <v/>
          </cell>
          <cell r="AD9690" t="str">
            <v/>
          </cell>
          <cell r="AY9690" t="str">
            <v/>
          </cell>
          <cell r="AZ9690" t="str">
            <v/>
          </cell>
          <cell r="BA9690" t="str">
            <v/>
          </cell>
        </row>
        <row r="9691">
          <cell r="B9691" t="str">
            <v>-</v>
          </cell>
          <cell r="E9691" t="str">
            <v/>
          </cell>
          <cell r="G9691" t="str">
            <v/>
          </cell>
          <cell r="J9691" t="str">
            <v/>
          </cell>
          <cell r="O9691" t="str">
            <v/>
          </cell>
          <cell r="P9691" t="str">
            <v/>
          </cell>
          <cell r="Q9691" t="str">
            <v/>
          </cell>
          <cell r="S9691" t="str">
            <v/>
          </cell>
          <cell r="V9691" t="str">
            <v/>
          </cell>
          <cell r="Z9691" t="str">
            <v/>
          </cell>
          <cell r="AA9691" t="str">
            <v/>
          </cell>
          <cell r="AB9691" t="str">
            <v/>
          </cell>
          <cell r="AC9691" t="str">
            <v/>
          </cell>
          <cell r="AD9691" t="str">
            <v/>
          </cell>
          <cell r="AY9691" t="str">
            <v/>
          </cell>
          <cell r="AZ9691" t="str">
            <v/>
          </cell>
          <cell r="BA9691" t="str">
            <v/>
          </cell>
        </row>
        <row r="9692">
          <cell r="B9692" t="str">
            <v>-</v>
          </cell>
          <cell r="E9692" t="str">
            <v/>
          </cell>
          <cell r="G9692" t="str">
            <v/>
          </cell>
          <cell r="J9692" t="str">
            <v/>
          </cell>
          <cell r="O9692" t="str">
            <v/>
          </cell>
          <cell r="P9692" t="str">
            <v/>
          </cell>
          <cell r="Q9692" t="str">
            <v/>
          </cell>
          <cell r="S9692" t="str">
            <v/>
          </cell>
          <cell r="V9692" t="str">
            <v/>
          </cell>
          <cell r="Z9692" t="str">
            <v/>
          </cell>
          <cell r="AA9692" t="str">
            <v/>
          </cell>
          <cell r="AB9692" t="str">
            <v/>
          </cell>
          <cell r="AC9692" t="str">
            <v/>
          </cell>
          <cell r="AD9692" t="str">
            <v/>
          </cell>
          <cell r="AY9692" t="str">
            <v/>
          </cell>
          <cell r="AZ9692" t="str">
            <v/>
          </cell>
          <cell r="BA9692" t="str">
            <v/>
          </cell>
        </row>
        <row r="9693">
          <cell r="B9693" t="str">
            <v>-</v>
          </cell>
          <cell r="E9693" t="str">
            <v/>
          </cell>
          <cell r="G9693" t="str">
            <v/>
          </cell>
          <cell r="J9693" t="str">
            <v/>
          </cell>
          <cell r="O9693" t="str">
            <v/>
          </cell>
          <cell r="P9693" t="str">
            <v/>
          </cell>
          <cell r="Q9693" t="str">
            <v/>
          </cell>
          <cell r="S9693" t="str">
            <v/>
          </cell>
          <cell r="V9693" t="str">
            <v/>
          </cell>
          <cell r="Z9693" t="str">
            <v/>
          </cell>
          <cell r="AA9693" t="str">
            <v/>
          </cell>
          <cell r="AB9693" t="str">
            <v/>
          </cell>
          <cell r="AC9693" t="str">
            <v/>
          </cell>
          <cell r="AD9693" t="str">
            <v/>
          </cell>
          <cell r="AY9693" t="str">
            <v/>
          </cell>
          <cell r="AZ9693" t="str">
            <v/>
          </cell>
          <cell r="BA9693" t="str">
            <v/>
          </cell>
        </row>
        <row r="9694">
          <cell r="B9694" t="str">
            <v>-</v>
          </cell>
          <cell r="E9694" t="str">
            <v/>
          </cell>
          <cell r="G9694" t="str">
            <v/>
          </cell>
          <cell r="J9694" t="str">
            <v/>
          </cell>
          <cell r="O9694" t="str">
            <v/>
          </cell>
          <cell r="P9694" t="str">
            <v/>
          </cell>
          <cell r="Q9694" t="str">
            <v/>
          </cell>
          <cell r="S9694" t="str">
            <v/>
          </cell>
          <cell r="V9694" t="str">
            <v/>
          </cell>
          <cell r="Z9694" t="str">
            <v/>
          </cell>
          <cell r="AA9694" t="str">
            <v/>
          </cell>
          <cell r="AB9694" t="str">
            <v/>
          </cell>
          <cell r="AC9694" t="str">
            <v/>
          </cell>
          <cell r="AD9694" t="str">
            <v/>
          </cell>
          <cell r="AY9694" t="str">
            <v/>
          </cell>
          <cell r="AZ9694" t="str">
            <v/>
          </cell>
          <cell r="BA9694" t="str">
            <v/>
          </cell>
        </row>
        <row r="9695">
          <cell r="B9695" t="str">
            <v>-</v>
          </cell>
          <cell r="E9695" t="str">
            <v/>
          </cell>
          <cell r="G9695" t="str">
            <v/>
          </cell>
          <cell r="J9695" t="str">
            <v/>
          </cell>
          <cell r="O9695" t="str">
            <v/>
          </cell>
          <cell r="P9695" t="str">
            <v/>
          </cell>
          <cell r="Q9695" t="str">
            <v/>
          </cell>
          <cell r="S9695" t="str">
            <v/>
          </cell>
          <cell r="V9695" t="str">
            <v/>
          </cell>
          <cell r="Z9695" t="str">
            <v/>
          </cell>
          <cell r="AA9695" t="str">
            <v/>
          </cell>
          <cell r="AB9695" t="str">
            <v/>
          </cell>
          <cell r="AC9695" t="str">
            <v/>
          </cell>
          <cell r="AD9695" t="str">
            <v/>
          </cell>
          <cell r="AY9695" t="str">
            <v/>
          </cell>
          <cell r="AZ9695" t="str">
            <v/>
          </cell>
          <cell r="BA9695" t="str">
            <v/>
          </cell>
        </row>
        <row r="9696">
          <cell r="B9696" t="str">
            <v>-</v>
          </cell>
          <cell r="E9696" t="str">
            <v/>
          </cell>
          <cell r="G9696" t="str">
            <v/>
          </cell>
          <cell r="J9696" t="str">
            <v/>
          </cell>
          <cell r="O9696" t="str">
            <v/>
          </cell>
          <cell r="P9696" t="str">
            <v/>
          </cell>
          <cell r="Q9696" t="str">
            <v/>
          </cell>
          <cell r="S9696" t="str">
            <v/>
          </cell>
          <cell r="V9696" t="str">
            <v/>
          </cell>
          <cell r="Z9696" t="str">
            <v/>
          </cell>
          <cell r="AA9696" t="str">
            <v/>
          </cell>
          <cell r="AB9696" t="str">
            <v/>
          </cell>
          <cell r="AC9696" t="str">
            <v/>
          </cell>
          <cell r="AD9696" t="str">
            <v/>
          </cell>
          <cell r="AY9696" t="str">
            <v/>
          </cell>
          <cell r="AZ9696" t="str">
            <v/>
          </cell>
          <cell r="BA9696" t="str">
            <v/>
          </cell>
        </row>
        <row r="9697">
          <cell r="B9697" t="str">
            <v>-</v>
          </cell>
          <cell r="E9697" t="str">
            <v/>
          </cell>
          <cell r="G9697" t="str">
            <v/>
          </cell>
          <cell r="J9697" t="str">
            <v/>
          </cell>
          <cell r="O9697" t="str">
            <v/>
          </cell>
          <cell r="P9697" t="str">
            <v/>
          </cell>
          <cell r="Q9697" t="str">
            <v/>
          </cell>
          <cell r="S9697" t="str">
            <v/>
          </cell>
          <cell r="V9697" t="str">
            <v/>
          </cell>
          <cell r="Z9697" t="str">
            <v/>
          </cell>
          <cell r="AA9697" t="str">
            <v/>
          </cell>
          <cell r="AB9697" t="str">
            <v/>
          </cell>
          <cell r="AC9697" t="str">
            <v/>
          </cell>
          <cell r="AD9697" t="str">
            <v/>
          </cell>
          <cell r="AY9697" t="str">
            <v/>
          </cell>
          <cell r="AZ9697" t="str">
            <v/>
          </cell>
          <cell r="BA9697" t="str">
            <v/>
          </cell>
        </row>
        <row r="9698">
          <cell r="B9698" t="str">
            <v>-</v>
          </cell>
          <cell r="E9698" t="str">
            <v/>
          </cell>
          <cell r="G9698" t="str">
            <v/>
          </cell>
          <cell r="J9698" t="str">
            <v/>
          </cell>
          <cell r="O9698" t="str">
            <v/>
          </cell>
          <cell r="P9698" t="str">
            <v/>
          </cell>
          <cell r="Q9698" t="str">
            <v/>
          </cell>
          <cell r="S9698" t="str">
            <v/>
          </cell>
          <cell r="V9698" t="str">
            <v/>
          </cell>
          <cell r="Z9698" t="str">
            <v/>
          </cell>
          <cell r="AA9698" t="str">
            <v/>
          </cell>
          <cell r="AB9698" t="str">
            <v/>
          </cell>
          <cell r="AC9698" t="str">
            <v/>
          </cell>
          <cell r="AD9698" t="str">
            <v/>
          </cell>
          <cell r="AY9698" t="str">
            <v/>
          </cell>
          <cell r="AZ9698" t="str">
            <v/>
          </cell>
          <cell r="BA9698" t="str">
            <v/>
          </cell>
        </row>
        <row r="9699">
          <cell r="B9699" t="str">
            <v>-</v>
          </cell>
          <cell r="E9699" t="str">
            <v/>
          </cell>
          <cell r="G9699" t="str">
            <v/>
          </cell>
          <cell r="J9699" t="str">
            <v/>
          </cell>
          <cell r="O9699" t="str">
            <v/>
          </cell>
          <cell r="P9699" t="str">
            <v/>
          </cell>
          <cell r="Q9699" t="str">
            <v/>
          </cell>
          <cell r="S9699" t="str">
            <v/>
          </cell>
          <cell r="V9699" t="str">
            <v/>
          </cell>
          <cell r="Z9699" t="str">
            <v/>
          </cell>
          <cell r="AA9699" t="str">
            <v/>
          </cell>
          <cell r="AB9699" t="str">
            <v/>
          </cell>
          <cell r="AC9699" t="str">
            <v/>
          </cell>
          <cell r="AD9699" t="str">
            <v/>
          </cell>
          <cell r="AY9699" t="str">
            <v/>
          </cell>
          <cell r="AZ9699" t="str">
            <v/>
          </cell>
          <cell r="BA9699" t="str">
            <v/>
          </cell>
        </row>
        <row r="9700">
          <cell r="B9700" t="str">
            <v>-</v>
          </cell>
          <cell r="E9700" t="str">
            <v/>
          </cell>
          <cell r="G9700" t="str">
            <v/>
          </cell>
          <cell r="J9700" t="str">
            <v/>
          </cell>
          <cell r="O9700" t="str">
            <v/>
          </cell>
          <cell r="P9700" t="str">
            <v/>
          </cell>
          <cell r="Q9700" t="str">
            <v/>
          </cell>
          <cell r="S9700" t="str">
            <v/>
          </cell>
          <cell r="V9700" t="str">
            <v/>
          </cell>
          <cell r="Z9700" t="str">
            <v/>
          </cell>
          <cell r="AA9700" t="str">
            <v/>
          </cell>
          <cell r="AB9700" t="str">
            <v/>
          </cell>
          <cell r="AC9700" t="str">
            <v/>
          </cell>
          <cell r="AD9700" t="str">
            <v/>
          </cell>
          <cell r="AY9700" t="str">
            <v/>
          </cell>
          <cell r="AZ9700" t="str">
            <v/>
          </cell>
          <cell r="BA9700" t="str">
            <v/>
          </cell>
        </row>
        <row r="9701">
          <cell r="B9701" t="str">
            <v>-</v>
          </cell>
          <cell r="E9701" t="str">
            <v/>
          </cell>
          <cell r="G9701" t="str">
            <v/>
          </cell>
          <cell r="J9701" t="str">
            <v/>
          </cell>
          <cell r="O9701" t="str">
            <v/>
          </cell>
          <cell r="P9701" t="str">
            <v/>
          </cell>
          <cell r="Q9701" t="str">
            <v/>
          </cell>
          <cell r="S9701" t="str">
            <v/>
          </cell>
          <cell r="V9701" t="str">
            <v/>
          </cell>
          <cell r="Z9701" t="str">
            <v/>
          </cell>
          <cell r="AA9701" t="str">
            <v/>
          </cell>
          <cell r="AB9701" t="str">
            <v/>
          </cell>
          <cell r="AC9701" t="str">
            <v/>
          </cell>
          <cell r="AD9701" t="str">
            <v/>
          </cell>
          <cell r="AY9701" t="str">
            <v/>
          </cell>
          <cell r="AZ9701" t="str">
            <v/>
          </cell>
          <cell r="BA9701" t="str">
            <v/>
          </cell>
        </row>
        <row r="9702">
          <cell r="B9702" t="str">
            <v>-</v>
          </cell>
          <cell r="E9702" t="str">
            <v/>
          </cell>
          <cell r="G9702" t="str">
            <v/>
          </cell>
          <cell r="J9702" t="str">
            <v/>
          </cell>
          <cell r="O9702" t="str">
            <v/>
          </cell>
          <cell r="P9702" t="str">
            <v/>
          </cell>
          <cell r="Q9702" t="str">
            <v/>
          </cell>
          <cell r="S9702" t="str">
            <v/>
          </cell>
          <cell r="V9702" t="str">
            <v/>
          </cell>
          <cell r="Z9702" t="str">
            <v/>
          </cell>
          <cell r="AA9702" t="str">
            <v/>
          </cell>
          <cell r="AB9702" t="str">
            <v/>
          </cell>
          <cell r="AC9702" t="str">
            <v/>
          </cell>
          <cell r="AD9702" t="str">
            <v/>
          </cell>
          <cell r="AY9702" t="str">
            <v/>
          </cell>
          <cell r="AZ9702" t="str">
            <v/>
          </cell>
          <cell r="BA9702" t="str">
            <v/>
          </cell>
        </row>
        <row r="9703">
          <cell r="B9703" t="str">
            <v>-</v>
          </cell>
          <cell r="E9703" t="str">
            <v/>
          </cell>
          <cell r="G9703" t="str">
            <v/>
          </cell>
          <cell r="J9703" t="str">
            <v/>
          </cell>
          <cell r="O9703" t="str">
            <v/>
          </cell>
          <cell r="P9703" t="str">
            <v/>
          </cell>
          <cell r="Q9703" t="str">
            <v/>
          </cell>
          <cell r="S9703" t="str">
            <v/>
          </cell>
          <cell r="V9703" t="str">
            <v/>
          </cell>
          <cell r="Z9703" t="str">
            <v/>
          </cell>
          <cell r="AA9703" t="str">
            <v/>
          </cell>
          <cell r="AB9703" t="str">
            <v/>
          </cell>
          <cell r="AC9703" t="str">
            <v/>
          </cell>
          <cell r="AD9703" t="str">
            <v/>
          </cell>
          <cell r="AY9703" t="str">
            <v/>
          </cell>
          <cell r="AZ9703" t="str">
            <v/>
          </cell>
          <cell r="BA9703" t="str">
            <v/>
          </cell>
        </row>
        <row r="9704">
          <cell r="B9704" t="str">
            <v>-</v>
          </cell>
          <cell r="E9704" t="str">
            <v/>
          </cell>
          <cell r="G9704" t="str">
            <v/>
          </cell>
          <cell r="J9704" t="str">
            <v/>
          </cell>
          <cell r="O9704" t="str">
            <v/>
          </cell>
          <cell r="P9704" t="str">
            <v/>
          </cell>
          <cell r="Q9704" t="str">
            <v/>
          </cell>
          <cell r="S9704" t="str">
            <v/>
          </cell>
          <cell r="V9704" t="str">
            <v/>
          </cell>
          <cell r="Z9704" t="str">
            <v/>
          </cell>
          <cell r="AA9704" t="str">
            <v/>
          </cell>
          <cell r="AB9704" t="str">
            <v/>
          </cell>
          <cell r="AC9704" t="str">
            <v/>
          </cell>
          <cell r="AD9704" t="str">
            <v/>
          </cell>
          <cell r="AY9704" t="str">
            <v/>
          </cell>
          <cell r="AZ9704" t="str">
            <v/>
          </cell>
          <cell r="BA9704" t="str">
            <v/>
          </cell>
        </row>
        <row r="9705">
          <cell r="B9705" t="str">
            <v>-</v>
          </cell>
          <cell r="E9705" t="str">
            <v/>
          </cell>
          <cell r="G9705" t="str">
            <v/>
          </cell>
          <cell r="J9705" t="str">
            <v/>
          </cell>
          <cell r="O9705" t="str">
            <v/>
          </cell>
          <cell r="P9705" t="str">
            <v/>
          </cell>
          <cell r="Q9705" t="str">
            <v/>
          </cell>
          <cell r="S9705" t="str">
            <v/>
          </cell>
          <cell r="V9705" t="str">
            <v/>
          </cell>
          <cell r="Z9705" t="str">
            <v/>
          </cell>
          <cell r="AA9705" t="str">
            <v/>
          </cell>
          <cell r="AB9705" t="str">
            <v/>
          </cell>
          <cell r="AC9705" t="str">
            <v/>
          </cell>
          <cell r="AD9705" t="str">
            <v/>
          </cell>
          <cell r="AY9705" t="str">
            <v/>
          </cell>
          <cell r="AZ9705" t="str">
            <v/>
          </cell>
          <cell r="BA9705" t="str">
            <v/>
          </cell>
        </row>
        <row r="9706">
          <cell r="B9706" t="str">
            <v>-</v>
          </cell>
          <cell r="E9706" t="str">
            <v/>
          </cell>
          <cell r="G9706" t="str">
            <v/>
          </cell>
          <cell r="J9706" t="str">
            <v/>
          </cell>
          <cell r="O9706" t="str">
            <v/>
          </cell>
          <cell r="P9706" t="str">
            <v/>
          </cell>
          <cell r="Q9706" t="str">
            <v/>
          </cell>
          <cell r="S9706" t="str">
            <v/>
          </cell>
          <cell r="V9706" t="str">
            <v/>
          </cell>
          <cell r="Z9706" t="str">
            <v/>
          </cell>
          <cell r="AA9706" t="str">
            <v/>
          </cell>
          <cell r="AB9706" t="str">
            <v/>
          </cell>
          <cell r="AC9706" t="str">
            <v/>
          </cell>
          <cell r="AD9706" t="str">
            <v/>
          </cell>
          <cell r="AY9706" t="str">
            <v/>
          </cell>
          <cell r="AZ9706" t="str">
            <v/>
          </cell>
          <cell r="BA9706" t="str">
            <v/>
          </cell>
        </row>
        <row r="9707">
          <cell r="B9707" t="str">
            <v>-</v>
          </cell>
          <cell r="E9707" t="str">
            <v/>
          </cell>
          <cell r="G9707" t="str">
            <v/>
          </cell>
          <cell r="J9707" t="str">
            <v/>
          </cell>
          <cell r="O9707" t="str">
            <v/>
          </cell>
          <cell r="P9707" t="str">
            <v/>
          </cell>
          <cell r="Q9707" t="str">
            <v/>
          </cell>
          <cell r="S9707" t="str">
            <v/>
          </cell>
          <cell r="V9707" t="str">
            <v/>
          </cell>
          <cell r="Z9707" t="str">
            <v/>
          </cell>
          <cell r="AA9707" t="str">
            <v/>
          </cell>
          <cell r="AB9707" t="str">
            <v/>
          </cell>
          <cell r="AC9707" t="str">
            <v/>
          </cell>
          <cell r="AD9707" t="str">
            <v/>
          </cell>
          <cell r="AY9707" t="str">
            <v/>
          </cell>
          <cell r="AZ9707" t="str">
            <v/>
          </cell>
          <cell r="BA9707" t="str">
            <v/>
          </cell>
        </row>
        <row r="9708">
          <cell r="B9708" t="str">
            <v>-</v>
          </cell>
          <cell r="E9708" t="str">
            <v/>
          </cell>
          <cell r="G9708" t="str">
            <v/>
          </cell>
          <cell r="J9708" t="str">
            <v/>
          </cell>
          <cell r="O9708" t="str">
            <v/>
          </cell>
          <cell r="P9708" t="str">
            <v/>
          </cell>
          <cell r="Q9708" t="str">
            <v/>
          </cell>
          <cell r="S9708" t="str">
            <v/>
          </cell>
          <cell r="V9708" t="str">
            <v/>
          </cell>
          <cell r="Z9708" t="str">
            <v/>
          </cell>
          <cell r="AA9708" t="str">
            <v/>
          </cell>
          <cell r="AB9708" t="str">
            <v/>
          </cell>
          <cell r="AC9708" t="str">
            <v/>
          </cell>
          <cell r="AD9708" t="str">
            <v/>
          </cell>
          <cell r="AY9708" t="str">
            <v/>
          </cell>
          <cell r="AZ9708" t="str">
            <v/>
          </cell>
          <cell r="BA9708" t="str">
            <v/>
          </cell>
        </row>
        <row r="9709">
          <cell r="B9709" t="str">
            <v>-</v>
          </cell>
          <cell r="E9709" t="str">
            <v/>
          </cell>
          <cell r="G9709" t="str">
            <v/>
          </cell>
          <cell r="J9709" t="str">
            <v/>
          </cell>
          <cell r="O9709" t="str">
            <v/>
          </cell>
          <cell r="P9709" t="str">
            <v/>
          </cell>
          <cell r="Q9709" t="str">
            <v/>
          </cell>
          <cell r="S9709" t="str">
            <v/>
          </cell>
          <cell r="V9709" t="str">
            <v/>
          </cell>
          <cell r="Z9709" t="str">
            <v/>
          </cell>
          <cell r="AA9709" t="str">
            <v/>
          </cell>
          <cell r="AB9709" t="str">
            <v/>
          </cell>
          <cell r="AC9709" t="str">
            <v/>
          </cell>
          <cell r="AD9709" t="str">
            <v/>
          </cell>
          <cell r="AY9709" t="str">
            <v/>
          </cell>
          <cell r="AZ9709" t="str">
            <v/>
          </cell>
          <cell r="BA9709" t="str">
            <v/>
          </cell>
        </row>
        <row r="9710">
          <cell r="B9710" t="str">
            <v>-</v>
          </cell>
          <cell r="E9710" t="str">
            <v/>
          </cell>
          <cell r="G9710" t="str">
            <v/>
          </cell>
          <cell r="J9710" t="str">
            <v/>
          </cell>
          <cell r="O9710" t="str">
            <v/>
          </cell>
          <cell r="P9710" t="str">
            <v/>
          </cell>
          <cell r="Q9710" t="str">
            <v/>
          </cell>
          <cell r="S9710" t="str">
            <v/>
          </cell>
          <cell r="V9710" t="str">
            <v/>
          </cell>
          <cell r="Z9710" t="str">
            <v/>
          </cell>
          <cell r="AA9710" t="str">
            <v/>
          </cell>
          <cell r="AB9710" t="str">
            <v/>
          </cell>
          <cell r="AC9710" t="str">
            <v/>
          </cell>
          <cell r="AD9710" t="str">
            <v/>
          </cell>
          <cell r="AY9710" t="str">
            <v/>
          </cell>
          <cell r="AZ9710" t="str">
            <v/>
          </cell>
          <cell r="BA9710" t="str">
            <v/>
          </cell>
        </row>
        <row r="9711">
          <cell r="B9711" t="str">
            <v>-</v>
          </cell>
          <cell r="E9711" t="str">
            <v/>
          </cell>
          <cell r="G9711" t="str">
            <v/>
          </cell>
          <cell r="J9711" t="str">
            <v/>
          </cell>
          <cell r="O9711" t="str">
            <v/>
          </cell>
          <cell r="P9711" t="str">
            <v/>
          </cell>
          <cell r="Q9711" t="str">
            <v/>
          </cell>
          <cell r="S9711" t="str">
            <v/>
          </cell>
          <cell r="V9711" t="str">
            <v/>
          </cell>
          <cell r="Z9711" t="str">
            <v/>
          </cell>
          <cell r="AA9711" t="str">
            <v/>
          </cell>
          <cell r="AB9711" t="str">
            <v/>
          </cell>
          <cell r="AC9711" t="str">
            <v/>
          </cell>
          <cell r="AD9711" t="str">
            <v/>
          </cell>
          <cell r="AY9711" t="str">
            <v/>
          </cell>
          <cell r="AZ9711" t="str">
            <v/>
          </cell>
          <cell r="BA9711" t="str">
            <v/>
          </cell>
        </row>
        <row r="9712">
          <cell r="B9712" t="str">
            <v>-</v>
          </cell>
          <cell r="E9712" t="str">
            <v/>
          </cell>
          <cell r="G9712" t="str">
            <v/>
          </cell>
          <cell r="J9712" t="str">
            <v/>
          </cell>
          <cell r="O9712" t="str">
            <v/>
          </cell>
          <cell r="P9712" t="str">
            <v/>
          </cell>
          <cell r="Q9712" t="str">
            <v/>
          </cell>
          <cell r="S9712" t="str">
            <v/>
          </cell>
          <cell r="V9712" t="str">
            <v/>
          </cell>
          <cell r="Z9712" t="str">
            <v/>
          </cell>
          <cell r="AA9712" t="str">
            <v/>
          </cell>
          <cell r="AB9712" t="str">
            <v/>
          </cell>
          <cell r="AC9712" t="str">
            <v/>
          </cell>
          <cell r="AD9712" t="str">
            <v/>
          </cell>
          <cell r="AY9712" t="str">
            <v/>
          </cell>
          <cell r="AZ9712" t="str">
            <v/>
          </cell>
          <cell r="BA9712" t="str">
            <v/>
          </cell>
        </row>
        <row r="9713">
          <cell r="B9713" t="str">
            <v>-</v>
          </cell>
          <cell r="E9713" t="str">
            <v/>
          </cell>
          <cell r="G9713" t="str">
            <v/>
          </cell>
          <cell r="J9713" t="str">
            <v/>
          </cell>
          <cell r="O9713" t="str">
            <v/>
          </cell>
          <cell r="P9713" t="str">
            <v/>
          </cell>
          <cell r="Q9713" t="str">
            <v/>
          </cell>
          <cell r="S9713" t="str">
            <v/>
          </cell>
          <cell r="V9713" t="str">
            <v/>
          </cell>
          <cell r="Z9713" t="str">
            <v/>
          </cell>
          <cell r="AA9713" t="str">
            <v/>
          </cell>
          <cell r="AB9713" t="str">
            <v/>
          </cell>
          <cell r="AC9713" t="str">
            <v/>
          </cell>
          <cell r="AD9713" t="str">
            <v/>
          </cell>
          <cell r="AY9713" t="str">
            <v/>
          </cell>
          <cell r="AZ9713" t="str">
            <v/>
          </cell>
          <cell r="BA9713" t="str">
            <v/>
          </cell>
        </row>
        <row r="9714">
          <cell r="B9714" t="str">
            <v>-</v>
          </cell>
          <cell r="E9714" t="str">
            <v/>
          </cell>
          <cell r="G9714" t="str">
            <v/>
          </cell>
          <cell r="J9714" t="str">
            <v/>
          </cell>
          <cell r="O9714" t="str">
            <v/>
          </cell>
          <cell r="P9714" t="str">
            <v/>
          </cell>
          <cell r="Q9714" t="str">
            <v/>
          </cell>
          <cell r="S9714" t="str">
            <v/>
          </cell>
          <cell r="V9714" t="str">
            <v/>
          </cell>
          <cell r="Z9714" t="str">
            <v/>
          </cell>
          <cell r="AA9714" t="str">
            <v/>
          </cell>
          <cell r="AB9714" t="str">
            <v/>
          </cell>
          <cell r="AC9714" t="str">
            <v/>
          </cell>
          <cell r="AD9714" t="str">
            <v/>
          </cell>
          <cell r="AY9714" t="str">
            <v/>
          </cell>
          <cell r="AZ9714" t="str">
            <v/>
          </cell>
          <cell r="BA9714" t="str">
            <v/>
          </cell>
        </row>
        <row r="9715">
          <cell r="B9715" t="str">
            <v>-</v>
          </cell>
          <cell r="E9715" t="str">
            <v/>
          </cell>
          <cell r="G9715" t="str">
            <v/>
          </cell>
          <cell r="J9715" t="str">
            <v/>
          </cell>
          <cell r="O9715" t="str">
            <v/>
          </cell>
          <cell r="P9715" t="str">
            <v/>
          </cell>
          <cell r="Q9715" t="str">
            <v/>
          </cell>
          <cell r="S9715" t="str">
            <v/>
          </cell>
          <cell r="V9715" t="str">
            <v/>
          </cell>
          <cell r="Z9715" t="str">
            <v/>
          </cell>
          <cell r="AA9715" t="str">
            <v/>
          </cell>
          <cell r="AB9715" t="str">
            <v/>
          </cell>
          <cell r="AC9715" t="str">
            <v/>
          </cell>
          <cell r="AD9715" t="str">
            <v/>
          </cell>
          <cell r="AY9715" t="str">
            <v/>
          </cell>
          <cell r="AZ9715" t="str">
            <v/>
          </cell>
          <cell r="BA9715" t="str">
            <v/>
          </cell>
        </row>
        <row r="9716">
          <cell r="B9716" t="str">
            <v>-</v>
          </cell>
          <cell r="E9716" t="str">
            <v/>
          </cell>
          <cell r="G9716" t="str">
            <v/>
          </cell>
          <cell r="J9716" t="str">
            <v/>
          </cell>
          <cell r="O9716" t="str">
            <v/>
          </cell>
          <cell r="P9716" t="str">
            <v/>
          </cell>
          <cell r="Q9716" t="str">
            <v/>
          </cell>
          <cell r="S9716" t="str">
            <v/>
          </cell>
          <cell r="V9716" t="str">
            <v/>
          </cell>
          <cell r="Z9716" t="str">
            <v/>
          </cell>
          <cell r="AA9716" t="str">
            <v/>
          </cell>
          <cell r="AB9716" t="str">
            <v/>
          </cell>
          <cell r="AC9716" t="str">
            <v/>
          </cell>
          <cell r="AD9716" t="str">
            <v/>
          </cell>
          <cell r="AY9716" t="str">
            <v/>
          </cell>
          <cell r="AZ9716" t="str">
            <v/>
          </cell>
          <cell r="BA9716" t="str">
            <v/>
          </cell>
        </row>
        <row r="9717">
          <cell r="B9717" t="str">
            <v>-</v>
          </cell>
          <cell r="E9717" t="str">
            <v/>
          </cell>
          <cell r="G9717" t="str">
            <v/>
          </cell>
          <cell r="J9717" t="str">
            <v/>
          </cell>
          <cell r="O9717" t="str">
            <v/>
          </cell>
          <cell r="P9717" t="str">
            <v/>
          </cell>
          <cell r="Q9717" t="str">
            <v/>
          </cell>
          <cell r="S9717" t="str">
            <v/>
          </cell>
          <cell r="V9717" t="str">
            <v/>
          </cell>
          <cell r="Z9717" t="str">
            <v/>
          </cell>
          <cell r="AA9717" t="str">
            <v/>
          </cell>
          <cell r="AB9717" t="str">
            <v/>
          </cell>
          <cell r="AC9717" t="str">
            <v/>
          </cell>
          <cell r="AD9717" t="str">
            <v/>
          </cell>
          <cell r="AY9717" t="str">
            <v/>
          </cell>
          <cell r="AZ9717" t="str">
            <v/>
          </cell>
          <cell r="BA9717" t="str">
            <v/>
          </cell>
        </row>
        <row r="9718">
          <cell r="B9718" t="str">
            <v>-</v>
          </cell>
          <cell r="E9718" t="str">
            <v/>
          </cell>
          <cell r="G9718" t="str">
            <v/>
          </cell>
          <cell r="J9718" t="str">
            <v/>
          </cell>
          <cell r="O9718" t="str">
            <v/>
          </cell>
          <cell r="P9718" t="str">
            <v/>
          </cell>
          <cell r="Q9718" t="str">
            <v/>
          </cell>
          <cell r="S9718" t="str">
            <v/>
          </cell>
          <cell r="V9718" t="str">
            <v/>
          </cell>
          <cell r="Z9718" t="str">
            <v/>
          </cell>
          <cell r="AA9718" t="str">
            <v/>
          </cell>
          <cell r="AB9718" t="str">
            <v/>
          </cell>
          <cell r="AC9718" t="str">
            <v/>
          </cell>
          <cell r="AD9718" t="str">
            <v/>
          </cell>
          <cell r="AY9718" t="str">
            <v/>
          </cell>
          <cell r="AZ9718" t="str">
            <v/>
          </cell>
          <cell r="BA9718" t="str">
            <v/>
          </cell>
        </row>
        <row r="9719">
          <cell r="B9719" t="str">
            <v>-</v>
          </cell>
          <cell r="E9719" t="str">
            <v/>
          </cell>
          <cell r="G9719" t="str">
            <v/>
          </cell>
          <cell r="J9719" t="str">
            <v/>
          </cell>
          <cell r="O9719" t="str">
            <v/>
          </cell>
          <cell r="P9719" t="str">
            <v/>
          </cell>
          <cell r="Q9719" t="str">
            <v/>
          </cell>
          <cell r="S9719" t="str">
            <v/>
          </cell>
          <cell r="V9719" t="str">
            <v/>
          </cell>
          <cell r="Z9719" t="str">
            <v/>
          </cell>
          <cell r="AA9719" t="str">
            <v/>
          </cell>
          <cell r="AB9719" t="str">
            <v/>
          </cell>
          <cell r="AC9719" t="str">
            <v/>
          </cell>
          <cell r="AD9719" t="str">
            <v/>
          </cell>
          <cell r="AY9719" t="str">
            <v/>
          </cell>
          <cell r="AZ9719" t="str">
            <v/>
          </cell>
          <cell r="BA9719" t="str">
            <v/>
          </cell>
        </row>
        <row r="9720">
          <cell r="B9720" t="str">
            <v>-</v>
          </cell>
          <cell r="E9720" t="str">
            <v/>
          </cell>
          <cell r="G9720" t="str">
            <v/>
          </cell>
          <cell r="J9720" t="str">
            <v/>
          </cell>
          <cell r="O9720" t="str">
            <v/>
          </cell>
          <cell r="P9720" t="str">
            <v/>
          </cell>
          <cell r="Q9720" t="str">
            <v/>
          </cell>
          <cell r="S9720" t="str">
            <v/>
          </cell>
          <cell r="V9720" t="str">
            <v/>
          </cell>
          <cell r="Z9720" t="str">
            <v/>
          </cell>
          <cell r="AA9720" t="str">
            <v/>
          </cell>
          <cell r="AB9720" t="str">
            <v/>
          </cell>
          <cell r="AC9720" t="str">
            <v/>
          </cell>
          <cell r="AD9720" t="str">
            <v/>
          </cell>
          <cell r="AY9720" t="str">
            <v/>
          </cell>
          <cell r="AZ9720" t="str">
            <v/>
          </cell>
          <cell r="BA9720" t="str">
            <v/>
          </cell>
        </row>
        <row r="9721">
          <cell r="B9721" t="str">
            <v>-</v>
          </cell>
          <cell r="E9721" t="str">
            <v/>
          </cell>
          <cell r="G9721" t="str">
            <v/>
          </cell>
          <cell r="J9721" t="str">
            <v/>
          </cell>
          <cell r="O9721" t="str">
            <v/>
          </cell>
          <cell r="P9721" t="str">
            <v/>
          </cell>
          <cell r="Q9721" t="str">
            <v/>
          </cell>
          <cell r="S9721" t="str">
            <v/>
          </cell>
          <cell r="V9721" t="str">
            <v/>
          </cell>
          <cell r="Z9721" t="str">
            <v/>
          </cell>
          <cell r="AA9721" t="str">
            <v/>
          </cell>
          <cell r="AB9721" t="str">
            <v/>
          </cell>
          <cell r="AC9721" t="str">
            <v/>
          </cell>
          <cell r="AD9721" t="str">
            <v/>
          </cell>
          <cell r="AY9721" t="str">
            <v/>
          </cell>
          <cell r="AZ9721" t="str">
            <v/>
          </cell>
          <cell r="BA9721" t="str">
            <v/>
          </cell>
        </row>
        <row r="9722">
          <cell r="B9722" t="str">
            <v>-</v>
          </cell>
          <cell r="E9722" t="str">
            <v/>
          </cell>
          <cell r="G9722" t="str">
            <v/>
          </cell>
          <cell r="J9722" t="str">
            <v/>
          </cell>
          <cell r="O9722" t="str">
            <v/>
          </cell>
          <cell r="P9722" t="str">
            <v/>
          </cell>
          <cell r="Q9722" t="str">
            <v/>
          </cell>
          <cell r="S9722" t="str">
            <v/>
          </cell>
          <cell r="V9722" t="str">
            <v/>
          </cell>
          <cell r="Z9722" t="str">
            <v/>
          </cell>
          <cell r="AA9722" t="str">
            <v/>
          </cell>
          <cell r="AB9722" t="str">
            <v/>
          </cell>
          <cell r="AC9722" t="str">
            <v/>
          </cell>
          <cell r="AD9722" t="str">
            <v/>
          </cell>
          <cell r="AY9722" t="str">
            <v/>
          </cell>
          <cell r="AZ9722" t="str">
            <v/>
          </cell>
          <cell r="BA9722" t="str">
            <v/>
          </cell>
        </row>
        <row r="9723">
          <cell r="B9723" t="str">
            <v>-</v>
          </cell>
          <cell r="E9723" t="str">
            <v/>
          </cell>
          <cell r="G9723" t="str">
            <v/>
          </cell>
          <cell r="J9723" t="str">
            <v/>
          </cell>
          <cell r="O9723" t="str">
            <v/>
          </cell>
          <cell r="P9723" t="str">
            <v/>
          </cell>
          <cell r="Q9723" t="str">
            <v/>
          </cell>
          <cell r="S9723" t="str">
            <v/>
          </cell>
          <cell r="V9723" t="str">
            <v/>
          </cell>
          <cell r="Z9723" t="str">
            <v/>
          </cell>
          <cell r="AA9723" t="str">
            <v/>
          </cell>
          <cell r="AB9723" t="str">
            <v/>
          </cell>
          <cell r="AC9723" t="str">
            <v/>
          </cell>
          <cell r="AD9723" t="str">
            <v/>
          </cell>
          <cell r="AY9723" t="str">
            <v/>
          </cell>
          <cell r="AZ9723" t="str">
            <v/>
          </cell>
          <cell r="BA9723" t="str">
            <v/>
          </cell>
        </row>
        <row r="9724">
          <cell r="B9724" t="str">
            <v>-</v>
          </cell>
          <cell r="E9724" t="str">
            <v/>
          </cell>
          <cell r="G9724" t="str">
            <v/>
          </cell>
          <cell r="J9724" t="str">
            <v/>
          </cell>
          <cell r="O9724" t="str">
            <v/>
          </cell>
          <cell r="P9724" t="str">
            <v/>
          </cell>
          <cell r="Q9724" t="str">
            <v/>
          </cell>
          <cell r="S9724" t="str">
            <v/>
          </cell>
          <cell r="V9724" t="str">
            <v/>
          </cell>
          <cell r="Z9724" t="str">
            <v/>
          </cell>
          <cell r="AA9724" t="str">
            <v/>
          </cell>
          <cell r="AB9724" t="str">
            <v/>
          </cell>
          <cell r="AC9724" t="str">
            <v/>
          </cell>
          <cell r="AD9724" t="str">
            <v/>
          </cell>
          <cell r="AY9724" t="str">
            <v/>
          </cell>
          <cell r="AZ9724" t="str">
            <v/>
          </cell>
          <cell r="BA9724" t="str">
            <v/>
          </cell>
        </row>
        <row r="9725">
          <cell r="B9725" t="str">
            <v>-</v>
          </cell>
          <cell r="E9725" t="str">
            <v/>
          </cell>
          <cell r="G9725" t="str">
            <v/>
          </cell>
          <cell r="J9725" t="str">
            <v/>
          </cell>
          <cell r="O9725" t="str">
            <v/>
          </cell>
          <cell r="P9725" t="str">
            <v/>
          </cell>
          <cell r="Q9725" t="str">
            <v/>
          </cell>
          <cell r="S9725" t="str">
            <v/>
          </cell>
          <cell r="V9725" t="str">
            <v/>
          </cell>
          <cell r="Z9725" t="str">
            <v/>
          </cell>
          <cell r="AA9725" t="str">
            <v/>
          </cell>
          <cell r="AB9725" t="str">
            <v/>
          </cell>
          <cell r="AC9725" t="str">
            <v/>
          </cell>
          <cell r="AD9725" t="str">
            <v/>
          </cell>
          <cell r="AY9725" t="str">
            <v/>
          </cell>
          <cell r="AZ9725" t="str">
            <v/>
          </cell>
          <cell r="BA9725" t="str">
            <v/>
          </cell>
        </row>
        <row r="9726">
          <cell r="B9726" t="str">
            <v>-</v>
          </cell>
          <cell r="E9726" t="str">
            <v/>
          </cell>
          <cell r="G9726" t="str">
            <v/>
          </cell>
          <cell r="J9726" t="str">
            <v/>
          </cell>
          <cell r="O9726" t="str">
            <v/>
          </cell>
          <cell r="P9726" t="str">
            <v/>
          </cell>
          <cell r="Q9726" t="str">
            <v/>
          </cell>
          <cell r="S9726" t="str">
            <v/>
          </cell>
          <cell r="V9726" t="str">
            <v/>
          </cell>
          <cell r="Z9726" t="str">
            <v/>
          </cell>
          <cell r="AA9726" t="str">
            <v/>
          </cell>
          <cell r="AB9726" t="str">
            <v/>
          </cell>
          <cell r="AC9726" t="str">
            <v/>
          </cell>
          <cell r="AD9726" t="str">
            <v/>
          </cell>
          <cell r="AY9726" t="str">
            <v/>
          </cell>
          <cell r="AZ9726" t="str">
            <v/>
          </cell>
          <cell r="BA9726" t="str">
            <v/>
          </cell>
        </row>
        <row r="9727">
          <cell r="B9727" t="str">
            <v>-</v>
          </cell>
          <cell r="E9727" t="str">
            <v/>
          </cell>
          <cell r="G9727" t="str">
            <v/>
          </cell>
          <cell r="J9727" t="str">
            <v/>
          </cell>
          <cell r="O9727" t="str">
            <v/>
          </cell>
          <cell r="P9727" t="str">
            <v/>
          </cell>
          <cell r="Q9727" t="str">
            <v/>
          </cell>
          <cell r="S9727" t="str">
            <v/>
          </cell>
          <cell r="V9727" t="str">
            <v/>
          </cell>
          <cell r="Z9727" t="str">
            <v/>
          </cell>
          <cell r="AA9727" t="str">
            <v/>
          </cell>
          <cell r="AB9727" t="str">
            <v/>
          </cell>
          <cell r="AC9727" t="str">
            <v/>
          </cell>
          <cell r="AD9727" t="str">
            <v/>
          </cell>
          <cell r="AY9727" t="str">
            <v/>
          </cell>
          <cell r="AZ9727" t="str">
            <v/>
          </cell>
          <cell r="BA9727" t="str">
            <v/>
          </cell>
        </row>
        <row r="9728">
          <cell r="B9728" t="str">
            <v>-</v>
          </cell>
          <cell r="E9728" t="str">
            <v/>
          </cell>
          <cell r="G9728" t="str">
            <v/>
          </cell>
          <cell r="J9728" t="str">
            <v/>
          </cell>
          <cell r="O9728" t="str">
            <v/>
          </cell>
          <cell r="P9728" t="str">
            <v/>
          </cell>
          <cell r="Q9728" t="str">
            <v/>
          </cell>
          <cell r="S9728" t="str">
            <v/>
          </cell>
          <cell r="V9728" t="str">
            <v/>
          </cell>
          <cell r="Z9728" t="str">
            <v/>
          </cell>
          <cell r="AA9728" t="str">
            <v/>
          </cell>
          <cell r="AB9728" t="str">
            <v/>
          </cell>
          <cell r="AC9728" t="str">
            <v/>
          </cell>
          <cell r="AD9728" t="str">
            <v/>
          </cell>
          <cell r="AY9728" t="str">
            <v/>
          </cell>
          <cell r="AZ9728" t="str">
            <v/>
          </cell>
          <cell r="BA9728" t="str">
            <v/>
          </cell>
        </row>
        <row r="9729">
          <cell r="B9729" t="str">
            <v>-</v>
          </cell>
          <cell r="E9729" t="str">
            <v/>
          </cell>
          <cell r="G9729" t="str">
            <v/>
          </cell>
          <cell r="J9729" t="str">
            <v/>
          </cell>
          <cell r="O9729" t="str">
            <v/>
          </cell>
          <cell r="P9729" t="str">
            <v/>
          </cell>
          <cell r="Q9729" t="str">
            <v/>
          </cell>
          <cell r="S9729" t="str">
            <v/>
          </cell>
          <cell r="V9729" t="str">
            <v/>
          </cell>
          <cell r="Z9729" t="str">
            <v/>
          </cell>
          <cell r="AA9729" t="str">
            <v/>
          </cell>
          <cell r="AB9729" t="str">
            <v/>
          </cell>
          <cell r="AC9729" t="str">
            <v/>
          </cell>
          <cell r="AD9729" t="str">
            <v/>
          </cell>
          <cell r="AY9729" t="str">
            <v/>
          </cell>
          <cell r="AZ9729" t="str">
            <v/>
          </cell>
          <cell r="BA9729" t="str">
            <v/>
          </cell>
        </row>
        <row r="9730">
          <cell r="B9730" t="str">
            <v>-</v>
          </cell>
          <cell r="E9730" t="str">
            <v/>
          </cell>
          <cell r="G9730" t="str">
            <v/>
          </cell>
          <cell r="J9730" t="str">
            <v/>
          </cell>
          <cell r="O9730" t="str">
            <v/>
          </cell>
          <cell r="P9730" t="str">
            <v/>
          </cell>
          <cell r="Q9730" t="str">
            <v/>
          </cell>
          <cell r="S9730" t="str">
            <v/>
          </cell>
          <cell r="V9730" t="str">
            <v/>
          </cell>
          <cell r="Z9730" t="str">
            <v/>
          </cell>
          <cell r="AA9730" t="str">
            <v/>
          </cell>
          <cell r="AB9730" t="str">
            <v/>
          </cell>
          <cell r="AC9730" t="str">
            <v/>
          </cell>
          <cell r="AD9730" t="str">
            <v/>
          </cell>
          <cell r="AY9730" t="str">
            <v/>
          </cell>
          <cell r="AZ9730" t="str">
            <v/>
          </cell>
          <cell r="BA9730" t="str">
            <v/>
          </cell>
        </row>
        <row r="9731">
          <cell r="B9731" t="str">
            <v>-</v>
          </cell>
          <cell r="E9731" t="str">
            <v/>
          </cell>
          <cell r="G9731" t="str">
            <v/>
          </cell>
          <cell r="J9731" t="str">
            <v/>
          </cell>
          <cell r="O9731" t="str">
            <v/>
          </cell>
          <cell r="P9731" t="str">
            <v/>
          </cell>
          <cell r="Q9731" t="str">
            <v/>
          </cell>
          <cell r="S9731" t="str">
            <v/>
          </cell>
          <cell r="V9731" t="str">
            <v/>
          </cell>
          <cell r="Z9731" t="str">
            <v/>
          </cell>
          <cell r="AA9731" t="str">
            <v/>
          </cell>
          <cell r="AB9731" t="str">
            <v/>
          </cell>
          <cell r="AC9731" t="str">
            <v/>
          </cell>
          <cell r="AD9731" t="str">
            <v/>
          </cell>
          <cell r="AY9731" t="str">
            <v/>
          </cell>
          <cell r="AZ9731" t="str">
            <v/>
          </cell>
          <cell r="BA9731" t="str">
            <v/>
          </cell>
        </row>
        <row r="9732">
          <cell r="B9732" t="str">
            <v>-</v>
          </cell>
          <cell r="E9732" t="str">
            <v/>
          </cell>
          <cell r="G9732" t="str">
            <v/>
          </cell>
          <cell r="J9732" t="str">
            <v/>
          </cell>
          <cell r="O9732" t="str">
            <v/>
          </cell>
          <cell r="P9732" t="str">
            <v/>
          </cell>
          <cell r="Q9732" t="str">
            <v/>
          </cell>
          <cell r="S9732" t="str">
            <v/>
          </cell>
          <cell r="V9732" t="str">
            <v/>
          </cell>
          <cell r="Z9732" t="str">
            <v/>
          </cell>
          <cell r="AA9732" t="str">
            <v/>
          </cell>
          <cell r="AB9732" t="str">
            <v/>
          </cell>
          <cell r="AC9732" t="str">
            <v/>
          </cell>
          <cell r="AD9732" t="str">
            <v/>
          </cell>
          <cell r="AY9732" t="str">
            <v/>
          </cell>
          <cell r="AZ9732" t="str">
            <v/>
          </cell>
          <cell r="BA9732" t="str">
            <v/>
          </cell>
        </row>
        <row r="9733">
          <cell r="B9733" t="str">
            <v>-</v>
          </cell>
          <cell r="E9733" t="str">
            <v/>
          </cell>
          <cell r="G9733" t="str">
            <v/>
          </cell>
          <cell r="J9733" t="str">
            <v/>
          </cell>
          <cell r="O9733" t="str">
            <v/>
          </cell>
          <cell r="P9733" t="str">
            <v/>
          </cell>
          <cell r="Q9733" t="str">
            <v/>
          </cell>
          <cell r="S9733" t="str">
            <v/>
          </cell>
          <cell r="V9733" t="str">
            <v/>
          </cell>
          <cell r="Z9733" t="str">
            <v/>
          </cell>
          <cell r="AA9733" t="str">
            <v/>
          </cell>
          <cell r="AB9733" t="str">
            <v/>
          </cell>
          <cell r="AC9733" t="str">
            <v/>
          </cell>
          <cell r="AD9733" t="str">
            <v/>
          </cell>
          <cell r="AY9733" t="str">
            <v/>
          </cell>
          <cell r="AZ9733" t="str">
            <v/>
          </cell>
          <cell r="BA9733" t="str">
            <v/>
          </cell>
        </row>
        <row r="9734">
          <cell r="B9734" t="str">
            <v>-</v>
          </cell>
          <cell r="E9734" t="str">
            <v/>
          </cell>
          <cell r="G9734" t="str">
            <v/>
          </cell>
          <cell r="J9734" t="str">
            <v/>
          </cell>
          <cell r="O9734" t="str">
            <v/>
          </cell>
          <cell r="P9734" t="str">
            <v/>
          </cell>
          <cell r="Q9734" t="str">
            <v/>
          </cell>
          <cell r="S9734" t="str">
            <v/>
          </cell>
          <cell r="V9734" t="str">
            <v/>
          </cell>
          <cell r="Z9734" t="str">
            <v/>
          </cell>
          <cell r="AA9734" t="str">
            <v/>
          </cell>
          <cell r="AB9734" t="str">
            <v/>
          </cell>
          <cell r="AC9734" t="str">
            <v/>
          </cell>
          <cell r="AD9734" t="str">
            <v/>
          </cell>
          <cell r="AY9734" t="str">
            <v/>
          </cell>
          <cell r="AZ9734" t="str">
            <v/>
          </cell>
          <cell r="BA9734" t="str">
            <v/>
          </cell>
        </row>
        <row r="9735">
          <cell r="B9735" t="str">
            <v>-</v>
          </cell>
          <cell r="E9735" t="str">
            <v/>
          </cell>
          <cell r="G9735" t="str">
            <v/>
          </cell>
          <cell r="J9735" t="str">
            <v/>
          </cell>
          <cell r="O9735" t="str">
            <v/>
          </cell>
          <cell r="P9735" t="str">
            <v/>
          </cell>
          <cell r="Q9735" t="str">
            <v/>
          </cell>
          <cell r="S9735" t="str">
            <v/>
          </cell>
          <cell r="V9735" t="str">
            <v/>
          </cell>
          <cell r="Z9735" t="str">
            <v/>
          </cell>
          <cell r="AA9735" t="str">
            <v/>
          </cell>
          <cell r="AB9735" t="str">
            <v/>
          </cell>
          <cell r="AC9735" t="str">
            <v/>
          </cell>
          <cell r="AD9735" t="str">
            <v/>
          </cell>
          <cell r="AY9735" t="str">
            <v/>
          </cell>
          <cell r="AZ9735" t="str">
            <v/>
          </cell>
          <cell r="BA9735" t="str">
            <v/>
          </cell>
        </row>
        <row r="9736">
          <cell r="B9736" t="str">
            <v>-</v>
          </cell>
          <cell r="E9736" t="str">
            <v/>
          </cell>
          <cell r="G9736" t="str">
            <v/>
          </cell>
          <cell r="J9736" t="str">
            <v/>
          </cell>
          <cell r="O9736" t="str">
            <v/>
          </cell>
          <cell r="P9736" t="str">
            <v/>
          </cell>
          <cell r="Q9736" t="str">
            <v/>
          </cell>
          <cell r="S9736" t="str">
            <v/>
          </cell>
          <cell r="V9736" t="str">
            <v/>
          </cell>
          <cell r="Z9736" t="str">
            <v/>
          </cell>
          <cell r="AA9736" t="str">
            <v/>
          </cell>
          <cell r="AB9736" t="str">
            <v/>
          </cell>
          <cell r="AC9736" t="str">
            <v/>
          </cell>
          <cell r="AD9736" t="str">
            <v/>
          </cell>
          <cell r="AY9736" t="str">
            <v/>
          </cell>
          <cell r="AZ9736" t="str">
            <v/>
          </cell>
          <cell r="BA9736" t="str">
            <v/>
          </cell>
        </row>
        <row r="9737">
          <cell r="B9737" t="str">
            <v>-</v>
          </cell>
          <cell r="E9737" t="str">
            <v/>
          </cell>
          <cell r="G9737" t="str">
            <v/>
          </cell>
          <cell r="J9737" t="str">
            <v/>
          </cell>
          <cell r="O9737" t="str">
            <v/>
          </cell>
          <cell r="P9737" t="str">
            <v/>
          </cell>
          <cell r="Q9737" t="str">
            <v/>
          </cell>
          <cell r="S9737" t="str">
            <v/>
          </cell>
          <cell r="V9737" t="str">
            <v/>
          </cell>
          <cell r="Z9737" t="str">
            <v/>
          </cell>
          <cell r="AA9737" t="str">
            <v/>
          </cell>
          <cell r="AB9737" t="str">
            <v/>
          </cell>
          <cell r="AC9737" t="str">
            <v/>
          </cell>
          <cell r="AD9737" t="str">
            <v/>
          </cell>
          <cell r="AY9737" t="str">
            <v/>
          </cell>
          <cell r="AZ9737" t="str">
            <v/>
          </cell>
          <cell r="BA9737" t="str">
            <v/>
          </cell>
        </row>
        <row r="9738">
          <cell r="B9738" t="str">
            <v>-</v>
          </cell>
          <cell r="E9738" t="str">
            <v/>
          </cell>
          <cell r="G9738" t="str">
            <v/>
          </cell>
          <cell r="J9738" t="str">
            <v/>
          </cell>
          <cell r="O9738" t="str">
            <v/>
          </cell>
          <cell r="P9738" t="str">
            <v/>
          </cell>
          <cell r="Q9738" t="str">
            <v/>
          </cell>
          <cell r="S9738" t="str">
            <v/>
          </cell>
          <cell r="V9738" t="str">
            <v/>
          </cell>
          <cell r="Z9738" t="str">
            <v/>
          </cell>
          <cell r="AA9738" t="str">
            <v/>
          </cell>
          <cell r="AB9738" t="str">
            <v/>
          </cell>
          <cell r="AC9738" t="str">
            <v/>
          </cell>
          <cell r="AD9738" t="str">
            <v/>
          </cell>
          <cell r="AY9738" t="str">
            <v/>
          </cell>
          <cell r="AZ9738" t="str">
            <v/>
          </cell>
          <cell r="BA9738" t="str">
            <v/>
          </cell>
        </row>
        <row r="9739">
          <cell r="B9739" t="str">
            <v>-</v>
          </cell>
          <cell r="E9739" t="str">
            <v/>
          </cell>
          <cell r="G9739" t="str">
            <v/>
          </cell>
          <cell r="J9739" t="str">
            <v/>
          </cell>
          <cell r="O9739" t="str">
            <v/>
          </cell>
          <cell r="P9739" t="str">
            <v/>
          </cell>
          <cell r="Q9739" t="str">
            <v/>
          </cell>
          <cell r="S9739" t="str">
            <v/>
          </cell>
          <cell r="V9739" t="str">
            <v/>
          </cell>
          <cell r="Z9739" t="str">
            <v/>
          </cell>
          <cell r="AA9739" t="str">
            <v/>
          </cell>
          <cell r="AB9739" t="str">
            <v/>
          </cell>
          <cell r="AC9739" t="str">
            <v/>
          </cell>
          <cell r="AD9739" t="str">
            <v/>
          </cell>
          <cell r="AY9739" t="str">
            <v/>
          </cell>
          <cell r="AZ9739" t="str">
            <v/>
          </cell>
          <cell r="BA9739" t="str">
            <v/>
          </cell>
        </row>
        <row r="9740">
          <cell r="B9740" t="str">
            <v>-</v>
          </cell>
          <cell r="E9740" t="str">
            <v/>
          </cell>
          <cell r="G9740" t="str">
            <v/>
          </cell>
          <cell r="J9740" t="str">
            <v/>
          </cell>
          <cell r="O9740" t="str">
            <v/>
          </cell>
          <cell r="P9740" t="str">
            <v/>
          </cell>
          <cell r="Q9740" t="str">
            <v/>
          </cell>
          <cell r="S9740" t="str">
            <v/>
          </cell>
          <cell r="V9740" t="str">
            <v/>
          </cell>
          <cell r="Z9740" t="str">
            <v/>
          </cell>
          <cell r="AA9740" t="str">
            <v/>
          </cell>
          <cell r="AB9740" t="str">
            <v/>
          </cell>
          <cell r="AC9740" t="str">
            <v/>
          </cell>
          <cell r="AD9740" t="str">
            <v/>
          </cell>
          <cell r="AY9740" t="str">
            <v/>
          </cell>
          <cell r="AZ9740" t="str">
            <v/>
          </cell>
          <cell r="BA9740" t="str">
            <v/>
          </cell>
        </row>
        <row r="9741">
          <cell r="B9741" t="str">
            <v>-</v>
          </cell>
          <cell r="E9741" t="str">
            <v/>
          </cell>
          <cell r="G9741" t="str">
            <v/>
          </cell>
          <cell r="J9741" t="str">
            <v/>
          </cell>
          <cell r="O9741" t="str">
            <v/>
          </cell>
          <cell r="P9741" t="str">
            <v/>
          </cell>
          <cell r="Q9741" t="str">
            <v/>
          </cell>
          <cell r="S9741" t="str">
            <v/>
          </cell>
          <cell r="V9741" t="str">
            <v/>
          </cell>
          <cell r="Z9741" t="str">
            <v/>
          </cell>
          <cell r="AA9741" t="str">
            <v/>
          </cell>
          <cell r="AB9741" t="str">
            <v/>
          </cell>
          <cell r="AC9741" t="str">
            <v/>
          </cell>
          <cell r="AD9741" t="str">
            <v/>
          </cell>
          <cell r="AY9741" t="str">
            <v/>
          </cell>
          <cell r="AZ9741" t="str">
            <v/>
          </cell>
          <cell r="BA9741" t="str">
            <v/>
          </cell>
        </row>
        <row r="9742">
          <cell r="B9742" t="str">
            <v>-</v>
          </cell>
          <cell r="E9742" t="str">
            <v/>
          </cell>
          <cell r="G9742" t="str">
            <v/>
          </cell>
          <cell r="J9742" t="str">
            <v/>
          </cell>
          <cell r="O9742" t="str">
            <v/>
          </cell>
          <cell r="P9742" t="str">
            <v/>
          </cell>
          <cell r="Q9742" t="str">
            <v/>
          </cell>
          <cell r="S9742" t="str">
            <v/>
          </cell>
          <cell r="V9742" t="str">
            <v/>
          </cell>
          <cell r="Z9742" t="str">
            <v/>
          </cell>
          <cell r="AA9742" t="str">
            <v/>
          </cell>
          <cell r="AB9742" t="str">
            <v/>
          </cell>
          <cell r="AC9742" t="str">
            <v/>
          </cell>
          <cell r="AD9742" t="str">
            <v/>
          </cell>
          <cell r="AY9742" t="str">
            <v/>
          </cell>
          <cell r="AZ9742" t="str">
            <v/>
          </cell>
          <cell r="BA9742" t="str">
            <v/>
          </cell>
        </row>
        <row r="9743">
          <cell r="B9743" t="str">
            <v>-</v>
          </cell>
          <cell r="E9743" t="str">
            <v/>
          </cell>
          <cell r="G9743" t="str">
            <v/>
          </cell>
          <cell r="J9743" t="str">
            <v/>
          </cell>
          <cell r="O9743" t="str">
            <v/>
          </cell>
          <cell r="P9743" t="str">
            <v/>
          </cell>
          <cell r="Q9743" t="str">
            <v/>
          </cell>
          <cell r="S9743" t="str">
            <v/>
          </cell>
          <cell r="V9743" t="str">
            <v/>
          </cell>
          <cell r="Z9743" t="str">
            <v/>
          </cell>
          <cell r="AA9743" t="str">
            <v/>
          </cell>
          <cell r="AB9743" t="str">
            <v/>
          </cell>
          <cell r="AC9743" t="str">
            <v/>
          </cell>
          <cell r="AD9743" t="str">
            <v/>
          </cell>
          <cell r="AY9743" t="str">
            <v/>
          </cell>
          <cell r="AZ9743" t="str">
            <v/>
          </cell>
          <cell r="BA9743" t="str">
            <v/>
          </cell>
        </row>
        <row r="9744">
          <cell r="B9744" t="str">
            <v>-</v>
          </cell>
          <cell r="E9744" t="str">
            <v/>
          </cell>
          <cell r="G9744" t="str">
            <v/>
          </cell>
          <cell r="J9744" t="str">
            <v/>
          </cell>
          <cell r="O9744" t="str">
            <v/>
          </cell>
          <cell r="P9744" t="str">
            <v/>
          </cell>
          <cell r="Q9744" t="str">
            <v/>
          </cell>
          <cell r="S9744" t="str">
            <v/>
          </cell>
          <cell r="V9744" t="str">
            <v/>
          </cell>
          <cell r="Z9744" t="str">
            <v/>
          </cell>
          <cell r="AA9744" t="str">
            <v/>
          </cell>
          <cell r="AB9744" t="str">
            <v/>
          </cell>
          <cell r="AC9744" t="str">
            <v/>
          </cell>
          <cell r="AD9744" t="str">
            <v/>
          </cell>
          <cell r="AY9744" t="str">
            <v/>
          </cell>
          <cell r="AZ9744" t="str">
            <v/>
          </cell>
          <cell r="BA9744" t="str">
            <v/>
          </cell>
        </row>
        <row r="9745">
          <cell r="B9745" t="str">
            <v>-</v>
          </cell>
          <cell r="E9745" t="str">
            <v/>
          </cell>
          <cell r="G9745" t="str">
            <v/>
          </cell>
          <cell r="J9745" t="str">
            <v/>
          </cell>
          <cell r="O9745" t="str">
            <v/>
          </cell>
          <cell r="P9745" t="str">
            <v/>
          </cell>
          <cell r="Q9745" t="str">
            <v/>
          </cell>
          <cell r="S9745" t="str">
            <v/>
          </cell>
          <cell r="V9745" t="str">
            <v/>
          </cell>
          <cell r="Z9745" t="str">
            <v/>
          </cell>
          <cell r="AA9745" t="str">
            <v/>
          </cell>
          <cell r="AB9745" t="str">
            <v/>
          </cell>
          <cell r="AC9745" t="str">
            <v/>
          </cell>
          <cell r="AD9745" t="str">
            <v/>
          </cell>
          <cell r="AY9745" t="str">
            <v/>
          </cell>
          <cell r="AZ9745" t="str">
            <v/>
          </cell>
          <cell r="BA9745" t="str">
            <v/>
          </cell>
        </row>
        <row r="9746">
          <cell r="B9746" t="str">
            <v>-</v>
          </cell>
          <cell r="E9746" t="str">
            <v/>
          </cell>
          <cell r="G9746" t="str">
            <v/>
          </cell>
          <cell r="J9746" t="str">
            <v/>
          </cell>
          <cell r="O9746" t="str">
            <v/>
          </cell>
          <cell r="P9746" t="str">
            <v/>
          </cell>
          <cell r="Q9746" t="str">
            <v/>
          </cell>
          <cell r="S9746" t="str">
            <v/>
          </cell>
          <cell r="V9746" t="str">
            <v/>
          </cell>
          <cell r="Z9746" t="str">
            <v/>
          </cell>
          <cell r="AA9746" t="str">
            <v/>
          </cell>
          <cell r="AB9746" t="str">
            <v/>
          </cell>
          <cell r="AC9746" t="str">
            <v/>
          </cell>
          <cell r="AD9746" t="str">
            <v/>
          </cell>
          <cell r="AY9746" t="str">
            <v/>
          </cell>
          <cell r="AZ9746" t="str">
            <v/>
          </cell>
          <cell r="BA9746" t="str">
            <v/>
          </cell>
        </row>
        <row r="9747">
          <cell r="B9747" t="str">
            <v>-</v>
          </cell>
          <cell r="E9747" t="str">
            <v/>
          </cell>
          <cell r="G9747" t="str">
            <v/>
          </cell>
          <cell r="J9747" t="str">
            <v/>
          </cell>
          <cell r="O9747" t="str">
            <v/>
          </cell>
          <cell r="P9747" t="str">
            <v/>
          </cell>
          <cell r="Q9747" t="str">
            <v/>
          </cell>
          <cell r="S9747" t="str">
            <v/>
          </cell>
          <cell r="V9747" t="str">
            <v/>
          </cell>
          <cell r="Z9747" t="str">
            <v/>
          </cell>
          <cell r="AA9747" t="str">
            <v/>
          </cell>
          <cell r="AB9747" t="str">
            <v/>
          </cell>
          <cell r="AC9747" t="str">
            <v/>
          </cell>
          <cell r="AD9747" t="str">
            <v/>
          </cell>
          <cell r="AY9747" t="str">
            <v/>
          </cell>
          <cell r="AZ9747" t="str">
            <v/>
          </cell>
          <cell r="BA9747" t="str">
            <v/>
          </cell>
        </row>
        <row r="9748">
          <cell r="B9748" t="str">
            <v>-</v>
          </cell>
          <cell r="E9748" t="str">
            <v/>
          </cell>
          <cell r="G9748" t="str">
            <v/>
          </cell>
          <cell r="J9748" t="str">
            <v/>
          </cell>
          <cell r="O9748" t="str">
            <v/>
          </cell>
          <cell r="P9748" t="str">
            <v/>
          </cell>
          <cell r="Q9748" t="str">
            <v/>
          </cell>
          <cell r="S9748" t="str">
            <v/>
          </cell>
          <cell r="V9748" t="str">
            <v/>
          </cell>
          <cell r="Z9748" t="str">
            <v/>
          </cell>
          <cell r="AA9748" t="str">
            <v/>
          </cell>
          <cell r="AB9748" t="str">
            <v/>
          </cell>
          <cell r="AC9748" t="str">
            <v/>
          </cell>
          <cell r="AD9748" t="str">
            <v/>
          </cell>
          <cell r="AY9748" t="str">
            <v/>
          </cell>
          <cell r="AZ9748" t="str">
            <v/>
          </cell>
          <cell r="BA9748" t="str">
            <v/>
          </cell>
        </row>
        <row r="9749">
          <cell r="B9749" t="str">
            <v>-</v>
          </cell>
          <cell r="E9749" t="str">
            <v/>
          </cell>
          <cell r="G9749" t="str">
            <v/>
          </cell>
          <cell r="J9749" t="str">
            <v/>
          </cell>
          <cell r="O9749" t="str">
            <v/>
          </cell>
          <cell r="P9749" t="str">
            <v/>
          </cell>
          <cell r="Q9749" t="str">
            <v/>
          </cell>
          <cell r="S9749" t="str">
            <v/>
          </cell>
          <cell r="V9749" t="str">
            <v/>
          </cell>
          <cell r="Z9749" t="str">
            <v/>
          </cell>
          <cell r="AA9749" t="str">
            <v/>
          </cell>
          <cell r="AB9749" t="str">
            <v/>
          </cell>
          <cell r="AC9749" t="str">
            <v/>
          </cell>
          <cell r="AD9749" t="str">
            <v/>
          </cell>
          <cell r="AY9749" t="str">
            <v/>
          </cell>
          <cell r="AZ9749" t="str">
            <v/>
          </cell>
          <cell r="BA9749" t="str">
            <v/>
          </cell>
        </row>
        <row r="9750">
          <cell r="B9750" t="str">
            <v>-</v>
          </cell>
          <cell r="E9750" t="str">
            <v/>
          </cell>
          <cell r="G9750" t="str">
            <v/>
          </cell>
          <cell r="J9750" t="str">
            <v/>
          </cell>
          <cell r="O9750" t="str">
            <v/>
          </cell>
          <cell r="P9750" t="str">
            <v/>
          </cell>
          <cell r="Q9750" t="str">
            <v/>
          </cell>
          <cell r="S9750" t="str">
            <v/>
          </cell>
          <cell r="V9750" t="str">
            <v/>
          </cell>
          <cell r="Z9750" t="str">
            <v/>
          </cell>
          <cell r="AA9750" t="str">
            <v/>
          </cell>
          <cell r="AB9750" t="str">
            <v/>
          </cell>
          <cell r="AC9750" t="str">
            <v/>
          </cell>
          <cell r="AD9750" t="str">
            <v/>
          </cell>
          <cell r="AY9750" t="str">
            <v/>
          </cell>
          <cell r="AZ9750" t="str">
            <v/>
          </cell>
          <cell r="BA9750" t="str">
            <v/>
          </cell>
        </row>
        <row r="9751">
          <cell r="B9751" t="str">
            <v>-</v>
          </cell>
          <cell r="E9751" t="str">
            <v/>
          </cell>
          <cell r="G9751" t="str">
            <v/>
          </cell>
          <cell r="J9751" t="str">
            <v/>
          </cell>
          <cell r="O9751" t="str">
            <v/>
          </cell>
          <cell r="P9751" t="str">
            <v/>
          </cell>
          <cell r="Q9751" t="str">
            <v/>
          </cell>
          <cell r="S9751" t="str">
            <v/>
          </cell>
          <cell r="V9751" t="str">
            <v/>
          </cell>
          <cell r="Z9751" t="str">
            <v/>
          </cell>
          <cell r="AA9751" t="str">
            <v/>
          </cell>
          <cell r="AB9751" t="str">
            <v/>
          </cell>
          <cell r="AC9751" t="str">
            <v/>
          </cell>
          <cell r="AD9751" t="str">
            <v/>
          </cell>
          <cell r="AY9751" t="str">
            <v/>
          </cell>
          <cell r="AZ9751" t="str">
            <v/>
          </cell>
          <cell r="BA9751" t="str">
            <v/>
          </cell>
        </row>
        <row r="9752">
          <cell r="B9752" t="str">
            <v>-</v>
          </cell>
          <cell r="E9752" t="str">
            <v/>
          </cell>
          <cell r="G9752" t="str">
            <v/>
          </cell>
          <cell r="J9752" t="str">
            <v/>
          </cell>
          <cell r="O9752" t="str">
            <v/>
          </cell>
          <cell r="P9752" t="str">
            <v/>
          </cell>
          <cell r="Q9752" t="str">
            <v/>
          </cell>
          <cell r="S9752" t="str">
            <v/>
          </cell>
          <cell r="V9752" t="str">
            <v/>
          </cell>
          <cell r="Z9752" t="str">
            <v/>
          </cell>
          <cell r="AA9752" t="str">
            <v/>
          </cell>
          <cell r="AB9752" t="str">
            <v/>
          </cell>
          <cell r="AC9752" t="str">
            <v/>
          </cell>
          <cell r="AD9752" t="str">
            <v/>
          </cell>
          <cell r="AY9752" t="str">
            <v/>
          </cell>
          <cell r="AZ9752" t="str">
            <v/>
          </cell>
          <cell r="BA9752" t="str">
            <v/>
          </cell>
        </row>
        <row r="9753">
          <cell r="B9753" t="str">
            <v>-</v>
          </cell>
          <cell r="E9753" t="str">
            <v/>
          </cell>
          <cell r="G9753" t="str">
            <v/>
          </cell>
          <cell r="J9753" t="str">
            <v/>
          </cell>
          <cell r="O9753" t="str">
            <v/>
          </cell>
          <cell r="P9753" t="str">
            <v/>
          </cell>
          <cell r="Q9753" t="str">
            <v/>
          </cell>
          <cell r="S9753" t="str">
            <v/>
          </cell>
          <cell r="V9753" t="str">
            <v/>
          </cell>
          <cell r="Z9753" t="str">
            <v/>
          </cell>
          <cell r="AA9753" t="str">
            <v/>
          </cell>
          <cell r="AB9753" t="str">
            <v/>
          </cell>
          <cell r="AC9753" t="str">
            <v/>
          </cell>
          <cell r="AD9753" t="str">
            <v/>
          </cell>
          <cell r="AY9753" t="str">
            <v/>
          </cell>
          <cell r="AZ9753" t="str">
            <v/>
          </cell>
          <cell r="BA9753" t="str">
            <v/>
          </cell>
        </row>
        <row r="9754">
          <cell r="B9754" t="str">
            <v>-</v>
          </cell>
          <cell r="E9754" t="str">
            <v/>
          </cell>
          <cell r="G9754" t="str">
            <v/>
          </cell>
          <cell r="J9754" t="str">
            <v/>
          </cell>
          <cell r="O9754" t="str">
            <v/>
          </cell>
          <cell r="P9754" t="str">
            <v/>
          </cell>
          <cell r="Q9754" t="str">
            <v/>
          </cell>
          <cell r="S9754" t="str">
            <v/>
          </cell>
          <cell r="V9754" t="str">
            <v/>
          </cell>
          <cell r="Z9754" t="str">
            <v/>
          </cell>
          <cell r="AA9754" t="str">
            <v/>
          </cell>
          <cell r="AB9754" t="str">
            <v/>
          </cell>
          <cell r="AC9754" t="str">
            <v/>
          </cell>
          <cell r="AD9754" t="str">
            <v/>
          </cell>
          <cell r="AY9754" t="str">
            <v/>
          </cell>
          <cell r="AZ9754" t="str">
            <v/>
          </cell>
          <cell r="BA9754" t="str">
            <v/>
          </cell>
        </row>
        <row r="9755">
          <cell r="B9755" t="str">
            <v>-</v>
          </cell>
          <cell r="E9755" t="str">
            <v/>
          </cell>
          <cell r="G9755" t="str">
            <v/>
          </cell>
          <cell r="J9755" t="str">
            <v/>
          </cell>
          <cell r="O9755" t="str">
            <v/>
          </cell>
          <cell r="P9755" t="str">
            <v/>
          </cell>
          <cell r="Q9755" t="str">
            <v/>
          </cell>
          <cell r="S9755" t="str">
            <v/>
          </cell>
          <cell r="V9755" t="str">
            <v/>
          </cell>
          <cell r="Z9755" t="str">
            <v/>
          </cell>
          <cell r="AA9755" t="str">
            <v/>
          </cell>
          <cell r="AB9755" t="str">
            <v/>
          </cell>
          <cell r="AC9755" t="str">
            <v/>
          </cell>
          <cell r="AD9755" t="str">
            <v/>
          </cell>
          <cell r="AY9755" t="str">
            <v/>
          </cell>
          <cell r="AZ9755" t="str">
            <v/>
          </cell>
          <cell r="BA9755" t="str">
            <v/>
          </cell>
        </row>
        <row r="9756">
          <cell r="B9756" t="str">
            <v>-</v>
          </cell>
          <cell r="E9756" t="str">
            <v/>
          </cell>
          <cell r="G9756" t="str">
            <v/>
          </cell>
          <cell r="J9756" t="str">
            <v/>
          </cell>
          <cell r="O9756" t="str">
            <v/>
          </cell>
          <cell r="P9756" t="str">
            <v/>
          </cell>
          <cell r="Q9756" t="str">
            <v/>
          </cell>
          <cell r="S9756" t="str">
            <v/>
          </cell>
          <cell r="V9756" t="str">
            <v/>
          </cell>
          <cell r="Z9756" t="str">
            <v/>
          </cell>
          <cell r="AA9756" t="str">
            <v/>
          </cell>
          <cell r="AB9756" t="str">
            <v/>
          </cell>
          <cell r="AC9756" t="str">
            <v/>
          </cell>
          <cell r="AD9756" t="str">
            <v/>
          </cell>
          <cell r="AY9756" t="str">
            <v/>
          </cell>
          <cell r="AZ9756" t="str">
            <v/>
          </cell>
          <cell r="BA9756" t="str">
            <v/>
          </cell>
        </row>
        <row r="9757">
          <cell r="B9757" t="str">
            <v>-</v>
          </cell>
          <cell r="E9757" t="str">
            <v/>
          </cell>
          <cell r="G9757" t="str">
            <v/>
          </cell>
          <cell r="J9757" t="str">
            <v/>
          </cell>
          <cell r="O9757" t="str">
            <v/>
          </cell>
          <cell r="P9757" t="str">
            <v/>
          </cell>
          <cell r="Q9757" t="str">
            <v/>
          </cell>
          <cell r="S9757" t="str">
            <v/>
          </cell>
          <cell r="V9757" t="str">
            <v/>
          </cell>
          <cell r="Z9757" t="str">
            <v/>
          </cell>
          <cell r="AA9757" t="str">
            <v/>
          </cell>
          <cell r="AB9757" t="str">
            <v/>
          </cell>
          <cell r="AC9757" t="str">
            <v/>
          </cell>
          <cell r="AD9757" t="str">
            <v/>
          </cell>
          <cell r="AY9757" t="str">
            <v/>
          </cell>
          <cell r="AZ9757" t="str">
            <v/>
          </cell>
          <cell r="BA9757" t="str">
            <v/>
          </cell>
        </row>
        <row r="9758">
          <cell r="B9758" t="str">
            <v>-</v>
          </cell>
          <cell r="E9758" t="str">
            <v/>
          </cell>
          <cell r="G9758" t="str">
            <v/>
          </cell>
          <cell r="J9758" t="str">
            <v/>
          </cell>
          <cell r="O9758" t="str">
            <v/>
          </cell>
          <cell r="P9758" t="str">
            <v/>
          </cell>
          <cell r="Q9758" t="str">
            <v/>
          </cell>
          <cell r="S9758" t="str">
            <v/>
          </cell>
          <cell r="V9758" t="str">
            <v/>
          </cell>
          <cell r="Z9758" t="str">
            <v/>
          </cell>
          <cell r="AA9758" t="str">
            <v/>
          </cell>
          <cell r="AB9758" t="str">
            <v/>
          </cell>
          <cell r="AC9758" t="str">
            <v/>
          </cell>
          <cell r="AD9758" t="str">
            <v/>
          </cell>
          <cell r="AY9758" t="str">
            <v/>
          </cell>
          <cell r="AZ9758" t="str">
            <v/>
          </cell>
          <cell r="BA9758" t="str">
            <v/>
          </cell>
        </row>
        <row r="9759">
          <cell r="B9759" t="str">
            <v>-</v>
          </cell>
          <cell r="E9759" t="str">
            <v/>
          </cell>
          <cell r="G9759" t="str">
            <v/>
          </cell>
          <cell r="J9759" t="str">
            <v/>
          </cell>
          <cell r="O9759" t="str">
            <v/>
          </cell>
          <cell r="P9759" t="str">
            <v/>
          </cell>
          <cell r="Q9759" t="str">
            <v/>
          </cell>
          <cell r="S9759" t="str">
            <v/>
          </cell>
          <cell r="V9759" t="str">
            <v/>
          </cell>
          <cell r="Z9759" t="str">
            <v/>
          </cell>
          <cell r="AA9759" t="str">
            <v/>
          </cell>
          <cell r="AB9759" t="str">
            <v/>
          </cell>
          <cell r="AC9759" t="str">
            <v/>
          </cell>
          <cell r="AD9759" t="str">
            <v/>
          </cell>
          <cell r="AY9759" t="str">
            <v/>
          </cell>
          <cell r="AZ9759" t="str">
            <v/>
          </cell>
          <cell r="BA9759" t="str">
            <v/>
          </cell>
        </row>
        <row r="9760">
          <cell r="B9760" t="str">
            <v>-</v>
          </cell>
          <cell r="E9760" t="str">
            <v/>
          </cell>
          <cell r="G9760" t="str">
            <v/>
          </cell>
          <cell r="J9760" t="str">
            <v/>
          </cell>
          <cell r="O9760" t="str">
            <v/>
          </cell>
          <cell r="P9760" t="str">
            <v/>
          </cell>
          <cell r="Q9760" t="str">
            <v/>
          </cell>
          <cell r="S9760" t="str">
            <v/>
          </cell>
          <cell r="V9760" t="str">
            <v/>
          </cell>
          <cell r="Z9760" t="str">
            <v/>
          </cell>
          <cell r="AA9760" t="str">
            <v/>
          </cell>
          <cell r="AB9760" t="str">
            <v/>
          </cell>
          <cell r="AC9760" t="str">
            <v/>
          </cell>
          <cell r="AD9760" t="str">
            <v/>
          </cell>
          <cell r="AY9760" t="str">
            <v/>
          </cell>
          <cell r="AZ9760" t="str">
            <v/>
          </cell>
          <cell r="BA9760" t="str">
            <v/>
          </cell>
        </row>
        <row r="9761">
          <cell r="B9761" t="str">
            <v>-</v>
          </cell>
          <cell r="E9761" t="str">
            <v/>
          </cell>
          <cell r="G9761" t="str">
            <v/>
          </cell>
          <cell r="J9761" t="str">
            <v/>
          </cell>
          <cell r="O9761" t="str">
            <v/>
          </cell>
          <cell r="P9761" t="str">
            <v/>
          </cell>
          <cell r="Q9761" t="str">
            <v/>
          </cell>
          <cell r="S9761" t="str">
            <v/>
          </cell>
          <cell r="V9761" t="str">
            <v/>
          </cell>
          <cell r="Z9761" t="str">
            <v/>
          </cell>
          <cell r="AA9761" t="str">
            <v/>
          </cell>
          <cell r="AB9761" t="str">
            <v/>
          </cell>
          <cell r="AC9761" t="str">
            <v/>
          </cell>
          <cell r="AD9761" t="str">
            <v/>
          </cell>
          <cell r="AY9761" t="str">
            <v/>
          </cell>
          <cell r="AZ9761" t="str">
            <v/>
          </cell>
          <cell r="BA9761" t="str">
            <v/>
          </cell>
        </row>
        <row r="9762">
          <cell r="B9762" t="str">
            <v>-</v>
          </cell>
          <cell r="E9762" t="str">
            <v/>
          </cell>
          <cell r="G9762" t="str">
            <v/>
          </cell>
          <cell r="J9762" t="str">
            <v/>
          </cell>
          <cell r="O9762" t="str">
            <v/>
          </cell>
          <cell r="P9762" t="str">
            <v/>
          </cell>
          <cell r="Q9762" t="str">
            <v/>
          </cell>
          <cell r="S9762" t="str">
            <v/>
          </cell>
          <cell r="V9762" t="str">
            <v/>
          </cell>
          <cell r="Z9762" t="str">
            <v/>
          </cell>
          <cell r="AA9762" t="str">
            <v/>
          </cell>
          <cell r="AB9762" t="str">
            <v/>
          </cell>
          <cell r="AC9762" t="str">
            <v/>
          </cell>
          <cell r="AD9762" t="str">
            <v/>
          </cell>
          <cell r="AY9762" t="str">
            <v/>
          </cell>
          <cell r="AZ9762" t="str">
            <v/>
          </cell>
          <cell r="BA9762" t="str">
            <v/>
          </cell>
        </row>
        <row r="9763">
          <cell r="B9763" t="str">
            <v>-</v>
          </cell>
          <cell r="E9763" t="str">
            <v/>
          </cell>
          <cell r="G9763" t="str">
            <v/>
          </cell>
          <cell r="J9763" t="str">
            <v/>
          </cell>
          <cell r="O9763" t="str">
            <v/>
          </cell>
          <cell r="P9763" t="str">
            <v/>
          </cell>
          <cell r="Q9763" t="str">
            <v/>
          </cell>
          <cell r="S9763" t="str">
            <v/>
          </cell>
          <cell r="V9763" t="str">
            <v/>
          </cell>
          <cell r="Z9763" t="str">
            <v/>
          </cell>
          <cell r="AA9763" t="str">
            <v/>
          </cell>
          <cell r="AB9763" t="str">
            <v/>
          </cell>
          <cell r="AC9763" t="str">
            <v/>
          </cell>
          <cell r="AD9763" t="str">
            <v/>
          </cell>
          <cell r="AY9763" t="str">
            <v/>
          </cell>
          <cell r="AZ9763" t="str">
            <v/>
          </cell>
          <cell r="BA9763" t="str">
            <v/>
          </cell>
        </row>
        <row r="9764">
          <cell r="B9764" t="str">
            <v>-</v>
          </cell>
          <cell r="E9764" t="str">
            <v/>
          </cell>
          <cell r="G9764" t="str">
            <v/>
          </cell>
          <cell r="J9764" t="str">
            <v/>
          </cell>
          <cell r="O9764" t="str">
            <v/>
          </cell>
          <cell r="P9764" t="str">
            <v/>
          </cell>
          <cell r="Q9764" t="str">
            <v/>
          </cell>
          <cell r="S9764" t="str">
            <v/>
          </cell>
          <cell r="V9764" t="str">
            <v/>
          </cell>
          <cell r="Z9764" t="str">
            <v/>
          </cell>
          <cell r="AA9764" t="str">
            <v/>
          </cell>
          <cell r="AB9764" t="str">
            <v/>
          </cell>
          <cell r="AC9764" t="str">
            <v/>
          </cell>
          <cell r="AD9764" t="str">
            <v/>
          </cell>
          <cell r="AY9764" t="str">
            <v/>
          </cell>
          <cell r="AZ9764" t="str">
            <v/>
          </cell>
          <cell r="BA9764" t="str">
            <v/>
          </cell>
        </row>
        <row r="9765">
          <cell r="B9765" t="str">
            <v>-</v>
          </cell>
          <cell r="E9765" t="str">
            <v/>
          </cell>
          <cell r="G9765" t="str">
            <v/>
          </cell>
          <cell r="J9765" t="str">
            <v/>
          </cell>
          <cell r="O9765" t="str">
            <v/>
          </cell>
          <cell r="P9765" t="str">
            <v/>
          </cell>
          <cell r="Q9765" t="str">
            <v/>
          </cell>
          <cell r="S9765" t="str">
            <v/>
          </cell>
          <cell r="V9765" t="str">
            <v/>
          </cell>
          <cell r="Z9765" t="str">
            <v/>
          </cell>
          <cell r="AA9765" t="str">
            <v/>
          </cell>
          <cell r="AB9765" t="str">
            <v/>
          </cell>
          <cell r="AC9765" t="str">
            <v/>
          </cell>
          <cell r="AD9765" t="str">
            <v/>
          </cell>
          <cell r="AY9765" t="str">
            <v/>
          </cell>
          <cell r="AZ9765" t="str">
            <v/>
          </cell>
          <cell r="BA9765" t="str">
            <v/>
          </cell>
        </row>
        <row r="9766">
          <cell r="B9766" t="str">
            <v>-</v>
          </cell>
          <cell r="E9766" t="str">
            <v/>
          </cell>
          <cell r="G9766" t="str">
            <v/>
          </cell>
          <cell r="J9766" t="str">
            <v/>
          </cell>
          <cell r="O9766" t="str">
            <v/>
          </cell>
          <cell r="P9766" t="str">
            <v/>
          </cell>
          <cell r="Q9766" t="str">
            <v/>
          </cell>
          <cell r="S9766" t="str">
            <v/>
          </cell>
          <cell r="V9766" t="str">
            <v/>
          </cell>
          <cell r="Z9766" t="str">
            <v/>
          </cell>
          <cell r="AA9766" t="str">
            <v/>
          </cell>
          <cell r="AB9766" t="str">
            <v/>
          </cell>
          <cell r="AC9766" t="str">
            <v/>
          </cell>
          <cell r="AD9766" t="str">
            <v/>
          </cell>
          <cell r="AY9766" t="str">
            <v/>
          </cell>
          <cell r="AZ9766" t="str">
            <v/>
          </cell>
          <cell r="BA9766" t="str">
            <v/>
          </cell>
        </row>
        <row r="9767">
          <cell r="B9767" t="str">
            <v>-</v>
          </cell>
          <cell r="E9767" t="str">
            <v/>
          </cell>
          <cell r="G9767" t="str">
            <v/>
          </cell>
          <cell r="J9767" t="str">
            <v/>
          </cell>
          <cell r="O9767" t="str">
            <v/>
          </cell>
          <cell r="P9767" t="str">
            <v/>
          </cell>
          <cell r="Q9767" t="str">
            <v/>
          </cell>
          <cell r="S9767" t="str">
            <v/>
          </cell>
          <cell r="V9767" t="str">
            <v/>
          </cell>
          <cell r="Z9767" t="str">
            <v/>
          </cell>
          <cell r="AA9767" t="str">
            <v/>
          </cell>
          <cell r="AB9767" t="str">
            <v/>
          </cell>
          <cell r="AC9767" t="str">
            <v/>
          </cell>
          <cell r="AD9767" t="str">
            <v/>
          </cell>
          <cell r="AY9767" t="str">
            <v/>
          </cell>
          <cell r="AZ9767" t="str">
            <v/>
          </cell>
          <cell r="BA9767" t="str">
            <v/>
          </cell>
        </row>
        <row r="9768">
          <cell r="B9768" t="str">
            <v>-</v>
          </cell>
          <cell r="E9768" t="str">
            <v/>
          </cell>
          <cell r="G9768" t="str">
            <v/>
          </cell>
          <cell r="J9768" t="str">
            <v/>
          </cell>
          <cell r="O9768" t="str">
            <v/>
          </cell>
          <cell r="P9768" t="str">
            <v/>
          </cell>
          <cell r="Q9768" t="str">
            <v/>
          </cell>
          <cell r="S9768" t="str">
            <v/>
          </cell>
          <cell r="V9768" t="str">
            <v/>
          </cell>
          <cell r="Z9768" t="str">
            <v/>
          </cell>
          <cell r="AA9768" t="str">
            <v/>
          </cell>
          <cell r="AB9768" t="str">
            <v/>
          </cell>
          <cell r="AC9768" t="str">
            <v/>
          </cell>
          <cell r="AD9768" t="str">
            <v/>
          </cell>
          <cell r="AY9768" t="str">
            <v/>
          </cell>
          <cell r="AZ9768" t="str">
            <v/>
          </cell>
          <cell r="BA9768" t="str">
            <v/>
          </cell>
        </row>
        <row r="9769">
          <cell r="B9769" t="str">
            <v>-</v>
          </cell>
          <cell r="E9769" t="str">
            <v/>
          </cell>
          <cell r="G9769" t="str">
            <v/>
          </cell>
          <cell r="J9769" t="str">
            <v/>
          </cell>
          <cell r="O9769" t="str">
            <v/>
          </cell>
          <cell r="P9769" t="str">
            <v/>
          </cell>
          <cell r="Q9769" t="str">
            <v/>
          </cell>
          <cell r="S9769" t="str">
            <v/>
          </cell>
          <cell r="V9769" t="str">
            <v/>
          </cell>
          <cell r="Z9769" t="str">
            <v/>
          </cell>
          <cell r="AA9769" t="str">
            <v/>
          </cell>
          <cell r="AB9769" t="str">
            <v/>
          </cell>
          <cell r="AC9769" t="str">
            <v/>
          </cell>
          <cell r="AD9769" t="str">
            <v/>
          </cell>
          <cell r="AY9769" t="str">
            <v/>
          </cell>
          <cell r="AZ9769" t="str">
            <v/>
          </cell>
          <cell r="BA9769" t="str">
            <v/>
          </cell>
        </row>
        <row r="9770">
          <cell r="B9770" t="str">
            <v>-</v>
          </cell>
          <cell r="E9770" t="str">
            <v/>
          </cell>
          <cell r="G9770" t="str">
            <v/>
          </cell>
          <cell r="J9770" t="str">
            <v/>
          </cell>
          <cell r="O9770" t="str">
            <v/>
          </cell>
          <cell r="P9770" t="str">
            <v/>
          </cell>
          <cell r="Q9770" t="str">
            <v/>
          </cell>
          <cell r="S9770" t="str">
            <v/>
          </cell>
          <cell r="V9770" t="str">
            <v/>
          </cell>
          <cell r="Z9770" t="str">
            <v/>
          </cell>
          <cell r="AA9770" t="str">
            <v/>
          </cell>
          <cell r="AB9770" t="str">
            <v/>
          </cell>
          <cell r="AC9770" t="str">
            <v/>
          </cell>
          <cell r="AD9770" t="str">
            <v/>
          </cell>
          <cell r="AY9770" t="str">
            <v/>
          </cell>
          <cell r="AZ9770" t="str">
            <v/>
          </cell>
          <cell r="BA9770" t="str">
            <v/>
          </cell>
        </row>
        <row r="9771">
          <cell r="B9771" t="str">
            <v>-</v>
          </cell>
          <cell r="E9771" t="str">
            <v/>
          </cell>
          <cell r="G9771" t="str">
            <v/>
          </cell>
          <cell r="J9771" t="str">
            <v/>
          </cell>
          <cell r="O9771" t="str">
            <v/>
          </cell>
          <cell r="P9771" t="str">
            <v/>
          </cell>
          <cell r="Q9771" t="str">
            <v/>
          </cell>
          <cell r="S9771" t="str">
            <v/>
          </cell>
          <cell r="V9771" t="str">
            <v/>
          </cell>
          <cell r="Z9771" t="str">
            <v/>
          </cell>
          <cell r="AA9771" t="str">
            <v/>
          </cell>
          <cell r="AB9771" t="str">
            <v/>
          </cell>
          <cell r="AC9771" t="str">
            <v/>
          </cell>
          <cell r="AD9771" t="str">
            <v/>
          </cell>
          <cell r="AY9771" t="str">
            <v/>
          </cell>
          <cell r="AZ9771" t="str">
            <v/>
          </cell>
          <cell r="BA9771" t="str">
            <v/>
          </cell>
        </row>
        <row r="9772">
          <cell r="B9772" t="str">
            <v>-</v>
          </cell>
          <cell r="E9772" t="str">
            <v/>
          </cell>
          <cell r="G9772" t="str">
            <v/>
          </cell>
          <cell r="J9772" t="str">
            <v/>
          </cell>
          <cell r="O9772" t="str">
            <v/>
          </cell>
          <cell r="P9772" t="str">
            <v/>
          </cell>
          <cell r="Q9772" t="str">
            <v/>
          </cell>
          <cell r="S9772" t="str">
            <v/>
          </cell>
          <cell r="V9772" t="str">
            <v/>
          </cell>
          <cell r="Z9772" t="str">
            <v/>
          </cell>
          <cell r="AA9772" t="str">
            <v/>
          </cell>
          <cell r="AB9772" t="str">
            <v/>
          </cell>
          <cell r="AC9772" t="str">
            <v/>
          </cell>
          <cell r="AD9772" t="str">
            <v/>
          </cell>
          <cell r="AY9772" t="str">
            <v/>
          </cell>
          <cell r="AZ9772" t="str">
            <v/>
          </cell>
          <cell r="BA9772" t="str">
            <v/>
          </cell>
        </row>
        <row r="9773">
          <cell r="B9773" t="str">
            <v>-</v>
          </cell>
          <cell r="E9773" t="str">
            <v/>
          </cell>
          <cell r="G9773" t="str">
            <v/>
          </cell>
          <cell r="J9773" t="str">
            <v/>
          </cell>
          <cell r="O9773" t="str">
            <v/>
          </cell>
          <cell r="P9773" t="str">
            <v/>
          </cell>
          <cell r="Q9773" t="str">
            <v/>
          </cell>
          <cell r="S9773" t="str">
            <v/>
          </cell>
          <cell r="V9773" t="str">
            <v/>
          </cell>
          <cell r="Z9773" t="str">
            <v/>
          </cell>
          <cell r="AA9773" t="str">
            <v/>
          </cell>
          <cell r="AB9773" t="str">
            <v/>
          </cell>
          <cell r="AC9773" t="str">
            <v/>
          </cell>
          <cell r="AD9773" t="str">
            <v/>
          </cell>
          <cell r="AY9773" t="str">
            <v/>
          </cell>
          <cell r="AZ9773" t="str">
            <v/>
          </cell>
          <cell r="BA9773" t="str">
            <v/>
          </cell>
        </row>
        <row r="9774">
          <cell r="B9774" t="str">
            <v>-</v>
          </cell>
          <cell r="E9774" t="str">
            <v/>
          </cell>
          <cell r="G9774" t="str">
            <v/>
          </cell>
          <cell r="J9774" t="str">
            <v/>
          </cell>
          <cell r="O9774" t="str">
            <v/>
          </cell>
          <cell r="P9774" t="str">
            <v/>
          </cell>
          <cell r="Q9774" t="str">
            <v/>
          </cell>
          <cell r="S9774" t="str">
            <v/>
          </cell>
          <cell r="V9774" t="str">
            <v/>
          </cell>
          <cell r="Z9774" t="str">
            <v/>
          </cell>
          <cell r="AA9774" t="str">
            <v/>
          </cell>
          <cell r="AB9774" t="str">
            <v/>
          </cell>
          <cell r="AC9774" t="str">
            <v/>
          </cell>
          <cell r="AD9774" t="str">
            <v/>
          </cell>
          <cell r="AY9774" t="str">
            <v/>
          </cell>
          <cell r="AZ9774" t="str">
            <v/>
          </cell>
          <cell r="BA9774" t="str">
            <v/>
          </cell>
        </row>
        <row r="9775">
          <cell r="B9775" t="str">
            <v>-</v>
          </cell>
          <cell r="E9775" t="str">
            <v/>
          </cell>
          <cell r="G9775" t="str">
            <v/>
          </cell>
          <cell r="J9775" t="str">
            <v/>
          </cell>
          <cell r="O9775" t="str">
            <v/>
          </cell>
          <cell r="P9775" t="str">
            <v/>
          </cell>
          <cell r="Q9775" t="str">
            <v/>
          </cell>
          <cell r="S9775" t="str">
            <v/>
          </cell>
          <cell r="V9775" t="str">
            <v/>
          </cell>
          <cell r="Z9775" t="str">
            <v/>
          </cell>
          <cell r="AA9775" t="str">
            <v/>
          </cell>
          <cell r="AB9775" t="str">
            <v/>
          </cell>
          <cell r="AC9775" t="str">
            <v/>
          </cell>
          <cell r="AD9775" t="str">
            <v/>
          </cell>
          <cell r="AY9775" t="str">
            <v/>
          </cell>
          <cell r="AZ9775" t="str">
            <v/>
          </cell>
          <cell r="BA9775" t="str">
            <v/>
          </cell>
        </row>
        <row r="9776">
          <cell r="B9776" t="str">
            <v>-</v>
          </cell>
          <cell r="E9776" t="str">
            <v/>
          </cell>
          <cell r="G9776" t="str">
            <v/>
          </cell>
          <cell r="J9776" t="str">
            <v/>
          </cell>
          <cell r="O9776" t="str">
            <v/>
          </cell>
          <cell r="P9776" t="str">
            <v/>
          </cell>
          <cell r="Q9776" t="str">
            <v/>
          </cell>
          <cell r="S9776" t="str">
            <v/>
          </cell>
          <cell r="V9776" t="str">
            <v/>
          </cell>
          <cell r="Z9776" t="str">
            <v/>
          </cell>
          <cell r="AA9776" t="str">
            <v/>
          </cell>
          <cell r="AB9776" t="str">
            <v/>
          </cell>
          <cell r="AC9776" t="str">
            <v/>
          </cell>
          <cell r="AD9776" t="str">
            <v/>
          </cell>
          <cell r="AY9776" t="str">
            <v/>
          </cell>
          <cell r="AZ9776" t="str">
            <v/>
          </cell>
          <cell r="BA9776" t="str">
            <v/>
          </cell>
        </row>
        <row r="9777">
          <cell r="B9777" t="str">
            <v>-</v>
          </cell>
          <cell r="E9777" t="str">
            <v/>
          </cell>
          <cell r="G9777" t="str">
            <v/>
          </cell>
          <cell r="J9777" t="str">
            <v/>
          </cell>
          <cell r="O9777" t="str">
            <v/>
          </cell>
          <cell r="P9777" t="str">
            <v/>
          </cell>
          <cell r="Q9777" t="str">
            <v/>
          </cell>
          <cell r="S9777" t="str">
            <v/>
          </cell>
          <cell r="V9777" t="str">
            <v/>
          </cell>
          <cell r="Z9777" t="str">
            <v/>
          </cell>
          <cell r="AA9777" t="str">
            <v/>
          </cell>
          <cell r="AB9777" t="str">
            <v/>
          </cell>
          <cell r="AC9777" t="str">
            <v/>
          </cell>
          <cell r="AD9777" t="str">
            <v/>
          </cell>
          <cell r="AY9777" t="str">
            <v/>
          </cell>
          <cell r="AZ9777" t="str">
            <v/>
          </cell>
          <cell r="BA9777" t="str">
            <v/>
          </cell>
        </row>
        <row r="9778">
          <cell r="B9778" t="str">
            <v>-</v>
          </cell>
          <cell r="E9778" t="str">
            <v/>
          </cell>
          <cell r="G9778" t="str">
            <v/>
          </cell>
          <cell r="J9778" t="str">
            <v/>
          </cell>
          <cell r="O9778" t="str">
            <v/>
          </cell>
          <cell r="P9778" t="str">
            <v/>
          </cell>
          <cell r="Q9778" t="str">
            <v/>
          </cell>
          <cell r="S9778" t="str">
            <v/>
          </cell>
          <cell r="V9778" t="str">
            <v/>
          </cell>
          <cell r="Z9778" t="str">
            <v/>
          </cell>
          <cell r="AA9778" t="str">
            <v/>
          </cell>
          <cell r="AB9778" t="str">
            <v/>
          </cell>
          <cell r="AC9778" t="str">
            <v/>
          </cell>
          <cell r="AD9778" t="str">
            <v/>
          </cell>
          <cell r="AY9778" t="str">
            <v/>
          </cell>
          <cell r="AZ9778" t="str">
            <v/>
          </cell>
          <cell r="BA9778" t="str">
            <v/>
          </cell>
        </row>
        <row r="9779">
          <cell r="B9779" t="str">
            <v>-</v>
          </cell>
          <cell r="E9779" t="str">
            <v/>
          </cell>
          <cell r="G9779" t="str">
            <v/>
          </cell>
          <cell r="J9779" t="str">
            <v/>
          </cell>
          <cell r="O9779" t="str">
            <v/>
          </cell>
          <cell r="P9779" t="str">
            <v/>
          </cell>
          <cell r="Q9779" t="str">
            <v/>
          </cell>
          <cell r="S9779" t="str">
            <v/>
          </cell>
          <cell r="V9779" t="str">
            <v/>
          </cell>
          <cell r="Z9779" t="str">
            <v/>
          </cell>
          <cell r="AA9779" t="str">
            <v/>
          </cell>
          <cell r="AB9779" t="str">
            <v/>
          </cell>
          <cell r="AC9779" t="str">
            <v/>
          </cell>
          <cell r="AD9779" t="str">
            <v/>
          </cell>
          <cell r="AY9779" t="str">
            <v/>
          </cell>
          <cell r="AZ9779" t="str">
            <v/>
          </cell>
          <cell r="BA9779" t="str">
            <v/>
          </cell>
        </row>
        <row r="9780">
          <cell r="B9780" t="str">
            <v>-</v>
          </cell>
          <cell r="E9780" t="str">
            <v/>
          </cell>
          <cell r="G9780" t="str">
            <v/>
          </cell>
          <cell r="J9780" t="str">
            <v/>
          </cell>
          <cell r="O9780" t="str">
            <v/>
          </cell>
          <cell r="P9780" t="str">
            <v/>
          </cell>
          <cell r="Q9780" t="str">
            <v/>
          </cell>
          <cell r="S9780" t="str">
            <v/>
          </cell>
          <cell r="V9780" t="str">
            <v/>
          </cell>
          <cell r="Z9780" t="str">
            <v/>
          </cell>
          <cell r="AA9780" t="str">
            <v/>
          </cell>
          <cell r="AB9780" t="str">
            <v/>
          </cell>
          <cell r="AC9780" t="str">
            <v/>
          </cell>
          <cell r="AD9780" t="str">
            <v/>
          </cell>
          <cell r="AY9780" t="str">
            <v/>
          </cell>
          <cell r="AZ9780" t="str">
            <v/>
          </cell>
          <cell r="BA9780" t="str">
            <v/>
          </cell>
        </row>
        <row r="9781">
          <cell r="B9781" t="str">
            <v>-</v>
          </cell>
          <cell r="E9781" t="str">
            <v/>
          </cell>
          <cell r="G9781" t="str">
            <v/>
          </cell>
          <cell r="J9781" t="str">
            <v/>
          </cell>
          <cell r="O9781" t="str">
            <v/>
          </cell>
          <cell r="P9781" t="str">
            <v/>
          </cell>
          <cell r="Q9781" t="str">
            <v/>
          </cell>
          <cell r="S9781" t="str">
            <v/>
          </cell>
          <cell r="V9781" t="str">
            <v/>
          </cell>
          <cell r="Z9781" t="str">
            <v/>
          </cell>
          <cell r="AA9781" t="str">
            <v/>
          </cell>
          <cell r="AB9781" t="str">
            <v/>
          </cell>
          <cell r="AC9781" t="str">
            <v/>
          </cell>
          <cell r="AD9781" t="str">
            <v/>
          </cell>
          <cell r="AY9781" t="str">
            <v/>
          </cell>
          <cell r="AZ9781" t="str">
            <v/>
          </cell>
          <cell r="BA9781" t="str">
            <v/>
          </cell>
        </row>
        <row r="9782">
          <cell r="B9782" t="str">
            <v>-</v>
          </cell>
          <cell r="E9782" t="str">
            <v/>
          </cell>
          <cell r="G9782" t="str">
            <v/>
          </cell>
          <cell r="J9782" t="str">
            <v/>
          </cell>
          <cell r="O9782" t="str">
            <v/>
          </cell>
          <cell r="P9782" t="str">
            <v/>
          </cell>
          <cell r="Q9782" t="str">
            <v/>
          </cell>
          <cell r="S9782" t="str">
            <v/>
          </cell>
          <cell r="V9782" t="str">
            <v/>
          </cell>
          <cell r="Z9782" t="str">
            <v/>
          </cell>
          <cell r="AA9782" t="str">
            <v/>
          </cell>
          <cell r="AB9782" t="str">
            <v/>
          </cell>
          <cell r="AC9782" t="str">
            <v/>
          </cell>
          <cell r="AD9782" t="str">
            <v/>
          </cell>
          <cell r="AY9782" t="str">
            <v/>
          </cell>
          <cell r="AZ9782" t="str">
            <v/>
          </cell>
          <cell r="BA9782" t="str">
            <v/>
          </cell>
        </row>
        <row r="9783">
          <cell r="B9783" t="str">
            <v>-</v>
          </cell>
          <cell r="E9783" t="str">
            <v/>
          </cell>
          <cell r="G9783" t="str">
            <v/>
          </cell>
          <cell r="J9783" t="str">
            <v/>
          </cell>
          <cell r="O9783" t="str">
            <v/>
          </cell>
          <cell r="P9783" t="str">
            <v/>
          </cell>
          <cell r="Q9783" t="str">
            <v/>
          </cell>
          <cell r="S9783" t="str">
            <v/>
          </cell>
          <cell r="V9783" t="str">
            <v/>
          </cell>
          <cell r="Z9783" t="str">
            <v/>
          </cell>
          <cell r="AA9783" t="str">
            <v/>
          </cell>
          <cell r="AB9783" t="str">
            <v/>
          </cell>
          <cell r="AC9783" t="str">
            <v/>
          </cell>
          <cell r="AD9783" t="str">
            <v/>
          </cell>
          <cell r="AY9783" t="str">
            <v/>
          </cell>
          <cell r="AZ9783" t="str">
            <v/>
          </cell>
          <cell r="BA9783" t="str">
            <v/>
          </cell>
        </row>
        <row r="9784">
          <cell r="B9784" t="str">
            <v>-</v>
          </cell>
          <cell r="E9784" t="str">
            <v/>
          </cell>
          <cell r="G9784" t="str">
            <v/>
          </cell>
          <cell r="J9784" t="str">
            <v/>
          </cell>
          <cell r="O9784" t="str">
            <v/>
          </cell>
          <cell r="P9784" t="str">
            <v/>
          </cell>
          <cell r="Q9784" t="str">
            <v/>
          </cell>
          <cell r="S9784" t="str">
            <v/>
          </cell>
          <cell r="V9784" t="str">
            <v/>
          </cell>
          <cell r="Z9784" t="str">
            <v/>
          </cell>
          <cell r="AA9784" t="str">
            <v/>
          </cell>
          <cell r="AB9784" t="str">
            <v/>
          </cell>
          <cell r="AC9784" t="str">
            <v/>
          </cell>
          <cell r="AD9784" t="str">
            <v/>
          </cell>
          <cell r="AY9784" t="str">
            <v/>
          </cell>
          <cell r="AZ9784" t="str">
            <v/>
          </cell>
          <cell r="BA9784" t="str">
            <v/>
          </cell>
        </row>
        <row r="9785">
          <cell r="B9785" t="str">
            <v>-</v>
          </cell>
          <cell r="E9785" t="str">
            <v/>
          </cell>
          <cell r="G9785" t="str">
            <v/>
          </cell>
          <cell r="J9785" t="str">
            <v/>
          </cell>
          <cell r="O9785" t="str">
            <v/>
          </cell>
          <cell r="P9785" t="str">
            <v/>
          </cell>
          <cell r="Q9785" t="str">
            <v/>
          </cell>
          <cell r="S9785" t="str">
            <v/>
          </cell>
          <cell r="V9785" t="str">
            <v/>
          </cell>
          <cell r="Z9785" t="str">
            <v/>
          </cell>
          <cell r="AA9785" t="str">
            <v/>
          </cell>
          <cell r="AB9785" t="str">
            <v/>
          </cell>
          <cell r="AC9785" t="str">
            <v/>
          </cell>
          <cell r="AD9785" t="str">
            <v/>
          </cell>
          <cell r="AY9785" t="str">
            <v/>
          </cell>
          <cell r="AZ9785" t="str">
            <v/>
          </cell>
          <cell r="BA9785" t="str">
            <v/>
          </cell>
        </row>
        <row r="9786">
          <cell r="B9786" t="str">
            <v>-</v>
          </cell>
          <cell r="E9786" t="str">
            <v/>
          </cell>
          <cell r="G9786" t="str">
            <v/>
          </cell>
          <cell r="J9786" t="str">
            <v/>
          </cell>
          <cell r="O9786" t="str">
            <v/>
          </cell>
          <cell r="P9786" t="str">
            <v/>
          </cell>
          <cell r="Q9786" t="str">
            <v/>
          </cell>
          <cell r="S9786" t="str">
            <v/>
          </cell>
          <cell r="V9786" t="str">
            <v/>
          </cell>
          <cell r="Z9786" t="str">
            <v/>
          </cell>
          <cell r="AA9786" t="str">
            <v/>
          </cell>
          <cell r="AB9786" t="str">
            <v/>
          </cell>
          <cell r="AC9786" t="str">
            <v/>
          </cell>
          <cell r="AD9786" t="str">
            <v/>
          </cell>
          <cell r="AY9786" t="str">
            <v/>
          </cell>
          <cell r="AZ9786" t="str">
            <v/>
          </cell>
          <cell r="BA9786" t="str">
            <v/>
          </cell>
        </row>
        <row r="9787">
          <cell r="B9787" t="str">
            <v>-</v>
          </cell>
          <cell r="E9787" t="str">
            <v/>
          </cell>
          <cell r="G9787" t="str">
            <v/>
          </cell>
          <cell r="J9787" t="str">
            <v/>
          </cell>
          <cell r="O9787" t="str">
            <v/>
          </cell>
          <cell r="P9787" t="str">
            <v/>
          </cell>
          <cell r="Q9787" t="str">
            <v/>
          </cell>
          <cell r="S9787" t="str">
            <v/>
          </cell>
          <cell r="V9787" t="str">
            <v/>
          </cell>
          <cell r="Z9787" t="str">
            <v/>
          </cell>
          <cell r="AA9787" t="str">
            <v/>
          </cell>
          <cell r="AB9787" t="str">
            <v/>
          </cell>
          <cell r="AC9787" t="str">
            <v/>
          </cell>
          <cell r="AD9787" t="str">
            <v/>
          </cell>
          <cell r="AY9787" t="str">
            <v/>
          </cell>
          <cell r="AZ9787" t="str">
            <v/>
          </cell>
          <cell r="BA9787" t="str">
            <v/>
          </cell>
        </row>
        <row r="9788">
          <cell r="B9788" t="str">
            <v>-</v>
          </cell>
          <cell r="E9788" t="str">
            <v/>
          </cell>
          <cell r="G9788" t="str">
            <v/>
          </cell>
          <cell r="J9788" t="str">
            <v/>
          </cell>
          <cell r="O9788" t="str">
            <v/>
          </cell>
          <cell r="P9788" t="str">
            <v/>
          </cell>
          <cell r="Q9788" t="str">
            <v/>
          </cell>
          <cell r="S9788" t="str">
            <v/>
          </cell>
          <cell r="V9788" t="str">
            <v/>
          </cell>
          <cell r="Z9788" t="str">
            <v/>
          </cell>
          <cell r="AA9788" t="str">
            <v/>
          </cell>
          <cell r="AB9788" t="str">
            <v/>
          </cell>
          <cell r="AC9788" t="str">
            <v/>
          </cell>
          <cell r="AD9788" t="str">
            <v/>
          </cell>
          <cell r="AY9788" t="str">
            <v/>
          </cell>
          <cell r="AZ9788" t="str">
            <v/>
          </cell>
          <cell r="BA9788" t="str">
            <v/>
          </cell>
        </row>
        <row r="9789">
          <cell r="B9789" t="str">
            <v>-</v>
          </cell>
          <cell r="E9789" t="str">
            <v/>
          </cell>
          <cell r="G9789" t="str">
            <v/>
          </cell>
          <cell r="J9789" t="str">
            <v/>
          </cell>
          <cell r="O9789" t="str">
            <v/>
          </cell>
          <cell r="P9789" t="str">
            <v/>
          </cell>
          <cell r="Q9789" t="str">
            <v/>
          </cell>
          <cell r="S9789" t="str">
            <v/>
          </cell>
          <cell r="V9789" t="str">
            <v/>
          </cell>
          <cell r="Z9789" t="str">
            <v/>
          </cell>
          <cell r="AA9789" t="str">
            <v/>
          </cell>
          <cell r="AB9789" t="str">
            <v/>
          </cell>
          <cell r="AC9789" t="str">
            <v/>
          </cell>
          <cell r="AD9789" t="str">
            <v/>
          </cell>
          <cell r="AY9789" t="str">
            <v/>
          </cell>
          <cell r="AZ9789" t="str">
            <v/>
          </cell>
          <cell r="BA9789" t="str">
            <v/>
          </cell>
        </row>
        <row r="9790">
          <cell r="B9790" t="str">
            <v>-</v>
          </cell>
          <cell r="E9790" t="str">
            <v/>
          </cell>
          <cell r="G9790" t="str">
            <v/>
          </cell>
          <cell r="J9790" t="str">
            <v/>
          </cell>
          <cell r="O9790" t="str">
            <v/>
          </cell>
          <cell r="P9790" t="str">
            <v/>
          </cell>
          <cell r="Q9790" t="str">
            <v/>
          </cell>
          <cell r="S9790" t="str">
            <v/>
          </cell>
          <cell r="V9790" t="str">
            <v/>
          </cell>
          <cell r="Z9790" t="str">
            <v/>
          </cell>
          <cell r="AA9790" t="str">
            <v/>
          </cell>
          <cell r="AB9790" t="str">
            <v/>
          </cell>
          <cell r="AC9790" t="str">
            <v/>
          </cell>
          <cell r="AD9790" t="str">
            <v/>
          </cell>
          <cell r="AY9790" t="str">
            <v/>
          </cell>
          <cell r="AZ9790" t="str">
            <v/>
          </cell>
          <cell r="BA9790" t="str">
            <v/>
          </cell>
        </row>
        <row r="9791">
          <cell r="B9791" t="str">
            <v>-</v>
          </cell>
          <cell r="E9791" t="str">
            <v/>
          </cell>
          <cell r="G9791" t="str">
            <v/>
          </cell>
          <cell r="J9791" t="str">
            <v/>
          </cell>
          <cell r="O9791" t="str">
            <v/>
          </cell>
          <cell r="P9791" t="str">
            <v/>
          </cell>
          <cell r="Q9791" t="str">
            <v/>
          </cell>
          <cell r="S9791" t="str">
            <v/>
          </cell>
          <cell r="V9791" t="str">
            <v/>
          </cell>
          <cell r="Z9791" t="str">
            <v/>
          </cell>
          <cell r="AA9791" t="str">
            <v/>
          </cell>
          <cell r="AB9791" t="str">
            <v/>
          </cell>
          <cell r="AC9791" t="str">
            <v/>
          </cell>
          <cell r="AD9791" t="str">
            <v/>
          </cell>
          <cell r="AY9791" t="str">
            <v/>
          </cell>
          <cell r="AZ9791" t="str">
            <v/>
          </cell>
          <cell r="BA9791" t="str">
            <v/>
          </cell>
        </row>
        <row r="9792">
          <cell r="B9792" t="str">
            <v>-</v>
          </cell>
          <cell r="E9792" t="str">
            <v/>
          </cell>
          <cell r="G9792" t="str">
            <v/>
          </cell>
          <cell r="J9792" t="str">
            <v/>
          </cell>
          <cell r="O9792" t="str">
            <v/>
          </cell>
          <cell r="P9792" t="str">
            <v/>
          </cell>
          <cell r="Q9792" t="str">
            <v/>
          </cell>
          <cell r="S9792" t="str">
            <v/>
          </cell>
          <cell r="V9792" t="str">
            <v/>
          </cell>
          <cell r="Z9792" t="str">
            <v/>
          </cell>
          <cell r="AA9792" t="str">
            <v/>
          </cell>
          <cell r="AB9792" t="str">
            <v/>
          </cell>
          <cell r="AC9792" t="str">
            <v/>
          </cell>
          <cell r="AD9792" t="str">
            <v/>
          </cell>
          <cell r="AY9792" t="str">
            <v/>
          </cell>
          <cell r="AZ9792" t="str">
            <v/>
          </cell>
          <cell r="BA9792" t="str">
            <v/>
          </cell>
        </row>
        <row r="9793">
          <cell r="B9793" t="str">
            <v>-</v>
          </cell>
          <cell r="E9793" t="str">
            <v/>
          </cell>
          <cell r="G9793" t="str">
            <v/>
          </cell>
          <cell r="J9793" t="str">
            <v/>
          </cell>
          <cell r="O9793" t="str">
            <v/>
          </cell>
          <cell r="P9793" t="str">
            <v/>
          </cell>
          <cell r="Q9793" t="str">
            <v/>
          </cell>
          <cell r="S9793" t="str">
            <v/>
          </cell>
          <cell r="V9793" t="str">
            <v/>
          </cell>
          <cell r="Z9793" t="str">
            <v/>
          </cell>
          <cell r="AA9793" t="str">
            <v/>
          </cell>
          <cell r="AB9793" t="str">
            <v/>
          </cell>
          <cell r="AC9793" t="str">
            <v/>
          </cell>
          <cell r="AD9793" t="str">
            <v/>
          </cell>
          <cell r="AY9793" t="str">
            <v/>
          </cell>
          <cell r="AZ9793" t="str">
            <v/>
          </cell>
          <cell r="BA9793" t="str">
            <v/>
          </cell>
        </row>
        <row r="9794">
          <cell r="B9794" t="str">
            <v>-</v>
          </cell>
          <cell r="E9794" t="str">
            <v/>
          </cell>
          <cell r="G9794" t="str">
            <v/>
          </cell>
          <cell r="J9794" t="str">
            <v/>
          </cell>
          <cell r="O9794" t="str">
            <v/>
          </cell>
          <cell r="P9794" t="str">
            <v/>
          </cell>
          <cell r="Q9794" t="str">
            <v/>
          </cell>
          <cell r="S9794" t="str">
            <v/>
          </cell>
          <cell r="V9794" t="str">
            <v/>
          </cell>
          <cell r="Z9794" t="str">
            <v/>
          </cell>
          <cell r="AA9794" t="str">
            <v/>
          </cell>
          <cell r="AB9794" t="str">
            <v/>
          </cell>
          <cell r="AC9794" t="str">
            <v/>
          </cell>
          <cell r="AD9794" t="str">
            <v/>
          </cell>
          <cell r="AY9794" t="str">
            <v/>
          </cell>
          <cell r="AZ9794" t="str">
            <v/>
          </cell>
          <cell r="BA9794" t="str">
            <v/>
          </cell>
        </row>
        <row r="9795">
          <cell r="B9795" t="str">
            <v>-</v>
          </cell>
          <cell r="E9795" t="str">
            <v/>
          </cell>
          <cell r="G9795" t="str">
            <v/>
          </cell>
          <cell r="J9795" t="str">
            <v/>
          </cell>
          <cell r="O9795" t="str">
            <v/>
          </cell>
          <cell r="P9795" t="str">
            <v/>
          </cell>
          <cell r="Q9795" t="str">
            <v/>
          </cell>
          <cell r="S9795" t="str">
            <v/>
          </cell>
          <cell r="V9795" t="str">
            <v/>
          </cell>
          <cell r="Z9795" t="str">
            <v/>
          </cell>
          <cell r="AA9795" t="str">
            <v/>
          </cell>
          <cell r="AB9795" t="str">
            <v/>
          </cell>
          <cell r="AC9795" t="str">
            <v/>
          </cell>
          <cell r="AD9795" t="str">
            <v/>
          </cell>
          <cell r="AY9795" t="str">
            <v/>
          </cell>
          <cell r="AZ9795" t="str">
            <v/>
          </cell>
          <cell r="BA9795" t="str">
            <v/>
          </cell>
        </row>
        <row r="9796">
          <cell r="B9796" t="str">
            <v>-</v>
          </cell>
          <cell r="E9796" t="str">
            <v/>
          </cell>
          <cell r="G9796" t="str">
            <v/>
          </cell>
          <cell r="J9796" t="str">
            <v/>
          </cell>
          <cell r="O9796" t="str">
            <v/>
          </cell>
          <cell r="P9796" t="str">
            <v/>
          </cell>
          <cell r="Q9796" t="str">
            <v/>
          </cell>
          <cell r="S9796" t="str">
            <v/>
          </cell>
          <cell r="V9796" t="str">
            <v/>
          </cell>
          <cell r="Z9796" t="str">
            <v/>
          </cell>
          <cell r="AA9796" t="str">
            <v/>
          </cell>
          <cell r="AB9796" t="str">
            <v/>
          </cell>
          <cell r="AC9796" t="str">
            <v/>
          </cell>
          <cell r="AD9796" t="str">
            <v/>
          </cell>
          <cell r="AY9796" t="str">
            <v/>
          </cell>
          <cell r="AZ9796" t="str">
            <v/>
          </cell>
          <cell r="BA9796" t="str">
            <v/>
          </cell>
        </row>
        <row r="9797">
          <cell r="B9797" t="str">
            <v>-</v>
          </cell>
          <cell r="E9797" t="str">
            <v/>
          </cell>
          <cell r="G9797" t="str">
            <v/>
          </cell>
          <cell r="J9797" t="str">
            <v/>
          </cell>
          <cell r="O9797" t="str">
            <v/>
          </cell>
          <cell r="P9797" t="str">
            <v/>
          </cell>
          <cell r="Q9797" t="str">
            <v/>
          </cell>
          <cell r="S9797" t="str">
            <v/>
          </cell>
          <cell r="V9797" t="str">
            <v/>
          </cell>
          <cell r="Z9797" t="str">
            <v/>
          </cell>
          <cell r="AA9797" t="str">
            <v/>
          </cell>
          <cell r="AB9797" t="str">
            <v/>
          </cell>
          <cell r="AC9797" t="str">
            <v/>
          </cell>
          <cell r="AD9797" t="str">
            <v/>
          </cell>
          <cell r="AY9797" t="str">
            <v/>
          </cell>
          <cell r="AZ9797" t="str">
            <v/>
          </cell>
          <cell r="BA9797" t="str">
            <v/>
          </cell>
        </row>
        <row r="9798">
          <cell r="B9798" t="str">
            <v>-</v>
          </cell>
          <cell r="E9798" t="str">
            <v/>
          </cell>
          <cell r="G9798" t="str">
            <v/>
          </cell>
          <cell r="J9798" t="str">
            <v/>
          </cell>
          <cell r="O9798" t="str">
            <v/>
          </cell>
          <cell r="P9798" t="str">
            <v/>
          </cell>
          <cell r="Q9798" t="str">
            <v/>
          </cell>
          <cell r="S9798" t="str">
            <v/>
          </cell>
          <cell r="V9798" t="str">
            <v/>
          </cell>
          <cell r="Z9798" t="str">
            <v/>
          </cell>
          <cell r="AA9798" t="str">
            <v/>
          </cell>
          <cell r="AB9798" t="str">
            <v/>
          </cell>
          <cell r="AC9798" t="str">
            <v/>
          </cell>
          <cell r="AD9798" t="str">
            <v/>
          </cell>
          <cell r="AY9798" t="str">
            <v/>
          </cell>
          <cell r="AZ9798" t="str">
            <v/>
          </cell>
          <cell r="BA9798" t="str">
            <v/>
          </cell>
        </row>
        <row r="9799">
          <cell r="B9799" t="str">
            <v>-</v>
          </cell>
          <cell r="E9799" t="str">
            <v/>
          </cell>
          <cell r="G9799" t="str">
            <v/>
          </cell>
          <cell r="J9799" t="str">
            <v/>
          </cell>
          <cell r="O9799" t="str">
            <v/>
          </cell>
          <cell r="P9799" t="str">
            <v/>
          </cell>
          <cell r="Q9799" t="str">
            <v/>
          </cell>
          <cell r="S9799" t="str">
            <v/>
          </cell>
          <cell r="V9799" t="str">
            <v/>
          </cell>
          <cell r="Z9799" t="str">
            <v/>
          </cell>
          <cell r="AA9799" t="str">
            <v/>
          </cell>
          <cell r="AB9799" t="str">
            <v/>
          </cell>
          <cell r="AC9799" t="str">
            <v/>
          </cell>
          <cell r="AD9799" t="str">
            <v/>
          </cell>
          <cell r="AY9799" t="str">
            <v/>
          </cell>
          <cell r="AZ9799" t="str">
            <v/>
          </cell>
          <cell r="BA9799" t="str">
            <v/>
          </cell>
        </row>
        <row r="9800">
          <cell r="B9800" t="str">
            <v>-</v>
          </cell>
          <cell r="E9800" t="str">
            <v/>
          </cell>
          <cell r="G9800" t="str">
            <v/>
          </cell>
          <cell r="J9800" t="str">
            <v/>
          </cell>
          <cell r="O9800" t="str">
            <v/>
          </cell>
          <cell r="P9800" t="str">
            <v/>
          </cell>
          <cell r="Q9800" t="str">
            <v/>
          </cell>
          <cell r="S9800" t="str">
            <v/>
          </cell>
          <cell r="V9800" t="str">
            <v/>
          </cell>
          <cell r="Z9800" t="str">
            <v/>
          </cell>
          <cell r="AA9800" t="str">
            <v/>
          </cell>
          <cell r="AB9800" t="str">
            <v/>
          </cell>
          <cell r="AC9800" t="str">
            <v/>
          </cell>
          <cell r="AD9800" t="str">
            <v/>
          </cell>
          <cell r="AY9800" t="str">
            <v/>
          </cell>
          <cell r="AZ9800" t="str">
            <v/>
          </cell>
          <cell r="BA9800" t="str">
            <v/>
          </cell>
        </row>
        <row r="9801">
          <cell r="B9801" t="str">
            <v>-</v>
          </cell>
          <cell r="E9801" t="str">
            <v/>
          </cell>
          <cell r="G9801" t="str">
            <v/>
          </cell>
          <cell r="J9801" t="str">
            <v/>
          </cell>
          <cell r="O9801" t="str">
            <v/>
          </cell>
          <cell r="P9801" t="str">
            <v/>
          </cell>
          <cell r="Q9801" t="str">
            <v/>
          </cell>
          <cell r="S9801" t="str">
            <v/>
          </cell>
          <cell r="V9801" t="str">
            <v/>
          </cell>
          <cell r="Z9801" t="str">
            <v/>
          </cell>
          <cell r="AA9801" t="str">
            <v/>
          </cell>
          <cell r="AB9801" t="str">
            <v/>
          </cell>
          <cell r="AC9801" t="str">
            <v/>
          </cell>
          <cell r="AD9801" t="str">
            <v/>
          </cell>
          <cell r="AY9801" t="str">
            <v/>
          </cell>
          <cell r="AZ9801" t="str">
            <v/>
          </cell>
          <cell r="BA9801" t="str">
            <v/>
          </cell>
        </row>
        <row r="9802">
          <cell r="B9802" t="str">
            <v>-</v>
          </cell>
          <cell r="E9802" t="str">
            <v/>
          </cell>
          <cell r="G9802" t="str">
            <v/>
          </cell>
          <cell r="J9802" t="str">
            <v/>
          </cell>
          <cell r="O9802" t="str">
            <v/>
          </cell>
          <cell r="P9802" t="str">
            <v/>
          </cell>
          <cell r="Q9802" t="str">
            <v/>
          </cell>
          <cell r="S9802" t="str">
            <v/>
          </cell>
          <cell r="V9802" t="str">
            <v/>
          </cell>
          <cell r="Z9802" t="str">
            <v/>
          </cell>
          <cell r="AA9802" t="str">
            <v/>
          </cell>
          <cell r="AB9802" t="str">
            <v/>
          </cell>
          <cell r="AC9802" t="str">
            <v/>
          </cell>
          <cell r="AD9802" t="str">
            <v/>
          </cell>
          <cell r="AY9802" t="str">
            <v/>
          </cell>
          <cell r="AZ9802" t="str">
            <v/>
          </cell>
          <cell r="BA9802" t="str">
            <v/>
          </cell>
        </row>
        <row r="9803">
          <cell r="B9803" t="str">
            <v>-</v>
          </cell>
          <cell r="E9803" t="str">
            <v/>
          </cell>
          <cell r="G9803" t="str">
            <v/>
          </cell>
          <cell r="J9803" t="str">
            <v/>
          </cell>
          <cell r="O9803" t="str">
            <v/>
          </cell>
          <cell r="P9803" t="str">
            <v/>
          </cell>
          <cell r="Q9803" t="str">
            <v/>
          </cell>
          <cell r="S9803" t="str">
            <v/>
          </cell>
          <cell r="V9803" t="str">
            <v/>
          </cell>
          <cell r="Z9803" t="str">
            <v/>
          </cell>
          <cell r="AA9803" t="str">
            <v/>
          </cell>
          <cell r="AB9803" t="str">
            <v/>
          </cell>
          <cell r="AC9803" t="str">
            <v/>
          </cell>
          <cell r="AD9803" t="str">
            <v/>
          </cell>
          <cell r="AY9803" t="str">
            <v/>
          </cell>
          <cell r="AZ9803" t="str">
            <v/>
          </cell>
          <cell r="BA9803" t="str">
            <v/>
          </cell>
        </row>
        <row r="9804">
          <cell r="B9804" t="str">
            <v>-</v>
          </cell>
          <cell r="E9804" t="str">
            <v/>
          </cell>
          <cell r="G9804" t="str">
            <v/>
          </cell>
          <cell r="J9804" t="str">
            <v/>
          </cell>
          <cell r="O9804" t="str">
            <v/>
          </cell>
          <cell r="P9804" t="str">
            <v/>
          </cell>
          <cell r="Q9804" t="str">
            <v/>
          </cell>
          <cell r="S9804" t="str">
            <v/>
          </cell>
          <cell r="V9804" t="str">
            <v/>
          </cell>
          <cell r="Z9804" t="str">
            <v/>
          </cell>
          <cell r="AA9804" t="str">
            <v/>
          </cell>
          <cell r="AB9804" t="str">
            <v/>
          </cell>
          <cell r="AC9804" t="str">
            <v/>
          </cell>
          <cell r="AD9804" t="str">
            <v/>
          </cell>
          <cell r="AY9804" t="str">
            <v/>
          </cell>
          <cell r="AZ9804" t="str">
            <v/>
          </cell>
          <cell r="BA9804" t="str">
            <v/>
          </cell>
        </row>
        <row r="9805">
          <cell r="B9805" t="str">
            <v>-</v>
          </cell>
          <cell r="E9805" t="str">
            <v/>
          </cell>
          <cell r="G9805" t="str">
            <v/>
          </cell>
          <cell r="J9805" t="str">
            <v/>
          </cell>
          <cell r="O9805" t="str">
            <v/>
          </cell>
          <cell r="P9805" t="str">
            <v/>
          </cell>
          <cell r="Q9805" t="str">
            <v/>
          </cell>
          <cell r="S9805" t="str">
            <v/>
          </cell>
          <cell r="V9805" t="str">
            <v/>
          </cell>
          <cell r="Z9805" t="str">
            <v/>
          </cell>
          <cell r="AA9805" t="str">
            <v/>
          </cell>
          <cell r="AB9805" t="str">
            <v/>
          </cell>
          <cell r="AC9805" t="str">
            <v/>
          </cell>
          <cell r="AD9805" t="str">
            <v/>
          </cell>
          <cell r="AY9805" t="str">
            <v/>
          </cell>
          <cell r="AZ9805" t="str">
            <v/>
          </cell>
          <cell r="BA9805" t="str">
            <v/>
          </cell>
        </row>
        <row r="9806">
          <cell r="B9806" t="str">
            <v>-</v>
          </cell>
          <cell r="E9806" t="str">
            <v/>
          </cell>
          <cell r="G9806" t="str">
            <v/>
          </cell>
          <cell r="J9806" t="str">
            <v/>
          </cell>
          <cell r="O9806" t="str">
            <v/>
          </cell>
          <cell r="P9806" t="str">
            <v/>
          </cell>
          <cell r="Q9806" t="str">
            <v/>
          </cell>
          <cell r="S9806" t="str">
            <v/>
          </cell>
          <cell r="V9806" t="str">
            <v/>
          </cell>
          <cell r="Z9806" t="str">
            <v/>
          </cell>
          <cell r="AA9806" t="str">
            <v/>
          </cell>
          <cell r="AB9806" t="str">
            <v/>
          </cell>
          <cell r="AC9806" t="str">
            <v/>
          </cell>
          <cell r="AD9806" t="str">
            <v/>
          </cell>
          <cell r="AY9806" t="str">
            <v/>
          </cell>
          <cell r="AZ9806" t="str">
            <v/>
          </cell>
          <cell r="BA9806" t="str">
            <v/>
          </cell>
        </row>
        <row r="9807">
          <cell r="B9807" t="str">
            <v>-</v>
          </cell>
          <cell r="E9807" t="str">
            <v/>
          </cell>
          <cell r="G9807" t="str">
            <v/>
          </cell>
          <cell r="J9807" t="str">
            <v/>
          </cell>
          <cell r="O9807" t="str">
            <v/>
          </cell>
          <cell r="P9807" t="str">
            <v/>
          </cell>
          <cell r="Q9807" t="str">
            <v/>
          </cell>
          <cell r="S9807" t="str">
            <v/>
          </cell>
          <cell r="V9807" t="str">
            <v/>
          </cell>
          <cell r="Z9807" t="str">
            <v/>
          </cell>
          <cell r="AA9807" t="str">
            <v/>
          </cell>
          <cell r="AB9807" t="str">
            <v/>
          </cell>
          <cell r="AC9807" t="str">
            <v/>
          </cell>
          <cell r="AD9807" t="str">
            <v/>
          </cell>
          <cell r="AY9807" t="str">
            <v/>
          </cell>
          <cell r="AZ9807" t="str">
            <v/>
          </cell>
          <cell r="BA9807" t="str">
            <v/>
          </cell>
        </row>
        <row r="9808">
          <cell r="B9808" t="str">
            <v>-</v>
          </cell>
          <cell r="E9808" t="str">
            <v/>
          </cell>
          <cell r="G9808" t="str">
            <v/>
          </cell>
          <cell r="J9808" t="str">
            <v/>
          </cell>
          <cell r="O9808" t="str">
            <v/>
          </cell>
          <cell r="P9808" t="str">
            <v/>
          </cell>
          <cell r="Q9808" t="str">
            <v/>
          </cell>
          <cell r="S9808" t="str">
            <v/>
          </cell>
          <cell r="V9808" t="str">
            <v/>
          </cell>
          <cell r="Z9808" t="str">
            <v/>
          </cell>
          <cell r="AA9808" t="str">
            <v/>
          </cell>
          <cell r="AB9808" t="str">
            <v/>
          </cell>
          <cell r="AC9808" t="str">
            <v/>
          </cell>
          <cell r="AD9808" t="str">
            <v/>
          </cell>
          <cell r="AY9808" t="str">
            <v/>
          </cell>
          <cell r="AZ9808" t="str">
            <v/>
          </cell>
          <cell r="BA9808" t="str">
            <v/>
          </cell>
        </row>
        <row r="9809">
          <cell r="B9809" t="str">
            <v>-</v>
          </cell>
          <cell r="E9809" t="str">
            <v/>
          </cell>
          <cell r="G9809" t="str">
            <v/>
          </cell>
          <cell r="J9809" t="str">
            <v/>
          </cell>
          <cell r="O9809" t="str">
            <v/>
          </cell>
          <cell r="P9809" t="str">
            <v/>
          </cell>
          <cell r="Q9809" t="str">
            <v/>
          </cell>
          <cell r="S9809" t="str">
            <v/>
          </cell>
          <cell r="V9809" t="str">
            <v/>
          </cell>
          <cell r="Z9809" t="str">
            <v/>
          </cell>
          <cell r="AA9809" t="str">
            <v/>
          </cell>
          <cell r="AB9809" t="str">
            <v/>
          </cell>
          <cell r="AC9809" t="str">
            <v/>
          </cell>
          <cell r="AD9809" t="str">
            <v/>
          </cell>
          <cell r="AY9809" t="str">
            <v/>
          </cell>
          <cell r="AZ9809" t="str">
            <v/>
          </cell>
          <cell r="BA9809" t="str">
            <v/>
          </cell>
        </row>
        <row r="9810">
          <cell r="B9810" t="str">
            <v>-</v>
          </cell>
          <cell r="E9810" t="str">
            <v/>
          </cell>
          <cell r="G9810" t="str">
            <v/>
          </cell>
          <cell r="J9810" t="str">
            <v/>
          </cell>
          <cell r="O9810" t="str">
            <v/>
          </cell>
          <cell r="P9810" t="str">
            <v/>
          </cell>
          <cell r="Q9810" t="str">
            <v/>
          </cell>
          <cell r="S9810" t="str">
            <v/>
          </cell>
          <cell r="V9810" t="str">
            <v/>
          </cell>
          <cell r="Z9810" t="str">
            <v/>
          </cell>
          <cell r="AA9810" t="str">
            <v/>
          </cell>
          <cell r="AB9810" t="str">
            <v/>
          </cell>
          <cell r="AC9810" t="str">
            <v/>
          </cell>
          <cell r="AD9810" t="str">
            <v/>
          </cell>
          <cell r="AY9810" t="str">
            <v/>
          </cell>
          <cell r="AZ9810" t="str">
            <v/>
          </cell>
          <cell r="BA9810" t="str">
            <v/>
          </cell>
        </row>
        <row r="9811">
          <cell r="B9811" t="str">
            <v>-</v>
          </cell>
          <cell r="E9811" t="str">
            <v/>
          </cell>
          <cell r="G9811" t="str">
            <v/>
          </cell>
          <cell r="J9811" t="str">
            <v/>
          </cell>
          <cell r="O9811" t="str">
            <v/>
          </cell>
          <cell r="P9811" t="str">
            <v/>
          </cell>
          <cell r="Q9811" t="str">
            <v/>
          </cell>
          <cell r="S9811" t="str">
            <v/>
          </cell>
          <cell r="V9811" t="str">
            <v/>
          </cell>
          <cell r="Z9811" t="str">
            <v/>
          </cell>
          <cell r="AA9811" t="str">
            <v/>
          </cell>
          <cell r="AB9811" t="str">
            <v/>
          </cell>
          <cell r="AC9811" t="str">
            <v/>
          </cell>
          <cell r="AD9811" t="str">
            <v/>
          </cell>
          <cell r="AY9811" t="str">
            <v/>
          </cell>
          <cell r="AZ9811" t="str">
            <v/>
          </cell>
          <cell r="BA9811" t="str">
            <v/>
          </cell>
        </row>
        <row r="9812">
          <cell r="B9812" t="str">
            <v>-</v>
          </cell>
          <cell r="E9812" t="str">
            <v/>
          </cell>
          <cell r="G9812" t="str">
            <v/>
          </cell>
          <cell r="J9812" t="str">
            <v/>
          </cell>
          <cell r="O9812" t="str">
            <v/>
          </cell>
          <cell r="P9812" t="str">
            <v/>
          </cell>
          <cell r="Q9812" t="str">
            <v/>
          </cell>
          <cell r="S9812" t="str">
            <v/>
          </cell>
          <cell r="V9812" t="str">
            <v/>
          </cell>
          <cell r="Z9812" t="str">
            <v/>
          </cell>
          <cell r="AA9812" t="str">
            <v/>
          </cell>
          <cell r="AB9812" t="str">
            <v/>
          </cell>
          <cell r="AC9812" t="str">
            <v/>
          </cell>
          <cell r="AD9812" t="str">
            <v/>
          </cell>
          <cell r="AY9812" t="str">
            <v/>
          </cell>
          <cell r="AZ9812" t="str">
            <v/>
          </cell>
          <cell r="BA9812" t="str">
            <v/>
          </cell>
        </row>
        <row r="9813">
          <cell r="B9813" t="str">
            <v>-</v>
          </cell>
          <cell r="E9813" t="str">
            <v/>
          </cell>
          <cell r="G9813" t="str">
            <v/>
          </cell>
          <cell r="J9813" t="str">
            <v/>
          </cell>
          <cell r="O9813" t="str">
            <v/>
          </cell>
          <cell r="P9813" t="str">
            <v/>
          </cell>
          <cell r="Q9813" t="str">
            <v/>
          </cell>
          <cell r="S9813" t="str">
            <v/>
          </cell>
          <cell r="V9813" t="str">
            <v/>
          </cell>
          <cell r="Z9813" t="str">
            <v/>
          </cell>
          <cell r="AA9813" t="str">
            <v/>
          </cell>
          <cell r="AB9813" t="str">
            <v/>
          </cell>
          <cell r="AC9813" t="str">
            <v/>
          </cell>
          <cell r="AD9813" t="str">
            <v/>
          </cell>
          <cell r="AY9813" t="str">
            <v/>
          </cell>
          <cell r="AZ9813" t="str">
            <v/>
          </cell>
          <cell r="BA9813" t="str">
            <v/>
          </cell>
        </row>
        <row r="9814">
          <cell r="B9814" t="str">
            <v>-</v>
          </cell>
          <cell r="E9814" t="str">
            <v/>
          </cell>
          <cell r="G9814" t="str">
            <v/>
          </cell>
          <cell r="J9814" t="str">
            <v/>
          </cell>
          <cell r="O9814" t="str">
            <v/>
          </cell>
          <cell r="P9814" t="str">
            <v/>
          </cell>
          <cell r="Q9814" t="str">
            <v/>
          </cell>
          <cell r="S9814" t="str">
            <v/>
          </cell>
          <cell r="V9814" t="str">
            <v/>
          </cell>
          <cell r="Z9814" t="str">
            <v/>
          </cell>
          <cell r="AA9814" t="str">
            <v/>
          </cell>
          <cell r="AB9814" t="str">
            <v/>
          </cell>
          <cell r="AC9814" t="str">
            <v/>
          </cell>
          <cell r="AD9814" t="str">
            <v/>
          </cell>
          <cell r="AY9814" t="str">
            <v/>
          </cell>
          <cell r="AZ9814" t="str">
            <v/>
          </cell>
          <cell r="BA9814" t="str">
            <v/>
          </cell>
        </row>
        <row r="9815">
          <cell r="B9815" t="str">
            <v>-</v>
          </cell>
          <cell r="E9815" t="str">
            <v/>
          </cell>
          <cell r="G9815" t="str">
            <v/>
          </cell>
          <cell r="J9815" t="str">
            <v/>
          </cell>
          <cell r="O9815" t="str">
            <v/>
          </cell>
          <cell r="P9815" t="str">
            <v/>
          </cell>
          <cell r="Q9815" t="str">
            <v/>
          </cell>
          <cell r="S9815" t="str">
            <v/>
          </cell>
          <cell r="V9815" t="str">
            <v/>
          </cell>
          <cell r="Z9815" t="str">
            <v/>
          </cell>
          <cell r="AA9815" t="str">
            <v/>
          </cell>
          <cell r="AB9815" t="str">
            <v/>
          </cell>
          <cell r="AC9815" t="str">
            <v/>
          </cell>
          <cell r="AD9815" t="str">
            <v/>
          </cell>
          <cell r="AY9815" t="str">
            <v/>
          </cell>
          <cell r="AZ9815" t="str">
            <v/>
          </cell>
          <cell r="BA9815" t="str">
            <v/>
          </cell>
        </row>
        <row r="9816">
          <cell r="B9816" t="str">
            <v>-</v>
          </cell>
          <cell r="E9816" t="str">
            <v/>
          </cell>
          <cell r="G9816" t="str">
            <v/>
          </cell>
          <cell r="J9816" t="str">
            <v/>
          </cell>
          <cell r="O9816" t="str">
            <v/>
          </cell>
          <cell r="P9816" t="str">
            <v/>
          </cell>
          <cell r="Q9816" t="str">
            <v/>
          </cell>
          <cell r="S9816" t="str">
            <v/>
          </cell>
          <cell r="V9816" t="str">
            <v/>
          </cell>
          <cell r="Z9816" t="str">
            <v/>
          </cell>
          <cell r="AA9816" t="str">
            <v/>
          </cell>
          <cell r="AB9816" t="str">
            <v/>
          </cell>
          <cell r="AC9816" t="str">
            <v/>
          </cell>
          <cell r="AD9816" t="str">
            <v/>
          </cell>
          <cell r="AY9816" t="str">
            <v/>
          </cell>
          <cell r="AZ9816" t="str">
            <v/>
          </cell>
          <cell r="BA9816" t="str">
            <v/>
          </cell>
        </row>
        <row r="9817">
          <cell r="B9817" t="str">
            <v>-</v>
          </cell>
          <cell r="E9817" t="str">
            <v/>
          </cell>
          <cell r="G9817" t="str">
            <v/>
          </cell>
          <cell r="J9817" t="str">
            <v/>
          </cell>
          <cell r="O9817" t="str">
            <v/>
          </cell>
          <cell r="P9817" t="str">
            <v/>
          </cell>
          <cell r="Q9817" t="str">
            <v/>
          </cell>
          <cell r="S9817" t="str">
            <v/>
          </cell>
          <cell r="V9817" t="str">
            <v/>
          </cell>
          <cell r="Z9817" t="str">
            <v/>
          </cell>
          <cell r="AA9817" t="str">
            <v/>
          </cell>
          <cell r="AB9817" t="str">
            <v/>
          </cell>
          <cell r="AC9817" t="str">
            <v/>
          </cell>
          <cell r="AD9817" t="str">
            <v/>
          </cell>
          <cell r="AY9817" t="str">
            <v/>
          </cell>
          <cell r="AZ9817" t="str">
            <v/>
          </cell>
          <cell r="BA9817" t="str">
            <v/>
          </cell>
        </row>
        <row r="9818">
          <cell r="B9818" t="str">
            <v>-</v>
          </cell>
          <cell r="E9818" t="str">
            <v/>
          </cell>
          <cell r="G9818" t="str">
            <v/>
          </cell>
          <cell r="J9818" t="str">
            <v/>
          </cell>
          <cell r="O9818" t="str">
            <v/>
          </cell>
          <cell r="P9818" t="str">
            <v/>
          </cell>
          <cell r="Q9818" t="str">
            <v/>
          </cell>
          <cell r="S9818" t="str">
            <v/>
          </cell>
          <cell r="V9818" t="str">
            <v/>
          </cell>
          <cell r="Z9818" t="str">
            <v/>
          </cell>
          <cell r="AA9818" t="str">
            <v/>
          </cell>
          <cell r="AB9818" t="str">
            <v/>
          </cell>
          <cell r="AC9818" t="str">
            <v/>
          </cell>
          <cell r="AD9818" t="str">
            <v/>
          </cell>
          <cell r="AY9818" t="str">
            <v/>
          </cell>
          <cell r="AZ9818" t="str">
            <v/>
          </cell>
          <cell r="BA9818" t="str">
            <v/>
          </cell>
        </row>
        <row r="9819">
          <cell r="B9819" t="str">
            <v>-</v>
          </cell>
          <cell r="E9819" t="str">
            <v/>
          </cell>
          <cell r="G9819" t="str">
            <v/>
          </cell>
          <cell r="J9819" t="str">
            <v/>
          </cell>
          <cell r="O9819" t="str">
            <v/>
          </cell>
          <cell r="P9819" t="str">
            <v/>
          </cell>
          <cell r="Q9819" t="str">
            <v/>
          </cell>
          <cell r="S9819" t="str">
            <v/>
          </cell>
          <cell r="V9819" t="str">
            <v/>
          </cell>
          <cell r="Z9819" t="str">
            <v/>
          </cell>
          <cell r="AA9819" t="str">
            <v/>
          </cell>
          <cell r="AB9819" t="str">
            <v/>
          </cell>
          <cell r="AC9819" t="str">
            <v/>
          </cell>
          <cell r="AD9819" t="str">
            <v/>
          </cell>
          <cell r="AY9819" t="str">
            <v/>
          </cell>
          <cell r="AZ9819" t="str">
            <v/>
          </cell>
          <cell r="BA9819" t="str">
            <v/>
          </cell>
        </row>
        <row r="9820">
          <cell r="B9820" t="str">
            <v>-</v>
          </cell>
          <cell r="E9820" t="str">
            <v/>
          </cell>
          <cell r="G9820" t="str">
            <v/>
          </cell>
          <cell r="J9820" t="str">
            <v/>
          </cell>
          <cell r="O9820" t="str">
            <v/>
          </cell>
          <cell r="P9820" t="str">
            <v/>
          </cell>
          <cell r="Q9820" t="str">
            <v/>
          </cell>
          <cell r="S9820" t="str">
            <v/>
          </cell>
          <cell r="V9820" t="str">
            <v/>
          </cell>
          <cell r="Z9820" t="str">
            <v/>
          </cell>
          <cell r="AA9820" t="str">
            <v/>
          </cell>
          <cell r="AB9820" t="str">
            <v/>
          </cell>
          <cell r="AC9820" t="str">
            <v/>
          </cell>
          <cell r="AD9820" t="str">
            <v/>
          </cell>
          <cell r="AY9820" t="str">
            <v/>
          </cell>
          <cell r="AZ9820" t="str">
            <v/>
          </cell>
          <cell r="BA9820" t="str">
            <v/>
          </cell>
        </row>
        <row r="9821">
          <cell r="B9821" t="str">
            <v>-</v>
          </cell>
          <cell r="E9821" t="str">
            <v/>
          </cell>
          <cell r="G9821" t="str">
            <v/>
          </cell>
          <cell r="J9821" t="str">
            <v/>
          </cell>
          <cell r="O9821" t="str">
            <v/>
          </cell>
          <cell r="P9821" t="str">
            <v/>
          </cell>
          <cell r="Q9821" t="str">
            <v/>
          </cell>
          <cell r="S9821" t="str">
            <v/>
          </cell>
          <cell r="V9821" t="str">
            <v/>
          </cell>
          <cell r="Z9821" t="str">
            <v/>
          </cell>
          <cell r="AA9821" t="str">
            <v/>
          </cell>
          <cell r="AB9821" t="str">
            <v/>
          </cell>
          <cell r="AC9821" t="str">
            <v/>
          </cell>
          <cell r="AD9821" t="str">
            <v/>
          </cell>
          <cell r="AY9821" t="str">
            <v/>
          </cell>
          <cell r="AZ9821" t="str">
            <v/>
          </cell>
          <cell r="BA9821" t="str">
            <v/>
          </cell>
        </row>
        <row r="9822">
          <cell r="B9822" t="str">
            <v>-</v>
          </cell>
          <cell r="E9822" t="str">
            <v/>
          </cell>
          <cell r="G9822" t="str">
            <v/>
          </cell>
          <cell r="J9822" t="str">
            <v/>
          </cell>
          <cell r="O9822" t="str">
            <v/>
          </cell>
          <cell r="P9822" t="str">
            <v/>
          </cell>
          <cell r="Q9822" t="str">
            <v/>
          </cell>
          <cell r="S9822" t="str">
            <v/>
          </cell>
          <cell r="V9822" t="str">
            <v/>
          </cell>
          <cell r="Z9822" t="str">
            <v/>
          </cell>
          <cell r="AA9822" t="str">
            <v/>
          </cell>
          <cell r="AB9822" t="str">
            <v/>
          </cell>
          <cell r="AC9822" t="str">
            <v/>
          </cell>
          <cell r="AD9822" t="str">
            <v/>
          </cell>
          <cell r="AY9822" t="str">
            <v/>
          </cell>
          <cell r="AZ9822" t="str">
            <v/>
          </cell>
          <cell r="BA9822" t="str">
            <v/>
          </cell>
        </row>
        <row r="9823">
          <cell r="B9823" t="str">
            <v>-</v>
          </cell>
          <cell r="E9823" t="str">
            <v/>
          </cell>
          <cell r="G9823" t="str">
            <v/>
          </cell>
          <cell r="J9823" t="str">
            <v/>
          </cell>
          <cell r="O9823" t="str">
            <v/>
          </cell>
          <cell r="P9823" t="str">
            <v/>
          </cell>
          <cell r="Q9823" t="str">
            <v/>
          </cell>
          <cell r="S9823" t="str">
            <v/>
          </cell>
          <cell r="V9823" t="str">
            <v/>
          </cell>
          <cell r="Z9823" t="str">
            <v/>
          </cell>
          <cell r="AA9823" t="str">
            <v/>
          </cell>
          <cell r="AB9823" t="str">
            <v/>
          </cell>
          <cell r="AC9823" t="str">
            <v/>
          </cell>
          <cell r="AD9823" t="str">
            <v/>
          </cell>
          <cell r="AY9823" t="str">
            <v/>
          </cell>
          <cell r="AZ9823" t="str">
            <v/>
          </cell>
          <cell r="BA9823" t="str">
            <v/>
          </cell>
        </row>
        <row r="9824">
          <cell r="B9824" t="str">
            <v>-</v>
          </cell>
          <cell r="E9824" t="str">
            <v/>
          </cell>
          <cell r="G9824" t="str">
            <v/>
          </cell>
          <cell r="J9824" t="str">
            <v/>
          </cell>
          <cell r="O9824" t="str">
            <v/>
          </cell>
          <cell r="P9824" t="str">
            <v/>
          </cell>
          <cell r="Q9824" t="str">
            <v/>
          </cell>
          <cell r="S9824" t="str">
            <v/>
          </cell>
          <cell r="V9824" t="str">
            <v/>
          </cell>
          <cell r="Z9824" t="str">
            <v/>
          </cell>
          <cell r="AA9824" t="str">
            <v/>
          </cell>
          <cell r="AB9824" t="str">
            <v/>
          </cell>
          <cell r="AC9824" t="str">
            <v/>
          </cell>
          <cell r="AD9824" t="str">
            <v/>
          </cell>
          <cell r="AY9824" t="str">
            <v/>
          </cell>
          <cell r="AZ9824" t="str">
            <v/>
          </cell>
          <cell r="BA9824" t="str">
            <v/>
          </cell>
        </row>
        <row r="9825">
          <cell r="B9825" t="str">
            <v>-</v>
          </cell>
          <cell r="E9825" t="str">
            <v/>
          </cell>
          <cell r="G9825" t="str">
            <v/>
          </cell>
          <cell r="J9825" t="str">
            <v/>
          </cell>
          <cell r="O9825" t="str">
            <v/>
          </cell>
          <cell r="P9825" t="str">
            <v/>
          </cell>
          <cell r="Q9825" t="str">
            <v/>
          </cell>
          <cell r="S9825" t="str">
            <v/>
          </cell>
          <cell r="V9825" t="str">
            <v/>
          </cell>
          <cell r="Z9825" t="str">
            <v/>
          </cell>
          <cell r="AA9825" t="str">
            <v/>
          </cell>
          <cell r="AB9825" t="str">
            <v/>
          </cell>
          <cell r="AC9825" t="str">
            <v/>
          </cell>
          <cell r="AD9825" t="str">
            <v/>
          </cell>
          <cell r="AY9825" t="str">
            <v/>
          </cell>
          <cell r="AZ9825" t="str">
            <v/>
          </cell>
          <cell r="BA9825" t="str">
            <v/>
          </cell>
        </row>
        <row r="9826">
          <cell r="B9826" t="str">
            <v>-</v>
          </cell>
          <cell r="E9826" t="str">
            <v/>
          </cell>
          <cell r="G9826" t="str">
            <v/>
          </cell>
          <cell r="J9826" t="str">
            <v/>
          </cell>
          <cell r="O9826" t="str">
            <v/>
          </cell>
          <cell r="P9826" t="str">
            <v/>
          </cell>
          <cell r="Q9826" t="str">
            <v/>
          </cell>
          <cell r="S9826" t="str">
            <v/>
          </cell>
          <cell r="V9826" t="str">
            <v/>
          </cell>
          <cell r="Z9826" t="str">
            <v/>
          </cell>
          <cell r="AA9826" t="str">
            <v/>
          </cell>
          <cell r="AB9826" t="str">
            <v/>
          </cell>
          <cell r="AC9826" t="str">
            <v/>
          </cell>
          <cell r="AD9826" t="str">
            <v/>
          </cell>
          <cell r="AY9826" t="str">
            <v/>
          </cell>
          <cell r="AZ9826" t="str">
            <v/>
          </cell>
          <cell r="BA9826" t="str">
            <v/>
          </cell>
        </row>
        <row r="9827">
          <cell r="B9827" t="str">
            <v>-</v>
          </cell>
          <cell r="E9827" t="str">
            <v/>
          </cell>
          <cell r="G9827" t="str">
            <v/>
          </cell>
          <cell r="J9827" t="str">
            <v/>
          </cell>
          <cell r="O9827" t="str">
            <v/>
          </cell>
          <cell r="P9827" t="str">
            <v/>
          </cell>
          <cell r="Q9827" t="str">
            <v/>
          </cell>
          <cell r="S9827" t="str">
            <v/>
          </cell>
          <cell r="V9827" t="str">
            <v/>
          </cell>
          <cell r="Z9827" t="str">
            <v/>
          </cell>
          <cell r="AA9827" t="str">
            <v/>
          </cell>
          <cell r="AB9827" t="str">
            <v/>
          </cell>
          <cell r="AC9827" t="str">
            <v/>
          </cell>
          <cell r="AD9827" t="str">
            <v/>
          </cell>
          <cell r="AY9827" t="str">
            <v/>
          </cell>
          <cell r="AZ9827" t="str">
            <v/>
          </cell>
          <cell r="BA9827" t="str">
            <v/>
          </cell>
        </row>
        <row r="9828">
          <cell r="B9828" t="str">
            <v>-</v>
          </cell>
          <cell r="E9828" t="str">
            <v/>
          </cell>
          <cell r="G9828" t="str">
            <v/>
          </cell>
          <cell r="J9828" t="str">
            <v/>
          </cell>
          <cell r="O9828" t="str">
            <v/>
          </cell>
          <cell r="P9828" t="str">
            <v/>
          </cell>
          <cell r="Q9828" t="str">
            <v/>
          </cell>
          <cell r="S9828" t="str">
            <v/>
          </cell>
          <cell r="V9828" t="str">
            <v/>
          </cell>
          <cell r="Z9828" t="str">
            <v/>
          </cell>
          <cell r="AA9828" t="str">
            <v/>
          </cell>
          <cell r="AB9828" t="str">
            <v/>
          </cell>
          <cell r="AC9828" t="str">
            <v/>
          </cell>
          <cell r="AD9828" t="str">
            <v/>
          </cell>
          <cell r="AY9828" t="str">
            <v/>
          </cell>
          <cell r="AZ9828" t="str">
            <v/>
          </cell>
          <cell r="BA9828" t="str">
            <v/>
          </cell>
        </row>
        <row r="9829">
          <cell r="B9829" t="str">
            <v>-</v>
          </cell>
          <cell r="E9829" t="str">
            <v/>
          </cell>
          <cell r="G9829" t="str">
            <v/>
          </cell>
          <cell r="J9829" t="str">
            <v/>
          </cell>
          <cell r="O9829" t="str">
            <v/>
          </cell>
          <cell r="P9829" t="str">
            <v/>
          </cell>
          <cell r="Q9829" t="str">
            <v/>
          </cell>
          <cell r="S9829" t="str">
            <v/>
          </cell>
          <cell r="V9829" t="str">
            <v/>
          </cell>
          <cell r="Z9829" t="str">
            <v/>
          </cell>
          <cell r="AA9829" t="str">
            <v/>
          </cell>
          <cell r="AB9829" t="str">
            <v/>
          </cell>
          <cell r="AC9829" t="str">
            <v/>
          </cell>
          <cell r="AD9829" t="str">
            <v/>
          </cell>
          <cell r="AY9829" t="str">
            <v/>
          </cell>
          <cell r="AZ9829" t="str">
            <v/>
          </cell>
          <cell r="BA9829" t="str">
            <v/>
          </cell>
        </row>
        <row r="9830">
          <cell r="B9830" t="str">
            <v>-</v>
          </cell>
          <cell r="E9830" t="str">
            <v/>
          </cell>
          <cell r="G9830" t="str">
            <v/>
          </cell>
          <cell r="J9830" t="str">
            <v/>
          </cell>
          <cell r="O9830" t="str">
            <v/>
          </cell>
          <cell r="P9830" t="str">
            <v/>
          </cell>
          <cell r="Q9830" t="str">
            <v/>
          </cell>
          <cell r="S9830" t="str">
            <v/>
          </cell>
          <cell r="V9830" t="str">
            <v/>
          </cell>
          <cell r="Z9830" t="str">
            <v/>
          </cell>
          <cell r="AA9830" t="str">
            <v/>
          </cell>
          <cell r="AB9830" t="str">
            <v/>
          </cell>
          <cell r="AC9830" t="str">
            <v/>
          </cell>
          <cell r="AD9830" t="str">
            <v/>
          </cell>
          <cell r="AY9830" t="str">
            <v/>
          </cell>
          <cell r="AZ9830" t="str">
            <v/>
          </cell>
          <cell r="BA9830" t="str">
            <v/>
          </cell>
        </row>
        <row r="9831">
          <cell r="B9831" t="str">
            <v>-</v>
          </cell>
          <cell r="E9831" t="str">
            <v/>
          </cell>
          <cell r="G9831" t="str">
            <v/>
          </cell>
          <cell r="J9831" t="str">
            <v/>
          </cell>
          <cell r="O9831" t="str">
            <v/>
          </cell>
          <cell r="P9831" t="str">
            <v/>
          </cell>
          <cell r="Q9831" t="str">
            <v/>
          </cell>
          <cell r="S9831" t="str">
            <v/>
          </cell>
          <cell r="V9831" t="str">
            <v/>
          </cell>
          <cell r="Z9831" t="str">
            <v/>
          </cell>
          <cell r="AA9831" t="str">
            <v/>
          </cell>
          <cell r="AB9831" t="str">
            <v/>
          </cell>
          <cell r="AC9831" t="str">
            <v/>
          </cell>
          <cell r="AD9831" t="str">
            <v/>
          </cell>
          <cell r="AY9831" t="str">
            <v/>
          </cell>
          <cell r="AZ9831" t="str">
            <v/>
          </cell>
          <cell r="BA9831" t="str">
            <v/>
          </cell>
        </row>
        <row r="9832">
          <cell r="B9832" t="str">
            <v>-</v>
          </cell>
          <cell r="E9832" t="str">
            <v/>
          </cell>
          <cell r="G9832" t="str">
            <v/>
          </cell>
          <cell r="J9832" t="str">
            <v/>
          </cell>
          <cell r="O9832" t="str">
            <v/>
          </cell>
          <cell r="P9832" t="str">
            <v/>
          </cell>
          <cell r="Q9832" t="str">
            <v/>
          </cell>
          <cell r="S9832" t="str">
            <v/>
          </cell>
          <cell r="V9832" t="str">
            <v/>
          </cell>
          <cell r="Z9832" t="str">
            <v/>
          </cell>
          <cell r="AA9832" t="str">
            <v/>
          </cell>
          <cell r="AB9832" t="str">
            <v/>
          </cell>
          <cell r="AC9832" t="str">
            <v/>
          </cell>
          <cell r="AD9832" t="str">
            <v/>
          </cell>
          <cell r="AY9832" t="str">
            <v/>
          </cell>
          <cell r="AZ9832" t="str">
            <v/>
          </cell>
          <cell r="BA9832" t="str">
            <v/>
          </cell>
        </row>
        <row r="9833">
          <cell r="B9833" t="str">
            <v>-</v>
          </cell>
          <cell r="E9833" t="str">
            <v/>
          </cell>
          <cell r="G9833" t="str">
            <v/>
          </cell>
          <cell r="J9833" t="str">
            <v/>
          </cell>
          <cell r="O9833" t="str">
            <v/>
          </cell>
          <cell r="P9833" t="str">
            <v/>
          </cell>
          <cell r="Q9833" t="str">
            <v/>
          </cell>
          <cell r="S9833" t="str">
            <v/>
          </cell>
          <cell r="V9833" t="str">
            <v/>
          </cell>
          <cell r="Z9833" t="str">
            <v/>
          </cell>
          <cell r="AA9833" t="str">
            <v/>
          </cell>
          <cell r="AB9833" t="str">
            <v/>
          </cell>
          <cell r="AC9833" t="str">
            <v/>
          </cell>
          <cell r="AD9833" t="str">
            <v/>
          </cell>
          <cell r="AY9833" t="str">
            <v/>
          </cell>
          <cell r="AZ9833" t="str">
            <v/>
          </cell>
          <cell r="BA9833" t="str">
            <v/>
          </cell>
        </row>
        <row r="9834">
          <cell r="B9834" t="str">
            <v>-</v>
          </cell>
          <cell r="E9834" t="str">
            <v/>
          </cell>
          <cell r="G9834" t="str">
            <v/>
          </cell>
          <cell r="J9834" t="str">
            <v/>
          </cell>
          <cell r="O9834" t="str">
            <v/>
          </cell>
          <cell r="P9834" t="str">
            <v/>
          </cell>
          <cell r="Q9834" t="str">
            <v/>
          </cell>
          <cell r="S9834" t="str">
            <v/>
          </cell>
          <cell r="V9834" t="str">
            <v/>
          </cell>
          <cell r="Z9834" t="str">
            <v/>
          </cell>
          <cell r="AA9834" t="str">
            <v/>
          </cell>
          <cell r="AB9834" t="str">
            <v/>
          </cell>
          <cell r="AC9834" t="str">
            <v/>
          </cell>
          <cell r="AD9834" t="str">
            <v/>
          </cell>
          <cell r="AY9834" t="str">
            <v/>
          </cell>
          <cell r="AZ9834" t="str">
            <v/>
          </cell>
          <cell r="BA9834" t="str">
            <v/>
          </cell>
        </row>
        <row r="9835">
          <cell r="B9835" t="str">
            <v>-</v>
          </cell>
          <cell r="E9835" t="str">
            <v/>
          </cell>
          <cell r="G9835" t="str">
            <v/>
          </cell>
          <cell r="J9835" t="str">
            <v/>
          </cell>
          <cell r="O9835" t="str">
            <v/>
          </cell>
          <cell r="P9835" t="str">
            <v/>
          </cell>
          <cell r="Q9835" t="str">
            <v/>
          </cell>
          <cell r="S9835" t="str">
            <v/>
          </cell>
          <cell r="V9835" t="str">
            <v/>
          </cell>
          <cell r="Z9835" t="str">
            <v/>
          </cell>
          <cell r="AA9835" t="str">
            <v/>
          </cell>
          <cell r="AB9835" t="str">
            <v/>
          </cell>
          <cell r="AC9835" t="str">
            <v/>
          </cell>
          <cell r="AD9835" t="str">
            <v/>
          </cell>
          <cell r="AY9835" t="str">
            <v/>
          </cell>
          <cell r="AZ9835" t="str">
            <v/>
          </cell>
          <cell r="BA9835" t="str">
            <v/>
          </cell>
        </row>
        <row r="9836">
          <cell r="B9836" t="str">
            <v>-</v>
          </cell>
          <cell r="E9836" t="str">
            <v/>
          </cell>
          <cell r="G9836" t="str">
            <v/>
          </cell>
          <cell r="J9836" t="str">
            <v/>
          </cell>
          <cell r="O9836" t="str">
            <v/>
          </cell>
          <cell r="P9836" t="str">
            <v/>
          </cell>
          <cell r="Q9836" t="str">
            <v/>
          </cell>
          <cell r="S9836" t="str">
            <v/>
          </cell>
          <cell r="V9836" t="str">
            <v/>
          </cell>
          <cell r="Z9836" t="str">
            <v/>
          </cell>
          <cell r="AA9836" t="str">
            <v/>
          </cell>
          <cell r="AB9836" t="str">
            <v/>
          </cell>
          <cell r="AC9836" t="str">
            <v/>
          </cell>
          <cell r="AD9836" t="str">
            <v/>
          </cell>
          <cell r="AY9836" t="str">
            <v/>
          </cell>
          <cell r="AZ9836" t="str">
            <v/>
          </cell>
          <cell r="BA9836" t="str">
            <v/>
          </cell>
        </row>
        <row r="9837">
          <cell r="B9837" t="str">
            <v>-</v>
          </cell>
          <cell r="E9837" t="str">
            <v/>
          </cell>
          <cell r="G9837" t="str">
            <v/>
          </cell>
          <cell r="J9837" t="str">
            <v/>
          </cell>
          <cell r="O9837" t="str">
            <v/>
          </cell>
          <cell r="P9837" t="str">
            <v/>
          </cell>
          <cell r="Q9837" t="str">
            <v/>
          </cell>
          <cell r="S9837" t="str">
            <v/>
          </cell>
          <cell r="V9837" t="str">
            <v/>
          </cell>
          <cell r="Z9837" t="str">
            <v/>
          </cell>
          <cell r="AA9837" t="str">
            <v/>
          </cell>
          <cell r="AB9837" t="str">
            <v/>
          </cell>
          <cell r="AC9837" t="str">
            <v/>
          </cell>
          <cell r="AD9837" t="str">
            <v/>
          </cell>
          <cell r="AY9837" t="str">
            <v/>
          </cell>
          <cell r="AZ9837" t="str">
            <v/>
          </cell>
          <cell r="BA9837" t="str">
            <v/>
          </cell>
        </row>
        <row r="9838">
          <cell r="B9838" t="str">
            <v>-</v>
          </cell>
          <cell r="E9838" t="str">
            <v/>
          </cell>
          <cell r="G9838" t="str">
            <v/>
          </cell>
          <cell r="J9838" t="str">
            <v/>
          </cell>
          <cell r="O9838" t="str">
            <v/>
          </cell>
          <cell r="P9838" t="str">
            <v/>
          </cell>
          <cell r="Q9838" t="str">
            <v/>
          </cell>
          <cell r="S9838" t="str">
            <v/>
          </cell>
          <cell r="V9838" t="str">
            <v/>
          </cell>
          <cell r="Z9838" t="str">
            <v/>
          </cell>
          <cell r="AA9838" t="str">
            <v/>
          </cell>
          <cell r="AB9838" t="str">
            <v/>
          </cell>
          <cell r="AC9838" t="str">
            <v/>
          </cell>
          <cell r="AD9838" t="str">
            <v/>
          </cell>
          <cell r="AY9838" t="str">
            <v/>
          </cell>
          <cell r="AZ9838" t="str">
            <v/>
          </cell>
          <cell r="BA9838" t="str">
            <v/>
          </cell>
        </row>
        <row r="9839">
          <cell r="B9839" t="str">
            <v>-</v>
          </cell>
          <cell r="E9839" t="str">
            <v/>
          </cell>
          <cell r="G9839" t="str">
            <v/>
          </cell>
          <cell r="J9839" t="str">
            <v/>
          </cell>
          <cell r="O9839" t="str">
            <v/>
          </cell>
          <cell r="P9839" t="str">
            <v/>
          </cell>
          <cell r="Q9839" t="str">
            <v/>
          </cell>
          <cell r="S9839" t="str">
            <v/>
          </cell>
          <cell r="V9839" t="str">
            <v/>
          </cell>
          <cell r="Z9839" t="str">
            <v/>
          </cell>
          <cell r="AA9839" t="str">
            <v/>
          </cell>
          <cell r="AB9839" t="str">
            <v/>
          </cell>
          <cell r="AC9839" t="str">
            <v/>
          </cell>
          <cell r="AD9839" t="str">
            <v/>
          </cell>
          <cell r="AY9839" t="str">
            <v/>
          </cell>
          <cell r="AZ9839" t="str">
            <v/>
          </cell>
          <cell r="BA9839" t="str">
            <v/>
          </cell>
        </row>
        <row r="9840">
          <cell r="B9840" t="str">
            <v>-</v>
          </cell>
          <cell r="E9840" t="str">
            <v/>
          </cell>
          <cell r="G9840" t="str">
            <v/>
          </cell>
          <cell r="J9840" t="str">
            <v/>
          </cell>
          <cell r="O9840" t="str">
            <v/>
          </cell>
          <cell r="P9840" t="str">
            <v/>
          </cell>
          <cell r="Q9840" t="str">
            <v/>
          </cell>
          <cell r="S9840" t="str">
            <v/>
          </cell>
          <cell r="V9840" t="str">
            <v/>
          </cell>
          <cell r="Z9840" t="str">
            <v/>
          </cell>
          <cell r="AA9840" t="str">
            <v/>
          </cell>
          <cell r="AB9840" t="str">
            <v/>
          </cell>
          <cell r="AC9840" t="str">
            <v/>
          </cell>
          <cell r="AD9840" t="str">
            <v/>
          </cell>
          <cell r="AY9840" t="str">
            <v/>
          </cell>
          <cell r="AZ9840" t="str">
            <v/>
          </cell>
          <cell r="BA9840" t="str">
            <v/>
          </cell>
        </row>
        <row r="9841">
          <cell r="B9841" t="str">
            <v>-</v>
          </cell>
          <cell r="E9841" t="str">
            <v/>
          </cell>
          <cell r="G9841" t="str">
            <v/>
          </cell>
          <cell r="J9841" t="str">
            <v/>
          </cell>
          <cell r="O9841" t="str">
            <v/>
          </cell>
          <cell r="P9841" t="str">
            <v/>
          </cell>
          <cell r="Q9841" t="str">
            <v/>
          </cell>
          <cell r="S9841" t="str">
            <v/>
          </cell>
          <cell r="V9841" t="str">
            <v/>
          </cell>
          <cell r="Z9841" t="str">
            <v/>
          </cell>
          <cell r="AA9841" t="str">
            <v/>
          </cell>
          <cell r="AB9841" t="str">
            <v/>
          </cell>
          <cell r="AC9841" t="str">
            <v/>
          </cell>
          <cell r="AD9841" t="str">
            <v/>
          </cell>
          <cell r="AY9841" t="str">
            <v/>
          </cell>
          <cell r="AZ9841" t="str">
            <v/>
          </cell>
          <cell r="BA9841" t="str">
            <v/>
          </cell>
        </row>
        <row r="9842">
          <cell r="B9842" t="str">
            <v>-</v>
          </cell>
          <cell r="E9842" t="str">
            <v/>
          </cell>
          <cell r="G9842" t="str">
            <v/>
          </cell>
          <cell r="J9842" t="str">
            <v/>
          </cell>
          <cell r="O9842" t="str">
            <v/>
          </cell>
          <cell r="P9842" t="str">
            <v/>
          </cell>
          <cell r="Q9842" t="str">
            <v/>
          </cell>
          <cell r="S9842" t="str">
            <v/>
          </cell>
          <cell r="V9842" t="str">
            <v/>
          </cell>
          <cell r="Z9842" t="str">
            <v/>
          </cell>
          <cell r="AA9842" t="str">
            <v/>
          </cell>
          <cell r="AB9842" t="str">
            <v/>
          </cell>
          <cell r="AC9842" t="str">
            <v/>
          </cell>
          <cell r="AD9842" t="str">
            <v/>
          </cell>
          <cell r="AY9842" t="str">
            <v/>
          </cell>
          <cell r="AZ9842" t="str">
            <v/>
          </cell>
          <cell r="BA9842" t="str">
            <v/>
          </cell>
        </row>
        <row r="9843">
          <cell r="B9843" t="str">
            <v>-</v>
          </cell>
          <cell r="E9843" t="str">
            <v/>
          </cell>
          <cell r="G9843" t="str">
            <v/>
          </cell>
          <cell r="J9843" t="str">
            <v/>
          </cell>
          <cell r="O9843" t="str">
            <v/>
          </cell>
          <cell r="P9843" t="str">
            <v/>
          </cell>
          <cell r="Q9843" t="str">
            <v/>
          </cell>
          <cell r="S9843" t="str">
            <v/>
          </cell>
          <cell r="V9843" t="str">
            <v/>
          </cell>
          <cell r="Z9843" t="str">
            <v/>
          </cell>
          <cell r="AA9843" t="str">
            <v/>
          </cell>
          <cell r="AB9843" t="str">
            <v/>
          </cell>
          <cell r="AC9843" t="str">
            <v/>
          </cell>
          <cell r="AD9843" t="str">
            <v/>
          </cell>
          <cell r="AY9843" t="str">
            <v/>
          </cell>
          <cell r="AZ9843" t="str">
            <v/>
          </cell>
          <cell r="BA9843" t="str">
            <v/>
          </cell>
        </row>
        <row r="9844">
          <cell r="B9844" t="str">
            <v>-</v>
          </cell>
          <cell r="E9844" t="str">
            <v/>
          </cell>
          <cell r="G9844" t="str">
            <v/>
          </cell>
          <cell r="J9844" t="str">
            <v/>
          </cell>
          <cell r="O9844" t="str">
            <v/>
          </cell>
          <cell r="P9844" t="str">
            <v/>
          </cell>
          <cell r="Q9844" t="str">
            <v/>
          </cell>
          <cell r="S9844" t="str">
            <v/>
          </cell>
          <cell r="V9844" t="str">
            <v/>
          </cell>
          <cell r="Z9844" t="str">
            <v/>
          </cell>
          <cell r="AA9844" t="str">
            <v/>
          </cell>
          <cell r="AB9844" t="str">
            <v/>
          </cell>
          <cell r="AC9844" t="str">
            <v/>
          </cell>
          <cell r="AD9844" t="str">
            <v/>
          </cell>
          <cell r="AY9844" t="str">
            <v/>
          </cell>
          <cell r="AZ9844" t="str">
            <v/>
          </cell>
          <cell r="BA9844" t="str">
            <v/>
          </cell>
        </row>
        <row r="9845">
          <cell r="B9845" t="str">
            <v>-</v>
          </cell>
          <cell r="E9845" t="str">
            <v/>
          </cell>
          <cell r="G9845" t="str">
            <v/>
          </cell>
          <cell r="J9845" t="str">
            <v/>
          </cell>
          <cell r="O9845" t="str">
            <v/>
          </cell>
          <cell r="P9845" t="str">
            <v/>
          </cell>
          <cell r="Q9845" t="str">
            <v/>
          </cell>
          <cell r="S9845" t="str">
            <v/>
          </cell>
          <cell r="V9845" t="str">
            <v/>
          </cell>
          <cell r="Z9845" t="str">
            <v/>
          </cell>
          <cell r="AA9845" t="str">
            <v/>
          </cell>
          <cell r="AB9845" t="str">
            <v/>
          </cell>
          <cell r="AC9845" t="str">
            <v/>
          </cell>
          <cell r="AD9845" t="str">
            <v/>
          </cell>
          <cell r="AY9845" t="str">
            <v/>
          </cell>
          <cell r="AZ9845" t="str">
            <v/>
          </cell>
          <cell r="BA9845" t="str">
            <v/>
          </cell>
        </row>
        <row r="9846">
          <cell r="B9846" t="str">
            <v>-</v>
          </cell>
          <cell r="E9846" t="str">
            <v/>
          </cell>
          <cell r="G9846" t="str">
            <v/>
          </cell>
          <cell r="J9846" t="str">
            <v/>
          </cell>
          <cell r="O9846" t="str">
            <v/>
          </cell>
          <cell r="P9846" t="str">
            <v/>
          </cell>
          <cell r="Q9846" t="str">
            <v/>
          </cell>
          <cell r="S9846" t="str">
            <v/>
          </cell>
          <cell r="V9846" t="str">
            <v/>
          </cell>
          <cell r="Z9846" t="str">
            <v/>
          </cell>
          <cell r="AA9846" t="str">
            <v/>
          </cell>
          <cell r="AB9846" t="str">
            <v/>
          </cell>
          <cell r="AC9846" t="str">
            <v/>
          </cell>
          <cell r="AD9846" t="str">
            <v/>
          </cell>
          <cell r="AY9846" t="str">
            <v/>
          </cell>
          <cell r="AZ9846" t="str">
            <v/>
          </cell>
          <cell r="BA9846" t="str">
            <v/>
          </cell>
        </row>
        <row r="9847">
          <cell r="B9847" t="str">
            <v>-</v>
          </cell>
          <cell r="E9847" t="str">
            <v/>
          </cell>
          <cell r="G9847" t="str">
            <v/>
          </cell>
          <cell r="J9847" t="str">
            <v/>
          </cell>
          <cell r="O9847" t="str">
            <v/>
          </cell>
          <cell r="P9847" t="str">
            <v/>
          </cell>
          <cell r="Q9847" t="str">
            <v/>
          </cell>
          <cell r="S9847" t="str">
            <v/>
          </cell>
          <cell r="V9847" t="str">
            <v/>
          </cell>
          <cell r="Z9847" t="str">
            <v/>
          </cell>
          <cell r="AA9847" t="str">
            <v/>
          </cell>
          <cell r="AB9847" t="str">
            <v/>
          </cell>
          <cell r="AC9847" t="str">
            <v/>
          </cell>
          <cell r="AD9847" t="str">
            <v/>
          </cell>
          <cell r="AY9847" t="str">
            <v/>
          </cell>
          <cell r="AZ9847" t="str">
            <v/>
          </cell>
          <cell r="BA9847" t="str">
            <v/>
          </cell>
        </row>
        <row r="9848">
          <cell r="B9848" t="str">
            <v>-</v>
          </cell>
          <cell r="E9848" t="str">
            <v/>
          </cell>
          <cell r="G9848" t="str">
            <v/>
          </cell>
          <cell r="J9848" t="str">
            <v/>
          </cell>
          <cell r="O9848" t="str">
            <v/>
          </cell>
          <cell r="P9848" t="str">
            <v/>
          </cell>
          <cell r="Q9848" t="str">
            <v/>
          </cell>
          <cell r="S9848" t="str">
            <v/>
          </cell>
          <cell r="V9848" t="str">
            <v/>
          </cell>
          <cell r="Z9848" t="str">
            <v/>
          </cell>
          <cell r="AA9848" t="str">
            <v/>
          </cell>
          <cell r="AB9848" t="str">
            <v/>
          </cell>
          <cell r="AC9848" t="str">
            <v/>
          </cell>
          <cell r="AD9848" t="str">
            <v/>
          </cell>
          <cell r="AY9848" t="str">
            <v/>
          </cell>
          <cell r="AZ9848" t="str">
            <v/>
          </cell>
          <cell r="BA9848" t="str">
            <v/>
          </cell>
        </row>
        <row r="9849">
          <cell r="B9849" t="str">
            <v>-</v>
          </cell>
          <cell r="E9849" t="str">
            <v/>
          </cell>
          <cell r="G9849" t="str">
            <v/>
          </cell>
          <cell r="J9849" t="str">
            <v/>
          </cell>
          <cell r="O9849" t="str">
            <v/>
          </cell>
          <cell r="P9849" t="str">
            <v/>
          </cell>
          <cell r="Q9849" t="str">
            <v/>
          </cell>
          <cell r="S9849" t="str">
            <v/>
          </cell>
          <cell r="V9849" t="str">
            <v/>
          </cell>
          <cell r="Z9849" t="str">
            <v/>
          </cell>
          <cell r="AA9849" t="str">
            <v/>
          </cell>
          <cell r="AB9849" t="str">
            <v/>
          </cell>
          <cell r="AC9849" t="str">
            <v/>
          </cell>
          <cell r="AD9849" t="str">
            <v/>
          </cell>
          <cell r="AY9849" t="str">
            <v/>
          </cell>
          <cell r="AZ9849" t="str">
            <v/>
          </cell>
          <cell r="BA9849" t="str">
            <v/>
          </cell>
        </row>
        <row r="9850">
          <cell r="B9850" t="str">
            <v>-</v>
          </cell>
          <cell r="E9850" t="str">
            <v/>
          </cell>
          <cell r="G9850" t="str">
            <v/>
          </cell>
          <cell r="J9850" t="str">
            <v/>
          </cell>
          <cell r="O9850" t="str">
            <v/>
          </cell>
          <cell r="P9850" t="str">
            <v/>
          </cell>
          <cell r="Q9850" t="str">
            <v/>
          </cell>
          <cell r="S9850" t="str">
            <v/>
          </cell>
          <cell r="V9850" t="str">
            <v/>
          </cell>
          <cell r="Z9850" t="str">
            <v/>
          </cell>
          <cell r="AA9850" t="str">
            <v/>
          </cell>
          <cell r="AB9850" t="str">
            <v/>
          </cell>
          <cell r="AC9850" t="str">
            <v/>
          </cell>
          <cell r="AD9850" t="str">
            <v/>
          </cell>
          <cell r="AY9850" t="str">
            <v/>
          </cell>
          <cell r="AZ9850" t="str">
            <v/>
          </cell>
          <cell r="BA9850" t="str">
            <v/>
          </cell>
        </row>
        <row r="9851">
          <cell r="B9851" t="str">
            <v>-</v>
          </cell>
          <cell r="E9851" t="str">
            <v/>
          </cell>
          <cell r="G9851" t="str">
            <v/>
          </cell>
          <cell r="J9851" t="str">
            <v/>
          </cell>
          <cell r="O9851" t="str">
            <v/>
          </cell>
          <cell r="P9851" t="str">
            <v/>
          </cell>
          <cell r="Q9851" t="str">
            <v/>
          </cell>
          <cell r="S9851" t="str">
            <v/>
          </cell>
          <cell r="V9851" t="str">
            <v/>
          </cell>
          <cell r="Z9851" t="str">
            <v/>
          </cell>
          <cell r="AA9851" t="str">
            <v/>
          </cell>
          <cell r="AB9851" t="str">
            <v/>
          </cell>
          <cell r="AC9851" t="str">
            <v/>
          </cell>
          <cell r="AD9851" t="str">
            <v/>
          </cell>
          <cell r="AY9851" t="str">
            <v/>
          </cell>
          <cell r="AZ9851" t="str">
            <v/>
          </cell>
          <cell r="BA9851" t="str">
            <v/>
          </cell>
        </row>
        <row r="9852">
          <cell r="B9852" t="str">
            <v>-</v>
          </cell>
          <cell r="E9852" t="str">
            <v/>
          </cell>
          <cell r="G9852" t="str">
            <v/>
          </cell>
          <cell r="J9852" t="str">
            <v/>
          </cell>
          <cell r="O9852" t="str">
            <v/>
          </cell>
          <cell r="P9852" t="str">
            <v/>
          </cell>
          <cell r="Q9852" t="str">
            <v/>
          </cell>
          <cell r="S9852" t="str">
            <v/>
          </cell>
          <cell r="V9852" t="str">
            <v/>
          </cell>
          <cell r="Z9852" t="str">
            <v/>
          </cell>
          <cell r="AA9852" t="str">
            <v/>
          </cell>
          <cell r="AB9852" t="str">
            <v/>
          </cell>
          <cell r="AC9852" t="str">
            <v/>
          </cell>
          <cell r="AD9852" t="str">
            <v/>
          </cell>
          <cell r="AY9852" t="str">
            <v/>
          </cell>
          <cell r="AZ9852" t="str">
            <v/>
          </cell>
          <cell r="BA9852" t="str">
            <v/>
          </cell>
        </row>
        <row r="9853">
          <cell r="B9853" t="str">
            <v>-</v>
          </cell>
          <cell r="E9853" t="str">
            <v/>
          </cell>
          <cell r="G9853" t="str">
            <v/>
          </cell>
          <cell r="J9853" t="str">
            <v/>
          </cell>
          <cell r="O9853" t="str">
            <v/>
          </cell>
          <cell r="P9853" t="str">
            <v/>
          </cell>
          <cell r="Q9853" t="str">
            <v/>
          </cell>
          <cell r="S9853" t="str">
            <v/>
          </cell>
          <cell r="V9853" t="str">
            <v/>
          </cell>
          <cell r="Z9853" t="str">
            <v/>
          </cell>
          <cell r="AA9853" t="str">
            <v/>
          </cell>
          <cell r="AB9853" t="str">
            <v/>
          </cell>
          <cell r="AC9853" t="str">
            <v/>
          </cell>
          <cell r="AD9853" t="str">
            <v/>
          </cell>
          <cell r="AY9853" t="str">
            <v/>
          </cell>
          <cell r="AZ9853" t="str">
            <v/>
          </cell>
          <cell r="BA9853" t="str">
            <v/>
          </cell>
        </row>
        <row r="9854">
          <cell r="B9854" t="str">
            <v>-</v>
          </cell>
          <cell r="E9854" t="str">
            <v/>
          </cell>
          <cell r="G9854" t="str">
            <v/>
          </cell>
          <cell r="J9854" t="str">
            <v/>
          </cell>
          <cell r="O9854" t="str">
            <v/>
          </cell>
          <cell r="P9854" t="str">
            <v/>
          </cell>
          <cell r="Q9854" t="str">
            <v/>
          </cell>
          <cell r="S9854" t="str">
            <v/>
          </cell>
          <cell r="V9854" t="str">
            <v/>
          </cell>
          <cell r="Z9854" t="str">
            <v/>
          </cell>
          <cell r="AA9854" t="str">
            <v/>
          </cell>
          <cell r="AB9854" t="str">
            <v/>
          </cell>
          <cell r="AC9854" t="str">
            <v/>
          </cell>
          <cell r="AD9854" t="str">
            <v/>
          </cell>
          <cell r="AY9854" t="str">
            <v/>
          </cell>
          <cell r="AZ9854" t="str">
            <v/>
          </cell>
          <cell r="BA9854" t="str">
            <v/>
          </cell>
        </row>
        <row r="9855">
          <cell r="B9855" t="str">
            <v>-</v>
          </cell>
          <cell r="E9855" t="str">
            <v/>
          </cell>
          <cell r="G9855" t="str">
            <v/>
          </cell>
          <cell r="J9855" t="str">
            <v/>
          </cell>
          <cell r="O9855" t="str">
            <v/>
          </cell>
          <cell r="P9855" t="str">
            <v/>
          </cell>
          <cell r="Q9855" t="str">
            <v/>
          </cell>
          <cell r="S9855" t="str">
            <v/>
          </cell>
          <cell r="V9855" t="str">
            <v/>
          </cell>
          <cell r="Z9855" t="str">
            <v/>
          </cell>
          <cell r="AA9855" t="str">
            <v/>
          </cell>
          <cell r="AB9855" t="str">
            <v/>
          </cell>
          <cell r="AC9855" t="str">
            <v/>
          </cell>
          <cell r="AD9855" t="str">
            <v/>
          </cell>
          <cell r="AY9855" t="str">
            <v/>
          </cell>
          <cell r="AZ9855" t="str">
            <v/>
          </cell>
          <cell r="BA9855" t="str">
            <v/>
          </cell>
        </row>
        <row r="9856">
          <cell r="B9856" t="str">
            <v>-</v>
          </cell>
          <cell r="E9856" t="str">
            <v/>
          </cell>
          <cell r="G9856" t="str">
            <v/>
          </cell>
          <cell r="J9856" t="str">
            <v/>
          </cell>
          <cell r="O9856" t="str">
            <v/>
          </cell>
          <cell r="P9856" t="str">
            <v/>
          </cell>
          <cell r="Q9856" t="str">
            <v/>
          </cell>
          <cell r="S9856" t="str">
            <v/>
          </cell>
          <cell r="V9856" t="str">
            <v/>
          </cell>
          <cell r="Z9856" t="str">
            <v/>
          </cell>
          <cell r="AA9856" t="str">
            <v/>
          </cell>
          <cell r="AB9856" t="str">
            <v/>
          </cell>
          <cell r="AC9856" t="str">
            <v/>
          </cell>
          <cell r="AD9856" t="str">
            <v/>
          </cell>
          <cell r="AY9856" t="str">
            <v/>
          </cell>
          <cell r="AZ9856" t="str">
            <v/>
          </cell>
          <cell r="BA9856" t="str">
            <v/>
          </cell>
        </row>
        <row r="9857">
          <cell r="B9857" t="str">
            <v>-</v>
          </cell>
          <cell r="E9857" t="str">
            <v/>
          </cell>
          <cell r="G9857" t="str">
            <v/>
          </cell>
          <cell r="J9857" t="str">
            <v/>
          </cell>
          <cell r="O9857" t="str">
            <v/>
          </cell>
          <cell r="P9857" t="str">
            <v/>
          </cell>
          <cell r="Q9857" t="str">
            <v/>
          </cell>
          <cell r="S9857" t="str">
            <v/>
          </cell>
          <cell r="V9857" t="str">
            <v/>
          </cell>
          <cell r="Z9857" t="str">
            <v/>
          </cell>
          <cell r="AA9857" t="str">
            <v/>
          </cell>
          <cell r="AB9857" t="str">
            <v/>
          </cell>
          <cell r="AC9857" t="str">
            <v/>
          </cell>
          <cell r="AD9857" t="str">
            <v/>
          </cell>
          <cell r="AY9857" t="str">
            <v/>
          </cell>
          <cell r="AZ9857" t="str">
            <v/>
          </cell>
          <cell r="BA9857" t="str">
            <v/>
          </cell>
        </row>
        <row r="9858">
          <cell r="B9858" t="str">
            <v>-</v>
          </cell>
          <cell r="E9858" t="str">
            <v/>
          </cell>
          <cell r="G9858" t="str">
            <v/>
          </cell>
          <cell r="J9858" t="str">
            <v/>
          </cell>
          <cell r="O9858" t="str">
            <v/>
          </cell>
          <cell r="P9858" t="str">
            <v/>
          </cell>
          <cell r="Q9858" t="str">
            <v/>
          </cell>
          <cell r="S9858" t="str">
            <v/>
          </cell>
          <cell r="V9858" t="str">
            <v/>
          </cell>
          <cell r="Z9858" t="str">
            <v/>
          </cell>
          <cell r="AA9858" t="str">
            <v/>
          </cell>
          <cell r="AB9858" t="str">
            <v/>
          </cell>
          <cell r="AC9858" t="str">
            <v/>
          </cell>
          <cell r="AD9858" t="str">
            <v/>
          </cell>
          <cell r="AY9858" t="str">
            <v/>
          </cell>
          <cell r="AZ9858" t="str">
            <v/>
          </cell>
          <cell r="BA9858" t="str">
            <v/>
          </cell>
        </row>
        <row r="9859">
          <cell r="B9859" t="str">
            <v>-</v>
          </cell>
          <cell r="E9859" t="str">
            <v/>
          </cell>
          <cell r="G9859" t="str">
            <v/>
          </cell>
          <cell r="J9859" t="str">
            <v/>
          </cell>
          <cell r="O9859" t="str">
            <v/>
          </cell>
          <cell r="P9859" t="str">
            <v/>
          </cell>
          <cell r="Q9859" t="str">
            <v/>
          </cell>
          <cell r="S9859" t="str">
            <v/>
          </cell>
          <cell r="V9859" t="str">
            <v/>
          </cell>
          <cell r="Z9859" t="str">
            <v/>
          </cell>
          <cell r="AA9859" t="str">
            <v/>
          </cell>
          <cell r="AB9859" t="str">
            <v/>
          </cell>
          <cell r="AC9859" t="str">
            <v/>
          </cell>
          <cell r="AD9859" t="str">
            <v/>
          </cell>
          <cell r="AY9859" t="str">
            <v/>
          </cell>
          <cell r="AZ9859" t="str">
            <v/>
          </cell>
          <cell r="BA9859" t="str">
            <v/>
          </cell>
        </row>
        <row r="9860">
          <cell r="B9860" t="str">
            <v>-</v>
          </cell>
          <cell r="E9860" t="str">
            <v/>
          </cell>
          <cell r="G9860" t="str">
            <v/>
          </cell>
          <cell r="J9860" t="str">
            <v/>
          </cell>
          <cell r="O9860" t="str">
            <v/>
          </cell>
          <cell r="P9860" t="str">
            <v/>
          </cell>
          <cell r="Q9860" t="str">
            <v/>
          </cell>
          <cell r="S9860" t="str">
            <v/>
          </cell>
          <cell r="V9860" t="str">
            <v/>
          </cell>
          <cell r="Z9860" t="str">
            <v/>
          </cell>
          <cell r="AA9860" t="str">
            <v/>
          </cell>
          <cell r="AB9860" t="str">
            <v/>
          </cell>
          <cell r="AC9860" t="str">
            <v/>
          </cell>
          <cell r="AD9860" t="str">
            <v/>
          </cell>
          <cell r="AY9860" t="str">
            <v/>
          </cell>
          <cell r="AZ9860" t="str">
            <v/>
          </cell>
          <cell r="BA9860" t="str">
            <v/>
          </cell>
        </row>
        <row r="9861">
          <cell r="B9861" t="str">
            <v>-</v>
          </cell>
          <cell r="E9861" t="str">
            <v/>
          </cell>
          <cell r="G9861" t="str">
            <v/>
          </cell>
          <cell r="J9861" t="str">
            <v/>
          </cell>
          <cell r="O9861" t="str">
            <v/>
          </cell>
          <cell r="P9861" t="str">
            <v/>
          </cell>
          <cell r="Q9861" t="str">
            <v/>
          </cell>
          <cell r="S9861" t="str">
            <v/>
          </cell>
          <cell r="V9861" t="str">
            <v/>
          </cell>
          <cell r="Z9861" t="str">
            <v/>
          </cell>
          <cell r="AA9861" t="str">
            <v/>
          </cell>
          <cell r="AB9861" t="str">
            <v/>
          </cell>
          <cell r="AC9861" t="str">
            <v/>
          </cell>
          <cell r="AD9861" t="str">
            <v/>
          </cell>
          <cell r="AY9861" t="str">
            <v/>
          </cell>
          <cell r="AZ9861" t="str">
            <v/>
          </cell>
          <cell r="BA9861" t="str">
            <v/>
          </cell>
        </row>
        <row r="9862">
          <cell r="B9862" t="str">
            <v>-</v>
          </cell>
          <cell r="E9862" t="str">
            <v/>
          </cell>
          <cell r="G9862" t="str">
            <v/>
          </cell>
          <cell r="J9862" t="str">
            <v/>
          </cell>
          <cell r="O9862" t="str">
            <v/>
          </cell>
          <cell r="P9862" t="str">
            <v/>
          </cell>
          <cell r="Q9862" t="str">
            <v/>
          </cell>
          <cell r="S9862" t="str">
            <v/>
          </cell>
          <cell r="V9862" t="str">
            <v/>
          </cell>
          <cell r="Z9862" t="str">
            <v/>
          </cell>
          <cell r="AA9862" t="str">
            <v/>
          </cell>
          <cell r="AB9862" t="str">
            <v/>
          </cell>
          <cell r="AC9862" t="str">
            <v/>
          </cell>
          <cell r="AD9862" t="str">
            <v/>
          </cell>
          <cell r="AY9862" t="str">
            <v/>
          </cell>
          <cell r="AZ9862" t="str">
            <v/>
          </cell>
          <cell r="BA9862" t="str">
            <v/>
          </cell>
        </row>
        <row r="9863">
          <cell r="B9863" t="str">
            <v>-</v>
          </cell>
          <cell r="E9863" t="str">
            <v/>
          </cell>
          <cell r="G9863" t="str">
            <v/>
          </cell>
          <cell r="J9863" t="str">
            <v/>
          </cell>
          <cell r="O9863" t="str">
            <v/>
          </cell>
          <cell r="P9863" t="str">
            <v/>
          </cell>
          <cell r="Q9863" t="str">
            <v/>
          </cell>
          <cell r="S9863" t="str">
            <v/>
          </cell>
          <cell r="V9863" t="str">
            <v/>
          </cell>
          <cell r="Z9863" t="str">
            <v/>
          </cell>
          <cell r="AA9863" t="str">
            <v/>
          </cell>
          <cell r="AB9863" t="str">
            <v/>
          </cell>
          <cell r="AC9863" t="str">
            <v/>
          </cell>
          <cell r="AD9863" t="str">
            <v/>
          </cell>
          <cell r="AY9863" t="str">
            <v/>
          </cell>
          <cell r="AZ9863" t="str">
            <v/>
          </cell>
          <cell r="BA9863" t="str">
            <v/>
          </cell>
        </row>
        <row r="9864">
          <cell r="B9864" t="str">
            <v>-</v>
          </cell>
          <cell r="E9864" t="str">
            <v/>
          </cell>
          <cell r="G9864" t="str">
            <v/>
          </cell>
          <cell r="J9864" t="str">
            <v/>
          </cell>
          <cell r="O9864" t="str">
            <v/>
          </cell>
          <cell r="P9864" t="str">
            <v/>
          </cell>
          <cell r="Q9864" t="str">
            <v/>
          </cell>
          <cell r="S9864" t="str">
            <v/>
          </cell>
          <cell r="V9864" t="str">
            <v/>
          </cell>
          <cell r="Z9864" t="str">
            <v/>
          </cell>
          <cell r="AA9864" t="str">
            <v/>
          </cell>
          <cell r="AB9864" t="str">
            <v/>
          </cell>
          <cell r="AC9864" t="str">
            <v/>
          </cell>
          <cell r="AD9864" t="str">
            <v/>
          </cell>
          <cell r="AY9864" t="str">
            <v/>
          </cell>
          <cell r="AZ9864" t="str">
            <v/>
          </cell>
          <cell r="BA9864" t="str">
            <v/>
          </cell>
        </row>
        <row r="9865">
          <cell r="B9865" t="str">
            <v>-</v>
          </cell>
          <cell r="E9865" t="str">
            <v/>
          </cell>
          <cell r="G9865" t="str">
            <v/>
          </cell>
          <cell r="J9865" t="str">
            <v/>
          </cell>
          <cell r="O9865" t="str">
            <v/>
          </cell>
          <cell r="P9865" t="str">
            <v/>
          </cell>
          <cell r="Q9865" t="str">
            <v/>
          </cell>
          <cell r="S9865" t="str">
            <v/>
          </cell>
          <cell r="V9865" t="str">
            <v/>
          </cell>
          <cell r="Z9865" t="str">
            <v/>
          </cell>
          <cell r="AA9865" t="str">
            <v/>
          </cell>
          <cell r="AB9865" t="str">
            <v/>
          </cell>
          <cell r="AC9865" t="str">
            <v/>
          </cell>
          <cell r="AD9865" t="str">
            <v/>
          </cell>
          <cell r="AY9865" t="str">
            <v/>
          </cell>
          <cell r="AZ9865" t="str">
            <v/>
          </cell>
          <cell r="BA9865" t="str">
            <v/>
          </cell>
        </row>
        <row r="9866">
          <cell r="B9866" t="str">
            <v>-</v>
          </cell>
          <cell r="E9866" t="str">
            <v/>
          </cell>
          <cell r="G9866" t="str">
            <v/>
          </cell>
          <cell r="J9866" t="str">
            <v/>
          </cell>
          <cell r="O9866" t="str">
            <v/>
          </cell>
          <cell r="P9866" t="str">
            <v/>
          </cell>
          <cell r="Q9866" t="str">
            <v/>
          </cell>
          <cell r="S9866" t="str">
            <v/>
          </cell>
          <cell r="V9866" t="str">
            <v/>
          </cell>
          <cell r="Z9866" t="str">
            <v/>
          </cell>
          <cell r="AA9866" t="str">
            <v/>
          </cell>
          <cell r="AB9866" t="str">
            <v/>
          </cell>
          <cell r="AC9866" t="str">
            <v/>
          </cell>
          <cell r="AD9866" t="str">
            <v/>
          </cell>
          <cell r="AY9866" t="str">
            <v/>
          </cell>
          <cell r="AZ9866" t="str">
            <v/>
          </cell>
          <cell r="BA9866" t="str">
            <v/>
          </cell>
        </row>
        <row r="9867">
          <cell r="B9867" t="str">
            <v>-</v>
          </cell>
          <cell r="E9867" t="str">
            <v/>
          </cell>
          <cell r="G9867" t="str">
            <v/>
          </cell>
          <cell r="J9867" t="str">
            <v/>
          </cell>
          <cell r="O9867" t="str">
            <v/>
          </cell>
          <cell r="P9867" t="str">
            <v/>
          </cell>
          <cell r="Q9867" t="str">
            <v/>
          </cell>
          <cell r="S9867" t="str">
            <v/>
          </cell>
          <cell r="V9867" t="str">
            <v/>
          </cell>
          <cell r="Z9867" t="str">
            <v/>
          </cell>
          <cell r="AA9867" t="str">
            <v/>
          </cell>
          <cell r="AB9867" t="str">
            <v/>
          </cell>
          <cell r="AC9867" t="str">
            <v/>
          </cell>
          <cell r="AD9867" t="str">
            <v/>
          </cell>
          <cell r="AY9867" t="str">
            <v/>
          </cell>
          <cell r="AZ9867" t="str">
            <v/>
          </cell>
          <cell r="BA9867" t="str">
            <v/>
          </cell>
        </row>
        <row r="9868">
          <cell r="B9868" t="str">
            <v>-</v>
          </cell>
          <cell r="E9868" t="str">
            <v/>
          </cell>
          <cell r="G9868" t="str">
            <v/>
          </cell>
          <cell r="J9868" t="str">
            <v/>
          </cell>
          <cell r="O9868" t="str">
            <v/>
          </cell>
          <cell r="P9868" t="str">
            <v/>
          </cell>
          <cell r="Q9868" t="str">
            <v/>
          </cell>
          <cell r="S9868" t="str">
            <v/>
          </cell>
          <cell r="V9868" t="str">
            <v/>
          </cell>
          <cell r="Z9868" t="str">
            <v/>
          </cell>
          <cell r="AA9868" t="str">
            <v/>
          </cell>
          <cell r="AB9868" t="str">
            <v/>
          </cell>
          <cell r="AC9868" t="str">
            <v/>
          </cell>
          <cell r="AD9868" t="str">
            <v/>
          </cell>
          <cell r="AY9868" t="str">
            <v/>
          </cell>
          <cell r="AZ9868" t="str">
            <v/>
          </cell>
          <cell r="BA9868" t="str">
            <v/>
          </cell>
        </row>
        <row r="9869">
          <cell r="B9869" t="str">
            <v>-</v>
          </cell>
          <cell r="E9869" t="str">
            <v/>
          </cell>
          <cell r="G9869" t="str">
            <v/>
          </cell>
          <cell r="J9869" t="str">
            <v/>
          </cell>
          <cell r="O9869" t="str">
            <v/>
          </cell>
          <cell r="P9869" t="str">
            <v/>
          </cell>
          <cell r="Q9869" t="str">
            <v/>
          </cell>
          <cell r="S9869" t="str">
            <v/>
          </cell>
          <cell r="V9869" t="str">
            <v/>
          </cell>
          <cell r="Z9869" t="str">
            <v/>
          </cell>
          <cell r="AA9869" t="str">
            <v/>
          </cell>
          <cell r="AB9869" t="str">
            <v/>
          </cell>
          <cell r="AC9869" t="str">
            <v/>
          </cell>
          <cell r="AD9869" t="str">
            <v/>
          </cell>
          <cell r="AY9869" t="str">
            <v/>
          </cell>
          <cell r="AZ9869" t="str">
            <v/>
          </cell>
          <cell r="BA9869" t="str">
            <v/>
          </cell>
        </row>
        <row r="9870">
          <cell r="B9870" t="str">
            <v>-</v>
          </cell>
          <cell r="E9870" t="str">
            <v/>
          </cell>
          <cell r="G9870" t="str">
            <v/>
          </cell>
          <cell r="J9870" t="str">
            <v/>
          </cell>
          <cell r="O9870" t="str">
            <v/>
          </cell>
          <cell r="P9870" t="str">
            <v/>
          </cell>
          <cell r="Q9870" t="str">
            <v/>
          </cell>
          <cell r="S9870" t="str">
            <v/>
          </cell>
          <cell r="V9870" t="str">
            <v/>
          </cell>
          <cell r="Z9870" t="str">
            <v/>
          </cell>
          <cell r="AA9870" t="str">
            <v/>
          </cell>
          <cell r="AB9870" t="str">
            <v/>
          </cell>
          <cell r="AC9870" t="str">
            <v/>
          </cell>
          <cell r="AD9870" t="str">
            <v/>
          </cell>
          <cell r="AY9870" t="str">
            <v/>
          </cell>
          <cell r="AZ9870" t="str">
            <v/>
          </cell>
          <cell r="BA9870" t="str">
            <v/>
          </cell>
        </row>
        <row r="9871">
          <cell r="B9871" t="str">
            <v>-</v>
          </cell>
          <cell r="E9871" t="str">
            <v/>
          </cell>
          <cell r="G9871" t="str">
            <v/>
          </cell>
          <cell r="J9871" t="str">
            <v/>
          </cell>
          <cell r="O9871" t="str">
            <v/>
          </cell>
          <cell r="P9871" t="str">
            <v/>
          </cell>
          <cell r="Q9871" t="str">
            <v/>
          </cell>
          <cell r="S9871" t="str">
            <v/>
          </cell>
          <cell r="V9871" t="str">
            <v/>
          </cell>
          <cell r="Z9871" t="str">
            <v/>
          </cell>
          <cell r="AA9871" t="str">
            <v/>
          </cell>
          <cell r="AB9871" t="str">
            <v/>
          </cell>
          <cell r="AC9871" t="str">
            <v/>
          </cell>
          <cell r="AD9871" t="str">
            <v/>
          </cell>
          <cell r="AY9871" t="str">
            <v/>
          </cell>
          <cell r="AZ9871" t="str">
            <v/>
          </cell>
          <cell r="BA9871" t="str">
            <v/>
          </cell>
        </row>
        <row r="9872">
          <cell r="B9872" t="str">
            <v>-</v>
          </cell>
          <cell r="E9872" t="str">
            <v/>
          </cell>
          <cell r="G9872" t="str">
            <v/>
          </cell>
          <cell r="J9872" t="str">
            <v/>
          </cell>
          <cell r="O9872" t="str">
            <v/>
          </cell>
          <cell r="P9872" t="str">
            <v/>
          </cell>
          <cell r="Q9872" t="str">
            <v/>
          </cell>
          <cell r="S9872" t="str">
            <v/>
          </cell>
          <cell r="V9872" t="str">
            <v/>
          </cell>
          <cell r="Z9872" t="str">
            <v/>
          </cell>
          <cell r="AA9872" t="str">
            <v/>
          </cell>
          <cell r="AB9872" t="str">
            <v/>
          </cell>
          <cell r="AC9872" t="str">
            <v/>
          </cell>
          <cell r="AD9872" t="str">
            <v/>
          </cell>
          <cell r="AY9872" t="str">
            <v/>
          </cell>
          <cell r="AZ9872" t="str">
            <v/>
          </cell>
          <cell r="BA9872" t="str">
            <v/>
          </cell>
        </row>
        <row r="9873">
          <cell r="B9873" t="str">
            <v>-</v>
          </cell>
          <cell r="E9873" t="str">
            <v/>
          </cell>
          <cell r="G9873" t="str">
            <v/>
          </cell>
          <cell r="J9873" t="str">
            <v/>
          </cell>
          <cell r="O9873" t="str">
            <v/>
          </cell>
          <cell r="P9873" t="str">
            <v/>
          </cell>
          <cell r="Q9873" t="str">
            <v/>
          </cell>
          <cell r="S9873" t="str">
            <v/>
          </cell>
          <cell r="V9873" t="str">
            <v/>
          </cell>
          <cell r="Z9873" t="str">
            <v/>
          </cell>
          <cell r="AA9873" t="str">
            <v/>
          </cell>
          <cell r="AB9873" t="str">
            <v/>
          </cell>
          <cell r="AC9873" t="str">
            <v/>
          </cell>
          <cell r="AD9873" t="str">
            <v/>
          </cell>
          <cell r="AY9873" t="str">
            <v/>
          </cell>
          <cell r="AZ9873" t="str">
            <v/>
          </cell>
          <cell r="BA9873" t="str">
            <v/>
          </cell>
        </row>
        <row r="9874">
          <cell r="B9874" t="str">
            <v>-</v>
          </cell>
          <cell r="E9874" t="str">
            <v/>
          </cell>
          <cell r="G9874" t="str">
            <v/>
          </cell>
          <cell r="J9874" t="str">
            <v/>
          </cell>
          <cell r="O9874" t="str">
            <v/>
          </cell>
          <cell r="P9874" t="str">
            <v/>
          </cell>
          <cell r="Q9874" t="str">
            <v/>
          </cell>
          <cell r="S9874" t="str">
            <v/>
          </cell>
          <cell r="V9874" t="str">
            <v/>
          </cell>
          <cell r="Z9874" t="str">
            <v/>
          </cell>
          <cell r="AA9874" t="str">
            <v/>
          </cell>
          <cell r="AB9874" t="str">
            <v/>
          </cell>
          <cell r="AC9874" t="str">
            <v/>
          </cell>
          <cell r="AD9874" t="str">
            <v/>
          </cell>
          <cell r="AY9874" t="str">
            <v/>
          </cell>
          <cell r="AZ9874" t="str">
            <v/>
          </cell>
          <cell r="BA9874" t="str">
            <v/>
          </cell>
        </row>
        <row r="9875">
          <cell r="B9875" t="str">
            <v>-</v>
          </cell>
          <cell r="E9875" t="str">
            <v/>
          </cell>
          <cell r="G9875" t="str">
            <v/>
          </cell>
          <cell r="J9875" t="str">
            <v/>
          </cell>
          <cell r="O9875" t="str">
            <v/>
          </cell>
          <cell r="P9875" t="str">
            <v/>
          </cell>
          <cell r="Q9875" t="str">
            <v/>
          </cell>
          <cell r="S9875" t="str">
            <v/>
          </cell>
          <cell r="V9875" t="str">
            <v/>
          </cell>
          <cell r="Z9875" t="str">
            <v/>
          </cell>
          <cell r="AA9875" t="str">
            <v/>
          </cell>
          <cell r="AB9875" t="str">
            <v/>
          </cell>
          <cell r="AC9875" t="str">
            <v/>
          </cell>
          <cell r="AD9875" t="str">
            <v/>
          </cell>
          <cell r="AY9875" t="str">
            <v/>
          </cell>
          <cell r="AZ9875" t="str">
            <v/>
          </cell>
          <cell r="BA9875" t="str">
            <v/>
          </cell>
        </row>
        <row r="9876">
          <cell r="B9876" t="str">
            <v>-</v>
          </cell>
          <cell r="E9876" t="str">
            <v/>
          </cell>
          <cell r="G9876" t="str">
            <v/>
          </cell>
          <cell r="J9876" t="str">
            <v/>
          </cell>
          <cell r="O9876" t="str">
            <v/>
          </cell>
          <cell r="P9876" t="str">
            <v/>
          </cell>
          <cell r="Q9876" t="str">
            <v/>
          </cell>
          <cell r="S9876" t="str">
            <v/>
          </cell>
          <cell r="V9876" t="str">
            <v/>
          </cell>
          <cell r="Z9876" t="str">
            <v/>
          </cell>
          <cell r="AA9876" t="str">
            <v/>
          </cell>
          <cell r="AB9876" t="str">
            <v/>
          </cell>
          <cell r="AC9876" t="str">
            <v/>
          </cell>
          <cell r="AD9876" t="str">
            <v/>
          </cell>
          <cell r="AY9876" t="str">
            <v/>
          </cell>
          <cell r="AZ9876" t="str">
            <v/>
          </cell>
          <cell r="BA9876" t="str">
            <v/>
          </cell>
        </row>
        <row r="9877">
          <cell r="B9877" t="str">
            <v>-</v>
          </cell>
          <cell r="E9877" t="str">
            <v/>
          </cell>
          <cell r="G9877" t="str">
            <v/>
          </cell>
          <cell r="J9877" t="str">
            <v/>
          </cell>
          <cell r="O9877" t="str">
            <v/>
          </cell>
          <cell r="P9877" t="str">
            <v/>
          </cell>
          <cell r="Q9877" t="str">
            <v/>
          </cell>
          <cell r="S9877" t="str">
            <v/>
          </cell>
          <cell r="V9877" t="str">
            <v/>
          </cell>
          <cell r="Z9877" t="str">
            <v/>
          </cell>
          <cell r="AA9877" t="str">
            <v/>
          </cell>
          <cell r="AB9877" t="str">
            <v/>
          </cell>
          <cell r="AC9877" t="str">
            <v/>
          </cell>
          <cell r="AD9877" t="str">
            <v/>
          </cell>
          <cell r="AY9877" t="str">
            <v/>
          </cell>
          <cell r="AZ9877" t="str">
            <v/>
          </cell>
          <cell r="BA9877" t="str">
            <v/>
          </cell>
        </row>
        <row r="9878">
          <cell r="B9878" t="str">
            <v>-</v>
          </cell>
          <cell r="E9878" t="str">
            <v/>
          </cell>
          <cell r="G9878" t="str">
            <v/>
          </cell>
          <cell r="J9878" t="str">
            <v/>
          </cell>
          <cell r="O9878" t="str">
            <v/>
          </cell>
          <cell r="P9878" t="str">
            <v/>
          </cell>
          <cell r="Q9878" t="str">
            <v/>
          </cell>
          <cell r="S9878" t="str">
            <v/>
          </cell>
          <cell r="V9878" t="str">
            <v/>
          </cell>
          <cell r="Z9878" t="str">
            <v/>
          </cell>
          <cell r="AA9878" t="str">
            <v/>
          </cell>
          <cell r="AB9878" t="str">
            <v/>
          </cell>
          <cell r="AC9878" t="str">
            <v/>
          </cell>
          <cell r="AD9878" t="str">
            <v/>
          </cell>
          <cell r="AY9878" t="str">
            <v/>
          </cell>
          <cell r="AZ9878" t="str">
            <v/>
          </cell>
          <cell r="BA9878" t="str">
            <v/>
          </cell>
        </row>
        <row r="9879">
          <cell r="B9879" t="str">
            <v>-</v>
          </cell>
          <cell r="E9879" t="str">
            <v/>
          </cell>
          <cell r="G9879" t="str">
            <v/>
          </cell>
          <cell r="J9879" t="str">
            <v/>
          </cell>
          <cell r="O9879" t="str">
            <v/>
          </cell>
          <cell r="P9879" t="str">
            <v/>
          </cell>
          <cell r="Q9879" t="str">
            <v/>
          </cell>
          <cell r="S9879" t="str">
            <v/>
          </cell>
          <cell r="V9879" t="str">
            <v/>
          </cell>
          <cell r="Z9879" t="str">
            <v/>
          </cell>
          <cell r="AA9879" t="str">
            <v/>
          </cell>
          <cell r="AB9879" t="str">
            <v/>
          </cell>
          <cell r="AC9879" t="str">
            <v/>
          </cell>
          <cell r="AD9879" t="str">
            <v/>
          </cell>
          <cell r="AY9879" t="str">
            <v/>
          </cell>
          <cell r="AZ9879" t="str">
            <v/>
          </cell>
          <cell r="BA9879" t="str">
            <v/>
          </cell>
        </row>
        <row r="9880">
          <cell r="B9880" t="str">
            <v>-</v>
          </cell>
          <cell r="E9880" t="str">
            <v/>
          </cell>
          <cell r="G9880" t="str">
            <v/>
          </cell>
          <cell r="J9880" t="str">
            <v/>
          </cell>
          <cell r="O9880" t="str">
            <v/>
          </cell>
          <cell r="P9880" t="str">
            <v/>
          </cell>
          <cell r="Q9880" t="str">
            <v/>
          </cell>
          <cell r="S9880" t="str">
            <v/>
          </cell>
          <cell r="V9880" t="str">
            <v/>
          </cell>
          <cell r="Z9880" t="str">
            <v/>
          </cell>
          <cell r="AA9880" t="str">
            <v/>
          </cell>
          <cell r="AB9880" t="str">
            <v/>
          </cell>
          <cell r="AC9880" t="str">
            <v/>
          </cell>
          <cell r="AD9880" t="str">
            <v/>
          </cell>
          <cell r="AY9880" t="str">
            <v/>
          </cell>
          <cell r="AZ9880" t="str">
            <v/>
          </cell>
          <cell r="BA9880" t="str">
            <v/>
          </cell>
        </row>
        <row r="9881">
          <cell r="B9881" t="str">
            <v>-</v>
          </cell>
          <cell r="E9881" t="str">
            <v/>
          </cell>
          <cell r="G9881" t="str">
            <v/>
          </cell>
          <cell r="J9881" t="str">
            <v/>
          </cell>
          <cell r="O9881" t="str">
            <v/>
          </cell>
          <cell r="P9881" t="str">
            <v/>
          </cell>
          <cell r="Q9881" t="str">
            <v/>
          </cell>
          <cell r="S9881" t="str">
            <v/>
          </cell>
          <cell r="V9881" t="str">
            <v/>
          </cell>
          <cell r="Z9881" t="str">
            <v/>
          </cell>
          <cell r="AA9881" t="str">
            <v/>
          </cell>
          <cell r="AB9881" t="str">
            <v/>
          </cell>
          <cell r="AC9881" t="str">
            <v/>
          </cell>
          <cell r="AD9881" t="str">
            <v/>
          </cell>
          <cell r="AY9881" t="str">
            <v/>
          </cell>
          <cell r="AZ9881" t="str">
            <v/>
          </cell>
          <cell r="BA9881" t="str">
            <v/>
          </cell>
        </row>
        <row r="9882">
          <cell r="B9882" t="str">
            <v>-</v>
          </cell>
          <cell r="E9882" t="str">
            <v/>
          </cell>
          <cell r="G9882" t="str">
            <v/>
          </cell>
          <cell r="J9882" t="str">
            <v/>
          </cell>
          <cell r="O9882" t="str">
            <v/>
          </cell>
          <cell r="P9882" t="str">
            <v/>
          </cell>
          <cell r="Q9882" t="str">
            <v/>
          </cell>
          <cell r="S9882" t="str">
            <v/>
          </cell>
          <cell r="V9882" t="str">
            <v/>
          </cell>
          <cell r="Z9882" t="str">
            <v/>
          </cell>
          <cell r="AA9882" t="str">
            <v/>
          </cell>
          <cell r="AB9882" t="str">
            <v/>
          </cell>
          <cell r="AC9882" t="str">
            <v/>
          </cell>
          <cell r="AD9882" t="str">
            <v/>
          </cell>
          <cell r="AY9882" t="str">
            <v/>
          </cell>
          <cell r="AZ9882" t="str">
            <v/>
          </cell>
          <cell r="BA9882" t="str">
            <v/>
          </cell>
        </row>
        <row r="9883">
          <cell r="B9883" t="str">
            <v>-</v>
          </cell>
          <cell r="E9883" t="str">
            <v/>
          </cell>
          <cell r="G9883" t="str">
            <v/>
          </cell>
          <cell r="J9883" t="str">
            <v/>
          </cell>
          <cell r="O9883" t="str">
            <v/>
          </cell>
          <cell r="P9883" t="str">
            <v/>
          </cell>
          <cell r="Q9883" t="str">
            <v/>
          </cell>
          <cell r="S9883" t="str">
            <v/>
          </cell>
          <cell r="V9883" t="str">
            <v/>
          </cell>
          <cell r="Z9883" t="str">
            <v/>
          </cell>
          <cell r="AA9883" t="str">
            <v/>
          </cell>
          <cell r="AB9883" t="str">
            <v/>
          </cell>
          <cell r="AC9883" t="str">
            <v/>
          </cell>
          <cell r="AD9883" t="str">
            <v/>
          </cell>
          <cell r="AY9883" t="str">
            <v/>
          </cell>
          <cell r="AZ9883" t="str">
            <v/>
          </cell>
          <cell r="BA9883" t="str">
            <v/>
          </cell>
        </row>
        <row r="9884">
          <cell r="B9884" t="str">
            <v>-</v>
          </cell>
          <cell r="E9884" t="str">
            <v/>
          </cell>
          <cell r="G9884" t="str">
            <v/>
          </cell>
          <cell r="J9884" t="str">
            <v/>
          </cell>
          <cell r="O9884" t="str">
            <v/>
          </cell>
          <cell r="P9884" t="str">
            <v/>
          </cell>
          <cell r="Q9884" t="str">
            <v/>
          </cell>
          <cell r="S9884" t="str">
            <v/>
          </cell>
          <cell r="V9884" t="str">
            <v/>
          </cell>
          <cell r="Z9884" t="str">
            <v/>
          </cell>
          <cell r="AA9884" t="str">
            <v/>
          </cell>
          <cell r="AB9884" t="str">
            <v/>
          </cell>
          <cell r="AC9884" t="str">
            <v/>
          </cell>
          <cell r="AD9884" t="str">
            <v/>
          </cell>
          <cell r="AY9884" t="str">
            <v/>
          </cell>
          <cell r="AZ9884" t="str">
            <v/>
          </cell>
          <cell r="BA9884" t="str">
            <v/>
          </cell>
        </row>
        <row r="9885">
          <cell r="B9885" t="str">
            <v>-</v>
          </cell>
          <cell r="E9885" t="str">
            <v/>
          </cell>
          <cell r="G9885" t="str">
            <v/>
          </cell>
          <cell r="J9885" t="str">
            <v/>
          </cell>
          <cell r="O9885" t="str">
            <v/>
          </cell>
          <cell r="P9885" t="str">
            <v/>
          </cell>
          <cell r="Q9885" t="str">
            <v/>
          </cell>
          <cell r="S9885" t="str">
            <v/>
          </cell>
          <cell r="V9885" t="str">
            <v/>
          </cell>
          <cell r="Z9885" t="str">
            <v/>
          </cell>
          <cell r="AA9885" t="str">
            <v/>
          </cell>
          <cell r="AB9885" t="str">
            <v/>
          </cell>
          <cell r="AC9885" t="str">
            <v/>
          </cell>
          <cell r="AD9885" t="str">
            <v/>
          </cell>
          <cell r="AY9885" t="str">
            <v/>
          </cell>
          <cell r="AZ9885" t="str">
            <v/>
          </cell>
          <cell r="BA9885" t="str">
            <v/>
          </cell>
        </row>
        <row r="9886">
          <cell r="B9886" t="str">
            <v>-</v>
          </cell>
          <cell r="E9886" t="str">
            <v/>
          </cell>
          <cell r="G9886" t="str">
            <v/>
          </cell>
          <cell r="J9886" t="str">
            <v/>
          </cell>
          <cell r="O9886" t="str">
            <v/>
          </cell>
          <cell r="P9886" t="str">
            <v/>
          </cell>
          <cell r="Q9886" t="str">
            <v/>
          </cell>
          <cell r="S9886" t="str">
            <v/>
          </cell>
          <cell r="V9886" t="str">
            <v/>
          </cell>
          <cell r="Z9886" t="str">
            <v/>
          </cell>
          <cell r="AA9886" t="str">
            <v/>
          </cell>
          <cell r="AB9886" t="str">
            <v/>
          </cell>
          <cell r="AC9886" t="str">
            <v/>
          </cell>
          <cell r="AD9886" t="str">
            <v/>
          </cell>
          <cell r="AY9886" t="str">
            <v/>
          </cell>
          <cell r="AZ9886" t="str">
            <v/>
          </cell>
          <cell r="BA9886" t="str">
            <v/>
          </cell>
        </row>
        <row r="9887">
          <cell r="B9887" t="str">
            <v>-</v>
          </cell>
          <cell r="E9887" t="str">
            <v/>
          </cell>
          <cell r="G9887" t="str">
            <v/>
          </cell>
          <cell r="J9887" t="str">
            <v/>
          </cell>
          <cell r="O9887" t="str">
            <v/>
          </cell>
          <cell r="P9887" t="str">
            <v/>
          </cell>
          <cell r="Q9887" t="str">
            <v/>
          </cell>
          <cell r="S9887" t="str">
            <v/>
          </cell>
          <cell r="V9887" t="str">
            <v/>
          </cell>
          <cell r="Z9887" t="str">
            <v/>
          </cell>
          <cell r="AA9887" t="str">
            <v/>
          </cell>
          <cell r="AB9887" t="str">
            <v/>
          </cell>
          <cell r="AC9887" t="str">
            <v/>
          </cell>
          <cell r="AD9887" t="str">
            <v/>
          </cell>
          <cell r="AY9887" t="str">
            <v/>
          </cell>
          <cell r="AZ9887" t="str">
            <v/>
          </cell>
          <cell r="BA9887" t="str">
            <v/>
          </cell>
        </row>
        <row r="9888">
          <cell r="B9888" t="str">
            <v>-</v>
          </cell>
          <cell r="E9888" t="str">
            <v/>
          </cell>
          <cell r="G9888" t="str">
            <v/>
          </cell>
          <cell r="J9888" t="str">
            <v/>
          </cell>
          <cell r="O9888" t="str">
            <v/>
          </cell>
          <cell r="P9888" t="str">
            <v/>
          </cell>
          <cell r="Q9888" t="str">
            <v/>
          </cell>
          <cell r="S9888" t="str">
            <v/>
          </cell>
          <cell r="V9888" t="str">
            <v/>
          </cell>
          <cell r="Z9888" t="str">
            <v/>
          </cell>
          <cell r="AA9888" t="str">
            <v/>
          </cell>
          <cell r="AB9888" t="str">
            <v/>
          </cell>
          <cell r="AC9888" t="str">
            <v/>
          </cell>
          <cell r="AD9888" t="str">
            <v/>
          </cell>
          <cell r="AY9888" t="str">
            <v/>
          </cell>
          <cell r="AZ9888" t="str">
            <v/>
          </cell>
          <cell r="BA9888" t="str">
            <v/>
          </cell>
        </row>
        <row r="9889">
          <cell r="B9889" t="str">
            <v>-</v>
          </cell>
          <cell r="E9889" t="str">
            <v/>
          </cell>
          <cell r="G9889" t="str">
            <v/>
          </cell>
          <cell r="J9889" t="str">
            <v/>
          </cell>
          <cell r="O9889" t="str">
            <v/>
          </cell>
          <cell r="P9889" t="str">
            <v/>
          </cell>
          <cell r="Q9889" t="str">
            <v/>
          </cell>
          <cell r="S9889" t="str">
            <v/>
          </cell>
          <cell r="V9889" t="str">
            <v/>
          </cell>
          <cell r="Z9889" t="str">
            <v/>
          </cell>
          <cell r="AA9889" t="str">
            <v/>
          </cell>
          <cell r="AB9889" t="str">
            <v/>
          </cell>
          <cell r="AC9889" t="str">
            <v/>
          </cell>
          <cell r="AD9889" t="str">
            <v/>
          </cell>
          <cell r="AY9889" t="str">
            <v/>
          </cell>
          <cell r="AZ9889" t="str">
            <v/>
          </cell>
          <cell r="BA9889" t="str">
            <v/>
          </cell>
        </row>
        <row r="9890">
          <cell r="B9890" t="str">
            <v>-</v>
          </cell>
          <cell r="E9890" t="str">
            <v/>
          </cell>
          <cell r="G9890" t="str">
            <v/>
          </cell>
          <cell r="J9890" t="str">
            <v/>
          </cell>
          <cell r="O9890" t="str">
            <v/>
          </cell>
          <cell r="P9890" t="str">
            <v/>
          </cell>
          <cell r="Q9890" t="str">
            <v/>
          </cell>
          <cell r="S9890" t="str">
            <v/>
          </cell>
          <cell r="V9890" t="str">
            <v/>
          </cell>
          <cell r="Z9890" t="str">
            <v/>
          </cell>
          <cell r="AA9890" t="str">
            <v/>
          </cell>
          <cell r="AB9890" t="str">
            <v/>
          </cell>
          <cell r="AC9890" t="str">
            <v/>
          </cell>
          <cell r="AD9890" t="str">
            <v/>
          </cell>
          <cell r="AY9890" t="str">
            <v/>
          </cell>
          <cell r="AZ9890" t="str">
            <v/>
          </cell>
          <cell r="BA9890" t="str">
            <v/>
          </cell>
        </row>
        <row r="9891">
          <cell r="B9891" t="str">
            <v>-</v>
          </cell>
          <cell r="E9891" t="str">
            <v/>
          </cell>
          <cell r="G9891" t="str">
            <v/>
          </cell>
          <cell r="J9891" t="str">
            <v/>
          </cell>
          <cell r="O9891" t="str">
            <v/>
          </cell>
          <cell r="P9891" t="str">
            <v/>
          </cell>
          <cell r="Q9891" t="str">
            <v/>
          </cell>
          <cell r="S9891" t="str">
            <v/>
          </cell>
          <cell r="V9891" t="str">
            <v/>
          </cell>
          <cell r="Z9891" t="str">
            <v/>
          </cell>
          <cell r="AA9891" t="str">
            <v/>
          </cell>
          <cell r="AB9891" t="str">
            <v/>
          </cell>
          <cell r="AC9891" t="str">
            <v/>
          </cell>
          <cell r="AD9891" t="str">
            <v/>
          </cell>
          <cell r="AY9891" t="str">
            <v/>
          </cell>
          <cell r="AZ9891" t="str">
            <v/>
          </cell>
          <cell r="BA9891" t="str">
            <v/>
          </cell>
        </row>
        <row r="9892">
          <cell r="B9892" t="str">
            <v>-</v>
          </cell>
          <cell r="E9892" t="str">
            <v/>
          </cell>
          <cell r="G9892" t="str">
            <v/>
          </cell>
          <cell r="J9892" t="str">
            <v/>
          </cell>
          <cell r="O9892" t="str">
            <v/>
          </cell>
          <cell r="P9892" t="str">
            <v/>
          </cell>
          <cell r="Q9892" t="str">
            <v/>
          </cell>
          <cell r="S9892" t="str">
            <v/>
          </cell>
          <cell r="V9892" t="str">
            <v/>
          </cell>
          <cell r="Z9892" t="str">
            <v/>
          </cell>
          <cell r="AA9892" t="str">
            <v/>
          </cell>
          <cell r="AB9892" t="str">
            <v/>
          </cell>
          <cell r="AC9892" t="str">
            <v/>
          </cell>
          <cell r="AD9892" t="str">
            <v/>
          </cell>
          <cell r="AY9892" t="str">
            <v/>
          </cell>
          <cell r="AZ9892" t="str">
            <v/>
          </cell>
          <cell r="BA9892" t="str">
            <v/>
          </cell>
        </row>
        <row r="9893">
          <cell r="B9893" t="str">
            <v>-</v>
          </cell>
          <cell r="E9893" t="str">
            <v/>
          </cell>
          <cell r="G9893" t="str">
            <v/>
          </cell>
          <cell r="J9893" t="str">
            <v/>
          </cell>
          <cell r="O9893" t="str">
            <v/>
          </cell>
          <cell r="P9893" t="str">
            <v/>
          </cell>
          <cell r="Q9893" t="str">
            <v/>
          </cell>
          <cell r="S9893" t="str">
            <v/>
          </cell>
          <cell r="V9893" t="str">
            <v/>
          </cell>
          <cell r="Z9893" t="str">
            <v/>
          </cell>
          <cell r="AA9893" t="str">
            <v/>
          </cell>
          <cell r="AB9893" t="str">
            <v/>
          </cell>
          <cell r="AC9893" t="str">
            <v/>
          </cell>
          <cell r="AD9893" t="str">
            <v/>
          </cell>
          <cell r="AY9893" t="str">
            <v/>
          </cell>
          <cell r="AZ9893" t="str">
            <v/>
          </cell>
          <cell r="BA9893" t="str">
            <v/>
          </cell>
        </row>
        <row r="9894">
          <cell r="B9894" t="str">
            <v>-</v>
          </cell>
          <cell r="E9894" t="str">
            <v/>
          </cell>
          <cell r="G9894" t="str">
            <v/>
          </cell>
          <cell r="J9894" t="str">
            <v/>
          </cell>
          <cell r="O9894" t="str">
            <v/>
          </cell>
          <cell r="P9894" t="str">
            <v/>
          </cell>
          <cell r="Q9894" t="str">
            <v/>
          </cell>
          <cell r="S9894" t="str">
            <v/>
          </cell>
          <cell r="V9894" t="str">
            <v/>
          </cell>
          <cell r="Z9894" t="str">
            <v/>
          </cell>
          <cell r="AA9894" t="str">
            <v/>
          </cell>
          <cell r="AB9894" t="str">
            <v/>
          </cell>
          <cell r="AC9894" t="str">
            <v/>
          </cell>
          <cell r="AD9894" t="str">
            <v/>
          </cell>
          <cell r="AY9894" t="str">
            <v/>
          </cell>
          <cell r="AZ9894" t="str">
            <v/>
          </cell>
          <cell r="BA9894" t="str">
            <v/>
          </cell>
        </row>
        <row r="9895">
          <cell r="B9895" t="str">
            <v>-</v>
          </cell>
          <cell r="E9895" t="str">
            <v/>
          </cell>
          <cell r="G9895" t="str">
            <v/>
          </cell>
          <cell r="J9895" t="str">
            <v/>
          </cell>
          <cell r="O9895" t="str">
            <v/>
          </cell>
          <cell r="P9895" t="str">
            <v/>
          </cell>
          <cell r="Q9895" t="str">
            <v/>
          </cell>
          <cell r="S9895" t="str">
            <v/>
          </cell>
          <cell r="V9895" t="str">
            <v/>
          </cell>
          <cell r="Z9895" t="str">
            <v/>
          </cell>
          <cell r="AA9895" t="str">
            <v/>
          </cell>
          <cell r="AB9895" t="str">
            <v/>
          </cell>
          <cell r="AC9895" t="str">
            <v/>
          </cell>
          <cell r="AD9895" t="str">
            <v/>
          </cell>
          <cell r="AY9895" t="str">
            <v/>
          </cell>
          <cell r="AZ9895" t="str">
            <v/>
          </cell>
          <cell r="BA9895" t="str">
            <v/>
          </cell>
        </row>
        <row r="9896">
          <cell r="B9896" t="str">
            <v>-</v>
          </cell>
          <cell r="E9896" t="str">
            <v/>
          </cell>
          <cell r="G9896" t="str">
            <v/>
          </cell>
          <cell r="J9896" t="str">
            <v/>
          </cell>
          <cell r="O9896" t="str">
            <v/>
          </cell>
          <cell r="P9896" t="str">
            <v/>
          </cell>
          <cell r="Q9896" t="str">
            <v/>
          </cell>
          <cell r="S9896" t="str">
            <v/>
          </cell>
          <cell r="V9896" t="str">
            <v/>
          </cell>
          <cell r="Z9896" t="str">
            <v/>
          </cell>
          <cell r="AA9896" t="str">
            <v/>
          </cell>
          <cell r="AB9896" t="str">
            <v/>
          </cell>
          <cell r="AC9896" t="str">
            <v/>
          </cell>
          <cell r="AD9896" t="str">
            <v/>
          </cell>
          <cell r="AY9896" t="str">
            <v/>
          </cell>
          <cell r="AZ9896" t="str">
            <v/>
          </cell>
          <cell r="BA9896" t="str">
            <v/>
          </cell>
        </row>
        <row r="9897">
          <cell r="B9897" t="str">
            <v>-</v>
          </cell>
          <cell r="E9897" t="str">
            <v/>
          </cell>
          <cell r="G9897" t="str">
            <v/>
          </cell>
          <cell r="J9897" t="str">
            <v/>
          </cell>
          <cell r="O9897" t="str">
            <v/>
          </cell>
          <cell r="P9897" t="str">
            <v/>
          </cell>
          <cell r="Q9897" t="str">
            <v/>
          </cell>
          <cell r="S9897" t="str">
            <v/>
          </cell>
          <cell r="V9897" t="str">
            <v/>
          </cell>
          <cell r="Z9897" t="str">
            <v/>
          </cell>
          <cell r="AA9897" t="str">
            <v/>
          </cell>
          <cell r="AB9897" t="str">
            <v/>
          </cell>
          <cell r="AC9897" t="str">
            <v/>
          </cell>
          <cell r="AD9897" t="str">
            <v/>
          </cell>
          <cell r="AY9897" t="str">
            <v/>
          </cell>
          <cell r="AZ9897" t="str">
            <v/>
          </cell>
          <cell r="BA9897" t="str">
            <v/>
          </cell>
        </row>
        <row r="9898">
          <cell r="B9898" t="str">
            <v>-</v>
          </cell>
          <cell r="E9898" t="str">
            <v/>
          </cell>
          <cell r="G9898" t="str">
            <v/>
          </cell>
          <cell r="J9898" t="str">
            <v/>
          </cell>
          <cell r="O9898" t="str">
            <v/>
          </cell>
          <cell r="P9898" t="str">
            <v/>
          </cell>
          <cell r="Q9898" t="str">
            <v/>
          </cell>
          <cell r="S9898" t="str">
            <v/>
          </cell>
          <cell r="V9898" t="str">
            <v/>
          </cell>
          <cell r="Z9898" t="str">
            <v/>
          </cell>
          <cell r="AA9898" t="str">
            <v/>
          </cell>
          <cell r="AB9898" t="str">
            <v/>
          </cell>
          <cell r="AC9898" t="str">
            <v/>
          </cell>
          <cell r="AD9898" t="str">
            <v/>
          </cell>
          <cell r="AY9898" t="str">
            <v/>
          </cell>
          <cell r="AZ9898" t="str">
            <v/>
          </cell>
          <cell r="BA9898" t="str">
            <v/>
          </cell>
        </row>
        <row r="9899">
          <cell r="B9899" t="str">
            <v>-</v>
          </cell>
          <cell r="E9899" t="str">
            <v/>
          </cell>
          <cell r="G9899" t="str">
            <v/>
          </cell>
          <cell r="J9899" t="str">
            <v/>
          </cell>
          <cell r="O9899" t="str">
            <v/>
          </cell>
          <cell r="P9899" t="str">
            <v/>
          </cell>
          <cell r="Q9899" t="str">
            <v/>
          </cell>
          <cell r="S9899" t="str">
            <v/>
          </cell>
          <cell r="V9899" t="str">
            <v/>
          </cell>
          <cell r="Z9899" t="str">
            <v/>
          </cell>
          <cell r="AA9899" t="str">
            <v/>
          </cell>
          <cell r="AB9899" t="str">
            <v/>
          </cell>
          <cell r="AC9899" t="str">
            <v/>
          </cell>
          <cell r="AD9899" t="str">
            <v/>
          </cell>
          <cell r="AY9899" t="str">
            <v/>
          </cell>
          <cell r="AZ9899" t="str">
            <v/>
          </cell>
          <cell r="BA9899" t="str">
            <v/>
          </cell>
        </row>
        <row r="9900">
          <cell r="B9900" t="str">
            <v>-</v>
          </cell>
          <cell r="E9900" t="str">
            <v/>
          </cell>
          <cell r="G9900" t="str">
            <v/>
          </cell>
          <cell r="J9900" t="str">
            <v/>
          </cell>
          <cell r="O9900" t="str">
            <v/>
          </cell>
          <cell r="P9900" t="str">
            <v/>
          </cell>
          <cell r="Q9900" t="str">
            <v/>
          </cell>
          <cell r="S9900" t="str">
            <v/>
          </cell>
          <cell r="V9900" t="str">
            <v/>
          </cell>
          <cell r="Z9900" t="str">
            <v/>
          </cell>
          <cell r="AA9900" t="str">
            <v/>
          </cell>
          <cell r="AB9900" t="str">
            <v/>
          </cell>
          <cell r="AC9900" t="str">
            <v/>
          </cell>
          <cell r="AD9900" t="str">
            <v/>
          </cell>
          <cell r="AY9900" t="str">
            <v/>
          </cell>
          <cell r="AZ9900" t="str">
            <v/>
          </cell>
          <cell r="BA9900" t="str">
            <v/>
          </cell>
        </row>
        <row r="9901">
          <cell r="B9901" t="str">
            <v>-</v>
          </cell>
          <cell r="E9901" t="str">
            <v/>
          </cell>
          <cell r="G9901" t="str">
            <v/>
          </cell>
          <cell r="J9901" t="str">
            <v/>
          </cell>
          <cell r="O9901" t="str">
            <v/>
          </cell>
          <cell r="P9901" t="str">
            <v/>
          </cell>
          <cell r="Q9901" t="str">
            <v/>
          </cell>
          <cell r="S9901" t="str">
            <v/>
          </cell>
          <cell r="V9901" t="str">
            <v/>
          </cell>
          <cell r="Z9901" t="str">
            <v/>
          </cell>
          <cell r="AA9901" t="str">
            <v/>
          </cell>
          <cell r="AB9901" t="str">
            <v/>
          </cell>
          <cell r="AC9901" t="str">
            <v/>
          </cell>
          <cell r="AD9901" t="str">
            <v/>
          </cell>
          <cell r="AY9901" t="str">
            <v/>
          </cell>
          <cell r="AZ9901" t="str">
            <v/>
          </cell>
          <cell r="BA9901" t="str">
            <v/>
          </cell>
        </row>
        <row r="9902">
          <cell r="B9902" t="str">
            <v>-</v>
          </cell>
          <cell r="E9902" t="str">
            <v/>
          </cell>
          <cell r="G9902" t="str">
            <v/>
          </cell>
          <cell r="J9902" t="str">
            <v/>
          </cell>
          <cell r="O9902" t="str">
            <v/>
          </cell>
          <cell r="P9902" t="str">
            <v/>
          </cell>
          <cell r="Q9902" t="str">
            <v/>
          </cell>
          <cell r="S9902" t="str">
            <v/>
          </cell>
          <cell r="V9902" t="str">
            <v/>
          </cell>
          <cell r="Z9902" t="str">
            <v/>
          </cell>
          <cell r="AA9902" t="str">
            <v/>
          </cell>
          <cell r="AB9902" t="str">
            <v/>
          </cell>
          <cell r="AC9902" t="str">
            <v/>
          </cell>
          <cell r="AD9902" t="str">
            <v/>
          </cell>
          <cell r="AY9902" t="str">
            <v/>
          </cell>
          <cell r="AZ9902" t="str">
            <v/>
          </cell>
          <cell r="BA9902" t="str">
            <v/>
          </cell>
        </row>
        <row r="9903">
          <cell r="B9903" t="str">
            <v>-</v>
          </cell>
          <cell r="E9903" t="str">
            <v/>
          </cell>
          <cell r="G9903" t="str">
            <v/>
          </cell>
          <cell r="J9903" t="str">
            <v/>
          </cell>
          <cell r="O9903" t="str">
            <v/>
          </cell>
          <cell r="P9903" t="str">
            <v/>
          </cell>
          <cell r="Q9903" t="str">
            <v/>
          </cell>
          <cell r="S9903" t="str">
            <v/>
          </cell>
          <cell r="V9903" t="str">
            <v/>
          </cell>
          <cell r="Z9903" t="str">
            <v/>
          </cell>
          <cell r="AA9903" t="str">
            <v/>
          </cell>
          <cell r="AB9903" t="str">
            <v/>
          </cell>
          <cell r="AC9903" t="str">
            <v/>
          </cell>
          <cell r="AD9903" t="str">
            <v/>
          </cell>
          <cell r="AY9903" t="str">
            <v/>
          </cell>
          <cell r="AZ9903" t="str">
            <v/>
          </cell>
          <cell r="BA9903" t="str">
            <v/>
          </cell>
        </row>
        <row r="9904">
          <cell r="B9904" t="str">
            <v>-</v>
          </cell>
          <cell r="E9904" t="str">
            <v/>
          </cell>
          <cell r="G9904" t="str">
            <v/>
          </cell>
          <cell r="J9904" t="str">
            <v/>
          </cell>
          <cell r="O9904" t="str">
            <v/>
          </cell>
          <cell r="P9904" t="str">
            <v/>
          </cell>
          <cell r="Q9904" t="str">
            <v/>
          </cell>
          <cell r="S9904" t="str">
            <v/>
          </cell>
          <cell r="V9904" t="str">
            <v/>
          </cell>
          <cell r="Z9904" t="str">
            <v/>
          </cell>
          <cell r="AA9904" t="str">
            <v/>
          </cell>
          <cell r="AB9904" t="str">
            <v/>
          </cell>
          <cell r="AC9904" t="str">
            <v/>
          </cell>
          <cell r="AD9904" t="str">
            <v/>
          </cell>
          <cell r="AY9904" t="str">
            <v/>
          </cell>
          <cell r="AZ9904" t="str">
            <v/>
          </cell>
          <cell r="BA9904" t="str">
            <v/>
          </cell>
        </row>
        <row r="9905">
          <cell r="B9905" t="str">
            <v>-</v>
          </cell>
          <cell r="E9905" t="str">
            <v/>
          </cell>
          <cell r="G9905" t="str">
            <v/>
          </cell>
          <cell r="J9905" t="str">
            <v/>
          </cell>
          <cell r="O9905" t="str">
            <v/>
          </cell>
          <cell r="P9905" t="str">
            <v/>
          </cell>
          <cell r="Q9905" t="str">
            <v/>
          </cell>
          <cell r="S9905" t="str">
            <v/>
          </cell>
          <cell r="V9905" t="str">
            <v/>
          </cell>
          <cell r="Z9905" t="str">
            <v/>
          </cell>
          <cell r="AA9905" t="str">
            <v/>
          </cell>
          <cell r="AB9905" t="str">
            <v/>
          </cell>
          <cell r="AC9905" t="str">
            <v/>
          </cell>
          <cell r="AD9905" t="str">
            <v/>
          </cell>
          <cell r="AY9905" t="str">
            <v/>
          </cell>
          <cell r="AZ9905" t="str">
            <v/>
          </cell>
          <cell r="BA9905" t="str">
            <v/>
          </cell>
        </row>
        <row r="9906">
          <cell r="B9906" t="str">
            <v>-</v>
          </cell>
          <cell r="E9906" t="str">
            <v/>
          </cell>
          <cell r="G9906" t="str">
            <v/>
          </cell>
          <cell r="J9906" t="str">
            <v/>
          </cell>
          <cell r="O9906" t="str">
            <v/>
          </cell>
          <cell r="P9906" t="str">
            <v/>
          </cell>
          <cell r="Q9906" t="str">
            <v/>
          </cell>
          <cell r="S9906" t="str">
            <v/>
          </cell>
          <cell r="V9906" t="str">
            <v/>
          </cell>
          <cell r="Z9906" t="str">
            <v/>
          </cell>
          <cell r="AA9906" t="str">
            <v/>
          </cell>
          <cell r="AB9906" t="str">
            <v/>
          </cell>
          <cell r="AC9906" t="str">
            <v/>
          </cell>
          <cell r="AD9906" t="str">
            <v/>
          </cell>
          <cell r="AY9906" t="str">
            <v/>
          </cell>
          <cell r="AZ9906" t="str">
            <v/>
          </cell>
          <cell r="BA9906" t="str">
            <v/>
          </cell>
        </row>
        <row r="9907">
          <cell r="B9907" t="str">
            <v>-</v>
          </cell>
          <cell r="E9907" t="str">
            <v/>
          </cell>
          <cell r="G9907" t="str">
            <v/>
          </cell>
          <cell r="J9907" t="str">
            <v/>
          </cell>
          <cell r="O9907" t="str">
            <v/>
          </cell>
          <cell r="P9907" t="str">
            <v/>
          </cell>
          <cell r="Q9907" t="str">
            <v/>
          </cell>
          <cell r="S9907" t="str">
            <v/>
          </cell>
          <cell r="V9907" t="str">
            <v/>
          </cell>
          <cell r="Z9907" t="str">
            <v/>
          </cell>
          <cell r="AA9907" t="str">
            <v/>
          </cell>
          <cell r="AB9907" t="str">
            <v/>
          </cell>
          <cell r="AC9907" t="str">
            <v/>
          </cell>
          <cell r="AD9907" t="str">
            <v/>
          </cell>
          <cell r="AY9907" t="str">
            <v/>
          </cell>
          <cell r="AZ9907" t="str">
            <v/>
          </cell>
          <cell r="BA9907" t="str">
            <v/>
          </cell>
        </row>
        <row r="9908">
          <cell r="B9908" t="str">
            <v>-</v>
          </cell>
          <cell r="E9908" t="str">
            <v/>
          </cell>
          <cell r="G9908" t="str">
            <v/>
          </cell>
          <cell r="J9908" t="str">
            <v/>
          </cell>
          <cell r="O9908" t="str">
            <v/>
          </cell>
          <cell r="P9908" t="str">
            <v/>
          </cell>
          <cell r="Q9908" t="str">
            <v/>
          </cell>
          <cell r="S9908" t="str">
            <v/>
          </cell>
          <cell r="V9908" t="str">
            <v/>
          </cell>
          <cell r="Z9908" t="str">
            <v/>
          </cell>
          <cell r="AA9908" t="str">
            <v/>
          </cell>
          <cell r="AB9908" t="str">
            <v/>
          </cell>
          <cell r="AC9908" t="str">
            <v/>
          </cell>
          <cell r="AD9908" t="str">
            <v/>
          </cell>
          <cell r="AY9908" t="str">
            <v/>
          </cell>
          <cell r="AZ9908" t="str">
            <v/>
          </cell>
          <cell r="BA9908" t="str">
            <v/>
          </cell>
        </row>
        <row r="9909">
          <cell r="B9909" t="str">
            <v>-</v>
          </cell>
          <cell r="E9909" t="str">
            <v/>
          </cell>
          <cell r="G9909" t="str">
            <v/>
          </cell>
          <cell r="J9909" t="str">
            <v/>
          </cell>
          <cell r="O9909" t="str">
            <v/>
          </cell>
          <cell r="P9909" t="str">
            <v/>
          </cell>
          <cell r="Q9909" t="str">
            <v/>
          </cell>
          <cell r="S9909" t="str">
            <v/>
          </cell>
          <cell r="V9909" t="str">
            <v/>
          </cell>
          <cell r="Z9909" t="str">
            <v/>
          </cell>
          <cell r="AA9909" t="str">
            <v/>
          </cell>
          <cell r="AB9909" t="str">
            <v/>
          </cell>
          <cell r="AC9909" t="str">
            <v/>
          </cell>
          <cell r="AD9909" t="str">
            <v/>
          </cell>
          <cell r="AY9909" t="str">
            <v/>
          </cell>
          <cell r="AZ9909" t="str">
            <v/>
          </cell>
          <cell r="BA9909" t="str">
            <v/>
          </cell>
        </row>
        <row r="9910">
          <cell r="B9910" t="str">
            <v>-</v>
          </cell>
          <cell r="E9910" t="str">
            <v/>
          </cell>
          <cell r="G9910" t="str">
            <v/>
          </cell>
          <cell r="J9910" t="str">
            <v/>
          </cell>
          <cell r="O9910" t="str">
            <v/>
          </cell>
          <cell r="P9910" t="str">
            <v/>
          </cell>
          <cell r="Q9910" t="str">
            <v/>
          </cell>
          <cell r="S9910" t="str">
            <v/>
          </cell>
          <cell r="V9910" t="str">
            <v/>
          </cell>
          <cell r="Z9910" t="str">
            <v/>
          </cell>
          <cell r="AA9910" t="str">
            <v/>
          </cell>
          <cell r="AB9910" t="str">
            <v/>
          </cell>
          <cell r="AC9910" t="str">
            <v/>
          </cell>
          <cell r="AD9910" t="str">
            <v/>
          </cell>
          <cell r="AY9910" t="str">
            <v/>
          </cell>
          <cell r="AZ9910" t="str">
            <v/>
          </cell>
          <cell r="BA9910" t="str">
            <v/>
          </cell>
        </row>
        <row r="9911">
          <cell r="B9911" t="str">
            <v>-</v>
          </cell>
          <cell r="E9911" t="str">
            <v/>
          </cell>
          <cell r="G9911" t="str">
            <v/>
          </cell>
          <cell r="J9911" t="str">
            <v/>
          </cell>
          <cell r="O9911" t="str">
            <v/>
          </cell>
          <cell r="P9911" t="str">
            <v/>
          </cell>
          <cell r="Q9911" t="str">
            <v/>
          </cell>
          <cell r="S9911" t="str">
            <v/>
          </cell>
          <cell r="V9911" t="str">
            <v/>
          </cell>
          <cell r="Z9911" t="str">
            <v/>
          </cell>
          <cell r="AA9911" t="str">
            <v/>
          </cell>
          <cell r="AB9911" t="str">
            <v/>
          </cell>
          <cell r="AC9911" t="str">
            <v/>
          </cell>
          <cell r="AD9911" t="str">
            <v/>
          </cell>
          <cell r="AY9911" t="str">
            <v/>
          </cell>
          <cell r="AZ9911" t="str">
            <v/>
          </cell>
          <cell r="BA9911" t="str">
            <v/>
          </cell>
        </row>
        <row r="9912">
          <cell r="B9912" t="str">
            <v>-</v>
          </cell>
          <cell r="E9912" t="str">
            <v/>
          </cell>
          <cell r="G9912" t="str">
            <v/>
          </cell>
          <cell r="J9912" t="str">
            <v/>
          </cell>
          <cell r="O9912" t="str">
            <v/>
          </cell>
          <cell r="P9912" t="str">
            <v/>
          </cell>
          <cell r="Q9912" t="str">
            <v/>
          </cell>
          <cell r="S9912" t="str">
            <v/>
          </cell>
          <cell r="V9912" t="str">
            <v/>
          </cell>
          <cell r="Z9912" t="str">
            <v/>
          </cell>
          <cell r="AA9912" t="str">
            <v/>
          </cell>
          <cell r="AB9912" t="str">
            <v/>
          </cell>
          <cell r="AC9912" t="str">
            <v/>
          </cell>
          <cell r="AD9912" t="str">
            <v/>
          </cell>
          <cell r="AY9912" t="str">
            <v/>
          </cell>
          <cell r="AZ9912" t="str">
            <v/>
          </cell>
          <cell r="BA9912" t="str">
            <v/>
          </cell>
        </row>
        <row r="9913">
          <cell r="B9913" t="str">
            <v>-</v>
          </cell>
          <cell r="E9913" t="str">
            <v/>
          </cell>
          <cell r="G9913" t="str">
            <v/>
          </cell>
          <cell r="J9913" t="str">
            <v/>
          </cell>
          <cell r="O9913" t="str">
            <v/>
          </cell>
          <cell r="P9913" t="str">
            <v/>
          </cell>
          <cell r="Q9913" t="str">
            <v/>
          </cell>
          <cell r="S9913" t="str">
            <v/>
          </cell>
          <cell r="V9913" t="str">
            <v/>
          </cell>
          <cell r="Z9913" t="str">
            <v/>
          </cell>
          <cell r="AA9913" t="str">
            <v/>
          </cell>
          <cell r="AB9913" t="str">
            <v/>
          </cell>
          <cell r="AC9913" t="str">
            <v/>
          </cell>
          <cell r="AD9913" t="str">
            <v/>
          </cell>
          <cell r="AY9913" t="str">
            <v/>
          </cell>
          <cell r="AZ9913" t="str">
            <v/>
          </cell>
          <cell r="BA9913" t="str">
            <v/>
          </cell>
        </row>
        <row r="9914">
          <cell r="B9914" t="str">
            <v>-</v>
          </cell>
          <cell r="E9914" t="str">
            <v/>
          </cell>
          <cell r="G9914" t="str">
            <v/>
          </cell>
          <cell r="J9914" t="str">
            <v/>
          </cell>
          <cell r="O9914" t="str">
            <v/>
          </cell>
          <cell r="P9914" t="str">
            <v/>
          </cell>
          <cell r="Q9914" t="str">
            <v/>
          </cell>
          <cell r="S9914" t="str">
            <v/>
          </cell>
          <cell r="V9914" t="str">
            <v/>
          </cell>
          <cell r="Z9914" t="str">
            <v/>
          </cell>
          <cell r="AA9914" t="str">
            <v/>
          </cell>
          <cell r="AB9914" t="str">
            <v/>
          </cell>
          <cell r="AC9914" t="str">
            <v/>
          </cell>
          <cell r="AD9914" t="str">
            <v/>
          </cell>
          <cell r="AY9914" t="str">
            <v/>
          </cell>
          <cell r="AZ9914" t="str">
            <v/>
          </cell>
          <cell r="BA9914" t="str">
            <v/>
          </cell>
        </row>
        <row r="9915">
          <cell r="B9915" t="str">
            <v>-</v>
          </cell>
          <cell r="E9915" t="str">
            <v/>
          </cell>
          <cell r="G9915" t="str">
            <v/>
          </cell>
          <cell r="J9915" t="str">
            <v/>
          </cell>
          <cell r="O9915" t="str">
            <v/>
          </cell>
          <cell r="P9915" t="str">
            <v/>
          </cell>
          <cell r="Q9915" t="str">
            <v/>
          </cell>
          <cell r="S9915" t="str">
            <v/>
          </cell>
          <cell r="V9915" t="str">
            <v/>
          </cell>
          <cell r="Z9915" t="str">
            <v/>
          </cell>
          <cell r="AA9915" t="str">
            <v/>
          </cell>
          <cell r="AB9915" t="str">
            <v/>
          </cell>
          <cell r="AC9915" t="str">
            <v/>
          </cell>
          <cell r="AD9915" t="str">
            <v/>
          </cell>
          <cell r="AY9915" t="str">
            <v/>
          </cell>
          <cell r="AZ9915" t="str">
            <v/>
          </cell>
          <cell r="BA9915" t="str">
            <v/>
          </cell>
        </row>
        <row r="9916">
          <cell r="B9916" t="str">
            <v>-</v>
          </cell>
          <cell r="E9916" t="str">
            <v/>
          </cell>
          <cell r="G9916" t="str">
            <v/>
          </cell>
          <cell r="J9916" t="str">
            <v/>
          </cell>
          <cell r="O9916" t="str">
            <v/>
          </cell>
          <cell r="P9916" t="str">
            <v/>
          </cell>
          <cell r="Q9916" t="str">
            <v/>
          </cell>
          <cell r="S9916" t="str">
            <v/>
          </cell>
          <cell r="V9916" t="str">
            <v/>
          </cell>
          <cell r="Z9916" t="str">
            <v/>
          </cell>
          <cell r="AA9916" t="str">
            <v/>
          </cell>
          <cell r="AB9916" t="str">
            <v/>
          </cell>
          <cell r="AC9916" t="str">
            <v/>
          </cell>
          <cell r="AD9916" t="str">
            <v/>
          </cell>
          <cell r="AY9916" t="str">
            <v/>
          </cell>
          <cell r="AZ9916" t="str">
            <v/>
          </cell>
          <cell r="BA9916" t="str">
            <v/>
          </cell>
        </row>
        <row r="9917">
          <cell r="B9917" t="str">
            <v>-</v>
          </cell>
          <cell r="E9917" t="str">
            <v/>
          </cell>
          <cell r="G9917" t="str">
            <v/>
          </cell>
          <cell r="J9917" t="str">
            <v/>
          </cell>
          <cell r="O9917" t="str">
            <v/>
          </cell>
          <cell r="P9917" t="str">
            <v/>
          </cell>
          <cell r="Q9917" t="str">
            <v/>
          </cell>
          <cell r="S9917" t="str">
            <v/>
          </cell>
          <cell r="V9917" t="str">
            <v/>
          </cell>
          <cell r="Z9917" t="str">
            <v/>
          </cell>
          <cell r="AA9917" t="str">
            <v/>
          </cell>
          <cell r="AB9917" t="str">
            <v/>
          </cell>
          <cell r="AC9917" t="str">
            <v/>
          </cell>
          <cell r="AD9917" t="str">
            <v/>
          </cell>
          <cell r="AY9917" t="str">
            <v/>
          </cell>
          <cell r="AZ9917" t="str">
            <v/>
          </cell>
          <cell r="BA9917" t="str">
            <v/>
          </cell>
        </row>
        <row r="9918">
          <cell r="B9918" t="str">
            <v>-</v>
          </cell>
          <cell r="E9918" t="str">
            <v/>
          </cell>
          <cell r="G9918" t="str">
            <v/>
          </cell>
          <cell r="J9918" t="str">
            <v/>
          </cell>
          <cell r="O9918" t="str">
            <v/>
          </cell>
          <cell r="P9918" t="str">
            <v/>
          </cell>
          <cell r="Q9918" t="str">
            <v/>
          </cell>
          <cell r="S9918" t="str">
            <v/>
          </cell>
          <cell r="V9918" t="str">
            <v/>
          </cell>
          <cell r="Z9918" t="str">
            <v/>
          </cell>
          <cell r="AA9918" t="str">
            <v/>
          </cell>
          <cell r="AB9918" t="str">
            <v/>
          </cell>
          <cell r="AC9918" t="str">
            <v/>
          </cell>
          <cell r="AD9918" t="str">
            <v/>
          </cell>
          <cell r="AY9918" t="str">
            <v/>
          </cell>
          <cell r="AZ9918" t="str">
            <v/>
          </cell>
          <cell r="BA9918" t="str">
            <v/>
          </cell>
        </row>
        <row r="9919">
          <cell r="B9919" t="str">
            <v>-</v>
          </cell>
          <cell r="E9919" t="str">
            <v/>
          </cell>
          <cell r="G9919" t="str">
            <v/>
          </cell>
          <cell r="J9919" t="str">
            <v/>
          </cell>
          <cell r="O9919" t="str">
            <v/>
          </cell>
          <cell r="P9919" t="str">
            <v/>
          </cell>
          <cell r="Q9919" t="str">
            <v/>
          </cell>
          <cell r="S9919" t="str">
            <v/>
          </cell>
          <cell r="V9919" t="str">
            <v/>
          </cell>
          <cell r="Z9919" t="str">
            <v/>
          </cell>
          <cell r="AA9919" t="str">
            <v/>
          </cell>
          <cell r="AB9919" t="str">
            <v/>
          </cell>
          <cell r="AC9919" t="str">
            <v/>
          </cell>
          <cell r="AD9919" t="str">
            <v/>
          </cell>
          <cell r="AY9919" t="str">
            <v/>
          </cell>
          <cell r="AZ9919" t="str">
            <v/>
          </cell>
          <cell r="BA9919" t="str">
            <v/>
          </cell>
        </row>
        <row r="9920">
          <cell r="B9920" t="str">
            <v>-</v>
          </cell>
          <cell r="E9920" t="str">
            <v/>
          </cell>
          <cell r="G9920" t="str">
            <v/>
          </cell>
          <cell r="J9920" t="str">
            <v/>
          </cell>
          <cell r="O9920" t="str">
            <v/>
          </cell>
          <cell r="P9920" t="str">
            <v/>
          </cell>
          <cell r="Q9920" t="str">
            <v/>
          </cell>
          <cell r="S9920" t="str">
            <v/>
          </cell>
          <cell r="V9920" t="str">
            <v/>
          </cell>
          <cell r="Z9920" t="str">
            <v/>
          </cell>
          <cell r="AA9920" t="str">
            <v/>
          </cell>
          <cell r="AB9920" t="str">
            <v/>
          </cell>
          <cell r="AC9920" t="str">
            <v/>
          </cell>
          <cell r="AD9920" t="str">
            <v/>
          </cell>
          <cell r="AY9920" t="str">
            <v/>
          </cell>
          <cell r="AZ9920" t="str">
            <v/>
          </cell>
          <cell r="BA9920" t="str">
            <v/>
          </cell>
        </row>
        <row r="9921">
          <cell r="B9921" t="str">
            <v>-</v>
          </cell>
          <cell r="E9921" t="str">
            <v/>
          </cell>
          <cell r="G9921" t="str">
            <v/>
          </cell>
          <cell r="J9921" t="str">
            <v/>
          </cell>
          <cell r="O9921" t="str">
            <v/>
          </cell>
          <cell r="P9921" t="str">
            <v/>
          </cell>
          <cell r="Q9921" t="str">
            <v/>
          </cell>
          <cell r="S9921" t="str">
            <v/>
          </cell>
          <cell r="V9921" t="str">
            <v/>
          </cell>
          <cell r="Z9921" t="str">
            <v/>
          </cell>
          <cell r="AA9921" t="str">
            <v/>
          </cell>
          <cell r="AB9921" t="str">
            <v/>
          </cell>
          <cell r="AC9921" t="str">
            <v/>
          </cell>
          <cell r="AD9921" t="str">
            <v/>
          </cell>
          <cell r="AY9921" t="str">
            <v/>
          </cell>
          <cell r="AZ9921" t="str">
            <v/>
          </cell>
          <cell r="BA9921" t="str">
            <v/>
          </cell>
        </row>
        <row r="9922">
          <cell r="B9922" t="str">
            <v>-</v>
          </cell>
          <cell r="E9922" t="str">
            <v/>
          </cell>
          <cell r="G9922" t="str">
            <v/>
          </cell>
          <cell r="J9922" t="str">
            <v/>
          </cell>
          <cell r="O9922" t="str">
            <v/>
          </cell>
          <cell r="P9922" t="str">
            <v/>
          </cell>
          <cell r="Q9922" t="str">
            <v/>
          </cell>
          <cell r="S9922" t="str">
            <v/>
          </cell>
          <cell r="V9922" t="str">
            <v/>
          </cell>
          <cell r="Z9922" t="str">
            <v/>
          </cell>
          <cell r="AA9922" t="str">
            <v/>
          </cell>
          <cell r="AB9922" t="str">
            <v/>
          </cell>
          <cell r="AC9922" t="str">
            <v/>
          </cell>
          <cell r="AD9922" t="str">
            <v/>
          </cell>
          <cell r="AY9922" t="str">
            <v/>
          </cell>
          <cell r="AZ9922" t="str">
            <v/>
          </cell>
          <cell r="BA9922" t="str">
            <v/>
          </cell>
        </row>
        <row r="9923">
          <cell r="B9923" t="str">
            <v>-</v>
          </cell>
          <cell r="E9923" t="str">
            <v/>
          </cell>
          <cell r="G9923" t="str">
            <v/>
          </cell>
          <cell r="J9923" t="str">
            <v/>
          </cell>
          <cell r="O9923" t="str">
            <v/>
          </cell>
          <cell r="P9923" t="str">
            <v/>
          </cell>
          <cell r="Q9923" t="str">
            <v/>
          </cell>
          <cell r="S9923" t="str">
            <v/>
          </cell>
          <cell r="V9923" t="str">
            <v/>
          </cell>
          <cell r="Z9923" t="str">
            <v/>
          </cell>
          <cell r="AA9923" t="str">
            <v/>
          </cell>
          <cell r="AB9923" t="str">
            <v/>
          </cell>
          <cell r="AC9923" t="str">
            <v/>
          </cell>
          <cell r="AD9923" t="str">
            <v/>
          </cell>
          <cell r="AY9923" t="str">
            <v/>
          </cell>
          <cell r="AZ9923" t="str">
            <v/>
          </cell>
          <cell r="BA9923" t="str">
            <v/>
          </cell>
        </row>
        <row r="9924">
          <cell r="B9924" t="str">
            <v>-</v>
          </cell>
          <cell r="E9924" t="str">
            <v/>
          </cell>
          <cell r="G9924" t="str">
            <v/>
          </cell>
          <cell r="J9924" t="str">
            <v/>
          </cell>
          <cell r="O9924" t="str">
            <v/>
          </cell>
          <cell r="P9924" t="str">
            <v/>
          </cell>
          <cell r="Q9924" t="str">
            <v/>
          </cell>
          <cell r="S9924" t="str">
            <v/>
          </cell>
          <cell r="V9924" t="str">
            <v/>
          </cell>
          <cell r="Z9924" t="str">
            <v/>
          </cell>
          <cell r="AA9924" t="str">
            <v/>
          </cell>
          <cell r="AB9924" t="str">
            <v/>
          </cell>
          <cell r="AC9924" t="str">
            <v/>
          </cell>
          <cell r="AD9924" t="str">
            <v/>
          </cell>
          <cell r="AY9924" t="str">
            <v/>
          </cell>
          <cell r="AZ9924" t="str">
            <v/>
          </cell>
          <cell r="BA9924" t="str">
            <v/>
          </cell>
        </row>
        <row r="9925">
          <cell r="B9925" t="str">
            <v>-</v>
          </cell>
          <cell r="E9925" t="str">
            <v/>
          </cell>
          <cell r="G9925" t="str">
            <v/>
          </cell>
          <cell r="J9925" t="str">
            <v/>
          </cell>
          <cell r="O9925" t="str">
            <v/>
          </cell>
          <cell r="P9925" t="str">
            <v/>
          </cell>
          <cell r="Q9925" t="str">
            <v/>
          </cell>
          <cell r="S9925" t="str">
            <v/>
          </cell>
          <cell r="V9925" t="str">
            <v/>
          </cell>
          <cell r="Z9925" t="str">
            <v/>
          </cell>
          <cell r="AA9925" t="str">
            <v/>
          </cell>
          <cell r="AB9925" t="str">
            <v/>
          </cell>
          <cell r="AC9925" t="str">
            <v/>
          </cell>
          <cell r="AD9925" t="str">
            <v/>
          </cell>
          <cell r="AY9925" t="str">
            <v/>
          </cell>
          <cell r="AZ9925" t="str">
            <v/>
          </cell>
          <cell r="BA9925" t="str">
            <v/>
          </cell>
        </row>
        <row r="9926">
          <cell r="B9926" t="str">
            <v>-</v>
          </cell>
          <cell r="E9926" t="str">
            <v/>
          </cell>
          <cell r="G9926" t="str">
            <v/>
          </cell>
          <cell r="J9926" t="str">
            <v/>
          </cell>
          <cell r="O9926" t="str">
            <v/>
          </cell>
          <cell r="P9926" t="str">
            <v/>
          </cell>
          <cell r="Q9926" t="str">
            <v/>
          </cell>
          <cell r="S9926" t="str">
            <v/>
          </cell>
          <cell r="V9926" t="str">
            <v/>
          </cell>
          <cell r="Z9926" t="str">
            <v/>
          </cell>
          <cell r="AA9926" t="str">
            <v/>
          </cell>
          <cell r="AB9926" t="str">
            <v/>
          </cell>
          <cell r="AC9926" t="str">
            <v/>
          </cell>
          <cell r="AD9926" t="str">
            <v/>
          </cell>
          <cell r="AY9926" t="str">
            <v/>
          </cell>
          <cell r="AZ9926" t="str">
            <v/>
          </cell>
          <cell r="BA9926" t="str">
            <v/>
          </cell>
        </row>
        <row r="9927">
          <cell r="B9927" t="str">
            <v>-</v>
          </cell>
          <cell r="E9927" t="str">
            <v/>
          </cell>
          <cell r="G9927" t="str">
            <v/>
          </cell>
          <cell r="J9927" t="str">
            <v/>
          </cell>
          <cell r="O9927" t="str">
            <v/>
          </cell>
          <cell r="P9927" t="str">
            <v/>
          </cell>
          <cell r="Q9927" t="str">
            <v/>
          </cell>
          <cell r="S9927" t="str">
            <v/>
          </cell>
          <cell r="V9927" t="str">
            <v/>
          </cell>
          <cell r="Z9927" t="str">
            <v/>
          </cell>
          <cell r="AA9927" t="str">
            <v/>
          </cell>
          <cell r="AB9927" t="str">
            <v/>
          </cell>
          <cell r="AC9927" t="str">
            <v/>
          </cell>
          <cell r="AD9927" t="str">
            <v/>
          </cell>
          <cell r="AY9927" t="str">
            <v/>
          </cell>
          <cell r="AZ9927" t="str">
            <v/>
          </cell>
          <cell r="BA9927" t="str">
            <v/>
          </cell>
        </row>
        <row r="9928">
          <cell r="B9928" t="str">
            <v>-</v>
          </cell>
          <cell r="E9928" t="str">
            <v/>
          </cell>
          <cell r="G9928" t="str">
            <v/>
          </cell>
          <cell r="J9928" t="str">
            <v/>
          </cell>
          <cell r="O9928" t="str">
            <v/>
          </cell>
          <cell r="P9928" t="str">
            <v/>
          </cell>
          <cell r="Q9928" t="str">
            <v/>
          </cell>
          <cell r="S9928" t="str">
            <v/>
          </cell>
          <cell r="V9928" t="str">
            <v/>
          </cell>
          <cell r="Z9928" t="str">
            <v/>
          </cell>
          <cell r="AA9928" t="str">
            <v/>
          </cell>
          <cell r="AB9928" t="str">
            <v/>
          </cell>
          <cell r="AC9928" t="str">
            <v/>
          </cell>
          <cell r="AD9928" t="str">
            <v/>
          </cell>
          <cell r="AY9928" t="str">
            <v/>
          </cell>
          <cell r="AZ9928" t="str">
            <v/>
          </cell>
          <cell r="BA9928" t="str">
            <v/>
          </cell>
        </row>
        <row r="9929">
          <cell r="B9929" t="str">
            <v>-</v>
          </cell>
          <cell r="E9929" t="str">
            <v/>
          </cell>
          <cell r="G9929" t="str">
            <v/>
          </cell>
          <cell r="J9929" t="str">
            <v/>
          </cell>
          <cell r="O9929" t="str">
            <v/>
          </cell>
          <cell r="P9929" t="str">
            <v/>
          </cell>
          <cell r="Q9929" t="str">
            <v/>
          </cell>
          <cell r="S9929" t="str">
            <v/>
          </cell>
          <cell r="V9929" t="str">
            <v/>
          </cell>
          <cell r="Z9929" t="str">
            <v/>
          </cell>
          <cell r="AA9929" t="str">
            <v/>
          </cell>
          <cell r="AB9929" t="str">
            <v/>
          </cell>
          <cell r="AC9929" t="str">
            <v/>
          </cell>
          <cell r="AD9929" t="str">
            <v/>
          </cell>
          <cell r="AY9929" t="str">
            <v/>
          </cell>
          <cell r="AZ9929" t="str">
            <v/>
          </cell>
          <cell r="BA9929" t="str">
            <v/>
          </cell>
        </row>
        <row r="9930">
          <cell r="B9930" t="str">
            <v>-</v>
          </cell>
          <cell r="E9930" t="str">
            <v/>
          </cell>
          <cell r="G9930" t="str">
            <v/>
          </cell>
          <cell r="J9930" t="str">
            <v/>
          </cell>
          <cell r="O9930" t="str">
            <v/>
          </cell>
          <cell r="P9930" t="str">
            <v/>
          </cell>
          <cell r="Q9930" t="str">
            <v/>
          </cell>
          <cell r="S9930" t="str">
            <v/>
          </cell>
          <cell r="V9930" t="str">
            <v/>
          </cell>
          <cell r="Z9930" t="str">
            <v/>
          </cell>
          <cell r="AA9930" t="str">
            <v/>
          </cell>
          <cell r="AB9930" t="str">
            <v/>
          </cell>
          <cell r="AC9930" t="str">
            <v/>
          </cell>
          <cell r="AD9930" t="str">
            <v/>
          </cell>
          <cell r="AY9930" t="str">
            <v/>
          </cell>
          <cell r="AZ9930" t="str">
            <v/>
          </cell>
          <cell r="BA9930" t="str">
            <v/>
          </cell>
        </row>
        <row r="9931">
          <cell r="B9931" t="str">
            <v>-</v>
          </cell>
          <cell r="E9931" t="str">
            <v/>
          </cell>
          <cell r="G9931" t="str">
            <v/>
          </cell>
          <cell r="J9931" t="str">
            <v/>
          </cell>
          <cell r="O9931" t="str">
            <v/>
          </cell>
          <cell r="P9931" t="str">
            <v/>
          </cell>
          <cell r="Q9931" t="str">
            <v/>
          </cell>
          <cell r="S9931" t="str">
            <v/>
          </cell>
          <cell r="V9931" t="str">
            <v/>
          </cell>
          <cell r="Z9931" t="str">
            <v/>
          </cell>
          <cell r="AA9931" t="str">
            <v/>
          </cell>
          <cell r="AB9931" t="str">
            <v/>
          </cell>
          <cell r="AC9931" t="str">
            <v/>
          </cell>
          <cell r="AD9931" t="str">
            <v/>
          </cell>
          <cell r="AY9931" t="str">
            <v/>
          </cell>
          <cell r="AZ9931" t="str">
            <v/>
          </cell>
          <cell r="BA9931" t="str">
            <v/>
          </cell>
        </row>
        <row r="9932">
          <cell r="B9932" t="str">
            <v>-</v>
          </cell>
          <cell r="E9932" t="str">
            <v/>
          </cell>
          <cell r="G9932" t="str">
            <v/>
          </cell>
          <cell r="J9932" t="str">
            <v/>
          </cell>
          <cell r="O9932" t="str">
            <v/>
          </cell>
          <cell r="P9932" t="str">
            <v/>
          </cell>
          <cell r="Q9932" t="str">
            <v/>
          </cell>
          <cell r="S9932" t="str">
            <v/>
          </cell>
          <cell r="V9932" t="str">
            <v/>
          </cell>
          <cell r="Z9932" t="str">
            <v/>
          </cell>
          <cell r="AA9932" t="str">
            <v/>
          </cell>
          <cell r="AB9932" t="str">
            <v/>
          </cell>
          <cell r="AC9932" t="str">
            <v/>
          </cell>
          <cell r="AD9932" t="str">
            <v/>
          </cell>
          <cell r="AY9932" t="str">
            <v/>
          </cell>
          <cell r="AZ9932" t="str">
            <v/>
          </cell>
          <cell r="BA9932" t="str">
            <v/>
          </cell>
        </row>
        <row r="9933">
          <cell r="B9933" t="str">
            <v>-</v>
          </cell>
          <cell r="E9933" t="str">
            <v/>
          </cell>
          <cell r="G9933" t="str">
            <v/>
          </cell>
          <cell r="J9933" t="str">
            <v/>
          </cell>
          <cell r="O9933" t="str">
            <v/>
          </cell>
          <cell r="P9933" t="str">
            <v/>
          </cell>
          <cell r="Q9933" t="str">
            <v/>
          </cell>
          <cell r="S9933" t="str">
            <v/>
          </cell>
          <cell r="V9933" t="str">
            <v/>
          </cell>
          <cell r="Z9933" t="str">
            <v/>
          </cell>
          <cell r="AA9933" t="str">
            <v/>
          </cell>
          <cell r="AB9933" t="str">
            <v/>
          </cell>
          <cell r="AC9933" t="str">
            <v/>
          </cell>
          <cell r="AD9933" t="str">
            <v/>
          </cell>
          <cell r="AY9933" t="str">
            <v/>
          </cell>
          <cell r="AZ9933" t="str">
            <v/>
          </cell>
          <cell r="BA9933" t="str">
            <v/>
          </cell>
        </row>
        <row r="9934">
          <cell r="B9934" t="str">
            <v>-</v>
          </cell>
          <cell r="E9934" t="str">
            <v/>
          </cell>
          <cell r="G9934" t="str">
            <v/>
          </cell>
          <cell r="J9934" t="str">
            <v/>
          </cell>
          <cell r="O9934" t="str">
            <v/>
          </cell>
          <cell r="P9934" t="str">
            <v/>
          </cell>
          <cell r="Q9934" t="str">
            <v/>
          </cell>
          <cell r="S9934" t="str">
            <v/>
          </cell>
          <cell r="V9934" t="str">
            <v/>
          </cell>
          <cell r="Z9934" t="str">
            <v/>
          </cell>
          <cell r="AA9934" t="str">
            <v/>
          </cell>
          <cell r="AB9934" t="str">
            <v/>
          </cell>
          <cell r="AC9934" t="str">
            <v/>
          </cell>
          <cell r="AD9934" t="str">
            <v/>
          </cell>
          <cell r="AY9934" t="str">
            <v/>
          </cell>
          <cell r="AZ9934" t="str">
            <v/>
          </cell>
          <cell r="BA9934" t="str">
            <v/>
          </cell>
        </row>
        <row r="9935">
          <cell r="B9935" t="str">
            <v>-</v>
          </cell>
          <cell r="E9935" t="str">
            <v/>
          </cell>
          <cell r="G9935" t="str">
            <v/>
          </cell>
          <cell r="J9935" t="str">
            <v/>
          </cell>
          <cell r="O9935" t="str">
            <v/>
          </cell>
          <cell r="P9935" t="str">
            <v/>
          </cell>
          <cell r="Q9935" t="str">
            <v/>
          </cell>
          <cell r="S9935" t="str">
            <v/>
          </cell>
          <cell r="V9935" t="str">
            <v/>
          </cell>
          <cell r="Z9935" t="str">
            <v/>
          </cell>
          <cell r="AA9935" t="str">
            <v/>
          </cell>
          <cell r="AB9935" t="str">
            <v/>
          </cell>
          <cell r="AC9935" t="str">
            <v/>
          </cell>
          <cell r="AD9935" t="str">
            <v/>
          </cell>
          <cell r="AY9935" t="str">
            <v/>
          </cell>
          <cell r="AZ9935" t="str">
            <v/>
          </cell>
          <cell r="BA9935" t="str">
            <v/>
          </cell>
        </row>
        <row r="9936">
          <cell r="B9936" t="str">
            <v>-</v>
          </cell>
          <cell r="E9936" t="str">
            <v/>
          </cell>
          <cell r="G9936" t="str">
            <v/>
          </cell>
          <cell r="J9936" t="str">
            <v/>
          </cell>
          <cell r="O9936" t="str">
            <v/>
          </cell>
          <cell r="P9936" t="str">
            <v/>
          </cell>
          <cell r="Q9936" t="str">
            <v/>
          </cell>
          <cell r="S9936" t="str">
            <v/>
          </cell>
          <cell r="V9936" t="str">
            <v/>
          </cell>
          <cell r="Z9936" t="str">
            <v/>
          </cell>
          <cell r="AA9936" t="str">
            <v/>
          </cell>
          <cell r="AB9936" t="str">
            <v/>
          </cell>
          <cell r="AC9936" t="str">
            <v/>
          </cell>
          <cell r="AD9936" t="str">
            <v/>
          </cell>
          <cell r="AY9936" t="str">
            <v/>
          </cell>
          <cell r="AZ9936" t="str">
            <v/>
          </cell>
          <cell r="BA9936" t="str">
            <v/>
          </cell>
        </row>
        <row r="9937">
          <cell r="B9937" t="str">
            <v>-</v>
          </cell>
          <cell r="E9937" t="str">
            <v/>
          </cell>
          <cell r="G9937" t="str">
            <v/>
          </cell>
          <cell r="J9937" t="str">
            <v/>
          </cell>
          <cell r="O9937" t="str">
            <v/>
          </cell>
          <cell r="P9937" t="str">
            <v/>
          </cell>
          <cell r="Q9937" t="str">
            <v/>
          </cell>
          <cell r="S9937" t="str">
            <v/>
          </cell>
          <cell r="V9937" t="str">
            <v/>
          </cell>
          <cell r="Z9937" t="str">
            <v/>
          </cell>
          <cell r="AA9937" t="str">
            <v/>
          </cell>
          <cell r="AB9937" t="str">
            <v/>
          </cell>
          <cell r="AC9937" t="str">
            <v/>
          </cell>
          <cell r="AD9937" t="str">
            <v/>
          </cell>
          <cell r="AY9937" t="str">
            <v/>
          </cell>
          <cell r="AZ9937" t="str">
            <v/>
          </cell>
          <cell r="BA9937" t="str">
            <v/>
          </cell>
        </row>
        <row r="9938">
          <cell r="B9938" t="str">
            <v>-</v>
          </cell>
          <cell r="E9938" t="str">
            <v/>
          </cell>
          <cell r="G9938" t="str">
            <v/>
          </cell>
          <cell r="J9938" t="str">
            <v/>
          </cell>
          <cell r="O9938" t="str">
            <v/>
          </cell>
          <cell r="P9938" t="str">
            <v/>
          </cell>
          <cell r="Q9938" t="str">
            <v/>
          </cell>
          <cell r="S9938" t="str">
            <v/>
          </cell>
          <cell r="V9938" t="str">
            <v/>
          </cell>
          <cell r="Z9938" t="str">
            <v/>
          </cell>
          <cell r="AA9938" t="str">
            <v/>
          </cell>
          <cell r="AB9938" t="str">
            <v/>
          </cell>
          <cell r="AC9938" t="str">
            <v/>
          </cell>
          <cell r="AD9938" t="str">
            <v/>
          </cell>
          <cell r="AY9938" t="str">
            <v/>
          </cell>
          <cell r="AZ9938" t="str">
            <v/>
          </cell>
          <cell r="BA9938" t="str">
            <v/>
          </cell>
        </row>
        <row r="9939">
          <cell r="B9939" t="str">
            <v>-</v>
          </cell>
          <cell r="E9939" t="str">
            <v/>
          </cell>
          <cell r="G9939" t="str">
            <v/>
          </cell>
          <cell r="J9939" t="str">
            <v/>
          </cell>
          <cell r="O9939" t="str">
            <v/>
          </cell>
          <cell r="P9939" t="str">
            <v/>
          </cell>
          <cell r="Q9939" t="str">
            <v/>
          </cell>
          <cell r="S9939" t="str">
            <v/>
          </cell>
          <cell r="V9939" t="str">
            <v/>
          </cell>
          <cell r="Z9939" t="str">
            <v/>
          </cell>
          <cell r="AA9939" t="str">
            <v/>
          </cell>
          <cell r="AB9939" t="str">
            <v/>
          </cell>
          <cell r="AC9939" t="str">
            <v/>
          </cell>
          <cell r="AD9939" t="str">
            <v/>
          </cell>
          <cell r="AY9939" t="str">
            <v/>
          </cell>
          <cell r="AZ9939" t="str">
            <v/>
          </cell>
          <cell r="BA9939" t="str">
            <v/>
          </cell>
        </row>
        <row r="9940">
          <cell r="B9940" t="str">
            <v>-</v>
          </cell>
          <cell r="E9940" t="str">
            <v/>
          </cell>
          <cell r="G9940" t="str">
            <v/>
          </cell>
          <cell r="J9940" t="str">
            <v/>
          </cell>
          <cell r="O9940" t="str">
            <v/>
          </cell>
          <cell r="P9940" t="str">
            <v/>
          </cell>
          <cell r="Q9940" t="str">
            <v/>
          </cell>
          <cell r="S9940" t="str">
            <v/>
          </cell>
          <cell r="V9940" t="str">
            <v/>
          </cell>
          <cell r="Z9940" t="str">
            <v/>
          </cell>
          <cell r="AA9940" t="str">
            <v/>
          </cell>
          <cell r="AB9940" t="str">
            <v/>
          </cell>
          <cell r="AC9940" t="str">
            <v/>
          </cell>
          <cell r="AD9940" t="str">
            <v/>
          </cell>
          <cell r="AY9940" t="str">
            <v/>
          </cell>
          <cell r="AZ9940" t="str">
            <v/>
          </cell>
          <cell r="BA9940" t="str">
            <v/>
          </cell>
        </row>
        <row r="9941">
          <cell r="B9941" t="str">
            <v>-</v>
          </cell>
          <cell r="E9941" t="str">
            <v/>
          </cell>
          <cell r="G9941" t="str">
            <v/>
          </cell>
          <cell r="J9941" t="str">
            <v/>
          </cell>
          <cell r="O9941" t="str">
            <v/>
          </cell>
          <cell r="P9941" t="str">
            <v/>
          </cell>
          <cell r="Q9941" t="str">
            <v/>
          </cell>
          <cell r="S9941" t="str">
            <v/>
          </cell>
          <cell r="V9941" t="str">
            <v/>
          </cell>
          <cell r="Z9941" t="str">
            <v/>
          </cell>
          <cell r="AA9941" t="str">
            <v/>
          </cell>
          <cell r="AB9941" t="str">
            <v/>
          </cell>
          <cell r="AC9941" t="str">
            <v/>
          </cell>
          <cell r="AD9941" t="str">
            <v/>
          </cell>
          <cell r="AY9941" t="str">
            <v/>
          </cell>
          <cell r="AZ9941" t="str">
            <v/>
          </cell>
          <cell r="BA9941" t="str">
            <v/>
          </cell>
        </row>
        <row r="9942">
          <cell r="B9942" t="str">
            <v>-</v>
          </cell>
          <cell r="E9942" t="str">
            <v/>
          </cell>
          <cell r="G9942" t="str">
            <v/>
          </cell>
          <cell r="J9942" t="str">
            <v/>
          </cell>
          <cell r="O9942" t="str">
            <v/>
          </cell>
          <cell r="P9942" t="str">
            <v/>
          </cell>
          <cell r="Q9942" t="str">
            <v/>
          </cell>
          <cell r="S9942" t="str">
            <v/>
          </cell>
          <cell r="V9942" t="str">
            <v/>
          </cell>
          <cell r="Z9942" t="str">
            <v/>
          </cell>
          <cell r="AA9942" t="str">
            <v/>
          </cell>
          <cell r="AB9942" t="str">
            <v/>
          </cell>
          <cell r="AC9942" t="str">
            <v/>
          </cell>
          <cell r="AD9942" t="str">
            <v/>
          </cell>
          <cell r="AY9942" t="str">
            <v/>
          </cell>
          <cell r="AZ9942" t="str">
            <v/>
          </cell>
          <cell r="BA9942" t="str">
            <v/>
          </cell>
        </row>
        <row r="9943">
          <cell r="B9943" t="str">
            <v>-</v>
          </cell>
          <cell r="E9943" t="str">
            <v/>
          </cell>
          <cell r="G9943" t="str">
            <v/>
          </cell>
          <cell r="J9943" t="str">
            <v/>
          </cell>
          <cell r="O9943" t="str">
            <v/>
          </cell>
          <cell r="P9943" t="str">
            <v/>
          </cell>
          <cell r="Q9943" t="str">
            <v/>
          </cell>
          <cell r="S9943" t="str">
            <v/>
          </cell>
          <cell r="V9943" t="str">
            <v/>
          </cell>
          <cell r="Z9943" t="str">
            <v/>
          </cell>
          <cell r="AA9943" t="str">
            <v/>
          </cell>
          <cell r="AB9943" t="str">
            <v/>
          </cell>
          <cell r="AC9943" t="str">
            <v/>
          </cell>
          <cell r="AD9943" t="str">
            <v/>
          </cell>
          <cell r="AY9943" t="str">
            <v/>
          </cell>
          <cell r="AZ9943" t="str">
            <v/>
          </cell>
          <cell r="BA9943" t="str">
            <v/>
          </cell>
        </row>
        <row r="9944">
          <cell r="B9944" t="str">
            <v>-</v>
          </cell>
          <cell r="E9944" t="str">
            <v/>
          </cell>
          <cell r="G9944" t="str">
            <v/>
          </cell>
          <cell r="J9944" t="str">
            <v/>
          </cell>
          <cell r="O9944" t="str">
            <v/>
          </cell>
          <cell r="P9944" t="str">
            <v/>
          </cell>
          <cell r="Q9944" t="str">
            <v/>
          </cell>
          <cell r="S9944" t="str">
            <v/>
          </cell>
          <cell r="V9944" t="str">
            <v/>
          </cell>
          <cell r="Z9944" t="str">
            <v/>
          </cell>
          <cell r="AA9944" t="str">
            <v/>
          </cell>
          <cell r="AB9944" t="str">
            <v/>
          </cell>
          <cell r="AC9944" t="str">
            <v/>
          </cell>
          <cell r="AD9944" t="str">
            <v/>
          </cell>
          <cell r="AY9944" t="str">
            <v/>
          </cell>
          <cell r="AZ9944" t="str">
            <v/>
          </cell>
          <cell r="BA9944" t="str">
            <v/>
          </cell>
        </row>
        <row r="9945">
          <cell r="B9945" t="str">
            <v>-</v>
          </cell>
          <cell r="E9945" t="str">
            <v/>
          </cell>
          <cell r="G9945" t="str">
            <v/>
          </cell>
          <cell r="J9945" t="str">
            <v/>
          </cell>
          <cell r="O9945" t="str">
            <v/>
          </cell>
          <cell r="P9945" t="str">
            <v/>
          </cell>
          <cell r="Q9945" t="str">
            <v/>
          </cell>
          <cell r="S9945" t="str">
            <v/>
          </cell>
          <cell r="V9945" t="str">
            <v/>
          </cell>
          <cell r="Z9945" t="str">
            <v/>
          </cell>
          <cell r="AA9945" t="str">
            <v/>
          </cell>
          <cell r="AB9945" t="str">
            <v/>
          </cell>
          <cell r="AC9945" t="str">
            <v/>
          </cell>
          <cell r="AD9945" t="str">
            <v/>
          </cell>
          <cell r="AY9945" t="str">
            <v/>
          </cell>
          <cell r="AZ9945" t="str">
            <v/>
          </cell>
          <cell r="BA9945" t="str">
            <v/>
          </cell>
        </row>
        <row r="9946">
          <cell r="B9946" t="str">
            <v>-</v>
          </cell>
          <cell r="E9946" t="str">
            <v/>
          </cell>
          <cell r="G9946" t="str">
            <v/>
          </cell>
          <cell r="J9946" t="str">
            <v/>
          </cell>
          <cell r="O9946" t="str">
            <v/>
          </cell>
          <cell r="P9946" t="str">
            <v/>
          </cell>
          <cell r="Q9946" t="str">
            <v/>
          </cell>
          <cell r="S9946" t="str">
            <v/>
          </cell>
          <cell r="V9946" t="str">
            <v/>
          </cell>
          <cell r="Z9946" t="str">
            <v/>
          </cell>
          <cell r="AA9946" t="str">
            <v/>
          </cell>
          <cell r="AB9946" t="str">
            <v/>
          </cell>
          <cell r="AC9946" t="str">
            <v/>
          </cell>
          <cell r="AD9946" t="str">
            <v/>
          </cell>
          <cell r="AY9946" t="str">
            <v/>
          </cell>
          <cell r="AZ9946" t="str">
            <v/>
          </cell>
          <cell r="BA9946" t="str">
            <v/>
          </cell>
        </row>
        <row r="9947">
          <cell r="B9947" t="str">
            <v>-</v>
          </cell>
          <cell r="E9947" t="str">
            <v/>
          </cell>
          <cell r="G9947" t="str">
            <v/>
          </cell>
          <cell r="J9947" t="str">
            <v/>
          </cell>
          <cell r="O9947" t="str">
            <v/>
          </cell>
          <cell r="P9947" t="str">
            <v/>
          </cell>
          <cell r="Q9947" t="str">
            <v/>
          </cell>
          <cell r="S9947" t="str">
            <v/>
          </cell>
          <cell r="V9947" t="str">
            <v/>
          </cell>
          <cell r="Z9947" t="str">
            <v/>
          </cell>
          <cell r="AA9947" t="str">
            <v/>
          </cell>
          <cell r="AB9947" t="str">
            <v/>
          </cell>
          <cell r="AC9947" t="str">
            <v/>
          </cell>
          <cell r="AD9947" t="str">
            <v/>
          </cell>
          <cell r="AY9947" t="str">
            <v/>
          </cell>
          <cell r="AZ9947" t="str">
            <v/>
          </cell>
          <cell r="BA9947" t="str">
            <v/>
          </cell>
        </row>
        <row r="9948">
          <cell r="B9948" t="str">
            <v>-</v>
          </cell>
          <cell r="E9948" t="str">
            <v/>
          </cell>
          <cell r="G9948" t="str">
            <v/>
          </cell>
          <cell r="J9948" t="str">
            <v/>
          </cell>
          <cell r="O9948" t="str">
            <v/>
          </cell>
          <cell r="P9948" t="str">
            <v/>
          </cell>
          <cell r="Q9948" t="str">
            <v/>
          </cell>
          <cell r="S9948" t="str">
            <v/>
          </cell>
          <cell r="V9948" t="str">
            <v/>
          </cell>
          <cell r="Z9948" t="str">
            <v/>
          </cell>
          <cell r="AA9948" t="str">
            <v/>
          </cell>
          <cell r="AB9948" t="str">
            <v/>
          </cell>
          <cell r="AC9948" t="str">
            <v/>
          </cell>
          <cell r="AD9948" t="str">
            <v/>
          </cell>
          <cell r="AY9948" t="str">
            <v/>
          </cell>
          <cell r="AZ9948" t="str">
            <v/>
          </cell>
          <cell r="BA9948" t="str">
            <v/>
          </cell>
        </row>
        <row r="9949">
          <cell r="B9949" t="str">
            <v>-</v>
          </cell>
          <cell r="E9949" t="str">
            <v/>
          </cell>
          <cell r="G9949" t="str">
            <v/>
          </cell>
          <cell r="J9949" t="str">
            <v/>
          </cell>
          <cell r="O9949" t="str">
            <v/>
          </cell>
          <cell r="P9949" t="str">
            <v/>
          </cell>
          <cell r="Q9949" t="str">
            <v/>
          </cell>
          <cell r="S9949" t="str">
            <v/>
          </cell>
          <cell r="V9949" t="str">
            <v/>
          </cell>
          <cell r="Z9949" t="str">
            <v/>
          </cell>
          <cell r="AA9949" t="str">
            <v/>
          </cell>
          <cell r="AB9949" t="str">
            <v/>
          </cell>
          <cell r="AC9949" t="str">
            <v/>
          </cell>
          <cell r="AD9949" t="str">
            <v/>
          </cell>
          <cell r="AY9949" t="str">
            <v/>
          </cell>
          <cell r="AZ9949" t="str">
            <v/>
          </cell>
          <cell r="BA9949" t="str">
            <v/>
          </cell>
        </row>
        <row r="9950">
          <cell r="B9950" t="str">
            <v>-</v>
          </cell>
          <cell r="E9950" t="str">
            <v/>
          </cell>
          <cell r="G9950" t="str">
            <v/>
          </cell>
          <cell r="J9950" t="str">
            <v/>
          </cell>
          <cell r="O9950" t="str">
            <v/>
          </cell>
          <cell r="P9950" t="str">
            <v/>
          </cell>
          <cell r="Q9950" t="str">
            <v/>
          </cell>
          <cell r="S9950" t="str">
            <v/>
          </cell>
          <cell r="V9950" t="str">
            <v/>
          </cell>
          <cell r="Z9950" t="str">
            <v/>
          </cell>
          <cell r="AA9950" t="str">
            <v/>
          </cell>
          <cell r="AB9950" t="str">
            <v/>
          </cell>
          <cell r="AC9950" t="str">
            <v/>
          </cell>
          <cell r="AD9950" t="str">
            <v/>
          </cell>
          <cell r="AY9950" t="str">
            <v/>
          </cell>
          <cell r="AZ9950" t="str">
            <v/>
          </cell>
          <cell r="BA9950" t="str">
            <v/>
          </cell>
        </row>
        <row r="9951">
          <cell r="B9951" t="str">
            <v>-</v>
          </cell>
          <cell r="E9951" t="str">
            <v/>
          </cell>
          <cell r="G9951" t="str">
            <v/>
          </cell>
          <cell r="J9951" t="str">
            <v/>
          </cell>
          <cell r="O9951" t="str">
            <v/>
          </cell>
          <cell r="P9951" t="str">
            <v/>
          </cell>
          <cell r="Q9951" t="str">
            <v/>
          </cell>
          <cell r="S9951" t="str">
            <v/>
          </cell>
          <cell r="V9951" t="str">
            <v/>
          </cell>
          <cell r="Z9951" t="str">
            <v/>
          </cell>
          <cell r="AA9951" t="str">
            <v/>
          </cell>
          <cell r="AB9951" t="str">
            <v/>
          </cell>
          <cell r="AC9951" t="str">
            <v/>
          </cell>
          <cell r="AD9951" t="str">
            <v/>
          </cell>
          <cell r="AY9951" t="str">
            <v/>
          </cell>
          <cell r="AZ9951" t="str">
            <v/>
          </cell>
          <cell r="BA9951" t="str">
            <v/>
          </cell>
        </row>
        <row r="9952">
          <cell r="B9952" t="str">
            <v>-</v>
          </cell>
          <cell r="E9952" t="str">
            <v/>
          </cell>
          <cell r="G9952" t="str">
            <v/>
          </cell>
          <cell r="J9952" t="str">
            <v/>
          </cell>
          <cell r="O9952" t="str">
            <v/>
          </cell>
          <cell r="P9952" t="str">
            <v/>
          </cell>
          <cell r="Q9952" t="str">
            <v/>
          </cell>
          <cell r="S9952" t="str">
            <v/>
          </cell>
          <cell r="V9952" t="str">
            <v/>
          </cell>
          <cell r="Z9952" t="str">
            <v/>
          </cell>
          <cell r="AA9952" t="str">
            <v/>
          </cell>
          <cell r="AB9952" t="str">
            <v/>
          </cell>
          <cell r="AC9952" t="str">
            <v/>
          </cell>
          <cell r="AD9952" t="str">
            <v/>
          </cell>
          <cell r="AY9952" t="str">
            <v/>
          </cell>
          <cell r="AZ9952" t="str">
            <v/>
          </cell>
          <cell r="BA9952" t="str">
            <v/>
          </cell>
        </row>
        <row r="9953">
          <cell r="B9953" t="str">
            <v>-</v>
          </cell>
          <cell r="E9953" t="str">
            <v/>
          </cell>
          <cell r="G9953" t="str">
            <v/>
          </cell>
          <cell r="J9953" t="str">
            <v/>
          </cell>
          <cell r="O9953" t="str">
            <v/>
          </cell>
          <cell r="P9953" t="str">
            <v/>
          </cell>
          <cell r="Q9953" t="str">
            <v/>
          </cell>
          <cell r="S9953" t="str">
            <v/>
          </cell>
          <cell r="V9953" t="str">
            <v/>
          </cell>
          <cell r="Z9953" t="str">
            <v/>
          </cell>
          <cell r="AA9953" t="str">
            <v/>
          </cell>
          <cell r="AB9953" t="str">
            <v/>
          </cell>
          <cell r="AC9953" t="str">
            <v/>
          </cell>
          <cell r="AD9953" t="str">
            <v/>
          </cell>
          <cell r="AY9953" t="str">
            <v/>
          </cell>
          <cell r="AZ9953" t="str">
            <v/>
          </cell>
          <cell r="BA9953" t="str">
            <v/>
          </cell>
        </row>
        <row r="9954">
          <cell r="B9954" t="str">
            <v>-</v>
          </cell>
          <cell r="E9954" t="str">
            <v/>
          </cell>
          <cell r="G9954" t="str">
            <v/>
          </cell>
          <cell r="J9954" t="str">
            <v/>
          </cell>
          <cell r="O9954" t="str">
            <v/>
          </cell>
          <cell r="P9954" t="str">
            <v/>
          </cell>
          <cell r="Q9954" t="str">
            <v/>
          </cell>
          <cell r="S9954" t="str">
            <v/>
          </cell>
          <cell r="V9954" t="str">
            <v/>
          </cell>
          <cell r="Z9954" t="str">
            <v/>
          </cell>
          <cell r="AA9954" t="str">
            <v/>
          </cell>
          <cell r="AB9954" t="str">
            <v/>
          </cell>
          <cell r="AC9954" t="str">
            <v/>
          </cell>
          <cell r="AD9954" t="str">
            <v/>
          </cell>
          <cell r="AY9954" t="str">
            <v/>
          </cell>
          <cell r="AZ9954" t="str">
            <v/>
          </cell>
          <cell r="BA9954" t="str">
            <v/>
          </cell>
        </row>
        <row r="9955">
          <cell r="B9955" t="str">
            <v>-</v>
          </cell>
          <cell r="E9955" t="str">
            <v/>
          </cell>
          <cell r="G9955" t="str">
            <v/>
          </cell>
          <cell r="J9955" t="str">
            <v/>
          </cell>
          <cell r="O9955" t="str">
            <v/>
          </cell>
          <cell r="P9955" t="str">
            <v/>
          </cell>
          <cell r="Q9955" t="str">
            <v/>
          </cell>
          <cell r="S9955" t="str">
            <v/>
          </cell>
          <cell r="V9955" t="str">
            <v/>
          </cell>
          <cell r="Z9955" t="str">
            <v/>
          </cell>
          <cell r="AA9955" t="str">
            <v/>
          </cell>
          <cell r="AB9955" t="str">
            <v/>
          </cell>
          <cell r="AC9955" t="str">
            <v/>
          </cell>
          <cell r="AD9955" t="str">
            <v/>
          </cell>
          <cell r="AY9955" t="str">
            <v/>
          </cell>
          <cell r="AZ9955" t="str">
            <v/>
          </cell>
          <cell r="BA9955" t="str">
            <v/>
          </cell>
        </row>
        <row r="9956">
          <cell r="B9956" t="str">
            <v>-</v>
          </cell>
          <cell r="E9956" t="str">
            <v/>
          </cell>
          <cell r="G9956" t="str">
            <v/>
          </cell>
          <cell r="J9956" t="str">
            <v/>
          </cell>
          <cell r="O9956" t="str">
            <v/>
          </cell>
          <cell r="P9956" t="str">
            <v/>
          </cell>
          <cell r="Q9956" t="str">
            <v/>
          </cell>
          <cell r="S9956" t="str">
            <v/>
          </cell>
          <cell r="V9956" t="str">
            <v/>
          </cell>
          <cell r="Z9956" t="str">
            <v/>
          </cell>
          <cell r="AA9956" t="str">
            <v/>
          </cell>
          <cell r="AB9956" t="str">
            <v/>
          </cell>
          <cell r="AC9956" t="str">
            <v/>
          </cell>
          <cell r="AD9956" t="str">
            <v/>
          </cell>
          <cell r="AY9956" t="str">
            <v/>
          </cell>
          <cell r="AZ9956" t="str">
            <v/>
          </cell>
          <cell r="BA9956" t="str">
            <v/>
          </cell>
        </row>
        <row r="9957">
          <cell r="B9957" t="str">
            <v>-</v>
          </cell>
          <cell r="E9957" t="str">
            <v/>
          </cell>
          <cell r="G9957" t="str">
            <v/>
          </cell>
          <cell r="J9957" t="str">
            <v/>
          </cell>
          <cell r="O9957" t="str">
            <v/>
          </cell>
          <cell r="P9957" t="str">
            <v/>
          </cell>
          <cell r="Q9957" t="str">
            <v/>
          </cell>
          <cell r="S9957" t="str">
            <v/>
          </cell>
          <cell r="V9957" t="str">
            <v/>
          </cell>
          <cell r="Z9957" t="str">
            <v/>
          </cell>
          <cell r="AA9957" t="str">
            <v/>
          </cell>
          <cell r="AB9957" t="str">
            <v/>
          </cell>
          <cell r="AC9957" t="str">
            <v/>
          </cell>
          <cell r="AD9957" t="str">
            <v/>
          </cell>
          <cell r="AY9957" t="str">
            <v/>
          </cell>
          <cell r="AZ9957" t="str">
            <v/>
          </cell>
          <cell r="BA9957" t="str">
            <v/>
          </cell>
        </row>
        <row r="9958">
          <cell r="B9958" t="str">
            <v>-</v>
          </cell>
          <cell r="E9958" t="str">
            <v/>
          </cell>
          <cell r="G9958" t="str">
            <v/>
          </cell>
          <cell r="J9958" t="str">
            <v/>
          </cell>
          <cell r="O9958" t="str">
            <v/>
          </cell>
          <cell r="P9958" t="str">
            <v/>
          </cell>
          <cell r="Q9958" t="str">
            <v/>
          </cell>
          <cell r="S9958" t="str">
            <v/>
          </cell>
          <cell r="V9958" t="str">
            <v/>
          </cell>
          <cell r="Z9958" t="str">
            <v/>
          </cell>
          <cell r="AA9958" t="str">
            <v/>
          </cell>
          <cell r="AB9958" t="str">
            <v/>
          </cell>
          <cell r="AC9958" t="str">
            <v/>
          </cell>
          <cell r="AD9958" t="str">
            <v/>
          </cell>
          <cell r="AY9958" t="str">
            <v/>
          </cell>
          <cell r="AZ9958" t="str">
            <v/>
          </cell>
          <cell r="BA9958" t="str">
            <v/>
          </cell>
        </row>
        <row r="9959">
          <cell r="B9959" t="str">
            <v>-</v>
          </cell>
          <cell r="E9959" t="str">
            <v/>
          </cell>
          <cell r="G9959" t="str">
            <v/>
          </cell>
          <cell r="J9959" t="str">
            <v/>
          </cell>
          <cell r="O9959" t="str">
            <v/>
          </cell>
          <cell r="P9959" t="str">
            <v/>
          </cell>
          <cell r="Q9959" t="str">
            <v/>
          </cell>
          <cell r="S9959" t="str">
            <v/>
          </cell>
          <cell r="V9959" t="str">
            <v/>
          </cell>
          <cell r="Z9959" t="str">
            <v/>
          </cell>
          <cell r="AA9959" t="str">
            <v/>
          </cell>
          <cell r="AB9959" t="str">
            <v/>
          </cell>
          <cell r="AC9959" t="str">
            <v/>
          </cell>
          <cell r="AD9959" t="str">
            <v/>
          </cell>
          <cell r="AY9959" t="str">
            <v/>
          </cell>
          <cell r="AZ9959" t="str">
            <v/>
          </cell>
          <cell r="BA9959" t="str">
            <v/>
          </cell>
        </row>
        <row r="9960">
          <cell r="B9960" t="str">
            <v>-</v>
          </cell>
          <cell r="E9960" t="str">
            <v/>
          </cell>
          <cell r="G9960" t="str">
            <v/>
          </cell>
          <cell r="J9960" t="str">
            <v/>
          </cell>
          <cell r="O9960" t="str">
            <v/>
          </cell>
          <cell r="P9960" t="str">
            <v/>
          </cell>
          <cell r="Q9960" t="str">
            <v/>
          </cell>
          <cell r="S9960" t="str">
            <v/>
          </cell>
          <cell r="V9960" t="str">
            <v/>
          </cell>
          <cell r="Z9960" t="str">
            <v/>
          </cell>
          <cell r="AA9960" t="str">
            <v/>
          </cell>
          <cell r="AB9960" t="str">
            <v/>
          </cell>
          <cell r="AC9960" t="str">
            <v/>
          </cell>
          <cell r="AD9960" t="str">
            <v/>
          </cell>
          <cell r="AY9960" t="str">
            <v/>
          </cell>
          <cell r="AZ9960" t="str">
            <v/>
          </cell>
          <cell r="BA9960" t="str">
            <v/>
          </cell>
        </row>
        <row r="9961">
          <cell r="B9961" t="str">
            <v>-</v>
          </cell>
          <cell r="E9961" t="str">
            <v/>
          </cell>
          <cell r="G9961" t="str">
            <v/>
          </cell>
          <cell r="J9961" t="str">
            <v/>
          </cell>
          <cell r="O9961" t="str">
            <v/>
          </cell>
          <cell r="P9961" t="str">
            <v/>
          </cell>
          <cell r="Q9961" t="str">
            <v/>
          </cell>
          <cell r="S9961" t="str">
            <v/>
          </cell>
          <cell r="V9961" t="str">
            <v/>
          </cell>
          <cell r="Z9961" t="str">
            <v/>
          </cell>
          <cell r="AA9961" t="str">
            <v/>
          </cell>
          <cell r="AB9961" t="str">
            <v/>
          </cell>
          <cell r="AC9961" t="str">
            <v/>
          </cell>
          <cell r="AD9961" t="str">
            <v/>
          </cell>
          <cell r="AY9961" t="str">
            <v/>
          </cell>
          <cell r="AZ9961" t="str">
            <v/>
          </cell>
          <cell r="BA9961" t="str">
            <v/>
          </cell>
        </row>
        <row r="9962">
          <cell r="B9962" t="str">
            <v>-</v>
          </cell>
          <cell r="E9962" t="str">
            <v/>
          </cell>
          <cell r="G9962" t="str">
            <v/>
          </cell>
          <cell r="J9962" t="str">
            <v/>
          </cell>
          <cell r="O9962" t="str">
            <v/>
          </cell>
          <cell r="P9962" t="str">
            <v/>
          </cell>
          <cell r="Q9962" t="str">
            <v/>
          </cell>
          <cell r="S9962" t="str">
            <v/>
          </cell>
          <cell r="V9962" t="str">
            <v/>
          </cell>
          <cell r="Z9962" t="str">
            <v/>
          </cell>
          <cell r="AA9962" t="str">
            <v/>
          </cell>
          <cell r="AB9962" t="str">
            <v/>
          </cell>
          <cell r="AC9962" t="str">
            <v/>
          </cell>
          <cell r="AD9962" t="str">
            <v/>
          </cell>
          <cell r="AY9962" t="str">
            <v/>
          </cell>
          <cell r="AZ9962" t="str">
            <v/>
          </cell>
          <cell r="BA9962" t="str">
            <v/>
          </cell>
        </row>
        <row r="9963">
          <cell r="B9963" t="str">
            <v>-</v>
          </cell>
          <cell r="E9963" t="str">
            <v/>
          </cell>
          <cell r="G9963" t="str">
            <v/>
          </cell>
          <cell r="J9963" t="str">
            <v/>
          </cell>
          <cell r="O9963" t="str">
            <v/>
          </cell>
          <cell r="P9963" t="str">
            <v/>
          </cell>
          <cell r="Q9963" t="str">
            <v/>
          </cell>
          <cell r="S9963" t="str">
            <v/>
          </cell>
          <cell r="V9963" t="str">
            <v/>
          </cell>
          <cell r="Z9963" t="str">
            <v/>
          </cell>
          <cell r="AA9963" t="str">
            <v/>
          </cell>
          <cell r="AB9963" t="str">
            <v/>
          </cell>
          <cell r="AC9963" t="str">
            <v/>
          </cell>
          <cell r="AD9963" t="str">
            <v/>
          </cell>
          <cell r="AY9963" t="str">
            <v/>
          </cell>
          <cell r="AZ9963" t="str">
            <v/>
          </cell>
          <cell r="BA9963" t="str">
            <v/>
          </cell>
        </row>
        <row r="9964">
          <cell r="B9964" t="str">
            <v>-</v>
          </cell>
          <cell r="E9964" t="str">
            <v/>
          </cell>
          <cell r="G9964" t="str">
            <v/>
          </cell>
          <cell r="J9964" t="str">
            <v/>
          </cell>
          <cell r="O9964" t="str">
            <v/>
          </cell>
          <cell r="P9964" t="str">
            <v/>
          </cell>
          <cell r="Q9964" t="str">
            <v/>
          </cell>
          <cell r="S9964" t="str">
            <v/>
          </cell>
          <cell r="V9964" t="str">
            <v/>
          </cell>
          <cell r="Z9964" t="str">
            <v/>
          </cell>
          <cell r="AA9964" t="str">
            <v/>
          </cell>
          <cell r="AB9964" t="str">
            <v/>
          </cell>
          <cell r="AC9964" t="str">
            <v/>
          </cell>
          <cell r="AD9964" t="str">
            <v/>
          </cell>
          <cell r="AY9964" t="str">
            <v/>
          </cell>
          <cell r="AZ9964" t="str">
            <v/>
          </cell>
          <cell r="BA9964" t="str">
            <v/>
          </cell>
        </row>
        <row r="9965">
          <cell r="B9965" t="str">
            <v>-</v>
          </cell>
          <cell r="E9965" t="str">
            <v/>
          </cell>
          <cell r="G9965" t="str">
            <v/>
          </cell>
          <cell r="J9965" t="str">
            <v/>
          </cell>
          <cell r="O9965" t="str">
            <v/>
          </cell>
          <cell r="P9965" t="str">
            <v/>
          </cell>
          <cell r="Q9965" t="str">
            <v/>
          </cell>
          <cell r="S9965" t="str">
            <v/>
          </cell>
          <cell r="V9965" t="str">
            <v/>
          </cell>
          <cell r="Z9965" t="str">
            <v/>
          </cell>
          <cell r="AA9965" t="str">
            <v/>
          </cell>
          <cell r="AB9965" t="str">
            <v/>
          </cell>
          <cell r="AC9965" t="str">
            <v/>
          </cell>
          <cell r="AD9965" t="str">
            <v/>
          </cell>
          <cell r="AY9965" t="str">
            <v/>
          </cell>
          <cell r="AZ9965" t="str">
            <v/>
          </cell>
          <cell r="BA9965" t="str">
            <v/>
          </cell>
        </row>
        <row r="9966">
          <cell r="B9966" t="str">
            <v>-</v>
          </cell>
          <cell r="E9966" t="str">
            <v/>
          </cell>
          <cell r="G9966" t="str">
            <v/>
          </cell>
          <cell r="J9966" t="str">
            <v/>
          </cell>
          <cell r="O9966" t="str">
            <v/>
          </cell>
          <cell r="P9966" t="str">
            <v/>
          </cell>
          <cell r="Q9966" t="str">
            <v/>
          </cell>
          <cell r="S9966" t="str">
            <v/>
          </cell>
          <cell r="V9966" t="str">
            <v/>
          </cell>
          <cell r="Z9966" t="str">
            <v/>
          </cell>
          <cell r="AA9966" t="str">
            <v/>
          </cell>
          <cell r="AB9966" t="str">
            <v/>
          </cell>
          <cell r="AC9966" t="str">
            <v/>
          </cell>
          <cell r="AD9966" t="str">
            <v/>
          </cell>
          <cell r="AY9966" t="str">
            <v/>
          </cell>
          <cell r="AZ9966" t="str">
            <v/>
          </cell>
          <cell r="BA9966" t="str">
            <v/>
          </cell>
        </row>
        <row r="9967">
          <cell r="B9967" t="str">
            <v>-</v>
          </cell>
          <cell r="E9967" t="str">
            <v/>
          </cell>
          <cell r="G9967" t="str">
            <v/>
          </cell>
          <cell r="J9967" t="str">
            <v/>
          </cell>
          <cell r="O9967" t="str">
            <v/>
          </cell>
          <cell r="P9967" t="str">
            <v/>
          </cell>
          <cell r="Q9967" t="str">
            <v/>
          </cell>
          <cell r="S9967" t="str">
            <v/>
          </cell>
          <cell r="V9967" t="str">
            <v/>
          </cell>
          <cell r="Z9967" t="str">
            <v/>
          </cell>
          <cell r="AA9967" t="str">
            <v/>
          </cell>
          <cell r="AB9967" t="str">
            <v/>
          </cell>
          <cell r="AC9967" t="str">
            <v/>
          </cell>
          <cell r="AD9967" t="str">
            <v/>
          </cell>
          <cell r="AY9967" t="str">
            <v/>
          </cell>
          <cell r="AZ9967" t="str">
            <v/>
          </cell>
          <cell r="BA9967" t="str">
            <v/>
          </cell>
        </row>
        <row r="9968">
          <cell r="B9968" t="str">
            <v>-</v>
          </cell>
          <cell r="E9968" t="str">
            <v/>
          </cell>
          <cell r="G9968" t="str">
            <v/>
          </cell>
          <cell r="J9968" t="str">
            <v/>
          </cell>
          <cell r="O9968" t="str">
            <v/>
          </cell>
          <cell r="P9968" t="str">
            <v/>
          </cell>
          <cell r="Q9968" t="str">
            <v/>
          </cell>
          <cell r="S9968" t="str">
            <v/>
          </cell>
          <cell r="V9968" t="str">
            <v/>
          </cell>
          <cell r="Z9968" t="str">
            <v/>
          </cell>
          <cell r="AA9968" t="str">
            <v/>
          </cell>
          <cell r="AB9968" t="str">
            <v/>
          </cell>
          <cell r="AC9968" t="str">
            <v/>
          </cell>
          <cell r="AD9968" t="str">
            <v/>
          </cell>
          <cell r="AY9968" t="str">
            <v/>
          </cell>
          <cell r="AZ9968" t="str">
            <v/>
          </cell>
          <cell r="BA9968" t="str">
            <v/>
          </cell>
        </row>
        <row r="9969">
          <cell r="B9969" t="str">
            <v>-</v>
          </cell>
          <cell r="E9969" t="str">
            <v/>
          </cell>
          <cell r="G9969" t="str">
            <v/>
          </cell>
          <cell r="J9969" t="str">
            <v/>
          </cell>
          <cell r="O9969" t="str">
            <v/>
          </cell>
          <cell r="P9969" t="str">
            <v/>
          </cell>
          <cell r="Q9969" t="str">
            <v/>
          </cell>
          <cell r="S9969" t="str">
            <v/>
          </cell>
          <cell r="V9969" t="str">
            <v/>
          </cell>
          <cell r="Z9969" t="str">
            <v/>
          </cell>
          <cell r="AA9969" t="str">
            <v/>
          </cell>
          <cell r="AB9969" t="str">
            <v/>
          </cell>
          <cell r="AC9969" t="str">
            <v/>
          </cell>
          <cell r="AD9969" t="str">
            <v/>
          </cell>
          <cell r="AY9969" t="str">
            <v/>
          </cell>
          <cell r="AZ9969" t="str">
            <v/>
          </cell>
          <cell r="BA9969" t="str">
            <v/>
          </cell>
        </row>
        <row r="9970">
          <cell r="B9970" t="str">
            <v>-</v>
          </cell>
          <cell r="E9970" t="str">
            <v/>
          </cell>
          <cell r="G9970" t="str">
            <v/>
          </cell>
          <cell r="J9970" t="str">
            <v/>
          </cell>
          <cell r="O9970" t="str">
            <v/>
          </cell>
          <cell r="P9970" t="str">
            <v/>
          </cell>
          <cell r="Q9970" t="str">
            <v/>
          </cell>
          <cell r="S9970" t="str">
            <v/>
          </cell>
          <cell r="V9970" t="str">
            <v/>
          </cell>
          <cell r="Z9970" t="str">
            <v/>
          </cell>
          <cell r="AA9970" t="str">
            <v/>
          </cell>
          <cell r="AB9970" t="str">
            <v/>
          </cell>
          <cell r="AC9970" t="str">
            <v/>
          </cell>
          <cell r="AD9970" t="str">
            <v/>
          </cell>
          <cell r="AY9970" t="str">
            <v/>
          </cell>
          <cell r="AZ9970" t="str">
            <v/>
          </cell>
          <cell r="BA9970" t="str">
            <v/>
          </cell>
        </row>
        <row r="9971">
          <cell r="B9971" t="str">
            <v>-</v>
          </cell>
          <cell r="E9971" t="str">
            <v/>
          </cell>
          <cell r="G9971" t="str">
            <v/>
          </cell>
          <cell r="J9971" t="str">
            <v/>
          </cell>
          <cell r="O9971" t="str">
            <v/>
          </cell>
          <cell r="P9971" t="str">
            <v/>
          </cell>
          <cell r="Q9971" t="str">
            <v/>
          </cell>
          <cell r="S9971" t="str">
            <v/>
          </cell>
          <cell r="V9971" t="str">
            <v/>
          </cell>
          <cell r="Z9971" t="str">
            <v/>
          </cell>
          <cell r="AA9971" t="str">
            <v/>
          </cell>
          <cell r="AB9971" t="str">
            <v/>
          </cell>
          <cell r="AC9971" t="str">
            <v/>
          </cell>
          <cell r="AD9971" t="str">
            <v/>
          </cell>
          <cell r="AY9971" t="str">
            <v/>
          </cell>
          <cell r="AZ9971" t="str">
            <v/>
          </cell>
          <cell r="BA9971" t="str">
            <v/>
          </cell>
        </row>
        <row r="9972">
          <cell r="B9972" t="str">
            <v>-</v>
          </cell>
          <cell r="E9972" t="str">
            <v/>
          </cell>
          <cell r="G9972" t="str">
            <v/>
          </cell>
          <cell r="J9972" t="str">
            <v/>
          </cell>
          <cell r="O9972" t="str">
            <v/>
          </cell>
          <cell r="P9972" t="str">
            <v/>
          </cell>
          <cell r="Q9972" t="str">
            <v/>
          </cell>
          <cell r="S9972" t="str">
            <v/>
          </cell>
          <cell r="V9972" t="str">
            <v/>
          </cell>
          <cell r="Z9972" t="str">
            <v/>
          </cell>
          <cell r="AA9972" t="str">
            <v/>
          </cell>
          <cell r="AB9972" t="str">
            <v/>
          </cell>
          <cell r="AC9972" t="str">
            <v/>
          </cell>
          <cell r="AD9972" t="str">
            <v/>
          </cell>
          <cell r="AY9972" t="str">
            <v/>
          </cell>
          <cell r="AZ9972" t="str">
            <v/>
          </cell>
          <cell r="BA9972" t="str">
            <v/>
          </cell>
        </row>
        <row r="9973">
          <cell r="B9973" t="str">
            <v>-</v>
          </cell>
          <cell r="E9973" t="str">
            <v/>
          </cell>
          <cell r="G9973" t="str">
            <v/>
          </cell>
          <cell r="J9973" t="str">
            <v/>
          </cell>
          <cell r="O9973" t="str">
            <v/>
          </cell>
          <cell r="P9973" t="str">
            <v/>
          </cell>
          <cell r="Q9973" t="str">
            <v/>
          </cell>
          <cell r="S9973" t="str">
            <v/>
          </cell>
          <cell r="V9973" t="str">
            <v/>
          </cell>
          <cell r="Z9973" t="str">
            <v/>
          </cell>
          <cell r="AA9973" t="str">
            <v/>
          </cell>
          <cell r="AB9973" t="str">
            <v/>
          </cell>
          <cell r="AC9973" t="str">
            <v/>
          </cell>
          <cell r="AD9973" t="str">
            <v/>
          </cell>
          <cell r="AY9973" t="str">
            <v/>
          </cell>
          <cell r="AZ9973" t="str">
            <v/>
          </cell>
          <cell r="BA9973" t="str">
            <v/>
          </cell>
        </row>
        <row r="9974">
          <cell r="B9974" t="str">
            <v>-</v>
          </cell>
          <cell r="E9974" t="str">
            <v/>
          </cell>
          <cell r="G9974" t="str">
            <v/>
          </cell>
          <cell r="J9974" t="str">
            <v/>
          </cell>
          <cell r="O9974" t="str">
            <v/>
          </cell>
          <cell r="P9974" t="str">
            <v/>
          </cell>
          <cell r="Q9974" t="str">
            <v/>
          </cell>
          <cell r="S9974" t="str">
            <v/>
          </cell>
          <cell r="V9974" t="str">
            <v/>
          </cell>
          <cell r="Z9974" t="str">
            <v/>
          </cell>
          <cell r="AA9974" t="str">
            <v/>
          </cell>
          <cell r="AB9974" t="str">
            <v/>
          </cell>
          <cell r="AC9974" t="str">
            <v/>
          </cell>
          <cell r="AD9974" t="str">
            <v/>
          </cell>
          <cell r="AY9974" t="str">
            <v/>
          </cell>
          <cell r="AZ9974" t="str">
            <v/>
          </cell>
          <cell r="BA9974" t="str">
            <v/>
          </cell>
        </row>
        <row r="9975">
          <cell r="B9975" t="str">
            <v>-</v>
          </cell>
          <cell r="E9975" t="str">
            <v/>
          </cell>
          <cell r="G9975" t="str">
            <v/>
          </cell>
          <cell r="J9975" t="str">
            <v/>
          </cell>
          <cell r="O9975" t="str">
            <v/>
          </cell>
          <cell r="P9975" t="str">
            <v/>
          </cell>
          <cell r="Q9975" t="str">
            <v/>
          </cell>
          <cell r="S9975" t="str">
            <v/>
          </cell>
          <cell r="V9975" t="str">
            <v/>
          </cell>
          <cell r="Z9975" t="str">
            <v/>
          </cell>
          <cell r="AA9975" t="str">
            <v/>
          </cell>
          <cell r="AB9975" t="str">
            <v/>
          </cell>
          <cell r="AC9975" t="str">
            <v/>
          </cell>
          <cell r="AD9975" t="str">
            <v/>
          </cell>
          <cell r="AY9975" t="str">
            <v/>
          </cell>
          <cell r="AZ9975" t="str">
            <v/>
          </cell>
          <cell r="BA9975" t="str">
            <v/>
          </cell>
        </row>
        <row r="9976">
          <cell r="B9976" t="str">
            <v>-</v>
          </cell>
          <cell r="E9976" t="str">
            <v/>
          </cell>
          <cell r="G9976" t="str">
            <v/>
          </cell>
          <cell r="J9976" t="str">
            <v/>
          </cell>
          <cell r="O9976" t="str">
            <v/>
          </cell>
          <cell r="P9976" t="str">
            <v/>
          </cell>
          <cell r="Q9976" t="str">
            <v/>
          </cell>
          <cell r="S9976" t="str">
            <v/>
          </cell>
          <cell r="V9976" t="str">
            <v/>
          </cell>
          <cell r="Z9976" t="str">
            <v/>
          </cell>
          <cell r="AA9976" t="str">
            <v/>
          </cell>
          <cell r="AB9976" t="str">
            <v/>
          </cell>
          <cell r="AC9976" t="str">
            <v/>
          </cell>
          <cell r="AD9976" t="str">
            <v/>
          </cell>
          <cell r="AY9976" t="str">
            <v/>
          </cell>
          <cell r="AZ9976" t="str">
            <v/>
          </cell>
          <cell r="BA9976" t="str">
            <v/>
          </cell>
        </row>
        <row r="9977">
          <cell r="B9977" t="str">
            <v>-</v>
          </cell>
          <cell r="E9977" t="str">
            <v/>
          </cell>
          <cell r="G9977" t="str">
            <v/>
          </cell>
          <cell r="J9977" t="str">
            <v/>
          </cell>
          <cell r="O9977" t="str">
            <v/>
          </cell>
          <cell r="P9977" t="str">
            <v/>
          </cell>
          <cell r="Q9977" t="str">
            <v/>
          </cell>
          <cell r="S9977" t="str">
            <v/>
          </cell>
          <cell r="V9977" t="str">
            <v/>
          </cell>
          <cell r="Z9977" t="str">
            <v/>
          </cell>
          <cell r="AA9977" t="str">
            <v/>
          </cell>
          <cell r="AB9977" t="str">
            <v/>
          </cell>
          <cell r="AC9977" t="str">
            <v/>
          </cell>
          <cell r="AD9977" t="str">
            <v/>
          </cell>
          <cell r="AY9977" t="str">
            <v/>
          </cell>
          <cell r="AZ9977" t="str">
            <v/>
          </cell>
          <cell r="BA9977" t="str">
            <v/>
          </cell>
        </row>
        <row r="9978">
          <cell r="B9978" t="str">
            <v>-</v>
          </cell>
          <cell r="E9978" t="str">
            <v/>
          </cell>
          <cell r="G9978" t="str">
            <v/>
          </cell>
          <cell r="J9978" t="str">
            <v/>
          </cell>
          <cell r="O9978" t="str">
            <v/>
          </cell>
          <cell r="P9978" t="str">
            <v/>
          </cell>
          <cell r="Q9978" t="str">
            <v/>
          </cell>
          <cell r="S9978" t="str">
            <v/>
          </cell>
          <cell r="V9978" t="str">
            <v/>
          </cell>
          <cell r="Z9978" t="str">
            <v/>
          </cell>
          <cell r="AA9978" t="str">
            <v/>
          </cell>
          <cell r="AB9978" t="str">
            <v/>
          </cell>
          <cell r="AC9978" t="str">
            <v/>
          </cell>
          <cell r="AD9978" t="str">
            <v/>
          </cell>
          <cell r="AY9978" t="str">
            <v/>
          </cell>
          <cell r="AZ9978" t="str">
            <v/>
          </cell>
          <cell r="BA9978" t="str">
            <v/>
          </cell>
        </row>
        <row r="9979">
          <cell r="B9979" t="str">
            <v>-</v>
          </cell>
          <cell r="E9979" t="str">
            <v/>
          </cell>
          <cell r="G9979" t="str">
            <v/>
          </cell>
          <cell r="J9979" t="str">
            <v/>
          </cell>
          <cell r="O9979" t="str">
            <v/>
          </cell>
          <cell r="P9979" t="str">
            <v/>
          </cell>
          <cell r="Q9979" t="str">
            <v/>
          </cell>
          <cell r="S9979" t="str">
            <v/>
          </cell>
          <cell r="V9979" t="str">
            <v/>
          </cell>
          <cell r="Z9979" t="str">
            <v/>
          </cell>
          <cell r="AA9979" t="str">
            <v/>
          </cell>
          <cell r="AB9979" t="str">
            <v/>
          </cell>
          <cell r="AC9979" t="str">
            <v/>
          </cell>
          <cell r="AD9979" t="str">
            <v/>
          </cell>
          <cell r="AY9979" t="str">
            <v/>
          </cell>
          <cell r="AZ9979" t="str">
            <v/>
          </cell>
          <cell r="BA9979" t="str">
            <v/>
          </cell>
        </row>
        <row r="9980">
          <cell r="B9980" t="str">
            <v>-</v>
          </cell>
          <cell r="E9980" t="str">
            <v/>
          </cell>
          <cell r="G9980" t="str">
            <v/>
          </cell>
          <cell r="J9980" t="str">
            <v/>
          </cell>
          <cell r="O9980" t="str">
            <v/>
          </cell>
          <cell r="P9980" t="str">
            <v/>
          </cell>
          <cell r="Q9980" t="str">
            <v/>
          </cell>
          <cell r="S9980" t="str">
            <v/>
          </cell>
          <cell r="V9980" t="str">
            <v/>
          </cell>
          <cell r="Z9980" t="str">
            <v/>
          </cell>
          <cell r="AA9980" t="str">
            <v/>
          </cell>
          <cell r="AB9980" t="str">
            <v/>
          </cell>
          <cell r="AC9980" t="str">
            <v/>
          </cell>
          <cell r="AD9980" t="str">
            <v/>
          </cell>
          <cell r="AY9980" t="str">
            <v/>
          </cell>
          <cell r="AZ9980" t="str">
            <v/>
          </cell>
          <cell r="BA9980" t="str">
            <v/>
          </cell>
        </row>
        <row r="9981">
          <cell r="B9981" t="str">
            <v>-</v>
          </cell>
          <cell r="E9981" t="str">
            <v/>
          </cell>
          <cell r="G9981" t="str">
            <v/>
          </cell>
          <cell r="J9981" t="str">
            <v/>
          </cell>
          <cell r="O9981" t="str">
            <v/>
          </cell>
          <cell r="P9981" t="str">
            <v/>
          </cell>
          <cell r="Q9981" t="str">
            <v/>
          </cell>
          <cell r="S9981" t="str">
            <v/>
          </cell>
          <cell r="V9981" t="str">
            <v/>
          </cell>
          <cell r="Z9981" t="str">
            <v/>
          </cell>
          <cell r="AA9981" t="str">
            <v/>
          </cell>
          <cell r="AB9981" t="str">
            <v/>
          </cell>
          <cell r="AC9981" t="str">
            <v/>
          </cell>
          <cell r="AD9981" t="str">
            <v/>
          </cell>
          <cell r="AY9981" t="str">
            <v/>
          </cell>
          <cell r="AZ9981" t="str">
            <v/>
          </cell>
          <cell r="BA9981" t="str">
            <v/>
          </cell>
        </row>
        <row r="9982">
          <cell r="B9982" t="str">
            <v>-</v>
          </cell>
          <cell r="E9982" t="str">
            <v/>
          </cell>
          <cell r="G9982" t="str">
            <v/>
          </cell>
          <cell r="J9982" t="str">
            <v/>
          </cell>
          <cell r="O9982" t="str">
            <v/>
          </cell>
          <cell r="P9982" t="str">
            <v/>
          </cell>
          <cell r="Q9982" t="str">
            <v/>
          </cell>
          <cell r="S9982" t="str">
            <v/>
          </cell>
          <cell r="V9982" t="str">
            <v/>
          </cell>
          <cell r="Z9982" t="str">
            <v/>
          </cell>
          <cell r="AA9982" t="str">
            <v/>
          </cell>
          <cell r="AB9982" t="str">
            <v/>
          </cell>
          <cell r="AC9982" t="str">
            <v/>
          </cell>
          <cell r="AD9982" t="str">
            <v/>
          </cell>
          <cell r="AY9982" t="str">
            <v/>
          </cell>
          <cell r="AZ9982" t="str">
            <v/>
          </cell>
          <cell r="BA9982" t="str">
            <v/>
          </cell>
        </row>
        <row r="9983">
          <cell r="B9983" t="str">
            <v>-</v>
          </cell>
          <cell r="E9983" t="str">
            <v/>
          </cell>
          <cell r="G9983" t="str">
            <v/>
          </cell>
          <cell r="J9983" t="str">
            <v/>
          </cell>
          <cell r="O9983" t="str">
            <v/>
          </cell>
          <cell r="P9983" t="str">
            <v/>
          </cell>
          <cell r="Q9983" t="str">
            <v/>
          </cell>
          <cell r="S9983" t="str">
            <v/>
          </cell>
          <cell r="V9983" t="str">
            <v/>
          </cell>
          <cell r="Z9983" t="str">
            <v/>
          </cell>
          <cell r="AA9983" t="str">
            <v/>
          </cell>
          <cell r="AB9983" t="str">
            <v/>
          </cell>
          <cell r="AC9983" t="str">
            <v/>
          </cell>
          <cell r="AD9983" t="str">
            <v/>
          </cell>
          <cell r="AY9983" t="str">
            <v/>
          </cell>
          <cell r="AZ9983" t="str">
            <v/>
          </cell>
          <cell r="BA9983" t="str">
            <v/>
          </cell>
        </row>
        <row r="9984">
          <cell r="B9984" t="str">
            <v>-</v>
          </cell>
          <cell r="E9984" t="str">
            <v/>
          </cell>
          <cell r="G9984" t="str">
            <v/>
          </cell>
          <cell r="J9984" t="str">
            <v/>
          </cell>
          <cell r="O9984" t="str">
            <v/>
          </cell>
          <cell r="P9984" t="str">
            <v/>
          </cell>
          <cell r="Q9984" t="str">
            <v/>
          </cell>
          <cell r="S9984" t="str">
            <v/>
          </cell>
          <cell r="V9984" t="str">
            <v/>
          </cell>
          <cell r="Z9984" t="str">
            <v/>
          </cell>
          <cell r="AA9984" t="str">
            <v/>
          </cell>
          <cell r="AB9984" t="str">
            <v/>
          </cell>
          <cell r="AC9984" t="str">
            <v/>
          </cell>
          <cell r="AD9984" t="str">
            <v/>
          </cell>
          <cell r="AY9984" t="str">
            <v/>
          </cell>
          <cell r="AZ9984" t="str">
            <v/>
          </cell>
          <cell r="BA9984" t="str">
            <v/>
          </cell>
        </row>
        <row r="9985">
          <cell r="B9985" t="str">
            <v>-</v>
          </cell>
          <cell r="E9985" t="str">
            <v/>
          </cell>
          <cell r="G9985" t="str">
            <v/>
          </cell>
          <cell r="J9985" t="str">
            <v/>
          </cell>
          <cell r="O9985" t="str">
            <v/>
          </cell>
          <cell r="P9985" t="str">
            <v/>
          </cell>
          <cell r="Q9985" t="str">
            <v/>
          </cell>
          <cell r="S9985" t="str">
            <v/>
          </cell>
          <cell r="V9985" t="str">
            <v/>
          </cell>
          <cell r="Z9985" t="str">
            <v/>
          </cell>
          <cell r="AA9985" t="str">
            <v/>
          </cell>
          <cell r="AB9985" t="str">
            <v/>
          </cell>
          <cell r="AC9985" t="str">
            <v/>
          </cell>
          <cell r="AD9985" t="str">
            <v/>
          </cell>
          <cell r="AY9985" t="str">
            <v/>
          </cell>
          <cell r="AZ9985" t="str">
            <v/>
          </cell>
          <cell r="BA9985" t="str">
            <v/>
          </cell>
        </row>
        <row r="9986">
          <cell r="B9986" t="str">
            <v>-</v>
          </cell>
          <cell r="E9986" t="str">
            <v/>
          </cell>
          <cell r="G9986" t="str">
            <v/>
          </cell>
          <cell r="J9986" t="str">
            <v/>
          </cell>
          <cell r="O9986" t="str">
            <v/>
          </cell>
          <cell r="P9986" t="str">
            <v/>
          </cell>
          <cell r="Q9986" t="str">
            <v/>
          </cell>
          <cell r="S9986" t="str">
            <v/>
          </cell>
          <cell r="V9986" t="str">
            <v/>
          </cell>
          <cell r="Z9986" t="str">
            <v/>
          </cell>
          <cell r="AA9986" t="str">
            <v/>
          </cell>
          <cell r="AB9986" t="str">
            <v/>
          </cell>
          <cell r="AC9986" t="str">
            <v/>
          </cell>
          <cell r="AD9986" t="str">
            <v/>
          </cell>
          <cell r="AY9986" t="str">
            <v/>
          </cell>
          <cell r="AZ9986" t="str">
            <v/>
          </cell>
          <cell r="BA9986" t="str">
            <v/>
          </cell>
        </row>
        <row r="9987">
          <cell r="B9987" t="str">
            <v>-</v>
          </cell>
          <cell r="E9987" t="str">
            <v/>
          </cell>
          <cell r="G9987" t="str">
            <v/>
          </cell>
          <cell r="J9987" t="str">
            <v/>
          </cell>
          <cell r="O9987" t="str">
            <v/>
          </cell>
          <cell r="P9987" t="str">
            <v/>
          </cell>
          <cell r="Q9987" t="str">
            <v/>
          </cell>
          <cell r="S9987" t="str">
            <v/>
          </cell>
          <cell r="V9987" t="str">
            <v/>
          </cell>
          <cell r="Z9987" t="str">
            <v/>
          </cell>
          <cell r="AA9987" t="str">
            <v/>
          </cell>
          <cell r="AB9987" t="str">
            <v/>
          </cell>
          <cell r="AC9987" t="str">
            <v/>
          </cell>
          <cell r="AD9987" t="str">
            <v/>
          </cell>
          <cell r="AY9987" t="str">
            <v/>
          </cell>
          <cell r="AZ9987" t="str">
            <v/>
          </cell>
          <cell r="BA9987" t="str">
            <v/>
          </cell>
        </row>
        <row r="9988">
          <cell r="B9988" t="str">
            <v>-</v>
          </cell>
          <cell r="E9988" t="str">
            <v/>
          </cell>
          <cell r="G9988" t="str">
            <v/>
          </cell>
          <cell r="J9988" t="str">
            <v/>
          </cell>
          <cell r="O9988" t="str">
            <v/>
          </cell>
          <cell r="P9988" t="str">
            <v/>
          </cell>
          <cell r="Q9988" t="str">
            <v/>
          </cell>
          <cell r="S9988" t="str">
            <v/>
          </cell>
          <cell r="V9988" t="str">
            <v/>
          </cell>
          <cell r="Z9988" t="str">
            <v/>
          </cell>
          <cell r="AA9988" t="str">
            <v/>
          </cell>
          <cell r="AB9988" t="str">
            <v/>
          </cell>
          <cell r="AC9988" t="str">
            <v/>
          </cell>
          <cell r="AD9988" t="str">
            <v/>
          </cell>
          <cell r="AY9988" t="str">
            <v/>
          </cell>
          <cell r="AZ9988" t="str">
            <v/>
          </cell>
          <cell r="BA9988" t="str">
            <v/>
          </cell>
        </row>
        <row r="9989">
          <cell r="B9989" t="str">
            <v>-</v>
          </cell>
          <cell r="E9989" t="str">
            <v/>
          </cell>
          <cell r="G9989" t="str">
            <v/>
          </cell>
          <cell r="J9989" t="str">
            <v/>
          </cell>
          <cell r="O9989" t="str">
            <v/>
          </cell>
          <cell r="P9989" t="str">
            <v/>
          </cell>
          <cell r="Q9989" t="str">
            <v/>
          </cell>
          <cell r="S9989" t="str">
            <v/>
          </cell>
          <cell r="V9989" t="str">
            <v/>
          </cell>
          <cell r="Z9989" t="str">
            <v/>
          </cell>
          <cell r="AA9989" t="str">
            <v/>
          </cell>
          <cell r="AB9989" t="str">
            <v/>
          </cell>
          <cell r="AC9989" t="str">
            <v/>
          </cell>
          <cell r="AD9989" t="str">
            <v/>
          </cell>
          <cell r="AY9989" t="str">
            <v/>
          </cell>
          <cell r="AZ9989" t="str">
            <v/>
          </cell>
          <cell r="BA9989" t="str">
            <v/>
          </cell>
        </row>
        <row r="9990">
          <cell r="B9990" t="str">
            <v>-</v>
          </cell>
          <cell r="E9990" t="str">
            <v/>
          </cell>
          <cell r="G9990" t="str">
            <v/>
          </cell>
          <cell r="J9990" t="str">
            <v/>
          </cell>
          <cell r="O9990" t="str">
            <v/>
          </cell>
          <cell r="P9990" t="str">
            <v/>
          </cell>
          <cell r="Q9990" t="str">
            <v/>
          </cell>
          <cell r="S9990" t="str">
            <v/>
          </cell>
          <cell r="V9990" t="str">
            <v/>
          </cell>
          <cell r="Z9990" t="str">
            <v/>
          </cell>
          <cell r="AA9990" t="str">
            <v/>
          </cell>
          <cell r="AB9990" t="str">
            <v/>
          </cell>
          <cell r="AC9990" t="str">
            <v/>
          </cell>
          <cell r="AD9990" t="str">
            <v/>
          </cell>
          <cell r="AY9990" t="str">
            <v/>
          </cell>
          <cell r="AZ9990" t="str">
            <v/>
          </cell>
          <cell r="BA9990" t="str">
            <v/>
          </cell>
        </row>
        <row r="9991">
          <cell r="B9991" t="str">
            <v>-</v>
          </cell>
          <cell r="E9991" t="str">
            <v/>
          </cell>
          <cell r="G9991" t="str">
            <v/>
          </cell>
          <cell r="J9991" t="str">
            <v/>
          </cell>
          <cell r="O9991" t="str">
            <v/>
          </cell>
          <cell r="P9991" t="str">
            <v/>
          </cell>
          <cell r="Q9991" t="str">
            <v/>
          </cell>
          <cell r="S9991" t="str">
            <v/>
          </cell>
          <cell r="V9991" t="str">
            <v/>
          </cell>
          <cell r="Z9991" t="str">
            <v/>
          </cell>
          <cell r="AA9991" t="str">
            <v/>
          </cell>
          <cell r="AB9991" t="str">
            <v/>
          </cell>
          <cell r="AC9991" t="str">
            <v/>
          </cell>
          <cell r="AD9991" t="str">
            <v/>
          </cell>
          <cell r="AY9991" t="str">
            <v/>
          </cell>
          <cell r="AZ9991" t="str">
            <v/>
          </cell>
          <cell r="BA9991" t="str">
            <v/>
          </cell>
        </row>
        <row r="9992">
          <cell r="B9992" t="str">
            <v>-</v>
          </cell>
          <cell r="E9992" t="str">
            <v/>
          </cell>
          <cell r="G9992" t="str">
            <v/>
          </cell>
          <cell r="J9992" t="str">
            <v/>
          </cell>
          <cell r="O9992" t="str">
            <v/>
          </cell>
          <cell r="P9992" t="str">
            <v/>
          </cell>
          <cell r="Q9992" t="str">
            <v/>
          </cell>
          <cell r="S9992" t="str">
            <v/>
          </cell>
          <cell r="V9992" t="str">
            <v/>
          </cell>
          <cell r="Z9992" t="str">
            <v/>
          </cell>
          <cell r="AA9992" t="str">
            <v/>
          </cell>
          <cell r="AB9992" t="str">
            <v/>
          </cell>
          <cell r="AC9992" t="str">
            <v/>
          </cell>
          <cell r="AD9992" t="str">
            <v/>
          </cell>
          <cell r="AY9992" t="str">
            <v/>
          </cell>
          <cell r="AZ9992" t="str">
            <v/>
          </cell>
          <cell r="BA9992" t="str">
            <v/>
          </cell>
        </row>
        <row r="9993">
          <cell r="B9993" t="str">
            <v>-</v>
          </cell>
          <cell r="E9993" t="str">
            <v/>
          </cell>
          <cell r="G9993" t="str">
            <v/>
          </cell>
          <cell r="J9993" t="str">
            <v/>
          </cell>
          <cell r="O9993" t="str">
            <v/>
          </cell>
          <cell r="P9993" t="str">
            <v/>
          </cell>
          <cell r="Q9993" t="str">
            <v/>
          </cell>
          <cell r="S9993" t="str">
            <v/>
          </cell>
          <cell r="V9993" t="str">
            <v/>
          </cell>
          <cell r="Z9993" t="str">
            <v/>
          </cell>
          <cell r="AA9993" t="str">
            <v/>
          </cell>
          <cell r="AB9993" t="str">
            <v/>
          </cell>
          <cell r="AC9993" t="str">
            <v/>
          </cell>
          <cell r="AD9993" t="str">
            <v/>
          </cell>
          <cell r="AY9993" t="str">
            <v/>
          </cell>
          <cell r="AZ9993" t="str">
            <v/>
          </cell>
          <cell r="BA9993" t="str">
            <v/>
          </cell>
        </row>
        <row r="9994">
          <cell r="B9994" t="str">
            <v>-</v>
          </cell>
          <cell r="E9994" t="str">
            <v/>
          </cell>
          <cell r="G9994" t="str">
            <v/>
          </cell>
          <cell r="J9994" t="str">
            <v/>
          </cell>
          <cell r="O9994" t="str">
            <v/>
          </cell>
          <cell r="P9994" t="str">
            <v/>
          </cell>
          <cell r="Q9994" t="str">
            <v/>
          </cell>
          <cell r="S9994" t="str">
            <v/>
          </cell>
          <cell r="V9994" t="str">
            <v/>
          </cell>
          <cell r="Z9994" t="str">
            <v/>
          </cell>
          <cell r="AA9994" t="str">
            <v/>
          </cell>
          <cell r="AB9994" t="str">
            <v/>
          </cell>
          <cell r="AC9994" t="str">
            <v/>
          </cell>
          <cell r="AD9994" t="str">
            <v/>
          </cell>
          <cell r="AY9994" t="str">
            <v/>
          </cell>
          <cell r="AZ9994" t="str">
            <v/>
          </cell>
          <cell r="BA9994" t="str">
            <v/>
          </cell>
        </row>
        <row r="9995">
          <cell r="B9995" t="str">
            <v>-</v>
          </cell>
          <cell r="E9995" t="str">
            <v/>
          </cell>
          <cell r="G9995" t="str">
            <v/>
          </cell>
          <cell r="J9995" t="str">
            <v/>
          </cell>
          <cell r="O9995" t="str">
            <v/>
          </cell>
          <cell r="P9995" t="str">
            <v/>
          </cell>
          <cell r="Q9995" t="str">
            <v/>
          </cell>
          <cell r="S9995" t="str">
            <v/>
          </cell>
          <cell r="V9995" t="str">
            <v/>
          </cell>
          <cell r="Z9995" t="str">
            <v/>
          </cell>
          <cell r="AA9995" t="str">
            <v/>
          </cell>
          <cell r="AB9995" t="str">
            <v/>
          </cell>
          <cell r="AC9995" t="str">
            <v/>
          </cell>
          <cell r="AD9995" t="str">
            <v/>
          </cell>
          <cell r="AY9995" t="str">
            <v/>
          </cell>
          <cell r="AZ9995" t="str">
            <v/>
          </cell>
          <cell r="BA9995" t="str">
            <v/>
          </cell>
        </row>
        <row r="9996">
          <cell r="B9996" t="str">
            <v>-</v>
          </cell>
          <cell r="E9996" t="str">
            <v/>
          </cell>
          <cell r="G9996" t="str">
            <v/>
          </cell>
          <cell r="J9996" t="str">
            <v/>
          </cell>
          <cell r="O9996" t="str">
            <v/>
          </cell>
          <cell r="P9996" t="str">
            <v/>
          </cell>
          <cell r="Q9996" t="str">
            <v/>
          </cell>
          <cell r="S9996" t="str">
            <v/>
          </cell>
          <cell r="V9996" t="str">
            <v/>
          </cell>
          <cell r="Z9996" t="str">
            <v/>
          </cell>
          <cell r="AA9996" t="str">
            <v/>
          </cell>
          <cell r="AB9996" t="str">
            <v/>
          </cell>
          <cell r="AC9996" t="str">
            <v/>
          </cell>
          <cell r="AD9996" t="str">
            <v/>
          </cell>
          <cell r="AY9996" t="str">
            <v/>
          </cell>
          <cell r="AZ9996" t="str">
            <v/>
          </cell>
          <cell r="BA9996" t="str">
            <v/>
          </cell>
        </row>
        <row r="9997">
          <cell r="B9997" t="str">
            <v>-</v>
          </cell>
          <cell r="E9997" t="str">
            <v/>
          </cell>
          <cell r="G9997" t="str">
            <v/>
          </cell>
          <cell r="J9997" t="str">
            <v/>
          </cell>
          <cell r="O9997" t="str">
            <v/>
          </cell>
          <cell r="P9997" t="str">
            <v/>
          </cell>
          <cell r="Q9997" t="str">
            <v/>
          </cell>
          <cell r="S9997" t="str">
            <v/>
          </cell>
          <cell r="V9997" t="str">
            <v/>
          </cell>
          <cell r="Z9997" t="str">
            <v/>
          </cell>
          <cell r="AA9997" t="str">
            <v/>
          </cell>
          <cell r="AB9997" t="str">
            <v/>
          </cell>
          <cell r="AC9997" t="str">
            <v/>
          </cell>
          <cell r="AD9997" t="str">
            <v/>
          </cell>
          <cell r="AY9997" t="str">
            <v/>
          </cell>
          <cell r="AZ9997" t="str">
            <v/>
          </cell>
          <cell r="BA9997" t="str">
            <v/>
          </cell>
        </row>
        <row r="9998">
          <cell r="B9998" t="str">
            <v>-</v>
          </cell>
          <cell r="E9998" t="str">
            <v/>
          </cell>
          <cell r="G9998" t="str">
            <v/>
          </cell>
          <cell r="J9998" t="str">
            <v/>
          </cell>
          <cell r="O9998" t="str">
            <v/>
          </cell>
          <cell r="P9998" t="str">
            <v/>
          </cell>
          <cell r="Q9998" t="str">
            <v/>
          </cell>
          <cell r="S9998" t="str">
            <v/>
          </cell>
          <cell r="V9998" t="str">
            <v/>
          </cell>
          <cell r="Z9998" t="str">
            <v/>
          </cell>
          <cell r="AA9998" t="str">
            <v/>
          </cell>
          <cell r="AB9998" t="str">
            <v/>
          </cell>
          <cell r="AC9998" t="str">
            <v/>
          </cell>
          <cell r="AD9998" t="str">
            <v/>
          </cell>
          <cell r="AY9998" t="str">
            <v/>
          </cell>
          <cell r="AZ9998" t="str">
            <v/>
          </cell>
          <cell r="BA9998" t="str">
            <v/>
          </cell>
        </row>
        <row r="9999">
          <cell r="B9999" t="str">
            <v>-</v>
          </cell>
          <cell r="E9999" t="str">
            <v/>
          </cell>
          <cell r="G9999" t="str">
            <v/>
          </cell>
          <cell r="J9999" t="str">
            <v/>
          </cell>
          <cell r="O9999" t="str">
            <v/>
          </cell>
          <cell r="P9999" t="str">
            <v/>
          </cell>
          <cell r="Q9999" t="str">
            <v/>
          </cell>
          <cell r="S9999" t="str">
            <v/>
          </cell>
          <cell r="V9999" t="str">
            <v/>
          </cell>
          <cell r="Z9999" t="str">
            <v/>
          </cell>
          <cell r="AA9999" t="str">
            <v/>
          </cell>
          <cell r="AB9999" t="str">
            <v/>
          </cell>
          <cell r="AC9999" t="str">
            <v/>
          </cell>
          <cell r="AD9999" t="str">
            <v/>
          </cell>
          <cell r="AY9999" t="str">
            <v/>
          </cell>
          <cell r="AZ9999" t="str">
            <v/>
          </cell>
          <cell r="BA9999" t="str">
            <v/>
          </cell>
        </row>
        <row r="10000">
          <cell r="B10000" t="str">
            <v>-</v>
          </cell>
          <cell r="E10000" t="str">
            <v/>
          </cell>
          <cell r="G10000" t="str">
            <v/>
          </cell>
          <cell r="J10000" t="str">
            <v/>
          </cell>
          <cell r="O10000" t="str">
            <v/>
          </cell>
          <cell r="P10000" t="str">
            <v/>
          </cell>
          <cell r="Q10000" t="str">
            <v/>
          </cell>
          <cell r="S10000" t="str">
            <v/>
          </cell>
          <cell r="V10000" t="str">
            <v/>
          </cell>
          <cell r="Z10000" t="str">
            <v/>
          </cell>
          <cell r="AA10000" t="str">
            <v/>
          </cell>
          <cell r="AB10000" t="str">
            <v/>
          </cell>
          <cell r="AC10000" t="str">
            <v/>
          </cell>
          <cell r="AD10000" t="str">
            <v/>
          </cell>
          <cell r="AY10000" t="str">
            <v/>
          </cell>
          <cell r="AZ10000" t="str">
            <v/>
          </cell>
          <cell r="BA10000" t="str">
            <v/>
          </cell>
        </row>
        <row r="10001">
          <cell r="B10001" t="str">
            <v>-</v>
          </cell>
          <cell r="E10001" t="str">
            <v/>
          </cell>
          <cell r="G10001" t="str">
            <v/>
          </cell>
          <cell r="J10001" t="str">
            <v/>
          </cell>
          <cell r="O10001" t="str">
            <v/>
          </cell>
          <cell r="P10001" t="str">
            <v/>
          </cell>
          <cell r="Q10001" t="str">
            <v/>
          </cell>
          <cell r="S10001" t="str">
            <v/>
          </cell>
          <cell r="V10001" t="str">
            <v/>
          </cell>
          <cell r="Z10001" t="str">
            <v/>
          </cell>
          <cell r="AA10001" t="str">
            <v/>
          </cell>
          <cell r="AB10001" t="str">
            <v/>
          </cell>
          <cell r="AC10001" t="str">
            <v/>
          </cell>
          <cell r="AD10001" t="str">
            <v/>
          </cell>
          <cell r="AY10001" t="str">
            <v/>
          </cell>
          <cell r="AZ10001" t="str">
            <v/>
          </cell>
          <cell r="BA10001" t="str">
            <v/>
          </cell>
        </row>
        <row r="1048576">
          <cell r="AY1048576" t="str">
            <v/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04DF23-CC82-4E68-B6EA-010413877867}" name="INPL2" displayName="INPL2" ref="AM11:AY81" totalsRowShown="0" headerRowDxfId="32" headerRowBorderDxfId="31" tableBorderDxfId="30">
  <autoFilter ref="AM11:AY81" xr:uid="{E704DF23-CC82-4E68-B6EA-0104138778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AA75D26-A117-4FA0-ADD0-83D4C33BD9D9}" name="Package#" dataDxfId="29">
      <calculatedColumnFormula>IF(D12="","",H12)</calculatedColumnFormula>
    </tableColumn>
    <tableColumn id="2" xr3:uid="{9C381BC6-E355-42EF-B569-2BED9EB1363B}" name="Lot # in Use" dataDxfId="28">
      <calculatedColumnFormula>IF(D12="","",D12)</calculatedColumnFormula>
    </tableColumn>
    <tableColumn id="3" xr3:uid="{993752FC-1BA6-439A-8701-03FB96813A57}" name="Heat # Marked" dataDxfId="27">
      <calculatedColumnFormula>IF(AP12="","",_xlfn.XLOOKUP(CONCATENATE(AN12,"-",AP12),[3]INPUTS!$B:$B,[3]INPUTS!$N:$N))</calculatedColumnFormula>
    </tableColumn>
    <tableColumn id="4" xr3:uid="{04328DB1-136A-43F8-B78B-6FDE60C05996}" name="Skid #" dataDxfId="26">
      <calculatedColumnFormula>IF(E12="","",E12)</calculatedColumnFormula>
    </tableColumn>
    <tableColumn id="5" xr3:uid="{812C9570-D1D7-40AC-950F-1831DD5C55BC}" name="Length" dataDxfId="25">
      <calculatedColumnFormula>IF($F12="","",IF($L12="",INDEX('[1]LINE 2'!$C:$O,MATCH($D$9,'[1]LINE 2'!$C:$C,0),12),$L12))</calculatedColumnFormula>
    </tableColumn>
    <tableColumn id="6" xr3:uid="{EE1E4E9D-9159-4A34-8B73-46920A0C7092}" name="# of counted pieces" dataDxfId="24">
      <calculatedColumnFormula>IF($M12="",IF($F12="","",$F12),(($F12*-1)))</calculatedColumnFormula>
    </tableColumn>
    <tableColumn id="7" xr3:uid="{9ADE7999-1453-418F-A137-E3D82B0640B8}" name="Feet" dataDxfId="23">
      <calculatedColumnFormula>IF($AR12="","",($AR12*$AQ12))</calculatedColumnFormula>
    </tableColumn>
    <tableColumn id="8" xr3:uid="{F12D6481-F3F0-4E19-86C1-E217646A927C}" name="Weight [lbs]" dataDxfId="22">
      <calculatedColumnFormula>IFERROR(IF($M12="",IF($AS12="","",(((($AS$9-$AU12)*$AU12)*$S$3)*$AS12)*$AT$4),""),"")</calculatedColumnFormula>
    </tableColumn>
    <tableColumn id="9" xr3:uid="{9E5FDA8E-96DC-4FF7-A35D-CF8009E04510}" name="Actual Thickness" dataDxfId="21">
      <calculatedColumnFormula>IF($AO12="","",IF($AT$3="",INDEX([3]INPUTS!$A:$BF,MATCH(CONCATENATE($AN12,"-",$AP12),[3]INPUTS!$B:$B,0),22),$AT$3))</calculatedColumnFormula>
    </tableColumn>
    <tableColumn id="10" xr3:uid="{E9F42F89-FB81-456C-AA08-443CC73314D8}" name="OP Code" dataDxfId="20">
      <calculatedColumnFormula>IF(G12="","",G12)</calculatedColumnFormula>
    </tableColumn>
    <tableColumn id="12" xr3:uid="{85FBBAFA-D3B9-45D2-9EC9-1C5EE68807D6}" name="Date" dataDxfId="19">
      <calculatedColumnFormula>IF(AN12="","",I12)</calculatedColumnFormula>
    </tableColumn>
    <tableColumn id="13" xr3:uid="{605ACBF2-7DF9-4EC5-9772-0822CC23F98B}" name="Rechecked tubes  reason" dataDxfId="18">
      <calculatedColumnFormula>IF($K12="",IF($M12="","",$M12),$K12)</calculatedColumnFormula>
    </tableColumn>
    <tableColumn id="15" xr3:uid="{0B1DD093-804B-4E25-9F16-575DE4F73A6F}" name="SAGE Flag" dataDxfId="17">
      <calculatedColumnFormula>IF($J12="","",$J12)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7656DD-882C-4E77-BAB8-CD27E5006DFF}" name="LINE2_DATA" displayName="LINE2_DATA" ref="BS13:CG81" totalsRowShown="0" headerRowDxfId="16" dataDxfId="15">
  <autoFilter ref="BS13:CG81" xr:uid="{A47656DD-882C-4E77-BAB8-CD27E5006DFF}"/>
  <tableColumns count="15">
    <tableColumn id="1" xr3:uid="{48372742-6383-4536-B566-BB11433F3A4B}" name="DATE" dataDxfId="14">
      <calculatedColumnFormula>IF($BR14="","",INDEX($A$13:$AZ$81,MATCH($BR14,$B$13:$B$81,0),9))</calculatedColumnFormula>
    </tableColumn>
    <tableColumn id="2" xr3:uid="{A3FFF45B-BC5A-438B-AA07-09E4243CE525}" name="OP" dataDxfId="13">
      <calculatedColumnFormula>IF($BR14="","",INDEX($A$13:$AZ$81,MATCH($BR14,$B$13:$B$81,0),7))</calculatedColumnFormula>
    </tableColumn>
    <tableColumn id="3" xr3:uid="{781FB785-94E1-478A-B5CD-22560FDBA8B8}" name="SHIFT" dataDxfId="12">
      <calculatedColumnFormula>IF(LINE2_DATA[[#This Row],[OP]]="","",INDEX(Sheet1!$G$2:$I$10,MATCH(LINE2_DATA[[#This Row],[OP]],Sheet1!$G$2:$G$10,0),3))</calculatedColumnFormula>
    </tableColumn>
    <tableColumn id="4" xr3:uid="{CDF9A91A-48DF-41BE-81A2-FC31E874BC14}" name="PRODUCED LBS" dataDxfId="11">
      <calculatedColumnFormula>IF($BR14="","",ROUND(SUMIF($B$13:$B$81,$BR14,$AT$13:$AT$81),0))</calculatedColumnFormula>
    </tableColumn>
    <tableColumn id="5" xr3:uid="{4DB59263-81EC-4E6B-93E8-9736A83E8098}" name="PRODUCED FT" dataDxfId="10">
      <calculatedColumnFormula>IF($BR14="","",ROUND(SUMIFS($AS$13:$AS$81,$B$13:$B$81,$BR14,$AS$13:$AS$81,"&gt;0"),0))</calculatedColumnFormula>
    </tableColumn>
    <tableColumn id="6" xr3:uid="{4E4756C8-5E1F-4330-878A-15008B851637}" name="THICKNESS" dataDxfId="9">
      <calculatedColumnFormula>IF($BR14="","",ROUND(AVERAGEIF($B$13:$B$81,$BR14,$AU$13:$AU$81),3))</calculatedColumnFormula>
    </tableColumn>
    <tableColumn id="7" xr3:uid="{35AF42D1-6861-4D15-AE59-EA46DC80340C}" name="SCRAP" dataDxfId="8">
      <calculatedColumnFormula>IF($BR14="","",INDEX($AG$13:$AJ$81,MATCH($BR14,$AG$13:$AG$81,0),4))</calculatedColumnFormula>
    </tableColumn>
    <tableColumn id="8" xr3:uid="{A1227C5C-BA8A-4720-A275-BD0267C877E5}" name="TOTAL LBS" dataDxfId="7">
      <calculatedColumnFormula>IF(BR14="","",SUM(LINE2_DATA[[#This Row],[PRODUCED LBS]],LINE2_DATA[[#This Row],[SCRAP]]))</calculatedColumnFormula>
    </tableColumn>
    <tableColumn id="9" xr3:uid="{40BBD1A2-4A26-4194-B875-FE565E6B27F2}" name="SCRAP %" dataDxfId="6">
      <calculatedColumnFormula>IF(BR14="","",ROUND(((LINE2_DATA[[#This Row],[SCRAP]]/LINE2_DATA[[#This Row],[TOTAL LBS]])*100),2))</calculatedColumnFormula>
    </tableColumn>
    <tableColumn id="10" xr3:uid="{BCC854EE-8094-40E4-9CEB-5E67E9F1649E}" name="EFFECTIVE SPEED" dataDxfId="5">
      <calculatedColumnFormula>IF($BR14="","",$M$9)</calculatedColumnFormula>
    </tableColumn>
    <tableColumn id="11" xr3:uid="{40D6CCD4-8E48-4545-945C-C0244A0B852B}" name="AVAILABLE MINS" dataDxfId="4">
      <calculatedColumnFormula>IF(BR14="","",IF(INDEX(A13:N81,MATCH(BR14,B13:B81,0),14)=0,495,INDEX(A13:N81,MATCH(BR14,B13:B81,0),14)))</calculatedColumnFormula>
    </tableColumn>
    <tableColumn id="12" xr3:uid="{4194B080-C019-4608-B609-065B2E6F5801}" name="PENT. PROD. CAP." dataDxfId="3">
      <calculatedColumnFormula>IF(LINE2_DATA[[#This Row],[EFFECTIVE SPEED]]="","",(LINE2_DATA[[#This Row],[EFFECTIVE SPEED]]*LINE2_DATA[[#This Row],[AVAILABLE MINS]]))</calculatedColumnFormula>
    </tableColumn>
    <tableColumn id="13" xr3:uid="{8390DDC4-F709-4FDE-99A7-E62D44B6D0FD}" name="EFFICIENCY %" dataDxfId="2">
      <calculatedColumnFormula>IFERROR(IF(BR14="","",ROUND(((LINE2_DATA[[#This Row],[PRODUCED FT]]/LINE2_DATA[[#This Row],[PENT. PROD. CAP.]])*100),2)),"")</calculatedColumnFormula>
    </tableColumn>
    <tableColumn id="14" xr3:uid="{728727E6-156C-459D-BF10-AB42BAA92AE2}" name="EFFICIENCY BL" dataDxfId="1">
      <calculatedColumnFormula>IF(LINE2_DATA[[#This Row],[DATE]]="","",75)</calculatedColumnFormula>
    </tableColumn>
    <tableColumn id="15" xr3:uid="{81AB5E68-376F-420A-88C9-0DB7E6CFC558}" name="SCRAP BL" dataDxfId="0">
      <calculatedColumnFormula>IF(LINE2_DATA[[#This Row],[DATE]]="","",10)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405"/>
  <sheetViews>
    <sheetView tabSelected="1" zoomScale="80" zoomScaleNormal="80" zoomScalePageLayoutView="130" workbookViewId="0">
      <pane ySplit="11" topLeftCell="A12" activePane="bottomLeft" state="frozen"/>
      <selection pane="bottomLeft" activeCell="D9" sqref="D9"/>
    </sheetView>
  </sheetViews>
  <sheetFormatPr defaultColWidth="8.7109375" defaultRowHeight="15" x14ac:dyDescent="0.25"/>
  <cols>
    <col min="1" max="1" width="1.140625" style="19" customWidth="1"/>
    <col min="2" max="2" width="11.42578125" style="19" hidden="1" customWidth="1"/>
    <col min="3" max="3" width="1.85546875" style="19" customWidth="1"/>
    <col min="4" max="4" width="13.5703125" style="4" bestFit="1" customWidth="1"/>
    <col min="5" max="5" width="11.28515625" style="4" bestFit="1" customWidth="1"/>
    <col min="6" max="6" width="11" style="4" customWidth="1"/>
    <col min="7" max="7" width="8.7109375" style="4"/>
    <col min="8" max="8" width="18.28515625" style="4" bestFit="1" customWidth="1"/>
    <col min="9" max="9" width="13.85546875" style="4" customWidth="1"/>
    <col min="10" max="10" width="18.28515625" style="40" bestFit="1" customWidth="1"/>
    <col min="11" max="11" width="12" style="40" customWidth="1"/>
    <col min="12" max="12" width="6.85546875" style="40" bestFit="1" customWidth="1"/>
    <col min="13" max="14" width="7.85546875" style="40" customWidth="1"/>
    <col min="15" max="15" width="1.140625" style="19" customWidth="1"/>
    <col min="16" max="16" width="7.85546875" style="1" hidden="1" customWidth="1"/>
    <col min="17" max="17" width="10.28515625" style="1" bestFit="1" customWidth="1"/>
    <col min="18" max="18" width="9.85546875" style="1" bestFit="1" customWidth="1"/>
    <col min="19" max="19" width="6.28515625" style="1" bestFit="1" customWidth="1"/>
    <col min="20" max="20" width="11.85546875" style="1" customWidth="1"/>
    <col min="21" max="21" width="12.140625" style="1" customWidth="1"/>
    <col min="22" max="22" width="12" style="1" customWidth="1"/>
    <col min="23" max="23" width="0.5703125" style="19" customWidth="1"/>
    <col min="24" max="24" width="12" style="40" customWidth="1"/>
    <col min="25" max="25" width="12" style="1" customWidth="1"/>
    <col min="26" max="26" width="10.5703125" style="1" customWidth="1"/>
    <col min="27" max="27" width="0.5703125" style="19" customWidth="1"/>
    <col min="28" max="28" width="7.85546875" style="19" bestFit="1" customWidth="1"/>
    <col min="29" max="29" width="11.28515625" style="19" customWidth="1"/>
    <col min="30" max="31" width="10.85546875" style="19" customWidth="1"/>
    <col min="32" max="32" width="0.5703125" style="19" customWidth="1"/>
    <col min="33" max="33" width="12" style="1" customWidth="1"/>
    <col min="34" max="34" width="10.42578125" style="1" customWidth="1"/>
    <col min="35" max="35" width="5.7109375" style="1" customWidth="1"/>
    <col min="36" max="36" width="6.7109375" style="1" bestFit="1" customWidth="1"/>
    <col min="37" max="38" width="2.7109375" style="12" customWidth="1"/>
    <col min="39" max="39" width="14.5703125" style="1" bestFit="1" customWidth="1"/>
    <col min="40" max="40" width="24.85546875" style="1" bestFit="1" customWidth="1"/>
    <col min="41" max="41" width="11.7109375" style="1" bestFit="1" customWidth="1"/>
    <col min="42" max="42" width="9.28515625" style="1" customWidth="1"/>
    <col min="43" max="43" width="10.140625" style="1" customWidth="1"/>
    <col min="44" max="44" width="12.7109375" style="1" customWidth="1"/>
    <col min="45" max="45" width="11.7109375" style="1" customWidth="1"/>
    <col min="46" max="46" width="11" style="1" customWidth="1"/>
    <col min="47" max="47" width="11.7109375" style="1" customWidth="1"/>
    <col min="48" max="48" width="10.140625" style="1" customWidth="1"/>
    <col min="49" max="49" width="14.85546875" style="1" bestFit="1" customWidth="1"/>
    <col min="50" max="50" width="15.85546875" style="1" customWidth="1"/>
    <col min="51" max="51" width="11.7109375" style="1" customWidth="1"/>
    <col min="52" max="54" width="8.7109375" style="19"/>
    <col min="55" max="55" width="15.140625" style="19" bestFit="1" customWidth="1"/>
    <col min="56" max="56" width="17.85546875" style="19" bestFit="1" customWidth="1"/>
    <col min="57" max="57" width="0" style="19" hidden="1" customWidth="1"/>
    <col min="58" max="69" width="8.7109375" style="19"/>
    <col min="70" max="70" width="8.7109375" style="1"/>
    <col min="71" max="71" width="11" style="4" bestFit="1" customWidth="1"/>
    <col min="72" max="72" width="9.5703125" style="1" bestFit="1" customWidth="1"/>
    <col min="73" max="73" width="11.28515625" style="1" bestFit="1" customWidth="1"/>
    <col min="74" max="74" width="19.5703125" style="1" bestFit="1" customWidth="1"/>
    <col min="75" max="75" width="18.5703125" style="1" bestFit="1" customWidth="1"/>
    <col min="76" max="76" width="12.28515625" style="1" customWidth="1"/>
    <col min="77" max="77" width="12.140625" style="1" bestFit="1" customWidth="1"/>
    <col min="78" max="78" width="15.28515625" style="1" bestFit="1" customWidth="1"/>
    <col min="79" max="79" width="14" style="1" bestFit="1" customWidth="1"/>
    <col min="80" max="81" width="21.140625" style="1" bestFit="1" customWidth="1"/>
    <col min="82" max="82" width="21.85546875" style="1" bestFit="1" customWidth="1"/>
    <col min="83" max="83" width="18.28515625" style="1" bestFit="1" customWidth="1"/>
    <col min="84" max="16384" width="8.7109375" style="1"/>
  </cols>
  <sheetData>
    <row r="1" spans="1:85" s="19" customFormat="1" x14ac:dyDescent="0.25">
      <c r="D1" s="20"/>
      <c r="E1" s="20"/>
      <c r="F1" s="20"/>
      <c r="G1" s="20"/>
      <c r="H1" s="20" t="s">
        <v>157</v>
      </c>
      <c r="I1" s="20"/>
      <c r="J1" s="39"/>
      <c r="K1" s="39"/>
      <c r="L1" s="39"/>
      <c r="M1" s="39"/>
      <c r="N1" s="39"/>
      <c r="X1" s="39"/>
      <c r="AK1" s="12"/>
      <c r="AL1" s="12"/>
      <c r="BS1" s="20"/>
    </row>
    <row r="2" spans="1:85" s="19" customFormat="1" ht="15.75" thickBot="1" x14ac:dyDescent="0.3">
      <c r="D2" s="20"/>
      <c r="E2" s="20"/>
      <c r="F2" s="20"/>
      <c r="G2" s="20"/>
      <c r="H2" s="20"/>
      <c r="I2" s="20"/>
      <c r="J2" s="32"/>
      <c r="K2" s="47"/>
      <c r="L2" s="39"/>
      <c r="M2" s="39"/>
      <c r="N2" s="39"/>
      <c r="X2" s="39"/>
      <c r="AK2" s="12"/>
      <c r="AL2" s="12"/>
      <c r="AT2" s="19">
        <v>10.78</v>
      </c>
      <c r="BD2" s="76"/>
      <c r="BS2" s="20"/>
    </row>
    <row r="3" spans="1:85" s="19" customFormat="1" ht="16.5" thickTop="1" thickBot="1" x14ac:dyDescent="0.3">
      <c r="D3" s="20"/>
      <c r="E3" s="20"/>
      <c r="F3" s="20"/>
      <c r="G3" s="20"/>
      <c r="H3" s="20"/>
      <c r="I3" s="20"/>
      <c r="J3" s="39"/>
      <c r="K3" s="39"/>
      <c r="L3" s="39"/>
      <c r="M3" s="43"/>
      <c r="N3" s="43"/>
      <c r="S3" s="19">
        <v>10.78</v>
      </c>
      <c r="T3" s="72" t="s">
        <v>126</v>
      </c>
      <c r="U3" s="72" t="s">
        <v>127</v>
      </c>
      <c r="V3" s="72" t="s">
        <v>128</v>
      </c>
      <c r="W3" s="72"/>
      <c r="X3" s="73" t="s">
        <v>4</v>
      </c>
      <c r="Y3" s="19" t="s">
        <v>129</v>
      </c>
      <c r="AK3" s="12"/>
      <c r="AL3" s="12"/>
      <c r="AT3" s="29" t="str">
        <f>IF(M3="","",M3)</f>
        <v/>
      </c>
      <c r="BD3" s="76"/>
      <c r="BS3" s="20"/>
    </row>
    <row r="4" spans="1:85" s="19" customFormat="1" ht="15.75" thickTop="1" x14ac:dyDescent="0.25">
      <c r="D4" s="20"/>
      <c r="E4" s="20"/>
      <c r="F4" s="20"/>
      <c r="G4" s="20"/>
      <c r="H4" s="20"/>
      <c r="J4" s="39"/>
      <c r="K4" s="39"/>
      <c r="L4" s="39"/>
      <c r="M4" s="39"/>
      <c r="N4" s="39"/>
      <c r="T4" s="74" t="str">
        <f>AO9</f>
        <v/>
      </c>
      <c r="U4" s="74" t="str">
        <f>AS9</f>
        <v/>
      </c>
      <c r="V4" s="74" t="str">
        <f>AT9</f>
        <v/>
      </c>
      <c r="W4" s="74"/>
      <c r="X4" s="75" t="str">
        <f>AX9</f>
        <v/>
      </c>
      <c r="AK4" s="12"/>
      <c r="AL4" s="12"/>
      <c r="AM4" s="21"/>
      <c r="AN4" s="21"/>
      <c r="AO4" s="21"/>
      <c r="AP4" s="21"/>
      <c r="AQ4" s="21"/>
      <c r="AR4" s="21"/>
      <c r="AS4" s="21" t="s">
        <v>105</v>
      </c>
      <c r="AT4" s="21">
        <v>1</v>
      </c>
      <c r="AU4" s="21"/>
      <c r="AV4" s="21"/>
      <c r="AW4" s="21"/>
      <c r="AX4" s="21"/>
      <c r="AY4" s="21"/>
      <c r="BD4" s="76"/>
      <c r="BS4" s="20"/>
    </row>
    <row r="5" spans="1:85" s="19" customFormat="1" ht="20.25" customHeight="1" x14ac:dyDescent="0.25">
      <c r="D5" s="20"/>
      <c r="E5" s="20"/>
      <c r="F5" s="20"/>
      <c r="G5" s="20"/>
      <c r="H5" s="20"/>
      <c r="I5" s="20"/>
      <c r="J5" s="39"/>
      <c r="K5" s="39"/>
      <c r="L5" s="39"/>
      <c r="M5" s="39"/>
      <c r="N5" s="39"/>
      <c r="X5" s="39"/>
      <c r="AK5" s="12"/>
      <c r="AL5" s="12"/>
      <c r="AM5" s="22"/>
      <c r="AN5" s="22"/>
      <c r="AO5" s="21"/>
      <c r="AP5" s="23"/>
      <c r="AQ5" s="23"/>
      <c r="AR5" s="23"/>
      <c r="AS5" s="23"/>
      <c r="AT5" s="23"/>
      <c r="AU5" s="23"/>
      <c r="AV5" s="23"/>
      <c r="AW5" s="23"/>
      <c r="AX5" s="23"/>
      <c r="AY5" s="22"/>
      <c r="BD5" s="76"/>
      <c r="BE5" s="20"/>
      <c r="BS5" s="20"/>
    </row>
    <row r="6" spans="1:85" ht="20.25" customHeight="1" x14ac:dyDescent="0.25">
      <c r="D6" s="79"/>
      <c r="E6" s="79"/>
      <c r="F6" s="79"/>
      <c r="G6" s="79"/>
      <c r="H6" s="79"/>
      <c r="I6" s="79" t="s">
        <v>124</v>
      </c>
      <c r="J6" s="80"/>
      <c r="K6" s="80"/>
      <c r="L6" s="80"/>
      <c r="M6" s="80"/>
      <c r="N6" s="80"/>
      <c r="O6" s="86"/>
      <c r="P6" s="2"/>
      <c r="Q6" s="2"/>
      <c r="R6" s="2"/>
      <c r="S6" s="2"/>
      <c r="T6" s="2"/>
      <c r="U6" s="2"/>
      <c r="V6" s="2"/>
      <c r="W6" s="86"/>
      <c r="X6" s="80"/>
      <c r="Y6" s="2"/>
      <c r="Z6" s="2"/>
      <c r="AA6" s="86"/>
      <c r="AB6" s="91"/>
      <c r="AC6" s="91"/>
      <c r="AD6" s="91"/>
      <c r="AE6" s="91"/>
      <c r="AG6" s="2"/>
      <c r="AH6" s="2"/>
      <c r="AI6" s="2"/>
      <c r="AJ6" s="2"/>
      <c r="AM6" s="154"/>
      <c r="AN6" s="155"/>
      <c r="AO6" s="147" t="s">
        <v>0</v>
      </c>
      <c r="AP6" s="148"/>
      <c r="AQ6" s="148"/>
      <c r="AR6" s="148"/>
      <c r="AS6" s="148"/>
      <c r="AT6" s="148"/>
      <c r="AU6" s="148"/>
      <c r="AV6" s="131" t="s">
        <v>29</v>
      </c>
      <c r="AW6" s="131"/>
      <c r="AX6" s="132"/>
      <c r="AY6" s="118" t="s">
        <v>41</v>
      </c>
      <c r="BD6" s="76"/>
    </row>
    <row r="7" spans="1:85" ht="27.6" customHeight="1" x14ac:dyDescent="0.25">
      <c r="D7" s="55" t="s">
        <v>32</v>
      </c>
      <c r="E7" s="64" t="s">
        <v>35</v>
      </c>
      <c r="F7" s="65" t="s">
        <v>34</v>
      </c>
      <c r="G7" s="55" t="s">
        <v>36</v>
      </c>
      <c r="H7" s="66" t="s">
        <v>43</v>
      </c>
      <c r="I7" s="66" t="s">
        <v>42</v>
      </c>
      <c r="J7" s="66" t="s">
        <v>44</v>
      </c>
      <c r="K7" s="66" t="s">
        <v>45</v>
      </c>
      <c r="L7" s="66"/>
      <c r="M7" s="66" t="s">
        <v>153</v>
      </c>
      <c r="N7" s="66"/>
      <c r="O7" s="83"/>
      <c r="P7" s="66"/>
      <c r="Q7" s="66" t="s">
        <v>158</v>
      </c>
      <c r="R7" s="66" t="s">
        <v>159</v>
      </c>
      <c r="S7" s="66" t="s">
        <v>160</v>
      </c>
      <c r="T7" s="84" t="s">
        <v>34</v>
      </c>
      <c r="U7" s="84" t="s">
        <v>53</v>
      </c>
      <c r="V7" s="84" t="s">
        <v>48</v>
      </c>
      <c r="W7" s="85"/>
      <c r="X7" s="84" t="s">
        <v>47</v>
      </c>
      <c r="Y7" s="84" t="s">
        <v>54</v>
      </c>
      <c r="Z7" s="2"/>
      <c r="AA7" s="86"/>
      <c r="AB7" s="91"/>
      <c r="AC7" s="91"/>
      <c r="AD7" s="91"/>
      <c r="AE7" s="91"/>
      <c r="AF7" s="38"/>
      <c r="AG7" s="66"/>
      <c r="AH7" s="66"/>
      <c r="AI7" s="66"/>
      <c r="AJ7" s="2"/>
      <c r="AM7" s="156"/>
      <c r="AN7" s="157"/>
      <c r="AO7" s="149"/>
      <c r="AP7" s="150"/>
      <c r="AQ7" s="150"/>
      <c r="AR7" s="150"/>
      <c r="AS7" s="150"/>
      <c r="AT7" s="150"/>
      <c r="AU7" s="150"/>
      <c r="AV7" s="129" t="str">
        <f>IF($D$9="","",$D$9)</f>
        <v/>
      </c>
      <c r="AW7" s="129"/>
      <c r="AX7" s="130"/>
      <c r="AY7" s="119"/>
      <c r="BD7" s="76"/>
    </row>
    <row r="8" spans="1:85" ht="9" customHeight="1" x14ac:dyDescent="0.25">
      <c r="D8" s="3"/>
      <c r="E8" s="10"/>
      <c r="F8" s="62"/>
      <c r="G8" s="67"/>
      <c r="H8" s="63"/>
      <c r="I8" s="30"/>
      <c r="J8" s="30"/>
      <c r="K8" s="61"/>
      <c r="L8" s="66"/>
      <c r="M8" s="66"/>
      <c r="N8" s="66"/>
      <c r="O8" s="83"/>
      <c r="P8" s="66"/>
      <c r="Q8" s="66"/>
      <c r="R8" s="66"/>
      <c r="S8" s="66"/>
      <c r="T8" s="87"/>
      <c r="U8" s="87"/>
      <c r="V8" s="87"/>
      <c r="W8" s="87"/>
      <c r="X8" s="87"/>
      <c r="Y8" s="87"/>
      <c r="Z8" s="2"/>
      <c r="AA8" s="86"/>
      <c r="AB8" s="91"/>
      <c r="AC8" s="91"/>
      <c r="AD8" s="91"/>
      <c r="AE8" s="91"/>
      <c r="AF8" s="38"/>
      <c r="AG8" s="66"/>
      <c r="AH8" s="66"/>
      <c r="AI8" s="66"/>
      <c r="AJ8" s="2"/>
      <c r="AM8" s="53"/>
      <c r="AN8" s="54"/>
      <c r="AO8" s="50"/>
      <c r="AP8" s="51"/>
      <c r="AQ8" s="51"/>
      <c r="AR8" s="51"/>
      <c r="AS8" s="51"/>
      <c r="AT8" s="51"/>
      <c r="AU8" s="51"/>
      <c r="AV8" s="52"/>
      <c r="AW8" s="52"/>
      <c r="AX8" s="52"/>
      <c r="AY8" s="54"/>
      <c r="BD8" s="76"/>
    </row>
    <row r="9" spans="1:85" ht="27.75" customHeight="1" x14ac:dyDescent="0.25">
      <c r="D9" s="70"/>
      <c r="E9" s="71"/>
      <c r="F9" s="49" t="str">
        <f>IF(D9="","",_xlfn.XLOOKUP(D9,[1]!schedule[w/o'#],[1]!schedule[Pcs.]))</f>
        <v/>
      </c>
      <c r="G9" s="25" t="str">
        <f>IF($F9="","",$F$9/$E$9)</f>
        <v/>
      </c>
      <c r="H9" s="32">
        <v>44425.826388888891</v>
      </c>
      <c r="I9" s="47">
        <v>1888.5</v>
      </c>
      <c r="J9" s="32">
        <v>44426.635416666664</v>
      </c>
      <c r="K9" s="47">
        <v>1898.18</v>
      </c>
      <c r="L9" s="47"/>
      <c r="M9" s="47">
        <v>21.9</v>
      </c>
      <c r="N9" s="47"/>
      <c r="O9" s="88"/>
      <c r="P9" s="28"/>
      <c r="Q9" s="28"/>
      <c r="R9" s="28"/>
      <c r="S9" s="28"/>
      <c r="T9" s="89" t="str">
        <f>IF(AR82="","",AR82)</f>
        <v>0 PCS</v>
      </c>
      <c r="U9" s="89" t="str">
        <f>IF(AS82="","",AS82)</f>
        <v>0 FT</v>
      </c>
      <c r="V9" s="89" t="str">
        <f>IF(AX82="","",AX82)</f>
        <v/>
      </c>
      <c r="W9" s="88"/>
      <c r="X9" s="89" t="str">
        <f>IF(AV82="","",AV82)</f>
        <v/>
      </c>
      <c r="Y9" s="90" t="str">
        <f>IFERROR(X9/V9,"")</f>
        <v/>
      </c>
      <c r="Z9" s="28"/>
      <c r="AA9" s="88"/>
      <c r="AB9" s="18"/>
      <c r="AC9" s="28"/>
      <c r="AD9" s="28"/>
      <c r="AE9" s="28"/>
      <c r="AF9" s="34"/>
      <c r="AG9" s="28"/>
      <c r="AH9" s="28"/>
      <c r="AI9" s="28"/>
      <c r="AJ9" s="2"/>
      <c r="AM9" s="13" t="s">
        <v>1</v>
      </c>
      <c r="AN9" s="2"/>
      <c r="AO9" s="158" t="str">
        <f>IF(D9="","",_xlfn.XLOOKUP(D9,[1]SCHE!$A$2:$A$523,[1]SCHE!$F$2:$F$523))</f>
        <v/>
      </c>
      <c r="AP9" s="159"/>
      <c r="AQ9" s="160"/>
      <c r="AR9" s="14" t="s">
        <v>2</v>
      </c>
      <c r="AS9" s="128" t="str">
        <f>IFERROR(IF($D$9="","",_xlfn.XLOOKUP($D$9,[1]SCHE!$A$2:$A$797,[1]SCHE!$J$2:$J$797)),Q9)</f>
        <v/>
      </c>
      <c r="AT9" s="128" t="str">
        <f>IFERROR(IF($D$9="","",_xlfn.XLOOKUP($D$9,[1]SCHE!$A$2:$A$797,[1]SCHE!$K$2:$K$797)),R9)</f>
        <v/>
      </c>
      <c r="AU9" s="15" t="s">
        <v>3</v>
      </c>
      <c r="AV9" s="14">
        <v>1</v>
      </c>
      <c r="AW9" s="14" t="s">
        <v>4</v>
      </c>
      <c r="AX9" s="128" t="str">
        <f>IFERROR(IF($D$9="","",_xlfn.XLOOKUP($D$9,[1]SCHE!$A$2:$A$523,[1]SCHE!$I$2:$I$523)),S9)</f>
        <v/>
      </c>
      <c r="AY9" s="117"/>
      <c r="BD9" s="76"/>
    </row>
    <row r="10" spans="1:85" ht="9" customHeight="1" x14ac:dyDescent="0.25">
      <c r="A10" s="77" t="str">
        <f>IF(D9="","",CONCATENATE(LEFT(D9,5),"-",RIGHT(D9,5)," ",AO9))</f>
        <v/>
      </c>
      <c r="B10" s="24"/>
      <c r="C10" s="24"/>
      <c r="D10" s="20"/>
      <c r="E10" s="20"/>
      <c r="F10" s="20"/>
      <c r="G10" s="20"/>
      <c r="H10" s="100"/>
      <c r="I10" s="20"/>
      <c r="J10" s="68"/>
      <c r="K10" s="69"/>
      <c r="L10" s="35" t="str">
        <f>IF(SUM($L$13:$L$81)=0,"",SUM($L$13:$L$81))</f>
        <v/>
      </c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21"/>
      <c r="AM10" s="16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17"/>
      <c r="BD10" s="76"/>
    </row>
    <row r="11" spans="1:85" ht="34.5" customHeight="1" x14ac:dyDescent="0.25">
      <c r="D11" s="96" t="s">
        <v>30</v>
      </c>
      <c r="E11" s="96" t="s">
        <v>31</v>
      </c>
      <c r="F11" s="96" t="s">
        <v>33</v>
      </c>
      <c r="G11" s="96" t="s">
        <v>138</v>
      </c>
      <c r="H11" s="96" t="s">
        <v>39</v>
      </c>
      <c r="I11" s="96" t="s">
        <v>40</v>
      </c>
      <c r="J11" s="96" t="s">
        <v>46</v>
      </c>
      <c r="K11" s="96" t="s">
        <v>106</v>
      </c>
      <c r="L11" s="4" t="s">
        <v>130</v>
      </c>
      <c r="M11" s="3" t="s">
        <v>131</v>
      </c>
      <c r="N11" s="3" t="s">
        <v>154</v>
      </c>
      <c r="P11" s="18" t="s">
        <v>139</v>
      </c>
      <c r="Q11" s="18" t="s">
        <v>11</v>
      </c>
      <c r="R11" s="18" t="s">
        <v>136</v>
      </c>
      <c r="S11" s="18" t="s">
        <v>137</v>
      </c>
      <c r="T11" s="78" t="s">
        <v>140</v>
      </c>
      <c r="U11" s="78" t="s">
        <v>50</v>
      </c>
      <c r="V11" s="78" t="s">
        <v>123</v>
      </c>
      <c r="W11" s="21"/>
      <c r="X11" s="18" t="s">
        <v>51</v>
      </c>
      <c r="Y11" s="18" t="s">
        <v>52</v>
      </c>
      <c r="Z11" s="18" t="s">
        <v>122</v>
      </c>
      <c r="AA11" s="34"/>
      <c r="AB11" s="18" t="s">
        <v>132</v>
      </c>
      <c r="AC11" s="78" t="s">
        <v>133</v>
      </c>
      <c r="AD11" s="78" t="s">
        <v>134</v>
      </c>
      <c r="AE11" s="78" t="s">
        <v>135</v>
      </c>
      <c r="AF11" s="34"/>
      <c r="AG11" s="78" t="s">
        <v>141</v>
      </c>
      <c r="AH11" s="18" t="s">
        <v>40</v>
      </c>
      <c r="AI11" s="18" t="s">
        <v>138</v>
      </c>
      <c r="AJ11" s="18" t="s">
        <v>47</v>
      </c>
      <c r="AM11" s="111" t="s">
        <v>28</v>
      </c>
      <c r="AN11" s="112" t="s">
        <v>38</v>
      </c>
      <c r="AO11" s="112" t="s">
        <v>37</v>
      </c>
      <c r="AP11" s="112" t="s">
        <v>5</v>
      </c>
      <c r="AQ11" s="112" t="s">
        <v>6</v>
      </c>
      <c r="AR11" s="112" t="s">
        <v>7</v>
      </c>
      <c r="AS11" s="112" t="s">
        <v>8</v>
      </c>
      <c r="AT11" s="112" t="s">
        <v>9</v>
      </c>
      <c r="AU11" s="112" t="s">
        <v>125</v>
      </c>
      <c r="AV11" s="113" t="s">
        <v>10</v>
      </c>
      <c r="AW11" s="112" t="s">
        <v>11</v>
      </c>
      <c r="AX11" s="112" t="s">
        <v>12</v>
      </c>
      <c r="AY11" s="113" t="s">
        <v>13</v>
      </c>
      <c r="BD11" s="76"/>
    </row>
    <row r="12" spans="1:85" ht="34.5" hidden="1" customHeight="1" x14ac:dyDescent="0.25">
      <c r="D12" s="95"/>
      <c r="E12" s="95"/>
      <c r="F12" s="95"/>
      <c r="G12" s="95"/>
      <c r="H12" s="95"/>
      <c r="I12" s="95"/>
      <c r="J12" s="18"/>
      <c r="K12" s="18"/>
      <c r="L12" s="18"/>
      <c r="M12" s="78"/>
      <c r="N12" s="78"/>
      <c r="P12" s="18"/>
      <c r="Q12" s="18"/>
      <c r="R12" s="18"/>
      <c r="S12" s="18"/>
      <c r="T12" s="78"/>
      <c r="U12" s="78"/>
      <c r="V12" s="78"/>
      <c r="W12" s="21"/>
      <c r="X12" s="18"/>
      <c r="Y12" s="18"/>
      <c r="Z12" s="18"/>
      <c r="AA12" s="34"/>
      <c r="AB12" s="18"/>
      <c r="AC12" s="78"/>
      <c r="AD12" s="78"/>
      <c r="AE12" s="78"/>
      <c r="AF12" s="34"/>
      <c r="AG12" s="18"/>
      <c r="AH12" s="18"/>
      <c r="AI12" s="18"/>
      <c r="AJ12" s="18"/>
      <c r="AM12" s="106"/>
      <c r="AN12" s="107"/>
      <c r="AO12" s="107"/>
      <c r="AP12" s="107"/>
      <c r="AQ12" s="107"/>
      <c r="AR12" s="107"/>
      <c r="AS12" s="107"/>
      <c r="AT12" s="107"/>
      <c r="AU12" s="107"/>
      <c r="AV12" s="105"/>
      <c r="AW12" s="107"/>
      <c r="AX12" s="107"/>
      <c r="AY12" s="105"/>
      <c r="BD12" s="76"/>
    </row>
    <row r="13" spans="1:85" ht="19.5" customHeight="1" x14ac:dyDescent="0.25">
      <c r="A13" s="19" t="str">
        <f>IF($E13="","",CONCATENATE($I13,"-",$D13,"-",$H13,"-",$G13))</f>
        <v/>
      </c>
      <c r="B13" s="19" t="str">
        <f>IF($I13="","",CONCATENATE($I13,"-",$G13))</f>
        <v/>
      </c>
      <c r="D13" s="26"/>
      <c r="E13" s="26"/>
      <c r="F13" s="26"/>
      <c r="G13" s="26"/>
      <c r="H13" s="97"/>
      <c r="I13" s="27"/>
      <c r="J13" s="8"/>
      <c r="K13" s="8"/>
      <c r="L13" s="8"/>
      <c r="M13" s="8"/>
      <c r="N13" s="8"/>
      <c r="P13" s="4" t="str" cm="1">
        <f t="array" ref="P13">IFERROR(INDEX($A$13:$A$81,MATCH(0,COUNTIF($P$12:P12,$A$13:$A$81),0)),"")</f>
        <v/>
      </c>
      <c r="Q13" s="92" t="str">
        <f>IF($P13="","",INDEX($C$13:$M$80,MATCH($P13,$A$13:$A$80,0),7))</f>
        <v/>
      </c>
      <c r="R13" s="93" t="str">
        <f>IF($P13="","",INDEX($C$13:$M$80,MATCH($P13,$A$13:$A$80,0),2))</f>
        <v/>
      </c>
      <c r="S13" s="93" t="str">
        <f>IF($P13="","",INDEX($C$13:$M$80,MATCH($P13,$A$13:$A$80,0),6))</f>
        <v/>
      </c>
      <c r="T13" s="93" t="str">
        <f>IF($P13="","",INDEX($A$13:$M$80,MATCH($P13,$A$13:$A$80,0),7))</f>
        <v/>
      </c>
      <c r="U13" s="127" t="str">
        <f t="shared" ref="U13:U44" si="0">IF($P13="","",SUMIFS($AS$13:$AS$81,$A$13:$A$81,$P13,$AS$13:$AS$81,"&gt;0"))</f>
        <v/>
      </c>
      <c r="V13" s="46" t="str">
        <f t="shared" ref="V13:V44" si="1">IF($P13="","",SUMIFS($AR$13:$AR$66,$A$13:$A$66,$P13,$AR$13:$AR$66,"&gt;0"))</f>
        <v/>
      </c>
      <c r="W13" s="34"/>
      <c r="X13" s="18" t="str">
        <f t="array" ref="X13">IFERROR(IF(INDEX($H$13:$H$81,MATCH(0,COUNTIF($X$12:X12,$H$13:$H$81),0))=0,"",INDEX($H$13:$H$81,MATCH(0,COUNTIF($X$12:X12,$H$13:$H$81),0))),"")</f>
        <v/>
      </c>
      <c r="Y13" s="18" t="str">
        <f t="shared" ref="Y13:Y44" si="2">IF($X13="","",SUMIFS($AR13:$AR81,$AM13:$AM81,$X13,$AR13:$AR81,"&gt;0"))</f>
        <v/>
      </c>
      <c r="Z13" s="48" t="str">
        <f>IF($X13="","",SUMIFS($AS$13:$AS$81,$AM$13:$AM$81,$X13,$AS$13:$AS$81,"&gt;0"))</f>
        <v/>
      </c>
      <c r="AA13" s="81"/>
      <c r="AB13" s="18" t="str">
        <f>IF($BF13="","",IF(INDEX($B$13:$N$81,MATCH($BF13,$BE$13:$BE$81,0),9)=0,"",INDEX($B$13:$N$81,MATCH($BF13,$BE$13:$BE$81,0),9)))</f>
        <v/>
      </c>
      <c r="AC13" s="31" t="str">
        <f>IF($BF13="","",SUMIFS($AT$13:$AT$81,$BE$13:$BE$81,$BF13,$AT$13:$AT$81,"&gt;0"))</f>
        <v/>
      </c>
      <c r="AD13" s="18" t="str">
        <f>IF($BF13="","",SUMIFS($AR$13:$AR$81,$BE$13:$BE$81,$BF13,$AR$13:$AR$81,"&gt;0"))</f>
        <v/>
      </c>
      <c r="AE13" s="18" t="str">
        <f>IF($BF13="","",SUMIFS($AS$13:$AS$81,$BE$13:$BE$81,$BF13,$AS$13:$AS$81,"&gt;0"))</f>
        <v/>
      </c>
      <c r="AF13" s="34"/>
      <c r="AG13" s="45" t="str">
        <f t="array" ref="AG13">IFERROR(IF(INDEX($B$13:$B$81,MATCH(0,COUNTIF($AG$12:AG12,$B$13:$B$81),0))=0,"",INDEX($B$13:$B$81,MATCH(0,COUNTIF($AG$12:AG12,$B$13:$B$81),0))),"")</f>
        <v/>
      </c>
      <c r="AH13" s="122" t="str">
        <f t="shared" ref="AH13:AH44" si="3">IF($AG13="","",INDEX($A13:$M81,MATCH($AG13,$B13:$B81,0),9))</f>
        <v/>
      </c>
      <c r="AI13" s="123" t="str">
        <f t="shared" ref="AI13:AI44" si="4">IF($AG13="","",INDEX($A13:$M81,MATCH($AG13,$B13:$B81,0),7))</f>
        <v/>
      </c>
      <c r="AJ13" s="102" t="str">
        <f>IFERROR(IF($AG13="","",SUMIFS([2]INPUTS!$F:$F,[2]INPUTS!$L:$L,$AG13,[2]INPUTS!$E:$E,$D$9)),"")</f>
        <v/>
      </c>
      <c r="AK13" s="12" t="str">
        <f t="shared" ref="AK13:AK44" si="5">IF(F13="","",1)</f>
        <v/>
      </c>
      <c r="AM13" s="109" t="str">
        <f t="shared" ref="AM13:AM44" si="6">IF(D13="","",H13)</f>
        <v/>
      </c>
      <c r="AN13" s="108" t="str">
        <f t="shared" ref="AN13:AN44" si="7">IF(D13="","",D13)</f>
        <v/>
      </c>
      <c r="AO13" s="101" t="str">
        <f>IF(AP13="","",_xlfn.XLOOKUP(CONCATENATE(AN13,"-",AP13),[3]INPUTS!$B:$B,[3]INPUTS!$N:$N))</f>
        <v/>
      </c>
      <c r="AP13" s="108" t="str">
        <f t="shared" ref="AP13:AP44" si="8">IF(E13="","",E13)</f>
        <v/>
      </c>
      <c r="AQ13" s="99" t="str">
        <f>IF($F13="","",IF($L13="",_xlfn.XLOOKUP($D$9,[1]SCHE!$A:$A,[1]SCHE!$N:$N),$L13))</f>
        <v/>
      </c>
      <c r="AR13" s="99" t="str">
        <f t="shared" ref="AR13:AR19" si="9">IF($M13="",IF($F13="","",$F13),(($F13*-1)))</f>
        <v/>
      </c>
      <c r="AS13" s="47" t="str">
        <f>IF($AR13="","",($AR13*$AQ13))</f>
        <v/>
      </c>
      <c r="AT13" s="9" t="str">
        <f t="shared" ref="AT13:AT44" si="10">IFERROR(IF($M13="",IF($AS13="","",(((($AS$9-$AU13)*$AU13)*$S$3)*$AS13)*$AT$4),""),"")</f>
        <v/>
      </c>
      <c r="AU13" s="94" t="str">
        <f>IF($AO13="","",IF($AT$3="",INDEX([3]INPUTS!$A:$BF,MATCH(CONCATENATE($AN13,"-",$AP13),[3]INPUTS!$B:$B,0),22),$AT$3))</f>
        <v/>
      </c>
      <c r="AV13" s="103" t="str">
        <f t="shared" ref="AV13:AV44" si="11">IF(G13="","",G13)</f>
        <v/>
      </c>
      <c r="AW13" s="11" t="str">
        <f t="shared" ref="AW13:AW44" si="12">IF(AN13="","",I13)</f>
        <v/>
      </c>
      <c r="AX13" s="104" t="str">
        <f>IF($K13="",IF($M13="","",$M13),$K13)</f>
        <v/>
      </c>
      <c r="AY13" s="110" t="str">
        <f t="shared" ref="AY13:AY21" si="13">IF($J13="","",$J13)</f>
        <v/>
      </c>
      <c r="BE13" s="19" t="str">
        <f>IF($AO13="","",IF($M13="",CONCATENATE($I13,"-",$G13,"-",$AO13),""))</f>
        <v/>
      </c>
      <c r="BF13" s="19" t="str" cm="1">
        <f t="array" ref="BF13">_xlfn.UNIQUE(BE13:BE81,FALSE,FALSE)</f>
        <v/>
      </c>
      <c r="BS13" s="4" t="s">
        <v>40</v>
      </c>
      <c r="BT13" s="4" t="s">
        <v>138</v>
      </c>
      <c r="BU13" s="4" t="s">
        <v>142</v>
      </c>
      <c r="BV13" s="4" t="s">
        <v>143</v>
      </c>
      <c r="BW13" s="4" t="s">
        <v>144</v>
      </c>
      <c r="BX13" s="4" t="s">
        <v>128</v>
      </c>
      <c r="BY13" s="4" t="s">
        <v>47</v>
      </c>
      <c r="BZ13" s="4" t="s">
        <v>145</v>
      </c>
      <c r="CA13" s="4" t="s">
        <v>146</v>
      </c>
      <c r="CB13" s="4" t="s">
        <v>147</v>
      </c>
      <c r="CC13" s="4" t="s">
        <v>148</v>
      </c>
      <c r="CD13" s="4" t="s">
        <v>149</v>
      </c>
      <c r="CE13" s="4" t="s">
        <v>150</v>
      </c>
      <c r="CF13" s="4" t="s">
        <v>155</v>
      </c>
      <c r="CG13" s="4" t="s">
        <v>156</v>
      </c>
    </row>
    <row r="14" spans="1:85" ht="19.5" customHeight="1" x14ac:dyDescent="0.25">
      <c r="A14" s="19" t="str">
        <f t="shared" ref="A14:A77" si="14">IF($E14="","",CONCATENATE($I14,"-",$D14,"-",$H14,"-",$G14))</f>
        <v/>
      </c>
      <c r="B14" s="19" t="str">
        <f t="shared" ref="B14:B77" si="15">IF($I14="","",CONCATENATE($I14,"-",$G14))</f>
        <v/>
      </c>
      <c r="D14" s="26"/>
      <c r="E14" s="26"/>
      <c r="F14" s="26"/>
      <c r="G14" s="26"/>
      <c r="H14" s="97"/>
      <c r="I14" s="27"/>
      <c r="J14" s="8"/>
      <c r="K14" s="8"/>
      <c r="L14" s="8"/>
      <c r="M14" s="8"/>
      <c r="N14" s="8"/>
      <c r="P14" s="4" t="str" cm="1">
        <f t="array" ref="P14">IFERROR(INDEX($A$13:$A$81,MATCH(0,COUNTIF($P$12:P13,$A$13:$A$81),0)),"")</f>
        <v/>
      </c>
      <c r="Q14" s="92" t="str">
        <f t="shared" ref="Q14:Q77" si="16">IF($P14="","",INDEX($C$13:$M$80,MATCH($P14,$A$13:$A$80,0),7))</f>
        <v/>
      </c>
      <c r="R14" s="93" t="str">
        <f t="shared" ref="R14:R77" si="17">IF($P14="","",INDEX($C$13:$M$80,MATCH($P14,$A$13:$A$80,0),2))</f>
        <v/>
      </c>
      <c r="S14" s="93" t="str">
        <f t="shared" ref="S14:S77" si="18">IF($P14="","",INDEX($C$13:$M$80,MATCH($P14,$A$13:$A$80,0),6))</f>
        <v/>
      </c>
      <c r="T14" s="93" t="str">
        <f t="shared" ref="T14:T77" si="19">IF($P14="","",INDEX($A$13:$M$80,MATCH($P14,$A$13:$A$80,0),7))</f>
        <v/>
      </c>
      <c r="U14" s="127" t="str">
        <f t="shared" si="0"/>
        <v/>
      </c>
      <c r="V14" s="46" t="str">
        <f t="shared" si="1"/>
        <v/>
      </c>
      <c r="W14" s="36"/>
      <c r="X14" s="18" t="str">
        <f t="array" ref="X14">IFERROR(IF(INDEX($H$13:$H$81,MATCH(0,COUNTIF($X$12:X13,$H$13:$H$81),0))=0,"",INDEX($H$13:$H$81,MATCH(0,COUNTIF($X$12:X13,$H$13:$H$81),0))),"")</f>
        <v/>
      </c>
      <c r="Y14" s="18" t="str">
        <f t="shared" si="2"/>
        <v/>
      </c>
      <c r="Z14" s="48" t="str">
        <f t="shared" ref="Z14:Z77" si="20">IF($X14="","",SUMIFS($AS$13:$AS$81,$AM$13:$AM$81,$X14,$AS$13:$AS$81,"&gt;0"))</f>
        <v/>
      </c>
      <c r="AA14" s="81"/>
      <c r="AB14" s="18" t="str">
        <f t="shared" ref="AB14:AB77" si="21">IF($BF14="","",IF(INDEX($B$13:$N$81,MATCH($BF14,$BE$13:$BE$81,0),9)=0,"",INDEX($B$13:$N$81,MATCH($BF14,$BE$13:$BE$81,0),9)))</f>
        <v/>
      </c>
      <c r="AC14" s="31" t="str">
        <f t="shared" ref="AC14:AC77" si="22">IF($BF14="","",SUMIFS($AT$13:$AT$81,$BE$13:$BE$81,$BF14,$AT$13:$AT$81,"&gt;0"))</f>
        <v/>
      </c>
      <c r="AD14" s="18" t="str">
        <f t="shared" ref="AD14:AD77" si="23">IF($BF14="","",SUMIFS($AR$13:$AR$81,$BE$13:$BE$81,$BF14,$AR$13:$AR$81,"&gt;0"))</f>
        <v/>
      </c>
      <c r="AE14" s="18" t="str">
        <f t="shared" ref="AE14:AE77" si="24">IF($BF14="","",SUMIFS($AS$13:$AS$81,$BE$13:$BE$81,$BF14,$AS$13:$AS$81,"&gt;0"))</f>
        <v/>
      </c>
      <c r="AF14" s="36"/>
      <c r="AG14" s="45" t="str">
        <f t="array" ref="AG14">IFERROR(IF(INDEX($B$13:$B$81,MATCH(0,COUNTIF($AG$12:AG13,$B$13:$B$81),0))=0,"",INDEX($B$13:$B$81,MATCH(0,COUNTIF($AG$12:AG13,$B$13:$B$81),0))),"")</f>
        <v/>
      </c>
      <c r="AH14" s="122" t="str">
        <f t="shared" si="3"/>
        <v/>
      </c>
      <c r="AI14" s="123" t="str">
        <f t="shared" si="4"/>
        <v/>
      </c>
      <c r="AJ14" s="102" t="str">
        <f>IFERROR(IF($AG14="","",SUMIFS([2]INPUTS!$F:$F,[2]INPUTS!$L:$L,$AG14,[2]INPUTS!$E:$E,$D$9)),"")</f>
        <v/>
      </c>
      <c r="AK14" s="12" t="str">
        <f t="shared" si="5"/>
        <v/>
      </c>
      <c r="AM14" s="109" t="str">
        <f t="shared" si="6"/>
        <v/>
      </c>
      <c r="AN14" s="108" t="str">
        <f t="shared" si="7"/>
        <v/>
      </c>
      <c r="AO14" s="101" t="str">
        <f>IF(AP14="","",_xlfn.XLOOKUP(CONCATENATE(AN14,"-",AP14),[3]INPUTS!$B:$B,[3]INPUTS!$N:$N))</f>
        <v/>
      </c>
      <c r="AP14" s="108" t="str">
        <f t="shared" si="8"/>
        <v/>
      </c>
      <c r="AQ14" s="99" t="str">
        <f>IF($F14="","",IF($L14="",_xlfn.XLOOKUP($D$9,[1]SCHE!$A:$A,[1]SCHE!$N:$N),$L14))</f>
        <v/>
      </c>
      <c r="AR14" s="99" t="str">
        <f t="shared" si="9"/>
        <v/>
      </c>
      <c r="AS14" s="47" t="str">
        <f t="shared" ref="AS14:AS77" si="25">IF($AR14="","",($AR14*$AQ14))</f>
        <v/>
      </c>
      <c r="AT14" s="9" t="str">
        <f t="shared" si="10"/>
        <v/>
      </c>
      <c r="AU14" s="94" t="str">
        <f>IF($AO14="","",IF($AT$3="",INDEX([3]INPUTS!$A:$BF,MATCH(CONCATENATE($AN14,"-",$AP14),[3]INPUTS!$B:$B,0),22),$AT$3))</f>
        <v/>
      </c>
      <c r="AV14" s="103" t="str">
        <f t="shared" si="11"/>
        <v/>
      </c>
      <c r="AW14" s="11" t="str">
        <f t="shared" si="12"/>
        <v/>
      </c>
      <c r="AX14" s="104" t="str">
        <f t="shared" ref="AX14:AX77" si="26">IF($K14="",IF($M14="","",$M14),$K14)</f>
        <v/>
      </c>
      <c r="AY14" s="110" t="str">
        <f t="shared" si="13"/>
        <v/>
      </c>
      <c r="BE14" s="19" t="str">
        <f t="shared" ref="BE14:BE77" si="27">IF($AO14="","",IF($M14="",CONCATENATE($I14,"-",$G14,"-",$AO14),""))</f>
        <v/>
      </c>
      <c r="BR14" s="1" t="str">
        <f t="array" ref="BR14">IFERROR(IF(INDEX($B$13:$B$81,MATCH(0,COUNTIF($BR$12:BR13,$B$13:$B$81),0))=0,"",INDEX($B$13:$B$81,MATCH(0,COUNTIF($BR$12:BR13,$B$13:$B$81),0))),"")</f>
        <v/>
      </c>
      <c r="BS14" s="124" t="str">
        <f t="shared" ref="BS14:BS45" si="28">IF($BR14="","",INDEX($A$13:$AZ$81,MATCH($BR14,$B$13:$B$81,0),9))</f>
        <v/>
      </c>
      <c r="BT14" s="125" t="str">
        <f t="shared" ref="BT14:BT45" si="29">IF($BR14="","",INDEX($A$13:$AZ$81,MATCH($BR14,$B$13:$B$81,0),7))</f>
        <v/>
      </c>
      <c r="BU14" s="4" t="str">
        <f>IF(LINE2_DATA[[#This Row],[OP]]="","",INDEX(Sheet1!$G$2:$I$10,MATCH(LINE2_DATA[[#This Row],[OP]],Sheet1!$G$2:$G$10,0),3))</f>
        <v/>
      </c>
      <c r="BV14" s="4" t="str">
        <f t="shared" ref="BV14:BV45" si="30">IF($BR14="","",ROUND(SUMIF($B$13:$B$81,$BR14,$AT$13:$AT$81),0))</f>
        <v/>
      </c>
      <c r="BW14" s="4" t="str">
        <f t="shared" ref="BW14:BW45" si="31">IF($BR14="","",ROUND(SUMIFS($AS$13:$AS$81,$B$13:$B$81,$BR14,$AS$13:$AS$81,"&gt;0"),0))</f>
        <v/>
      </c>
      <c r="BX14" s="4" t="str">
        <f t="shared" ref="BX14:BX45" si="32">IF($BR14="","",ROUND(AVERAGEIF($B$13:$B$81,$BR14,$AU$13:$AU$81),3))</f>
        <v/>
      </c>
      <c r="BY14" s="4" t="str">
        <f t="shared" ref="BY14:BY45" si="33">IF($BR14="","",INDEX($AG$13:$AJ$81,MATCH($BR14,$AG$13:$AG$81,0),4))</f>
        <v/>
      </c>
      <c r="BZ14" s="4" t="str">
        <f>IF(BR14="","",SUM(LINE2_DATA[[#This Row],[PRODUCED LBS]],LINE2_DATA[[#This Row],[SCRAP]]))</f>
        <v/>
      </c>
      <c r="CA14" s="4" t="str">
        <f>IF(BR14="","",ROUND(((LINE2_DATA[[#This Row],[SCRAP]]/LINE2_DATA[[#This Row],[TOTAL LBS]])*100),2))</f>
        <v/>
      </c>
      <c r="CB14" s="4" t="str">
        <f t="shared" ref="CB14:CB45" si="34">IF($BR14="","",$M$9)</f>
        <v/>
      </c>
      <c r="CC14" s="4" t="str">
        <f t="shared" ref="CC14:CC45" si="35">IF(BR14="","",IF(INDEX(A13:N81,MATCH(BR14,B13:B81,0),14)=0,495,INDEX(A13:N81,MATCH(BR14,B13:B81,0),14)))</f>
        <v/>
      </c>
      <c r="CD14" s="4" t="str">
        <f>IF(LINE2_DATA[[#This Row],[EFFECTIVE SPEED]]="","",(LINE2_DATA[[#This Row],[EFFECTIVE SPEED]]*LINE2_DATA[[#This Row],[AVAILABLE MINS]]))</f>
        <v/>
      </c>
      <c r="CE14" s="4" t="str">
        <f>IFERROR(IF(BR14="","",ROUND(((LINE2_DATA[[#This Row],[PRODUCED FT]]/LINE2_DATA[[#This Row],[PENT. PROD. CAP.]])*100),2)),"")</f>
        <v/>
      </c>
      <c r="CF14" s="125" t="str">
        <f>IF(LINE2_DATA[[#This Row],[DATE]]="","",75)</f>
        <v/>
      </c>
      <c r="CG14" s="125" t="str">
        <f>IF(LINE2_DATA[[#This Row],[DATE]]="","",10)</f>
        <v/>
      </c>
    </row>
    <row r="15" spans="1:85" ht="19.5" customHeight="1" x14ac:dyDescent="0.25">
      <c r="A15" s="19" t="str">
        <f t="shared" si="14"/>
        <v/>
      </c>
      <c r="B15" s="19" t="str">
        <f t="shared" si="15"/>
        <v/>
      </c>
      <c r="D15" s="26"/>
      <c r="E15" s="26"/>
      <c r="F15" s="26"/>
      <c r="G15" s="26"/>
      <c r="H15" s="97"/>
      <c r="I15" s="27"/>
      <c r="J15" s="8"/>
      <c r="K15" s="8"/>
      <c r="L15" s="8"/>
      <c r="M15" s="8"/>
      <c r="N15" s="8"/>
      <c r="O15" s="36"/>
      <c r="P15" s="4" t="str" cm="1">
        <f t="array" ref="P15">IFERROR(INDEX($A$13:$A$81,MATCH(0,COUNTIF($P$12:P14,$A$13:$A$81),0)),"")</f>
        <v/>
      </c>
      <c r="Q15" s="92" t="str">
        <f t="shared" si="16"/>
        <v/>
      </c>
      <c r="R15" s="93" t="str">
        <f t="shared" si="17"/>
        <v/>
      </c>
      <c r="S15" s="93" t="str">
        <f t="shared" si="18"/>
        <v/>
      </c>
      <c r="T15" s="93" t="str">
        <f t="shared" si="19"/>
        <v/>
      </c>
      <c r="U15" s="127" t="str">
        <f t="shared" si="0"/>
        <v/>
      </c>
      <c r="V15" s="46" t="str">
        <f t="shared" si="1"/>
        <v/>
      </c>
      <c r="W15" s="36"/>
      <c r="X15" s="18" t="str">
        <f t="array" ref="X15">IFERROR(IF(INDEX($H$13:$H$81,MATCH(0,COUNTIF($X$12:X14,$H$13:$H$81),0))=0,"",INDEX($H$13:$H$81,MATCH(0,COUNTIF($X$12:X14,$H$13:$H$81),0))),"")</f>
        <v/>
      </c>
      <c r="Y15" s="18" t="str">
        <f t="shared" si="2"/>
        <v/>
      </c>
      <c r="Z15" s="48" t="str">
        <f t="shared" si="20"/>
        <v/>
      </c>
      <c r="AA15" s="81"/>
      <c r="AB15" s="18" t="str">
        <f t="shared" si="21"/>
        <v/>
      </c>
      <c r="AC15" s="31" t="str">
        <f t="shared" si="22"/>
        <v/>
      </c>
      <c r="AD15" s="18" t="str">
        <f t="shared" si="23"/>
        <v/>
      </c>
      <c r="AE15" s="18" t="str">
        <f t="shared" si="24"/>
        <v/>
      </c>
      <c r="AF15" s="36"/>
      <c r="AG15" s="45" t="str">
        <f t="array" ref="AG15">IFERROR(IF(INDEX($B$13:$B$81,MATCH(0,COUNTIF($AG$12:AG14,$B$13:$B$81),0))=0,"",INDEX($B$13:$B$81,MATCH(0,COUNTIF($AG$12:AG14,$B$13:$B$81),0))),"")</f>
        <v/>
      </c>
      <c r="AH15" s="122" t="str">
        <f t="shared" si="3"/>
        <v/>
      </c>
      <c r="AI15" s="123" t="str">
        <f t="shared" si="4"/>
        <v/>
      </c>
      <c r="AJ15" s="102" t="str">
        <f>IFERROR(IF($AG15="","",SUMIFS([2]INPUTS!$F:$F,[2]INPUTS!$L:$L,$AG15,[2]INPUTS!$E:$E,$D$9)),"")</f>
        <v/>
      </c>
      <c r="AK15" s="12" t="str">
        <f t="shared" si="5"/>
        <v/>
      </c>
      <c r="AM15" s="109" t="str">
        <f t="shared" si="6"/>
        <v/>
      </c>
      <c r="AN15" s="108" t="str">
        <f t="shared" si="7"/>
        <v/>
      </c>
      <c r="AO15" s="101" t="str">
        <f>IF(AP15="","",_xlfn.XLOOKUP(CONCATENATE(AN15,"-",AP15),[3]INPUTS!$B:$B,[3]INPUTS!$N:$N))</f>
        <v/>
      </c>
      <c r="AP15" s="108" t="str">
        <f t="shared" si="8"/>
        <v/>
      </c>
      <c r="AQ15" s="99" t="str">
        <f>IF($F15="","",IF($L15="",_xlfn.XLOOKUP($D$9,[1]SCHE!$A:$A,[1]SCHE!$N:$N),$L15))</f>
        <v/>
      </c>
      <c r="AR15" s="99" t="str">
        <f t="shared" si="9"/>
        <v/>
      </c>
      <c r="AS15" s="47" t="str">
        <f t="shared" si="25"/>
        <v/>
      </c>
      <c r="AT15" s="9" t="str">
        <f t="shared" si="10"/>
        <v/>
      </c>
      <c r="AU15" s="94" t="str">
        <f>IF($AO15="","",IF($AT$3="",INDEX([3]INPUTS!$A:$BF,MATCH(CONCATENATE($AN15,"-",$AP15),[3]INPUTS!$B:$B,0),22),$AT$3))</f>
        <v/>
      </c>
      <c r="AV15" s="103" t="str">
        <f t="shared" si="11"/>
        <v/>
      </c>
      <c r="AW15" s="11" t="str">
        <f t="shared" si="12"/>
        <v/>
      </c>
      <c r="AX15" s="104" t="str">
        <f t="shared" si="26"/>
        <v/>
      </c>
      <c r="AY15" s="110" t="str">
        <f t="shared" si="13"/>
        <v/>
      </c>
      <c r="BE15" s="19" t="str">
        <f t="shared" si="27"/>
        <v/>
      </c>
      <c r="BR15" s="1" t="str">
        <f t="array" ref="BR15">IFERROR(IF(INDEX($B$13:$B$81,MATCH(0,COUNTIF($BR$12:BR14,$B$13:$B$81),0))=0,"",INDEX($B$13:$B$81,MATCH(0,COUNTIF($BR$12:BR14,$B$13:$B$81),0))),"")</f>
        <v/>
      </c>
      <c r="BS15" s="124" t="str">
        <f t="shared" si="28"/>
        <v/>
      </c>
      <c r="BT15" s="125" t="str">
        <f t="shared" si="29"/>
        <v/>
      </c>
      <c r="BU15" s="4" t="str">
        <f>IF(LINE2_DATA[[#This Row],[OP]]="","",INDEX(Sheet1!$G$2:$I$10,MATCH(LINE2_DATA[[#This Row],[OP]],Sheet1!$G$2:$G$10,0),3))</f>
        <v/>
      </c>
      <c r="BV15" s="4" t="str">
        <f t="shared" si="30"/>
        <v/>
      </c>
      <c r="BW15" s="4" t="str">
        <f t="shared" si="31"/>
        <v/>
      </c>
      <c r="BX15" s="4" t="str">
        <f t="shared" si="32"/>
        <v/>
      </c>
      <c r="BY15" s="4" t="str">
        <f t="shared" si="33"/>
        <v/>
      </c>
      <c r="BZ15" s="4" t="str">
        <f>IF(BR15="","",SUM(LINE2_DATA[[#This Row],[PRODUCED LBS]],LINE2_DATA[[#This Row],[SCRAP]]))</f>
        <v/>
      </c>
      <c r="CA15" s="4" t="str">
        <f>IF(BR15="","",ROUND(((LINE2_DATA[[#This Row],[SCRAP]]/LINE2_DATA[[#This Row],[TOTAL LBS]])*100),2))</f>
        <v/>
      </c>
      <c r="CB15" s="4" t="str">
        <f t="shared" si="34"/>
        <v/>
      </c>
      <c r="CC15" s="4" t="str">
        <f t="shared" si="35"/>
        <v/>
      </c>
      <c r="CD15" s="4" t="str">
        <f>IF(LINE2_DATA[[#This Row],[EFFECTIVE SPEED]]="","",(LINE2_DATA[[#This Row],[EFFECTIVE SPEED]]*LINE2_DATA[[#This Row],[AVAILABLE MINS]]))</f>
        <v/>
      </c>
      <c r="CE15" s="4" t="str">
        <f>IFERROR(IF(BR15="","",ROUND(((LINE2_DATA[[#This Row],[PRODUCED FT]]/LINE2_DATA[[#This Row],[PENT. PROD. CAP.]])*100),2)),"")</f>
        <v/>
      </c>
      <c r="CF15" s="125" t="str">
        <f>IF(LINE2_DATA[[#This Row],[DATE]]="","",75)</f>
        <v/>
      </c>
      <c r="CG15" s="125" t="str">
        <f>IF(LINE2_DATA[[#This Row],[DATE]]="","",10)</f>
        <v/>
      </c>
    </row>
    <row r="16" spans="1:85" ht="19.5" customHeight="1" x14ac:dyDescent="0.25">
      <c r="A16" s="19" t="str">
        <f t="shared" si="14"/>
        <v/>
      </c>
      <c r="B16" s="19" t="str">
        <f t="shared" si="15"/>
        <v/>
      </c>
      <c r="D16" s="26"/>
      <c r="E16" s="26"/>
      <c r="F16" s="26"/>
      <c r="G16" s="26"/>
      <c r="H16" s="97"/>
      <c r="I16" s="27"/>
      <c r="J16" s="8"/>
      <c r="K16" s="8"/>
      <c r="L16" s="8"/>
      <c r="M16" s="8"/>
      <c r="N16" s="8"/>
      <c r="O16" s="36"/>
      <c r="P16" s="4" t="str" cm="1">
        <f t="array" ref="P16">IFERROR(INDEX($A$13:$A$81,MATCH(0,COUNTIF($P$12:P15,$A$13:$A$81),0)),"")</f>
        <v/>
      </c>
      <c r="Q16" s="92" t="str">
        <f t="shared" si="16"/>
        <v/>
      </c>
      <c r="R16" s="93" t="str">
        <f t="shared" si="17"/>
        <v/>
      </c>
      <c r="S16" s="93" t="str">
        <f t="shared" si="18"/>
        <v/>
      </c>
      <c r="T16" s="93" t="str">
        <f t="shared" si="19"/>
        <v/>
      </c>
      <c r="U16" s="127" t="str">
        <f t="shared" si="0"/>
        <v/>
      </c>
      <c r="V16" s="46" t="str">
        <f t="shared" si="1"/>
        <v/>
      </c>
      <c r="W16" s="36"/>
      <c r="X16" s="18" t="str">
        <f t="array" ref="X16">IFERROR(IF(INDEX($H$13:$H$81,MATCH(0,COUNTIF($X$12:X15,$H$13:$H$81),0))=0,"",INDEX($H$13:$H$81,MATCH(0,COUNTIF($X$12:X15,$H$13:$H$81),0))),"")</f>
        <v/>
      </c>
      <c r="Y16" s="18" t="str">
        <f t="shared" si="2"/>
        <v/>
      </c>
      <c r="Z16" s="48" t="str">
        <f t="shared" si="20"/>
        <v/>
      </c>
      <c r="AA16" s="81"/>
      <c r="AB16" s="18" t="str">
        <f t="shared" si="21"/>
        <v/>
      </c>
      <c r="AC16" s="31" t="str">
        <f t="shared" si="22"/>
        <v/>
      </c>
      <c r="AD16" s="18" t="str">
        <f t="shared" si="23"/>
        <v/>
      </c>
      <c r="AE16" s="18" t="str">
        <f t="shared" si="24"/>
        <v/>
      </c>
      <c r="AF16" s="36"/>
      <c r="AG16" s="45" t="str">
        <f t="array" ref="AG16">IFERROR(IF(INDEX($B$13:$B$81,MATCH(0,COUNTIF($AG$12:AG15,$B$13:$B$81),0))=0,"",INDEX($B$13:$B$81,MATCH(0,COUNTIF($AG$12:AG15,$B$13:$B$81),0))),"")</f>
        <v/>
      </c>
      <c r="AH16" s="122" t="str">
        <f t="shared" si="3"/>
        <v/>
      </c>
      <c r="AI16" s="123" t="str">
        <f t="shared" si="4"/>
        <v/>
      </c>
      <c r="AJ16" s="102" t="str">
        <f>IFERROR(IF($AG16="","",SUMIFS([2]INPUTS!$F:$F,[2]INPUTS!$L:$L,$AG16,[2]INPUTS!$E:$E,$D$9)),"")</f>
        <v/>
      </c>
      <c r="AK16" s="12" t="str">
        <f t="shared" si="5"/>
        <v/>
      </c>
      <c r="AM16" s="109" t="str">
        <f t="shared" si="6"/>
        <v/>
      </c>
      <c r="AN16" s="108" t="str">
        <f t="shared" si="7"/>
        <v/>
      </c>
      <c r="AO16" s="101" t="str">
        <f>IF(AP16="","",_xlfn.XLOOKUP(CONCATENATE(AN16,"-",AP16),[3]INPUTS!$B:$B,[3]INPUTS!$N:$N))</f>
        <v/>
      </c>
      <c r="AP16" s="108" t="str">
        <f t="shared" si="8"/>
        <v/>
      </c>
      <c r="AQ16" s="99" t="str">
        <f>IF($F16="","",IF($L16="",_xlfn.XLOOKUP($D$9,[1]SCHE!$A:$A,[1]SCHE!$N:$N),$L16))</f>
        <v/>
      </c>
      <c r="AR16" s="99" t="str">
        <f t="shared" si="9"/>
        <v/>
      </c>
      <c r="AS16" s="47" t="str">
        <f>+IF($AR16="","",($AR16*$AQ16))</f>
        <v/>
      </c>
      <c r="AT16" s="9" t="str">
        <f t="shared" si="10"/>
        <v/>
      </c>
      <c r="AU16" s="94" t="str">
        <f>IF($AO16="","",IF($AT$3="",INDEX([3]INPUTS!$A:$BF,MATCH(CONCATENATE($AN16,"-",$AP16),[3]INPUTS!$B:$B,0),22),$AT$3))</f>
        <v/>
      </c>
      <c r="AV16" s="103" t="str">
        <f t="shared" si="11"/>
        <v/>
      </c>
      <c r="AW16" s="11" t="str">
        <f t="shared" si="12"/>
        <v/>
      </c>
      <c r="AX16" s="104" t="str">
        <f t="shared" si="26"/>
        <v/>
      </c>
      <c r="AY16" s="110" t="str">
        <f t="shared" si="13"/>
        <v/>
      </c>
      <c r="BE16" s="19" t="str">
        <f t="shared" si="27"/>
        <v/>
      </c>
      <c r="BR16" s="1" t="str">
        <f t="array" ref="BR16">IFERROR(IF(INDEX($B$13:$B$81,MATCH(0,COUNTIF($BR$12:BR15,$B$13:$B$81),0))=0,"",INDEX($B$13:$B$81,MATCH(0,COUNTIF($BR$12:BR15,$B$13:$B$81),0))),"")</f>
        <v/>
      </c>
      <c r="BS16" s="124" t="str">
        <f t="shared" si="28"/>
        <v/>
      </c>
      <c r="BT16" s="125" t="str">
        <f t="shared" si="29"/>
        <v/>
      </c>
      <c r="BU16" s="4" t="str">
        <f>IF(LINE2_DATA[[#This Row],[OP]]="","",INDEX(Sheet1!$G$2:$I$10,MATCH(LINE2_DATA[[#This Row],[OP]],Sheet1!$G$2:$G$10,0),3))</f>
        <v/>
      </c>
      <c r="BV16" s="4" t="str">
        <f t="shared" si="30"/>
        <v/>
      </c>
      <c r="BW16" s="4" t="str">
        <f t="shared" si="31"/>
        <v/>
      </c>
      <c r="BX16" s="4" t="str">
        <f t="shared" si="32"/>
        <v/>
      </c>
      <c r="BY16" s="4" t="str">
        <f t="shared" si="33"/>
        <v/>
      </c>
      <c r="BZ16" s="4" t="str">
        <f>IF(BR16="","",SUM(LINE2_DATA[[#This Row],[PRODUCED LBS]],LINE2_DATA[[#This Row],[SCRAP]]))</f>
        <v/>
      </c>
      <c r="CA16" s="4" t="str">
        <f>IF(BR16="","",ROUND(((LINE2_DATA[[#This Row],[SCRAP]]/LINE2_DATA[[#This Row],[TOTAL LBS]])*100),2))</f>
        <v/>
      </c>
      <c r="CB16" s="4" t="str">
        <f t="shared" si="34"/>
        <v/>
      </c>
      <c r="CC16" s="4" t="str">
        <f t="shared" si="35"/>
        <v/>
      </c>
      <c r="CD16" s="4" t="str">
        <f>IF(LINE2_DATA[[#This Row],[EFFECTIVE SPEED]]="","",(LINE2_DATA[[#This Row],[EFFECTIVE SPEED]]*LINE2_DATA[[#This Row],[AVAILABLE MINS]]))</f>
        <v/>
      </c>
      <c r="CE16" s="4" t="str">
        <f>IFERROR(IF(BR16="","",ROUND(((LINE2_DATA[[#This Row],[PRODUCED FT]]/LINE2_DATA[[#This Row],[PENT. PROD. CAP.]])*100),2)),"")</f>
        <v/>
      </c>
      <c r="CF16" s="125" t="str">
        <f>IF(LINE2_DATA[[#This Row],[DATE]]="","",75)</f>
        <v/>
      </c>
      <c r="CG16" s="125" t="str">
        <f>IF(LINE2_DATA[[#This Row],[DATE]]="","",10)</f>
        <v/>
      </c>
    </row>
    <row r="17" spans="1:85" ht="19.5" customHeight="1" x14ac:dyDescent="0.25">
      <c r="A17" s="19" t="str">
        <f t="shared" si="14"/>
        <v/>
      </c>
      <c r="B17" s="19" t="str">
        <f t="shared" si="15"/>
        <v/>
      </c>
      <c r="D17" s="26"/>
      <c r="E17" s="26"/>
      <c r="F17" s="26"/>
      <c r="G17" s="26"/>
      <c r="H17" s="97"/>
      <c r="I17" s="27"/>
      <c r="J17" s="8"/>
      <c r="K17" s="8"/>
      <c r="L17" s="8"/>
      <c r="M17" s="8"/>
      <c r="N17" s="8"/>
      <c r="O17" s="36"/>
      <c r="P17" s="4" t="str" cm="1">
        <f t="array" ref="P17">IFERROR(INDEX($A$13:$A$81,MATCH(0,COUNTIF($P$12:P16,$A$13:$A$81),0)),"")</f>
        <v/>
      </c>
      <c r="Q17" s="92" t="str">
        <f t="shared" si="16"/>
        <v/>
      </c>
      <c r="R17" s="93" t="str">
        <f t="shared" si="17"/>
        <v/>
      </c>
      <c r="S17" s="93" t="str">
        <f t="shared" si="18"/>
        <v/>
      </c>
      <c r="T17" s="93" t="str">
        <f t="shared" si="19"/>
        <v/>
      </c>
      <c r="U17" s="127" t="str">
        <f t="shared" si="0"/>
        <v/>
      </c>
      <c r="V17" s="46" t="str">
        <f t="shared" si="1"/>
        <v/>
      </c>
      <c r="W17" s="36"/>
      <c r="X17" s="18" t="str">
        <f t="array" ref="X17">IFERROR(IF(INDEX($H$13:$H$81,MATCH(0,COUNTIF($X$12:X16,$H$13:$H$81),0))=0,"",INDEX($H$13:$H$81,MATCH(0,COUNTIF($X$12:X16,$H$13:$H$81),0))),"")</f>
        <v/>
      </c>
      <c r="Y17" s="18" t="str">
        <f t="shared" si="2"/>
        <v/>
      </c>
      <c r="Z17" s="48" t="str">
        <f t="shared" si="20"/>
        <v/>
      </c>
      <c r="AA17" s="81"/>
      <c r="AB17" s="18" t="str">
        <f t="shared" si="21"/>
        <v/>
      </c>
      <c r="AC17" s="31" t="str">
        <f t="shared" si="22"/>
        <v/>
      </c>
      <c r="AD17" s="18" t="str">
        <f t="shared" si="23"/>
        <v/>
      </c>
      <c r="AE17" s="18" t="str">
        <f t="shared" si="24"/>
        <v/>
      </c>
      <c r="AF17" s="36"/>
      <c r="AG17" s="45" t="str">
        <f t="array" ref="AG17">IFERROR(IF(INDEX($B$13:$B$81,MATCH(0,COUNTIF($AG$12:AG16,$B$13:$B$81),0))=0,"",INDEX($B$13:$B$81,MATCH(0,COUNTIF($AG$12:AG16,$B$13:$B$81),0))),"")</f>
        <v/>
      </c>
      <c r="AH17" s="122" t="str">
        <f t="shared" si="3"/>
        <v/>
      </c>
      <c r="AI17" s="123" t="str">
        <f t="shared" si="4"/>
        <v/>
      </c>
      <c r="AJ17" s="102" t="str">
        <f>IFERROR(IF($AG17="","",SUMIFS([2]INPUTS!$F:$F,[2]INPUTS!$L:$L,$AG17,[2]INPUTS!$E:$E,$D$9)),"")</f>
        <v/>
      </c>
      <c r="AK17" s="12" t="str">
        <f t="shared" si="5"/>
        <v/>
      </c>
      <c r="AM17" s="109" t="str">
        <f t="shared" si="6"/>
        <v/>
      </c>
      <c r="AN17" s="108" t="str">
        <f t="shared" si="7"/>
        <v/>
      </c>
      <c r="AO17" s="101" t="str">
        <f>IF(AP17="","",_xlfn.XLOOKUP(CONCATENATE(AN17,"-",AP17),[3]INPUTS!$B:$B,[3]INPUTS!$N:$N))</f>
        <v/>
      </c>
      <c r="AP17" s="108" t="str">
        <f t="shared" si="8"/>
        <v/>
      </c>
      <c r="AQ17" s="99" t="str">
        <f>IF($F17="","",IF($L17="",_xlfn.XLOOKUP($D$9,[1]SCHE!$A:$A,[1]SCHE!$N:$N),$L17))</f>
        <v/>
      </c>
      <c r="AR17" s="99" t="str">
        <f t="shared" si="9"/>
        <v/>
      </c>
      <c r="AS17" s="47" t="str">
        <f t="shared" si="25"/>
        <v/>
      </c>
      <c r="AT17" s="9" t="str">
        <f t="shared" si="10"/>
        <v/>
      </c>
      <c r="AU17" s="94" t="str">
        <f>IF($AO17="","",IF($AT$3="",INDEX([3]INPUTS!$A:$BF,MATCH(CONCATENATE($AN17,"-",$AP17),[3]INPUTS!$B:$B,0),22),$AT$3))</f>
        <v/>
      </c>
      <c r="AV17" s="103" t="str">
        <f t="shared" si="11"/>
        <v/>
      </c>
      <c r="AW17" s="11" t="str">
        <f t="shared" si="12"/>
        <v/>
      </c>
      <c r="AX17" s="104" t="str">
        <f t="shared" si="26"/>
        <v/>
      </c>
      <c r="AY17" s="110" t="str">
        <f t="shared" si="13"/>
        <v/>
      </c>
      <c r="BE17" s="19" t="str">
        <f t="shared" si="27"/>
        <v/>
      </c>
      <c r="BR17" s="1" t="str">
        <f t="array" ref="BR17">IFERROR(IF(INDEX($B$13:$B$81,MATCH(0,COUNTIF($BR$12:BR16,$B$13:$B$81),0))=0,"",INDEX($B$13:$B$81,MATCH(0,COUNTIF($BR$12:BR16,$B$13:$B$81),0))),"")</f>
        <v/>
      </c>
      <c r="BS17" s="124" t="str">
        <f t="shared" si="28"/>
        <v/>
      </c>
      <c r="BT17" s="125" t="str">
        <f t="shared" si="29"/>
        <v/>
      </c>
      <c r="BU17" s="4" t="str">
        <f>IF(LINE2_DATA[[#This Row],[OP]]="","",INDEX(Sheet1!$G$2:$I$10,MATCH(LINE2_DATA[[#This Row],[OP]],Sheet1!$G$2:$G$10,0),3))</f>
        <v/>
      </c>
      <c r="BV17" s="4" t="str">
        <f t="shared" si="30"/>
        <v/>
      </c>
      <c r="BW17" s="4" t="str">
        <f t="shared" si="31"/>
        <v/>
      </c>
      <c r="BX17" s="4" t="str">
        <f t="shared" si="32"/>
        <v/>
      </c>
      <c r="BY17" s="4" t="str">
        <f t="shared" si="33"/>
        <v/>
      </c>
      <c r="BZ17" s="4" t="str">
        <f>IF(BR17="","",SUM(LINE2_DATA[[#This Row],[PRODUCED LBS]],LINE2_DATA[[#This Row],[SCRAP]]))</f>
        <v/>
      </c>
      <c r="CA17" s="4" t="str">
        <f>IF(BR17="","",ROUND(((LINE2_DATA[[#This Row],[SCRAP]]/LINE2_DATA[[#This Row],[TOTAL LBS]])*100),2))</f>
        <v/>
      </c>
      <c r="CB17" s="4" t="str">
        <f t="shared" si="34"/>
        <v/>
      </c>
      <c r="CC17" s="4" t="str">
        <f t="shared" si="35"/>
        <v/>
      </c>
      <c r="CD17" s="4" t="str">
        <f>IF(LINE2_DATA[[#This Row],[EFFECTIVE SPEED]]="","",(LINE2_DATA[[#This Row],[EFFECTIVE SPEED]]*LINE2_DATA[[#This Row],[AVAILABLE MINS]]))</f>
        <v/>
      </c>
      <c r="CE17" s="4" t="str">
        <f>IFERROR(IF(BR17="","",ROUND(((LINE2_DATA[[#This Row],[PRODUCED FT]]/LINE2_DATA[[#This Row],[PENT. PROD. CAP.]])*100),2)),"")</f>
        <v/>
      </c>
      <c r="CF17" s="125" t="str">
        <f>IF(LINE2_DATA[[#This Row],[DATE]]="","",75)</f>
        <v/>
      </c>
      <c r="CG17" s="125" t="str">
        <f>IF(LINE2_DATA[[#This Row],[DATE]]="","",10)</f>
        <v/>
      </c>
    </row>
    <row r="18" spans="1:85" ht="19.5" customHeight="1" x14ac:dyDescent="0.25">
      <c r="A18" s="19" t="str">
        <f t="shared" si="14"/>
        <v/>
      </c>
      <c r="B18" s="19" t="str">
        <f t="shared" si="15"/>
        <v/>
      </c>
      <c r="D18" s="26"/>
      <c r="E18" s="26"/>
      <c r="F18" s="26"/>
      <c r="G18" s="26"/>
      <c r="H18" s="97"/>
      <c r="I18" s="27"/>
      <c r="J18" s="8"/>
      <c r="K18" s="8"/>
      <c r="L18" s="8"/>
      <c r="M18" s="8"/>
      <c r="N18" s="8"/>
      <c r="O18" s="36"/>
      <c r="P18" s="4" t="str" cm="1">
        <f t="array" ref="P18">IFERROR(INDEX($A$13:$A$81,MATCH(0,COUNTIF($P$12:P17,$A$13:$A$81),0)),"")</f>
        <v/>
      </c>
      <c r="Q18" s="92" t="str">
        <f t="shared" si="16"/>
        <v/>
      </c>
      <c r="R18" s="93" t="str">
        <f t="shared" si="17"/>
        <v/>
      </c>
      <c r="S18" s="93" t="str">
        <f t="shared" si="18"/>
        <v/>
      </c>
      <c r="T18" s="93" t="str">
        <f t="shared" si="19"/>
        <v/>
      </c>
      <c r="U18" s="127" t="str">
        <f t="shared" si="0"/>
        <v/>
      </c>
      <c r="V18" s="46" t="str">
        <f t="shared" si="1"/>
        <v/>
      </c>
      <c r="W18" s="36"/>
      <c r="X18" s="18" t="str">
        <f t="array" ref="X18">IFERROR(IF(INDEX($H$13:$H$81,MATCH(0,COUNTIF($X$12:X17,$H$13:$H$81),0))=0,"",INDEX($H$13:$H$81,MATCH(0,COUNTIF($X$12:X17,$H$13:$H$81),0))),"")</f>
        <v/>
      </c>
      <c r="Y18" s="18" t="str">
        <f t="shared" si="2"/>
        <v/>
      </c>
      <c r="Z18" s="48" t="str">
        <f t="shared" si="20"/>
        <v/>
      </c>
      <c r="AA18" s="81"/>
      <c r="AB18" s="18" t="str">
        <f t="shared" si="21"/>
        <v/>
      </c>
      <c r="AC18" s="31" t="str">
        <f t="shared" si="22"/>
        <v/>
      </c>
      <c r="AD18" s="18" t="str">
        <f t="shared" si="23"/>
        <v/>
      </c>
      <c r="AE18" s="18" t="str">
        <f t="shared" si="24"/>
        <v/>
      </c>
      <c r="AF18" s="36"/>
      <c r="AG18" s="45" t="str">
        <f t="array" ref="AG18">IFERROR(IF(INDEX($B$13:$B$81,MATCH(0,COUNTIF($AG$12:AG17,$B$13:$B$81),0))=0,"",INDEX($B$13:$B$81,MATCH(0,COUNTIF($AG$12:AG17,$B$13:$B$81),0))),"")</f>
        <v/>
      </c>
      <c r="AH18" s="122" t="str">
        <f t="shared" si="3"/>
        <v/>
      </c>
      <c r="AI18" s="123" t="str">
        <f t="shared" si="4"/>
        <v/>
      </c>
      <c r="AJ18" s="102" t="str">
        <f>IFERROR(IF($AG18="","",SUMIFS([2]INPUTS!$F:$F,[2]INPUTS!$L:$L,$AG18,[2]INPUTS!$E:$E,$D$9)),"")</f>
        <v/>
      </c>
      <c r="AK18" s="12" t="str">
        <f t="shared" si="5"/>
        <v/>
      </c>
      <c r="AM18" s="109" t="str">
        <f t="shared" si="6"/>
        <v/>
      </c>
      <c r="AN18" s="108" t="str">
        <f t="shared" si="7"/>
        <v/>
      </c>
      <c r="AO18" s="101" t="str">
        <f>IF(AP18="","",_xlfn.XLOOKUP(CONCATENATE(AN18,"-",AP18),[3]INPUTS!$B:$B,[3]INPUTS!$N:$N))</f>
        <v/>
      </c>
      <c r="AP18" s="108" t="str">
        <f t="shared" si="8"/>
        <v/>
      </c>
      <c r="AQ18" s="99" t="str">
        <f>IF($F18="","",IF($L18="",_xlfn.XLOOKUP($D$9,[1]SCHE!$A:$A,[1]SCHE!$N:$N),$L18))</f>
        <v/>
      </c>
      <c r="AR18" s="99" t="str">
        <f t="shared" si="9"/>
        <v/>
      </c>
      <c r="AS18" s="47" t="str">
        <f t="shared" si="25"/>
        <v/>
      </c>
      <c r="AT18" s="9" t="str">
        <f t="shared" si="10"/>
        <v/>
      </c>
      <c r="AU18" s="94" t="str">
        <f>IF($AO18="","",IF($AT$3="",INDEX([3]INPUTS!$A:$BF,MATCH(CONCATENATE($AN18,"-",$AP18),[3]INPUTS!$B:$B,0),22),$AT$3))</f>
        <v/>
      </c>
      <c r="AV18" s="103" t="str">
        <f t="shared" si="11"/>
        <v/>
      </c>
      <c r="AW18" s="11" t="str">
        <f t="shared" si="12"/>
        <v/>
      </c>
      <c r="AX18" s="104" t="str">
        <f t="shared" si="26"/>
        <v/>
      </c>
      <c r="AY18" s="110" t="str">
        <f t="shared" si="13"/>
        <v/>
      </c>
      <c r="BE18" s="19" t="str">
        <f t="shared" si="27"/>
        <v/>
      </c>
      <c r="BR18" s="1" t="str">
        <f t="array" ref="BR18">IFERROR(IF(INDEX($B$13:$B$81,MATCH(0,COUNTIF($BR$12:BR17,$B$13:$B$81),0))=0,"",INDEX($B$13:$B$81,MATCH(0,COUNTIF($BR$12:BR17,$B$13:$B$81),0))),"")</f>
        <v/>
      </c>
      <c r="BS18" s="124" t="str">
        <f t="shared" si="28"/>
        <v/>
      </c>
      <c r="BT18" s="125" t="str">
        <f t="shared" si="29"/>
        <v/>
      </c>
      <c r="BU18" s="4" t="str">
        <f>IF(LINE2_DATA[[#This Row],[OP]]="","",INDEX(Sheet1!$G$2:$I$10,MATCH(LINE2_DATA[[#This Row],[OP]],Sheet1!$G$2:$G$10,0),3))</f>
        <v/>
      </c>
      <c r="BV18" s="4" t="str">
        <f t="shared" si="30"/>
        <v/>
      </c>
      <c r="BW18" s="4" t="str">
        <f t="shared" si="31"/>
        <v/>
      </c>
      <c r="BX18" s="4" t="str">
        <f t="shared" si="32"/>
        <v/>
      </c>
      <c r="BY18" s="4" t="str">
        <f t="shared" si="33"/>
        <v/>
      </c>
      <c r="BZ18" s="4" t="str">
        <f>IF(BR18="","",SUM(LINE2_DATA[[#This Row],[PRODUCED LBS]],LINE2_DATA[[#This Row],[SCRAP]]))</f>
        <v/>
      </c>
      <c r="CA18" s="4" t="str">
        <f>IF(BR18="","",ROUND(((LINE2_DATA[[#This Row],[SCRAP]]/LINE2_DATA[[#This Row],[TOTAL LBS]])*100),2))</f>
        <v/>
      </c>
      <c r="CB18" s="4" t="str">
        <f t="shared" si="34"/>
        <v/>
      </c>
      <c r="CC18" s="4" t="str">
        <f t="shared" si="35"/>
        <v/>
      </c>
      <c r="CD18" s="4" t="str">
        <f>IF(LINE2_DATA[[#This Row],[EFFECTIVE SPEED]]="","",(LINE2_DATA[[#This Row],[EFFECTIVE SPEED]]*LINE2_DATA[[#This Row],[AVAILABLE MINS]]))</f>
        <v/>
      </c>
      <c r="CE18" s="4" t="str">
        <f>IFERROR(IF(BR18="","",ROUND(((LINE2_DATA[[#This Row],[PRODUCED FT]]/LINE2_DATA[[#This Row],[PENT. PROD. CAP.]])*100),2)),"")</f>
        <v/>
      </c>
      <c r="CF18" s="125" t="str">
        <f>IF(LINE2_DATA[[#This Row],[DATE]]="","",75)</f>
        <v/>
      </c>
      <c r="CG18" s="125" t="str">
        <f>IF(LINE2_DATA[[#This Row],[DATE]]="","",10)</f>
        <v/>
      </c>
    </row>
    <row r="19" spans="1:85" ht="19.5" customHeight="1" x14ac:dyDescent="0.25">
      <c r="A19" s="19" t="str">
        <f t="shared" si="14"/>
        <v/>
      </c>
      <c r="B19" s="19" t="str">
        <f t="shared" si="15"/>
        <v/>
      </c>
      <c r="D19" s="26"/>
      <c r="E19" s="26"/>
      <c r="F19" s="26"/>
      <c r="G19" s="26"/>
      <c r="H19" s="97"/>
      <c r="I19" s="27"/>
      <c r="J19" s="8"/>
      <c r="K19" s="8"/>
      <c r="L19" s="8"/>
      <c r="M19" s="8"/>
      <c r="N19" s="8"/>
      <c r="O19" s="36"/>
      <c r="P19" s="4" t="str" cm="1">
        <f t="array" ref="P19">IFERROR(INDEX($A$13:$A$81,MATCH(0,COUNTIF($P$12:P18,$A$13:$A$81),0)),"")</f>
        <v/>
      </c>
      <c r="Q19" s="92" t="str">
        <f t="shared" si="16"/>
        <v/>
      </c>
      <c r="R19" s="93" t="str">
        <f t="shared" si="17"/>
        <v/>
      </c>
      <c r="S19" s="93" t="str">
        <f t="shared" si="18"/>
        <v/>
      </c>
      <c r="T19" s="93" t="str">
        <f t="shared" si="19"/>
        <v/>
      </c>
      <c r="U19" s="127" t="str">
        <f t="shared" si="0"/>
        <v/>
      </c>
      <c r="V19" s="46" t="str">
        <f t="shared" si="1"/>
        <v/>
      </c>
      <c r="W19" s="36"/>
      <c r="X19" s="18" t="str">
        <f t="array" ref="X19">IFERROR(IF(INDEX($H$13:$H$81,MATCH(0,COUNTIF($X$12:X18,$H$13:$H$81),0))=0,"",INDEX($H$13:$H$81,MATCH(0,COUNTIF($X$12:X18,$H$13:$H$81),0))),"")</f>
        <v/>
      </c>
      <c r="Y19" s="18" t="str">
        <f t="shared" si="2"/>
        <v/>
      </c>
      <c r="Z19" s="48" t="str">
        <f t="shared" si="20"/>
        <v/>
      </c>
      <c r="AA19" s="81"/>
      <c r="AB19" s="18" t="str">
        <f t="shared" si="21"/>
        <v/>
      </c>
      <c r="AC19" s="31" t="str">
        <f t="shared" si="22"/>
        <v/>
      </c>
      <c r="AD19" s="18" t="str">
        <f t="shared" si="23"/>
        <v/>
      </c>
      <c r="AE19" s="18" t="str">
        <f t="shared" si="24"/>
        <v/>
      </c>
      <c r="AF19" s="36"/>
      <c r="AG19" s="45" t="str">
        <f t="array" ref="AG19">IFERROR(IF(INDEX($B$13:$B$81,MATCH(0,COUNTIF($AG$12:AG18,$B$13:$B$81),0))=0,"",INDEX($B$13:$B$81,MATCH(0,COUNTIF($AG$12:AG18,$B$13:$B$81),0))),"")</f>
        <v/>
      </c>
      <c r="AH19" s="122" t="str">
        <f t="shared" si="3"/>
        <v/>
      </c>
      <c r="AI19" s="123" t="str">
        <f t="shared" si="4"/>
        <v/>
      </c>
      <c r="AJ19" s="102" t="str">
        <f>IFERROR(IF($AG19="","",SUMIFS([2]INPUTS!$F:$F,[2]INPUTS!$L:$L,$AG19,[2]INPUTS!$E:$E,$D$9)),"")</f>
        <v/>
      </c>
      <c r="AK19" s="12" t="str">
        <f t="shared" si="5"/>
        <v/>
      </c>
      <c r="AM19" s="109" t="str">
        <f t="shared" si="6"/>
        <v/>
      </c>
      <c r="AN19" s="108" t="str">
        <f t="shared" si="7"/>
        <v/>
      </c>
      <c r="AO19" s="101" t="str">
        <f>IF(AP19="","",_xlfn.XLOOKUP(CONCATENATE(AN19,"-",AP19),[3]INPUTS!$B:$B,[3]INPUTS!$N:$N))</f>
        <v/>
      </c>
      <c r="AP19" s="108" t="str">
        <f t="shared" si="8"/>
        <v/>
      </c>
      <c r="AQ19" s="99" t="str">
        <f>IF($F19="","",IF($L19="",_xlfn.XLOOKUP($D$9,[1]SCHE!$A:$A,[1]SCHE!$N:$N),$L19))</f>
        <v/>
      </c>
      <c r="AR19" s="99" t="str">
        <f t="shared" si="9"/>
        <v/>
      </c>
      <c r="AS19" s="47" t="str">
        <f t="shared" si="25"/>
        <v/>
      </c>
      <c r="AT19" s="9" t="str">
        <f t="shared" si="10"/>
        <v/>
      </c>
      <c r="AU19" s="94" t="str">
        <f>IF($AO19="","",IF($AT$3="",INDEX([3]INPUTS!$A:$BF,MATCH(CONCATENATE($AN19,"-",$AP19),[3]INPUTS!$B:$B,0),22),$AT$3))</f>
        <v/>
      </c>
      <c r="AV19" s="103" t="str">
        <f t="shared" si="11"/>
        <v/>
      </c>
      <c r="AW19" s="11" t="str">
        <f t="shared" si="12"/>
        <v/>
      </c>
      <c r="AX19" s="104" t="str">
        <f t="shared" si="26"/>
        <v/>
      </c>
      <c r="AY19" s="110" t="str">
        <f t="shared" si="13"/>
        <v/>
      </c>
      <c r="BE19" s="19" t="str">
        <f t="shared" si="27"/>
        <v/>
      </c>
      <c r="BR19" s="1" t="str">
        <f t="array" ref="BR19">IFERROR(IF(INDEX($B$13:$B$81,MATCH(0,COUNTIF($BR$12:BR18,$B$13:$B$81),0))=0,"",INDEX($B$13:$B$81,MATCH(0,COUNTIF($BR$12:BR18,$B$13:$B$81),0))),"")</f>
        <v/>
      </c>
      <c r="BS19" s="124" t="str">
        <f t="shared" si="28"/>
        <v/>
      </c>
      <c r="BT19" s="125" t="str">
        <f t="shared" si="29"/>
        <v/>
      </c>
      <c r="BU19" s="4" t="str">
        <f>IF(LINE2_DATA[[#This Row],[OP]]="","",INDEX(Sheet1!$G$2:$I$10,MATCH(LINE2_DATA[[#This Row],[OP]],Sheet1!$G$2:$G$10,0),3))</f>
        <v/>
      </c>
      <c r="BV19" s="4" t="str">
        <f t="shared" si="30"/>
        <v/>
      </c>
      <c r="BW19" s="4" t="str">
        <f t="shared" si="31"/>
        <v/>
      </c>
      <c r="BX19" s="4" t="str">
        <f t="shared" si="32"/>
        <v/>
      </c>
      <c r="BY19" s="4" t="str">
        <f t="shared" si="33"/>
        <v/>
      </c>
      <c r="BZ19" s="4" t="str">
        <f>IF(BR19="","",SUM(LINE2_DATA[[#This Row],[PRODUCED LBS]],LINE2_DATA[[#This Row],[SCRAP]]))</f>
        <v/>
      </c>
      <c r="CA19" s="4" t="str">
        <f>IF(BR19="","",ROUND(((LINE2_DATA[[#This Row],[SCRAP]]/LINE2_DATA[[#This Row],[TOTAL LBS]])*100),2))</f>
        <v/>
      </c>
      <c r="CB19" s="4" t="str">
        <f t="shared" si="34"/>
        <v/>
      </c>
      <c r="CC19" s="4" t="str">
        <f t="shared" si="35"/>
        <v/>
      </c>
      <c r="CD19" s="4" t="str">
        <f>IF(LINE2_DATA[[#This Row],[EFFECTIVE SPEED]]="","",(LINE2_DATA[[#This Row],[EFFECTIVE SPEED]]*LINE2_DATA[[#This Row],[AVAILABLE MINS]]))</f>
        <v/>
      </c>
      <c r="CE19" s="4" t="str">
        <f>IFERROR(IF(BR19="","",ROUND(((LINE2_DATA[[#This Row],[PRODUCED FT]]/LINE2_DATA[[#This Row],[PENT. PROD. CAP.]])*100),2)),"")</f>
        <v/>
      </c>
      <c r="CF19" s="125" t="str">
        <f>IF(LINE2_DATA[[#This Row],[DATE]]="","",75)</f>
        <v/>
      </c>
      <c r="CG19" s="125" t="str">
        <f>IF(LINE2_DATA[[#This Row],[DATE]]="","",10)</f>
        <v/>
      </c>
    </row>
    <row r="20" spans="1:85" ht="19.5" customHeight="1" x14ac:dyDescent="0.25">
      <c r="A20" s="19" t="str">
        <f t="shared" si="14"/>
        <v/>
      </c>
      <c r="B20" s="19" t="str">
        <f t="shared" si="15"/>
        <v/>
      </c>
      <c r="D20" s="26"/>
      <c r="E20" s="26"/>
      <c r="F20" s="26"/>
      <c r="G20" s="26"/>
      <c r="H20" s="97"/>
      <c r="I20" s="27"/>
      <c r="J20" s="8"/>
      <c r="K20" s="8"/>
      <c r="L20" s="8"/>
      <c r="M20" s="8"/>
      <c r="N20" s="8"/>
      <c r="O20" s="36"/>
      <c r="P20" s="4" t="str" cm="1">
        <f t="array" ref="P20">IFERROR(INDEX($A$13:$A$81,MATCH(0,COUNTIF($P$12:P19,$A$13:$A$81),0)),"")</f>
        <v/>
      </c>
      <c r="Q20" s="92" t="str">
        <f t="shared" si="16"/>
        <v/>
      </c>
      <c r="R20" s="93" t="str">
        <f t="shared" si="17"/>
        <v/>
      </c>
      <c r="S20" s="93" t="str">
        <f t="shared" si="18"/>
        <v/>
      </c>
      <c r="T20" s="93" t="str">
        <f t="shared" si="19"/>
        <v/>
      </c>
      <c r="U20" s="127" t="str">
        <f t="shared" si="0"/>
        <v/>
      </c>
      <c r="V20" s="46" t="str">
        <f t="shared" si="1"/>
        <v/>
      </c>
      <c r="W20" s="36"/>
      <c r="X20" s="18" t="str">
        <f t="array" ref="X20">IFERROR(IF(INDEX($H$13:$H$81,MATCH(0,COUNTIF($X$12:X19,$H$13:$H$81),0))=0,"",INDEX($H$13:$H$81,MATCH(0,COUNTIF($X$12:X19,$H$13:$H$81),0))),"")</f>
        <v/>
      </c>
      <c r="Y20" s="18" t="str">
        <f t="shared" si="2"/>
        <v/>
      </c>
      <c r="Z20" s="48" t="str">
        <f t="shared" si="20"/>
        <v/>
      </c>
      <c r="AA20" s="81"/>
      <c r="AB20" s="18" t="str">
        <f t="shared" si="21"/>
        <v/>
      </c>
      <c r="AC20" s="31" t="str">
        <f t="shared" si="22"/>
        <v/>
      </c>
      <c r="AD20" s="18" t="str">
        <f t="shared" si="23"/>
        <v/>
      </c>
      <c r="AE20" s="18" t="str">
        <f t="shared" si="24"/>
        <v/>
      </c>
      <c r="AF20" s="36"/>
      <c r="AG20" s="45" t="str">
        <f t="array" ref="AG20">IFERROR(IF(INDEX($B$13:$B$81,MATCH(0,COUNTIF($AG$12:AG19,$B$13:$B$81),0))=0,"",INDEX($B$13:$B$81,MATCH(0,COUNTIF($AG$12:AG19,$B$13:$B$81),0))),"")</f>
        <v/>
      </c>
      <c r="AH20" s="122" t="str">
        <f t="shared" si="3"/>
        <v/>
      </c>
      <c r="AI20" s="123" t="str">
        <f t="shared" si="4"/>
        <v/>
      </c>
      <c r="AJ20" s="102" t="str">
        <f>IFERROR(IF($AG20="","",SUMIFS([2]INPUTS!$F:$F,[2]INPUTS!$L:$L,$AG20,[2]INPUTS!$E:$E,$D$9)),"")</f>
        <v/>
      </c>
      <c r="AK20" s="12" t="str">
        <f t="shared" si="5"/>
        <v/>
      </c>
      <c r="AM20" s="109" t="str">
        <f t="shared" si="6"/>
        <v/>
      </c>
      <c r="AN20" s="108" t="str">
        <f t="shared" si="7"/>
        <v/>
      </c>
      <c r="AO20" s="101" t="str">
        <f>IF(AP20="","",_xlfn.XLOOKUP(CONCATENATE(AN20,"-",AP20),[3]INPUTS!$B:$B,[3]INPUTS!$N:$N))</f>
        <v/>
      </c>
      <c r="AP20" s="108" t="str">
        <f t="shared" si="8"/>
        <v/>
      </c>
      <c r="AQ20" s="99" t="str">
        <f>IF($F20="","",IF($L20="",_xlfn.XLOOKUP($D$9,[1]SCHE!$A:$A,[1]SCHE!$N:$N),$L20))</f>
        <v/>
      </c>
      <c r="AR20" s="99" t="str">
        <f>IF($M20="",IF($F20="","",$F20),(($F20*-1)))</f>
        <v/>
      </c>
      <c r="AS20" s="47" t="str">
        <f t="shared" si="25"/>
        <v/>
      </c>
      <c r="AT20" s="9" t="str">
        <f t="shared" si="10"/>
        <v/>
      </c>
      <c r="AU20" s="94" t="str">
        <f>IF($AO20="","",IF($AT$3="",INDEX([3]INPUTS!$A:$BF,MATCH(CONCATENATE($AN20,"-",$AP20),[3]INPUTS!$B:$B,0),22),$AT$3))</f>
        <v/>
      </c>
      <c r="AV20" s="103" t="str">
        <f t="shared" si="11"/>
        <v/>
      </c>
      <c r="AW20" s="11" t="str">
        <f t="shared" si="12"/>
        <v/>
      </c>
      <c r="AX20" s="104" t="str">
        <f t="shared" si="26"/>
        <v/>
      </c>
      <c r="AY20" s="110" t="str">
        <f t="shared" si="13"/>
        <v/>
      </c>
      <c r="BE20" s="19" t="str">
        <f t="shared" si="27"/>
        <v/>
      </c>
      <c r="BR20" s="1" t="str">
        <f t="array" ref="BR20">IFERROR(IF(INDEX($B$13:$B$81,MATCH(0,COUNTIF($BR$12:BR19,$B$13:$B$81),0))=0,"",INDEX($B$13:$B$81,MATCH(0,COUNTIF($BR$12:BR19,$B$13:$B$81),0))),"")</f>
        <v/>
      </c>
      <c r="BS20" s="124" t="str">
        <f t="shared" si="28"/>
        <v/>
      </c>
      <c r="BT20" s="125" t="str">
        <f t="shared" si="29"/>
        <v/>
      </c>
      <c r="BU20" s="4" t="str">
        <f>IF(LINE2_DATA[[#This Row],[OP]]="","",INDEX(Sheet1!$G$2:$I$10,MATCH(LINE2_DATA[[#This Row],[OP]],Sheet1!$G$2:$G$10,0),3))</f>
        <v/>
      </c>
      <c r="BV20" s="4" t="str">
        <f t="shared" si="30"/>
        <v/>
      </c>
      <c r="BW20" s="4" t="str">
        <f t="shared" si="31"/>
        <v/>
      </c>
      <c r="BX20" s="4" t="str">
        <f t="shared" si="32"/>
        <v/>
      </c>
      <c r="BY20" s="4" t="str">
        <f t="shared" si="33"/>
        <v/>
      </c>
      <c r="BZ20" s="4" t="str">
        <f>IF(BR20="","",SUM(LINE2_DATA[[#This Row],[PRODUCED LBS]],LINE2_DATA[[#This Row],[SCRAP]]))</f>
        <v/>
      </c>
      <c r="CA20" s="4" t="str">
        <f>IF(BR20="","",ROUND(((LINE2_DATA[[#This Row],[SCRAP]]/LINE2_DATA[[#This Row],[TOTAL LBS]])*100),2))</f>
        <v/>
      </c>
      <c r="CB20" s="4" t="str">
        <f t="shared" si="34"/>
        <v/>
      </c>
      <c r="CC20" s="4" t="str">
        <f t="shared" si="35"/>
        <v/>
      </c>
      <c r="CD20" s="4" t="str">
        <f>IF(LINE2_DATA[[#This Row],[EFFECTIVE SPEED]]="","",(LINE2_DATA[[#This Row],[EFFECTIVE SPEED]]*LINE2_DATA[[#This Row],[AVAILABLE MINS]]))</f>
        <v/>
      </c>
      <c r="CE20" s="4" t="str">
        <f>IFERROR(IF(BR20="","",ROUND(((LINE2_DATA[[#This Row],[PRODUCED FT]]/LINE2_DATA[[#This Row],[PENT. PROD. CAP.]])*100),2)),"")</f>
        <v/>
      </c>
      <c r="CF20" s="125" t="str">
        <f>IF(LINE2_DATA[[#This Row],[DATE]]="","",75)</f>
        <v/>
      </c>
      <c r="CG20" s="125" t="str">
        <f>IF(LINE2_DATA[[#This Row],[DATE]]="","",10)</f>
        <v/>
      </c>
    </row>
    <row r="21" spans="1:85" ht="19.5" customHeight="1" x14ac:dyDescent="0.25">
      <c r="A21" s="19" t="str">
        <f t="shared" si="14"/>
        <v/>
      </c>
      <c r="B21" s="19" t="str">
        <f t="shared" si="15"/>
        <v/>
      </c>
      <c r="D21" s="26"/>
      <c r="E21" s="26"/>
      <c r="F21" s="26"/>
      <c r="G21" s="26"/>
      <c r="H21" s="97"/>
      <c r="I21" s="27"/>
      <c r="J21" s="8"/>
      <c r="K21" s="8"/>
      <c r="L21" s="8"/>
      <c r="M21" s="8"/>
      <c r="N21" s="8"/>
      <c r="O21" s="36"/>
      <c r="P21" s="4" t="str" cm="1">
        <f t="array" ref="P21">IFERROR(INDEX($A$13:$A$81,MATCH(0,COUNTIF($P$12:P20,$A$13:$A$81),0)),"")</f>
        <v/>
      </c>
      <c r="Q21" s="92" t="str">
        <f t="shared" si="16"/>
        <v/>
      </c>
      <c r="R21" s="93" t="str">
        <f t="shared" si="17"/>
        <v/>
      </c>
      <c r="S21" s="93" t="str">
        <f t="shared" si="18"/>
        <v/>
      </c>
      <c r="T21" s="93" t="str">
        <f t="shared" si="19"/>
        <v/>
      </c>
      <c r="U21" s="127" t="str">
        <f t="shared" si="0"/>
        <v/>
      </c>
      <c r="V21" s="46" t="str">
        <f t="shared" si="1"/>
        <v/>
      </c>
      <c r="W21" s="36"/>
      <c r="X21" s="18" t="str">
        <f t="array" ref="X21">IFERROR(IF(INDEX($H$13:$H$81,MATCH(0,COUNTIF($X$12:X20,$H$13:$H$81),0))=0,"",INDEX($H$13:$H$81,MATCH(0,COUNTIF($X$12:X20,$H$13:$H$81),0))),"")</f>
        <v/>
      </c>
      <c r="Y21" s="18" t="str">
        <f t="shared" si="2"/>
        <v/>
      </c>
      <c r="Z21" s="48" t="str">
        <f t="shared" si="20"/>
        <v/>
      </c>
      <c r="AA21" s="81"/>
      <c r="AB21" s="18" t="str">
        <f t="shared" si="21"/>
        <v/>
      </c>
      <c r="AC21" s="31" t="str">
        <f t="shared" si="22"/>
        <v/>
      </c>
      <c r="AD21" s="18" t="str">
        <f t="shared" si="23"/>
        <v/>
      </c>
      <c r="AE21" s="18" t="str">
        <f t="shared" si="24"/>
        <v/>
      </c>
      <c r="AF21" s="36"/>
      <c r="AG21" s="45" t="str">
        <f t="array" ref="AG21">IFERROR(IF(INDEX($B$13:$B$81,MATCH(0,COUNTIF($AG$12:AG20,$B$13:$B$81),0))=0,"",INDEX($B$13:$B$81,MATCH(0,COUNTIF($AG$12:AG20,$B$13:$B$81),0))),"")</f>
        <v/>
      </c>
      <c r="AH21" s="122" t="str">
        <f t="shared" si="3"/>
        <v/>
      </c>
      <c r="AI21" s="123" t="str">
        <f t="shared" si="4"/>
        <v/>
      </c>
      <c r="AJ21" s="102" t="str">
        <f>IFERROR(IF($AG21="","",SUMIFS([2]INPUTS!$F:$F,[2]INPUTS!$L:$L,$AG21,[2]INPUTS!$E:$E,$D$9)),"")</f>
        <v/>
      </c>
      <c r="AK21" s="12" t="str">
        <f t="shared" si="5"/>
        <v/>
      </c>
      <c r="AM21" s="109" t="str">
        <f t="shared" si="6"/>
        <v/>
      </c>
      <c r="AN21" s="108" t="str">
        <f t="shared" si="7"/>
        <v/>
      </c>
      <c r="AO21" s="101" t="str">
        <f>IF(AP21="","",_xlfn.XLOOKUP(CONCATENATE(AN21,"-",AP21),[3]INPUTS!$B:$B,[3]INPUTS!$N:$N))</f>
        <v/>
      </c>
      <c r="AP21" s="108" t="str">
        <f t="shared" si="8"/>
        <v/>
      </c>
      <c r="AQ21" s="99" t="str">
        <f>IF($F21="","",IF($L21="",_xlfn.XLOOKUP($D$9,[1]SCHE!$A:$A,[1]SCHE!$N:$N),$L21))</f>
        <v/>
      </c>
      <c r="AR21" s="99" t="str">
        <f t="shared" ref="AR21:AR81" si="36">IF($M21="",IF($F21="","",$F21),(($F21*-1)))</f>
        <v/>
      </c>
      <c r="AS21" s="47" t="str">
        <f t="shared" si="25"/>
        <v/>
      </c>
      <c r="AT21" s="9" t="str">
        <f t="shared" si="10"/>
        <v/>
      </c>
      <c r="AU21" s="94" t="str">
        <f>IF($AO21="","",IF($AT$3="",INDEX([3]INPUTS!$A:$BF,MATCH(CONCATENATE($AN21,"-",$AP21),[3]INPUTS!$B:$B,0),22),$AT$3))</f>
        <v/>
      </c>
      <c r="AV21" s="103" t="str">
        <f t="shared" si="11"/>
        <v/>
      </c>
      <c r="AW21" s="11" t="str">
        <f t="shared" si="12"/>
        <v/>
      </c>
      <c r="AX21" s="104" t="str">
        <f t="shared" si="26"/>
        <v/>
      </c>
      <c r="AY21" s="110" t="str">
        <f t="shared" si="13"/>
        <v/>
      </c>
      <c r="BE21" s="19" t="str">
        <f t="shared" si="27"/>
        <v/>
      </c>
      <c r="BR21" s="1" t="str">
        <f t="array" ref="BR21">IFERROR(IF(INDEX($B$13:$B$81,MATCH(0,COUNTIF($BR$12:BR20,$B$13:$B$81),0))=0,"",INDEX($B$13:$B$81,MATCH(0,COUNTIF($BR$12:BR20,$B$13:$B$81),0))),"")</f>
        <v/>
      </c>
      <c r="BS21" s="124" t="str">
        <f t="shared" si="28"/>
        <v/>
      </c>
      <c r="BT21" s="125" t="str">
        <f t="shared" si="29"/>
        <v/>
      </c>
      <c r="BU21" s="4" t="str">
        <f>IF(LINE2_DATA[[#This Row],[OP]]="","",INDEX(Sheet1!$G$2:$I$10,MATCH(LINE2_DATA[[#This Row],[OP]],Sheet1!$G$2:$G$10,0),3))</f>
        <v/>
      </c>
      <c r="BV21" s="4" t="str">
        <f t="shared" si="30"/>
        <v/>
      </c>
      <c r="BW21" s="4" t="str">
        <f t="shared" si="31"/>
        <v/>
      </c>
      <c r="BX21" s="4" t="str">
        <f t="shared" si="32"/>
        <v/>
      </c>
      <c r="BY21" s="4" t="str">
        <f t="shared" si="33"/>
        <v/>
      </c>
      <c r="BZ21" s="4" t="str">
        <f>IF(BR21="","",SUM(LINE2_DATA[[#This Row],[PRODUCED LBS]],LINE2_DATA[[#This Row],[SCRAP]]))</f>
        <v/>
      </c>
      <c r="CA21" s="4" t="str">
        <f>IF(BR21="","",ROUND(((LINE2_DATA[[#This Row],[SCRAP]]/LINE2_DATA[[#This Row],[TOTAL LBS]])*100),2))</f>
        <v/>
      </c>
      <c r="CB21" s="4" t="str">
        <f t="shared" si="34"/>
        <v/>
      </c>
      <c r="CC21" s="4" t="str">
        <f t="shared" si="35"/>
        <v/>
      </c>
      <c r="CD21" s="4" t="str">
        <f>IF(LINE2_DATA[[#This Row],[EFFECTIVE SPEED]]="","",(LINE2_DATA[[#This Row],[EFFECTIVE SPEED]]*LINE2_DATA[[#This Row],[AVAILABLE MINS]]))</f>
        <v/>
      </c>
      <c r="CE21" s="4" t="str">
        <f>IFERROR(IF(BR21="","",ROUND(((LINE2_DATA[[#This Row],[PRODUCED FT]]/LINE2_DATA[[#This Row],[PENT. PROD. CAP.]])*100),2)),"")</f>
        <v/>
      </c>
      <c r="CF21" s="125" t="str">
        <f>IF(LINE2_DATA[[#This Row],[DATE]]="","",75)</f>
        <v/>
      </c>
      <c r="CG21" s="125" t="str">
        <f>IF(LINE2_DATA[[#This Row],[DATE]]="","",10)</f>
        <v/>
      </c>
    </row>
    <row r="22" spans="1:85" ht="19.5" customHeight="1" x14ac:dyDescent="0.25">
      <c r="A22" s="19" t="str">
        <f t="shared" si="14"/>
        <v/>
      </c>
      <c r="B22" s="19" t="str">
        <f t="shared" si="15"/>
        <v/>
      </c>
      <c r="D22" s="26"/>
      <c r="E22" s="26"/>
      <c r="F22" s="26"/>
      <c r="G22" s="26"/>
      <c r="H22" s="97"/>
      <c r="I22" s="27"/>
      <c r="J22" s="8"/>
      <c r="K22" s="8"/>
      <c r="L22" s="8"/>
      <c r="M22" s="8"/>
      <c r="N22" s="8"/>
      <c r="O22" s="36"/>
      <c r="P22" s="4" t="str" cm="1">
        <f t="array" ref="P22">IFERROR(INDEX($A$13:$A$81,MATCH(0,COUNTIF($P$12:P21,$A$13:$A$81),0)),"")</f>
        <v/>
      </c>
      <c r="Q22" s="92" t="str">
        <f t="shared" si="16"/>
        <v/>
      </c>
      <c r="R22" s="93" t="str">
        <f t="shared" si="17"/>
        <v/>
      </c>
      <c r="S22" s="93" t="str">
        <f t="shared" si="18"/>
        <v/>
      </c>
      <c r="T22" s="93" t="str">
        <f t="shared" si="19"/>
        <v/>
      </c>
      <c r="U22" s="127" t="str">
        <f t="shared" si="0"/>
        <v/>
      </c>
      <c r="V22" s="46" t="str">
        <f t="shared" si="1"/>
        <v/>
      </c>
      <c r="W22" s="36"/>
      <c r="X22" s="18" t="str">
        <f t="array" ref="X22">IFERROR(IF(INDEX($H$13:$H$81,MATCH(0,COUNTIF($X$12:X21,$H$13:$H$81),0))=0,"",INDEX($H$13:$H$81,MATCH(0,COUNTIF($X$12:X21,$H$13:$H$81),0))),"")</f>
        <v/>
      </c>
      <c r="Y22" s="18" t="str">
        <f t="shared" si="2"/>
        <v/>
      </c>
      <c r="Z22" s="48" t="str">
        <f t="shared" si="20"/>
        <v/>
      </c>
      <c r="AA22" s="81"/>
      <c r="AB22" s="18" t="str">
        <f t="shared" si="21"/>
        <v/>
      </c>
      <c r="AC22" s="31" t="str">
        <f t="shared" si="22"/>
        <v/>
      </c>
      <c r="AD22" s="18" t="str">
        <f t="shared" si="23"/>
        <v/>
      </c>
      <c r="AE22" s="18" t="str">
        <f t="shared" si="24"/>
        <v/>
      </c>
      <c r="AF22" s="36"/>
      <c r="AG22" s="45" t="str">
        <f t="array" ref="AG22">IFERROR(IF(INDEX($B$13:$B$81,MATCH(0,COUNTIF($AG$12:AG21,$B$13:$B$81),0))=0,"",INDEX($B$13:$B$81,MATCH(0,COUNTIF($AG$12:AG21,$B$13:$B$81),0))),"")</f>
        <v/>
      </c>
      <c r="AH22" s="122" t="str">
        <f t="shared" si="3"/>
        <v/>
      </c>
      <c r="AI22" s="123" t="str">
        <f t="shared" si="4"/>
        <v/>
      </c>
      <c r="AJ22" s="102" t="str">
        <f>IFERROR(IF($AG22="","",SUMIFS([2]INPUTS!$F:$F,[2]INPUTS!$L:$L,$AG22,[2]INPUTS!$E:$E,$D$9)),"")</f>
        <v/>
      </c>
      <c r="AK22" s="12" t="str">
        <f t="shared" si="5"/>
        <v/>
      </c>
      <c r="AM22" s="109" t="str">
        <f t="shared" si="6"/>
        <v/>
      </c>
      <c r="AN22" s="108" t="str">
        <f t="shared" si="7"/>
        <v/>
      </c>
      <c r="AO22" s="101" t="str">
        <f>IF(AP22="","",_xlfn.XLOOKUP(CONCATENATE(AN22,"-",AP22),[3]INPUTS!$B:$B,[3]INPUTS!$N:$N))</f>
        <v/>
      </c>
      <c r="AP22" s="108" t="str">
        <f t="shared" si="8"/>
        <v/>
      </c>
      <c r="AQ22" s="99" t="str">
        <f>IF($F22="","",IF($L22="",_xlfn.XLOOKUP($D$9,[1]SCHE!$A:$A,[1]SCHE!$N:$N),$L22))</f>
        <v/>
      </c>
      <c r="AR22" s="99" t="str">
        <f t="shared" si="36"/>
        <v/>
      </c>
      <c r="AS22" s="47" t="str">
        <f t="shared" si="25"/>
        <v/>
      </c>
      <c r="AT22" s="9" t="str">
        <f t="shared" si="10"/>
        <v/>
      </c>
      <c r="AU22" s="94" t="str">
        <f>IF($AO22="","",IF($AT$3="",INDEX([3]INPUTS!$A:$BF,MATCH(CONCATENATE($AN22,"-",$AP22),[3]INPUTS!$B:$B,0),22),$AT$3))</f>
        <v/>
      </c>
      <c r="AV22" s="103" t="str">
        <f t="shared" si="11"/>
        <v/>
      </c>
      <c r="AW22" s="11" t="str">
        <f t="shared" si="12"/>
        <v/>
      </c>
      <c r="AX22" s="104" t="str">
        <f t="shared" si="26"/>
        <v/>
      </c>
      <c r="AY22" s="110" t="str">
        <f t="shared" ref="AY22:AY64" si="37">IF($J22="","",$J22)</f>
        <v/>
      </c>
      <c r="BE22" s="19" t="str">
        <f t="shared" si="27"/>
        <v/>
      </c>
      <c r="BR22" s="1" t="str">
        <f t="array" ref="BR22">IFERROR(IF(INDEX($B$13:$B$81,MATCH(0,COUNTIF($BR$12:BR21,$B$13:$B$81),0))=0,"",INDEX($B$13:$B$81,MATCH(0,COUNTIF($BR$12:BR21,$B$13:$B$81),0))),"")</f>
        <v/>
      </c>
      <c r="BS22" s="124" t="str">
        <f t="shared" si="28"/>
        <v/>
      </c>
      <c r="BT22" s="125" t="str">
        <f t="shared" si="29"/>
        <v/>
      </c>
      <c r="BU22" s="4" t="str">
        <f>IF(LINE2_DATA[[#This Row],[OP]]="","",INDEX(Sheet1!$G$2:$I$10,MATCH(LINE2_DATA[[#This Row],[OP]],Sheet1!$G$2:$G$10,0),3))</f>
        <v/>
      </c>
      <c r="BV22" s="4" t="str">
        <f t="shared" si="30"/>
        <v/>
      </c>
      <c r="BW22" s="4" t="str">
        <f t="shared" si="31"/>
        <v/>
      </c>
      <c r="BX22" s="4" t="str">
        <f t="shared" si="32"/>
        <v/>
      </c>
      <c r="BY22" s="4" t="str">
        <f t="shared" si="33"/>
        <v/>
      </c>
      <c r="BZ22" s="4" t="str">
        <f>IF(BR22="","",SUM(LINE2_DATA[[#This Row],[PRODUCED LBS]],LINE2_DATA[[#This Row],[SCRAP]]))</f>
        <v/>
      </c>
      <c r="CA22" s="4" t="str">
        <f>IF(BR22="","",ROUND(((LINE2_DATA[[#This Row],[SCRAP]]/LINE2_DATA[[#This Row],[TOTAL LBS]])*100),2))</f>
        <v/>
      </c>
      <c r="CB22" s="4" t="str">
        <f t="shared" si="34"/>
        <v/>
      </c>
      <c r="CC22" s="4" t="str">
        <f t="shared" si="35"/>
        <v/>
      </c>
      <c r="CD22" s="4" t="str">
        <f>IF(LINE2_DATA[[#This Row],[EFFECTIVE SPEED]]="","",(LINE2_DATA[[#This Row],[EFFECTIVE SPEED]]*LINE2_DATA[[#This Row],[AVAILABLE MINS]]))</f>
        <v/>
      </c>
      <c r="CE22" s="4" t="str">
        <f>IFERROR(IF(BR22="","",ROUND(((LINE2_DATA[[#This Row],[PRODUCED FT]]/LINE2_DATA[[#This Row],[PENT. PROD. CAP.]])*100),2)),"")</f>
        <v/>
      </c>
      <c r="CF22" s="125" t="str">
        <f>IF(LINE2_DATA[[#This Row],[DATE]]="","",75)</f>
        <v/>
      </c>
      <c r="CG22" s="125" t="str">
        <f>IF(LINE2_DATA[[#This Row],[DATE]]="","",10)</f>
        <v/>
      </c>
    </row>
    <row r="23" spans="1:85" ht="19.5" customHeight="1" x14ac:dyDescent="0.25">
      <c r="A23" s="19" t="str">
        <f t="shared" si="14"/>
        <v/>
      </c>
      <c r="B23" s="19" t="str">
        <f t="shared" si="15"/>
        <v/>
      </c>
      <c r="D23" s="26"/>
      <c r="E23" s="26"/>
      <c r="F23" s="26"/>
      <c r="G23" s="26"/>
      <c r="H23" s="97"/>
      <c r="I23" s="27"/>
      <c r="J23" s="8"/>
      <c r="K23" s="8"/>
      <c r="L23" s="8"/>
      <c r="M23" s="8"/>
      <c r="N23" s="8"/>
      <c r="O23" s="36"/>
      <c r="P23" s="4" t="str" cm="1">
        <f t="array" ref="P23">IFERROR(INDEX($A$13:$A$81,MATCH(0,COUNTIF($P$12:P22,$A$13:$A$81),0)),"")</f>
        <v/>
      </c>
      <c r="Q23" s="92" t="str">
        <f t="shared" si="16"/>
        <v/>
      </c>
      <c r="R23" s="93" t="str">
        <f t="shared" si="17"/>
        <v/>
      </c>
      <c r="S23" s="93" t="str">
        <f t="shared" si="18"/>
        <v/>
      </c>
      <c r="T23" s="93" t="str">
        <f t="shared" si="19"/>
        <v/>
      </c>
      <c r="U23" s="127" t="str">
        <f t="shared" si="0"/>
        <v/>
      </c>
      <c r="V23" s="46" t="str">
        <f t="shared" si="1"/>
        <v/>
      </c>
      <c r="W23" s="36"/>
      <c r="X23" s="18" t="str">
        <f t="array" ref="X23">IFERROR(IF(INDEX($H$13:$H$81,MATCH(0,COUNTIF($X$12:X22,$H$13:$H$81),0))=0,"",INDEX($H$13:$H$81,MATCH(0,COUNTIF($X$12:X22,$H$13:$H$81),0))),"")</f>
        <v/>
      </c>
      <c r="Y23" s="18" t="str">
        <f t="shared" si="2"/>
        <v/>
      </c>
      <c r="Z23" s="48" t="str">
        <f t="shared" si="20"/>
        <v/>
      </c>
      <c r="AA23" s="81"/>
      <c r="AB23" s="18" t="str">
        <f t="shared" si="21"/>
        <v/>
      </c>
      <c r="AC23" s="31" t="str">
        <f t="shared" si="22"/>
        <v/>
      </c>
      <c r="AD23" s="18" t="str">
        <f t="shared" si="23"/>
        <v/>
      </c>
      <c r="AE23" s="18" t="str">
        <f t="shared" si="24"/>
        <v/>
      </c>
      <c r="AF23" s="36"/>
      <c r="AG23" s="45" t="str">
        <f t="array" ref="AG23">IFERROR(IF(INDEX($B$13:$B$81,MATCH(0,COUNTIF($AG$12:AG22,$B$13:$B$81),0))=0,"",INDEX($B$13:$B$81,MATCH(0,COUNTIF($AG$12:AG22,$B$13:$B$81),0))),"")</f>
        <v/>
      </c>
      <c r="AH23" s="122" t="str">
        <f t="shared" si="3"/>
        <v/>
      </c>
      <c r="AI23" s="123" t="str">
        <f t="shared" si="4"/>
        <v/>
      </c>
      <c r="AJ23" s="102" t="str">
        <f>IFERROR(IF($AG23="","",SUMIFS([2]INPUTS!$F:$F,[2]INPUTS!$L:$L,$AG23,[2]INPUTS!$E:$E,$D$9)),"")</f>
        <v/>
      </c>
      <c r="AK23" s="12" t="str">
        <f t="shared" si="5"/>
        <v/>
      </c>
      <c r="AM23" s="109" t="str">
        <f t="shared" si="6"/>
        <v/>
      </c>
      <c r="AN23" s="108" t="str">
        <f t="shared" si="7"/>
        <v/>
      </c>
      <c r="AO23" s="101" t="str">
        <f>IF(AP23="","",_xlfn.XLOOKUP(CONCATENATE(AN23,"-",AP23),[3]INPUTS!$B:$B,[3]INPUTS!$N:$N))</f>
        <v/>
      </c>
      <c r="AP23" s="108" t="str">
        <f t="shared" si="8"/>
        <v/>
      </c>
      <c r="AQ23" s="99" t="str">
        <f>IF($F23="","",IF($L23="",_xlfn.XLOOKUP($D$9,[1]SCHE!$A:$A,[1]SCHE!$N:$N),$L23))</f>
        <v/>
      </c>
      <c r="AR23" s="99" t="str">
        <f t="shared" si="36"/>
        <v/>
      </c>
      <c r="AS23" s="47" t="str">
        <f t="shared" si="25"/>
        <v/>
      </c>
      <c r="AT23" s="9" t="str">
        <f t="shared" si="10"/>
        <v/>
      </c>
      <c r="AU23" s="94" t="str">
        <f>IF($AO23="","",IF($AT$3="",INDEX([3]INPUTS!$A:$BF,MATCH(CONCATENATE($AN23,"-",$AP23),[3]INPUTS!$B:$B,0),22),$AT$3))</f>
        <v/>
      </c>
      <c r="AV23" s="103" t="str">
        <f t="shared" si="11"/>
        <v/>
      </c>
      <c r="AW23" s="11" t="str">
        <f t="shared" si="12"/>
        <v/>
      </c>
      <c r="AX23" s="104" t="str">
        <f t="shared" si="26"/>
        <v/>
      </c>
      <c r="AY23" s="110" t="str">
        <f t="shared" si="37"/>
        <v/>
      </c>
      <c r="BE23" s="19" t="str">
        <f t="shared" si="27"/>
        <v/>
      </c>
      <c r="BR23" s="1" t="str">
        <f t="array" ref="BR23">IFERROR(IF(INDEX($B$13:$B$81,MATCH(0,COUNTIF($BR$12:BR22,$B$13:$B$81),0))=0,"",INDEX($B$13:$B$81,MATCH(0,COUNTIF($BR$12:BR22,$B$13:$B$81),0))),"")</f>
        <v/>
      </c>
      <c r="BS23" s="124" t="str">
        <f t="shared" si="28"/>
        <v/>
      </c>
      <c r="BT23" s="125" t="str">
        <f t="shared" si="29"/>
        <v/>
      </c>
      <c r="BU23" s="4" t="str">
        <f>IF(LINE2_DATA[[#This Row],[OP]]="","",INDEX(Sheet1!$G$2:$I$10,MATCH(LINE2_DATA[[#This Row],[OP]],Sheet1!$G$2:$G$10,0),3))</f>
        <v/>
      </c>
      <c r="BV23" s="4" t="str">
        <f t="shared" si="30"/>
        <v/>
      </c>
      <c r="BW23" s="4" t="str">
        <f t="shared" si="31"/>
        <v/>
      </c>
      <c r="BX23" s="4" t="str">
        <f t="shared" si="32"/>
        <v/>
      </c>
      <c r="BY23" s="4" t="str">
        <f t="shared" si="33"/>
        <v/>
      </c>
      <c r="BZ23" s="4" t="str">
        <f>IF(BR23="","",SUM(LINE2_DATA[[#This Row],[PRODUCED LBS]],LINE2_DATA[[#This Row],[SCRAP]]))</f>
        <v/>
      </c>
      <c r="CA23" s="4" t="str">
        <f>IF(BR23="","",ROUND(((LINE2_DATA[[#This Row],[SCRAP]]/LINE2_DATA[[#This Row],[TOTAL LBS]])*100),2))</f>
        <v/>
      </c>
      <c r="CB23" s="4" t="str">
        <f t="shared" si="34"/>
        <v/>
      </c>
      <c r="CC23" s="4" t="str">
        <f t="shared" si="35"/>
        <v/>
      </c>
      <c r="CD23" s="4" t="str">
        <f>IF(LINE2_DATA[[#This Row],[EFFECTIVE SPEED]]="","",(LINE2_DATA[[#This Row],[EFFECTIVE SPEED]]*LINE2_DATA[[#This Row],[AVAILABLE MINS]]))</f>
        <v/>
      </c>
      <c r="CE23" s="4" t="str">
        <f>IFERROR(IF(BR23="","",ROUND(((LINE2_DATA[[#This Row],[PRODUCED FT]]/LINE2_DATA[[#This Row],[PENT. PROD. CAP.]])*100),2)),"")</f>
        <v/>
      </c>
      <c r="CF23" s="125" t="str">
        <f>IF(LINE2_DATA[[#This Row],[DATE]]="","",75)</f>
        <v/>
      </c>
      <c r="CG23" s="125" t="str">
        <f>IF(LINE2_DATA[[#This Row],[DATE]]="","",10)</f>
        <v/>
      </c>
    </row>
    <row r="24" spans="1:85" ht="19.5" customHeight="1" x14ac:dyDescent="0.25">
      <c r="A24" s="19" t="str">
        <f t="shared" si="14"/>
        <v/>
      </c>
      <c r="B24" s="19" t="str">
        <f t="shared" si="15"/>
        <v/>
      </c>
      <c r="D24" s="26"/>
      <c r="E24" s="26"/>
      <c r="F24" s="26"/>
      <c r="G24" s="26"/>
      <c r="H24" s="97"/>
      <c r="I24" s="27"/>
      <c r="J24" s="8"/>
      <c r="K24" s="8"/>
      <c r="L24" s="8"/>
      <c r="M24" s="8"/>
      <c r="N24" s="8"/>
      <c r="O24" s="36"/>
      <c r="P24" s="4" t="str" cm="1">
        <f t="array" ref="P24">IFERROR(INDEX($A$13:$A$81,MATCH(0,COUNTIF($P$12:P23,$A$13:$A$81),0)),"")</f>
        <v/>
      </c>
      <c r="Q24" s="92" t="str">
        <f t="shared" si="16"/>
        <v/>
      </c>
      <c r="R24" s="93" t="str">
        <f t="shared" si="17"/>
        <v/>
      </c>
      <c r="S24" s="93" t="str">
        <f t="shared" si="18"/>
        <v/>
      </c>
      <c r="T24" s="93" t="str">
        <f t="shared" si="19"/>
        <v/>
      </c>
      <c r="U24" s="127" t="str">
        <f t="shared" si="0"/>
        <v/>
      </c>
      <c r="V24" s="46" t="str">
        <f t="shared" si="1"/>
        <v/>
      </c>
      <c r="W24" s="36"/>
      <c r="X24" s="18" t="str">
        <f t="array" ref="X24">IFERROR(IF(INDEX($H$13:$H$81,MATCH(0,COUNTIF($X$12:X23,$H$13:$H$81),0))=0,"",INDEX($H$13:$H$81,MATCH(0,COUNTIF($X$12:X23,$H$13:$H$81),0))),"")</f>
        <v/>
      </c>
      <c r="Y24" s="18" t="str">
        <f t="shared" si="2"/>
        <v/>
      </c>
      <c r="Z24" s="48" t="str">
        <f t="shared" si="20"/>
        <v/>
      </c>
      <c r="AA24" s="81"/>
      <c r="AB24" s="18" t="str">
        <f t="shared" si="21"/>
        <v/>
      </c>
      <c r="AC24" s="31" t="str">
        <f t="shared" si="22"/>
        <v/>
      </c>
      <c r="AD24" s="18" t="str">
        <f t="shared" si="23"/>
        <v/>
      </c>
      <c r="AE24" s="18" t="str">
        <f t="shared" si="24"/>
        <v/>
      </c>
      <c r="AF24" s="36"/>
      <c r="AG24" s="45" t="str">
        <f t="array" ref="AG24">IFERROR(IF(INDEX($B$13:$B$81,MATCH(0,COUNTIF($AG$12:AG23,$B$13:$B$81),0))=0,"",INDEX($B$13:$B$81,MATCH(0,COUNTIF($AG$12:AG23,$B$13:$B$81),0))),"")</f>
        <v/>
      </c>
      <c r="AH24" s="122" t="str">
        <f t="shared" si="3"/>
        <v/>
      </c>
      <c r="AI24" s="123" t="str">
        <f t="shared" si="4"/>
        <v/>
      </c>
      <c r="AJ24" s="102" t="str">
        <f>IFERROR(IF($AG24="","",SUMIFS([2]INPUTS!$F:$F,[2]INPUTS!$L:$L,$AG24,[2]INPUTS!$E:$E,$D$9)),"")</f>
        <v/>
      </c>
      <c r="AK24" s="12" t="str">
        <f t="shared" si="5"/>
        <v/>
      </c>
      <c r="AM24" s="109" t="str">
        <f t="shared" si="6"/>
        <v/>
      </c>
      <c r="AN24" s="108" t="str">
        <f t="shared" si="7"/>
        <v/>
      </c>
      <c r="AO24" s="101" t="str">
        <f>IF(AP24="","",_xlfn.XLOOKUP(CONCATENATE(AN24,"-",AP24),[3]INPUTS!$B:$B,[3]INPUTS!$N:$N))</f>
        <v/>
      </c>
      <c r="AP24" s="108" t="str">
        <f t="shared" si="8"/>
        <v/>
      </c>
      <c r="AQ24" s="99" t="str">
        <f>IF($F24="","",IF($L24="",_xlfn.XLOOKUP($D$9,[1]SCHE!$A:$A,[1]SCHE!$N:$N),$L24))</f>
        <v/>
      </c>
      <c r="AR24" s="99" t="str">
        <f t="shared" si="36"/>
        <v/>
      </c>
      <c r="AS24" s="47" t="str">
        <f t="shared" si="25"/>
        <v/>
      </c>
      <c r="AT24" s="9" t="str">
        <f t="shared" si="10"/>
        <v/>
      </c>
      <c r="AU24" s="94" t="str">
        <f>IF($AO24="","",IF($AT$3="",INDEX([3]INPUTS!$A:$BF,MATCH(CONCATENATE($AN24,"-",$AP24),[3]INPUTS!$B:$B,0),22),$AT$3))</f>
        <v/>
      </c>
      <c r="AV24" s="103" t="str">
        <f t="shared" si="11"/>
        <v/>
      </c>
      <c r="AW24" s="11" t="str">
        <f t="shared" si="12"/>
        <v/>
      </c>
      <c r="AX24" s="104" t="str">
        <f t="shared" si="26"/>
        <v/>
      </c>
      <c r="AY24" s="110" t="str">
        <f t="shared" si="37"/>
        <v/>
      </c>
      <c r="BE24" s="19" t="str">
        <f t="shared" si="27"/>
        <v/>
      </c>
      <c r="BR24" s="1" t="str">
        <f t="array" ref="BR24">IFERROR(IF(INDEX($B$13:$B$81,MATCH(0,COUNTIF($BR$12:BR23,$B$13:$B$81),0))=0,"",INDEX($B$13:$B$81,MATCH(0,COUNTIF($BR$12:BR23,$B$13:$B$81),0))),"")</f>
        <v/>
      </c>
      <c r="BS24" s="124" t="str">
        <f t="shared" si="28"/>
        <v/>
      </c>
      <c r="BT24" s="125" t="str">
        <f t="shared" si="29"/>
        <v/>
      </c>
      <c r="BU24" s="4" t="str">
        <f>IF(LINE2_DATA[[#This Row],[OP]]="","",INDEX(Sheet1!$G$2:$I$10,MATCH(LINE2_DATA[[#This Row],[OP]],Sheet1!$G$2:$G$10,0),3))</f>
        <v/>
      </c>
      <c r="BV24" s="4" t="str">
        <f t="shared" si="30"/>
        <v/>
      </c>
      <c r="BW24" s="4" t="str">
        <f t="shared" si="31"/>
        <v/>
      </c>
      <c r="BX24" s="4" t="str">
        <f t="shared" si="32"/>
        <v/>
      </c>
      <c r="BY24" s="4" t="str">
        <f t="shared" si="33"/>
        <v/>
      </c>
      <c r="BZ24" s="4" t="str">
        <f>IF(BR24="","",SUM(LINE2_DATA[[#This Row],[PRODUCED LBS]],LINE2_DATA[[#This Row],[SCRAP]]))</f>
        <v/>
      </c>
      <c r="CA24" s="4" t="str">
        <f>IF(BR24="","",ROUND(((LINE2_DATA[[#This Row],[SCRAP]]/LINE2_DATA[[#This Row],[TOTAL LBS]])*100),2))</f>
        <v/>
      </c>
      <c r="CB24" s="4" t="str">
        <f t="shared" si="34"/>
        <v/>
      </c>
      <c r="CC24" s="4" t="str">
        <f t="shared" si="35"/>
        <v/>
      </c>
      <c r="CD24" s="4" t="str">
        <f>IF(LINE2_DATA[[#This Row],[EFFECTIVE SPEED]]="","",(LINE2_DATA[[#This Row],[EFFECTIVE SPEED]]*LINE2_DATA[[#This Row],[AVAILABLE MINS]]))</f>
        <v/>
      </c>
      <c r="CE24" s="4" t="str">
        <f>IFERROR(IF(BR24="","",ROUND(((LINE2_DATA[[#This Row],[PRODUCED FT]]/LINE2_DATA[[#This Row],[PENT. PROD. CAP.]])*100),2)),"")</f>
        <v/>
      </c>
      <c r="CF24" s="125" t="str">
        <f>IF(LINE2_DATA[[#This Row],[DATE]]="","",75)</f>
        <v/>
      </c>
      <c r="CG24" s="125" t="str">
        <f>IF(LINE2_DATA[[#This Row],[DATE]]="","",10)</f>
        <v/>
      </c>
    </row>
    <row r="25" spans="1:85" ht="19.5" customHeight="1" x14ac:dyDescent="0.25">
      <c r="A25" s="19" t="str">
        <f t="shared" si="14"/>
        <v/>
      </c>
      <c r="B25" s="19" t="str">
        <f t="shared" si="15"/>
        <v/>
      </c>
      <c r="D25" s="26"/>
      <c r="E25" s="26"/>
      <c r="F25" s="26"/>
      <c r="G25" s="26"/>
      <c r="H25" s="97"/>
      <c r="I25" s="27"/>
      <c r="J25" s="8"/>
      <c r="K25" s="8"/>
      <c r="L25" s="8"/>
      <c r="M25" s="8"/>
      <c r="N25" s="8"/>
      <c r="O25" s="36"/>
      <c r="P25" s="4" t="str" cm="1">
        <f t="array" ref="P25">IFERROR(INDEX($A$13:$A$81,MATCH(0,COUNTIF($P$12:P24,$A$13:$A$81),0)),"")</f>
        <v/>
      </c>
      <c r="Q25" s="92" t="str">
        <f t="shared" si="16"/>
        <v/>
      </c>
      <c r="R25" s="93" t="str">
        <f t="shared" si="17"/>
        <v/>
      </c>
      <c r="S25" s="93" t="str">
        <f t="shared" si="18"/>
        <v/>
      </c>
      <c r="T25" s="93" t="str">
        <f t="shared" si="19"/>
        <v/>
      </c>
      <c r="U25" s="127" t="str">
        <f t="shared" si="0"/>
        <v/>
      </c>
      <c r="V25" s="46" t="str">
        <f t="shared" si="1"/>
        <v/>
      </c>
      <c r="W25" s="36"/>
      <c r="X25" s="18" t="str">
        <f t="array" ref="X25">IFERROR(IF(INDEX($H$13:$H$81,MATCH(0,COUNTIF($X$12:X24,$H$13:$H$81),0))=0,"",INDEX($H$13:$H$81,MATCH(0,COUNTIF($X$12:X24,$H$13:$H$81),0))),"")</f>
        <v/>
      </c>
      <c r="Y25" s="18" t="str">
        <f t="shared" si="2"/>
        <v/>
      </c>
      <c r="Z25" s="48" t="str">
        <f t="shared" si="20"/>
        <v/>
      </c>
      <c r="AA25" s="81"/>
      <c r="AB25" s="18" t="str">
        <f t="shared" si="21"/>
        <v/>
      </c>
      <c r="AC25" s="31" t="str">
        <f t="shared" si="22"/>
        <v/>
      </c>
      <c r="AD25" s="18" t="str">
        <f t="shared" si="23"/>
        <v/>
      </c>
      <c r="AE25" s="18" t="str">
        <f t="shared" si="24"/>
        <v/>
      </c>
      <c r="AF25" s="36"/>
      <c r="AG25" s="45" t="str">
        <f t="array" ref="AG25">IFERROR(IF(INDEX($B$13:$B$81,MATCH(0,COUNTIF($AG$12:AG24,$B$13:$B$81),0))=0,"",INDEX($B$13:$B$81,MATCH(0,COUNTIF($AG$12:AG24,$B$13:$B$81),0))),"")</f>
        <v/>
      </c>
      <c r="AH25" s="122" t="str">
        <f t="shared" si="3"/>
        <v/>
      </c>
      <c r="AI25" s="123" t="str">
        <f t="shared" si="4"/>
        <v/>
      </c>
      <c r="AJ25" s="102" t="str">
        <f>IFERROR(IF($AG25="","",SUMIFS([2]INPUTS!$F:$F,[2]INPUTS!$L:$L,$AG25,[2]INPUTS!$E:$E,$D$9)),"")</f>
        <v/>
      </c>
      <c r="AK25" s="12" t="str">
        <f t="shared" si="5"/>
        <v/>
      </c>
      <c r="AM25" s="109" t="str">
        <f t="shared" si="6"/>
        <v/>
      </c>
      <c r="AN25" s="108" t="str">
        <f t="shared" si="7"/>
        <v/>
      </c>
      <c r="AO25" s="101" t="str">
        <f>IF(AP25="","",_xlfn.XLOOKUP(CONCATENATE(AN25,"-",AP25),[3]INPUTS!$B:$B,[3]INPUTS!$N:$N))</f>
        <v/>
      </c>
      <c r="AP25" s="108" t="str">
        <f t="shared" si="8"/>
        <v/>
      </c>
      <c r="AQ25" s="99" t="str">
        <f>IF($F25="","",IF($L25="",_xlfn.XLOOKUP($D$9,[1]SCHE!$A:$A,[1]SCHE!$N:$N),$L25))</f>
        <v/>
      </c>
      <c r="AR25" s="99" t="str">
        <f t="shared" si="36"/>
        <v/>
      </c>
      <c r="AS25" s="47" t="str">
        <f t="shared" si="25"/>
        <v/>
      </c>
      <c r="AT25" s="9" t="str">
        <f t="shared" si="10"/>
        <v/>
      </c>
      <c r="AU25" s="94" t="str">
        <f>IF($AO25="","",IF($AT$3="",INDEX([3]INPUTS!$A:$BF,MATCH(CONCATENATE($AN25,"-",$AP25),[3]INPUTS!$B:$B,0),22),$AT$3))</f>
        <v/>
      </c>
      <c r="AV25" s="103" t="str">
        <f t="shared" si="11"/>
        <v/>
      </c>
      <c r="AW25" s="11" t="str">
        <f t="shared" si="12"/>
        <v/>
      </c>
      <c r="AX25" s="104" t="str">
        <f t="shared" si="26"/>
        <v/>
      </c>
      <c r="AY25" s="110" t="str">
        <f t="shared" si="37"/>
        <v/>
      </c>
      <c r="BE25" s="19" t="str">
        <f t="shared" si="27"/>
        <v/>
      </c>
      <c r="BR25" s="1" t="str">
        <f t="array" ref="BR25">IFERROR(IF(INDEX($B$13:$B$81,MATCH(0,COUNTIF($BR$12:BR24,$B$13:$B$81),0))=0,"",INDEX($B$13:$B$81,MATCH(0,COUNTIF($BR$12:BR24,$B$13:$B$81),0))),"")</f>
        <v/>
      </c>
      <c r="BS25" s="124" t="str">
        <f t="shared" si="28"/>
        <v/>
      </c>
      <c r="BT25" s="125" t="str">
        <f t="shared" si="29"/>
        <v/>
      </c>
      <c r="BU25" s="4" t="str">
        <f>IF(LINE2_DATA[[#This Row],[OP]]="","",INDEX(Sheet1!$G$2:$I$10,MATCH(LINE2_DATA[[#This Row],[OP]],Sheet1!$G$2:$G$10,0),3))</f>
        <v/>
      </c>
      <c r="BV25" s="4" t="str">
        <f t="shared" si="30"/>
        <v/>
      </c>
      <c r="BW25" s="4" t="str">
        <f t="shared" si="31"/>
        <v/>
      </c>
      <c r="BX25" s="4" t="str">
        <f t="shared" si="32"/>
        <v/>
      </c>
      <c r="BY25" s="4" t="str">
        <f t="shared" si="33"/>
        <v/>
      </c>
      <c r="BZ25" s="4" t="str">
        <f>IF(BR25="","",SUM(LINE2_DATA[[#This Row],[PRODUCED LBS]],LINE2_DATA[[#This Row],[SCRAP]]))</f>
        <v/>
      </c>
      <c r="CA25" s="4" t="str">
        <f>IF(BR25="","",ROUND(((LINE2_DATA[[#This Row],[SCRAP]]/LINE2_DATA[[#This Row],[TOTAL LBS]])*100),2))</f>
        <v/>
      </c>
      <c r="CB25" s="4" t="str">
        <f t="shared" si="34"/>
        <v/>
      </c>
      <c r="CC25" s="4" t="str">
        <f t="shared" si="35"/>
        <v/>
      </c>
      <c r="CD25" s="4" t="str">
        <f>IF(LINE2_DATA[[#This Row],[EFFECTIVE SPEED]]="","",(LINE2_DATA[[#This Row],[EFFECTIVE SPEED]]*LINE2_DATA[[#This Row],[AVAILABLE MINS]]))</f>
        <v/>
      </c>
      <c r="CE25" s="4" t="str">
        <f>IFERROR(IF(BR25="","",ROUND(((LINE2_DATA[[#This Row],[PRODUCED FT]]/LINE2_DATA[[#This Row],[PENT. PROD. CAP.]])*100),2)),"")</f>
        <v/>
      </c>
      <c r="CF25" s="125" t="str">
        <f>IF(LINE2_DATA[[#This Row],[DATE]]="","",75)</f>
        <v/>
      </c>
      <c r="CG25" s="125" t="str">
        <f>IF(LINE2_DATA[[#This Row],[DATE]]="","",10)</f>
        <v/>
      </c>
    </row>
    <row r="26" spans="1:85" ht="19.5" customHeight="1" x14ac:dyDescent="0.25">
      <c r="A26" s="19" t="str">
        <f t="shared" si="14"/>
        <v/>
      </c>
      <c r="B26" s="19" t="str">
        <f t="shared" si="15"/>
        <v/>
      </c>
      <c r="D26" s="26"/>
      <c r="E26" s="26"/>
      <c r="F26" s="26"/>
      <c r="G26" s="26"/>
      <c r="H26" s="97"/>
      <c r="I26" s="27"/>
      <c r="J26" s="8"/>
      <c r="K26" s="8"/>
      <c r="L26" s="8"/>
      <c r="M26" s="8"/>
      <c r="N26" s="8"/>
      <c r="O26" s="36"/>
      <c r="P26" s="4" t="str" cm="1">
        <f t="array" ref="P26">IFERROR(INDEX($A$13:$A$81,MATCH(0,COUNTIF($P$12:P25,$A$13:$A$81),0)),"")</f>
        <v/>
      </c>
      <c r="Q26" s="92" t="str">
        <f t="shared" si="16"/>
        <v/>
      </c>
      <c r="R26" s="93" t="str">
        <f t="shared" si="17"/>
        <v/>
      </c>
      <c r="S26" s="93" t="str">
        <f t="shared" si="18"/>
        <v/>
      </c>
      <c r="T26" s="93" t="str">
        <f t="shared" si="19"/>
        <v/>
      </c>
      <c r="U26" s="127" t="str">
        <f t="shared" si="0"/>
        <v/>
      </c>
      <c r="V26" s="46" t="str">
        <f t="shared" si="1"/>
        <v/>
      </c>
      <c r="W26" s="36"/>
      <c r="X26" s="18" t="str">
        <f t="array" ref="X26">IFERROR(IF(INDEX($H$13:$H$81,MATCH(0,COUNTIF($X$12:X25,$H$13:$H$81),0))=0,"",INDEX($H$13:$H$81,MATCH(0,COUNTIF($X$12:X25,$H$13:$H$81),0))),"")</f>
        <v/>
      </c>
      <c r="Y26" s="18" t="str">
        <f t="shared" si="2"/>
        <v/>
      </c>
      <c r="Z26" s="48" t="str">
        <f t="shared" si="20"/>
        <v/>
      </c>
      <c r="AA26" s="81"/>
      <c r="AB26" s="18" t="str">
        <f t="shared" si="21"/>
        <v/>
      </c>
      <c r="AC26" s="31" t="str">
        <f t="shared" si="22"/>
        <v/>
      </c>
      <c r="AD26" s="18" t="str">
        <f t="shared" si="23"/>
        <v/>
      </c>
      <c r="AE26" s="18" t="str">
        <f t="shared" si="24"/>
        <v/>
      </c>
      <c r="AF26" s="36"/>
      <c r="AG26" s="45" t="str">
        <f t="array" ref="AG26">IFERROR(IF(INDEX($B$13:$B$81,MATCH(0,COUNTIF($AG$12:AG25,$B$13:$B$81),0))=0,"",INDEX($B$13:$B$81,MATCH(0,COUNTIF($AG$12:AG25,$B$13:$B$81),0))),"")</f>
        <v/>
      </c>
      <c r="AH26" s="122" t="str">
        <f t="shared" si="3"/>
        <v/>
      </c>
      <c r="AI26" s="123" t="str">
        <f t="shared" si="4"/>
        <v/>
      </c>
      <c r="AJ26" s="102" t="str">
        <f>IFERROR(IF($AG26="","",SUMIFS([2]INPUTS!$F:$F,[2]INPUTS!$L:$L,$AG26,[2]INPUTS!$E:$E,$D$9)),"")</f>
        <v/>
      </c>
      <c r="AK26" s="12" t="str">
        <f t="shared" si="5"/>
        <v/>
      </c>
      <c r="AM26" s="109" t="str">
        <f t="shared" si="6"/>
        <v/>
      </c>
      <c r="AN26" s="108" t="str">
        <f t="shared" si="7"/>
        <v/>
      </c>
      <c r="AO26" s="101" t="str">
        <f>IF(AP26="","",_xlfn.XLOOKUP(CONCATENATE(AN26,"-",AP26),[3]INPUTS!$B:$B,[3]INPUTS!$N:$N))</f>
        <v/>
      </c>
      <c r="AP26" s="108" t="str">
        <f t="shared" si="8"/>
        <v/>
      </c>
      <c r="AQ26" s="99" t="str">
        <f>IF($F26="","",IF($L26="",_xlfn.XLOOKUP($D$9,[1]SCHE!$A:$A,[1]SCHE!$N:$N),$L26))</f>
        <v/>
      </c>
      <c r="AR26" s="99" t="str">
        <f t="shared" si="36"/>
        <v/>
      </c>
      <c r="AS26" s="47" t="str">
        <f t="shared" si="25"/>
        <v/>
      </c>
      <c r="AT26" s="9" t="str">
        <f t="shared" si="10"/>
        <v/>
      </c>
      <c r="AU26" s="94" t="str">
        <f>IF($AO26="","",IF($AT$3="",INDEX([3]INPUTS!$A:$BF,MATCH(CONCATENATE($AN26,"-",$AP26),[3]INPUTS!$B:$B,0),22),$AT$3))</f>
        <v/>
      </c>
      <c r="AV26" s="103" t="str">
        <f t="shared" si="11"/>
        <v/>
      </c>
      <c r="AW26" s="11" t="str">
        <f t="shared" si="12"/>
        <v/>
      </c>
      <c r="AX26" s="104" t="str">
        <f t="shared" si="26"/>
        <v/>
      </c>
      <c r="AY26" s="110" t="str">
        <f t="shared" si="37"/>
        <v/>
      </c>
      <c r="BE26" s="19" t="str">
        <f t="shared" si="27"/>
        <v/>
      </c>
      <c r="BR26" s="1" t="str">
        <f t="array" ref="BR26">IFERROR(IF(INDEX($B$13:$B$81,MATCH(0,COUNTIF($BR$12:BR25,$B$13:$B$81),0))=0,"",INDEX($B$13:$B$81,MATCH(0,COUNTIF($BR$12:BR25,$B$13:$B$81),0))),"")</f>
        <v/>
      </c>
      <c r="BS26" s="124" t="str">
        <f t="shared" si="28"/>
        <v/>
      </c>
      <c r="BT26" s="125" t="str">
        <f t="shared" si="29"/>
        <v/>
      </c>
      <c r="BU26" s="4" t="str">
        <f>IF(LINE2_DATA[[#This Row],[OP]]="","",INDEX(Sheet1!$G$2:$I$10,MATCH(LINE2_DATA[[#This Row],[OP]],Sheet1!$G$2:$G$10,0),3))</f>
        <v/>
      </c>
      <c r="BV26" s="4" t="str">
        <f t="shared" si="30"/>
        <v/>
      </c>
      <c r="BW26" s="4" t="str">
        <f t="shared" si="31"/>
        <v/>
      </c>
      <c r="BX26" s="4" t="str">
        <f t="shared" si="32"/>
        <v/>
      </c>
      <c r="BY26" s="4" t="str">
        <f t="shared" si="33"/>
        <v/>
      </c>
      <c r="BZ26" s="4" t="str">
        <f>IF(BR26="","",SUM(LINE2_DATA[[#This Row],[PRODUCED LBS]],LINE2_DATA[[#This Row],[SCRAP]]))</f>
        <v/>
      </c>
      <c r="CA26" s="4" t="str">
        <f>IF(BR26="","",ROUND(((LINE2_DATA[[#This Row],[SCRAP]]/LINE2_DATA[[#This Row],[TOTAL LBS]])*100),2))</f>
        <v/>
      </c>
      <c r="CB26" s="4" t="str">
        <f t="shared" si="34"/>
        <v/>
      </c>
      <c r="CC26" s="4" t="str">
        <f t="shared" si="35"/>
        <v/>
      </c>
      <c r="CD26" s="4" t="str">
        <f>IF(LINE2_DATA[[#This Row],[EFFECTIVE SPEED]]="","",(LINE2_DATA[[#This Row],[EFFECTIVE SPEED]]*LINE2_DATA[[#This Row],[AVAILABLE MINS]]))</f>
        <v/>
      </c>
      <c r="CE26" s="4" t="str">
        <f>IFERROR(IF(BR26="","",ROUND(((LINE2_DATA[[#This Row],[PRODUCED FT]]/LINE2_DATA[[#This Row],[PENT. PROD. CAP.]])*100),2)),"")</f>
        <v/>
      </c>
      <c r="CF26" s="125" t="str">
        <f>IF(LINE2_DATA[[#This Row],[DATE]]="","",75)</f>
        <v/>
      </c>
      <c r="CG26" s="125" t="str">
        <f>IF(LINE2_DATA[[#This Row],[DATE]]="","",10)</f>
        <v/>
      </c>
    </row>
    <row r="27" spans="1:85" ht="19.5" customHeight="1" x14ac:dyDescent="0.25">
      <c r="A27" s="19" t="str">
        <f t="shared" si="14"/>
        <v/>
      </c>
      <c r="B27" s="19" t="str">
        <f t="shared" si="15"/>
        <v/>
      </c>
      <c r="D27" s="26"/>
      <c r="E27" s="26"/>
      <c r="F27" s="26"/>
      <c r="G27" s="26"/>
      <c r="H27" s="97"/>
      <c r="I27" s="44"/>
      <c r="J27" s="8"/>
      <c r="K27" s="8"/>
      <c r="L27" s="8"/>
      <c r="M27" s="8"/>
      <c r="N27" s="8"/>
      <c r="O27" s="36"/>
      <c r="P27" s="4" t="str" cm="1">
        <f t="array" ref="P27">IFERROR(INDEX($A$13:$A$81,MATCH(0,COUNTIF($P$12:P26,$A$13:$A$81),0)),"")</f>
        <v/>
      </c>
      <c r="Q27" s="92" t="str">
        <f t="shared" si="16"/>
        <v/>
      </c>
      <c r="R27" s="93" t="str">
        <f t="shared" si="17"/>
        <v/>
      </c>
      <c r="S27" s="93" t="str">
        <f t="shared" si="18"/>
        <v/>
      </c>
      <c r="T27" s="93" t="str">
        <f t="shared" si="19"/>
        <v/>
      </c>
      <c r="U27" s="127" t="str">
        <f t="shared" si="0"/>
        <v/>
      </c>
      <c r="V27" s="46" t="str">
        <f t="shared" si="1"/>
        <v/>
      </c>
      <c r="W27" s="36"/>
      <c r="X27" s="18" t="str">
        <f t="array" ref="X27">IFERROR(IF(INDEX($H$13:$H$81,MATCH(0,COUNTIF($X$12:X26,$H$13:$H$81),0))=0,"",INDEX($H$13:$H$81,MATCH(0,COUNTIF($X$12:X26,$H$13:$H$81),0))),"")</f>
        <v/>
      </c>
      <c r="Y27" s="18" t="str">
        <f t="shared" si="2"/>
        <v/>
      </c>
      <c r="Z27" s="48" t="str">
        <f t="shared" si="20"/>
        <v/>
      </c>
      <c r="AA27" s="81"/>
      <c r="AB27" s="18" t="str">
        <f t="shared" si="21"/>
        <v/>
      </c>
      <c r="AC27" s="31" t="str">
        <f t="shared" si="22"/>
        <v/>
      </c>
      <c r="AD27" s="18" t="str">
        <f t="shared" si="23"/>
        <v/>
      </c>
      <c r="AE27" s="18" t="str">
        <f t="shared" si="24"/>
        <v/>
      </c>
      <c r="AF27" s="36"/>
      <c r="AG27" s="45" t="str">
        <f t="array" ref="AG27">IFERROR(IF(INDEX($B$13:$B$81,MATCH(0,COUNTIF($AG$12:AG26,$B$13:$B$81),0))=0,"",INDEX($B$13:$B$81,MATCH(0,COUNTIF($AG$12:AG26,$B$13:$B$81),0))),"")</f>
        <v/>
      </c>
      <c r="AH27" s="122" t="str">
        <f t="shared" si="3"/>
        <v/>
      </c>
      <c r="AI27" s="123" t="str">
        <f t="shared" si="4"/>
        <v/>
      </c>
      <c r="AJ27" s="102" t="str">
        <f>IFERROR(IF($AG27="","",SUMIFS([2]INPUTS!$F:$F,[2]INPUTS!$L:$L,$AG27,[2]INPUTS!$E:$E,$D$9)),"")</f>
        <v/>
      </c>
      <c r="AK27" s="12" t="str">
        <f t="shared" si="5"/>
        <v/>
      </c>
      <c r="AM27" s="109" t="str">
        <f t="shared" si="6"/>
        <v/>
      </c>
      <c r="AN27" s="108" t="str">
        <f t="shared" si="7"/>
        <v/>
      </c>
      <c r="AO27" s="101" t="str">
        <f>IF(AP27="","",_xlfn.XLOOKUP(CONCATENATE(AN27,"-",AP27),[3]INPUTS!$B:$B,[3]INPUTS!$N:$N))</f>
        <v/>
      </c>
      <c r="AP27" s="108" t="str">
        <f t="shared" si="8"/>
        <v/>
      </c>
      <c r="AQ27" s="99" t="str">
        <f>IF($F27="","",IF($L27="",_xlfn.XLOOKUP($D$9,[1]SCHE!$A:$A,[1]SCHE!$N:$N),$L27))</f>
        <v/>
      </c>
      <c r="AR27" s="99" t="str">
        <f t="shared" si="36"/>
        <v/>
      </c>
      <c r="AS27" s="47" t="str">
        <f t="shared" si="25"/>
        <v/>
      </c>
      <c r="AT27" s="9" t="str">
        <f t="shared" si="10"/>
        <v/>
      </c>
      <c r="AU27" s="94" t="str">
        <f>IF($AO27="","",IF($AT$3="",INDEX([3]INPUTS!$A:$BF,MATCH(CONCATENATE($AN27,"-",$AP27),[3]INPUTS!$B:$B,0),22),$AT$3))</f>
        <v/>
      </c>
      <c r="AV27" s="103" t="str">
        <f t="shared" si="11"/>
        <v/>
      </c>
      <c r="AW27" s="11" t="str">
        <f t="shared" si="12"/>
        <v/>
      </c>
      <c r="AX27" s="104" t="str">
        <f t="shared" si="26"/>
        <v/>
      </c>
      <c r="AY27" s="110" t="str">
        <f t="shared" si="37"/>
        <v/>
      </c>
      <c r="BE27" s="19" t="str">
        <f t="shared" si="27"/>
        <v/>
      </c>
      <c r="BR27" s="1" t="str">
        <f t="array" ref="BR27">IFERROR(IF(INDEX($B$13:$B$81,MATCH(0,COUNTIF($BR$12:BR26,$B$13:$B$81),0))=0,"",INDEX($B$13:$B$81,MATCH(0,COUNTIF($BR$12:BR26,$B$13:$B$81),0))),"")</f>
        <v/>
      </c>
      <c r="BS27" s="124" t="str">
        <f t="shared" si="28"/>
        <v/>
      </c>
      <c r="BT27" s="125" t="str">
        <f t="shared" si="29"/>
        <v/>
      </c>
      <c r="BU27" s="4" t="str">
        <f>IF(LINE2_DATA[[#This Row],[OP]]="","",INDEX(Sheet1!$G$2:$I$10,MATCH(LINE2_DATA[[#This Row],[OP]],Sheet1!$G$2:$G$10,0),3))</f>
        <v/>
      </c>
      <c r="BV27" s="4" t="str">
        <f t="shared" si="30"/>
        <v/>
      </c>
      <c r="BW27" s="4" t="str">
        <f t="shared" si="31"/>
        <v/>
      </c>
      <c r="BX27" s="4" t="str">
        <f t="shared" si="32"/>
        <v/>
      </c>
      <c r="BY27" s="4" t="str">
        <f t="shared" si="33"/>
        <v/>
      </c>
      <c r="BZ27" s="4" t="str">
        <f>IF(BR27="","",SUM(LINE2_DATA[[#This Row],[PRODUCED LBS]],LINE2_DATA[[#This Row],[SCRAP]]))</f>
        <v/>
      </c>
      <c r="CA27" s="4" t="str">
        <f>IF(BR27="","",ROUND(((LINE2_DATA[[#This Row],[SCRAP]]/LINE2_DATA[[#This Row],[TOTAL LBS]])*100),2))</f>
        <v/>
      </c>
      <c r="CB27" s="4" t="str">
        <f t="shared" si="34"/>
        <v/>
      </c>
      <c r="CC27" s="4" t="str">
        <f t="shared" si="35"/>
        <v/>
      </c>
      <c r="CD27" s="4" t="str">
        <f>IF(LINE2_DATA[[#This Row],[EFFECTIVE SPEED]]="","",(LINE2_DATA[[#This Row],[EFFECTIVE SPEED]]*LINE2_DATA[[#This Row],[AVAILABLE MINS]]))</f>
        <v/>
      </c>
      <c r="CE27" s="4" t="str">
        <f>IFERROR(IF(BR27="","",ROUND(((LINE2_DATA[[#This Row],[PRODUCED FT]]/LINE2_DATA[[#This Row],[PENT. PROD. CAP.]])*100),2)),"")</f>
        <v/>
      </c>
      <c r="CF27" s="125" t="str">
        <f>IF(LINE2_DATA[[#This Row],[DATE]]="","",75)</f>
        <v/>
      </c>
      <c r="CG27" s="125" t="str">
        <f>IF(LINE2_DATA[[#This Row],[DATE]]="","",10)</f>
        <v/>
      </c>
    </row>
    <row r="28" spans="1:85" ht="19.5" customHeight="1" x14ac:dyDescent="0.25">
      <c r="A28" s="19" t="str">
        <f t="shared" si="14"/>
        <v/>
      </c>
      <c r="B28" s="19" t="str">
        <f t="shared" si="15"/>
        <v/>
      </c>
      <c r="D28" s="26"/>
      <c r="E28" s="26"/>
      <c r="F28" s="26"/>
      <c r="G28" s="26"/>
      <c r="H28" s="97"/>
      <c r="I28" s="27"/>
      <c r="J28" s="8"/>
      <c r="K28" s="8"/>
      <c r="L28" s="8"/>
      <c r="M28" s="8"/>
      <c r="N28" s="8"/>
      <c r="O28" s="36"/>
      <c r="P28" s="4" t="str" cm="1">
        <f t="array" ref="P28">IFERROR(INDEX($A$13:$A$81,MATCH(0,COUNTIF($P$12:P27,$A$13:$A$81),0)),"")</f>
        <v/>
      </c>
      <c r="Q28" s="92" t="str">
        <f t="shared" si="16"/>
        <v/>
      </c>
      <c r="R28" s="93" t="str">
        <f t="shared" si="17"/>
        <v/>
      </c>
      <c r="S28" s="93" t="str">
        <f t="shared" si="18"/>
        <v/>
      </c>
      <c r="T28" s="93" t="str">
        <f t="shared" si="19"/>
        <v/>
      </c>
      <c r="U28" s="127" t="str">
        <f t="shared" si="0"/>
        <v/>
      </c>
      <c r="V28" s="46" t="str">
        <f t="shared" si="1"/>
        <v/>
      </c>
      <c r="W28" s="36"/>
      <c r="X28" s="18" t="str">
        <f t="array" ref="X28">IFERROR(IF(INDEX($H$13:$H$81,MATCH(0,COUNTIF($X$12:X27,$H$13:$H$81),0))=0,"",INDEX($H$13:$H$81,MATCH(0,COUNTIF($X$12:X27,$H$13:$H$81),0))),"")</f>
        <v/>
      </c>
      <c r="Y28" s="18" t="str">
        <f t="shared" si="2"/>
        <v/>
      </c>
      <c r="Z28" s="48" t="str">
        <f t="shared" si="20"/>
        <v/>
      </c>
      <c r="AA28" s="81"/>
      <c r="AB28" s="18" t="str">
        <f t="shared" si="21"/>
        <v/>
      </c>
      <c r="AC28" s="31" t="str">
        <f t="shared" si="22"/>
        <v/>
      </c>
      <c r="AD28" s="18" t="str">
        <f t="shared" si="23"/>
        <v/>
      </c>
      <c r="AE28" s="18" t="str">
        <f t="shared" si="24"/>
        <v/>
      </c>
      <c r="AF28" s="36"/>
      <c r="AG28" s="45" t="str">
        <f t="array" ref="AG28">IFERROR(IF(INDEX($B$13:$B$81,MATCH(0,COUNTIF($AG$12:AG27,$B$13:$B$81),0))=0,"",INDEX($B$13:$B$81,MATCH(0,COUNTIF($AG$12:AG27,$B$13:$B$81),0))),"")</f>
        <v/>
      </c>
      <c r="AH28" s="122" t="str">
        <f t="shared" si="3"/>
        <v/>
      </c>
      <c r="AI28" s="123" t="str">
        <f t="shared" si="4"/>
        <v/>
      </c>
      <c r="AJ28" s="102" t="str">
        <f>IFERROR(IF($AG28="","",SUMIFS([2]INPUTS!$F:$F,[2]INPUTS!$L:$L,$AG28,[2]INPUTS!$E:$E,$D$9)),"")</f>
        <v/>
      </c>
      <c r="AK28" s="12" t="str">
        <f t="shared" si="5"/>
        <v/>
      </c>
      <c r="AM28" s="109" t="str">
        <f t="shared" si="6"/>
        <v/>
      </c>
      <c r="AN28" s="108" t="str">
        <f t="shared" si="7"/>
        <v/>
      </c>
      <c r="AO28" s="101" t="str">
        <f>IF(AP28="","",_xlfn.XLOOKUP(CONCATENATE(AN28,"-",AP28),[3]INPUTS!$B:$B,[3]INPUTS!$N:$N))</f>
        <v/>
      </c>
      <c r="AP28" s="108" t="str">
        <f t="shared" si="8"/>
        <v/>
      </c>
      <c r="AQ28" s="99" t="str">
        <f>IF($F28="","",IF($L28="",_xlfn.XLOOKUP($D$9,[1]SCHE!$A:$A,[1]SCHE!$N:$N),$L28))</f>
        <v/>
      </c>
      <c r="AR28" s="99" t="str">
        <f t="shared" si="36"/>
        <v/>
      </c>
      <c r="AS28" s="47" t="str">
        <f t="shared" si="25"/>
        <v/>
      </c>
      <c r="AT28" s="9" t="str">
        <f t="shared" si="10"/>
        <v/>
      </c>
      <c r="AU28" s="94" t="str">
        <f>IF($AO28="","",IF($AT$3="",INDEX([3]INPUTS!$A:$BF,MATCH(CONCATENATE($AN28,"-",$AP28),[3]INPUTS!$B:$B,0),22),$AT$3))</f>
        <v/>
      </c>
      <c r="AV28" s="103" t="str">
        <f t="shared" si="11"/>
        <v/>
      </c>
      <c r="AW28" s="11" t="str">
        <f t="shared" si="12"/>
        <v/>
      </c>
      <c r="AX28" s="104" t="str">
        <f t="shared" si="26"/>
        <v/>
      </c>
      <c r="AY28" s="110" t="str">
        <f>IF($J28="","",$J28)</f>
        <v/>
      </c>
      <c r="BE28" s="19" t="str">
        <f t="shared" si="27"/>
        <v/>
      </c>
      <c r="BR28" s="1" t="str">
        <f t="array" ref="BR28">IFERROR(IF(INDEX($B$13:$B$81,MATCH(0,COUNTIF($BR$12:BR27,$B$13:$B$81),0))=0,"",INDEX($B$13:$B$81,MATCH(0,COUNTIF($BR$12:BR27,$B$13:$B$81),0))),"")</f>
        <v/>
      </c>
      <c r="BS28" s="124" t="str">
        <f t="shared" si="28"/>
        <v/>
      </c>
      <c r="BT28" s="125" t="str">
        <f t="shared" si="29"/>
        <v/>
      </c>
      <c r="BU28" s="4" t="str">
        <f>IF(LINE2_DATA[[#This Row],[OP]]="","",INDEX(Sheet1!$G$2:$I$10,MATCH(LINE2_DATA[[#This Row],[OP]],Sheet1!$G$2:$G$10,0),3))</f>
        <v/>
      </c>
      <c r="BV28" s="4" t="str">
        <f t="shared" si="30"/>
        <v/>
      </c>
      <c r="BW28" s="4" t="str">
        <f t="shared" si="31"/>
        <v/>
      </c>
      <c r="BX28" s="4" t="str">
        <f t="shared" si="32"/>
        <v/>
      </c>
      <c r="BY28" s="4" t="str">
        <f t="shared" si="33"/>
        <v/>
      </c>
      <c r="BZ28" s="4" t="str">
        <f>IF(BR28="","",SUM(LINE2_DATA[[#This Row],[PRODUCED LBS]],LINE2_DATA[[#This Row],[SCRAP]]))</f>
        <v/>
      </c>
      <c r="CA28" s="4" t="str">
        <f>IF(BR28="","",ROUND(((LINE2_DATA[[#This Row],[SCRAP]]/LINE2_DATA[[#This Row],[TOTAL LBS]])*100),2))</f>
        <v/>
      </c>
      <c r="CB28" s="4" t="str">
        <f t="shared" si="34"/>
        <v/>
      </c>
      <c r="CC28" s="4" t="str">
        <f t="shared" si="35"/>
        <v/>
      </c>
      <c r="CD28" s="4" t="str">
        <f>IF(LINE2_DATA[[#This Row],[EFFECTIVE SPEED]]="","",(LINE2_DATA[[#This Row],[EFFECTIVE SPEED]]*LINE2_DATA[[#This Row],[AVAILABLE MINS]]))</f>
        <v/>
      </c>
      <c r="CE28" s="4" t="str">
        <f>IFERROR(IF(BR28="","",ROUND(((LINE2_DATA[[#This Row],[PRODUCED FT]]/LINE2_DATA[[#This Row],[PENT. PROD. CAP.]])*100),2)),"")</f>
        <v/>
      </c>
      <c r="CF28" s="125" t="str">
        <f>IF(LINE2_DATA[[#This Row],[DATE]]="","",75)</f>
        <v/>
      </c>
      <c r="CG28" s="125" t="str">
        <f>IF(LINE2_DATA[[#This Row],[DATE]]="","",10)</f>
        <v/>
      </c>
    </row>
    <row r="29" spans="1:85" ht="19.5" customHeight="1" x14ac:dyDescent="0.25">
      <c r="A29" s="19" t="str">
        <f t="shared" si="14"/>
        <v/>
      </c>
      <c r="B29" s="19" t="str">
        <f t="shared" si="15"/>
        <v/>
      </c>
      <c r="D29" s="26"/>
      <c r="E29" s="26"/>
      <c r="F29" s="26"/>
      <c r="G29" s="26"/>
      <c r="H29" s="97"/>
      <c r="I29" s="27"/>
      <c r="J29" s="8"/>
      <c r="K29" s="8"/>
      <c r="L29" s="8"/>
      <c r="M29" s="8"/>
      <c r="N29" s="8"/>
      <c r="O29" s="36"/>
      <c r="P29" s="4" t="str" cm="1">
        <f t="array" ref="P29">IFERROR(INDEX($A$13:$A$81,MATCH(0,COUNTIF($P$12:P28,$A$13:$A$81),0)),"")</f>
        <v/>
      </c>
      <c r="Q29" s="92" t="str">
        <f t="shared" si="16"/>
        <v/>
      </c>
      <c r="R29" s="93" t="str">
        <f t="shared" si="17"/>
        <v/>
      </c>
      <c r="S29" s="93" t="str">
        <f t="shared" si="18"/>
        <v/>
      </c>
      <c r="T29" s="93" t="str">
        <f t="shared" si="19"/>
        <v/>
      </c>
      <c r="U29" s="127" t="str">
        <f t="shared" si="0"/>
        <v/>
      </c>
      <c r="V29" s="46" t="str">
        <f t="shared" si="1"/>
        <v/>
      </c>
      <c r="W29" s="36"/>
      <c r="X29" s="18" t="str">
        <f t="array" ref="X29">IFERROR(IF(INDEX($H$13:$H$81,MATCH(0,COUNTIF($X$12:X28,$H$13:$H$81),0))=0,"",INDEX($H$13:$H$81,MATCH(0,COUNTIF($X$12:X28,$H$13:$H$81),0))),"")</f>
        <v/>
      </c>
      <c r="Y29" s="18" t="str">
        <f t="shared" si="2"/>
        <v/>
      </c>
      <c r="Z29" s="48" t="str">
        <f t="shared" si="20"/>
        <v/>
      </c>
      <c r="AA29" s="82"/>
      <c r="AB29" s="18" t="str">
        <f t="shared" si="21"/>
        <v/>
      </c>
      <c r="AC29" s="31" t="str">
        <f t="shared" si="22"/>
        <v/>
      </c>
      <c r="AD29" s="18" t="str">
        <f t="shared" si="23"/>
        <v/>
      </c>
      <c r="AE29" s="18" t="str">
        <f t="shared" si="24"/>
        <v/>
      </c>
      <c r="AF29" s="36"/>
      <c r="AG29" s="45" t="str">
        <f t="array" ref="AG29">IFERROR(IF(INDEX($B$13:$B$81,MATCH(0,COUNTIF($AG$12:AG28,$B$13:$B$81),0))=0,"",INDEX($B$13:$B$81,MATCH(0,COUNTIF($AG$12:AG28,$B$13:$B$81),0))),"")</f>
        <v/>
      </c>
      <c r="AH29" s="122" t="str">
        <f t="shared" si="3"/>
        <v/>
      </c>
      <c r="AI29" s="123" t="str">
        <f t="shared" si="4"/>
        <v/>
      </c>
      <c r="AJ29" s="102" t="str">
        <f>IFERROR(IF($AG29="","",SUMIFS([2]INPUTS!$F:$F,[2]INPUTS!$L:$L,$AG29,[2]INPUTS!$E:$E,$D$9)),"")</f>
        <v/>
      </c>
      <c r="AK29" s="12" t="str">
        <f t="shared" si="5"/>
        <v/>
      </c>
      <c r="AM29" s="109" t="str">
        <f t="shared" si="6"/>
        <v/>
      </c>
      <c r="AN29" s="108" t="str">
        <f t="shared" si="7"/>
        <v/>
      </c>
      <c r="AO29" s="101" t="str">
        <f>IF(AP29="","",_xlfn.XLOOKUP(CONCATENATE(AN29,"-",AP29),[3]INPUTS!$B:$B,[3]INPUTS!$N:$N))</f>
        <v/>
      </c>
      <c r="AP29" s="108" t="str">
        <f t="shared" si="8"/>
        <v/>
      </c>
      <c r="AQ29" s="99" t="str">
        <f>IF($F29="","",IF($L29="",_xlfn.XLOOKUP($D$9,[1]SCHE!$A:$A,[1]SCHE!$N:$N),$L29))</f>
        <v/>
      </c>
      <c r="AR29" s="99" t="str">
        <f t="shared" si="36"/>
        <v/>
      </c>
      <c r="AS29" s="47" t="str">
        <f t="shared" si="25"/>
        <v/>
      </c>
      <c r="AT29" s="9" t="str">
        <f t="shared" si="10"/>
        <v/>
      </c>
      <c r="AU29" s="94" t="str">
        <f>IF($AO29="","",IF($AT$3="",INDEX([3]INPUTS!$A:$BF,MATCH(CONCATENATE($AN29,"-",$AP29),[3]INPUTS!$B:$B,0),22),$AT$3))</f>
        <v/>
      </c>
      <c r="AV29" s="103" t="str">
        <f t="shared" si="11"/>
        <v/>
      </c>
      <c r="AW29" s="11" t="str">
        <f t="shared" si="12"/>
        <v/>
      </c>
      <c r="AX29" s="104" t="str">
        <f t="shared" si="26"/>
        <v/>
      </c>
      <c r="AY29" s="110" t="str">
        <f t="shared" si="37"/>
        <v/>
      </c>
      <c r="BE29" s="19" t="str">
        <f t="shared" si="27"/>
        <v/>
      </c>
      <c r="BR29" s="1" t="str">
        <f t="array" ref="BR29">IFERROR(IF(INDEX($B$13:$B$81,MATCH(0,COUNTIF($BR$12:BR28,$B$13:$B$81),0))=0,"",INDEX($B$13:$B$81,MATCH(0,COUNTIF($BR$12:BR28,$B$13:$B$81),0))),"")</f>
        <v/>
      </c>
      <c r="BS29" s="124" t="str">
        <f t="shared" si="28"/>
        <v/>
      </c>
      <c r="BT29" s="125" t="str">
        <f t="shared" si="29"/>
        <v/>
      </c>
      <c r="BU29" s="4" t="str">
        <f>IF(LINE2_DATA[[#This Row],[OP]]="","",INDEX(Sheet1!$G$2:$I$10,MATCH(LINE2_DATA[[#This Row],[OP]],Sheet1!$G$2:$G$10,0),3))</f>
        <v/>
      </c>
      <c r="BV29" s="4" t="str">
        <f t="shared" si="30"/>
        <v/>
      </c>
      <c r="BW29" s="4" t="str">
        <f t="shared" si="31"/>
        <v/>
      </c>
      <c r="BX29" s="4" t="str">
        <f t="shared" si="32"/>
        <v/>
      </c>
      <c r="BY29" s="4" t="str">
        <f t="shared" si="33"/>
        <v/>
      </c>
      <c r="BZ29" s="4" t="str">
        <f>IF(BR29="","",SUM(LINE2_DATA[[#This Row],[PRODUCED LBS]],LINE2_DATA[[#This Row],[SCRAP]]))</f>
        <v/>
      </c>
      <c r="CA29" s="4" t="str">
        <f>IF(BR29="","",ROUND(((LINE2_DATA[[#This Row],[SCRAP]]/LINE2_DATA[[#This Row],[TOTAL LBS]])*100),2))</f>
        <v/>
      </c>
      <c r="CB29" s="4" t="str">
        <f t="shared" si="34"/>
        <v/>
      </c>
      <c r="CC29" s="4" t="str">
        <f t="shared" si="35"/>
        <v/>
      </c>
      <c r="CD29" s="4" t="str">
        <f>IF(LINE2_DATA[[#This Row],[EFFECTIVE SPEED]]="","",(LINE2_DATA[[#This Row],[EFFECTIVE SPEED]]*LINE2_DATA[[#This Row],[AVAILABLE MINS]]))</f>
        <v/>
      </c>
      <c r="CE29" s="4" t="str">
        <f>IFERROR(IF(BR29="","",ROUND(((LINE2_DATA[[#This Row],[PRODUCED FT]]/LINE2_DATA[[#This Row],[PENT. PROD. CAP.]])*100),2)),"")</f>
        <v/>
      </c>
      <c r="CF29" s="125" t="str">
        <f>IF(LINE2_DATA[[#This Row],[DATE]]="","",75)</f>
        <v/>
      </c>
      <c r="CG29" s="125" t="str">
        <f>IF(LINE2_DATA[[#This Row],[DATE]]="","",10)</f>
        <v/>
      </c>
    </row>
    <row r="30" spans="1:85" ht="19.5" customHeight="1" x14ac:dyDescent="0.25">
      <c r="A30" s="19" t="str">
        <f t="shared" si="14"/>
        <v/>
      </c>
      <c r="B30" s="19" t="str">
        <f t="shared" si="15"/>
        <v/>
      </c>
      <c r="D30" s="26"/>
      <c r="E30" s="26"/>
      <c r="F30" s="26"/>
      <c r="G30" s="26"/>
      <c r="H30" s="97"/>
      <c r="I30" s="27"/>
      <c r="J30" s="8"/>
      <c r="K30" s="8"/>
      <c r="L30" s="8"/>
      <c r="M30" s="8"/>
      <c r="N30" s="8"/>
      <c r="O30" s="36"/>
      <c r="P30" s="4" t="str" cm="1">
        <f t="array" ref="P30">IFERROR(INDEX($A$13:$A$81,MATCH(0,COUNTIF($P$12:P29,$A$13:$A$81),0)),"")</f>
        <v/>
      </c>
      <c r="Q30" s="92" t="str">
        <f t="shared" si="16"/>
        <v/>
      </c>
      <c r="R30" s="93" t="str">
        <f t="shared" si="17"/>
        <v/>
      </c>
      <c r="S30" s="93" t="str">
        <f t="shared" si="18"/>
        <v/>
      </c>
      <c r="T30" s="93" t="str">
        <f t="shared" si="19"/>
        <v/>
      </c>
      <c r="U30" s="127" t="str">
        <f t="shared" si="0"/>
        <v/>
      </c>
      <c r="V30" s="46" t="str">
        <f t="shared" si="1"/>
        <v/>
      </c>
      <c r="W30" s="36"/>
      <c r="X30" s="18" t="str">
        <f t="array" ref="X30">IFERROR(IF(INDEX($H$13:$H$81,MATCH(0,COUNTIF($X$12:X29,$H$13:$H$81),0))=0,"",INDEX($H$13:$H$81,MATCH(0,COUNTIF($X$12:X29,$H$13:$H$81),0))),"")</f>
        <v/>
      </c>
      <c r="Y30" s="18" t="str">
        <f t="shared" si="2"/>
        <v/>
      </c>
      <c r="Z30" s="48" t="str">
        <f t="shared" si="20"/>
        <v/>
      </c>
      <c r="AA30" s="82"/>
      <c r="AB30" s="18" t="str">
        <f t="shared" si="21"/>
        <v/>
      </c>
      <c r="AC30" s="31" t="str">
        <f t="shared" si="22"/>
        <v/>
      </c>
      <c r="AD30" s="18" t="str">
        <f t="shared" si="23"/>
        <v/>
      </c>
      <c r="AE30" s="18" t="str">
        <f t="shared" si="24"/>
        <v/>
      </c>
      <c r="AF30" s="36"/>
      <c r="AG30" s="45" t="str">
        <f t="array" ref="AG30">IFERROR(IF(INDEX($B$13:$B$81,MATCH(0,COUNTIF($AG$12:AG29,$B$13:$B$81),0))=0,"",INDEX($B$13:$B$81,MATCH(0,COUNTIF($AG$12:AG29,$B$13:$B$81),0))),"")</f>
        <v/>
      </c>
      <c r="AH30" s="122" t="str">
        <f t="shared" si="3"/>
        <v/>
      </c>
      <c r="AI30" s="123" t="str">
        <f t="shared" si="4"/>
        <v/>
      </c>
      <c r="AJ30" s="102" t="str">
        <f>IFERROR(IF($AG30="","",SUMIFS([2]INPUTS!$F:$F,[2]INPUTS!$L:$L,$AG30,[2]INPUTS!$E:$E,$D$9)),"")</f>
        <v/>
      </c>
      <c r="AK30" s="12" t="str">
        <f t="shared" si="5"/>
        <v/>
      </c>
      <c r="AM30" s="109" t="str">
        <f t="shared" si="6"/>
        <v/>
      </c>
      <c r="AN30" s="108" t="str">
        <f t="shared" si="7"/>
        <v/>
      </c>
      <c r="AO30" s="101" t="str">
        <f>IF(AP30="","",_xlfn.XLOOKUP(CONCATENATE(AN30,"-",AP30),[3]INPUTS!$B:$B,[3]INPUTS!$N:$N))</f>
        <v/>
      </c>
      <c r="AP30" s="108" t="str">
        <f t="shared" si="8"/>
        <v/>
      </c>
      <c r="AQ30" s="99" t="str">
        <f>IF($F30="","",IF($L30="",_xlfn.XLOOKUP($D$9,[1]SCHE!$A:$A,[1]SCHE!$N:$N),$L30))</f>
        <v/>
      </c>
      <c r="AR30" s="99" t="str">
        <f t="shared" si="36"/>
        <v/>
      </c>
      <c r="AS30" s="47" t="str">
        <f t="shared" si="25"/>
        <v/>
      </c>
      <c r="AT30" s="9" t="str">
        <f t="shared" si="10"/>
        <v/>
      </c>
      <c r="AU30" s="94" t="str">
        <f>IF($AO30="","",IF($AT$3="",INDEX([3]INPUTS!$A:$BF,MATCH(CONCATENATE($AN30,"-",$AP30),[3]INPUTS!$B:$B,0),22),$AT$3))</f>
        <v/>
      </c>
      <c r="AV30" s="103" t="str">
        <f t="shared" si="11"/>
        <v/>
      </c>
      <c r="AW30" s="11" t="str">
        <f t="shared" si="12"/>
        <v/>
      </c>
      <c r="AX30" s="104" t="str">
        <f t="shared" si="26"/>
        <v/>
      </c>
      <c r="AY30" s="110" t="str">
        <f t="shared" si="37"/>
        <v/>
      </c>
      <c r="BE30" s="19" t="str">
        <f t="shared" si="27"/>
        <v/>
      </c>
      <c r="BR30" s="1" t="str">
        <f t="array" ref="BR30">IFERROR(IF(INDEX($B$13:$B$81,MATCH(0,COUNTIF($BR$12:BR29,$B$13:$B$81),0))=0,"",INDEX($B$13:$B$81,MATCH(0,COUNTIF($BR$12:BR29,$B$13:$B$81),0))),"")</f>
        <v/>
      </c>
      <c r="BS30" s="124" t="str">
        <f t="shared" si="28"/>
        <v/>
      </c>
      <c r="BT30" s="125" t="str">
        <f t="shared" si="29"/>
        <v/>
      </c>
      <c r="BU30" s="4" t="str">
        <f>IF(LINE2_DATA[[#This Row],[OP]]="","",INDEX(Sheet1!$G$2:$I$10,MATCH(LINE2_DATA[[#This Row],[OP]],Sheet1!$G$2:$G$10,0),3))</f>
        <v/>
      </c>
      <c r="BV30" s="4" t="str">
        <f t="shared" si="30"/>
        <v/>
      </c>
      <c r="BW30" s="4" t="str">
        <f t="shared" si="31"/>
        <v/>
      </c>
      <c r="BX30" s="4" t="str">
        <f t="shared" si="32"/>
        <v/>
      </c>
      <c r="BY30" s="4" t="str">
        <f t="shared" si="33"/>
        <v/>
      </c>
      <c r="BZ30" s="4" t="str">
        <f>IF(BR30="","",SUM(LINE2_DATA[[#This Row],[PRODUCED LBS]],LINE2_DATA[[#This Row],[SCRAP]]))</f>
        <v/>
      </c>
      <c r="CA30" s="4" t="str">
        <f>IF(BR30="","",ROUND(((LINE2_DATA[[#This Row],[SCRAP]]/LINE2_DATA[[#This Row],[TOTAL LBS]])*100),2))</f>
        <v/>
      </c>
      <c r="CB30" s="4" t="str">
        <f t="shared" si="34"/>
        <v/>
      </c>
      <c r="CC30" s="4" t="str">
        <f t="shared" si="35"/>
        <v/>
      </c>
      <c r="CD30" s="4" t="str">
        <f>IF(LINE2_DATA[[#This Row],[EFFECTIVE SPEED]]="","",(LINE2_DATA[[#This Row],[EFFECTIVE SPEED]]*LINE2_DATA[[#This Row],[AVAILABLE MINS]]))</f>
        <v/>
      </c>
      <c r="CE30" s="4" t="str">
        <f>IFERROR(IF(BR30="","",ROUND(((LINE2_DATA[[#This Row],[PRODUCED FT]]/LINE2_DATA[[#This Row],[PENT. PROD. CAP.]])*100),2)),"")</f>
        <v/>
      </c>
      <c r="CF30" s="125" t="str">
        <f>IF(LINE2_DATA[[#This Row],[DATE]]="","",75)</f>
        <v/>
      </c>
      <c r="CG30" s="125" t="str">
        <f>IF(LINE2_DATA[[#This Row],[DATE]]="","",10)</f>
        <v/>
      </c>
    </row>
    <row r="31" spans="1:85" ht="19.5" customHeight="1" x14ac:dyDescent="0.25">
      <c r="A31" s="19" t="str">
        <f t="shared" si="14"/>
        <v/>
      </c>
      <c r="B31" s="19" t="str">
        <f t="shared" si="15"/>
        <v/>
      </c>
      <c r="D31" s="26"/>
      <c r="E31" s="26"/>
      <c r="F31" s="26"/>
      <c r="G31" s="26"/>
      <c r="H31" s="97"/>
      <c r="I31" s="27"/>
      <c r="J31" s="8"/>
      <c r="K31" s="8"/>
      <c r="L31" s="8"/>
      <c r="M31" s="8"/>
      <c r="N31" s="8"/>
      <c r="O31" s="36"/>
      <c r="P31" s="4" t="str" cm="1">
        <f t="array" ref="P31">IFERROR(INDEX($A$13:$A$81,MATCH(0,COUNTIF($P$12:P30,$A$13:$A$81),0)),"")</f>
        <v/>
      </c>
      <c r="Q31" s="92" t="str">
        <f t="shared" si="16"/>
        <v/>
      </c>
      <c r="R31" s="93" t="str">
        <f t="shared" si="17"/>
        <v/>
      </c>
      <c r="S31" s="93" t="str">
        <f t="shared" si="18"/>
        <v/>
      </c>
      <c r="T31" s="93" t="str">
        <f t="shared" si="19"/>
        <v/>
      </c>
      <c r="U31" s="127" t="str">
        <f t="shared" si="0"/>
        <v/>
      </c>
      <c r="V31" s="46" t="str">
        <f t="shared" si="1"/>
        <v/>
      </c>
      <c r="W31" s="36"/>
      <c r="X31" s="18" t="str">
        <f t="array" ref="X31">IFERROR(IF(INDEX($H$13:$H$81,MATCH(0,COUNTIF($X$12:X30,$H$13:$H$81),0))=0,"",INDEX($H$13:$H$81,MATCH(0,COUNTIF($X$12:X30,$H$13:$H$81),0))),"")</f>
        <v/>
      </c>
      <c r="Y31" s="18" t="str">
        <f t="shared" si="2"/>
        <v/>
      </c>
      <c r="Z31" s="48" t="str">
        <f t="shared" si="20"/>
        <v/>
      </c>
      <c r="AA31" s="82"/>
      <c r="AB31" s="18" t="str">
        <f t="shared" si="21"/>
        <v/>
      </c>
      <c r="AC31" s="31" t="str">
        <f t="shared" si="22"/>
        <v/>
      </c>
      <c r="AD31" s="18" t="str">
        <f t="shared" si="23"/>
        <v/>
      </c>
      <c r="AE31" s="18" t="str">
        <f t="shared" si="24"/>
        <v/>
      </c>
      <c r="AF31" s="36"/>
      <c r="AG31" s="45" t="str">
        <f t="array" ref="AG31">IFERROR(IF(INDEX($B$13:$B$81,MATCH(0,COUNTIF($AG$12:AG30,$B$13:$B$81),0))=0,"",INDEX($B$13:$B$81,MATCH(0,COUNTIF($AG$12:AG30,$B$13:$B$81),0))),"")</f>
        <v/>
      </c>
      <c r="AH31" s="122" t="str">
        <f t="shared" si="3"/>
        <v/>
      </c>
      <c r="AI31" s="123" t="str">
        <f t="shared" si="4"/>
        <v/>
      </c>
      <c r="AJ31" s="102" t="str">
        <f>IFERROR(IF($AG31="","",SUMIFS([2]INPUTS!$F:$F,[2]INPUTS!$L:$L,$AG31,[2]INPUTS!$E:$E,$D$9)),"")</f>
        <v/>
      </c>
      <c r="AK31" s="12" t="str">
        <f t="shared" si="5"/>
        <v/>
      </c>
      <c r="AM31" s="109" t="str">
        <f t="shared" si="6"/>
        <v/>
      </c>
      <c r="AN31" s="108" t="str">
        <f t="shared" si="7"/>
        <v/>
      </c>
      <c r="AO31" s="101" t="str">
        <f>IF(AP31="","",_xlfn.XLOOKUP(CONCATENATE(AN31,"-",AP31),[3]INPUTS!$B:$B,[3]INPUTS!$N:$N))</f>
        <v/>
      </c>
      <c r="AP31" s="108" t="str">
        <f t="shared" si="8"/>
        <v/>
      </c>
      <c r="AQ31" s="99" t="str">
        <f>IF($F31="","",IF($L31="",_xlfn.XLOOKUP($D$9,[1]SCHE!$A:$A,[1]SCHE!$N:$N),$L31))</f>
        <v/>
      </c>
      <c r="AR31" s="99" t="str">
        <f t="shared" si="36"/>
        <v/>
      </c>
      <c r="AS31" s="47" t="str">
        <f t="shared" si="25"/>
        <v/>
      </c>
      <c r="AT31" s="9" t="str">
        <f t="shared" si="10"/>
        <v/>
      </c>
      <c r="AU31" s="94" t="str">
        <f>IF($AO31="","",IF($AT$3="",INDEX([3]INPUTS!$A:$BF,MATCH(CONCATENATE($AN31,"-",$AP31),[3]INPUTS!$B:$B,0),22),$AT$3))</f>
        <v/>
      </c>
      <c r="AV31" s="103" t="str">
        <f t="shared" si="11"/>
        <v/>
      </c>
      <c r="AW31" s="11" t="str">
        <f t="shared" si="12"/>
        <v/>
      </c>
      <c r="AX31" s="104" t="str">
        <f t="shared" si="26"/>
        <v/>
      </c>
      <c r="AY31" s="110" t="str">
        <f t="shared" si="37"/>
        <v/>
      </c>
      <c r="BE31" s="19" t="str">
        <f t="shared" si="27"/>
        <v/>
      </c>
      <c r="BR31" s="1" t="str">
        <f t="array" ref="BR31">IFERROR(IF(INDEX($B$13:$B$81,MATCH(0,COUNTIF($BR$12:BR30,$B$13:$B$81),0))=0,"",INDEX($B$13:$B$81,MATCH(0,COUNTIF($BR$12:BR30,$B$13:$B$81),0))),"")</f>
        <v/>
      </c>
      <c r="BS31" s="124" t="str">
        <f t="shared" si="28"/>
        <v/>
      </c>
      <c r="BT31" s="125" t="str">
        <f t="shared" si="29"/>
        <v/>
      </c>
      <c r="BU31" s="4" t="str">
        <f>IF(LINE2_DATA[[#This Row],[OP]]="","",INDEX(Sheet1!$G$2:$I$10,MATCH(LINE2_DATA[[#This Row],[OP]],Sheet1!$G$2:$G$10,0),3))</f>
        <v/>
      </c>
      <c r="BV31" s="4" t="str">
        <f t="shared" si="30"/>
        <v/>
      </c>
      <c r="BW31" s="4" t="str">
        <f t="shared" si="31"/>
        <v/>
      </c>
      <c r="BX31" s="4" t="str">
        <f t="shared" si="32"/>
        <v/>
      </c>
      <c r="BY31" s="4" t="str">
        <f t="shared" si="33"/>
        <v/>
      </c>
      <c r="BZ31" s="4" t="str">
        <f>IF(BR31="","",SUM(LINE2_DATA[[#This Row],[PRODUCED LBS]],LINE2_DATA[[#This Row],[SCRAP]]))</f>
        <v/>
      </c>
      <c r="CA31" s="4" t="str">
        <f>IF(BR31="","",ROUND(((LINE2_DATA[[#This Row],[SCRAP]]/LINE2_DATA[[#This Row],[TOTAL LBS]])*100),2))</f>
        <v/>
      </c>
      <c r="CB31" s="4" t="str">
        <f t="shared" si="34"/>
        <v/>
      </c>
      <c r="CC31" s="4" t="str">
        <f t="shared" si="35"/>
        <v/>
      </c>
      <c r="CD31" s="4" t="str">
        <f>IF(LINE2_DATA[[#This Row],[EFFECTIVE SPEED]]="","",(LINE2_DATA[[#This Row],[EFFECTIVE SPEED]]*LINE2_DATA[[#This Row],[AVAILABLE MINS]]))</f>
        <v/>
      </c>
      <c r="CE31" s="4" t="str">
        <f>IFERROR(IF(BR31="","",ROUND(((LINE2_DATA[[#This Row],[PRODUCED FT]]/LINE2_DATA[[#This Row],[PENT. PROD. CAP.]])*100),2)),"")</f>
        <v/>
      </c>
      <c r="CF31" s="125" t="str">
        <f>IF(LINE2_DATA[[#This Row],[DATE]]="","",75)</f>
        <v/>
      </c>
      <c r="CG31" s="125" t="str">
        <f>IF(LINE2_DATA[[#This Row],[DATE]]="","",10)</f>
        <v/>
      </c>
    </row>
    <row r="32" spans="1:85" ht="19.5" customHeight="1" x14ac:dyDescent="0.25">
      <c r="A32" s="19" t="str">
        <f t="shared" si="14"/>
        <v/>
      </c>
      <c r="B32" s="19" t="str">
        <f t="shared" si="15"/>
        <v/>
      </c>
      <c r="D32" s="26"/>
      <c r="E32" s="26"/>
      <c r="F32" s="26"/>
      <c r="G32" s="26"/>
      <c r="H32" s="97"/>
      <c r="I32" s="27"/>
      <c r="J32" s="8"/>
      <c r="K32" s="8"/>
      <c r="L32" s="8"/>
      <c r="M32" s="8"/>
      <c r="N32" s="8"/>
      <c r="O32" s="36"/>
      <c r="P32" s="4" t="str" cm="1">
        <f t="array" ref="P32">IFERROR(INDEX($A$13:$A$81,MATCH(0,COUNTIF($P$12:P31,$A$13:$A$81),0)),"")</f>
        <v/>
      </c>
      <c r="Q32" s="92" t="str">
        <f t="shared" si="16"/>
        <v/>
      </c>
      <c r="R32" s="93" t="str">
        <f t="shared" si="17"/>
        <v/>
      </c>
      <c r="S32" s="93" t="str">
        <f t="shared" si="18"/>
        <v/>
      </c>
      <c r="T32" s="93" t="str">
        <f t="shared" si="19"/>
        <v/>
      </c>
      <c r="U32" s="127" t="str">
        <f t="shared" si="0"/>
        <v/>
      </c>
      <c r="V32" s="46" t="str">
        <f t="shared" si="1"/>
        <v/>
      </c>
      <c r="W32" s="36"/>
      <c r="X32" s="18" t="str">
        <f t="array" ref="X32">IFERROR(IF(INDEX($H$13:$H$81,MATCH(0,COUNTIF($X$12:X31,$H$13:$H$81),0))=0,"",INDEX($H$13:$H$81,MATCH(0,COUNTIF($X$12:X31,$H$13:$H$81),0))),"")</f>
        <v/>
      </c>
      <c r="Y32" s="18" t="str">
        <f t="shared" si="2"/>
        <v/>
      </c>
      <c r="Z32" s="48" t="str">
        <f t="shared" si="20"/>
        <v/>
      </c>
      <c r="AA32" s="82"/>
      <c r="AB32" s="18" t="str">
        <f t="shared" si="21"/>
        <v/>
      </c>
      <c r="AC32" s="31" t="str">
        <f t="shared" si="22"/>
        <v/>
      </c>
      <c r="AD32" s="18" t="str">
        <f t="shared" si="23"/>
        <v/>
      </c>
      <c r="AE32" s="18" t="str">
        <f t="shared" si="24"/>
        <v/>
      </c>
      <c r="AF32" s="36"/>
      <c r="AG32" s="45" t="str">
        <f t="array" ref="AG32">IFERROR(IF(INDEX($B$13:$B$81,MATCH(0,COUNTIF($AG$12:AG31,$B$13:$B$81),0))=0,"",INDEX($B$13:$B$81,MATCH(0,COUNTIF($AG$12:AG31,$B$13:$B$81),0))),"")</f>
        <v/>
      </c>
      <c r="AH32" s="122" t="str">
        <f t="shared" si="3"/>
        <v/>
      </c>
      <c r="AI32" s="123" t="str">
        <f t="shared" si="4"/>
        <v/>
      </c>
      <c r="AJ32" s="102" t="str">
        <f>IFERROR(IF($AG32="","",SUMIFS([2]INPUTS!$F:$F,[2]INPUTS!$L:$L,$AG32,[2]INPUTS!$E:$E,$D$9)),"")</f>
        <v/>
      </c>
      <c r="AK32" s="12" t="str">
        <f t="shared" si="5"/>
        <v/>
      </c>
      <c r="AM32" s="109" t="str">
        <f t="shared" si="6"/>
        <v/>
      </c>
      <c r="AN32" s="108" t="str">
        <f t="shared" si="7"/>
        <v/>
      </c>
      <c r="AO32" s="101" t="str">
        <f>IF(AP32="","",_xlfn.XLOOKUP(CONCATENATE(AN32,"-",AP32),[3]INPUTS!$B:$B,[3]INPUTS!$N:$N))</f>
        <v/>
      </c>
      <c r="AP32" s="108" t="str">
        <f t="shared" si="8"/>
        <v/>
      </c>
      <c r="AQ32" s="99" t="str">
        <f>IF($F32="","",IF($L32="",_xlfn.XLOOKUP($D$9,[1]SCHE!$A:$A,[1]SCHE!$N:$N),$L32))</f>
        <v/>
      </c>
      <c r="AR32" s="99" t="str">
        <f t="shared" si="36"/>
        <v/>
      </c>
      <c r="AS32" s="47" t="str">
        <f t="shared" si="25"/>
        <v/>
      </c>
      <c r="AT32" s="9" t="str">
        <f t="shared" si="10"/>
        <v/>
      </c>
      <c r="AU32" s="94" t="str">
        <f>IF($AO32="","",IF($AT$3="",INDEX([3]INPUTS!$A:$BF,MATCH(CONCATENATE($AN32,"-",$AP32),[3]INPUTS!$B:$B,0),22),$AT$3))</f>
        <v/>
      </c>
      <c r="AV32" s="103" t="str">
        <f t="shared" si="11"/>
        <v/>
      </c>
      <c r="AW32" s="11" t="str">
        <f t="shared" si="12"/>
        <v/>
      </c>
      <c r="AX32" s="104" t="str">
        <f t="shared" si="26"/>
        <v/>
      </c>
      <c r="AY32" s="110" t="str">
        <f t="shared" si="37"/>
        <v/>
      </c>
      <c r="BE32" s="19" t="str">
        <f t="shared" si="27"/>
        <v/>
      </c>
      <c r="BR32" s="1" t="str">
        <f t="array" ref="BR32">IFERROR(IF(INDEX($B$13:$B$81,MATCH(0,COUNTIF($BR$12:BR31,$B$13:$B$81),0))=0,"",INDEX($B$13:$B$81,MATCH(0,COUNTIF($BR$12:BR31,$B$13:$B$81),0))),"")</f>
        <v/>
      </c>
      <c r="BS32" s="124" t="str">
        <f t="shared" si="28"/>
        <v/>
      </c>
      <c r="BT32" s="125" t="str">
        <f t="shared" si="29"/>
        <v/>
      </c>
      <c r="BU32" s="4" t="str">
        <f>IF(LINE2_DATA[[#This Row],[OP]]="","",INDEX(Sheet1!$G$2:$I$10,MATCH(LINE2_DATA[[#This Row],[OP]],Sheet1!$G$2:$G$10,0),3))</f>
        <v/>
      </c>
      <c r="BV32" s="4" t="str">
        <f t="shared" si="30"/>
        <v/>
      </c>
      <c r="BW32" s="4" t="str">
        <f t="shared" si="31"/>
        <v/>
      </c>
      <c r="BX32" s="4" t="str">
        <f t="shared" si="32"/>
        <v/>
      </c>
      <c r="BY32" s="4" t="str">
        <f t="shared" si="33"/>
        <v/>
      </c>
      <c r="BZ32" s="4" t="str">
        <f>IF(BR32="","",SUM(LINE2_DATA[[#This Row],[PRODUCED LBS]],LINE2_DATA[[#This Row],[SCRAP]]))</f>
        <v/>
      </c>
      <c r="CA32" s="4" t="str">
        <f>IF(BR32="","",ROUND(((LINE2_DATA[[#This Row],[SCRAP]]/LINE2_DATA[[#This Row],[TOTAL LBS]])*100),2))</f>
        <v/>
      </c>
      <c r="CB32" s="4" t="str">
        <f t="shared" si="34"/>
        <v/>
      </c>
      <c r="CC32" s="4" t="str">
        <f t="shared" si="35"/>
        <v/>
      </c>
      <c r="CD32" s="4" t="str">
        <f>IF(LINE2_DATA[[#This Row],[EFFECTIVE SPEED]]="","",(LINE2_DATA[[#This Row],[EFFECTIVE SPEED]]*LINE2_DATA[[#This Row],[AVAILABLE MINS]]))</f>
        <v/>
      </c>
      <c r="CE32" s="4" t="str">
        <f>IFERROR(IF(BR32="","",ROUND(((LINE2_DATA[[#This Row],[PRODUCED FT]]/LINE2_DATA[[#This Row],[PENT. PROD. CAP.]])*100),2)),"")</f>
        <v/>
      </c>
      <c r="CF32" s="125" t="str">
        <f>IF(LINE2_DATA[[#This Row],[DATE]]="","",75)</f>
        <v/>
      </c>
      <c r="CG32" s="125" t="str">
        <f>IF(LINE2_DATA[[#This Row],[DATE]]="","",10)</f>
        <v/>
      </c>
    </row>
    <row r="33" spans="1:85" ht="19.5" customHeight="1" x14ac:dyDescent="0.25">
      <c r="A33" s="19" t="str">
        <f t="shared" si="14"/>
        <v/>
      </c>
      <c r="B33" s="19" t="str">
        <f t="shared" si="15"/>
        <v/>
      </c>
      <c r="D33" s="26"/>
      <c r="E33" s="26"/>
      <c r="F33" s="26"/>
      <c r="G33" s="26"/>
      <c r="H33" s="97"/>
      <c r="I33" s="27"/>
      <c r="J33" s="8"/>
      <c r="K33" s="8"/>
      <c r="L33" s="8"/>
      <c r="M33" s="8"/>
      <c r="N33" s="8"/>
      <c r="O33" s="36"/>
      <c r="P33" s="4" t="str" cm="1">
        <f t="array" ref="P33">IFERROR(INDEX($A$13:$A$81,MATCH(0,COUNTIF($P$12:P32,$A$13:$A$81),0)),"")</f>
        <v/>
      </c>
      <c r="Q33" s="92" t="str">
        <f t="shared" si="16"/>
        <v/>
      </c>
      <c r="R33" s="93" t="str">
        <f t="shared" si="17"/>
        <v/>
      </c>
      <c r="S33" s="93" t="str">
        <f t="shared" si="18"/>
        <v/>
      </c>
      <c r="T33" s="93" t="str">
        <f t="shared" si="19"/>
        <v/>
      </c>
      <c r="U33" s="127" t="str">
        <f t="shared" si="0"/>
        <v/>
      </c>
      <c r="V33" s="46" t="str">
        <f t="shared" si="1"/>
        <v/>
      </c>
      <c r="W33" s="36"/>
      <c r="X33" s="18" t="str">
        <f t="array" ref="X33">IFERROR(IF(INDEX($H$13:$H$81,MATCH(0,COUNTIF($X$12:X32,$H$13:$H$81),0))=0,"",INDEX($H$13:$H$81,MATCH(0,COUNTIF($X$12:X32,$H$13:$H$81),0))),"")</f>
        <v/>
      </c>
      <c r="Y33" s="18" t="str">
        <f t="shared" si="2"/>
        <v/>
      </c>
      <c r="Z33" s="48" t="str">
        <f t="shared" si="20"/>
        <v/>
      </c>
      <c r="AA33" s="82"/>
      <c r="AB33" s="18" t="str">
        <f t="shared" si="21"/>
        <v/>
      </c>
      <c r="AC33" s="31" t="str">
        <f t="shared" si="22"/>
        <v/>
      </c>
      <c r="AD33" s="18" t="str">
        <f t="shared" si="23"/>
        <v/>
      </c>
      <c r="AE33" s="18" t="str">
        <f t="shared" si="24"/>
        <v/>
      </c>
      <c r="AF33" s="36"/>
      <c r="AG33" s="45" t="str">
        <f t="array" ref="AG33">IFERROR(IF(INDEX($B$13:$B$81,MATCH(0,COUNTIF($AG$12:AG32,$B$13:$B$81),0))=0,"",INDEX($B$13:$B$81,MATCH(0,COUNTIF($AG$12:AG32,$B$13:$B$81),0))),"")</f>
        <v/>
      </c>
      <c r="AH33" s="122" t="str">
        <f t="shared" si="3"/>
        <v/>
      </c>
      <c r="AI33" s="123" t="str">
        <f t="shared" si="4"/>
        <v/>
      </c>
      <c r="AJ33" s="102" t="str">
        <f>IFERROR(IF($AG33="","",SUMIFS([2]INPUTS!$F:$F,[2]INPUTS!$L:$L,$AG33,[2]INPUTS!$E:$E,$D$9)),"")</f>
        <v/>
      </c>
      <c r="AK33" s="12" t="str">
        <f t="shared" si="5"/>
        <v/>
      </c>
      <c r="AM33" s="109" t="str">
        <f t="shared" si="6"/>
        <v/>
      </c>
      <c r="AN33" s="108" t="str">
        <f t="shared" si="7"/>
        <v/>
      </c>
      <c r="AO33" s="101" t="str">
        <f>IF(AP33="","",_xlfn.XLOOKUP(CONCATENATE(AN33,"-",AP33),[3]INPUTS!$B:$B,[3]INPUTS!$N:$N))</f>
        <v/>
      </c>
      <c r="AP33" s="108" t="str">
        <f t="shared" si="8"/>
        <v/>
      </c>
      <c r="AQ33" s="99" t="str">
        <f>IF($F33="","",IF($L33="",_xlfn.XLOOKUP($D$9,[1]SCHE!$A:$A,[1]SCHE!$N:$N),$L33))</f>
        <v/>
      </c>
      <c r="AR33" s="99" t="str">
        <f t="shared" si="36"/>
        <v/>
      </c>
      <c r="AS33" s="47" t="str">
        <f t="shared" si="25"/>
        <v/>
      </c>
      <c r="AT33" s="9" t="str">
        <f t="shared" si="10"/>
        <v/>
      </c>
      <c r="AU33" s="94" t="str">
        <f>IF($AO33="","",IF($AT$3="",INDEX([3]INPUTS!$A:$BF,MATCH(CONCATENATE($AN33,"-",$AP33),[3]INPUTS!$B:$B,0),22),$AT$3))</f>
        <v/>
      </c>
      <c r="AV33" s="103" t="str">
        <f t="shared" si="11"/>
        <v/>
      </c>
      <c r="AW33" s="11" t="str">
        <f t="shared" si="12"/>
        <v/>
      </c>
      <c r="AX33" s="104" t="str">
        <f t="shared" si="26"/>
        <v/>
      </c>
      <c r="AY33" s="110" t="str">
        <f t="shared" si="37"/>
        <v/>
      </c>
      <c r="BE33" s="19" t="str">
        <f t="shared" si="27"/>
        <v/>
      </c>
      <c r="BR33" s="1" t="str">
        <f t="array" ref="BR33">IFERROR(IF(INDEX($B$13:$B$81,MATCH(0,COUNTIF($BR$12:BR32,$B$13:$B$81),0))=0,"",INDEX($B$13:$B$81,MATCH(0,COUNTIF($BR$12:BR32,$B$13:$B$81),0))),"")</f>
        <v/>
      </c>
      <c r="BS33" s="124" t="str">
        <f t="shared" si="28"/>
        <v/>
      </c>
      <c r="BT33" s="125" t="str">
        <f t="shared" si="29"/>
        <v/>
      </c>
      <c r="BU33" s="4" t="str">
        <f>IF(LINE2_DATA[[#This Row],[OP]]="","",INDEX(Sheet1!$G$2:$I$10,MATCH(LINE2_DATA[[#This Row],[OP]],Sheet1!$G$2:$G$10,0),3))</f>
        <v/>
      </c>
      <c r="BV33" s="4" t="str">
        <f t="shared" si="30"/>
        <v/>
      </c>
      <c r="BW33" s="4" t="str">
        <f t="shared" si="31"/>
        <v/>
      </c>
      <c r="BX33" s="4" t="str">
        <f t="shared" si="32"/>
        <v/>
      </c>
      <c r="BY33" s="4" t="str">
        <f t="shared" si="33"/>
        <v/>
      </c>
      <c r="BZ33" s="4" t="str">
        <f>IF(BR33="","",SUM(LINE2_DATA[[#This Row],[PRODUCED LBS]],LINE2_DATA[[#This Row],[SCRAP]]))</f>
        <v/>
      </c>
      <c r="CA33" s="4" t="str">
        <f>IF(BR33="","",ROUND(((LINE2_DATA[[#This Row],[SCRAP]]/LINE2_DATA[[#This Row],[TOTAL LBS]])*100),2))</f>
        <v/>
      </c>
      <c r="CB33" s="4" t="str">
        <f t="shared" si="34"/>
        <v/>
      </c>
      <c r="CC33" s="4" t="str">
        <f t="shared" si="35"/>
        <v/>
      </c>
      <c r="CD33" s="4" t="str">
        <f>IF(LINE2_DATA[[#This Row],[EFFECTIVE SPEED]]="","",(LINE2_DATA[[#This Row],[EFFECTIVE SPEED]]*LINE2_DATA[[#This Row],[AVAILABLE MINS]]))</f>
        <v/>
      </c>
      <c r="CE33" s="4" t="str">
        <f>IFERROR(IF(BR33="","",ROUND(((LINE2_DATA[[#This Row],[PRODUCED FT]]/LINE2_DATA[[#This Row],[PENT. PROD. CAP.]])*100),2)),"")</f>
        <v/>
      </c>
      <c r="CF33" s="125" t="str">
        <f>IF(LINE2_DATA[[#This Row],[DATE]]="","",75)</f>
        <v/>
      </c>
      <c r="CG33" s="125" t="str">
        <f>IF(LINE2_DATA[[#This Row],[DATE]]="","",10)</f>
        <v/>
      </c>
    </row>
    <row r="34" spans="1:85" ht="19.149999999999999" customHeight="1" x14ac:dyDescent="0.25">
      <c r="A34" s="19" t="str">
        <f t="shared" si="14"/>
        <v/>
      </c>
      <c r="B34" s="19" t="str">
        <f t="shared" si="15"/>
        <v/>
      </c>
      <c r="D34" s="26"/>
      <c r="E34" s="26"/>
      <c r="F34" s="26"/>
      <c r="G34" s="26"/>
      <c r="H34" s="97"/>
      <c r="I34" s="27"/>
      <c r="J34" s="8"/>
      <c r="K34" s="8"/>
      <c r="L34" s="8"/>
      <c r="M34" s="8"/>
      <c r="N34" s="8"/>
      <c r="O34" s="36"/>
      <c r="P34" s="4" t="str" cm="1">
        <f t="array" ref="P34">IFERROR(INDEX($A$13:$A$81,MATCH(0,COUNTIF($P$12:P33,$A$13:$A$81),0)),"")</f>
        <v/>
      </c>
      <c r="Q34" s="92" t="str">
        <f t="shared" si="16"/>
        <v/>
      </c>
      <c r="R34" s="93" t="str">
        <f t="shared" si="17"/>
        <v/>
      </c>
      <c r="S34" s="93" t="str">
        <f t="shared" si="18"/>
        <v/>
      </c>
      <c r="T34" s="93" t="str">
        <f t="shared" si="19"/>
        <v/>
      </c>
      <c r="U34" s="127" t="str">
        <f t="shared" si="0"/>
        <v/>
      </c>
      <c r="V34" s="46" t="str">
        <f t="shared" si="1"/>
        <v/>
      </c>
      <c r="W34" s="36"/>
      <c r="X34" s="18" t="str">
        <f t="array" ref="X34">IFERROR(IF(INDEX($H$13:$H$81,MATCH(0,COUNTIF($X$12:X33,$H$13:$H$81),0))=0,"",INDEX($H$13:$H$81,MATCH(0,COUNTIF($X$12:X33,$H$13:$H$81),0))),"")</f>
        <v/>
      </c>
      <c r="Y34" s="18" t="str">
        <f t="shared" si="2"/>
        <v/>
      </c>
      <c r="Z34" s="48" t="str">
        <f t="shared" si="20"/>
        <v/>
      </c>
      <c r="AA34" s="82"/>
      <c r="AB34" s="18" t="str">
        <f t="shared" si="21"/>
        <v/>
      </c>
      <c r="AC34" s="31" t="str">
        <f t="shared" si="22"/>
        <v/>
      </c>
      <c r="AD34" s="18" t="str">
        <f t="shared" si="23"/>
        <v/>
      </c>
      <c r="AE34" s="18" t="str">
        <f t="shared" si="24"/>
        <v/>
      </c>
      <c r="AF34" s="36"/>
      <c r="AG34" s="45" t="str">
        <f t="array" ref="AG34">IFERROR(IF(INDEX($B$13:$B$81,MATCH(0,COUNTIF($AG$12:AG33,$B$13:$B$81),0))=0,"",INDEX($B$13:$B$81,MATCH(0,COUNTIF($AG$12:AG33,$B$13:$B$81),0))),"")</f>
        <v/>
      </c>
      <c r="AH34" s="122" t="str">
        <f t="shared" si="3"/>
        <v/>
      </c>
      <c r="AI34" s="123" t="str">
        <f t="shared" si="4"/>
        <v/>
      </c>
      <c r="AJ34" s="102" t="str">
        <f>IFERROR(IF($AG34="","",SUMIFS([2]INPUTS!$F:$F,[2]INPUTS!$L:$L,$AG34,[2]INPUTS!$E:$E,$D$9)),"")</f>
        <v/>
      </c>
      <c r="AK34" s="12" t="str">
        <f t="shared" si="5"/>
        <v/>
      </c>
      <c r="AM34" s="109" t="str">
        <f t="shared" si="6"/>
        <v/>
      </c>
      <c r="AN34" s="108" t="str">
        <f t="shared" si="7"/>
        <v/>
      </c>
      <c r="AO34" s="101" t="str">
        <f>IF(AP34="","",_xlfn.XLOOKUP(CONCATENATE(AN34,"-",AP34),[3]INPUTS!$B:$B,[3]INPUTS!$N:$N))</f>
        <v/>
      </c>
      <c r="AP34" s="108" t="str">
        <f t="shared" si="8"/>
        <v/>
      </c>
      <c r="AQ34" s="99" t="str">
        <f>IF($F34="","",IF($L34="",_xlfn.XLOOKUP($D$9,[1]SCHE!$A:$A,[1]SCHE!$N:$N),$L34))</f>
        <v/>
      </c>
      <c r="AR34" s="99" t="str">
        <f t="shared" si="36"/>
        <v/>
      </c>
      <c r="AS34" s="47" t="str">
        <f t="shared" si="25"/>
        <v/>
      </c>
      <c r="AT34" s="9" t="str">
        <f t="shared" si="10"/>
        <v/>
      </c>
      <c r="AU34" s="94" t="str">
        <f>IF($AO34="","",IF($AT$3="",INDEX([3]INPUTS!$A:$BF,MATCH(CONCATENATE($AN34,"-",$AP34),[3]INPUTS!$B:$B,0),22),$AT$3))</f>
        <v/>
      </c>
      <c r="AV34" s="103" t="str">
        <f t="shared" si="11"/>
        <v/>
      </c>
      <c r="AW34" s="11" t="str">
        <f t="shared" si="12"/>
        <v/>
      </c>
      <c r="AX34" s="104" t="str">
        <f t="shared" si="26"/>
        <v/>
      </c>
      <c r="AY34" s="110" t="str">
        <f t="shared" si="37"/>
        <v/>
      </c>
      <c r="BE34" s="19" t="str">
        <f t="shared" si="27"/>
        <v/>
      </c>
      <c r="BR34" s="1" t="str">
        <f t="array" ref="BR34">IFERROR(IF(INDEX($B$13:$B$81,MATCH(0,COUNTIF($BR$12:BR33,$B$13:$B$81),0))=0,"",INDEX($B$13:$B$81,MATCH(0,COUNTIF($BR$12:BR33,$B$13:$B$81),0))),"")</f>
        <v/>
      </c>
      <c r="BS34" s="124" t="str">
        <f t="shared" si="28"/>
        <v/>
      </c>
      <c r="BT34" s="125" t="str">
        <f t="shared" si="29"/>
        <v/>
      </c>
      <c r="BU34" s="4" t="str">
        <f>IF(LINE2_DATA[[#This Row],[OP]]="","",INDEX(Sheet1!$G$2:$I$10,MATCH(LINE2_DATA[[#This Row],[OP]],Sheet1!$G$2:$G$10,0),3))</f>
        <v/>
      </c>
      <c r="BV34" s="4" t="str">
        <f t="shared" si="30"/>
        <v/>
      </c>
      <c r="BW34" s="4" t="str">
        <f t="shared" si="31"/>
        <v/>
      </c>
      <c r="BX34" s="4" t="str">
        <f t="shared" si="32"/>
        <v/>
      </c>
      <c r="BY34" s="4" t="str">
        <f t="shared" si="33"/>
        <v/>
      </c>
      <c r="BZ34" s="4" t="str">
        <f>IF(BR34="","",SUM(LINE2_DATA[[#This Row],[PRODUCED LBS]],LINE2_DATA[[#This Row],[SCRAP]]))</f>
        <v/>
      </c>
      <c r="CA34" s="4" t="str">
        <f>IF(BR34="","",ROUND(((LINE2_DATA[[#This Row],[SCRAP]]/LINE2_DATA[[#This Row],[TOTAL LBS]])*100),2))</f>
        <v/>
      </c>
      <c r="CB34" s="4" t="str">
        <f t="shared" si="34"/>
        <v/>
      </c>
      <c r="CC34" s="4" t="str">
        <f t="shared" si="35"/>
        <v/>
      </c>
      <c r="CD34" s="4" t="str">
        <f>IF(LINE2_DATA[[#This Row],[EFFECTIVE SPEED]]="","",(LINE2_DATA[[#This Row],[EFFECTIVE SPEED]]*LINE2_DATA[[#This Row],[AVAILABLE MINS]]))</f>
        <v/>
      </c>
      <c r="CE34" s="4" t="str">
        <f>IFERROR(IF(BR34="","",ROUND(((LINE2_DATA[[#This Row],[PRODUCED FT]]/LINE2_DATA[[#This Row],[PENT. PROD. CAP.]])*100),2)),"")</f>
        <v/>
      </c>
      <c r="CF34" s="125" t="str">
        <f>IF(LINE2_DATA[[#This Row],[DATE]]="","",75)</f>
        <v/>
      </c>
      <c r="CG34" s="125" t="str">
        <f>IF(LINE2_DATA[[#This Row],[DATE]]="","",10)</f>
        <v/>
      </c>
    </row>
    <row r="35" spans="1:85" ht="19.5" customHeight="1" x14ac:dyDescent="0.25">
      <c r="A35" s="19" t="str">
        <f t="shared" si="14"/>
        <v/>
      </c>
      <c r="B35" s="19" t="str">
        <f t="shared" si="15"/>
        <v/>
      </c>
      <c r="D35" s="26"/>
      <c r="E35" s="26"/>
      <c r="F35" s="26"/>
      <c r="G35" s="26"/>
      <c r="H35" s="97"/>
      <c r="I35" s="27"/>
      <c r="J35" s="8"/>
      <c r="K35" s="43"/>
      <c r="L35" s="43"/>
      <c r="M35" s="43"/>
      <c r="N35" s="43"/>
      <c r="O35" s="37"/>
      <c r="P35" s="4" t="str" cm="1">
        <f t="array" ref="P35">IFERROR(INDEX($A$13:$A$81,MATCH(0,COUNTIF($P$12:P34,$A$13:$A$81),0)),"")</f>
        <v/>
      </c>
      <c r="Q35" s="92" t="str">
        <f t="shared" si="16"/>
        <v/>
      </c>
      <c r="R35" s="93" t="str">
        <f t="shared" si="17"/>
        <v/>
      </c>
      <c r="S35" s="93" t="str">
        <f t="shared" si="18"/>
        <v/>
      </c>
      <c r="T35" s="93" t="str">
        <f t="shared" si="19"/>
        <v/>
      </c>
      <c r="U35" s="127" t="str">
        <f t="shared" si="0"/>
        <v/>
      </c>
      <c r="V35" s="46" t="str">
        <f t="shared" si="1"/>
        <v/>
      </c>
      <c r="W35" s="37"/>
      <c r="X35" s="18" t="str">
        <f t="array" ref="X35">IFERROR(IF(INDEX($H$13:$H$81,MATCH(0,COUNTIF($X$12:X34,$H$13:$H$81),0))=0,"",INDEX($H$13:$H$81,MATCH(0,COUNTIF($X$12:X34,$H$13:$H$81),0))),"")</f>
        <v/>
      </c>
      <c r="Y35" s="18" t="str">
        <f t="shared" si="2"/>
        <v/>
      </c>
      <c r="Z35" s="48" t="str">
        <f t="shared" si="20"/>
        <v/>
      </c>
      <c r="AA35" s="82"/>
      <c r="AB35" s="18" t="str">
        <f t="shared" si="21"/>
        <v/>
      </c>
      <c r="AC35" s="31" t="str">
        <f t="shared" si="22"/>
        <v/>
      </c>
      <c r="AD35" s="18" t="str">
        <f t="shared" si="23"/>
        <v/>
      </c>
      <c r="AE35" s="18" t="str">
        <f t="shared" si="24"/>
        <v/>
      </c>
      <c r="AF35" s="37"/>
      <c r="AG35" s="45" t="str">
        <f t="array" ref="AG35">IFERROR(IF(INDEX($B$13:$B$81,MATCH(0,COUNTIF($AG$12:AG34,$B$13:$B$81),0))=0,"",INDEX($B$13:$B$81,MATCH(0,COUNTIF($AG$12:AG34,$B$13:$B$81),0))),"")</f>
        <v/>
      </c>
      <c r="AH35" s="122" t="str">
        <f t="shared" si="3"/>
        <v/>
      </c>
      <c r="AI35" s="123" t="str">
        <f t="shared" si="4"/>
        <v/>
      </c>
      <c r="AJ35" s="102" t="str">
        <f>IFERROR(IF($AG35="","",SUMIFS([2]INPUTS!$F:$F,[2]INPUTS!$L:$L,$AG35,[2]INPUTS!$E:$E,$D$9)),"")</f>
        <v/>
      </c>
      <c r="AK35" s="12" t="str">
        <f t="shared" si="5"/>
        <v/>
      </c>
      <c r="AM35" s="109" t="str">
        <f t="shared" si="6"/>
        <v/>
      </c>
      <c r="AN35" s="108" t="str">
        <f t="shared" si="7"/>
        <v/>
      </c>
      <c r="AO35" s="101" t="str">
        <f>IF(AP35="","",_xlfn.XLOOKUP(CONCATENATE(AN35,"-",AP35),[3]INPUTS!$B:$B,[3]INPUTS!$N:$N))</f>
        <v/>
      </c>
      <c r="AP35" s="108" t="str">
        <f t="shared" si="8"/>
        <v/>
      </c>
      <c r="AQ35" s="99" t="str">
        <f>IF($F35="","",IF($L35="",_xlfn.XLOOKUP($D$9,[1]SCHE!$A:$A,[1]SCHE!$N:$N),$L35))</f>
        <v/>
      </c>
      <c r="AR35" s="99" t="str">
        <f t="shared" si="36"/>
        <v/>
      </c>
      <c r="AS35" s="47" t="str">
        <f t="shared" si="25"/>
        <v/>
      </c>
      <c r="AT35" s="9" t="str">
        <f t="shared" si="10"/>
        <v/>
      </c>
      <c r="AU35" s="94" t="str">
        <f>IF($AO35="","",IF($AT$3="",INDEX([3]INPUTS!$A:$BF,MATCH(CONCATENATE($AN35,"-",$AP35),[3]INPUTS!$B:$B,0),22),$AT$3))</f>
        <v/>
      </c>
      <c r="AV35" s="103" t="str">
        <f t="shared" si="11"/>
        <v/>
      </c>
      <c r="AW35" s="11" t="str">
        <f t="shared" si="12"/>
        <v/>
      </c>
      <c r="AX35" s="104" t="str">
        <f t="shared" si="26"/>
        <v/>
      </c>
      <c r="AY35" s="110" t="str">
        <f t="shared" si="37"/>
        <v/>
      </c>
      <c r="BE35" s="19" t="str">
        <f t="shared" si="27"/>
        <v/>
      </c>
      <c r="BR35" s="1" t="str">
        <f t="array" ref="BR35">IFERROR(IF(INDEX($B$13:$B$81,MATCH(0,COUNTIF($BR$12:BR34,$B$13:$B$81),0))=0,"",INDEX($B$13:$B$81,MATCH(0,COUNTIF($BR$12:BR34,$B$13:$B$81),0))),"")</f>
        <v/>
      </c>
      <c r="BS35" s="124" t="str">
        <f t="shared" si="28"/>
        <v/>
      </c>
      <c r="BT35" s="125" t="str">
        <f t="shared" si="29"/>
        <v/>
      </c>
      <c r="BU35" s="4" t="str">
        <f>IF(LINE2_DATA[[#This Row],[OP]]="","",INDEX(Sheet1!$G$2:$I$10,MATCH(LINE2_DATA[[#This Row],[OP]],Sheet1!$G$2:$G$10,0),3))</f>
        <v/>
      </c>
      <c r="BV35" s="4" t="str">
        <f t="shared" si="30"/>
        <v/>
      </c>
      <c r="BW35" s="4" t="str">
        <f t="shared" si="31"/>
        <v/>
      </c>
      <c r="BX35" s="4" t="str">
        <f t="shared" si="32"/>
        <v/>
      </c>
      <c r="BY35" s="4" t="str">
        <f t="shared" si="33"/>
        <v/>
      </c>
      <c r="BZ35" s="4" t="str">
        <f>IF(BR35="","",SUM(LINE2_DATA[[#This Row],[PRODUCED LBS]],LINE2_DATA[[#This Row],[SCRAP]]))</f>
        <v/>
      </c>
      <c r="CA35" s="4" t="str">
        <f>IF(BR35="","",ROUND(((LINE2_DATA[[#This Row],[SCRAP]]/LINE2_DATA[[#This Row],[TOTAL LBS]])*100),2))</f>
        <v/>
      </c>
      <c r="CB35" s="4" t="str">
        <f t="shared" si="34"/>
        <v/>
      </c>
      <c r="CC35" s="4" t="str">
        <f t="shared" si="35"/>
        <v/>
      </c>
      <c r="CD35" s="4" t="str">
        <f>IF(LINE2_DATA[[#This Row],[EFFECTIVE SPEED]]="","",(LINE2_DATA[[#This Row],[EFFECTIVE SPEED]]*LINE2_DATA[[#This Row],[AVAILABLE MINS]]))</f>
        <v/>
      </c>
      <c r="CE35" s="4" t="str">
        <f>IFERROR(IF(BR35="","",ROUND(((LINE2_DATA[[#This Row],[PRODUCED FT]]/LINE2_DATA[[#This Row],[PENT. PROD. CAP.]])*100),2)),"")</f>
        <v/>
      </c>
      <c r="CF35" s="125" t="str">
        <f>IF(LINE2_DATA[[#This Row],[DATE]]="","",75)</f>
        <v/>
      </c>
      <c r="CG35" s="125" t="str">
        <f>IF(LINE2_DATA[[#This Row],[DATE]]="","",10)</f>
        <v/>
      </c>
    </row>
    <row r="36" spans="1:85" ht="19.149999999999999" customHeight="1" x14ac:dyDescent="0.25">
      <c r="A36" s="19" t="str">
        <f t="shared" si="14"/>
        <v/>
      </c>
      <c r="B36" s="19" t="str">
        <f t="shared" si="15"/>
        <v/>
      </c>
      <c r="D36" s="26"/>
      <c r="E36" s="26"/>
      <c r="F36" s="26"/>
      <c r="G36" s="26"/>
      <c r="H36" s="97"/>
      <c r="I36" s="27"/>
      <c r="J36" s="8"/>
      <c r="K36" s="43"/>
      <c r="L36" s="43"/>
      <c r="M36" s="43"/>
      <c r="N36" s="43"/>
      <c r="O36" s="37"/>
      <c r="P36" s="4" t="str" cm="1">
        <f t="array" ref="P36">IFERROR(INDEX($A$13:$A$81,MATCH(0,COUNTIF($P$12:P35,$A$13:$A$81),0)),"")</f>
        <v/>
      </c>
      <c r="Q36" s="92" t="str">
        <f t="shared" si="16"/>
        <v/>
      </c>
      <c r="R36" s="93" t="str">
        <f t="shared" si="17"/>
        <v/>
      </c>
      <c r="S36" s="93" t="str">
        <f t="shared" si="18"/>
        <v/>
      </c>
      <c r="T36" s="93" t="str">
        <f t="shared" si="19"/>
        <v/>
      </c>
      <c r="U36" s="127" t="str">
        <f t="shared" si="0"/>
        <v/>
      </c>
      <c r="V36" s="46" t="str">
        <f t="shared" si="1"/>
        <v/>
      </c>
      <c r="W36" s="37"/>
      <c r="X36" s="18" t="str">
        <f t="array" ref="X36">IFERROR(IF(INDEX($H$13:$H$81,MATCH(0,COUNTIF($X$12:X35,$H$13:$H$81),0))=0,"",INDEX($H$13:$H$81,MATCH(0,COUNTIF($X$12:X35,$H$13:$H$81),0))),"")</f>
        <v/>
      </c>
      <c r="Y36" s="18" t="str">
        <f t="shared" si="2"/>
        <v/>
      </c>
      <c r="Z36" s="48" t="str">
        <f t="shared" si="20"/>
        <v/>
      </c>
      <c r="AA36" s="82"/>
      <c r="AB36" s="18" t="str">
        <f t="shared" si="21"/>
        <v/>
      </c>
      <c r="AC36" s="31" t="str">
        <f t="shared" si="22"/>
        <v/>
      </c>
      <c r="AD36" s="18" t="str">
        <f t="shared" si="23"/>
        <v/>
      </c>
      <c r="AE36" s="18" t="str">
        <f t="shared" si="24"/>
        <v/>
      </c>
      <c r="AF36" s="37"/>
      <c r="AG36" s="45" t="str">
        <f t="array" ref="AG36">IFERROR(IF(INDEX($B$13:$B$81,MATCH(0,COUNTIF($AG$12:AG35,$B$13:$B$81),0))=0,"",INDEX($B$13:$B$81,MATCH(0,COUNTIF($AG$12:AG35,$B$13:$B$81),0))),"")</f>
        <v/>
      </c>
      <c r="AH36" s="122" t="str">
        <f t="shared" si="3"/>
        <v/>
      </c>
      <c r="AI36" s="123" t="str">
        <f t="shared" si="4"/>
        <v/>
      </c>
      <c r="AJ36" s="102" t="str">
        <f>IFERROR(IF($AG36="","",SUMIFS([2]INPUTS!$F:$F,[2]INPUTS!$L:$L,$AG36,[2]INPUTS!$E:$E,$D$9)),"")</f>
        <v/>
      </c>
      <c r="AK36" s="12" t="str">
        <f t="shared" si="5"/>
        <v/>
      </c>
      <c r="AM36" s="109" t="str">
        <f t="shared" si="6"/>
        <v/>
      </c>
      <c r="AN36" s="108" t="str">
        <f t="shared" si="7"/>
        <v/>
      </c>
      <c r="AO36" s="101" t="str">
        <f>IF(AP36="","",_xlfn.XLOOKUP(CONCATENATE(AN36,"-",AP36),[3]INPUTS!$B:$B,[3]INPUTS!$N:$N))</f>
        <v/>
      </c>
      <c r="AP36" s="108" t="str">
        <f t="shared" si="8"/>
        <v/>
      </c>
      <c r="AQ36" s="99" t="str">
        <f>IF($F36="","",IF($L36="",_xlfn.XLOOKUP($D$9,[1]SCHE!$A:$A,[1]SCHE!$N:$N),$L36))</f>
        <v/>
      </c>
      <c r="AR36" s="99" t="str">
        <f t="shared" si="36"/>
        <v/>
      </c>
      <c r="AS36" s="47" t="str">
        <f t="shared" si="25"/>
        <v/>
      </c>
      <c r="AT36" s="9" t="str">
        <f t="shared" si="10"/>
        <v/>
      </c>
      <c r="AU36" s="94" t="str">
        <f>IF($AO36="","",IF($AT$3="",INDEX([3]INPUTS!$A:$BF,MATCH(CONCATENATE($AN36,"-",$AP36),[3]INPUTS!$B:$B,0),22),$AT$3))</f>
        <v/>
      </c>
      <c r="AV36" s="103" t="str">
        <f t="shared" si="11"/>
        <v/>
      </c>
      <c r="AW36" s="11" t="str">
        <f t="shared" si="12"/>
        <v/>
      </c>
      <c r="AX36" s="104" t="str">
        <f t="shared" si="26"/>
        <v/>
      </c>
      <c r="AY36" s="110" t="str">
        <f t="shared" si="37"/>
        <v/>
      </c>
      <c r="BE36" s="19" t="str">
        <f t="shared" si="27"/>
        <v/>
      </c>
      <c r="BR36" s="1" t="str">
        <f t="array" ref="BR36">IFERROR(IF(INDEX($B$13:$B$81,MATCH(0,COUNTIF($BR$12:BR35,$B$13:$B$81),0))=0,"",INDEX($B$13:$B$81,MATCH(0,COUNTIF($BR$12:BR35,$B$13:$B$81),0))),"")</f>
        <v/>
      </c>
      <c r="BS36" s="124" t="str">
        <f t="shared" si="28"/>
        <v/>
      </c>
      <c r="BT36" s="125" t="str">
        <f t="shared" si="29"/>
        <v/>
      </c>
      <c r="BU36" s="4" t="str">
        <f>IF(LINE2_DATA[[#This Row],[OP]]="","",INDEX(Sheet1!$G$2:$I$10,MATCH(LINE2_DATA[[#This Row],[OP]],Sheet1!$G$2:$G$10,0),3))</f>
        <v/>
      </c>
      <c r="BV36" s="4" t="str">
        <f t="shared" si="30"/>
        <v/>
      </c>
      <c r="BW36" s="4" t="str">
        <f t="shared" si="31"/>
        <v/>
      </c>
      <c r="BX36" s="4" t="str">
        <f t="shared" si="32"/>
        <v/>
      </c>
      <c r="BY36" s="4" t="str">
        <f t="shared" si="33"/>
        <v/>
      </c>
      <c r="BZ36" s="4" t="str">
        <f>IF(BR36="","",SUM(LINE2_DATA[[#This Row],[PRODUCED LBS]],LINE2_DATA[[#This Row],[SCRAP]]))</f>
        <v/>
      </c>
      <c r="CA36" s="4" t="str">
        <f>IF(BR36="","",ROUND(((LINE2_DATA[[#This Row],[SCRAP]]/LINE2_DATA[[#This Row],[TOTAL LBS]])*100),2))</f>
        <v/>
      </c>
      <c r="CB36" s="4" t="str">
        <f t="shared" si="34"/>
        <v/>
      </c>
      <c r="CC36" s="4" t="str">
        <f t="shared" si="35"/>
        <v/>
      </c>
      <c r="CD36" s="4" t="str">
        <f>IF(LINE2_DATA[[#This Row],[EFFECTIVE SPEED]]="","",(LINE2_DATA[[#This Row],[EFFECTIVE SPEED]]*LINE2_DATA[[#This Row],[AVAILABLE MINS]]))</f>
        <v/>
      </c>
      <c r="CE36" s="4" t="str">
        <f>IFERROR(IF(BR36="","",ROUND(((LINE2_DATA[[#This Row],[PRODUCED FT]]/LINE2_DATA[[#This Row],[PENT. PROD. CAP.]])*100),2)),"")</f>
        <v/>
      </c>
      <c r="CF36" s="125" t="str">
        <f>IF(LINE2_DATA[[#This Row],[DATE]]="","",75)</f>
        <v/>
      </c>
      <c r="CG36" s="125" t="str">
        <f>IF(LINE2_DATA[[#This Row],[DATE]]="","",10)</f>
        <v/>
      </c>
    </row>
    <row r="37" spans="1:85" ht="19.899999999999999" customHeight="1" x14ac:dyDescent="0.25">
      <c r="A37" s="19" t="str">
        <f t="shared" si="14"/>
        <v/>
      </c>
      <c r="B37" s="19" t="str">
        <f t="shared" si="15"/>
        <v/>
      </c>
      <c r="D37" s="8"/>
      <c r="E37" s="26"/>
      <c r="F37" s="26"/>
      <c r="G37" s="26"/>
      <c r="H37" s="97"/>
      <c r="I37" s="27"/>
      <c r="J37" s="8"/>
      <c r="K37" s="43"/>
      <c r="L37" s="43"/>
      <c r="M37" s="43"/>
      <c r="N37" s="43"/>
      <c r="O37" s="37"/>
      <c r="P37" s="4" t="str" cm="1">
        <f t="array" ref="P37">IFERROR(INDEX($A$13:$A$81,MATCH(0,COUNTIF($P$12:P36,$A$13:$A$81),0)),"")</f>
        <v/>
      </c>
      <c r="Q37" s="92" t="str">
        <f t="shared" si="16"/>
        <v/>
      </c>
      <c r="R37" s="93" t="str">
        <f t="shared" si="17"/>
        <v/>
      </c>
      <c r="S37" s="93" t="str">
        <f t="shared" si="18"/>
        <v/>
      </c>
      <c r="T37" s="93" t="str">
        <f t="shared" si="19"/>
        <v/>
      </c>
      <c r="U37" s="127" t="str">
        <f t="shared" si="0"/>
        <v/>
      </c>
      <c r="V37" s="46" t="str">
        <f t="shared" si="1"/>
        <v/>
      </c>
      <c r="W37" s="37"/>
      <c r="X37" s="18" t="str">
        <f t="array" ref="X37">IFERROR(IF(INDEX($H$13:$H$81,MATCH(0,COUNTIF($X$12:X36,$H$13:$H$81),0))=0,"",INDEX($H$13:$H$81,MATCH(0,COUNTIF($X$12:X36,$H$13:$H$81),0))),"")</f>
        <v/>
      </c>
      <c r="Y37" s="18" t="str">
        <f t="shared" si="2"/>
        <v/>
      </c>
      <c r="Z37" s="48" t="str">
        <f t="shared" si="20"/>
        <v/>
      </c>
      <c r="AA37" s="82"/>
      <c r="AB37" s="18" t="str">
        <f t="shared" si="21"/>
        <v/>
      </c>
      <c r="AC37" s="31" t="str">
        <f t="shared" si="22"/>
        <v/>
      </c>
      <c r="AD37" s="18" t="str">
        <f t="shared" si="23"/>
        <v/>
      </c>
      <c r="AE37" s="18" t="str">
        <f t="shared" si="24"/>
        <v/>
      </c>
      <c r="AF37" s="37"/>
      <c r="AG37" s="45" t="str">
        <f t="array" ref="AG37">IFERROR(IF(INDEX($B$13:$B$81,MATCH(0,COUNTIF($AG$12:AG36,$B$13:$B$81),0))=0,"",INDEX($B$13:$B$81,MATCH(0,COUNTIF($AG$12:AG36,$B$13:$B$81),0))),"")</f>
        <v/>
      </c>
      <c r="AH37" s="122" t="str">
        <f t="shared" si="3"/>
        <v/>
      </c>
      <c r="AI37" s="123" t="str">
        <f t="shared" si="4"/>
        <v/>
      </c>
      <c r="AJ37" s="102" t="str">
        <f>IFERROR(IF($AG37="","",SUMIFS([2]INPUTS!$F:$F,[2]INPUTS!$L:$L,$AG37,[2]INPUTS!$E:$E,$D$9)),"")</f>
        <v/>
      </c>
      <c r="AK37" s="12" t="str">
        <f t="shared" si="5"/>
        <v/>
      </c>
      <c r="AM37" s="109" t="str">
        <f t="shared" si="6"/>
        <v/>
      </c>
      <c r="AN37" s="108" t="str">
        <f t="shared" si="7"/>
        <v/>
      </c>
      <c r="AO37" s="101" t="str">
        <f>IF(AP37="","",_xlfn.XLOOKUP(CONCATENATE(AN37,"-",AP37),[3]INPUTS!$B:$B,[3]INPUTS!$N:$N))</f>
        <v/>
      </c>
      <c r="AP37" s="108" t="str">
        <f t="shared" si="8"/>
        <v/>
      </c>
      <c r="AQ37" s="99" t="str">
        <f>IF($F37="","",IF($L37="",_xlfn.XLOOKUP($D$9,[1]SCHE!$A:$A,[1]SCHE!$N:$N),$L37))</f>
        <v/>
      </c>
      <c r="AR37" s="99" t="str">
        <f t="shared" si="36"/>
        <v/>
      </c>
      <c r="AS37" s="47" t="str">
        <f t="shared" si="25"/>
        <v/>
      </c>
      <c r="AT37" s="9" t="str">
        <f t="shared" si="10"/>
        <v/>
      </c>
      <c r="AU37" s="94" t="str">
        <f>IF($AO37="","",IF($AT$3="",INDEX([3]INPUTS!$A:$BF,MATCH(CONCATENATE($AN37,"-",$AP37),[3]INPUTS!$B:$B,0),22),$AT$3))</f>
        <v/>
      </c>
      <c r="AV37" s="103" t="str">
        <f t="shared" si="11"/>
        <v/>
      </c>
      <c r="AW37" s="11" t="str">
        <f t="shared" si="12"/>
        <v/>
      </c>
      <c r="AX37" s="104" t="str">
        <f t="shared" si="26"/>
        <v/>
      </c>
      <c r="AY37" s="110" t="str">
        <f t="shared" si="37"/>
        <v/>
      </c>
      <c r="BE37" s="19" t="str">
        <f t="shared" si="27"/>
        <v/>
      </c>
      <c r="BR37" s="1" t="str">
        <f t="array" ref="BR37">IFERROR(IF(INDEX($B$13:$B$81,MATCH(0,COUNTIF($BR$12:BR36,$B$13:$B$81),0))=0,"",INDEX($B$13:$B$81,MATCH(0,COUNTIF($BR$12:BR36,$B$13:$B$81),0))),"")</f>
        <v/>
      </c>
      <c r="BS37" s="124" t="str">
        <f t="shared" si="28"/>
        <v/>
      </c>
      <c r="BT37" s="125" t="str">
        <f t="shared" si="29"/>
        <v/>
      </c>
      <c r="BU37" s="4" t="str">
        <f>IF(LINE2_DATA[[#This Row],[OP]]="","",INDEX(Sheet1!$G$2:$I$10,MATCH(LINE2_DATA[[#This Row],[OP]],Sheet1!$G$2:$G$10,0),3))</f>
        <v/>
      </c>
      <c r="BV37" s="4" t="str">
        <f t="shared" si="30"/>
        <v/>
      </c>
      <c r="BW37" s="4" t="str">
        <f t="shared" si="31"/>
        <v/>
      </c>
      <c r="BX37" s="4" t="str">
        <f t="shared" si="32"/>
        <v/>
      </c>
      <c r="BY37" s="4" t="str">
        <f t="shared" si="33"/>
        <v/>
      </c>
      <c r="BZ37" s="4" t="str">
        <f>IF(BR37="","",SUM(LINE2_DATA[[#This Row],[PRODUCED LBS]],LINE2_DATA[[#This Row],[SCRAP]]))</f>
        <v/>
      </c>
      <c r="CA37" s="4" t="str">
        <f>IF(BR37="","",ROUND(((LINE2_DATA[[#This Row],[SCRAP]]/LINE2_DATA[[#This Row],[TOTAL LBS]])*100),2))</f>
        <v/>
      </c>
      <c r="CB37" s="4" t="str">
        <f t="shared" si="34"/>
        <v/>
      </c>
      <c r="CC37" s="4" t="str">
        <f t="shared" si="35"/>
        <v/>
      </c>
      <c r="CD37" s="4" t="str">
        <f>IF(LINE2_DATA[[#This Row],[EFFECTIVE SPEED]]="","",(LINE2_DATA[[#This Row],[EFFECTIVE SPEED]]*LINE2_DATA[[#This Row],[AVAILABLE MINS]]))</f>
        <v/>
      </c>
      <c r="CE37" s="4" t="str">
        <f>IFERROR(IF(BR37="","",ROUND(((LINE2_DATA[[#This Row],[PRODUCED FT]]/LINE2_DATA[[#This Row],[PENT. PROD. CAP.]])*100),2)),"")</f>
        <v/>
      </c>
      <c r="CF37" s="125" t="str">
        <f>IF(LINE2_DATA[[#This Row],[DATE]]="","",75)</f>
        <v/>
      </c>
      <c r="CG37" s="125" t="str">
        <f>IF(LINE2_DATA[[#This Row],[DATE]]="","",10)</f>
        <v/>
      </c>
    </row>
    <row r="38" spans="1:85" ht="19.899999999999999" customHeight="1" x14ac:dyDescent="0.25">
      <c r="A38" s="19" t="str">
        <f t="shared" si="14"/>
        <v/>
      </c>
      <c r="B38" s="19" t="str">
        <f t="shared" si="15"/>
        <v/>
      </c>
      <c r="D38" s="8"/>
      <c r="E38" s="26"/>
      <c r="F38" s="26"/>
      <c r="G38" s="26"/>
      <c r="H38" s="97"/>
      <c r="I38" s="27"/>
      <c r="J38" s="8"/>
      <c r="K38" s="43"/>
      <c r="L38" s="43"/>
      <c r="M38" s="43"/>
      <c r="N38" s="43"/>
      <c r="O38" s="37"/>
      <c r="P38" s="4" t="str" cm="1">
        <f t="array" ref="P38">IFERROR(INDEX($A$13:$A$81,MATCH(0,COUNTIF($P$12:P37,$A$13:$A$81),0)),"")</f>
        <v/>
      </c>
      <c r="Q38" s="92" t="str">
        <f t="shared" si="16"/>
        <v/>
      </c>
      <c r="R38" s="93" t="str">
        <f t="shared" si="17"/>
        <v/>
      </c>
      <c r="S38" s="93" t="str">
        <f t="shared" si="18"/>
        <v/>
      </c>
      <c r="T38" s="93" t="str">
        <f t="shared" si="19"/>
        <v/>
      </c>
      <c r="U38" s="127" t="str">
        <f t="shared" si="0"/>
        <v/>
      </c>
      <c r="V38" s="46" t="str">
        <f t="shared" si="1"/>
        <v/>
      </c>
      <c r="W38" s="37"/>
      <c r="X38" s="18" t="str">
        <f t="array" ref="X38">IFERROR(IF(INDEX($H$13:$H$81,MATCH(0,COUNTIF($X$12:X37,$H$13:$H$81),0))=0,"",INDEX($H$13:$H$81,MATCH(0,COUNTIF($X$12:X37,$H$13:$H$81),0))),"")</f>
        <v/>
      </c>
      <c r="Y38" s="18" t="str">
        <f t="shared" si="2"/>
        <v/>
      </c>
      <c r="Z38" s="48" t="str">
        <f t="shared" si="20"/>
        <v/>
      </c>
      <c r="AA38" s="82"/>
      <c r="AB38" s="18" t="str">
        <f t="shared" si="21"/>
        <v/>
      </c>
      <c r="AC38" s="31" t="str">
        <f t="shared" si="22"/>
        <v/>
      </c>
      <c r="AD38" s="18" t="str">
        <f t="shared" si="23"/>
        <v/>
      </c>
      <c r="AE38" s="18" t="str">
        <f t="shared" si="24"/>
        <v/>
      </c>
      <c r="AF38" s="37"/>
      <c r="AG38" s="45" t="str">
        <f t="array" ref="AG38">IFERROR(IF(INDEX($B$13:$B$81,MATCH(0,COUNTIF($AG$12:AG37,$B$13:$B$81),0))=0,"",INDEX($B$13:$B$81,MATCH(0,COUNTIF($AG$12:AG37,$B$13:$B$81),0))),"")</f>
        <v/>
      </c>
      <c r="AH38" s="122" t="str">
        <f t="shared" si="3"/>
        <v/>
      </c>
      <c r="AI38" s="123" t="str">
        <f t="shared" si="4"/>
        <v/>
      </c>
      <c r="AJ38" s="102" t="str">
        <f>IFERROR(IF($AG38="","",SUMIFS([2]INPUTS!$F:$F,[2]INPUTS!$L:$L,$AG38,[2]INPUTS!$E:$E,$D$9)),"")</f>
        <v/>
      </c>
      <c r="AK38" s="12" t="str">
        <f t="shared" si="5"/>
        <v/>
      </c>
      <c r="AM38" s="109" t="str">
        <f t="shared" si="6"/>
        <v/>
      </c>
      <c r="AN38" s="108" t="str">
        <f t="shared" si="7"/>
        <v/>
      </c>
      <c r="AO38" s="101" t="str">
        <f>IF(AP38="","",_xlfn.XLOOKUP(CONCATENATE(AN38,"-",AP38),[3]INPUTS!$B:$B,[3]INPUTS!$N:$N))</f>
        <v/>
      </c>
      <c r="AP38" s="108" t="str">
        <f t="shared" si="8"/>
        <v/>
      </c>
      <c r="AQ38" s="99" t="str">
        <f>IF($F38="","",IF($L38="",_xlfn.XLOOKUP($D$9,[1]SCHE!$A:$A,[1]SCHE!$N:$N),$L38))</f>
        <v/>
      </c>
      <c r="AR38" s="99" t="str">
        <f t="shared" si="36"/>
        <v/>
      </c>
      <c r="AS38" s="47" t="str">
        <f t="shared" si="25"/>
        <v/>
      </c>
      <c r="AT38" s="9" t="str">
        <f t="shared" si="10"/>
        <v/>
      </c>
      <c r="AU38" s="94" t="str">
        <f>IF($AO38="","",IF($AT$3="",INDEX([3]INPUTS!$A:$BF,MATCH(CONCATENATE($AN38,"-",$AP38),[3]INPUTS!$B:$B,0),22),$AT$3))</f>
        <v/>
      </c>
      <c r="AV38" s="103" t="str">
        <f t="shared" si="11"/>
        <v/>
      </c>
      <c r="AW38" s="11" t="str">
        <f t="shared" si="12"/>
        <v/>
      </c>
      <c r="AX38" s="104" t="str">
        <f t="shared" si="26"/>
        <v/>
      </c>
      <c r="AY38" s="110" t="str">
        <f t="shared" si="37"/>
        <v/>
      </c>
      <c r="BE38" s="19" t="str">
        <f t="shared" si="27"/>
        <v/>
      </c>
      <c r="BR38" s="1" t="str">
        <f t="array" ref="BR38">IFERROR(IF(INDEX($B$13:$B$81,MATCH(0,COUNTIF($BR$12:BR37,$B$13:$B$81),0))=0,"",INDEX($B$13:$B$81,MATCH(0,COUNTIF($BR$12:BR37,$B$13:$B$81),0))),"")</f>
        <v/>
      </c>
      <c r="BS38" s="124" t="str">
        <f t="shared" si="28"/>
        <v/>
      </c>
      <c r="BT38" s="125" t="str">
        <f t="shared" si="29"/>
        <v/>
      </c>
      <c r="BU38" s="4" t="str">
        <f>IF(LINE2_DATA[[#This Row],[OP]]="","",INDEX(Sheet1!$G$2:$I$10,MATCH(LINE2_DATA[[#This Row],[OP]],Sheet1!$G$2:$G$10,0),3))</f>
        <v/>
      </c>
      <c r="BV38" s="4" t="str">
        <f t="shared" si="30"/>
        <v/>
      </c>
      <c r="BW38" s="4" t="str">
        <f t="shared" si="31"/>
        <v/>
      </c>
      <c r="BX38" s="4" t="str">
        <f t="shared" si="32"/>
        <v/>
      </c>
      <c r="BY38" s="4" t="str">
        <f t="shared" si="33"/>
        <v/>
      </c>
      <c r="BZ38" s="4" t="str">
        <f>IF(BR38="","",SUM(LINE2_DATA[[#This Row],[PRODUCED LBS]],LINE2_DATA[[#This Row],[SCRAP]]))</f>
        <v/>
      </c>
      <c r="CA38" s="4" t="str">
        <f>IF(BR38="","",ROUND(((LINE2_DATA[[#This Row],[SCRAP]]/LINE2_DATA[[#This Row],[TOTAL LBS]])*100),2))</f>
        <v/>
      </c>
      <c r="CB38" s="4" t="str">
        <f t="shared" si="34"/>
        <v/>
      </c>
      <c r="CC38" s="4" t="str">
        <f t="shared" si="35"/>
        <v/>
      </c>
      <c r="CD38" s="4" t="str">
        <f>IF(LINE2_DATA[[#This Row],[EFFECTIVE SPEED]]="","",(LINE2_DATA[[#This Row],[EFFECTIVE SPEED]]*LINE2_DATA[[#This Row],[AVAILABLE MINS]]))</f>
        <v/>
      </c>
      <c r="CE38" s="4" t="str">
        <f>IFERROR(IF(BR38="","",ROUND(((LINE2_DATA[[#This Row],[PRODUCED FT]]/LINE2_DATA[[#This Row],[PENT. PROD. CAP.]])*100),2)),"")</f>
        <v/>
      </c>
      <c r="CF38" s="125" t="str">
        <f>IF(LINE2_DATA[[#This Row],[DATE]]="","",75)</f>
        <v/>
      </c>
      <c r="CG38" s="125" t="str">
        <f>IF(LINE2_DATA[[#This Row],[DATE]]="","",10)</f>
        <v/>
      </c>
    </row>
    <row r="39" spans="1:85" ht="19.899999999999999" customHeight="1" x14ac:dyDescent="0.25">
      <c r="A39" s="19" t="str">
        <f t="shared" si="14"/>
        <v/>
      </c>
      <c r="B39" s="19" t="str">
        <f t="shared" si="15"/>
        <v/>
      </c>
      <c r="D39" s="8"/>
      <c r="E39" s="26"/>
      <c r="F39" s="26"/>
      <c r="G39" s="26"/>
      <c r="H39" s="97"/>
      <c r="I39" s="27"/>
      <c r="J39" s="8"/>
      <c r="K39" s="43"/>
      <c r="L39" s="43"/>
      <c r="M39" s="43"/>
      <c r="N39" s="43"/>
      <c r="O39" s="37"/>
      <c r="P39" s="4" t="str" cm="1">
        <f t="array" ref="P39">IFERROR(INDEX($A$13:$A$81,MATCH(0,COUNTIF($P$12:P38,$A$13:$A$81),0)),"")</f>
        <v/>
      </c>
      <c r="Q39" s="92" t="str">
        <f t="shared" si="16"/>
        <v/>
      </c>
      <c r="R39" s="93" t="str">
        <f t="shared" si="17"/>
        <v/>
      </c>
      <c r="S39" s="93" t="str">
        <f t="shared" si="18"/>
        <v/>
      </c>
      <c r="T39" s="93" t="str">
        <f t="shared" si="19"/>
        <v/>
      </c>
      <c r="U39" s="127" t="str">
        <f t="shared" si="0"/>
        <v/>
      </c>
      <c r="V39" s="46" t="str">
        <f t="shared" si="1"/>
        <v/>
      </c>
      <c r="W39" s="37"/>
      <c r="X39" s="18" t="str">
        <f t="array" ref="X39">IFERROR(IF(INDEX($H$13:$H$81,MATCH(0,COUNTIF($X$12:X38,$H$13:$H$81),0))=0,"",INDEX($H$13:$H$81,MATCH(0,COUNTIF($X$12:X38,$H$13:$H$81),0))),"")</f>
        <v/>
      </c>
      <c r="Y39" s="18" t="str">
        <f t="shared" si="2"/>
        <v/>
      </c>
      <c r="Z39" s="48" t="str">
        <f t="shared" si="20"/>
        <v/>
      </c>
      <c r="AA39" s="82"/>
      <c r="AB39" s="18" t="str">
        <f t="shared" si="21"/>
        <v/>
      </c>
      <c r="AC39" s="31" t="str">
        <f t="shared" si="22"/>
        <v/>
      </c>
      <c r="AD39" s="18" t="str">
        <f t="shared" si="23"/>
        <v/>
      </c>
      <c r="AE39" s="18" t="str">
        <f t="shared" si="24"/>
        <v/>
      </c>
      <c r="AF39" s="37"/>
      <c r="AG39" s="45" t="str">
        <f t="array" ref="AG39">IFERROR(IF(INDEX($B$13:$B$81,MATCH(0,COUNTIF($AG$12:AG38,$B$13:$B$81),0))=0,"",INDEX($B$13:$B$81,MATCH(0,COUNTIF($AG$12:AG38,$B$13:$B$81),0))),"")</f>
        <v/>
      </c>
      <c r="AH39" s="122" t="str">
        <f t="shared" si="3"/>
        <v/>
      </c>
      <c r="AI39" s="123" t="str">
        <f t="shared" si="4"/>
        <v/>
      </c>
      <c r="AJ39" s="102" t="str">
        <f>IFERROR(IF($AG39="","",SUMIFS([2]INPUTS!$F:$F,[2]INPUTS!$L:$L,$AG39,[2]INPUTS!$E:$E,$D$9)),"")</f>
        <v/>
      </c>
      <c r="AK39" s="12" t="str">
        <f t="shared" si="5"/>
        <v/>
      </c>
      <c r="AM39" s="109" t="str">
        <f t="shared" si="6"/>
        <v/>
      </c>
      <c r="AN39" s="108" t="str">
        <f t="shared" si="7"/>
        <v/>
      </c>
      <c r="AO39" s="101" t="str">
        <f>IF(AP39="","",_xlfn.XLOOKUP(CONCATENATE(AN39,"-",AP39),[3]INPUTS!$B:$B,[3]INPUTS!$N:$N))</f>
        <v/>
      </c>
      <c r="AP39" s="108" t="str">
        <f t="shared" si="8"/>
        <v/>
      </c>
      <c r="AQ39" s="99" t="str">
        <f>IF($F39="","",IF($L39="",_xlfn.XLOOKUP($D$9,[1]SCHE!$A:$A,[1]SCHE!$N:$N),$L39))</f>
        <v/>
      </c>
      <c r="AR39" s="99" t="str">
        <f t="shared" si="36"/>
        <v/>
      </c>
      <c r="AS39" s="47" t="str">
        <f t="shared" si="25"/>
        <v/>
      </c>
      <c r="AT39" s="9" t="str">
        <f t="shared" si="10"/>
        <v/>
      </c>
      <c r="AU39" s="94" t="str">
        <f>IF($AO39="","",IF($AT$3="",INDEX([3]INPUTS!$A:$BF,MATCH(CONCATENATE($AN39,"-",$AP39),[3]INPUTS!$B:$B,0),22),$AT$3))</f>
        <v/>
      </c>
      <c r="AV39" s="103" t="str">
        <f t="shared" si="11"/>
        <v/>
      </c>
      <c r="AW39" s="11" t="str">
        <f t="shared" si="12"/>
        <v/>
      </c>
      <c r="AX39" s="104" t="str">
        <f t="shared" si="26"/>
        <v/>
      </c>
      <c r="AY39" s="110" t="str">
        <f t="shared" si="37"/>
        <v/>
      </c>
      <c r="BE39" s="19" t="str">
        <f t="shared" si="27"/>
        <v/>
      </c>
      <c r="BR39" s="1" t="str">
        <f t="array" ref="BR39">IFERROR(IF(INDEX($B$13:$B$81,MATCH(0,COUNTIF($BR$12:BR38,$B$13:$B$81),0))=0,"",INDEX($B$13:$B$81,MATCH(0,COUNTIF($BR$12:BR38,$B$13:$B$81),0))),"")</f>
        <v/>
      </c>
      <c r="BS39" s="124" t="str">
        <f t="shared" si="28"/>
        <v/>
      </c>
      <c r="BT39" s="125" t="str">
        <f t="shared" si="29"/>
        <v/>
      </c>
      <c r="BU39" s="4" t="str">
        <f>IF(LINE2_DATA[[#This Row],[OP]]="","",INDEX(Sheet1!$G$2:$I$10,MATCH(LINE2_DATA[[#This Row],[OP]],Sheet1!$G$2:$G$10,0),3))</f>
        <v/>
      </c>
      <c r="BV39" s="4" t="str">
        <f t="shared" si="30"/>
        <v/>
      </c>
      <c r="BW39" s="4" t="str">
        <f t="shared" si="31"/>
        <v/>
      </c>
      <c r="BX39" s="4" t="str">
        <f t="shared" si="32"/>
        <v/>
      </c>
      <c r="BY39" s="4" t="str">
        <f t="shared" si="33"/>
        <v/>
      </c>
      <c r="BZ39" s="4" t="str">
        <f>IF(BR39="","",SUM(LINE2_DATA[[#This Row],[PRODUCED LBS]],LINE2_DATA[[#This Row],[SCRAP]]))</f>
        <v/>
      </c>
      <c r="CA39" s="4" t="str">
        <f>IF(BR39="","",ROUND(((LINE2_DATA[[#This Row],[SCRAP]]/LINE2_DATA[[#This Row],[TOTAL LBS]])*100),2))</f>
        <v/>
      </c>
      <c r="CB39" s="4" t="str">
        <f t="shared" si="34"/>
        <v/>
      </c>
      <c r="CC39" s="4" t="str">
        <f t="shared" si="35"/>
        <v/>
      </c>
      <c r="CD39" s="4" t="str">
        <f>IF(LINE2_DATA[[#This Row],[EFFECTIVE SPEED]]="","",(LINE2_DATA[[#This Row],[EFFECTIVE SPEED]]*LINE2_DATA[[#This Row],[AVAILABLE MINS]]))</f>
        <v/>
      </c>
      <c r="CE39" s="4" t="str">
        <f>IFERROR(IF(BR39="","",ROUND(((LINE2_DATA[[#This Row],[PRODUCED FT]]/LINE2_DATA[[#This Row],[PENT. PROD. CAP.]])*100),2)),"")</f>
        <v/>
      </c>
      <c r="CF39" s="125" t="str">
        <f>IF(LINE2_DATA[[#This Row],[DATE]]="","",75)</f>
        <v/>
      </c>
      <c r="CG39" s="125" t="str">
        <f>IF(LINE2_DATA[[#This Row],[DATE]]="","",10)</f>
        <v/>
      </c>
    </row>
    <row r="40" spans="1:85" ht="19.899999999999999" customHeight="1" x14ac:dyDescent="0.25">
      <c r="A40" s="19" t="str">
        <f t="shared" si="14"/>
        <v/>
      </c>
      <c r="B40" s="19" t="str">
        <f t="shared" si="15"/>
        <v/>
      </c>
      <c r="D40" s="8"/>
      <c r="E40" s="26"/>
      <c r="F40" s="26"/>
      <c r="G40" s="26"/>
      <c r="H40" s="97"/>
      <c r="I40" s="27"/>
      <c r="J40" s="8"/>
      <c r="K40" s="43"/>
      <c r="L40" s="43"/>
      <c r="M40" s="43"/>
      <c r="N40" s="43"/>
      <c r="O40" s="37"/>
      <c r="P40" s="4" t="str" cm="1">
        <f t="array" ref="P40">IFERROR(INDEX($A$13:$A$81,MATCH(0,COUNTIF($P$12:P39,$A$13:$A$81),0)),"")</f>
        <v/>
      </c>
      <c r="Q40" s="92" t="str">
        <f t="shared" si="16"/>
        <v/>
      </c>
      <c r="R40" s="93" t="str">
        <f t="shared" si="17"/>
        <v/>
      </c>
      <c r="S40" s="93" t="str">
        <f t="shared" si="18"/>
        <v/>
      </c>
      <c r="T40" s="93" t="str">
        <f t="shared" si="19"/>
        <v/>
      </c>
      <c r="U40" s="127" t="str">
        <f t="shared" si="0"/>
        <v/>
      </c>
      <c r="V40" s="46" t="str">
        <f t="shared" si="1"/>
        <v/>
      </c>
      <c r="W40" s="37"/>
      <c r="X40" s="18" t="str">
        <f t="array" ref="X40">IFERROR(IF(INDEX($H$13:$H$81,MATCH(0,COUNTIF($X$12:X39,$H$13:$H$81),0))=0,"",INDEX($H$13:$H$81,MATCH(0,COUNTIF($X$12:X39,$H$13:$H$81),0))),"")</f>
        <v/>
      </c>
      <c r="Y40" s="18" t="str">
        <f t="shared" si="2"/>
        <v/>
      </c>
      <c r="Z40" s="48" t="str">
        <f t="shared" si="20"/>
        <v/>
      </c>
      <c r="AA40" s="82"/>
      <c r="AB40" s="18" t="str">
        <f t="shared" si="21"/>
        <v/>
      </c>
      <c r="AC40" s="31" t="str">
        <f t="shared" si="22"/>
        <v/>
      </c>
      <c r="AD40" s="18" t="str">
        <f t="shared" si="23"/>
        <v/>
      </c>
      <c r="AE40" s="18" t="str">
        <f t="shared" si="24"/>
        <v/>
      </c>
      <c r="AF40" s="37"/>
      <c r="AG40" s="45" t="str">
        <f t="array" ref="AG40">IFERROR(IF(INDEX($B$13:$B$81,MATCH(0,COUNTIF($AG$12:AG39,$B$13:$B$81),0))=0,"",INDEX($B$13:$B$81,MATCH(0,COUNTIF($AG$12:AG39,$B$13:$B$81),0))),"")</f>
        <v/>
      </c>
      <c r="AH40" s="122" t="str">
        <f t="shared" si="3"/>
        <v/>
      </c>
      <c r="AI40" s="123" t="str">
        <f t="shared" si="4"/>
        <v/>
      </c>
      <c r="AJ40" s="102" t="str">
        <f>IFERROR(IF($AG40="","",SUMIFS([2]INPUTS!$F:$F,[2]INPUTS!$L:$L,$AG40,[2]INPUTS!$E:$E,$D$9)),"")</f>
        <v/>
      </c>
      <c r="AK40" s="12" t="str">
        <f t="shared" si="5"/>
        <v/>
      </c>
      <c r="AM40" s="109" t="str">
        <f t="shared" si="6"/>
        <v/>
      </c>
      <c r="AN40" s="108" t="str">
        <f t="shared" si="7"/>
        <v/>
      </c>
      <c r="AO40" s="101" t="str">
        <f>IF(AP40="","",_xlfn.XLOOKUP(CONCATENATE(AN40,"-",AP40),[3]INPUTS!$B:$B,[3]INPUTS!$N:$N))</f>
        <v/>
      </c>
      <c r="AP40" s="108" t="str">
        <f t="shared" si="8"/>
        <v/>
      </c>
      <c r="AQ40" s="99" t="str">
        <f>IF($F40="","",IF($L40="",_xlfn.XLOOKUP($D$9,[1]SCHE!$A:$A,[1]SCHE!$N:$N),$L40))</f>
        <v/>
      </c>
      <c r="AR40" s="99" t="str">
        <f t="shared" si="36"/>
        <v/>
      </c>
      <c r="AS40" s="47" t="str">
        <f t="shared" si="25"/>
        <v/>
      </c>
      <c r="AT40" s="9" t="str">
        <f t="shared" si="10"/>
        <v/>
      </c>
      <c r="AU40" s="94" t="str">
        <f>IF($AO40="","",IF($AT$3="",INDEX([3]INPUTS!$A:$BF,MATCH(CONCATENATE($AN40,"-",$AP40),[3]INPUTS!$B:$B,0),22),$AT$3))</f>
        <v/>
      </c>
      <c r="AV40" s="103" t="str">
        <f t="shared" si="11"/>
        <v/>
      </c>
      <c r="AW40" s="11" t="str">
        <f t="shared" si="12"/>
        <v/>
      </c>
      <c r="AX40" s="104" t="str">
        <f t="shared" si="26"/>
        <v/>
      </c>
      <c r="AY40" s="110" t="str">
        <f t="shared" si="37"/>
        <v/>
      </c>
      <c r="BE40" s="19" t="str">
        <f t="shared" si="27"/>
        <v/>
      </c>
      <c r="BR40" s="1" t="str">
        <f t="array" ref="BR40">IFERROR(IF(INDEX($B$13:$B$81,MATCH(0,COUNTIF($BR$12:BR39,$B$13:$B$81),0))=0,"",INDEX($B$13:$B$81,MATCH(0,COUNTIF($BR$12:BR39,$B$13:$B$81),0))),"")</f>
        <v/>
      </c>
      <c r="BS40" s="124" t="str">
        <f t="shared" si="28"/>
        <v/>
      </c>
      <c r="BT40" s="125" t="str">
        <f t="shared" si="29"/>
        <v/>
      </c>
      <c r="BU40" s="4" t="str">
        <f>IF(LINE2_DATA[[#This Row],[OP]]="","",INDEX(Sheet1!$G$2:$I$10,MATCH(LINE2_DATA[[#This Row],[OP]],Sheet1!$G$2:$G$10,0),3))</f>
        <v/>
      </c>
      <c r="BV40" s="4" t="str">
        <f t="shared" si="30"/>
        <v/>
      </c>
      <c r="BW40" s="4" t="str">
        <f t="shared" si="31"/>
        <v/>
      </c>
      <c r="BX40" s="4" t="str">
        <f t="shared" si="32"/>
        <v/>
      </c>
      <c r="BY40" s="4" t="str">
        <f t="shared" si="33"/>
        <v/>
      </c>
      <c r="BZ40" s="4" t="str">
        <f>IF(BR40="","",SUM(LINE2_DATA[[#This Row],[PRODUCED LBS]],LINE2_DATA[[#This Row],[SCRAP]]))</f>
        <v/>
      </c>
      <c r="CA40" s="4" t="str">
        <f>IF(BR40="","",ROUND(((LINE2_DATA[[#This Row],[SCRAP]]/LINE2_DATA[[#This Row],[TOTAL LBS]])*100),2))</f>
        <v/>
      </c>
      <c r="CB40" s="4" t="str">
        <f t="shared" si="34"/>
        <v/>
      </c>
      <c r="CC40" s="4" t="str">
        <f t="shared" si="35"/>
        <v/>
      </c>
      <c r="CD40" s="4" t="str">
        <f>IF(LINE2_DATA[[#This Row],[EFFECTIVE SPEED]]="","",(LINE2_DATA[[#This Row],[EFFECTIVE SPEED]]*LINE2_DATA[[#This Row],[AVAILABLE MINS]]))</f>
        <v/>
      </c>
      <c r="CE40" s="4" t="str">
        <f>IFERROR(IF(BR40="","",ROUND(((LINE2_DATA[[#This Row],[PRODUCED FT]]/LINE2_DATA[[#This Row],[PENT. PROD. CAP.]])*100),2)),"")</f>
        <v/>
      </c>
      <c r="CF40" s="125" t="str">
        <f>IF(LINE2_DATA[[#This Row],[DATE]]="","",75)</f>
        <v/>
      </c>
      <c r="CG40" s="125" t="str">
        <f>IF(LINE2_DATA[[#This Row],[DATE]]="","",10)</f>
        <v/>
      </c>
    </row>
    <row r="41" spans="1:85" ht="19.899999999999999" customHeight="1" x14ac:dyDescent="0.25">
      <c r="A41" s="19" t="str">
        <f t="shared" si="14"/>
        <v/>
      </c>
      <c r="B41" s="19" t="str">
        <f t="shared" si="15"/>
        <v/>
      </c>
      <c r="D41" s="8"/>
      <c r="E41" s="26"/>
      <c r="F41" s="26"/>
      <c r="G41" s="26"/>
      <c r="H41" s="97"/>
      <c r="I41" s="27"/>
      <c r="J41" s="8"/>
      <c r="K41" s="43"/>
      <c r="L41" s="43"/>
      <c r="M41" s="43"/>
      <c r="N41" s="43"/>
      <c r="O41" s="37"/>
      <c r="P41" s="4" t="str" cm="1">
        <f t="array" ref="P41">IFERROR(INDEX($A$13:$A$81,MATCH(0,COUNTIF($P$12:P40,$A$13:$A$81),0)),"")</f>
        <v/>
      </c>
      <c r="Q41" s="92" t="str">
        <f t="shared" si="16"/>
        <v/>
      </c>
      <c r="R41" s="93" t="str">
        <f t="shared" si="17"/>
        <v/>
      </c>
      <c r="S41" s="93" t="str">
        <f t="shared" si="18"/>
        <v/>
      </c>
      <c r="T41" s="93" t="str">
        <f t="shared" si="19"/>
        <v/>
      </c>
      <c r="U41" s="127" t="str">
        <f t="shared" si="0"/>
        <v/>
      </c>
      <c r="V41" s="46" t="str">
        <f t="shared" si="1"/>
        <v/>
      </c>
      <c r="W41" s="37"/>
      <c r="X41" s="18" t="str">
        <f t="array" ref="X41">IFERROR(IF(INDEX($H$13:$H$81,MATCH(0,COUNTIF($X$12:X40,$H$13:$H$81),0))=0,"",INDEX($H$13:$H$81,MATCH(0,COUNTIF($X$12:X40,$H$13:$H$81),0))),"")</f>
        <v/>
      </c>
      <c r="Y41" s="18" t="str">
        <f t="shared" si="2"/>
        <v/>
      </c>
      <c r="Z41" s="48" t="str">
        <f t="shared" si="20"/>
        <v/>
      </c>
      <c r="AA41" s="82"/>
      <c r="AB41" s="18" t="str">
        <f t="shared" si="21"/>
        <v/>
      </c>
      <c r="AC41" s="31" t="str">
        <f t="shared" si="22"/>
        <v/>
      </c>
      <c r="AD41" s="18" t="str">
        <f t="shared" si="23"/>
        <v/>
      </c>
      <c r="AE41" s="18" t="str">
        <f t="shared" si="24"/>
        <v/>
      </c>
      <c r="AF41" s="37"/>
      <c r="AG41" s="45" t="str">
        <f t="array" ref="AG41">IFERROR(IF(INDEX($B$13:$B$81,MATCH(0,COUNTIF($AG$12:AG40,$B$13:$B$81),0))=0,"",INDEX($B$13:$B$81,MATCH(0,COUNTIF($AG$12:AG40,$B$13:$B$81),0))),"")</f>
        <v/>
      </c>
      <c r="AH41" s="122" t="str">
        <f t="shared" si="3"/>
        <v/>
      </c>
      <c r="AI41" s="123" t="str">
        <f t="shared" si="4"/>
        <v/>
      </c>
      <c r="AJ41" s="102" t="str">
        <f>IFERROR(IF($AG41="","",SUMIFS([2]INPUTS!$F:$F,[2]INPUTS!$L:$L,$AG41,[2]INPUTS!$E:$E,$D$9)),"")</f>
        <v/>
      </c>
      <c r="AK41" s="12" t="str">
        <f t="shared" si="5"/>
        <v/>
      </c>
      <c r="AM41" s="109" t="str">
        <f t="shared" si="6"/>
        <v/>
      </c>
      <c r="AN41" s="108" t="str">
        <f t="shared" si="7"/>
        <v/>
      </c>
      <c r="AO41" s="101" t="str">
        <f>IF(AP41="","",_xlfn.XLOOKUP(CONCATENATE(AN41,"-",AP41),[3]INPUTS!$B:$B,[3]INPUTS!$N:$N))</f>
        <v/>
      </c>
      <c r="AP41" s="108" t="str">
        <f t="shared" si="8"/>
        <v/>
      </c>
      <c r="AQ41" s="99" t="str">
        <f>IF($F41="","",IF($L41="",_xlfn.XLOOKUP($D$9,[1]SCHE!$A:$A,[1]SCHE!$N:$N),$L41))</f>
        <v/>
      </c>
      <c r="AR41" s="99" t="str">
        <f t="shared" si="36"/>
        <v/>
      </c>
      <c r="AS41" s="47" t="str">
        <f t="shared" si="25"/>
        <v/>
      </c>
      <c r="AT41" s="9" t="str">
        <f t="shared" si="10"/>
        <v/>
      </c>
      <c r="AU41" s="94" t="str">
        <f>IF($AO41="","",IF($AT$3="",INDEX([3]INPUTS!$A:$BF,MATCH(CONCATENATE($AN41,"-",$AP41),[3]INPUTS!$B:$B,0),22),$AT$3))</f>
        <v/>
      </c>
      <c r="AV41" s="103" t="str">
        <f t="shared" si="11"/>
        <v/>
      </c>
      <c r="AW41" s="11" t="str">
        <f t="shared" si="12"/>
        <v/>
      </c>
      <c r="AX41" s="104" t="str">
        <f t="shared" si="26"/>
        <v/>
      </c>
      <c r="AY41" s="110" t="str">
        <f t="shared" si="37"/>
        <v/>
      </c>
      <c r="BE41" s="19" t="str">
        <f t="shared" si="27"/>
        <v/>
      </c>
      <c r="BR41" s="1" t="str">
        <f t="array" ref="BR41">IFERROR(IF(INDEX($B$13:$B$81,MATCH(0,COUNTIF($BR$12:BR40,$B$13:$B$81),0))=0,"",INDEX($B$13:$B$81,MATCH(0,COUNTIF($BR$12:BR40,$B$13:$B$81),0))),"")</f>
        <v/>
      </c>
      <c r="BS41" s="124" t="str">
        <f t="shared" si="28"/>
        <v/>
      </c>
      <c r="BT41" s="125" t="str">
        <f t="shared" si="29"/>
        <v/>
      </c>
      <c r="BU41" s="4" t="str">
        <f>IF(LINE2_DATA[[#This Row],[OP]]="","",INDEX(Sheet1!$G$2:$I$10,MATCH(LINE2_DATA[[#This Row],[OP]],Sheet1!$G$2:$G$10,0),3))</f>
        <v/>
      </c>
      <c r="BV41" s="4" t="str">
        <f t="shared" si="30"/>
        <v/>
      </c>
      <c r="BW41" s="4" t="str">
        <f t="shared" si="31"/>
        <v/>
      </c>
      <c r="BX41" s="4" t="str">
        <f t="shared" si="32"/>
        <v/>
      </c>
      <c r="BY41" s="4" t="str">
        <f t="shared" si="33"/>
        <v/>
      </c>
      <c r="BZ41" s="4" t="str">
        <f>IF(BR41="","",SUM(LINE2_DATA[[#This Row],[PRODUCED LBS]],LINE2_DATA[[#This Row],[SCRAP]]))</f>
        <v/>
      </c>
      <c r="CA41" s="4" t="str">
        <f>IF(BR41="","",ROUND(((LINE2_DATA[[#This Row],[SCRAP]]/LINE2_DATA[[#This Row],[TOTAL LBS]])*100),2))</f>
        <v/>
      </c>
      <c r="CB41" s="4" t="str">
        <f t="shared" si="34"/>
        <v/>
      </c>
      <c r="CC41" s="4" t="str">
        <f t="shared" si="35"/>
        <v/>
      </c>
      <c r="CD41" s="4" t="str">
        <f>IF(LINE2_DATA[[#This Row],[EFFECTIVE SPEED]]="","",(LINE2_DATA[[#This Row],[EFFECTIVE SPEED]]*LINE2_DATA[[#This Row],[AVAILABLE MINS]]))</f>
        <v/>
      </c>
      <c r="CE41" s="4" t="str">
        <f>IFERROR(IF(BR41="","",ROUND(((LINE2_DATA[[#This Row],[PRODUCED FT]]/LINE2_DATA[[#This Row],[PENT. PROD. CAP.]])*100),2)),"")</f>
        <v/>
      </c>
      <c r="CF41" s="125" t="str">
        <f>IF(LINE2_DATA[[#This Row],[DATE]]="","",75)</f>
        <v/>
      </c>
      <c r="CG41" s="125" t="str">
        <f>IF(LINE2_DATA[[#This Row],[DATE]]="","",10)</f>
        <v/>
      </c>
    </row>
    <row r="42" spans="1:85" ht="19.899999999999999" customHeight="1" x14ac:dyDescent="0.25">
      <c r="A42" s="19" t="str">
        <f t="shared" si="14"/>
        <v/>
      </c>
      <c r="B42" s="19" t="str">
        <f t="shared" si="15"/>
        <v/>
      </c>
      <c r="D42" s="8"/>
      <c r="E42" s="26"/>
      <c r="F42" s="26"/>
      <c r="G42" s="26"/>
      <c r="H42" s="97"/>
      <c r="I42" s="27"/>
      <c r="J42" s="8"/>
      <c r="K42" s="43"/>
      <c r="L42" s="43"/>
      <c r="M42" s="43"/>
      <c r="N42" s="43"/>
      <c r="O42" s="37"/>
      <c r="P42" s="4" t="str" cm="1">
        <f t="array" ref="P42">IFERROR(INDEX($A$13:$A$81,MATCH(0,COUNTIF($P$12:P41,$A$13:$A$81),0)),"")</f>
        <v/>
      </c>
      <c r="Q42" s="92" t="str">
        <f t="shared" si="16"/>
        <v/>
      </c>
      <c r="R42" s="93" t="str">
        <f t="shared" si="17"/>
        <v/>
      </c>
      <c r="S42" s="93" t="str">
        <f t="shared" si="18"/>
        <v/>
      </c>
      <c r="T42" s="93" t="str">
        <f t="shared" si="19"/>
        <v/>
      </c>
      <c r="U42" s="127" t="str">
        <f t="shared" si="0"/>
        <v/>
      </c>
      <c r="V42" s="46" t="str">
        <f t="shared" si="1"/>
        <v/>
      </c>
      <c r="W42" s="37"/>
      <c r="X42" s="18" t="str">
        <f t="array" ref="X42">IFERROR(IF(INDEX($H$13:$H$81,MATCH(0,COUNTIF($X$12:X41,$H$13:$H$81),0))=0,"",INDEX($H$13:$H$81,MATCH(0,COUNTIF($X$12:X41,$H$13:$H$81),0))),"")</f>
        <v/>
      </c>
      <c r="Y42" s="18" t="str">
        <f t="shared" si="2"/>
        <v/>
      </c>
      <c r="Z42" s="48" t="str">
        <f t="shared" si="20"/>
        <v/>
      </c>
      <c r="AA42" s="82"/>
      <c r="AB42" s="18" t="str">
        <f t="shared" si="21"/>
        <v/>
      </c>
      <c r="AC42" s="31" t="str">
        <f t="shared" si="22"/>
        <v/>
      </c>
      <c r="AD42" s="18" t="str">
        <f t="shared" si="23"/>
        <v/>
      </c>
      <c r="AE42" s="18" t="str">
        <f t="shared" si="24"/>
        <v/>
      </c>
      <c r="AF42" s="37"/>
      <c r="AG42" s="45" t="str">
        <f t="array" ref="AG42">IFERROR(IF(INDEX($B$13:$B$81,MATCH(0,COUNTIF($AG$12:AG41,$B$13:$B$81),0))=0,"",INDEX($B$13:$B$81,MATCH(0,COUNTIF($AG$12:AG41,$B$13:$B$81),0))),"")</f>
        <v/>
      </c>
      <c r="AH42" s="122" t="str">
        <f t="shared" si="3"/>
        <v/>
      </c>
      <c r="AI42" s="123" t="str">
        <f t="shared" si="4"/>
        <v/>
      </c>
      <c r="AJ42" s="102" t="str">
        <f>IFERROR(IF($AG42="","",SUMIFS([2]INPUTS!$F:$F,[2]INPUTS!$L:$L,$AG42,[2]INPUTS!$E:$E,$D$9)),"")</f>
        <v/>
      </c>
      <c r="AK42" s="12" t="str">
        <f t="shared" si="5"/>
        <v/>
      </c>
      <c r="AM42" s="109" t="str">
        <f t="shared" si="6"/>
        <v/>
      </c>
      <c r="AN42" s="108" t="str">
        <f t="shared" si="7"/>
        <v/>
      </c>
      <c r="AO42" s="101" t="str">
        <f>IF(AP42="","",_xlfn.XLOOKUP(CONCATENATE(AN42,"-",AP42),[3]INPUTS!$B:$B,[3]INPUTS!$N:$N))</f>
        <v/>
      </c>
      <c r="AP42" s="108" t="str">
        <f t="shared" si="8"/>
        <v/>
      </c>
      <c r="AQ42" s="99" t="str">
        <f>IF($F42="","",IF($L42="",_xlfn.XLOOKUP($D$9,[1]SCHE!$A:$A,[1]SCHE!$N:$N),$L42))</f>
        <v/>
      </c>
      <c r="AR42" s="99" t="str">
        <f t="shared" si="36"/>
        <v/>
      </c>
      <c r="AS42" s="47" t="str">
        <f t="shared" si="25"/>
        <v/>
      </c>
      <c r="AT42" s="9" t="str">
        <f t="shared" si="10"/>
        <v/>
      </c>
      <c r="AU42" s="94" t="str">
        <f>IF($AO42="","",IF($AT$3="",INDEX([3]INPUTS!$A:$BF,MATCH(CONCATENATE($AN42,"-",$AP42),[3]INPUTS!$B:$B,0),22),$AT$3))</f>
        <v/>
      </c>
      <c r="AV42" s="103" t="str">
        <f t="shared" si="11"/>
        <v/>
      </c>
      <c r="AW42" s="11" t="str">
        <f t="shared" si="12"/>
        <v/>
      </c>
      <c r="AX42" s="104" t="str">
        <f t="shared" si="26"/>
        <v/>
      </c>
      <c r="AY42" s="110" t="str">
        <f t="shared" si="37"/>
        <v/>
      </c>
      <c r="BE42" s="19" t="str">
        <f t="shared" si="27"/>
        <v/>
      </c>
      <c r="BR42" s="1" t="str">
        <f t="array" ref="BR42">IFERROR(IF(INDEX($B$13:$B$81,MATCH(0,COUNTIF($BR$12:BR41,$B$13:$B$81),0))=0,"",INDEX($B$13:$B$81,MATCH(0,COUNTIF($BR$12:BR41,$B$13:$B$81),0))),"")</f>
        <v/>
      </c>
      <c r="BS42" s="124" t="str">
        <f t="shared" si="28"/>
        <v/>
      </c>
      <c r="BT42" s="125" t="str">
        <f t="shared" si="29"/>
        <v/>
      </c>
      <c r="BU42" s="4" t="str">
        <f>IF(LINE2_DATA[[#This Row],[OP]]="","",INDEX(Sheet1!$G$2:$I$10,MATCH(LINE2_DATA[[#This Row],[OP]],Sheet1!$G$2:$G$10,0),3))</f>
        <v/>
      </c>
      <c r="BV42" s="4" t="str">
        <f t="shared" si="30"/>
        <v/>
      </c>
      <c r="BW42" s="4" t="str">
        <f t="shared" si="31"/>
        <v/>
      </c>
      <c r="BX42" s="4" t="str">
        <f t="shared" si="32"/>
        <v/>
      </c>
      <c r="BY42" s="4" t="str">
        <f t="shared" si="33"/>
        <v/>
      </c>
      <c r="BZ42" s="4" t="str">
        <f>IF(BR42="","",SUM(LINE2_DATA[[#This Row],[PRODUCED LBS]],LINE2_DATA[[#This Row],[SCRAP]]))</f>
        <v/>
      </c>
      <c r="CA42" s="4" t="str">
        <f>IF(BR42="","",ROUND(((LINE2_DATA[[#This Row],[SCRAP]]/LINE2_DATA[[#This Row],[TOTAL LBS]])*100),2))</f>
        <v/>
      </c>
      <c r="CB42" s="4" t="str">
        <f t="shared" si="34"/>
        <v/>
      </c>
      <c r="CC42" s="4" t="str">
        <f t="shared" si="35"/>
        <v/>
      </c>
      <c r="CD42" s="4" t="str">
        <f>IF(LINE2_DATA[[#This Row],[EFFECTIVE SPEED]]="","",(LINE2_DATA[[#This Row],[EFFECTIVE SPEED]]*LINE2_DATA[[#This Row],[AVAILABLE MINS]]))</f>
        <v/>
      </c>
      <c r="CE42" s="4" t="str">
        <f>IFERROR(IF(BR42="","",ROUND(((LINE2_DATA[[#This Row],[PRODUCED FT]]/LINE2_DATA[[#This Row],[PENT. PROD. CAP.]])*100),2)),"")</f>
        <v/>
      </c>
      <c r="CF42" s="125" t="str">
        <f>IF(LINE2_DATA[[#This Row],[DATE]]="","",75)</f>
        <v/>
      </c>
      <c r="CG42" s="125" t="str">
        <f>IF(LINE2_DATA[[#This Row],[DATE]]="","",10)</f>
        <v/>
      </c>
    </row>
    <row r="43" spans="1:85" ht="18" customHeight="1" x14ac:dyDescent="0.25">
      <c r="A43" s="19" t="str">
        <f t="shared" si="14"/>
        <v/>
      </c>
      <c r="B43" s="19" t="str">
        <f t="shared" si="15"/>
        <v/>
      </c>
      <c r="D43" s="8"/>
      <c r="E43" s="26"/>
      <c r="F43" s="26"/>
      <c r="G43" s="26"/>
      <c r="H43" s="97"/>
      <c r="I43" s="27"/>
      <c r="J43" s="8"/>
      <c r="K43" s="43"/>
      <c r="L43" s="43"/>
      <c r="M43" s="43"/>
      <c r="N43" s="43"/>
      <c r="O43" s="37"/>
      <c r="P43" s="4" t="str" cm="1">
        <f t="array" ref="P43">IFERROR(INDEX($A$13:$A$81,MATCH(0,COUNTIF($P$12:P42,$A$13:$A$81),0)),"")</f>
        <v/>
      </c>
      <c r="Q43" s="92" t="str">
        <f t="shared" si="16"/>
        <v/>
      </c>
      <c r="R43" s="93" t="str">
        <f t="shared" si="17"/>
        <v/>
      </c>
      <c r="S43" s="93" t="str">
        <f t="shared" si="18"/>
        <v/>
      </c>
      <c r="T43" s="93" t="str">
        <f t="shared" si="19"/>
        <v/>
      </c>
      <c r="U43" s="127" t="str">
        <f t="shared" si="0"/>
        <v/>
      </c>
      <c r="V43" s="46" t="str">
        <f t="shared" si="1"/>
        <v/>
      </c>
      <c r="W43" s="37"/>
      <c r="X43" s="18" t="str">
        <f t="array" ref="X43">IFERROR(IF(INDEX($H$13:$H$81,MATCH(0,COUNTIF($X$12:X42,$H$13:$H$81),0))=0,"",INDEX($H$13:$H$81,MATCH(0,COUNTIF($X$12:X42,$H$13:$H$81),0))),"")</f>
        <v/>
      </c>
      <c r="Y43" s="18" t="str">
        <f t="shared" si="2"/>
        <v/>
      </c>
      <c r="Z43" s="48" t="str">
        <f t="shared" si="20"/>
        <v/>
      </c>
      <c r="AA43" s="82"/>
      <c r="AB43" s="18" t="str">
        <f t="shared" si="21"/>
        <v/>
      </c>
      <c r="AC43" s="31" t="str">
        <f t="shared" si="22"/>
        <v/>
      </c>
      <c r="AD43" s="18" t="str">
        <f t="shared" si="23"/>
        <v/>
      </c>
      <c r="AE43" s="18" t="str">
        <f t="shared" si="24"/>
        <v/>
      </c>
      <c r="AF43" s="37"/>
      <c r="AG43" s="45" t="str">
        <f t="array" ref="AG43">IFERROR(IF(INDEX($B$13:$B$81,MATCH(0,COUNTIF($AG$12:AG42,$B$13:$B$81),0))=0,"",INDEX($B$13:$B$81,MATCH(0,COUNTIF($AG$12:AG42,$B$13:$B$81),0))),"")</f>
        <v/>
      </c>
      <c r="AH43" s="122" t="str">
        <f t="shared" si="3"/>
        <v/>
      </c>
      <c r="AI43" s="123" t="str">
        <f t="shared" si="4"/>
        <v/>
      </c>
      <c r="AJ43" s="102" t="str">
        <f>IFERROR(IF($AG43="","",SUMIFS([2]INPUTS!$F:$F,[2]INPUTS!$L:$L,$AG43,[2]INPUTS!$E:$E,$D$9)),"")</f>
        <v/>
      </c>
      <c r="AK43" s="12" t="str">
        <f t="shared" si="5"/>
        <v/>
      </c>
      <c r="AM43" s="109" t="str">
        <f t="shared" si="6"/>
        <v/>
      </c>
      <c r="AN43" s="108" t="str">
        <f t="shared" si="7"/>
        <v/>
      </c>
      <c r="AO43" s="101" t="str">
        <f>IF(AP43="","",_xlfn.XLOOKUP(CONCATENATE(AN43,"-",AP43),[3]INPUTS!$B:$B,[3]INPUTS!$N:$N))</f>
        <v/>
      </c>
      <c r="AP43" s="108" t="str">
        <f t="shared" si="8"/>
        <v/>
      </c>
      <c r="AQ43" s="99" t="str">
        <f>IF($F43="","",IF($L43="",_xlfn.XLOOKUP($D$9,[1]SCHE!$A:$A,[1]SCHE!$N:$N),$L43))</f>
        <v/>
      </c>
      <c r="AR43" s="99" t="str">
        <f t="shared" si="36"/>
        <v/>
      </c>
      <c r="AS43" s="47" t="str">
        <f t="shared" si="25"/>
        <v/>
      </c>
      <c r="AT43" s="9" t="str">
        <f t="shared" si="10"/>
        <v/>
      </c>
      <c r="AU43" s="94" t="str">
        <f>IF($AO43="","",IF($AT$3="",INDEX([3]INPUTS!$A:$BF,MATCH(CONCATENATE($AN43,"-",$AP43),[3]INPUTS!$B:$B,0),22),$AT$3))</f>
        <v/>
      </c>
      <c r="AV43" s="103" t="str">
        <f t="shared" si="11"/>
        <v/>
      </c>
      <c r="AW43" s="11" t="str">
        <f t="shared" si="12"/>
        <v/>
      </c>
      <c r="AX43" s="104" t="str">
        <f t="shared" si="26"/>
        <v/>
      </c>
      <c r="AY43" s="110" t="str">
        <f t="shared" si="37"/>
        <v/>
      </c>
      <c r="BE43" s="19" t="str">
        <f t="shared" si="27"/>
        <v/>
      </c>
      <c r="BR43" s="1" t="str">
        <f t="array" ref="BR43">IFERROR(IF(INDEX($B$13:$B$81,MATCH(0,COUNTIF($BR$12:BR42,$B$13:$B$81),0))=0,"",INDEX($B$13:$B$81,MATCH(0,COUNTIF($BR$12:BR42,$B$13:$B$81),0))),"")</f>
        <v/>
      </c>
      <c r="BS43" s="124" t="str">
        <f t="shared" si="28"/>
        <v/>
      </c>
      <c r="BT43" s="125" t="str">
        <f t="shared" si="29"/>
        <v/>
      </c>
      <c r="BU43" s="4" t="str">
        <f>IF(LINE2_DATA[[#This Row],[OP]]="","",INDEX(Sheet1!$G$2:$I$10,MATCH(LINE2_DATA[[#This Row],[OP]],Sheet1!$G$2:$G$10,0),3))</f>
        <v/>
      </c>
      <c r="BV43" s="4" t="str">
        <f t="shared" si="30"/>
        <v/>
      </c>
      <c r="BW43" s="4" t="str">
        <f t="shared" si="31"/>
        <v/>
      </c>
      <c r="BX43" s="4" t="str">
        <f t="shared" si="32"/>
        <v/>
      </c>
      <c r="BY43" s="4" t="str">
        <f t="shared" si="33"/>
        <v/>
      </c>
      <c r="BZ43" s="4" t="str">
        <f>IF(BR43="","",SUM(LINE2_DATA[[#This Row],[PRODUCED LBS]],LINE2_DATA[[#This Row],[SCRAP]]))</f>
        <v/>
      </c>
      <c r="CA43" s="4" t="str">
        <f>IF(BR43="","",ROUND(((LINE2_DATA[[#This Row],[SCRAP]]/LINE2_DATA[[#This Row],[TOTAL LBS]])*100),2))</f>
        <v/>
      </c>
      <c r="CB43" s="4" t="str">
        <f t="shared" si="34"/>
        <v/>
      </c>
      <c r="CC43" s="4" t="str">
        <f t="shared" si="35"/>
        <v/>
      </c>
      <c r="CD43" s="4" t="str">
        <f>IF(LINE2_DATA[[#This Row],[EFFECTIVE SPEED]]="","",(LINE2_DATA[[#This Row],[EFFECTIVE SPEED]]*LINE2_DATA[[#This Row],[AVAILABLE MINS]]))</f>
        <v/>
      </c>
      <c r="CE43" s="4" t="str">
        <f>IFERROR(IF(BR43="","",ROUND(((LINE2_DATA[[#This Row],[PRODUCED FT]]/LINE2_DATA[[#This Row],[PENT. PROD. CAP.]])*100),2)),"")</f>
        <v/>
      </c>
      <c r="CF43" s="125" t="str">
        <f>IF(LINE2_DATA[[#This Row],[DATE]]="","",75)</f>
        <v/>
      </c>
      <c r="CG43" s="125" t="str">
        <f>IF(LINE2_DATA[[#This Row],[DATE]]="","",10)</f>
        <v/>
      </c>
    </row>
    <row r="44" spans="1:85" ht="19.899999999999999" customHeight="1" x14ac:dyDescent="0.25">
      <c r="A44" s="19" t="str">
        <f t="shared" si="14"/>
        <v/>
      </c>
      <c r="B44" s="19" t="str">
        <f t="shared" si="15"/>
        <v/>
      </c>
      <c r="D44" s="8"/>
      <c r="E44" s="26"/>
      <c r="F44" s="26"/>
      <c r="G44" s="26"/>
      <c r="H44" s="97"/>
      <c r="I44" s="27"/>
      <c r="J44" s="8"/>
      <c r="K44" s="43"/>
      <c r="L44" s="43"/>
      <c r="M44" s="43"/>
      <c r="N44" s="43"/>
      <c r="O44" s="37"/>
      <c r="P44" s="4" t="str" cm="1">
        <f t="array" ref="P44">IFERROR(INDEX($A$13:$A$81,MATCH(0,COUNTIF($P$12:P43,$A$13:$A$81),0)),"")</f>
        <v/>
      </c>
      <c r="Q44" s="92" t="str">
        <f t="shared" si="16"/>
        <v/>
      </c>
      <c r="R44" s="93" t="str">
        <f t="shared" si="17"/>
        <v/>
      </c>
      <c r="S44" s="93" t="str">
        <f t="shared" si="18"/>
        <v/>
      </c>
      <c r="T44" s="93" t="str">
        <f t="shared" si="19"/>
        <v/>
      </c>
      <c r="U44" s="127" t="str">
        <f t="shared" si="0"/>
        <v/>
      </c>
      <c r="V44" s="46" t="str">
        <f t="shared" si="1"/>
        <v/>
      </c>
      <c r="W44" s="37"/>
      <c r="X44" s="18" t="str">
        <f t="array" ref="X44">IFERROR(IF(INDEX($H$13:$H$81,MATCH(0,COUNTIF($X$12:X43,$H$13:$H$81),0))=0,"",INDEX($H$13:$H$81,MATCH(0,COUNTIF($X$12:X43,$H$13:$H$81),0))),"")</f>
        <v/>
      </c>
      <c r="Y44" s="18" t="str">
        <f t="shared" si="2"/>
        <v/>
      </c>
      <c r="Z44" s="48" t="str">
        <f t="shared" si="20"/>
        <v/>
      </c>
      <c r="AA44" s="82"/>
      <c r="AB44" s="18" t="str">
        <f t="shared" si="21"/>
        <v/>
      </c>
      <c r="AC44" s="31" t="str">
        <f t="shared" si="22"/>
        <v/>
      </c>
      <c r="AD44" s="18" t="str">
        <f t="shared" si="23"/>
        <v/>
      </c>
      <c r="AE44" s="18" t="str">
        <f t="shared" si="24"/>
        <v/>
      </c>
      <c r="AF44" s="37"/>
      <c r="AG44" s="45" t="str">
        <f t="array" ref="AG44">IFERROR(IF(INDEX($B$13:$B$81,MATCH(0,COUNTIF($AG$12:AG43,$B$13:$B$81),0))=0,"",INDEX($B$13:$B$81,MATCH(0,COUNTIF($AG$12:AG43,$B$13:$B$81),0))),"")</f>
        <v/>
      </c>
      <c r="AH44" s="122" t="str">
        <f t="shared" si="3"/>
        <v/>
      </c>
      <c r="AI44" s="123" t="str">
        <f t="shared" si="4"/>
        <v/>
      </c>
      <c r="AJ44" s="102" t="str">
        <f>IFERROR(IF($AG44="","",SUMIFS([2]INPUTS!$F:$F,[2]INPUTS!$L:$L,$AG44,[2]INPUTS!$E:$E,$D$9)),"")</f>
        <v/>
      </c>
      <c r="AK44" s="12" t="str">
        <f t="shared" si="5"/>
        <v/>
      </c>
      <c r="AM44" s="109" t="str">
        <f t="shared" si="6"/>
        <v/>
      </c>
      <c r="AN44" s="108" t="str">
        <f t="shared" si="7"/>
        <v/>
      </c>
      <c r="AO44" s="101" t="str">
        <f>IF(AP44="","",_xlfn.XLOOKUP(CONCATENATE(AN44,"-",AP44),[3]INPUTS!$B:$B,[3]INPUTS!$N:$N))</f>
        <v/>
      </c>
      <c r="AP44" s="108" t="str">
        <f t="shared" si="8"/>
        <v/>
      </c>
      <c r="AQ44" s="99" t="str">
        <f>IF($F44="","",IF($L44="",_xlfn.XLOOKUP($D$9,[1]SCHE!$A:$A,[1]SCHE!$N:$N),$L44))</f>
        <v/>
      </c>
      <c r="AR44" s="99" t="str">
        <f t="shared" si="36"/>
        <v/>
      </c>
      <c r="AS44" s="47" t="str">
        <f t="shared" si="25"/>
        <v/>
      </c>
      <c r="AT44" s="9" t="str">
        <f t="shared" si="10"/>
        <v/>
      </c>
      <c r="AU44" s="94" t="str">
        <f>IF($AO44="","",IF($AT$3="",INDEX([3]INPUTS!$A:$BF,MATCH(CONCATENATE($AN44,"-",$AP44),[3]INPUTS!$B:$B,0),22),$AT$3))</f>
        <v/>
      </c>
      <c r="AV44" s="103" t="str">
        <f t="shared" si="11"/>
        <v/>
      </c>
      <c r="AW44" s="11" t="str">
        <f t="shared" si="12"/>
        <v/>
      </c>
      <c r="AX44" s="104" t="str">
        <f t="shared" si="26"/>
        <v/>
      </c>
      <c r="AY44" s="110" t="str">
        <f t="shared" si="37"/>
        <v/>
      </c>
      <c r="BE44" s="19" t="str">
        <f t="shared" si="27"/>
        <v/>
      </c>
      <c r="BR44" s="1" t="str">
        <f t="array" ref="BR44">IFERROR(IF(INDEX($B$13:$B$81,MATCH(0,COUNTIF($BR$12:BR43,$B$13:$B$81),0))=0,"",INDEX($B$13:$B$81,MATCH(0,COUNTIF($BR$12:BR43,$B$13:$B$81),0))),"")</f>
        <v/>
      </c>
      <c r="BS44" s="124" t="str">
        <f t="shared" si="28"/>
        <v/>
      </c>
      <c r="BT44" s="125" t="str">
        <f t="shared" si="29"/>
        <v/>
      </c>
      <c r="BU44" s="4" t="str">
        <f>IF(LINE2_DATA[[#This Row],[OP]]="","",INDEX(Sheet1!$G$2:$I$10,MATCH(LINE2_DATA[[#This Row],[OP]],Sheet1!$G$2:$G$10,0),3))</f>
        <v/>
      </c>
      <c r="BV44" s="4" t="str">
        <f t="shared" si="30"/>
        <v/>
      </c>
      <c r="BW44" s="4" t="str">
        <f t="shared" si="31"/>
        <v/>
      </c>
      <c r="BX44" s="4" t="str">
        <f t="shared" si="32"/>
        <v/>
      </c>
      <c r="BY44" s="4" t="str">
        <f t="shared" si="33"/>
        <v/>
      </c>
      <c r="BZ44" s="4" t="str">
        <f>IF(BR44="","",SUM(LINE2_DATA[[#This Row],[PRODUCED LBS]],LINE2_DATA[[#This Row],[SCRAP]]))</f>
        <v/>
      </c>
      <c r="CA44" s="4" t="str">
        <f>IF(BR44="","",ROUND(((LINE2_DATA[[#This Row],[SCRAP]]/LINE2_DATA[[#This Row],[TOTAL LBS]])*100),2))</f>
        <v/>
      </c>
      <c r="CB44" s="4" t="str">
        <f t="shared" si="34"/>
        <v/>
      </c>
      <c r="CC44" s="4" t="str">
        <f t="shared" si="35"/>
        <v/>
      </c>
      <c r="CD44" s="4" t="str">
        <f>IF(LINE2_DATA[[#This Row],[EFFECTIVE SPEED]]="","",(LINE2_DATA[[#This Row],[EFFECTIVE SPEED]]*LINE2_DATA[[#This Row],[AVAILABLE MINS]]))</f>
        <v/>
      </c>
      <c r="CE44" s="4" t="str">
        <f>IFERROR(IF(BR44="","",ROUND(((LINE2_DATA[[#This Row],[PRODUCED FT]]/LINE2_DATA[[#This Row],[PENT. PROD. CAP.]])*100),2)),"")</f>
        <v/>
      </c>
      <c r="CF44" s="125" t="str">
        <f>IF(LINE2_DATA[[#This Row],[DATE]]="","",75)</f>
        <v/>
      </c>
      <c r="CG44" s="125" t="str">
        <f>IF(LINE2_DATA[[#This Row],[DATE]]="","",10)</f>
        <v/>
      </c>
    </row>
    <row r="45" spans="1:85" ht="19.899999999999999" customHeight="1" x14ac:dyDescent="0.25">
      <c r="A45" s="19" t="str">
        <f t="shared" si="14"/>
        <v/>
      </c>
      <c r="B45" s="19" t="str">
        <f t="shared" si="15"/>
        <v/>
      </c>
      <c r="D45" s="8"/>
      <c r="E45" s="26"/>
      <c r="F45" s="26"/>
      <c r="G45" s="26"/>
      <c r="H45" s="97"/>
      <c r="I45" s="27"/>
      <c r="J45" s="8"/>
      <c r="K45" s="43"/>
      <c r="L45" s="43"/>
      <c r="M45" s="43"/>
      <c r="N45" s="43"/>
      <c r="O45" s="37"/>
      <c r="P45" s="4" t="str" cm="1">
        <f t="array" ref="P45">IFERROR(INDEX($A$13:$A$81,MATCH(0,COUNTIF($P$12:P44,$A$13:$A$81),0)),"")</f>
        <v/>
      </c>
      <c r="Q45" s="92" t="str">
        <f t="shared" si="16"/>
        <v/>
      </c>
      <c r="R45" s="93" t="str">
        <f t="shared" si="17"/>
        <v/>
      </c>
      <c r="S45" s="93" t="str">
        <f t="shared" si="18"/>
        <v/>
      </c>
      <c r="T45" s="93" t="str">
        <f t="shared" si="19"/>
        <v/>
      </c>
      <c r="U45" s="127" t="str">
        <f t="shared" ref="U45:U81" si="38">IF($P45="","",SUMIFS($AS$13:$AS$81,$A$13:$A$81,$P45,$AS$13:$AS$81,"&gt;0"))</f>
        <v/>
      </c>
      <c r="V45" s="46" t="str">
        <f t="shared" ref="V45:V81" si="39">IF($P45="","",SUMIFS($AR$13:$AR$66,$A$13:$A$66,$P45,$AR$13:$AR$66,"&gt;0"))</f>
        <v/>
      </c>
      <c r="W45" s="37"/>
      <c r="X45" s="18" t="str">
        <f t="array" ref="X45">IFERROR(IF(INDEX($H$13:$H$81,MATCH(0,COUNTIF($X$12:X44,$H$13:$H$81),0))=0,"",INDEX($H$13:$H$81,MATCH(0,COUNTIF($X$12:X44,$H$13:$H$81),0))),"")</f>
        <v/>
      </c>
      <c r="Y45" s="18" t="str">
        <f t="shared" ref="Y45:Y76" si="40">IF($X45="","",SUMIFS($AR45:$AR113,$AM45:$AM113,$X45,$AR45:$AR113,"&gt;0"))</f>
        <v/>
      </c>
      <c r="Z45" s="48" t="str">
        <f t="shared" si="20"/>
        <v/>
      </c>
      <c r="AA45" s="82"/>
      <c r="AB45" s="18" t="str">
        <f t="shared" si="21"/>
        <v/>
      </c>
      <c r="AC45" s="31" t="str">
        <f t="shared" si="22"/>
        <v/>
      </c>
      <c r="AD45" s="18" t="str">
        <f t="shared" si="23"/>
        <v/>
      </c>
      <c r="AE45" s="18" t="str">
        <f t="shared" si="24"/>
        <v/>
      </c>
      <c r="AF45" s="37"/>
      <c r="AG45" s="45" t="str">
        <f t="array" ref="AG45">IFERROR(IF(INDEX($B$13:$B$81,MATCH(0,COUNTIF($AG$12:AG44,$B$13:$B$81),0))=0,"",INDEX($B$13:$B$81,MATCH(0,COUNTIF($AG$12:AG44,$B$13:$B$81),0))),"")</f>
        <v/>
      </c>
      <c r="AH45" s="122" t="str">
        <f t="shared" ref="AH45:AH76" si="41">IF($AG45="","",INDEX($A45:$M113,MATCH($AG45,$B45:$B113,0),9))</f>
        <v/>
      </c>
      <c r="AI45" s="123" t="str">
        <f t="shared" ref="AI45:AI76" si="42">IF($AG45="","",INDEX($A45:$M113,MATCH($AG45,$B45:$B113,0),7))</f>
        <v/>
      </c>
      <c r="AJ45" s="102" t="str">
        <f>IFERROR(IF($AG45="","",SUMIFS([2]INPUTS!$F:$F,[2]INPUTS!$L:$L,$AG45,[2]INPUTS!$E:$E,$D$9)),"")</f>
        <v/>
      </c>
      <c r="AK45" s="12" t="str">
        <f t="shared" ref="AK45:AK81" si="43">IF(F45="","",1)</f>
        <v/>
      </c>
      <c r="AM45" s="109" t="str">
        <f t="shared" ref="AM45:AM81" si="44">IF(D45="","",H45)</f>
        <v/>
      </c>
      <c r="AN45" s="108" t="str">
        <f t="shared" ref="AN45:AN81" si="45">IF(D45="","",D45)</f>
        <v/>
      </c>
      <c r="AO45" s="101" t="str">
        <f>IF(AP45="","",_xlfn.XLOOKUP(CONCATENATE(AN45,"-",AP45),[3]INPUTS!$B:$B,[3]INPUTS!$N:$N))</f>
        <v/>
      </c>
      <c r="AP45" s="108" t="str">
        <f t="shared" ref="AP45:AP81" si="46">IF(E45="","",E45)</f>
        <v/>
      </c>
      <c r="AQ45" s="99" t="str">
        <f>IF($F45="","",IF($L45="",_xlfn.XLOOKUP($D$9,[1]SCHE!$A:$A,[1]SCHE!$N:$N),$L45))</f>
        <v/>
      </c>
      <c r="AR45" s="99" t="str">
        <f t="shared" si="36"/>
        <v/>
      </c>
      <c r="AS45" s="47" t="str">
        <f t="shared" si="25"/>
        <v/>
      </c>
      <c r="AT45" s="9" t="str">
        <f t="shared" ref="AT45:AT81" si="47">IFERROR(IF($M45="",IF($AS45="","",(((($AS$9-$AU45)*$AU45)*$S$3)*$AS45)*$AT$4),""),"")</f>
        <v/>
      </c>
      <c r="AU45" s="94" t="str">
        <f>IF($AO45="","",IF($AT$3="",INDEX([3]INPUTS!$A:$BF,MATCH(CONCATENATE($AN45,"-",$AP45),[3]INPUTS!$B:$B,0),22),$AT$3))</f>
        <v/>
      </c>
      <c r="AV45" s="103" t="str">
        <f t="shared" ref="AV45:AV81" si="48">IF(G45="","",G45)</f>
        <v/>
      </c>
      <c r="AW45" s="11" t="str">
        <f t="shared" ref="AW45:AW81" si="49">IF(AN45="","",I45)</f>
        <v/>
      </c>
      <c r="AX45" s="104" t="str">
        <f t="shared" si="26"/>
        <v/>
      </c>
      <c r="AY45" s="110" t="str">
        <f t="shared" si="37"/>
        <v/>
      </c>
      <c r="BE45" s="19" t="str">
        <f t="shared" si="27"/>
        <v/>
      </c>
      <c r="BR45" s="1" t="str">
        <f t="array" ref="BR45">IFERROR(IF(INDEX($B$13:$B$81,MATCH(0,COUNTIF($BR$12:BR44,$B$13:$B$81),0))=0,"",INDEX($B$13:$B$81,MATCH(0,COUNTIF($BR$12:BR44,$B$13:$B$81),0))),"")</f>
        <v/>
      </c>
      <c r="BS45" s="124" t="str">
        <f t="shared" si="28"/>
        <v/>
      </c>
      <c r="BT45" s="125" t="str">
        <f t="shared" si="29"/>
        <v/>
      </c>
      <c r="BU45" s="4" t="str">
        <f>IF(LINE2_DATA[[#This Row],[OP]]="","",INDEX(Sheet1!$G$2:$I$10,MATCH(LINE2_DATA[[#This Row],[OP]],Sheet1!$G$2:$G$10,0),3))</f>
        <v/>
      </c>
      <c r="BV45" s="4" t="str">
        <f t="shared" si="30"/>
        <v/>
      </c>
      <c r="BW45" s="4" t="str">
        <f t="shared" si="31"/>
        <v/>
      </c>
      <c r="BX45" s="4" t="str">
        <f t="shared" si="32"/>
        <v/>
      </c>
      <c r="BY45" s="4" t="str">
        <f t="shared" si="33"/>
        <v/>
      </c>
      <c r="BZ45" s="4" t="str">
        <f>IF(BR45="","",SUM(LINE2_DATA[[#This Row],[PRODUCED LBS]],LINE2_DATA[[#This Row],[SCRAP]]))</f>
        <v/>
      </c>
      <c r="CA45" s="4" t="str">
        <f>IF(BR45="","",ROUND(((LINE2_DATA[[#This Row],[SCRAP]]/LINE2_DATA[[#This Row],[TOTAL LBS]])*100),2))</f>
        <v/>
      </c>
      <c r="CB45" s="4" t="str">
        <f t="shared" si="34"/>
        <v/>
      </c>
      <c r="CC45" s="4" t="str">
        <f t="shared" si="35"/>
        <v/>
      </c>
      <c r="CD45" s="4" t="str">
        <f>IF(LINE2_DATA[[#This Row],[EFFECTIVE SPEED]]="","",(LINE2_DATA[[#This Row],[EFFECTIVE SPEED]]*LINE2_DATA[[#This Row],[AVAILABLE MINS]]))</f>
        <v/>
      </c>
      <c r="CE45" s="4" t="str">
        <f>IFERROR(IF(BR45="","",ROUND(((LINE2_DATA[[#This Row],[PRODUCED FT]]/LINE2_DATA[[#This Row],[PENT. PROD. CAP.]])*100),2)),"")</f>
        <v/>
      </c>
      <c r="CF45" s="125" t="str">
        <f>IF(LINE2_DATA[[#This Row],[DATE]]="","",75)</f>
        <v/>
      </c>
      <c r="CG45" s="125" t="str">
        <f>IF(LINE2_DATA[[#This Row],[DATE]]="","",10)</f>
        <v/>
      </c>
    </row>
    <row r="46" spans="1:85" ht="19.899999999999999" customHeight="1" x14ac:dyDescent="0.25">
      <c r="A46" s="19" t="str">
        <f t="shared" si="14"/>
        <v/>
      </c>
      <c r="B46" s="19" t="str">
        <f t="shared" si="15"/>
        <v/>
      </c>
      <c r="D46" s="8"/>
      <c r="E46" s="26"/>
      <c r="F46" s="26"/>
      <c r="G46" s="26"/>
      <c r="H46" s="97"/>
      <c r="I46" s="27"/>
      <c r="J46" s="8"/>
      <c r="K46" s="43"/>
      <c r="L46" s="43"/>
      <c r="M46" s="43"/>
      <c r="N46" s="43"/>
      <c r="O46" s="37"/>
      <c r="P46" s="4" t="str" cm="1">
        <f t="array" ref="P46">IFERROR(INDEX($A$13:$A$81,MATCH(0,COUNTIF($P$12:P45,$A$13:$A$81),0)),"")</f>
        <v/>
      </c>
      <c r="Q46" s="92" t="str">
        <f t="shared" si="16"/>
        <v/>
      </c>
      <c r="R46" s="93" t="str">
        <f t="shared" si="17"/>
        <v/>
      </c>
      <c r="S46" s="93" t="str">
        <f t="shared" si="18"/>
        <v/>
      </c>
      <c r="T46" s="93" t="str">
        <f t="shared" si="19"/>
        <v/>
      </c>
      <c r="U46" s="127" t="str">
        <f t="shared" si="38"/>
        <v/>
      </c>
      <c r="V46" s="46" t="str">
        <f t="shared" si="39"/>
        <v/>
      </c>
      <c r="W46" s="37"/>
      <c r="X46" s="18" t="str">
        <f t="array" ref="X46">IFERROR(IF(INDEX($H$13:$H$81,MATCH(0,COUNTIF($X$12:X45,$H$13:$H$81),0))=0,"",INDEX($H$13:$H$81,MATCH(0,COUNTIF($X$12:X45,$H$13:$H$81),0))),"")</f>
        <v/>
      </c>
      <c r="Y46" s="18" t="str">
        <f t="shared" si="40"/>
        <v/>
      </c>
      <c r="Z46" s="48" t="str">
        <f t="shared" si="20"/>
        <v/>
      </c>
      <c r="AA46" s="82"/>
      <c r="AB46" s="18" t="str">
        <f t="shared" si="21"/>
        <v/>
      </c>
      <c r="AC46" s="31" t="str">
        <f t="shared" si="22"/>
        <v/>
      </c>
      <c r="AD46" s="18" t="str">
        <f t="shared" si="23"/>
        <v/>
      </c>
      <c r="AE46" s="18" t="str">
        <f t="shared" si="24"/>
        <v/>
      </c>
      <c r="AF46" s="37"/>
      <c r="AG46" s="45" t="str">
        <f t="array" ref="AG46">IFERROR(IF(INDEX($B$13:$B$81,MATCH(0,COUNTIF($AG$12:AG45,$B$13:$B$81),0))=0,"",INDEX($B$13:$B$81,MATCH(0,COUNTIF($AG$12:AG45,$B$13:$B$81),0))),"")</f>
        <v/>
      </c>
      <c r="AH46" s="122" t="str">
        <f t="shared" si="41"/>
        <v/>
      </c>
      <c r="AI46" s="123" t="str">
        <f t="shared" si="42"/>
        <v/>
      </c>
      <c r="AJ46" s="102" t="str">
        <f>IFERROR(IF($AG46="","",SUMIFS([2]INPUTS!$F:$F,[2]INPUTS!$L:$L,$AG46,[2]INPUTS!$E:$E,$D$9)),"")</f>
        <v/>
      </c>
      <c r="AK46" s="12" t="str">
        <f t="shared" si="43"/>
        <v/>
      </c>
      <c r="AM46" s="109" t="str">
        <f t="shared" si="44"/>
        <v/>
      </c>
      <c r="AN46" s="108" t="str">
        <f t="shared" si="45"/>
        <v/>
      </c>
      <c r="AO46" s="101" t="str">
        <f>IF(AP46="","",_xlfn.XLOOKUP(CONCATENATE(AN46,"-",AP46),[3]INPUTS!$B:$B,[3]INPUTS!$N:$N))</f>
        <v/>
      </c>
      <c r="AP46" s="108" t="str">
        <f t="shared" si="46"/>
        <v/>
      </c>
      <c r="AQ46" s="99" t="str">
        <f>IF($F46="","",IF($L46="",_xlfn.XLOOKUP($D$9,[1]SCHE!$A:$A,[1]SCHE!$N:$N),$L46))</f>
        <v/>
      </c>
      <c r="AR46" s="99" t="str">
        <f t="shared" si="36"/>
        <v/>
      </c>
      <c r="AS46" s="47" t="str">
        <f t="shared" si="25"/>
        <v/>
      </c>
      <c r="AT46" s="9" t="str">
        <f t="shared" si="47"/>
        <v/>
      </c>
      <c r="AU46" s="94" t="str">
        <f>IF($AO46="","",IF($AT$3="",INDEX([3]INPUTS!$A:$BF,MATCH(CONCATENATE($AN46,"-",$AP46),[3]INPUTS!$B:$B,0),22),$AT$3))</f>
        <v/>
      </c>
      <c r="AV46" s="103" t="str">
        <f t="shared" si="48"/>
        <v/>
      </c>
      <c r="AW46" s="11" t="str">
        <f t="shared" si="49"/>
        <v/>
      </c>
      <c r="AX46" s="104" t="str">
        <f t="shared" si="26"/>
        <v/>
      </c>
      <c r="AY46" s="110" t="str">
        <f t="shared" si="37"/>
        <v/>
      </c>
      <c r="BE46" s="19" t="str">
        <f t="shared" si="27"/>
        <v/>
      </c>
      <c r="BR46" s="1" t="str">
        <f t="array" ref="BR46">IFERROR(IF(INDEX($B$13:$B$81,MATCH(0,COUNTIF($BR$12:BR45,$B$13:$B$81),0))=0,"",INDEX($B$13:$B$81,MATCH(0,COUNTIF($BR$12:BR45,$B$13:$B$81),0))),"")</f>
        <v/>
      </c>
      <c r="BS46" s="124" t="str">
        <f t="shared" ref="BS46:BS81" si="50">IF($BR46="","",INDEX($A$13:$AZ$81,MATCH($BR46,$B$13:$B$81,0),9))</f>
        <v/>
      </c>
      <c r="BT46" s="125" t="str">
        <f t="shared" ref="BT46:BT81" si="51">IF($BR46="","",INDEX($A$13:$AZ$81,MATCH($BR46,$B$13:$B$81,0),7))</f>
        <v/>
      </c>
      <c r="BU46" s="4" t="str">
        <f>IF(LINE2_DATA[[#This Row],[OP]]="","",INDEX(Sheet1!$G$2:$I$10,MATCH(LINE2_DATA[[#This Row],[OP]],Sheet1!$G$2:$G$10,0),3))</f>
        <v/>
      </c>
      <c r="BV46" s="4" t="str">
        <f t="shared" ref="BV46:BV81" si="52">IF($BR46="","",ROUND(SUMIF($B$13:$B$81,$BR46,$AT$13:$AT$81),0))</f>
        <v/>
      </c>
      <c r="BW46" s="4" t="str">
        <f t="shared" ref="BW46:BW81" si="53">IF($BR46="","",ROUND(SUMIFS($AS$13:$AS$81,$B$13:$B$81,$BR46,$AS$13:$AS$81,"&gt;0"),0))</f>
        <v/>
      </c>
      <c r="BX46" s="4" t="str">
        <f t="shared" ref="BX46:BX81" si="54">IF($BR46="","",ROUND(AVERAGEIF($B$13:$B$81,$BR46,$AU$13:$AU$81),3))</f>
        <v/>
      </c>
      <c r="BY46" s="4" t="str">
        <f t="shared" ref="BY46:BY81" si="55">IF($BR46="","",INDEX($AG$13:$AJ$81,MATCH($BR46,$AG$13:$AG$81,0),4))</f>
        <v/>
      </c>
      <c r="BZ46" s="4" t="str">
        <f>IF(BR46="","",SUM(LINE2_DATA[[#This Row],[PRODUCED LBS]],LINE2_DATA[[#This Row],[SCRAP]]))</f>
        <v/>
      </c>
      <c r="CA46" s="4" t="str">
        <f>IF(BR46="","",ROUND(((LINE2_DATA[[#This Row],[SCRAP]]/LINE2_DATA[[#This Row],[TOTAL LBS]])*100),2))</f>
        <v/>
      </c>
      <c r="CB46" s="4" t="str">
        <f t="shared" ref="CB46:CB81" si="56">IF($BR46="","",$M$9)</f>
        <v/>
      </c>
      <c r="CC46" s="4" t="str">
        <f t="shared" ref="CC46:CC77" si="57">IF(BR46="","",IF(INDEX(A45:N113,MATCH(BR46,B45:B113,0),14)=0,495,INDEX(A45:N113,MATCH(BR46,B45:B113,0),14)))</f>
        <v/>
      </c>
      <c r="CD46" s="4" t="str">
        <f>IF(LINE2_DATA[[#This Row],[EFFECTIVE SPEED]]="","",(LINE2_DATA[[#This Row],[EFFECTIVE SPEED]]*LINE2_DATA[[#This Row],[AVAILABLE MINS]]))</f>
        <v/>
      </c>
      <c r="CE46" s="4" t="str">
        <f>IFERROR(IF(BR46="","",ROUND(((LINE2_DATA[[#This Row],[PRODUCED FT]]/LINE2_DATA[[#This Row],[PENT. PROD. CAP.]])*100),2)),"")</f>
        <v/>
      </c>
      <c r="CF46" s="125" t="str">
        <f>IF(LINE2_DATA[[#This Row],[DATE]]="","",75)</f>
        <v/>
      </c>
      <c r="CG46" s="125" t="str">
        <f>IF(LINE2_DATA[[#This Row],[DATE]]="","",10)</f>
        <v/>
      </c>
    </row>
    <row r="47" spans="1:85" ht="19.899999999999999" customHeight="1" x14ac:dyDescent="0.25">
      <c r="A47" s="19" t="str">
        <f t="shared" si="14"/>
        <v/>
      </c>
      <c r="B47" s="19" t="str">
        <f t="shared" si="15"/>
        <v/>
      </c>
      <c r="D47" s="8"/>
      <c r="E47" s="26"/>
      <c r="F47" s="26"/>
      <c r="G47" s="26"/>
      <c r="H47" s="97"/>
      <c r="I47" s="27"/>
      <c r="J47" s="8"/>
      <c r="K47" s="43"/>
      <c r="L47" s="43"/>
      <c r="M47" s="43"/>
      <c r="N47" s="43"/>
      <c r="O47" s="37"/>
      <c r="P47" s="4" t="str" cm="1">
        <f t="array" ref="P47">IFERROR(INDEX($A$13:$A$81,MATCH(0,COUNTIF($P$12:P46,$A$13:$A$81),0)),"")</f>
        <v/>
      </c>
      <c r="Q47" s="92" t="str">
        <f t="shared" si="16"/>
        <v/>
      </c>
      <c r="R47" s="93" t="str">
        <f t="shared" si="17"/>
        <v/>
      </c>
      <c r="S47" s="93" t="str">
        <f t="shared" si="18"/>
        <v/>
      </c>
      <c r="T47" s="93" t="str">
        <f t="shared" si="19"/>
        <v/>
      </c>
      <c r="U47" s="127" t="str">
        <f t="shared" si="38"/>
        <v/>
      </c>
      <c r="V47" s="46" t="str">
        <f t="shared" si="39"/>
        <v/>
      </c>
      <c r="W47" s="37"/>
      <c r="X47" s="18" t="str">
        <f t="array" ref="X47">IFERROR(IF(INDEX($H$13:$H$81,MATCH(0,COUNTIF($X$12:X46,$H$13:$H$81),0))=0,"",INDEX($H$13:$H$81,MATCH(0,COUNTIF($X$12:X46,$H$13:$H$81),0))),"")</f>
        <v/>
      </c>
      <c r="Y47" s="18" t="str">
        <f t="shared" si="40"/>
        <v/>
      </c>
      <c r="Z47" s="48" t="str">
        <f t="shared" si="20"/>
        <v/>
      </c>
      <c r="AA47" s="82"/>
      <c r="AB47" s="18" t="str">
        <f t="shared" si="21"/>
        <v/>
      </c>
      <c r="AC47" s="31" t="str">
        <f t="shared" si="22"/>
        <v/>
      </c>
      <c r="AD47" s="18" t="str">
        <f t="shared" si="23"/>
        <v/>
      </c>
      <c r="AE47" s="18" t="str">
        <f t="shared" si="24"/>
        <v/>
      </c>
      <c r="AF47" s="37"/>
      <c r="AG47" s="45" t="str">
        <f t="array" ref="AG47">IFERROR(IF(INDEX($B$13:$B$81,MATCH(0,COUNTIF($AG$12:AG46,$B$13:$B$81),0))=0,"",INDEX($B$13:$B$81,MATCH(0,COUNTIF($AG$12:AG46,$B$13:$B$81),0))),"")</f>
        <v/>
      </c>
      <c r="AH47" s="122" t="str">
        <f t="shared" si="41"/>
        <v/>
      </c>
      <c r="AI47" s="123" t="str">
        <f t="shared" si="42"/>
        <v/>
      </c>
      <c r="AJ47" s="102" t="str">
        <f>IFERROR(IF($AG47="","",SUMIFS([2]INPUTS!$F:$F,[2]INPUTS!$L:$L,$AG47,[2]INPUTS!$E:$E,$D$9)),"")</f>
        <v/>
      </c>
      <c r="AK47" s="12" t="str">
        <f t="shared" si="43"/>
        <v/>
      </c>
      <c r="AM47" s="109" t="str">
        <f t="shared" si="44"/>
        <v/>
      </c>
      <c r="AN47" s="108" t="str">
        <f t="shared" si="45"/>
        <v/>
      </c>
      <c r="AO47" s="101" t="str">
        <f>IF(AP47="","",_xlfn.XLOOKUP(CONCATENATE(AN47,"-",AP47),[3]INPUTS!$B:$B,[3]INPUTS!$N:$N))</f>
        <v/>
      </c>
      <c r="AP47" s="108" t="str">
        <f t="shared" si="46"/>
        <v/>
      </c>
      <c r="AQ47" s="99" t="str">
        <f>IF($F47="","",IF($L47="",_xlfn.XLOOKUP($D$9,[1]SCHE!$A:$A,[1]SCHE!$N:$N),$L47))</f>
        <v/>
      </c>
      <c r="AR47" s="99" t="str">
        <f t="shared" si="36"/>
        <v/>
      </c>
      <c r="AS47" s="47" t="str">
        <f t="shared" si="25"/>
        <v/>
      </c>
      <c r="AT47" s="9" t="str">
        <f t="shared" si="47"/>
        <v/>
      </c>
      <c r="AU47" s="94" t="str">
        <f>IF($AO47="","",IF($AT$3="",INDEX([3]INPUTS!$A:$BF,MATCH(CONCATENATE($AN47,"-",$AP47),[3]INPUTS!$B:$B,0),22),$AT$3))</f>
        <v/>
      </c>
      <c r="AV47" s="103" t="str">
        <f t="shared" si="48"/>
        <v/>
      </c>
      <c r="AW47" s="11" t="str">
        <f t="shared" si="49"/>
        <v/>
      </c>
      <c r="AX47" s="104" t="str">
        <f t="shared" si="26"/>
        <v/>
      </c>
      <c r="AY47" s="110" t="str">
        <f t="shared" si="37"/>
        <v/>
      </c>
      <c r="BE47" s="19" t="str">
        <f t="shared" si="27"/>
        <v/>
      </c>
      <c r="BR47" s="1" t="str">
        <f t="array" ref="BR47">IFERROR(IF(INDEX($B$13:$B$81,MATCH(0,COUNTIF($BR$12:BR46,$B$13:$B$81),0))=0,"",INDEX($B$13:$B$81,MATCH(0,COUNTIF($BR$12:BR46,$B$13:$B$81),0))),"")</f>
        <v/>
      </c>
      <c r="BS47" s="124" t="str">
        <f t="shared" si="50"/>
        <v/>
      </c>
      <c r="BT47" s="125" t="str">
        <f t="shared" si="51"/>
        <v/>
      </c>
      <c r="BU47" s="4" t="str">
        <f>IF(LINE2_DATA[[#This Row],[OP]]="","",INDEX(Sheet1!$G$2:$I$10,MATCH(LINE2_DATA[[#This Row],[OP]],Sheet1!$G$2:$G$10,0),3))</f>
        <v/>
      </c>
      <c r="BV47" s="4" t="str">
        <f t="shared" si="52"/>
        <v/>
      </c>
      <c r="BW47" s="4" t="str">
        <f t="shared" si="53"/>
        <v/>
      </c>
      <c r="BX47" s="4" t="str">
        <f t="shared" si="54"/>
        <v/>
      </c>
      <c r="BY47" s="4" t="str">
        <f t="shared" si="55"/>
        <v/>
      </c>
      <c r="BZ47" s="4" t="str">
        <f>IF(BR47="","",SUM(LINE2_DATA[[#This Row],[PRODUCED LBS]],LINE2_DATA[[#This Row],[SCRAP]]))</f>
        <v/>
      </c>
      <c r="CA47" s="4" t="str">
        <f>IF(BR47="","",ROUND(((LINE2_DATA[[#This Row],[SCRAP]]/LINE2_DATA[[#This Row],[TOTAL LBS]])*100),2))</f>
        <v/>
      </c>
      <c r="CB47" s="4" t="str">
        <f t="shared" si="56"/>
        <v/>
      </c>
      <c r="CC47" s="4" t="str">
        <f t="shared" si="57"/>
        <v/>
      </c>
      <c r="CD47" s="4" t="str">
        <f>IF(LINE2_DATA[[#This Row],[EFFECTIVE SPEED]]="","",(LINE2_DATA[[#This Row],[EFFECTIVE SPEED]]*LINE2_DATA[[#This Row],[AVAILABLE MINS]]))</f>
        <v/>
      </c>
      <c r="CE47" s="4" t="str">
        <f>IFERROR(IF(BR47="","",ROUND(((LINE2_DATA[[#This Row],[PRODUCED FT]]/LINE2_DATA[[#This Row],[PENT. PROD. CAP.]])*100),2)),"")</f>
        <v/>
      </c>
      <c r="CF47" s="125" t="str">
        <f>IF(LINE2_DATA[[#This Row],[DATE]]="","",75)</f>
        <v/>
      </c>
      <c r="CG47" s="125" t="str">
        <f>IF(LINE2_DATA[[#This Row],[DATE]]="","",10)</f>
        <v/>
      </c>
    </row>
    <row r="48" spans="1:85" ht="19.899999999999999" customHeight="1" x14ac:dyDescent="0.25">
      <c r="A48" s="19" t="str">
        <f t="shared" si="14"/>
        <v/>
      </c>
      <c r="B48" s="19" t="str">
        <f t="shared" si="15"/>
        <v/>
      </c>
      <c r="D48" s="8"/>
      <c r="E48" s="26"/>
      <c r="F48" s="26"/>
      <c r="G48" s="26"/>
      <c r="H48" s="97"/>
      <c r="I48" s="27"/>
      <c r="J48" s="8"/>
      <c r="K48" s="43"/>
      <c r="L48" s="43"/>
      <c r="M48" s="43"/>
      <c r="N48" s="43"/>
      <c r="O48" s="37"/>
      <c r="P48" s="4" t="str" cm="1">
        <f t="array" ref="P48">IFERROR(INDEX($A$13:$A$81,MATCH(0,COUNTIF($P$12:P47,$A$13:$A$81),0)),"")</f>
        <v/>
      </c>
      <c r="Q48" s="92" t="str">
        <f t="shared" si="16"/>
        <v/>
      </c>
      <c r="R48" s="93" t="str">
        <f t="shared" si="17"/>
        <v/>
      </c>
      <c r="S48" s="93" t="str">
        <f t="shared" si="18"/>
        <v/>
      </c>
      <c r="T48" s="93" t="str">
        <f t="shared" si="19"/>
        <v/>
      </c>
      <c r="U48" s="127" t="str">
        <f t="shared" si="38"/>
        <v/>
      </c>
      <c r="V48" s="46" t="str">
        <f t="shared" si="39"/>
        <v/>
      </c>
      <c r="W48" s="37"/>
      <c r="X48" s="18" t="str">
        <f t="array" ref="X48">IFERROR(IF(INDEX($H$13:$H$81,MATCH(0,COUNTIF($X$12:X47,$H$13:$H$81),0))=0,"",INDEX($H$13:$H$81,MATCH(0,COUNTIF($X$12:X47,$H$13:$H$81),0))),"")</f>
        <v/>
      </c>
      <c r="Y48" s="18" t="str">
        <f t="shared" si="40"/>
        <v/>
      </c>
      <c r="Z48" s="48" t="str">
        <f t="shared" si="20"/>
        <v/>
      </c>
      <c r="AA48" s="82"/>
      <c r="AB48" s="18" t="str">
        <f t="shared" si="21"/>
        <v/>
      </c>
      <c r="AC48" s="31" t="str">
        <f t="shared" si="22"/>
        <v/>
      </c>
      <c r="AD48" s="18" t="str">
        <f t="shared" si="23"/>
        <v/>
      </c>
      <c r="AE48" s="18" t="str">
        <f t="shared" si="24"/>
        <v/>
      </c>
      <c r="AF48" s="37"/>
      <c r="AG48" s="45" t="str">
        <f t="array" ref="AG48">IFERROR(IF(INDEX($B$13:$B$81,MATCH(0,COUNTIF($AG$12:AG47,$B$13:$B$81),0))=0,"",INDEX($B$13:$B$81,MATCH(0,COUNTIF($AG$12:AG47,$B$13:$B$81),0))),"")</f>
        <v/>
      </c>
      <c r="AH48" s="122" t="str">
        <f t="shared" si="41"/>
        <v/>
      </c>
      <c r="AI48" s="123" t="str">
        <f t="shared" si="42"/>
        <v/>
      </c>
      <c r="AJ48" s="102" t="str">
        <f>IFERROR(IF($AG48="","",SUMIFS([2]INPUTS!$F:$F,[2]INPUTS!$L:$L,$AG48,[2]INPUTS!$E:$E,$D$9)),"")</f>
        <v/>
      </c>
      <c r="AK48" s="12" t="str">
        <f t="shared" si="43"/>
        <v/>
      </c>
      <c r="AM48" s="109" t="str">
        <f t="shared" si="44"/>
        <v/>
      </c>
      <c r="AN48" s="108" t="str">
        <f t="shared" si="45"/>
        <v/>
      </c>
      <c r="AO48" s="101" t="str">
        <f>IF(AP48="","",_xlfn.XLOOKUP(CONCATENATE(AN48,"-",AP48),[3]INPUTS!$B:$B,[3]INPUTS!$N:$N))</f>
        <v/>
      </c>
      <c r="AP48" s="108" t="str">
        <f t="shared" si="46"/>
        <v/>
      </c>
      <c r="AQ48" s="99" t="str">
        <f>IF($F48="","",IF($L48="",_xlfn.XLOOKUP($D$9,[1]SCHE!$A:$A,[1]SCHE!$N:$N),$L48))</f>
        <v/>
      </c>
      <c r="AR48" s="99" t="str">
        <f t="shared" si="36"/>
        <v/>
      </c>
      <c r="AS48" s="47" t="str">
        <f t="shared" si="25"/>
        <v/>
      </c>
      <c r="AT48" s="9" t="str">
        <f t="shared" si="47"/>
        <v/>
      </c>
      <c r="AU48" s="94" t="str">
        <f>IF($AO48="","",IF($AT$3="",INDEX([3]INPUTS!$A:$BF,MATCH(CONCATENATE($AN48,"-",$AP48),[3]INPUTS!$B:$B,0),22),$AT$3))</f>
        <v/>
      </c>
      <c r="AV48" s="103" t="str">
        <f t="shared" si="48"/>
        <v/>
      </c>
      <c r="AW48" s="11" t="str">
        <f t="shared" si="49"/>
        <v/>
      </c>
      <c r="AX48" s="104" t="str">
        <f t="shared" si="26"/>
        <v/>
      </c>
      <c r="AY48" s="110" t="str">
        <f t="shared" si="37"/>
        <v/>
      </c>
      <c r="BE48" s="19" t="str">
        <f t="shared" si="27"/>
        <v/>
      </c>
      <c r="BR48" s="1" t="str">
        <f t="array" ref="BR48">IFERROR(IF(INDEX($B$13:$B$81,MATCH(0,COUNTIF($BR$12:BR47,$B$13:$B$81),0))=0,"",INDEX($B$13:$B$81,MATCH(0,COUNTIF($BR$12:BR47,$B$13:$B$81),0))),"")</f>
        <v/>
      </c>
      <c r="BS48" s="124" t="str">
        <f t="shared" si="50"/>
        <v/>
      </c>
      <c r="BT48" s="125" t="str">
        <f t="shared" si="51"/>
        <v/>
      </c>
      <c r="BU48" s="4" t="str">
        <f>IF(LINE2_DATA[[#This Row],[OP]]="","",INDEX(Sheet1!$G$2:$I$10,MATCH(LINE2_DATA[[#This Row],[OP]],Sheet1!$G$2:$G$10,0),3))</f>
        <v/>
      </c>
      <c r="BV48" s="4" t="str">
        <f t="shared" si="52"/>
        <v/>
      </c>
      <c r="BW48" s="4" t="str">
        <f t="shared" si="53"/>
        <v/>
      </c>
      <c r="BX48" s="4" t="str">
        <f t="shared" si="54"/>
        <v/>
      </c>
      <c r="BY48" s="4" t="str">
        <f t="shared" si="55"/>
        <v/>
      </c>
      <c r="BZ48" s="4" t="str">
        <f>IF(BR48="","",SUM(LINE2_DATA[[#This Row],[PRODUCED LBS]],LINE2_DATA[[#This Row],[SCRAP]]))</f>
        <v/>
      </c>
      <c r="CA48" s="4" t="str">
        <f>IF(BR48="","",ROUND(((LINE2_DATA[[#This Row],[SCRAP]]/LINE2_DATA[[#This Row],[TOTAL LBS]])*100),2))</f>
        <v/>
      </c>
      <c r="CB48" s="4" t="str">
        <f t="shared" si="56"/>
        <v/>
      </c>
      <c r="CC48" s="4" t="str">
        <f t="shared" si="57"/>
        <v/>
      </c>
      <c r="CD48" s="4" t="str">
        <f>IF(LINE2_DATA[[#This Row],[EFFECTIVE SPEED]]="","",(LINE2_DATA[[#This Row],[EFFECTIVE SPEED]]*LINE2_DATA[[#This Row],[AVAILABLE MINS]]))</f>
        <v/>
      </c>
      <c r="CE48" s="4" t="str">
        <f>IFERROR(IF(BR48="","",ROUND(((LINE2_DATA[[#This Row],[PRODUCED FT]]/LINE2_DATA[[#This Row],[PENT. PROD. CAP.]])*100),2)),"")</f>
        <v/>
      </c>
      <c r="CF48" s="125" t="str">
        <f>IF(LINE2_DATA[[#This Row],[DATE]]="","",75)</f>
        <v/>
      </c>
      <c r="CG48" s="125" t="str">
        <f>IF(LINE2_DATA[[#This Row],[DATE]]="","",10)</f>
        <v/>
      </c>
    </row>
    <row r="49" spans="1:85" ht="19.899999999999999" customHeight="1" x14ac:dyDescent="0.25">
      <c r="A49" s="19" t="str">
        <f t="shared" si="14"/>
        <v/>
      </c>
      <c r="B49" s="19" t="str">
        <f t="shared" si="15"/>
        <v/>
      </c>
      <c r="D49" s="8"/>
      <c r="E49" s="26"/>
      <c r="F49" s="26"/>
      <c r="G49" s="26"/>
      <c r="H49" s="97"/>
      <c r="I49" s="27"/>
      <c r="J49" s="8"/>
      <c r="K49" s="43"/>
      <c r="L49" s="43"/>
      <c r="M49" s="43"/>
      <c r="N49" s="43"/>
      <c r="O49" s="37"/>
      <c r="P49" s="4" t="str" cm="1">
        <f t="array" ref="P49">IFERROR(INDEX($A$13:$A$81,MATCH(0,COUNTIF($P$12:P48,$A$13:$A$81),0)),"")</f>
        <v/>
      </c>
      <c r="Q49" s="92" t="str">
        <f t="shared" si="16"/>
        <v/>
      </c>
      <c r="R49" s="93" t="str">
        <f t="shared" si="17"/>
        <v/>
      </c>
      <c r="S49" s="93" t="str">
        <f t="shared" si="18"/>
        <v/>
      </c>
      <c r="T49" s="93" t="str">
        <f t="shared" si="19"/>
        <v/>
      </c>
      <c r="U49" s="127" t="str">
        <f t="shared" si="38"/>
        <v/>
      </c>
      <c r="V49" s="46" t="str">
        <f t="shared" si="39"/>
        <v/>
      </c>
      <c r="W49" s="37"/>
      <c r="X49" s="18" t="str">
        <f t="array" ref="X49">IFERROR(IF(INDEX($H$13:$H$81,MATCH(0,COUNTIF($X$12:X48,$H$13:$H$81),0))=0,"",INDEX($H$13:$H$81,MATCH(0,COUNTIF($X$12:X48,$H$13:$H$81),0))),"")</f>
        <v/>
      </c>
      <c r="Y49" s="18" t="str">
        <f t="shared" si="40"/>
        <v/>
      </c>
      <c r="Z49" s="48" t="str">
        <f t="shared" si="20"/>
        <v/>
      </c>
      <c r="AA49" s="82"/>
      <c r="AB49" s="18" t="str">
        <f t="shared" si="21"/>
        <v/>
      </c>
      <c r="AC49" s="31" t="str">
        <f t="shared" si="22"/>
        <v/>
      </c>
      <c r="AD49" s="18" t="str">
        <f t="shared" si="23"/>
        <v/>
      </c>
      <c r="AE49" s="18" t="str">
        <f t="shared" si="24"/>
        <v/>
      </c>
      <c r="AF49" s="37"/>
      <c r="AG49" s="45" t="str">
        <f t="array" ref="AG49">IFERROR(IF(INDEX($B$13:$B$81,MATCH(0,COUNTIF($AG$12:AG48,$B$13:$B$81),0))=0,"",INDEX($B$13:$B$81,MATCH(0,COUNTIF($AG$12:AG48,$B$13:$B$81),0))),"")</f>
        <v/>
      </c>
      <c r="AH49" s="122" t="str">
        <f t="shared" si="41"/>
        <v/>
      </c>
      <c r="AI49" s="123" t="str">
        <f t="shared" si="42"/>
        <v/>
      </c>
      <c r="AJ49" s="102" t="str">
        <f>IFERROR(IF($AG49="","",SUMIFS([2]INPUTS!$F:$F,[2]INPUTS!$L:$L,$AG49,[2]INPUTS!$E:$E,$D$9)),"")</f>
        <v/>
      </c>
      <c r="AK49" s="12" t="str">
        <f t="shared" si="43"/>
        <v/>
      </c>
      <c r="AM49" s="109" t="str">
        <f t="shared" si="44"/>
        <v/>
      </c>
      <c r="AN49" s="108" t="str">
        <f t="shared" si="45"/>
        <v/>
      </c>
      <c r="AO49" s="101" t="str">
        <f>IF(AP49="","",_xlfn.XLOOKUP(CONCATENATE(AN49,"-",AP49),[3]INPUTS!$B:$B,[3]INPUTS!$N:$N))</f>
        <v/>
      </c>
      <c r="AP49" s="108" t="str">
        <f t="shared" si="46"/>
        <v/>
      </c>
      <c r="AQ49" s="99" t="str">
        <f>IF($F49="","",IF($L49="",_xlfn.XLOOKUP($D$9,[1]SCHE!$A:$A,[1]SCHE!$N:$N),$L49))</f>
        <v/>
      </c>
      <c r="AR49" s="99" t="str">
        <f t="shared" si="36"/>
        <v/>
      </c>
      <c r="AS49" s="47" t="str">
        <f t="shared" si="25"/>
        <v/>
      </c>
      <c r="AT49" s="9" t="str">
        <f t="shared" si="47"/>
        <v/>
      </c>
      <c r="AU49" s="94" t="str">
        <f>IF($AO49="","",IF($AT$3="",INDEX([3]INPUTS!$A:$BF,MATCH(CONCATENATE($AN49,"-",$AP49),[3]INPUTS!$B:$B,0),22),$AT$3))</f>
        <v/>
      </c>
      <c r="AV49" s="103" t="str">
        <f t="shared" si="48"/>
        <v/>
      </c>
      <c r="AW49" s="11" t="str">
        <f t="shared" si="49"/>
        <v/>
      </c>
      <c r="AX49" s="104" t="str">
        <f t="shared" si="26"/>
        <v/>
      </c>
      <c r="AY49" s="110" t="str">
        <f t="shared" si="37"/>
        <v/>
      </c>
      <c r="BE49" s="19" t="str">
        <f t="shared" si="27"/>
        <v/>
      </c>
      <c r="BR49" s="1" t="str">
        <f t="array" ref="BR49">IFERROR(IF(INDEX($B$13:$B$81,MATCH(0,COUNTIF($BR$12:BR48,$B$13:$B$81),0))=0,"",INDEX($B$13:$B$81,MATCH(0,COUNTIF($BR$12:BR48,$B$13:$B$81),0))),"")</f>
        <v/>
      </c>
      <c r="BS49" s="124" t="str">
        <f t="shared" si="50"/>
        <v/>
      </c>
      <c r="BT49" s="125" t="str">
        <f t="shared" si="51"/>
        <v/>
      </c>
      <c r="BU49" s="4" t="str">
        <f>IF(LINE2_DATA[[#This Row],[OP]]="","",INDEX(Sheet1!$G$2:$I$10,MATCH(LINE2_DATA[[#This Row],[OP]],Sheet1!$G$2:$G$10,0),3))</f>
        <v/>
      </c>
      <c r="BV49" s="4" t="str">
        <f t="shared" si="52"/>
        <v/>
      </c>
      <c r="BW49" s="4" t="str">
        <f t="shared" si="53"/>
        <v/>
      </c>
      <c r="BX49" s="4" t="str">
        <f t="shared" si="54"/>
        <v/>
      </c>
      <c r="BY49" s="4" t="str">
        <f t="shared" si="55"/>
        <v/>
      </c>
      <c r="BZ49" s="4" t="str">
        <f>IF(BR49="","",SUM(LINE2_DATA[[#This Row],[PRODUCED LBS]],LINE2_DATA[[#This Row],[SCRAP]]))</f>
        <v/>
      </c>
      <c r="CA49" s="4" t="str">
        <f>IF(BR49="","",ROUND(((LINE2_DATA[[#This Row],[SCRAP]]/LINE2_DATA[[#This Row],[TOTAL LBS]])*100),2))</f>
        <v/>
      </c>
      <c r="CB49" s="4" t="str">
        <f t="shared" si="56"/>
        <v/>
      </c>
      <c r="CC49" s="4" t="str">
        <f t="shared" si="57"/>
        <v/>
      </c>
      <c r="CD49" s="4" t="str">
        <f>IF(LINE2_DATA[[#This Row],[EFFECTIVE SPEED]]="","",(LINE2_DATA[[#This Row],[EFFECTIVE SPEED]]*LINE2_DATA[[#This Row],[AVAILABLE MINS]]))</f>
        <v/>
      </c>
      <c r="CE49" s="4" t="str">
        <f>IFERROR(IF(BR49="","",ROUND(((LINE2_DATA[[#This Row],[PRODUCED FT]]/LINE2_DATA[[#This Row],[PENT. PROD. CAP.]])*100),2)),"")</f>
        <v/>
      </c>
      <c r="CF49" s="125" t="str">
        <f>IF(LINE2_DATA[[#This Row],[DATE]]="","",75)</f>
        <v/>
      </c>
      <c r="CG49" s="125" t="str">
        <f>IF(LINE2_DATA[[#This Row],[DATE]]="","",10)</f>
        <v/>
      </c>
    </row>
    <row r="50" spans="1:85" ht="19.899999999999999" customHeight="1" x14ac:dyDescent="0.25">
      <c r="A50" s="19" t="str">
        <f t="shared" si="14"/>
        <v/>
      </c>
      <c r="B50" s="19" t="str">
        <f t="shared" si="15"/>
        <v/>
      </c>
      <c r="D50" s="8"/>
      <c r="E50" s="26"/>
      <c r="F50" s="26"/>
      <c r="G50" s="26"/>
      <c r="H50" s="97"/>
      <c r="I50" s="27"/>
      <c r="J50" s="8"/>
      <c r="K50" s="43"/>
      <c r="L50" s="43"/>
      <c r="M50" s="43"/>
      <c r="N50" s="43"/>
      <c r="O50" s="37"/>
      <c r="P50" s="4" t="str" cm="1">
        <f t="array" ref="P50">IFERROR(INDEX($A$13:$A$81,MATCH(0,COUNTIF($P$12:P49,$A$13:$A$81),0)),"")</f>
        <v/>
      </c>
      <c r="Q50" s="92" t="str">
        <f t="shared" si="16"/>
        <v/>
      </c>
      <c r="R50" s="93" t="str">
        <f t="shared" si="17"/>
        <v/>
      </c>
      <c r="S50" s="93" t="str">
        <f t="shared" si="18"/>
        <v/>
      </c>
      <c r="T50" s="93" t="str">
        <f t="shared" si="19"/>
        <v/>
      </c>
      <c r="U50" s="127" t="str">
        <f t="shared" si="38"/>
        <v/>
      </c>
      <c r="V50" s="46" t="str">
        <f t="shared" si="39"/>
        <v/>
      </c>
      <c r="W50" s="37"/>
      <c r="X50" s="18" t="str">
        <f t="array" ref="X50">IFERROR(IF(INDEX($H$13:$H$81,MATCH(0,COUNTIF($X$12:X49,$H$13:$H$81),0))=0,"",INDEX($H$13:$H$81,MATCH(0,COUNTIF($X$12:X49,$H$13:$H$81),0))),"")</f>
        <v/>
      </c>
      <c r="Y50" s="18" t="str">
        <f t="shared" si="40"/>
        <v/>
      </c>
      <c r="Z50" s="48" t="str">
        <f t="shared" si="20"/>
        <v/>
      </c>
      <c r="AA50" s="82"/>
      <c r="AB50" s="18" t="str">
        <f t="shared" si="21"/>
        <v/>
      </c>
      <c r="AC50" s="31" t="str">
        <f t="shared" si="22"/>
        <v/>
      </c>
      <c r="AD50" s="18" t="str">
        <f t="shared" si="23"/>
        <v/>
      </c>
      <c r="AE50" s="18" t="str">
        <f t="shared" si="24"/>
        <v/>
      </c>
      <c r="AF50" s="37"/>
      <c r="AG50" s="45" t="str">
        <f t="array" ref="AG50">IFERROR(IF(INDEX($B$13:$B$81,MATCH(0,COUNTIF($AG$12:AG49,$B$13:$B$81),0))=0,"",INDEX($B$13:$B$81,MATCH(0,COUNTIF($AG$12:AG49,$B$13:$B$81),0))),"")</f>
        <v/>
      </c>
      <c r="AH50" s="122" t="str">
        <f t="shared" si="41"/>
        <v/>
      </c>
      <c r="AI50" s="123" t="str">
        <f t="shared" si="42"/>
        <v/>
      </c>
      <c r="AJ50" s="102" t="str">
        <f>IFERROR(IF($AG50="","",SUMIFS([2]INPUTS!$F:$F,[2]INPUTS!$L:$L,$AG50,[2]INPUTS!$E:$E,$D$9)),"")</f>
        <v/>
      </c>
      <c r="AK50" s="12" t="str">
        <f t="shared" si="43"/>
        <v/>
      </c>
      <c r="AM50" s="109" t="str">
        <f t="shared" si="44"/>
        <v/>
      </c>
      <c r="AN50" s="108" t="str">
        <f t="shared" si="45"/>
        <v/>
      </c>
      <c r="AO50" s="101" t="str">
        <f>IF(AP50="","",_xlfn.XLOOKUP(CONCATENATE(AN50,"-",AP50),[3]INPUTS!$B:$B,[3]INPUTS!$N:$N))</f>
        <v/>
      </c>
      <c r="AP50" s="108" t="str">
        <f t="shared" si="46"/>
        <v/>
      </c>
      <c r="AQ50" s="99" t="str">
        <f>IF($F50="","",IF($L50="",_xlfn.XLOOKUP($D$9,[1]SCHE!$A:$A,[1]SCHE!$N:$N),$L50))</f>
        <v/>
      </c>
      <c r="AR50" s="99" t="str">
        <f t="shared" si="36"/>
        <v/>
      </c>
      <c r="AS50" s="47" t="str">
        <f t="shared" si="25"/>
        <v/>
      </c>
      <c r="AT50" s="9" t="str">
        <f t="shared" si="47"/>
        <v/>
      </c>
      <c r="AU50" s="94" t="str">
        <f>IF($AO50="","",IF($AT$3="",INDEX([3]INPUTS!$A:$BF,MATCH(CONCATENATE($AN50,"-",$AP50),[3]INPUTS!$B:$B,0),22),$AT$3))</f>
        <v/>
      </c>
      <c r="AV50" s="103" t="str">
        <f t="shared" si="48"/>
        <v/>
      </c>
      <c r="AW50" s="11" t="str">
        <f t="shared" si="49"/>
        <v/>
      </c>
      <c r="AX50" s="104" t="str">
        <f t="shared" si="26"/>
        <v/>
      </c>
      <c r="AY50" s="110" t="str">
        <f t="shared" si="37"/>
        <v/>
      </c>
      <c r="BE50" s="19" t="str">
        <f t="shared" si="27"/>
        <v/>
      </c>
      <c r="BR50" s="1" t="str">
        <f t="array" ref="BR50">IFERROR(IF(INDEX($B$13:$B$81,MATCH(0,COUNTIF($BR$12:BR49,$B$13:$B$81),0))=0,"",INDEX($B$13:$B$81,MATCH(0,COUNTIF($BR$12:BR49,$B$13:$B$81),0))),"")</f>
        <v/>
      </c>
      <c r="BS50" s="124" t="str">
        <f t="shared" si="50"/>
        <v/>
      </c>
      <c r="BT50" s="125" t="str">
        <f t="shared" si="51"/>
        <v/>
      </c>
      <c r="BU50" s="4" t="str">
        <f>IF(LINE2_DATA[[#This Row],[OP]]="","",INDEX(Sheet1!$G$2:$I$10,MATCH(LINE2_DATA[[#This Row],[OP]],Sheet1!$G$2:$G$10,0),3))</f>
        <v/>
      </c>
      <c r="BV50" s="4" t="str">
        <f t="shared" si="52"/>
        <v/>
      </c>
      <c r="BW50" s="4" t="str">
        <f t="shared" si="53"/>
        <v/>
      </c>
      <c r="BX50" s="4" t="str">
        <f t="shared" si="54"/>
        <v/>
      </c>
      <c r="BY50" s="4" t="str">
        <f t="shared" si="55"/>
        <v/>
      </c>
      <c r="BZ50" s="4" t="str">
        <f>IF(BR50="","",SUM(LINE2_DATA[[#This Row],[PRODUCED LBS]],LINE2_DATA[[#This Row],[SCRAP]]))</f>
        <v/>
      </c>
      <c r="CA50" s="4" t="str">
        <f>IF(BR50="","",ROUND(((LINE2_DATA[[#This Row],[SCRAP]]/LINE2_DATA[[#This Row],[TOTAL LBS]])*100),2))</f>
        <v/>
      </c>
      <c r="CB50" s="4" t="str">
        <f t="shared" si="56"/>
        <v/>
      </c>
      <c r="CC50" s="4" t="str">
        <f t="shared" si="57"/>
        <v/>
      </c>
      <c r="CD50" s="4" t="str">
        <f>IF(LINE2_DATA[[#This Row],[EFFECTIVE SPEED]]="","",(LINE2_DATA[[#This Row],[EFFECTIVE SPEED]]*LINE2_DATA[[#This Row],[AVAILABLE MINS]]))</f>
        <v/>
      </c>
      <c r="CE50" s="4" t="str">
        <f>IFERROR(IF(BR50="","",ROUND(((LINE2_DATA[[#This Row],[PRODUCED FT]]/LINE2_DATA[[#This Row],[PENT. PROD. CAP.]])*100),2)),"")</f>
        <v/>
      </c>
      <c r="CF50" s="125" t="str">
        <f>IF(LINE2_DATA[[#This Row],[DATE]]="","",75)</f>
        <v/>
      </c>
      <c r="CG50" s="125" t="str">
        <f>IF(LINE2_DATA[[#This Row],[DATE]]="","",10)</f>
        <v/>
      </c>
    </row>
    <row r="51" spans="1:85" ht="19.899999999999999" customHeight="1" x14ac:dyDescent="0.25">
      <c r="A51" s="19" t="str">
        <f t="shared" si="14"/>
        <v/>
      </c>
      <c r="B51" s="19" t="str">
        <f t="shared" si="15"/>
        <v/>
      </c>
      <c r="D51" s="8"/>
      <c r="E51" s="26"/>
      <c r="F51" s="26"/>
      <c r="G51" s="26"/>
      <c r="H51" s="97"/>
      <c r="I51" s="27"/>
      <c r="J51" s="8"/>
      <c r="K51" s="43"/>
      <c r="L51" s="43"/>
      <c r="M51" s="43"/>
      <c r="N51" s="43"/>
      <c r="O51" s="37"/>
      <c r="P51" s="4" t="str" cm="1">
        <f t="array" ref="P51">IFERROR(INDEX($A$13:$A$81,MATCH(0,COUNTIF($P$12:P50,$A$13:$A$81),0)),"")</f>
        <v/>
      </c>
      <c r="Q51" s="92" t="str">
        <f t="shared" si="16"/>
        <v/>
      </c>
      <c r="R51" s="93" t="str">
        <f t="shared" si="17"/>
        <v/>
      </c>
      <c r="S51" s="93" t="str">
        <f t="shared" si="18"/>
        <v/>
      </c>
      <c r="T51" s="93" t="str">
        <f t="shared" si="19"/>
        <v/>
      </c>
      <c r="U51" s="127" t="str">
        <f t="shared" si="38"/>
        <v/>
      </c>
      <c r="V51" s="46" t="str">
        <f t="shared" si="39"/>
        <v/>
      </c>
      <c r="W51" s="37"/>
      <c r="X51" s="18" t="str">
        <f t="array" ref="X51">IFERROR(IF(INDEX($H$13:$H$81,MATCH(0,COUNTIF($X$12:X50,$H$13:$H$81),0))=0,"",INDEX($H$13:$H$81,MATCH(0,COUNTIF($X$12:X50,$H$13:$H$81),0))),"")</f>
        <v/>
      </c>
      <c r="Y51" s="18" t="str">
        <f t="shared" si="40"/>
        <v/>
      </c>
      <c r="Z51" s="48" t="str">
        <f t="shared" si="20"/>
        <v/>
      </c>
      <c r="AA51" s="82"/>
      <c r="AB51" s="18" t="str">
        <f t="shared" si="21"/>
        <v/>
      </c>
      <c r="AC51" s="31" t="str">
        <f t="shared" si="22"/>
        <v/>
      </c>
      <c r="AD51" s="18" t="str">
        <f t="shared" si="23"/>
        <v/>
      </c>
      <c r="AE51" s="18" t="str">
        <f t="shared" si="24"/>
        <v/>
      </c>
      <c r="AF51" s="37"/>
      <c r="AG51" s="45" t="str">
        <f t="array" ref="AG51">IFERROR(IF(INDEX($B$13:$B$81,MATCH(0,COUNTIF($AG$12:AG50,$B$13:$B$81),0))=0,"",INDEX($B$13:$B$81,MATCH(0,COUNTIF($AG$12:AG50,$B$13:$B$81),0))),"")</f>
        <v/>
      </c>
      <c r="AH51" s="122" t="str">
        <f t="shared" si="41"/>
        <v/>
      </c>
      <c r="AI51" s="123" t="str">
        <f t="shared" si="42"/>
        <v/>
      </c>
      <c r="AJ51" s="102" t="str">
        <f>IFERROR(IF($AG51="","",SUMIFS([2]INPUTS!$F:$F,[2]INPUTS!$L:$L,$AG51,[2]INPUTS!$E:$E,$D$9)),"")</f>
        <v/>
      </c>
      <c r="AK51" s="12" t="str">
        <f t="shared" si="43"/>
        <v/>
      </c>
      <c r="AM51" s="109" t="str">
        <f t="shared" si="44"/>
        <v/>
      </c>
      <c r="AN51" s="108" t="str">
        <f t="shared" si="45"/>
        <v/>
      </c>
      <c r="AO51" s="101" t="str">
        <f>IF(AP51="","",_xlfn.XLOOKUP(CONCATENATE(AN51,"-",AP51),[3]INPUTS!$B:$B,[3]INPUTS!$N:$N))</f>
        <v/>
      </c>
      <c r="AP51" s="108" t="str">
        <f t="shared" si="46"/>
        <v/>
      </c>
      <c r="AQ51" s="99" t="str">
        <f>IF($F51="","",IF($L51="",_xlfn.XLOOKUP($D$9,[1]SCHE!$A:$A,[1]SCHE!$N:$N),$L51))</f>
        <v/>
      </c>
      <c r="AR51" s="99" t="str">
        <f t="shared" si="36"/>
        <v/>
      </c>
      <c r="AS51" s="47" t="str">
        <f t="shared" si="25"/>
        <v/>
      </c>
      <c r="AT51" s="9" t="str">
        <f t="shared" si="47"/>
        <v/>
      </c>
      <c r="AU51" s="94" t="str">
        <f>IF($AO51="","",IF($AT$3="",INDEX([3]INPUTS!$A:$BF,MATCH(CONCATENATE($AN51,"-",$AP51),[3]INPUTS!$B:$B,0),22),$AT$3))</f>
        <v/>
      </c>
      <c r="AV51" s="103" t="str">
        <f t="shared" si="48"/>
        <v/>
      </c>
      <c r="AW51" s="11" t="str">
        <f t="shared" si="49"/>
        <v/>
      </c>
      <c r="AX51" s="104" t="str">
        <f t="shared" si="26"/>
        <v/>
      </c>
      <c r="AY51" s="110" t="str">
        <f t="shared" si="37"/>
        <v/>
      </c>
      <c r="BE51" s="19" t="str">
        <f t="shared" si="27"/>
        <v/>
      </c>
      <c r="BR51" s="1" t="str">
        <f t="array" ref="BR51">IFERROR(IF(INDEX($B$13:$B$81,MATCH(0,COUNTIF($BR$12:BR50,$B$13:$B$81),0))=0,"",INDEX($B$13:$B$81,MATCH(0,COUNTIF($BR$12:BR50,$B$13:$B$81),0))),"")</f>
        <v/>
      </c>
      <c r="BS51" s="124" t="str">
        <f t="shared" si="50"/>
        <v/>
      </c>
      <c r="BT51" s="125" t="str">
        <f t="shared" si="51"/>
        <v/>
      </c>
      <c r="BU51" s="4" t="str">
        <f>IF(LINE2_DATA[[#This Row],[OP]]="","",INDEX(Sheet1!$G$2:$I$10,MATCH(LINE2_DATA[[#This Row],[OP]],Sheet1!$G$2:$G$10,0),3))</f>
        <v/>
      </c>
      <c r="BV51" s="4" t="str">
        <f t="shared" si="52"/>
        <v/>
      </c>
      <c r="BW51" s="4" t="str">
        <f t="shared" si="53"/>
        <v/>
      </c>
      <c r="BX51" s="4" t="str">
        <f t="shared" si="54"/>
        <v/>
      </c>
      <c r="BY51" s="4" t="str">
        <f t="shared" si="55"/>
        <v/>
      </c>
      <c r="BZ51" s="4" t="str">
        <f>IF(BR51="","",SUM(LINE2_DATA[[#This Row],[PRODUCED LBS]],LINE2_DATA[[#This Row],[SCRAP]]))</f>
        <v/>
      </c>
      <c r="CA51" s="4" t="str">
        <f>IF(BR51="","",ROUND(((LINE2_DATA[[#This Row],[SCRAP]]/LINE2_DATA[[#This Row],[TOTAL LBS]])*100),2))</f>
        <v/>
      </c>
      <c r="CB51" s="4" t="str">
        <f t="shared" si="56"/>
        <v/>
      </c>
      <c r="CC51" s="4" t="str">
        <f t="shared" si="57"/>
        <v/>
      </c>
      <c r="CD51" s="4" t="str">
        <f>IF(LINE2_DATA[[#This Row],[EFFECTIVE SPEED]]="","",(LINE2_DATA[[#This Row],[EFFECTIVE SPEED]]*LINE2_DATA[[#This Row],[AVAILABLE MINS]]))</f>
        <v/>
      </c>
      <c r="CE51" s="4" t="str">
        <f>IFERROR(IF(BR51="","",ROUND(((LINE2_DATA[[#This Row],[PRODUCED FT]]/LINE2_DATA[[#This Row],[PENT. PROD. CAP.]])*100),2)),"")</f>
        <v/>
      </c>
      <c r="CF51" s="125" t="str">
        <f>IF(LINE2_DATA[[#This Row],[DATE]]="","",75)</f>
        <v/>
      </c>
      <c r="CG51" s="125" t="str">
        <f>IF(LINE2_DATA[[#This Row],[DATE]]="","",10)</f>
        <v/>
      </c>
    </row>
    <row r="52" spans="1:85" ht="19.899999999999999" customHeight="1" x14ac:dyDescent="0.25">
      <c r="A52" s="19" t="str">
        <f t="shared" si="14"/>
        <v/>
      </c>
      <c r="B52" s="19" t="str">
        <f t="shared" si="15"/>
        <v/>
      </c>
      <c r="D52" s="8"/>
      <c r="E52" s="26"/>
      <c r="F52" s="26"/>
      <c r="G52" s="26"/>
      <c r="H52" s="97"/>
      <c r="I52" s="27"/>
      <c r="J52" s="8"/>
      <c r="K52" s="43"/>
      <c r="L52" s="43"/>
      <c r="M52" s="43"/>
      <c r="N52" s="43"/>
      <c r="O52" s="37"/>
      <c r="P52" s="4" t="str" cm="1">
        <f t="array" ref="P52">IFERROR(INDEX($A$13:$A$81,MATCH(0,COUNTIF($P$12:P51,$A$13:$A$81),0)),"")</f>
        <v/>
      </c>
      <c r="Q52" s="92" t="str">
        <f t="shared" si="16"/>
        <v/>
      </c>
      <c r="R52" s="93" t="str">
        <f t="shared" si="17"/>
        <v/>
      </c>
      <c r="S52" s="93" t="str">
        <f t="shared" si="18"/>
        <v/>
      </c>
      <c r="T52" s="93" t="str">
        <f t="shared" si="19"/>
        <v/>
      </c>
      <c r="U52" s="127" t="str">
        <f t="shared" si="38"/>
        <v/>
      </c>
      <c r="V52" s="46" t="str">
        <f t="shared" si="39"/>
        <v/>
      </c>
      <c r="W52" s="37"/>
      <c r="X52" s="18" t="str">
        <f t="array" ref="X52">IFERROR(IF(INDEX($H$13:$H$81,MATCH(0,COUNTIF($X$12:X51,$H$13:$H$81),0))=0,"",INDEX($H$13:$H$81,MATCH(0,COUNTIF($X$12:X51,$H$13:$H$81),0))),"")</f>
        <v/>
      </c>
      <c r="Y52" s="18" t="str">
        <f t="shared" si="40"/>
        <v/>
      </c>
      <c r="Z52" s="48" t="str">
        <f t="shared" si="20"/>
        <v/>
      </c>
      <c r="AA52" s="82"/>
      <c r="AB52" s="18" t="str">
        <f t="shared" si="21"/>
        <v/>
      </c>
      <c r="AC52" s="31" t="str">
        <f t="shared" si="22"/>
        <v/>
      </c>
      <c r="AD52" s="18" t="str">
        <f t="shared" si="23"/>
        <v/>
      </c>
      <c r="AE52" s="18" t="str">
        <f t="shared" si="24"/>
        <v/>
      </c>
      <c r="AF52" s="37"/>
      <c r="AG52" s="45" t="str">
        <f t="array" ref="AG52">IFERROR(IF(INDEX($B$13:$B$81,MATCH(0,COUNTIF($AG$12:AG51,$B$13:$B$81),0))=0,"",INDEX($B$13:$B$81,MATCH(0,COUNTIF($AG$12:AG51,$B$13:$B$81),0))),"")</f>
        <v/>
      </c>
      <c r="AH52" s="122" t="str">
        <f t="shared" si="41"/>
        <v/>
      </c>
      <c r="AI52" s="123" t="str">
        <f t="shared" si="42"/>
        <v/>
      </c>
      <c r="AJ52" s="102" t="str">
        <f>IFERROR(IF($AG52="","",SUMIFS([2]INPUTS!$F:$F,[2]INPUTS!$L:$L,$AG52,[2]INPUTS!$E:$E,$D$9)),"")</f>
        <v/>
      </c>
      <c r="AK52" s="12" t="str">
        <f t="shared" si="43"/>
        <v/>
      </c>
      <c r="AM52" s="109" t="str">
        <f t="shared" si="44"/>
        <v/>
      </c>
      <c r="AN52" s="108" t="str">
        <f t="shared" si="45"/>
        <v/>
      </c>
      <c r="AO52" s="101" t="str">
        <f>IF(AP52="","",_xlfn.XLOOKUP(CONCATENATE(AN52,"-",AP52),[3]INPUTS!$B:$B,[3]INPUTS!$N:$N))</f>
        <v/>
      </c>
      <c r="AP52" s="108" t="str">
        <f t="shared" si="46"/>
        <v/>
      </c>
      <c r="AQ52" s="99" t="str">
        <f>IF($F52="","",IF($L52="",_xlfn.XLOOKUP($D$9,[1]SCHE!$A:$A,[1]SCHE!$N:$N),$L52))</f>
        <v/>
      </c>
      <c r="AR52" s="99" t="str">
        <f t="shared" si="36"/>
        <v/>
      </c>
      <c r="AS52" s="47" t="str">
        <f t="shared" si="25"/>
        <v/>
      </c>
      <c r="AT52" s="9" t="str">
        <f t="shared" si="47"/>
        <v/>
      </c>
      <c r="AU52" s="94" t="str">
        <f>IF($AO52="","",IF($AT$3="",INDEX([3]INPUTS!$A:$BF,MATCH(CONCATENATE($AN52,"-",$AP52),[3]INPUTS!$B:$B,0),22),$AT$3))</f>
        <v/>
      </c>
      <c r="AV52" s="103" t="str">
        <f t="shared" si="48"/>
        <v/>
      </c>
      <c r="AW52" s="11" t="str">
        <f t="shared" si="49"/>
        <v/>
      </c>
      <c r="AX52" s="104" t="str">
        <f t="shared" si="26"/>
        <v/>
      </c>
      <c r="AY52" s="110" t="str">
        <f t="shared" si="37"/>
        <v/>
      </c>
      <c r="BE52" s="19" t="str">
        <f t="shared" si="27"/>
        <v/>
      </c>
      <c r="BR52" s="1" t="str">
        <f t="array" ref="BR52">IFERROR(IF(INDEX($B$13:$B$81,MATCH(0,COUNTIF($BR$12:BR51,$B$13:$B$81),0))=0,"",INDEX($B$13:$B$81,MATCH(0,COUNTIF($BR$12:BR51,$B$13:$B$81),0))),"")</f>
        <v/>
      </c>
      <c r="BS52" s="124" t="str">
        <f t="shared" si="50"/>
        <v/>
      </c>
      <c r="BT52" s="125" t="str">
        <f t="shared" si="51"/>
        <v/>
      </c>
      <c r="BU52" s="4" t="str">
        <f>IF(LINE2_DATA[[#This Row],[OP]]="","",INDEX(Sheet1!$G$2:$I$10,MATCH(LINE2_DATA[[#This Row],[OP]],Sheet1!$G$2:$G$10,0),3))</f>
        <v/>
      </c>
      <c r="BV52" s="4" t="str">
        <f t="shared" si="52"/>
        <v/>
      </c>
      <c r="BW52" s="4" t="str">
        <f t="shared" si="53"/>
        <v/>
      </c>
      <c r="BX52" s="4" t="str">
        <f t="shared" si="54"/>
        <v/>
      </c>
      <c r="BY52" s="4" t="str">
        <f t="shared" si="55"/>
        <v/>
      </c>
      <c r="BZ52" s="4" t="str">
        <f>IF(BR52="","",SUM(LINE2_DATA[[#This Row],[PRODUCED LBS]],LINE2_DATA[[#This Row],[SCRAP]]))</f>
        <v/>
      </c>
      <c r="CA52" s="4" t="str">
        <f>IF(BR52="","",ROUND(((LINE2_DATA[[#This Row],[SCRAP]]/LINE2_DATA[[#This Row],[TOTAL LBS]])*100),2))</f>
        <v/>
      </c>
      <c r="CB52" s="4" t="str">
        <f t="shared" si="56"/>
        <v/>
      </c>
      <c r="CC52" s="4" t="str">
        <f t="shared" si="57"/>
        <v/>
      </c>
      <c r="CD52" s="4" t="str">
        <f>IF(LINE2_DATA[[#This Row],[EFFECTIVE SPEED]]="","",(LINE2_DATA[[#This Row],[EFFECTIVE SPEED]]*LINE2_DATA[[#This Row],[AVAILABLE MINS]]))</f>
        <v/>
      </c>
      <c r="CE52" s="4" t="str">
        <f>IFERROR(IF(BR52="","",ROUND(((LINE2_DATA[[#This Row],[PRODUCED FT]]/LINE2_DATA[[#This Row],[PENT. PROD. CAP.]])*100),2)),"")</f>
        <v/>
      </c>
      <c r="CF52" s="125" t="str">
        <f>IF(LINE2_DATA[[#This Row],[DATE]]="","",75)</f>
        <v/>
      </c>
      <c r="CG52" s="125" t="str">
        <f>IF(LINE2_DATA[[#This Row],[DATE]]="","",10)</f>
        <v/>
      </c>
    </row>
    <row r="53" spans="1:85" ht="19.899999999999999" customHeight="1" x14ac:dyDescent="0.25">
      <c r="A53" s="19" t="str">
        <f t="shared" si="14"/>
        <v/>
      </c>
      <c r="B53" s="19" t="str">
        <f t="shared" si="15"/>
        <v/>
      </c>
      <c r="D53" s="8"/>
      <c r="E53" s="26"/>
      <c r="F53" s="26"/>
      <c r="G53" s="26"/>
      <c r="H53" s="97"/>
      <c r="I53" s="27"/>
      <c r="J53" s="8"/>
      <c r="K53" s="43"/>
      <c r="L53" s="43"/>
      <c r="M53" s="43"/>
      <c r="N53" s="43"/>
      <c r="O53" s="37"/>
      <c r="P53" s="4" t="str" cm="1">
        <f t="array" ref="P53">IFERROR(INDEX($A$13:$A$81,MATCH(0,COUNTIF($P$12:P52,$A$13:$A$81),0)),"")</f>
        <v/>
      </c>
      <c r="Q53" s="92" t="str">
        <f t="shared" si="16"/>
        <v/>
      </c>
      <c r="R53" s="93" t="str">
        <f t="shared" si="17"/>
        <v/>
      </c>
      <c r="S53" s="93" t="str">
        <f t="shared" si="18"/>
        <v/>
      </c>
      <c r="T53" s="93" t="str">
        <f t="shared" si="19"/>
        <v/>
      </c>
      <c r="U53" s="127" t="str">
        <f t="shared" si="38"/>
        <v/>
      </c>
      <c r="V53" s="46" t="str">
        <f t="shared" si="39"/>
        <v/>
      </c>
      <c r="W53" s="37"/>
      <c r="X53" s="18" t="str">
        <f t="array" ref="X53">IFERROR(IF(INDEX($H$13:$H$81,MATCH(0,COUNTIF($X$12:X52,$H$13:$H$81),0))=0,"",INDEX($H$13:$H$81,MATCH(0,COUNTIF($X$12:X52,$H$13:$H$81),0))),"")</f>
        <v/>
      </c>
      <c r="Y53" s="18" t="str">
        <f t="shared" si="40"/>
        <v/>
      </c>
      <c r="Z53" s="48" t="str">
        <f t="shared" si="20"/>
        <v/>
      </c>
      <c r="AA53" s="82"/>
      <c r="AB53" s="18" t="str">
        <f t="shared" si="21"/>
        <v/>
      </c>
      <c r="AC53" s="31" t="str">
        <f t="shared" si="22"/>
        <v/>
      </c>
      <c r="AD53" s="18" t="str">
        <f t="shared" si="23"/>
        <v/>
      </c>
      <c r="AE53" s="18" t="str">
        <f t="shared" si="24"/>
        <v/>
      </c>
      <c r="AF53" s="37"/>
      <c r="AG53" s="45" t="str">
        <f t="array" ref="AG53">IFERROR(IF(INDEX($B$13:$B$81,MATCH(0,COUNTIF($AG$12:AG52,$B$13:$B$81),0))=0,"",INDEX($B$13:$B$81,MATCH(0,COUNTIF($AG$12:AG52,$B$13:$B$81),0))),"")</f>
        <v/>
      </c>
      <c r="AH53" s="122" t="str">
        <f t="shared" si="41"/>
        <v/>
      </c>
      <c r="AI53" s="123" t="str">
        <f t="shared" si="42"/>
        <v/>
      </c>
      <c r="AJ53" s="102" t="str">
        <f>IFERROR(IF($AG53="","",SUMIFS([2]INPUTS!$F:$F,[2]INPUTS!$L:$L,$AG53,[2]INPUTS!$E:$E,$D$9)),"")</f>
        <v/>
      </c>
      <c r="AK53" s="12" t="str">
        <f t="shared" si="43"/>
        <v/>
      </c>
      <c r="AM53" s="109" t="str">
        <f t="shared" si="44"/>
        <v/>
      </c>
      <c r="AN53" s="108" t="str">
        <f t="shared" si="45"/>
        <v/>
      </c>
      <c r="AO53" s="101" t="str">
        <f>IF(AP53="","",_xlfn.XLOOKUP(CONCATENATE(AN53,"-",AP53),[3]INPUTS!$B:$B,[3]INPUTS!$N:$N))</f>
        <v/>
      </c>
      <c r="AP53" s="108" t="str">
        <f t="shared" si="46"/>
        <v/>
      </c>
      <c r="AQ53" s="99" t="str">
        <f>IF($F53="","",IF($L53="",_xlfn.XLOOKUP($D$9,[1]SCHE!$A:$A,[1]SCHE!$N:$N),$L53))</f>
        <v/>
      </c>
      <c r="AR53" s="99" t="str">
        <f t="shared" si="36"/>
        <v/>
      </c>
      <c r="AS53" s="47" t="str">
        <f t="shared" si="25"/>
        <v/>
      </c>
      <c r="AT53" s="9" t="str">
        <f t="shared" si="47"/>
        <v/>
      </c>
      <c r="AU53" s="94" t="str">
        <f>IF($AO53="","",IF($AT$3="",INDEX([3]INPUTS!$A:$BF,MATCH(CONCATENATE($AN53,"-",$AP53),[3]INPUTS!$B:$B,0),22),$AT$3))</f>
        <v/>
      </c>
      <c r="AV53" s="103" t="str">
        <f t="shared" si="48"/>
        <v/>
      </c>
      <c r="AW53" s="11" t="str">
        <f t="shared" si="49"/>
        <v/>
      </c>
      <c r="AX53" s="104" t="str">
        <f t="shared" si="26"/>
        <v/>
      </c>
      <c r="AY53" s="110" t="str">
        <f t="shared" si="37"/>
        <v/>
      </c>
      <c r="BE53" s="19" t="str">
        <f t="shared" si="27"/>
        <v/>
      </c>
      <c r="BR53" s="1" t="str">
        <f t="array" ref="BR53">IFERROR(IF(INDEX($B$13:$B$81,MATCH(0,COUNTIF($BR$12:BR52,$B$13:$B$81),0))=0,"",INDEX($B$13:$B$81,MATCH(0,COUNTIF($BR$12:BR52,$B$13:$B$81),0))),"")</f>
        <v/>
      </c>
      <c r="BS53" s="124" t="str">
        <f t="shared" si="50"/>
        <v/>
      </c>
      <c r="BT53" s="125" t="str">
        <f t="shared" si="51"/>
        <v/>
      </c>
      <c r="BU53" s="4" t="str">
        <f>IF(LINE2_DATA[[#This Row],[OP]]="","",INDEX(Sheet1!$G$2:$I$10,MATCH(LINE2_DATA[[#This Row],[OP]],Sheet1!$G$2:$G$10,0),3))</f>
        <v/>
      </c>
      <c r="BV53" s="4" t="str">
        <f t="shared" si="52"/>
        <v/>
      </c>
      <c r="BW53" s="4" t="str">
        <f t="shared" si="53"/>
        <v/>
      </c>
      <c r="BX53" s="4" t="str">
        <f t="shared" si="54"/>
        <v/>
      </c>
      <c r="BY53" s="4" t="str">
        <f t="shared" si="55"/>
        <v/>
      </c>
      <c r="BZ53" s="4" t="str">
        <f>IF(BR53="","",SUM(LINE2_DATA[[#This Row],[PRODUCED LBS]],LINE2_DATA[[#This Row],[SCRAP]]))</f>
        <v/>
      </c>
      <c r="CA53" s="4" t="str">
        <f>IF(BR53="","",ROUND(((LINE2_DATA[[#This Row],[SCRAP]]/LINE2_DATA[[#This Row],[TOTAL LBS]])*100),2))</f>
        <v/>
      </c>
      <c r="CB53" s="4" t="str">
        <f t="shared" si="56"/>
        <v/>
      </c>
      <c r="CC53" s="4" t="str">
        <f t="shared" si="57"/>
        <v/>
      </c>
      <c r="CD53" s="4" t="str">
        <f>IF(LINE2_DATA[[#This Row],[EFFECTIVE SPEED]]="","",(LINE2_DATA[[#This Row],[EFFECTIVE SPEED]]*LINE2_DATA[[#This Row],[AVAILABLE MINS]]))</f>
        <v/>
      </c>
      <c r="CE53" s="4" t="str">
        <f>IFERROR(IF(BR53="","",ROUND(((LINE2_DATA[[#This Row],[PRODUCED FT]]/LINE2_DATA[[#This Row],[PENT. PROD. CAP.]])*100),2)),"")</f>
        <v/>
      </c>
      <c r="CF53" s="125" t="str">
        <f>IF(LINE2_DATA[[#This Row],[DATE]]="","",75)</f>
        <v/>
      </c>
      <c r="CG53" s="125" t="str">
        <f>IF(LINE2_DATA[[#This Row],[DATE]]="","",10)</f>
        <v/>
      </c>
    </row>
    <row r="54" spans="1:85" ht="19.899999999999999" customHeight="1" x14ac:dyDescent="0.25">
      <c r="A54" s="19" t="str">
        <f t="shared" si="14"/>
        <v/>
      </c>
      <c r="B54" s="19" t="str">
        <f t="shared" si="15"/>
        <v/>
      </c>
      <c r="D54" s="8"/>
      <c r="E54" s="26"/>
      <c r="F54" s="26"/>
      <c r="G54" s="26"/>
      <c r="H54" s="97"/>
      <c r="I54" s="27"/>
      <c r="J54" s="8"/>
      <c r="K54" s="43"/>
      <c r="L54" s="43"/>
      <c r="M54" s="43"/>
      <c r="N54" s="43"/>
      <c r="O54" s="37"/>
      <c r="P54" s="4" t="str" cm="1">
        <f t="array" ref="P54">IFERROR(INDEX($A$13:$A$81,MATCH(0,COUNTIF($P$12:P53,$A$13:$A$81),0)),"")</f>
        <v/>
      </c>
      <c r="Q54" s="92" t="str">
        <f t="shared" si="16"/>
        <v/>
      </c>
      <c r="R54" s="93" t="str">
        <f t="shared" si="17"/>
        <v/>
      </c>
      <c r="S54" s="93" t="str">
        <f t="shared" si="18"/>
        <v/>
      </c>
      <c r="T54" s="93" t="str">
        <f t="shared" si="19"/>
        <v/>
      </c>
      <c r="U54" s="127" t="str">
        <f t="shared" si="38"/>
        <v/>
      </c>
      <c r="V54" s="46" t="str">
        <f t="shared" si="39"/>
        <v/>
      </c>
      <c r="W54" s="37"/>
      <c r="X54" s="18" t="str">
        <f t="array" ref="X54">IFERROR(IF(INDEX($H$13:$H$81,MATCH(0,COUNTIF($X$12:X53,$H$13:$H$81),0))=0,"",INDEX($H$13:$H$81,MATCH(0,COUNTIF($X$12:X53,$H$13:$H$81),0))),"")</f>
        <v/>
      </c>
      <c r="Y54" s="18" t="str">
        <f t="shared" si="40"/>
        <v/>
      </c>
      <c r="Z54" s="48" t="str">
        <f t="shared" si="20"/>
        <v/>
      </c>
      <c r="AA54" s="82"/>
      <c r="AB54" s="18" t="str">
        <f t="shared" si="21"/>
        <v/>
      </c>
      <c r="AC54" s="31" t="str">
        <f t="shared" si="22"/>
        <v/>
      </c>
      <c r="AD54" s="18" t="str">
        <f t="shared" si="23"/>
        <v/>
      </c>
      <c r="AE54" s="18" t="str">
        <f t="shared" si="24"/>
        <v/>
      </c>
      <c r="AF54" s="37"/>
      <c r="AG54" s="45" t="str">
        <f t="array" ref="AG54">IFERROR(IF(INDEX($B$13:$B$81,MATCH(0,COUNTIF($AG$12:AG53,$B$13:$B$81),0))=0,"",INDEX($B$13:$B$81,MATCH(0,COUNTIF($AG$12:AG53,$B$13:$B$81),0))),"")</f>
        <v/>
      </c>
      <c r="AH54" s="122" t="str">
        <f t="shared" si="41"/>
        <v/>
      </c>
      <c r="AI54" s="123" t="str">
        <f t="shared" si="42"/>
        <v/>
      </c>
      <c r="AJ54" s="102" t="str">
        <f>IFERROR(IF($AG54="","",SUMIFS([2]INPUTS!$F:$F,[2]INPUTS!$L:$L,$AG54,[2]INPUTS!$E:$E,$D$9)),"")</f>
        <v/>
      </c>
      <c r="AK54" s="12" t="str">
        <f t="shared" si="43"/>
        <v/>
      </c>
      <c r="AM54" s="109" t="str">
        <f t="shared" si="44"/>
        <v/>
      </c>
      <c r="AN54" s="108" t="str">
        <f t="shared" si="45"/>
        <v/>
      </c>
      <c r="AO54" s="101" t="str">
        <f>IF(AP54="","",_xlfn.XLOOKUP(CONCATENATE(AN54,"-",AP54),[3]INPUTS!$B:$B,[3]INPUTS!$N:$N))</f>
        <v/>
      </c>
      <c r="AP54" s="108" t="str">
        <f t="shared" si="46"/>
        <v/>
      </c>
      <c r="AQ54" s="99" t="str">
        <f>IF($F54="","",IF($L54="",_xlfn.XLOOKUP($D$9,[1]SCHE!$A:$A,[1]SCHE!$N:$N),$L54))</f>
        <v/>
      </c>
      <c r="AR54" s="99" t="str">
        <f t="shared" si="36"/>
        <v/>
      </c>
      <c r="AS54" s="47" t="str">
        <f t="shared" si="25"/>
        <v/>
      </c>
      <c r="AT54" s="9" t="str">
        <f t="shared" si="47"/>
        <v/>
      </c>
      <c r="AU54" s="94" t="str">
        <f>IF($AO54="","",IF($AT$3="",INDEX([3]INPUTS!$A:$BF,MATCH(CONCATENATE($AN54,"-",$AP54),[3]INPUTS!$B:$B,0),22),$AT$3))</f>
        <v/>
      </c>
      <c r="AV54" s="103" t="str">
        <f t="shared" si="48"/>
        <v/>
      </c>
      <c r="AW54" s="11" t="str">
        <f t="shared" si="49"/>
        <v/>
      </c>
      <c r="AX54" s="104" t="str">
        <f t="shared" si="26"/>
        <v/>
      </c>
      <c r="AY54" s="110" t="str">
        <f t="shared" si="37"/>
        <v/>
      </c>
      <c r="BE54" s="19" t="str">
        <f t="shared" si="27"/>
        <v/>
      </c>
      <c r="BR54" s="1" t="str">
        <f t="array" ref="BR54">IFERROR(IF(INDEX($B$13:$B$81,MATCH(0,COUNTIF($BR$12:BR53,$B$13:$B$81),0))=0,"",INDEX($B$13:$B$81,MATCH(0,COUNTIF($BR$12:BR53,$B$13:$B$81),0))),"")</f>
        <v/>
      </c>
      <c r="BS54" s="124" t="str">
        <f t="shared" si="50"/>
        <v/>
      </c>
      <c r="BT54" s="125" t="str">
        <f t="shared" si="51"/>
        <v/>
      </c>
      <c r="BU54" s="4" t="str">
        <f>IF(LINE2_DATA[[#This Row],[OP]]="","",INDEX(Sheet1!$G$2:$I$10,MATCH(LINE2_DATA[[#This Row],[OP]],Sheet1!$G$2:$G$10,0),3))</f>
        <v/>
      </c>
      <c r="BV54" s="4" t="str">
        <f t="shared" si="52"/>
        <v/>
      </c>
      <c r="BW54" s="4" t="str">
        <f t="shared" si="53"/>
        <v/>
      </c>
      <c r="BX54" s="4" t="str">
        <f t="shared" si="54"/>
        <v/>
      </c>
      <c r="BY54" s="4" t="str">
        <f t="shared" si="55"/>
        <v/>
      </c>
      <c r="BZ54" s="4" t="str">
        <f>IF(BR54="","",SUM(LINE2_DATA[[#This Row],[PRODUCED LBS]],LINE2_DATA[[#This Row],[SCRAP]]))</f>
        <v/>
      </c>
      <c r="CA54" s="4" t="str">
        <f>IF(BR54="","",ROUND(((LINE2_DATA[[#This Row],[SCRAP]]/LINE2_DATA[[#This Row],[TOTAL LBS]])*100),2))</f>
        <v/>
      </c>
      <c r="CB54" s="4" t="str">
        <f t="shared" si="56"/>
        <v/>
      </c>
      <c r="CC54" s="4" t="str">
        <f t="shared" si="57"/>
        <v/>
      </c>
      <c r="CD54" s="4" t="str">
        <f>IF(LINE2_DATA[[#This Row],[EFFECTIVE SPEED]]="","",(LINE2_DATA[[#This Row],[EFFECTIVE SPEED]]*LINE2_DATA[[#This Row],[AVAILABLE MINS]]))</f>
        <v/>
      </c>
      <c r="CE54" s="4" t="str">
        <f>IFERROR(IF(BR54="","",ROUND(((LINE2_DATA[[#This Row],[PRODUCED FT]]/LINE2_DATA[[#This Row],[PENT. PROD. CAP.]])*100),2)),"")</f>
        <v/>
      </c>
      <c r="CF54" s="125" t="str">
        <f>IF(LINE2_DATA[[#This Row],[DATE]]="","",75)</f>
        <v/>
      </c>
      <c r="CG54" s="125" t="str">
        <f>IF(LINE2_DATA[[#This Row],[DATE]]="","",10)</f>
        <v/>
      </c>
    </row>
    <row r="55" spans="1:85" ht="19.899999999999999" customHeight="1" x14ac:dyDescent="0.25">
      <c r="A55" s="19" t="str">
        <f t="shared" si="14"/>
        <v/>
      </c>
      <c r="B55" s="19" t="str">
        <f t="shared" si="15"/>
        <v/>
      </c>
      <c r="D55" s="8"/>
      <c r="E55" s="26"/>
      <c r="F55" s="26"/>
      <c r="G55" s="26"/>
      <c r="H55" s="97"/>
      <c r="I55" s="27"/>
      <c r="J55" s="8"/>
      <c r="K55" s="43"/>
      <c r="L55" s="43"/>
      <c r="M55" s="43"/>
      <c r="N55" s="43"/>
      <c r="O55" s="37"/>
      <c r="P55" s="4" t="str" cm="1">
        <f t="array" ref="P55">IFERROR(INDEX($A$13:$A$81,MATCH(0,COUNTIF($P$12:P54,$A$13:$A$81),0)),"")</f>
        <v/>
      </c>
      <c r="Q55" s="92" t="str">
        <f t="shared" si="16"/>
        <v/>
      </c>
      <c r="R55" s="93" t="str">
        <f t="shared" si="17"/>
        <v/>
      </c>
      <c r="S55" s="93" t="str">
        <f t="shared" si="18"/>
        <v/>
      </c>
      <c r="T55" s="93" t="str">
        <f t="shared" si="19"/>
        <v/>
      </c>
      <c r="U55" s="127" t="str">
        <f t="shared" si="38"/>
        <v/>
      </c>
      <c r="V55" s="46" t="str">
        <f t="shared" si="39"/>
        <v/>
      </c>
      <c r="W55" s="37"/>
      <c r="X55" s="18" t="str">
        <f t="array" ref="X55">IFERROR(IF(INDEX($H$13:$H$81,MATCH(0,COUNTIF($X$12:X54,$H$13:$H$81),0))=0,"",INDEX($H$13:$H$81,MATCH(0,COUNTIF($X$12:X54,$H$13:$H$81),0))),"")</f>
        <v/>
      </c>
      <c r="Y55" s="18" t="str">
        <f t="shared" si="40"/>
        <v/>
      </c>
      <c r="Z55" s="48" t="str">
        <f t="shared" si="20"/>
        <v/>
      </c>
      <c r="AA55" s="82"/>
      <c r="AB55" s="18" t="str">
        <f t="shared" si="21"/>
        <v/>
      </c>
      <c r="AC55" s="31" t="str">
        <f t="shared" si="22"/>
        <v/>
      </c>
      <c r="AD55" s="18" t="str">
        <f t="shared" si="23"/>
        <v/>
      </c>
      <c r="AE55" s="18" t="str">
        <f t="shared" si="24"/>
        <v/>
      </c>
      <c r="AF55" s="37"/>
      <c r="AG55" s="45" t="str">
        <f t="array" ref="AG55">IFERROR(IF(INDEX($B$13:$B$81,MATCH(0,COUNTIF($AG$12:AG54,$B$13:$B$81),0))=0,"",INDEX($B$13:$B$81,MATCH(0,COUNTIF($AG$12:AG54,$B$13:$B$81),0))),"")</f>
        <v/>
      </c>
      <c r="AH55" s="122" t="str">
        <f t="shared" si="41"/>
        <v/>
      </c>
      <c r="AI55" s="123" t="str">
        <f t="shared" si="42"/>
        <v/>
      </c>
      <c r="AJ55" s="102" t="str">
        <f>IFERROR(IF($AG55="","",SUMIFS([2]INPUTS!$F:$F,[2]INPUTS!$L:$L,$AG55,[2]INPUTS!$E:$E,$D$9)),"")</f>
        <v/>
      </c>
      <c r="AK55" s="12" t="str">
        <f t="shared" si="43"/>
        <v/>
      </c>
      <c r="AM55" s="109" t="str">
        <f t="shared" si="44"/>
        <v/>
      </c>
      <c r="AN55" s="108" t="str">
        <f t="shared" si="45"/>
        <v/>
      </c>
      <c r="AO55" s="101" t="str">
        <f>IF(AP55="","",_xlfn.XLOOKUP(CONCATENATE(AN55,"-",AP55),[3]INPUTS!$B:$B,[3]INPUTS!$N:$N))</f>
        <v/>
      </c>
      <c r="AP55" s="108" t="str">
        <f t="shared" si="46"/>
        <v/>
      </c>
      <c r="AQ55" s="99" t="str">
        <f>IF($F55="","",IF($L55="",_xlfn.XLOOKUP($D$9,[1]SCHE!$A:$A,[1]SCHE!$N:$N),$L55))</f>
        <v/>
      </c>
      <c r="AR55" s="99" t="str">
        <f t="shared" si="36"/>
        <v/>
      </c>
      <c r="AS55" s="47" t="str">
        <f t="shared" si="25"/>
        <v/>
      </c>
      <c r="AT55" s="9" t="str">
        <f t="shared" si="47"/>
        <v/>
      </c>
      <c r="AU55" s="94" t="str">
        <f>IF($AO55="","",IF($AT$3="",INDEX([3]INPUTS!$A:$BF,MATCH(CONCATENATE($AN55,"-",$AP55),[3]INPUTS!$B:$B,0),22),$AT$3))</f>
        <v/>
      </c>
      <c r="AV55" s="103" t="str">
        <f t="shared" si="48"/>
        <v/>
      </c>
      <c r="AW55" s="11" t="str">
        <f t="shared" si="49"/>
        <v/>
      </c>
      <c r="AX55" s="104" t="str">
        <f t="shared" si="26"/>
        <v/>
      </c>
      <c r="AY55" s="110" t="str">
        <f t="shared" si="37"/>
        <v/>
      </c>
      <c r="BE55" s="19" t="str">
        <f t="shared" si="27"/>
        <v/>
      </c>
      <c r="BR55" s="1" t="str">
        <f t="array" ref="BR55">IFERROR(IF(INDEX($B$13:$B$81,MATCH(0,COUNTIF($BR$12:BR54,$B$13:$B$81),0))=0,"",INDEX($B$13:$B$81,MATCH(0,COUNTIF($BR$12:BR54,$B$13:$B$81),0))),"")</f>
        <v/>
      </c>
      <c r="BS55" s="124" t="str">
        <f t="shared" si="50"/>
        <v/>
      </c>
      <c r="BT55" s="125" t="str">
        <f t="shared" si="51"/>
        <v/>
      </c>
      <c r="BU55" s="4" t="str">
        <f>IF(LINE2_DATA[[#This Row],[OP]]="","",INDEX(Sheet1!$G$2:$I$10,MATCH(LINE2_DATA[[#This Row],[OP]],Sheet1!$G$2:$G$10,0),3))</f>
        <v/>
      </c>
      <c r="BV55" s="4" t="str">
        <f t="shared" si="52"/>
        <v/>
      </c>
      <c r="BW55" s="4" t="str">
        <f t="shared" si="53"/>
        <v/>
      </c>
      <c r="BX55" s="4" t="str">
        <f t="shared" si="54"/>
        <v/>
      </c>
      <c r="BY55" s="4" t="str">
        <f t="shared" si="55"/>
        <v/>
      </c>
      <c r="BZ55" s="4" t="str">
        <f>IF(BR55="","",SUM(LINE2_DATA[[#This Row],[PRODUCED LBS]],LINE2_DATA[[#This Row],[SCRAP]]))</f>
        <v/>
      </c>
      <c r="CA55" s="4" t="str">
        <f>IF(BR55="","",ROUND(((LINE2_DATA[[#This Row],[SCRAP]]/LINE2_DATA[[#This Row],[TOTAL LBS]])*100),2))</f>
        <v/>
      </c>
      <c r="CB55" s="4" t="str">
        <f t="shared" si="56"/>
        <v/>
      </c>
      <c r="CC55" s="4" t="str">
        <f t="shared" si="57"/>
        <v/>
      </c>
      <c r="CD55" s="4" t="str">
        <f>IF(LINE2_DATA[[#This Row],[EFFECTIVE SPEED]]="","",(LINE2_DATA[[#This Row],[EFFECTIVE SPEED]]*LINE2_DATA[[#This Row],[AVAILABLE MINS]]))</f>
        <v/>
      </c>
      <c r="CE55" s="4" t="str">
        <f>IFERROR(IF(BR55="","",ROUND(((LINE2_DATA[[#This Row],[PRODUCED FT]]/LINE2_DATA[[#This Row],[PENT. PROD. CAP.]])*100),2)),"")</f>
        <v/>
      </c>
      <c r="CF55" s="125" t="str">
        <f>IF(LINE2_DATA[[#This Row],[DATE]]="","",75)</f>
        <v/>
      </c>
      <c r="CG55" s="125" t="str">
        <f>IF(LINE2_DATA[[#This Row],[DATE]]="","",10)</f>
        <v/>
      </c>
    </row>
    <row r="56" spans="1:85" ht="19.899999999999999" customHeight="1" x14ac:dyDescent="0.25">
      <c r="A56" s="19" t="str">
        <f t="shared" si="14"/>
        <v/>
      </c>
      <c r="B56" s="19" t="str">
        <f t="shared" si="15"/>
        <v/>
      </c>
      <c r="D56" s="8"/>
      <c r="E56" s="26"/>
      <c r="F56" s="26"/>
      <c r="G56" s="26"/>
      <c r="H56" s="97"/>
      <c r="I56" s="27"/>
      <c r="J56" s="8"/>
      <c r="K56" s="43"/>
      <c r="L56" s="43"/>
      <c r="M56" s="43"/>
      <c r="N56" s="43"/>
      <c r="O56" s="37"/>
      <c r="P56" s="4" t="str" cm="1">
        <f t="array" ref="P56">IFERROR(INDEX($A$13:$A$81,MATCH(0,COUNTIF($P$12:P55,$A$13:$A$81),0)),"")</f>
        <v/>
      </c>
      <c r="Q56" s="92" t="str">
        <f t="shared" si="16"/>
        <v/>
      </c>
      <c r="R56" s="93" t="str">
        <f t="shared" si="17"/>
        <v/>
      </c>
      <c r="S56" s="93" t="str">
        <f t="shared" si="18"/>
        <v/>
      </c>
      <c r="T56" s="93" t="str">
        <f t="shared" si="19"/>
        <v/>
      </c>
      <c r="U56" s="127" t="str">
        <f t="shared" si="38"/>
        <v/>
      </c>
      <c r="V56" s="46" t="str">
        <f t="shared" si="39"/>
        <v/>
      </c>
      <c r="W56" s="37"/>
      <c r="X56" s="18" t="str">
        <f t="array" ref="X56">IFERROR(IF(INDEX($H$13:$H$81,MATCH(0,COUNTIF($X$12:X55,$H$13:$H$81),0))=0,"",INDEX($H$13:$H$81,MATCH(0,COUNTIF($X$12:X55,$H$13:$H$81),0))),"")</f>
        <v/>
      </c>
      <c r="Y56" s="18" t="str">
        <f t="shared" si="40"/>
        <v/>
      </c>
      <c r="Z56" s="48" t="str">
        <f t="shared" si="20"/>
        <v/>
      </c>
      <c r="AA56" s="82"/>
      <c r="AB56" s="18" t="str">
        <f t="shared" si="21"/>
        <v/>
      </c>
      <c r="AC56" s="31" t="str">
        <f t="shared" si="22"/>
        <v/>
      </c>
      <c r="AD56" s="18" t="str">
        <f t="shared" si="23"/>
        <v/>
      </c>
      <c r="AE56" s="18" t="str">
        <f t="shared" si="24"/>
        <v/>
      </c>
      <c r="AF56" s="37"/>
      <c r="AG56" s="45" t="str">
        <f t="array" ref="AG56">IFERROR(IF(INDEX($B$13:$B$81,MATCH(0,COUNTIF($AG$12:AG55,$B$13:$B$81),0))=0,"",INDEX($B$13:$B$81,MATCH(0,COUNTIF($AG$12:AG55,$B$13:$B$81),0))),"")</f>
        <v/>
      </c>
      <c r="AH56" s="122" t="str">
        <f t="shared" si="41"/>
        <v/>
      </c>
      <c r="AI56" s="123" t="str">
        <f t="shared" si="42"/>
        <v/>
      </c>
      <c r="AJ56" s="102" t="str">
        <f>IFERROR(IF($AG56="","",SUMIFS([2]INPUTS!$F:$F,[2]INPUTS!$L:$L,$AG56,[2]INPUTS!$E:$E,$D$9)),"")</f>
        <v/>
      </c>
      <c r="AK56" s="12" t="str">
        <f t="shared" si="43"/>
        <v/>
      </c>
      <c r="AM56" s="109" t="str">
        <f t="shared" si="44"/>
        <v/>
      </c>
      <c r="AN56" s="108" t="str">
        <f t="shared" si="45"/>
        <v/>
      </c>
      <c r="AO56" s="101" t="str">
        <f>IF(AP56="","",_xlfn.XLOOKUP(CONCATENATE(AN56,"-",AP56),[3]INPUTS!$B:$B,[3]INPUTS!$N:$N))</f>
        <v/>
      </c>
      <c r="AP56" s="108" t="str">
        <f t="shared" si="46"/>
        <v/>
      </c>
      <c r="AQ56" s="99" t="str">
        <f>IF($F56="","",IF($L56="",_xlfn.XLOOKUP($D$9,[1]SCHE!$A:$A,[1]SCHE!$N:$N),$L56))</f>
        <v/>
      </c>
      <c r="AR56" s="99" t="str">
        <f t="shared" si="36"/>
        <v/>
      </c>
      <c r="AS56" s="47" t="str">
        <f t="shared" si="25"/>
        <v/>
      </c>
      <c r="AT56" s="9" t="str">
        <f t="shared" si="47"/>
        <v/>
      </c>
      <c r="AU56" s="94" t="str">
        <f>IF($AO56="","",IF($AT$3="",INDEX([3]INPUTS!$A:$BF,MATCH(CONCATENATE($AN56,"-",$AP56),[3]INPUTS!$B:$B,0),22),$AT$3))</f>
        <v/>
      </c>
      <c r="AV56" s="103" t="str">
        <f t="shared" si="48"/>
        <v/>
      </c>
      <c r="AW56" s="11" t="str">
        <f t="shared" si="49"/>
        <v/>
      </c>
      <c r="AX56" s="104" t="str">
        <f t="shared" si="26"/>
        <v/>
      </c>
      <c r="AY56" s="110" t="str">
        <f t="shared" si="37"/>
        <v/>
      </c>
      <c r="BE56" s="19" t="str">
        <f t="shared" si="27"/>
        <v/>
      </c>
      <c r="BR56" s="1" t="str">
        <f t="array" ref="BR56">IFERROR(IF(INDEX($B$13:$B$81,MATCH(0,COUNTIF($BR$12:BR55,$B$13:$B$81),0))=0,"",INDEX($B$13:$B$81,MATCH(0,COUNTIF($BR$12:BR55,$B$13:$B$81),0))),"")</f>
        <v/>
      </c>
      <c r="BS56" s="124" t="str">
        <f t="shared" si="50"/>
        <v/>
      </c>
      <c r="BT56" s="125" t="str">
        <f t="shared" si="51"/>
        <v/>
      </c>
      <c r="BU56" s="4" t="str">
        <f>IF(LINE2_DATA[[#This Row],[OP]]="","",INDEX(Sheet1!$G$2:$I$10,MATCH(LINE2_DATA[[#This Row],[OP]],Sheet1!$G$2:$G$10,0),3))</f>
        <v/>
      </c>
      <c r="BV56" s="4" t="str">
        <f t="shared" si="52"/>
        <v/>
      </c>
      <c r="BW56" s="4" t="str">
        <f t="shared" si="53"/>
        <v/>
      </c>
      <c r="BX56" s="4" t="str">
        <f t="shared" si="54"/>
        <v/>
      </c>
      <c r="BY56" s="4" t="str">
        <f t="shared" si="55"/>
        <v/>
      </c>
      <c r="BZ56" s="4" t="str">
        <f>IF(BR56="","",SUM(LINE2_DATA[[#This Row],[PRODUCED LBS]],LINE2_DATA[[#This Row],[SCRAP]]))</f>
        <v/>
      </c>
      <c r="CA56" s="4" t="str">
        <f>IF(BR56="","",ROUND(((LINE2_DATA[[#This Row],[SCRAP]]/LINE2_DATA[[#This Row],[TOTAL LBS]])*100),2))</f>
        <v/>
      </c>
      <c r="CB56" s="4" t="str">
        <f t="shared" si="56"/>
        <v/>
      </c>
      <c r="CC56" s="4" t="str">
        <f t="shared" si="57"/>
        <v/>
      </c>
      <c r="CD56" s="4" t="str">
        <f>IF(LINE2_DATA[[#This Row],[EFFECTIVE SPEED]]="","",(LINE2_DATA[[#This Row],[EFFECTIVE SPEED]]*LINE2_DATA[[#This Row],[AVAILABLE MINS]]))</f>
        <v/>
      </c>
      <c r="CE56" s="4" t="str">
        <f>IFERROR(IF(BR56="","",ROUND(((LINE2_DATA[[#This Row],[PRODUCED FT]]/LINE2_DATA[[#This Row],[PENT. PROD. CAP.]])*100),2)),"")</f>
        <v/>
      </c>
      <c r="CF56" s="125" t="str">
        <f>IF(LINE2_DATA[[#This Row],[DATE]]="","",75)</f>
        <v/>
      </c>
      <c r="CG56" s="125" t="str">
        <f>IF(LINE2_DATA[[#This Row],[DATE]]="","",10)</f>
        <v/>
      </c>
    </row>
    <row r="57" spans="1:85" ht="19.899999999999999" customHeight="1" x14ac:dyDescent="0.25">
      <c r="A57" s="19" t="str">
        <f t="shared" si="14"/>
        <v/>
      </c>
      <c r="B57" s="19" t="str">
        <f t="shared" si="15"/>
        <v/>
      </c>
      <c r="D57" s="8"/>
      <c r="E57" s="26"/>
      <c r="F57" s="26"/>
      <c r="G57" s="26"/>
      <c r="H57" s="97"/>
      <c r="I57" s="27"/>
      <c r="J57" s="8"/>
      <c r="K57" s="43"/>
      <c r="L57" s="43"/>
      <c r="M57" s="43"/>
      <c r="N57" s="43"/>
      <c r="O57" s="37"/>
      <c r="P57" s="4" t="str" cm="1">
        <f t="array" ref="P57">IFERROR(INDEX($A$13:$A$81,MATCH(0,COUNTIF($P$12:P56,$A$13:$A$81),0)),"")</f>
        <v/>
      </c>
      <c r="Q57" s="92" t="str">
        <f t="shared" si="16"/>
        <v/>
      </c>
      <c r="R57" s="93" t="str">
        <f t="shared" si="17"/>
        <v/>
      </c>
      <c r="S57" s="93" t="str">
        <f t="shared" si="18"/>
        <v/>
      </c>
      <c r="T57" s="93" t="str">
        <f t="shared" si="19"/>
        <v/>
      </c>
      <c r="U57" s="127" t="str">
        <f t="shared" si="38"/>
        <v/>
      </c>
      <c r="V57" s="46" t="str">
        <f t="shared" si="39"/>
        <v/>
      </c>
      <c r="W57" s="37"/>
      <c r="X57" s="18" t="str">
        <f t="array" ref="X57">IFERROR(IF(INDEX($H$13:$H$81,MATCH(0,COUNTIF($X$12:X56,$H$13:$H$81),0))=0,"",INDEX($H$13:$H$81,MATCH(0,COUNTIF($X$12:X56,$H$13:$H$81),0))),"")</f>
        <v/>
      </c>
      <c r="Y57" s="18" t="str">
        <f t="shared" si="40"/>
        <v/>
      </c>
      <c r="Z57" s="48" t="str">
        <f t="shared" si="20"/>
        <v/>
      </c>
      <c r="AA57" s="82"/>
      <c r="AB57" s="18" t="str">
        <f t="shared" si="21"/>
        <v/>
      </c>
      <c r="AC57" s="31" t="str">
        <f t="shared" si="22"/>
        <v/>
      </c>
      <c r="AD57" s="18" t="str">
        <f t="shared" si="23"/>
        <v/>
      </c>
      <c r="AE57" s="18" t="str">
        <f t="shared" si="24"/>
        <v/>
      </c>
      <c r="AF57" s="37"/>
      <c r="AG57" s="45" t="str">
        <f t="array" ref="AG57">IFERROR(IF(INDEX($B$13:$B$81,MATCH(0,COUNTIF($AG$12:AG56,$B$13:$B$81),0))=0,"",INDEX($B$13:$B$81,MATCH(0,COUNTIF($AG$12:AG56,$B$13:$B$81),0))),"")</f>
        <v/>
      </c>
      <c r="AH57" s="122" t="str">
        <f t="shared" si="41"/>
        <v/>
      </c>
      <c r="AI57" s="123" t="str">
        <f t="shared" si="42"/>
        <v/>
      </c>
      <c r="AJ57" s="102" t="str">
        <f>IFERROR(IF($AG57="","",SUMIFS([2]INPUTS!$F:$F,[2]INPUTS!$L:$L,$AG57,[2]INPUTS!$E:$E,$D$9)),"")</f>
        <v/>
      </c>
      <c r="AK57" s="12" t="str">
        <f t="shared" si="43"/>
        <v/>
      </c>
      <c r="AM57" s="109" t="str">
        <f t="shared" si="44"/>
        <v/>
      </c>
      <c r="AN57" s="108" t="str">
        <f t="shared" si="45"/>
        <v/>
      </c>
      <c r="AO57" s="101" t="str">
        <f>IF(AP57="","",_xlfn.XLOOKUP(CONCATENATE(AN57,"-",AP57),[3]INPUTS!$B:$B,[3]INPUTS!$N:$N))</f>
        <v/>
      </c>
      <c r="AP57" s="108" t="str">
        <f t="shared" si="46"/>
        <v/>
      </c>
      <c r="AQ57" s="99" t="str">
        <f>IF($F57="","",IF($L57="",_xlfn.XLOOKUP($D$9,[1]SCHE!$A:$A,[1]SCHE!$N:$N),$L57))</f>
        <v/>
      </c>
      <c r="AR57" s="99" t="str">
        <f t="shared" si="36"/>
        <v/>
      </c>
      <c r="AS57" s="47" t="str">
        <f t="shared" si="25"/>
        <v/>
      </c>
      <c r="AT57" s="9" t="str">
        <f t="shared" si="47"/>
        <v/>
      </c>
      <c r="AU57" s="94" t="str">
        <f>IF($AO57="","",IF($AT$3="",INDEX([3]INPUTS!$A:$BF,MATCH(CONCATENATE($AN57,"-",$AP57),[3]INPUTS!$B:$B,0),22),$AT$3))</f>
        <v/>
      </c>
      <c r="AV57" s="103" t="str">
        <f t="shared" si="48"/>
        <v/>
      </c>
      <c r="AW57" s="11" t="str">
        <f t="shared" si="49"/>
        <v/>
      </c>
      <c r="AX57" s="104" t="str">
        <f t="shared" si="26"/>
        <v/>
      </c>
      <c r="AY57" s="110" t="str">
        <f t="shared" si="37"/>
        <v/>
      </c>
      <c r="BE57" s="19" t="str">
        <f t="shared" si="27"/>
        <v/>
      </c>
      <c r="BR57" s="1" t="str">
        <f t="array" ref="BR57">IFERROR(IF(INDEX($B$13:$B$81,MATCH(0,COUNTIF($BR$12:BR56,$B$13:$B$81),0))=0,"",INDEX($B$13:$B$81,MATCH(0,COUNTIF($BR$12:BR56,$B$13:$B$81),0))),"")</f>
        <v/>
      </c>
      <c r="BS57" s="124" t="str">
        <f t="shared" si="50"/>
        <v/>
      </c>
      <c r="BT57" s="125" t="str">
        <f t="shared" si="51"/>
        <v/>
      </c>
      <c r="BU57" s="4" t="str">
        <f>IF(LINE2_DATA[[#This Row],[OP]]="","",INDEX(Sheet1!$G$2:$I$10,MATCH(LINE2_DATA[[#This Row],[OP]],Sheet1!$G$2:$G$10,0),3))</f>
        <v/>
      </c>
      <c r="BV57" s="4" t="str">
        <f t="shared" si="52"/>
        <v/>
      </c>
      <c r="BW57" s="4" t="str">
        <f t="shared" si="53"/>
        <v/>
      </c>
      <c r="BX57" s="4" t="str">
        <f t="shared" si="54"/>
        <v/>
      </c>
      <c r="BY57" s="4" t="str">
        <f t="shared" si="55"/>
        <v/>
      </c>
      <c r="BZ57" s="4" t="str">
        <f>IF(BR57="","",SUM(LINE2_DATA[[#This Row],[PRODUCED LBS]],LINE2_DATA[[#This Row],[SCRAP]]))</f>
        <v/>
      </c>
      <c r="CA57" s="4" t="str">
        <f>IF(BR57="","",ROUND(((LINE2_DATA[[#This Row],[SCRAP]]/LINE2_DATA[[#This Row],[TOTAL LBS]])*100),2))</f>
        <v/>
      </c>
      <c r="CB57" s="4" t="str">
        <f t="shared" si="56"/>
        <v/>
      </c>
      <c r="CC57" s="4" t="str">
        <f t="shared" si="57"/>
        <v/>
      </c>
      <c r="CD57" s="4" t="str">
        <f>IF(LINE2_DATA[[#This Row],[EFFECTIVE SPEED]]="","",(LINE2_DATA[[#This Row],[EFFECTIVE SPEED]]*LINE2_DATA[[#This Row],[AVAILABLE MINS]]))</f>
        <v/>
      </c>
      <c r="CE57" s="4" t="str">
        <f>IFERROR(IF(BR57="","",ROUND(((LINE2_DATA[[#This Row],[PRODUCED FT]]/LINE2_DATA[[#This Row],[PENT. PROD. CAP.]])*100),2)),"")</f>
        <v/>
      </c>
      <c r="CF57" s="125" t="str">
        <f>IF(LINE2_DATA[[#This Row],[DATE]]="","",75)</f>
        <v/>
      </c>
      <c r="CG57" s="125" t="str">
        <f>IF(LINE2_DATA[[#This Row],[DATE]]="","",10)</f>
        <v/>
      </c>
    </row>
    <row r="58" spans="1:85" ht="19.899999999999999" customHeight="1" x14ac:dyDescent="0.25">
      <c r="A58" s="19" t="str">
        <f t="shared" si="14"/>
        <v/>
      </c>
      <c r="B58" s="19" t="str">
        <f t="shared" si="15"/>
        <v/>
      </c>
      <c r="D58" s="8"/>
      <c r="E58" s="26"/>
      <c r="F58" s="26"/>
      <c r="G58" s="26"/>
      <c r="H58" s="97"/>
      <c r="I58" s="27"/>
      <c r="J58" s="8"/>
      <c r="K58" s="43"/>
      <c r="L58" s="43"/>
      <c r="M58" s="43"/>
      <c r="N58" s="43"/>
      <c r="O58" s="37"/>
      <c r="P58" s="4" t="str" cm="1">
        <f t="array" ref="P58">IFERROR(INDEX($A$13:$A$81,MATCH(0,COUNTIF($P$12:P57,$A$13:$A$81),0)),"")</f>
        <v/>
      </c>
      <c r="Q58" s="92" t="str">
        <f t="shared" si="16"/>
        <v/>
      </c>
      <c r="R58" s="93" t="str">
        <f t="shared" si="17"/>
        <v/>
      </c>
      <c r="S58" s="93" t="str">
        <f t="shared" si="18"/>
        <v/>
      </c>
      <c r="T58" s="93" t="str">
        <f t="shared" si="19"/>
        <v/>
      </c>
      <c r="U58" s="127" t="str">
        <f t="shared" si="38"/>
        <v/>
      </c>
      <c r="V58" s="46" t="str">
        <f t="shared" si="39"/>
        <v/>
      </c>
      <c r="W58" s="37"/>
      <c r="X58" s="18" t="str">
        <f t="array" ref="X58">IFERROR(IF(INDEX($H$13:$H$81,MATCH(0,COUNTIF($X$12:X57,$H$13:$H$81),0))=0,"",INDEX($H$13:$H$81,MATCH(0,COUNTIF($X$12:X57,$H$13:$H$81),0))),"")</f>
        <v/>
      </c>
      <c r="Y58" s="18" t="str">
        <f t="shared" si="40"/>
        <v/>
      </c>
      <c r="Z58" s="48" t="str">
        <f t="shared" si="20"/>
        <v/>
      </c>
      <c r="AA58" s="82"/>
      <c r="AB58" s="18" t="str">
        <f t="shared" si="21"/>
        <v/>
      </c>
      <c r="AC58" s="31" t="str">
        <f t="shared" si="22"/>
        <v/>
      </c>
      <c r="AD58" s="18" t="str">
        <f t="shared" si="23"/>
        <v/>
      </c>
      <c r="AE58" s="18" t="str">
        <f t="shared" si="24"/>
        <v/>
      </c>
      <c r="AF58" s="37"/>
      <c r="AG58" s="45" t="str">
        <f t="array" ref="AG58">IFERROR(IF(INDEX($B$13:$B$81,MATCH(0,COUNTIF($AG$12:AG57,$B$13:$B$81),0))=0,"",INDEX($B$13:$B$81,MATCH(0,COUNTIF($AG$12:AG57,$B$13:$B$81),0))),"")</f>
        <v/>
      </c>
      <c r="AH58" s="122" t="str">
        <f t="shared" si="41"/>
        <v/>
      </c>
      <c r="AI58" s="123" t="str">
        <f t="shared" si="42"/>
        <v/>
      </c>
      <c r="AJ58" s="102" t="str">
        <f>IFERROR(IF($AG58="","",SUMIFS([2]INPUTS!$F:$F,[2]INPUTS!$L:$L,$AG58,[2]INPUTS!$E:$E,$D$9)),"")</f>
        <v/>
      </c>
      <c r="AK58" s="12" t="str">
        <f t="shared" si="43"/>
        <v/>
      </c>
      <c r="AM58" s="109" t="str">
        <f t="shared" si="44"/>
        <v/>
      </c>
      <c r="AN58" s="108" t="str">
        <f t="shared" si="45"/>
        <v/>
      </c>
      <c r="AO58" s="101" t="str">
        <f>IF(AP58="","",_xlfn.XLOOKUP(CONCATENATE(AN58,"-",AP58),[3]INPUTS!$B:$B,[3]INPUTS!$N:$N))</f>
        <v/>
      </c>
      <c r="AP58" s="108" t="str">
        <f t="shared" si="46"/>
        <v/>
      </c>
      <c r="AQ58" s="99" t="str">
        <f>IF($F58="","",IF($L58="",_xlfn.XLOOKUP($D$9,[1]SCHE!$A:$A,[1]SCHE!$N:$N),$L58))</f>
        <v/>
      </c>
      <c r="AR58" s="99" t="str">
        <f t="shared" si="36"/>
        <v/>
      </c>
      <c r="AS58" s="47" t="str">
        <f t="shared" si="25"/>
        <v/>
      </c>
      <c r="AT58" s="9" t="str">
        <f t="shared" si="47"/>
        <v/>
      </c>
      <c r="AU58" s="94" t="str">
        <f>IF($AO58="","",IF($AT$3="",INDEX([3]INPUTS!$A:$BF,MATCH(CONCATENATE($AN58,"-",$AP58),[3]INPUTS!$B:$B,0),22),$AT$3))</f>
        <v/>
      </c>
      <c r="AV58" s="103" t="str">
        <f t="shared" si="48"/>
        <v/>
      </c>
      <c r="AW58" s="11" t="str">
        <f t="shared" si="49"/>
        <v/>
      </c>
      <c r="AX58" s="104" t="str">
        <f t="shared" si="26"/>
        <v/>
      </c>
      <c r="AY58" s="110" t="str">
        <f t="shared" si="37"/>
        <v/>
      </c>
      <c r="BE58" s="19" t="str">
        <f t="shared" si="27"/>
        <v/>
      </c>
      <c r="BR58" s="1" t="str">
        <f t="array" ref="BR58">IFERROR(IF(INDEX($B$13:$B$81,MATCH(0,COUNTIF($BR$12:BR57,$B$13:$B$81),0))=0,"",INDEX($B$13:$B$81,MATCH(0,COUNTIF($BR$12:BR57,$B$13:$B$81),0))),"")</f>
        <v/>
      </c>
      <c r="BS58" s="124" t="str">
        <f t="shared" si="50"/>
        <v/>
      </c>
      <c r="BT58" s="125" t="str">
        <f t="shared" si="51"/>
        <v/>
      </c>
      <c r="BU58" s="4" t="str">
        <f>IF(LINE2_DATA[[#This Row],[OP]]="","",INDEX(Sheet1!$G$2:$I$10,MATCH(LINE2_DATA[[#This Row],[OP]],Sheet1!$G$2:$G$10,0),3))</f>
        <v/>
      </c>
      <c r="BV58" s="4" t="str">
        <f t="shared" si="52"/>
        <v/>
      </c>
      <c r="BW58" s="4" t="str">
        <f t="shared" si="53"/>
        <v/>
      </c>
      <c r="BX58" s="4" t="str">
        <f t="shared" si="54"/>
        <v/>
      </c>
      <c r="BY58" s="4" t="str">
        <f t="shared" si="55"/>
        <v/>
      </c>
      <c r="BZ58" s="4" t="str">
        <f>IF(BR58="","",SUM(LINE2_DATA[[#This Row],[PRODUCED LBS]],LINE2_DATA[[#This Row],[SCRAP]]))</f>
        <v/>
      </c>
      <c r="CA58" s="4" t="str">
        <f>IF(BR58="","",ROUND(((LINE2_DATA[[#This Row],[SCRAP]]/LINE2_DATA[[#This Row],[TOTAL LBS]])*100),2))</f>
        <v/>
      </c>
      <c r="CB58" s="4" t="str">
        <f t="shared" si="56"/>
        <v/>
      </c>
      <c r="CC58" s="4" t="str">
        <f t="shared" si="57"/>
        <v/>
      </c>
      <c r="CD58" s="4" t="str">
        <f>IF(LINE2_DATA[[#This Row],[EFFECTIVE SPEED]]="","",(LINE2_DATA[[#This Row],[EFFECTIVE SPEED]]*LINE2_DATA[[#This Row],[AVAILABLE MINS]]))</f>
        <v/>
      </c>
      <c r="CE58" s="4" t="str">
        <f>IFERROR(IF(BR58="","",ROUND(((LINE2_DATA[[#This Row],[PRODUCED FT]]/LINE2_DATA[[#This Row],[PENT. PROD. CAP.]])*100),2)),"")</f>
        <v/>
      </c>
      <c r="CF58" s="125" t="str">
        <f>IF(LINE2_DATA[[#This Row],[DATE]]="","",75)</f>
        <v/>
      </c>
      <c r="CG58" s="125" t="str">
        <f>IF(LINE2_DATA[[#This Row],[DATE]]="","",10)</f>
        <v/>
      </c>
    </row>
    <row r="59" spans="1:85" ht="19.899999999999999" customHeight="1" x14ac:dyDescent="0.25">
      <c r="A59" s="19" t="str">
        <f t="shared" si="14"/>
        <v/>
      </c>
      <c r="B59" s="19" t="str">
        <f t="shared" si="15"/>
        <v/>
      </c>
      <c r="D59" s="8"/>
      <c r="E59" s="26"/>
      <c r="F59" s="26"/>
      <c r="G59" s="26"/>
      <c r="H59" s="97"/>
      <c r="I59" s="27"/>
      <c r="J59" s="8"/>
      <c r="K59" s="43"/>
      <c r="L59" s="43"/>
      <c r="M59" s="43"/>
      <c r="N59" s="43"/>
      <c r="O59" s="37"/>
      <c r="P59" s="4" t="str" cm="1">
        <f t="array" ref="P59">IFERROR(INDEX($A$13:$A$81,MATCH(0,COUNTIF($P$12:P58,$A$13:$A$81),0)),"")</f>
        <v/>
      </c>
      <c r="Q59" s="92" t="str">
        <f t="shared" si="16"/>
        <v/>
      </c>
      <c r="R59" s="93" t="str">
        <f t="shared" si="17"/>
        <v/>
      </c>
      <c r="S59" s="93" t="str">
        <f t="shared" si="18"/>
        <v/>
      </c>
      <c r="T59" s="93" t="str">
        <f t="shared" si="19"/>
        <v/>
      </c>
      <c r="U59" s="127" t="str">
        <f t="shared" si="38"/>
        <v/>
      </c>
      <c r="V59" s="46" t="str">
        <f t="shared" si="39"/>
        <v/>
      </c>
      <c r="W59" s="37"/>
      <c r="X59" s="18" t="str">
        <f t="array" ref="X59">IFERROR(IF(INDEX($H$13:$H$81,MATCH(0,COUNTIF($X$12:X58,$H$13:$H$81),0))=0,"",INDEX($H$13:$H$81,MATCH(0,COUNTIF($X$12:X58,$H$13:$H$81),0))),"")</f>
        <v/>
      </c>
      <c r="Y59" s="18" t="str">
        <f t="shared" si="40"/>
        <v/>
      </c>
      <c r="Z59" s="48" t="str">
        <f t="shared" si="20"/>
        <v/>
      </c>
      <c r="AA59" s="82"/>
      <c r="AB59" s="18" t="str">
        <f t="shared" si="21"/>
        <v/>
      </c>
      <c r="AC59" s="31" t="str">
        <f t="shared" si="22"/>
        <v/>
      </c>
      <c r="AD59" s="18" t="str">
        <f t="shared" si="23"/>
        <v/>
      </c>
      <c r="AE59" s="18" t="str">
        <f t="shared" si="24"/>
        <v/>
      </c>
      <c r="AF59" s="37"/>
      <c r="AG59" s="45" t="str">
        <f t="array" ref="AG59">IFERROR(IF(INDEX($B$13:$B$81,MATCH(0,COUNTIF($AG$12:AG58,$B$13:$B$81),0))=0,"",INDEX($B$13:$B$81,MATCH(0,COUNTIF($AG$12:AG58,$B$13:$B$81),0))),"")</f>
        <v/>
      </c>
      <c r="AH59" s="122" t="str">
        <f t="shared" si="41"/>
        <v/>
      </c>
      <c r="AI59" s="123" t="str">
        <f t="shared" si="42"/>
        <v/>
      </c>
      <c r="AJ59" s="102" t="str">
        <f>IFERROR(IF($AG59="","",SUMIFS([2]INPUTS!$F:$F,[2]INPUTS!$L:$L,$AG59,[2]INPUTS!$E:$E,$D$9)),"")</f>
        <v/>
      </c>
      <c r="AK59" s="12" t="str">
        <f t="shared" si="43"/>
        <v/>
      </c>
      <c r="AM59" s="109" t="str">
        <f t="shared" si="44"/>
        <v/>
      </c>
      <c r="AN59" s="108" t="str">
        <f t="shared" si="45"/>
        <v/>
      </c>
      <c r="AO59" s="101" t="str">
        <f>IF(AP59="","",_xlfn.XLOOKUP(CONCATENATE(AN59,"-",AP59),[3]INPUTS!$B:$B,[3]INPUTS!$N:$N))</f>
        <v/>
      </c>
      <c r="AP59" s="108" t="str">
        <f t="shared" si="46"/>
        <v/>
      </c>
      <c r="AQ59" s="99" t="str">
        <f>IF($F59="","",IF($L59="",_xlfn.XLOOKUP($D$9,[1]SCHE!$A:$A,[1]SCHE!$N:$N),$L59))</f>
        <v/>
      </c>
      <c r="AR59" s="99" t="str">
        <f t="shared" si="36"/>
        <v/>
      </c>
      <c r="AS59" s="47" t="str">
        <f t="shared" si="25"/>
        <v/>
      </c>
      <c r="AT59" s="9" t="str">
        <f t="shared" si="47"/>
        <v/>
      </c>
      <c r="AU59" s="94" t="str">
        <f>IF($AO59="","",IF($AT$3="",INDEX([3]INPUTS!$A:$BF,MATCH(CONCATENATE($AN59,"-",$AP59),[3]INPUTS!$B:$B,0),22),$AT$3))</f>
        <v/>
      </c>
      <c r="AV59" s="103" t="str">
        <f t="shared" si="48"/>
        <v/>
      </c>
      <c r="AW59" s="11" t="str">
        <f t="shared" si="49"/>
        <v/>
      </c>
      <c r="AX59" s="104" t="str">
        <f t="shared" si="26"/>
        <v/>
      </c>
      <c r="AY59" s="110" t="str">
        <f t="shared" si="37"/>
        <v/>
      </c>
      <c r="BE59" s="19" t="str">
        <f t="shared" si="27"/>
        <v/>
      </c>
      <c r="BR59" s="1" t="str">
        <f t="array" ref="BR59">IFERROR(IF(INDEX($B$13:$B$81,MATCH(0,COUNTIF($BR$12:BR58,$B$13:$B$81),0))=0,"",INDEX($B$13:$B$81,MATCH(0,COUNTIF($BR$12:BR58,$B$13:$B$81),0))),"")</f>
        <v/>
      </c>
      <c r="BS59" s="124" t="str">
        <f t="shared" si="50"/>
        <v/>
      </c>
      <c r="BT59" s="125" t="str">
        <f t="shared" si="51"/>
        <v/>
      </c>
      <c r="BU59" s="4" t="str">
        <f>IF(LINE2_DATA[[#This Row],[OP]]="","",INDEX(Sheet1!$G$2:$I$10,MATCH(LINE2_DATA[[#This Row],[OP]],Sheet1!$G$2:$G$10,0),3))</f>
        <v/>
      </c>
      <c r="BV59" s="4" t="str">
        <f t="shared" si="52"/>
        <v/>
      </c>
      <c r="BW59" s="4" t="str">
        <f t="shared" si="53"/>
        <v/>
      </c>
      <c r="BX59" s="4" t="str">
        <f t="shared" si="54"/>
        <v/>
      </c>
      <c r="BY59" s="4" t="str">
        <f t="shared" si="55"/>
        <v/>
      </c>
      <c r="BZ59" s="4" t="str">
        <f>IF(BR59="","",SUM(LINE2_DATA[[#This Row],[PRODUCED LBS]],LINE2_DATA[[#This Row],[SCRAP]]))</f>
        <v/>
      </c>
      <c r="CA59" s="4" t="str">
        <f>IF(BR59="","",ROUND(((LINE2_DATA[[#This Row],[SCRAP]]/LINE2_DATA[[#This Row],[TOTAL LBS]])*100),2))</f>
        <v/>
      </c>
      <c r="CB59" s="4" t="str">
        <f t="shared" si="56"/>
        <v/>
      </c>
      <c r="CC59" s="4" t="str">
        <f t="shared" si="57"/>
        <v/>
      </c>
      <c r="CD59" s="4" t="str">
        <f>IF(LINE2_DATA[[#This Row],[EFFECTIVE SPEED]]="","",(LINE2_DATA[[#This Row],[EFFECTIVE SPEED]]*LINE2_DATA[[#This Row],[AVAILABLE MINS]]))</f>
        <v/>
      </c>
      <c r="CE59" s="4" t="str">
        <f>IFERROR(IF(BR59="","",ROUND(((LINE2_DATA[[#This Row],[PRODUCED FT]]/LINE2_DATA[[#This Row],[PENT. PROD. CAP.]])*100),2)),"")</f>
        <v/>
      </c>
      <c r="CF59" s="125" t="str">
        <f>IF(LINE2_DATA[[#This Row],[DATE]]="","",75)</f>
        <v/>
      </c>
      <c r="CG59" s="125" t="str">
        <f>IF(LINE2_DATA[[#This Row],[DATE]]="","",10)</f>
        <v/>
      </c>
    </row>
    <row r="60" spans="1:85" ht="19.899999999999999" customHeight="1" x14ac:dyDescent="0.25">
      <c r="A60" s="19" t="str">
        <f t="shared" si="14"/>
        <v/>
      </c>
      <c r="B60" s="19" t="str">
        <f t="shared" si="15"/>
        <v/>
      </c>
      <c r="D60" s="8"/>
      <c r="E60" s="26"/>
      <c r="F60" s="8"/>
      <c r="G60" s="8"/>
      <c r="H60" s="98"/>
      <c r="I60" s="44"/>
      <c r="J60" s="8"/>
      <c r="K60" s="43"/>
      <c r="L60" s="43"/>
      <c r="M60" s="43"/>
      <c r="N60" s="43"/>
      <c r="O60" s="37"/>
      <c r="P60" s="4" t="str" cm="1">
        <f t="array" ref="P60">IFERROR(INDEX($A$13:$A$81,MATCH(0,COUNTIF($P$12:P59,$A$13:$A$81),0)),"")</f>
        <v/>
      </c>
      <c r="Q60" s="92" t="str">
        <f t="shared" si="16"/>
        <v/>
      </c>
      <c r="R60" s="93" t="str">
        <f t="shared" si="17"/>
        <v/>
      </c>
      <c r="S60" s="93" t="str">
        <f t="shared" si="18"/>
        <v/>
      </c>
      <c r="T60" s="93" t="str">
        <f t="shared" si="19"/>
        <v/>
      </c>
      <c r="U60" s="127" t="str">
        <f t="shared" si="38"/>
        <v/>
      </c>
      <c r="V60" s="46" t="str">
        <f t="shared" si="39"/>
        <v/>
      </c>
      <c r="W60" s="37"/>
      <c r="X60" s="18" t="str">
        <f t="array" ref="X60">IFERROR(IF(INDEX($H$13:$H$81,MATCH(0,COUNTIF($X$12:X59,$H$13:$H$81),0))=0,"",INDEX($H$13:$H$81,MATCH(0,COUNTIF($X$12:X59,$H$13:$H$81),0))),"")</f>
        <v/>
      </c>
      <c r="Y60" s="18" t="str">
        <f t="shared" si="40"/>
        <v/>
      </c>
      <c r="Z60" s="48" t="str">
        <f t="shared" si="20"/>
        <v/>
      </c>
      <c r="AA60" s="82"/>
      <c r="AB60" s="18" t="str">
        <f t="shared" si="21"/>
        <v/>
      </c>
      <c r="AC60" s="31" t="str">
        <f t="shared" si="22"/>
        <v/>
      </c>
      <c r="AD60" s="18" t="str">
        <f t="shared" si="23"/>
        <v/>
      </c>
      <c r="AE60" s="18" t="str">
        <f t="shared" si="24"/>
        <v/>
      </c>
      <c r="AF60" s="37"/>
      <c r="AG60" s="45" t="str">
        <f t="array" ref="AG60">IFERROR(IF(INDEX($B$13:$B$81,MATCH(0,COUNTIF($AG$12:AG59,$B$13:$B$81),0))=0,"",INDEX($B$13:$B$81,MATCH(0,COUNTIF($AG$12:AG59,$B$13:$B$81),0))),"")</f>
        <v/>
      </c>
      <c r="AH60" s="122" t="str">
        <f t="shared" si="41"/>
        <v/>
      </c>
      <c r="AI60" s="123" t="str">
        <f t="shared" si="42"/>
        <v/>
      </c>
      <c r="AJ60" s="102" t="str">
        <f>IFERROR(IF($AG60="","",SUMIFS([2]INPUTS!$F:$F,[2]INPUTS!$L:$L,$AG60,[2]INPUTS!$E:$E,$D$9)),"")</f>
        <v/>
      </c>
      <c r="AK60" s="12" t="str">
        <f t="shared" si="43"/>
        <v/>
      </c>
      <c r="AM60" s="109" t="str">
        <f t="shared" si="44"/>
        <v/>
      </c>
      <c r="AN60" s="108" t="str">
        <f t="shared" si="45"/>
        <v/>
      </c>
      <c r="AO60" s="101" t="str">
        <f>IF(AP60="","",_xlfn.XLOOKUP(CONCATENATE(AN60,"-",AP60),[3]INPUTS!$B:$B,[3]INPUTS!$N:$N))</f>
        <v/>
      </c>
      <c r="AP60" s="108" t="str">
        <f t="shared" si="46"/>
        <v/>
      </c>
      <c r="AQ60" s="99" t="str">
        <f>IF($F60="","",IF($L60="",_xlfn.XLOOKUP($D$9,[1]SCHE!$A:$A,[1]SCHE!$N:$N),$L60))</f>
        <v/>
      </c>
      <c r="AR60" s="99" t="str">
        <f t="shared" si="36"/>
        <v/>
      </c>
      <c r="AS60" s="47" t="str">
        <f t="shared" si="25"/>
        <v/>
      </c>
      <c r="AT60" s="9" t="str">
        <f t="shared" si="47"/>
        <v/>
      </c>
      <c r="AU60" s="94" t="str">
        <f>IF($AO60="","",IF($AT$3="",INDEX([3]INPUTS!$A:$BF,MATCH(CONCATENATE($AN60,"-",$AP60),[3]INPUTS!$B:$B,0),22),$AT$3))</f>
        <v/>
      </c>
      <c r="AV60" s="103" t="str">
        <f t="shared" si="48"/>
        <v/>
      </c>
      <c r="AW60" s="11" t="str">
        <f t="shared" si="49"/>
        <v/>
      </c>
      <c r="AX60" s="104" t="str">
        <f t="shared" si="26"/>
        <v/>
      </c>
      <c r="AY60" s="110" t="str">
        <f t="shared" si="37"/>
        <v/>
      </c>
      <c r="BE60" s="19" t="str">
        <f t="shared" si="27"/>
        <v/>
      </c>
      <c r="BR60" s="1" t="str">
        <f t="array" ref="BR60">IFERROR(IF(INDEX($B$13:$B$81,MATCH(0,COUNTIF($BR$12:BR59,$B$13:$B$81),0))=0,"",INDEX($B$13:$B$81,MATCH(0,COUNTIF($BR$12:BR59,$B$13:$B$81),0))),"")</f>
        <v/>
      </c>
      <c r="BS60" s="124" t="str">
        <f t="shared" si="50"/>
        <v/>
      </c>
      <c r="BT60" s="125" t="str">
        <f t="shared" si="51"/>
        <v/>
      </c>
      <c r="BU60" s="4" t="str">
        <f>IF(LINE2_DATA[[#This Row],[OP]]="","",INDEX(Sheet1!$G$2:$I$10,MATCH(LINE2_DATA[[#This Row],[OP]],Sheet1!$G$2:$G$10,0),3))</f>
        <v/>
      </c>
      <c r="BV60" s="4" t="str">
        <f t="shared" si="52"/>
        <v/>
      </c>
      <c r="BW60" s="4" t="str">
        <f t="shared" si="53"/>
        <v/>
      </c>
      <c r="BX60" s="4" t="str">
        <f t="shared" si="54"/>
        <v/>
      </c>
      <c r="BY60" s="4" t="str">
        <f t="shared" si="55"/>
        <v/>
      </c>
      <c r="BZ60" s="4" t="str">
        <f>IF(BR60="","",SUM(LINE2_DATA[[#This Row],[PRODUCED LBS]],LINE2_DATA[[#This Row],[SCRAP]]))</f>
        <v/>
      </c>
      <c r="CA60" s="4" t="str">
        <f>IF(BR60="","",ROUND(((LINE2_DATA[[#This Row],[SCRAP]]/LINE2_DATA[[#This Row],[TOTAL LBS]])*100),2))</f>
        <v/>
      </c>
      <c r="CB60" s="4" t="str">
        <f t="shared" si="56"/>
        <v/>
      </c>
      <c r="CC60" s="4" t="str">
        <f t="shared" si="57"/>
        <v/>
      </c>
      <c r="CD60" s="4" t="str">
        <f>IF(LINE2_DATA[[#This Row],[EFFECTIVE SPEED]]="","",(LINE2_DATA[[#This Row],[EFFECTIVE SPEED]]*LINE2_DATA[[#This Row],[AVAILABLE MINS]]))</f>
        <v/>
      </c>
      <c r="CE60" s="4" t="str">
        <f>IFERROR(IF(BR60="","",ROUND(((LINE2_DATA[[#This Row],[PRODUCED FT]]/LINE2_DATA[[#This Row],[PENT. PROD. CAP.]])*100),2)),"")</f>
        <v/>
      </c>
      <c r="CF60" s="125" t="str">
        <f>IF(LINE2_DATA[[#This Row],[DATE]]="","",75)</f>
        <v/>
      </c>
      <c r="CG60" s="125" t="str">
        <f>IF(LINE2_DATA[[#This Row],[DATE]]="","",10)</f>
        <v/>
      </c>
    </row>
    <row r="61" spans="1:85" ht="19.899999999999999" customHeight="1" x14ac:dyDescent="0.25">
      <c r="A61" s="19" t="str">
        <f t="shared" si="14"/>
        <v/>
      </c>
      <c r="B61" s="19" t="str">
        <f t="shared" si="15"/>
        <v/>
      </c>
      <c r="D61" s="8"/>
      <c r="E61" s="26"/>
      <c r="F61" s="8"/>
      <c r="G61" s="8"/>
      <c r="H61" s="98"/>
      <c r="I61" s="44"/>
      <c r="J61" s="8"/>
      <c r="K61" s="43"/>
      <c r="L61" s="43"/>
      <c r="M61" s="43"/>
      <c r="N61" s="43"/>
      <c r="O61" s="37"/>
      <c r="P61" s="4" t="str" cm="1">
        <f t="array" ref="P61">IFERROR(INDEX($A$13:$A$81,MATCH(0,COUNTIF($P$12:P60,$A$13:$A$81),0)),"")</f>
        <v/>
      </c>
      <c r="Q61" s="92" t="str">
        <f t="shared" si="16"/>
        <v/>
      </c>
      <c r="R61" s="93" t="str">
        <f t="shared" si="17"/>
        <v/>
      </c>
      <c r="S61" s="93" t="str">
        <f t="shared" si="18"/>
        <v/>
      </c>
      <c r="T61" s="93" t="str">
        <f t="shared" si="19"/>
        <v/>
      </c>
      <c r="U61" s="127" t="str">
        <f t="shared" si="38"/>
        <v/>
      </c>
      <c r="V61" s="46" t="str">
        <f t="shared" si="39"/>
        <v/>
      </c>
      <c r="W61" s="37"/>
      <c r="X61" s="18" t="str">
        <f t="array" ref="X61">IFERROR(IF(INDEX($H$13:$H$81,MATCH(0,COUNTIF($X$12:X60,$H$13:$H$81),0))=0,"",INDEX($H$13:$H$81,MATCH(0,COUNTIF($X$12:X60,$H$13:$H$81),0))),"")</f>
        <v/>
      </c>
      <c r="Y61" s="18" t="str">
        <f t="shared" si="40"/>
        <v/>
      </c>
      <c r="Z61" s="48" t="str">
        <f t="shared" si="20"/>
        <v/>
      </c>
      <c r="AA61" s="82"/>
      <c r="AB61" s="18" t="str">
        <f t="shared" si="21"/>
        <v/>
      </c>
      <c r="AC61" s="31" t="str">
        <f t="shared" si="22"/>
        <v/>
      </c>
      <c r="AD61" s="18" t="str">
        <f t="shared" si="23"/>
        <v/>
      </c>
      <c r="AE61" s="18" t="str">
        <f t="shared" si="24"/>
        <v/>
      </c>
      <c r="AF61" s="37"/>
      <c r="AG61" s="45" t="str">
        <f t="array" ref="AG61">IFERROR(IF(INDEX($B$13:$B$81,MATCH(0,COUNTIF($AG$12:AG60,$B$13:$B$81),0))=0,"",INDEX($B$13:$B$81,MATCH(0,COUNTIF($AG$12:AG60,$B$13:$B$81),0))),"")</f>
        <v/>
      </c>
      <c r="AH61" s="122" t="str">
        <f t="shared" si="41"/>
        <v/>
      </c>
      <c r="AI61" s="123" t="str">
        <f t="shared" si="42"/>
        <v/>
      </c>
      <c r="AJ61" s="102" t="str">
        <f>IFERROR(IF($AG61="","",SUMIFS([2]INPUTS!$F:$F,[2]INPUTS!$L:$L,$AG61,[2]INPUTS!$E:$E,$D$9)),"")</f>
        <v/>
      </c>
      <c r="AK61" s="12" t="str">
        <f t="shared" si="43"/>
        <v/>
      </c>
      <c r="AM61" s="109" t="str">
        <f t="shared" si="44"/>
        <v/>
      </c>
      <c r="AN61" s="108" t="str">
        <f t="shared" si="45"/>
        <v/>
      </c>
      <c r="AO61" s="101" t="str">
        <f>IF(AP61="","",_xlfn.XLOOKUP(CONCATENATE(AN61,"-",AP61),[3]INPUTS!$B:$B,[3]INPUTS!$N:$N))</f>
        <v/>
      </c>
      <c r="AP61" s="108" t="str">
        <f t="shared" si="46"/>
        <v/>
      </c>
      <c r="AQ61" s="99" t="str">
        <f>IF($F61="","",IF($L61="",_xlfn.XLOOKUP($D$9,[1]SCHE!$A:$A,[1]SCHE!$N:$N),$L61))</f>
        <v/>
      </c>
      <c r="AR61" s="99" t="str">
        <f t="shared" si="36"/>
        <v/>
      </c>
      <c r="AS61" s="47" t="str">
        <f t="shared" si="25"/>
        <v/>
      </c>
      <c r="AT61" s="9" t="str">
        <f t="shared" si="47"/>
        <v/>
      </c>
      <c r="AU61" s="94" t="str">
        <f>IF($AO61="","",IF($AT$3="",INDEX([3]INPUTS!$A:$BF,MATCH(CONCATENATE($AN61,"-",$AP61),[3]INPUTS!$B:$B,0),22),$AT$3))</f>
        <v/>
      </c>
      <c r="AV61" s="103" t="str">
        <f t="shared" si="48"/>
        <v/>
      </c>
      <c r="AW61" s="11" t="str">
        <f t="shared" si="49"/>
        <v/>
      </c>
      <c r="AX61" s="104" t="str">
        <f t="shared" si="26"/>
        <v/>
      </c>
      <c r="AY61" s="110" t="str">
        <f t="shared" si="37"/>
        <v/>
      </c>
      <c r="BE61" s="19" t="str">
        <f t="shared" si="27"/>
        <v/>
      </c>
      <c r="BR61" s="1" t="str">
        <f t="array" ref="BR61">IFERROR(IF(INDEX($B$13:$B$81,MATCH(0,COUNTIF($BR$12:BR60,$B$13:$B$81),0))=0,"",INDEX($B$13:$B$81,MATCH(0,COUNTIF($BR$12:BR60,$B$13:$B$81),0))),"")</f>
        <v/>
      </c>
      <c r="BS61" s="124" t="str">
        <f t="shared" si="50"/>
        <v/>
      </c>
      <c r="BT61" s="125" t="str">
        <f t="shared" si="51"/>
        <v/>
      </c>
      <c r="BU61" s="4" t="str">
        <f>IF(LINE2_DATA[[#This Row],[OP]]="","",INDEX(Sheet1!$G$2:$I$10,MATCH(LINE2_DATA[[#This Row],[OP]],Sheet1!$G$2:$G$10,0),3))</f>
        <v/>
      </c>
      <c r="BV61" s="4" t="str">
        <f t="shared" si="52"/>
        <v/>
      </c>
      <c r="BW61" s="4" t="str">
        <f t="shared" si="53"/>
        <v/>
      </c>
      <c r="BX61" s="4" t="str">
        <f t="shared" si="54"/>
        <v/>
      </c>
      <c r="BY61" s="4" t="str">
        <f t="shared" si="55"/>
        <v/>
      </c>
      <c r="BZ61" s="4" t="str">
        <f>IF(BR61="","",SUM(LINE2_DATA[[#This Row],[PRODUCED LBS]],LINE2_DATA[[#This Row],[SCRAP]]))</f>
        <v/>
      </c>
      <c r="CA61" s="4" t="str">
        <f>IF(BR61="","",ROUND(((LINE2_DATA[[#This Row],[SCRAP]]/LINE2_DATA[[#This Row],[TOTAL LBS]])*100),2))</f>
        <v/>
      </c>
      <c r="CB61" s="4" t="str">
        <f t="shared" si="56"/>
        <v/>
      </c>
      <c r="CC61" s="4" t="str">
        <f t="shared" si="57"/>
        <v/>
      </c>
      <c r="CD61" s="4" t="str">
        <f>IF(LINE2_DATA[[#This Row],[EFFECTIVE SPEED]]="","",(LINE2_DATA[[#This Row],[EFFECTIVE SPEED]]*LINE2_DATA[[#This Row],[AVAILABLE MINS]]))</f>
        <v/>
      </c>
      <c r="CE61" s="4" t="str">
        <f>IFERROR(IF(BR61="","",ROUND(((LINE2_DATA[[#This Row],[PRODUCED FT]]/LINE2_DATA[[#This Row],[PENT. PROD. CAP.]])*100),2)),"")</f>
        <v/>
      </c>
      <c r="CF61" s="125" t="str">
        <f>IF(LINE2_DATA[[#This Row],[DATE]]="","",75)</f>
        <v/>
      </c>
      <c r="CG61" s="125" t="str">
        <f>IF(LINE2_DATA[[#This Row],[DATE]]="","",10)</f>
        <v/>
      </c>
    </row>
    <row r="62" spans="1:85" ht="19.899999999999999" customHeight="1" x14ac:dyDescent="0.25">
      <c r="A62" s="19" t="str">
        <f t="shared" si="14"/>
        <v/>
      </c>
      <c r="B62" s="19" t="str">
        <f t="shared" si="15"/>
        <v/>
      </c>
      <c r="D62" s="8"/>
      <c r="E62" s="26"/>
      <c r="F62" s="26"/>
      <c r="G62" s="26"/>
      <c r="H62" s="97"/>
      <c r="I62" s="44"/>
      <c r="J62" s="8"/>
      <c r="K62" s="43"/>
      <c r="L62" s="43"/>
      <c r="M62" s="43"/>
      <c r="N62" s="43"/>
      <c r="O62" s="37"/>
      <c r="P62" s="4" t="str" cm="1">
        <f t="array" ref="P62">IFERROR(INDEX($A$13:$A$81,MATCH(0,COUNTIF($P$12:P61,$A$13:$A$81),0)),"")</f>
        <v/>
      </c>
      <c r="Q62" s="92" t="str">
        <f t="shared" si="16"/>
        <v/>
      </c>
      <c r="R62" s="93" t="str">
        <f t="shared" si="17"/>
        <v/>
      </c>
      <c r="S62" s="93" t="str">
        <f t="shared" si="18"/>
        <v/>
      </c>
      <c r="T62" s="93" t="str">
        <f t="shared" si="19"/>
        <v/>
      </c>
      <c r="U62" s="127" t="str">
        <f t="shared" si="38"/>
        <v/>
      </c>
      <c r="V62" s="46" t="str">
        <f t="shared" si="39"/>
        <v/>
      </c>
      <c r="W62" s="37"/>
      <c r="X62" s="18" t="str">
        <f t="array" ref="X62">IFERROR(IF(INDEX($H$13:$H$81,MATCH(0,COUNTIF($X$12:X61,$H$13:$H$81),0))=0,"",INDEX($H$13:$H$81,MATCH(0,COUNTIF($X$12:X61,$H$13:$H$81),0))),"")</f>
        <v/>
      </c>
      <c r="Y62" s="18" t="str">
        <f t="shared" si="40"/>
        <v/>
      </c>
      <c r="Z62" s="48" t="str">
        <f t="shared" si="20"/>
        <v/>
      </c>
      <c r="AA62" s="82"/>
      <c r="AB62" s="18" t="str">
        <f t="shared" si="21"/>
        <v/>
      </c>
      <c r="AC62" s="31" t="str">
        <f t="shared" si="22"/>
        <v/>
      </c>
      <c r="AD62" s="18" t="str">
        <f t="shared" si="23"/>
        <v/>
      </c>
      <c r="AE62" s="18" t="str">
        <f t="shared" si="24"/>
        <v/>
      </c>
      <c r="AF62" s="37"/>
      <c r="AG62" s="45" t="str">
        <f t="array" ref="AG62">IFERROR(IF(INDEX($B$13:$B$81,MATCH(0,COUNTIF($AG$12:AG61,$B$13:$B$81),0))=0,"",INDEX($B$13:$B$81,MATCH(0,COUNTIF($AG$12:AG61,$B$13:$B$81),0))),"")</f>
        <v/>
      </c>
      <c r="AH62" s="122" t="str">
        <f t="shared" si="41"/>
        <v/>
      </c>
      <c r="AI62" s="123" t="str">
        <f t="shared" si="42"/>
        <v/>
      </c>
      <c r="AJ62" s="102" t="str">
        <f>IFERROR(IF($AG62="","",SUMIFS([2]INPUTS!$F:$F,[2]INPUTS!$L:$L,$AG62,[2]INPUTS!$E:$E,$D$9)),"")</f>
        <v/>
      </c>
      <c r="AK62" s="12" t="str">
        <f t="shared" si="43"/>
        <v/>
      </c>
      <c r="AM62" s="109" t="str">
        <f t="shared" si="44"/>
        <v/>
      </c>
      <c r="AN62" s="108" t="str">
        <f t="shared" si="45"/>
        <v/>
      </c>
      <c r="AO62" s="101" t="str">
        <f>IF(AP62="","",_xlfn.XLOOKUP(CONCATENATE(AN62,"-",AP62),[3]INPUTS!$B:$B,[3]INPUTS!$N:$N))</f>
        <v/>
      </c>
      <c r="AP62" s="108" t="str">
        <f t="shared" si="46"/>
        <v/>
      </c>
      <c r="AQ62" s="99" t="str">
        <f>IF($F62="","",IF($L62="",_xlfn.XLOOKUP($D$9,[1]SCHE!$A:$A,[1]SCHE!$N:$N),$L62))</f>
        <v/>
      </c>
      <c r="AR62" s="99" t="str">
        <f t="shared" si="36"/>
        <v/>
      </c>
      <c r="AS62" s="47" t="str">
        <f t="shared" si="25"/>
        <v/>
      </c>
      <c r="AT62" s="9" t="str">
        <f t="shared" si="47"/>
        <v/>
      </c>
      <c r="AU62" s="94" t="str">
        <f>IF($AO62="","",IF($AT$3="",INDEX([3]INPUTS!$A:$BF,MATCH(CONCATENATE($AN62,"-",$AP62),[3]INPUTS!$B:$B,0),22),$AT$3))</f>
        <v/>
      </c>
      <c r="AV62" s="103" t="str">
        <f t="shared" si="48"/>
        <v/>
      </c>
      <c r="AW62" s="11" t="str">
        <f t="shared" si="49"/>
        <v/>
      </c>
      <c r="AX62" s="104" t="str">
        <f t="shared" si="26"/>
        <v/>
      </c>
      <c r="AY62" s="110" t="str">
        <f t="shared" si="37"/>
        <v/>
      </c>
      <c r="BE62" s="19" t="str">
        <f t="shared" si="27"/>
        <v/>
      </c>
      <c r="BR62" s="1" t="str">
        <f t="array" ref="BR62">IFERROR(IF(INDEX($B$13:$B$81,MATCH(0,COUNTIF($BR$12:BR61,$B$13:$B$81),0))=0,"",INDEX($B$13:$B$81,MATCH(0,COUNTIF($BR$12:BR61,$B$13:$B$81),0))),"")</f>
        <v/>
      </c>
      <c r="BS62" s="124" t="str">
        <f t="shared" si="50"/>
        <v/>
      </c>
      <c r="BT62" s="125" t="str">
        <f t="shared" si="51"/>
        <v/>
      </c>
      <c r="BU62" s="4" t="str">
        <f>IF(LINE2_DATA[[#This Row],[OP]]="","",INDEX(Sheet1!$G$2:$I$10,MATCH(LINE2_DATA[[#This Row],[OP]],Sheet1!$G$2:$G$10,0),3))</f>
        <v/>
      </c>
      <c r="BV62" s="4" t="str">
        <f t="shared" si="52"/>
        <v/>
      </c>
      <c r="BW62" s="4" t="str">
        <f t="shared" si="53"/>
        <v/>
      </c>
      <c r="BX62" s="4" t="str">
        <f t="shared" si="54"/>
        <v/>
      </c>
      <c r="BY62" s="4" t="str">
        <f t="shared" si="55"/>
        <v/>
      </c>
      <c r="BZ62" s="4" t="str">
        <f>IF(BR62="","",SUM(LINE2_DATA[[#This Row],[PRODUCED LBS]],LINE2_DATA[[#This Row],[SCRAP]]))</f>
        <v/>
      </c>
      <c r="CA62" s="4" t="str">
        <f>IF(BR62="","",ROUND(((LINE2_DATA[[#This Row],[SCRAP]]/LINE2_DATA[[#This Row],[TOTAL LBS]])*100),2))</f>
        <v/>
      </c>
      <c r="CB62" s="4" t="str">
        <f t="shared" si="56"/>
        <v/>
      </c>
      <c r="CC62" s="4" t="str">
        <f t="shared" si="57"/>
        <v/>
      </c>
      <c r="CD62" s="4" t="str">
        <f>IF(LINE2_DATA[[#This Row],[EFFECTIVE SPEED]]="","",(LINE2_DATA[[#This Row],[EFFECTIVE SPEED]]*LINE2_DATA[[#This Row],[AVAILABLE MINS]]))</f>
        <v/>
      </c>
      <c r="CE62" s="4" t="str">
        <f>IFERROR(IF(BR62="","",ROUND(((LINE2_DATA[[#This Row],[PRODUCED FT]]/LINE2_DATA[[#This Row],[PENT. PROD. CAP.]])*100),2)),"")</f>
        <v/>
      </c>
      <c r="CF62" s="125" t="str">
        <f>IF(LINE2_DATA[[#This Row],[DATE]]="","",75)</f>
        <v/>
      </c>
      <c r="CG62" s="125" t="str">
        <f>IF(LINE2_DATA[[#This Row],[DATE]]="","",10)</f>
        <v/>
      </c>
    </row>
    <row r="63" spans="1:85" ht="19.899999999999999" customHeight="1" x14ac:dyDescent="0.25">
      <c r="A63" s="19" t="str">
        <f t="shared" si="14"/>
        <v/>
      </c>
      <c r="B63" s="19" t="str">
        <f t="shared" si="15"/>
        <v/>
      </c>
      <c r="D63" s="8"/>
      <c r="E63" s="26"/>
      <c r="F63" s="26"/>
      <c r="G63" s="26"/>
      <c r="H63" s="97"/>
      <c r="I63" s="44"/>
      <c r="J63" s="8"/>
      <c r="K63" s="8"/>
      <c r="L63" s="8"/>
      <c r="M63" s="8"/>
      <c r="N63" s="8"/>
      <c r="O63" s="37"/>
      <c r="P63" s="4" t="str" cm="1">
        <f t="array" ref="P63">IFERROR(INDEX($A$13:$A$81,MATCH(0,COUNTIF($P$12:P62,$A$13:$A$81),0)),"")</f>
        <v/>
      </c>
      <c r="Q63" s="92" t="str">
        <f t="shared" si="16"/>
        <v/>
      </c>
      <c r="R63" s="93" t="str">
        <f t="shared" si="17"/>
        <v/>
      </c>
      <c r="S63" s="93" t="str">
        <f t="shared" si="18"/>
        <v/>
      </c>
      <c r="T63" s="93" t="str">
        <f t="shared" si="19"/>
        <v/>
      </c>
      <c r="U63" s="127" t="str">
        <f t="shared" si="38"/>
        <v/>
      </c>
      <c r="V63" s="46" t="str">
        <f t="shared" si="39"/>
        <v/>
      </c>
      <c r="W63" s="37"/>
      <c r="X63" s="18" t="str">
        <f t="array" ref="X63">IFERROR(IF(INDEX($H$13:$H$81,MATCH(0,COUNTIF($X$12:X62,$H$13:$H$81),0))=0,"",INDEX($H$13:$H$81,MATCH(0,COUNTIF($X$12:X62,$H$13:$H$81),0))),"")</f>
        <v/>
      </c>
      <c r="Y63" s="18" t="str">
        <f t="shared" si="40"/>
        <v/>
      </c>
      <c r="Z63" s="48" t="str">
        <f t="shared" si="20"/>
        <v/>
      </c>
      <c r="AA63" s="82"/>
      <c r="AB63" s="18" t="str">
        <f t="shared" si="21"/>
        <v/>
      </c>
      <c r="AC63" s="31" t="str">
        <f t="shared" si="22"/>
        <v/>
      </c>
      <c r="AD63" s="18" t="str">
        <f t="shared" si="23"/>
        <v/>
      </c>
      <c r="AE63" s="18" t="str">
        <f t="shared" si="24"/>
        <v/>
      </c>
      <c r="AF63" s="37"/>
      <c r="AG63" s="45" t="str">
        <f t="array" ref="AG63">IFERROR(IF(INDEX($B$13:$B$81,MATCH(0,COUNTIF($AG$12:AG62,$B$13:$B$81),0))=0,"",INDEX($B$13:$B$81,MATCH(0,COUNTIF($AG$12:AG62,$B$13:$B$81),0))),"")</f>
        <v/>
      </c>
      <c r="AH63" s="122" t="str">
        <f t="shared" si="41"/>
        <v/>
      </c>
      <c r="AI63" s="123" t="str">
        <f t="shared" si="42"/>
        <v/>
      </c>
      <c r="AJ63" s="102" t="str">
        <f>IFERROR(IF($AG63="","",SUMIFS([2]INPUTS!$F:$F,[2]INPUTS!$L:$L,$AG63,[2]INPUTS!$E:$E,$D$9)),"")</f>
        <v/>
      </c>
      <c r="AK63" s="12" t="str">
        <f t="shared" si="43"/>
        <v/>
      </c>
      <c r="AM63" s="109" t="str">
        <f t="shared" si="44"/>
        <v/>
      </c>
      <c r="AN63" s="108" t="str">
        <f t="shared" si="45"/>
        <v/>
      </c>
      <c r="AO63" s="101" t="str">
        <f>IF(AP63="","",_xlfn.XLOOKUP(CONCATENATE(AN63,"-",AP63),[3]INPUTS!$B:$B,[3]INPUTS!$N:$N))</f>
        <v/>
      </c>
      <c r="AP63" s="108" t="str">
        <f t="shared" si="46"/>
        <v/>
      </c>
      <c r="AQ63" s="99" t="str">
        <f>IF($F63="","",IF($L63="",_xlfn.XLOOKUP($D$9,[1]SCHE!$A:$A,[1]SCHE!$N:$N),$L63))</f>
        <v/>
      </c>
      <c r="AR63" s="99" t="str">
        <f t="shared" si="36"/>
        <v/>
      </c>
      <c r="AS63" s="47" t="str">
        <f t="shared" si="25"/>
        <v/>
      </c>
      <c r="AT63" s="9" t="str">
        <f t="shared" si="47"/>
        <v/>
      </c>
      <c r="AU63" s="94" t="str">
        <f>IF($AO63="","",IF($AT$3="",INDEX([3]INPUTS!$A:$BF,MATCH(CONCATENATE($AN63,"-",$AP63),[3]INPUTS!$B:$B,0),22),$AT$3))</f>
        <v/>
      </c>
      <c r="AV63" s="103" t="str">
        <f t="shared" si="48"/>
        <v/>
      </c>
      <c r="AW63" s="11" t="str">
        <f t="shared" si="49"/>
        <v/>
      </c>
      <c r="AX63" s="104" t="str">
        <f t="shared" si="26"/>
        <v/>
      </c>
      <c r="AY63" s="110" t="str">
        <f t="shared" si="37"/>
        <v/>
      </c>
      <c r="BE63" s="19" t="str">
        <f t="shared" si="27"/>
        <v/>
      </c>
      <c r="BR63" s="1" t="str">
        <f t="array" ref="BR63">IFERROR(IF(INDEX($B$13:$B$81,MATCH(0,COUNTIF($BR$12:BR62,$B$13:$B$81),0))=0,"",INDEX($B$13:$B$81,MATCH(0,COUNTIF($BR$12:BR62,$B$13:$B$81),0))),"")</f>
        <v/>
      </c>
      <c r="BS63" s="124" t="str">
        <f t="shared" si="50"/>
        <v/>
      </c>
      <c r="BT63" s="125" t="str">
        <f t="shared" si="51"/>
        <v/>
      </c>
      <c r="BU63" s="4" t="str">
        <f>IF(LINE2_DATA[[#This Row],[OP]]="","",INDEX(Sheet1!$G$2:$I$10,MATCH(LINE2_DATA[[#This Row],[OP]],Sheet1!$G$2:$G$10,0),3))</f>
        <v/>
      </c>
      <c r="BV63" s="4" t="str">
        <f t="shared" si="52"/>
        <v/>
      </c>
      <c r="BW63" s="4" t="str">
        <f t="shared" si="53"/>
        <v/>
      </c>
      <c r="BX63" s="4" t="str">
        <f t="shared" si="54"/>
        <v/>
      </c>
      <c r="BY63" s="4" t="str">
        <f t="shared" si="55"/>
        <v/>
      </c>
      <c r="BZ63" s="4" t="str">
        <f>IF(BR63="","",SUM(LINE2_DATA[[#This Row],[PRODUCED LBS]],LINE2_DATA[[#This Row],[SCRAP]]))</f>
        <v/>
      </c>
      <c r="CA63" s="4" t="str">
        <f>IF(BR63="","",ROUND(((LINE2_DATA[[#This Row],[SCRAP]]/LINE2_DATA[[#This Row],[TOTAL LBS]])*100),2))</f>
        <v/>
      </c>
      <c r="CB63" s="4" t="str">
        <f t="shared" si="56"/>
        <v/>
      </c>
      <c r="CC63" s="4" t="str">
        <f t="shared" si="57"/>
        <v/>
      </c>
      <c r="CD63" s="4" t="str">
        <f>IF(LINE2_DATA[[#This Row],[EFFECTIVE SPEED]]="","",(LINE2_DATA[[#This Row],[EFFECTIVE SPEED]]*LINE2_DATA[[#This Row],[AVAILABLE MINS]]))</f>
        <v/>
      </c>
      <c r="CE63" s="4" t="str">
        <f>IFERROR(IF(BR63="","",ROUND(((LINE2_DATA[[#This Row],[PRODUCED FT]]/LINE2_DATA[[#This Row],[PENT. PROD. CAP.]])*100),2)),"")</f>
        <v/>
      </c>
      <c r="CF63" s="125" t="str">
        <f>IF(LINE2_DATA[[#This Row],[DATE]]="","",75)</f>
        <v/>
      </c>
      <c r="CG63" s="125" t="str">
        <f>IF(LINE2_DATA[[#This Row],[DATE]]="","",10)</f>
        <v/>
      </c>
    </row>
    <row r="64" spans="1:85" ht="19.899999999999999" customHeight="1" x14ac:dyDescent="0.25">
      <c r="A64" s="19" t="str">
        <f t="shared" si="14"/>
        <v/>
      </c>
      <c r="B64" s="19" t="str">
        <f t="shared" si="15"/>
        <v/>
      </c>
      <c r="D64" s="26"/>
      <c r="E64" s="26"/>
      <c r="F64" s="26"/>
      <c r="G64" s="26"/>
      <c r="H64" s="97"/>
      <c r="I64" s="44"/>
      <c r="J64" s="8"/>
      <c r="K64" s="8"/>
      <c r="L64" s="8"/>
      <c r="M64" s="8"/>
      <c r="N64" s="8"/>
      <c r="O64" s="37"/>
      <c r="P64" s="4" t="str" cm="1">
        <f t="array" ref="P64">IFERROR(INDEX($A$13:$A$81,MATCH(0,COUNTIF($P$12:P63,$A$13:$A$81),0)),"")</f>
        <v/>
      </c>
      <c r="Q64" s="92" t="str">
        <f t="shared" si="16"/>
        <v/>
      </c>
      <c r="R64" s="93" t="str">
        <f t="shared" si="17"/>
        <v/>
      </c>
      <c r="S64" s="93" t="str">
        <f t="shared" si="18"/>
        <v/>
      </c>
      <c r="T64" s="93" t="str">
        <f t="shared" si="19"/>
        <v/>
      </c>
      <c r="U64" s="127" t="str">
        <f t="shared" si="38"/>
        <v/>
      </c>
      <c r="V64" s="46" t="str">
        <f t="shared" si="39"/>
        <v/>
      </c>
      <c r="W64" s="37"/>
      <c r="X64" s="18" t="str">
        <f t="array" ref="X64">IFERROR(IF(INDEX($H$13:$H$81,MATCH(0,COUNTIF($X$12:X63,$H$13:$H$81),0))=0,"",INDEX($H$13:$H$81,MATCH(0,COUNTIF($X$12:X63,$H$13:$H$81),0))),"")</f>
        <v/>
      </c>
      <c r="Y64" s="18" t="str">
        <f t="shared" si="40"/>
        <v/>
      </c>
      <c r="Z64" s="48" t="str">
        <f t="shared" si="20"/>
        <v/>
      </c>
      <c r="AA64" s="82"/>
      <c r="AB64" s="18" t="str">
        <f t="shared" si="21"/>
        <v/>
      </c>
      <c r="AC64" s="31" t="str">
        <f t="shared" si="22"/>
        <v/>
      </c>
      <c r="AD64" s="18" t="str">
        <f t="shared" si="23"/>
        <v/>
      </c>
      <c r="AE64" s="18" t="str">
        <f t="shared" si="24"/>
        <v/>
      </c>
      <c r="AF64" s="37"/>
      <c r="AG64" s="45" t="str">
        <f t="array" ref="AG64">IFERROR(IF(INDEX($B$13:$B$81,MATCH(0,COUNTIF($AG$12:AG63,$B$13:$B$81),0))=0,"",INDEX($B$13:$B$81,MATCH(0,COUNTIF($AG$12:AG63,$B$13:$B$81),0))),"")</f>
        <v/>
      </c>
      <c r="AH64" s="122" t="str">
        <f t="shared" si="41"/>
        <v/>
      </c>
      <c r="AI64" s="123" t="str">
        <f t="shared" si="42"/>
        <v/>
      </c>
      <c r="AJ64" s="102" t="str">
        <f>IFERROR(IF($AG64="","",SUMIFS([2]INPUTS!$F:$F,[2]INPUTS!$L:$L,$AG64,[2]INPUTS!$E:$E,$D$9)),"")</f>
        <v/>
      </c>
      <c r="AK64" s="12" t="str">
        <f t="shared" si="43"/>
        <v/>
      </c>
      <c r="AM64" s="109" t="str">
        <f t="shared" si="44"/>
        <v/>
      </c>
      <c r="AN64" s="108" t="str">
        <f t="shared" si="45"/>
        <v/>
      </c>
      <c r="AO64" s="101" t="str">
        <f>IF(AP64="","",_xlfn.XLOOKUP(CONCATENATE(AN64,"-",AP64),[3]INPUTS!$B:$B,[3]INPUTS!$N:$N))</f>
        <v/>
      </c>
      <c r="AP64" s="108" t="str">
        <f t="shared" si="46"/>
        <v/>
      </c>
      <c r="AQ64" s="99" t="str">
        <f>IF($F64="","",IF($L64="",_xlfn.XLOOKUP($D$9,[1]SCHE!$A:$A,[1]SCHE!$N:$N),$L64))</f>
        <v/>
      </c>
      <c r="AR64" s="99" t="str">
        <f t="shared" si="36"/>
        <v/>
      </c>
      <c r="AS64" s="47" t="str">
        <f t="shared" si="25"/>
        <v/>
      </c>
      <c r="AT64" s="9" t="str">
        <f t="shared" si="47"/>
        <v/>
      </c>
      <c r="AU64" s="94" t="str">
        <f>IF($AO64="","",IF($AT$3="",INDEX([3]INPUTS!$A:$BF,MATCH(CONCATENATE($AN64,"-",$AP64),[3]INPUTS!$B:$B,0),22),$AT$3))</f>
        <v/>
      </c>
      <c r="AV64" s="103" t="str">
        <f t="shared" si="48"/>
        <v/>
      </c>
      <c r="AW64" s="11" t="str">
        <f t="shared" si="49"/>
        <v/>
      </c>
      <c r="AX64" s="104" t="str">
        <f t="shared" si="26"/>
        <v/>
      </c>
      <c r="AY64" s="110" t="str">
        <f t="shared" si="37"/>
        <v/>
      </c>
      <c r="BE64" s="19" t="str">
        <f t="shared" si="27"/>
        <v/>
      </c>
      <c r="BR64" s="1" t="str">
        <f t="array" ref="BR64">IFERROR(IF(INDEX($B$13:$B$81,MATCH(0,COUNTIF($BR$12:BR63,$B$13:$B$81),0))=0,"",INDEX($B$13:$B$81,MATCH(0,COUNTIF($BR$12:BR63,$B$13:$B$81),0))),"")</f>
        <v/>
      </c>
      <c r="BS64" s="124" t="str">
        <f t="shared" si="50"/>
        <v/>
      </c>
      <c r="BT64" s="125" t="str">
        <f t="shared" si="51"/>
        <v/>
      </c>
      <c r="BU64" s="4" t="str">
        <f>IF(LINE2_DATA[[#This Row],[OP]]="","",INDEX(Sheet1!$G$2:$I$10,MATCH(LINE2_DATA[[#This Row],[OP]],Sheet1!$G$2:$G$10,0),3))</f>
        <v/>
      </c>
      <c r="BV64" s="4" t="str">
        <f t="shared" si="52"/>
        <v/>
      </c>
      <c r="BW64" s="4" t="str">
        <f t="shared" si="53"/>
        <v/>
      </c>
      <c r="BX64" s="4" t="str">
        <f t="shared" si="54"/>
        <v/>
      </c>
      <c r="BY64" s="4" t="str">
        <f t="shared" si="55"/>
        <v/>
      </c>
      <c r="BZ64" s="4" t="str">
        <f>IF(BR64="","",SUM(LINE2_DATA[[#This Row],[PRODUCED LBS]],LINE2_DATA[[#This Row],[SCRAP]]))</f>
        <v/>
      </c>
      <c r="CA64" s="4" t="str">
        <f>IF(BR64="","",ROUND(((LINE2_DATA[[#This Row],[SCRAP]]/LINE2_DATA[[#This Row],[TOTAL LBS]])*100),2))</f>
        <v/>
      </c>
      <c r="CB64" s="4" t="str">
        <f t="shared" si="56"/>
        <v/>
      </c>
      <c r="CC64" s="4" t="str">
        <f t="shared" si="57"/>
        <v/>
      </c>
      <c r="CD64" s="4" t="str">
        <f>IF(LINE2_DATA[[#This Row],[EFFECTIVE SPEED]]="","",(LINE2_DATA[[#This Row],[EFFECTIVE SPEED]]*LINE2_DATA[[#This Row],[AVAILABLE MINS]]))</f>
        <v/>
      </c>
      <c r="CE64" s="4" t="str">
        <f>IFERROR(IF(BR64="","",ROUND(((LINE2_DATA[[#This Row],[PRODUCED FT]]/LINE2_DATA[[#This Row],[PENT. PROD. CAP.]])*100),2)),"")</f>
        <v/>
      </c>
      <c r="CF64" s="125" t="str">
        <f>IF(LINE2_DATA[[#This Row],[DATE]]="","",75)</f>
        <v/>
      </c>
      <c r="CG64" s="125" t="str">
        <f>IF(LINE2_DATA[[#This Row],[DATE]]="","",10)</f>
        <v/>
      </c>
    </row>
    <row r="65" spans="1:85" ht="19.899999999999999" customHeight="1" x14ac:dyDescent="0.25">
      <c r="A65" s="19" t="str">
        <f t="shared" si="14"/>
        <v/>
      </c>
      <c r="B65" s="19" t="str">
        <f t="shared" si="15"/>
        <v/>
      </c>
      <c r="D65" s="26"/>
      <c r="E65" s="26"/>
      <c r="F65" s="26"/>
      <c r="G65" s="26"/>
      <c r="H65" s="97"/>
      <c r="I65" s="44"/>
      <c r="J65" s="8"/>
      <c r="K65" s="8"/>
      <c r="L65" s="8"/>
      <c r="M65" s="8"/>
      <c r="N65" s="8"/>
      <c r="O65" s="37"/>
      <c r="P65" s="4" t="str" cm="1">
        <f t="array" ref="P65">IFERROR(INDEX($A$13:$A$81,MATCH(0,COUNTIF($P$12:P64,$A$13:$A$81),0)),"")</f>
        <v/>
      </c>
      <c r="Q65" s="92" t="str">
        <f t="shared" si="16"/>
        <v/>
      </c>
      <c r="R65" s="93" t="str">
        <f t="shared" si="17"/>
        <v/>
      </c>
      <c r="S65" s="93" t="str">
        <f t="shared" si="18"/>
        <v/>
      </c>
      <c r="T65" s="93" t="str">
        <f t="shared" si="19"/>
        <v/>
      </c>
      <c r="U65" s="127" t="str">
        <f t="shared" si="38"/>
        <v/>
      </c>
      <c r="V65" s="46" t="str">
        <f t="shared" si="39"/>
        <v/>
      </c>
      <c r="W65" s="37"/>
      <c r="X65" s="18" t="str">
        <f t="array" ref="X65">IFERROR(IF(INDEX($H$13:$H$81,MATCH(0,COUNTIF($X$12:X64,$H$13:$H$81),0))=0,"",INDEX($H$13:$H$81,MATCH(0,COUNTIF($X$12:X64,$H$13:$H$81),0))),"")</f>
        <v/>
      </c>
      <c r="Y65" s="18" t="str">
        <f t="shared" si="40"/>
        <v/>
      </c>
      <c r="Z65" s="48" t="str">
        <f t="shared" si="20"/>
        <v/>
      </c>
      <c r="AA65" s="82"/>
      <c r="AB65" s="18" t="str">
        <f t="shared" si="21"/>
        <v/>
      </c>
      <c r="AC65" s="31" t="str">
        <f t="shared" si="22"/>
        <v/>
      </c>
      <c r="AD65" s="18" t="str">
        <f t="shared" si="23"/>
        <v/>
      </c>
      <c r="AE65" s="18" t="str">
        <f t="shared" si="24"/>
        <v/>
      </c>
      <c r="AF65" s="37"/>
      <c r="AG65" s="45" t="str">
        <f t="array" ref="AG65">IFERROR(IF(INDEX($B$13:$B$81,MATCH(0,COUNTIF($AG$12:AG64,$B$13:$B$81),0))=0,"",INDEX($B$13:$B$81,MATCH(0,COUNTIF($AG$12:AG64,$B$13:$B$81),0))),"")</f>
        <v/>
      </c>
      <c r="AH65" s="122" t="str">
        <f t="shared" si="41"/>
        <v/>
      </c>
      <c r="AI65" s="123" t="str">
        <f t="shared" si="42"/>
        <v/>
      </c>
      <c r="AJ65" s="102" t="str">
        <f>IFERROR(IF($AG65="","",SUMIFS([2]INPUTS!$F:$F,[2]INPUTS!$L:$L,$AG65,[2]INPUTS!$E:$E,$D$9)),"")</f>
        <v/>
      </c>
      <c r="AK65" s="12" t="str">
        <f t="shared" si="43"/>
        <v/>
      </c>
      <c r="AM65" s="109" t="str">
        <f t="shared" si="44"/>
        <v/>
      </c>
      <c r="AN65" s="108" t="str">
        <f t="shared" si="45"/>
        <v/>
      </c>
      <c r="AO65" s="101" t="str">
        <f>IF(AP65="","",_xlfn.XLOOKUP(CONCATENATE(AN65,"-",AP65),[3]INPUTS!$B:$B,[3]INPUTS!$N:$N))</f>
        <v/>
      </c>
      <c r="AP65" s="108" t="str">
        <f t="shared" si="46"/>
        <v/>
      </c>
      <c r="AQ65" s="99" t="str">
        <f>IF($F65="","",IF($L65="",_xlfn.XLOOKUP($D$9,[1]SCHE!$A:$A,[1]SCHE!$N:$N),$L65))</f>
        <v/>
      </c>
      <c r="AR65" s="99" t="str">
        <f t="shared" si="36"/>
        <v/>
      </c>
      <c r="AS65" s="47" t="str">
        <f t="shared" si="25"/>
        <v/>
      </c>
      <c r="AT65" s="9" t="str">
        <f t="shared" si="47"/>
        <v/>
      </c>
      <c r="AU65" s="94" t="str">
        <f>IF($AO65="","",IF($AT$3="",INDEX([3]INPUTS!$A:$BF,MATCH(CONCATENATE($AN65,"-",$AP65),[3]INPUTS!$B:$B,0),22),$AT$3))</f>
        <v/>
      </c>
      <c r="AV65" s="103" t="str">
        <f t="shared" si="48"/>
        <v/>
      </c>
      <c r="AW65" s="11" t="str">
        <f t="shared" si="49"/>
        <v/>
      </c>
      <c r="AX65" s="104" t="str">
        <f t="shared" si="26"/>
        <v/>
      </c>
      <c r="AY65" s="110" t="str">
        <f>IF($J65="","",$J65)</f>
        <v/>
      </c>
      <c r="BE65" s="19" t="str">
        <f t="shared" si="27"/>
        <v/>
      </c>
      <c r="BR65" s="1" t="str">
        <f t="array" ref="BR65">IFERROR(IF(INDEX($B$13:$B$81,MATCH(0,COUNTIF($BR$12:BR64,$B$13:$B$81),0))=0,"",INDEX($B$13:$B$81,MATCH(0,COUNTIF($BR$12:BR64,$B$13:$B$81),0))),"")</f>
        <v/>
      </c>
      <c r="BS65" s="124" t="str">
        <f t="shared" si="50"/>
        <v/>
      </c>
      <c r="BT65" s="125" t="str">
        <f t="shared" si="51"/>
        <v/>
      </c>
      <c r="BU65" s="4" t="str">
        <f>IF(LINE2_DATA[[#This Row],[OP]]="","",INDEX(Sheet1!$G$2:$I$10,MATCH(LINE2_DATA[[#This Row],[OP]],Sheet1!$G$2:$G$10,0),3))</f>
        <v/>
      </c>
      <c r="BV65" s="4" t="str">
        <f t="shared" si="52"/>
        <v/>
      </c>
      <c r="BW65" s="4" t="str">
        <f t="shared" si="53"/>
        <v/>
      </c>
      <c r="BX65" s="4" t="str">
        <f t="shared" si="54"/>
        <v/>
      </c>
      <c r="BY65" s="4" t="str">
        <f t="shared" si="55"/>
        <v/>
      </c>
      <c r="BZ65" s="4" t="str">
        <f>IF(BR65="","",SUM(LINE2_DATA[[#This Row],[PRODUCED LBS]],LINE2_DATA[[#This Row],[SCRAP]]))</f>
        <v/>
      </c>
      <c r="CA65" s="4" t="str">
        <f>IF(BR65="","",ROUND(((LINE2_DATA[[#This Row],[SCRAP]]/LINE2_DATA[[#This Row],[TOTAL LBS]])*100),2))</f>
        <v/>
      </c>
      <c r="CB65" s="4" t="str">
        <f t="shared" si="56"/>
        <v/>
      </c>
      <c r="CC65" s="4" t="str">
        <f t="shared" si="57"/>
        <v/>
      </c>
      <c r="CD65" s="4" t="str">
        <f>IF(LINE2_DATA[[#This Row],[EFFECTIVE SPEED]]="","",(LINE2_DATA[[#This Row],[EFFECTIVE SPEED]]*LINE2_DATA[[#This Row],[AVAILABLE MINS]]))</f>
        <v/>
      </c>
      <c r="CE65" s="4" t="str">
        <f>IFERROR(IF(BR65="","",ROUND(((LINE2_DATA[[#This Row],[PRODUCED FT]]/LINE2_DATA[[#This Row],[PENT. PROD. CAP.]])*100),2)),"")</f>
        <v/>
      </c>
      <c r="CF65" s="125" t="str">
        <f>IF(LINE2_DATA[[#This Row],[DATE]]="","",75)</f>
        <v/>
      </c>
      <c r="CG65" s="125" t="str">
        <f>IF(LINE2_DATA[[#This Row],[DATE]]="","",10)</f>
        <v/>
      </c>
    </row>
    <row r="66" spans="1:85" ht="19.899999999999999" customHeight="1" x14ac:dyDescent="0.25">
      <c r="A66" s="19" t="str">
        <f t="shared" si="14"/>
        <v/>
      </c>
      <c r="B66" s="19" t="str">
        <f t="shared" si="15"/>
        <v/>
      </c>
      <c r="D66" s="26"/>
      <c r="E66" s="26"/>
      <c r="F66" s="26"/>
      <c r="G66" s="26"/>
      <c r="H66" s="97"/>
      <c r="I66" s="44"/>
      <c r="J66" s="8"/>
      <c r="K66" s="8"/>
      <c r="L66" s="8"/>
      <c r="M66" s="8"/>
      <c r="N66" s="8"/>
      <c r="O66" s="37"/>
      <c r="P66" s="4" t="str" cm="1">
        <f t="array" ref="P66">IFERROR(INDEX($A$13:$A$81,MATCH(0,COUNTIF($P$12:P65,$A$13:$A$81),0)),"")</f>
        <v/>
      </c>
      <c r="Q66" s="92" t="str">
        <f t="shared" si="16"/>
        <v/>
      </c>
      <c r="R66" s="93" t="str">
        <f t="shared" si="17"/>
        <v/>
      </c>
      <c r="S66" s="93" t="str">
        <f t="shared" si="18"/>
        <v/>
      </c>
      <c r="T66" s="93" t="str">
        <f t="shared" si="19"/>
        <v/>
      </c>
      <c r="U66" s="127" t="str">
        <f t="shared" si="38"/>
        <v/>
      </c>
      <c r="V66" s="46" t="str">
        <f t="shared" si="39"/>
        <v/>
      </c>
      <c r="W66" s="37"/>
      <c r="X66" s="18" t="str">
        <f t="array" ref="X66">IFERROR(IF(INDEX($H$13:$H$81,MATCH(0,COUNTIF($X$12:X65,$H$13:$H$81),0))=0,"",INDEX($H$13:$H$81,MATCH(0,COUNTIF($X$12:X65,$H$13:$H$81),0))),"")</f>
        <v/>
      </c>
      <c r="Y66" s="18" t="str">
        <f t="shared" si="40"/>
        <v/>
      </c>
      <c r="Z66" s="48" t="str">
        <f t="shared" si="20"/>
        <v/>
      </c>
      <c r="AA66" s="82"/>
      <c r="AB66" s="18" t="str">
        <f t="shared" si="21"/>
        <v/>
      </c>
      <c r="AC66" s="31" t="str">
        <f t="shared" si="22"/>
        <v/>
      </c>
      <c r="AD66" s="18" t="str">
        <f t="shared" si="23"/>
        <v/>
      </c>
      <c r="AE66" s="18" t="str">
        <f t="shared" si="24"/>
        <v/>
      </c>
      <c r="AF66" s="37"/>
      <c r="AG66" s="45" t="str">
        <f t="array" ref="AG66">IFERROR(IF(INDEX($B$13:$B$81,MATCH(0,COUNTIF($AG$12:AG65,$B$13:$B$81),0))=0,"",INDEX($B$13:$B$81,MATCH(0,COUNTIF($AG$12:AG65,$B$13:$B$81),0))),"")</f>
        <v/>
      </c>
      <c r="AH66" s="122" t="str">
        <f t="shared" si="41"/>
        <v/>
      </c>
      <c r="AI66" s="123" t="str">
        <f t="shared" si="42"/>
        <v/>
      </c>
      <c r="AJ66" s="102" t="str">
        <f>IFERROR(IF($AG66="","",SUMIFS([2]INPUTS!$F:$F,[2]INPUTS!$L:$L,$AG66,[2]INPUTS!$E:$E,$D$9)),"")</f>
        <v/>
      </c>
      <c r="AK66" s="12" t="str">
        <f t="shared" si="43"/>
        <v/>
      </c>
      <c r="AM66" s="109" t="str">
        <f t="shared" si="44"/>
        <v/>
      </c>
      <c r="AN66" s="108" t="str">
        <f t="shared" si="45"/>
        <v/>
      </c>
      <c r="AO66" s="101" t="str">
        <f>IF(AP66="","",_xlfn.XLOOKUP(CONCATENATE(AN66,"-",AP66),[3]INPUTS!$B:$B,[3]INPUTS!$N:$N))</f>
        <v/>
      </c>
      <c r="AP66" s="108" t="str">
        <f t="shared" si="46"/>
        <v/>
      </c>
      <c r="AQ66" s="99" t="str">
        <f>IF($F66="","",IF($L66="",_xlfn.XLOOKUP($D$9,[1]SCHE!$A:$A,[1]SCHE!$N:$N),$L66))</f>
        <v/>
      </c>
      <c r="AR66" s="99" t="str">
        <f t="shared" si="36"/>
        <v/>
      </c>
      <c r="AS66" s="47" t="str">
        <f t="shared" si="25"/>
        <v/>
      </c>
      <c r="AT66" s="9" t="str">
        <f t="shared" si="47"/>
        <v/>
      </c>
      <c r="AU66" s="94" t="str">
        <f>IF($AO66="","",IF($AT$3="",INDEX([3]INPUTS!$A:$BF,MATCH(CONCATENATE($AN66,"-",$AP66),[3]INPUTS!$B:$B,0),22),$AT$3))</f>
        <v/>
      </c>
      <c r="AV66" s="103" t="str">
        <f t="shared" si="48"/>
        <v/>
      </c>
      <c r="AW66" s="11" t="str">
        <f t="shared" si="49"/>
        <v/>
      </c>
      <c r="AX66" s="104" t="str">
        <f t="shared" si="26"/>
        <v/>
      </c>
      <c r="AY66" s="110" t="str">
        <f t="shared" ref="AY66:AY81" si="58">IF($J66="","",$J66)</f>
        <v/>
      </c>
      <c r="BE66" s="19" t="str">
        <f t="shared" si="27"/>
        <v/>
      </c>
      <c r="BR66" s="1" t="str">
        <f t="array" ref="BR66">IFERROR(IF(INDEX($B$13:$B$81,MATCH(0,COUNTIF($BR$12:BR65,$B$13:$B$81),0))=0,"",INDEX($B$13:$B$81,MATCH(0,COUNTIF($BR$12:BR65,$B$13:$B$81),0))),"")</f>
        <v/>
      </c>
      <c r="BS66" s="124" t="str">
        <f t="shared" si="50"/>
        <v/>
      </c>
      <c r="BT66" s="125" t="str">
        <f t="shared" si="51"/>
        <v/>
      </c>
      <c r="BU66" s="4" t="str">
        <f>IF(LINE2_DATA[[#This Row],[OP]]="","",INDEX(Sheet1!$G$2:$I$10,MATCH(LINE2_DATA[[#This Row],[OP]],Sheet1!$G$2:$G$10,0),3))</f>
        <v/>
      </c>
      <c r="BV66" s="4" t="str">
        <f t="shared" si="52"/>
        <v/>
      </c>
      <c r="BW66" s="4" t="str">
        <f t="shared" si="53"/>
        <v/>
      </c>
      <c r="BX66" s="4" t="str">
        <f t="shared" si="54"/>
        <v/>
      </c>
      <c r="BY66" s="4" t="str">
        <f t="shared" si="55"/>
        <v/>
      </c>
      <c r="BZ66" s="4" t="str">
        <f>IF(BR66="","",SUM(LINE2_DATA[[#This Row],[PRODUCED LBS]],LINE2_DATA[[#This Row],[SCRAP]]))</f>
        <v/>
      </c>
      <c r="CA66" s="4" t="str">
        <f>IF(BR66="","",ROUND(((LINE2_DATA[[#This Row],[SCRAP]]/LINE2_DATA[[#This Row],[TOTAL LBS]])*100),2))</f>
        <v/>
      </c>
      <c r="CB66" s="4" t="str">
        <f t="shared" si="56"/>
        <v/>
      </c>
      <c r="CC66" s="4" t="str">
        <f t="shared" si="57"/>
        <v/>
      </c>
      <c r="CD66" s="4" t="str">
        <f>IF(LINE2_DATA[[#This Row],[EFFECTIVE SPEED]]="","",(LINE2_DATA[[#This Row],[EFFECTIVE SPEED]]*LINE2_DATA[[#This Row],[AVAILABLE MINS]]))</f>
        <v/>
      </c>
      <c r="CE66" s="4" t="str">
        <f>IFERROR(IF(BR66="","",ROUND(((LINE2_DATA[[#This Row],[PRODUCED FT]]/LINE2_DATA[[#This Row],[PENT. PROD. CAP.]])*100),2)),"")</f>
        <v/>
      </c>
      <c r="CF66" s="125" t="str">
        <f>IF(LINE2_DATA[[#This Row],[DATE]]="","",75)</f>
        <v/>
      </c>
      <c r="CG66" s="125" t="str">
        <f>IF(LINE2_DATA[[#This Row],[DATE]]="","",10)</f>
        <v/>
      </c>
    </row>
    <row r="67" spans="1:85" ht="19.899999999999999" customHeight="1" x14ac:dyDescent="0.25">
      <c r="A67" s="19" t="str">
        <f t="shared" si="14"/>
        <v/>
      </c>
      <c r="B67" s="19" t="str">
        <f t="shared" si="15"/>
        <v/>
      </c>
      <c r="D67" s="8"/>
      <c r="E67" s="8"/>
      <c r="F67" s="8"/>
      <c r="G67" s="8"/>
      <c r="H67" s="98"/>
      <c r="I67" s="44"/>
      <c r="J67" s="8"/>
      <c r="K67" s="8"/>
      <c r="L67" s="8"/>
      <c r="M67" s="8"/>
      <c r="N67" s="8"/>
      <c r="O67" s="37"/>
      <c r="P67" s="4" t="str" cm="1">
        <f t="array" ref="P67">IFERROR(INDEX($A$13:$A$81,MATCH(0,COUNTIF($P$12:P66,$A$13:$A$81),0)),"")</f>
        <v/>
      </c>
      <c r="Q67" s="92" t="str">
        <f t="shared" si="16"/>
        <v/>
      </c>
      <c r="R67" s="93" t="str">
        <f t="shared" si="17"/>
        <v/>
      </c>
      <c r="S67" s="93" t="str">
        <f t="shared" si="18"/>
        <v/>
      </c>
      <c r="T67" s="93" t="str">
        <f t="shared" si="19"/>
        <v/>
      </c>
      <c r="U67" s="127" t="str">
        <f t="shared" si="38"/>
        <v/>
      </c>
      <c r="V67" s="46" t="str">
        <f t="shared" si="39"/>
        <v/>
      </c>
      <c r="W67" s="37"/>
      <c r="X67" s="18" t="str">
        <f t="array" ref="X67">IFERROR(IF(INDEX($H$13:$H$81,MATCH(0,COUNTIF($X$12:X66,$H$13:$H$81),0))=0,"",INDEX($H$13:$H$81,MATCH(0,COUNTIF($X$12:X66,$H$13:$H$81),0))),"")</f>
        <v/>
      </c>
      <c r="Y67" s="18" t="str">
        <f t="shared" si="40"/>
        <v/>
      </c>
      <c r="Z67" s="48" t="str">
        <f t="shared" si="20"/>
        <v/>
      </c>
      <c r="AA67" s="82"/>
      <c r="AB67" s="18" t="str">
        <f t="shared" si="21"/>
        <v/>
      </c>
      <c r="AC67" s="31" t="str">
        <f t="shared" si="22"/>
        <v/>
      </c>
      <c r="AD67" s="18" t="str">
        <f t="shared" si="23"/>
        <v/>
      </c>
      <c r="AE67" s="18" t="str">
        <f t="shared" si="24"/>
        <v/>
      </c>
      <c r="AF67" s="37"/>
      <c r="AG67" s="45" t="str">
        <f t="array" ref="AG67">IFERROR(IF(INDEX($B$13:$B$81,MATCH(0,COUNTIF($AG$12:AG66,$B$13:$B$81),0))=0,"",INDEX($B$13:$B$81,MATCH(0,COUNTIF($AG$12:AG66,$B$13:$B$81),0))),"")</f>
        <v/>
      </c>
      <c r="AH67" s="122" t="str">
        <f t="shared" si="41"/>
        <v/>
      </c>
      <c r="AI67" s="123" t="str">
        <f t="shared" si="42"/>
        <v/>
      </c>
      <c r="AJ67" s="102" t="str">
        <f>IFERROR(IF($AG67="","",SUMIFS([2]INPUTS!$F:$F,[2]INPUTS!$L:$L,$AG67,[2]INPUTS!$E:$E,$D$9)),"")</f>
        <v/>
      </c>
      <c r="AK67" s="12" t="str">
        <f t="shared" si="43"/>
        <v/>
      </c>
      <c r="AM67" s="109" t="str">
        <f t="shared" si="44"/>
        <v/>
      </c>
      <c r="AN67" s="108" t="str">
        <f t="shared" si="45"/>
        <v/>
      </c>
      <c r="AO67" s="101" t="str">
        <f>IF(AP67="","",_xlfn.XLOOKUP(CONCATENATE(AN67,"-",AP67),[3]INPUTS!$B:$B,[3]INPUTS!$N:$N))</f>
        <v/>
      </c>
      <c r="AP67" s="108" t="str">
        <f t="shared" si="46"/>
        <v/>
      </c>
      <c r="AQ67" s="99" t="str">
        <f>IF($F67="","",IF($L67="",_xlfn.XLOOKUP($D$9,[1]SCHE!$A:$A,[1]SCHE!$N:$N),$L67))</f>
        <v/>
      </c>
      <c r="AR67" s="99" t="str">
        <f t="shared" si="36"/>
        <v/>
      </c>
      <c r="AS67" s="47" t="str">
        <f t="shared" si="25"/>
        <v/>
      </c>
      <c r="AT67" s="9" t="str">
        <f t="shared" si="47"/>
        <v/>
      </c>
      <c r="AU67" s="94" t="str">
        <f>IF($AO67="","",IF($AT$3="",INDEX([3]INPUTS!$A:$BF,MATCH(CONCATENATE($AN67,"-",$AP67),[3]INPUTS!$B:$B,0),22),$AT$3))</f>
        <v/>
      </c>
      <c r="AV67" s="103" t="str">
        <f t="shared" si="48"/>
        <v/>
      </c>
      <c r="AW67" s="11" t="str">
        <f t="shared" si="49"/>
        <v/>
      </c>
      <c r="AX67" s="104" t="str">
        <f t="shared" si="26"/>
        <v/>
      </c>
      <c r="AY67" s="110" t="str">
        <f t="shared" si="58"/>
        <v/>
      </c>
      <c r="BE67" s="19" t="str">
        <f t="shared" si="27"/>
        <v/>
      </c>
      <c r="BR67" s="1" t="str">
        <f t="array" ref="BR67">IFERROR(IF(INDEX($B$13:$B$81,MATCH(0,COUNTIF($BR$12:BR66,$B$13:$B$81),0))=0,"",INDEX($B$13:$B$81,MATCH(0,COUNTIF($BR$12:BR66,$B$13:$B$81),0))),"")</f>
        <v/>
      </c>
      <c r="BS67" s="124" t="str">
        <f t="shared" si="50"/>
        <v/>
      </c>
      <c r="BT67" s="125" t="str">
        <f t="shared" si="51"/>
        <v/>
      </c>
      <c r="BU67" s="4" t="str">
        <f>IF(LINE2_DATA[[#This Row],[OP]]="","",INDEX(Sheet1!$G$2:$I$10,MATCH(LINE2_DATA[[#This Row],[OP]],Sheet1!$G$2:$G$10,0),3))</f>
        <v/>
      </c>
      <c r="BV67" s="4" t="str">
        <f t="shared" si="52"/>
        <v/>
      </c>
      <c r="BW67" s="4" t="str">
        <f t="shared" si="53"/>
        <v/>
      </c>
      <c r="BX67" s="4" t="str">
        <f t="shared" si="54"/>
        <v/>
      </c>
      <c r="BY67" s="4" t="str">
        <f t="shared" si="55"/>
        <v/>
      </c>
      <c r="BZ67" s="4" t="str">
        <f>IF(BR67="","",SUM(LINE2_DATA[[#This Row],[PRODUCED LBS]],LINE2_DATA[[#This Row],[SCRAP]]))</f>
        <v/>
      </c>
      <c r="CA67" s="4" t="str">
        <f>IF(BR67="","",ROUND(((LINE2_DATA[[#This Row],[SCRAP]]/LINE2_DATA[[#This Row],[TOTAL LBS]])*100),2))</f>
        <v/>
      </c>
      <c r="CB67" s="4" t="str">
        <f t="shared" si="56"/>
        <v/>
      </c>
      <c r="CC67" s="4" t="str">
        <f t="shared" si="57"/>
        <v/>
      </c>
      <c r="CD67" s="4" t="str">
        <f>IF(LINE2_DATA[[#This Row],[EFFECTIVE SPEED]]="","",(LINE2_DATA[[#This Row],[EFFECTIVE SPEED]]*LINE2_DATA[[#This Row],[AVAILABLE MINS]]))</f>
        <v/>
      </c>
      <c r="CE67" s="4" t="str">
        <f>IFERROR(IF(BR67="","",ROUND(((LINE2_DATA[[#This Row],[PRODUCED FT]]/LINE2_DATA[[#This Row],[PENT. PROD. CAP.]])*100),2)),"")</f>
        <v/>
      </c>
      <c r="CF67" s="125" t="str">
        <f>IF(LINE2_DATA[[#This Row],[DATE]]="","",75)</f>
        <v/>
      </c>
      <c r="CG67" s="125" t="str">
        <f>IF(LINE2_DATA[[#This Row],[DATE]]="","",10)</f>
        <v/>
      </c>
    </row>
    <row r="68" spans="1:85" ht="19.899999999999999" customHeight="1" x14ac:dyDescent="0.25">
      <c r="A68" s="19" t="str">
        <f t="shared" si="14"/>
        <v/>
      </c>
      <c r="B68" s="19" t="str">
        <f t="shared" si="15"/>
        <v/>
      </c>
      <c r="D68" s="8"/>
      <c r="E68" s="8"/>
      <c r="F68" s="8"/>
      <c r="G68" s="8"/>
      <c r="H68" s="98"/>
      <c r="I68" s="44"/>
      <c r="J68" s="8"/>
      <c r="K68" s="8"/>
      <c r="L68" s="8"/>
      <c r="M68" s="8"/>
      <c r="N68" s="8"/>
      <c r="O68" s="37"/>
      <c r="P68" s="4" t="str" cm="1">
        <f t="array" ref="P68">IFERROR(INDEX($A$13:$A$81,MATCH(0,COUNTIF($P$12:P67,$A$13:$A$81),0)),"")</f>
        <v/>
      </c>
      <c r="Q68" s="92" t="str">
        <f t="shared" si="16"/>
        <v/>
      </c>
      <c r="R68" s="93" t="str">
        <f t="shared" si="17"/>
        <v/>
      </c>
      <c r="S68" s="93" t="str">
        <f t="shared" si="18"/>
        <v/>
      </c>
      <c r="T68" s="93" t="str">
        <f t="shared" si="19"/>
        <v/>
      </c>
      <c r="U68" s="127" t="str">
        <f t="shared" si="38"/>
        <v/>
      </c>
      <c r="V68" s="46" t="str">
        <f t="shared" si="39"/>
        <v/>
      </c>
      <c r="W68" s="37"/>
      <c r="X68" s="18" t="str">
        <f t="array" ref="X68">IFERROR(IF(INDEX($H$13:$H$81,MATCH(0,COUNTIF($X$12:X67,$H$13:$H$81),0))=0,"",INDEX($H$13:$H$81,MATCH(0,COUNTIF($X$12:X67,$H$13:$H$81),0))),"")</f>
        <v/>
      </c>
      <c r="Y68" s="18" t="str">
        <f t="shared" si="40"/>
        <v/>
      </c>
      <c r="Z68" s="48" t="str">
        <f t="shared" si="20"/>
        <v/>
      </c>
      <c r="AA68" s="82"/>
      <c r="AB68" s="18" t="str">
        <f t="shared" si="21"/>
        <v/>
      </c>
      <c r="AC68" s="31" t="str">
        <f t="shared" si="22"/>
        <v/>
      </c>
      <c r="AD68" s="18" t="str">
        <f t="shared" si="23"/>
        <v/>
      </c>
      <c r="AE68" s="18" t="str">
        <f t="shared" si="24"/>
        <v/>
      </c>
      <c r="AF68" s="37"/>
      <c r="AG68" s="45" t="str">
        <f t="array" ref="AG68">IFERROR(IF(INDEX($B$13:$B$81,MATCH(0,COUNTIF($AG$12:AG67,$B$13:$B$81),0))=0,"",INDEX($B$13:$B$81,MATCH(0,COUNTIF($AG$12:AG67,$B$13:$B$81),0))),"")</f>
        <v/>
      </c>
      <c r="AH68" s="122" t="str">
        <f t="shared" si="41"/>
        <v/>
      </c>
      <c r="AI68" s="123" t="str">
        <f t="shared" si="42"/>
        <v/>
      </c>
      <c r="AJ68" s="102" t="str">
        <f>IFERROR(IF($AG68="","",SUMIFS([2]INPUTS!$F:$F,[2]INPUTS!$L:$L,$AG68,[2]INPUTS!$E:$E,$D$9)),"")</f>
        <v/>
      </c>
      <c r="AK68" s="12" t="str">
        <f t="shared" si="43"/>
        <v/>
      </c>
      <c r="AM68" s="109" t="str">
        <f t="shared" si="44"/>
        <v/>
      </c>
      <c r="AN68" s="108" t="str">
        <f t="shared" si="45"/>
        <v/>
      </c>
      <c r="AO68" s="101" t="str">
        <f>IF(AP68="","",_xlfn.XLOOKUP(CONCATENATE(AN68,"-",AP68),[3]INPUTS!$B:$B,[3]INPUTS!$N:$N))</f>
        <v/>
      </c>
      <c r="AP68" s="108" t="str">
        <f t="shared" si="46"/>
        <v/>
      </c>
      <c r="AQ68" s="99" t="str">
        <f>IF($F68="","",IF($L68="",_xlfn.XLOOKUP($D$9,[1]SCHE!$A:$A,[1]SCHE!$N:$N),$L68))</f>
        <v/>
      </c>
      <c r="AR68" s="99" t="str">
        <f t="shared" si="36"/>
        <v/>
      </c>
      <c r="AS68" s="47" t="str">
        <f t="shared" si="25"/>
        <v/>
      </c>
      <c r="AT68" s="9" t="str">
        <f t="shared" si="47"/>
        <v/>
      </c>
      <c r="AU68" s="94" t="str">
        <f>IF($AO68="","",IF($AT$3="",INDEX([3]INPUTS!$A:$BF,MATCH(CONCATENATE($AN68,"-",$AP68),[3]INPUTS!$B:$B,0),22),$AT$3))</f>
        <v/>
      </c>
      <c r="AV68" s="103" t="str">
        <f t="shared" si="48"/>
        <v/>
      </c>
      <c r="AW68" s="11" t="str">
        <f t="shared" si="49"/>
        <v/>
      </c>
      <c r="AX68" s="104" t="str">
        <f t="shared" si="26"/>
        <v/>
      </c>
      <c r="AY68" s="110" t="str">
        <f t="shared" si="58"/>
        <v/>
      </c>
      <c r="BE68" s="19" t="str">
        <f t="shared" si="27"/>
        <v/>
      </c>
      <c r="BR68" s="1" t="str">
        <f t="array" ref="BR68">IFERROR(IF(INDEX($B$13:$B$81,MATCH(0,COUNTIF($BR$12:BR67,$B$13:$B$81),0))=0,"",INDEX($B$13:$B$81,MATCH(0,COUNTIF($BR$12:BR67,$B$13:$B$81),0))),"")</f>
        <v/>
      </c>
      <c r="BS68" s="124" t="str">
        <f t="shared" si="50"/>
        <v/>
      </c>
      <c r="BT68" s="125" t="str">
        <f t="shared" si="51"/>
        <v/>
      </c>
      <c r="BU68" s="4" t="str">
        <f>IF(LINE2_DATA[[#This Row],[OP]]="","",INDEX(Sheet1!$G$2:$I$10,MATCH(LINE2_DATA[[#This Row],[OP]],Sheet1!$G$2:$G$10,0),3))</f>
        <v/>
      </c>
      <c r="BV68" s="4" t="str">
        <f t="shared" si="52"/>
        <v/>
      </c>
      <c r="BW68" s="4" t="str">
        <f t="shared" si="53"/>
        <v/>
      </c>
      <c r="BX68" s="4" t="str">
        <f t="shared" si="54"/>
        <v/>
      </c>
      <c r="BY68" s="4" t="str">
        <f t="shared" si="55"/>
        <v/>
      </c>
      <c r="BZ68" s="4" t="str">
        <f>IF(BR68="","",SUM(LINE2_DATA[[#This Row],[PRODUCED LBS]],LINE2_DATA[[#This Row],[SCRAP]]))</f>
        <v/>
      </c>
      <c r="CA68" s="4" t="str">
        <f>IF(BR68="","",ROUND(((LINE2_DATA[[#This Row],[SCRAP]]/LINE2_DATA[[#This Row],[TOTAL LBS]])*100),2))</f>
        <v/>
      </c>
      <c r="CB68" s="4" t="str">
        <f t="shared" si="56"/>
        <v/>
      </c>
      <c r="CC68" s="4" t="str">
        <f t="shared" si="57"/>
        <v/>
      </c>
      <c r="CD68" s="4" t="str">
        <f>IF(LINE2_DATA[[#This Row],[EFFECTIVE SPEED]]="","",(LINE2_DATA[[#This Row],[EFFECTIVE SPEED]]*LINE2_DATA[[#This Row],[AVAILABLE MINS]]))</f>
        <v/>
      </c>
      <c r="CE68" s="4" t="str">
        <f>IFERROR(IF(BR68="","",ROUND(((LINE2_DATA[[#This Row],[PRODUCED FT]]/LINE2_DATA[[#This Row],[PENT. PROD. CAP.]])*100),2)),"")</f>
        <v/>
      </c>
      <c r="CF68" s="125" t="str">
        <f>IF(LINE2_DATA[[#This Row],[DATE]]="","",75)</f>
        <v/>
      </c>
      <c r="CG68" s="125" t="str">
        <f>IF(LINE2_DATA[[#This Row],[DATE]]="","",10)</f>
        <v/>
      </c>
    </row>
    <row r="69" spans="1:85" ht="19.899999999999999" customHeight="1" x14ac:dyDescent="0.25">
      <c r="A69" s="19" t="str">
        <f t="shared" si="14"/>
        <v/>
      </c>
      <c r="B69" s="19" t="str">
        <f t="shared" si="15"/>
        <v/>
      </c>
      <c r="D69" s="8"/>
      <c r="E69" s="8"/>
      <c r="F69" s="8"/>
      <c r="G69" s="8"/>
      <c r="H69" s="98"/>
      <c r="I69" s="44"/>
      <c r="J69" s="8"/>
      <c r="K69" s="8"/>
      <c r="L69" s="8"/>
      <c r="M69" s="8"/>
      <c r="N69" s="8"/>
      <c r="O69" s="37"/>
      <c r="P69" s="4" t="str" cm="1">
        <f t="array" ref="P69">IFERROR(INDEX($A$13:$A$81,MATCH(0,COUNTIF($P$12:P68,$A$13:$A$81),0)),"")</f>
        <v/>
      </c>
      <c r="Q69" s="92" t="str">
        <f t="shared" si="16"/>
        <v/>
      </c>
      <c r="R69" s="93" t="str">
        <f t="shared" si="17"/>
        <v/>
      </c>
      <c r="S69" s="93" t="str">
        <f t="shared" si="18"/>
        <v/>
      </c>
      <c r="T69" s="93" t="str">
        <f t="shared" si="19"/>
        <v/>
      </c>
      <c r="U69" s="127" t="str">
        <f t="shared" si="38"/>
        <v/>
      </c>
      <c r="V69" s="46" t="str">
        <f t="shared" si="39"/>
        <v/>
      </c>
      <c r="W69" s="37"/>
      <c r="X69" s="18" t="str">
        <f t="array" ref="X69">IFERROR(IF(INDEX($H$13:$H$81,MATCH(0,COUNTIF($X$12:X68,$H$13:$H$81),0))=0,"",INDEX($H$13:$H$81,MATCH(0,COUNTIF($X$12:X68,$H$13:$H$81),0))),"")</f>
        <v/>
      </c>
      <c r="Y69" s="18" t="str">
        <f t="shared" si="40"/>
        <v/>
      </c>
      <c r="Z69" s="48" t="str">
        <f t="shared" si="20"/>
        <v/>
      </c>
      <c r="AA69" s="82"/>
      <c r="AB69" s="18" t="str">
        <f t="shared" si="21"/>
        <v/>
      </c>
      <c r="AC69" s="31" t="str">
        <f t="shared" si="22"/>
        <v/>
      </c>
      <c r="AD69" s="18" t="str">
        <f t="shared" si="23"/>
        <v/>
      </c>
      <c r="AE69" s="18" t="str">
        <f t="shared" si="24"/>
        <v/>
      </c>
      <c r="AF69" s="37"/>
      <c r="AG69" s="45" t="str">
        <f t="array" ref="AG69">IFERROR(IF(INDEX($B$13:$B$81,MATCH(0,COUNTIF($AG$12:AG68,$B$13:$B$81),0))=0,"",INDEX($B$13:$B$81,MATCH(0,COUNTIF($AG$12:AG68,$B$13:$B$81),0))),"")</f>
        <v/>
      </c>
      <c r="AH69" s="122" t="str">
        <f t="shared" si="41"/>
        <v/>
      </c>
      <c r="AI69" s="123" t="str">
        <f t="shared" si="42"/>
        <v/>
      </c>
      <c r="AJ69" s="102" t="str">
        <f>IFERROR(IF($AG69="","",SUMIFS([2]INPUTS!$F:$F,[2]INPUTS!$L:$L,$AG69,[2]INPUTS!$E:$E,$D$9)),"")</f>
        <v/>
      </c>
      <c r="AK69" s="12" t="str">
        <f t="shared" si="43"/>
        <v/>
      </c>
      <c r="AM69" s="109" t="str">
        <f t="shared" si="44"/>
        <v/>
      </c>
      <c r="AN69" s="108" t="str">
        <f t="shared" si="45"/>
        <v/>
      </c>
      <c r="AO69" s="101" t="str">
        <f>IF(AP69="","",_xlfn.XLOOKUP(CONCATENATE(AN69,"-",AP69),[3]INPUTS!$B:$B,[3]INPUTS!$N:$N))</f>
        <v/>
      </c>
      <c r="AP69" s="108" t="str">
        <f t="shared" si="46"/>
        <v/>
      </c>
      <c r="AQ69" s="99" t="str">
        <f>IF($F69="","",IF($L69="",_xlfn.XLOOKUP($D$9,[1]SCHE!$A:$A,[1]SCHE!$N:$N),$L69))</f>
        <v/>
      </c>
      <c r="AR69" s="99" t="str">
        <f t="shared" si="36"/>
        <v/>
      </c>
      <c r="AS69" s="47" t="str">
        <f t="shared" si="25"/>
        <v/>
      </c>
      <c r="AT69" s="9" t="str">
        <f t="shared" si="47"/>
        <v/>
      </c>
      <c r="AU69" s="94" t="str">
        <f>IF($AO69="","",IF($AT$3="",INDEX([3]INPUTS!$A:$BF,MATCH(CONCATENATE($AN69,"-",$AP69),[3]INPUTS!$B:$B,0),22),$AT$3))</f>
        <v/>
      </c>
      <c r="AV69" s="103" t="str">
        <f t="shared" si="48"/>
        <v/>
      </c>
      <c r="AW69" s="11" t="str">
        <f t="shared" si="49"/>
        <v/>
      </c>
      <c r="AX69" s="104" t="str">
        <f t="shared" si="26"/>
        <v/>
      </c>
      <c r="AY69" s="110" t="str">
        <f t="shared" si="58"/>
        <v/>
      </c>
      <c r="BE69" s="19" t="str">
        <f t="shared" si="27"/>
        <v/>
      </c>
      <c r="BR69" s="1" t="str">
        <f t="array" ref="BR69">IFERROR(IF(INDEX($B$13:$B$81,MATCH(0,COUNTIF($BR$12:BR68,$B$13:$B$81),0))=0,"",INDEX($B$13:$B$81,MATCH(0,COUNTIF($BR$12:BR68,$B$13:$B$81),0))),"")</f>
        <v/>
      </c>
      <c r="BS69" s="124" t="str">
        <f t="shared" si="50"/>
        <v/>
      </c>
      <c r="BT69" s="125" t="str">
        <f t="shared" si="51"/>
        <v/>
      </c>
      <c r="BU69" s="4" t="str">
        <f>IF(LINE2_DATA[[#This Row],[OP]]="","",INDEX(Sheet1!$G$2:$I$10,MATCH(LINE2_DATA[[#This Row],[OP]],Sheet1!$G$2:$G$10,0),3))</f>
        <v/>
      </c>
      <c r="BV69" s="4" t="str">
        <f t="shared" si="52"/>
        <v/>
      </c>
      <c r="BW69" s="4" t="str">
        <f t="shared" si="53"/>
        <v/>
      </c>
      <c r="BX69" s="4" t="str">
        <f t="shared" si="54"/>
        <v/>
      </c>
      <c r="BY69" s="4" t="str">
        <f t="shared" si="55"/>
        <v/>
      </c>
      <c r="BZ69" s="4" t="str">
        <f>IF(BR69="","",SUM(LINE2_DATA[[#This Row],[PRODUCED LBS]],LINE2_DATA[[#This Row],[SCRAP]]))</f>
        <v/>
      </c>
      <c r="CA69" s="4" t="str">
        <f>IF(BR69="","",ROUND(((LINE2_DATA[[#This Row],[SCRAP]]/LINE2_DATA[[#This Row],[TOTAL LBS]])*100),2))</f>
        <v/>
      </c>
      <c r="CB69" s="4" t="str">
        <f t="shared" si="56"/>
        <v/>
      </c>
      <c r="CC69" s="4" t="str">
        <f t="shared" si="57"/>
        <v/>
      </c>
      <c r="CD69" s="4" t="str">
        <f>IF(LINE2_DATA[[#This Row],[EFFECTIVE SPEED]]="","",(LINE2_DATA[[#This Row],[EFFECTIVE SPEED]]*LINE2_DATA[[#This Row],[AVAILABLE MINS]]))</f>
        <v/>
      </c>
      <c r="CE69" s="4" t="str">
        <f>IFERROR(IF(BR69="","",ROUND(((LINE2_DATA[[#This Row],[PRODUCED FT]]/LINE2_DATA[[#This Row],[PENT. PROD. CAP.]])*100),2)),"")</f>
        <v/>
      </c>
      <c r="CF69" s="125" t="str">
        <f>IF(LINE2_DATA[[#This Row],[DATE]]="","",75)</f>
        <v/>
      </c>
      <c r="CG69" s="125" t="str">
        <f>IF(LINE2_DATA[[#This Row],[DATE]]="","",10)</f>
        <v/>
      </c>
    </row>
    <row r="70" spans="1:85" ht="19.899999999999999" customHeight="1" x14ac:dyDescent="0.25">
      <c r="A70" s="19" t="str">
        <f t="shared" si="14"/>
        <v/>
      </c>
      <c r="B70" s="19" t="str">
        <f t="shared" si="15"/>
        <v/>
      </c>
      <c r="D70" s="8"/>
      <c r="E70" s="8"/>
      <c r="F70" s="8"/>
      <c r="G70" s="8"/>
      <c r="H70" s="98"/>
      <c r="I70" s="44"/>
      <c r="J70" s="8"/>
      <c r="K70" s="8"/>
      <c r="L70" s="8"/>
      <c r="M70" s="8"/>
      <c r="N70" s="8"/>
      <c r="O70" s="37"/>
      <c r="P70" s="4" t="str" cm="1">
        <f t="array" ref="P70">IFERROR(INDEX($A$13:$A$81,MATCH(0,COUNTIF($P$12:P69,$A$13:$A$81),0)),"")</f>
        <v/>
      </c>
      <c r="Q70" s="92" t="str">
        <f t="shared" si="16"/>
        <v/>
      </c>
      <c r="R70" s="93" t="str">
        <f t="shared" si="17"/>
        <v/>
      </c>
      <c r="S70" s="93" t="str">
        <f t="shared" si="18"/>
        <v/>
      </c>
      <c r="T70" s="93" t="str">
        <f t="shared" si="19"/>
        <v/>
      </c>
      <c r="U70" s="127" t="str">
        <f t="shared" si="38"/>
        <v/>
      </c>
      <c r="V70" s="46" t="str">
        <f t="shared" si="39"/>
        <v/>
      </c>
      <c r="W70" s="37"/>
      <c r="X70" s="18" t="str">
        <f t="array" ref="X70">IFERROR(IF(INDEX($H$13:$H$81,MATCH(0,COUNTIF($X$12:X69,$H$13:$H$81),0))=0,"",INDEX($H$13:$H$81,MATCH(0,COUNTIF($X$12:X69,$H$13:$H$81),0))),"")</f>
        <v/>
      </c>
      <c r="Y70" s="18" t="str">
        <f t="shared" si="40"/>
        <v/>
      </c>
      <c r="Z70" s="48" t="str">
        <f t="shared" si="20"/>
        <v/>
      </c>
      <c r="AA70" s="82"/>
      <c r="AB70" s="18" t="str">
        <f t="shared" si="21"/>
        <v/>
      </c>
      <c r="AC70" s="31" t="str">
        <f t="shared" si="22"/>
        <v/>
      </c>
      <c r="AD70" s="18" t="str">
        <f t="shared" si="23"/>
        <v/>
      </c>
      <c r="AE70" s="18" t="str">
        <f t="shared" si="24"/>
        <v/>
      </c>
      <c r="AF70" s="37"/>
      <c r="AG70" s="45" t="str">
        <f t="array" ref="AG70">IFERROR(IF(INDEX($B$13:$B$81,MATCH(0,COUNTIF($AG$12:AG69,$B$13:$B$81),0))=0,"",INDEX($B$13:$B$81,MATCH(0,COUNTIF($AG$12:AG69,$B$13:$B$81),0))),"")</f>
        <v/>
      </c>
      <c r="AH70" s="122" t="str">
        <f t="shared" si="41"/>
        <v/>
      </c>
      <c r="AI70" s="123" t="str">
        <f t="shared" si="42"/>
        <v/>
      </c>
      <c r="AJ70" s="102" t="str">
        <f>IFERROR(IF($AG70="","",SUMIFS([2]INPUTS!$F:$F,[2]INPUTS!$L:$L,$AG70,[2]INPUTS!$E:$E,$D$9)),"")</f>
        <v/>
      </c>
      <c r="AK70" s="12" t="str">
        <f t="shared" si="43"/>
        <v/>
      </c>
      <c r="AM70" s="109" t="str">
        <f t="shared" si="44"/>
        <v/>
      </c>
      <c r="AN70" s="108" t="str">
        <f t="shared" si="45"/>
        <v/>
      </c>
      <c r="AO70" s="101" t="str">
        <f>IF(AP70="","",_xlfn.XLOOKUP(CONCATENATE(AN70,"-",AP70),[3]INPUTS!$B:$B,[3]INPUTS!$N:$N))</f>
        <v/>
      </c>
      <c r="AP70" s="108" t="str">
        <f t="shared" si="46"/>
        <v/>
      </c>
      <c r="AQ70" s="99" t="str">
        <f>IF($F70="","",IF($L70="",_xlfn.XLOOKUP($D$9,[1]SCHE!$A:$A,[1]SCHE!$N:$N),$L70))</f>
        <v/>
      </c>
      <c r="AR70" s="99" t="str">
        <f t="shared" si="36"/>
        <v/>
      </c>
      <c r="AS70" s="47" t="str">
        <f t="shared" si="25"/>
        <v/>
      </c>
      <c r="AT70" s="9" t="str">
        <f t="shared" si="47"/>
        <v/>
      </c>
      <c r="AU70" s="94" t="str">
        <f>IF($AO70="","",IF($AT$3="",INDEX([3]INPUTS!$A:$BF,MATCH(CONCATENATE($AN70,"-",$AP70),[3]INPUTS!$B:$B,0),22),$AT$3))</f>
        <v/>
      </c>
      <c r="AV70" s="103" t="str">
        <f t="shared" si="48"/>
        <v/>
      </c>
      <c r="AW70" s="11" t="str">
        <f t="shared" si="49"/>
        <v/>
      </c>
      <c r="AX70" s="104" t="str">
        <f t="shared" si="26"/>
        <v/>
      </c>
      <c r="AY70" s="110" t="str">
        <f t="shared" si="58"/>
        <v/>
      </c>
      <c r="BE70" s="19" t="str">
        <f t="shared" si="27"/>
        <v/>
      </c>
      <c r="BR70" s="1" t="str">
        <f t="array" ref="BR70">IFERROR(IF(INDEX($B$13:$B$81,MATCH(0,COUNTIF($BR$12:BR69,$B$13:$B$81),0))=0,"",INDEX($B$13:$B$81,MATCH(0,COUNTIF($BR$12:BR69,$B$13:$B$81),0))),"")</f>
        <v/>
      </c>
      <c r="BS70" s="124" t="str">
        <f t="shared" si="50"/>
        <v/>
      </c>
      <c r="BT70" s="125" t="str">
        <f t="shared" si="51"/>
        <v/>
      </c>
      <c r="BU70" s="4" t="str">
        <f>IF(LINE2_DATA[[#This Row],[OP]]="","",INDEX(Sheet1!$G$2:$I$10,MATCH(LINE2_DATA[[#This Row],[OP]],Sheet1!$G$2:$G$10,0),3))</f>
        <v/>
      </c>
      <c r="BV70" s="4" t="str">
        <f t="shared" si="52"/>
        <v/>
      </c>
      <c r="BW70" s="4" t="str">
        <f t="shared" si="53"/>
        <v/>
      </c>
      <c r="BX70" s="4" t="str">
        <f t="shared" si="54"/>
        <v/>
      </c>
      <c r="BY70" s="4" t="str">
        <f t="shared" si="55"/>
        <v/>
      </c>
      <c r="BZ70" s="4" t="str">
        <f>IF(BR70="","",SUM(LINE2_DATA[[#This Row],[PRODUCED LBS]],LINE2_DATA[[#This Row],[SCRAP]]))</f>
        <v/>
      </c>
      <c r="CA70" s="4" t="str">
        <f>IF(BR70="","",ROUND(((LINE2_DATA[[#This Row],[SCRAP]]/LINE2_DATA[[#This Row],[TOTAL LBS]])*100),2))</f>
        <v/>
      </c>
      <c r="CB70" s="4" t="str">
        <f t="shared" si="56"/>
        <v/>
      </c>
      <c r="CC70" s="4" t="str">
        <f t="shared" si="57"/>
        <v/>
      </c>
      <c r="CD70" s="4" t="str">
        <f>IF(LINE2_DATA[[#This Row],[EFFECTIVE SPEED]]="","",(LINE2_DATA[[#This Row],[EFFECTIVE SPEED]]*LINE2_DATA[[#This Row],[AVAILABLE MINS]]))</f>
        <v/>
      </c>
      <c r="CE70" s="4" t="str">
        <f>IFERROR(IF(BR70="","",ROUND(((LINE2_DATA[[#This Row],[PRODUCED FT]]/LINE2_DATA[[#This Row],[PENT. PROD. CAP.]])*100),2)),"")</f>
        <v/>
      </c>
      <c r="CF70" s="125" t="str">
        <f>IF(LINE2_DATA[[#This Row],[DATE]]="","",75)</f>
        <v/>
      </c>
      <c r="CG70" s="125" t="str">
        <f>IF(LINE2_DATA[[#This Row],[DATE]]="","",10)</f>
        <v/>
      </c>
    </row>
    <row r="71" spans="1:85" ht="19.899999999999999" customHeight="1" x14ac:dyDescent="0.25">
      <c r="A71" s="19" t="str">
        <f t="shared" si="14"/>
        <v/>
      </c>
      <c r="B71" s="19" t="str">
        <f t="shared" si="15"/>
        <v/>
      </c>
      <c r="D71" s="8"/>
      <c r="E71" s="8"/>
      <c r="F71" s="8"/>
      <c r="G71" s="8"/>
      <c r="H71" s="98"/>
      <c r="I71" s="44"/>
      <c r="J71" s="8"/>
      <c r="K71" s="8"/>
      <c r="L71" s="8"/>
      <c r="M71" s="8"/>
      <c r="N71" s="8"/>
      <c r="O71" s="37"/>
      <c r="P71" s="4" t="str" cm="1">
        <f t="array" ref="P71">IFERROR(INDEX($A$13:$A$81,MATCH(0,COUNTIF($P$12:P70,$A$13:$A$81),0)),"")</f>
        <v/>
      </c>
      <c r="Q71" s="92" t="str">
        <f t="shared" si="16"/>
        <v/>
      </c>
      <c r="R71" s="93" t="str">
        <f t="shared" si="17"/>
        <v/>
      </c>
      <c r="S71" s="93" t="str">
        <f t="shared" si="18"/>
        <v/>
      </c>
      <c r="T71" s="93" t="str">
        <f t="shared" si="19"/>
        <v/>
      </c>
      <c r="U71" s="127" t="str">
        <f t="shared" si="38"/>
        <v/>
      </c>
      <c r="V71" s="46" t="str">
        <f t="shared" si="39"/>
        <v/>
      </c>
      <c r="W71" s="37"/>
      <c r="X71" s="18" t="str">
        <f t="array" ref="X71">IFERROR(IF(INDEX($H$13:$H$81,MATCH(0,COUNTIF($X$12:X70,$H$13:$H$81),0))=0,"",INDEX($H$13:$H$81,MATCH(0,COUNTIF($X$12:X70,$H$13:$H$81),0))),"")</f>
        <v/>
      </c>
      <c r="Y71" s="18" t="str">
        <f t="shared" si="40"/>
        <v/>
      </c>
      <c r="Z71" s="48" t="str">
        <f t="shared" si="20"/>
        <v/>
      </c>
      <c r="AA71" s="82"/>
      <c r="AB71" s="18" t="str">
        <f t="shared" si="21"/>
        <v/>
      </c>
      <c r="AC71" s="31" t="str">
        <f t="shared" si="22"/>
        <v/>
      </c>
      <c r="AD71" s="18" t="str">
        <f t="shared" si="23"/>
        <v/>
      </c>
      <c r="AE71" s="18" t="str">
        <f t="shared" si="24"/>
        <v/>
      </c>
      <c r="AF71" s="37"/>
      <c r="AG71" s="45" t="str">
        <f t="array" ref="AG71">IFERROR(IF(INDEX($B$13:$B$81,MATCH(0,COUNTIF($AG$12:AG70,$B$13:$B$81),0))=0,"",INDEX($B$13:$B$81,MATCH(0,COUNTIF($AG$12:AG70,$B$13:$B$81),0))),"")</f>
        <v/>
      </c>
      <c r="AH71" s="122" t="str">
        <f t="shared" si="41"/>
        <v/>
      </c>
      <c r="AI71" s="123" t="str">
        <f t="shared" si="42"/>
        <v/>
      </c>
      <c r="AJ71" s="102" t="str">
        <f>IFERROR(IF($AG71="","",SUMIFS([2]INPUTS!$F:$F,[2]INPUTS!$L:$L,$AG71,[2]INPUTS!$E:$E,$D$9)),"")</f>
        <v/>
      </c>
      <c r="AK71" s="12" t="str">
        <f t="shared" si="43"/>
        <v/>
      </c>
      <c r="AM71" s="109" t="str">
        <f t="shared" si="44"/>
        <v/>
      </c>
      <c r="AN71" s="108" t="str">
        <f t="shared" si="45"/>
        <v/>
      </c>
      <c r="AO71" s="101" t="str">
        <f>IF(AP71="","",_xlfn.XLOOKUP(CONCATENATE(AN71,"-",AP71),[3]INPUTS!$B:$B,[3]INPUTS!$N:$N))</f>
        <v/>
      </c>
      <c r="AP71" s="108" t="str">
        <f t="shared" si="46"/>
        <v/>
      </c>
      <c r="AQ71" s="99" t="str">
        <f>IF($F71="","",IF($L71="",_xlfn.XLOOKUP($D$9,[1]SCHE!$A:$A,[1]SCHE!$N:$N),$L71))</f>
        <v/>
      </c>
      <c r="AR71" s="99" t="str">
        <f t="shared" si="36"/>
        <v/>
      </c>
      <c r="AS71" s="47" t="str">
        <f t="shared" si="25"/>
        <v/>
      </c>
      <c r="AT71" s="9" t="str">
        <f t="shared" si="47"/>
        <v/>
      </c>
      <c r="AU71" s="94" t="str">
        <f>IF($AO71="","",IF($AT$3="",INDEX([3]INPUTS!$A:$BF,MATCH(CONCATENATE($AN71,"-",$AP71),[3]INPUTS!$B:$B,0),22),$AT$3))</f>
        <v/>
      </c>
      <c r="AV71" s="103" t="str">
        <f t="shared" si="48"/>
        <v/>
      </c>
      <c r="AW71" s="11" t="str">
        <f t="shared" si="49"/>
        <v/>
      </c>
      <c r="AX71" s="104" t="str">
        <f t="shared" si="26"/>
        <v/>
      </c>
      <c r="AY71" s="110" t="str">
        <f t="shared" si="58"/>
        <v/>
      </c>
      <c r="BE71" s="19" t="str">
        <f t="shared" si="27"/>
        <v/>
      </c>
      <c r="BR71" s="1" t="str">
        <f t="array" ref="BR71">IFERROR(IF(INDEX($B$13:$B$81,MATCH(0,COUNTIF($BR$12:BR70,$B$13:$B$81),0))=0,"",INDEX($B$13:$B$81,MATCH(0,COUNTIF($BR$12:BR70,$B$13:$B$81),0))),"")</f>
        <v/>
      </c>
      <c r="BS71" s="124" t="str">
        <f t="shared" si="50"/>
        <v/>
      </c>
      <c r="BT71" s="125" t="str">
        <f t="shared" si="51"/>
        <v/>
      </c>
      <c r="BU71" s="4" t="str">
        <f>IF(LINE2_DATA[[#This Row],[OP]]="","",INDEX(Sheet1!$G$2:$I$10,MATCH(LINE2_DATA[[#This Row],[OP]],Sheet1!$G$2:$G$10,0),3))</f>
        <v/>
      </c>
      <c r="BV71" s="4" t="str">
        <f t="shared" si="52"/>
        <v/>
      </c>
      <c r="BW71" s="4" t="str">
        <f t="shared" si="53"/>
        <v/>
      </c>
      <c r="BX71" s="4" t="str">
        <f t="shared" si="54"/>
        <v/>
      </c>
      <c r="BY71" s="4" t="str">
        <f t="shared" si="55"/>
        <v/>
      </c>
      <c r="BZ71" s="4" t="str">
        <f>IF(BR71="","",SUM(LINE2_DATA[[#This Row],[PRODUCED LBS]],LINE2_DATA[[#This Row],[SCRAP]]))</f>
        <v/>
      </c>
      <c r="CA71" s="4" t="str">
        <f>IF(BR71="","",ROUND(((LINE2_DATA[[#This Row],[SCRAP]]/LINE2_DATA[[#This Row],[TOTAL LBS]])*100),2))</f>
        <v/>
      </c>
      <c r="CB71" s="4" t="str">
        <f t="shared" si="56"/>
        <v/>
      </c>
      <c r="CC71" s="4" t="str">
        <f t="shared" si="57"/>
        <v/>
      </c>
      <c r="CD71" s="4" t="str">
        <f>IF(LINE2_DATA[[#This Row],[EFFECTIVE SPEED]]="","",(LINE2_DATA[[#This Row],[EFFECTIVE SPEED]]*LINE2_DATA[[#This Row],[AVAILABLE MINS]]))</f>
        <v/>
      </c>
      <c r="CE71" s="4" t="str">
        <f>IFERROR(IF(BR71="","",ROUND(((LINE2_DATA[[#This Row],[PRODUCED FT]]/LINE2_DATA[[#This Row],[PENT. PROD. CAP.]])*100),2)),"")</f>
        <v/>
      </c>
      <c r="CF71" s="125" t="str">
        <f>IF(LINE2_DATA[[#This Row],[DATE]]="","",75)</f>
        <v/>
      </c>
      <c r="CG71" s="125" t="str">
        <f>IF(LINE2_DATA[[#This Row],[DATE]]="","",10)</f>
        <v/>
      </c>
    </row>
    <row r="72" spans="1:85" ht="19.899999999999999" customHeight="1" x14ac:dyDescent="0.25">
      <c r="A72" s="19" t="str">
        <f t="shared" si="14"/>
        <v/>
      </c>
      <c r="B72" s="19" t="str">
        <f t="shared" si="15"/>
        <v/>
      </c>
      <c r="D72" s="8"/>
      <c r="E72" s="8"/>
      <c r="F72" s="8"/>
      <c r="G72" s="8"/>
      <c r="H72" s="98"/>
      <c r="I72" s="44"/>
      <c r="J72" s="8"/>
      <c r="K72" s="8"/>
      <c r="L72" s="8"/>
      <c r="M72" s="8"/>
      <c r="N72" s="8"/>
      <c r="O72" s="37"/>
      <c r="P72" s="4" t="str" cm="1">
        <f t="array" ref="P72">IFERROR(INDEX($A$13:$A$81,MATCH(0,COUNTIF($P$12:P71,$A$13:$A$81),0)),"")</f>
        <v/>
      </c>
      <c r="Q72" s="92" t="str">
        <f t="shared" si="16"/>
        <v/>
      </c>
      <c r="R72" s="93" t="str">
        <f t="shared" si="17"/>
        <v/>
      </c>
      <c r="S72" s="93" t="str">
        <f t="shared" si="18"/>
        <v/>
      </c>
      <c r="T72" s="93" t="str">
        <f t="shared" si="19"/>
        <v/>
      </c>
      <c r="U72" s="127" t="str">
        <f t="shared" si="38"/>
        <v/>
      </c>
      <c r="V72" s="46" t="str">
        <f t="shared" si="39"/>
        <v/>
      </c>
      <c r="W72" s="37"/>
      <c r="X72" s="18" t="str">
        <f t="array" ref="X72">IFERROR(IF(INDEX($H$13:$H$81,MATCH(0,COUNTIF($X$12:X71,$H$13:$H$81),0))=0,"",INDEX($H$13:$H$81,MATCH(0,COUNTIF($X$12:X71,$H$13:$H$81),0))),"")</f>
        <v/>
      </c>
      <c r="Y72" s="18" t="str">
        <f t="shared" si="40"/>
        <v/>
      </c>
      <c r="Z72" s="48" t="str">
        <f t="shared" si="20"/>
        <v/>
      </c>
      <c r="AA72" s="82"/>
      <c r="AB72" s="18" t="str">
        <f t="shared" si="21"/>
        <v/>
      </c>
      <c r="AC72" s="31" t="str">
        <f t="shared" si="22"/>
        <v/>
      </c>
      <c r="AD72" s="18" t="str">
        <f t="shared" si="23"/>
        <v/>
      </c>
      <c r="AE72" s="18" t="str">
        <f t="shared" si="24"/>
        <v/>
      </c>
      <c r="AF72" s="37"/>
      <c r="AG72" s="45" t="str">
        <f t="array" ref="AG72">IFERROR(IF(INDEX($B$13:$B$81,MATCH(0,COUNTIF($AG$12:AG71,$B$13:$B$81),0))=0,"",INDEX($B$13:$B$81,MATCH(0,COUNTIF($AG$12:AG71,$B$13:$B$81),0))),"")</f>
        <v/>
      </c>
      <c r="AH72" s="122" t="str">
        <f t="shared" si="41"/>
        <v/>
      </c>
      <c r="AI72" s="123" t="str">
        <f t="shared" si="42"/>
        <v/>
      </c>
      <c r="AJ72" s="102" t="str">
        <f>IFERROR(IF($AG72="","",SUMIFS([2]INPUTS!$F:$F,[2]INPUTS!$L:$L,$AG72,[2]INPUTS!$E:$E,$D$9)),"")</f>
        <v/>
      </c>
      <c r="AK72" s="12" t="str">
        <f t="shared" si="43"/>
        <v/>
      </c>
      <c r="AM72" s="109" t="str">
        <f t="shared" si="44"/>
        <v/>
      </c>
      <c r="AN72" s="108" t="str">
        <f t="shared" si="45"/>
        <v/>
      </c>
      <c r="AO72" s="101" t="str">
        <f>IF(AP72="","",_xlfn.XLOOKUP(CONCATENATE(AN72,"-",AP72),[3]INPUTS!$B:$B,[3]INPUTS!$N:$N))</f>
        <v/>
      </c>
      <c r="AP72" s="108" t="str">
        <f t="shared" si="46"/>
        <v/>
      </c>
      <c r="AQ72" s="99" t="str">
        <f>IF($F72="","",IF($L72="",_xlfn.XLOOKUP($D$9,[1]SCHE!$A:$A,[1]SCHE!$N:$N),$L72))</f>
        <v/>
      </c>
      <c r="AR72" s="99" t="str">
        <f t="shared" si="36"/>
        <v/>
      </c>
      <c r="AS72" s="47" t="str">
        <f t="shared" si="25"/>
        <v/>
      </c>
      <c r="AT72" s="9" t="str">
        <f t="shared" si="47"/>
        <v/>
      </c>
      <c r="AU72" s="94" t="str">
        <f>IF($AO72="","",IF($AT$3="",INDEX([3]INPUTS!$A:$BF,MATCH(CONCATENATE($AN72,"-",$AP72),[3]INPUTS!$B:$B,0),22),$AT$3))</f>
        <v/>
      </c>
      <c r="AV72" s="103" t="str">
        <f t="shared" si="48"/>
        <v/>
      </c>
      <c r="AW72" s="11" t="str">
        <f t="shared" si="49"/>
        <v/>
      </c>
      <c r="AX72" s="104" t="str">
        <f t="shared" si="26"/>
        <v/>
      </c>
      <c r="AY72" s="110" t="str">
        <f t="shared" si="58"/>
        <v/>
      </c>
      <c r="BE72" s="19" t="str">
        <f t="shared" si="27"/>
        <v/>
      </c>
      <c r="BR72" s="1" t="str">
        <f t="array" ref="BR72">IFERROR(IF(INDEX($B$13:$B$81,MATCH(0,COUNTIF($BR$12:BR71,$B$13:$B$81),0))=0,"",INDEX($B$13:$B$81,MATCH(0,COUNTIF($BR$12:BR71,$B$13:$B$81),0))),"")</f>
        <v/>
      </c>
      <c r="BS72" s="124" t="str">
        <f t="shared" si="50"/>
        <v/>
      </c>
      <c r="BT72" s="125" t="str">
        <f t="shared" si="51"/>
        <v/>
      </c>
      <c r="BU72" s="4" t="str">
        <f>IF(LINE2_DATA[[#This Row],[OP]]="","",INDEX(Sheet1!$G$2:$I$10,MATCH(LINE2_DATA[[#This Row],[OP]],Sheet1!$G$2:$G$10,0),3))</f>
        <v/>
      </c>
      <c r="BV72" s="4" t="str">
        <f t="shared" si="52"/>
        <v/>
      </c>
      <c r="BW72" s="4" t="str">
        <f t="shared" si="53"/>
        <v/>
      </c>
      <c r="BX72" s="4" t="str">
        <f t="shared" si="54"/>
        <v/>
      </c>
      <c r="BY72" s="4" t="str">
        <f t="shared" si="55"/>
        <v/>
      </c>
      <c r="BZ72" s="4" t="str">
        <f>IF(BR72="","",SUM(LINE2_DATA[[#This Row],[PRODUCED LBS]],LINE2_DATA[[#This Row],[SCRAP]]))</f>
        <v/>
      </c>
      <c r="CA72" s="4" t="str">
        <f>IF(BR72="","",ROUND(((LINE2_DATA[[#This Row],[SCRAP]]/LINE2_DATA[[#This Row],[TOTAL LBS]])*100),2))</f>
        <v/>
      </c>
      <c r="CB72" s="4" t="str">
        <f t="shared" si="56"/>
        <v/>
      </c>
      <c r="CC72" s="4" t="str">
        <f t="shared" si="57"/>
        <v/>
      </c>
      <c r="CD72" s="4" t="str">
        <f>IF(LINE2_DATA[[#This Row],[EFFECTIVE SPEED]]="","",(LINE2_DATA[[#This Row],[EFFECTIVE SPEED]]*LINE2_DATA[[#This Row],[AVAILABLE MINS]]))</f>
        <v/>
      </c>
      <c r="CE72" s="4" t="str">
        <f>IFERROR(IF(BR72="","",ROUND(((LINE2_DATA[[#This Row],[PRODUCED FT]]/LINE2_DATA[[#This Row],[PENT. PROD. CAP.]])*100),2)),"")</f>
        <v/>
      </c>
      <c r="CF72" s="125" t="str">
        <f>IF(LINE2_DATA[[#This Row],[DATE]]="","",75)</f>
        <v/>
      </c>
      <c r="CG72" s="125" t="str">
        <f>IF(LINE2_DATA[[#This Row],[DATE]]="","",10)</f>
        <v/>
      </c>
    </row>
    <row r="73" spans="1:85" ht="19.899999999999999" customHeight="1" x14ac:dyDescent="0.25">
      <c r="A73" s="19" t="str">
        <f t="shared" si="14"/>
        <v/>
      </c>
      <c r="B73" s="19" t="str">
        <f t="shared" si="15"/>
        <v/>
      </c>
      <c r="D73" s="8"/>
      <c r="E73" s="8"/>
      <c r="F73" s="8"/>
      <c r="G73" s="8"/>
      <c r="H73" s="98"/>
      <c r="I73" s="44"/>
      <c r="J73" s="8"/>
      <c r="K73" s="8"/>
      <c r="L73" s="8"/>
      <c r="M73" s="8"/>
      <c r="N73" s="8"/>
      <c r="O73" s="37"/>
      <c r="P73" s="4" t="str" cm="1">
        <f t="array" ref="P73">IFERROR(INDEX($A$13:$A$81,MATCH(0,COUNTIF($P$12:P72,$A$13:$A$81),0)),"")</f>
        <v/>
      </c>
      <c r="Q73" s="92" t="str">
        <f t="shared" si="16"/>
        <v/>
      </c>
      <c r="R73" s="93" t="str">
        <f t="shared" si="17"/>
        <v/>
      </c>
      <c r="S73" s="93" t="str">
        <f t="shared" si="18"/>
        <v/>
      </c>
      <c r="T73" s="93" t="str">
        <f t="shared" si="19"/>
        <v/>
      </c>
      <c r="U73" s="127" t="str">
        <f t="shared" si="38"/>
        <v/>
      </c>
      <c r="V73" s="46" t="str">
        <f t="shared" si="39"/>
        <v/>
      </c>
      <c r="W73" s="37"/>
      <c r="X73" s="18" t="str">
        <f t="array" ref="X73">IFERROR(IF(INDEX($H$13:$H$81,MATCH(0,COUNTIF($X$12:X72,$H$13:$H$81),0))=0,"",INDEX($H$13:$H$81,MATCH(0,COUNTIF($X$12:X72,$H$13:$H$81),0))),"")</f>
        <v/>
      </c>
      <c r="Y73" s="18" t="str">
        <f t="shared" si="40"/>
        <v/>
      </c>
      <c r="Z73" s="48" t="str">
        <f t="shared" si="20"/>
        <v/>
      </c>
      <c r="AA73" s="82"/>
      <c r="AB73" s="18" t="str">
        <f t="shared" si="21"/>
        <v/>
      </c>
      <c r="AC73" s="31" t="str">
        <f t="shared" si="22"/>
        <v/>
      </c>
      <c r="AD73" s="18" t="str">
        <f t="shared" si="23"/>
        <v/>
      </c>
      <c r="AE73" s="18" t="str">
        <f t="shared" si="24"/>
        <v/>
      </c>
      <c r="AF73" s="37"/>
      <c r="AG73" s="45" t="str">
        <f t="array" ref="AG73">IFERROR(IF(INDEX($B$13:$B$81,MATCH(0,COUNTIF($AG$12:AG72,$B$13:$B$81),0))=0,"",INDEX($B$13:$B$81,MATCH(0,COUNTIF($AG$12:AG72,$B$13:$B$81),0))),"")</f>
        <v/>
      </c>
      <c r="AH73" s="122" t="str">
        <f t="shared" si="41"/>
        <v/>
      </c>
      <c r="AI73" s="123" t="str">
        <f t="shared" si="42"/>
        <v/>
      </c>
      <c r="AJ73" s="102" t="str">
        <f>IFERROR(IF($AG73="","",SUMIFS([2]INPUTS!$F:$F,[2]INPUTS!$L:$L,$AG73,[2]INPUTS!$E:$E,$D$9)),"")</f>
        <v/>
      </c>
      <c r="AK73" s="12" t="str">
        <f t="shared" si="43"/>
        <v/>
      </c>
      <c r="AM73" s="109" t="str">
        <f t="shared" si="44"/>
        <v/>
      </c>
      <c r="AN73" s="108" t="str">
        <f t="shared" si="45"/>
        <v/>
      </c>
      <c r="AO73" s="101" t="str">
        <f>IF(AP73="","",_xlfn.XLOOKUP(CONCATENATE(AN73,"-",AP73),[3]INPUTS!$B:$B,[3]INPUTS!$N:$N))</f>
        <v/>
      </c>
      <c r="AP73" s="108" t="str">
        <f t="shared" si="46"/>
        <v/>
      </c>
      <c r="AQ73" s="99" t="str">
        <f>IF($F73="","",IF($L73="",_xlfn.XLOOKUP($D$9,[1]SCHE!$A:$A,[1]SCHE!$N:$N),$L73))</f>
        <v/>
      </c>
      <c r="AR73" s="99" t="str">
        <f t="shared" si="36"/>
        <v/>
      </c>
      <c r="AS73" s="47" t="str">
        <f t="shared" si="25"/>
        <v/>
      </c>
      <c r="AT73" s="9" t="str">
        <f t="shared" si="47"/>
        <v/>
      </c>
      <c r="AU73" s="94" t="str">
        <f>IF($AO73="","",IF($AT$3="",INDEX([3]INPUTS!$A:$BF,MATCH(CONCATENATE($AN73,"-",$AP73),[3]INPUTS!$B:$B,0),22),$AT$3))</f>
        <v/>
      </c>
      <c r="AV73" s="103" t="str">
        <f t="shared" si="48"/>
        <v/>
      </c>
      <c r="AW73" s="11" t="str">
        <f t="shared" si="49"/>
        <v/>
      </c>
      <c r="AX73" s="104" t="str">
        <f t="shared" si="26"/>
        <v/>
      </c>
      <c r="AY73" s="110" t="str">
        <f t="shared" si="58"/>
        <v/>
      </c>
      <c r="BE73" s="19" t="str">
        <f t="shared" si="27"/>
        <v/>
      </c>
      <c r="BR73" s="1" t="str">
        <f t="array" ref="BR73">IFERROR(IF(INDEX($B$13:$B$81,MATCH(0,COUNTIF($BR$12:BR72,$B$13:$B$81),0))=0,"",INDEX($B$13:$B$81,MATCH(0,COUNTIF($BR$12:BR72,$B$13:$B$81),0))),"")</f>
        <v/>
      </c>
      <c r="BS73" s="124" t="str">
        <f t="shared" si="50"/>
        <v/>
      </c>
      <c r="BT73" s="125" t="str">
        <f t="shared" si="51"/>
        <v/>
      </c>
      <c r="BU73" s="4" t="str">
        <f>IF(LINE2_DATA[[#This Row],[OP]]="","",INDEX(Sheet1!$G$2:$I$10,MATCH(LINE2_DATA[[#This Row],[OP]],Sheet1!$G$2:$G$10,0),3))</f>
        <v/>
      </c>
      <c r="BV73" s="4" t="str">
        <f t="shared" si="52"/>
        <v/>
      </c>
      <c r="BW73" s="4" t="str">
        <f t="shared" si="53"/>
        <v/>
      </c>
      <c r="BX73" s="4" t="str">
        <f t="shared" si="54"/>
        <v/>
      </c>
      <c r="BY73" s="4" t="str">
        <f t="shared" si="55"/>
        <v/>
      </c>
      <c r="BZ73" s="4" t="str">
        <f>IF(BR73="","",SUM(LINE2_DATA[[#This Row],[PRODUCED LBS]],LINE2_DATA[[#This Row],[SCRAP]]))</f>
        <v/>
      </c>
      <c r="CA73" s="4" t="str">
        <f>IF(BR73="","",ROUND(((LINE2_DATA[[#This Row],[SCRAP]]/LINE2_DATA[[#This Row],[TOTAL LBS]])*100),2))</f>
        <v/>
      </c>
      <c r="CB73" s="4" t="str">
        <f t="shared" si="56"/>
        <v/>
      </c>
      <c r="CC73" s="4" t="str">
        <f t="shared" si="57"/>
        <v/>
      </c>
      <c r="CD73" s="4" t="str">
        <f>IF(LINE2_DATA[[#This Row],[EFFECTIVE SPEED]]="","",(LINE2_DATA[[#This Row],[EFFECTIVE SPEED]]*LINE2_DATA[[#This Row],[AVAILABLE MINS]]))</f>
        <v/>
      </c>
      <c r="CE73" s="4" t="str">
        <f>IFERROR(IF(BR73="","",ROUND(((LINE2_DATA[[#This Row],[PRODUCED FT]]/LINE2_DATA[[#This Row],[PENT. PROD. CAP.]])*100),2)),"")</f>
        <v/>
      </c>
      <c r="CF73" s="125" t="str">
        <f>IF(LINE2_DATA[[#This Row],[DATE]]="","",75)</f>
        <v/>
      </c>
      <c r="CG73" s="125" t="str">
        <f>IF(LINE2_DATA[[#This Row],[DATE]]="","",10)</f>
        <v/>
      </c>
    </row>
    <row r="74" spans="1:85" ht="19.899999999999999" customHeight="1" x14ac:dyDescent="0.25">
      <c r="A74" s="19" t="str">
        <f t="shared" si="14"/>
        <v/>
      </c>
      <c r="B74" s="19" t="str">
        <f t="shared" si="15"/>
        <v/>
      </c>
      <c r="D74" s="8"/>
      <c r="E74" s="8"/>
      <c r="F74" s="8"/>
      <c r="G74" s="8"/>
      <c r="H74" s="98"/>
      <c r="I74" s="44"/>
      <c r="J74" s="8"/>
      <c r="K74" s="8"/>
      <c r="L74" s="8"/>
      <c r="M74" s="8"/>
      <c r="N74" s="8"/>
      <c r="O74" s="37"/>
      <c r="P74" s="4" t="str" cm="1">
        <f t="array" ref="P74">IFERROR(INDEX($A$13:$A$81,MATCH(0,COUNTIF($P$12:P73,$A$13:$A$81),0)),"")</f>
        <v/>
      </c>
      <c r="Q74" s="92" t="str">
        <f t="shared" si="16"/>
        <v/>
      </c>
      <c r="R74" s="93" t="str">
        <f t="shared" si="17"/>
        <v/>
      </c>
      <c r="S74" s="93" t="str">
        <f t="shared" si="18"/>
        <v/>
      </c>
      <c r="T74" s="93" t="str">
        <f t="shared" si="19"/>
        <v/>
      </c>
      <c r="U74" s="127" t="str">
        <f t="shared" si="38"/>
        <v/>
      </c>
      <c r="V74" s="46" t="str">
        <f t="shared" si="39"/>
        <v/>
      </c>
      <c r="W74" s="37"/>
      <c r="X74" s="18" t="str">
        <f t="array" ref="X74">IFERROR(IF(INDEX($H$13:$H$81,MATCH(0,COUNTIF($X$12:X73,$H$13:$H$81),0))=0,"",INDEX($H$13:$H$81,MATCH(0,COUNTIF($X$12:X73,$H$13:$H$81),0))),"")</f>
        <v/>
      </c>
      <c r="Y74" s="18" t="str">
        <f t="shared" si="40"/>
        <v/>
      </c>
      <c r="Z74" s="48" t="str">
        <f t="shared" si="20"/>
        <v/>
      </c>
      <c r="AA74" s="82"/>
      <c r="AB74" s="18" t="str">
        <f t="shared" si="21"/>
        <v/>
      </c>
      <c r="AC74" s="31" t="str">
        <f t="shared" si="22"/>
        <v/>
      </c>
      <c r="AD74" s="18" t="str">
        <f t="shared" si="23"/>
        <v/>
      </c>
      <c r="AE74" s="18" t="str">
        <f t="shared" si="24"/>
        <v/>
      </c>
      <c r="AF74" s="37"/>
      <c r="AG74" s="45" t="str">
        <f t="array" ref="AG74">IFERROR(IF(INDEX($B$13:$B$81,MATCH(0,COUNTIF($AG$12:AG73,$B$13:$B$81),0))=0,"",INDEX($B$13:$B$81,MATCH(0,COUNTIF($AG$12:AG73,$B$13:$B$81),0))),"")</f>
        <v/>
      </c>
      <c r="AH74" s="122" t="str">
        <f t="shared" si="41"/>
        <v/>
      </c>
      <c r="AI74" s="123" t="str">
        <f t="shared" si="42"/>
        <v/>
      </c>
      <c r="AJ74" s="102" t="str">
        <f>IFERROR(IF($AG74="","",SUMIFS([2]INPUTS!$F:$F,[2]INPUTS!$L:$L,$AG74,[2]INPUTS!$E:$E,$D$9)),"")</f>
        <v/>
      </c>
      <c r="AK74" s="12" t="str">
        <f t="shared" si="43"/>
        <v/>
      </c>
      <c r="AM74" s="109" t="str">
        <f t="shared" si="44"/>
        <v/>
      </c>
      <c r="AN74" s="108" t="str">
        <f t="shared" si="45"/>
        <v/>
      </c>
      <c r="AO74" s="101" t="str">
        <f>IF(AP74="","",_xlfn.XLOOKUP(CONCATENATE(AN74,"-",AP74),[3]INPUTS!$B:$B,[3]INPUTS!$N:$N))</f>
        <v/>
      </c>
      <c r="AP74" s="108" t="str">
        <f t="shared" si="46"/>
        <v/>
      </c>
      <c r="AQ74" s="99" t="str">
        <f>IF($F74="","",IF($L74="",_xlfn.XLOOKUP($D$9,[1]SCHE!$A:$A,[1]SCHE!$N:$N),$L74))</f>
        <v/>
      </c>
      <c r="AR74" s="99" t="str">
        <f t="shared" si="36"/>
        <v/>
      </c>
      <c r="AS74" s="47" t="str">
        <f t="shared" si="25"/>
        <v/>
      </c>
      <c r="AT74" s="9" t="str">
        <f t="shared" si="47"/>
        <v/>
      </c>
      <c r="AU74" s="94" t="str">
        <f>IF($AO74="","",IF($AT$3="",INDEX([3]INPUTS!$A:$BF,MATCH(CONCATENATE($AN74,"-",$AP74),[3]INPUTS!$B:$B,0),22),$AT$3))</f>
        <v/>
      </c>
      <c r="AV74" s="103" t="str">
        <f t="shared" si="48"/>
        <v/>
      </c>
      <c r="AW74" s="11" t="str">
        <f t="shared" si="49"/>
        <v/>
      </c>
      <c r="AX74" s="104" t="str">
        <f t="shared" si="26"/>
        <v/>
      </c>
      <c r="AY74" s="110" t="str">
        <f t="shared" si="58"/>
        <v/>
      </c>
      <c r="BE74" s="19" t="str">
        <f t="shared" si="27"/>
        <v/>
      </c>
      <c r="BR74" s="1" t="str">
        <f t="array" ref="BR74">IFERROR(IF(INDEX($B$13:$B$81,MATCH(0,COUNTIF($BR$12:BR73,$B$13:$B$81),0))=0,"",INDEX($B$13:$B$81,MATCH(0,COUNTIF($BR$12:BR73,$B$13:$B$81),0))),"")</f>
        <v/>
      </c>
      <c r="BS74" s="124" t="str">
        <f t="shared" si="50"/>
        <v/>
      </c>
      <c r="BT74" s="125" t="str">
        <f t="shared" si="51"/>
        <v/>
      </c>
      <c r="BU74" s="4" t="str">
        <f>IF(LINE2_DATA[[#This Row],[OP]]="","",INDEX(Sheet1!$G$2:$I$10,MATCH(LINE2_DATA[[#This Row],[OP]],Sheet1!$G$2:$G$10,0),3))</f>
        <v/>
      </c>
      <c r="BV74" s="4" t="str">
        <f t="shared" si="52"/>
        <v/>
      </c>
      <c r="BW74" s="4" t="str">
        <f t="shared" si="53"/>
        <v/>
      </c>
      <c r="BX74" s="4" t="str">
        <f t="shared" si="54"/>
        <v/>
      </c>
      <c r="BY74" s="4" t="str">
        <f t="shared" si="55"/>
        <v/>
      </c>
      <c r="BZ74" s="4" t="str">
        <f>IF(BR74="","",SUM(LINE2_DATA[[#This Row],[PRODUCED LBS]],LINE2_DATA[[#This Row],[SCRAP]]))</f>
        <v/>
      </c>
      <c r="CA74" s="4" t="str">
        <f>IF(BR74="","",ROUND(((LINE2_DATA[[#This Row],[SCRAP]]/LINE2_DATA[[#This Row],[TOTAL LBS]])*100),2))</f>
        <v/>
      </c>
      <c r="CB74" s="4" t="str">
        <f t="shared" si="56"/>
        <v/>
      </c>
      <c r="CC74" s="4" t="str">
        <f t="shared" si="57"/>
        <v/>
      </c>
      <c r="CD74" s="4" t="str">
        <f>IF(LINE2_DATA[[#This Row],[EFFECTIVE SPEED]]="","",(LINE2_DATA[[#This Row],[EFFECTIVE SPEED]]*LINE2_DATA[[#This Row],[AVAILABLE MINS]]))</f>
        <v/>
      </c>
      <c r="CE74" s="4" t="str">
        <f>IFERROR(IF(BR74="","",ROUND(((LINE2_DATA[[#This Row],[PRODUCED FT]]/LINE2_DATA[[#This Row],[PENT. PROD. CAP.]])*100),2)),"")</f>
        <v/>
      </c>
      <c r="CF74" s="125" t="str">
        <f>IF(LINE2_DATA[[#This Row],[DATE]]="","",75)</f>
        <v/>
      </c>
      <c r="CG74" s="125" t="str">
        <f>IF(LINE2_DATA[[#This Row],[DATE]]="","",10)</f>
        <v/>
      </c>
    </row>
    <row r="75" spans="1:85" ht="19.899999999999999" customHeight="1" x14ac:dyDescent="0.25">
      <c r="A75" s="19" t="str">
        <f t="shared" si="14"/>
        <v/>
      </c>
      <c r="B75" s="19" t="str">
        <f t="shared" si="15"/>
        <v/>
      </c>
      <c r="D75" s="8"/>
      <c r="E75" s="8"/>
      <c r="F75" s="8"/>
      <c r="G75" s="8"/>
      <c r="H75" s="98"/>
      <c r="I75" s="44"/>
      <c r="J75" s="8"/>
      <c r="K75" s="8"/>
      <c r="L75" s="8"/>
      <c r="M75" s="8"/>
      <c r="N75" s="8"/>
      <c r="O75" s="37"/>
      <c r="P75" s="4" t="str" cm="1">
        <f t="array" ref="P75">IFERROR(INDEX($A$13:$A$81,MATCH(0,COUNTIF($P$12:P74,$A$13:$A$81),0)),"")</f>
        <v/>
      </c>
      <c r="Q75" s="92" t="str">
        <f t="shared" si="16"/>
        <v/>
      </c>
      <c r="R75" s="93" t="str">
        <f t="shared" si="17"/>
        <v/>
      </c>
      <c r="S75" s="93" t="str">
        <f t="shared" si="18"/>
        <v/>
      </c>
      <c r="T75" s="93" t="str">
        <f t="shared" si="19"/>
        <v/>
      </c>
      <c r="U75" s="127" t="str">
        <f t="shared" si="38"/>
        <v/>
      </c>
      <c r="V75" s="46" t="str">
        <f t="shared" si="39"/>
        <v/>
      </c>
      <c r="W75" s="37"/>
      <c r="X75" s="18" t="str">
        <f t="array" ref="X75">IFERROR(IF(INDEX($H$13:$H$81,MATCH(0,COUNTIF($X$12:X74,$H$13:$H$81),0))=0,"",INDEX($H$13:$H$81,MATCH(0,COUNTIF($X$12:X74,$H$13:$H$81),0))),"")</f>
        <v/>
      </c>
      <c r="Y75" s="18" t="str">
        <f t="shared" si="40"/>
        <v/>
      </c>
      <c r="Z75" s="48" t="str">
        <f t="shared" si="20"/>
        <v/>
      </c>
      <c r="AA75" s="82"/>
      <c r="AB75" s="18" t="str">
        <f t="shared" si="21"/>
        <v/>
      </c>
      <c r="AC75" s="31" t="str">
        <f t="shared" si="22"/>
        <v/>
      </c>
      <c r="AD75" s="18" t="str">
        <f t="shared" si="23"/>
        <v/>
      </c>
      <c r="AE75" s="18" t="str">
        <f t="shared" si="24"/>
        <v/>
      </c>
      <c r="AF75" s="37"/>
      <c r="AG75" s="45" t="str">
        <f t="array" ref="AG75">IFERROR(IF(INDEX($B$13:$B$81,MATCH(0,COUNTIF($AG$12:AG74,$B$13:$B$81),0))=0,"",INDEX($B$13:$B$81,MATCH(0,COUNTIF($AG$12:AG74,$B$13:$B$81),0))),"")</f>
        <v/>
      </c>
      <c r="AH75" s="122" t="str">
        <f t="shared" si="41"/>
        <v/>
      </c>
      <c r="AI75" s="123" t="str">
        <f t="shared" si="42"/>
        <v/>
      </c>
      <c r="AJ75" s="102" t="str">
        <f>IFERROR(IF($AG75="","",SUMIFS([2]INPUTS!$F:$F,[2]INPUTS!$L:$L,$AG75,[2]INPUTS!$E:$E,$D$9)),"")</f>
        <v/>
      </c>
      <c r="AK75" s="12" t="str">
        <f t="shared" si="43"/>
        <v/>
      </c>
      <c r="AM75" s="109" t="str">
        <f t="shared" si="44"/>
        <v/>
      </c>
      <c r="AN75" s="108" t="str">
        <f t="shared" si="45"/>
        <v/>
      </c>
      <c r="AO75" s="101" t="str">
        <f>IF(AP75="","",_xlfn.XLOOKUP(CONCATENATE(AN75,"-",AP75),[3]INPUTS!$B:$B,[3]INPUTS!$N:$N))</f>
        <v/>
      </c>
      <c r="AP75" s="108" t="str">
        <f t="shared" si="46"/>
        <v/>
      </c>
      <c r="AQ75" s="99" t="str">
        <f>IF($F75="","",IF($L75="",_xlfn.XLOOKUP($D$9,[1]SCHE!$A:$A,[1]SCHE!$N:$N),$L75))</f>
        <v/>
      </c>
      <c r="AR75" s="99" t="str">
        <f t="shared" si="36"/>
        <v/>
      </c>
      <c r="AS75" s="47" t="str">
        <f t="shared" si="25"/>
        <v/>
      </c>
      <c r="AT75" s="9" t="str">
        <f t="shared" si="47"/>
        <v/>
      </c>
      <c r="AU75" s="94" t="str">
        <f>IF($AO75="","",IF($AT$3="",INDEX([3]INPUTS!$A:$BF,MATCH(CONCATENATE($AN75,"-",$AP75),[3]INPUTS!$B:$B,0),22),$AT$3))</f>
        <v/>
      </c>
      <c r="AV75" s="103" t="str">
        <f t="shared" si="48"/>
        <v/>
      </c>
      <c r="AW75" s="11" t="str">
        <f t="shared" si="49"/>
        <v/>
      </c>
      <c r="AX75" s="104" t="str">
        <f t="shared" si="26"/>
        <v/>
      </c>
      <c r="AY75" s="110" t="str">
        <f t="shared" si="58"/>
        <v/>
      </c>
      <c r="BE75" s="19" t="str">
        <f t="shared" si="27"/>
        <v/>
      </c>
      <c r="BR75" s="1" t="str">
        <f t="array" ref="BR75">IFERROR(IF(INDEX($B$13:$B$81,MATCH(0,COUNTIF($BR$12:BR74,$B$13:$B$81),0))=0,"",INDEX($B$13:$B$81,MATCH(0,COUNTIF($BR$12:BR74,$B$13:$B$81),0))),"")</f>
        <v/>
      </c>
      <c r="BS75" s="124" t="str">
        <f t="shared" si="50"/>
        <v/>
      </c>
      <c r="BT75" s="125" t="str">
        <f t="shared" si="51"/>
        <v/>
      </c>
      <c r="BU75" s="4" t="str">
        <f>IF(LINE2_DATA[[#This Row],[OP]]="","",INDEX(Sheet1!$G$2:$I$10,MATCH(LINE2_DATA[[#This Row],[OP]],Sheet1!$G$2:$G$10,0),3))</f>
        <v/>
      </c>
      <c r="BV75" s="4" t="str">
        <f t="shared" si="52"/>
        <v/>
      </c>
      <c r="BW75" s="4" t="str">
        <f t="shared" si="53"/>
        <v/>
      </c>
      <c r="BX75" s="4" t="str">
        <f t="shared" si="54"/>
        <v/>
      </c>
      <c r="BY75" s="4" t="str">
        <f t="shared" si="55"/>
        <v/>
      </c>
      <c r="BZ75" s="4" t="str">
        <f>IF(BR75="","",SUM(LINE2_DATA[[#This Row],[PRODUCED LBS]],LINE2_DATA[[#This Row],[SCRAP]]))</f>
        <v/>
      </c>
      <c r="CA75" s="4" t="str">
        <f>IF(BR75="","",ROUND(((LINE2_DATA[[#This Row],[SCRAP]]/LINE2_DATA[[#This Row],[TOTAL LBS]])*100),2))</f>
        <v/>
      </c>
      <c r="CB75" s="4" t="str">
        <f t="shared" si="56"/>
        <v/>
      </c>
      <c r="CC75" s="4" t="str">
        <f t="shared" si="57"/>
        <v/>
      </c>
      <c r="CD75" s="4" t="str">
        <f>IF(LINE2_DATA[[#This Row],[EFFECTIVE SPEED]]="","",(LINE2_DATA[[#This Row],[EFFECTIVE SPEED]]*LINE2_DATA[[#This Row],[AVAILABLE MINS]]))</f>
        <v/>
      </c>
      <c r="CE75" s="4" t="str">
        <f>IFERROR(IF(BR75="","",ROUND(((LINE2_DATA[[#This Row],[PRODUCED FT]]/LINE2_DATA[[#This Row],[PENT. PROD. CAP.]])*100),2)),"")</f>
        <v/>
      </c>
      <c r="CF75" s="125" t="str">
        <f>IF(LINE2_DATA[[#This Row],[DATE]]="","",75)</f>
        <v/>
      </c>
      <c r="CG75" s="125" t="str">
        <f>IF(LINE2_DATA[[#This Row],[DATE]]="","",10)</f>
        <v/>
      </c>
    </row>
    <row r="76" spans="1:85" ht="19.899999999999999" customHeight="1" x14ac:dyDescent="0.25">
      <c r="A76" s="19" t="str">
        <f t="shared" si="14"/>
        <v/>
      </c>
      <c r="B76" s="19" t="str">
        <f t="shared" si="15"/>
        <v/>
      </c>
      <c r="D76" s="8"/>
      <c r="E76" s="8"/>
      <c r="F76" s="8"/>
      <c r="G76" s="8"/>
      <c r="H76" s="98"/>
      <c r="I76" s="44"/>
      <c r="J76" s="8"/>
      <c r="K76" s="8"/>
      <c r="L76" s="8"/>
      <c r="M76" s="8"/>
      <c r="N76" s="8"/>
      <c r="O76" s="37"/>
      <c r="P76" s="4" t="str" cm="1">
        <f t="array" ref="P76">IFERROR(INDEX($A$13:$A$81,MATCH(0,COUNTIF($P$12:P75,$A$13:$A$81),0)),"")</f>
        <v/>
      </c>
      <c r="Q76" s="92" t="str">
        <f t="shared" si="16"/>
        <v/>
      </c>
      <c r="R76" s="93" t="str">
        <f t="shared" si="17"/>
        <v/>
      </c>
      <c r="S76" s="93" t="str">
        <f t="shared" si="18"/>
        <v/>
      </c>
      <c r="T76" s="93" t="str">
        <f t="shared" si="19"/>
        <v/>
      </c>
      <c r="U76" s="127" t="str">
        <f t="shared" si="38"/>
        <v/>
      </c>
      <c r="V76" s="46" t="str">
        <f t="shared" si="39"/>
        <v/>
      </c>
      <c r="W76" s="37"/>
      <c r="X76" s="18" t="str">
        <f t="array" ref="X76">IFERROR(IF(INDEX($H$13:$H$81,MATCH(0,COUNTIF($X$12:X75,$H$13:$H$81),0))=0,"",INDEX($H$13:$H$81,MATCH(0,COUNTIF($X$12:X75,$H$13:$H$81),0))),"")</f>
        <v/>
      </c>
      <c r="Y76" s="18" t="str">
        <f t="shared" si="40"/>
        <v/>
      </c>
      <c r="Z76" s="48" t="str">
        <f t="shared" si="20"/>
        <v/>
      </c>
      <c r="AA76" s="82"/>
      <c r="AB76" s="18" t="str">
        <f t="shared" si="21"/>
        <v/>
      </c>
      <c r="AC76" s="31" t="str">
        <f t="shared" si="22"/>
        <v/>
      </c>
      <c r="AD76" s="18" t="str">
        <f t="shared" si="23"/>
        <v/>
      </c>
      <c r="AE76" s="18" t="str">
        <f t="shared" si="24"/>
        <v/>
      </c>
      <c r="AF76" s="37"/>
      <c r="AG76" s="45" t="str">
        <f t="array" ref="AG76">IFERROR(IF(INDEX($B$13:$B$81,MATCH(0,COUNTIF($AG$12:AG75,$B$13:$B$81),0))=0,"",INDEX($B$13:$B$81,MATCH(0,COUNTIF($AG$12:AG75,$B$13:$B$81),0))),"")</f>
        <v/>
      </c>
      <c r="AH76" s="122" t="str">
        <f t="shared" si="41"/>
        <v/>
      </c>
      <c r="AI76" s="123" t="str">
        <f t="shared" si="42"/>
        <v/>
      </c>
      <c r="AJ76" s="102" t="str">
        <f>IFERROR(IF($AG76="","",SUMIFS([2]INPUTS!$F:$F,[2]INPUTS!$L:$L,$AG76,[2]INPUTS!$E:$E,$D$9)),"")</f>
        <v/>
      </c>
      <c r="AK76" s="12" t="str">
        <f t="shared" si="43"/>
        <v/>
      </c>
      <c r="AM76" s="109" t="str">
        <f t="shared" si="44"/>
        <v/>
      </c>
      <c r="AN76" s="108" t="str">
        <f t="shared" si="45"/>
        <v/>
      </c>
      <c r="AO76" s="101" t="str">
        <f>IF(AP76="","",_xlfn.XLOOKUP(CONCATENATE(AN76,"-",AP76),[3]INPUTS!$B:$B,[3]INPUTS!$N:$N))</f>
        <v/>
      </c>
      <c r="AP76" s="108" t="str">
        <f t="shared" si="46"/>
        <v/>
      </c>
      <c r="AQ76" s="99" t="str">
        <f>IF($F76="","",IF($L76="",_xlfn.XLOOKUP($D$9,[1]SCHE!$A:$A,[1]SCHE!$N:$N),$L76))</f>
        <v/>
      </c>
      <c r="AR76" s="99" t="str">
        <f t="shared" si="36"/>
        <v/>
      </c>
      <c r="AS76" s="47" t="str">
        <f t="shared" si="25"/>
        <v/>
      </c>
      <c r="AT76" s="9" t="str">
        <f t="shared" si="47"/>
        <v/>
      </c>
      <c r="AU76" s="94" t="str">
        <f>IF($AO76="","",IF($AT$3="",INDEX([3]INPUTS!$A:$BF,MATCH(CONCATENATE($AN76,"-",$AP76),[3]INPUTS!$B:$B,0),22),$AT$3))</f>
        <v/>
      </c>
      <c r="AV76" s="103" t="str">
        <f t="shared" si="48"/>
        <v/>
      </c>
      <c r="AW76" s="11" t="str">
        <f t="shared" si="49"/>
        <v/>
      </c>
      <c r="AX76" s="104" t="str">
        <f t="shared" si="26"/>
        <v/>
      </c>
      <c r="AY76" s="110" t="str">
        <f t="shared" si="58"/>
        <v/>
      </c>
      <c r="BE76" s="19" t="str">
        <f t="shared" si="27"/>
        <v/>
      </c>
      <c r="BR76" s="1" t="str">
        <f t="array" ref="BR76">IFERROR(IF(INDEX($B$13:$B$81,MATCH(0,COUNTIF($BR$12:BR75,$B$13:$B$81),0))=0,"",INDEX($B$13:$B$81,MATCH(0,COUNTIF($BR$12:BR75,$B$13:$B$81),0))),"")</f>
        <v/>
      </c>
      <c r="BS76" s="124" t="str">
        <f t="shared" si="50"/>
        <v/>
      </c>
      <c r="BT76" s="125" t="str">
        <f t="shared" si="51"/>
        <v/>
      </c>
      <c r="BU76" s="4" t="str">
        <f>IF(LINE2_DATA[[#This Row],[OP]]="","",INDEX(Sheet1!$G$2:$I$10,MATCH(LINE2_DATA[[#This Row],[OP]],Sheet1!$G$2:$G$10,0),3))</f>
        <v/>
      </c>
      <c r="BV76" s="4" t="str">
        <f t="shared" si="52"/>
        <v/>
      </c>
      <c r="BW76" s="4" t="str">
        <f t="shared" si="53"/>
        <v/>
      </c>
      <c r="BX76" s="4" t="str">
        <f t="shared" si="54"/>
        <v/>
      </c>
      <c r="BY76" s="4" t="str">
        <f t="shared" si="55"/>
        <v/>
      </c>
      <c r="BZ76" s="4" t="str">
        <f>IF(BR76="","",SUM(LINE2_DATA[[#This Row],[PRODUCED LBS]],LINE2_DATA[[#This Row],[SCRAP]]))</f>
        <v/>
      </c>
      <c r="CA76" s="4" t="str">
        <f>IF(BR76="","",ROUND(((LINE2_DATA[[#This Row],[SCRAP]]/LINE2_DATA[[#This Row],[TOTAL LBS]])*100),2))</f>
        <v/>
      </c>
      <c r="CB76" s="4" t="str">
        <f t="shared" si="56"/>
        <v/>
      </c>
      <c r="CC76" s="4" t="str">
        <f t="shared" si="57"/>
        <v/>
      </c>
      <c r="CD76" s="4" t="str">
        <f>IF(LINE2_DATA[[#This Row],[EFFECTIVE SPEED]]="","",(LINE2_DATA[[#This Row],[EFFECTIVE SPEED]]*LINE2_DATA[[#This Row],[AVAILABLE MINS]]))</f>
        <v/>
      </c>
      <c r="CE76" s="4" t="str">
        <f>IFERROR(IF(BR76="","",ROUND(((LINE2_DATA[[#This Row],[PRODUCED FT]]/LINE2_DATA[[#This Row],[PENT. PROD. CAP.]])*100),2)),"")</f>
        <v/>
      </c>
      <c r="CF76" s="125" t="str">
        <f>IF(LINE2_DATA[[#This Row],[DATE]]="","",75)</f>
        <v/>
      </c>
      <c r="CG76" s="125" t="str">
        <f>IF(LINE2_DATA[[#This Row],[DATE]]="","",10)</f>
        <v/>
      </c>
    </row>
    <row r="77" spans="1:85" ht="19.899999999999999" customHeight="1" x14ac:dyDescent="0.25">
      <c r="A77" s="19" t="str">
        <f t="shared" si="14"/>
        <v/>
      </c>
      <c r="B77" s="19" t="str">
        <f t="shared" si="15"/>
        <v/>
      </c>
      <c r="D77" s="8"/>
      <c r="E77" s="8"/>
      <c r="F77" s="8"/>
      <c r="G77" s="8"/>
      <c r="H77" s="98"/>
      <c r="I77" s="44"/>
      <c r="J77" s="8"/>
      <c r="K77" s="8"/>
      <c r="L77" s="8"/>
      <c r="M77" s="8"/>
      <c r="N77" s="8"/>
      <c r="O77" s="37"/>
      <c r="P77" s="4" t="str" cm="1">
        <f t="array" ref="P77">IFERROR(INDEX($A$13:$A$81,MATCH(0,COUNTIF($P$12:P76,$A$13:$A$81),0)),"")</f>
        <v/>
      </c>
      <c r="Q77" s="92" t="str">
        <f t="shared" si="16"/>
        <v/>
      </c>
      <c r="R77" s="93" t="str">
        <f t="shared" si="17"/>
        <v/>
      </c>
      <c r="S77" s="93" t="str">
        <f t="shared" si="18"/>
        <v/>
      </c>
      <c r="T77" s="93" t="str">
        <f t="shared" si="19"/>
        <v/>
      </c>
      <c r="U77" s="127" t="str">
        <f t="shared" si="38"/>
        <v/>
      </c>
      <c r="V77" s="46" t="str">
        <f t="shared" si="39"/>
        <v/>
      </c>
      <c r="W77" s="37"/>
      <c r="X77" s="18" t="str">
        <f t="array" ref="X77">IFERROR(IF(INDEX($H$13:$H$81,MATCH(0,COUNTIF($X$12:X76,$H$13:$H$81),0))=0,"",INDEX($H$13:$H$81,MATCH(0,COUNTIF($X$12:X76,$H$13:$H$81),0))),"")</f>
        <v/>
      </c>
      <c r="Y77" s="18" t="str">
        <f t="shared" ref="Y77:Y81" si="59">IF($X77="","",SUMIFS($AR77:$AR145,$AM77:$AM145,$X77,$AR77:$AR145,"&gt;0"))</f>
        <v/>
      </c>
      <c r="Z77" s="48" t="str">
        <f t="shared" si="20"/>
        <v/>
      </c>
      <c r="AA77" s="82"/>
      <c r="AB77" s="18" t="str">
        <f t="shared" si="21"/>
        <v/>
      </c>
      <c r="AC77" s="31" t="str">
        <f t="shared" si="22"/>
        <v/>
      </c>
      <c r="AD77" s="18" t="str">
        <f t="shared" si="23"/>
        <v/>
      </c>
      <c r="AE77" s="18" t="str">
        <f t="shared" si="24"/>
        <v/>
      </c>
      <c r="AF77" s="37"/>
      <c r="AG77" s="45" t="str">
        <f t="array" ref="AG77">IFERROR(IF(INDEX($B$13:$B$81,MATCH(0,COUNTIF($AG$12:AG76,$B$13:$B$81),0))=0,"",INDEX($B$13:$B$81,MATCH(0,COUNTIF($AG$12:AG76,$B$13:$B$81),0))),"")</f>
        <v/>
      </c>
      <c r="AH77" s="122" t="str">
        <f t="shared" ref="AH77:AH81" si="60">IF($AG77="","",INDEX($A77:$M145,MATCH($AG77,$B77:$B145,0),9))</f>
        <v/>
      </c>
      <c r="AI77" s="123" t="str">
        <f t="shared" ref="AI77:AI81" si="61">IF($AG77="","",INDEX($A77:$M145,MATCH($AG77,$B77:$B145,0),7))</f>
        <v/>
      </c>
      <c r="AJ77" s="102" t="str">
        <f>IFERROR(IF($AG77="","",SUMIFS([2]INPUTS!$F:$F,[2]INPUTS!$L:$L,$AG77,[2]INPUTS!$E:$E,$D$9)),"")</f>
        <v/>
      </c>
      <c r="AK77" s="12" t="str">
        <f t="shared" si="43"/>
        <v/>
      </c>
      <c r="AM77" s="109" t="str">
        <f t="shared" si="44"/>
        <v/>
      </c>
      <c r="AN77" s="108" t="str">
        <f t="shared" si="45"/>
        <v/>
      </c>
      <c r="AO77" s="101" t="str">
        <f>IF(AP77="","",_xlfn.XLOOKUP(CONCATENATE(AN77,"-",AP77),[3]INPUTS!$B:$B,[3]INPUTS!$N:$N))</f>
        <v/>
      </c>
      <c r="AP77" s="108" t="str">
        <f t="shared" si="46"/>
        <v/>
      </c>
      <c r="AQ77" s="99" t="str">
        <f>IF($F77="","",IF($L77="",_xlfn.XLOOKUP($D$9,[1]SCHE!$A:$A,[1]SCHE!$N:$N),$L77))</f>
        <v/>
      </c>
      <c r="AR77" s="99" t="str">
        <f t="shared" si="36"/>
        <v/>
      </c>
      <c r="AS77" s="47" t="str">
        <f t="shared" si="25"/>
        <v/>
      </c>
      <c r="AT77" s="9" t="str">
        <f t="shared" si="47"/>
        <v/>
      </c>
      <c r="AU77" s="94" t="str">
        <f>IF($AO77="","",IF($AT$3="",INDEX([3]INPUTS!$A:$BF,MATCH(CONCATENATE($AN77,"-",$AP77),[3]INPUTS!$B:$B,0),22),$AT$3))</f>
        <v/>
      </c>
      <c r="AV77" s="103" t="str">
        <f t="shared" si="48"/>
        <v/>
      </c>
      <c r="AW77" s="11" t="str">
        <f t="shared" si="49"/>
        <v/>
      </c>
      <c r="AX77" s="104" t="str">
        <f t="shared" si="26"/>
        <v/>
      </c>
      <c r="AY77" s="110" t="str">
        <f t="shared" si="58"/>
        <v/>
      </c>
      <c r="BE77" s="19" t="str">
        <f t="shared" si="27"/>
        <v/>
      </c>
      <c r="BR77" s="1" t="str">
        <f t="array" ref="BR77">IFERROR(IF(INDEX($B$13:$B$81,MATCH(0,COUNTIF($BR$12:BR76,$B$13:$B$81),0))=0,"",INDEX($B$13:$B$81,MATCH(0,COUNTIF($BR$12:BR76,$B$13:$B$81),0))),"")</f>
        <v/>
      </c>
      <c r="BS77" s="124" t="str">
        <f t="shared" si="50"/>
        <v/>
      </c>
      <c r="BT77" s="125" t="str">
        <f t="shared" si="51"/>
        <v/>
      </c>
      <c r="BU77" s="4" t="str">
        <f>IF(LINE2_DATA[[#This Row],[OP]]="","",INDEX(Sheet1!$G$2:$I$10,MATCH(LINE2_DATA[[#This Row],[OP]],Sheet1!$G$2:$G$10,0),3))</f>
        <v/>
      </c>
      <c r="BV77" s="4" t="str">
        <f t="shared" si="52"/>
        <v/>
      </c>
      <c r="BW77" s="4" t="str">
        <f t="shared" si="53"/>
        <v/>
      </c>
      <c r="BX77" s="4" t="str">
        <f t="shared" si="54"/>
        <v/>
      </c>
      <c r="BY77" s="4" t="str">
        <f t="shared" si="55"/>
        <v/>
      </c>
      <c r="BZ77" s="4" t="str">
        <f>IF(BR77="","",SUM(LINE2_DATA[[#This Row],[PRODUCED LBS]],LINE2_DATA[[#This Row],[SCRAP]]))</f>
        <v/>
      </c>
      <c r="CA77" s="4" t="str">
        <f>IF(BR77="","",ROUND(((LINE2_DATA[[#This Row],[SCRAP]]/LINE2_DATA[[#This Row],[TOTAL LBS]])*100),2))</f>
        <v/>
      </c>
      <c r="CB77" s="4" t="str">
        <f t="shared" si="56"/>
        <v/>
      </c>
      <c r="CC77" s="4" t="str">
        <f t="shared" si="57"/>
        <v/>
      </c>
      <c r="CD77" s="4" t="str">
        <f>IF(LINE2_DATA[[#This Row],[EFFECTIVE SPEED]]="","",(LINE2_DATA[[#This Row],[EFFECTIVE SPEED]]*LINE2_DATA[[#This Row],[AVAILABLE MINS]]))</f>
        <v/>
      </c>
      <c r="CE77" s="4" t="str">
        <f>IFERROR(IF(BR77="","",ROUND(((LINE2_DATA[[#This Row],[PRODUCED FT]]/LINE2_DATA[[#This Row],[PENT. PROD. CAP.]])*100),2)),"")</f>
        <v/>
      </c>
      <c r="CF77" s="125" t="str">
        <f>IF(LINE2_DATA[[#This Row],[DATE]]="","",75)</f>
        <v/>
      </c>
      <c r="CG77" s="125" t="str">
        <f>IF(LINE2_DATA[[#This Row],[DATE]]="","",10)</f>
        <v/>
      </c>
    </row>
    <row r="78" spans="1:85" ht="19.899999999999999" customHeight="1" x14ac:dyDescent="0.25">
      <c r="A78" s="19" t="str">
        <f t="shared" ref="A78:A81" si="62">IF($E78="","",CONCATENATE($I78,"-",$D78,"-",$H78,"-",$G78))</f>
        <v/>
      </c>
      <c r="B78" s="19" t="str">
        <f t="shared" ref="B78:B81" si="63">IF($I78="","",CONCATENATE($I78,"-",$G78))</f>
        <v/>
      </c>
      <c r="D78" s="8"/>
      <c r="E78" s="8"/>
      <c r="F78" s="8"/>
      <c r="G78" s="8"/>
      <c r="H78" s="98"/>
      <c r="I78" s="44"/>
      <c r="J78" s="8"/>
      <c r="K78" s="8"/>
      <c r="L78" s="8"/>
      <c r="M78" s="8"/>
      <c r="N78" s="8"/>
      <c r="O78" s="37"/>
      <c r="P78" s="4" t="str" cm="1">
        <f t="array" ref="P78">IFERROR(INDEX($A$13:$A$81,MATCH(0,COUNTIF($P$12:P77,$A$13:$A$81),0)),"")</f>
        <v/>
      </c>
      <c r="Q78" s="92" t="str">
        <f t="shared" ref="Q78:Q81" si="64">IF($P78="","",INDEX($C$13:$M$80,MATCH($P78,$A$13:$A$80,0),7))</f>
        <v/>
      </c>
      <c r="R78" s="93" t="str">
        <f t="shared" ref="R78:R81" si="65">IF($P78="","",INDEX($C$13:$M$80,MATCH($P78,$A$13:$A$80,0),2))</f>
        <v/>
      </c>
      <c r="S78" s="93" t="str">
        <f t="shared" ref="S78:S81" si="66">IF($P78="","",INDEX($C$13:$M$80,MATCH($P78,$A$13:$A$80,0),6))</f>
        <v/>
      </c>
      <c r="T78" s="93" t="str">
        <f t="shared" ref="T78:T81" si="67">IF($P78="","",INDEX($A$13:$M$80,MATCH($P78,$A$13:$A$80,0),7))</f>
        <v/>
      </c>
      <c r="U78" s="127" t="str">
        <f t="shared" si="38"/>
        <v/>
      </c>
      <c r="V78" s="46" t="str">
        <f t="shared" si="39"/>
        <v/>
      </c>
      <c r="W78" s="37"/>
      <c r="X78" s="18" t="str">
        <f t="array" ref="X78">IFERROR(IF(INDEX($H$13:$H$81,MATCH(0,COUNTIF($X$12:X77,$H$13:$H$81),0))=0,"",INDEX($H$13:$H$81,MATCH(0,COUNTIF($X$12:X77,$H$13:$H$81),0))),"")</f>
        <v/>
      </c>
      <c r="Y78" s="18" t="str">
        <f t="shared" si="59"/>
        <v/>
      </c>
      <c r="Z78" s="48" t="str">
        <f t="shared" ref="Z78:Z81" si="68">IF($X78="","",SUMIFS($AS$13:$AS$81,$AM$13:$AM$81,$X78,$AS$13:$AS$81,"&gt;0"))</f>
        <v/>
      </c>
      <c r="AA78" s="82"/>
      <c r="AB78" s="18" t="str">
        <f t="shared" ref="AB78:AB81" si="69">IF($BF78="","",IF(INDEX($B$13:$N$81,MATCH($BF78,$BE$13:$BE$81,0),9)=0,"",INDEX($B$13:$N$81,MATCH($BF78,$BE$13:$BE$81,0),9)))</f>
        <v/>
      </c>
      <c r="AC78" s="31" t="str">
        <f t="shared" ref="AC78:AC81" si="70">IF($BF78="","",SUMIFS($AT$13:$AT$81,$BE$13:$BE$81,$BF78,$AT$13:$AT$81,"&gt;0"))</f>
        <v/>
      </c>
      <c r="AD78" s="18" t="str">
        <f t="shared" ref="AD78:AD81" si="71">IF($BF78="","",SUMIFS($AR$13:$AR$81,$BE$13:$BE$81,$BF78,$AR$13:$AR$81,"&gt;0"))</f>
        <v/>
      </c>
      <c r="AE78" s="18" t="str">
        <f t="shared" ref="AE78:AE81" si="72">IF($BF78="","",SUMIFS($AS$13:$AS$81,$BE$13:$BE$81,$BF78,$AS$13:$AS$81,"&gt;0"))</f>
        <v/>
      </c>
      <c r="AF78" s="37"/>
      <c r="AG78" s="45" t="str">
        <f t="array" ref="AG78">IFERROR(IF(INDEX($B$13:$B$81,MATCH(0,COUNTIF($AG$12:AG77,$B$13:$B$81),0))=0,"",INDEX($B$13:$B$81,MATCH(0,COUNTIF($AG$12:AG77,$B$13:$B$81),0))),"")</f>
        <v/>
      </c>
      <c r="AH78" s="122" t="str">
        <f t="shared" si="60"/>
        <v/>
      </c>
      <c r="AI78" s="123" t="str">
        <f t="shared" si="61"/>
        <v/>
      </c>
      <c r="AJ78" s="102" t="str">
        <f>IFERROR(IF($AG78="","",SUMIFS([2]INPUTS!$F:$F,[2]INPUTS!$L:$L,$AG78,[2]INPUTS!$E:$E,$D$9)),"")</f>
        <v/>
      </c>
      <c r="AK78" s="12" t="str">
        <f t="shared" si="43"/>
        <v/>
      </c>
      <c r="AM78" s="109" t="str">
        <f t="shared" si="44"/>
        <v/>
      </c>
      <c r="AN78" s="108" t="str">
        <f t="shared" si="45"/>
        <v/>
      </c>
      <c r="AO78" s="101" t="str">
        <f>IF(AP78="","",_xlfn.XLOOKUP(CONCATENATE(AN78,"-",AP78),[3]INPUTS!$B:$B,[3]INPUTS!$N:$N))</f>
        <v/>
      </c>
      <c r="AP78" s="108" t="str">
        <f t="shared" si="46"/>
        <v/>
      </c>
      <c r="AQ78" s="99" t="str">
        <f>IF($F78="","",IF($L78="",_xlfn.XLOOKUP($D$9,[1]SCHE!$A:$A,[1]SCHE!$N:$N),$L78))</f>
        <v/>
      </c>
      <c r="AR78" s="99" t="str">
        <f t="shared" si="36"/>
        <v/>
      </c>
      <c r="AS78" s="47" t="str">
        <f t="shared" ref="AS78:AS81" si="73">IF($AR78="","",($AR78*$AQ78))</f>
        <v/>
      </c>
      <c r="AT78" s="9" t="str">
        <f t="shared" si="47"/>
        <v/>
      </c>
      <c r="AU78" s="94" t="str">
        <f>IF($AO78="","",IF($AT$3="",INDEX([3]INPUTS!$A:$BF,MATCH(CONCATENATE($AN78,"-",$AP78),[3]INPUTS!$B:$B,0),22),$AT$3))</f>
        <v/>
      </c>
      <c r="AV78" s="103" t="str">
        <f t="shared" si="48"/>
        <v/>
      </c>
      <c r="AW78" s="11" t="str">
        <f t="shared" si="49"/>
        <v/>
      </c>
      <c r="AX78" s="104" t="str">
        <f t="shared" ref="AX78:AX81" si="74">IF($K78="",IF($M78="","",$M78),$K78)</f>
        <v/>
      </c>
      <c r="AY78" s="110" t="str">
        <f t="shared" si="58"/>
        <v/>
      </c>
      <c r="BE78" s="19" t="str">
        <f t="shared" ref="BE78:BE81" si="75">IF($AO78="","",IF($M78="",CONCATENATE($I78,"-",$G78,"-",$AO78),""))</f>
        <v/>
      </c>
      <c r="BR78" s="1" t="str">
        <f t="array" ref="BR78">IFERROR(IF(INDEX($B$13:$B$81,MATCH(0,COUNTIF($BR$12:BR77,$B$13:$B$81),0))=0,"",INDEX($B$13:$B$81,MATCH(0,COUNTIF($BR$12:BR77,$B$13:$B$81),0))),"")</f>
        <v/>
      </c>
      <c r="BS78" s="124" t="str">
        <f t="shared" si="50"/>
        <v/>
      </c>
      <c r="BT78" s="125" t="str">
        <f t="shared" si="51"/>
        <v/>
      </c>
      <c r="BU78" s="4" t="str">
        <f>IF(LINE2_DATA[[#This Row],[OP]]="","",INDEX(Sheet1!$G$2:$I$10,MATCH(LINE2_DATA[[#This Row],[OP]],Sheet1!$G$2:$G$10,0),3))</f>
        <v/>
      </c>
      <c r="BV78" s="4" t="str">
        <f t="shared" si="52"/>
        <v/>
      </c>
      <c r="BW78" s="4" t="str">
        <f t="shared" si="53"/>
        <v/>
      </c>
      <c r="BX78" s="4" t="str">
        <f t="shared" si="54"/>
        <v/>
      </c>
      <c r="BY78" s="4" t="str">
        <f t="shared" si="55"/>
        <v/>
      </c>
      <c r="BZ78" s="4" t="str">
        <f>IF(BR78="","",SUM(LINE2_DATA[[#This Row],[PRODUCED LBS]],LINE2_DATA[[#This Row],[SCRAP]]))</f>
        <v/>
      </c>
      <c r="CA78" s="4" t="str">
        <f>IF(BR78="","",ROUND(((LINE2_DATA[[#This Row],[SCRAP]]/LINE2_DATA[[#This Row],[TOTAL LBS]])*100),2))</f>
        <v/>
      </c>
      <c r="CB78" s="4" t="str">
        <f t="shared" si="56"/>
        <v/>
      </c>
      <c r="CC78" s="4" t="str">
        <f t="shared" ref="CC78:CC81" si="76">IF(BR78="","",IF(INDEX(A77:N145,MATCH(BR78,B77:B145,0),14)=0,495,INDEX(A77:N145,MATCH(BR78,B77:B145,0),14)))</f>
        <v/>
      </c>
      <c r="CD78" s="4" t="str">
        <f>IF(LINE2_DATA[[#This Row],[EFFECTIVE SPEED]]="","",(LINE2_DATA[[#This Row],[EFFECTIVE SPEED]]*LINE2_DATA[[#This Row],[AVAILABLE MINS]]))</f>
        <v/>
      </c>
      <c r="CE78" s="4" t="str">
        <f>IFERROR(IF(BR78="","",ROUND(((LINE2_DATA[[#This Row],[PRODUCED FT]]/LINE2_DATA[[#This Row],[PENT. PROD. CAP.]])*100),2)),"")</f>
        <v/>
      </c>
      <c r="CF78" s="125" t="str">
        <f>IF(LINE2_DATA[[#This Row],[DATE]]="","",75)</f>
        <v/>
      </c>
      <c r="CG78" s="125" t="str">
        <f>IF(LINE2_DATA[[#This Row],[DATE]]="","",10)</f>
        <v/>
      </c>
    </row>
    <row r="79" spans="1:85" ht="19.899999999999999" customHeight="1" x14ac:dyDescent="0.25">
      <c r="A79" s="19" t="str">
        <f t="shared" si="62"/>
        <v/>
      </c>
      <c r="B79" s="19" t="str">
        <f t="shared" si="63"/>
        <v/>
      </c>
      <c r="D79" s="8"/>
      <c r="E79" s="8"/>
      <c r="F79" s="8"/>
      <c r="G79" s="8"/>
      <c r="H79" s="98"/>
      <c r="I79" s="44"/>
      <c r="J79" s="8"/>
      <c r="K79" s="8"/>
      <c r="L79" s="8"/>
      <c r="M79" s="8"/>
      <c r="N79" s="8"/>
      <c r="O79" s="37"/>
      <c r="P79" s="4" t="str" cm="1">
        <f t="array" ref="P79">IFERROR(INDEX($A$13:$A$81,MATCH(0,COUNTIF($P$12:P78,$A$13:$A$81),0)),"")</f>
        <v/>
      </c>
      <c r="Q79" s="92" t="str">
        <f t="shared" si="64"/>
        <v/>
      </c>
      <c r="R79" s="93" t="str">
        <f t="shared" si="65"/>
        <v/>
      </c>
      <c r="S79" s="93" t="str">
        <f t="shared" si="66"/>
        <v/>
      </c>
      <c r="T79" s="93" t="str">
        <f t="shared" si="67"/>
        <v/>
      </c>
      <c r="U79" s="127" t="str">
        <f t="shared" si="38"/>
        <v/>
      </c>
      <c r="V79" s="46" t="str">
        <f t="shared" si="39"/>
        <v/>
      </c>
      <c r="W79" s="37"/>
      <c r="X79" s="18" t="str">
        <f t="array" ref="X79">IFERROR(IF(INDEX($H$13:$H$81,MATCH(0,COUNTIF($X$12:X78,$H$13:$H$81),0))=0,"",INDEX($H$13:$H$81,MATCH(0,COUNTIF($X$12:X78,$H$13:$H$81),0))),"")</f>
        <v/>
      </c>
      <c r="Y79" s="18" t="str">
        <f t="shared" si="59"/>
        <v/>
      </c>
      <c r="Z79" s="48" t="str">
        <f t="shared" si="68"/>
        <v/>
      </c>
      <c r="AA79" s="82"/>
      <c r="AB79" s="18" t="str">
        <f t="shared" si="69"/>
        <v/>
      </c>
      <c r="AC79" s="31" t="str">
        <f t="shared" si="70"/>
        <v/>
      </c>
      <c r="AD79" s="18" t="str">
        <f t="shared" si="71"/>
        <v/>
      </c>
      <c r="AE79" s="18" t="str">
        <f t="shared" si="72"/>
        <v/>
      </c>
      <c r="AF79" s="37"/>
      <c r="AG79" s="45" t="str">
        <f t="array" ref="AG79">IFERROR(IF(INDEX($B$13:$B$81,MATCH(0,COUNTIF($AG$12:AG78,$B$13:$B$81),0))=0,"",INDEX($B$13:$B$81,MATCH(0,COUNTIF($AG$12:AG78,$B$13:$B$81),0))),"")</f>
        <v/>
      </c>
      <c r="AH79" s="122" t="str">
        <f t="shared" si="60"/>
        <v/>
      </c>
      <c r="AI79" s="123" t="str">
        <f t="shared" si="61"/>
        <v/>
      </c>
      <c r="AJ79" s="102" t="str">
        <f>IFERROR(IF($AG79="","",SUMIFS([2]INPUTS!$F:$F,[2]INPUTS!$L:$L,$AG79,[2]INPUTS!$E:$E,$D$9)),"")</f>
        <v/>
      </c>
      <c r="AK79" s="12" t="str">
        <f t="shared" si="43"/>
        <v/>
      </c>
      <c r="AM79" s="109" t="str">
        <f t="shared" si="44"/>
        <v/>
      </c>
      <c r="AN79" s="108" t="str">
        <f t="shared" si="45"/>
        <v/>
      </c>
      <c r="AO79" s="101" t="str">
        <f>IF(AP79="","",_xlfn.XLOOKUP(CONCATENATE(AN79,"-",AP79),[3]INPUTS!$B:$B,[3]INPUTS!$N:$N))</f>
        <v/>
      </c>
      <c r="AP79" s="108" t="str">
        <f t="shared" si="46"/>
        <v/>
      </c>
      <c r="AQ79" s="99" t="str">
        <f>IF($F79="","",IF($L79="",_xlfn.XLOOKUP($D$9,[1]SCHE!$A:$A,[1]SCHE!$N:$N),$L79))</f>
        <v/>
      </c>
      <c r="AR79" s="99" t="str">
        <f t="shared" si="36"/>
        <v/>
      </c>
      <c r="AS79" s="47" t="str">
        <f t="shared" si="73"/>
        <v/>
      </c>
      <c r="AT79" s="9" t="str">
        <f t="shared" si="47"/>
        <v/>
      </c>
      <c r="AU79" s="94" t="str">
        <f>IF($AO79="","",IF($AT$3="",INDEX([3]INPUTS!$A:$BF,MATCH(CONCATENATE($AN79,"-",$AP79),[3]INPUTS!$B:$B,0),22),$AT$3))</f>
        <v/>
      </c>
      <c r="AV79" s="103" t="str">
        <f t="shared" si="48"/>
        <v/>
      </c>
      <c r="AW79" s="11" t="str">
        <f t="shared" si="49"/>
        <v/>
      </c>
      <c r="AX79" s="104" t="str">
        <f t="shared" si="74"/>
        <v/>
      </c>
      <c r="AY79" s="110" t="str">
        <f t="shared" si="58"/>
        <v/>
      </c>
      <c r="BE79" s="19" t="str">
        <f t="shared" si="75"/>
        <v/>
      </c>
      <c r="BR79" s="1" t="str">
        <f t="array" ref="BR79">IFERROR(IF(INDEX($B$13:$B$81,MATCH(0,COUNTIF($BR$12:BR78,$B$13:$B$81),0))=0,"",INDEX($B$13:$B$81,MATCH(0,COUNTIF($BR$12:BR78,$B$13:$B$81),0))),"")</f>
        <v/>
      </c>
      <c r="BS79" s="124" t="str">
        <f t="shared" si="50"/>
        <v/>
      </c>
      <c r="BT79" s="125" t="str">
        <f t="shared" si="51"/>
        <v/>
      </c>
      <c r="BU79" s="4" t="str">
        <f>IF(LINE2_DATA[[#This Row],[OP]]="","",INDEX(Sheet1!$G$2:$I$10,MATCH(LINE2_DATA[[#This Row],[OP]],Sheet1!$G$2:$G$10,0),3))</f>
        <v/>
      </c>
      <c r="BV79" s="4" t="str">
        <f t="shared" si="52"/>
        <v/>
      </c>
      <c r="BW79" s="4" t="str">
        <f t="shared" si="53"/>
        <v/>
      </c>
      <c r="BX79" s="4" t="str">
        <f t="shared" si="54"/>
        <v/>
      </c>
      <c r="BY79" s="4" t="str">
        <f t="shared" si="55"/>
        <v/>
      </c>
      <c r="BZ79" s="4" t="str">
        <f>IF(BR79="","",SUM(LINE2_DATA[[#This Row],[PRODUCED LBS]],LINE2_DATA[[#This Row],[SCRAP]]))</f>
        <v/>
      </c>
      <c r="CA79" s="4" t="str">
        <f>IF(BR79="","",ROUND(((LINE2_DATA[[#This Row],[SCRAP]]/LINE2_DATA[[#This Row],[TOTAL LBS]])*100),2))</f>
        <v/>
      </c>
      <c r="CB79" s="4" t="str">
        <f t="shared" si="56"/>
        <v/>
      </c>
      <c r="CC79" s="4" t="str">
        <f t="shared" si="76"/>
        <v/>
      </c>
      <c r="CD79" s="4" t="str">
        <f>IF(LINE2_DATA[[#This Row],[EFFECTIVE SPEED]]="","",(LINE2_DATA[[#This Row],[EFFECTIVE SPEED]]*LINE2_DATA[[#This Row],[AVAILABLE MINS]]))</f>
        <v/>
      </c>
      <c r="CE79" s="4" t="str">
        <f>IFERROR(IF(BR79="","",ROUND(((LINE2_DATA[[#This Row],[PRODUCED FT]]/LINE2_DATA[[#This Row],[PENT. PROD. CAP.]])*100),2)),"")</f>
        <v/>
      </c>
      <c r="CF79" s="125" t="str">
        <f>IF(LINE2_DATA[[#This Row],[DATE]]="","",75)</f>
        <v/>
      </c>
      <c r="CG79" s="125" t="str">
        <f>IF(LINE2_DATA[[#This Row],[DATE]]="","",10)</f>
        <v/>
      </c>
    </row>
    <row r="80" spans="1:85" ht="19.899999999999999" customHeight="1" x14ac:dyDescent="0.25">
      <c r="A80" s="19" t="str">
        <f t="shared" si="62"/>
        <v/>
      </c>
      <c r="B80" s="19" t="str">
        <f t="shared" si="63"/>
        <v/>
      </c>
      <c r="D80" s="8"/>
      <c r="E80" s="8"/>
      <c r="F80" s="8"/>
      <c r="G80" s="8"/>
      <c r="H80" s="98"/>
      <c r="I80" s="44"/>
      <c r="J80" s="8"/>
      <c r="K80" s="8"/>
      <c r="L80" s="8"/>
      <c r="M80" s="8"/>
      <c r="N80" s="8"/>
      <c r="O80" s="37"/>
      <c r="P80" s="4" t="str" cm="1">
        <f t="array" ref="P80">IFERROR(INDEX($A$13:$A$81,MATCH(0,COUNTIF($P$12:P79,$A$13:$A$81),0)),"")</f>
        <v/>
      </c>
      <c r="Q80" s="92" t="str">
        <f t="shared" si="64"/>
        <v/>
      </c>
      <c r="R80" s="93" t="str">
        <f t="shared" si="65"/>
        <v/>
      </c>
      <c r="S80" s="93" t="str">
        <f t="shared" si="66"/>
        <v/>
      </c>
      <c r="T80" s="93" t="str">
        <f t="shared" si="67"/>
        <v/>
      </c>
      <c r="U80" s="127" t="str">
        <f t="shared" si="38"/>
        <v/>
      </c>
      <c r="V80" s="46" t="str">
        <f t="shared" si="39"/>
        <v/>
      </c>
      <c r="W80" s="37"/>
      <c r="X80" s="18" t="str">
        <f t="array" ref="X80">IFERROR(IF(INDEX($H$13:$H$81,MATCH(0,COUNTIF($X$12:X79,$H$13:$H$81),0))=0,"",INDEX($H$13:$H$81,MATCH(0,COUNTIF($X$12:X79,$H$13:$H$81),0))),"")</f>
        <v/>
      </c>
      <c r="Y80" s="18" t="str">
        <f t="shared" si="59"/>
        <v/>
      </c>
      <c r="Z80" s="48" t="str">
        <f t="shared" si="68"/>
        <v/>
      </c>
      <c r="AA80" s="82"/>
      <c r="AB80" s="18" t="str">
        <f t="shared" si="69"/>
        <v/>
      </c>
      <c r="AC80" s="31" t="str">
        <f t="shared" si="70"/>
        <v/>
      </c>
      <c r="AD80" s="18" t="str">
        <f t="shared" si="71"/>
        <v/>
      </c>
      <c r="AE80" s="18" t="str">
        <f t="shared" si="72"/>
        <v/>
      </c>
      <c r="AF80" s="37"/>
      <c r="AG80" s="45" t="str">
        <f t="array" ref="AG80">IFERROR(IF(INDEX($B$13:$B$81,MATCH(0,COUNTIF($AG$12:AG79,$B$13:$B$81),0))=0,"",INDEX($B$13:$B$81,MATCH(0,COUNTIF($AG$12:AG79,$B$13:$B$81),0))),"")</f>
        <v/>
      </c>
      <c r="AH80" s="122" t="str">
        <f t="shared" si="60"/>
        <v/>
      </c>
      <c r="AI80" s="123" t="str">
        <f t="shared" si="61"/>
        <v/>
      </c>
      <c r="AJ80" s="102" t="str">
        <f>IFERROR(IF($AG80="","",SUMIFS([2]INPUTS!$F:$F,[2]INPUTS!$L:$L,$AG80,[2]INPUTS!$E:$E,$D$9)),"")</f>
        <v/>
      </c>
      <c r="AK80" s="12" t="str">
        <f t="shared" si="43"/>
        <v/>
      </c>
      <c r="AM80" s="109" t="str">
        <f t="shared" si="44"/>
        <v/>
      </c>
      <c r="AN80" s="108" t="str">
        <f t="shared" si="45"/>
        <v/>
      </c>
      <c r="AO80" s="101" t="str">
        <f>IF(AP80="","",_xlfn.XLOOKUP(CONCATENATE(AN80,"-",AP80),[3]INPUTS!$B:$B,[3]INPUTS!$N:$N))</f>
        <v/>
      </c>
      <c r="AP80" s="108" t="str">
        <f t="shared" si="46"/>
        <v/>
      </c>
      <c r="AQ80" s="99" t="str">
        <f>IF($F80="","",IF($L80="",_xlfn.XLOOKUP($D$9,[1]SCHE!$A:$A,[1]SCHE!$N:$N),$L80))</f>
        <v/>
      </c>
      <c r="AR80" s="99" t="str">
        <f t="shared" si="36"/>
        <v/>
      </c>
      <c r="AS80" s="47" t="str">
        <f t="shared" si="73"/>
        <v/>
      </c>
      <c r="AT80" s="9" t="str">
        <f t="shared" si="47"/>
        <v/>
      </c>
      <c r="AU80" s="94" t="str">
        <f>IF($AO80="","",IF($AT$3="",INDEX([3]INPUTS!$A:$BF,MATCH(CONCATENATE($AN80,"-",$AP80),[3]INPUTS!$B:$B,0),22),$AT$3))</f>
        <v/>
      </c>
      <c r="AV80" s="103" t="str">
        <f t="shared" si="48"/>
        <v/>
      </c>
      <c r="AW80" s="11" t="str">
        <f t="shared" si="49"/>
        <v/>
      </c>
      <c r="AX80" s="104" t="str">
        <f t="shared" si="74"/>
        <v/>
      </c>
      <c r="AY80" s="110" t="str">
        <f t="shared" si="58"/>
        <v/>
      </c>
      <c r="BE80" s="19" t="str">
        <f t="shared" si="75"/>
        <v/>
      </c>
      <c r="BR80" s="1" t="str">
        <f t="array" ref="BR80">IFERROR(IF(INDEX($B$13:$B$81,MATCH(0,COUNTIF($BR$12:BR79,$B$13:$B$81),0))=0,"",INDEX($B$13:$B$81,MATCH(0,COUNTIF($BR$12:BR79,$B$13:$B$81),0))),"")</f>
        <v/>
      </c>
      <c r="BS80" s="124" t="str">
        <f t="shared" si="50"/>
        <v/>
      </c>
      <c r="BT80" s="125" t="str">
        <f t="shared" si="51"/>
        <v/>
      </c>
      <c r="BU80" s="4" t="str">
        <f>IF(LINE2_DATA[[#This Row],[OP]]="","",INDEX(Sheet1!$G$2:$I$10,MATCH(LINE2_DATA[[#This Row],[OP]],Sheet1!$G$2:$G$10,0),3))</f>
        <v/>
      </c>
      <c r="BV80" s="4" t="str">
        <f t="shared" si="52"/>
        <v/>
      </c>
      <c r="BW80" s="4" t="str">
        <f t="shared" si="53"/>
        <v/>
      </c>
      <c r="BX80" s="4" t="str">
        <f t="shared" si="54"/>
        <v/>
      </c>
      <c r="BY80" s="4" t="str">
        <f t="shared" si="55"/>
        <v/>
      </c>
      <c r="BZ80" s="4" t="str">
        <f>IF(BR80="","",SUM(LINE2_DATA[[#This Row],[PRODUCED LBS]],LINE2_DATA[[#This Row],[SCRAP]]))</f>
        <v/>
      </c>
      <c r="CA80" s="4" t="str">
        <f>IF(BR80="","",ROUND(((LINE2_DATA[[#This Row],[SCRAP]]/LINE2_DATA[[#This Row],[TOTAL LBS]])*100),2))</f>
        <v/>
      </c>
      <c r="CB80" s="4" t="str">
        <f t="shared" si="56"/>
        <v/>
      </c>
      <c r="CC80" s="4" t="str">
        <f t="shared" si="76"/>
        <v/>
      </c>
      <c r="CD80" s="4" t="str">
        <f>IF(LINE2_DATA[[#This Row],[EFFECTIVE SPEED]]="","",(LINE2_DATA[[#This Row],[EFFECTIVE SPEED]]*LINE2_DATA[[#This Row],[AVAILABLE MINS]]))</f>
        <v/>
      </c>
      <c r="CE80" s="4" t="str">
        <f>IFERROR(IF(BR80="","",ROUND(((LINE2_DATA[[#This Row],[PRODUCED FT]]/LINE2_DATA[[#This Row],[PENT. PROD. CAP.]])*100),2)),"")</f>
        <v/>
      </c>
      <c r="CF80" s="125" t="str">
        <f>IF(LINE2_DATA[[#This Row],[DATE]]="","",75)</f>
        <v/>
      </c>
      <c r="CG80" s="125" t="str">
        <f>IF(LINE2_DATA[[#This Row],[DATE]]="","",10)</f>
        <v/>
      </c>
    </row>
    <row r="81" spans="1:85" ht="19.899999999999999" customHeight="1" x14ac:dyDescent="0.25">
      <c r="A81" s="19" t="str">
        <f t="shared" si="62"/>
        <v/>
      </c>
      <c r="B81" s="19" t="str">
        <f t="shared" si="63"/>
        <v/>
      </c>
      <c r="D81" s="26"/>
      <c r="E81" s="26"/>
      <c r="F81" s="8"/>
      <c r="G81" s="8"/>
      <c r="H81" s="98"/>
      <c r="I81" s="44"/>
      <c r="J81" s="8"/>
      <c r="K81" s="8"/>
      <c r="L81" s="8"/>
      <c r="M81" s="8"/>
      <c r="N81" s="8"/>
      <c r="O81" s="37"/>
      <c r="P81" s="4" t="str" cm="1">
        <f t="array" ref="P81">IFERROR(INDEX($A$13:$A$81,MATCH(0,COUNTIF($P$12:P80,$A$13:$A$81),0)),"")</f>
        <v/>
      </c>
      <c r="Q81" s="92" t="str">
        <f t="shared" si="64"/>
        <v/>
      </c>
      <c r="R81" s="93" t="str">
        <f t="shared" si="65"/>
        <v/>
      </c>
      <c r="S81" s="93" t="str">
        <f t="shared" si="66"/>
        <v/>
      </c>
      <c r="T81" s="93" t="str">
        <f t="shared" si="67"/>
        <v/>
      </c>
      <c r="U81" s="127" t="str">
        <f t="shared" si="38"/>
        <v/>
      </c>
      <c r="V81" s="46" t="str">
        <f t="shared" si="39"/>
        <v/>
      </c>
      <c r="W81" s="37"/>
      <c r="X81" s="18" t="str">
        <f t="array" ref="X81">IFERROR(IF(INDEX($H$13:$H$81,MATCH(0,COUNTIF($X$12:X80,$H$13:$H$81),0))=0,"",INDEX($H$13:$H$81,MATCH(0,COUNTIF($X$12:X80,$H$13:$H$81),0))),"")</f>
        <v/>
      </c>
      <c r="Y81" s="18" t="str">
        <f t="shared" si="59"/>
        <v/>
      </c>
      <c r="Z81" s="48" t="str">
        <f t="shared" si="68"/>
        <v/>
      </c>
      <c r="AA81" s="81"/>
      <c r="AB81" s="18" t="str">
        <f t="shared" si="69"/>
        <v/>
      </c>
      <c r="AC81" s="31" t="str">
        <f t="shared" si="70"/>
        <v/>
      </c>
      <c r="AD81" s="18" t="str">
        <f t="shared" si="71"/>
        <v/>
      </c>
      <c r="AE81" s="18" t="str">
        <f t="shared" si="72"/>
        <v/>
      </c>
      <c r="AF81" s="37"/>
      <c r="AG81" s="45" t="str">
        <f t="array" ref="AG81">IFERROR(IF(INDEX($B$13:$B$81,MATCH(0,COUNTIF($AG$12:AG80,$B$13:$B$81),0))=0,"",INDEX($B$13:$B$81,MATCH(0,COUNTIF($AG$12:AG80,$B$13:$B$81),0))),"")</f>
        <v/>
      </c>
      <c r="AH81" s="122" t="str">
        <f t="shared" si="60"/>
        <v/>
      </c>
      <c r="AI81" s="123" t="str">
        <f t="shared" si="61"/>
        <v/>
      </c>
      <c r="AJ81" s="102" t="str">
        <f>IFERROR(IF($AG81="","",SUMIFS([2]INPUTS!$F:$F,[2]INPUTS!$L:$L,$AG81,[2]INPUTS!$E:$E,$D$9)),"")</f>
        <v/>
      </c>
      <c r="AK81" s="12" t="str">
        <f t="shared" si="43"/>
        <v/>
      </c>
      <c r="AM81" s="109" t="str">
        <f t="shared" si="44"/>
        <v/>
      </c>
      <c r="AN81" s="108" t="str">
        <f t="shared" si="45"/>
        <v/>
      </c>
      <c r="AO81" s="101" t="str">
        <f>IF(AP81="","",_xlfn.XLOOKUP(CONCATENATE(AN81,"-",AP81),[3]INPUTS!$B:$B,[3]INPUTS!$N:$N))</f>
        <v/>
      </c>
      <c r="AP81" s="108" t="str">
        <f t="shared" si="46"/>
        <v/>
      </c>
      <c r="AQ81" s="99" t="str">
        <f>IF($F81="","",IF($L81="",_xlfn.XLOOKUP($D$9,[1]SCHE!$A:$A,[1]SCHE!$N:$N),$L81))</f>
        <v/>
      </c>
      <c r="AR81" s="99" t="str">
        <f t="shared" si="36"/>
        <v/>
      </c>
      <c r="AS81" s="47" t="str">
        <f t="shared" si="73"/>
        <v/>
      </c>
      <c r="AT81" s="9" t="str">
        <f t="shared" si="47"/>
        <v/>
      </c>
      <c r="AU81" s="94" t="str">
        <f>IF($AO81="","",IF($AT$3="",INDEX([3]INPUTS!$A:$BF,MATCH(CONCATENATE($AN81,"-",$AP81),[3]INPUTS!$B:$B,0),22),$AT$3))</f>
        <v/>
      </c>
      <c r="AV81" s="103" t="str">
        <f t="shared" si="48"/>
        <v/>
      </c>
      <c r="AW81" s="11" t="str">
        <f t="shared" si="49"/>
        <v/>
      </c>
      <c r="AX81" s="104" t="str">
        <f t="shared" si="74"/>
        <v/>
      </c>
      <c r="AY81" s="110" t="str">
        <f t="shared" si="58"/>
        <v/>
      </c>
      <c r="BE81" s="19" t="str">
        <f t="shared" si="75"/>
        <v/>
      </c>
      <c r="BR81" s="1" t="str">
        <f t="array" ref="BR81">IFERROR(IF(INDEX($B$13:$B$81,MATCH(0,COUNTIF($BR$12:BR80,$B$13:$B$81),0))=0,"",INDEX($B$13:$B$81,MATCH(0,COUNTIF($BR$12:BR80,$B$13:$B$81),0))),"")</f>
        <v/>
      </c>
      <c r="BS81" s="124" t="str">
        <f t="shared" si="50"/>
        <v/>
      </c>
      <c r="BT81" s="125" t="str">
        <f t="shared" si="51"/>
        <v/>
      </c>
      <c r="BU81" s="4" t="str">
        <f>IF(LINE2_DATA[[#This Row],[OP]]="","",INDEX(Sheet1!$G$2:$I$10,MATCH(LINE2_DATA[[#This Row],[OP]],Sheet1!$G$2:$G$10,0),3))</f>
        <v/>
      </c>
      <c r="BV81" s="4" t="str">
        <f t="shared" si="52"/>
        <v/>
      </c>
      <c r="BW81" s="4" t="str">
        <f t="shared" si="53"/>
        <v/>
      </c>
      <c r="BX81" s="4" t="str">
        <f t="shared" si="54"/>
        <v/>
      </c>
      <c r="BY81" s="4" t="str">
        <f t="shared" si="55"/>
        <v/>
      </c>
      <c r="BZ81" s="4" t="str">
        <f>IF(BR81="","",SUM(LINE2_DATA[[#This Row],[PRODUCED LBS]],LINE2_DATA[[#This Row],[SCRAP]]))</f>
        <v/>
      </c>
      <c r="CA81" s="4" t="str">
        <f>IF(BR81="","",ROUND(((LINE2_DATA[[#This Row],[SCRAP]]/LINE2_DATA[[#This Row],[TOTAL LBS]])*100),2))</f>
        <v/>
      </c>
      <c r="CB81" s="4" t="str">
        <f t="shared" si="56"/>
        <v/>
      </c>
      <c r="CC81" s="4" t="str">
        <f t="shared" si="76"/>
        <v/>
      </c>
      <c r="CD81" s="4" t="str">
        <f>IF(LINE2_DATA[[#This Row],[EFFECTIVE SPEED]]="","",(LINE2_DATA[[#This Row],[EFFECTIVE SPEED]]*LINE2_DATA[[#This Row],[AVAILABLE MINS]]))</f>
        <v/>
      </c>
      <c r="CE81" s="4" t="str">
        <f>IFERROR(IF(BR81="","",ROUND(((LINE2_DATA[[#This Row],[PRODUCED FT]]/LINE2_DATA[[#This Row],[PENT. PROD. CAP.]])*100),2)),"")</f>
        <v/>
      </c>
      <c r="CF81" s="125" t="str">
        <f>IF(LINE2_DATA[[#This Row],[DATE]]="","",75)</f>
        <v/>
      </c>
      <c r="CG81" s="125" t="str">
        <f>IF(LINE2_DATA[[#This Row],[DATE]]="","",10)</f>
        <v/>
      </c>
    </row>
    <row r="82" spans="1:85" ht="24" thickBot="1" x14ac:dyDescent="0.3">
      <c r="D82" s="20" t="s">
        <v>121</v>
      </c>
      <c r="E82" s="20" t="s">
        <v>121</v>
      </c>
      <c r="F82" s="20" t="s">
        <v>121</v>
      </c>
      <c r="G82" s="20" t="s">
        <v>121</v>
      </c>
      <c r="H82" s="20" t="s">
        <v>121</v>
      </c>
      <c r="I82" s="20" t="s">
        <v>121</v>
      </c>
      <c r="J82" s="41" t="s">
        <v>121</v>
      </c>
      <c r="K82" s="41" t="s">
        <v>121</v>
      </c>
      <c r="L82" s="41"/>
      <c r="M82" s="41"/>
      <c r="N82" s="41"/>
      <c r="O82" s="37"/>
      <c r="P82" s="37"/>
      <c r="Q82" s="37"/>
      <c r="R82" s="37"/>
      <c r="S82" s="37"/>
      <c r="T82" s="37"/>
      <c r="U82" s="37"/>
      <c r="V82" s="37"/>
      <c r="W82" s="37"/>
      <c r="X82" s="41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12">
        <v>1</v>
      </c>
      <c r="AM82" s="121"/>
      <c r="AN82" s="151" t="s">
        <v>14</v>
      </c>
      <c r="AO82" s="152"/>
      <c r="AP82" s="152"/>
      <c r="AQ82" s="153"/>
      <c r="AR82" s="114" t="str">
        <f>IF($H$9="","",CONCATENATE(IF($L$10="",SUMIF($AR$13:$AR$81,"&gt;0"),(ROUNDUP(SUMIF(AS13:AS81,"&gt;0")/$AQ$13,0)))," PCS"))</f>
        <v>0 PCS</v>
      </c>
      <c r="AS82" s="114" t="str">
        <f>IF(H9="","",CONCATENATE(ROUNDUP(SUMIF(AS13:AS81,"&gt;0"),2)," FT"))</f>
        <v>0 FT</v>
      </c>
      <c r="AT82" s="115" t="str">
        <f>IF(H9="","",CONCATENATE(ROUNDUP(SUM(AT13:AT81),0)," LBS"))</f>
        <v>0 LBS</v>
      </c>
      <c r="AU82" s="114" t="str">
        <f>IF(H9="","","SCRAP")</f>
        <v>SCRAP</v>
      </c>
      <c r="AV82" s="116" t="str">
        <f>IF(H9="","",IFERROR(IF(D9="","",SUM(AJ13:AJ81)),""))</f>
        <v/>
      </c>
      <c r="AW82" s="114" t="str">
        <f>IF(H9="","","TOTAL WEIGHT")</f>
        <v>TOTAL WEIGHT</v>
      </c>
      <c r="AX82" s="115" t="str">
        <f>IF(H9="","",IF($D$9="","",ROUND(SUM($AV$82,$AT$13:$AT$81),0)))</f>
        <v/>
      </c>
      <c r="AY82" s="120" t="e">
        <f>IF($H$9="","",CONCATENATE("SCR/WO% ",ROUND((($AV$82/$AX$82)*100),2)))</f>
        <v>#VALUE!</v>
      </c>
    </row>
    <row r="83" spans="1:85" x14ac:dyDescent="0.25">
      <c r="D83" s="20"/>
      <c r="E83" s="20"/>
      <c r="F83" s="20"/>
      <c r="G83" s="20"/>
      <c r="H83" s="20"/>
      <c r="I83" s="20"/>
      <c r="J83" s="39"/>
      <c r="K83" s="42"/>
      <c r="L83" s="42"/>
      <c r="M83" s="42"/>
      <c r="N83" s="42"/>
      <c r="O83" s="21"/>
      <c r="P83" s="21"/>
      <c r="Q83" s="21"/>
      <c r="R83" s="21"/>
      <c r="S83" s="21"/>
      <c r="T83" s="21"/>
      <c r="U83" s="21"/>
      <c r="V83" s="21"/>
      <c r="W83" s="21"/>
      <c r="X83" s="42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19"/>
      <c r="AK83" s="12">
        <v>1</v>
      </c>
      <c r="AM83" s="16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17"/>
    </row>
    <row r="84" spans="1:85" ht="16.149999999999999" customHeight="1" x14ac:dyDescent="0.25">
      <c r="D84" s="20"/>
      <c r="E84" s="20"/>
      <c r="F84" s="20"/>
      <c r="G84" s="20"/>
      <c r="H84" s="20"/>
      <c r="I84" s="20"/>
      <c r="J84" s="39"/>
      <c r="K84" s="39"/>
      <c r="L84" s="39"/>
      <c r="M84" s="39"/>
      <c r="N84" s="39"/>
      <c r="P84" s="19"/>
      <c r="Q84" s="19"/>
      <c r="R84" s="19"/>
      <c r="S84" s="19"/>
      <c r="T84" s="19"/>
      <c r="U84" s="19"/>
      <c r="V84" s="19"/>
      <c r="X84" s="39"/>
      <c r="Y84" s="19"/>
      <c r="Z84" s="19"/>
      <c r="AG84" s="19"/>
      <c r="AH84" s="19"/>
      <c r="AI84" s="19"/>
      <c r="AJ84" s="19"/>
      <c r="AK84" s="12">
        <v>1</v>
      </c>
      <c r="AM84" s="161" t="s">
        <v>15</v>
      </c>
      <c r="AN84" s="161"/>
      <c r="AO84" s="161"/>
      <c r="AP84" s="189" t="s">
        <v>29</v>
      </c>
      <c r="AQ84" s="190"/>
      <c r="AR84" s="191"/>
      <c r="AS84" s="166" t="s">
        <v>20</v>
      </c>
      <c r="AT84" s="167"/>
      <c r="AU84" s="168"/>
      <c r="AV84" s="133" t="s">
        <v>22</v>
      </c>
      <c r="AW84" s="134"/>
      <c r="AX84" s="134"/>
      <c r="AY84" s="135"/>
    </row>
    <row r="85" spans="1:85" ht="16.149999999999999" customHeight="1" x14ac:dyDescent="0.25">
      <c r="D85" s="20"/>
      <c r="E85" s="20"/>
      <c r="F85" s="20"/>
      <c r="G85" s="20"/>
      <c r="H85" s="20"/>
      <c r="I85" s="20"/>
      <c r="J85" s="39"/>
      <c r="K85" s="39"/>
      <c r="L85" s="39"/>
      <c r="M85" s="39"/>
      <c r="N85" s="39"/>
      <c r="P85" s="19"/>
      <c r="Q85" s="19"/>
      <c r="R85" s="19"/>
      <c r="S85" s="19"/>
      <c r="T85" s="19"/>
      <c r="U85" s="19"/>
      <c r="V85" s="19"/>
      <c r="X85" s="39"/>
      <c r="Y85" s="19"/>
      <c r="Z85" s="19"/>
      <c r="AG85" s="19"/>
      <c r="AH85" s="19"/>
      <c r="AI85" s="19"/>
      <c r="AJ85" s="19"/>
      <c r="AK85" s="12">
        <v>1</v>
      </c>
      <c r="AM85" s="172" t="str">
        <f>IF($D$9="","",IF($H$10="",$H$9,CONCATENATE(TEXT($H$9,"mm/dd/yyyy hh:mm AM/PM")," - ",TEXT($H$10,"MM/DD/YYYY HH:MM AM/PM"))))</f>
        <v/>
      </c>
      <c r="AN85" s="173"/>
      <c r="AO85" s="174"/>
      <c r="AP85" s="192"/>
      <c r="AQ85" s="193"/>
      <c r="AR85" s="194"/>
      <c r="AS85" s="169"/>
      <c r="AT85" s="170"/>
      <c r="AU85" s="171"/>
      <c r="AV85" s="136"/>
      <c r="AW85" s="137"/>
      <c r="AX85" s="137"/>
      <c r="AY85" s="138"/>
    </row>
    <row r="86" spans="1:85" ht="16.149999999999999" customHeight="1" x14ac:dyDescent="0.25">
      <c r="D86" s="20"/>
      <c r="E86" s="20"/>
      <c r="F86" s="20"/>
      <c r="G86" s="20"/>
      <c r="H86" s="20"/>
      <c r="I86" s="20"/>
      <c r="J86" s="39"/>
      <c r="K86" s="39"/>
      <c r="L86" s="39"/>
      <c r="M86" s="39"/>
      <c r="N86" s="39"/>
      <c r="P86" s="19"/>
      <c r="Q86" s="19"/>
      <c r="R86" s="19"/>
      <c r="S86" s="19"/>
      <c r="T86" s="19"/>
      <c r="U86" s="19"/>
      <c r="V86" s="19"/>
      <c r="X86" s="39"/>
      <c r="Y86" s="19"/>
      <c r="Z86" s="19"/>
      <c r="AG86" s="19"/>
      <c r="AH86" s="19"/>
      <c r="AI86" s="19"/>
      <c r="AJ86" s="19"/>
      <c r="AK86" s="12">
        <v>1</v>
      </c>
      <c r="AM86" s="133" t="s">
        <v>16</v>
      </c>
      <c r="AN86" s="134"/>
      <c r="AO86" s="135"/>
      <c r="AP86" s="175" t="str">
        <f>IF(D9="","",D9)</f>
        <v/>
      </c>
      <c r="AQ86" s="176"/>
      <c r="AR86" s="177"/>
      <c r="AS86" s="166" t="s">
        <v>21</v>
      </c>
      <c r="AT86" s="167"/>
      <c r="AU86" s="168"/>
      <c r="AV86" s="136"/>
      <c r="AW86" s="137"/>
      <c r="AX86" s="137"/>
      <c r="AY86" s="138"/>
    </row>
    <row r="87" spans="1:85" ht="16.149999999999999" customHeight="1" x14ac:dyDescent="0.25">
      <c r="D87" s="20"/>
      <c r="E87" s="20"/>
      <c r="F87" s="20"/>
      <c r="G87" s="20"/>
      <c r="H87" s="20"/>
      <c r="I87" s="20"/>
      <c r="J87" s="39"/>
      <c r="K87" s="39"/>
      <c r="L87" s="39"/>
      <c r="M87" s="39"/>
      <c r="N87" s="39"/>
      <c r="P87" s="19"/>
      <c r="Q87" s="19"/>
      <c r="R87" s="19"/>
      <c r="S87" s="19"/>
      <c r="T87" s="19"/>
      <c r="U87" s="19"/>
      <c r="V87" s="19"/>
      <c r="X87" s="39"/>
      <c r="Y87" s="19"/>
      <c r="Z87" s="19"/>
      <c r="AG87" s="19"/>
      <c r="AH87" s="19"/>
      <c r="AI87" s="19"/>
      <c r="AJ87" s="19"/>
      <c r="AK87" s="12">
        <v>1</v>
      </c>
      <c r="AM87" s="172" t="str">
        <f>IF($D$9="","",IF($J$10="",$J$9,CONCATENATE(TEXT($J$9,"mm/dd/yyyy hh:mm AM/PM")," - ",TEXT($J$10,"MM/DD/YYYY HH:MM AM/PM"))))</f>
        <v/>
      </c>
      <c r="AN87" s="173"/>
      <c r="AO87" s="174"/>
      <c r="AP87" s="178"/>
      <c r="AQ87" s="179"/>
      <c r="AR87" s="180"/>
      <c r="AS87" s="169"/>
      <c r="AT87" s="170"/>
      <c r="AU87" s="171"/>
      <c r="AV87" s="139"/>
      <c r="AW87" s="140"/>
      <c r="AX87" s="140"/>
      <c r="AY87" s="141"/>
    </row>
    <row r="88" spans="1:85" x14ac:dyDescent="0.25">
      <c r="D88" s="20"/>
      <c r="E88" s="20"/>
      <c r="F88" s="20"/>
      <c r="G88" s="20"/>
      <c r="H88" s="20"/>
      <c r="I88" s="20"/>
      <c r="J88" s="39"/>
      <c r="K88" s="39"/>
      <c r="L88" s="39"/>
      <c r="M88" s="39"/>
      <c r="N88" s="39"/>
      <c r="P88" s="19"/>
      <c r="Q88" s="19"/>
      <c r="R88" s="19"/>
      <c r="S88" s="19"/>
      <c r="T88" s="19"/>
      <c r="U88" s="19"/>
      <c r="V88" s="19"/>
      <c r="X88" s="39"/>
      <c r="Y88" s="19"/>
      <c r="Z88" s="19"/>
      <c r="AG88" s="19"/>
      <c r="AH88" s="19"/>
      <c r="AI88" s="19"/>
      <c r="AJ88" s="19"/>
      <c r="AK88" s="12">
        <v>1</v>
      </c>
      <c r="AM88" s="164" t="s">
        <v>17</v>
      </c>
      <c r="AN88" s="165"/>
      <c r="AO88" s="165"/>
      <c r="AP88" s="163" t="s">
        <v>49</v>
      </c>
      <c r="AQ88" s="181" t="s">
        <v>19</v>
      </c>
      <c r="AR88" s="182"/>
      <c r="AS88" s="142"/>
      <c r="AT88" s="143"/>
      <c r="AU88" s="143"/>
      <c r="AV88" s="143"/>
      <c r="AW88" s="143"/>
      <c r="AX88" s="143"/>
      <c r="AY88" s="144"/>
    </row>
    <row r="89" spans="1:85" ht="18.75" x14ac:dyDescent="0.25">
      <c r="D89" s="20"/>
      <c r="E89" s="20"/>
      <c r="F89" s="20"/>
      <c r="G89" s="20"/>
      <c r="H89" s="20"/>
      <c r="I89" s="20"/>
      <c r="J89" s="39"/>
      <c r="K89" s="39"/>
      <c r="L89" s="39"/>
      <c r="M89" s="39"/>
      <c r="N89" s="39"/>
      <c r="P89" s="19"/>
      <c r="Q89" s="19"/>
      <c r="R89" s="19"/>
      <c r="S89" s="19"/>
      <c r="T89" s="19"/>
      <c r="U89" s="19"/>
      <c r="V89" s="19"/>
      <c r="X89" s="39"/>
      <c r="Y89" s="19"/>
      <c r="Z89" s="19"/>
      <c r="AG89" s="19"/>
      <c r="AH89" s="19"/>
      <c r="AI89" s="19"/>
      <c r="AJ89" s="19"/>
      <c r="AK89" s="12">
        <v>1</v>
      </c>
      <c r="AM89" s="164" t="str">
        <f>IF($D$9="","",IF($I$10="",$I$9,CONCATENATE($I$9," / ",$I$10)))</f>
        <v/>
      </c>
      <c r="AN89" s="165"/>
      <c r="AO89" s="165"/>
      <c r="AP89" s="163"/>
      <c r="AQ89" s="183"/>
      <c r="AR89" s="184"/>
      <c r="AS89" s="187" t="s">
        <v>23</v>
      </c>
      <c r="AT89" s="188"/>
      <c r="AU89" s="6" t="s">
        <v>26</v>
      </c>
      <c r="AV89" s="145" t="s">
        <v>27</v>
      </c>
      <c r="AW89" s="145"/>
      <c r="AX89" s="145"/>
      <c r="AY89" s="146"/>
    </row>
    <row r="90" spans="1:85" ht="18.75" x14ac:dyDescent="0.25">
      <c r="D90" s="20"/>
      <c r="E90" s="20"/>
      <c r="F90" s="20"/>
      <c r="G90" s="20"/>
      <c r="H90" s="20"/>
      <c r="I90" s="20"/>
      <c r="J90" s="39"/>
      <c r="K90" s="39"/>
      <c r="L90" s="39"/>
      <c r="M90" s="39"/>
      <c r="N90" s="39"/>
      <c r="P90" s="19"/>
      <c r="Q90" s="19"/>
      <c r="R90" s="19"/>
      <c r="S90" s="19"/>
      <c r="T90" s="19"/>
      <c r="U90" s="19"/>
      <c r="V90" s="19"/>
      <c r="X90" s="39"/>
      <c r="Y90" s="19"/>
      <c r="Z90" s="19"/>
      <c r="AG90" s="19"/>
      <c r="AH90" s="19"/>
      <c r="AI90" s="19"/>
      <c r="AJ90" s="19"/>
      <c r="AK90" s="12">
        <v>1</v>
      </c>
      <c r="AM90" s="164" t="s">
        <v>18</v>
      </c>
      <c r="AN90" s="165"/>
      <c r="AO90" s="165"/>
      <c r="AP90" s="162" t="str">
        <f>IF($AM$91="","",IF($K$5="",$AM$91-$AM$89,$AM$91-$AM$89-$K$5))</f>
        <v/>
      </c>
      <c r="AQ90" s="183"/>
      <c r="AR90" s="184"/>
      <c r="AS90" s="187" t="s">
        <v>24</v>
      </c>
      <c r="AT90" s="188"/>
      <c r="AU90" s="6" t="s">
        <v>26</v>
      </c>
      <c r="AV90" s="145" t="s">
        <v>27</v>
      </c>
      <c r="AW90" s="145"/>
      <c r="AX90" s="145"/>
      <c r="AY90" s="146"/>
    </row>
    <row r="91" spans="1:85" ht="18.75" x14ac:dyDescent="0.25">
      <c r="D91" s="20"/>
      <c r="E91" s="20"/>
      <c r="F91" s="20"/>
      <c r="G91" s="20"/>
      <c r="H91" s="20"/>
      <c r="I91" s="20"/>
      <c r="J91" s="39"/>
      <c r="K91" s="39"/>
      <c r="L91" s="39"/>
      <c r="M91" s="39"/>
      <c r="N91" s="39"/>
      <c r="P91" s="19"/>
      <c r="Q91" s="19"/>
      <c r="R91" s="19"/>
      <c r="S91" s="19"/>
      <c r="T91" s="19"/>
      <c r="U91" s="19"/>
      <c r="V91" s="19"/>
      <c r="X91" s="39"/>
      <c r="Y91" s="19"/>
      <c r="Z91" s="19"/>
      <c r="AG91" s="19"/>
      <c r="AH91" s="19"/>
      <c r="AI91" s="19"/>
      <c r="AJ91" s="19"/>
      <c r="AK91" s="12">
        <v>1</v>
      </c>
      <c r="AM91" s="164" t="str">
        <f>IF(D9="","",IF(K10="",IF(K9="","",K9),CONCATENATE(K9," / ",K10)))</f>
        <v/>
      </c>
      <c r="AN91" s="165"/>
      <c r="AO91" s="165"/>
      <c r="AP91" s="162"/>
      <c r="AQ91" s="185"/>
      <c r="AR91" s="186"/>
      <c r="AS91" s="187" t="s">
        <v>25</v>
      </c>
      <c r="AT91" s="188"/>
      <c r="AU91" s="7" t="s">
        <v>26</v>
      </c>
      <c r="AV91" s="145" t="s">
        <v>27</v>
      </c>
      <c r="AW91" s="145"/>
      <c r="AX91" s="145"/>
      <c r="AY91" s="146"/>
    </row>
    <row r="92" spans="1:85" s="19" customFormat="1" x14ac:dyDescent="0.25">
      <c r="D92" s="20"/>
      <c r="E92" s="20"/>
      <c r="F92" s="20"/>
      <c r="G92" s="20"/>
      <c r="H92" s="20"/>
      <c r="I92" s="20"/>
      <c r="J92" s="39"/>
      <c r="K92" s="39"/>
      <c r="L92" s="39"/>
      <c r="M92" s="39"/>
      <c r="N92" s="39"/>
      <c r="X92" s="39"/>
      <c r="AK92" s="12"/>
      <c r="AL92" s="12"/>
      <c r="BS92" s="20"/>
    </row>
    <row r="93" spans="1:85" s="19" customFormat="1" x14ac:dyDescent="0.25">
      <c r="D93" s="20"/>
      <c r="E93" s="20"/>
      <c r="F93" s="20"/>
      <c r="G93" s="20"/>
      <c r="H93" s="20"/>
      <c r="I93" s="20"/>
      <c r="J93" s="39"/>
      <c r="K93" s="39"/>
      <c r="L93" s="39"/>
      <c r="M93" s="39"/>
      <c r="N93" s="39"/>
      <c r="X93" s="39"/>
      <c r="AK93" s="12"/>
      <c r="AL93" s="12"/>
      <c r="AM93"/>
      <c r="AN93"/>
      <c r="AO93"/>
      <c r="AP93"/>
      <c r="AQ93"/>
      <c r="BS93" s="20"/>
    </row>
    <row r="94" spans="1:85" s="19" customFormat="1" x14ac:dyDescent="0.25">
      <c r="D94" s="20"/>
      <c r="E94" s="20"/>
      <c r="F94" s="20"/>
      <c r="G94" s="20"/>
      <c r="H94" s="20"/>
      <c r="I94" s="20"/>
      <c r="J94" s="39"/>
      <c r="K94" s="39"/>
      <c r="L94" s="39"/>
      <c r="M94" s="39"/>
      <c r="N94" s="39"/>
      <c r="X94" s="39"/>
      <c r="AK94" s="12"/>
      <c r="AL94" s="12"/>
      <c r="AM94"/>
      <c r="AN94"/>
      <c r="AO94"/>
      <c r="AP94"/>
      <c r="AQ94"/>
      <c r="BS94" s="20"/>
    </row>
    <row r="95" spans="1:85" s="19" customFormat="1" x14ac:dyDescent="0.25">
      <c r="D95" s="20"/>
      <c r="E95" s="20"/>
      <c r="F95" s="20"/>
      <c r="G95" s="20"/>
      <c r="H95" s="20"/>
      <c r="I95" s="20"/>
      <c r="J95" s="39"/>
      <c r="K95" s="39"/>
      <c r="L95" s="39"/>
      <c r="M95" s="39"/>
      <c r="N95" s="39"/>
      <c r="X95" s="39"/>
      <c r="AK95" s="12"/>
      <c r="AL95" s="12"/>
      <c r="AM95"/>
      <c r="AN95"/>
      <c r="AO95"/>
      <c r="AP95"/>
      <c r="AQ95"/>
      <c r="BS95" s="20"/>
    </row>
    <row r="96" spans="1:85" s="19" customFormat="1" x14ac:dyDescent="0.25">
      <c r="D96" s="20"/>
      <c r="E96" s="20"/>
      <c r="F96" s="20"/>
      <c r="G96" s="20"/>
      <c r="H96" s="20"/>
      <c r="I96" s="20"/>
      <c r="J96" s="39"/>
      <c r="K96" s="39"/>
      <c r="L96" s="39"/>
      <c r="M96" s="39"/>
      <c r="N96" s="39"/>
      <c r="X96" s="39"/>
      <c r="AK96" s="12"/>
      <c r="AL96" s="12"/>
      <c r="AM96"/>
      <c r="AN96"/>
      <c r="AO96"/>
      <c r="AP96"/>
      <c r="AQ96"/>
      <c r="BS96" s="20"/>
    </row>
    <row r="97" spans="4:71" s="19" customFormat="1" x14ac:dyDescent="0.25">
      <c r="D97" s="20"/>
      <c r="E97" s="20"/>
      <c r="F97" s="20"/>
      <c r="G97" s="20"/>
      <c r="H97" s="20"/>
      <c r="I97" s="20"/>
      <c r="J97" s="39"/>
      <c r="K97" s="39"/>
      <c r="L97" s="39"/>
      <c r="M97" s="39"/>
      <c r="N97" s="39"/>
      <c r="X97" s="39"/>
      <c r="AK97" s="12"/>
      <c r="AL97" s="12"/>
      <c r="AM97"/>
      <c r="AN97"/>
      <c r="AO97"/>
      <c r="AP97"/>
      <c r="AQ97"/>
      <c r="BS97" s="20"/>
    </row>
    <row r="98" spans="4:71" s="19" customFormat="1" x14ac:dyDescent="0.25">
      <c r="D98" s="20"/>
      <c r="E98" s="20"/>
      <c r="F98" s="20"/>
      <c r="G98" s="20"/>
      <c r="H98" s="20"/>
      <c r="I98" s="20"/>
      <c r="J98" s="39"/>
      <c r="K98" s="39"/>
      <c r="L98" s="39"/>
      <c r="M98" s="39"/>
      <c r="N98" s="39"/>
      <c r="X98" s="39"/>
      <c r="AK98" s="12"/>
      <c r="AL98" s="12"/>
      <c r="AM98"/>
      <c r="AN98"/>
      <c r="AO98"/>
      <c r="AP98"/>
      <c r="AQ98"/>
      <c r="BS98" s="20"/>
    </row>
    <row r="99" spans="4:71" s="19" customFormat="1" x14ac:dyDescent="0.25">
      <c r="D99" s="20"/>
      <c r="E99" s="20"/>
      <c r="F99" s="20"/>
      <c r="G99" s="20"/>
      <c r="H99" s="20"/>
      <c r="I99" s="20"/>
      <c r="J99" s="39"/>
      <c r="K99" s="39"/>
      <c r="L99" s="39"/>
      <c r="M99" s="39"/>
      <c r="N99" s="39"/>
      <c r="X99" s="39"/>
      <c r="AK99" s="12"/>
      <c r="AL99" s="12"/>
      <c r="AM99"/>
      <c r="AN99"/>
      <c r="AO99"/>
      <c r="AP99"/>
      <c r="AQ99"/>
      <c r="BS99" s="20"/>
    </row>
    <row r="100" spans="4:71" s="19" customFormat="1" x14ac:dyDescent="0.25">
      <c r="D100" s="20"/>
      <c r="E100" s="20"/>
      <c r="F100" s="20"/>
      <c r="G100" s="20"/>
      <c r="H100" s="20"/>
      <c r="I100" s="20"/>
      <c r="J100" s="39"/>
      <c r="K100" s="39"/>
      <c r="L100" s="39"/>
      <c r="M100" s="39"/>
      <c r="N100" s="39"/>
      <c r="X100" s="39"/>
      <c r="AK100" s="12"/>
      <c r="AL100" s="12"/>
      <c r="AM100"/>
      <c r="AN100"/>
      <c r="AO100"/>
      <c r="AP100"/>
      <c r="AQ100"/>
      <c r="BS100" s="20"/>
    </row>
    <row r="101" spans="4:71" s="19" customFormat="1" x14ac:dyDescent="0.25">
      <c r="D101" s="20"/>
      <c r="E101" s="20"/>
      <c r="F101" s="20"/>
      <c r="G101" s="20"/>
      <c r="H101" s="20"/>
      <c r="I101" s="20"/>
      <c r="J101" s="39"/>
      <c r="K101" s="39"/>
      <c r="L101" s="39"/>
      <c r="M101" s="39"/>
      <c r="N101" s="39"/>
      <c r="X101" s="39"/>
      <c r="AK101" s="12"/>
      <c r="AL101" s="12"/>
      <c r="AM101"/>
      <c r="AN101"/>
      <c r="AO101"/>
      <c r="AP101"/>
      <c r="AQ101"/>
      <c r="BS101" s="20"/>
    </row>
    <row r="102" spans="4:71" s="19" customFormat="1" x14ac:dyDescent="0.25">
      <c r="D102" s="20"/>
      <c r="E102" s="20"/>
      <c r="F102" s="20"/>
      <c r="G102" s="20"/>
      <c r="H102" s="20"/>
      <c r="I102" s="20"/>
      <c r="J102" s="39"/>
      <c r="K102" s="39"/>
      <c r="L102" s="39"/>
      <c r="M102" s="39"/>
      <c r="N102" s="39"/>
      <c r="X102" s="39"/>
      <c r="AK102" s="12"/>
      <c r="AL102" s="12"/>
      <c r="AM102"/>
      <c r="AN102"/>
      <c r="AO102"/>
      <c r="AP102"/>
      <c r="AQ102"/>
      <c r="BS102" s="20"/>
    </row>
    <row r="103" spans="4:71" s="19" customFormat="1" x14ac:dyDescent="0.25">
      <c r="D103" s="20"/>
      <c r="E103" s="20"/>
      <c r="F103" s="20"/>
      <c r="G103" s="20"/>
      <c r="H103" s="20"/>
      <c r="I103" s="20"/>
      <c r="J103" s="39"/>
      <c r="K103" s="39"/>
      <c r="L103" s="39"/>
      <c r="M103" s="39"/>
      <c r="N103" s="39"/>
      <c r="X103" s="39"/>
      <c r="AK103" s="12"/>
      <c r="AL103" s="12"/>
      <c r="AM103"/>
      <c r="AN103"/>
      <c r="AO103"/>
      <c r="AP103"/>
      <c r="AQ103"/>
      <c r="BS103" s="20"/>
    </row>
    <row r="104" spans="4:71" s="19" customFormat="1" x14ac:dyDescent="0.25">
      <c r="D104" s="20"/>
      <c r="E104" s="20"/>
      <c r="F104" s="20"/>
      <c r="G104" s="20"/>
      <c r="H104" s="20"/>
      <c r="I104" s="20"/>
      <c r="J104" s="39"/>
      <c r="K104" s="39"/>
      <c r="L104" s="39"/>
      <c r="M104" s="39"/>
      <c r="N104" s="39"/>
      <c r="X104" s="39"/>
      <c r="AK104" s="12"/>
      <c r="AL104" s="12"/>
      <c r="AM104"/>
      <c r="AN104"/>
      <c r="AO104"/>
      <c r="AP104"/>
      <c r="AQ104"/>
      <c r="BS104" s="20"/>
    </row>
    <row r="105" spans="4:71" s="19" customFormat="1" x14ac:dyDescent="0.25">
      <c r="D105" s="20"/>
      <c r="E105" s="20"/>
      <c r="F105" s="20"/>
      <c r="G105" s="20"/>
      <c r="H105" s="20"/>
      <c r="I105" s="20"/>
      <c r="J105" s="39"/>
      <c r="K105" s="39"/>
      <c r="L105" s="39"/>
      <c r="M105" s="39"/>
      <c r="N105" s="39"/>
      <c r="X105" s="39"/>
      <c r="AK105" s="12"/>
      <c r="AL105" s="12"/>
      <c r="AM105"/>
      <c r="AN105"/>
      <c r="AO105"/>
      <c r="AP105"/>
      <c r="AQ105"/>
      <c r="BS105" s="20"/>
    </row>
    <row r="106" spans="4:71" s="19" customFormat="1" x14ac:dyDescent="0.25">
      <c r="D106" s="20"/>
      <c r="E106" s="20"/>
      <c r="F106" s="20"/>
      <c r="G106" s="20"/>
      <c r="H106" s="20"/>
      <c r="I106" s="20"/>
      <c r="J106" s="39"/>
      <c r="K106" s="39"/>
      <c r="L106" s="39"/>
      <c r="M106" s="39"/>
      <c r="N106" s="39"/>
      <c r="X106" s="39"/>
      <c r="AK106" s="12"/>
      <c r="AL106" s="12"/>
      <c r="AM106"/>
      <c r="AN106"/>
      <c r="AO106"/>
      <c r="AP106"/>
      <c r="AQ106"/>
      <c r="BS106" s="20"/>
    </row>
    <row r="107" spans="4:71" s="19" customFormat="1" x14ac:dyDescent="0.25">
      <c r="D107" s="20"/>
      <c r="E107" s="20"/>
      <c r="F107" s="20"/>
      <c r="G107" s="20"/>
      <c r="H107" s="20"/>
      <c r="I107" s="20"/>
      <c r="J107" s="39"/>
      <c r="K107" s="39"/>
      <c r="L107" s="39"/>
      <c r="M107" s="39"/>
      <c r="N107" s="39"/>
      <c r="X107" s="39"/>
      <c r="AK107" s="12"/>
      <c r="AL107" s="12"/>
      <c r="AM107"/>
      <c r="AN107"/>
      <c r="AO107"/>
      <c r="AP107"/>
      <c r="AQ107"/>
      <c r="BS107" s="20"/>
    </row>
    <row r="108" spans="4:71" s="19" customFormat="1" x14ac:dyDescent="0.25">
      <c r="D108" s="20"/>
      <c r="E108" s="20"/>
      <c r="F108" s="20"/>
      <c r="G108" s="20"/>
      <c r="H108" s="20"/>
      <c r="I108" s="20"/>
      <c r="J108" s="39"/>
      <c r="K108" s="39"/>
      <c r="L108" s="39"/>
      <c r="M108" s="39"/>
      <c r="N108" s="39"/>
      <c r="X108" s="39"/>
      <c r="AK108" s="12"/>
      <c r="AL108" s="12"/>
      <c r="AM108"/>
      <c r="AN108"/>
      <c r="AO108"/>
      <c r="AP108"/>
      <c r="AQ108"/>
      <c r="BS108" s="20"/>
    </row>
    <row r="109" spans="4:71" s="19" customFormat="1" x14ac:dyDescent="0.25">
      <c r="D109" s="20"/>
      <c r="E109" s="20"/>
      <c r="F109" s="20"/>
      <c r="G109" s="20"/>
      <c r="H109" s="20"/>
      <c r="I109" s="20"/>
      <c r="J109" s="39"/>
      <c r="K109" s="39"/>
      <c r="L109" s="39"/>
      <c r="M109" s="39"/>
      <c r="N109" s="39"/>
      <c r="X109" s="39"/>
      <c r="AK109" s="12"/>
      <c r="AL109" s="12"/>
      <c r="AM109"/>
      <c r="AN109"/>
      <c r="AO109"/>
      <c r="AP109"/>
      <c r="AQ109"/>
      <c r="BS109" s="20"/>
    </row>
    <row r="110" spans="4:71" s="19" customFormat="1" x14ac:dyDescent="0.25">
      <c r="D110" s="20"/>
      <c r="E110" s="20"/>
      <c r="F110" s="20"/>
      <c r="G110" s="20"/>
      <c r="H110" s="20"/>
      <c r="I110" s="20"/>
      <c r="J110" s="39"/>
      <c r="K110" s="39"/>
      <c r="L110" s="39"/>
      <c r="M110" s="39"/>
      <c r="N110" s="39"/>
      <c r="X110" s="39"/>
      <c r="AK110" s="12"/>
      <c r="AL110" s="12"/>
      <c r="AM110"/>
      <c r="AN110"/>
      <c r="AO110"/>
      <c r="AP110"/>
      <c r="AQ110"/>
      <c r="BS110" s="20"/>
    </row>
    <row r="111" spans="4:71" s="19" customFormat="1" x14ac:dyDescent="0.25">
      <c r="D111" s="20"/>
      <c r="E111" s="20"/>
      <c r="F111" s="20"/>
      <c r="G111" s="20"/>
      <c r="H111" s="20"/>
      <c r="I111" s="20"/>
      <c r="J111" s="39"/>
      <c r="K111" s="39"/>
      <c r="L111" s="39"/>
      <c r="M111" s="39"/>
      <c r="N111" s="39"/>
      <c r="X111" s="39"/>
      <c r="AK111" s="12"/>
      <c r="AL111" s="12"/>
      <c r="AM111"/>
      <c r="AN111"/>
      <c r="AO111"/>
      <c r="AP111"/>
      <c r="AQ111"/>
      <c r="BS111" s="20"/>
    </row>
    <row r="112" spans="4:71" s="19" customFormat="1" x14ac:dyDescent="0.25">
      <c r="D112" s="20"/>
      <c r="E112" s="20"/>
      <c r="F112" s="20"/>
      <c r="G112" s="20"/>
      <c r="H112" s="20"/>
      <c r="I112" s="20"/>
      <c r="J112" s="39"/>
      <c r="K112" s="39"/>
      <c r="L112" s="39"/>
      <c r="M112" s="39"/>
      <c r="N112" s="39"/>
      <c r="X112" s="39"/>
      <c r="AK112" s="12"/>
      <c r="AL112" s="12"/>
      <c r="AM112"/>
      <c r="AN112"/>
      <c r="AO112"/>
      <c r="AP112"/>
      <c r="AQ112"/>
      <c r="BS112" s="20"/>
    </row>
    <row r="113" spans="4:71" s="19" customFormat="1" x14ac:dyDescent="0.25">
      <c r="D113" s="20"/>
      <c r="E113" s="20"/>
      <c r="F113" s="20"/>
      <c r="G113" s="20"/>
      <c r="H113" s="20"/>
      <c r="I113" s="20"/>
      <c r="J113" s="39"/>
      <c r="K113" s="39"/>
      <c r="L113" s="39"/>
      <c r="M113" s="39"/>
      <c r="N113" s="39"/>
      <c r="X113" s="39"/>
      <c r="AK113" s="12"/>
      <c r="AL113" s="12"/>
      <c r="AM113"/>
      <c r="AN113"/>
      <c r="AO113"/>
      <c r="AP113"/>
      <c r="BS113" s="20"/>
    </row>
    <row r="114" spans="4:71" s="19" customFormat="1" x14ac:dyDescent="0.25">
      <c r="D114" s="20"/>
      <c r="E114" s="20"/>
      <c r="F114" s="20"/>
      <c r="G114" s="20"/>
      <c r="H114" s="20"/>
      <c r="I114" s="20"/>
      <c r="J114" s="39"/>
      <c r="K114" s="39"/>
      <c r="L114" s="39"/>
      <c r="M114" s="39"/>
      <c r="N114" s="39"/>
      <c r="X114" s="39"/>
      <c r="AK114" s="12"/>
      <c r="AL114" s="12"/>
      <c r="AM114"/>
      <c r="AN114"/>
      <c r="AO114"/>
      <c r="AP114"/>
      <c r="BS114" s="20"/>
    </row>
    <row r="115" spans="4:71" s="19" customFormat="1" x14ac:dyDescent="0.25">
      <c r="D115" s="20"/>
      <c r="E115" s="20"/>
      <c r="F115" s="20"/>
      <c r="G115" s="20"/>
      <c r="H115" s="20"/>
      <c r="I115" s="20"/>
      <c r="J115" s="39"/>
      <c r="K115" s="39"/>
      <c r="L115" s="39"/>
      <c r="M115" s="39"/>
      <c r="N115" s="39"/>
      <c r="X115" s="39"/>
      <c r="AK115" s="12"/>
      <c r="AL115" s="12"/>
      <c r="AM115"/>
      <c r="AN115"/>
      <c r="AO115"/>
      <c r="AP115"/>
      <c r="BS115" s="20"/>
    </row>
    <row r="116" spans="4:71" s="19" customFormat="1" x14ac:dyDescent="0.25">
      <c r="D116" s="20"/>
      <c r="E116" s="20"/>
      <c r="F116" s="20"/>
      <c r="G116" s="20"/>
      <c r="H116" s="20"/>
      <c r="I116" s="20"/>
      <c r="J116" s="39"/>
      <c r="K116" s="39"/>
      <c r="L116" s="39"/>
      <c r="M116" s="39"/>
      <c r="N116" s="39"/>
      <c r="X116" s="39"/>
      <c r="AK116" s="12"/>
      <c r="AL116" s="12"/>
      <c r="AM116"/>
      <c r="AN116"/>
      <c r="AO116"/>
      <c r="AP116"/>
      <c r="BS116" s="20"/>
    </row>
    <row r="117" spans="4:71" s="19" customFormat="1" x14ac:dyDescent="0.25">
      <c r="D117" s="20"/>
      <c r="E117" s="20"/>
      <c r="F117" s="20"/>
      <c r="G117" s="20"/>
      <c r="H117" s="20"/>
      <c r="I117" s="20"/>
      <c r="J117" s="39"/>
      <c r="K117" s="39"/>
      <c r="L117" s="39"/>
      <c r="M117" s="39"/>
      <c r="N117" s="39"/>
      <c r="X117" s="39"/>
      <c r="AK117" s="12"/>
      <c r="AL117" s="12"/>
      <c r="AM117"/>
      <c r="AN117"/>
      <c r="AO117"/>
      <c r="AP117"/>
      <c r="BS117" s="20"/>
    </row>
    <row r="118" spans="4:71" s="19" customFormat="1" x14ac:dyDescent="0.25">
      <c r="D118" s="20"/>
      <c r="E118" s="20"/>
      <c r="F118" s="20"/>
      <c r="G118" s="20"/>
      <c r="H118" s="20"/>
      <c r="I118" s="20"/>
      <c r="J118" s="39"/>
      <c r="K118" s="39"/>
      <c r="L118" s="39"/>
      <c r="M118" s="39"/>
      <c r="N118" s="39"/>
      <c r="X118" s="39"/>
      <c r="AK118" s="12"/>
      <c r="AL118" s="12"/>
      <c r="AM118"/>
      <c r="AN118"/>
      <c r="AO118"/>
      <c r="AP118"/>
      <c r="BS118" s="20"/>
    </row>
    <row r="119" spans="4:71" s="19" customFormat="1" x14ac:dyDescent="0.25">
      <c r="D119" s="20"/>
      <c r="E119" s="20"/>
      <c r="F119" s="20"/>
      <c r="G119" s="20"/>
      <c r="H119" s="20"/>
      <c r="I119" s="20"/>
      <c r="J119" s="39"/>
      <c r="K119" s="39"/>
      <c r="L119" s="39"/>
      <c r="M119" s="39"/>
      <c r="N119" s="39"/>
      <c r="X119" s="39"/>
      <c r="AK119" s="12"/>
      <c r="AL119" s="12"/>
      <c r="AM119"/>
      <c r="AN119"/>
      <c r="AO119"/>
      <c r="AP119"/>
      <c r="BS119" s="20"/>
    </row>
    <row r="120" spans="4:71" s="19" customFormat="1" x14ac:dyDescent="0.25">
      <c r="D120" s="20"/>
      <c r="E120" s="20"/>
      <c r="F120" s="20"/>
      <c r="G120" s="20"/>
      <c r="H120" s="20"/>
      <c r="I120" s="20"/>
      <c r="J120" s="39"/>
      <c r="K120" s="39"/>
      <c r="L120" s="39"/>
      <c r="M120" s="39"/>
      <c r="N120" s="39"/>
      <c r="X120" s="39"/>
      <c r="AK120" s="12"/>
      <c r="AL120" s="12"/>
      <c r="AM120"/>
      <c r="AN120"/>
      <c r="AO120"/>
      <c r="AP120"/>
      <c r="BS120" s="20"/>
    </row>
    <row r="121" spans="4:71" s="19" customFormat="1" x14ac:dyDescent="0.25">
      <c r="D121" s="20"/>
      <c r="E121" s="20"/>
      <c r="F121" s="20"/>
      <c r="G121" s="20"/>
      <c r="H121" s="20"/>
      <c r="I121" s="20"/>
      <c r="J121" s="39"/>
      <c r="K121" s="39"/>
      <c r="L121" s="39"/>
      <c r="M121" s="39"/>
      <c r="N121" s="39"/>
      <c r="X121" s="39"/>
      <c r="AK121" s="12"/>
      <c r="AL121" s="12"/>
      <c r="AM121"/>
      <c r="AN121"/>
      <c r="AO121"/>
      <c r="AP121"/>
      <c r="BS121" s="20"/>
    </row>
    <row r="122" spans="4:71" s="19" customFormat="1" x14ac:dyDescent="0.25">
      <c r="D122" s="20"/>
      <c r="E122" s="20"/>
      <c r="F122" s="20"/>
      <c r="G122" s="20"/>
      <c r="H122" s="20"/>
      <c r="I122" s="20"/>
      <c r="J122" s="39"/>
      <c r="K122" s="39"/>
      <c r="L122" s="39"/>
      <c r="M122" s="39"/>
      <c r="N122" s="39"/>
      <c r="X122" s="39"/>
      <c r="AK122" s="12"/>
      <c r="AL122" s="12"/>
      <c r="AM122"/>
      <c r="AN122"/>
      <c r="AO122"/>
      <c r="AP122"/>
      <c r="BS122" s="20"/>
    </row>
    <row r="123" spans="4:71" s="19" customFormat="1" x14ac:dyDescent="0.25">
      <c r="D123" s="20"/>
      <c r="E123" s="20"/>
      <c r="F123" s="20"/>
      <c r="G123" s="20"/>
      <c r="H123" s="20"/>
      <c r="I123" s="20"/>
      <c r="J123" s="39"/>
      <c r="K123" s="39"/>
      <c r="L123" s="39"/>
      <c r="M123" s="39"/>
      <c r="N123" s="39"/>
      <c r="X123" s="39"/>
      <c r="AK123" s="12"/>
      <c r="AL123" s="12"/>
      <c r="AM123"/>
      <c r="AN123"/>
      <c r="AO123"/>
      <c r="AP123"/>
      <c r="BS123" s="20"/>
    </row>
    <row r="124" spans="4:71" s="19" customFormat="1" x14ac:dyDescent="0.25">
      <c r="D124" s="20"/>
      <c r="E124" s="20"/>
      <c r="F124" s="20"/>
      <c r="G124" s="20"/>
      <c r="H124" s="20"/>
      <c r="I124" s="20"/>
      <c r="J124" s="39"/>
      <c r="K124" s="39"/>
      <c r="L124" s="39"/>
      <c r="M124" s="39"/>
      <c r="N124" s="39"/>
      <c r="X124" s="39"/>
      <c r="AK124" s="12"/>
      <c r="AL124" s="12"/>
      <c r="AM124"/>
      <c r="AN124"/>
      <c r="AO124"/>
      <c r="AP124"/>
      <c r="BS124" s="20"/>
    </row>
    <row r="125" spans="4:71" s="19" customFormat="1" x14ac:dyDescent="0.25">
      <c r="D125" s="20"/>
      <c r="E125" s="20"/>
      <c r="F125" s="20"/>
      <c r="G125" s="20"/>
      <c r="H125" s="20"/>
      <c r="I125" s="20"/>
      <c r="J125" s="39"/>
      <c r="K125" s="39"/>
      <c r="L125" s="39"/>
      <c r="M125" s="39"/>
      <c r="N125" s="39"/>
      <c r="X125" s="39"/>
      <c r="AK125" s="12"/>
      <c r="AL125" s="12"/>
      <c r="AM125"/>
      <c r="AN125"/>
      <c r="AO125"/>
      <c r="AP125"/>
      <c r="BS125" s="20"/>
    </row>
    <row r="126" spans="4:71" s="19" customFormat="1" x14ac:dyDescent="0.25">
      <c r="D126" s="20"/>
      <c r="E126" s="20"/>
      <c r="F126" s="20"/>
      <c r="G126" s="20"/>
      <c r="H126" s="20"/>
      <c r="I126" s="20"/>
      <c r="J126" s="39"/>
      <c r="K126" s="39"/>
      <c r="L126" s="39"/>
      <c r="M126" s="39"/>
      <c r="N126" s="39"/>
      <c r="X126" s="39"/>
      <c r="AK126" s="12"/>
      <c r="AL126" s="12"/>
      <c r="AM126"/>
      <c r="AN126"/>
      <c r="AO126"/>
      <c r="AP126"/>
      <c r="BS126" s="20"/>
    </row>
    <row r="127" spans="4:71" s="19" customFormat="1" x14ac:dyDescent="0.25">
      <c r="D127" s="20"/>
      <c r="E127" s="20"/>
      <c r="F127" s="20"/>
      <c r="G127" s="20"/>
      <c r="H127" s="20"/>
      <c r="I127" s="20"/>
      <c r="J127" s="39"/>
      <c r="K127" s="39"/>
      <c r="L127" s="39"/>
      <c r="M127" s="39"/>
      <c r="N127" s="39"/>
      <c r="X127" s="39"/>
      <c r="AK127" s="12"/>
      <c r="AL127" s="12"/>
      <c r="AM127"/>
      <c r="AN127"/>
      <c r="AO127"/>
      <c r="AP127"/>
      <c r="BS127" s="20"/>
    </row>
    <row r="128" spans="4:71" s="19" customFormat="1" x14ac:dyDescent="0.25">
      <c r="D128" s="20"/>
      <c r="E128" s="20"/>
      <c r="F128" s="20"/>
      <c r="G128" s="20"/>
      <c r="H128" s="20"/>
      <c r="I128" s="20"/>
      <c r="J128" s="39"/>
      <c r="K128" s="39"/>
      <c r="L128" s="39"/>
      <c r="M128" s="39"/>
      <c r="N128" s="39"/>
      <c r="X128" s="39"/>
      <c r="AK128" s="12"/>
      <c r="AL128" s="12"/>
      <c r="AM128"/>
      <c r="AN128"/>
      <c r="AO128"/>
      <c r="AP128"/>
      <c r="BS128" s="20"/>
    </row>
    <row r="129" spans="4:71" s="19" customFormat="1" x14ac:dyDescent="0.25">
      <c r="D129" s="20"/>
      <c r="E129" s="20"/>
      <c r="F129" s="20"/>
      <c r="G129" s="20"/>
      <c r="H129" s="20"/>
      <c r="I129" s="20"/>
      <c r="J129" s="39"/>
      <c r="K129" s="39"/>
      <c r="L129" s="39"/>
      <c r="M129" s="39"/>
      <c r="N129" s="39"/>
      <c r="X129" s="39"/>
      <c r="AK129" s="12"/>
      <c r="AL129" s="12"/>
      <c r="AM129"/>
      <c r="AN129"/>
      <c r="AO129"/>
      <c r="AP129"/>
      <c r="BS129" s="20"/>
    </row>
    <row r="130" spans="4:71" s="19" customFormat="1" x14ac:dyDescent="0.25">
      <c r="D130" s="20"/>
      <c r="E130" s="20"/>
      <c r="F130" s="20"/>
      <c r="G130" s="20"/>
      <c r="H130" s="20"/>
      <c r="I130" s="20"/>
      <c r="J130" s="39"/>
      <c r="K130" s="39"/>
      <c r="L130" s="39"/>
      <c r="M130" s="39"/>
      <c r="N130" s="39"/>
      <c r="X130" s="39"/>
      <c r="AK130" s="12"/>
      <c r="AL130" s="12"/>
      <c r="AM130"/>
      <c r="AN130"/>
      <c r="AO130"/>
      <c r="AP130"/>
      <c r="BS130" s="20"/>
    </row>
    <row r="131" spans="4:71" s="19" customFormat="1" x14ac:dyDescent="0.25">
      <c r="D131" s="20"/>
      <c r="E131" s="20"/>
      <c r="F131" s="20"/>
      <c r="G131" s="20"/>
      <c r="H131" s="20"/>
      <c r="I131" s="20"/>
      <c r="J131" s="39"/>
      <c r="K131" s="39"/>
      <c r="L131" s="39"/>
      <c r="M131" s="39"/>
      <c r="N131" s="39"/>
      <c r="X131" s="39"/>
      <c r="AK131" s="12"/>
      <c r="AL131" s="12"/>
      <c r="AM131"/>
      <c r="AN131"/>
      <c r="AO131"/>
      <c r="AP131"/>
      <c r="BS131" s="20"/>
    </row>
    <row r="132" spans="4:71" s="19" customFormat="1" x14ac:dyDescent="0.25">
      <c r="D132" s="20"/>
      <c r="E132" s="20"/>
      <c r="F132" s="20"/>
      <c r="G132" s="20"/>
      <c r="H132" s="20"/>
      <c r="I132" s="20"/>
      <c r="J132" s="39"/>
      <c r="K132" s="39"/>
      <c r="L132" s="39"/>
      <c r="M132" s="39"/>
      <c r="N132" s="39"/>
      <c r="X132" s="39"/>
      <c r="AK132" s="12"/>
      <c r="AL132" s="12"/>
      <c r="BS132" s="20"/>
    </row>
    <row r="133" spans="4:71" s="19" customFormat="1" x14ac:dyDescent="0.25">
      <c r="D133" s="20"/>
      <c r="E133" s="20"/>
      <c r="F133" s="20"/>
      <c r="G133" s="20"/>
      <c r="H133" s="20"/>
      <c r="I133" s="20"/>
      <c r="J133" s="39"/>
      <c r="K133" s="39"/>
      <c r="L133" s="39"/>
      <c r="M133" s="39"/>
      <c r="N133" s="39"/>
      <c r="X133" s="39"/>
      <c r="AK133" s="12"/>
      <c r="AL133" s="12"/>
      <c r="BS133" s="20"/>
    </row>
    <row r="134" spans="4:71" s="19" customFormat="1" x14ac:dyDescent="0.25">
      <c r="D134" s="20"/>
      <c r="E134" s="20"/>
      <c r="F134" s="20"/>
      <c r="G134" s="20"/>
      <c r="H134" s="20"/>
      <c r="I134" s="20"/>
      <c r="J134" s="39"/>
      <c r="K134" s="39"/>
      <c r="L134" s="39"/>
      <c r="M134" s="39"/>
      <c r="N134" s="39"/>
      <c r="X134" s="39"/>
      <c r="AK134" s="12"/>
      <c r="AL134" s="12"/>
      <c r="BS134" s="20"/>
    </row>
    <row r="135" spans="4:71" s="19" customFormat="1" x14ac:dyDescent="0.25">
      <c r="D135" s="20"/>
      <c r="E135" s="20"/>
      <c r="F135" s="20"/>
      <c r="G135" s="20"/>
      <c r="H135" s="20"/>
      <c r="I135" s="20"/>
      <c r="J135" s="39"/>
      <c r="K135" s="39"/>
      <c r="L135" s="39"/>
      <c r="M135" s="39"/>
      <c r="N135" s="39"/>
      <c r="X135" s="39"/>
      <c r="AK135" s="12"/>
      <c r="AL135" s="12"/>
      <c r="BS135" s="20"/>
    </row>
    <row r="136" spans="4:71" s="19" customFormat="1" x14ac:dyDescent="0.25">
      <c r="D136" s="20"/>
      <c r="E136" s="20"/>
      <c r="F136" s="20"/>
      <c r="G136" s="20"/>
      <c r="H136" s="20"/>
      <c r="I136" s="20"/>
      <c r="J136" s="39"/>
      <c r="K136" s="39"/>
      <c r="L136" s="39"/>
      <c r="M136" s="39"/>
      <c r="N136" s="39"/>
      <c r="X136" s="39"/>
      <c r="AK136" s="12"/>
      <c r="AL136" s="12"/>
      <c r="BS136" s="20"/>
    </row>
    <row r="137" spans="4:71" s="19" customFormat="1" x14ac:dyDescent="0.25">
      <c r="D137" s="20"/>
      <c r="E137" s="20"/>
      <c r="F137" s="20"/>
      <c r="G137" s="20"/>
      <c r="H137" s="20"/>
      <c r="I137" s="20"/>
      <c r="J137" s="39"/>
      <c r="K137" s="39"/>
      <c r="L137" s="39"/>
      <c r="M137" s="39"/>
      <c r="N137" s="39"/>
      <c r="X137" s="39"/>
      <c r="AK137" s="12"/>
      <c r="AL137" s="12"/>
      <c r="BS137" s="20"/>
    </row>
    <row r="138" spans="4:71" s="19" customFormat="1" x14ac:dyDescent="0.25">
      <c r="D138" s="20"/>
      <c r="E138" s="20"/>
      <c r="F138" s="20"/>
      <c r="G138" s="20"/>
      <c r="H138" s="20"/>
      <c r="I138" s="20"/>
      <c r="J138" s="39"/>
      <c r="K138" s="39"/>
      <c r="L138" s="39"/>
      <c r="M138" s="39"/>
      <c r="N138" s="39"/>
      <c r="X138" s="39"/>
      <c r="AK138" s="12"/>
      <c r="AL138" s="12"/>
      <c r="BS138" s="20"/>
    </row>
    <row r="139" spans="4:71" s="19" customFormat="1" x14ac:dyDescent="0.25">
      <c r="D139" s="20"/>
      <c r="E139" s="20"/>
      <c r="F139" s="20"/>
      <c r="G139" s="20"/>
      <c r="H139" s="20"/>
      <c r="I139" s="20"/>
      <c r="J139" s="39"/>
      <c r="K139" s="39"/>
      <c r="L139" s="39"/>
      <c r="M139" s="39"/>
      <c r="N139" s="39"/>
      <c r="X139" s="39"/>
      <c r="AK139" s="12"/>
      <c r="AL139" s="12"/>
      <c r="BS139" s="20"/>
    </row>
    <row r="140" spans="4:71" s="19" customFormat="1" x14ac:dyDescent="0.25">
      <c r="D140" s="20"/>
      <c r="E140" s="20"/>
      <c r="F140" s="20"/>
      <c r="G140" s="20"/>
      <c r="H140" s="20"/>
      <c r="I140" s="20"/>
      <c r="J140" s="39"/>
      <c r="K140" s="39"/>
      <c r="L140" s="39"/>
      <c r="M140" s="39"/>
      <c r="N140" s="39"/>
      <c r="X140" s="39"/>
      <c r="AK140" s="12"/>
      <c r="AL140" s="12"/>
      <c r="BS140" s="20"/>
    </row>
    <row r="141" spans="4:71" s="19" customFormat="1" x14ac:dyDescent="0.25">
      <c r="D141" s="20"/>
      <c r="E141" s="20"/>
      <c r="F141" s="20"/>
      <c r="G141" s="20"/>
      <c r="H141" s="20"/>
      <c r="I141" s="20"/>
      <c r="J141" s="39"/>
      <c r="K141" s="39"/>
      <c r="L141" s="39"/>
      <c r="M141" s="39"/>
      <c r="N141" s="39"/>
      <c r="X141" s="39"/>
      <c r="AK141" s="12"/>
      <c r="AL141" s="12"/>
      <c r="BS141" s="20"/>
    </row>
    <row r="142" spans="4:71" s="19" customFormat="1" x14ac:dyDescent="0.25">
      <c r="D142" s="20"/>
      <c r="E142" s="20"/>
      <c r="F142" s="20"/>
      <c r="G142" s="20"/>
      <c r="H142" s="20"/>
      <c r="I142" s="20"/>
      <c r="J142" s="39"/>
      <c r="K142" s="39"/>
      <c r="L142" s="39"/>
      <c r="M142" s="39"/>
      <c r="N142" s="39"/>
      <c r="X142" s="39"/>
      <c r="AK142" s="12"/>
      <c r="AL142" s="12"/>
      <c r="BS142" s="20"/>
    </row>
    <row r="143" spans="4:71" s="19" customFormat="1" x14ac:dyDescent="0.25">
      <c r="D143" s="20"/>
      <c r="E143" s="20"/>
      <c r="F143" s="20"/>
      <c r="G143" s="20"/>
      <c r="H143" s="20"/>
      <c r="I143" s="20"/>
      <c r="J143" s="39"/>
      <c r="K143" s="39"/>
      <c r="L143" s="39"/>
      <c r="M143" s="39"/>
      <c r="N143" s="39"/>
      <c r="X143" s="39"/>
      <c r="AK143" s="12"/>
      <c r="AL143" s="12"/>
      <c r="BS143" s="20"/>
    </row>
    <row r="144" spans="4:71" s="19" customFormat="1" x14ac:dyDescent="0.25">
      <c r="D144" s="20"/>
      <c r="E144" s="20"/>
      <c r="F144" s="20"/>
      <c r="G144" s="20"/>
      <c r="H144" s="20"/>
      <c r="I144" s="20"/>
      <c r="J144" s="39"/>
      <c r="K144" s="39"/>
      <c r="L144" s="39"/>
      <c r="M144" s="39"/>
      <c r="N144" s="39"/>
      <c r="X144" s="39"/>
      <c r="AK144" s="12"/>
      <c r="AL144" s="12"/>
      <c r="BS144" s="20"/>
    </row>
    <row r="145" spans="4:71" s="19" customFormat="1" x14ac:dyDescent="0.25">
      <c r="D145" s="20"/>
      <c r="E145" s="20"/>
      <c r="F145" s="20"/>
      <c r="G145" s="20"/>
      <c r="H145" s="20"/>
      <c r="I145" s="20"/>
      <c r="J145" s="39"/>
      <c r="K145" s="39"/>
      <c r="L145" s="39"/>
      <c r="M145" s="39"/>
      <c r="N145" s="39"/>
      <c r="X145" s="39"/>
      <c r="AK145" s="12"/>
      <c r="AL145" s="12"/>
      <c r="BS145" s="20"/>
    </row>
    <row r="146" spans="4:71" s="19" customFormat="1" x14ac:dyDescent="0.25">
      <c r="D146" s="20"/>
      <c r="E146" s="20"/>
      <c r="F146" s="20"/>
      <c r="G146" s="20"/>
      <c r="H146" s="20"/>
      <c r="I146" s="20"/>
      <c r="J146" s="39"/>
      <c r="K146" s="39"/>
      <c r="L146" s="39"/>
      <c r="M146" s="39"/>
      <c r="N146" s="39"/>
      <c r="X146" s="39"/>
      <c r="AK146" s="12"/>
      <c r="AL146" s="12"/>
      <c r="BS146" s="20"/>
    </row>
    <row r="147" spans="4:71" s="19" customFormat="1" x14ac:dyDescent="0.25">
      <c r="D147" s="20"/>
      <c r="E147" s="20"/>
      <c r="F147" s="20"/>
      <c r="G147" s="20"/>
      <c r="H147" s="20"/>
      <c r="I147" s="20"/>
      <c r="J147" s="39"/>
      <c r="K147" s="39"/>
      <c r="L147" s="39"/>
      <c r="M147" s="39"/>
      <c r="N147" s="39"/>
      <c r="X147" s="39"/>
      <c r="AK147" s="12"/>
      <c r="AL147" s="12"/>
      <c r="BS147" s="20"/>
    </row>
    <row r="148" spans="4:71" s="19" customFormat="1" x14ac:dyDescent="0.25">
      <c r="D148" s="20"/>
      <c r="E148" s="20"/>
      <c r="F148" s="20"/>
      <c r="G148" s="20"/>
      <c r="H148" s="20"/>
      <c r="I148" s="20"/>
      <c r="J148" s="39"/>
      <c r="K148" s="39"/>
      <c r="L148" s="39"/>
      <c r="M148" s="39"/>
      <c r="N148" s="39"/>
      <c r="X148" s="39"/>
      <c r="AK148" s="12"/>
      <c r="AL148" s="12"/>
      <c r="BS148" s="20"/>
    </row>
    <row r="149" spans="4:71" s="19" customFormat="1" x14ac:dyDescent="0.25">
      <c r="D149" s="20"/>
      <c r="E149" s="20"/>
      <c r="F149" s="20"/>
      <c r="G149" s="20"/>
      <c r="H149" s="20"/>
      <c r="I149" s="20"/>
      <c r="J149" s="39"/>
      <c r="K149" s="39"/>
      <c r="L149" s="39"/>
      <c r="M149" s="39"/>
      <c r="N149" s="39"/>
      <c r="X149" s="39"/>
      <c r="AK149" s="12"/>
      <c r="AL149" s="12"/>
      <c r="BS149" s="20"/>
    </row>
    <row r="150" spans="4:71" s="19" customFormat="1" x14ac:dyDescent="0.25">
      <c r="D150" s="20"/>
      <c r="E150" s="20"/>
      <c r="F150" s="20"/>
      <c r="G150" s="20"/>
      <c r="H150" s="20"/>
      <c r="I150" s="20"/>
      <c r="J150" s="39"/>
      <c r="K150" s="39"/>
      <c r="L150" s="39"/>
      <c r="M150" s="39"/>
      <c r="N150" s="39"/>
      <c r="X150" s="39"/>
      <c r="AK150" s="12"/>
      <c r="AL150" s="12"/>
      <c r="BS150" s="20"/>
    </row>
    <row r="151" spans="4:71" s="19" customFormat="1" x14ac:dyDescent="0.25">
      <c r="D151" s="20"/>
      <c r="E151" s="20"/>
      <c r="F151" s="20"/>
      <c r="G151" s="20"/>
      <c r="H151" s="20"/>
      <c r="I151" s="20"/>
      <c r="J151" s="39"/>
      <c r="K151" s="39"/>
      <c r="L151" s="39"/>
      <c r="M151" s="39"/>
      <c r="N151" s="39"/>
      <c r="X151" s="39"/>
      <c r="AK151" s="12"/>
      <c r="AL151" s="12"/>
      <c r="BS151" s="20"/>
    </row>
    <row r="152" spans="4:71" s="19" customFormat="1" x14ac:dyDescent="0.25">
      <c r="D152" s="20"/>
      <c r="E152" s="20"/>
      <c r="F152" s="20"/>
      <c r="G152" s="20"/>
      <c r="H152" s="20"/>
      <c r="I152" s="20"/>
      <c r="J152" s="39"/>
      <c r="K152" s="39"/>
      <c r="L152" s="39"/>
      <c r="M152" s="39"/>
      <c r="N152" s="39"/>
      <c r="X152" s="39"/>
      <c r="AK152" s="12"/>
      <c r="AL152" s="12"/>
      <c r="BS152" s="20"/>
    </row>
    <row r="153" spans="4:71" s="19" customFormat="1" x14ac:dyDescent="0.25">
      <c r="D153" s="20"/>
      <c r="E153" s="20"/>
      <c r="F153" s="20"/>
      <c r="G153" s="20"/>
      <c r="H153" s="20"/>
      <c r="I153" s="20"/>
      <c r="J153" s="39"/>
      <c r="K153" s="39"/>
      <c r="L153" s="39"/>
      <c r="M153" s="39"/>
      <c r="N153" s="39"/>
      <c r="X153" s="39"/>
      <c r="AK153" s="12"/>
      <c r="AL153" s="12"/>
      <c r="BS153" s="20"/>
    </row>
    <row r="154" spans="4:71" s="19" customFormat="1" x14ac:dyDescent="0.25">
      <c r="D154" s="20"/>
      <c r="E154" s="20"/>
      <c r="F154" s="20"/>
      <c r="G154" s="20"/>
      <c r="H154" s="20"/>
      <c r="I154" s="20"/>
      <c r="J154" s="39"/>
      <c r="K154" s="39"/>
      <c r="L154" s="39"/>
      <c r="M154" s="39"/>
      <c r="N154" s="39"/>
      <c r="X154" s="39"/>
      <c r="AK154" s="12"/>
      <c r="AL154" s="12"/>
      <c r="BS154" s="20"/>
    </row>
    <row r="155" spans="4:71" s="19" customFormat="1" x14ac:dyDescent="0.25">
      <c r="D155" s="20"/>
      <c r="E155" s="20"/>
      <c r="F155" s="20"/>
      <c r="G155" s="20"/>
      <c r="H155" s="20"/>
      <c r="I155" s="20"/>
      <c r="J155" s="39"/>
      <c r="K155" s="39"/>
      <c r="L155" s="39"/>
      <c r="M155" s="39"/>
      <c r="N155" s="39"/>
      <c r="X155" s="39"/>
      <c r="AK155" s="12"/>
      <c r="AL155" s="12"/>
      <c r="BS155" s="20"/>
    </row>
    <row r="156" spans="4:71" s="19" customFormat="1" x14ac:dyDescent="0.25">
      <c r="D156" s="20"/>
      <c r="E156" s="20"/>
      <c r="F156" s="20"/>
      <c r="G156" s="20"/>
      <c r="H156" s="20"/>
      <c r="I156" s="20"/>
      <c r="J156" s="39"/>
      <c r="K156" s="39"/>
      <c r="L156" s="39"/>
      <c r="M156" s="39"/>
      <c r="N156" s="39"/>
      <c r="X156" s="39"/>
      <c r="AK156" s="12"/>
      <c r="AL156" s="12"/>
      <c r="BS156" s="20"/>
    </row>
    <row r="157" spans="4:71" s="19" customFormat="1" x14ac:dyDescent="0.25">
      <c r="D157" s="20"/>
      <c r="E157" s="20"/>
      <c r="F157" s="20"/>
      <c r="G157" s="20"/>
      <c r="H157" s="20"/>
      <c r="I157" s="20"/>
      <c r="J157" s="39"/>
      <c r="K157" s="39"/>
      <c r="L157" s="39"/>
      <c r="M157" s="39"/>
      <c r="N157" s="39"/>
      <c r="X157" s="39"/>
      <c r="AK157" s="12"/>
      <c r="AL157" s="12"/>
      <c r="BS157" s="20"/>
    </row>
    <row r="158" spans="4:71" s="19" customFormat="1" x14ac:dyDescent="0.25">
      <c r="D158" s="20"/>
      <c r="E158" s="20"/>
      <c r="F158" s="20"/>
      <c r="G158" s="20"/>
      <c r="H158" s="20"/>
      <c r="I158" s="20"/>
      <c r="J158" s="39"/>
      <c r="K158" s="39"/>
      <c r="L158" s="39"/>
      <c r="M158" s="39"/>
      <c r="N158" s="39"/>
      <c r="X158" s="39"/>
      <c r="AK158" s="12"/>
      <c r="AL158" s="12"/>
      <c r="BS158" s="20"/>
    </row>
    <row r="159" spans="4:71" s="19" customFormat="1" x14ac:dyDescent="0.25">
      <c r="D159" s="20"/>
      <c r="E159" s="20"/>
      <c r="F159" s="20"/>
      <c r="G159" s="20"/>
      <c r="H159" s="20"/>
      <c r="I159" s="20"/>
      <c r="J159" s="39"/>
      <c r="K159" s="39"/>
      <c r="L159" s="39"/>
      <c r="M159" s="39"/>
      <c r="N159" s="39"/>
      <c r="X159" s="39"/>
      <c r="AK159" s="12"/>
      <c r="AL159" s="12"/>
      <c r="BS159" s="20"/>
    </row>
    <row r="160" spans="4:71" s="19" customFormat="1" x14ac:dyDescent="0.25">
      <c r="D160" s="20"/>
      <c r="E160" s="20"/>
      <c r="F160" s="20"/>
      <c r="G160" s="20"/>
      <c r="H160" s="20"/>
      <c r="I160" s="20"/>
      <c r="J160" s="39"/>
      <c r="K160" s="39"/>
      <c r="L160" s="39"/>
      <c r="M160" s="39"/>
      <c r="N160" s="39"/>
      <c r="X160" s="39"/>
      <c r="AK160" s="12"/>
      <c r="AL160" s="12"/>
      <c r="BS160" s="20"/>
    </row>
    <row r="161" spans="4:71" s="19" customFormat="1" x14ac:dyDescent="0.25">
      <c r="D161" s="20"/>
      <c r="E161" s="20"/>
      <c r="F161" s="20"/>
      <c r="G161" s="20"/>
      <c r="H161" s="20"/>
      <c r="I161" s="20"/>
      <c r="J161" s="39"/>
      <c r="K161" s="39"/>
      <c r="L161" s="39"/>
      <c r="M161" s="39"/>
      <c r="N161" s="39"/>
      <c r="X161" s="39"/>
      <c r="AK161" s="12"/>
      <c r="AL161" s="12"/>
      <c r="BS161" s="20"/>
    </row>
    <row r="162" spans="4:71" s="19" customFormat="1" x14ac:dyDescent="0.25">
      <c r="D162" s="20"/>
      <c r="E162" s="20"/>
      <c r="F162" s="20"/>
      <c r="G162" s="20"/>
      <c r="H162" s="20"/>
      <c r="I162" s="20"/>
      <c r="J162" s="39"/>
      <c r="K162" s="39"/>
      <c r="L162" s="39"/>
      <c r="M162" s="39"/>
      <c r="N162" s="39"/>
      <c r="X162" s="39"/>
      <c r="AK162" s="12"/>
      <c r="AL162" s="12"/>
      <c r="BS162" s="20"/>
    </row>
    <row r="163" spans="4:71" s="19" customFormat="1" x14ac:dyDescent="0.25">
      <c r="D163" s="20"/>
      <c r="E163" s="20"/>
      <c r="F163" s="20"/>
      <c r="G163" s="20"/>
      <c r="H163" s="20"/>
      <c r="I163" s="20"/>
      <c r="J163" s="39"/>
      <c r="K163" s="39"/>
      <c r="L163" s="39"/>
      <c r="M163" s="39"/>
      <c r="N163" s="39"/>
      <c r="X163" s="39"/>
      <c r="AK163" s="12"/>
      <c r="AL163" s="12"/>
      <c r="BS163" s="20"/>
    </row>
    <row r="164" spans="4:71" s="19" customFormat="1" x14ac:dyDescent="0.25">
      <c r="D164" s="20"/>
      <c r="E164" s="20"/>
      <c r="F164" s="20"/>
      <c r="G164" s="20"/>
      <c r="H164" s="20"/>
      <c r="I164" s="20"/>
      <c r="J164" s="39"/>
      <c r="K164" s="39"/>
      <c r="L164" s="39"/>
      <c r="M164" s="39"/>
      <c r="N164" s="39"/>
      <c r="X164" s="39"/>
      <c r="AK164" s="12"/>
      <c r="AL164" s="12"/>
      <c r="BS164" s="20"/>
    </row>
    <row r="165" spans="4:71" s="19" customFormat="1" x14ac:dyDescent="0.25">
      <c r="D165" s="20"/>
      <c r="E165" s="20"/>
      <c r="F165" s="20"/>
      <c r="G165" s="20"/>
      <c r="H165" s="20"/>
      <c r="I165" s="20"/>
      <c r="J165" s="39"/>
      <c r="K165" s="39"/>
      <c r="L165" s="39"/>
      <c r="M165" s="39"/>
      <c r="N165" s="39"/>
      <c r="X165" s="39"/>
      <c r="AK165" s="12"/>
      <c r="AL165" s="12"/>
      <c r="BS165" s="20"/>
    </row>
    <row r="166" spans="4:71" s="19" customFormat="1" x14ac:dyDescent="0.25">
      <c r="D166" s="20"/>
      <c r="E166" s="20"/>
      <c r="F166" s="20"/>
      <c r="G166" s="20"/>
      <c r="H166" s="20"/>
      <c r="I166" s="20"/>
      <c r="J166" s="39"/>
      <c r="K166" s="39"/>
      <c r="L166" s="39"/>
      <c r="M166" s="39"/>
      <c r="N166" s="39"/>
      <c r="X166" s="39"/>
      <c r="AK166" s="12"/>
      <c r="AL166" s="12"/>
      <c r="BS166" s="20"/>
    </row>
    <row r="167" spans="4:71" s="19" customFormat="1" x14ac:dyDescent="0.25">
      <c r="D167" s="20"/>
      <c r="E167" s="20"/>
      <c r="F167" s="20"/>
      <c r="G167" s="20"/>
      <c r="H167" s="20"/>
      <c r="I167" s="20"/>
      <c r="J167" s="39"/>
      <c r="K167" s="39"/>
      <c r="L167" s="39"/>
      <c r="M167" s="39"/>
      <c r="N167" s="39"/>
      <c r="X167" s="39"/>
      <c r="AK167" s="12"/>
      <c r="AL167" s="12"/>
      <c r="BS167" s="20"/>
    </row>
    <row r="168" spans="4:71" s="19" customFormat="1" x14ac:dyDescent="0.25">
      <c r="D168" s="20"/>
      <c r="E168" s="20"/>
      <c r="F168" s="20"/>
      <c r="G168" s="20"/>
      <c r="H168" s="20"/>
      <c r="I168" s="20"/>
      <c r="J168" s="39"/>
      <c r="K168" s="39"/>
      <c r="L168" s="39"/>
      <c r="M168" s="39"/>
      <c r="N168" s="39"/>
      <c r="X168" s="39"/>
      <c r="AK168" s="12"/>
      <c r="AL168" s="12"/>
      <c r="BS168" s="20"/>
    </row>
    <row r="169" spans="4:71" s="19" customFormat="1" x14ac:dyDescent="0.25">
      <c r="D169" s="20"/>
      <c r="E169" s="20"/>
      <c r="F169" s="20"/>
      <c r="G169" s="20"/>
      <c r="H169" s="20"/>
      <c r="I169" s="20"/>
      <c r="J169" s="39"/>
      <c r="K169" s="39"/>
      <c r="L169" s="39"/>
      <c r="M169" s="39"/>
      <c r="N169" s="39"/>
      <c r="X169" s="39"/>
      <c r="AK169" s="12"/>
      <c r="AL169" s="12"/>
      <c r="BS169" s="20"/>
    </row>
    <row r="170" spans="4:71" s="19" customFormat="1" x14ac:dyDescent="0.25">
      <c r="D170" s="20"/>
      <c r="E170" s="20"/>
      <c r="F170" s="20"/>
      <c r="G170" s="20"/>
      <c r="H170" s="20"/>
      <c r="I170" s="20"/>
      <c r="J170" s="39"/>
      <c r="K170" s="39"/>
      <c r="L170" s="39"/>
      <c r="M170" s="39"/>
      <c r="N170" s="39"/>
      <c r="X170" s="39"/>
      <c r="AK170" s="12"/>
      <c r="AL170" s="12"/>
      <c r="BS170" s="20"/>
    </row>
    <row r="171" spans="4:71" s="19" customFormat="1" x14ac:dyDescent="0.25">
      <c r="D171" s="20"/>
      <c r="E171" s="20"/>
      <c r="F171" s="20"/>
      <c r="G171" s="20"/>
      <c r="H171" s="20"/>
      <c r="I171" s="20"/>
      <c r="J171" s="39"/>
      <c r="K171" s="39"/>
      <c r="L171" s="39"/>
      <c r="M171" s="39"/>
      <c r="N171" s="39"/>
      <c r="X171" s="39"/>
      <c r="AK171" s="12"/>
      <c r="AL171" s="12"/>
      <c r="BS171" s="20"/>
    </row>
    <row r="172" spans="4:71" s="19" customFormat="1" x14ac:dyDescent="0.25">
      <c r="D172" s="20"/>
      <c r="E172" s="20"/>
      <c r="F172" s="20"/>
      <c r="G172" s="20"/>
      <c r="H172" s="20"/>
      <c r="I172" s="20"/>
      <c r="J172" s="39"/>
      <c r="K172" s="39"/>
      <c r="L172" s="39"/>
      <c r="M172" s="39"/>
      <c r="N172" s="39"/>
      <c r="X172" s="39"/>
      <c r="AK172" s="12"/>
      <c r="AL172" s="12"/>
      <c r="BS172" s="20"/>
    </row>
    <row r="173" spans="4:71" s="19" customFormat="1" x14ac:dyDescent="0.25">
      <c r="D173" s="20"/>
      <c r="E173" s="20"/>
      <c r="F173" s="20"/>
      <c r="G173" s="20"/>
      <c r="H173" s="20"/>
      <c r="I173" s="20"/>
      <c r="J173" s="39"/>
      <c r="K173" s="39"/>
      <c r="L173" s="39"/>
      <c r="M173" s="39"/>
      <c r="N173" s="39"/>
      <c r="X173" s="39"/>
      <c r="AK173" s="12"/>
      <c r="AL173" s="12"/>
      <c r="BS173" s="20"/>
    </row>
    <row r="174" spans="4:71" s="19" customFormat="1" x14ac:dyDescent="0.25">
      <c r="D174" s="20"/>
      <c r="E174" s="20"/>
      <c r="F174" s="20"/>
      <c r="G174" s="20"/>
      <c r="H174" s="20"/>
      <c r="I174" s="20"/>
      <c r="J174" s="39"/>
      <c r="K174" s="39"/>
      <c r="L174" s="39"/>
      <c r="M174" s="39"/>
      <c r="N174" s="39"/>
      <c r="X174" s="39"/>
      <c r="AK174" s="12"/>
      <c r="AL174" s="12"/>
      <c r="BS174" s="20"/>
    </row>
    <row r="175" spans="4:71" s="19" customFormat="1" x14ac:dyDescent="0.25">
      <c r="D175" s="20"/>
      <c r="E175" s="20"/>
      <c r="F175" s="20"/>
      <c r="G175" s="20"/>
      <c r="H175" s="20"/>
      <c r="I175" s="20"/>
      <c r="J175" s="39"/>
      <c r="K175" s="39"/>
      <c r="L175" s="39"/>
      <c r="M175" s="39"/>
      <c r="N175" s="39"/>
      <c r="X175" s="39"/>
      <c r="AK175" s="12"/>
      <c r="AL175" s="12"/>
      <c r="BS175" s="20"/>
    </row>
    <row r="176" spans="4:71" s="19" customFormat="1" x14ac:dyDescent="0.25">
      <c r="D176" s="20"/>
      <c r="E176" s="20"/>
      <c r="F176" s="20"/>
      <c r="G176" s="20"/>
      <c r="H176" s="20"/>
      <c r="I176" s="20"/>
      <c r="J176" s="39"/>
      <c r="K176" s="39"/>
      <c r="L176" s="39"/>
      <c r="M176" s="39"/>
      <c r="N176" s="39"/>
      <c r="X176" s="39"/>
      <c r="AK176" s="12"/>
      <c r="AL176" s="12"/>
      <c r="BS176" s="20"/>
    </row>
    <row r="177" spans="4:71" s="19" customFormat="1" x14ac:dyDescent="0.25">
      <c r="D177" s="20"/>
      <c r="E177" s="20"/>
      <c r="F177" s="20"/>
      <c r="G177" s="20"/>
      <c r="H177" s="20"/>
      <c r="I177" s="20"/>
      <c r="J177" s="39"/>
      <c r="K177" s="39"/>
      <c r="L177" s="39"/>
      <c r="M177" s="39"/>
      <c r="N177" s="39"/>
      <c r="X177" s="39"/>
      <c r="AK177" s="12"/>
      <c r="AL177" s="12"/>
      <c r="BS177" s="20"/>
    </row>
    <row r="178" spans="4:71" s="19" customFormat="1" x14ac:dyDescent="0.25">
      <c r="D178" s="20"/>
      <c r="E178" s="20"/>
      <c r="F178" s="20"/>
      <c r="G178" s="20"/>
      <c r="H178" s="20"/>
      <c r="I178" s="20"/>
      <c r="J178" s="39"/>
      <c r="K178" s="39"/>
      <c r="L178" s="39"/>
      <c r="M178" s="39"/>
      <c r="N178" s="39"/>
      <c r="X178" s="39"/>
      <c r="AK178" s="12"/>
      <c r="AL178" s="12"/>
      <c r="BS178" s="20"/>
    </row>
    <row r="179" spans="4:71" s="19" customFormat="1" x14ac:dyDescent="0.25">
      <c r="D179" s="20"/>
      <c r="E179" s="20"/>
      <c r="F179" s="20"/>
      <c r="G179" s="20"/>
      <c r="H179" s="20"/>
      <c r="I179" s="20"/>
      <c r="J179" s="39"/>
      <c r="K179" s="39"/>
      <c r="L179" s="39"/>
      <c r="M179" s="39"/>
      <c r="N179" s="39"/>
      <c r="X179" s="39"/>
      <c r="AK179" s="12"/>
      <c r="AL179" s="12"/>
      <c r="BS179" s="20"/>
    </row>
    <row r="180" spans="4:71" s="19" customFormat="1" x14ac:dyDescent="0.25">
      <c r="D180" s="20"/>
      <c r="E180" s="20"/>
      <c r="F180" s="20"/>
      <c r="G180" s="20"/>
      <c r="H180" s="20"/>
      <c r="I180" s="20"/>
      <c r="J180" s="39"/>
      <c r="K180" s="39"/>
      <c r="L180" s="39"/>
      <c r="M180" s="39"/>
      <c r="N180" s="39"/>
      <c r="X180" s="39"/>
      <c r="AK180" s="12"/>
      <c r="AL180" s="12"/>
      <c r="BS180" s="20"/>
    </row>
    <row r="181" spans="4:71" s="19" customFormat="1" x14ac:dyDescent="0.25">
      <c r="D181" s="20"/>
      <c r="E181" s="20"/>
      <c r="F181" s="20"/>
      <c r="G181" s="20"/>
      <c r="H181" s="20"/>
      <c r="I181" s="20"/>
      <c r="J181" s="39"/>
      <c r="K181" s="39"/>
      <c r="L181" s="39"/>
      <c r="M181" s="39"/>
      <c r="N181" s="39"/>
      <c r="X181" s="39"/>
      <c r="AK181" s="12"/>
      <c r="AL181" s="12"/>
      <c r="BS181" s="20"/>
    </row>
    <row r="182" spans="4:71" s="19" customFormat="1" x14ac:dyDescent="0.25">
      <c r="D182" s="20"/>
      <c r="E182" s="20"/>
      <c r="F182" s="20"/>
      <c r="G182" s="20"/>
      <c r="H182" s="20"/>
      <c r="I182" s="20"/>
      <c r="J182" s="39"/>
      <c r="K182" s="39"/>
      <c r="L182" s="39"/>
      <c r="M182" s="39"/>
      <c r="N182" s="39"/>
      <c r="X182" s="39"/>
      <c r="AK182" s="12"/>
      <c r="AL182" s="12"/>
      <c r="BS182" s="20"/>
    </row>
    <row r="183" spans="4:71" s="19" customFormat="1" x14ac:dyDescent="0.25">
      <c r="D183" s="20"/>
      <c r="E183" s="20"/>
      <c r="F183" s="20"/>
      <c r="G183" s="20"/>
      <c r="H183" s="20"/>
      <c r="I183" s="20"/>
      <c r="J183" s="39"/>
      <c r="K183" s="39"/>
      <c r="L183" s="39"/>
      <c r="M183" s="39"/>
      <c r="N183" s="39"/>
      <c r="X183" s="39"/>
      <c r="AK183" s="12"/>
      <c r="AL183" s="12"/>
      <c r="BS183" s="20"/>
    </row>
    <row r="184" spans="4:71" s="19" customFormat="1" x14ac:dyDescent="0.25">
      <c r="D184" s="20"/>
      <c r="E184" s="20"/>
      <c r="F184" s="20"/>
      <c r="G184" s="20"/>
      <c r="H184" s="20"/>
      <c r="I184" s="20"/>
      <c r="J184" s="39"/>
      <c r="K184" s="39"/>
      <c r="L184" s="39"/>
      <c r="M184" s="39"/>
      <c r="N184" s="39"/>
      <c r="X184" s="39"/>
      <c r="AK184" s="12"/>
      <c r="AL184" s="12"/>
      <c r="BS184" s="20"/>
    </row>
    <row r="185" spans="4:71" s="19" customFormat="1" x14ac:dyDescent="0.25">
      <c r="D185" s="20"/>
      <c r="E185" s="20"/>
      <c r="F185" s="20"/>
      <c r="G185" s="20"/>
      <c r="H185" s="20"/>
      <c r="I185" s="20"/>
      <c r="J185" s="39"/>
      <c r="K185" s="39"/>
      <c r="L185" s="39"/>
      <c r="M185" s="39"/>
      <c r="N185" s="39"/>
      <c r="X185" s="39"/>
      <c r="AK185" s="12"/>
      <c r="AL185" s="12"/>
      <c r="BS185" s="20"/>
    </row>
    <row r="186" spans="4:71" s="19" customFormat="1" x14ac:dyDescent="0.25">
      <c r="D186" s="20"/>
      <c r="E186" s="20"/>
      <c r="F186" s="20"/>
      <c r="G186" s="20"/>
      <c r="H186" s="20"/>
      <c r="I186" s="20"/>
      <c r="J186" s="39"/>
      <c r="K186" s="39"/>
      <c r="L186" s="39"/>
      <c r="M186" s="39"/>
      <c r="N186" s="39"/>
      <c r="X186" s="39"/>
      <c r="AK186" s="12"/>
      <c r="AL186" s="12"/>
      <c r="BS186" s="20"/>
    </row>
    <row r="187" spans="4:71" s="19" customFormat="1" x14ac:dyDescent="0.25">
      <c r="D187" s="20"/>
      <c r="E187" s="20"/>
      <c r="F187" s="20"/>
      <c r="G187" s="20"/>
      <c r="H187" s="20"/>
      <c r="I187" s="20"/>
      <c r="J187" s="39"/>
      <c r="K187" s="39"/>
      <c r="L187" s="39"/>
      <c r="M187" s="39"/>
      <c r="N187" s="39"/>
      <c r="X187" s="39"/>
      <c r="AK187" s="12"/>
      <c r="AL187" s="12"/>
      <c r="BS187" s="20"/>
    </row>
    <row r="188" spans="4:71" s="19" customFormat="1" x14ac:dyDescent="0.25">
      <c r="D188" s="20"/>
      <c r="E188" s="20"/>
      <c r="F188" s="20"/>
      <c r="G188" s="20"/>
      <c r="H188" s="20"/>
      <c r="I188" s="20"/>
      <c r="J188" s="39"/>
      <c r="K188" s="39"/>
      <c r="L188" s="39"/>
      <c r="M188" s="39"/>
      <c r="N188" s="39"/>
      <c r="X188" s="39"/>
      <c r="AK188" s="12"/>
      <c r="AL188" s="12"/>
      <c r="BS188" s="20"/>
    </row>
    <row r="189" spans="4:71" s="19" customFormat="1" x14ac:dyDescent="0.25">
      <c r="D189" s="20"/>
      <c r="E189" s="20"/>
      <c r="F189" s="20"/>
      <c r="G189" s="20"/>
      <c r="H189" s="20"/>
      <c r="I189" s="20"/>
      <c r="J189" s="39"/>
      <c r="K189" s="39"/>
      <c r="L189" s="39"/>
      <c r="M189" s="39"/>
      <c r="N189" s="39"/>
      <c r="X189" s="39"/>
      <c r="AK189" s="12"/>
      <c r="AL189" s="12"/>
      <c r="BS189" s="20"/>
    </row>
    <row r="190" spans="4:71" s="19" customFormat="1" x14ac:dyDescent="0.25">
      <c r="D190" s="20"/>
      <c r="E190" s="20"/>
      <c r="F190" s="20"/>
      <c r="G190" s="20"/>
      <c r="H190" s="20"/>
      <c r="I190" s="20"/>
      <c r="J190" s="39"/>
      <c r="K190" s="39"/>
      <c r="L190" s="39"/>
      <c r="M190" s="39"/>
      <c r="N190" s="39"/>
      <c r="X190" s="39"/>
      <c r="AK190" s="12"/>
      <c r="AL190" s="12"/>
      <c r="BS190" s="20"/>
    </row>
    <row r="191" spans="4:71" s="19" customFormat="1" x14ac:dyDescent="0.25">
      <c r="D191" s="20"/>
      <c r="E191" s="20"/>
      <c r="F191" s="20"/>
      <c r="G191" s="20"/>
      <c r="H191" s="20"/>
      <c r="I191" s="20"/>
      <c r="J191" s="39"/>
      <c r="K191" s="39"/>
      <c r="L191" s="39"/>
      <c r="M191" s="39"/>
      <c r="N191" s="39"/>
      <c r="X191" s="39"/>
      <c r="AK191" s="12"/>
      <c r="AL191" s="12"/>
      <c r="BS191" s="20"/>
    </row>
    <row r="192" spans="4:71" s="19" customFormat="1" x14ac:dyDescent="0.25">
      <c r="D192" s="20"/>
      <c r="E192" s="20"/>
      <c r="F192" s="20"/>
      <c r="G192" s="20"/>
      <c r="H192" s="20"/>
      <c r="I192" s="20"/>
      <c r="J192" s="39"/>
      <c r="K192" s="39"/>
      <c r="L192" s="39"/>
      <c r="M192" s="39"/>
      <c r="N192" s="39"/>
      <c r="X192" s="39"/>
      <c r="AK192" s="12"/>
      <c r="AL192" s="12"/>
      <c r="BS192" s="20"/>
    </row>
    <row r="193" spans="4:71" s="19" customFormat="1" x14ac:dyDescent="0.25">
      <c r="D193" s="20"/>
      <c r="E193" s="20"/>
      <c r="F193" s="20"/>
      <c r="G193" s="20"/>
      <c r="H193" s="20"/>
      <c r="I193" s="20"/>
      <c r="J193" s="39"/>
      <c r="K193" s="39"/>
      <c r="L193" s="39"/>
      <c r="M193" s="39"/>
      <c r="N193" s="39"/>
      <c r="X193" s="39"/>
      <c r="AK193" s="12"/>
      <c r="AL193" s="12"/>
      <c r="BS193" s="20"/>
    </row>
    <row r="194" spans="4:71" s="19" customFormat="1" x14ac:dyDescent="0.25">
      <c r="D194" s="20"/>
      <c r="E194" s="20"/>
      <c r="F194" s="20"/>
      <c r="G194" s="20"/>
      <c r="H194" s="20"/>
      <c r="I194" s="20"/>
      <c r="J194" s="39"/>
      <c r="K194" s="39"/>
      <c r="L194" s="39"/>
      <c r="M194" s="39"/>
      <c r="N194" s="39"/>
      <c r="X194" s="39"/>
      <c r="AK194" s="12"/>
      <c r="AL194" s="12"/>
      <c r="BS194" s="20"/>
    </row>
    <row r="195" spans="4:71" s="19" customFormat="1" x14ac:dyDescent="0.25">
      <c r="D195" s="20"/>
      <c r="E195" s="20"/>
      <c r="F195" s="20"/>
      <c r="G195" s="20"/>
      <c r="H195" s="20"/>
      <c r="I195" s="20"/>
      <c r="J195" s="39"/>
      <c r="K195" s="39"/>
      <c r="L195" s="39"/>
      <c r="M195" s="39"/>
      <c r="N195" s="39"/>
      <c r="X195" s="39"/>
      <c r="AK195" s="12"/>
      <c r="AL195" s="12"/>
      <c r="BS195" s="20"/>
    </row>
    <row r="196" spans="4:71" s="19" customFormat="1" x14ac:dyDescent="0.25">
      <c r="D196" s="20"/>
      <c r="E196" s="20"/>
      <c r="F196" s="20"/>
      <c r="G196" s="20"/>
      <c r="H196" s="20"/>
      <c r="I196" s="20"/>
      <c r="J196" s="39"/>
      <c r="K196" s="39"/>
      <c r="L196" s="39"/>
      <c r="M196" s="39"/>
      <c r="N196" s="39"/>
      <c r="X196" s="39"/>
      <c r="AK196" s="12"/>
      <c r="AL196" s="12"/>
      <c r="BS196" s="20"/>
    </row>
    <row r="197" spans="4:71" s="19" customFormat="1" x14ac:dyDescent="0.25">
      <c r="D197" s="20"/>
      <c r="E197" s="20"/>
      <c r="F197" s="20"/>
      <c r="G197" s="20"/>
      <c r="H197" s="20"/>
      <c r="I197" s="20"/>
      <c r="J197" s="39"/>
      <c r="K197" s="39"/>
      <c r="L197" s="39"/>
      <c r="M197" s="39"/>
      <c r="N197" s="39"/>
      <c r="X197" s="39"/>
      <c r="AK197" s="12"/>
      <c r="AL197" s="12"/>
      <c r="BS197" s="20"/>
    </row>
    <row r="198" spans="4:71" s="19" customFormat="1" x14ac:dyDescent="0.25">
      <c r="D198" s="20"/>
      <c r="E198" s="20"/>
      <c r="F198" s="20"/>
      <c r="G198" s="20"/>
      <c r="H198" s="20"/>
      <c r="I198" s="20"/>
      <c r="J198" s="39"/>
      <c r="K198" s="39"/>
      <c r="L198" s="39"/>
      <c r="M198" s="39"/>
      <c r="N198" s="39"/>
      <c r="X198" s="39"/>
      <c r="AK198" s="12"/>
      <c r="AL198" s="12"/>
      <c r="BS198" s="20"/>
    </row>
    <row r="199" spans="4:71" s="19" customFormat="1" x14ac:dyDescent="0.25">
      <c r="D199" s="20"/>
      <c r="E199" s="20"/>
      <c r="F199" s="20"/>
      <c r="G199" s="20"/>
      <c r="H199" s="20"/>
      <c r="I199" s="20"/>
      <c r="J199" s="39"/>
      <c r="K199" s="39"/>
      <c r="L199" s="39"/>
      <c r="M199" s="39"/>
      <c r="N199" s="39"/>
      <c r="X199" s="39"/>
      <c r="AK199" s="12"/>
      <c r="AL199" s="12"/>
      <c r="BS199" s="20"/>
    </row>
    <row r="200" spans="4:71" s="19" customFormat="1" x14ac:dyDescent="0.25">
      <c r="D200" s="20"/>
      <c r="E200" s="20"/>
      <c r="F200" s="20"/>
      <c r="G200" s="20"/>
      <c r="H200" s="20"/>
      <c r="I200" s="20"/>
      <c r="J200" s="39"/>
      <c r="K200" s="39"/>
      <c r="L200" s="39"/>
      <c r="M200" s="39"/>
      <c r="N200" s="39"/>
      <c r="X200" s="39"/>
      <c r="AK200" s="12"/>
      <c r="AL200" s="12"/>
      <c r="BS200" s="20"/>
    </row>
    <row r="201" spans="4:71" s="19" customFormat="1" x14ac:dyDescent="0.25">
      <c r="D201" s="20"/>
      <c r="E201" s="20"/>
      <c r="F201" s="20"/>
      <c r="G201" s="20"/>
      <c r="H201" s="20"/>
      <c r="I201" s="20"/>
      <c r="J201" s="39"/>
      <c r="K201" s="39"/>
      <c r="L201" s="39"/>
      <c r="M201" s="39"/>
      <c r="N201" s="39"/>
      <c r="X201" s="39"/>
      <c r="AK201" s="12"/>
      <c r="AL201" s="12"/>
      <c r="BS201" s="20"/>
    </row>
    <row r="202" spans="4:71" s="19" customFormat="1" x14ac:dyDescent="0.25">
      <c r="D202" s="20"/>
      <c r="E202" s="20"/>
      <c r="F202" s="20"/>
      <c r="G202" s="20"/>
      <c r="H202" s="20"/>
      <c r="I202" s="20"/>
      <c r="J202" s="39"/>
      <c r="K202" s="39"/>
      <c r="L202" s="39"/>
      <c r="M202" s="39"/>
      <c r="N202" s="39"/>
      <c r="X202" s="39"/>
      <c r="AK202" s="12"/>
      <c r="AL202" s="12"/>
      <c r="BS202" s="20"/>
    </row>
    <row r="203" spans="4:71" s="19" customFormat="1" x14ac:dyDescent="0.25">
      <c r="D203" s="20"/>
      <c r="E203" s="20"/>
      <c r="F203" s="20"/>
      <c r="G203" s="20"/>
      <c r="H203" s="20"/>
      <c r="I203" s="20"/>
      <c r="J203" s="39"/>
      <c r="K203" s="39"/>
      <c r="L203" s="39"/>
      <c r="M203" s="39"/>
      <c r="N203" s="39"/>
      <c r="X203" s="39"/>
      <c r="AK203" s="12"/>
      <c r="AL203" s="12"/>
      <c r="BS203" s="20"/>
    </row>
    <row r="204" spans="4:71" s="19" customFormat="1" x14ac:dyDescent="0.25">
      <c r="D204" s="20"/>
      <c r="E204" s="20"/>
      <c r="F204" s="20"/>
      <c r="G204" s="20"/>
      <c r="H204" s="20"/>
      <c r="I204" s="20"/>
      <c r="J204" s="39"/>
      <c r="K204" s="39"/>
      <c r="L204" s="39"/>
      <c r="M204" s="39"/>
      <c r="N204" s="39"/>
      <c r="X204" s="39"/>
      <c r="AK204" s="12"/>
      <c r="AL204" s="12"/>
      <c r="BS204" s="20"/>
    </row>
    <row r="205" spans="4:71" s="19" customFormat="1" x14ac:dyDescent="0.25">
      <c r="D205" s="20"/>
      <c r="E205" s="20"/>
      <c r="F205" s="20"/>
      <c r="G205" s="20"/>
      <c r="H205" s="20"/>
      <c r="I205" s="20"/>
      <c r="J205" s="39"/>
      <c r="K205" s="39"/>
      <c r="L205" s="39"/>
      <c r="M205" s="39"/>
      <c r="N205" s="39"/>
      <c r="X205" s="39"/>
      <c r="AK205" s="12"/>
      <c r="AL205" s="12"/>
      <c r="BS205" s="20"/>
    </row>
    <row r="206" spans="4:71" s="19" customFormat="1" x14ac:dyDescent="0.25">
      <c r="D206" s="20"/>
      <c r="E206" s="20"/>
      <c r="F206" s="20"/>
      <c r="G206" s="20"/>
      <c r="H206" s="20"/>
      <c r="I206" s="20"/>
      <c r="J206" s="39"/>
      <c r="K206" s="39"/>
      <c r="L206" s="39"/>
      <c r="M206" s="39"/>
      <c r="N206" s="39"/>
      <c r="X206" s="39"/>
      <c r="AK206" s="12"/>
      <c r="AL206" s="12"/>
      <c r="BS206" s="20"/>
    </row>
    <row r="207" spans="4:71" s="19" customFormat="1" x14ac:dyDescent="0.25">
      <c r="D207" s="20"/>
      <c r="E207" s="20"/>
      <c r="F207" s="20"/>
      <c r="G207" s="20"/>
      <c r="H207" s="20"/>
      <c r="I207" s="20"/>
      <c r="J207" s="39"/>
      <c r="K207" s="39"/>
      <c r="L207" s="39"/>
      <c r="M207" s="39"/>
      <c r="N207" s="39"/>
      <c r="X207" s="39"/>
      <c r="AK207" s="12"/>
      <c r="AL207" s="12"/>
      <c r="BS207" s="20"/>
    </row>
    <row r="208" spans="4:71" s="19" customFormat="1" x14ac:dyDescent="0.25">
      <c r="D208" s="20"/>
      <c r="E208" s="20"/>
      <c r="F208" s="20"/>
      <c r="G208" s="20"/>
      <c r="H208" s="20"/>
      <c r="I208" s="20"/>
      <c r="J208" s="39"/>
      <c r="K208" s="39"/>
      <c r="L208" s="39"/>
      <c r="M208" s="39"/>
      <c r="N208" s="39"/>
      <c r="X208" s="39"/>
      <c r="AK208" s="12"/>
      <c r="AL208" s="12"/>
      <c r="BS208" s="20"/>
    </row>
    <row r="209" spans="4:71" s="19" customFormat="1" x14ac:dyDescent="0.25">
      <c r="D209" s="20"/>
      <c r="E209" s="20"/>
      <c r="F209" s="20"/>
      <c r="G209" s="20"/>
      <c r="H209" s="20"/>
      <c r="I209" s="20"/>
      <c r="J209" s="39"/>
      <c r="K209" s="39"/>
      <c r="L209" s="39"/>
      <c r="M209" s="39"/>
      <c r="N209" s="39"/>
      <c r="X209" s="39"/>
      <c r="AK209" s="12"/>
      <c r="AL209" s="12"/>
      <c r="BS209" s="20"/>
    </row>
    <row r="210" spans="4:71" s="19" customFormat="1" x14ac:dyDescent="0.25">
      <c r="D210" s="20"/>
      <c r="E210" s="20"/>
      <c r="F210" s="20"/>
      <c r="G210" s="20"/>
      <c r="H210" s="20"/>
      <c r="I210" s="20"/>
      <c r="J210" s="39"/>
      <c r="K210" s="39"/>
      <c r="L210" s="39"/>
      <c r="M210" s="39"/>
      <c r="N210" s="39"/>
      <c r="X210" s="39"/>
      <c r="AK210" s="12"/>
      <c r="AL210" s="12"/>
      <c r="BS210" s="20"/>
    </row>
    <row r="211" spans="4:71" s="19" customFormat="1" x14ac:dyDescent="0.25">
      <c r="D211" s="20"/>
      <c r="E211" s="20"/>
      <c r="F211" s="20"/>
      <c r="G211" s="20"/>
      <c r="H211" s="20"/>
      <c r="I211" s="20"/>
      <c r="J211" s="39"/>
      <c r="K211" s="39"/>
      <c r="L211" s="39"/>
      <c r="M211" s="39"/>
      <c r="N211" s="39"/>
      <c r="X211" s="39"/>
      <c r="AK211" s="12"/>
      <c r="AL211" s="12"/>
      <c r="BS211" s="20"/>
    </row>
    <row r="212" spans="4:71" s="19" customFormat="1" x14ac:dyDescent="0.25">
      <c r="D212" s="20"/>
      <c r="E212" s="20"/>
      <c r="F212" s="20"/>
      <c r="G212" s="20"/>
      <c r="H212" s="20"/>
      <c r="I212" s="20"/>
      <c r="J212" s="39"/>
      <c r="K212" s="39"/>
      <c r="L212" s="39"/>
      <c r="M212" s="39"/>
      <c r="N212" s="39"/>
      <c r="X212" s="39"/>
      <c r="AK212" s="12"/>
      <c r="AL212" s="12"/>
      <c r="BS212" s="20"/>
    </row>
    <row r="213" spans="4:71" s="19" customFormat="1" x14ac:dyDescent="0.25">
      <c r="D213" s="20"/>
      <c r="E213" s="20"/>
      <c r="F213" s="20"/>
      <c r="G213" s="20"/>
      <c r="H213" s="20"/>
      <c r="I213" s="20"/>
      <c r="J213" s="39"/>
      <c r="K213" s="39"/>
      <c r="L213" s="39"/>
      <c r="M213" s="39"/>
      <c r="N213" s="39"/>
      <c r="X213" s="39"/>
      <c r="AK213" s="12"/>
      <c r="AL213" s="12"/>
      <c r="BS213" s="20"/>
    </row>
    <row r="214" spans="4:71" s="19" customFormat="1" x14ac:dyDescent="0.25">
      <c r="D214" s="20"/>
      <c r="E214" s="20"/>
      <c r="F214" s="20"/>
      <c r="G214" s="20"/>
      <c r="H214" s="20"/>
      <c r="I214" s="20"/>
      <c r="J214" s="39"/>
      <c r="K214" s="39"/>
      <c r="L214" s="39"/>
      <c r="M214" s="39"/>
      <c r="N214" s="39"/>
      <c r="X214" s="39"/>
      <c r="AK214" s="12"/>
      <c r="AL214" s="12"/>
      <c r="BS214" s="20"/>
    </row>
    <row r="215" spans="4:71" s="19" customFormat="1" x14ac:dyDescent="0.25">
      <c r="D215" s="20"/>
      <c r="E215" s="20"/>
      <c r="F215" s="20"/>
      <c r="G215" s="20"/>
      <c r="H215" s="20"/>
      <c r="I215" s="20"/>
      <c r="J215" s="39"/>
      <c r="K215" s="39"/>
      <c r="L215" s="39"/>
      <c r="M215" s="39"/>
      <c r="N215" s="39"/>
      <c r="X215" s="39"/>
      <c r="AK215" s="12"/>
      <c r="AL215" s="12"/>
      <c r="BS215" s="20"/>
    </row>
    <row r="216" spans="4:71" s="19" customFormat="1" x14ac:dyDescent="0.25">
      <c r="D216" s="20"/>
      <c r="E216" s="20"/>
      <c r="F216" s="20"/>
      <c r="G216" s="20"/>
      <c r="H216" s="20"/>
      <c r="I216" s="20"/>
      <c r="J216" s="39"/>
      <c r="K216" s="39"/>
      <c r="L216" s="39"/>
      <c r="M216" s="39"/>
      <c r="N216" s="39"/>
      <c r="X216" s="39"/>
      <c r="AK216" s="12"/>
      <c r="AL216" s="12"/>
      <c r="BS216" s="20"/>
    </row>
    <row r="217" spans="4:71" s="19" customFormat="1" x14ac:dyDescent="0.25">
      <c r="D217" s="20"/>
      <c r="E217" s="20"/>
      <c r="F217" s="20"/>
      <c r="G217" s="20"/>
      <c r="H217" s="20"/>
      <c r="I217" s="20"/>
      <c r="J217" s="39"/>
      <c r="K217" s="39"/>
      <c r="L217" s="39"/>
      <c r="M217" s="39"/>
      <c r="N217" s="39"/>
      <c r="X217" s="39"/>
      <c r="AK217" s="12"/>
      <c r="AL217" s="12"/>
      <c r="BS217" s="20"/>
    </row>
    <row r="218" spans="4:71" s="19" customFormat="1" x14ac:dyDescent="0.25">
      <c r="D218" s="20"/>
      <c r="E218" s="20"/>
      <c r="F218" s="20"/>
      <c r="G218" s="20"/>
      <c r="H218" s="20"/>
      <c r="I218" s="20"/>
      <c r="J218" s="39"/>
      <c r="K218" s="39"/>
      <c r="L218" s="39"/>
      <c r="M218" s="39"/>
      <c r="N218" s="39"/>
      <c r="X218" s="39"/>
      <c r="AK218" s="12"/>
      <c r="AL218" s="12"/>
      <c r="BS218" s="20"/>
    </row>
    <row r="219" spans="4:71" s="19" customFormat="1" x14ac:dyDescent="0.25">
      <c r="D219" s="20"/>
      <c r="E219" s="20"/>
      <c r="F219" s="20"/>
      <c r="G219" s="20"/>
      <c r="H219" s="20"/>
      <c r="I219" s="20"/>
      <c r="J219" s="39"/>
      <c r="K219" s="39"/>
      <c r="L219" s="39"/>
      <c r="M219" s="39"/>
      <c r="N219" s="39"/>
      <c r="X219" s="39"/>
      <c r="AK219" s="12"/>
      <c r="AL219" s="12"/>
      <c r="BS219" s="20"/>
    </row>
    <row r="220" spans="4:71" s="19" customFormat="1" x14ac:dyDescent="0.25">
      <c r="D220" s="20"/>
      <c r="E220" s="20"/>
      <c r="F220" s="20"/>
      <c r="G220" s="20"/>
      <c r="H220" s="20"/>
      <c r="I220" s="20"/>
      <c r="J220" s="39"/>
      <c r="K220" s="39"/>
      <c r="L220" s="39"/>
      <c r="M220" s="39"/>
      <c r="N220" s="39"/>
      <c r="X220" s="39"/>
      <c r="AK220" s="12"/>
      <c r="AL220" s="12"/>
      <c r="BS220" s="20"/>
    </row>
    <row r="221" spans="4:71" s="19" customFormat="1" x14ac:dyDescent="0.25">
      <c r="D221" s="20"/>
      <c r="E221" s="20"/>
      <c r="F221" s="20"/>
      <c r="G221" s="20"/>
      <c r="H221" s="20"/>
      <c r="I221" s="20"/>
      <c r="J221" s="39"/>
      <c r="K221" s="39"/>
      <c r="L221" s="39"/>
      <c r="M221" s="39"/>
      <c r="N221" s="39"/>
      <c r="X221" s="39"/>
      <c r="AK221" s="12"/>
      <c r="AL221" s="12"/>
      <c r="BS221" s="20"/>
    </row>
    <row r="222" spans="4:71" s="19" customFormat="1" x14ac:dyDescent="0.25">
      <c r="D222" s="20"/>
      <c r="E222" s="20"/>
      <c r="F222" s="20"/>
      <c r="G222" s="20"/>
      <c r="H222" s="20"/>
      <c r="I222" s="20"/>
      <c r="J222" s="39"/>
      <c r="K222" s="39"/>
      <c r="L222" s="39"/>
      <c r="M222" s="39"/>
      <c r="N222" s="39"/>
      <c r="X222" s="39"/>
      <c r="AK222" s="12"/>
      <c r="AL222" s="12"/>
      <c r="BS222" s="20"/>
    </row>
    <row r="223" spans="4:71" s="19" customFormat="1" x14ac:dyDescent="0.25">
      <c r="D223" s="20"/>
      <c r="E223" s="20"/>
      <c r="F223" s="20"/>
      <c r="G223" s="20"/>
      <c r="H223" s="20"/>
      <c r="I223" s="20"/>
      <c r="J223" s="39"/>
      <c r="K223" s="39"/>
      <c r="L223" s="39"/>
      <c r="M223" s="39"/>
      <c r="N223" s="39"/>
      <c r="X223" s="39"/>
      <c r="AK223" s="12"/>
      <c r="AL223" s="12"/>
      <c r="BS223" s="20"/>
    </row>
    <row r="224" spans="4:71" s="19" customFormat="1" x14ac:dyDescent="0.25">
      <c r="D224" s="20"/>
      <c r="E224" s="20"/>
      <c r="F224" s="20"/>
      <c r="G224" s="20"/>
      <c r="H224" s="20"/>
      <c r="I224" s="20"/>
      <c r="J224" s="39"/>
      <c r="K224" s="39"/>
      <c r="L224" s="39"/>
      <c r="M224" s="39"/>
      <c r="N224" s="39"/>
      <c r="X224" s="39"/>
      <c r="AK224" s="12"/>
      <c r="AL224" s="12"/>
      <c r="BS224" s="20"/>
    </row>
    <row r="225" spans="4:71" s="19" customFormat="1" x14ac:dyDescent="0.25">
      <c r="D225" s="20"/>
      <c r="E225" s="20"/>
      <c r="F225" s="20"/>
      <c r="G225" s="20"/>
      <c r="H225" s="20"/>
      <c r="I225" s="20"/>
      <c r="J225" s="39"/>
      <c r="K225" s="39"/>
      <c r="L225" s="39"/>
      <c r="M225" s="39"/>
      <c r="N225" s="39"/>
      <c r="X225" s="39"/>
      <c r="AK225" s="12"/>
      <c r="AL225" s="12"/>
      <c r="BS225" s="20"/>
    </row>
    <row r="226" spans="4:71" s="19" customFormat="1" x14ac:dyDescent="0.25">
      <c r="D226" s="20"/>
      <c r="E226" s="20"/>
      <c r="F226" s="20"/>
      <c r="G226" s="20"/>
      <c r="H226" s="20"/>
      <c r="I226" s="20"/>
      <c r="J226" s="39"/>
      <c r="K226" s="39"/>
      <c r="L226" s="39"/>
      <c r="M226" s="39"/>
      <c r="N226" s="39"/>
      <c r="X226" s="39"/>
      <c r="AK226" s="12"/>
      <c r="AL226" s="12"/>
      <c r="BS226" s="20"/>
    </row>
    <row r="227" spans="4:71" s="19" customFormat="1" x14ac:dyDescent="0.25">
      <c r="D227" s="20"/>
      <c r="E227" s="20"/>
      <c r="F227" s="20"/>
      <c r="G227" s="20"/>
      <c r="H227" s="20"/>
      <c r="I227" s="20"/>
      <c r="J227" s="39"/>
      <c r="K227" s="39"/>
      <c r="L227" s="39"/>
      <c r="M227" s="39"/>
      <c r="N227" s="39"/>
      <c r="X227" s="39"/>
      <c r="AK227" s="12"/>
      <c r="AL227" s="12"/>
      <c r="BS227" s="20"/>
    </row>
    <row r="228" spans="4:71" s="19" customFormat="1" x14ac:dyDescent="0.25">
      <c r="D228" s="20"/>
      <c r="E228" s="20"/>
      <c r="F228" s="20"/>
      <c r="G228" s="20"/>
      <c r="H228" s="20"/>
      <c r="I228" s="20"/>
      <c r="J228" s="39"/>
      <c r="K228" s="39"/>
      <c r="L228" s="39"/>
      <c r="M228" s="39"/>
      <c r="N228" s="39"/>
      <c r="X228" s="39"/>
      <c r="AK228" s="12"/>
      <c r="AL228" s="12"/>
      <c r="BS228" s="20"/>
    </row>
    <row r="229" spans="4:71" s="19" customFormat="1" x14ac:dyDescent="0.25">
      <c r="D229" s="20"/>
      <c r="E229" s="20"/>
      <c r="F229" s="20"/>
      <c r="G229" s="20"/>
      <c r="H229" s="20"/>
      <c r="I229" s="20"/>
      <c r="J229" s="39"/>
      <c r="K229" s="39"/>
      <c r="L229" s="39"/>
      <c r="M229" s="39"/>
      <c r="N229" s="39"/>
      <c r="X229" s="39"/>
      <c r="AK229" s="12"/>
      <c r="AL229" s="12"/>
      <c r="BS229" s="20"/>
    </row>
    <row r="230" spans="4:71" s="19" customFormat="1" x14ac:dyDescent="0.25">
      <c r="D230" s="20"/>
      <c r="E230" s="20"/>
      <c r="F230" s="20"/>
      <c r="G230" s="20"/>
      <c r="H230" s="20"/>
      <c r="I230" s="20"/>
      <c r="J230" s="39"/>
      <c r="K230" s="39"/>
      <c r="L230" s="39"/>
      <c r="M230" s="39"/>
      <c r="N230" s="39"/>
      <c r="X230" s="39"/>
      <c r="AK230" s="12"/>
      <c r="AL230" s="12"/>
      <c r="BS230" s="20"/>
    </row>
    <row r="231" spans="4:71" s="19" customFormat="1" x14ac:dyDescent="0.25">
      <c r="D231" s="20"/>
      <c r="E231" s="20"/>
      <c r="F231" s="20"/>
      <c r="G231" s="20"/>
      <c r="H231" s="20"/>
      <c r="I231" s="20"/>
      <c r="J231" s="39"/>
      <c r="K231" s="39"/>
      <c r="L231" s="39"/>
      <c r="M231" s="39"/>
      <c r="N231" s="39"/>
      <c r="X231" s="39"/>
      <c r="AK231" s="12"/>
      <c r="AL231" s="12"/>
      <c r="BS231" s="20"/>
    </row>
    <row r="232" spans="4:71" s="19" customFormat="1" x14ac:dyDescent="0.25">
      <c r="D232" s="20"/>
      <c r="E232" s="20"/>
      <c r="F232" s="20"/>
      <c r="G232" s="20"/>
      <c r="H232" s="20"/>
      <c r="I232" s="20"/>
      <c r="J232" s="39"/>
      <c r="K232" s="39"/>
      <c r="L232" s="39"/>
      <c r="M232" s="39"/>
      <c r="N232" s="39"/>
      <c r="X232" s="39"/>
      <c r="AK232" s="12"/>
      <c r="AL232" s="12"/>
      <c r="BS232" s="20"/>
    </row>
    <row r="233" spans="4:71" s="19" customFormat="1" x14ac:dyDescent="0.25">
      <c r="D233" s="20"/>
      <c r="E233" s="20"/>
      <c r="F233" s="20"/>
      <c r="G233" s="20"/>
      <c r="H233" s="20"/>
      <c r="I233" s="20"/>
      <c r="J233" s="39"/>
      <c r="K233" s="39"/>
      <c r="L233" s="39"/>
      <c r="M233" s="39"/>
      <c r="N233" s="39"/>
      <c r="X233" s="39"/>
      <c r="AK233" s="12"/>
      <c r="AL233" s="12"/>
      <c r="BS233" s="20"/>
    </row>
    <row r="234" spans="4:71" s="19" customFormat="1" x14ac:dyDescent="0.25">
      <c r="D234" s="20"/>
      <c r="E234" s="20"/>
      <c r="F234" s="20"/>
      <c r="G234" s="20"/>
      <c r="H234" s="20"/>
      <c r="I234" s="20"/>
      <c r="J234" s="39"/>
      <c r="K234" s="39"/>
      <c r="L234" s="39"/>
      <c r="M234" s="39"/>
      <c r="N234" s="39"/>
      <c r="X234" s="39"/>
      <c r="AK234" s="12"/>
      <c r="AL234" s="12"/>
      <c r="BS234" s="20"/>
    </row>
    <row r="235" spans="4:71" s="19" customFormat="1" x14ac:dyDescent="0.25">
      <c r="D235" s="20"/>
      <c r="E235" s="20"/>
      <c r="F235" s="20"/>
      <c r="G235" s="20"/>
      <c r="H235" s="20"/>
      <c r="I235" s="20"/>
      <c r="J235" s="39"/>
      <c r="K235" s="39"/>
      <c r="L235" s="39"/>
      <c r="M235" s="39"/>
      <c r="N235" s="39"/>
      <c r="X235" s="39"/>
      <c r="AK235" s="12"/>
      <c r="AL235" s="12"/>
      <c r="BS235" s="20"/>
    </row>
    <row r="236" spans="4:71" s="19" customFormat="1" x14ac:dyDescent="0.25">
      <c r="D236" s="20"/>
      <c r="E236" s="20"/>
      <c r="F236" s="20"/>
      <c r="G236" s="20"/>
      <c r="H236" s="20"/>
      <c r="I236" s="20"/>
      <c r="J236" s="39"/>
      <c r="K236" s="39"/>
      <c r="L236" s="39"/>
      <c r="M236" s="39"/>
      <c r="N236" s="39"/>
      <c r="X236" s="39"/>
      <c r="AK236" s="12"/>
      <c r="AL236" s="12"/>
      <c r="BS236" s="20"/>
    </row>
    <row r="237" spans="4:71" s="19" customFormat="1" x14ac:dyDescent="0.25">
      <c r="D237" s="20"/>
      <c r="E237" s="20"/>
      <c r="F237" s="20"/>
      <c r="G237" s="20"/>
      <c r="H237" s="20"/>
      <c r="I237" s="20"/>
      <c r="J237" s="39"/>
      <c r="K237" s="39"/>
      <c r="L237" s="39"/>
      <c r="M237" s="39"/>
      <c r="N237" s="39"/>
      <c r="X237" s="39"/>
      <c r="AK237" s="12"/>
      <c r="AL237" s="12"/>
      <c r="BS237" s="20"/>
    </row>
    <row r="238" spans="4:71" s="19" customFormat="1" x14ac:dyDescent="0.25">
      <c r="D238" s="20"/>
      <c r="E238" s="20"/>
      <c r="F238" s="20"/>
      <c r="G238" s="20"/>
      <c r="H238" s="20"/>
      <c r="I238" s="20"/>
      <c r="J238" s="39"/>
      <c r="K238" s="39"/>
      <c r="L238" s="39"/>
      <c r="M238" s="39"/>
      <c r="N238" s="39"/>
      <c r="X238" s="39"/>
      <c r="AK238" s="12"/>
      <c r="AL238" s="12"/>
      <c r="BS238" s="20"/>
    </row>
    <row r="239" spans="4:71" s="19" customFormat="1" x14ac:dyDescent="0.25">
      <c r="D239" s="20"/>
      <c r="E239" s="20"/>
      <c r="F239" s="20"/>
      <c r="G239" s="20"/>
      <c r="H239" s="20"/>
      <c r="I239" s="20"/>
      <c r="J239" s="39"/>
      <c r="K239" s="39"/>
      <c r="L239" s="39"/>
      <c r="M239" s="39"/>
      <c r="N239" s="39"/>
      <c r="X239" s="39"/>
      <c r="AK239" s="12"/>
      <c r="AL239" s="12"/>
      <c r="BS239" s="20"/>
    </row>
    <row r="240" spans="4:71" s="19" customFormat="1" x14ac:dyDescent="0.25">
      <c r="D240" s="20"/>
      <c r="E240" s="20"/>
      <c r="F240" s="20"/>
      <c r="G240" s="20"/>
      <c r="H240" s="20"/>
      <c r="I240" s="20"/>
      <c r="J240" s="39"/>
      <c r="K240" s="39"/>
      <c r="L240" s="39"/>
      <c r="M240" s="39"/>
      <c r="N240" s="39"/>
      <c r="X240" s="39"/>
      <c r="AK240" s="12"/>
      <c r="AL240" s="12"/>
      <c r="BS240" s="20"/>
    </row>
    <row r="241" spans="4:71" s="19" customFormat="1" x14ac:dyDescent="0.25">
      <c r="D241" s="20"/>
      <c r="E241" s="20"/>
      <c r="F241" s="20"/>
      <c r="G241" s="20"/>
      <c r="H241" s="20"/>
      <c r="I241" s="20"/>
      <c r="J241" s="39"/>
      <c r="K241" s="39"/>
      <c r="L241" s="39"/>
      <c r="M241" s="39"/>
      <c r="N241" s="39"/>
      <c r="X241" s="39"/>
      <c r="AK241" s="12"/>
      <c r="AL241" s="12"/>
      <c r="BS241" s="20"/>
    </row>
    <row r="242" spans="4:71" s="19" customFormat="1" x14ac:dyDescent="0.25">
      <c r="D242" s="20"/>
      <c r="E242" s="20"/>
      <c r="F242" s="20"/>
      <c r="G242" s="20"/>
      <c r="H242" s="20"/>
      <c r="I242" s="20"/>
      <c r="J242" s="39"/>
      <c r="K242" s="39"/>
      <c r="L242" s="39"/>
      <c r="M242" s="39"/>
      <c r="N242" s="39"/>
      <c r="X242" s="39"/>
      <c r="AK242" s="12"/>
      <c r="AL242" s="12"/>
      <c r="BS242" s="20"/>
    </row>
    <row r="243" spans="4:71" s="19" customFormat="1" x14ac:dyDescent="0.25">
      <c r="D243" s="20"/>
      <c r="E243" s="20"/>
      <c r="F243" s="20"/>
      <c r="G243" s="20"/>
      <c r="H243" s="20"/>
      <c r="I243" s="20"/>
      <c r="J243" s="39"/>
      <c r="K243" s="39"/>
      <c r="L243" s="39"/>
      <c r="M243" s="39"/>
      <c r="N243" s="39"/>
      <c r="X243" s="39"/>
      <c r="AK243" s="12"/>
      <c r="AL243" s="12"/>
      <c r="BS243" s="20"/>
    </row>
    <row r="244" spans="4:71" s="19" customFormat="1" x14ac:dyDescent="0.25">
      <c r="D244" s="20"/>
      <c r="E244" s="20"/>
      <c r="F244" s="20"/>
      <c r="G244" s="20"/>
      <c r="H244" s="20"/>
      <c r="I244" s="20"/>
      <c r="J244" s="39"/>
      <c r="K244" s="39"/>
      <c r="L244" s="39"/>
      <c r="M244" s="39"/>
      <c r="N244" s="39"/>
      <c r="X244" s="39"/>
      <c r="AK244" s="12"/>
      <c r="AL244" s="12"/>
      <c r="BS244" s="20"/>
    </row>
    <row r="245" spans="4:71" s="19" customFormat="1" x14ac:dyDescent="0.25">
      <c r="D245" s="20"/>
      <c r="E245" s="20"/>
      <c r="F245" s="20"/>
      <c r="G245" s="20"/>
      <c r="H245" s="20"/>
      <c r="I245" s="20"/>
      <c r="J245" s="39"/>
      <c r="K245" s="39"/>
      <c r="L245" s="39"/>
      <c r="M245" s="39"/>
      <c r="N245" s="39"/>
      <c r="X245" s="39"/>
      <c r="AK245" s="12"/>
      <c r="AL245" s="12"/>
      <c r="BS245" s="20"/>
    </row>
    <row r="246" spans="4:71" s="19" customFormat="1" x14ac:dyDescent="0.25">
      <c r="D246" s="20"/>
      <c r="E246" s="20"/>
      <c r="F246" s="20"/>
      <c r="G246" s="20"/>
      <c r="H246" s="20"/>
      <c r="I246" s="20"/>
      <c r="J246" s="39"/>
      <c r="K246" s="39"/>
      <c r="L246" s="39"/>
      <c r="M246" s="39"/>
      <c r="N246" s="39"/>
      <c r="X246" s="39"/>
      <c r="AK246" s="12"/>
      <c r="AL246" s="12"/>
      <c r="BS246" s="20"/>
    </row>
    <row r="247" spans="4:71" s="19" customFormat="1" x14ac:dyDescent="0.25">
      <c r="D247" s="20"/>
      <c r="E247" s="20"/>
      <c r="F247" s="20"/>
      <c r="G247" s="20"/>
      <c r="H247" s="20"/>
      <c r="I247" s="20"/>
      <c r="J247" s="39"/>
      <c r="K247" s="39"/>
      <c r="L247" s="39"/>
      <c r="M247" s="39"/>
      <c r="N247" s="39"/>
      <c r="X247" s="39"/>
      <c r="AK247" s="12"/>
      <c r="AL247" s="12"/>
      <c r="BS247" s="20"/>
    </row>
    <row r="248" spans="4:71" s="19" customFormat="1" x14ac:dyDescent="0.25">
      <c r="D248" s="20"/>
      <c r="E248" s="20"/>
      <c r="F248" s="20"/>
      <c r="G248" s="20"/>
      <c r="H248" s="20"/>
      <c r="I248" s="20"/>
      <c r="J248" s="39"/>
      <c r="K248" s="39"/>
      <c r="L248" s="39"/>
      <c r="M248" s="39"/>
      <c r="N248" s="39"/>
      <c r="X248" s="39"/>
      <c r="AK248" s="12"/>
      <c r="AL248" s="12"/>
      <c r="BS248" s="20"/>
    </row>
    <row r="249" spans="4:71" s="19" customFormat="1" x14ac:dyDescent="0.25">
      <c r="D249" s="20"/>
      <c r="E249" s="20"/>
      <c r="F249" s="20"/>
      <c r="G249" s="20"/>
      <c r="H249" s="20"/>
      <c r="I249" s="20"/>
      <c r="J249" s="39"/>
      <c r="K249" s="39"/>
      <c r="L249" s="39"/>
      <c r="M249" s="39"/>
      <c r="N249" s="39"/>
      <c r="X249" s="39"/>
      <c r="AK249" s="12"/>
      <c r="AL249" s="12"/>
      <c r="BS249" s="20"/>
    </row>
    <row r="250" spans="4:71" s="19" customFormat="1" x14ac:dyDescent="0.25">
      <c r="D250" s="20"/>
      <c r="E250" s="20"/>
      <c r="F250" s="20"/>
      <c r="G250" s="20"/>
      <c r="H250" s="20"/>
      <c r="I250" s="20"/>
      <c r="J250" s="39"/>
      <c r="K250" s="39"/>
      <c r="L250" s="39"/>
      <c r="M250" s="39"/>
      <c r="N250" s="39"/>
      <c r="X250" s="39"/>
      <c r="AK250" s="12"/>
      <c r="AL250" s="12"/>
      <c r="BS250" s="20"/>
    </row>
    <row r="251" spans="4:71" s="19" customFormat="1" x14ac:dyDescent="0.25">
      <c r="D251" s="20"/>
      <c r="E251" s="20"/>
      <c r="F251" s="20"/>
      <c r="G251" s="20"/>
      <c r="H251" s="20"/>
      <c r="I251" s="20"/>
      <c r="J251" s="39"/>
      <c r="K251" s="39"/>
      <c r="L251" s="39"/>
      <c r="M251" s="39"/>
      <c r="N251" s="39"/>
      <c r="X251" s="39"/>
      <c r="AK251" s="12"/>
      <c r="AL251" s="12"/>
      <c r="BS251" s="20"/>
    </row>
    <row r="252" spans="4:71" s="19" customFormat="1" x14ac:dyDescent="0.25">
      <c r="D252" s="20"/>
      <c r="E252" s="20"/>
      <c r="F252" s="20"/>
      <c r="G252" s="20"/>
      <c r="H252" s="20"/>
      <c r="I252" s="20"/>
      <c r="J252" s="39"/>
      <c r="K252" s="39"/>
      <c r="L252" s="39"/>
      <c r="M252" s="39"/>
      <c r="N252" s="39"/>
      <c r="X252" s="39"/>
      <c r="AK252" s="12"/>
      <c r="AL252" s="12"/>
      <c r="BS252" s="20"/>
    </row>
    <row r="253" spans="4:71" s="19" customFormat="1" x14ac:dyDescent="0.25">
      <c r="D253" s="20"/>
      <c r="E253" s="20"/>
      <c r="F253" s="20"/>
      <c r="G253" s="20"/>
      <c r="H253" s="20"/>
      <c r="I253" s="20"/>
      <c r="J253" s="39"/>
      <c r="K253" s="39"/>
      <c r="L253" s="39"/>
      <c r="M253" s="39"/>
      <c r="N253" s="39"/>
      <c r="X253" s="39"/>
      <c r="AK253" s="12"/>
      <c r="AL253" s="12"/>
      <c r="BS253" s="20"/>
    </row>
    <row r="254" spans="4:71" s="19" customFormat="1" x14ac:dyDescent="0.25">
      <c r="D254" s="20"/>
      <c r="E254" s="20"/>
      <c r="F254" s="20"/>
      <c r="G254" s="20"/>
      <c r="H254" s="20"/>
      <c r="I254" s="20"/>
      <c r="J254" s="39"/>
      <c r="K254" s="39"/>
      <c r="L254" s="39"/>
      <c r="M254" s="39"/>
      <c r="N254" s="39"/>
      <c r="X254" s="39"/>
      <c r="AK254" s="12"/>
      <c r="AL254" s="12"/>
      <c r="BS254" s="20"/>
    </row>
    <row r="255" spans="4:71" s="19" customFormat="1" x14ac:dyDescent="0.25">
      <c r="D255" s="20"/>
      <c r="E255" s="20"/>
      <c r="F255" s="20"/>
      <c r="G255" s="20"/>
      <c r="H255" s="20"/>
      <c r="I255" s="20"/>
      <c r="J255" s="39"/>
      <c r="K255" s="39"/>
      <c r="L255" s="39"/>
      <c r="M255" s="39"/>
      <c r="N255" s="39"/>
      <c r="X255" s="39"/>
      <c r="AK255" s="12"/>
      <c r="AL255" s="12"/>
      <c r="BS255" s="20"/>
    </row>
    <row r="256" spans="4:71" s="19" customFormat="1" x14ac:dyDescent="0.25">
      <c r="D256" s="20"/>
      <c r="E256" s="20"/>
      <c r="F256" s="20"/>
      <c r="G256" s="20"/>
      <c r="H256" s="20"/>
      <c r="I256" s="20"/>
      <c r="J256" s="39"/>
      <c r="K256" s="39"/>
      <c r="L256" s="39"/>
      <c r="M256" s="39"/>
      <c r="N256" s="39"/>
      <c r="X256" s="39"/>
      <c r="AK256" s="12"/>
      <c r="AL256" s="12"/>
      <c r="BS256" s="20"/>
    </row>
    <row r="257" spans="4:71" s="19" customFormat="1" x14ac:dyDescent="0.25">
      <c r="D257" s="20"/>
      <c r="E257" s="20"/>
      <c r="F257" s="20"/>
      <c r="G257" s="20"/>
      <c r="H257" s="20"/>
      <c r="I257" s="20"/>
      <c r="J257" s="39"/>
      <c r="K257" s="39"/>
      <c r="L257" s="39"/>
      <c r="M257" s="39"/>
      <c r="N257" s="39"/>
      <c r="X257" s="39"/>
      <c r="AK257" s="12"/>
      <c r="AL257" s="12"/>
      <c r="BS257" s="20"/>
    </row>
    <row r="258" spans="4:71" s="19" customFormat="1" x14ac:dyDescent="0.25">
      <c r="D258" s="20"/>
      <c r="E258" s="20"/>
      <c r="F258" s="20"/>
      <c r="G258" s="20"/>
      <c r="H258" s="20"/>
      <c r="I258" s="20"/>
      <c r="J258" s="39"/>
      <c r="K258" s="39"/>
      <c r="L258" s="39"/>
      <c r="M258" s="39"/>
      <c r="N258" s="39"/>
      <c r="X258" s="39"/>
      <c r="AK258" s="12"/>
      <c r="AL258" s="12"/>
      <c r="BS258" s="20"/>
    </row>
    <row r="259" spans="4:71" s="19" customFormat="1" x14ac:dyDescent="0.25">
      <c r="D259" s="20"/>
      <c r="E259" s="20"/>
      <c r="F259" s="20"/>
      <c r="G259" s="20"/>
      <c r="H259" s="20"/>
      <c r="I259" s="20"/>
      <c r="J259" s="39"/>
      <c r="K259" s="39"/>
      <c r="L259" s="39"/>
      <c r="M259" s="39"/>
      <c r="N259" s="39"/>
      <c r="X259" s="39"/>
      <c r="AK259" s="12"/>
      <c r="AL259" s="12"/>
      <c r="BS259" s="20"/>
    </row>
    <row r="260" spans="4:71" s="19" customFormat="1" x14ac:dyDescent="0.25">
      <c r="D260" s="20"/>
      <c r="E260" s="20"/>
      <c r="F260" s="20"/>
      <c r="G260" s="20"/>
      <c r="H260" s="20"/>
      <c r="I260" s="20"/>
      <c r="J260" s="39"/>
      <c r="K260" s="39"/>
      <c r="L260" s="39"/>
      <c r="M260" s="39"/>
      <c r="N260" s="39"/>
      <c r="X260" s="39"/>
      <c r="AK260" s="12"/>
      <c r="AL260" s="12"/>
      <c r="BS260" s="20"/>
    </row>
    <row r="261" spans="4:71" s="19" customFormat="1" x14ac:dyDescent="0.25">
      <c r="D261" s="20"/>
      <c r="E261" s="20"/>
      <c r="F261" s="20"/>
      <c r="G261" s="20"/>
      <c r="H261" s="20"/>
      <c r="I261" s="20"/>
      <c r="J261" s="39"/>
      <c r="K261" s="39"/>
      <c r="L261" s="39"/>
      <c r="M261" s="39"/>
      <c r="N261" s="39"/>
      <c r="X261" s="39"/>
      <c r="AK261" s="12"/>
      <c r="AL261" s="12"/>
      <c r="BS261" s="20"/>
    </row>
    <row r="262" spans="4:71" s="19" customFormat="1" x14ac:dyDescent="0.25">
      <c r="D262" s="20"/>
      <c r="E262" s="20"/>
      <c r="F262" s="20"/>
      <c r="G262" s="20"/>
      <c r="H262" s="20"/>
      <c r="I262" s="20"/>
      <c r="J262" s="39"/>
      <c r="K262" s="39"/>
      <c r="L262" s="39"/>
      <c r="M262" s="39"/>
      <c r="N262" s="39"/>
      <c r="X262" s="39"/>
      <c r="AK262" s="12"/>
      <c r="AL262" s="12"/>
      <c r="BS262" s="20"/>
    </row>
    <row r="263" spans="4:71" s="19" customFormat="1" x14ac:dyDescent="0.25">
      <c r="D263" s="20"/>
      <c r="E263" s="20"/>
      <c r="F263" s="20"/>
      <c r="G263" s="20"/>
      <c r="H263" s="20"/>
      <c r="I263" s="20"/>
      <c r="J263" s="39"/>
      <c r="K263" s="39"/>
      <c r="L263" s="39"/>
      <c r="M263" s="39"/>
      <c r="N263" s="39"/>
      <c r="X263" s="39"/>
      <c r="AK263" s="12"/>
      <c r="AL263" s="12"/>
      <c r="BS263" s="20"/>
    </row>
    <row r="264" spans="4:71" s="19" customFormat="1" x14ac:dyDescent="0.25">
      <c r="D264" s="20"/>
      <c r="E264" s="20"/>
      <c r="F264" s="20"/>
      <c r="G264" s="20"/>
      <c r="H264" s="20"/>
      <c r="I264" s="20"/>
      <c r="J264" s="39"/>
      <c r="K264" s="39"/>
      <c r="L264" s="39"/>
      <c r="M264" s="39"/>
      <c r="N264" s="39"/>
      <c r="X264" s="39"/>
      <c r="AK264" s="12"/>
      <c r="AL264" s="12"/>
      <c r="BS264" s="20"/>
    </row>
    <row r="265" spans="4:71" s="19" customFormat="1" x14ac:dyDescent="0.25">
      <c r="D265" s="20"/>
      <c r="E265" s="20"/>
      <c r="F265" s="20"/>
      <c r="G265" s="20"/>
      <c r="H265" s="20"/>
      <c r="I265" s="20"/>
      <c r="J265" s="39"/>
      <c r="K265" s="39"/>
      <c r="L265" s="39"/>
      <c r="M265" s="39"/>
      <c r="N265" s="39"/>
      <c r="X265" s="39"/>
      <c r="AK265" s="12"/>
      <c r="AL265" s="12"/>
      <c r="BS265" s="20"/>
    </row>
    <row r="266" spans="4:71" s="19" customFormat="1" x14ac:dyDescent="0.25">
      <c r="D266" s="20"/>
      <c r="E266" s="20"/>
      <c r="F266" s="20"/>
      <c r="G266" s="20"/>
      <c r="H266" s="20"/>
      <c r="I266" s="20"/>
      <c r="J266" s="39"/>
      <c r="K266" s="39"/>
      <c r="L266" s="39"/>
      <c r="M266" s="39"/>
      <c r="N266" s="39"/>
      <c r="X266" s="39"/>
      <c r="AK266" s="12"/>
      <c r="AL266" s="12"/>
      <c r="BS266" s="20"/>
    </row>
    <row r="267" spans="4:71" s="19" customFormat="1" x14ac:dyDescent="0.25">
      <c r="D267" s="20"/>
      <c r="E267" s="20"/>
      <c r="F267" s="20"/>
      <c r="G267" s="20"/>
      <c r="H267" s="20"/>
      <c r="I267" s="20"/>
      <c r="J267" s="39"/>
      <c r="K267" s="39"/>
      <c r="L267" s="39"/>
      <c r="M267" s="39"/>
      <c r="N267" s="39"/>
      <c r="X267" s="39"/>
      <c r="AK267" s="12"/>
      <c r="AL267" s="12"/>
      <c r="BS267" s="20"/>
    </row>
    <row r="268" spans="4:71" s="19" customFormat="1" x14ac:dyDescent="0.25">
      <c r="D268" s="20"/>
      <c r="E268" s="20"/>
      <c r="F268" s="20"/>
      <c r="G268" s="20"/>
      <c r="H268" s="20"/>
      <c r="I268" s="20"/>
      <c r="J268" s="39"/>
      <c r="K268" s="39"/>
      <c r="L268" s="39"/>
      <c r="M268" s="39"/>
      <c r="N268" s="39"/>
      <c r="X268" s="39"/>
      <c r="AK268" s="12"/>
      <c r="AL268" s="12"/>
      <c r="BS268" s="20"/>
    </row>
    <row r="269" spans="4:71" s="19" customFormat="1" x14ac:dyDescent="0.25">
      <c r="D269" s="20"/>
      <c r="E269" s="20"/>
      <c r="F269" s="20"/>
      <c r="G269" s="20"/>
      <c r="H269" s="20"/>
      <c r="I269" s="20"/>
      <c r="J269" s="39"/>
      <c r="K269" s="39"/>
      <c r="L269" s="39"/>
      <c r="M269" s="39"/>
      <c r="N269" s="39"/>
      <c r="X269" s="39"/>
      <c r="AK269" s="12"/>
      <c r="AL269" s="12"/>
      <c r="BS269" s="20"/>
    </row>
    <row r="270" spans="4:71" s="19" customFormat="1" x14ac:dyDescent="0.25">
      <c r="D270" s="20"/>
      <c r="E270" s="20"/>
      <c r="F270" s="20"/>
      <c r="G270" s="20"/>
      <c r="H270" s="20"/>
      <c r="I270" s="20"/>
      <c r="J270" s="39"/>
      <c r="K270" s="39"/>
      <c r="L270" s="39"/>
      <c r="M270" s="39"/>
      <c r="N270" s="39"/>
      <c r="X270" s="39"/>
      <c r="AK270" s="12"/>
      <c r="AL270" s="12"/>
      <c r="BS270" s="20"/>
    </row>
    <row r="271" spans="4:71" s="19" customFormat="1" x14ac:dyDescent="0.25">
      <c r="D271" s="20"/>
      <c r="E271" s="20"/>
      <c r="F271" s="20"/>
      <c r="G271" s="20"/>
      <c r="H271" s="20"/>
      <c r="I271" s="20"/>
      <c r="J271" s="39"/>
      <c r="K271" s="39"/>
      <c r="L271" s="39"/>
      <c r="M271" s="39"/>
      <c r="N271" s="39"/>
      <c r="X271" s="39"/>
      <c r="AK271" s="12"/>
      <c r="AL271" s="12"/>
      <c r="BS271" s="20"/>
    </row>
    <row r="272" spans="4:71" s="19" customFormat="1" x14ac:dyDescent="0.25">
      <c r="D272" s="20"/>
      <c r="E272" s="20"/>
      <c r="F272" s="20"/>
      <c r="G272" s="20"/>
      <c r="H272" s="20"/>
      <c r="I272" s="20"/>
      <c r="J272" s="39"/>
      <c r="K272" s="39"/>
      <c r="L272" s="39"/>
      <c r="M272" s="39"/>
      <c r="N272" s="39"/>
      <c r="X272" s="39"/>
      <c r="AK272" s="12"/>
      <c r="AL272" s="12"/>
      <c r="BS272" s="20"/>
    </row>
    <row r="273" spans="4:71" s="19" customFormat="1" x14ac:dyDescent="0.25">
      <c r="D273" s="20"/>
      <c r="E273" s="20"/>
      <c r="F273" s="20"/>
      <c r="G273" s="20"/>
      <c r="H273" s="20"/>
      <c r="I273" s="20"/>
      <c r="J273" s="39"/>
      <c r="K273" s="39"/>
      <c r="L273" s="39"/>
      <c r="M273" s="39"/>
      <c r="N273" s="39"/>
      <c r="X273" s="39"/>
      <c r="AK273" s="12"/>
      <c r="AL273" s="12"/>
      <c r="BS273" s="20"/>
    </row>
    <row r="274" spans="4:71" s="19" customFormat="1" x14ac:dyDescent="0.25">
      <c r="D274" s="20"/>
      <c r="E274" s="20"/>
      <c r="F274" s="20"/>
      <c r="G274" s="20"/>
      <c r="H274" s="20"/>
      <c r="I274" s="20"/>
      <c r="J274" s="39"/>
      <c r="K274" s="39"/>
      <c r="L274" s="39"/>
      <c r="M274" s="39"/>
      <c r="N274" s="39"/>
      <c r="X274" s="39"/>
      <c r="AK274" s="12"/>
      <c r="AL274" s="12"/>
      <c r="BS274" s="20"/>
    </row>
    <row r="275" spans="4:71" s="19" customFormat="1" x14ac:dyDescent="0.25">
      <c r="D275" s="20"/>
      <c r="E275" s="20"/>
      <c r="F275" s="20"/>
      <c r="G275" s="20"/>
      <c r="H275" s="20"/>
      <c r="I275" s="20"/>
      <c r="J275" s="39"/>
      <c r="K275" s="39"/>
      <c r="L275" s="39"/>
      <c r="M275" s="39"/>
      <c r="N275" s="39"/>
      <c r="X275" s="39"/>
      <c r="AK275" s="12"/>
      <c r="AL275" s="12"/>
      <c r="BS275" s="20"/>
    </row>
    <row r="276" spans="4:71" s="19" customFormat="1" x14ac:dyDescent="0.25">
      <c r="D276" s="20"/>
      <c r="E276" s="20"/>
      <c r="F276" s="20"/>
      <c r="G276" s="20"/>
      <c r="H276" s="20"/>
      <c r="I276" s="20"/>
      <c r="J276" s="39"/>
      <c r="K276" s="39"/>
      <c r="L276" s="39"/>
      <c r="M276" s="39"/>
      <c r="N276" s="39"/>
      <c r="X276" s="39"/>
      <c r="AK276" s="12"/>
      <c r="AL276" s="12"/>
      <c r="BS276" s="20"/>
    </row>
    <row r="277" spans="4:71" s="19" customFormat="1" x14ac:dyDescent="0.25">
      <c r="D277" s="20"/>
      <c r="E277" s="20"/>
      <c r="F277" s="20"/>
      <c r="G277" s="20"/>
      <c r="H277" s="20"/>
      <c r="I277" s="20"/>
      <c r="J277" s="39"/>
      <c r="K277" s="39"/>
      <c r="L277" s="39"/>
      <c r="M277" s="39"/>
      <c r="N277" s="39"/>
      <c r="X277" s="39"/>
      <c r="AK277" s="12"/>
      <c r="AL277" s="12"/>
      <c r="BS277" s="20"/>
    </row>
    <row r="278" spans="4:71" s="19" customFormat="1" x14ac:dyDescent="0.25">
      <c r="D278" s="20"/>
      <c r="E278" s="20"/>
      <c r="F278" s="20"/>
      <c r="G278" s="20"/>
      <c r="H278" s="20"/>
      <c r="I278" s="20"/>
      <c r="J278" s="39"/>
      <c r="K278" s="39"/>
      <c r="L278" s="39"/>
      <c r="M278" s="39"/>
      <c r="N278" s="39"/>
      <c r="X278" s="39"/>
      <c r="AK278" s="12"/>
      <c r="AL278" s="12"/>
      <c r="BS278" s="20"/>
    </row>
    <row r="279" spans="4:71" s="19" customFormat="1" x14ac:dyDescent="0.25">
      <c r="D279" s="20"/>
      <c r="E279" s="20"/>
      <c r="F279" s="20"/>
      <c r="G279" s="20"/>
      <c r="H279" s="20"/>
      <c r="I279" s="20"/>
      <c r="J279" s="39"/>
      <c r="K279" s="39"/>
      <c r="L279" s="39"/>
      <c r="M279" s="39"/>
      <c r="N279" s="39"/>
      <c r="X279" s="39"/>
      <c r="AK279" s="12"/>
      <c r="AL279" s="12"/>
      <c r="BS279" s="20"/>
    </row>
    <row r="280" spans="4:71" s="19" customFormat="1" x14ac:dyDescent="0.25">
      <c r="D280" s="20"/>
      <c r="E280" s="20"/>
      <c r="F280" s="20"/>
      <c r="G280" s="20"/>
      <c r="H280" s="20"/>
      <c r="I280" s="20"/>
      <c r="J280" s="39"/>
      <c r="K280" s="39"/>
      <c r="L280" s="39"/>
      <c r="M280" s="39"/>
      <c r="N280" s="39"/>
      <c r="X280" s="39"/>
      <c r="AK280" s="12"/>
      <c r="AL280" s="12"/>
      <c r="BS280" s="20"/>
    </row>
    <row r="281" spans="4:71" s="19" customFormat="1" x14ac:dyDescent="0.25">
      <c r="D281" s="20"/>
      <c r="E281" s="20"/>
      <c r="F281" s="20"/>
      <c r="G281" s="20"/>
      <c r="H281" s="20"/>
      <c r="I281" s="20"/>
      <c r="J281" s="39"/>
      <c r="K281" s="39"/>
      <c r="L281" s="39"/>
      <c r="M281" s="39"/>
      <c r="N281" s="39"/>
      <c r="X281" s="39"/>
      <c r="AK281" s="12"/>
      <c r="AL281" s="12"/>
      <c r="BS281" s="20"/>
    </row>
    <row r="282" spans="4:71" s="19" customFormat="1" x14ac:dyDescent="0.25">
      <c r="D282" s="20"/>
      <c r="E282" s="20"/>
      <c r="F282" s="20"/>
      <c r="G282" s="20"/>
      <c r="H282" s="20"/>
      <c r="I282" s="20"/>
      <c r="J282" s="39"/>
      <c r="K282" s="39"/>
      <c r="L282" s="39"/>
      <c r="M282" s="39"/>
      <c r="N282" s="39"/>
      <c r="X282" s="39"/>
      <c r="AK282" s="12"/>
      <c r="AL282" s="12"/>
      <c r="BS282" s="20"/>
    </row>
    <row r="283" spans="4:71" s="19" customFormat="1" x14ac:dyDescent="0.25">
      <c r="D283" s="20"/>
      <c r="E283" s="20"/>
      <c r="F283" s="20"/>
      <c r="G283" s="20"/>
      <c r="H283" s="20"/>
      <c r="I283" s="20"/>
      <c r="J283" s="39"/>
      <c r="K283" s="39"/>
      <c r="L283" s="39"/>
      <c r="M283" s="39"/>
      <c r="N283" s="39"/>
      <c r="X283" s="39"/>
      <c r="AK283" s="12"/>
      <c r="AL283" s="12"/>
      <c r="BS283" s="20"/>
    </row>
    <row r="284" spans="4:71" s="19" customFormat="1" x14ac:dyDescent="0.25">
      <c r="D284" s="20"/>
      <c r="E284" s="20"/>
      <c r="F284" s="20"/>
      <c r="G284" s="20"/>
      <c r="H284" s="20"/>
      <c r="I284" s="20"/>
      <c r="J284" s="39"/>
      <c r="K284" s="39"/>
      <c r="L284" s="39"/>
      <c r="M284" s="39"/>
      <c r="N284" s="39"/>
      <c r="X284" s="39"/>
      <c r="AK284" s="12"/>
      <c r="AL284" s="12"/>
      <c r="BS284" s="20"/>
    </row>
    <row r="285" spans="4:71" s="19" customFormat="1" x14ac:dyDescent="0.25">
      <c r="D285" s="20"/>
      <c r="E285" s="20"/>
      <c r="F285" s="20"/>
      <c r="G285" s="20"/>
      <c r="H285" s="20"/>
      <c r="I285" s="20"/>
      <c r="J285" s="39"/>
      <c r="K285" s="39"/>
      <c r="L285" s="39"/>
      <c r="M285" s="39"/>
      <c r="N285" s="39"/>
      <c r="X285" s="39"/>
      <c r="AK285" s="12"/>
      <c r="AL285" s="12"/>
      <c r="BS285" s="20"/>
    </row>
    <row r="286" spans="4:71" s="19" customFormat="1" x14ac:dyDescent="0.25">
      <c r="D286" s="20"/>
      <c r="E286" s="20"/>
      <c r="F286" s="20"/>
      <c r="G286" s="20"/>
      <c r="H286" s="20"/>
      <c r="I286" s="20"/>
      <c r="J286" s="39"/>
      <c r="K286" s="39"/>
      <c r="L286" s="39"/>
      <c r="M286" s="39"/>
      <c r="N286" s="39"/>
      <c r="X286" s="39"/>
      <c r="AK286" s="12"/>
      <c r="AL286" s="12"/>
      <c r="BS286" s="20"/>
    </row>
    <row r="287" spans="4:71" s="19" customFormat="1" x14ac:dyDescent="0.25">
      <c r="D287" s="20"/>
      <c r="E287" s="20"/>
      <c r="F287" s="20"/>
      <c r="G287" s="20"/>
      <c r="H287" s="20"/>
      <c r="I287" s="20"/>
      <c r="J287" s="39"/>
      <c r="K287" s="39"/>
      <c r="L287" s="39"/>
      <c r="M287" s="39"/>
      <c r="N287" s="39"/>
      <c r="X287" s="39"/>
      <c r="AK287" s="12"/>
      <c r="AL287" s="12"/>
      <c r="BS287" s="20"/>
    </row>
    <row r="288" spans="4:71" s="19" customFormat="1" x14ac:dyDescent="0.25">
      <c r="D288" s="20"/>
      <c r="E288" s="20"/>
      <c r="F288" s="20"/>
      <c r="G288" s="20"/>
      <c r="H288" s="20"/>
      <c r="I288" s="20"/>
      <c r="J288" s="39"/>
      <c r="K288" s="39"/>
      <c r="L288" s="39"/>
      <c r="M288" s="39"/>
      <c r="N288" s="39"/>
      <c r="X288" s="39"/>
      <c r="AK288" s="12"/>
      <c r="AL288" s="12"/>
      <c r="BS288" s="20"/>
    </row>
    <row r="289" spans="4:71" s="19" customFormat="1" x14ac:dyDescent="0.25">
      <c r="D289" s="20"/>
      <c r="E289" s="20"/>
      <c r="F289" s="20"/>
      <c r="G289" s="20"/>
      <c r="H289" s="20"/>
      <c r="I289" s="20"/>
      <c r="J289" s="39"/>
      <c r="K289" s="39"/>
      <c r="L289" s="39"/>
      <c r="M289" s="39"/>
      <c r="N289" s="39"/>
      <c r="X289" s="39"/>
      <c r="AK289" s="12"/>
      <c r="AL289" s="12"/>
      <c r="BS289" s="20"/>
    </row>
    <row r="290" spans="4:71" s="19" customFormat="1" x14ac:dyDescent="0.25">
      <c r="D290" s="20"/>
      <c r="E290" s="20"/>
      <c r="F290" s="20"/>
      <c r="G290" s="20"/>
      <c r="H290" s="20"/>
      <c r="I290" s="20"/>
      <c r="J290" s="39"/>
      <c r="K290" s="39"/>
      <c r="L290" s="39"/>
      <c r="M290" s="39"/>
      <c r="N290" s="39"/>
      <c r="X290" s="39"/>
      <c r="AK290" s="12"/>
      <c r="AL290" s="12"/>
      <c r="BS290" s="20"/>
    </row>
    <row r="291" spans="4:71" s="19" customFormat="1" x14ac:dyDescent="0.25">
      <c r="D291" s="20"/>
      <c r="E291" s="20"/>
      <c r="F291" s="20"/>
      <c r="G291" s="20"/>
      <c r="H291" s="20"/>
      <c r="I291" s="20"/>
      <c r="J291" s="39"/>
      <c r="K291" s="39"/>
      <c r="L291" s="39"/>
      <c r="M291" s="39"/>
      <c r="N291" s="39"/>
      <c r="X291" s="39"/>
      <c r="AK291" s="12"/>
      <c r="AL291" s="12"/>
      <c r="BS291" s="20"/>
    </row>
    <row r="292" spans="4:71" s="19" customFormat="1" x14ac:dyDescent="0.25">
      <c r="D292" s="20"/>
      <c r="E292" s="20"/>
      <c r="F292" s="20"/>
      <c r="G292" s="20"/>
      <c r="H292" s="20"/>
      <c r="I292" s="20"/>
      <c r="J292" s="39"/>
      <c r="K292" s="39"/>
      <c r="L292" s="39"/>
      <c r="M292" s="39"/>
      <c r="N292" s="39"/>
      <c r="X292" s="39"/>
      <c r="AK292" s="12"/>
      <c r="AL292" s="12"/>
      <c r="BS292" s="20"/>
    </row>
    <row r="293" spans="4:71" s="19" customFormat="1" x14ac:dyDescent="0.25">
      <c r="D293" s="20"/>
      <c r="E293" s="20"/>
      <c r="F293" s="20"/>
      <c r="G293" s="20"/>
      <c r="H293" s="20"/>
      <c r="I293" s="20"/>
      <c r="J293" s="39"/>
      <c r="K293" s="39"/>
      <c r="L293" s="39"/>
      <c r="M293" s="39"/>
      <c r="N293" s="39"/>
      <c r="X293" s="39"/>
      <c r="AK293" s="12"/>
      <c r="AL293" s="12"/>
      <c r="BS293" s="20"/>
    </row>
    <row r="294" spans="4:71" s="19" customFormat="1" x14ac:dyDescent="0.25">
      <c r="D294" s="20"/>
      <c r="E294" s="20"/>
      <c r="F294" s="20"/>
      <c r="G294" s="20"/>
      <c r="H294" s="20"/>
      <c r="I294" s="20"/>
      <c r="J294" s="39"/>
      <c r="K294" s="39"/>
      <c r="L294" s="39"/>
      <c r="M294" s="39"/>
      <c r="N294" s="39"/>
      <c r="X294" s="39"/>
      <c r="AK294" s="12"/>
      <c r="AL294" s="12"/>
      <c r="BS294" s="20"/>
    </row>
    <row r="295" spans="4:71" s="19" customFormat="1" x14ac:dyDescent="0.25">
      <c r="D295" s="20"/>
      <c r="E295" s="20"/>
      <c r="F295" s="20"/>
      <c r="G295" s="20"/>
      <c r="H295" s="20"/>
      <c r="I295" s="20"/>
      <c r="J295" s="39"/>
      <c r="K295" s="39"/>
      <c r="L295" s="39"/>
      <c r="M295" s="39"/>
      <c r="N295" s="39"/>
      <c r="X295" s="39"/>
      <c r="AK295" s="12"/>
      <c r="AL295" s="12"/>
      <c r="BS295" s="20"/>
    </row>
    <row r="296" spans="4:71" s="19" customFormat="1" x14ac:dyDescent="0.25">
      <c r="D296" s="20"/>
      <c r="E296" s="20"/>
      <c r="F296" s="20"/>
      <c r="G296" s="20"/>
      <c r="H296" s="20"/>
      <c r="I296" s="20"/>
      <c r="J296" s="39"/>
      <c r="K296" s="39"/>
      <c r="L296" s="39"/>
      <c r="M296" s="39"/>
      <c r="N296" s="39"/>
      <c r="X296" s="39"/>
      <c r="AK296" s="12"/>
      <c r="AL296" s="12"/>
      <c r="BS296" s="20"/>
    </row>
    <row r="297" spans="4:71" s="19" customFormat="1" x14ac:dyDescent="0.25">
      <c r="D297" s="20"/>
      <c r="E297" s="20"/>
      <c r="F297" s="20"/>
      <c r="G297" s="20"/>
      <c r="H297" s="20"/>
      <c r="I297" s="20"/>
      <c r="J297" s="39"/>
      <c r="K297" s="39"/>
      <c r="L297" s="39"/>
      <c r="M297" s="39"/>
      <c r="N297" s="39"/>
      <c r="X297" s="39"/>
      <c r="AK297" s="12"/>
      <c r="AL297" s="12"/>
      <c r="BS297" s="20"/>
    </row>
    <row r="298" spans="4:71" s="19" customFormat="1" x14ac:dyDescent="0.25">
      <c r="D298" s="20"/>
      <c r="E298" s="20"/>
      <c r="F298" s="20"/>
      <c r="G298" s="20"/>
      <c r="H298" s="20"/>
      <c r="I298" s="20"/>
      <c r="J298" s="39"/>
      <c r="K298" s="39"/>
      <c r="L298" s="39"/>
      <c r="M298" s="39"/>
      <c r="N298" s="39"/>
      <c r="X298" s="39"/>
      <c r="AK298" s="12"/>
      <c r="AL298" s="12"/>
      <c r="BS298" s="20"/>
    </row>
    <row r="299" spans="4:71" s="19" customFormat="1" x14ac:dyDescent="0.25">
      <c r="D299" s="20"/>
      <c r="E299" s="20"/>
      <c r="F299" s="20"/>
      <c r="G299" s="20"/>
      <c r="H299" s="20"/>
      <c r="I299" s="20"/>
      <c r="J299" s="39"/>
      <c r="K299" s="39"/>
      <c r="L299" s="39"/>
      <c r="M299" s="39"/>
      <c r="N299" s="39"/>
      <c r="X299" s="39"/>
      <c r="AK299" s="12"/>
      <c r="AL299" s="12"/>
      <c r="BS299" s="20"/>
    </row>
    <row r="300" spans="4:71" s="19" customFormat="1" x14ac:dyDescent="0.25">
      <c r="D300" s="20"/>
      <c r="E300" s="20"/>
      <c r="F300" s="20"/>
      <c r="G300" s="20"/>
      <c r="H300" s="20"/>
      <c r="I300" s="20"/>
      <c r="J300" s="39"/>
      <c r="K300" s="39"/>
      <c r="L300" s="39"/>
      <c r="M300" s="39"/>
      <c r="N300" s="39"/>
      <c r="X300" s="39"/>
      <c r="AK300" s="12"/>
      <c r="AL300" s="12"/>
      <c r="BS300" s="20"/>
    </row>
    <row r="301" spans="4:71" s="19" customFormat="1" x14ac:dyDescent="0.25">
      <c r="D301" s="20"/>
      <c r="E301" s="20"/>
      <c r="F301" s="20"/>
      <c r="G301" s="20"/>
      <c r="H301" s="20"/>
      <c r="I301" s="20"/>
      <c r="J301" s="39"/>
      <c r="K301" s="39"/>
      <c r="L301" s="39"/>
      <c r="M301" s="39"/>
      <c r="N301" s="39"/>
      <c r="X301" s="39"/>
      <c r="AK301" s="12"/>
      <c r="AL301" s="12"/>
      <c r="BS301" s="20"/>
    </row>
    <row r="302" spans="4:71" s="19" customFormat="1" x14ac:dyDescent="0.25">
      <c r="D302" s="20"/>
      <c r="E302" s="20"/>
      <c r="F302" s="20"/>
      <c r="G302" s="20"/>
      <c r="H302" s="20"/>
      <c r="I302" s="20"/>
      <c r="J302" s="39"/>
      <c r="K302" s="39"/>
      <c r="L302" s="39"/>
      <c r="M302" s="39"/>
      <c r="N302" s="39"/>
      <c r="X302" s="39"/>
      <c r="AK302" s="12"/>
      <c r="AL302" s="12"/>
      <c r="BS302" s="20"/>
    </row>
    <row r="303" spans="4:71" s="19" customFormat="1" x14ac:dyDescent="0.25">
      <c r="D303" s="20"/>
      <c r="E303" s="20"/>
      <c r="F303" s="20"/>
      <c r="G303" s="20"/>
      <c r="H303" s="20"/>
      <c r="I303" s="20"/>
      <c r="J303" s="39"/>
      <c r="K303" s="39"/>
      <c r="L303" s="39"/>
      <c r="M303" s="39"/>
      <c r="N303" s="39"/>
      <c r="X303" s="39"/>
      <c r="AK303" s="12"/>
      <c r="AL303" s="12"/>
      <c r="BS303" s="20"/>
    </row>
    <row r="304" spans="4:71" s="19" customFormat="1" x14ac:dyDescent="0.25">
      <c r="D304" s="20"/>
      <c r="E304" s="20"/>
      <c r="F304" s="20"/>
      <c r="G304" s="20"/>
      <c r="H304" s="20"/>
      <c r="I304" s="20"/>
      <c r="J304" s="39"/>
      <c r="K304" s="39"/>
      <c r="L304" s="39"/>
      <c r="M304" s="39"/>
      <c r="N304" s="39"/>
      <c r="X304" s="39"/>
      <c r="AK304" s="12"/>
      <c r="AL304" s="12"/>
      <c r="BS304" s="20"/>
    </row>
    <row r="305" spans="4:71" s="19" customFormat="1" x14ac:dyDescent="0.25">
      <c r="D305" s="20"/>
      <c r="E305" s="20"/>
      <c r="F305" s="20"/>
      <c r="G305" s="20"/>
      <c r="H305" s="20"/>
      <c r="I305" s="20"/>
      <c r="J305" s="39"/>
      <c r="K305" s="39"/>
      <c r="L305" s="39"/>
      <c r="M305" s="39"/>
      <c r="N305" s="39"/>
      <c r="X305" s="39"/>
      <c r="AK305" s="12"/>
      <c r="AL305" s="12"/>
      <c r="BS305" s="20"/>
    </row>
    <row r="306" spans="4:71" s="19" customFormat="1" x14ac:dyDescent="0.25">
      <c r="D306" s="20"/>
      <c r="E306" s="20"/>
      <c r="F306" s="20"/>
      <c r="G306" s="20"/>
      <c r="H306" s="20"/>
      <c r="I306" s="20"/>
      <c r="J306" s="39"/>
      <c r="K306" s="39"/>
      <c r="L306" s="39"/>
      <c r="M306" s="39"/>
      <c r="N306" s="39"/>
      <c r="X306" s="39"/>
      <c r="AK306" s="12"/>
      <c r="AL306" s="12"/>
      <c r="BS306" s="20"/>
    </row>
    <row r="307" spans="4:71" s="19" customFormat="1" x14ac:dyDescent="0.25">
      <c r="D307" s="20"/>
      <c r="E307" s="20"/>
      <c r="F307" s="20"/>
      <c r="G307" s="20"/>
      <c r="H307" s="20"/>
      <c r="I307" s="20"/>
      <c r="J307" s="39"/>
      <c r="K307" s="39"/>
      <c r="L307" s="39"/>
      <c r="M307" s="39"/>
      <c r="N307" s="39"/>
      <c r="X307" s="39"/>
      <c r="AK307" s="12"/>
      <c r="AL307" s="12"/>
      <c r="BS307" s="20"/>
    </row>
    <row r="308" spans="4:71" s="19" customFormat="1" x14ac:dyDescent="0.25">
      <c r="D308" s="20"/>
      <c r="E308" s="20"/>
      <c r="F308" s="20"/>
      <c r="G308" s="20"/>
      <c r="H308" s="20"/>
      <c r="I308" s="20"/>
      <c r="J308" s="39"/>
      <c r="K308" s="39"/>
      <c r="L308" s="39"/>
      <c r="M308" s="39"/>
      <c r="N308" s="39"/>
      <c r="X308" s="39"/>
      <c r="AK308" s="12"/>
      <c r="AL308" s="12"/>
      <c r="BS308" s="20"/>
    </row>
    <row r="309" spans="4:71" s="19" customFormat="1" x14ac:dyDescent="0.25">
      <c r="D309" s="20"/>
      <c r="E309" s="20"/>
      <c r="F309" s="20"/>
      <c r="G309" s="20"/>
      <c r="H309" s="20"/>
      <c r="I309" s="20"/>
      <c r="J309" s="39"/>
      <c r="K309" s="39"/>
      <c r="L309" s="39"/>
      <c r="M309" s="39"/>
      <c r="N309" s="39"/>
      <c r="X309" s="39"/>
      <c r="AK309" s="12"/>
      <c r="AL309" s="12"/>
      <c r="BS309" s="20"/>
    </row>
    <row r="310" spans="4:71" s="19" customFormat="1" x14ac:dyDescent="0.25">
      <c r="D310" s="20"/>
      <c r="E310" s="20"/>
      <c r="F310" s="20"/>
      <c r="G310" s="20"/>
      <c r="H310" s="20"/>
      <c r="I310" s="20"/>
      <c r="J310" s="39"/>
      <c r="K310" s="39"/>
      <c r="L310" s="39"/>
      <c r="M310" s="39"/>
      <c r="N310" s="39"/>
      <c r="X310" s="39"/>
      <c r="AK310" s="12"/>
      <c r="AL310" s="12"/>
      <c r="BS310" s="20"/>
    </row>
    <row r="311" spans="4:71" s="19" customFormat="1" x14ac:dyDescent="0.25">
      <c r="D311" s="20"/>
      <c r="E311" s="20"/>
      <c r="F311" s="20"/>
      <c r="G311" s="20"/>
      <c r="H311" s="20"/>
      <c r="I311" s="20"/>
      <c r="J311" s="39"/>
      <c r="K311" s="39"/>
      <c r="L311" s="39"/>
      <c r="M311" s="39"/>
      <c r="N311" s="39"/>
      <c r="X311" s="39"/>
      <c r="AK311" s="12"/>
      <c r="AL311" s="12"/>
      <c r="BS311" s="20"/>
    </row>
    <row r="312" spans="4:71" s="19" customFormat="1" x14ac:dyDescent="0.25">
      <c r="D312" s="20"/>
      <c r="E312" s="20"/>
      <c r="F312" s="20"/>
      <c r="G312" s="20"/>
      <c r="H312" s="20"/>
      <c r="I312" s="20"/>
      <c r="J312" s="39"/>
      <c r="K312" s="39"/>
      <c r="L312" s="39"/>
      <c r="M312" s="39"/>
      <c r="N312" s="39"/>
      <c r="X312" s="39"/>
      <c r="AK312" s="12"/>
      <c r="AL312" s="12"/>
      <c r="BS312" s="20"/>
    </row>
    <row r="313" spans="4:71" s="19" customFormat="1" x14ac:dyDescent="0.25">
      <c r="D313" s="20"/>
      <c r="E313" s="20"/>
      <c r="F313" s="20"/>
      <c r="G313" s="20"/>
      <c r="H313" s="20"/>
      <c r="I313" s="20"/>
      <c r="J313" s="39"/>
      <c r="K313" s="39"/>
      <c r="L313" s="39"/>
      <c r="M313" s="39"/>
      <c r="N313" s="39"/>
      <c r="X313" s="39"/>
      <c r="AK313" s="12"/>
      <c r="AL313" s="12"/>
      <c r="BS313" s="20"/>
    </row>
    <row r="314" spans="4:71" s="19" customFormat="1" x14ac:dyDescent="0.25">
      <c r="D314" s="20"/>
      <c r="E314" s="20"/>
      <c r="F314" s="20"/>
      <c r="G314" s="20"/>
      <c r="H314" s="20"/>
      <c r="I314" s="20"/>
      <c r="J314" s="39"/>
      <c r="K314" s="39"/>
      <c r="L314" s="39"/>
      <c r="M314" s="39"/>
      <c r="N314" s="39"/>
      <c r="X314" s="39"/>
      <c r="AK314" s="12"/>
      <c r="AL314" s="12"/>
      <c r="BS314" s="20"/>
    </row>
    <row r="315" spans="4:71" s="19" customFormat="1" x14ac:dyDescent="0.25">
      <c r="D315" s="20"/>
      <c r="E315" s="20"/>
      <c r="F315" s="20"/>
      <c r="G315" s="20"/>
      <c r="H315" s="20"/>
      <c r="I315" s="20"/>
      <c r="J315" s="39"/>
      <c r="K315" s="39"/>
      <c r="L315" s="39"/>
      <c r="M315" s="39"/>
      <c r="N315" s="39"/>
      <c r="X315" s="39"/>
      <c r="AK315" s="12"/>
      <c r="AL315" s="12"/>
      <c r="BS315" s="20"/>
    </row>
    <row r="316" spans="4:71" s="19" customFormat="1" x14ac:dyDescent="0.25">
      <c r="D316" s="20"/>
      <c r="E316" s="20"/>
      <c r="F316" s="20"/>
      <c r="G316" s="20"/>
      <c r="H316" s="20"/>
      <c r="I316" s="20"/>
      <c r="J316" s="39"/>
      <c r="K316" s="39"/>
      <c r="L316" s="39"/>
      <c r="M316" s="39"/>
      <c r="N316" s="39"/>
      <c r="X316" s="39"/>
      <c r="AK316" s="12"/>
      <c r="AL316" s="12"/>
      <c r="BS316" s="20"/>
    </row>
    <row r="317" spans="4:71" s="19" customFormat="1" x14ac:dyDescent="0.25">
      <c r="D317" s="20"/>
      <c r="E317" s="20"/>
      <c r="F317" s="20"/>
      <c r="G317" s="20"/>
      <c r="H317" s="20"/>
      <c r="I317" s="20"/>
      <c r="J317" s="39"/>
      <c r="K317" s="39"/>
      <c r="L317" s="39"/>
      <c r="M317" s="39"/>
      <c r="N317" s="39"/>
      <c r="X317" s="39"/>
      <c r="AK317" s="12"/>
      <c r="AL317" s="12"/>
      <c r="BS317" s="20"/>
    </row>
    <row r="318" spans="4:71" s="19" customFormat="1" x14ac:dyDescent="0.25">
      <c r="D318" s="20"/>
      <c r="E318" s="20"/>
      <c r="F318" s="20"/>
      <c r="G318" s="20"/>
      <c r="H318" s="20"/>
      <c r="I318" s="20"/>
      <c r="J318" s="39"/>
      <c r="K318" s="39"/>
      <c r="L318" s="39"/>
      <c r="M318" s="39"/>
      <c r="N318" s="39"/>
      <c r="X318" s="39"/>
      <c r="AK318" s="12"/>
      <c r="AL318" s="12"/>
      <c r="BS318" s="20"/>
    </row>
    <row r="319" spans="4:71" s="19" customFormat="1" x14ac:dyDescent="0.25">
      <c r="D319" s="20"/>
      <c r="E319" s="20"/>
      <c r="F319" s="20"/>
      <c r="G319" s="20"/>
      <c r="H319" s="20"/>
      <c r="I319" s="20"/>
      <c r="J319" s="39"/>
      <c r="K319" s="39"/>
      <c r="L319" s="39"/>
      <c r="M319" s="39"/>
      <c r="N319" s="39"/>
      <c r="X319" s="39"/>
      <c r="AK319" s="12"/>
      <c r="AL319" s="12"/>
      <c r="BS319" s="20"/>
    </row>
    <row r="320" spans="4:71" s="19" customFormat="1" x14ac:dyDescent="0.25">
      <c r="D320" s="20"/>
      <c r="E320" s="20"/>
      <c r="F320" s="20"/>
      <c r="G320" s="20"/>
      <c r="H320" s="20"/>
      <c r="I320" s="20"/>
      <c r="J320" s="39"/>
      <c r="K320" s="39"/>
      <c r="L320" s="39"/>
      <c r="M320" s="39"/>
      <c r="N320" s="39"/>
      <c r="X320" s="39"/>
      <c r="AK320" s="12"/>
      <c r="AL320" s="12"/>
      <c r="BS320" s="20"/>
    </row>
    <row r="321" spans="4:71" s="19" customFormat="1" x14ac:dyDescent="0.25">
      <c r="D321" s="20"/>
      <c r="E321" s="20"/>
      <c r="F321" s="20"/>
      <c r="G321" s="20"/>
      <c r="H321" s="20"/>
      <c r="I321" s="20"/>
      <c r="J321" s="39"/>
      <c r="K321" s="39"/>
      <c r="L321" s="39"/>
      <c r="M321" s="39"/>
      <c r="N321" s="39"/>
      <c r="X321" s="39"/>
      <c r="AK321" s="12"/>
      <c r="AL321" s="12"/>
      <c r="BS321" s="20"/>
    </row>
    <row r="322" spans="4:71" s="19" customFormat="1" x14ac:dyDescent="0.25">
      <c r="D322" s="20"/>
      <c r="E322" s="20"/>
      <c r="F322" s="20"/>
      <c r="G322" s="20"/>
      <c r="H322" s="20"/>
      <c r="I322" s="20"/>
      <c r="J322" s="39"/>
      <c r="K322" s="39"/>
      <c r="L322" s="39"/>
      <c r="M322" s="39"/>
      <c r="N322" s="39"/>
      <c r="X322" s="39"/>
      <c r="AK322" s="12"/>
      <c r="AL322" s="12"/>
      <c r="BS322" s="20"/>
    </row>
    <row r="323" spans="4:71" s="19" customFormat="1" x14ac:dyDescent="0.25">
      <c r="D323" s="20"/>
      <c r="E323" s="20"/>
      <c r="F323" s="20"/>
      <c r="G323" s="20"/>
      <c r="H323" s="20"/>
      <c r="I323" s="20"/>
      <c r="J323" s="39"/>
      <c r="K323" s="39"/>
      <c r="L323" s="39"/>
      <c r="M323" s="39"/>
      <c r="N323" s="39"/>
      <c r="X323" s="39"/>
      <c r="AK323" s="12"/>
      <c r="AL323" s="12"/>
      <c r="BS323" s="20"/>
    </row>
    <row r="324" spans="4:71" s="19" customFormat="1" x14ac:dyDescent="0.25">
      <c r="D324" s="20"/>
      <c r="E324" s="20"/>
      <c r="F324" s="20"/>
      <c r="G324" s="20"/>
      <c r="H324" s="20"/>
      <c r="I324" s="20"/>
      <c r="J324" s="39"/>
      <c r="K324" s="39"/>
      <c r="L324" s="39"/>
      <c r="M324" s="39"/>
      <c r="N324" s="39"/>
      <c r="X324" s="39"/>
      <c r="AK324" s="12"/>
      <c r="AL324" s="12"/>
      <c r="BS324" s="20"/>
    </row>
    <row r="325" spans="4:71" s="19" customFormat="1" x14ac:dyDescent="0.25">
      <c r="D325" s="20"/>
      <c r="E325" s="20"/>
      <c r="F325" s="20"/>
      <c r="G325" s="20"/>
      <c r="H325" s="20"/>
      <c r="I325" s="20"/>
      <c r="J325" s="39"/>
      <c r="K325" s="39"/>
      <c r="L325" s="39"/>
      <c r="M325" s="39"/>
      <c r="N325" s="39"/>
      <c r="X325" s="39"/>
      <c r="AK325" s="12"/>
      <c r="AL325" s="12"/>
      <c r="BS325" s="20"/>
    </row>
    <row r="326" spans="4:71" s="19" customFormat="1" x14ac:dyDescent="0.25">
      <c r="D326" s="20"/>
      <c r="E326" s="20"/>
      <c r="F326" s="20"/>
      <c r="G326" s="20"/>
      <c r="H326" s="20"/>
      <c r="I326" s="20"/>
      <c r="J326" s="39"/>
      <c r="K326" s="39"/>
      <c r="L326" s="39"/>
      <c r="M326" s="39"/>
      <c r="N326" s="39"/>
      <c r="X326" s="39"/>
      <c r="AK326" s="12"/>
      <c r="AL326" s="12"/>
      <c r="BS326" s="20"/>
    </row>
    <row r="327" spans="4:71" s="19" customFormat="1" x14ac:dyDescent="0.25">
      <c r="D327" s="20"/>
      <c r="E327" s="20"/>
      <c r="F327" s="20"/>
      <c r="G327" s="20"/>
      <c r="H327" s="20"/>
      <c r="I327" s="20"/>
      <c r="J327" s="39"/>
      <c r="K327" s="39"/>
      <c r="L327" s="39"/>
      <c r="M327" s="39"/>
      <c r="N327" s="39"/>
      <c r="X327" s="39"/>
      <c r="AK327" s="12"/>
      <c r="AL327" s="12"/>
      <c r="BS327" s="20"/>
    </row>
    <row r="328" spans="4:71" s="19" customFormat="1" x14ac:dyDescent="0.25">
      <c r="D328" s="20"/>
      <c r="E328" s="20"/>
      <c r="F328" s="20"/>
      <c r="G328" s="20"/>
      <c r="H328" s="20"/>
      <c r="I328" s="20"/>
      <c r="J328" s="39"/>
      <c r="K328" s="39"/>
      <c r="L328" s="39"/>
      <c r="M328" s="39"/>
      <c r="N328" s="39"/>
      <c r="X328" s="39"/>
      <c r="AK328" s="12"/>
      <c r="AL328" s="12"/>
      <c r="BS328" s="20"/>
    </row>
    <row r="329" spans="4:71" s="19" customFormat="1" x14ac:dyDescent="0.25">
      <c r="D329" s="20"/>
      <c r="E329" s="20"/>
      <c r="F329" s="20"/>
      <c r="G329" s="20"/>
      <c r="H329" s="20"/>
      <c r="I329" s="20"/>
      <c r="J329" s="39"/>
      <c r="K329" s="39"/>
      <c r="L329" s="39"/>
      <c r="M329" s="39"/>
      <c r="N329" s="39"/>
      <c r="X329" s="39"/>
      <c r="AK329" s="12"/>
      <c r="AL329" s="12"/>
      <c r="BS329" s="20"/>
    </row>
    <row r="330" spans="4:71" s="19" customFormat="1" x14ac:dyDescent="0.25">
      <c r="D330" s="20"/>
      <c r="E330" s="20"/>
      <c r="F330" s="20"/>
      <c r="G330" s="20"/>
      <c r="H330" s="20"/>
      <c r="I330" s="20"/>
      <c r="J330" s="39"/>
      <c r="K330" s="39"/>
      <c r="L330" s="39"/>
      <c r="M330" s="39"/>
      <c r="N330" s="39"/>
      <c r="X330" s="39"/>
      <c r="AK330" s="12"/>
      <c r="AL330" s="12"/>
      <c r="BS330" s="20"/>
    </row>
    <row r="331" spans="4:71" s="19" customFormat="1" x14ac:dyDescent="0.25">
      <c r="D331" s="20"/>
      <c r="E331" s="20"/>
      <c r="F331" s="20"/>
      <c r="G331" s="20"/>
      <c r="H331" s="20"/>
      <c r="I331" s="20"/>
      <c r="J331" s="39"/>
      <c r="K331" s="39"/>
      <c r="L331" s="39"/>
      <c r="M331" s="39"/>
      <c r="N331" s="39"/>
      <c r="X331" s="39"/>
      <c r="AK331" s="12"/>
      <c r="AL331" s="12"/>
      <c r="BS331" s="20"/>
    </row>
    <row r="332" spans="4:71" s="19" customFormat="1" x14ac:dyDescent="0.25">
      <c r="D332" s="20"/>
      <c r="E332" s="20"/>
      <c r="F332" s="20"/>
      <c r="G332" s="20"/>
      <c r="H332" s="20"/>
      <c r="I332" s="20"/>
      <c r="J332" s="39"/>
      <c r="K332" s="39"/>
      <c r="L332" s="39"/>
      <c r="M332" s="39"/>
      <c r="N332" s="39"/>
      <c r="X332" s="39"/>
      <c r="AK332" s="12"/>
      <c r="AL332" s="12"/>
      <c r="BS332" s="20"/>
    </row>
    <row r="333" spans="4:71" s="19" customFormat="1" x14ac:dyDescent="0.25">
      <c r="D333" s="20"/>
      <c r="E333" s="20"/>
      <c r="F333" s="20"/>
      <c r="G333" s="20"/>
      <c r="H333" s="20"/>
      <c r="I333" s="20"/>
      <c r="J333" s="39"/>
      <c r="K333" s="39"/>
      <c r="L333" s="39"/>
      <c r="M333" s="39"/>
      <c r="N333" s="39"/>
      <c r="X333" s="39"/>
      <c r="AK333" s="12"/>
      <c r="AL333" s="12"/>
      <c r="BS333" s="20"/>
    </row>
    <row r="334" spans="4:71" s="19" customFormat="1" x14ac:dyDescent="0.25">
      <c r="D334" s="20"/>
      <c r="E334" s="20"/>
      <c r="F334" s="20"/>
      <c r="G334" s="20"/>
      <c r="H334" s="20"/>
      <c r="I334" s="20"/>
      <c r="J334" s="39"/>
      <c r="K334" s="39"/>
      <c r="L334" s="39"/>
      <c r="M334" s="39"/>
      <c r="N334" s="39"/>
      <c r="X334" s="39"/>
      <c r="AK334" s="12"/>
      <c r="AL334" s="12"/>
      <c r="BS334" s="20"/>
    </row>
    <row r="335" spans="4:71" s="19" customFormat="1" x14ac:dyDescent="0.25">
      <c r="D335" s="20"/>
      <c r="E335" s="20"/>
      <c r="F335" s="20"/>
      <c r="G335" s="20"/>
      <c r="H335" s="20"/>
      <c r="I335" s="20"/>
      <c r="J335" s="39"/>
      <c r="K335" s="39"/>
      <c r="L335" s="39"/>
      <c r="M335" s="39"/>
      <c r="N335" s="39"/>
      <c r="X335" s="39"/>
      <c r="AK335" s="12"/>
      <c r="AL335" s="12"/>
      <c r="BS335" s="20"/>
    </row>
    <row r="336" spans="4:71" s="19" customFormat="1" x14ac:dyDescent="0.25">
      <c r="D336" s="20"/>
      <c r="E336" s="20"/>
      <c r="F336" s="20"/>
      <c r="G336" s="20"/>
      <c r="H336" s="20"/>
      <c r="I336" s="20"/>
      <c r="J336" s="39"/>
      <c r="K336" s="39"/>
      <c r="L336" s="39"/>
      <c r="M336" s="39"/>
      <c r="N336" s="39"/>
      <c r="X336" s="39"/>
      <c r="AK336" s="12"/>
      <c r="AL336" s="12"/>
      <c r="BS336" s="20"/>
    </row>
    <row r="337" spans="4:71" s="19" customFormat="1" x14ac:dyDescent="0.25">
      <c r="D337" s="20"/>
      <c r="E337" s="20"/>
      <c r="F337" s="20"/>
      <c r="G337" s="20"/>
      <c r="H337" s="20"/>
      <c r="I337" s="20"/>
      <c r="J337" s="39"/>
      <c r="K337" s="39"/>
      <c r="L337" s="39"/>
      <c r="M337" s="39"/>
      <c r="N337" s="39"/>
      <c r="X337" s="39"/>
      <c r="AK337" s="12"/>
      <c r="AL337" s="12"/>
      <c r="BS337" s="20"/>
    </row>
    <row r="338" spans="4:71" s="19" customFormat="1" x14ac:dyDescent="0.25">
      <c r="D338" s="20"/>
      <c r="E338" s="20"/>
      <c r="F338" s="20"/>
      <c r="G338" s="20"/>
      <c r="H338" s="20"/>
      <c r="I338" s="20"/>
      <c r="J338" s="39"/>
      <c r="K338" s="39"/>
      <c r="L338" s="39"/>
      <c r="M338" s="39"/>
      <c r="N338" s="39"/>
      <c r="X338" s="39"/>
      <c r="AK338" s="12"/>
      <c r="AL338" s="12"/>
      <c r="BS338" s="20"/>
    </row>
    <row r="339" spans="4:71" s="19" customFormat="1" x14ac:dyDescent="0.25">
      <c r="D339" s="20"/>
      <c r="E339" s="20"/>
      <c r="F339" s="20"/>
      <c r="G339" s="20"/>
      <c r="H339" s="20"/>
      <c r="I339" s="20"/>
      <c r="J339" s="39"/>
      <c r="K339" s="39"/>
      <c r="L339" s="39"/>
      <c r="M339" s="39"/>
      <c r="N339" s="39"/>
      <c r="X339" s="39"/>
      <c r="AK339" s="12"/>
      <c r="AL339" s="12"/>
      <c r="BS339" s="20"/>
    </row>
    <row r="340" spans="4:71" s="19" customFormat="1" x14ac:dyDescent="0.25">
      <c r="D340" s="20"/>
      <c r="E340" s="20"/>
      <c r="F340" s="20"/>
      <c r="G340" s="20"/>
      <c r="H340" s="20"/>
      <c r="I340" s="20"/>
      <c r="J340" s="39"/>
      <c r="K340" s="39"/>
      <c r="L340" s="39"/>
      <c r="M340" s="39"/>
      <c r="N340" s="39"/>
      <c r="X340" s="39"/>
      <c r="AK340" s="12"/>
      <c r="AL340" s="12"/>
      <c r="BS340" s="20"/>
    </row>
    <row r="341" spans="4:71" s="19" customFormat="1" x14ac:dyDescent="0.25">
      <c r="D341" s="20"/>
      <c r="E341" s="20"/>
      <c r="F341" s="20"/>
      <c r="G341" s="20"/>
      <c r="H341" s="20"/>
      <c r="I341" s="20"/>
      <c r="J341" s="39"/>
      <c r="K341" s="39"/>
      <c r="L341" s="39"/>
      <c r="M341" s="39"/>
      <c r="N341" s="39"/>
      <c r="X341" s="39"/>
      <c r="AK341" s="12"/>
      <c r="AL341" s="12"/>
      <c r="BS341" s="20"/>
    </row>
    <row r="342" spans="4:71" s="19" customFormat="1" x14ac:dyDescent="0.25">
      <c r="D342" s="20"/>
      <c r="E342" s="20"/>
      <c r="F342" s="20"/>
      <c r="G342" s="20"/>
      <c r="H342" s="20"/>
      <c r="I342" s="20"/>
      <c r="J342" s="39"/>
      <c r="K342" s="39"/>
      <c r="L342" s="39"/>
      <c r="M342" s="39"/>
      <c r="N342" s="39"/>
      <c r="X342" s="39"/>
      <c r="AK342" s="12"/>
      <c r="AL342" s="12"/>
      <c r="BS342" s="20"/>
    </row>
    <row r="343" spans="4:71" s="19" customFormat="1" x14ac:dyDescent="0.25">
      <c r="D343" s="20"/>
      <c r="E343" s="20"/>
      <c r="F343" s="20"/>
      <c r="G343" s="20"/>
      <c r="H343" s="20"/>
      <c r="I343" s="20"/>
      <c r="J343" s="39"/>
      <c r="K343" s="39"/>
      <c r="L343" s="39"/>
      <c r="M343" s="39"/>
      <c r="N343" s="39"/>
      <c r="X343" s="39"/>
      <c r="AK343" s="12"/>
      <c r="AL343" s="12"/>
      <c r="BS343" s="20"/>
    </row>
    <row r="344" spans="4:71" s="19" customFormat="1" x14ac:dyDescent="0.25">
      <c r="D344" s="20"/>
      <c r="E344" s="20"/>
      <c r="F344" s="20"/>
      <c r="G344" s="20"/>
      <c r="H344" s="20"/>
      <c r="I344" s="20"/>
      <c r="J344" s="39"/>
      <c r="K344" s="39"/>
      <c r="L344" s="39"/>
      <c r="M344" s="39"/>
      <c r="N344" s="39"/>
      <c r="X344" s="39"/>
      <c r="AK344" s="12"/>
      <c r="AL344" s="12"/>
      <c r="BS344" s="20"/>
    </row>
    <row r="345" spans="4:71" s="19" customFormat="1" x14ac:dyDescent="0.25">
      <c r="D345" s="20"/>
      <c r="E345" s="20"/>
      <c r="F345" s="20"/>
      <c r="G345" s="20"/>
      <c r="H345" s="20"/>
      <c r="I345" s="20"/>
      <c r="J345" s="39"/>
      <c r="K345" s="39"/>
      <c r="L345" s="39"/>
      <c r="M345" s="39"/>
      <c r="N345" s="39"/>
      <c r="X345" s="39"/>
      <c r="AK345" s="12"/>
      <c r="AL345" s="12"/>
      <c r="BS345" s="20"/>
    </row>
    <row r="346" spans="4:71" s="19" customFormat="1" x14ac:dyDescent="0.25">
      <c r="D346" s="20"/>
      <c r="E346" s="20"/>
      <c r="F346" s="20"/>
      <c r="G346" s="20"/>
      <c r="H346" s="20"/>
      <c r="I346" s="20"/>
      <c r="J346" s="39"/>
      <c r="K346" s="39"/>
      <c r="L346" s="39"/>
      <c r="M346" s="39"/>
      <c r="N346" s="39"/>
      <c r="X346" s="39"/>
      <c r="AK346" s="12"/>
      <c r="AL346" s="12"/>
      <c r="BS346" s="20"/>
    </row>
    <row r="347" spans="4:71" s="19" customFormat="1" x14ac:dyDescent="0.25">
      <c r="D347" s="20"/>
      <c r="E347" s="20"/>
      <c r="F347" s="20"/>
      <c r="G347" s="20"/>
      <c r="H347" s="20"/>
      <c r="I347" s="20"/>
      <c r="J347" s="39"/>
      <c r="K347" s="39"/>
      <c r="L347" s="39"/>
      <c r="M347" s="39"/>
      <c r="N347" s="39"/>
      <c r="X347" s="39"/>
      <c r="AK347" s="12"/>
      <c r="AL347" s="12"/>
      <c r="BS347" s="20"/>
    </row>
    <row r="348" spans="4:71" s="19" customFormat="1" x14ac:dyDescent="0.25">
      <c r="D348" s="20"/>
      <c r="E348" s="20"/>
      <c r="F348" s="20"/>
      <c r="G348" s="20"/>
      <c r="H348" s="20"/>
      <c r="I348" s="20"/>
      <c r="J348" s="39"/>
      <c r="K348" s="39"/>
      <c r="L348" s="39"/>
      <c r="M348" s="39"/>
      <c r="N348" s="39"/>
      <c r="X348" s="39"/>
      <c r="AK348" s="12"/>
      <c r="AL348" s="12"/>
      <c r="BS348" s="20"/>
    </row>
    <row r="349" spans="4:71" s="19" customFormat="1" x14ac:dyDescent="0.25">
      <c r="D349" s="20"/>
      <c r="E349" s="20"/>
      <c r="F349" s="20"/>
      <c r="G349" s="20"/>
      <c r="H349" s="20"/>
      <c r="I349" s="20"/>
      <c r="J349" s="39"/>
      <c r="K349" s="39"/>
      <c r="L349" s="39"/>
      <c r="M349" s="39"/>
      <c r="N349" s="39"/>
      <c r="X349" s="39"/>
      <c r="AK349" s="12"/>
      <c r="AL349" s="12"/>
      <c r="BS349" s="20"/>
    </row>
    <row r="350" spans="4:71" s="19" customFormat="1" x14ac:dyDescent="0.25">
      <c r="D350" s="20"/>
      <c r="E350" s="20"/>
      <c r="F350" s="20"/>
      <c r="G350" s="20"/>
      <c r="H350" s="20"/>
      <c r="I350" s="20"/>
      <c r="J350" s="39"/>
      <c r="K350" s="39"/>
      <c r="L350" s="39"/>
      <c r="M350" s="39"/>
      <c r="N350" s="39"/>
      <c r="X350" s="39"/>
      <c r="AK350" s="12"/>
      <c r="AL350" s="12"/>
      <c r="BS350" s="20"/>
    </row>
    <row r="351" spans="4:71" s="19" customFormat="1" x14ac:dyDescent="0.25">
      <c r="D351" s="20"/>
      <c r="E351" s="20"/>
      <c r="F351" s="20"/>
      <c r="G351" s="20"/>
      <c r="H351" s="20"/>
      <c r="I351" s="20"/>
      <c r="J351" s="39"/>
      <c r="K351" s="39"/>
      <c r="L351" s="39"/>
      <c r="M351" s="39"/>
      <c r="N351" s="39"/>
      <c r="X351" s="39"/>
      <c r="AK351" s="12"/>
      <c r="AL351" s="12"/>
      <c r="BS351" s="20"/>
    </row>
    <row r="352" spans="4:71" s="19" customFormat="1" x14ac:dyDescent="0.25">
      <c r="D352" s="20"/>
      <c r="E352" s="20"/>
      <c r="F352" s="20"/>
      <c r="G352" s="20"/>
      <c r="H352" s="20"/>
      <c r="I352" s="20"/>
      <c r="J352" s="39"/>
      <c r="K352" s="39"/>
      <c r="L352" s="39"/>
      <c r="M352" s="39"/>
      <c r="N352" s="39"/>
      <c r="X352" s="39"/>
      <c r="AK352" s="12"/>
      <c r="AL352" s="12"/>
      <c r="BS352" s="20"/>
    </row>
    <row r="353" spans="4:71" s="19" customFormat="1" x14ac:dyDescent="0.25">
      <c r="D353" s="20"/>
      <c r="E353" s="20"/>
      <c r="F353" s="20"/>
      <c r="G353" s="20"/>
      <c r="H353" s="20"/>
      <c r="I353" s="20"/>
      <c r="J353" s="39"/>
      <c r="K353" s="39"/>
      <c r="L353" s="39"/>
      <c r="M353" s="39"/>
      <c r="N353" s="39"/>
      <c r="X353" s="39"/>
      <c r="AK353" s="12"/>
      <c r="AL353" s="12"/>
      <c r="BS353" s="20"/>
    </row>
    <row r="354" spans="4:71" s="19" customFormat="1" x14ac:dyDescent="0.25">
      <c r="D354" s="20"/>
      <c r="E354" s="20"/>
      <c r="F354" s="20"/>
      <c r="G354" s="20"/>
      <c r="H354" s="20"/>
      <c r="I354" s="20"/>
      <c r="J354" s="39"/>
      <c r="K354" s="39"/>
      <c r="L354" s="39"/>
      <c r="M354" s="39"/>
      <c r="N354" s="39"/>
      <c r="X354" s="39"/>
      <c r="AK354" s="12"/>
      <c r="AL354" s="12"/>
      <c r="BS354" s="20"/>
    </row>
    <row r="355" spans="4:71" s="19" customFormat="1" x14ac:dyDescent="0.25">
      <c r="D355" s="20"/>
      <c r="E355" s="20"/>
      <c r="F355" s="20"/>
      <c r="G355" s="20"/>
      <c r="H355" s="20"/>
      <c r="I355" s="20"/>
      <c r="J355" s="39"/>
      <c r="K355" s="39"/>
      <c r="L355" s="39"/>
      <c r="M355" s="39"/>
      <c r="N355" s="39"/>
      <c r="X355" s="39"/>
      <c r="AK355" s="12"/>
      <c r="AL355" s="12"/>
      <c r="BS355" s="20"/>
    </row>
    <row r="356" spans="4:71" s="19" customFormat="1" x14ac:dyDescent="0.25">
      <c r="D356" s="20"/>
      <c r="E356" s="20"/>
      <c r="F356" s="20"/>
      <c r="G356" s="20"/>
      <c r="H356" s="20"/>
      <c r="I356" s="20"/>
      <c r="J356" s="39"/>
      <c r="K356" s="39"/>
      <c r="L356" s="39"/>
      <c r="M356" s="39"/>
      <c r="N356" s="39"/>
      <c r="X356" s="39"/>
      <c r="AK356" s="12"/>
      <c r="AL356" s="12"/>
      <c r="BS356" s="20"/>
    </row>
    <row r="357" spans="4:71" s="19" customFormat="1" x14ac:dyDescent="0.25">
      <c r="D357" s="20"/>
      <c r="E357" s="20"/>
      <c r="F357" s="20"/>
      <c r="G357" s="20"/>
      <c r="H357" s="20"/>
      <c r="I357" s="20"/>
      <c r="J357" s="39"/>
      <c r="K357" s="39"/>
      <c r="L357" s="39"/>
      <c r="M357" s="39"/>
      <c r="N357" s="39"/>
      <c r="X357" s="39"/>
      <c r="AK357" s="12"/>
      <c r="AL357" s="12"/>
      <c r="BS357" s="20"/>
    </row>
    <row r="358" spans="4:71" s="19" customFormat="1" x14ac:dyDescent="0.25">
      <c r="D358" s="20"/>
      <c r="E358" s="20"/>
      <c r="F358" s="20"/>
      <c r="G358" s="20"/>
      <c r="H358" s="20"/>
      <c r="I358" s="20"/>
      <c r="J358" s="39"/>
      <c r="K358" s="39"/>
      <c r="L358" s="39"/>
      <c r="M358" s="39"/>
      <c r="N358" s="39"/>
      <c r="X358" s="39"/>
      <c r="AK358" s="12"/>
      <c r="AL358" s="12"/>
      <c r="BS358" s="20"/>
    </row>
    <row r="359" spans="4:71" s="19" customFormat="1" x14ac:dyDescent="0.25">
      <c r="D359" s="20"/>
      <c r="E359" s="20"/>
      <c r="F359" s="20"/>
      <c r="G359" s="20"/>
      <c r="H359" s="20"/>
      <c r="I359" s="20"/>
      <c r="J359" s="39"/>
      <c r="K359" s="39"/>
      <c r="L359" s="39"/>
      <c r="M359" s="39"/>
      <c r="N359" s="39"/>
      <c r="X359" s="39"/>
      <c r="AK359" s="12"/>
      <c r="AL359" s="12"/>
      <c r="BS359" s="20"/>
    </row>
    <row r="360" spans="4:71" s="19" customFormat="1" x14ac:dyDescent="0.25">
      <c r="D360" s="20"/>
      <c r="E360" s="20"/>
      <c r="F360" s="20"/>
      <c r="G360" s="20"/>
      <c r="H360" s="20"/>
      <c r="I360" s="20"/>
      <c r="J360" s="39"/>
      <c r="K360" s="39"/>
      <c r="L360" s="39"/>
      <c r="M360" s="39"/>
      <c r="N360" s="39"/>
      <c r="X360" s="39"/>
      <c r="AK360" s="12"/>
      <c r="AL360" s="12"/>
      <c r="BS360" s="20"/>
    </row>
    <row r="361" spans="4:71" s="19" customFormat="1" x14ac:dyDescent="0.25">
      <c r="D361" s="20"/>
      <c r="E361" s="20"/>
      <c r="F361" s="20"/>
      <c r="G361" s="20"/>
      <c r="H361" s="20"/>
      <c r="I361" s="20"/>
      <c r="J361" s="39"/>
      <c r="K361" s="39"/>
      <c r="L361" s="39"/>
      <c r="M361" s="39"/>
      <c r="N361" s="39"/>
      <c r="X361" s="39"/>
      <c r="AK361" s="12"/>
      <c r="AL361" s="12"/>
      <c r="BS361" s="20"/>
    </row>
    <row r="362" spans="4:71" s="19" customFormat="1" x14ac:dyDescent="0.25">
      <c r="D362" s="20"/>
      <c r="E362" s="20"/>
      <c r="F362" s="20"/>
      <c r="G362" s="20"/>
      <c r="H362" s="20"/>
      <c r="I362" s="20"/>
      <c r="J362" s="39"/>
      <c r="K362" s="39"/>
      <c r="L362" s="39"/>
      <c r="M362" s="39"/>
      <c r="N362" s="39"/>
      <c r="X362" s="39"/>
      <c r="AK362" s="12"/>
      <c r="AL362" s="12"/>
      <c r="BS362" s="20"/>
    </row>
    <row r="363" spans="4:71" s="19" customFormat="1" x14ac:dyDescent="0.25">
      <c r="D363" s="20"/>
      <c r="E363" s="20"/>
      <c r="F363" s="20"/>
      <c r="G363" s="20"/>
      <c r="H363" s="20"/>
      <c r="I363" s="20"/>
      <c r="J363" s="39"/>
      <c r="K363" s="39"/>
      <c r="L363" s="39"/>
      <c r="M363" s="39"/>
      <c r="N363" s="39"/>
      <c r="X363" s="39"/>
      <c r="AK363" s="12"/>
      <c r="AL363" s="12"/>
      <c r="BS363" s="20"/>
    </row>
    <row r="364" spans="4:71" s="19" customFormat="1" x14ac:dyDescent="0.25">
      <c r="D364" s="20"/>
      <c r="E364" s="20"/>
      <c r="F364" s="20"/>
      <c r="G364" s="20"/>
      <c r="H364" s="20"/>
      <c r="I364" s="20"/>
      <c r="J364" s="39"/>
      <c r="K364" s="39"/>
      <c r="L364" s="39"/>
      <c r="M364" s="39"/>
      <c r="N364" s="39"/>
      <c r="X364" s="39"/>
      <c r="AK364" s="12"/>
      <c r="AL364" s="12"/>
      <c r="BS364" s="20"/>
    </row>
    <row r="365" spans="4:71" s="19" customFormat="1" x14ac:dyDescent="0.25">
      <c r="D365" s="20"/>
      <c r="E365" s="20"/>
      <c r="F365" s="20"/>
      <c r="G365" s="20"/>
      <c r="H365" s="20"/>
      <c r="I365" s="20"/>
      <c r="J365" s="39"/>
      <c r="K365" s="39"/>
      <c r="L365" s="39"/>
      <c r="M365" s="39"/>
      <c r="N365" s="39"/>
      <c r="X365" s="39"/>
      <c r="AK365" s="12"/>
      <c r="AL365" s="12"/>
      <c r="BS365" s="20"/>
    </row>
    <row r="366" spans="4:71" s="19" customFormat="1" x14ac:dyDescent="0.25">
      <c r="D366" s="20"/>
      <c r="E366" s="20"/>
      <c r="F366" s="20"/>
      <c r="G366" s="20"/>
      <c r="H366" s="20"/>
      <c r="I366" s="20"/>
      <c r="J366" s="39"/>
      <c r="K366" s="39"/>
      <c r="L366" s="39"/>
      <c r="M366" s="39"/>
      <c r="N366" s="39"/>
      <c r="X366" s="39"/>
      <c r="AK366" s="12"/>
      <c r="AL366" s="12"/>
      <c r="BS366" s="20"/>
    </row>
    <row r="367" spans="4:71" s="19" customFormat="1" x14ac:dyDescent="0.25">
      <c r="D367" s="20"/>
      <c r="E367" s="20"/>
      <c r="F367" s="20"/>
      <c r="G367" s="20"/>
      <c r="H367" s="20"/>
      <c r="I367" s="20"/>
      <c r="J367" s="39"/>
      <c r="K367" s="39"/>
      <c r="L367" s="39"/>
      <c r="M367" s="39"/>
      <c r="N367" s="39"/>
      <c r="X367" s="39"/>
      <c r="AK367" s="12"/>
      <c r="AL367" s="12"/>
      <c r="BS367" s="20"/>
    </row>
    <row r="368" spans="4:71" s="19" customFormat="1" x14ac:dyDescent="0.25">
      <c r="D368" s="20"/>
      <c r="E368" s="20"/>
      <c r="F368" s="20"/>
      <c r="G368" s="20"/>
      <c r="H368" s="20"/>
      <c r="I368" s="20"/>
      <c r="J368" s="39"/>
      <c r="K368" s="39"/>
      <c r="L368" s="39"/>
      <c r="M368" s="39"/>
      <c r="N368" s="39"/>
      <c r="X368" s="39"/>
      <c r="AK368" s="12"/>
      <c r="AL368" s="12"/>
      <c r="BS368" s="20"/>
    </row>
    <row r="369" spans="4:71" s="19" customFormat="1" x14ac:dyDescent="0.25">
      <c r="D369" s="20"/>
      <c r="E369" s="20"/>
      <c r="F369" s="20"/>
      <c r="G369" s="20"/>
      <c r="H369" s="20"/>
      <c r="I369" s="20"/>
      <c r="J369" s="39"/>
      <c r="K369" s="39"/>
      <c r="L369" s="39"/>
      <c r="M369" s="39"/>
      <c r="N369" s="39"/>
      <c r="X369" s="39"/>
      <c r="AK369" s="12"/>
      <c r="AL369" s="12"/>
      <c r="BS369" s="20"/>
    </row>
    <row r="370" spans="4:71" s="19" customFormat="1" x14ac:dyDescent="0.25">
      <c r="D370" s="20"/>
      <c r="E370" s="20"/>
      <c r="F370" s="20"/>
      <c r="G370" s="20"/>
      <c r="H370" s="20"/>
      <c r="I370" s="20"/>
      <c r="J370" s="39"/>
      <c r="K370" s="39"/>
      <c r="L370" s="39"/>
      <c r="M370" s="39"/>
      <c r="N370" s="39"/>
      <c r="X370" s="39"/>
      <c r="AK370" s="12"/>
      <c r="AL370" s="12"/>
      <c r="BS370" s="20"/>
    </row>
    <row r="371" spans="4:71" s="19" customFormat="1" x14ac:dyDescent="0.25">
      <c r="D371" s="20"/>
      <c r="E371" s="20"/>
      <c r="F371" s="20"/>
      <c r="G371" s="20"/>
      <c r="H371" s="20"/>
      <c r="I371" s="20"/>
      <c r="J371" s="39"/>
      <c r="K371" s="39"/>
      <c r="L371" s="39"/>
      <c r="M371" s="39"/>
      <c r="N371" s="39"/>
      <c r="X371" s="39"/>
      <c r="AK371" s="12"/>
      <c r="AL371" s="12"/>
      <c r="BS371" s="20"/>
    </row>
    <row r="372" spans="4:71" s="19" customFormat="1" x14ac:dyDescent="0.25">
      <c r="D372" s="20"/>
      <c r="E372" s="20"/>
      <c r="F372" s="20"/>
      <c r="G372" s="20"/>
      <c r="H372" s="20"/>
      <c r="I372" s="20"/>
      <c r="J372" s="39"/>
      <c r="K372" s="39"/>
      <c r="L372" s="39"/>
      <c r="M372" s="39"/>
      <c r="N372" s="39"/>
      <c r="X372" s="39"/>
      <c r="AK372" s="12"/>
      <c r="AL372" s="12"/>
      <c r="BS372" s="20"/>
    </row>
    <row r="373" spans="4:71" s="19" customFormat="1" x14ac:dyDescent="0.25">
      <c r="D373" s="20"/>
      <c r="E373" s="20"/>
      <c r="F373" s="20"/>
      <c r="G373" s="20"/>
      <c r="H373" s="20"/>
      <c r="I373" s="20"/>
      <c r="J373" s="39"/>
      <c r="K373" s="39"/>
      <c r="L373" s="39"/>
      <c r="M373" s="39"/>
      <c r="N373" s="39"/>
      <c r="X373" s="39"/>
      <c r="AK373" s="12"/>
      <c r="AL373" s="12"/>
      <c r="BS373" s="20"/>
    </row>
    <row r="374" spans="4:71" s="19" customFormat="1" x14ac:dyDescent="0.25">
      <c r="D374" s="20"/>
      <c r="E374" s="20"/>
      <c r="F374" s="20"/>
      <c r="G374" s="20"/>
      <c r="H374" s="20"/>
      <c r="I374" s="20"/>
      <c r="J374" s="39"/>
      <c r="K374" s="39"/>
      <c r="L374" s="39"/>
      <c r="M374" s="39"/>
      <c r="N374" s="39"/>
      <c r="X374" s="39"/>
      <c r="AK374" s="12"/>
      <c r="AL374" s="12"/>
      <c r="BS374" s="20"/>
    </row>
    <row r="375" spans="4:71" s="19" customFormat="1" x14ac:dyDescent="0.25">
      <c r="D375" s="20"/>
      <c r="E375" s="20"/>
      <c r="F375" s="20"/>
      <c r="G375" s="20"/>
      <c r="H375" s="20"/>
      <c r="I375" s="20"/>
      <c r="J375" s="39"/>
      <c r="K375" s="39"/>
      <c r="L375" s="39"/>
      <c r="M375" s="39"/>
      <c r="N375" s="39"/>
      <c r="X375" s="39"/>
      <c r="AK375" s="12"/>
      <c r="AL375" s="12"/>
      <c r="BS375" s="20"/>
    </row>
    <row r="376" spans="4:71" s="19" customFormat="1" x14ac:dyDescent="0.25">
      <c r="D376" s="20"/>
      <c r="E376" s="20"/>
      <c r="F376" s="20"/>
      <c r="G376" s="20"/>
      <c r="H376" s="20"/>
      <c r="I376" s="20"/>
      <c r="J376" s="39"/>
      <c r="K376" s="39"/>
      <c r="L376" s="39"/>
      <c r="M376" s="39"/>
      <c r="N376" s="39"/>
      <c r="X376" s="39"/>
      <c r="AK376" s="12"/>
      <c r="AL376" s="12"/>
      <c r="BS376" s="20"/>
    </row>
    <row r="377" spans="4:71" s="19" customFormat="1" x14ac:dyDescent="0.25">
      <c r="D377" s="20"/>
      <c r="E377" s="20"/>
      <c r="F377" s="20"/>
      <c r="G377" s="20"/>
      <c r="H377" s="20"/>
      <c r="I377" s="20"/>
      <c r="J377" s="39"/>
      <c r="K377" s="39"/>
      <c r="L377" s="39"/>
      <c r="M377" s="39"/>
      <c r="N377" s="39"/>
      <c r="X377" s="39"/>
      <c r="AK377" s="12"/>
      <c r="AL377" s="12"/>
      <c r="BS377" s="20"/>
    </row>
    <row r="378" spans="4:71" s="19" customFormat="1" x14ac:dyDescent="0.25">
      <c r="D378" s="20"/>
      <c r="E378" s="20"/>
      <c r="F378" s="20"/>
      <c r="G378" s="20"/>
      <c r="H378" s="20"/>
      <c r="I378" s="20"/>
      <c r="J378" s="39"/>
      <c r="K378" s="39"/>
      <c r="L378" s="39"/>
      <c r="M378" s="39"/>
      <c r="N378" s="39"/>
      <c r="X378" s="39"/>
      <c r="AK378" s="12"/>
      <c r="AL378" s="12"/>
      <c r="BS378" s="20"/>
    </row>
    <row r="379" spans="4:71" s="19" customFormat="1" x14ac:dyDescent="0.25">
      <c r="D379" s="20"/>
      <c r="E379" s="20"/>
      <c r="F379" s="20"/>
      <c r="G379" s="20"/>
      <c r="H379" s="20"/>
      <c r="I379" s="20"/>
      <c r="J379" s="39"/>
      <c r="K379" s="39"/>
      <c r="L379" s="39"/>
      <c r="M379" s="39"/>
      <c r="N379" s="39"/>
      <c r="X379" s="39"/>
      <c r="AK379" s="12"/>
      <c r="AL379" s="12"/>
      <c r="BS379" s="20"/>
    </row>
    <row r="380" spans="4:71" s="19" customFormat="1" x14ac:dyDescent="0.25">
      <c r="D380" s="20"/>
      <c r="E380" s="20"/>
      <c r="F380" s="20"/>
      <c r="G380" s="20"/>
      <c r="H380" s="20"/>
      <c r="I380" s="20"/>
      <c r="J380" s="39"/>
      <c r="K380" s="39"/>
      <c r="L380" s="39"/>
      <c r="M380" s="39"/>
      <c r="N380" s="39"/>
      <c r="X380" s="39"/>
      <c r="AK380" s="12"/>
      <c r="AL380" s="12"/>
      <c r="BS380" s="20"/>
    </row>
    <row r="381" spans="4:71" s="19" customFormat="1" x14ac:dyDescent="0.25">
      <c r="D381" s="20"/>
      <c r="E381" s="20"/>
      <c r="F381" s="20"/>
      <c r="G381" s="20"/>
      <c r="H381" s="20"/>
      <c r="I381" s="20"/>
      <c r="J381" s="39"/>
      <c r="K381" s="39"/>
      <c r="L381" s="39"/>
      <c r="M381" s="39"/>
      <c r="N381" s="39"/>
      <c r="X381" s="39"/>
      <c r="AK381" s="12"/>
      <c r="AL381" s="12"/>
      <c r="BS381" s="20"/>
    </row>
    <row r="382" spans="4:71" s="19" customFormat="1" x14ac:dyDescent="0.25">
      <c r="D382" s="20"/>
      <c r="E382" s="20"/>
      <c r="F382" s="20"/>
      <c r="G382" s="20"/>
      <c r="H382" s="20"/>
      <c r="I382" s="20"/>
      <c r="J382" s="39"/>
      <c r="K382" s="39"/>
      <c r="L382" s="39"/>
      <c r="M382" s="39"/>
      <c r="N382" s="39"/>
      <c r="X382" s="39"/>
      <c r="AK382" s="12"/>
      <c r="AL382" s="12"/>
      <c r="BS382" s="20"/>
    </row>
    <row r="383" spans="4:71" s="19" customFormat="1" x14ac:dyDescent="0.25">
      <c r="D383" s="20"/>
      <c r="E383" s="20"/>
      <c r="F383" s="20"/>
      <c r="G383" s="20"/>
      <c r="H383" s="20"/>
      <c r="I383" s="20"/>
      <c r="J383" s="39"/>
      <c r="K383" s="39"/>
      <c r="L383" s="39"/>
      <c r="M383" s="39"/>
      <c r="N383" s="39"/>
      <c r="X383" s="39"/>
      <c r="AK383" s="12"/>
      <c r="AL383" s="12"/>
      <c r="BS383" s="20"/>
    </row>
    <row r="384" spans="4:71" s="19" customFormat="1" x14ac:dyDescent="0.25">
      <c r="D384" s="20"/>
      <c r="E384" s="20"/>
      <c r="F384" s="20"/>
      <c r="G384" s="20"/>
      <c r="H384" s="20"/>
      <c r="I384" s="20"/>
      <c r="J384" s="39"/>
      <c r="K384" s="39"/>
      <c r="L384" s="39"/>
      <c r="M384" s="39"/>
      <c r="N384" s="39"/>
      <c r="X384" s="39"/>
      <c r="AK384" s="12"/>
      <c r="AL384" s="12"/>
      <c r="BS384" s="20"/>
    </row>
    <row r="385" spans="4:71" s="19" customFormat="1" x14ac:dyDescent="0.25">
      <c r="D385" s="20"/>
      <c r="E385" s="20"/>
      <c r="F385" s="20"/>
      <c r="G385" s="20"/>
      <c r="H385" s="20"/>
      <c r="I385" s="20"/>
      <c r="J385" s="39"/>
      <c r="K385" s="39"/>
      <c r="L385" s="39"/>
      <c r="M385" s="39"/>
      <c r="N385" s="39"/>
      <c r="X385" s="39"/>
      <c r="AK385" s="12"/>
      <c r="AL385" s="12"/>
      <c r="BS385" s="20"/>
    </row>
    <row r="386" spans="4:71" s="19" customFormat="1" x14ac:dyDescent="0.25">
      <c r="D386" s="20"/>
      <c r="E386" s="20"/>
      <c r="F386" s="20"/>
      <c r="G386" s="20"/>
      <c r="H386" s="20"/>
      <c r="I386" s="20"/>
      <c r="J386" s="39"/>
      <c r="K386" s="39"/>
      <c r="L386" s="39"/>
      <c r="M386" s="39"/>
      <c r="N386" s="39"/>
      <c r="X386" s="39"/>
      <c r="AK386" s="12"/>
      <c r="AL386" s="12"/>
      <c r="BS386" s="20"/>
    </row>
    <row r="387" spans="4:71" s="19" customFormat="1" x14ac:dyDescent="0.25">
      <c r="D387" s="20"/>
      <c r="E387" s="20"/>
      <c r="F387" s="20"/>
      <c r="G387" s="20"/>
      <c r="H387" s="20"/>
      <c r="I387" s="20"/>
      <c r="J387" s="39"/>
      <c r="K387" s="39"/>
      <c r="L387" s="39"/>
      <c r="M387" s="39"/>
      <c r="N387" s="39"/>
      <c r="X387" s="39"/>
      <c r="AK387" s="12"/>
      <c r="AL387" s="12"/>
      <c r="BS387" s="20"/>
    </row>
    <row r="388" spans="4:71" s="19" customFormat="1" x14ac:dyDescent="0.25">
      <c r="D388" s="20"/>
      <c r="E388" s="20"/>
      <c r="F388" s="20"/>
      <c r="G388" s="20"/>
      <c r="H388" s="20"/>
      <c r="I388" s="20"/>
      <c r="J388" s="39"/>
      <c r="K388" s="39"/>
      <c r="L388" s="39"/>
      <c r="M388" s="39"/>
      <c r="N388" s="39"/>
      <c r="X388" s="39"/>
      <c r="AK388" s="12"/>
      <c r="AL388" s="12"/>
      <c r="BS388" s="20"/>
    </row>
    <row r="389" spans="4:71" s="19" customFormat="1" x14ac:dyDescent="0.25">
      <c r="D389" s="20"/>
      <c r="E389" s="20"/>
      <c r="F389" s="20"/>
      <c r="G389" s="20"/>
      <c r="H389" s="20"/>
      <c r="I389" s="20"/>
      <c r="J389" s="39"/>
      <c r="K389" s="39"/>
      <c r="L389" s="39"/>
      <c r="M389" s="39"/>
      <c r="N389" s="39"/>
      <c r="X389" s="39"/>
      <c r="AK389" s="12"/>
      <c r="AL389" s="12"/>
      <c r="BS389" s="20"/>
    </row>
    <row r="390" spans="4:71" s="19" customFormat="1" x14ac:dyDescent="0.25">
      <c r="D390" s="20"/>
      <c r="E390" s="20"/>
      <c r="F390" s="20"/>
      <c r="G390" s="20"/>
      <c r="H390" s="20"/>
      <c r="I390" s="20"/>
      <c r="J390" s="39"/>
      <c r="K390" s="39"/>
      <c r="L390" s="39"/>
      <c r="M390" s="39"/>
      <c r="N390" s="39"/>
      <c r="X390" s="39"/>
      <c r="AK390" s="12"/>
      <c r="AL390" s="12"/>
      <c r="BS390" s="20"/>
    </row>
    <row r="391" spans="4:71" s="19" customFormat="1" x14ac:dyDescent="0.25">
      <c r="D391" s="20"/>
      <c r="E391" s="20"/>
      <c r="F391" s="20"/>
      <c r="G391" s="20"/>
      <c r="H391" s="20"/>
      <c r="I391" s="20"/>
      <c r="J391" s="39"/>
      <c r="K391" s="39"/>
      <c r="L391" s="39"/>
      <c r="M391" s="39"/>
      <c r="N391" s="39"/>
      <c r="X391" s="39"/>
      <c r="AK391" s="12"/>
      <c r="AL391" s="12"/>
      <c r="BS391" s="20"/>
    </row>
    <row r="392" spans="4:71" s="19" customFormat="1" x14ac:dyDescent="0.25">
      <c r="D392" s="20"/>
      <c r="E392" s="20"/>
      <c r="F392" s="20"/>
      <c r="G392" s="20"/>
      <c r="H392" s="20"/>
      <c r="I392" s="20"/>
      <c r="J392" s="39"/>
      <c r="K392" s="39"/>
      <c r="L392" s="39"/>
      <c r="M392" s="39"/>
      <c r="N392" s="39"/>
      <c r="X392" s="39"/>
      <c r="AK392" s="12"/>
      <c r="AL392" s="12"/>
      <c r="BS392" s="20"/>
    </row>
    <row r="393" spans="4:71" s="19" customFormat="1" x14ac:dyDescent="0.25">
      <c r="D393" s="20"/>
      <c r="E393" s="20"/>
      <c r="F393" s="20"/>
      <c r="G393" s="20"/>
      <c r="H393" s="20"/>
      <c r="I393" s="20"/>
      <c r="J393" s="39"/>
      <c r="K393" s="39"/>
      <c r="L393" s="39"/>
      <c r="M393" s="39"/>
      <c r="N393" s="39"/>
      <c r="X393" s="39"/>
      <c r="AK393" s="12"/>
      <c r="AL393" s="12"/>
      <c r="BS393" s="20"/>
    </row>
    <row r="394" spans="4:71" s="19" customFormat="1" x14ac:dyDescent="0.25">
      <c r="D394" s="20"/>
      <c r="E394" s="20"/>
      <c r="F394" s="20"/>
      <c r="G394" s="20"/>
      <c r="H394" s="20"/>
      <c r="I394" s="20"/>
      <c r="J394" s="39"/>
      <c r="K394" s="39"/>
      <c r="L394" s="39"/>
      <c r="M394" s="39"/>
      <c r="N394" s="39"/>
      <c r="X394" s="39"/>
      <c r="AK394" s="12"/>
      <c r="AL394" s="12"/>
      <c r="BS394" s="20"/>
    </row>
    <row r="395" spans="4:71" s="19" customFormat="1" x14ac:dyDescent="0.25">
      <c r="D395" s="20"/>
      <c r="E395" s="20"/>
      <c r="F395" s="20"/>
      <c r="G395" s="20"/>
      <c r="H395" s="20"/>
      <c r="I395" s="20"/>
      <c r="J395" s="39"/>
      <c r="K395" s="39"/>
      <c r="L395" s="39"/>
      <c r="M395" s="39"/>
      <c r="N395" s="39"/>
      <c r="X395" s="39"/>
      <c r="AK395" s="12"/>
      <c r="AL395" s="12"/>
      <c r="BS395" s="20"/>
    </row>
    <row r="396" spans="4:71" s="19" customFormat="1" x14ac:dyDescent="0.25">
      <c r="D396" s="20"/>
      <c r="E396" s="20"/>
      <c r="F396" s="20"/>
      <c r="G396" s="20"/>
      <c r="H396" s="20"/>
      <c r="I396" s="20"/>
      <c r="J396" s="39"/>
      <c r="K396" s="39"/>
      <c r="L396" s="39"/>
      <c r="M396" s="39"/>
      <c r="N396" s="39"/>
      <c r="X396" s="39"/>
      <c r="AK396" s="12"/>
      <c r="AL396" s="12"/>
      <c r="BS396" s="20"/>
    </row>
    <row r="397" spans="4:71" s="19" customFormat="1" x14ac:dyDescent="0.25">
      <c r="D397" s="20"/>
      <c r="E397" s="20"/>
      <c r="F397" s="20"/>
      <c r="G397" s="20"/>
      <c r="H397" s="20"/>
      <c r="I397" s="20"/>
      <c r="J397" s="39"/>
      <c r="K397" s="39"/>
      <c r="L397" s="39"/>
      <c r="M397" s="39"/>
      <c r="N397" s="39"/>
      <c r="X397" s="39"/>
      <c r="AK397" s="12"/>
      <c r="AL397" s="12"/>
      <c r="BS397" s="20"/>
    </row>
    <row r="398" spans="4:71" s="19" customFormat="1" x14ac:dyDescent="0.25">
      <c r="D398" s="20"/>
      <c r="E398" s="20"/>
      <c r="F398" s="20"/>
      <c r="G398" s="20"/>
      <c r="H398" s="20"/>
      <c r="I398" s="20"/>
      <c r="J398" s="39"/>
      <c r="K398" s="39"/>
      <c r="L398" s="39"/>
      <c r="M398" s="39"/>
      <c r="N398" s="39"/>
      <c r="X398" s="39"/>
      <c r="AK398" s="12"/>
      <c r="AL398" s="12"/>
      <c r="BS398" s="20"/>
    </row>
    <row r="399" spans="4:71" s="19" customFormat="1" x14ac:dyDescent="0.25">
      <c r="D399" s="20"/>
      <c r="E399" s="20"/>
      <c r="F399" s="20"/>
      <c r="G399" s="20"/>
      <c r="H399" s="20"/>
      <c r="I399" s="20"/>
      <c r="J399" s="39"/>
      <c r="K399" s="39"/>
      <c r="L399" s="39"/>
      <c r="M399" s="39"/>
      <c r="N399" s="39"/>
      <c r="X399" s="39"/>
      <c r="AK399" s="12"/>
      <c r="AL399" s="12"/>
      <c r="BS399" s="20"/>
    </row>
    <row r="400" spans="4:71" s="19" customFormat="1" x14ac:dyDescent="0.25">
      <c r="D400" s="20"/>
      <c r="E400" s="20"/>
      <c r="F400" s="20"/>
      <c r="G400" s="20"/>
      <c r="H400" s="20"/>
      <c r="I400" s="20"/>
      <c r="J400" s="39"/>
      <c r="K400" s="39"/>
      <c r="L400" s="39"/>
      <c r="M400" s="39"/>
      <c r="N400" s="39"/>
      <c r="X400" s="39"/>
      <c r="AK400" s="12"/>
      <c r="AL400" s="12"/>
      <c r="BS400" s="20"/>
    </row>
    <row r="401" spans="4:71" s="19" customFormat="1" x14ac:dyDescent="0.25">
      <c r="D401" s="20"/>
      <c r="E401" s="20"/>
      <c r="F401" s="20"/>
      <c r="G401" s="20"/>
      <c r="H401" s="20"/>
      <c r="I401" s="20"/>
      <c r="J401" s="39"/>
      <c r="K401" s="39"/>
      <c r="L401" s="39"/>
      <c r="M401" s="39"/>
      <c r="N401" s="39"/>
      <c r="X401" s="39"/>
      <c r="AK401" s="12"/>
      <c r="AL401" s="12"/>
      <c r="BS401" s="20"/>
    </row>
    <row r="402" spans="4:71" s="19" customFormat="1" x14ac:dyDescent="0.25">
      <c r="D402" s="20"/>
      <c r="E402" s="20"/>
      <c r="F402" s="20"/>
      <c r="G402" s="20"/>
      <c r="H402" s="20"/>
      <c r="I402" s="20"/>
      <c r="J402" s="39"/>
      <c r="K402" s="39"/>
      <c r="L402" s="39"/>
      <c r="M402" s="39"/>
      <c r="N402" s="39"/>
      <c r="X402" s="39"/>
      <c r="AK402" s="12"/>
      <c r="AL402" s="12"/>
      <c r="BS402" s="20"/>
    </row>
    <row r="403" spans="4:71" s="19" customFormat="1" x14ac:dyDescent="0.25">
      <c r="D403" s="20"/>
      <c r="E403" s="20"/>
      <c r="F403" s="20"/>
      <c r="G403" s="20"/>
      <c r="H403" s="20"/>
      <c r="I403" s="20"/>
      <c r="J403" s="39"/>
      <c r="K403" s="39"/>
      <c r="L403" s="39"/>
      <c r="M403" s="39"/>
      <c r="N403" s="39"/>
      <c r="X403" s="39"/>
      <c r="AK403" s="12"/>
      <c r="AL403" s="12"/>
      <c r="BS403" s="20"/>
    </row>
    <row r="404" spans="4:71" s="19" customFormat="1" x14ac:dyDescent="0.25">
      <c r="D404" s="20"/>
      <c r="E404" s="20"/>
      <c r="F404" s="20"/>
      <c r="G404" s="20"/>
      <c r="H404" s="20"/>
      <c r="I404" s="20"/>
      <c r="J404" s="39"/>
      <c r="K404" s="39"/>
      <c r="L404" s="39"/>
      <c r="M404" s="39"/>
      <c r="N404" s="39"/>
      <c r="X404" s="39"/>
      <c r="AK404" s="12"/>
      <c r="AL404" s="12"/>
      <c r="BS404" s="20"/>
    </row>
    <row r="405" spans="4:71" s="19" customFormat="1" x14ac:dyDescent="0.25">
      <c r="D405" s="20"/>
      <c r="E405" s="20"/>
      <c r="F405" s="20"/>
      <c r="G405" s="20"/>
      <c r="H405" s="20"/>
      <c r="I405" s="20"/>
      <c r="J405" s="39"/>
      <c r="K405" s="39"/>
      <c r="L405" s="39"/>
      <c r="M405" s="39"/>
      <c r="N405" s="39"/>
      <c r="X405" s="39"/>
      <c r="AK405" s="12"/>
      <c r="AL405" s="12"/>
      <c r="BS405" s="20"/>
    </row>
  </sheetData>
  <autoFilter ref="AK11:AK91" xr:uid="{38E7EAAC-D80A-47B1-B49A-0C887BCCC008}"/>
  <mergeCells count="29">
    <mergeCell ref="AS84:AU85"/>
    <mergeCell ref="AS86:AU87"/>
    <mergeCell ref="AM87:AO87"/>
    <mergeCell ref="AP86:AR87"/>
    <mergeCell ref="AQ88:AR91"/>
    <mergeCell ref="AS89:AT89"/>
    <mergeCell ref="AS90:AT90"/>
    <mergeCell ref="AS91:AT91"/>
    <mergeCell ref="AM88:AO88"/>
    <mergeCell ref="AM89:AO89"/>
    <mergeCell ref="AM91:AO91"/>
    <mergeCell ref="AM85:AO85"/>
    <mergeCell ref="AP84:AR85"/>
    <mergeCell ref="AV7:AX7"/>
    <mergeCell ref="AV6:AX6"/>
    <mergeCell ref="AV84:AY87"/>
    <mergeCell ref="AS88:AY88"/>
    <mergeCell ref="AV91:AY91"/>
    <mergeCell ref="AV90:AY90"/>
    <mergeCell ref="AV89:AY89"/>
    <mergeCell ref="AO6:AU7"/>
    <mergeCell ref="AN82:AQ82"/>
    <mergeCell ref="AM6:AN7"/>
    <mergeCell ref="AO9:AQ9"/>
    <mergeCell ref="AM86:AO86"/>
    <mergeCell ref="AM84:AO84"/>
    <mergeCell ref="AP90:AP91"/>
    <mergeCell ref="AP88:AP89"/>
    <mergeCell ref="AM90:AO90"/>
  </mergeCells>
  <phoneticPr fontId="1" type="noConversion"/>
  <conditionalFormatting sqref="Y9">
    <cfRule type="cellIs" dxfId="37" priority="5" operator="lessThan">
      <formula>0.1</formula>
    </cfRule>
    <cfRule type="cellIs" dxfId="36" priority="6" operator="greaterThan">
      <formula>0.1</formula>
    </cfRule>
  </conditionalFormatting>
  <conditionalFormatting sqref="AY13:AY81">
    <cfRule type="expression" dxfId="35" priority="4">
      <formula>$M13&gt;""</formula>
    </cfRule>
  </conditionalFormatting>
  <conditionalFormatting sqref="AM13:AN13 AP13:AW13 AM14:AW81">
    <cfRule type="expression" dxfId="34" priority="2">
      <formula>$M13&gt;""</formula>
    </cfRule>
  </conditionalFormatting>
  <conditionalFormatting sqref="AO13:AO81">
    <cfRule type="expression" dxfId="33" priority="1">
      <formula>$M13&gt;""</formula>
    </cfRule>
  </conditionalFormatting>
  <printOptions horizontalCentered="1"/>
  <pageMargins left="0.1131496062992126" right="0.1131496062992126" top="0.15314960629921259" bottom="0.15314960629921259" header="0.31" footer="0.31"/>
  <pageSetup scale="43" fitToHeight="0" orientation="landscape" blackAndWhite="1" errors="blank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895350</xdr:colOff>
                    <xdr:row>2</xdr:row>
                    <xdr:rowOff>38100</xdr:rowOff>
                  </from>
                  <to>
                    <xdr:col>4</xdr:col>
                    <xdr:colOff>209550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L_pdf_L2">
                <anchor moveWithCells="1" sizeWithCells="1">
                  <from>
                    <xdr:col>4</xdr:col>
                    <xdr:colOff>514350</xdr:colOff>
                    <xdr:row>1</xdr:row>
                    <xdr:rowOff>95250</xdr:rowOff>
                  </from>
                  <to>
                    <xdr:col>7</xdr:col>
                    <xdr:colOff>247650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6DE9F-F8AE-4D33-822E-8840DD9CF411}">
  <sheetPr codeName="Sheet3">
    <pageSetUpPr fitToPage="1"/>
  </sheetPr>
  <dimension ref="A1"/>
  <sheetViews>
    <sheetView workbookViewId="0">
      <selection activeCell="W19" sqref="W19"/>
    </sheetView>
  </sheetViews>
  <sheetFormatPr defaultRowHeight="15" x14ac:dyDescent="0.25"/>
  <sheetData/>
  <pageMargins left="0.7" right="0.7" top="0.75" bottom="0.75" header="0.3" footer="0.3"/>
  <pageSetup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0E3D0-0723-4088-9382-8BA71CB981E5}">
  <sheetPr codeName="Sheet2"/>
  <dimension ref="A1:I59"/>
  <sheetViews>
    <sheetView workbookViewId="0">
      <selection activeCell="G2" sqref="G2:I10"/>
    </sheetView>
  </sheetViews>
  <sheetFormatPr defaultRowHeight="15" x14ac:dyDescent="0.25"/>
  <cols>
    <col min="1" max="1" width="28" style="59" bestFit="1" customWidth="1"/>
    <col min="2" max="2" width="7.5703125" style="59" bestFit="1" customWidth="1"/>
    <col min="3" max="3" width="5.28515625" style="59" bestFit="1" customWidth="1"/>
  </cols>
  <sheetData>
    <row r="1" spans="1:9" x14ac:dyDescent="0.25">
      <c r="A1" s="56" t="s">
        <v>55</v>
      </c>
      <c r="B1" s="57"/>
      <c r="C1" s="58"/>
    </row>
    <row r="2" spans="1:9" x14ac:dyDescent="0.25">
      <c r="A2" s="33" t="s">
        <v>108</v>
      </c>
      <c r="B2" s="57">
        <v>1</v>
      </c>
      <c r="C2" s="58" t="s">
        <v>109</v>
      </c>
      <c r="G2">
        <v>27</v>
      </c>
      <c r="H2">
        <v>1</v>
      </c>
      <c r="I2" s="126" t="s">
        <v>151</v>
      </c>
    </row>
    <row r="3" spans="1:9" x14ac:dyDescent="0.25">
      <c r="A3" s="33" t="s">
        <v>110</v>
      </c>
      <c r="B3" s="57">
        <v>1</v>
      </c>
      <c r="C3" s="58" t="s">
        <v>109</v>
      </c>
      <c r="G3">
        <v>4</v>
      </c>
      <c r="H3">
        <v>1</v>
      </c>
      <c r="I3" s="126" t="s">
        <v>151</v>
      </c>
    </row>
    <row r="4" spans="1:9" x14ac:dyDescent="0.25">
      <c r="A4" s="60" t="s">
        <v>111</v>
      </c>
      <c r="B4" s="57">
        <v>1</v>
      </c>
      <c r="C4" s="58" t="s">
        <v>109</v>
      </c>
      <c r="G4">
        <v>13</v>
      </c>
      <c r="H4">
        <v>2</v>
      </c>
      <c r="I4" s="126" t="s">
        <v>152</v>
      </c>
    </row>
    <row r="5" spans="1:9" x14ac:dyDescent="0.25">
      <c r="A5" s="33" t="s">
        <v>112</v>
      </c>
      <c r="B5" s="57">
        <v>1</v>
      </c>
      <c r="C5" s="58" t="s">
        <v>109</v>
      </c>
      <c r="G5">
        <v>15</v>
      </c>
      <c r="H5">
        <v>2</v>
      </c>
      <c r="I5" s="126" t="s">
        <v>152</v>
      </c>
    </row>
    <row r="6" spans="1:9" x14ac:dyDescent="0.25">
      <c r="A6" s="33" t="s">
        <v>56</v>
      </c>
      <c r="B6" s="57">
        <v>1</v>
      </c>
      <c r="C6" s="58" t="s">
        <v>120</v>
      </c>
      <c r="G6">
        <v>10</v>
      </c>
      <c r="I6" s="126" t="s">
        <v>151</v>
      </c>
    </row>
    <row r="7" spans="1:9" x14ac:dyDescent="0.25">
      <c r="A7" s="33" t="s">
        <v>57</v>
      </c>
      <c r="B7" s="57">
        <v>1</v>
      </c>
      <c r="C7" s="58">
        <v>316</v>
      </c>
      <c r="G7">
        <v>14</v>
      </c>
      <c r="I7" s="126" t="s">
        <v>152</v>
      </c>
    </row>
    <row r="8" spans="1:9" x14ac:dyDescent="0.25">
      <c r="A8" s="33" t="s">
        <v>58</v>
      </c>
      <c r="B8" s="57">
        <v>1</v>
      </c>
      <c r="C8" s="58">
        <v>316</v>
      </c>
      <c r="G8">
        <v>19</v>
      </c>
      <c r="I8" s="126" t="s">
        <v>151</v>
      </c>
    </row>
    <row r="9" spans="1:9" x14ac:dyDescent="0.25">
      <c r="A9" s="33" t="s">
        <v>59</v>
      </c>
      <c r="B9" s="57">
        <v>1</v>
      </c>
      <c r="C9" s="58">
        <v>316</v>
      </c>
      <c r="G9">
        <v>35</v>
      </c>
      <c r="I9" s="126" t="s">
        <v>151</v>
      </c>
    </row>
    <row r="10" spans="1:9" x14ac:dyDescent="0.25">
      <c r="A10" s="33" t="s">
        <v>60</v>
      </c>
      <c r="B10" s="57">
        <v>1</v>
      </c>
      <c r="C10" s="58">
        <v>316</v>
      </c>
      <c r="G10">
        <v>21</v>
      </c>
      <c r="I10" s="126" t="s">
        <v>152</v>
      </c>
    </row>
    <row r="11" spans="1:9" x14ac:dyDescent="0.25">
      <c r="A11" s="33" t="s">
        <v>61</v>
      </c>
      <c r="B11" s="57">
        <v>1</v>
      </c>
      <c r="C11" s="58">
        <v>321</v>
      </c>
    </row>
    <row r="12" spans="1:9" x14ac:dyDescent="0.25">
      <c r="A12" s="33" t="s">
        <v>62</v>
      </c>
      <c r="B12" s="57">
        <v>1</v>
      </c>
      <c r="C12" s="58"/>
    </row>
    <row r="13" spans="1:9" x14ac:dyDescent="0.25">
      <c r="A13" s="33" t="s">
        <v>63</v>
      </c>
      <c r="B13" s="57">
        <v>1</v>
      </c>
      <c r="C13" s="58">
        <v>316</v>
      </c>
    </row>
    <row r="14" spans="1:9" x14ac:dyDescent="0.25">
      <c r="A14" s="33" t="s">
        <v>64</v>
      </c>
      <c r="B14" s="57">
        <v>1</v>
      </c>
      <c r="C14" s="58">
        <v>309</v>
      </c>
    </row>
    <row r="15" spans="1:9" x14ac:dyDescent="0.25">
      <c r="A15" s="33" t="s">
        <v>65</v>
      </c>
      <c r="B15" s="57">
        <v>1</v>
      </c>
      <c r="C15" s="58">
        <v>309</v>
      </c>
    </row>
    <row r="16" spans="1:9" x14ac:dyDescent="0.25">
      <c r="A16" s="33" t="s">
        <v>66</v>
      </c>
      <c r="B16" s="57">
        <v>1</v>
      </c>
      <c r="C16" s="58">
        <v>310</v>
      </c>
    </row>
    <row r="17" spans="1:3" x14ac:dyDescent="0.25">
      <c r="A17" s="33" t="s">
        <v>113</v>
      </c>
      <c r="B17" s="57">
        <v>1</v>
      </c>
      <c r="C17" s="58" t="s">
        <v>109</v>
      </c>
    </row>
    <row r="18" spans="1:3" x14ac:dyDescent="0.25">
      <c r="A18" s="33" t="s">
        <v>67</v>
      </c>
      <c r="B18" s="57">
        <v>1</v>
      </c>
      <c r="C18" s="58">
        <v>317</v>
      </c>
    </row>
    <row r="19" spans="1:3" x14ac:dyDescent="0.25">
      <c r="A19" s="33" t="s">
        <v>114</v>
      </c>
      <c r="B19" s="57">
        <v>1</v>
      </c>
      <c r="C19" s="58" t="s">
        <v>109</v>
      </c>
    </row>
    <row r="20" spans="1:3" x14ac:dyDescent="0.25">
      <c r="A20" s="33" t="s">
        <v>115</v>
      </c>
      <c r="B20" s="57">
        <v>1</v>
      </c>
      <c r="C20" s="58" t="s">
        <v>109</v>
      </c>
    </row>
    <row r="21" spans="1:3" x14ac:dyDescent="0.25">
      <c r="A21" s="33" t="s">
        <v>116</v>
      </c>
      <c r="B21" s="57">
        <v>1</v>
      </c>
      <c r="C21" s="58" t="s">
        <v>109</v>
      </c>
    </row>
    <row r="22" spans="1:3" x14ac:dyDescent="0.25">
      <c r="A22" s="33" t="s">
        <v>117</v>
      </c>
      <c r="B22" s="57">
        <v>1</v>
      </c>
      <c r="C22" s="58" t="s">
        <v>109</v>
      </c>
    </row>
    <row r="23" spans="1:3" x14ac:dyDescent="0.25">
      <c r="A23" s="33" t="s">
        <v>118</v>
      </c>
      <c r="B23" s="57">
        <v>1</v>
      </c>
      <c r="C23" s="58" t="s">
        <v>109</v>
      </c>
    </row>
    <row r="24" spans="1:3" x14ac:dyDescent="0.25">
      <c r="A24" s="33" t="s">
        <v>68</v>
      </c>
      <c r="B24" s="57">
        <v>1</v>
      </c>
      <c r="C24" s="58">
        <v>316</v>
      </c>
    </row>
    <row r="25" spans="1:3" x14ac:dyDescent="0.25">
      <c r="A25" s="33" t="s">
        <v>69</v>
      </c>
      <c r="B25" s="57">
        <v>1</v>
      </c>
      <c r="C25" s="58" t="s">
        <v>70</v>
      </c>
    </row>
    <row r="26" spans="1:3" x14ac:dyDescent="0.25">
      <c r="A26" s="33" t="s">
        <v>71</v>
      </c>
      <c r="B26" s="57">
        <v>1.018</v>
      </c>
      <c r="C26" s="58">
        <v>800</v>
      </c>
    </row>
    <row r="27" spans="1:3" x14ac:dyDescent="0.25">
      <c r="A27" s="33" t="s">
        <v>72</v>
      </c>
      <c r="B27" s="57">
        <v>1.091</v>
      </c>
      <c r="C27" s="58" t="s">
        <v>107</v>
      </c>
    </row>
    <row r="28" spans="1:3" x14ac:dyDescent="0.25">
      <c r="A28" s="33" t="s">
        <v>73</v>
      </c>
      <c r="B28" s="57">
        <v>1.0669999999999999</v>
      </c>
      <c r="C28" s="58">
        <v>6600</v>
      </c>
    </row>
    <row r="29" spans="1:3" x14ac:dyDescent="0.25">
      <c r="A29" s="33" t="s">
        <v>74</v>
      </c>
      <c r="B29" s="57">
        <v>1</v>
      </c>
      <c r="C29" s="58">
        <v>6601</v>
      </c>
    </row>
    <row r="30" spans="1:3" x14ac:dyDescent="0.25">
      <c r="A30" s="33" t="s">
        <v>75</v>
      </c>
      <c r="B30" s="57">
        <v>1.028</v>
      </c>
      <c r="C30" s="58" t="s">
        <v>104</v>
      </c>
    </row>
    <row r="31" spans="1:3" x14ac:dyDescent="0.25">
      <c r="A31" s="33" t="s">
        <v>76</v>
      </c>
      <c r="B31" s="57">
        <v>1.07</v>
      </c>
      <c r="C31" s="58">
        <v>625</v>
      </c>
    </row>
    <row r="32" spans="1:3" x14ac:dyDescent="0.25">
      <c r="A32" s="33" t="s">
        <v>77</v>
      </c>
      <c r="B32" s="57">
        <v>1.1259999999999999</v>
      </c>
      <c r="C32" s="58">
        <v>276</v>
      </c>
    </row>
    <row r="33" spans="1:3" x14ac:dyDescent="0.25">
      <c r="A33" s="33" t="s">
        <v>78</v>
      </c>
      <c r="B33" s="57">
        <v>1.091</v>
      </c>
      <c r="C33" s="58">
        <v>6022</v>
      </c>
    </row>
    <row r="34" spans="1:3" x14ac:dyDescent="0.25">
      <c r="A34" s="33" t="s">
        <v>79</v>
      </c>
      <c r="B34" s="57">
        <v>1.119</v>
      </c>
      <c r="C34" s="58">
        <v>4400</v>
      </c>
    </row>
    <row r="35" spans="1:3" x14ac:dyDescent="0.25">
      <c r="A35" s="33" t="s">
        <v>80</v>
      </c>
      <c r="B35" s="57">
        <v>1.0249999999999999</v>
      </c>
      <c r="C35" s="58">
        <v>8020</v>
      </c>
    </row>
    <row r="36" spans="1:3" x14ac:dyDescent="0.25">
      <c r="A36" s="33" t="s">
        <v>81</v>
      </c>
      <c r="B36" s="57">
        <v>1.0209999999999999</v>
      </c>
      <c r="C36" s="58">
        <v>926</v>
      </c>
    </row>
    <row r="37" spans="1:3" x14ac:dyDescent="0.25">
      <c r="A37" s="33" t="s">
        <v>82</v>
      </c>
      <c r="B37" s="57">
        <v>1.0069999999999999</v>
      </c>
      <c r="C37" s="58">
        <v>904</v>
      </c>
    </row>
    <row r="38" spans="1:3" x14ac:dyDescent="0.25">
      <c r="A38" s="33" t="s">
        <v>83</v>
      </c>
      <c r="B38" s="57">
        <v>1.0209999999999999</v>
      </c>
      <c r="C38" s="58">
        <v>367</v>
      </c>
    </row>
    <row r="39" spans="1:3" x14ac:dyDescent="0.25">
      <c r="A39" s="33" t="s">
        <v>84</v>
      </c>
      <c r="B39" s="57">
        <v>1</v>
      </c>
      <c r="C39" s="58">
        <v>810</v>
      </c>
    </row>
    <row r="40" spans="1:3" x14ac:dyDescent="0.25">
      <c r="A40" s="33" t="s">
        <v>85</v>
      </c>
      <c r="B40" s="57">
        <v>1.091</v>
      </c>
      <c r="C40" s="58">
        <v>2000</v>
      </c>
    </row>
    <row r="41" spans="1:3" x14ac:dyDescent="0.25">
      <c r="A41" s="33" t="s">
        <v>86</v>
      </c>
      <c r="B41" s="57">
        <v>1.0069999999999999</v>
      </c>
      <c r="C41" s="58">
        <v>8028</v>
      </c>
    </row>
    <row r="42" spans="1:3" x14ac:dyDescent="0.25">
      <c r="A42" s="33" t="s">
        <v>87</v>
      </c>
      <c r="B42" s="57">
        <v>1</v>
      </c>
      <c r="C42" s="58">
        <v>430</v>
      </c>
    </row>
    <row r="43" spans="1:3" x14ac:dyDescent="0.25">
      <c r="A43" s="33" t="s">
        <v>88</v>
      </c>
      <c r="B43" s="57">
        <v>1</v>
      </c>
      <c r="C43" s="58">
        <v>321</v>
      </c>
    </row>
    <row r="44" spans="1:3" x14ac:dyDescent="0.25">
      <c r="A44" s="33" t="s">
        <v>119</v>
      </c>
      <c r="B44" s="57">
        <v>1</v>
      </c>
      <c r="C44" s="58" t="s">
        <v>109</v>
      </c>
    </row>
    <row r="45" spans="1:3" x14ac:dyDescent="0.25">
      <c r="A45" s="33" t="s">
        <v>89</v>
      </c>
      <c r="B45" s="57">
        <v>1</v>
      </c>
      <c r="C45" s="58">
        <v>750</v>
      </c>
    </row>
    <row r="46" spans="1:3" x14ac:dyDescent="0.25">
      <c r="A46" s="33" t="s">
        <v>90</v>
      </c>
      <c r="B46" s="57">
        <v>1</v>
      </c>
      <c r="C46" s="58">
        <v>803</v>
      </c>
    </row>
    <row r="47" spans="1:3" x14ac:dyDescent="0.25">
      <c r="A47" s="33" t="s">
        <v>91</v>
      </c>
      <c r="B47" s="57">
        <v>1</v>
      </c>
      <c r="C47" s="58">
        <v>2205</v>
      </c>
    </row>
    <row r="48" spans="1:3" x14ac:dyDescent="0.25">
      <c r="A48" s="33" t="s">
        <v>92</v>
      </c>
      <c r="B48" s="57">
        <v>0.97899999999999998</v>
      </c>
      <c r="C48" s="58">
        <v>2003</v>
      </c>
    </row>
    <row r="49" spans="1:3" x14ac:dyDescent="0.25">
      <c r="A49" s="33" t="s">
        <v>93</v>
      </c>
      <c r="B49" s="57">
        <v>1</v>
      </c>
      <c r="C49" s="58">
        <v>409</v>
      </c>
    </row>
    <row r="50" spans="1:3" x14ac:dyDescent="0.25">
      <c r="A50" s="33" t="s">
        <v>94</v>
      </c>
      <c r="B50" s="57">
        <v>1</v>
      </c>
      <c r="C50" s="58">
        <v>441</v>
      </c>
    </row>
    <row r="51" spans="1:3" x14ac:dyDescent="0.25">
      <c r="A51" s="33" t="s">
        <v>95</v>
      </c>
      <c r="B51" s="57">
        <v>0.97199999999999998</v>
      </c>
      <c r="C51" s="58"/>
    </row>
    <row r="52" spans="1:3" x14ac:dyDescent="0.25">
      <c r="A52" s="33" t="s">
        <v>96</v>
      </c>
      <c r="B52" s="57">
        <v>0.98199999999999998</v>
      </c>
      <c r="C52" s="58">
        <v>444</v>
      </c>
    </row>
    <row r="53" spans="1:3" x14ac:dyDescent="0.25">
      <c r="A53" s="33" t="s">
        <v>97</v>
      </c>
      <c r="B53" s="57">
        <v>0.97499999999999998</v>
      </c>
      <c r="C53" s="58">
        <v>3035</v>
      </c>
    </row>
    <row r="54" spans="1:3" ht="25.5" x14ac:dyDescent="0.25">
      <c r="A54" s="33" t="s">
        <v>98</v>
      </c>
      <c r="B54" s="57">
        <v>1</v>
      </c>
      <c r="C54" s="58">
        <v>2205</v>
      </c>
    </row>
    <row r="55" spans="1:3" x14ac:dyDescent="0.25">
      <c r="A55" s="33" t="s">
        <v>99</v>
      </c>
      <c r="B55" s="57">
        <v>1</v>
      </c>
      <c r="C55" s="58">
        <v>18</v>
      </c>
    </row>
    <row r="56" spans="1:3" x14ac:dyDescent="0.25">
      <c r="A56" s="33" t="s">
        <v>100</v>
      </c>
      <c r="B56" s="57">
        <v>0.57199999999999995</v>
      </c>
      <c r="C56" s="58">
        <v>1</v>
      </c>
    </row>
    <row r="57" spans="1:3" x14ac:dyDescent="0.25">
      <c r="A57" s="33" t="s">
        <v>101</v>
      </c>
      <c r="B57" s="57">
        <v>0.57199999999999995</v>
      </c>
      <c r="C57" s="58">
        <v>2</v>
      </c>
    </row>
    <row r="58" spans="1:3" x14ac:dyDescent="0.25">
      <c r="A58" s="33" t="s">
        <v>102</v>
      </c>
      <c r="B58" s="57">
        <v>0.57199999999999995</v>
      </c>
      <c r="C58" s="58">
        <v>7</v>
      </c>
    </row>
    <row r="59" spans="1:3" x14ac:dyDescent="0.25">
      <c r="A59" s="33" t="s">
        <v>103</v>
      </c>
      <c r="B59" s="57">
        <v>0.57199999999999995</v>
      </c>
      <c r="C59" s="58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61D6FA61-1933-44D0-A600-D6BBDA97366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PL</vt:lpstr>
      <vt:lpstr>EFF. CHART</vt:lpstr>
      <vt:lpstr>Sheet1</vt:lpstr>
      <vt:lpstr>HEAT_BOX</vt:lpstr>
      <vt:lpstr>PCS</vt:lpstr>
      <vt:lpstr>PL!Print_Area</vt:lpstr>
      <vt:lpstr>PL!Print_Titles</vt:lpstr>
      <vt:lpstr>TOTAL_FT_HEAT</vt:lpstr>
      <vt:lpstr>WEIGHT_PER_HEAT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DC. Catarbia</dc:creator>
  <cp:lastModifiedBy>Daniel Collins</cp:lastModifiedBy>
  <cp:lastPrinted>2021-07-30T20:04:04Z</cp:lastPrinted>
  <dcterms:created xsi:type="dcterms:W3CDTF">2012-09-14T12:36:18Z</dcterms:created>
  <dcterms:modified xsi:type="dcterms:W3CDTF">2022-07-13T23:10:45Z</dcterms:modified>
</cp:coreProperties>
</file>